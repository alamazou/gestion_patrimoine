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VIX HISTORIQUE" sheetId="2" r:id="rId5"/>
    <sheet state="visible" name="VIXHISTORIQUEMODEL" sheetId="3" r:id="rId6"/>
    <sheet state="visible" name="Portfolio" sheetId="4" r:id="rId7"/>
    <sheet state="visible" name="Historique" sheetId="5" r:id="rId8"/>
    <sheet state="visible" name="EQUITY BACKTEST" sheetId="6" r:id="rId9"/>
    <sheet state="visible" name="vsSTOXX50E" sheetId="7" r:id="rId10"/>
    <sheet state="visible" name="SX5E vs INVERSE ETF" sheetId="8" r:id="rId11"/>
    <sheet state="visible" name="EQUITYFXCORRELATION" sheetId="9" r:id="rId12"/>
    <sheet state="visible" name="CRASH CORREL ANALYSIS" sheetId="10" r:id="rId13"/>
    <sheet state="visible" name="EQUITY BACKTEST STRATEGY" sheetId="11" r:id="rId14"/>
    <sheet state="visible" name="Daily Perf" sheetId="12" r:id="rId15"/>
  </sheets>
  <definedNames/>
  <calcPr/>
  <extLst>
    <ext uri="GoogleSheetsCustomDataVersion2">
      <go:sheetsCustomData xmlns:go="http://customooxmlschemas.google.com/" r:id="rId16" roundtripDataChecksum="Zjmszq9A2lo7hdIaTSiUMnZHCdZK9nnR/DEeKmsoiuM="/>
    </ext>
  </extLst>
</workbook>
</file>

<file path=xl/sharedStrings.xml><?xml version="1.0" encoding="utf-8"?>
<sst xmlns="http://schemas.openxmlformats.org/spreadsheetml/2006/main" count="369" uniqueCount="183">
  <si>
    <t>ASSET</t>
  </si>
  <si>
    <t>ISIN</t>
  </si>
  <si>
    <r>
      <rPr>
        <rFont val="lato"/>
        <b/>
        <color rgb="FF003D39"/>
        <sz val="9.0"/>
      </rPr>
      <t>Libellé</t>
    </r>
    <r>
      <rPr>
        <rFont val="lato"/>
        <b/>
        <color rgb="FF003D39"/>
        <sz val="8.0"/>
      </rPr>
      <t>ISIN</t>
    </r>
  </si>
  <si>
    <r>
      <rPr>
        <rFont val="lato"/>
        <b/>
        <color rgb="FF003D39"/>
        <sz val="9.0"/>
      </rPr>
      <t>Quantité</t>
    </r>
  </si>
  <si>
    <r>
      <rPr>
        <rFont val="lato"/>
        <b/>
        <color rgb="FF003D39"/>
        <sz val="9.0"/>
      </rPr>
      <t>Prix de revient</t>
    </r>
  </si>
  <si>
    <r>
      <rPr>
        <rFont val="lato"/>
        <b/>
        <color rgb="FF003D39"/>
        <sz val="9.0"/>
      </rPr>
      <t>Place de Cotation</t>
    </r>
  </si>
  <si>
    <t>Cours en devise</t>
  </si>
  <si>
    <r>
      <rPr>
        <rFont val="lato"/>
        <b/>
        <color rgb="FF003D39"/>
        <sz val="9.0"/>
      </rPr>
      <t>Cours/VL</t>
    </r>
  </si>
  <si>
    <r>
      <rPr>
        <rFont val="lato"/>
        <b/>
        <color rgb="FF003D39"/>
        <sz val="9.0"/>
      </rPr>
      <t>Date du cours / VL</t>
    </r>
  </si>
  <si>
    <r>
      <rPr>
        <rFont val="lato"/>
        <b/>
        <color rgb="FF003D39"/>
        <sz val="9.0"/>
      </rPr>
      <t>Valorisation *</t>
    </r>
  </si>
  <si>
    <t>"+/- Values latentes"</t>
  </si>
  <si>
    <r>
      <rPr>
        <rFont val="lato"/>
        <b/>
        <color rgb="FF003D39"/>
        <sz val="9.0"/>
      </rPr>
      <t>Performance**</t>
    </r>
  </si>
  <si>
    <t>Poids %</t>
  </si>
  <si>
    <t>OBLIGATION</t>
  </si>
  <si>
    <t>IE0000UJ3480</t>
  </si>
  <si>
    <r>
      <rPr>
        <rFont val="Arial"/>
        <color rgb="FF182630"/>
        <sz val="9.0"/>
        <u/>
      </rPr>
      <t>IS.IBD.DEC.28 T.USD UC.ETF USD</t>
    </r>
    <r>
      <rPr>
        <rFont val="Arial"/>
        <sz val="9.0"/>
      </rPr>
      <t xml:space="preserve">
IE0000UJ3480</t>
    </r>
  </si>
  <si>
    <t>1 015</t>
  </si>
  <si>
    <t>98,55 €</t>
  </si>
  <si>
    <t>Paris</t>
  </si>
  <si>
    <t>99,3746 EUR</t>
  </si>
  <si>
    <t>100 865,22 €</t>
  </si>
  <si>
    <t>836,97 €</t>
  </si>
  <si>
    <t>0,84 %</t>
  </si>
  <si>
    <t>IE000ZOI8OK5</t>
  </si>
  <si>
    <t>ISHARES IBONDS DEC 2027 ¤ CORP
IE000ZOI8OK5</t>
  </si>
  <si>
    <t>9 435</t>
  </si>
  <si>
    <t>5,30 €</t>
  </si>
  <si>
    <t>Frankfurt_ETF_ETP</t>
  </si>
  <si>
    <t>5,3822 EUR</t>
  </si>
  <si>
    <t>50 781,06 €</t>
  </si>
  <si>
    <t>775,56 €</t>
  </si>
  <si>
    <t>1,55 %</t>
  </si>
  <si>
    <t>IE000BWITBP9</t>
  </si>
  <si>
    <t>ISHRS IBD DEC 26 USD -ACC
IE000BWITBP9</t>
  </si>
  <si>
    <t>2 040</t>
  </si>
  <si>
    <t>London</t>
  </si>
  <si>
    <t>108,07 USD</t>
  </si>
  <si>
    <t>199 712,66 €</t>
  </si>
  <si>
    <t>-102,69 €</t>
  </si>
  <si>
    <t>-0,05 %</t>
  </si>
  <si>
    <t>IE000GUOATN7</t>
  </si>
  <si>
    <t>ISHS IBONDS DEC25 UC.ETF C EUR
IE000GUOATN7</t>
  </si>
  <si>
    <t>19 212</t>
  </si>
  <si>
    <t>5,2234 EUR</t>
  </si>
  <si>
    <t>100 351,96 €</t>
  </si>
  <si>
    <t>353,50 €</t>
  </si>
  <si>
    <t>0,35 %</t>
  </si>
  <si>
    <t>IE000WA6L436</t>
  </si>
  <si>
    <r>
      <rPr>
        <rFont val="Arial"/>
        <color rgb="FF182630"/>
        <sz val="9.0"/>
        <u/>
      </rPr>
      <t>ISHS IBONDS DEC26 UC.ETF C EUR</t>
    </r>
    <r>
      <rPr>
        <rFont val="Arial"/>
        <sz val="9.0"/>
      </rPr>
      <t xml:space="preserve">
IE000WA6L436</t>
    </r>
  </si>
  <si>
    <t>19 665</t>
  </si>
  <si>
    <t>5,313 EUR</t>
  </si>
  <si>
    <t>104 480,15 €</t>
  </si>
  <si>
    <t>1 223,17 €</t>
  </si>
  <si>
    <t>1,18 %</t>
  </si>
  <si>
    <t>IE000I1D7D10</t>
  </si>
  <si>
    <r>
      <rPr>
        <rFont val="Arial"/>
        <color rgb="FF182630"/>
        <sz val="9.0"/>
        <u/>
      </rPr>
      <t>ISHS IBONDS DEC27 UC.ETF C USD</t>
    </r>
    <r>
      <rPr>
        <rFont val="Arial"/>
        <sz val="9.0"/>
      </rPr>
      <t xml:space="preserve">
IE000I1D7D10</t>
    </r>
  </si>
  <si>
    <t>98,70 €</t>
  </si>
  <si>
    <t>99,1209 EUR</t>
  </si>
  <si>
    <t>100 607,71 €</t>
  </si>
  <si>
    <t>427,21 €</t>
  </si>
  <si>
    <t>0,43 %</t>
  </si>
  <si>
    <t>IE0008UEVOE0</t>
  </si>
  <si>
    <r>
      <rPr>
        <rFont val="Arial"/>
        <color rgb="FF182630"/>
        <sz val="9.0"/>
        <u/>
      </rPr>
      <t>ISHS IBONDS DEC28 UC.ETF C EUR</t>
    </r>
    <r>
      <rPr>
        <rFont val="Arial"/>
        <sz val="9.0"/>
      </rPr>
      <t xml:space="preserve">
IE0008UEVOE0</t>
    </r>
  </si>
  <si>
    <t>9 375</t>
  </si>
  <si>
    <t>5,432 EUR</t>
  </si>
  <si>
    <t>50 925,00 €</t>
  </si>
  <si>
    <t>915,94 €</t>
  </si>
  <si>
    <t>1,83 %</t>
  </si>
  <si>
    <t>LU0115290974</t>
  </si>
  <si>
    <r>
      <rPr>
        <rFont val="Arial"/>
        <color rgb="FF182630"/>
        <sz val="9.0"/>
        <u/>
      </rPr>
      <t>ODDO BHF EUR.HIG.YLD BD CR-EUR</t>
    </r>
    <r>
      <rPr>
        <rFont val="Arial"/>
        <sz val="9.0"/>
      </rPr>
      <t xml:space="preserve">
LU0115290974</t>
    </r>
  </si>
  <si>
    <t>8 319,19</t>
  </si>
  <si>
    <t>OPC</t>
  </si>
  <si>
    <t>30,477 EUR</t>
  </si>
  <si>
    <t>253 543,95 €</t>
  </si>
  <si>
    <t>3 543,97 €</t>
  </si>
  <si>
    <t>1,42 %</t>
  </si>
  <si>
    <t>DE000A2QBG39</t>
  </si>
  <si>
    <t>ODDO BHF MONEY MARKET CN-EUR
DE000A2QBG39</t>
  </si>
  <si>
    <t>1 041,74000 €</t>
  </si>
  <si>
    <t>1048,23 EUR</t>
  </si>
  <si>
    <t>1048,23 €</t>
  </si>
  <si>
    <t>543 363,65 €</t>
  </si>
  <si>
    <t>3 364,18 €</t>
  </si>
  <si>
    <t>0,62 %</t>
  </si>
  <si>
    <t>EQUITY</t>
  </si>
  <si>
    <t>IE00B5BMR087</t>
  </si>
  <si>
    <t>ISHARES CORE S&amp;P 500 UCITS ETF
IE00B5BMR087</t>
  </si>
  <si>
    <t>545,48 EUR</t>
  </si>
  <si>
    <t>545,48 €</t>
  </si>
  <si>
    <t>763 672,00 €</t>
  </si>
  <si>
    <t>15448,00 €</t>
  </si>
  <si>
    <t>2,06 %</t>
  </si>
  <si>
    <t>PRODUCT</t>
  </si>
  <si>
    <t>DATE</t>
  </si>
  <si>
    <t>TYPE</t>
  </si>
  <si>
    <t>DAILY</t>
  </si>
  <si>
    <t>S&amp;P</t>
  </si>
  <si>
    <t>CRASH</t>
  </si>
  <si>
    <t>VIX THRESHOLD</t>
  </si>
  <si>
    <t xml:space="preserve"> .INX</t>
  </si>
  <si>
    <t>VIX</t>
  </si>
  <si>
    <t>VIX3M</t>
  </si>
  <si>
    <t>VIX6M</t>
  </si>
  <si>
    <t>VIX1Y</t>
  </si>
  <si>
    <t>S&amp;P Return</t>
  </si>
  <si>
    <t>CRAH TEST</t>
  </si>
  <si>
    <t>PREDICT CRASH</t>
  </si>
  <si>
    <t>Date</t>
  </si>
  <si>
    <t>SPX</t>
  </si>
  <si>
    <t>CURRENCY</t>
  </si>
  <si>
    <t>GCODE</t>
  </si>
  <si>
    <t>DESCR</t>
  </si>
  <si>
    <t>MAT</t>
  </si>
  <si>
    <t>YTM</t>
  </si>
  <si>
    <r>
      <rPr>
        <rFont val="lato"/>
        <b/>
        <color rgb="FF003D39"/>
        <sz val="9.0"/>
      </rPr>
      <t>Libellé</t>
    </r>
    <r>
      <rPr>
        <rFont val="lato"/>
        <b/>
        <color rgb="FF003D39"/>
        <sz val="8.0"/>
      </rPr>
      <t>ISIN</t>
    </r>
  </si>
  <si>
    <r>
      <rPr>
        <rFont val="lato"/>
        <b/>
        <color rgb="FF003D39"/>
        <sz val="9.0"/>
      </rPr>
      <t>Quantité</t>
    </r>
  </si>
  <si>
    <r>
      <rPr>
        <rFont val="lato"/>
        <b/>
        <color rgb="FF003D39"/>
        <sz val="9.0"/>
      </rPr>
      <t>Prix de revient</t>
    </r>
  </si>
  <si>
    <r>
      <rPr>
        <rFont val="lato"/>
        <b/>
        <color rgb="FF003D39"/>
        <sz val="9.0"/>
      </rPr>
      <t>Place de Cotation</t>
    </r>
  </si>
  <si>
    <r>
      <rPr>
        <rFont val="lato"/>
        <b/>
        <color rgb="FF003D39"/>
        <sz val="9.0"/>
      </rPr>
      <t>Cours/VL</t>
    </r>
  </si>
  <si>
    <r>
      <rPr>
        <rFont val="lato"/>
        <b/>
        <color rgb="FF003D39"/>
        <sz val="9.0"/>
      </rPr>
      <t>Date du cours / VL</t>
    </r>
  </si>
  <si>
    <r>
      <rPr>
        <rFont val="lato"/>
        <b/>
        <color rgb="FF003D39"/>
        <sz val="9.0"/>
      </rPr>
      <t>Valorisation *</t>
    </r>
  </si>
  <si>
    <r>
      <rPr>
        <rFont val="lato"/>
        <b/>
        <color rgb="FF003D39"/>
        <sz val="9.0"/>
      </rPr>
      <t>Performance**</t>
    </r>
  </si>
  <si>
    <t>EUR</t>
  </si>
  <si>
    <t>28ID</t>
  </si>
  <si>
    <t xml:space="preserve">US CORPORATE, US A 45%, BBB 55% </t>
  </si>
  <si>
    <r>
      <rPr>
        <rFont val="Arial"/>
        <color rgb="FF182630"/>
        <sz val="9.0"/>
        <u/>
      </rPr>
      <t>IS.IBD.DEC.28 T.USD UC.ETF USD</t>
    </r>
    <r>
      <rPr>
        <rFont val="Arial"/>
        <sz val="9.0"/>
      </rPr>
      <t xml:space="preserve">
IE0000UJ3480</t>
    </r>
  </si>
  <si>
    <t>IB27</t>
  </si>
  <si>
    <t>EURO CORPORATE , A Or AA 50%, BBB 50%</t>
  </si>
  <si>
    <t>26ID</t>
  </si>
  <si>
    <t xml:space="preserve">US CORPORATE, A or AA 60%, BBB 40% </t>
  </si>
  <si>
    <t>IB25</t>
  </si>
  <si>
    <t>CEBE</t>
  </si>
  <si>
    <t>EURO CORPORATE , A Or AA 55%, BBB 45%</t>
  </si>
  <si>
    <r>
      <rPr>
        <rFont val="Arial"/>
        <color rgb="FF182630"/>
        <sz val="9.0"/>
        <u/>
      </rPr>
      <t>ISHS IBONDS DEC26 UC.ETF C EUR</t>
    </r>
    <r>
      <rPr>
        <rFont val="Arial"/>
        <sz val="9.0"/>
      </rPr>
      <t xml:space="preserve">
IE000WA6L436</t>
    </r>
  </si>
  <si>
    <t>USD</t>
  </si>
  <si>
    <t>DI27</t>
  </si>
  <si>
    <t>US CORPORATE, A Or AA 50%, BBB 50%</t>
  </si>
  <si>
    <r>
      <rPr>
        <rFont val="Arial"/>
        <color rgb="FF182630"/>
        <sz val="9.0"/>
        <u/>
      </rPr>
      <t>ISHS IBONDS DEC27 UC.ETF C USD</t>
    </r>
    <r>
      <rPr>
        <rFont val="Arial"/>
        <sz val="9.0"/>
      </rPr>
      <t xml:space="preserve">
IE000I1D7D10</t>
    </r>
  </si>
  <si>
    <t>IVOA</t>
  </si>
  <si>
    <r>
      <rPr>
        <rFont val="Arial"/>
        <color rgb="FF182630"/>
        <sz val="9.0"/>
        <u/>
      </rPr>
      <t>ISHS IBONDS DEC28 UC.ETF C EUR</t>
    </r>
    <r>
      <rPr>
        <rFont val="Arial"/>
        <sz val="9.0"/>
      </rPr>
      <t xml:space="preserve">
IE0008UEVOE0</t>
    </r>
  </si>
  <si>
    <t>CSPX</t>
  </si>
  <si>
    <t>S&amp;P ETF</t>
  </si>
  <si>
    <t>IHYA</t>
  </si>
  <si>
    <t>IE00BYXYYL56</t>
  </si>
  <si>
    <t>BB 45, B 38, CCC and below 17</t>
  </si>
  <si>
    <t>3.6 YEAR</t>
  </si>
  <si>
    <t>ID30</t>
  </si>
  <si>
    <t>IE0008TDJ461</t>
  </si>
  <si>
    <t>US CORPORATE, A or AA 42 BBB 48</t>
  </si>
  <si>
    <t>US46436E3797</t>
  </si>
  <si>
    <t>IBHI</t>
  </si>
  <si>
    <t>EURUSD</t>
  </si>
  <si>
    <t>WEEKLY</t>
  </si>
  <si>
    <t>PROBABILITY</t>
  </si>
  <si>
    <t>TOTAL RETURN</t>
  </si>
  <si>
    <t>CURRENCY:EURUSD</t>
  </si>
  <si>
    <t>3Y ROLL</t>
  </si>
  <si>
    <t>5Y ROLL</t>
  </si>
  <si>
    <t>YIELD</t>
  </si>
  <si>
    <t>BIN</t>
  </si>
  <si>
    <t>3 YEAR</t>
  </si>
  <si>
    <t>5 YEAR</t>
  </si>
  <si>
    <t>COMPOSITE</t>
  </si>
  <si>
    <t>RETURN</t>
  </si>
  <si>
    <t>SX5E</t>
  </si>
  <si>
    <t>BSX</t>
  </si>
  <si>
    <t>USDEUR</t>
  </si>
  <si>
    <t>CORREL</t>
  </si>
  <si>
    <t>WEEKLY S&amp;P RETURN</t>
  </si>
  <si>
    <t>ANNUAL S&amp;P RETURN</t>
  </si>
  <si>
    <t>ANNUAL FX RETURN</t>
  </si>
  <si>
    <t>CRASH TEST</t>
  </si>
  <si>
    <t>EQITY CRASH MOVE</t>
  </si>
  <si>
    <t>FX CORREL CRASH</t>
  </si>
  <si>
    <t>TIME TO RECOVERY</t>
  </si>
  <si>
    <t>WEEKLY FX RETURN</t>
  </si>
  <si>
    <t>PROBILITY</t>
  </si>
  <si>
    <t>FX</t>
  </si>
  <si>
    <t>5Y FX PERF</t>
  </si>
  <si>
    <t>PORTFOLIO ALL</t>
  </si>
  <si>
    <t>PORTFOLIO BOND</t>
  </si>
  <si>
    <t>VOLATILITY</t>
  </si>
  <si>
    <t>SHARP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</si>
</sst>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&quot;€&quot;"/>
    <numFmt numFmtId="165" formatCode="mm/dd/yyyy"/>
    <numFmt numFmtId="166" formatCode="m/d/yyyy h:mm:ss"/>
    <numFmt numFmtId="167" formatCode="mmm d"/>
    <numFmt numFmtId="168" formatCode="M/d/yyyy"/>
    <numFmt numFmtId="169" formatCode="&quot;$&quot;#,##0.00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u/>
      <sz val="9.0"/>
      <color rgb="FF0000FF"/>
      <name val="Lato"/>
    </font>
    <font>
      <b/>
      <sz val="9.0"/>
      <color rgb="FF003D39"/>
      <name val="Lato"/>
    </font>
    <font>
      <b/>
      <sz val="9.0"/>
      <color theme="1"/>
      <name val="Arial"/>
    </font>
    <font>
      <b/>
      <sz val="9.0"/>
      <color rgb="FF003D39"/>
      <name val="Arial"/>
    </font>
    <font>
      <sz val="9.0"/>
      <color rgb="FF000000"/>
      <name val="Arial"/>
    </font>
    <font>
      <u/>
      <sz val="9.0"/>
      <color rgb="FF0000FF"/>
      <name val="Lato"/>
    </font>
    <font>
      <sz val="9.0"/>
      <color rgb="FF182630"/>
      <name val="Lato"/>
    </font>
    <font>
      <sz val="9.0"/>
      <color rgb="FF55A185"/>
      <name val="Lato"/>
    </font>
    <font>
      <sz val="9.0"/>
      <color theme="1"/>
      <name val="Arial"/>
    </font>
    <font>
      <sz val="9.0"/>
      <color rgb="FFC96048"/>
      <name val="Lato"/>
    </font>
    <font>
      <color theme="1"/>
      <name val="Arial"/>
    </font>
    <font>
      <sz val="9.0"/>
      <color rgb="FF18263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2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7F9F9"/>
        <bgColor rgb="FFF7F9F9"/>
      </patternFill>
    </fill>
  </fills>
  <borders count="2">
    <border/>
    <border>
      <bottom style="thin">
        <color rgb="FFE7E9EA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shrinkToFit="0" wrapText="0"/>
    </xf>
    <xf borderId="0" fillId="2" fontId="3" numFmtId="0" xfId="0" applyAlignment="1" applyFont="1">
      <alignment horizontal="left" shrinkToFit="0" wrapText="0"/>
    </xf>
    <xf borderId="0" fillId="2" fontId="4" numFmtId="0" xfId="0" applyAlignment="1" applyFont="1">
      <alignment horizontal="left" shrinkToFit="0" wrapText="0"/>
    </xf>
    <xf borderId="0" fillId="2" fontId="5" numFmtId="0" xfId="0" applyAlignment="1" applyFont="1">
      <alignment horizontal="left" shrinkToFit="0" wrapText="0"/>
    </xf>
    <xf borderId="0" fillId="3" fontId="6" numFmtId="0" xfId="0" applyAlignment="1" applyFill="1" applyFont="1">
      <alignment horizontal="left"/>
    </xf>
    <xf borderId="1" fillId="0" fontId="7" numFmtId="0" xfId="0" applyAlignment="1" applyBorder="1" applyFont="1">
      <alignment horizontal="left" shrinkToFit="0" wrapText="0"/>
    </xf>
    <xf borderId="1" fillId="3" fontId="8" numFmtId="0" xfId="0" applyAlignment="1" applyBorder="1" applyFont="1">
      <alignment horizontal="right" shrinkToFit="0" wrapText="0"/>
    </xf>
    <xf borderId="1" fillId="3" fontId="8" numFmtId="0" xfId="0" applyAlignment="1" applyBorder="1" applyFont="1">
      <alignment horizontal="left" shrinkToFit="0" wrapText="0"/>
    </xf>
    <xf borderId="1" fillId="3" fontId="8" numFmtId="164" xfId="0" applyAlignment="1" applyBorder="1" applyFont="1" applyNumberFormat="1">
      <alignment horizontal="right" shrinkToFit="0" wrapText="0"/>
    </xf>
    <xf borderId="1" fillId="3" fontId="8" numFmtId="165" xfId="0" applyAlignment="1" applyBorder="1" applyFont="1" applyNumberFormat="1">
      <alignment horizontal="right" shrinkToFit="0" wrapText="0"/>
    </xf>
    <xf borderId="1" fillId="3" fontId="9" numFmtId="0" xfId="0" applyAlignment="1" applyBorder="1" applyFont="1">
      <alignment horizontal="right" shrinkToFit="0" wrapText="0"/>
    </xf>
    <xf borderId="1" fillId="3" fontId="8" numFmtId="4" xfId="0" applyAlignment="1" applyBorder="1" applyFont="1" applyNumberFormat="1">
      <alignment horizontal="right" shrinkToFit="0" wrapText="0"/>
    </xf>
    <xf borderId="0" fillId="0" fontId="10" numFmtId="0" xfId="0" applyAlignment="1" applyFont="1">
      <alignment horizontal="left" shrinkToFit="0" wrapText="0"/>
    </xf>
    <xf borderId="1" fillId="0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horizontal="right" shrinkToFit="0" wrapText="0"/>
    </xf>
    <xf borderId="1" fillId="4" fontId="8" numFmtId="3" xfId="0" applyAlignment="1" applyBorder="1" applyFill="1" applyFont="1" applyNumberFormat="1">
      <alignment horizontal="right" shrinkToFit="0" wrapText="0"/>
    </xf>
    <xf borderId="1" fillId="4" fontId="8" numFmtId="0" xfId="0" applyAlignment="1" applyBorder="1" applyFont="1">
      <alignment horizontal="right" shrinkToFit="0" wrapText="0"/>
    </xf>
    <xf borderId="1" fillId="4" fontId="8" numFmtId="0" xfId="0" applyAlignment="1" applyBorder="1" applyFont="1">
      <alignment horizontal="left" shrinkToFit="0" wrapText="0"/>
    </xf>
    <xf borderId="1" fillId="4" fontId="8" numFmtId="165" xfId="0" applyAlignment="1" applyBorder="1" applyFont="1" applyNumberFormat="1">
      <alignment horizontal="right" shrinkToFit="0" wrapText="0"/>
    </xf>
    <xf borderId="1" fillId="4" fontId="9" numFmtId="0" xfId="0" applyAlignment="1" applyBorder="1" applyFont="1">
      <alignment horizontal="right" shrinkToFit="0" wrapText="0"/>
    </xf>
    <xf borderId="0" fillId="0" fontId="12" numFmtId="0" xfId="0" applyFont="1"/>
    <xf borderId="1" fillId="4" fontId="13" numFmtId="0" xfId="0" applyAlignment="1" applyBorder="1" applyFont="1">
      <alignment horizontal="right" shrinkToFit="0" wrapText="0"/>
    </xf>
    <xf borderId="1" fillId="4" fontId="8" numFmtId="164" xfId="0" applyAlignment="1" applyBorder="1" applyFont="1" applyNumberFormat="1">
      <alignment horizontal="right" shrinkToFit="0" wrapText="0"/>
    </xf>
    <xf borderId="0" fillId="0" fontId="12" numFmtId="166" xfId="0" applyFont="1" applyNumberFormat="1"/>
    <xf borderId="0" fillId="0" fontId="12" numFmtId="10" xfId="0" applyFont="1" applyNumberFormat="1"/>
    <xf borderId="0" fillId="0" fontId="10" numFmtId="167" xfId="0" applyAlignment="1" applyFont="1" applyNumberFormat="1">
      <alignment horizontal="left" shrinkToFit="0" wrapText="0"/>
    </xf>
    <xf borderId="0" fillId="3" fontId="14" numFmtId="0" xfId="0" applyAlignment="1" applyFont="1">
      <alignment horizontal="left"/>
    </xf>
    <xf borderId="0" fillId="0" fontId="12" numFmtId="167" xfId="0" applyFont="1" applyNumberFormat="1"/>
    <xf borderId="0" fillId="0" fontId="15" numFmtId="0" xfId="0" applyAlignment="1" applyFont="1">
      <alignment readingOrder="0"/>
    </xf>
    <xf borderId="0" fillId="0" fontId="15" numFmtId="0" xfId="0" applyFont="1"/>
    <xf borderId="0" fillId="0" fontId="12" numFmtId="168" xfId="0" applyFont="1" applyNumberFormat="1"/>
    <xf borderId="0" fillId="0" fontId="12" numFmtId="4" xfId="0" applyFont="1" applyNumberFormat="1"/>
    <xf borderId="0" fillId="3" fontId="16" numFmtId="0" xfId="0" applyAlignment="1" applyFont="1">
      <alignment horizontal="left"/>
    </xf>
    <xf borderId="0" fillId="0" fontId="12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0" fontId="12" numFmtId="169" xfId="0" applyFont="1" applyNumberFormat="1"/>
    <xf borderId="0" fillId="0" fontId="15" numFmtId="168" xfId="0" applyFont="1" applyNumberFormat="1"/>
    <xf borderId="0" fillId="0" fontId="12" numFmtId="0" xfId="0" applyAlignment="1" applyFont="1">
      <alignment vertical="bottom"/>
    </xf>
    <xf borderId="0" fillId="0" fontId="12" numFmtId="168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3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3 YEAR vs. BIN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'EQUITY BACKTEST'!$R$3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'EQUITY BACKTEST'!$O$4:$O$28</c:f>
            </c:strRef>
          </c:cat>
          <c:val>
            <c:numRef>
              <c:f>'EQUITY BACKTEST'!$R$4:$R$28</c:f>
              <c:numCache/>
            </c:numRef>
          </c:val>
        </c:ser>
        <c:axId val="1385418828"/>
        <c:axId val="737772815"/>
      </c:barChart>
      <c:catAx>
        <c:axId val="1385418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7772815"/>
      </c:catAx>
      <c:valAx>
        <c:axId val="737772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41882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5 YEAR return cumulated probability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'EQUITY BACKTEST'!$W$3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'EQUITY BACKTEST'!$O$4:$O$28</c:f>
            </c:strRef>
          </c:cat>
          <c:val>
            <c:numRef>
              <c:f>'EQUITY BACKTEST'!$W$4:$W$28</c:f>
              <c:numCache/>
            </c:numRef>
          </c:val>
        </c:ser>
        <c:axId val="378932863"/>
        <c:axId val="1559510808"/>
      </c:barChart>
      <c:catAx>
        <c:axId val="378932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5Y 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59510808"/>
      </c:catAx>
      <c:valAx>
        <c:axId val="1559510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93286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3 YEAR vs. BIN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'EQUITY BACKTEST STRATEGY'!$S$3</c:f>
            </c:strRef>
          </c:tx>
          <c:cat>
            <c:strRef>
              <c:f>'EQUITY BACKTEST STRATEGY'!$P$4:$P$28</c:f>
            </c:strRef>
          </c:cat>
          <c:val>
            <c:numRef>
              <c:f>'EQUITY BACKTEST STRATEGY'!$S$4:$S$28</c:f>
              <c:numCache/>
            </c:numRef>
          </c:val>
        </c:ser>
        <c:axId val="327063351"/>
        <c:axId val="109301521"/>
      </c:barChart>
      <c:catAx>
        <c:axId val="327063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301521"/>
      </c:catAx>
      <c:valAx>
        <c:axId val="10930152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2706335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'Daily Perf'!$A$2:$A$56</c:f>
            </c:strRef>
          </c:cat>
          <c:val>
            <c:numRef>
              <c:f>'Daily Perf'!$K$2:$K$56</c:f>
              <c:numCache/>
            </c:numRef>
          </c:val>
          <c:smooth val="0"/>
        </c:ser>
        <c:axId val="274461124"/>
        <c:axId val="366162845"/>
      </c:lineChart>
      <c:catAx>
        <c:axId val="274461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6162845"/>
      </c:catAx>
      <c:valAx>
        <c:axId val="366162845"/>
        <c:scaling>
          <c:orientation val="minMax"/>
          <c:max val="1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44611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581025</xdr:colOff>
      <xdr:row>1</xdr:row>
      <xdr:rowOff>171450</xdr:rowOff>
    </xdr:from>
    <xdr:ext cx="5715000" cy="3533775"/>
    <xdr:graphicFrame>
      <xdr:nvGraphicFramePr>
        <xdr:cNvPr id="57047383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38100</xdr:colOff>
      <xdr:row>20</xdr:row>
      <xdr:rowOff>152400</xdr:rowOff>
    </xdr:from>
    <xdr:ext cx="5715000" cy="3533775"/>
    <xdr:graphicFrame>
      <xdr:nvGraphicFramePr>
        <xdr:cNvPr id="170463864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57150</xdr:colOff>
      <xdr:row>2</xdr:row>
      <xdr:rowOff>38100</xdr:rowOff>
    </xdr:from>
    <xdr:ext cx="5715000" cy="3533775"/>
    <xdr:graphicFrame>
      <xdr:nvGraphicFramePr>
        <xdr:cNvPr id="124106094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6</xdr:row>
      <xdr:rowOff>66675</xdr:rowOff>
    </xdr:from>
    <xdr:ext cx="5715000" cy="3533775"/>
    <xdr:graphicFrame>
      <xdr:nvGraphicFramePr>
        <xdr:cNvPr id="74265850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y-fr.oddo-bhf.com/private/" TargetMode="External"/><Relationship Id="rId10" Type="http://schemas.openxmlformats.org/officeDocument/2006/relationships/hyperlink" Target="https://my-fr.oddo-bhf.com/private/" TargetMode="External"/><Relationship Id="rId13" Type="http://schemas.openxmlformats.org/officeDocument/2006/relationships/hyperlink" Target="https://my-fr.oddo-bhf.com/private/" TargetMode="External"/><Relationship Id="rId12" Type="http://schemas.openxmlformats.org/officeDocument/2006/relationships/hyperlink" Target="https://my-fr.oddo-bhf.com/private/" TargetMode="External"/><Relationship Id="rId1" Type="http://schemas.openxmlformats.org/officeDocument/2006/relationships/hyperlink" Target="https://my-fr.oddo-bhf.com/private/" TargetMode="External"/><Relationship Id="rId2" Type="http://schemas.openxmlformats.org/officeDocument/2006/relationships/hyperlink" Target="https://my-fr.oddo-bhf.com/private/" TargetMode="External"/><Relationship Id="rId3" Type="http://schemas.openxmlformats.org/officeDocument/2006/relationships/hyperlink" Target="https://my-fr.oddo-bhf.com/private/" TargetMode="External"/><Relationship Id="rId4" Type="http://schemas.openxmlformats.org/officeDocument/2006/relationships/hyperlink" Target="https://my-fr.oddo-bhf.com/private/" TargetMode="External"/><Relationship Id="rId9" Type="http://schemas.openxmlformats.org/officeDocument/2006/relationships/hyperlink" Target="https://my-fr.oddo-bhf.com/private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my-fr.oddo-bhf.com/private/" TargetMode="External"/><Relationship Id="rId6" Type="http://schemas.openxmlformats.org/officeDocument/2006/relationships/hyperlink" Target="https://my-fr.oddo-bhf.com/private/" TargetMode="External"/><Relationship Id="rId7" Type="http://schemas.openxmlformats.org/officeDocument/2006/relationships/hyperlink" Target="https://my-fr.oddo-bhf.com/private/" TargetMode="External"/><Relationship Id="rId8" Type="http://schemas.openxmlformats.org/officeDocument/2006/relationships/hyperlink" Target="https://my-fr.oddo-bhf.com/private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my-fr.oddo-bhf.com/private/" TargetMode="External"/><Relationship Id="rId10" Type="http://schemas.openxmlformats.org/officeDocument/2006/relationships/hyperlink" Target="https://my-fr.oddo-bhf.com/private/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my-fr.oddo-bhf.com/private/" TargetMode="External"/><Relationship Id="rId1" Type="http://schemas.openxmlformats.org/officeDocument/2006/relationships/hyperlink" Target="https://my-fr.oddo-bhf.com/private/" TargetMode="External"/><Relationship Id="rId2" Type="http://schemas.openxmlformats.org/officeDocument/2006/relationships/hyperlink" Target="https://my-fr.oddo-bhf.com/private/" TargetMode="External"/><Relationship Id="rId3" Type="http://schemas.openxmlformats.org/officeDocument/2006/relationships/hyperlink" Target="https://my-fr.oddo-bhf.com/private/" TargetMode="External"/><Relationship Id="rId4" Type="http://schemas.openxmlformats.org/officeDocument/2006/relationships/hyperlink" Target="https://my-fr.oddo-bhf.com/private/" TargetMode="External"/><Relationship Id="rId9" Type="http://schemas.openxmlformats.org/officeDocument/2006/relationships/hyperlink" Target="https://my-fr.oddo-bhf.com/private/" TargetMode="External"/><Relationship Id="rId5" Type="http://schemas.openxmlformats.org/officeDocument/2006/relationships/hyperlink" Target="https://my-fr.oddo-bhf.com/private/" TargetMode="External"/><Relationship Id="rId6" Type="http://schemas.openxmlformats.org/officeDocument/2006/relationships/hyperlink" Target="https://my-fr.oddo-bhf.com/private/" TargetMode="External"/><Relationship Id="rId7" Type="http://schemas.openxmlformats.org/officeDocument/2006/relationships/hyperlink" Target="https://my-fr.oddo-bhf.com/private/" TargetMode="External"/><Relationship Id="rId8" Type="http://schemas.openxmlformats.org/officeDocument/2006/relationships/hyperlink" Target="https://my-fr.oddo-bhf.com/private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7.25"/>
    <col customWidth="1" min="11" max="11" width="14.63"/>
    <col customWidth="1" min="12" max="12" width="18.1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5" t="s">
        <v>12</v>
      </c>
    </row>
    <row r="2" ht="15.75" customHeight="1">
      <c r="A2" s="6" t="s">
        <v>13</v>
      </c>
      <c r="B2" s="6" t="s">
        <v>14</v>
      </c>
      <c r="C2" s="7" t="s">
        <v>15</v>
      </c>
      <c r="D2" s="8" t="s">
        <v>16</v>
      </c>
      <c r="E2" s="8" t="s">
        <v>17</v>
      </c>
      <c r="F2" s="9" t="s">
        <v>18</v>
      </c>
      <c r="G2" s="8" t="s">
        <v>19</v>
      </c>
      <c r="H2" s="10">
        <v>993746.0</v>
      </c>
      <c r="I2" s="11">
        <v>45361.0</v>
      </c>
      <c r="J2" s="8" t="s">
        <v>20</v>
      </c>
      <c r="K2" s="8" t="s">
        <v>21</v>
      </c>
      <c r="L2" s="12" t="s">
        <v>22</v>
      </c>
      <c r="M2" s="13">
        <v>4.446666666666666</v>
      </c>
    </row>
    <row r="3" ht="15.75" customHeight="1">
      <c r="A3" s="6" t="s">
        <v>13</v>
      </c>
      <c r="B3" s="14" t="s">
        <v>23</v>
      </c>
      <c r="C3" s="15" t="s">
        <v>24</v>
      </c>
      <c r="D3" s="8" t="s">
        <v>25</v>
      </c>
      <c r="E3" s="8" t="s">
        <v>26</v>
      </c>
      <c r="F3" s="9" t="s">
        <v>27</v>
      </c>
      <c r="G3" s="8" t="s">
        <v>28</v>
      </c>
      <c r="H3" s="10">
        <v>53822.0</v>
      </c>
      <c r="I3" s="11">
        <v>45361.0</v>
      </c>
      <c r="J3" s="8" t="s">
        <v>29</v>
      </c>
      <c r="K3" s="8" t="s">
        <v>30</v>
      </c>
      <c r="L3" s="12" t="s">
        <v>31</v>
      </c>
      <c r="M3" s="13">
        <v>2.2399999999999998</v>
      </c>
    </row>
    <row r="4" ht="15.75" customHeight="1">
      <c r="A4" s="6" t="s">
        <v>13</v>
      </c>
      <c r="B4" s="14" t="s">
        <v>32</v>
      </c>
      <c r="C4" s="15" t="s">
        <v>33</v>
      </c>
      <c r="D4" s="8" t="s">
        <v>34</v>
      </c>
      <c r="E4" s="10">
        <v>9794870.0</v>
      </c>
      <c r="F4" s="9" t="s">
        <v>35</v>
      </c>
      <c r="G4" s="8" t="s">
        <v>36</v>
      </c>
      <c r="H4" s="10">
        <v>9789836.0</v>
      </c>
      <c r="I4" s="11">
        <v>45361.0</v>
      </c>
      <c r="J4" s="8" t="s">
        <v>37</v>
      </c>
      <c r="K4" s="8" t="s">
        <v>38</v>
      </c>
      <c r="L4" s="16" t="s">
        <v>39</v>
      </c>
      <c r="M4" s="13">
        <v>8.806666666666667</v>
      </c>
    </row>
    <row r="5" ht="15.75" customHeight="1">
      <c r="A5" s="6" t="s">
        <v>13</v>
      </c>
      <c r="B5" s="14" t="s">
        <v>40</v>
      </c>
      <c r="C5" s="15" t="s">
        <v>41</v>
      </c>
      <c r="D5" s="8" t="s">
        <v>42</v>
      </c>
      <c r="E5" s="10">
        <v>5205.0</v>
      </c>
      <c r="F5" s="9" t="s">
        <v>27</v>
      </c>
      <c r="G5" s="8" t="s">
        <v>43</v>
      </c>
      <c r="H5" s="10">
        <v>52234.0</v>
      </c>
      <c r="I5" s="11">
        <v>45361.0</v>
      </c>
      <c r="J5" s="8" t="s">
        <v>44</v>
      </c>
      <c r="K5" s="8" t="s">
        <v>45</v>
      </c>
      <c r="L5" s="12" t="s">
        <v>46</v>
      </c>
      <c r="M5" s="13">
        <v>4.426666666666666</v>
      </c>
    </row>
    <row r="6" ht="15.75" customHeight="1">
      <c r="A6" s="6" t="s">
        <v>13</v>
      </c>
      <c r="B6" s="14" t="s">
        <v>47</v>
      </c>
      <c r="C6" s="7" t="s">
        <v>48</v>
      </c>
      <c r="D6" s="8" t="s">
        <v>49</v>
      </c>
      <c r="E6" s="10">
        <v>52508.0</v>
      </c>
      <c r="F6" s="9" t="s">
        <v>18</v>
      </c>
      <c r="G6" s="8" t="s">
        <v>50</v>
      </c>
      <c r="H6" s="10">
        <v>5313.0</v>
      </c>
      <c r="I6" s="11">
        <v>45361.0</v>
      </c>
      <c r="J6" s="8" t="s">
        <v>51</v>
      </c>
      <c r="K6" s="8" t="s">
        <v>52</v>
      </c>
      <c r="L6" s="12" t="s">
        <v>53</v>
      </c>
      <c r="M6" s="13">
        <v>4.6066666666666665</v>
      </c>
    </row>
    <row r="7" ht="15.75" customHeight="1">
      <c r="A7" s="6" t="s">
        <v>13</v>
      </c>
      <c r="B7" s="14" t="s">
        <v>54</v>
      </c>
      <c r="C7" s="7" t="s">
        <v>55</v>
      </c>
      <c r="D7" s="8" t="s">
        <v>16</v>
      </c>
      <c r="E7" s="8" t="s">
        <v>56</v>
      </c>
      <c r="F7" s="9" t="s">
        <v>18</v>
      </c>
      <c r="G7" s="8" t="s">
        <v>57</v>
      </c>
      <c r="H7" s="10">
        <v>991209.0</v>
      </c>
      <c r="I7" s="11">
        <v>45361.0</v>
      </c>
      <c r="J7" s="8" t="s">
        <v>58</v>
      </c>
      <c r="K7" s="8" t="s">
        <v>59</v>
      </c>
      <c r="L7" s="12" t="s">
        <v>60</v>
      </c>
      <c r="M7" s="13">
        <v>4.4399999999999995</v>
      </c>
    </row>
    <row r="8" ht="15.75" customHeight="1">
      <c r="A8" s="6" t="s">
        <v>13</v>
      </c>
      <c r="B8" s="14" t="s">
        <v>61</v>
      </c>
      <c r="C8" s="7" t="s">
        <v>62</v>
      </c>
      <c r="D8" s="8" t="s">
        <v>63</v>
      </c>
      <c r="E8" s="10">
        <v>53343.0</v>
      </c>
      <c r="F8" s="9" t="s">
        <v>18</v>
      </c>
      <c r="G8" s="8" t="s">
        <v>64</v>
      </c>
      <c r="H8" s="10">
        <v>5432.0</v>
      </c>
      <c r="I8" s="11">
        <v>45361.0</v>
      </c>
      <c r="J8" s="8" t="s">
        <v>65</v>
      </c>
      <c r="K8" s="8" t="s">
        <v>66</v>
      </c>
      <c r="L8" s="12" t="s">
        <v>67</v>
      </c>
      <c r="M8" s="13">
        <v>2.2466666666666666</v>
      </c>
    </row>
    <row r="9" ht="15.75" customHeight="1">
      <c r="A9" s="6" t="s">
        <v>13</v>
      </c>
      <c r="B9" s="14" t="s">
        <v>68</v>
      </c>
      <c r="C9" s="7" t="s">
        <v>69</v>
      </c>
      <c r="D9" s="8" t="s">
        <v>70</v>
      </c>
      <c r="E9" s="10">
        <v>30051.0</v>
      </c>
      <c r="F9" s="9" t="s">
        <v>71</v>
      </c>
      <c r="G9" s="8" t="s">
        <v>72</v>
      </c>
      <c r="H9" s="10">
        <v>30477.0</v>
      </c>
      <c r="I9" s="11">
        <v>45332.0</v>
      </c>
      <c r="J9" s="8" t="s">
        <v>73</v>
      </c>
      <c r="K9" s="8" t="s">
        <v>74</v>
      </c>
      <c r="L9" s="12" t="s">
        <v>75</v>
      </c>
      <c r="M9" s="13">
        <v>11.186666666666667</v>
      </c>
    </row>
    <row r="10" ht="15.75" customHeight="1">
      <c r="A10" s="6" t="s">
        <v>13</v>
      </c>
      <c r="B10" s="14" t="s">
        <v>76</v>
      </c>
      <c r="C10" s="15" t="s">
        <v>77</v>
      </c>
      <c r="D10" s="17">
        <v>518363.0</v>
      </c>
      <c r="E10" s="18" t="s">
        <v>78</v>
      </c>
      <c r="F10" s="19" t="s">
        <v>71</v>
      </c>
      <c r="G10" s="18" t="s">
        <v>79</v>
      </c>
      <c r="H10" s="18" t="s">
        <v>80</v>
      </c>
      <c r="I10" s="20">
        <v>45332.0</v>
      </c>
      <c r="J10" s="18" t="s">
        <v>81</v>
      </c>
      <c r="K10" s="18" t="s">
        <v>82</v>
      </c>
      <c r="L10" s="21" t="s">
        <v>83</v>
      </c>
      <c r="M10" s="13">
        <v>23.96666666666667</v>
      </c>
    </row>
    <row r="11" ht="15.75" customHeight="1">
      <c r="A11" s="22" t="s">
        <v>84</v>
      </c>
      <c r="B11" s="22" t="s">
        <v>85</v>
      </c>
      <c r="C11" s="15" t="s">
        <v>86</v>
      </c>
      <c r="D11" s="23">
        <v>1400.0</v>
      </c>
      <c r="E11" s="24">
        <v>5.3444571E7</v>
      </c>
      <c r="F11" s="19" t="s">
        <v>27</v>
      </c>
      <c r="G11" s="18" t="s">
        <v>87</v>
      </c>
      <c r="H11" s="18" t="s">
        <v>88</v>
      </c>
      <c r="I11" s="20">
        <v>45361.0</v>
      </c>
      <c r="J11" s="23" t="s">
        <v>89</v>
      </c>
      <c r="K11" s="23" t="s">
        <v>90</v>
      </c>
      <c r="L11" s="21" t="s">
        <v>91</v>
      </c>
      <c r="M11" s="13">
        <v>33.333333333333336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D1"/>
    <hyperlink r:id="rId3" ref="E1"/>
    <hyperlink r:id="rId4" ref="F1"/>
    <hyperlink r:id="rId5" ref="H1"/>
    <hyperlink r:id="rId6" ref="I1"/>
    <hyperlink r:id="rId7" ref="J1"/>
    <hyperlink r:id="rId8" ref="L1"/>
    <hyperlink r:id="rId9" ref="C2"/>
    <hyperlink r:id="rId10" ref="C6"/>
    <hyperlink r:id="rId11" ref="C7"/>
    <hyperlink r:id="rId12" ref="C8"/>
    <hyperlink r:id="rId13" ref="C9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38"/>
    <col customWidth="1" min="14" max="14" width="14.63"/>
  </cols>
  <sheetData>
    <row r="1" ht="15.75" customHeight="1">
      <c r="B1" s="22" t="s">
        <v>92</v>
      </c>
      <c r="D1" s="22" t="s">
        <v>93</v>
      </c>
      <c r="E1" s="22">
        <v>2018.0</v>
      </c>
      <c r="F1" s="22">
        <v>6.0</v>
      </c>
      <c r="G1" s="22">
        <v>8.0</v>
      </c>
      <c r="I1" s="22" t="s">
        <v>94</v>
      </c>
      <c r="J1" s="22" t="s">
        <v>95</v>
      </c>
    </row>
    <row r="2" ht="15.75" customHeight="1">
      <c r="B2" s="22" t="s">
        <v>96</v>
      </c>
      <c r="D2" s="22" t="s">
        <v>23</v>
      </c>
      <c r="G2" s="22" t="s">
        <v>97</v>
      </c>
      <c r="H2" s="14">
        <v>-0.05</v>
      </c>
      <c r="I2" s="22" t="s">
        <v>98</v>
      </c>
      <c r="J2" s="22">
        <v>25.0</v>
      </c>
    </row>
    <row r="3" ht="15.75" customHeight="1">
      <c r="B3" s="22" t="s">
        <v>99</v>
      </c>
      <c r="D3" s="22" t="s">
        <v>100</v>
      </c>
      <c r="G3" s="22" t="s">
        <v>101</v>
      </c>
      <c r="I3" s="22" t="s">
        <v>102</v>
      </c>
      <c r="K3" s="22" t="s">
        <v>103</v>
      </c>
      <c r="N3" s="22" t="s">
        <v>98</v>
      </c>
      <c r="O3" s="22">
        <v>25.0</v>
      </c>
    </row>
    <row r="4" ht="15.75" customHeight="1">
      <c r="A4" s="22" t="str">
        <f>IFERROR(__xludf.DUMMYFUNCTION("GOOGLEFINANCE(B$3, ""price"", DATE($E$1, $F$1, $G$1), TODAY(), $J$1)"),"Date")</f>
        <v>Date</v>
      </c>
      <c r="B4" s="22" t="str">
        <f>IFERROR(__xludf.DUMMYFUNCTION("""COMPUTED_VALUE"""),"Close")</f>
        <v>Close</v>
      </c>
      <c r="C4" s="22" t="str">
        <f>IFERROR(__xludf.DUMMYFUNCTION("GOOGLEFINANCE(D$3, ""price"", DATE($E$1, $F$1, $G$1), TODAY(), $J$1)"),"Date")</f>
        <v>Date</v>
      </c>
      <c r="D4" s="22" t="str">
        <f>IFERROR(__xludf.DUMMYFUNCTION("""COMPUTED_VALUE"""),"Close")</f>
        <v>Close</v>
      </c>
      <c r="E4" s="22" t="s">
        <v>104</v>
      </c>
      <c r="F4" s="22" t="str">
        <f>IFERROR(__xludf.DUMMYFUNCTION("GOOGLEFINANCE(G$3, ""price"", DATE($E$1, $F$1, $G$1), TODAY(), $J$1)"),"Date")</f>
        <v>Date</v>
      </c>
      <c r="G4" s="22" t="str">
        <f>IFERROR(__xludf.DUMMYFUNCTION("""COMPUTED_VALUE"""),"Close")</f>
        <v>Close</v>
      </c>
      <c r="H4" s="22" t="str">
        <f>IFERROR(__xludf.DUMMYFUNCTION("GOOGLEFINANCE(I$3, ""price"", DATE($E$1, $F$1, $G$1), TODAY(), $J$1)"),"Date")</f>
        <v>Date</v>
      </c>
      <c r="I4" s="22" t="str">
        <f>IFERROR(__xludf.DUMMYFUNCTION("""COMPUTED_VALUE"""),"Close")</f>
        <v>Close</v>
      </c>
      <c r="J4" s="22" t="str">
        <f>IFERROR(__xludf.DUMMYFUNCTION("GOOGLEFINANCE(K$3, ""price"", DATE($E$1, $F$1, $G$1), TODAY(), $J$1)"),"Date")</f>
        <v>Date</v>
      </c>
      <c r="K4" s="22" t="str">
        <f>IFERROR(__xludf.DUMMYFUNCTION("""COMPUTED_VALUE"""),"Close")</f>
        <v>Close</v>
      </c>
      <c r="L4" s="22"/>
      <c r="M4" s="22" t="s">
        <v>105</v>
      </c>
      <c r="N4" s="22" t="s">
        <v>106</v>
      </c>
    </row>
    <row r="5" ht="15.75" customHeight="1">
      <c r="A5" s="25">
        <f>IFERROR(__xludf.DUMMYFUNCTION("""COMPUTED_VALUE"""),43259.66666666667)</f>
        <v>43259.66667</v>
      </c>
      <c r="B5" s="22">
        <f>IFERROR(__xludf.DUMMYFUNCTION("""COMPUTED_VALUE"""),2779.03)</f>
        <v>2779.03</v>
      </c>
      <c r="C5" s="25">
        <f>IFERROR(__xludf.DUMMYFUNCTION("""COMPUTED_VALUE"""),43259.63611111111)</f>
        <v>43259.63611</v>
      </c>
      <c r="D5" s="22">
        <f>IFERROR(__xludf.DUMMYFUNCTION("""COMPUTED_VALUE"""),12.18)</f>
        <v>12.18</v>
      </c>
      <c r="F5" s="25">
        <f>IFERROR(__xludf.DUMMYFUNCTION("""COMPUTED_VALUE"""),43259.63611111111)</f>
        <v>43259.63611</v>
      </c>
      <c r="G5" s="22">
        <f>IFERROR(__xludf.DUMMYFUNCTION("""COMPUTED_VALUE"""),14.6)</f>
        <v>14.6</v>
      </c>
      <c r="H5" s="25">
        <f>IFERROR(__xludf.DUMMYFUNCTION("""COMPUTED_VALUE"""),43259.63611111111)</f>
        <v>43259.63611</v>
      </c>
      <c r="I5" s="22">
        <f>IFERROR(__xludf.DUMMYFUNCTION("""COMPUTED_VALUE"""),16.13)</f>
        <v>16.13</v>
      </c>
      <c r="J5" s="25">
        <f>IFERROR(__xludf.DUMMYFUNCTION("""COMPUTED_VALUE"""),43259.63611111111)</f>
        <v>43259.63611</v>
      </c>
      <c r="K5" s="22">
        <f>IFERROR(__xludf.DUMMYFUNCTION("""COMPUTED_VALUE"""),17.23)</f>
        <v>17.23</v>
      </c>
      <c r="N5" s="22" t="str">
        <f t="shared" ref="N5:N394" si="1">IF(I5&gt;$O$3,"PREDICT CRASH","")</f>
        <v/>
      </c>
      <c r="O5" s="22" t="str">
        <f>IF(E5&gt;$O$3,"PREDICT CRASH","")</f>
        <v/>
      </c>
    </row>
    <row r="6" ht="15.75" customHeight="1">
      <c r="A6" s="25">
        <f>IFERROR(__xludf.DUMMYFUNCTION("""COMPUTED_VALUE"""),43262.66666666667)</f>
        <v>43262.66667</v>
      </c>
      <c r="B6" s="22">
        <f>IFERROR(__xludf.DUMMYFUNCTION("""COMPUTED_VALUE"""),2782.0)</f>
        <v>2782</v>
      </c>
      <c r="C6" s="25">
        <f>IFERROR(__xludf.DUMMYFUNCTION("""COMPUTED_VALUE"""),43262.63611111111)</f>
        <v>43262.63611</v>
      </c>
      <c r="D6" s="22">
        <f>IFERROR(__xludf.DUMMYFUNCTION("""COMPUTED_VALUE"""),12.35)</f>
        <v>12.35</v>
      </c>
      <c r="E6" s="26">
        <f t="shared" ref="E6:E928" si="2">B6/B5-1</f>
        <v>0.001068718222</v>
      </c>
      <c r="F6" s="25">
        <f>IFERROR(__xludf.DUMMYFUNCTION("""COMPUTED_VALUE"""),43262.63611111111)</f>
        <v>43262.63611</v>
      </c>
      <c r="G6" s="22">
        <f>IFERROR(__xludf.DUMMYFUNCTION("""COMPUTED_VALUE"""),14.55)</f>
        <v>14.55</v>
      </c>
      <c r="H6" s="25">
        <f>IFERROR(__xludf.DUMMYFUNCTION("""COMPUTED_VALUE"""),43262.63611111111)</f>
        <v>43262.63611</v>
      </c>
      <c r="I6" s="22">
        <f>IFERROR(__xludf.DUMMYFUNCTION("""COMPUTED_VALUE"""),16.12)</f>
        <v>16.12</v>
      </c>
      <c r="J6" s="25">
        <f>IFERROR(__xludf.DUMMYFUNCTION("""COMPUTED_VALUE"""),43262.63611111111)</f>
        <v>43262.63611</v>
      </c>
      <c r="K6" s="22">
        <f>IFERROR(__xludf.DUMMYFUNCTION("""COMPUTED_VALUE"""),17.17)</f>
        <v>17.17</v>
      </c>
      <c r="M6" s="22" t="str">
        <f t="shared" ref="M6:M928" si="3">If((E6&lt;$H$2),"CRASH","")</f>
        <v/>
      </c>
      <c r="N6" s="22" t="str">
        <f t="shared" si="1"/>
        <v/>
      </c>
    </row>
    <row r="7" ht="15.75" customHeight="1">
      <c r="A7" s="25">
        <f>IFERROR(__xludf.DUMMYFUNCTION("""COMPUTED_VALUE"""),43263.66666666667)</f>
        <v>43263.66667</v>
      </c>
      <c r="B7" s="22">
        <f>IFERROR(__xludf.DUMMYFUNCTION("""COMPUTED_VALUE"""),2786.85)</f>
        <v>2786.85</v>
      </c>
      <c r="C7" s="25">
        <f>IFERROR(__xludf.DUMMYFUNCTION("""COMPUTED_VALUE"""),43263.63611111111)</f>
        <v>43263.63611</v>
      </c>
      <c r="D7" s="22">
        <f>IFERROR(__xludf.DUMMYFUNCTION("""COMPUTED_VALUE"""),12.34)</f>
        <v>12.34</v>
      </c>
      <c r="E7" s="26">
        <f t="shared" si="2"/>
        <v>0.001743350108</v>
      </c>
      <c r="F7" s="25">
        <f>IFERROR(__xludf.DUMMYFUNCTION("""COMPUTED_VALUE"""),43263.63611111111)</f>
        <v>43263.63611</v>
      </c>
      <c r="G7" s="22">
        <f>IFERROR(__xludf.DUMMYFUNCTION("""COMPUTED_VALUE"""),14.59)</f>
        <v>14.59</v>
      </c>
      <c r="H7" s="25">
        <f>IFERROR(__xludf.DUMMYFUNCTION("""COMPUTED_VALUE"""),43263.63611111111)</f>
        <v>43263.63611</v>
      </c>
      <c r="I7" s="22">
        <f>IFERROR(__xludf.DUMMYFUNCTION("""COMPUTED_VALUE"""),16.17)</f>
        <v>16.17</v>
      </c>
      <c r="J7" s="25">
        <f>IFERROR(__xludf.DUMMYFUNCTION("""COMPUTED_VALUE"""),43263.63611111111)</f>
        <v>43263.63611</v>
      </c>
      <c r="K7" s="22">
        <f>IFERROR(__xludf.DUMMYFUNCTION("""COMPUTED_VALUE"""),17.23)</f>
        <v>17.23</v>
      </c>
      <c r="M7" s="22" t="str">
        <f t="shared" si="3"/>
        <v/>
      </c>
      <c r="N7" s="22" t="str">
        <f t="shared" si="1"/>
        <v/>
      </c>
    </row>
    <row r="8" ht="15.75" customHeight="1">
      <c r="A8" s="25">
        <f>IFERROR(__xludf.DUMMYFUNCTION("""COMPUTED_VALUE"""),43264.66666666667)</f>
        <v>43264.66667</v>
      </c>
      <c r="B8" s="22">
        <f>IFERROR(__xludf.DUMMYFUNCTION("""COMPUTED_VALUE"""),2775.63)</f>
        <v>2775.63</v>
      </c>
      <c r="C8" s="25">
        <f>IFERROR(__xludf.DUMMYFUNCTION("""COMPUTED_VALUE"""),43264.63611111111)</f>
        <v>43264.63611</v>
      </c>
      <c r="D8" s="22">
        <f>IFERROR(__xludf.DUMMYFUNCTION("""COMPUTED_VALUE"""),12.94)</f>
        <v>12.94</v>
      </c>
      <c r="E8" s="26">
        <f t="shared" si="2"/>
        <v>-0.004026050918</v>
      </c>
      <c r="F8" s="25">
        <f>IFERROR(__xludf.DUMMYFUNCTION("""COMPUTED_VALUE"""),43264.63611111111)</f>
        <v>43264.63611</v>
      </c>
      <c r="G8" s="22">
        <f>IFERROR(__xludf.DUMMYFUNCTION("""COMPUTED_VALUE"""),14.92)</f>
        <v>14.92</v>
      </c>
      <c r="H8" s="25">
        <f>IFERROR(__xludf.DUMMYFUNCTION("""COMPUTED_VALUE"""),43264.63611111111)</f>
        <v>43264.63611</v>
      </c>
      <c r="I8" s="22">
        <f>IFERROR(__xludf.DUMMYFUNCTION("""COMPUTED_VALUE"""),16.43)</f>
        <v>16.43</v>
      </c>
      <c r="J8" s="25">
        <f>IFERROR(__xludf.DUMMYFUNCTION("""COMPUTED_VALUE"""),43264.63611111111)</f>
        <v>43264.63611</v>
      </c>
      <c r="K8" s="22">
        <f>IFERROR(__xludf.DUMMYFUNCTION("""COMPUTED_VALUE"""),17.44)</f>
        <v>17.44</v>
      </c>
      <c r="M8" s="22" t="str">
        <f t="shared" si="3"/>
        <v/>
      </c>
      <c r="N8" s="22" t="str">
        <f t="shared" si="1"/>
        <v/>
      </c>
    </row>
    <row r="9" ht="15.75" customHeight="1">
      <c r="A9" s="25">
        <f>IFERROR(__xludf.DUMMYFUNCTION("""COMPUTED_VALUE"""),43265.66666666667)</f>
        <v>43265.66667</v>
      </c>
      <c r="B9" s="22">
        <f>IFERROR(__xludf.DUMMYFUNCTION("""COMPUTED_VALUE"""),2782.49)</f>
        <v>2782.49</v>
      </c>
      <c r="C9" s="25">
        <f>IFERROR(__xludf.DUMMYFUNCTION("""COMPUTED_VALUE"""),43265.63611111111)</f>
        <v>43265.63611</v>
      </c>
      <c r="D9" s="22">
        <f>IFERROR(__xludf.DUMMYFUNCTION("""COMPUTED_VALUE"""),12.12)</f>
        <v>12.12</v>
      </c>
      <c r="E9" s="26">
        <f t="shared" si="2"/>
        <v>0.002471510972</v>
      </c>
      <c r="F9" s="25">
        <f>IFERROR(__xludf.DUMMYFUNCTION("""COMPUTED_VALUE"""),43265.63611111111)</f>
        <v>43265.63611</v>
      </c>
      <c r="G9" s="22">
        <f>IFERROR(__xludf.DUMMYFUNCTION("""COMPUTED_VALUE"""),14.4)</f>
        <v>14.4</v>
      </c>
      <c r="H9" s="25">
        <f>IFERROR(__xludf.DUMMYFUNCTION("""COMPUTED_VALUE"""),43265.63611111111)</f>
        <v>43265.63611</v>
      </c>
      <c r="I9" s="22">
        <f>IFERROR(__xludf.DUMMYFUNCTION("""COMPUTED_VALUE"""),16.09)</f>
        <v>16.09</v>
      </c>
      <c r="J9" s="25">
        <f>IFERROR(__xludf.DUMMYFUNCTION("""COMPUTED_VALUE"""),43265.63611111111)</f>
        <v>43265.63611</v>
      </c>
      <c r="K9" s="22">
        <f>IFERROR(__xludf.DUMMYFUNCTION("""COMPUTED_VALUE"""),17.31)</f>
        <v>17.31</v>
      </c>
      <c r="M9" s="22" t="str">
        <f t="shared" si="3"/>
        <v/>
      </c>
      <c r="N9" s="22" t="str">
        <f t="shared" si="1"/>
        <v/>
      </c>
    </row>
    <row r="10" ht="15.75" customHeight="1">
      <c r="A10" s="25">
        <f>IFERROR(__xludf.DUMMYFUNCTION("""COMPUTED_VALUE"""),43266.66666666667)</f>
        <v>43266.66667</v>
      </c>
      <c r="B10" s="22">
        <f>IFERROR(__xludf.DUMMYFUNCTION("""COMPUTED_VALUE"""),2779.66)</f>
        <v>2779.66</v>
      </c>
      <c r="C10" s="25">
        <f>IFERROR(__xludf.DUMMYFUNCTION("""COMPUTED_VALUE"""),43266.63611111111)</f>
        <v>43266.63611</v>
      </c>
      <c r="D10" s="22">
        <f>IFERROR(__xludf.DUMMYFUNCTION("""COMPUTED_VALUE"""),11.98)</f>
        <v>11.98</v>
      </c>
      <c r="E10" s="26">
        <f t="shared" si="2"/>
        <v>-0.001017074635</v>
      </c>
      <c r="F10" s="25">
        <f>IFERROR(__xludf.DUMMYFUNCTION("""COMPUTED_VALUE"""),43266.63611111111)</f>
        <v>43266.63611</v>
      </c>
      <c r="G10" s="22">
        <f>IFERROR(__xludf.DUMMYFUNCTION("""COMPUTED_VALUE"""),14.42)</f>
        <v>14.42</v>
      </c>
      <c r="H10" s="25">
        <f>IFERROR(__xludf.DUMMYFUNCTION("""COMPUTED_VALUE"""),43266.63611111111)</f>
        <v>43266.63611</v>
      </c>
      <c r="I10" s="22">
        <f>IFERROR(__xludf.DUMMYFUNCTION("""COMPUTED_VALUE"""),16.32)</f>
        <v>16.32</v>
      </c>
      <c r="J10" s="25">
        <f>IFERROR(__xludf.DUMMYFUNCTION("""COMPUTED_VALUE"""),43266.63611111111)</f>
        <v>43266.63611</v>
      </c>
      <c r="K10" s="22">
        <f>IFERROR(__xludf.DUMMYFUNCTION("""COMPUTED_VALUE"""),17.54)</f>
        <v>17.54</v>
      </c>
      <c r="M10" s="22" t="str">
        <f t="shared" si="3"/>
        <v/>
      </c>
      <c r="N10" s="22" t="str">
        <f t="shared" si="1"/>
        <v/>
      </c>
    </row>
    <row r="11" ht="15.75" customHeight="1">
      <c r="A11" s="25">
        <f>IFERROR(__xludf.DUMMYFUNCTION("""COMPUTED_VALUE"""),43269.66666666667)</f>
        <v>43269.66667</v>
      </c>
      <c r="B11" s="22">
        <f>IFERROR(__xludf.DUMMYFUNCTION("""COMPUTED_VALUE"""),2773.75)</f>
        <v>2773.75</v>
      </c>
      <c r="C11" s="25">
        <f>IFERROR(__xludf.DUMMYFUNCTION("""COMPUTED_VALUE"""),43269.63611111111)</f>
        <v>43269.63611</v>
      </c>
      <c r="D11" s="22">
        <f>IFERROR(__xludf.DUMMYFUNCTION("""COMPUTED_VALUE"""),12.31)</f>
        <v>12.31</v>
      </c>
      <c r="E11" s="26">
        <f t="shared" si="2"/>
        <v>-0.002126159314</v>
      </c>
      <c r="F11" s="25">
        <f>IFERROR(__xludf.DUMMYFUNCTION("""COMPUTED_VALUE"""),43269.63611111111)</f>
        <v>43269.63611</v>
      </c>
      <c r="G11" s="22">
        <f>IFERROR(__xludf.DUMMYFUNCTION("""COMPUTED_VALUE"""),14.48)</f>
        <v>14.48</v>
      </c>
      <c r="H11" s="25">
        <f>IFERROR(__xludf.DUMMYFUNCTION("""COMPUTED_VALUE"""),43269.63611111111)</f>
        <v>43269.63611</v>
      </c>
      <c r="I11" s="22">
        <f>IFERROR(__xludf.DUMMYFUNCTION("""COMPUTED_VALUE"""),16.35)</f>
        <v>16.35</v>
      </c>
      <c r="J11" s="25">
        <f>IFERROR(__xludf.DUMMYFUNCTION("""COMPUTED_VALUE"""),43269.63611111111)</f>
        <v>43269.63611</v>
      </c>
      <c r="K11" s="22">
        <f>IFERROR(__xludf.DUMMYFUNCTION("""COMPUTED_VALUE"""),17.61)</f>
        <v>17.61</v>
      </c>
      <c r="M11" s="22" t="str">
        <f t="shared" si="3"/>
        <v/>
      </c>
      <c r="N11" s="22" t="str">
        <f t="shared" si="1"/>
        <v/>
      </c>
    </row>
    <row r="12" ht="15.75" customHeight="1">
      <c r="A12" s="25">
        <f>IFERROR(__xludf.DUMMYFUNCTION("""COMPUTED_VALUE"""),43270.66666666667)</f>
        <v>43270.66667</v>
      </c>
      <c r="B12" s="22">
        <f>IFERROR(__xludf.DUMMYFUNCTION("""COMPUTED_VALUE"""),2762.59)</f>
        <v>2762.59</v>
      </c>
      <c r="C12" s="25">
        <f>IFERROR(__xludf.DUMMYFUNCTION("""COMPUTED_VALUE"""),43270.63611111111)</f>
        <v>43270.63611</v>
      </c>
      <c r="D12" s="22">
        <f>IFERROR(__xludf.DUMMYFUNCTION("""COMPUTED_VALUE"""),13.35)</f>
        <v>13.35</v>
      </c>
      <c r="E12" s="26">
        <f t="shared" si="2"/>
        <v>-0.004023433979</v>
      </c>
      <c r="F12" s="25">
        <f>IFERROR(__xludf.DUMMYFUNCTION("""COMPUTED_VALUE"""),43270.63611111111)</f>
        <v>43270.63611</v>
      </c>
      <c r="G12" s="22">
        <f>IFERROR(__xludf.DUMMYFUNCTION("""COMPUTED_VALUE"""),15.17)</f>
        <v>15.17</v>
      </c>
      <c r="H12" s="25">
        <f>IFERROR(__xludf.DUMMYFUNCTION("""COMPUTED_VALUE"""),43270.63611111111)</f>
        <v>43270.63611</v>
      </c>
      <c r="I12" s="22">
        <f>IFERROR(__xludf.DUMMYFUNCTION("""COMPUTED_VALUE"""),16.89)</f>
        <v>16.89</v>
      </c>
      <c r="J12" s="25">
        <f>IFERROR(__xludf.DUMMYFUNCTION("""COMPUTED_VALUE"""),43270.63611111111)</f>
        <v>43270.63611</v>
      </c>
      <c r="K12" s="22">
        <f>IFERROR(__xludf.DUMMYFUNCTION("""COMPUTED_VALUE"""),18.09)</f>
        <v>18.09</v>
      </c>
      <c r="M12" s="22" t="str">
        <f t="shared" si="3"/>
        <v/>
      </c>
      <c r="N12" s="22" t="str">
        <f t="shared" si="1"/>
        <v/>
      </c>
    </row>
    <row r="13" ht="15.75" customHeight="1">
      <c r="A13" s="25">
        <f>IFERROR(__xludf.DUMMYFUNCTION("""COMPUTED_VALUE"""),43271.66666666667)</f>
        <v>43271.66667</v>
      </c>
      <c r="B13" s="22">
        <f>IFERROR(__xludf.DUMMYFUNCTION("""COMPUTED_VALUE"""),2767.32)</f>
        <v>2767.32</v>
      </c>
      <c r="C13" s="25">
        <f>IFERROR(__xludf.DUMMYFUNCTION("""COMPUTED_VALUE"""),43271.63611111111)</f>
        <v>43271.63611</v>
      </c>
      <c r="D13" s="22">
        <f>IFERROR(__xludf.DUMMYFUNCTION("""COMPUTED_VALUE"""),12.79)</f>
        <v>12.79</v>
      </c>
      <c r="E13" s="26">
        <f t="shared" si="2"/>
        <v>0.001712161414</v>
      </c>
      <c r="F13" s="25">
        <f>IFERROR(__xludf.DUMMYFUNCTION("""COMPUTED_VALUE"""),43271.63611111111)</f>
        <v>43271.63611</v>
      </c>
      <c r="G13" s="22">
        <f>IFERROR(__xludf.DUMMYFUNCTION("""COMPUTED_VALUE"""),14.79)</f>
        <v>14.79</v>
      </c>
      <c r="H13" s="25">
        <f>IFERROR(__xludf.DUMMYFUNCTION("""COMPUTED_VALUE"""),43271.63611111111)</f>
        <v>43271.63611</v>
      </c>
      <c r="I13" s="22">
        <f>IFERROR(__xludf.DUMMYFUNCTION("""COMPUTED_VALUE"""),16.52)</f>
        <v>16.52</v>
      </c>
      <c r="J13" s="25">
        <f>IFERROR(__xludf.DUMMYFUNCTION("""COMPUTED_VALUE"""),43271.63611111111)</f>
        <v>43271.63611</v>
      </c>
      <c r="K13" s="22">
        <f>IFERROR(__xludf.DUMMYFUNCTION("""COMPUTED_VALUE"""),17.77)</f>
        <v>17.77</v>
      </c>
      <c r="M13" s="22" t="str">
        <f t="shared" si="3"/>
        <v/>
      </c>
      <c r="N13" s="22" t="str">
        <f t="shared" si="1"/>
        <v/>
      </c>
    </row>
    <row r="14" ht="15.75" customHeight="1">
      <c r="A14" s="25">
        <f>IFERROR(__xludf.DUMMYFUNCTION("""COMPUTED_VALUE"""),43272.66666666667)</f>
        <v>43272.66667</v>
      </c>
      <c r="B14" s="22">
        <f>IFERROR(__xludf.DUMMYFUNCTION("""COMPUTED_VALUE"""),2749.76)</f>
        <v>2749.76</v>
      </c>
      <c r="C14" s="25">
        <f>IFERROR(__xludf.DUMMYFUNCTION("""COMPUTED_VALUE"""),43272.63611111111)</f>
        <v>43272.63611</v>
      </c>
      <c r="D14" s="22">
        <f>IFERROR(__xludf.DUMMYFUNCTION("""COMPUTED_VALUE"""),14.64)</f>
        <v>14.64</v>
      </c>
      <c r="E14" s="26">
        <f t="shared" si="2"/>
        <v>-0.006345489499</v>
      </c>
      <c r="F14" s="25">
        <f>IFERROR(__xludf.DUMMYFUNCTION("""COMPUTED_VALUE"""),43272.63611111111)</f>
        <v>43272.63611</v>
      </c>
      <c r="G14" s="22">
        <f>IFERROR(__xludf.DUMMYFUNCTION("""COMPUTED_VALUE"""),15.87)</f>
        <v>15.87</v>
      </c>
      <c r="H14" s="25">
        <f>IFERROR(__xludf.DUMMYFUNCTION("""COMPUTED_VALUE"""),43272.63611111111)</f>
        <v>43272.63611</v>
      </c>
      <c r="I14" s="22">
        <f>IFERROR(__xludf.DUMMYFUNCTION("""COMPUTED_VALUE"""),17.2)</f>
        <v>17.2</v>
      </c>
      <c r="J14" s="25">
        <f>IFERROR(__xludf.DUMMYFUNCTION("""COMPUTED_VALUE"""),43272.63611111111)</f>
        <v>43272.63611</v>
      </c>
      <c r="K14" s="22">
        <f>IFERROR(__xludf.DUMMYFUNCTION("""COMPUTED_VALUE"""),18.18)</f>
        <v>18.18</v>
      </c>
      <c r="M14" s="22" t="str">
        <f t="shared" si="3"/>
        <v/>
      </c>
      <c r="N14" s="22" t="str">
        <f t="shared" si="1"/>
        <v/>
      </c>
    </row>
    <row r="15" ht="15.75" customHeight="1">
      <c r="A15" s="25">
        <f>IFERROR(__xludf.DUMMYFUNCTION("""COMPUTED_VALUE"""),43273.66666666667)</f>
        <v>43273.66667</v>
      </c>
      <c r="B15" s="22">
        <f>IFERROR(__xludf.DUMMYFUNCTION("""COMPUTED_VALUE"""),2754.88)</f>
        <v>2754.88</v>
      </c>
      <c r="C15" s="25">
        <f>IFERROR(__xludf.DUMMYFUNCTION("""COMPUTED_VALUE"""),43273.63611111111)</f>
        <v>43273.63611</v>
      </c>
      <c r="D15" s="22">
        <f>IFERROR(__xludf.DUMMYFUNCTION("""COMPUTED_VALUE"""),13.77)</f>
        <v>13.77</v>
      </c>
      <c r="E15" s="26">
        <f t="shared" si="2"/>
        <v>0.001861980682</v>
      </c>
      <c r="F15" s="25">
        <f>IFERROR(__xludf.DUMMYFUNCTION("""COMPUTED_VALUE"""),43273.63611111111)</f>
        <v>43273.63611</v>
      </c>
      <c r="G15" s="22">
        <f>IFERROR(__xludf.DUMMYFUNCTION("""COMPUTED_VALUE"""),15.5)</f>
        <v>15.5</v>
      </c>
      <c r="H15" s="25">
        <f>IFERROR(__xludf.DUMMYFUNCTION("""COMPUTED_VALUE"""),43273.63611111111)</f>
        <v>43273.63611</v>
      </c>
      <c r="I15" s="22">
        <f>IFERROR(__xludf.DUMMYFUNCTION("""COMPUTED_VALUE"""),16.92)</f>
        <v>16.92</v>
      </c>
      <c r="J15" s="25">
        <f>IFERROR(__xludf.DUMMYFUNCTION("""COMPUTED_VALUE"""),43273.63611111111)</f>
        <v>43273.63611</v>
      </c>
      <c r="K15" s="22">
        <f>IFERROR(__xludf.DUMMYFUNCTION("""COMPUTED_VALUE"""),18.12)</f>
        <v>18.12</v>
      </c>
      <c r="M15" s="22" t="str">
        <f t="shared" si="3"/>
        <v/>
      </c>
      <c r="N15" s="22" t="str">
        <f t="shared" si="1"/>
        <v/>
      </c>
    </row>
    <row r="16" ht="15.75" customHeight="1">
      <c r="A16" s="25">
        <f>IFERROR(__xludf.DUMMYFUNCTION("""COMPUTED_VALUE"""),43276.66666666667)</f>
        <v>43276.66667</v>
      </c>
      <c r="B16" s="22">
        <f>IFERROR(__xludf.DUMMYFUNCTION("""COMPUTED_VALUE"""),2717.07)</f>
        <v>2717.07</v>
      </c>
      <c r="C16" s="25">
        <f>IFERROR(__xludf.DUMMYFUNCTION("""COMPUTED_VALUE"""),43276.63611111111)</f>
        <v>43276.63611</v>
      </c>
      <c r="D16" s="22">
        <f>IFERROR(__xludf.DUMMYFUNCTION("""COMPUTED_VALUE"""),17.33)</f>
        <v>17.33</v>
      </c>
      <c r="E16" s="26">
        <f t="shared" si="2"/>
        <v>-0.01372473574</v>
      </c>
      <c r="F16" s="25">
        <f>IFERROR(__xludf.DUMMYFUNCTION("""COMPUTED_VALUE"""),43276.63611111111)</f>
        <v>43276.63611</v>
      </c>
      <c r="G16" s="22">
        <f>IFERROR(__xludf.DUMMYFUNCTION("""COMPUTED_VALUE"""),17.52)</f>
        <v>17.52</v>
      </c>
      <c r="H16" s="25">
        <f>IFERROR(__xludf.DUMMYFUNCTION("""COMPUTED_VALUE"""),43276.63611111111)</f>
        <v>43276.63611</v>
      </c>
      <c r="I16" s="22">
        <f>IFERROR(__xludf.DUMMYFUNCTION("""COMPUTED_VALUE"""),18.27)</f>
        <v>18.27</v>
      </c>
      <c r="J16" s="25">
        <f>IFERROR(__xludf.DUMMYFUNCTION("""COMPUTED_VALUE"""),43276.63611111111)</f>
        <v>43276.63611</v>
      </c>
      <c r="K16" s="22">
        <f>IFERROR(__xludf.DUMMYFUNCTION("""COMPUTED_VALUE"""),18.87)</f>
        <v>18.87</v>
      </c>
      <c r="M16" s="22" t="str">
        <f t="shared" si="3"/>
        <v/>
      </c>
      <c r="N16" s="22" t="str">
        <f t="shared" si="1"/>
        <v/>
      </c>
    </row>
    <row r="17" ht="15.75" customHeight="1">
      <c r="A17" s="25">
        <f>IFERROR(__xludf.DUMMYFUNCTION("""COMPUTED_VALUE"""),43277.66666666667)</f>
        <v>43277.66667</v>
      </c>
      <c r="B17" s="22">
        <f>IFERROR(__xludf.DUMMYFUNCTION("""COMPUTED_VALUE"""),2723.06)</f>
        <v>2723.06</v>
      </c>
      <c r="C17" s="25">
        <f>IFERROR(__xludf.DUMMYFUNCTION("""COMPUTED_VALUE"""),43277.63611111111)</f>
        <v>43277.63611</v>
      </c>
      <c r="D17" s="22">
        <f>IFERROR(__xludf.DUMMYFUNCTION("""COMPUTED_VALUE"""),15.92)</f>
        <v>15.92</v>
      </c>
      <c r="E17" s="26">
        <f t="shared" si="2"/>
        <v>0.00220458067</v>
      </c>
      <c r="F17" s="25">
        <f>IFERROR(__xludf.DUMMYFUNCTION("""COMPUTED_VALUE"""),43277.63611111111)</f>
        <v>43277.63611</v>
      </c>
      <c r="G17" s="22">
        <f>IFERROR(__xludf.DUMMYFUNCTION("""COMPUTED_VALUE"""),16.87)</f>
        <v>16.87</v>
      </c>
      <c r="H17" s="25">
        <f>IFERROR(__xludf.DUMMYFUNCTION("""COMPUTED_VALUE"""),43277.63611111111)</f>
        <v>43277.63611</v>
      </c>
      <c r="I17" s="22">
        <f>IFERROR(__xludf.DUMMYFUNCTION("""COMPUTED_VALUE"""),17.79)</f>
        <v>17.79</v>
      </c>
      <c r="J17" s="25">
        <f>IFERROR(__xludf.DUMMYFUNCTION("""COMPUTED_VALUE"""),43277.63611111111)</f>
        <v>43277.63611</v>
      </c>
      <c r="K17" s="22">
        <f>IFERROR(__xludf.DUMMYFUNCTION("""COMPUTED_VALUE"""),18.49)</f>
        <v>18.49</v>
      </c>
      <c r="M17" s="22" t="str">
        <f t="shared" si="3"/>
        <v/>
      </c>
      <c r="N17" s="22" t="str">
        <f t="shared" si="1"/>
        <v/>
      </c>
    </row>
    <row r="18" ht="15.75" customHeight="1">
      <c r="A18" s="25">
        <f>IFERROR(__xludf.DUMMYFUNCTION("""COMPUTED_VALUE"""),43278.66666666667)</f>
        <v>43278.66667</v>
      </c>
      <c r="B18" s="22">
        <f>IFERROR(__xludf.DUMMYFUNCTION("""COMPUTED_VALUE"""),2699.63)</f>
        <v>2699.63</v>
      </c>
      <c r="C18" s="25">
        <f>IFERROR(__xludf.DUMMYFUNCTION("""COMPUTED_VALUE"""),43278.63611111111)</f>
        <v>43278.63611</v>
      </c>
      <c r="D18" s="22">
        <f>IFERROR(__xludf.DUMMYFUNCTION("""COMPUTED_VALUE"""),17.91)</f>
        <v>17.91</v>
      </c>
      <c r="E18" s="26">
        <f t="shared" si="2"/>
        <v>-0.008604290761</v>
      </c>
      <c r="F18" s="25">
        <f>IFERROR(__xludf.DUMMYFUNCTION("""COMPUTED_VALUE"""),43278.63611111111)</f>
        <v>43278.63611</v>
      </c>
      <c r="G18" s="22">
        <f>IFERROR(__xludf.DUMMYFUNCTION("""COMPUTED_VALUE"""),18.05)</f>
        <v>18.05</v>
      </c>
      <c r="H18" s="25">
        <f>IFERROR(__xludf.DUMMYFUNCTION("""COMPUTED_VALUE"""),43278.63611111111)</f>
        <v>43278.63611</v>
      </c>
      <c r="I18" s="22">
        <f>IFERROR(__xludf.DUMMYFUNCTION("""COMPUTED_VALUE"""),18.66)</f>
        <v>18.66</v>
      </c>
      <c r="J18" s="25">
        <f>IFERROR(__xludf.DUMMYFUNCTION("""COMPUTED_VALUE"""),43278.63611111111)</f>
        <v>43278.63611</v>
      </c>
      <c r="K18" s="22">
        <f>IFERROR(__xludf.DUMMYFUNCTION("""COMPUTED_VALUE"""),18.99)</f>
        <v>18.99</v>
      </c>
      <c r="M18" s="22" t="str">
        <f t="shared" si="3"/>
        <v/>
      </c>
      <c r="N18" s="22" t="str">
        <f t="shared" si="1"/>
        <v/>
      </c>
    </row>
    <row r="19" ht="15.75" customHeight="1">
      <c r="A19" s="25">
        <f>IFERROR(__xludf.DUMMYFUNCTION("""COMPUTED_VALUE"""),43279.66666666667)</f>
        <v>43279.66667</v>
      </c>
      <c r="B19" s="22">
        <f>IFERROR(__xludf.DUMMYFUNCTION("""COMPUTED_VALUE"""),2716.31)</f>
        <v>2716.31</v>
      </c>
      <c r="C19" s="25">
        <f>IFERROR(__xludf.DUMMYFUNCTION("""COMPUTED_VALUE"""),43279.63611111111)</f>
        <v>43279.63611</v>
      </c>
      <c r="D19" s="22">
        <f>IFERROR(__xludf.DUMMYFUNCTION("""COMPUTED_VALUE"""),16.85)</f>
        <v>16.85</v>
      </c>
      <c r="E19" s="26">
        <f t="shared" si="2"/>
        <v>0.006178624478</v>
      </c>
      <c r="F19" s="25">
        <f>IFERROR(__xludf.DUMMYFUNCTION("""COMPUTED_VALUE"""),43279.63611111111)</f>
        <v>43279.63611</v>
      </c>
      <c r="G19" s="22">
        <f>IFERROR(__xludf.DUMMYFUNCTION("""COMPUTED_VALUE"""),17.52)</f>
        <v>17.52</v>
      </c>
      <c r="H19" s="25">
        <f>IFERROR(__xludf.DUMMYFUNCTION("""COMPUTED_VALUE"""),43279.63611111111)</f>
        <v>43279.63611</v>
      </c>
      <c r="I19" s="22">
        <f>IFERROR(__xludf.DUMMYFUNCTION("""COMPUTED_VALUE"""),18.29)</f>
        <v>18.29</v>
      </c>
      <c r="J19" s="25">
        <f>IFERROR(__xludf.DUMMYFUNCTION("""COMPUTED_VALUE"""),43279.63611111111)</f>
        <v>43279.63611</v>
      </c>
      <c r="K19" s="22">
        <f>IFERROR(__xludf.DUMMYFUNCTION("""COMPUTED_VALUE"""),18.78)</f>
        <v>18.78</v>
      </c>
      <c r="M19" s="22" t="str">
        <f t="shared" si="3"/>
        <v/>
      </c>
      <c r="N19" s="22" t="str">
        <f t="shared" si="1"/>
        <v/>
      </c>
    </row>
    <row r="20" ht="15.75" customHeight="1">
      <c r="A20" s="25">
        <f>IFERROR(__xludf.DUMMYFUNCTION("""COMPUTED_VALUE"""),43280.66666666667)</f>
        <v>43280.66667</v>
      </c>
      <c r="B20" s="22">
        <f>IFERROR(__xludf.DUMMYFUNCTION("""COMPUTED_VALUE"""),2718.37)</f>
        <v>2718.37</v>
      </c>
      <c r="C20" s="25">
        <f>IFERROR(__xludf.DUMMYFUNCTION("""COMPUTED_VALUE"""),43280.63611111111)</f>
        <v>43280.63611</v>
      </c>
      <c r="D20" s="22">
        <f>IFERROR(__xludf.DUMMYFUNCTION("""COMPUTED_VALUE"""),16.09)</f>
        <v>16.09</v>
      </c>
      <c r="E20" s="26">
        <f t="shared" si="2"/>
        <v>0.0007583817753</v>
      </c>
      <c r="F20" s="25">
        <f>IFERROR(__xludf.DUMMYFUNCTION("""COMPUTED_VALUE"""),43280.63611111111)</f>
        <v>43280.63611</v>
      </c>
      <c r="G20" s="22">
        <f>IFERROR(__xludf.DUMMYFUNCTION("""COMPUTED_VALUE"""),17.14)</f>
        <v>17.14</v>
      </c>
      <c r="H20" s="25">
        <f>IFERROR(__xludf.DUMMYFUNCTION("""COMPUTED_VALUE"""),43280.63611111111)</f>
        <v>43280.63611</v>
      </c>
      <c r="I20" s="22">
        <f>IFERROR(__xludf.DUMMYFUNCTION("""COMPUTED_VALUE"""),18.09)</f>
        <v>18.09</v>
      </c>
      <c r="J20" s="25">
        <f>IFERROR(__xludf.DUMMYFUNCTION("""COMPUTED_VALUE"""),43280.63611111111)</f>
        <v>43280.63611</v>
      </c>
      <c r="K20" s="22">
        <f>IFERROR(__xludf.DUMMYFUNCTION("""COMPUTED_VALUE"""),18.67)</f>
        <v>18.67</v>
      </c>
      <c r="M20" s="22" t="str">
        <f t="shared" si="3"/>
        <v/>
      </c>
      <c r="N20" s="22" t="str">
        <f t="shared" si="1"/>
        <v/>
      </c>
    </row>
    <row r="21" ht="15.75" customHeight="1">
      <c r="A21" s="25">
        <f>IFERROR(__xludf.DUMMYFUNCTION("""COMPUTED_VALUE"""),43283.66666666667)</f>
        <v>43283.66667</v>
      </c>
      <c r="B21" s="22">
        <f>IFERROR(__xludf.DUMMYFUNCTION("""COMPUTED_VALUE"""),2726.71)</f>
        <v>2726.71</v>
      </c>
      <c r="C21" s="25">
        <f>IFERROR(__xludf.DUMMYFUNCTION("""COMPUTED_VALUE"""),43283.63611111111)</f>
        <v>43283.63611</v>
      </c>
      <c r="D21" s="22">
        <f>IFERROR(__xludf.DUMMYFUNCTION("""COMPUTED_VALUE"""),15.6)</f>
        <v>15.6</v>
      </c>
      <c r="E21" s="26">
        <f t="shared" si="2"/>
        <v>0.003068015024</v>
      </c>
      <c r="F21" s="25">
        <f>IFERROR(__xludf.DUMMYFUNCTION("""COMPUTED_VALUE"""),43283.63611111111)</f>
        <v>43283.63611</v>
      </c>
      <c r="G21" s="22">
        <f>IFERROR(__xludf.DUMMYFUNCTION("""COMPUTED_VALUE"""),16.95)</f>
        <v>16.95</v>
      </c>
      <c r="H21" s="25">
        <f>IFERROR(__xludf.DUMMYFUNCTION("""COMPUTED_VALUE"""),43283.63611111111)</f>
        <v>43283.63611</v>
      </c>
      <c r="I21" s="22">
        <f>IFERROR(__xludf.DUMMYFUNCTION("""COMPUTED_VALUE"""),17.97)</f>
        <v>17.97</v>
      </c>
      <c r="J21" s="25">
        <f>IFERROR(__xludf.DUMMYFUNCTION("""COMPUTED_VALUE"""),43283.63611111111)</f>
        <v>43283.63611</v>
      </c>
      <c r="K21" s="22">
        <f>IFERROR(__xludf.DUMMYFUNCTION("""COMPUTED_VALUE"""),18.65)</f>
        <v>18.65</v>
      </c>
      <c r="M21" s="22" t="str">
        <f t="shared" si="3"/>
        <v/>
      </c>
      <c r="N21" s="22" t="str">
        <f t="shared" si="1"/>
        <v/>
      </c>
    </row>
    <row r="22" ht="15.75" customHeight="1">
      <c r="A22" s="25">
        <f>IFERROR(__xludf.DUMMYFUNCTION("""COMPUTED_VALUE"""),43284.54166666667)</f>
        <v>43284.54167</v>
      </c>
      <c r="B22" s="22">
        <f>IFERROR(__xludf.DUMMYFUNCTION("""COMPUTED_VALUE"""),2713.22)</f>
        <v>2713.22</v>
      </c>
      <c r="C22" s="25">
        <f>IFERROR(__xludf.DUMMYFUNCTION("""COMPUTED_VALUE"""),43284.54166666667)</f>
        <v>43284.54167</v>
      </c>
      <c r="D22" s="22">
        <f>IFERROR(__xludf.DUMMYFUNCTION("""COMPUTED_VALUE"""),16.14)</f>
        <v>16.14</v>
      </c>
      <c r="E22" s="26">
        <f t="shared" si="2"/>
        <v>-0.004947354137</v>
      </c>
      <c r="F22" s="25">
        <f>IFERROR(__xludf.DUMMYFUNCTION("""COMPUTED_VALUE"""),43284.54166666667)</f>
        <v>43284.54167</v>
      </c>
      <c r="G22" s="22">
        <f>IFERROR(__xludf.DUMMYFUNCTION("""COMPUTED_VALUE"""),17.35)</f>
        <v>17.35</v>
      </c>
      <c r="H22" s="25">
        <f>IFERROR(__xludf.DUMMYFUNCTION("""COMPUTED_VALUE"""),43284.54166666667)</f>
        <v>43284.54167</v>
      </c>
      <c r="I22" s="22">
        <f>IFERROR(__xludf.DUMMYFUNCTION("""COMPUTED_VALUE"""),18.23)</f>
        <v>18.23</v>
      </c>
      <c r="J22" s="25">
        <f>IFERROR(__xludf.DUMMYFUNCTION("""COMPUTED_VALUE"""),43284.54166666667)</f>
        <v>43284.54167</v>
      </c>
      <c r="K22" s="22">
        <f>IFERROR(__xludf.DUMMYFUNCTION("""COMPUTED_VALUE"""),18.82)</f>
        <v>18.82</v>
      </c>
      <c r="M22" s="22" t="str">
        <f t="shared" si="3"/>
        <v/>
      </c>
      <c r="N22" s="22" t="str">
        <f t="shared" si="1"/>
        <v/>
      </c>
    </row>
    <row r="23" ht="15.75" customHeight="1">
      <c r="A23" s="25">
        <f>IFERROR(__xludf.DUMMYFUNCTION("""COMPUTED_VALUE"""),43286.66666666667)</f>
        <v>43286.66667</v>
      </c>
      <c r="B23" s="22">
        <f>IFERROR(__xludf.DUMMYFUNCTION("""COMPUTED_VALUE"""),2736.61)</f>
        <v>2736.61</v>
      </c>
      <c r="C23" s="25">
        <f>IFERROR(__xludf.DUMMYFUNCTION("""COMPUTED_VALUE"""),43286.63611111111)</f>
        <v>43286.63611</v>
      </c>
      <c r="D23" s="22">
        <f>IFERROR(__xludf.DUMMYFUNCTION("""COMPUTED_VALUE"""),14.97)</f>
        <v>14.97</v>
      </c>
      <c r="E23" s="26">
        <f t="shared" si="2"/>
        <v>0.008620753201</v>
      </c>
      <c r="F23" s="25">
        <f>IFERROR(__xludf.DUMMYFUNCTION("""COMPUTED_VALUE"""),43286.63611111111)</f>
        <v>43286.63611</v>
      </c>
      <c r="G23" s="22">
        <f>IFERROR(__xludf.DUMMYFUNCTION("""COMPUTED_VALUE"""),16.53)</f>
        <v>16.53</v>
      </c>
      <c r="H23" s="25">
        <f>IFERROR(__xludf.DUMMYFUNCTION("""COMPUTED_VALUE"""),43286.63611111111)</f>
        <v>43286.63611</v>
      </c>
      <c r="I23" s="22">
        <f>IFERROR(__xludf.DUMMYFUNCTION("""COMPUTED_VALUE"""),17.63)</f>
        <v>17.63</v>
      </c>
      <c r="J23" s="25">
        <f>IFERROR(__xludf.DUMMYFUNCTION("""COMPUTED_VALUE"""),43286.63611111111)</f>
        <v>43286.63611</v>
      </c>
      <c r="K23" s="22">
        <f>IFERROR(__xludf.DUMMYFUNCTION("""COMPUTED_VALUE"""),18.35)</f>
        <v>18.35</v>
      </c>
      <c r="M23" s="22" t="str">
        <f t="shared" si="3"/>
        <v/>
      </c>
      <c r="N23" s="22" t="str">
        <f t="shared" si="1"/>
        <v/>
      </c>
    </row>
    <row r="24" ht="15.75" customHeight="1">
      <c r="A24" s="25">
        <f>IFERROR(__xludf.DUMMYFUNCTION("""COMPUTED_VALUE"""),43287.66666666667)</f>
        <v>43287.66667</v>
      </c>
      <c r="B24" s="22">
        <f>IFERROR(__xludf.DUMMYFUNCTION("""COMPUTED_VALUE"""),2759.82)</f>
        <v>2759.82</v>
      </c>
      <c r="C24" s="25">
        <f>IFERROR(__xludf.DUMMYFUNCTION("""COMPUTED_VALUE"""),43287.63611111111)</f>
        <v>43287.63611</v>
      </c>
      <c r="D24" s="22">
        <f>IFERROR(__xludf.DUMMYFUNCTION("""COMPUTED_VALUE"""),13.37)</f>
        <v>13.37</v>
      </c>
      <c r="E24" s="26">
        <f t="shared" si="2"/>
        <v>0.008481296202</v>
      </c>
      <c r="F24" s="25">
        <f>IFERROR(__xludf.DUMMYFUNCTION("""COMPUTED_VALUE"""),43287.63611111111)</f>
        <v>43287.63611</v>
      </c>
      <c r="G24" s="22">
        <f>IFERROR(__xludf.DUMMYFUNCTION("""COMPUTED_VALUE"""),15.71)</f>
        <v>15.71</v>
      </c>
      <c r="H24" s="25">
        <f>IFERROR(__xludf.DUMMYFUNCTION("""COMPUTED_VALUE"""),43287.63611111111)</f>
        <v>43287.63611</v>
      </c>
      <c r="I24" s="22">
        <f>IFERROR(__xludf.DUMMYFUNCTION("""COMPUTED_VALUE"""),17.07)</f>
        <v>17.07</v>
      </c>
      <c r="J24" s="25">
        <f>IFERROR(__xludf.DUMMYFUNCTION("""COMPUTED_VALUE"""),43287.63611111111)</f>
        <v>43287.63611</v>
      </c>
      <c r="K24" s="22">
        <f>IFERROR(__xludf.DUMMYFUNCTION("""COMPUTED_VALUE"""),18.0)</f>
        <v>18</v>
      </c>
      <c r="M24" s="22" t="str">
        <f t="shared" si="3"/>
        <v/>
      </c>
      <c r="N24" s="22" t="str">
        <f t="shared" si="1"/>
        <v/>
      </c>
    </row>
    <row r="25" ht="15.75" customHeight="1">
      <c r="A25" s="25">
        <f>IFERROR(__xludf.DUMMYFUNCTION("""COMPUTED_VALUE"""),43290.66666666667)</f>
        <v>43290.66667</v>
      </c>
      <c r="B25" s="22">
        <f>IFERROR(__xludf.DUMMYFUNCTION("""COMPUTED_VALUE"""),2784.17)</f>
        <v>2784.17</v>
      </c>
      <c r="C25" s="25">
        <f>IFERROR(__xludf.DUMMYFUNCTION("""COMPUTED_VALUE"""),43290.63611111111)</f>
        <v>43290.63611</v>
      </c>
      <c r="D25" s="22">
        <f>IFERROR(__xludf.DUMMYFUNCTION("""COMPUTED_VALUE"""),12.69)</f>
        <v>12.69</v>
      </c>
      <c r="E25" s="26">
        <f t="shared" si="2"/>
        <v>0.008823039184</v>
      </c>
      <c r="F25" s="25">
        <f>IFERROR(__xludf.DUMMYFUNCTION("""COMPUTED_VALUE"""),43290.63611111111)</f>
        <v>43290.63611</v>
      </c>
      <c r="G25" s="22">
        <f>IFERROR(__xludf.DUMMYFUNCTION("""COMPUTED_VALUE"""),14.87)</f>
        <v>14.87</v>
      </c>
      <c r="H25" s="25">
        <f>IFERROR(__xludf.DUMMYFUNCTION("""COMPUTED_VALUE"""),43290.63611111111)</f>
        <v>43290.63611</v>
      </c>
      <c r="I25" s="22">
        <f>IFERROR(__xludf.DUMMYFUNCTION("""COMPUTED_VALUE"""),16.29)</f>
        <v>16.29</v>
      </c>
      <c r="J25" s="25">
        <f>IFERROR(__xludf.DUMMYFUNCTION("""COMPUTED_VALUE"""),43290.63611111111)</f>
        <v>43290.63611</v>
      </c>
      <c r="K25" s="22">
        <f>IFERROR(__xludf.DUMMYFUNCTION("""COMPUTED_VALUE"""),17.4)</f>
        <v>17.4</v>
      </c>
      <c r="M25" s="22" t="str">
        <f t="shared" si="3"/>
        <v/>
      </c>
      <c r="N25" s="22" t="str">
        <f t="shared" si="1"/>
        <v/>
      </c>
    </row>
    <row r="26" ht="15.75" customHeight="1">
      <c r="A26" s="25">
        <f>IFERROR(__xludf.DUMMYFUNCTION("""COMPUTED_VALUE"""),43291.66666666667)</f>
        <v>43291.66667</v>
      </c>
      <c r="B26" s="22">
        <f>IFERROR(__xludf.DUMMYFUNCTION("""COMPUTED_VALUE"""),2793.84)</f>
        <v>2793.84</v>
      </c>
      <c r="C26" s="25">
        <f>IFERROR(__xludf.DUMMYFUNCTION("""COMPUTED_VALUE"""),43291.63611111111)</f>
        <v>43291.63611</v>
      </c>
      <c r="D26" s="22">
        <f>IFERROR(__xludf.DUMMYFUNCTION("""COMPUTED_VALUE"""),12.64)</f>
        <v>12.64</v>
      </c>
      <c r="E26" s="26">
        <f t="shared" si="2"/>
        <v>0.003473207455</v>
      </c>
      <c r="F26" s="25">
        <f>IFERROR(__xludf.DUMMYFUNCTION("""COMPUTED_VALUE"""),43291.63611111111)</f>
        <v>43291.63611</v>
      </c>
      <c r="G26" s="22">
        <f>IFERROR(__xludf.DUMMYFUNCTION("""COMPUTED_VALUE"""),14.71)</f>
        <v>14.71</v>
      </c>
      <c r="H26" s="25">
        <f>IFERROR(__xludf.DUMMYFUNCTION("""COMPUTED_VALUE"""),43291.63611111111)</f>
        <v>43291.63611</v>
      </c>
      <c r="I26" s="22">
        <f>IFERROR(__xludf.DUMMYFUNCTION("""COMPUTED_VALUE"""),16.11)</f>
        <v>16.11</v>
      </c>
      <c r="J26" s="25">
        <f>IFERROR(__xludf.DUMMYFUNCTION("""COMPUTED_VALUE"""),43291.63611111111)</f>
        <v>43291.63611</v>
      </c>
      <c r="K26" s="22">
        <f>IFERROR(__xludf.DUMMYFUNCTION("""COMPUTED_VALUE"""),17.23)</f>
        <v>17.23</v>
      </c>
      <c r="M26" s="22" t="str">
        <f t="shared" si="3"/>
        <v/>
      </c>
      <c r="N26" s="22" t="str">
        <f t="shared" si="1"/>
        <v/>
      </c>
    </row>
    <row r="27" ht="15.75" customHeight="1">
      <c r="A27" s="25">
        <f>IFERROR(__xludf.DUMMYFUNCTION("""COMPUTED_VALUE"""),43292.66666666667)</f>
        <v>43292.66667</v>
      </c>
      <c r="B27" s="22">
        <f>IFERROR(__xludf.DUMMYFUNCTION("""COMPUTED_VALUE"""),2774.02)</f>
        <v>2774.02</v>
      </c>
      <c r="C27" s="25">
        <f>IFERROR(__xludf.DUMMYFUNCTION("""COMPUTED_VALUE"""),43292.63611111111)</f>
        <v>43292.63611</v>
      </c>
      <c r="D27" s="22">
        <f>IFERROR(__xludf.DUMMYFUNCTION("""COMPUTED_VALUE"""),13.63)</f>
        <v>13.63</v>
      </c>
      <c r="E27" s="26">
        <f t="shared" si="2"/>
        <v>-0.007094178622</v>
      </c>
      <c r="F27" s="25">
        <f>IFERROR(__xludf.DUMMYFUNCTION("""COMPUTED_VALUE"""),43292.63611111111)</f>
        <v>43292.63611</v>
      </c>
      <c r="G27" s="22">
        <f>IFERROR(__xludf.DUMMYFUNCTION("""COMPUTED_VALUE"""),15.38)</f>
        <v>15.38</v>
      </c>
      <c r="H27" s="25">
        <f>IFERROR(__xludf.DUMMYFUNCTION("""COMPUTED_VALUE"""),43292.63611111111)</f>
        <v>43292.63611</v>
      </c>
      <c r="I27" s="22">
        <f>IFERROR(__xludf.DUMMYFUNCTION("""COMPUTED_VALUE"""),16.54)</f>
        <v>16.54</v>
      </c>
      <c r="J27" s="25">
        <f>IFERROR(__xludf.DUMMYFUNCTION("""COMPUTED_VALUE"""),43292.63611111111)</f>
        <v>43292.63611</v>
      </c>
      <c r="K27" s="22">
        <f>IFERROR(__xludf.DUMMYFUNCTION("""COMPUTED_VALUE"""),17.46)</f>
        <v>17.46</v>
      </c>
      <c r="M27" s="22" t="str">
        <f t="shared" si="3"/>
        <v/>
      </c>
      <c r="N27" s="22" t="str">
        <f t="shared" si="1"/>
        <v/>
      </c>
    </row>
    <row r="28" ht="15.75" customHeight="1">
      <c r="A28" s="25">
        <f>IFERROR(__xludf.DUMMYFUNCTION("""COMPUTED_VALUE"""),43293.66666666667)</f>
        <v>43293.66667</v>
      </c>
      <c r="B28" s="22">
        <f>IFERROR(__xludf.DUMMYFUNCTION("""COMPUTED_VALUE"""),2798.29)</f>
        <v>2798.29</v>
      </c>
      <c r="C28" s="25">
        <f>IFERROR(__xludf.DUMMYFUNCTION("""COMPUTED_VALUE"""),43293.63611111111)</f>
        <v>43293.63611</v>
      </c>
      <c r="D28" s="22">
        <f>IFERROR(__xludf.DUMMYFUNCTION("""COMPUTED_VALUE"""),12.58)</f>
        <v>12.58</v>
      </c>
      <c r="E28" s="26">
        <f t="shared" si="2"/>
        <v>0.008749035695</v>
      </c>
      <c r="F28" s="25">
        <f>IFERROR(__xludf.DUMMYFUNCTION("""COMPUTED_VALUE"""),43293.63611111111)</f>
        <v>43293.63611</v>
      </c>
      <c r="G28" s="22">
        <f>IFERROR(__xludf.DUMMYFUNCTION("""COMPUTED_VALUE"""),14.76)</f>
        <v>14.76</v>
      </c>
      <c r="H28" s="25">
        <f>IFERROR(__xludf.DUMMYFUNCTION("""COMPUTED_VALUE"""),43293.63611111111)</f>
        <v>43293.63611</v>
      </c>
      <c r="I28" s="22">
        <f>IFERROR(__xludf.DUMMYFUNCTION("""COMPUTED_VALUE"""),16.1)</f>
        <v>16.1</v>
      </c>
      <c r="J28" s="25">
        <f>IFERROR(__xludf.DUMMYFUNCTION("""COMPUTED_VALUE"""),43293.63611111111)</f>
        <v>43293.63611</v>
      </c>
      <c r="K28" s="22">
        <f>IFERROR(__xludf.DUMMYFUNCTION("""COMPUTED_VALUE"""),17.22)</f>
        <v>17.22</v>
      </c>
      <c r="M28" s="22" t="str">
        <f t="shared" si="3"/>
        <v/>
      </c>
      <c r="N28" s="22" t="str">
        <f t="shared" si="1"/>
        <v/>
      </c>
    </row>
    <row r="29" ht="15.75" customHeight="1">
      <c r="A29" s="25">
        <f>IFERROR(__xludf.DUMMYFUNCTION("""COMPUTED_VALUE"""),43294.66666666667)</f>
        <v>43294.66667</v>
      </c>
      <c r="B29" s="22">
        <f>IFERROR(__xludf.DUMMYFUNCTION("""COMPUTED_VALUE"""),2801.31)</f>
        <v>2801.31</v>
      </c>
      <c r="C29" s="25">
        <f>IFERROR(__xludf.DUMMYFUNCTION("""COMPUTED_VALUE"""),43294.63611111111)</f>
        <v>43294.63611</v>
      </c>
      <c r="D29" s="22">
        <f>IFERROR(__xludf.DUMMYFUNCTION("""COMPUTED_VALUE"""),12.18)</f>
        <v>12.18</v>
      </c>
      <c r="E29" s="26">
        <f t="shared" si="2"/>
        <v>0.00107923053</v>
      </c>
      <c r="F29" s="25">
        <f>IFERROR(__xludf.DUMMYFUNCTION("""COMPUTED_VALUE"""),43294.63611111111)</f>
        <v>43294.63611</v>
      </c>
      <c r="G29" s="22">
        <f>IFERROR(__xludf.DUMMYFUNCTION("""COMPUTED_VALUE"""),14.54)</f>
        <v>14.54</v>
      </c>
      <c r="H29" s="25">
        <f>IFERROR(__xludf.DUMMYFUNCTION("""COMPUTED_VALUE"""),43294.63611111111)</f>
        <v>43294.63611</v>
      </c>
      <c r="I29" s="22">
        <f>IFERROR(__xludf.DUMMYFUNCTION("""COMPUTED_VALUE"""),15.9)</f>
        <v>15.9</v>
      </c>
      <c r="J29" s="25">
        <f>IFERROR(__xludf.DUMMYFUNCTION("""COMPUTED_VALUE"""),43294.63611111111)</f>
        <v>43294.63611</v>
      </c>
      <c r="K29" s="22">
        <f>IFERROR(__xludf.DUMMYFUNCTION("""COMPUTED_VALUE"""),17.11)</f>
        <v>17.11</v>
      </c>
      <c r="M29" s="22" t="str">
        <f t="shared" si="3"/>
        <v/>
      </c>
      <c r="N29" s="22" t="str">
        <f t="shared" si="1"/>
        <v/>
      </c>
    </row>
    <row r="30" ht="15.75" customHeight="1">
      <c r="A30" s="25">
        <f>IFERROR(__xludf.DUMMYFUNCTION("""COMPUTED_VALUE"""),43297.66666666667)</f>
        <v>43297.66667</v>
      </c>
      <c r="B30" s="22">
        <f>IFERROR(__xludf.DUMMYFUNCTION("""COMPUTED_VALUE"""),2798.43)</f>
        <v>2798.43</v>
      </c>
      <c r="C30" s="25">
        <f>IFERROR(__xludf.DUMMYFUNCTION("""COMPUTED_VALUE"""),43297.63611111111)</f>
        <v>43297.63611</v>
      </c>
      <c r="D30" s="22">
        <f>IFERROR(__xludf.DUMMYFUNCTION("""COMPUTED_VALUE"""),12.83)</f>
        <v>12.83</v>
      </c>
      <c r="E30" s="26">
        <f t="shared" si="2"/>
        <v>-0.001028090429</v>
      </c>
      <c r="F30" s="25">
        <f>IFERROR(__xludf.DUMMYFUNCTION("""COMPUTED_VALUE"""),43297.63611111111)</f>
        <v>43297.63611</v>
      </c>
      <c r="G30" s="22">
        <f>IFERROR(__xludf.DUMMYFUNCTION("""COMPUTED_VALUE"""),14.85)</f>
        <v>14.85</v>
      </c>
      <c r="H30" s="25">
        <f>IFERROR(__xludf.DUMMYFUNCTION("""COMPUTED_VALUE"""),43297.63611111111)</f>
        <v>43297.63611</v>
      </c>
      <c r="I30" s="22">
        <f>IFERROR(__xludf.DUMMYFUNCTION("""COMPUTED_VALUE"""),16.1)</f>
        <v>16.1</v>
      </c>
      <c r="J30" s="25">
        <f>IFERROR(__xludf.DUMMYFUNCTION("""COMPUTED_VALUE"""),43297.63611111111)</f>
        <v>43297.63611</v>
      </c>
      <c r="K30" s="22">
        <f>IFERROR(__xludf.DUMMYFUNCTION("""COMPUTED_VALUE"""),17.21)</f>
        <v>17.21</v>
      </c>
      <c r="M30" s="22" t="str">
        <f t="shared" si="3"/>
        <v/>
      </c>
      <c r="N30" s="22" t="str">
        <f t="shared" si="1"/>
        <v/>
      </c>
    </row>
    <row r="31" ht="15.75" customHeight="1">
      <c r="A31" s="25">
        <f>IFERROR(__xludf.DUMMYFUNCTION("""COMPUTED_VALUE"""),43298.66666666667)</f>
        <v>43298.66667</v>
      </c>
      <c r="B31" s="22">
        <f>IFERROR(__xludf.DUMMYFUNCTION("""COMPUTED_VALUE"""),2809.55)</f>
        <v>2809.55</v>
      </c>
      <c r="C31" s="25">
        <f>IFERROR(__xludf.DUMMYFUNCTION("""COMPUTED_VALUE"""),43298.63611111111)</f>
        <v>43298.63611</v>
      </c>
      <c r="D31" s="22">
        <f>IFERROR(__xludf.DUMMYFUNCTION("""COMPUTED_VALUE"""),12.06)</f>
        <v>12.06</v>
      </c>
      <c r="E31" s="26">
        <f t="shared" si="2"/>
        <v>0.003973656657</v>
      </c>
      <c r="F31" s="25">
        <f>IFERROR(__xludf.DUMMYFUNCTION("""COMPUTED_VALUE"""),43298.63611111111)</f>
        <v>43298.63611</v>
      </c>
      <c r="G31" s="22">
        <f>IFERROR(__xludf.DUMMYFUNCTION("""COMPUTED_VALUE"""),14.4)</f>
        <v>14.4</v>
      </c>
      <c r="H31" s="25">
        <f>IFERROR(__xludf.DUMMYFUNCTION("""COMPUTED_VALUE"""),43298.63611111111)</f>
        <v>43298.63611</v>
      </c>
      <c r="I31" s="22">
        <f>IFERROR(__xludf.DUMMYFUNCTION("""COMPUTED_VALUE"""),15.83)</f>
        <v>15.83</v>
      </c>
      <c r="J31" s="25">
        <f>IFERROR(__xludf.DUMMYFUNCTION("""COMPUTED_VALUE"""),43298.63611111111)</f>
        <v>43298.63611</v>
      </c>
      <c r="K31" s="22">
        <f>IFERROR(__xludf.DUMMYFUNCTION("""COMPUTED_VALUE"""),17.14)</f>
        <v>17.14</v>
      </c>
      <c r="M31" s="22" t="str">
        <f t="shared" si="3"/>
        <v/>
      </c>
      <c r="N31" s="22" t="str">
        <f t="shared" si="1"/>
        <v/>
      </c>
    </row>
    <row r="32" ht="15.75" customHeight="1">
      <c r="A32" s="25">
        <f>IFERROR(__xludf.DUMMYFUNCTION("""COMPUTED_VALUE"""),43299.66666666667)</f>
        <v>43299.66667</v>
      </c>
      <c r="B32" s="22">
        <f>IFERROR(__xludf.DUMMYFUNCTION("""COMPUTED_VALUE"""),2815.62)</f>
        <v>2815.62</v>
      </c>
      <c r="C32" s="25">
        <f>IFERROR(__xludf.DUMMYFUNCTION("""COMPUTED_VALUE"""),43299.63611111111)</f>
        <v>43299.63611</v>
      </c>
      <c r="D32" s="22">
        <f>IFERROR(__xludf.DUMMYFUNCTION("""COMPUTED_VALUE"""),12.1)</f>
        <v>12.1</v>
      </c>
      <c r="E32" s="26">
        <f t="shared" si="2"/>
        <v>0.002160488334</v>
      </c>
      <c r="F32" s="25">
        <f>IFERROR(__xludf.DUMMYFUNCTION("""COMPUTED_VALUE"""),43299.63611111111)</f>
        <v>43299.63611</v>
      </c>
      <c r="G32" s="22">
        <f>IFERROR(__xludf.DUMMYFUNCTION("""COMPUTED_VALUE"""),14.39)</f>
        <v>14.39</v>
      </c>
      <c r="H32" s="25">
        <f>IFERROR(__xludf.DUMMYFUNCTION("""COMPUTED_VALUE"""),43299.63611111111)</f>
        <v>43299.63611</v>
      </c>
      <c r="I32" s="22">
        <f>IFERROR(__xludf.DUMMYFUNCTION("""COMPUTED_VALUE"""),15.88)</f>
        <v>15.88</v>
      </c>
      <c r="J32" s="25">
        <f>IFERROR(__xludf.DUMMYFUNCTION("""COMPUTED_VALUE"""),43299.63611111111)</f>
        <v>43299.63611</v>
      </c>
      <c r="K32" s="22">
        <f>IFERROR(__xludf.DUMMYFUNCTION("""COMPUTED_VALUE"""),17.17)</f>
        <v>17.17</v>
      </c>
      <c r="M32" s="22" t="str">
        <f t="shared" si="3"/>
        <v/>
      </c>
      <c r="N32" s="22" t="str">
        <f t="shared" si="1"/>
        <v/>
      </c>
    </row>
    <row r="33" ht="15.75" customHeight="1">
      <c r="A33" s="25">
        <f>IFERROR(__xludf.DUMMYFUNCTION("""COMPUTED_VALUE"""),43300.66666666667)</f>
        <v>43300.66667</v>
      </c>
      <c r="B33" s="22">
        <f>IFERROR(__xludf.DUMMYFUNCTION("""COMPUTED_VALUE"""),2804.49)</f>
        <v>2804.49</v>
      </c>
      <c r="C33" s="25">
        <f>IFERROR(__xludf.DUMMYFUNCTION("""COMPUTED_VALUE"""),43300.63611111111)</f>
        <v>43300.63611</v>
      </c>
      <c r="D33" s="22">
        <f>IFERROR(__xludf.DUMMYFUNCTION("""COMPUTED_VALUE"""),12.87)</f>
        <v>12.87</v>
      </c>
      <c r="E33" s="26">
        <f t="shared" si="2"/>
        <v>-0.003952948196</v>
      </c>
      <c r="F33" s="25">
        <f>IFERROR(__xludf.DUMMYFUNCTION("""COMPUTED_VALUE"""),43300.63611111111)</f>
        <v>43300.63611</v>
      </c>
      <c r="G33" s="22">
        <f>IFERROR(__xludf.DUMMYFUNCTION("""COMPUTED_VALUE"""),14.97)</f>
        <v>14.97</v>
      </c>
      <c r="H33" s="25">
        <f>IFERROR(__xludf.DUMMYFUNCTION("""COMPUTED_VALUE"""),43300.63611111111)</f>
        <v>43300.63611</v>
      </c>
      <c r="I33" s="22">
        <f>IFERROR(__xludf.DUMMYFUNCTION("""COMPUTED_VALUE"""),16.22)</f>
        <v>16.22</v>
      </c>
      <c r="J33" s="25">
        <f>IFERROR(__xludf.DUMMYFUNCTION("""COMPUTED_VALUE"""),43300.63611111111)</f>
        <v>43300.63611</v>
      </c>
      <c r="K33" s="22">
        <f>IFERROR(__xludf.DUMMYFUNCTION("""COMPUTED_VALUE"""),17.41)</f>
        <v>17.41</v>
      </c>
      <c r="M33" s="22" t="str">
        <f t="shared" si="3"/>
        <v/>
      </c>
      <c r="N33" s="22" t="str">
        <f t="shared" si="1"/>
        <v/>
      </c>
    </row>
    <row r="34" ht="15.75" customHeight="1">
      <c r="A34" s="25">
        <f>IFERROR(__xludf.DUMMYFUNCTION("""COMPUTED_VALUE"""),43301.66666666667)</f>
        <v>43301.66667</v>
      </c>
      <c r="B34" s="22">
        <f>IFERROR(__xludf.DUMMYFUNCTION("""COMPUTED_VALUE"""),2801.83)</f>
        <v>2801.83</v>
      </c>
      <c r="C34" s="25">
        <f>IFERROR(__xludf.DUMMYFUNCTION("""COMPUTED_VALUE"""),43301.63611111111)</f>
        <v>43301.63611</v>
      </c>
      <c r="D34" s="22">
        <f>IFERROR(__xludf.DUMMYFUNCTION("""COMPUTED_VALUE"""),12.86)</f>
        <v>12.86</v>
      </c>
      <c r="E34" s="26">
        <f t="shared" si="2"/>
        <v>-0.0009484790461</v>
      </c>
      <c r="F34" s="25">
        <f>IFERROR(__xludf.DUMMYFUNCTION("""COMPUTED_VALUE"""),43301.63611111111)</f>
        <v>43301.63611</v>
      </c>
      <c r="G34" s="22">
        <f>IFERROR(__xludf.DUMMYFUNCTION("""COMPUTED_VALUE"""),15.08)</f>
        <v>15.08</v>
      </c>
      <c r="H34" s="25">
        <f>IFERROR(__xludf.DUMMYFUNCTION("""COMPUTED_VALUE"""),43301.63611111111)</f>
        <v>43301.63611</v>
      </c>
      <c r="I34" s="22">
        <f>IFERROR(__xludf.DUMMYFUNCTION("""COMPUTED_VALUE"""),16.41)</f>
        <v>16.41</v>
      </c>
      <c r="J34" s="25">
        <f>IFERROR(__xludf.DUMMYFUNCTION("""COMPUTED_VALUE"""),43301.63611111111)</f>
        <v>43301.63611</v>
      </c>
      <c r="K34" s="22">
        <f>IFERROR(__xludf.DUMMYFUNCTION("""COMPUTED_VALUE"""),17.62)</f>
        <v>17.62</v>
      </c>
      <c r="M34" s="22" t="str">
        <f t="shared" si="3"/>
        <v/>
      </c>
      <c r="N34" s="22" t="str">
        <f t="shared" si="1"/>
        <v/>
      </c>
    </row>
    <row r="35" ht="15.75" customHeight="1">
      <c r="A35" s="25">
        <f>IFERROR(__xludf.DUMMYFUNCTION("""COMPUTED_VALUE"""),43304.66666666667)</f>
        <v>43304.66667</v>
      </c>
      <c r="B35" s="22">
        <f>IFERROR(__xludf.DUMMYFUNCTION("""COMPUTED_VALUE"""),2806.98)</f>
        <v>2806.98</v>
      </c>
      <c r="C35" s="25">
        <f>IFERROR(__xludf.DUMMYFUNCTION("""COMPUTED_VALUE"""),43304.63611111111)</f>
        <v>43304.63611</v>
      </c>
      <c r="D35" s="22">
        <f>IFERROR(__xludf.DUMMYFUNCTION("""COMPUTED_VALUE"""),12.62)</f>
        <v>12.62</v>
      </c>
      <c r="E35" s="26">
        <f t="shared" si="2"/>
        <v>0.001838084395</v>
      </c>
      <c r="F35" s="25">
        <f>IFERROR(__xludf.DUMMYFUNCTION("""COMPUTED_VALUE"""),43304.63611111111)</f>
        <v>43304.63611</v>
      </c>
      <c r="G35" s="22">
        <f>IFERROR(__xludf.DUMMYFUNCTION("""COMPUTED_VALUE"""),14.86)</f>
        <v>14.86</v>
      </c>
      <c r="H35" s="25">
        <f>IFERROR(__xludf.DUMMYFUNCTION("""COMPUTED_VALUE"""),43304.63611111111)</f>
        <v>43304.63611</v>
      </c>
      <c r="I35" s="22">
        <f>IFERROR(__xludf.DUMMYFUNCTION("""COMPUTED_VALUE"""),16.24)</f>
        <v>16.24</v>
      </c>
      <c r="J35" s="25">
        <f>IFERROR(__xludf.DUMMYFUNCTION("""COMPUTED_VALUE"""),43304.63611111111)</f>
        <v>43304.63611</v>
      </c>
      <c r="K35" s="22">
        <f>IFERROR(__xludf.DUMMYFUNCTION("""COMPUTED_VALUE"""),17.45)</f>
        <v>17.45</v>
      </c>
      <c r="M35" s="22" t="str">
        <f t="shared" si="3"/>
        <v/>
      </c>
      <c r="N35" s="22" t="str">
        <f t="shared" si="1"/>
        <v/>
      </c>
    </row>
    <row r="36" ht="15.75" customHeight="1">
      <c r="A36" s="25">
        <f>IFERROR(__xludf.DUMMYFUNCTION("""COMPUTED_VALUE"""),43305.66666666667)</f>
        <v>43305.66667</v>
      </c>
      <c r="B36" s="22">
        <f>IFERROR(__xludf.DUMMYFUNCTION("""COMPUTED_VALUE"""),2820.4)</f>
        <v>2820.4</v>
      </c>
      <c r="C36" s="25">
        <f>IFERROR(__xludf.DUMMYFUNCTION("""COMPUTED_VALUE"""),43305.63611111111)</f>
        <v>43305.63611</v>
      </c>
      <c r="D36" s="22">
        <f>IFERROR(__xludf.DUMMYFUNCTION("""COMPUTED_VALUE"""),12.41)</f>
        <v>12.41</v>
      </c>
      <c r="E36" s="26">
        <f t="shared" si="2"/>
        <v>0.004780938945</v>
      </c>
      <c r="F36" s="25">
        <f>IFERROR(__xludf.DUMMYFUNCTION("""COMPUTED_VALUE"""),43305.63611111111)</f>
        <v>43305.63611</v>
      </c>
      <c r="G36" s="22">
        <f>IFERROR(__xludf.DUMMYFUNCTION("""COMPUTED_VALUE"""),14.7)</f>
        <v>14.7</v>
      </c>
      <c r="H36" s="25">
        <f>IFERROR(__xludf.DUMMYFUNCTION("""COMPUTED_VALUE"""),43305.63611111111)</f>
        <v>43305.63611</v>
      </c>
      <c r="I36" s="22">
        <f>IFERROR(__xludf.DUMMYFUNCTION("""COMPUTED_VALUE"""),16.09)</f>
        <v>16.09</v>
      </c>
      <c r="J36" s="25">
        <f>IFERROR(__xludf.DUMMYFUNCTION("""COMPUTED_VALUE"""),43305.63611111111)</f>
        <v>43305.63611</v>
      </c>
      <c r="K36" s="22">
        <f>IFERROR(__xludf.DUMMYFUNCTION("""COMPUTED_VALUE"""),17.33)</f>
        <v>17.33</v>
      </c>
      <c r="M36" s="22" t="str">
        <f t="shared" si="3"/>
        <v/>
      </c>
      <c r="N36" s="22" t="str">
        <f t="shared" si="1"/>
        <v/>
      </c>
    </row>
    <row r="37" ht="15.75" customHeight="1">
      <c r="A37" s="25">
        <f>IFERROR(__xludf.DUMMYFUNCTION("""COMPUTED_VALUE"""),43306.66666666667)</f>
        <v>43306.66667</v>
      </c>
      <c r="B37" s="22">
        <f>IFERROR(__xludf.DUMMYFUNCTION("""COMPUTED_VALUE"""),2846.07)</f>
        <v>2846.07</v>
      </c>
      <c r="C37" s="25">
        <f>IFERROR(__xludf.DUMMYFUNCTION("""COMPUTED_VALUE"""),43306.63611111111)</f>
        <v>43306.63611</v>
      </c>
      <c r="D37" s="22">
        <f>IFERROR(__xludf.DUMMYFUNCTION("""COMPUTED_VALUE"""),12.29)</f>
        <v>12.29</v>
      </c>
      <c r="E37" s="26">
        <f t="shared" si="2"/>
        <v>0.00910154588</v>
      </c>
      <c r="F37" s="25">
        <f>IFERROR(__xludf.DUMMYFUNCTION("""COMPUTED_VALUE"""),43306.63611111111)</f>
        <v>43306.63611</v>
      </c>
      <c r="G37" s="22">
        <f>IFERROR(__xludf.DUMMYFUNCTION("""COMPUTED_VALUE"""),14.55)</f>
        <v>14.55</v>
      </c>
      <c r="H37" s="25">
        <f>IFERROR(__xludf.DUMMYFUNCTION("""COMPUTED_VALUE"""),43306.63611111111)</f>
        <v>43306.63611</v>
      </c>
      <c r="I37" s="22">
        <f>IFERROR(__xludf.DUMMYFUNCTION("""COMPUTED_VALUE"""),15.89)</f>
        <v>15.89</v>
      </c>
      <c r="J37" s="25">
        <f>IFERROR(__xludf.DUMMYFUNCTION("""COMPUTED_VALUE"""),43306.63611111111)</f>
        <v>43306.63611</v>
      </c>
      <c r="K37" s="22">
        <f>IFERROR(__xludf.DUMMYFUNCTION("""COMPUTED_VALUE"""),17.14)</f>
        <v>17.14</v>
      </c>
      <c r="M37" s="22" t="str">
        <f t="shared" si="3"/>
        <v/>
      </c>
      <c r="N37" s="22" t="str">
        <f t="shared" si="1"/>
        <v/>
      </c>
    </row>
    <row r="38" ht="15.75" customHeight="1">
      <c r="A38" s="25">
        <f>IFERROR(__xludf.DUMMYFUNCTION("""COMPUTED_VALUE"""),43307.66666666667)</f>
        <v>43307.66667</v>
      </c>
      <c r="B38" s="22">
        <f>IFERROR(__xludf.DUMMYFUNCTION("""COMPUTED_VALUE"""),2837.44)</f>
        <v>2837.44</v>
      </c>
      <c r="C38" s="25">
        <f>IFERROR(__xludf.DUMMYFUNCTION("""COMPUTED_VALUE"""),43307.63611111111)</f>
        <v>43307.63611</v>
      </c>
      <c r="D38" s="22">
        <f>IFERROR(__xludf.DUMMYFUNCTION("""COMPUTED_VALUE"""),12.14)</f>
        <v>12.14</v>
      </c>
      <c r="E38" s="26">
        <f t="shared" si="2"/>
        <v>-0.003032251491</v>
      </c>
      <c r="F38" s="25">
        <f>IFERROR(__xludf.DUMMYFUNCTION("""COMPUTED_VALUE"""),43307.63611111111)</f>
        <v>43307.63611</v>
      </c>
      <c r="G38" s="22">
        <f>IFERROR(__xludf.DUMMYFUNCTION("""COMPUTED_VALUE"""),14.4)</f>
        <v>14.4</v>
      </c>
      <c r="H38" s="25">
        <f>IFERROR(__xludf.DUMMYFUNCTION("""COMPUTED_VALUE"""),43307.63611111111)</f>
        <v>43307.63611</v>
      </c>
      <c r="I38" s="22">
        <f>IFERROR(__xludf.DUMMYFUNCTION("""COMPUTED_VALUE"""),15.87)</f>
        <v>15.87</v>
      </c>
      <c r="J38" s="25">
        <f>IFERROR(__xludf.DUMMYFUNCTION("""COMPUTED_VALUE"""),43307.63611111111)</f>
        <v>43307.63611</v>
      </c>
      <c r="K38" s="22">
        <f>IFERROR(__xludf.DUMMYFUNCTION("""COMPUTED_VALUE"""),17.18)</f>
        <v>17.18</v>
      </c>
      <c r="M38" s="22" t="str">
        <f t="shared" si="3"/>
        <v/>
      </c>
      <c r="N38" s="22" t="str">
        <f t="shared" si="1"/>
        <v/>
      </c>
    </row>
    <row r="39" ht="15.75" customHeight="1">
      <c r="A39" s="25">
        <f>IFERROR(__xludf.DUMMYFUNCTION("""COMPUTED_VALUE"""),43308.66666666667)</f>
        <v>43308.66667</v>
      </c>
      <c r="B39" s="22">
        <f>IFERROR(__xludf.DUMMYFUNCTION("""COMPUTED_VALUE"""),2818.82)</f>
        <v>2818.82</v>
      </c>
      <c r="C39" s="25">
        <f>IFERROR(__xludf.DUMMYFUNCTION("""COMPUTED_VALUE"""),43308.63611111111)</f>
        <v>43308.63611</v>
      </c>
      <c r="D39" s="22">
        <f>IFERROR(__xludf.DUMMYFUNCTION("""COMPUTED_VALUE"""),13.03)</f>
        <v>13.03</v>
      </c>
      <c r="E39" s="26">
        <f t="shared" si="2"/>
        <v>-0.006562253299</v>
      </c>
      <c r="F39" s="25">
        <f>IFERROR(__xludf.DUMMYFUNCTION("""COMPUTED_VALUE"""),43308.63611111111)</f>
        <v>43308.63611</v>
      </c>
      <c r="G39" s="22">
        <f>IFERROR(__xludf.DUMMYFUNCTION("""COMPUTED_VALUE"""),15.0)</f>
        <v>15</v>
      </c>
      <c r="H39" s="25">
        <f>IFERROR(__xludf.DUMMYFUNCTION("""COMPUTED_VALUE"""),43308.63611111111)</f>
        <v>43308.63611</v>
      </c>
      <c r="I39" s="22">
        <f>IFERROR(__xludf.DUMMYFUNCTION("""COMPUTED_VALUE"""),16.22)</f>
        <v>16.22</v>
      </c>
      <c r="J39" s="25">
        <f>IFERROR(__xludf.DUMMYFUNCTION("""COMPUTED_VALUE"""),43308.63611111111)</f>
        <v>43308.63611</v>
      </c>
      <c r="K39" s="22">
        <f>IFERROR(__xludf.DUMMYFUNCTION("""COMPUTED_VALUE"""),17.33)</f>
        <v>17.33</v>
      </c>
      <c r="M39" s="22" t="str">
        <f t="shared" si="3"/>
        <v/>
      </c>
      <c r="N39" s="22" t="str">
        <f t="shared" si="1"/>
        <v/>
      </c>
    </row>
    <row r="40" ht="15.75" customHeight="1">
      <c r="A40" s="25">
        <f>IFERROR(__xludf.DUMMYFUNCTION("""COMPUTED_VALUE"""),43311.66666666667)</f>
        <v>43311.66667</v>
      </c>
      <c r="B40" s="22">
        <f>IFERROR(__xludf.DUMMYFUNCTION("""COMPUTED_VALUE"""),2802.6)</f>
        <v>2802.6</v>
      </c>
      <c r="C40" s="25">
        <f>IFERROR(__xludf.DUMMYFUNCTION("""COMPUTED_VALUE"""),43311.63611111111)</f>
        <v>43311.63611</v>
      </c>
      <c r="D40" s="22">
        <f>IFERROR(__xludf.DUMMYFUNCTION("""COMPUTED_VALUE"""),14.26)</f>
        <v>14.26</v>
      </c>
      <c r="E40" s="26">
        <f t="shared" si="2"/>
        <v>-0.005754180827</v>
      </c>
      <c r="F40" s="25">
        <f>IFERROR(__xludf.DUMMYFUNCTION("""COMPUTED_VALUE"""),43311.63611111111)</f>
        <v>43311.63611</v>
      </c>
      <c r="G40" s="22">
        <f>IFERROR(__xludf.DUMMYFUNCTION("""COMPUTED_VALUE"""),15.66)</f>
        <v>15.66</v>
      </c>
      <c r="H40" s="25">
        <f>IFERROR(__xludf.DUMMYFUNCTION("""COMPUTED_VALUE"""),43311.63611111111)</f>
        <v>43311.63611</v>
      </c>
      <c r="I40" s="22">
        <f>IFERROR(__xludf.DUMMYFUNCTION("""COMPUTED_VALUE"""),16.68)</f>
        <v>16.68</v>
      </c>
      <c r="J40" s="25">
        <f>IFERROR(__xludf.DUMMYFUNCTION("""COMPUTED_VALUE"""),43311.63611111111)</f>
        <v>43311.63611</v>
      </c>
      <c r="K40" s="22">
        <f>IFERROR(__xludf.DUMMYFUNCTION("""COMPUTED_VALUE"""),17.66)</f>
        <v>17.66</v>
      </c>
      <c r="M40" s="22" t="str">
        <f t="shared" si="3"/>
        <v/>
      </c>
      <c r="N40" s="22" t="str">
        <f t="shared" si="1"/>
        <v/>
      </c>
    </row>
    <row r="41" ht="15.75" customHeight="1">
      <c r="A41" s="25">
        <f>IFERROR(__xludf.DUMMYFUNCTION("""COMPUTED_VALUE"""),43312.66666666667)</f>
        <v>43312.66667</v>
      </c>
      <c r="B41" s="22">
        <f>IFERROR(__xludf.DUMMYFUNCTION("""COMPUTED_VALUE"""),2816.29)</f>
        <v>2816.29</v>
      </c>
      <c r="C41" s="25">
        <f>IFERROR(__xludf.DUMMYFUNCTION("""COMPUTED_VALUE"""),43312.63611111111)</f>
        <v>43312.63611</v>
      </c>
      <c r="D41" s="22">
        <f>IFERROR(__xludf.DUMMYFUNCTION("""COMPUTED_VALUE"""),12.83)</f>
        <v>12.83</v>
      </c>
      <c r="E41" s="26">
        <f t="shared" si="2"/>
        <v>0.004884749875</v>
      </c>
      <c r="F41" s="25">
        <f>IFERROR(__xludf.DUMMYFUNCTION("""COMPUTED_VALUE"""),43312.63611111111)</f>
        <v>43312.63611</v>
      </c>
      <c r="G41" s="22">
        <f>IFERROR(__xludf.DUMMYFUNCTION("""COMPUTED_VALUE"""),14.87)</f>
        <v>14.87</v>
      </c>
      <c r="H41" s="25">
        <f>IFERROR(__xludf.DUMMYFUNCTION("""COMPUTED_VALUE"""),43312.63611111111)</f>
        <v>43312.63611</v>
      </c>
      <c r="I41" s="22">
        <f>IFERROR(__xludf.DUMMYFUNCTION("""COMPUTED_VALUE"""),16.21)</f>
        <v>16.21</v>
      </c>
      <c r="J41" s="25">
        <f>IFERROR(__xludf.DUMMYFUNCTION("""COMPUTED_VALUE"""),43312.63611111111)</f>
        <v>43312.63611</v>
      </c>
      <c r="K41" s="22">
        <f>IFERROR(__xludf.DUMMYFUNCTION("""COMPUTED_VALUE"""),17.42)</f>
        <v>17.42</v>
      </c>
      <c r="M41" s="22" t="str">
        <f t="shared" si="3"/>
        <v/>
      </c>
      <c r="N41" s="22" t="str">
        <f t="shared" si="1"/>
        <v/>
      </c>
    </row>
    <row r="42" ht="15.75" customHeight="1">
      <c r="A42" s="25">
        <f>IFERROR(__xludf.DUMMYFUNCTION("""COMPUTED_VALUE"""),43313.66666666667)</f>
        <v>43313.66667</v>
      </c>
      <c r="B42" s="22">
        <f>IFERROR(__xludf.DUMMYFUNCTION("""COMPUTED_VALUE"""),2813.36)</f>
        <v>2813.36</v>
      </c>
      <c r="C42" s="25">
        <f>IFERROR(__xludf.DUMMYFUNCTION("""COMPUTED_VALUE"""),43313.63611111111)</f>
        <v>43313.63611</v>
      </c>
      <c r="D42" s="22">
        <f>IFERROR(__xludf.DUMMYFUNCTION("""COMPUTED_VALUE"""),13.15)</f>
        <v>13.15</v>
      </c>
      <c r="E42" s="26">
        <f t="shared" si="2"/>
        <v>-0.001040375814</v>
      </c>
      <c r="F42" s="25">
        <f>IFERROR(__xludf.DUMMYFUNCTION("""COMPUTED_VALUE"""),43313.63611111111)</f>
        <v>43313.63611</v>
      </c>
      <c r="G42" s="22">
        <f>IFERROR(__xludf.DUMMYFUNCTION("""COMPUTED_VALUE"""),15.22)</f>
        <v>15.22</v>
      </c>
      <c r="H42" s="25">
        <f>IFERROR(__xludf.DUMMYFUNCTION("""COMPUTED_VALUE"""),43313.63611111111)</f>
        <v>43313.63611</v>
      </c>
      <c r="I42" s="22">
        <f>IFERROR(__xludf.DUMMYFUNCTION("""COMPUTED_VALUE"""),16.41)</f>
        <v>16.41</v>
      </c>
      <c r="J42" s="25">
        <f>IFERROR(__xludf.DUMMYFUNCTION("""COMPUTED_VALUE"""),43313.63611111111)</f>
        <v>43313.63611</v>
      </c>
      <c r="K42" s="22">
        <f>IFERROR(__xludf.DUMMYFUNCTION("""COMPUTED_VALUE"""),17.59)</f>
        <v>17.59</v>
      </c>
      <c r="M42" s="22" t="str">
        <f t="shared" si="3"/>
        <v/>
      </c>
      <c r="N42" s="22" t="str">
        <f t="shared" si="1"/>
        <v/>
      </c>
    </row>
    <row r="43" ht="15.75" customHeight="1">
      <c r="A43" s="25">
        <f>IFERROR(__xludf.DUMMYFUNCTION("""COMPUTED_VALUE"""),43314.66666666667)</f>
        <v>43314.66667</v>
      </c>
      <c r="B43" s="22">
        <f>IFERROR(__xludf.DUMMYFUNCTION("""COMPUTED_VALUE"""),2827.22)</f>
        <v>2827.22</v>
      </c>
      <c r="C43" s="25">
        <f>IFERROR(__xludf.DUMMYFUNCTION("""COMPUTED_VALUE"""),43314.63611111111)</f>
        <v>43314.63611</v>
      </c>
      <c r="D43" s="22">
        <f>IFERROR(__xludf.DUMMYFUNCTION("""COMPUTED_VALUE"""),12.19)</f>
        <v>12.19</v>
      </c>
      <c r="E43" s="26">
        <f t="shared" si="2"/>
        <v>0.004926493588</v>
      </c>
      <c r="F43" s="25">
        <f>IFERROR(__xludf.DUMMYFUNCTION("""COMPUTED_VALUE"""),43314.63611111111)</f>
        <v>43314.63611</v>
      </c>
      <c r="G43" s="22">
        <f>IFERROR(__xludf.DUMMYFUNCTION("""COMPUTED_VALUE"""),14.76)</f>
        <v>14.76</v>
      </c>
      <c r="H43" s="25">
        <f>IFERROR(__xludf.DUMMYFUNCTION("""COMPUTED_VALUE"""),43314.63611111111)</f>
        <v>43314.63611</v>
      </c>
      <c r="I43" s="22">
        <f>IFERROR(__xludf.DUMMYFUNCTION("""COMPUTED_VALUE"""),16.08)</f>
        <v>16.08</v>
      </c>
      <c r="J43" s="25">
        <f>IFERROR(__xludf.DUMMYFUNCTION("""COMPUTED_VALUE"""),43314.63611111111)</f>
        <v>43314.63611</v>
      </c>
      <c r="K43" s="22">
        <f>IFERROR(__xludf.DUMMYFUNCTION("""COMPUTED_VALUE"""),17.34)</f>
        <v>17.34</v>
      </c>
      <c r="M43" s="22" t="str">
        <f t="shared" si="3"/>
        <v/>
      </c>
      <c r="N43" s="22" t="str">
        <f t="shared" si="1"/>
        <v/>
      </c>
    </row>
    <row r="44" ht="15.75" customHeight="1">
      <c r="A44" s="25">
        <f>IFERROR(__xludf.DUMMYFUNCTION("""COMPUTED_VALUE"""),43315.66666666667)</f>
        <v>43315.66667</v>
      </c>
      <c r="B44" s="22">
        <f>IFERROR(__xludf.DUMMYFUNCTION("""COMPUTED_VALUE"""),2840.35)</f>
        <v>2840.35</v>
      </c>
      <c r="C44" s="25">
        <f>IFERROR(__xludf.DUMMYFUNCTION("""COMPUTED_VALUE"""),43315.63611111111)</f>
        <v>43315.63611</v>
      </c>
      <c r="D44" s="22">
        <f>IFERROR(__xludf.DUMMYFUNCTION("""COMPUTED_VALUE"""),11.64)</f>
        <v>11.64</v>
      </c>
      <c r="E44" s="26">
        <f t="shared" si="2"/>
        <v>0.004644138058</v>
      </c>
      <c r="F44" s="25">
        <f>IFERROR(__xludf.DUMMYFUNCTION("""COMPUTED_VALUE"""),43315.63611111111)</f>
        <v>43315.63611</v>
      </c>
      <c r="G44" s="22">
        <f>IFERROR(__xludf.DUMMYFUNCTION("""COMPUTED_VALUE"""),14.49)</f>
        <v>14.49</v>
      </c>
      <c r="H44" s="25">
        <f>IFERROR(__xludf.DUMMYFUNCTION("""COMPUTED_VALUE"""),43315.63611111111)</f>
        <v>43315.63611</v>
      </c>
      <c r="I44" s="22">
        <f>IFERROR(__xludf.DUMMYFUNCTION("""COMPUTED_VALUE"""),15.9)</f>
        <v>15.9</v>
      </c>
      <c r="J44" s="25">
        <f>IFERROR(__xludf.DUMMYFUNCTION("""COMPUTED_VALUE"""),43315.63611111111)</f>
        <v>43315.63611</v>
      </c>
      <c r="K44" s="22">
        <f>IFERROR(__xludf.DUMMYFUNCTION("""COMPUTED_VALUE"""),17.13)</f>
        <v>17.13</v>
      </c>
      <c r="M44" s="22" t="str">
        <f t="shared" si="3"/>
        <v/>
      </c>
      <c r="N44" s="22" t="str">
        <f t="shared" si="1"/>
        <v/>
      </c>
    </row>
    <row r="45" ht="15.75" customHeight="1">
      <c r="A45" s="25">
        <f>IFERROR(__xludf.DUMMYFUNCTION("""COMPUTED_VALUE"""),43318.66666666667)</f>
        <v>43318.66667</v>
      </c>
      <c r="B45" s="22">
        <f>IFERROR(__xludf.DUMMYFUNCTION("""COMPUTED_VALUE"""),2850.4)</f>
        <v>2850.4</v>
      </c>
      <c r="C45" s="25">
        <f>IFERROR(__xludf.DUMMYFUNCTION("""COMPUTED_VALUE"""),43318.63611111111)</f>
        <v>43318.63611</v>
      </c>
      <c r="D45" s="22">
        <f>IFERROR(__xludf.DUMMYFUNCTION("""COMPUTED_VALUE"""),11.27)</f>
        <v>11.27</v>
      </c>
      <c r="E45" s="26">
        <f t="shared" si="2"/>
        <v>0.003538296337</v>
      </c>
      <c r="F45" s="25">
        <f>IFERROR(__xludf.DUMMYFUNCTION("""COMPUTED_VALUE"""),43318.63611111111)</f>
        <v>43318.63611</v>
      </c>
      <c r="G45" s="22">
        <f>IFERROR(__xludf.DUMMYFUNCTION("""COMPUTED_VALUE"""),14.23)</f>
        <v>14.23</v>
      </c>
      <c r="H45" s="25">
        <f>IFERROR(__xludf.DUMMYFUNCTION("""COMPUTED_VALUE"""),43318.63611111111)</f>
        <v>43318.63611</v>
      </c>
      <c r="I45" s="22">
        <f>IFERROR(__xludf.DUMMYFUNCTION("""COMPUTED_VALUE"""),15.68)</f>
        <v>15.68</v>
      </c>
      <c r="J45" s="25">
        <f>IFERROR(__xludf.DUMMYFUNCTION("""COMPUTED_VALUE"""),43318.63611111111)</f>
        <v>43318.63611</v>
      </c>
      <c r="K45" s="22">
        <f>IFERROR(__xludf.DUMMYFUNCTION("""COMPUTED_VALUE"""),16.92)</f>
        <v>16.92</v>
      </c>
      <c r="M45" s="22" t="str">
        <f t="shared" si="3"/>
        <v/>
      </c>
      <c r="N45" s="22" t="str">
        <f t="shared" si="1"/>
        <v/>
      </c>
    </row>
    <row r="46" ht="15.75" customHeight="1">
      <c r="A46" s="25">
        <f>IFERROR(__xludf.DUMMYFUNCTION("""COMPUTED_VALUE"""),43319.66666666667)</f>
        <v>43319.66667</v>
      </c>
      <c r="B46" s="22">
        <f>IFERROR(__xludf.DUMMYFUNCTION("""COMPUTED_VALUE"""),2858.45)</f>
        <v>2858.45</v>
      </c>
      <c r="C46" s="25">
        <f>IFERROR(__xludf.DUMMYFUNCTION("""COMPUTED_VALUE"""),43319.63611111111)</f>
        <v>43319.63611</v>
      </c>
      <c r="D46" s="22">
        <f>IFERROR(__xludf.DUMMYFUNCTION("""COMPUTED_VALUE"""),10.93)</f>
        <v>10.93</v>
      </c>
      <c r="E46" s="26">
        <f t="shared" si="2"/>
        <v>0.002824165029</v>
      </c>
      <c r="F46" s="25">
        <f>IFERROR(__xludf.DUMMYFUNCTION("""COMPUTED_VALUE"""),43319.63611111111)</f>
        <v>43319.63611</v>
      </c>
      <c r="G46" s="22">
        <f>IFERROR(__xludf.DUMMYFUNCTION("""COMPUTED_VALUE"""),13.93)</f>
        <v>13.93</v>
      </c>
      <c r="H46" s="25">
        <f>IFERROR(__xludf.DUMMYFUNCTION("""COMPUTED_VALUE"""),43319.63611111111)</f>
        <v>43319.63611</v>
      </c>
      <c r="I46" s="22">
        <f>IFERROR(__xludf.DUMMYFUNCTION("""COMPUTED_VALUE"""),15.41)</f>
        <v>15.41</v>
      </c>
      <c r="J46" s="25">
        <f>IFERROR(__xludf.DUMMYFUNCTION("""COMPUTED_VALUE"""),43319.63611111111)</f>
        <v>43319.63611</v>
      </c>
      <c r="K46" s="22">
        <f>IFERROR(__xludf.DUMMYFUNCTION("""COMPUTED_VALUE"""),16.76)</f>
        <v>16.76</v>
      </c>
      <c r="M46" s="22" t="str">
        <f t="shared" si="3"/>
        <v/>
      </c>
      <c r="N46" s="22" t="str">
        <f t="shared" si="1"/>
        <v/>
      </c>
    </row>
    <row r="47" ht="15.75" customHeight="1">
      <c r="A47" s="25">
        <f>IFERROR(__xludf.DUMMYFUNCTION("""COMPUTED_VALUE"""),43320.66666666667)</f>
        <v>43320.66667</v>
      </c>
      <c r="B47" s="22">
        <f>IFERROR(__xludf.DUMMYFUNCTION("""COMPUTED_VALUE"""),2857.7)</f>
        <v>2857.7</v>
      </c>
      <c r="C47" s="25">
        <f>IFERROR(__xludf.DUMMYFUNCTION("""COMPUTED_VALUE"""),43320.63611111111)</f>
        <v>43320.63611</v>
      </c>
      <c r="D47" s="22">
        <f>IFERROR(__xludf.DUMMYFUNCTION("""COMPUTED_VALUE"""),10.85)</f>
        <v>10.85</v>
      </c>
      <c r="E47" s="26">
        <f t="shared" si="2"/>
        <v>-0.0002623799612</v>
      </c>
      <c r="F47" s="25">
        <f>IFERROR(__xludf.DUMMYFUNCTION("""COMPUTED_VALUE"""),43320.63611111111)</f>
        <v>43320.63611</v>
      </c>
      <c r="G47" s="22">
        <f>IFERROR(__xludf.DUMMYFUNCTION("""COMPUTED_VALUE"""),13.96)</f>
        <v>13.96</v>
      </c>
      <c r="H47" s="25">
        <f>IFERROR(__xludf.DUMMYFUNCTION("""COMPUTED_VALUE"""),43320.63611111111)</f>
        <v>43320.63611</v>
      </c>
      <c r="I47" s="22">
        <f>IFERROR(__xludf.DUMMYFUNCTION("""COMPUTED_VALUE"""),15.45)</f>
        <v>15.45</v>
      </c>
      <c r="J47" s="25">
        <f>IFERROR(__xludf.DUMMYFUNCTION("""COMPUTED_VALUE"""),43320.63611111111)</f>
        <v>43320.63611</v>
      </c>
      <c r="K47" s="22">
        <f>IFERROR(__xludf.DUMMYFUNCTION("""COMPUTED_VALUE"""),16.85)</f>
        <v>16.85</v>
      </c>
      <c r="M47" s="22" t="str">
        <f t="shared" si="3"/>
        <v/>
      </c>
      <c r="N47" s="22" t="str">
        <f t="shared" si="1"/>
        <v/>
      </c>
    </row>
    <row r="48" ht="15.75" customHeight="1">
      <c r="A48" s="25">
        <f>IFERROR(__xludf.DUMMYFUNCTION("""COMPUTED_VALUE"""),43321.66666666667)</f>
        <v>43321.66667</v>
      </c>
      <c r="B48" s="22">
        <f>IFERROR(__xludf.DUMMYFUNCTION("""COMPUTED_VALUE"""),2853.58)</f>
        <v>2853.58</v>
      </c>
      <c r="C48" s="25">
        <f>IFERROR(__xludf.DUMMYFUNCTION("""COMPUTED_VALUE"""),43321.63611111111)</f>
        <v>43321.63611</v>
      </c>
      <c r="D48" s="22">
        <f>IFERROR(__xludf.DUMMYFUNCTION("""COMPUTED_VALUE"""),11.27)</f>
        <v>11.27</v>
      </c>
      <c r="E48" s="26">
        <f t="shared" si="2"/>
        <v>-0.001441718865</v>
      </c>
      <c r="F48" s="25">
        <f>IFERROR(__xludf.DUMMYFUNCTION("""COMPUTED_VALUE"""),43321.63611111111)</f>
        <v>43321.63611</v>
      </c>
      <c r="G48" s="22">
        <f>IFERROR(__xludf.DUMMYFUNCTION("""COMPUTED_VALUE"""),14.13)</f>
        <v>14.13</v>
      </c>
      <c r="H48" s="25">
        <f>IFERROR(__xludf.DUMMYFUNCTION("""COMPUTED_VALUE"""),43321.63611111111)</f>
        <v>43321.63611</v>
      </c>
      <c r="I48" s="22">
        <f>IFERROR(__xludf.DUMMYFUNCTION("""COMPUTED_VALUE"""),15.54)</f>
        <v>15.54</v>
      </c>
      <c r="J48" s="25">
        <f>IFERROR(__xludf.DUMMYFUNCTION("""COMPUTED_VALUE"""),43321.63611111111)</f>
        <v>43321.63611</v>
      </c>
      <c r="K48" s="22">
        <f>IFERROR(__xludf.DUMMYFUNCTION("""COMPUTED_VALUE"""),16.89)</f>
        <v>16.89</v>
      </c>
      <c r="M48" s="22" t="str">
        <f t="shared" si="3"/>
        <v/>
      </c>
      <c r="N48" s="22" t="str">
        <f t="shared" si="1"/>
        <v/>
      </c>
    </row>
    <row r="49" ht="15.75" customHeight="1">
      <c r="A49" s="25">
        <f>IFERROR(__xludf.DUMMYFUNCTION("""COMPUTED_VALUE"""),43322.66666666667)</f>
        <v>43322.66667</v>
      </c>
      <c r="B49" s="22">
        <f>IFERROR(__xludf.DUMMYFUNCTION("""COMPUTED_VALUE"""),2833.28)</f>
        <v>2833.28</v>
      </c>
      <c r="C49" s="25">
        <f>IFERROR(__xludf.DUMMYFUNCTION("""COMPUTED_VALUE"""),43322.63611111111)</f>
        <v>43322.63611</v>
      </c>
      <c r="D49" s="22">
        <f>IFERROR(__xludf.DUMMYFUNCTION("""COMPUTED_VALUE"""),13.16)</f>
        <v>13.16</v>
      </c>
      <c r="E49" s="26">
        <f t="shared" si="2"/>
        <v>-0.007113870997</v>
      </c>
      <c r="F49" s="25">
        <f>IFERROR(__xludf.DUMMYFUNCTION("""COMPUTED_VALUE"""),43322.63611111111)</f>
        <v>43322.63611</v>
      </c>
      <c r="G49" s="22">
        <f>IFERROR(__xludf.DUMMYFUNCTION("""COMPUTED_VALUE"""),15.22)</f>
        <v>15.22</v>
      </c>
      <c r="H49" s="25">
        <f>IFERROR(__xludf.DUMMYFUNCTION("""COMPUTED_VALUE"""),43322.63611111111)</f>
        <v>43322.63611</v>
      </c>
      <c r="I49" s="22">
        <f>IFERROR(__xludf.DUMMYFUNCTION("""COMPUTED_VALUE"""),16.29)</f>
        <v>16.29</v>
      </c>
      <c r="J49" s="25">
        <f>IFERROR(__xludf.DUMMYFUNCTION("""COMPUTED_VALUE"""),43322.63611111111)</f>
        <v>43322.63611</v>
      </c>
      <c r="K49" s="22">
        <f>IFERROR(__xludf.DUMMYFUNCTION("""COMPUTED_VALUE"""),17.4)</f>
        <v>17.4</v>
      </c>
      <c r="M49" s="22" t="str">
        <f t="shared" si="3"/>
        <v/>
      </c>
      <c r="N49" s="22" t="str">
        <f t="shared" si="1"/>
        <v/>
      </c>
    </row>
    <row r="50" ht="15.75" customHeight="1">
      <c r="A50" s="25">
        <f>IFERROR(__xludf.DUMMYFUNCTION("""COMPUTED_VALUE"""),43325.66666666667)</f>
        <v>43325.66667</v>
      </c>
      <c r="B50" s="22">
        <f>IFERROR(__xludf.DUMMYFUNCTION("""COMPUTED_VALUE"""),2821.93)</f>
        <v>2821.93</v>
      </c>
      <c r="C50" s="25">
        <f>IFERROR(__xludf.DUMMYFUNCTION("""COMPUTED_VALUE"""),43325.63611111111)</f>
        <v>43325.63611</v>
      </c>
      <c r="D50" s="22">
        <f>IFERROR(__xludf.DUMMYFUNCTION("""COMPUTED_VALUE"""),14.78)</f>
        <v>14.78</v>
      </c>
      <c r="E50" s="26">
        <f t="shared" si="2"/>
        <v>-0.004005957759</v>
      </c>
      <c r="F50" s="25">
        <f>IFERROR(__xludf.DUMMYFUNCTION("""COMPUTED_VALUE"""),43325.63611111111)</f>
        <v>43325.63611</v>
      </c>
      <c r="G50" s="22">
        <f>IFERROR(__xludf.DUMMYFUNCTION("""COMPUTED_VALUE"""),16.21)</f>
        <v>16.21</v>
      </c>
      <c r="H50" s="25">
        <f>IFERROR(__xludf.DUMMYFUNCTION("""COMPUTED_VALUE"""),43325.63611111111)</f>
        <v>43325.63611</v>
      </c>
      <c r="I50" s="22">
        <f>IFERROR(__xludf.DUMMYFUNCTION("""COMPUTED_VALUE"""),16.97)</f>
        <v>16.97</v>
      </c>
      <c r="J50" s="25">
        <f>IFERROR(__xludf.DUMMYFUNCTION("""COMPUTED_VALUE"""),43325.63611111111)</f>
        <v>43325.63611</v>
      </c>
      <c r="K50" s="22">
        <f>IFERROR(__xludf.DUMMYFUNCTION("""COMPUTED_VALUE"""),17.83)</f>
        <v>17.83</v>
      </c>
      <c r="M50" s="22" t="str">
        <f t="shared" si="3"/>
        <v/>
      </c>
      <c r="N50" s="22" t="str">
        <f t="shared" si="1"/>
        <v/>
      </c>
    </row>
    <row r="51" ht="15.75" customHeight="1">
      <c r="A51" s="25">
        <f>IFERROR(__xludf.DUMMYFUNCTION("""COMPUTED_VALUE"""),43326.66666666667)</f>
        <v>43326.66667</v>
      </c>
      <c r="B51" s="22">
        <f>IFERROR(__xludf.DUMMYFUNCTION("""COMPUTED_VALUE"""),2839.96)</f>
        <v>2839.96</v>
      </c>
      <c r="C51" s="25">
        <f>IFERROR(__xludf.DUMMYFUNCTION("""COMPUTED_VALUE"""),43326.63611111111)</f>
        <v>43326.63611</v>
      </c>
      <c r="D51" s="22">
        <f>IFERROR(__xludf.DUMMYFUNCTION("""COMPUTED_VALUE"""),13.31)</f>
        <v>13.31</v>
      </c>
      <c r="E51" s="26">
        <f t="shared" si="2"/>
        <v>0.006389244241</v>
      </c>
      <c r="F51" s="25">
        <f>IFERROR(__xludf.DUMMYFUNCTION("""COMPUTED_VALUE"""),43326.63611111111)</f>
        <v>43326.63611</v>
      </c>
      <c r="G51" s="22">
        <f>IFERROR(__xludf.DUMMYFUNCTION("""COMPUTED_VALUE"""),15.35)</f>
        <v>15.35</v>
      </c>
      <c r="H51" s="25">
        <f>IFERROR(__xludf.DUMMYFUNCTION("""COMPUTED_VALUE"""),43326.63611111111)</f>
        <v>43326.63611</v>
      </c>
      <c r="I51" s="22">
        <f>IFERROR(__xludf.DUMMYFUNCTION("""COMPUTED_VALUE"""),16.39)</f>
        <v>16.39</v>
      </c>
      <c r="J51" s="25">
        <f>IFERROR(__xludf.DUMMYFUNCTION("""COMPUTED_VALUE"""),43326.63611111111)</f>
        <v>43326.63611</v>
      </c>
      <c r="K51" s="22">
        <f>IFERROR(__xludf.DUMMYFUNCTION("""COMPUTED_VALUE"""),17.45)</f>
        <v>17.45</v>
      </c>
      <c r="M51" s="22" t="str">
        <f t="shared" si="3"/>
        <v/>
      </c>
      <c r="N51" s="22" t="str">
        <f t="shared" si="1"/>
        <v/>
      </c>
    </row>
    <row r="52" ht="15.75" customHeight="1">
      <c r="A52" s="25">
        <f>IFERROR(__xludf.DUMMYFUNCTION("""COMPUTED_VALUE"""),43327.66666666667)</f>
        <v>43327.66667</v>
      </c>
      <c r="B52" s="22">
        <f>IFERROR(__xludf.DUMMYFUNCTION("""COMPUTED_VALUE"""),2818.37)</f>
        <v>2818.37</v>
      </c>
      <c r="C52" s="25">
        <f>IFERROR(__xludf.DUMMYFUNCTION("""COMPUTED_VALUE"""),43327.63611111111)</f>
        <v>43327.63611</v>
      </c>
      <c r="D52" s="22">
        <f>IFERROR(__xludf.DUMMYFUNCTION("""COMPUTED_VALUE"""),14.64)</f>
        <v>14.64</v>
      </c>
      <c r="E52" s="26">
        <f t="shared" si="2"/>
        <v>-0.00760221975</v>
      </c>
      <c r="F52" s="25">
        <f>IFERROR(__xludf.DUMMYFUNCTION("""COMPUTED_VALUE"""),43327.63611111111)</f>
        <v>43327.63611</v>
      </c>
      <c r="G52" s="22">
        <f>IFERROR(__xludf.DUMMYFUNCTION("""COMPUTED_VALUE"""),16.19)</f>
        <v>16.19</v>
      </c>
      <c r="H52" s="25">
        <f>IFERROR(__xludf.DUMMYFUNCTION("""COMPUTED_VALUE"""),43327.63611111111)</f>
        <v>43327.63611</v>
      </c>
      <c r="I52" s="22">
        <f>IFERROR(__xludf.DUMMYFUNCTION("""COMPUTED_VALUE"""),16.94)</f>
        <v>16.94</v>
      </c>
      <c r="J52" s="25">
        <f>IFERROR(__xludf.DUMMYFUNCTION("""COMPUTED_VALUE"""),43327.63611111111)</f>
        <v>43327.63611</v>
      </c>
      <c r="K52" s="22">
        <f>IFERROR(__xludf.DUMMYFUNCTION("""COMPUTED_VALUE"""),17.72)</f>
        <v>17.72</v>
      </c>
      <c r="M52" s="22" t="str">
        <f t="shared" si="3"/>
        <v/>
      </c>
      <c r="N52" s="22" t="str">
        <f t="shared" si="1"/>
        <v/>
      </c>
    </row>
    <row r="53" ht="15.75" customHeight="1">
      <c r="A53" s="25">
        <f>IFERROR(__xludf.DUMMYFUNCTION("""COMPUTED_VALUE"""),43328.66666666667)</f>
        <v>43328.66667</v>
      </c>
      <c r="B53" s="22">
        <f>IFERROR(__xludf.DUMMYFUNCTION("""COMPUTED_VALUE"""),2840.69)</f>
        <v>2840.69</v>
      </c>
      <c r="C53" s="25">
        <f>IFERROR(__xludf.DUMMYFUNCTION("""COMPUTED_VALUE"""),43328.63611111111)</f>
        <v>43328.63611</v>
      </c>
      <c r="D53" s="22">
        <f>IFERROR(__xludf.DUMMYFUNCTION("""COMPUTED_VALUE"""),13.45)</f>
        <v>13.45</v>
      </c>
      <c r="E53" s="26">
        <f t="shared" si="2"/>
        <v>0.007919471184</v>
      </c>
      <c r="F53" s="25">
        <f>IFERROR(__xludf.DUMMYFUNCTION("""COMPUTED_VALUE"""),43328.63611111111)</f>
        <v>43328.63611</v>
      </c>
      <c r="G53" s="22">
        <f>IFERROR(__xludf.DUMMYFUNCTION("""COMPUTED_VALUE"""),15.51)</f>
        <v>15.51</v>
      </c>
      <c r="H53" s="25">
        <f>IFERROR(__xludf.DUMMYFUNCTION("""COMPUTED_VALUE"""),43328.63611111111)</f>
        <v>43328.63611</v>
      </c>
      <c r="I53" s="22">
        <f>IFERROR(__xludf.DUMMYFUNCTION("""COMPUTED_VALUE"""),16.47)</f>
        <v>16.47</v>
      </c>
      <c r="J53" s="25">
        <f>IFERROR(__xludf.DUMMYFUNCTION("""COMPUTED_VALUE"""),43328.63611111111)</f>
        <v>43328.63611</v>
      </c>
      <c r="K53" s="22">
        <f>IFERROR(__xludf.DUMMYFUNCTION("""COMPUTED_VALUE"""),17.38)</f>
        <v>17.38</v>
      </c>
      <c r="M53" s="22" t="str">
        <f t="shared" si="3"/>
        <v/>
      </c>
      <c r="N53" s="22" t="str">
        <f t="shared" si="1"/>
        <v/>
      </c>
    </row>
    <row r="54" ht="15.75" customHeight="1">
      <c r="A54" s="25">
        <f>IFERROR(__xludf.DUMMYFUNCTION("""COMPUTED_VALUE"""),43329.66666666667)</f>
        <v>43329.66667</v>
      </c>
      <c r="B54" s="22">
        <f>IFERROR(__xludf.DUMMYFUNCTION("""COMPUTED_VALUE"""),2850.13)</f>
        <v>2850.13</v>
      </c>
      <c r="C54" s="25">
        <f>IFERROR(__xludf.DUMMYFUNCTION("""COMPUTED_VALUE"""),43329.63611111111)</f>
        <v>43329.63611</v>
      </c>
      <c r="D54" s="22">
        <f>IFERROR(__xludf.DUMMYFUNCTION("""COMPUTED_VALUE"""),12.64)</f>
        <v>12.64</v>
      </c>
      <c r="E54" s="26">
        <f t="shared" si="2"/>
        <v>0.00332313628</v>
      </c>
      <c r="F54" s="25">
        <f>IFERROR(__xludf.DUMMYFUNCTION("""COMPUTED_VALUE"""),43329.63611111111)</f>
        <v>43329.63611</v>
      </c>
      <c r="G54" s="22">
        <f>IFERROR(__xludf.DUMMYFUNCTION("""COMPUTED_VALUE"""),15.17)</f>
        <v>15.17</v>
      </c>
      <c r="H54" s="25">
        <f>IFERROR(__xludf.DUMMYFUNCTION("""COMPUTED_VALUE"""),43329.63611111111)</f>
        <v>43329.63611</v>
      </c>
      <c r="I54" s="22">
        <f>IFERROR(__xludf.DUMMYFUNCTION("""COMPUTED_VALUE"""),16.26)</f>
        <v>16.26</v>
      </c>
      <c r="J54" s="25">
        <f>IFERROR(__xludf.DUMMYFUNCTION("""COMPUTED_VALUE"""),43329.63611111111)</f>
        <v>43329.63611</v>
      </c>
      <c r="K54" s="22">
        <f>IFERROR(__xludf.DUMMYFUNCTION("""COMPUTED_VALUE"""),17.27)</f>
        <v>17.27</v>
      </c>
      <c r="M54" s="22" t="str">
        <f t="shared" si="3"/>
        <v/>
      </c>
      <c r="N54" s="22" t="str">
        <f t="shared" si="1"/>
        <v/>
      </c>
    </row>
    <row r="55" ht="15.75" customHeight="1">
      <c r="A55" s="25">
        <f>IFERROR(__xludf.DUMMYFUNCTION("""COMPUTED_VALUE"""),43332.66666666667)</f>
        <v>43332.66667</v>
      </c>
      <c r="B55" s="22">
        <f>IFERROR(__xludf.DUMMYFUNCTION("""COMPUTED_VALUE"""),2857.05)</f>
        <v>2857.05</v>
      </c>
      <c r="C55" s="25">
        <f>IFERROR(__xludf.DUMMYFUNCTION("""COMPUTED_VALUE"""),43332.63611111111)</f>
        <v>43332.63611</v>
      </c>
      <c r="D55" s="22">
        <f>IFERROR(__xludf.DUMMYFUNCTION("""COMPUTED_VALUE"""),12.49)</f>
        <v>12.49</v>
      </c>
      <c r="E55" s="26">
        <f t="shared" si="2"/>
        <v>0.002427959426</v>
      </c>
      <c r="F55" s="25">
        <f>IFERROR(__xludf.DUMMYFUNCTION("""COMPUTED_VALUE"""),43332.63611111111)</f>
        <v>43332.63611</v>
      </c>
      <c r="G55" s="22">
        <f>IFERROR(__xludf.DUMMYFUNCTION("""COMPUTED_VALUE"""),15.0)</f>
        <v>15</v>
      </c>
      <c r="H55" s="25">
        <f>IFERROR(__xludf.DUMMYFUNCTION("""COMPUTED_VALUE"""),43332.63611111111)</f>
        <v>43332.63611</v>
      </c>
      <c r="I55" s="22">
        <f>IFERROR(__xludf.DUMMYFUNCTION("""COMPUTED_VALUE"""),16.15)</f>
        <v>16.15</v>
      </c>
      <c r="J55" s="25">
        <f>IFERROR(__xludf.DUMMYFUNCTION("""COMPUTED_VALUE"""),43332.63611111111)</f>
        <v>43332.63611</v>
      </c>
      <c r="K55" s="22">
        <f>IFERROR(__xludf.DUMMYFUNCTION("""COMPUTED_VALUE"""),17.16)</f>
        <v>17.16</v>
      </c>
      <c r="M55" s="22" t="str">
        <f t="shared" si="3"/>
        <v/>
      </c>
      <c r="N55" s="22" t="str">
        <f t="shared" si="1"/>
        <v/>
      </c>
    </row>
    <row r="56" ht="15.75" customHeight="1">
      <c r="A56" s="25">
        <f>IFERROR(__xludf.DUMMYFUNCTION("""COMPUTED_VALUE"""),43333.66666666667)</f>
        <v>43333.66667</v>
      </c>
      <c r="B56" s="22">
        <f>IFERROR(__xludf.DUMMYFUNCTION("""COMPUTED_VALUE"""),2862.96)</f>
        <v>2862.96</v>
      </c>
      <c r="C56" s="25">
        <f>IFERROR(__xludf.DUMMYFUNCTION("""COMPUTED_VALUE"""),43333.63611111111)</f>
        <v>43333.63611</v>
      </c>
      <c r="D56" s="22">
        <f>IFERROR(__xludf.DUMMYFUNCTION("""COMPUTED_VALUE"""),12.86)</f>
        <v>12.86</v>
      </c>
      <c r="E56" s="26">
        <f t="shared" si="2"/>
        <v>0.002068567228</v>
      </c>
      <c r="F56" s="25">
        <f>IFERROR(__xludf.DUMMYFUNCTION("""COMPUTED_VALUE"""),43333.63611111111)</f>
        <v>43333.63611</v>
      </c>
      <c r="G56" s="22">
        <f>IFERROR(__xludf.DUMMYFUNCTION("""COMPUTED_VALUE"""),15.19)</f>
        <v>15.19</v>
      </c>
      <c r="H56" s="25">
        <f>IFERROR(__xludf.DUMMYFUNCTION("""COMPUTED_VALUE"""),43333.63611111111)</f>
        <v>43333.63611</v>
      </c>
      <c r="I56" s="22">
        <f>IFERROR(__xludf.DUMMYFUNCTION("""COMPUTED_VALUE"""),16.33)</f>
        <v>16.33</v>
      </c>
      <c r="J56" s="25">
        <f>IFERROR(__xludf.DUMMYFUNCTION("""COMPUTED_VALUE"""),43333.63611111111)</f>
        <v>43333.63611</v>
      </c>
      <c r="K56" s="22">
        <f>IFERROR(__xludf.DUMMYFUNCTION("""COMPUTED_VALUE"""),17.24)</f>
        <v>17.24</v>
      </c>
      <c r="M56" s="22" t="str">
        <f t="shared" si="3"/>
        <v/>
      </c>
      <c r="N56" s="22" t="str">
        <f t="shared" si="1"/>
        <v/>
      </c>
    </row>
    <row r="57" ht="15.75" customHeight="1">
      <c r="A57" s="25">
        <f>IFERROR(__xludf.DUMMYFUNCTION("""COMPUTED_VALUE"""),43334.66666666667)</f>
        <v>43334.66667</v>
      </c>
      <c r="B57" s="22">
        <f>IFERROR(__xludf.DUMMYFUNCTION("""COMPUTED_VALUE"""),2861.82)</f>
        <v>2861.82</v>
      </c>
      <c r="C57" s="25">
        <f>IFERROR(__xludf.DUMMYFUNCTION("""COMPUTED_VALUE"""),43334.63611111111)</f>
        <v>43334.63611</v>
      </c>
      <c r="D57" s="22">
        <f>IFERROR(__xludf.DUMMYFUNCTION("""COMPUTED_VALUE"""),12.25)</f>
        <v>12.25</v>
      </c>
      <c r="E57" s="26">
        <f t="shared" si="2"/>
        <v>-0.0003981892866</v>
      </c>
      <c r="F57" s="25">
        <f>IFERROR(__xludf.DUMMYFUNCTION("""COMPUTED_VALUE"""),43334.63611111111)</f>
        <v>43334.63611</v>
      </c>
      <c r="G57" s="22">
        <f>IFERROR(__xludf.DUMMYFUNCTION("""COMPUTED_VALUE"""),15.08)</f>
        <v>15.08</v>
      </c>
      <c r="H57" s="25">
        <f>IFERROR(__xludf.DUMMYFUNCTION("""COMPUTED_VALUE"""),43334.63611111111)</f>
        <v>43334.63611</v>
      </c>
      <c r="I57" s="22">
        <f>IFERROR(__xludf.DUMMYFUNCTION("""COMPUTED_VALUE"""),16.25)</f>
        <v>16.25</v>
      </c>
      <c r="J57" s="25">
        <f>IFERROR(__xludf.DUMMYFUNCTION("""COMPUTED_VALUE"""),43334.63611111111)</f>
        <v>43334.63611</v>
      </c>
      <c r="K57" s="22">
        <f>IFERROR(__xludf.DUMMYFUNCTION("""COMPUTED_VALUE"""),17.2)</f>
        <v>17.2</v>
      </c>
      <c r="M57" s="22" t="str">
        <f t="shared" si="3"/>
        <v/>
      </c>
      <c r="N57" s="22" t="str">
        <f t="shared" si="1"/>
        <v/>
      </c>
    </row>
    <row r="58" ht="15.75" customHeight="1">
      <c r="A58" s="25">
        <f>IFERROR(__xludf.DUMMYFUNCTION("""COMPUTED_VALUE"""),43335.66666666667)</f>
        <v>43335.66667</v>
      </c>
      <c r="B58" s="22">
        <f>IFERROR(__xludf.DUMMYFUNCTION("""COMPUTED_VALUE"""),2856.98)</f>
        <v>2856.98</v>
      </c>
      <c r="C58" s="25">
        <f>IFERROR(__xludf.DUMMYFUNCTION("""COMPUTED_VALUE"""),43335.63611111111)</f>
        <v>43335.63611</v>
      </c>
      <c r="D58" s="22">
        <f>IFERROR(__xludf.DUMMYFUNCTION("""COMPUTED_VALUE"""),12.41)</f>
        <v>12.41</v>
      </c>
      <c r="E58" s="26">
        <f t="shared" si="2"/>
        <v>-0.001691231454</v>
      </c>
      <c r="F58" s="25">
        <f>IFERROR(__xludf.DUMMYFUNCTION("""COMPUTED_VALUE"""),43335.63611111111)</f>
        <v>43335.63611</v>
      </c>
      <c r="G58" s="22">
        <f>IFERROR(__xludf.DUMMYFUNCTION("""COMPUTED_VALUE"""),15.06)</f>
        <v>15.06</v>
      </c>
      <c r="H58" s="25">
        <f>IFERROR(__xludf.DUMMYFUNCTION("""COMPUTED_VALUE"""),43335.63611111111)</f>
        <v>43335.63611</v>
      </c>
      <c r="I58" s="22">
        <f>IFERROR(__xludf.DUMMYFUNCTION("""COMPUTED_VALUE"""),16.28)</f>
        <v>16.28</v>
      </c>
      <c r="J58" s="25">
        <f>IFERROR(__xludf.DUMMYFUNCTION("""COMPUTED_VALUE"""),43335.63611111111)</f>
        <v>43335.63611</v>
      </c>
      <c r="K58" s="22">
        <f>IFERROR(__xludf.DUMMYFUNCTION("""COMPUTED_VALUE"""),17.25)</f>
        <v>17.25</v>
      </c>
      <c r="M58" s="22" t="str">
        <f t="shared" si="3"/>
        <v/>
      </c>
      <c r="N58" s="22" t="str">
        <f t="shared" si="1"/>
        <v/>
      </c>
    </row>
    <row r="59" ht="15.75" customHeight="1">
      <c r="A59" s="25">
        <f>IFERROR(__xludf.DUMMYFUNCTION("""COMPUTED_VALUE"""),43336.66666666667)</f>
        <v>43336.66667</v>
      </c>
      <c r="B59" s="22">
        <f>IFERROR(__xludf.DUMMYFUNCTION("""COMPUTED_VALUE"""),2874.69)</f>
        <v>2874.69</v>
      </c>
      <c r="C59" s="25">
        <f>IFERROR(__xludf.DUMMYFUNCTION("""COMPUTED_VALUE"""),43336.63611111111)</f>
        <v>43336.63611</v>
      </c>
      <c r="D59" s="22">
        <f>IFERROR(__xludf.DUMMYFUNCTION("""COMPUTED_VALUE"""),11.99)</f>
        <v>11.99</v>
      </c>
      <c r="E59" s="26">
        <f t="shared" si="2"/>
        <v>0.006198853335</v>
      </c>
      <c r="F59" s="25">
        <f>IFERROR(__xludf.DUMMYFUNCTION("""COMPUTED_VALUE"""),43336.63611111111)</f>
        <v>43336.63611</v>
      </c>
      <c r="G59" s="22">
        <f>IFERROR(__xludf.DUMMYFUNCTION("""COMPUTED_VALUE"""),14.82)</f>
        <v>14.82</v>
      </c>
      <c r="H59" s="25">
        <f>IFERROR(__xludf.DUMMYFUNCTION("""COMPUTED_VALUE"""),43336.63611111111)</f>
        <v>43336.63611</v>
      </c>
      <c r="I59" s="22">
        <f>IFERROR(__xludf.DUMMYFUNCTION("""COMPUTED_VALUE"""),16.07)</f>
        <v>16.07</v>
      </c>
      <c r="J59" s="25">
        <f>IFERROR(__xludf.DUMMYFUNCTION("""COMPUTED_VALUE"""),43336.63611111111)</f>
        <v>43336.63611</v>
      </c>
      <c r="K59" s="22">
        <f>IFERROR(__xludf.DUMMYFUNCTION("""COMPUTED_VALUE"""),17.08)</f>
        <v>17.08</v>
      </c>
      <c r="M59" s="22" t="str">
        <f t="shared" si="3"/>
        <v/>
      </c>
      <c r="N59" s="22" t="str">
        <f t="shared" si="1"/>
        <v/>
      </c>
    </row>
    <row r="60" ht="15.75" customHeight="1">
      <c r="A60" s="25">
        <f>IFERROR(__xludf.DUMMYFUNCTION("""COMPUTED_VALUE"""),43339.66666666667)</f>
        <v>43339.66667</v>
      </c>
      <c r="B60" s="22">
        <f>IFERROR(__xludf.DUMMYFUNCTION("""COMPUTED_VALUE"""),2896.74)</f>
        <v>2896.74</v>
      </c>
      <c r="C60" s="25">
        <f>IFERROR(__xludf.DUMMYFUNCTION("""COMPUTED_VALUE"""),43339.63611111111)</f>
        <v>43339.63611</v>
      </c>
      <c r="D60" s="22">
        <f>IFERROR(__xludf.DUMMYFUNCTION("""COMPUTED_VALUE"""),12.16)</f>
        <v>12.16</v>
      </c>
      <c r="E60" s="26">
        <f t="shared" si="2"/>
        <v>0.007670392286</v>
      </c>
      <c r="F60" s="25">
        <f>IFERROR(__xludf.DUMMYFUNCTION("""COMPUTED_VALUE"""),43339.63611111111)</f>
        <v>43339.63611</v>
      </c>
      <c r="G60" s="22">
        <f>IFERROR(__xludf.DUMMYFUNCTION("""COMPUTED_VALUE"""),14.79)</f>
        <v>14.79</v>
      </c>
      <c r="H60" s="25">
        <f>IFERROR(__xludf.DUMMYFUNCTION("""COMPUTED_VALUE"""),43339.63611111111)</f>
        <v>43339.63611</v>
      </c>
      <c r="I60" s="22">
        <f>IFERROR(__xludf.DUMMYFUNCTION("""COMPUTED_VALUE"""),16.0)</f>
        <v>16</v>
      </c>
      <c r="J60" s="25">
        <f>IFERROR(__xludf.DUMMYFUNCTION("""COMPUTED_VALUE"""),43339.63611111111)</f>
        <v>43339.63611</v>
      </c>
      <c r="K60" s="22">
        <f>IFERROR(__xludf.DUMMYFUNCTION("""COMPUTED_VALUE"""),17.01)</f>
        <v>17.01</v>
      </c>
      <c r="M60" s="22" t="str">
        <f t="shared" si="3"/>
        <v/>
      </c>
      <c r="N60" s="22" t="str">
        <f t="shared" si="1"/>
        <v/>
      </c>
    </row>
    <row r="61" ht="15.75" customHeight="1">
      <c r="A61" s="25">
        <f>IFERROR(__xludf.DUMMYFUNCTION("""COMPUTED_VALUE"""),43340.66666666667)</f>
        <v>43340.66667</v>
      </c>
      <c r="B61" s="22">
        <f>IFERROR(__xludf.DUMMYFUNCTION("""COMPUTED_VALUE"""),2897.52)</f>
        <v>2897.52</v>
      </c>
      <c r="C61" s="25">
        <f>IFERROR(__xludf.DUMMYFUNCTION("""COMPUTED_VALUE"""),43340.63611111111)</f>
        <v>43340.63611</v>
      </c>
      <c r="D61" s="22">
        <f>IFERROR(__xludf.DUMMYFUNCTION("""COMPUTED_VALUE"""),12.5)</f>
        <v>12.5</v>
      </c>
      <c r="E61" s="26">
        <f t="shared" si="2"/>
        <v>0.0002692682119</v>
      </c>
      <c r="F61" s="25">
        <f>IFERROR(__xludf.DUMMYFUNCTION("""COMPUTED_VALUE"""),43340.63611111111)</f>
        <v>43340.63611</v>
      </c>
      <c r="G61" s="22">
        <f>IFERROR(__xludf.DUMMYFUNCTION("""COMPUTED_VALUE"""),15.11)</f>
        <v>15.11</v>
      </c>
      <c r="H61" s="25">
        <f>IFERROR(__xludf.DUMMYFUNCTION("""COMPUTED_VALUE"""),43340.63611111111)</f>
        <v>43340.63611</v>
      </c>
      <c r="I61" s="22">
        <f>IFERROR(__xludf.DUMMYFUNCTION("""COMPUTED_VALUE"""),16.25)</f>
        <v>16.25</v>
      </c>
      <c r="J61" s="25">
        <f>IFERROR(__xludf.DUMMYFUNCTION("""COMPUTED_VALUE"""),43340.63611111111)</f>
        <v>43340.63611</v>
      </c>
      <c r="K61" s="22">
        <f>IFERROR(__xludf.DUMMYFUNCTION("""COMPUTED_VALUE"""),17.21)</f>
        <v>17.21</v>
      </c>
      <c r="M61" s="22" t="str">
        <f t="shared" si="3"/>
        <v/>
      </c>
      <c r="N61" s="22" t="str">
        <f t="shared" si="1"/>
        <v/>
      </c>
    </row>
    <row r="62" ht="15.75" customHeight="1">
      <c r="A62" s="25">
        <f>IFERROR(__xludf.DUMMYFUNCTION("""COMPUTED_VALUE"""),43341.66666666667)</f>
        <v>43341.66667</v>
      </c>
      <c r="B62" s="22">
        <f>IFERROR(__xludf.DUMMYFUNCTION("""COMPUTED_VALUE"""),2914.04)</f>
        <v>2914.04</v>
      </c>
      <c r="C62" s="25">
        <f>IFERROR(__xludf.DUMMYFUNCTION("""COMPUTED_VALUE"""),43341.63611111111)</f>
        <v>43341.63611</v>
      </c>
      <c r="D62" s="22">
        <f>IFERROR(__xludf.DUMMYFUNCTION("""COMPUTED_VALUE"""),12.25)</f>
        <v>12.25</v>
      </c>
      <c r="E62" s="26">
        <f t="shared" si="2"/>
        <v>0.005701427428</v>
      </c>
      <c r="F62" s="25">
        <f>IFERROR(__xludf.DUMMYFUNCTION("""COMPUTED_VALUE"""),43341.63611111111)</f>
        <v>43341.63611</v>
      </c>
      <c r="G62" s="22">
        <f>IFERROR(__xludf.DUMMYFUNCTION("""COMPUTED_VALUE"""),14.95)</f>
        <v>14.95</v>
      </c>
      <c r="H62" s="25">
        <f>IFERROR(__xludf.DUMMYFUNCTION("""COMPUTED_VALUE"""),43341.63611111111)</f>
        <v>43341.63611</v>
      </c>
      <c r="I62" s="22">
        <f>IFERROR(__xludf.DUMMYFUNCTION("""COMPUTED_VALUE"""),16.2)</f>
        <v>16.2</v>
      </c>
      <c r="J62" s="25">
        <f>IFERROR(__xludf.DUMMYFUNCTION("""COMPUTED_VALUE"""),43341.63611111111)</f>
        <v>43341.63611</v>
      </c>
      <c r="K62" s="22">
        <f>IFERROR(__xludf.DUMMYFUNCTION("""COMPUTED_VALUE"""),17.2)</f>
        <v>17.2</v>
      </c>
      <c r="M62" s="22" t="str">
        <f t="shared" si="3"/>
        <v/>
      </c>
      <c r="N62" s="22" t="str">
        <f t="shared" si="1"/>
        <v/>
      </c>
    </row>
    <row r="63" ht="15.75" customHeight="1">
      <c r="A63" s="25">
        <f>IFERROR(__xludf.DUMMYFUNCTION("""COMPUTED_VALUE"""),43342.66666666667)</f>
        <v>43342.66667</v>
      </c>
      <c r="B63" s="22">
        <f>IFERROR(__xludf.DUMMYFUNCTION("""COMPUTED_VALUE"""),2901.13)</f>
        <v>2901.13</v>
      </c>
      <c r="C63" s="25">
        <f>IFERROR(__xludf.DUMMYFUNCTION("""COMPUTED_VALUE"""),43342.63611111111)</f>
        <v>43342.63611</v>
      </c>
      <c r="D63" s="22">
        <f>IFERROR(__xludf.DUMMYFUNCTION("""COMPUTED_VALUE"""),13.53)</f>
        <v>13.53</v>
      </c>
      <c r="E63" s="26">
        <f t="shared" si="2"/>
        <v>-0.004430275494</v>
      </c>
      <c r="F63" s="25">
        <f>IFERROR(__xludf.DUMMYFUNCTION("""COMPUTED_VALUE"""),43342.63611111111)</f>
        <v>43342.63611</v>
      </c>
      <c r="G63" s="22">
        <f>IFERROR(__xludf.DUMMYFUNCTION("""COMPUTED_VALUE"""),15.54)</f>
        <v>15.54</v>
      </c>
      <c r="H63" s="25">
        <f>IFERROR(__xludf.DUMMYFUNCTION("""COMPUTED_VALUE"""),43342.63611111111)</f>
        <v>43342.63611</v>
      </c>
      <c r="I63" s="22">
        <f>IFERROR(__xludf.DUMMYFUNCTION("""COMPUTED_VALUE"""),16.69)</f>
        <v>16.69</v>
      </c>
      <c r="J63" s="25">
        <f>IFERROR(__xludf.DUMMYFUNCTION("""COMPUTED_VALUE"""),43342.63611111111)</f>
        <v>43342.63611</v>
      </c>
      <c r="K63" s="22">
        <f>IFERROR(__xludf.DUMMYFUNCTION("""COMPUTED_VALUE"""),17.58)</f>
        <v>17.58</v>
      </c>
      <c r="M63" s="22" t="str">
        <f t="shared" si="3"/>
        <v/>
      </c>
      <c r="N63" s="22" t="str">
        <f t="shared" si="1"/>
        <v/>
      </c>
    </row>
    <row r="64" ht="15.75" customHeight="1">
      <c r="A64" s="25">
        <f>IFERROR(__xludf.DUMMYFUNCTION("""COMPUTED_VALUE"""),43343.66666666667)</f>
        <v>43343.66667</v>
      </c>
      <c r="B64" s="22">
        <f>IFERROR(__xludf.DUMMYFUNCTION("""COMPUTED_VALUE"""),2901.52)</f>
        <v>2901.52</v>
      </c>
      <c r="C64" s="25">
        <f>IFERROR(__xludf.DUMMYFUNCTION("""COMPUTED_VALUE"""),43343.63611111111)</f>
        <v>43343.63611</v>
      </c>
      <c r="D64" s="22">
        <f>IFERROR(__xludf.DUMMYFUNCTION("""COMPUTED_VALUE"""),12.86)</f>
        <v>12.86</v>
      </c>
      <c r="E64" s="26">
        <f t="shared" si="2"/>
        <v>0.0001344303771</v>
      </c>
      <c r="F64" s="25">
        <f>IFERROR(__xludf.DUMMYFUNCTION("""COMPUTED_VALUE"""),43343.63611111111)</f>
        <v>43343.63611</v>
      </c>
      <c r="G64" s="22">
        <f>IFERROR(__xludf.DUMMYFUNCTION("""COMPUTED_VALUE"""),15.15)</f>
        <v>15.15</v>
      </c>
      <c r="H64" s="25">
        <f>IFERROR(__xludf.DUMMYFUNCTION("""COMPUTED_VALUE"""),43343.63611111111)</f>
        <v>43343.63611</v>
      </c>
      <c r="I64" s="22">
        <f>IFERROR(__xludf.DUMMYFUNCTION("""COMPUTED_VALUE"""),16.43)</f>
        <v>16.43</v>
      </c>
      <c r="J64" s="25">
        <f>IFERROR(__xludf.DUMMYFUNCTION("""COMPUTED_VALUE"""),43343.63611111111)</f>
        <v>43343.63611</v>
      </c>
      <c r="K64" s="22">
        <f>IFERROR(__xludf.DUMMYFUNCTION("""COMPUTED_VALUE"""),17.41)</f>
        <v>17.41</v>
      </c>
      <c r="M64" s="22" t="str">
        <f t="shared" si="3"/>
        <v/>
      </c>
      <c r="N64" s="22" t="str">
        <f t="shared" si="1"/>
        <v/>
      </c>
    </row>
    <row r="65" ht="15.75" customHeight="1">
      <c r="A65" s="25">
        <f>IFERROR(__xludf.DUMMYFUNCTION("""COMPUTED_VALUE"""),43347.66666666667)</f>
        <v>43347.66667</v>
      </c>
      <c r="B65" s="22">
        <f>IFERROR(__xludf.DUMMYFUNCTION("""COMPUTED_VALUE"""),2896.72)</f>
        <v>2896.72</v>
      </c>
      <c r="C65" s="25">
        <f>IFERROR(__xludf.DUMMYFUNCTION("""COMPUTED_VALUE"""),43347.63611111111)</f>
        <v>43347.63611</v>
      </c>
      <c r="D65" s="22">
        <f>IFERROR(__xludf.DUMMYFUNCTION("""COMPUTED_VALUE"""),13.16)</f>
        <v>13.16</v>
      </c>
      <c r="E65" s="26">
        <f t="shared" si="2"/>
        <v>-0.00165430533</v>
      </c>
      <c r="F65" s="25">
        <f>IFERROR(__xludf.DUMMYFUNCTION("""COMPUTED_VALUE"""),43347.63611111111)</f>
        <v>43347.63611</v>
      </c>
      <c r="G65" s="22">
        <f>IFERROR(__xludf.DUMMYFUNCTION("""COMPUTED_VALUE"""),15.45)</f>
        <v>15.45</v>
      </c>
      <c r="H65" s="25">
        <f>IFERROR(__xludf.DUMMYFUNCTION("""COMPUTED_VALUE"""),43347.63611111111)</f>
        <v>43347.63611</v>
      </c>
      <c r="I65" s="22">
        <f>IFERROR(__xludf.DUMMYFUNCTION("""COMPUTED_VALUE"""),16.59)</f>
        <v>16.59</v>
      </c>
      <c r="J65" s="25">
        <f>IFERROR(__xludf.DUMMYFUNCTION("""COMPUTED_VALUE"""),43347.63611111111)</f>
        <v>43347.63611</v>
      </c>
      <c r="K65" s="22">
        <f>IFERROR(__xludf.DUMMYFUNCTION("""COMPUTED_VALUE"""),17.5)</f>
        <v>17.5</v>
      </c>
      <c r="M65" s="22" t="str">
        <f t="shared" si="3"/>
        <v/>
      </c>
      <c r="N65" s="22" t="str">
        <f t="shared" si="1"/>
        <v/>
      </c>
    </row>
    <row r="66" ht="15.75" customHeight="1">
      <c r="A66" s="25">
        <f>IFERROR(__xludf.DUMMYFUNCTION("""COMPUTED_VALUE"""),43348.66666666667)</f>
        <v>43348.66667</v>
      </c>
      <c r="B66" s="22">
        <f>IFERROR(__xludf.DUMMYFUNCTION("""COMPUTED_VALUE"""),2888.6)</f>
        <v>2888.6</v>
      </c>
      <c r="C66" s="25">
        <f>IFERROR(__xludf.DUMMYFUNCTION("""COMPUTED_VALUE"""),43348.63611111111)</f>
        <v>43348.63611</v>
      </c>
      <c r="D66" s="22">
        <f>IFERROR(__xludf.DUMMYFUNCTION("""COMPUTED_VALUE"""),13.91)</f>
        <v>13.91</v>
      </c>
      <c r="E66" s="26">
        <f t="shared" si="2"/>
        <v>-0.002803170482</v>
      </c>
      <c r="F66" s="25">
        <f>IFERROR(__xludf.DUMMYFUNCTION("""COMPUTED_VALUE"""),43348.63611111111)</f>
        <v>43348.63611</v>
      </c>
      <c r="G66" s="22">
        <f>IFERROR(__xludf.DUMMYFUNCTION("""COMPUTED_VALUE"""),15.92)</f>
        <v>15.92</v>
      </c>
      <c r="H66" s="25">
        <f>IFERROR(__xludf.DUMMYFUNCTION("""COMPUTED_VALUE"""),43348.63611111111)</f>
        <v>43348.63611</v>
      </c>
      <c r="I66" s="22">
        <f>IFERROR(__xludf.DUMMYFUNCTION("""COMPUTED_VALUE"""),16.93)</f>
        <v>16.93</v>
      </c>
      <c r="J66" s="25">
        <f>IFERROR(__xludf.DUMMYFUNCTION("""COMPUTED_VALUE"""),43348.63611111111)</f>
        <v>43348.63611</v>
      </c>
      <c r="K66" s="22">
        <f>IFERROR(__xludf.DUMMYFUNCTION("""COMPUTED_VALUE"""),17.8)</f>
        <v>17.8</v>
      </c>
      <c r="M66" s="22" t="str">
        <f t="shared" si="3"/>
        <v/>
      </c>
      <c r="N66" s="22" t="str">
        <f t="shared" si="1"/>
        <v/>
      </c>
    </row>
    <row r="67" ht="15.75" customHeight="1">
      <c r="A67" s="25">
        <f>IFERROR(__xludf.DUMMYFUNCTION("""COMPUTED_VALUE"""),43349.66666666667)</f>
        <v>43349.66667</v>
      </c>
      <c r="B67" s="22">
        <f>IFERROR(__xludf.DUMMYFUNCTION("""COMPUTED_VALUE"""),2878.05)</f>
        <v>2878.05</v>
      </c>
      <c r="C67" s="25">
        <f>IFERROR(__xludf.DUMMYFUNCTION("""COMPUTED_VALUE"""),43349.63611111111)</f>
        <v>43349.63611</v>
      </c>
      <c r="D67" s="22">
        <f>IFERROR(__xludf.DUMMYFUNCTION("""COMPUTED_VALUE"""),14.65)</f>
        <v>14.65</v>
      </c>
      <c r="E67" s="26">
        <f t="shared" si="2"/>
        <v>-0.003652288306</v>
      </c>
      <c r="F67" s="25">
        <f>IFERROR(__xludf.DUMMYFUNCTION("""COMPUTED_VALUE"""),43349.63611111111)</f>
        <v>43349.63611</v>
      </c>
      <c r="G67" s="22">
        <f>IFERROR(__xludf.DUMMYFUNCTION("""COMPUTED_VALUE"""),16.34)</f>
        <v>16.34</v>
      </c>
      <c r="H67" s="25">
        <f>IFERROR(__xludf.DUMMYFUNCTION("""COMPUTED_VALUE"""),43349.63611111111)</f>
        <v>43349.63611</v>
      </c>
      <c r="I67" s="22">
        <f>IFERROR(__xludf.DUMMYFUNCTION("""COMPUTED_VALUE"""),17.26)</f>
        <v>17.26</v>
      </c>
      <c r="J67" s="25">
        <f>IFERROR(__xludf.DUMMYFUNCTION("""COMPUTED_VALUE"""),43349.63611111111)</f>
        <v>43349.63611</v>
      </c>
      <c r="K67" s="22">
        <f>IFERROR(__xludf.DUMMYFUNCTION("""COMPUTED_VALUE"""),18.02)</f>
        <v>18.02</v>
      </c>
      <c r="M67" s="22" t="str">
        <f t="shared" si="3"/>
        <v/>
      </c>
      <c r="N67" s="22" t="str">
        <f t="shared" si="1"/>
        <v/>
      </c>
    </row>
    <row r="68" ht="15.75" customHeight="1">
      <c r="A68" s="25">
        <f>IFERROR(__xludf.DUMMYFUNCTION("""COMPUTED_VALUE"""),43350.66666666667)</f>
        <v>43350.66667</v>
      </c>
      <c r="B68" s="22">
        <f>IFERROR(__xludf.DUMMYFUNCTION("""COMPUTED_VALUE"""),2871.68)</f>
        <v>2871.68</v>
      </c>
      <c r="C68" s="25">
        <f>IFERROR(__xludf.DUMMYFUNCTION("""COMPUTED_VALUE"""),43350.63611111111)</f>
        <v>43350.63611</v>
      </c>
      <c r="D68" s="22">
        <f>IFERROR(__xludf.DUMMYFUNCTION("""COMPUTED_VALUE"""),14.88)</f>
        <v>14.88</v>
      </c>
      <c r="E68" s="26">
        <f t="shared" si="2"/>
        <v>-0.002213304147</v>
      </c>
      <c r="F68" s="25">
        <f>IFERROR(__xludf.DUMMYFUNCTION("""COMPUTED_VALUE"""),43350.63611111111)</f>
        <v>43350.63611</v>
      </c>
      <c r="G68" s="22">
        <f>IFERROR(__xludf.DUMMYFUNCTION("""COMPUTED_VALUE"""),16.59)</f>
        <v>16.59</v>
      </c>
      <c r="H68" s="25">
        <f>IFERROR(__xludf.DUMMYFUNCTION("""COMPUTED_VALUE"""),43350.63611111111)</f>
        <v>43350.63611</v>
      </c>
      <c r="I68" s="22">
        <f>IFERROR(__xludf.DUMMYFUNCTION("""COMPUTED_VALUE"""),17.47)</f>
        <v>17.47</v>
      </c>
      <c r="J68" s="25">
        <f>IFERROR(__xludf.DUMMYFUNCTION("""COMPUTED_VALUE"""),43350.63611111111)</f>
        <v>43350.63611</v>
      </c>
      <c r="K68" s="22">
        <f>IFERROR(__xludf.DUMMYFUNCTION("""COMPUTED_VALUE"""),18.18)</f>
        <v>18.18</v>
      </c>
      <c r="M68" s="22" t="str">
        <f t="shared" si="3"/>
        <v/>
      </c>
      <c r="N68" s="22" t="str">
        <f t="shared" si="1"/>
        <v/>
      </c>
    </row>
    <row r="69" ht="15.75" customHeight="1">
      <c r="A69" s="25">
        <f>IFERROR(__xludf.DUMMYFUNCTION("""COMPUTED_VALUE"""),43353.66666666667)</f>
        <v>43353.66667</v>
      </c>
      <c r="B69" s="22">
        <f>IFERROR(__xludf.DUMMYFUNCTION("""COMPUTED_VALUE"""),2877.13)</f>
        <v>2877.13</v>
      </c>
      <c r="C69" s="25">
        <f>IFERROR(__xludf.DUMMYFUNCTION("""COMPUTED_VALUE"""),43353.63611111111)</f>
        <v>43353.63611</v>
      </c>
      <c r="D69" s="22">
        <f>IFERROR(__xludf.DUMMYFUNCTION("""COMPUTED_VALUE"""),14.16)</f>
        <v>14.16</v>
      </c>
      <c r="E69" s="26">
        <f t="shared" si="2"/>
        <v>0.001897843771</v>
      </c>
      <c r="F69" s="25">
        <f>IFERROR(__xludf.DUMMYFUNCTION("""COMPUTED_VALUE"""),43353.63611111111)</f>
        <v>43353.63611</v>
      </c>
      <c r="G69" s="22">
        <f>IFERROR(__xludf.DUMMYFUNCTION("""COMPUTED_VALUE"""),16.17)</f>
        <v>16.17</v>
      </c>
      <c r="H69" s="25">
        <f>IFERROR(__xludf.DUMMYFUNCTION("""COMPUTED_VALUE"""),43353.63611111111)</f>
        <v>43353.63611</v>
      </c>
      <c r="I69" s="22">
        <f>IFERROR(__xludf.DUMMYFUNCTION("""COMPUTED_VALUE"""),17.15)</f>
        <v>17.15</v>
      </c>
      <c r="J69" s="25">
        <f>IFERROR(__xludf.DUMMYFUNCTION("""COMPUTED_VALUE"""),43353.63611111111)</f>
        <v>43353.63611</v>
      </c>
      <c r="K69" s="22">
        <f>IFERROR(__xludf.DUMMYFUNCTION("""COMPUTED_VALUE"""),18.04)</f>
        <v>18.04</v>
      </c>
      <c r="M69" s="22" t="str">
        <f t="shared" si="3"/>
        <v/>
      </c>
      <c r="N69" s="22" t="str">
        <f t="shared" si="1"/>
        <v/>
      </c>
    </row>
    <row r="70" ht="15.75" customHeight="1">
      <c r="A70" s="25">
        <f>IFERROR(__xludf.DUMMYFUNCTION("""COMPUTED_VALUE"""),43354.66666666667)</f>
        <v>43354.66667</v>
      </c>
      <c r="B70" s="22">
        <f>IFERROR(__xludf.DUMMYFUNCTION("""COMPUTED_VALUE"""),2887.89)</f>
        <v>2887.89</v>
      </c>
      <c r="C70" s="25">
        <f>IFERROR(__xludf.DUMMYFUNCTION("""COMPUTED_VALUE"""),43354.63611111111)</f>
        <v>43354.63611</v>
      </c>
      <c r="D70" s="22">
        <f>IFERROR(__xludf.DUMMYFUNCTION("""COMPUTED_VALUE"""),13.22)</f>
        <v>13.22</v>
      </c>
      <c r="E70" s="26">
        <f t="shared" si="2"/>
        <v>0.003739837964</v>
      </c>
      <c r="F70" s="25">
        <f>IFERROR(__xludf.DUMMYFUNCTION("""COMPUTED_VALUE"""),43354.63611111111)</f>
        <v>43354.63611</v>
      </c>
      <c r="G70" s="22">
        <f>IFERROR(__xludf.DUMMYFUNCTION("""COMPUTED_VALUE"""),15.54)</f>
        <v>15.54</v>
      </c>
      <c r="H70" s="25">
        <f>IFERROR(__xludf.DUMMYFUNCTION("""COMPUTED_VALUE"""),43354.63611111111)</f>
        <v>43354.63611</v>
      </c>
      <c r="I70" s="22">
        <f>IFERROR(__xludf.DUMMYFUNCTION("""COMPUTED_VALUE"""),16.64)</f>
        <v>16.64</v>
      </c>
      <c r="J70" s="25">
        <f>IFERROR(__xludf.DUMMYFUNCTION("""COMPUTED_VALUE"""),43354.63611111111)</f>
        <v>43354.63611</v>
      </c>
      <c r="K70" s="22">
        <f>IFERROR(__xludf.DUMMYFUNCTION("""COMPUTED_VALUE"""),17.68)</f>
        <v>17.68</v>
      </c>
      <c r="M70" s="22" t="str">
        <f t="shared" si="3"/>
        <v/>
      </c>
      <c r="N70" s="22" t="str">
        <f t="shared" si="1"/>
        <v/>
      </c>
    </row>
    <row r="71" ht="15.75" customHeight="1">
      <c r="A71" s="25">
        <f>IFERROR(__xludf.DUMMYFUNCTION("""COMPUTED_VALUE"""),43355.66666666667)</f>
        <v>43355.66667</v>
      </c>
      <c r="B71" s="22">
        <f>IFERROR(__xludf.DUMMYFUNCTION("""COMPUTED_VALUE"""),2888.92)</f>
        <v>2888.92</v>
      </c>
      <c r="C71" s="25">
        <f>IFERROR(__xludf.DUMMYFUNCTION("""COMPUTED_VALUE"""),43355.63611111111)</f>
        <v>43355.63611</v>
      </c>
      <c r="D71" s="22">
        <f>IFERROR(__xludf.DUMMYFUNCTION("""COMPUTED_VALUE"""),13.14)</f>
        <v>13.14</v>
      </c>
      <c r="E71" s="26">
        <f t="shared" si="2"/>
        <v>0.0003566617842</v>
      </c>
      <c r="F71" s="25">
        <f>IFERROR(__xludf.DUMMYFUNCTION("""COMPUTED_VALUE"""),43355.63611111111)</f>
        <v>43355.63611</v>
      </c>
      <c r="G71" s="22">
        <f>IFERROR(__xludf.DUMMYFUNCTION("""COMPUTED_VALUE"""),15.32)</f>
        <v>15.32</v>
      </c>
      <c r="H71" s="25">
        <f>IFERROR(__xludf.DUMMYFUNCTION("""COMPUTED_VALUE"""),43355.63611111111)</f>
        <v>43355.63611</v>
      </c>
      <c r="I71" s="22">
        <f>IFERROR(__xludf.DUMMYFUNCTION("""COMPUTED_VALUE"""),16.4)</f>
        <v>16.4</v>
      </c>
      <c r="J71" s="25">
        <f>IFERROR(__xludf.DUMMYFUNCTION("""COMPUTED_VALUE"""),43355.63611111111)</f>
        <v>43355.63611</v>
      </c>
      <c r="K71" s="22">
        <f>IFERROR(__xludf.DUMMYFUNCTION("""COMPUTED_VALUE"""),17.45)</f>
        <v>17.45</v>
      </c>
      <c r="M71" s="22" t="str">
        <f t="shared" si="3"/>
        <v/>
      </c>
      <c r="N71" s="22" t="str">
        <f t="shared" si="1"/>
        <v/>
      </c>
    </row>
    <row r="72" ht="15.75" customHeight="1">
      <c r="A72" s="25">
        <f>IFERROR(__xludf.DUMMYFUNCTION("""COMPUTED_VALUE"""),43356.66666666667)</f>
        <v>43356.66667</v>
      </c>
      <c r="B72" s="22">
        <f>IFERROR(__xludf.DUMMYFUNCTION("""COMPUTED_VALUE"""),2904.18)</f>
        <v>2904.18</v>
      </c>
      <c r="C72" s="25">
        <f>IFERROR(__xludf.DUMMYFUNCTION("""COMPUTED_VALUE"""),43356.63611111111)</f>
        <v>43356.63611</v>
      </c>
      <c r="D72" s="22">
        <f>IFERROR(__xludf.DUMMYFUNCTION("""COMPUTED_VALUE"""),12.37)</f>
        <v>12.37</v>
      </c>
      <c r="E72" s="26">
        <f t="shared" si="2"/>
        <v>0.005282250807</v>
      </c>
      <c r="F72" s="25">
        <f>IFERROR(__xludf.DUMMYFUNCTION("""COMPUTED_VALUE"""),43356.63611111111)</f>
        <v>43356.63611</v>
      </c>
      <c r="G72" s="22">
        <f>IFERROR(__xludf.DUMMYFUNCTION("""COMPUTED_VALUE"""),14.77)</f>
        <v>14.77</v>
      </c>
      <c r="H72" s="25">
        <f>IFERROR(__xludf.DUMMYFUNCTION("""COMPUTED_VALUE"""),43356.63611111111)</f>
        <v>43356.63611</v>
      </c>
      <c r="I72" s="22">
        <f>IFERROR(__xludf.DUMMYFUNCTION("""COMPUTED_VALUE"""),15.86)</f>
        <v>15.86</v>
      </c>
      <c r="J72" s="25">
        <f>IFERROR(__xludf.DUMMYFUNCTION("""COMPUTED_VALUE"""),43356.63611111111)</f>
        <v>43356.63611</v>
      </c>
      <c r="K72" s="22">
        <f>IFERROR(__xludf.DUMMYFUNCTION("""COMPUTED_VALUE"""),17.11)</f>
        <v>17.11</v>
      </c>
      <c r="M72" s="22" t="str">
        <f t="shared" si="3"/>
        <v/>
      </c>
      <c r="N72" s="22" t="str">
        <f t="shared" si="1"/>
        <v/>
      </c>
    </row>
    <row r="73" ht="15.75" customHeight="1">
      <c r="A73" s="25">
        <f>IFERROR(__xludf.DUMMYFUNCTION("""COMPUTED_VALUE"""),43357.66666666667)</f>
        <v>43357.66667</v>
      </c>
      <c r="B73" s="22">
        <f>IFERROR(__xludf.DUMMYFUNCTION("""COMPUTED_VALUE"""),2904.98)</f>
        <v>2904.98</v>
      </c>
      <c r="C73" s="25">
        <f>IFERROR(__xludf.DUMMYFUNCTION("""COMPUTED_VALUE"""),43357.63611111111)</f>
        <v>43357.63611</v>
      </c>
      <c r="D73" s="22">
        <f>IFERROR(__xludf.DUMMYFUNCTION("""COMPUTED_VALUE"""),12.07)</f>
        <v>12.07</v>
      </c>
      <c r="E73" s="26">
        <f t="shared" si="2"/>
        <v>0.0002754650194</v>
      </c>
      <c r="F73" s="25">
        <f>IFERROR(__xludf.DUMMYFUNCTION("""COMPUTED_VALUE"""),43357.63611111111)</f>
        <v>43357.63611</v>
      </c>
      <c r="G73" s="22">
        <f>IFERROR(__xludf.DUMMYFUNCTION("""COMPUTED_VALUE"""),14.37)</f>
        <v>14.37</v>
      </c>
      <c r="H73" s="25">
        <f>IFERROR(__xludf.DUMMYFUNCTION("""COMPUTED_VALUE"""),43357.63611111111)</f>
        <v>43357.63611</v>
      </c>
      <c r="I73" s="22">
        <f>IFERROR(__xludf.DUMMYFUNCTION("""COMPUTED_VALUE"""),15.6)</f>
        <v>15.6</v>
      </c>
      <c r="J73" s="25">
        <f>IFERROR(__xludf.DUMMYFUNCTION("""COMPUTED_VALUE"""),43357.63611111111)</f>
        <v>43357.63611</v>
      </c>
      <c r="K73" s="22">
        <f>IFERROR(__xludf.DUMMYFUNCTION("""COMPUTED_VALUE"""),16.98)</f>
        <v>16.98</v>
      </c>
      <c r="M73" s="22" t="str">
        <f t="shared" si="3"/>
        <v/>
      </c>
      <c r="N73" s="22" t="str">
        <f t="shared" si="1"/>
        <v/>
      </c>
    </row>
    <row r="74" ht="15.75" customHeight="1">
      <c r="A74" s="25">
        <f>IFERROR(__xludf.DUMMYFUNCTION("""COMPUTED_VALUE"""),43360.66666666667)</f>
        <v>43360.66667</v>
      </c>
      <c r="B74" s="22">
        <f>IFERROR(__xludf.DUMMYFUNCTION("""COMPUTED_VALUE"""),2888.8)</f>
        <v>2888.8</v>
      </c>
      <c r="C74" s="25">
        <f>IFERROR(__xludf.DUMMYFUNCTION("""COMPUTED_VALUE"""),43360.63611111111)</f>
        <v>43360.63611</v>
      </c>
      <c r="D74" s="22">
        <f>IFERROR(__xludf.DUMMYFUNCTION("""COMPUTED_VALUE"""),13.68)</f>
        <v>13.68</v>
      </c>
      <c r="E74" s="26">
        <f t="shared" si="2"/>
        <v>-0.005569745747</v>
      </c>
      <c r="F74" s="25">
        <f>IFERROR(__xludf.DUMMYFUNCTION("""COMPUTED_VALUE"""),43360.63611111111)</f>
        <v>43360.63611</v>
      </c>
      <c r="G74" s="22">
        <f>IFERROR(__xludf.DUMMYFUNCTION("""COMPUTED_VALUE"""),15.28)</f>
        <v>15.28</v>
      </c>
      <c r="H74" s="25">
        <f>IFERROR(__xludf.DUMMYFUNCTION("""COMPUTED_VALUE"""),43360.63611111111)</f>
        <v>43360.63611</v>
      </c>
      <c r="I74" s="22">
        <f>IFERROR(__xludf.DUMMYFUNCTION("""COMPUTED_VALUE"""),16.1)</f>
        <v>16.1</v>
      </c>
      <c r="J74" s="25">
        <f>IFERROR(__xludf.DUMMYFUNCTION("""COMPUTED_VALUE"""),43360.63611111111)</f>
        <v>43360.63611</v>
      </c>
      <c r="K74" s="22">
        <f>IFERROR(__xludf.DUMMYFUNCTION("""COMPUTED_VALUE"""),17.23)</f>
        <v>17.23</v>
      </c>
      <c r="M74" s="22" t="str">
        <f t="shared" si="3"/>
        <v/>
      </c>
      <c r="N74" s="22" t="str">
        <f t="shared" si="1"/>
        <v/>
      </c>
    </row>
    <row r="75" ht="15.75" customHeight="1">
      <c r="A75" s="25">
        <f>IFERROR(__xludf.DUMMYFUNCTION("""COMPUTED_VALUE"""),43361.66666666667)</f>
        <v>43361.66667</v>
      </c>
      <c r="B75" s="22">
        <f>IFERROR(__xludf.DUMMYFUNCTION("""COMPUTED_VALUE"""),2904.31)</f>
        <v>2904.31</v>
      </c>
      <c r="C75" s="25">
        <f>IFERROR(__xludf.DUMMYFUNCTION("""COMPUTED_VALUE"""),43361.63611111111)</f>
        <v>43361.63611</v>
      </c>
      <c r="D75" s="22">
        <f>IFERROR(__xludf.DUMMYFUNCTION("""COMPUTED_VALUE"""),12.79)</f>
        <v>12.79</v>
      </c>
      <c r="E75" s="26">
        <f t="shared" si="2"/>
        <v>0.005369011354</v>
      </c>
      <c r="F75" s="25">
        <f>IFERROR(__xludf.DUMMYFUNCTION("""COMPUTED_VALUE"""),43361.63611111111)</f>
        <v>43361.63611</v>
      </c>
      <c r="G75" s="22">
        <f>IFERROR(__xludf.DUMMYFUNCTION("""COMPUTED_VALUE"""),15.04)</f>
        <v>15.04</v>
      </c>
      <c r="H75" s="25">
        <f>IFERROR(__xludf.DUMMYFUNCTION("""COMPUTED_VALUE"""),43361.63611111111)</f>
        <v>43361.63611</v>
      </c>
      <c r="I75" s="22">
        <f>IFERROR(__xludf.DUMMYFUNCTION("""COMPUTED_VALUE"""),15.99)</f>
        <v>15.99</v>
      </c>
      <c r="J75" s="25">
        <f>IFERROR(__xludf.DUMMYFUNCTION("""COMPUTED_VALUE"""),43361.63611111111)</f>
        <v>43361.63611</v>
      </c>
      <c r="K75" s="22">
        <f>IFERROR(__xludf.DUMMYFUNCTION("""COMPUTED_VALUE"""),17.1)</f>
        <v>17.1</v>
      </c>
      <c r="M75" s="22" t="str">
        <f t="shared" si="3"/>
        <v/>
      </c>
      <c r="N75" s="22" t="str">
        <f t="shared" si="1"/>
        <v/>
      </c>
    </row>
    <row r="76" ht="15.75" customHeight="1">
      <c r="A76" s="25">
        <f>IFERROR(__xludf.DUMMYFUNCTION("""COMPUTED_VALUE"""),43362.66666666667)</f>
        <v>43362.66667</v>
      </c>
      <c r="B76" s="22">
        <f>IFERROR(__xludf.DUMMYFUNCTION("""COMPUTED_VALUE"""),2907.95)</f>
        <v>2907.95</v>
      </c>
      <c r="C76" s="25">
        <f>IFERROR(__xludf.DUMMYFUNCTION("""COMPUTED_VALUE"""),43362.63611111111)</f>
        <v>43362.63611</v>
      </c>
      <c r="D76" s="22">
        <f>IFERROR(__xludf.DUMMYFUNCTION("""COMPUTED_VALUE"""),11.75)</f>
        <v>11.75</v>
      </c>
      <c r="E76" s="26">
        <f t="shared" si="2"/>
        <v>0.001253309736</v>
      </c>
      <c r="F76" s="25">
        <f>IFERROR(__xludf.DUMMYFUNCTION("""COMPUTED_VALUE"""),43362.63611111111)</f>
        <v>43362.63611</v>
      </c>
      <c r="G76" s="22">
        <f>IFERROR(__xludf.DUMMYFUNCTION("""COMPUTED_VALUE"""),14.65)</f>
        <v>14.65</v>
      </c>
      <c r="H76" s="25">
        <f>IFERROR(__xludf.DUMMYFUNCTION("""COMPUTED_VALUE"""),43362.63611111111)</f>
        <v>43362.63611</v>
      </c>
      <c r="I76" s="22">
        <f>IFERROR(__xludf.DUMMYFUNCTION("""COMPUTED_VALUE"""),15.85)</f>
        <v>15.85</v>
      </c>
      <c r="J76" s="25">
        <f>IFERROR(__xludf.DUMMYFUNCTION("""COMPUTED_VALUE"""),43362.63611111111)</f>
        <v>43362.63611</v>
      </c>
      <c r="K76" s="22">
        <f>IFERROR(__xludf.DUMMYFUNCTION("""COMPUTED_VALUE"""),16.99)</f>
        <v>16.99</v>
      </c>
      <c r="M76" s="22" t="str">
        <f t="shared" si="3"/>
        <v/>
      </c>
      <c r="N76" s="22" t="str">
        <f t="shared" si="1"/>
        <v/>
      </c>
    </row>
    <row r="77" ht="15.75" customHeight="1">
      <c r="A77" s="25">
        <f>IFERROR(__xludf.DUMMYFUNCTION("""COMPUTED_VALUE"""),43363.66666666667)</f>
        <v>43363.66667</v>
      </c>
      <c r="B77" s="22">
        <f>IFERROR(__xludf.DUMMYFUNCTION("""COMPUTED_VALUE"""),2930.75)</f>
        <v>2930.75</v>
      </c>
      <c r="C77" s="25">
        <f>IFERROR(__xludf.DUMMYFUNCTION("""COMPUTED_VALUE"""),43363.63611111111)</f>
        <v>43363.63611</v>
      </c>
      <c r="D77" s="22">
        <f>IFERROR(__xludf.DUMMYFUNCTION("""COMPUTED_VALUE"""),11.8)</f>
        <v>11.8</v>
      </c>
      <c r="E77" s="26">
        <f t="shared" si="2"/>
        <v>0.007840574975</v>
      </c>
      <c r="F77" s="25">
        <f>IFERROR(__xludf.DUMMYFUNCTION("""COMPUTED_VALUE"""),43363.63611111111)</f>
        <v>43363.63611</v>
      </c>
      <c r="G77" s="22">
        <f>IFERROR(__xludf.DUMMYFUNCTION("""COMPUTED_VALUE"""),14.51)</f>
        <v>14.51</v>
      </c>
      <c r="H77" s="25">
        <f>IFERROR(__xludf.DUMMYFUNCTION("""COMPUTED_VALUE"""),43363.63611111111)</f>
        <v>43363.63611</v>
      </c>
      <c r="I77" s="22">
        <f>IFERROR(__xludf.DUMMYFUNCTION("""COMPUTED_VALUE"""),15.7)</f>
        <v>15.7</v>
      </c>
      <c r="J77" s="25">
        <f>IFERROR(__xludf.DUMMYFUNCTION("""COMPUTED_VALUE"""),43363.63611111111)</f>
        <v>43363.63611</v>
      </c>
      <c r="K77" s="22">
        <f>IFERROR(__xludf.DUMMYFUNCTION("""COMPUTED_VALUE"""),16.84)</f>
        <v>16.84</v>
      </c>
      <c r="M77" s="22" t="str">
        <f t="shared" si="3"/>
        <v/>
      </c>
      <c r="N77" s="22" t="str">
        <f t="shared" si="1"/>
        <v/>
      </c>
    </row>
    <row r="78" ht="15.75" customHeight="1">
      <c r="A78" s="25">
        <f>IFERROR(__xludf.DUMMYFUNCTION("""COMPUTED_VALUE"""),43364.66666666667)</f>
        <v>43364.66667</v>
      </c>
      <c r="B78" s="22">
        <f>IFERROR(__xludf.DUMMYFUNCTION("""COMPUTED_VALUE"""),2929.67)</f>
        <v>2929.67</v>
      </c>
      <c r="C78" s="25">
        <f>IFERROR(__xludf.DUMMYFUNCTION("""COMPUTED_VALUE"""),43364.63611111111)</f>
        <v>43364.63611</v>
      </c>
      <c r="D78" s="22">
        <f>IFERROR(__xludf.DUMMYFUNCTION("""COMPUTED_VALUE"""),11.68)</f>
        <v>11.68</v>
      </c>
      <c r="E78" s="26">
        <f t="shared" si="2"/>
        <v>-0.000368506355</v>
      </c>
      <c r="F78" s="25">
        <f>IFERROR(__xludf.DUMMYFUNCTION("""COMPUTED_VALUE"""),43364.63611111111)</f>
        <v>43364.63611</v>
      </c>
      <c r="G78" s="22">
        <f>IFERROR(__xludf.DUMMYFUNCTION("""COMPUTED_VALUE"""),14.58)</f>
        <v>14.58</v>
      </c>
      <c r="H78" s="25">
        <f>IFERROR(__xludf.DUMMYFUNCTION("""COMPUTED_VALUE"""),43364.63611111111)</f>
        <v>43364.63611</v>
      </c>
      <c r="I78" s="22">
        <f>IFERROR(__xludf.DUMMYFUNCTION("""COMPUTED_VALUE"""),15.9)</f>
        <v>15.9</v>
      </c>
      <c r="J78" s="25">
        <f>IFERROR(__xludf.DUMMYFUNCTION("""COMPUTED_VALUE"""),43364.63611111111)</f>
        <v>43364.63611</v>
      </c>
      <c r="K78" s="22">
        <f>IFERROR(__xludf.DUMMYFUNCTION("""COMPUTED_VALUE"""),17.0)</f>
        <v>17</v>
      </c>
      <c r="M78" s="22" t="str">
        <f t="shared" si="3"/>
        <v/>
      </c>
      <c r="N78" s="22" t="str">
        <f t="shared" si="1"/>
        <v/>
      </c>
    </row>
    <row r="79" ht="15.75" customHeight="1">
      <c r="A79" s="25">
        <f>IFERROR(__xludf.DUMMYFUNCTION("""COMPUTED_VALUE"""),43367.66666666667)</f>
        <v>43367.66667</v>
      </c>
      <c r="B79" s="22">
        <f>IFERROR(__xludf.DUMMYFUNCTION("""COMPUTED_VALUE"""),2919.37)</f>
        <v>2919.37</v>
      </c>
      <c r="C79" s="25">
        <f>IFERROR(__xludf.DUMMYFUNCTION("""COMPUTED_VALUE"""),43367.63611111111)</f>
        <v>43367.63611</v>
      </c>
      <c r="D79" s="22">
        <f>IFERROR(__xludf.DUMMYFUNCTION("""COMPUTED_VALUE"""),12.2)</f>
        <v>12.2</v>
      </c>
      <c r="E79" s="26">
        <f t="shared" si="2"/>
        <v>-0.003515754334</v>
      </c>
      <c r="F79" s="25">
        <f>IFERROR(__xludf.DUMMYFUNCTION("""COMPUTED_VALUE"""),43367.63611111111)</f>
        <v>43367.63611</v>
      </c>
      <c r="G79" s="22">
        <f>IFERROR(__xludf.DUMMYFUNCTION("""COMPUTED_VALUE"""),14.77)</f>
        <v>14.77</v>
      </c>
      <c r="H79" s="25">
        <f>IFERROR(__xludf.DUMMYFUNCTION("""COMPUTED_VALUE"""),43367.63611111111)</f>
        <v>43367.63611</v>
      </c>
      <c r="I79" s="22">
        <f>IFERROR(__xludf.DUMMYFUNCTION("""COMPUTED_VALUE"""),15.96)</f>
        <v>15.96</v>
      </c>
      <c r="J79" s="25">
        <f>IFERROR(__xludf.DUMMYFUNCTION("""COMPUTED_VALUE"""),43367.63611111111)</f>
        <v>43367.63611</v>
      </c>
      <c r="K79" s="22">
        <f>IFERROR(__xludf.DUMMYFUNCTION("""COMPUTED_VALUE"""),17.07)</f>
        <v>17.07</v>
      </c>
      <c r="M79" s="22" t="str">
        <f t="shared" si="3"/>
        <v/>
      </c>
      <c r="N79" s="22" t="str">
        <f t="shared" si="1"/>
        <v/>
      </c>
    </row>
    <row r="80" ht="15.75" customHeight="1">
      <c r="A80" s="25">
        <f>IFERROR(__xludf.DUMMYFUNCTION("""COMPUTED_VALUE"""),43368.66666666667)</f>
        <v>43368.66667</v>
      </c>
      <c r="B80" s="22">
        <f>IFERROR(__xludf.DUMMYFUNCTION("""COMPUTED_VALUE"""),2915.56)</f>
        <v>2915.56</v>
      </c>
      <c r="C80" s="25">
        <f>IFERROR(__xludf.DUMMYFUNCTION("""COMPUTED_VALUE"""),43368.63611111111)</f>
        <v>43368.63611</v>
      </c>
      <c r="D80" s="22">
        <f>IFERROR(__xludf.DUMMYFUNCTION("""COMPUTED_VALUE"""),12.42)</f>
        <v>12.42</v>
      </c>
      <c r="E80" s="26">
        <f t="shared" si="2"/>
        <v>-0.001305076095</v>
      </c>
      <c r="F80" s="25">
        <f>IFERROR(__xludf.DUMMYFUNCTION("""COMPUTED_VALUE"""),43368.63611111111)</f>
        <v>43368.63611</v>
      </c>
      <c r="G80" s="22">
        <f>IFERROR(__xludf.DUMMYFUNCTION("""COMPUTED_VALUE"""),14.92)</f>
        <v>14.92</v>
      </c>
      <c r="H80" s="25">
        <f>IFERROR(__xludf.DUMMYFUNCTION("""COMPUTED_VALUE"""),43368.63611111111)</f>
        <v>43368.63611</v>
      </c>
      <c r="I80" s="22">
        <f>IFERROR(__xludf.DUMMYFUNCTION("""COMPUTED_VALUE"""),16.05)</f>
        <v>16.05</v>
      </c>
      <c r="J80" s="25">
        <f>IFERROR(__xludf.DUMMYFUNCTION("""COMPUTED_VALUE"""),43368.63611111111)</f>
        <v>43368.63611</v>
      </c>
      <c r="K80" s="22">
        <f>IFERROR(__xludf.DUMMYFUNCTION("""COMPUTED_VALUE"""),17.11)</f>
        <v>17.11</v>
      </c>
      <c r="M80" s="22" t="str">
        <f t="shared" si="3"/>
        <v/>
      </c>
      <c r="N80" s="22" t="str">
        <f t="shared" si="1"/>
        <v/>
      </c>
    </row>
    <row r="81" ht="15.75" customHeight="1">
      <c r="A81" s="25">
        <f>IFERROR(__xludf.DUMMYFUNCTION("""COMPUTED_VALUE"""),43369.66666666667)</f>
        <v>43369.66667</v>
      </c>
      <c r="B81" s="22">
        <f>IFERROR(__xludf.DUMMYFUNCTION("""COMPUTED_VALUE"""),2905.97)</f>
        <v>2905.97</v>
      </c>
      <c r="C81" s="25">
        <f>IFERROR(__xludf.DUMMYFUNCTION("""COMPUTED_VALUE"""),43369.63611111111)</f>
        <v>43369.63611</v>
      </c>
      <c r="D81" s="22">
        <f>IFERROR(__xludf.DUMMYFUNCTION("""COMPUTED_VALUE"""),12.89)</f>
        <v>12.89</v>
      </c>
      <c r="E81" s="26">
        <f t="shared" si="2"/>
        <v>-0.003289248035</v>
      </c>
      <c r="F81" s="25">
        <f>IFERROR(__xludf.DUMMYFUNCTION("""COMPUTED_VALUE"""),43369.63611111111)</f>
        <v>43369.63611</v>
      </c>
      <c r="G81" s="22">
        <f>IFERROR(__xludf.DUMMYFUNCTION("""COMPUTED_VALUE"""),15.15)</f>
        <v>15.15</v>
      </c>
      <c r="H81" s="25">
        <f>IFERROR(__xludf.DUMMYFUNCTION("""COMPUTED_VALUE"""),43369.63611111111)</f>
        <v>43369.63611</v>
      </c>
      <c r="I81" s="22">
        <f>IFERROR(__xludf.DUMMYFUNCTION("""COMPUTED_VALUE"""),16.2)</f>
        <v>16.2</v>
      </c>
      <c r="J81" s="25">
        <f>IFERROR(__xludf.DUMMYFUNCTION("""COMPUTED_VALUE"""),43369.63611111111)</f>
        <v>43369.63611</v>
      </c>
      <c r="K81" s="22">
        <f>IFERROR(__xludf.DUMMYFUNCTION("""COMPUTED_VALUE"""),17.25)</f>
        <v>17.25</v>
      </c>
      <c r="M81" s="22" t="str">
        <f t="shared" si="3"/>
        <v/>
      </c>
      <c r="N81" s="22" t="str">
        <f t="shared" si="1"/>
        <v/>
      </c>
    </row>
    <row r="82" ht="15.75" customHeight="1">
      <c r="A82" s="25">
        <f>IFERROR(__xludf.DUMMYFUNCTION("""COMPUTED_VALUE"""),43370.66666666667)</f>
        <v>43370.66667</v>
      </c>
      <c r="B82" s="22">
        <f>IFERROR(__xludf.DUMMYFUNCTION("""COMPUTED_VALUE"""),2914.0)</f>
        <v>2914</v>
      </c>
      <c r="C82" s="25">
        <f>IFERROR(__xludf.DUMMYFUNCTION("""COMPUTED_VALUE"""),43370.63611111111)</f>
        <v>43370.63611</v>
      </c>
      <c r="D82" s="22">
        <f>IFERROR(__xludf.DUMMYFUNCTION("""COMPUTED_VALUE"""),12.41)</f>
        <v>12.41</v>
      </c>
      <c r="E82" s="26">
        <f t="shared" si="2"/>
        <v>0.002763276978</v>
      </c>
      <c r="F82" s="25">
        <f>IFERROR(__xludf.DUMMYFUNCTION("""COMPUTED_VALUE"""),43370.63611111111)</f>
        <v>43370.63611</v>
      </c>
      <c r="G82" s="22">
        <f>IFERROR(__xludf.DUMMYFUNCTION("""COMPUTED_VALUE"""),14.89)</f>
        <v>14.89</v>
      </c>
      <c r="H82" s="25">
        <f>IFERROR(__xludf.DUMMYFUNCTION("""COMPUTED_VALUE"""),43370.63611111111)</f>
        <v>43370.63611</v>
      </c>
      <c r="I82" s="22">
        <f>IFERROR(__xludf.DUMMYFUNCTION("""COMPUTED_VALUE"""),16.07)</f>
        <v>16.07</v>
      </c>
      <c r="J82" s="25">
        <f>IFERROR(__xludf.DUMMYFUNCTION("""COMPUTED_VALUE"""),43370.63611111111)</f>
        <v>43370.63611</v>
      </c>
      <c r="K82" s="22">
        <f>IFERROR(__xludf.DUMMYFUNCTION("""COMPUTED_VALUE"""),17.23)</f>
        <v>17.23</v>
      </c>
      <c r="M82" s="22" t="str">
        <f t="shared" si="3"/>
        <v/>
      </c>
      <c r="N82" s="22" t="str">
        <f t="shared" si="1"/>
        <v/>
      </c>
    </row>
    <row r="83" ht="15.75" customHeight="1">
      <c r="A83" s="25">
        <f>IFERROR(__xludf.DUMMYFUNCTION("""COMPUTED_VALUE"""),43371.66666666667)</f>
        <v>43371.66667</v>
      </c>
      <c r="B83" s="22">
        <f>IFERROR(__xludf.DUMMYFUNCTION("""COMPUTED_VALUE"""),2913.98)</f>
        <v>2913.98</v>
      </c>
      <c r="C83" s="25">
        <f>IFERROR(__xludf.DUMMYFUNCTION("""COMPUTED_VALUE"""),43371.63611111111)</f>
        <v>43371.63611</v>
      </c>
      <c r="D83" s="22">
        <f>IFERROR(__xludf.DUMMYFUNCTION("""COMPUTED_VALUE"""),12.12)</f>
        <v>12.12</v>
      </c>
      <c r="E83" s="26">
        <f t="shared" si="2"/>
        <v>-0.000006863417982</v>
      </c>
      <c r="F83" s="25">
        <f>IFERROR(__xludf.DUMMYFUNCTION("""COMPUTED_VALUE"""),43371.63611111111)</f>
        <v>43371.63611</v>
      </c>
      <c r="G83" s="22">
        <f>IFERROR(__xludf.DUMMYFUNCTION("""COMPUTED_VALUE"""),14.77)</f>
        <v>14.77</v>
      </c>
      <c r="H83" s="25">
        <f>IFERROR(__xludf.DUMMYFUNCTION("""COMPUTED_VALUE"""),43371.63611111111)</f>
        <v>43371.63611</v>
      </c>
      <c r="I83" s="22">
        <f>IFERROR(__xludf.DUMMYFUNCTION("""COMPUTED_VALUE"""),15.98)</f>
        <v>15.98</v>
      </c>
      <c r="J83" s="25">
        <f>IFERROR(__xludf.DUMMYFUNCTION("""COMPUTED_VALUE"""),43371.63611111111)</f>
        <v>43371.63611</v>
      </c>
      <c r="K83" s="22">
        <f>IFERROR(__xludf.DUMMYFUNCTION("""COMPUTED_VALUE"""),17.22)</f>
        <v>17.22</v>
      </c>
      <c r="M83" s="22" t="str">
        <f t="shared" si="3"/>
        <v/>
      </c>
      <c r="N83" s="22" t="str">
        <f t="shared" si="1"/>
        <v/>
      </c>
    </row>
    <row r="84" ht="15.75" customHeight="1">
      <c r="A84" s="25">
        <f>IFERROR(__xludf.DUMMYFUNCTION("""COMPUTED_VALUE"""),43374.66666666667)</f>
        <v>43374.66667</v>
      </c>
      <c r="B84" s="22">
        <f>IFERROR(__xludf.DUMMYFUNCTION("""COMPUTED_VALUE"""),2924.59)</f>
        <v>2924.59</v>
      </c>
      <c r="C84" s="25">
        <f>IFERROR(__xludf.DUMMYFUNCTION("""COMPUTED_VALUE"""),43374.63611111111)</f>
        <v>43374.63611</v>
      </c>
      <c r="D84" s="22">
        <f>IFERROR(__xludf.DUMMYFUNCTION("""COMPUTED_VALUE"""),12.0)</f>
        <v>12</v>
      </c>
      <c r="E84" s="26">
        <f t="shared" si="2"/>
        <v>0.00364106823</v>
      </c>
      <c r="F84" s="25">
        <f>IFERROR(__xludf.DUMMYFUNCTION("""COMPUTED_VALUE"""),43374.63611111111)</f>
        <v>43374.63611</v>
      </c>
      <c r="G84" s="22">
        <f>IFERROR(__xludf.DUMMYFUNCTION("""COMPUTED_VALUE"""),14.74)</f>
        <v>14.74</v>
      </c>
      <c r="H84" s="25">
        <f>IFERROR(__xludf.DUMMYFUNCTION("""COMPUTED_VALUE"""),43374.63611111111)</f>
        <v>43374.63611</v>
      </c>
      <c r="I84" s="22">
        <f>IFERROR(__xludf.DUMMYFUNCTION("""COMPUTED_VALUE"""),15.95)</f>
        <v>15.95</v>
      </c>
      <c r="J84" s="25">
        <f>IFERROR(__xludf.DUMMYFUNCTION("""COMPUTED_VALUE"""),43374.63611111111)</f>
        <v>43374.63611</v>
      </c>
      <c r="K84" s="22">
        <f>IFERROR(__xludf.DUMMYFUNCTION("""COMPUTED_VALUE"""),17.2)</f>
        <v>17.2</v>
      </c>
      <c r="M84" s="22" t="str">
        <f t="shared" si="3"/>
        <v/>
      </c>
      <c r="N84" s="22" t="str">
        <f t="shared" si="1"/>
        <v/>
      </c>
    </row>
    <row r="85" ht="15.75" customHeight="1">
      <c r="A85" s="25">
        <f>IFERROR(__xludf.DUMMYFUNCTION("""COMPUTED_VALUE"""),43375.66666666667)</f>
        <v>43375.66667</v>
      </c>
      <c r="B85" s="22">
        <f>IFERROR(__xludf.DUMMYFUNCTION("""COMPUTED_VALUE"""),2923.43)</f>
        <v>2923.43</v>
      </c>
      <c r="C85" s="25">
        <f>IFERROR(__xludf.DUMMYFUNCTION("""COMPUTED_VALUE"""),43375.63611111111)</f>
        <v>43375.63611</v>
      </c>
      <c r="D85" s="22">
        <f>IFERROR(__xludf.DUMMYFUNCTION("""COMPUTED_VALUE"""),12.05)</f>
        <v>12.05</v>
      </c>
      <c r="E85" s="26">
        <f t="shared" si="2"/>
        <v>-0.0003966367935</v>
      </c>
      <c r="F85" s="25">
        <f>IFERROR(__xludf.DUMMYFUNCTION("""COMPUTED_VALUE"""),43375.63611111111)</f>
        <v>43375.63611</v>
      </c>
      <c r="G85" s="22">
        <f>IFERROR(__xludf.DUMMYFUNCTION("""COMPUTED_VALUE"""),14.84)</f>
        <v>14.84</v>
      </c>
      <c r="H85" s="25">
        <f>IFERROR(__xludf.DUMMYFUNCTION("""COMPUTED_VALUE"""),43375.63611111111)</f>
        <v>43375.63611</v>
      </c>
      <c r="I85" s="22">
        <f>IFERROR(__xludf.DUMMYFUNCTION("""COMPUTED_VALUE"""),16.03)</f>
        <v>16.03</v>
      </c>
      <c r="J85" s="25">
        <f>IFERROR(__xludf.DUMMYFUNCTION("""COMPUTED_VALUE"""),43375.63611111111)</f>
        <v>43375.63611</v>
      </c>
      <c r="K85" s="22">
        <f>IFERROR(__xludf.DUMMYFUNCTION("""COMPUTED_VALUE"""),17.22)</f>
        <v>17.22</v>
      </c>
      <c r="M85" s="22" t="str">
        <f t="shared" si="3"/>
        <v/>
      </c>
      <c r="N85" s="22" t="str">
        <f t="shared" si="1"/>
        <v/>
      </c>
    </row>
    <row r="86" ht="15.75" customHeight="1">
      <c r="A86" s="25">
        <f>IFERROR(__xludf.DUMMYFUNCTION("""COMPUTED_VALUE"""),43376.66666666667)</f>
        <v>43376.66667</v>
      </c>
      <c r="B86" s="22">
        <f>IFERROR(__xludf.DUMMYFUNCTION("""COMPUTED_VALUE"""),2925.51)</f>
        <v>2925.51</v>
      </c>
      <c r="C86" s="25">
        <f>IFERROR(__xludf.DUMMYFUNCTION("""COMPUTED_VALUE"""),43376.63611111111)</f>
        <v>43376.63611</v>
      </c>
      <c r="D86" s="22">
        <f>IFERROR(__xludf.DUMMYFUNCTION("""COMPUTED_VALUE"""),11.61)</f>
        <v>11.61</v>
      </c>
      <c r="E86" s="26">
        <f t="shared" si="2"/>
        <v>0.0007114930065</v>
      </c>
      <c r="F86" s="25">
        <f>IFERROR(__xludf.DUMMYFUNCTION("""COMPUTED_VALUE"""),43376.63611111111)</f>
        <v>43376.63611</v>
      </c>
      <c r="G86" s="22">
        <f>IFERROR(__xludf.DUMMYFUNCTION("""COMPUTED_VALUE"""),14.68)</f>
        <v>14.68</v>
      </c>
      <c r="H86" s="25">
        <f>IFERROR(__xludf.DUMMYFUNCTION("""COMPUTED_VALUE"""),43376.63611111111)</f>
        <v>43376.63611</v>
      </c>
      <c r="I86" s="22">
        <f>IFERROR(__xludf.DUMMYFUNCTION("""COMPUTED_VALUE"""),15.96)</f>
        <v>15.96</v>
      </c>
      <c r="J86" s="25">
        <f>IFERROR(__xludf.DUMMYFUNCTION("""COMPUTED_VALUE"""),43376.63611111111)</f>
        <v>43376.63611</v>
      </c>
      <c r="K86" s="22">
        <f>IFERROR(__xludf.DUMMYFUNCTION("""COMPUTED_VALUE"""),17.17)</f>
        <v>17.17</v>
      </c>
      <c r="M86" s="22" t="str">
        <f t="shared" si="3"/>
        <v/>
      </c>
      <c r="N86" s="22" t="str">
        <f t="shared" si="1"/>
        <v/>
      </c>
    </row>
    <row r="87" ht="15.75" customHeight="1">
      <c r="A87" s="25">
        <f>IFERROR(__xludf.DUMMYFUNCTION("""COMPUTED_VALUE"""),43377.66666666667)</f>
        <v>43377.66667</v>
      </c>
      <c r="B87" s="22">
        <f>IFERROR(__xludf.DUMMYFUNCTION("""COMPUTED_VALUE"""),2901.61)</f>
        <v>2901.61</v>
      </c>
      <c r="C87" s="25">
        <f>IFERROR(__xludf.DUMMYFUNCTION("""COMPUTED_VALUE"""),43377.63611111111)</f>
        <v>43377.63611</v>
      </c>
      <c r="D87" s="22">
        <f>IFERROR(__xludf.DUMMYFUNCTION("""COMPUTED_VALUE"""),14.22)</f>
        <v>14.22</v>
      </c>
      <c r="E87" s="26">
        <f t="shared" si="2"/>
        <v>-0.008169515743</v>
      </c>
      <c r="F87" s="25">
        <f>IFERROR(__xludf.DUMMYFUNCTION("""COMPUTED_VALUE"""),43377.63611111111)</f>
        <v>43377.63611</v>
      </c>
      <c r="G87" s="22">
        <f>IFERROR(__xludf.DUMMYFUNCTION("""COMPUTED_VALUE"""),15.84)</f>
        <v>15.84</v>
      </c>
      <c r="H87" s="25">
        <f>IFERROR(__xludf.DUMMYFUNCTION("""COMPUTED_VALUE"""),43377.63611111111)</f>
        <v>43377.63611</v>
      </c>
      <c r="I87" s="22">
        <f>IFERROR(__xludf.DUMMYFUNCTION("""COMPUTED_VALUE"""),16.7)</f>
        <v>16.7</v>
      </c>
      <c r="J87" s="25">
        <f>IFERROR(__xludf.DUMMYFUNCTION("""COMPUTED_VALUE"""),43377.63611111111)</f>
        <v>43377.63611</v>
      </c>
      <c r="K87" s="22">
        <f>IFERROR(__xludf.DUMMYFUNCTION("""COMPUTED_VALUE"""),17.61)</f>
        <v>17.61</v>
      </c>
      <c r="M87" s="22" t="str">
        <f t="shared" si="3"/>
        <v/>
      </c>
      <c r="N87" s="22" t="str">
        <f t="shared" si="1"/>
        <v/>
      </c>
    </row>
    <row r="88" ht="15.75" customHeight="1">
      <c r="A88" s="25">
        <f>IFERROR(__xludf.DUMMYFUNCTION("""COMPUTED_VALUE"""),43378.66666666667)</f>
        <v>43378.66667</v>
      </c>
      <c r="B88" s="22">
        <f>IFERROR(__xludf.DUMMYFUNCTION("""COMPUTED_VALUE"""),2885.57)</f>
        <v>2885.57</v>
      </c>
      <c r="C88" s="25">
        <f>IFERROR(__xludf.DUMMYFUNCTION("""COMPUTED_VALUE"""),43378.63611111111)</f>
        <v>43378.63611</v>
      </c>
      <c r="D88" s="22">
        <f>IFERROR(__xludf.DUMMYFUNCTION("""COMPUTED_VALUE"""),14.82)</f>
        <v>14.82</v>
      </c>
      <c r="E88" s="26">
        <f t="shared" si="2"/>
        <v>-0.005527965509</v>
      </c>
      <c r="F88" s="25">
        <f>IFERROR(__xludf.DUMMYFUNCTION("""COMPUTED_VALUE"""),43378.63611111111)</f>
        <v>43378.63611</v>
      </c>
      <c r="G88" s="22">
        <f>IFERROR(__xludf.DUMMYFUNCTION("""COMPUTED_VALUE"""),16.25)</f>
        <v>16.25</v>
      </c>
      <c r="H88" s="25">
        <f>IFERROR(__xludf.DUMMYFUNCTION("""COMPUTED_VALUE"""),43378.63611111111)</f>
        <v>43378.63611</v>
      </c>
      <c r="I88" s="22">
        <f>IFERROR(__xludf.DUMMYFUNCTION("""COMPUTED_VALUE"""),17.14)</f>
        <v>17.14</v>
      </c>
      <c r="J88" s="25">
        <f>IFERROR(__xludf.DUMMYFUNCTION("""COMPUTED_VALUE"""),43378.63611111111)</f>
        <v>43378.63611</v>
      </c>
      <c r="K88" s="22">
        <f>IFERROR(__xludf.DUMMYFUNCTION("""COMPUTED_VALUE"""),17.97)</f>
        <v>17.97</v>
      </c>
      <c r="M88" s="22" t="str">
        <f t="shared" si="3"/>
        <v/>
      </c>
      <c r="N88" s="22" t="str">
        <f t="shared" si="1"/>
        <v/>
      </c>
    </row>
    <row r="89" ht="15.75" customHeight="1">
      <c r="A89" s="25">
        <f>IFERROR(__xludf.DUMMYFUNCTION("""COMPUTED_VALUE"""),43381.66666666667)</f>
        <v>43381.66667</v>
      </c>
      <c r="B89" s="22">
        <f>IFERROR(__xludf.DUMMYFUNCTION("""COMPUTED_VALUE"""),2884.43)</f>
        <v>2884.43</v>
      </c>
      <c r="C89" s="25">
        <f>IFERROR(__xludf.DUMMYFUNCTION("""COMPUTED_VALUE"""),43381.63611111111)</f>
        <v>43381.63611</v>
      </c>
      <c r="D89" s="22">
        <f>IFERROR(__xludf.DUMMYFUNCTION("""COMPUTED_VALUE"""),15.69)</f>
        <v>15.69</v>
      </c>
      <c r="E89" s="26">
        <f t="shared" si="2"/>
        <v>-0.0003950692584</v>
      </c>
      <c r="F89" s="25">
        <f>IFERROR(__xludf.DUMMYFUNCTION("""COMPUTED_VALUE"""),43381.63611111111)</f>
        <v>43381.63611</v>
      </c>
      <c r="G89" s="22">
        <f>IFERROR(__xludf.DUMMYFUNCTION("""COMPUTED_VALUE"""),16.51)</f>
        <v>16.51</v>
      </c>
      <c r="H89" s="25">
        <f>IFERROR(__xludf.DUMMYFUNCTION("""COMPUTED_VALUE"""),43381.63611111111)</f>
        <v>43381.63611</v>
      </c>
      <c r="I89" s="22">
        <f>IFERROR(__xludf.DUMMYFUNCTION("""COMPUTED_VALUE"""),17.36)</f>
        <v>17.36</v>
      </c>
      <c r="J89" s="25">
        <f>IFERROR(__xludf.DUMMYFUNCTION("""COMPUTED_VALUE"""),43381.63611111111)</f>
        <v>43381.63611</v>
      </c>
      <c r="K89" s="22">
        <f>IFERROR(__xludf.DUMMYFUNCTION("""COMPUTED_VALUE"""),18.14)</f>
        <v>18.14</v>
      </c>
      <c r="M89" s="22" t="str">
        <f t="shared" si="3"/>
        <v/>
      </c>
      <c r="N89" s="22" t="str">
        <f t="shared" si="1"/>
        <v/>
      </c>
    </row>
    <row r="90" ht="15.75" customHeight="1">
      <c r="A90" s="25">
        <f>IFERROR(__xludf.DUMMYFUNCTION("""COMPUTED_VALUE"""),43382.66666666667)</f>
        <v>43382.66667</v>
      </c>
      <c r="B90" s="22">
        <f>IFERROR(__xludf.DUMMYFUNCTION("""COMPUTED_VALUE"""),2880.34)</f>
        <v>2880.34</v>
      </c>
      <c r="C90" s="25">
        <f>IFERROR(__xludf.DUMMYFUNCTION("""COMPUTED_VALUE"""),43382.63611111111)</f>
        <v>43382.63611</v>
      </c>
      <c r="D90" s="22">
        <f>IFERROR(__xludf.DUMMYFUNCTION("""COMPUTED_VALUE"""),15.95)</f>
        <v>15.95</v>
      </c>
      <c r="E90" s="26">
        <f t="shared" si="2"/>
        <v>-0.001417957794</v>
      </c>
      <c r="F90" s="25">
        <f>IFERROR(__xludf.DUMMYFUNCTION("""COMPUTED_VALUE"""),43382.63611111111)</f>
        <v>43382.63611</v>
      </c>
      <c r="G90" s="22">
        <f>IFERROR(__xludf.DUMMYFUNCTION("""COMPUTED_VALUE"""),16.63)</f>
        <v>16.63</v>
      </c>
      <c r="H90" s="25">
        <f>IFERROR(__xludf.DUMMYFUNCTION("""COMPUTED_VALUE"""),43382.63611111111)</f>
        <v>43382.63611</v>
      </c>
      <c r="I90" s="22">
        <f>IFERROR(__xludf.DUMMYFUNCTION("""COMPUTED_VALUE"""),17.4)</f>
        <v>17.4</v>
      </c>
      <c r="J90" s="25">
        <f>IFERROR(__xludf.DUMMYFUNCTION("""COMPUTED_VALUE"""),43382.63611111111)</f>
        <v>43382.63611</v>
      </c>
      <c r="K90" s="22">
        <f>IFERROR(__xludf.DUMMYFUNCTION("""COMPUTED_VALUE"""),18.22)</f>
        <v>18.22</v>
      </c>
      <c r="M90" s="22" t="str">
        <f t="shared" si="3"/>
        <v/>
      </c>
      <c r="N90" s="22" t="str">
        <f t="shared" si="1"/>
        <v/>
      </c>
    </row>
    <row r="91" ht="15.75" customHeight="1">
      <c r="A91" s="25">
        <f>IFERROR(__xludf.DUMMYFUNCTION("""COMPUTED_VALUE"""),43383.66666666667)</f>
        <v>43383.66667</v>
      </c>
      <c r="B91" s="22">
        <f>IFERROR(__xludf.DUMMYFUNCTION("""COMPUTED_VALUE"""),2785.68)</f>
        <v>2785.68</v>
      </c>
      <c r="C91" s="25">
        <f>IFERROR(__xludf.DUMMYFUNCTION("""COMPUTED_VALUE"""),43383.63611111111)</f>
        <v>43383.63611</v>
      </c>
      <c r="D91" s="22">
        <f>IFERROR(__xludf.DUMMYFUNCTION("""COMPUTED_VALUE"""),22.96)</f>
        <v>22.96</v>
      </c>
      <c r="E91" s="26">
        <f t="shared" si="2"/>
        <v>-0.03286417576</v>
      </c>
      <c r="F91" s="25">
        <f>IFERROR(__xludf.DUMMYFUNCTION("""COMPUTED_VALUE"""),43383.63611111111)</f>
        <v>43383.63611</v>
      </c>
      <c r="G91" s="22">
        <f>IFERROR(__xludf.DUMMYFUNCTION("""COMPUTED_VALUE"""),20.7)</f>
        <v>20.7</v>
      </c>
      <c r="H91" s="25">
        <f>IFERROR(__xludf.DUMMYFUNCTION("""COMPUTED_VALUE"""),43383.63611111111)</f>
        <v>43383.63611</v>
      </c>
      <c r="I91" s="22">
        <f>IFERROR(__xludf.DUMMYFUNCTION("""COMPUTED_VALUE"""),20.31)</f>
        <v>20.31</v>
      </c>
      <c r="J91" s="25">
        <f>IFERROR(__xludf.DUMMYFUNCTION("""COMPUTED_VALUE"""),43383.63611111111)</f>
        <v>43383.63611</v>
      </c>
      <c r="K91" s="22">
        <f>IFERROR(__xludf.DUMMYFUNCTION("""COMPUTED_VALUE"""),19.99)</f>
        <v>19.99</v>
      </c>
      <c r="M91" s="22" t="str">
        <f t="shared" si="3"/>
        <v/>
      </c>
      <c r="N91" s="22" t="str">
        <f t="shared" si="1"/>
        <v/>
      </c>
    </row>
    <row r="92" ht="15.75" customHeight="1">
      <c r="A92" s="25">
        <f>IFERROR(__xludf.DUMMYFUNCTION("""COMPUTED_VALUE"""),43384.66666666667)</f>
        <v>43384.66667</v>
      </c>
      <c r="B92" s="22">
        <f>IFERROR(__xludf.DUMMYFUNCTION("""COMPUTED_VALUE"""),2728.37)</f>
        <v>2728.37</v>
      </c>
      <c r="C92" s="25">
        <f>IFERROR(__xludf.DUMMYFUNCTION("""COMPUTED_VALUE"""),43384.63611111111)</f>
        <v>43384.63611</v>
      </c>
      <c r="D92" s="22">
        <f>IFERROR(__xludf.DUMMYFUNCTION("""COMPUTED_VALUE"""),24.98)</f>
        <v>24.98</v>
      </c>
      <c r="E92" s="26">
        <f t="shared" si="2"/>
        <v>-0.02057307372</v>
      </c>
      <c r="F92" s="25">
        <f>IFERROR(__xludf.DUMMYFUNCTION("""COMPUTED_VALUE"""),43384.63611111111)</f>
        <v>43384.63611</v>
      </c>
      <c r="G92" s="22">
        <f>IFERROR(__xludf.DUMMYFUNCTION("""COMPUTED_VALUE"""),21.56)</f>
        <v>21.56</v>
      </c>
      <c r="H92" s="25">
        <f>IFERROR(__xludf.DUMMYFUNCTION("""COMPUTED_VALUE"""),43384.63611111111)</f>
        <v>43384.63611</v>
      </c>
      <c r="I92" s="22">
        <f>IFERROR(__xludf.DUMMYFUNCTION("""COMPUTED_VALUE"""),20.88)</f>
        <v>20.88</v>
      </c>
      <c r="J92" s="25">
        <f>IFERROR(__xludf.DUMMYFUNCTION("""COMPUTED_VALUE"""),43384.63611111111)</f>
        <v>43384.63611</v>
      </c>
      <c r="K92" s="22">
        <f>IFERROR(__xludf.DUMMYFUNCTION("""COMPUTED_VALUE"""),20.53)</f>
        <v>20.53</v>
      </c>
      <c r="M92" s="22" t="str">
        <f t="shared" si="3"/>
        <v/>
      </c>
      <c r="N92" s="22" t="str">
        <f t="shared" si="1"/>
        <v/>
      </c>
    </row>
    <row r="93" ht="15.75" customHeight="1">
      <c r="A93" s="25">
        <f>IFERROR(__xludf.DUMMYFUNCTION("""COMPUTED_VALUE"""),43385.66666666667)</f>
        <v>43385.66667</v>
      </c>
      <c r="B93" s="22">
        <f>IFERROR(__xludf.DUMMYFUNCTION("""COMPUTED_VALUE"""),2767.13)</f>
        <v>2767.13</v>
      </c>
      <c r="C93" s="25">
        <f>IFERROR(__xludf.DUMMYFUNCTION("""COMPUTED_VALUE"""),43385.63611111111)</f>
        <v>43385.63611</v>
      </c>
      <c r="D93" s="22">
        <f>IFERROR(__xludf.DUMMYFUNCTION("""COMPUTED_VALUE"""),21.31)</f>
        <v>21.31</v>
      </c>
      <c r="E93" s="26">
        <f t="shared" si="2"/>
        <v>0.01420628434</v>
      </c>
      <c r="F93" s="25">
        <f>IFERROR(__xludf.DUMMYFUNCTION("""COMPUTED_VALUE"""),43385.63611111111)</f>
        <v>43385.63611</v>
      </c>
      <c r="G93" s="22">
        <f>IFERROR(__xludf.DUMMYFUNCTION("""COMPUTED_VALUE"""),19.84)</f>
        <v>19.84</v>
      </c>
      <c r="H93" s="25">
        <f>IFERROR(__xludf.DUMMYFUNCTION("""COMPUTED_VALUE"""),43385.63611111111)</f>
        <v>43385.63611</v>
      </c>
      <c r="I93" s="22">
        <f>IFERROR(__xludf.DUMMYFUNCTION("""COMPUTED_VALUE"""),19.87)</f>
        <v>19.87</v>
      </c>
      <c r="J93" s="25">
        <f>IFERROR(__xludf.DUMMYFUNCTION("""COMPUTED_VALUE"""),43385.63611111111)</f>
        <v>43385.63611</v>
      </c>
      <c r="K93" s="22">
        <f>IFERROR(__xludf.DUMMYFUNCTION("""COMPUTED_VALUE"""),19.83)</f>
        <v>19.83</v>
      </c>
      <c r="M93" s="22" t="str">
        <f t="shared" si="3"/>
        <v/>
      </c>
      <c r="N93" s="22" t="str">
        <f t="shared" si="1"/>
        <v/>
      </c>
    </row>
    <row r="94" ht="15.75" customHeight="1">
      <c r="A94" s="25">
        <f>IFERROR(__xludf.DUMMYFUNCTION("""COMPUTED_VALUE"""),43388.66666666667)</f>
        <v>43388.66667</v>
      </c>
      <c r="B94" s="22">
        <f>IFERROR(__xludf.DUMMYFUNCTION("""COMPUTED_VALUE"""),2750.79)</f>
        <v>2750.79</v>
      </c>
      <c r="C94" s="25">
        <f>IFERROR(__xludf.DUMMYFUNCTION("""COMPUTED_VALUE"""),43388.63611111111)</f>
        <v>43388.63611</v>
      </c>
      <c r="D94" s="22">
        <f>IFERROR(__xludf.DUMMYFUNCTION("""COMPUTED_VALUE"""),21.3)</f>
        <v>21.3</v>
      </c>
      <c r="E94" s="26">
        <f t="shared" si="2"/>
        <v>-0.005905035181</v>
      </c>
      <c r="F94" s="25">
        <f>IFERROR(__xludf.DUMMYFUNCTION("""COMPUTED_VALUE"""),43388.63611111111)</f>
        <v>43388.63611</v>
      </c>
      <c r="G94" s="22">
        <f>IFERROR(__xludf.DUMMYFUNCTION("""COMPUTED_VALUE"""),20.29)</f>
        <v>20.29</v>
      </c>
      <c r="H94" s="25">
        <f>IFERROR(__xludf.DUMMYFUNCTION("""COMPUTED_VALUE"""),43388.63611111111)</f>
        <v>43388.63611</v>
      </c>
      <c r="I94" s="22">
        <f>IFERROR(__xludf.DUMMYFUNCTION("""COMPUTED_VALUE"""),20.27)</f>
        <v>20.27</v>
      </c>
      <c r="J94" s="25">
        <f>IFERROR(__xludf.DUMMYFUNCTION("""COMPUTED_VALUE"""),43388.63611111111)</f>
        <v>43388.63611</v>
      </c>
      <c r="K94" s="22">
        <f>IFERROR(__xludf.DUMMYFUNCTION("""COMPUTED_VALUE"""),20.19)</f>
        <v>20.19</v>
      </c>
      <c r="M94" s="22" t="str">
        <f t="shared" si="3"/>
        <v/>
      </c>
      <c r="N94" s="22" t="str">
        <f t="shared" si="1"/>
        <v/>
      </c>
    </row>
    <row r="95" ht="15.75" customHeight="1">
      <c r="A95" s="25">
        <f>IFERROR(__xludf.DUMMYFUNCTION("""COMPUTED_VALUE"""),43389.66666666667)</f>
        <v>43389.66667</v>
      </c>
      <c r="B95" s="22">
        <f>IFERROR(__xludf.DUMMYFUNCTION("""COMPUTED_VALUE"""),2809.92)</f>
        <v>2809.92</v>
      </c>
      <c r="C95" s="25">
        <f>IFERROR(__xludf.DUMMYFUNCTION("""COMPUTED_VALUE"""),43389.63611111111)</f>
        <v>43389.63611</v>
      </c>
      <c r="D95" s="22">
        <f>IFERROR(__xludf.DUMMYFUNCTION("""COMPUTED_VALUE"""),17.62)</f>
        <v>17.62</v>
      </c>
      <c r="E95" s="26">
        <f t="shared" si="2"/>
        <v>0.02149564307</v>
      </c>
      <c r="F95" s="25">
        <f>IFERROR(__xludf.DUMMYFUNCTION("""COMPUTED_VALUE"""),43389.63611111111)</f>
        <v>43389.63611</v>
      </c>
      <c r="G95" s="22">
        <f>IFERROR(__xludf.DUMMYFUNCTION("""COMPUTED_VALUE"""),17.96)</f>
        <v>17.96</v>
      </c>
      <c r="H95" s="25">
        <f>IFERROR(__xludf.DUMMYFUNCTION("""COMPUTED_VALUE"""),43389.63611111111)</f>
        <v>43389.63611</v>
      </c>
      <c r="I95" s="22">
        <f>IFERROR(__xludf.DUMMYFUNCTION("""COMPUTED_VALUE"""),18.58)</f>
        <v>18.58</v>
      </c>
      <c r="J95" s="25">
        <f>IFERROR(__xludf.DUMMYFUNCTION("""COMPUTED_VALUE"""),43389.63611111111)</f>
        <v>43389.63611</v>
      </c>
      <c r="K95" s="22">
        <f>IFERROR(__xludf.DUMMYFUNCTION("""COMPUTED_VALUE"""),19.01)</f>
        <v>19.01</v>
      </c>
      <c r="M95" s="22" t="str">
        <f t="shared" si="3"/>
        <v/>
      </c>
      <c r="N95" s="22" t="str">
        <f t="shared" si="1"/>
        <v/>
      </c>
    </row>
    <row r="96" ht="15.75" customHeight="1">
      <c r="A96" s="25">
        <f>IFERROR(__xludf.DUMMYFUNCTION("""COMPUTED_VALUE"""),43390.66666666667)</f>
        <v>43390.66667</v>
      </c>
      <c r="B96" s="22">
        <f>IFERROR(__xludf.DUMMYFUNCTION("""COMPUTED_VALUE"""),2809.21)</f>
        <v>2809.21</v>
      </c>
      <c r="C96" s="25">
        <f>IFERROR(__xludf.DUMMYFUNCTION("""COMPUTED_VALUE"""),43390.63611111111)</f>
        <v>43390.63611</v>
      </c>
      <c r="D96" s="22">
        <f>IFERROR(__xludf.DUMMYFUNCTION("""COMPUTED_VALUE"""),17.4)</f>
        <v>17.4</v>
      </c>
      <c r="E96" s="26">
        <f t="shared" si="2"/>
        <v>-0.0002526762328</v>
      </c>
      <c r="F96" s="25">
        <f>IFERROR(__xludf.DUMMYFUNCTION("""COMPUTED_VALUE"""),43390.63611111111)</f>
        <v>43390.63611</v>
      </c>
      <c r="G96" s="22">
        <f>IFERROR(__xludf.DUMMYFUNCTION("""COMPUTED_VALUE"""),18.1)</f>
        <v>18.1</v>
      </c>
      <c r="H96" s="25">
        <f>IFERROR(__xludf.DUMMYFUNCTION("""COMPUTED_VALUE"""),43390.63611111111)</f>
        <v>43390.63611</v>
      </c>
      <c r="I96" s="22">
        <f>IFERROR(__xludf.DUMMYFUNCTION("""COMPUTED_VALUE"""),18.64)</f>
        <v>18.64</v>
      </c>
      <c r="J96" s="25">
        <f>IFERROR(__xludf.DUMMYFUNCTION("""COMPUTED_VALUE"""),43390.63611111111)</f>
        <v>43390.63611</v>
      </c>
      <c r="K96" s="22">
        <f>IFERROR(__xludf.DUMMYFUNCTION("""COMPUTED_VALUE"""),19.07)</f>
        <v>19.07</v>
      </c>
      <c r="M96" s="22" t="str">
        <f t="shared" si="3"/>
        <v/>
      </c>
      <c r="N96" s="22" t="str">
        <f t="shared" si="1"/>
        <v/>
      </c>
    </row>
    <row r="97" ht="15.75" customHeight="1">
      <c r="A97" s="25">
        <f>IFERROR(__xludf.DUMMYFUNCTION("""COMPUTED_VALUE"""),43391.66666666667)</f>
        <v>43391.66667</v>
      </c>
      <c r="B97" s="22">
        <f>IFERROR(__xludf.DUMMYFUNCTION("""COMPUTED_VALUE"""),2768.78)</f>
        <v>2768.78</v>
      </c>
      <c r="C97" s="25">
        <f>IFERROR(__xludf.DUMMYFUNCTION("""COMPUTED_VALUE"""),43391.63611111111)</f>
        <v>43391.63611</v>
      </c>
      <c r="D97" s="22">
        <f>IFERROR(__xludf.DUMMYFUNCTION("""COMPUTED_VALUE"""),20.06)</f>
        <v>20.06</v>
      </c>
      <c r="E97" s="26">
        <f t="shared" si="2"/>
        <v>-0.01439194649</v>
      </c>
      <c r="F97" s="25">
        <f>IFERROR(__xludf.DUMMYFUNCTION("""COMPUTED_VALUE"""),43391.63611111111)</f>
        <v>43391.63611</v>
      </c>
      <c r="G97" s="22">
        <f>IFERROR(__xludf.DUMMYFUNCTION("""COMPUTED_VALUE"""),19.86)</f>
        <v>19.86</v>
      </c>
      <c r="H97" s="25">
        <f>IFERROR(__xludf.DUMMYFUNCTION("""COMPUTED_VALUE"""),43391.63611111111)</f>
        <v>43391.63611</v>
      </c>
      <c r="I97" s="22">
        <f>IFERROR(__xludf.DUMMYFUNCTION("""COMPUTED_VALUE"""),19.93)</f>
        <v>19.93</v>
      </c>
      <c r="J97" s="25">
        <f>IFERROR(__xludf.DUMMYFUNCTION("""COMPUTED_VALUE"""),43391.63611111111)</f>
        <v>43391.63611</v>
      </c>
      <c r="K97" s="22">
        <f>IFERROR(__xludf.DUMMYFUNCTION("""COMPUTED_VALUE"""),20.01)</f>
        <v>20.01</v>
      </c>
      <c r="M97" s="22" t="str">
        <f t="shared" si="3"/>
        <v/>
      </c>
      <c r="N97" s="22" t="str">
        <f t="shared" si="1"/>
        <v/>
      </c>
    </row>
    <row r="98" ht="15.75" customHeight="1">
      <c r="A98" s="25">
        <f>IFERROR(__xludf.DUMMYFUNCTION("""COMPUTED_VALUE"""),43392.66666666667)</f>
        <v>43392.66667</v>
      </c>
      <c r="B98" s="22">
        <f>IFERROR(__xludf.DUMMYFUNCTION("""COMPUTED_VALUE"""),2767.78)</f>
        <v>2767.78</v>
      </c>
      <c r="C98" s="25">
        <f>IFERROR(__xludf.DUMMYFUNCTION("""COMPUTED_VALUE"""),43392.63611111111)</f>
        <v>43392.63611</v>
      </c>
      <c r="D98" s="22">
        <f>IFERROR(__xludf.DUMMYFUNCTION("""COMPUTED_VALUE"""),19.89)</f>
        <v>19.89</v>
      </c>
      <c r="E98" s="26">
        <f t="shared" si="2"/>
        <v>-0.0003611699015</v>
      </c>
      <c r="F98" s="25">
        <f>IFERROR(__xludf.DUMMYFUNCTION("""COMPUTED_VALUE"""),43392.63611111111)</f>
        <v>43392.63611</v>
      </c>
      <c r="G98" s="22">
        <f>IFERROR(__xludf.DUMMYFUNCTION("""COMPUTED_VALUE"""),19.84)</f>
        <v>19.84</v>
      </c>
      <c r="H98" s="25">
        <f>IFERROR(__xludf.DUMMYFUNCTION("""COMPUTED_VALUE"""),43392.63611111111)</f>
        <v>43392.63611</v>
      </c>
      <c r="I98" s="22">
        <f>IFERROR(__xludf.DUMMYFUNCTION("""COMPUTED_VALUE"""),20.03)</f>
        <v>20.03</v>
      </c>
      <c r="J98" s="25">
        <f>IFERROR(__xludf.DUMMYFUNCTION("""COMPUTED_VALUE"""),43392.63611111111)</f>
        <v>43392.63611</v>
      </c>
      <c r="K98" s="22">
        <f>IFERROR(__xludf.DUMMYFUNCTION("""COMPUTED_VALUE"""),20.08)</f>
        <v>20.08</v>
      </c>
      <c r="M98" s="22" t="str">
        <f t="shared" si="3"/>
        <v/>
      </c>
      <c r="N98" s="22" t="str">
        <f t="shared" si="1"/>
        <v/>
      </c>
    </row>
    <row r="99" ht="15.75" customHeight="1">
      <c r="A99" s="25">
        <f>IFERROR(__xludf.DUMMYFUNCTION("""COMPUTED_VALUE"""),43395.66666666667)</f>
        <v>43395.66667</v>
      </c>
      <c r="B99" s="22">
        <f>IFERROR(__xludf.DUMMYFUNCTION("""COMPUTED_VALUE"""),2755.88)</f>
        <v>2755.88</v>
      </c>
      <c r="C99" s="25">
        <f>IFERROR(__xludf.DUMMYFUNCTION("""COMPUTED_VALUE"""),43395.63611111111)</f>
        <v>43395.63611</v>
      </c>
      <c r="D99" s="22">
        <f>IFERROR(__xludf.DUMMYFUNCTION("""COMPUTED_VALUE"""),19.64)</f>
        <v>19.64</v>
      </c>
      <c r="E99" s="26">
        <f t="shared" si="2"/>
        <v>-0.004299474669</v>
      </c>
      <c r="F99" s="25">
        <f>IFERROR(__xludf.DUMMYFUNCTION("""COMPUTED_VALUE"""),43395.63611111111)</f>
        <v>43395.63611</v>
      </c>
      <c r="G99" s="22">
        <f>IFERROR(__xludf.DUMMYFUNCTION("""COMPUTED_VALUE"""),19.82)</f>
        <v>19.82</v>
      </c>
      <c r="H99" s="25">
        <f>IFERROR(__xludf.DUMMYFUNCTION("""COMPUTED_VALUE"""),43395.63611111111)</f>
        <v>43395.63611</v>
      </c>
      <c r="I99" s="22">
        <f>IFERROR(__xludf.DUMMYFUNCTION("""COMPUTED_VALUE"""),20.01)</f>
        <v>20.01</v>
      </c>
      <c r="J99" s="25">
        <f>IFERROR(__xludf.DUMMYFUNCTION("""COMPUTED_VALUE"""),43395.63611111111)</f>
        <v>43395.63611</v>
      </c>
      <c r="K99" s="22">
        <f>IFERROR(__xludf.DUMMYFUNCTION("""COMPUTED_VALUE"""),20.02)</f>
        <v>20.02</v>
      </c>
      <c r="M99" s="22" t="str">
        <f t="shared" si="3"/>
        <v/>
      </c>
      <c r="N99" s="22" t="str">
        <f t="shared" si="1"/>
        <v/>
      </c>
    </row>
    <row r="100" ht="15.75" customHeight="1">
      <c r="A100" s="25">
        <f>IFERROR(__xludf.DUMMYFUNCTION("""COMPUTED_VALUE"""),43396.66666666667)</f>
        <v>43396.66667</v>
      </c>
      <c r="B100" s="22">
        <f>IFERROR(__xludf.DUMMYFUNCTION("""COMPUTED_VALUE"""),2740.69)</f>
        <v>2740.69</v>
      </c>
      <c r="C100" s="25">
        <f>IFERROR(__xludf.DUMMYFUNCTION("""COMPUTED_VALUE"""),43396.63611111111)</f>
        <v>43396.63611</v>
      </c>
      <c r="D100" s="22">
        <f>IFERROR(__xludf.DUMMYFUNCTION("""COMPUTED_VALUE"""),20.71)</f>
        <v>20.71</v>
      </c>
      <c r="E100" s="26">
        <f t="shared" si="2"/>
        <v>-0.005511851024</v>
      </c>
      <c r="F100" s="25">
        <f>IFERROR(__xludf.DUMMYFUNCTION("""COMPUTED_VALUE"""),43396.63611111111)</f>
        <v>43396.63611</v>
      </c>
      <c r="G100" s="22">
        <f>IFERROR(__xludf.DUMMYFUNCTION("""COMPUTED_VALUE"""),20.28)</f>
        <v>20.28</v>
      </c>
      <c r="H100" s="25">
        <f>IFERROR(__xludf.DUMMYFUNCTION("""COMPUTED_VALUE"""),43396.63611111111)</f>
        <v>43396.63611</v>
      </c>
      <c r="I100" s="22">
        <f>IFERROR(__xludf.DUMMYFUNCTION("""COMPUTED_VALUE"""),20.29)</f>
        <v>20.29</v>
      </c>
      <c r="J100" s="25">
        <f>IFERROR(__xludf.DUMMYFUNCTION("""COMPUTED_VALUE"""),43396.63611111111)</f>
        <v>43396.63611</v>
      </c>
      <c r="K100" s="22">
        <f>IFERROR(__xludf.DUMMYFUNCTION("""COMPUTED_VALUE"""),20.21)</f>
        <v>20.21</v>
      </c>
      <c r="M100" s="22" t="str">
        <f t="shared" si="3"/>
        <v/>
      </c>
      <c r="N100" s="22" t="str">
        <f t="shared" si="1"/>
        <v/>
      </c>
    </row>
    <row r="101" ht="15.75" customHeight="1">
      <c r="A101" s="25">
        <f>IFERROR(__xludf.DUMMYFUNCTION("""COMPUTED_VALUE"""),43397.66666666667)</f>
        <v>43397.66667</v>
      </c>
      <c r="B101" s="22">
        <f>IFERROR(__xludf.DUMMYFUNCTION("""COMPUTED_VALUE"""),2656.1)</f>
        <v>2656.1</v>
      </c>
      <c r="C101" s="25">
        <f>IFERROR(__xludf.DUMMYFUNCTION("""COMPUTED_VALUE"""),43397.63611111111)</f>
        <v>43397.63611</v>
      </c>
      <c r="D101" s="22">
        <f>IFERROR(__xludf.DUMMYFUNCTION("""COMPUTED_VALUE"""),25.23)</f>
        <v>25.23</v>
      </c>
      <c r="E101" s="26">
        <f t="shared" si="2"/>
        <v>-0.03086449033</v>
      </c>
      <c r="F101" s="25">
        <f>IFERROR(__xludf.DUMMYFUNCTION("""COMPUTED_VALUE"""),43397.63611111111)</f>
        <v>43397.63611</v>
      </c>
      <c r="G101" s="22">
        <f>IFERROR(__xludf.DUMMYFUNCTION("""COMPUTED_VALUE"""),22.62)</f>
        <v>22.62</v>
      </c>
      <c r="H101" s="25">
        <f>IFERROR(__xludf.DUMMYFUNCTION("""COMPUTED_VALUE"""),43397.63611111111)</f>
        <v>43397.63611</v>
      </c>
      <c r="I101" s="22">
        <f>IFERROR(__xludf.DUMMYFUNCTION("""COMPUTED_VALUE"""),22.04)</f>
        <v>22.04</v>
      </c>
      <c r="J101" s="25">
        <f>IFERROR(__xludf.DUMMYFUNCTION("""COMPUTED_VALUE"""),43397.63611111111)</f>
        <v>43397.63611</v>
      </c>
      <c r="K101" s="22">
        <f>IFERROR(__xludf.DUMMYFUNCTION("""COMPUTED_VALUE"""),21.49)</f>
        <v>21.49</v>
      </c>
      <c r="M101" s="22" t="str">
        <f t="shared" si="3"/>
        <v/>
      </c>
      <c r="N101" s="22" t="str">
        <f t="shared" si="1"/>
        <v/>
      </c>
    </row>
    <row r="102" ht="15.75" customHeight="1">
      <c r="A102" s="25">
        <f>IFERROR(__xludf.DUMMYFUNCTION("""COMPUTED_VALUE"""),43398.66666666667)</f>
        <v>43398.66667</v>
      </c>
      <c r="B102" s="22">
        <f>IFERROR(__xludf.DUMMYFUNCTION("""COMPUTED_VALUE"""),2705.57)</f>
        <v>2705.57</v>
      </c>
      <c r="C102" s="25">
        <f>IFERROR(__xludf.DUMMYFUNCTION("""COMPUTED_VALUE"""),43398.63611111111)</f>
        <v>43398.63611</v>
      </c>
      <c r="D102" s="22">
        <f>IFERROR(__xludf.DUMMYFUNCTION("""COMPUTED_VALUE"""),24.22)</f>
        <v>24.22</v>
      </c>
      <c r="E102" s="26">
        <f t="shared" si="2"/>
        <v>0.01862505177</v>
      </c>
      <c r="F102" s="25">
        <f>IFERROR(__xludf.DUMMYFUNCTION("""COMPUTED_VALUE"""),43398.63611111111)</f>
        <v>43398.63611</v>
      </c>
      <c r="G102" s="22">
        <f>IFERROR(__xludf.DUMMYFUNCTION("""COMPUTED_VALUE"""),22.44)</f>
        <v>22.44</v>
      </c>
      <c r="H102" s="25">
        <f>IFERROR(__xludf.DUMMYFUNCTION("""COMPUTED_VALUE"""),43398.63611111111)</f>
        <v>43398.63611</v>
      </c>
      <c r="I102" s="22">
        <f>IFERROR(__xludf.DUMMYFUNCTION("""COMPUTED_VALUE"""),21.84)</f>
        <v>21.84</v>
      </c>
      <c r="J102" s="25">
        <f>IFERROR(__xludf.DUMMYFUNCTION("""COMPUTED_VALUE"""),43398.63611111111)</f>
        <v>43398.63611</v>
      </c>
      <c r="K102" s="22">
        <f>IFERROR(__xludf.DUMMYFUNCTION("""COMPUTED_VALUE"""),21.36)</f>
        <v>21.36</v>
      </c>
      <c r="M102" s="22" t="str">
        <f t="shared" si="3"/>
        <v/>
      </c>
      <c r="N102" s="22" t="str">
        <f t="shared" si="1"/>
        <v/>
      </c>
    </row>
    <row r="103" ht="15.75" customHeight="1">
      <c r="A103" s="25">
        <f>IFERROR(__xludf.DUMMYFUNCTION("""COMPUTED_VALUE"""),43399.66666666667)</f>
        <v>43399.66667</v>
      </c>
      <c r="B103" s="22">
        <f>IFERROR(__xludf.DUMMYFUNCTION("""COMPUTED_VALUE"""),2658.69)</f>
        <v>2658.69</v>
      </c>
      <c r="C103" s="25">
        <f>IFERROR(__xludf.DUMMYFUNCTION("""COMPUTED_VALUE"""),43399.63611111111)</f>
        <v>43399.63611</v>
      </c>
      <c r="D103" s="22">
        <f>IFERROR(__xludf.DUMMYFUNCTION("""COMPUTED_VALUE"""),24.16)</f>
        <v>24.16</v>
      </c>
      <c r="E103" s="26">
        <f t="shared" si="2"/>
        <v>-0.01732721755</v>
      </c>
      <c r="F103" s="25">
        <f>IFERROR(__xludf.DUMMYFUNCTION("""COMPUTED_VALUE"""),43399.63611111111)</f>
        <v>43399.63611</v>
      </c>
      <c r="G103" s="22">
        <f>IFERROR(__xludf.DUMMYFUNCTION("""COMPUTED_VALUE"""),22.48)</f>
        <v>22.48</v>
      </c>
      <c r="H103" s="25">
        <f>IFERROR(__xludf.DUMMYFUNCTION("""COMPUTED_VALUE"""),43399.63611111111)</f>
        <v>43399.63611</v>
      </c>
      <c r="I103" s="22">
        <f>IFERROR(__xludf.DUMMYFUNCTION("""COMPUTED_VALUE"""),21.97)</f>
        <v>21.97</v>
      </c>
      <c r="J103" s="25">
        <f>IFERROR(__xludf.DUMMYFUNCTION("""COMPUTED_VALUE"""),43399.63611111111)</f>
        <v>43399.63611</v>
      </c>
      <c r="K103" s="22">
        <f>IFERROR(__xludf.DUMMYFUNCTION("""COMPUTED_VALUE"""),21.41)</f>
        <v>21.41</v>
      </c>
      <c r="M103" s="22" t="str">
        <f t="shared" si="3"/>
        <v/>
      </c>
      <c r="N103" s="22" t="str">
        <f t="shared" si="1"/>
        <v/>
      </c>
    </row>
    <row r="104" ht="15.75" customHeight="1">
      <c r="A104" s="25">
        <f>IFERROR(__xludf.DUMMYFUNCTION("""COMPUTED_VALUE"""),43402.66666666667)</f>
        <v>43402.66667</v>
      </c>
      <c r="B104" s="22">
        <f>IFERROR(__xludf.DUMMYFUNCTION("""COMPUTED_VALUE"""),2641.25)</f>
        <v>2641.25</v>
      </c>
      <c r="C104" s="25">
        <f>IFERROR(__xludf.DUMMYFUNCTION("""COMPUTED_VALUE"""),43402.63611111111)</f>
        <v>43402.63611</v>
      </c>
      <c r="D104" s="22">
        <f>IFERROR(__xludf.DUMMYFUNCTION("""COMPUTED_VALUE"""),24.7)</f>
        <v>24.7</v>
      </c>
      <c r="E104" s="26">
        <f t="shared" si="2"/>
        <v>-0.006559621468</v>
      </c>
      <c r="F104" s="25">
        <f>IFERROR(__xludf.DUMMYFUNCTION("""COMPUTED_VALUE"""),43402.63611111111)</f>
        <v>43402.63611</v>
      </c>
      <c r="G104" s="22">
        <f>IFERROR(__xludf.DUMMYFUNCTION("""COMPUTED_VALUE"""),23.06)</f>
        <v>23.06</v>
      </c>
      <c r="H104" s="25">
        <f>IFERROR(__xludf.DUMMYFUNCTION("""COMPUTED_VALUE"""),43402.63611111111)</f>
        <v>43402.63611</v>
      </c>
      <c r="I104" s="22">
        <f>IFERROR(__xludf.DUMMYFUNCTION("""COMPUTED_VALUE"""),22.27)</f>
        <v>22.27</v>
      </c>
      <c r="J104" s="25">
        <f>IFERROR(__xludf.DUMMYFUNCTION("""COMPUTED_VALUE"""),43402.63611111111)</f>
        <v>43402.63611</v>
      </c>
      <c r="K104" s="22">
        <f>IFERROR(__xludf.DUMMYFUNCTION("""COMPUTED_VALUE"""),21.45)</f>
        <v>21.45</v>
      </c>
      <c r="M104" s="22" t="str">
        <f t="shared" si="3"/>
        <v/>
      </c>
      <c r="N104" s="22" t="str">
        <f t="shared" si="1"/>
        <v/>
      </c>
    </row>
    <row r="105" ht="15.75" customHeight="1">
      <c r="A105" s="25">
        <f>IFERROR(__xludf.DUMMYFUNCTION("""COMPUTED_VALUE"""),43403.66666666667)</f>
        <v>43403.66667</v>
      </c>
      <c r="B105" s="22">
        <f>IFERROR(__xludf.DUMMYFUNCTION("""COMPUTED_VALUE"""),2682.63)</f>
        <v>2682.63</v>
      </c>
      <c r="C105" s="25">
        <f>IFERROR(__xludf.DUMMYFUNCTION("""COMPUTED_VALUE"""),43403.63611111111)</f>
        <v>43403.63611</v>
      </c>
      <c r="D105" s="22">
        <f>IFERROR(__xludf.DUMMYFUNCTION("""COMPUTED_VALUE"""),23.35)</f>
        <v>23.35</v>
      </c>
      <c r="E105" s="26">
        <f t="shared" si="2"/>
        <v>0.01566682442</v>
      </c>
      <c r="F105" s="25">
        <f>IFERROR(__xludf.DUMMYFUNCTION("""COMPUTED_VALUE"""),43403.63611111111)</f>
        <v>43403.63611</v>
      </c>
      <c r="G105" s="22">
        <f>IFERROR(__xludf.DUMMYFUNCTION("""COMPUTED_VALUE"""),22.23)</f>
        <v>22.23</v>
      </c>
      <c r="H105" s="25">
        <f>IFERROR(__xludf.DUMMYFUNCTION("""COMPUTED_VALUE"""),43403.63611111111)</f>
        <v>43403.63611</v>
      </c>
      <c r="I105" s="22">
        <f>IFERROR(__xludf.DUMMYFUNCTION("""COMPUTED_VALUE"""),21.72)</f>
        <v>21.72</v>
      </c>
      <c r="J105" s="25">
        <f>IFERROR(__xludf.DUMMYFUNCTION("""COMPUTED_VALUE"""),43403.63611111111)</f>
        <v>43403.63611</v>
      </c>
      <c r="K105" s="22">
        <f>IFERROR(__xludf.DUMMYFUNCTION("""COMPUTED_VALUE"""),21.26)</f>
        <v>21.26</v>
      </c>
      <c r="M105" s="22" t="str">
        <f t="shared" si="3"/>
        <v/>
      </c>
      <c r="N105" s="22" t="str">
        <f t="shared" si="1"/>
        <v/>
      </c>
    </row>
    <row r="106" ht="15.75" customHeight="1">
      <c r="A106" s="25">
        <f>IFERROR(__xludf.DUMMYFUNCTION("""COMPUTED_VALUE"""),43404.66666666667)</f>
        <v>43404.66667</v>
      </c>
      <c r="B106" s="22">
        <f>IFERROR(__xludf.DUMMYFUNCTION("""COMPUTED_VALUE"""),2711.74)</f>
        <v>2711.74</v>
      </c>
      <c r="C106" s="25">
        <f>IFERROR(__xludf.DUMMYFUNCTION("""COMPUTED_VALUE"""),43404.63611111111)</f>
        <v>43404.63611</v>
      </c>
      <c r="D106" s="22">
        <f>IFERROR(__xludf.DUMMYFUNCTION("""COMPUTED_VALUE"""),21.23)</f>
        <v>21.23</v>
      </c>
      <c r="E106" s="26">
        <f t="shared" si="2"/>
        <v>0.01085129146</v>
      </c>
      <c r="F106" s="25">
        <f>IFERROR(__xludf.DUMMYFUNCTION("""COMPUTED_VALUE"""),43404.63611111111)</f>
        <v>43404.63611</v>
      </c>
      <c r="G106" s="22">
        <f>IFERROR(__xludf.DUMMYFUNCTION("""COMPUTED_VALUE"""),21.15)</f>
        <v>21.15</v>
      </c>
      <c r="H106" s="25">
        <f>IFERROR(__xludf.DUMMYFUNCTION("""COMPUTED_VALUE"""),43404.63611111111)</f>
        <v>43404.63611</v>
      </c>
      <c r="I106" s="22">
        <f>IFERROR(__xludf.DUMMYFUNCTION("""COMPUTED_VALUE"""),21.0)</f>
        <v>21</v>
      </c>
      <c r="J106" s="25">
        <f>IFERROR(__xludf.DUMMYFUNCTION("""COMPUTED_VALUE"""),43404.63611111111)</f>
        <v>43404.63611</v>
      </c>
      <c r="K106" s="22">
        <f>IFERROR(__xludf.DUMMYFUNCTION("""COMPUTED_VALUE"""),20.7)</f>
        <v>20.7</v>
      </c>
      <c r="M106" s="22" t="str">
        <f t="shared" si="3"/>
        <v/>
      </c>
      <c r="N106" s="22" t="str">
        <f t="shared" si="1"/>
        <v/>
      </c>
    </row>
    <row r="107" ht="15.75" customHeight="1">
      <c r="A107" s="25">
        <f>IFERROR(__xludf.DUMMYFUNCTION("""COMPUTED_VALUE"""),43405.66666666667)</f>
        <v>43405.66667</v>
      </c>
      <c r="B107" s="22">
        <f>IFERROR(__xludf.DUMMYFUNCTION("""COMPUTED_VALUE"""),2740.37)</f>
        <v>2740.37</v>
      </c>
      <c r="C107" s="25">
        <f>IFERROR(__xludf.DUMMYFUNCTION("""COMPUTED_VALUE"""),43405.63611111111)</f>
        <v>43405.63611</v>
      </c>
      <c r="D107" s="22">
        <f>IFERROR(__xludf.DUMMYFUNCTION("""COMPUTED_VALUE"""),19.34)</f>
        <v>19.34</v>
      </c>
      <c r="E107" s="26">
        <f t="shared" si="2"/>
        <v>0.01055779684</v>
      </c>
      <c r="F107" s="25">
        <f>IFERROR(__xludf.DUMMYFUNCTION("""COMPUTED_VALUE"""),43405.63611111111)</f>
        <v>43405.63611</v>
      </c>
      <c r="G107" s="22">
        <f>IFERROR(__xludf.DUMMYFUNCTION("""COMPUTED_VALUE"""),20.07)</f>
        <v>20.07</v>
      </c>
      <c r="H107" s="25">
        <f>IFERROR(__xludf.DUMMYFUNCTION("""COMPUTED_VALUE"""),43405.63611111111)</f>
        <v>43405.63611</v>
      </c>
      <c r="I107" s="22">
        <f>IFERROR(__xludf.DUMMYFUNCTION("""COMPUTED_VALUE"""),20.23)</f>
        <v>20.23</v>
      </c>
      <c r="J107" s="25">
        <f>IFERROR(__xludf.DUMMYFUNCTION("""COMPUTED_VALUE"""),43405.63611111111)</f>
        <v>43405.63611</v>
      </c>
      <c r="K107" s="22">
        <f>IFERROR(__xludf.DUMMYFUNCTION("""COMPUTED_VALUE"""),20.21)</f>
        <v>20.21</v>
      </c>
      <c r="M107" s="22" t="str">
        <f t="shared" si="3"/>
        <v/>
      </c>
      <c r="N107" s="22" t="str">
        <f t="shared" si="1"/>
        <v/>
      </c>
    </row>
    <row r="108" ht="15.75" customHeight="1">
      <c r="A108" s="25">
        <f>IFERROR(__xludf.DUMMYFUNCTION("""COMPUTED_VALUE"""),43406.66666666667)</f>
        <v>43406.66667</v>
      </c>
      <c r="B108" s="22">
        <f>IFERROR(__xludf.DUMMYFUNCTION("""COMPUTED_VALUE"""),2723.06)</f>
        <v>2723.06</v>
      </c>
      <c r="C108" s="25">
        <f>IFERROR(__xludf.DUMMYFUNCTION("""COMPUTED_VALUE"""),43406.63611111111)</f>
        <v>43406.63611</v>
      </c>
      <c r="D108" s="22">
        <f>IFERROR(__xludf.DUMMYFUNCTION("""COMPUTED_VALUE"""),19.51)</f>
        <v>19.51</v>
      </c>
      <c r="E108" s="26">
        <f t="shared" si="2"/>
        <v>-0.006316665268</v>
      </c>
      <c r="F108" s="25">
        <f>IFERROR(__xludf.DUMMYFUNCTION("""COMPUTED_VALUE"""),43406.63611111111)</f>
        <v>43406.63611</v>
      </c>
      <c r="G108" s="22">
        <f>IFERROR(__xludf.DUMMYFUNCTION("""COMPUTED_VALUE"""),20.3)</f>
        <v>20.3</v>
      </c>
      <c r="H108" s="25">
        <f>IFERROR(__xludf.DUMMYFUNCTION("""COMPUTED_VALUE"""),43406.63611111111)</f>
        <v>43406.63611</v>
      </c>
      <c r="I108" s="22">
        <f>IFERROR(__xludf.DUMMYFUNCTION("""COMPUTED_VALUE"""),20.45)</f>
        <v>20.45</v>
      </c>
      <c r="J108" s="25">
        <f>IFERROR(__xludf.DUMMYFUNCTION("""COMPUTED_VALUE"""),43406.63611111111)</f>
        <v>43406.63611</v>
      </c>
      <c r="K108" s="22">
        <f>IFERROR(__xludf.DUMMYFUNCTION("""COMPUTED_VALUE"""),20.47)</f>
        <v>20.47</v>
      </c>
      <c r="M108" s="22" t="str">
        <f t="shared" si="3"/>
        <v/>
      </c>
      <c r="N108" s="22" t="str">
        <f t="shared" si="1"/>
        <v/>
      </c>
    </row>
    <row r="109" ht="15.75" customHeight="1">
      <c r="A109" s="25">
        <f>IFERROR(__xludf.DUMMYFUNCTION("""COMPUTED_VALUE"""),43409.66666666667)</f>
        <v>43409.66667</v>
      </c>
      <c r="B109" s="22">
        <f>IFERROR(__xludf.DUMMYFUNCTION("""COMPUTED_VALUE"""),2738.31)</f>
        <v>2738.31</v>
      </c>
      <c r="C109" s="25">
        <f>IFERROR(__xludf.DUMMYFUNCTION("""COMPUTED_VALUE"""),43409.63611111111)</f>
        <v>43409.63611</v>
      </c>
      <c r="D109" s="22">
        <f>IFERROR(__xludf.DUMMYFUNCTION("""COMPUTED_VALUE"""),19.96)</f>
        <v>19.96</v>
      </c>
      <c r="E109" s="26">
        <f t="shared" si="2"/>
        <v>0.00560031729</v>
      </c>
      <c r="F109" s="25">
        <f>IFERROR(__xludf.DUMMYFUNCTION("""COMPUTED_VALUE"""),43409.63611111111)</f>
        <v>43409.63611</v>
      </c>
      <c r="G109" s="22">
        <f>IFERROR(__xludf.DUMMYFUNCTION("""COMPUTED_VALUE"""),20.2)</f>
        <v>20.2</v>
      </c>
      <c r="H109" s="25">
        <f>IFERROR(__xludf.DUMMYFUNCTION("""COMPUTED_VALUE"""),43409.63611111111)</f>
        <v>43409.63611</v>
      </c>
      <c r="I109" s="22">
        <f>IFERROR(__xludf.DUMMYFUNCTION("""COMPUTED_VALUE"""),20.25)</f>
        <v>20.25</v>
      </c>
      <c r="J109" s="25">
        <f>IFERROR(__xludf.DUMMYFUNCTION("""COMPUTED_VALUE"""),43409.63611111111)</f>
        <v>43409.63611</v>
      </c>
      <c r="K109" s="22">
        <f>IFERROR(__xludf.DUMMYFUNCTION("""COMPUTED_VALUE"""),20.26)</f>
        <v>20.26</v>
      </c>
      <c r="M109" s="22" t="str">
        <f t="shared" si="3"/>
        <v/>
      </c>
      <c r="N109" s="22" t="str">
        <f t="shared" si="1"/>
        <v/>
      </c>
    </row>
    <row r="110" ht="15.75" customHeight="1">
      <c r="A110" s="25">
        <f>IFERROR(__xludf.DUMMYFUNCTION("""COMPUTED_VALUE"""),43410.66666666667)</f>
        <v>43410.66667</v>
      </c>
      <c r="B110" s="22">
        <f>IFERROR(__xludf.DUMMYFUNCTION("""COMPUTED_VALUE"""),2755.45)</f>
        <v>2755.45</v>
      </c>
      <c r="C110" s="25">
        <f>IFERROR(__xludf.DUMMYFUNCTION("""COMPUTED_VALUE"""),43410.63611111111)</f>
        <v>43410.63611</v>
      </c>
      <c r="D110" s="22">
        <f>IFERROR(__xludf.DUMMYFUNCTION("""COMPUTED_VALUE"""),19.91)</f>
        <v>19.91</v>
      </c>
      <c r="E110" s="26">
        <f t="shared" si="2"/>
        <v>0.006259335137</v>
      </c>
      <c r="F110" s="25">
        <f>IFERROR(__xludf.DUMMYFUNCTION("""COMPUTED_VALUE"""),43410.63611111111)</f>
        <v>43410.63611</v>
      </c>
      <c r="G110" s="22">
        <f>IFERROR(__xludf.DUMMYFUNCTION("""COMPUTED_VALUE"""),19.58)</f>
        <v>19.58</v>
      </c>
      <c r="H110" s="25">
        <f>IFERROR(__xludf.DUMMYFUNCTION("""COMPUTED_VALUE"""),43410.63611111111)</f>
        <v>43410.63611</v>
      </c>
      <c r="I110" s="22">
        <f>IFERROR(__xludf.DUMMYFUNCTION("""COMPUTED_VALUE"""),19.7)</f>
        <v>19.7</v>
      </c>
      <c r="J110" s="25">
        <f>IFERROR(__xludf.DUMMYFUNCTION("""COMPUTED_VALUE"""),43410.63611111111)</f>
        <v>43410.63611</v>
      </c>
      <c r="K110" s="22">
        <f>IFERROR(__xludf.DUMMYFUNCTION("""COMPUTED_VALUE"""),19.89)</f>
        <v>19.89</v>
      </c>
      <c r="M110" s="22" t="str">
        <f t="shared" si="3"/>
        <v/>
      </c>
      <c r="N110" s="22" t="str">
        <f t="shared" si="1"/>
        <v/>
      </c>
    </row>
    <row r="111" ht="15.75" customHeight="1">
      <c r="A111" s="25">
        <f>IFERROR(__xludf.DUMMYFUNCTION("""COMPUTED_VALUE"""),43411.66666666667)</f>
        <v>43411.66667</v>
      </c>
      <c r="B111" s="22">
        <f>IFERROR(__xludf.DUMMYFUNCTION("""COMPUTED_VALUE"""),2813.89)</f>
        <v>2813.89</v>
      </c>
      <c r="C111" s="25">
        <f>IFERROR(__xludf.DUMMYFUNCTION("""COMPUTED_VALUE"""),43411.63611111111)</f>
        <v>43411.63611</v>
      </c>
      <c r="D111" s="22">
        <f>IFERROR(__xludf.DUMMYFUNCTION("""COMPUTED_VALUE"""),16.36)</f>
        <v>16.36</v>
      </c>
      <c r="E111" s="26">
        <f t="shared" si="2"/>
        <v>0.02120887695</v>
      </c>
      <c r="F111" s="25">
        <f>IFERROR(__xludf.DUMMYFUNCTION("""COMPUTED_VALUE"""),43411.63611111111)</f>
        <v>43411.63611</v>
      </c>
      <c r="G111" s="22">
        <f>IFERROR(__xludf.DUMMYFUNCTION("""COMPUTED_VALUE"""),17.62)</f>
        <v>17.62</v>
      </c>
      <c r="H111" s="25">
        <f>IFERROR(__xludf.DUMMYFUNCTION("""COMPUTED_VALUE"""),43411.63611111111)</f>
        <v>43411.63611</v>
      </c>
      <c r="I111" s="22">
        <f>IFERROR(__xludf.DUMMYFUNCTION("""COMPUTED_VALUE"""),18.29)</f>
        <v>18.29</v>
      </c>
      <c r="J111" s="25">
        <f>IFERROR(__xludf.DUMMYFUNCTION("""COMPUTED_VALUE"""),43411.63611111111)</f>
        <v>43411.63611</v>
      </c>
      <c r="K111" s="22">
        <f>IFERROR(__xludf.DUMMYFUNCTION("""COMPUTED_VALUE"""),18.95)</f>
        <v>18.95</v>
      </c>
      <c r="M111" s="22" t="str">
        <f t="shared" si="3"/>
        <v/>
      </c>
      <c r="N111" s="22" t="str">
        <f t="shared" si="1"/>
        <v/>
      </c>
    </row>
    <row r="112" ht="15.75" customHeight="1">
      <c r="A112" s="25">
        <f>IFERROR(__xludf.DUMMYFUNCTION("""COMPUTED_VALUE"""),43412.66666666667)</f>
        <v>43412.66667</v>
      </c>
      <c r="B112" s="22">
        <f>IFERROR(__xludf.DUMMYFUNCTION("""COMPUTED_VALUE"""),2806.83)</f>
        <v>2806.83</v>
      </c>
      <c r="C112" s="25">
        <f>IFERROR(__xludf.DUMMYFUNCTION("""COMPUTED_VALUE"""),43412.63611111111)</f>
        <v>43412.63611</v>
      </c>
      <c r="D112" s="22">
        <f>IFERROR(__xludf.DUMMYFUNCTION("""COMPUTED_VALUE"""),16.72)</f>
        <v>16.72</v>
      </c>
      <c r="E112" s="26">
        <f t="shared" si="2"/>
        <v>-0.002508982227</v>
      </c>
      <c r="F112" s="25">
        <f>IFERROR(__xludf.DUMMYFUNCTION("""COMPUTED_VALUE"""),43412.63611111111)</f>
        <v>43412.63611</v>
      </c>
      <c r="G112" s="22">
        <f>IFERROR(__xludf.DUMMYFUNCTION("""COMPUTED_VALUE"""),17.68)</f>
        <v>17.68</v>
      </c>
      <c r="H112" s="25">
        <f>IFERROR(__xludf.DUMMYFUNCTION("""COMPUTED_VALUE"""),43412.63611111111)</f>
        <v>43412.63611</v>
      </c>
      <c r="I112" s="22">
        <f>IFERROR(__xludf.DUMMYFUNCTION("""COMPUTED_VALUE"""),18.24)</f>
        <v>18.24</v>
      </c>
      <c r="J112" s="25">
        <f>IFERROR(__xludf.DUMMYFUNCTION("""COMPUTED_VALUE"""),43412.63611111111)</f>
        <v>43412.63611</v>
      </c>
      <c r="K112" s="22">
        <f>IFERROR(__xludf.DUMMYFUNCTION("""COMPUTED_VALUE"""),18.93)</f>
        <v>18.93</v>
      </c>
      <c r="M112" s="22" t="str">
        <f t="shared" si="3"/>
        <v/>
      </c>
      <c r="N112" s="22" t="str">
        <f t="shared" si="1"/>
        <v/>
      </c>
    </row>
    <row r="113" ht="15.75" customHeight="1">
      <c r="A113" s="25">
        <f>IFERROR(__xludf.DUMMYFUNCTION("""COMPUTED_VALUE"""),43413.66666666667)</f>
        <v>43413.66667</v>
      </c>
      <c r="B113" s="22">
        <f>IFERROR(__xludf.DUMMYFUNCTION("""COMPUTED_VALUE"""),2781.01)</f>
        <v>2781.01</v>
      </c>
      <c r="C113" s="25">
        <f>IFERROR(__xludf.DUMMYFUNCTION("""COMPUTED_VALUE"""),43413.63611111111)</f>
        <v>43413.63611</v>
      </c>
      <c r="D113" s="22">
        <f>IFERROR(__xludf.DUMMYFUNCTION("""COMPUTED_VALUE"""),17.36)</f>
        <v>17.36</v>
      </c>
      <c r="E113" s="26">
        <f t="shared" si="2"/>
        <v>-0.009198989607</v>
      </c>
      <c r="F113" s="25">
        <f>IFERROR(__xludf.DUMMYFUNCTION("""COMPUTED_VALUE"""),43413.63611111111)</f>
        <v>43413.63611</v>
      </c>
      <c r="G113" s="22">
        <f>IFERROR(__xludf.DUMMYFUNCTION("""COMPUTED_VALUE"""),18.46)</f>
        <v>18.46</v>
      </c>
      <c r="H113" s="25">
        <f>IFERROR(__xludf.DUMMYFUNCTION("""COMPUTED_VALUE"""),43413.63611111111)</f>
        <v>43413.63611</v>
      </c>
      <c r="I113" s="22">
        <f>IFERROR(__xludf.DUMMYFUNCTION("""COMPUTED_VALUE"""),18.94)</f>
        <v>18.94</v>
      </c>
      <c r="J113" s="25">
        <f>IFERROR(__xludf.DUMMYFUNCTION("""COMPUTED_VALUE"""),43413.63611111111)</f>
        <v>43413.63611</v>
      </c>
      <c r="K113" s="22">
        <f>IFERROR(__xludf.DUMMYFUNCTION("""COMPUTED_VALUE"""),19.38)</f>
        <v>19.38</v>
      </c>
      <c r="M113" s="22" t="str">
        <f t="shared" si="3"/>
        <v/>
      </c>
      <c r="N113" s="22" t="str">
        <f t="shared" si="1"/>
        <v/>
      </c>
    </row>
    <row r="114" ht="15.75" customHeight="1">
      <c r="A114" s="25">
        <f>IFERROR(__xludf.DUMMYFUNCTION("""COMPUTED_VALUE"""),43416.66666666667)</f>
        <v>43416.66667</v>
      </c>
      <c r="B114" s="22">
        <f>IFERROR(__xludf.DUMMYFUNCTION("""COMPUTED_VALUE"""),2726.22)</f>
        <v>2726.22</v>
      </c>
      <c r="C114" s="25">
        <f>IFERROR(__xludf.DUMMYFUNCTION("""COMPUTED_VALUE"""),43416.63611111111)</f>
        <v>43416.63611</v>
      </c>
      <c r="D114" s="22">
        <f>IFERROR(__xludf.DUMMYFUNCTION("""COMPUTED_VALUE"""),20.45)</f>
        <v>20.45</v>
      </c>
      <c r="E114" s="26">
        <f t="shared" si="2"/>
        <v>-0.01970147536</v>
      </c>
      <c r="F114" s="25">
        <f>IFERROR(__xludf.DUMMYFUNCTION("""COMPUTED_VALUE"""),43416.63611111111)</f>
        <v>43416.63611</v>
      </c>
      <c r="G114" s="22">
        <f>IFERROR(__xludf.DUMMYFUNCTION("""COMPUTED_VALUE"""),20.23)</f>
        <v>20.23</v>
      </c>
      <c r="H114" s="25">
        <f>IFERROR(__xludf.DUMMYFUNCTION("""COMPUTED_VALUE"""),43416.63611111111)</f>
        <v>43416.63611</v>
      </c>
      <c r="I114" s="22">
        <f>IFERROR(__xludf.DUMMYFUNCTION("""COMPUTED_VALUE"""),20.16)</f>
        <v>20.16</v>
      </c>
      <c r="J114" s="25">
        <f>IFERROR(__xludf.DUMMYFUNCTION("""COMPUTED_VALUE"""),43416.63611111111)</f>
        <v>43416.63611</v>
      </c>
      <c r="K114" s="22">
        <f>IFERROR(__xludf.DUMMYFUNCTION("""COMPUTED_VALUE"""),20.01)</f>
        <v>20.01</v>
      </c>
      <c r="M114" s="22" t="str">
        <f t="shared" si="3"/>
        <v/>
      </c>
      <c r="N114" s="22" t="str">
        <f t="shared" si="1"/>
        <v/>
      </c>
    </row>
    <row r="115" ht="15.75" customHeight="1">
      <c r="A115" s="25">
        <f>IFERROR(__xludf.DUMMYFUNCTION("""COMPUTED_VALUE"""),43417.66666666667)</f>
        <v>43417.66667</v>
      </c>
      <c r="B115" s="22">
        <f>IFERROR(__xludf.DUMMYFUNCTION("""COMPUTED_VALUE"""),2722.18)</f>
        <v>2722.18</v>
      </c>
      <c r="C115" s="25">
        <f>IFERROR(__xludf.DUMMYFUNCTION("""COMPUTED_VALUE"""),43417.63611111111)</f>
        <v>43417.63611</v>
      </c>
      <c r="D115" s="22">
        <f>IFERROR(__xludf.DUMMYFUNCTION("""COMPUTED_VALUE"""),20.02)</f>
        <v>20.02</v>
      </c>
      <c r="E115" s="26">
        <f t="shared" si="2"/>
        <v>-0.001481905349</v>
      </c>
      <c r="F115" s="25">
        <f>IFERROR(__xludf.DUMMYFUNCTION("""COMPUTED_VALUE"""),43417.63611111111)</f>
        <v>43417.63611</v>
      </c>
      <c r="G115" s="22">
        <f>IFERROR(__xludf.DUMMYFUNCTION("""COMPUTED_VALUE"""),20.27)</f>
        <v>20.27</v>
      </c>
      <c r="H115" s="25">
        <f>IFERROR(__xludf.DUMMYFUNCTION("""COMPUTED_VALUE"""),43417.63611111111)</f>
        <v>43417.63611</v>
      </c>
      <c r="I115" s="22">
        <f>IFERROR(__xludf.DUMMYFUNCTION("""COMPUTED_VALUE"""),20.29)</f>
        <v>20.29</v>
      </c>
      <c r="J115" s="25">
        <f>IFERROR(__xludf.DUMMYFUNCTION("""COMPUTED_VALUE"""),43417.63611111111)</f>
        <v>43417.63611</v>
      </c>
      <c r="K115" s="22">
        <f>IFERROR(__xludf.DUMMYFUNCTION("""COMPUTED_VALUE"""),20.23)</f>
        <v>20.23</v>
      </c>
      <c r="M115" s="22" t="str">
        <f t="shared" si="3"/>
        <v/>
      </c>
      <c r="N115" s="22" t="str">
        <f t="shared" si="1"/>
        <v/>
      </c>
    </row>
    <row r="116" ht="15.75" customHeight="1">
      <c r="A116" s="25">
        <f>IFERROR(__xludf.DUMMYFUNCTION("""COMPUTED_VALUE"""),43418.66666666667)</f>
        <v>43418.66667</v>
      </c>
      <c r="B116" s="22">
        <f>IFERROR(__xludf.DUMMYFUNCTION("""COMPUTED_VALUE"""),2701.58)</f>
        <v>2701.58</v>
      </c>
      <c r="C116" s="25">
        <f>IFERROR(__xludf.DUMMYFUNCTION("""COMPUTED_VALUE"""),43418.63611111111)</f>
        <v>43418.63611</v>
      </c>
      <c r="D116" s="22">
        <f>IFERROR(__xludf.DUMMYFUNCTION("""COMPUTED_VALUE"""),21.25)</f>
        <v>21.25</v>
      </c>
      <c r="E116" s="26">
        <f t="shared" si="2"/>
        <v>-0.007567464312</v>
      </c>
      <c r="F116" s="25">
        <f>IFERROR(__xludf.DUMMYFUNCTION("""COMPUTED_VALUE"""),43418.63611111111)</f>
        <v>43418.63611</v>
      </c>
      <c r="G116" s="22">
        <f>IFERROR(__xludf.DUMMYFUNCTION("""COMPUTED_VALUE"""),21.22)</f>
        <v>21.22</v>
      </c>
      <c r="H116" s="25">
        <f>IFERROR(__xludf.DUMMYFUNCTION("""COMPUTED_VALUE"""),43418.63611111111)</f>
        <v>43418.63611</v>
      </c>
      <c r="I116" s="22">
        <f>IFERROR(__xludf.DUMMYFUNCTION("""COMPUTED_VALUE"""),21.04)</f>
        <v>21.04</v>
      </c>
      <c r="J116" s="25">
        <f>IFERROR(__xludf.DUMMYFUNCTION("""COMPUTED_VALUE"""),43418.63611111111)</f>
        <v>43418.63611</v>
      </c>
      <c r="K116" s="22">
        <f>IFERROR(__xludf.DUMMYFUNCTION("""COMPUTED_VALUE"""),20.77)</f>
        <v>20.77</v>
      </c>
      <c r="M116" s="22" t="str">
        <f t="shared" si="3"/>
        <v/>
      </c>
      <c r="N116" s="22" t="str">
        <f t="shared" si="1"/>
        <v/>
      </c>
    </row>
    <row r="117" ht="15.75" customHeight="1">
      <c r="A117" s="25">
        <f>IFERROR(__xludf.DUMMYFUNCTION("""COMPUTED_VALUE"""),43419.66666666667)</f>
        <v>43419.66667</v>
      </c>
      <c r="B117" s="22">
        <f>IFERROR(__xludf.DUMMYFUNCTION("""COMPUTED_VALUE"""),2730.2)</f>
        <v>2730.2</v>
      </c>
      <c r="C117" s="25">
        <f>IFERROR(__xludf.DUMMYFUNCTION("""COMPUTED_VALUE"""),43419.63611111111)</f>
        <v>43419.63611</v>
      </c>
      <c r="D117" s="22">
        <f>IFERROR(__xludf.DUMMYFUNCTION("""COMPUTED_VALUE"""),19.98)</f>
        <v>19.98</v>
      </c>
      <c r="E117" s="26">
        <f t="shared" si="2"/>
        <v>0.01059380066</v>
      </c>
      <c r="F117" s="25">
        <f>IFERROR(__xludf.DUMMYFUNCTION("""COMPUTED_VALUE"""),43419.63611111111)</f>
        <v>43419.63611</v>
      </c>
      <c r="G117" s="22">
        <f>IFERROR(__xludf.DUMMYFUNCTION("""COMPUTED_VALUE"""),20.31)</f>
        <v>20.31</v>
      </c>
      <c r="H117" s="25">
        <f>IFERROR(__xludf.DUMMYFUNCTION("""COMPUTED_VALUE"""),43419.63611111111)</f>
        <v>43419.63611</v>
      </c>
      <c r="I117" s="22">
        <f>IFERROR(__xludf.DUMMYFUNCTION("""COMPUTED_VALUE"""),20.48)</f>
        <v>20.48</v>
      </c>
      <c r="J117" s="25">
        <f>IFERROR(__xludf.DUMMYFUNCTION("""COMPUTED_VALUE"""),43419.63611111111)</f>
        <v>43419.63611</v>
      </c>
      <c r="K117" s="22">
        <f>IFERROR(__xludf.DUMMYFUNCTION("""COMPUTED_VALUE"""),20.51)</f>
        <v>20.51</v>
      </c>
      <c r="M117" s="22" t="str">
        <f t="shared" si="3"/>
        <v/>
      </c>
      <c r="N117" s="22" t="str">
        <f t="shared" si="1"/>
        <v/>
      </c>
    </row>
    <row r="118" ht="15.75" customHeight="1">
      <c r="A118" s="25">
        <f>IFERROR(__xludf.DUMMYFUNCTION("""COMPUTED_VALUE"""),43420.66666666667)</f>
        <v>43420.66667</v>
      </c>
      <c r="B118" s="22">
        <f>IFERROR(__xludf.DUMMYFUNCTION("""COMPUTED_VALUE"""),2736.27)</f>
        <v>2736.27</v>
      </c>
      <c r="C118" s="25">
        <f>IFERROR(__xludf.DUMMYFUNCTION("""COMPUTED_VALUE"""),43420.63611111111)</f>
        <v>43420.63611</v>
      </c>
      <c r="D118" s="22">
        <f>IFERROR(__xludf.DUMMYFUNCTION("""COMPUTED_VALUE"""),18.14)</f>
        <v>18.14</v>
      </c>
      <c r="E118" s="26">
        <f t="shared" si="2"/>
        <v>0.002223280346</v>
      </c>
      <c r="F118" s="25">
        <f>IFERROR(__xludf.DUMMYFUNCTION("""COMPUTED_VALUE"""),43420.63611111111)</f>
        <v>43420.63611</v>
      </c>
      <c r="G118" s="22">
        <f>IFERROR(__xludf.DUMMYFUNCTION("""COMPUTED_VALUE"""),19.35)</f>
        <v>19.35</v>
      </c>
      <c r="H118" s="25">
        <f>IFERROR(__xludf.DUMMYFUNCTION("""COMPUTED_VALUE"""),43420.63611111111)</f>
        <v>43420.63611</v>
      </c>
      <c r="I118" s="22">
        <f>IFERROR(__xludf.DUMMYFUNCTION("""COMPUTED_VALUE"""),19.82)</f>
        <v>19.82</v>
      </c>
      <c r="J118" s="25">
        <f>IFERROR(__xludf.DUMMYFUNCTION("""COMPUTED_VALUE"""),43420.63611111111)</f>
        <v>43420.63611</v>
      </c>
      <c r="K118" s="22">
        <f>IFERROR(__xludf.DUMMYFUNCTION("""COMPUTED_VALUE"""),20.02)</f>
        <v>20.02</v>
      </c>
      <c r="M118" s="22" t="str">
        <f t="shared" si="3"/>
        <v/>
      </c>
      <c r="N118" s="22" t="str">
        <f t="shared" si="1"/>
        <v/>
      </c>
    </row>
    <row r="119" ht="15.75" customHeight="1">
      <c r="A119" s="25">
        <f>IFERROR(__xludf.DUMMYFUNCTION("""COMPUTED_VALUE"""),43423.66666666667)</f>
        <v>43423.66667</v>
      </c>
      <c r="B119" s="22">
        <f>IFERROR(__xludf.DUMMYFUNCTION("""COMPUTED_VALUE"""),2690.73)</f>
        <v>2690.73</v>
      </c>
      <c r="C119" s="25">
        <f>IFERROR(__xludf.DUMMYFUNCTION("""COMPUTED_VALUE"""),43423.63611111111)</f>
        <v>43423.63611</v>
      </c>
      <c r="D119" s="22">
        <f>IFERROR(__xludf.DUMMYFUNCTION("""COMPUTED_VALUE"""),20.1)</f>
        <v>20.1</v>
      </c>
      <c r="E119" s="26">
        <f t="shared" si="2"/>
        <v>-0.01664309443</v>
      </c>
      <c r="F119" s="25">
        <f>IFERROR(__xludf.DUMMYFUNCTION("""COMPUTED_VALUE"""),43423.63611111111)</f>
        <v>43423.63611</v>
      </c>
      <c r="G119" s="22">
        <f>IFERROR(__xludf.DUMMYFUNCTION("""COMPUTED_VALUE"""),20.64)</f>
        <v>20.64</v>
      </c>
      <c r="H119" s="25">
        <f>IFERROR(__xludf.DUMMYFUNCTION("""COMPUTED_VALUE"""),43423.63611111111)</f>
        <v>43423.63611</v>
      </c>
      <c r="I119" s="22">
        <f>IFERROR(__xludf.DUMMYFUNCTION("""COMPUTED_VALUE"""),20.79)</f>
        <v>20.79</v>
      </c>
      <c r="J119" s="25">
        <f>IFERROR(__xludf.DUMMYFUNCTION("""COMPUTED_VALUE"""),43423.63611111111)</f>
        <v>43423.63611</v>
      </c>
      <c r="K119" s="22">
        <f>IFERROR(__xludf.DUMMYFUNCTION("""COMPUTED_VALUE"""),20.83)</f>
        <v>20.83</v>
      </c>
      <c r="M119" s="22" t="str">
        <f t="shared" si="3"/>
        <v/>
      </c>
      <c r="N119" s="22" t="str">
        <f t="shared" si="1"/>
        <v/>
      </c>
    </row>
    <row r="120" ht="15.75" customHeight="1">
      <c r="A120" s="25">
        <f>IFERROR(__xludf.DUMMYFUNCTION("""COMPUTED_VALUE"""),43424.66666666667)</f>
        <v>43424.66667</v>
      </c>
      <c r="B120" s="22">
        <f>IFERROR(__xludf.DUMMYFUNCTION("""COMPUTED_VALUE"""),2641.89)</f>
        <v>2641.89</v>
      </c>
      <c r="C120" s="25">
        <f>IFERROR(__xludf.DUMMYFUNCTION("""COMPUTED_VALUE"""),43424.63611111111)</f>
        <v>43424.63611</v>
      </c>
      <c r="D120" s="22">
        <f>IFERROR(__xludf.DUMMYFUNCTION("""COMPUTED_VALUE"""),22.48)</f>
        <v>22.48</v>
      </c>
      <c r="E120" s="26">
        <f t="shared" si="2"/>
        <v>-0.01815120804</v>
      </c>
      <c r="F120" s="25">
        <f>IFERROR(__xludf.DUMMYFUNCTION("""COMPUTED_VALUE"""),43424.63611111111)</f>
        <v>43424.63611</v>
      </c>
      <c r="G120" s="22">
        <f>IFERROR(__xludf.DUMMYFUNCTION("""COMPUTED_VALUE"""),22.27)</f>
        <v>22.27</v>
      </c>
      <c r="H120" s="25">
        <f>IFERROR(__xludf.DUMMYFUNCTION("""COMPUTED_VALUE"""),43424.63611111111)</f>
        <v>43424.63611</v>
      </c>
      <c r="I120" s="22">
        <f>IFERROR(__xludf.DUMMYFUNCTION("""COMPUTED_VALUE"""),22.09)</f>
        <v>22.09</v>
      </c>
      <c r="J120" s="25">
        <f>IFERROR(__xludf.DUMMYFUNCTION("""COMPUTED_VALUE"""),43424.63611111111)</f>
        <v>43424.63611</v>
      </c>
      <c r="K120" s="22">
        <f>IFERROR(__xludf.DUMMYFUNCTION("""COMPUTED_VALUE"""),21.7)</f>
        <v>21.7</v>
      </c>
      <c r="M120" s="22" t="str">
        <f t="shared" si="3"/>
        <v/>
      </c>
      <c r="N120" s="22" t="str">
        <f t="shared" si="1"/>
        <v/>
      </c>
    </row>
    <row r="121" ht="15.75" customHeight="1">
      <c r="A121" s="25">
        <f>IFERROR(__xludf.DUMMYFUNCTION("""COMPUTED_VALUE"""),43425.66666666667)</f>
        <v>43425.66667</v>
      </c>
      <c r="B121" s="22">
        <f>IFERROR(__xludf.DUMMYFUNCTION("""COMPUTED_VALUE"""),2649.93)</f>
        <v>2649.93</v>
      </c>
      <c r="C121" s="25">
        <f>IFERROR(__xludf.DUMMYFUNCTION("""COMPUTED_VALUE"""),43425.63611111111)</f>
        <v>43425.63611</v>
      </c>
      <c r="D121" s="22">
        <f>IFERROR(__xludf.DUMMYFUNCTION("""COMPUTED_VALUE"""),20.8)</f>
        <v>20.8</v>
      </c>
      <c r="E121" s="26">
        <f t="shared" si="2"/>
        <v>0.003043275837</v>
      </c>
      <c r="F121" s="25">
        <f>IFERROR(__xludf.DUMMYFUNCTION("""COMPUTED_VALUE"""),43425.63611111111)</f>
        <v>43425.63611</v>
      </c>
      <c r="G121" s="22">
        <f>IFERROR(__xludf.DUMMYFUNCTION("""COMPUTED_VALUE"""),21.32)</f>
        <v>21.32</v>
      </c>
      <c r="H121" s="25">
        <f>IFERROR(__xludf.DUMMYFUNCTION("""COMPUTED_VALUE"""),43425.63611111111)</f>
        <v>43425.63611</v>
      </c>
      <c r="I121" s="22">
        <f>IFERROR(__xludf.DUMMYFUNCTION("""COMPUTED_VALUE"""),21.47)</f>
        <v>21.47</v>
      </c>
      <c r="J121" s="25">
        <f>IFERROR(__xludf.DUMMYFUNCTION("""COMPUTED_VALUE"""),43425.63611111111)</f>
        <v>43425.63611</v>
      </c>
      <c r="K121" s="22">
        <f>IFERROR(__xludf.DUMMYFUNCTION("""COMPUTED_VALUE"""),21.42)</f>
        <v>21.42</v>
      </c>
      <c r="M121" s="22" t="str">
        <f t="shared" si="3"/>
        <v/>
      </c>
      <c r="N121" s="22" t="str">
        <f t="shared" si="1"/>
        <v/>
      </c>
    </row>
    <row r="122" ht="15.75" customHeight="1">
      <c r="A122" s="25">
        <f>IFERROR(__xludf.DUMMYFUNCTION("""COMPUTED_VALUE"""),43427.54166666667)</f>
        <v>43427.54167</v>
      </c>
      <c r="B122" s="22">
        <f>IFERROR(__xludf.DUMMYFUNCTION("""COMPUTED_VALUE"""),2632.56)</f>
        <v>2632.56</v>
      </c>
      <c r="C122" s="25">
        <f>IFERROR(__xludf.DUMMYFUNCTION("""COMPUTED_VALUE"""),43427.54166666667)</f>
        <v>43427.54167</v>
      </c>
      <c r="D122" s="22">
        <f>IFERROR(__xludf.DUMMYFUNCTION("""COMPUTED_VALUE"""),21.52)</f>
        <v>21.52</v>
      </c>
      <c r="E122" s="26">
        <f t="shared" si="2"/>
        <v>-0.006554890129</v>
      </c>
      <c r="F122" s="25">
        <f>IFERROR(__xludf.DUMMYFUNCTION("""COMPUTED_VALUE"""),43427.54166666667)</f>
        <v>43427.54167</v>
      </c>
      <c r="G122" s="22">
        <f>IFERROR(__xludf.DUMMYFUNCTION("""COMPUTED_VALUE"""),21.75)</f>
        <v>21.75</v>
      </c>
      <c r="H122" s="25">
        <f>IFERROR(__xludf.DUMMYFUNCTION("""COMPUTED_VALUE"""),43427.54166666667)</f>
        <v>43427.54167</v>
      </c>
      <c r="I122" s="22">
        <f>IFERROR(__xludf.DUMMYFUNCTION("""COMPUTED_VALUE"""),21.79)</f>
        <v>21.79</v>
      </c>
      <c r="J122" s="25">
        <f>IFERROR(__xludf.DUMMYFUNCTION("""COMPUTED_VALUE"""),43427.54166666667)</f>
        <v>43427.54167</v>
      </c>
      <c r="K122" s="22">
        <f>IFERROR(__xludf.DUMMYFUNCTION("""COMPUTED_VALUE"""),21.64)</f>
        <v>21.64</v>
      </c>
      <c r="M122" s="22" t="str">
        <f t="shared" si="3"/>
        <v/>
      </c>
      <c r="N122" s="22" t="str">
        <f t="shared" si="1"/>
        <v/>
      </c>
    </row>
    <row r="123" ht="15.75" customHeight="1">
      <c r="A123" s="25">
        <f>IFERROR(__xludf.DUMMYFUNCTION("""COMPUTED_VALUE"""),43430.66666666667)</f>
        <v>43430.66667</v>
      </c>
      <c r="B123" s="22">
        <f>IFERROR(__xludf.DUMMYFUNCTION("""COMPUTED_VALUE"""),2673.45)</f>
        <v>2673.45</v>
      </c>
      <c r="C123" s="25">
        <f>IFERROR(__xludf.DUMMYFUNCTION("""COMPUTED_VALUE"""),43430.63611111111)</f>
        <v>43430.63611</v>
      </c>
      <c r="D123" s="22">
        <f>IFERROR(__xludf.DUMMYFUNCTION("""COMPUTED_VALUE"""),18.9)</f>
        <v>18.9</v>
      </c>
      <c r="E123" s="26">
        <f t="shared" si="2"/>
        <v>0.01553240952</v>
      </c>
      <c r="F123" s="25">
        <f>IFERROR(__xludf.DUMMYFUNCTION("""COMPUTED_VALUE"""),43430.63611111111)</f>
        <v>43430.63611</v>
      </c>
      <c r="G123" s="22">
        <f>IFERROR(__xludf.DUMMYFUNCTION("""COMPUTED_VALUE"""),20.11)</f>
        <v>20.11</v>
      </c>
      <c r="H123" s="25">
        <f>IFERROR(__xludf.DUMMYFUNCTION("""COMPUTED_VALUE"""),43430.63611111111)</f>
        <v>43430.63611</v>
      </c>
      <c r="I123" s="22">
        <f>IFERROR(__xludf.DUMMYFUNCTION("""COMPUTED_VALUE"""),20.55)</f>
        <v>20.55</v>
      </c>
      <c r="J123" s="25">
        <f>IFERROR(__xludf.DUMMYFUNCTION("""COMPUTED_VALUE"""),43430.63611111111)</f>
        <v>43430.63611</v>
      </c>
      <c r="K123" s="22">
        <f>IFERROR(__xludf.DUMMYFUNCTION("""COMPUTED_VALUE"""),20.71)</f>
        <v>20.71</v>
      </c>
      <c r="M123" s="22" t="str">
        <f t="shared" si="3"/>
        <v/>
      </c>
      <c r="N123" s="22" t="str">
        <f t="shared" si="1"/>
        <v/>
      </c>
    </row>
    <row r="124" ht="15.75" customHeight="1">
      <c r="A124" s="25">
        <f>IFERROR(__xludf.DUMMYFUNCTION("""COMPUTED_VALUE"""),43431.66666666667)</f>
        <v>43431.66667</v>
      </c>
      <c r="B124" s="22">
        <f>IFERROR(__xludf.DUMMYFUNCTION("""COMPUTED_VALUE"""),2682.17)</f>
        <v>2682.17</v>
      </c>
      <c r="C124" s="25">
        <f>IFERROR(__xludf.DUMMYFUNCTION("""COMPUTED_VALUE"""),43431.63611111111)</f>
        <v>43431.63611</v>
      </c>
      <c r="D124" s="22">
        <f>IFERROR(__xludf.DUMMYFUNCTION("""COMPUTED_VALUE"""),19.02)</f>
        <v>19.02</v>
      </c>
      <c r="E124" s="26">
        <f t="shared" si="2"/>
        <v>0.003261703043</v>
      </c>
      <c r="F124" s="25">
        <f>IFERROR(__xludf.DUMMYFUNCTION("""COMPUTED_VALUE"""),43431.63611111111)</f>
        <v>43431.63611</v>
      </c>
      <c r="G124" s="22">
        <f>IFERROR(__xludf.DUMMYFUNCTION("""COMPUTED_VALUE"""),19.94)</f>
        <v>19.94</v>
      </c>
      <c r="H124" s="25">
        <f>IFERROR(__xludf.DUMMYFUNCTION("""COMPUTED_VALUE"""),43431.63611111111)</f>
        <v>43431.63611</v>
      </c>
      <c r="I124" s="22">
        <f>IFERROR(__xludf.DUMMYFUNCTION("""COMPUTED_VALUE"""),20.4)</f>
        <v>20.4</v>
      </c>
      <c r="J124" s="25">
        <f>IFERROR(__xludf.DUMMYFUNCTION("""COMPUTED_VALUE"""),43431.63611111111)</f>
        <v>43431.63611</v>
      </c>
      <c r="K124" s="22">
        <f>IFERROR(__xludf.DUMMYFUNCTION("""COMPUTED_VALUE"""),21.15)</f>
        <v>21.15</v>
      </c>
      <c r="M124" s="22" t="str">
        <f t="shared" si="3"/>
        <v/>
      </c>
      <c r="N124" s="22" t="str">
        <f t="shared" si="1"/>
        <v/>
      </c>
    </row>
    <row r="125" ht="15.75" customHeight="1">
      <c r="A125" s="25">
        <f>IFERROR(__xludf.DUMMYFUNCTION("""COMPUTED_VALUE"""),43432.66666666667)</f>
        <v>43432.66667</v>
      </c>
      <c r="B125" s="22">
        <f>IFERROR(__xludf.DUMMYFUNCTION("""COMPUTED_VALUE"""),2743.79)</f>
        <v>2743.79</v>
      </c>
      <c r="C125" s="25">
        <f>IFERROR(__xludf.DUMMYFUNCTION("""COMPUTED_VALUE"""),43432.63611111111)</f>
        <v>43432.63611</v>
      </c>
      <c r="D125" s="22">
        <f>IFERROR(__xludf.DUMMYFUNCTION("""COMPUTED_VALUE"""),18.49)</f>
        <v>18.49</v>
      </c>
      <c r="E125" s="26">
        <f t="shared" si="2"/>
        <v>0.02297393528</v>
      </c>
      <c r="F125" s="25">
        <f>IFERROR(__xludf.DUMMYFUNCTION("""COMPUTED_VALUE"""),43432.63611111111)</f>
        <v>43432.63611</v>
      </c>
      <c r="G125" s="22">
        <f>IFERROR(__xludf.DUMMYFUNCTION("""COMPUTED_VALUE"""),19.28)</f>
        <v>19.28</v>
      </c>
      <c r="H125" s="25">
        <f>IFERROR(__xludf.DUMMYFUNCTION("""COMPUTED_VALUE"""),43432.63611111111)</f>
        <v>43432.63611</v>
      </c>
      <c r="I125" s="22">
        <f>IFERROR(__xludf.DUMMYFUNCTION("""COMPUTED_VALUE"""),19.79)</f>
        <v>19.79</v>
      </c>
      <c r="J125" s="25">
        <f>IFERROR(__xludf.DUMMYFUNCTION("""COMPUTED_VALUE"""),43432.63611111111)</f>
        <v>43432.63611</v>
      </c>
      <c r="K125" s="22">
        <f>IFERROR(__xludf.DUMMYFUNCTION("""COMPUTED_VALUE"""),20.81)</f>
        <v>20.81</v>
      </c>
      <c r="M125" s="22" t="str">
        <f t="shared" si="3"/>
        <v/>
      </c>
      <c r="N125" s="22" t="str">
        <f t="shared" si="1"/>
        <v/>
      </c>
    </row>
    <row r="126" ht="15.75" customHeight="1">
      <c r="A126" s="25">
        <f>IFERROR(__xludf.DUMMYFUNCTION("""COMPUTED_VALUE"""),43433.66666666667)</f>
        <v>43433.66667</v>
      </c>
      <c r="B126" s="22">
        <f>IFERROR(__xludf.DUMMYFUNCTION("""COMPUTED_VALUE"""),2737.76)</f>
        <v>2737.76</v>
      </c>
      <c r="C126" s="25">
        <f>IFERROR(__xludf.DUMMYFUNCTION("""COMPUTED_VALUE"""),43433.63611111111)</f>
        <v>43433.63611</v>
      </c>
      <c r="D126" s="22">
        <f>IFERROR(__xludf.DUMMYFUNCTION("""COMPUTED_VALUE"""),18.79)</f>
        <v>18.79</v>
      </c>
      <c r="E126" s="26">
        <f t="shared" si="2"/>
        <v>-0.002197690056</v>
      </c>
      <c r="F126" s="25">
        <f>IFERROR(__xludf.DUMMYFUNCTION("""COMPUTED_VALUE"""),43433.63611111111)</f>
        <v>43433.63611</v>
      </c>
      <c r="G126" s="22">
        <f>IFERROR(__xludf.DUMMYFUNCTION("""COMPUTED_VALUE"""),19.59)</f>
        <v>19.59</v>
      </c>
      <c r="H126" s="25">
        <f>IFERROR(__xludf.DUMMYFUNCTION("""COMPUTED_VALUE"""),43433.63611111111)</f>
        <v>43433.63611</v>
      </c>
      <c r="I126" s="22">
        <f>IFERROR(__xludf.DUMMYFUNCTION("""COMPUTED_VALUE"""),19.92)</f>
        <v>19.92</v>
      </c>
      <c r="J126" s="25">
        <f>IFERROR(__xludf.DUMMYFUNCTION("""COMPUTED_VALUE"""),43433.63611111111)</f>
        <v>43433.63611</v>
      </c>
      <c r="K126" s="22">
        <f>IFERROR(__xludf.DUMMYFUNCTION("""COMPUTED_VALUE"""),20.74)</f>
        <v>20.74</v>
      </c>
      <c r="M126" s="22" t="str">
        <f t="shared" si="3"/>
        <v/>
      </c>
      <c r="N126" s="22" t="str">
        <f t="shared" si="1"/>
        <v/>
      </c>
    </row>
    <row r="127" ht="15.75" customHeight="1">
      <c r="A127" s="25">
        <f>IFERROR(__xludf.DUMMYFUNCTION("""COMPUTED_VALUE"""),43434.66666666667)</f>
        <v>43434.66667</v>
      </c>
      <c r="B127" s="22">
        <f>IFERROR(__xludf.DUMMYFUNCTION("""COMPUTED_VALUE"""),2760.17)</f>
        <v>2760.17</v>
      </c>
      <c r="C127" s="25">
        <f>IFERROR(__xludf.DUMMYFUNCTION("""COMPUTED_VALUE"""),43434.63611111111)</f>
        <v>43434.63611</v>
      </c>
      <c r="D127" s="22">
        <f>IFERROR(__xludf.DUMMYFUNCTION("""COMPUTED_VALUE"""),18.07)</f>
        <v>18.07</v>
      </c>
      <c r="E127" s="26">
        <f t="shared" si="2"/>
        <v>0.008185523932</v>
      </c>
      <c r="F127" s="25">
        <f>IFERROR(__xludf.DUMMYFUNCTION("""COMPUTED_VALUE"""),43434.63611111111)</f>
        <v>43434.63611</v>
      </c>
      <c r="G127" s="22">
        <f>IFERROR(__xludf.DUMMYFUNCTION("""COMPUTED_VALUE"""),18.89)</f>
        <v>18.89</v>
      </c>
      <c r="H127" s="25">
        <f>IFERROR(__xludf.DUMMYFUNCTION("""COMPUTED_VALUE"""),43434.63611111111)</f>
        <v>43434.63611</v>
      </c>
      <c r="I127" s="22">
        <f>IFERROR(__xludf.DUMMYFUNCTION("""COMPUTED_VALUE"""),19.49)</f>
        <v>19.49</v>
      </c>
      <c r="J127" s="25">
        <f>IFERROR(__xludf.DUMMYFUNCTION("""COMPUTED_VALUE"""),43434.63611111111)</f>
        <v>43434.63611</v>
      </c>
      <c r="K127" s="22">
        <f>IFERROR(__xludf.DUMMYFUNCTION("""COMPUTED_VALUE"""),20.03)</f>
        <v>20.03</v>
      </c>
      <c r="M127" s="22" t="str">
        <f t="shared" si="3"/>
        <v/>
      </c>
      <c r="N127" s="22" t="str">
        <f t="shared" si="1"/>
        <v/>
      </c>
    </row>
    <row r="128" ht="15.75" customHeight="1">
      <c r="A128" s="25">
        <f>IFERROR(__xludf.DUMMYFUNCTION("""COMPUTED_VALUE"""),43437.66666666667)</f>
        <v>43437.66667</v>
      </c>
      <c r="B128" s="22">
        <f>IFERROR(__xludf.DUMMYFUNCTION("""COMPUTED_VALUE"""),2790.37)</f>
        <v>2790.37</v>
      </c>
      <c r="C128" s="25">
        <f>IFERROR(__xludf.DUMMYFUNCTION("""COMPUTED_VALUE"""),43437.63611111111)</f>
        <v>43437.63611</v>
      </c>
      <c r="D128" s="22">
        <f>IFERROR(__xludf.DUMMYFUNCTION("""COMPUTED_VALUE"""),16.44)</f>
        <v>16.44</v>
      </c>
      <c r="E128" s="26">
        <f t="shared" si="2"/>
        <v>0.01094135506</v>
      </c>
      <c r="F128" s="25">
        <f>IFERROR(__xludf.DUMMYFUNCTION("""COMPUTED_VALUE"""),43437.63611111111)</f>
        <v>43437.63611</v>
      </c>
      <c r="G128" s="22">
        <f>IFERROR(__xludf.DUMMYFUNCTION("""COMPUTED_VALUE"""),17.95)</f>
        <v>17.95</v>
      </c>
      <c r="H128" s="25">
        <f>IFERROR(__xludf.DUMMYFUNCTION("""COMPUTED_VALUE"""),43437.63611111111)</f>
        <v>43437.63611</v>
      </c>
      <c r="I128" s="22">
        <f>IFERROR(__xludf.DUMMYFUNCTION("""COMPUTED_VALUE"""),18.66)</f>
        <v>18.66</v>
      </c>
      <c r="J128" s="25">
        <f>IFERROR(__xludf.DUMMYFUNCTION("""COMPUTED_VALUE"""),43437.63611111111)</f>
        <v>43437.63611</v>
      </c>
      <c r="K128" s="22">
        <f>IFERROR(__xludf.DUMMYFUNCTION("""COMPUTED_VALUE"""),19.24)</f>
        <v>19.24</v>
      </c>
      <c r="M128" s="22" t="str">
        <f t="shared" si="3"/>
        <v/>
      </c>
      <c r="N128" s="22" t="str">
        <f t="shared" si="1"/>
        <v/>
      </c>
    </row>
    <row r="129" ht="15.75" customHeight="1">
      <c r="A129" s="25">
        <f>IFERROR(__xludf.DUMMYFUNCTION("""COMPUTED_VALUE"""),43438.66666666667)</f>
        <v>43438.66667</v>
      </c>
      <c r="B129" s="22">
        <f>IFERROR(__xludf.DUMMYFUNCTION("""COMPUTED_VALUE"""),2700.06)</f>
        <v>2700.06</v>
      </c>
      <c r="C129" s="25">
        <f>IFERROR(__xludf.DUMMYFUNCTION("""COMPUTED_VALUE"""),43438.63611111111)</f>
        <v>43438.63611</v>
      </c>
      <c r="D129" s="22">
        <f>IFERROR(__xludf.DUMMYFUNCTION("""COMPUTED_VALUE"""),20.74)</f>
        <v>20.74</v>
      </c>
      <c r="E129" s="26">
        <f t="shared" si="2"/>
        <v>-0.03236488351</v>
      </c>
      <c r="F129" s="25">
        <f>IFERROR(__xludf.DUMMYFUNCTION("""COMPUTED_VALUE"""),43438.63611111111)</f>
        <v>43438.63611</v>
      </c>
      <c r="G129" s="22">
        <f>IFERROR(__xludf.DUMMYFUNCTION("""COMPUTED_VALUE"""),20.75)</f>
        <v>20.75</v>
      </c>
      <c r="H129" s="25">
        <f>IFERROR(__xludf.DUMMYFUNCTION("""COMPUTED_VALUE"""),43438.63611111111)</f>
        <v>43438.63611</v>
      </c>
      <c r="I129" s="22">
        <f>IFERROR(__xludf.DUMMYFUNCTION("""COMPUTED_VALUE"""),20.6)</f>
        <v>20.6</v>
      </c>
      <c r="J129" s="25">
        <f>IFERROR(__xludf.DUMMYFUNCTION("""COMPUTED_VALUE"""),43438.63611111111)</f>
        <v>43438.63611</v>
      </c>
      <c r="K129" s="22">
        <f>IFERROR(__xludf.DUMMYFUNCTION("""COMPUTED_VALUE"""),20.51)</f>
        <v>20.51</v>
      </c>
      <c r="M129" s="22" t="str">
        <f t="shared" si="3"/>
        <v/>
      </c>
      <c r="N129" s="22" t="str">
        <f t="shared" si="1"/>
        <v/>
      </c>
    </row>
    <row r="130" ht="15.75" customHeight="1">
      <c r="A130" s="25">
        <f>IFERROR(__xludf.DUMMYFUNCTION("""COMPUTED_VALUE"""),43440.66666666667)</f>
        <v>43440.66667</v>
      </c>
      <c r="B130" s="22">
        <f>IFERROR(__xludf.DUMMYFUNCTION("""COMPUTED_VALUE"""),2695.95)</f>
        <v>2695.95</v>
      </c>
      <c r="C130" s="25">
        <f>IFERROR(__xludf.DUMMYFUNCTION("""COMPUTED_VALUE"""),43440.63611111111)</f>
        <v>43440.63611</v>
      </c>
      <c r="D130" s="22">
        <f>IFERROR(__xludf.DUMMYFUNCTION("""COMPUTED_VALUE"""),21.19)</f>
        <v>21.19</v>
      </c>
      <c r="E130" s="26">
        <f t="shared" si="2"/>
        <v>-0.001522188396</v>
      </c>
      <c r="F130" s="25">
        <f>IFERROR(__xludf.DUMMYFUNCTION("""COMPUTED_VALUE"""),43440.63611111111)</f>
        <v>43440.63611</v>
      </c>
      <c r="G130" s="22">
        <f>IFERROR(__xludf.DUMMYFUNCTION("""COMPUTED_VALUE"""),21.06)</f>
        <v>21.06</v>
      </c>
      <c r="H130" s="25">
        <f>IFERROR(__xludf.DUMMYFUNCTION("""COMPUTED_VALUE"""),43440.63611111111)</f>
        <v>43440.63611</v>
      </c>
      <c r="I130" s="22">
        <f>IFERROR(__xludf.DUMMYFUNCTION("""COMPUTED_VALUE"""),20.83)</f>
        <v>20.83</v>
      </c>
      <c r="J130" s="25">
        <f>IFERROR(__xludf.DUMMYFUNCTION("""COMPUTED_VALUE"""),43440.63611111111)</f>
        <v>43440.63611</v>
      </c>
      <c r="K130" s="22">
        <f>IFERROR(__xludf.DUMMYFUNCTION("""COMPUTED_VALUE"""),20.56)</f>
        <v>20.56</v>
      </c>
      <c r="M130" s="22" t="str">
        <f t="shared" si="3"/>
        <v/>
      </c>
      <c r="N130" s="22" t="str">
        <f t="shared" si="1"/>
        <v/>
      </c>
    </row>
    <row r="131" ht="15.75" customHeight="1">
      <c r="A131" s="25">
        <f>IFERROR(__xludf.DUMMYFUNCTION("""COMPUTED_VALUE"""),43441.66666666667)</f>
        <v>43441.66667</v>
      </c>
      <c r="B131" s="22">
        <f>IFERROR(__xludf.DUMMYFUNCTION("""COMPUTED_VALUE"""),2633.08)</f>
        <v>2633.08</v>
      </c>
      <c r="C131" s="25">
        <f>IFERROR(__xludf.DUMMYFUNCTION("""COMPUTED_VALUE"""),43441.63611111111)</f>
        <v>43441.63611</v>
      </c>
      <c r="D131" s="22">
        <f>IFERROR(__xludf.DUMMYFUNCTION("""COMPUTED_VALUE"""),23.23)</f>
        <v>23.23</v>
      </c>
      <c r="E131" s="26">
        <f t="shared" si="2"/>
        <v>-0.02332016543</v>
      </c>
      <c r="F131" s="25">
        <f>IFERROR(__xludf.DUMMYFUNCTION("""COMPUTED_VALUE"""),43441.63611111111)</f>
        <v>43441.63611</v>
      </c>
      <c r="G131" s="22">
        <f>IFERROR(__xludf.DUMMYFUNCTION("""COMPUTED_VALUE"""),22.44)</f>
        <v>22.44</v>
      </c>
      <c r="H131" s="25">
        <f>IFERROR(__xludf.DUMMYFUNCTION("""COMPUTED_VALUE"""),43441.63611111111)</f>
        <v>43441.63611</v>
      </c>
      <c r="I131" s="22">
        <f>IFERROR(__xludf.DUMMYFUNCTION("""COMPUTED_VALUE"""),21.89)</f>
        <v>21.89</v>
      </c>
      <c r="J131" s="25">
        <f>IFERROR(__xludf.DUMMYFUNCTION("""COMPUTED_VALUE"""),43441.63611111111)</f>
        <v>43441.63611</v>
      </c>
      <c r="K131" s="22">
        <f>IFERROR(__xludf.DUMMYFUNCTION("""COMPUTED_VALUE"""),21.39)</f>
        <v>21.39</v>
      </c>
      <c r="M131" s="22" t="str">
        <f t="shared" si="3"/>
        <v/>
      </c>
      <c r="N131" s="22" t="str">
        <f t="shared" si="1"/>
        <v/>
      </c>
    </row>
    <row r="132" ht="15.75" customHeight="1">
      <c r="A132" s="25">
        <f>IFERROR(__xludf.DUMMYFUNCTION("""COMPUTED_VALUE"""),43444.66666666667)</f>
        <v>43444.66667</v>
      </c>
      <c r="B132" s="22">
        <f>IFERROR(__xludf.DUMMYFUNCTION("""COMPUTED_VALUE"""),2637.72)</f>
        <v>2637.72</v>
      </c>
      <c r="C132" s="25">
        <f>IFERROR(__xludf.DUMMYFUNCTION("""COMPUTED_VALUE"""),43444.63611111111)</f>
        <v>43444.63611</v>
      </c>
      <c r="D132" s="22">
        <f>IFERROR(__xludf.DUMMYFUNCTION("""COMPUTED_VALUE"""),22.64)</f>
        <v>22.64</v>
      </c>
      <c r="E132" s="26">
        <f t="shared" si="2"/>
        <v>0.001762194844</v>
      </c>
      <c r="F132" s="25">
        <f>IFERROR(__xludf.DUMMYFUNCTION("""COMPUTED_VALUE"""),43444.63611111111)</f>
        <v>43444.63611</v>
      </c>
      <c r="G132" s="22">
        <f>IFERROR(__xludf.DUMMYFUNCTION("""COMPUTED_VALUE"""),22.01)</f>
        <v>22.01</v>
      </c>
      <c r="H132" s="25">
        <f>IFERROR(__xludf.DUMMYFUNCTION("""COMPUTED_VALUE"""),43444.63611111111)</f>
        <v>43444.63611</v>
      </c>
      <c r="I132" s="22">
        <f>IFERROR(__xludf.DUMMYFUNCTION("""COMPUTED_VALUE"""),21.68)</f>
        <v>21.68</v>
      </c>
      <c r="J132" s="25">
        <f>IFERROR(__xludf.DUMMYFUNCTION("""COMPUTED_VALUE"""),43444.63611111111)</f>
        <v>43444.63611</v>
      </c>
      <c r="K132" s="22">
        <f>IFERROR(__xludf.DUMMYFUNCTION("""COMPUTED_VALUE"""),21.28)</f>
        <v>21.28</v>
      </c>
      <c r="M132" s="22" t="str">
        <f t="shared" si="3"/>
        <v/>
      </c>
      <c r="N132" s="22" t="str">
        <f t="shared" si="1"/>
        <v/>
      </c>
    </row>
    <row r="133" ht="15.75" customHeight="1">
      <c r="A133" s="25">
        <f>IFERROR(__xludf.DUMMYFUNCTION("""COMPUTED_VALUE"""),43445.66666666667)</f>
        <v>43445.66667</v>
      </c>
      <c r="B133" s="22">
        <f>IFERROR(__xludf.DUMMYFUNCTION("""COMPUTED_VALUE"""),2636.78)</f>
        <v>2636.78</v>
      </c>
      <c r="C133" s="25">
        <f>IFERROR(__xludf.DUMMYFUNCTION("""COMPUTED_VALUE"""),43445.63611111111)</f>
        <v>43445.63611</v>
      </c>
      <c r="D133" s="22">
        <f>IFERROR(__xludf.DUMMYFUNCTION("""COMPUTED_VALUE"""),21.76)</f>
        <v>21.76</v>
      </c>
      <c r="E133" s="26">
        <f t="shared" si="2"/>
        <v>-0.0003563683788</v>
      </c>
      <c r="F133" s="25">
        <f>IFERROR(__xludf.DUMMYFUNCTION("""COMPUTED_VALUE"""),43445.63611111111)</f>
        <v>43445.63611</v>
      </c>
      <c r="G133" s="22">
        <f>IFERROR(__xludf.DUMMYFUNCTION("""COMPUTED_VALUE"""),21.72)</f>
        <v>21.72</v>
      </c>
      <c r="H133" s="25">
        <f>IFERROR(__xludf.DUMMYFUNCTION("""COMPUTED_VALUE"""),43445.63611111111)</f>
        <v>43445.63611</v>
      </c>
      <c r="I133" s="22">
        <f>IFERROR(__xludf.DUMMYFUNCTION("""COMPUTED_VALUE"""),21.57)</f>
        <v>21.57</v>
      </c>
      <c r="J133" s="25">
        <f>IFERROR(__xludf.DUMMYFUNCTION("""COMPUTED_VALUE"""),43445.63611111111)</f>
        <v>43445.63611</v>
      </c>
      <c r="K133" s="22">
        <f>IFERROR(__xludf.DUMMYFUNCTION("""COMPUTED_VALUE"""),21.6)</f>
        <v>21.6</v>
      </c>
      <c r="M133" s="22" t="str">
        <f t="shared" si="3"/>
        <v/>
      </c>
      <c r="N133" s="22" t="str">
        <f t="shared" si="1"/>
        <v/>
      </c>
    </row>
    <row r="134" ht="15.75" customHeight="1">
      <c r="A134" s="25">
        <f>IFERROR(__xludf.DUMMYFUNCTION("""COMPUTED_VALUE"""),43446.66666666667)</f>
        <v>43446.66667</v>
      </c>
      <c r="B134" s="22">
        <f>IFERROR(__xludf.DUMMYFUNCTION("""COMPUTED_VALUE"""),2651.07)</f>
        <v>2651.07</v>
      </c>
      <c r="C134" s="25">
        <f>IFERROR(__xludf.DUMMYFUNCTION("""COMPUTED_VALUE"""),43446.63611111111)</f>
        <v>43446.63611</v>
      </c>
      <c r="D134" s="22">
        <f>IFERROR(__xludf.DUMMYFUNCTION("""COMPUTED_VALUE"""),21.46)</f>
        <v>21.46</v>
      </c>
      <c r="E134" s="26">
        <f t="shared" si="2"/>
        <v>0.005419488922</v>
      </c>
      <c r="F134" s="25">
        <f>IFERROR(__xludf.DUMMYFUNCTION("""COMPUTED_VALUE"""),43446.63611111111)</f>
        <v>43446.63611</v>
      </c>
      <c r="G134" s="22">
        <f>IFERROR(__xludf.DUMMYFUNCTION("""COMPUTED_VALUE"""),21.59)</f>
        <v>21.59</v>
      </c>
      <c r="H134" s="25">
        <f>IFERROR(__xludf.DUMMYFUNCTION("""COMPUTED_VALUE"""),43446.63611111111)</f>
        <v>43446.63611</v>
      </c>
      <c r="I134" s="22">
        <f>IFERROR(__xludf.DUMMYFUNCTION("""COMPUTED_VALUE"""),21.57)</f>
        <v>21.57</v>
      </c>
      <c r="J134" s="25">
        <f>IFERROR(__xludf.DUMMYFUNCTION("""COMPUTED_VALUE"""),43446.63611111111)</f>
        <v>43446.63611</v>
      </c>
      <c r="K134" s="22">
        <f>IFERROR(__xludf.DUMMYFUNCTION("""COMPUTED_VALUE"""),21.43)</f>
        <v>21.43</v>
      </c>
      <c r="M134" s="22" t="str">
        <f t="shared" si="3"/>
        <v/>
      </c>
      <c r="N134" s="22" t="str">
        <f t="shared" si="1"/>
        <v/>
      </c>
    </row>
    <row r="135" ht="15.75" customHeight="1">
      <c r="A135" s="25">
        <f>IFERROR(__xludf.DUMMYFUNCTION("""COMPUTED_VALUE"""),43447.66666666667)</f>
        <v>43447.66667</v>
      </c>
      <c r="B135" s="22">
        <f>IFERROR(__xludf.DUMMYFUNCTION("""COMPUTED_VALUE"""),2650.54)</f>
        <v>2650.54</v>
      </c>
      <c r="C135" s="25">
        <f>IFERROR(__xludf.DUMMYFUNCTION("""COMPUTED_VALUE"""),43447.63611111111)</f>
        <v>43447.63611</v>
      </c>
      <c r="D135" s="22">
        <f>IFERROR(__xludf.DUMMYFUNCTION("""COMPUTED_VALUE"""),20.65)</f>
        <v>20.65</v>
      </c>
      <c r="E135" s="26">
        <f t="shared" si="2"/>
        <v>-0.0001999192779</v>
      </c>
      <c r="F135" s="25">
        <f>IFERROR(__xludf.DUMMYFUNCTION("""COMPUTED_VALUE"""),43447.63611111111)</f>
        <v>43447.63611</v>
      </c>
      <c r="G135" s="22">
        <f>IFERROR(__xludf.DUMMYFUNCTION("""COMPUTED_VALUE"""),21.35)</f>
        <v>21.35</v>
      </c>
      <c r="H135" s="25">
        <f>IFERROR(__xludf.DUMMYFUNCTION("""COMPUTED_VALUE"""),43447.63611111111)</f>
        <v>43447.63611</v>
      </c>
      <c r="I135" s="22">
        <f>IFERROR(__xludf.DUMMYFUNCTION("""COMPUTED_VALUE"""),21.61)</f>
        <v>21.61</v>
      </c>
      <c r="J135" s="25">
        <f>IFERROR(__xludf.DUMMYFUNCTION("""COMPUTED_VALUE"""),43447.63611111111)</f>
        <v>43447.63611</v>
      </c>
      <c r="K135" s="22">
        <f>IFERROR(__xludf.DUMMYFUNCTION("""COMPUTED_VALUE"""),22.25)</f>
        <v>22.25</v>
      </c>
      <c r="M135" s="22" t="str">
        <f t="shared" si="3"/>
        <v/>
      </c>
      <c r="N135" s="22" t="str">
        <f t="shared" si="1"/>
        <v/>
      </c>
    </row>
    <row r="136" ht="15.75" customHeight="1">
      <c r="A136" s="25">
        <f>IFERROR(__xludf.DUMMYFUNCTION("""COMPUTED_VALUE"""),43448.66666666667)</f>
        <v>43448.66667</v>
      </c>
      <c r="B136" s="22">
        <f>IFERROR(__xludf.DUMMYFUNCTION("""COMPUTED_VALUE"""),2599.95)</f>
        <v>2599.95</v>
      </c>
      <c r="C136" s="25">
        <f>IFERROR(__xludf.DUMMYFUNCTION("""COMPUTED_VALUE"""),43448.63611111111)</f>
        <v>43448.63611</v>
      </c>
      <c r="D136" s="22">
        <f>IFERROR(__xludf.DUMMYFUNCTION("""COMPUTED_VALUE"""),21.63)</f>
        <v>21.63</v>
      </c>
      <c r="E136" s="26">
        <f t="shared" si="2"/>
        <v>-0.01908667668</v>
      </c>
      <c r="F136" s="25">
        <f>IFERROR(__xludf.DUMMYFUNCTION("""COMPUTED_VALUE"""),43448.63611111111)</f>
        <v>43448.63611</v>
      </c>
      <c r="G136" s="22">
        <f>IFERROR(__xludf.DUMMYFUNCTION("""COMPUTED_VALUE"""),21.96)</f>
        <v>21.96</v>
      </c>
      <c r="H136" s="25">
        <f>IFERROR(__xludf.DUMMYFUNCTION("""COMPUTED_VALUE"""),43448.63611111111)</f>
        <v>43448.63611</v>
      </c>
      <c r="I136" s="22">
        <f>IFERROR(__xludf.DUMMYFUNCTION("""COMPUTED_VALUE"""),22.02)</f>
        <v>22.02</v>
      </c>
      <c r="J136" s="25">
        <f>IFERROR(__xludf.DUMMYFUNCTION("""COMPUTED_VALUE"""),43448.63611111111)</f>
        <v>43448.63611</v>
      </c>
      <c r="K136" s="22">
        <f>IFERROR(__xludf.DUMMYFUNCTION("""COMPUTED_VALUE"""),22.7)</f>
        <v>22.7</v>
      </c>
      <c r="M136" s="22" t="str">
        <f t="shared" si="3"/>
        <v/>
      </c>
      <c r="N136" s="22" t="str">
        <f t="shared" si="1"/>
        <v/>
      </c>
    </row>
    <row r="137" ht="15.75" customHeight="1">
      <c r="A137" s="25">
        <f>IFERROR(__xludf.DUMMYFUNCTION("""COMPUTED_VALUE"""),43451.66666666667)</f>
        <v>43451.66667</v>
      </c>
      <c r="B137" s="22">
        <f>IFERROR(__xludf.DUMMYFUNCTION("""COMPUTED_VALUE"""),2545.94)</f>
        <v>2545.94</v>
      </c>
      <c r="C137" s="25">
        <f>IFERROR(__xludf.DUMMYFUNCTION("""COMPUTED_VALUE"""),43451.63611111111)</f>
        <v>43451.63611</v>
      </c>
      <c r="D137" s="22">
        <f>IFERROR(__xludf.DUMMYFUNCTION("""COMPUTED_VALUE"""),24.52)</f>
        <v>24.52</v>
      </c>
      <c r="E137" s="26">
        <f t="shared" si="2"/>
        <v>-0.02077347641</v>
      </c>
      <c r="F137" s="25">
        <f>IFERROR(__xludf.DUMMYFUNCTION("""COMPUTED_VALUE"""),43451.63611111111)</f>
        <v>43451.63611</v>
      </c>
      <c r="G137" s="22">
        <f>IFERROR(__xludf.DUMMYFUNCTION("""COMPUTED_VALUE"""),23.41)</f>
        <v>23.41</v>
      </c>
      <c r="H137" s="25">
        <f>IFERROR(__xludf.DUMMYFUNCTION("""COMPUTED_VALUE"""),43451.63611111111)</f>
        <v>43451.63611</v>
      </c>
      <c r="I137" s="22">
        <f>IFERROR(__xludf.DUMMYFUNCTION("""COMPUTED_VALUE"""),23.05)</f>
        <v>23.05</v>
      </c>
      <c r="J137" s="25">
        <f>IFERROR(__xludf.DUMMYFUNCTION("""COMPUTED_VALUE"""),43451.63611111111)</f>
        <v>43451.63611</v>
      </c>
      <c r="K137" s="22">
        <f>IFERROR(__xludf.DUMMYFUNCTION("""COMPUTED_VALUE"""),23.36)</f>
        <v>23.36</v>
      </c>
      <c r="M137" s="22" t="str">
        <f t="shared" si="3"/>
        <v/>
      </c>
      <c r="N137" s="22" t="str">
        <f t="shared" si="1"/>
        <v/>
      </c>
    </row>
    <row r="138" ht="15.75" customHeight="1">
      <c r="A138" s="25">
        <f>IFERROR(__xludf.DUMMYFUNCTION("""COMPUTED_VALUE"""),43452.66666666667)</f>
        <v>43452.66667</v>
      </c>
      <c r="B138" s="22">
        <f>IFERROR(__xludf.DUMMYFUNCTION("""COMPUTED_VALUE"""),2546.16)</f>
        <v>2546.16</v>
      </c>
      <c r="C138" s="25">
        <f>IFERROR(__xludf.DUMMYFUNCTION("""COMPUTED_VALUE"""),43452.63611111111)</f>
        <v>43452.63611</v>
      </c>
      <c r="D138" s="22">
        <f>IFERROR(__xludf.DUMMYFUNCTION("""COMPUTED_VALUE"""),25.58)</f>
        <v>25.58</v>
      </c>
      <c r="E138" s="26">
        <f t="shared" si="2"/>
        <v>0.00008641209141</v>
      </c>
      <c r="F138" s="25">
        <f>IFERROR(__xludf.DUMMYFUNCTION("""COMPUTED_VALUE"""),43452.63611111111)</f>
        <v>43452.63611</v>
      </c>
      <c r="G138" s="22">
        <f>IFERROR(__xludf.DUMMYFUNCTION("""COMPUTED_VALUE"""),23.9)</f>
        <v>23.9</v>
      </c>
      <c r="H138" s="25">
        <f>IFERROR(__xludf.DUMMYFUNCTION("""COMPUTED_VALUE"""),43452.63611111111)</f>
        <v>43452.63611</v>
      </c>
      <c r="I138" s="22">
        <f>IFERROR(__xludf.DUMMYFUNCTION("""COMPUTED_VALUE"""),23.39)</f>
        <v>23.39</v>
      </c>
      <c r="J138" s="25">
        <f>IFERROR(__xludf.DUMMYFUNCTION("""COMPUTED_VALUE"""),43452.63611111111)</f>
        <v>43452.63611</v>
      </c>
      <c r="K138" s="22">
        <f>IFERROR(__xludf.DUMMYFUNCTION("""COMPUTED_VALUE"""),22.95)</f>
        <v>22.95</v>
      </c>
      <c r="M138" s="22" t="str">
        <f t="shared" si="3"/>
        <v/>
      </c>
      <c r="N138" s="22" t="str">
        <f t="shared" si="1"/>
        <v/>
      </c>
    </row>
    <row r="139" ht="15.75" customHeight="1">
      <c r="A139" s="25">
        <f>IFERROR(__xludf.DUMMYFUNCTION("""COMPUTED_VALUE"""),43453.66666666667)</f>
        <v>43453.66667</v>
      </c>
      <c r="B139" s="22">
        <f>IFERROR(__xludf.DUMMYFUNCTION("""COMPUTED_VALUE"""),2506.96)</f>
        <v>2506.96</v>
      </c>
      <c r="C139" s="25">
        <f>IFERROR(__xludf.DUMMYFUNCTION("""COMPUTED_VALUE"""),43453.63611111111)</f>
        <v>43453.63611</v>
      </c>
      <c r="D139" s="22">
        <f>IFERROR(__xludf.DUMMYFUNCTION("""COMPUTED_VALUE"""),25.58)</f>
        <v>25.58</v>
      </c>
      <c r="E139" s="26">
        <f t="shared" si="2"/>
        <v>-0.01539573318</v>
      </c>
      <c r="F139" s="25">
        <f>IFERROR(__xludf.DUMMYFUNCTION("""COMPUTED_VALUE"""),43453.63611111111)</f>
        <v>43453.63611</v>
      </c>
      <c r="G139" s="22">
        <f>IFERROR(__xludf.DUMMYFUNCTION("""COMPUTED_VALUE"""),24.02)</f>
        <v>24.02</v>
      </c>
      <c r="H139" s="25">
        <f>IFERROR(__xludf.DUMMYFUNCTION("""COMPUTED_VALUE"""),43453.63611111111)</f>
        <v>43453.63611</v>
      </c>
      <c r="I139" s="22">
        <f>IFERROR(__xludf.DUMMYFUNCTION("""COMPUTED_VALUE"""),23.62)</f>
        <v>23.62</v>
      </c>
      <c r="J139" s="25">
        <f>IFERROR(__xludf.DUMMYFUNCTION("""COMPUTED_VALUE"""),43453.63611111111)</f>
        <v>43453.63611</v>
      </c>
      <c r="K139" s="22">
        <f>IFERROR(__xludf.DUMMYFUNCTION("""COMPUTED_VALUE"""),23.2)</f>
        <v>23.2</v>
      </c>
      <c r="M139" s="22" t="str">
        <f t="shared" si="3"/>
        <v/>
      </c>
      <c r="N139" s="22" t="str">
        <f t="shared" si="1"/>
        <v/>
      </c>
    </row>
    <row r="140" ht="15.75" customHeight="1">
      <c r="A140" s="25">
        <f>IFERROR(__xludf.DUMMYFUNCTION("""COMPUTED_VALUE"""),43454.66666666667)</f>
        <v>43454.66667</v>
      </c>
      <c r="B140" s="22">
        <f>IFERROR(__xludf.DUMMYFUNCTION("""COMPUTED_VALUE"""),2467.42)</f>
        <v>2467.42</v>
      </c>
      <c r="C140" s="25">
        <f>IFERROR(__xludf.DUMMYFUNCTION("""COMPUTED_VALUE"""),43454.63611111111)</f>
        <v>43454.63611</v>
      </c>
      <c r="D140" s="22">
        <f>IFERROR(__xludf.DUMMYFUNCTION("""COMPUTED_VALUE"""),28.38)</f>
        <v>28.38</v>
      </c>
      <c r="E140" s="26">
        <f t="shared" si="2"/>
        <v>-0.0157720905</v>
      </c>
      <c r="F140" s="25">
        <f>IFERROR(__xludf.DUMMYFUNCTION("""COMPUTED_VALUE"""),43454.63611111111)</f>
        <v>43454.63611</v>
      </c>
      <c r="G140" s="22">
        <f>IFERROR(__xludf.DUMMYFUNCTION("""COMPUTED_VALUE"""),25.24)</f>
        <v>25.24</v>
      </c>
      <c r="H140" s="25">
        <f>IFERROR(__xludf.DUMMYFUNCTION("""COMPUTED_VALUE"""),43454.63611111111)</f>
        <v>43454.63611</v>
      </c>
      <c r="I140" s="22">
        <f>IFERROR(__xludf.DUMMYFUNCTION("""COMPUTED_VALUE"""),24.33)</f>
        <v>24.33</v>
      </c>
      <c r="J140" s="25">
        <f>IFERROR(__xludf.DUMMYFUNCTION("""COMPUTED_VALUE"""),43454.63611111111)</f>
        <v>43454.63611</v>
      </c>
      <c r="K140" s="22">
        <f>IFERROR(__xludf.DUMMYFUNCTION("""COMPUTED_VALUE"""),23.54)</f>
        <v>23.54</v>
      </c>
      <c r="M140" s="22" t="str">
        <f t="shared" si="3"/>
        <v/>
      </c>
      <c r="N140" s="22" t="str">
        <f t="shared" si="1"/>
        <v/>
      </c>
    </row>
    <row r="141" ht="15.75" customHeight="1">
      <c r="A141" s="25">
        <f>IFERROR(__xludf.DUMMYFUNCTION("""COMPUTED_VALUE"""),43455.66666666667)</f>
        <v>43455.66667</v>
      </c>
      <c r="B141" s="22">
        <f>IFERROR(__xludf.DUMMYFUNCTION("""COMPUTED_VALUE"""),2416.62)</f>
        <v>2416.62</v>
      </c>
      <c r="C141" s="25">
        <f>IFERROR(__xludf.DUMMYFUNCTION("""COMPUTED_VALUE"""),43455.63611111111)</f>
        <v>43455.63611</v>
      </c>
      <c r="D141" s="22">
        <f>IFERROR(__xludf.DUMMYFUNCTION("""COMPUTED_VALUE"""),30.11)</f>
        <v>30.11</v>
      </c>
      <c r="E141" s="26">
        <f t="shared" si="2"/>
        <v>-0.02058830681</v>
      </c>
      <c r="F141" s="25">
        <f>IFERROR(__xludf.DUMMYFUNCTION("""COMPUTED_VALUE"""),43455.63611111111)</f>
        <v>43455.63611</v>
      </c>
      <c r="G141" s="22">
        <f>IFERROR(__xludf.DUMMYFUNCTION("""COMPUTED_VALUE"""),26.23)</f>
        <v>26.23</v>
      </c>
      <c r="H141" s="25">
        <f>IFERROR(__xludf.DUMMYFUNCTION("""COMPUTED_VALUE"""),43455.63611111111)</f>
        <v>43455.63611</v>
      </c>
      <c r="I141" s="22">
        <f>IFERROR(__xludf.DUMMYFUNCTION("""COMPUTED_VALUE"""),24.86)</f>
        <v>24.86</v>
      </c>
      <c r="J141" s="25">
        <f>IFERROR(__xludf.DUMMYFUNCTION("""COMPUTED_VALUE"""),43455.63611111111)</f>
        <v>43455.63611</v>
      </c>
      <c r="K141" s="22">
        <f>IFERROR(__xludf.DUMMYFUNCTION("""COMPUTED_VALUE"""),24.29)</f>
        <v>24.29</v>
      </c>
      <c r="M141" s="22" t="str">
        <f t="shared" si="3"/>
        <v/>
      </c>
      <c r="N141" s="22" t="str">
        <f t="shared" si="1"/>
        <v/>
      </c>
    </row>
    <row r="142" ht="15.75" customHeight="1">
      <c r="A142" s="25">
        <f>IFERROR(__xludf.DUMMYFUNCTION("""COMPUTED_VALUE"""),43458.54166666667)</f>
        <v>43458.54167</v>
      </c>
      <c r="B142" s="22">
        <f>IFERROR(__xludf.DUMMYFUNCTION("""COMPUTED_VALUE"""),2351.1)</f>
        <v>2351.1</v>
      </c>
      <c r="C142" s="25">
        <f>IFERROR(__xludf.DUMMYFUNCTION("""COMPUTED_VALUE"""),43458.54166666667)</f>
        <v>43458.54167</v>
      </c>
      <c r="D142" s="22">
        <f>IFERROR(__xludf.DUMMYFUNCTION("""COMPUTED_VALUE"""),36.07)</f>
        <v>36.07</v>
      </c>
      <c r="E142" s="26">
        <f t="shared" si="2"/>
        <v>-0.02711224768</v>
      </c>
      <c r="F142" s="25">
        <f>IFERROR(__xludf.DUMMYFUNCTION("""COMPUTED_VALUE"""),43458.54166666667)</f>
        <v>43458.54167</v>
      </c>
      <c r="G142" s="22">
        <f>IFERROR(__xludf.DUMMYFUNCTION("""COMPUTED_VALUE"""),28.84)</f>
        <v>28.84</v>
      </c>
      <c r="H142" s="25">
        <f>IFERROR(__xludf.DUMMYFUNCTION("""COMPUTED_VALUE"""),43458.54166666667)</f>
        <v>43458.54167</v>
      </c>
      <c r="I142" s="22">
        <f>IFERROR(__xludf.DUMMYFUNCTION("""COMPUTED_VALUE"""),26.36)</f>
        <v>26.36</v>
      </c>
      <c r="J142" s="25">
        <f>IFERROR(__xludf.DUMMYFUNCTION("""COMPUTED_VALUE"""),43458.54166666667)</f>
        <v>43458.54167</v>
      </c>
      <c r="K142" s="22">
        <f>IFERROR(__xludf.DUMMYFUNCTION("""COMPUTED_VALUE"""),25.09)</f>
        <v>25.09</v>
      </c>
      <c r="M142" s="22" t="str">
        <f t="shared" si="3"/>
        <v/>
      </c>
      <c r="N142" s="22" t="str">
        <f t="shared" si="1"/>
        <v>PREDICT CRASH</v>
      </c>
    </row>
    <row r="143" ht="15.75" customHeight="1">
      <c r="A143" s="25">
        <f>IFERROR(__xludf.DUMMYFUNCTION("""COMPUTED_VALUE"""),43460.66666666667)</f>
        <v>43460.66667</v>
      </c>
      <c r="B143" s="22">
        <f>IFERROR(__xludf.DUMMYFUNCTION("""COMPUTED_VALUE"""),2467.7)</f>
        <v>2467.7</v>
      </c>
      <c r="C143" s="25">
        <f>IFERROR(__xludf.DUMMYFUNCTION("""COMPUTED_VALUE"""),43460.63611111111)</f>
        <v>43460.63611</v>
      </c>
      <c r="D143" s="22">
        <f>IFERROR(__xludf.DUMMYFUNCTION("""COMPUTED_VALUE"""),30.41)</f>
        <v>30.41</v>
      </c>
      <c r="E143" s="26">
        <f t="shared" si="2"/>
        <v>0.04959380715</v>
      </c>
      <c r="F143" s="25">
        <f>IFERROR(__xludf.DUMMYFUNCTION("""COMPUTED_VALUE"""),43460.63611111111)</f>
        <v>43460.63611</v>
      </c>
      <c r="G143" s="22">
        <f>IFERROR(__xludf.DUMMYFUNCTION("""COMPUTED_VALUE"""),25.69)</f>
        <v>25.69</v>
      </c>
      <c r="H143" s="25">
        <f>IFERROR(__xludf.DUMMYFUNCTION("""COMPUTED_VALUE"""),43460.63611111111)</f>
        <v>43460.63611</v>
      </c>
      <c r="I143" s="22">
        <f>IFERROR(__xludf.DUMMYFUNCTION("""COMPUTED_VALUE"""),24.37)</f>
        <v>24.37</v>
      </c>
      <c r="J143" s="25">
        <f>IFERROR(__xludf.DUMMYFUNCTION("""COMPUTED_VALUE"""),43460.63611111111)</f>
        <v>43460.63611</v>
      </c>
      <c r="K143" s="22">
        <f>IFERROR(__xludf.DUMMYFUNCTION("""COMPUTED_VALUE"""),22.91)</f>
        <v>22.91</v>
      </c>
      <c r="M143" s="22" t="str">
        <f t="shared" si="3"/>
        <v/>
      </c>
      <c r="N143" s="22" t="str">
        <f t="shared" si="1"/>
        <v/>
      </c>
    </row>
    <row r="144" ht="15.75" customHeight="1">
      <c r="A144" s="25">
        <f>IFERROR(__xludf.DUMMYFUNCTION("""COMPUTED_VALUE"""),43461.66666666667)</f>
        <v>43461.66667</v>
      </c>
      <c r="B144" s="22">
        <f>IFERROR(__xludf.DUMMYFUNCTION("""COMPUTED_VALUE"""),2488.83)</f>
        <v>2488.83</v>
      </c>
      <c r="C144" s="25">
        <f>IFERROR(__xludf.DUMMYFUNCTION("""COMPUTED_VALUE"""),43461.63611111111)</f>
        <v>43461.63611</v>
      </c>
      <c r="D144" s="22">
        <f>IFERROR(__xludf.DUMMYFUNCTION("""COMPUTED_VALUE"""),29.96)</f>
        <v>29.96</v>
      </c>
      <c r="E144" s="26">
        <f t="shared" si="2"/>
        <v>0.008562629169</v>
      </c>
      <c r="F144" s="25">
        <f>IFERROR(__xludf.DUMMYFUNCTION("""COMPUTED_VALUE"""),43461.63611111111)</f>
        <v>43461.63611</v>
      </c>
      <c r="G144" s="22">
        <f>IFERROR(__xludf.DUMMYFUNCTION("""COMPUTED_VALUE"""),25.89)</f>
        <v>25.89</v>
      </c>
      <c r="H144" s="25">
        <f>IFERROR(__xludf.DUMMYFUNCTION("""COMPUTED_VALUE"""),43461.63611111111)</f>
        <v>43461.63611</v>
      </c>
      <c r="I144" s="22">
        <f>IFERROR(__xludf.DUMMYFUNCTION("""COMPUTED_VALUE"""),24.23)</f>
        <v>24.23</v>
      </c>
      <c r="J144" s="25">
        <f>IFERROR(__xludf.DUMMYFUNCTION("""COMPUTED_VALUE"""),43461.63611111111)</f>
        <v>43461.63611</v>
      </c>
      <c r="K144" s="22">
        <f>IFERROR(__xludf.DUMMYFUNCTION("""COMPUTED_VALUE"""),23.12)</f>
        <v>23.12</v>
      </c>
      <c r="M144" s="22" t="str">
        <f t="shared" si="3"/>
        <v/>
      </c>
      <c r="N144" s="22" t="str">
        <f t="shared" si="1"/>
        <v/>
      </c>
    </row>
    <row r="145" ht="15.75" customHeight="1">
      <c r="A145" s="25">
        <f>IFERROR(__xludf.DUMMYFUNCTION("""COMPUTED_VALUE"""),43462.66666666667)</f>
        <v>43462.66667</v>
      </c>
      <c r="B145" s="22">
        <f>IFERROR(__xludf.DUMMYFUNCTION("""COMPUTED_VALUE"""),2485.74)</f>
        <v>2485.74</v>
      </c>
      <c r="C145" s="25">
        <f>IFERROR(__xludf.DUMMYFUNCTION("""COMPUTED_VALUE"""),43462.63611111111)</f>
        <v>43462.63611</v>
      </c>
      <c r="D145" s="22">
        <f>IFERROR(__xludf.DUMMYFUNCTION("""COMPUTED_VALUE"""),28.34)</f>
        <v>28.34</v>
      </c>
      <c r="E145" s="26">
        <f t="shared" si="2"/>
        <v>-0.001241547233</v>
      </c>
      <c r="F145" s="25">
        <f>IFERROR(__xludf.DUMMYFUNCTION("""COMPUTED_VALUE"""),43462.63611111111)</f>
        <v>43462.63611</v>
      </c>
      <c r="G145" s="22">
        <f>IFERROR(__xludf.DUMMYFUNCTION("""COMPUTED_VALUE"""),25.32)</f>
        <v>25.32</v>
      </c>
      <c r="H145" s="25">
        <f>IFERROR(__xludf.DUMMYFUNCTION("""COMPUTED_VALUE"""),43462.63611111111)</f>
        <v>43462.63611</v>
      </c>
      <c r="I145" s="22">
        <f>IFERROR(__xludf.DUMMYFUNCTION("""COMPUTED_VALUE"""),23.95)</f>
        <v>23.95</v>
      </c>
      <c r="J145" s="25">
        <f>IFERROR(__xludf.DUMMYFUNCTION("""COMPUTED_VALUE"""),43462.63611111111)</f>
        <v>43462.63611</v>
      </c>
      <c r="K145" s="22">
        <f>IFERROR(__xludf.DUMMYFUNCTION("""COMPUTED_VALUE"""),22.92)</f>
        <v>22.92</v>
      </c>
      <c r="M145" s="22" t="str">
        <f t="shared" si="3"/>
        <v/>
      </c>
      <c r="N145" s="22" t="str">
        <f t="shared" si="1"/>
        <v/>
      </c>
    </row>
    <row r="146" ht="15.75" customHeight="1">
      <c r="A146" s="25">
        <f>IFERROR(__xludf.DUMMYFUNCTION("""COMPUTED_VALUE"""),43465.66666666667)</f>
        <v>43465.66667</v>
      </c>
      <c r="B146" s="22">
        <f>IFERROR(__xludf.DUMMYFUNCTION("""COMPUTED_VALUE"""),2506.85)</f>
        <v>2506.85</v>
      </c>
      <c r="C146" s="25">
        <f>IFERROR(__xludf.DUMMYFUNCTION("""COMPUTED_VALUE"""),43465.63611111111)</f>
        <v>43465.63611</v>
      </c>
      <c r="D146" s="22">
        <f>IFERROR(__xludf.DUMMYFUNCTION("""COMPUTED_VALUE"""),25.42)</f>
        <v>25.42</v>
      </c>
      <c r="E146" s="26">
        <f t="shared" si="2"/>
        <v>0.008492440883</v>
      </c>
      <c r="F146" s="25">
        <f>IFERROR(__xludf.DUMMYFUNCTION("""COMPUTED_VALUE"""),43465.63611111111)</f>
        <v>43465.63611</v>
      </c>
      <c r="G146" s="22">
        <f>IFERROR(__xludf.DUMMYFUNCTION("""COMPUTED_VALUE"""),23.73)</f>
        <v>23.73</v>
      </c>
      <c r="H146" s="25">
        <f>IFERROR(__xludf.DUMMYFUNCTION("""COMPUTED_VALUE"""),43465.63611111111)</f>
        <v>43465.63611</v>
      </c>
      <c r="I146" s="22">
        <f>IFERROR(__xludf.DUMMYFUNCTION("""COMPUTED_VALUE"""),22.93)</f>
        <v>22.93</v>
      </c>
      <c r="J146" s="25">
        <f>IFERROR(__xludf.DUMMYFUNCTION("""COMPUTED_VALUE"""),43465.63611111111)</f>
        <v>43465.63611</v>
      </c>
      <c r="K146" s="22">
        <f>IFERROR(__xludf.DUMMYFUNCTION("""COMPUTED_VALUE"""),22.17)</f>
        <v>22.17</v>
      </c>
      <c r="M146" s="22" t="str">
        <f t="shared" si="3"/>
        <v/>
      </c>
      <c r="N146" s="22" t="str">
        <f t="shared" si="1"/>
        <v/>
      </c>
    </row>
    <row r="147" ht="15.75" customHeight="1">
      <c r="A147" s="25">
        <f>IFERROR(__xludf.DUMMYFUNCTION("""COMPUTED_VALUE"""),43467.66666666667)</f>
        <v>43467.66667</v>
      </c>
      <c r="B147" s="22">
        <f>IFERROR(__xludf.DUMMYFUNCTION("""COMPUTED_VALUE"""),2510.03)</f>
        <v>2510.03</v>
      </c>
      <c r="C147" s="25">
        <f>IFERROR(__xludf.DUMMYFUNCTION("""COMPUTED_VALUE"""),43467.63611111111)</f>
        <v>43467.63611</v>
      </c>
      <c r="D147" s="22">
        <f>IFERROR(__xludf.DUMMYFUNCTION("""COMPUTED_VALUE"""),23.22)</f>
        <v>23.22</v>
      </c>
      <c r="E147" s="26">
        <f t="shared" si="2"/>
        <v>0.001268524244</v>
      </c>
      <c r="F147" s="25">
        <f>IFERROR(__xludf.DUMMYFUNCTION("""COMPUTED_VALUE"""),43467.63611111111)</f>
        <v>43467.63611</v>
      </c>
      <c r="G147" s="22">
        <f>IFERROR(__xludf.DUMMYFUNCTION("""COMPUTED_VALUE"""),22.75)</f>
        <v>22.75</v>
      </c>
      <c r="H147" s="25">
        <f>IFERROR(__xludf.DUMMYFUNCTION("""COMPUTED_VALUE"""),43467.63611111111)</f>
        <v>43467.63611</v>
      </c>
      <c r="I147" s="22">
        <f>IFERROR(__xludf.DUMMYFUNCTION("""COMPUTED_VALUE"""),22.31)</f>
        <v>22.31</v>
      </c>
      <c r="J147" s="25">
        <f>IFERROR(__xludf.DUMMYFUNCTION("""COMPUTED_VALUE"""),43467.63611111111)</f>
        <v>43467.63611</v>
      </c>
      <c r="K147" s="22">
        <f>IFERROR(__xludf.DUMMYFUNCTION("""COMPUTED_VALUE"""),22.01)</f>
        <v>22.01</v>
      </c>
      <c r="M147" s="22" t="str">
        <f t="shared" si="3"/>
        <v/>
      </c>
      <c r="N147" s="22" t="str">
        <f t="shared" si="1"/>
        <v/>
      </c>
    </row>
    <row r="148" ht="15.75" customHeight="1">
      <c r="A148" s="25">
        <f>IFERROR(__xludf.DUMMYFUNCTION("""COMPUTED_VALUE"""),43468.66666666667)</f>
        <v>43468.66667</v>
      </c>
      <c r="B148" s="22">
        <f>IFERROR(__xludf.DUMMYFUNCTION("""COMPUTED_VALUE"""),2447.89)</f>
        <v>2447.89</v>
      </c>
      <c r="C148" s="25">
        <f>IFERROR(__xludf.DUMMYFUNCTION("""COMPUTED_VALUE"""),43468.63611111111)</f>
        <v>43468.63611</v>
      </c>
      <c r="D148" s="22">
        <f>IFERROR(__xludf.DUMMYFUNCTION("""COMPUTED_VALUE"""),25.45)</f>
        <v>25.45</v>
      </c>
      <c r="E148" s="26">
        <f t="shared" si="2"/>
        <v>-0.02475667622</v>
      </c>
      <c r="F148" s="25">
        <f>IFERROR(__xludf.DUMMYFUNCTION("""COMPUTED_VALUE"""),43468.63611111111)</f>
        <v>43468.63611</v>
      </c>
      <c r="G148" s="22">
        <f>IFERROR(__xludf.DUMMYFUNCTION("""COMPUTED_VALUE"""),24.11)</f>
        <v>24.11</v>
      </c>
      <c r="H148" s="25">
        <f>IFERROR(__xludf.DUMMYFUNCTION("""COMPUTED_VALUE"""),43468.63611111111)</f>
        <v>43468.63611</v>
      </c>
      <c r="I148" s="22">
        <f>IFERROR(__xludf.DUMMYFUNCTION("""COMPUTED_VALUE"""),23.36)</f>
        <v>23.36</v>
      </c>
      <c r="J148" s="25">
        <f>IFERROR(__xludf.DUMMYFUNCTION("""COMPUTED_VALUE"""),43468.63611111111)</f>
        <v>43468.63611</v>
      </c>
      <c r="K148" s="22">
        <f>IFERROR(__xludf.DUMMYFUNCTION("""COMPUTED_VALUE"""),22.6)</f>
        <v>22.6</v>
      </c>
      <c r="M148" s="22" t="str">
        <f t="shared" si="3"/>
        <v/>
      </c>
      <c r="N148" s="22" t="str">
        <f t="shared" si="1"/>
        <v/>
      </c>
    </row>
    <row r="149" ht="15.75" customHeight="1">
      <c r="A149" s="25">
        <f>IFERROR(__xludf.DUMMYFUNCTION("""COMPUTED_VALUE"""),43469.66666666667)</f>
        <v>43469.66667</v>
      </c>
      <c r="B149" s="22">
        <f>IFERROR(__xludf.DUMMYFUNCTION("""COMPUTED_VALUE"""),2531.94)</f>
        <v>2531.94</v>
      </c>
      <c r="C149" s="25">
        <f>IFERROR(__xludf.DUMMYFUNCTION("""COMPUTED_VALUE"""),43469.63611111111)</f>
        <v>43469.63611</v>
      </c>
      <c r="D149" s="22">
        <f>IFERROR(__xludf.DUMMYFUNCTION("""COMPUTED_VALUE"""),21.38)</f>
        <v>21.38</v>
      </c>
      <c r="E149" s="26">
        <f t="shared" si="2"/>
        <v>0.03433569319</v>
      </c>
      <c r="F149" s="25">
        <f>IFERROR(__xludf.DUMMYFUNCTION("""COMPUTED_VALUE"""),43469.63611111111)</f>
        <v>43469.63611</v>
      </c>
      <c r="G149" s="22">
        <f>IFERROR(__xludf.DUMMYFUNCTION("""COMPUTED_VALUE"""),21.86)</f>
        <v>21.86</v>
      </c>
      <c r="H149" s="25">
        <f>IFERROR(__xludf.DUMMYFUNCTION("""COMPUTED_VALUE"""),43469.63611111111)</f>
        <v>43469.63611</v>
      </c>
      <c r="I149" s="22">
        <f>IFERROR(__xludf.DUMMYFUNCTION("""COMPUTED_VALUE"""),21.76)</f>
        <v>21.76</v>
      </c>
      <c r="J149" s="25">
        <f>IFERROR(__xludf.DUMMYFUNCTION("""COMPUTED_VALUE"""),43469.63611111111)</f>
        <v>43469.63611</v>
      </c>
      <c r="K149" s="22">
        <f>IFERROR(__xludf.DUMMYFUNCTION("""COMPUTED_VALUE"""),21.58)</f>
        <v>21.58</v>
      </c>
      <c r="M149" s="22" t="str">
        <f t="shared" si="3"/>
        <v/>
      </c>
      <c r="N149" s="22" t="str">
        <f t="shared" si="1"/>
        <v/>
      </c>
    </row>
    <row r="150" ht="15.75" customHeight="1">
      <c r="A150" s="25">
        <f>IFERROR(__xludf.DUMMYFUNCTION("""COMPUTED_VALUE"""),43472.66666666667)</f>
        <v>43472.66667</v>
      </c>
      <c r="B150" s="22">
        <f>IFERROR(__xludf.DUMMYFUNCTION("""COMPUTED_VALUE"""),2549.69)</f>
        <v>2549.69</v>
      </c>
      <c r="C150" s="25">
        <f>IFERROR(__xludf.DUMMYFUNCTION("""COMPUTED_VALUE"""),43472.63611111111)</f>
        <v>43472.63611</v>
      </c>
      <c r="D150" s="22">
        <f>IFERROR(__xludf.DUMMYFUNCTION("""COMPUTED_VALUE"""),21.4)</f>
        <v>21.4</v>
      </c>
      <c r="E150" s="26">
        <f t="shared" si="2"/>
        <v>0.007010434686</v>
      </c>
      <c r="F150" s="25">
        <f>IFERROR(__xludf.DUMMYFUNCTION("""COMPUTED_VALUE"""),43472.63611111111)</f>
        <v>43472.63611</v>
      </c>
      <c r="G150" s="22">
        <f>IFERROR(__xludf.DUMMYFUNCTION("""COMPUTED_VALUE"""),21.62)</f>
        <v>21.62</v>
      </c>
      <c r="H150" s="25">
        <f>IFERROR(__xludf.DUMMYFUNCTION("""COMPUTED_VALUE"""),43472.63611111111)</f>
        <v>43472.63611</v>
      </c>
      <c r="I150" s="22">
        <f>IFERROR(__xludf.DUMMYFUNCTION("""COMPUTED_VALUE"""),21.53)</f>
        <v>21.53</v>
      </c>
      <c r="J150" s="25">
        <f>IFERROR(__xludf.DUMMYFUNCTION("""COMPUTED_VALUE"""),43472.63611111111)</f>
        <v>43472.63611</v>
      </c>
      <c r="K150" s="22">
        <f>IFERROR(__xludf.DUMMYFUNCTION("""COMPUTED_VALUE"""),21.4)</f>
        <v>21.4</v>
      </c>
      <c r="M150" s="22" t="str">
        <f t="shared" si="3"/>
        <v/>
      </c>
      <c r="N150" s="22" t="str">
        <f t="shared" si="1"/>
        <v/>
      </c>
    </row>
    <row r="151" ht="15.75" customHeight="1">
      <c r="A151" s="25">
        <f>IFERROR(__xludf.DUMMYFUNCTION("""COMPUTED_VALUE"""),43473.66666666667)</f>
        <v>43473.66667</v>
      </c>
      <c r="B151" s="22">
        <f>IFERROR(__xludf.DUMMYFUNCTION("""COMPUTED_VALUE"""),2574.41)</f>
        <v>2574.41</v>
      </c>
      <c r="C151" s="25">
        <f>IFERROR(__xludf.DUMMYFUNCTION("""COMPUTED_VALUE"""),43473.63611111111)</f>
        <v>43473.63611</v>
      </c>
      <c r="D151" s="22">
        <f>IFERROR(__xludf.DUMMYFUNCTION("""COMPUTED_VALUE"""),20.47)</f>
        <v>20.47</v>
      </c>
      <c r="E151" s="26">
        <f t="shared" si="2"/>
        <v>0.009695296291</v>
      </c>
      <c r="F151" s="25">
        <f>IFERROR(__xludf.DUMMYFUNCTION("""COMPUTED_VALUE"""),43473.63611111111)</f>
        <v>43473.63611</v>
      </c>
      <c r="G151" s="22">
        <f>IFERROR(__xludf.DUMMYFUNCTION("""COMPUTED_VALUE"""),21.14)</f>
        <v>21.14</v>
      </c>
      <c r="H151" s="25">
        <f>IFERROR(__xludf.DUMMYFUNCTION("""COMPUTED_VALUE"""),43473.63611111111)</f>
        <v>43473.63611</v>
      </c>
      <c r="I151" s="22">
        <f>IFERROR(__xludf.DUMMYFUNCTION("""COMPUTED_VALUE"""),21.17)</f>
        <v>21.17</v>
      </c>
      <c r="J151" s="25">
        <f>IFERROR(__xludf.DUMMYFUNCTION("""COMPUTED_VALUE"""),43473.63611111111)</f>
        <v>43473.63611</v>
      </c>
      <c r="K151" s="22">
        <f>IFERROR(__xludf.DUMMYFUNCTION("""COMPUTED_VALUE"""),21.23)</f>
        <v>21.23</v>
      </c>
      <c r="M151" s="22" t="str">
        <f t="shared" si="3"/>
        <v/>
      </c>
      <c r="N151" s="22" t="str">
        <f t="shared" si="1"/>
        <v/>
      </c>
    </row>
    <row r="152" ht="15.75" customHeight="1">
      <c r="A152" s="25">
        <f>IFERROR(__xludf.DUMMYFUNCTION("""COMPUTED_VALUE"""),43474.66666666667)</f>
        <v>43474.66667</v>
      </c>
      <c r="B152" s="22">
        <f>IFERROR(__xludf.DUMMYFUNCTION("""COMPUTED_VALUE"""),2584.96)</f>
        <v>2584.96</v>
      </c>
      <c r="C152" s="25">
        <f>IFERROR(__xludf.DUMMYFUNCTION("""COMPUTED_VALUE"""),43474.63611111111)</f>
        <v>43474.63611</v>
      </c>
      <c r="D152" s="22">
        <f>IFERROR(__xludf.DUMMYFUNCTION("""COMPUTED_VALUE"""),19.98)</f>
        <v>19.98</v>
      </c>
      <c r="E152" s="26">
        <f t="shared" si="2"/>
        <v>0.004098026344</v>
      </c>
      <c r="F152" s="25">
        <f>IFERROR(__xludf.DUMMYFUNCTION("""COMPUTED_VALUE"""),43474.63611111111)</f>
        <v>43474.63611</v>
      </c>
      <c r="G152" s="22">
        <f>IFERROR(__xludf.DUMMYFUNCTION("""COMPUTED_VALUE"""),20.69)</f>
        <v>20.69</v>
      </c>
      <c r="H152" s="25">
        <f>IFERROR(__xludf.DUMMYFUNCTION("""COMPUTED_VALUE"""),43474.63611111111)</f>
        <v>43474.63611</v>
      </c>
      <c r="I152" s="22">
        <f>IFERROR(__xludf.DUMMYFUNCTION("""COMPUTED_VALUE"""),20.9)</f>
        <v>20.9</v>
      </c>
      <c r="J152" s="25">
        <f>IFERROR(__xludf.DUMMYFUNCTION("""COMPUTED_VALUE"""),43474.63611111111)</f>
        <v>43474.63611</v>
      </c>
      <c r="K152" s="22">
        <f>IFERROR(__xludf.DUMMYFUNCTION("""COMPUTED_VALUE"""),21.04)</f>
        <v>21.04</v>
      </c>
      <c r="M152" s="22" t="str">
        <f t="shared" si="3"/>
        <v/>
      </c>
      <c r="N152" s="22" t="str">
        <f t="shared" si="1"/>
        <v/>
      </c>
    </row>
    <row r="153" ht="15.75" customHeight="1">
      <c r="A153" s="25">
        <f>IFERROR(__xludf.DUMMYFUNCTION("""COMPUTED_VALUE"""),43475.66666666667)</f>
        <v>43475.66667</v>
      </c>
      <c r="B153" s="22">
        <f>IFERROR(__xludf.DUMMYFUNCTION("""COMPUTED_VALUE"""),2596.64)</f>
        <v>2596.64</v>
      </c>
      <c r="C153" s="25">
        <f>IFERROR(__xludf.DUMMYFUNCTION("""COMPUTED_VALUE"""),43475.63611111111)</f>
        <v>43475.63611</v>
      </c>
      <c r="D153" s="22">
        <f>IFERROR(__xludf.DUMMYFUNCTION("""COMPUTED_VALUE"""),19.5)</f>
        <v>19.5</v>
      </c>
      <c r="E153" s="26">
        <f t="shared" si="2"/>
        <v>0.00451844516</v>
      </c>
      <c r="F153" s="25">
        <f>IFERROR(__xludf.DUMMYFUNCTION("""COMPUTED_VALUE"""),43475.63611111111)</f>
        <v>43475.63611</v>
      </c>
      <c r="G153" s="22">
        <f>IFERROR(__xludf.DUMMYFUNCTION("""COMPUTED_VALUE"""),20.52)</f>
        <v>20.52</v>
      </c>
      <c r="H153" s="25">
        <f>IFERROR(__xludf.DUMMYFUNCTION("""COMPUTED_VALUE"""),43475.63611111111)</f>
        <v>43475.63611</v>
      </c>
      <c r="I153" s="22">
        <f>IFERROR(__xludf.DUMMYFUNCTION("""COMPUTED_VALUE"""),20.86)</f>
        <v>20.86</v>
      </c>
      <c r="J153" s="25">
        <f>IFERROR(__xludf.DUMMYFUNCTION("""COMPUTED_VALUE"""),43475.63611111111)</f>
        <v>43475.63611</v>
      </c>
      <c r="K153" s="22">
        <f>IFERROR(__xludf.DUMMYFUNCTION("""COMPUTED_VALUE"""),20.97)</f>
        <v>20.97</v>
      </c>
      <c r="M153" s="22" t="str">
        <f t="shared" si="3"/>
        <v/>
      </c>
      <c r="N153" s="22" t="str">
        <f t="shared" si="1"/>
        <v/>
      </c>
    </row>
    <row r="154" ht="15.75" customHeight="1">
      <c r="A154" s="25">
        <f>IFERROR(__xludf.DUMMYFUNCTION("""COMPUTED_VALUE"""),43476.66666666667)</f>
        <v>43476.66667</v>
      </c>
      <c r="B154" s="22">
        <f>IFERROR(__xludf.DUMMYFUNCTION("""COMPUTED_VALUE"""),2596.26)</f>
        <v>2596.26</v>
      </c>
      <c r="C154" s="25">
        <f>IFERROR(__xludf.DUMMYFUNCTION("""COMPUTED_VALUE"""),43476.63611111111)</f>
        <v>43476.63611</v>
      </c>
      <c r="D154" s="22">
        <f>IFERROR(__xludf.DUMMYFUNCTION("""COMPUTED_VALUE"""),18.19)</f>
        <v>18.19</v>
      </c>
      <c r="E154" s="26">
        <f t="shared" si="2"/>
        <v>-0.0001463429663</v>
      </c>
      <c r="F154" s="25">
        <f>IFERROR(__xludf.DUMMYFUNCTION("""COMPUTED_VALUE"""),43476.63611111111)</f>
        <v>43476.63611</v>
      </c>
      <c r="G154" s="22">
        <f>IFERROR(__xludf.DUMMYFUNCTION("""COMPUTED_VALUE"""),19.74)</f>
        <v>19.74</v>
      </c>
      <c r="H154" s="25">
        <f>IFERROR(__xludf.DUMMYFUNCTION("""COMPUTED_VALUE"""),43476.63611111111)</f>
        <v>43476.63611</v>
      </c>
      <c r="I154" s="22">
        <f>IFERROR(__xludf.DUMMYFUNCTION("""COMPUTED_VALUE"""),20.35)</f>
        <v>20.35</v>
      </c>
      <c r="J154" s="25">
        <f>IFERROR(__xludf.DUMMYFUNCTION("""COMPUTED_VALUE"""),43476.63611111111)</f>
        <v>43476.63611</v>
      </c>
      <c r="K154" s="22">
        <f>IFERROR(__xludf.DUMMYFUNCTION("""COMPUTED_VALUE"""),20.62)</f>
        <v>20.62</v>
      </c>
      <c r="M154" s="22" t="str">
        <f t="shared" si="3"/>
        <v/>
      </c>
      <c r="N154" s="22" t="str">
        <f t="shared" si="1"/>
        <v/>
      </c>
    </row>
    <row r="155" ht="15.75" customHeight="1">
      <c r="A155" s="25">
        <f>IFERROR(__xludf.DUMMYFUNCTION("""COMPUTED_VALUE"""),43479.66666666667)</f>
        <v>43479.66667</v>
      </c>
      <c r="B155" s="22">
        <f>IFERROR(__xludf.DUMMYFUNCTION("""COMPUTED_VALUE"""),2582.61)</f>
        <v>2582.61</v>
      </c>
      <c r="C155" s="25">
        <f>IFERROR(__xludf.DUMMYFUNCTION("""COMPUTED_VALUE"""),43479.63611111111)</f>
        <v>43479.63611</v>
      </c>
      <c r="D155" s="22">
        <f>IFERROR(__xludf.DUMMYFUNCTION("""COMPUTED_VALUE"""),19.07)</f>
        <v>19.07</v>
      </c>
      <c r="E155" s="26">
        <f t="shared" si="2"/>
        <v>-0.005257562802</v>
      </c>
      <c r="F155" s="25">
        <f>IFERROR(__xludf.DUMMYFUNCTION("""COMPUTED_VALUE"""),43479.63611111111)</f>
        <v>43479.63611</v>
      </c>
      <c r="G155" s="22">
        <f>IFERROR(__xludf.DUMMYFUNCTION("""COMPUTED_VALUE"""),19.93)</f>
        <v>19.93</v>
      </c>
      <c r="H155" s="25">
        <f>IFERROR(__xludf.DUMMYFUNCTION("""COMPUTED_VALUE"""),43479.63611111111)</f>
        <v>43479.63611</v>
      </c>
      <c r="I155" s="22">
        <f>IFERROR(__xludf.DUMMYFUNCTION("""COMPUTED_VALUE"""),20.39)</f>
        <v>20.39</v>
      </c>
      <c r="J155" s="25">
        <f>IFERROR(__xludf.DUMMYFUNCTION("""COMPUTED_VALUE"""),43479.63611111111)</f>
        <v>43479.63611</v>
      </c>
      <c r="K155" s="22">
        <f>IFERROR(__xludf.DUMMYFUNCTION("""COMPUTED_VALUE"""),20.61)</f>
        <v>20.61</v>
      </c>
      <c r="M155" s="22" t="str">
        <f t="shared" si="3"/>
        <v/>
      </c>
      <c r="N155" s="22" t="str">
        <f t="shared" si="1"/>
        <v/>
      </c>
    </row>
    <row r="156" ht="15.75" customHeight="1">
      <c r="A156" s="25">
        <f>IFERROR(__xludf.DUMMYFUNCTION("""COMPUTED_VALUE"""),43480.66666666667)</f>
        <v>43480.66667</v>
      </c>
      <c r="B156" s="22">
        <f>IFERROR(__xludf.DUMMYFUNCTION("""COMPUTED_VALUE"""),2610.3)</f>
        <v>2610.3</v>
      </c>
      <c r="C156" s="25">
        <f>IFERROR(__xludf.DUMMYFUNCTION("""COMPUTED_VALUE"""),43480.63611111111)</f>
        <v>43480.63611</v>
      </c>
      <c r="D156" s="22">
        <f>IFERROR(__xludf.DUMMYFUNCTION("""COMPUTED_VALUE"""),18.6)</f>
        <v>18.6</v>
      </c>
      <c r="E156" s="26">
        <f t="shared" si="2"/>
        <v>0.01072171176</v>
      </c>
      <c r="F156" s="25">
        <f>IFERROR(__xludf.DUMMYFUNCTION("""COMPUTED_VALUE"""),43480.63611111111)</f>
        <v>43480.63611</v>
      </c>
      <c r="G156" s="22">
        <f>IFERROR(__xludf.DUMMYFUNCTION("""COMPUTED_VALUE"""),19.24)</f>
        <v>19.24</v>
      </c>
      <c r="H156" s="25">
        <f>IFERROR(__xludf.DUMMYFUNCTION("""COMPUTED_VALUE"""),43480.63611111111)</f>
        <v>43480.63611</v>
      </c>
      <c r="I156" s="22">
        <f>IFERROR(__xludf.DUMMYFUNCTION("""COMPUTED_VALUE"""),19.73)</f>
        <v>19.73</v>
      </c>
      <c r="J156" s="25">
        <f>IFERROR(__xludf.DUMMYFUNCTION("""COMPUTED_VALUE"""),43480.63611111111)</f>
        <v>43480.63611</v>
      </c>
      <c r="K156" s="22">
        <f>IFERROR(__xludf.DUMMYFUNCTION("""COMPUTED_VALUE"""),20.13)</f>
        <v>20.13</v>
      </c>
      <c r="M156" s="22" t="str">
        <f t="shared" si="3"/>
        <v/>
      </c>
      <c r="N156" s="22" t="str">
        <f t="shared" si="1"/>
        <v/>
      </c>
    </row>
    <row r="157" ht="15.75" customHeight="1">
      <c r="A157" s="25">
        <f>IFERROR(__xludf.DUMMYFUNCTION("""COMPUTED_VALUE"""),43481.66666666667)</f>
        <v>43481.66667</v>
      </c>
      <c r="B157" s="22">
        <f>IFERROR(__xludf.DUMMYFUNCTION("""COMPUTED_VALUE"""),2616.1)</f>
        <v>2616.1</v>
      </c>
      <c r="C157" s="25">
        <f>IFERROR(__xludf.DUMMYFUNCTION("""COMPUTED_VALUE"""),43481.63611111111)</f>
        <v>43481.63611</v>
      </c>
      <c r="D157" s="22">
        <f>IFERROR(__xludf.DUMMYFUNCTION("""COMPUTED_VALUE"""),19.04)</f>
        <v>19.04</v>
      </c>
      <c r="E157" s="26">
        <f t="shared" si="2"/>
        <v>0.002221966824</v>
      </c>
      <c r="F157" s="25">
        <f>IFERROR(__xludf.DUMMYFUNCTION("""COMPUTED_VALUE"""),43481.63611111111)</f>
        <v>43481.63611</v>
      </c>
      <c r="G157" s="22">
        <f>IFERROR(__xludf.DUMMYFUNCTION("""COMPUTED_VALUE"""),19.53)</f>
        <v>19.53</v>
      </c>
      <c r="H157" s="25">
        <f>IFERROR(__xludf.DUMMYFUNCTION("""COMPUTED_VALUE"""),43481.63611111111)</f>
        <v>43481.63611</v>
      </c>
      <c r="I157" s="22">
        <f>IFERROR(__xludf.DUMMYFUNCTION("""COMPUTED_VALUE"""),19.84)</f>
        <v>19.84</v>
      </c>
      <c r="J157" s="25">
        <f>IFERROR(__xludf.DUMMYFUNCTION("""COMPUTED_VALUE"""),43481.63611111111)</f>
        <v>43481.63611</v>
      </c>
      <c r="K157" s="22">
        <f>IFERROR(__xludf.DUMMYFUNCTION("""COMPUTED_VALUE"""),20.03)</f>
        <v>20.03</v>
      </c>
      <c r="M157" s="22" t="str">
        <f t="shared" si="3"/>
        <v/>
      </c>
      <c r="N157" s="22" t="str">
        <f t="shared" si="1"/>
        <v/>
      </c>
    </row>
    <row r="158" ht="15.75" customHeight="1">
      <c r="A158" s="25">
        <f>IFERROR(__xludf.DUMMYFUNCTION("""COMPUTED_VALUE"""),43482.66666666667)</f>
        <v>43482.66667</v>
      </c>
      <c r="B158" s="22">
        <f>IFERROR(__xludf.DUMMYFUNCTION("""COMPUTED_VALUE"""),2635.96)</f>
        <v>2635.96</v>
      </c>
      <c r="C158" s="25">
        <f>IFERROR(__xludf.DUMMYFUNCTION("""COMPUTED_VALUE"""),43482.63611111111)</f>
        <v>43482.63611</v>
      </c>
      <c r="D158" s="22">
        <f>IFERROR(__xludf.DUMMYFUNCTION("""COMPUTED_VALUE"""),18.06)</f>
        <v>18.06</v>
      </c>
      <c r="E158" s="26">
        <f t="shared" si="2"/>
        <v>0.007591452926</v>
      </c>
      <c r="F158" s="25">
        <f>IFERROR(__xludf.DUMMYFUNCTION("""COMPUTED_VALUE"""),43482.63611111111)</f>
        <v>43482.63611</v>
      </c>
      <c r="G158" s="22">
        <f>IFERROR(__xludf.DUMMYFUNCTION("""COMPUTED_VALUE"""),19.17)</f>
        <v>19.17</v>
      </c>
      <c r="H158" s="25">
        <f>IFERROR(__xludf.DUMMYFUNCTION("""COMPUTED_VALUE"""),43482.63611111111)</f>
        <v>43482.63611</v>
      </c>
      <c r="I158" s="22">
        <f>IFERROR(__xludf.DUMMYFUNCTION("""COMPUTED_VALUE"""),19.62)</f>
        <v>19.62</v>
      </c>
      <c r="J158" s="25">
        <f>IFERROR(__xludf.DUMMYFUNCTION("""COMPUTED_VALUE"""),43482.63611111111)</f>
        <v>43482.63611</v>
      </c>
      <c r="K158" s="22">
        <f>IFERROR(__xludf.DUMMYFUNCTION("""COMPUTED_VALUE"""),19.96)</f>
        <v>19.96</v>
      </c>
      <c r="M158" s="22" t="str">
        <f t="shared" si="3"/>
        <v/>
      </c>
      <c r="N158" s="22" t="str">
        <f t="shared" si="1"/>
        <v/>
      </c>
    </row>
    <row r="159" ht="15.75" customHeight="1">
      <c r="A159" s="25">
        <f>IFERROR(__xludf.DUMMYFUNCTION("""COMPUTED_VALUE"""),43483.66666666667)</f>
        <v>43483.66667</v>
      </c>
      <c r="B159" s="22">
        <f>IFERROR(__xludf.DUMMYFUNCTION("""COMPUTED_VALUE"""),2670.71)</f>
        <v>2670.71</v>
      </c>
      <c r="C159" s="25">
        <f>IFERROR(__xludf.DUMMYFUNCTION("""COMPUTED_VALUE"""),43483.63611111111)</f>
        <v>43483.63611</v>
      </c>
      <c r="D159" s="22">
        <f>IFERROR(__xludf.DUMMYFUNCTION("""COMPUTED_VALUE"""),17.8)</f>
        <v>17.8</v>
      </c>
      <c r="E159" s="26">
        <f t="shared" si="2"/>
        <v>0.01318305285</v>
      </c>
      <c r="F159" s="25">
        <f>IFERROR(__xludf.DUMMYFUNCTION("""COMPUTED_VALUE"""),43483.63611111111)</f>
        <v>43483.63611</v>
      </c>
      <c r="G159" s="22">
        <f>IFERROR(__xludf.DUMMYFUNCTION("""COMPUTED_VALUE"""),18.84)</f>
        <v>18.84</v>
      </c>
      <c r="H159" s="25">
        <f>IFERROR(__xludf.DUMMYFUNCTION("""COMPUTED_VALUE"""),43483.63611111111)</f>
        <v>43483.63611</v>
      </c>
      <c r="I159" s="22">
        <f>IFERROR(__xludf.DUMMYFUNCTION("""COMPUTED_VALUE"""),19.27)</f>
        <v>19.27</v>
      </c>
      <c r="J159" s="25">
        <f>IFERROR(__xludf.DUMMYFUNCTION("""COMPUTED_VALUE"""),43483.63611111111)</f>
        <v>43483.63611</v>
      </c>
      <c r="K159" s="22">
        <f>IFERROR(__xludf.DUMMYFUNCTION("""COMPUTED_VALUE"""),19.62)</f>
        <v>19.62</v>
      </c>
      <c r="M159" s="22" t="str">
        <f t="shared" si="3"/>
        <v/>
      </c>
      <c r="N159" s="22" t="str">
        <f t="shared" si="1"/>
        <v/>
      </c>
    </row>
    <row r="160" ht="15.75" customHeight="1">
      <c r="A160" s="25">
        <f>IFERROR(__xludf.DUMMYFUNCTION("""COMPUTED_VALUE"""),43487.66666666667)</f>
        <v>43487.66667</v>
      </c>
      <c r="B160" s="22">
        <f>IFERROR(__xludf.DUMMYFUNCTION("""COMPUTED_VALUE"""),2632.9)</f>
        <v>2632.9</v>
      </c>
      <c r="C160" s="25">
        <f>IFERROR(__xludf.DUMMYFUNCTION("""COMPUTED_VALUE"""),43487.63611111111)</f>
        <v>43487.63611</v>
      </c>
      <c r="D160" s="22">
        <f>IFERROR(__xludf.DUMMYFUNCTION("""COMPUTED_VALUE"""),20.8)</f>
        <v>20.8</v>
      </c>
      <c r="E160" s="26">
        <f t="shared" si="2"/>
        <v>-0.01415728402</v>
      </c>
      <c r="F160" s="25">
        <f>IFERROR(__xludf.DUMMYFUNCTION("""COMPUTED_VALUE"""),43487.63611111111)</f>
        <v>43487.63611</v>
      </c>
      <c r="G160" s="22">
        <f>IFERROR(__xludf.DUMMYFUNCTION("""COMPUTED_VALUE"""),20.69)</f>
        <v>20.69</v>
      </c>
      <c r="H160" s="25">
        <f>IFERROR(__xludf.DUMMYFUNCTION("""COMPUTED_VALUE"""),43487.63611111111)</f>
        <v>43487.63611</v>
      </c>
      <c r="I160" s="22">
        <f>IFERROR(__xludf.DUMMYFUNCTION("""COMPUTED_VALUE"""),20.55)</f>
        <v>20.55</v>
      </c>
      <c r="J160" s="25">
        <f>IFERROR(__xludf.DUMMYFUNCTION("""COMPUTED_VALUE"""),43487.63611111111)</f>
        <v>43487.63611</v>
      </c>
      <c r="K160" s="22">
        <f>IFERROR(__xludf.DUMMYFUNCTION("""COMPUTED_VALUE"""),20.42)</f>
        <v>20.42</v>
      </c>
      <c r="M160" s="22" t="str">
        <f t="shared" si="3"/>
        <v/>
      </c>
      <c r="N160" s="22" t="str">
        <f t="shared" si="1"/>
        <v/>
      </c>
    </row>
    <row r="161" ht="15.75" customHeight="1">
      <c r="A161" s="25">
        <f>IFERROR(__xludf.DUMMYFUNCTION("""COMPUTED_VALUE"""),43488.66666666667)</f>
        <v>43488.66667</v>
      </c>
      <c r="B161" s="22">
        <f>IFERROR(__xludf.DUMMYFUNCTION("""COMPUTED_VALUE"""),2638.7)</f>
        <v>2638.7</v>
      </c>
      <c r="C161" s="25">
        <f>IFERROR(__xludf.DUMMYFUNCTION("""COMPUTED_VALUE"""),43488.63611111111)</f>
        <v>43488.63611</v>
      </c>
      <c r="D161" s="22">
        <f>IFERROR(__xludf.DUMMYFUNCTION("""COMPUTED_VALUE"""),19.52)</f>
        <v>19.52</v>
      </c>
      <c r="E161" s="26">
        <f t="shared" si="2"/>
        <v>0.002202894147</v>
      </c>
      <c r="F161" s="25">
        <f>IFERROR(__xludf.DUMMYFUNCTION("""COMPUTED_VALUE"""),43488.63611111111)</f>
        <v>43488.63611</v>
      </c>
      <c r="G161" s="22">
        <f>IFERROR(__xludf.DUMMYFUNCTION("""COMPUTED_VALUE"""),20.08)</f>
        <v>20.08</v>
      </c>
      <c r="H161" s="25">
        <f>IFERROR(__xludf.DUMMYFUNCTION("""COMPUTED_VALUE"""),43488.63611111111)</f>
        <v>43488.63611</v>
      </c>
      <c r="I161" s="22">
        <f>IFERROR(__xludf.DUMMYFUNCTION("""COMPUTED_VALUE"""),20.09)</f>
        <v>20.09</v>
      </c>
      <c r="J161" s="25">
        <f>IFERROR(__xludf.DUMMYFUNCTION("""COMPUTED_VALUE"""),43488.63611111111)</f>
        <v>43488.63611</v>
      </c>
      <c r="K161" s="22">
        <f>IFERROR(__xludf.DUMMYFUNCTION("""COMPUTED_VALUE"""),20.04)</f>
        <v>20.04</v>
      </c>
      <c r="M161" s="22" t="str">
        <f t="shared" si="3"/>
        <v/>
      </c>
      <c r="N161" s="22" t="str">
        <f t="shared" si="1"/>
        <v/>
      </c>
    </row>
    <row r="162" ht="15.75" customHeight="1">
      <c r="A162" s="25">
        <f>IFERROR(__xludf.DUMMYFUNCTION("""COMPUTED_VALUE"""),43489.66666666667)</f>
        <v>43489.66667</v>
      </c>
      <c r="B162" s="22">
        <f>IFERROR(__xludf.DUMMYFUNCTION("""COMPUTED_VALUE"""),2642.33)</f>
        <v>2642.33</v>
      </c>
      <c r="C162" s="25">
        <f>IFERROR(__xludf.DUMMYFUNCTION("""COMPUTED_VALUE"""),43489.63611111111)</f>
        <v>43489.63611</v>
      </c>
      <c r="D162" s="22">
        <f>IFERROR(__xludf.DUMMYFUNCTION("""COMPUTED_VALUE"""),18.89)</f>
        <v>18.89</v>
      </c>
      <c r="E162" s="26">
        <f t="shared" si="2"/>
        <v>0.001375677417</v>
      </c>
      <c r="F162" s="25">
        <f>IFERROR(__xludf.DUMMYFUNCTION("""COMPUTED_VALUE"""),43489.63611111111)</f>
        <v>43489.63611</v>
      </c>
      <c r="G162" s="22">
        <f>IFERROR(__xludf.DUMMYFUNCTION("""COMPUTED_VALUE"""),19.67)</f>
        <v>19.67</v>
      </c>
      <c r="H162" s="25">
        <f>IFERROR(__xludf.DUMMYFUNCTION("""COMPUTED_VALUE"""),43489.63611111111)</f>
        <v>43489.63611</v>
      </c>
      <c r="I162" s="22">
        <f>IFERROR(__xludf.DUMMYFUNCTION("""COMPUTED_VALUE"""),19.85)</f>
        <v>19.85</v>
      </c>
      <c r="J162" s="25">
        <f>IFERROR(__xludf.DUMMYFUNCTION("""COMPUTED_VALUE"""),43489.63611111111)</f>
        <v>43489.63611</v>
      </c>
      <c r="K162" s="22">
        <f>IFERROR(__xludf.DUMMYFUNCTION("""COMPUTED_VALUE"""),19.98)</f>
        <v>19.98</v>
      </c>
      <c r="M162" s="22" t="str">
        <f t="shared" si="3"/>
        <v/>
      </c>
      <c r="N162" s="22" t="str">
        <f t="shared" si="1"/>
        <v/>
      </c>
    </row>
    <row r="163" ht="15.75" customHeight="1">
      <c r="A163" s="25">
        <f>IFERROR(__xludf.DUMMYFUNCTION("""COMPUTED_VALUE"""),43490.66666666667)</f>
        <v>43490.66667</v>
      </c>
      <c r="B163" s="22">
        <f>IFERROR(__xludf.DUMMYFUNCTION("""COMPUTED_VALUE"""),2664.76)</f>
        <v>2664.76</v>
      </c>
      <c r="C163" s="25">
        <f>IFERROR(__xludf.DUMMYFUNCTION("""COMPUTED_VALUE"""),43490.63611111111)</f>
        <v>43490.63611</v>
      </c>
      <c r="D163" s="22">
        <f>IFERROR(__xludf.DUMMYFUNCTION("""COMPUTED_VALUE"""),17.42)</f>
        <v>17.42</v>
      </c>
      <c r="E163" s="26">
        <f t="shared" si="2"/>
        <v>0.008488720183</v>
      </c>
      <c r="F163" s="25">
        <f>IFERROR(__xludf.DUMMYFUNCTION("""COMPUTED_VALUE"""),43490.63611111111)</f>
        <v>43490.63611</v>
      </c>
      <c r="G163" s="22">
        <f>IFERROR(__xludf.DUMMYFUNCTION("""COMPUTED_VALUE"""),18.82)</f>
        <v>18.82</v>
      </c>
      <c r="H163" s="25">
        <f>IFERROR(__xludf.DUMMYFUNCTION("""COMPUTED_VALUE"""),43490.63611111111)</f>
        <v>43490.63611</v>
      </c>
      <c r="I163" s="22">
        <f>IFERROR(__xludf.DUMMYFUNCTION("""COMPUTED_VALUE"""),19.3)</f>
        <v>19.3</v>
      </c>
      <c r="J163" s="25">
        <f>IFERROR(__xludf.DUMMYFUNCTION("""COMPUTED_VALUE"""),43490.63611111111)</f>
        <v>43490.63611</v>
      </c>
      <c r="K163" s="22">
        <f>IFERROR(__xludf.DUMMYFUNCTION("""COMPUTED_VALUE"""),19.71)</f>
        <v>19.71</v>
      </c>
      <c r="M163" s="22" t="str">
        <f t="shared" si="3"/>
        <v/>
      </c>
      <c r="N163" s="22" t="str">
        <f t="shared" si="1"/>
        <v/>
      </c>
    </row>
    <row r="164" ht="15.75" customHeight="1">
      <c r="A164" s="25">
        <f>IFERROR(__xludf.DUMMYFUNCTION("""COMPUTED_VALUE"""),43493.66666666667)</f>
        <v>43493.66667</v>
      </c>
      <c r="B164" s="22">
        <f>IFERROR(__xludf.DUMMYFUNCTION("""COMPUTED_VALUE"""),2643.85)</f>
        <v>2643.85</v>
      </c>
      <c r="C164" s="25">
        <f>IFERROR(__xludf.DUMMYFUNCTION("""COMPUTED_VALUE"""),43493.63611111111)</f>
        <v>43493.63611</v>
      </c>
      <c r="D164" s="22">
        <f>IFERROR(__xludf.DUMMYFUNCTION("""COMPUTED_VALUE"""),18.87)</f>
        <v>18.87</v>
      </c>
      <c r="E164" s="26">
        <f t="shared" si="2"/>
        <v>-0.007846860505</v>
      </c>
      <c r="F164" s="25">
        <f>IFERROR(__xludf.DUMMYFUNCTION("""COMPUTED_VALUE"""),43493.63611111111)</f>
        <v>43493.63611</v>
      </c>
      <c r="G164" s="22">
        <f>IFERROR(__xludf.DUMMYFUNCTION("""COMPUTED_VALUE"""),19.58)</f>
        <v>19.58</v>
      </c>
      <c r="H164" s="25">
        <f>IFERROR(__xludf.DUMMYFUNCTION("""COMPUTED_VALUE"""),43493.63611111111)</f>
        <v>43493.63611</v>
      </c>
      <c r="I164" s="22">
        <f>IFERROR(__xludf.DUMMYFUNCTION("""COMPUTED_VALUE"""),19.68)</f>
        <v>19.68</v>
      </c>
      <c r="J164" s="25">
        <f>IFERROR(__xludf.DUMMYFUNCTION("""COMPUTED_VALUE"""),43493.63611111111)</f>
        <v>43493.63611</v>
      </c>
      <c r="K164" s="22">
        <f>IFERROR(__xludf.DUMMYFUNCTION("""COMPUTED_VALUE"""),19.89)</f>
        <v>19.89</v>
      </c>
      <c r="M164" s="22" t="str">
        <f t="shared" si="3"/>
        <v/>
      </c>
      <c r="N164" s="22" t="str">
        <f t="shared" si="1"/>
        <v/>
      </c>
    </row>
    <row r="165" ht="15.75" customHeight="1">
      <c r="A165" s="25">
        <f>IFERROR(__xludf.DUMMYFUNCTION("""COMPUTED_VALUE"""),43494.66666666667)</f>
        <v>43494.66667</v>
      </c>
      <c r="B165" s="22">
        <f>IFERROR(__xludf.DUMMYFUNCTION("""COMPUTED_VALUE"""),2640.0)</f>
        <v>2640</v>
      </c>
      <c r="C165" s="25">
        <f>IFERROR(__xludf.DUMMYFUNCTION("""COMPUTED_VALUE"""),43494.63611111111)</f>
        <v>43494.63611</v>
      </c>
      <c r="D165" s="22">
        <f>IFERROR(__xludf.DUMMYFUNCTION("""COMPUTED_VALUE"""),19.13)</f>
        <v>19.13</v>
      </c>
      <c r="E165" s="26">
        <f t="shared" si="2"/>
        <v>-0.001456209694</v>
      </c>
      <c r="F165" s="25">
        <f>IFERROR(__xludf.DUMMYFUNCTION("""COMPUTED_VALUE"""),43494.63611111111)</f>
        <v>43494.63611</v>
      </c>
      <c r="G165" s="22">
        <f>IFERROR(__xludf.DUMMYFUNCTION("""COMPUTED_VALUE"""),19.6)</f>
        <v>19.6</v>
      </c>
      <c r="H165" s="25">
        <f>IFERROR(__xludf.DUMMYFUNCTION("""COMPUTED_VALUE"""),43494.63611111111)</f>
        <v>43494.63611</v>
      </c>
      <c r="I165" s="22">
        <f>IFERROR(__xludf.DUMMYFUNCTION("""COMPUTED_VALUE"""),19.68)</f>
        <v>19.68</v>
      </c>
      <c r="J165" s="25">
        <f>IFERROR(__xludf.DUMMYFUNCTION("""COMPUTED_VALUE"""),43494.63611111111)</f>
        <v>43494.63611</v>
      </c>
      <c r="K165" s="22">
        <f>IFERROR(__xludf.DUMMYFUNCTION("""COMPUTED_VALUE"""),19.84)</f>
        <v>19.84</v>
      </c>
      <c r="M165" s="22" t="str">
        <f t="shared" si="3"/>
        <v/>
      </c>
      <c r="N165" s="22" t="str">
        <f t="shared" si="1"/>
        <v/>
      </c>
    </row>
    <row r="166" ht="15.75" customHeight="1">
      <c r="A166" s="25">
        <f>IFERROR(__xludf.DUMMYFUNCTION("""COMPUTED_VALUE"""),43495.66666666667)</f>
        <v>43495.66667</v>
      </c>
      <c r="B166" s="22">
        <f>IFERROR(__xludf.DUMMYFUNCTION("""COMPUTED_VALUE"""),2681.05)</f>
        <v>2681.05</v>
      </c>
      <c r="C166" s="25">
        <f>IFERROR(__xludf.DUMMYFUNCTION("""COMPUTED_VALUE"""),43495.63611111111)</f>
        <v>43495.63611</v>
      </c>
      <c r="D166" s="22">
        <f>IFERROR(__xludf.DUMMYFUNCTION("""COMPUTED_VALUE"""),17.66)</f>
        <v>17.66</v>
      </c>
      <c r="E166" s="26">
        <f t="shared" si="2"/>
        <v>0.01554924242</v>
      </c>
      <c r="F166" s="25">
        <f>IFERROR(__xludf.DUMMYFUNCTION("""COMPUTED_VALUE"""),43495.63611111111)</f>
        <v>43495.63611</v>
      </c>
      <c r="G166" s="22">
        <f>IFERROR(__xludf.DUMMYFUNCTION("""COMPUTED_VALUE"""),18.68)</f>
        <v>18.68</v>
      </c>
      <c r="H166" s="25">
        <f>IFERROR(__xludf.DUMMYFUNCTION("""COMPUTED_VALUE"""),43495.63611111111)</f>
        <v>43495.63611</v>
      </c>
      <c r="I166" s="22">
        <f>IFERROR(__xludf.DUMMYFUNCTION("""COMPUTED_VALUE"""),19.04)</f>
        <v>19.04</v>
      </c>
      <c r="J166" s="25">
        <f>IFERROR(__xludf.DUMMYFUNCTION("""COMPUTED_VALUE"""),43495.63611111111)</f>
        <v>43495.63611</v>
      </c>
      <c r="K166" s="22">
        <f>IFERROR(__xludf.DUMMYFUNCTION("""COMPUTED_VALUE"""),19.35)</f>
        <v>19.35</v>
      </c>
      <c r="M166" s="22" t="str">
        <f t="shared" si="3"/>
        <v/>
      </c>
      <c r="N166" s="22" t="str">
        <f t="shared" si="1"/>
        <v/>
      </c>
    </row>
    <row r="167" ht="15.75" customHeight="1">
      <c r="A167" s="25">
        <f>IFERROR(__xludf.DUMMYFUNCTION("""COMPUTED_VALUE"""),43496.66666666667)</f>
        <v>43496.66667</v>
      </c>
      <c r="B167" s="22">
        <f>IFERROR(__xludf.DUMMYFUNCTION("""COMPUTED_VALUE"""),2704.1)</f>
        <v>2704.1</v>
      </c>
      <c r="C167" s="25">
        <f>IFERROR(__xludf.DUMMYFUNCTION("""COMPUTED_VALUE"""),43496.63611111111)</f>
        <v>43496.63611</v>
      </c>
      <c r="D167" s="22">
        <f>IFERROR(__xludf.DUMMYFUNCTION("""COMPUTED_VALUE"""),16.57)</f>
        <v>16.57</v>
      </c>
      <c r="E167" s="26">
        <f t="shared" si="2"/>
        <v>0.008597377893</v>
      </c>
      <c r="F167" s="25">
        <f>IFERROR(__xludf.DUMMYFUNCTION("""COMPUTED_VALUE"""),43496.63611111111)</f>
        <v>43496.63611</v>
      </c>
      <c r="G167" s="22">
        <f>IFERROR(__xludf.DUMMYFUNCTION("""COMPUTED_VALUE"""),17.88)</f>
        <v>17.88</v>
      </c>
      <c r="H167" s="25">
        <f>IFERROR(__xludf.DUMMYFUNCTION("""COMPUTED_VALUE"""),43496.63611111111)</f>
        <v>43496.63611</v>
      </c>
      <c r="I167" s="22">
        <f>IFERROR(__xludf.DUMMYFUNCTION("""COMPUTED_VALUE"""),18.44)</f>
        <v>18.44</v>
      </c>
      <c r="J167" s="25">
        <f>IFERROR(__xludf.DUMMYFUNCTION("""COMPUTED_VALUE"""),43496.63611111111)</f>
        <v>43496.63611</v>
      </c>
      <c r="K167" s="22">
        <f>IFERROR(__xludf.DUMMYFUNCTION("""COMPUTED_VALUE"""),18.89)</f>
        <v>18.89</v>
      </c>
      <c r="M167" s="22" t="str">
        <f t="shared" si="3"/>
        <v/>
      </c>
      <c r="N167" s="22" t="str">
        <f t="shared" si="1"/>
        <v/>
      </c>
    </row>
    <row r="168" ht="15.75" customHeight="1">
      <c r="A168" s="25">
        <f>IFERROR(__xludf.DUMMYFUNCTION("""COMPUTED_VALUE"""),43497.66666666667)</f>
        <v>43497.66667</v>
      </c>
      <c r="B168" s="22">
        <f>IFERROR(__xludf.DUMMYFUNCTION("""COMPUTED_VALUE"""),2706.53)</f>
        <v>2706.53</v>
      </c>
      <c r="C168" s="25">
        <f>IFERROR(__xludf.DUMMYFUNCTION("""COMPUTED_VALUE"""),43497.63611111111)</f>
        <v>43497.63611</v>
      </c>
      <c r="D168" s="22">
        <f>IFERROR(__xludf.DUMMYFUNCTION("""COMPUTED_VALUE"""),16.14)</f>
        <v>16.14</v>
      </c>
      <c r="E168" s="26">
        <f t="shared" si="2"/>
        <v>0.0008986354055</v>
      </c>
      <c r="F168" s="25">
        <f>IFERROR(__xludf.DUMMYFUNCTION("""COMPUTED_VALUE"""),43497.63611111111)</f>
        <v>43497.63611</v>
      </c>
      <c r="G168" s="22">
        <f>IFERROR(__xludf.DUMMYFUNCTION("""COMPUTED_VALUE"""),17.59)</f>
        <v>17.59</v>
      </c>
      <c r="H168" s="25">
        <f>IFERROR(__xludf.DUMMYFUNCTION("""COMPUTED_VALUE"""),43497.63611111111)</f>
        <v>43497.63611</v>
      </c>
      <c r="I168" s="22">
        <f>IFERROR(__xludf.DUMMYFUNCTION("""COMPUTED_VALUE"""),18.32)</f>
        <v>18.32</v>
      </c>
      <c r="J168" s="25">
        <f>IFERROR(__xludf.DUMMYFUNCTION("""COMPUTED_VALUE"""),43497.63611111111)</f>
        <v>43497.63611</v>
      </c>
      <c r="K168" s="22">
        <f>IFERROR(__xludf.DUMMYFUNCTION("""COMPUTED_VALUE"""),18.85)</f>
        <v>18.85</v>
      </c>
      <c r="M168" s="22" t="str">
        <f t="shared" si="3"/>
        <v/>
      </c>
      <c r="N168" s="22" t="str">
        <f t="shared" si="1"/>
        <v/>
      </c>
    </row>
    <row r="169" ht="15.75" customHeight="1">
      <c r="A169" s="25">
        <f>IFERROR(__xludf.DUMMYFUNCTION("""COMPUTED_VALUE"""),43500.66666666667)</f>
        <v>43500.66667</v>
      </c>
      <c r="B169" s="22">
        <f>IFERROR(__xludf.DUMMYFUNCTION("""COMPUTED_VALUE"""),2724.87)</f>
        <v>2724.87</v>
      </c>
      <c r="C169" s="25">
        <f>IFERROR(__xludf.DUMMYFUNCTION("""COMPUTED_VALUE"""),43500.63611111111)</f>
        <v>43500.63611</v>
      </c>
      <c r="D169" s="22">
        <f>IFERROR(__xludf.DUMMYFUNCTION("""COMPUTED_VALUE"""),15.73)</f>
        <v>15.73</v>
      </c>
      <c r="E169" s="26">
        <f t="shared" si="2"/>
        <v>0.006776204217</v>
      </c>
      <c r="F169" s="25">
        <f>IFERROR(__xludf.DUMMYFUNCTION("""COMPUTED_VALUE"""),43500.63611111111)</f>
        <v>43500.63611</v>
      </c>
      <c r="G169" s="22">
        <f>IFERROR(__xludf.DUMMYFUNCTION("""COMPUTED_VALUE"""),17.19)</f>
        <v>17.19</v>
      </c>
      <c r="H169" s="25">
        <f>IFERROR(__xludf.DUMMYFUNCTION("""COMPUTED_VALUE"""),43500.63611111111)</f>
        <v>43500.63611</v>
      </c>
      <c r="I169" s="22">
        <f>IFERROR(__xludf.DUMMYFUNCTION("""COMPUTED_VALUE"""),17.96)</f>
        <v>17.96</v>
      </c>
      <c r="J169" s="25">
        <f>IFERROR(__xludf.DUMMYFUNCTION("""COMPUTED_VALUE"""),43500.63611111111)</f>
        <v>43500.63611</v>
      </c>
      <c r="K169" s="22">
        <f>IFERROR(__xludf.DUMMYFUNCTION("""COMPUTED_VALUE"""),18.59)</f>
        <v>18.59</v>
      </c>
      <c r="M169" s="22" t="str">
        <f t="shared" si="3"/>
        <v/>
      </c>
      <c r="N169" s="22" t="str">
        <f t="shared" si="1"/>
        <v/>
      </c>
    </row>
    <row r="170" ht="15.75" customHeight="1">
      <c r="A170" s="25">
        <f>IFERROR(__xludf.DUMMYFUNCTION("""COMPUTED_VALUE"""),43501.66666666667)</f>
        <v>43501.66667</v>
      </c>
      <c r="B170" s="22">
        <f>IFERROR(__xludf.DUMMYFUNCTION("""COMPUTED_VALUE"""),2737.7)</f>
        <v>2737.7</v>
      </c>
      <c r="C170" s="25">
        <f>IFERROR(__xludf.DUMMYFUNCTION("""COMPUTED_VALUE"""),43501.63611111111)</f>
        <v>43501.63611</v>
      </c>
      <c r="D170" s="22">
        <f>IFERROR(__xludf.DUMMYFUNCTION("""COMPUTED_VALUE"""),15.57)</f>
        <v>15.57</v>
      </c>
      <c r="E170" s="26">
        <f t="shared" si="2"/>
        <v>0.004708481506</v>
      </c>
      <c r="F170" s="25">
        <f>IFERROR(__xludf.DUMMYFUNCTION("""COMPUTED_VALUE"""),43501.63611111111)</f>
        <v>43501.63611</v>
      </c>
      <c r="G170" s="22">
        <f>IFERROR(__xludf.DUMMYFUNCTION("""COMPUTED_VALUE"""),17.07)</f>
        <v>17.07</v>
      </c>
      <c r="H170" s="25">
        <f>IFERROR(__xludf.DUMMYFUNCTION("""COMPUTED_VALUE"""),43501.63611111111)</f>
        <v>43501.63611</v>
      </c>
      <c r="I170" s="22">
        <f>IFERROR(__xludf.DUMMYFUNCTION("""COMPUTED_VALUE"""),17.79)</f>
        <v>17.79</v>
      </c>
      <c r="J170" s="25">
        <f>IFERROR(__xludf.DUMMYFUNCTION("""COMPUTED_VALUE"""),43501.63611111111)</f>
        <v>43501.63611</v>
      </c>
      <c r="K170" s="22">
        <f>IFERROR(__xludf.DUMMYFUNCTION("""COMPUTED_VALUE"""),18.37)</f>
        <v>18.37</v>
      </c>
      <c r="M170" s="22" t="str">
        <f t="shared" si="3"/>
        <v/>
      </c>
      <c r="N170" s="22" t="str">
        <f t="shared" si="1"/>
        <v/>
      </c>
    </row>
    <row r="171" ht="15.75" customHeight="1">
      <c r="A171" s="25">
        <f>IFERROR(__xludf.DUMMYFUNCTION("""COMPUTED_VALUE"""),43502.66666666667)</f>
        <v>43502.66667</v>
      </c>
      <c r="B171" s="22">
        <f>IFERROR(__xludf.DUMMYFUNCTION("""COMPUTED_VALUE"""),2731.61)</f>
        <v>2731.61</v>
      </c>
      <c r="C171" s="25">
        <f>IFERROR(__xludf.DUMMYFUNCTION("""COMPUTED_VALUE"""),43502.63611111111)</f>
        <v>43502.63611</v>
      </c>
      <c r="D171" s="22">
        <f>IFERROR(__xludf.DUMMYFUNCTION("""COMPUTED_VALUE"""),15.38)</f>
        <v>15.38</v>
      </c>
      <c r="E171" s="26">
        <f t="shared" si="2"/>
        <v>-0.002224495014</v>
      </c>
      <c r="F171" s="25">
        <f>IFERROR(__xludf.DUMMYFUNCTION("""COMPUTED_VALUE"""),43502.63611111111)</f>
        <v>43502.63611</v>
      </c>
      <c r="G171" s="22">
        <f>IFERROR(__xludf.DUMMYFUNCTION("""COMPUTED_VALUE"""),16.9)</f>
        <v>16.9</v>
      </c>
      <c r="H171" s="25">
        <f>IFERROR(__xludf.DUMMYFUNCTION("""COMPUTED_VALUE"""),43502.63611111111)</f>
        <v>43502.63611</v>
      </c>
      <c r="I171" s="22">
        <f>IFERROR(__xludf.DUMMYFUNCTION("""COMPUTED_VALUE"""),17.69)</f>
        <v>17.69</v>
      </c>
      <c r="J171" s="25">
        <f>IFERROR(__xludf.DUMMYFUNCTION("""COMPUTED_VALUE"""),43502.63611111111)</f>
        <v>43502.63611</v>
      </c>
      <c r="K171" s="22">
        <f>IFERROR(__xludf.DUMMYFUNCTION("""COMPUTED_VALUE"""),18.36)</f>
        <v>18.36</v>
      </c>
      <c r="M171" s="22" t="str">
        <f t="shared" si="3"/>
        <v/>
      </c>
      <c r="N171" s="22" t="str">
        <f t="shared" si="1"/>
        <v/>
      </c>
    </row>
    <row r="172" ht="15.75" customHeight="1">
      <c r="A172" s="25">
        <f>IFERROR(__xludf.DUMMYFUNCTION("""COMPUTED_VALUE"""),43503.66666666667)</f>
        <v>43503.66667</v>
      </c>
      <c r="B172" s="22">
        <f>IFERROR(__xludf.DUMMYFUNCTION("""COMPUTED_VALUE"""),2706.05)</f>
        <v>2706.05</v>
      </c>
      <c r="C172" s="25">
        <f>IFERROR(__xludf.DUMMYFUNCTION("""COMPUTED_VALUE"""),43503.63611111111)</f>
        <v>43503.63611</v>
      </c>
      <c r="D172" s="22">
        <f>IFERROR(__xludf.DUMMYFUNCTION("""COMPUTED_VALUE"""),16.37)</f>
        <v>16.37</v>
      </c>
      <c r="E172" s="26">
        <f t="shared" si="2"/>
        <v>-0.009357119062</v>
      </c>
      <c r="F172" s="25">
        <f>IFERROR(__xludf.DUMMYFUNCTION("""COMPUTED_VALUE"""),43503.63611111111)</f>
        <v>43503.63611</v>
      </c>
      <c r="G172" s="22">
        <f>IFERROR(__xludf.DUMMYFUNCTION("""COMPUTED_VALUE"""),17.52)</f>
        <v>17.52</v>
      </c>
      <c r="H172" s="25">
        <f>IFERROR(__xludf.DUMMYFUNCTION("""COMPUTED_VALUE"""),43503.63611111111)</f>
        <v>43503.63611</v>
      </c>
      <c r="I172" s="22">
        <f>IFERROR(__xludf.DUMMYFUNCTION("""COMPUTED_VALUE"""),18.05)</f>
        <v>18.05</v>
      </c>
      <c r="J172" s="25">
        <f>IFERROR(__xludf.DUMMYFUNCTION("""COMPUTED_VALUE"""),43503.63611111111)</f>
        <v>43503.63611</v>
      </c>
      <c r="K172" s="22">
        <f>IFERROR(__xludf.DUMMYFUNCTION("""COMPUTED_VALUE"""),18.63)</f>
        <v>18.63</v>
      </c>
      <c r="M172" s="22" t="str">
        <f t="shared" si="3"/>
        <v/>
      </c>
      <c r="N172" s="22" t="str">
        <f t="shared" si="1"/>
        <v/>
      </c>
    </row>
    <row r="173" ht="15.75" customHeight="1">
      <c r="A173" s="25">
        <f>IFERROR(__xludf.DUMMYFUNCTION("""COMPUTED_VALUE"""),43504.66666666667)</f>
        <v>43504.66667</v>
      </c>
      <c r="B173" s="22">
        <f>IFERROR(__xludf.DUMMYFUNCTION("""COMPUTED_VALUE"""),2707.88)</f>
        <v>2707.88</v>
      </c>
      <c r="C173" s="25">
        <f>IFERROR(__xludf.DUMMYFUNCTION("""COMPUTED_VALUE"""),43504.63611111111)</f>
        <v>43504.63611</v>
      </c>
      <c r="D173" s="22">
        <f>IFERROR(__xludf.DUMMYFUNCTION("""COMPUTED_VALUE"""),15.72)</f>
        <v>15.72</v>
      </c>
      <c r="E173" s="26">
        <f t="shared" si="2"/>
        <v>0.000676262449</v>
      </c>
      <c r="F173" s="25">
        <f>IFERROR(__xludf.DUMMYFUNCTION("""COMPUTED_VALUE"""),43504.63611111111)</f>
        <v>43504.63611</v>
      </c>
      <c r="G173" s="22">
        <f>IFERROR(__xludf.DUMMYFUNCTION("""COMPUTED_VALUE"""),17.26)</f>
        <v>17.26</v>
      </c>
      <c r="H173" s="25">
        <f>IFERROR(__xludf.DUMMYFUNCTION("""COMPUTED_VALUE"""),43504.63611111111)</f>
        <v>43504.63611</v>
      </c>
      <c r="I173" s="22">
        <f>IFERROR(__xludf.DUMMYFUNCTION("""COMPUTED_VALUE"""),17.9)</f>
        <v>17.9</v>
      </c>
      <c r="J173" s="25">
        <f>IFERROR(__xludf.DUMMYFUNCTION("""COMPUTED_VALUE"""),43504.63611111111)</f>
        <v>43504.63611</v>
      </c>
      <c r="K173" s="22">
        <f>IFERROR(__xludf.DUMMYFUNCTION("""COMPUTED_VALUE"""),18.53)</f>
        <v>18.53</v>
      </c>
      <c r="M173" s="22" t="str">
        <f t="shared" si="3"/>
        <v/>
      </c>
      <c r="N173" s="22" t="str">
        <f t="shared" si="1"/>
        <v/>
      </c>
    </row>
    <row r="174" ht="15.75" customHeight="1">
      <c r="A174" s="25">
        <f>IFERROR(__xludf.DUMMYFUNCTION("""COMPUTED_VALUE"""),43507.66666666667)</f>
        <v>43507.66667</v>
      </c>
      <c r="B174" s="22">
        <f>IFERROR(__xludf.DUMMYFUNCTION("""COMPUTED_VALUE"""),2709.8)</f>
        <v>2709.8</v>
      </c>
      <c r="C174" s="25">
        <f>IFERROR(__xludf.DUMMYFUNCTION("""COMPUTED_VALUE"""),43507.63611111111)</f>
        <v>43507.63611</v>
      </c>
      <c r="D174" s="22">
        <f>IFERROR(__xludf.DUMMYFUNCTION("""COMPUTED_VALUE"""),15.97)</f>
        <v>15.97</v>
      </c>
      <c r="E174" s="26">
        <f t="shared" si="2"/>
        <v>0.0007090417596</v>
      </c>
      <c r="F174" s="25">
        <f>IFERROR(__xludf.DUMMYFUNCTION("""COMPUTED_VALUE"""),43507.63611111111)</f>
        <v>43507.63611</v>
      </c>
      <c r="G174" s="22">
        <f>IFERROR(__xludf.DUMMYFUNCTION("""COMPUTED_VALUE"""),17.22)</f>
        <v>17.22</v>
      </c>
      <c r="H174" s="25">
        <f>IFERROR(__xludf.DUMMYFUNCTION("""COMPUTED_VALUE"""),43507.63611111111)</f>
        <v>43507.63611</v>
      </c>
      <c r="I174" s="22">
        <f>IFERROR(__xludf.DUMMYFUNCTION("""COMPUTED_VALUE"""),17.85)</f>
        <v>17.85</v>
      </c>
      <c r="J174" s="25">
        <f>IFERROR(__xludf.DUMMYFUNCTION("""COMPUTED_VALUE"""),43507.63611111111)</f>
        <v>43507.63611</v>
      </c>
      <c r="K174" s="22">
        <f>IFERROR(__xludf.DUMMYFUNCTION("""COMPUTED_VALUE"""),18.5)</f>
        <v>18.5</v>
      </c>
      <c r="M174" s="22" t="str">
        <f t="shared" si="3"/>
        <v/>
      </c>
      <c r="N174" s="22" t="str">
        <f t="shared" si="1"/>
        <v/>
      </c>
    </row>
    <row r="175" ht="15.75" customHeight="1">
      <c r="A175" s="25">
        <f>IFERROR(__xludf.DUMMYFUNCTION("""COMPUTED_VALUE"""),43508.66666666667)</f>
        <v>43508.66667</v>
      </c>
      <c r="B175" s="22">
        <f>IFERROR(__xludf.DUMMYFUNCTION("""COMPUTED_VALUE"""),2744.73)</f>
        <v>2744.73</v>
      </c>
      <c r="C175" s="25">
        <f>IFERROR(__xludf.DUMMYFUNCTION("""COMPUTED_VALUE"""),43508.63611111111)</f>
        <v>43508.63611</v>
      </c>
      <c r="D175" s="22">
        <f>IFERROR(__xludf.DUMMYFUNCTION("""COMPUTED_VALUE"""),15.43)</f>
        <v>15.43</v>
      </c>
      <c r="E175" s="26">
        <f t="shared" si="2"/>
        <v>0.0128902502</v>
      </c>
      <c r="F175" s="25">
        <f>IFERROR(__xludf.DUMMYFUNCTION("""COMPUTED_VALUE"""),43508.63611111111)</f>
        <v>43508.63611</v>
      </c>
      <c r="G175" s="22">
        <f>IFERROR(__xludf.DUMMYFUNCTION("""COMPUTED_VALUE"""),16.82)</f>
        <v>16.82</v>
      </c>
      <c r="H175" s="25">
        <f>IFERROR(__xludf.DUMMYFUNCTION("""COMPUTED_VALUE"""),43508.63611111111)</f>
        <v>43508.63611</v>
      </c>
      <c r="I175" s="22">
        <f>IFERROR(__xludf.DUMMYFUNCTION("""COMPUTED_VALUE"""),17.51)</f>
        <v>17.51</v>
      </c>
      <c r="J175" s="25">
        <f>IFERROR(__xludf.DUMMYFUNCTION("""COMPUTED_VALUE"""),43508.63611111111)</f>
        <v>43508.63611</v>
      </c>
      <c r="K175" s="22">
        <f>IFERROR(__xludf.DUMMYFUNCTION("""COMPUTED_VALUE"""),18.19)</f>
        <v>18.19</v>
      </c>
      <c r="M175" s="22" t="str">
        <f t="shared" si="3"/>
        <v/>
      </c>
      <c r="N175" s="22" t="str">
        <f t="shared" si="1"/>
        <v/>
      </c>
    </row>
    <row r="176" ht="15.75" customHeight="1">
      <c r="A176" s="25">
        <f>IFERROR(__xludf.DUMMYFUNCTION("""COMPUTED_VALUE"""),43509.66666666667)</f>
        <v>43509.66667</v>
      </c>
      <c r="B176" s="22">
        <f>IFERROR(__xludf.DUMMYFUNCTION("""COMPUTED_VALUE"""),2753.03)</f>
        <v>2753.03</v>
      </c>
      <c r="C176" s="25">
        <f>IFERROR(__xludf.DUMMYFUNCTION("""COMPUTED_VALUE"""),43509.63611111111)</f>
        <v>43509.63611</v>
      </c>
      <c r="D176" s="22">
        <f>IFERROR(__xludf.DUMMYFUNCTION("""COMPUTED_VALUE"""),15.65)</f>
        <v>15.65</v>
      </c>
      <c r="E176" s="26">
        <f t="shared" si="2"/>
        <v>0.003023976857</v>
      </c>
      <c r="F176" s="25">
        <f>IFERROR(__xludf.DUMMYFUNCTION("""COMPUTED_VALUE"""),43509.63611111111)</f>
        <v>43509.63611</v>
      </c>
      <c r="G176" s="22">
        <f>IFERROR(__xludf.DUMMYFUNCTION("""COMPUTED_VALUE"""),16.96)</f>
        <v>16.96</v>
      </c>
      <c r="H176" s="25">
        <f>IFERROR(__xludf.DUMMYFUNCTION("""COMPUTED_VALUE"""),43509.63611111111)</f>
        <v>43509.63611</v>
      </c>
      <c r="I176" s="22">
        <f>IFERROR(__xludf.DUMMYFUNCTION("""COMPUTED_VALUE"""),17.62)</f>
        <v>17.62</v>
      </c>
      <c r="J176" s="25">
        <f>IFERROR(__xludf.DUMMYFUNCTION("""COMPUTED_VALUE"""),43509.63611111111)</f>
        <v>43509.63611</v>
      </c>
      <c r="K176" s="22">
        <f>IFERROR(__xludf.DUMMYFUNCTION("""COMPUTED_VALUE"""),18.28)</f>
        <v>18.28</v>
      </c>
      <c r="M176" s="22" t="str">
        <f t="shared" si="3"/>
        <v/>
      </c>
      <c r="N176" s="22" t="str">
        <f t="shared" si="1"/>
        <v/>
      </c>
    </row>
    <row r="177" ht="15.75" customHeight="1">
      <c r="A177" s="25">
        <f>IFERROR(__xludf.DUMMYFUNCTION("""COMPUTED_VALUE"""),43510.66666666667)</f>
        <v>43510.66667</v>
      </c>
      <c r="B177" s="22">
        <f>IFERROR(__xludf.DUMMYFUNCTION("""COMPUTED_VALUE"""),2745.73)</f>
        <v>2745.73</v>
      </c>
      <c r="C177" s="25">
        <f>IFERROR(__xludf.DUMMYFUNCTION("""COMPUTED_VALUE"""),43510.63611111111)</f>
        <v>43510.63611</v>
      </c>
      <c r="D177" s="22">
        <f>IFERROR(__xludf.DUMMYFUNCTION("""COMPUTED_VALUE"""),16.22)</f>
        <v>16.22</v>
      </c>
      <c r="E177" s="26">
        <f t="shared" si="2"/>
        <v>-0.002651623847</v>
      </c>
      <c r="F177" s="25">
        <f>IFERROR(__xludf.DUMMYFUNCTION("""COMPUTED_VALUE"""),43510.63611111111)</f>
        <v>43510.63611</v>
      </c>
      <c r="G177" s="22">
        <f>IFERROR(__xludf.DUMMYFUNCTION("""COMPUTED_VALUE"""),17.32)</f>
        <v>17.32</v>
      </c>
      <c r="H177" s="25">
        <f>IFERROR(__xludf.DUMMYFUNCTION("""COMPUTED_VALUE"""),43510.63611111111)</f>
        <v>43510.63611</v>
      </c>
      <c r="I177" s="22">
        <f>IFERROR(__xludf.DUMMYFUNCTION("""COMPUTED_VALUE"""),17.98)</f>
        <v>17.98</v>
      </c>
      <c r="J177" s="25">
        <f>IFERROR(__xludf.DUMMYFUNCTION("""COMPUTED_VALUE"""),43510.63611111111)</f>
        <v>43510.63611</v>
      </c>
      <c r="K177" s="22">
        <f>IFERROR(__xludf.DUMMYFUNCTION("""COMPUTED_VALUE"""),18.59)</f>
        <v>18.59</v>
      </c>
      <c r="M177" s="22" t="str">
        <f t="shared" si="3"/>
        <v/>
      </c>
      <c r="N177" s="22" t="str">
        <f t="shared" si="1"/>
        <v/>
      </c>
    </row>
    <row r="178" ht="15.75" customHeight="1">
      <c r="A178" s="25">
        <f>IFERROR(__xludf.DUMMYFUNCTION("""COMPUTED_VALUE"""),43511.66666666667)</f>
        <v>43511.66667</v>
      </c>
      <c r="B178" s="22">
        <f>IFERROR(__xludf.DUMMYFUNCTION("""COMPUTED_VALUE"""),2775.6)</f>
        <v>2775.6</v>
      </c>
      <c r="C178" s="25">
        <f>IFERROR(__xludf.DUMMYFUNCTION("""COMPUTED_VALUE"""),43511.63611111111)</f>
        <v>43511.63611</v>
      </c>
      <c r="D178" s="22">
        <f>IFERROR(__xludf.DUMMYFUNCTION("""COMPUTED_VALUE"""),14.91)</f>
        <v>14.91</v>
      </c>
      <c r="E178" s="26">
        <f t="shared" si="2"/>
        <v>0.01087870985</v>
      </c>
      <c r="F178" s="25">
        <f>IFERROR(__xludf.DUMMYFUNCTION("""COMPUTED_VALUE"""),43511.63611111111)</f>
        <v>43511.63611</v>
      </c>
      <c r="G178" s="22">
        <f>IFERROR(__xludf.DUMMYFUNCTION("""COMPUTED_VALUE"""),16.48)</f>
        <v>16.48</v>
      </c>
      <c r="H178" s="25">
        <f>IFERROR(__xludf.DUMMYFUNCTION("""COMPUTED_VALUE"""),43511.63611111111)</f>
        <v>43511.63611</v>
      </c>
      <c r="I178" s="22">
        <f>IFERROR(__xludf.DUMMYFUNCTION("""COMPUTED_VALUE"""),17.4)</f>
        <v>17.4</v>
      </c>
      <c r="J178" s="25">
        <f>IFERROR(__xludf.DUMMYFUNCTION("""COMPUTED_VALUE"""),43511.63611111111)</f>
        <v>43511.63611</v>
      </c>
      <c r="K178" s="22">
        <f>IFERROR(__xludf.DUMMYFUNCTION("""COMPUTED_VALUE"""),18.22)</f>
        <v>18.22</v>
      </c>
      <c r="M178" s="22" t="str">
        <f t="shared" si="3"/>
        <v/>
      </c>
      <c r="N178" s="22" t="str">
        <f t="shared" si="1"/>
        <v/>
      </c>
    </row>
    <row r="179" ht="15.75" customHeight="1">
      <c r="A179" s="25">
        <f>IFERROR(__xludf.DUMMYFUNCTION("""COMPUTED_VALUE"""),43515.66666666667)</f>
        <v>43515.66667</v>
      </c>
      <c r="B179" s="22">
        <f>IFERROR(__xludf.DUMMYFUNCTION("""COMPUTED_VALUE"""),2779.76)</f>
        <v>2779.76</v>
      </c>
      <c r="C179" s="25">
        <f>IFERROR(__xludf.DUMMYFUNCTION("""COMPUTED_VALUE"""),43515.63611111111)</f>
        <v>43515.63611</v>
      </c>
      <c r="D179" s="22">
        <f>IFERROR(__xludf.DUMMYFUNCTION("""COMPUTED_VALUE"""),14.88)</f>
        <v>14.88</v>
      </c>
      <c r="E179" s="26">
        <f t="shared" si="2"/>
        <v>0.00149877504</v>
      </c>
      <c r="F179" s="25">
        <f>IFERROR(__xludf.DUMMYFUNCTION("""COMPUTED_VALUE"""),43515.63611111111)</f>
        <v>43515.63611</v>
      </c>
      <c r="G179" s="22">
        <f>IFERROR(__xludf.DUMMYFUNCTION("""COMPUTED_VALUE"""),16.45)</f>
        <v>16.45</v>
      </c>
      <c r="H179" s="25">
        <f>IFERROR(__xludf.DUMMYFUNCTION("""COMPUTED_VALUE"""),43515.63611111111)</f>
        <v>43515.63611</v>
      </c>
      <c r="I179" s="22">
        <f>IFERROR(__xludf.DUMMYFUNCTION("""COMPUTED_VALUE"""),17.19)</f>
        <v>17.19</v>
      </c>
      <c r="J179" s="25">
        <f>IFERROR(__xludf.DUMMYFUNCTION("""COMPUTED_VALUE"""),43515.63611111111)</f>
        <v>43515.63611</v>
      </c>
      <c r="K179" s="22">
        <f>IFERROR(__xludf.DUMMYFUNCTION("""COMPUTED_VALUE"""),18.04)</f>
        <v>18.04</v>
      </c>
      <c r="M179" s="22" t="str">
        <f t="shared" si="3"/>
        <v/>
      </c>
      <c r="N179" s="22" t="str">
        <f t="shared" si="1"/>
        <v/>
      </c>
    </row>
    <row r="180" ht="15.75" customHeight="1">
      <c r="A180" s="25">
        <f>IFERROR(__xludf.DUMMYFUNCTION("""COMPUTED_VALUE"""),43516.66666666667)</f>
        <v>43516.66667</v>
      </c>
      <c r="B180" s="22">
        <f>IFERROR(__xludf.DUMMYFUNCTION("""COMPUTED_VALUE"""),2784.7)</f>
        <v>2784.7</v>
      </c>
      <c r="C180" s="25">
        <f>IFERROR(__xludf.DUMMYFUNCTION("""COMPUTED_VALUE"""),43516.63611111111)</f>
        <v>43516.63611</v>
      </c>
      <c r="D180" s="22">
        <f>IFERROR(__xludf.DUMMYFUNCTION("""COMPUTED_VALUE"""),14.02)</f>
        <v>14.02</v>
      </c>
      <c r="E180" s="26">
        <f t="shared" si="2"/>
        <v>0.001777131839</v>
      </c>
      <c r="F180" s="25">
        <f>IFERROR(__xludf.DUMMYFUNCTION("""COMPUTED_VALUE"""),43516.63611111111)</f>
        <v>43516.63611</v>
      </c>
      <c r="G180" s="22">
        <f>IFERROR(__xludf.DUMMYFUNCTION("""COMPUTED_VALUE"""),15.82)</f>
        <v>15.82</v>
      </c>
      <c r="H180" s="25">
        <f>IFERROR(__xludf.DUMMYFUNCTION("""COMPUTED_VALUE"""),43516.63611111111)</f>
        <v>43516.63611</v>
      </c>
      <c r="I180" s="22">
        <f>IFERROR(__xludf.DUMMYFUNCTION("""COMPUTED_VALUE"""),16.75)</f>
        <v>16.75</v>
      </c>
      <c r="J180" s="25">
        <f>IFERROR(__xludf.DUMMYFUNCTION("""COMPUTED_VALUE"""),43516.63611111111)</f>
        <v>43516.63611</v>
      </c>
      <c r="K180" s="22">
        <f>IFERROR(__xludf.DUMMYFUNCTION("""COMPUTED_VALUE"""),17.73)</f>
        <v>17.73</v>
      </c>
      <c r="M180" s="22" t="str">
        <f t="shared" si="3"/>
        <v/>
      </c>
      <c r="N180" s="22" t="str">
        <f t="shared" si="1"/>
        <v/>
      </c>
    </row>
    <row r="181" ht="15.75" customHeight="1">
      <c r="A181" s="25">
        <f>IFERROR(__xludf.DUMMYFUNCTION("""COMPUTED_VALUE"""),43517.66666666667)</f>
        <v>43517.66667</v>
      </c>
      <c r="B181" s="22">
        <f>IFERROR(__xludf.DUMMYFUNCTION("""COMPUTED_VALUE"""),2774.88)</f>
        <v>2774.88</v>
      </c>
      <c r="C181" s="25">
        <f>IFERROR(__xludf.DUMMYFUNCTION("""COMPUTED_VALUE"""),43517.63611111111)</f>
        <v>43517.63611</v>
      </c>
      <c r="D181" s="22">
        <f>IFERROR(__xludf.DUMMYFUNCTION("""COMPUTED_VALUE"""),14.46)</f>
        <v>14.46</v>
      </c>
      <c r="E181" s="26">
        <f t="shared" si="2"/>
        <v>-0.003526412181</v>
      </c>
      <c r="F181" s="25">
        <f>IFERROR(__xludf.DUMMYFUNCTION("""COMPUTED_VALUE"""),43517.63611111111)</f>
        <v>43517.63611</v>
      </c>
      <c r="G181" s="22">
        <f>IFERROR(__xludf.DUMMYFUNCTION("""COMPUTED_VALUE"""),16.16)</f>
        <v>16.16</v>
      </c>
      <c r="H181" s="25">
        <f>IFERROR(__xludf.DUMMYFUNCTION("""COMPUTED_VALUE"""),43517.63611111111)</f>
        <v>43517.63611</v>
      </c>
      <c r="I181" s="22">
        <f>IFERROR(__xludf.DUMMYFUNCTION("""COMPUTED_VALUE"""),16.97)</f>
        <v>16.97</v>
      </c>
      <c r="J181" s="25">
        <f>IFERROR(__xludf.DUMMYFUNCTION("""COMPUTED_VALUE"""),43517.63611111111)</f>
        <v>43517.63611</v>
      </c>
      <c r="K181" s="22">
        <f>IFERROR(__xludf.DUMMYFUNCTION("""COMPUTED_VALUE"""),17.85)</f>
        <v>17.85</v>
      </c>
      <c r="M181" s="22" t="str">
        <f t="shared" si="3"/>
        <v/>
      </c>
      <c r="N181" s="22" t="str">
        <f t="shared" si="1"/>
        <v/>
      </c>
    </row>
    <row r="182" ht="15.75" customHeight="1">
      <c r="A182" s="25">
        <f>IFERROR(__xludf.DUMMYFUNCTION("""COMPUTED_VALUE"""),43518.66666666667)</f>
        <v>43518.66667</v>
      </c>
      <c r="B182" s="22">
        <f>IFERROR(__xludf.DUMMYFUNCTION("""COMPUTED_VALUE"""),2792.67)</f>
        <v>2792.67</v>
      </c>
      <c r="C182" s="25">
        <f>IFERROR(__xludf.DUMMYFUNCTION("""COMPUTED_VALUE"""),43518.63611111111)</f>
        <v>43518.63611</v>
      </c>
      <c r="D182" s="22">
        <f>IFERROR(__xludf.DUMMYFUNCTION("""COMPUTED_VALUE"""),13.51)</f>
        <v>13.51</v>
      </c>
      <c r="E182" s="26">
        <f t="shared" si="2"/>
        <v>0.006411088047</v>
      </c>
      <c r="F182" s="25">
        <f>IFERROR(__xludf.DUMMYFUNCTION("""COMPUTED_VALUE"""),43518.63611111111)</f>
        <v>43518.63611</v>
      </c>
      <c r="G182" s="22">
        <f>IFERROR(__xludf.DUMMYFUNCTION("""COMPUTED_VALUE"""),15.46)</f>
        <v>15.46</v>
      </c>
      <c r="H182" s="25">
        <f>IFERROR(__xludf.DUMMYFUNCTION("""COMPUTED_VALUE"""),43518.63611111111)</f>
        <v>43518.63611</v>
      </c>
      <c r="I182" s="22">
        <f>IFERROR(__xludf.DUMMYFUNCTION("""COMPUTED_VALUE"""),16.53)</f>
        <v>16.53</v>
      </c>
      <c r="J182" s="25">
        <f>IFERROR(__xludf.DUMMYFUNCTION("""COMPUTED_VALUE"""),43518.63611111111)</f>
        <v>43518.63611</v>
      </c>
      <c r="K182" s="22">
        <f>IFERROR(__xludf.DUMMYFUNCTION("""COMPUTED_VALUE"""),17.56)</f>
        <v>17.56</v>
      </c>
      <c r="M182" s="22" t="str">
        <f t="shared" si="3"/>
        <v/>
      </c>
      <c r="N182" s="22" t="str">
        <f t="shared" si="1"/>
        <v/>
      </c>
    </row>
    <row r="183" ht="15.75" customHeight="1">
      <c r="A183" s="25">
        <f>IFERROR(__xludf.DUMMYFUNCTION("""COMPUTED_VALUE"""),43521.66666666667)</f>
        <v>43521.66667</v>
      </c>
      <c r="B183" s="22">
        <f>IFERROR(__xludf.DUMMYFUNCTION("""COMPUTED_VALUE"""),2796.11)</f>
        <v>2796.11</v>
      </c>
      <c r="C183" s="25">
        <f>IFERROR(__xludf.DUMMYFUNCTION("""COMPUTED_VALUE"""),43521.63611111111)</f>
        <v>43521.63611</v>
      </c>
      <c r="D183" s="22">
        <f>IFERROR(__xludf.DUMMYFUNCTION("""COMPUTED_VALUE"""),14.85)</f>
        <v>14.85</v>
      </c>
      <c r="E183" s="26">
        <f t="shared" si="2"/>
        <v>0.001231796095</v>
      </c>
      <c r="F183" s="25">
        <f>IFERROR(__xludf.DUMMYFUNCTION("""COMPUTED_VALUE"""),43521.63611111111)</f>
        <v>43521.63611</v>
      </c>
      <c r="G183" s="22">
        <f>IFERROR(__xludf.DUMMYFUNCTION("""COMPUTED_VALUE"""),16.0)</f>
        <v>16</v>
      </c>
      <c r="H183" s="25">
        <f>IFERROR(__xludf.DUMMYFUNCTION("""COMPUTED_VALUE"""),43521.63611111111)</f>
        <v>43521.63611</v>
      </c>
      <c r="I183" s="22">
        <f>IFERROR(__xludf.DUMMYFUNCTION("""COMPUTED_VALUE"""),16.81)</f>
        <v>16.81</v>
      </c>
      <c r="J183" s="25">
        <f>IFERROR(__xludf.DUMMYFUNCTION("""COMPUTED_VALUE"""),43521.63611111111)</f>
        <v>43521.63611</v>
      </c>
      <c r="K183" s="22">
        <f>IFERROR(__xludf.DUMMYFUNCTION("""COMPUTED_VALUE"""),17.65)</f>
        <v>17.65</v>
      </c>
      <c r="M183" s="22" t="str">
        <f t="shared" si="3"/>
        <v/>
      </c>
      <c r="N183" s="22" t="str">
        <f t="shared" si="1"/>
        <v/>
      </c>
    </row>
    <row r="184" ht="15.75" customHeight="1">
      <c r="A184" s="25">
        <f>IFERROR(__xludf.DUMMYFUNCTION("""COMPUTED_VALUE"""),43522.66666666667)</f>
        <v>43522.66667</v>
      </c>
      <c r="B184" s="22">
        <f>IFERROR(__xludf.DUMMYFUNCTION("""COMPUTED_VALUE"""),2793.9)</f>
        <v>2793.9</v>
      </c>
      <c r="C184" s="25">
        <f>IFERROR(__xludf.DUMMYFUNCTION("""COMPUTED_VALUE"""),43522.63611111111)</f>
        <v>43522.63611</v>
      </c>
      <c r="D184" s="22">
        <f>IFERROR(__xludf.DUMMYFUNCTION("""COMPUTED_VALUE"""),15.17)</f>
        <v>15.17</v>
      </c>
      <c r="E184" s="26">
        <f t="shared" si="2"/>
        <v>-0.0007903837832</v>
      </c>
      <c r="F184" s="25">
        <f>IFERROR(__xludf.DUMMYFUNCTION("""COMPUTED_VALUE"""),43522.63611111111)</f>
        <v>43522.63611</v>
      </c>
      <c r="G184" s="22">
        <f>IFERROR(__xludf.DUMMYFUNCTION("""COMPUTED_VALUE"""),16.3)</f>
        <v>16.3</v>
      </c>
      <c r="H184" s="25">
        <f>IFERROR(__xludf.DUMMYFUNCTION("""COMPUTED_VALUE"""),43522.63611111111)</f>
        <v>43522.63611</v>
      </c>
      <c r="I184" s="22">
        <f>IFERROR(__xludf.DUMMYFUNCTION("""COMPUTED_VALUE"""),17.08)</f>
        <v>17.08</v>
      </c>
      <c r="J184" s="25">
        <f>IFERROR(__xludf.DUMMYFUNCTION("""COMPUTED_VALUE"""),43522.63611111111)</f>
        <v>43522.63611</v>
      </c>
      <c r="K184" s="22">
        <f>IFERROR(__xludf.DUMMYFUNCTION("""COMPUTED_VALUE"""),17.83)</f>
        <v>17.83</v>
      </c>
      <c r="M184" s="22" t="str">
        <f t="shared" si="3"/>
        <v/>
      </c>
      <c r="N184" s="22" t="str">
        <f t="shared" si="1"/>
        <v/>
      </c>
    </row>
    <row r="185" ht="15.75" customHeight="1">
      <c r="A185" s="25">
        <f>IFERROR(__xludf.DUMMYFUNCTION("""COMPUTED_VALUE"""),43523.66666666667)</f>
        <v>43523.66667</v>
      </c>
      <c r="B185" s="22">
        <f>IFERROR(__xludf.DUMMYFUNCTION("""COMPUTED_VALUE"""),2792.38)</f>
        <v>2792.38</v>
      </c>
      <c r="C185" s="25">
        <f>IFERROR(__xludf.DUMMYFUNCTION("""COMPUTED_VALUE"""),43523.63611111111)</f>
        <v>43523.63611</v>
      </c>
      <c r="D185" s="22">
        <f>IFERROR(__xludf.DUMMYFUNCTION("""COMPUTED_VALUE"""),14.7)</f>
        <v>14.7</v>
      </c>
      <c r="E185" s="26">
        <f t="shared" si="2"/>
        <v>-0.000544042378</v>
      </c>
      <c r="F185" s="25">
        <f>IFERROR(__xludf.DUMMYFUNCTION("""COMPUTED_VALUE"""),43523.63611111111)</f>
        <v>43523.63611</v>
      </c>
      <c r="G185" s="22">
        <f>IFERROR(__xludf.DUMMYFUNCTION("""COMPUTED_VALUE"""),15.99)</f>
        <v>15.99</v>
      </c>
      <c r="H185" s="25">
        <f>IFERROR(__xludf.DUMMYFUNCTION("""COMPUTED_VALUE"""),43523.63611111111)</f>
        <v>43523.63611</v>
      </c>
      <c r="I185" s="22">
        <f>IFERROR(__xludf.DUMMYFUNCTION("""COMPUTED_VALUE"""),16.83)</f>
        <v>16.83</v>
      </c>
      <c r="J185" s="25">
        <f>IFERROR(__xludf.DUMMYFUNCTION("""COMPUTED_VALUE"""),43523.63611111111)</f>
        <v>43523.63611</v>
      </c>
      <c r="K185" s="22">
        <f>IFERROR(__xludf.DUMMYFUNCTION("""COMPUTED_VALUE"""),17.62)</f>
        <v>17.62</v>
      </c>
      <c r="M185" s="22" t="str">
        <f t="shared" si="3"/>
        <v/>
      </c>
      <c r="N185" s="22" t="str">
        <f t="shared" si="1"/>
        <v/>
      </c>
    </row>
    <row r="186" ht="15.75" customHeight="1">
      <c r="A186" s="25">
        <f>IFERROR(__xludf.DUMMYFUNCTION("""COMPUTED_VALUE"""),43524.66666666667)</f>
        <v>43524.66667</v>
      </c>
      <c r="B186" s="22">
        <f>IFERROR(__xludf.DUMMYFUNCTION("""COMPUTED_VALUE"""),2784.49)</f>
        <v>2784.49</v>
      </c>
      <c r="C186" s="25">
        <f>IFERROR(__xludf.DUMMYFUNCTION("""COMPUTED_VALUE"""),43524.63611111111)</f>
        <v>43524.63611</v>
      </c>
      <c r="D186" s="22">
        <f>IFERROR(__xludf.DUMMYFUNCTION("""COMPUTED_VALUE"""),14.78)</f>
        <v>14.78</v>
      </c>
      <c r="E186" s="26">
        <f t="shared" si="2"/>
        <v>-0.002825546666</v>
      </c>
      <c r="F186" s="25">
        <f>IFERROR(__xludf.DUMMYFUNCTION("""COMPUTED_VALUE"""),43524.63611111111)</f>
        <v>43524.63611</v>
      </c>
      <c r="G186" s="22">
        <f>IFERROR(__xludf.DUMMYFUNCTION("""COMPUTED_VALUE"""),16.1)</f>
        <v>16.1</v>
      </c>
      <c r="H186" s="25">
        <f>IFERROR(__xludf.DUMMYFUNCTION("""COMPUTED_VALUE"""),43524.63611111111)</f>
        <v>43524.63611</v>
      </c>
      <c r="I186" s="22">
        <f>IFERROR(__xludf.DUMMYFUNCTION("""COMPUTED_VALUE"""),16.93)</f>
        <v>16.93</v>
      </c>
      <c r="J186" s="25">
        <f>IFERROR(__xludf.DUMMYFUNCTION("""COMPUTED_VALUE"""),43524.63611111111)</f>
        <v>43524.63611</v>
      </c>
      <c r="K186" s="22">
        <f>IFERROR(__xludf.DUMMYFUNCTION("""COMPUTED_VALUE"""),17.7)</f>
        <v>17.7</v>
      </c>
      <c r="M186" s="22" t="str">
        <f t="shared" si="3"/>
        <v/>
      </c>
      <c r="N186" s="22" t="str">
        <f t="shared" si="1"/>
        <v/>
      </c>
    </row>
    <row r="187" ht="15.75" customHeight="1">
      <c r="A187" s="25">
        <f>IFERROR(__xludf.DUMMYFUNCTION("""COMPUTED_VALUE"""),43525.66666666667)</f>
        <v>43525.66667</v>
      </c>
      <c r="B187" s="22">
        <f>IFERROR(__xludf.DUMMYFUNCTION("""COMPUTED_VALUE"""),2803.69)</f>
        <v>2803.69</v>
      </c>
      <c r="C187" s="25">
        <f>IFERROR(__xludf.DUMMYFUNCTION("""COMPUTED_VALUE"""),43525.63611111111)</f>
        <v>43525.63611</v>
      </c>
      <c r="D187" s="22">
        <f>IFERROR(__xludf.DUMMYFUNCTION("""COMPUTED_VALUE"""),13.57)</f>
        <v>13.57</v>
      </c>
      <c r="E187" s="26">
        <f t="shared" si="2"/>
        <v>0.006895338105</v>
      </c>
      <c r="F187" s="25">
        <f>IFERROR(__xludf.DUMMYFUNCTION("""COMPUTED_VALUE"""),43525.63611111111)</f>
        <v>43525.63611</v>
      </c>
      <c r="G187" s="22">
        <f>IFERROR(__xludf.DUMMYFUNCTION("""COMPUTED_VALUE"""),15.38)</f>
        <v>15.38</v>
      </c>
      <c r="H187" s="25">
        <f>IFERROR(__xludf.DUMMYFUNCTION("""COMPUTED_VALUE"""),43525.63611111111)</f>
        <v>43525.63611</v>
      </c>
      <c r="I187" s="22">
        <f>IFERROR(__xludf.DUMMYFUNCTION("""COMPUTED_VALUE"""),16.48)</f>
        <v>16.48</v>
      </c>
      <c r="J187" s="25">
        <f>IFERROR(__xludf.DUMMYFUNCTION("""COMPUTED_VALUE"""),43525.63611111111)</f>
        <v>43525.63611</v>
      </c>
      <c r="K187" s="22">
        <f>IFERROR(__xludf.DUMMYFUNCTION("""COMPUTED_VALUE"""),17.37)</f>
        <v>17.37</v>
      </c>
      <c r="M187" s="22" t="str">
        <f t="shared" si="3"/>
        <v/>
      </c>
      <c r="N187" s="22" t="str">
        <f t="shared" si="1"/>
        <v/>
      </c>
    </row>
    <row r="188" ht="15.75" customHeight="1">
      <c r="A188" s="25">
        <f>IFERROR(__xludf.DUMMYFUNCTION("""COMPUTED_VALUE"""),43528.66666666667)</f>
        <v>43528.66667</v>
      </c>
      <c r="B188" s="22">
        <f>IFERROR(__xludf.DUMMYFUNCTION("""COMPUTED_VALUE"""),2792.81)</f>
        <v>2792.81</v>
      </c>
      <c r="C188" s="25">
        <f>IFERROR(__xludf.DUMMYFUNCTION("""COMPUTED_VALUE"""),43528.63611111111)</f>
        <v>43528.63611</v>
      </c>
      <c r="D188" s="22">
        <f>IFERROR(__xludf.DUMMYFUNCTION("""COMPUTED_VALUE"""),14.63)</f>
        <v>14.63</v>
      </c>
      <c r="E188" s="26">
        <f t="shared" si="2"/>
        <v>-0.003880600209</v>
      </c>
      <c r="F188" s="25">
        <f>IFERROR(__xludf.DUMMYFUNCTION("""COMPUTED_VALUE"""),43528.63611111111)</f>
        <v>43528.63611</v>
      </c>
      <c r="G188" s="22">
        <f>IFERROR(__xludf.DUMMYFUNCTION("""COMPUTED_VALUE"""),16.03)</f>
        <v>16.03</v>
      </c>
      <c r="H188" s="25">
        <f>IFERROR(__xludf.DUMMYFUNCTION("""COMPUTED_VALUE"""),43528.63611111111)</f>
        <v>43528.63611</v>
      </c>
      <c r="I188" s="22">
        <f>IFERROR(__xludf.DUMMYFUNCTION("""COMPUTED_VALUE"""),16.93)</f>
        <v>16.93</v>
      </c>
      <c r="J188" s="25">
        <f>IFERROR(__xludf.DUMMYFUNCTION("""COMPUTED_VALUE"""),43528.63611111111)</f>
        <v>43528.63611</v>
      </c>
      <c r="K188" s="22">
        <f>IFERROR(__xludf.DUMMYFUNCTION("""COMPUTED_VALUE"""),17.64)</f>
        <v>17.64</v>
      </c>
      <c r="M188" s="22" t="str">
        <f t="shared" si="3"/>
        <v/>
      </c>
      <c r="N188" s="22" t="str">
        <f t="shared" si="1"/>
        <v/>
      </c>
    </row>
    <row r="189" ht="15.75" customHeight="1">
      <c r="A189" s="25">
        <f>IFERROR(__xludf.DUMMYFUNCTION("""COMPUTED_VALUE"""),43529.66666666667)</f>
        <v>43529.66667</v>
      </c>
      <c r="B189" s="22">
        <f>IFERROR(__xludf.DUMMYFUNCTION("""COMPUTED_VALUE"""),2789.65)</f>
        <v>2789.65</v>
      </c>
      <c r="C189" s="25">
        <f>IFERROR(__xludf.DUMMYFUNCTION("""COMPUTED_VALUE"""),43529.63611111111)</f>
        <v>43529.63611</v>
      </c>
      <c r="D189" s="22">
        <f>IFERROR(__xludf.DUMMYFUNCTION("""COMPUTED_VALUE"""),14.74)</f>
        <v>14.74</v>
      </c>
      <c r="E189" s="26">
        <f t="shared" si="2"/>
        <v>-0.0011314769</v>
      </c>
      <c r="F189" s="25">
        <f>IFERROR(__xludf.DUMMYFUNCTION("""COMPUTED_VALUE"""),43529.63611111111)</f>
        <v>43529.63611</v>
      </c>
      <c r="G189" s="22">
        <f>IFERROR(__xludf.DUMMYFUNCTION("""COMPUTED_VALUE"""),16.15)</f>
        <v>16.15</v>
      </c>
      <c r="H189" s="25">
        <f>IFERROR(__xludf.DUMMYFUNCTION("""COMPUTED_VALUE"""),43529.63611111111)</f>
        <v>43529.63611</v>
      </c>
      <c r="I189" s="22">
        <f>IFERROR(__xludf.DUMMYFUNCTION("""COMPUTED_VALUE"""),16.99)</f>
        <v>16.99</v>
      </c>
      <c r="J189" s="25">
        <f>IFERROR(__xludf.DUMMYFUNCTION("""COMPUTED_VALUE"""),43529.63611111111)</f>
        <v>43529.63611</v>
      </c>
      <c r="K189" s="22">
        <f>IFERROR(__xludf.DUMMYFUNCTION("""COMPUTED_VALUE"""),17.64)</f>
        <v>17.64</v>
      </c>
      <c r="M189" s="22" t="str">
        <f t="shared" si="3"/>
        <v/>
      </c>
      <c r="N189" s="22" t="str">
        <f t="shared" si="1"/>
        <v/>
      </c>
    </row>
    <row r="190" ht="15.75" customHeight="1">
      <c r="A190" s="25">
        <f>IFERROR(__xludf.DUMMYFUNCTION("""COMPUTED_VALUE"""),43530.66666666667)</f>
        <v>43530.66667</v>
      </c>
      <c r="B190" s="22">
        <f>IFERROR(__xludf.DUMMYFUNCTION("""COMPUTED_VALUE"""),2771.45)</f>
        <v>2771.45</v>
      </c>
      <c r="C190" s="25">
        <f>IFERROR(__xludf.DUMMYFUNCTION("""COMPUTED_VALUE"""),43530.63611111111)</f>
        <v>43530.63611</v>
      </c>
      <c r="D190" s="22">
        <f>IFERROR(__xludf.DUMMYFUNCTION("""COMPUTED_VALUE"""),15.74)</f>
        <v>15.74</v>
      </c>
      <c r="E190" s="26">
        <f t="shared" si="2"/>
        <v>-0.006524115929</v>
      </c>
      <c r="F190" s="25">
        <f>IFERROR(__xludf.DUMMYFUNCTION("""COMPUTED_VALUE"""),43530.63611111111)</f>
        <v>43530.63611</v>
      </c>
      <c r="G190" s="22">
        <f>IFERROR(__xludf.DUMMYFUNCTION("""COMPUTED_VALUE"""),16.74)</f>
        <v>16.74</v>
      </c>
      <c r="H190" s="25">
        <f>IFERROR(__xludf.DUMMYFUNCTION("""COMPUTED_VALUE"""),43530.63611111111)</f>
        <v>43530.63611</v>
      </c>
      <c r="I190" s="22">
        <f>IFERROR(__xludf.DUMMYFUNCTION("""COMPUTED_VALUE"""),17.47)</f>
        <v>17.47</v>
      </c>
      <c r="J190" s="25">
        <f>IFERROR(__xludf.DUMMYFUNCTION("""COMPUTED_VALUE"""),43530.63611111111)</f>
        <v>43530.63611</v>
      </c>
      <c r="K190" s="22">
        <f>IFERROR(__xludf.DUMMYFUNCTION("""COMPUTED_VALUE"""),18.04)</f>
        <v>18.04</v>
      </c>
      <c r="M190" s="22" t="str">
        <f t="shared" si="3"/>
        <v/>
      </c>
      <c r="N190" s="22" t="str">
        <f t="shared" si="1"/>
        <v/>
      </c>
    </row>
    <row r="191" ht="15.75" customHeight="1">
      <c r="A191" s="25">
        <f>IFERROR(__xludf.DUMMYFUNCTION("""COMPUTED_VALUE"""),43531.66666666667)</f>
        <v>43531.66667</v>
      </c>
      <c r="B191" s="22">
        <f>IFERROR(__xludf.DUMMYFUNCTION("""COMPUTED_VALUE"""),2748.93)</f>
        <v>2748.93</v>
      </c>
      <c r="C191" s="25">
        <f>IFERROR(__xludf.DUMMYFUNCTION("""COMPUTED_VALUE"""),43531.63611111111)</f>
        <v>43531.63611</v>
      </c>
      <c r="D191" s="22">
        <f>IFERROR(__xludf.DUMMYFUNCTION("""COMPUTED_VALUE"""),16.59)</f>
        <v>16.59</v>
      </c>
      <c r="E191" s="26">
        <f t="shared" si="2"/>
        <v>-0.008125710368</v>
      </c>
      <c r="F191" s="25">
        <f>IFERROR(__xludf.DUMMYFUNCTION("""COMPUTED_VALUE"""),43531.63611111111)</f>
        <v>43531.63611</v>
      </c>
      <c r="G191" s="22">
        <f>IFERROR(__xludf.DUMMYFUNCTION("""COMPUTED_VALUE"""),17.3)</f>
        <v>17.3</v>
      </c>
      <c r="H191" s="25">
        <f>IFERROR(__xludf.DUMMYFUNCTION("""COMPUTED_VALUE"""),43531.63611111111)</f>
        <v>43531.63611</v>
      </c>
      <c r="I191" s="22">
        <f>IFERROR(__xludf.DUMMYFUNCTION("""COMPUTED_VALUE"""),17.87)</f>
        <v>17.87</v>
      </c>
      <c r="J191" s="25">
        <f>IFERROR(__xludf.DUMMYFUNCTION("""COMPUTED_VALUE"""),43531.63611111111)</f>
        <v>43531.63611</v>
      </c>
      <c r="K191" s="22">
        <f>IFERROR(__xludf.DUMMYFUNCTION("""COMPUTED_VALUE"""),18.36)</f>
        <v>18.36</v>
      </c>
      <c r="M191" s="22" t="str">
        <f t="shared" si="3"/>
        <v/>
      </c>
      <c r="N191" s="22" t="str">
        <f t="shared" si="1"/>
        <v/>
      </c>
    </row>
    <row r="192" ht="15.75" customHeight="1">
      <c r="A192" s="25">
        <f>IFERROR(__xludf.DUMMYFUNCTION("""COMPUTED_VALUE"""),43532.66666666667)</f>
        <v>43532.66667</v>
      </c>
      <c r="B192" s="22">
        <f>IFERROR(__xludf.DUMMYFUNCTION("""COMPUTED_VALUE"""),2743.07)</f>
        <v>2743.07</v>
      </c>
      <c r="C192" s="25">
        <f>IFERROR(__xludf.DUMMYFUNCTION("""COMPUTED_VALUE"""),43532.63611111111)</f>
        <v>43532.63611</v>
      </c>
      <c r="D192" s="22">
        <f>IFERROR(__xludf.DUMMYFUNCTION("""COMPUTED_VALUE"""),16.05)</f>
        <v>16.05</v>
      </c>
      <c r="E192" s="26">
        <f t="shared" si="2"/>
        <v>-0.002131738531</v>
      </c>
      <c r="F192" s="25">
        <f>IFERROR(__xludf.DUMMYFUNCTION("""COMPUTED_VALUE"""),43532.63611111111)</f>
        <v>43532.63611</v>
      </c>
      <c r="G192" s="22">
        <f>IFERROR(__xludf.DUMMYFUNCTION("""COMPUTED_VALUE"""),17.11)</f>
        <v>17.11</v>
      </c>
      <c r="H192" s="25">
        <f>IFERROR(__xludf.DUMMYFUNCTION("""COMPUTED_VALUE"""),43532.63611111111)</f>
        <v>43532.63611</v>
      </c>
      <c r="I192" s="22">
        <f>IFERROR(__xludf.DUMMYFUNCTION("""COMPUTED_VALUE"""),17.81)</f>
        <v>17.81</v>
      </c>
      <c r="J192" s="25">
        <f>IFERROR(__xludf.DUMMYFUNCTION("""COMPUTED_VALUE"""),43532.63611111111)</f>
        <v>43532.63611</v>
      </c>
      <c r="K192" s="22">
        <f>IFERROR(__xludf.DUMMYFUNCTION("""COMPUTED_VALUE"""),18.35)</f>
        <v>18.35</v>
      </c>
      <c r="M192" s="22" t="str">
        <f t="shared" si="3"/>
        <v/>
      </c>
      <c r="N192" s="22" t="str">
        <f t="shared" si="1"/>
        <v/>
      </c>
    </row>
    <row r="193" ht="15.75" customHeight="1">
      <c r="A193" s="25">
        <f>IFERROR(__xludf.DUMMYFUNCTION("""COMPUTED_VALUE"""),43535.66666666667)</f>
        <v>43535.66667</v>
      </c>
      <c r="B193" s="22">
        <f>IFERROR(__xludf.DUMMYFUNCTION("""COMPUTED_VALUE"""),2783.3)</f>
        <v>2783.3</v>
      </c>
      <c r="C193" s="25">
        <f>IFERROR(__xludf.DUMMYFUNCTION("""COMPUTED_VALUE"""),43535.63611111111)</f>
        <v>43535.63611</v>
      </c>
      <c r="D193" s="22">
        <f>IFERROR(__xludf.DUMMYFUNCTION("""COMPUTED_VALUE"""),14.33)</f>
        <v>14.33</v>
      </c>
      <c r="E193" s="26">
        <f t="shared" si="2"/>
        <v>0.01466604935</v>
      </c>
      <c r="F193" s="25">
        <f>IFERROR(__xludf.DUMMYFUNCTION("""COMPUTED_VALUE"""),43535.63611111111)</f>
        <v>43535.63611</v>
      </c>
      <c r="G193" s="22">
        <f>IFERROR(__xludf.DUMMYFUNCTION("""COMPUTED_VALUE"""),16.01)</f>
        <v>16.01</v>
      </c>
      <c r="H193" s="25">
        <f>IFERROR(__xludf.DUMMYFUNCTION("""COMPUTED_VALUE"""),43535.63611111111)</f>
        <v>43535.63611</v>
      </c>
      <c r="I193" s="22">
        <f>IFERROR(__xludf.DUMMYFUNCTION("""COMPUTED_VALUE"""),17.0)</f>
        <v>17</v>
      </c>
      <c r="J193" s="25">
        <f>IFERROR(__xludf.DUMMYFUNCTION("""COMPUTED_VALUE"""),43535.63611111111)</f>
        <v>43535.63611</v>
      </c>
      <c r="K193" s="22">
        <f>IFERROR(__xludf.DUMMYFUNCTION("""COMPUTED_VALUE"""),17.8)</f>
        <v>17.8</v>
      </c>
      <c r="M193" s="22" t="str">
        <f t="shared" si="3"/>
        <v/>
      </c>
      <c r="N193" s="22" t="str">
        <f t="shared" si="1"/>
        <v/>
      </c>
    </row>
    <row r="194" ht="15.75" customHeight="1">
      <c r="A194" s="25">
        <f>IFERROR(__xludf.DUMMYFUNCTION("""COMPUTED_VALUE"""),43536.66666666667)</f>
        <v>43536.66667</v>
      </c>
      <c r="B194" s="22">
        <f>IFERROR(__xludf.DUMMYFUNCTION("""COMPUTED_VALUE"""),2791.52)</f>
        <v>2791.52</v>
      </c>
      <c r="C194" s="25">
        <f>IFERROR(__xludf.DUMMYFUNCTION("""COMPUTED_VALUE"""),43536.63611111111)</f>
        <v>43536.63611</v>
      </c>
      <c r="D194" s="22">
        <f>IFERROR(__xludf.DUMMYFUNCTION("""COMPUTED_VALUE"""),13.77)</f>
        <v>13.77</v>
      </c>
      <c r="E194" s="26">
        <f t="shared" si="2"/>
        <v>0.002953328782</v>
      </c>
      <c r="F194" s="25">
        <f>IFERROR(__xludf.DUMMYFUNCTION("""COMPUTED_VALUE"""),43536.63611111111)</f>
        <v>43536.63611</v>
      </c>
      <c r="G194" s="22">
        <f>IFERROR(__xludf.DUMMYFUNCTION("""COMPUTED_VALUE"""),15.65)</f>
        <v>15.65</v>
      </c>
      <c r="H194" s="25">
        <f>IFERROR(__xludf.DUMMYFUNCTION("""COMPUTED_VALUE"""),43536.63611111111)</f>
        <v>43536.63611</v>
      </c>
      <c r="I194" s="22">
        <f>IFERROR(__xludf.DUMMYFUNCTION("""COMPUTED_VALUE"""),16.74)</f>
        <v>16.74</v>
      </c>
      <c r="J194" s="25">
        <f>IFERROR(__xludf.DUMMYFUNCTION("""COMPUTED_VALUE"""),43536.63611111111)</f>
        <v>43536.63611</v>
      </c>
      <c r="K194" s="22">
        <f>IFERROR(__xludf.DUMMYFUNCTION("""COMPUTED_VALUE"""),17.62)</f>
        <v>17.62</v>
      </c>
      <c r="M194" s="22" t="str">
        <f t="shared" si="3"/>
        <v/>
      </c>
      <c r="N194" s="22" t="str">
        <f t="shared" si="1"/>
        <v/>
      </c>
    </row>
    <row r="195" ht="15.75" customHeight="1">
      <c r="A195" s="25">
        <f>IFERROR(__xludf.DUMMYFUNCTION("""COMPUTED_VALUE"""),43537.66666666667)</f>
        <v>43537.66667</v>
      </c>
      <c r="B195" s="22">
        <f>IFERROR(__xludf.DUMMYFUNCTION("""COMPUTED_VALUE"""),2810.92)</f>
        <v>2810.92</v>
      </c>
      <c r="C195" s="25">
        <f>IFERROR(__xludf.DUMMYFUNCTION("""COMPUTED_VALUE"""),43537.63611111111)</f>
        <v>43537.63611</v>
      </c>
      <c r="D195" s="22">
        <f>IFERROR(__xludf.DUMMYFUNCTION("""COMPUTED_VALUE"""),13.41)</f>
        <v>13.41</v>
      </c>
      <c r="E195" s="26">
        <f t="shared" si="2"/>
        <v>0.006949618846</v>
      </c>
      <c r="F195" s="25">
        <f>IFERROR(__xludf.DUMMYFUNCTION("""COMPUTED_VALUE"""),43537.63611111111)</f>
        <v>43537.63611</v>
      </c>
      <c r="G195" s="22">
        <f>IFERROR(__xludf.DUMMYFUNCTION("""COMPUTED_VALUE"""),15.33)</f>
        <v>15.33</v>
      </c>
      <c r="H195" s="25">
        <f>IFERROR(__xludf.DUMMYFUNCTION("""COMPUTED_VALUE"""),43537.63611111111)</f>
        <v>43537.63611</v>
      </c>
      <c r="I195" s="22">
        <f>IFERROR(__xludf.DUMMYFUNCTION("""COMPUTED_VALUE"""),16.46)</f>
        <v>16.46</v>
      </c>
      <c r="J195" s="25">
        <f>IFERROR(__xludf.DUMMYFUNCTION("""COMPUTED_VALUE"""),43537.63611111111)</f>
        <v>43537.63611</v>
      </c>
      <c r="K195" s="22">
        <f>IFERROR(__xludf.DUMMYFUNCTION("""COMPUTED_VALUE"""),17.41)</f>
        <v>17.41</v>
      </c>
      <c r="M195" s="22" t="str">
        <f t="shared" si="3"/>
        <v/>
      </c>
      <c r="N195" s="22" t="str">
        <f t="shared" si="1"/>
        <v/>
      </c>
    </row>
    <row r="196" ht="15.75" customHeight="1">
      <c r="A196" s="25">
        <f>IFERROR(__xludf.DUMMYFUNCTION("""COMPUTED_VALUE"""),43538.66666666667)</f>
        <v>43538.66667</v>
      </c>
      <c r="B196" s="22">
        <f>IFERROR(__xludf.DUMMYFUNCTION("""COMPUTED_VALUE"""),2808.48)</f>
        <v>2808.48</v>
      </c>
      <c r="C196" s="25">
        <f>IFERROR(__xludf.DUMMYFUNCTION("""COMPUTED_VALUE"""),43538.63611111111)</f>
        <v>43538.63611</v>
      </c>
      <c r="D196" s="22">
        <f>IFERROR(__xludf.DUMMYFUNCTION("""COMPUTED_VALUE"""),13.5)</f>
        <v>13.5</v>
      </c>
      <c r="E196" s="26">
        <f t="shared" si="2"/>
        <v>-0.0008680432029</v>
      </c>
      <c r="F196" s="25">
        <f>IFERROR(__xludf.DUMMYFUNCTION("""COMPUTED_VALUE"""),43538.63611111111)</f>
        <v>43538.63611</v>
      </c>
      <c r="G196" s="22">
        <f>IFERROR(__xludf.DUMMYFUNCTION("""COMPUTED_VALUE"""),15.3)</f>
        <v>15.3</v>
      </c>
      <c r="H196" s="25">
        <f>IFERROR(__xludf.DUMMYFUNCTION("""COMPUTED_VALUE"""),43538.63611111111)</f>
        <v>43538.63611</v>
      </c>
      <c r="I196" s="22">
        <f>IFERROR(__xludf.DUMMYFUNCTION("""COMPUTED_VALUE"""),16.45)</f>
        <v>16.45</v>
      </c>
      <c r="J196" s="25">
        <f>IFERROR(__xludf.DUMMYFUNCTION("""COMPUTED_VALUE"""),43538.63611111111)</f>
        <v>43538.63611</v>
      </c>
      <c r="K196" s="22">
        <f>IFERROR(__xludf.DUMMYFUNCTION("""COMPUTED_VALUE"""),17.45)</f>
        <v>17.45</v>
      </c>
      <c r="M196" s="22" t="str">
        <f t="shared" si="3"/>
        <v/>
      </c>
      <c r="N196" s="22" t="str">
        <f t="shared" si="1"/>
        <v/>
      </c>
    </row>
    <row r="197" ht="15.75" customHeight="1">
      <c r="A197" s="25">
        <f>IFERROR(__xludf.DUMMYFUNCTION("""COMPUTED_VALUE"""),43539.66666666667)</f>
        <v>43539.66667</v>
      </c>
      <c r="B197" s="22">
        <f>IFERROR(__xludf.DUMMYFUNCTION("""COMPUTED_VALUE"""),2822.48)</f>
        <v>2822.48</v>
      </c>
      <c r="C197" s="25">
        <f>IFERROR(__xludf.DUMMYFUNCTION("""COMPUTED_VALUE"""),43539.63611111111)</f>
        <v>43539.63611</v>
      </c>
      <c r="D197" s="22">
        <f>IFERROR(__xludf.DUMMYFUNCTION("""COMPUTED_VALUE"""),12.88)</f>
        <v>12.88</v>
      </c>
      <c r="E197" s="26">
        <f t="shared" si="2"/>
        <v>0.004984902866</v>
      </c>
      <c r="F197" s="25">
        <f>IFERROR(__xludf.DUMMYFUNCTION("""COMPUTED_VALUE"""),43539.63611111111)</f>
        <v>43539.63611</v>
      </c>
      <c r="G197" s="22">
        <f>IFERROR(__xludf.DUMMYFUNCTION("""COMPUTED_VALUE"""),14.98)</f>
        <v>14.98</v>
      </c>
      <c r="H197" s="25">
        <f>IFERROR(__xludf.DUMMYFUNCTION("""COMPUTED_VALUE"""),43539.63611111111)</f>
        <v>43539.63611</v>
      </c>
      <c r="I197" s="22">
        <f>IFERROR(__xludf.DUMMYFUNCTION("""COMPUTED_VALUE"""),16.24)</f>
        <v>16.24</v>
      </c>
      <c r="J197" s="25">
        <f>IFERROR(__xludf.DUMMYFUNCTION("""COMPUTED_VALUE"""),43539.63611111111)</f>
        <v>43539.63611</v>
      </c>
      <c r="K197" s="22">
        <f>IFERROR(__xludf.DUMMYFUNCTION("""COMPUTED_VALUE"""),17.3)</f>
        <v>17.3</v>
      </c>
      <c r="M197" s="22" t="str">
        <f t="shared" si="3"/>
        <v/>
      </c>
      <c r="N197" s="22" t="str">
        <f t="shared" si="1"/>
        <v/>
      </c>
    </row>
    <row r="198" ht="15.75" customHeight="1">
      <c r="A198" s="25">
        <f>IFERROR(__xludf.DUMMYFUNCTION("""COMPUTED_VALUE"""),43542.66666666667)</f>
        <v>43542.66667</v>
      </c>
      <c r="B198" s="22">
        <f>IFERROR(__xludf.DUMMYFUNCTION("""COMPUTED_VALUE"""),2832.94)</f>
        <v>2832.94</v>
      </c>
      <c r="C198" s="25">
        <f>IFERROR(__xludf.DUMMYFUNCTION("""COMPUTED_VALUE"""),43542.63611111111)</f>
        <v>43542.63611</v>
      </c>
      <c r="D198" s="22">
        <f>IFERROR(__xludf.DUMMYFUNCTION("""COMPUTED_VALUE"""),13.1)</f>
        <v>13.1</v>
      </c>
      <c r="E198" s="26">
        <f t="shared" si="2"/>
        <v>0.003705960715</v>
      </c>
      <c r="F198" s="25">
        <f>IFERROR(__xludf.DUMMYFUNCTION("""COMPUTED_VALUE"""),43542.63611111111)</f>
        <v>43542.63611</v>
      </c>
      <c r="G198" s="22">
        <f>IFERROR(__xludf.DUMMYFUNCTION("""COMPUTED_VALUE"""),15.24)</f>
        <v>15.24</v>
      </c>
      <c r="H198" s="25">
        <f>IFERROR(__xludf.DUMMYFUNCTION("""COMPUTED_VALUE"""),43542.63611111111)</f>
        <v>43542.63611</v>
      </c>
      <c r="I198" s="22">
        <f>IFERROR(__xludf.DUMMYFUNCTION("""COMPUTED_VALUE"""),16.36)</f>
        <v>16.36</v>
      </c>
      <c r="J198" s="25">
        <f>IFERROR(__xludf.DUMMYFUNCTION("""COMPUTED_VALUE"""),43542.63611111111)</f>
        <v>43542.63611</v>
      </c>
      <c r="K198" s="22">
        <f>IFERROR(__xludf.DUMMYFUNCTION("""COMPUTED_VALUE"""),17.4)</f>
        <v>17.4</v>
      </c>
      <c r="M198" s="22" t="str">
        <f t="shared" si="3"/>
        <v/>
      </c>
      <c r="N198" s="22" t="str">
        <f t="shared" si="1"/>
        <v/>
      </c>
    </row>
    <row r="199" ht="15.75" customHeight="1">
      <c r="A199" s="25">
        <f>IFERROR(__xludf.DUMMYFUNCTION("""COMPUTED_VALUE"""),43543.66666666667)</f>
        <v>43543.66667</v>
      </c>
      <c r="B199" s="22">
        <f>IFERROR(__xludf.DUMMYFUNCTION("""COMPUTED_VALUE"""),2832.57)</f>
        <v>2832.57</v>
      </c>
      <c r="C199" s="25">
        <f>IFERROR(__xludf.DUMMYFUNCTION("""COMPUTED_VALUE"""),43543.63611111111)</f>
        <v>43543.63611</v>
      </c>
      <c r="D199" s="22">
        <f>IFERROR(__xludf.DUMMYFUNCTION("""COMPUTED_VALUE"""),13.56)</f>
        <v>13.56</v>
      </c>
      <c r="E199" s="26">
        <f t="shared" si="2"/>
        <v>-0.0001306063665</v>
      </c>
      <c r="F199" s="25">
        <f>IFERROR(__xludf.DUMMYFUNCTION("""COMPUTED_VALUE"""),43543.63611111111)</f>
        <v>43543.63611</v>
      </c>
      <c r="G199" s="22">
        <f>IFERROR(__xludf.DUMMYFUNCTION("""COMPUTED_VALUE"""),15.56)</f>
        <v>15.56</v>
      </c>
      <c r="H199" s="25">
        <f>IFERROR(__xludf.DUMMYFUNCTION("""COMPUTED_VALUE"""),43543.63611111111)</f>
        <v>43543.63611</v>
      </c>
      <c r="I199" s="22">
        <f>IFERROR(__xludf.DUMMYFUNCTION("""COMPUTED_VALUE"""),16.61)</f>
        <v>16.61</v>
      </c>
      <c r="J199" s="25">
        <f>IFERROR(__xludf.DUMMYFUNCTION("""COMPUTED_VALUE"""),43543.63611111111)</f>
        <v>43543.63611</v>
      </c>
      <c r="K199" s="22">
        <f>IFERROR(__xludf.DUMMYFUNCTION("""COMPUTED_VALUE"""),17.51)</f>
        <v>17.51</v>
      </c>
      <c r="M199" s="22" t="str">
        <f t="shared" si="3"/>
        <v/>
      </c>
      <c r="N199" s="22" t="str">
        <f t="shared" si="1"/>
        <v/>
      </c>
    </row>
    <row r="200" ht="15.75" customHeight="1">
      <c r="A200" s="25">
        <f>IFERROR(__xludf.DUMMYFUNCTION("""COMPUTED_VALUE"""),43544.66666666667)</f>
        <v>43544.66667</v>
      </c>
      <c r="B200" s="22">
        <f>IFERROR(__xludf.DUMMYFUNCTION("""COMPUTED_VALUE"""),2824.23)</f>
        <v>2824.23</v>
      </c>
      <c r="C200" s="25">
        <f>IFERROR(__xludf.DUMMYFUNCTION("""COMPUTED_VALUE"""),43544.63611111111)</f>
        <v>43544.63611</v>
      </c>
      <c r="D200" s="22">
        <f>IFERROR(__xludf.DUMMYFUNCTION("""COMPUTED_VALUE"""),13.91)</f>
        <v>13.91</v>
      </c>
      <c r="E200" s="26">
        <f t="shared" si="2"/>
        <v>-0.002944322647</v>
      </c>
      <c r="F200" s="25">
        <f>IFERROR(__xludf.DUMMYFUNCTION("""COMPUTED_VALUE"""),43544.63611111111)</f>
        <v>43544.63611</v>
      </c>
      <c r="G200" s="22">
        <f>IFERROR(__xludf.DUMMYFUNCTION("""COMPUTED_VALUE"""),15.79)</f>
        <v>15.79</v>
      </c>
      <c r="H200" s="25">
        <f>IFERROR(__xludf.DUMMYFUNCTION("""COMPUTED_VALUE"""),43544.63611111111)</f>
        <v>43544.63611</v>
      </c>
      <c r="I200" s="22">
        <f>IFERROR(__xludf.DUMMYFUNCTION("""COMPUTED_VALUE"""),16.78)</f>
        <v>16.78</v>
      </c>
      <c r="J200" s="25">
        <f>IFERROR(__xludf.DUMMYFUNCTION("""COMPUTED_VALUE"""),43544.63611111111)</f>
        <v>43544.63611</v>
      </c>
      <c r="K200" s="22">
        <f>IFERROR(__xludf.DUMMYFUNCTION("""COMPUTED_VALUE"""),17.69)</f>
        <v>17.69</v>
      </c>
      <c r="M200" s="22" t="str">
        <f t="shared" si="3"/>
        <v/>
      </c>
      <c r="N200" s="22" t="str">
        <f t="shared" si="1"/>
        <v/>
      </c>
    </row>
    <row r="201" ht="15.75" customHeight="1">
      <c r="A201" s="25">
        <f>IFERROR(__xludf.DUMMYFUNCTION("""COMPUTED_VALUE"""),43545.66666666667)</f>
        <v>43545.66667</v>
      </c>
      <c r="B201" s="22">
        <f>IFERROR(__xludf.DUMMYFUNCTION("""COMPUTED_VALUE"""),2854.88)</f>
        <v>2854.88</v>
      </c>
      <c r="C201" s="25">
        <f>IFERROR(__xludf.DUMMYFUNCTION("""COMPUTED_VALUE"""),43545.63611111111)</f>
        <v>43545.63611</v>
      </c>
      <c r="D201" s="22">
        <f>IFERROR(__xludf.DUMMYFUNCTION("""COMPUTED_VALUE"""),13.63)</f>
        <v>13.63</v>
      </c>
      <c r="E201" s="26">
        <f t="shared" si="2"/>
        <v>0.01085251555</v>
      </c>
      <c r="F201" s="25">
        <f>IFERROR(__xludf.DUMMYFUNCTION("""COMPUTED_VALUE"""),43545.63611111111)</f>
        <v>43545.63611</v>
      </c>
      <c r="G201" s="22">
        <f>IFERROR(__xludf.DUMMYFUNCTION("""COMPUTED_VALUE"""),15.51)</f>
        <v>15.51</v>
      </c>
      <c r="H201" s="25">
        <f>IFERROR(__xludf.DUMMYFUNCTION("""COMPUTED_VALUE"""),43545.63611111111)</f>
        <v>43545.63611</v>
      </c>
      <c r="I201" s="22">
        <f>IFERROR(__xludf.DUMMYFUNCTION("""COMPUTED_VALUE"""),16.5)</f>
        <v>16.5</v>
      </c>
      <c r="J201" s="25">
        <f>IFERROR(__xludf.DUMMYFUNCTION("""COMPUTED_VALUE"""),43545.63611111111)</f>
        <v>43545.63611</v>
      </c>
      <c r="K201" s="22">
        <f>IFERROR(__xludf.DUMMYFUNCTION("""COMPUTED_VALUE"""),17.39)</f>
        <v>17.39</v>
      </c>
      <c r="M201" s="22" t="str">
        <f t="shared" si="3"/>
        <v/>
      </c>
      <c r="N201" s="22" t="str">
        <f t="shared" si="1"/>
        <v/>
      </c>
    </row>
    <row r="202" ht="15.75" customHeight="1">
      <c r="A202" s="25">
        <f>IFERROR(__xludf.DUMMYFUNCTION("""COMPUTED_VALUE"""),43546.66666666667)</f>
        <v>43546.66667</v>
      </c>
      <c r="B202" s="22">
        <f>IFERROR(__xludf.DUMMYFUNCTION("""COMPUTED_VALUE"""),2800.71)</f>
        <v>2800.71</v>
      </c>
      <c r="C202" s="25">
        <f>IFERROR(__xludf.DUMMYFUNCTION("""COMPUTED_VALUE"""),43546.63611111111)</f>
        <v>43546.63611</v>
      </c>
      <c r="D202" s="22">
        <f>IFERROR(__xludf.DUMMYFUNCTION("""COMPUTED_VALUE"""),16.48)</f>
        <v>16.48</v>
      </c>
      <c r="E202" s="26">
        <f t="shared" si="2"/>
        <v>-0.01897452783</v>
      </c>
      <c r="F202" s="25">
        <f>IFERROR(__xludf.DUMMYFUNCTION("""COMPUTED_VALUE"""),43546.63611111111)</f>
        <v>43546.63611</v>
      </c>
      <c r="G202" s="22">
        <f>IFERROR(__xludf.DUMMYFUNCTION("""COMPUTED_VALUE"""),17.37)</f>
        <v>17.37</v>
      </c>
      <c r="H202" s="25">
        <f>IFERROR(__xludf.DUMMYFUNCTION("""COMPUTED_VALUE"""),43546.63611111111)</f>
        <v>43546.63611</v>
      </c>
      <c r="I202" s="22">
        <f>IFERROR(__xludf.DUMMYFUNCTION("""COMPUTED_VALUE"""),17.78)</f>
        <v>17.78</v>
      </c>
      <c r="J202" s="25">
        <f>IFERROR(__xludf.DUMMYFUNCTION("""COMPUTED_VALUE"""),43546.63611111111)</f>
        <v>43546.63611</v>
      </c>
      <c r="K202" s="22">
        <f>IFERROR(__xludf.DUMMYFUNCTION("""COMPUTED_VALUE"""),18.25)</f>
        <v>18.25</v>
      </c>
      <c r="M202" s="22" t="str">
        <f t="shared" si="3"/>
        <v/>
      </c>
      <c r="N202" s="22" t="str">
        <f t="shared" si="1"/>
        <v/>
      </c>
    </row>
    <row r="203" ht="15.75" customHeight="1">
      <c r="A203" s="25">
        <f>IFERROR(__xludf.DUMMYFUNCTION("""COMPUTED_VALUE"""),43549.66666666667)</f>
        <v>43549.66667</v>
      </c>
      <c r="B203" s="22">
        <f>IFERROR(__xludf.DUMMYFUNCTION("""COMPUTED_VALUE"""),2798.36)</f>
        <v>2798.36</v>
      </c>
      <c r="C203" s="25">
        <f>IFERROR(__xludf.DUMMYFUNCTION("""COMPUTED_VALUE"""),43549.63611111111)</f>
        <v>43549.63611</v>
      </c>
      <c r="D203" s="22">
        <f>IFERROR(__xludf.DUMMYFUNCTION("""COMPUTED_VALUE"""),16.33)</f>
        <v>16.33</v>
      </c>
      <c r="E203" s="26">
        <f t="shared" si="2"/>
        <v>-0.0008390729494</v>
      </c>
      <c r="F203" s="25">
        <f>IFERROR(__xludf.DUMMYFUNCTION("""COMPUTED_VALUE"""),43549.63611111111)</f>
        <v>43549.63611</v>
      </c>
      <c r="G203" s="22">
        <f>IFERROR(__xludf.DUMMYFUNCTION("""COMPUTED_VALUE"""),17.45)</f>
        <v>17.45</v>
      </c>
      <c r="H203" s="25">
        <f>IFERROR(__xludf.DUMMYFUNCTION("""COMPUTED_VALUE"""),43549.63611111111)</f>
        <v>43549.63611</v>
      </c>
      <c r="I203" s="22">
        <f>IFERROR(__xludf.DUMMYFUNCTION("""COMPUTED_VALUE"""),17.83)</f>
        <v>17.83</v>
      </c>
      <c r="J203" s="25">
        <f>IFERROR(__xludf.DUMMYFUNCTION("""COMPUTED_VALUE"""),43549.63611111111)</f>
        <v>43549.63611</v>
      </c>
      <c r="K203" s="22">
        <f>IFERROR(__xludf.DUMMYFUNCTION("""COMPUTED_VALUE"""),18.29)</f>
        <v>18.29</v>
      </c>
      <c r="M203" s="22" t="str">
        <f t="shared" si="3"/>
        <v/>
      </c>
      <c r="N203" s="22" t="str">
        <f t="shared" si="1"/>
        <v/>
      </c>
    </row>
    <row r="204" ht="15.75" customHeight="1">
      <c r="A204" s="25">
        <f>IFERROR(__xludf.DUMMYFUNCTION("""COMPUTED_VALUE"""),43550.66666666667)</f>
        <v>43550.66667</v>
      </c>
      <c r="B204" s="22">
        <f>IFERROR(__xludf.DUMMYFUNCTION("""COMPUTED_VALUE"""),2818.46)</f>
        <v>2818.46</v>
      </c>
      <c r="C204" s="25">
        <f>IFERROR(__xludf.DUMMYFUNCTION("""COMPUTED_VALUE"""),43550.63611111111)</f>
        <v>43550.63611</v>
      </c>
      <c r="D204" s="22">
        <f>IFERROR(__xludf.DUMMYFUNCTION("""COMPUTED_VALUE"""),14.68)</f>
        <v>14.68</v>
      </c>
      <c r="E204" s="26">
        <f t="shared" si="2"/>
        <v>0.007182778485</v>
      </c>
      <c r="F204" s="25">
        <f>IFERROR(__xludf.DUMMYFUNCTION("""COMPUTED_VALUE"""),43550.63611111111)</f>
        <v>43550.63611</v>
      </c>
      <c r="G204" s="22">
        <f>IFERROR(__xludf.DUMMYFUNCTION("""COMPUTED_VALUE"""),16.45)</f>
        <v>16.45</v>
      </c>
      <c r="H204" s="25">
        <f>IFERROR(__xludf.DUMMYFUNCTION("""COMPUTED_VALUE"""),43550.63611111111)</f>
        <v>43550.63611</v>
      </c>
      <c r="I204" s="22">
        <f>IFERROR(__xludf.DUMMYFUNCTION("""COMPUTED_VALUE"""),17.28)</f>
        <v>17.28</v>
      </c>
      <c r="J204" s="25">
        <f>IFERROR(__xludf.DUMMYFUNCTION("""COMPUTED_VALUE"""),43550.63611111111)</f>
        <v>43550.63611</v>
      </c>
      <c r="K204" s="22">
        <f>IFERROR(__xludf.DUMMYFUNCTION("""COMPUTED_VALUE"""),17.93)</f>
        <v>17.93</v>
      </c>
      <c r="M204" s="22" t="str">
        <f t="shared" si="3"/>
        <v/>
      </c>
      <c r="N204" s="22" t="str">
        <f t="shared" si="1"/>
        <v/>
      </c>
    </row>
    <row r="205" ht="15.75" customHeight="1">
      <c r="A205" s="25">
        <f>IFERROR(__xludf.DUMMYFUNCTION("""COMPUTED_VALUE"""),43551.66666666667)</f>
        <v>43551.66667</v>
      </c>
      <c r="B205" s="22">
        <f>IFERROR(__xludf.DUMMYFUNCTION("""COMPUTED_VALUE"""),2805.37)</f>
        <v>2805.37</v>
      </c>
      <c r="C205" s="25">
        <f>IFERROR(__xludf.DUMMYFUNCTION("""COMPUTED_VALUE"""),43551.63611111111)</f>
        <v>43551.63611</v>
      </c>
      <c r="D205" s="22">
        <f>IFERROR(__xludf.DUMMYFUNCTION("""COMPUTED_VALUE"""),15.15)</f>
        <v>15.15</v>
      </c>
      <c r="E205" s="26">
        <f t="shared" si="2"/>
        <v>-0.004644380264</v>
      </c>
      <c r="F205" s="25">
        <f>IFERROR(__xludf.DUMMYFUNCTION("""COMPUTED_VALUE"""),43551.63611111111)</f>
        <v>43551.63611</v>
      </c>
      <c r="G205" s="22">
        <f>IFERROR(__xludf.DUMMYFUNCTION("""COMPUTED_VALUE"""),16.78)</f>
        <v>16.78</v>
      </c>
      <c r="H205" s="25">
        <f>IFERROR(__xludf.DUMMYFUNCTION("""COMPUTED_VALUE"""),43551.63611111111)</f>
        <v>43551.63611</v>
      </c>
      <c r="I205" s="22">
        <f>IFERROR(__xludf.DUMMYFUNCTION("""COMPUTED_VALUE"""),17.56)</f>
        <v>17.56</v>
      </c>
      <c r="J205" s="25">
        <f>IFERROR(__xludf.DUMMYFUNCTION("""COMPUTED_VALUE"""),43551.63611111111)</f>
        <v>43551.63611</v>
      </c>
      <c r="K205" s="22">
        <f>IFERROR(__xludf.DUMMYFUNCTION("""COMPUTED_VALUE"""),18.2)</f>
        <v>18.2</v>
      </c>
      <c r="M205" s="22" t="str">
        <f t="shared" si="3"/>
        <v/>
      </c>
      <c r="N205" s="22" t="str">
        <f t="shared" si="1"/>
        <v/>
      </c>
    </row>
    <row r="206" ht="15.75" customHeight="1">
      <c r="A206" s="25">
        <f>IFERROR(__xludf.DUMMYFUNCTION("""COMPUTED_VALUE"""),43552.66666666667)</f>
        <v>43552.66667</v>
      </c>
      <c r="B206" s="22">
        <f>IFERROR(__xludf.DUMMYFUNCTION("""COMPUTED_VALUE"""),2815.44)</f>
        <v>2815.44</v>
      </c>
      <c r="C206" s="25">
        <f>IFERROR(__xludf.DUMMYFUNCTION("""COMPUTED_VALUE"""),43552.63611111111)</f>
        <v>43552.63611</v>
      </c>
      <c r="D206" s="22">
        <f>IFERROR(__xludf.DUMMYFUNCTION("""COMPUTED_VALUE"""),14.43)</f>
        <v>14.43</v>
      </c>
      <c r="E206" s="26">
        <f t="shared" si="2"/>
        <v>0.003589544338</v>
      </c>
      <c r="F206" s="25">
        <f>IFERROR(__xludf.DUMMYFUNCTION("""COMPUTED_VALUE"""),43552.63611111111)</f>
        <v>43552.63611</v>
      </c>
      <c r="G206" s="22">
        <f>IFERROR(__xludf.DUMMYFUNCTION("""COMPUTED_VALUE"""),16.3)</f>
        <v>16.3</v>
      </c>
      <c r="H206" s="25">
        <f>IFERROR(__xludf.DUMMYFUNCTION("""COMPUTED_VALUE"""),43552.63611111111)</f>
        <v>43552.63611</v>
      </c>
      <c r="I206" s="22">
        <f>IFERROR(__xludf.DUMMYFUNCTION("""COMPUTED_VALUE"""),17.25)</f>
        <v>17.25</v>
      </c>
      <c r="J206" s="25">
        <f>IFERROR(__xludf.DUMMYFUNCTION("""COMPUTED_VALUE"""),43552.63611111111)</f>
        <v>43552.63611</v>
      </c>
      <c r="K206" s="22">
        <f>IFERROR(__xludf.DUMMYFUNCTION("""COMPUTED_VALUE"""),18.05)</f>
        <v>18.05</v>
      </c>
      <c r="M206" s="22" t="str">
        <f t="shared" si="3"/>
        <v/>
      </c>
      <c r="N206" s="22" t="str">
        <f t="shared" si="1"/>
        <v/>
      </c>
    </row>
    <row r="207" ht="15.75" customHeight="1">
      <c r="A207" s="25">
        <f>IFERROR(__xludf.DUMMYFUNCTION("""COMPUTED_VALUE"""),43553.66666666667)</f>
        <v>43553.66667</v>
      </c>
      <c r="B207" s="22">
        <f>IFERROR(__xludf.DUMMYFUNCTION("""COMPUTED_VALUE"""),2834.4)</f>
        <v>2834.4</v>
      </c>
      <c r="C207" s="25">
        <f>IFERROR(__xludf.DUMMYFUNCTION("""COMPUTED_VALUE"""),43553.63611111111)</f>
        <v>43553.63611</v>
      </c>
      <c r="D207" s="22">
        <f>IFERROR(__xludf.DUMMYFUNCTION("""COMPUTED_VALUE"""),13.71)</f>
        <v>13.71</v>
      </c>
      <c r="E207" s="26">
        <f t="shared" si="2"/>
        <v>0.006734293752</v>
      </c>
      <c r="F207" s="25">
        <f>IFERROR(__xludf.DUMMYFUNCTION("""COMPUTED_VALUE"""),43553.63611111111)</f>
        <v>43553.63611</v>
      </c>
      <c r="G207" s="22">
        <f>IFERROR(__xludf.DUMMYFUNCTION("""COMPUTED_VALUE"""),15.8)</f>
        <v>15.8</v>
      </c>
      <c r="H207" s="25">
        <f>IFERROR(__xludf.DUMMYFUNCTION("""COMPUTED_VALUE"""),43553.63611111111)</f>
        <v>43553.63611</v>
      </c>
      <c r="I207" s="22">
        <f>IFERROR(__xludf.DUMMYFUNCTION("""COMPUTED_VALUE"""),16.89)</f>
        <v>16.89</v>
      </c>
      <c r="J207" s="25">
        <f>IFERROR(__xludf.DUMMYFUNCTION("""COMPUTED_VALUE"""),43553.63611111111)</f>
        <v>43553.63611</v>
      </c>
      <c r="K207" s="22">
        <f>IFERROR(__xludf.DUMMYFUNCTION("""COMPUTED_VALUE"""),17.73)</f>
        <v>17.73</v>
      </c>
      <c r="M207" s="22" t="str">
        <f t="shared" si="3"/>
        <v/>
      </c>
      <c r="N207" s="22" t="str">
        <f t="shared" si="1"/>
        <v/>
      </c>
    </row>
    <row r="208" ht="15.75" customHeight="1">
      <c r="A208" s="25">
        <f>IFERROR(__xludf.DUMMYFUNCTION("""COMPUTED_VALUE"""),43556.66666666667)</f>
        <v>43556.66667</v>
      </c>
      <c r="B208" s="22">
        <f>IFERROR(__xludf.DUMMYFUNCTION("""COMPUTED_VALUE"""),2867.19)</f>
        <v>2867.19</v>
      </c>
      <c r="C208" s="25">
        <f>IFERROR(__xludf.DUMMYFUNCTION("""COMPUTED_VALUE"""),43556.63611111111)</f>
        <v>43556.63611</v>
      </c>
      <c r="D208" s="22">
        <f>IFERROR(__xludf.DUMMYFUNCTION("""COMPUTED_VALUE"""),13.4)</f>
        <v>13.4</v>
      </c>
      <c r="E208" s="26">
        <f t="shared" si="2"/>
        <v>0.01156858594</v>
      </c>
      <c r="F208" s="25">
        <f>IFERROR(__xludf.DUMMYFUNCTION("""COMPUTED_VALUE"""),43556.63611111111)</f>
        <v>43556.63611</v>
      </c>
      <c r="G208" s="22">
        <f>IFERROR(__xludf.DUMMYFUNCTION("""COMPUTED_VALUE"""),15.46)</f>
        <v>15.46</v>
      </c>
      <c r="H208" s="25">
        <f>IFERROR(__xludf.DUMMYFUNCTION("""COMPUTED_VALUE"""),43556.63611111111)</f>
        <v>43556.63611</v>
      </c>
      <c r="I208" s="22">
        <f>IFERROR(__xludf.DUMMYFUNCTION("""COMPUTED_VALUE"""),16.53)</f>
        <v>16.53</v>
      </c>
      <c r="J208" s="25">
        <f>IFERROR(__xludf.DUMMYFUNCTION("""COMPUTED_VALUE"""),43556.63611111111)</f>
        <v>43556.63611</v>
      </c>
      <c r="K208" s="22">
        <f>IFERROR(__xludf.DUMMYFUNCTION("""COMPUTED_VALUE"""),17.41)</f>
        <v>17.41</v>
      </c>
      <c r="M208" s="22" t="str">
        <f t="shared" si="3"/>
        <v/>
      </c>
      <c r="N208" s="22" t="str">
        <f t="shared" si="1"/>
        <v/>
      </c>
    </row>
    <row r="209" ht="15.75" customHeight="1">
      <c r="A209" s="25">
        <f>IFERROR(__xludf.DUMMYFUNCTION("""COMPUTED_VALUE"""),43557.66666666667)</f>
        <v>43557.66667</v>
      </c>
      <c r="B209" s="22">
        <f>IFERROR(__xludf.DUMMYFUNCTION("""COMPUTED_VALUE"""),2867.24)</f>
        <v>2867.24</v>
      </c>
      <c r="C209" s="25">
        <f>IFERROR(__xludf.DUMMYFUNCTION("""COMPUTED_VALUE"""),43557.63611111111)</f>
        <v>43557.63611</v>
      </c>
      <c r="D209" s="22">
        <f>IFERROR(__xludf.DUMMYFUNCTION("""COMPUTED_VALUE"""),13.36)</f>
        <v>13.36</v>
      </c>
      <c r="E209" s="26">
        <f t="shared" si="2"/>
        <v>0.00001743867689</v>
      </c>
      <c r="F209" s="25">
        <f>IFERROR(__xludf.DUMMYFUNCTION("""COMPUTED_VALUE"""),43557.63611111111)</f>
        <v>43557.63611</v>
      </c>
      <c r="G209" s="22">
        <f>IFERROR(__xludf.DUMMYFUNCTION("""COMPUTED_VALUE"""),15.54)</f>
        <v>15.54</v>
      </c>
      <c r="H209" s="25">
        <f>IFERROR(__xludf.DUMMYFUNCTION("""COMPUTED_VALUE"""),43557.63611111111)</f>
        <v>43557.63611</v>
      </c>
      <c r="I209" s="22">
        <f>IFERROR(__xludf.DUMMYFUNCTION("""COMPUTED_VALUE"""),16.63)</f>
        <v>16.63</v>
      </c>
      <c r="J209" s="25">
        <f>IFERROR(__xludf.DUMMYFUNCTION("""COMPUTED_VALUE"""),43557.63611111111)</f>
        <v>43557.63611</v>
      </c>
      <c r="K209" s="22">
        <f>IFERROR(__xludf.DUMMYFUNCTION("""COMPUTED_VALUE"""),17.49)</f>
        <v>17.49</v>
      </c>
      <c r="M209" s="22" t="str">
        <f t="shared" si="3"/>
        <v/>
      </c>
      <c r="N209" s="22" t="str">
        <f t="shared" si="1"/>
        <v/>
      </c>
    </row>
    <row r="210" ht="15.75" customHeight="1">
      <c r="A210" s="25">
        <f>IFERROR(__xludf.DUMMYFUNCTION("""COMPUTED_VALUE"""),43558.66666666667)</f>
        <v>43558.66667</v>
      </c>
      <c r="B210" s="22">
        <f>IFERROR(__xludf.DUMMYFUNCTION("""COMPUTED_VALUE"""),2873.4)</f>
        <v>2873.4</v>
      </c>
      <c r="C210" s="25">
        <f>IFERROR(__xludf.DUMMYFUNCTION("""COMPUTED_VALUE"""),43558.63611111111)</f>
        <v>43558.63611</v>
      </c>
      <c r="D210" s="22">
        <f>IFERROR(__xludf.DUMMYFUNCTION("""COMPUTED_VALUE"""),13.74)</f>
        <v>13.74</v>
      </c>
      <c r="E210" s="26">
        <f t="shared" si="2"/>
        <v>0.002148407528</v>
      </c>
      <c r="F210" s="25">
        <f>IFERROR(__xludf.DUMMYFUNCTION("""COMPUTED_VALUE"""),43558.63611111111)</f>
        <v>43558.63611</v>
      </c>
      <c r="G210" s="22">
        <f>IFERROR(__xludf.DUMMYFUNCTION("""COMPUTED_VALUE"""),15.63)</f>
        <v>15.63</v>
      </c>
      <c r="H210" s="25">
        <f>IFERROR(__xludf.DUMMYFUNCTION("""COMPUTED_VALUE"""),43558.63611111111)</f>
        <v>43558.63611</v>
      </c>
      <c r="I210" s="22">
        <f>IFERROR(__xludf.DUMMYFUNCTION("""COMPUTED_VALUE"""),16.6)</f>
        <v>16.6</v>
      </c>
      <c r="J210" s="25">
        <f>IFERROR(__xludf.DUMMYFUNCTION("""COMPUTED_VALUE"""),43558.63611111111)</f>
        <v>43558.63611</v>
      </c>
      <c r="K210" s="22">
        <f>IFERROR(__xludf.DUMMYFUNCTION("""COMPUTED_VALUE"""),17.45)</f>
        <v>17.45</v>
      </c>
      <c r="M210" s="22" t="str">
        <f t="shared" si="3"/>
        <v/>
      </c>
      <c r="N210" s="22" t="str">
        <f t="shared" si="1"/>
        <v/>
      </c>
    </row>
    <row r="211" ht="15.75" customHeight="1">
      <c r="A211" s="25">
        <f>IFERROR(__xludf.DUMMYFUNCTION("""COMPUTED_VALUE"""),43559.66666666667)</f>
        <v>43559.66667</v>
      </c>
      <c r="B211" s="22">
        <f>IFERROR(__xludf.DUMMYFUNCTION("""COMPUTED_VALUE"""),2879.39)</f>
        <v>2879.39</v>
      </c>
      <c r="C211" s="25">
        <f>IFERROR(__xludf.DUMMYFUNCTION("""COMPUTED_VALUE"""),43559.63611111111)</f>
        <v>43559.63611</v>
      </c>
      <c r="D211" s="22">
        <f>IFERROR(__xludf.DUMMYFUNCTION("""COMPUTED_VALUE"""),13.58)</f>
        <v>13.58</v>
      </c>
      <c r="E211" s="26">
        <f t="shared" si="2"/>
        <v>0.002084638407</v>
      </c>
      <c r="F211" s="25">
        <f>IFERROR(__xludf.DUMMYFUNCTION("""COMPUTED_VALUE"""),43559.63611111111)</f>
        <v>43559.63611</v>
      </c>
      <c r="G211" s="22">
        <f>IFERROR(__xludf.DUMMYFUNCTION("""COMPUTED_VALUE"""),15.48)</f>
        <v>15.48</v>
      </c>
      <c r="H211" s="25">
        <f>IFERROR(__xludf.DUMMYFUNCTION("""COMPUTED_VALUE"""),43559.63611111111)</f>
        <v>43559.63611</v>
      </c>
      <c r="I211" s="22">
        <f>IFERROR(__xludf.DUMMYFUNCTION("""COMPUTED_VALUE"""),16.56)</f>
        <v>16.56</v>
      </c>
      <c r="J211" s="25">
        <f>IFERROR(__xludf.DUMMYFUNCTION("""COMPUTED_VALUE"""),43559.63611111111)</f>
        <v>43559.63611</v>
      </c>
      <c r="K211" s="22">
        <f>IFERROR(__xludf.DUMMYFUNCTION("""COMPUTED_VALUE"""),17.4)</f>
        <v>17.4</v>
      </c>
      <c r="M211" s="22" t="str">
        <f t="shared" si="3"/>
        <v/>
      </c>
      <c r="N211" s="22" t="str">
        <f t="shared" si="1"/>
        <v/>
      </c>
    </row>
    <row r="212" ht="15.75" customHeight="1">
      <c r="A212" s="25">
        <f>IFERROR(__xludf.DUMMYFUNCTION("""COMPUTED_VALUE"""),43560.66666666667)</f>
        <v>43560.66667</v>
      </c>
      <c r="B212" s="22">
        <f>IFERROR(__xludf.DUMMYFUNCTION("""COMPUTED_VALUE"""),2892.74)</f>
        <v>2892.74</v>
      </c>
      <c r="C212" s="25">
        <f>IFERROR(__xludf.DUMMYFUNCTION("""COMPUTED_VALUE"""),43560.63611111111)</f>
        <v>43560.63611</v>
      </c>
      <c r="D212" s="22">
        <f>IFERROR(__xludf.DUMMYFUNCTION("""COMPUTED_VALUE"""),12.82)</f>
        <v>12.82</v>
      </c>
      <c r="E212" s="26">
        <f t="shared" si="2"/>
        <v>0.004636398682</v>
      </c>
      <c r="F212" s="25">
        <f>IFERROR(__xludf.DUMMYFUNCTION("""COMPUTED_VALUE"""),43560.63611111111)</f>
        <v>43560.63611</v>
      </c>
      <c r="G212" s="22">
        <f>IFERROR(__xludf.DUMMYFUNCTION("""COMPUTED_VALUE"""),15.06)</f>
        <v>15.06</v>
      </c>
      <c r="H212" s="25">
        <f>IFERROR(__xludf.DUMMYFUNCTION("""COMPUTED_VALUE"""),43560.63611111111)</f>
        <v>43560.63611</v>
      </c>
      <c r="I212" s="22">
        <f>IFERROR(__xludf.DUMMYFUNCTION("""COMPUTED_VALUE"""),16.28)</f>
        <v>16.28</v>
      </c>
      <c r="J212" s="25">
        <f>IFERROR(__xludf.DUMMYFUNCTION("""COMPUTED_VALUE"""),43560.63611111111)</f>
        <v>43560.63611</v>
      </c>
      <c r="K212" s="22">
        <f>IFERROR(__xludf.DUMMYFUNCTION("""COMPUTED_VALUE"""),17.22)</f>
        <v>17.22</v>
      </c>
      <c r="M212" s="22" t="str">
        <f t="shared" si="3"/>
        <v/>
      </c>
      <c r="N212" s="22" t="str">
        <f t="shared" si="1"/>
        <v/>
      </c>
    </row>
    <row r="213" ht="15.75" customHeight="1">
      <c r="A213" s="25">
        <f>IFERROR(__xludf.DUMMYFUNCTION("""COMPUTED_VALUE"""),43563.66666666667)</f>
        <v>43563.66667</v>
      </c>
      <c r="B213" s="22">
        <f>IFERROR(__xludf.DUMMYFUNCTION("""COMPUTED_VALUE"""),2895.77)</f>
        <v>2895.77</v>
      </c>
      <c r="C213" s="25">
        <f>IFERROR(__xludf.DUMMYFUNCTION("""COMPUTED_VALUE"""),43563.63611111111)</f>
        <v>43563.63611</v>
      </c>
      <c r="D213" s="22">
        <f>IFERROR(__xludf.DUMMYFUNCTION("""COMPUTED_VALUE"""),13.18)</f>
        <v>13.18</v>
      </c>
      <c r="E213" s="26">
        <f t="shared" si="2"/>
        <v>0.001047449823</v>
      </c>
      <c r="F213" s="25">
        <f>IFERROR(__xludf.DUMMYFUNCTION("""COMPUTED_VALUE"""),43563.63611111111)</f>
        <v>43563.63611</v>
      </c>
      <c r="G213" s="22">
        <f>IFERROR(__xludf.DUMMYFUNCTION("""COMPUTED_VALUE"""),15.28)</f>
        <v>15.28</v>
      </c>
      <c r="H213" s="25">
        <f>IFERROR(__xludf.DUMMYFUNCTION("""COMPUTED_VALUE"""),43563.63611111111)</f>
        <v>43563.63611</v>
      </c>
      <c r="I213" s="22">
        <f>IFERROR(__xludf.DUMMYFUNCTION("""COMPUTED_VALUE"""),16.38)</f>
        <v>16.38</v>
      </c>
      <c r="J213" s="25">
        <f>IFERROR(__xludf.DUMMYFUNCTION("""COMPUTED_VALUE"""),43563.63611111111)</f>
        <v>43563.63611</v>
      </c>
      <c r="K213" s="22">
        <f>IFERROR(__xludf.DUMMYFUNCTION("""COMPUTED_VALUE"""),17.18)</f>
        <v>17.18</v>
      </c>
      <c r="M213" s="22" t="str">
        <f t="shared" si="3"/>
        <v/>
      </c>
      <c r="N213" s="22" t="str">
        <f t="shared" si="1"/>
        <v/>
      </c>
    </row>
    <row r="214" ht="15.75" customHeight="1">
      <c r="A214" s="25">
        <f>IFERROR(__xludf.DUMMYFUNCTION("""COMPUTED_VALUE"""),43564.66666666667)</f>
        <v>43564.66667</v>
      </c>
      <c r="B214" s="22">
        <f>IFERROR(__xludf.DUMMYFUNCTION("""COMPUTED_VALUE"""),2878.2)</f>
        <v>2878.2</v>
      </c>
      <c r="C214" s="25">
        <f>IFERROR(__xludf.DUMMYFUNCTION("""COMPUTED_VALUE"""),43564.63611111111)</f>
        <v>43564.63611</v>
      </c>
      <c r="D214" s="22">
        <f>IFERROR(__xludf.DUMMYFUNCTION("""COMPUTED_VALUE"""),14.28)</f>
        <v>14.28</v>
      </c>
      <c r="E214" s="26">
        <f t="shared" si="2"/>
        <v>-0.006067470828</v>
      </c>
      <c r="F214" s="25">
        <f>IFERROR(__xludf.DUMMYFUNCTION("""COMPUTED_VALUE"""),43564.63611111111)</f>
        <v>43564.63611</v>
      </c>
      <c r="G214" s="22">
        <f>IFERROR(__xludf.DUMMYFUNCTION("""COMPUTED_VALUE"""),15.99)</f>
        <v>15.99</v>
      </c>
      <c r="H214" s="25">
        <f>IFERROR(__xludf.DUMMYFUNCTION("""COMPUTED_VALUE"""),43564.63611111111)</f>
        <v>43564.63611</v>
      </c>
      <c r="I214" s="22">
        <f>IFERROR(__xludf.DUMMYFUNCTION("""COMPUTED_VALUE"""),16.9)</f>
        <v>16.9</v>
      </c>
      <c r="J214" s="25">
        <f>IFERROR(__xludf.DUMMYFUNCTION("""COMPUTED_VALUE"""),43564.63611111111)</f>
        <v>43564.63611</v>
      </c>
      <c r="K214" s="22">
        <f>IFERROR(__xludf.DUMMYFUNCTION("""COMPUTED_VALUE"""),17.52)</f>
        <v>17.52</v>
      </c>
      <c r="M214" s="22" t="str">
        <f t="shared" si="3"/>
        <v/>
      </c>
      <c r="N214" s="22" t="str">
        <f t="shared" si="1"/>
        <v/>
      </c>
    </row>
    <row r="215" ht="15.75" customHeight="1">
      <c r="A215" s="25">
        <f>IFERROR(__xludf.DUMMYFUNCTION("""COMPUTED_VALUE"""),43565.66666666667)</f>
        <v>43565.66667</v>
      </c>
      <c r="B215" s="22">
        <f>IFERROR(__xludf.DUMMYFUNCTION("""COMPUTED_VALUE"""),2888.21)</f>
        <v>2888.21</v>
      </c>
      <c r="C215" s="25">
        <f>IFERROR(__xludf.DUMMYFUNCTION("""COMPUTED_VALUE"""),43565.63611111111)</f>
        <v>43565.63611</v>
      </c>
      <c r="D215" s="22">
        <f>IFERROR(__xludf.DUMMYFUNCTION("""COMPUTED_VALUE"""),13.3)</f>
        <v>13.3</v>
      </c>
      <c r="E215" s="26">
        <f t="shared" si="2"/>
        <v>0.003477868112</v>
      </c>
      <c r="F215" s="25">
        <f>IFERROR(__xludf.DUMMYFUNCTION("""COMPUTED_VALUE"""),43565.63611111111)</f>
        <v>43565.63611</v>
      </c>
      <c r="G215" s="22">
        <f>IFERROR(__xludf.DUMMYFUNCTION("""COMPUTED_VALUE"""),15.38)</f>
        <v>15.38</v>
      </c>
      <c r="H215" s="25">
        <f>IFERROR(__xludf.DUMMYFUNCTION("""COMPUTED_VALUE"""),43565.63611111111)</f>
        <v>43565.63611</v>
      </c>
      <c r="I215" s="22">
        <f>IFERROR(__xludf.DUMMYFUNCTION("""COMPUTED_VALUE"""),16.49)</f>
        <v>16.49</v>
      </c>
      <c r="J215" s="25">
        <f>IFERROR(__xludf.DUMMYFUNCTION("""COMPUTED_VALUE"""),43565.63611111111)</f>
        <v>43565.63611</v>
      </c>
      <c r="K215" s="22">
        <f>IFERROR(__xludf.DUMMYFUNCTION("""COMPUTED_VALUE"""),17.27)</f>
        <v>17.27</v>
      </c>
      <c r="M215" s="22" t="str">
        <f t="shared" si="3"/>
        <v/>
      </c>
      <c r="N215" s="22" t="str">
        <f t="shared" si="1"/>
        <v/>
      </c>
    </row>
    <row r="216" ht="15.75" customHeight="1">
      <c r="A216" s="25">
        <f>IFERROR(__xludf.DUMMYFUNCTION("""COMPUTED_VALUE"""),43566.66666666667)</f>
        <v>43566.66667</v>
      </c>
      <c r="B216" s="22">
        <f>IFERROR(__xludf.DUMMYFUNCTION("""COMPUTED_VALUE"""),2888.32)</f>
        <v>2888.32</v>
      </c>
      <c r="C216" s="25">
        <f>IFERROR(__xludf.DUMMYFUNCTION("""COMPUTED_VALUE"""),43566.63611111111)</f>
        <v>43566.63611</v>
      </c>
      <c r="D216" s="22">
        <f>IFERROR(__xludf.DUMMYFUNCTION("""COMPUTED_VALUE"""),13.02)</f>
        <v>13.02</v>
      </c>
      <c r="E216" s="26">
        <f t="shared" si="2"/>
        <v>0.00003808587326</v>
      </c>
      <c r="F216" s="25">
        <f>IFERROR(__xludf.DUMMYFUNCTION("""COMPUTED_VALUE"""),43566.63611111111)</f>
        <v>43566.63611</v>
      </c>
      <c r="G216" s="22">
        <f>IFERROR(__xludf.DUMMYFUNCTION("""COMPUTED_VALUE"""),15.25)</f>
        <v>15.25</v>
      </c>
      <c r="H216" s="25">
        <f>IFERROR(__xludf.DUMMYFUNCTION("""COMPUTED_VALUE"""),43566.63611111111)</f>
        <v>43566.63611</v>
      </c>
      <c r="I216" s="22">
        <f>IFERROR(__xludf.DUMMYFUNCTION("""COMPUTED_VALUE"""),16.43)</f>
        <v>16.43</v>
      </c>
      <c r="J216" s="25">
        <f>IFERROR(__xludf.DUMMYFUNCTION("""COMPUTED_VALUE"""),43566.63611111111)</f>
        <v>43566.63611</v>
      </c>
      <c r="K216" s="22">
        <f>IFERROR(__xludf.DUMMYFUNCTION("""COMPUTED_VALUE"""),17.28)</f>
        <v>17.28</v>
      </c>
      <c r="M216" s="22" t="str">
        <f t="shared" si="3"/>
        <v/>
      </c>
      <c r="N216" s="22" t="str">
        <f t="shared" si="1"/>
        <v/>
      </c>
    </row>
    <row r="217" ht="15.75" customHeight="1">
      <c r="A217" s="25">
        <f>IFERROR(__xludf.DUMMYFUNCTION("""COMPUTED_VALUE"""),43567.66666666667)</f>
        <v>43567.66667</v>
      </c>
      <c r="B217" s="22">
        <f>IFERROR(__xludf.DUMMYFUNCTION("""COMPUTED_VALUE"""),2907.41)</f>
        <v>2907.41</v>
      </c>
      <c r="C217" s="25">
        <f>IFERROR(__xludf.DUMMYFUNCTION("""COMPUTED_VALUE"""),43567.63611111111)</f>
        <v>43567.63611</v>
      </c>
      <c r="D217" s="22">
        <f>IFERROR(__xludf.DUMMYFUNCTION("""COMPUTED_VALUE"""),12.01)</f>
        <v>12.01</v>
      </c>
      <c r="E217" s="26">
        <f t="shared" si="2"/>
        <v>0.006609378462</v>
      </c>
      <c r="F217" s="25">
        <f>IFERROR(__xludf.DUMMYFUNCTION("""COMPUTED_VALUE"""),43567.63611111111)</f>
        <v>43567.63611</v>
      </c>
      <c r="G217" s="22">
        <f>IFERROR(__xludf.DUMMYFUNCTION("""COMPUTED_VALUE"""),14.46)</f>
        <v>14.46</v>
      </c>
      <c r="H217" s="25">
        <f>IFERROR(__xludf.DUMMYFUNCTION("""COMPUTED_VALUE"""),43567.63611111111)</f>
        <v>43567.63611</v>
      </c>
      <c r="I217" s="22">
        <f>IFERROR(__xludf.DUMMYFUNCTION("""COMPUTED_VALUE"""),16.04)</f>
        <v>16.04</v>
      </c>
      <c r="J217" s="25">
        <f>IFERROR(__xludf.DUMMYFUNCTION("""COMPUTED_VALUE"""),43567.63611111111)</f>
        <v>43567.63611</v>
      </c>
      <c r="K217" s="22">
        <f>IFERROR(__xludf.DUMMYFUNCTION("""COMPUTED_VALUE"""),17.06)</f>
        <v>17.06</v>
      </c>
      <c r="M217" s="22" t="str">
        <f t="shared" si="3"/>
        <v/>
      </c>
      <c r="N217" s="22" t="str">
        <f t="shared" si="1"/>
        <v/>
      </c>
    </row>
    <row r="218" ht="15.75" customHeight="1">
      <c r="A218" s="25">
        <f>IFERROR(__xludf.DUMMYFUNCTION("""COMPUTED_VALUE"""),43570.66666666667)</f>
        <v>43570.66667</v>
      </c>
      <c r="B218" s="22">
        <f>IFERROR(__xludf.DUMMYFUNCTION("""COMPUTED_VALUE"""),2905.58)</f>
        <v>2905.58</v>
      </c>
      <c r="C218" s="25">
        <f>IFERROR(__xludf.DUMMYFUNCTION("""COMPUTED_VALUE"""),43570.63611111111)</f>
        <v>43570.63611</v>
      </c>
      <c r="D218" s="22">
        <f>IFERROR(__xludf.DUMMYFUNCTION("""COMPUTED_VALUE"""),12.32)</f>
        <v>12.32</v>
      </c>
      <c r="E218" s="26">
        <f t="shared" si="2"/>
        <v>-0.0006294261903</v>
      </c>
      <c r="F218" s="25">
        <f>IFERROR(__xludf.DUMMYFUNCTION("""COMPUTED_VALUE"""),43570.63611111111)</f>
        <v>43570.63611</v>
      </c>
      <c r="G218" s="22">
        <f>IFERROR(__xludf.DUMMYFUNCTION("""COMPUTED_VALUE"""),14.53)</f>
        <v>14.53</v>
      </c>
      <c r="H218" s="25">
        <f>IFERROR(__xludf.DUMMYFUNCTION("""COMPUTED_VALUE"""),43570.63611111111)</f>
        <v>43570.63611</v>
      </c>
      <c r="I218" s="22">
        <f>IFERROR(__xludf.DUMMYFUNCTION("""COMPUTED_VALUE"""),16.09)</f>
        <v>16.09</v>
      </c>
      <c r="J218" s="25">
        <f>IFERROR(__xludf.DUMMYFUNCTION("""COMPUTED_VALUE"""),43570.63611111111)</f>
        <v>43570.63611</v>
      </c>
      <c r="K218" s="22">
        <f>IFERROR(__xludf.DUMMYFUNCTION("""COMPUTED_VALUE"""),17.2)</f>
        <v>17.2</v>
      </c>
      <c r="M218" s="22" t="str">
        <f t="shared" si="3"/>
        <v/>
      </c>
      <c r="N218" s="22" t="str">
        <f t="shared" si="1"/>
        <v/>
      </c>
    </row>
    <row r="219" ht="15.75" customHeight="1">
      <c r="A219" s="25">
        <f>IFERROR(__xludf.DUMMYFUNCTION("""COMPUTED_VALUE"""),43571.66666666667)</f>
        <v>43571.66667</v>
      </c>
      <c r="B219" s="22">
        <f>IFERROR(__xludf.DUMMYFUNCTION("""COMPUTED_VALUE"""),2907.06)</f>
        <v>2907.06</v>
      </c>
      <c r="C219" s="25">
        <f>IFERROR(__xludf.DUMMYFUNCTION("""COMPUTED_VALUE"""),43571.63611111111)</f>
        <v>43571.63611</v>
      </c>
      <c r="D219" s="22">
        <f>IFERROR(__xludf.DUMMYFUNCTION("""COMPUTED_VALUE"""),12.18)</f>
        <v>12.18</v>
      </c>
      <c r="E219" s="26">
        <f t="shared" si="2"/>
        <v>0.0005093647396</v>
      </c>
      <c r="F219" s="25">
        <f>IFERROR(__xludf.DUMMYFUNCTION("""COMPUTED_VALUE"""),43571.63611111111)</f>
        <v>43571.63611</v>
      </c>
      <c r="G219" s="22">
        <f>IFERROR(__xludf.DUMMYFUNCTION("""COMPUTED_VALUE"""),14.47)</f>
        <v>14.47</v>
      </c>
      <c r="H219" s="25">
        <f>IFERROR(__xludf.DUMMYFUNCTION("""COMPUTED_VALUE"""),43571.63611111111)</f>
        <v>43571.63611</v>
      </c>
      <c r="I219" s="22">
        <f>IFERROR(__xludf.DUMMYFUNCTION("""COMPUTED_VALUE"""),16.06)</f>
        <v>16.06</v>
      </c>
      <c r="J219" s="25">
        <f>IFERROR(__xludf.DUMMYFUNCTION("""COMPUTED_VALUE"""),43571.63611111111)</f>
        <v>43571.63611</v>
      </c>
      <c r="K219" s="22">
        <f>IFERROR(__xludf.DUMMYFUNCTION("""COMPUTED_VALUE"""),17.2)</f>
        <v>17.2</v>
      </c>
      <c r="M219" s="22" t="str">
        <f t="shared" si="3"/>
        <v/>
      </c>
      <c r="N219" s="22" t="str">
        <f t="shared" si="1"/>
        <v/>
      </c>
    </row>
    <row r="220" ht="15.75" customHeight="1">
      <c r="A220" s="25">
        <f>IFERROR(__xludf.DUMMYFUNCTION("""COMPUTED_VALUE"""),43572.66666666667)</f>
        <v>43572.66667</v>
      </c>
      <c r="B220" s="22">
        <f>IFERROR(__xludf.DUMMYFUNCTION("""COMPUTED_VALUE"""),2900.45)</f>
        <v>2900.45</v>
      </c>
      <c r="C220" s="25">
        <f>IFERROR(__xludf.DUMMYFUNCTION("""COMPUTED_VALUE"""),43572.63611111111)</f>
        <v>43572.63611</v>
      </c>
      <c r="D220" s="22">
        <f>IFERROR(__xludf.DUMMYFUNCTION("""COMPUTED_VALUE"""),12.6)</f>
        <v>12.6</v>
      </c>
      <c r="E220" s="26">
        <f t="shared" si="2"/>
        <v>-0.002273774879</v>
      </c>
      <c r="F220" s="25">
        <f>IFERROR(__xludf.DUMMYFUNCTION("""COMPUTED_VALUE"""),43572.63611111111)</f>
        <v>43572.63611</v>
      </c>
      <c r="G220" s="22">
        <f>IFERROR(__xludf.DUMMYFUNCTION("""COMPUTED_VALUE"""),14.82)</f>
        <v>14.82</v>
      </c>
      <c r="H220" s="25">
        <f>IFERROR(__xludf.DUMMYFUNCTION("""COMPUTED_VALUE"""),43572.63611111111)</f>
        <v>43572.63611</v>
      </c>
      <c r="I220" s="22">
        <f>IFERROR(__xludf.DUMMYFUNCTION("""COMPUTED_VALUE"""),16.29)</f>
        <v>16.29</v>
      </c>
      <c r="J220" s="25">
        <f>IFERROR(__xludf.DUMMYFUNCTION("""COMPUTED_VALUE"""),43572.63611111111)</f>
        <v>43572.63611</v>
      </c>
      <c r="K220" s="22">
        <f>IFERROR(__xludf.DUMMYFUNCTION("""COMPUTED_VALUE"""),17.34)</f>
        <v>17.34</v>
      </c>
      <c r="M220" s="22" t="str">
        <f t="shared" si="3"/>
        <v/>
      </c>
      <c r="N220" s="22" t="str">
        <f t="shared" si="1"/>
        <v/>
      </c>
    </row>
    <row r="221" ht="15.75" customHeight="1">
      <c r="A221" s="25">
        <f>IFERROR(__xludf.DUMMYFUNCTION("""COMPUTED_VALUE"""),43573.66666666667)</f>
        <v>43573.66667</v>
      </c>
      <c r="B221" s="22">
        <f>IFERROR(__xludf.DUMMYFUNCTION("""COMPUTED_VALUE"""),2905.03)</f>
        <v>2905.03</v>
      </c>
      <c r="C221" s="25">
        <f>IFERROR(__xludf.DUMMYFUNCTION("""COMPUTED_VALUE"""),43573.63611111111)</f>
        <v>43573.63611</v>
      </c>
      <c r="D221" s="22">
        <f>IFERROR(__xludf.DUMMYFUNCTION("""COMPUTED_VALUE"""),12.09)</f>
        <v>12.09</v>
      </c>
      <c r="E221" s="26">
        <f t="shared" si="2"/>
        <v>0.001579065317</v>
      </c>
      <c r="F221" s="25">
        <f>IFERROR(__xludf.DUMMYFUNCTION("""COMPUTED_VALUE"""),43573.63611111111)</f>
        <v>43573.63611</v>
      </c>
      <c r="G221" s="22">
        <f>IFERROR(__xludf.DUMMYFUNCTION("""COMPUTED_VALUE"""),14.57)</f>
        <v>14.57</v>
      </c>
      <c r="H221" s="25">
        <f>IFERROR(__xludf.DUMMYFUNCTION("""COMPUTED_VALUE"""),43573.63611111111)</f>
        <v>43573.63611</v>
      </c>
      <c r="I221" s="22">
        <f>IFERROR(__xludf.DUMMYFUNCTION("""COMPUTED_VALUE"""),16.14)</f>
        <v>16.14</v>
      </c>
      <c r="J221" s="25">
        <f>IFERROR(__xludf.DUMMYFUNCTION("""COMPUTED_VALUE"""),43573.63611111111)</f>
        <v>43573.63611</v>
      </c>
      <c r="K221" s="22">
        <f>IFERROR(__xludf.DUMMYFUNCTION("""COMPUTED_VALUE"""),17.25)</f>
        <v>17.25</v>
      </c>
      <c r="M221" s="22" t="str">
        <f t="shared" si="3"/>
        <v/>
      </c>
      <c r="N221" s="22" t="str">
        <f t="shared" si="1"/>
        <v/>
      </c>
    </row>
    <row r="222" ht="15.75" customHeight="1">
      <c r="A222" s="25">
        <f>IFERROR(__xludf.DUMMYFUNCTION("""COMPUTED_VALUE"""),43577.66666666667)</f>
        <v>43577.66667</v>
      </c>
      <c r="B222" s="22">
        <f>IFERROR(__xludf.DUMMYFUNCTION("""COMPUTED_VALUE"""),2907.97)</f>
        <v>2907.97</v>
      </c>
      <c r="C222" s="25">
        <f>IFERROR(__xludf.DUMMYFUNCTION("""COMPUTED_VALUE"""),43577.63611111111)</f>
        <v>43577.63611</v>
      </c>
      <c r="D222" s="22">
        <f>IFERROR(__xludf.DUMMYFUNCTION("""COMPUTED_VALUE"""),12.42)</f>
        <v>12.42</v>
      </c>
      <c r="E222" s="26">
        <f t="shared" si="2"/>
        <v>0.001012037741</v>
      </c>
      <c r="F222" s="25">
        <f>IFERROR(__xludf.DUMMYFUNCTION("""COMPUTED_VALUE"""),43577.63611111111)</f>
        <v>43577.63611</v>
      </c>
      <c r="G222" s="22">
        <f>IFERROR(__xludf.DUMMYFUNCTION("""COMPUTED_VALUE"""),14.72)</f>
        <v>14.72</v>
      </c>
      <c r="H222" s="25">
        <f>IFERROR(__xludf.DUMMYFUNCTION("""COMPUTED_VALUE"""),43577.63611111111)</f>
        <v>43577.63611</v>
      </c>
      <c r="I222" s="22">
        <f>IFERROR(__xludf.DUMMYFUNCTION("""COMPUTED_VALUE"""),16.19)</f>
        <v>16.19</v>
      </c>
      <c r="J222" s="25">
        <f>IFERROR(__xludf.DUMMYFUNCTION("""COMPUTED_VALUE"""),43577.63611111111)</f>
        <v>43577.63611</v>
      </c>
      <c r="K222" s="22">
        <f>IFERROR(__xludf.DUMMYFUNCTION("""COMPUTED_VALUE"""),17.3)</f>
        <v>17.3</v>
      </c>
      <c r="M222" s="22" t="str">
        <f t="shared" si="3"/>
        <v/>
      </c>
      <c r="N222" s="22" t="str">
        <f t="shared" si="1"/>
        <v/>
      </c>
    </row>
    <row r="223" ht="15.75" customHeight="1">
      <c r="A223" s="25">
        <f>IFERROR(__xludf.DUMMYFUNCTION("""COMPUTED_VALUE"""),43578.66666666667)</f>
        <v>43578.66667</v>
      </c>
      <c r="B223" s="22">
        <f>IFERROR(__xludf.DUMMYFUNCTION("""COMPUTED_VALUE"""),2933.68)</f>
        <v>2933.68</v>
      </c>
      <c r="C223" s="25">
        <f>IFERROR(__xludf.DUMMYFUNCTION("""COMPUTED_VALUE"""),43578.63611111111)</f>
        <v>43578.63611</v>
      </c>
      <c r="D223" s="22">
        <f>IFERROR(__xludf.DUMMYFUNCTION("""COMPUTED_VALUE"""),12.28)</f>
        <v>12.28</v>
      </c>
      <c r="E223" s="26">
        <f t="shared" si="2"/>
        <v>0.008841219132</v>
      </c>
      <c r="F223" s="25">
        <f>IFERROR(__xludf.DUMMYFUNCTION("""COMPUTED_VALUE"""),43578.63611111111)</f>
        <v>43578.63611</v>
      </c>
      <c r="G223" s="22">
        <f>IFERROR(__xludf.DUMMYFUNCTION("""COMPUTED_VALUE"""),14.54)</f>
        <v>14.54</v>
      </c>
      <c r="H223" s="25">
        <f>IFERROR(__xludf.DUMMYFUNCTION("""COMPUTED_VALUE"""),43578.63611111111)</f>
        <v>43578.63611</v>
      </c>
      <c r="I223" s="22">
        <f>IFERROR(__xludf.DUMMYFUNCTION("""COMPUTED_VALUE"""),16.0)</f>
        <v>16</v>
      </c>
      <c r="J223" s="25">
        <f>IFERROR(__xludf.DUMMYFUNCTION("""COMPUTED_VALUE"""),43578.63611111111)</f>
        <v>43578.63611</v>
      </c>
      <c r="K223" s="22">
        <f>IFERROR(__xludf.DUMMYFUNCTION("""COMPUTED_VALUE"""),17.13)</f>
        <v>17.13</v>
      </c>
      <c r="M223" s="22" t="str">
        <f t="shared" si="3"/>
        <v/>
      </c>
      <c r="N223" s="22" t="str">
        <f t="shared" si="1"/>
        <v/>
      </c>
    </row>
    <row r="224" ht="15.75" customHeight="1">
      <c r="A224" s="25">
        <f>IFERROR(__xludf.DUMMYFUNCTION("""COMPUTED_VALUE"""),43579.66666666667)</f>
        <v>43579.66667</v>
      </c>
      <c r="B224" s="22">
        <f>IFERROR(__xludf.DUMMYFUNCTION("""COMPUTED_VALUE"""),2927.25)</f>
        <v>2927.25</v>
      </c>
      <c r="C224" s="25">
        <f>IFERROR(__xludf.DUMMYFUNCTION("""COMPUTED_VALUE"""),43579.63611111111)</f>
        <v>43579.63611</v>
      </c>
      <c r="D224" s="22">
        <f>IFERROR(__xludf.DUMMYFUNCTION("""COMPUTED_VALUE"""),13.14)</f>
        <v>13.14</v>
      </c>
      <c r="E224" s="26">
        <f t="shared" si="2"/>
        <v>-0.002191786425</v>
      </c>
      <c r="F224" s="25">
        <f>IFERROR(__xludf.DUMMYFUNCTION("""COMPUTED_VALUE"""),43579.63611111111)</f>
        <v>43579.63611</v>
      </c>
      <c r="G224" s="22">
        <f>IFERROR(__xludf.DUMMYFUNCTION("""COMPUTED_VALUE"""),15.04)</f>
        <v>15.04</v>
      </c>
      <c r="H224" s="25">
        <f>IFERROR(__xludf.DUMMYFUNCTION("""COMPUTED_VALUE"""),43579.63611111111)</f>
        <v>43579.63611</v>
      </c>
      <c r="I224" s="22">
        <f>IFERROR(__xludf.DUMMYFUNCTION("""COMPUTED_VALUE"""),16.28)</f>
        <v>16.28</v>
      </c>
      <c r="J224" s="25">
        <f>IFERROR(__xludf.DUMMYFUNCTION("""COMPUTED_VALUE"""),43579.63611111111)</f>
        <v>43579.63611</v>
      </c>
      <c r="K224" s="22">
        <f>IFERROR(__xludf.DUMMYFUNCTION("""COMPUTED_VALUE"""),17.39)</f>
        <v>17.39</v>
      </c>
      <c r="M224" s="22" t="str">
        <f t="shared" si="3"/>
        <v/>
      </c>
      <c r="N224" s="22" t="str">
        <f t="shared" si="1"/>
        <v/>
      </c>
    </row>
    <row r="225" ht="15.75" customHeight="1">
      <c r="A225" s="25">
        <f>IFERROR(__xludf.DUMMYFUNCTION("""COMPUTED_VALUE"""),43580.66666666667)</f>
        <v>43580.66667</v>
      </c>
      <c r="B225" s="22">
        <f>IFERROR(__xludf.DUMMYFUNCTION("""COMPUTED_VALUE"""),2926.17)</f>
        <v>2926.17</v>
      </c>
      <c r="C225" s="25">
        <f>IFERROR(__xludf.DUMMYFUNCTION("""COMPUTED_VALUE"""),43580.63611111111)</f>
        <v>43580.63611</v>
      </c>
      <c r="D225" s="22">
        <f>IFERROR(__xludf.DUMMYFUNCTION("""COMPUTED_VALUE"""),13.25)</f>
        <v>13.25</v>
      </c>
      <c r="E225" s="26">
        <f t="shared" si="2"/>
        <v>-0.0003689469639</v>
      </c>
      <c r="F225" s="25">
        <f>IFERROR(__xludf.DUMMYFUNCTION("""COMPUTED_VALUE"""),43580.63611111111)</f>
        <v>43580.63611</v>
      </c>
      <c r="G225" s="22">
        <f>IFERROR(__xludf.DUMMYFUNCTION("""COMPUTED_VALUE"""),15.21)</f>
        <v>15.21</v>
      </c>
      <c r="H225" s="25">
        <f>IFERROR(__xludf.DUMMYFUNCTION("""COMPUTED_VALUE"""),43580.63611111111)</f>
        <v>43580.63611</v>
      </c>
      <c r="I225" s="22">
        <f>IFERROR(__xludf.DUMMYFUNCTION("""COMPUTED_VALUE"""),16.44)</f>
        <v>16.44</v>
      </c>
      <c r="J225" s="25">
        <f>IFERROR(__xludf.DUMMYFUNCTION("""COMPUTED_VALUE"""),43580.63611111111)</f>
        <v>43580.63611</v>
      </c>
      <c r="K225" s="22">
        <f>IFERROR(__xludf.DUMMYFUNCTION("""COMPUTED_VALUE"""),17.49)</f>
        <v>17.49</v>
      </c>
      <c r="M225" s="22" t="str">
        <f t="shared" si="3"/>
        <v/>
      </c>
      <c r="N225" s="22" t="str">
        <f t="shared" si="1"/>
        <v/>
      </c>
    </row>
    <row r="226" ht="15.75" customHeight="1">
      <c r="A226" s="25">
        <f>IFERROR(__xludf.DUMMYFUNCTION("""COMPUTED_VALUE"""),43581.66666666667)</f>
        <v>43581.66667</v>
      </c>
      <c r="B226" s="22">
        <f>IFERROR(__xludf.DUMMYFUNCTION("""COMPUTED_VALUE"""),2939.88)</f>
        <v>2939.88</v>
      </c>
      <c r="C226" s="25">
        <f>IFERROR(__xludf.DUMMYFUNCTION("""COMPUTED_VALUE"""),43581.63611111111)</f>
        <v>43581.63611</v>
      </c>
      <c r="D226" s="22">
        <f>IFERROR(__xludf.DUMMYFUNCTION("""COMPUTED_VALUE"""),12.73)</f>
        <v>12.73</v>
      </c>
      <c r="E226" s="26">
        <f t="shared" si="2"/>
        <v>0.004685305365</v>
      </c>
      <c r="F226" s="25">
        <f>IFERROR(__xludf.DUMMYFUNCTION("""COMPUTED_VALUE"""),43581.63611111111)</f>
        <v>43581.63611</v>
      </c>
      <c r="G226" s="22">
        <f>IFERROR(__xludf.DUMMYFUNCTION("""COMPUTED_VALUE"""),14.89)</f>
        <v>14.89</v>
      </c>
      <c r="H226" s="25">
        <f>IFERROR(__xludf.DUMMYFUNCTION("""COMPUTED_VALUE"""),43581.63611111111)</f>
        <v>43581.63611</v>
      </c>
      <c r="I226" s="22">
        <f>IFERROR(__xludf.DUMMYFUNCTION("""COMPUTED_VALUE"""),16.2)</f>
        <v>16.2</v>
      </c>
      <c r="J226" s="25">
        <f>IFERROR(__xludf.DUMMYFUNCTION("""COMPUTED_VALUE"""),43581.63611111111)</f>
        <v>43581.63611</v>
      </c>
      <c r="K226" s="22">
        <f>IFERROR(__xludf.DUMMYFUNCTION("""COMPUTED_VALUE"""),17.29)</f>
        <v>17.29</v>
      </c>
      <c r="M226" s="22" t="str">
        <f t="shared" si="3"/>
        <v/>
      </c>
      <c r="N226" s="22" t="str">
        <f t="shared" si="1"/>
        <v/>
      </c>
    </row>
    <row r="227" ht="15.75" customHeight="1">
      <c r="A227" s="25">
        <f>IFERROR(__xludf.DUMMYFUNCTION("""COMPUTED_VALUE"""),43584.66666666667)</f>
        <v>43584.66667</v>
      </c>
      <c r="B227" s="22">
        <f>IFERROR(__xludf.DUMMYFUNCTION("""COMPUTED_VALUE"""),2943.03)</f>
        <v>2943.03</v>
      </c>
      <c r="C227" s="25">
        <f>IFERROR(__xludf.DUMMYFUNCTION("""COMPUTED_VALUE"""),43584.63611111111)</f>
        <v>43584.63611</v>
      </c>
      <c r="D227" s="22">
        <f>IFERROR(__xludf.DUMMYFUNCTION("""COMPUTED_VALUE"""),13.11)</f>
        <v>13.11</v>
      </c>
      <c r="E227" s="26">
        <f t="shared" si="2"/>
        <v>0.001071472305</v>
      </c>
      <c r="F227" s="25">
        <f>IFERROR(__xludf.DUMMYFUNCTION("""COMPUTED_VALUE"""),43584.63611111111)</f>
        <v>43584.63611</v>
      </c>
      <c r="G227" s="22">
        <f>IFERROR(__xludf.DUMMYFUNCTION("""COMPUTED_VALUE"""),15.23)</f>
        <v>15.23</v>
      </c>
      <c r="H227" s="25">
        <f>IFERROR(__xludf.DUMMYFUNCTION("""COMPUTED_VALUE"""),43584.63611111111)</f>
        <v>43584.63611</v>
      </c>
      <c r="I227" s="22">
        <f>IFERROR(__xludf.DUMMYFUNCTION("""COMPUTED_VALUE"""),16.46)</f>
        <v>16.46</v>
      </c>
      <c r="J227" s="25">
        <f>IFERROR(__xludf.DUMMYFUNCTION("""COMPUTED_VALUE"""),43584.63611111111)</f>
        <v>43584.63611</v>
      </c>
      <c r="K227" s="22">
        <f>IFERROR(__xludf.DUMMYFUNCTION("""COMPUTED_VALUE"""),17.52)</f>
        <v>17.52</v>
      </c>
      <c r="M227" s="22" t="str">
        <f t="shared" si="3"/>
        <v/>
      </c>
      <c r="N227" s="22" t="str">
        <f t="shared" si="1"/>
        <v/>
      </c>
    </row>
    <row r="228" ht="15.75" customHeight="1">
      <c r="A228" s="25">
        <f>IFERROR(__xludf.DUMMYFUNCTION("""COMPUTED_VALUE"""),43585.66666666667)</f>
        <v>43585.66667</v>
      </c>
      <c r="B228" s="22">
        <f>IFERROR(__xludf.DUMMYFUNCTION("""COMPUTED_VALUE"""),2945.83)</f>
        <v>2945.83</v>
      </c>
      <c r="C228" s="25">
        <f>IFERROR(__xludf.DUMMYFUNCTION("""COMPUTED_VALUE"""),43585.63611111111)</f>
        <v>43585.63611</v>
      </c>
      <c r="D228" s="22">
        <f>IFERROR(__xludf.DUMMYFUNCTION("""COMPUTED_VALUE"""),13.12)</f>
        <v>13.12</v>
      </c>
      <c r="E228" s="26">
        <f t="shared" si="2"/>
        <v>0.0009514004275</v>
      </c>
      <c r="F228" s="25">
        <f>IFERROR(__xludf.DUMMYFUNCTION("""COMPUTED_VALUE"""),43585.63611111111)</f>
        <v>43585.63611</v>
      </c>
      <c r="G228" s="22">
        <f>IFERROR(__xludf.DUMMYFUNCTION("""COMPUTED_VALUE"""),15.23)</f>
        <v>15.23</v>
      </c>
      <c r="H228" s="25">
        <f>IFERROR(__xludf.DUMMYFUNCTION("""COMPUTED_VALUE"""),43585.63611111111)</f>
        <v>43585.63611</v>
      </c>
      <c r="I228" s="22">
        <f>IFERROR(__xludf.DUMMYFUNCTION("""COMPUTED_VALUE"""),16.43)</f>
        <v>16.43</v>
      </c>
      <c r="J228" s="25">
        <f>IFERROR(__xludf.DUMMYFUNCTION("""COMPUTED_VALUE"""),43585.63611111111)</f>
        <v>43585.63611</v>
      </c>
      <c r="K228" s="22">
        <f>IFERROR(__xludf.DUMMYFUNCTION("""COMPUTED_VALUE"""),17.53)</f>
        <v>17.53</v>
      </c>
      <c r="M228" s="22" t="str">
        <f t="shared" si="3"/>
        <v/>
      </c>
      <c r="N228" s="22" t="str">
        <f t="shared" si="1"/>
        <v/>
      </c>
    </row>
    <row r="229" ht="15.75" customHeight="1">
      <c r="A229" s="25">
        <f>IFERROR(__xludf.DUMMYFUNCTION("""COMPUTED_VALUE"""),43586.66666666667)</f>
        <v>43586.66667</v>
      </c>
      <c r="B229" s="22">
        <f>IFERROR(__xludf.DUMMYFUNCTION("""COMPUTED_VALUE"""),2923.73)</f>
        <v>2923.73</v>
      </c>
      <c r="C229" s="25">
        <f>IFERROR(__xludf.DUMMYFUNCTION("""COMPUTED_VALUE"""),43586.63611111111)</f>
        <v>43586.63611</v>
      </c>
      <c r="D229" s="22">
        <f>IFERROR(__xludf.DUMMYFUNCTION("""COMPUTED_VALUE"""),14.8)</f>
        <v>14.8</v>
      </c>
      <c r="E229" s="26">
        <f t="shared" si="2"/>
        <v>-0.00750213013</v>
      </c>
      <c r="F229" s="25">
        <f>IFERROR(__xludf.DUMMYFUNCTION("""COMPUTED_VALUE"""),43586.63611111111)</f>
        <v>43586.63611</v>
      </c>
      <c r="G229" s="22">
        <f>IFERROR(__xludf.DUMMYFUNCTION("""COMPUTED_VALUE"""),16.19)</f>
        <v>16.19</v>
      </c>
      <c r="H229" s="25">
        <f>IFERROR(__xludf.DUMMYFUNCTION("""COMPUTED_VALUE"""),43586.63611111111)</f>
        <v>43586.63611</v>
      </c>
      <c r="I229" s="22">
        <f>IFERROR(__xludf.DUMMYFUNCTION("""COMPUTED_VALUE"""),17.09)</f>
        <v>17.09</v>
      </c>
      <c r="J229" s="25">
        <f>IFERROR(__xludf.DUMMYFUNCTION("""COMPUTED_VALUE"""),43586.63611111111)</f>
        <v>43586.63611</v>
      </c>
      <c r="K229" s="22">
        <f>IFERROR(__xludf.DUMMYFUNCTION("""COMPUTED_VALUE"""),17.95)</f>
        <v>17.95</v>
      </c>
      <c r="M229" s="22" t="str">
        <f t="shared" si="3"/>
        <v/>
      </c>
      <c r="N229" s="22" t="str">
        <f t="shared" si="1"/>
        <v/>
      </c>
    </row>
    <row r="230" ht="15.75" customHeight="1">
      <c r="A230" s="25">
        <f>IFERROR(__xludf.DUMMYFUNCTION("""COMPUTED_VALUE"""),43587.66666666667)</f>
        <v>43587.66667</v>
      </c>
      <c r="B230" s="22">
        <f>IFERROR(__xludf.DUMMYFUNCTION("""COMPUTED_VALUE"""),2917.52)</f>
        <v>2917.52</v>
      </c>
      <c r="C230" s="25">
        <f>IFERROR(__xludf.DUMMYFUNCTION("""COMPUTED_VALUE"""),43587.63611111111)</f>
        <v>43587.63611</v>
      </c>
      <c r="D230" s="22">
        <f>IFERROR(__xludf.DUMMYFUNCTION("""COMPUTED_VALUE"""),14.42)</f>
        <v>14.42</v>
      </c>
      <c r="E230" s="26">
        <f t="shared" si="2"/>
        <v>-0.002123999138</v>
      </c>
      <c r="F230" s="25">
        <f>IFERROR(__xludf.DUMMYFUNCTION("""COMPUTED_VALUE"""),43587.63611111111)</f>
        <v>43587.63611</v>
      </c>
      <c r="G230" s="22">
        <f>IFERROR(__xludf.DUMMYFUNCTION("""COMPUTED_VALUE"""),16.03)</f>
        <v>16.03</v>
      </c>
      <c r="H230" s="25">
        <f>IFERROR(__xludf.DUMMYFUNCTION("""COMPUTED_VALUE"""),43587.63611111111)</f>
        <v>43587.63611</v>
      </c>
      <c r="I230" s="22">
        <f>IFERROR(__xludf.DUMMYFUNCTION("""COMPUTED_VALUE"""),17.0)</f>
        <v>17</v>
      </c>
      <c r="J230" s="25">
        <f>IFERROR(__xludf.DUMMYFUNCTION("""COMPUTED_VALUE"""),43587.63611111111)</f>
        <v>43587.63611</v>
      </c>
      <c r="K230" s="22">
        <f>IFERROR(__xludf.DUMMYFUNCTION("""COMPUTED_VALUE"""),17.83)</f>
        <v>17.83</v>
      </c>
      <c r="M230" s="22" t="str">
        <f t="shared" si="3"/>
        <v/>
      </c>
      <c r="N230" s="22" t="str">
        <f t="shared" si="1"/>
        <v/>
      </c>
    </row>
    <row r="231" ht="15.75" customHeight="1">
      <c r="A231" s="25">
        <f>IFERROR(__xludf.DUMMYFUNCTION("""COMPUTED_VALUE"""),43588.66666666667)</f>
        <v>43588.66667</v>
      </c>
      <c r="B231" s="22">
        <f>IFERROR(__xludf.DUMMYFUNCTION("""COMPUTED_VALUE"""),2945.64)</f>
        <v>2945.64</v>
      </c>
      <c r="C231" s="25">
        <f>IFERROR(__xludf.DUMMYFUNCTION("""COMPUTED_VALUE"""),43588.63611111111)</f>
        <v>43588.63611</v>
      </c>
      <c r="D231" s="22">
        <f>IFERROR(__xludf.DUMMYFUNCTION("""COMPUTED_VALUE"""),12.87)</f>
        <v>12.87</v>
      </c>
      <c r="E231" s="26">
        <f t="shared" si="2"/>
        <v>0.009638322959</v>
      </c>
      <c r="F231" s="25">
        <f>IFERROR(__xludf.DUMMYFUNCTION("""COMPUTED_VALUE"""),43588.63611111111)</f>
        <v>43588.63611</v>
      </c>
      <c r="G231" s="22">
        <f>IFERROR(__xludf.DUMMYFUNCTION("""COMPUTED_VALUE"""),15.07)</f>
        <v>15.07</v>
      </c>
      <c r="H231" s="25">
        <f>IFERROR(__xludf.DUMMYFUNCTION("""COMPUTED_VALUE"""),43588.63611111111)</f>
        <v>43588.63611</v>
      </c>
      <c r="I231" s="22">
        <f>IFERROR(__xludf.DUMMYFUNCTION("""COMPUTED_VALUE"""),16.38)</f>
        <v>16.38</v>
      </c>
      <c r="J231" s="25">
        <f>IFERROR(__xludf.DUMMYFUNCTION("""COMPUTED_VALUE"""),43588.63611111111)</f>
        <v>43588.63611</v>
      </c>
      <c r="K231" s="22">
        <f>IFERROR(__xludf.DUMMYFUNCTION("""COMPUTED_VALUE"""),17.51)</f>
        <v>17.51</v>
      </c>
      <c r="M231" s="22" t="str">
        <f t="shared" si="3"/>
        <v/>
      </c>
      <c r="N231" s="22" t="str">
        <f t="shared" si="1"/>
        <v/>
      </c>
    </row>
    <row r="232" ht="15.75" customHeight="1">
      <c r="A232" s="25">
        <f>IFERROR(__xludf.DUMMYFUNCTION("""COMPUTED_VALUE"""),43591.66666666667)</f>
        <v>43591.66667</v>
      </c>
      <c r="B232" s="22">
        <f>IFERROR(__xludf.DUMMYFUNCTION("""COMPUTED_VALUE"""),2932.47)</f>
        <v>2932.47</v>
      </c>
      <c r="C232" s="25">
        <f>IFERROR(__xludf.DUMMYFUNCTION("""COMPUTED_VALUE"""),43591.63611111111)</f>
        <v>43591.63611</v>
      </c>
      <c r="D232" s="22">
        <f>IFERROR(__xludf.DUMMYFUNCTION("""COMPUTED_VALUE"""),15.44)</f>
        <v>15.44</v>
      </c>
      <c r="E232" s="26">
        <f t="shared" si="2"/>
        <v>-0.004471014788</v>
      </c>
      <c r="F232" s="25">
        <f>IFERROR(__xludf.DUMMYFUNCTION("""COMPUTED_VALUE"""),43591.63611111111)</f>
        <v>43591.63611</v>
      </c>
      <c r="G232" s="22">
        <f>IFERROR(__xludf.DUMMYFUNCTION("""COMPUTED_VALUE"""),16.4)</f>
        <v>16.4</v>
      </c>
      <c r="H232" s="25">
        <f>IFERROR(__xludf.DUMMYFUNCTION("""COMPUTED_VALUE"""),43591.63611111111)</f>
        <v>43591.63611</v>
      </c>
      <c r="I232" s="22">
        <f>IFERROR(__xludf.DUMMYFUNCTION("""COMPUTED_VALUE"""),17.15)</f>
        <v>17.15</v>
      </c>
      <c r="J232" s="25">
        <f>IFERROR(__xludf.DUMMYFUNCTION("""COMPUTED_VALUE"""),43591.63611111111)</f>
        <v>43591.63611</v>
      </c>
      <c r="K232" s="22">
        <f>IFERROR(__xludf.DUMMYFUNCTION("""COMPUTED_VALUE"""),17.98)</f>
        <v>17.98</v>
      </c>
      <c r="M232" s="22" t="str">
        <f t="shared" si="3"/>
        <v/>
      </c>
      <c r="N232" s="22" t="str">
        <f t="shared" si="1"/>
        <v/>
      </c>
    </row>
    <row r="233" ht="15.75" customHeight="1">
      <c r="A233" s="25">
        <f>IFERROR(__xludf.DUMMYFUNCTION("""COMPUTED_VALUE"""),43592.66666666667)</f>
        <v>43592.66667</v>
      </c>
      <c r="B233" s="22">
        <f>IFERROR(__xludf.DUMMYFUNCTION("""COMPUTED_VALUE"""),2884.05)</f>
        <v>2884.05</v>
      </c>
      <c r="C233" s="25">
        <f>IFERROR(__xludf.DUMMYFUNCTION("""COMPUTED_VALUE"""),43592.63611111111)</f>
        <v>43592.63611</v>
      </c>
      <c r="D233" s="22">
        <f>IFERROR(__xludf.DUMMYFUNCTION("""COMPUTED_VALUE"""),19.32)</f>
        <v>19.32</v>
      </c>
      <c r="E233" s="26">
        <f t="shared" si="2"/>
        <v>-0.01651167787</v>
      </c>
      <c r="F233" s="25">
        <f>IFERROR(__xludf.DUMMYFUNCTION("""COMPUTED_VALUE"""),43592.63611111111)</f>
        <v>43592.63611</v>
      </c>
      <c r="G233" s="22">
        <f>IFERROR(__xludf.DUMMYFUNCTION("""COMPUTED_VALUE"""),18.78)</f>
        <v>18.78</v>
      </c>
      <c r="H233" s="25">
        <f>IFERROR(__xludf.DUMMYFUNCTION("""COMPUTED_VALUE"""),43592.63611111111)</f>
        <v>43592.63611</v>
      </c>
      <c r="I233" s="22">
        <f>IFERROR(__xludf.DUMMYFUNCTION("""COMPUTED_VALUE"""),18.63)</f>
        <v>18.63</v>
      </c>
      <c r="J233" s="25">
        <f>IFERROR(__xludf.DUMMYFUNCTION("""COMPUTED_VALUE"""),43592.63611111111)</f>
        <v>43592.63611</v>
      </c>
      <c r="K233" s="22">
        <f>IFERROR(__xludf.DUMMYFUNCTION("""COMPUTED_VALUE"""),18.82)</f>
        <v>18.82</v>
      </c>
      <c r="M233" s="22" t="str">
        <f t="shared" si="3"/>
        <v/>
      </c>
      <c r="N233" s="22" t="str">
        <f t="shared" si="1"/>
        <v/>
      </c>
    </row>
    <row r="234" ht="15.75" customHeight="1">
      <c r="A234" s="25">
        <f>IFERROR(__xludf.DUMMYFUNCTION("""COMPUTED_VALUE"""),43593.66666666667)</f>
        <v>43593.66667</v>
      </c>
      <c r="B234" s="22">
        <f>IFERROR(__xludf.DUMMYFUNCTION("""COMPUTED_VALUE"""),2879.42)</f>
        <v>2879.42</v>
      </c>
      <c r="C234" s="25">
        <f>IFERROR(__xludf.DUMMYFUNCTION("""COMPUTED_VALUE"""),43593.63611111111)</f>
        <v>43593.63611</v>
      </c>
      <c r="D234" s="22">
        <f>IFERROR(__xludf.DUMMYFUNCTION("""COMPUTED_VALUE"""),19.4)</f>
        <v>19.4</v>
      </c>
      <c r="E234" s="26">
        <f t="shared" si="2"/>
        <v>-0.001605381321</v>
      </c>
      <c r="F234" s="25">
        <f>IFERROR(__xludf.DUMMYFUNCTION("""COMPUTED_VALUE"""),43593.63611111111)</f>
        <v>43593.63611</v>
      </c>
      <c r="G234" s="22">
        <f>IFERROR(__xludf.DUMMYFUNCTION("""COMPUTED_VALUE"""),18.75)</f>
        <v>18.75</v>
      </c>
      <c r="H234" s="25">
        <f>IFERROR(__xludf.DUMMYFUNCTION("""COMPUTED_VALUE"""),43593.63611111111)</f>
        <v>43593.63611</v>
      </c>
      <c r="I234" s="22">
        <f>IFERROR(__xludf.DUMMYFUNCTION("""COMPUTED_VALUE"""),18.6)</f>
        <v>18.6</v>
      </c>
      <c r="J234" s="25">
        <f>IFERROR(__xludf.DUMMYFUNCTION("""COMPUTED_VALUE"""),43593.63611111111)</f>
        <v>43593.63611</v>
      </c>
      <c r="K234" s="22">
        <f>IFERROR(__xludf.DUMMYFUNCTION("""COMPUTED_VALUE"""),18.71)</f>
        <v>18.71</v>
      </c>
      <c r="M234" s="22" t="str">
        <f t="shared" si="3"/>
        <v/>
      </c>
      <c r="N234" s="22" t="str">
        <f t="shared" si="1"/>
        <v/>
      </c>
    </row>
    <row r="235" ht="15.75" customHeight="1">
      <c r="A235" s="25">
        <f>IFERROR(__xludf.DUMMYFUNCTION("""COMPUTED_VALUE"""),43594.66666666667)</f>
        <v>43594.66667</v>
      </c>
      <c r="B235" s="22">
        <f>IFERROR(__xludf.DUMMYFUNCTION("""COMPUTED_VALUE"""),2870.72)</f>
        <v>2870.72</v>
      </c>
      <c r="C235" s="25">
        <f>IFERROR(__xludf.DUMMYFUNCTION("""COMPUTED_VALUE"""),43594.63611111111)</f>
        <v>43594.63611</v>
      </c>
      <c r="D235" s="22">
        <f>IFERROR(__xludf.DUMMYFUNCTION("""COMPUTED_VALUE"""),19.1)</f>
        <v>19.1</v>
      </c>
      <c r="E235" s="26">
        <f t="shared" si="2"/>
        <v>-0.003021441818</v>
      </c>
      <c r="F235" s="25">
        <f>IFERROR(__xludf.DUMMYFUNCTION("""COMPUTED_VALUE"""),43594.63611111111)</f>
        <v>43594.63611</v>
      </c>
      <c r="G235" s="22">
        <f>IFERROR(__xludf.DUMMYFUNCTION("""COMPUTED_VALUE"""),18.44)</f>
        <v>18.44</v>
      </c>
      <c r="H235" s="25">
        <f>IFERROR(__xludf.DUMMYFUNCTION("""COMPUTED_VALUE"""),43594.63611111111)</f>
        <v>43594.63611</v>
      </c>
      <c r="I235" s="22">
        <f>IFERROR(__xludf.DUMMYFUNCTION("""COMPUTED_VALUE"""),18.38)</f>
        <v>18.38</v>
      </c>
      <c r="J235" s="25">
        <f>IFERROR(__xludf.DUMMYFUNCTION("""COMPUTED_VALUE"""),43594.63611111111)</f>
        <v>43594.63611</v>
      </c>
      <c r="K235" s="22">
        <f>IFERROR(__xludf.DUMMYFUNCTION("""COMPUTED_VALUE"""),18.63)</f>
        <v>18.63</v>
      </c>
      <c r="M235" s="22" t="str">
        <f t="shared" si="3"/>
        <v/>
      </c>
      <c r="N235" s="22" t="str">
        <f t="shared" si="1"/>
        <v/>
      </c>
    </row>
    <row r="236" ht="15.75" customHeight="1">
      <c r="A236" s="25">
        <f>IFERROR(__xludf.DUMMYFUNCTION("""COMPUTED_VALUE"""),43595.66666666667)</f>
        <v>43595.66667</v>
      </c>
      <c r="B236" s="22">
        <f>IFERROR(__xludf.DUMMYFUNCTION("""COMPUTED_VALUE"""),2881.4)</f>
        <v>2881.4</v>
      </c>
      <c r="C236" s="25">
        <f>IFERROR(__xludf.DUMMYFUNCTION("""COMPUTED_VALUE"""),43595.63611111111)</f>
        <v>43595.63611</v>
      </c>
      <c r="D236" s="22">
        <f>IFERROR(__xludf.DUMMYFUNCTION("""COMPUTED_VALUE"""),16.04)</f>
        <v>16.04</v>
      </c>
      <c r="E236" s="26">
        <f t="shared" si="2"/>
        <v>0.003720321034</v>
      </c>
      <c r="F236" s="25">
        <f>IFERROR(__xludf.DUMMYFUNCTION("""COMPUTED_VALUE"""),43595.63611111111)</f>
        <v>43595.63611</v>
      </c>
      <c r="G236" s="22">
        <f>IFERROR(__xludf.DUMMYFUNCTION("""COMPUTED_VALUE"""),16.9)</f>
        <v>16.9</v>
      </c>
      <c r="H236" s="25">
        <f>IFERROR(__xludf.DUMMYFUNCTION("""COMPUTED_VALUE"""),43595.63611111111)</f>
        <v>43595.63611</v>
      </c>
      <c r="I236" s="22">
        <f>IFERROR(__xludf.DUMMYFUNCTION("""COMPUTED_VALUE"""),17.47)</f>
        <v>17.47</v>
      </c>
      <c r="J236" s="25">
        <f>IFERROR(__xludf.DUMMYFUNCTION("""COMPUTED_VALUE"""),43595.63611111111)</f>
        <v>43595.63611</v>
      </c>
      <c r="K236" s="22">
        <f>IFERROR(__xludf.DUMMYFUNCTION("""COMPUTED_VALUE"""),18.06)</f>
        <v>18.06</v>
      </c>
      <c r="M236" s="22" t="str">
        <f t="shared" si="3"/>
        <v/>
      </c>
      <c r="N236" s="22" t="str">
        <f t="shared" si="1"/>
        <v/>
      </c>
    </row>
    <row r="237" ht="15.75" customHeight="1">
      <c r="A237" s="25">
        <f>IFERROR(__xludf.DUMMYFUNCTION("""COMPUTED_VALUE"""),43598.66666666667)</f>
        <v>43598.66667</v>
      </c>
      <c r="B237" s="22">
        <f>IFERROR(__xludf.DUMMYFUNCTION("""COMPUTED_VALUE"""),2811.87)</f>
        <v>2811.87</v>
      </c>
      <c r="C237" s="25">
        <f>IFERROR(__xludf.DUMMYFUNCTION("""COMPUTED_VALUE"""),43598.63611111111)</f>
        <v>43598.63611</v>
      </c>
      <c r="D237" s="22">
        <f>IFERROR(__xludf.DUMMYFUNCTION("""COMPUTED_VALUE"""),20.55)</f>
        <v>20.55</v>
      </c>
      <c r="E237" s="26">
        <f t="shared" si="2"/>
        <v>-0.02413063094</v>
      </c>
      <c r="F237" s="25">
        <f>IFERROR(__xludf.DUMMYFUNCTION("""COMPUTED_VALUE"""),43598.63611111111)</f>
        <v>43598.63611</v>
      </c>
      <c r="G237" s="22">
        <f>IFERROR(__xludf.DUMMYFUNCTION("""COMPUTED_VALUE"""),19.79)</f>
        <v>19.79</v>
      </c>
      <c r="H237" s="25">
        <f>IFERROR(__xludf.DUMMYFUNCTION("""COMPUTED_VALUE"""),43598.63611111111)</f>
        <v>43598.63611</v>
      </c>
      <c r="I237" s="22">
        <f>IFERROR(__xludf.DUMMYFUNCTION("""COMPUTED_VALUE"""),19.34)</f>
        <v>19.34</v>
      </c>
      <c r="J237" s="25">
        <f>IFERROR(__xludf.DUMMYFUNCTION("""COMPUTED_VALUE"""),43598.63611111111)</f>
        <v>43598.63611</v>
      </c>
      <c r="K237" s="22">
        <f>IFERROR(__xludf.DUMMYFUNCTION("""COMPUTED_VALUE"""),19.12)</f>
        <v>19.12</v>
      </c>
      <c r="M237" s="22" t="str">
        <f t="shared" si="3"/>
        <v/>
      </c>
      <c r="N237" s="22" t="str">
        <f t="shared" si="1"/>
        <v/>
      </c>
    </row>
    <row r="238" ht="15.75" customHeight="1">
      <c r="A238" s="25">
        <f>IFERROR(__xludf.DUMMYFUNCTION("""COMPUTED_VALUE"""),43599.66666666667)</f>
        <v>43599.66667</v>
      </c>
      <c r="B238" s="22">
        <f>IFERROR(__xludf.DUMMYFUNCTION("""COMPUTED_VALUE"""),2834.41)</f>
        <v>2834.41</v>
      </c>
      <c r="C238" s="25">
        <f>IFERROR(__xludf.DUMMYFUNCTION("""COMPUTED_VALUE"""),43599.63611111111)</f>
        <v>43599.63611</v>
      </c>
      <c r="D238" s="22">
        <f>IFERROR(__xludf.DUMMYFUNCTION("""COMPUTED_VALUE"""),18.06)</f>
        <v>18.06</v>
      </c>
      <c r="E238" s="26">
        <f t="shared" si="2"/>
        <v>0.00801601781</v>
      </c>
      <c r="F238" s="25">
        <f>IFERROR(__xludf.DUMMYFUNCTION("""COMPUTED_VALUE"""),43599.63611111111)</f>
        <v>43599.63611</v>
      </c>
      <c r="G238" s="22">
        <f>IFERROR(__xludf.DUMMYFUNCTION("""COMPUTED_VALUE"""),18.29)</f>
        <v>18.29</v>
      </c>
      <c r="H238" s="25">
        <f>IFERROR(__xludf.DUMMYFUNCTION("""COMPUTED_VALUE"""),43599.63611111111)</f>
        <v>43599.63611</v>
      </c>
      <c r="I238" s="22">
        <f>IFERROR(__xludf.DUMMYFUNCTION("""COMPUTED_VALUE"""),18.37)</f>
        <v>18.37</v>
      </c>
      <c r="J238" s="25">
        <f>IFERROR(__xludf.DUMMYFUNCTION("""COMPUTED_VALUE"""),43599.63611111111)</f>
        <v>43599.63611</v>
      </c>
      <c r="K238" s="22">
        <f>IFERROR(__xludf.DUMMYFUNCTION("""COMPUTED_VALUE"""),18.57)</f>
        <v>18.57</v>
      </c>
      <c r="M238" s="22" t="str">
        <f t="shared" si="3"/>
        <v/>
      </c>
      <c r="N238" s="22" t="str">
        <f t="shared" si="1"/>
        <v/>
      </c>
    </row>
    <row r="239" ht="15.75" customHeight="1">
      <c r="A239" s="25">
        <f>IFERROR(__xludf.DUMMYFUNCTION("""COMPUTED_VALUE"""),43600.66666666667)</f>
        <v>43600.66667</v>
      </c>
      <c r="B239" s="22">
        <f>IFERROR(__xludf.DUMMYFUNCTION("""COMPUTED_VALUE"""),2850.96)</f>
        <v>2850.96</v>
      </c>
      <c r="C239" s="25">
        <f>IFERROR(__xludf.DUMMYFUNCTION("""COMPUTED_VALUE"""),43600.63611111111)</f>
        <v>43600.63611</v>
      </c>
      <c r="D239" s="22">
        <f>IFERROR(__xludf.DUMMYFUNCTION("""COMPUTED_VALUE"""),16.44)</f>
        <v>16.44</v>
      </c>
      <c r="E239" s="26">
        <f t="shared" si="2"/>
        <v>0.005838957667</v>
      </c>
      <c r="F239" s="25">
        <f>IFERROR(__xludf.DUMMYFUNCTION("""COMPUTED_VALUE"""),43600.63611111111)</f>
        <v>43600.63611</v>
      </c>
      <c r="G239" s="22">
        <f>IFERROR(__xludf.DUMMYFUNCTION("""COMPUTED_VALUE"""),17.49)</f>
        <v>17.49</v>
      </c>
      <c r="H239" s="25">
        <f>IFERROR(__xludf.DUMMYFUNCTION("""COMPUTED_VALUE"""),43600.63611111111)</f>
        <v>43600.63611</v>
      </c>
      <c r="I239" s="22">
        <f>IFERROR(__xludf.DUMMYFUNCTION("""COMPUTED_VALUE"""),17.81)</f>
        <v>17.81</v>
      </c>
      <c r="J239" s="25">
        <f>IFERROR(__xludf.DUMMYFUNCTION("""COMPUTED_VALUE"""),43600.63611111111)</f>
        <v>43600.63611</v>
      </c>
      <c r="K239" s="22">
        <f>IFERROR(__xludf.DUMMYFUNCTION("""COMPUTED_VALUE"""),18.25)</f>
        <v>18.25</v>
      </c>
      <c r="M239" s="22" t="str">
        <f t="shared" si="3"/>
        <v/>
      </c>
      <c r="N239" s="22" t="str">
        <f t="shared" si="1"/>
        <v/>
      </c>
    </row>
    <row r="240" ht="15.75" customHeight="1">
      <c r="A240" s="25">
        <f>IFERROR(__xludf.DUMMYFUNCTION("""COMPUTED_VALUE"""),43601.66666666667)</f>
        <v>43601.66667</v>
      </c>
      <c r="B240" s="22">
        <f>IFERROR(__xludf.DUMMYFUNCTION("""COMPUTED_VALUE"""),2876.32)</f>
        <v>2876.32</v>
      </c>
      <c r="C240" s="25">
        <f>IFERROR(__xludf.DUMMYFUNCTION("""COMPUTED_VALUE"""),43601.63611111111)</f>
        <v>43601.63611</v>
      </c>
      <c r="D240" s="22">
        <f>IFERROR(__xludf.DUMMYFUNCTION("""COMPUTED_VALUE"""),15.29)</f>
        <v>15.29</v>
      </c>
      <c r="E240" s="26">
        <f t="shared" si="2"/>
        <v>0.00889524932</v>
      </c>
      <c r="F240" s="25">
        <f>IFERROR(__xludf.DUMMYFUNCTION("""COMPUTED_VALUE"""),43601.63611111111)</f>
        <v>43601.63611</v>
      </c>
      <c r="G240" s="22">
        <f>IFERROR(__xludf.DUMMYFUNCTION("""COMPUTED_VALUE"""),16.74)</f>
        <v>16.74</v>
      </c>
      <c r="H240" s="25">
        <f>IFERROR(__xludf.DUMMYFUNCTION("""COMPUTED_VALUE"""),43601.63611111111)</f>
        <v>43601.63611</v>
      </c>
      <c r="I240" s="22">
        <f>IFERROR(__xludf.DUMMYFUNCTION("""COMPUTED_VALUE"""),17.35)</f>
        <v>17.35</v>
      </c>
      <c r="J240" s="25">
        <f>IFERROR(__xludf.DUMMYFUNCTION("""COMPUTED_VALUE"""),43601.63611111111)</f>
        <v>43601.63611</v>
      </c>
      <c r="K240" s="22">
        <f>IFERROR(__xludf.DUMMYFUNCTION("""COMPUTED_VALUE"""),17.96)</f>
        <v>17.96</v>
      </c>
      <c r="M240" s="22" t="str">
        <f t="shared" si="3"/>
        <v/>
      </c>
      <c r="N240" s="22" t="str">
        <f t="shared" si="1"/>
        <v/>
      </c>
    </row>
    <row r="241" ht="15.75" customHeight="1">
      <c r="A241" s="25">
        <f>IFERROR(__xludf.DUMMYFUNCTION("""COMPUTED_VALUE"""),43602.66666666667)</f>
        <v>43602.66667</v>
      </c>
      <c r="B241" s="22">
        <f>IFERROR(__xludf.DUMMYFUNCTION("""COMPUTED_VALUE"""),2859.53)</f>
        <v>2859.53</v>
      </c>
      <c r="C241" s="25">
        <f>IFERROR(__xludf.DUMMYFUNCTION("""COMPUTED_VALUE"""),43602.63611111111)</f>
        <v>43602.63611</v>
      </c>
      <c r="D241" s="22">
        <f>IFERROR(__xludf.DUMMYFUNCTION("""COMPUTED_VALUE"""),15.96)</f>
        <v>15.96</v>
      </c>
      <c r="E241" s="26">
        <f t="shared" si="2"/>
        <v>-0.005837319909</v>
      </c>
      <c r="F241" s="25">
        <f>IFERROR(__xludf.DUMMYFUNCTION("""COMPUTED_VALUE"""),43602.63611111111)</f>
        <v>43602.63611</v>
      </c>
      <c r="G241" s="22">
        <f>IFERROR(__xludf.DUMMYFUNCTION("""COMPUTED_VALUE"""),17.06)</f>
        <v>17.06</v>
      </c>
      <c r="H241" s="25">
        <f>IFERROR(__xludf.DUMMYFUNCTION("""COMPUTED_VALUE"""),43602.63611111111)</f>
        <v>43602.63611</v>
      </c>
      <c r="I241" s="22">
        <f>IFERROR(__xludf.DUMMYFUNCTION("""COMPUTED_VALUE"""),17.57)</f>
        <v>17.57</v>
      </c>
      <c r="J241" s="25">
        <f>IFERROR(__xludf.DUMMYFUNCTION("""COMPUTED_VALUE"""),43602.63611111111)</f>
        <v>43602.63611</v>
      </c>
      <c r="K241" s="22">
        <f>IFERROR(__xludf.DUMMYFUNCTION("""COMPUTED_VALUE"""),18.1)</f>
        <v>18.1</v>
      </c>
      <c r="M241" s="22" t="str">
        <f t="shared" si="3"/>
        <v/>
      </c>
      <c r="N241" s="22" t="str">
        <f t="shared" si="1"/>
        <v/>
      </c>
    </row>
    <row r="242" ht="15.75" customHeight="1">
      <c r="A242" s="25">
        <f>IFERROR(__xludf.DUMMYFUNCTION("""COMPUTED_VALUE"""),43605.66666666667)</f>
        <v>43605.66667</v>
      </c>
      <c r="B242" s="22">
        <f>IFERROR(__xludf.DUMMYFUNCTION("""COMPUTED_VALUE"""),2840.23)</f>
        <v>2840.23</v>
      </c>
      <c r="C242" s="25">
        <f>IFERROR(__xludf.DUMMYFUNCTION("""COMPUTED_VALUE"""),43605.63611111111)</f>
        <v>43605.63611</v>
      </c>
      <c r="D242" s="22">
        <f>IFERROR(__xludf.DUMMYFUNCTION("""COMPUTED_VALUE"""),16.31)</f>
        <v>16.31</v>
      </c>
      <c r="E242" s="26">
        <f t="shared" si="2"/>
        <v>-0.006749360909</v>
      </c>
      <c r="F242" s="25">
        <f>IFERROR(__xludf.DUMMYFUNCTION("""COMPUTED_VALUE"""),43605.63611111111)</f>
        <v>43605.63611</v>
      </c>
      <c r="G242" s="22">
        <f>IFERROR(__xludf.DUMMYFUNCTION("""COMPUTED_VALUE"""),17.29)</f>
        <v>17.29</v>
      </c>
      <c r="H242" s="25">
        <f>IFERROR(__xludf.DUMMYFUNCTION("""COMPUTED_VALUE"""),43605.63611111111)</f>
        <v>43605.63611</v>
      </c>
      <c r="I242" s="22">
        <f>IFERROR(__xludf.DUMMYFUNCTION("""COMPUTED_VALUE"""),17.69)</f>
        <v>17.69</v>
      </c>
      <c r="J242" s="25">
        <f>IFERROR(__xludf.DUMMYFUNCTION("""COMPUTED_VALUE"""),43605.63611111111)</f>
        <v>43605.63611</v>
      </c>
      <c r="K242" s="22">
        <f>IFERROR(__xludf.DUMMYFUNCTION("""COMPUTED_VALUE"""),18.21)</f>
        <v>18.21</v>
      </c>
      <c r="M242" s="22" t="str">
        <f t="shared" si="3"/>
        <v/>
      </c>
      <c r="N242" s="22" t="str">
        <f t="shared" si="1"/>
        <v/>
      </c>
    </row>
    <row r="243" ht="15.75" customHeight="1">
      <c r="A243" s="25">
        <f>IFERROR(__xludf.DUMMYFUNCTION("""COMPUTED_VALUE"""),43606.66666666667)</f>
        <v>43606.66667</v>
      </c>
      <c r="B243" s="22">
        <f>IFERROR(__xludf.DUMMYFUNCTION("""COMPUTED_VALUE"""),2864.36)</f>
        <v>2864.36</v>
      </c>
      <c r="C243" s="25">
        <f>IFERROR(__xludf.DUMMYFUNCTION("""COMPUTED_VALUE"""),43606.63611111111)</f>
        <v>43606.63611</v>
      </c>
      <c r="D243" s="22">
        <f>IFERROR(__xludf.DUMMYFUNCTION("""COMPUTED_VALUE"""),14.95)</f>
        <v>14.95</v>
      </c>
      <c r="E243" s="26">
        <f t="shared" si="2"/>
        <v>0.008495790834</v>
      </c>
      <c r="F243" s="25">
        <f>IFERROR(__xludf.DUMMYFUNCTION("""COMPUTED_VALUE"""),43606.63611111111)</f>
        <v>43606.63611</v>
      </c>
      <c r="G243" s="22">
        <f>IFERROR(__xludf.DUMMYFUNCTION("""COMPUTED_VALUE"""),16.42)</f>
        <v>16.42</v>
      </c>
      <c r="H243" s="25">
        <f>IFERROR(__xludf.DUMMYFUNCTION("""COMPUTED_VALUE"""),43606.63611111111)</f>
        <v>43606.63611</v>
      </c>
      <c r="I243" s="22">
        <f>IFERROR(__xludf.DUMMYFUNCTION("""COMPUTED_VALUE"""),17.12)</f>
        <v>17.12</v>
      </c>
      <c r="J243" s="25">
        <f>IFERROR(__xludf.DUMMYFUNCTION("""COMPUTED_VALUE"""),43606.63611111111)</f>
        <v>43606.63611</v>
      </c>
      <c r="K243" s="22">
        <f>IFERROR(__xludf.DUMMYFUNCTION("""COMPUTED_VALUE"""),17.81)</f>
        <v>17.81</v>
      </c>
      <c r="M243" s="22" t="str">
        <f t="shared" si="3"/>
        <v/>
      </c>
      <c r="N243" s="22" t="str">
        <f t="shared" si="1"/>
        <v/>
      </c>
    </row>
    <row r="244" ht="15.75" customHeight="1">
      <c r="A244" s="25">
        <f>IFERROR(__xludf.DUMMYFUNCTION("""COMPUTED_VALUE"""),43607.66666666667)</f>
        <v>43607.66667</v>
      </c>
      <c r="B244" s="22">
        <f>IFERROR(__xludf.DUMMYFUNCTION("""COMPUTED_VALUE"""),2856.27)</f>
        <v>2856.27</v>
      </c>
      <c r="C244" s="25">
        <f>IFERROR(__xludf.DUMMYFUNCTION("""COMPUTED_VALUE"""),43607.63611111111)</f>
        <v>43607.63611</v>
      </c>
      <c r="D244" s="22">
        <f>IFERROR(__xludf.DUMMYFUNCTION("""COMPUTED_VALUE"""),14.75)</f>
        <v>14.75</v>
      </c>
      <c r="E244" s="26">
        <f t="shared" si="2"/>
        <v>-0.002824365652</v>
      </c>
      <c r="F244" s="25">
        <f>IFERROR(__xludf.DUMMYFUNCTION("""COMPUTED_VALUE"""),43607.63611111111)</f>
        <v>43607.63611</v>
      </c>
      <c r="G244" s="22">
        <f>IFERROR(__xludf.DUMMYFUNCTION("""COMPUTED_VALUE"""),16.42)</f>
        <v>16.42</v>
      </c>
      <c r="H244" s="25">
        <f>IFERROR(__xludf.DUMMYFUNCTION("""COMPUTED_VALUE"""),43607.63611111111)</f>
        <v>43607.63611</v>
      </c>
      <c r="I244" s="22">
        <f>IFERROR(__xludf.DUMMYFUNCTION("""COMPUTED_VALUE"""),17.1)</f>
        <v>17.1</v>
      </c>
      <c r="J244" s="25">
        <f>IFERROR(__xludf.DUMMYFUNCTION("""COMPUTED_VALUE"""),43607.63611111111)</f>
        <v>43607.63611</v>
      </c>
      <c r="K244" s="22">
        <f>IFERROR(__xludf.DUMMYFUNCTION("""COMPUTED_VALUE"""),17.8)</f>
        <v>17.8</v>
      </c>
      <c r="M244" s="22" t="str">
        <f t="shared" si="3"/>
        <v/>
      </c>
      <c r="N244" s="22" t="str">
        <f t="shared" si="1"/>
        <v/>
      </c>
    </row>
    <row r="245" ht="15.75" customHeight="1">
      <c r="A245" s="25">
        <f>IFERROR(__xludf.DUMMYFUNCTION("""COMPUTED_VALUE"""),43608.66666666667)</f>
        <v>43608.66667</v>
      </c>
      <c r="B245" s="22">
        <f>IFERROR(__xludf.DUMMYFUNCTION("""COMPUTED_VALUE"""),2822.24)</f>
        <v>2822.24</v>
      </c>
      <c r="C245" s="25">
        <f>IFERROR(__xludf.DUMMYFUNCTION("""COMPUTED_VALUE"""),43608.63611111111)</f>
        <v>43608.63611</v>
      </c>
      <c r="D245" s="22">
        <f>IFERROR(__xludf.DUMMYFUNCTION("""COMPUTED_VALUE"""),16.92)</f>
        <v>16.92</v>
      </c>
      <c r="E245" s="26">
        <f t="shared" si="2"/>
        <v>-0.01191413977</v>
      </c>
      <c r="F245" s="25">
        <f>IFERROR(__xludf.DUMMYFUNCTION("""COMPUTED_VALUE"""),43608.63611111111)</f>
        <v>43608.63611</v>
      </c>
      <c r="G245" s="22">
        <f>IFERROR(__xludf.DUMMYFUNCTION("""COMPUTED_VALUE"""),17.69)</f>
        <v>17.69</v>
      </c>
      <c r="H245" s="25">
        <f>IFERROR(__xludf.DUMMYFUNCTION("""COMPUTED_VALUE"""),43608.63611111111)</f>
        <v>43608.63611</v>
      </c>
      <c r="I245" s="22">
        <f>IFERROR(__xludf.DUMMYFUNCTION("""COMPUTED_VALUE"""),18.01)</f>
        <v>18.01</v>
      </c>
      <c r="J245" s="25">
        <f>IFERROR(__xludf.DUMMYFUNCTION("""COMPUTED_VALUE"""),43608.63611111111)</f>
        <v>43608.63611</v>
      </c>
      <c r="K245" s="22">
        <f>IFERROR(__xludf.DUMMYFUNCTION("""COMPUTED_VALUE"""),18.43)</f>
        <v>18.43</v>
      </c>
      <c r="M245" s="22" t="str">
        <f t="shared" si="3"/>
        <v/>
      </c>
      <c r="N245" s="22" t="str">
        <f t="shared" si="1"/>
        <v/>
      </c>
    </row>
    <row r="246" ht="15.75" customHeight="1">
      <c r="A246" s="25">
        <f>IFERROR(__xludf.DUMMYFUNCTION("""COMPUTED_VALUE"""),43609.66666666667)</f>
        <v>43609.66667</v>
      </c>
      <c r="B246" s="22">
        <f>IFERROR(__xludf.DUMMYFUNCTION("""COMPUTED_VALUE"""),2826.06)</f>
        <v>2826.06</v>
      </c>
      <c r="C246" s="25">
        <f>IFERROR(__xludf.DUMMYFUNCTION("""COMPUTED_VALUE"""),43609.63611111111)</f>
        <v>43609.63611</v>
      </c>
      <c r="D246" s="22">
        <f>IFERROR(__xludf.DUMMYFUNCTION("""COMPUTED_VALUE"""),15.85)</f>
        <v>15.85</v>
      </c>
      <c r="E246" s="26">
        <f t="shared" si="2"/>
        <v>0.001353534781</v>
      </c>
      <c r="F246" s="25">
        <f>IFERROR(__xludf.DUMMYFUNCTION("""COMPUTED_VALUE"""),43609.63611111111)</f>
        <v>43609.63611</v>
      </c>
      <c r="G246" s="22">
        <f>IFERROR(__xludf.DUMMYFUNCTION("""COMPUTED_VALUE"""),17.09)</f>
        <v>17.09</v>
      </c>
      <c r="H246" s="25">
        <f>IFERROR(__xludf.DUMMYFUNCTION("""COMPUTED_VALUE"""),43609.63611111111)</f>
        <v>43609.63611</v>
      </c>
      <c r="I246" s="22">
        <f>IFERROR(__xludf.DUMMYFUNCTION("""COMPUTED_VALUE"""),17.72)</f>
        <v>17.72</v>
      </c>
      <c r="J246" s="25">
        <f>IFERROR(__xludf.DUMMYFUNCTION("""COMPUTED_VALUE"""),43609.63611111111)</f>
        <v>43609.63611</v>
      </c>
      <c r="K246" s="22">
        <f>IFERROR(__xludf.DUMMYFUNCTION("""COMPUTED_VALUE"""),18.27)</f>
        <v>18.27</v>
      </c>
      <c r="M246" s="22" t="str">
        <f t="shared" si="3"/>
        <v/>
      </c>
      <c r="N246" s="22" t="str">
        <f t="shared" si="1"/>
        <v/>
      </c>
    </row>
    <row r="247" ht="15.75" customHeight="1">
      <c r="A247" s="25">
        <f>IFERROR(__xludf.DUMMYFUNCTION("""COMPUTED_VALUE"""),43613.66666666667)</f>
        <v>43613.66667</v>
      </c>
      <c r="B247" s="22">
        <f>IFERROR(__xludf.DUMMYFUNCTION("""COMPUTED_VALUE"""),2802.39)</f>
        <v>2802.39</v>
      </c>
      <c r="C247" s="25">
        <f>IFERROR(__xludf.DUMMYFUNCTION("""COMPUTED_VALUE"""),43613.63611111111)</f>
        <v>43613.63611</v>
      </c>
      <c r="D247" s="22">
        <f>IFERROR(__xludf.DUMMYFUNCTION("""COMPUTED_VALUE"""),17.5)</f>
        <v>17.5</v>
      </c>
      <c r="E247" s="26">
        <f t="shared" si="2"/>
        <v>-0.008375618352</v>
      </c>
      <c r="F247" s="25">
        <f>IFERROR(__xludf.DUMMYFUNCTION("""COMPUTED_VALUE"""),43613.63611111111)</f>
        <v>43613.63611</v>
      </c>
      <c r="G247" s="22">
        <f>IFERROR(__xludf.DUMMYFUNCTION("""COMPUTED_VALUE"""),17.9)</f>
        <v>17.9</v>
      </c>
      <c r="H247" s="25">
        <f>IFERROR(__xludf.DUMMYFUNCTION("""COMPUTED_VALUE"""),43613.63611111111)</f>
        <v>43613.63611</v>
      </c>
      <c r="I247" s="22">
        <f>IFERROR(__xludf.DUMMYFUNCTION("""COMPUTED_VALUE"""),18.29)</f>
        <v>18.29</v>
      </c>
      <c r="J247" s="25">
        <f>IFERROR(__xludf.DUMMYFUNCTION("""COMPUTED_VALUE"""),43613.63611111111)</f>
        <v>43613.63611</v>
      </c>
      <c r="K247" s="22">
        <f>IFERROR(__xludf.DUMMYFUNCTION("""COMPUTED_VALUE"""),18.61)</f>
        <v>18.61</v>
      </c>
      <c r="M247" s="22" t="str">
        <f t="shared" si="3"/>
        <v/>
      </c>
      <c r="N247" s="22" t="str">
        <f t="shared" si="1"/>
        <v/>
      </c>
    </row>
    <row r="248" ht="15.75" customHeight="1">
      <c r="A248" s="25">
        <f>IFERROR(__xludf.DUMMYFUNCTION("""COMPUTED_VALUE"""),43614.66666666667)</f>
        <v>43614.66667</v>
      </c>
      <c r="B248" s="22">
        <f>IFERROR(__xludf.DUMMYFUNCTION("""COMPUTED_VALUE"""),2783.02)</f>
        <v>2783.02</v>
      </c>
      <c r="C248" s="25">
        <f>IFERROR(__xludf.DUMMYFUNCTION("""COMPUTED_VALUE"""),43614.63611111111)</f>
        <v>43614.63611</v>
      </c>
      <c r="D248" s="22">
        <f>IFERROR(__xludf.DUMMYFUNCTION("""COMPUTED_VALUE"""),17.9)</f>
        <v>17.9</v>
      </c>
      <c r="E248" s="26">
        <f t="shared" si="2"/>
        <v>-0.006911957294</v>
      </c>
      <c r="F248" s="25">
        <f>IFERROR(__xludf.DUMMYFUNCTION("""COMPUTED_VALUE"""),43614.63611111111)</f>
        <v>43614.63611</v>
      </c>
      <c r="G248" s="22">
        <f>IFERROR(__xludf.DUMMYFUNCTION("""COMPUTED_VALUE"""),18.24)</f>
        <v>18.24</v>
      </c>
      <c r="H248" s="25">
        <f>IFERROR(__xludf.DUMMYFUNCTION("""COMPUTED_VALUE"""),43614.63611111111)</f>
        <v>43614.63611</v>
      </c>
      <c r="I248" s="22">
        <f>IFERROR(__xludf.DUMMYFUNCTION("""COMPUTED_VALUE"""),18.61)</f>
        <v>18.61</v>
      </c>
      <c r="J248" s="25">
        <f>IFERROR(__xludf.DUMMYFUNCTION("""COMPUTED_VALUE"""),43614.63611111111)</f>
        <v>43614.63611</v>
      </c>
      <c r="K248" s="22">
        <f>IFERROR(__xludf.DUMMYFUNCTION("""COMPUTED_VALUE"""),18.89)</f>
        <v>18.89</v>
      </c>
      <c r="M248" s="22" t="str">
        <f t="shared" si="3"/>
        <v/>
      </c>
      <c r="N248" s="22" t="str">
        <f t="shared" si="1"/>
        <v/>
      </c>
    </row>
    <row r="249" ht="15.75" customHeight="1">
      <c r="A249" s="25">
        <f>IFERROR(__xludf.DUMMYFUNCTION("""COMPUTED_VALUE"""),43615.66666666667)</f>
        <v>43615.66667</v>
      </c>
      <c r="B249" s="22">
        <f>IFERROR(__xludf.DUMMYFUNCTION("""COMPUTED_VALUE"""),2788.86)</f>
        <v>2788.86</v>
      </c>
      <c r="C249" s="25">
        <f>IFERROR(__xludf.DUMMYFUNCTION("""COMPUTED_VALUE"""),43615.63611111111)</f>
        <v>43615.63611</v>
      </c>
      <c r="D249" s="22">
        <f>IFERROR(__xludf.DUMMYFUNCTION("""COMPUTED_VALUE"""),17.3)</f>
        <v>17.3</v>
      </c>
      <c r="E249" s="26">
        <f t="shared" si="2"/>
        <v>0.002098439824</v>
      </c>
      <c r="F249" s="25">
        <f>IFERROR(__xludf.DUMMYFUNCTION("""COMPUTED_VALUE"""),43615.63611111111)</f>
        <v>43615.63611</v>
      </c>
      <c r="G249" s="22">
        <f>IFERROR(__xludf.DUMMYFUNCTION("""COMPUTED_VALUE"""),17.96)</f>
        <v>17.96</v>
      </c>
      <c r="H249" s="25">
        <f>IFERROR(__xludf.DUMMYFUNCTION("""COMPUTED_VALUE"""),43615.63611111111)</f>
        <v>43615.63611</v>
      </c>
      <c r="I249" s="22">
        <f>IFERROR(__xludf.DUMMYFUNCTION("""COMPUTED_VALUE"""),18.48)</f>
        <v>18.48</v>
      </c>
      <c r="J249" s="25">
        <f>IFERROR(__xludf.DUMMYFUNCTION("""COMPUTED_VALUE"""),43615.63611111111)</f>
        <v>43615.63611</v>
      </c>
      <c r="K249" s="22">
        <f>IFERROR(__xludf.DUMMYFUNCTION("""COMPUTED_VALUE"""),18.78)</f>
        <v>18.78</v>
      </c>
      <c r="M249" s="22" t="str">
        <f t="shared" si="3"/>
        <v/>
      </c>
      <c r="N249" s="22" t="str">
        <f t="shared" si="1"/>
        <v/>
      </c>
    </row>
    <row r="250" ht="15.75" customHeight="1">
      <c r="A250" s="25">
        <f>IFERROR(__xludf.DUMMYFUNCTION("""COMPUTED_VALUE"""),43616.66666666667)</f>
        <v>43616.66667</v>
      </c>
      <c r="B250" s="22">
        <f>IFERROR(__xludf.DUMMYFUNCTION("""COMPUTED_VALUE"""),2752.06)</f>
        <v>2752.06</v>
      </c>
      <c r="C250" s="25">
        <f>IFERROR(__xludf.DUMMYFUNCTION("""COMPUTED_VALUE"""),43616.63611111111)</f>
        <v>43616.63611</v>
      </c>
      <c r="D250" s="22">
        <f>IFERROR(__xludf.DUMMYFUNCTION("""COMPUTED_VALUE"""),18.71)</f>
        <v>18.71</v>
      </c>
      <c r="E250" s="26">
        <f t="shared" si="2"/>
        <v>-0.01319535581</v>
      </c>
      <c r="F250" s="25">
        <f>IFERROR(__xludf.DUMMYFUNCTION("""COMPUTED_VALUE"""),43616.63611111111)</f>
        <v>43616.63611</v>
      </c>
      <c r="G250" s="22">
        <f>IFERROR(__xludf.DUMMYFUNCTION("""COMPUTED_VALUE"""),18.83)</f>
        <v>18.83</v>
      </c>
      <c r="H250" s="25">
        <f>IFERROR(__xludf.DUMMYFUNCTION("""COMPUTED_VALUE"""),43616.63611111111)</f>
        <v>43616.63611</v>
      </c>
      <c r="I250" s="22">
        <f>IFERROR(__xludf.DUMMYFUNCTION("""COMPUTED_VALUE"""),19.14)</f>
        <v>19.14</v>
      </c>
      <c r="J250" s="25">
        <f>IFERROR(__xludf.DUMMYFUNCTION("""COMPUTED_VALUE"""),43616.63611111111)</f>
        <v>43616.63611</v>
      </c>
      <c r="K250" s="22">
        <f>IFERROR(__xludf.DUMMYFUNCTION("""COMPUTED_VALUE"""),19.23)</f>
        <v>19.23</v>
      </c>
      <c r="M250" s="22" t="str">
        <f t="shared" si="3"/>
        <v/>
      </c>
      <c r="N250" s="22" t="str">
        <f t="shared" si="1"/>
        <v/>
      </c>
    </row>
    <row r="251" ht="15.75" customHeight="1">
      <c r="A251" s="25">
        <f>IFERROR(__xludf.DUMMYFUNCTION("""COMPUTED_VALUE"""),43619.66666666667)</f>
        <v>43619.66667</v>
      </c>
      <c r="B251" s="22">
        <f>IFERROR(__xludf.DUMMYFUNCTION("""COMPUTED_VALUE"""),2744.45)</f>
        <v>2744.45</v>
      </c>
      <c r="C251" s="25">
        <f>IFERROR(__xludf.DUMMYFUNCTION("""COMPUTED_VALUE"""),43619.63611111111)</f>
        <v>43619.63611</v>
      </c>
      <c r="D251" s="22">
        <f>IFERROR(__xludf.DUMMYFUNCTION("""COMPUTED_VALUE"""),18.86)</f>
        <v>18.86</v>
      </c>
      <c r="E251" s="26">
        <f t="shared" si="2"/>
        <v>-0.00276520134</v>
      </c>
      <c r="F251" s="25">
        <f>IFERROR(__xludf.DUMMYFUNCTION("""COMPUTED_VALUE"""),43619.63611111111)</f>
        <v>43619.63611</v>
      </c>
      <c r="G251" s="22">
        <f>IFERROR(__xludf.DUMMYFUNCTION("""COMPUTED_VALUE"""),18.77)</f>
        <v>18.77</v>
      </c>
      <c r="H251" s="25">
        <f>IFERROR(__xludf.DUMMYFUNCTION("""COMPUTED_VALUE"""),43619.63611111111)</f>
        <v>43619.63611</v>
      </c>
      <c r="I251" s="22">
        <f>IFERROR(__xludf.DUMMYFUNCTION("""COMPUTED_VALUE"""),19.09)</f>
        <v>19.09</v>
      </c>
      <c r="J251" s="25">
        <f>IFERROR(__xludf.DUMMYFUNCTION("""COMPUTED_VALUE"""),43619.63611111111)</f>
        <v>43619.63611</v>
      </c>
      <c r="K251" s="22">
        <f>IFERROR(__xludf.DUMMYFUNCTION("""COMPUTED_VALUE"""),19.23)</f>
        <v>19.23</v>
      </c>
      <c r="M251" s="22" t="str">
        <f t="shared" si="3"/>
        <v/>
      </c>
      <c r="N251" s="22" t="str">
        <f t="shared" si="1"/>
        <v/>
      </c>
    </row>
    <row r="252" ht="15.75" customHeight="1">
      <c r="A252" s="25">
        <f>IFERROR(__xludf.DUMMYFUNCTION("""COMPUTED_VALUE"""),43620.66666666667)</f>
        <v>43620.66667</v>
      </c>
      <c r="B252" s="22">
        <f>IFERROR(__xludf.DUMMYFUNCTION("""COMPUTED_VALUE"""),2803.27)</f>
        <v>2803.27</v>
      </c>
      <c r="C252" s="25">
        <f>IFERROR(__xludf.DUMMYFUNCTION("""COMPUTED_VALUE"""),43620.63611111111)</f>
        <v>43620.63611</v>
      </c>
      <c r="D252" s="22">
        <f>IFERROR(__xludf.DUMMYFUNCTION("""COMPUTED_VALUE"""),16.97)</f>
        <v>16.97</v>
      </c>
      <c r="E252" s="26">
        <f t="shared" si="2"/>
        <v>0.02143234528</v>
      </c>
      <c r="F252" s="25">
        <f>IFERROR(__xludf.DUMMYFUNCTION("""COMPUTED_VALUE"""),43620.63611111111)</f>
        <v>43620.63611</v>
      </c>
      <c r="G252" s="22">
        <f>IFERROR(__xludf.DUMMYFUNCTION("""COMPUTED_VALUE"""),17.59)</f>
        <v>17.59</v>
      </c>
      <c r="H252" s="25">
        <f>IFERROR(__xludf.DUMMYFUNCTION("""COMPUTED_VALUE"""),43620.63611111111)</f>
        <v>43620.63611</v>
      </c>
      <c r="I252" s="22">
        <f>IFERROR(__xludf.DUMMYFUNCTION("""COMPUTED_VALUE"""),18.17)</f>
        <v>18.17</v>
      </c>
      <c r="J252" s="25">
        <f>IFERROR(__xludf.DUMMYFUNCTION("""COMPUTED_VALUE"""),43620.63611111111)</f>
        <v>43620.63611</v>
      </c>
      <c r="K252" s="22">
        <f>IFERROR(__xludf.DUMMYFUNCTION("""COMPUTED_VALUE"""),18.53)</f>
        <v>18.53</v>
      </c>
      <c r="M252" s="22" t="str">
        <f t="shared" si="3"/>
        <v/>
      </c>
      <c r="N252" s="22" t="str">
        <f t="shared" si="1"/>
        <v/>
      </c>
    </row>
    <row r="253" ht="15.75" customHeight="1">
      <c r="A253" s="25">
        <f>IFERROR(__xludf.DUMMYFUNCTION("""COMPUTED_VALUE"""),43621.66666666667)</f>
        <v>43621.66667</v>
      </c>
      <c r="B253" s="22">
        <f>IFERROR(__xludf.DUMMYFUNCTION("""COMPUTED_VALUE"""),2826.15)</f>
        <v>2826.15</v>
      </c>
      <c r="C253" s="25">
        <f>IFERROR(__xludf.DUMMYFUNCTION("""COMPUTED_VALUE"""),43621.63611111111)</f>
        <v>43621.63611</v>
      </c>
      <c r="D253" s="22">
        <f>IFERROR(__xludf.DUMMYFUNCTION("""COMPUTED_VALUE"""),16.09)</f>
        <v>16.09</v>
      </c>
      <c r="E253" s="26">
        <f t="shared" si="2"/>
        <v>0.008161896642</v>
      </c>
      <c r="F253" s="25">
        <f>IFERROR(__xludf.DUMMYFUNCTION("""COMPUTED_VALUE"""),43621.63611111111)</f>
        <v>43621.63611</v>
      </c>
      <c r="G253" s="22">
        <f>IFERROR(__xludf.DUMMYFUNCTION("""COMPUTED_VALUE"""),17.13)</f>
        <v>17.13</v>
      </c>
      <c r="H253" s="25">
        <f>IFERROR(__xludf.DUMMYFUNCTION("""COMPUTED_VALUE"""),43621.63611111111)</f>
        <v>43621.63611</v>
      </c>
      <c r="I253" s="22">
        <f>IFERROR(__xludf.DUMMYFUNCTION("""COMPUTED_VALUE"""),17.82)</f>
        <v>17.82</v>
      </c>
      <c r="J253" s="25">
        <f>IFERROR(__xludf.DUMMYFUNCTION("""COMPUTED_VALUE"""),43621.63611111111)</f>
        <v>43621.63611</v>
      </c>
      <c r="K253" s="22">
        <f>IFERROR(__xludf.DUMMYFUNCTION("""COMPUTED_VALUE"""),18.38)</f>
        <v>18.38</v>
      </c>
      <c r="M253" s="22" t="str">
        <f t="shared" si="3"/>
        <v/>
      </c>
      <c r="N253" s="22" t="str">
        <f t="shared" si="1"/>
        <v/>
      </c>
    </row>
    <row r="254" ht="15.75" customHeight="1">
      <c r="A254" s="25">
        <f>IFERROR(__xludf.DUMMYFUNCTION("""COMPUTED_VALUE"""),43622.66666666667)</f>
        <v>43622.66667</v>
      </c>
      <c r="B254" s="22">
        <f>IFERROR(__xludf.DUMMYFUNCTION("""COMPUTED_VALUE"""),2843.49)</f>
        <v>2843.49</v>
      </c>
      <c r="C254" s="25">
        <f>IFERROR(__xludf.DUMMYFUNCTION("""COMPUTED_VALUE"""),43622.63611111111)</f>
        <v>43622.63611</v>
      </c>
      <c r="D254" s="22">
        <f>IFERROR(__xludf.DUMMYFUNCTION("""COMPUTED_VALUE"""),15.93)</f>
        <v>15.93</v>
      </c>
      <c r="E254" s="26">
        <f t="shared" si="2"/>
        <v>0.006135555438</v>
      </c>
      <c r="F254" s="25">
        <f>IFERROR(__xludf.DUMMYFUNCTION("""COMPUTED_VALUE"""),43622.63611111111)</f>
        <v>43622.63611</v>
      </c>
      <c r="G254" s="22">
        <f>IFERROR(__xludf.DUMMYFUNCTION("""COMPUTED_VALUE"""),16.92)</f>
        <v>16.92</v>
      </c>
      <c r="H254" s="25">
        <f>IFERROR(__xludf.DUMMYFUNCTION("""COMPUTED_VALUE"""),43622.63611111111)</f>
        <v>43622.63611</v>
      </c>
      <c r="I254" s="22">
        <f>IFERROR(__xludf.DUMMYFUNCTION("""COMPUTED_VALUE"""),17.67)</f>
        <v>17.67</v>
      </c>
      <c r="J254" s="25">
        <f>IFERROR(__xludf.DUMMYFUNCTION("""COMPUTED_VALUE"""),43622.63611111111)</f>
        <v>43622.63611</v>
      </c>
      <c r="K254" s="22">
        <f>IFERROR(__xludf.DUMMYFUNCTION("""COMPUTED_VALUE"""),18.17)</f>
        <v>18.17</v>
      </c>
      <c r="M254" s="22" t="str">
        <f t="shared" si="3"/>
        <v/>
      </c>
      <c r="N254" s="22" t="str">
        <f t="shared" si="1"/>
        <v/>
      </c>
    </row>
    <row r="255" ht="15.75" customHeight="1">
      <c r="A255" s="25">
        <f>IFERROR(__xludf.DUMMYFUNCTION("""COMPUTED_VALUE"""),43623.66666666667)</f>
        <v>43623.66667</v>
      </c>
      <c r="B255" s="22">
        <f>IFERROR(__xludf.DUMMYFUNCTION("""COMPUTED_VALUE"""),2873.34)</f>
        <v>2873.34</v>
      </c>
      <c r="C255" s="25">
        <f>IFERROR(__xludf.DUMMYFUNCTION("""COMPUTED_VALUE"""),43623.63611111111)</f>
        <v>43623.63611</v>
      </c>
      <c r="D255" s="22">
        <f>IFERROR(__xludf.DUMMYFUNCTION("""COMPUTED_VALUE"""),16.3)</f>
        <v>16.3</v>
      </c>
      <c r="E255" s="26">
        <f t="shared" si="2"/>
        <v>0.01049766308</v>
      </c>
      <c r="F255" s="25">
        <f>IFERROR(__xludf.DUMMYFUNCTION("""COMPUTED_VALUE"""),43623.63611111111)</f>
        <v>43623.63611</v>
      </c>
      <c r="G255" s="22">
        <f>IFERROR(__xludf.DUMMYFUNCTION("""COMPUTED_VALUE"""),17.15)</f>
        <v>17.15</v>
      </c>
      <c r="H255" s="25">
        <f>IFERROR(__xludf.DUMMYFUNCTION("""COMPUTED_VALUE"""),43623.63611111111)</f>
        <v>43623.63611</v>
      </c>
      <c r="I255" s="22">
        <f>IFERROR(__xludf.DUMMYFUNCTION("""COMPUTED_VALUE"""),17.86)</f>
        <v>17.86</v>
      </c>
      <c r="J255" s="25">
        <f>IFERROR(__xludf.DUMMYFUNCTION("""COMPUTED_VALUE"""),43623.63611111111)</f>
        <v>43623.63611</v>
      </c>
      <c r="K255" s="22">
        <f>IFERROR(__xludf.DUMMYFUNCTION("""COMPUTED_VALUE"""),18.27)</f>
        <v>18.27</v>
      </c>
      <c r="M255" s="22" t="str">
        <f t="shared" si="3"/>
        <v/>
      </c>
      <c r="N255" s="22" t="str">
        <f t="shared" si="1"/>
        <v/>
      </c>
    </row>
    <row r="256" ht="15.75" customHeight="1">
      <c r="A256" s="25">
        <f>IFERROR(__xludf.DUMMYFUNCTION("""COMPUTED_VALUE"""),43626.66666666667)</f>
        <v>43626.66667</v>
      </c>
      <c r="B256" s="22">
        <f>IFERROR(__xludf.DUMMYFUNCTION("""COMPUTED_VALUE"""),2886.73)</f>
        <v>2886.73</v>
      </c>
      <c r="C256" s="25">
        <f>IFERROR(__xludf.DUMMYFUNCTION("""COMPUTED_VALUE"""),43626.63611111111)</f>
        <v>43626.63611</v>
      </c>
      <c r="D256" s="22">
        <f>IFERROR(__xludf.DUMMYFUNCTION("""COMPUTED_VALUE"""),15.94)</f>
        <v>15.94</v>
      </c>
      <c r="E256" s="26">
        <f t="shared" si="2"/>
        <v>0.004660081995</v>
      </c>
      <c r="F256" s="25">
        <f>IFERROR(__xludf.DUMMYFUNCTION("""COMPUTED_VALUE"""),43626.63611111111)</f>
        <v>43626.63611</v>
      </c>
      <c r="G256" s="22">
        <f>IFERROR(__xludf.DUMMYFUNCTION("""COMPUTED_VALUE"""),16.88)</f>
        <v>16.88</v>
      </c>
      <c r="H256" s="25">
        <f>IFERROR(__xludf.DUMMYFUNCTION("""COMPUTED_VALUE"""),43626.63611111111)</f>
        <v>43626.63611</v>
      </c>
      <c r="I256" s="22">
        <f>IFERROR(__xludf.DUMMYFUNCTION("""COMPUTED_VALUE"""),17.66)</f>
        <v>17.66</v>
      </c>
      <c r="J256" s="25">
        <f>IFERROR(__xludf.DUMMYFUNCTION("""COMPUTED_VALUE"""),43626.63611111111)</f>
        <v>43626.63611</v>
      </c>
      <c r="K256" s="22">
        <f>IFERROR(__xludf.DUMMYFUNCTION("""COMPUTED_VALUE"""),18.18)</f>
        <v>18.18</v>
      </c>
      <c r="M256" s="22" t="str">
        <f t="shared" si="3"/>
        <v/>
      </c>
      <c r="N256" s="22" t="str">
        <f t="shared" si="1"/>
        <v/>
      </c>
    </row>
    <row r="257" ht="15.75" customHeight="1">
      <c r="A257" s="25">
        <f>IFERROR(__xludf.DUMMYFUNCTION("""COMPUTED_VALUE"""),43627.66666666667)</f>
        <v>43627.66667</v>
      </c>
      <c r="B257" s="22">
        <f>IFERROR(__xludf.DUMMYFUNCTION("""COMPUTED_VALUE"""),2885.72)</f>
        <v>2885.72</v>
      </c>
      <c r="C257" s="25">
        <f>IFERROR(__xludf.DUMMYFUNCTION("""COMPUTED_VALUE"""),43627.63611111111)</f>
        <v>43627.63611</v>
      </c>
      <c r="D257" s="22">
        <f>IFERROR(__xludf.DUMMYFUNCTION("""COMPUTED_VALUE"""),15.99)</f>
        <v>15.99</v>
      </c>
      <c r="E257" s="26">
        <f t="shared" si="2"/>
        <v>-0.0003498768503</v>
      </c>
      <c r="F257" s="25">
        <f>IFERROR(__xludf.DUMMYFUNCTION("""COMPUTED_VALUE"""),43627.63611111111)</f>
        <v>43627.63611</v>
      </c>
      <c r="G257" s="22">
        <f>IFERROR(__xludf.DUMMYFUNCTION("""COMPUTED_VALUE"""),16.99)</f>
        <v>16.99</v>
      </c>
      <c r="H257" s="25">
        <f>IFERROR(__xludf.DUMMYFUNCTION("""COMPUTED_VALUE"""),43627.63611111111)</f>
        <v>43627.63611</v>
      </c>
      <c r="I257" s="22">
        <f>IFERROR(__xludf.DUMMYFUNCTION("""COMPUTED_VALUE"""),17.81)</f>
        <v>17.81</v>
      </c>
      <c r="J257" s="25">
        <f>IFERROR(__xludf.DUMMYFUNCTION("""COMPUTED_VALUE"""),43627.63611111111)</f>
        <v>43627.63611</v>
      </c>
      <c r="K257" s="22">
        <f>IFERROR(__xludf.DUMMYFUNCTION("""COMPUTED_VALUE"""),18.39)</f>
        <v>18.39</v>
      </c>
      <c r="M257" s="22" t="str">
        <f t="shared" si="3"/>
        <v/>
      </c>
      <c r="N257" s="22" t="str">
        <f t="shared" si="1"/>
        <v/>
      </c>
    </row>
    <row r="258" ht="15.75" customHeight="1">
      <c r="A258" s="25">
        <f>IFERROR(__xludf.DUMMYFUNCTION("""COMPUTED_VALUE"""),43628.66666666667)</f>
        <v>43628.66667</v>
      </c>
      <c r="B258" s="22">
        <f>IFERROR(__xludf.DUMMYFUNCTION("""COMPUTED_VALUE"""),2879.84)</f>
        <v>2879.84</v>
      </c>
      <c r="C258" s="25">
        <f>IFERROR(__xludf.DUMMYFUNCTION("""COMPUTED_VALUE"""),43628.63611111111)</f>
        <v>43628.63611</v>
      </c>
      <c r="D258" s="22">
        <f>IFERROR(__xludf.DUMMYFUNCTION("""COMPUTED_VALUE"""),15.91)</f>
        <v>15.91</v>
      </c>
      <c r="E258" s="26">
        <f t="shared" si="2"/>
        <v>-0.002037619727</v>
      </c>
      <c r="F258" s="25">
        <f>IFERROR(__xludf.DUMMYFUNCTION("""COMPUTED_VALUE"""),43628.63611111111)</f>
        <v>43628.63611</v>
      </c>
      <c r="G258" s="22">
        <f>IFERROR(__xludf.DUMMYFUNCTION("""COMPUTED_VALUE"""),17.05)</f>
        <v>17.05</v>
      </c>
      <c r="H258" s="25">
        <f>IFERROR(__xludf.DUMMYFUNCTION("""COMPUTED_VALUE"""),43628.63611111111)</f>
        <v>43628.63611</v>
      </c>
      <c r="I258" s="22">
        <f>IFERROR(__xludf.DUMMYFUNCTION("""COMPUTED_VALUE"""),17.82)</f>
        <v>17.82</v>
      </c>
      <c r="J258" s="25">
        <f>IFERROR(__xludf.DUMMYFUNCTION("""COMPUTED_VALUE"""),43628.63611111111)</f>
        <v>43628.63611</v>
      </c>
      <c r="K258" s="22">
        <f>IFERROR(__xludf.DUMMYFUNCTION("""COMPUTED_VALUE"""),18.37)</f>
        <v>18.37</v>
      </c>
      <c r="M258" s="22" t="str">
        <f t="shared" si="3"/>
        <v/>
      </c>
      <c r="N258" s="22" t="str">
        <f t="shared" si="1"/>
        <v/>
      </c>
    </row>
    <row r="259" ht="15.75" customHeight="1">
      <c r="A259" s="25">
        <f>IFERROR(__xludf.DUMMYFUNCTION("""COMPUTED_VALUE"""),43629.66666666667)</f>
        <v>43629.66667</v>
      </c>
      <c r="B259" s="22">
        <f>IFERROR(__xludf.DUMMYFUNCTION("""COMPUTED_VALUE"""),2891.64)</f>
        <v>2891.64</v>
      </c>
      <c r="C259" s="25">
        <f>IFERROR(__xludf.DUMMYFUNCTION("""COMPUTED_VALUE"""),43629.63611111111)</f>
        <v>43629.63611</v>
      </c>
      <c r="D259" s="22">
        <f>IFERROR(__xludf.DUMMYFUNCTION("""COMPUTED_VALUE"""),15.82)</f>
        <v>15.82</v>
      </c>
      <c r="E259" s="26">
        <f t="shared" si="2"/>
        <v>0.004097449858</v>
      </c>
      <c r="F259" s="25">
        <f>IFERROR(__xludf.DUMMYFUNCTION("""COMPUTED_VALUE"""),43629.63611111111)</f>
        <v>43629.63611</v>
      </c>
      <c r="G259" s="22">
        <f>IFERROR(__xludf.DUMMYFUNCTION("""COMPUTED_VALUE"""),16.86)</f>
        <v>16.86</v>
      </c>
      <c r="H259" s="25">
        <f>IFERROR(__xludf.DUMMYFUNCTION("""COMPUTED_VALUE"""),43629.63611111111)</f>
        <v>43629.63611</v>
      </c>
      <c r="I259" s="22">
        <f>IFERROR(__xludf.DUMMYFUNCTION("""COMPUTED_VALUE"""),17.64)</f>
        <v>17.64</v>
      </c>
      <c r="J259" s="25">
        <f>IFERROR(__xludf.DUMMYFUNCTION("""COMPUTED_VALUE"""),43629.63611111111)</f>
        <v>43629.63611</v>
      </c>
      <c r="K259" s="22">
        <f>IFERROR(__xludf.DUMMYFUNCTION("""COMPUTED_VALUE"""),18.16)</f>
        <v>18.16</v>
      </c>
      <c r="M259" s="22" t="str">
        <f t="shared" si="3"/>
        <v/>
      </c>
      <c r="N259" s="22" t="str">
        <f t="shared" si="1"/>
        <v/>
      </c>
    </row>
    <row r="260" ht="15.75" customHeight="1">
      <c r="A260" s="25">
        <f>IFERROR(__xludf.DUMMYFUNCTION("""COMPUTED_VALUE"""),43630.66666666667)</f>
        <v>43630.66667</v>
      </c>
      <c r="B260" s="22">
        <f>IFERROR(__xludf.DUMMYFUNCTION("""COMPUTED_VALUE"""),2886.98)</f>
        <v>2886.98</v>
      </c>
      <c r="C260" s="25">
        <f>IFERROR(__xludf.DUMMYFUNCTION("""COMPUTED_VALUE"""),43630.63611111111)</f>
        <v>43630.63611</v>
      </c>
      <c r="D260" s="22">
        <f>IFERROR(__xludf.DUMMYFUNCTION("""COMPUTED_VALUE"""),15.28)</f>
        <v>15.28</v>
      </c>
      <c r="E260" s="26">
        <f t="shared" si="2"/>
        <v>-0.001611542239</v>
      </c>
      <c r="F260" s="25">
        <f>IFERROR(__xludf.DUMMYFUNCTION("""COMPUTED_VALUE"""),43630.63611111111)</f>
        <v>43630.63611</v>
      </c>
      <c r="G260" s="22">
        <f>IFERROR(__xludf.DUMMYFUNCTION("""COMPUTED_VALUE"""),16.6)</f>
        <v>16.6</v>
      </c>
      <c r="H260" s="25">
        <f>IFERROR(__xludf.DUMMYFUNCTION("""COMPUTED_VALUE"""),43630.63611111111)</f>
        <v>43630.63611</v>
      </c>
      <c r="I260" s="22">
        <f>IFERROR(__xludf.DUMMYFUNCTION("""COMPUTED_VALUE"""),17.48)</f>
        <v>17.48</v>
      </c>
      <c r="J260" s="25">
        <f>IFERROR(__xludf.DUMMYFUNCTION("""COMPUTED_VALUE"""),43630.63611111111)</f>
        <v>43630.63611</v>
      </c>
      <c r="K260" s="22">
        <f>IFERROR(__xludf.DUMMYFUNCTION("""COMPUTED_VALUE"""),18.06)</f>
        <v>18.06</v>
      </c>
      <c r="M260" s="22" t="str">
        <f t="shared" si="3"/>
        <v/>
      </c>
      <c r="N260" s="22" t="str">
        <f t="shared" si="1"/>
        <v/>
      </c>
    </row>
    <row r="261" ht="15.75" customHeight="1">
      <c r="A261" s="25">
        <f>IFERROR(__xludf.DUMMYFUNCTION("""COMPUTED_VALUE"""),43633.66666666667)</f>
        <v>43633.66667</v>
      </c>
      <c r="B261" s="22">
        <f>IFERROR(__xludf.DUMMYFUNCTION("""COMPUTED_VALUE"""),2889.67)</f>
        <v>2889.67</v>
      </c>
      <c r="C261" s="25">
        <f>IFERROR(__xludf.DUMMYFUNCTION("""COMPUTED_VALUE"""),43633.63611111111)</f>
        <v>43633.63611</v>
      </c>
      <c r="D261" s="22">
        <f>IFERROR(__xludf.DUMMYFUNCTION("""COMPUTED_VALUE"""),15.35)</f>
        <v>15.35</v>
      </c>
      <c r="E261" s="26">
        <f t="shared" si="2"/>
        <v>0.0009317695308</v>
      </c>
      <c r="F261" s="25">
        <f>IFERROR(__xludf.DUMMYFUNCTION("""COMPUTED_VALUE"""),43633.63611111111)</f>
        <v>43633.63611</v>
      </c>
      <c r="G261" s="22">
        <f>IFERROR(__xludf.DUMMYFUNCTION("""COMPUTED_VALUE"""),16.61)</f>
        <v>16.61</v>
      </c>
      <c r="H261" s="25">
        <f>IFERROR(__xludf.DUMMYFUNCTION("""COMPUTED_VALUE"""),43633.63611111111)</f>
        <v>43633.63611</v>
      </c>
      <c r="I261" s="22">
        <f>IFERROR(__xludf.DUMMYFUNCTION("""COMPUTED_VALUE"""),17.49)</f>
        <v>17.49</v>
      </c>
      <c r="J261" s="25">
        <f>IFERROR(__xludf.DUMMYFUNCTION("""COMPUTED_VALUE"""),43633.63611111111)</f>
        <v>43633.63611</v>
      </c>
      <c r="K261" s="22">
        <f>IFERROR(__xludf.DUMMYFUNCTION("""COMPUTED_VALUE"""),18.11)</f>
        <v>18.11</v>
      </c>
      <c r="M261" s="22" t="str">
        <f t="shared" si="3"/>
        <v/>
      </c>
      <c r="N261" s="22" t="str">
        <f t="shared" si="1"/>
        <v/>
      </c>
    </row>
    <row r="262" ht="15.75" customHeight="1">
      <c r="A262" s="25">
        <f>IFERROR(__xludf.DUMMYFUNCTION("""COMPUTED_VALUE"""),43634.66666666667)</f>
        <v>43634.66667</v>
      </c>
      <c r="B262" s="22">
        <f>IFERROR(__xludf.DUMMYFUNCTION("""COMPUTED_VALUE"""),2917.75)</f>
        <v>2917.75</v>
      </c>
      <c r="C262" s="25">
        <f>IFERROR(__xludf.DUMMYFUNCTION("""COMPUTED_VALUE"""),43634.63611111111)</f>
        <v>43634.63611</v>
      </c>
      <c r="D262" s="22">
        <f>IFERROR(__xludf.DUMMYFUNCTION("""COMPUTED_VALUE"""),15.15)</f>
        <v>15.15</v>
      </c>
      <c r="E262" s="26">
        <f t="shared" si="2"/>
        <v>0.009717372572</v>
      </c>
      <c r="F262" s="25">
        <f>IFERROR(__xludf.DUMMYFUNCTION("""COMPUTED_VALUE"""),43634.63611111111)</f>
        <v>43634.63611</v>
      </c>
      <c r="G262" s="22">
        <f>IFERROR(__xludf.DUMMYFUNCTION("""COMPUTED_VALUE"""),16.5)</f>
        <v>16.5</v>
      </c>
      <c r="H262" s="25">
        <f>IFERROR(__xludf.DUMMYFUNCTION("""COMPUTED_VALUE"""),43634.63611111111)</f>
        <v>43634.63611</v>
      </c>
      <c r="I262" s="22">
        <f>IFERROR(__xludf.DUMMYFUNCTION("""COMPUTED_VALUE"""),17.38)</f>
        <v>17.38</v>
      </c>
      <c r="J262" s="25">
        <f>IFERROR(__xludf.DUMMYFUNCTION("""COMPUTED_VALUE"""),43634.63611111111)</f>
        <v>43634.63611</v>
      </c>
      <c r="K262" s="22">
        <f>IFERROR(__xludf.DUMMYFUNCTION("""COMPUTED_VALUE"""),18.06)</f>
        <v>18.06</v>
      </c>
      <c r="M262" s="22" t="str">
        <f t="shared" si="3"/>
        <v/>
      </c>
      <c r="N262" s="22" t="str">
        <f t="shared" si="1"/>
        <v/>
      </c>
    </row>
    <row r="263" ht="15.75" customHeight="1">
      <c r="A263" s="25">
        <f>IFERROR(__xludf.DUMMYFUNCTION("""COMPUTED_VALUE"""),43635.66666666667)</f>
        <v>43635.66667</v>
      </c>
      <c r="B263" s="22">
        <f>IFERROR(__xludf.DUMMYFUNCTION("""COMPUTED_VALUE"""),2926.46)</f>
        <v>2926.46</v>
      </c>
      <c r="C263" s="25">
        <f>IFERROR(__xludf.DUMMYFUNCTION("""COMPUTED_VALUE"""),43635.63611111111)</f>
        <v>43635.63611</v>
      </c>
      <c r="D263" s="22">
        <f>IFERROR(__xludf.DUMMYFUNCTION("""COMPUTED_VALUE"""),14.33)</f>
        <v>14.33</v>
      </c>
      <c r="E263" s="26">
        <f t="shared" si="2"/>
        <v>0.002985176934</v>
      </c>
      <c r="F263" s="25">
        <f>IFERROR(__xludf.DUMMYFUNCTION("""COMPUTED_VALUE"""),43635.63611111111)</f>
        <v>43635.63611</v>
      </c>
      <c r="G263" s="22">
        <f>IFERROR(__xludf.DUMMYFUNCTION("""COMPUTED_VALUE"""),16.1)</f>
        <v>16.1</v>
      </c>
      <c r="H263" s="25">
        <f>IFERROR(__xludf.DUMMYFUNCTION("""COMPUTED_VALUE"""),43635.63611111111)</f>
        <v>43635.63611</v>
      </c>
      <c r="I263" s="22">
        <f>IFERROR(__xludf.DUMMYFUNCTION("""COMPUTED_VALUE"""),17.14)</f>
        <v>17.14</v>
      </c>
      <c r="J263" s="25">
        <f>IFERROR(__xludf.DUMMYFUNCTION("""COMPUTED_VALUE"""),43635.63611111111)</f>
        <v>43635.63611</v>
      </c>
      <c r="K263" s="22">
        <f>IFERROR(__xludf.DUMMYFUNCTION("""COMPUTED_VALUE"""),17.9)</f>
        <v>17.9</v>
      </c>
      <c r="M263" s="22" t="str">
        <f t="shared" si="3"/>
        <v/>
      </c>
      <c r="N263" s="22" t="str">
        <f t="shared" si="1"/>
        <v/>
      </c>
    </row>
    <row r="264" ht="15.75" customHeight="1">
      <c r="A264" s="25">
        <f>IFERROR(__xludf.DUMMYFUNCTION("""COMPUTED_VALUE"""),43636.66666666667)</f>
        <v>43636.66667</v>
      </c>
      <c r="B264" s="22">
        <f>IFERROR(__xludf.DUMMYFUNCTION("""COMPUTED_VALUE"""),2954.18)</f>
        <v>2954.18</v>
      </c>
      <c r="C264" s="25">
        <f>IFERROR(__xludf.DUMMYFUNCTION("""COMPUTED_VALUE"""),43636.63611111111)</f>
        <v>43636.63611</v>
      </c>
      <c r="D264" s="22">
        <f>IFERROR(__xludf.DUMMYFUNCTION("""COMPUTED_VALUE"""),14.75)</f>
        <v>14.75</v>
      </c>
      <c r="E264" s="26">
        <f t="shared" si="2"/>
        <v>0.009472195075</v>
      </c>
      <c r="F264" s="25">
        <f>IFERROR(__xludf.DUMMYFUNCTION("""COMPUTED_VALUE"""),43636.63611111111)</f>
        <v>43636.63611</v>
      </c>
      <c r="G264" s="22">
        <f>IFERROR(__xludf.DUMMYFUNCTION("""COMPUTED_VALUE"""),16.14)</f>
        <v>16.14</v>
      </c>
      <c r="H264" s="25">
        <f>IFERROR(__xludf.DUMMYFUNCTION("""COMPUTED_VALUE"""),43636.63611111111)</f>
        <v>43636.63611</v>
      </c>
      <c r="I264" s="22">
        <f>IFERROR(__xludf.DUMMYFUNCTION("""COMPUTED_VALUE"""),17.05)</f>
        <v>17.05</v>
      </c>
      <c r="J264" s="25">
        <f>IFERROR(__xludf.DUMMYFUNCTION("""COMPUTED_VALUE"""),43636.63611111111)</f>
        <v>43636.63611</v>
      </c>
      <c r="K264" s="22">
        <f>IFERROR(__xludf.DUMMYFUNCTION("""COMPUTED_VALUE"""),17.73)</f>
        <v>17.73</v>
      </c>
      <c r="M264" s="22" t="str">
        <f t="shared" si="3"/>
        <v/>
      </c>
      <c r="N264" s="22" t="str">
        <f t="shared" si="1"/>
        <v/>
      </c>
    </row>
    <row r="265" ht="15.75" customHeight="1">
      <c r="A265" s="25">
        <f>IFERROR(__xludf.DUMMYFUNCTION("""COMPUTED_VALUE"""),43637.66666666667)</f>
        <v>43637.66667</v>
      </c>
      <c r="B265" s="22">
        <f>IFERROR(__xludf.DUMMYFUNCTION("""COMPUTED_VALUE"""),2950.46)</f>
        <v>2950.46</v>
      </c>
      <c r="C265" s="25">
        <f>IFERROR(__xludf.DUMMYFUNCTION("""COMPUTED_VALUE"""),43637.63611111111)</f>
        <v>43637.63611</v>
      </c>
      <c r="D265" s="22">
        <f>IFERROR(__xludf.DUMMYFUNCTION("""COMPUTED_VALUE"""),15.4)</f>
        <v>15.4</v>
      </c>
      <c r="E265" s="26">
        <f t="shared" si="2"/>
        <v>-0.00125923268</v>
      </c>
      <c r="F265" s="25">
        <f>IFERROR(__xludf.DUMMYFUNCTION("""COMPUTED_VALUE"""),43637.63611111111)</f>
        <v>43637.63611</v>
      </c>
      <c r="G265" s="22">
        <f>IFERROR(__xludf.DUMMYFUNCTION("""COMPUTED_VALUE"""),16.67)</f>
        <v>16.67</v>
      </c>
      <c r="H265" s="25">
        <f>IFERROR(__xludf.DUMMYFUNCTION("""COMPUTED_VALUE"""),43637.63611111111)</f>
        <v>43637.63611</v>
      </c>
      <c r="I265" s="22">
        <f>IFERROR(__xludf.DUMMYFUNCTION("""COMPUTED_VALUE"""),17.43)</f>
        <v>17.43</v>
      </c>
      <c r="J265" s="25">
        <f>IFERROR(__xludf.DUMMYFUNCTION("""COMPUTED_VALUE"""),43637.63611111111)</f>
        <v>43637.63611</v>
      </c>
      <c r="K265" s="22">
        <f>IFERROR(__xludf.DUMMYFUNCTION("""COMPUTED_VALUE"""),18.04)</f>
        <v>18.04</v>
      </c>
      <c r="M265" s="22" t="str">
        <f t="shared" si="3"/>
        <v/>
      </c>
      <c r="N265" s="22" t="str">
        <f t="shared" si="1"/>
        <v/>
      </c>
    </row>
    <row r="266" ht="15.75" customHeight="1">
      <c r="A266" s="25">
        <f>IFERROR(__xludf.DUMMYFUNCTION("""COMPUTED_VALUE"""),43640.66666666667)</f>
        <v>43640.66667</v>
      </c>
      <c r="B266" s="22">
        <f>IFERROR(__xludf.DUMMYFUNCTION("""COMPUTED_VALUE"""),2945.35)</f>
        <v>2945.35</v>
      </c>
      <c r="C266" s="25">
        <f>IFERROR(__xludf.DUMMYFUNCTION("""COMPUTED_VALUE"""),43640.63611111111)</f>
        <v>43640.63611</v>
      </c>
      <c r="D266" s="22">
        <f>IFERROR(__xludf.DUMMYFUNCTION("""COMPUTED_VALUE"""),15.26)</f>
        <v>15.26</v>
      </c>
      <c r="E266" s="26">
        <f t="shared" si="2"/>
        <v>-0.001731933326</v>
      </c>
      <c r="F266" s="25">
        <f>IFERROR(__xludf.DUMMYFUNCTION("""COMPUTED_VALUE"""),43640.63611111111)</f>
        <v>43640.63611</v>
      </c>
      <c r="G266" s="22">
        <f>IFERROR(__xludf.DUMMYFUNCTION("""COMPUTED_VALUE"""),16.47)</f>
        <v>16.47</v>
      </c>
      <c r="H266" s="25">
        <f>IFERROR(__xludf.DUMMYFUNCTION("""COMPUTED_VALUE"""),43640.63611111111)</f>
        <v>43640.63611</v>
      </c>
      <c r="I266" s="22">
        <f>IFERROR(__xludf.DUMMYFUNCTION("""COMPUTED_VALUE"""),17.27)</f>
        <v>17.27</v>
      </c>
      <c r="J266" s="25">
        <f>IFERROR(__xludf.DUMMYFUNCTION("""COMPUTED_VALUE"""),43640.63611111111)</f>
        <v>43640.63611</v>
      </c>
      <c r="K266" s="22">
        <f>IFERROR(__xludf.DUMMYFUNCTION("""COMPUTED_VALUE"""),17.96)</f>
        <v>17.96</v>
      </c>
      <c r="M266" s="22" t="str">
        <f t="shared" si="3"/>
        <v/>
      </c>
      <c r="N266" s="22" t="str">
        <f t="shared" si="1"/>
        <v/>
      </c>
    </row>
    <row r="267" ht="15.75" customHeight="1">
      <c r="A267" s="25">
        <f>IFERROR(__xludf.DUMMYFUNCTION("""COMPUTED_VALUE"""),43641.66666666667)</f>
        <v>43641.66667</v>
      </c>
      <c r="B267" s="22">
        <f>IFERROR(__xludf.DUMMYFUNCTION("""COMPUTED_VALUE"""),2917.38)</f>
        <v>2917.38</v>
      </c>
      <c r="C267" s="25">
        <f>IFERROR(__xludf.DUMMYFUNCTION("""COMPUTED_VALUE"""),43641.63611111111)</f>
        <v>43641.63611</v>
      </c>
      <c r="D267" s="22">
        <f>IFERROR(__xludf.DUMMYFUNCTION("""COMPUTED_VALUE"""),16.28)</f>
        <v>16.28</v>
      </c>
      <c r="E267" s="26">
        <f t="shared" si="2"/>
        <v>-0.009496324715</v>
      </c>
      <c r="F267" s="25">
        <f>IFERROR(__xludf.DUMMYFUNCTION("""COMPUTED_VALUE"""),43641.63611111111)</f>
        <v>43641.63611</v>
      </c>
      <c r="G267" s="22">
        <f>IFERROR(__xludf.DUMMYFUNCTION("""COMPUTED_VALUE"""),17.12)</f>
        <v>17.12</v>
      </c>
      <c r="H267" s="25">
        <f>IFERROR(__xludf.DUMMYFUNCTION("""COMPUTED_VALUE"""),43641.63611111111)</f>
        <v>43641.63611</v>
      </c>
      <c r="I267" s="22">
        <f>IFERROR(__xludf.DUMMYFUNCTION("""COMPUTED_VALUE"""),17.78)</f>
        <v>17.78</v>
      </c>
      <c r="J267" s="25">
        <f>IFERROR(__xludf.DUMMYFUNCTION("""COMPUTED_VALUE"""),43641.63611111111)</f>
        <v>43641.63611</v>
      </c>
      <c r="K267" s="22">
        <f>IFERROR(__xludf.DUMMYFUNCTION("""COMPUTED_VALUE"""),18.29)</f>
        <v>18.29</v>
      </c>
      <c r="M267" s="22" t="str">
        <f t="shared" si="3"/>
        <v/>
      </c>
      <c r="N267" s="22" t="str">
        <f t="shared" si="1"/>
        <v/>
      </c>
    </row>
    <row r="268" ht="15.75" customHeight="1">
      <c r="A268" s="25">
        <f>IFERROR(__xludf.DUMMYFUNCTION("""COMPUTED_VALUE"""),43642.66666666667)</f>
        <v>43642.66667</v>
      </c>
      <c r="B268" s="22">
        <f>IFERROR(__xludf.DUMMYFUNCTION("""COMPUTED_VALUE"""),2913.78)</f>
        <v>2913.78</v>
      </c>
      <c r="C268" s="25">
        <f>IFERROR(__xludf.DUMMYFUNCTION("""COMPUTED_VALUE"""),43642.63611111111)</f>
        <v>43642.63611</v>
      </c>
      <c r="D268" s="22">
        <f>IFERROR(__xludf.DUMMYFUNCTION("""COMPUTED_VALUE"""),16.21)</f>
        <v>16.21</v>
      </c>
      <c r="E268" s="26">
        <f t="shared" si="2"/>
        <v>-0.001233983917</v>
      </c>
      <c r="F268" s="25">
        <f>IFERROR(__xludf.DUMMYFUNCTION("""COMPUTED_VALUE"""),43642.63611111111)</f>
        <v>43642.63611</v>
      </c>
      <c r="G268" s="22">
        <f>IFERROR(__xludf.DUMMYFUNCTION("""COMPUTED_VALUE"""),17.05)</f>
        <v>17.05</v>
      </c>
      <c r="H268" s="25">
        <f>IFERROR(__xludf.DUMMYFUNCTION("""COMPUTED_VALUE"""),43642.63611111111)</f>
        <v>43642.63611</v>
      </c>
      <c r="I268" s="22">
        <f>IFERROR(__xludf.DUMMYFUNCTION("""COMPUTED_VALUE"""),17.8)</f>
        <v>17.8</v>
      </c>
      <c r="J268" s="25">
        <f>IFERROR(__xludf.DUMMYFUNCTION("""COMPUTED_VALUE"""),43642.63611111111)</f>
        <v>43642.63611</v>
      </c>
      <c r="K268" s="22">
        <f>IFERROR(__xludf.DUMMYFUNCTION("""COMPUTED_VALUE"""),18.34)</f>
        <v>18.34</v>
      </c>
      <c r="M268" s="22" t="str">
        <f t="shared" si="3"/>
        <v/>
      </c>
      <c r="N268" s="22" t="str">
        <f t="shared" si="1"/>
        <v/>
      </c>
    </row>
    <row r="269" ht="15.75" customHeight="1">
      <c r="A269" s="25">
        <f>IFERROR(__xludf.DUMMYFUNCTION("""COMPUTED_VALUE"""),43643.66666666667)</f>
        <v>43643.66667</v>
      </c>
      <c r="B269" s="22">
        <f>IFERROR(__xludf.DUMMYFUNCTION("""COMPUTED_VALUE"""),2924.92)</f>
        <v>2924.92</v>
      </c>
      <c r="C269" s="25">
        <f>IFERROR(__xludf.DUMMYFUNCTION("""COMPUTED_VALUE"""),43643.63611111111)</f>
        <v>43643.63611</v>
      </c>
      <c r="D269" s="22">
        <f>IFERROR(__xludf.DUMMYFUNCTION("""COMPUTED_VALUE"""),15.82)</f>
        <v>15.82</v>
      </c>
      <c r="E269" s="26">
        <f t="shared" si="2"/>
        <v>0.003823212459</v>
      </c>
      <c r="F269" s="25">
        <f>IFERROR(__xludf.DUMMYFUNCTION("""COMPUTED_VALUE"""),43643.63611111111)</f>
        <v>43643.63611</v>
      </c>
      <c r="G269" s="22">
        <f>IFERROR(__xludf.DUMMYFUNCTION("""COMPUTED_VALUE"""),16.76)</f>
        <v>16.76</v>
      </c>
      <c r="H269" s="25">
        <f>IFERROR(__xludf.DUMMYFUNCTION("""COMPUTED_VALUE"""),43643.63611111111)</f>
        <v>43643.63611</v>
      </c>
      <c r="I269" s="22">
        <f>IFERROR(__xludf.DUMMYFUNCTION("""COMPUTED_VALUE"""),17.52)</f>
        <v>17.52</v>
      </c>
      <c r="J269" s="25">
        <f>IFERROR(__xludf.DUMMYFUNCTION("""COMPUTED_VALUE"""),43643.63611111111)</f>
        <v>43643.63611</v>
      </c>
      <c r="K269" s="22">
        <f>IFERROR(__xludf.DUMMYFUNCTION("""COMPUTED_VALUE"""),18.11)</f>
        <v>18.11</v>
      </c>
      <c r="M269" s="22" t="str">
        <f t="shared" si="3"/>
        <v/>
      </c>
      <c r="N269" s="22" t="str">
        <f t="shared" si="1"/>
        <v/>
      </c>
    </row>
    <row r="270" ht="15.75" customHeight="1">
      <c r="A270" s="25">
        <f>IFERROR(__xludf.DUMMYFUNCTION("""COMPUTED_VALUE"""),43644.66666666667)</f>
        <v>43644.66667</v>
      </c>
      <c r="B270" s="22">
        <f>IFERROR(__xludf.DUMMYFUNCTION("""COMPUTED_VALUE"""),2941.76)</f>
        <v>2941.76</v>
      </c>
      <c r="C270" s="25">
        <f>IFERROR(__xludf.DUMMYFUNCTION("""COMPUTED_VALUE"""),43644.63611111111)</f>
        <v>43644.63611</v>
      </c>
      <c r="D270" s="22">
        <f>IFERROR(__xludf.DUMMYFUNCTION("""COMPUTED_VALUE"""),15.08)</f>
        <v>15.08</v>
      </c>
      <c r="E270" s="26">
        <f t="shared" si="2"/>
        <v>0.005757422425</v>
      </c>
      <c r="F270" s="25">
        <f>IFERROR(__xludf.DUMMYFUNCTION("""COMPUTED_VALUE"""),43644.63611111111)</f>
        <v>43644.63611</v>
      </c>
      <c r="G270" s="22">
        <f>IFERROR(__xludf.DUMMYFUNCTION("""COMPUTED_VALUE"""),16.06)</f>
        <v>16.06</v>
      </c>
      <c r="H270" s="25">
        <f>IFERROR(__xludf.DUMMYFUNCTION("""COMPUTED_VALUE"""),43644.63611111111)</f>
        <v>43644.63611</v>
      </c>
      <c r="I270" s="22">
        <f>IFERROR(__xludf.DUMMYFUNCTION("""COMPUTED_VALUE"""),16.96)</f>
        <v>16.96</v>
      </c>
      <c r="J270" s="25">
        <f>IFERROR(__xludf.DUMMYFUNCTION("""COMPUTED_VALUE"""),43644.63611111111)</f>
        <v>43644.63611</v>
      </c>
      <c r="K270" s="22">
        <f>IFERROR(__xludf.DUMMYFUNCTION("""COMPUTED_VALUE"""),17.73)</f>
        <v>17.73</v>
      </c>
      <c r="M270" s="22" t="str">
        <f t="shared" si="3"/>
        <v/>
      </c>
      <c r="N270" s="22" t="str">
        <f t="shared" si="1"/>
        <v/>
      </c>
    </row>
    <row r="271" ht="15.75" customHeight="1">
      <c r="A271" s="25">
        <f>IFERROR(__xludf.DUMMYFUNCTION("""COMPUTED_VALUE"""),43647.66666666667)</f>
        <v>43647.66667</v>
      </c>
      <c r="B271" s="22">
        <f>IFERROR(__xludf.DUMMYFUNCTION("""COMPUTED_VALUE"""),2964.33)</f>
        <v>2964.33</v>
      </c>
      <c r="C271" s="25">
        <f>IFERROR(__xludf.DUMMYFUNCTION("""COMPUTED_VALUE"""),43647.63611111111)</f>
        <v>43647.63611</v>
      </c>
      <c r="D271" s="22">
        <f>IFERROR(__xludf.DUMMYFUNCTION("""COMPUTED_VALUE"""),14.06)</f>
        <v>14.06</v>
      </c>
      <c r="E271" s="26">
        <f t="shared" si="2"/>
        <v>0.00767227782</v>
      </c>
      <c r="F271" s="25">
        <f>IFERROR(__xludf.DUMMYFUNCTION("""COMPUTED_VALUE"""),43647.63611111111)</f>
        <v>43647.63611</v>
      </c>
      <c r="G271" s="22">
        <f>IFERROR(__xludf.DUMMYFUNCTION("""COMPUTED_VALUE"""),15.43)</f>
        <v>15.43</v>
      </c>
      <c r="H271" s="25">
        <f>IFERROR(__xludf.DUMMYFUNCTION("""COMPUTED_VALUE"""),43647.63611111111)</f>
        <v>43647.63611</v>
      </c>
      <c r="I271" s="22">
        <f>IFERROR(__xludf.DUMMYFUNCTION("""COMPUTED_VALUE"""),16.38)</f>
        <v>16.38</v>
      </c>
      <c r="J271" s="25">
        <f>IFERROR(__xludf.DUMMYFUNCTION("""COMPUTED_VALUE"""),43647.63611111111)</f>
        <v>43647.63611</v>
      </c>
      <c r="K271" s="22">
        <f>IFERROR(__xludf.DUMMYFUNCTION("""COMPUTED_VALUE"""),17.35)</f>
        <v>17.35</v>
      </c>
      <c r="M271" s="22" t="str">
        <f t="shared" si="3"/>
        <v/>
      </c>
      <c r="N271" s="22" t="str">
        <f t="shared" si="1"/>
        <v/>
      </c>
    </row>
    <row r="272" ht="15.75" customHeight="1">
      <c r="A272" s="25">
        <f>IFERROR(__xludf.DUMMYFUNCTION("""COMPUTED_VALUE"""),43648.66666666667)</f>
        <v>43648.66667</v>
      </c>
      <c r="B272" s="22">
        <f>IFERROR(__xludf.DUMMYFUNCTION("""COMPUTED_VALUE"""),2973.01)</f>
        <v>2973.01</v>
      </c>
      <c r="C272" s="25">
        <f>IFERROR(__xludf.DUMMYFUNCTION("""COMPUTED_VALUE"""),43648.63611111111)</f>
        <v>43648.63611</v>
      </c>
      <c r="D272" s="22">
        <f>IFERROR(__xludf.DUMMYFUNCTION("""COMPUTED_VALUE"""),12.93)</f>
        <v>12.93</v>
      </c>
      <c r="E272" s="26">
        <f t="shared" si="2"/>
        <v>0.002928149025</v>
      </c>
      <c r="F272" s="25">
        <f>IFERROR(__xludf.DUMMYFUNCTION("""COMPUTED_VALUE"""),43648.63611111111)</f>
        <v>43648.63611</v>
      </c>
      <c r="G272" s="22">
        <f>IFERROR(__xludf.DUMMYFUNCTION("""COMPUTED_VALUE"""),14.72)</f>
        <v>14.72</v>
      </c>
      <c r="H272" s="25">
        <f>IFERROR(__xludf.DUMMYFUNCTION("""COMPUTED_VALUE"""),43648.63611111111)</f>
        <v>43648.63611</v>
      </c>
      <c r="I272" s="22">
        <f>IFERROR(__xludf.DUMMYFUNCTION("""COMPUTED_VALUE"""),15.92)</f>
        <v>15.92</v>
      </c>
      <c r="J272" s="25">
        <f>IFERROR(__xludf.DUMMYFUNCTION("""COMPUTED_VALUE"""),43648.63611111111)</f>
        <v>43648.63611</v>
      </c>
      <c r="K272" s="22">
        <f>IFERROR(__xludf.DUMMYFUNCTION("""COMPUTED_VALUE"""),17.06)</f>
        <v>17.06</v>
      </c>
      <c r="M272" s="22" t="str">
        <f t="shared" si="3"/>
        <v/>
      </c>
      <c r="N272" s="22" t="str">
        <f t="shared" si="1"/>
        <v/>
      </c>
    </row>
    <row r="273" ht="15.75" customHeight="1">
      <c r="A273" s="25">
        <f>IFERROR(__xludf.DUMMYFUNCTION("""COMPUTED_VALUE"""),43649.54166666667)</f>
        <v>43649.54167</v>
      </c>
      <c r="B273" s="22">
        <f>IFERROR(__xludf.DUMMYFUNCTION("""COMPUTED_VALUE"""),2995.82)</f>
        <v>2995.82</v>
      </c>
      <c r="C273" s="25">
        <f>IFERROR(__xludf.DUMMYFUNCTION("""COMPUTED_VALUE"""),43649.54166666667)</f>
        <v>43649.54167</v>
      </c>
      <c r="D273" s="22">
        <f>IFERROR(__xludf.DUMMYFUNCTION("""COMPUTED_VALUE"""),12.57)</f>
        <v>12.57</v>
      </c>
      <c r="E273" s="26">
        <f t="shared" si="2"/>
        <v>0.00767235899</v>
      </c>
      <c r="F273" s="25">
        <f>IFERROR(__xludf.DUMMYFUNCTION("""COMPUTED_VALUE"""),43649.54166666667)</f>
        <v>43649.54167</v>
      </c>
      <c r="G273" s="22">
        <f>IFERROR(__xludf.DUMMYFUNCTION("""COMPUTED_VALUE"""),14.53)</f>
        <v>14.53</v>
      </c>
      <c r="H273" s="25">
        <f>IFERROR(__xludf.DUMMYFUNCTION("""COMPUTED_VALUE"""),43649.54166666667)</f>
        <v>43649.54167</v>
      </c>
      <c r="I273" s="22">
        <f>IFERROR(__xludf.DUMMYFUNCTION("""COMPUTED_VALUE"""),15.74)</f>
        <v>15.74</v>
      </c>
      <c r="J273" s="25">
        <f>IFERROR(__xludf.DUMMYFUNCTION("""COMPUTED_VALUE"""),43649.54166666667)</f>
        <v>43649.54167</v>
      </c>
      <c r="K273" s="22">
        <f>IFERROR(__xludf.DUMMYFUNCTION("""COMPUTED_VALUE"""),16.81)</f>
        <v>16.81</v>
      </c>
      <c r="M273" s="22" t="str">
        <f t="shared" si="3"/>
        <v/>
      </c>
      <c r="N273" s="22" t="str">
        <f t="shared" si="1"/>
        <v/>
      </c>
    </row>
    <row r="274" ht="15.75" customHeight="1">
      <c r="A274" s="25">
        <f>IFERROR(__xludf.DUMMYFUNCTION("""COMPUTED_VALUE"""),43651.66666666667)</f>
        <v>43651.66667</v>
      </c>
      <c r="B274" s="22">
        <f>IFERROR(__xludf.DUMMYFUNCTION("""COMPUTED_VALUE"""),2990.41)</f>
        <v>2990.41</v>
      </c>
      <c r="C274" s="25">
        <f>IFERROR(__xludf.DUMMYFUNCTION("""COMPUTED_VALUE"""),43651.63611111111)</f>
        <v>43651.63611</v>
      </c>
      <c r="D274" s="22">
        <f>IFERROR(__xludf.DUMMYFUNCTION("""COMPUTED_VALUE"""),13.28)</f>
        <v>13.28</v>
      </c>
      <c r="E274" s="26">
        <f t="shared" si="2"/>
        <v>-0.001805849484</v>
      </c>
      <c r="F274" s="25">
        <f>IFERROR(__xludf.DUMMYFUNCTION("""COMPUTED_VALUE"""),43651.63611111111)</f>
        <v>43651.63611</v>
      </c>
      <c r="G274" s="22">
        <f>IFERROR(__xludf.DUMMYFUNCTION("""COMPUTED_VALUE"""),14.98)</f>
        <v>14.98</v>
      </c>
      <c r="H274" s="25">
        <f>IFERROR(__xludf.DUMMYFUNCTION("""COMPUTED_VALUE"""),43651.63611111111)</f>
        <v>43651.63611</v>
      </c>
      <c r="I274" s="22">
        <f>IFERROR(__xludf.DUMMYFUNCTION("""COMPUTED_VALUE"""),15.99)</f>
        <v>15.99</v>
      </c>
      <c r="J274" s="25">
        <f>IFERROR(__xludf.DUMMYFUNCTION("""COMPUTED_VALUE"""),43651.63611111111)</f>
        <v>43651.63611</v>
      </c>
      <c r="K274" s="22">
        <f>IFERROR(__xludf.DUMMYFUNCTION("""COMPUTED_VALUE"""),16.94)</f>
        <v>16.94</v>
      </c>
      <c r="M274" s="22" t="str">
        <f t="shared" si="3"/>
        <v/>
      </c>
      <c r="N274" s="22" t="str">
        <f t="shared" si="1"/>
        <v/>
      </c>
    </row>
    <row r="275" ht="15.75" customHeight="1">
      <c r="A275" s="25">
        <f>IFERROR(__xludf.DUMMYFUNCTION("""COMPUTED_VALUE"""),43654.66666666667)</f>
        <v>43654.66667</v>
      </c>
      <c r="B275" s="22">
        <f>IFERROR(__xludf.DUMMYFUNCTION("""COMPUTED_VALUE"""),2975.95)</f>
        <v>2975.95</v>
      </c>
      <c r="C275" s="25">
        <f>IFERROR(__xludf.DUMMYFUNCTION("""COMPUTED_VALUE"""),43654.63611111111)</f>
        <v>43654.63611</v>
      </c>
      <c r="D275" s="22">
        <f>IFERROR(__xludf.DUMMYFUNCTION("""COMPUTED_VALUE"""),13.96)</f>
        <v>13.96</v>
      </c>
      <c r="E275" s="26">
        <f t="shared" si="2"/>
        <v>-0.004835457345</v>
      </c>
      <c r="F275" s="25">
        <f>IFERROR(__xludf.DUMMYFUNCTION("""COMPUTED_VALUE"""),43654.63611111111)</f>
        <v>43654.63611</v>
      </c>
      <c r="G275" s="22">
        <f>IFERROR(__xludf.DUMMYFUNCTION("""COMPUTED_VALUE"""),15.48)</f>
        <v>15.48</v>
      </c>
      <c r="H275" s="25">
        <f>IFERROR(__xludf.DUMMYFUNCTION("""COMPUTED_VALUE"""),43654.63611111111)</f>
        <v>43654.63611</v>
      </c>
      <c r="I275" s="22">
        <f>IFERROR(__xludf.DUMMYFUNCTION("""COMPUTED_VALUE"""),16.36)</f>
        <v>16.36</v>
      </c>
      <c r="J275" s="25">
        <f>IFERROR(__xludf.DUMMYFUNCTION("""COMPUTED_VALUE"""),43654.63611111111)</f>
        <v>43654.63611</v>
      </c>
      <c r="K275" s="22">
        <f>IFERROR(__xludf.DUMMYFUNCTION("""COMPUTED_VALUE"""),17.19)</f>
        <v>17.19</v>
      </c>
      <c r="M275" s="22" t="str">
        <f t="shared" si="3"/>
        <v/>
      </c>
      <c r="N275" s="22" t="str">
        <f t="shared" si="1"/>
        <v/>
      </c>
    </row>
    <row r="276" ht="15.75" customHeight="1">
      <c r="A276" s="25">
        <f>IFERROR(__xludf.DUMMYFUNCTION("""COMPUTED_VALUE"""),43655.66666666667)</f>
        <v>43655.66667</v>
      </c>
      <c r="B276" s="22">
        <f>IFERROR(__xludf.DUMMYFUNCTION("""COMPUTED_VALUE"""),2979.63)</f>
        <v>2979.63</v>
      </c>
      <c r="C276" s="25">
        <f>IFERROR(__xludf.DUMMYFUNCTION("""COMPUTED_VALUE"""),43655.63611111111)</f>
        <v>43655.63611</v>
      </c>
      <c r="D276" s="22">
        <f>IFERROR(__xludf.DUMMYFUNCTION("""COMPUTED_VALUE"""),14.09)</f>
        <v>14.09</v>
      </c>
      <c r="E276" s="26">
        <f t="shared" si="2"/>
        <v>0.001236579916</v>
      </c>
      <c r="F276" s="25">
        <f>IFERROR(__xludf.DUMMYFUNCTION("""COMPUTED_VALUE"""),43655.63611111111)</f>
        <v>43655.63611</v>
      </c>
      <c r="G276" s="22">
        <f>IFERROR(__xludf.DUMMYFUNCTION("""COMPUTED_VALUE"""),15.57)</f>
        <v>15.57</v>
      </c>
      <c r="H276" s="25">
        <f>IFERROR(__xludf.DUMMYFUNCTION("""COMPUTED_VALUE"""),43655.63611111111)</f>
        <v>43655.63611</v>
      </c>
      <c r="I276" s="22">
        <f>IFERROR(__xludf.DUMMYFUNCTION("""COMPUTED_VALUE"""),16.47)</f>
        <v>16.47</v>
      </c>
      <c r="J276" s="25">
        <f>IFERROR(__xludf.DUMMYFUNCTION("""COMPUTED_VALUE"""),43655.63611111111)</f>
        <v>43655.63611</v>
      </c>
      <c r="K276" s="22">
        <f>IFERROR(__xludf.DUMMYFUNCTION("""COMPUTED_VALUE"""),17.28)</f>
        <v>17.28</v>
      </c>
      <c r="M276" s="22" t="str">
        <f t="shared" si="3"/>
        <v/>
      </c>
      <c r="N276" s="22" t="str">
        <f t="shared" si="1"/>
        <v/>
      </c>
    </row>
    <row r="277" ht="15.75" customHeight="1">
      <c r="A277" s="25">
        <f>IFERROR(__xludf.DUMMYFUNCTION("""COMPUTED_VALUE"""),43656.66666666667)</f>
        <v>43656.66667</v>
      </c>
      <c r="B277" s="22">
        <f>IFERROR(__xludf.DUMMYFUNCTION("""COMPUTED_VALUE"""),2993.07)</f>
        <v>2993.07</v>
      </c>
      <c r="C277" s="25">
        <f>IFERROR(__xludf.DUMMYFUNCTION("""COMPUTED_VALUE"""),43656.63611111111)</f>
        <v>43656.63611</v>
      </c>
      <c r="D277" s="22">
        <f>IFERROR(__xludf.DUMMYFUNCTION("""COMPUTED_VALUE"""),13.03)</f>
        <v>13.03</v>
      </c>
      <c r="E277" s="26">
        <f t="shared" si="2"/>
        <v>0.004510627158</v>
      </c>
      <c r="F277" s="25">
        <f>IFERROR(__xludf.DUMMYFUNCTION("""COMPUTED_VALUE"""),43656.63611111111)</f>
        <v>43656.63611</v>
      </c>
      <c r="G277" s="22">
        <f>IFERROR(__xludf.DUMMYFUNCTION("""COMPUTED_VALUE"""),15.19)</f>
        <v>15.19</v>
      </c>
      <c r="H277" s="25">
        <f>IFERROR(__xludf.DUMMYFUNCTION("""COMPUTED_VALUE"""),43656.63611111111)</f>
        <v>43656.63611</v>
      </c>
      <c r="I277" s="22">
        <f>IFERROR(__xludf.DUMMYFUNCTION("""COMPUTED_VALUE"""),16.25)</f>
        <v>16.25</v>
      </c>
      <c r="J277" s="25">
        <f>IFERROR(__xludf.DUMMYFUNCTION("""COMPUTED_VALUE"""),43656.63611111111)</f>
        <v>43656.63611</v>
      </c>
      <c r="K277" s="22">
        <f>IFERROR(__xludf.DUMMYFUNCTION("""COMPUTED_VALUE"""),17.15)</f>
        <v>17.15</v>
      </c>
      <c r="M277" s="22" t="str">
        <f t="shared" si="3"/>
        <v/>
      </c>
      <c r="N277" s="22" t="str">
        <f t="shared" si="1"/>
        <v/>
      </c>
    </row>
    <row r="278" ht="15.75" customHeight="1">
      <c r="A278" s="25">
        <f>IFERROR(__xludf.DUMMYFUNCTION("""COMPUTED_VALUE"""),43657.66666666667)</f>
        <v>43657.66667</v>
      </c>
      <c r="B278" s="22">
        <f>IFERROR(__xludf.DUMMYFUNCTION("""COMPUTED_VALUE"""),2999.91)</f>
        <v>2999.91</v>
      </c>
      <c r="C278" s="25">
        <f>IFERROR(__xludf.DUMMYFUNCTION("""COMPUTED_VALUE"""),43657.63611111111)</f>
        <v>43657.63611</v>
      </c>
      <c r="D278" s="22">
        <f>IFERROR(__xludf.DUMMYFUNCTION("""COMPUTED_VALUE"""),12.93)</f>
        <v>12.93</v>
      </c>
      <c r="E278" s="26">
        <f t="shared" si="2"/>
        <v>0.002285278994</v>
      </c>
      <c r="F278" s="25">
        <f>IFERROR(__xludf.DUMMYFUNCTION("""COMPUTED_VALUE"""),43657.63611111111)</f>
        <v>43657.63611</v>
      </c>
      <c r="G278" s="22">
        <f>IFERROR(__xludf.DUMMYFUNCTION("""COMPUTED_VALUE"""),14.98)</f>
        <v>14.98</v>
      </c>
      <c r="H278" s="25">
        <f>IFERROR(__xludf.DUMMYFUNCTION("""COMPUTED_VALUE"""),43657.63611111111)</f>
        <v>43657.63611</v>
      </c>
      <c r="I278" s="22">
        <f>IFERROR(__xludf.DUMMYFUNCTION("""COMPUTED_VALUE"""),16.15)</f>
        <v>16.15</v>
      </c>
      <c r="J278" s="25">
        <f>IFERROR(__xludf.DUMMYFUNCTION("""COMPUTED_VALUE"""),43657.63611111111)</f>
        <v>43657.63611</v>
      </c>
      <c r="K278" s="22">
        <f>IFERROR(__xludf.DUMMYFUNCTION("""COMPUTED_VALUE"""),17.1)</f>
        <v>17.1</v>
      </c>
      <c r="M278" s="22" t="str">
        <f t="shared" si="3"/>
        <v/>
      </c>
      <c r="N278" s="22" t="str">
        <f t="shared" si="1"/>
        <v/>
      </c>
    </row>
    <row r="279" ht="15.75" customHeight="1">
      <c r="A279" s="25">
        <f>IFERROR(__xludf.DUMMYFUNCTION("""COMPUTED_VALUE"""),43658.66666666667)</f>
        <v>43658.66667</v>
      </c>
      <c r="B279" s="22">
        <f>IFERROR(__xludf.DUMMYFUNCTION("""COMPUTED_VALUE"""),3013.77)</f>
        <v>3013.77</v>
      </c>
      <c r="C279" s="25">
        <f>IFERROR(__xludf.DUMMYFUNCTION("""COMPUTED_VALUE"""),43658.63611111111)</f>
        <v>43658.63611</v>
      </c>
      <c r="D279" s="22">
        <f>IFERROR(__xludf.DUMMYFUNCTION("""COMPUTED_VALUE"""),12.39)</f>
        <v>12.39</v>
      </c>
      <c r="E279" s="26">
        <f t="shared" si="2"/>
        <v>0.004620138604</v>
      </c>
      <c r="F279" s="25">
        <f>IFERROR(__xludf.DUMMYFUNCTION("""COMPUTED_VALUE"""),43658.63611111111)</f>
        <v>43658.63611</v>
      </c>
      <c r="G279" s="22">
        <f>IFERROR(__xludf.DUMMYFUNCTION("""COMPUTED_VALUE"""),14.8)</f>
        <v>14.8</v>
      </c>
      <c r="H279" s="25">
        <f>IFERROR(__xludf.DUMMYFUNCTION("""COMPUTED_VALUE"""),43658.63611111111)</f>
        <v>43658.63611</v>
      </c>
      <c r="I279" s="22">
        <f>IFERROR(__xludf.DUMMYFUNCTION("""COMPUTED_VALUE"""),16.09)</f>
        <v>16.09</v>
      </c>
      <c r="J279" s="25">
        <f>IFERROR(__xludf.DUMMYFUNCTION("""COMPUTED_VALUE"""),43658.63611111111)</f>
        <v>43658.63611</v>
      </c>
      <c r="K279" s="22">
        <f>IFERROR(__xludf.DUMMYFUNCTION("""COMPUTED_VALUE"""),17.09)</f>
        <v>17.09</v>
      </c>
      <c r="M279" s="22" t="str">
        <f t="shared" si="3"/>
        <v/>
      </c>
      <c r="N279" s="22" t="str">
        <f t="shared" si="1"/>
        <v/>
      </c>
    </row>
    <row r="280" ht="15.75" customHeight="1">
      <c r="A280" s="25">
        <f>IFERROR(__xludf.DUMMYFUNCTION("""COMPUTED_VALUE"""),43661.66666666667)</f>
        <v>43661.66667</v>
      </c>
      <c r="B280" s="22">
        <f>IFERROR(__xludf.DUMMYFUNCTION("""COMPUTED_VALUE"""),3014.3)</f>
        <v>3014.3</v>
      </c>
      <c r="C280" s="25">
        <f>IFERROR(__xludf.DUMMYFUNCTION("""COMPUTED_VALUE"""),43661.63611111111)</f>
        <v>43661.63611</v>
      </c>
      <c r="D280" s="22">
        <f>IFERROR(__xludf.DUMMYFUNCTION("""COMPUTED_VALUE"""),12.68)</f>
        <v>12.68</v>
      </c>
      <c r="E280" s="26">
        <f t="shared" si="2"/>
        <v>0.0001758594717</v>
      </c>
      <c r="F280" s="25">
        <f>IFERROR(__xludf.DUMMYFUNCTION("""COMPUTED_VALUE"""),43661.63611111111)</f>
        <v>43661.63611</v>
      </c>
      <c r="G280" s="22">
        <f>IFERROR(__xludf.DUMMYFUNCTION("""COMPUTED_VALUE"""),15.04)</f>
        <v>15.04</v>
      </c>
      <c r="H280" s="25">
        <f>IFERROR(__xludf.DUMMYFUNCTION("""COMPUTED_VALUE"""),43661.63611111111)</f>
        <v>43661.63611</v>
      </c>
      <c r="I280" s="22">
        <f>IFERROR(__xludf.DUMMYFUNCTION("""COMPUTED_VALUE"""),16.28)</f>
        <v>16.28</v>
      </c>
      <c r="J280" s="25">
        <f>IFERROR(__xludf.DUMMYFUNCTION("""COMPUTED_VALUE"""),43661.63611111111)</f>
        <v>43661.63611</v>
      </c>
      <c r="K280" s="22">
        <f>IFERROR(__xludf.DUMMYFUNCTION("""COMPUTED_VALUE"""),17.27)</f>
        <v>17.27</v>
      </c>
      <c r="M280" s="22" t="str">
        <f t="shared" si="3"/>
        <v/>
      </c>
      <c r="N280" s="22" t="str">
        <f t="shared" si="1"/>
        <v/>
      </c>
    </row>
    <row r="281" ht="15.75" customHeight="1">
      <c r="A281" s="25">
        <f>IFERROR(__xludf.DUMMYFUNCTION("""COMPUTED_VALUE"""),43662.66666666667)</f>
        <v>43662.66667</v>
      </c>
      <c r="B281" s="22">
        <f>IFERROR(__xludf.DUMMYFUNCTION("""COMPUTED_VALUE"""),3004.04)</f>
        <v>3004.04</v>
      </c>
      <c r="C281" s="25">
        <f>IFERROR(__xludf.DUMMYFUNCTION("""COMPUTED_VALUE"""),43662.63611111111)</f>
        <v>43662.63611</v>
      </c>
      <c r="D281" s="22">
        <f>IFERROR(__xludf.DUMMYFUNCTION("""COMPUTED_VALUE"""),12.86)</f>
        <v>12.86</v>
      </c>
      <c r="E281" s="26">
        <f t="shared" si="2"/>
        <v>-0.003403775338</v>
      </c>
      <c r="F281" s="25">
        <f>IFERROR(__xludf.DUMMYFUNCTION("""COMPUTED_VALUE"""),43662.63611111111)</f>
        <v>43662.63611</v>
      </c>
      <c r="G281" s="22">
        <f>IFERROR(__xludf.DUMMYFUNCTION("""COMPUTED_VALUE"""),15.22)</f>
        <v>15.22</v>
      </c>
      <c r="H281" s="25">
        <f>IFERROR(__xludf.DUMMYFUNCTION("""COMPUTED_VALUE"""),43662.63611111111)</f>
        <v>43662.63611</v>
      </c>
      <c r="I281" s="22">
        <f>IFERROR(__xludf.DUMMYFUNCTION("""COMPUTED_VALUE"""),16.39)</f>
        <v>16.39</v>
      </c>
      <c r="J281" s="25">
        <f>IFERROR(__xludf.DUMMYFUNCTION("""COMPUTED_VALUE"""),43662.63611111111)</f>
        <v>43662.63611</v>
      </c>
      <c r="K281" s="22">
        <f>IFERROR(__xludf.DUMMYFUNCTION("""COMPUTED_VALUE"""),17.34)</f>
        <v>17.34</v>
      </c>
      <c r="M281" s="22" t="str">
        <f t="shared" si="3"/>
        <v/>
      </c>
      <c r="N281" s="22" t="str">
        <f t="shared" si="1"/>
        <v/>
      </c>
    </row>
    <row r="282" ht="15.75" customHeight="1">
      <c r="A282" s="25">
        <f>IFERROR(__xludf.DUMMYFUNCTION("""COMPUTED_VALUE"""),43663.66666666667)</f>
        <v>43663.66667</v>
      </c>
      <c r="B282" s="22">
        <f>IFERROR(__xludf.DUMMYFUNCTION("""COMPUTED_VALUE"""),2984.42)</f>
        <v>2984.42</v>
      </c>
      <c r="C282" s="25">
        <f>IFERROR(__xludf.DUMMYFUNCTION("""COMPUTED_VALUE"""),43663.63611111111)</f>
        <v>43663.63611</v>
      </c>
      <c r="D282" s="22">
        <f>IFERROR(__xludf.DUMMYFUNCTION("""COMPUTED_VALUE"""),13.97)</f>
        <v>13.97</v>
      </c>
      <c r="E282" s="26">
        <f t="shared" si="2"/>
        <v>-0.006531204644</v>
      </c>
      <c r="F282" s="25">
        <f>IFERROR(__xludf.DUMMYFUNCTION("""COMPUTED_VALUE"""),43663.63611111111)</f>
        <v>43663.63611</v>
      </c>
      <c r="G282" s="22">
        <f>IFERROR(__xludf.DUMMYFUNCTION("""COMPUTED_VALUE"""),15.82)</f>
        <v>15.82</v>
      </c>
      <c r="H282" s="25">
        <f>IFERROR(__xludf.DUMMYFUNCTION("""COMPUTED_VALUE"""),43663.63611111111)</f>
        <v>43663.63611</v>
      </c>
      <c r="I282" s="22">
        <f>IFERROR(__xludf.DUMMYFUNCTION("""COMPUTED_VALUE"""),16.84)</f>
        <v>16.84</v>
      </c>
      <c r="J282" s="25">
        <f>IFERROR(__xludf.DUMMYFUNCTION("""COMPUTED_VALUE"""),43663.63611111111)</f>
        <v>43663.63611</v>
      </c>
      <c r="K282" s="22">
        <f>IFERROR(__xludf.DUMMYFUNCTION("""COMPUTED_VALUE"""),17.68)</f>
        <v>17.68</v>
      </c>
      <c r="M282" s="22" t="str">
        <f t="shared" si="3"/>
        <v/>
      </c>
      <c r="N282" s="22" t="str">
        <f t="shared" si="1"/>
        <v/>
      </c>
    </row>
    <row r="283" ht="15.75" customHeight="1">
      <c r="A283" s="25">
        <f>IFERROR(__xludf.DUMMYFUNCTION("""COMPUTED_VALUE"""),43664.66666666667)</f>
        <v>43664.66667</v>
      </c>
      <c r="B283" s="22">
        <f>IFERROR(__xludf.DUMMYFUNCTION("""COMPUTED_VALUE"""),2995.11)</f>
        <v>2995.11</v>
      </c>
      <c r="C283" s="25">
        <f>IFERROR(__xludf.DUMMYFUNCTION("""COMPUTED_VALUE"""),43664.63611111111)</f>
        <v>43664.63611</v>
      </c>
      <c r="D283" s="22">
        <f>IFERROR(__xludf.DUMMYFUNCTION("""COMPUTED_VALUE"""),13.53)</f>
        <v>13.53</v>
      </c>
      <c r="E283" s="26">
        <f t="shared" si="2"/>
        <v>0.003581935518</v>
      </c>
      <c r="F283" s="25">
        <f>IFERROR(__xludf.DUMMYFUNCTION("""COMPUTED_VALUE"""),43664.63611111111)</f>
        <v>43664.63611</v>
      </c>
      <c r="G283" s="22">
        <f>IFERROR(__xludf.DUMMYFUNCTION("""COMPUTED_VALUE"""),15.54)</f>
        <v>15.54</v>
      </c>
      <c r="H283" s="25">
        <f>IFERROR(__xludf.DUMMYFUNCTION("""COMPUTED_VALUE"""),43664.63611111111)</f>
        <v>43664.63611</v>
      </c>
      <c r="I283" s="22">
        <f>IFERROR(__xludf.DUMMYFUNCTION("""COMPUTED_VALUE"""),16.61)</f>
        <v>16.61</v>
      </c>
      <c r="J283" s="25">
        <f>IFERROR(__xludf.DUMMYFUNCTION("""COMPUTED_VALUE"""),43664.63611111111)</f>
        <v>43664.63611</v>
      </c>
      <c r="K283" s="22">
        <f>IFERROR(__xludf.DUMMYFUNCTION("""COMPUTED_VALUE"""),17.52)</f>
        <v>17.52</v>
      </c>
      <c r="M283" s="22" t="str">
        <f t="shared" si="3"/>
        <v/>
      </c>
      <c r="N283" s="22" t="str">
        <f t="shared" si="1"/>
        <v/>
      </c>
    </row>
    <row r="284" ht="15.75" customHeight="1">
      <c r="A284" s="25">
        <f>IFERROR(__xludf.DUMMYFUNCTION("""COMPUTED_VALUE"""),43665.66666666667)</f>
        <v>43665.66667</v>
      </c>
      <c r="B284" s="22">
        <f>IFERROR(__xludf.DUMMYFUNCTION("""COMPUTED_VALUE"""),2976.61)</f>
        <v>2976.61</v>
      </c>
      <c r="C284" s="25">
        <f>IFERROR(__xludf.DUMMYFUNCTION("""COMPUTED_VALUE"""),43665.63611111111)</f>
        <v>43665.63611</v>
      </c>
      <c r="D284" s="22">
        <f>IFERROR(__xludf.DUMMYFUNCTION("""COMPUTED_VALUE"""),14.45)</f>
        <v>14.45</v>
      </c>
      <c r="E284" s="26">
        <f t="shared" si="2"/>
        <v>-0.006176734744</v>
      </c>
      <c r="F284" s="25">
        <f>IFERROR(__xludf.DUMMYFUNCTION("""COMPUTED_VALUE"""),43665.63611111111)</f>
        <v>43665.63611</v>
      </c>
      <c r="G284" s="22">
        <f>IFERROR(__xludf.DUMMYFUNCTION("""COMPUTED_VALUE"""),15.93)</f>
        <v>15.93</v>
      </c>
      <c r="H284" s="25">
        <f>IFERROR(__xludf.DUMMYFUNCTION("""COMPUTED_VALUE"""),43665.63611111111)</f>
        <v>43665.63611</v>
      </c>
      <c r="I284" s="22">
        <f>IFERROR(__xludf.DUMMYFUNCTION("""COMPUTED_VALUE"""),16.9)</f>
        <v>16.9</v>
      </c>
      <c r="J284" s="25">
        <f>IFERROR(__xludf.DUMMYFUNCTION("""COMPUTED_VALUE"""),43665.63611111111)</f>
        <v>43665.63611</v>
      </c>
      <c r="K284" s="22">
        <f>IFERROR(__xludf.DUMMYFUNCTION("""COMPUTED_VALUE"""),17.77)</f>
        <v>17.77</v>
      </c>
      <c r="M284" s="22" t="str">
        <f t="shared" si="3"/>
        <v/>
      </c>
      <c r="N284" s="22" t="str">
        <f t="shared" si="1"/>
        <v/>
      </c>
    </row>
    <row r="285" ht="15.75" customHeight="1">
      <c r="A285" s="25">
        <f>IFERROR(__xludf.DUMMYFUNCTION("""COMPUTED_VALUE"""),43668.66666666667)</f>
        <v>43668.66667</v>
      </c>
      <c r="B285" s="22">
        <f>IFERROR(__xludf.DUMMYFUNCTION("""COMPUTED_VALUE"""),2985.03)</f>
        <v>2985.03</v>
      </c>
      <c r="C285" s="25">
        <f>IFERROR(__xludf.DUMMYFUNCTION("""COMPUTED_VALUE"""),43668.63611111111)</f>
        <v>43668.63611</v>
      </c>
      <c r="D285" s="22">
        <f>IFERROR(__xludf.DUMMYFUNCTION("""COMPUTED_VALUE"""),13.53)</f>
        <v>13.53</v>
      </c>
      <c r="E285" s="26">
        <f t="shared" si="2"/>
        <v>0.002828721263</v>
      </c>
      <c r="F285" s="25">
        <f>IFERROR(__xludf.DUMMYFUNCTION("""COMPUTED_VALUE"""),43668.63611111111)</f>
        <v>43668.63611</v>
      </c>
      <c r="G285" s="22">
        <f>IFERROR(__xludf.DUMMYFUNCTION("""COMPUTED_VALUE"""),15.47)</f>
        <v>15.47</v>
      </c>
      <c r="H285" s="25">
        <f>IFERROR(__xludf.DUMMYFUNCTION("""COMPUTED_VALUE"""),43668.63611111111)</f>
        <v>43668.63611</v>
      </c>
      <c r="I285" s="22">
        <f>IFERROR(__xludf.DUMMYFUNCTION("""COMPUTED_VALUE"""),16.57)</f>
        <v>16.57</v>
      </c>
      <c r="J285" s="25">
        <f>IFERROR(__xludf.DUMMYFUNCTION("""COMPUTED_VALUE"""),43668.63611111111)</f>
        <v>43668.63611</v>
      </c>
      <c r="K285" s="22">
        <f>IFERROR(__xludf.DUMMYFUNCTION("""COMPUTED_VALUE"""),17.53)</f>
        <v>17.53</v>
      </c>
      <c r="M285" s="22" t="str">
        <f t="shared" si="3"/>
        <v/>
      </c>
      <c r="N285" s="22" t="str">
        <f t="shared" si="1"/>
        <v/>
      </c>
    </row>
    <row r="286" ht="15.75" customHeight="1">
      <c r="A286" s="25">
        <f>IFERROR(__xludf.DUMMYFUNCTION("""COMPUTED_VALUE"""),43669.66666666667)</f>
        <v>43669.66667</v>
      </c>
      <c r="B286" s="22">
        <f>IFERROR(__xludf.DUMMYFUNCTION("""COMPUTED_VALUE"""),3005.47)</f>
        <v>3005.47</v>
      </c>
      <c r="C286" s="25">
        <f>IFERROR(__xludf.DUMMYFUNCTION("""COMPUTED_VALUE"""),43669.63611111111)</f>
        <v>43669.63611</v>
      </c>
      <c r="D286" s="22">
        <f>IFERROR(__xludf.DUMMYFUNCTION("""COMPUTED_VALUE"""),12.61)</f>
        <v>12.61</v>
      </c>
      <c r="E286" s="26">
        <f t="shared" si="2"/>
        <v>0.00684750237</v>
      </c>
      <c r="F286" s="25">
        <f>IFERROR(__xludf.DUMMYFUNCTION("""COMPUTED_VALUE"""),43669.63611111111)</f>
        <v>43669.63611</v>
      </c>
      <c r="G286" s="22">
        <f>IFERROR(__xludf.DUMMYFUNCTION("""COMPUTED_VALUE"""),14.93)</f>
        <v>14.93</v>
      </c>
      <c r="H286" s="25">
        <f>IFERROR(__xludf.DUMMYFUNCTION("""COMPUTED_VALUE"""),43669.63611111111)</f>
        <v>43669.63611</v>
      </c>
      <c r="I286" s="22">
        <f>IFERROR(__xludf.DUMMYFUNCTION("""COMPUTED_VALUE"""),16.18)</f>
        <v>16.18</v>
      </c>
      <c r="J286" s="25">
        <f>IFERROR(__xludf.DUMMYFUNCTION("""COMPUTED_VALUE"""),43669.63611111111)</f>
        <v>43669.63611</v>
      </c>
      <c r="K286" s="22">
        <f>IFERROR(__xludf.DUMMYFUNCTION("""COMPUTED_VALUE"""),17.22)</f>
        <v>17.22</v>
      </c>
      <c r="M286" s="22" t="str">
        <f t="shared" si="3"/>
        <v/>
      </c>
      <c r="N286" s="22" t="str">
        <f t="shared" si="1"/>
        <v/>
      </c>
    </row>
    <row r="287" ht="15.75" customHeight="1">
      <c r="A287" s="25">
        <f>IFERROR(__xludf.DUMMYFUNCTION("""COMPUTED_VALUE"""),43670.66666666667)</f>
        <v>43670.66667</v>
      </c>
      <c r="B287" s="22">
        <f>IFERROR(__xludf.DUMMYFUNCTION("""COMPUTED_VALUE"""),3019.56)</f>
        <v>3019.56</v>
      </c>
      <c r="C287" s="25">
        <f>IFERROR(__xludf.DUMMYFUNCTION("""COMPUTED_VALUE"""),43670.63611111111)</f>
        <v>43670.63611</v>
      </c>
      <c r="D287" s="22">
        <f>IFERROR(__xludf.DUMMYFUNCTION("""COMPUTED_VALUE"""),12.07)</f>
        <v>12.07</v>
      </c>
      <c r="E287" s="26">
        <f t="shared" si="2"/>
        <v>0.004688118664</v>
      </c>
      <c r="F287" s="25">
        <f>IFERROR(__xludf.DUMMYFUNCTION("""COMPUTED_VALUE"""),43670.63611111111)</f>
        <v>43670.63611</v>
      </c>
      <c r="G287" s="22">
        <f>IFERROR(__xludf.DUMMYFUNCTION("""COMPUTED_VALUE"""),14.56)</f>
        <v>14.56</v>
      </c>
      <c r="H287" s="25">
        <f>IFERROR(__xludf.DUMMYFUNCTION("""COMPUTED_VALUE"""),43670.63611111111)</f>
        <v>43670.63611</v>
      </c>
      <c r="I287" s="22">
        <f>IFERROR(__xludf.DUMMYFUNCTION("""COMPUTED_VALUE"""),15.93)</f>
        <v>15.93</v>
      </c>
      <c r="J287" s="25">
        <f>IFERROR(__xludf.DUMMYFUNCTION("""COMPUTED_VALUE"""),43670.63611111111)</f>
        <v>43670.63611</v>
      </c>
      <c r="K287" s="22">
        <f>IFERROR(__xludf.DUMMYFUNCTION("""COMPUTED_VALUE"""),17.06)</f>
        <v>17.06</v>
      </c>
      <c r="M287" s="22" t="str">
        <f t="shared" si="3"/>
        <v/>
      </c>
      <c r="N287" s="22" t="str">
        <f t="shared" si="1"/>
        <v/>
      </c>
    </row>
    <row r="288" ht="15.75" customHeight="1">
      <c r="A288" s="25">
        <f>IFERROR(__xludf.DUMMYFUNCTION("""COMPUTED_VALUE"""),43671.66666666667)</f>
        <v>43671.66667</v>
      </c>
      <c r="B288" s="22">
        <f>IFERROR(__xludf.DUMMYFUNCTION("""COMPUTED_VALUE"""),3003.67)</f>
        <v>3003.67</v>
      </c>
      <c r="C288" s="25">
        <f>IFERROR(__xludf.DUMMYFUNCTION("""COMPUTED_VALUE"""),43671.63611111111)</f>
        <v>43671.63611</v>
      </c>
      <c r="D288" s="22">
        <f>IFERROR(__xludf.DUMMYFUNCTION("""COMPUTED_VALUE"""),12.74)</f>
        <v>12.74</v>
      </c>
      <c r="E288" s="26">
        <f t="shared" si="2"/>
        <v>-0.005262356105</v>
      </c>
      <c r="F288" s="25">
        <f>IFERROR(__xludf.DUMMYFUNCTION("""COMPUTED_VALUE"""),43671.63611111111)</f>
        <v>43671.63611</v>
      </c>
      <c r="G288" s="22">
        <f>IFERROR(__xludf.DUMMYFUNCTION("""COMPUTED_VALUE"""),15.05)</f>
        <v>15.05</v>
      </c>
      <c r="H288" s="25">
        <f>IFERROR(__xludf.DUMMYFUNCTION("""COMPUTED_VALUE"""),43671.63611111111)</f>
        <v>43671.63611</v>
      </c>
      <c r="I288" s="22">
        <f>IFERROR(__xludf.DUMMYFUNCTION("""COMPUTED_VALUE"""),16.25)</f>
        <v>16.25</v>
      </c>
      <c r="J288" s="25">
        <f>IFERROR(__xludf.DUMMYFUNCTION("""COMPUTED_VALUE"""),43671.63611111111)</f>
        <v>43671.63611</v>
      </c>
      <c r="K288" s="22">
        <f>IFERROR(__xludf.DUMMYFUNCTION("""COMPUTED_VALUE"""),17.26)</f>
        <v>17.26</v>
      </c>
      <c r="M288" s="22" t="str">
        <f t="shared" si="3"/>
        <v/>
      </c>
      <c r="N288" s="22" t="str">
        <f t="shared" si="1"/>
        <v/>
      </c>
    </row>
    <row r="289" ht="15.75" customHeight="1">
      <c r="A289" s="25">
        <f>IFERROR(__xludf.DUMMYFUNCTION("""COMPUTED_VALUE"""),43672.66666666667)</f>
        <v>43672.66667</v>
      </c>
      <c r="B289" s="22">
        <f>IFERROR(__xludf.DUMMYFUNCTION("""COMPUTED_VALUE"""),3025.86)</f>
        <v>3025.86</v>
      </c>
      <c r="C289" s="25">
        <f>IFERROR(__xludf.DUMMYFUNCTION("""COMPUTED_VALUE"""),43672.63611111111)</f>
        <v>43672.63611</v>
      </c>
      <c r="D289" s="22">
        <f>IFERROR(__xludf.DUMMYFUNCTION("""COMPUTED_VALUE"""),12.16)</f>
        <v>12.16</v>
      </c>
      <c r="E289" s="26">
        <f t="shared" si="2"/>
        <v>0.007387629134</v>
      </c>
      <c r="F289" s="25">
        <f>IFERROR(__xludf.DUMMYFUNCTION("""COMPUTED_VALUE"""),43672.63611111111)</f>
        <v>43672.63611</v>
      </c>
      <c r="G289" s="22">
        <f>IFERROR(__xludf.DUMMYFUNCTION("""COMPUTED_VALUE"""),14.69)</f>
        <v>14.69</v>
      </c>
      <c r="H289" s="25">
        <f>IFERROR(__xludf.DUMMYFUNCTION("""COMPUTED_VALUE"""),43672.63611111111)</f>
        <v>43672.63611</v>
      </c>
      <c r="I289" s="22">
        <f>IFERROR(__xludf.DUMMYFUNCTION("""COMPUTED_VALUE"""),15.95)</f>
        <v>15.95</v>
      </c>
      <c r="J289" s="25">
        <f>IFERROR(__xludf.DUMMYFUNCTION("""COMPUTED_VALUE"""),43672.63611111111)</f>
        <v>43672.63611</v>
      </c>
      <c r="K289" s="22">
        <f>IFERROR(__xludf.DUMMYFUNCTION("""COMPUTED_VALUE"""),17.02)</f>
        <v>17.02</v>
      </c>
      <c r="M289" s="22" t="str">
        <f t="shared" si="3"/>
        <v/>
      </c>
      <c r="N289" s="22" t="str">
        <f t="shared" si="1"/>
        <v/>
      </c>
    </row>
    <row r="290" ht="15.75" customHeight="1">
      <c r="A290" s="25">
        <f>IFERROR(__xludf.DUMMYFUNCTION("""COMPUTED_VALUE"""),43675.66666666667)</f>
        <v>43675.66667</v>
      </c>
      <c r="B290" s="22">
        <f>IFERROR(__xludf.DUMMYFUNCTION("""COMPUTED_VALUE"""),3020.97)</f>
        <v>3020.97</v>
      </c>
      <c r="C290" s="25">
        <f>IFERROR(__xludf.DUMMYFUNCTION("""COMPUTED_VALUE"""),43675.63611111111)</f>
        <v>43675.63611</v>
      </c>
      <c r="D290" s="22">
        <f>IFERROR(__xludf.DUMMYFUNCTION("""COMPUTED_VALUE"""),12.83)</f>
        <v>12.83</v>
      </c>
      <c r="E290" s="26">
        <f t="shared" si="2"/>
        <v>-0.001616069481</v>
      </c>
      <c r="F290" s="25">
        <f>IFERROR(__xludf.DUMMYFUNCTION("""COMPUTED_VALUE"""),43675.63611111111)</f>
        <v>43675.63611</v>
      </c>
      <c r="G290" s="22">
        <f>IFERROR(__xludf.DUMMYFUNCTION("""COMPUTED_VALUE"""),15.0)</f>
        <v>15</v>
      </c>
      <c r="H290" s="25">
        <f>IFERROR(__xludf.DUMMYFUNCTION("""COMPUTED_VALUE"""),43675.63611111111)</f>
        <v>43675.63611</v>
      </c>
      <c r="I290" s="22">
        <f>IFERROR(__xludf.DUMMYFUNCTION("""COMPUTED_VALUE"""),16.16)</f>
        <v>16.16</v>
      </c>
      <c r="J290" s="25">
        <f>IFERROR(__xludf.DUMMYFUNCTION("""COMPUTED_VALUE"""),43675.63611111111)</f>
        <v>43675.63611</v>
      </c>
      <c r="K290" s="22">
        <f>IFERROR(__xludf.DUMMYFUNCTION("""COMPUTED_VALUE"""),17.19)</f>
        <v>17.19</v>
      </c>
      <c r="M290" s="22" t="str">
        <f t="shared" si="3"/>
        <v/>
      </c>
      <c r="N290" s="22" t="str">
        <f t="shared" si="1"/>
        <v/>
      </c>
    </row>
    <row r="291" ht="15.75" customHeight="1">
      <c r="A291" s="25">
        <f>IFERROR(__xludf.DUMMYFUNCTION("""COMPUTED_VALUE"""),43676.66666666667)</f>
        <v>43676.66667</v>
      </c>
      <c r="B291" s="22">
        <f>IFERROR(__xludf.DUMMYFUNCTION("""COMPUTED_VALUE"""),3013.18)</f>
        <v>3013.18</v>
      </c>
      <c r="C291" s="25">
        <f>IFERROR(__xludf.DUMMYFUNCTION("""COMPUTED_VALUE"""),43676.63611111111)</f>
        <v>43676.63611</v>
      </c>
      <c r="D291" s="22">
        <f>IFERROR(__xludf.DUMMYFUNCTION("""COMPUTED_VALUE"""),13.94)</f>
        <v>13.94</v>
      </c>
      <c r="E291" s="26">
        <f t="shared" si="2"/>
        <v>-0.002578641959</v>
      </c>
      <c r="F291" s="25">
        <f>IFERROR(__xludf.DUMMYFUNCTION("""COMPUTED_VALUE"""),43676.63611111111)</f>
        <v>43676.63611</v>
      </c>
      <c r="G291" s="22">
        <f>IFERROR(__xludf.DUMMYFUNCTION("""COMPUTED_VALUE"""),15.7)</f>
        <v>15.7</v>
      </c>
      <c r="H291" s="25">
        <f>IFERROR(__xludf.DUMMYFUNCTION("""COMPUTED_VALUE"""),43676.63611111111)</f>
        <v>43676.63611</v>
      </c>
      <c r="I291" s="22">
        <f>IFERROR(__xludf.DUMMYFUNCTION("""COMPUTED_VALUE"""),16.61)</f>
        <v>16.61</v>
      </c>
      <c r="J291" s="25">
        <f>IFERROR(__xludf.DUMMYFUNCTION("""COMPUTED_VALUE"""),43676.63611111111)</f>
        <v>43676.63611</v>
      </c>
      <c r="K291" s="22">
        <f>IFERROR(__xludf.DUMMYFUNCTION("""COMPUTED_VALUE"""),17.47)</f>
        <v>17.47</v>
      </c>
      <c r="M291" s="22" t="str">
        <f t="shared" si="3"/>
        <v/>
      </c>
      <c r="N291" s="22" t="str">
        <f t="shared" si="1"/>
        <v/>
      </c>
    </row>
    <row r="292" ht="15.75" customHeight="1">
      <c r="A292" s="25">
        <f>IFERROR(__xludf.DUMMYFUNCTION("""COMPUTED_VALUE"""),43677.66666666667)</f>
        <v>43677.66667</v>
      </c>
      <c r="B292" s="22">
        <f>IFERROR(__xludf.DUMMYFUNCTION("""COMPUTED_VALUE"""),2980.38)</f>
        <v>2980.38</v>
      </c>
      <c r="C292" s="25">
        <f>IFERROR(__xludf.DUMMYFUNCTION("""COMPUTED_VALUE"""),43677.63611111111)</f>
        <v>43677.63611</v>
      </c>
      <c r="D292" s="22">
        <f>IFERROR(__xludf.DUMMYFUNCTION("""COMPUTED_VALUE"""),16.12)</f>
        <v>16.12</v>
      </c>
      <c r="E292" s="26">
        <f t="shared" si="2"/>
        <v>-0.01088550966</v>
      </c>
      <c r="F292" s="25">
        <f>IFERROR(__xludf.DUMMYFUNCTION("""COMPUTED_VALUE"""),43677.63611111111)</f>
        <v>43677.63611</v>
      </c>
      <c r="G292" s="22">
        <f>IFERROR(__xludf.DUMMYFUNCTION("""COMPUTED_VALUE"""),16.91)</f>
        <v>16.91</v>
      </c>
      <c r="H292" s="25">
        <f>IFERROR(__xludf.DUMMYFUNCTION("""COMPUTED_VALUE"""),43677.63611111111)</f>
        <v>43677.63611</v>
      </c>
      <c r="I292" s="22">
        <f>IFERROR(__xludf.DUMMYFUNCTION("""COMPUTED_VALUE"""),17.47)</f>
        <v>17.47</v>
      </c>
      <c r="J292" s="25">
        <f>IFERROR(__xludf.DUMMYFUNCTION("""COMPUTED_VALUE"""),43677.63611111111)</f>
        <v>43677.63611</v>
      </c>
      <c r="K292" s="22">
        <f>IFERROR(__xludf.DUMMYFUNCTION("""COMPUTED_VALUE"""),18.09)</f>
        <v>18.09</v>
      </c>
      <c r="M292" s="22" t="str">
        <f t="shared" si="3"/>
        <v/>
      </c>
      <c r="N292" s="22" t="str">
        <f t="shared" si="1"/>
        <v/>
      </c>
    </row>
    <row r="293" ht="15.75" customHeight="1">
      <c r="A293" s="25">
        <f>IFERROR(__xludf.DUMMYFUNCTION("""COMPUTED_VALUE"""),43678.66666666667)</f>
        <v>43678.66667</v>
      </c>
      <c r="B293" s="22">
        <f>IFERROR(__xludf.DUMMYFUNCTION("""COMPUTED_VALUE"""),2953.56)</f>
        <v>2953.56</v>
      </c>
      <c r="C293" s="25">
        <f>IFERROR(__xludf.DUMMYFUNCTION("""COMPUTED_VALUE"""),43678.63611111111)</f>
        <v>43678.63611</v>
      </c>
      <c r="D293" s="22">
        <f>IFERROR(__xludf.DUMMYFUNCTION("""COMPUTED_VALUE"""),17.87)</f>
        <v>17.87</v>
      </c>
      <c r="E293" s="26">
        <f t="shared" si="2"/>
        <v>-0.008998852495</v>
      </c>
      <c r="F293" s="25">
        <f>IFERROR(__xludf.DUMMYFUNCTION("""COMPUTED_VALUE"""),43678.63611111111)</f>
        <v>43678.63611</v>
      </c>
      <c r="G293" s="22">
        <f>IFERROR(__xludf.DUMMYFUNCTION("""COMPUTED_VALUE"""),17.99)</f>
        <v>17.99</v>
      </c>
      <c r="H293" s="25">
        <f>IFERROR(__xludf.DUMMYFUNCTION("""COMPUTED_VALUE"""),43678.63611111111)</f>
        <v>43678.63611</v>
      </c>
      <c r="I293" s="22">
        <f>IFERROR(__xludf.DUMMYFUNCTION("""COMPUTED_VALUE"""),18.17)</f>
        <v>18.17</v>
      </c>
      <c r="J293" s="25">
        <f>IFERROR(__xludf.DUMMYFUNCTION("""COMPUTED_VALUE"""),43678.63611111111)</f>
        <v>43678.63611</v>
      </c>
      <c r="K293" s="22">
        <f>IFERROR(__xludf.DUMMYFUNCTION("""COMPUTED_VALUE"""),18.39)</f>
        <v>18.39</v>
      </c>
      <c r="M293" s="22" t="str">
        <f t="shared" si="3"/>
        <v/>
      </c>
      <c r="N293" s="22" t="str">
        <f t="shared" si="1"/>
        <v/>
      </c>
    </row>
    <row r="294" ht="15.75" customHeight="1">
      <c r="A294" s="25">
        <f>IFERROR(__xludf.DUMMYFUNCTION("""COMPUTED_VALUE"""),43679.66666666667)</f>
        <v>43679.66667</v>
      </c>
      <c r="B294" s="22">
        <f>IFERROR(__xludf.DUMMYFUNCTION("""COMPUTED_VALUE"""),2932.05)</f>
        <v>2932.05</v>
      </c>
      <c r="C294" s="25">
        <f>IFERROR(__xludf.DUMMYFUNCTION("""COMPUTED_VALUE"""),43679.63611111111)</f>
        <v>43679.63611</v>
      </c>
      <c r="D294" s="22">
        <f>IFERROR(__xludf.DUMMYFUNCTION("""COMPUTED_VALUE"""),17.61)</f>
        <v>17.61</v>
      </c>
      <c r="E294" s="26">
        <f t="shared" si="2"/>
        <v>-0.007282736765</v>
      </c>
      <c r="F294" s="25">
        <f>IFERROR(__xludf.DUMMYFUNCTION("""COMPUTED_VALUE"""),43679.63611111111)</f>
        <v>43679.63611</v>
      </c>
      <c r="G294" s="22">
        <f>IFERROR(__xludf.DUMMYFUNCTION("""COMPUTED_VALUE"""),17.89)</f>
        <v>17.89</v>
      </c>
      <c r="H294" s="25">
        <f>IFERROR(__xludf.DUMMYFUNCTION("""COMPUTED_VALUE"""),43679.63611111111)</f>
        <v>43679.63611</v>
      </c>
      <c r="I294" s="22">
        <f>IFERROR(__xludf.DUMMYFUNCTION("""COMPUTED_VALUE"""),18.11)</f>
        <v>18.11</v>
      </c>
      <c r="J294" s="25">
        <f>IFERROR(__xludf.DUMMYFUNCTION("""COMPUTED_VALUE"""),43679.63611111111)</f>
        <v>43679.63611</v>
      </c>
      <c r="K294" s="22">
        <f>IFERROR(__xludf.DUMMYFUNCTION("""COMPUTED_VALUE"""),18.31)</f>
        <v>18.31</v>
      </c>
      <c r="M294" s="22" t="str">
        <f t="shared" si="3"/>
        <v/>
      </c>
      <c r="N294" s="22" t="str">
        <f t="shared" si="1"/>
        <v/>
      </c>
    </row>
    <row r="295" ht="15.75" customHeight="1">
      <c r="A295" s="25">
        <f>IFERROR(__xludf.DUMMYFUNCTION("""COMPUTED_VALUE"""),43682.66666666667)</f>
        <v>43682.66667</v>
      </c>
      <c r="B295" s="22">
        <f>IFERROR(__xludf.DUMMYFUNCTION("""COMPUTED_VALUE"""),2844.74)</f>
        <v>2844.74</v>
      </c>
      <c r="C295" s="25">
        <f>IFERROR(__xludf.DUMMYFUNCTION("""COMPUTED_VALUE"""),43682.63611111111)</f>
        <v>43682.63611</v>
      </c>
      <c r="D295" s="22">
        <f>IFERROR(__xludf.DUMMYFUNCTION("""COMPUTED_VALUE"""),24.59)</f>
        <v>24.59</v>
      </c>
      <c r="E295" s="26">
        <f t="shared" si="2"/>
        <v>-0.02977780051</v>
      </c>
      <c r="F295" s="25">
        <f>IFERROR(__xludf.DUMMYFUNCTION("""COMPUTED_VALUE"""),43682.63611111111)</f>
        <v>43682.63611</v>
      </c>
      <c r="G295" s="22">
        <f>IFERROR(__xludf.DUMMYFUNCTION("""COMPUTED_VALUE"""),21.9)</f>
        <v>21.9</v>
      </c>
      <c r="H295" s="25">
        <f>IFERROR(__xludf.DUMMYFUNCTION("""COMPUTED_VALUE"""),43682.63611111111)</f>
        <v>43682.63611</v>
      </c>
      <c r="I295" s="22">
        <f>IFERROR(__xludf.DUMMYFUNCTION("""COMPUTED_VALUE"""),20.81)</f>
        <v>20.81</v>
      </c>
      <c r="J295" s="25">
        <f>IFERROR(__xludf.DUMMYFUNCTION("""COMPUTED_VALUE"""),43682.63611111111)</f>
        <v>43682.63611</v>
      </c>
      <c r="K295" s="22">
        <f>IFERROR(__xludf.DUMMYFUNCTION("""COMPUTED_VALUE"""),19.92)</f>
        <v>19.92</v>
      </c>
      <c r="M295" s="22" t="str">
        <f t="shared" si="3"/>
        <v/>
      </c>
      <c r="N295" s="22" t="str">
        <f t="shared" si="1"/>
        <v/>
      </c>
    </row>
    <row r="296" ht="15.75" customHeight="1">
      <c r="A296" s="25">
        <f>IFERROR(__xludf.DUMMYFUNCTION("""COMPUTED_VALUE"""),43683.66666666667)</f>
        <v>43683.66667</v>
      </c>
      <c r="B296" s="22">
        <f>IFERROR(__xludf.DUMMYFUNCTION("""COMPUTED_VALUE"""),2881.77)</f>
        <v>2881.77</v>
      </c>
      <c r="C296" s="25">
        <f>IFERROR(__xludf.DUMMYFUNCTION("""COMPUTED_VALUE"""),43683.63611111111)</f>
        <v>43683.63611</v>
      </c>
      <c r="D296" s="22">
        <f>IFERROR(__xludf.DUMMYFUNCTION("""COMPUTED_VALUE"""),20.17)</f>
        <v>20.17</v>
      </c>
      <c r="E296" s="26">
        <f t="shared" si="2"/>
        <v>0.01301700683</v>
      </c>
      <c r="F296" s="25">
        <f>IFERROR(__xludf.DUMMYFUNCTION("""COMPUTED_VALUE"""),43683.63611111111)</f>
        <v>43683.63611</v>
      </c>
      <c r="G296" s="22">
        <f>IFERROR(__xludf.DUMMYFUNCTION("""COMPUTED_VALUE"""),19.69)</f>
        <v>19.69</v>
      </c>
      <c r="H296" s="25">
        <f>IFERROR(__xludf.DUMMYFUNCTION("""COMPUTED_VALUE"""),43683.63611111111)</f>
        <v>43683.63611</v>
      </c>
      <c r="I296" s="22">
        <f>IFERROR(__xludf.DUMMYFUNCTION("""COMPUTED_VALUE"""),19.41)</f>
        <v>19.41</v>
      </c>
      <c r="J296" s="25">
        <f>IFERROR(__xludf.DUMMYFUNCTION("""COMPUTED_VALUE"""),43683.63611111111)</f>
        <v>43683.63611</v>
      </c>
      <c r="K296" s="22">
        <f>IFERROR(__xludf.DUMMYFUNCTION("""COMPUTED_VALUE"""),19.01)</f>
        <v>19.01</v>
      </c>
      <c r="M296" s="22" t="str">
        <f t="shared" si="3"/>
        <v/>
      </c>
      <c r="N296" s="22" t="str">
        <f t="shared" si="1"/>
        <v/>
      </c>
    </row>
    <row r="297" ht="15.75" customHeight="1">
      <c r="A297" s="25">
        <f>IFERROR(__xludf.DUMMYFUNCTION("""COMPUTED_VALUE"""),43684.66666666667)</f>
        <v>43684.66667</v>
      </c>
      <c r="B297" s="22">
        <f>IFERROR(__xludf.DUMMYFUNCTION("""COMPUTED_VALUE"""),2883.98)</f>
        <v>2883.98</v>
      </c>
      <c r="C297" s="25">
        <f>IFERROR(__xludf.DUMMYFUNCTION("""COMPUTED_VALUE"""),43684.63611111111)</f>
        <v>43684.63611</v>
      </c>
      <c r="D297" s="22">
        <f>IFERROR(__xludf.DUMMYFUNCTION("""COMPUTED_VALUE"""),19.49)</f>
        <v>19.49</v>
      </c>
      <c r="E297" s="26">
        <f t="shared" si="2"/>
        <v>0.0007668897934</v>
      </c>
      <c r="F297" s="25">
        <f>IFERROR(__xludf.DUMMYFUNCTION("""COMPUTED_VALUE"""),43684.63611111111)</f>
        <v>43684.63611</v>
      </c>
      <c r="G297" s="22">
        <f>IFERROR(__xludf.DUMMYFUNCTION("""COMPUTED_VALUE"""),19.5)</f>
        <v>19.5</v>
      </c>
      <c r="H297" s="25">
        <f>IFERROR(__xludf.DUMMYFUNCTION("""COMPUTED_VALUE"""),43684.63611111111)</f>
        <v>43684.63611</v>
      </c>
      <c r="I297" s="22">
        <f>IFERROR(__xludf.DUMMYFUNCTION("""COMPUTED_VALUE"""),19.26)</f>
        <v>19.26</v>
      </c>
      <c r="J297" s="25">
        <f>IFERROR(__xludf.DUMMYFUNCTION("""COMPUTED_VALUE"""),43684.63611111111)</f>
        <v>43684.63611</v>
      </c>
      <c r="K297" s="22">
        <f>IFERROR(__xludf.DUMMYFUNCTION("""COMPUTED_VALUE"""),18.99)</f>
        <v>18.99</v>
      </c>
      <c r="M297" s="22" t="str">
        <f t="shared" si="3"/>
        <v/>
      </c>
      <c r="N297" s="22" t="str">
        <f t="shared" si="1"/>
        <v/>
      </c>
    </row>
    <row r="298" ht="15.75" customHeight="1">
      <c r="A298" s="25">
        <f>IFERROR(__xludf.DUMMYFUNCTION("""COMPUTED_VALUE"""),43685.66666666667)</f>
        <v>43685.66667</v>
      </c>
      <c r="B298" s="22">
        <f>IFERROR(__xludf.DUMMYFUNCTION("""COMPUTED_VALUE"""),2938.09)</f>
        <v>2938.09</v>
      </c>
      <c r="C298" s="25">
        <f>IFERROR(__xludf.DUMMYFUNCTION("""COMPUTED_VALUE"""),43685.63611111111)</f>
        <v>43685.63611</v>
      </c>
      <c r="D298" s="22">
        <f>IFERROR(__xludf.DUMMYFUNCTION("""COMPUTED_VALUE"""),16.91)</f>
        <v>16.91</v>
      </c>
      <c r="E298" s="26">
        <f t="shared" si="2"/>
        <v>0.01876226604</v>
      </c>
      <c r="F298" s="25">
        <f>IFERROR(__xludf.DUMMYFUNCTION("""COMPUTED_VALUE"""),43685.63611111111)</f>
        <v>43685.63611</v>
      </c>
      <c r="G298" s="22">
        <f>IFERROR(__xludf.DUMMYFUNCTION("""COMPUTED_VALUE"""),17.86)</f>
        <v>17.86</v>
      </c>
      <c r="H298" s="25">
        <f>IFERROR(__xludf.DUMMYFUNCTION("""COMPUTED_VALUE"""),43685.63611111111)</f>
        <v>43685.63611</v>
      </c>
      <c r="I298" s="22">
        <f>IFERROR(__xludf.DUMMYFUNCTION("""COMPUTED_VALUE"""),18.05)</f>
        <v>18.05</v>
      </c>
      <c r="J298" s="25">
        <f>IFERROR(__xludf.DUMMYFUNCTION("""COMPUTED_VALUE"""),43685.63611111111)</f>
        <v>43685.63611</v>
      </c>
      <c r="K298" s="22">
        <f>IFERROR(__xludf.DUMMYFUNCTION("""COMPUTED_VALUE"""),18.18)</f>
        <v>18.18</v>
      </c>
      <c r="M298" s="22" t="str">
        <f t="shared" si="3"/>
        <v/>
      </c>
      <c r="N298" s="22" t="str">
        <f t="shared" si="1"/>
        <v/>
      </c>
    </row>
    <row r="299" ht="15.75" customHeight="1">
      <c r="A299" s="25">
        <f>IFERROR(__xludf.DUMMYFUNCTION("""COMPUTED_VALUE"""),43686.66666666667)</f>
        <v>43686.66667</v>
      </c>
      <c r="B299" s="22">
        <f>IFERROR(__xludf.DUMMYFUNCTION("""COMPUTED_VALUE"""),2918.65)</f>
        <v>2918.65</v>
      </c>
      <c r="C299" s="25">
        <f>IFERROR(__xludf.DUMMYFUNCTION("""COMPUTED_VALUE"""),43686.63611111111)</f>
        <v>43686.63611</v>
      </c>
      <c r="D299" s="22">
        <f>IFERROR(__xludf.DUMMYFUNCTION("""COMPUTED_VALUE"""),17.97)</f>
        <v>17.97</v>
      </c>
      <c r="E299" s="26">
        <f t="shared" si="2"/>
        <v>-0.006616543401</v>
      </c>
      <c r="F299" s="25">
        <f>IFERROR(__xludf.DUMMYFUNCTION("""COMPUTED_VALUE"""),43686.63611111111)</f>
        <v>43686.63611</v>
      </c>
      <c r="G299" s="22">
        <f>IFERROR(__xludf.DUMMYFUNCTION("""COMPUTED_VALUE"""),18.56)</f>
        <v>18.56</v>
      </c>
      <c r="H299" s="25">
        <f>IFERROR(__xludf.DUMMYFUNCTION("""COMPUTED_VALUE"""),43686.63611111111)</f>
        <v>43686.63611</v>
      </c>
      <c r="I299" s="22">
        <f>IFERROR(__xludf.DUMMYFUNCTION("""COMPUTED_VALUE"""),18.56)</f>
        <v>18.56</v>
      </c>
      <c r="J299" s="25">
        <f>IFERROR(__xludf.DUMMYFUNCTION("""COMPUTED_VALUE"""),43686.63611111111)</f>
        <v>43686.63611</v>
      </c>
      <c r="K299" s="22">
        <f>IFERROR(__xludf.DUMMYFUNCTION("""COMPUTED_VALUE"""),18.51)</f>
        <v>18.51</v>
      </c>
      <c r="M299" s="22" t="str">
        <f t="shared" si="3"/>
        <v/>
      </c>
      <c r="N299" s="22" t="str">
        <f t="shared" si="1"/>
        <v/>
      </c>
    </row>
    <row r="300" ht="15.75" customHeight="1">
      <c r="A300" s="25">
        <f>IFERROR(__xludf.DUMMYFUNCTION("""COMPUTED_VALUE"""),43689.66666666667)</f>
        <v>43689.66667</v>
      </c>
      <c r="B300" s="22">
        <f>IFERROR(__xludf.DUMMYFUNCTION("""COMPUTED_VALUE"""),2883.09)</f>
        <v>2883.09</v>
      </c>
      <c r="C300" s="25">
        <f>IFERROR(__xludf.DUMMYFUNCTION("""COMPUTED_VALUE"""),43689.63611111111)</f>
        <v>43689.63611</v>
      </c>
      <c r="D300" s="22">
        <f>IFERROR(__xludf.DUMMYFUNCTION("""COMPUTED_VALUE"""),21.09)</f>
        <v>21.09</v>
      </c>
      <c r="E300" s="26">
        <f t="shared" si="2"/>
        <v>-0.01218371507</v>
      </c>
      <c r="F300" s="25">
        <f>IFERROR(__xludf.DUMMYFUNCTION("""COMPUTED_VALUE"""),43689.63611111111)</f>
        <v>43689.63611</v>
      </c>
      <c r="G300" s="22">
        <f>IFERROR(__xludf.DUMMYFUNCTION("""COMPUTED_VALUE"""),20.5)</f>
        <v>20.5</v>
      </c>
      <c r="H300" s="25">
        <f>IFERROR(__xludf.DUMMYFUNCTION("""COMPUTED_VALUE"""),43689.63611111111)</f>
        <v>43689.63611</v>
      </c>
      <c r="I300" s="22">
        <f>IFERROR(__xludf.DUMMYFUNCTION("""COMPUTED_VALUE"""),19.87)</f>
        <v>19.87</v>
      </c>
      <c r="J300" s="25">
        <f>IFERROR(__xludf.DUMMYFUNCTION("""COMPUTED_VALUE"""),43689.63611111111)</f>
        <v>43689.63611</v>
      </c>
      <c r="K300" s="22">
        <f>IFERROR(__xludf.DUMMYFUNCTION("""COMPUTED_VALUE"""),19.35)</f>
        <v>19.35</v>
      </c>
      <c r="M300" s="22" t="str">
        <f t="shared" si="3"/>
        <v/>
      </c>
      <c r="N300" s="22" t="str">
        <f t="shared" si="1"/>
        <v/>
      </c>
    </row>
    <row r="301" ht="15.75" customHeight="1">
      <c r="A301" s="25">
        <f>IFERROR(__xludf.DUMMYFUNCTION("""COMPUTED_VALUE"""),43690.66666666667)</f>
        <v>43690.66667</v>
      </c>
      <c r="B301" s="22">
        <f>IFERROR(__xludf.DUMMYFUNCTION("""COMPUTED_VALUE"""),2926.32)</f>
        <v>2926.32</v>
      </c>
      <c r="C301" s="25">
        <f>IFERROR(__xludf.DUMMYFUNCTION("""COMPUTED_VALUE"""),43690.63611111111)</f>
        <v>43690.63611</v>
      </c>
      <c r="D301" s="22">
        <f>IFERROR(__xludf.DUMMYFUNCTION("""COMPUTED_VALUE"""),17.52)</f>
        <v>17.52</v>
      </c>
      <c r="E301" s="26">
        <f t="shared" si="2"/>
        <v>0.014994329</v>
      </c>
      <c r="F301" s="25">
        <f>IFERROR(__xludf.DUMMYFUNCTION("""COMPUTED_VALUE"""),43690.63611111111)</f>
        <v>43690.63611</v>
      </c>
      <c r="G301" s="22">
        <f>IFERROR(__xludf.DUMMYFUNCTION("""COMPUTED_VALUE"""),18.53)</f>
        <v>18.53</v>
      </c>
      <c r="H301" s="25">
        <f>IFERROR(__xludf.DUMMYFUNCTION("""COMPUTED_VALUE"""),43690.63611111111)</f>
        <v>43690.63611</v>
      </c>
      <c r="I301" s="22">
        <f>IFERROR(__xludf.DUMMYFUNCTION("""COMPUTED_VALUE"""),18.69)</f>
        <v>18.69</v>
      </c>
      <c r="J301" s="25">
        <f>IFERROR(__xludf.DUMMYFUNCTION("""COMPUTED_VALUE"""),43690.63611111111)</f>
        <v>43690.63611</v>
      </c>
      <c r="K301" s="22">
        <f>IFERROR(__xludf.DUMMYFUNCTION("""COMPUTED_VALUE"""),18.64)</f>
        <v>18.64</v>
      </c>
      <c r="M301" s="22" t="str">
        <f t="shared" si="3"/>
        <v/>
      </c>
      <c r="N301" s="22" t="str">
        <f t="shared" si="1"/>
        <v/>
      </c>
    </row>
    <row r="302" ht="15.75" customHeight="1">
      <c r="A302" s="25">
        <f>IFERROR(__xludf.DUMMYFUNCTION("""COMPUTED_VALUE"""),43691.66666666667)</f>
        <v>43691.66667</v>
      </c>
      <c r="B302" s="22">
        <f>IFERROR(__xludf.DUMMYFUNCTION("""COMPUTED_VALUE"""),2840.6)</f>
        <v>2840.6</v>
      </c>
      <c r="C302" s="25">
        <f>IFERROR(__xludf.DUMMYFUNCTION("""COMPUTED_VALUE"""),43691.63611111111)</f>
        <v>43691.63611</v>
      </c>
      <c r="D302" s="22">
        <f>IFERROR(__xludf.DUMMYFUNCTION("""COMPUTED_VALUE"""),22.1)</f>
        <v>22.1</v>
      </c>
      <c r="E302" s="26">
        <f t="shared" si="2"/>
        <v>-0.02929276361</v>
      </c>
      <c r="F302" s="25">
        <f>IFERROR(__xludf.DUMMYFUNCTION("""COMPUTED_VALUE"""),43691.63611111111)</f>
        <v>43691.63611</v>
      </c>
      <c r="G302" s="22">
        <f>IFERROR(__xludf.DUMMYFUNCTION("""COMPUTED_VALUE"""),21.3)</f>
        <v>21.3</v>
      </c>
      <c r="H302" s="25">
        <f>IFERROR(__xludf.DUMMYFUNCTION("""COMPUTED_VALUE"""),43691.63611111111)</f>
        <v>43691.63611</v>
      </c>
      <c r="I302" s="22">
        <f>IFERROR(__xludf.DUMMYFUNCTION("""COMPUTED_VALUE"""),20.73)</f>
        <v>20.73</v>
      </c>
      <c r="J302" s="25">
        <f>IFERROR(__xludf.DUMMYFUNCTION("""COMPUTED_VALUE"""),43691.63611111111)</f>
        <v>43691.63611</v>
      </c>
      <c r="K302" s="22">
        <f>IFERROR(__xludf.DUMMYFUNCTION("""COMPUTED_VALUE"""),19.96)</f>
        <v>19.96</v>
      </c>
      <c r="M302" s="22" t="str">
        <f t="shared" si="3"/>
        <v/>
      </c>
      <c r="N302" s="22" t="str">
        <f t="shared" si="1"/>
        <v/>
      </c>
    </row>
    <row r="303" ht="15.75" customHeight="1">
      <c r="A303" s="25">
        <f>IFERROR(__xludf.DUMMYFUNCTION("""COMPUTED_VALUE"""),43692.66666666667)</f>
        <v>43692.66667</v>
      </c>
      <c r="B303" s="22">
        <f>IFERROR(__xludf.DUMMYFUNCTION("""COMPUTED_VALUE"""),2847.6)</f>
        <v>2847.6</v>
      </c>
      <c r="C303" s="25">
        <f>IFERROR(__xludf.DUMMYFUNCTION("""COMPUTED_VALUE"""),43692.63611111111)</f>
        <v>43692.63611</v>
      </c>
      <c r="D303" s="22">
        <f>IFERROR(__xludf.DUMMYFUNCTION("""COMPUTED_VALUE"""),21.18)</f>
        <v>21.18</v>
      </c>
      <c r="E303" s="26">
        <f t="shared" si="2"/>
        <v>0.002464268112</v>
      </c>
      <c r="F303" s="25">
        <f>IFERROR(__xludf.DUMMYFUNCTION("""COMPUTED_VALUE"""),43692.63611111111)</f>
        <v>43692.63611</v>
      </c>
      <c r="G303" s="22">
        <f>IFERROR(__xludf.DUMMYFUNCTION("""COMPUTED_VALUE"""),21.07)</f>
        <v>21.07</v>
      </c>
      <c r="H303" s="25">
        <f>IFERROR(__xludf.DUMMYFUNCTION("""COMPUTED_VALUE"""),43692.63611111111)</f>
        <v>43692.63611</v>
      </c>
      <c r="I303" s="22">
        <f>IFERROR(__xludf.DUMMYFUNCTION("""COMPUTED_VALUE"""),20.58)</f>
        <v>20.58</v>
      </c>
      <c r="J303" s="25">
        <f>IFERROR(__xludf.DUMMYFUNCTION("""COMPUTED_VALUE"""),43692.63611111111)</f>
        <v>43692.63611</v>
      </c>
      <c r="K303" s="22">
        <f>IFERROR(__xludf.DUMMYFUNCTION("""COMPUTED_VALUE"""),19.98)</f>
        <v>19.98</v>
      </c>
      <c r="M303" s="22" t="str">
        <f t="shared" si="3"/>
        <v/>
      </c>
      <c r="N303" s="22" t="str">
        <f t="shared" si="1"/>
        <v/>
      </c>
    </row>
    <row r="304" ht="15.75" customHeight="1">
      <c r="A304" s="25">
        <f>IFERROR(__xludf.DUMMYFUNCTION("""COMPUTED_VALUE"""),43693.66666666667)</f>
        <v>43693.66667</v>
      </c>
      <c r="B304" s="22">
        <f>IFERROR(__xludf.DUMMYFUNCTION("""COMPUTED_VALUE"""),2888.68)</f>
        <v>2888.68</v>
      </c>
      <c r="C304" s="25">
        <f>IFERROR(__xludf.DUMMYFUNCTION("""COMPUTED_VALUE"""),43693.63611111111)</f>
        <v>43693.63611</v>
      </c>
      <c r="D304" s="22">
        <f>IFERROR(__xludf.DUMMYFUNCTION("""COMPUTED_VALUE"""),18.47)</f>
        <v>18.47</v>
      </c>
      <c r="E304" s="26">
        <f t="shared" si="2"/>
        <v>0.01442618345</v>
      </c>
      <c r="F304" s="25">
        <f>IFERROR(__xludf.DUMMYFUNCTION("""COMPUTED_VALUE"""),43693.63611111111)</f>
        <v>43693.63611</v>
      </c>
      <c r="G304" s="22">
        <f>IFERROR(__xludf.DUMMYFUNCTION("""COMPUTED_VALUE"""),19.7)</f>
        <v>19.7</v>
      </c>
      <c r="H304" s="25">
        <f>IFERROR(__xludf.DUMMYFUNCTION("""COMPUTED_VALUE"""),43693.63611111111)</f>
        <v>43693.63611</v>
      </c>
      <c r="I304" s="22">
        <f>IFERROR(__xludf.DUMMYFUNCTION("""COMPUTED_VALUE"""),19.64)</f>
        <v>19.64</v>
      </c>
      <c r="J304" s="25">
        <f>IFERROR(__xludf.DUMMYFUNCTION("""COMPUTED_VALUE"""),43693.63611111111)</f>
        <v>43693.63611</v>
      </c>
      <c r="K304" s="22">
        <f>IFERROR(__xludf.DUMMYFUNCTION("""COMPUTED_VALUE"""),19.33)</f>
        <v>19.33</v>
      </c>
      <c r="M304" s="22" t="str">
        <f t="shared" si="3"/>
        <v/>
      </c>
      <c r="N304" s="22" t="str">
        <f t="shared" si="1"/>
        <v/>
      </c>
    </row>
    <row r="305" ht="15.75" customHeight="1">
      <c r="A305" s="25">
        <f>IFERROR(__xludf.DUMMYFUNCTION("""COMPUTED_VALUE"""),43696.66666666667)</f>
        <v>43696.66667</v>
      </c>
      <c r="B305" s="22">
        <f>IFERROR(__xludf.DUMMYFUNCTION("""COMPUTED_VALUE"""),2923.65)</f>
        <v>2923.65</v>
      </c>
      <c r="C305" s="25">
        <f>IFERROR(__xludf.DUMMYFUNCTION("""COMPUTED_VALUE"""),43696.63611111111)</f>
        <v>43696.63611</v>
      </c>
      <c r="D305" s="22">
        <f>IFERROR(__xludf.DUMMYFUNCTION("""COMPUTED_VALUE"""),16.88)</f>
        <v>16.88</v>
      </c>
      <c r="E305" s="26">
        <f t="shared" si="2"/>
        <v>0.01210587535</v>
      </c>
      <c r="F305" s="25">
        <f>IFERROR(__xludf.DUMMYFUNCTION("""COMPUTED_VALUE"""),43696.63611111111)</f>
        <v>43696.63611</v>
      </c>
      <c r="G305" s="22">
        <f>IFERROR(__xludf.DUMMYFUNCTION("""COMPUTED_VALUE"""),18.36)</f>
        <v>18.36</v>
      </c>
      <c r="H305" s="25">
        <f>IFERROR(__xludf.DUMMYFUNCTION("""COMPUTED_VALUE"""),43696.63611111111)</f>
        <v>43696.63611</v>
      </c>
      <c r="I305" s="22">
        <f>IFERROR(__xludf.DUMMYFUNCTION("""COMPUTED_VALUE"""),18.82)</f>
        <v>18.82</v>
      </c>
      <c r="J305" s="25">
        <f>IFERROR(__xludf.DUMMYFUNCTION("""COMPUTED_VALUE"""),43696.63611111111)</f>
        <v>43696.63611</v>
      </c>
      <c r="K305" s="22">
        <f>IFERROR(__xludf.DUMMYFUNCTION("""COMPUTED_VALUE"""),18.85)</f>
        <v>18.85</v>
      </c>
      <c r="M305" s="22" t="str">
        <f t="shared" si="3"/>
        <v/>
      </c>
      <c r="N305" s="22" t="str">
        <f t="shared" si="1"/>
        <v/>
      </c>
    </row>
    <row r="306" ht="15.75" customHeight="1">
      <c r="A306" s="25">
        <f>IFERROR(__xludf.DUMMYFUNCTION("""COMPUTED_VALUE"""),43697.66666666667)</f>
        <v>43697.66667</v>
      </c>
      <c r="B306" s="22">
        <f>IFERROR(__xludf.DUMMYFUNCTION("""COMPUTED_VALUE"""),2900.51)</f>
        <v>2900.51</v>
      </c>
      <c r="C306" s="25">
        <f>IFERROR(__xludf.DUMMYFUNCTION("""COMPUTED_VALUE"""),43697.63611111111)</f>
        <v>43697.63611</v>
      </c>
      <c r="D306" s="22">
        <f>IFERROR(__xludf.DUMMYFUNCTION("""COMPUTED_VALUE"""),17.5)</f>
        <v>17.5</v>
      </c>
      <c r="E306" s="26">
        <f t="shared" si="2"/>
        <v>-0.007914764079</v>
      </c>
      <c r="F306" s="25">
        <f>IFERROR(__xludf.DUMMYFUNCTION("""COMPUTED_VALUE"""),43697.63611111111)</f>
        <v>43697.63611</v>
      </c>
      <c r="G306" s="22">
        <f>IFERROR(__xludf.DUMMYFUNCTION("""COMPUTED_VALUE"""),18.87)</f>
        <v>18.87</v>
      </c>
      <c r="H306" s="25">
        <f>IFERROR(__xludf.DUMMYFUNCTION("""COMPUTED_VALUE"""),43697.63611111111)</f>
        <v>43697.63611</v>
      </c>
      <c r="I306" s="22">
        <f>IFERROR(__xludf.DUMMYFUNCTION("""COMPUTED_VALUE"""),19.15)</f>
        <v>19.15</v>
      </c>
      <c r="J306" s="25">
        <f>IFERROR(__xludf.DUMMYFUNCTION("""COMPUTED_VALUE"""),43697.63611111111)</f>
        <v>43697.63611</v>
      </c>
      <c r="K306" s="22">
        <f>IFERROR(__xludf.DUMMYFUNCTION("""COMPUTED_VALUE"""),19.22)</f>
        <v>19.22</v>
      </c>
      <c r="M306" s="22" t="str">
        <f t="shared" si="3"/>
        <v/>
      </c>
      <c r="N306" s="22" t="str">
        <f t="shared" si="1"/>
        <v/>
      </c>
    </row>
    <row r="307" ht="15.75" customHeight="1">
      <c r="A307" s="25">
        <f>IFERROR(__xludf.DUMMYFUNCTION("""COMPUTED_VALUE"""),43698.66666666667)</f>
        <v>43698.66667</v>
      </c>
      <c r="B307" s="22">
        <f>IFERROR(__xludf.DUMMYFUNCTION("""COMPUTED_VALUE"""),2924.43)</f>
        <v>2924.43</v>
      </c>
      <c r="C307" s="25">
        <f>IFERROR(__xludf.DUMMYFUNCTION("""COMPUTED_VALUE"""),43698.63611111111)</f>
        <v>43698.63611</v>
      </c>
      <c r="D307" s="22">
        <f>IFERROR(__xludf.DUMMYFUNCTION("""COMPUTED_VALUE"""),15.8)</f>
        <v>15.8</v>
      </c>
      <c r="E307" s="26">
        <f t="shared" si="2"/>
        <v>0.008246825558</v>
      </c>
      <c r="F307" s="25">
        <f>IFERROR(__xludf.DUMMYFUNCTION("""COMPUTED_VALUE"""),43698.63611111111)</f>
        <v>43698.63611</v>
      </c>
      <c r="G307" s="22">
        <f>IFERROR(__xludf.DUMMYFUNCTION("""COMPUTED_VALUE"""),17.72)</f>
        <v>17.72</v>
      </c>
      <c r="H307" s="25">
        <f>IFERROR(__xludf.DUMMYFUNCTION("""COMPUTED_VALUE"""),43698.63611111111)</f>
        <v>43698.63611</v>
      </c>
      <c r="I307" s="22">
        <f>IFERROR(__xludf.DUMMYFUNCTION("""COMPUTED_VALUE"""),18.37)</f>
        <v>18.37</v>
      </c>
      <c r="J307" s="25">
        <f>IFERROR(__xludf.DUMMYFUNCTION("""COMPUTED_VALUE"""),43698.63611111111)</f>
        <v>43698.63611</v>
      </c>
      <c r="K307" s="22">
        <f>IFERROR(__xludf.DUMMYFUNCTION("""COMPUTED_VALUE"""),18.7)</f>
        <v>18.7</v>
      </c>
      <c r="M307" s="22" t="str">
        <f t="shared" si="3"/>
        <v/>
      </c>
      <c r="N307" s="22" t="str">
        <f t="shared" si="1"/>
        <v/>
      </c>
    </row>
    <row r="308" ht="15.75" customHeight="1">
      <c r="A308" s="25">
        <f>IFERROR(__xludf.DUMMYFUNCTION("""COMPUTED_VALUE"""),43699.66666666667)</f>
        <v>43699.66667</v>
      </c>
      <c r="B308" s="22">
        <f>IFERROR(__xludf.DUMMYFUNCTION("""COMPUTED_VALUE"""),2922.95)</f>
        <v>2922.95</v>
      </c>
      <c r="C308" s="25">
        <f>IFERROR(__xludf.DUMMYFUNCTION("""COMPUTED_VALUE"""),43699.63611111111)</f>
        <v>43699.63611</v>
      </c>
      <c r="D308" s="22">
        <f>IFERROR(__xludf.DUMMYFUNCTION("""COMPUTED_VALUE"""),16.68)</f>
        <v>16.68</v>
      </c>
      <c r="E308" s="26">
        <f t="shared" si="2"/>
        <v>-0.000506081527</v>
      </c>
      <c r="F308" s="25">
        <f>IFERROR(__xludf.DUMMYFUNCTION("""COMPUTED_VALUE"""),43699.63611111111)</f>
        <v>43699.63611</v>
      </c>
      <c r="G308" s="22">
        <f>IFERROR(__xludf.DUMMYFUNCTION("""COMPUTED_VALUE"""),18.23)</f>
        <v>18.23</v>
      </c>
      <c r="H308" s="25">
        <f>IFERROR(__xludf.DUMMYFUNCTION("""COMPUTED_VALUE"""),43699.63611111111)</f>
        <v>43699.63611</v>
      </c>
      <c r="I308" s="22">
        <f>IFERROR(__xludf.DUMMYFUNCTION("""COMPUTED_VALUE"""),18.75)</f>
        <v>18.75</v>
      </c>
      <c r="J308" s="25">
        <f>IFERROR(__xludf.DUMMYFUNCTION("""COMPUTED_VALUE"""),43699.63611111111)</f>
        <v>43699.63611</v>
      </c>
      <c r="K308" s="22">
        <f>IFERROR(__xludf.DUMMYFUNCTION("""COMPUTED_VALUE"""),18.97)</f>
        <v>18.97</v>
      </c>
      <c r="M308" s="22" t="str">
        <f t="shared" si="3"/>
        <v/>
      </c>
      <c r="N308" s="22" t="str">
        <f t="shared" si="1"/>
        <v/>
      </c>
    </row>
    <row r="309" ht="15.75" customHeight="1">
      <c r="A309" s="25">
        <f>IFERROR(__xludf.DUMMYFUNCTION("""COMPUTED_VALUE"""),43700.66666666667)</f>
        <v>43700.66667</v>
      </c>
      <c r="B309" s="22">
        <f>IFERROR(__xludf.DUMMYFUNCTION("""COMPUTED_VALUE"""),2847.11)</f>
        <v>2847.11</v>
      </c>
      <c r="C309" s="25">
        <f>IFERROR(__xludf.DUMMYFUNCTION("""COMPUTED_VALUE"""),43700.63611111111)</f>
        <v>43700.63611</v>
      </c>
      <c r="D309" s="22">
        <f>IFERROR(__xludf.DUMMYFUNCTION("""COMPUTED_VALUE"""),19.87)</f>
        <v>19.87</v>
      </c>
      <c r="E309" s="26">
        <f t="shared" si="2"/>
        <v>-0.02594638978</v>
      </c>
      <c r="F309" s="25">
        <f>IFERROR(__xludf.DUMMYFUNCTION("""COMPUTED_VALUE"""),43700.63611111111)</f>
        <v>43700.63611</v>
      </c>
      <c r="G309" s="22">
        <f>IFERROR(__xludf.DUMMYFUNCTION("""COMPUTED_VALUE"""),20.36)</f>
        <v>20.36</v>
      </c>
      <c r="H309" s="25">
        <f>IFERROR(__xludf.DUMMYFUNCTION("""COMPUTED_VALUE"""),43700.63611111111)</f>
        <v>43700.63611</v>
      </c>
      <c r="I309" s="22">
        <f>IFERROR(__xludf.DUMMYFUNCTION("""COMPUTED_VALUE"""),20.22)</f>
        <v>20.22</v>
      </c>
      <c r="J309" s="25">
        <f>IFERROR(__xludf.DUMMYFUNCTION("""COMPUTED_VALUE"""),43700.63611111111)</f>
        <v>43700.63611</v>
      </c>
      <c r="K309" s="22">
        <f>IFERROR(__xludf.DUMMYFUNCTION("""COMPUTED_VALUE"""),20.11)</f>
        <v>20.11</v>
      </c>
      <c r="M309" s="22" t="str">
        <f t="shared" si="3"/>
        <v/>
      </c>
      <c r="N309" s="22" t="str">
        <f t="shared" si="1"/>
        <v/>
      </c>
    </row>
    <row r="310" ht="15.75" customHeight="1">
      <c r="A310" s="25">
        <f>IFERROR(__xludf.DUMMYFUNCTION("""COMPUTED_VALUE"""),43703.66666666667)</f>
        <v>43703.66667</v>
      </c>
      <c r="B310" s="22">
        <f>IFERROR(__xludf.DUMMYFUNCTION("""COMPUTED_VALUE"""),2878.38)</f>
        <v>2878.38</v>
      </c>
      <c r="C310" s="25">
        <f>IFERROR(__xludf.DUMMYFUNCTION("""COMPUTED_VALUE"""),43703.63611111111)</f>
        <v>43703.63611</v>
      </c>
      <c r="D310" s="22">
        <f>IFERROR(__xludf.DUMMYFUNCTION("""COMPUTED_VALUE"""),19.32)</f>
        <v>19.32</v>
      </c>
      <c r="E310" s="26">
        <f t="shared" si="2"/>
        <v>0.01098306704</v>
      </c>
      <c r="F310" s="25">
        <f>IFERROR(__xludf.DUMMYFUNCTION("""COMPUTED_VALUE"""),43703.63611111111)</f>
        <v>43703.63611</v>
      </c>
      <c r="G310" s="22">
        <f>IFERROR(__xludf.DUMMYFUNCTION("""COMPUTED_VALUE"""),19.82)</f>
        <v>19.82</v>
      </c>
      <c r="H310" s="25">
        <f>IFERROR(__xludf.DUMMYFUNCTION("""COMPUTED_VALUE"""),43703.63611111111)</f>
        <v>43703.63611</v>
      </c>
      <c r="I310" s="22">
        <f>IFERROR(__xludf.DUMMYFUNCTION("""COMPUTED_VALUE"""),19.88)</f>
        <v>19.88</v>
      </c>
      <c r="J310" s="25">
        <f>IFERROR(__xludf.DUMMYFUNCTION("""COMPUTED_VALUE"""),43703.63611111111)</f>
        <v>43703.63611</v>
      </c>
      <c r="K310" s="22">
        <f>IFERROR(__xludf.DUMMYFUNCTION("""COMPUTED_VALUE"""),19.82)</f>
        <v>19.82</v>
      </c>
      <c r="M310" s="22" t="str">
        <f t="shared" si="3"/>
        <v/>
      </c>
      <c r="N310" s="22" t="str">
        <f t="shared" si="1"/>
        <v/>
      </c>
    </row>
    <row r="311" ht="15.75" customHeight="1">
      <c r="A311" s="25">
        <f>IFERROR(__xludf.DUMMYFUNCTION("""COMPUTED_VALUE"""),43704.66666666667)</f>
        <v>43704.66667</v>
      </c>
      <c r="B311" s="22">
        <f>IFERROR(__xludf.DUMMYFUNCTION("""COMPUTED_VALUE"""),2869.16)</f>
        <v>2869.16</v>
      </c>
      <c r="C311" s="25">
        <f>IFERROR(__xludf.DUMMYFUNCTION("""COMPUTED_VALUE"""),43704.63611111111)</f>
        <v>43704.63611</v>
      </c>
      <c r="D311" s="22">
        <f>IFERROR(__xludf.DUMMYFUNCTION("""COMPUTED_VALUE"""),20.31)</f>
        <v>20.31</v>
      </c>
      <c r="E311" s="26">
        <f t="shared" si="2"/>
        <v>-0.003203190684</v>
      </c>
      <c r="F311" s="25">
        <f>IFERROR(__xludf.DUMMYFUNCTION("""COMPUTED_VALUE"""),43704.63611111111)</f>
        <v>43704.63611</v>
      </c>
      <c r="G311" s="22">
        <f>IFERROR(__xludf.DUMMYFUNCTION("""COMPUTED_VALUE"""),20.64)</f>
        <v>20.64</v>
      </c>
      <c r="H311" s="25">
        <f>IFERROR(__xludf.DUMMYFUNCTION("""COMPUTED_VALUE"""),43704.63611111111)</f>
        <v>43704.63611</v>
      </c>
      <c r="I311" s="22">
        <f>IFERROR(__xludf.DUMMYFUNCTION("""COMPUTED_VALUE"""),20.56)</f>
        <v>20.56</v>
      </c>
      <c r="J311" s="25">
        <f>IFERROR(__xludf.DUMMYFUNCTION("""COMPUTED_VALUE"""),43704.63611111111)</f>
        <v>43704.63611</v>
      </c>
      <c r="K311" s="22">
        <f>IFERROR(__xludf.DUMMYFUNCTION("""COMPUTED_VALUE"""),20.29)</f>
        <v>20.29</v>
      </c>
      <c r="M311" s="22" t="str">
        <f t="shared" si="3"/>
        <v/>
      </c>
      <c r="N311" s="22" t="str">
        <f t="shared" si="1"/>
        <v/>
      </c>
    </row>
    <row r="312" ht="15.75" customHeight="1">
      <c r="A312" s="25">
        <f>IFERROR(__xludf.DUMMYFUNCTION("""COMPUTED_VALUE"""),43705.66666666667)</f>
        <v>43705.66667</v>
      </c>
      <c r="B312" s="22">
        <f>IFERROR(__xludf.DUMMYFUNCTION("""COMPUTED_VALUE"""),2887.94)</f>
        <v>2887.94</v>
      </c>
      <c r="C312" s="25">
        <f>IFERROR(__xludf.DUMMYFUNCTION("""COMPUTED_VALUE"""),43705.63611111111)</f>
        <v>43705.63611</v>
      </c>
      <c r="D312" s="22">
        <f>IFERROR(__xludf.DUMMYFUNCTION("""COMPUTED_VALUE"""),19.35)</f>
        <v>19.35</v>
      </c>
      <c r="E312" s="26">
        <f t="shared" si="2"/>
        <v>0.006545469754</v>
      </c>
      <c r="F312" s="25">
        <f>IFERROR(__xludf.DUMMYFUNCTION("""COMPUTED_VALUE"""),43705.63611111111)</f>
        <v>43705.63611</v>
      </c>
      <c r="G312" s="22">
        <f>IFERROR(__xludf.DUMMYFUNCTION("""COMPUTED_VALUE"""),20.05)</f>
        <v>20.05</v>
      </c>
      <c r="H312" s="25">
        <f>IFERROR(__xludf.DUMMYFUNCTION("""COMPUTED_VALUE"""),43705.63611111111)</f>
        <v>43705.63611</v>
      </c>
      <c r="I312" s="22">
        <f>IFERROR(__xludf.DUMMYFUNCTION("""COMPUTED_VALUE"""),20.16)</f>
        <v>20.16</v>
      </c>
      <c r="J312" s="25">
        <f>IFERROR(__xludf.DUMMYFUNCTION("""COMPUTED_VALUE"""),43705.63611111111)</f>
        <v>43705.63611</v>
      </c>
      <c r="K312" s="22">
        <f>IFERROR(__xludf.DUMMYFUNCTION("""COMPUTED_VALUE"""),20.06)</f>
        <v>20.06</v>
      </c>
      <c r="M312" s="22" t="str">
        <f t="shared" si="3"/>
        <v/>
      </c>
      <c r="N312" s="22" t="str">
        <f t="shared" si="1"/>
        <v/>
      </c>
    </row>
    <row r="313" ht="15.75" customHeight="1">
      <c r="A313" s="25">
        <f>IFERROR(__xludf.DUMMYFUNCTION("""COMPUTED_VALUE"""),43706.66666666667)</f>
        <v>43706.66667</v>
      </c>
      <c r="B313" s="22">
        <f>IFERROR(__xludf.DUMMYFUNCTION("""COMPUTED_VALUE"""),2924.58)</f>
        <v>2924.58</v>
      </c>
      <c r="C313" s="25">
        <f>IFERROR(__xludf.DUMMYFUNCTION("""COMPUTED_VALUE"""),43706.63611111111)</f>
        <v>43706.63611</v>
      </c>
      <c r="D313" s="22">
        <f>IFERROR(__xludf.DUMMYFUNCTION("""COMPUTED_VALUE"""),17.88)</f>
        <v>17.88</v>
      </c>
      <c r="E313" s="26">
        <f t="shared" si="2"/>
        <v>0.01268724419</v>
      </c>
      <c r="F313" s="25">
        <f>IFERROR(__xludf.DUMMYFUNCTION("""COMPUTED_VALUE"""),43706.63611111111)</f>
        <v>43706.63611</v>
      </c>
      <c r="G313" s="22">
        <f>IFERROR(__xludf.DUMMYFUNCTION("""COMPUTED_VALUE"""),19.03)</f>
        <v>19.03</v>
      </c>
      <c r="H313" s="25">
        <f>IFERROR(__xludf.DUMMYFUNCTION("""COMPUTED_VALUE"""),43706.63611111111)</f>
        <v>43706.63611</v>
      </c>
      <c r="I313" s="22">
        <f>IFERROR(__xludf.DUMMYFUNCTION("""COMPUTED_VALUE"""),19.45)</f>
        <v>19.45</v>
      </c>
      <c r="J313" s="25">
        <f>IFERROR(__xludf.DUMMYFUNCTION("""COMPUTED_VALUE"""),43706.63611111111)</f>
        <v>43706.63611</v>
      </c>
      <c r="K313" s="22">
        <f>IFERROR(__xludf.DUMMYFUNCTION("""COMPUTED_VALUE"""),19.56)</f>
        <v>19.56</v>
      </c>
      <c r="M313" s="22" t="str">
        <f t="shared" si="3"/>
        <v/>
      </c>
      <c r="N313" s="22" t="str">
        <f t="shared" si="1"/>
        <v/>
      </c>
    </row>
    <row r="314" ht="15.75" customHeight="1">
      <c r="A314" s="25">
        <f>IFERROR(__xludf.DUMMYFUNCTION("""COMPUTED_VALUE"""),43707.66666666667)</f>
        <v>43707.66667</v>
      </c>
      <c r="B314" s="22">
        <f>IFERROR(__xludf.DUMMYFUNCTION("""COMPUTED_VALUE"""),2926.46)</f>
        <v>2926.46</v>
      </c>
      <c r="C314" s="25">
        <f>IFERROR(__xludf.DUMMYFUNCTION("""COMPUTED_VALUE"""),43707.63611111111)</f>
        <v>43707.63611</v>
      </c>
      <c r="D314" s="22">
        <f>IFERROR(__xludf.DUMMYFUNCTION("""COMPUTED_VALUE"""),18.98)</f>
        <v>18.98</v>
      </c>
      <c r="E314" s="26">
        <f t="shared" si="2"/>
        <v>0.0006428273461</v>
      </c>
      <c r="F314" s="25">
        <f>IFERROR(__xludf.DUMMYFUNCTION("""COMPUTED_VALUE"""),43707.63611111111)</f>
        <v>43707.63611</v>
      </c>
      <c r="G314" s="22">
        <f>IFERROR(__xludf.DUMMYFUNCTION("""COMPUTED_VALUE"""),19.54)</f>
        <v>19.54</v>
      </c>
      <c r="H314" s="25">
        <f>IFERROR(__xludf.DUMMYFUNCTION("""COMPUTED_VALUE"""),43707.63611111111)</f>
        <v>43707.63611</v>
      </c>
      <c r="I314" s="22">
        <f>IFERROR(__xludf.DUMMYFUNCTION("""COMPUTED_VALUE"""),19.85)</f>
        <v>19.85</v>
      </c>
      <c r="J314" s="25">
        <f>IFERROR(__xludf.DUMMYFUNCTION("""COMPUTED_VALUE"""),43707.63611111111)</f>
        <v>43707.63611</v>
      </c>
      <c r="K314" s="22">
        <f>IFERROR(__xludf.DUMMYFUNCTION("""COMPUTED_VALUE"""),19.86)</f>
        <v>19.86</v>
      </c>
      <c r="M314" s="22" t="str">
        <f t="shared" si="3"/>
        <v/>
      </c>
      <c r="N314" s="22" t="str">
        <f t="shared" si="1"/>
        <v/>
      </c>
    </row>
    <row r="315" ht="15.75" customHeight="1">
      <c r="A315" s="25">
        <f>IFERROR(__xludf.DUMMYFUNCTION("""COMPUTED_VALUE"""),43711.66666666667)</f>
        <v>43711.66667</v>
      </c>
      <c r="B315" s="22">
        <f>IFERROR(__xludf.DUMMYFUNCTION("""COMPUTED_VALUE"""),2906.27)</f>
        <v>2906.27</v>
      </c>
      <c r="C315" s="25">
        <f>IFERROR(__xludf.DUMMYFUNCTION("""COMPUTED_VALUE"""),43711.63611111111)</f>
        <v>43711.63611</v>
      </c>
      <c r="D315" s="22">
        <f>IFERROR(__xludf.DUMMYFUNCTION("""COMPUTED_VALUE"""),19.66)</f>
        <v>19.66</v>
      </c>
      <c r="E315" s="26">
        <f t="shared" si="2"/>
        <v>-0.006899120439</v>
      </c>
      <c r="F315" s="25">
        <f>IFERROR(__xludf.DUMMYFUNCTION("""COMPUTED_VALUE"""),43711.63611111111)</f>
        <v>43711.63611</v>
      </c>
      <c r="G315" s="22">
        <f>IFERROR(__xludf.DUMMYFUNCTION("""COMPUTED_VALUE"""),20.12)</f>
        <v>20.12</v>
      </c>
      <c r="H315" s="25">
        <f>IFERROR(__xludf.DUMMYFUNCTION("""COMPUTED_VALUE"""),43711.63611111111)</f>
        <v>43711.63611</v>
      </c>
      <c r="I315" s="22">
        <f>IFERROR(__xludf.DUMMYFUNCTION("""COMPUTED_VALUE"""),20.36)</f>
        <v>20.36</v>
      </c>
      <c r="J315" s="25">
        <f>IFERROR(__xludf.DUMMYFUNCTION("""COMPUTED_VALUE"""),43711.63611111111)</f>
        <v>43711.63611</v>
      </c>
      <c r="K315" s="22">
        <f>IFERROR(__xludf.DUMMYFUNCTION("""COMPUTED_VALUE"""),20.28)</f>
        <v>20.28</v>
      </c>
      <c r="M315" s="22" t="str">
        <f t="shared" si="3"/>
        <v/>
      </c>
      <c r="N315" s="22" t="str">
        <f t="shared" si="1"/>
        <v/>
      </c>
    </row>
    <row r="316" ht="15.75" customHeight="1">
      <c r="A316" s="25">
        <f>IFERROR(__xludf.DUMMYFUNCTION("""COMPUTED_VALUE"""),43712.66666666667)</f>
        <v>43712.66667</v>
      </c>
      <c r="B316" s="22">
        <f>IFERROR(__xludf.DUMMYFUNCTION("""COMPUTED_VALUE"""),2937.78)</f>
        <v>2937.78</v>
      </c>
      <c r="C316" s="25">
        <f>IFERROR(__xludf.DUMMYFUNCTION("""COMPUTED_VALUE"""),43712.63611111111)</f>
        <v>43712.63611</v>
      </c>
      <c r="D316" s="22">
        <f>IFERROR(__xludf.DUMMYFUNCTION("""COMPUTED_VALUE"""),17.33)</f>
        <v>17.33</v>
      </c>
      <c r="E316" s="26">
        <f t="shared" si="2"/>
        <v>0.01084207593</v>
      </c>
      <c r="F316" s="25">
        <f>IFERROR(__xludf.DUMMYFUNCTION("""COMPUTED_VALUE"""),43712.63611111111)</f>
        <v>43712.63611</v>
      </c>
      <c r="G316" s="22">
        <f>IFERROR(__xludf.DUMMYFUNCTION("""COMPUTED_VALUE"""),18.81)</f>
        <v>18.81</v>
      </c>
      <c r="H316" s="25">
        <f>IFERROR(__xludf.DUMMYFUNCTION("""COMPUTED_VALUE"""),43712.63611111111)</f>
        <v>43712.63611</v>
      </c>
      <c r="I316" s="22">
        <f>IFERROR(__xludf.DUMMYFUNCTION("""COMPUTED_VALUE"""),19.43)</f>
        <v>19.43</v>
      </c>
      <c r="J316" s="25">
        <f>IFERROR(__xludf.DUMMYFUNCTION("""COMPUTED_VALUE"""),43712.63611111111)</f>
        <v>43712.63611</v>
      </c>
      <c r="K316" s="22">
        <f>IFERROR(__xludf.DUMMYFUNCTION("""COMPUTED_VALUE"""),19.71)</f>
        <v>19.71</v>
      </c>
      <c r="M316" s="22" t="str">
        <f t="shared" si="3"/>
        <v/>
      </c>
      <c r="N316" s="22" t="str">
        <f t="shared" si="1"/>
        <v/>
      </c>
    </row>
    <row r="317" ht="15.75" customHeight="1">
      <c r="A317" s="25">
        <f>IFERROR(__xludf.DUMMYFUNCTION("""COMPUTED_VALUE"""),43713.66666666667)</f>
        <v>43713.66667</v>
      </c>
      <c r="B317" s="22">
        <f>IFERROR(__xludf.DUMMYFUNCTION("""COMPUTED_VALUE"""),2976.0)</f>
        <v>2976</v>
      </c>
      <c r="C317" s="25">
        <f>IFERROR(__xludf.DUMMYFUNCTION("""COMPUTED_VALUE"""),43713.63611111111)</f>
        <v>43713.63611</v>
      </c>
      <c r="D317" s="22">
        <f>IFERROR(__xludf.DUMMYFUNCTION("""COMPUTED_VALUE"""),16.27)</f>
        <v>16.27</v>
      </c>
      <c r="E317" s="26">
        <f t="shared" si="2"/>
        <v>0.01300982374</v>
      </c>
      <c r="F317" s="25">
        <f>IFERROR(__xludf.DUMMYFUNCTION("""COMPUTED_VALUE"""),43713.63611111111)</f>
        <v>43713.63611</v>
      </c>
      <c r="G317" s="22">
        <f>IFERROR(__xludf.DUMMYFUNCTION("""COMPUTED_VALUE"""),18.08)</f>
        <v>18.08</v>
      </c>
      <c r="H317" s="25">
        <f>IFERROR(__xludf.DUMMYFUNCTION("""COMPUTED_VALUE"""),43713.63611111111)</f>
        <v>43713.63611</v>
      </c>
      <c r="I317" s="22">
        <f>IFERROR(__xludf.DUMMYFUNCTION("""COMPUTED_VALUE"""),18.88)</f>
        <v>18.88</v>
      </c>
      <c r="J317" s="25">
        <f>IFERROR(__xludf.DUMMYFUNCTION("""COMPUTED_VALUE"""),43713.63611111111)</f>
        <v>43713.63611</v>
      </c>
      <c r="K317" s="22">
        <f>IFERROR(__xludf.DUMMYFUNCTION("""COMPUTED_VALUE"""),19.26)</f>
        <v>19.26</v>
      </c>
      <c r="M317" s="22" t="str">
        <f t="shared" si="3"/>
        <v/>
      </c>
      <c r="N317" s="22" t="str">
        <f t="shared" si="1"/>
        <v/>
      </c>
    </row>
    <row r="318" ht="15.75" customHeight="1">
      <c r="A318" s="25">
        <f>IFERROR(__xludf.DUMMYFUNCTION("""COMPUTED_VALUE"""),43714.66666666667)</f>
        <v>43714.66667</v>
      </c>
      <c r="B318" s="22">
        <f>IFERROR(__xludf.DUMMYFUNCTION("""COMPUTED_VALUE"""),2978.71)</f>
        <v>2978.71</v>
      </c>
      <c r="C318" s="25">
        <f>IFERROR(__xludf.DUMMYFUNCTION("""COMPUTED_VALUE"""),43714.63611111111)</f>
        <v>43714.63611</v>
      </c>
      <c r="D318" s="22">
        <f>IFERROR(__xludf.DUMMYFUNCTION("""COMPUTED_VALUE"""),15.0)</f>
        <v>15</v>
      </c>
      <c r="E318" s="26">
        <f t="shared" si="2"/>
        <v>0.0009106182796</v>
      </c>
      <c r="F318" s="25">
        <f>IFERROR(__xludf.DUMMYFUNCTION("""COMPUTED_VALUE"""),43714.63611111111)</f>
        <v>43714.63611</v>
      </c>
      <c r="G318" s="22">
        <f>IFERROR(__xludf.DUMMYFUNCTION("""COMPUTED_VALUE"""),17.46)</f>
        <v>17.46</v>
      </c>
      <c r="H318" s="25">
        <f>IFERROR(__xludf.DUMMYFUNCTION("""COMPUTED_VALUE"""),43714.63611111111)</f>
        <v>43714.63611</v>
      </c>
      <c r="I318" s="22">
        <f>IFERROR(__xludf.DUMMYFUNCTION("""COMPUTED_VALUE"""),18.51)</f>
        <v>18.51</v>
      </c>
      <c r="J318" s="25">
        <f>IFERROR(__xludf.DUMMYFUNCTION("""COMPUTED_VALUE"""),43714.63611111111)</f>
        <v>43714.63611</v>
      </c>
      <c r="K318" s="22">
        <f>IFERROR(__xludf.DUMMYFUNCTION("""COMPUTED_VALUE"""),19.01)</f>
        <v>19.01</v>
      </c>
      <c r="M318" s="22" t="str">
        <f t="shared" si="3"/>
        <v/>
      </c>
      <c r="N318" s="22" t="str">
        <f t="shared" si="1"/>
        <v/>
      </c>
    </row>
    <row r="319" ht="15.75" customHeight="1">
      <c r="A319" s="25">
        <f>IFERROR(__xludf.DUMMYFUNCTION("""COMPUTED_VALUE"""),43717.66666666667)</f>
        <v>43717.66667</v>
      </c>
      <c r="B319" s="22">
        <f>IFERROR(__xludf.DUMMYFUNCTION("""COMPUTED_VALUE"""),2978.43)</f>
        <v>2978.43</v>
      </c>
      <c r="C319" s="25">
        <f>IFERROR(__xludf.DUMMYFUNCTION("""COMPUTED_VALUE"""),43717.63611111111)</f>
        <v>43717.63611</v>
      </c>
      <c r="D319" s="22">
        <f>IFERROR(__xludf.DUMMYFUNCTION("""COMPUTED_VALUE"""),15.27)</f>
        <v>15.27</v>
      </c>
      <c r="E319" s="26">
        <f t="shared" si="2"/>
        <v>-0.000094000423</v>
      </c>
      <c r="F319" s="25">
        <f>IFERROR(__xludf.DUMMYFUNCTION("""COMPUTED_VALUE"""),43717.63611111111)</f>
        <v>43717.63611</v>
      </c>
      <c r="G319" s="22">
        <f>IFERROR(__xludf.DUMMYFUNCTION("""COMPUTED_VALUE"""),17.55)</f>
        <v>17.55</v>
      </c>
      <c r="H319" s="25">
        <f>IFERROR(__xludf.DUMMYFUNCTION("""COMPUTED_VALUE"""),43717.63611111111)</f>
        <v>43717.63611</v>
      </c>
      <c r="I319" s="22">
        <f>IFERROR(__xludf.DUMMYFUNCTION("""COMPUTED_VALUE"""),18.58)</f>
        <v>18.58</v>
      </c>
      <c r="J319" s="25">
        <f>IFERROR(__xludf.DUMMYFUNCTION("""COMPUTED_VALUE"""),43717.63611111111)</f>
        <v>43717.63611</v>
      </c>
      <c r="K319" s="22">
        <f>IFERROR(__xludf.DUMMYFUNCTION("""COMPUTED_VALUE"""),19.05)</f>
        <v>19.05</v>
      </c>
      <c r="M319" s="22" t="str">
        <f t="shared" si="3"/>
        <v/>
      </c>
      <c r="N319" s="22" t="str">
        <f t="shared" si="1"/>
        <v/>
      </c>
    </row>
    <row r="320" ht="15.75" customHeight="1">
      <c r="A320" s="25">
        <f>IFERROR(__xludf.DUMMYFUNCTION("""COMPUTED_VALUE"""),43718.66666666667)</f>
        <v>43718.66667</v>
      </c>
      <c r="B320" s="22">
        <f>IFERROR(__xludf.DUMMYFUNCTION("""COMPUTED_VALUE"""),2979.39)</f>
        <v>2979.39</v>
      </c>
      <c r="C320" s="25">
        <f>IFERROR(__xludf.DUMMYFUNCTION("""COMPUTED_VALUE"""),43718.63611111111)</f>
        <v>43718.63611</v>
      </c>
      <c r="D320" s="22">
        <f>IFERROR(__xludf.DUMMYFUNCTION("""COMPUTED_VALUE"""),15.2)</f>
        <v>15.2</v>
      </c>
      <c r="E320" s="26">
        <f t="shared" si="2"/>
        <v>0.0003223174626</v>
      </c>
      <c r="F320" s="25">
        <f>IFERROR(__xludf.DUMMYFUNCTION("""COMPUTED_VALUE"""),43718.63611111111)</f>
        <v>43718.63611</v>
      </c>
      <c r="G320" s="22">
        <f>IFERROR(__xludf.DUMMYFUNCTION("""COMPUTED_VALUE"""),17.41)</f>
        <v>17.41</v>
      </c>
      <c r="H320" s="25">
        <f>IFERROR(__xludf.DUMMYFUNCTION("""COMPUTED_VALUE"""),43718.63611111111)</f>
        <v>43718.63611</v>
      </c>
      <c r="I320" s="22">
        <f>IFERROR(__xludf.DUMMYFUNCTION("""COMPUTED_VALUE"""),18.48)</f>
        <v>18.48</v>
      </c>
      <c r="J320" s="25">
        <f>IFERROR(__xludf.DUMMYFUNCTION("""COMPUTED_VALUE"""),43718.63611111111)</f>
        <v>43718.63611</v>
      </c>
      <c r="K320" s="22">
        <f>IFERROR(__xludf.DUMMYFUNCTION("""COMPUTED_VALUE"""),18.99)</f>
        <v>18.99</v>
      </c>
      <c r="M320" s="22" t="str">
        <f t="shared" si="3"/>
        <v/>
      </c>
      <c r="N320" s="22" t="str">
        <f t="shared" si="1"/>
        <v/>
      </c>
    </row>
    <row r="321" ht="15.75" customHeight="1">
      <c r="A321" s="25">
        <f>IFERROR(__xludf.DUMMYFUNCTION("""COMPUTED_VALUE"""),43719.66666666667)</f>
        <v>43719.66667</v>
      </c>
      <c r="B321" s="22">
        <f>IFERROR(__xludf.DUMMYFUNCTION("""COMPUTED_VALUE"""),3000.93)</f>
        <v>3000.93</v>
      </c>
      <c r="C321" s="25">
        <f>IFERROR(__xludf.DUMMYFUNCTION("""COMPUTED_VALUE"""),43719.63611111111)</f>
        <v>43719.63611</v>
      </c>
      <c r="D321" s="22">
        <f>IFERROR(__xludf.DUMMYFUNCTION("""COMPUTED_VALUE"""),14.61)</f>
        <v>14.61</v>
      </c>
      <c r="E321" s="26">
        <f t="shared" si="2"/>
        <v>0.007229667818</v>
      </c>
      <c r="F321" s="25">
        <f>IFERROR(__xludf.DUMMYFUNCTION("""COMPUTED_VALUE"""),43719.63611111111)</f>
        <v>43719.63611</v>
      </c>
      <c r="G321" s="22">
        <f>IFERROR(__xludf.DUMMYFUNCTION("""COMPUTED_VALUE"""),17.1)</f>
        <v>17.1</v>
      </c>
      <c r="H321" s="25">
        <f>IFERROR(__xludf.DUMMYFUNCTION("""COMPUTED_VALUE"""),43719.63611111111)</f>
        <v>43719.63611</v>
      </c>
      <c r="I321" s="22">
        <f>IFERROR(__xludf.DUMMYFUNCTION("""COMPUTED_VALUE"""),18.25)</f>
        <v>18.25</v>
      </c>
      <c r="J321" s="25">
        <f>IFERROR(__xludf.DUMMYFUNCTION("""COMPUTED_VALUE"""),43719.63611111111)</f>
        <v>43719.63611</v>
      </c>
      <c r="K321" s="22">
        <f>IFERROR(__xludf.DUMMYFUNCTION("""COMPUTED_VALUE"""),18.82)</f>
        <v>18.82</v>
      </c>
      <c r="M321" s="22" t="str">
        <f t="shared" si="3"/>
        <v/>
      </c>
      <c r="N321" s="22" t="str">
        <f t="shared" si="1"/>
        <v/>
      </c>
    </row>
    <row r="322" ht="15.75" customHeight="1">
      <c r="A322" s="25">
        <f>IFERROR(__xludf.DUMMYFUNCTION("""COMPUTED_VALUE"""),43720.66666666667)</f>
        <v>43720.66667</v>
      </c>
      <c r="B322" s="22">
        <f>IFERROR(__xludf.DUMMYFUNCTION("""COMPUTED_VALUE"""),3009.57)</f>
        <v>3009.57</v>
      </c>
      <c r="C322" s="25">
        <f>IFERROR(__xludf.DUMMYFUNCTION("""COMPUTED_VALUE"""),43720.63611111111)</f>
        <v>43720.63611</v>
      </c>
      <c r="D322" s="22">
        <f>IFERROR(__xludf.DUMMYFUNCTION("""COMPUTED_VALUE"""),14.22)</f>
        <v>14.22</v>
      </c>
      <c r="E322" s="26">
        <f t="shared" si="2"/>
        <v>0.002879107477</v>
      </c>
      <c r="F322" s="25">
        <f>IFERROR(__xludf.DUMMYFUNCTION("""COMPUTED_VALUE"""),43720.63611111111)</f>
        <v>43720.63611</v>
      </c>
      <c r="G322" s="22">
        <f>IFERROR(__xludf.DUMMYFUNCTION("""COMPUTED_VALUE"""),16.81)</f>
        <v>16.81</v>
      </c>
      <c r="H322" s="25">
        <f>IFERROR(__xludf.DUMMYFUNCTION("""COMPUTED_VALUE"""),43720.63611111111)</f>
        <v>43720.63611</v>
      </c>
      <c r="I322" s="22">
        <f>IFERROR(__xludf.DUMMYFUNCTION("""COMPUTED_VALUE"""),18.07)</f>
        <v>18.07</v>
      </c>
      <c r="J322" s="25">
        <f>IFERROR(__xludf.DUMMYFUNCTION("""COMPUTED_VALUE"""),43720.63611111111)</f>
        <v>43720.63611</v>
      </c>
      <c r="K322" s="22">
        <f>IFERROR(__xludf.DUMMYFUNCTION("""COMPUTED_VALUE"""),18.65)</f>
        <v>18.65</v>
      </c>
      <c r="M322" s="22" t="str">
        <f t="shared" si="3"/>
        <v/>
      </c>
      <c r="N322" s="22" t="str">
        <f t="shared" si="1"/>
        <v/>
      </c>
    </row>
    <row r="323" ht="15.75" customHeight="1">
      <c r="A323" s="25">
        <f>IFERROR(__xludf.DUMMYFUNCTION("""COMPUTED_VALUE"""),43721.66666666667)</f>
        <v>43721.66667</v>
      </c>
      <c r="B323" s="22">
        <f>IFERROR(__xludf.DUMMYFUNCTION("""COMPUTED_VALUE"""),3007.39)</f>
        <v>3007.39</v>
      </c>
      <c r="C323" s="25">
        <f>IFERROR(__xludf.DUMMYFUNCTION("""COMPUTED_VALUE"""),43721.63611111111)</f>
        <v>43721.63611</v>
      </c>
      <c r="D323" s="22">
        <f>IFERROR(__xludf.DUMMYFUNCTION("""COMPUTED_VALUE"""),13.74)</f>
        <v>13.74</v>
      </c>
      <c r="E323" s="26">
        <f t="shared" si="2"/>
        <v>-0.0007243559711</v>
      </c>
      <c r="F323" s="25">
        <f>IFERROR(__xludf.DUMMYFUNCTION("""COMPUTED_VALUE"""),43721.63611111111)</f>
        <v>43721.63611</v>
      </c>
      <c r="G323" s="22">
        <f>IFERROR(__xludf.DUMMYFUNCTION("""COMPUTED_VALUE"""),16.67)</f>
        <v>16.67</v>
      </c>
      <c r="H323" s="25">
        <f>IFERROR(__xludf.DUMMYFUNCTION("""COMPUTED_VALUE"""),43721.63611111111)</f>
        <v>43721.63611</v>
      </c>
      <c r="I323" s="22">
        <f>IFERROR(__xludf.DUMMYFUNCTION("""COMPUTED_VALUE"""),18.04)</f>
        <v>18.04</v>
      </c>
      <c r="J323" s="25">
        <f>IFERROR(__xludf.DUMMYFUNCTION("""COMPUTED_VALUE"""),43721.63611111111)</f>
        <v>43721.63611</v>
      </c>
      <c r="K323" s="22">
        <f>IFERROR(__xludf.DUMMYFUNCTION("""COMPUTED_VALUE"""),18.7)</f>
        <v>18.7</v>
      </c>
      <c r="M323" s="22" t="str">
        <f t="shared" si="3"/>
        <v/>
      </c>
      <c r="N323" s="22" t="str">
        <f t="shared" si="1"/>
        <v/>
      </c>
    </row>
    <row r="324" ht="15.75" customHeight="1">
      <c r="A324" s="25">
        <f>IFERROR(__xludf.DUMMYFUNCTION("""COMPUTED_VALUE"""),43724.66666666667)</f>
        <v>43724.66667</v>
      </c>
      <c r="B324" s="22">
        <f>IFERROR(__xludf.DUMMYFUNCTION("""COMPUTED_VALUE"""),2997.96)</f>
        <v>2997.96</v>
      </c>
      <c r="C324" s="25">
        <f>IFERROR(__xludf.DUMMYFUNCTION("""COMPUTED_VALUE"""),43724.63611111111)</f>
        <v>43724.63611</v>
      </c>
      <c r="D324" s="22">
        <f>IFERROR(__xludf.DUMMYFUNCTION("""COMPUTED_VALUE"""),14.67)</f>
        <v>14.67</v>
      </c>
      <c r="E324" s="26">
        <f t="shared" si="2"/>
        <v>-0.003135609282</v>
      </c>
      <c r="F324" s="25">
        <f>IFERROR(__xludf.DUMMYFUNCTION("""COMPUTED_VALUE"""),43724.63611111111)</f>
        <v>43724.63611</v>
      </c>
      <c r="G324" s="22">
        <f>IFERROR(__xludf.DUMMYFUNCTION("""COMPUTED_VALUE"""),17.2)</f>
        <v>17.2</v>
      </c>
      <c r="H324" s="25">
        <f>IFERROR(__xludf.DUMMYFUNCTION("""COMPUTED_VALUE"""),43724.63611111111)</f>
        <v>43724.63611</v>
      </c>
      <c r="I324" s="22">
        <f>IFERROR(__xludf.DUMMYFUNCTION("""COMPUTED_VALUE"""),18.47)</f>
        <v>18.47</v>
      </c>
      <c r="J324" s="25">
        <f>IFERROR(__xludf.DUMMYFUNCTION("""COMPUTED_VALUE"""),43724.63611111111)</f>
        <v>43724.63611</v>
      </c>
      <c r="K324" s="22">
        <f>IFERROR(__xludf.DUMMYFUNCTION("""COMPUTED_VALUE"""),19.05)</f>
        <v>19.05</v>
      </c>
      <c r="M324" s="22" t="str">
        <f t="shared" si="3"/>
        <v/>
      </c>
      <c r="N324" s="22" t="str">
        <f t="shared" si="1"/>
        <v/>
      </c>
    </row>
    <row r="325" ht="15.75" customHeight="1">
      <c r="A325" s="25">
        <f>IFERROR(__xludf.DUMMYFUNCTION("""COMPUTED_VALUE"""),43725.66666666667)</f>
        <v>43725.66667</v>
      </c>
      <c r="B325" s="22">
        <f>IFERROR(__xludf.DUMMYFUNCTION("""COMPUTED_VALUE"""),3005.7)</f>
        <v>3005.7</v>
      </c>
      <c r="C325" s="25">
        <f>IFERROR(__xludf.DUMMYFUNCTION("""COMPUTED_VALUE"""),43725.63611111111)</f>
        <v>43725.63611</v>
      </c>
      <c r="D325" s="22">
        <f>IFERROR(__xludf.DUMMYFUNCTION("""COMPUTED_VALUE"""),14.44)</f>
        <v>14.44</v>
      </c>
      <c r="E325" s="26">
        <f t="shared" si="2"/>
        <v>0.002581755594</v>
      </c>
      <c r="F325" s="25">
        <f>IFERROR(__xludf.DUMMYFUNCTION("""COMPUTED_VALUE"""),43725.63611111111)</f>
        <v>43725.63611</v>
      </c>
      <c r="G325" s="22">
        <f>IFERROR(__xludf.DUMMYFUNCTION("""COMPUTED_VALUE"""),17.23)</f>
        <v>17.23</v>
      </c>
      <c r="H325" s="25">
        <f>IFERROR(__xludf.DUMMYFUNCTION("""COMPUTED_VALUE"""),43725.63611111111)</f>
        <v>43725.63611</v>
      </c>
      <c r="I325" s="22">
        <f>IFERROR(__xludf.DUMMYFUNCTION("""COMPUTED_VALUE"""),18.54)</f>
        <v>18.54</v>
      </c>
      <c r="J325" s="25">
        <f>IFERROR(__xludf.DUMMYFUNCTION("""COMPUTED_VALUE"""),43725.63611111111)</f>
        <v>43725.63611</v>
      </c>
      <c r="K325" s="22">
        <f>IFERROR(__xludf.DUMMYFUNCTION("""COMPUTED_VALUE"""),19.15)</f>
        <v>19.15</v>
      </c>
      <c r="M325" s="22" t="str">
        <f t="shared" si="3"/>
        <v/>
      </c>
      <c r="N325" s="22" t="str">
        <f t="shared" si="1"/>
        <v/>
      </c>
    </row>
    <row r="326" ht="15.75" customHeight="1">
      <c r="A326" s="25">
        <f>IFERROR(__xludf.DUMMYFUNCTION("""COMPUTED_VALUE"""),43726.66666666667)</f>
        <v>43726.66667</v>
      </c>
      <c r="B326" s="22">
        <f>IFERROR(__xludf.DUMMYFUNCTION("""COMPUTED_VALUE"""),3006.73)</f>
        <v>3006.73</v>
      </c>
      <c r="C326" s="25">
        <f>IFERROR(__xludf.DUMMYFUNCTION("""COMPUTED_VALUE"""),43726.63611111111)</f>
        <v>43726.63611</v>
      </c>
      <c r="D326" s="22">
        <f>IFERROR(__xludf.DUMMYFUNCTION("""COMPUTED_VALUE"""),13.95)</f>
        <v>13.95</v>
      </c>
      <c r="E326" s="26">
        <f t="shared" si="2"/>
        <v>0.0003426822371</v>
      </c>
      <c r="F326" s="25">
        <f>IFERROR(__xludf.DUMMYFUNCTION("""COMPUTED_VALUE"""),43726.63611111111)</f>
        <v>43726.63611</v>
      </c>
      <c r="G326" s="22">
        <f>IFERROR(__xludf.DUMMYFUNCTION("""COMPUTED_VALUE"""),16.86)</f>
        <v>16.86</v>
      </c>
      <c r="H326" s="25">
        <f>IFERROR(__xludf.DUMMYFUNCTION("""COMPUTED_VALUE"""),43726.63611111111)</f>
        <v>43726.63611</v>
      </c>
      <c r="I326" s="22">
        <f>IFERROR(__xludf.DUMMYFUNCTION("""COMPUTED_VALUE"""),18.31)</f>
        <v>18.31</v>
      </c>
      <c r="J326" s="25">
        <f>IFERROR(__xludf.DUMMYFUNCTION("""COMPUTED_VALUE"""),43726.63611111111)</f>
        <v>43726.63611</v>
      </c>
      <c r="K326" s="22">
        <f>IFERROR(__xludf.DUMMYFUNCTION("""COMPUTED_VALUE"""),19.0)</f>
        <v>19</v>
      </c>
      <c r="M326" s="22" t="str">
        <f t="shared" si="3"/>
        <v/>
      </c>
      <c r="N326" s="22" t="str">
        <f t="shared" si="1"/>
        <v/>
      </c>
    </row>
    <row r="327" ht="15.75" customHeight="1">
      <c r="A327" s="25">
        <f>IFERROR(__xludf.DUMMYFUNCTION("""COMPUTED_VALUE"""),43727.66666666667)</f>
        <v>43727.66667</v>
      </c>
      <c r="B327" s="22">
        <f>IFERROR(__xludf.DUMMYFUNCTION("""COMPUTED_VALUE"""),3006.79)</f>
        <v>3006.79</v>
      </c>
      <c r="C327" s="25">
        <f>IFERROR(__xludf.DUMMYFUNCTION("""COMPUTED_VALUE"""),43727.63611111111)</f>
        <v>43727.63611</v>
      </c>
      <c r="D327" s="22">
        <f>IFERROR(__xludf.DUMMYFUNCTION("""COMPUTED_VALUE"""),14.05)</f>
        <v>14.05</v>
      </c>
      <c r="E327" s="26">
        <f t="shared" si="2"/>
        <v>0.00001995523376</v>
      </c>
      <c r="F327" s="25">
        <f>IFERROR(__xludf.DUMMYFUNCTION("""COMPUTED_VALUE"""),43727.63611111111)</f>
        <v>43727.63611</v>
      </c>
      <c r="G327" s="22">
        <f>IFERROR(__xludf.DUMMYFUNCTION("""COMPUTED_VALUE"""),16.79)</f>
        <v>16.79</v>
      </c>
      <c r="H327" s="25">
        <f>IFERROR(__xludf.DUMMYFUNCTION("""COMPUTED_VALUE"""),43727.63611111111)</f>
        <v>43727.63611</v>
      </c>
      <c r="I327" s="22">
        <f>IFERROR(__xludf.DUMMYFUNCTION("""COMPUTED_VALUE"""),18.26)</f>
        <v>18.26</v>
      </c>
      <c r="J327" s="25">
        <f>IFERROR(__xludf.DUMMYFUNCTION("""COMPUTED_VALUE"""),43727.63611111111)</f>
        <v>43727.63611</v>
      </c>
      <c r="K327" s="22">
        <f>IFERROR(__xludf.DUMMYFUNCTION("""COMPUTED_VALUE"""),18.98)</f>
        <v>18.98</v>
      </c>
      <c r="M327" s="22" t="str">
        <f t="shared" si="3"/>
        <v/>
      </c>
      <c r="N327" s="22" t="str">
        <f t="shared" si="1"/>
        <v/>
      </c>
    </row>
    <row r="328" ht="15.75" customHeight="1">
      <c r="A328" s="25">
        <f>IFERROR(__xludf.DUMMYFUNCTION("""COMPUTED_VALUE"""),43728.66666666667)</f>
        <v>43728.66667</v>
      </c>
      <c r="B328" s="22">
        <f>IFERROR(__xludf.DUMMYFUNCTION("""COMPUTED_VALUE"""),2992.07)</f>
        <v>2992.07</v>
      </c>
      <c r="C328" s="25">
        <f>IFERROR(__xludf.DUMMYFUNCTION("""COMPUTED_VALUE"""),43728.63611111111)</f>
        <v>43728.63611</v>
      </c>
      <c r="D328" s="22">
        <f>IFERROR(__xludf.DUMMYFUNCTION("""COMPUTED_VALUE"""),15.32)</f>
        <v>15.32</v>
      </c>
      <c r="E328" s="26">
        <f t="shared" si="2"/>
        <v>-0.004895586323</v>
      </c>
      <c r="F328" s="25">
        <f>IFERROR(__xludf.DUMMYFUNCTION("""COMPUTED_VALUE"""),43728.63611111111)</f>
        <v>43728.63611</v>
      </c>
      <c r="G328" s="22">
        <f>IFERROR(__xludf.DUMMYFUNCTION("""COMPUTED_VALUE"""),17.71)</f>
        <v>17.71</v>
      </c>
      <c r="H328" s="25">
        <f>IFERROR(__xludf.DUMMYFUNCTION("""COMPUTED_VALUE"""),43728.63611111111)</f>
        <v>43728.63611</v>
      </c>
      <c r="I328" s="22">
        <f>IFERROR(__xludf.DUMMYFUNCTION("""COMPUTED_VALUE"""),18.96)</f>
        <v>18.96</v>
      </c>
      <c r="J328" s="25">
        <f>IFERROR(__xludf.DUMMYFUNCTION("""COMPUTED_VALUE"""),43728.63611111111)</f>
        <v>43728.63611</v>
      </c>
      <c r="K328" s="22">
        <f>IFERROR(__xludf.DUMMYFUNCTION("""COMPUTED_VALUE"""),19.57)</f>
        <v>19.57</v>
      </c>
      <c r="M328" s="22" t="str">
        <f t="shared" si="3"/>
        <v/>
      </c>
      <c r="N328" s="22" t="str">
        <f t="shared" si="1"/>
        <v/>
      </c>
    </row>
    <row r="329" ht="15.75" customHeight="1">
      <c r="A329" s="25">
        <f>IFERROR(__xludf.DUMMYFUNCTION("""COMPUTED_VALUE"""),43731.66666666667)</f>
        <v>43731.66667</v>
      </c>
      <c r="B329" s="22">
        <f>IFERROR(__xludf.DUMMYFUNCTION("""COMPUTED_VALUE"""),2991.78)</f>
        <v>2991.78</v>
      </c>
      <c r="C329" s="25">
        <f>IFERROR(__xludf.DUMMYFUNCTION("""COMPUTED_VALUE"""),43731.63611111111)</f>
        <v>43731.63611</v>
      </c>
      <c r="D329" s="22">
        <f>IFERROR(__xludf.DUMMYFUNCTION("""COMPUTED_VALUE"""),14.91)</f>
        <v>14.91</v>
      </c>
      <c r="E329" s="26">
        <f t="shared" si="2"/>
        <v>-0.00009692286611</v>
      </c>
      <c r="F329" s="25">
        <f>IFERROR(__xludf.DUMMYFUNCTION("""COMPUTED_VALUE"""),43731.63611111111)</f>
        <v>43731.63611</v>
      </c>
      <c r="G329" s="22">
        <f>IFERROR(__xludf.DUMMYFUNCTION("""COMPUTED_VALUE"""),17.43)</f>
        <v>17.43</v>
      </c>
      <c r="H329" s="25">
        <f>IFERROR(__xludf.DUMMYFUNCTION("""COMPUTED_VALUE"""),43731.63611111111)</f>
        <v>43731.63611</v>
      </c>
      <c r="I329" s="22">
        <f>IFERROR(__xludf.DUMMYFUNCTION("""COMPUTED_VALUE"""),18.7)</f>
        <v>18.7</v>
      </c>
      <c r="J329" s="25">
        <f>IFERROR(__xludf.DUMMYFUNCTION("""COMPUTED_VALUE"""),43731.63611111111)</f>
        <v>43731.63611</v>
      </c>
      <c r="K329" s="22">
        <f>IFERROR(__xludf.DUMMYFUNCTION("""COMPUTED_VALUE"""),19.42)</f>
        <v>19.42</v>
      </c>
      <c r="M329" s="22" t="str">
        <f t="shared" si="3"/>
        <v/>
      </c>
      <c r="N329" s="22" t="str">
        <f t="shared" si="1"/>
        <v/>
      </c>
    </row>
    <row r="330" ht="15.75" customHeight="1">
      <c r="A330" s="25">
        <f>IFERROR(__xludf.DUMMYFUNCTION("""COMPUTED_VALUE"""),43732.66666666667)</f>
        <v>43732.66667</v>
      </c>
      <c r="B330" s="22">
        <f>IFERROR(__xludf.DUMMYFUNCTION("""COMPUTED_VALUE"""),2966.6)</f>
        <v>2966.6</v>
      </c>
      <c r="C330" s="25">
        <f>IFERROR(__xludf.DUMMYFUNCTION("""COMPUTED_VALUE"""),43732.63611111111)</f>
        <v>43732.63611</v>
      </c>
      <c r="D330" s="22">
        <f>IFERROR(__xludf.DUMMYFUNCTION("""COMPUTED_VALUE"""),17.05)</f>
        <v>17.05</v>
      </c>
      <c r="E330" s="26">
        <f t="shared" si="2"/>
        <v>-0.008416394254</v>
      </c>
      <c r="F330" s="25">
        <f>IFERROR(__xludf.DUMMYFUNCTION("""COMPUTED_VALUE"""),43732.63611111111)</f>
        <v>43732.63611</v>
      </c>
      <c r="G330" s="22">
        <f>IFERROR(__xludf.DUMMYFUNCTION("""COMPUTED_VALUE"""),18.55)</f>
        <v>18.55</v>
      </c>
      <c r="H330" s="25">
        <f>IFERROR(__xludf.DUMMYFUNCTION("""COMPUTED_VALUE"""),43732.63611111111)</f>
        <v>43732.63611</v>
      </c>
      <c r="I330" s="22">
        <f>IFERROR(__xludf.DUMMYFUNCTION("""COMPUTED_VALUE"""),19.44)</f>
        <v>19.44</v>
      </c>
      <c r="J330" s="25">
        <f>IFERROR(__xludf.DUMMYFUNCTION("""COMPUTED_VALUE"""),43732.63611111111)</f>
        <v>43732.63611</v>
      </c>
      <c r="K330" s="22">
        <f>IFERROR(__xludf.DUMMYFUNCTION("""COMPUTED_VALUE"""),19.84)</f>
        <v>19.84</v>
      </c>
      <c r="M330" s="22" t="str">
        <f t="shared" si="3"/>
        <v/>
      </c>
      <c r="N330" s="22" t="str">
        <f t="shared" si="1"/>
        <v/>
      </c>
    </row>
    <row r="331" ht="15.75" customHeight="1">
      <c r="A331" s="25">
        <f>IFERROR(__xludf.DUMMYFUNCTION("""COMPUTED_VALUE"""),43733.66666666667)</f>
        <v>43733.66667</v>
      </c>
      <c r="B331" s="22">
        <f>IFERROR(__xludf.DUMMYFUNCTION("""COMPUTED_VALUE"""),2984.87)</f>
        <v>2984.87</v>
      </c>
      <c r="C331" s="25">
        <f>IFERROR(__xludf.DUMMYFUNCTION("""COMPUTED_VALUE"""),43733.63611111111)</f>
        <v>43733.63611</v>
      </c>
      <c r="D331" s="22">
        <f>IFERROR(__xludf.DUMMYFUNCTION("""COMPUTED_VALUE"""),15.96)</f>
        <v>15.96</v>
      </c>
      <c r="E331" s="26">
        <f t="shared" si="2"/>
        <v>0.006158565361</v>
      </c>
      <c r="F331" s="25">
        <f>IFERROR(__xludf.DUMMYFUNCTION("""COMPUTED_VALUE"""),43733.63611111111)</f>
        <v>43733.63611</v>
      </c>
      <c r="G331" s="22">
        <f>IFERROR(__xludf.DUMMYFUNCTION("""COMPUTED_VALUE"""),18.0)</f>
        <v>18</v>
      </c>
      <c r="H331" s="25">
        <f>IFERROR(__xludf.DUMMYFUNCTION("""COMPUTED_VALUE"""),43733.63611111111)</f>
        <v>43733.63611</v>
      </c>
      <c r="I331" s="22">
        <f>IFERROR(__xludf.DUMMYFUNCTION("""COMPUTED_VALUE"""),19.06)</f>
        <v>19.06</v>
      </c>
      <c r="J331" s="25">
        <f>IFERROR(__xludf.DUMMYFUNCTION("""COMPUTED_VALUE"""),43733.63611111111)</f>
        <v>43733.63611</v>
      </c>
      <c r="K331" s="22">
        <f>IFERROR(__xludf.DUMMYFUNCTION("""COMPUTED_VALUE"""),19.67)</f>
        <v>19.67</v>
      </c>
      <c r="M331" s="22" t="str">
        <f t="shared" si="3"/>
        <v/>
      </c>
      <c r="N331" s="22" t="str">
        <f t="shared" si="1"/>
        <v/>
      </c>
    </row>
    <row r="332" ht="15.75" customHeight="1">
      <c r="A332" s="25">
        <f>IFERROR(__xludf.DUMMYFUNCTION("""COMPUTED_VALUE"""),43734.66666666667)</f>
        <v>43734.66667</v>
      </c>
      <c r="B332" s="22">
        <f>IFERROR(__xludf.DUMMYFUNCTION("""COMPUTED_VALUE"""),2977.62)</f>
        <v>2977.62</v>
      </c>
      <c r="C332" s="25">
        <f>IFERROR(__xludf.DUMMYFUNCTION("""COMPUTED_VALUE"""),43734.63611111111)</f>
        <v>43734.63611</v>
      </c>
      <c r="D332" s="22">
        <f>IFERROR(__xludf.DUMMYFUNCTION("""COMPUTED_VALUE"""),16.07)</f>
        <v>16.07</v>
      </c>
      <c r="E332" s="26">
        <f t="shared" si="2"/>
        <v>-0.002428916502</v>
      </c>
      <c r="F332" s="25">
        <f>IFERROR(__xludf.DUMMYFUNCTION("""COMPUTED_VALUE"""),43734.63611111111)</f>
        <v>43734.63611</v>
      </c>
      <c r="G332" s="22">
        <f>IFERROR(__xludf.DUMMYFUNCTION("""COMPUTED_VALUE"""),18.12)</f>
        <v>18.12</v>
      </c>
      <c r="H332" s="25">
        <f>IFERROR(__xludf.DUMMYFUNCTION("""COMPUTED_VALUE"""),43734.63611111111)</f>
        <v>43734.63611</v>
      </c>
      <c r="I332" s="22">
        <f>IFERROR(__xludf.DUMMYFUNCTION("""COMPUTED_VALUE"""),19.16)</f>
        <v>19.16</v>
      </c>
      <c r="J332" s="25">
        <f>IFERROR(__xludf.DUMMYFUNCTION("""COMPUTED_VALUE"""),43734.63611111111)</f>
        <v>43734.63611</v>
      </c>
      <c r="K332" s="22">
        <f>IFERROR(__xludf.DUMMYFUNCTION("""COMPUTED_VALUE"""),19.74)</f>
        <v>19.74</v>
      </c>
      <c r="M332" s="22" t="str">
        <f t="shared" si="3"/>
        <v/>
      </c>
      <c r="N332" s="22" t="str">
        <f t="shared" si="1"/>
        <v/>
      </c>
    </row>
    <row r="333" ht="15.75" customHeight="1">
      <c r="A333" s="25">
        <f>IFERROR(__xludf.DUMMYFUNCTION("""COMPUTED_VALUE"""),43735.66666666667)</f>
        <v>43735.66667</v>
      </c>
      <c r="B333" s="22">
        <f>IFERROR(__xludf.DUMMYFUNCTION("""COMPUTED_VALUE"""),2961.79)</f>
        <v>2961.79</v>
      </c>
      <c r="C333" s="25">
        <f>IFERROR(__xludf.DUMMYFUNCTION("""COMPUTED_VALUE"""),43735.63611111111)</f>
        <v>43735.63611</v>
      </c>
      <c r="D333" s="22">
        <f>IFERROR(__xludf.DUMMYFUNCTION("""COMPUTED_VALUE"""),17.22)</f>
        <v>17.22</v>
      </c>
      <c r="E333" s="26">
        <f t="shared" si="2"/>
        <v>-0.005316326462</v>
      </c>
      <c r="F333" s="25">
        <f>IFERROR(__xludf.DUMMYFUNCTION("""COMPUTED_VALUE"""),43735.63611111111)</f>
        <v>43735.63611</v>
      </c>
      <c r="G333" s="22">
        <f>IFERROR(__xludf.DUMMYFUNCTION("""COMPUTED_VALUE"""),18.75)</f>
        <v>18.75</v>
      </c>
      <c r="H333" s="25">
        <f>IFERROR(__xludf.DUMMYFUNCTION("""COMPUTED_VALUE"""),43735.63611111111)</f>
        <v>43735.63611</v>
      </c>
      <c r="I333" s="22">
        <f>IFERROR(__xludf.DUMMYFUNCTION("""COMPUTED_VALUE"""),19.62)</f>
        <v>19.62</v>
      </c>
      <c r="J333" s="25">
        <f>IFERROR(__xludf.DUMMYFUNCTION("""COMPUTED_VALUE"""),43735.63611111111)</f>
        <v>43735.63611</v>
      </c>
      <c r="K333" s="22">
        <f>IFERROR(__xludf.DUMMYFUNCTION("""COMPUTED_VALUE"""),20.03)</f>
        <v>20.03</v>
      </c>
      <c r="M333" s="22" t="str">
        <f t="shared" si="3"/>
        <v/>
      </c>
      <c r="N333" s="22" t="str">
        <f t="shared" si="1"/>
        <v/>
      </c>
    </row>
    <row r="334" ht="15.75" customHeight="1">
      <c r="A334" s="25">
        <f>IFERROR(__xludf.DUMMYFUNCTION("""COMPUTED_VALUE"""),43738.66666666667)</f>
        <v>43738.66667</v>
      </c>
      <c r="B334" s="22">
        <f>IFERROR(__xludf.DUMMYFUNCTION("""COMPUTED_VALUE"""),2976.74)</f>
        <v>2976.74</v>
      </c>
      <c r="C334" s="25">
        <f>IFERROR(__xludf.DUMMYFUNCTION("""COMPUTED_VALUE"""),43738.63611111111)</f>
        <v>43738.63611</v>
      </c>
      <c r="D334" s="22">
        <f>IFERROR(__xludf.DUMMYFUNCTION("""COMPUTED_VALUE"""),16.24)</f>
        <v>16.24</v>
      </c>
      <c r="E334" s="26">
        <f t="shared" si="2"/>
        <v>0.005047623228</v>
      </c>
      <c r="F334" s="25">
        <f>IFERROR(__xludf.DUMMYFUNCTION("""COMPUTED_VALUE"""),43738.63611111111)</f>
        <v>43738.63611</v>
      </c>
      <c r="G334" s="22">
        <f>IFERROR(__xludf.DUMMYFUNCTION("""COMPUTED_VALUE"""),17.96)</f>
        <v>17.96</v>
      </c>
      <c r="H334" s="25">
        <f>IFERROR(__xludf.DUMMYFUNCTION("""COMPUTED_VALUE"""),43738.63611111111)</f>
        <v>43738.63611</v>
      </c>
      <c r="I334" s="22">
        <f>IFERROR(__xludf.DUMMYFUNCTION("""COMPUTED_VALUE"""),19.02)</f>
        <v>19.02</v>
      </c>
      <c r="J334" s="25">
        <f>IFERROR(__xludf.DUMMYFUNCTION("""COMPUTED_VALUE"""),43738.63611111111)</f>
        <v>43738.63611</v>
      </c>
      <c r="K334" s="22">
        <f>IFERROR(__xludf.DUMMYFUNCTION("""COMPUTED_VALUE"""),19.6)</f>
        <v>19.6</v>
      </c>
      <c r="M334" s="22" t="str">
        <f t="shared" si="3"/>
        <v/>
      </c>
      <c r="N334" s="22" t="str">
        <f t="shared" si="1"/>
        <v/>
      </c>
    </row>
    <row r="335" ht="15.75" customHeight="1">
      <c r="A335" s="25">
        <f>IFERROR(__xludf.DUMMYFUNCTION("""COMPUTED_VALUE"""),43739.66666666667)</f>
        <v>43739.66667</v>
      </c>
      <c r="B335" s="22">
        <f>IFERROR(__xludf.DUMMYFUNCTION("""COMPUTED_VALUE"""),2940.25)</f>
        <v>2940.25</v>
      </c>
      <c r="C335" s="25">
        <f>IFERROR(__xludf.DUMMYFUNCTION("""COMPUTED_VALUE"""),43739.63611111111)</f>
        <v>43739.63611</v>
      </c>
      <c r="D335" s="22">
        <f>IFERROR(__xludf.DUMMYFUNCTION("""COMPUTED_VALUE"""),18.56)</f>
        <v>18.56</v>
      </c>
      <c r="E335" s="26">
        <f t="shared" si="2"/>
        <v>-0.01225837661</v>
      </c>
      <c r="F335" s="25">
        <f>IFERROR(__xludf.DUMMYFUNCTION("""COMPUTED_VALUE"""),43739.63611111111)</f>
        <v>43739.63611</v>
      </c>
      <c r="G335" s="22">
        <f>IFERROR(__xludf.DUMMYFUNCTION("""COMPUTED_VALUE"""),19.35)</f>
        <v>19.35</v>
      </c>
      <c r="H335" s="25">
        <f>IFERROR(__xludf.DUMMYFUNCTION("""COMPUTED_VALUE"""),43739.63611111111)</f>
        <v>43739.63611</v>
      </c>
      <c r="I335" s="22">
        <f>IFERROR(__xludf.DUMMYFUNCTION("""COMPUTED_VALUE"""),20.03)</f>
        <v>20.03</v>
      </c>
      <c r="J335" s="25">
        <f>IFERROR(__xludf.DUMMYFUNCTION("""COMPUTED_VALUE"""),43739.63611111111)</f>
        <v>43739.63611</v>
      </c>
      <c r="K335" s="22">
        <f>IFERROR(__xludf.DUMMYFUNCTION("""COMPUTED_VALUE"""),20.27)</f>
        <v>20.27</v>
      </c>
      <c r="M335" s="22" t="str">
        <f t="shared" si="3"/>
        <v/>
      </c>
      <c r="N335" s="22" t="str">
        <f t="shared" si="1"/>
        <v/>
      </c>
    </row>
    <row r="336" ht="15.75" customHeight="1">
      <c r="A336" s="25">
        <f>IFERROR(__xludf.DUMMYFUNCTION("""COMPUTED_VALUE"""),43740.66666666667)</f>
        <v>43740.66667</v>
      </c>
      <c r="B336" s="22">
        <f>IFERROR(__xludf.DUMMYFUNCTION("""COMPUTED_VALUE"""),2887.61)</f>
        <v>2887.61</v>
      </c>
      <c r="C336" s="25">
        <f>IFERROR(__xludf.DUMMYFUNCTION("""COMPUTED_VALUE"""),43740.63611111111)</f>
        <v>43740.63611</v>
      </c>
      <c r="D336" s="22">
        <f>IFERROR(__xludf.DUMMYFUNCTION("""COMPUTED_VALUE"""),20.56)</f>
        <v>20.56</v>
      </c>
      <c r="E336" s="26">
        <f t="shared" si="2"/>
        <v>-0.01790323952</v>
      </c>
      <c r="F336" s="25">
        <f>IFERROR(__xludf.DUMMYFUNCTION("""COMPUTED_VALUE"""),43740.63611111111)</f>
        <v>43740.63611</v>
      </c>
      <c r="G336" s="22">
        <f>IFERROR(__xludf.DUMMYFUNCTION("""COMPUTED_VALUE"""),20.74)</f>
        <v>20.74</v>
      </c>
      <c r="H336" s="25">
        <f>IFERROR(__xludf.DUMMYFUNCTION("""COMPUTED_VALUE"""),43740.63611111111)</f>
        <v>43740.63611</v>
      </c>
      <c r="I336" s="22">
        <f>IFERROR(__xludf.DUMMYFUNCTION("""COMPUTED_VALUE"""),21.0)</f>
        <v>21</v>
      </c>
      <c r="J336" s="25">
        <f>IFERROR(__xludf.DUMMYFUNCTION("""COMPUTED_VALUE"""),43740.63611111111)</f>
        <v>43740.63611</v>
      </c>
      <c r="K336" s="22">
        <f>IFERROR(__xludf.DUMMYFUNCTION("""COMPUTED_VALUE"""),20.91)</f>
        <v>20.91</v>
      </c>
      <c r="M336" s="22" t="str">
        <f t="shared" si="3"/>
        <v/>
      </c>
      <c r="N336" s="22" t="str">
        <f t="shared" si="1"/>
        <v/>
      </c>
    </row>
    <row r="337" ht="15.75" customHeight="1">
      <c r="A337" s="25">
        <f>IFERROR(__xludf.DUMMYFUNCTION("""COMPUTED_VALUE"""),43741.66666666667)</f>
        <v>43741.66667</v>
      </c>
      <c r="B337" s="22">
        <f>IFERROR(__xludf.DUMMYFUNCTION("""COMPUTED_VALUE"""),2910.63)</f>
        <v>2910.63</v>
      </c>
      <c r="C337" s="25">
        <f>IFERROR(__xludf.DUMMYFUNCTION("""COMPUTED_VALUE"""),43741.63611111111)</f>
        <v>43741.63611</v>
      </c>
      <c r="D337" s="22">
        <f>IFERROR(__xludf.DUMMYFUNCTION("""COMPUTED_VALUE"""),19.12)</f>
        <v>19.12</v>
      </c>
      <c r="E337" s="26">
        <f t="shared" si="2"/>
        <v>0.007971990677</v>
      </c>
      <c r="F337" s="25">
        <f>IFERROR(__xludf.DUMMYFUNCTION("""COMPUTED_VALUE"""),43741.63611111111)</f>
        <v>43741.63611</v>
      </c>
      <c r="G337" s="22">
        <f>IFERROR(__xludf.DUMMYFUNCTION("""COMPUTED_VALUE"""),19.78)</f>
        <v>19.78</v>
      </c>
      <c r="H337" s="25">
        <f>IFERROR(__xludf.DUMMYFUNCTION("""COMPUTED_VALUE"""),43741.63611111111)</f>
        <v>43741.63611</v>
      </c>
      <c r="I337" s="22">
        <f>IFERROR(__xludf.DUMMYFUNCTION("""COMPUTED_VALUE"""),20.4)</f>
        <v>20.4</v>
      </c>
      <c r="J337" s="25">
        <f>IFERROR(__xludf.DUMMYFUNCTION("""COMPUTED_VALUE"""),43741.63611111111)</f>
        <v>43741.63611</v>
      </c>
      <c r="K337" s="22">
        <f>IFERROR(__xludf.DUMMYFUNCTION("""COMPUTED_VALUE"""),20.62)</f>
        <v>20.62</v>
      </c>
      <c r="M337" s="22" t="str">
        <f t="shared" si="3"/>
        <v/>
      </c>
      <c r="N337" s="22" t="str">
        <f t="shared" si="1"/>
        <v/>
      </c>
    </row>
    <row r="338" ht="15.75" customHeight="1">
      <c r="A338" s="25">
        <f>IFERROR(__xludf.DUMMYFUNCTION("""COMPUTED_VALUE"""),43742.66666666667)</f>
        <v>43742.66667</v>
      </c>
      <c r="B338" s="22">
        <f>IFERROR(__xludf.DUMMYFUNCTION("""COMPUTED_VALUE"""),2952.01)</f>
        <v>2952.01</v>
      </c>
      <c r="C338" s="25">
        <f>IFERROR(__xludf.DUMMYFUNCTION("""COMPUTED_VALUE"""),43742.63611111111)</f>
        <v>43742.63611</v>
      </c>
      <c r="D338" s="22">
        <f>IFERROR(__xludf.DUMMYFUNCTION("""COMPUTED_VALUE"""),17.04)</f>
        <v>17.04</v>
      </c>
      <c r="E338" s="26">
        <f t="shared" si="2"/>
        <v>0.0142168534</v>
      </c>
      <c r="F338" s="25">
        <f>IFERROR(__xludf.DUMMYFUNCTION("""COMPUTED_VALUE"""),43742.63611111111)</f>
        <v>43742.63611</v>
      </c>
      <c r="G338" s="22">
        <f>IFERROR(__xludf.DUMMYFUNCTION("""COMPUTED_VALUE"""),18.59)</f>
        <v>18.59</v>
      </c>
      <c r="H338" s="25">
        <f>IFERROR(__xludf.DUMMYFUNCTION("""COMPUTED_VALUE"""),43742.63611111111)</f>
        <v>43742.63611</v>
      </c>
      <c r="I338" s="22">
        <f>IFERROR(__xludf.DUMMYFUNCTION("""COMPUTED_VALUE"""),19.51)</f>
        <v>19.51</v>
      </c>
      <c r="J338" s="25">
        <f>IFERROR(__xludf.DUMMYFUNCTION("""COMPUTED_VALUE"""),43742.63611111111)</f>
        <v>43742.63611</v>
      </c>
      <c r="K338" s="22">
        <f>IFERROR(__xludf.DUMMYFUNCTION("""COMPUTED_VALUE"""),20.0)</f>
        <v>20</v>
      </c>
      <c r="M338" s="22" t="str">
        <f t="shared" si="3"/>
        <v/>
      </c>
      <c r="N338" s="22" t="str">
        <f t="shared" si="1"/>
        <v/>
      </c>
    </row>
    <row r="339" ht="15.75" customHeight="1">
      <c r="A339" s="25">
        <f>IFERROR(__xludf.DUMMYFUNCTION("""COMPUTED_VALUE"""),43745.66666666667)</f>
        <v>43745.66667</v>
      </c>
      <c r="B339" s="22">
        <f>IFERROR(__xludf.DUMMYFUNCTION("""COMPUTED_VALUE"""),2938.79)</f>
        <v>2938.79</v>
      </c>
      <c r="C339" s="25">
        <f>IFERROR(__xludf.DUMMYFUNCTION("""COMPUTED_VALUE"""),43745.63611111111)</f>
        <v>43745.63611</v>
      </c>
      <c r="D339" s="22">
        <f>IFERROR(__xludf.DUMMYFUNCTION("""COMPUTED_VALUE"""),17.86)</f>
        <v>17.86</v>
      </c>
      <c r="E339" s="26">
        <f t="shared" si="2"/>
        <v>-0.004478304613</v>
      </c>
      <c r="F339" s="25">
        <f>IFERROR(__xludf.DUMMYFUNCTION("""COMPUTED_VALUE"""),43745.63611111111)</f>
        <v>43745.63611</v>
      </c>
      <c r="G339" s="22">
        <f>IFERROR(__xludf.DUMMYFUNCTION("""COMPUTED_VALUE"""),18.91)</f>
        <v>18.91</v>
      </c>
      <c r="H339" s="25">
        <f>IFERROR(__xludf.DUMMYFUNCTION("""COMPUTED_VALUE"""),43745.63611111111)</f>
        <v>43745.63611</v>
      </c>
      <c r="I339" s="22">
        <f>IFERROR(__xludf.DUMMYFUNCTION("""COMPUTED_VALUE"""),19.76)</f>
        <v>19.76</v>
      </c>
      <c r="J339" s="25">
        <f>IFERROR(__xludf.DUMMYFUNCTION("""COMPUTED_VALUE"""),43745.63611111111)</f>
        <v>43745.63611</v>
      </c>
      <c r="K339" s="22">
        <f>IFERROR(__xludf.DUMMYFUNCTION("""COMPUTED_VALUE"""),20.11)</f>
        <v>20.11</v>
      </c>
      <c r="M339" s="22" t="str">
        <f t="shared" si="3"/>
        <v/>
      </c>
      <c r="N339" s="22" t="str">
        <f t="shared" si="1"/>
        <v/>
      </c>
    </row>
    <row r="340" ht="15.75" customHeight="1">
      <c r="A340" s="25">
        <f>IFERROR(__xludf.DUMMYFUNCTION("""COMPUTED_VALUE"""),43746.66666666667)</f>
        <v>43746.66667</v>
      </c>
      <c r="B340" s="22">
        <f>IFERROR(__xludf.DUMMYFUNCTION("""COMPUTED_VALUE"""),2893.06)</f>
        <v>2893.06</v>
      </c>
      <c r="C340" s="25">
        <f>IFERROR(__xludf.DUMMYFUNCTION("""COMPUTED_VALUE"""),43746.63611111111)</f>
        <v>43746.63611</v>
      </c>
      <c r="D340" s="22">
        <f>IFERROR(__xludf.DUMMYFUNCTION("""COMPUTED_VALUE"""),20.28)</f>
        <v>20.28</v>
      </c>
      <c r="E340" s="26">
        <f t="shared" si="2"/>
        <v>-0.01556082605</v>
      </c>
      <c r="F340" s="25">
        <f>IFERROR(__xludf.DUMMYFUNCTION("""COMPUTED_VALUE"""),43746.63611111111)</f>
        <v>43746.63611</v>
      </c>
      <c r="G340" s="22">
        <f>IFERROR(__xludf.DUMMYFUNCTION("""COMPUTED_VALUE"""),20.39)</f>
        <v>20.39</v>
      </c>
      <c r="H340" s="25">
        <f>IFERROR(__xludf.DUMMYFUNCTION("""COMPUTED_VALUE"""),43746.63611111111)</f>
        <v>43746.63611</v>
      </c>
      <c r="I340" s="22">
        <f>IFERROR(__xludf.DUMMYFUNCTION("""COMPUTED_VALUE"""),20.82)</f>
        <v>20.82</v>
      </c>
      <c r="J340" s="25">
        <f>IFERROR(__xludf.DUMMYFUNCTION("""COMPUTED_VALUE"""),43746.63611111111)</f>
        <v>43746.63611</v>
      </c>
      <c r="K340" s="22">
        <f>IFERROR(__xludf.DUMMYFUNCTION("""COMPUTED_VALUE"""),20.94)</f>
        <v>20.94</v>
      </c>
      <c r="M340" s="22" t="str">
        <f t="shared" si="3"/>
        <v/>
      </c>
      <c r="N340" s="22" t="str">
        <f t="shared" si="1"/>
        <v/>
      </c>
    </row>
    <row r="341" ht="15.75" customHeight="1">
      <c r="A341" s="25">
        <f>IFERROR(__xludf.DUMMYFUNCTION("""COMPUTED_VALUE"""),43747.66666666667)</f>
        <v>43747.66667</v>
      </c>
      <c r="B341" s="22">
        <f>IFERROR(__xludf.DUMMYFUNCTION("""COMPUTED_VALUE"""),2919.4)</f>
        <v>2919.4</v>
      </c>
      <c r="C341" s="25">
        <f>IFERROR(__xludf.DUMMYFUNCTION("""COMPUTED_VALUE"""),43747.63611111111)</f>
        <v>43747.63611</v>
      </c>
      <c r="D341" s="22">
        <f>IFERROR(__xludf.DUMMYFUNCTION("""COMPUTED_VALUE"""),18.64)</f>
        <v>18.64</v>
      </c>
      <c r="E341" s="26">
        <f t="shared" si="2"/>
        <v>0.009104546743</v>
      </c>
      <c r="F341" s="25">
        <f>IFERROR(__xludf.DUMMYFUNCTION("""COMPUTED_VALUE"""),43747.63611111111)</f>
        <v>43747.63611</v>
      </c>
      <c r="G341" s="22">
        <f>IFERROR(__xludf.DUMMYFUNCTION("""COMPUTED_VALUE"""),19.51)</f>
        <v>19.51</v>
      </c>
      <c r="H341" s="25">
        <f>IFERROR(__xludf.DUMMYFUNCTION("""COMPUTED_VALUE"""),43747.63611111111)</f>
        <v>43747.63611</v>
      </c>
      <c r="I341" s="22">
        <f>IFERROR(__xludf.DUMMYFUNCTION("""COMPUTED_VALUE"""),20.26)</f>
        <v>20.26</v>
      </c>
      <c r="J341" s="25">
        <f>IFERROR(__xludf.DUMMYFUNCTION("""COMPUTED_VALUE"""),43747.63611111111)</f>
        <v>43747.63611</v>
      </c>
      <c r="K341" s="22">
        <f>IFERROR(__xludf.DUMMYFUNCTION("""COMPUTED_VALUE"""),20.58)</f>
        <v>20.58</v>
      </c>
      <c r="M341" s="22" t="str">
        <f t="shared" si="3"/>
        <v/>
      </c>
      <c r="N341" s="22" t="str">
        <f t="shared" si="1"/>
        <v/>
      </c>
    </row>
    <row r="342" ht="15.75" customHeight="1">
      <c r="A342" s="25">
        <f>IFERROR(__xludf.DUMMYFUNCTION("""COMPUTED_VALUE"""),43748.66666666667)</f>
        <v>43748.66667</v>
      </c>
      <c r="B342" s="22">
        <f>IFERROR(__xludf.DUMMYFUNCTION("""COMPUTED_VALUE"""),2938.13)</f>
        <v>2938.13</v>
      </c>
      <c r="C342" s="25">
        <f>IFERROR(__xludf.DUMMYFUNCTION("""COMPUTED_VALUE"""),43748.63611111111)</f>
        <v>43748.63611</v>
      </c>
      <c r="D342" s="22">
        <f>IFERROR(__xludf.DUMMYFUNCTION("""COMPUTED_VALUE"""),17.57)</f>
        <v>17.57</v>
      </c>
      <c r="E342" s="26">
        <f t="shared" si="2"/>
        <v>0.006415701857</v>
      </c>
      <c r="F342" s="25">
        <f>IFERROR(__xludf.DUMMYFUNCTION("""COMPUTED_VALUE"""),43748.63611111111)</f>
        <v>43748.63611</v>
      </c>
      <c r="G342" s="22">
        <f>IFERROR(__xludf.DUMMYFUNCTION("""COMPUTED_VALUE"""),18.79)</f>
        <v>18.79</v>
      </c>
      <c r="H342" s="25">
        <f>IFERROR(__xludf.DUMMYFUNCTION("""COMPUTED_VALUE"""),43748.63611111111)</f>
        <v>43748.63611</v>
      </c>
      <c r="I342" s="22">
        <f>IFERROR(__xludf.DUMMYFUNCTION("""COMPUTED_VALUE"""),19.74)</f>
        <v>19.74</v>
      </c>
      <c r="J342" s="25">
        <f>IFERROR(__xludf.DUMMYFUNCTION("""COMPUTED_VALUE"""),43748.63611111111)</f>
        <v>43748.63611</v>
      </c>
      <c r="K342" s="22">
        <f>IFERROR(__xludf.DUMMYFUNCTION("""COMPUTED_VALUE"""),20.19)</f>
        <v>20.19</v>
      </c>
      <c r="M342" s="22" t="str">
        <f t="shared" si="3"/>
        <v/>
      </c>
      <c r="N342" s="22" t="str">
        <f t="shared" si="1"/>
        <v/>
      </c>
    </row>
    <row r="343" ht="15.75" customHeight="1">
      <c r="A343" s="25">
        <f>IFERROR(__xludf.DUMMYFUNCTION("""COMPUTED_VALUE"""),43749.66666666667)</f>
        <v>43749.66667</v>
      </c>
      <c r="B343" s="22">
        <f>IFERROR(__xludf.DUMMYFUNCTION("""COMPUTED_VALUE"""),2970.27)</f>
        <v>2970.27</v>
      </c>
      <c r="C343" s="25">
        <f>IFERROR(__xludf.DUMMYFUNCTION("""COMPUTED_VALUE"""),43749.63611111111)</f>
        <v>43749.63611</v>
      </c>
      <c r="D343" s="22">
        <f>IFERROR(__xludf.DUMMYFUNCTION("""COMPUTED_VALUE"""),15.58)</f>
        <v>15.58</v>
      </c>
      <c r="E343" s="26">
        <f t="shared" si="2"/>
        <v>0.01093893054</v>
      </c>
      <c r="F343" s="25">
        <f>IFERROR(__xludf.DUMMYFUNCTION("""COMPUTED_VALUE"""),43749.63611111111)</f>
        <v>43749.63611</v>
      </c>
      <c r="G343" s="22">
        <f>IFERROR(__xludf.DUMMYFUNCTION("""COMPUTED_VALUE"""),17.55)</f>
        <v>17.55</v>
      </c>
      <c r="H343" s="25">
        <f>IFERROR(__xludf.DUMMYFUNCTION("""COMPUTED_VALUE"""),43749.63611111111)</f>
        <v>43749.63611</v>
      </c>
      <c r="I343" s="22">
        <f>IFERROR(__xludf.DUMMYFUNCTION("""COMPUTED_VALUE"""),18.86)</f>
        <v>18.86</v>
      </c>
      <c r="J343" s="25">
        <f>IFERROR(__xludf.DUMMYFUNCTION("""COMPUTED_VALUE"""),43749.63611111111)</f>
        <v>43749.63611</v>
      </c>
      <c r="K343" s="22">
        <f>IFERROR(__xludf.DUMMYFUNCTION("""COMPUTED_VALUE"""),19.56)</f>
        <v>19.56</v>
      </c>
      <c r="M343" s="22" t="str">
        <f t="shared" si="3"/>
        <v/>
      </c>
      <c r="N343" s="22" t="str">
        <f t="shared" si="1"/>
        <v/>
      </c>
    </row>
    <row r="344" ht="15.75" customHeight="1">
      <c r="A344" s="25">
        <f>IFERROR(__xludf.DUMMYFUNCTION("""COMPUTED_VALUE"""),43752.66666666667)</f>
        <v>43752.66667</v>
      </c>
      <c r="B344" s="22">
        <f>IFERROR(__xludf.DUMMYFUNCTION("""COMPUTED_VALUE"""),2966.15)</f>
        <v>2966.15</v>
      </c>
      <c r="C344" s="25">
        <f>IFERROR(__xludf.DUMMYFUNCTION("""COMPUTED_VALUE"""),43752.63611111111)</f>
        <v>43752.63611</v>
      </c>
      <c r="D344" s="22">
        <f>IFERROR(__xludf.DUMMYFUNCTION("""COMPUTED_VALUE"""),14.57)</f>
        <v>14.57</v>
      </c>
      <c r="E344" s="26">
        <f t="shared" si="2"/>
        <v>-0.001387079289</v>
      </c>
      <c r="F344" s="25">
        <f>IFERROR(__xludf.DUMMYFUNCTION("""COMPUTED_VALUE"""),43752.63611111111)</f>
        <v>43752.63611</v>
      </c>
      <c r="G344" s="22">
        <f>IFERROR(__xludf.DUMMYFUNCTION("""COMPUTED_VALUE"""),17.12)</f>
        <v>17.12</v>
      </c>
      <c r="H344" s="25">
        <f>IFERROR(__xludf.DUMMYFUNCTION("""COMPUTED_VALUE"""),43752.63611111111)</f>
        <v>43752.63611</v>
      </c>
      <c r="I344" s="22">
        <f>IFERROR(__xludf.DUMMYFUNCTION("""COMPUTED_VALUE"""),18.58)</f>
        <v>18.58</v>
      </c>
      <c r="J344" s="25">
        <f>IFERROR(__xludf.DUMMYFUNCTION("""COMPUTED_VALUE"""),43752.63611111111)</f>
        <v>43752.63611</v>
      </c>
      <c r="K344" s="22">
        <f>IFERROR(__xludf.DUMMYFUNCTION("""COMPUTED_VALUE"""),19.49)</f>
        <v>19.49</v>
      </c>
      <c r="M344" s="22" t="str">
        <f t="shared" si="3"/>
        <v/>
      </c>
      <c r="N344" s="22" t="str">
        <f t="shared" si="1"/>
        <v/>
      </c>
    </row>
    <row r="345" ht="15.75" customHeight="1">
      <c r="A345" s="25">
        <f>IFERROR(__xludf.DUMMYFUNCTION("""COMPUTED_VALUE"""),43753.66666666667)</f>
        <v>43753.66667</v>
      </c>
      <c r="B345" s="22">
        <f>IFERROR(__xludf.DUMMYFUNCTION("""COMPUTED_VALUE"""),2995.68)</f>
        <v>2995.68</v>
      </c>
      <c r="C345" s="25">
        <f>IFERROR(__xludf.DUMMYFUNCTION("""COMPUTED_VALUE"""),43753.63611111111)</f>
        <v>43753.63611</v>
      </c>
      <c r="D345" s="22">
        <f>IFERROR(__xludf.DUMMYFUNCTION("""COMPUTED_VALUE"""),13.54)</f>
        <v>13.54</v>
      </c>
      <c r="E345" s="26">
        <f t="shared" si="2"/>
        <v>0.009955666436</v>
      </c>
      <c r="F345" s="25">
        <f>IFERROR(__xludf.DUMMYFUNCTION("""COMPUTED_VALUE"""),43753.63611111111)</f>
        <v>43753.63611</v>
      </c>
      <c r="G345" s="22">
        <f>IFERROR(__xludf.DUMMYFUNCTION("""COMPUTED_VALUE"""),16.48)</f>
        <v>16.48</v>
      </c>
      <c r="H345" s="25">
        <f>IFERROR(__xludf.DUMMYFUNCTION("""COMPUTED_VALUE"""),43753.63611111111)</f>
        <v>43753.63611</v>
      </c>
      <c r="I345" s="22">
        <f>IFERROR(__xludf.DUMMYFUNCTION("""COMPUTED_VALUE"""),18.1)</f>
        <v>18.1</v>
      </c>
      <c r="J345" s="25">
        <f>IFERROR(__xludf.DUMMYFUNCTION("""COMPUTED_VALUE"""),43753.63611111111)</f>
        <v>43753.63611</v>
      </c>
      <c r="K345" s="22">
        <f>IFERROR(__xludf.DUMMYFUNCTION("""COMPUTED_VALUE"""),19.12)</f>
        <v>19.12</v>
      </c>
      <c r="M345" s="22" t="str">
        <f t="shared" si="3"/>
        <v/>
      </c>
      <c r="N345" s="22" t="str">
        <f t="shared" si="1"/>
        <v/>
      </c>
    </row>
    <row r="346" ht="15.75" customHeight="1">
      <c r="A346" s="25">
        <f>IFERROR(__xludf.DUMMYFUNCTION("""COMPUTED_VALUE"""),43754.66666666667)</f>
        <v>43754.66667</v>
      </c>
      <c r="B346" s="22">
        <f>IFERROR(__xludf.DUMMYFUNCTION("""COMPUTED_VALUE"""),2989.69)</f>
        <v>2989.69</v>
      </c>
      <c r="C346" s="25">
        <f>IFERROR(__xludf.DUMMYFUNCTION("""COMPUTED_VALUE"""),43754.63611111111)</f>
        <v>43754.63611</v>
      </c>
      <c r="D346" s="22">
        <f>IFERROR(__xludf.DUMMYFUNCTION("""COMPUTED_VALUE"""),13.68)</f>
        <v>13.68</v>
      </c>
      <c r="E346" s="26">
        <f t="shared" si="2"/>
        <v>-0.001999546013</v>
      </c>
      <c r="F346" s="25">
        <f>IFERROR(__xludf.DUMMYFUNCTION("""COMPUTED_VALUE"""),43754.63611111111)</f>
        <v>43754.63611</v>
      </c>
      <c r="G346" s="22">
        <f>IFERROR(__xludf.DUMMYFUNCTION("""COMPUTED_VALUE"""),16.48)</f>
        <v>16.48</v>
      </c>
      <c r="H346" s="25">
        <f>IFERROR(__xludf.DUMMYFUNCTION("""COMPUTED_VALUE"""),43754.63611111111)</f>
        <v>43754.63611</v>
      </c>
      <c r="I346" s="22">
        <f>IFERROR(__xludf.DUMMYFUNCTION("""COMPUTED_VALUE"""),18.12)</f>
        <v>18.12</v>
      </c>
      <c r="J346" s="25">
        <f>IFERROR(__xludf.DUMMYFUNCTION("""COMPUTED_VALUE"""),43754.63611111111)</f>
        <v>43754.63611</v>
      </c>
      <c r="K346" s="22">
        <f>IFERROR(__xludf.DUMMYFUNCTION("""COMPUTED_VALUE"""),19.26)</f>
        <v>19.26</v>
      </c>
      <c r="M346" s="22" t="str">
        <f t="shared" si="3"/>
        <v/>
      </c>
      <c r="N346" s="22" t="str">
        <f t="shared" si="1"/>
        <v/>
      </c>
    </row>
    <row r="347" ht="15.75" customHeight="1">
      <c r="A347" s="25">
        <f>IFERROR(__xludf.DUMMYFUNCTION("""COMPUTED_VALUE"""),43755.66666666667)</f>
        <v>43755.66667</v>
      </c>
      <c r="B347" s="22">
        <f>IFERROR(__xludf.DUMMYFUNCTION("""COMPUTED_VALUE"""),2997.95)</f>
        <v>2997.95</v>
      </c>
      <c r="C347" s="25">
        <f>IFERROR(__xludf.DUMMYFUNCTION("""COMPUTED_VALUE"""),43755.63611111111)</f>
        <v>43755.63611</v>
      </c>
      <c r="D347" s="22">
        <f>IFERROR(__xludf.DUMMYFUNCTION("""COMPUTED_VALUE"""),13.79)</f>
        <v>13.79</v>
      </c>
      <c r="E347" s="26">
        <f t="shared" si="2"/>
        <v>0.002762828253</v>
      </c>
      <c r="F347" s="25">
        <f>IFERROR(__xludf.DUMMYFUNCTION("""COMPUTED_VALUE"""),43755.63611111111)</f>
        <v>43755.63611</v>
      </c>
      <c r="G347" s="22">
        <f>IFERROR(__xludf.DUMMYFUNCTION("""COMPUTED_VALUE"""),16.44)</f>
        <v>16.44</v>
      </c>
      <c r="H347" s="25">
        <f>IFERROR(__xludf.DUMMYFUNCTION("""COMPUTED_VALUE"""),43755.63611111111)</f>
        <v>43755.63611</v>
      </c>
      <c r="I347" s="22">
        <f>IFERROR(__xludf.DUMMYFUNCTION("""COMPUTED_VALUE"""),18.01)</f>
        <v>18.01</v>
      </c>
      <c r="J347" s="25">
        <f>IFERROR(__xludf.DUMMYFUNCTION("""COMPUTED_VALUE"""),43755.63611111111)</f>
        <v>43755.63611</v>
      </c>
      <c r="K347" s="22">
        <f>IFERROR(__xludf.DUMMYFUNCTION("""COMPUTED_VALUE"""),19.23)</f>
        <v>19.23</v>
      </c>
      <c r="M347" s="22" t="str">
        <f t="shared" si="3"/>
        <v/>
      </c>
      <c r="N347" s="22" t="str">
        <f t="shared" si="1"/>
        <v/>
      </c>
    </row>
    <row r="348" ht="15.75" customHeight="1">
      <c r="A348" s="25">
        <f>IFERROR(__xludf.DUMMYFUNCTION("""COMPUTED_VALUE"""),43756.66666666667)</f>
        <v>43756.66667</v>
      </c>
      <c r="B348" s="22">
        <f>IFERROR(__xludf.DUMMYFUNCTION("""COMPUTED_VALUE"""),2986.2)</f>
        <v>2986.2</v>
      </c>
      <c r="C348" s="25">
        <f>IFERROR(__xludf.DUMMYFUNCTION("""COMPUTED_VALUE"""),43756.63611111111)</f>
        <v>43756.63611</v>
      </c>
      <c r="D348" s="22">
        <f>IFERROR(__xludf.DUMMYFUNCTION("""COMPUTED_VALUE"""),14.25)</f>
        <v>14.25</v>
      </c>
      <c r="E348" s="26">
        <f t="shared" si="2"/>
        <v>-0.003919344886</v>
      </c>
      <c r="F348" s="25">
        <f>IFERROR(__xludf.DUMMYFUNCTION("""COMPUTED_VALUE"""),43756.63611111111)</f>
        <v>43756.63611</v>
      </c>
      <c r="G348" s="22">
        <f>IFERROR(__xludf.DUMMYFUNCTION("""COMPUTED_VALUE"""),16.65)</f>
        <v>16.65</v>
      </c>
      <c r="H348" s="25">
        <f>IFERROR(__xludf.DUMMYFUNCTION("""COMPUTED_VALUE"""),43756.63611111111)</f>
        <v>43756.63611</v>
      </c>
      <c r="I348" s="22">
        <f>IFERROR(__xludf.DUMMYFUNCTION("""COMPUTED_VALUE"""),18.21)</f>
        <v>18.21</v>
      </c>
      <c r="J348" s="25">
        <f>IFERROR(__xludf.DUMMYFUNCTION("""COMPUTED_VALUE"""),43756.63611111111)</f>
        <v>43756.63611</v>
      </c>
      <c r="K348" s="22">
        <f>IFERROR(__xludf.DUMMYFUNCTION("""COMPUTED_VALUE"""),19.45)</f>
        <v>19.45</v>
      </c>
      <c r="M348" s="22" t="str">
        <f t="shared" si="3"/>
        <v/>
      </c>
      <c r="N348" s="22" t="str">
        <f t="shared" si="1"/>
        <v/>
      </c>
    </row>
    <row r="349" ht="15.75" customHeight="1">
      <c r="A349" s="25">
        <f>IFERROR(__xludf.DUMMYFUNCTION("""COMPUTED_VALUE"""),43759.66666666667)</f>
        <v>43759.66667</v>
      </c>
      <c r="B349" s="22">
        <f>IFERROR(__xludf.DUMMYFUNCTION("""COMPUTED_VALUE"""),3006.72)</f>
        <v>3006.72</v>
      </c>
      <c r="C349" s="25">
        <f>IFERROR(__xludf.DUMMYFUNCTION("""COMPUTED_VALUE"""),43759.63611111111)</f>
        <v>43759.63611</v>
      </c>
      <c r="D349" s="22">
        <f>IFERROR(__xludf.DUMMYFUNCTION("""COMPUTED_VALUE"""),14.0)</f>
        <v>14</v>
      </c>
      <c r="E349" s="26">
        <f t="shared" si="2"/>
        <v>0.006871609403</v>
      </c>
      <c r="F349" s="25">
        <f>IFERROR(__xludf.DUMMYFUNCTION("""COMPUTED_VALUE"""),43759.63611111111)</f>
        <v>43759.63611</v>
      </c>
      <c r="G349" s="22">
        <f>IFERROR(__xludf.DUMMYFUNCTION("""COMPUTED_VALUE"""),16.28)</f>
        <v>16.28</v>
      </c>
      <c r="H349" s="25">
        <f>IFERROR(__xludf.DUMMYFUNCTION("""COMPUTED_VALUE"""),43759.63611111111)</f>
        <v>43759.63611</v>
      </c>
      <c r="I349" s="22">
        <f>IFERROR(__xludf.DUMMYFUNCTION("""COMPUTED_VALUE"""),17.82)</f>
        <v>17.82</v>
      </c>
      <c r="J349" s="25">
        <f>IFERROR(__xludf.DUMMYFUNCTION("""COMPUTED_VALUE"""),43759.63611111111)</f>
        <v>43759.63611</v>
      </c>
      <c r="K349" s="22">
        <f>IFERROR(__xludf.DUMMYFUNCTION("""COMPUTED_VALUE"""),19.22)</f>
        <v>19.22</v>
      </c>
      <c r="M349" s="22" t="str">
        <f t="shared" si="3"/>
        <v/>
      </c>
      <c r="N349" s="22" t="str">
        <f t="shared" si="1"/>
        <v/>
      </c>
    </row>
    <row r="350" ht="15.75" customHeight="1">
      <c r="A350" s="25">
        <f>IFERROR(__xludf.DUMMYFUNCTION("""COMPUTED_VALUE"""),43760.66666666667)</f>
        <v>43760.66667</v>
      </c>
      <c r="B350" s="22">
        <f>IFERROR(__xludf.DUMMYFUNCTION("""COMPUTED_VALUE"""),2995.99)</f>
        <v>2995.99</v>
      </c>
      <c r="C350" s="25">
        <f>IFERROR(__xludf.DUMMYFUNCTION("""COMPUTED_VALUE"""),43760.63611111111)</f>
        <v>43760.63611</v>
      </c>
      <c r="D350" s="22">
        <f>IFERROR(__xludf.DUMMYFUNCTION("""COMPUTED_VALUE"""),14.46)</f>
        <v>14.46</v>
      </c>
      <c r="E350" s="26">
        <f t="shared" si="2"/>
        <v>-0.00356867284</v>
      </c>
      <c r="F350" s="25">
        <f>IFERROR(__xludf.DUMMYFUNCTION("""COMPUTED_VALUE"""),43760.63611111111)</f>
        <v>43760.63611</v>
      </c>
      <c r="G350" s="22">
        <f>IFERROR(__xludf.DUMMYFUNCTION("""COMPUTED_VALUE"""),16.55)</f>
        <v>16.55</v>
      </c>
      <c r="H350" s="25">
        <f>IFERROR(__xludf.DUMMYFUNCTION("""COMPUTED_VALUE"""),43760.63611111111)</f>
        <v>43760.63611</v>
      </c>
      <c r="I350" s="22">
        <f>IFERROR(__xludf.DUMMYFUNCTION("""COMPUTED_VALUE"""),18.02)</f>
        <v>18.02</v>
      </c>
      <c r="J350" s="25">
        <f>IFERROR(__xludf.DUMMYFUNCTION("""COMPUTED_VALUE"""),43760.63611111111)</f>
        <v>43760.63611</v>
      </c>
      <c r="K350" s="22">
        <f>IFERROR(__xludf.DUMMYFUNCTION("""COMPUTED_VALUE"""),19.34)</f>
        <v>19.34</v>
      </c>
      <c r="M350" s="22" t="str">
        <f t="shared" si="3"/>
        <v/>
      </c>
      <c r="N350" s="22" t="str">
        <f t="shared" si="1"/>
        <v/>
      </c>
    </row>
    <row r="351" ht="15.75" customHeight="1">
      <c r="A351" s="25">
        <f>IFERROR(__xludf.DUMMYFUNCTION("""COMPUTED_VALUE"""),43761.66666666667)</f>
        <v>43761.66667</v>
      </c>
      <c r="B351" s="22">
        <f>IFERROR(__xludf.DUMMYFUNCTION("""COMPUTED_VALUE"""),3004.52)</f>
        <v>3004.52</v>
      </c>
      <c r="C351" s="25">
        <f>IFERROR(__xludf.DUMMYFUNCTION("""COMPUTED_VALUE"""),43761.63611111111)</f>
        <v>43761.63611</v>
      </c>
      <c r="D351" s="22">
        <f>IFERROR(__xludf.DUMMYFUNCTION("""COMPUTED_VALUE"""),14.01)</f>
        <v>14.01</v>
      </c>
      <c r="E351" s="26">
        <f t="shared" si="2"/>
        <v>0.002847139009</v>
      </c>
      <c r="F351" s="25">
        <f>IFERROR(__xludf.DUMMYFUNCTION("""COMPUTED_VALUE"""),43761.63611111111)</f>
        <v>43761.63611</v>
      </c>
      <c r="G351" s="22">
        <f>IFERROR(__xludf.DUMMYFUNCTION("""COMPUTED_VALUE"""),16.29)</f>
        <v>16.29</v>
      </c>
      <c r="H351" s="25">
        <f>IFERROR(__xludf.DUMMYFUNCTION("""COMPUTED_VALUE"""),43761.63611111111)</f>
        <v>43761.63611</v>
      </c>
      <c r="I351" s="22">
        <f>IFERROR(__xludf.DUMMYFUNCTION("""COMPUTED_VALUE"""),17.84)</f>
        <v>17.84</v>
      </c>
      <c r="J351" s="25">
        <f>IFERROR(__xludf.DUMMYFUNCTION("""COMPUTED_VALUE"""),43761.63611111111)</f>
        <v>43761.63611</v>
      </c>
      <c r="K351" s="22">
        <f>IFERROR(__xludf.DUMMYFUNCTION("""COMPUTED_VALUE"""),19.3)</f>
        <v>19.3</v>
      </c>
      <c r="M351" s="22" t="str">
        <f t="shared" si="3"/>
        <v/>
      </c>
      <c r="N351" s="22" t="str">
        <f t="shared" si="1"/>
        <v/>
      </c>
    </row>
    <row r="352" ht="15.75" customHeight="1">
      <c r="A352" s="25">
        <f>IFERROR(__xludf.DUMMYFUNCTION("""COMPUTED_VALUE"""),43762.66666666667)</f>
        <v>43762.66667</v>
      </c>
      <c r="B352" s="22">
        <f>IFERROR(__xludf.DUMMYFUNCTION("""COMPUTED_VALUE"""),3010.29)</f>
        <v>3010.29</v>
      </c>
      <c r="C352" s="25">
        <f>IFERROR(__xludf.DUMMYFUNCTION("""COMPUTED_VALUE"""),43762.63611111111)</f>
        <v>43762.63611</v>
      </c>
      <c r="D352" s="22">
        <f>IFERROR(__xludf.DUMMYFUNCTION("""COMPUTED_VALUE"""),13.71)</f>
        <v>13.71</v>
      </c>
      <c r="E352" s="26">
        <f t="shared" si="2"/>
        <v>0.001920439871</v>
      </c>
      <c r="F352" s="25">
        <f>IFERROR(__xludf.DUMMYFUNCTION("""COMPUTED_VALUE"""),43762.63611111111)</f>
        <v>43762.63611</v>
      </c>
      <c r="G352" s="22">
        <f>IFERROR(__xludf.DUMMYFUNCTION("""COMPUTED_VALUE"""),16.25)</f>
        <v>16.25</v>
      </c>
      <c r="H352" s="25">
        <f>IFERROR(__xludf.DUMMYFUNCTION("""COMPUTED_VALUE"""),43762.63611111111)</f>
        <v>43762.63611</v>
      </c>
      <c r="I352" s="22">
        <f>IFERROR(__xludf.DUMMYFUNCTION("""COMPUTED_VALUE"""),17.84)</f>
        <v>17.84</v>
      </c>
      <c r="J352" s="25">
        <f>IFERROR(__xludf.DUMMYFUNCTION("""COMPUTED_VALUE"""),43762.63611111111)</f>
        <v>43762.63611</v>
      </c>
      <c r="K352" s="22">
        <f>IFERROR(__xludf.DUMMYFUNCTION("""COMPUTED_VALUE"""),19.3)</f>
        <v>19.3</v>
      </c>
      <c r="M352" s="22" t="str">
        <f t="shared" si="3"/>
        <v/>
      </c>
      <c r="N352" s="22" t="str">
        <f t="shared" si="1"/>
        <v/>
      </c>
    </row>
    <row r="353" ht="15.75" customHeight="1">
      <c r="A353" s="25">
        <f>IFERROR(__xludf.DUMMYFUNCTION("""COMPUTED_VALUE"""),43763.66666666667)</f>
        <v>43763.66667</v>
      </c>
      <c r="B353" s="22">
        <f>IFERROR(__xludf.DUMMYFUNCTION("""COMPUTED_VALUE"""),3022.55)</f>
        <v>3022.55</v>
      </c>
      <c r="C353" s="25">
        <f>IFERROR(__xludf.DUMMYFUNCTION("""COMPUTED_VALUE"""),43763.63611111111)</f>
        <v>43763.63611</v>
      </c>
      <c r="D353" s="22">
        <f>IFERROR(__xludf.DUMMYFUNCTION("""COMPUTED_VALUE"""),12.65)</f>
        <v>12.65</v>
      </c>
      <c r="E353" s="26">
        <f t="shared" si="2"/>
        <v>0.004072697315</v>
      </c>
      <c r="F353" s="25">
        <f>IFERROR(__xludf.DUMMYFUNCTION("""COMPUTED_VALUE"""),43763.63611111111)</f>
        <v>43763.63611</v>
      </c>
      <c r="G353" s="22">
        <f>IFERROR(__xludf.DUMMYFUNCTION("""COMPUTED_VALUE"""),15.71)</f>
        <v>15.71</v>
      </c>
      <c r="H353" s="25">
        <f>IFERROR(__xludf.DUMMYFUNCTION("""COMPUTED_VALUE"""),43763.63611111111)</f>
        <v>43763.63611</v>
      </c>
      <c r="I353" s="22">
        <f>IFERROR(__xludf.DUMMYFUNCTION("""COMPUTED_VALUE"""),17.45)</f>
        <v>17.45</v>
      </c>
      <c r="J353" s="25">
        <f>IFERROR(__xludf.DUMMYFUNCTION("""COMPUTED_VALUE"""),43763.63611111111)</f>
        <v>43763.63611</v>
      </c>
      <c r="K353" s="22">
        <f>IFERROR(__xludf.DUMMYFUNCTION("""COMPUTED_VALUE"""),19.01)</f>
        <v>19.01</v>
      </c>
      <c r="M353" s="22" t="str">
        <f t="shared" si="3"/>
        <v/>
      </c>
      <c r="N353" s="22" t="str">
        <f t="shared" si="1"/>
        <v/>
      </c>
    </row>
    <row r="354" ht="15.75" customHeight="1">
      <c r="A354" s="25">
        <f>IFERROR(__xludf.DUMMYFUNCTION("""COMPUTED_VALUE"""),43766.66666666667)</f>
        <v>43766.66667</v>
      </c>
      <c r="B354" s="22">
        <f>IFERROR(__xludf.DUMMYFUNCTION("""COMPUTED_VALUE"""),3039.42)</f>
        <v>3039.42</v>
      </c>
      <c r="C354" s="25">
        <f>IFERROR(__xludf.DUMMYFUNCTION("""COMPUTED_VALUE"""),43766.63611111111)</f>
        <v>43766.63611</v>
      </c>
      <c r="D354" s="22">
        <f>IFERROR(__xludf.DUMMYFUNCTION("""COMPUTED_VALUE"""),13.11)</f>
        <v>13.11</v>
      </c>
      <c r="E354" s="26">
        <f t="shared" si="2"/>
        <v>0.005581379961</v>
      </c>
      <c r="F354" s="25">
        <f>IFERROR(__xludf.DUMMYFUNCTION("""COMPUTED_VALUE"""),43766.63611111111)</f>
        <v>43766.63611</v>
      </c>
      <c r="G354" s="22">
        <f>IFERROR(__xludf.DUMMYFUNCTION("""COMPUTED_VALUE"""),15.99)</f>
        <v>15.99</v>
      </c>
      <c r="H354" s="25">
        <f>IFERROR(__xludf.DUMMYFUNCTION("""COMPUTED_VALUE"""),43766.63611111111)</f>
        <v>43766.63611</v>
      </c>
      <c r="I354" s="22">
        <f>IFERROR(__xludf.DUMMYFUNCTION("""COMPUTED_VALUE"""),17.59)</f>
        <v>17.59</v>
      </c>
      <c r="J354" s="25">
        <f>IFERROR(__xludf.DUMMYFUNCTION("""COMPUTED_VALUE"""),43766.63611111111)</f>
        <v>43766.63611</v>
      </c>
      <c r="K354" s="22">
        <f>IFERROR(__xludf.DUMMYFUNCTION("""COMPUTED_VALUE"""),19.11)</f>
        <v>19.11</v>
      </c>
      <c r="M354" s="22" t="str">
        <f t="shared" si="3"/>
        <v/>
      </c>
      <c r="N354" s="22" t="str">
        <f t="shared" si="1"/>
        <v/>
      </c>
    </row>
    <row r="355" ht="15.75" customHeight="1">
      <c r="A355" s="25">
        <f>IFERROR(__xludf.DUMMYFUNCTION("""COMPUTED_VALUE"""),43767.66666666667)</f>
        <v>43767.66667</v>
      </c>
      <c r="B355" s="22">
        <f>IFERROR(__xludf.DUMMYFUNCTION("""COMPUTED_VALUE"""),3036.89)</f>
        <v>3036.89</v>
      </c>
      <c r="C355" s="25">
        <f>IFERROR(__xludf.DUMMYFUNCTION("""COMPUTED_VALUE"""),43767.63611111111)</f>
        <v>43767.63611</v>
      </c>
      <c r="D355" s="22">
        <f>IFERROR(__xludf.DUMMYFUNCTION("""COMPUTED_VALUE"""),13.2)</f>
        <v>13.2</v>
      </c>
      <c r="E355" s="26">
        <f t="shared" si="2"/>
        <v>-0.0008323956544</v>
      </c>
      <c r="F355" s="25">
        <f>IFERROR(__xludf.DUMMYFUNCTION("""COMPUTED_VALUE"""),43767.63611111111)</f>
        <v>43767.63611</v>
      </c>
      <c r="G355" s="22">
        <f>IFERROR(__xludf.DUMMYFUNCTION("""COMPUTED_VALUE"""),16.09)</f>
        <v>16.09</v>
      </c>
      <c r="H355" s="25">
        <f>IFERROR(__xludf.DUMMYFUNCTION("""COMPUTED_VALUE"""),43767.63611111111)</f>
        <v>43767.63611</v>
      </c>
      <c r="I355" s="22">
        <f>IFERROR(__xludf.DUMMYFUNCTION("""COMPUTED_VALUE"""),17.77)</f>
        <v>17.77</v>
      </c>
      <c r="J355" s="25">
        <f>IFERROR(__xludf.DUMMYFUNCTION("""COMPUTED_VALUE"""),43767.63611111111)</f>
        <v>43767.63611</v>
      </c>
      <c r="K355" s="22">
        <f>IFERROR(__xludf.DUMMYFUNCTION("""COMPUTED_VALUE"""),19.18)</f>
        <v>19.18</v>
      </c>
      <c r="M355" s="22" t="str">
        <f t="shared" si="3"/>
        <v/>
      </c>
      <c r="N355" s="22" t="str">
        <f t="shared" si="1"/>
        <v/>
      </c>
    </row>
    <row r="356" ht="15.75" customHeight="1">
      <c r="A356" s="25">
        <f>IFERROR(__xludf.DUMMYFUNCTION("""COMPUTED_VALUE"""),43768.66666666667)</f>
        <v>43768.66667</v>
      </c>
      <c r="B356" s="22">
        <f>IFERROR(__xludf.DUMMYFUNCTION("""COMPUTED_VALUE"""),3046.77)</f>
        <v>3046.77</v>
      </c>
      <c r="C356" s="25">
        <f>IFERROR(__xludf.DUMMYFUNCTION("""COMPUTED_VALUE"""),43768.63611111111)</f>
        <v>43768.63611</v>
      </c>
      <c r="D356" s="22">
        <f>IFERROR(__xludf.DUMMYFUNCTION("""COMPUTED_VALUE"""),12.33)</f>
        <v>12.33</v>
      </c>
      <c r="E356" s="26">
        <f t="shared" si="2"/>
        <v>0.00325332824</v>
      </c>
      <c r="F356" s="25">
        <f>IFERROR(__xludf.DUMMYFUNCTION("""COMPUTED_VALUE"""),43768.63611111111)</f>
        <v>43768.63611</v>
      </c>
      <c r="G356" s="22">
        <f>IFERROR(__xludf.DUMMYFUNCTION("""COMPUTED_VALUE"""),15.69)</f>
        <v>15.69</v>
      </c>
      <c r="H356" s="25">
        <f>IFERROR(__xludf.DUMMYFUNCTION("""COMPUTED_VALUE"""),43768.63611111111)</f>
        <v>43768.63611</v>
      </c>
      <c r="I356" s="22">
        <f>IFERROR(__xludf.DUMMYFUNCTION("""COMPUTED_VALUE"""),17.48)</f>
        <v>17.48</v>
      </c>
      <c r="J356" s="25">
        <f>IFERROR(__xludf.DUMMYFUNCTION("""COMPUTED_VALUE"""),43768.63611111111)</f>
        <v>43768.63611</v>
      </c>
      <c r="K356" s="22">
        <f>IFERROR(__xludf.DUMMYFUNCTION("""COMPUTED_VALUE"""),19.02)</f>
        <v>19.02</v>
      </c>
      <c r="M356" s="22" t="str">
        <f t="shared" si="3"/>
        <v/>
      </c>
      <c r="N356" s="22" t="str">
        <f t="shared" si="1"/>
        <v/>
      </c>
    </row>
    <row r="357" ht="15.75" customHeight="1">
      <c r="A357" s="25">
        <f>IFERROR(__xludf.DUMMYFUNCTION("""COMPUTED_VALUE"""),43770.66666666667)</f>
        <v>43770.66667</v>
      </c>
      <c r="B357" s="22">
        <f>IFERROR(__xludf.DUMMYFUNCTION("""COMPUTED_VALUE"""),3066.91)</f>
        <v>3066.91</v>
      </c>
      <c r="C357" s="25">
        <f>IFERROR(__xludf.DUMMYFUNCTION("""COMPUTED_VALUE"""),43770.63611111111)</f>
        <v>43770.63611</v>
      </c>
      <c r="D357" s="22">
        <f>IFERROR(__xludf.DUMMYFUNCTION("""COMPUTED_VALUE"""),12.3)</f>
        <v>12.3</v>
      </c>
      <c r="E357" s="26">
        <f t="shared" si="2"/>
        <v>0.006610279082</v>
      </c>
      <c r="F357" s="25">
        <f>IFERROR(__xludf.DUMMYFUNCTION("""COMPUTED_VALUE"""),43770.63611111111)</f>
        <v>43770.63611</v>
      </c>
      <c r="G357" s="22">
        <f>IFERROR(__xludf.DUMMYFUNCTION("""COMPUTED_VALUE"""),15.42)</f>
        <v>15.42</v>
      </c>
      <c r="H357" s="25">
        <f>IFERROR(__xludf.DUMMYFUNCTION("""COMPUTED_VALUE"""),43770.63611111111)</f>
        <v>43770.63611</v>
      </c>
      <c r="I357" s="22">
        <f>IFERROR(__xludf.DUMMYFUNCTION("""COMPUTED_VALUE"""),17.29)</f>
        <v>17.29</v>
      </c>
      <c r="J357" s="25">
        <f>IFERROR(__xludf.DUMMYFUNCTION("""COMPUTED_VALUE"""),43770.63611111111)</f>
        <v>43770.63611</v>
      </c>
      <c r="K357" s="22">
        <f>IFERROR(__xludf.DUMMYFUNCTION("""COMPUTED_VALUE"""),18.83)</f>
        <v>18.83</v>
      </c>
      <c r="M357" s="22" t="str">
        <f t="shared" si="3"/>
        <v/>
      </c>
      <c r="N357" s="22" t="str">
        <f t="shared" si="1"/>
        <v/>
      </c>
    </row>
    <row r="358" ht="15.75" customHeight="1">
      <c r="A358" s="25">
        <f>IFERROR(__xludf.DUMMYFUNCTION("""COMPUTED_VALUE"""),43773.66666666667)</f>
        <v>43773.66667</v>
      </c>
      <c r="B358" s="22">
        <f>IFERROR(__xludf.DUMMYFUNCTION("""COMPUTED_VALUE"""),3078.27)</f>
        <v>3078.27</v>
      </c>
      <c r="C358" s="25">
        <f>IFERROR(__xludf.DUMMYFUNCTION("""COMPUTED_VALUE"""),43773.63611111111)</f>
        <v>43773.63611</v>
      </c>
      <c r="D358" s="22">
        <f>IFERROR(__xludf.DUMMYFUNCTION("""COMPUTED_VALUE"""),12.83)</f>
        <v>12.83</v>
      </c>
      <c r="E358" s="26">
        <f t="shared" si="2"/>
        <v>0.003704053917</v>
      </c>
      <c r="F358" s="25">
        <f>IFERROR(__xludf.DUMMYFUNCTION("""COMPUTED_VALUE"""),43773.63611111111)</f>
        <v>43773.63611</v>
      </c>
      <c r="G358" s="22">
        <f>IFERROR(__xludf.DUMMYFUNCTION("""COMPUTED_VALUE"""),15.62)</f>
        <v>15.62</v>
      </c>
      <c r="H358" s="25">
        <f>IFERROR(__xludf.DUMMYFUNCTION("""COMPUTED_VALUE"""),43773.63611111111)</f>
        <v>43773.63611</v>
      </c>
      <c r="I358" s="22">
        <f>IFERROR(__xludf.DUMMYFUNCTION("""COMPUTED_VALUE"""),17.38)</f>
        <v>17.38</v>
      </c>
      <c r="J358" s="25">
        <f>IFERROR(__xludf.DUMMYFUNCTION("""COMPUTED_VALUE"""),43773.63611111111)</f>
        <v>43773.63611</v>
      </c>
      <c r="K358" s="22">
        <f>IFERROR(__xludf.DUMMYFUNCTION("""COMPUTED_VALUE"""),18.86)</f>
        <v>18.86</v>
      </c>
      <c r="M358" s="22" t="str">
        <f t="shared" si="3"/>
        <v/>
      </c>
      <c r="N358" s="22" t="str">
        <f t="shared" si="1"/>
        <v/>
      </c>
    </row>
    <row r="359" ht="15.75" customHeight="1">
      <c r="A359" s="25">
        <f>IFERROR(__xludf.DUMMYFUNCTION("""COMPUTED_VALUE"""),43774.66666666667)</f>
        <v>43774.66667</v>
      </c>
      <c r="B359" s="22">
        <f>IFERROR(__xludf.DUMMYFUNCTION("""COMPUTED_VALUE"""),3074.62)</f>
        <v>3074.62</v>
      </c>
      <c r="C359" s="25">
        <f>IFERROR(__xludf.DUMMYFUNCTION("""COMPUTED_VALUE"""),43774.63611111111)</f>
        <v>43774.63611</v>
      </c>
      <c r="D359" s="22">
        <f>IFERROR(__xludf.DUMMYFUNCTION("""COMPUTED_VALUE"""),13.1)</f>
        <v>13.1</v>
      </c>
      <c r="E359" s="26">
        <f t="shared" si="2"/>
        <v>-0.001185730946</v>
      </c>
      <c r="F359" s="25">
        <f>IFERROR(__xludf.DUMMYFUNCTION("""COMPUTED_VALUE"""),43774.63611111111)</f>
        <v>43774.63611</v>
      </c>
      <c r="G359" s="22">
        <f>IFERROR(__xludf.DUMMYFUNCTION("""COMPUTED_VALUE"""),15.91)</f>
        <v>15.91</v>
      </c>
      <c r="H359" s="25">
        <f>IFERROR(__xludf.DUMMYFUNCTION("""COMPUTED_VALUE"""),43774.63611111111)</f>
        <v>43774.63611</v>
      </c>
      <c r="I359" s="22">
        <f>IFERROR(__xludf.DUMMYFUNCTION("""COMPUTED_VALUE"""),17.65)</f>
        <v>17.65</v>
      </c>
      <c r="J359" s="25">
        <f>IFERROR(__xludf.DUMMYFUNCTION("""COMPUTED_VALUE"""),43774.63611111111)</f>
        <v>43774.63611</v>
      </c>
      <c r="K359" s="22">
        <f>IFERROR(__xludf.DUMMYFUNCTION("""COMPUTED_VALUE"""),19.09)</f>
        <v>19.09</v>
      </c>
      <c r="M359" s="22" t="str">
        <f t="shared" si="3"/>
        <v/>
      </c>
      <c r="N359" s="22" t="str">
        <f t="shared" si="1"/>
        <v/>
      </c>
    </row>
    <row r="360" ht="15.75" customHeight="1">
      <c r="A360" s="25">
        <f>IFERROR(__xludf.DUMMYFUNCTION("""COMPUTED_VALUE"""),43775.66666666667)</f>
        <v>43775.66667</v>
      </c>
      <c r="B360" s="22">
        <f>IFERROR(__xludf.DUMMYFUNCTION("""COMPUTED_VALUE"""),3076.78)</f>
        <v>3076.78</v>
      </c>
      <c r="C360" s="25">
        <f>IFERROR(__xludf.DUMMYFUNCTION("""COMPUTED_VALUE"""),43775.63611111111)</f>
        <v>43775.63611</v>
      </c>
      <c r="D360" s="22">
        <f>IFERROR(__xludf.DUMMYFUNCTION("""COMPUTED_VALUE"""),12.62)</f>
        <v>12.62</v>
      </c>
      <c r="E360" s="26">
        <f t="shared" si="2"/>
        <v>0.0007025258406</v>
      </c>
      <c r="F360" s="25">
        <f>IFERROR(__xludf.DUMMYFUNCTION("""COMPUTED_VALUE"""),43775.63611111111)</f>
        <v>43775.63611</v>
      </c>
      <c r="G360" s="22">
        <f>IFERROR(__xludf.DUMMYFUNCTION("""COMPUTED_VALUE"""),15.83)</f>
        <v>15.83</v>
      </c>
      <c r="H360" s="25">
        <f>IFERROR(__xludf.DUMMYFUNCTION("""COMPUTED_VALUE"""),43775.63611111111)</f>
        <v>43775.63611</v>
      </c>
      <c r="I360" s="22">
        <f>IFERROR(__xludf.DUMMYFUNCTION("""COMPUTED_VALUE"""),17.66)</f>
        <v>17.66</v>
      </c>
      <c r="J360" s="25">
        <f>IFERROR(__xludf.DUMMYFUNCTION("""COMPUTED_VALUE"""),43775.63611111111)</f>
        <v>43775.63611</v>
      </c>
      <c r="K360" s="22">
        <f>IFERROR(__xludf.DUMMYFUNCTION("""COMPUTED_VALUE"""),19.14)</f>
        <v>19.14</v>
      </c>
      <c r="M360" s="22" t="str">
        <f t="shared" si="3"/>
        <v/>
      </c>
      <c r="N360" s="22" t="str">
        <f t="shared" si="1"/>
        <v/>
      </c>
    </row>
    <row r="361" ht="15.75" customHeight="1">
      <c r="A361" s="25">
        <f>IFERROR(__xludf.DUMMYFUNCTION("""COMPUTED_VALUE"""),43776.66666666667)</f>
        <v>43776.66667</v>
      </c>
      <c r="B361" s="22">
        <f>IFERROR(__xludf.DUMMYFUNCTION("""COMPUTED_VALUE"""),3085.18)</f>
        <v>3085.18</v>
      </c>
      <c r="C361" s="25">
        <f>IFERROR(__xludf.DUMMYFUNCTION("""COMPUTED_VALUE"""),43776.63611111111)</f>
        <v>43776.63611</v>
      </c>
      <c r="D361" s="22">
        <f>IFERROR(__xludf.DUMMYFUNCTION("""COMPUTED_VALUE"""),12.73)</f>
        <v>12.73</v>
      </c>
      <c r="E361" s="26">
        <f t="shared" si="2"/>
        <v>0.002730126951</v>
      </c>
      <c r="F361" s="25">
        <f>IFERROR(__xludf.DUMMYFUNCTION("""COMPUTED_VALUE"""),43776.63611111111)</f>
        <v>43776.63611</v>
      </c>
      <c r="G361" s="22">
        <f>IFERROR(__xludf.DUMMYFUNCTION("""COMPUTED_VALUE"""),15.8)</f>
        <v>15.8</v>
      </c>
      <c r="H361" s="25">
        <f>IFERROR(__xludf.DUMMYFUNCTION("""COMPUTED_VALUE"""),43776.63611111111)</f>
        <v>43776.63611</v>
      </c>
      <c r="I361" s="22">
        <f>IFERROR(__xludf.DUMMYFUNCTION("""COMPUTED_VALUE"""),17.64)</f>
        <v>17.64</v>
      </c>
      <c r="J361" s="25">
        <f>IFERROR(__xludf.DUMMYFUNCTION("""COMPUTED_VALUE"""),43776.63611111111)</f>
        <v>43776.63611</v>
      </c>
      <c r="K361" s="22">
        <f>IFERROR(__xludf.DUMMYFUNCTION("""COMPUTED_VALUE"""),19.14)</f>
        <v>19.14</v>
      </c>
      <c r="M361" s="22" t="str">
        <f t="shared" si="3"/>
        <v/>
      </c>
      <c r="N361" s="22" t="str">
        <f t="shared" si="1"/>
        <v/>
      </c>
    </row>
    <row r="362" ht="15.75" customHeight="1">
      <c r="A362" s="25">
        <f>IFERROR(__xludf.DUMMYFUNCTION("""COMPUTED_VALUE"""),43777.66666666667)</f>
        <v>43777.66667</v>
      </c>
      <c r="B362" s="22">
        <f>IFERROR(__xludf.DUMMYFUNCTION("""COMPUTED_VALUE"""),3093.08)</f>
        <v>3093.08</v>
      </c>
      <c r="C362" s="25">
        <f>IFERROR(__xludf.DUMMYFUNCTION("""COMPUTED_VALUE"""),43777.63611111111)</f>
        <v>43777.63611</v>
      </c>
      <c r="D362" s="22">
        <f>IFERROR(__xludf.DUMMYFUNCTION("""COMPUTED_VALUE"""),12.07)</f>
        <v>12.07</v>
      </c>
      <c r="E362" s="26">
        <f t="shared" si="2"/>
        <v>0.002560628553</v>
      </c>
      <c r="F362" s="25">
        <f>IFERROR(__xludf.DUMMYFUNCTION("""COMPUTED_VALUE"""),43777.63611111111)</f>
        <v>43777.63611</v>
      </c>
      <c r="G362" s="22">
        <f>IFERROR(__xludf.DUMMYFUNCTION("""COMPUTED_VALUE"""),15.53)</f>
        <v>15.53</v>
      </c>
      <c r="H362" s="25">
        <f>IFERROR(__xludf.DUMMYFUNCTION("""COMPUTED_VALUE"""),43777.63611111111)</f>
        <v>43777.63611</v>
      </c>
      <c r="I362" s="22">
        <f>IFERROR(__xludf.DUMMYFUNCTION("""COMPUTED_VALUE"""),17.5)</f>
        <v>17.5</v>
      </c>
      <c r="J362" s="25">
        <f>IFERROR(__xludf.DUMMYFUNCTION("""COMPUTED_VALUE"""),43777.63611111111)</f>
        <v>43777.63611</v>
      </c>
      <c r="K362" s="22">
        <f>IFERROR(__xludf.DUMMYFUNCTION("""COMPUTED_VALUE"""),19.07)</f>
        <v>19.07</v>
      </c>
      <c r="M362" s="22" t="str">
        <f t="shared" si="3"/>
        <v/>
      </c>
      <c r="N362" s="22" t="str">
        <f t="shared" si="1"/>
        <v/>
      </c>
    </row>
    <row r="363" ht="15.75" customHeight="1">
      <c r="A363" s="25">
        <f>IFERROR(__xludf.DUMMYFUNCTION("""COMPUTED_VALUE"""),43780.66666666667)</f>
        <v>43780.66667</v>
      </c>
      <c r="B363" s="22">
        <f>IFERROR(__xludf.DUMMYFUNCTION("""COMPUTED_VALUE"""),3087.01)</f>
        <v>3087.01</v>
      </c>
      <c r="C363" s="25">
        <f>IFERROR(__xludf.DUMMYFUNCTION("""COMPUTED_VALUE"""),43780.63611111111)</f>
        <v>43780.63611</v>
      </c>
      <c r="D363" s="22">
        <f>IFERROR(__xludf.DUMMYFUNCTION("""COMPUTED_VALUE"""),12.69)</f>
        <v>12.69</v>
      </c>
      <c r="E363" s="26">
        <f t="shared" si="2"/>
        <v>-0.0019624452</v>
      </c>
      <c r="F363" s="25">
        <f>IFERROR(__xludf.DUMMYFUNCTION("""COMPUTED_VALUE"""),43780.63611111111)</f>
        <v>43780.63611</v>
      </c>
      <c r="G363" s="22">
        <f>IFERROR(__xludf.DUMMYFUNCTION("""COMPUTED_VALUE"""),15.6)</f>
        <v>15.6</v>
      </c>
      <c r="H363" s="25">
        <f>IFERROR(__xludf.DUMMYFUNCTION("""COMPUTED_VALUE"""),43780.63611111111)</f>
        <v>43780.63611</v>
      </c>
      <c r="I363" s="22">
        <f>IFERROR(__xludf.DUMMYFUNCTION("""COMPUTED_VALUE"""),17.54)</f>
        <v>17.54</v>
      </c>
      <c r="J363" s="25">
        <f>IFERROR(__xludf.DUMMYFUNCTION("""COMPUTED_VALUE"""),43780.63611111111)</f>
        <v>43780.63611</v>
      </c>
      <c r="K363" s="22">
        <f>IFERROR(__xludf.DUMMYFUNCTION("""COMPUTED_VALUE"""),19.1)</f>
        <v>19.1</v>
      </c>
      <c r="M363" s="22" t="str">
        <f t="shared" si="3"/>
        <v/>
      </c>
      <c r="N363" s="22" t="str">
        <f t="shared" si="1"/>
        <v/>
      </c>
    </row>
    <row r="364" ht="15.75" customHeight="1">
      <c r="A364" s="25">
        <f>IFERROR(__xludf.DUMMYFUNCTION("""COMPUTED_VALUE"""),43781.66666666667)</f>
        <v>43781.66667</v>
      </c>
      <c r="B364" s="22">
        <f>IFERROR(__xludf.DUMMYFUNCTION("""COMPUTED_VALUE"""),3091.84)</f>
        <v>3091.84</v>
      </c>
      <c r="C364" s="25">
        <f>IFERROR(__xludf.DUMMYFUNCTION("""COMPUTED_VALUE"""),43781.63611111111)</f>
        <v>43781.63611</v>
      </c>
      <c r="D364" s="22">
        <f>IFERROR(__xludf.DUMMYFUNCTION("""COMPUTED_VALUE"""),12.68)</f>
        <v>12.68</v>
      </c>
      <c r="E364" s="26">
        <f t="shared" si="2"/>
        <v>0.001564620782</v>
      </c>
      <c r="F364" s="25">
        <f>IFERROR(__xludf.DUMMYFUNCTION("""COMPUTED_VALUE"""),43781.63611111111)</f>
        <v>43781.63611</v>
      </c>
      <c r="G364" s="22">
        <f>IFERROR(__xludf.DUMMYFUNCTION("""COMPUTED_VALUE"""),15.49)</f>
        <v>15.49</v>
      </c>
      <c r="H364" s="25">
        <f>IFERROR(__xludf.DUMMYFUNCTION("""COMPUTED_VALUE"""),43781.63611111111)</f>
        <v>43781.63611</v>
      </c>
      <c r="I364" s="22">
        <f>IFERROR(__xludf.DUMMYFUNCTION("""COMPUTED_VALUE"""),17.45)</f>
        <v>17.45</v>
      </c>
      <c r="J364" s="25">
        <f>IFERROR(__xludf.DUMMYFUNCTION("""COMPUTED_VALUE"""),43781.63611111111)</f>
        <v>43781.63611</v>
      </c>
      <c r="K364" s="22">
        <f>IFERROR(__xludf.DUMMYFUNCTION("""COMPUTED_VALUE"""),18.99)</f>
        <v>18.99</v>
      </c>
      <c r="M364" s="22" t="str">
        <f t="shared" si="3"/>
        <v/>
      </c>
      <c r="N364" s="22" t="str">
        <f t="shared" si="1"/>
        <v/>
      </c>
    </row>
    <row r="365" ht="15.75" customHeight="1">
      <c r="A365" s="25">
        <f>IFERROR(__xludf.DUMMYFUNCTION("""COMPUTED_VALUE"""),43782.66666666667)</f>
        <v>43782.66667</v>
      </c>
      <c r="B365" s="22">
        <f>IFERROR(__xludf.DUMMYFUNCTION("""COMPUTED_VALUE"""),3094.04)</f>
        <v>3094.04</v>
      </c>
      <c r="C365" s="25">
        <f>IFERROR(__xludf.DUMMYFUNCTION("""COMPUTED_VALUE"""),43782.63611111111)</f>
        <v>43782.63611</v>
      </c>
      <c r="D365" s="22">
        <f>IFERROR(__xludf.DUMMYFUNCTION("""COMPUTED_VALUE"""),13.0)</f>
        <v>13</v>
      </c>
      <c r="E365" s="26">
        <f t="shared" si="2"/>
        <v>0.0007115504036</v>
      </c>
      <c r="F365" s="25">
        <f>IFERROR(__xludf.DUMMYFUNCTION("""COMPUTED_VALUE"""),43782.63611111111)</f>
        <v>43782.63611</v>
      </c>
      <c r="G365" s="22">
        <f>IFERROR(__xludf.DUMMYFUNCTION("""COMPUTED_VALUE"""),15.62)</f>
        <v>15.62</v>
      </c>
      <c r="H365" s="25">
        <f>IFERROR(__xludf.DUMMYFUNCTION("""COMPUTED_VALUE"""),43782.63611111111)</f>
        <v>43782.63611</v>
      </c>
      <c r="I365" s="22">
        <f>IFERROR(__xludf.DUMMYFUNCTION("""COMPUTED_VALUE"""),17.48)</f>
        <v>17.48</v>
      </c>
      <c r="J365" s="25">
        <f>IFERROR(__xludf.DUMMYFUNCTION("""COMPUTED_VALUE"""),43782.63611111111)</f>
        <v>43782.63611</v>
      </c>
      <c r="K365" s="22">
        <f>IFERROR(__xludf.DUMMYFUNCTION("""COMPUTED_VALUE"""),18.95)</f>
        <v>18.95</v>
      </c>
      <c r="M365" s="22" t="str">
        <f t="shared" si="3"/>
        <v/>
      </c>
      <c r="N365" s="22" t="str">
        <f t="shared" si="1"/>
        <v/>
      </c>
    </row>
    <row r="366" ht="15.75" customHeight="1">
      <c r="A366" s="25">
        <f>IFERROR(__xludf.DUMMYFUNCTION("""COMPUTED_VALUE"""),43783.66666666667)</f>
        <v>43783.66667</v>
      </c>
      <c r="B366" s="22">
        <f>IFERROR(__xludf.DUMMYFUNCTION("""COMPUTED_VALUE"""),3096.63)</f>
        <v>3096.63</v>
      </c>
      <c r="C366" s="25">
        <f>IFERROR(__xludf.DUMMYFUNCTION("""COMPUTED_VALUE"""),43783.63611111111)</f>
        <v>43783.63611</v>
      </c>
      <c r="D366" s="22">
        <f>IFERROR(__xludf.DUMMYFUNCTION("""COMPUTED_VALUE"""),13.05)</f>
        <v>13.05</v>
      </c>
      <c r="E366" s="26">
        <f t="shared" si="2"/>
        <v>0.0008370932502</v>
      </c>
      <c r="F366" s="25">
        <f>IFERROR(__xludf.DUMMYFUNCTION("""COMPUTED_VALUE"""),43783.63611111111)</f>
        <v>43783.63611</v>
      </c>
      <c r="G366" s="22">
        <f>IFERROR(__xludf.DUMMYFUNCTION("""COMPUTED_VALUE"""),15.6)</f>
        <v>15.6</v>
      </c>
      <c r="H366" s="25">
        <f>IFERROR(__xludf.DUMMYFUNCTION("""COMPUTED_VALUE"""),43783.63611111111)</f>
        <v>43783.63611</v>
      </c>
      <c r="I366" s="22">
        <f>IFERROR(__xludf.DUMMYFUNCTION("""COMPUTED_VALUE"""),17.48)</f>
        <v>17.48</v>
      </c>
      <c r="J366" s="25">
        <f>IFERROR(__xludf.DUMMYFUNCTION("""COMPUTED_VALUE"""),43783.63611111111)</f>
        <v>43783.63611</v>
      </c>
      <c r="K366" s="22">
        <f>IFERROR(__xludf.DUMMYFUNCTION("""COMPUTED_VALUE"""),18.96)</f>
        <v>18.96</v>
      </c>
      <c r="M366" s="22" t="str">
        <f t="shared" si="3"/>
        <v/>
      </c>
      <c r="N366" s="22" t="str">
        <f t="shared" si="1"/>
        <v/>
      </c>
    </row>
    <row r="367" ht="15.75" customHeight="1">
      <c r="A367" s="25">
        <f>IFERROR(__xludf.DUMMYFUNCTION("""COMPUTED_VALUE"""),43784.66666666667)</f>
        <v>43784.66667</v>
      </c>
      <c r="B367" s="22">
        <f>IFERROR(__xludf.DUMMYFUNCTION("""COMPUTED_VALUE"""),3120.46)</f>
        <v>3120.46</v>
      </c>
      <c r="C367" s="25">
        <f>IFERROR(__xludf.DUMMYFUNCTION("""COMPUTED_VALUE"""),43784.63611111111)</f>
        <v>43784.63611</v>
      </c>
      <c r="D367" s="22">
        <f>IFERROR(__xludf.DUMMYFUNCTION("""COMPUTED_VALUE"""),12.05)</f>
        <v>12.05</v>
      </c>
      <c r="E367" s="26">
        <f t="shared" si="2"/>
        <v>0.007695462487</v>
      </c>
      <c r="F367" s="25">
        <f>IFERROR(__xludf.DUMMYFUNCTION("""COMPUTED_VALUE"""),43784.63611111111)</f>
        <v>43784.63611</v>
      </c>
      <c r="G367" s="22">
        <f>IFERROR(__xludf.DUMMYFUNCTION("""COMPUTED_VALUE"""),14.99)</f>
        <v>14.99</v>
      </c>
      <c r="H367" s="25">
        <f>IFERROR(__xludf.DUMMYFUNCTION("""COMPUTED_VALUE"""),43784.63611111111)</f>
        <v>43784.63611</v>
      </c>
      <c r="I367" s="22">
        <f>IFERROR(__xludf.DUMMYFUNCTION("""COMPUTED_VALUE"""),17.1)</f>
        <v>17.1</v>
      </c>
      <c r="J367" s="25">
        <f>IFERROR(__xludf.DUMMYFUNCTION("""COMPUTED_VALUE"""),43784.63611111111)</f>
        <v>43784.63611</v>
      </c>
      <c r="K367" s="22">
        <f>IFERROR(__xludf.DUMMYFUNCTION("""COMPUTED_VALUE"""),18.68)</f>
        <v>18.68</v>
      </c>
      <c r="M367" s="22" t="str">
        <f t="shared" si="3"/>
        <v/>
      </c>
      <c r="N367" s="22" t="str">
        <f t="shared" si="1"/>
        <v/>
      </c>
    </row>
    <row r="368" ht="15.75" customHeight="1">
      <c r="A368" s="25">
        <f>IFERROR(__xludf.DUMMYFUNCTION("""COMPUTED_VALUE"""),43787.66666666667)</f>
        <v>43787.66667</v>
      </c>
      <c r="B368" s="22">
        <f>IFERROR(__xludf.DUMMYFUNCTION("""COMPUTED_VALUE"""),3122.03)</f>
        <v>3122.03</v>
      </c>
      <c r="C368" s="25">
        <f>IFERROR(__xludf.DUMMYFUNCTION("""COMPUTED_VALUE"""),43787.63611111111)</f>
        <v>43787.63611</v>
      </c>
      <c r="D368" s="22">
        <f>IFERROR(__xludf.DUMMYFUNCTION("""COMPUTED_VALUE"""),12.46)</f>
        <v>12.46</v>
      </c>
      <c r="E368" s="26">
        <f t="shared" si="2"/>
        <v>0.0005031309486</v>
      </c>
      <c r="F368" s="25">
        <f>IFERROR(__xludf.DUMMYFUNCTION("""COMPUTED_VALUE"""),43787.63611111111)</f>
        <v>43787.63611</v>
      </c>
      <c r="G368" s="22">
        <f>IFERROR(__xludf.DUMMYFUNCTION("""COMPUTED_VALUE"""),15.17)</f>
        <v>15.17</v>
      </c>
      <c r="H368" s="25">
        <f>IFERROR(__xludf.DUMMYFUNCTION("""COMPUTED_VALUE"""),43787.63611111111)</f>
        <v>43787.63611</v>
      </c>
      <c r="I368" s="22">
        <f>IFERROR(__xludf.DUMMYFUNCTION("""COMPUTED_VALUE"""),17.16)</f>
        <v>17.16</v>
      </c>
      <c r="J368" s="25">
        <f>IFERROR(__xludf.DUMMYFUNCTION("""COMPUTED_VALUE"""),43787.63611111111)</f>
        <v>43787.63611</v>
      </c>
      <c r="K368" s="22">
        <f>IFERROR(__xludf.DUMMYFUNCTION("""COMPUTED_VALUE"""),18.73)</f>
        <v>18.73</v>
      </c>
      <c r="M368" s="22" t="str">
        <f t="shared" si="3"/>
        <v/>
      </c>
      <c r="N368" s="22" t="str">
        <f t="shared" si="1"/>
        <v/>
      </c>
    </row>
    <row r="369" ht="15.75" customHeight="1">
      <c r="A369" s="25">
        <f>IFERROR(__xludf.DUMMYFUNCTION("""COMPUTED_VALUE"""),43788.66666666667)</f>
        <v>43788.66667</v>
      </c>
      <c r="B369" s="22">
        <f>IFERROR(__xludf.DUMMYFUNCTION("""COMPUTED_VALUE"""),3120.18)</f>
        <v>3120.18</v>
      </c>
      <c r="C369" s="25">
        <f>IFERROR(__xludf.DUMMYFUNCTION("""COMPUTED_VALUE"""),43788.63611111111)</f>
        <v>43788.63611</v>
      </c>
      <c r="D369" s="22">
        <f>IFERROR(__xludf.DUMMYFUNCTION("""COMPUTED_VALUE"""),12.86)</f>
        <v>12.86</v>
      </c>
      <c r="E369" s="26">
        <f t="shared" si="2"/>
        <v>-0.000592563172</v>
      </c>
      <c r="F369" s="25">
        <f>IFERROR(__xludf.DUMMYFUNCTION("""COMPUTED_VALUE"""),43788.63611111111)</f>
        <v>43788.63611</v>
      </c>
      <c r="G369" s="22">
        <f>IFERROR(__xludf.DUMMYFUNCTION("""COMPUTED_VALUE"""),15.5)</f>
        <v>15.5</v>
      </c>
      <c r="H369" s="25">
        <f>IFERROR(__xludf.DUMMYFUNCTION("""COMPUTED_VALUE"""),43788.63611111111)</f>
        <v>43788.63611</v>
      </c>
      <c r="I369" s="22">
        <f>IFERROR(__xludf.DUMMYFUNCTION("""COMPUTED_VALUE"""),17.4)</f>
        <v>17.4</v>
      </c>
      <c r="J369" s="25">
        <f>IFERROR(__xludf.DUMMYFUNCTION("""COMPUTED_VALUE"""),43788.63611111111)</f>
        <v>43788.63611</v>
      </c>
      <c r="K369" s="22">
        <f>IFERROR(__xludf.DUMMYFUNCTION("""COMPUTED_VALUE"""),18.87)</f>
        <v>18.87</v>
      </c>
      <c r="M369" s="22" t="str">
        <f t="shared" si="3"/>
        <v/>
      </c>
      <c r="N369" s="22" t="str">
        <f t="shared" si="1"/>
        <v/>
      </c>
    </row>
    <row r="370" ht="15.75" customHeight="1">
      <c r="A370" s="25">
        <f>IFERROR(__xludf.DUMMYFUNCTION("""COMPUTED_VALUE"""),43789.66666666667)</f>
        <v>43789.66667</v>
      </c>
      <c r="B370" s="22">
        <f>IFERROR(__xludf.DUMMYFUNCTION("""COMPUTED_VALUE"""),3108.46)</f>
        <v>3108.46</v>
      </c>
      <c r="C370" s="25">
        <f>IFERROR(__xludf.DUMMYFUNCTION("""COMPUTED_VALUE"""),43789.63611111111)</f>
        <v>43789.63611</v>
      </c>
      <c r="D370" s="22">
        <f>IFERROR(__xludf.DUMMYFUNCTION("""COMPUTED_VALUE"""),12.78)</f>
        <v>12.78</v>
      </c>
      <c r="E370" s="26">
        <f t="shared" si="2"/>
        <v>-0.003756193553</v>
      </c>
      <c r="F370" s="25">
        <f>IFERROR(__xludf.DUMMYFUNCTION("""COMPUTED_VALUE"""),43789.63611111111)</f>
        <v>43789.63611</v>
      </c>
      <c r="G370" s="22">
        <f>IFERROR(__xludf.DUMMYFUNCTION("""COMPUTED_VALUE"""),15.64)</f>
        <v>15.64</v>
      </c>
      <c r="H370" s="25">
        <f>IFERROR(__xludf.DUMMYFUNCTION("""COMPUTED_VALUE"""),43789.63611111111)</f>
        <v>43789.63611</v>
      </c>
      <c r="I370" s="22">
        <f>IFERROR(__xludf.DUMMYFUNCTION("""COMPUTED_VALUE"""),17.6)</f>
        <v>17.6</v>
      </c>
      <c r="J370" s="25">
        <f>IFERROR(__xludf.DUMMYFUNCTION("""COMPUTED_VALUE"""),43789.63611111111)</f>
        <v>43789.63611</v>
      </c>
      <c r="K370" s="22">
        <f>IFERROR(__xludf.DUMMYFUNCTION("""COMPUTED_VALUE"""),19.09)</f>
        <v>19.09</v>
      </c>
      <c r="M370" s="22" t="str">
        <f t="shared" si="3"/>
        <v/>
      </c>
      <c r="N370" s="22" t="str">
        <f t="shared" si="1"/>
        <v/>
      </c>
    </row>
    <row r="371" ht="15.75" customHeight="1">
      <c r="A371" s="25">
        <f>IFERROR(__xludf.DUMMYFUNCTION("""COMPUTED_VALUE"""),43790.66666666667)</f>
        <v>43790.66667</v>
      </c>
      <c r="B371" s="22">
        <f>IFERROR(__xludf.DUMMYFUNCTION("""COMPUTED_VALUE"""),3103.54)</f>
        <v>3103.54</v>
      </c>
      <c r="C371" s="25">
        <f>IFERROR(__xludf.DUMMYFUNCTION("""COMPUTED_VALUE"""),43790.63611111111)</f>
        <v>43790.63611</v>
      </c>
      <c r="D371" s="22">
        <f>IFERROR(__xludf.DUMMYFUNCTION("""COMPUTED_VALUE"""),13.13)</f>
        <v>13.13</v>
      </c>
      <c r="E371" s="26">
        <f t="shared" si="2"/>
        <v>-0.001582777324</v>
      </c>
      <c r="F371" s="25">
        <f>IFERROR(__xludf.DUMMYFUNCTION("""COMPUTED_VALUE"""),43790.63611111111)</f>
        <v>43790.63611</v>
      </c>
      <c r="G371" s="22">
        <f>IFERROR(__xludf.DUMMYFUNCTION("""COMPUTED_VALUE"""),15.82)</f>
        <v>15.82</v>
      </c>
      <c r="H371" s="25">
        <f>IFERROR(__xludf.DUMMYFUNCTION("""COMPUTED_VALUE"""),43790.63611111111)</f>
        <v>43790.63611</v>
      </c>
      <c r="I371" s="22">
        <f>IFERROR(__xludf.DUMMYFUNCTION("""COMPUTED_VALUE"""),17.84)</f>
        <v>17.84</v>
      </c>
      <c r="J371" s="25">
        <f>IFERROR(__xludf.DUMMYFUNCTION("""COMPUTED_VALUE"""),43790.63611111111)</f>
        <v>43790.63611</v>
      </c>
      <c r="K371" s="22">
        <f>IFERROR(__xludf.DUMMYFUNCTION("""COMPUTED_VALUE"""),19.27)</f>
        <v>19.27</v>
      </c>
      <c r="M371" s="22" t="str">
        <f t="shared" si="3"/>
        <v/>
      </c>
      <c r="N371" s="22" t="str">
        <f t="shared" si="1"/>
        <v/>
      </c>
    </row>
    <row r="372" ht="15.75" customHeight="1">
      <c r="A372" s="25">
        <f>IFERROR(__xludf.DUMMYFUNCTION("""COMPUTED_VALUE"""),43791.66666666667)</f>
        <v>43791.66667</v>
      </c>
      <c r="B372" s="22">
        <f>IFERROR(__xludf.DUMMYFUNCTION("""COMPUTED_VALUE"""),3110.29)</f>
        <v>3110.29</v>
      </c>
      <c r="C372" s="25">
        <f>IFERROR(__xludf.DUMMYFUNCTION("""COMPUTED_VALUE"""),43791.63611111111)</f>
        <v>43791.63611</v>
      </c>
      <c r="D372" s="22">
        <f>IFERROR(__xludf.DUMMYFUNCTION("""COMPUTED_VALUE"""),12.34)</f>
        <v>12.34</v>
      </c>
      <c r="E372" s="26">
        <f t="shared" si="2"/>
        <v>0.002174935719</v>
      </c>
      <c r="F372" s="25">
        <f>IFERROR(__xludf.DUMMYFUNCTION("""COMPUTED_VALUE"""),43791.63611111111)</f>
        <v>43791.63611</v>
      </c>
      <c r="G372" s="22">
        <f>IFERROR(__xludf.DUMMYFUNCTION("""COMPUTED_VALUE"""),15.4)</f>
        <v>15.4</v>
      </c>
      <c r="H372" s="25">
        <f>IFERROR(__xludf.DUMMYFUNCTION("""COMPUTED_VALUE"""),43791.63611111111)</f>
        <v>43791.63611</v>
      </c>
      <c r="I372" s="22">
        <f>IFERROR(__xludf.DUMMYFUNCTION("""COMPUTED_VALUE"""),17.53)</f>
        <v>17.53</v>
      </c>
      <c r="J372" s="25">
        <f>IFERROR(__xludf.DUMMYFUNCTION("""COMPUTED_VALUE"""),43791.63611111111)</f>
        <v>43791.63611</v>
      </c>
      <c r="K372" s="22">
        <f>IFERROR(__xludf.DUMMYFUNCTION("""COMPUTED_VALUE"""),19.08)</f>
        <v>19.08</v>
      </c>
      <c r="M372" s="22" t="str">
        <f t="shared" si="3"/>
        <v/>
      </c>
      <c r="N372" s="22" t="str">
        <f t="shared" si="1"/>
        <v/>
      </c>
    </row>
    <row r="373" ht="15.75" customHeight="1">
      <c r="A373" s="25">
        <f>IFERROR(__xludf.DUMMYFUNCTION("""COMPUTED_VALUE"""),43794.66666666667)</f>
        <v>43794.66667</v>
      </c>
      <c r="B373" s="22">
        <f>IFERROR(__xludf.DUMMYFUNCTION("""COMPUTED_VALUE"""),3133.64)</f>
        <v>3133.64</v>
      </c>
      <c r="C373" s="25">
        <f>IFERROR(__xludf.DUMMYFUNCTION("""COMPUTED_VALUE"""),43794.63611111111)</f>
        <v>43794.63611</v>
      </c>
      <c r="D373" s="22">
        <f>IFERROR(__xludf.DUMMYFUNCTION("""COMPUTED_VALUE"""),11.87)</f>
        <v>11.87</v>
      </c>
      <c r="E373" s="26">
        <f t="shared" si="2"/>
        <v>0.007507338544</v>
      </c>
      <c r="F373" s="25">
        <f>IFERROR(__xludf.DUMMYFUNCTION("""COMPUTED_VALUE"""),43794.63611111111)</f>
        <v>43794.63611</v>
      </c>
      <c r="G373" s="22">
        <f>IFERROR(__xludf.DUMMYFUNCTION("""COMPUTED_VALUE"""),14.99)</f>
        <v>14.99</v>
      </c>
      <c r="H373" s="25">
        <f>IFERROR(__xludf.DUMMYFUNCTION("""COMPUTED_VALUE"""),43794.63611111111)</f>
        <v>43794.63611</v>
      </c>
      <c r="I373" s="22">
        <f>IFERROR(__xludf.DUMMYFUNCTION("""COMPUTED_VALUE"""),17.15)</f>
        <v>17.15</v>
      </c>
      <c r="J373" s="25">
        <f>IFERROR(__xludf.DUMMYFUNCTION("""COMPUTED_VALUE"""),43794.63611111111)</f>
        <v>43794.63611</v>
      </c>
      <c r="K373" s="22">
        <f>IFERROR(__xludf.DUMMYFUNCTION("""COMPUTED_VALUE"""),18.74)</f>
        <v>18.74</v>
      </c>
      <c r="M373" s="22" t="str">
        <f t="shared" si="3"/>
        <v/>
      </c>
      <c r="N373" s="22" t="str">
        <f t="shared" si="1"/>
        <v/>
      </c>
    </row>
    <row r="374" ht="15.75" customHeight="1">
      <c r="A374" s="25">
        <f>IFERROR(__xludf.DUMMYFUNCTION("""COMPUTED_VALUE"""),43795.66666666667)</f>
        <v>43795.66667</v>
      </c>
      <c r="B374" s="22">
        <f>IFERROR(__xludf.DUMMYFUNCTION("""COMPUTED_VALUE"""),3140.52)</f>
        <v>3140.52</v>
      </c>
      <c r="C374" s="25">
        <f>IFERROR(__xludf.DUMMYFUNCTION("""COMPUTED_VALUE"""),43795.63611111111)</f>
        <v>43795.63611</v>
      </c>
      <c r="D374" s="22">
        <f>IFERROR(__xludf.DUMMYFUNCTION("""COMPUTED_VALUE"""),11.54)</f>
        <v>11.54</v>
      </c>
      <c r="E374" s="26">
        <f t="shared" si="2"/>
        <v>0.002195529799</v>
      </c>
      <c r="F374" s="25">
        <f>IFERROR(__xludf.DUMMYFUNCTION("""COMPUTED_VALUE"""),43795.63611111111)</f>
        <v>43795.63611</v>
      </c>
      <c r="G374" s="22">
        <f>IFERROR(__xludf.DUMMYFUNCTION("""COMPUTED_VALUE"""),14.85)</f>
        <v>14.85</v>
      </c>
      <c r="H374" s="25">
        <f>IFERROR(__xludf.DUMMYFUNCTION("""COMPUTED_VALUE"""),43795.63611111111)</f>
        <v>43795.63611</v>
      </c>
      <c r="I374" s="22">
        <f>IFERROR(__xludf.DUMMYFUNCTION("""COMPUTED_VALUE"""),17.0)</f>
        <v>17</v>
      </c>
      <c r="J374" s="25">
        <f>IFERROR(__xludf.DUMMYFUNCTION("""COMPUTED_VALUE"""),43795.63611111111)</f>
        <v>43795.63611</v>
      </c>
      <c r="K374" s="22">
        <f>IFERROR(__xludf.DUMMYFUNCTION("""COMPUTED_VALUE"""),18.66)</f>
        <v>18.66</v>
      </c>
      <c r="M374" s="22" t="str">
        <f t="shared" si="3"/>
        <v/>
      </c>
      <c r="N374" s="22" t="str">
        <f t="shared" si="1"/>
        <v/>
      </c>
    </row>
    <row r="375" ht="15.75" customHeight="1">
      <c r="A375" s="25">
        <f>IFERROR(__xludf.DUMMYFUNCTION("""COMPUTED_VALUE"""),43798.54166666667)</f>
        <v>43798.54167</v>
      </c>
      <c r="B375" s="22">
        <f>IFERROR(__xludf.DUMMYFUNCTION("""COMPUTED_VALUE"""),3140.98)</f>
        <v>3140.98</v>
      </c>
      <c r="C375" s="25">
        <f>IFERROR(__xludf.DUMMYFUNCTION("""COMPUTED_VALUE"""),43798.54166666667)</f>
        <v>43798.54167</v>
      </c>
      <c r="D375" s="22">
        <f>IFERROR(__xludf.DUMMYFUNCTION("""COMPUTED_VALUE"""),12.62)</f>
        <v>12.62</v>
      </c>
      <c r="E375" s="26">
        <f t="shared" si="2"/>
        <v>0.0001464725587</v>
      </c>
      <c r="F375" s="25">
        <f>IFERROR(__xludf.DUMMYFUNCTION("""COMPUTED_VALUE"""),43798.54166666667)</f>
        <v>43798.54167</v>
      </c>
      <c r="G375" s="22">
        <f>IFERROR(__xludf.DUMMYFUNCTION("""COMPUTED_VALUE"""),15.51)</f>
        <v>15.51</v>
      </c>
      <c r="H375" s="25">
        <f>IFERROR(__xludf.DUMMYFUNCTION("""COMPUTED_VALUE"""),43798.54166666667)</f>
        <v>43798.54167</v>
      </c>
      <c r="I375" s="22">
        <f>IFERROR(__xludf.DUMMYFUNCTION("""COMPUTED_VALUE"""),17.41)</f>
        <v>17.41</v>
      </c>
      <c r="J375" s="25">
        <f>IFERROR(__xludf.DUMMYFUNCTION("""COMPUTED_VALUE"""),43798.54166666667)</f>
        <v>43798.54167</v>
      </c>
      <c r="K375" s="22">
        <f>IFERROR(__xludf.DUMMYFUNCTION("""COMPUTED_VALUE"""),18.94)</f>
        <v>18.94</v>
      </c>
      <c r="M375" s="22" t="str">
        <f t="shared" si="3"/>
        <v/>
      </c>
      <c r="N375" s="22" t="str">
        <f t="shared" si="1"/>
        <v/>
      </c>
    </row>
    <row r="376" ht="15.75" customHeight="1">
      <c r="A376" s="25">
        <f>IFERROR(__xludf.DUMMYFUNCTION("""COMPUTED_VALUE"""),43801.66666666667)</f>
        <v>43801.66667</v>
      </c>
      <c r="B376" s="22">
        <f>IFERROR(__xludf.DUMMYFUNCTION("""COMPUTED_VALUE"""),3113.87)</f>
        <v>3113.87</v>
      </c>
      <c r="C376" s="25">
        <f>IFERROR(__xludf.DUMMYFUNCTION("""COMPUTED_VALUE"""),43801.63611111111)</f>
        <v>43801.63611</v>
      </c>
      <c r="D376" s="22">
        <f>IFERROR(__xludf.DUMMYFUNCTION("""COMPUTED_VALUE"""),14.91)</f>
        <v>14.91</v>
      </c>
      <c r="E376" s="26">
        <f t="shared" si="2"/>
        <v>-0.00863106419</v>
      </c>
      <c r="F376" s="25">
        <f>IFERROR(__xludf.DUMMYFUNCTION("""COMPUTED_VALUE"""),43801.63611111111)</f>
        <v>43801.63611</v>
      </c>
      <c r="G376" s="22">
        <f>IFERROR(__xludf.DUMMYFUNCTION("""COMPUTED_VALUE"""),16.84)</f>
        <v>16.84</v>
      </c>
      <c r="H376" s="25">
        <f>IFERROR(__xludf.DUMMYFUNCTION("""COMPUTED_VALUE"""),43801.63611111111)</f>
        <v>43801.63611</v>
      </c>
      <c r="I376" s="22">
        <f>IFERROR(__xludf.DUMMYFUNCTION("""COMPUTED_VALUE"""),18.2)</f>
        <v>18.2</v>
      </c>
      <c r="J376" s="25">
        <f>IFERROR(__xludf.DUMMYFUNCTION("""COMPUTED_VALUE"""),43801.63611111111)</f>
        <v>43801.63611</v>
      </c>
      <c r="K376" s="22">
        <f>IFERROR(__xludf.DUMMYFUNCTION("""COMPUTED_VALUE"""),19.39)</f>
        <v>19.39</v>
      </c>
      <c r="M376" s="22" t="str">
        <f t="shared" si="3"/>
        <v/>
      </c>
      <c r="N376" s="22" t="str">
        <f t="shared" si="1"/>
        <v/>
      </c>
    </row>
    <row r="377" ht="15.75" customHeight="1">
      <c r="A377" s="25">
        <f>IFERROR(__xludf.DUMMYFUNCTION("""COMPUTED_VALUE"""),43802.66666666667)</f>
        <v>43802.66667</v>
      </c>
      <c r="B377" s="22">
        <f>IFERROR(__xludf.DUMMYFUNCTION("""COMPUTED_VALUE"""),3093.2)</f>
        <v>3093.2</v>
      </c>
      <c r="C377" s="25">
        <f>IFERROR(__xludf.DUMMYFUNCTION("""COMPUTED_VALUE"""),43802.63611111111)</f>
        <v>43802.63611</v>
      </c>
      <c r="D377" s="22">
        <f>IFERROR(__xludf.DUMMYFUNCTION("""COMPUTED_VALUE"""),15.96)</f>
        <v>15.96</v>
      </c>
      <c r="E377" s="26">
        <f t="shared" si="2"/>
        <v>-0.006638042051</v>
      </c>
      <c r="F377" s="25">
        <f>IFERROR(__xludf.DUMMYFUNCTION("""COMPUTED_VALUE"""),43802.63611111111)</f>
        <v>43802.63611</v>
      </c>
      <c r="G377" s="22">
        <f>IFERROR(__xludf.DUMMYFUNCTION("""COMPUTED_VALUE"""),17.63)</f>
        <v>17.63</v>
      </c>
      <c r="H377" s="25">
        <f>IFERROR(__xludf.DUMMYFUNCTION("""COMPUTED_VALUE"""),43802.63611111111)</f>
        <v>43802.63611</v>
      </c>
      <c r="I377" s="22">
        <f>IFERROR(__xludf.DUMMYFUNCTION("""COMPUTED_VALUE"""),18.84)</f>
        <v>18.84</v>
      </c>
      <c r="J377" s="25">
        <f>IFERROR(__xludf.DUMMYFUNCTION("""COMPUTED_VALUE"""),43802.63611111111)</f>
        <v>43802.63611</v>
      </c>
      <c r="K377" s="22">
        <f>IFERROR(__xludf.DUMMYFUNCTION("""COMPUTED_VALUE"""),19.71)</f>
        <v>19.71</v>
      </c>
      <c r="M377" s="22" t="str">
        <f t="shared" si="3"/>
        <v/>
      </c>
      <c r="N377" s="22" t="str">
        <f t="shared" si="1"/>
        <v/>
      </c>
    </row>
    <row r="378" ht="15.75" customHeight="1">
      <c r="A378" s="25">
        <f>IFERROR(__xludf.DUMMYFUNCTION("""COMPUTED_VALUE"""),43803.66666666667)</f>
        <v>43803.66667</v>
      </c>
      <c r="B378" s="22">
        <f>IFERROR(__xludf.DUMMYFUNCTION("""COMPUTED_VALUE"""),3112.76)</f>
        <v>3112.76</v>
      </c>
      <c r="C378" s="25">
        <f>IFERROR(__xludf.DUMMYFUNCTION("""COMPUTED_VALUE"""),43803.63611111111)</f>
        <v>43803.63611</v>
      </c>
      <c r="D378" s="22">
        <f>IFERROR(__xludf.DUMMYFUNCTION("""COMPUTED_VALUE"""),14.8)</f>
        <v>14.8</v>
      </c>
      <c r="E378" s="26">
        <f t="shared" si="2"/>
        <v>0.006323548429</v>
      </c>
      <c r="F378" s="25">
        <f>IFERROR(__xludf.DUMMYFUNCTION("""COMPUTED_VALUE"""),43803.63611111111)</f>
        <v>43803.63611</v>
      </c>
      <c r="G378" s="22">
        <f>IFERROR(__xludf.DUMMYFUNCTION("""COMPUTED_VALUE"""),16.98)</f>
        <v>16.98</v>
      </c>
      <c r="H378" s="25">
        <f>IFERROR(__xludf.DUMMYFUNCTION("""COMPUTED_VALUE"""),43803.63611111111)</f>
        <v>43803.63611</v>
      </c>
      <c r="I378" s="22">
        <f>IFERROR(__xludf.DUMMYFUNCTION("""COMPUTED_VALUE"""),18.27)</f>
        <v>18.27</v>
      </c>
      <c r="J378" s="25">
        <f>IFERROR(__xludf.DUMMYFUNCTION("""COMPUTED_VALUE"""),43803.63611111111)</f>
        <v>43803.63611</v>
      </c>
      <c r="K378" s="22">
        <f>IFERROR(__xludf.DUMMYFUNCTION("""COMPUTED_VALUE"""),19.39)</f>
        <v>19.39</v>
      </c>
      <c r="M378" s="22" t="str">
        <f t="shared" si="3"/>
        <v/>
      </c>
      <c r="N378" s="22" t="str">
        <f t="shared" si="1"/>
        <v/>
      </c>
    </row>
    <row r="379" ht="15.75" customHeight="1">
      <c r="A379" s="25">
        <f>IFERROR(__xludf.DUMMYFUNCTION("""COMPUTED_VALUE"""),43804.66666666667)</f>
        <v>43804.66667</v>
      </c>
      <c r="B379" s="22">
        <f>IFERROR(__xludf.DUMMYFUNCTION("""COMPUTED_VALUE"""),3117.43)</f>
        <v>3117.43</v>
      </c>
      <c r="C379" s="25">
        <f>IFERROR(__xludf.DUMMYFUNCTION("""COMPUTED_VALUE"""),43804.63611111111)</f>
        <v>43804.63611</v>
      </c>
      <c r="D379" s="22">
        <f>IFERROR(__xludf.DUMMYFUNCTION("""COMPUTED_VALUE"""),14.52)</f>
        <v>14.52</v>
      </c>
      <c r="E379" s="26">
        <f t="shared" si="2"/>
        <v>0.001500276282</v>
      </c>
      <c r="F379" s="25">
        <f>IFERROR(__xludf.DUMMYFUNCTION("""COMPUTED_VALUE"""),43804.63611111111)</f>
        <v>43804.63611</v>
      </c>
      <c r="G379" s="22">
        <f>IFERROR(__xludf.DUMMYFUNCTION("""COMPUTED_VALUE"""),16.78)</f>
        <v>16.78</v>
      </c>
      <c r="H379" s="25">
        <f>IFERROR(__xludf.DUMMYFUNCTION("""COMPUTED_VALUE"""),43804.63611111111)</f>
        <v>43804.63611</v>
      </c>
      <c r="I379" s="22">
        <f>IFERROR(__xludf.DUMMYFUNCTION("""COMPUTED_VALUE"""),18.13)</f>
        <v>18.13</v>
      </c>
      <c r="J379" s="25">
        <f>IFERROR(__xludf.DUMMYFUNCTION("""COMPUTED_VALUE"""),43804.63611111111)</f>
        <v>43804.63611</v>
      </c>
      <c r="K379" s="22">
        <f>IFERROR(__xludf.DUMMYFUNCTION("""COMPUTED_VALUE"""),19.35)</f>
        <v>19.35</v>
      </c>
      <c r="M379" s="22" t="str">
        <f t="shared" si="3"/>
        <v/>
      </c>
      <c r="N379" s="22" t="str">
        <f t="shared" si="1"/>
        <v/>
      </c>
    </row>
    <row r="380" ht="15.75" customHeight="1">
      <c r="A380" s="25">
        <f>IFERROR(__xludf.DUMMYFUNCTION("""COMPUTED_VALUE"""),43805.66666666667)</f>
        <v>43805.66667</v>
      </c>
      <c r="B380" s="22">
        <f>IFERROR(__xludf.DUMMYFUNCTION("""COMPUTED_VALUE"""),3145.91)</f>
        <v>3145.91</v>
      </c>
      <c r="C380" s="25">
        <f>IFERROR(__xludf.DUMMYFUNCTION("""COMPUTED_VALUE"""),43805.63611111111)</f>
        <v>43805.63611</v>
      </c>
      <c r="D380" s="22">
        <f>IFERROR(__xludf.DUMMYFUNCTION("""COMPUTED_VALUE"""),13.62)</f>
        <v>13.62</v>
      </c>
      <c r="E380" s="26">
        <f t="shared" si="2"/>
        <v>0.009135730393</v>
      </c>
      <c r="F380" s="25">
        <f>IFERROR(__xludf.DUMMYFUNCTION("""COMPUTED_VALUE"""),43805.63611111111)</f>
        <v>43805.63611</v>
      </c>
      <c r="G380" s="22">
        <f>IFERROR(__xludf.DUMMYFUNCTION("""COMPUTED_VALUE"""),16.21)</f>
        <v>16.21</v>
      </c>
      <c r="H380" s="25">
        <f>IFERROR(__xludf.DUMMYFUNCTION("""COMPUTED_VALUE"""),43805.63611111111)</f>
        <v>43805.63611</v>
      </c>
      <c r="I380" s="22">
        <f>IFERROR(__xludf.DUMMYFUNCTION("""COMPUTED_VALUE"""),17.74)</f>
        <v>17.74</v>
      </c>
      <c r="J380" s="25">
        <f>IFERROR(__xludf.DUMMYFUNCTION("""COMPUTED_VALUE"""),43805.63611111111)</f>
        <v>43805.63611</v>
      </c>
      <c r="K380" s="22">
        <f>IFERROR(__xludf.DUMMYFUNCTION("""COMPUTED_VALUE"""),19.1)</f>
        <v>19.1</v>
      </c>
      <c r="M380" s="22" t="str">
        <f t="shared" si="3"/>
        <v/>
      </c>
      <c r="N380" s="22" t="str">
        <f t="shared" si="1"/>
        <v/>
      </c>
    </row>
    <row r="381" ht="15.75" customHeight="1">
      <c r="A381" s="25">
        <f>IFERROR(__xludf.DUMMYFUNCTION("""COMPUTED_VALUE"""),43808.66666666667)</f>
        <v>43808.66667</v>
      </c>
      <c r="B381" s="22">
        <f>IFERROR(__xludf.DUMMYFUNCTION("""COMPUTED_VALUE"""),3135.96)</f>
        <v>3135.96</v>
      </c>
      <c r="C381" s="25">
        <f>IFERROR(__xludf.DUMMYFUNCTION("""COMPUTED_VALUE"""),43808.63611111111)</f>
        <v>43808.63611</v>
      </c>
      <c r="D381" s="22">
        <f>IFERROR(__xludf.DUMMYFUNCTION("""COMPUTED_VALUE"""),15.86)</f>
        <v>15.86</v>
      </c>
      <c r="E381" s="26">
        <f t="shared" si="2"/>
        <v>-0.003162836826</v>
      </c>
      <c r="F381" s="25">
        <f>IFERROR(__xludf.DUMMYFUNCTION("""COMPUTED_VALUE"""),43808.63611111111)</f>
        <v>43808.63611</v>
      </c>
      <c r="G381" s="22">
        <f>IFERROR(__xludf.DUMMYFUNCTION("""COMPUTED_VALUE"""),17.3)</f>
        <v>17.3</v>
      </c>
      <c r="H381" s="25">
        <f>IFERROR(__xludf.DUMMYFUNCTION("""COMPUTED_VALUE"""),43808.63611111111)</f>
        <v>43808.63611</v>
      </c>
      <c r="I381" s="22">
        <f>IFERROR(__xludf.DUMMYFUNCTION("""COMPUTED_VALUE"""),18.43)</f>
        <v>18.43</v>
      </c>
      <c r="J381" s="25">
        <f>IFERROR(__xludf.DUMMYFUNCTION("""COMPUTED_VALUE"""),43808.63611111111)</f>
        <v>43808.63611</v>
      </c>
      <c r="K381" s="22">
        <f>IFERROR(__xludf.DUMMYFUNCTION("""COMPUTED_VALUE"""),19.5)</f>
        <v>19.5</v>
      </c>
      <c r="M381" s="22" t="str">
        <f t="shared" si="3"/>
        <v/>
      </c>
      <c r="N381" s="22" t="str">
        <f t="shared" si="1"/>
        <v/>
      </c>
    </row>
    <row r="382" ht="15.75" customHeight="1">
      <c r="A382" s="25">
        <f>IFERROR(__xludf.DUMMYFUNCTION("""COMPUTED_VALUE"""),43809.66666666667)</f>
        <v>43809.66667</v>
      </c>
      <c r="B382" s="22">
        <f>IFERROR(__xludf.DUMMYFUNCTION("""COMPUTED_VALUE"""),3132.52)</f>
        <v>3132.52</v>
      </c>
      <c r="C382" s="25">
        <f>IFERROR(__xludf.DUMMYFUNCTION("""COMPUTED_VALUE"""),43809.63611111111)</f>
        <v>43809.63611</v>
      </c>
      <c r="D382" s="22">
        <f>IFERROR(__xludf.DUMMYFUNCTION("""COMPUTED_VALUE"""),15.68)</f>
        <v>15.68</v>
      </c>
      <c r="E382" s="26">
        <f t="shared" si="2"/>
        <v>-0.001096952767</v>
      </c>
      <c r="F382" s="25">
        <f>IFERROR(__xludf.DUMMYFUNCTION("""COMPUTED_VALUE"""),43809.63611111111)</f>
        <v>43809.63611</v>
      </c>
      <c r="G382" s="22">
        <f>IFERROR(__xludf.DUMMYFUNCTION("""COMPUTED_VALUE"""),17.13)</f>
        <v>17.13</v>
      </c>
      <c r="H382" s="25">
        <f>IFERROR(__xludf.DUMMYFUNCTION("""COMPUTED_VALUE"""),43809.63611111111)</f>
        <v>43809.63611</v>
      </c>
      <c r="I382" s="22">
        <f>IFERROR(__xludf.DUMMYFUNCTION("""COMPUTED_VALUE"""),18.37)</f>
        <v>18.37</v>
      </c>
      <c r="J382" s="25">
        <f>IFERROR(__xludf.DUMMYFUNCTION("""COMPUTED_VALUE"""),43809.63611111111)</f>
        <v>43809.63611</v>
      </c>
      <c r="K382" s="22">
        <f>IFERROR(__xludf.DUMMYFUNCTION("""COMPUTED_VALUE"""),19.44)</f>
        <v>19.44</v>
      </c>
      <c r="M382" s="22" t="str">
        <f t="shared" si="3"/>
        <v/>
      </c>
      <c r="N382" s="22" t="str">
        <f t="shared" si="1"/>
        <v/>
      </c>
    </row>
    <row r="383" ht="15.75" customHeight="1">
      <c r="A383" s="25">
        <f>IFERROR(__xludf.DUMMYFUNCTION("""COMPUTED_VALUE"""),43810.66666666667)</f>
        <v>43810.66667</v>
      </c>
      <c r="B383" s="22">
        <f>IFERROR(__xludf.DUMMYFUNCTION("""COMPUTED_VALUE"""),3141.63)</f>
        <v>3141.63</v>
      </c>
      <c r="C383" s="25">
        <f>IFERROR(__xludf.DUMMYFUNCTION("""COMPUTED_VALUE"""),43810.63611111111)</f>
        <v>43810.63611</v>
      </c>
      <c r="D383" s="22">
        <f>IFERROR(__xludf.DUMMYFUNCTION("""COMPUTED_VALUE"""),14.99)</f>
        <v>14.99</v>
      </c>
      <c r="E383" s="26">
        <f t="shared" si="2"/>
        <v>0.002908201703</v>
      </c>
      <c r="F383" s="25">
        <f>IFERROR(__xludf.DUMMYFUNCTION("""COMPUTED_VALUE"""),43810.63611111111)</f>
        <v>43810.63611</v>
      </c>
      <c r="G383" s="22">
        <f>IFERROR(__xludf.DUMMYFUNCTION("""COMPUTED_VALUE"""),16.91)</f>
        <v>16.91</v>
      </c>
      <c r="H383" s="25">
        <f>IFERROR(__xludf.DUMMYFUNCTION("""COMPUTED_VALUE"""),43810.63611111111)</f>
        <v>43810.63611</v>
      </c>
      <c r="I383" s="22">
        <f>IFERROR(__xludf.DUMMYFUNCTION("""COMPUTED_VALUE"""),18.18)</f>
        <v>18.18</v>
      </c>
      <c r="J383" s="25">
        <f>IFERROR(__xludf.DUMMYFUNCTION("""COMPUTED_VALUE"""),43810.63611111111)</f>
        <v>43810.63611</v>
      </c>
      <c r="K383" s="22">
        <f>IFERROR(__xludf.DUMMYFUNCTION("""COMPUTED_VALUE"""),19.25)</f>
        <v>19.25</v>
      </c>
      <c r="M383" s="22" t="str">
        <f t="shared" si="3"/>
        <v/>
      </c>
      <c r="N383" s="22" t="str">
        <f t="shared" si="1"/>
        <v/>
      </c>
    </row>
    <row r="384" ht="15.75" customHeight="1">
      <c r="A384" s="25">
        <f>IFERROR(__xludf.DUMMYFUNCTION("""COMPUTED_VALUE"""),43811.66666666667)</f>
        <v>43811.66667</v>
      </c>
      <c r="B384" s="22">
        <f>IFERROR(__xludf.DUMMYFUNCTION("""COMPUTED_VALUE"""),3168.57)</f>
        <v>3168.57</v>
      </c>
      <c r="C384" s="25">
        <f>IFERROR(__xludf.DUMMYFUNCTION("""COMPUTED_VALUE"""),43811.63611111111)</f>
        <v>43811.63611</v>
      </c>
      <c r="D384" s="22">
        <f>IFERROR(__xludf.DUMMYFUNCTION("""COMPUTED_VALUE"""),13.94)</f>
        <v>13.94</v>
      </c>
      <c r="E384" s="26">
        <f t="shared" si="2"/>
        <v>0.008575166395</v>
      </c>
      <c r="F384" s="25">
        <f>IFERROR(__xludf.DUMMYFUNCTION("""COMPUTED_VALUE"""),43811.63611111111)</f>
        <v>43811.63611</v>
      </c>
      <c r="G384" s="22">
        <f>IFERROR(__xludf.DUMMYFUNCTION("""COMPUTED_VALUE"""),16.09)</f>
        <v>16.09</v>
      </c>
      <c r="H384" s="25">
        <f>IFERROR(__xludf.DUMMYFUNCTION("""COMPUTED_VALUE"""),43811.63611111111)</f>
        <v>43811.63611</v>
      </c>
      <c r="I384" s="22">
        <f>IFERROR(__xludf.DUMMYFUNCTION("""COMPUTED_VALUE"""),17.61)</f>
        <v>17.61</v>
      </c>
      <c r="J384" s="25">
        <f>IFERROR(__xludf.DUMMYFUNCTION("""COMPUTED_VALUE"""),43811.63611111111)</f>
        <v>43811.63611</v>
      </c>
      <c r="K384" s="22">
        <f>IFERROR(__xludf.DUMMYFUNCTION("""COMPUTED_VALUE"""),18.91)</f>
        <v>18.91</v>
      </c>
      <c r="M384" s="22" t="str">
        <f t="shared" si="3"/>
        <v/>
      </c>
      <c r="N384" s="22" t="str">
        <f t="shared" si="1"/>
        <v/>
      </c>
    </row>
    <row r="385" ht="15.75" customHeight="1">
      <c r="A385" s="25">
        <f>IFERROR(__xludf.DUMMYFUNCTION("""COMPUTED_VALUE"""),43812.66666666667)</f>
        <v>43812.66667</v>
      </c>
      <c r="B385" s="22">
        <f>IFERROR(__xludf.DUMMYFUNCTION("""COMPUTED_VALUE"""),3168.8)</f>
        <v>3168.8</v>
      </c>
      <c r="C385" s="25">
        <f>IFERROR(__xludf.DUMMYFUNCTION("""COMPUTED_VALUE"""),43812.63611111111)</f>
        <v>43812.63611</v>
      </c>
      <c r="D385" s="22">
        <f>IFERROR(__xludf.DUMMYFUNCTION("""COMPUTED_VALUE"""),12.63)</f>
        <v>12.63</v>
      </c>
      <c r="E385" s="26">
        <f t="shared" si="2"/>
        <v>0.00007258794977</v>
      </c>
      <c r="F385" s="25">
        <f>IFERROR(__xludf.DUMMYFUNCTION("""COMPUTED_VALUE"""),43812.63611111111)</f>
        <v>43812.63611</v>
      </c>
      <c r="G385" s="22">
        <f>IFERROR(__xludf.DUMMYFUNCTION("""COMPUTED_VALUE"""),15.28)</f>
        <v>15.28</v>
      </c>
      <c r="H385" s="25">
        <f>IFERROR(__xludf.DUMMYFUNCTION("""COMPUTED_VALUE"""),43812.63611111111)</f>
        <v>43812.63611</v>
      </c>
      <c r="I385" s="22">
        <f>IFERROR(__xludf.DUMMYFUNCTION("""COMPUTED_VALUE"""),17.05)</f>
        <v>17.05</v>
      </c>
      <c r="J385" s="25">
        <f>IFERROR(__xludf.DUMMYFUNCTION("""COMPUTED_VALUE"""),43812.63611111111)</f>
        <v>43812.63611</v>
      </c>
      <c r="K385" s="22">
        <f>IFERROR(__xludf.DUMMYFUNCTION("""COMPUTED_VALUE"""),18.59)</f>
        <v>18.59</v>
      </c>
      <c r="M385" s="22" t="str">
        <f t="shared" si="3"/>
        <v/>
      </c>
      <c r="N385" s="22" t="str">
        <f t="shared" si="1"/>
        <v/>
      </c>
    </row>
    <row r="386" ht="15.75" customHeight="1">
      <c r="A386" s="25">
        <f>IFERROR(__xludf.DUMMYFUNCTION("""COMPUTED_VALUE"""),43815.66666666667)</f>
        <v>43815.66667</v>
      </c>
      <c r="B386" s="22">
        <f>IFERROR(__xludf.DUMMYFUNCTION("""COMPUTED_VALUE"""),3191.45)</f>
        <v>3191.45</v>
      </c>
      <c r="C386" s="25">
        <f>IFERROR(__xludf.DUMMYFUNCTION("""COMPUTED_VALUE"""),43815.63611111111)</f>
        <v>43815.63611</v>
      </c>
      <c r="D386" s="22">
        <f>IFERROR(__xludf.DUMMYFUNCTION("""COMPUTED_VALUE"""),12.14)</f>
        <v>12.14</v>
      </c>
      <c r="E386" s="26">
        <f t="shared" si="2"/>
        <v>0.007147816208</v>
      </c>
      <c r="F386" s="25">
        <f>IFERROR(__xludf.DUMMYFUNCTION("""COMPUTED_VALUE"""),43815.63611111111)</f>
        <v>43815.63611</v>
      </c>
      <c r="G386" s="22">
        <f>IFERROR(__xludf.DUMMYFUNCTION("""COMPUTED_VALUE"""),14.98)</f>
        <v>14.98</v>
      </c>
      <c r="H386" s="25">
        <f>IFERROR(__xludf.DUMMYFUNCTION("""COMPUTED_VALUE"""),43815.63611111111)</f>
        <v>43815.63611</v>
      </c>
      <c r="I386" s="22">
        <f>IFERROR(__xludf.DUMMYFUNCTION("""COMPUTED_VALUE"""),16.68)</f>
        <v>16.68</v>
      </c>
      <c r="J386" s="25">
        <f>IFERROR(__xludf.DUMMYFUNCTION("""COMPUTED_VALUE"""),43815.63611111111)</f>
        <v>43815.63611</v>
      </c>
      <c r="K386" s="22">
        <f>IFERROR(__xludf.DUMMYFUNCTION("""COMPUTED_VALUE"""),18.37)</f>
        <v>18.37</v>
      </c>
      <c r="M386" s="22" t="str">
        <f t="shared" si="3"/>
        <v/>
      </c>
      <c r="N386" s="22" t="str">
        <f t="shared" si="1"/>
        <v/>
      </c>
    </row>
    <row r="387" ht="15.75" customHeight="1">
      <c r="A387" s="25">
        <f>IFERROR(__xludf.DUMMYFUNCTION("""COMPUTED_VALUE"""),43816.66666666667)</f>
        <v>43816.66667</v>
      </c>
      <c r="B387" s="22">
        <f>IFERROR(__xludf.DUMMYFUNCTION("""COMPUTED_VALUE"""),3192.52)</f>
        <v>3192.52</v>
      </c>
      <c r="C387" s="25">
        <f>IFERROR(__xludf.DUMMYFUNCTION("""COMPUTED_VALUE"""),43816.63611111111)</f>
        <v>43816.63611</v>
      </c>
      <c r="D387" s="22">
        <f>IFERROR(__xludf.DUMMYFUNCTION("""COMPUTED_VALUE"""),12.29)</f>
        <v>12.29</v>
      </c>
      <c r="E387" s="26">
        <f t="shared" si="2"/>
        <v>0.0003352708017</v>
      </c>
      <c r="F387" s="25">
        <f>IFERROR(__xludf.DUMMYFUNCTION("""COMPUTED_VALUE"""),43816.63611111111)</f>
        <v>43816.63611</v>
      </c>
      <c r="G387" s="22">
        <f>IFERROR(__xludf.DUMMYFUNCTION("""COMPUTED_VALUE"""),15.15)</f>
        <v>15.15</v>
      </c>
      <c r="H387" s="25">
        <f>IFERROR(__xludf.DUMMYFUNCTION("""COMPUTED_VALUE"""),43816.63611111111)</f>
        <v>43816.63611</v>
      </c>
      <c r="I387" s="22">
        <f>IFERROR(__xludf.DUMMYFUNCTION("""COMPUTED_VALUE"""),16.89)</f>
        <v>16.89</v>
      </c>
      <c r="J387" s="25">
        <f>IFERROR(__xludf.DUMMYFUNCTION("""COMPUTED_VALUE"""),43816.63611111111)</f>
        <v>43816.63611</v>
      </c>
      <c r="K387" s="22">
        <f>IFERROR(__xludf.DUMMYFUNCTION("""COMPUTED_VALUE"""),18.46)</f>
        <v>18.46</v>
      </c>
      <c r="M387" s="22" t="str">
        <f t="shared" si="3"/>
        <v/>
      </c>
      <c r="N387" s="22" t="str">
        <f t="shared" si="1"/>
        <v/>
      </c>
    </row>
    <row r="388" ht="15.75" customHeight="1">
      <c r="A388" s="25">
        <f>IFERROR(__xludf.DUMMYFUNCTION("""COMPUTED_VALUE"""),43817.66666666667)</f>
        <v>43817.66667</v>
      </c>
      <c r="B388" s="22">
        <f>IFERROR(__xludf.DUMMYFUNCTION("""COMPUTED_VALUE"""),3191.14)</f>
        <v>3191.14</v>
      </c>
      <c r="C388" s="25">
        <f>IFERROR(__xludf.DUMMYFUNCTION("""COMPUTED_VALUE"""),43817.63611111111)</f>
        <v>43817.63611</v>
      </c>
      <c r="D388" s="22">
        <f>IFERROR(__xludf.DUMMYFUNCTION("""COMPUTED_VALUE"""),12.58)</f>
        <v>12.58</v>
      </c>
      <c r="E388" s="26">
        <f t="shared" si="2"/>
        <v>-0.0004322604087</v>
      </c>
      <c r="F388" s="25">
        <f>IFERROR(__xludf.DUMMYFUNCTION("""COMPUTED_VALUE"""),43817.63611111111)</f>
        <v>43817.63611</v>
      </c>
      <c r="G388" s="22">
        <f>IFERROR(__xludf.DUMMYFUNCTION("""COMPUTED_VALUE"""),15.2)</f>
        <v>15.2</v>
      </c>
      <c r="H388" s="25">
        <f>IFERROR(__xludf.DUMMYFUNCTION("""COMPUTED_VALUE"""),43817.63611111111)</f>
        <v>43817.63611</v>
      </c>
      <c r="I388" s="22">
        <f>IFERROR(__xludf.DUMMYFUNCTION("""COMPUTED_VALUE"""),16.91)</f>
        <v>16.91</v>
      </c>
      <c r="J388" s="25">
        <f>IFERROR(__xludf.DUMMYFUNCTION("""COMPUTED_VALUE"""),43817.63611111111)</f>
        <v>43817.63611</v>
      </c>
      <c r="K388" s="22">
        <f>IFERROR(__xludf.DUMMYFUNCTION("""COMPUTED_VALUE"""),18.37)</f>
        <v>18.37</v>
      </c>
      <c r="M388" s="22" t="str">
        <f t="shared" si="3"/>
        <v/>
      </c>
      <c r="N388" s="22" t="str">
        <f t="shared" si="1"/>
        <v/>
      </c>
    </row>
    <row r="389" ht="15.75" customHeight="1">
      <c r="A389" s="25">
        <f>IFERROR(__xludf.DUMMYFUNCTION("""COMPUTED_VALUE"""),43818.66666666667)</f>
        <v>43818.66667</v>
      </c>
      <c r="B389" s="22">
        <f>IFERROR(__xludf.DUMMYFUNCTION("""COMPUTED_VALUE"""),3205.37)</f>
        <v>3205.37</v>
      </c>
      <c r="C389" s="25">
        <f>IFERROR(__xludf.DUMMYFUNCTION("""COMPUTED_VALUE"""),43818.63611111111)</f>
        <v>43818.63611</v>
      </c>
      <c r="D389" s="22">
        <f>IFERROR(__xludf.DUMMYFUNCTION("""COMPUTED_VALUE"""),12.5)</f>
        <v>12.5</v>
      </c>
      <c r="E389" s="26">
        <f t="shared" si="2"/>
        <v>0.004459221469</v>
      </c>
      <c r="F389" s="25">
        <f>IFERROR(__xludf.DUMMYFUNCTION("""COMPUTED_VALUE"""),43818.63611111111)</f>
        <v>43818.63611</v>
      </c>
      <c r="G389" s="22">
        <f>IFERROR(__xludf.DUMMYFUNCTION("""COMPUTED_VALUE"""),15.14)</f>
        <v>15.14</v>
      </c>
      <c r="H389" s="25">
        <f>IFERROR(__xludf.DUMMYFUNCTION("""COMPUTED_VALUE"""),43818.63611111111)</f>
        <v>43818.63611</v>
      </c>
      <c r="I389" s="22">
        <f>IFERROR(__xludf.DUMMYFUNCTION("""COMPUTED_VALUE"""),16.77)</f>
        <v>16.77</v>
      </c>
      <c r="J389" s="25">
        <f>IFERROR(__xludf.DUMMYFUNCTION("""COMPUTED_VALUE"""),43818.63611111111)</f>
        <v>43818.63611</v>
      </c>
      <c r="K389" s="22">
        <f>IFERROR(__xludf.DUMMYFUNCTION("""COMPUTED_VALUE"""),18.28)</f>
        <v>18.28</v>
      </c>
      <c r="M389" s="22" t="str">
        <f t="shared" si="3"/>
        <v/>
      </c>
      <c r="N389" s="22" t="str">
        <f t="shared" si="1"/>
        <v/>
      </c>
    </row>
    <row r="390" ht="15.75" customHeight="1">
      <c r="A390" s="25">
        <f>IFERROR(__xludf.DUMMYFUNCTION("""COMPUTED_VALUE"""),43819.66666666667)</f>
        <v>43819.66667</v>
      </c>
      <c r="B390" s="22">
        <f>IFERROR(__xludf.DUMMYFUNCTION("""COMPUTED_VALUE"""),3221.22)</f>
        <v>3221.22</v>
      </c>
      <c r="C390" s="25">
        <f>IFERROR(__xludf.DUMMYFUNCTION("""COMPUTED_VALUE"""),43819.63611111111)</f>
        <v>43819.63611</v>
      </c>
      <c r="D390" s="22">
        <f>IFERROR(__xludf.DUMMYFUNCTION("""COMPUTED_VALUE"""),12.51)</f>
        <v>12.51</v>
      </c>
      <c r="E390" s="26">
        <f t="shared" si="2"/>
        <v>0.004944826962</v>
      </c>
      <c r="F390" s="25">
        <f>IFERROR(__xludf.DUMMYFUNCTION("""COMPUTED_VALUE"""),43819.63611111111)</f>
        <v>43819.63611</v>
      </c>
      <c r="G390" s="22">
        <f>IFERROR(__xludf.DUMMYFUNCTION("""COMPUTED_VALUE"""),15.32)</f>
        <v>15.32</v>
      </c>
      <c r="H390" s="25">
        <f>IFERROR(__xludf.DUMMYFUNCTION("""COMPUTED_VALUE"""),43819.63611111111)</f>
        <v>43819.63611</v>
      </c>
      <c r="I390" s="22">
        <f>IFERROR(__xludf.DUMMYFUNCTION("""COMPUTED_VALUE"""),16.85)</f>
        <v>16.85</v>
      </c>
      <c r="J390" s="25">
        <f>IFERROR(__xludf.DUMMYFUNCTION("""COMPUTED_VALUE"""),43819.63611111111)</f>
        <v>43819.63611</v>
      </c>
      <c r="K390" s="22">
        <f>IFERROR(__xludf.DUMMYFUNCTION("""COMPUTED_VALUE"""),18.37)</f>
        <v>18.37</v>
      </c>
      <c r="M390" s="22" t="str">
        <f t="shared" si="3"/>
        <v/>
      </c>
      <c r="N390" s="22" t="str">
        <f t="shared" si="1"/>
        <v/>
      </c>
    </row>
    <row r="391" ht="15.75" customHeight="1">
      <c r="A391" s="25">
        <f>IFERROR(__xludf.DUMMYFUNCTION("""COMPUTED_VALUE"""),43822.66666666667)</f>
        <v>43822.66667</v>
      </c>
      <c r="B391" s="22">
        <f>IFERROR(__xludf.DUMMYFUNCTION("""COMPUTED_VALUE"""),3224.01)</f>
        <v>3224.01</v>
      </c>
      <c r="C391" s="25">
        <f>IFERROR(__xludf.DUMMYFUNCTION("""COMPUTED_VALUE"""),43822.63611111111)</f>
        <v>43822.63611</v>
      </c>
      <c r="D391" s="22">
        <f>IFERROR(__xludf.DUMMYFUNCTION("""COMPUTED_VALUE"""),12.61)</f>
        <v>12.61</v>
      </c>
      <c r="E391" s="26">
        <f t="shared" si="2"/>
        <v>0.0008661314657</v>
      </c>
      <c r="F391" s="25">
        <f>IFERROR(__xludf.DUMMYFUNCTION("""COMPUTED_VALUE"""),43822.63611111111)</f>
        <v>43822.63611</v>
      </c>
      <c r="G391" s="22">
        <f>IFERROR(__xludf.DUMMYFUNCTION("""COMPUTED_VALUE"""),15.5)</f>
        <v>15.5</v>
      </c>
      <c r="H391" s="25">
        <f>IFERROR(__xludf.DUMMYFUNCTION("""COMPUTED_VALUE"""),43822.63611111111)</f>
        <v>43822.63611</v>
      </c>
      <c r="I391" s="22">
        <f>IFERROR(__xludf.DUMMYFUNCTION("""COMPUTED_VALUE"""),17.0)</f>
        <v>17</v>
      </c>
      <c r="J391" s="25">
        <f>IFERROR(__xludf.DUMMYFUNCTION("""COMPUTED_VALUE"""),43822.63611111111)</f>
        <v>43822.63611</v>
      </c>
      <c r="K391" s="22">
        <f>IFERROR(__xludf.DUMMYFUNCTION("""COMPUTED_VALUE"""),18.38)</f>
        <v>18.38</v>
      </c>
      <c r="M391" s="22" t="str">
        <f t="shared" si="3"/>
        <v/>
      </c>
      <c r="N391" s="22" t="str">
        <f t="shared" si="1"/>
        <v/>
      </c>
    </row>
    <row r="392" ht="15.75" customHeight="1">
      <c r="A392" s="25">
        <f>IFERROR(__xludf.DUMMYFUNCTION("""COMPUTED_VALUE"""),43825.66666666667)</f>
        <v>43825.66667</v>
      </c>
      <c r="B392" s="22">
        <f>IFERROR(__xludf.DUMMYFUNCTION("""COMPUTED_VALUE"""),3239.91)</f>
        <v>3239.91</v>
      </c>
      <c r="C392" s="25">
        <f>IFERROR(__xludf.DUMMYFUNCTION("""COMPUTED_VALUE"""),43825.63611111111)</f>
        <v>43825.63611</v>
      </c>
      <c r="D392" s="22">
        <f>IFERROR(__xludf.DUMMYFUNCTION("""COMPUTED_VALUE"""),12.65)</f>
        <v>12.65</v>
      </c>
      <c r="E392" s="26">
        <f t="shared" si="2"/>
        <v>0.00493174649</v>
      </c>
      <c r="F392" s="25">
        <f>IFERROR(__xludf.DUMMYFUNCTION("""COMPUTED_VALUE"""),43825.63611111111)</f>
        <v>43825.63611</v>
      </c>
      <c r="G392" s="22">
        <f>IFERROR(__xludf.DUMMYFUNCTION("""COMPUTED_VALUE"""),15.52)</f>
        <v>15.52</v>
      </c>
      <c r="H392" s="25">
        <f>IFERROR(__xludf.DUMMYFUNCTION("""COMPUTED_VALUE"""),43825.63611111111)</f>
        <v>43825.63611</v>
      </c>
      <c r="I392" s="22">
        <f>IFERROR(__xludf.DUMMYFUNCTION("""COMPUTED_VALUE"""),16.92)</f>
        <v>16.92</v>
      </c>
      <c r="J392" s="25">
        <f>IFERROR(__xludf.DUMMYFUNCTION("""COMPUTED_VALUE"""),43825.63611111111)</f>
        <v>43825.63611</v>
      </c>
      <c r="K392" s="22">
        <f>IFERROR(__xludf.DUMMYFUNCTION("""COMPUTED_VALUE"""),18.34)</f>
        <v>18.34</v>
      </c>
      <c r="M392" s="22" t="str">
        <f t="shared" si="3"/>
        <v/>
      </c>
      <c r="N392" s="22" t="str">
        <f t="shared" si="1"/>
        <v/>
      </c>
    </row>
    <row r="393" ht="15.75" customHeight="1">
      <c r="A393" s="25">
        <f>IFERROR(__xludf.DUMMYFUNCTION("""COMPUTED_VALUE"""),43826.66666666667)</f>
        <v>43826.66667</v>
      </c>
      <c r="B393" s="22">
        <f>IFERROR(__xludf.DUMMYFUNCTION("""COMPUTED_VALUE"""),3240.02)</f>
        <v>3240.02</v>
      </c>
      <c r="C393" s="25">
        <f>IFERROR(__xludf.DUMMYFUNCTION("""COMPUTED_VALUE"""),43826.63611111111)</f>
        <v>43826.63611</v>
      </c>
      <c r="D393" s="22">
        <f>IFERROR(__xludf.DUMMYFUNCTION("""COMPUTED_VALUE"""),13.43)</f>
        <v>13.43</v>
      </c>
      <c r="E393" s="26">
        <f t="shared" si="2"/>
        <v>0.00003395156038</v>
      </c>
      <c r="F393" s="25">
        <f>IFERROR(__xludf.DUMMYFUNCTION("""COMPUTED_VALUE"""),43826.63611111111)</f>
        <v>43826.63611</v>
      </c>
      <c r="G393" s="22">
        <f>IFERROR(__xludf.DUMMYFUNCTION("""COMPUTED_VALUE"""),15.95)</f>
        <v>15.95</v>
      </c>
      <c r="H393" s="25">
        <f>IFERROR(__xludf.DUMMYFUNCTION("""COMPUTED_VALUE"""),43826.63611111111)</f>
        <v>43826.63611</v>
      </c>
      <c r="I393" s="22">
        <f>IFERROR(__xludf.DUMMYFUNCTION("""COMPUTED_VALUE"""),17.28)</f>
        <v>17.28</v>
      </c>
      <c r="J393" s="25">
        <f>IFERROR(__xludf.DUMMYFUNCTION("""COMPUTED_VALUE"""),43826.63611111111)</f>
        <v>43826.63611</v>
      </c>
      <c r="K393" s="22">
        <f>IFERROR(__xludf.DUMMYFUNCTION("""COMPUTED_VALUE"""),18.51)</f>
        <v>18.51</v>
      </c>
      <c r="M393" s="22" t="str">
        <f t="shared" si="3"/>
        <v/>
      </c>
      <c r="N393" s="22" t="str">
        <f t="shared" si="1"/>
        <v/>
      </c>
    </row>
    <row r="394" ht="15.75" customHeight="1">
      <c r="A394" s="25">
        <f>IFERROR(__xludf.DUMMYFUNCTION("""COMPUTED_VALUE"""),43829.66666666667)</f>
        <v>43829.66667</v>
      </c>
      <c r="B394" s="22">
        <f>IFERROR(__xludf.DUMMYFUNCTION("""COMPUTED_VALUE"""),3221.29)</f>
        <v>3221.29</v>
      </c>
      <c r="C394" s="25">
        <f>IFERROR(__xludf.DUMMYFUNCTION("""COMPUTED_VALUE"""),43829.63611111111)</f>
        <v>43829.63611</v>
      </c>
      <c r="D394" s="22">
        <f>IFERROR(__xludf.DUMMYFUNCTION("""COMPUTED_VALUE"""),14.82)</f>
        <v>14.82</v>
      </c>
      <c r="E394" s="26">
        <f t="shared" si="2"/>
        <v>-0.005780828513</v>
      </c>
      <c r="F394" s="25">
        <f>IFERROR(__xludf.DUMMYFUNCTION("""COMPUTED_VALUE"""),43829.63611111111)</f>
        <v>43829.63611</v>
      </c>
      <c r="G394" s="22">
        <f>IFERROR(__xludf.DUMMYFUNCTION("""COMPUTED_VALUE"""),16.68)</f>
        <v>16.68</v>
      </c>
      <c r="H394" s="25">
        <f>IFERROR(__xludf.DUMMYFUNCTION("""COMPUTED_VALUE"""),43829.63611111111)</f>
        <v>43829.63611</v>
      </c>
      <c r="I394" s="22">
        <f>IFERROR(__xludf.DUMMYFUNCTION("""COMPUTED_VALUE"""),17.7)</f>
        <v>17.7</v>
      </c>
      <c r="J394" s="25">
        <f>IFERROR(__xludf.DUMMYFUNCTION("""COMPUTED_VALUE"""),43829.63611111111)</f>
        <v>43829.63611</v>
      </c>
      <c r="K394" s="22">
        <f>IFERROR(__xludf.DUMMYFUNCTION("""COMPUTED_VALUE"""),18.78)</f>
        <v>18.78</v>
      </c>
      <c r="M394" s="22" t="str">
        <f t="shared" si="3"/>
        <v/>
      </c>
      <c r="N394" s="22" t="str">
        <f t="shared" si="1"/>
        <v/>
      </c>
    </row>
    <row r="395" ht="15.75" customHeight="1">
      <c r="A395" s="25">
        <f>IFERROR(__xludf.DUMMYFUNCTION("""COMPUTED_VALUE"""),43832.66666666667)</f>
        <v>43832.66667</v>
      </c>
      <c r="B395" s="22">
        <f>IFERROR(__xludf.DUMMYFUNCTION("""COMPUTED_VALUE"""),3257.85)</f>
        <v>3257.85</v>
      </c>
      <c r="C395" s="25">
        <f>IFERROR(__xludf.DUMMYFUNCTION("""COMPUTED_VALUE"""),43832.63611111111)</f>
        <v>43832.63611</v>
      </c>
      <c r="D395" s="22">
        <f>IFERROR(__xludf.DUMMYFUNCTION("""COMPUTED_VALUE"""),12.47)</f>
        <v>12.47</v>
      </c>
      <c r="E395" s="26">
        <f t="shared" si="2"/>
        <v>0.01134949042</v>
      </c>
      <c r="F395" s="25">
        <f>IFERROR(__xludf.DUMMYFUNCTION("""COMPUTED_VALUE"""),43832.63611111111)</f>
        <v>43832.63611</v>
      </c>
      <c r="G395" s="22">
        <f>IFERROR(__xludf.DUMMYFUNCTION("""COMPUTED_VALUE"""),15.19)</f>
        <v>15.19</v>
      </c>
      <c r="H395" s="25">
        <f>IFERROR(__xludf.DUMMYFUNCTION("""COMPUTED_VALUE"""),43832.63611111111)</f>
        <v>43832.63611</v>
      </c>
      <c r="I395" s="22">
        <f>IFERROR(__xludf.DUMMYFUNCTION("""COMPUTED_VALUE"""),16.58)</f>
        <v>16.58</v>
      </c>
      <c r="J395" s="25">
        <f>IFERROR(__xludf.DUMMYFUNCTION("""COMPUTED_VALUE"""),43832.63611111111)</f>
        <v>43832.63611</v>
      </c>
      <c r="K395" s="22">
        <f>IFERROR(__xludf.DUMMYFUNCTION("""COMPUTED_VALUE"""),18.06)</f>
        <v>18.06</v>
      </c>
      <c r="M395" s="22" t="str">
        <f t="shared" si="3"/>
        <v/>
      </c>
      <c r="N395" s="22" t="str">
        <f t="shared" ref="N395:N968" si="4">IF(D395&gt;$O$3,"PREDICT CRASH","")</f>
        <v/>
      </c>
    </row>
    <row r="396" ht="15.75" customHeight="1">
      <c r="A396" s="25">
        <f>IFERROR(__xludf.DUMMYFUNCTION("""COMPUTED_VALUE"""),43833.66666666667)</f>
        <v>43833.66667</v>
      </c>
      <c r="B396" s="22">
        <f>IFERROR(__xludf.DUMMYFUNCTION("""COMPUTED_VALUE"""),3234.85)</f>
        <v>3234.85</v>
      </c>
      <c r="C396" s="25">
        <f>IFERROR(__xludf.DUMMYFUNCTION("""COMPUTED_VALUE"""),43833.63611111111)</f>
        <v>43833.63611</v>
      </c>
      <c r="D396" s="22">
        <f>IFERROR(__xludf.DUMMYFUNCTION("""COMPUTED_VALUE"""),14.02)</f>
        <v>14.02</v>
      </c>
      <c r="E396" s="26">
        <f t="shared" si="2"/>
        <v>-0.007059870774</v>
      </c>
      <c r="F396" s="25">
        <f>IFERROR(__xludf.DUMMYFUNCTION("""COMPUTED_VALUE"""),43833.63611111111)</f>
        <v>43833.63611</v>
      </c>
      <c r="G396" s="22">
        <f>IFERROR(__xludf.DUMMYFUNCTION("""COMPUTED_VALUE"""),16.01)</f>
        <v>16.01</v>
      </c>
      <c r="H396" s="25">
        <f>IFERROR(__xludf.DUMMYFUNCTION("""COMPUTED_VALUE"""),43833.63611111111)</f>
        <v>43833.63611</v>
      </c>
      <c r="I396" s="22">
        <f>IFERROR(__xludf.DUMMYFUNCTION("""COMPUTED_VALUE"""),17.16)</f>
        <v>17.16</v>
      </c>
      <c r="J396" s="25">
        <f>IFERROR(__xludf.DUMMYFUNCTION("""COMPUTED_VALUE"""),43833.63611111111)</f>
        <v>43833.63611</v>
      </c>
      <c r="K396" s="22">
        <f>IFERROR(__xludf.DUMMYFUNCTION("""COMPUTED_VALUE"""),18.44)</f>
        <v>18.44</v>
      </c>
      <c r="M396" s="22" t="str">
        <f t="shared" si="3"/>
        <v/>
      </c>
      <c r="N396" s="22" t="str">
        <f t="shared" si="4"/>
        <v/>
      </c>
    </row>
    <row r="397" ht="15.75" customHeight="1">
      <c r="A397" s="25">
        <f>IFERROR(__xludf.DUMMYFUNCTION("""COMPUTED_VALUE"""),43836.66666666667)</f>
        <v>43836.66667</v>
      </c>
      <c r="B397" s="22">
        <f>IFERROR(__xludf.DUMMYFUNCTION("""COMPUTED_VALUE"""),3246.28)</f>
        <v>3246.28</v>
      </c>
      <c r="C397" s="25">
        <f>IFERROR(__xludf.DUMMYFUNCTION("""COMPUTED_VALUE"""),43836.63611111111)</f>
        <v>43836.63611</v>
      </c>
      <c r="D397" s="22">
        <f>IFERROR(__xludf.DUMMYFUNCTION("""COMPUTED_VALUE"""),13.85)</f>
        <v>13.85</v>
      </c>
      <c r="E397" s="26">
        <f t="shared" si="2"/>
        <v>0.00353339413</v>
      </c>
      <c r="F397" s="25">
        <f>IFERROR(__xludf.DUMMYFUNCTION("""COMPUTED_VALUE"""),43836.63611111111)</f>
        <v>43836.63611</v>
      </c>
      <c r="G397" s="22">
        <f>IFERROR(__xludf.DUMMYFUNCTION("""COMPUTED_VALUE"""),15.92)</f>
        <v>15.92</v>
      </c>
      <c r="H397" s="25">
        <f>IFERROR(__xludf.DUMMYFUNCTION("""COMPUTED_VALUE"""),43836.63611111111)</f>
        <v>43836.63611</v>
      </c>
      <c r="I397" s="22">
        <f>IFERROR(__xludf.DUMMYFUNCTION("""COMPUTED_VALUE"""),17.08)</f>
        <v>17.08</v>
      </c>
      <c r="J397" s="25">
        <f>IFERROR(__xludf.DUMMYFUNCTION("""COMPUTED_VALUE"""),43836.63611111111)</f>
        <v>43836.63611</v>
      </c>
      <c r="K397" s="22">
        <f>IFERROR(__xludf.DUMMYFUNCTION("""COMPUTED_VALUE"""),18.29)</f>
        <v>18.29</v>
      </c>
      <c r="M397" s="22" t="str">
        <f t="shared" si="3"/>
        <v/>
      </c>
      <c r="N397" s="22" t="str">
        <f t="shared" si="4"/>
        <v/>
      </c>
    </row>
    <row r="398" ht="15.75" customHeight="1">
      <c r="A398" s="25">
        <f>IFERROR(__xludf.DUMMYFUNCTION("""COMPUTED_VALUE"""),43837.66666666667)</f>
        <v>43837.66667</v>
      </c>
      <c r="B398" s="22">
        <f>IFERROR(__xludf.DUMMYFUNCTION("""COMPUTED_VALUE"""),3237.18)</f>
        <v>3237.18</v>
      </c>
      <c r="C398" s="25">
        <f>IFERROR(__xludf.DUMMYFUNCTION("""COMPUTED_VALUE"""),43837.63611111111)</f>
        <v>43837.63611</v>
      </c>
      <c r="D398" s="22">
        <f>IFERROR(__xludf.DUMMYFUNCTION("""COMPUTED_VALUE"""),13.79)</f>
        <v>13.79</v>
      </c>
      <c r="E398" s="26">
        <f t="shared" si="2"/>
        <v>-0.002803208596</v>
      </c>
      <c r="F398" s="25">
        <f>IFERROR(__xludf.DUMMYFUNCTION("""COMPUTED_VALUE"""),43837.63611111111)</f>
        <v>43837.63611</v>
      </c>
      <c r="G398" s="22">
        <f>IFERROR(__xludf.DUMMYFUNCTION("""COMPUTED_VALUE"""),15.86)</f>
        <v>15.86</v>
      </c>
      <c r="H398" s="25">
        <f>IFERROR(__xludf.DUMMYFUNCTION("""COMPUTED_VALUE"""),43837.63611111111)</f>
        <v>43837.63611</v>
      </c>
      <c r="I398" s="22">
        <f>IFERROR(__xludf.DUMMYFUNCTION("""COMPUTED_VALUE"""),17.02)</f>
        <v>17.02</v>
      </c>
      <c r="J398" s="25">
        <f>IFERROR(__xludf.DUMMYFUNCTION("""COMPUTED_VALUE"""),43837.63611111111)</f>
        <v>43837.63611</v>
      </c>
      <c r="K398" s="22">
        <f>IFERROR(__xludf.DUMMYFUNCTION("""COMPUTED_VALUE"""),18.2)</f>
        <v>18.2</v>
      </c>
      <c r="M398" s="22" t="str">
        <f t="shared" si="3"/>
        <v/>
      </c>
      <c r="N398" s="22" t="str">
        <f t="shared" si="4"/>
        <v/>
      </c>
    </row>
    <row r="399" ht="15.75" customHeight="1">
      <c r="A399" s="25">
        <f>IFERROR(__xludf.DUMMYFUNCTION("""COMPUTED_VALUE"""),43838.66666666667)</f>
        <v>43838.66667</v>
      </c>
      <c r="B399" s="22">
        <f>IFERROR(__xludf.DUMMYFUNCTION("""COMPUTED_VALUE"""),3253.05)</f>
        <v>3253.05</v>
      </c>
      <c r="C399" s="25">
        <f>IFERROR(__xludf.DUMMYFUNCTION("""COMPUTED_VALUE"""),43838.63611111111)</f>
        <v>43838.63611</v>
      </c>
      <c r="D399" s="22">
        <f>IFERROR(__xludf.DUMMYFUNCTION("""COMPUTED_VALUE"""),13.45)</f>
        <v>13.45</v>
      </c>
      <c r="E399" s="26">
        <f t="shared" si="2"/>
        <v>0.004902415065</v>
      </c>
      <c r="F399" s="25">
        <f>IFERROR(__xludf.DUMMYFUNCTION("""COMPUTED_VALUE"""),43838.63611111111)</f>
        <v>43838.63611</v>
      </c>
      <c r="G399" s="22">
        <f>IFERROR(__xludf.DUMMYFUNCTION("""COMPUTED_VALUE"""),15.4)</f>
        <v>15.4</v>
      </c>
      <c r="H399" s="25">
        <f>IFERROR(__xludf.DUMMYFUNCTION("""COMPUTED_VALUE"""),43838.63611111111)</f>
        <v>43838.63611</v>
      </c>
      <c r="I399" s="22">
        <f>IFERROR(__xludf.DUMMYFUNCTION("""COMPUTED_VALUE"""),16.65)</f>
        <v>16.65</v>
      </c>
      <c r="J399" s="25">
        <f>IFERROR(__xludf.DUMMYFUNCTION("""COMPUTED_VALUE"""),43838.63611111111)</f>
        <v>43838.63611</v>
      </c>
      <c r="K399" s="22">
        <f>IFERROR(__xludf.DUMMYFUNCTION("""COMPUTED_VALUE"""),17.89)</f>
        <v>17.89</v>
      </c>
      <c r="M399" s="22" t="str">
        <f t="shared" si="3"/>
        <v/>
      </c>
      <c r="N399" s="22" t="str">
        <f t="shared" si="4"/>
        <v/>
      </c>
    </row>
    <row r="400" ht="15.75" customHeight="1">
      <c r="A400" s="25">
        <f>IFERROR(__xludf.DUMMYFUNCTION("""COMPUTED_VALUE"""),43839.66666666667)</f>
        <v>43839.66667</v>
      </c>
      <c r="B400" s="22">
        <f>IFERROR(__xludf.DUMMYFUNCTION("""COMPUTED_VALUE"""),3274.7)</f>
        <v>3274.7</v>
      </c>
      <c r="C400" s="25">
        <f>IFERROR(__xludf.DUMMYFUNCTION("""COMPUTED_VALUE"""),43839.63611111111)</f>
        <v>43839.63611</v>
      </c>
      <c r="D400" s="22">
        <f>IFERROR(__xludf.DUMMYFUNCTION("""COMPUTED_VALUE"""),12.54)</f>
        <v>12.54</v>
      </c>
      <c r="E400" s="26">
        <f t="shared" si="2"/>
        <v>0.006655292725</v>
      </c>
      <c r="F400" s="25">
        <f>IFERROR(__xludf.DUMMYFUNCTION("""COMPUTED_VALUE"""),43839.63611111111)</f>
        <v>43839.63611</v>
      </c>
      <c r="G400" s="22">
        <f>IFERROR(__xludf.DUMMYFUNCTION("""COMPUTED_VALUE"""),14.95)</f>
        <v>14.95</v>
      </c>
      <c r="H400" s="25">
        <f>IFERROR(__xludf.DUMMYFUNCTION("""COMPUTED_VALUE"""),43839.63611111111)</f>
        <v>43839.63611</v>
      </c>
      <c r="I400" s="22">
        <f>IFERROR(__xludf.DUMMYFUNCTION("""COMPUTED_VALUE"""),16.36)</f>
        <v>16.36</v>
      </c>
      <c r="J400" s="25">
        <f>IFERROR(__xludf.DUMMYFUNCTION("""COMPUTED_VALUE"""),43839.63611111111)</f>
        <v>43839.63611</v>
      </c>
      <c r="K400" s="22">
        <f>IFERROR(__xludf.DUMMYFUNCTION("""COMPUTED_VALUE"""),17.6)</f>
        <v>17.6</v>
      </c>
      <c r="M400" s="22" t="str">
        <f t="shared" si="3"/>
        <v/>
      </c>
      <c r="N400" s="22" t="str">
        <f t="shared" si="4"/>
        <v/>
      </c>
    </row>
    <row r="401" ht="15.75" customHeight="1">
      <c r="A401" s="25">
        <f>IFERROR(__xludf.DUMMYFUNCTION("""COMPUTED_VALUE"""),43840.66666666667)</f>
        <v>43840.66667</v>
      </c>
      <c r="B401" s="22">
        <f>IFERROR(__xludf.DUMMYFUNCTION("""COMPUTED_VALUE"""),3265.35)</f>
        <v>3265.35</v>
      </c>
      <c r="C401" s="25">
        <f>IFERROR(__xludf.DUMMYFUNCTION("""COMPUTED_VALUE"""),43840.63611111111)</f>
        <v>43840.63611</v>
      </c>
      <c r="D401" s="22">
        <f>IFERROR(__xludf.DUMMYFUNCTION("""COMPUTED_VALUE"""),12.56)</f>
        <v>12.56</v>
      </c>
      <c r="E401" s="26">
        <f t="shared" si="2"/>
        <v>-0.002855223379</v>
      </c>
      <c r="F401" s="25">
        <f>IFERROR(__xludf.DUMMYFUNCTION("""COMPUTED_VALUE"""),43840.63611111111)</f>
        <v>43840.63611</v>
      </c>
      <c r="G401" s="22">
        <f>IFERROR(__xludf.DUMMYFUNCTION("""COMPUTED_VALUE"""),14.95)</f>
        <v>14.95</v>
      </c>
      <c r="H401" s="25">
        <f>IFERROR(__xludf.DUMMYFUNCTION("""COMPUTED_VALUE"""),43840.63611111111)</f>
        <v>43840.63611</v>
      </c>
      <c r="I401" s="22">
        <f>IFERROR(__xludf.DUMMYFUNCTION("""COMPUTED_VALUE"""),16.33)</f>
        <v>16.33</v>
      </c>
      <c r="J401" s="25">
        <f>IFERROR(__xludf.DUMMYFUNCTION("""COMPUTED_VALUE"""),43840.63611111111)</f>
        <v>43840.63611</v>
      </c>
      <c r="K401" s="22">
        <f>IFERROR(__xludf.DUMMYFUNCTION("""COMPUTED_VALUE"""),17.65)</f>
        <v>17.65</v>
      </c>
      <c r="M401" s="22" t="str">
        <f t="shared" si="3"/>
        <v/>
      </c>
      <c r="N401" s="22" t="str">
        <f t="shared" si="4"/>
        <v/>
      </c>
    </row>
    <row r="402" ht="15.75" customHeight="1">
      <c r="A402" s="25">
        <f>IFERROR(__xludf.DUMMYFUNCTION("""COMPUTED_VALUE"""),43843.66666666667)</f>
        <v>43843.66667</v>
      </c>
      <c r="B402" s="22">
        <f>IFERROR(__xludf.DUMMYFUNCTION("""COMPUTED_VALUE"""),3288.13)</f>
        <v>3288.13</v>
      </c>
      <c r="C402" s="25">
        <f>IFERROR(__xludf.DUMMYFUNCTION("""COMPUTED_VALUE"""),43843.63611111111)</f>
        <v>43843.63611</v>
      </c>
      <c r="D402" s="22">
        <f>IFERROR(__xludf.DUMMYFUNCTION("""COMPUTED_VALUE"""),12.32)</f>
        <v>12.32</v>
      </c>
      <c r="E402" s="26">
        <f t="shared" si="2"/>
        <v>0.006976281256</v>
      </c>
      <c r="F402" s="25">
        <f>IFERROR(__xludf.DUMMYFUNCTION("""COMPUTED_VALUE"""),43843.63611111111)</f>
        <v>43843.63611</v>
      </c>
      <c r="G402" s="22">
        <f>IFERROR(__xludf.DUMMYFUNCTION("""COMPUTED_VALUE"""),14.64)</f>
        <v>14.64</v>
      </c>
      <c r="H402" s="25">
        <f>IFERROR(__xludf.DUMMYFUNCTION("""COMPUTED_VALUE"""),43843.63611111111)</f>
        <v>43843.63611</v>
      </c>
      <c r="I402" s="22">
        <f>IFERROR(__xludf.DUMMYFUNCTION("""COMPUTED_VALUE"""),16.03)</f>
        <v>16.03</v>
      </c>
      <c r="J402" s="25">
        <f>IFERROR(__xludf.DUMMYFUNCTION("""COMPUTED_VALUE"""),43843.63611111111)</f>
        <v>43843.63611</v>
      </c>
      <c r="K402" s="22">
        <f>IFERROR(__xludf.DUMMYFUNCTION("""COMPUTED_VALUE"""),17.41)</f>
        <v>17.41</v>
      </c>
      <c r="M402" s="22" t="str">
        <f t="shared" si="3"/>
        <v/>
      </c>
      <c r="N402" s="22" t="str">
        <f t="shared" si="4"/>
        <v/>
      </c>
    </row>
    <row r="403" ht="15.75" customHeight="1">
      <c r="A403" s="25">
        <f>IFERROR(__xludf.DUMMYFUNCTION("""COMPUTED_VALUE"""),43844.66666666667)</f>
        <v>43844.66667</v>
      </c>
      <c r="B403" s="22">
        <f>IFERROR(__xludf.DUMMYFUNCTION("""COMPUTED_VALUE"""),3283.15)</f>
        <v>3283.15</v>
      </c>
      <c r="C403" s="25">
        <f>IFERROR(__xludf.DUMMYFUNCTION("""COMPUTED_VALUE"""),43844.63611111111)</f>
        <v>43844.63611</v>
      </c>
      <c r="D403" s="22">
        <f>IFERROR(__xludf.DUMMYFUNCTION("""COMPUTED_VALUE"""),12.39)</f>
        <v>12.39</v>
      </c>
      <c r="E403" s="26">
        <f t="shared" si="2"/>
        <v>-0.001514538659</v>
      </c>
      <c r="F403" s="25">
        <f>IFERROR(__xludf.DUMMYFUNCTION("""COMPUTED_VALUE"""),43844.63611111111)</f>
        <v>43844.63611</v>
      </c>
      <c r="G403" s="22">
        <f>IFERROR(__xludf.DUMMYFUNCTION("""COMPUTED_VALUE"""),14.64)</f>
        <v>14.64</v>
      </c>
      <c r="H403" s="25">
        <f>IFERROR(__xludf.DUMMYFUNCTION("""COMPUTED_VALUE"""),43844.63611111111)</f>
        <v>43844.63611</v>
      </c>
      <c r="I403" s="22">
        <f>IFERROR(__xludf.DUMMYFUNCTION("""COMPUTED_VALUE"""),16.01)</f>
        <v>16.01</v>
      </c>
      <c r="J403" s="25">
        <f>IFERROR(__xludf.DUMMYFUNCTION("""COMPUTED_VALUE"""),43844.63611111111)</f>
        <v>43844.63611</v>
      </c>
      <c r="K403" s="22">
        <f>IFERROR(__xludf.DUMMYFUNCTION("""COMPUTED_VALUE"""),17.36)</f>
        <v>17.36</v>
      </c>
      <c r="M403" s="22" t="str">
        <f t="shared" si="3"/>
        <v/>
      </c>
      <c r="N403" s="22" t="str">
        <f t="shared" si="4"/>
        <v/>
      </c>
    </row>
    <row r="404" ht="15.75" customHeight="1">
      <c r="A404" s="25">
        <f>IFERROR(__xludf.DUMMYFUNCTION("""COMPUTED_VALUE"""),43845.66666666667)</f>
        <v>43845.66667</v>
      </c>
      <c r="B404" s="22">
        <f>IFERROR(__xludf.DUMMYFUNCTION("""COMPUTED_VALUE"""),3289.29)</f>
        <v>3289.29</v>
      </c>
      <c r="C404" s="25">
        <f>IFERROR(__xludf.DUMMYFUNCTION("""COMPUTED_VALUE"""),43845.63611111111)</f>
        <v>43845.63611</v>
      </c>
      <c r="D404" s="22">
        <f>IFERROR(__xludf.DUMMYFUNCTION("""COMPUTED_VALUE"""),12.42)</f>
        <v>12.42</v>
      </c>
      <c r="E404" s="26">
        <f t="shared" si="2"/>
        <v>0.001870155186</v>
      </c>
      <c r="F404" s="25">
        <f>IFERROR(__xludf.DUMMYFUNCTION("""COMPUTED_VALUE"""),43845.63611111111)</f>
        <v>43845.63611</v>
      </c>
      <c r="G404" s="22">
        <f>IFERROR(__xludf.DUMMYFUNCTION("""COMPUTED_VALUE"""),14.63)</f>
        <v>14.63</v>
      </c>
      <c r="H404" s="25">
        <f>IFERROR(__xludf.DUMMYFUNCTION("""COMPUTED_VALUE"""),43845.63611111111)</f>
        <v>43845.63611</v>
      </c>
      <c r="I404" s="22">
        <f>IFERROR(__xludf.DUMMYFUNCTION("""COMPUTED_VALUE"""),15.98)</f>
        <v>15.98</v>
      </c>
      <c r="J404" s="25">
        <f>IFERROR(__xludf.DUMMYFUNCTION("""COMPUTED_VALUE"""),43845.63611111111)</f>
        <v>43845.63611</v>
      </c>
      <c r="K404" s="22">
        <f>IFERROR(__xludf.DUMMYFUNCTION("""COMPUTED_VALUE"""),17.35)</f>
        <v>17.35</v>
      </c>
      <c r="M404" s="22" t="str">
        <f t="shared" si="3"/>
        <v/>
      </c>
      <c r="N404" s="22" t="str">
        <f t="shared" si="4"/>
        <v/>
      </c>
    </row>
    <row r="405" ht="15.75" customHeight="1">
      <c r="A405" s="25">
        <f>IFERROR(__xludf.DUMMYFUNCTION("""COMPUTED_VALUE"""),43846.66666666667)</f>
        <v>43846.66667</v>
      </c>
      <c r="B405" s="22">
        <f>IFERROR(__xludf.DUMMYFUNCTION("""COMPUTED_VALUE"""),3316.81)</f>
        <v>3316.81</v>
      </c>
      <c r="C405" s="25">
        <f>IFERROR(__xludf.DUMMYFUNCTION("""COMPUTED_VALUE"""),43846.63611111111)</f>
        <v>43846.63611</v>
      </c>
      <c r="D405" s="22">
        <f>IFERROR(__xludf.DUMMYFUNCTION("""COMPUTED_VALUE"""),12.32)</f>
        <v>12.32</v>
      </c>
      <c r="E405" s="26">
        <f t="shared" si="2"/>
        <v>0.008366547188</v>
      </c>
      <c r="F405" s="25">
        <f>IFERROR(__xludf.DUMMYFUNCTION("""COMPUTED_VALUE"""),43846.63611111111)</f>
        <v>43846.63611</v>
      </c>
      <c r="G405" s="22">
        <f>IFERROR(__xludf.DUMMYFUNCTION("""COMPUTED_VALUE"""),14.45)</f>
        <v>14.45</v>
      </c>
      <c r="H405" s="25">
        <f>IFERROR(__xludf.DUMMYFUNCTION("""COMPUTED_VALUE"""),43846.63611111111)</f>
        <v>43846.63611</v>
      </c>
      <c r="I405" s="22">
        <f>IFERROR(__xludf.DUMMYFUNCTION("""COMPUTED_VALUE"""),15.78)</f>
        <v>15.78</v>
      </c>
      <c r="J405" s="25">
        <f>IFERROR(__xludf.DUMMYFUNCTION("""COMPUTED_VALUE"""),43846.63611111111)</f>
        <v>43846.63611</v>
      </c>
      <c r="K405" s="22">
        <f>IFERROR(__xludf.DUMMYFUNCTION("""COMPUTED_VALUE"""),17.18)</f>
        <v>17.18</v>
      </c>
      <c r="M405" s="22" t="str">
        <f t="shared" si="3"/>
        <v/>
      </c>
      <c r="N405" s="22" t="str">
        <f t="shared" si="4"/>
        <v/>
      </c>
    </row>
    <row r="406" ht="15.75" customHeight="1">
      <c r="A406" s="25">
        <f>IFERROR(__xludf.DUMMYFUNCTION("""COMPUTED_VALUE"""),43847.66666666667)</f>
        <v>43847.66667</v>
      </c>
      <c r="B406" s="22">
        <f>IFERROR(__xludf.DUMMYFUNCTION("""COMPUTED_VALUE"""),3329.62)</f>
        <v>3329.62</v>
      </c>
      <c r="C406" s="25">
        <f>IFERROR(__xludf.DUMMYFUNCTION("""COMPUTED_VALUE"""),43847.63611111111)</f>
        <v>43847.63611</v>
      </c>
      <c r="D406" s="22">
        <f>IFERROR(__xludf.DUMMYFUNCTION("""COMPUTED_VALUE"""),12.1)</f>
        <v>12.1</v>
      </c>
      <c r="E406" s="26">
        <f t="shared" si="2"/>
        <v>0.003862144651</v>
      </c>
      <c r="F406" s="25">
        <f>IFERROR(__xludf.DUMMYFUNCTION("""COMPUTED_VALUE"""),43847.63611111111)</f>
        <v>43847.63611</v>
      </c>
      <c r="G406" s="22">
        <f>IFERROR(__xludf.DUMMYFUNCTION("""COMPUTED_VALUE"""),14.41)</f>
        <v>14.41</v>
      </c>
      <c r="H406" s="25">
        <f>IFERROR(__xludf.DUMMYFUNCTION("""COMPUTED_VALUE"""),43847.63611111111)</f>
        <v>43847.63611</v>
      </c>
      <c r="I406" s="22">
        <f>IFERROR(__xludf.DUMMYFUNCTION("""COMPUTED_VALUE"""),15.76)</f>
        <v>15.76</v>
      </c>
      <c r="J406" s="25">
        <f>IFERROR(__xludf.DUMMYFUNCTION("""COMPUTED_VALUE"""),43847.63611111111)</f>
        <v>43847.63611</v>
      </c>
      <c r="K406" s="22">
        <f>IFERROR(__xludf.DUMMYFUNCTION("""COMPUTED_VALUE"""),17.08)</f>
        <v>17.08</v>
      </c>
      <c r="M406" s="22" t="str">
        <f t="shared" si="3"/>
        <v/>
      </c>
      <c r="N406" s="22" t="str">
        <f t="shared" si="4"/>
        <v/>
      </c>
    </row>
    <row r="407" ht="15.75" customHeight="1">
      <c r="A407" s="25">
        <f>IFERROR(__xludf.DUMMYFUNCTION("""COMPUTED_VALUE"""),43851.66666666667)</f>
        <v>43851.66667</v>
      </c>
      <c r="B407" s="22">
        <f>IFERROR(__xludf.DUMMYFUNCTION("""COMPUTED_VALUE"""),3320.79)</f>
        <v>3320.79</v>
      </c>
      <c r="C407" s="25">
        <f>IFERROR(__xludf.DUMMYFUNCTION("""COMPUTED_VALUE"""),43851.63611111111)</f>
        <v>43851.63611</v>
      </c>
      <c r="D407" s="22">
        <f>IFERROR(__xludf.DUMMYFUNCTION("""COMPUTED_VALUE"""),12.85)</f>
        <v>12.85</v>
      </c>
      <c r="E407" s="26">
        <f t="shared" si="2"/>
        <v>-0.002651954277</v>
      </c>
      <c r="F407" s="25">
        <f>IFERROR(__xludf.DUMMYFUNCTION("""COMPUTED_VALUE"""),43851.63611111111)</f>
        <v>43851.63611</v>
      </c>
      <c r="G407" s="22">
        <f>IFERROR(__xludf.DUMMYFUNCTION("""COMPUTED_VALUE"""),14.87)</f>
        <v>14.87</v>
      </c>
      <c r="H407" s="25">
        <f>IFERROR(__xludf.DUMMYFUNCTION("""COMPUTED_VALUE"""),43851.63611111111)</f>
        <v>43851.63611</v>
      </c>
      <c r="I407" s="22">
        <f>IFERROR(__xludf.DUMMYFUNCTION("""COMPUTED_VALUE"""),15.94)</f>
        <v>15.94</v>
      </c>
      <c r="J407" s="25">
        <f>IFERROR(__xludf.DUMMYFUNCTION("""COMPUTED_VALUE"""),43851.63611111111)</f>
        <v>43851.63611</v>
      </c>
      <c r="K407" s="22">
        <f>IFERROR(__xludf.DUMMYFUNCTION("""COMPUTED_VALUE"""),17.22)</f>
        <v>17.22</v>
      </c>
      <c r="M407" s="22" t="str">
        <f t="shared" si="3"/>
        <v/>
      </c>
      <c r="N407" s="22" t="str">
        <f t="shared" si="4"/>
        <v/>
      </c>
    </row>
    <row r="408" ht="15.75" customHeight="1">
      <c r="A408" s="25">
        <f>IFERROR(__xludf.DUMMYFUNCTION("""COMPUTED_VALUE"""),43852.66666666667)</f>
        <v>43852.66667</v>
      </c>
      <c r="B408" s="22">
        <f>IFERROR(__xludf.DUMMYFUNCTION("""COMPUTED_VALUE"""),3321.75)</f>
        <v>3321.75</v>
      </c>
      <c r="C408" s="25">
        <f>IFERROR(__xludf.DUMMYFUNCTION("""COMPUTED_VALUE"""),43852.63611111111)</f>
        <v>43852.63611</v>
      </c>
      <c r="D408" s="22">
        <f>IFERROR(__xludf.DUMMYFUNCTION("""COMPUTED_VALUE"""),12.91)</f>
        <v>12.91</v>
      </c>
      <c r="E408" s="26">
        <f t="shared" si="2"/>
        <v>0.0002890878375</v>
      </c>
      <c r="F408" s="25">
        <f>IFERROR(__xludf.DUMMYFUNCTION("""COMPUTED_VALUE"""),43852.63611111111)</f>
        <v>43852.63611</v>
      </c>
      <c r="G408" s="22">
        <f>IFERROR(__xludf.DUMMYFUNCTION("""COMPUTED_VALUE"""),14.98)</f>
        <v>14.98</v>
      </c>
      <c r="H408" s="25">
        <f>IFERROR(__xludf.DUMMYFUNCTION("""COMPUTED_VALUE"""),43852.63611111111)</f>
        <v>43852.63611</v>
      </c>
      <c r="I408" s="22">
        <f>IFERROR(__xludf.DUMMYFUNCTION("""COMPUTED_VALUE"""),16.11)</f>
        <v>16.11</v>
      </c>
      <c r="J408" s="25">
        <f>IFERROR(__xludf.DUMMYFUNCTION("""COMPUTED_VALUE"""),43852.63611111111)</f>
        <v>43852.63611</v>
      </c>
      <c r="K408" s="22">
        <f>IFERROR(__xludf.DUMMYFUNCTION("""COMPUTED_VALUE"""),17.29)</f>
        <v>17.29</v>
      </c>
      <c r="M408" s="22" t="str">
        <f t="shared" si="3"/>
        <v/>
      </c>
      <c r="N408" s="22" t="str">
        <f t="shared" si="4"/>
        <v/>
      </c>
    </row>
    <row r="409" ht="15.75" customHeight="1">
      <c r="A409" s="25">
        <f>IFERROR(__xludf.DUMMYFUNCTION("""COMPUTED_VALUE"""),43853.66666666667)</f>
        <v>43853.66667</v>
      </c>
      <c r="B409" s="22">
        <f>IFERROR(__xludf.DUMMYFUNCTION("""COMPUTED_VALUE"""),3325.54)</f>
        <v>3325.54</v>
      </c>
      <c r="C409" s="25">
        <f>IFERROR(__xludf.DUMMYFUNCTION("""COMPUTED_VALUE"""),43853.63611111111)</f>
        <v>43853.63611</v>
      </c>
      <c r="D409" s="22">
        <f>IFERROR(__xludf.DUMMYFUNCTION("""COMPUTED_VALUE"""),12.98)</f>
        <v>12.98</v>
      </c>
      <c r="E409" s="26">
        <f t="shared" si="2"/>
        <v>0.001140964853</v>
      </c>
      <c r="F409" s="25">
        <f>IFERROR(__xludf.DUMMYFUNCTION("""COMPUTED_VALUE"""),43853.63611111111)</f>
        <v>43853.63611</v>
      </c>
      <c r="G409" s="22">
        <f>IFERROR(__xludf.DUMMYFUNCTION("""COMPUTED_VALUE"""),14.99)</f>
        <v>14.99</v>
      </c>
      <c r="H409" s="25">
        <f>IFERROR(__xludf.DUMMYFUNCTION("""COMPUTED_VALUE"""),43853.63611111111)</f>
        <v>43853.63611</v>
      </c>
      <c r="I409" s="22">
        <f>IFERROR(__xludf.DUMMYFUNCTION("""COMPUTED_VALUE"""),16.11)</f>
        <v>16.11</v>
      </c>
      <c r="J409" s="25">
        <f>IFERROR(__xludf.DUMMYFUNCTION("""COMPUTED_VALUE"""),43853.63611111111)</f>
        <v>43853.63611</v>
      </c>
      <c r="K409" s="22">
        <f>IFERROR(__xludf.DUMMYFUNCTION("""COMPUTED_VALUE"""),17.21)</f>
        <v>17.21</v>
      </c>
      <c r="M409" s="22" t="str">
        <f t="shared" si="3"/>
        <v/>
      </c>
      <c r="N409" s="22" t="str">
        <f t="shared" si="4"/>
        <v/>
      </c>
    </row>
    <row r="410" ht="15.75" customHeight="1">
      <c r="A410" s="25">
        <f>IFERROR(__xludf.DUMMYFUNCTION("""COMPUTED_VALUE"""),43854.66666666667)</f>
        <v>43854.66667</v>
      </c>
      <c r="B410" s="22">
        <f>IFERROR(__xludf.DUMMYFUNCTION("""COMPUTED_VALUE"""),3295.47)</f>
        <v>3295.47</v>
      </c>
      <c r="C410" s="25">
        <f>IFERROR(__xludf.DUMMYFUNCTION("""COMPUTED_VALUE"""),43854.63611111111)</f>
        <v>43854.63611</v>
      </c>
      <c r="D410" s="22">
        <f>IFERROR(__xludf.DUMMYFUNCTION("""COMPUTED_VALUE"""),14.56)</f>
        <v>14.56</v>
      </c>
      <c r="E410" s="26">
        <f t="shared" si="2"/>
        <v>-0.009042140525</v>
      </c>
      <c r="F410" s="25">
        <f>IFERROR(__xludf.DUMMYFUNCTION("""COMPUTED_VALUE"""),43854.63611111111)</f>
        <v>43854.63611</v>
      </c>
      <c r="G410" s="22">
        <f>IFERROR(__xludf.DUMMYFUNCTION("""COMPUTED_VALUE"""),16.07)</f>
        <v>16.07</v>
      </c>
      <c r="H410" s="25">
        <f>IFERROR(__xludf.DUMMYFUNCTION("""COMPUTED_VALUE"""),43854.63611111111)</f>
        <v>43854.63611</v>
      </c>
      <c r="I410" s="22">
        <f>IFERROR(__xludf.DUMMYFUNCTION("""COMPUTED_VALUE"""),16.78)</f>
        <v>16.78</v>
      </c>
      <c r="J410" s="25">
        <f>IFERROR(__xludf.DUMMYFUNCTION("""COMPUTED_VALUE"""),43854.63611111111)</f>
        <v>43854.63611</v>
      </c>
      <c r="K410" s="22">
        <f>IFERROR(__xludf.DUMMYFUNCTION("""COMPUTED_VALUE"""),17.75)</f>
        <v>17.75</v>
      </c>
      <c r="M410" s="22" t="str">
        <f t="shared" si="3"/>
        <v/>
      </c>
      <c r="N410" s="22" t="str">
        <f t="shared" si="4"/>
        <v/>
      </c>
    </row>
    <row r="411" ht="15.75" customHeight="1">
      <c r="A411" s="25">
        <f>IFERROR(__xludf.DUMMYFUNCTION("""COMPUTED_VALUE"""),43857.66666666667)</f>
        <v>43857.66667</v>
      </c>
      <c r="B411" s="22">
        <f>IFERROR(__xludf.DUMMYFUNCTION("""COMPUTED_VALUE"""),3243.63)</f>
        <v>3243.63</v>
      </c>
      <c r="C411" s="25">
        <f>IFERROR(__xludf.DUMMYFUNCTION("""COMPUTED_VALUE"""),43857.63611111111)</f>
        <v>43857.63611</v>
      </c>
      <c r="D411" s="22">
        <f>IFERROR(__xludf.DUMMYFUNCTION("""COMPUTED_VALUE"""),18.23)</f>
        <v>18.23</v>
      </c>
      <c r="E411" s="26">
        <f t="shared" si="2"/>
        <v>-0.01573068485</v>
      </c>
      <c r="F411" s="25">
        <f>IFERROR(__xludf.DUMMYFUNCTION("""COMPUTED_VALUE"""),43857.63611111111)</f>
        <v>43857.63611</v>
      </c>
      <c r="G411" s="22">
        <f>IFERROR(__xludf.DUMMYFUNCTION("""COMPUTED_VALUE"""),18.16)</f>
        <v>18.16</v>
      </c>
      <c r="H411" s="25">
        <f>IFERROR(__xludf.DUMMYFUNCTION("""COMPUTED_VALUE"""),43857.63611111111)</f>
        <v>43857.63611</v>
      </c>
      <c r="I411" s="22">
        <f>IFERROR(__xludf.DUMMYFUNCTION("""COMPUTED_VALUE"""),18.11)</f>
        <v>18.11</v>
      </c>
      <c r="J411" s="25">
        <f>IFERROR(__xludf.DUMMYFUNCTION("""COMPUTED_VALUE"""),43857.63611111111)</f>
        <v>43857.63611</v>
      </c>
      <c r="K411" s="22">
        <f>IFERROR(__xludf.DUMMYFUNCTION("""COMPUTED_VALUE"""),18.52)</f>
        <v>18.52</v>
      </c>
      <c r="M411" s="22" t="str">
        <f t="shared" si="3"/>
        <v/>
      </c>
      <c r="N411" s="22" t="str">
        <f t="shared" si="4"/>
        <v/>
      </c>
    </row>
    <row r="412" ht="15.75" customHeight="1">
      <c r="A412" s="25">
        <f>IFERROR(__xludf.DUMMYFUNCTION("""COMPUTED_VALUE"""),43858.66666666667)</f>
        <v>43858.66667</v>
      </c>
      <c r="B412" s="22">
        <f>IFERROR(__xludf.DUMMYFUNCTION("""COMPUTED_VALUE"""),3276.24)</f>
        <v>3276.24</v>
      </c>
      <c r="C412" s="25">
        <f>IFERROR(__xludf.DUMMYFUNCTION("""COMPUTED_VALUE"""),43858.63611111111)</f>
        <v>43858.63611</v>
      </c>
      <c r="D412" s="22">
        <f>IFERROR(__xludf.DUMMYFUNCTION("""COMPUTED_VALUE"""),16.28)</f>
        <v>16.28</v>
      </c>
      <c r="E412" s="26">
        <f t="shared" si="2"/>
        <v>0.01005355111</v>
      </c>
      <c r="F412" s="25">
        <f>IFERROR(__xludf.DUMMYFUNCTION("""COMPUTED_VALUE"""),43858.63611111111)</f>
        <v>43858.63611</v>
      </c>
      <c r="G412" s="22">
        <f>IFERROR(__xludf.DUMMYFUNCTION("""COMPUTED_VALUE"""),17.03)</f>
        <v>17.03</v>
      </c>
      <c r="H412" s="25">
        <f>IFERROR(__xludf.DUMMYFUNCTION("""COMPUTED_VALUE"""),43858.63611111111)</f>
        <v>43858.63611</v>
      </c>
      <c r="I412" s="22">
        <f>IFERROR(__xludf.DUMMYFUNCTION("""COMPUTED_VALUE"""),17.35)</f>
        <v>17.35</v>
      </c>
      <c r="J412" s="25">
        <f>IFERROR(__xludf.DUMMYFUNCTION("""COMPUTED_VALUE"""),43858.63611111111)</f>
        <v>43858.63611</v>
      </c>
      <c r="K412" s="22">
        <f>IFERROR(__xludf.DUMMYFUNCTION("""COMPUTED_VALUE"""),18.05)</f>
        <v>18.05</v>
      </c>
      <c r="M412" s="22" t="str">
        <f t="shared" si="3"/>
        <v/>
      </c>
      <c r="N412" s="22" t="str">
        <f t="shared" si="4"/>
        <v/>
      </c>
    </row>
    <row r="413" ht="15.75" customHeight="1">
      <c r="A413" s="25">
        <f>IFERROR(__xludf.DUMMYFUNCTION("""COMPUTED_VALUE"""),43859.66666666667)</f>
        <v>43859.66667</v>
      </c>
      <c r="B413" s="22">
        <f>IFERROR(__xludf.DUMMYFUNCTION("""COMPUTED_VALUE"""),3273.4)</f>
        <v>3273.4</v>
      </c>
      <c r="C413" s="25">
        <f>IFERROR(__xludf.DUMMYFUNCTION("""COMPUTED_VALUE"""),43859.63611111111)</f>
        <v>43859.63611</v>
      </c>
      <c r="D413" s="22">
        <f>IFERROR(__xludf.DUMMYFUNCTION("""COMPUTED_VALUE"""),16.39)</f>
        <v>16.39</v>
      </c>
      <c r="E413" s="26">
        <f t="shared" si="2"/>
        <v>-0.0008668473616</v>
      </c>
      <c r="F413" s="25">
        <f>IFERROR(__xludf.DUMMYFUNCTION("""COMPUTED_VALUE"""),43859.63611111111)</f>
        <v>43859.63611</v>
      </c>
      <c r="G413" s="22">
        <f>IFERROR(__xludf.DUMMYFUNCTION("""COMPUTED_VALUE"""),17.03)</f>
        <v>17.03</v>
      </c>
      <c r="H413" s="25">
        <f>IFERROR(__xludf.DUMMYFUNCTION("""COMPUTED_VALUE"""),43859.63611111111)</f>
        <v>43859.63611</v>
      </c>
      <c r="I413" s="22">
        <f>IFERROR(__xludf.DUMMYFUNCTION("""COMPUTED_VALUE"""),17.36)</f>
        <v>17.36</v>
      </c>
      <c r="J413" s="25">
        <f>IFERROR(__xludf.DUMMYFUNCTION("""COMPUTED_VALUE"""),43859.63611111111)</f>
        <v>43859.63611</v>
      </c>
      <c r="K413" s="22">
        <f>IFERROR(__xludf.DUMMYFUNCTION("""COMPUTED_VALUE"""),18.03)</f>
        <v>18.03</v>
      </c>
      <c r="M413" s="22" t="str">
        <f t="shared" si="3"/>
        <v/>
      </c>
      <c r="N413" s="22" t="str">
        <f t="shared" si="4"/>
        <v/>
      </c>
    </row>
    <row r="414" ht="15.75" customHeight="1">
      <c r="A414" s="25">
        <f>IFERROR(__xludf.DUMMYFUNCTION("""COMPUTED_VALUE"""),43860.66666666667)</f>
        <v>43860.66667</v>
      </c>
      <c r="B414" s="22">
        <f>IFERROR(__xludf.DUMMYFUNCTION("""COMPUTED_VALUE"""),3283.66)</f>
        <v>3283.66</v>
      </c>
      <c r="C414" s="25">
        <f>IFERROR(__xludf.DUMMYFUNCTION("""COMPUTED_VALUE"""),43860.63611111111)</f>
        <v>43860.63611</v>
      </c>
      <c r="D414" s="22">
        <f>IFERROR(__xludf.DUMMYFUNCTION("""COMPUTED_VALUE"""),15.49)</f>
        <v>15.49</v>
      </c>
      <c r="E414" s="26">
        <f t="shared" si="2"/>
        <v>0.003134355716</v>
      </c>
      <c r="F414" s="25">
        <f>IFERROR(__xludf.DUMMYFUNCTION("""COMPUTED_VALUE"""),43860.63611111111)</f>
        <v>43860.63611</v>
      </c>
      <c r="G414" s="22">
        <f>IFERROR(__xludf.DUMMYFUNCTION("""COMPUTED_VALUE"""),16.59)</f>
        <v>16.59</v>
      </c>
      <c r="H414" s="25">
        <f>IFERROR(__xludf.DUMMYFUNCTION("""COMPUTED_VALUE"""),43860.63611111111)</f>
        <v>43860.63611</v>
      </c>
      <c r="I414" s="22">
        <f>IFERROR(__xludf.DUMMYFUNCTION("""COMPUTED_VALUE"""),17.03)</f>
        <v>17.03</v>
      </c>
      <c r="J414" s="25">
        <f>IFERROR(__xludf.DUMMYFUNCTION("""COMPUTED_VALUE"""),43860.63611111111)</f>
        <v>43860.63611</v>
      </c>
      <c r="K414" s="22">
        <f>IFERROR(__xludf.DUMMYFUNCTION("""COMPUTED_VALUE"""),17.84)</f>
        <v>17.84</v>
      </c>
      <c r="M414" s="22" t="str">
        <f t="shared" si="3"/>
        <v/>
      </c>
      <c r="N414" s="22" t="str">
        <f t="shared" si="4"/>
        <v/>
      </c>
    </row>
    <row r="415" ht="15.75" customHeight="1">
      <c r="A415" s="25">
        <f>IFERROR(__xludf.DUMMYFUNCTION("""COMPUTED_VALUE"""),43861.66666666667)</f>
        <v>43861.66667</v>
      </c>
      <c r="B415" s="22">
        <f>IFERROR(__xludf.DUMMYFUNCTION("""COMPUTED_VALUE"""),3225.52)</f>
        <v>3225.52</v>
      </c>
      <c r="C415" s="25">
        <f>IFERROR(__xludf.DUMMYFUNCTION("""COMPUTED_VALUE"""),43861.63611111111)</f>
        <v>43861.63611</v>
      </c>
      <c r="D415" s="22">
        <f>IFERROR(__xludf.DUMMYFUNCTION("""COMPUTED_VALUE"""),18.84)</f>
        <v>18.84</v>
      </c>
      <c r="E415" s="26">
        <f t="shared" si="2"/>
        <v>-0.01770585262</v>
      </c>
      <c r="F415" s="25">
        <f>IFERROR(__xludf.DUMMYFUNCTION("""COMPUTED_VALUE"""),43861.63611111111)</f>
        <v>43861.63611</v>
      </c>
      <c r="G415" s="22">
        <f>IFERROR(__xludf.DUMMYFUNCTION("""COMPUTED_VALUE"""),18.63)</f>
        <v>18.63</v>
      </c>
      <c r="H415" s="25">
        <f>IFERROR(__xludf.DUMMYFUNCTION("""COMPUTED_VALUE"""),43861.63611111111)</f>
        <v>43861.63611</v>
      </c>
      <c r="I415" s="22">
        <f>IFERROR(__xludf.DUMMYFUNCTION("""COMPUTED_VALUE"""),18.34)</f>
        <v>18.34</v>
      </c>
      <c r="J415" s="25">
        <f>IFERROR(__xludf.DUMMYFUNCTION("""COMPUTED_VALUE"""),43861.63611111111)</f>
        <v>43861.63611</v>
      </c>
      <c r="K415" s="22">
        <f>IFERROR(__xludf.DUMMYFUNCTION("""COMPUTED_VALUE"""),18.57)</f>
        <v>18.57</v>
      </c>
      <c r="M415" s="22" t="str">
        <f t="shared" si="3"/>
        <v/>
      </c>
      <c r="N415" s="22" t="str">
        <f t="shared" si="4"/>
        <v/>
      </c>
    </row>
    <row r="416" ht="15.75" customHeight="1">
      <c r="A416" s="25">
        <f>IFERROR(__xludf.DUMMYFUNCTION("""COMPUTED_VALUE"""),43864.66666666667)</f>
        <v>43864.66667</v>
      </c>
      <c r="B416" s="22">
        <f>IFERROR(__xludf.DUMMYFUNCTION("""COMPUTED_VALUE"""),3248.92)</f>
        <v>3248.92</v>
      </c>
      <c r="C416" s="25">
        <f>IFERROR(__xludf.DUMMYFUNCTION("""COMPUTED_VALUE"""),43864.63611111111)</f>
        <v>43864.63611</v>
      </c>
      <c r="D416" s="22">
        <f>IFERROR(__xludf.DUMMYFUNCTION("""COMPUTED_VALUE"""),17.97)</f>
        <v>17.97</v>
      </c>
      <c r="E416" s="26">
        <f t="shared" si="2"/>
        <v>0.007254644212</v>
      </c>
      <c r="F416" s="25">
        <f>IFERROR(__xludf.DUMMYFUNCTION("""COMPUTED_VALUE"""),43864.63611111111)</f>
        <v>43864.63611</v>
      </c>
      <c r="G416" s="22">
        <f>IFERROR(__xludf.DUMMYFUNCTION("""COMPUTED_VALUE"""),18.04)</f>
        <v>18.04</v>
      </c>
      <c r="H416" s="25">
        <f>IFERROR(__xludf.DUMMYFUNCTION("""COMPUTED_VALUE"""),43864.63611111111)</f>
        <v>43864.63611</v>
      </c>
      <c r="I416" s="22">
        <f>IFERROR(__xludf.DUMMYFUNCTION("""COMPUTED_VALUE"""),18.09)</f>
        <v>18.09</v>
      </c>
      <c r="J416" s="25">
        <f>IFERROR(__xludf.DUMMYFUNCTION("""COMPUTED_VALUE"""),43864.63611111111)</f>
        <v>43864.63611</v>
      </c>
      <c r="K416" s="22">
        <f>IFERROR(__xludf.DUMMYFUNCTION("""COMPUTED_VALUE"""),18.38)</f>
        <v>18.38</v>
      </c>
      <c r="M416" s="22" t="str">
        <f t="shared" si="3"/>
        <v/>
      </c>
      <c r="N416" s="22" t="str">
        <f t="shared" si="4"/>
        <v/>
      </c>
    </row>
    <row r="417" ht="15.75" customHeight="1">
      <c r="A417" s="25">
        <f>IFERROR(__xludf.DUMMYFUNCTION("""COMPUTED_VALUE"""),43865.66666666667)</f>
        <v>43865.66667</v>
      </c>
      <c r="B417" s="22">
        <f>IFERROR(__xludf.DUMMYFUNCTION("""COMPUTED_VALUE"""),3297.59)</f>
        <v>3297.59</v>
      </c>
      <c r="C417" s="25">
        <f>IFERROR(__xludf.DUMMYFUNCTION("""COMPUTED_VALUE"""),43865.63611111111)</f>
        <v>43865.63611</v>
      </c>
      <c r="D417" s="22">
        <f>IFERROR(__xludf.DUMMYFUNCTION("""COMPUTED_VALUE"""),16.05)</f>
        <v>16.05</v>
      </c>
      <c r="E417" s="26">
        <f t="shared" si="2"/>
        <v>0.01498036271</v>
      </c>
      <c r="F417" s="25">
        <f>IFERROR(__xludf.DUMMYFUNCTION("""COMPUTED_VALUE"""),43865.63611111111)</f>
        <v>43865.63611</v>
      </c>
      <c r="G417" s="22">
        <f>IFERROR(__xludf.DUMMYFUNCTION("""COMPUTED_VALUE"""),16.7)</f>
        <v>16.7</v>
      </c>
      <c r="H417" s="25">
        <f>IFERROR(__xludf.DUMMYFUNCTION("""COMPUTED_VALUE"""),43865.63611111111)</f>
        <v>43865.63611</v>
      </c>
      <c r="I417" s="22">
        <f>IFERROR(__xludf.DUMMYFUNCTION("""COMPUTED_VALUE"""),17.06)</f>
        <v>17.06</v>
      </c>
      <c r="J417" s="25">
        <f>IFERROR(__xludf.DUMMYFUNCTION("""COMPUTED_VALUE"""),43865.63611111111)</f>
        <v>43865.63611</v>
      </c>
      <c r="K417" s="22">
        <f>IFERROR(__xludf.DUMMYFUNCTION("""COMPUTED_VALUE"""),17.83)</f>
        <v>17.83</v>
      </c>
      <c r="M417" s="22" t="str">
        <f t="shared" si="3"/>
        <v/>
      </c>
      <c r="N417" s="22" t="str">
        <f t="shared" si="4"/>
        <v/>
      </c>
    </row>
    <row r="418" ht="15.75" customHeight="1">
      <c r="A418" s="25">
        <f>IFERROR(__xludf.DUMMYFUNCTION("""COMPUTED_VALUE"""),43866.66666666667)</f>
        <v>43866.66667</v>
      </c>
      <c r="B418" s="22">
        <f>IFERROR(__xludf.DUMMYFUNCTION("""COMPUTED_VALUE"""),3334.69)</f>
        <v>3334.69</v>
      </c>
      <c r="C418" s="25">
        <f>IFERROR(__xludf.DUMMYFUNCTION("""COMPUTED_VALUE"""),43866.63611111111)</f>
        <v>43866.63611</v>
      </c>
      <c r="D418" s="22">
        <f>IFERROR(__xludf.DUMMYFUNCTION("""COMPUTED_VALUE"""),15.15)</f>
        <v>15.15</v>
      </c>
      <c r="E418" s="26">
        <f t="shared" si="2"/>
        <v>0.01125064062</v>
      </c>
      <c r="F418" s="25">
        <f>IFERROR(__xludf.DUMMYFUNCTION("""COMPUTED_VALUE"""),43866.63611111111)</f>
        <v>43866.63611</v>
      </c>
      <c r="G418" s="22">
        <f>IFERROR(__xludf.DUMMYFUNCTION("""COMPUTED_VALUE"""),16.11)</f>
        <v>16.11</v>
      </c>
      <c r="H418" s="25">
        <f>IFERROR(__xludf.DUMMYFUNCTION("""COMPUTED_VALUE"""),43866.63611111111)</f>
        <v>43866.63611</v>
      </c>
      <c r="I418" s="22">
        <f>IFERROR(__xludf.DUMMYFUNCTION("""COMPUTED_VALUE"""),16.67)</f>
        <v>16.67</v>
      </c>
      <c r="J418" s="25">
        <f>IFERROR(__xludf.DUMMYFUNCTION("""COMPUTED_VALUE"""),43866.63611111111)</f>
        <v>43866.63611</v>
      </c>
      <c r="K418" s="22">
        <f>IFERROR(__xludf.DUMMYFUNCTION("""COMPUTED_VALUE"""),17.53)</f>
        <v>17.53</v>
      </c>
      <c r="M418" s="22" t="str">
        <f t="shared" si="3"/>
        <v/>
      </c>
      <c r="N418" s="22" t="str">
        <f t="shared" si="4"/>
        <v/>
      </c>
    </row>
    <row r="419" ht="15.75" customHeight="1">
      <c r="A419" s="25">
        <f>IFERROR(__xludf.DUMMYFUNCTION("""COMPUTED_VALUE"""),43867.66666666667)</f>
        <v>43867.66667</v>
      </c>
      <c r="B419" s="22">
        <f>IFERROR(__xludf.DUMMYFUNCTION("""COMPUTED_VALUE"""),3345.78)</f>
        <v>3345.78</v>
      </c>
      <c r="C419" s="25">
        <f>IFERROR(__xludf.DUMMYFUNCTION("""COMPUTED_VALUE"""),43867.63611111111)</f>
        <v>43867.63611</v>
      </c>
      <c r="D419" s="22">
        <f>IFERROR(__xludf.DUMMYFUNCTION("""COMPUTED_VALUE"""),14.96)</f>
        <v>14.96</v>
      </c>
      <c r="E419" s="26">
        <f t="shared" si="2"/>
        <v>0.003325646462</v>
      </c>
      <c r="F419" s="25">
        <f>IFERROR(__xludf.DUMMYFUNCTION("""COMPUTED_VALUE"""),43867.63611111111)</f>
        <v>43867.63611</v>
      </c>
      <c r="G419" s="22">
        <f>IFERROR(__xludf.DUMMYFUNCTION("""COMPUTED_VALUE"""),15.89)</f>
        <v>15.89</v>
      </c>
      <c r="H419" s="25">
        <f>IFERROR(__xludf.DUMMYFUNCTION("""COMPUTED_VALUE"""),43867.63611111111)</f>
        <v>43867.63611</v>
      </c>
      <c r="I419" s="22">
        <f>IFERROR(__xludf.DUMMYFUNCTION("""COMPUTED_VALUE"""),16.57)</f>
        <v>16.57</v>
      </c>
      <c r="J419" s="25">
        <f>IFERROR(__xludf.DUMMYFUNCTION("""COMPUTED_VALUE"""),43867.63611111111)</f>
        <v>43867.63611</v>
      </c>
      <c r="K419" s="22">
        <f>IFERROR(__xludf.DUMMYFUNCTION("""COMPUTED_VALUE"""),17.46)</f>
        <v>17.46</v>
      </c>
      <c r="M419" s="22" t="str">
        <f t="shared" si="3"/>
        <v/>
      </c>
      <c r="N419" s="22" t="str">
        <f t="shared" si="4"/>
        <v/>
      </c>
    </row>
    <row r="420" ht="15.75" customHeight="1">
      <c r="A420" s="25">
        <f>IFERROR(__xludf.DUMMYFUNCTION("""COMPUTED_VALUE"""),43868.66666666667)</f>
        <v>43868.66667</v>
      </c>
      <c r="B420" s="22">
        <f>IFERROR(__xludf.DUMMYFUNCTION("""COMPUTED_VALUE"""),3327.71)</f>
        <v>3327.71</v>
      </c>
      <c r="C420" s="25">
        <f>IFERROR(__xludf.DUMMYFUNCTION("""COMPUTED_VALUE"""),43868.63611111111)</f>
        <v>43868.63611</v>
      </c>
      <c r="D420" s="22">
        <f>IFERROR(__xludf.DUMMYFUNCTION("""COMPUTED_VALUE"""),15.47)</f>
        <v>15.47</v>
      </c>
      <c r="E420" s="26">
        <f t="shared" si="2"/>
        <v>-0.005400833289</v>
      </c>
      <c r="F420" s="25">
        <f>IFERROR(__xludf.DUMMYFUNCTION("""COMPUTED_VALUE"""),43868.63611111111)</f>
        <v>43868.63611</v>
      </c>
      <c r="G420" s="22">
        <f>IFERROR(__xludf.DUMMYFUNCTION("""COMPUTED_VALUE"""),16.29)</f>
        <v>16.29</v>
      </c>
      <c r="H420" s="25">
        <f>IFERROR(__xludf.DUMMYFUNCTION("""COMPUTED_VALUE"""),43868.63611111111)</f>
        <v>43868.63611</v>
      </c>
      <c r="I420" s="22">
        <f>IFERROR(__xludf.DUMMYFUNCTION("""COMPUTED_VALUE"""),16.94)</f>
        <v>16.94</v>
      </c>
      <c r="J420" s="25">
        <f>IFERROR(__xludf.DUMMYFUNCTION("""COMPUTED_VALUE"""),43868.63611111111)</f>
        <v>43868.63611</v>
      </c>
      <c r="K420" s="22">
        <f>IFERROR(__xludf.DUMMYFUNCTION("""COMPUTED_VALUE"""),17.73)</f>
        <v>17.73</v>
      </c>
      <c r="M420" s="22" t="str">
        <f t="shared" si="3"/>
        <v/>
      </c>
      <c r="N420" s="22" t="str">
        <f t="shared" si="4"/>
        <v/>
      </c>
    </row>
    <row r="421" ht="15.75" customHeight="1">
      <c r="A421" s="25">
        <f>IFERROR(__xludf.DUMMYFUNCTION("""COMPUTED_VALUE"""),43871.66666666667)</f>
        <v>43871.66667</v>
      </c>
      <c r="B421" s="22">
        <f>IFERROR(__xludf.DUMMYFUNCTION("""COMPUTED_VALUE"""),3352.09)</f>
        <v>3352.09</v>
      </c>
      <c r="C421" s="25">
        <f>IFERROR(__xludf.DUMMYFUNCTION("""COMPUTED_VALUE"""),43871.63611111111)</f>
        <v>43871.63611</v>
      </c>
      <c r="D421" s="22">
        <f>IFERROR(__xludf.DUMMYFUNCTION("""COMPUTED_VALUE"""),15.04)</f>
        <v>15.04</v>
      </c>
      <c r="E421" s="26">
        <f t="shared" si="2"/>
        <v>0.007326359569</v>
      </c>
      <c r="F421" s="25">
        <f>IFERROR(__xludf.DUMMYFUNCTION("""COMPUTED_VALUE"""),43871.63611111111)</f>
        <v>43871.63611</v>
      </c>
      <c r="G421" s="22">
        <f>IFERROR(__xludf.DUMMYFUNCTION("""COMPUTED_VALUE"""),16.13)</f>
        <v>16.13</v>
      </c>
      <c r="H421" s="25">
        <f>IFERROR(__xludf.DUMMYFUNCTION("""COMPUTED_VALUE"""),43871.63611111111)</f>
        <v>43871.63611</v>
      </c>
      <c r="I421" s="22">
        <f>IFERROR(__xludf.DUMMYFUNCTION("""COMPUTED_VALUE"""),16.78)</f>
        <v>16.78</v>
      </c>
      <c r="J421" s="25">
        <f>IFERROR(__xludf.DUMMYFUNCTION("""COMPUTED_VALUE"""),43871.63611111111)</f>
        <v>43871.63611</v>
      </c>
      <c r="K421" s="22">
        <f>IFERROR(__xludf.DUMMYFUNCTION("""COMPUTED_VALUE"""),17.57)</f>
        <v>17.57</v>
      </c>
      <c r="M421" s="22" t="str">
        <f t="shared" si="3"/>
        <v/>
      </c>
      <c r="N421" s="22" t="str">
        <f t="shared" si="4"/>
        <v/>
      </c>
    </row>
    <row r="422" ht="15.75" customHeight="1">
      <c r="A422" s="25">
        <f>IFERROR(__xludf.DUMMYFUNCTION("""COMPUTED_VALUE"""),43872.66666666667)</f>
        <v>43872.66667</v>
      </c>
      <c r="B422" s="22">
        <f>IFERROR(__xludf.DUMMYFUNCTION("""COMPUTED_VALUE"""),3357.75)</f>
        <v>3357.75</v>
      </c>
      <c r="C422" s="25">
        <f>IFERROR(__xludf.DUMMYFUNCTION("""COMPUTED_VALUE"""),43872.63611111111)</f>
        <v>43872.63611</v>
      </c>
      <c r="D422" s="22">
        <f>IFERROR(__xludf.DUMMYFUNCTION("""COMPUTED_VALUE"""),15.18)</f>
        <v>15.18</v>
      </c>
      <c r="E422" s="26">
        <f t="shared" si="2"/>
        <v>0.001688498817</v>
      </c>
      <c r="F422" s="25">
        <f>IFERROR(__xludf.DUMMYFUNCTION("""COMPUTED_VALUE"""),43872.63611111111)</f>
        <v>43872.63611</v>
      </c>
      <c r="G422" s="22">
        <f>IFERROR(__xludf.DUMMYFUNCTION("""COMPUTED_VALUE"""),16.14)</f>
        <v>16.14</v>
      </c>
      <c r="H422" s="25">
        <f>IFERROR(__xludf.DUMMYFUNCTION("""COMPUTED_VALUE"""),43872.63611111111)</f>
        <v>43872.63611</v>
      </c>
      <c r="I422" s="22">
        <f>IFERROR(__xludf.DUMMYFUNCTION("""COMPUTED_VALUE"""),16.83)</f>
        <v>16.83</v>
      </c>
      <c r="J422" s="25">
        <f>IFERROR(__xludf.DUMMYFUNCTION("""COMPUTED_VALUE"""),43872.63611111111)</f>
        <v>43872.63611</v>
      </c>
      <c r="K422" s="22">
        <f>IFERROR(__xludf.DUMMYFUNCTION("""COMPUTED_VALUE"""),17.61)</f>
        <v>17.61</v>
      </c>
      <c r="M422" s="22" t="str">
        <f t="shared" si="3"/>
        <v/>
      </c>
      <c r="N422" s="22" t="str">
        <f t="shared" si="4"/>
        <v/>
      </c>
    </row>
    <row r="423" ht="15.75" customHeight="1">
      <c r="A423" s="25">
        <f>IFERROR(__xludf.DUMMYFUNCTION("""COMPUTED_VALUE"""),43873.66666666667)</f>
        <v>43873.66667</v>
      </c>
      <c r="B423" s="22">
        <f>IFERROR(__xludf.DUMMYFUNCTION("""COMPUTED_VALUE"""),3379.45)</f>
        <v>3379.45</v>
      </c>
      <c r="C423" s="25">
        <f>IFERROR(__xludf.DUMMYFUNCTION("""COMPUTED_VALUE"""),43873.63611111111)</f>
        <v>43873.63611</v>
      </c>
      <c r="D423" s="22">
        <f>IFERROR(__xludf.DUMMYFUNCTION("""COMPUTED_VALUE"""),13.74)</f>
        <v>13.74</v>
      </c>
      <c r="E423" s="26">
        <f t="shared" si="2"/>
        <v>0.006462661008</v>
      </c>
      <c r="F423" s="25">
        <f>IFERROR(__xludf.DUMMYFUNCTION("""COMPUTED_VALUE"""),43873.63611111111)</f>
        <v>43873.63611</v>
      </c>
      <c r="G423" s="22">
        <f>IFERROR(__xludf.DUMMYFUNCTION("""COMPUTED_VALUE"""),15.36)</f>
        <v>15.36</v>
      </c>
      <c r="H423" s="25">
        <f>IFERROR(__xludf.DUMMYFUNCTION("""COMPUTED_VALUE"""),43873.63611111111)</f>
        <v>43873.63611</v>
      </c>
      <c r="I423" s="22">
        <f>IFERROR(__xludf.DUMMYFUNCTION("""COMPUTED_VALUE"""),16.34)</f>
        <v>16.34</v>
      </c>
      <c r="J423" s="25">
        <f>IFERROR(__xludf.DUMMYFUNCTION("""COMPUTED_VALUE"""),43873.63611111111)</f>
        <v>43873.63611</v>
      </c>
      <c r="K423" s="22">
        <f>IFERROR(__xludf.DUMMYFUNCTION("""COMPUTED_VALUE"""),17.32)</f>
        <v>17.32</v>
      </c>
      <c r="M423" s="22" t="str">
        <f t="shared" si="3"/>
        <v/>
      </c>
      <c r="N423" s="22" t="str">
        <f t="shared" si="4"/>
        <v/>
      </c>
    </row>
    <row r="424" ht="15.75" customHeight="1">
      <c r="A424" s="25">
        <f>IFERROR(__xludf.DUMMYFUNCTION("""COMPUTED_VALUE"""),43874.66666666667)</f>
        <v>43874.66667</v>
      </c>
      <c r="B424" s="22">
        <f>IFERROR(__xludf.DUMMYFUNCTION("""COMPUTED_VALUE"""),3373.94)</f>
        <v>3373.94</v>
      </c>
      <c r="C424" s="25">
        <f>IFERROR(__xludf.DUMMYFUNCTION("""COMPUTED_VALUE"""),43874.63611111111)</f>
        <v>43874.63611</v>
      </c>
      <c r="D424" s="22">
        <f>IFERROR(__xludf.DUMMYFUNCTION("""COMPUTED_VALUE"""),14.15)</f>
        <v>14.15</v>
      </c>
      <c r="E424" s="26">
        <f t="shared" si="2"/>
        <v>-0.001630442824</v>
      </c>
      <c r="F424" s="25">
        <f>IFERROR(__xludf.DUMMYFUNCTION("""COMPUTED_VALUE"""),43874.63611111111)</f>
        <v>43874.63611</v>
      </c>
      <c r="G424" s="22">
        <f>IFERROR(__xludf.DUMMYFUNCTION("""COMPUTED_VALUE"""),15.68)</f>
        <v>15.68</v>
      </c>
      <c r="H424" s="25">
        <f>IFERROR(__xludf.DUMMYFUNCTION("""COMPUTED_VALUE"""),43874.63611111111)</f>
        <v>43874.63611</v>
      </c>
      <c r="I424" s="22">
        <f>IFERROR(__xludf.DUMMYFUNCTION("""COMPUTED_VALUE"""),16.55)</f>
        <v>16.55</v>
      </c>
      <c r="J424" s="25">
        <f>IFERROR(__xludf.DUMMYFUNCTION("""COMPUTED_VALUE"""),43874.63611111111)</f>
        <v>43874.63611</v>
      </c>
      <c r="K424" s="22">
        <f>IFERROR(__xludf.DUMMYFUNCTION("""COMPUTED_VALUE"""),17.46)</f>
        <v>17.46</v>
      </c>
      <c r="M424" s="22" t="str">
        <f t="shared" si="3"/>
        <v/>
      </c>
      <c r="N424" s="22" t="str">
        <f t="shared" si="4"/>
        <v/>
      </c>
    </row>
    <row r="425" ht="15.75" customHeight="1">
      <c r="A425" s="25">
        <f>IFERROR(__xludf.DUMMYFUNCTION("""COMPUTED_VALUE"""),43875.66666666667)</f>
        <v>43875.66667</v>
      </c>
      <c r="B425" s="22">
        <f>IFERROR(__xludf.DUMMYFUNCTION("""COMPUTED_VALUE"""),3380.16)</f>
        <v>3380.16</v>
      </c>
      <c r="C425" s="25">
        <f>IFERROR(__xludf.DUMMYFUNCTION("""COMPUTED_VALUE"""),43875.63611111111)</f>
        <v>43875.63611</v>
      </c>
      <c r="D425" s="22">
        <f>IFERROR(__xludf.DUMMYFUNCTION("""COMPUTED_VALUE"""),13.68)</f>
        <v>13.68</v>
      </c>
      <c r="E425" s="26">
        <f t="shared" si="2"/>
        <v>0.001843541972</v>
      </c>
      <c r="F425" s="25">
        <f>IFERROR(__xludf.DUMMYFUNCTION("""COMPUTED_VALUE"""),43875.63611111111)</f>
        <v>43875.63611</v>
      </c>
      <c r="G425" s="22">
        <f>IFERROR(__xludf.DUMMYFUNCTION("""COMPUTED_VALUE"""),15.5)</f>
        <v>15.5</v>
      </c>
      <c r="H425" s="25">
        <f>IFERROR(__xludf.DUMMYFUNCTION("""COMPUTED_VALUE"""),43875.63611111111)</f>
        <v>43875.63611</v>
      </c>
      <c r="I425" s="22">
        <f>IFERROR(__xludf.DUMMYFUNCTION("""COMPUTED_VALUE"""),16.46)</f>
        <v>16.46</v>
      </c>
      <c r="J425" s="25">
        <f>IFERROR(__xludf.DUMMYFUNCTION("""COMPUTED_VALUE"""),43875.63611111111)</f>
        <v>43875.63611</v>
      </c>
      <c r="K425" s="22">
        <f>IFERROR(__xludf.DUMMYFUNCTION("""COMPUTED_VALUE"""),17.37)</f>
        <v>17.37</v>
      </c>
      <c r="M425" s="22" t="str">
        <f t="shared" si="3"/>
        <v/>
      </c>
      <c r="N425" s="22" t="str">
        <f t="shared" si="4"/>
        <v/>
      </c>
    </row>
    <row r="426" ht="15.75" customHeight="1">
      <c r="A426" s="25">
        <f>IFERROR(__xludf.DUMMYFUNCTION("""COMPUTED_VALUE"""),43879.66666666667)</f>
        <v>43879.66667</v>
      </c>
      <c r="B426" s="22">
        <f>IFERROR(__xludf.DUMMYFUNCTION("""COMPUTED_VALUE"""),3370.29)</f>
        <v>3370.29</v>
      </c>
      <c r="C426" s="25">
        <f>IFERROR(__xludf.DUMMYFUNCTION("""COMPUTED_VALUE"""),43879.63611111111)</f>
        <v>43879.63611</v>
      </c>
      <c r="D426" s="22">
        <f>IFERROR(__xludf.DUMMYFUNCTION("""COMPUTED_VALUE"""),14.83)</f>
        <v>14.83</v>
      </c>
      <c r="E426" s="26">
        <f t="shared" si="2"/>
        <v>-0.002919980119</v>
      </c>
      <c r="F426" s="25">
        <f>IFERROR(__xludf.DUMMYFUNCTION("""COMPUTED_VALUE"""),43879.63611111111)</f>
        <v>43879.63611</v>
      </c>
      <c r="G426" s="22">
        <f>IFERROR(__xludf.DUMMYFUNCTION("""COMPUTED_VALUE"""),16.1)</f>
        <v>16.1</v>
      </c>
      <c r="H426" s="25">
        <f>IFERROR(__xludf.DUMMYFUNCTION("""COMPUTED_VALUE"""),43879.63611111111)</f>
        <v>43879.63611</v>
      </c>
      <c r="I426" s="22">
        <f>IFERROR(__xludf.DUMMYFUNCTION("""COMPUTED_VALUE"""),16.86)</f>
        <v>16.86</v>
      </c>
      <c r="J426" s="25">
        <f>IFERROR(__xludf.DUMMYFUNCTION("""COMPUTED_VALUE"""),43879.63611111111)</f>
        <v>43879.63611</v>
      </c>
      <c r="K426" s="22">
        <f>IFERROR(__xludf.DUMMYFUNCTION("""COMPUTED_VALUE"""),17.59)</f>
        <v>17.59</v>
      </c>
      <c r="M426" s="22" t="str">
        <f t="shared" si="3"/>
        <v/>
      </c>
      <c r="N426" s="22" t="str">
        <f t="shared" si="4"/>
        <v/>
      </c>
    </row>
    <row r="427" ht="15.75" customHeight="1">
      <c r="A427" s="25">
        <f>IFERROR(__xludf.DUMMYFUNCTION("""COMPUTED_VALUE"""),43880.66666666667)</f>
        <v>43880.66667</v>
      </c>
      <c r="B427" s="22">
        <f>IFERROR(__xludf.DUMMYFUNCTION("""COMPUTED_VALUE"""),3386.15)</f>
        <v>3386.15</v>
      </c>
      <c r="C427" s="25">
        <f>IFERROR(__xludf.DUMMYFUNCTION("""COMPUTED_VALUE"""),43880.63611111111)</f>
        <v>43880.63611</v>
      </c>
      <c r="D427" s="22">
        <f>IFERROR(__xludf.DUMMYFUNCTION("""COMPUTED_VALUE"""),14.38)</f>
        <v>14.38</v>
      </c>
      <c r="E427" s="26">
        <f t="shared" si="2"/>
        <v>0.004705826502</v>
      </c>
      <c r="F427" s="25">
        <f>IFERROR(__xludf.DUMMYFUNCTION("""COMPUTED_VALUE"""),43880.63611111111)</f>
        <v>43880.63611</v>
      </c>
      <c r="G427" s="22">
        <f>IFERROR(__xludf.DUMMYFUNCTION("""COMPUTED_VALUE"""),15.82)</f>
        <v>15.82</v>
      </c>
      <c r="H427" s="25">
        <f>IFERROR(__xludf.DUMMYFUNCTION("""COMPUTED_VALUE"""),43880.63611111111)</f>
        <v>43880.63611</v>
      </c>
      <c r="I427" s="22">
        <f>IFERROR(__xludf.DUMMYFUNCTION("""COMPUTED_VALUE"""),16.76)</f>
        <v>16.76</v>
      </c>
      <c r="J427" s="25">
        <f>IFERROR(__xludf.DUMMYFUNCTION("""COMPUTED_VALUE"""),43880.63611111111)</f>
        <v>43880.63611</v>
      </c>
      <c r="K427" s="22">
        <f>IFERROR(__xludf.DUMMYFUNCTION("""COMPUTED_VALUE"""),17.56)</f>
        <v>17.56</v>
      </c>
      <c r="M427" s="22" t="str">
        <f t="shared" si="3"/>
        <v/>
      </c>
      <c r="N427" s="22" t="str">
        <f t="shared" si="4"/>
        <v/>
      </c>
    </row>
    <row r="428" ht="15.75" customHeight="1">
      <c r="A428" s="25">
        <f>IFERROR(__xludf.DUMMYFUNCTION("""COMPUTED_VALUE"""),43881.66666666667)</f>
        <v>43881.66667</v>
      </c>
      <c r="B428" s="22">
        <f>IFERROR(__xludf.DUMMYFUNCTION("""COMPUTED_VALUE"""),3373.23)</f>
        <v>3373.23</v>
      </c>
      <c r="C428" s="25">
        <f>IFERROR(__xludf.DUMMYFUNCTION("""COMPUTED_VALUE"""),43881.63611111111)</f>
        <v>43881.63611</v>
      </c>
      <c r="D428" s="22">
        <f>IFERROR(__xludf.DUMMYFUNCTION("""COMPUTED_VALUE"""),15.56)</f>
        <v>15.56</v>
      </c>
      <c r="E428" s="26">
        <f t="shared" si="2"/>
        <v>-0.003815542726</v>
      </c>
      <c r="F428" s="25">
        <f>IFERROR(__xludf.DUMMYFUNCTION("""COMPUTED_VALUE"""),43881.63611111111)</f>
        <v>43881.63611</v>
      </c>
      <c r="G428" s="22">
        <f>IFERROR(__xludf.DUMMYFUNCTION("""COMPUTED_VALUE"""),16.6)</f>
        <v>16.6</v>
      </c>
      <c r="H428" s="25">
        <f>IFERROR(__xludf.DUMMYFUNCTION("""COMPUTED_VALUE"""),43881.63611111111)</f>
        <v>43881.63611</v>
      </c>
      <c r="I428" s="22">
        <f>IFERROR(__xludf.DUMMYFUNCTION("""COMPUTED_VALUE"""),17.24)</f>
        <v>17.24</v>
      </c>
      <c r="J428" s="25">
        <f>IFERROR(__xludf.DUMMYFUNCTION("""COMPUTED_VALUE"""),43881.63611111111)</f>
        <v>43881.63611</v>
      </c>
      <c r="K428" s="22">
        <f>IFERROR(__xludf.DUMMYFUNCTION("""COMPUTED_VALUE"""),17.86)</f>
        <v>17.86</v>
      </c>
      <c r="M428" s="22" t="str">
        <f t="shared" si="3"/>
        <v/>
      </c>
      <c r="N428" s="22" t="str">
        <f t="shared" si="4"/>
        <v/>
      </c>
    </row>
    <row r="429" ht="15.75" customHeight="1">
      <c r="A429" s="25">
        <f>IFERROR(__xludf.DUMMYFUNCTION("""COMPUTED_VALUE"""),43882.66666666667)</f>
        <v>43882.66667</v>
      </c>
      <c r="B429" s="22">
        <f>IFERROR(__xludf.DUMMYFUNCTION("""COMPUTED_VALUE"""),3337.75)</f>
        <v>3337.75</v>
      </c>
      <c r="C429" s="25">
        <f>IFERROR(__xludf.DUMMYFUNCTION("""COMPUTED_VALUE"""),43882.63611111111)</f>
        <v>43882.63611</v>
      </c>
      <c r="D429" s="22">
        <f>IFERROR(__xludf.DUMMYFUNCTION("""COMPUTED_VALUE"""),17.08)</f>
        <v>17.08</v>
      </c>
      <c r="E429" s="26">
        <f t="shared" si="2"/>
        <v>-0.01051810876</v>
      </c>
      <c r="F429" s="25">
        <f>IFERROR(__xludf.DUMMYFUNCTION("""COMPUTED_VALUE"""),43882.63611111111)</f>
        <v>43882.63611</v>
      </c>
      <c r="G429" s="22">
        <f>IFERROR(__xludf.DUMMYFUNCTION("""COMPUTED_VALUE"""),17.61)</f>
        <v>17.61</v>
      </c>
      <c r="H429" s="25">
        <f>IFERROR(__xludf.DUMMYFUNCTION("""COMPUTED_VALUE"""),43882.63611111111)</f>
        <v>43882.63611</v>
      </c>
      <c r="I429" s="22">
        <f>IFERROR(__xludf.DUMMYFUNCTION("""COMPUTED_VALUE"""),17.92)</f>
        <v>17.92</v>
      </c>
      <c r="J429" s="25">
        <f>IFERROR(__xludf.DUMMYFUNCTION("""COMPUTED_VALUE"""),43882.63611111111)</f>
        <v>43882.63611</v>
      </c>
      <c r="K429" s="22">
        <f>IFERROR(__xludf.DUMMYFUNCTION("""COMPUTED_VALUE"""),18.33)</f>
        <v>18.33</v>
      </c>
      <c r="M429" s="22" t="str">
        <f t="shared" si="3"/>
        <v/>
      </c>
      <c r="N429" s="22" t="str">
        <f t="shared" si="4"/>
        <v/>
      </c>
    </row>
    <row r="430" ht="15.75" customHeight="1">
      <c r="A430" s="25">
        <f>IFERROR(__xludf.DUMMYFUNCTION("""COMPUTED_VALUE"""),43885.66666666667)</f>
        <v>43885.66667</v>
      </c>
      <c r="B430" s="22">
        <f>IFERROR(__xludf.DUMMYFUNCTION("""COMPUTED_VALUE"""),3225.89)</f>
        <v>3225.89</v>
      </c>
      <c r="C430" s="25">
        <f>IFERROR(__xludf.DUMMYFUNCTION("""COMPUTED_VALUE"""),43885.63611111111)</f>
        <v>43885.63611</v>
      </c>
      <c r="D430" s="22">
        <f>IFERROR(__xludf.DUMMYFUNCTION("""COMPUTED_VALUE"""),25.03)</f>
        <v>25.03</v>
      </c>
      <c r="E430" s="26">
        <f t="shared" si="2"/>
        <v>-0.03351359449</v>
      </c>
      <c r="F430" s="25">
        <f>IFERROR(__xludf.DUMMYFUNCTION("""COMPUTED_VALUE"""),43885.63611111111)</f>
        <v>43885.63611</v>
      </c>
      <c r="G430" s="22">
        <f>IFERROR(__xludf.DUMMYFUNCTION("""COMPUTED_VALUE"""),21.92)</f>
        <v>21.92</v>
      </c>
      <c r="H430" s="25">
        <f>IFERROR(__xludf.DUMMYFUNCTION("""COMPUTED_VALUE"""),43885.63611111111)</f>
        <v>43885.63611</v>
      </c>
      <c r="I430" s="22">
        <f>IFERROR(__xludf.DUMMYFUNCTION("""COMPUTED_VALUE"""),20.48)</f>
        <v>20.48</v>
      </c>
      <c r="J430" s="25">
        <f>IFERROR(__xludf.DUMMYFUNCTION("""COMPUTED_VALUE"""),43885.63611111111)</f>
        <v>43885.63611</v>
      </c>
      <c r="K430" s="22">
        <f>IFERROR(__xludf.DUMMYFUNCTION("""COMPUTED_VALUE"""),19.9)</f>
        <v>19.9</v>
      </c>
      <c r="M430" s="22" t="str">
        <f t="shared" si="3"/>
        <v/>
      </c>
      <c r="N430" s="22" t="str">
        <f t="shared" si="4"/>
        <v>PREDICT CRASH</v>
      </c>
    </row>
    <row r="431" ht="15.75" customHeight="1">
      <c r="A431" s="25">
        <f>IFERROR(__xludf.DUMMYFUNCTION("""COMPUTED_VALUE"""),43886.66666666667)</f>
        <v>43886.66667</v>
      </c>
      <c r="B431" s="22">
        <f>IFERROR(__xludf.DUMMYFUNCTION("""COMPUTED_VALUE"""),3128.21)</f>
        <v>3128.21</v>
      </c>
      <c r="C431" s="25">
        <f>IFERROR(__xludf.DUMMYFUNCTION("""COMPUTED_VALUE"""),43886.63611111111)</f>
        <v>43886.63611</v>
      </c>
      <c r="D431" s="22">
        <f>IFERROR(__xludf.DUMMYFUNCTION("""COMPUTED_VALUE"""),27.85)</f>
        <v>27.85</v>
      </c>
      <c r="E431" s="26">
        <f t="shared" si="2"/>
        <v>-0.03028001575</v>
      </c>
      <c r="F431" s="25">
        <f>IFERROR(__xludf.DUMMYFUNCTION("""COMPUTED_VALUE"""),43886.63611111111)</f>
        <v>43886.63611</v>
      </c>
      <c r="G431" s="22">
        <f>IFERROR(__xludf.DUMMYFUNCTION("""COMPUTED_VALUE"""),23.86)</f>
        <v>23.86</v>
      </c>
      <c r="H431" s="25">
        <f>IFERROR(__xludf.DUMMYFUNCTION("""COMPUTED_VALUE"""),43886.63611111111)</f>
        <v>43886.63611</v>
      </c>
      <c r="I431" s="22">
        <f>IFERROR(__xludf.DUMMYFUNCTION("""COMPUTED_VALUE"""),21.88)</f>
        <v>21.88</v>
      </c>
      <c r="J431" s="25">
        <f>IFERROR(__xludf.DUMMYFUNCTION("""COMPUTED_VALUE"""),43886.63611111111)</f>
        <v>43886.63611</v>
      </c>
      <c r="K431" s="22">
        <f>IFERROR(__xludf.DUMMYFUNCTION("""COMPUTED_VALUE"""),20.86)</f>
        <v>20.86</v>
      </c>
      <c r="M431" s="22" t="str">
        <f t="shared" si="3"/>
        <v/>
      </c>
      <c r="N431" s="22" t="str">
        <f t="shared" si="4"/>
        <v>PREDICT CRASH</v>
      </c>
    </row>
    <row r="432" ht="15.75" customHeight="1">
      <c r="A432" s="25">
        <f>IFERROR(__xludf.DUMMYFUNCTION("""COMPUTED_VALUE"""),43887.66666666667)</f>
        <v>43887.66667</v>
      </c>
      <c r="B432" s="22">
        <f>IFERROR(__xludf.DUMMYFUNCTION("""COMPUTED_VALUE"""),3116.39)</f>
        <v>3116.39</v>
      </c>
      <c r="C432" s="25">
        <f>IFERROR(__xludf.DUMMYFUNCTION("""COMPUTED_VALUE"""),43887.63611111111)</f>
        <v>43887.63611</v>
      </c>
      <c r="D432" s="22">
        <f>IFERROR(__xludf.DUMMYFUNCTION("""COMPUTED_VALUE"""),27.56)</f>
        <v>27.56</v>
      </c>
      <c r="E432" s="26">
        <f t="shared" si="2"/>
        <v>-0.003778518706</v>
      </c>
      <c r="F432" s="25">
        <f>IFERROR(__xludf.DUMMYFUNCTION("""COMPUTED_VALUE"""),43887.63611111111)</f>
        <v>43887.63611</v>
      </c>
      <c r="G432" s="22">
        <f>IFERROR(__xludf.DUMMYFUNCTION("""COMPUTED_VALUE"""),23.7)</f>
        <v>23.7</v>
      </c>
      <c r="H432" s="25">
        <f>IFERROR(__xludf.DUMMYFUNCTION("""COMPUTED_VALUE"""),43887.63611111111)</f>
        <v>43887.63611</v>
      </c>
      <c r="I432" s="22">
        <f>IFERROR(__xludf.DUMMYFUNCTION("""COMPUTED_VALUE"""),21.85)</f>
        <v>21.85</v>
      </c>
      <c r="J432" s="25">
        <f>IFERROR(__xludf.DUMMYFUNCTION("""COMPUTED_VALUE"""),43887.63611111111)</f>
        <v>43887.63611</v>
      </c>
      <c r="K432" s="22">
        <f>IFERROR(__xludf.DUMMYFUNCTION("""COMPUTED_VALUE"""),20.79)</f>
        <v>20.79</v>
      </c>
      <c r="M432" s="22" t="str">
        <f t="shared" si="3"/>
        <v/>
      </c>
      <c r="N432" s="22" t="str">
        <f t="shared" si="4"/>
        <v>PREDICT CRASH</v>
      </c>
    </row>
    <row r="433" ht="15.75" customHeight="1">
      <c r="A433" s="25">
        <f>IFERROR(__xludf.DUMMYFUNCTION("""COMPUTED_VALUE"""),43888.66666666667)</f>
        <v>43888.66667</v>
      </c>
      <c r="B433" s="22">
        <f>IFERROR(__xludf.DUMMYFUNCTION("""COMPUTED_VALUE"""),2978.76)</f>
        <v>2978.76</v>
      </c>
      <c r="C433" s="25">
        <f>IFERROR(__xludf.DUMMYFUNCTION("""COMPUTED_VALUE"""),43888.63611111111)</f>
        <v>43888.63611</v>
      </c>
      <c r="D433" s="22">
        <f>IFERROR(__xludf.DUMMYFUNCTION("""COMPUTED_VALUE"""),39.16)</f>
        <v>39.16</v>
      </c>
      <c r="E433" s="26">
        <f t="shared" si="2"/>
        <v>-0.04416327867</v>
      </c>
      <c r="F433" s="25">
        <f>IFERROR(__xludf.DUMMYFUNCTION("""COMPUTED_VALUE"""),43888.63611111111)</f>
        <v>43888.63611</v>
      </c>
      <c r="G433" s="22">
        <f>IFERROR(__xludf.DUMMYFUNCTION("""COMPUTED_VALUE"""),29.92)</f>
        <v>29.92</v>
      </c>
      <c r="H433" s="25">
        <f>IFERROR(__xludf.DUMMYFUNCTION("""COMPUTED_VALUE"""),43888.63611111111)</f>
        <v>43888.63611</v>
      </c>
      <c r="I433" s="22">
        <f>IFERROR(__xludf.DUMMYFUNCTION("""COMPUTED_VALUE"""),25.61)</f>
        <v>25.61</v>
      </c>
      <c r="J433" s="25">
        <f>IFERROR(__xludf.DUMMYFUNCTION("""COMPUTED_VALUE"""),43888.63611111111)</f>
        <v>43888.63611</v>
      </c>
      <c r="K433" s="22">
        <f>IFERROR(__xludf.DUMMYFUNCTION("""COMPUTED_VALUE"""),23.11)</f>
        <v>23.11</v>
      </c>
      <c r="M433" s="22" t="str">
        <f t="shared" si="3"/>
        <v/>
      </c>
      <c r="N433" s="22" t="str">
        <f t="shared" si="4"/>
        <v>PREDICT CRASH</v>
      </c>
    </row>
    <row r="434" ht="15.75" customHeight="1">
      <c r="A434" s="25">
        <f>IFERROR(__xludf.DUMMYFUNCTION("""COMPUTED_VALUE"""),43889.66666666667)</f>
        <v>43889.66667</v>
      </c>
      <c r="B434" s="22">
        <f>IFERROR(__xludf.DUMMYFUNCTION("""COMPUTED_VALUE"""),2954.22)</f>
        <v>2954.22</v>
      </c>
      <c r="C434" s="25">
        <f>IFERROR(__xludf.DUMMYFUNCTION("""COMPUTED_VALUE"""),43889.63611111111)</f>
        <v>43889.63611</v>
      </c>
      <c r="D434" s="22">
        <f>IFERROR(__xludf.DUMMYFUNCTION("""COMPUTED_VALUE"""),40.11)</f>
        <v>40.11</v>
      </c>
      <c r="E434" s="26">
        <f t="shared" si="2"/>
        <v>-0.008238327358</v>
      </c>
      <c r="F434" s="25">
        <f>IFERROR(__xludf.DUMMYFUNCTION("""COMPUTED_VALUE"""),43889.63611111111)</f>
        <v>43889.63611</v>
      </c>
      <c r="G434" s="22">
        <f>IFERROR(__xludf.DUMMYFUNCTION("""COMPUTED_VALUE"""),29.85)</f>
        <v>29.85</v>
      </c>
      <c r="H434" s="25">
        <f>IFERROR(__xludf.DUMMYFUNCTION("""COMPUTED_VALUE"""),43889.63611111111)</f>
        <v>43889.63611</v>
      </c>
      <c r="I434" s="22">
        <f>IFERROR(__xludf.DUMMYFUNCTION("""COMPUTED_VALUE"""),25.91)</f>
        <v>25.91</v>
      </c>
      <c r="J434" s="25">
        <f>IFERROR(__xludf.DUMMYFUNCTION("""COMPUTED_VALUE"""),43889.63611111111)</f>
        <v>43889.63611</v>
      </c>
      <c r="K434" s="22">
        <f>IFERROR(__xludf.DUMMYFUNCTION("""COMPUTED_VALUE"""),23.14)</f>
        <v>23.14</v>
      </c>
      <c r="M434" s="22" t="str">
        <f t="shared" si="3"/>
        <v/>
      </c>
      <c r="N434" s="22" t="str">
        <f t="shared" si="4"/>
        <v>PREDICT CRASH</v>
      </c>
    </row>
    <row r="435" ht="15.75" customHeight="1">
      <c r="A435" s="25">
        <f>IFERROR(__xludf.DUMMYFUNCTION("""COMPUTED_VALUE"""),43892.66666666667)</f>
        <v>43892.66667</v>
      </c>
      <c r="B435" s="22">
        <f>IFERROR(__xludf.DUMMYFUNCTION("""COMPUTED_VALUE"""),3090.23)</f>
        <v>3090.23</v>
      </c>
      <c r="C435" s="25">
        <f>IFERROR(__xludf.DUMMYFUNCTION("""COMPUTED_VALUE"""),43892.63611111111)</f>
        <v>43892.63611</v>
      </c>
      <c r="D435" s="22">
        <f>IFERROR(__xludf.DUMMYFUNCTION("""COMPUTED_VALUE"""),33.42)</f>
        <v>33.42</v>
      </c>
      <c r="E435" s="26">
        <f t="shared" si="2"/>
        <v>0.04603922524</v>
      </c>
      <c r="F435" s="25">
        <f>IFERROR(__xludf.DUMMYFUNCTION("""COMPUTED_VALUE"""),43892.63611111111)</f>
        <v>43892.63611</v>
      </c>
      <c r="G435" s="22">
        <f>IFERROR(__xludf.DUMMYFUNCTION("""COMPUTED_VALUE"""),27.7)</f>
        <v>27.7</v>
      </c>
      <c r="H435" s="25">
        <f>IFERROR(__xludf.DUMMYFUNCTION("""COMPUTED_VALUE"""),43892.63611111111)</f>
        <v>43892.63611</v>
      </c>
      <c r="I435" s="22">
        <f>IFERROR(__xludf.DUMMYFUNCTION("""COMPUTED_VALUE"""),24.73)</f>
        <v>24.73</v>
      </c>
      <c r="J435" s="25">
        <f>IFERROR(__xludf.DUMMYFUNCTION("""COMPUTED_VALUE"""),43892.63611111111)</f>
        <v>43892.63611</v>
      </c>
      <c r="K435" s="22">
        <f>IFERROR(__xludf.DUMMYFUNCTION("""COMPUTED_VALUE"""),22.31)</f>
        <v>22.31</v>
      </c>
      <c r="M435" s="22" t="str">
        <f t="shared" si="3"/>
        <v/>
      </c>
      <c r="N435" s="22" t="str">
        <f t="shared" si="4"/>
        <v>PREDICT CRASH</v>
      </c>
    </row>
    <row r="436" ht="15.75" customHeight="1">
      <c r="A436" s="25">
        <f>IFERROR(__xludf.DUMMYFUNCTION("""COMPUTED_VALUE"""),43893.66666666667)</f>
        <v>43893.66667</v>
      </c>
      <c r="B436" s="22">
        <f>IFERROR(__xludf.DUMMYFUNCTION("""COMPUTED_VALUE"""),3003.37)</f>
        <v>3003.37</v>
      </c>
      <c r="C436" s="25">
        <f>IFERROR(__xludf.DUMMYFUNCTION("""COMPUTED_VALUE"""),43893.63611111111)</f>
        <v>43893.63611</v>
      </c>
      <c r="D436" s="22">
        <f>IFERROR(__xludf.DUMMYFUNCTION("""COMPUTED_VALUE"""),36.82)</f>
        <v>36.82</v>
      </c>
      <c r="E436" s="26">
        <f t="shared" si="2"/>
        <v>-0.02810794019</v>
      </c>
      <c r="F436" s="25">
        <f>IFERROR(__xludf.DUMMYFUNCTION("""COMPUTED_VALUE"""),43893.63611111111)</f>
        <v>43893.63611</v>
      </c>
      <c r="G436" s="22">
        <f>IFERROR(__xludf.DUMMYFUNCTION("""COMPUTED_VALUE"""),30.17)</f>
        <v>30.17</v>
      </c>
      <c r="H436" s="25">
        <f>IFERROR(__xludf.DUMMYFUNCTION("""COMPUTED_VALUE"""),43893.63611111111)</f>
        <v>43893.63611</v>
      </c>
      <c r="I436" s="22">
        <f>IFERROR(__xludf.DUMMYFUNCTION("""COMPUTED_VALUE"""),26.34)</f>
        <v>26.34</v>
      </c>
      <c r="J436" s="25">
        <f>IFERROR(__xludf.DUMMYFUNCTION("""COMPUTED_VALUE"""),43893.63611111111)</f>
        <v>43893.63611</v>
      </c>
      <c r="K436" s="22">
        <f>IFERROR(__xludf.DUMMYFUNCTION("""COMPUTED_VALUE"""),23.5)</f>
        <v>23.5</v>
      </c>
      <c r="M436" s="22" t="str">
        <f t="shared" si="3"/>
        <v/>
      </c>
      <c r="N436" s="22" t="str">
        <f t="shared" si="4"/>
        <v>PREDICT CRASH</v>
      </c>
    </row>
    <row r="437" ht="15.75" customHeight="1">
      <c r="A437" s="25">
        <f>IFERROR(__xludf.DUMMYFUNCTION("""COMPUTED_VALUE"""),43894.66666666667)</f>
        <v>43894.66667</v>
      </c>
      <c r="B437" s="22">
        <f>IFERROR(__xludf.DUMMYFUNCTION("""COMPUTED_VALUE"""),3130.12)</f>
        <v>3130.12</v>
      </c>
      <c r="C437" s="25">
        <f>IFERROR(__xludf.DUMMYFUNCTION("""COMPUTED_VALUE"""),43894.63611111111)</f>
        <v>43894.63611</v>
      </c>
      <c r="D437" s="22">
        <f>IFERROR(__xludf.DUMMYFUNCTION("""COMPUTED_VALUE"""),31.99)</f>
        <v>31.99</v>
      </c>
      <c r="E437" s="26">
        <f t="shared" si="2"/>
        <v>0.04220259242</v>
      </c>
      <c r="F437" s="25">
        <f>IFERROR(__xludf.DUMMYFUNCTION("""COMPUTED_VALUE"""),43894.63611111111)</f>
        <v>43894.63611</v>
      </c>
      <c r="G437" s="22">
        <f>IFERROR(__xludf.DUMMYFUNCTION("""COMPUTED_VALUE"""),27.51)</f>
        <v>27.51</v>
      </c>
      <c r="H437" s="25">
        <f>IFERROR(__xludf.DUMMYFUNCTION("""COMPUTED_VALUE"""),43894.63611111111)</f>
        <v>43894.63611</v>
      </c>
      <c r="I437" s="22">
        <f>IFERROR(__xludf.DUMMYFUNCTION("""COMPUTED_VALUE"""),24.88)</f>
        <v>24.88</v>
      </c>
      <c r="J437" s="25">
        <f>IFERROR(__xludf.DUMMYFUNCTION("""COMPUTED_VALUE"""),43894.63611111111)</f>
        <v>43894.63611</v>
      </c>
      <c r="K437" s="22">
        <f>IFERROR(__xludf.DUMMYFUNCTION("""COMPUTED_VALUE"""),22.79)</f>
        <v>22.79</v>
      </c>
      <c r="M437" s="22" t="str">
        <f t="shared" si="3"/>
        <v/>
      </c>
      <c r="N437" s="22" t="str">
        <f t="shared" si="4"/>
        <v>PREDICT CRASH</v>
      </c>
    </row>
    <row r="438" ht="15.75" customHeight="1">
      <c r="A438" s="25">
        <f>IFERROR(__xludf.DUMMYFUNCTION("""COMPUTED_VALUE"""),43895.66666666667)</f>
        <v>43895.66667</v>
      </c>
      <c r="B438" s="22">
        <f>IFERROR(__xludf.DUMMYFUNCTION("""COMPUTED_VALUE"""),3023.94)</f>
        <v>3023.94</v>
      </c>
      <c r="C438" s="25">
        <f>IFERROR(__xludf.DUMMYFUNCTION("""COMPUTED_VALUE"""),43895.63611111111)</f>
        <v>43895.63611</v>
      </c>
      <c r="D438" s="22">
        <f>IFERROR(__xludf.DUMMYFUNCTION("""COMPUTED_VALUE"""),39.62)</f>
        <v>39.62</v>
      </c>
      <c r="E438" s="26">
        <f t="shared" si="2"/>
        <v>-0.03392202216</v>
      </c>
      <c r="F438" s="25">
        <f>IFERROR(__xludf.DUMMYFUNCTION("""COMPUTED_VALUE"""),43895.63611111111)</f>
        <v>43895.63611</v>
      </c>
      <c r="G438" s="22">
        <f>IFERROR(__xludf.DUMMYFUNCTION("""COMPUTED_VALUE"""),32.57)</f>
        <v>32.57</v>
      </c>
      <c r="H438" s="25">
        <f>IFERROR(__xludf.DUMMYFUNCTION("""COMPUTED_VALUE"""),43895.63611111111)</f>
        <v>43895.63611</v>
      </c>
      <c r="I438" s="22">
        <f>IFERROR(__xludf.DUMMYFUNCTION("""COMPUTED_VALUE"""),28.9)</f>
        <v>28.9</v>
      </c>
      <c r="J438" s="25">
        <f>IFERROR(__xludf.DUMMYFUNCTION("""COMPUTED_VALUE"""),43895.63611111111)</f>
        <v>43895.63611</v>
      </c>
      <c r="K438" s="22">
        <f>IFERROR(__xludf.DUMMYFUNCTION("""COMPUTED_VALUE"""),25.55)</f>
        <v>25.55</v>
      </c>
      <c r="M438" s="22" t="str">
        <f t="shared" si="3"/>
        <v/>
      </c>
      <c r="N438" s="22" t="str">
        <f t="shared" si="4"/>
        <v>PREDICT CRASH</v>
      </c>
    </row>
    <row r="439" ht="15.75" customHeight="1">
      <c r="A439" s="25">
        <f>IFERROR(__xludf.DUMMYFUNCTION("""COMPUTED_VALUE"""),43896.66666666667)</f>
        <v>43896.66667</v>
      </c>
      <c r="B439" s="22">
        <f>IFERROR(__xludf.DUMMYFUNCTION("""COMPUTED_VALUE"""),2972.37)</f>
        <v>2972.37</v>
      </c>
      <c r="C439" s="25">
        <f>IFERROR(__xludf.DUMMYFUNCTION("""COMPUTED_VALUE"""),43896.63611111111)</f>
        <v>43896.63611</v>
      </c>
      <c r="D439" s="22">
        <f>IFERROR(__xludf.DUMMYFUNCTION("""COMPUTED_VALUE"""),41.94)</f>
        <v>41.94</v>
      </c>
      <c r="E439" s="26">
        <f t="shared" si="2"/>
        <v>-0.0170539098</v>
      </c>
      <c r="F439" s="25">
        <f>IFERROR(__xludf.DUMMYFUNCTION("""COMPUTED_VALUE"""),43896.63611111111)</f>
        <v>43896.63611</v>
      </c>
      <c r="G439" s="22">
        <f>IFERROR(__xludf.DUMMYFUNCTION("""COMPUTED_VALUE"""),35.46)</f>
        <v>35.46</v>
      </c>
      <c r="H439" s="25">
        <f>IFERROR(__xludf.DUMMYFUNCTION("""COMPUTED_VALUE"""),43896.63611111111)</f>
        <v>43896.63611</v>
      </c>
      <c r="I439" s="22">
        <f>IFERROR(__xludf.DUMMYFUNCTION("""COMPUTED_VALUE"""),31.4)</f>
        <v>31.4</v>
      </c>
      <c r="J439" s="25">
        <f>IFERROR(__xludf.DUMMYFUNCTION("""COMPUTED_VALUE"""),43896.63611111111)</f>
        <v>43896.63611</v>
      </c>
      <c r="K439" s="22">
        <f>IFERROR(__xludf.DUMMYFUNCTION("""COMPUTED_VALUE"""),27.73)</f>
        <v>27.73</v>
      </c>
      <c r="M439" s="22" t="str">
        <f t="shared" si="3"/>
        <v/>
      </c>
      <c r="N439" s="22" t="str">
        <f t="shared" si="4"/>
        <v>PREDICT CRASH</v>
      </c>
    </row>
    <row r="440" ht="15.75" customHeight="1">
      <c r="A440" s="25">
        <f>IFERROR(__xludf.DUMMYFUNCTION("""COMPUTED_VALUE"""),43899.66666666667)</f>
        <v>43899.66667</v>
      </c>
      <c r="B440" s="22">
        <f>IFERROR(__xludf.DUMMYFUNCTION("""COMPUTED_VALUE"""),2746.56)</f>
        <v>2746.56</v>
      </c>
      <c r="C440" s="25">
        <f>IFERROR(__xludf.DUMMYFUNCTION("""COMPUTED_VALUE"""),43899.63611111111)</f>
        <v>43899.63611</v>
      </c>
      <c r="D440" s="22">
        <f>IFERROR(__xludf.DUMMYFUNCTION("""COMPUTED_VALUE"""),54.46)</f>
        <v>54.46</v>
      </c>
      <c r="E440" s="26">
        <f t="shared" si="2"/>
        <v>-0.07596968076</v>
      </c>
      <c r="F440" s="25">
        <f>IFERROR(__xludf.DUMMYFUNCTION("""COMPUTED_VALUE"""),43899.63611111111)</f>
        <v>43899.63611</v>
      </c>
      <c r="G440" s="22">
        <f>IFERROR(__xludf.DUMMYFUNCTION("""COMPUTED_VALUE"""),43.05)</f>
        <v>43.05</v>
      </c>
      <c r="H440" s="25">
        <f>IFERROR(__xludf.DUMMYFUNCTION("""COMPUTED_VALUE"""),43899.63611111111)</f>
        <v>43899.63611</v>
      </c>
      <c r="I440" s="22">
        <f>IFERROR(__xludf.DUMMYFUNCTION("""COMPUTED_VALUE"""),36.89)</f>
        <v>36.89</v>
      </c>
      <c r="J440" s="25">
        <f>IFERROR(__xludf.DUMMYFUNCTION("""COMPUTED_VALUE"""),43899.63611111111)</f>
        <v>43899.63611</v>
      </c>
      <c r="K440" s="22">
        <f>IFERROR(__xludf.DUMMYFUNCTION("""COMPUTED_VALUE"""),31.16)</f>
        <v>31.16</v>
      </c>
      <c r="M440" s="22" t="str">
        <f t="shared" si="3"/>
        <v>CRASH</v>
      </c>
      <c r="N440" s="22" t="str">
        <f t="shared" si="4"/>
        <v>PREDICT CRASH</v>
      </c>
    </row>
    <row r="441" ht="15.75" customHeight="1">
      <c r="A441" s="25">
        <f>IFERROR(__xludf.DUMMYFUNCTION("""COMPUTED_VALUE"""),43900.66666666667)</f>
        <v>43900.66667</v>
      </c>
      <c r="B441" s="22">
        <f>IFERROR(__xludf.DUMMYFUNCTION("""COMPUTED_VALUE"""),2882.23)</f>
        <v>2882.23</v>
      </c>
      <c r="C441" s="25">
        <f>IFERROR(__xludf.DUMMYFUNCTION("""COMPUTED_VALUE"""),43900.63611111111)</f>
        <v>43900.63611</v>
      </c>
      <c r="D441" s="22">
        <f>IFERROR(__xludf.DUMMYFUNCTION("""COMPUTED_VALUE"""),47.3)</f>
        <v>47.3</v>
      </c>
      <c r="E441" s="26">
        <f t="shared" si="2"/>
        <v>0.04939633578</v>
      </c>
      <c r="F441" s="25">
        <f>IFERROR(__xludf.DUMMYFUNCTION("""COMPUTED_VALUE"""),43900.63611111111)</f>
        <v>43900.63611</v>
      </c>
      <c r="G441" s="22">
        <f>IFERROR(__xludf.DUMMYFUNCTION("""COMPUTED_VALUE"""),39.44)</f>
        <v>39.44</v>
      </c>
      <c r="H441" s="25">
        <f>IFERROR(__xludf.DUMMYFUNCTION("""COMPUTED_VALUE"""),43900.63611111111)</f>
        <v>43900.63611</v>
      </c>
      <c r="I441" s="22">
        <f>IFERROR(__xludf.DUMMYFUNCTION("""COMPUTED_VALUE"""),34.34)</f>
        <v>34.34</v>
      </c>
      <c r="J441" s="25">
        <f>IFERROR(__xludf.DUMMYFUNCTION("""COMPUTED_VALUE"""),43900.63611111111)</f>
        <v>43900.63611</v>
      </c>
      <c r="K441" s="22">
        <f>IFERROR(__xludf.DUMMYFUNCTION("""COMPUTED_VALUE"""),29.9)</f>
        <v>29.9</v>
      </c>
      <c r="M441" s="22" t="str">
        <f t="shared" si="3"/>
        <v/>
      </c>
      <c r="N441" s="22" t="str">
        <f t="shared" si="4"/>
        <v>PREDICT CRASH</v>
      </c>
    </row>
    <row r="442" ht="15.75" customHeight="1">
      <c r="A442" s="25">
        <f>IFERROR(__xludf.DUMMYFUNCTION("""COMPUTED_VALUE"""),43901.66666666667)</f>
        <v>43901.66667</v>
      </c>
      <c r="B442" s="22">
        <f>IFERROR(__xludf.DUMMYFUNCTION("""COMPUTED_VALUE"""),2741.38)</f>
        <v>2741.38</v>
      </c>
      <c r="C442" s="25">
        <f>IFERROR(__xludf.DUMMYFUNCTION("""COMPUTED_VALUE"""),43901.63611111111)</f>
        <v>43901.63611</v>
      </c>
      <c r="D442" s="22">
        <f>IFERROR(__xludf.DUMMYFUNCTION("""COMPUTED_VALUE"""),53.9)</f>
        <v>53.9</v>
      </c>
      <c r="E442" s="26">
        <f t="shared" si="2"/>
        <v>-0.04886841092</v>
      </c>
      <c r="F442" s="25">
        <f>IFERROR(__xludf.DUMMYFUNCTION("""COMPUTED_VALUE"""),43901.63611111111)</f>
        <v>43901.63611</v>
      </c>
      <c r="G442" s="22">
        <f>IFERROR(__xludf.DUMMYFUNCTION("""COMPUTED_VALUE"""),44.37)</f>
        <v>44.37</v>
      </c>
      <c r="H442" s="25">
        <f>IFERROR(__xludf.DUMMYFUNCTION("""COMPUTED_VALUE"""),43901.63611111111)</f>
        <v>43901.63611</v>
      </c>
      <c r="I442" s="22">
        <f>IFERROR(__xludf.DUMMYFUNCTION("""COMPUTED_VALUE"""),38.54)</f>
        <v>38.54</v>
      </c>
      <c r="J442" s="25">
        <f>IFERROR(__xludf.DUMMYFUNCTION("""COMPUTED_VALUE"""),43901.63611111111)</f>
        <v>43901.63611</v>
      </c>
      <c r="K442" s="22">
        <f>IFERROR(__xludf.DUMMYFUNCTION("""COMPUTED_VALUE"""),32.29)</f>
        <v>32.29</v>
      </c>
      <c r="M442" s="22" t="str">
        <f t="shared" si="3"/>
        <v/>
      </c>
      <c r="N442" s="22" t="str">
        <f t="shared" si="4"/>
        <v>PREDICT CRASH</v>
      </c>
    </row>
    <row r="443" ht="15.75" customHeight="1">
      <c r="A443" s="25">
        <f>IFERROR(__xludf.DUMMYFUNCTION("""COMPUTED_VALUE"""),43902.66666666667)</f>
        <v>43902.66667</v>
      </c>
      <c r="B443" s="22">
        <f>IFERROR(__xludf.DUMMYFUNCTION("""COMPUTED_VALUE"""),2480.64)</f>
        <v>2480.64</v>
      </c>
      <c r="C443" s="25">
        <f>IFERROR(__xludf.DUMMYFUNCTION("""COMPUTED_VALUE"""),43902.63611111111)</f>
        <v>43902.63611</v>
      </c>
      <c r="D443" s="22">
        <f>IFERROR(__xludf.DUMMYFUNCTION("""COMPUTED_VALUE"""),75.47)</f>
        <v>75.47</v>
      </c>
      <c r="E443" s="26">
        <f t="shared" si="2"/>
        <v>-0.09511268047</v>
      </c>
      <c r="F443" s="25">
        <f>IFERROR(__xludf.DUMMYFUNCTION("""COMPUTED_VALUE"""),43902.63611111111)</f>
        <v>43902.63611</v>
      </c>
      <c r="G443" s="22">
        <f>IFERROR(__xludf.DUMMYFUNCTION("""COMPUTED_VALUE"""),57.24)</f>
        <v>57.24</v>
      </c>
      <c r="H443" s="25">
        <f>IFERROR(__xludf.DUMMYFUNCTION("""COMPUTED_VALUE"""),43902.63611111111)</f>
        <v>43902.63611</v>
      </c>
      <c r="I443" s="22">
        <f>IFERROR(__xludf.DUMMYFUNCTION("""COMPUTED_VALUE"""),47.81)</f>
        <v>47.81</v>
      </c>
      <c r="J443" s="25">
        <f>IFERROR(__xludf.DUMMYFUNCTION("""COMPUTED_VALUE"""),43902.63611111111)</f>
        <v>43902.63611</v>
      </c>
      <c r="K443" s="22">
        <f>IFERROR(__xludf.DUMMYFUNCTION("""COMPUTED_VALUE"""),38.38)</f>
        <v>38.38</v>
      </c>
      <c r="M443" s="22" t="str">
        <f t="shared" si="3"/>
        <v>CRASH</v>
      </c>
      <c r="N443" s="22" t="str">
        <f t="shared" si="4"/>
        <v>PREDICT CRASH</v>
      </c>
    </row>
    <row r="444" ht="15.75" customHeight="1">
      <c r="A444" s="25">
        <f>IFERROR(__xludf.DUMMYFUNCTION("""COMPUTED_VALUE"""),43903.66666666667)</f>
        <v>43903.66667</v>
      </c>
      <c r="B444" s="22">
        <f>IFERROR(__xludf.DUMMYFUNCTION("""COMPUTED_VALUE"""),2711.02)</f>
        <v>2711.02</v>
      </c>
      <c r="C444" s="25">
        <f>IFERROR(__xludf.DUMMYFUNCTION("""COMPUTED_VALUE"""),43903.63611111111)</f>
        <v>43903.63611</v>
      </c>
      <c r="D444" s="22">
        <f>IFERROR(__xludf.DUMMYFUNCTION("""COMPUTED_VALUE"""),57.83)</f>
        <v>57.83</v>
      </c>
      <c r="E444" s="26">
        <f t="shared" si="2"/>
        <v>0.09287119453</v>
      </c>
      <c r="F444" s="25">
        <f>IFERROR(__xludf.DUMMYFUNCTION("""COMPUTED_VALUE"""),43903.63611111111)</f>
        <v>43903.63611</v>
      </c>
      <c r="G444" s="22">
        <f>IFERROR(__xludf.DUMMYFUNCTION("""COMPUTED_VALUE"""),48.31)</f>
        <v>48.31</v>
      </c>
      <c r="H444" s="25">
        <f>IFERROR(__xludf.DUMMYFUNCTION("""COMPUTED_VALUE"""),43903.63611111111)</f>
        <v>43903.63611</v>
      </c>
      <c r="I444" s="22">
        <f>IFERROR(__xludf.DUMMYFUNCTION("""COMPUTED_VALUE"""),41.23)</f>
        <v>41.23</v>
      </c>
      <c r="J444" s="25">
        <f>IFERROR(__xludf.DUMMYFUNCTION("""COMPUTED_VALUE"""),43903.63611111111)</f>
        <v>43903.63611</v>
      </c>
      <c r="K444" s="22">
        <f>IFERROR(__xludf.DUMMYFUNCTION("""COMPUTED_VALUE"""),34.04)</f>
        <v>34.04</v>
      </c>
      <c r="M444" s="22" t="str">
        <f t="shared" si="3"/>
        <v/>
      </c>
      <c r="N444" s="22" t="str">
        <f t="shared" si="4"/>
        <v>PREDICT CRASH</v>
      </c>
    </row>
    <row r="445" ht="15.75" customHeight="1">
      <c r="A445" s="25">
        <f>IFERROR(__xludf.DUMMYFUNCTION("""COMPUTED_VALUE"""),43906.66666666667)</f>
        <v>43906.66667</v>
      </c>
      <c r="B445" s="22">
        <f>IFERROR(__xludf.DUMMYFUNCTION("""COMPUTED_VALUE"""),2386.13)</f>
        <v>2386.13</v>
      </c>
      <c r="C445" s="25">
        <f>IFERROR(__xludf.DUMMYFUNCTION("""COMPUTED_VALUE"""),43906.63611111111)</f>
        <v>43906.63611</v>
      </c>
      <c r="D445" s="22">
        <f>IFERROR(__xludf.DUMMYFUNCTION("""COMPUTED_VALUE"""),82.69)</f>
        <v>82.69</v>
      </c>
      <c r="E445" s="26">
        <f t="shared" si="2"/>
        <v>-0.1198405028</v>
      </c>
      <c r="F445" s="25">
        <f>IFERROR(__xludf.DUMMYFUNCTION("""COMPUTED_VALUE"""),43906.63611111111)</f>
        <v>43906.63611</v>
      </c>
      <c r="G445" s="22">
        <f>IFERROR(__xludf.DUMMYFUNCTION("""COMPUTED_VALUE"""),67.7)</f>
        <v>67.7</v>
      </c>
      <c r="H445" s="25">
        <f>IFERROR(__xludf.DUMMYFUNCTION("""COMPUTED_VALUE"""),43906.63611111111)</f>
        <v>43906.63611</v>
      </c>
      <c r="I445" s="22">
        <f>IFERROR(__xludf.DUMMYFUNCTION("""COMPUTED_VALUE"""),55.4)</f>
        <v>55.4</v>
      </c>
      <c r="J445" s="25">
        <f>IFERROR(__xludf.DUMMYFUNCTION("""COMPUTED_VALUE"""),43906.63611111111)</f>
        <v>43906.63611</v>
      </c>
      <c r="K445" s="22">
        <f>IFERROR(__xludf.DUMMYFUNCTION("""COMPUTED_VALUE"""),41.47)</f>
        <v>41.47</v>
      </c>
      <c r="M445" s="22" t="str">
        <f t="shared" si="3"/>
        <v>CRASH</v>
      </c>
      <c r="N445" s="22" t="str">
        <f t="shared" si="4"/>
        <v>PREDICT CRASH</v>
      </c>
    </row>
    <row r="446" ht="15.75" customHeight="1">
      <c r="A446" s="25">
        <f>IFERROR(__xludf.DUMMYFUNCTION("""COMPUTED_VALUE"""),43907.66666666667)</f>
        <v>43907.66667</v>
      </c>
      <c r="B446" s="22">
        <f>IFERROR(__xludf.DUMMYFUNCTION("""COMPUTED_VALUE"""),2529.19)</f>
        <v>2529.19</v>
      </c>
      <c r="C446" s="25">
        <f>IFERROR(__xludf.DUMMYFUNCTION("""COMPUTED_VALUE"""),43907.63611111111)</f>
        <v>43907.63611</v>
      </c>
      <c r="D446" s="22">
        <f>IFERROR(__xludf.DUMMYFUNCTION("""COMPUTED_VALUE"""),75.91)</f>
        <v>75.91</v>
      </c>
      <c r="E446" s="26">
        <f t="shared" si="2"/>
        <v>0.05995482224</v>
      </c>
      <c r="F446" s="25">
        <f>IFERROR(__xludf.DUMMYFUNCTION("""COMPUTED_VALUE"""),43907.63611111111)</f>
        <v>43907.63611</v>
      </c>
      <c r="G446" s="22">
        <f>IFERROR(__xludf.DUMMYFUNCTION("""COMPUTED_VALUE"""),65.27)</f>
        <v>65.27</v>
      </c>
      <c r="H446" s="25">
        <f>IFERROR(__xludf.DUMMYFUNCTION("""COMPUTED_VALUE"""),43907.63611111111)</f>
        <v>43907.63611</v>
      </c>
      <c r="I446" s="22">
        <f>IFERROR(__xludf.DUMMYFUNCTION("""COMPUTED_VALUE"""),54.81)</f>
        <v>54.81</v>
      </c>
      <c r="J446" s="25">
        <f>IFERROR(__xludf.DUMMYFUNCTION("""COMPUTED_VALUE"""),43907.63611111111)</f>
        <v>43907.63611</v>
      </c>
      <c r="K446" s="22">
        <f>IFERROR(__xludf.DUMMYFUNCTION("""COMPUTED_VALUE"""),42.01)</f>
        <v>42.01</v>
      </c>
      <c r="M446" s="22" t="str">
        <f t="shared" si="3"/>
        <v/>
      </c>
      <c r="N446" s="22" t="str">
        <f t="shared" si="4"/>
        <v>PREDICT CRASH</v>
      </c>
    </row>
    <row r="447" ht="15.75" customHeight="1">
      <c r="A447" s="25">
        <f>IFERROR(__xludf.DUMMYFUNCTION("""COMPUTED_VALUE"""),43908.66666666667)</f>
        <v>43908.66667</v>
      </c>
      <c r="B447" s="22">
        <f>IFERROR(__xludf.DUMMYFUNCTION("""COMPUTED_VALUE"""),2398.1)</f>
        <v>2398.1</v>
      </c>
      <c r="C447" s="25">
        <f>IFERROR(__xludf.DUMMYFUNCTION("""COMPUTED_VALUE"""),43908.63611111111)</f>
        <v>43908.63611</v>
      </c>
      <c r="D447" s="22">
        <f>IFERROR(__xludf.DUMMYFUNCTION("""COMPUTED_VALUE"""),76.45)</f>
        <v>76.45</v>
      </c>
      <c r="E447" s="26">
        <f t="shared" si="2"/>
        <v>-0.05183082331</v>
      </c>
      <c r="F447" s="25">
        <f>IFERROR(__xludf.DUMMYFUNCTION("""COMPUTED_VALUE"""),43908.63611111111)</f>
        <v>43908.63611</v>
      </c>
      <c r="G447" s="22">
        <f>IFERROR(__xludf.DUMMYFUNCTION("""COMPUTED_VALUE"""),72.98)</f>
        <v>72.98</v>
      </c>
      <c r="H447" s="25">
        <f>IFERROR(__xludf.DUMMYFUNCTION("""COMPUTED_VALUE"""),43908.63611111111)</f>
        <v>43908.63611</v>
      </c>
      <c r="I447" s="22">
        <f>IFERROR(__xludf.DUMMYFUNCTION("""COMPUTED_VALUE"""),61.11)</f>
        <v>61.11</v>
      </c>
      <c r="J447" s="25">
        <f>IFERROR(__xludf.DUMMYFUNCTION("""COMPUTED_VALUE"""),43908.63611111111)</f>
        <v>43908.63611</v>
      </c>
      <c r="K447" s="22">
        <f>IFERROR(__xludf.DUMMYFUNCTION("""COMPUTED_VALUE"""),45.86)</f>
        <v>45.86</v>
      </c>
      <c r="M447" s="22" t="str">
        <f t="shared" si="3"/>
        <v>CRASH</v>
      </c>
      <c r="N447" s="22" t="str">
        <f t="shared" si="4"/>
        <v>PREDICT CRASH</v>
      </c>
    </row>
    <row r="448" ht="15.75" customHeight="1">
      <c r="A448" s="25">
        <f>IFERROR(__xludf.DUMMYFUNCTION("""COMPUTED_VALUE"""),43909.66666666667)</f>
        <v>43909.66667</v>
      </c>
      <c r="B448" s="22">
        <f>IFERROR(__xludf.DUMMYFUNCTION("""COMPUTED_VALUE"""),2409.39)</f>
        <v>2409.39</v>
      </c>
      <c r="C448" s="25">
        <f>IFERROR(__xludf.DUMMYFUNCTION("""COMPUTED_VALUE"""),43909.63611111111)</f>
        <v>43909.63611</v>
      </c>
      <c r="D448" s="22">
        <f>IFERROR(__xludf.DUMMYFUNCTION("""COMPUTED_VALUE"""),72.0)</f>
        <v>72</v>
      </c>
      <c r="E448" s="26">
        <f t="shared" si="2"/>
        <v>0.004707893749</v>
      </c>
      <c r="F448" s="25">
        <f>IFERROR(__xludf.DUMMYFUNCTION("""COMPUTED_VALUE"""),43909.63611111111)</f>
        <v>43909.63611</v>
      </c>
      <c r="G448" s="22">
        <f>IFERROR(__xludf.DUMMYFUNCTION("""COMPUTED_VALUE"""),69.47)</f>
        <v>69.47</v>
      </c>
      <c r="H448" s="25">
        <f>IFERROR(__xludf.DUMMYFUNCTION("""COMPUTED_VALUE"""),43909.63611111111)</f>
        <v>43909.63611</v>
      </c>
      <c r="I448" s="22">
        <f>IFERROR(__xludf.DUMMYFUNCTION("""COMPUTED_VALUE"""),56.06)</f>
        <v>56.06</v>
      </c>
      <c r="J448" s="25">
        <f>IFERROR(__xludf.DUMMYFUNCTION("""COMPUTED_VALUE"""),43909.63611111111)</f>
        <v>43909.63611</v>
      </c>
      <c r="K448" s="22">
        <f>IFERROR(__xludf.DUMMYFUNCTION("""COMPUTED_VALUE"""),43.09)</f>
        <v>43.09</v>
      </c>
      <c r="M448" s="22" t="str">
        <f t="shared" si="3"/>
        <v/>
      </c>
      <c r="N448" s="22" t="str">
        <f t="shared" si="4"/>
        <v>PREDICT CRASH</v>
      </c>
    </row>
    <row r="449" ht="15.75" customHeight="1">
      <c r="A449" s="25">
        <f>IFERROR(__xludf.DUMMYFUNCTION("""COMPUTED_VALUE"""),43910.66666666667)</f>
        <v>43910.66667</v>
      </c>
      <c r="B449" s="22">
        <f>IFERROR(__xludf.DUMMYFUNCTION("""COMPUTED_VALUE"""),2304.92)</f>
        <v>2304.92</v>
      </c>
      <c r="C449" s="25">
        <f>IFERROR(__xludf.DUMMYFUNCTION("""COMPUTED_VALUE"""),43910.63611111111)</f>
        <v>43910.63611</v>
      </c>
      <c r="D449" s="22">
        <f>IFERROR(__xludf.DUMMYFUNCTION("""COMPUTED_VALUE"""),66.04)</f>
        <v>66.04</v>
      </c>
      <c r="E449" s="26">
        <f t="shared" si="2"/>
        <v>-0.04335952253</v>
      </c>
      <c r="F449" s="25">
        <f>IFERROR(__xludf.DUMMYFUNCTION("""COMPUTED_VALUE"""),43910.63611111111)</f>
        <v>43910.63611</v>
      </c>
      <c r="G449" s="22">
        <f>IFERROR(__xludf.DUMMYFUNCTION("""COMPUTED_VALUE"""),65.59)</f>
        <v>65.59</v>
      </c>
      <c r="H449" s="25">
        <f>IFERROR(__xludf.DUMMYFUNCTION("""COMPUTED_VALUE"""),43910.63611111111)</f>
        <v>43910.63611</v>
      </c>
      <c r="I449" s="22">
        <f>IFERROR(__xludf.DUMMYFUNCTION("""COMPUTED_VALUE"""),53.12)</f>
        <v>53.12</v>
      </c>
      <c r="J449" s="25">
        <f>IFERROR(__xludf.DUMMYFUNCTION("""COMPUTED_VALUE"""),43910.63611111111)</f>
        <v>43910.63611</v>
      </c>
      <c r="K449" s="22">
        <f>IFERROR(__xludf.DUMMYFUNCTION("""COMPUTED_VALUE"""),40.15)</f>
        <v>40.15</v>
      </c>
      <c r="M449" s="22" t="str">
        <f t="shared" si="3"/>
        <v/>
      </c>
      <c r="N449" s="22" t="str">
        <f t="shared" si="4"/>
        <v>PREDICT CRASH</v>
      </c>
    </row>
    <row r="450" ht="15.75" customHeight="1">
      <c r="A450" s="25">
        <f>IFERROR(__xludf.DUMMYFUNCTION("""COMPUTED_VALUE"""),43913.66666666667)</f>
        <v>43913.66667</v>
      </c>
      <c r="B450" s="22">
        <f>IFERROR(__xludf.DUMMYFUNCTION("""COMPUTED_VALUE"""),2237.4)</f>
        <v>2237.4</v>
      </c>
      <c r="C450" s="25">
        <f>IFERROR(__xludf.DUMMYFUNCTION("""COMPUTED_VALUE"""),43913.63611111111)</f>
        <v>43913.63611</v>
      </c>
      <c r="D450" s="22">
        <f>IFERROR(__xludf.DUMMYFUNCTION("""COMPUTED_VALUE"""),61.59)</f>
        <v>61.59</v>
      </c>
      <c r="E450" s="26">
        <f t="shared" si="2"/>
        <v>-0.02929385836</v>
      </c>
      <c r="F450" s="25">
        <f>IFERROR(__xludf.DUMMYFUNCTION("""COMPUTED_VALUE"""),43913.63611111111)</f>
        <v>43913.63611</v>
      </c>
      <c r="G450" s="22">
        <f>IFERROR(__xludf.DUMMYFUNCTION("""COMPUTED_VALUE"""),56.64)</f>
        <v>56.64</v>
      </c>
      <c r="H450" s="25">
        <f>IFERROR(__xludf.DUMMYFUNCTION("""COMPUTED_VALUE"""),43913.63611111111)</f>
        <v>43913.63611</v>
      </c>
      <c r="I450" s="22">
        <f>IFERROR(__xludf.DUMMYFUNCTION("""COMPUTED_VALUE"""),46.59)</f>
        <v>46.59</v>
      </c>
      <c r="J450" s="25">
        <f>IFERROR(__xludf.DUMMYFUNCTION("""COMPUTED_VALUE"""),43913.63611111111)</f>
        <v>43913.63611</v>
      </c>
      <c r="K450" s="22">
        <f>IFERROR(__xludf.DUMMYFUNCTION("""COMPUTED_VALUE"""),36.37)</f>
        <v>36.37</v>
      </c>
      <c r="M450" s="22" t="str">
        <f t="shared" si="3"/>
        <v/>
      </c>
      <c r="N450" s="22" t="str">
        <f t="shared" si="4"/>
        <v>PREDICT CRASH</v>
      </c>
    </row>
    <row r="451" ht="15.75" customHeight="1">
      <c r="A451" s="25">
        <f>IFERROR(__xludf.DUMMYFUNCTION("""COMPUTED_VALUE"""),43914.66666666667)</f>
        <v>43914.66667</v>
      </c>
      <c r="B451" s="22">
        <f>IFERROR(__xludf.DUMMYFUNCTION("""COMPUTED_VALUE"""),2447.33)</f>
        <v>2447.33</v>
      </c>
      <c r="C451" s="25">
        <f>IFERROR(__xludf.DUMMYFUNCTION("""COMPUTED_VALUE"""),43914.63611111111)</f>
        <v>43914.63611</v>
      </c>
      <c r="D451" s="22">
        <f>IFERROR(__xludf.DUMMYFUNCTION("""COMPUTED_VALUE"""),61.67)</f>
        <v>61.67</v>
      </c>
      <c r="E451" s="26">
        <f t="shared" si="2"/>
        <v>0.0938276571</v>
      </c>
      <c r="F451" s="25">
        <f>IFERROR(__xludf.DUMMYFUNCTION("""COMPUTED_VALUE"""),43914.63611111111)</f>
        <v>43914.63611</v>
      </c>
      <c r="G451" s="22">
        <f>IFERROR(__xludf.DUMMYFUNCTION("""COMPUTED_VALUE"""),52.11)</f>
        <v>52.11</v>
      </c>
      <c r="H451" s="25">
        <f>IFERROR(__xludf.DUMMYFUNCTION("""COMPUTED_VALUE"""),43914.63611111111)</f>
        <v>43914.63611</v>
      </c>
      <c r="I451" s="22">
        <f>IFERROR(__xludf.DUMMYFUNCTION("""COMPUTED_VALUE"""),41.59)</f>
        <v>41.59</v>
      </c>
      <c r="J451" s="25">
        <f>IFERROR(__xludf.DUMMYFUNCTION("""COMPUTED_VALUE"""),43914.63611111111)</f>
        <v>43914.63611</v>
      </c>
      <c r="K451" s="22">
        <f>IFERROR(__xludf.DUMMYFUNCTION("""COMPUTED_VALUE"""),32.67)</f>
        <v>32.67</v>
      </c>
      <c r="M451" s="22" t="str">
        <f t="shared" si="3"/>
        <v/>
      </c>
      <c r="N451" s="22" t="str">
        <f t="shared" si="4"/>
        <v>PREDICT CRASH</v>
      </c>
    </row>
    <row r="452" ht="15.75" customHeight="1">
      <c r="A452" s="25">
        <f>IFERROR(__xludf.DUMMYFUNCTION("""COMPUTED_VALUE"""),43915.66666666667)</f>
        <v>43915.66667</v>
      </c>
      <c r="B452" s="22">
        <f>IFERROR(__xludf.DUMMYFUNCTION("""COMPUTED_VALUE"""),2475.56)</f>
        <v>2475.56</v>
      </c>
      <c r="C452" s="25">
        <f>IFERROR(__xludf.DUMMYFUNCTION("""COMPUTED_VALUE"""),43915.63611111111)</f>
        <v>43915.63611</v>
      </c>
      <c r="D452" s="22">
        <f>IFERROR(__xludf.DUMMYFUNCTION("""COMPUTED_VALUE"""),63.95)</f>
        <v>63.95</v>
      </c>
      <c r="E452" s="26">
        <f t="shared" si="2"/>
        <v>0.0115350198</v>
      </c>
      <c r="F452" s="25">
        <f>IFERROR(__xludf.DUMMYFUNCTION("""COMPUTED_VALUE"""),43915.63611111111)</f>
        <v>43915.63611</v>
      </c>
      <c r="G452" s="22">
        <f>IFERROR(__xludf.DUMMYFUNCTION("""COMPUTED_VALUE"""),53.85)</f>
        <v>53.85</v>
      </c>
      <c r="H452" s="25">
        <f>IFERROR(__xludf.DUMMYFUNCTION("""COMPUTED_VALUE"""),43915.63611111111)</f>
        <v>43915.63611</v>
      </c>
      <c r="I452" s="22">
        <f>IFERROR(__xludf.DUMMYFUNCTION("""COMPUTED_VALUE"""),44.31)</f>
        <v>44.31</v>
      </c>
      <c r="J452" s="25">
        <f>IFERROR(__xludf.DUMMYFUNCTION("""COMPUTED_VALUE"""),43915.63611111111)</f>
        <v>43915.63611</v>
      </c>
      <c r="K452" s="22">
        <f>IFERROR(__xludf.DUMMYFUNCTION("""COMPUTED_VALUE"""),34.16)</f>
        <v>34.16</v>
      </c>
      <c r="M452" s="22" t="str">
        <f t="shared" si="3"/>
        <v/>
      </c>
      <c r="N452" s="22" t="str">
        <f t="shared" si="4"/>
        <v>PREDICT CRASH</v>
      </c>
    </row>
    <row r="453" ht="15.75" customHeight="1">
      <c r="A453" s="25">
        <f>IFERROR(__xludf.DUMMYFUNCTION("""COMPUTED_VALUE"""),43916.66666666667)</f>
        <v>43916.66667</v>
      </c>
      <c r="B453" s="22">
        <f>IFERROR(__xludf.DUMMYFUNCTION("""COMPUTED_VALUE"""),2630.07)</f>
        <v>2630.07</v>
      </c>
      <c r="C453" s="25">
        <f>IFERROR(__xludf.DUMMYFUNCTION("""COMPUTED_VALUE"""),43916.63611111111)</f>
        <v>43916.63611</v>
      </c>
      <c r="D453" s="22">
        <f>IFERROR(__xludf.DUMMYFUNCTION("""COMPUTED_VALUE"""),61.0)</f>
        <v>61</v>
      </c>
      <c r="E453" s="26">
        <f t="shared" si="2"/>
        <v>0.06241416084</v>
      </c>
      <c r="F453" s="25">
        <f>IFERROR(__xludf.DUMMYFUNCTION("""COMPUTED_VALUE"""),43916.63611111111)</f>
        <v>43916.63611</v>
      </c>
      <c r="G453" s="22">
        <f>IFERROR(__xludf.DUMMYFUNCTION("""COMPUTED_VALUE"""),49.79)</f>
        <v>49.79</v>
      </c>
      <c r="H453" s="25">
        <f>IFERROR(__xludf.DUMMYFUNCTION("""COMPUTED_VALUE"""),43916.63611111111)</f>
        <v>43916.63611</v>
      </c>
      <c r="I453" s="22">
        <f>IFERROR(__xludf.DUMMYFUNCTION("""COMPUTED_VALUE"""),40.85)</f>
        <v>40.85</v>
      </c>
      <c r="J453" s="25">
        <f>IFERROR(__xludf.DUMMYFUNCTION("""COMPUTED_VALUE"""),43916.63611111111)</f>
        <v>43916.63611</v>
      </c>
      <c r="K453" s="22">
        <f>IFERROR(__xludf.DUMMYFUNCTION("""COMPUTED_VALUE"""),32.71)</f>
        <v>32.71</v>
      </c>
      <c r="M453" s="22" t="str">
        <f t="shared" si="3"/>
        <v/>
      </c>
      <c r="N453" s="22" t="str">
        <f t="shared" si="4"/>
        <v>PREDICT CRASH</v>
      </c>
    </row>
    <row r="454" ht="15.75" customHeight="1">
      <c r="A454" s="25">
        <f>IFERROR(__xludf.DUMMYFUNCTION("""COMPUTED_VALUE"""),43917.66666666667)</f>
        <v>43917.66667</v>
      </c>
      <c r="B454" s="22">
        <f>IFERROR(__xludf.DUMMYFUNCTION("""COMPUTED_VALUE"""),2541.47)</f>
        <v>2541.47</v>
      </c>
      <c r="C454" s="25">
        <f>IFERROR(__xludf.DUMMYFUNCTION("""COMPUTED_VALUE"""),43917.63611111111)</f>
        <v>43917.63611</v>
      </c>
      <c r="D454" s="22">
        <f>IFERROR(__xludf.DUMMYFUNCTION("""COMPUTED_VALUE"""),65.54)</f>
        <v>65.54</v>
      </c>
      <c r="E454" s="26">
        <f t="shared" si="2"/>
        <v>-0.03368731631</v>
      </c>
      <c r="F454" s="25">
        <f>IFERROR(__xludf.DUMMYFUNCTION("""COMPUTED_VALUE"""),43917.63611111111)</f>
        <v>43917.63611</v>
      </c>
      <c r="G454" s="22">
        <f>IFERROR(__xludf.DUMMYFUNCTION("""COMPUTED_VALUE"""),55.75)</f>
        <v>55.75</v>
      </c>
      <c r="H454" s="25">
        <f>IFERROR(__xludf.DUMMYFUNCTION("""COMPUTED_VALUE"""),43917.63611111111)</f>
        <v>43917.63611</v>
      </c>
      <c r="I454" s="22">
        <f>IFERROR(__xludf.DUMMYFUNCTION("""COMPUTED_VALUE"""),47.71)</f>
        <v>47.71</v>
      </c>
      <c r="J454" s="25">
        <f>IFERROR(__xludf.DUMMYFUNCTION("""COMPUTED_VALUE"""),43917.63611111111)</f>
        <v>43917.63611</v>
      </c>
      <c r="K454" s="22">
        <f>IFERROR(__xludf.DUMMYFUNCTION("""COMPUTED_VALUE"""),35.21)</f>
        <v>35.21</v>
      </c>
      <c r="M454" s="22" t="str">
        <f t="shared" si="3"/>
        <v/>
      </c>
      <c r="N454" s="22" t="str">
        <f t="shared" si="4"/>
        <v>PREDICT CRASH</v>
      </c>
    </row>
    <row r="455" ht="15.75" customHeight="1">
      <c r="A455" s="25">
        <f>IFERROR(__xludf.DUMMYFUNCTION("""COMPUTED_VALUE"""),43920.66666666667)</f>
        <v>43920.66667</v>
      </c>
      <c r="B455" s="22">
        <f>IFERROR(__xludf.DUMMYFUNCTION("""COMPUTED_VALUE"""),2626.65)</f>
        <v>2626.65</v>
      </c>
      <c r="C455" s="25">
        <f>IFERROR(__xludf.DUMMYFUNCTION("""COMPUTED_VALUE"""),43920.63611111111)</f>
        <v>43920.63611</v>
      </c>
      <c r="D455" s="22">
        <f>IFERROR(__xludf.DUMMYFUNCTION("""COMPUTED_VALUE"""),57.08)</f>
        <v>57.08</v>
      </c>
      <c r="E455" s="26">
        <f t="shared" si="2"/>
        <v>0.03351603599</v>
      </c>
      <c r="F455" s="25">
        <f>IFERROR(__xludf.DUMMYFUNCTION("""COMPUTED_VALUE"""),43920.63611111111)</f>
        <v>43920.63611</v>
      </c>
      <c r="G455" s="22">
        <f>IFERROR(__xludf.DUMMYFUNCTION("""COMPUTED_VALUE"""),51.26)</f>
        <v>51.26</v>
      </c>
      <c r="H455" s="25">
        <f>IFERROR(__xludf.DUMMYFUNCTION("""COMPUTED_VALUE"""),43920.63611111111)</f>
        <v>43920.63611</v>
      </c>
      <c r="I455" s="22">
        <f>IFERROR(__xludf.DUMMYFUNCTION("""COMPUTED_VALUE"""),43.89)</f>
        <v>43.89</v>
      </c>
      <c r="J455" s="25">
        <f>IFERROR(__xludf.DUMMYFUNCTION("""COMPUTED_VALUE"""),43920.63611111111)</f>
        <v>43920.63611</v>
      </c>
      <c r="K455" s="22">
        <f>IFERROR(__xludf.DUMMYFUNCTION("""COMPUTED_VALUE"""),34.25)</f>
        <v>34.25</v>
      </c>
      <c r="M455" s="22" t="str">
        <f t="shared" si="3"/>
        <v/>
      </c>
      <c r="N455" s="22" t="str">
        <f t="shared" si="4"/>
        <v>PREDICT CRASH</v>
      </c>
    </row>
    <row r="456" ht="15.75" customHeight="1">
      <c r="A456" s="25">
        <f>IFERROR(__xludf.DUMMYFUNCTION("""COMPUTED_VALUE"""),43921.66666666667)</f>
        <v>43921.66667</v>
      </c>
      <c r="B456" s="22">
        <f>IFERROR(__xludf.DUMMYFUNCTION("""COMPUTED_VALUE"""),2584.59)</f>
        <v>2584.59</v>
      </c>
      <c r="C456" s="25">
        <f>IFERROR(__xludf.DUMMYFUNCTION("""COMPUTED_VALUE"""),43921.63611111111)</f>
        <v>43921.63611</v>
      </c>
      <c r="D456" s="22">
        <f>IFERROR(__xludf.DUMMYFUNCTION("""COMPUTED_VALUE"""),53.54)</f>
        <v>53.54</v>
      </c>
      <c r="E456" s="26">
        <f t="shared" si="2"/>
        <v>-0.01601279196</v>
      </c>
      <c r="F456" s="25">
        <f>IFERROR(__xludf.DUMMYFUNCTION("""COMPUTED_VALUE"""),43921.63611111111)</f>
        <v>43921.63611</v>
      </c>
      <c r="G456" s="22">
        <f>IFERROR(__xludf.DUMMYFUNCTION("""COMPUTED_VALUE"""),48.32)</f>
        <v>48.32</v>
      </c>
      <c r="H456" s="25">
        <f>IFERROR(__xludf.DUMMYFUNCTION("""COMPUTED_VALUE"""),43921.63611111111)</f>
        <v>43921.63611</v>
      </c>
      <c r="I456" s="22">
        <f>IFERROR(__xludf.DUMMYFUNCTION("""COMPUTED_VALUE"""),42.47)</f>
        <v>42.47</v>
      </c>
      <c r="J456" s="25">
        <f>IFERROR(__xludf.DUMMYFUNCTION("""COMPUTED_VALUE"""),43921.63611111111)</f>
        <v>43921.63611</v>
      </c>
      <c r="K456" s="22">
        <f>IFERROR(__xludf.DUMMYFUNCTION("""COMPUTED_VALUE"""),34.12)</f>
        <v>34.12</v>
      </c>
      <c r="M456" s="22" t="str">
        <f t="shared" si="3"/>
        <v/>
      </c>
      <c r="N456" s="22" t="str">
        <f t="shared" si="4"/>
        <v>PREDICT CRASH</v>
      </c>
    </row>
    <row r="457" ht="15.75" customHeight="1">
      <c r="A457" s="25">
        <f>IFERROR(__xludf.DUMMYFUNCTION("""COMPUTED_VALUE"""),43922.66666666667)</f>
        <v>43922.66667</v>
      </c>
      <c r="B457" s="22">
        <f>IFERROR(__xludf.DUMMYFUNCTION("""COMPUTED_VALUE"""),2470.5)</f>
        <v>2470.5</v>
      </c>
      <c r="C457" s="25">
        <f>IFERROR(__xludf.DUMMYFUNCTION("""COMPUTED_VALUE"""),43922.63611111111)</f>
        <v>43922.63611</v>
      </c>
      <c r="D457" s="22">
        <f>IFERROR(__xludf.DUMMYFUNCTION("""COMPUTED_VALUE"""),57.06)</f>
        <v>57.06</v>
      </c>
      <c r="E457" s="26">
        <f t="shared" si="2"/>
        <v>-0.04414239783</v>
      </c>
      <c r="F457" s="25">
        <f>IFERROR(__xludf.DUMMYFUNCTION("""COMPUTED_VALUE"""),43922.63611111111)</f>
        <v>43922.63611</v>
      </c>
      <c r="G457" s="22">
        <f>IFERROR(__xludf.DUMMYFUNCTION("""COMPUTED_VALUE"""),51.17)</f>
        <v>51.17</v>
      </c>
      <c r="H457" s="25">
        <f>IFERROR(__xludf.DUMMYFUNCTION("""COMPUTED_VALUE"""),43922.63611111111)</f>
        <v>43922.63611</v>
      </c>
      <c r="I457" s="22">
        <f>IFERROR(__xludf.DUMMYFUNCTION("""COMPUTED_VALUE"""),45.18)</f>
        <v>45.18</v>
      </c>
      <c r="J457" s="25">
        <f>IFERROR(__xludf.DUMMYFUNCTION("""COMPUTED_VALUE"""),43922.63611111111)</f>
        <v>43922.63611</v>
      </c>
      <c r="K457" s="22">
        <f>IFERROR(__xludf.DUMMYFUNCTION("""COMPUTED_VALUE"""),36.47)</f>
        <v>36.47</v>
      </c>
      <c r="M457" s="22" t="str">
        <f t="shared" si="3"/>
        <v/>
      </c>
      <c r="N457" s="22" t="str">
        <f t="shared" si="4"/>
        <v>PREDICT CRASH</v>
      </c>
    </row>
    <row r="458" ht="15.75" customHeight="1">
      <c r="A458" s="25">
        <f>IFERROR(__xludf.DUMMYFUNCTION("""COMPUTED_VALUE"""),43923.66666666667)</f>
        <v>43923.66667</v>
      </c>
      <c r="B458" s="22">
        <f>IFERROR(__xludf.DUMMYFUNCTION("""COMPUTED_VALUE"""),2526.9)</f>
        <v>2526.9</v>
      </c>
      <c r="C458" s="25">
        <f>IFERROR(__xludf.DUMMYFUNCTION("""COMPUTED_VALUE"""),43923.63611111111)</f>
        <v>43923.63611</v>
      </c>
      <c r="D458" s="22">
        <f>IFERROR(__xludf.DUMMYFUNCTION("""COMPUTED_VALUE"""),50.91)</f>
        <v>50.91</v>
      </c>
      <c r="E458" s="26">
        <f t="shared" si="2"/>
        <v>0.02282938676</v>
      </c>
      <c r="F458" s="25">
        <f>IFERROR(__xludf.DUMMYFUNCTION("""COMPUTED_VALUE"""),43923.63611111111)</f>
        <v>43923.63611</v>
      </c>
      <c r="G458" s="22">
        <f>IFERROR(__xludf.DUMMYFUNCTION("""COMPUTED_VALUE"""),47.3)</f>
        <v>47.3</v>
      </c>
      <c r="H458" s="25">
        <f>IFERROR(__xludf.DUMMYFUNCTION("""COMPUTED_VALUE"""),43923.63611111111)</f>
        <v>43923.63611</v>
      </c>
      <c r="I458" s="22">
        <f>IFERROR(__xludf.DUMMYFUNCTION("""COMPUTED_VALUE"""),42.67)</f>
        <v>42.67</v>
      </c>
      <c r="J458" s="25">
        <f>IFERROR(__xludf.DUMMYFUNCTION("""COMPUTED_VALUE"""),43923.63611111111)</f>
        <v>43923.63611</v>
      </c>
      <c r="K458" s="22">
        <f>IFERROR(__xludf.DUMMYFUNCTION("""COMPUTED_VALUE"""),34.79)</f>
        <v>34.79</v>
      </c>
      <c r="M458" s="22" t="str">
        <f t="shared" si="3"/>
        <v/>
      </c>
      <c r="N458" s="22" t="str">
        <f t="shared" si="4"/>
        <v>PREDICT CRASH</v>
      </c>
    </row>
    <row r="459" ht="15.75" customHeight="1">
      <c r="A459" s="25">
        <f>IFERROR(__xludf.DUMMYFUNCTION("""COMPUTED_VALUE"""),43924.66666666667)</f>
        <v>43924.66667</v>
      </c>
      <c r="B459" s="22">
        <f>IFERROR(__xludf.DUMMYFUNCTION("""COMPUTED_VALUE"""),2488.65)</f>
        <v>2488.65</v>
      </c>
      <c r="C459" s="25">
        <f>IFERROR(__xludf.DUMMYFUNCTION("""COMPUTED_VALUE"""),43924.63611111111)</f>
        <v>43924.63611</v>
      </c>
      <c r="D459" s="22">
        <f>IFERROR(__xludf.DUMMYFUNCTION("""COMPUTED_VALUE"""),46.8)</f>
        <v>46.8</v>
      </c>
      <c r="E459" s="26">
        <f t="shared" si="2"/>
        <v>-0.01513712454</v>
      </c>
      <c r="F459" s="25">
        <f>IFERROR(__xludf.DUMMYFUNCTION("""COMPUTED_VALUE"""),43924.63611111111)</f>
        <v>43924.63611</v>
      </c>
      <c r="G459" s="22">
        <f>IFERROR(__xludf.DUMMYFUNCTION("""COMPUTED_VALUE"""),44.84)</f>
        <v>44.84</v>
      </c>
      <c r="H459" s="25">
        <f>IFERROR(__xludf.DUMMYFUNCTION("""COMPUTED_VALUE"""),43924.63611111111)</f>
        <v>43924.63611</v>
      </c>
      <c r="I459" s="22">
        <f>IFERROR(__xludf.DUMMYFUNCTION("""COMPUTED_VALUE"""),40.84)</f>
        <v>40.84</v>
      </c>
      <c r="J459" s="25">
        <f>IFERROR(__xludf.DUMMYFUNCTION("""COMPUTED_VALUE"""),43924.63611111111)</f>
        <v>43924.63611</v>
      </c>
      <c r="K459" s="22">
        <f>IFERROR(__xludf.DUMMYFUNCTION("""COMPUTED_VALUE"""),33.82)</f>
        <v>33.82</v>
      </c>
      <c r="M459" s="22" t="str">
        <f t="shared" si="3"/>
        <v/>
      </c>
      <c r="N459" s="22" t="str">
        <f t="shared" si="4"/>
        <v>PREDICT CRASH</v>
      </c>
    </row>
    <row r="460" ht="15.75" customHeight="1">
      <c r="A460" s="25">
        <f>IFERROR(__xludf.DUMMYFUNCTION("""COMPUTED_VALUE"""),43927.66666666667)</f>
        <v>43927.66667</v>
      </c>
      <c r="B460" s="22">
        <f>IFERROR(__xludf.DUMMYFUNCTION("""COMPUTED_VALUE"""),2663.68)</f>
        <v>2663.68</v>
      </c>
      <c r="C460" s="25">
        <f>IFERROR(__xludf.DUMMYFUNCTION("""COMPUTED_VALUE"""),43927.63611111111)</f>
        <v>43927.63611</v>
      </c>
      <c r="D460" s="22">
        <f>IFERROR(__xludf.DUMMYFUNCTION("""COMPUTED_VALUE"""),45.24)</f>
        <v>45.24</v>
      </c>
      <c r="E460" s="26">
        <f t="shared" si="2"/>
        <v>0.07033130412</v>
      </c>
      <c r="F460" s="25">
        <f>IFERROR(__xludf.DUMMYFUNCTION("""COMPUTED_VALUE"""),43927.63611111111)</f>
        <v>43927.63611</v>
      </c>
      <c r="G460" s="22">
        <f>IFERROR(__xludf.DUMMYFUNCTION("""COMPUTED_VALUE"""),43.09)</f>
        <v>43.09</v>
      </c>
      <c r="H460" s="25">
        <f>IFERROR(__xludf.DUMMYFUNCTION("""COMPUTED_VALUE"""),43927.63611111111)</f>
        <v>43927.63611</v>
      </c>
      <c r="I460" s="22">
        <f>IFERROR(__xludf.DUMMYFUNCTION("""COMPUTED_VALUE"""),39.15)</f>
        <v>39.15</v>
      </c>
      <c r="J460" s="25">
        <f>IFERROR(__xludf.DUMMYFUNCTION("""COMPUTED_VALUE"""),43927.63611111111)</f>
        <v>43927.63611</v>
      </c>
      <c r="K460" s="22">
        <f>IFERROR(__xludf.DUMMYFUNCTION("""COMPUTED_VALUE"""),32.6)</f>
        <v>32.6</v>
      </c>
      <c r="M460" s="22" t="str">
        <f t="shared" si="3"/>
        <v/>
      </c>
      <c r="N460" s="22" t="str">
        <f t="shared" si="4"/>
        <v>PREDICT CRASH</v>
      </c>
    </row>
    <row r="461" ht="15.75" customHeight="1">
      <c r="A461" s="25">
        <f>IFERROR(__xludf.DUMMYFUNCTION("""COMPUTED_VALUE"""),43928.66666666667)</f>
        <v>43928.66667</v>
      </c>
      <c r="B461" s="22">
        <f>IFERROR(__xludf.DUMMYFUNCTION("""COMPUTED_VALUE"""),2659.41)</f>
        <v>2659.41</v>
      </c>
      <c r="C461" s="25">
        <f>IFERROR(__xludf.DUMMYFUNCTION("""COMPUTED_VALUE"""),43928.63611111111)</f>
        <v>43928.63611</v>
      </c>
      <c r="D461" s="22">
        <f>IFERROR(__xludf.DUMMYFUNCTION("""COMPUTED_VALUE"""),46.7)</f>
        <v>46.7</v>
      </c>
      <c r="E461" s="26">
        <f t="shared" si="2"/>
        <v>-0.001603045411</v>
      </c>
      <c r="F461" s="25">
        <f>IFERROR(__xludf.DUMMYFUNCTION("""COMPUTED_VALUE"""),43928.63611111111)</f>
        <v>43928.63611</v>
      </c>
      <c r="G461" s="22">
        <f>IFERROR(__xludf.DUMMYFUNCTION("""COMPUTED_VALUE"""),43.42)</f>
        <v>43.42</v>
      </c>
      <c r="H461" s="25">
        <f>IFERROR(__xludf.DUMMYFUNCTION("""COMPUTED_VALUE"""),43928.63611111111)</f>
        <v>43928.63611</v>
      </c>
      <c r="I461" s="22">
        <f>IFERROR(__xludf.DUMMYFUNCTION("""COMPUTED_VALUE"""),39.54)</f>
        <v>39.54</v>
      </c>
      <c r="J461" s="25">
        <f>IFERROR(__xludf.DUMMYFUNCTION("""COMPUTED_VALUE"""),43928.63611111111)</f>
        <v>43928.63611</v>
      </c>
      <c r="K461" s="22">
        <f>IFERROR(__xludf.DUMMYFUNCTION("""COMPUTED_VALUE"""),33.68)</f>
        <v>33.68</v>
      </c>
      <c r="M461" s="22" t="str">
        <f t="shared" si="3"/>
        <v/>
      </c>
      <c r="N461" s="22" t="str">
        <f t="shared" si="4"/>
        <v>PREDICT CRASH</v>
      </c>
    </row>
    <row r="462" ht="15.75" customHeight="1">
      <c r="A462" s="25">
        <f>IFERROR(__xludf.DUMMYFUNCTION("""COMPUTED_VALUE"""),43929.66666666667)</f>
        <v>43929.66667</v>
      </c>
      <c r="B462" s="22">
        <f>IFERROR(__xludf.DUMMYFUNCTION("""COMPUTED_VALUE"""),2749.98)</f>
        <v>2749.98</v>
      </c>
      <c r="C462" s="25">
        <f>IFERROR(__xludf.DUMMYFUNCTION("""COMPUTED_VALUE"""),43929.63611111111)</f>
        <v>43929.63611</v>
      </c>
      <c r="D462" s="22">
        <f>IFERROR(__xludf.DUMMYFUNCTION("""COMPUTED_VALUE"""),43.35)</f>
        <v>43.35</v>
      </c>
      <c r="E462" s="26">
        <f t="shared" si="2"/>
        <v>0.03405642605</v>
      </c>
      <c r="F462" s="25">
        <f>IFERROR(__xludf.DUMMYFUNCTION("""COMPUTED_VALUE"""),43929.63611111111)</f>
        <v>43929.63611</v>
      </c>
      <c r="G462" s="22">
        <f>IFERROR(__xludf.DUMMYFUNCTION("""COMPUTED_VALUE"""),41.59)</f>
        <v>41.59</v>
      </c>
      <c r="H462" s="25">
        <f>IFERROR(__xludf.DUMMYFUNCTION("""COMPUTED_VALUE"""),43929.63611111111)</f>
        <v>43929.63611</v>
      </c>
      <c r="I462" s="22">
        <f>IFERROR(__xludf.DUMMYFUNCTION("""COMPUTED_VALUE"""),38.32)</f>
        <v>38.32</v>
      </c>
      <c r="J462" s="25">
        <f>IFERROR(__xludf.DUMMYFUNCTION("""COMPUTED_VALUE"""),43929.63611111111)</f>
        <v>43929.63611</v>
      </c>
      <c r="K462" s="22">
        <f>IFERROR(__xludf.DUMMYFUNCTION("""COMPUTED_VALUE"""),32.95)</f>
        <v>32.95</v>
      </c>
      <c r="M462" s="22" t="str">
        <f t="shared" si="3"/>
        <v/>
      </c>
      <c r="N462" s="22" t="str">
        <f t="shared" si="4"/>
        <v>PREDICT CRASH</v>
      </c>
    </row>
    <row r="463" ht="15.75" customHeight="1">
      <c r="A463" s="25">
        <f>IFERROR(__xludf.DUMMYFUNCTION("""COMPUTED_VALUE"""),43930.66666666667)</f>
        <v>43930.66667</v>
      </c>
      <c r="B463" s="22">
        <f>IFERROR(__xludf.DUMMYFUNCTION("""COMPUTED_VALUE"""),2789.82)</f>
        <v>2789.82</v>
      </c>
      <c r="C463" s="25">
        <f>IFERROR(__xludf.DUMMYFUNCTION("""COMPUTED_VALUE"""),43930.63611111111)</f>
        <v>43930.63611</v>
      </c>
      <c r="D463" s="22">
        <f>IFERROR(__xludf.DUMMYFUNCTION("""COMPUTED_VALUE"""),41.67)</f>
        <v>41.67</v>
      </c>
      <c r="E463" s="26">
        <f t="shared" si="2"/>
        <v>0.01448737809</v>
      </c>
      <c r="F463" s="25">
        <f>IFERROR(__xludf.DUMMYFUNCTION("""COMPUTED_VALUE"""),43930.63611111111)</f>
        <v>43930.63611</v>
      </c>
      <c r="G463" s="22">
        <f>IFERROR(__xludf.DUMMYFUNCTION("""COMPUTED_VALUE"""),40.61)</f>
        <v>40.61</v>
      </c>
      <c r="H463" s="25">
        <f>IFERROR(__xludf.DUMMYFUNCTION("""COMPUTED_VALUE"""),43930.63611111111)</f>
        <v>43930.63611</v>
      </c>
      <c r="I463" s="22">
        <f>IFERROR(__xludf.DUMMYFUNCTION("""COMPUTED_VALUE"""),37.42)</f>
        <v>37.42</v>
      </c>
      <c r="J463" s="25">
        <f>IFERROR(__xludf.DUMMYFUNCTION("""COMPUTED_VALUE"""),43930.63611111111)</f>
        <v>43930.63611</v>
      </c>
      <c r="K463" s="22">
        <f>IFERROR(__xludf.DUMMYFUNCTION("""COMPUTED_VALUE"""),32.43)</f>
        <v>32.43</v>
      </c>
      <c r="M463" s="22" t="str">
        <f t="shared" si="3"/>
        <v/>
      </c>
      <c r="N463" s="22" t="str">
        <f t="shared" si="4"/>
        <v>PREDICT CRASH</v>
      </c>
    </row>
    <row r="464" ht="15.75" customHeight="1">
      <c r="A464" s="25">
        <f>IFERROR(__xludf.DUMMYFUNCTION("""COMPUTED_VALUE"""),43934.66666666667)</f>
        <v>43934.66667</v>
      </c>
      <c r="B464" s="22">
        <f>IFERROR(__xludf.DUMMYFUNCTION("""COMPUTED_VALUE"""),2761.63)</f>
        <v>2761.63</v>
      </c>
      <c r="C464" s="25">
        <f>IFERROR(__xludf.DUMMYFUNCTION("""COMPUTED_VALUE"""),43934.63611111111)</f>
        <v>43934.63611</v>
      </c>
      <c r="D464" s="22">
        <f>IFERROR(__xludf.DUMMYFUNCTION("""COMPUTED_VALUE"""),41.17)</f>
        <v>41.17</v>
      </c>
      <c r="E464" s="26">
        <f t="shared" si="2"/>
        <v>-0.01010459456</v>
      </c>
      <c r="F464" s="25">
        <f>IFERROR(__xludf.DUMMYFUNCTION("""COMPUTED_VALUE"""),43934.63611111111)</f>
        <v>43934.63611</v>
      </c>
      <c r="G464" s="22">
        <f>IFERROR(__xludf.DUMMYFUNCTION("""COMPUTED_VALUE"""),39.97)</f>
        <v>39.97</v>
      </c>
      <c r="H464" s="25">
        <f>IFERROR(__xludf.DUMMYFUNCTION("""COMPUTED_VALUE"""),43934.63611111111)</f>
        <v>43934.63611</v>
      </c>
      <c r="I464" s="22">
        <f>IFERROR(__xludf.DUMMYFUNCTION("""COMPUTED_VALUE"""),37.0)</f>
        <v>37</v>
      </c>
      <c r="J464" s="25">
        <f>IFERROR(__xludf.DUMMYFUNCTION("""COMPUTED_VALUE"""),43934.63611111111)</f>
        <v>43934.63611</v>
      </c>
      <c r="K464" s="22">
        <f>IFERROR(__xludf.DUMMYFUNCTION("""COMPUTED_VALUE"""),32.37)</f>
        <v>32.37</v>
      </c>
      <c r="M464" s="22" t="str">
        <f t="shared" si="3"/>
        <v/>
      </c>
      <c r="N464" s="22" t="str">
        <f t="shared" si="4"/>
        <v>PREDICT CRASH</v>
      </c>
    </row>
    <row r="465" ht="15.75" customHeight="1">
      <c r="A465" s="25">
        <f>IFERROR(__xludf.DUMMYFUNCTION("""COMPUTED_VALUE"""),43935.66666666667)</f>
        <v>43935.66667</v>
      </c>
      <c r="B465" s="22">
        <f>IFERROR(__xludf.DUMMYFUNCTION("""COMPUTED_VALUE"""),2846.06)</f>
        <v>2846.06</v>
      </c>
      <c r="C465" s="25">
        <f>IFERROR(__xludf.DUMMYFUNCTION("""COMPUTED_VALUE"""),43935.63611111111)</f>
        <v>43935.63611</v>
      </c>
      <c r="D465" s="22">
        <f>IFERROR(__xludf.DUMMYFUNCTION("""COMPUTED_VALUE"""),37.76)</f>
        <v>37.76</v>
      </c>
      <c r="E465" s="26">
        <f t="shared" si="2"/>
        <v>0.0305725242</v>
      </c>
      <c r="F465" s="25">
        <f>IFERROR(__xludf.DUMMYFUNCTION("""COMPUTED_VALUE"""),43935.63611111111)</f>
        <v>43935.63611</v>
      </c>
      <c r="G465" s="22">
        <f>IFERROR(__xludf.DUMMYFUNCTION("""COMPUTED_VALUE"""),36.46)</f>
        <v>36.46</v>
      </c>
      <c r="H465" s="25">
        <f>IFERROR(__xludf.DUMMYFUNCTION("""COMPUTED_VALUE"""),43935.63611111111)</f>
        <v>43935.63611</v>
      </c>
      <c r="I465" s="22">
        <f>IFERROR(__xludf.DUMMYFUNCTION("""COMPUTED_VALUE"""),34.91)</f>
        <v>34.91</v>
      </c>
      <c r="J465" s="25">
        <f>IFERROR(__xludf.DUMMYFUNCTION("""COMPUTED_VALUE"""),43935.63611111111)</f>
        <v>43935.63611</v>
      </c>
      <c r="K465" s="22">
        <f>IFERROR(__xludf.DUMMYFUNCTION("""COMPUTED_VALUE"""),31.11)</f>
        <v>31.11</v>
      </c>
      <c r="M465" s="22" t="str">
        <f t="shared" si="3"/>
        <v/>
      </c>
      <c r="N465" s="22" t="str">
        <f t="shared" si="4"/>
        <v>PREDICT CRASH</v>
      </c>
    </row>
    <row r="466" ht="15.75" customHeight="1">
      <c r="A466" s="25">
        <f>IFERROR(__xludf.DUMMYFUNCTION("""COMPUTED_VALUE"""),43936.66666666667)</f>
        <v>43936.66667</v>
      </c>
      <c r="B466" s="22">
        <f>IFERROR(__xludf.DUMMYFUNCTION("""COMPUTED_VALUE"""),2783.36)</f>
        <v>2783.36</v>
      </c>
      <c r="C466" s="25">
        <f>IFERROR(__xludf.DUMMYFUNCTION("""COMPUTED_VALUE"""),43936.63611111111)</f>
        <v>43936.63611</v>
      </c>
      <c r="D466" s="22">
        <f>IFERROR(__xludf.DUMMYFUNCTION("""COMPUTED_VALUE"""),40.84)</f>
        <v>40.84</v>
      </c>
      <c r="E466" s="26">
        <f t="shared" si="2"/>
        <v>-0.02203045614</v>
      </c>
      <c r="F466" s="25">
        <f>IFERROR(__xludf.DUMMYFUNCTION("""COMPUTED_VALUE"""),43936.63611111111)</f>
        <v>43936.63611</v>
      </c>
      <c r="G466" s="22">
        <f>IFERROR(__xludf.DUMMYFUNCTION("""COMPUTED_VALUE"""),39.28)</f>
        <v>39.28</v>
      </c>
      <c r="H466" s="25">
        <f>IFERROR(__xludf.DUMMYFUNCTION("""COMPUTED_VALUE"""),43936.63611111111)</f>
        <v>43936.63611</v>
      </c>
      <c r="I466" s="22">
        <f>IFERROR(__xludf.DUMMYFUNCTION("""COMPUTED_VALUE"""),36.94)</f>
        <v>36.94</v>
      </c>
      <c r="J466" s="25">
        <f>IFERROR(__xludf.DUMMYFUNCTION("""COMPUTED_VALUE"""),43936.63611111111)</f>
        <v>43936.63611</v>
      </c>
      <c r="K466" s="22">
        <f>IFERROR(__xludf.DUMMYFUNCTION("""COMPUTED_VALUE"""),32.74)</f>
        <v>32.74</v>
      </c>
      <c r="M466" s="22" t="str">
        <f t="shared" si="3"/>
        <v/>
      </c>
      <c r="N466" s="22" t="str">
        <f t="shared" si="4"/>
        <v>PREDICT CRASH</v>
      </c>
    </row>
    <row r="467" ht="15.75" customHeight="1">
      <c r="A467" s="25">
        <f>IFERROR(__xludf.DUMMYFUNCTION("""COMPUTED_VALUE"""),43937.66666666667)</f>
        <v>43937.66667</v>
      </c>
      <c r="B467" s="22">
        <f>IFERROR(__xludf.DUMMYFUNCTION("""COMPUTED_VALUE"""),2799.55)</f>
        <v>2799.55</v>
      </c>
      <c r="C467" s="25">
        <f>IFERROR(__xludf.DUMMYFUNCTION("""COMPUTED_VALUE"""),43937.63611111111)</f>
        <v>43937.63611</v>
      </c>
      <c r="D467" s="22">
        <f>IFERROR(__xludf.DUMMYFUNCTION("""COMPUTED_VALUE"""),40.11)</f>
        <v>40.11</v>
      </c>
      <c r="E467" s="26">
        <f t="shared" si="2"/>
        <v>0.005816710738</v>
      </c>
      <c r="F467" s="25">
        <f>IFERROR(__xludf.DUMMYFUNCTION("""COMPUTED_VALUE"""),43937.63611111111)</f>
        <v>43937.63611</v>
      </c>
      <c r="G467" s="22">
        <f>IFERROR(__xludf.DUMMYFUNCTION("""COMPUTED_VALUE"""),39.21)</f>
        <v>39.21</v>
      </c>
      <c r="H467" s="25">
        <f>IFERROR(__xludf.DUMMYFUNCTION("""COMPUTED_VALUE"""),43937.63611111111)</f>
        <v>43937.63611</v>
      </c>
      <c r="I467" s="22">
        <f>IFERROR(__xludf.DUMMYFUNCTION("""COMPUTED_VALUE"""),37.04)</f>
        <v>37.04</v>
      </c>
      <c r="J467" s="25">
        <f>IFERROR(__xludf.DUMMYFUNCTION("""COMPUTED_VALUE"""),43937.63611111111)</f>
        <v>43937.63611</v>
      </c>
      <c r="K467" s="22">
        <f>IFERROR(__xludf.DUMMYFUNCTION("""COMPUTED_VALUE"""),32.95)</f>
        <v>32.95</v>
      </c>
      <c r="M467" s="22" t="str">
        <f t="shared" si="3"/>
        <v/>
      </c>
      <c r="N467" s="22" t="str">
        <f t="shared" si="4"/>
        <v>PREDICT CRASH</v>
      </c>
    </row>
    <row r="468" ht="15.75" customHeight="1">
      <c r="A468" s="25">
        <f>IFERROR(__xludf.DUMMYFUNCTION("""COMPUTED_VALUE"""),43938.66666666667)</f>
        <v>43938.66667</v>
      </c>
      <c r="B468" s="22">
        <f>IFERROR(__xludf.DUMMYFUNCTION("""COMPUTED_VALUE"""),2874.56)</f>
        <v>2874.56</v>
      </c>
      <c r="C468" s="25">
        <f>IFERROR(__xludf.DUMMYFUNCTION("""COMPUTED_VALUE"""),43938.63611111111)</f>
        <v>43938.63611</v>
      </c>
      <c r="D468" s="22">
        <f>IFERROR(__xludf.DUMMYFUNCTION("""COMPUTED_VALUE"""),38.15)</f>
        <v>38.15</v>
      </c>
      <c r="E468" s="26">
        <f t="shared" si="2"/>
        <v>0.02679359183</v>
      </c>
      <c r="F468" s="25">
        <f>IFERROR(__xludf.DUMMYFUNCTION("""COMPUTED_VALUE"""),43938.63611111111)</f>
        <v>43938.63611</v>
      </c>
      <c r="G468" s="22">
        <f>IFERROR(__xludf.DUMMYFUNCTION("""COMPUTED_VALUE"""),37.28)</f>
        <v>37.28</v>
      </c>
      <c r="H468" s="25">
        <f>IFERROR(__xludf.DUMMYFUNCTION("""COMPUTED_VALUE"""),43938.63611111111)</f>
        <v>43938.63611</v>
      </c>
      <c r="I468" s="22">
        <f>IFERROR(__xludf.DUMMYFUNCTION("""COMPUTED_VALUE"""),35.66)</f>
        <v>35.66</v>
      </c>
      <c r="J468" s="25">
        <f>IFERROR(__xludf.DUMMYFUNCTION("""COMPUTED_VALUE"""),43938.63611111111)</f>
        <v>43938.63611</v>
      </c>
      <c r="K468" s="22">
        <f>IFERROR(__xludf.DUMMYFUNCTION("""COMPUTED_VALUE"""),32.43)</f>
        <v>32.43</v>
      </c>
      <c r="M468" s="22" t="str">
        <f t="shared" si="3"/>
        <v/>
      </c>
      <c r="N468" s="22" t="str">
        <f t="shared" si="4"/>
        <v>PREDICT CRASH</v>
      </c>
    </row>
    <row r="469" ht="15.75" customHeight="1">
      <c r="A469" s="25">
        <f>IFERROR(__xludf.DUMMYFUNCTION("""COMPUTED_VALUE"""),43941.66666666667)</f>
        <v>43941.66667</v>
      </c>
      <c r="B469" s="22">
        <f>IFERROR(__xludf.DUMMYFUNCTION("""COMPUTED_VALUE"""),2823.16)</f>
        <v>2823.16</v>
      </c>
      <c r="C469" s="25">
        <f>IFERROR(__xludf.DUMMYFUNCTION("""COMPUTED_VALUE"""),43941.63611111111)</f>
        <v>43941.63611</v>
      </c>
      <c r="D469" s="22">
        <f>IFERROR(__xludf.DUMMYFUNCTION("""COMPUTED_VALUE"""),43.83)</f>
        <v>43.83</v>
      </c>
      <c r="E469" s="26">
        <f t="shared" si="2"/>
        <v>-0.01788099744</v>
      </c>
      <c r="F469" s="25">
        <f>IFERROR(__xludf.DUMMYFUNCTION("""COMPUTED_VALUE"""),43941.63611111111)</f>
        <v>43941.63611</v>
      </c>
      <c r="G469" s="22">
        <f>IFERROR(__xludf.DUMMYFUNCTION("""COMPUTED_VALUE"""),40.97)</f>
        <v>40.97</v>
      </c>
      <c r="H469" s="25">
        <f>IFERROR(__xludf.DUMMYFUNCTION("""COMPUTED_VALUE"""),43941.63611111111)</f>
        <v>43941.63611</v>
      </c>
      <c r="I469" s="22">
        <f>IFERROR(__xludf.DUMMYFUNCTION("""COMPUTED_VALUE"""),38.29)</f>
        <v>38.29</v>
      </c>
      <c r="J469" s="25">
        <f>IFERROR(__xludf.DUMMYFUNCTION("""COMPUTED_VALUE"""),43941.63611111111)</f>
        <v>43941.63611</v>
      </c>
      <c r="K469" s="22">
        <f>IFERROR(__xludf.DUMMYFUNCTION("""COMPUTED_VALUE"""),33.59)</f>
        <v>33.59</v>
      </c>
      <c r="M469" s="22" t="str">
        <f t="shared" si="3"/>
        <v/>
      </c>
      <c r="N469" s="22" t="str">
        <f t="shared" si="4"/>
        <v>PREDICT CRASH</v>
      </c>
    </row>
    <row r="470" ht="15.75" customHeight="1">
      <c r="A470" s="25">
        <f>IFERROR(__xludf.DUMMYFUNCTION("""COMPUTED_VALUE"""),43942.66666666667)</f>
        <v>43942.66667</v>
      </c>
      <c r="B470" s="22">
        <f>IFERROR(__xludf.DUMMYFUNCTION("""COMPUTED_VALUE"""),2736.56)</f>
        <v>2736.56</v>
      </c>
      <c r="C470" s="25">
        <f>IFERROR(__xludf.DUMMYFUNCTION("""COMPUTED_VALUE"""),43942.63611111111)</f>
        <v>43942.63611</v>
      </c>
      <c r="D470" s="22">
        <f>IFERROR(__xludf.DUMMYFUNCTION("""COMPUTED_VALUE"""),45.41)</f>
        <v>45.41</v>
      </c>
      <c r="E470" s="26">
        <f t="shared" si="2"/>
        <v>-0.03067484663</v>
      </c>
      <c r="F470" s="25">
        <f>IFERROR(__xludf.DUMMYFUNCTION("""COMPUTED_VALUE"""),43942.63611111111)</f>
        <v>43942.63611</v>
      </c>
      <c r="G470" s="22">
        <f>IFERROR(__xludf.DUMMYFUNCTION("""COMPUTED_VALUE"""),43.28)</f>
        <v>43.28</v>
      </c>
      <c r="H470" s="25">
        <f>IFERROR(__xludf.DUMMYFUNCTION("""COMPUTED_VALUE"""),43942.63611111111)</f>
        <v>43942.63611</v>
      </c>
      <c r="I470" s="22">
        <f>IFERROR(__xludf.DUMMYFUNCTION("""COMPUTED_VALUE"""),40.39)</f>
        <v>40.39</v>
      </c>
      <c r="J470" s="25">
        <f>IFERROR(__xludf.DUMMYFUNCTION("""COMPUTED_VALUE"""),43942.63611111111)</f>
        <v>43942.63611</v>
      </c>
      <c r="K470" s="22">
        <f>IFERROR(__xludf.DUMMYFUNCTION("""COMPUTED_VALUE"""),35.35)</f>
        <v>35.35</v>
      </c>
      <c r="M470" s="22" t="str">
        <f t="shared" si="3"/>
        <v/>
      </c>
      <c r="N470" s="22" t="str">
        <f t="shared" si="4"/>
        <v>PREDICT CRASH</v>
      </c>
    </row>
    <row r="471" ht="15.75" customHeight="1">
      <c r="A471" s="25">
        <f>IFERROR(__xludf.DUMMYFUNCTION("""COMPUTED_VALUE"""),43943.66666666667)</f>
        <v>43943.66667</v>
      </c>
      <c r="B471" s="22">
        <f>IFERROR(__xludf.DUMMYFUNCTION("""COMPUTED_VALUE"""),2799.31)</f>
        <v>2799.31</v>
      </c>
      <c r="C471" s="25">
        <f>IFERROR(__xludf.DUMMYFUNCTION("""COMPUTED_VALUE"""),43943.63611111111)</f>
        <v>43943.63611</v>
      </c>
      <c r="D471" s="22">
        <f>IFERROR(__xludf.DUMMYFUNCTION("""COMPUTED_VALUE"""),41.98)</f>
        <v>41.98</v>
      </c>
      <c r="E471" s="26">
        <f t="shared" si="2"/>
        <v>0.02293024819</v>
      </c>
      <c r="F471" s="25">
        <f>IFERROR(__xludf.DUMMYFUNCTION("""COMPUTED_VALUE"""),43943.63611111111)</f>
        <v>43943.63611</v>
      </c>
      <c r="G471" s="22">
        <f>IFERROR(__xludf.DUMMYFUNCTION("""COMPUTED_VALUE"""),40.92)</f>
        <v>40.92</v>
      </c>
      <c r="H471" s="25">
        <f>IFERROR(__xludf.DUMMYFUNCTION("""COMPUTED_VALUE"""),43943.63611111111)</f>
        <v>43943.63611</v>
      </c>
      <c r="I471" s="22">
        <f>IFERROR(__xludf.DUMMYFUNCTION("""COMPUTED_VALUE"""),38.89)</f>
        <v>38.89</v>
      </c>
      <c r="J471" s="25">
        <f>IFERROR(__xludf.DUMMYFUNCTION("""COMPUTED_VALUE"""),43943.63611111111)</f>
        <v>43943.63611</v>
      </c>
      <c r="K471" s="22">
        <f>IFERROR(__xludf.DUMMYFUNCTION("""COMPUTED_VALUE"""),34.49)</f>
        <v>34.49</v>
      </c>
      <c r="M471" s="22" t="str">
        <f t="shared" si="3"/>
        <v/>
      </c>
      <c r="N471" s="22" t="str">
        <f t="shared" si="4"/>
        <v>PREDICT CRASH</v>
      </c>
    </row>
    <row r="472" ht="15.75" customHeight="1">
      <c r="A472" s="25">
        <f>IFERROR(__xludf.DUMMYFUNCTION("""COMPUTED_VALUE"""),43944.66666666667)</f>
        <v>43944.66667</v>
      </c>
      <c r="B472" s="22">
        <f>IFERROR(__xludf.DUMMYFUNCTION("""COMPUTED_VALUE"""),2797.8)</f>
        <v>2797.8</v>
      </c>
      <c r="C472" s="25">
        <f>IFERROR(__xludf.DUMMYFUNCTION("""COMPUTED_VALUE"""),43944.63611111111)</f>
        <v>43944.63611</v>
      </c>
      <c r="D472" s="22">
        <f>IFERROR(__xludf.DUMMYFUNCTION("""COMPUTED_VALUE"""),41.38)</f>
        <v>41.38</v>
      </c>
      <c r="E472" s="26">
        <f t="shared" si="2"/>
        <v>-0.0005394186425</v>
      </c>
      <c r="F472" s="25">
        <f>IFERROR(__xludf.DUMMYFUNCTION("""COMPUTED_VALUE"""),43944.63611111111)</f>
        <v>43944.63611</v>
      </c>
      <c r="G472" s="22">
        <f>IFERROR(__xludf.DUMMYFUNCTION("""COMPUTED_VALUE"""),40.86)</f>
        <v>40.86</v>
      </c>
      <c r="H472" s="25">
        <f>IFERROR(__xludf.DUMMYFUNCTION("""COMPUTED_VALUE"""),43944.63611111111)</f>
        <v>43944.63611</v>
      </c>
      <c r="I472" s="22">
        <f>IFERROR(__xludf.DUMMYFUNCTION("""COMPUTED_VALUE"""),39.16)</f>
        <v>39.16</v>
      </c>
      <c r="J472" s="25">
        <f>IFERROR(__xludf.DUMMYFUNCTION("""COMPUTED_VALUE"""),43944.63611111111)</f>
        <v>43944.63611</v>
      </c>
      <c r="K472" s="22">
        <f>IFERROR(__xludf.DUMMYFUNCTION("""COMPUTED_VALUE"""),34.8)</f>
        <v>34.8</v>
      </c>
      <c r="M472" s="22" t="str">
        <f t="shared" si="3"/>
        <v/>
      </c>
      <c r="N472" s="22" t="str">
        <f t="shared" si="4"/>
        <v>PREDICT CRASH</v>
      </c>
    </row>
    <row r="473" ht="15.75" customHeight="1">
      <c r="A473" s="25">
        <f>IFERROR(__xludf.DUMMYFUNCTION("""COMPUTED_VALUE"""),43945.66666666667)</f>
        <v>43945.66667</v>
      </c>
      <c r="B473" s="22">
        <f>IFERROR(__xludf.DUMMYFUNCTION("""COMPUTED_VALUE"""),2836.74)</f>
        <v>2836.74</v>
      </c>
      <c r="C473" s="25">
        <f>IFERROR(__xludf.DUMMYFUNCTION("""COMPUTED_VALUE"""),43945.63611111111)</f>
        <v>43945.63611</v>
      </c>
      <c r="D473" s="22">
        <f>IFERROR(__xludf.DUMMYFUNCTION("""COMPUTED_VALUE"""),35.93)</f>
        <v>35.93</v>
      </c>
      <c r="E473" s="26">
        <f t="shared" si="2"/>
        <v>0.01391807849</v>
      </c>
      <c r="F473" s="25">
        <f>IFERROR(__xludf.DUMMYFUNCTION("""COMPUTED_VALUE"""),43945.63611111111)</f>
        <v>43945.63611</v>
      </c>
      <c r="G473" s="22">
        <f>IFERROR(__xludf.DUMMYFUNCTION("""COMPUTED_VALUE"""),37.81)</f>
        <v>37.81</v>
      </c>
      <c r="H473" s="25">
        <f>IFERROR(__xludf.DUMMYFUNCTION("""COMPUTED_VALUE"""),43945.63611111111)</f>
        <v>43945.63611</v>
      </c>
      <c r="I473" s="22">
        <f>IFERROR(__xludf.DUMMYFUNCTION("""COMPUTED_VALUE"""),37.1)</f>
        <v>37.1</v>
      </c>
      <c r="J473" s="25">
        <f>IFERROR(__xludf.DUMMYFUNCTION("""COMPUTED_VALUE"""),43945.63611111111)</f>
        <v>43945.63611</v>
      </c>
      <c r="K473" s="22">
        <f>IFERROR(__xludf.DUMMYFUNCTION("""COMPUTED_VALUE"""),33.52)</f>
        <v>33.52</v>
      </c>
      <c r="M473" s="22" t="str">
        <f t="shared" si="3"/>
        <v/>
      </c>
      <c r="N473" s="22" t="str">
        <f t="shared" si="4"/>
        <v>PREDICT CRASH</v>
      </c>
    </row>
    <row r="474" ht="15.75" customHeight="1">
      <c r="A474" s="25">
        <f>IFERROR(__xludf.DUMMYFUNCTION("""COMPUTED_VALUE"""),43948.66666666667)</f>
        <v>43948.66667</v>
      </c>
      <c r="B474" s="22">
        <f>IFERROR(__xludf.DUMMYFUNCTION("""COMPUTED_VALUE"""),2878.48)</f>
        <v>2878.48</v>
      </c>
      <c r="C474" s="25">
        <f>IFERROR(__xludf.DUMMYFUNCTION("""COMPUTED_VALUE"""),43948.63611111111)</f>
        <v>43948.63611</v>
      </c>
      <c r="D474" s="22">
        <f>IFERROR(__xludf.DUMMYFUNCTION("""COMPUTED_VALUE"""),33.29)</f>
        <v>33.29</v>
      </c>
      <c r="E474" s="26">
        <f t="shared" si="2"/>
        <v>0.0147140732</v>
      </c>
      <c r="F474" s="25">
        <f>IFERROR(__xludf.DUMMYFUNCTION("""COMPUTED_VALUE"""),43948.63611111111)</f>
        <v>43948.63611</v>
      </c>
      <c r="G474" s="22">
        <f>IFERROR(__xludf.DUMMYFUNCTION("""COMPUTED_VALUE"""),35.33)</f>
        <v>35.33</v>
      </c>
      <c r="H474" s="25">
        <f>IFERROR(__xludf.DUMMYFUNCTION("""COMPUTED_VALUE"""),43948.63611111111)</f>
        <v>43948.63611</v>
      </c>
      <c r="I474" s="22">
        <f>IFERROR(__xludf.DUMMYFUNCTION("""COMPUTED_VALUE"""),35.12)</f>
        <v>35.12</v>
      </c>
      <c r="J474" s="25">
        <f>IFERROR(__xludf.DUMMYFUNCTION("""COMPUTED_VALUE"""),43948.63611111111)</f>
        <v>43948.63611</v>
      </c>
      <c r="K474" s="22">
        <f>IFERROR(__xludf.DUMMYFUNCTION("""COMPUTED_VALUE"""),32.11)</f>
        <v>32.11</v>
      </c>
      <c r="M474" s="22" t="str">
        <f t="shared" si="3"/>
        <v/>
      </c>
      <c r="N474" s="22" t="str">
        <f t="shared" si="4"/>
        <v>PREDICT CRASH</v>
      </c>
    </row>
    <row r="475" ht="15.75" customHeight="1">
      <c r="A475" s="25">
        <f>IFERROR(__xludf.DUMMYFUNCTION("""COMPUTED_VALUE"""),43949.66666666667)</f>
        <v>43949.66667</v>
      </c>
      <c r="B475" s="22">
        <f>IFERROR(__xludf.DUMMYFUNCTION("""COMPUTED_VALUE"""),2863.39)</f>
        <v>2863.39</v>
      </c>
      <c r="C475" s="25">
        <f>IFERROR(__xludf.DUMMYFUNCTION("""COMPUTED_VALUE"""),43949.63611111111)</f>
        <v>43949.63611</v>
      </c>
      <c r="D475" s="22">
        <f>IFERROR(__xludf.DUMMYFUNCTION("""COMPUTED_VALUE"""),33.57)</f>
        <v>33.57</v>
      </c>
      <c r="E475" s="26">
        <f t="shared" si="2"/>
        <v>-0.005242350129</v>
      </c>
      <c r="F475" s="25">
        <f>IFERROR(__xludf.DUMMYFUNCTION("""COMPUTED_VALUE"""),43949.63611111111)</f>
        <v>43949.63611</v>
      </c>
      <c r="G475" s="22">
        <f>IFERROR(__xludf.DUMMYFUNCTION("""COMPUTED_VALUE"""),35.37)</f>
        <v>35.37</v>
      </c>
      <c r="H475" s="25">
        <f>IFERROR(__xludf.DUMMYFUNCTION("""COMPUTED_VALUE"""),43949.63611111111)</f>
        <v>43949.63611</v>
      </c>
      <c r="I475" s="22">
        <f>IFERROR(__xludf.DUMMYFUNCTION("""COMPUTED_VALUE"""),34.95)</f>
        <v>34.95</v>
      </c>
      <c r="J475" s="25">
        <f>IFERROR(__xludf.DUMMYFUNCTION("""COMPUTED_VALUE"""),43949.63611111111)</f>
        <v>43949.63611</v>
      </c>
      <c r="K475" s="22">
        <f>IFERROR(__xludf.DUMMYFUNCTION("""COMPUTED_VALUE"""),31.79)</f>
        <v>31.79</v>
      </c>
      <c r="M475" s="22" t="str">
        <f t="shared" si="3"/>
        <v/>
      </c>
      <c r="N475" s="22" t="str">
        <f t="shared" si="4"/>
        <v>PREDICT CRASH</v>
      </c>
    </row>
    <row r="476" ht="15.75" customHeight="1">
      <c r="A476" s="25">
        <f>IFERROR(__xludf.DUMMYFUNCTION("""COMPUTED_VALUE"""),43950.66666666667)</f>
        <v>43950.66667</v>
      </c>
      <c r="B476" s="22">
        <f>IFERROR(__xludf.DUMMYFUNCTION("""COMPUTED_VALUE"""),2939.51)</f>
        <v>2939.51</v>
      </c>
      <c r="C476" s="25">
        <f>IFERROR(__xludf.DUMMYFUNCTION("""COMPUTED_VALUE"""),43950.63611111111)</f>
        <v>43950.63611</v>
      </c>
      <c r="D476" s="22">
        <f>IFERROR(__xludf.DUMMYFUNCTION("""COMPUTED_VALUE"""),31.23)</f>
        <v>31.23</v>
      </c>
      <c r="E476" s="26">
        <f t="shared" si="2"/>
        <v>0.02658387436</v>
      </c>
      <c r="F476" s="25">
        <f>IFERROR(__xludf.DUMMYFUNCTION("""COMPUTED_VALUE"""),43950.63611111111)</f>
        <v>43950.63611</v>
      </c>
      <c r="G476" s="22">
        <f>IFERROR(__xludf.DUMMYFUNCTION("""COMPUTED_VALUE"""),33.33)</f>
        <v>33.33</v>
      </c>
      <c r="H476" s="25">
        <f>IFERROR(__xludf.DUMMYFUNCTION("""COMPUTED_VALUE"""),43950.63611111111)</f>
        <v>43950.63611</v>
      </c>
      <c r="I476" s="22">
        <f>IFERROR(__xludf.DUMMYFUNCTION("""COMPUTED_VALUE"""),33.19)</f>
        <v>33.19</v>
      </c>
      <c r="J476" s="25">
        <f>IFERROR(__xludf.DUMMYFUNCTION("""COMPUTED_VALUE"""),43950.63611111111)</f>
        <v>43950.63611</v>
      </c>
      <c r="K476" s="22">
        <f>IFERROR(__xludf.DUMMYFUNCTION("""COMPUTED_VALUE"""),30.68)</f>
        <v>30.68</v>
      </c>
      <c r="M476" s="22" t="str">
        <f t="shared" si="3"/>
        <v/>
      </c>
      <c r="N476" s="22" t="str">
        <f t="shared" si="4"/>
        <v>PREDICT CRASH</v>
      </c>
    </row>
    <row r="477" ht="15.75" customHeight="1">
      <c r="A477" s="25">
        <f>IFERROR(__xludf.DUMMYFUNCTION("""COMPUTED_VALUE"""),43951.66666666667)</f>
        <v>43951.66667</v>
      </c>
      <c r="B477" s="22">
        <f>IFERROR(__xludf.DUMMYFUNCTION("""COMPUTED_VALUE"""),2912.43)</f>
        <v>2912.43</v>
      </c>
      <c r="C477" s="25">
        <f>IFERROR(__xludf.DUMMYFUNCTION("""COMPUTED_VALUE"""),43951.63611111111)</f>
        <v>43951.63611</v>
      </c>
      <c r="D477" s="22">
        <f>IFERROR(__xludf.DUMMYFUNCTION("""COMPUTED_VALUE"""),34.15)</f>
        <v>34.15</v>
      </c>
      <c r="E477" s="26">
        <f t="shared" si="2"/>
        <v>-0.009212419757</v>
      </c>
      <c r="F477" s="25">
        <f>IFERROR(__xludf.DUMMYFUNCTION("""COMPUTED_VALUE"""),43951.63611111111)</f>
        <v>43951.63611</v>
      </c>
      <c r="G477" s="22">
        <f>IFERROR(__xludf.DUMMYFUNCTION("""COMPUTED_VALUE"""),35.05)</f>
        <v>35.05</v>
      </c>
      <c r="H477" s="25">
        <f>IFERROR(__xludf.DUMMYFUNCTION("""COMPUTED_VALUE"""),43951.63611111111)</f>
        <v>43951.63611</v>
      </c>
      <c r="I477" s="22">
        <f>IFERROR(__xludf.DUMMYFUNCTION("""COMPUTED_VALUE"""),34.49)</f>
        <v>34.49</v>
      </c>
      <c r="J477" s="25">
        <f>IFERROR(__xludf.DUMMYFUNCTION("""COMPUTED_VALUE"""),43951.63611111111)</f>
        <v>43951.63611</v>
      </c>
      <c r="K477" s="22">
        <f>IFERROR(__xludf.DUMMYFUNCTION("""COMPUTED_VALUE"""),31.61)</f>
        <v>31.61</v>
      </c>
      <c r="M477" s="22" t="str">
        <f t="shared" si="3"/>
        <v/>
      </c>
      <c r="N477" s="22" t="str">
        <f t="shared" si="4"/>
        <v>PREDICT CRASH</v>
      </c>
    </row>
    <row r="478" ht="15.75" customHeight="1">
      <c r="A478" s="25">
        <f>IFERROR(__xludf.DUMMYFUNCTION("""COMPUTED_VALUE"""),43952.66666666667)</f>
        <v>43952.66667</v>
      </c>
      <c r="B478" s="22">
        <f>IFERROR(__xludf.DUMMYFUNCTION("""COMPUTED_VALUE"""),2830.71)</f>
        <v>2830.71</v>
      </c>
      <c r="C478" s="25">
        <f>IFERROR(__xludf.DUMMYFUNCTION("""COMPUTED_VALUE"""),43952.63611111111)</f>
        <v>43952.63611</v>
      </c>
      <c r="D478" s="22">
        <f>IFERROR(__xludf.DUMMYFUNCTION("""COMPUTED_VALUE"""),37.19)</f>
        <v>37.19</v>
      </c>
      <c r="E478" s="26">
        <f t="shared" si="2"/>
        <v>-0.02805904348</v>
      </c>
      <c r="F478" s="25">
        <f>IFERROR(__xludf.DUMMYFUNCTION("""COMPUTED_VALUE"""),43952.63611111111)</f>
        <v>43952.63611</v>
      </c>
      <c r="G478" s="22">
        <f>IFERROR(__xludf.DUMMYFUNCTION("""COMPUTED_VALUE"""),37.97)</f>
        <v>37.97</v>
      </c>
      <c r="H478" s="25">
        <f>IFERROR(__xludf.DUMMYFUNCTION("""COMPUTED_VALUE"""),43952.63611111111)</f>
        <v>43952.63611</v>
      </c>
      <c r="I478" s="22">
        <f>IFERROR(__xludf.DUMMYFUNCTION("""COMPUTED_VALUE"""),36.85)</f>
        <v>36.85</v>
      </c>
      <c r="J478" s="25">
        <f>IFERROR(__xludf.DUMMYFUNCTION("""COMPUTED_VALUE"""),43952.63611111111)</f>
        <v>43952.63611</v>
      </c>
      <c r="K478" s="22">
        <f>IFERROR(__xludf.DUMMYFUNCTION("""COMPUTED_VALUE"""),33.29)</f>
        <v>33.29</v>
      </c>
      <c r="M478" s="22" t="str">
        <f t="shared" si="3"/>
        <v/>
      </c>
      <c r="N478" s="22" t="str">
        <f t="shared" si="4"/>
        <v>PREDICT CRASH</v>
      </c>
    </row>
    <row r="479" ht="15.75" customHeight="1">
      <c r="A479" s="25">
        <f>IFERROR(__xludf.DUMMYFUNCTION("""COMPUTED_VALUE"""),43955.66666666667)</f>
        <v>43955.66667</v>
      </c>
      <c r="B479" s="22">
        <f>IFERROR(__xludf.DUMMYFUNCTION("""COMPUTED_VALUE"""),2842.74)</f>
        <v>2842.74</v>
      </c>
      <c r="C479" s="25">
        <f>IFERROR(__xludf.DUMMYFUNCTION("""COMPUTED_VALUE"""),43955.63611111111)</f>
        <v>43955.63611</v>
      </c>
      <c r="D479" s="22">
        <f>IFERROR(__xludf.DUMMYFUNCTION("""COMPUTED_VALUE"""),35.97)</f>
        <v>35.97</v>
      </c>
      <c r="E479" s="26">
        <f t="shared" si="2"/>
        <v>0.004249817184</v>
      </c>
      <c r="F479" s="25">
        <f>IFERROR(__xludf.DUMMYFUNCTION("""COMPUTED_VALUE"""),43955.63611111111)</f>
        <v>43955.63611</v>
      </c>
      <c r="G479" s="22">
        <f>IFERROR(__xludf.DUMMYFUNCTION("""COMPUTED_VALUE"""),37.0)</f>
        <v>37</v>
      </c>
      <c r="H479" s="25">
        <f>IFERROR(__xludf.DUMMYFUNCTION("""COMPUTED_VALUE"""),43955.63611111111)</f>
        <v>43955.63611</v>
      </c>
      <c r="I479" s="22">
        <f>IFERROR(__xludf.DUMMYFUNCTION("""COMPUTED_VALUE"""),36.43)</f>
        <v>36.43</v>
      </c>
      <c r="J479" s="25">
        <f>IFERROR(__xludf.DUMMYFUNCTION("""COMPUTED_VALUE"""),43955.63611111111)</f>
        <v>43955.63611</v>
      </c>
      <c r="K479" s="22">
        <f>IFERROR(__xludf.DUMMYFUNCTION("""COMPUTED_VALUE"""),33.09)</f>
        <v>33.09</v>
      </c>
      <c r="M479" s="22" t="str">
        <f t="shared" si="3"/>
        <v/>
      </c>
      <c r="N479" s="22" t="str">
        <f t="shared" si="4"/>
        <v>PREDICT CRASH</v>
      </c>
    </row>
    <row r="480" ht="15.75" customHeight="1">
      <c r="A480" s="25">
        <f>IFERROR(__xludf.DUMMYFUNCTION("""COMPUTED_VALUE"""),43956.66666666667)</f>
        <v>43956.66667</v>
      </c>
      <c r="B480" s="22">
        <f>IFERROR(__xludf.DUMMYFUNCTION("""COMPUTED_VALUE"""),2868.44)</f>
        <v>2868.44</v>
      </c>
      <c r="C480" s="25">
        <f>IFERROR(__xludf.DUMMYFUNCTION("""COMPUTED_VALUE"""),43956.63611111111)</f>
        <v>43956.63611</v>
      </c>
      <c r="D480" s="22">
        <f>IFERROR(__xludf.DUMMYFUNCTION("""COMPUTED_VALUE"""),33.61)</f>
        <v>33.61</v>
      </c>
      <c r="E480" s="26">
        <f t="shared" si="2"/>
        <v>0.009040573531</v>
      </c>
      <c r="F480" s="25">
        <f>IFERROR(__xludf.DUMMYFUNCTION("""COMPUTED_VALUE"""),43956.63611111111)</f>
        <v>43956.63611</v>
      </c>
      <c r="G480" s="22">
        <f>IFERROR(__xludf.DUMMYFUNCTION("""COMPUTED_VALUE"""),35.52)</f>
        <v>35.52</v>
      </c>
      <c r="H480" s="25">
        <f>IFERROR(__xludf.DUMMYFUNCTION("""COMPUTED_VALUE"""),43956.63611111111)</f>
        <v>43956.63611</v>
      </c>
      <c r="I480" s="22">
        <f>IFERROR(__xludf.DUMMYFUNCTION("""COMPUTED_VALUE"""),35.29)</f>
        <v>35.29</v>
      </c>
      <c r="J480" s="25">
        <f>IFERROR(__xludf.DUMMYFUNCTION("""COMPUTED_VALUE"""),43956.63611111111)</f>
        <v>43956.63611</v>
      </c>
      <c r="K480" s="22">
        <f>IFERROR(__xludf.DUMMYFUNCTION("""COMPUTED_VALUE"""),32.38)</f>
        <v>32.38</v>
      </c>
      <c r="M480" s="22" t="str">
        <f t="shared" si="3"/>
        <v/>
      </c>
      <c r="N480" s="22" t="str">
        <f t="shared" si="4"/>
        <v>PREDICT CRASH</v>
      </c>
    </row>
    <row r="481" ht="15.75" customHeight="1">
      <c r="A481" s="25">
        <f>IFERROR(__xludf.DUMMYFUNCTION("""COMPUTED_VALUE"""),43957.66666666667)</f>
        <v>43957.66667</v>
      </c>
      <c r="B481" s="22">
        <f>IFERROR(__xludf.DUMMYFUNCTION("""COMPUTED_VALUE"""),2848.42)</f>
        <v>2848.42</v>
      </c>
      <c r="C481" s="25">
        <f>IFERROR(__xludf.DUMMYFUNCTION("""COMPUTED_VALUE"""),43957.63611111111)</f>
        <v>43957.63611</v>
      </c>
      <c r="D481" s="22">
        <f>IFERROR(__xludf.DUMMYFUNCTION("""COMPUTED_VALUE"""),34.12)</f>
        <v>34.12</v>
      </c>
      <c r="E481" s="26">
        <f t="shared" si="2"/>
        <v>-0.006979403439</v>
      </c>
      <c r="F481" s="25">
        <f>IFERROR(__xludf.DUMMYFUNCTION("""COMPUTED_VALUE"""),43957.63611111111)</f>
        <v>43957.63611</v>
      </c>
      <c r="G481" s="22">
        <f>IFERROR(__xludf.DUMMYFUNCTION("""COMPUTED_VALUE"""),35.68)</f>
        <v>35.68</v>
      </c>
      <c r="H481" s="25">
        <f>IFERROR(__xludf.DUMMYFUNCTION("""COMPUTED_VALUE"""),43957.63611111111)</f>
        <v>43957.63611</v>
      </c>
      <c r="I481" s="22">
        <f>IFERROR(__xludf.DUMMYFUNCTION("""COMPUTED_VALUE"""),35.58)</f>
        <v>35.58</v>
      </c>
      <c r="J481" s="25">
        <f>IFERROR(__xludf.DUMMYFUNCTION("""COMPUTED_VALUE"""),43957.63611111111)</f>
        <v>43957.63611</v>
      </c>
      <c r="K481" s="22">
        <f>IFERROR(__xludf.DUMMYFUNCTION("""COMPUTED_VALUE"""),32.71)</f>
        <v>32.71</v>
      </c>
      <c r="M481" s="22" t="str">
        <f t="shared" si="3"/>
        <v/>
      </c>
      <c r="N481" s="22" t="str">
        <f t="shared" si="4"/>
        <v>PREDICT CRASH</v>
      </c>
    </row>
    <row r="482" ht="15.75" customHeight="1">
      <c r="A482" s="25">
        <f>IFERROR(__xludf.DUMMYFUNCTION("""COMPUTED_VALUE"""),43958.66666666667)</f>
        <v>43958.66667</v>
      </c>
      <c r="B482" s="22">
        <f>IFERROR(__xludf.DUMMYFUNCTION("""COMPUTED_VALUE"""),2881.19)</f>
        <v>2881.19</v>
      </c>
      <c r="C482" s="25">
        <f>IFERROR(__xludf.DUMMYFUNCTION("""COMPUTED_VALUE"""),43958.63611111111)</f>
        <v>43958.63611</v>
      </c>
      <c r="D482" s="22">
        <f>IFERROR(__xludf.DUMMYFUNCTION("""COMPUTED_VALUE"""),31.44)</f>
        <v>31.44</v>
      </c>
      <c r="E482" s="26">
        <f t="shared" si="2"/>
        <v>0.01150462362</v>
      </c>
      <c r="F482" s="25">
        <f>IFERROR(__xludf.DUMMYFUNCTION("""COMPUTED_VALUE"""),43958.63611111111)</f>
        <v>43958.63611</v>
      </c>
      <c r="G482" s="22">
        <f>IFERROR(__xludf.DUMMYFUNCTION("""COMPUTED_VALUE"""),34.01)</f>
        <v>34.01</v>
      </c>
      <c r="H482" s="25">
        <f>IFERROR(__xludf.DUMMYFUNCTION("""COMPUTED_VALUE"""),43958.63611111111)</f>
        <v>43958.63611</v>
      </c>
      <c r="I482" s="22">
        <f>IFERROR(__xludf.DUMMYFUNCTION("""COMPUTED_VALUE"""),34.45)</f>
        <v>34.45</v>
      </c>
      <c r="J482" s="25">
        <f>IFERROR(__xludf.DUMMYFUNCTION("""COMPUTED_VALUE"""),43958.63611111111)</f>
        <v>43958.63611</v>
      </c>
      <c r="K482" s="22">
        <f>IFERROR(__xludf.DUMMYFUNCTION("""COMPUTED_VALUE"""),31.91)</f>
        <v>31.91</v>
      </c>
      <c r="M482" s="22" t="str">
        <f t="shared" si="3"/>
        <v/>
      </c>
      <c r="N482" s="22" t="str">
        <f t="shared" si="4"/>
        <v>PREDICT CRASH</v>
      </c>
    </row>
    <row r="483" ht="15.75" customHeight="1">
      <c r="A483" s="25">
        <f>IFERROR(__xludf.DUMMYFUNCTION("""COMPUTED_VALUE"""),43959.66666666667)</f>
        <v>43959.66667</v>
      </c>
      <c r="B483" s="22">
        <f>IFERROR(__xludf.DUMMYFUNCTION("""COMPUTED_VALUE"""),2929.8)</f>
        <v>2929.8</v>
      </c>
      <c r="C483" s="25">
        <f>IFERROR(__xludf.DUMMYFUNCTION("""COMPUTED_VALUE"""),43959.63611111111)</f>
        <v>43959.63611</v>
      </c>
      <c r="D483" s="22">
        <f>IFERROR(__xludf.DUMMYFUNCTION("""COMPUTED_VALUE"""),27.98)</f>
        <v>27.98</v>
      </c>
      <c r="E483" s="26">
        <f t="shared" si="2"/>
        <v>0.01687150101</v>
      </c>
      <c r="F483" s="25">
        <f>IFERROR(__xludf.DUMMYFUNCTION("""COMPUTED_VALUE"""),43959.63611111111)</f>
        <v>43959.63611</v>
      </c>
      <c r="G483" s="22">
        <f>IFERROR(__xludf.DUMMYFUNCTION("""COMPUTED_VALUE"""),31.64)</f>
        <v>31.64</v>
      </c>
      <c r="H483" s="25">
        <f>IFERROR(__xludf.DUMMYFUNCTION("""COMPUTED_VALUE"""),43959.63611111111)</f>
        <v>43959.63611</v>
      </c>
      <c r="I483" s="22">
        <f>IFERROR(__xludf.DUMMYFUNCTION("""COMPUTED_VALUE"""),32.73)</f>
        <v>32.73</v>
      </c>
      <c r="J483" s="25">
        <f>IFERROR(__xludf.DUMMYFUNCTION("""COMPUTED_VALUE"""),43959.63611111111)</f>
        <v>43959.63611</v>
      </c>
      <c r="K483" s="22">
        <f>IFERROR(__xludf.DUMMYFUNCTION("""COMPUTED_VALUE"""),30.67)</f>
        <v>30.67</v>
      </c>
      <c r="M483" s="22" t="str">
        <f t="shared" si="3"/>
        <v/>
      </c>
      <c r="N483" s="22" t="str">
        <f t="shared" si="4"/>
        <v>PREDICT CRASH</v>
      </c>
    </row>
    <row r="484" ht="15.75" customHeight="1">
      <c r="A484" s="25">
        <f>IFERROR(__xludf.DUMMYFUNCTION("""COMPUTED_VALUE"""),43962.66666666667)</f>
        <v>43962.66667</v>
      </c>
      <c r="B484" s="22">
        <f>IFERROR(__xludf.DUMMYFUNCTION("""COMPUTED_VALUE"""),2930.32)</f>
        <v>2930.32</v>
      </c>
      <c r="C484" s="25">
        <f>IFERROR(__xludf.DUMMYFUNCTION("""COMPUTED_VALUE"""),43962.63611111111)</f>
        <v>43962.63611</v>
      </c>
      <c r="D484" s="22">
        <f>IFERROR(__xludf.DUMMYFUNCTION("""COMPUTED_VALUE"""),27.57)</f>
        <v>27.57</v>
      </c>
      <c r="E484" s="26">
        <f t="shared" si="2"/>
        <v>0.0001774865179</v>
      </c>
      <c r="F484" s="25">
        <f>IFERROR(__xludf.DUMMYFUNCTION("""COMPUTED_VALUE"""),43962.63611111111)</f>
        <v>43962.63611</v>
      </c>
      <c r="G484" s="22">
        <f>IFERROR(__xludf.DUMMYFUNCTION("""COMPUTED_VALUE"""),30.39)</f>
        <v>30.39</v>
      </c>
      <c r="H484" s="25">
        <f>IFERROR(__xludf.DUMMYFUNCTION("""COMPUTED_VALUE"""),43962.63611111111)</f>
        <v>43962.63611</v>
      </c>
      <c r="I484" s="22">
        <f>IFERROR(__xludf.DUMMYFUNCTION("""COMPUTED_VALUE"""),32.13)</f>
        <v>32.13</v>
      </c>
      <c r="J484" s="25">
        <f>IFERROR(__xludf.DUMMYFUNCTION("""COMPUTED_VALUE"""),43962.63611111111)</f>
        <v>43962.63611</v>
      </c>
      <c r="K484" s="22">
        <f>IFERROR(__xludf.DUMMYFUNCTION("""COMPUTED_VALUE"""),30.27)</f>
        <v>30.27</v>
      </c>
      <c r="M484" s="22" t="str">
        <f t="shared" si="3"/>
        <v/>
      </c>
      <c r="N484" s="22" t="str">
        <f t="shared" si="4"/>
        <v>PREDICT CRASH</v>
      </c>
    </row>
    <row r="485" ht="15.75" customHeight="1">
      <c r="A485" s="25">
        <f>IFERROR(__xludf.DUMMYFUNCTION("""COMPUTED_VALUE"""),43963.66666666667)</f>
        <v>43963.66667</v>
      </c>
      <c r="B485" s="22">
        <f>IFERROR(__xludf.DUMMYFUNCTION("""COMPUTED_VALUE"""),2870.12)</f>
        <v>2870.12</v>
      </c>
      <c r="C485" s="25">
        <f>IFERROR(__xludf.DUMMYFUNCTION("""COMPUTED_VALUE"""),43963.63611111111)</f>
        <v>43963.63611</v>
      </c>
      <c r="D485" s="22">
        <f>IFERROR(__xludf.DUMMYFUNCTION("""COMPUTED_VALUE"""),33.04)</f>
        <v>33.04</v>
      </c>
      <c r="E485" s="26">
        <f t="shared" si="2"/>
        <v>-0.02054383139</v>
      </c>
      <c r="F485" s="25">
        <f>IFERROR(__xludf.DUMMYFUNCTION("""COMPUTED_VALUE"""),43963.63611111111)</f>
        <v>43963.63611</v>
      </c>
      <c r="G485" s="22">
        <f>IFERROR(__xludf.DUMMYFUNCTION("""COMPUTED_VALUE"""),34.26)</f>
        <v>34.26</v>
      </c>
      <c r="H485" s="25">
        <f>IFERROR(__xludf.DUMMYFUNCTION("""COMPUTED_VALUE"""),43963.63611111111)</f>
        <v>43963.63611</v>
      </c>
      <c r="I485" s="22">
        <f>IFERROR(__xludf.DUMMYFUNCTION("""COMPUTED_VALUE"""),34.77)</f>
        <v>34.77</v>
      </c>
      <c r="J485" s="25">
        <f>IFERROR(__xludf.DUMMYFUNCTION("""COMPUTED_VALUE"""),43963.63611111111)</f>
        <v>43963.63611</v>
      </c>
      <c r="K485" s="22">
        <f>IFERROR(__xludf.DUMMYFUNCTION("""COMPUTED_VALUE"""),31.99)</f>
        <v>31.99</v>
      </c>
      <c r="M485" s="22" t="str">
        <f t="shared" si="3"/>
        <v/>
      </c>
      <c r="N485" s="22" t="str">
        <f t="shared" si="4"/>
        <v>PREDICT CRASH</v>
      </c>
    </row>
    <row r="486" ht="15.75" customHeight="1">
      <c r="A486" s="25">
        <f>IFERROR(__xludf.DUMMYFUNCTION("""COMPUTED_VALUE"""),43964.66666666667)</f>
        <v>43964.66667</v>
      </c>
      <c r="B486" s="22">
        <f>IFERROR(__xludf.DUMMYFUNCTION("""COMPUTED_VALUE"""),2820.0)</f>
        <v>2820</v>
      </c>
      <c r="C486" s="25">
        <f>IFERROR(__xludf.DUMMYFUNCTION("""COMPUTED_VALUE"""),43964.63611111111)</f>
        <v>43964.63611</v>
      </c>
      <c r="D486" s="22">
        <f>IFERROR(__xludf.DUMMYFUNCTION("""COMPUTED_VALUE"""),35.28)</f>
        <v>35.28</v>
      </c>
      <c r="E486" s="26">
        <f t="shared" si="2"/>
        <v>-0.01746268449</v>
      </c>
      <c r="F486" s="25">
        <f>IFERROR(__xludf.DUMMYFUNCTION("""COMPUTED_VALUE"""),43964.63611111111)</f>
        <v>43964.63611</v>
      </c>
      <c r="G486" s="22">
        <f>IFERROR(__xludf.DUMMYFUNCTION("""COMPUTED_VALUE"""),36.51)</f>
        <v>36.51</v>
      </c>
      <c r="H486" s="25">
        <f>IFERROR(__xludf.DUMMYFUNCTION("""COMPUTED_VALUE"""),43964.63611111111)</f>
        <v>43964.63611</v>
      </c>
      <c r="I486" s="22">
        <f>IFERROR(__xludf.DUMMYFUNCTION("""COMPUTED_VALUE"""),36.72)</f>
        <v>36.72</v>
      </c>
      <c r="J486" s="25">
        <f>IFERROR(__xludf.DUMMYFUNCTION("""COMPUTED_VALUE"""),43964.63611111111)</f>
        <v>43964.63611</v>
      </c>
      <c r="K486" s="22">
        <f>IFERROR(__xludf.DUMMYFUNCTION("""COMPUTED_VALUE"""),33.3)</f>
        <v>33.3</v>
      </c>
      <c r="M486" s="22" t="str">
        <f t="shared" si="3"/>
        <v/>
      </c>
      <c r="N486" s="22" t="str">
        <f t="shared" si="4"/>
        <v>PREDICT CRASH</v>
      </c>
    </row>
    <row r="487" ht="15.75" customHeight="1">
      <c r="A487" s="25">
        <f>IFERROR(__xludf.DUMMYFUNCTION("""COMPUTED_VALUE"""),43965.66666666667)</f>
        <v>43965.66667</v>
      </c>
      <c r="B487" s="22">
        <f>IFERROR(__xludf.DUMMYFUNCTION("""COMPUTED_VALUE"""),2852.5)</f>
        <v>2852.5</v>
      </c>
      <c r="C487" s="25">
        <f>IFERROR(__xludf.DUMMYFUNCTION("""COMPUTED_VALUE"""),43965.63611111111)</f>
        <v>43965.63611</v>
      </c>
      <c r="D487" s="22">
        <f>IFERROR(__xludf.DUMMYFUNCTION("""COMPUTED_VALUE"""),32.61)</f>
        <v>32.61</v>
      </c>
      <c r="E487" s="26">
        <f t="shared" si="2"/>
        <v>0.0115248227</v>
      </c>
      <c r="F487" s="25">
        <f>IFERROR(__xludf.DUMMYFUNCTION("""COMPUTED_VALUE"""),43965.63611111111)</f>
        <v>43965.63611</v>
      </c>
      <c r="G487" s="22">
        <f>IFERROR(__xludf.DUMMYFUNCTION("""COMPUTED_VALUE"""),34.9)</f>
        <v>34.9</v>
      </c>
      <c r="H487" s="25">
        <f>IFERROR(__xludf.DUMMYFUNCTION("""COMPUTED_VALUE"""),43965.63611111111)</f>
        <v>43965.63611</v>
      </c>
      <c r="I487" s="22">
        <f>IFERROR(__xludf.DUMMYFUNCTION("""COMPUTED_VALUE"""),35.66)</f>
        <v>35.66</v>
      </c>
      <c r="J487" s="25">
        <f>IFERROR(__xludf.DUMMYFUNCTION("""COMPUTED_VALUE"""),43965.63611111111)</f>
        <v>43965.63611</v>
      </c>
      <c r="K487" s="22">
        <f>IFERROR(__xludf.DUMMYFUNCTION("""COMPUTED_VALUE"""),32.73)</f>
        <v>32.73</v>
      </c>
      <c r="M487" s="22" t="str">
        <f t="shared" si="3"/>
        <v/>
      </c>
      <c r="N487" s="22" t="str">
        <f t="shared" si="4"/>
        <v>PREDICT CRASH</v>
      </c>
    </row>
    <row r="488" ht="15.75" customHeight="1">
      <c r="A488" s="25">
        <f>IFERROR(__xludf.DUMMYFUNCTION("""COMPUTED_VALUE"""),43966.66666666667)</f>
        <v>43966.66667</v>
      </c>
      <c r="B488" s="22">
        <f>IFERROR(__xludf.DUMMYFUNCTION("""COMPUTED_VALUE"""),2863.7)</f>
        <v>2863.7</v>
      </c>
      <c r="C488" s="25">
        <f>IFERROR(__xludf.DUMMYFUNCTION("""COMPUTED_VALUE"""),43966.63611111111)</f>
        <v>43966.63611</v>
      </c>
      <c r="D488" s="22">
        <f>IFERROR(__xludf.DUMMYFUNCTION("""COMPUTED_VALUE"""),31.89)</f>
        <v>31.89</v>
      </c>
      <c r="E488" s="26">
        <f t="shared" si="2"/>
        <v>0.003926380368</v>
      </c>
      <c r="F488" s="25">
        <f>IFERROR(__xludf.DUMMYFUNCTION("""COMPUTED_VALUE"""),43966.63611111111)</f>
        <v>43966.63611</v>
      </c>
      <c r="G488" s="22">
        <f>IFERROR(__xludf.DUMMYFUNCTION("""COMPUTED_VALUE"""),34.51)</f>
        <v>34.51</v>
      </c>
      <c r="H488" s="25">
        <f>IFERROR(__xludf.DUMMYFUNCTION("""COMPUTED_VALUE"""),43966.63611111111)</f>
        <v>43966.63611</v>
      </c>
      <c r="I488" s="22">
        <f>IFERROR(__xludf.DUMMYFUNCTION("""COMPUTED_VALUE"""),35.57)</f>
        <v>35.57</v>
      </c>
      <c r="J488" s="25">
        <f>IFERROR(__xludf.DUMMYFUNCTION("""COMPUTED_VALUE"""),43966.63611111111)</f>
        <v>43966.63611</v>
      </c>
      <c r="K488" s="22">
        <f>IFERROR(__xludf.DUMMYFUNCTION("""COMPUTED_VALUE"""),32.83)</f>
        <v>32.83</v>
      </c>
      <c r="M488" s="22" t="str">
        <f t="shared" si="3"/>
        <v/>
      </c>
      <c r="N488" s="22" t="str">
        <f t="shared" si="4"/>
        <v>PREDICT CRASH</v>
      </c>
    </row>
    <row r="489" ht="15.75" customHeight="1">
      <c r="A489" s="25">
        <f>IFERROR(__xludf.DUMMYFUNCTION("""COMPUTED_VALUE"""),43969.66666666667)</f>
        <v>43969.66667</v>
      </c>
      <c r="B489" s="22">
        <f>IFERROR(__xludf.DUMMYFUNCTION("""COMPUTED_VALUE"""),2953.91)</f>
        <v>2953.91</v>
      </c>
      <c r="C489" s="25">
        <f>IFERROR(__xludf.DUMMYFUNCTION("""COMPUTED_VALUE"""),43969.63611111111)</f>
        <v>43969.63611</v>
      </c>
      <c r="D489" s="22">
        <f>IFERROR(__xludf.DUMMYFUNCTION("""COMPUTED_VALUE"""),29.3)</f>
        <v>29.3</v>
      </c>
      <c r="E489" s="26">
        <f t="shared" si="2"/>
        <v>0.03150120474</v>
      </c>
      <c r="F489" s="25">
        <f>IFERROR(__xludf.DUMMYFUNCTION("""COMPUTED_VALUE"""),43969.63611111111)</f>
        <v>43969.63611</v>
      </c>
      <c r="G489" s="22">
        <f>IFERROR(__xludf.DUMMYFUNCTION("""COMPUTED_VALUE"""),31.77)</f>
        <v>31.77</v>
      </c>
      <c r="H489" s="25">
        <f>IFERROR(__xludf.DUMMYFUNCTION("""COMPUTED_VALUE"""),43969.63611111111)</f>
        <v>43969.63611</v>
      </c>
      <c r="I489" s="22">
        <f>IFERROR(__xludf.DUMMYFUNCTION("""COMPUTED_VALUE"""),33.14)</f>
        <v>33.14</v>
      </c>
      <c r="J489" s="25">
        <f>IFERROR(__xludf.DUMMYFUNCTION("""COMPUTED_VALUE"""),43969.63611111111)</f>
        <v>43969.63611</v>
      </c>
      <c r="K489" s="22">
        <f>IFERROR(__xludf.DUMMYFUNCTION("""COMPUTED_VALUE"""),30.89)</f>
        <v>30.89</v>
      </c>
      <c r="M489" s="22" t="str">
        <f t="shared" si="3"/>
        <v/>
      </c>
      <c r="N489" s="22" t="str">
        <f t="shared" si="4"/>
        <v>PREDICT CRASH</v>
      </c>
    </row>
    <row r="490" ht="15.75" customHeight="1">
      <c r="A490" s="25">
        <f>IFERROR(__xludf.DUMMYFUNCTION("""COMPUTED_VALUE"""),43970.66666666667)</f>
        <v>43970.66667</v>
      </c>
      <c r="B490" s="22">
        <f>IFERROR(__xludf.DUMMYFUNCTION("""COMPUTED_VALUE"""),2922.94)</f>
        <v>2922.94</v>
      </c>
      <c r="C490" s="25">
        <f>IFERROR(__xludf.DUMMYFUNCTION("""COMPUTED_VALUE"""),43970.63611111111)</f>
        <v>43970.63611</v>
      </c>
      <c r="D490" s="22">
        <f>IFERROR(__xludf.DUMMYFUNCTION("""COMPUTED_VALUE"""),30.53)</f>
        <v>30.53</v>
      </c>
      <c r="E490" s="26">
        <f t="shared" si="2"/>
        <v>-0.0104844088</v>
      </c>
      <c r="F490" s="25">
        <f>IFERROR(__xludf.DUMMYFUNCTION("""COMPUTED_VALUE"""),43970.63611111111)</f>
        <v>43970.63611</v>
      </c>
      <c r="G490" s="22">
        <f>IFERROR(__xludf.DUMMYFUNCTION("""COMPUTED_VALUE"""),32.81)</f>
        <v>32.81</v>
      </c>
      <c r="H490" s="25">
        <f>IFERROR(__xludf.DUMMYFUNCTION("""COMPUTED_VALUE"""),43970.63611111111)</f>
        <v>43970.63611</v>
      </c>
      <c r="I490" s="22">
        <f>IFERROR(__xludf.DUMMYFUNCTION("""COMPUTED_VALUE"""),33.59)</f>
        <v>33.59</v>
      </c>
      <c r="J490" s="25">
        <f>IFERROR(__xludf.DUMMYFUNCTION("""COMPUTED_VALUE"""),43970.63611111111)</f>
        <v>43970.63611</v>
      </c>
      <c r="K490" s="22">
        <f>IFERROR(__xludf.DUMMYFUNCTION("""COMPUTED_VALUE"""),31.16)</f>
        <v>31.16</v>
      </c>
      <c r="M490" s="22" t="str">
        <f t="shared" si="3"/>
        <v/>
      </c>
      <c r="N490" s="22" t="str">
        <f t="shared" si="4"/>
        <v>PREDICT CRASH</v>
      </c>
    </row>
    <row r="491" ht="15.75" customHeight="1">
      <c r="A491" s="25">
        <f>IFERROR(__xludf.DUMMYFUNCTION("""COMPUTED_VALUE"""),43971.66666666667)</f>
        <v>43971.66667</v>
      </c>
      <c r="B491" s="22">
        <f>IFERROR(__xludf.DUMMYFUNCTION("""COMPUTED_VALUE"""),2971.61)</f>
        <v>2971.61</v>
      </c>
      <c r="C491" s="25">
        <f>IFERROR(__xludf.DUMMYFUNCTION("""COMPUTED_VALUE"""),43971.63611111111)</f>
        <v>43971.63611</v>
      </c>
      <c r="D491" s="22">
        <f>IFERROR(__xludf.DUMMYFUNCTION("""COMPUTED_VALUE"""),27.99)</f>
        <v>27.99</v>
      </c>
      <c r="E491" s="26">
        <f t="shared" si="2"/>
        <v>0.01665104313</v>
      </c>
      <c r="F491" s="25">
        <f>IFERROR(__xludf.DUMMYFUNCTION("""COMPUTED_VALUE"""),43971.63611111111)</f>
        <v>43971.63611</v>
      </c>
      <c r="G491" s="22">
        <f>IFERROR(__xludf.DUMMYFUNCTION("""COMPUTED_VALUE"""),31.11)</f>
        <v>31.11</v>
      </c>
      <c r="H491" s="25">
        <f>IFERROR(__xludf.DUMMYFUNCTION("""COMPUTED_VALUE"""),43971.63611111111)</f>
        <v>43971.63611</v>
      </c>
      <c r="I491" s="22">
        <f>IFERROR(__xludf.DUMMYFUNCTION("""COMPUTED_VALUE"""),32.45)</f>
        <v>32.45</v>
      </c>
      <c r="J491" s="25">
        <f>IFERROR(__xludf.DUMMYFUNCTION("""COMPUTED_VALUE"""),43971.63611111111)</f>
        <v>43971.63611</v>
      </c>
      <c r="K491" s="22">
        <f>IFERROR(__xludf.DUMMYFUNCTION("""COMPUTED_VALUE"""),30.31)</f>
        <v>30.31</v>
      </c>
      <c r="M491" s="22" t="str">
        <f t="shared" si="3"/>
        <v/>
      </c>
      <c r="N491" s="22" t="str">
        <f t="shared" si="4"/>
        <v>PREDICT CRASH</v>
      </c>
    </row>
    <row r="492" ht="15.75" customHeight="1">
      <c r="A492" s="25">
        <f>IFERROR(__xludf.DUMMYFUNCTION("""COMPUTED_VALUE"""),43972.66666666667)</f>
        <v>43972.66667</v>
      </c>
      <c r="B492" s="22">
        <f>IFERROR(__xludf.DUMMYFUNCTION("""COMPUTED_VALUE"""),2948.51)</f>
        <v>2948.51</v>
      </c>
      <c r="C492" s="25">
        <f>IFERROR(__xludf.DUMMYFUNCTION("""COMPUTED_VALUE"""),43972.63611111111)</f>
        <v>43972.63611</v>
      </c>
      <c r="D492" s="22">
        <f>IFERROR(__xludf.DUMMYFUNCTION("""COMPUTED_VALUE"""),29.53)</f>
        <v>29.53</v>
      </c>
      <c r="E492" s="26">
        <f t="shared" si="2"/>
        <v>-0.007773563826</v>
      </c>
      <c r="F492" s="25">
        <f>IFERROR(__xludf.DUMMYFUNCTION("""COMPUTED_VALUE"""),43972.63611111111)</f>
        <v>43972.63611</v>
      </c>
      <c r="G492" s="22">
        <f>IFERROR(__xludf.DUMMYFUNCTION("""COMPUTED_VALUE"""),32.38)</f>
        <v>32.38</v>
      </c>
      <c r="H492" s="25">
        <f>IFERROR(__xludf.DUMMYFUNCTION("""COMPUTED_VALUE"""),43972.63611111111)</f>
        <v>43972.63611</v>
      </c>
      <c r="I492" s="22">
        <f>IFERROR(__xludf.DUMMYFUNCTION("""COMPUTED_VALUE"""),33.59)</f>
        <v>33.59</v>
      </c>
      <c r="J492" s="25">
        <f>IFERROR(__xludf.DUMMYFUNCTION("""COMPUTED_VALUE"""),43972.63611111111)</f>
        <v>43972.63611</v>
      </c>
      <c r="K492" s="22">
        <f>IFERROR(__xludf.DUMMYFUNCTION("""COMPUTED_VALUE"""),31.13)</f>
        <v>31.13</v>
      </c>
      <c r="M492" s="22" t="str">
        <f t="shared" si="3"/>
        <v/>
      </c>
      <c r="N492" s="22" t="str">
        <f t="shared" si="4"/>
        <v>PREDICT CRASH</v>
      </c>
    </row>
    <row r="493" ht="15.75" customHeight="1">
      <c r="A493" s="25">
        <f>IFERROR(__xludf.DUMMYFUNCTION("""COMPUTED_VALUE"""),43973.66666666667)</f>
        <v>43973.66667</v>
      </c>
      <c r="B493" s="22">
        <f>IFERROR(__xludf.DUMMYFUNCTION("""COMPUTED_VALUE"""),2955.45)</f>
        <v>2955.45</v>
      </c>
      <c r="C493" s="25">
        <f>IFERROR(__xludf.DUMMYFUNCTION("""COMPUTED_VALUE"""),43973.63611111111)</f>
        <v>43973.63611</v>
      </c>
      <c r="D493" s="22">
        <f>IFERROR(__xludf.DUMMYFUNCTION("""COMPUTED_VALUE"""),28.16)</f>
        <v>28.16</v>
      </c>
      <c r="E493" s="26">
        <f t="shared" si="2"/>
        <v>0.002353731207</v>
      </c>
      <c r="F493" s="25">
        <f>IFERROR(__xludf.DUMMYFUNCTION("""COMPUTED_VALUE"""),43973.63611111111)</f>
        <v>43973.63611</v>
      </c>
      <c r="G493" s="22">
        <f>IFERROR(__xludf.DUMMYFUNCTION("""COMPUTED_VALUE"""),31.54)</f>
        <v>31.54</v>
      </c>
      <c r="H493" s="25">
        <f>IFERROR(__xludf.DUMMYFUNCTION("""COMPUTED_VALUE"""),43973.63611111111)</f>
        <v>43973.63611</v>
      </c>
      <c r="I493" s="22">
        <f>IFERROR(__xludf.DUMMYFUNCTION("""COMPUTED_VALUE"""),33.16)</f>
        <v>33.16</v>
      </c>
      <c r="J493" s="25">
        <f>IFERROR(__xludf.DUMMYFUNCTION("""COMPUTED_VALUE"""),43973.63611111111)</f>
        <v>43973.63611</v>
      </c>
      <c r="K493" s="22">
        <f>IFERROR(__xludf.DUMMYFUNCTION("""COMPUTED_VALUE"""),30.68)</f>
        <v>30.68</v>
      </c>
      <c r="M493" s="22" t="str">
        <f t="shared" si="3"/>
        <v/>
      </c>
      <c r="N493" s="22" t="str">
        <f t="shared" si="4"/>
        <v>PREDICT CRASH</v>
      </c>
    </row>
    <row r="494" ht="15.75" customHeight="1">
      <c r="A494" s="25">
        <f>IFERROR(__xludf.DUMMYFUNCTION("""COMPUTED_VALUE"""),43977.66666666667)</f>
        <v>43977.66667</v>
      </c>
      <c r="B494" s="22">
        <f>IFERROR(__xludf.DUMMYFUNCTION("""COMPUTED_VALUE"""),2991.77)</f>
        <v>2991.77</v>
      </c>
      <c r="C494" s="25">
        <f>IFERROR(__xludf.DUMMYFUNCTION("""COMPUTED_VALUE"""),43977.63611111111)</f>
        <v>43977.63611</v>
      </c>
      <c r="D494" s="22">
        <f>IFERROR(__xludf.DUMMYFUNCTION("""COMPUTED_VALUE"""),28.01)</f>
        <v>28.01</v>
      </c>
      <c r="E494" s="26">
        <f t="shared" si="2"/>
        <v>0.0122891607</v>
      </c>
      <c r="F494" s="25">
        <f>IFERROR(__xludf.DUMMYFUNCTION("""COMPUTED_VALUE"""),43977.63611111111)</f>
        <v>43977.63611</v>
      </c>
      <c r="G494" s="22">
        <f>IFERROR(__xludf.DUMMYFUNCTION("""COMPUTED_VALUE"""),30.85)</f>
        <v>30.85</v>
      </c>
      <c r="H494" s="25">
        <f>IFERROR(__xludf.DUMMYFUNCTION("""COMPUTED_VALUE"""),43977.63611111111)</f>
        <v>43977.63611</v>
      </c>
      <c r="I494" s="22">
        <f>IFERROR(__xludf.DUMMYFUNCTION("""COMPUTED_VALUE"""),32.55)</f>
        <v>32.55</v>
      </c>
      <c r="J494" s="25">
        <f>IFERROR(__xludf.DUMMYFUNCTION("""COMPUTED_VALUE"""),43977.63611111111)</f>
        <v>43977.63611</v>
      </c>
      <c r="K494" s="22">
        <f>IFERROR(__xludf.DUMMYFUNCTION("""COMPUTED_VALUE"""),29.94)</f>
        <v>29.94</v>
      </c>
      <c r="M494" s="22" t="str">
        <f t="shared" si="3"/>
        <v/>
      </c>
      <c r="N494" s="22" t="str">
        <f t="shared" si="4"/>
        <v>PREDICT CRASH</v>
      </c>
    </row>
    <row r="495" ht="15.75" customHeight="1">
      <c r="A495" s="25">
        <f>IFERROR(__xludf.DUMMYFUNCTION("""COMPUTED_VALUE"""),43978.66666666667)</f>
        <v>43978.66667</v>
      </c>
      <c r="B495" s="22">
        <f>IFERROR(__xludf.DUMMYFUNCTION("""COMPUTED_VALUE"""),3036.13)</f>
        <v>3036.13</v>
      </c>
      <c r="C495" s="25">
        <f>IFERROR(__xludf.DUMMYFUNCTION("""COMPUTED_VALUE"""),43978.63611111111)</f>
        <v>43978.63611</v>
      </c>
      <c r="D495" s="22">
        <f>IFERROR(__xludf.DUMMYFUNCTION("""COMPUTED_VALUE"""),27.62)</f>
        <v>27.62</v>
      </c>
      <c r="E495" s="26">
        <f t="shared" si="2"/>
        <v>0.01482734301</v>
      </c>
      <c r="F495" s="25">
        <f>IFERROR(__xludf.DUMMYFUNCTION("""COMPUTED_VALUE"""),43978.63611111111)</f>
        <v>43978.63611</v>
      </c>
      <c r="G495" s="22">
        <f>IFERROR(__xludf.DUMMYFUNCTION("""COMPUTED_VALUE"""),30.19)</f>
        <v>30.19</v>
      </c>
      <c r="H495" s="25">
        <f>IFERROR(__xludf.DUMMYFUNCTION("""COMPUTED_VALUE"""),43978.63611111111)</f>
        <v>43978.63611</v>
      </c>
      <c r="I495" s="22">
        <f>IFERROR(__xludf.DUMMYFUNCTION("""COMPUTED_VALUE"""),31.85)</f>
        <v>31.85</v>
      </c>
      <c r="J495" s="25">
        <f>IFERROR(__xludf.DUMMYFUNCTION("""COMPUTED_VALUE"""),43978.63611111111)</f>
        <v>43978.63611</v>
      </c>
      <c r="K495" s="22">
        <f>IFERROR(__xludf.DUMMYFUNCTION("""COMPUTED_VALUE"""),29.23)</f>
        <v>29.23</v>
      </c>
      <c r="M495" s="22" t="str">
        <f t="shared" si="3"/>
        <v/>
      </c>
      <c r="N495" s="22" t="str">
        <f t="shared" si="4"/>
        <v>PREDICT CRASH</v>
      </c>
    </row>
    <row r="496" ht="15.75" customHeight="1">
      <c r="A496" s="25">
        <f>IFERROR(__xludf.DUMMYFUNCTION("""COMPUTED_VALUE"""),43979.66666666667)</f>
        <v>43979.66667</v>
      </c>
      <c r="B496" s="22">
        <f>IFERROR(__xludf.DUMMYFUNCTION("""COMPUTED_VALUE"""),3029.73)</f>
        <v>3029.73</v>
      </c>
      <c r="C496" s="25">
        <f>IFERROR(__xludf.DUMMYFUNCTION("""COMPUTED_VALUE"""),43979.63611111111)</f>
        <v>43979.63611</v>
      </c>
      <c r="D496" s="22">
        <f>IFERROR(__xludf.DUMMYFUNCTION("""COMPUTED_VALUE"""),28.59)</f>
        <v>28.59</v>
      </c>
      <c r="E496" s="26">
        <f t="shared" si="2"/>
        <v>-0.002107946629</v>
      </c>
      <c r="F496" s="25">
        <f>IFERROR(__xludf.DUMMYFUNCTION("""COMPUTED_VALUE"""),43979.63611111111)</f>
        <v>43979.63611</v>
      </c>
      <c r="G496" s="22">
        <f>IFERROR(__xludf.DUMMYFUNCTION("""COMPUTED_VALUE"""),31.21)</f>
        <v>31.21</v>
      </c>
      <c r="H496" s="25">
        <f>IFERROR(__xludf.DUMMYFUNCTION("""COMPUTED_VALUE"""),43979.63611111111)</f>
        <v>43979.63611</v>
      </c>
      <c r="I496" s="22">
        <f>IFERROR(__xludf.DUMMYFUNCTION("""COMPUTED_VALUE"""),32.59)</f>
        <v>32.59</v>
      </c>
      <c r="J496" s="25">
        <f>IFERROR(__xludf.DUMMYFUNCTION("""COMPUTED_VALUE"""),43979.63611111111)</f>
        <v>43979.63611</v>
      </c>
      <c r="K496" s="22">
        <f>IFERROR(__xludf.DUMMYFUNCTION("""COMPUTED_VALUE"""),29.66)</f>
        <v>29.66</v>
      </c>
      <c r="M496" s="22" t="str">
        <f t="shared" si="3"/>
        <v/>
      </c>
      <c r="N496" s="22" t="str">
        <f t="shared" si="4"/>
        <v>PREDICT CRASH</v>
      </c>
    </row>
    <row r="497" ht="15.75" customHeight="1">
      <c r="A497" s="25">
        <f>IFERROR(__xludf.DUMMYFUNCTION("""COMPUTED_VALUE"""),43980.66666666667)</f>
        <v>43980.66667</v>
      </c>
      <c r="B497" s="22">
        <f>IFERROR(__xludf.DUMMYFUNCTION("""COMPUTED_VALUE"""),3044.31)</f>
        <v>3044.31</v>
      </c>
      <c r="C497" s="25">
        <f>IFERROR(__xludf.DUMMYFUNCTION("""COMPUTED_VALUE"""),43980.63611111111)</f>
        <v>43980.63611</v>
      </c>
      <c r="D497" s="22">
        <f>IFERROR(__xludf.DUMMYFUNCTION("""COMPUTED_VALUE"""),27.51)</f>
        <v>27.51</v>
      </c>
      <c r="E497" s="26">
        <f t="shared" si="2"/>
        <v>0.004812310008</v>
      </c>
      <c r="F497" s="25">
        <f>IFERROR(__xludf.DUMMYFUNCTION("""COMPUTED_VALUE"""),43980.63611111111)</f>
        <v>43980.63611</v>
      </c>
      <c r="G497" s="22">
        <f>IFERROR(__xludf.DUMMYFUNCTION("""COMPUTED_VALUE"""),30.27)</f>
        <v>30.27</v>
      </c>
      <c r="H497" s="25">
        <f>IFERROR(__xludf.DUMMYFUNCTION("""COMPUTED_VALUE"""),43980.63611111111)</f>
        <v>43980.63611</v>
      </c>
      <c r="I497" s="22">
        <f>IFERROR(__xludf.DUMMYFUNCTION("""COMPUTED_VALUE"""),31.96)</f>
        <v>31.96</v>
      </c>
      <c r="J497" s="25">
        <f>IFERROR(__xludf.DUMMYFUNCTION("""COMPUTED_VALUE"""),43980.63611111111)</f>
        <v>43980.63611</v>
      </c>
      <c r="K497" s="22">
        <f>IFERROR(__xludf.DUMMYFUNCTION("""COMPUTED_VALUE"""),29.29)</f>
        <v>29.29</v>
      </c>
      <c r="M497" s="22" t="str">
        <f t="shared" si="3"/>
        <v/>
      </c>
      <c r="N497" s="22" t="str">
        <f t="shared" si="4"/>
        <v>PREDICT CRASH</v>
      </c>
    </row>
    <row r="498" ht="15.75" customHeight="1">
      <c r="A498" s="25">
        <f>IFERROR(__xludf.DUMMYFUNCTION("""COMPUTED_VALUE"""),43983.66666666667)</f>
        <v>43983.66667</v>
      </c>
      <c r="B498" s="22">
        <f>IFERROR(__xludf.DUMMYFUNCTION("""COMPUTED_VALUE"""),3055.73)</f>
        <v>3055.73</v>
      </c>
      <c r="C498" s="25">
        <f>IFERROR(__xludf.DUMMYFUNCTION("""COMPUTED_VALUE"""),43983.63611111111)</f>
        <v>43983.63611</v>
      </c>
      <c r="D498" s="22">
        <f>IFERROR(__xludf.DUMMYFUNCTION("""COMPUTED_VALUE"""),28.23)</f>
        <v>28.23</v>
      </c>
      <c r="E498" s="26">
        <f t="shared" si="2"/>
        <v>0.003751260548</v>
      </c>
      <c r="F498" s="25">
        <f>IFERROR(__xludf.DUMMYFUNCTION("""COMPUTED_VALUE"""),43983.63611111111)</f>
        <v>43983.63611</v>
      </c>
      <c r="G498" s="22">
        <f>IFERROR(__xludf.DUMMYFUNCTION("""COMPUTED_VALUE"""),30.92)</f>
        <v>30.92</v>
      </c>
      <c r="H498" s="25">
        <f>IFERROR(__xludf.DUMMYFUNCTION("""COMPUTED_VALUE"""),43983.63611111111)</f>
        <v>43983.63611</v>
      </c>
      <c r="I498" s="22">
        <f>IFERROR(__xludf.DUMMYFUNCTION("""COMPUTED_VALUE"""),32.41)</f>
        <v>32.41</v>
      </c>
      <c r="J498" s="25">
        <f>IFERROR(__xludf.DUMMYFUNCTION("""COMPUTED_VALUE"""),43983.63611111111)</f>
        <v>43983.63611</v>
      </c>
      <c r="K498" s="22">
        <f>IFERROR(__xludf.DUMMYFUNCTION("""COMPUTED_VALUE"""),29.43)</f>
        <v>29.43</v>
      </c>
      <c r="M498" s="22" t="str">
        <f t="shared" si="3"/>
        <v/>
      </c>
      <c r="N498" s="22" t="str">
        <f t="shared" si="4"/>
        <v>PREDICT CRASH</v>
      </c>
    </row>
    <row r="499" ht="15.75" customHeight="1">
      <c r="A499" s="25">
        <f>IFERROR(__xludf.DUMMYFUNCTION("""COMPUTED_VALUE"""),43984.66666666667)</f>
        <v>43984.66667</v>
      </c>
      <c r="B499" s="22">
        <f>IFERROR(__xludf.DUMMYFUNCTION("""COMPUTED_VALUE"""),3080.82)</f>
        <v>3080.82</v>
      </c>
      <c r="C499" s="25">
        <f>IFERROR(__xludf.DUMMYFUNCTION("""COMPUTED_VALUE"""),43984.63611111111)</f>
        <v>43984.63611</v>
      </c>
      <c r="D499" s="22">
        <f>IFERROR(__xludf.DUMMYFUNCTION("""COMPUTED_VALUE"""),26.84)</f>
        <v>26.84</v>
      </c>
      <c r="E499" s="26">
        <f t="shared" si="2"/>
        <v>0.008210803965</v>
      </c>
      <c r="F499" s="25">
        <f>IFERROR(__xludf.DUMMYFUNCTION("""COMPUTED_VALUE"""),43984.63611111111)</f>
        <v>43984.63611</v>
      </c>
      <c r="G499" s="22">
        <f>IFERROR(__xludf.DUMMYFUNCTION("""COMPUTED_VALUE"""),29.93)</f>
        <v>29.93</v>
      </c>
      <c r="H499" s="25">
        <f>IFERROR(__xludf.DUMMYFUNCTION("""COMPUTED_VALUE"""),43984.63611111111)</f>
        <v>43984.63611</v>
      </c>
      <c r="I499" s="22">
        <f>IFERROR(__xludf.DUMMYFUNCTION("""COMPUTED_VALUE"""),31.78)</f>
        <v>31.78</v>
      </c>
      <c r="J499" s="25">
        <f>IFERROR(__xludf.DUMMYFUNCTION("""COMPUTED_VALUE"""),43984.63611111111)</f>
        <v>43984.63611</v>
      </c>
      <c r="K499" s="22">
        <f>IFERROR(__xludf.DUMMYFUNCTION("""COMPUTED_VALUE"""),28.99)</f>
        <v>28.99</v>
      </c>
      <c r="M499" s="22" t="str">
        <f t="shared" si="3"/>
        <v/>
      </c>
      <c r="N499" s="22" t="str">
        <f t="shared" si="4"/>
        <v>PREDICT CRASH</v>
      </c>
    </row>
    <row r="500" ht="15.75" customHeight="1">
      <c r="A500" s="25">
        <f>IFERROR(__xludf.DUMMYFUNCTION("""COMPUTED_VALUE"""),43985.66666666667)</f>
        <v>43985.66667</v>
      </c>
      <c r="B500" s="22">
        <f>IFERROR(__xludf.DUMMYFUNCTION("""COMPUTED_VALUE"""),3122.87)</f>
        <v>3122.87</v>
      </c>
      <c r="C500" s="25">
        <f>IFERROR(__xludf.DUMMYFUNCTION("""COMPUTED_VALUE"""),43985.63611111111)</f>
        <v>43985.63611</v>
      </c>
      <c r="D500" s="22">
        <f>IFERROR(__xludf.DUMMYFUNCTION("""COMPUTED_VALUE"""),25.66)</f>
        <v>25.66</v>
      </c>
      <c r="E500" s="26">
        <f t="shared" si="2"/>
        <v>0.01364896359</v>
      </c>
      <c r="F500" s="25">
        <f>IFERROR(__xludf.DUMMYFUNCTION("""COMPUTED_VALUE"""),43985.63611111111)</f>
        <v>43985.63611</v>
      </c>
      <c r="G500" s="22">
        <f>IFERROR(__xludf.DUMMYFUNCTION("""COMPUTED_VALUE"""),28.91)</f>
        <v>28.91</v>
      </c>
      <c r="H500" s="25">
        <f>IFERROR(__xludf.DUMMYFUNCTION("""COMPUTED_VALUE"""),43985.63611111111)</f>
        <v>43985.63611</v>
      </c>
      <c r="I500" s="22">
        <f>IFERROR(__xludf.DUMMYFUNCTION("""COMPUTED_VALUE"""),31.07)</f>
        <v>31.07</v>
      </c>
      <c r="J500" s="25">
        <f>IFERROR(__xludf.DUMMYFUNCTION("""COMPUTED_VALUE"""),43985.63611111111)</f>
        <v>43985.63611</v>
      </c>
      <c r="K500" s="22">
        <f>IFERROR(__xludf.DUMMYFUNCTION("""COMPUTED_VALUE"""),28.56)</f>
        <v>28.56</v>
      </c>
      <c r="M500" s="22" t="str">
        <f t="shared" si="3"/>
        <v/>
      </c>
      <c r="N500" s="22" t="str">
        <f t="shared" si="4"/>
        <v>PREDICT CRASH</v>
      </c>
    </row>
    <row r="501" ht="15.75" customHeight="1">
      <c r="A501" s="25">
        <f>IFERROR(__xludf.DUMMYFUNCTION("""COMPUTED_VALUE"""),43986.66666666667)</f>
        <v>43986.66667</v>
      </c>
      <c r="B501" s="22">
        <f>IFERROR(__xludf.DUMMYFUNCTION("""COMPUTED_VALUE"""),3112.35)</f>
        <v>3112.35</v>
      </c>
      <c r="C501" s="25">
        <f>IFERROR(__xludf.DUMMYFUNCTION("""COMPUTED_VALUE"""),43986.63611111111)</f>
        <v>43986.63611</v>
      </c>
      <c r="D501" s="22">
        <f>IFERROR(__xludf.DUMMYFUNCTION("""COMPUTED_VALUE"""),25.81)</f>
        <v>25.81</v>
      </c>
      <c r="E501" s="26">
        <f t="shared" si="2"/>
        <v>-0.003368696103</v>
      </c>
      <c r="F501" s="25">
        <f>IFERROR(__xludf.DUMMYFUNCTION("""COMPUTED_VALUE"""),43986.63611111111)</f>
        <v>43986.63611</v>
      </c>
      <c r="G501" s="22">
        <f>IFERROR(__xludf.DUMMYFUNCTION("""COMPUTED_VALUE"""),28.85)</f>
        <v>28.85</v>
      </c>
      <c r="H501" s="25">
        <f>IFERROR(__xludf.DUMMYFUNCTION("""COMPUTED_VALUE"""),43986.63611111111)</f>
        <v>43986.63611</v>
      </c>
      <c r="I501" s="22">
        <f>IFERROR(__xludf.DUMMYFUNCTION("""COMPUTED_VALUE"""),30.99)</f>
        <v>30.99</v>
      </c>
      <c r="J501" s="25">
        <f>IFERROR(__xludf.DUMMYFUNCTION("""COMPUTED_VALUE"""),43986.63611111111)</f>
        <v>43986.63611</v>
      </c>
      <c r="K501" s="22">
        <f>IFERROR(__xludf.DUMMYFUNCTION("""COMPUTED_VALUE"""),28.61)</f>
        <v>28.61</v>
      </c>
      <c r="M501" s="22" t="str">
        <f t="shared" si="3"/>
        <v/>
      </c>
      <c r="N501" s="22" t="str">
        <f t="shared" si="4"/>
        <v>PREDICT CRASH</v>
      </c>
    </row>
    <row r="502" ht="15.75" customHeight="1">
      <c r="A502" s="25">
        <f>IFERROR(__xludf.DUMMYFUNCTION("""COMPUTED_VALUE"""),43987.66666666667)</f>
        <v>43987.66667</v>
      </c>
      <c r="B502" s="22">
        <f>IFERROR(__xludf.DUMMYFUNCTION("""COMPUTED_VALUE"""),3193.93)</f>
        <v>3193.93</v>
      </c>
      <c r="C502" s="25">
        <f>IFERROR(__xludf.DUMMYFUNCTION("""COMPUTED_VALUE"""),43987.63611111111)</f>
        <v>43987.63611</v>
      </c>
      <c r="D502" s="22">
        <f>IFERROR(__xludf.DUMMYFUNCTION("""COMPUTED_VALUE"""),24.52)</f>
        <v>24.52</v>
      </c>
      <c r="E502" s="26">
        <f t="shared" si="2"/>
        <v>0.02621170498</v>
      </c>
      <c r="F502" s="25">
        <f>IFERROR(__xludf.DUMMYFUNCTION("""COMPUTED_VALUE"""),43987.63611111111)</f>
        <v>43987.63611</v>
      </c>
      <c r="G502" s="22">
        <f>IFERROR(__xludf.DUMMYFUNCTION("""COMPUTED_VALUE"""),27.42)</f>
        <v>27.42</v>
      </c>
      <c r="H502" s="25">
        <f>IFERROR(__xludf.DUMMYFUNCTION("""COMPUTED_VALUE"""),43987.63611111111)</f>
        <v>43987.63611</v>
      </c>
      <c r="I502" s="22">
        <f>IFERROR(__xludf.DUMMYFUNCTION("""COMPUTED_VALUE"""),29.68)</f>
        <v>29.68</v>
      </c>
      <c r="J502" s="25">
        <f>IFERROR(__xludf.DUMMYFUNCTION("""COMPUTED_VALUE"""),43987.63611111111)</f>
        <v>43987.63611</v>
      </c>
      <c r="K502" s="22">
        <f>IFERROR(__xludf.DUMMYFUNCTION("""COMPUTED_VALUE"""),27.47)</f>
        <v>27.47</v>
      </c>
      <c r="M502" s="22" t="str">
        <f t="shared" si="3"/>
        <v/>
      </c>
      <c r="N502" s="22" t="str">
        <f t="shared" si="4"/>
        <v/>
      </c>
    </row>
    <row r="503" ht="15.75" customHeight="1">
      <c r="A503" s="25">
        <f>IFERROR(__xludf.DUMMYFUNCTION("""COMPUTED_VALUE"""),43990.66666666667)</f>
        <v>43990.66667</v>
      </c>
      <c r="B503" s="22">
        <f>IFERROR(__xludf.DUMMYFUNCTION("""COMPUTED_VALUE"""),3232.39)</f>
        <v>3232.39</v>
      </c>
      <c r="C503" s="25">
        <f>IFERROR(__xludf.DUMMYFUNCTION("""COMPUTED_VALUE"""),43990.63611111111)</f>
        <v>43990.63611</v>
      </c>
      <c r="D503" s="22">
        <f>IFERROR(__xludf.DUMMYFUNCTION("""COMPUTED_VALUE"""),25.81)</f>
        <v>25.81</v>
      </c>
      <c r="E503" s="26">
        <f t="shared" si="2"/>
        <v>0.01204159139</v>
      </c>
      <c r="F503" s="25">
        <f>IFERROR(__xludf.DUMMYFUNCTION("""COMPUTED_VALUE"""),43990.63611111111)</f>
        <v>43990.63611</v>
      </c>
      <c r="G503" s="22">
        <f>IFERROR(__xludf.DUMMYFUNCTION("""COMPUTED_VALUE"""),28.08)</f>
        <v>28.08</v>
      </c>
      <c r="H503" s="25">
        <f>IFERROR(__xludf.DUMMYFUNCTION("""COMPUTED_VALUE"""),43990.63611111111)</f>
        <v>43990.63611</v>
      </c>
      <c r="I503" s="22">
        <f>IFERROR(__xludf.DUMMYFUNCTION("""COMPUTED_VALUE"""),30.04)</f>
        <v>30.04</v>
      </c>
      <c r="J503" s="25">
        <f>IFERROR(__xludf.DUMMYFUNCTION("""COMPUTED_VALUE"""),43990.63611111111)</f>
        <v>43990.63611</v>
      </c>
      <c r="K503" s="22">
        <f>IFERROR(__xludf.DUMMYFUNCTION("""COMPUTED_VALUE"""),27.6)</f>
        <v>27.6</v>
      </c>
      <c r="M503" s="22" t="str">
        <f t="shared" si="3"/>
        <v/>
      </c>
      <c r="N503" s="22" t="str">
        <f t="shared" si="4"/>
        <v>PREDICT CRASH</v>
      </c>
    </row>
    <row r="504" ht="15.75" customHeight="1">
      <c r="A504" s="25">
        <f>IFERROR(__xludf.DUMMYFUNCTION("""COMPUTED_VALUE"""),43991.66666666667)</f>
        <v>43991.66667</v>
      </c>
      <c r="B504" s="22">
        <f>IFERROR(__xludf.DUMMYFUNCTION("""COMPUTED_VALUE"""),3207.18)</f>
        <v>3207.18</v>
      </c>
      <c r="C504" s="25">
        <f>IFERROR(__xludf.DUMMYFUNCTION("""COMPUTED_VALUE"""),43991.63611111111)</f>
        <v>43991.63611</v>
      </c>
      <c r="D504" s="22">
        <f>IFERROR(__xludf.DUMMYFUNCTION("""COMPUTED_VALUE"""),27.57)</f>
        <v>27.57</v>
      </c>
      <c r="E504" s="26">
        <f t="shared" si="2"/>
        <v>-0.007799182648</v>
      </c>
      <c r="F504" s="25">
        <f>IFERROR(__xludf.DUMMYFUNCTION("""COMPUTED_VALUE"""),43991.63611111111)</f>
        <v>43991.63611</v>
      </c>
      <c r="G504" s="22">
        <f>IFERROR(__xludf.DUMMYFUNCTION("""COMPUTED_VALUE"""),29.67)</f>
        <v>29.67</v>
      </c>
      <c r="H504" s="25">
        <f>IFERROR(__xludf.DUMMYFUNCTION("""COMPUTED_VALUE"""),43991.63611111111)</f>
        <v>43991.63611</v>
      </c>
      <c r="I504" s="22">
        <f>IFERROR(__xludf.DUMMYFUNCTION("""COMPUTED_VALUE"""),31.24)</f>
        <v>31.24</v>
      </c>
      <c r="J504" s="25">
        <f>IFERROR(__xludf.DUMMYFUNCTION("""COMPUTED_VALUE"""),43991.63611111111)</f>
        <v>43991.63611</v>
      </c>
      <c r="K504" s="22">
        <f>IFERROR(__xludf.DUMMYFUNCTION("""COMPUTED_VALUE"""),28.7)</f>
        <v>28.7</v>
      </c>
      <c r="M504" s="22" t="str">
        <f t="shared" si="3"/>
        <v/>
      </c>
      <c r="N504" s="22" t="str">
        <f t="shared" si="4"/>
        <v>PREDICT CRASH</v>
      </c>
    </row>
    <row r="505" ht="15.75" customHeight="1">
      <c r="A505" s="25">
        <f>IFERROR(__xludf.DUMMYFUNCTION("""COMPUTED_VALUE"""),43992.66666666667)</f>
        <v>43992.66667</v>
      </c>
      <c r="B505" s="22">
        <f>IFERROR(__xludf.DUMMYFUNCTION("""COMPUTED_VALUE"""),3190.14)</f>
        <v>3190.14</v>
      </c>
      <c r="C505" s="25">
        <f>IFERROR(__xludf.DUMMYFUNCTION("""COMPUTED_VALUE"""),43992.63611111111)</f>
        <v>43992.63611</v>
      </c>
      <c r="D505" s="22">
        <f>IFERROR(__xludf.DUMMYFUNCTION("""COMPUTED_VALUE"""),27.57)</f>
        <v>27.57</v>
      </c>
      <c r="E505" s="26">
        <f t="shared" si="2"/>
        <v>-0.005313078779</v>
      </c>
      <c r="F505" s="25">
        <f>IFERROR(__xludf.DUMMYFUNCTION("""COMPUTED_VALUE"""),43992.63611111111)</f>
        <v>43992.63611</v>
      </c>
      <c r="G505" s="22">
        <f>IFERROR(__xludf.DUMMYFUNCTION("""COMPUTED_VALUE"""),29.57)</f>
        <v>29.57</v>
      </c>
      <c r="H505" s="25">
        <f>IFERROR(__xludf.DUMMYFUNCTION("""COMPUTED_VALUE"""),43992.63611111111)</f>
        <v>43992.63611</v>
      </c>
      <c r="I505" s="22">
        <f>IFERROR(__xludf.DUMMYFUNCTION("""COMPUTED_VALUE"""),31.23)</f>
        <v>31.23</v>
      </c>
      <c r="J505" s="25">
        <f>IFERROR(__xludf.DUMMYFUNCTION("""COMPUTED_VALUE"""),43992.63611111111)</f>
        <v>43992.63611</v>
      </c>
      <c r="K505" s="22">
        <f>IFERROR(__xludf.DUMMYFUNCTION("""COMPUTED_VALUE"""),28.63)</f>
        <v>28.63</v>
      </c>
      <c r="M505" s="22" t="str">
        <f t="shared" si="3"/>
        <v/>
      </c>
      <c r="N505" s="22" t="str">
        <f t="shared" si="4"/>
        <v>PREDICT CRASH</v>
      </c>
    </row>
    <row r="506" ht="15.75" customHeight="1">
      <c r="A506" s="25">
        <f>IFERROR(__xludf.DUMMYFUNCTION("""COMPUTED_VALUE"""),43993.66666666667)</f>
        <v>43993.66667</v>
      </c>
      <c r="B506" s="22">
        <f>IFERROR(__xludf.DUMMYFUNCTION("""COMPUTED_VALUE"""),3002.1)</f>
        <v>3002.1</v>
      </c>
      <c r="C506" s="25">
        <f>IFERROR(__xludf.DUMMYFUNCTION("""COMPUTED_VALUE"""),43993.63611111111)</f>
        <v>43993.63611</v>
      </c>
      <c r="D506" s="22">
        <f>IFERROR(__xludf.DUMMYFUNCTION("""COMPUTED_VALUE"""),40.79)</f>
        <v>40.79</v>
      </c>
      <c r="E506" s="26">
        <f t="shared" si="2"/>
        <v>-0.05894412157</v>
      </c>
      <c r="F506" s="25">
        <f>IFERROR(__xludf.DUMMYFUNCTION("""COMPUTED_VALUE"""),43993.63611111111)</f>
        <v>43993.63611</v>
      </c>
      <c r="G506" s="22">
        <f>IFERROR(__xludf.DUMMYFUNCTION("""COMPUTED_VALUE"""),40.43)</f>
        <v>40.43</v>
      </c>
      <c r="H506" s="25">
        <f>IFERROR(__xludf.DUMMYFUNCTION("""COMPUTED_VALUE"""),43993.63611111111)</f>
        <v>43993.63611</v>
      </c>
      <c r="I506" s="22">
        <f>IFERROR(__xludf.DUMMYFUNCTION("""COMPUTED_VALUE"""),39.68)</f>
        <v>39.68</v>
      </c>
      <c r="J506" s="25">
        <f>IFERROR(__xludf.DUMMYFUNCTION("""COMPUTED_VALUE"""),43993.63611111111)</f>
        <v>43993.63611</v>
      </c>
      <c r="K506" s="22">
        <f>IFERROR(__xludf.DUMMYFUNCTION("""COMPUTED_VALUE"""),33.18)</f>
        <v>33.18</v>
      </c>
      <c r="M506" s="22" t="str">
        <f t="shared" si="3"/>
        <v>CRASH</v>
      </c>
      <c r="N506" s="22" t="str">
        <f t="shared" si="4"/>
        <v>PREDICT CRASH</v>
      </c>
    </row>
    <row r="507" ht="15.75" customHeight="1">
      <c r="A507" s="25">
        <f>IFERROR(__xludf.DUMMYFUNCTION("""COMPUTED_VALUE"""),43994.66666666667)</f>
        <v>43994.66667</v>
      </c>
      <c r="B507" s="22">
        <f>IFERROR(__xludf.DUMMYFUNCTION("""COMPUTED_VALUE"""),3041.31)</f>
        <v>3041.31</v>
      </c>
      <c r="C507" s="25">
        <f>IFERROR(__xludf.DUMMYFUNCTION("""COMPUTED_VALUE"""),43994.63611111111)</f>
        <v>43994.63611</v>
      </c>
      <c r="D507" s="22">
        <f>IFERROR(__xludf.DUMMYFUNCTION("""COMPUTED_VALUE"""),36.09)</f>
        <v>36.09</v>
      </c>
      <c r="E507" s="26">
        <f t="shared" si="2"/>
        <v>0.0130608574</v>
      </c>
      <c r="F507" s="25">
        <f>IFERROR(__xludf.DUMMYFUNCTION("""COMPUTED_VALUE"""),43994.63611111111)</f>
        <v>43994.63611</v>
      </c>
      <c r="G507" s="22">
        <f>IFERROR(__xludf.DUMMYFUNCTION("""COMPUTED_VALUE"""),38.05)</f>
        <v>38.05</v>
      </c>
      <c r="H507" s="25">
        <f>IFERROR(__xludf.DUMMYFUNCTION("""COMPUTED_VALUE"""),43994.63611111111)</f>
        <v>43994.63611</v>
      </c>
      <c r="I507" s="22">
        <f>IFERROR(__xludf.DUMMYFUNCTION("""COMPUTED_VALUE"""),37.79)</f>
        <v>37.79</v>
      </c>
      <c r="J507" s="25">
        <f>IFERROR(__xludf.DUMMYFUNCTION("""COMPUTED_VALUE"""),43994.63611111111)</f>
        <v>43994.63611</v>
      </c>
      <c r="K507" s="22">
        <f>IFERROR(__xludf.DUMMYFUNCTION("""COMPUTED_VALUE"""),32.34)</f>
        <v>32.34</v>
      </c>
      <c r="M507" s="22" t="str">
        <f t="shared" si="3"/>
        <v/>
      </c>
      <c r="N507" s="22" t="str">
        <f t="shared" si="4"/>
        <v>PREDICT CRASH</v>
      </c>
    </row>
    <row r="508" ht="15.75" customHeight="1">
      <c r="A508" s="25">
        <f>IFERROR(__xludf.DUMMYFUNCTION("""COMPUTED_VALUE"""),43997.66666666667)</f>
        <v>43997.66667</v>
      </c>
      <c r="B508" s="22">
        <f>IFERROR(__xludf.DUMMYFUNCTION("""COMPUTED_VALUE"""),3066.59)</f>
        <v>3066.59</v>
      </c>
      <c r="C508" s="25">
        <f>IFERROR(__xludf.DUMMYFUNCTION("""COMPUTED_VALUE"""),43997.63611111111)</f>
        <v>43997.63611</v>
      </c>
      <c r="D508" s="22">
        <f>IFERROR(__xludf.DUMMYFUNCTION("""COMPUTED_VALUE"""),34.4)</f>
        <v>34.4</v>
      </c>
      <c r="E508" s="26">
        <f t="shared" si="2"/>
        <v>0.008312207568</v>
      </c>
      <c r="F508" s="25">
        <f>IFERROR(__xludf.DUMMYFUNCTION("""COMPUTED_VALUE"""),43997.63611111111)</f>
        <v>43997.63611</v>
      </c>
      <c r="G508" s="22">
        <f>IFERROR(__xludf.DUMMYFUNCTION("""COMPUTED_VALUE"""),36.43)</f>
        <v>36.43</v>
      </c>
      <c r="H508" s="25">
        <f>IFERROR(__xludf.DUMMYFUNCTION("""COMPUTED_VALUE"""),43997.63611111111)</f>
        <v>43997.63611</v>
      </c>
      <c r="I508" s="22">
        <f>IFERROR(__xludf.DUMMYFUNCTION("""COMPUTED_VALUE"""),36.66)</f>
        <v>36.66</v>
      </c>
      <c r="J508" s="25">
        <f>IFERROR(__xludf.DUMMYFUNCTION("""COMPUTED_VALUE"""),43997.63611111111)</f>
        <v>43997.63611</v>
      </c>
      <c r="K508" s="22">
        <f>IFERROR(__xludf.DUMMYFUNCTION("""COMPUTED_VALUE"""),31.55)</f>
        <v>31.55</v>
      </c>
      <c r="M508" s="22" t="str">
        <f t="shared" si="3"/>
        <v/>
      </c>
      <c r="N508" s="22" t="str">
        <f t="shared" si="4"/>
        <v>PREDICT CRASH</v>
      </c>
    </row>
    <row r="509" ht="15.75" customHeight="1">
      <c r="A509" s="25">
        <f>IFERROR(__xludf.DUMMYFUNCTION("""COMPUTED_VALUE"""),43998.66666666667)</f>
        <v>43998.66667</v>
      </c>
      <c r="B509" s="22">
        <f>IFERROR(__xludf.DUMMYFUNCTION("""COMPUTED_VALUE"""),3124.74)</f>
        <v>3124.74</v>
      </c>
      <c r="C509" s="25">
        <f>IFERROR(__xludf.DUMMYFUNCTION("""COMPUTED_VALUE"""),43998.63611111111)</f>
        <v>43998.63611</v>
      </c>
      <c r="D509" s="22">
        <f>IFERROR(__xludf.DUMMYFUNCTION("""COMPUTED_VALUE"""),33.67)</f>
        <v>33.67</v>
      </c>
      <c r="E509" s="26">
        <f t="shared" si="2"/>
        <v>0.01896243058</v>
      </c>
      <c r="F509" s="25">
        <f>IFERROR(__xludf.DUMMYFUNCTION("""COMPUTED_VALUE"""),43998.63611111111)</f>
        <v>43998.63611</v>
      </c>
      <c r="G509" s="22">
        <f>IFERROR(__xludf.DUMMYFUNCTION("""COMPUTED_VALUE"""),35.8)</f>
        <v>35.8</v>
      </c>
      <c r="H509" s="25">
        <f>IFERROR(__xludf.DUMMYFUNCTION("""COMPUTED_VALUE"""),43998.63611111111)</f>
        <v>43998.63611</v>
      </c>
      <c r="I509" s="22">
        <f>IFERROR(__xludf.DUMMYFUNCTION("""COMPUTED_VALUE"""),36.26)</f>
        <v>36.26</v>
      </c>
      <c r="J509" s="25">
        <f>IFERROR(__xludf.DUMMYFUNCTION("""COMPUTED_VALUE"""),43998.63611111111)</f>
        <v>43998.63611</v>
      </c>
      <c r="K509" s="22">
        <f>IFERROR(__xludf.DUMMYFUNCTION("""COMPUTED_VALUE"""),31.4)</f>
        <v>31.4</v>
      </c>
      <c r="M509" s="22" t="str">
        <f t="shared" si="3"/>
        <v/>
      </c>
      <c r="N509" s="22" t="str">
        <f t="shared" si="4"/>
        <v>PREDICT CRASH</v>
      </c>
    </row>
    <row r="510" ht="15.75" customHeight="1">
      <c r="A510" s="25">
        <f>IFERROR(__xludf.DUMMYFUNCTION("""COMPUTED_VALUE"""),43999.66666666667)</f>
        <v>43999.66667</v>
      </c>
      <c r="B510" s="22">
        <f>IFERROR(__xludf.DUMMYFUNCTION("""COMPUTED_VALUE"""),3113.49)</f>
        <v>3113.49</v>
      </c>
      <c r="C510" s="25">
        <f>IFERROR(__xludf.DUMMYFUNCTION("""COMPUTED_VALUE"""),43999.63611111111)</f>
        <v>43999.63611</v>
      </c>
      <c r="D510" s="22">
        <f>IFERROR(__xludf.DUMMYFUNCTION("""COMPUTED_VALUE"""),33.47)</f>
        <v>33.47</v>
      </c>
      <c r="E510" s="26">
        <f t="shared" si="2"/>
        <v>-0.003600299545</v>
      </c>
      <c r="F510" s="25">
        <f>IFERROR(__xludf.DUMMYFUNCTION("""COMPUTED_VALUE"""),43999.63611111111)</f>
        <v>43999.63611</v>
      </c>
      <c r="G510" s="22">
        <f>IFERROR(__xludf.DUMMYFUNCTION("""COMPUTED_VALUE"""),35.72)</f>
        <v>35.72</v>
      </c>
      <c r="H510" s="25">
        <f>IFERROR(__xludf.DUMMYFUNCTION("""COMPUTED_VALUE"""),43999.63611111111)</f>
        <v>43999.63611</v>
      </c>
      <c r="I510" s="22">
        <f>IFERROR(__xludf.DUMMYFUNCTION("""COMPUTED_VALUE"""),36.59)</f>
        <v>36.59</v>
      </c>
      <c r="J510" s="25">
        <f>IFERROR(__xludf.DUMMYFUNCTION("""COMPUTED_VALUE"""),43999.63611111111)</f>
        <v>43999.63611</v>
      </c>
      <c r="K510" s="22">
        <f>IFERROR(__xludf.DUMMYFUNCTION("""COMPUTED_VALUE"""),31.79)</f>
        <v>31.79</v>
      </c>
      <c r="M510" s="22" t="str">
        <f t="shared" si="3"/>
        <v/>
      </c>
      <c r="N510" s="22" t="str">
        <f t="shared" si="4"/>
        <v>PREDICT CRASH</v>
      </c>
    </row>
    <row r="511" ht="15.75" customHeight="1">
      <c r="A511" s="25">
        <f>IFERROR(__xludf.DUMMYFUNCTION("""COMPUTED_VALUE"""),44000.66666666667)</f>
        <v>44000.66667</v>
      </c>
      <c r="B511" s="22">
        <f>IFERROR(__xludf.DUMMYFUNCTION("""COMPUTED_VALUE"""),3115.34)</f>
        <v>3115.34</v>
      </c>
      <c r="C511" s="25">
        <f>IFERROR(__xludf.DUMMYFUNCTION("""COMPUTED_VALUE"""),44000.63611111111)</f>
        <v>44000.63611</v>
      </c>
      <c r="D511" s="22">
        <f>IFERROR(__xludf.DUMMYFUNCTION("""COMPUTED_VALUE"""),32.94)</f>
        <v>32.94</v>
      </c>
      <c r="E511" s="26">
        <f t="shared" si="2"/>
        <v>0.0005941885151</v>
      </c>
      <c r="F511" s="25">
        <f>IFERROR(__xludf.DUMMYFUNCTION("""COMPUTED_VALUE"""),44000.63611111111)</f>
        <v>44000.63611</v>
      </c>
      <c r="G511" s="22">
        <f>IFERROR(__xludf.DUMMYFUNCTION("""COMPUTED_VALUE"""),35.14)</f>
        <v>35.14</v>
      </c>
      <c r="H511" s="25">
        <f>IFERROR(__xludf.DUMMYFUNCTION("""COMPUTED_VALUE"""),44000.63611111111)</f>
        <v>44000.63611</v>
      </c>
      <c r="I511" s="22">
        <f>IFERROR(__xludf.DUMMYFUNCTION("""COMPUTED_VALUE"""),36.11)</f>
        <v>36.11</v>
      </c>
      <c r="J511" s="25">
        <f>IFERROR(__xludf.DUMMYFUNCTION("""COMPUTED_VALUE"""),44000.63611111111)</f>
        <v>44000.63611</v>
      </c>
      <c r="K511" s="22">
        <f>IFERROR(__xludf.DUMMYFUNCTION("""COMPUTED_VALUE"""),31.97)</f>
        <v>31.97</v>
      </c>
      <c r="M511" s="22" t="str">
        <f t="shared" si="3"/>
        <v/>
      </c>
      <c r="N511" s="22" t="str">
        <f t="shared" si="4"/>
        <v>PREDICT CRASH</v>
      </c>
    </row>
    <row r="512" ht="15.75" customHeight="1">
      <c r="A512" s="25">
        <f>IFERROR(__xludf.DUMMYFUNCTION("""COMPUTED_VALUE"""),44001.66666666667)</f>
        <v>44001.66667</v>
      </c>
      <c r="B512" s="22">
        <f>IFERROR(__xludf.DUMMYFUNCTION("""COMPUTED_VALUE"""),3097.74)</f>
        <v>3097.74</v>
      </c>
      <c r="C512" s="25">
        <f>IFERROR(__xludf.DUMMYFUNCTION("""COMPUTED_VALUE"""),44001.63611111111)</f>
        <v>44001.63611</v>
      </c>
      <c r="D512" s="22">
        <f>IFERROR(__xludf.DUMMYFUNCTION("""COMPUTED_VALUE"""),35.12)</f>
        <v>35.12</v>
      </c>
      <c r="E512" s="26">
        <f t="shared" si="2"/>
        <v>-0.005649463622</v>
      </c>
      <c r="F512" s="25">
        <f>IFERROR(__xludf.DUMMYFUNCTION("""COMPUTED_VALUE"""),44001.63611111111)</f>
        <v>44001.63611</v>
      </c>
      <c r="G512" s="22">
        <f>IFERROR(__xludf.DUMMYFUNCTION("""COMPUTED_VALUE"""),36.68)</f>
        <v>36.68</v>
      </c>
      <c r="H512" s="25">
        <f>IFERROR(__xludf.DUMMYFUNCTION("""COMPUTED_VALUE"""),44001.63611111111)</f>
        <v>44001.63611</v>
      </c>
      <c r="I512" s="22">
        <f>IFERROR(__xludf.DUMMYFUNCTION("""COMPUTED_VALUE"""),37.74)</f>
        <v>37.74</v>
      </c>
      <c r="J512" s="25">
        <f>IFERROR(__xludf.DUMMYFUNCTION("""COMPUTED_VALUE"""),44001.63611111111)</f>
        <v>44001.63611</v>
      </c>
      <c r="K512" s="22">
        <f>IFERROR(__xludf.DUMMYFUNCTION("""COMPUTED_VALUE"""),32.92)</f>
        <v>32.92</v>
      </c>
      <c r="M512" s="22" t="str">
        <f t="shared" si="3"/>
        <v/>
      </c>
      <c r="N512" s="22" t="str">
        <f t="shared" si="4"/>
        <v>PREDICT CRASH</v>
      </c>
    </row>
    <row r="513" ht="15.75" customHeight="1">
      <c r="A513" s="25">
        <f>IFERROR(__xludf.DUMMYFUNCTION("""COMPUTED_VALUE"""),44004.66666666667)</f>
        <v>44004.66667</v>
      </c>
      <c r="B513" s="22">
        <f>IFERROR(__xludf.DUMMYFUNCTION("""COMPUTED_VALUE"""),3117.86)</f>
        <v>3117.86</v>
      </c>
      <c r="C513" s="25">
        <f>IFERROR(__xludf.DUMMYFUNCTION("""COMPUTED_VALUE"""),44004.63611111111)</f>
        <v>44004.63611</v>
      </c>
      <c r="D513" s="22">
        <f>IFERROR(__xludf.DUMMYFUNCTION("""COMPUTED_VALUE"""),31.77)</f>
        <v>31.77</v>
      </c>
      <c r="E513" s="26">
        <f t="shared" si="2"/>
        <v>0.006495057687</v>
      </c>
      <c r="F513" s="25">
        <f>IFERROR(__xludf.DUMMYFUNCTION("""COMPUTED_VALUE"""),44004.63611111111)</f>
        <v>44004.63611</v>
      </c>
      <c r="G513" s="22">
        <f>IFERROR(__xludf.DUMMYFUNCTION("""COMPUTED_VALUE"""),33.75)</f>
        <v>33.75</v>
      </c>
      <c r="H513" s="25">
        <f>IFERROR(__xludf.DUMMYFUNCTION("""COMPUTED_VALUE"""),44004.63611111111)</f>
        <v>44004.63611</v>
      </c>
      <c r="I513" s="22">
        <f>IFERROR(__xludf.DUMMYFUNCTION("""COMPUTED_VALUE"""),35.0)</f>
        <v>35</v>
      </c>
      <c r="J513" s="25">
        <f>IFERROR(__xludf.DUMMYFUNCTION("""COMPUTED_VALUE"""),44004.63611111111)</f>
        <v>44004.63611</v>
      </c>
      <c r="K513" s="22">
        <f>IFERROR(__xludf.DUMMYFUNCTION("""COMPUTED_VALUE"""),31.31)</f>
        <v>31.31</v>
      </c>
      <c r="M513" s="22" t="str">
        <f t="shared" si="3"/>
        <v/>
      </c>
      <c r="N513" s="22" t="str">
        <f t="shared" si="4"/>
        <v>PREDICT CRASH</v>
      </c>
    </row>
    <row r="514" ht="15.75" customHeight="1">
      <c r="A514" s="25">
        <f>IFERROR(__xludf.DUMMYFUNCTION("""COMPUTED_VALUE"""),44005.66666666667)</f>
        <v>44005.66667</v>
      </c>
      <c r="B514" s="22">
        <f>IFERROR(__xludf.DUMMYFUNCTION("""COMPUTED_VALUE"""),3131.29)</f>
        <v>3131.29</v>
      </c>
      <c r="C514" s="25">
        <f>IFERROR(__xludf.DUMMYFUNCTION("""COMPUTED_VALUE"""),44005.63611111111)</f>
        <v>44005.63611</v>
      </c>
      <c r="D514" s="22">
        <f>IFERROR(__xludf.DUMMYFUNCTION("""COMPUTED_VALUE"""),31.37)</f>
        <v>31.37</v>
      </c>
      <c r="E514" s="26">
        <f t="shared" si="2"/>
        <v>0.004307441643</v>
      </c>
      <c r="F514" s="25">
        <f>IFERROR(__xludf.DUMMYFUNCTION("""COMPUTED_VALUE"""),44005.63611111111)</f>
        <v>44005.63611</v>
      </c>
      <c r="G514" s="22">
        <f>IFERROR(__xludf.DUMMYFUNCTION("""COMPUTED_VALUE"""),33.06)</f>
        <v>33.06</v>
      </c>
      <c r="H514" s="25">
        <f>IFERROR(__xludf.DUMMYFUNCTION("""COMPUTED_VALUE"""),44005.63611111111)</f>
        <v>44005.63611</v>
      </c>
      <c r="I514" s="22">
        <f>IFERROR(__xludf.DUMMYFUNCTION("""COMPUTED_VALUE"""),34.17)</f>
        <v>34.17</v>
      </c>
      <c r="J514" s="25">
        <f>IFERROR(__xludf.DUMMYFUNCTION("""COMPUTED_VALUE"""),44005.63611111111)</f>
        <v>44005.63611</v>
      </c>
      <c r="K514" s="22">
        <f>IFERROR(__xludf.DUMMYFUNCTION("""COMPUTED_VALUE"""),30.94)</f>
        <v>30.94</v>
      </c>
      <c r="M514" s="22" t="str">
        <f t="shared" si="3"/>
        <v/>
      </c>
      <c r="N514" s="22" t="str">
        <f t="shared" si="4"/>
        <v>PREDICT CRASH</v>
      </c>
    </row>
    <row r="515" ht="15.75" customHeight="1">
      <c r="A515" s="25">
        <f>IFERROR(__xludf.DUMMYFUNCTION("""COMPUTED_VALUE"""),44006.66666666667)</f>
        <v>44006.66667</v>
      </c>
      <c r="B515" s="22">
        <f>IFERROR(__xludf.DUMMYFUNCTION("""COMPUTED_VALUE"""),3050.33)</f>
        <v>3050.33</v>
      </c>
      <c r="C515" s="25">
        <f>IFERROR(__xludf.DUMMYFUNCTION("""COMPUTED_VALUE"""),44006.63611111111)</f>
        <v>44006.63611</v>
      </c>
      <c r="D515" s="22">
        <f>IFERROR(__xludf.DUMMYFUNCTION("""COMPUTED_VALUE"""),33.84)</f>
        <v>33.84</v>
      </c>
      <c r="E515" s="26">
        <f t="shared" si="2"/>
        <v>-0.02585515874</v>
      </c>
      <c r="F515" s="25">
        <f>IFERROR(__xludf.DUMMYFUNCTION("""COMPUTED_VALUE"""),44006.63611111111)</f>
        <v>44006.63611</v>
      </c>
      <c r="G515" s="22">
        <f>IFERROR(__xludf.DUMMYFUNCTION("""COMPUTED_VALUE"""),35.39)</f>
        <v>35.39</v>
      </c>
      <c r="H515" s="25">
        <f>IFERROR(__xludf.DUMMYFUNCTION("""COMPUTED_VALUE"""),44006.63611111111)</f>
        <v>44006.63611</v>
      </c>
      <c r="I515" s="22">
        <f>IFERROR(__xludf.DUMMYFUNCTION("""COMPUTED_VALUE"""),35.57)</f>
        <v>35.57</v>
      </c>
      <c r="J515" s="25">
        <f>IFERROR(__xludf.DUMMYFUNCTION("""COMPUTED_VALUE"""),44006.63611111111)</f>
        <v>44006.63611</v>
      </c>
      <c r="K515" s="22">
        <f>IFERROR(__xludf.DUMMYFUNCTION("""COMPUTED_VALUE"""),31.99)</f>
        <v>31.99</v>
      </c>
      <c r="M515" s="22" t="str">
        <f t="shared" si="3"/>
        <v/>
      </c>
      <c r="N515" s="22" t="str">
        <f t="shared" si="4"/>
        <v>PREDICT CRASH</v>
      </c>
    </row>
    <row r="516" ht="15.75" customHeight="1">
      <c r="A516" s="25">
        <f>IFERROR(__xludf.DUMMYFUNCTION("""COMPUTED_VALUE"""),44007.66666666667)</f>
        <v>44007.66667</v>
      </c>
      <c r="B516" s="22">
        <f>IFERROR(__xludf.DUMMYFUNCTION("""COMPUTED_VALUE"""),3083.76)</f>
        <v>3083.76</v>
      </c>
      <c r="C516" s="25">
        <f>IFERROR(__xludf.DUMMYFUNCTION("""COMPUTED_VALUE"""),44007.63611111111)</f>
        <v>44007.63611</v>
      </c>
      <c r="D516" s="22">
        <f>IFERROR(__xludf.DUMMYFUNCTION("""COMPUTED_VALUE"""),32.22)</f>
        <v>32.22</v>
      </c>
      <c r="E516" s="26">
        <f t="shared" si="2"/>
        <v>0.01095946996</v>
      </c>
      <c r="F516" s="25">
        <f>IFERROR(__xludf.DUMMYFUNCTION("""COMPUTED_VALUE"""),44007.63611111111)</f>
        <v>44007.63611</v>
      </c>
      <c r="G516" s="22">
        <f>IFERROR(__xludf.DUMMYFUNCTION("""COMPUTED_VALUE"""),34.09)</f>
        <v>34.09</v>
      </c>
      <c r="H516" s="25">
        <f>IFERROR(__xludf.DUMMYFUNCTION("""COMPUTED_VALUE"""),44007.63611111111)</f>
        <v>44007.63611</v>
      </c>
      <c r="I516" s="22">
        <f>IFERROR(__xludf.DUMMYFUNCTION("""COMPUTED_VALUE"""),34.84)</f>
        <v>34.84</v>
      </c>
      <c r="J516" s="25">
        <f>IFERROR(__xludf.DUMMYFUNCTION("""COMPUTED_VALUE"""),44007.63611111111)</f>
        <v>44007.63611</v>
      </c>
      <c r="K516" s="22">
        <f>IFERROR(__xludf.DUMMYFUNCTION("""COMPUTED_VALUE"""),31.41)</f>
        <v>31.41</v>
      </c>
      <c r="M516" s="22" t="str">
        <f t="shared" si="3"/>
        <v/>
      </c>
      <c r="N516" s="22" t="str">
        <f t="shared" si="4"/>
        <v>PREDICT CRASH</v>
      </c>
    </row>
    <row r="517" ht="15.75" customHeight="1">
      <c r="A517" s="25">
        <f>IFERROR(__xludf.DUMMYFUNCTION("""COMPUTED_VALUE"""),44008.66666666667)</f>
        <v>44008.66667</v>
      </c>
      <c r="B517" s="22">
        <f>IFERROR(__xludf.DUMMYFUNCTION("""COMPUTED_VALUE"""),3009.05)</f>
        <v>3009.05</v>
      </c>
      <c r="C517" s="25">
        <f>IFERROR(__xludf.DUMMYFUNCTION("""COMPUTED_VALUE"""),44008.63611111111)</f>
        <v>44008.63611</v>
      </c>
      <c r="D517" s="22">
        <f>IFERROR(__xludf.DUMMYFUNCTION("""COMPUTED_VALUE"""),34.73)</f>
        <v>34.73</v>
      </c>
      <c r="E517" s="26">
        <f t="shared" si="2"/>
        <v>-0.02422691779</v>
      </c>
      <c r="F517" s="25">
        <f>IFERROR(__xludf.DUMMYFUNCTION("""COMPUTED_VALUE"""),44008.63611111111)</f>
        <v>44008.63611</v>
      </c>
      <c r="G517" s="22">
        <f>IFERROR(__xludf.DUMMYFUNCTION("""COMPUTED_VALUE"""),35.8)</f>
        <v>35.8</v>
      </c>
      <c r="H517" s="25">
        <f>IFERROR(__xludf.DUMMYFUNCTION("""COMPUTED_VALUE"""),44008.63611111111)</f>
        <v>44008.63611</v>
      </c>
      <c r="I517" s="22">
        <f>IFERROR(__xludf.DUMMYFUNCTION("""COMPUTED_VALUE"""),36.23)</f>
        <v>36.23</v>
      </c>
      <c r="J517" s="25">
        <f>IFERROR(__xludf.DUMMYFUNCTION("""COMPUTED_VALUE"""),44008.63611111111)</f>
        <v>44008.63611</v>
      </c>
      <c r="K517" s="22">
        <f>IFERROR(__xludf.DUMMYFUNCTION("""COMPUTED_VALUE"""),32.34)</f>
        <v>32.34</v>
      </c>
      <c r="M517" s="22" t="str">
        <f t="shared" si="3"/>
        <v/>
      </c>
      <c r="N517" s="22" t="str">
        <f t="shared" si="4"/>
        <v>PREDICT CRASH</v>
      </c>
    </row>
    <row r="518" ht="15.75" customHeight="1">
      <c r="A518" s="25">
        <f>IFERROR(__xludf.DUMMYFUNCTION("""COMPUTED_VALUE"""),44011.66666666667)</f>
        <v>44011.66667</v>
      </c>
      <c r="B518" s="22">
        <f>IFERROR(__xludf.DUMMYFUNCTION("""COMPUTED_VALUE"""),3053.24)</f>
        <v>3053.24</v>
      </c>
      <c r="C518" s="25">
        <f>IFERROR(__xludf.DUMMYFUNCTION("""COMPUTED_VALUE"""),44011.63611111111)</f>
        <v>44011.63611</v>
      </c>
      <c r="D518" s="22">
        <f>IFERROR(__xludf.DUMMYFUNCTION("""COMPUTED_VALUE"""),31.78)</f>
        <v>31.78</v>
      </c>
      <c r="E518" s="26">
        <f t="shared" si="2"/>
        <v>0.01468569814</v>
      </c>
      <c r="F518" s="25">
        <f>IFERROR(__xludf.DUMMYFUNCTION("""COMPUTED_VALUE"""),44011.63611111111)</f>
        <v>44011.63611</v>
      </c>
      <c r="G518" s="22">
        <f>IFERROR(__xludf.DUMMYFUNCTION("""COMPUTED_VALUE"""),33.91)</f>
        <v>33.91</v>
      </c>
      <c r="H518" s="25">
        <f>IFERROR(__xludf.DUMMYFUNCTION("""COMPUTED_VALUE"""),44011.63611111111)</f>
        <v>44011.63611</v>
      </c>
      <c r="I518" s="22">
        <f>IFERROR(__xludf.DUMMYFUNCTION("""COMPUTED_VALUE"""),34.48)</f>
        <v>34.48</v>
      </c>
      <c r="J518" s="25">
        <f>IFERROR(__xludf.DUMMYFUNCTION("""COMPUTED_VALUE"""),44011.63611111111)</f>
        <v>44011.63611</v>
      </c>
      <c r="K518" s="22">
        <f>IFERROR(__xludf.DUMMYFUNCTION("""COMPUTED_VALUE"""),31.18)</f>
        <v>31.18</v>
      </c>
      <c r="M518" s="22" t="str">
        <f t="shared" si="3"/>
        <v/>
      </c>
      <c r="N518" s="22" t="str">
        <f t="shared" si="4"/>
        <v>PREDICT CRASH</v>
      </c>
    </row>
    <row r="519" ht="15.75" customHeight="1">
      <c r="A519" s="25">
        <f>IFERROR(__xludf.DUMMYFUNCTION("""COMPUTED_VALUE"""),44012.66666666667)</f>
        <v>44012.66667</v>
      </c>
      <c r="B519" s="22">
        <f>IFERROR(__xludf.DUMMYFUNCTION("""COMPUTED_VALUE"""),3100.29)</f>
        <v>3100.29</v>
      </c>
      <c r="C519" s="25">
        <f>IFERROR(__xludf.DUMMYFUNCTION("""COMPUTED_VALUE"""),44012.63611111111)</f>
        <v>44012.63611</v>
      </c>
      <c r="D519" s="22">
        <f>IFERROR(__xludf.DUMMYFUNCTION("""COMPUTED_VALUE"""),30.43)</f>
        <v>30.43</v>
      </c>
      <c r="E519" s="26">
        <f t="shared" si="2"/>
        <v>0.01540985969</v>
      </c>
      <c r="F519" s="25">
        <f>IFERROR(__xludf.DUMMYFUNCTION("""COMPUTED_VALUE"""),44012.63611111111)</f>
        <v>44012.63611</v>
      </c>
      <c r="G519" s="22">
        <f>IFERROR(__xludf.DUMMYFUNCTION("""COMPUTED_VALUE"""),32.52)</f>
        <v>32.52</v>
      </c>
      <c r="H519" s="25">
        <f>IFERROR(__xludf.DUMMYFUNCTION("""COMPUTED_VALUE"""),44012.63611111111)</f>
        <v>44012.63611</v>
      </c>
      <c r="I519" s="22">
        <f>IFERROR(__xludf.DUMMYFUNCTION("""COMPUTED_VALUE"""),33.13)</f>
        <v>33.13</v>
      </c>
      <c r="J519" s="25">
        <f>IFERROR(__xludf.DUMMYFUNCTION("""COMPUTED_VALUE"""),44012.63611111111)</f>
        <v>44012.63611</v>
      </c>
      <c r="K519" s="22">
        <f>IFERROR(__xludf.DUMMYFUNCTION("""COMPUTED_VALUE"""),30.27)</f>
        <v>30.27</v>
      </c>
      <c r="M519" s="22" t="str">
        <f t="shared" si="3"/>
        <v/>
      </c>
      <c r="N519" s="22" t="str">
        <f t="shared" si="4"/>
        <v>PREDICT CRASH</v>
      </c>
    </row>
    <row r="520" ht="15.75" customHeight="1">
      <c r="A520" s="25">
        <f>IFERROR(__xludf.DUMMYFUNCTION("""COMPUTED_VALUE"""),44013.66666666667)</f>
        <v>44013.66667</v>
      </c>
      <c r="B520" s="22">
        <f>IFERROR(__xludf.DUMMYFUNCTION("""COMPUTED_VALUE"""),3115.86)</f>
        <v>3115.86</v>
      </c>
      <c r="C520" s="25">
        <f>IFERROR(__xludf.DUMMYFUNCTION("""COMPUTED_VALUE"""),44013.63611111111)</f>
        <v>44013.63611</v>
      </c>
      <c r="D520" s="22">
        <f>IFERROR(__xludf.DUMMYFUNCTION("""COMPUTED_VALUE"""),28.62)</f>
        <v>28.62</v>
      </c>
      <c r="E520" s="26">
        <f t="shared" si="2"/>
        <v>0.005022110835</v>
      </c>
      <c r="F520" s="25">
        <f>IFERROR(__xludf.DUMMYFUNCTION("""COMPUTED_VALUE"""),44013.63611111111)</f>
        <v>44013.63611</v>
      </c>
      <c r="G520" s="22">
        <f>IFERROR(__xludf.DUMMYFUNCTION("""COMPUTED_VALUE"""),31.68)</f>
        <v>31.68</v>
      </c>
      <c r="H520" s="25">
        <f>IFERROR(__xludf.DUMMYFUNCTION("""COMPUTED_VALUE"""),44013.63611111111)</f>
        <v>44013.63611</v>
      </c>
      <c r="I520" s="22">
        <f>IFERROR(__xludf.DUMMYFUNCTION("""COMPUTED_VALUE"""),32.56)</f>
        <v>32.56</v>
      </c>
      <c r="J520" s="25">
        <f>IFERROR(__xludf.DUMMYFUNCTION("""COMPUTED_VALUE"""),44013.63611111111)</f>
        <v>44013.63611</v>
      </c>
      <c r="K520" s="22">
        <f>IFERROR(__xludf.DUMMYFUNCTION("""COMPUTED_VALUE"""),29.88)</f>
        <v>29.88</v>
      </c>
      <c r="M520" s="22" t="str">
        <f t="shared" si="3"/>
        <v/>
      </c>
      <c r="N520" s="22" t="str">
        <f t="shared" si="4"/>
        <v>PREDICT CRASH</v>
      </c>
    </row>
    <row r="521" ht="15.75" customHeight="1">
      <c r="A521" s="25">
        <f>IFERROR(__xludf.DUMMYFUNCTION("""COMPUTED_VALUE"""),44014.66666666667)</f>
        <v>44014.66667</v>
      </c>
      <c r="B521" s="22">
        <f>IFERROR(__xludf.DUMMYFUNCTION("""COMPUTED_VALUE"""),3130.01)</f>
        <v>3130.01</v>
      </c>
      <c r="C521" s="25">
        <f>IFERROR(__xludf.DUMMYFUNCTION("""COMPUTED_VALUE"""),44014.63611111111)</f>
        <v>44014.63611</v>
      </c>
      <c r="D521" s="22">
        <f>IFERROR(__xludf.DUMMYFUNCTION("""COMPUTED_VALUE"""),27.68)</f>
        <v>27.68</v>
      </c>
      <c r="E521" s="26">
        <f t="shared" si="2"/>
        <v>0.004541282343</v>
      </c>
      <c r="F521" s="25">
        <f>IFERROR(__xludf.DUMMYFUNCTION("""COMPUTED_VALUE"""),44014.63611111111)</f>
        <v>44014.63611</v>
      </c>
      <c r="G521" s="22">
        <f>IFERROR(__xludf.DUMMYFUNCTION("""COMPUTED_VALUE"""),30.87)</f>
        <v>30.87</v>
      </c>
      <c r="H521" s="25">
        <f>IFERROR(__xludf.DUMMYFUNCTION("""COMPUTED_VALUE"""),44014.63611111111)</f>
        <v>44014.63611</v>
      </c>
      <c r="I521" s="22">
        <f>IFERROR(__xludf.DUMMYFUNCTION("""COMPUTED_VALUE"""),31.82)</f>
        <v>31.82</v>
      </c>
      <c r="J521" s="25">
        <f>IFERROR(__xludf.DUMMYFUNCTION("""COMPUTED_VALUE"""),44014.63611111111)</f>
        <v>44014.63611</v>
      </c>
      <c r="K521" s="22">
        <f>IFERROR(__xludf.DUMMYFUNCTION("""COMPUTED_VALUE"""),29.29)</f>
        <v>29.29</v>
      </c>
      <c r="M521" s="22" t="str">
        <f t="shared" si="3"/>
        <v/>
      </c>
      <c r="N521" s="22" t="str">
        <f t="shared" si="4"/>
        <v>PREDICT CRASH</v>
      </c>
    </row>
    <row r="522" ht="15.75" customHeight="1">
      <c r="A522" s="25">
        <f>IFERROR(__xludf.DUMMYFUNCTION("""COMPUTED_VALUE"""),44018.66666666667)</f>
        <v>44018.66667</v>
      </c>
      <c r="B522" s="22">
        <f>IFERROR(__xludf.DUMMYFUNCTION("""COMPUTED_VALUE"""),3179.72)</f>
        <v>3179.72</v>
      </c>
      <c r="C522" s="25">
        <f>IFERROR(__xludf.DUMMYFUNCTION("""COMPUTED_VALUE"""),44018.63611111111)</f>
        <v>44018.63611</v>
      </c>
      <c r="D522" s="22">
        <f>IFERROR(__xludf.DUMMYFUNCTION("""COMPUTED_VALUE"""),27.94)</f>
        <v>27.94</v>
      </c>
      <c r="E522" s="26">
        <f t="shared" si="2"/>
        <v>0.0158817384</v>
      </c>
      <c r="F522" s="25">
        <f>IFERROR(__xludf.DUMMYFUNCTION("""COMPUTED_VALUE"""),44018.63611111111)</f>
        <v>44018.63611</v>
      </c>
      <c r="G522" s="22">
        <f>IFERROR(__xludf.DUMMYFUNCTION("""COMPUTED_VALUE"""),30.98)</f>
        <v>30.98</v>
      </c>
      <c r="H522" s="25">
        <f>IFERROR(__xludf.DUMMYFUNCTION("""COMPUTED_VALUE"""),44018.63611111111)</f>
        <v>44018.63611</v>
      </c>
      <c r="I522" s="22">
        <f>IFERROR(__xludf.DUMMYFUNCTION("""COMPUTED_VALUE"""),31.66)</f>
        <v>31.66</v>
      </c>
      <c r="J522" s="25">
        <f>IFERROR(__xludf.DUMMYFUNCTION("""COMPUTED_VALUE"""),44018.63611111111)</f>
        <v>44018.63611</v>
      </c>
      <c r="K522" s="22">
        <f>IFERROR(__xludf.DUMMYFUNCTION("""COMPUTED_VALUE"""),29.05)</f>
        <v>29.05</v>
      </c>
      <c r="M522" s="22" t="str">
        <f t="shared" si="3"/>
        <v/>
      </c>
      <c r="N522" s="22" t="str">
        <f t="shared" si="4"/>
        <v>PREDICT CRASH</v>
      </c>
    </row>
    <row r="523" ht="15.75" customHeight="1">
      <c r="A523" s="25">
        <f>IFERROR(__xludf.DUMMYFUNCTION("""COMPUTED_VALUE"""),44019.66666666667)</f>
        <v>44019.66667</v>
      </c>
      <c r="B523" s="22">
        <f>IFERROR(__xludf.DUMMYFUNCTION("""COMPUTED_VALUE"""),3145.32)</f>
        <v>3145.32</v>
      </c>
      <c r="C523" s="25">
        <f>IFERROR(__xludf.DUMMYFUNCTION("""COMPUTED_VALUE"""),44019.63611111111)</f>
        <v>44019.63611</v>
      </c>
      <c r="D523" s="22">
        <f>IFERROR(__xludf.DUMMYFUNCTION("""COMPUTED_VALUE"""),29.43)</f>
        <v>29.43</v>
      </c>
      <c r="E523" s="26">
        <f t="shared" si="2"/>
        <v>-0.01081856264</v>
      </c>
      <c r="F523" s="25">
        <f>IFERROR(__xludf.DUMMYFUNCTION("""COMPUTED_VALUE"""),44019.63611111111)</f>
        <v>44019.63611</v>
      </c>
      <c r="G523" s="22">
        <f>IFERROR(__xludf.DUMMYFUNCTION("""COMPUTED_VALUE"""),32.07)</f>
        <v>32.07</v>
      </c>
      <c r="H523" s="25">
        <f>IFERROR(__xludf.DUMMYFUNCTION("""COMPUTED_VALUE"""),44019.63611111111)</f>
        <v>44019.63611</v>
      </c>
      <c r="I523" s="22">
        <f>IFERROR(__xludf.DUMMYFUNCTION("""COMPUTED_VALUE"""),32.49)</f>
        <v>32.49</v>
      </c>
      <c r="J523" s="25">
        <f>IFERROR(__xludf.DUMMYFUNCTION("""COMPUTED_VALUE"""),44019.63611111111)</f>
        <v>44019.63611</v>
      </c>
      <c r="K523" s="22">
        <f>IFERROR(__xludf.DUMMYFUNCTION("""COMPUTED_VALUE"""),29.8)</f>
        <v>29.8</v>
      </c>
      <c r="M523" s="22" t="str">
        <f t="shared" si="3"/>
        <v/>
      </c>
      <c r="N523" s="22" t="str">
        <f t="shared" si="4"/>
        <v>PREDICT CRASH</v>
      </c>
    </row>
    <row r="524" ht="15.75" customHeight="1">
      <c r="A524" s="25">
        <f>IFERROR(__xludf.DUMMYFUNCTION("""COMPUTED_VALUE"""),44020.66666666667)</f>
        <v>44020.66667</v>
      </c>
      <c r="B524" s="22">
        <f>IFERROR(__xludf.DUMMYFUNCTION("""COMPUTED_VALUE"""),3169.94)</f>
        <v>3169.94</v>
      </c>
      <c r="C524" s="25">
        <f>IFERROR(__xludf.DUMMYFUNCTION("""COMPUTED_VALUE"""),44020.63611111111)</f>
        <v>44020.63611</v>
      </c>
      <c r="D524" s="22">
        <f>IFERROR(__xludf.DUMMYFUNCTION("""COMPUTED_VALUE"""),28.08)</f>
        <v>28.08</v>
      </c>
      <c r="E524" s="26">
        <f t="shared" si="2"/>
        <v>0.007827502448</v>
      </c>
      <c r="F524" s="25">
        <f>IFERROR(__xludf.DUMMYFUNCTION("""COMPUTED_VALUE"""),44020.63611111111)</f>
        <v>44020.63611</v>
      </c>
      <c r="G524" s="22">
        <f>IFERROR(__xludf.DUMMYFUNCTION("""COMPUTED_VALUE"""),31.19)</f>
        <v>31.19</v>
      </c>
      <c r="H524" s="25">
        <f>IFERROR(__xludf.DUMMYFUNCTION("""COMPUTED_VALUE"""),44020.63611111111)</f>
        <v>44020.63611</v>
      </c>
      <c r="I524" s="22">
        <f>IFERROR(__xludf.DUMMYFUNCTION("""COMPUTED_VALUE"""),31.83)</f>
        <v>31.83</v>
      </c>
      <c r="J524" s="25">
        <f>IFERROR(__xludf.DUMMYFUNCTION("""COMPUTED_VALUE"""),44020.63611111111)</f>
        <v>44020.63611</v>
      </c>
      <c r="K524" s="22">
        <f>IFERROR(__xludf.DUMMYFUNCTION("""COMPUTED_VALUE"""),29.36)</f>
        <v>29.36</v>
      </c>
      <c r="M524" s="22" t="str">
        <f t="shared" si="3"/>
        <v/>
      </c>
      <c r="N524" s="22" t="str">
        <f t="shared" si="4"/>
        <v>PREDICT CRASH</v>
      </c>
    </row>
    <row r="525" ht="15.75" customHeight="1">
      <c r="A525" s="25">
        <f>IFERROR(__xludf.DUMMYFUNCTION("""COMPUTED_VALUE"""),44021.66666666667)</f>
        <v>44021.66667</v>
      </c>
      <c r="B525" s="22">
        <f>IFERROR(__xludf.DUMMYFUNCTION("""COMPUTED_VALUE"""),3152.05)</f>
        <v>3152.05</v>
      </c>
      <c r="C525" s="25">
        <f>IFERROR(__xludf.DUMMYFUNCTION("""COMPUTED_VALUE"""),44021.63611111111)</f>
        <v>44021.63611</v>
      </c>
      <c r="D525" s="22">
        <f>IFERROR(__xludf.DUMMYFUNCTION("""COMPUTED_VALUE"""),29.26)</f>
        <v>29.26</v>
      </c>
      <c r="E525" s="26">
        <f t="shared" si="2"/>
        <v>-0.005643639943</v>
      </c>
      <c r="F525" s="25">
        <f>IFERROR(__xludf.DUMMYFUNCTION("""COMPUTED_VALUE"""),44021.63611111111)</f>
        <v>44021.63611</v>
      </c>
      <c r="G525" s="22">
        <f>IFERROR(__xludf.DUMMYFUNCTION("""COMPUTED_VALUE"""),32.06)</f>
        <v>32.06</v>
      </c>
      <c r="H525" s="25">
        <f>IFERROR(__xludf.DUMMYFUNCTION("""COMPUTED_VALUE"""),44021.63611111111)</f>
        <v>44021.63611</v>
      </c>
      <c r="I525" s="22">
        <f>IFERROR(__xludf.DUMMYFUNCTION("""COMPUTED_VALUE"""),32.37)</f>
        <v>32.37</v>
      </c>
      <c r="J525" s="25">
        <f>IFERROR(__xludf.DUMMYFUNCTION("""COMPUTED_VALUE"""),44021.63611111111)</f>
        <v>44021.63611</v>
      </c>
      <c r="K525" s="22">
        <f>IFERROR(__xludf.DUMMYFUNCTION("""COMPUTED_VALUE"""),29.75)</f>
        <v>29.75</v>
      </c>
      <c r="M525" s="22" t="str">
        <f t="shared" si="3"/>
        <v/>
      </c>
      <c r="N525" s="22" t="str">
        <f t="shared" si="4"/>
        <v>PREDICT CRASH</v>
      </c>
    </row>
    <row r="526" ht="15.75" customHeight="1">
      <c r="A526" s="25">
        <f>IFERROR(__xludf.DUMMYFUNCTION("""COMPUTED_VALUE"""),44022.66666666667)</f>
        <v>44022.66667</v>
      </c>
      <c r="B526" s="22">
        <f>IFERROR(__xludf.DUMMYFUNCTION("""COMPUTED_VALUE"""),3185.04)</f>
        <v>3185.04</v>
      </c>
      <c r="C526" s="25">
        <f>IFERROR(__xludf.DUMMYFUNCTION("""COMPUTED_VALUE"""),44022.63611111111)</f>
        <v>44022.63611</v>
      </c>
      <c r="D526" s="22">
        <f>IFERROR(__xludf.DUMMYFUNCTION("""COMPUTED_VALUE"""),27.29)</f>
        <v>27.29</v>
      </c>
      <c r="E526" s="26">
        <f t="shared" si="2"/>
        <v>0.01046620453</v>
      </c>
      <c r="F526" s="25">
        <f>IFERROR(__xludf.DUMMYFUNCTION("""COMPUTED_VALUE"""),44022.63611111111)</f>
        <v>44022.63611</v>
      </c>
      <c r="G526" s="22">
        <f>IFERROR(__xludf.DUMMYFUNCTION("""COMPUTED_VALUE"""),31.02)</f>
        <v>31.02</v>
      </c>
      <c r="H526" s="25">
        <f>IFERROR(__xludf.DUMMYFUNCTION("""COMPUTED_VALUE"""),44022.63611111111)</f>
        <v>44022.63611</v>
      </c>
      <c r="I526" s="22">
        <f>IFERROR(__xludf.DUMMYFUNCTION("""COMPUTED_VALUE"""),31.72)</f>
        <v>31.72</v>
      </c>
      <c r="J526" s="25">
        <f>IFERROR(__xludf.DUMMYFUNCTION("""COMPUTED_VALUE"""),44022.63611111111)</f>
        <v>44022.63611</v>
      </c>
      <c r="K526" s="22">
        <f>IFERROR(__xludf.DUMMYFUNCTION("""COMPUTED_VALUE"""),29.23)</f>
        <v>29.23</v>
      </c>
      <c r="M526" s="22" t="str">
        <f t="shared" si="3"/>
        <v/>
      </c>
      <c r="N526" s="22" t="str">
        <f t="shared" si="4"/>
        <v>PREDICT CRASH</v>
      </c>
    </row>
    <row r="527" ht="15.75" customHeight="1">
      <c r="A527" s="25">
        <f>IFERROR(__xludf.DUMMYFUNCTION("""COMPUTED_VALUE"""),44025.66666666667)</f>
        <v>44025.66667</v>
      </c>
      <c r="B527" s="22">
        <f>IFERROR(__xludf.DUMMYFUNCTION("""COMPUTED_VALUE"""),3155.22)</f>
        <v>3155.22</v>
      </c>
      <c r="C527" s="25">
        <f>IFERROR(__xludf.DUMMYFUNCTION("""COMPUTED_VALUE"""),44025.63611111111)</f>
        <v>44025.63611</v>
      </c>
      <c r="D527" s="22">
        <f>IFERROR(__xludf.DUMMYFUNCTION("""COMPUTED_VALUE"""),32.19)</f>
        <v>32.19</v>
      </c>
      <c r="E527" s="26">
        <f t="shared" si="2"/>
        <v>-0.00936251978</v>
      </c>
      <c r="F527" s="25">
        <f>IFERROR(__xludf.DUMMYFUNCTION("""COMPUTED_VALUE"""),44025.63611111111)</f>
        <v>44025.63611</v>
      </c>
      <c r="G527" s="22">
        <f>IFERROR(__xludf.DUMMYFUNCTION("""COMPUTED_VALUE"""),34.54)</f>
        <v>34.54</v>
      </c>
      <c r="H527" s="25">
        <f>IFERROR(__xludf.DUMMYFUNCTION("""COMPUTED_VALUE"""),44025.63611111111)</f>
        <v>44025.63611</v>
      </c>
      <c r="I527" s="22">
        <f>IFERROR(__xludf.DUMMYFUNCTION("""COMPUTED_VALUE"""),35.02)</f>
        <v>35.02</v>
      </c>
      <c r="J527" s="25">
        <f>IFERROR(__xludf.DUMMYFUNCTION("""COMPUTED_VALUE"""),44025.63611111111)</f>
        <v>44025.63611</v>
      </c>
      <c r="K527" s="22">
        <f>IFERROR(__xludf.DUMMYFUNCTION("""COMPUTED_VALUE"""),31.51)</f>
        <v>31.51</v>
      </c>
      <c r="M527" s="22" t="str">
        <f t="shared" si="3"/>
        <v/>
      </c>
      <c r="N527" s="22" t="str">
        <f t="shared" si="4"/>
        <v>PREDICT CRASH</v>
      </c>
    </row>
    <row r="528" ht="15.75" customHeight="1">
      <c r="A528" s="25">
        <f>IFERROR(__xludf.DUMMYFUNCTION("""COMPUTED_VALUE"""),44026.66666666667)</f>
        <v>44026.66667</v>
      </c>
      <c r="B528" s="22">
        <f>IFERROR(__xludf.DUMMYFUNCTION("""COMPUTED_VALUE"""),3197.52)</f>
        <v>3197.52</v>
      </c>
      <c r="C528" s="25">
        <f>IFERROR(__xludf.DUMMYFUNCTION("""COMPUTED_VALUE"""),44026.63611111111)</f>
        <v>44026.63611</v>
      </c>
      <c r="D528" s="22">
        <f>IFERROR(__xludf.DUMMYFUNCTION("""COMPUTED_VALUE"""),29.52)</f>
        <v>29.52</v>
      </c>
      <c r="E528" s="26">
        <f t="shared" si="2"/>
        <v>0.01340635518</v>
      </c>
      <c r="F528" s="25">
        <f>IFERROR(__xludf.DUMMYFUNCTION("""COMPUTED_VALUE"""),44026.63611111111)</f>
        <v>44026.63611</v>
      </c>
      <c r="G528" s="22">
        <f>IFERROR(__xludf.DUMMYFUNCTION("""COMPUTED_VALUE"""),32.56)</f>
        <v>32.56</v>
      </c>
      <c r="H528" s="25">
        <f>IFERROR(__xludf.DUMMYFUNCTION("""COMPUTED_VALUE"""),44026.63611111111)</f>
        <v>44026.63611</v>
      </c>
      <c r="I528" s="22">
        <f>IFERROR(__xludf.DUMMYFUNCTION("""COMPUTED_VALUE"""),33.28)</f>
        <v>33.28</v>
      </c>
      <c r="J528" s="25">
        <f>IFERROR(__xludf.DUMMYFUNCTION("""COMPUTED_VALUE"""),44026.63611111111)</f>
        <v>44026.63611</v>
      </c>
      <c r="K528" s="22">
        <f>IFERROR(__xludf.DUMMYFUNCTION("""COMPUTED_VALUE"""),31.85)</f>
        <v>31.85</v>
      </c>
      <c r="M528" s="22" t="str">
        <f t="shared" si="3"/>
        <v/>
      </c>
      <c r="N528" s="22" t="str">
        <f t="shared" si="4"/>
        <v>PREDICT CRASH</v>
      </c>
    </row>
    <row r="529" ht="15.75" customHeight="1">
      <c r="A529" s="25">
        <f>IFERROR(__xludf.DUMMYFUNCTION("""COMPUTED_VALUE"""),44027.66666666667)</f>
        <v>44027.66667</v>
      </c>
      <c r="B529" s="22">
        <f>IFERROR(__xludf.DUMMYFUNCTION("""COMPUTED_VALUE"""),3226.56)</f>
        <v>3226.56</v>
      </c>
      <c r="C529" s="25">
        <f>IFERROR(__xludf.DUMMYFUNCTION("""COMPUTED_VALUE"""),44027.63611111111)</f>
        <v>44027.63611</v>
      </c>
      <c r="D529" s="22">
        <f>IFERROR(__xludf.DUMMYFUNCTION("""COMPUTED_VALUE"""),27.76)</f>
        <v>27.76</v>
      </c>
      <c r="E529" s="26">
        <f t="shared" si="2"/>
        <v>0.00908203858</v>
      </c>
      <c r="F529" s="25">
        <f>IFERROR(__xludf.DUMMYFUNCTION("""COMPUTED_VALUE"""),44027.63611111111)</f>
        <v>44027.63611</v>
      </c>
      <c r="G529" s="22">
        <f>IFERROR(__xludf.DUMMYFUNCTION("""COMPUTED_VALUE"""),31.56)</f>
        <v>31.56</v>
      </c>
      <c r="H529" s="25">
        <f>IFERROR(__xludf.DUMMYFUNCTION("""COMPUTED_VALUE"""),44027.63611111111)</f>
        <v>44027.63611</v>
      </c>
      <c r="I529" s="22">
        <f>IFERROR(__xludf.DUMMYFUNCTION("""COMPUTED_VALUE"""),32.74)</f>
        <v>32.74</v>
      </c>
      <c r="J529" s="25">
        <f>IFERROR(__xludf.DUMMYFUNCTION("""COMPUTED_VALUE"""),44027.63611111111)</f>
        <v>44027.63611</v>
      </c>
      <c r="K529" s="22">
        <f>IFERROR(__xludf.DUMMYFUNCTION("""COMPUTED_VALUE"""),31.76)</f>
        <v>31.76</v>
      </c>
      <c r="M529" s="22" t="str">
        <f t="shared" si="3"/>
        <v/>
      </c>
      <c r="N529" s="22" t="str">
        <f t="shared" si="4"/>
        <v>PREDICT CRASH</v>
      </c>
    </row>
    <row r="530" ht="15.75" customHeight="1">
      <c r="A530" s="25">
        <f>IFERROR(__xludf.DUMMYFUNCTION("""COMPUTED_VALUE"""),44028.66666666667)</f>
        <v>44028.66667</v>
      </c>
      <c r="B530" s="22">
        <f>IFERROR(__xludf.DUMMYFUNCTION("""COMPUTED_VALUE"""),3215.57)</f>
        <v>3215.57</v>
      </c>
      <c r="C530" s="25">
        <f>IFERROR(__xludf.DUMMYFUNCTION("""COMPUTED_VALUE"""),44028.63611111111)</f>
        <v>44028.63611</v>
      </c>
      <c r="D530" s="22">
        <f>IFERROR(__xludf.DUMMYFUNCTION("""COMPUTED_VALUE"""),28.0)</f>
        <v>28</v>
      </c>
      <c r="E530" s="26">
        <f t="shared" si="2"/>
        <v>-0.003406104334</v>
      </c>
      <c r="F530" s="25">
        <f>IFERROR(__xludf.DUMMYFUNCTION("""COMPUTED_VALUE"""),44028.63611111111)</f>
        <v>44028.63611</v>
      </c>
      <c r="G530" s="22">
        <f>IFERROR(__xludf.DUMMYFUNCTION("""COMPUTED_VALUE"""),31.55)</f>
        <v>31.55</v>
      </c>
      <c r="H530" s="25">
        <f>IFERROR(__xludf.DUMMYFUNCTION("""COMPUTED_VALUE"""),44028.63611111111)</f>
        <v>44028.63611</v>
      </c>
      <c r="I530" s="22">
        <f>IFERROR(__xludf.DUMMYFUNCTION("""COMPUTED_VALUE"""),32.75)</f>
        <v>32.75</v>
      </c>
      <c r="J530" s="25">
        <f>IFERROR(__xludf.DUMMYFUNCTION("""COMPUTED_VALUE"""),44028.63611111111)</f>
        <v>44028.63611</v>
      </c>
      <c r="K530" s="22">
        <f>IFERROR(__xludf.DUMMYFUNCTION("""COMPUTED_VALUE"""),31.06)</f>
        <v>31.06</v>
      </c>
      <c r="M530" s="22" t="str">
        <f t="shared" si="3"/>
        <v/>
      </c>
      <c r="N530" s="22" t="str">
        <f t="shared" si="4"/>
        <v>PREDICT CRASH</v>
      </c>
    </row>
    <row r="531" ht="15.75" customHeight="1">
      <c r="A531" s="25">
        <f>IFERROR(__xludf.DUMMYFUNCTION("""COMPUTED_VALUE"""),44029.66666666667)</f>
        <v>44029.66667</v>
      </c>
      <c r="B531" s="22">
        <f>IFERROR(__xludf.DUMMYFUNCTION("""COMPUTED_VALUE"""),3224.73)</f>
        <v>3224.73</v>
      </c>
      <c r="C531" s="25">
        <f>IFERROR(__xludf.DUMMYFUNCTION("""COMPUTED_VALUE"""),44029.63611111111)</f>
        <v>44029.63611</v>
      </c>
      <c r="D531" s="22">
        <f>IFERROR(__xludf.DUMMYFUNCTION("""COMPUTED_VALUE"""),25.68)</f>
        <v>25.68</v>
      </c>
      <c r="E531" s="26">
        <f t="shared" si="2"/>
        <v>0.002848639588</v>
      </c>
      <c r="F531" s="25">
        <f>IFERROR(__xludf.DUMMYFUNCTION("""COMPUTED_VALUE"""),44029.63611111111)</f>
        <v>44029.63611</v>
      </c>
      <c r="G531" s="22">
        <f>IFERROR(__xludf.DUMMYFUNCTION("""COMPUTED_VALUE"""),30.37)</f>
        <v>30.37</v>
      </c>
      <c r="H531" s="25">
        <f>IFERROR(__xludf.DUMMYFUNCTION("""COMPUTED_VALUE"""),44029.63611111111)</f>
        <v>44029.63611</v>
      </c>
      <c r="I531" s="22">
        <f>IFERROR(__xludf.DUMMYFUNCTION("""COMPUTED_VALUE"""),31.73)</f>
        <v>31.73</v>
      </c>
      <c r="J531" s="25">
        <f>IFERROR(__xludf.DUMMYFUNCTION("""COMPUTED_VALUE"""),44029.63611111111)</f>
        <v>44029.63611</v>
      </c>
      <c r="K531" s="22">
        <f>IFERROR(__xludf.DUMMYFUNCTION("""COMPUTED_VALUE"""),31.0)</f>
        <v>31</v>
      </c>
      <c r="M531" s="22" t="str">
        <f t="shared" si="3"/>
        <v/>
      </c>
      <c r="N531" s="22" t="str">
        <f t="shared" si="4"/>
        <v>PREDICT CRASH</v>
      </c>
    </row>
    <row r="532" ht="15.75" customHeight="1">
      <c r="A532" s="25">
        <f>IFERROR(__xludf.DUMMYFUNCTION("""COMPUTED_VALUE"""),44032.66666666667)</f>
        <v>44032.66667</v>
      </c>
      <c r="B532" s="22">
        <f>IFERROR(__xludf.DUMMYFUNCTION("""COMPUTED_VALUE"""),3251.84)</f>
        <v>3251.84</v>
      </c>
      <c r="C532" s="25">
        <f>IFERROR(__xludf.DUMMYFUNCTION("""COMPUTED_VALUE"""),44032.63611111111)</f>
        <v>44032.63611</v>
      </c>
      <c r="D532" s="22">
        <f>IFERROR(__xludf.DUMMYFUNCTION("""COMPUTED_VALUE"""),24.46)</f>
        <v>24.46</v>
      </c>
      <c r="E532" s="26">
        <f t="shared" si="2"/>
        <v>0.008406905384</v>
      </c>
      <c r="F532" s="25">
        <f>IFERROR(__xludf.DUMMYFUNCTION("""COMPUTED_VALUE"""),44032.63611111111)</f>
        <v>44032.63611</v>
      </c>
      <c r="G532" s="22">
        <f>IFERROR(__xludf.DUMMYFUNCTION("""COMPUTED_VALUE"""),29.1)</f>
        <v>29.1</v>
      </c>
      <c r="H532" s="25">
        <f>IFERROR(__xludf.DUMMYFUNCTION("""COMPUTED_VALUE"""),44032.63611111111)</f>
        <v>44032.63611</v>
      </c>
      <c r="I532" s="22">
        <f>IFERROR(__xludf.DUMMYFUNCTION("""COMPUTED_VALUE"""),30.43)</f>
        <v>30.43</v>
      </c>
      <c r="J532" s="25">
        <f>IFERROR(__xludf.DUMMYFUNCTION("""COMPUTED_VALUE"""),44032.63611111111)</f>
        <v>44032.63611</v>
      </c>
      <c r="K532" s="22">
        <f>IFERROR(__xludf.DUMMYFUNCTION("""COMPUTED_VALUE"""),30.11)</f>
        <v>30.11</v>
      </c>
      <c r="M532" s="22" t="str">
        <f t="shared" si="3"/>
        <v/>
      </c>
      <c r="N532" s="22" t="str">
        <f t="shared" si="4"/>
        <v/>
      </c>
    </row>
    <row r="533" ht="15.75" customHeight="1">
      <c r="A533" s="25">
        <f>IFERROR(__xludf.DUMMYFUNCTION("""COMPUTED_VALUE"""),44033.66666666667)</f>
        <v>44033.66667</v>
      </c>
      <c r="B533" s="22">
        <f>IFERROR(__xludf.DUMMYFUNCTION("""COMPUTED_VALUE"""),3257.3)</f>
        <v>3257.3</v>
      </c>
      <c r="C533" s="25">
        <f>IFERROR(__xludf.DUMMYFUNCTION("""COMPUTED_VALUE"""),44033.63611111111)</f>
        <v>44033.63611</v>
      </c>
      <c r="D533" s="22">
        <f>IFERROR(__xludf.DUMMYFUNCTION("""COMPUTED_VALUE"""),24.84)</f>
        <v>24.84</v>
      </c>
      <c r="E533" s="26">
        <f t="shared" si="2"/>
        <v>0.0016790494</v>
      </c>
      <c r="F533" s="25">
        <f>IFERROR(__xludf.DUMMYFUNCTION("""COMPUTED_VALUE"""),44033.63611111111)</f>
        <v>44033.63611</v>
      </c>
      <c r="G533" s="22">
        <f>IFERROR(__xludf.DUMMYFUNCTION("""COMPUTED_VALUE"""),29.47)</f>
        <v>29.47</v>
      </c>
      <c r="H533" s="25">
        <f>IFERROR(__xludf.DUMMYFUNCTION("""COMPUTED_VALUE"""),44033.63611111111)</f>
        <v>44033.63611</v>
      </c>
      <c r="I533" s="22">
        <f>IFERROR(__xludf.DUMMYFUNCTION("""COMPUTED_VALUE"""),30.7)</f>
        <v>30.7</v>
      </c>
      <c r="J533" s="25">
        <f>IFERROR(__xludf.DUMMYFUNCTION("""COMPUTED_VALUE"""),44033.63611111111)</f>
        <v>44033.63611</v>
      </c>
      <c r="K533" s="22">
        <f>IFERROR(__xludf.DUMMYFUNCTION("""COMPUTED_VALUE"""),30.34)</f>
        <v>30.34</v>
      </c>
      <c r="M533" s="22" t="str">
        <f t="shared" si="3"/>
        <v/>
      </c>
      <c r="N533" s="22" t="str">
        <f t="shared" si="4"/>
        <v/>
      </c>
    </row>
    <row r="534" ht="15.75" customHeight="1">
      <c r="A534" s="25">
        <f>IFERROR(__xludf.DUMMYFUNCTION("""COMPUTED_VALUE"""),44034.66666666667)</f>
        <v>44034.66667</v>
      </c>
      <c r="B534" s="22">
        <f>IFERROR(__xludf.DUMMYFUNCTION("""COMPUTED_VALUE"""),3276.02)</f>
        <v>3276.02</v>
      </c>
      <c r="C534" s="25">
        <f>IFERROR(__xludf.DUMMYFUNCTION("""COMPUTED_VALUE"""),44034.63611111111)</f>
        <v>44034.63611</v>
      </c>
      <c r="D534" s="22">
        <f>IFERROR(__xludf.DUMMYFUNCTION("""COMPUTED_VALUE"""),24.32)</f>
        <v>24.32</v>
      </c>
      <c r="E534" s="26">
        <f t="shared" si="2"/>
        <v>0.005747091149</v>
      </c>
      <c r="F534" s="25">
        <f>IFERROR(__xludf.DUMMYFUNCTION("""COMPUTED_VALUE"""),44034.63611111111)</f>
        <v>44034.63611</v>
      </c>
      <c r="G534" s="22">
        <f>IFERROR(__xludf.DUMMYFUNCTION("""COMPUTED_VALUE"""),29.05)</f>
        <v>29.05</v>
      </c>
      <c r="H534" s="25">
        <f>IFERROR(__xludf.DUMMYFUNCTION("""COMPUTED_VALUE"""),44034.63611111111)</f>
        <v>44034.63611</v>
      </c>
      <c r="I534" s="22">
        <f>IFERROR(__xludf.DUMMYFUNCTION("""COMPUTED_VALUE"""),30.43)</f>
        <v>30.43</v>
      </c>
      <c r="J534" s="25">
        <f>IFERROR(__xludf.DUMMYFUNCTION("""COMPUTED_VALUE"""),44034.63611111111)</f>
        <v>44034.63611</v>
      </c>
      <c r="K534" s="22">
        <f>IFERROR(__xludf.DUMMYFUNCTION("""COMPUTED_VALUE"""),30.05)</f>
        <v>30.05</v>
      </c>
      <c r="M534" s="22" t="str">
        <f t="shared" si="3"/>
        <v/>
      </c>
      <c r="N534" s="22" t="str">
        <f t="shared" si="4"/>
        <v/>
      </c>
    </row>
    <row r="535" ht="15.75" customHeight="1">
      <c r="A535" s="25">
        <f>IFERROR(__xludf.DUMMYFUNCTION("""COMPUTED_VALUE"""),44035.66666666667)</f>
        <v>44035.66667</v>
      </c>
      <c r="B535" s="22">
        <f>IFERROR(__xludf.DUMMYFUNCTION("""COMPUTED_VALUE"""),3235.66)</f>
        <v>3235.66</v>
      </c>
      <c r="C535" s="25">
        <f>IFERROR(__xludf.DUMMYFUNCTION("""COMPUTED_VALUE"""),44035.63611111111)</f>
        <v>44035.63611</v>
      </c>
      <c r="D535" s="22">
        <f>IFERROR(__xludf.DUMMYFUNCTION("""COMPUTED_VALUE"""),26.08)</f>
        <v>26.08</v>
      </c>
      <c r="E535" s="26">
        <f t="shared" si="2"/>
        <v>-0.01231982711</v>
      </c>
      <c r="F535" s="25">
        <f>IFERROR(__xludf.DUMMYFUNCTION("""COMPUTED_VALUE"""),44035.63611111111)</f>
        <v>44035.63611</v>
      </c>
      <c r="G535" s="22">
        <f>IFERROR(__xludf.DUMMYFUNCTION("""COMPUTED_VALUE"""),30.25)</f>
        <v>30.25</v>
      </c>
      <c r="H535" s="25">
        <f>IFERROR(__xludf.DUMMYFUNCTION("""COMPUTED_VALUE"""),44035.63611111111)</f>
        <v>44035.63611</v>
      </c>
      <c r="I535" s="22">
        <f>IFERROR(__xludf.DUMMYFUNCTION("""COMPUTED_VALUE"""),31.94)</f>
        <v>31.94</v>
      </c>
      <c r="J535" s="25">
        <f>IFERROR(__xludf.DUMMYFUNCTION("""COMPUTED_VALUE"""),44035.63611111111)</f>
        <v>44035.63611</v>
      </c>
      <c r="K535" s="22">
        <f>IFERROR(__xludf.DUMMYFUNCTION("""COMPUTED_VALUE"""),30.72)</f>
        <v>30.72</v>
      </c>
      <c r="M535" s="22" t="str">
        <f t="shared" si="3"/>
        <v/>
      </c>
      <c r="N535" s="22" t="str">
        <f t="shared" si="4"/>
        <v>PREDICT CRASH</v>
      </c>
    </row>
    <row r="536" ht="15.75" customHeight="1">
      <c r="A536" s="25">
        <f>IFERROR(__xludf.DUMMYFUNCTION("""COMPUTED_VALUE"""),44036.66666666667)</f>
        <v>44036.66667</v>
      </c>
      <c r="B536" s="22">
        <f>IFERROR(__xludf.DUMMYFUNCTION("""COMPUTED_VALUE"""),3215.63)</f>
        <v>3215.63</v>
      </c>
      <c r="C536" s="25">
        <f>IFERROR(__xludf.DUMMYFUNCTION("""COMPUTED_VALUE"""),44036.63611111111)</f>
        <v>44036.63611</v>
      </c>
      <c r="D536" s="22">
        <f>IFERROR(__xludf.DUMMYFUNCTION("""COMPUTED_VALUE"""),25.84)</f>
        <v>25.84</v>
      </c>
      <c r="E536" s="26">
        <f t="shared" si="2"/>
        <v>-0.006190390832</v>
      </c>
      <c r="F536" s="25">
        <f>IFERROR(__xludf.DUMMYFUNCTION("""COMPUTED_VALUE"""),44036.63611111111)</f>
        <v>44036.63611</v>
      </c>
      <c r="G536" s="22">
        <f>IFERROR(__xludf.DUMMYFUNCTION("""COMPUTED_VALUE"""),30.56)</f>
        <v>30.56</v>
      </c>
      <c r="H536" s="25">
        <f>IFERROR(__xludf.DUMMYFUNCTION("""COMPUTED_VALUE"""),44036.63611111111)</f>
        <v>44036.63611</v>
      </c>
      <c r="I536" s="22">
        <f>IFERROR(__xludf.DUMMYFUNCTION("""COMPUTED_VALUE"""),31.65)</f>
        <v>31.65</v>
      </c>
      <c r="J536" s="25">
        <f>IFERROR(__xludf.DUMMYFUNCTION("""COMPUTED_VALUE"""),44036.63611111111)</f>
        <v>44036.63611</v>
      </c>
      <c r="K536" s="22">
        <f>IFERROR(__xludf.DUMMYFUNCTION("""COMPUTED_VALUE"""),30.52)</f>
        <v>30.52</v>
      </c>
      <c r="M536" s="22" t="str">
        <f t="shared" si="3"/>
        <v/>
      </c>
      <c r="N536" s="22" t="str">
        <f t="shared" si="4"/>
        <v>PREDICT CRASH</v>
      </c>
    </row>
    <row r="537" ht="15.75" customHeight="1">
      <c r="A537" s="25">
        <f>IFERROR(__xludf.DUMMYFUNCTION("""COMPUTED_VALUE"""),44039.66666666667)</f>
        <v>44039.66667</v>
      </c>
      <c r="B537" s="22">
        <f>IFERROR(__xludf.DUMMYFUNCTION("""COMPUTED_VALUE"""),3239.41)</f>
        <v>3239.41</v>
      </c>
      <c r="C537" s="25">
        <f>IFERROR(__xludf.DUMMYFUNCTION("""COMPUTED_VALUE"""),44039.63611111111)</f>
        <v>44039.63611</v>
      </c>
      <c r="D537" s="22">
        <f>IFERROR(__xludf.DUMMYFUNCTION("""COMPUTED_VALUE"""),24.74)</f>
        <v>24.74</v>
      </c>
      <c r="E537" s="26">
        <f t="shared" si="2"/>
        <v>0.007395129415</v>
      </c>
      <c r="F537" s="25">
        <f>IFERROR(__xludf.DUMMYFUNCTION("""COMPUTED_VALUE"""),44039.63611111111)</f>
        <v>44039.63611</v>
      </c>
      <c r="G537" s="22">
        <f>IFERROR(__xludf.DUMMYFUNCTION("""COMPUTED_VALUE"""),30.0)</f>
        <v>30</v>
      </c>
      <c r="H537" s="25">
        <f>IFERROR(__xludf.DUMMYFUNCTION("""COMPUTED_VALUE"""),44039.63611111111)</f>
        <v>44039.63611</v>
      </c>
      <c r="I537" s="22">
        <f>IFERROR(__xludf.DUMMYFUNCTION("""COMPUTED_VALUE"""),31.33)</f>
        <v>31.33</v>
      </c>
      <c r="J537" s="25">
        <f>IFERROR(__xludf.DUMMYFUNCTION("""COMPUTED_VALUE"""),44039.63611111111)</f>
        <v>44039.63611</v>
      </c>
      <c r="K537" s="22">
        <f>IFERROR(__xludf.DUMMYFUNCTION("""COMPUTED_VALUE"""),30.25)</f>
        <v>30.25</v>
      </c>
      <c r="M537" s="22" t="str">
        <f t="shared" si="3"/>
        <v/>
      </c>
      <c r="N537" s="22" t="str">
        <f t="shared" si="4"/>
        <v/>
      </c>
    </row>
    <row r="538" ht="15.75" customHeight="1">
      <c r="A538" s="25">
        <f>IFERROR(__xludf.DUMMYFUNCTION("""COMPUTED_VALUE"""),44040.66666666667)</f>
        <v>44040.66667</v>
      </c>
      <c r="B538" s="22">
        <f>IFERROR(__xludf.DUMMYFUNCTION("""COMPUTED_VALUE"""),3218.44)</f>
        <v>3218.44</v>
      </c>
      <c r="C538" s="25">
        <f>IFERROR(__xludf.DUMMYFUNCTION("""COMPUTED_VALUE"""),44040.63611111111)</f>
        <v>44040.63611</v>
      </c>
      <c r="D538" s="22">
        <f>IFERROR(__xludf.DUMMYFUNCTION("""COMPUTED_VALUE"""),25.44)</f>
        <v>25.44</v>
      </c>
      <c r="E538" s="26">
        <f t="shared" si="2"/>
        <v>-0.006473401021</v>
      </c>
      <c r="F538" s="25">
        <f>IFERROR(__xludf.DUMMYFUNCTION("""COMPUTED_VALUE"""),44040.63611111111)</f>
        <v>44040.63611</v>
      </c>
      <c r="G538" s="22">
        <f>IFERROR(__xludf.DUMMYFUNCTION("""COMPUTED_VALUE"""),30.1)</f>
        <v>30.1</v>
      </c>
      <c r="H538" s="25">
        <f>IFERROR(__xludf.DUMMYFUNCTION("""COMPUTED_VALUE"""),44040.63611111111)</f>
        <v>44040.63611</v>
      </c>
      <c r="I538" s="22">
        <f>IFERROR(__xludf.DUMMYFUNCTION("""COMPUTED_VALUE"""),31.47)</f>
        <v>31.47</v>
      </c>
      <c r="J538" s="25">
        <f>IFERROR(__xludf.DUMMYFUNCTION("""COMPUTED_VALUE"""),44040.63611111111)</f>
        <v>44040.63611</v>
      </c>
      <c r="K538" s="22">
        <f>IFERROR(__xludf.DUMMYFUNCTION("""COMPUTED_VALUE"""),30.93)</f>
        <v>30.93</v>
      </c>
      <c r="M538" s="22" t="str">
        <f t="shared" si="3"/>
        <v/>
      </c>
      <c r="N538" s="22" t="str">
        <f t="shared" si="4"/>
        <v>PREDICT CRASH</v>
      </c>
    </row>
    <row r="539" ht="15.75" customHeight="1">
      <c r="A539" s="25">
        <f>IFERROR(__xludf.DUMMYFUNCTION("""COMPUTED_VALUE"""),44041.66666666667)</f>
        <v>44041.66667</v>
      </c>
      <c r="B539" s="22">
        <f>IFERROR(__xludf.DUMMYFUNCTION("""COMPUTED_VALUE"""),3258.44)</f>
        <v>3258.44</v>
      </c>
      <c r="C539" s="25">
        <f>IFERROR(__xludf.DUMMYFUNCTION("""COMPUTED_VALUE"""),44041.63611111111)</f>
        <v>44041.63611</v>
      </c>
      <c r="D539" s="22">
        <f>IFERROR(__xludf.DUMMYFUNCTION("""COMPUTED_VALUE"""),24.1)</f>
        <v>24.1</v>
      </c>
      <c r="E539" s="26">
        <f t="shared" si="2"/>
        <v>0.01242838145</v>
      </c>
      <c r="F539" s="25">
        <f>IFERROR(__xludf.DUMMYFUNCTION("""COMPUTED_VALUE"""),44041.63611111111)</f>
        <v>44041.63611</v>
      </c>
      <c r="G539" s="22">
        <f>IFERROR(__xludf.DUMMYFUNCTION("""COMPUTED_VALUE"""),29.29)</f>
        <v>29.29</v>
      </c>
      <c r="H539" s="25">
        <f>IFERROR(__xludf.DUMMYFUNCTION("""COMPUTED_VALUE"""),44041.63611111111)</f>
        <v>44041.63611</v>
      </c>
      <c r="I539" s="22">
        <f>IFERROR(__xludf.DUMMYFUNCTION("""COMPUTED_VALUE"""),30.97)</f>
        <v>30.97</v>
      </c>
      <c r="J539" s="25">
        <f>IFERROR(__xludf.DUMMYFUNCTION("""COMPUTED_VALUE"""),44041.63611111111)</f>
        <v>44041.63611</v>
      </c>
      <c r="K539" s="22">
        <f>IFERROR(__xludf.DUMMYFUNCTION("""COMPUTED_VALUE"""),30.59)</f>
        <v>30.59</v>
      </c>
      <c r="M539" s="22" t="str">
        <f t="shared" si="3"/>
        <v/>
      </c>
      <c r="N539" s="22" t="str">
        <f t="shared" si="4"/>
        <v/>
      </c>
    </row>
    <row r="540" ht="15.75" customHeight="1">
      <c r="A540" s="25">
        <f>IFERROR(__xludf.DUMMYFUNCTION("""COMPUTED_VALUE"""),44042.66666666667)</f>
        <v>44042.66667</v>
      </c>
      <c r="B540" s="22">
        <f>IFERROR(__xludf.DUMMYFUNCTION("""COMPUTED_VALUE"""),3246.22)</f>
        <v>3246.22</v>
      </c>
      <c r="C540" s="25">
        <f>IFERROR(__xludf.DUMMYFUNCTION("""COMPUTED_VALUE"""),44042.63611111111)</f>
        <v>44042.63611</v>
      </c>
      <c r="D540" s="22">
        <f>IFERROR(__xludf.DUMMYFUNCTION("""COMPUTED_VALUE"""),24.76)</f>
        <v>24.76</v>
      </c>
      <c r="E540" s="26">
        <f t="shared" si="2"/>
        <v>-0.003750260861</v>
      </c>
      <c r="F540" s="25">
        <f>IFERROR(__xludf.DUMMYFUNCTION("""COMPUTED_VALUE"""),44042.63611111111)</f>
        <v>44042.63611</v>
      </c>
      <c r="G540" s="22">
        <f>IFERROR(__xludf.DUMMYFUNCTION("""COMPUTED_VALUE"""),29.76)</f>
        <v>29.76</v>
      </c>
      <c r="H540" s="25">
        <f>IFERROR(__xludf.DUMMYFUNCTION("""COMPUTED_VALUE"""),44042.63611111111)</f>
        <v>44042.63611</v>
      </c>
      <c r="I540" s="22">
        <f>IFERROR(__xludf.DUMMYFUNCTION("""COMPUTED_VALUE"""),31.39)</f>
        <v>31.39</v>
      </c>
      <c r="J540" s="25">
        <f>IFERROR(__xludf.DUMMYFUNCTION("""COMPUTED_VALUE"""),44042.63611111111)</f>
        <v>44042.63611</v>
      </c>
      <c r="K540" s="22">
        <f>IFERROR(__xludf.DUMMYFUNCTION("""COMPUTED_VALUE"""),30.04)</f>
        <v>30.04</v>
      </c>
      <c r="M540" s="22" t="str">
        <f t="shared" si="3"/>
        <v/>
      </c>
      <c r="N540" s="22" t="str">
        <f t="shared" si="4"/>
        <v/>
      </c>
    </row>
    <row r="541" ht="15.75" customHeight="1">
      <c r="A541" s="25">
        <f>IFERROR(__xludf.DUMMYFUNCTION("""COMPUTED_VALUE"""),44043.66666666667)</f>
        <v>44043.66667</v>
      </c>
      <c r="B541" s="22">
        <f>IFERROR(__xludf.DUMMYFUNCTION("""COMPUTED_VALUE"""),3271.12)</f>
        <v>3271.12</v>
      </c>
      <c r="C541" s="25">
        <f>IFERROR(__xludf.DUMMYFUNCTION("""COMPUTED_VALUE"""),44043.63611111111)</f>
        <v>44043.63611</v>
      </c>
      <c r="D541" s="22">
        <f>IFERROR(__xludf.DUMMYFUNCTION("""COMPUTED_VALUE"""),24.46)</f>
        <v>24.46</v>
      </c>
      <c r="E541" s="26">
        <f t="shared" si="2"/>
        <v>0.007670459796</v>
      </c>
      <c r="F541" s="25">
        <f>IFERROR(__xludf.DUMMYFUNCTION("""COMPUTED_VALUE"""),44043.63611111111)</f>
        <v>44043.63611</v>
      </c>
      <c r="G541" s="22">
        <f>IFERROR(__xludf.DUMMYFUNCTION("""COMPUTED_VALUE"""),29.71)</f>
        <v>29.71</v>
      </c>
      <c r="H541" s="25">
        <f>IFERROR(__xludf.DUMMYFUNCTION("""COMPUTED_VALUE"""),44043.63611111111)</f>
        <v>44043.63611</v>
      </c>
      <c r="I541" s="22">
        <f>IFERROR(__xludf.DUMMYFUNCTION("""COMPUTED_VALUE"""),31.21)</f>
        <v>31.21</v>
      </c>
      <c r="J541" s="25">
        <f>IFERROR(__xludf.DUMMYFUNCTION("""COMPUTED_VALUE"""),44043.63611111111)</f>
        <v>44043.63611</v>
      </c>
      <c r="K541" s="22">
        <f>IFERROR(__xludf.DUMMYFUNCTION("""COMPUTED_VALUE"""),30.53)</f>
        <v>30.53</v>
      </c>
      <c r="M541" s="22" t="str">
        <f t="shared" si="3"/>
        <v/>
      </c>
      <c r="N541" s="22" t="str">
        <f t="shared" si="4"/>
        <v/>
      </c>
    </row>
    <row r="542" ht="15.75" customHeight="1">
      <c r="A542" s="25">
        <f>IFERROR(__xludf.DUMMYFUNCTION("""COMPUTED_VALUE"""),44046.66666666667)</f>
        <v>44046.66667</v>
      </c>
      <c r="B542" s="22">
        <f>IFERROR(__xludf.DUMMYFUNCTION("""COMPUTED_VALUE"""),3294.61)</f>
        <v>3294.61</v>
      </c>
      <c r="C542" s="25">
        <f>IFERROR(__xludf.DUMMYFUNCTION("""COMPUTED_VALUE"""),44046.63611111111)</f>
        <v>44046.63611</v>
      </c>
      <c r="D542" s="22">
        <f>IFERROR(__xludf.DUMMYFUNCTION("""COMPUTED_VALUE"""),24.28)</f>
        <v>24.28</v>
      </c>
      <c r="E542" s="26">
        <f t="shared" si="2"/>
        <v>0.007181026682</v>
      </c>
      <c r="F542" s="25">
        <f>IFERROR(__xludf.DUMMYFUNCTION("""COMPUTED_VALUE"""),44046.63611111111)</f>
        <v>44046.63611</v>
      </c>
      <c r="G542" s="22">
        <f>IFERROR(__xludf.DUMMYFUNCTION("""COMPUTED_VALUE"""),29.66)</f>
        <v>29.66</v>
      </c>
      <c r="H542" s="25">
        <f>IFERROR(__xludf.DUMMYFUNCTION("""COMPUTED_VALUE"""),44046.63611111111)</f>
        <v>44046.63611</v>
      </c>
      <c r="I542" s="22">
        <f>IFERROR(__xludf.DUMMYFUNCTION("""COMPUTED_VALUE"""),31.18)</f>
        <v>31.18</v>
      </c>
      <c r="J542" s="25">
        <f>IFERROR(__xludf.DUMMYFUNCTION("""COMPUTED_VALUE"""),44046.63611111111)</f>
        <v>44046.63611</v>
      </c>
      <c r="K542" s="22">
        <f>IFERROR(__xludf.DUMMYFUNCTION("""COMPUTED_VALUE"""),30.65)</f>
        <v>30.65</v>
      </c>
      <c r="M542" s="22" t="str">
        <f t="shared" si="3"/>
        <v/>
      </c>
      <c r="N542" s="22" t="str">
        <f t="shared" si="4"/>
        <v/>
      </c>
    </row>
    <row r="543" ht="15.75" customHeight="1">
      <c r="A543" s="25">
        <f>IFERROR(__xludf.DUMMYFUNCTION("""COMPUTED_VALUE"""),44047.66666666667)</f>
        <v>44047.66667</v>
      </c>
      <c r="B543" s="22">
        <f>IFERROR(__xludf.DUMMYFUNCTION("""COMPUTED_VALUE"""),3306.51)</f>
        <v>3306.51</v>
      </c>
      <c r="C543" s="25">
        <f>IFERROR(__xludf.DUMMYFUNCTION("""COMPUTED_VALUE"""),44047.63611111111)</f>
        <v>44047.63611</v>
      </c>
      <c r="D543" s="22">
        <f>IFERROR(__xludf.DUMMYFUNCTION("""COMPUTED_VALUE"""),23.76)</f>
        <v>23.76</v>
      </c>
      <c r="E543" s="26">
        <f t="shared" si="2"/>
        <v>0.003611960141</v>
      </c>
      <c r="F543" s="25">
        <f>IFERROR(__xludf.DUMMYFUNCTION("""COMPUTED_VALUE"""),44047.63611111111)</f>
        <v>44047.63611</v>
      </c>
      <c r="G543" s="22">
        <f>IFERROR(__xludf.DUMMYFUNCTION("""COMPUTED_VALUE"""),29.09)</f>
        <v>29.09</v>
      </c>
      <c r="H543" s="25">
        <f>IFERROR(__xludf.DUMMYFUNCTION("""COMPUTED_VALUE"""),44047.63611111111)</f>
        <v>44047.63611</v>
      </c>
      <c r="I543" s="22">
        <f>IFERROR(__xludf.DUMMYFUNCTION("""COMPUTED_VALUE"""),30.72)</f>
        <v>30.72</v>
      </c>
      <c r="J543" s="25">
        <f>IFERROR(__xludf.DUMMYFUNCTION("""COMPUTED_VALUE"""),44047.63611111111)</f>
        <v>44047.63611</v>
      </c>
      <c r="K543" s="22">
        <f>IFERROR(__xludf.DUMMYFUNCTION("""COMPUTED_VALUE"""),30.01)</f>
        <v>30.01</v>
      </c>
      <c r="M543" s="22" t="str">
        <f t="shared" si="3"/>
        <v/>
      </c>
      <c r="N543" s="22" t="str">
        <f t="shared" si="4"/>
        <v/>
      </c>
    </row>
    <row r="544" ht="15.75" customHeight="1">
      <c r="A544" s="25">
        <f>IFERROR(__xludf.DUMMYFUNCTION("""COMPUTED_VALUE"""),44048.66666666667)</f>
        <v>44048.66667</v>
      </c>
      <c r="B544" s="22">
        <f>IFERROR(__xludf.DUMMYFUNCTION("""COMPUTED_VALUE"""),3327.77)</f>
        <v>3327.77</v>
      </c>
      <c r="C544" s="25">
        <f>IFERROR(__xludf.DUMMYFUNCTION("""COMPUTED_VALUE"""),44048.63611111111)</f>
        <v>44048.63611</v>
      </c>
      <c r="D544" s="22">
        <f>IFERROR(__xludf.DUMMYFUNCTION("""COMPUTED_VALUE"""),22.99)</f>
        <v>22.99</v>
      </c>
      <c r="E544" s="26">
        <f t="shared" si="2"/>
        <v>0.006429740119</v>
      </c>
      <c r="F544" s="25">
        <f>IFERROR(__xludf.DUMMYFUNCTION("""COMPUTED_VALUE"""),44048.63611111111)</f>
        <v>44048.63611</v>
      </c>
      <c r="G544" s="22">
        <f>IFERROR(__xludf.DUMMYFUNCTION("""COMPUTED_VALUE"""),28.6)</f>
        <v>28.6</v>
      </c>
      <c r="H544" s="25">
        <f>IFERROR(__xludf.DUMMYFUNCTION("""COMPUTED_VALUE"""),44048.63611111111)</f>
        <v>44048.63611</v>
      </c>
      <c r="I544" s="22">
        <f>IFERROR(__xludf.DUMMYFUNCTION("""COMPUTED_VALUE"""),30.32)</f>
        <v>30.32</v>
      </c>
      <c r="J544" s="25">
        <f>IFERROR(__xludf.DUMMYFUNCTION("""COMPUTED_VALUE"""),44048.63611111111)</f>
        <v>44048.63611</v>
      </c>
      <c r="K544" s="22">
        <f>IFERROR(__xludf.DUMMYFUNCTION("""COMPUTED_VALUE"""),29.67)</f>
        <v>29.67</v>
      </c>
      <c r="M544" s="22" t="str">
        <f t="shared" si="3"/>
        <v/>
      </c>
      <c r="N544" s="22" t="str">
        <f t="shared" si="4"/>
        <v/>
      </c>
    </row>
    <row r="545" ht="15.75" customHeight="1">
      <c r="A545" s="25">
        <f>IFERROR(__xludf.DUMMYFUNCTION("""COMPUTED_VALUE"""),44049.66666666667)</f>
        <v>44049.66667</v>
      </c>
      <c r="B545" s="22">
        <f>IFERROR(__xludf.DUMMYFUNCTION("""COMPUTED_VALUE"""),3349.16)</f>
        <v>3349.16</v>
      </c>
      <c r="C545" s="25">
        <f>IFERROR(__xludf.DUMMYFUNCTION("""COMPUTED_VALUE"""),44049.63611111111)</f>
        <v>44049.63611</v>
      </c>
      <c r="D545" s="22">
        <f>IFERROR(__xludf.DUMMYFUNCTION("""COMPUTED_VALUE"""),22.65)</f>
        <v>22.65</v>
      </c>
      <c r="E545" s="26">
        <f t="shared" si="2"/>
        <v>0.006427727878</v>
      </c>
      <c r="F545" s="25">
        <f>IFERROR(__xludf.DUMMYFUNCTION("""COMPUTED_VALUE"""),44049.63611111111)</f>
        <v>44049.63611</v>
      </c>
      <c r="G545" s="22">
        <f>IFERROR(__xludf.DUMMYFUNCTION("""COMPUTED_VALUE"""),28.2)</f>
        <v>28.2</v>
      </c>
      <c r="H545" s="25">
        <f>IFERROR(__xludf.DUMMYFUNCTION("""COMPUTED_VALUE"""),44049.63611111111)</f>
        <v>44049.63611</v>
      </c>
      <c r="I545" s="22">
        <f>IFERROR(__xludf.DUMMYFUNCTION("""COMPUTED_VALUE"""),30.11)</f>
        <v>30.11</v>
      </c>
      <c r="J545" s="25">
        <f>IFERROR(__xludf.DUMMYFUNCTION("""COMPUTED_VALUE"""),44049.63611111111)</f>
        <v>44049.63611</v>
      </c>
      <c r="K545" s="22">
        <f>IFERROR(__xludf.DUMMYFUNCTION("""COMPUTED_VALUE"""),30.09)</f>
        <v>30.09</v>
      </c>
      <c r="M545" s="22" t="str">
        <f t="shared" si="3"/>
        <v/>
      </c>
      <c r="N545" s="22" t="str">
        <f t="shared" si="4"/>
        <v/>
      </c>
    </row>
    <row r="546" ht="15.75" customHeight="1">
      <c r="A546" s="25">
        <f>IFERROR(__xludf.DUMMYFUNCTION("""COMPUTED_VALUE"""),44050.66666666667)</f>
        <v>44050.66667</v>
      </c>
      <c r="B546" s="22">
        <f>IFERROR(__xludf.DUMMYFUNCTION("""COMPUTED_VALUE"""),3351.28)</f>
        <v>3351.28</v>
      </c>
      <c r="C546" s="25">
        <f>IFERROR(__xludf.DUMMYFUNCTION("""COMPUTED_VALUE"""),44050.63611111111)</f>
        <v>44050.63611</v>
      </c>
      <c r="D546" s="22">
        <f>IFERROR(__xludf.DUMMYFUNCTION("""COMPUTED_VALUE"""),22.21)</f>
        <v>22.21</v>
      </c>
      <c r="E546" s="26">
        <f t="shared" si="2"/>
        <v>0.0006329945419</v>
      </c>
      <c r="F546" s="25">
        <f>IFERROR(__xludf.DUMMYFUNCTION("""COMPUTED_VALUE"""),44050.63611111111)</f>
        <v>44050.63611</v>
      </c>
      <c r="G546" s="22">
        <f>IFERROR(__xludf.DUMMYFUNCTION("""COMPUTED_VALUE"""),28.28)</f>
        <v>28.28</v>
      </c>
      <c r="H546" s="25">
        <f>IFERROR(__xludf.DUMMYFUNCTION("""COMPUTED_VALUE"""),44050.63611111111)</f>
        <v>44050.63611</v>
      </c>
      <c r="I546" s="22">
        <f>IFERROR(__xludf.DUMMYFUNCTION("""COMPUTED_VALUE"""),30.22)</f>
        <v>30.22</v>
      </c>
      <c r="J546" s="25">
        <f>IFERROR(__xludf.DUMMYFUNCTION("""COMPUTED_VALUE"""),44050.63611111111)</f>
        <v>44050.63611</v>
      </c>
      <c r="K546" s="22">
        <f>IFERROR(__xludf.DUMMYFUNCTION("""COMPUTED_VALUE"""),30.27)</f>
        <v>30.27</v>
      </c>
      <c r="M546" s="22" t="str">
        <f t="shared" si="3"/>
        <v/>
      </c>
      <c r="N546" s="22" t="str">
        <f t="shared" si="4"/>
        <v/>
      </c>
    </row>
    <row r="547" ht="15.75" customHeight="1">
      <c r="A547" s="25">
        <f>IFERROR(__xludf.DUMMYFUNCTION("""COMPUTED_VALUE"""),44053.66666666667)</f>
        <v>44053.66667</v>
      </c>
      <c r="B547" s="22">
        <f>IFERROR(__xludf.DUMMYFUNCTION("""COMPUTED_VALUE"""),3360.47)</f>
        <v>3360.47</v>
      </c>
      <c r="C547" s="25">
        <f>IFERROR(__xludf.DUMMYFUNCTION("""COMPUTED_VALUE"""),44053.63611111111)</f>
        <v>44053.63611</v>
      </c>
      <c r="D547" s="22">
        <f>IFERROR(__xludf.DUMMYFUNCTION("""COMPUTED_VALUE"""),22.13)</f>
        <v>22.13</v>
      </c>
      <c r="E547" s="26">
        <f t="shared" si="2"/>
        <v>0.002742235802</v>
      </c>
      <c r="F547" s="25">
        <f>IFERROR(__xludf.DUMMYFUNCTION("""COMPUTED_VALUE"""),44053.63611111111)</f>
        <v>44053.63611</v>
      </c>
      <c r="G547" s="22">
        <f>IFERROR(__xludf.DUMMYFUNCTION("""COMPUTED_VALUE"""),28.05)</f>
        <v>28.05</v>
      </c>
      <c r="H547" s="25">
        <f>IFERROR(__xludf.DUMMYFUNCTION("""COMPUTED_VALUE"""),44053.63611111111)</f>
        <v>44053.63611</v>
      </c>
      <c r="I547" s="22">
        <f>IFERROR(__xludf.DUMMYFUNCTION("""COMPUTED_VALUE"""),29.91)</f>
        <v>29.91</v>
      </c>
      <c r="J547" s="25">
        <f>IFERROR(__xludf.DUMMYFUNCTION("""COMPUTED_VALUE"""),44053.63611111111)</f>
        <v>44053.63611</v>
      </c>
      <c r="K547" s="22">
        <f>IFERROR(__xludf.DUMMYFUNCTION("""COMPUTED_VALUE"""),30.2)</f>
        <v>30.2</v>
      </c>
      <c r="M547" s="22" t="str">
        <f t="shared" si="3"/>
        <v/>
      </c>
      <c r="N547" s="22" t="str">
        <f t="shared" si="4"/>
        <v/>
      </c>
    </row>
    <row r="548" ht="15.75" customHeight="1">
      <c r="A548" s="25">
        <f>IFERROR(__xludf.DUMMYFUNCTION("""COMPUTED_VALUE"""),44054.66666666667)</f>
        <v>44054.66667</v>
      </c>
      <c r="B548" s="22">
        <f>IFERROR(__xludf.DUMMYFUNCTION("""COMPUTED_VALUE"""),3333.69)</f>
        <v>3333.69</v>
      </c>
      <c r="C548" s="25">
        <f>IFERROR(__xludf.DUMMYFUNCTION("""COMPUTED_VALUE"""),44054.63611111111)</f>
        <v>44054.63611</v>
      </c>
      <c r="D548" s="22">
        <f>IFERROR(__xludf.DUMMYFUNCTION("""COMPUTED_VALUE"""),24.03)</f>
        <v>24.03</v>
      </c>
      <c r="E548" s="26">
        <f t="shared" si="2"/>
        <v>-0.007969123367</v>
      </c>
      <c r="F548" s="25">
        <f>IFERROR(__xludf.DUMMYFUNCTION("""COMPUTED_VALUE"""),44054.63611111111)</f>
        <v>44054.63611</v>
      </c>
      <c r="G548" s="22">
        <f>IFERROR(__xludf.DUMMYFUNCTION("""COMPUTED_VALUE"""),29.17)</f>
        <v>29.17</v>
      </c>
      <c r="H548" s="25">
        <f>IFERROR(__xludf.DUMMYFUNCTION("""COMPUTED_VALUE"""),44054.63611111111)</f>
        <v>44054.63611</v>
      </c>
      <c r="I548" s="22">
        <f>IFERROR(__xludf.DUMMYFUNCTION("""COMPUTED_VALUE"""),30.79)</f>
        <v>30.79</v>
      </c>
      <c r="J548" s="25">
        <f>IFERROR(__xludf.DUMMYFUNCTION("""COMPUTED_VALUE"""),44054.63611111111)</f>
        <v>44054.63611</v>
      </c>
      <c r="K548" s="22">
        <f>IFERROR(__xludf.DUMMYFUNCTION("""COMPUTED_VALUE"""),30.81)</f>
        <v>30.81</v>
      </c>
      <c r="M548" s="22" t="str">
        <f t="shared" si="3"/>
        <v/>
      </c>
      <c r="N548" s="22" t="str">
        <f t="shared" si="4"/>
        <v/>
      </c>
    </row>
    <row r="549" ht="15.75" customHeight="1">
      <c r="A549" s="25">
        <f>IFERROR(__xludf.DUMMYFUNCTION("""COMPUTED_VALUE"""),44055.66666666667)</f>
        <v>44055.66667</v>
      </c>
      <c r="B549" s="22">
        <f>IFERROR(__xludf.DUMMYFUNCTION("""COMPUTED_VALUE"""),3380.35)</f>
        <v>3380.35</v>
      </c>
      <c r="C549" s="25">
        <f>IFERROR(__xludf.DUMMYFUNCTION("""COMPUTED_VALUE"""),44055.63611111111)</f>
        <v>44055.63611</v>
      </c>
      <c r="D549" s="22">
        <f>IFERROR(__xludf.DUMMYFUNCTION("""COMPUTED_VALUE"""),22.28)</f>
        <v>22.28</v>
      </c>
      <c r="E549" s="26">
        <f t="shared" si="2"/>
        <v>0.01399650237</v>
      </c>
      <c r="F549" s="25">
        <f>IFERROR(__xludf.DUMMYFUNCTION("""COMPUTED_VALUE"""),44055.63611111111)</f>
        <v>44055.63611</v>
      </c>
      <c r="G549" s="22">
        <f>IFERROR(__xludf.DUMMYFUNCTION("""COMPUTED_VALUE"""),28.12)</f>
        <v>28.12</v>
      </c>
      <c r="H549" s="25">
        <f>IFERROR(__xludf.DUMMYFUNCTION("""COMPUTED_VALUE"""),44055.63611111111)</f>
        <v>44055.63611</v>
      </c>
      <c r="I549" s="22">
        <f>IFERROR(__xludf.DUMMYFUNCTION("""COMPUTED_VALUE"""),29.85)</f>
        <v>29.85</v>
      </c>
      <c r="J549" s="25">
        <f>IFERROR(__xludf.DUMMYFUNCTION("""COMPUTED_VALUE"""),44055.63611111111)</f>
        <v>44055.63611</v>
      </c>
      <c r="K549" s="22">
        <f>IFERROR(__xludf.DUMMYFUNCTION("""COMPUTED_VALUE"""),30.06)</f>
        <v>30.06</v>
      </c>
      <c r="M549" s="22" t="str">
        <f t="shared" si="3"/>
        <v/>
      </c>
      <c r="N549" s="22" t="str">
        <f t="shared" si="4"/>
        <v/>
      </c>
    </row>
    <row r="550" ht="15.75" customHeight="1">
      <c r="A550" s="25">
        <f>IFERROR(__xludf.DUMMYFUNCTION("""COMPUTED_VALUE"""),44056.66666666667)</f>
        <v>44056.66667</v>
      </c>
      <c r="B550" s="22">
        <f>IFERROR(__xludf.DUMMYFUNCTION("""COMPUTED_VALUE"""),3373.43)</f>
        <v>3373.43</v>
      </c>
      <c r="C550" s="25">
        <f>IFERROR(__xludf.DUMMYFUNCTION("""COMPUTED_VALUE"""),44056.63611111111)</f>
        <v>44056.63611</v>
      </c>
      <c r="D550" s="22">
        <f>IFERROR(__xludf.DUMMYFUNCTION("""COMPUTED_VALUE"""),22.13)</f>
        <v>22.13</v>
      </c>
      <c r="E550" s="26">
        <f t="shared" si="2"/>
        <v>-0.002047125298</v>
      </c>
      <c r="F550" s="25">
        <f>IFERROR(__xludf.DUMMYFUNCTION("""COMPUTED_VALUE"""),44056.63611111111)</f>
        <v>44056.63611</v>
      </c>
      <c r="G550" s="22">
        <f>IFERROR(__xludf.DUMMYFUNCTION("""COMPUTED_VALUE"""),28.17)</f>
        <v>28.17</v>
      </c>
      <c r="H550" s="25">
        <f>IFERROR(__xludf.DUMMYFUNCTION("""COMPUTED_VALUE"""),44056.63611111111)</f>
        <v>44056.63611</v>
      </c>
      <c r="I550" s="22">
        <f>IFERROR(__xludf.DUMMYFUNCTION("""COMPUTED_VALUE"""),30.05)</f>
        <v>30.05</v>
      </c>
      <c r="J550" s="25">
        <f>IFERROR(__xludf.DUMMYFUNCTION("""COMPUTED_VALUE"""),44056.63611111111)</f>
        <v>44056.63611</v>
      </c>
      <c r="K550" s="22">
        <f>IFERROR(__xludf.DUMMYFUNCTION("""COMPUTED_VALUE"""),30.11)</f>
        <v>30.11</v>
      </c>
      <c r="M550" s="22" t="str">
        <f t="shared" si="3"/>
        <v/>
      </c>
      <c r="N550" s="22" t="str">
        <f t="shared" si="4"/>
        <v/>
      </c>
    </row>
    <row r="551" ht="15.75" customHeight="1">
      <c r="A551" s="25">
        <f>IFERROR(__xludf.DUMMYFUNCTION("""COMPUTED_VALUE"""),44057.66666666667)</f>
        <v>44057.66667</v>
      </c>
      <c r="B551" s="22">
        <f>IFERROR(__xludf.DUMMYFUNCTION("""COMPUTED_VALUE"""),3372.85)</f>
        <v>3372.85</v>
      </c>
      <c r="C551" s="25">
        <f>IFERROR(__xludf.DUMMYFUNCTION("""COMPUTED_VALUE"""),44057.63611111111)</f>
        <v>44057.63611</v>
      </c>
      <c r="D551" s="22">
        <f>IFERROR(__xludf.DUMMYFUNCTION("""COMPUTED_VALUE"""),22.05)</f>
        <v>22.05</v>
      </c>
      <c r="E551" s="26">
        <f t="shared" si="2"/>
        <v>-0.000171931832</v>
      </c>
      <c r="F551" s="25">
        <f>IFERROR(__xludf.DUMMYFUNCTION("""COMPUTED_VALUE"""),44057.63611111111)</f>
        <v>44057.63611</v>
      </c>
      <c r="G551" s="22">
        <f>IFERROR(__xludf.DUMMYFUNCTION("""COMPUTED_VALUE"""),28.37)</f>
        <v>28.37</v>
      </c>
      <c r="H551" s="25">
        <f>IFERROR(__xludf.DUMMYFUNCTION("""COMPUTED_VALUE"""),44057.63611111111)</f>
        <v>44057.63611</v>
      </c>
      <c r="I551" s="22">
        <f>IFERROR(__xludf.DUMMYFUNCTION("""COMPUTED_VALUE"""),30.45)</f>
        <v>30.45</v>
      </c>
      <c r="J551" s="25">
        <f>IFERROR(__xludf.DUMMYFUNCTION("""COMPUTED_VALUE"""),44057.63611111111)</f>
        <v>44057.63611</v>
      </c>
      <c r="K551" s="22">
        <f>IFERROR(__xludf.DUMMYFUNCTION("""COMPUTED_VALUE"""),30.95)</f>
        <v>30.95</v>
      </c>
      <c r="M551" s="22" t="str">
        <f t="shared" si="3"/>
        <v/>
      </c>
      <c r="N551" s="22" t="str">
        <f t="shared" si="4"/>
        <v/>
      </c>
    </row>
    <row r="552" ht="15.75" customHeight="1">
      <c r="A552" s="25">
        <f>IFERROR(__xludf.DUMMYFUNCTION("""COMPUTED_VALUE"""),44060.66666666667)</f>
        <v>44060.66667</v>
      </c>
      <c r="B552" s="22">
        <f>IFERROR(__xludf.DUMMYFUNCTION("""COMPUTED_VALUE"""),3381.99)</f>
        <v>3381.99</v>
      </c>
      <c r="C552" s="25">
        <f>IFERROR(__xludf.DUMMYFUNCTION("""COMPUTED_VALUE"""),44060.63611111111)</f>
        <v>44060.63611</v>
      </c>
      <c r="D552" s="22">
        <f>IFERROR(__xludf.DUMMYFUNCTION("""COMPUTED_VALUE"""),21.35)</f>
        <v>21.35</v>
      </c>
      <c r="E552" s="26">
        <f t="shared" si="2"/>
        <v>0.002709874439</v>
      </c>
      <c r="F552" s="25">
        <f>IFERROR(__xludf.DUMMYFUNCTION("""COMPUTED_VALUE"""),44060.63611111111)</f>
        <v>44060.63611</v>
      </c>
      <c r="G552" s="22">
        <f>IFERROR(__xludf.DUMMYFUNCTION("""COMPUTED_VALUE"""),27.45)</f>
        <v>27.45</v>
      </c>
      <c r="H552" s="25">
        <f>IFERROR(__xludf.DUMMYFUNCTION("""COMPUTED_VALUE"""),44060.63611111111)</f>
        <v>44060.63611</v>
      </c>
      <c r="I552" s="22">
        <f>IFERROR(__xludf.DUMMYFUNCTION("""COMPUTED_VALUE"""),29.5)</f>
        <v>29.5</v>
      </c>
      <c r="J552" s="25">
        <f>IFERROR(__xludf.DUMMYFUNCTION("""COMPUTED_VALUE"""),44060.63611111111)</f>
        <v>44060.63611</v>
      </c>
      <c r="K552" s="22">
        <f>IFERROR(__xludf.DUMMYFUNCTION("""COMPUTED_VALUE"""),30.21)</f>
        <v>30.21</v>
      </c>
      <c r="M552" s="22" t="str">
        <f t="shared" si="3"/>
        <v/>
      </c>
      <c r="N552" s="22" t="str">
        <f t="shared" si="4"/>
        <v/>
      </c>
    </row>
    <row r="553" ht="15.75" customHeight="1">
      <c r="A553" s="25">
        <f>IFERROR(__xludf.DUMMYFUNCTION("""COMPUTED_VALUE"""),44061.66666666667)</f>
        <v>44061.66667</v>
      </c>
      <c r="B553" s="22">
        <f>IFERROR(__xludf.DUMMYFUNCTION("""COMPUTED_VALUE"""),3389.78)</f>
        <v>3389.78</v>
      </c>
      <c r="C553" s="25">
        <f>IFERROR(__xludf.DUMMYFUNCTION("""COMPUTED_VALUE"""),44061.63611111111)</f>
        <v>44061.63611</v>
      </c>
      <c r="D553" s="22">
        <f>IFERROR(__xludf.DUMMYFUNCTION("""COMPUTED_VALUE"""),21.51)</f>
        <v>21.51</v>
      </c>
      <c r="E553" s="26">
        <f t="shared" si="2"/>
        <v>0.002303377597</v>
      </c>
      <c r="F553" s="25">
        <f>IFERROR(__xludf.DUMMYFUNCTION("""COMPUTED_VALUE"""),44061.63611111111)</f>
        <v>44061.63611</v>
      </c>
      <c r="G553" s="22">
        <f>IFERROR(__xludf.DUMMYFUNCTION("""COMPUTED_VALUE"""),27.35)</f>
        <v>27.35</v>
      </c>
      <c r="H553" s="25">
        <f>IFERROR(__xludf.DUMMYFUNCTION("""COMPUTED_VALUE"""),44061.63611111111)</f>
        <v>44061.63611</v>
      </c>
      <c r="I553" s="22">
        <f>IFERROR(__xludf.DUMMYFUNCTION("""COMPUTED_VALUE"""),29.63)</f>
        <v>29.63</v>
      </c>
      <c r="J553" s="25">
        <f>IFERROR(__xludf.DUMMYFUNCTION("""COMPUTED_VALUE"""),44061.63611111111)</f>
        <v>44061.63611</v>
      </c>
      <c r="K553" s="22">
        <f>IFERROR(__xludf.DUMMYFUNCTION("""COMPUTED_VALUE"""),30.14)</f>
        <v>30.14</v>
      </c>
      <c r="M553" s="22" t="str">
        <f t="shared" si="3"/>
        <v/>
      </c>
      <c r="N553" s="22" t="str">
        <f t="shared" si="4"/>
        <v/>
      </c>
    </row>
    <row r="554" ht="15.75" customHeight="1">
      <c r="A554" s="25">
        <f>IFERROR(__xludf.DUMMYFUNCTION("""COMPUTED_VALUE"""),44062.66666666667)</f>
        <v>44062.66667</v>
      </c>
      <c r="B554" s="22">
        <f>IFERROR(__xludf.DUMMYFUNCTION("""COMPUTED_VALUE"""),3374.85)</f>
        <v>3374.85</v>
      </c>
      <c r="C554" s="25">
        <f>IFERROR(__xludf.DUMMYFUNCTION("""COMPUTED_VALUE"""),44062.63611111111)</f>
        <v>44062.63611</v>
      </c>
      <c r="D554" s="22">
        <f>IFERROR(__xludf.DUMMYFUNCTION("""COMPUTED_VALUE"""),22.54)</f>
        <v>22.54</v>
      </c>
      <c r="E554" s="26">
        <f t="shared" si="2"/>
        <v>-0.004404415626</v>
      </c>
      <c r="F554" s="25">
        <f>IFERROR(__xludf.DUMMYFUNCTION("""COMPUTED_VALUE"""),44062.63611111111)</f>
        <v>44062.63611</v>
      </c>
      <c r="G554" s="22">
        <f>IFERROR(__xludf.DUMMYFUNCTION("""COMPUTED_VALUE"""),28.11)</f>
        <v>28.11</v>
      </c>
      <c r="H554" s="25">
        <f>IFERROR(__xludf.DUMMYFUNCTION("""COMPUTED_VALUE"""),44062.63611111111)</f>
        <v>44062.63611</v>
      </c>
      <c r="I554" s="22">
        <f>IFERROR(__xludf.DUMMYFUNCTION("""COMPUTED_VALUE"""),30.3)</f>
        <v>30.3</v>
      </c>
      <c r="J554" s="25">
        <f>IFERROR(__xludf.DUMMYFUNCTION("""COMPUTED_VALUE"""),44062.63611111111)</f>
        <v>44062.63611</v>
      </c>
      <c r="K554" s="22">
        <f>IFERROR(__xludf.DUMMYFUNCTION("""COMPUTED_VALUE"""),30.27)</f>
        <v>30.27</v>
      </c>
      <c r="M554" s="22" t="str">
        <f t="shared" si="3"/>
        <v/>
      </c>
      <c r="N554" s="22" t="str">
        <f t="shared" si="4"/>
        <v/>
      </c>
    </row>
    <row r="555" ht="15.75" customHeight="1">
      <c r="A555" s="25">
        <f>IFERROR(__xludf.DUMMYFUNCTION("""COMPUTED_VALUE"""),44063.66666666667)</f>
        <v>44063.66667</v>
      </c>
      <c r="B555" s="22">
        <f>IFERROR(__xludf.DUMMYFUNCTION("""COMPUTED_VALUE"""),3385.51)</f>
        <v>3385.51</v>
      </c>
      <c r="C555" s="25">
        <f>IFERROR(__xludf.DUMMYFUNCTION("""COMPUTED_VALUE"""),44063.63611111111)</f>
        <v>44063.63611</v>
      </c>
      <c r="D555" s="22">
        <f>IFERROR(__xludf.DUMMYFUNCTION("""COMPUTED_VALUE"""),22.72)</f>
        <v>22.72</v>
      </c>
      <c r="E555" s="26">
        <f t="shared" si="2"/>
        <v>0.003158658903</v>
      </c>
      <c r="F555" s="25">
        <f>IFERROR(__xludf.DUMMYFUNCTION("""COMPUTED_VALUE"""),44063.63611111111)</f>
        <v>44063.63611</v>
      </c>
      <c r="G555" s="22">
        <f>IFERROR(__xludf.DUMMYFUNCTION("""COMPUTED_VALUE"""),28.13)</f>
        <v>28.13</v>
      </c>
      <c r="H555" s="25">
        <f>IFERROR(__xludf.DUMMYFUNCTION("""COMPUTED_VALUE"""),44063.63611111111)</f>
        <v>44063.63611</v>
      </c>
      <c r="I555" s="22">
        <f>IFERROR(__xludf.DUMMYFUNCTION("""COMPUTED_VALUE"""),29.34)</f>
        <v>29.34</v>
      </c>
      <c r="J555" s="25">
        <f>IFERROR(__xludf.DUMMYFUNCTION("""COMPUTED_VALUE"""),44063.63611111111)</f>
        <v>44063.63611</v>
      </c>
      <c r="K555" s="22">
        <f>IFERROR(__xludf.DUMMYFUNCTION("""COMPUTED_VALUE"""),31.68)</f>
        <v>31.68</v>
      </c>
      <c r="M555" s="22" t="str">
        <f t="shared" si="3"/>
        <v/>
      </c>
      <c r="N555" s="22" t="str">
        <f t="shared" si="4"/>
        <v/>
      </c>
    </row>
    <row r="556" ht="15.75" customHeight="1">
      <c r="A556" s="25">
        <f>IFERROR(__xludf.DUMMYFUNCTION("""COMPUTED_VALUE"""),44064.66666666667)</f>
        <v>44064.66667</v>
      </c>
      <c r="B556" s="22">
        <f>IFERROR(__xludf.DUMMYFUNCTION("""COMPUTED_VALUE"""),3397.16)</f>
        <v>3397.16</v>
      </c>
      <c r="C556" s="25">
        <f>IFERROR(__xludf.DUMMYFUNCTION("""COMPUTED_VALUE"""),44064.63611111111)</f>
        <v>44064.63611</v>
      </c>
      <c r="D556" s="22">
        <f>IFERROR(__xludf.DUMMYFUNCTION("""COMPUTED_VALUE"""),22.54)</f>
        <v>22.54</v>
      </c>
      <c r="E556" s="26">
        <f t="shared" si="2"/>
        <v>0.0034411359</v>
      </c>
      <c r="F556" s="25">
        <f>IFERROR(__xludf.DUMMYFUNCTION("""COMPUTED_VALUE"""),44064.63611111111)</f>
        <v>44064.63611</v>
      </c>
      <c r="G556" s="22">
        <f>IFERROR(__xludf.DUMMYFUNCTION("""COMPUTED_VALUE"""),28.17)</f>
        <v>28.17</v>
      </c>
      <c r="H556" s="25">
        <f>IFERROR(__xludf.DUMMYFUNCTION("""COMPUTED_VALUE"""),44064.63611111111)</f>
        <v>44064.63611</v>
      </c>
      <c r="I556" s="22">
        <f>IFERROR(__xludf.DUMMYFUNCTION("""COMPUTED_VALUE"""),29.51)</f>
        <v>29.51</v>
      </c>
      <c r="J556" s="25">
        <f>IFERROR(__xludf.DUMMYFUNCTION("""COMPUTED_VALUE"""),44064.63611111111)</f>
        <v>44064.63611</v>
      </c>
      <c r="K556" s="22">
        <f>IFERROR(__xludf.DUMMYFUNCTION("""COMPUTED_VALUE"""),31.79)</f>
        <v>31.79</v>
      </c>
      <c r="M556" s="22" t="str">
        <f t="shared" si="3"/>
        <v/>
      </c>
      <c r="N556" s="22" t="str">
        <f t="shared" si="4"/>
        <v/>
      </c>
    </row>
    <row r="557" ht="15.75" customHeight="1">
      <c r="A557" s="25">
        <f>IFERROR(__xludf.DUMMYFUNCTION("""COMPUTED_VALUE"""),44067.66666666667)</f>
        <v>44067.66667</v>
      </c>
      <c r="B557" s="22">
        <f>IFERROR(__xludf.DUMMYFUNCTION("""COMPUTED_VALUE"""),3431.28)</f>
        <v>3431.28</v>
      </c>
      <c r="C557" s="25">
        <f>IFERROR(__xludf.DUMMYFUNCTION("""COMPUTED_VALUE"""),44067.63611111111)</f>
        <v>44067.63611</v>
      </c>
      <c r="D557" s="22">
        <f>IFERROR(__xludf.DUMMYFUNCTION("""COMPUTED_VALUE"""),22.37)</f>
        <v>22.37</v>
      </c>
      <c r="E557" s="26">
        <f t="shared" si="2"/>
        <v>0.01004368355</v>
      </c>
      <c r="F557" s="25">
        <f>IFERROR(__xludf.DUMMYFUNCTION("""COMPUTED_VALUE"""),44067.63611111111)</f>
        <v>44067.63611</v>
      </c>
      <c r="G557" s="22">
        <f>IFERROR(__xludf.DUMMYFUNCTION("""COMPUTED_VALUE"""),28.1)</f>
        <v>28.1</v>
      </c>
      <c r="H557" s="25">
        <f>IFERROR(__xludf.DUMMYFUNCTION("""COMPUTED_VALUE"""),44067.63611111111)</f>
        <v>44067.63611</v>
      </c>
      <c r="I557" s="22">
        <f>IFERROR(__xludf.DUMMYFUNCTION("""COMPUTED_VALUE"""),29.5)</f>
        <v>29.5</v>
      </c>
      <c r="J557" s="25">
        <f>IFERROR(__xludf.DUMMYFUNCTION("""COMPUTED_VALUE"""),44067.63611111111)</f>
        <v>44067.63611</v>
      </c>
      <c r="K557" s="22">
        <f>IFERROR(__xludf.DUMMYFUNCTION("""COMPUTED_VALUE"""),32.57)</f>
        <v>32.57</v>
      </c>
      <c r="M557" s="22" t="str">
        <f t="shared" si="3"/>
        <v/>
      </c>
      <c r="N557" s="22" t="str">
        <f t="shared" si="4"/>
        <v/>
      </c>
    </row>
    <row r="558" ht="15.75" customHeight="1">
      <c r="A558" s="25">
        <f>IFERROR(__xludf.DUMMYFUNCTION("""COMPUTED_VALUE"""),44068.66666666667)</f>
        <v>44068.66667</v>
      </c>
      <c r="B558" s="22">
        <f>IFERROR(__xludf.DUMMYFUNCTION("""COMPUTED_VALUE"""),3443.62)</f>
        <v>3443.62</v>
      </c>
      <c r="C558" s="25">
        <f>IFERROR(__xludf.DUMMYFUNCTION("""COMPUTED_VALUE"""),44068.63611111111)</f>
        <v>44068.63611</v>
      </c>
      <c r="D558" s="22">
        <f>IFERROR(__xludf.DUMMYFUNCTION("""COMPUTED_VALUE"""),22.03)</f>
        <v>22.03</v>
      </c>
      <c r="E558" s="26">
        <f t="shared" si="2"/>
        <v>0.003596325569</v>
      </c>
      <c r="F558" s="25">
        <f>IFERROR(__xludf.DUMMYFUNCTION("""COMPUTED_VALUE"""),44068.63611111111)</f>
        <v>44068.63611</v>
      </c>
      <c r="G558" s="22">
        <f>IFERROR(__xludf.DUMMYFUNCTION("""COMPUTED_VALUE"""),27.91)</f>
        <v>27.91</v>
      </c>
      <c r="H558" s="25">
        <f>IFERROR(__xludf.DUMMYFUNCTION("""COMPUTED_VALUE"""),44068.63611111111)</f>
        <v>44068.63611</v>
      </c>
      <c r="I558" s="22">
        <f>IFERROR(__xludf.DUMMYFUNCTION("""COMPUTED_VALUE"""),29.36)</f>
        <v>29.36</v>
      </c>
      <c r="J558" s="25">
        <f>IFERROR(__xludf.DUMMYFUNCTION("""COMPUTED_VALUE"""),44068.63611111111)</f>
        <v>44068.63611</v>
      </c>
      <c r="K558" s="22">
        <f>IFERROR(__xludf.DUMMYFUNCTION("""COMPUTED_VALUE"""),31.38)</f>
        <v>31.38</v>
      </c>
      <c r="M558" s="22" t="str">
        <f t="shared" si="3"/>
        <v/>
      </c>
      <c r="N558" s="22" t="str">
        <f t="shared" si="4"/>
        <v/>
      </c>
    </row>
    <row r="559" ht="15.75" customHeight="1">
      <c r="A559" s="25">
        <f>IFERROR(__xludf.DUMMYFUNCTION("""COMPUTED_VALUE"""),44069.66666666667)</f>
        <v>44069.66667</v>
      </c>
      <c r="B559" s="22">
        <f>IFERROR(__xludf.DUMMYFUNCTION("""COMPUTED_VALUE"""),3478.73)</f>
        <v>3478.73</v>
      </c>
      <c r="C559" s="25">
        <f>IFERROR(__xludf.DUMMYFUNCTION("""COMPUTED_VALUE"""),44069.63611111111)</f>
        <v>44069.63611</v>
      </c>
      <c r="D559" s="22">
        <f>IFERROR(__xludf.DUMMYFUNCTION("""COMPUTED_VALUE"""),23.27)</f>
        <v>23.27</v>
      </c>
      <c r="E559" s="26">
        <f t="shared" si="2"/>
        <v>0.01019566619</v>
      </c>
      <c r="F559" s="25">
        <f>IFERROR(__xludf.DUMMYFUNCTION("""COMPUTED_VALUE"""),44069.63611111111)</f>
        <v>44069.63611</v>
      </c>
      <c r="G559" s="22">
        <f>IFERROR(__xludf.DUMMYFUNCTION("""COMPUTED_VALUE"""),28.7)</f>
        <v>28.7</v>
      </c>
      <c r="H559" s="25">
        <f>IFERROR(__xludf.DUMMYFUNCTION("""COMPUTED_VALUE"""),44069.63611111111)</f>
        <v>44069.63611</v>
      </c>
      <c r="I559" s="22">
        <f>IFERROR(__xludf.DUMMYFUNCTION("""COMPUTED_VALUE"""),29.87)</f>
        <v>29.87</v>
      </c>
      <c r="J559" s="25">
        <f>IFERROR(__xludf.DUMMYFUNCTION("""COMPUTED_VALUE"""),44069.63611111111)</f>
        <v>44069.63611</v>
      </c>
      <c r="K559" s="22">
        <f>IFERROR(__xludf.DUMMYFUNCTION("""COMPUTED_VALUE"""),31.66)</f>
        <v>31.66</v>
      </c>
      <c r="M559" s="22" t="str">
        <f t="shared" si="3"/>
        <v/>
      </c>
      <c r="N559" s="22" t="str">
        <f t="shared" si="4"/>
        <v/>
      </c>
    </row>
    <row r="560" ht="15.75" customHeight="1">
      <c r="A560" s="25">
        <f>IFERROR(__xludf.DUMMYFUNCTION("""COMPUTED_VALUE"""),44070.66666666667)</f>
        <v>44070.66667</v>
      </c>
      <c r="B560" s="22">
        <f>IFERROR(__xludf.DUMMYFUNCTION("""COMPUTED_VALUE"""),3484.55)</f>
        <v>3484.55</v>
      </c>
      <c r="C560" s="25">
        <f>IFERROR(__xludf.DUMMYFUNCTION("""COMPUTED_VALUE"""),44070.63611111111)</f>
        <v>44070.63611</v>
      </c>
      <c r="D560" s="22">
        <f>IFERROR(__xludf.DUMMYFUNCTION("""COMPUTED_VALUE"""),24.47)</f>
        <v>24.47</v>
      </c>
      <c r="E560" s="26">
        <f t="shared" si="2"/>
        <v>0.001673024351</v>
      </c>
      <c r="F560" s="25">
        <f>IFERROR(__xludf.DUMMYFUNCTION("""COMPUTED_VALUE"""),44070.63611111111)</f>
        <v>44070.63611</v>
      </c>
      <c r="G560" s="22">
        <f>IFERROR(__xludf.DUMMYFUNCTION("""COMPUTED_VALUE"""),29.93)</f>
        <v>29.93</v>
      </c>
      <c r="H560" s="25">
        <f>IFERROR(__xludf.DUMMYFUNCTION("""COMPUTED_VALUE"""),44070.63611111111)</f>
        <v>44070.63611</v>
      </c>
      <c r="I560" s="22">
        <f>IFERROR(__xludf.DUMMYFUNCTION("""COMPUTED_VALUE"""),30.63)</f>
        <v>30.63</v>
      </c>
      <c r="J560" s="25">
        <f>IFERROR(__xludf.DUMMYFUNCTION("""COMPUTED_VALUE"""),44070.63611111111)</f>
        <v>44070.63611</v>
      </c>
      <c r="K560" s="22">
        <f>IFERROR(__xludf.DUMMYFUNCTION("""COMPUTED_VALUE"""),33.92)</f>
        <v>33.92</v>
      </c>
      <c r="M560" s="22" t="str">
        <f t="shared" si="3"/>
        <v/>
      </c>
      <c r="N560" s="22" t="str">
        <f t="shared" si="4"/>
        <v/>
      </c>
    </row>
    <row r="561" ht="15.75" customHeight="1">
      <c r="A561" s="25">
        <f>IFERROR(__xludf.DUMMYFUNCTION("""COMPUTED_VALUE"""),44071.66666666667)</f>
        <v>44071.66667</v>
      </c>
      <c r="B561" s="22">
        <f>IFERROR(__xludf.DUMMYFUNCTION("""COMPUTED_VALUE"""),3508.01)</f>
        <v>3508.01</v>
      </c>
      <c r="C561" s="25">
        <f>IFERROR(__xludf.DUMMYFUNCTION("""COMPUTED_VALUE"""),44071.63611111111)</f>
        <v>44071.63611</v>
      </c>
      <c r="D561" s="22">
        <f>IFERROR(__xludf.DUMMYFUNCTION("""COMPUTED_VALUE"""),22.96)</f>
        <v>22.96</v>
      </c>
      <c r="E561" s="26">
        <f t="shared" si="2"/>
        <v>0.00673257666</v>
      </c>
      <c r="F561" s="25">
        <f>IFERROR(__xludf.DUMMYFUNCTION("""COMPUTED_VALUE"""),44071.63611111111)</f>
        <v>44071.63611</v>
      </c>
      <c r="G561" s="22">
        <f>IFERROR(__xludf.DUMMYFUNCTION("""COMPUTED_VALUE"""),29.62)</f>
        <v>29.62</v>
      </c>
      <c r="H561" s="25">
        <f>IFERROR(__xludf.DUMMYFUNCTION("""COMPUTED_VALUE"""),44071.63611111111)</f>
        <v>44071.63611</v>
      </c>
      <c r="I561" s="22">
        <f>IFERROR(__xludf.DUMMYFUNCTION("""COMPUTED_VALUE"""),30.49)</f>
        <v>30.49</v>
      </c>
      <c r="J561" s="25">
        <f>IFERROR(__xludf.DUMMYFUNCTION("""COMPUTED_VALUE"""),44071.63611111111)</f>
        <v>44071.63611</v>
      </c>
      <c r="K561" s="22">
        <f>IFERROR(__xludf.DUMMYFUNCTION("""COMPUTED_VALUE"""),32.52)</f>
        <v>32.52</v>
      </c>
      <c r="M561" s="22" t="str">
        <f t="shared" si="3"/>
        <v/>
      </c>
      <c r="N561" s="22" t="str">
        <f t="shared" si="4"/>
        <v/>
      </c>
    </row>
    <row r="562" ht="15.75" customHeight="1">
      <c r="A562" s="25">
        <f>IFERROR(__xludf.DUMMYFUNCTION("""COMPUTED_VALUE"""),44074.66666666667)</f>
        <v>44074.66667</v>
      </c>
      <c r="B562" s="22">
        <f>IFERROR(__xludf.DUMMYFUNCTION("""COMPUTED_VALUE"""),3500.31)</f>
        <v>3500.31</v>
      </c>
      <c r="C562" s="25">
        <f>IFERROR(__xludf.DUMMYFUNCTION("""COMPUTED_VALUE"""),44074.63611111111)</f>
        <v>44074.63611</v>
      </c>
      <c r="D562" s="22">
        <f>IFERROR(__xludf.DUMMYFUNCTION("""COMPUTED_VALUE"""),26.41)</f>
        <v>26.41</v>
      </c>
      <c r="E562" s="26">
        <f t="shared" si="2"/>
        <v>-0.002194976639</v>
      </c>
      <c r="F562" s="25">
        <f>IFERROR(__xludf.DUMMYFUNCTION("""COMPUTED_VALUE"""),44074.63611111111)</f>
        <v>44074.63611</v>
      </c>
      <c r="G562" s="22">
        <f>IFERROR(__xludf.DUMMYFUNCTION("""COMPUTED_VALUE"""),31.85)</f>
        <v>31.85</v>
      </c>
      <c r="H562" s="25">
        <f>IFERROR(__xludf.DUMMYFUNCTION("""COMPUTED_VALUE"""),44074.63611111111)</f>
        <v>44074.63611</v>
      </c>
      <c r="I562" s="22">
        <f>IFERROR(__xludf.DUMMYFUNCTION("""COMPUTED_VALUE"""),32.2)</f>
        <v>32.2</v>
      </c>
      <c r="J562" s="25">
        <f>IFERROR(__xludf.DUMMYFUNCTION("""COMPUTED_VALUE"""),44074.63611111111)</f>
        <v>44074.63611</v>
      </c>
      <c r="K562" s="22">
        <f>IFERROR(__xludf.DUMMYFUNCTION("""COMPUTED_VALUE"""),34.46)</f>
        <v>34.46</v>
      </c>
      <c r="M562" s="22" t="str">
        <f t="shared" si="3"/>
        <v/>
      </c>
      <c r="N562" s="22" t="str">
        <f t="shared" si="4"/>
        <v>PREDICT CRASH</v>
      </c>
    </row>
    <row r="563" ht="15.75" customHeight="1">
      <c r="A563" s="25">
        <f>IFERROR(__xludf.DUMMYFUNCTION("""COMPUTED_VALUE"""),44075.66666666667)</f>
        <v>44075.66667</v>
      </c>
      <c r="B563" s="22">
        <f>IFERROR(__xludf.DUMMYFUNCTION("""COMPUTED_VALUE"""),3526.65)</f>
        <v>3526.65</v>
      </c>
      <c r="C563" s="25">
        <f>IFERROR(__xludf.DUMMYFUNCTION("""COMPUTED_VALUE"""),44075.63611111111)</f>
        <v>44075.63611</v>
      </c>
      <c r="D563" s="22">
        <f>IFERROR(__xludf.DUMMYFUNCTION("""COMPUTED_VALUE"""),26.12)</f>
        <v>26.12</v>
      </c>
      <c r="E563" s="26">
        <f t="shared" si="2"/>
        <v>0.007525047781</v>
      </c>
      <c r="F563" s="25">
        <f>IFERROR(__xludf.DUMMYFUNCTION("""COMPUTED_VALUE"""),44075.63611111111)</f>
        <v>44075.63611</v>
      </c>
      <c r="G563" s="22">
        <f>IFERROR(__xludf.DUMMYFUNCTION("""COMPUTED_VALUE"""),32.1)</f>
        <v>32.1</v>
      </c>
      <c r="H563" s="25">
        <f>IFERROR(__xludf.DUMMYFUNCTION("""COMPUTED_VALUE"""),44075.63611111111)</f>
        <v>44075.63611</v>
      </c>
      <c r="I563" s="22">
        <f>IFERROR(__xludf.DUMMYFUNCTION("""COMPUTED_VALUE"""),32.42)</f>
        <v>32.42</v>
      </c>
      <c r="J563" s="25">
        <f>IFERROR(__xludf.DUMMYFUNCTION("""COMPUTED_VALUE"""),44075.63611111111)</f>
        <v>44075.63611</v>
      </c>
      <c r="K563" s="22">
        <f>IFERROR(__xludf.DUMMYFUNCTION("""COMPUTED_VALUE"""),34.02)</f>
        <v>34.02</v>
      </c>
      <c r="M563" s="22" t="str">
        <f t="shared" si="3"/>
        <v/>
      </c>
      <c r="N563" s="22" t="str">
        <f t="shared" si="4"/>
        <v>PREDICT CRASH</v>
      </c>
    </row>
    <row r="564" ht="15.75" customHeight="1">
      <c r="A564" s="25">
        <f>IFERROR(__xludf.DUMMYFUNCTION("""COMPUTED_VALUE"""),44076.66666666667)</f>
        <v>44076.66667</v>
      </c>
      <c r="B564" s="22">
        <f>IFERROR(__xludf.DUMMYFUNCTION("""COMPUTED_VALUE"""),3580.84)</f>
        <v>3580.84</v>
      </c>
      <c r="C564" s="25">
        <f>IFERROR(__xludf.DUMMYFUNCTION("""COMPUTED_VALUE"""),44076.63611111111)</f>
        <v>44076.63611</v>
      </c>
      <c r="D564" s="22">
        <f>IFERROR(__xludf.DUMMYFUNCTION("""COMPUTED_VALUE"""),26.57)</f>
        <v>26.57</v>
      </c>
      <c r="E564" s="26">
        <f t="shared" si="2"/>
        <v>0.01536585712</v>
      </c>
      <c r="F564" s="25">
        <f>IFERROR(__xludf.DUMMYFUNCTION("""COMPUTED_VALUE"""),44076.63611111111)</f>
        <v>44076.63611</v>
      </c>
      <c r="G564" s="22">
        <f>IFERROR(__xludf.DUMMYFUNCTION("""COMPUTED_VALUE"""),32.67)</f>
        <v>32.67</v>
      </c>
      <c r="H564" s="25">
        <f>IFERROR(__xludf.DUMMYFUNCTION("""COMPUTED_VALUE"""),44076.63611111111)</f>
        <v>44076.63611</v>
      </c>
      <c r="I564" s="22">
        <f>IFERROR(__xludf.DUMMYFUNCTION("""COMPUTED_VALUE"""),33.24)</f>
        <v>33.24</v>
      </c>
      <c r="J564" s="25">
        <f>IFERROR(__xludf.DUMMYFUNCTION("""COMPUTED_VALUE"""),44076.63611111111)</f>
        <v>44076.63611</v>
      </c>
      <c r="K564" s="22">
        <f>IFERROR(__xludf.DUMMYFUNCTION("""COMPUTED_VALUE"""),35.77)</f>
        <v>35.77</v>
      </c>
      <c r="M564" s="22" t="str">
        <f t="shared" si="3"/>
        <v/>
      </c>
      <c r="N564" s="22" t="str">
        <f t="shared" si="4"/>
        <v>PREDICT CRASH</v>
      </c>
    </row>
    <row r="565" ht="15.75" customHeight="1">
      <c r="A565" s="25">
        <f>IFERROR(__xludf.DUMMYFUNCTION("""COMPUTED_VALUE"""),44077.66666666667)</f>
        <v>44077.66667</v>
      </c>
      <c r="B565" s="22">
        <f>IFERROR(__xludf.DUMMYFUNCTION("""COMPUTED_VALUE"""),3455.06)</f>
        <v>3455.06</v>
      </c>
      <c r="C565" s="25">
        <f>IFERROR(__xludf.DUMMYFUNCTION("""COMPUTED_VALUE"""),44077.63611111111)</f>
        <v>44077.63611</v>
      </c>
      <c r="D565" s="22">
        <f>IFERROR(__xludf.DUMMYFUNCTION("""COMPUTED_VALUE"""),33.6)</f>
        <v>33.6</v>
      </c>
      <c r="E565" s="26">
        <f t="shared" si="2"/>
        <v>-0.0351258364</v>
      </c>
      <c r="F565" s="25">
        <f>IFERROR(__xludf.DUMMYFUNCTION("""COMPUTED_VALUE"""),44077.63611111111)</f>
        <v>44077.63611</v>
      </c>
      <c r="G565" s="22">
        <f>IFERROR(__xludf.DUMMYFUNCTION("""COMPUTED_VALUE"""),37.63)</f>
        <v>37.63</v>
      </c>
      <c r="H565" s="25">
        <f>IFERROR(__xludf.DUMMYFUNCTION("""COMPUTED_VALUE"""),44077.63611111111)</f>
        <v>44077.63611</v>
      </c>
      <c r="I565" s="22">
        <f>IFERROR(__xludf.DUMMYFUNCTION("""COMPUTED_VALUE"""),35.54)</f>
        <v>35.54</v>
      </c>
      <c r="J565" s="25">
        <f>IFERROR(__xludf.DUMMYFUNCTION("""COMPUTED_VALUE"""),44077.63611111111)</f>
        <v>44077.63611</v>
      </c>
      <c r="K565" s="22">
        <f>IFERROR(__xludf.DUMMYFUNCTION("""COMPUTED_VALUE"""),40.86)</f>
        <v>40.86</v>
      </c>
      <c r="M565" s="22" t="str">
        <f t="shared" si="3"/>
        <v/>
      </c>
      <c r="N565" s="22" t="str">
        <f t="shared" si="4"/>
        <v>PREDICT CRASH</v>
      </c>
    </row>
    <row r="566" ht="15.75" customHeight="1">
      <c r="A566" s="25">
        <f>IFERROR(__xludf.DUMMYFUNCTION("""COMPUTED_VALUE"""),44078.66666666667)</f>
        <v>44078.66667</v>
      </c>
      <c r="B566" s="22">
        <f>IFERROR(__xludf.DUMMYFUNCTION("""COMPUTED_VALUE"""),3426.96)</f>
        <v>3426.96</v>
      </c>
      <c r="C566" s="25">
        <f>IFERROR(__xludf.DUMMYFUNCTION("""COMPUTED_VALUE"""),44078.63611111111)</f>
        <v>44078.63611</v>
      </c>
      <c r="D566" s="22">
        <f>IFERROR(__xludf.DUMMYFUNCTION("""COMPUTED_VALUE"""),30.75)</f>
        <v>30.75</v>
      </c>
      <c r="E566" s="26">
        <f t="shared" si="2"/>
        <v>-0.008132999137</v>
      </c>
      <c r="F566" s="25">
        <f>IFERROR(__xludf.DUMMYFUNCTION("""COMPUTED_VALUE"""),44078.63611111111)</f>
        <v>44078.63611</v>
      </c>
      <c r="G566" s="22">
        <f>IFERROR(__xludf.DUMMYFUNCTION("""COMPUTED_VALUE"""),34.75)</f>
        <v>34.75</v>
      </c>
      <c r="H566" s="25">
        <f>IFERROR(__xludf.DUMMYFUNCTION("""COMPUTED_VALUE"""),44078.63611111111)</f>
        <v>44078.63611</v>
      </c>
      <c r="I566" s="22">
        <f>IFERROR(__xludf.DUMMYFUNCTION("""COMPUTED_VALUE"""),33.94)</f>
        <v>33.94</v>
      </c>
      <c r="J566" s="25">
        <f>IFERROR(__xludf.DUMMYFUNCTION("""COMPUTED_VALUE"""),44078.63611111111)</f>
        <v>44078.63611</v>
      </c>
      <c r="K566" s="22">
        <f>IFERROR(__xludf.DUMMYFUNCTION("""COMPUTED_VALUE"""),34.33)</f>
        <v>34.33</v>
      </c>
      <c r="M566" s="22" t="str">
        <f t="shared" si="3"/>
        <v/>
      </c>
      <c r="N566" s="22" t="str">
        <f t="shared" si="4"/>
        <v>PREDICT CRASH</v>
      </c>
    </row>
    <row r="567" ht="15.75" customHeight="1">
      <c r="A567" s="25">
        <f>IFERROR(__xludf.DUMMYFUNCTION("""COMPUTED_VALUE"""),44082.66666666667)</f>
        <v>44082.66667</v>
      </c>
      <c r="B567" s="22">
        <f>IFERROR(__xludf.DUMMYFUNCTION("""COMPUTED_VALUE"""),3331.84)</f>
        <v>3331.84</v>
      </c>
      <c r="C567" s="25">
        <f>IFERROR(__xludf.DUMMYFUNCTION("""COMPUTED_VALUE"""),44082.63611111111)</f>
        <v>44082.63611</v>
      </c>
      <c r="D567" s="22">
        <f>IFERROR(__xludf.DUMMYFUNCTION("""COMPUTED_VALUE"""),31.46)</f>
        <v>31.46</v>
      </c>
      <c r="E567" s="26">
        <f t="shared" si="2"/>
        <v>-0.02775637883</v>
      </c>
      <c r="F567" s="25">
        <f>IFERROR(__xludf.DUMMYFUNCTION("""COMPUTED_VALUE"""),44082.63611111111)</f>
        <v>44082.63611</v>
      </c>
      <c r="G567" s="22">
        <f>IFERROR(__xludf.DUMMYFUNCTION("""COMPUTED_VALUE"""),34.31)</f>
        <v>34.31</v>
      </c>
      <c r="H567" s="25">
        <f>IFERROR(__xludf.DUMMYFUNCTION("""COMPUTED_VALUE"""),44082.63611111111)</f>
        <v>44082.63611</v>
      </c>
      <c r="I567" s="22">
        <f>IFERROR(__xludf.DUMMYFUNCTION("""COMPUTED_VALUE"""),33.44)</f>
        <v>33.44</v>
      </c>
      <c r="J567" s="25">
        <f>IFERROR(__xludf.DUMMYFUNCTION("""COMPUTED_VALUE"""),44082.63611111111)</f>
        <v>44082.63611</v>
      </c>
      <c r="K567" s="22">
        <f>IFERROR(__xludf.DUMMYFUNCTION("""COMPUTED_VALUE"""),33.89)</f>
        <v>33.89</v>
      </c>
      <c r="M567" s="22" t="str">
        <f t="shared" si="3"/>
        <v/>
      </c>
      <c r="N567" s="22" t="str">
        <f t="shared" si="4"/>
        <v>PREDICT CRASH</v>
      </c>
    </row>
    <row r="568" ht="15.75" customHeight="1">
      <c r="A568" s="25">
        <f>IFERROR(__xludf.DUMMYFUNCTION("""COMPUTED_VALUE"""),44083.66666666667)</f>
        <v>44083.66667</v>
      </c>
      <c r="B568" s="22">
        <f>IFERROR(__xludf.DUMMYFUNCTION("""COMPUTED_VALUE"""),3398.96)</f>
        <v>3398.96</v>
      </c>
      <c r="C568" s="25">
        <f>IFERROR(__xludf.DUMMYFUNCTION("""COMPUTED_VALUE"""),44083.63611111111)</f>
        <v>44083.63611</v>
      </c>
      <c r="D568" s="22">
        <f>IFERROR(__xludf.DUMMYFUNCTION("""COMPUTED_VALUE"""),28.81)</f>
        <v>28.81</v>
      </c>
      <c r="E568" s="26">
        <f t="shared" si="2"/>
        <v>0.02014502497</v>
      </c>
      <c r="F568" s="25">
        <f>IFERROR(__xludf.DUMMYFUNCTION("""COMPUTED_VALUE"""),44083.63611111111)</f>
        <v>44083.63611</v>
      </c>
      <c r="G568" s="22">
        <f>IFERROR(__xludf.DUMMYFUNCTION("""COMPUTED_VALUE"""),32.12)</f>
        <v>32.12</v>
      </c>
      <c r="H568" s="25">
        <f>IFERROR(__xludf.DUMMYFUNCTION("""COMPUTED_VALUE"""),44083.63611111111)</f>
        <v>44083.63611</v>
      </c>
      <c r="I568" s="22">
        <f>IFERROR(__xludf.DUMMYFUNCTION("""COMPUTED_VALUE"""),31.99)</f>
        <v>31.99</v>
      </c>
      <c r="J568" s="25">
        <f>IFERROR(__xludf.DUMMYFUNCTION("""COMPUTED_VALUE"""),44083.63611111111)</f>
        <v>44083.63611</v>
      </c>
      <c r="K568" s="22">
        <f>IFERROR(__xludf.DUMMYFUNCTION("""COMPUTED_VALUE"""),33.12)</f>
        <v>33.12</v>
      </c>
      <c r="M568" s="22" t="str">
        <f t="shared" si="3"/>
        <v/>
      </c>
      <c r="N568" s="22" t="str">
        <f t="shared" si="4"/>
        <v>PREDICT CRASH</v>
      </c>
    </row>
    <row r="569" ht="15.75" customHeight="1">
      <c r="A569" s="25">
        <f>IFERROR(__xludf.DUMMYFUNCTION("""COMPUTED_VALUE"""),44084.66666666667)</f>
        <v>44084.66667</v>
      </c>
      <c r="B569" s="22">
        <f>IFERROR(__xludf.DUMMYFUNCTION("""COMPUTED_VALUE"""),3339.19)</f>
        <v>3339.19</v>
      </c>
      <c r="C569" s="25">
        <f>IFERROR(__xludf.DUMMYFUNCTION("""COMPUTED_VALUE"""),44084.63611111111)</f>
        <v>44084.63611</v>
      </c>
      <c r="D569" s="22">
        <f>IFERROR(__xludf.DUMMYFUNCTION("""COMPUTED_VALUE"""),29.71)</f>
        <v>29.71</v>
      </c>
      <c r="E569" s="26">
        <f t="shared" si="2"/>
        <v>-0.01758479064</v>
      </c>
      <c r="F569" s="25">
        <f>IFERROR(__xludf.DUMMYFUNCTION("""COMPUTED_VALUE"""),44084.63611111111)</f>
        <v>44084.63611</v>
      </c>
      <c r="G569" s="22">
        <f>IFERROR(__xludf.DUMMYFUNCTION("""COMPUTED_VALUE"""),32.92)</f>
        <v>32.92</v>
      </c>
      <c r="H569" s="25">
        <f>IFERROR(__xludf.DUMMYFUNCTION("""COMPUTED_VALUE"""),44084.63611111111)</f>
        <v>44084.63611</v>
      </c>
      <c r="I569" s="22">
        <f>IFERROR(__xludf.DUMMYFUNCTION("""COMPUTED_VALUE"""),32.67)</f>
        <v>32.67</v>
      </c>
      <c r="J569" s="25">
        <f>IFERROR(__xludf.DUMMYFUNCTION("""COMPUTED_VALUE"""),44084.63611111111)</f>
        <v>44084.63611</v>
      </c>
      <c r="K569" s="22">
        <f>IFERROR(__xludf.DUMMYFUNCTION("""COMPUTED_VALUE"""),33.4)</f>
        <v>33.4</v>
      </c>
      <c r="M569" s="22" t="str">
        <f t="shared" si="3"/>
        <v/>
      </c>
      <c r="N569" s="22" t="str">
        <f t="shared" si="4"/>
        <v>PREDICT CRASH</v>
      </c>
    </row>
    <row r="570" ht="15.75" customHeight="1">
      <c r="A570" s="25">
        <f>IFERROR(__xludf.DUMMYFUNCTION("""COMPUTED_VALUE"""),44085.66666666667)</f>
        <v>44085.66667</v>
      </c>
      <c r="B570" s="22">
        <f>IFERROR(__xludf.DUMMYFUNCTION("""COMPUTED_VALUE"""),3340.97)</f>
        <v>3340.97</v>
      </c>
      <c r="C570" s="25">
        <f>IFERROR(__xludf.DUMMYFUNCTION("""COMPUTED_VALUE"""),44085.63611111111)</f>
        <v>44085.63611</v>
      </c>
      <c r="D570" s="22">
        <f>IFERROR(__xludf.DUMMYFUNCTION("""COMPUTED_VALUE"""),26.87)</f>
        <v>26.87</v>
      </c>
      <c r="E570" s="26">
        <f t="shared" si="2"/>
        <v>0.0005330634076</v>
      </c>
      <c r="F570" s="25">
        <f>IFERROR(__xludf.DUMMYFUNCTION("""COMPUTED_VALUE"""),44085.63611111111)</f>
        <v>44085.63611</v>
      </c>
      <c r="G570" s="22">
        <f>IFERROR(__xludf.DUMMYFUNCTION("""COMPUTED_VALUE"""),31.13)</f>
        <v>31.13</v>
      </c>
      <c r="H570" s="25">
        <f>IFERROR(__xludf.DUMMYFUNCTION("""COMPUTED_VALUE"""),44085.63611111111)</f>
        <v>44085.63611</v>
      </c>
      <c r="I570" s="22">
        <f>IFERROR(__xludf.DUMMYFUNCTION("""COMPUTED_VALUE"""),31.66)</f>
        <v>31.66</v>
      </c>
      <c r="J570" s="25">
        <f>IFERROR(__xludf.DUMMYFUNCTION("""COMPUTED_VALUE"""),44085.63611111111)</f>
        <v>44085.63611</v>
      </c>
      <c r="K570" s="22">
        <f>IFERROR(__xludf.DUMMYFUNCTION("""COMPUTED_VALUE"""),33.07)</f>
        <v>33.07</v>
      </c>
      <c r="M570" s="22" t="str">
        <f t="shared" si="3"/>
        <v/>
      </c>
      <c r="N570" s="22" t="str">
        <f t="shared" si="4"/>
        <v>PREDICT CRASH</v>
      </c>
    </row>
    <row r="571" ht="15.75" customHeight="1">
      <c r="A571" s="25">
        <f>IFERROR(__xludf.DUMMYFUNCTION("""COMPUTED_VALUE"""),44088.66666666667)</f>
        <v>44088.66667</v>
      </c>
      <c r="B571" s="22">
        <f>IFERROR(__xludf.DUMMYFUNCTION("""COMPUTED_VALUE"""),3383.54)</f>
        <v>3383.54</v>
      </c>
      <c r="C571" s="25">
        <f>IFERROR(__xludf.DUMMYFUNCTION("""COMPUTED_VALUE"""),44088.63611111111)</f>
        <v>44088.63611</v>
      </c>
      <c r="D571" s="22">
        <f>IFERROR(__xludf.DUMMYFUNCTION("""COMPUTED_VALUE"""),25.85)</f>
        <v>25.85</v>
      </c>
      <c r="E571" s="26">
        <f t="shared" si="2"/>
        <v>0.01274180852</v>
      </c>
      <c r="F571" s="25">
        <f>IFERROR(__xludf.DUMMYFUNCTION("""COMPUTED_VALUE"""),44088.63611111111)</f>
        <v>44088.63611</v>
      </c>
      <c r="G571" s="22">
        <f>IFERROR(__xludf.DUMMYFUNCTION("""COMPUTED_VALUE"""),30.48)</f>
        <v>30.48</v>
      </c>
      <c r="H571" s="25">
        <f>IFERROR(__xludf.DUMMYFUNCTION("""COMPUTED_VALUE"""),44088.63611111111)</f>
        <v>44088.63611</v>
      </c>
      <c r="I571" s="22">
        <f>IFERROR(__xludf.DUMMYFUNCTION("""COMPUTED_VALUE"""),31.3)</f>
        <v>31.3</v>
      </c>
      <c r="J571" s="25">
        <f>IFERROR(__xludf.DUMMYFUNCTION("""COMPUTED_VALUE"""),44088.63611111111)</f>
        <v>44088.63611</v>
      </c>
      <c r="K571" s="22">
        <f>IFERROR(__xludf.DUMMYFUNCTION("""COMPUTED_VALUE"""),32.66)</f>
        <v>32.66</v>
      </c>
      <c r="M571" s="22" t="str">
        <f t="shared" si="3"/>
        <v/>
      </c>
      <c r="N571" s="22" t="str">
        <f t="shared" si="4"/>
        <v>PREDICT CRASH</v>
      </c>
    </row>
    <row r="572" ht="15.75" customHeight="1">
      <c r="A572" s="25">
        <f>IFERROR(__xludf.DUMMYFUNCTION("""COMPUTED_VALUE"""),44089.66666666667)</f>
        <v>44089.66667</v>
      </c>
      <c r="B572" s="22">
        <f>IFERROR(__xludf.DUMMYFUNCTION("""COMPUTED_VALUE"""),3401.2)</f>
        <v>3401.2</v>
      </c>
      <c r="C572" s="25">
        <f>IFERROR(__xludf.DUMMYFUNCTION("""COMPUTED_VALUE"""),44089.63611111111)</f>
        <v>44089.63611</v>
      </c>
      <c r="D572" s="22">
        <f>IFERROR(__xludf.DUMMYFUNCTION("""COMPUTED_VALUE"""),25.59)</f>
        <v>25.59</v>
      </c>
      <c r="E572" s="26">
        <f t="shared" si="2"/>
        <v>0.005219385614</v>
      </c>
      <c r="F572" s="25">
        <f>IFERROR(__xludf.DUMMYFUNCTION("""COMPUTED_VALUE"""),44089.63611111111)</f>
        <v>44089.63611</v>
      </c>
      <c r="G572" s="22">
        <f>IFERROR(__xludf.DUMMYFUNCTION("""COMPUTED_VALUE"""),30.27)</f>
        <v>30.27</v>
      </c>
      <c r="H572" s="25">
        <f>IFERROR(__xludf.DUMMYFUNCTION("""COMPUTED_VALUE"""),44089.63611111111)</f>
        <v>44089.63611</v>
      </c>
      <c r="I572" s="22">
        <f>IFERROR(__xludf.DUMMYFUNCTION("""COMPUTED_VALUE"""),31.29)</f>
        <v>31.29</v>
      </c>
      <c r="J572" s="25">
        <f>IFERROR(__xludf.DUMMYFUNCTION("""COMPUTED_VALUE"""),44089.63611111111)</f>
        <v>44089.63611</v>
      </c>
      <c r="K572" s="22">
        <f>IFERROR(__xludf.DUMMYFUNCTION("""COMPUTED_VALUE"""),32.33)</f>
        <v>32.33</v>
      </c>
      <c r="M572" s="22" t="str">
        <f t="shared" si="3"/>
        <v/>
      </c>
      <c r="N572" s="22" t="str">
        <f t="shared" si="4"/>
        <v>PREDICT CRASH</v>
      </c>
    </row>
    <row r="573" ht="15.75" customHeight="1">
      <c r="A573" s="25">
        <f>IFERROR(__xludf.DUMMYFUNCTION("""COMPUTED_VALUE"""),44090.66666666667)</f>
        <v>44090.66667</v>
      </c>
      <c r="B573" s="22">
        <f>IFERROR(__xludf.DUMMYFUNCTION("""COMPUTED_VALUE"""),3385.49)</f>
        <v>3385.49</v>
      </c>
      <c r="C573" s="25">
        <f>IFERROR(__xludf.DUMMYFUNCTION("""COMPUTED_VALUE"""),44090.63611111111)</f>
        <v>44090.63611</v>
      </c>
      <c r="D573" s="22">
        <f>IFERROR(__xludf.DUMMYFUNCTION("""COMPUTED_VALUE"""),26.04)</f>
        <v>26.04</v>
      </c>
      <c r="E573" s="26">
        <f t="shared" si="2"/>
        <v>-0.004618958015</v>
      </c>
      <c r="F573" s="25">
        <f>IFERROR(__xludf.DUMMYFUNCTION("""COMPUTED_VALUE"""),44090.63611111111)</f>
        <v>44090.63611</v>
      </c>
      <c r="G573" s="22">
        <f>IFERROR(__xludf.DUMMYFUNCTION("""COMPUTED_VALUE"""),30.57)</f>
        <v>30.57</v>
      </c>
      <c r="H573" s="25">
        <f>IFERROR(__xludf.DUMMYFUNCTION("""COMPUTED_VALUE"""),44090.63611111111)</f>
        <v>44090.63611</v>
      </c>
      <c r="I573" s="22">
        <f>IFERROR(__xludf.DUMMYFUNCTION("""COMPUTED_VALUE"""),31.62)</f>
        <v>31.62</v>
      </c>
      <c r="J573" s="25">
        <f>IFERROR(__xludf.DUMMYFUNCTION("""COMPUTED_VALUE"""),44090.63611111111)</f>
        <v>44090.63611</v>
      </c>
      <c r="K573" s="22">
        <f>IFERROR(__xludf.DUMMYFUNCTION("""COMPUTED_VALUE"""),32.57)</f>
        <v>32.57</v>
      </c>
      <c r="M573" s="22" t="str">
        <f t="shared" si="3"/>
        <v/>
      </c>
      <c r="N573" s="22" t="str">
        <f t="shared" si="4"/>
        <v>PREDICT CRASH</v>
      </c>
    </row>
    <row r="574" ht="15.75" customHeight="1">
      <c r="A574" s="25">
        <f>IFERROR(__xludf.DUMMYFUNCTION("""COMPUTED_VALUE"""),44091.66666666667)</f>
        <v>44091.66667</v>
      </c>
      <c r="B574" s="22">
        <f>IFERROR(__xludf.DUMMYFUNCTION("""COMPUTED_VALUE"""),3357.01)</f>
        <v>3357.01</v>
      </c>
      <c r="C574" s="25">
        <f>IFERROR(__xludf.DUMMYFUNCTION("""COMPUTED_VALUE"""),44091.63611111111)</f>
        <v>44091.63611</v>
      </c>
      <c r="D574" s="22">
        <f>IFERROR(__xludf.DUMMYFUNCTION("""COMPUTED_VALUE"""),26.46)</f>
        <v>26.46</v>
      </c>
      <c r="E574" s="26">
        <f t="shared" si="2"/>
        <v>-0.008412371621</v>
      </c>
      <c r="F574" s="25">
        <f>IFERROR(__xludf.DUMMYFUNCTION("""COMPUTED_VALUE"""),44091.63611111111)</f>
        <v>44091.63611</v>
      </c>
      <c r="G574" s="22">
        <f>IFERROR(__xludf.DUMMYFUNCTION("""COMPUTED_VALUE"""),30.75)</f>
        <v>30.75</v>
      </c>
      <c r="H574" s="25">
        <f>IFERROR(__xludf.DUMMYFUNCTION("""COMPUTED_VALUE"""),44091.63611111111)</f>
        <v>44091.63611</v>
      </c>
      <c r="I574" s="22">
        <f>IFERROR(__xludf.DUMMYFUNCTION("""COMPUTED_VALUE"""),31.82)</f>
        <v>31.82</v>
      </c>
      <c r="J574" s="25">
        <f>IFERROR(__xludf.DUMMYFUNCTION("""COMPUTED_VALUE"""),44091.63611111111)</f>
        <v>44091.63611</v>
      </c>
      <c r="K574" s="22">
        <f>IFERROR(__xludf.DUMMYFUNCTION("""COMPUTED_VALUE"""),32.74)</f>
        <v>32.74</v>
      </c>
      <c r="M574" s="22" t="str">
        <f t="shared" si="3"/>
        <v/>
      </c>
      <c r="N574" s="22" t="str">
        <f t="shared" si="4"/>
        <v>PREDICT CRASH</v>
      </c>
    </row>
    <row r="575" ht="15.75" customHeight="1">
      <c r="A575" s="25">
        <f>IFERROR(__xludf.DUMMYFUNCTION("""COMPUTED_VALUE"""),44092.66666666667)</f>
        <v>44092.66667</v>
      </c>
      <c r="B575" s="22">
        <f>IFERROR(__xludf.DUMMYFUNCTION("""COMPUTED_VALUE"""),3319.47)</f>
        <v>3319.47</v>
      </c>
      <c r="C575" s="25">
        <f>IFERROR(__xludf.DUMMYFUNCTION("""COMPUTED_VALUE"""),44092.63611111111)</f>
        <v>44092.63611</v>
      </c>
      <c r="D575" s="22">
        <f>IFERROR(__xludf.DUMMYFUNCTION("""COMPUTED_VALUE"""),25.83)</f>
        <v>25.83</v>
      </c>
      <c r="E575" s="26">
        <f t="shared" si="2"/>
        <v>-0.0111825702</v>
      </c>
      <c r="F575" s="25">
        <f>IFERROR(__xludf.DUMMYFUNCTION("""COMPUTED_VALUE"""),44092.63611111111)</f>
        <v>44092.63611</v>
      </c>
      <c r="G575" s="22">
        <f>IFERROR(__xludf.DUMMYFUNCTION("""COMPUTED_VALUE"""),30.46)</f>
        <v>30.46</v>
      </c>
      <c r="H575" s="25">
        <f>IFERROR(__xludf.DUMMYFUNCTION("""COMPUTED_VALUE"""),44092.63611111111)</f>
        <v>44092.63611</v>
      </c>
      <c r="I575" s="22">
        <f>IFERROR(__xludf.DUMMYFUNCTION("""COMPUTED_VALUE"""),31.69)</f>
        <v>31.69</v>
      </c>
      <c r="J575" s="25">
        <f>IFERROR(__xludf.DUMMYFUNCTION("""COMPUTED_VALUE"""),44092.63611111111)</f>
        <v>44092.63611</v>
      </c>
      <c r="K575" s="22">
        <f>IFERROR(__xludf.DUMMYFUNCTION("""COMPUTED_VALUE"""),33.66)</f>
        <v>33.66</v>
      </c>
      <c r="M575" s="22" t="str">
        <f t="shared" si="3"/>
        <v/>
      </c>
      <c r="N575" s="22" t="str">
        <f t="shared" si="4"/>
        <v>PREDICT CRASH</v>
      </c>
    </row>
    <row r="576" ht="15.75" customHeight="1">
      <c r="A576" s="25">
        <f>IFERROR(__xludf.DUMMYFUNCTION("""COMPUTED_VALUE"""),44095.66666666667)</f>
        <v>44095.66667</v>
      </c>
      <c r="B576" s="22">
        <f>IFERROR(__xludf.DUMMYFUNCTION("""COMPUTED_VALUE"""),3281.06)</f>
        <v>3281.06</v>
      </c>
      <c r="C576" s="25">
        <f>IFERROR(__xludf.DUMMYFUNCTION("""COMPUTED_VALUE"""),44095.63611111111)</f>
        <v>44095.63611</v>
      </c>
      <c r="D576" s="22">
        <f>IFERROR(__xludf.DUMMYFUNCTION("""COMPUTED_VALUE"""),27.78)</f>
        <v>27.78</v>
      </c>
      <c r="E576" s="26">
        <f t="shared" si="2"/>
        <v>-0.01157112431</v>
      </c>
      <c r="F576" s="25">
        <f>IFERROR(__xludf.DUMMYFUNCTION("""COMPUTED_VALUE"""),44095.63611111111)</f>
        <v>44095.63611</v>
      </c>
      <c r="G576" s="22">
        <f>IFERROR(__xludf.DUMMYFUNCTION("""COMPUTED_VALUE"""),31.64)</f>
        <v>31.64</v>
      </c>
      <c r="H576" s="25">
        <f>IFERROR(__xludf.DUMMYFUNCTION("""COMPUTED_VALUE"""),44095.63611111111)</f>
        <v>44095.63611</v>
      </c>
      <c r="I576" s="22">
        <f>IFERROR(__xludf.DUMMYFUNCTION("""COMPUTED_VALUE"""),32.46)</f>
        <v>32.46</v>
      </c>
      <c r="J576" s="25">
        <f>IFERROR(__xludf.DUMMYFUNCTION("""COMPUTED_VALUE"""),44095.63611111111)</f>
        <v>44095.63611</v>
      </c>
      <c r="K576" s="22">
        <f>IFERROR(__xludf.DUMMYFUNCTION("""COMPUTED_VALUE"""),32.76)</f>
        <v>32.76</v>
      </c>
      <c r="M576" s="22" t="str">
        <f t="shared" si="3"/>
        <v/>
      </c>
      <c r="N576" s="22" t="str">
        <f t="shared" si="4"/>
        <v>PREDICT CRASH</v>
      </c>
    </row>
    <row r="577" ht="15.75" customHeight="1">
      <c r="A577" s="25">
        <f>IFERROR(__xludf.DUMMYFUNCTION("""COMPUTED_VALUE"""),44096.66666666667)</f>
        <v>44096.66667</v>
      </c>
      <c r="B577" s="22">
        <f>IFERROR(__xludf.DUMMYFUNCTION("""COMPUTED_VALUE"""),3315.57)</f>
        <v>3315.57</v>
      </c>
      <c r="C577" s="25">
        <f>IFERROR(__xludf.DUMMYFUNCTION("""COMPUTED_VALUE"""),44096.63611111111)</f>
        <v>44096.63611</v>
      </c>
      <c r="D577" s="22">
        <f>IFERROR(__xludf.DUMMYFUNCTION("""COMPUTED_VALUE"""),26.86)</f>
        <v>26.86</v>
      </c>
      <c r="E577" s="26">
        <f t="shared" si="2"/>
        <v>0.01051794237</v>
      </c>
      <c r="F577" s="25">
        <f>IFERROR(__xludf.DUMMYFUNCTION("""COMPUTED_VALUE"""),44096.63611111111)</f>
        <v>44096.63611</v>
      </c>
      <c r="G577" s="22">
        <f>IFERROR(__xludf.DUMMYFUNCTION("""COMPUTED_VALUE"""),31.67)</f>
        <v>31.67</v>
      </c>
      <c r="H577" s="25">
        <f>IFERROR(__xludf.DUMMYFUNCTION("""COMPUTED_VALUE"""),44096.63611111111)</f>
        <v>44096.63611</v>
      </c>
      <c r="I577" s="22">
        <f>IFERROR(__xludf.DUMMYFUNCTION("""COMPUTED_VALUE"""),32.54)</f>
        <v>32.54</v>
      </c>
      <c r="J577" s="25">
        <f>IFERROR(__xludf.DUMMYFUNCTION("""COMPUTED_VALUE"""),44096.63611111111)</f>
        <v>44096.63611</v>
      </c>
      <c r="K577" s="22">
        <f>IFERROR(__xludf.DUMMYFUNCTION("""COMPUTED_VALUE"""),32.67)</f>
        <v>32.67</v>
      </c>
      <c r="M577" s="22" t="str">
        <f t="shared" si="3"/>
        <v/>
      </c>
      <c r="N577" s="22" t="str">
        <f t="shared" si="4"/>
        <v>PREDICT CRASH</v>
      </c>
    </row>
    <row r="578" ht="15.75" customHeight="1">
      <c r="A578" s="25">
        <f>IFERROR(__xludf.DUMMYFUNCTION("""COMPUTED_VALUE"""),44097.66666666667)</f>
        <v>44097.66667</v>
      </c>
      <c r="B578" s="22">
        <f>IFERROR(__xludf.DUMMYFUNCTION("""COMPUTED_VALUE"""),3236.92)</f>
        <v>3236.92</v>
      </c>
      <c r="C578" s="25">
        <f>IFERROR(__xludf.DUMMYFUNCTION("""COMPUTED_VALUE"""),44097.63611111111)</f>
        <v>44097.63611</v>
      </c>
      <c r="D578" s="22">
        <f>IFERROR(__xludf.DUMMYFUNCTION("""COMPUTED_VALUE"""),28.58)</f>
        <v>28.58</v>
      </c>
      <c r="E578" s="26">
        <f t="shared" si="2"/>
        <v>-0.0237214114</v>
      </c>
      <c r="F578" s="25">
        <f>IFERROR(__xludf.DUMMYFUNCTION("""COMPUTED_VALUE"""),44097.63611111111)</f>
        <v>44097.63611</v>
      </c>
      <c r="G578" s="22">
        <f>IFERROR(__xludf.DUMMYFUNCTION("""COMPUTED_VALUE"""),33.28)</f>
        <v>33.28</v>
      </c>
      <c r="H578" s="25">
        <f>IFERROR(__xludf.DUMMYFUNCTION("""COMPUTED_VALUE"""),44097.63611111111)</f>
        <v>44097.63611</v>
      </c>
      <c r="I578" s="22">
        <f>IFERROR(__xludf.DUMMYFUNCTION("""COMPUTED_VALUE"""),33.49)</f>
        <v>33.49</v>
      </c>
      <c r="J578" s="25">
        <f>IFERROR(__xludf.DUMMYFUNCTION("""COMPUTED_VALUE"""),44097.63611111111)</f>
        <v>44097.63611</v>
      </c>
      <c r="K578" s="22">
        <f>IFERROR(__xludf.DUMMYFUNCTION("""COMPUTED_VALUE"""),33.26)</f>
        <v>33.26</v>
      </c>
      <c r="M578" s="22" t="str">
        <f t="shared" si="3"/>
        <v/>
      </c>
      <c r="N578" s="22" t="str">
        <f t="shared" si="4"/>
        <v>PREDICT CRASH</v>
      </c>
    </row>
    <row r="579" ht="15.75" customHeight="1">
      <c r="A579" s="25">
        <f>IFERROR(__xludf.DUMMYFUNCTION("""COMPUTED_VALUE"""),44098.66666666667)</f>
        <v>44098.66667</v>
      </c>
      <c r="B579" s="22">
        <f>IFERROR(__xludf.DUMMYFUNCTION("""COMPUTED_VALUE"""),3246.59)</f>
        <v>3246.59</v>
      </c>
      <c r="C579" s="25">
        <f>IFERROR(__xludf.DUMMYFUNCTION("""COMPUTED_VALUE"""),44098.63611111111)</f>
        <v>44098.63611</v>
      </c>
      <c r="D579" s="22">
        <f>IFERROR(__xludf.DUMMYFUNCTION("""COMPUTED_VALUE"""),28.51)</f>
        <v>28.51</v>
      </c>
      <c r="E579" s="26">
        <f t="shared" si="2"/>
        <v>0.002987407783</v>
      </c>
      <c r="F579" s="25">
        <f>IFERROR(__xludf.DUMMYFUNCTION("""COMPUTED_VALUE"""),44098.63611111111)</f>
        <v>44098.63611</v>
      </c>
      <c r="G579" s="22">
        <f>IFERROR(__xludf.DUMMYFUNCTION("""COMPUTED_VALUE"""),33.06)</f>
        <v>33.06</v>
      </c>
      <c r="H579" s="25">
        <f>IFERROR(__xludf.DUMMYFUNCTION("""COMPUTED_VALUE"""),44098.63611111111)</f>
        <v>44098.63611</v>
      </c>
      <c r="I579" s="22">
        <f>IFERROR(__xludf.DUMMYFUNCTION("""COMPUTED_VALUE"""),33.39)</f>
        <v>33.39</v>
      </c>
      <c r="J579" s="25">
        <f>IFERROR(__xludf.DUMMYFUNCTION("""COMPUTED_VALUE"""),44098.63611111111)</f>
        <v>44098.63611</v>
      </c>
      <c r="K579" s="22">
        <f>IFERROR(__xludf.DUMMYFUNCTION("""COMPUTED_VALUE"""),32.87)</f>
        <v>32.87</v>
      </c>
      <c r="M579" s="22" t="str">
        <f t="shared" si="3"/>
        <v/>
      </c>
      <c r="N579" s="22" t="str">
        <f t="shared" si="4"/>
        <v>PREDICT CRASH</v>
      </c>
    </row>
    <row r="580" ht="15.75" customHeight="1">
      <c r="A580" s="25">
        <f>IFERROR(__xludf.DUMMYFUNCTION("""COMPUTED_VALUE"""),44099.66666666667)</f>
        <v>44099.66667</v>
      </c>
      <c r="B580" s="22">
        <f>IFERROR(__xludf.DUMMYFUNCTION("""COMPUTED_VALUE"""),3298.46)</f>
        <v>3298.46</v>
      </c>
      <c r="C580" s="25">
        <f>IFERROR(__xludf.DUMMYFUNCTION("""COMPUTED_VALUE"""),44099.63611111111)</f>
        <v>44099.63611</v>
      </c>
      <c r="D580" s="22">
        <f>IFERROR(__xludf.DUMMYFUNCTION("""COMPUTED_VALUE"""),26.38)</f>
        <v>26.38</v>
      </c>
      <c r="E580" s="26">
        <f t="shared" si="2"/>
        <v>0.01597676331</v>
      </c>
      <c r="F580" s="25">
        <f>IFERROR(__xludf.DUMMYFUNCTION("""COMPUTED_VALUE"""),44099.63611111111)</f>
        <v>44099.63611</v>
      </c>
      <c r="G580" s="22">
        <f>IFERROR(__xludf.DUMMYFUNCTION("""COMPUTED_VALUE"""),32.03)</f>
        <v>32.03</v>
      </c>
      <c r="H580" s="25">
        <f>IFERROR(__xludf.DUMMYFUNCTION("""COMPUTED_VALUE"""),44099.63611111111)</f>
        <v>44099.63611</v>
      </c>
      <c r="I580" s="22">
        <f>IFERROR(__xludf.DUMMYFUNCTION("""COMPUTED_VALUE"""),32.62)</f>
        <v>32.62</v>
      </c>
      <c r="J580" s="25">
        <f>IFERROR(__xludf.DUMMYFUNCTION("""COMPUTED_VALUE"""),44099.63611111111)</f>
        <v>44099.63611</v>
      </c>
      <c r="K580" s="22">
        <f>IFERROR(__xludf.DUMMYFUNCTION("""COMPUTED_VALUE"""),32.28)</f>
        <v>32.28</v>
      </c>
      <c r="M580" s="22" t="str">
        <f t="shared" si="3"/>
        <v/>
      </c>
      <c r="N580" s="22" t="str">
        <f t="shared" si="4"/>
        <v>PREDICT CRASH</v>
      </c>
    </row>
    <row r="581" ht="15.75" customHeight="1">
      <c r="A581" s="25">
        <f>IFERROR(__xludf.DUMMYFUNCTION("""COMPUTED_VALUE"""),44102.66666666667)</f>
        <v>44102.66667</v>
      </c>
      <c r="B581" s="22">
        <f>IFERROR(__xludf.DUMMYFUNCTION("""COMPUTED_VALUE"""),3351.6)</f>
        <v>3351.6</v>
      </c>
      <c r="C581" s="25">
        <f>IFERROR(__xludf.DUMMYFUNCTION("""COMPUTED_VALUE"""),44102.63611111111)</f>
        <v>44102.63611</v>
      </c>
      <c r="D581" s="22">
        <f>IFERROR(__xludf.DUMMYFUNCTION("""COMPUTED_VALUE"""),26.19)</f>
        <v>26.19</v>
      </c>
      <c r="E581" s="26">
        <f t="shared" si="2"/>
        <v>0.01611054856</v>
      </c>
      <c r="F581" s="25">
        <f>IFERROR(__xludf.DUMMYFUNCTION("""COMPUTED_VALUE"""),44102.63611111111)</f>
        <v>44102.63611</v>
      </c>
      <c r="G581" s="22">
        <f>IFERROR(__xludf.DUMMYFUNCTION("""COMPUTED_VALUE"""),31.74)</f>
        <v>31.74</v>
      </c>
      <c r="H581" s="25">
        <f>IFERROR(__xludf.DUMMYFUNCTION("""COMPUTED_VALUE"""),44102.63611111111)</f>
        <v>44102.63611</v>
      </c>
      <c r="I581" s="22">
        <f>IFERROR(__xludf.DUMMYFUNCTION("""COMPUTED_VALUE"""),32.21)</f>
        <v>32.21</v>
      </c>
      <c r="J581" s="25">
        <f>IFERROR(__xludf.DUMMYFUNCTION("""COMPUTED_VALUE"""),44102.63611111111)</f>
        <v>44102.63611</v>
      </c>
      <c r="K581" s="22">
        <f>IFERROR(__xludf.DUMMYFUNCTION("""COMPUTED_VALUE"""),32.23)</f>
        <v>32.23</v>
      </c>
      <c r="M581" s="22" t="str">
        <f t="shared" si="3"/>
        <v/>
      </c>
      <c r="N581" s="22" t="str">
        <f t="shared" si="4"/>
        <v>PREDICT CRASH</v>
      </c>
    </row>
    <row r="582" ht="15.75" customHeight="1">
      <c r="A582" s="25">
        <f>IFERROR(__xludf.DUMMYFUNCTION("""COMPUTED_VALUE"""),44103.66666666667)</f>
        <v>44103.66667</v>
      </c>
      <c r="B582" s="22">
        <f>IFERROR(__xludf.DUMMYFUNCTION("""COMPUTED_VALUE"""),3335.47)</f>
        <v>3335.47</v>
      </c>
      <c r="C582" s="25">
        <f>IFERROR(__xludf.DUMMYFUNCTION("""COMPUTED_VALUE"""),44103.63611111111)</f>
        <v>44103.63611</v>
      </c>
      <c r="D582" s="22">
        <f>IFERROR(__xludf.DUMMYFUNCTION("""COMPUTED_VALUE"""),26.27)</f>
        <v>26.27</v>
      </c>
      <c r="E582" s="26">
        <f t="shared" si="2"/>
        <v>-0.004812626805</v>
      </c>
      <c r="F582" s="25">
        <f>IFERROR(__xludf.DUMMYFUNCTION("""COMPUTED_VALUE"""),44103.63611111111)</f>
        <v>44103.63611</v>
      </c>
      <c r="G582" s="22">
        <f>IFERROR(__xludf.DUMMYFUNCTION("""COMPUTED_VALUE"""),31.09)</f>
        <v>31.09</v>
      </c>
      <c r="H582" s="25">
        <f>IFERROR(__xludf.DUMMYFUNCTION("""COMPUTED_VALUE"""),44103.63611111111)</f>
        <v>44103.63611</v>
      </c>
      <c r="I582" s="22">
        <f>IFERROR(__xludf.DUMMYFUNCTION("""COMPUTED_VALUE"""),31.84)</f>
        <v>31.84</v>
      </c>
      <c r="J582" s="25">
        <f>IFERROR(__xludf.DUMMYFUNCTION("""COMPUTED_VALUE"""),44103.63611111111)</f>
        <v>44103.63611</v>
      </c>
      <c r="K582" s="22">
        <f>IFERROR(__xludf.DUMMYFUNCTION("""COMPUTED_VALUE"""),31.73)</f>
        <v>31.73</v>
      </c>
      <c r="M582" s="22" t="str">
        <f t="shared" si="3"/>
        <v/>
      </c>
      <c r="N582" s="22" t="str">
        <f t="shared" si="4"/>
        <v>PREDICT CRASH</v>
      </c>
    </row>
    <row r="583" ht="15.75" customHeight="1">
      <c r="A583" s="25">
        <f>IFERROR(__xludf.DUMMYFUNCTION("""COMPUTED_VALUE"""),44104.66666666667)</f>
        <v>44104.66667</v>
      </c>
      <c r="B583" s="22">
        <f>IFERROR(__xludf.DUMMYFUNCTION("""COMPUTED_VALUE"""),3363.0)</f>
        <v>3363</v>
      </c>
      <c r="C583" s="25">
        <f>IFERROR(__xludf.DUMMYFUNCTION("""COMPUTED_VALUE"""),44104.63611111111)</f>
        <v>44104.63611</v>
      </c>
      <c r="D583" s="22">
        <f>IFERROR(__xludf.DUMMYFUNCTION("""COMPUTED_VALUE"""),26.37)</f>
        <v>26.37</v>
      </c>
      <c r="E583" s="26">
        <f t="shared" si="2"/>
        <v>0.008253709372</v>
      </c>
      <c r="F583" s="25">
        <f>IFERROR(__xludf.DUMMYFUNCTION("""COMPUTED_VALUE"""),44104.63611111111)</f>
        <v>44104.63611</v>
      </c>
      <c r="G583" s="22">
        <f>IFERROR(__xludf.DUMMYFUNCTION("""COMPUTED_VALUE"""),31.64)</f>
        <v>31.64</v>
      </c>
      <c r="H583" s="25">
        <f>IFERROR(__xludf.DUMMYFUNCTION("""COMPUTED_VALUE"""),44104.63611111111)</f>
        <v>44104.63611</v>
      </c>
      <c r="I583" s="22">
        <f>IFERROR(__xludf.DUMMYFUNCTION("""COMPUTED_VALUE"""),32.18)</f>
        <v>32.18</v>
      </c>
      <c r="J583" s="25">
        <f>IFERROR(__xludf.DUMMYFUNCTION("""COMPUTED_VALUE"""),44104.63611111111)</f>
        <v>44104.63611</v>
      </c>
      <c r="K583" s="22">
        <f>IFERROR(__xludf.DUMMYFUNCTION("""COMPUTED_VALUE"""),30.95)</f>
        <v>30.95</v>
      </c>
      <c r="M583" s="22" t="str">
        <f t="shared" si="3"/>
        <v/>
      </c>
      <c r="N583" s="22" t="str">
        <f t="shared" si="4"/>
        <v>PREDICT CRASH</v>
      </c>
    </row>
    <row r="584" ht="15.75" customHeight="1">
      <c r="A584" s="25">
        <f>IFERROR(__xludf.DUMMYFUNCTION("""COMPUTED_VALUE"""),44105.66666666667)</f>
        <v>44105.66667</v>
      </c>
      <c r="B584" s="22">
        <f>IFERROR(__xludf.DUMMYFUNCTION("""COMPUTED_VALUE"""),3380.8)</f>
        <v>3380.8</v>
      </c>
      <c r="C584" s="25">
        <f>IFERROR(__xludf.DUMMYFUNCTION("""COMPUTED_VALUE"""),44105.63611111111)</f>
        <v>44105.63611</v>
      </c>
      <c r="D584" s="22">
        <f>IFERROR(__xludf.DUMMYFUNCTION("""COMPUTED_VALUE"""),26.7)</f>
        <v>26.7</v>
      </c>
      <c r="E584" s="26">
        <f t="shared" si="2"/>
        <v>0.00529289325</v>
      </c>
      <c r="F584" s="25">
        <f>IFERROR(__xludf.DUMMYFUNCTION("""COMPUTED_VALUE"""),44105.63611111111)</f>
        <v>44105.63611</v>
      </c>
      <c r="G584" s="22">
        <f>IFERROR(__xludf.DUMMYFUNCTION("""COMPUTED_VALUE"""),31.72)</f>
        <v>31.72</v>
      </c>
      <c r="H584" s="25">
        <f>IFERROR(__xludf.DUMMYFUNCTION("""COMPUTED_VALUE"""),44105.63611111111)</f>
        <v>44105.63611</v>
      </c>
      <c r="I584" s="22">
        <f>IFERROR(__xludf.DUMMYFUNCTION("""COMPUTED_VALUE"""),32.59)</f>
        <v>32.59</v>
      </c>
      <c r="J584" s="25">
        <f>IFERROR(__xludf.DUMMYFUNCTION("""COMPUTED_VALUE"""),44105.63611111111)</f>
        <v>44105.63611</v>
      </c>
      <c r="K584" s="22">
        <f>IFERROR(__xludf.DUMMYFUNCTION("""COMPUTED_VALUE"""),31.79)</f>
        <v>31.79</v>
      </c>
      <c r="M584" s="22" t="str">
        <f t="shared" si="3"/>
        <v/>
      </c>
      <c r="N584" s="22" t="str">
        <f t="shared" si="4"/>
        <v>PREDICT CRASH</v>
      </c>
    </row>
    <row r="585" ht="15.75" customHeight="1">
      <c r="A585" s="25">
        <f>IFERROR(__xludf.DUMMYFUNCTION("""COMPUTED_VALUE"""),44106.66666666667)</f>
        <v>44106.66667</v>
      </c>
      <c r="B585" s="22">
        <f>IFERROR(__xludf.DUMMYFUNCTION("""COMPUTED_VALUE"""),3348.44)</f>
        <v>3348.44</v>
      </c>
      <c r="C585" s="25">
        <f>IFERROR(__xludf.DUMMYFUNCTION("""COMPUTED_VALUE"""),44106.63611111111)</f>
        <v>44106.63611</v>
      </c>
      <c r="D585" s="22">
        <f>IFERROR(__xludf.DUMMYFUNCTION("""COMPUTED_VALUE"""),27.63)</f>
        <v>27.63</v>
      </c>
      <c r="E585" s="26">
        <f t="shared" si="2"/>
        <v>-0.009571699006</v>
      </c>
      <c r="F585" s="25">
        <f>IFERROR(__xludf.DUMMYFUNCTION("""COMPUTED_VALUE"""),44106.63611111111)</f>
        <v>44106.63611</v>
      </c>
      <c r="G585" s="22">
        <f>IFERROR(__xludf.DUMMYFUNCTION("""COMPUTED_VALUE"""),32.39)</f>
        <v>32.39</v>
      </c>
      <c r="H585" s="25">
        <f>IFERROR(__xludf.DUMMYFUNCTION("""COMPUTED_VALUE"""),44106.63611111111)</f>
        <v>44106.63611</v>
      </c>
      <c r="I585" s="22">
        <f>IFERROR(__xludf.DUMMYFUNCTION("""COMPUTED_VALUE"""),33.1)</f>
        <v>33.1</v>
      </c>
      <c r="J585" s="25">
        <f>IFERROR(__xludf.DUMMYFUNCTION("""COMPUTED_VALUE"""),44106.63611111111)</f>
        <v>44106.63611</v>
      </c>
      <c r="K585" s="22">
        <f>IFERROR(__xludf.DUMMYFUNCTION("""COMPUTED_VALUE"""),31.63)</f>
        <v>31.63</v>
      </c>
      <c r="M585" s="22" t="str">
        <f t="shared" si="3"/>
        <v/>
      </c>
      <c r="N585" s="22" t="str">
        <f t="shared" si="4"/>
        <v>PREDICT CRASH</v>
      </c>
    </row>
    <row r="586" ht="15.75" customHeight="1">
      <c r="A586" s="25">
        <f>IFERROR(__xludf.DUMMYFUNCTION("""COMPUTED_VALUE"""),44109.66666666667)</f>
        <v>44109.66667</v>
      </c>
      <c r="B586" s="22">
        <f>IFERROR(__xludf.DUMMYFUNCTION("""COMPUTED_VALUE"""),3408.63)</f>
        <v>3408.63</v>
      </c>
      <c r="C586" s="25">
        <f>IFERROR(__xludf.DUMMYFUNCTION("""COMPUTED_VALUE"""),44109.63611111111)</f>
        <v>44109.63611</v>
      </c>
      <c r="D586" s="22">
        <f>IFERROR(__xludf.DUMMYFUNCTION("""COMPUTED_VALUE"""),27.96)</f>
        <v>27.96</v>
      </c>
      <c r="E586" s="26">
        <f t="shared" si="2"/>
        <v>0.01797553488</v>
      </c>
      <c r="F586" s="25">
        <f>IFERROR(__xludf.DUMMYFUNCTION("""COMPUTED_VALUE"""),44109.63611111111)</f>
        <v>44109.63611</v>
      </c>
      <c r="G586" s="22">
        <f>IFERROR(__xludf.DUMMYFUNCTION("""COMPUTED_VALUE"""),31.28)</f>
        <v>31.28</v>
      </c>
      <c r="H586" s="25">
        <f>IFERROR(__xludf.DUMMYFUNCTION("""COMPUTED_VALUE"""),44109.63611111111)</f>
        <v>44109.63611</v>
      </c>
      <c r="I586" s="22">
        <f>IFERROR(__xludf.DUMMYFUNCTION("""COMPUTED_VALUE"""),32.2)</f>
        <v>32.2</v>
      </c>
      <c r="J586" s="25">
        <f>IFERROR(__xludf.DUMMYFUNCTION("""COMPUTED_VALUE"""),44109.63611111111)</f>
        <v>44109.63611</v>
      </c>
      <c r="K586" s="22">
        <f>IFERROR(__xludf.DUMMYFUNCTION("""COMPUTED_VALUE"""),31.01)</f>
        <v>31.01</v>
      </c>
      <c r="M586" s="22" t="str">
        <f t="shared" si="3"/>
        <v/>
      </c>
      <c r="N586" s="22" t="str">
        <f t="shared" si="4"/>
        <v>PREDICT CRASH</v>
      </c>
    </row>
    <row r="587" ht="15.75" customHeight="1">
      <c r="A587" s="25">
        <f>IFERROR(__xludf.DUMMYFUNCTION("""COMPUTED_VALUE"""),44110.66666666667)</f>
        <v>44110.66667</v>
      </c>
      <c r="B587" s="22">
        <f>IFERROR(__xludf.DUMMYFUNCTION("""COMPUTED_VALUE"""),3360.95)</f>
        <v>3360.95</v>
      </c>
      <c r="C587" s="25">
        <f>IFERROR(__xludf.DUMMYFUNCTION("""COMPUTED_VALUE"""),44110.63611111111)</f>
        <v>44110.63611</v>
      </c>
      <c r="D587" s="22">
        <f>IFERROR(__xludf.DUMMYFUNCTION("""COMPUTED_VALUE"""),29.48)</f>
        <v>29.48</v>
      </c>
      <c r="E587" s="26">
        <f t="shared" si="2"/>
        <v>-0.01398802451</v>
      </c>
      <c r="F587" s="25">
        <f>IFERROR(__xludf.DUMMYFUNCTION("""COMPUTED_VALUE"""),44110.63611111111)</f>
        <v>44110.63611</v>
      </c>
      <c r="G587" s="22">
        <f>IFERROR(__xludf.DUMMYFUNCTION("""COMPUTED_VALUE"""),31.88)</f>
        <v>31.88</v>
      </c>
      <c r="H587" s="25">
        <f>IFERROR(__xludf.DUMMYFUNCTION("""COMPUTED_VALUE"""),44110.63611111111)</f>
        <v>44110.63611</v>
      </c>
      <c r="I587" s="22">
        <f>IFERROR(__xludf.DUMMYFUNCTION("""COMPUTED_VALUE"""),32.67)</f>
        <v>32.67</v>
      </c>
      <c r="J587" s="25">
        <f>IFERROR(__xludf.DUMMYFUNCTION("""COMPUTED_VALUE"""),44110.63611111111)</f>
        <v>44110.63611</v>
      </c>
      <c r="K587" s="22">
        <f>IFERROR(__xludf.DUMMYFUNCTION("""COMPUTED_VALUE"""),31.83)</f>
        <v>31.83</v>
      </c>
      <c r="M587" s="22" t="str">
        <f t="shared" si="3"/>
        <v/>
      </c>
      <c r="N587" s="22" t="str">
        <f t="shared" si="4"/>
        <v>PREDICT CRASH</v>
      </c>
    </row>
    <row r="588" ht="15.75" customHeight="1">
      <c r="A588" s="25">
        <f>IFERROR(__xludf.DUMMYFUNCTION("""COMPUTED_VALUE"""),44111.66666666667)</f>
        <v>44111.66667</v>
      </c>
      <c r="B588" s="22">
        <f>IFERROR(__xludf.DUMMYFUNCTION("""COMPUTED_VALUE"""),3419.45)</f>
        <v>3419.45</v>
      </c>
      <c r="C588" s="25">
        <f>IFERROR(__xludf.DUMMYFUNCTION("""COMPUTED_VALUE"""),44111.63611111111)</f>
        <v>44111.63611</v>
      </c>
      <c r="D588" s="22">
        <f>IFERROR(__xludf.DUMMYFUNCTION("""COMPUTED_VALUE"""),28.06)</f>
        <v>28.06</v>
      </c>
      <c r="E588" s="26">
        <f t="shared" si="2"/>
        <v>0.017405793</v>
      </c>
      <c r="F588" s="25">
        <f>IFERROR(__xludf.DUMMYFUNCTION("""COMPUTED_VALUE"""),44111.63611111111)</f>
        <v>44111.63611</v>
      </c>
      <c r="G588" s="22">
        <f>IFERROR(__xludf.DUMMYFUNCTION("""COMPUTED_VALUE"""),30.7)</f>
        <v>30.7</v>
      </c>
      <c r="H588" s="25">
        <f>IFERROR(__xludf.DUMMYFUNCTION("""COMPUTED_VALUE"""),44111.63611111111)</f>
        <v>44111.63611</v>
      </c>
      <c r="I588" s="22">
        <f>IFERROR(__xludf.DUMMYFUNCTION("""COMPUTED_VALUE"""),31.6)</f>
        <v>31.6</v>
      </c>
      <c r="J588" s="25">
        <f>IFERROR(__xludf.DUMMYFUNCTION("""COMPUTED_VALUE"""),44111.63611111111)</f>
        <v>44111.63611</v>
      </c>
      <c r="K588" s="22">
        <f>IFERROR(__xludf.DUMMYFUNCTION("""COMPUTED_VALUE"""),31.19)</f>
        <v>31.19</v>
      </c>
      <c r="M588" s="22" t="str">
        <f t="shared" si="3"/>
        <v/>
      </c>
      <c r="N588" s="22" t="str">
        <f t="shared" si="4"/>
        <v>PREDICT CRASH</v>
      </c>
    </row>
    <row r="589" ht="15.75" customHeight="1">
      <c r="A589" s="25">
        <f>IFERROR(__xludf.DUMMYFUNCTION("""COMPUTED_VALUE"""),44112.66666666667)</f>
        <v>44112.66667</v>
      </c>
      <c r="B589" s="22">
        <f>IFERROR(__xludf.DUMMYFUNCTION("""COMPUTED_VALUE"""),3446.83)</f>
        <v>3446.83</v>
      </c>
      <c r="C589" s="25">
        <f>IFERROR(__xludf.DUMMYFUNCTION("""COMPUTED_VALUE"""),44112.63611111111)</f>
        <v>44112.63611</v>
      </c>
      <c r="D589" s="22">
        <f>IFERROR(__xludf.DUMMYFUNCTION("""COMPUTED_VALUE"""),26.36)</f>
        <v>26.36</v>
      </c>
      <c r="E589" s="26">
        <f t="shared" si="2"/>
        <v>0.00800713565</v>
      </c>
      <c r="F589" s="25">
        <f>IFERROR(__xludf.DUMMYFUNCTION("""COMPUTED_VALUE"""),44112.63611111111)</f>
        <v>44112.63611</v>
      </c>
      <c r="G589" s="22">
        <f>IFERROR(__xludf.DUMMYFUNCTION("""COMPUTED_VALUE"""),29.49)</f>
        <v>29.49</v>
      </c>
      <c r="H589" s="25">
        <f>IFERROR(__xludf.DUMMYFUNCTION("""COMPUTED_VALUE"""),44112.63611111111)</f>
        <v>44112.63611</v>
      </c>
      <c r="I589" s="22">
        <f>IFERROR(__xludf.DUMMYFUNCTION("""COMPUTED_VALUE"""),30.83)</f>
        <v>30.83</v>
      </c>
      <c r="J589" s="25">
        <f>IFERROR(__xludf.DUMMYFUNCTION("""COMPUTED_VALUE"""),44112.63611111111)</f>
        <v>44112.63611</v>
      </c>
      <c r="K589" s="22">
        <f>IFERROR(__xludf.DUMMYFUNCTION("""COMPUTED_VALUE"""),30.84)</f>
        <v>30.84</v>
      </c>
      <c r="M589" s="22" t="str">
        <f t="shared" si="3"/>
        <v/>
      </c>
      <c r="N589" s="22" t="str">
        <f t="shared" si="4"/>
        <v>PREDICT CRASH</v>
      </c>
    </row>
    <row r="590" ht="15.75" customHeight="1">
      <c r="A590" s="25">
        <f>IFERROR(__xludf.DUMMYFUNCTION("""COMPUTED_VALUE"""),44113.66666666667)</f>
        <v>44113.66667</v>
      </c>
      <c r="B590" s="22">
        <f>IFERROR(__xludf.DUMMYFUNCTION("""COMPUTED_VALUE"""),3477.13)</f>
        <v>3477.13</v>
      </c>
      <c r="C590" s="25">
        <f>IFERROR(__xludf.DUMMYFUNCTION("""COMPUTED_VALUE"""),44113.63611111111)</f>
        <v>44113.63611</v>
      </c>
      <c r="D590" s="22">
        <f>IFERROR(__xludf.DUMMYFUNCTION("""COMPUTED_VALUE"""),25.0)</f>
        <v>25</v>
      </c>
      <c r="E590" s="26">
        <f t="shared" si="2"/>
        <v>0.008790685935</v>
      </c>
      <c r="F590" s="25">
        <f>IFERROR(__xludf.DUMMYFUNCTION("""COMPUTED_VALUE"""),44113.63611111111)</f>
        <v>44113.63611</v>
      </c>
      <c r="G590" s="22">
        <f>IFERROR(__xludf.DUMMYFUNCTION("""COMPUTED_VALUE"""),28.28)</f>
        <v>28.28</v>
      </c>
      <c r="H590" s="25">
        <f>IFERROR(__xludf.DUMMYFUNCTION("""COMPUTED_VALUE"""),44113.63611111111)</f>
        <v>44113.63611</v>
      </c>
      <c r="I590" s="22">
        <f>IFERROR(__xludf.DUMMYFUNCTION("""COMPUTED_VALUE"""),29.59)</f>
        <v>29.59</v>
      </c>
      <c r="J590" s="25">
        <f>IFERROR(__xludf.DUMMYFUNCTION("""COMPUTED_VALUE"""),44113.63611111111)</f>
        <v>44113.63611</v>
      </c>
      <c r="K590" s="22">
        <f>IFERROR(__xludf.DUMMYFUNCTION("""COMPUTED_VALUE"""),29.49)</f>
        <v>29.49</v>
      </c>
      <c r="M590" s="22" t="str">
        <f t="shared" si="3"/>
        <v/>
      </c>
      <c r="N590" s="22" t="str">
        <f t="shared" si="4"/>
        <v/>
      </c>
    </row>
    <row r="591" ht="15.75" customHeight="1">
      <c r="A591" s="25">
        <f>IFERROR(__xludf.DUMMYFUNCTION("""COMPUTED_VALUE"""),44116.66666666667)</f>
        <v>44116.66667</v>
      </c>
      <c r="B591" s="22">
        <f>IFERROR(__xludf.DUMMYFUNCTION("""COMPUTED_VALUE"""),3534.22)</f>
        <v>3534.22</v>
      </c>
      <c r="C591" s="25">
        <f>IFERROR(__xludf.DUMMYFUNCTION("""COMPUTED_VALUE"""),44116.63611111111)</f>
        <v>44116.63611</v>
      </c>
      <c r="D591" s="22">
        <f>IFERROR(__xludf.DUMMYFUNCTION("""COMPUTED_VALUE"""),25.07)</f>
        <v>25.07</v>
      </c>
      <c r="E591" s="26">
        <f t="shared" si="2"/>
        <v>0.01641871313</v>
      </c>
      <c r="F591" s="25">
        <f>IFERROR(__xludf.DUMMYFUNCTION("""COMPUTED_VALUE"""),44116.63611111111)</f>
        <v>44116.63611</v>
      </c>
      <c r="G591" s="22">
        <f>IFERROR(__xludf.DUMMYFUNCTION("""COMPUTED_VALUE"""),27.98)</f>
        <v>27.98</v>
      </c>
      <c r="H591" s="25">
        <f>IFERROR(__xludf.DUMMYFUNCTION("""COMPUTED_VALUE"""),44116.63611111111)</f>
        <v>44116.63611</v>
      </c>
      <c r="I591" s="22">
        <f>IFERROR(__xludf.DUMMYFUNCTION("""COMPUTED_VALUE"""),29.28)</f>
        <v>29.28</v>
      </c>
      <c r="J591" s="25">
        <f>IFERROR(__xludf.DUMMYFUNCTION("""COMPUTED_VALUE"""),44116.63611111111)</f>
        <v>44116.63611</v>
      </c>
      <c r="K591" s="22">
        <f>IFERROR(__xludf.DUMMYFUNCTION("""COMPUTED_VALUE"""),29.2)</f>
        <v>29.2</v>
      </c>
      <c r="M591" s="22" t="str">
        <f t="shared" si="3"/>
        <v/>
      </c>
      <c r="N591" s="22" t="str">
        <f t="shared" si="4"/>
        <v>PREDICT CRASH</v>
      </c>
    </row>
    <row r="592" ht="15.75" customHeight="1">
      <c r="A592" s="25">
        <f>IFERROR(__xludf.DUMMYFUNCTION("""COMPUTED_VALUE"""),44117.66666666667)</f>
        <v>44117.66667</v>
      </c>
      <c r="B592" s="22">
        <f>IFERROR(__xludf.DUMMYFUNCTION("""COMPUTED_VALUE"""),3511.93)</f>
        <v>3511.93</v>
      </c>
      <c r="C592" s="25">
        <f>IFERROR(__xludf.DUMMYFUNCTION("""COMPUTED_VALUE"""),44117.63611111111)</f>
        <v>44117.63611</v>
      </c>
      <c r="D592" s="22">
        <f>IFERROR(__xludf.DUMMYFUNCTION("""COMPUTED_VALUE"""),26.07)</f>
        <v>26.07</v>
      </c>
      <c r="E592" s="26">
        <f t="shared" si="2"/>
        <v>-0.006306907889</v>
      </c>
      <c r="F592" s="25">
        <f>IFERROR(__xludf.DUMMYFUNCTION("""COMPUTED_VALUE"""),44117.63611111111)</f>
        <v>44117.63611</v>
      </c>
      <c r="G592" s="22">
        <f>IFERROR(__xludf.DUMMYFUNCTION("""COMPUTED_VALUE"""),28.35)</f>
        <v>28.35</v>
      </c>
      <c r="H592" s="25">
        <f>IFERROR(__xludf.DUMMYFUNCTION("""COMPUTED_VALUE"""),44117.63611111111)</f>
        <v>44117.63611</v>
      </c>
      <c r="I592" s="22">
        <f>IFERROR(__xludf.DUMMYFUNCTION("""COMPUTED_VALUE"""),29.45)</f>
        <v>29.45</v>
      </c>
      <c r="J592" s="25">
        <f>IFERROR(__xludf.DUMMYFUNCTION("""COMPUTED_VALUE"""),44117.63611111111)</f>
        <v>44117.63611</v>
      </c>
      <c r="K592" s="22">
        <f>IFERROR(__xludf.DUMMYFUNCTION("""COMPUTED_VALUE"""),29.35)</f>
        <v>29.35</v>
      </c>
      <c r="M592" s="22" t="str">
        <f t="shared" si="3"/>
        <v/>
      </c>
      <c r="N592" s="22" t="str">
        <f t="shared" si="4"/>
        <v>PREDICT CRASH</v>
      </c>
    </row>
    <row r="593" ht="15.75" customHeight="1">
      <c r="A593" s="25">
        <f>IFERROR(__xludf.DUMMYFUNCTION("""COMPUTED_VALUE"""),44118.66666666667)</f>
        <v>44118.66667</v>
      </c>
      <c r="B593" s="22">
        <f>IFERROR(__xludf.DUMMYFUNCTION("""COMPUTED_VALUE"""),3488.67)</f>
        <v>3488.67</v>
      </c>
      <c r="C593" s="25">
        <f>IFERROR(__xludf.DUMMYFUNCTION("""COMPUTED_VALUE"""),44118.63611111111)</f>
        <v>44118.63611</v>
      </c>
      <c r="D593" s="22">
        <f>IFERROR(__xludf.DUMMYFUNCTION("""COMPUTED_VALUE"""),26.4)</f>
        <v>26.4</v>
      </c>
      <c r="E593" s="26">
        <f t="shared" si="2"/>
        <v>-0.006623138844</v>
      </c>
      <c r="F593" s="25">
        <f>IFERROR(__xludf.DUMMYFUNCTION("""COMPUTED_VALUE"""),44118.63611111111)</f>
        <v>44118.63611</v>
      </c>
      <c r="G593" s="22">
        <f>IFERROR(__xludf.DUMMYFUNCTION("""COMPUTED_VALUE"""),28.24)</f>
        <v>28.24</v>
      </c>
      <c r="H593" s="25">
        <f>IFERROR(__xludf.DUMMYFUNCTION("""COMPUTED_VALUE"""),44118.63611111111)</f>
        <v>44118.63611</v>
      </c>
      <c r="I593" s="22">
        <f>IFERROR(__xludf.DUMMYFUNCTION("""COMPUTED_VALUE"""),29.29)</f>
        <v>29.29</v>
      </c>
      <c r="J593" s="25">
        <f>IFERROR(__xludf.DUMMYFUNCTION("""COMPUTED_VALUE"""),44118.63611111111)</f>
        <v>44118.63611</v>
      </c>
      <c r="K593" s="22">
        <f>IFERROR(__xludf.DUMMYFUNCTION("""COMPUTED_VALUE"""),29.25)</f>
        <v>29.25</v>
      </c>
      <c r="M593" s="22" t="str">
        <f t="shared" si="3"/>
        <v/>
      </c>
      <c r="N593" s="22" t="str">
        <f t="shared" si="4"/>
        <v>PREDICT CRASH</v>
      </c>
    </row>
    <row r="594" ht="15.75" customHeight="1">
      <c r="A594" s="25">
        <f>IFERROR(__xludf.DUMMYFUNCTION("""COMPUTED_VALUE"""),44119.66666666667)</f>
        <v>44119.66667</v>
      </c>
      <c r="B594" s="22">
        <f>IFERROR(__xludf.DUMMYFUNCTION("""COMPUTED_VALUE"""),3483.34)</f>
        <v>3483.34</v>
      </c>
      <c r="C594" s="25">
        <f>IFERROR(__xludf.DUMMYFUNCTION("""COMPUTED_VALUE"""),44119.63611111111)</f>
        <v>44119.63611</v>
      </c>
      <c r="D594" s="22">
        <f>IFERROR(__xludf.DUMMYFUNCTION("""COMPUTED_VALUE"""),26.97)</f>
        <v>26.97</v>
      </c>
      <c r="E594" s="26">
        <f t="shared" si="2"/>
        <v>-0.001527802859</v>
      </c>
      <c r="F594" s="25">
        <f>IFERROR(__xludf.DUMMYFUNCTION("""COMPUTED_VALUE"""),44119.63611111111)</f>
        <v>44119.63611</v>
      </c>
      <c r="G594" s="22">
        <f>IFERROR(__xludf.DUMMYFUNCTION("""COMPUTED_VALUE"""),28.72)</f>
        <v>28.72</v>
      </c>
      <c r="H594" s="25">
        <f>IFERROR(__xludf.DUMMYFUNCTION("""COMPUTED_VALUE"""),44119.63611111111)</f>
        <v>44119.63611</v>
      </c>
      <c r="I594" s="22">
        <f>IFERROR(__xludf.DUMMYFUNCTION("""COMPUTED_VALUE"""),28.82)</f>
        <v>28.82</v>
      </c>
      <c r="J594" s="25">
        <f>IFERROR(__xludf.DUMMYFUNCTION("""COMPUTED_VALUE"""),44119.63611111111)</f>
        <v>44119.63611</v>
      </c>
      <c r="K594" s="22">
        <f>IFERROR(__xludf.DUMMYFUNCTION("""COMPUTED_VALUE"""),29.93)</f>
        <v>29.93</v>
      </c>
      <c r="M594" s="22" t="str">
        <f t="shared" si="3"/>
        <v/>
      </c>
      <c r="N594" s="22" t="str">
        <f t="shared" si="4"/>
        <v>PREDICT CRASH</v>
      </c>
    </row>
    <row r="595" ht="15.75" customHeight="1">
      <c r="A595" s="25">
        <f>IFERROR(__xludf.DUMMYFUNCTION("""COMPUTED_VALUE"""),44120.66666666667)</f>
        <v>44120.66667</v>
      </c>
      <c r="B595" s="22">
        <f>IFERROR(__xludf.DUMMYFUNCTION("""COMPUTED_VALUE"""),3483.81)</f>
        <v>3483.81</v>
      </c>
      <c r="C595" s="25">
        <f>IFERROR(__xludf.DUMMYFUNCTION("""COMPUTED_VALUE"""),44120.63611111111)</f>
        <v>44120.63611</v>
      </c>
      <c r="D595" s="22">
        <f>IFERROR(__xludf.DUMMYFUNCTION("""COMPUTED_VALUE"""),27.41)</f>
        <v>27.41</v>
      </c>
      <c r="E595" s="26">
        <f t="shared" si="2"/>
        <v>0.0001349279714</v>
      </c>
      <c r="F595" s="25">
        <f>IFERROR(__xludf.DUMMYFUNCTION("""COMPUTED_VALUE"""),44120.63611111111)</f>
        <v>44120.63611</v>
      </c>
      <c r="G595" s="22">
        <f>IFERROR(__xludf.DUMMYFUNCTION("""COMPUTED_VALUE"""),29.21)</f>
        <v>29.21</v>
      </c>
      <c r="H595" s="25">
        <f>IFERROR(__xludf.DUMMYFUNCTION("""COMPUTED_VALUE"""),44120.63611111111)</f>
        <v>44120.63611</v>
      </c>
      <c r="I595" s="22">
        <f>IFERROR(__xludf.DUMMYFUNCTION("""COMPUTED_VALUE"""),29.25)</f>
        <v>29.25</v>
      </c>
      <c r="J595" s="25">
        <f>IFERROR(__xludf.DUMMYFUNCTION("""COMPUTED_VALUE"""),44120.63611111111)</f>
        <v>44120.63611</v>
      </c>
      <c r="K595" s="22">
        <f>IFERROR(__xludf.DUMMYFUNCTION("""COMPUTED_VALUE"""),30.22)</f>
        <v>30.22</v>
      </c>
      <c r="M595" s="22" t="str">
        <f t="shared" si="3"/>
        <v/>
      </c>
      <c r="N595" s="22" t="str">
        <f t="shared" si="4"/>
        <v>PREDICT CRASH</v>
      </c>
    </row>
    <row r="596" ht="15.75" customHeight="1">
      <c r="A596" s="25">
        <f>IFERROR(__xludf.DUMMYFUNCTION("""COMPUTED_VALUE"""),44123.66666666667)</f>
        <v>44123.66667</v>
      </c>
      <c r="B596" s="22">
        <f>IFERROR(__xludf.DUMMYFUNCTION("""COMPUTED_VALUE"""),3426.92)</f>
        <v>3426.92</v>
      </c>
      <c r="C596" s="25">
        <f>IFERROR(__xludf.DUMMYFUNCTION("""COMPUTED_VALUE"""),44123.63611111111)</f>
        <v>44123.63611</v>
      </c>
      <c r="D596" s="22">
        <f>IFERROR(__xludf.DUMMYFUNCTION("""COMPUTED_VALUE"""),29.18)</f>
        <v>29.18</v>
      </c>
      <c r="E596" s="26">
        <f t="shared" si="2"/>
        <v>-0.01632982281</v>
      </c>
      <c r="F596" s="25">
        <f>IFERROR(__xludf.DUMMYFUNCTION("""COMPUTED_VALUE"""),44123.63611111111)</f>
        <v>44123.63611</v>
      </c>
      <c r="G596" s="22">
        <f>IFERROR(__xludf.DUMMYFUNCTION("""COMPUTED_VALUE"""),30.4)</f>
        <v>30.4</v>
      </c>
      <c r="H596" s="25">
        <f>IFERROR(__xludf.DUMMYFUNCTION("""COMPUTED_VALUE"""),44123.63611111111)</f>
        <v>44123.63611</v>
      </c>
      <c r="I596" s="22">
        <f>IFERROR(__xludf.DUMMYFUNCTION("""COMPUTED_VALUE"""),30.18)</f>
        <v>30.18</v>
      </c>
      <c r="J596" s="25">
        <f>IFERROR(__xludf.DUMMYFUNCTION("""COMPUTED_VALUE"""),44123.63611111111)</f>
        <v>44123.63611</v>
      </c>
      <c r="K596" s="22">
        <f>IFERROR(__xludf.DUMMYFUNCTION("""COMPUTED_VALUE"""),30.91)</f>
        <v>30.91</v>
      </c>
      <c r="M596" s="22" t="str">
        <f t="shared" si="3"/>
        <v/>
      </c>
      <c r="N596" s="22" t="str">
        <f t="shared" si="4"/>
        <v>PREDICT CRASH</v>
      </c>
    </row>
    <row r="597" ht="15.75" customHeight="1">
      <c r="A597" s="25">
        <f>IFERROR(__xludf.DUMMYFUNCTION("""COMPUTED_VALUE"""),44124.66666666667)</f>
        <v>44124.66667</v>
      </c>
      <c r="B597" s="22">
        <f>IFERROR(__xludf.DUMMYFUNCTION("""COMPUTED_VALUE"""),3443.12)</f>
        <v>3443.12</v>
      </c>
      <c r="C597" s="25">
        <f>IFERROR(__xludf.DUMMYFUNCTION("""COMPUTED_VALUE"""),44124.63611111111)</f>
        <v>44124.63611</v>
      </c>
      <c r="D597" s="22">
        <f>IFERROR(__xludf.DUMMYFUNCTION("""COMPUTED_VALUE"""),29.35)</f>
        <v>29.35</v>
      </c>
      <c r="E597" s="26">
        <f t="shared" si="2"/>
        <v>0.004727276972</v>
      </c>
      <c r="F597" s="25">
        <f>IFERROR(__xludf.DUMMYFUNCTION("""COMPUTED_VALUE"""),44124.63611111111)</f>
        <v>44124.63611</v>
      </c>
      <c r="G597" s="22">
        <f>IFERROR(__xludf.DUMMYFUNCTION("""COMPUTED_VALUE"""),30.11)</f>
        <v>30.11</v>
      </c>
      <c r="H597" s="25">
        <f>IFERROR(__xludf.DUMMYFUNCTION("""COMPUTED_VALUE"""),44124.63611111111)</f>
        <v>44124.63611</v>
      </c>
      <c r="I597" s="22">
        <f>IFERROR(__xludf.DUMMYFUNCTION("""COMPUTED_VALUE"""),30.12)</f>
        <v>30.12</v>
      </c>
      <c r="J597" s="25">
        <f>IFERROR(__xludf.DUMMYFUNCTION("""COMPUTED_VALUE"""),44124.63611111111)</f>
        <v>44124.63611</v>
      </c>
      <c r="K597" s="22">
        <f>IFERROR(__xludf.DUMMYFUNCTION("""COMPUTED_VALUE"""),30.85)</f>
        <v>30.85</v>
      </c>
      <c r="M597" s="22" t="str">
        <f t="shared" si="3"/>
        <v/>
      </c>
      <c r="N597" s="22" t="str">
        <f t="shared" si="4"/>
        <v>PREDICT CRASH</v>
      </c>
    </row>
    <row r="598" ht="15.75" customHeight="1">
      <c r="A598" s="25">
        <f>IFERROR(__xludf.DUMMYFUNCTION("""COMPUTED_VALUE"""),44125.66666666667)</f>
        <v>44125.66667</v>
      </c>
      <c r="B598" s="22">
        <f>IFERROR(__xludf.DUMMYFUNCTION("""COMPUTED_VALUE"""),3435.56)</f>
        <v>3435.56</v>
      </c>
      <c r="C598" s="25">
        <f>IFERROR(__xludf.DUMMYFUNCTION("""COMPUTED_VALUE"""),44125.63611111111)</f>
        <v>44125.63611</v>
      </c>
      <c r="D598" s="22">
        <f>IFERROR(__xludf.DUMMYFUNCTION("""COMPUTED_VALUE"""),28.65)</f>
        <v>28.65</v>
      </c>
      <c r="E598" s="26">
        <f t="shared" si="2"/>
        <v>-0.002195682985</v>
      </c>
      <c r="F598" s="25">
        <f>IFERROR(__xludf.DUMMYFUNCTION("""COMPUTED_VALUE"""),44125.63611111111)</f>
        <v>44125.63611</v>
      </c>
      <c r="G598" s="22">
        <f>IFERROR(__xludf.DUMMYFUNCTION("""COMPUTED_VALUE"""),29.61)</f>
        <v>29.61</v>
      </c>
      <c r="H598" s="25">
        <f>IFERROR(__xludf.DUMMYFUNCTION("""COMPUTED_VALUE"""),44125.63611111111)</f>
        <v>44125.63611</v>
      </c>
      <c r="I598" s="22">
        <f>IFERROR(__xludf.DUMMYFUNCTION("""COMPUTED_VALUE"""),29.61)</f>
        <v>29.61</v>
      </c>
      <c r="J598" s="25">
        <f>IFERROR(__xludf.DUMMYFUNCTION("""COMPUTED_VALUE"""),44125.63611111111)</f>
        <v>44125.63611</v>
      </c>
      <c r="K598" s="22">
        <f>IFERROR(__xludf.DUMMYFUNCTION("""COMPUTED_VALUE"""),30.36)</f>
        <v>30.36</v>
      </c>
      <c r="M598" s="22" t="str">
        <f t="shared" si="3"/>
        <v/>
      </c>
      <c r="N598" s="22" t="str">
        <f t="shared" si="4"/>
        <v>PREDICT CRASH</v>
      </c>
    </row>
    <row r="599" ht="15.75" customHeight="1">
      <c r="A599" s="25">
        <f>IFERROR(__xludf.DUMMYFUNCTION("""COMPUTED_VALUE"""),44126.66666666667)</f>
        <v>44126.66667</v>
      </c>
      <c r="B599" s="22">
        <f>IFERROR(__xludf.DUMMYFUNCTION("""COMPUTED_VALUE"""),3453.49)</f>
        <v>3453.49</v>
      </c>
      <c r="C599" s="25">
        <f>IFERROR(__xludf.DUMMYFUNCTION("""COMPUTED_VALUE"""),44126.63611111111)</f>
        <v>44126.63611</v>
      </c>
      <c r="D599" s="22">
        <f>IFERROR(__xludf.DUMMYFUNCTION("""COMPUTED_VALUE"""),28.11)</f>
        <v>28.11</v>
      </c>
      <c r="E599" s="26">
        <f t="shared" si="2"/>
        <v>0.005218945383</v>
      </c>
      <c r="F599" s="25">
        <f>IFERROR(__xludf.DUMMYFUNCTION("""COMPUTED_VALUE"""),44126.63611111111)</f>
        <v>44126.63611</v>
      </c>
      <c r="G599" s="22">
        <f>IFERROR(__xludf.DUMMYFUNCTION("""COMPUTED_VALUE"""),29.3)</f>
        <v>29.3</v>
      </c>
      <c r="H599" s="25">
        <f>IFERROR(__xludf.DUMMYFUNCTION("""COMPUTED_VALUE"""),44126.63611111111)</f>
        <v>44126.63611</v>
      </c>
      <c r="I599" s="22">
        <f>IFERROR(__xludf.DUMMYFUNCTION("""COMPUTED_VALUE"""),29.37)</f>
        <v>29.37</v>
      </c>
      <c r="J599" s="25">
        <f>IFERROR(__xludf.DUMMYFUNCTION("""COMPUTED_VALUE"""),44126.63611111111)</f>
        <v>44126.63611</v>
      </c>
      <c r="K599" s="22">
        <f>IFERROR(__xludf.DUMMYFUNCTION("""COMPUTED_VALUE"""),30.11)</f>
        <v>30.11</v>
      </c>
      <c r="M599" s="22" t="str">
        <f t="shared" si="3"/>
        <v/>
      </c>
      <c r="N599" s="22" t="str">
        <f t="shared" si="4"/>
        <v>PREDICT CRASH</v>
      </c>
    </row>
    <row r="600" ht="15.75" customHeight="1">
      <c r="A600" s="25">
        <f>IFERROR(__xludf.DUMMYFUNCTION("""COMPUTED_VALUE"""),44127.66666666667)</f>
        <v>44127.66667</v>
      </c>
      <c r="B600" s="22">
        <f>IFERROR(__xludf.DUMMYFUNCTION("""COMPUTED_VALUE"""),3465.39)</f>
        <v>3465.39</v>
      </c>
      <c r="C600" s="25">
        <f>IFERROR(__xludf.DUMMYFUNCTION("""COMPUTED_VALUE"""),44127.63611111111)</f>
        <v>44127.63611</v>
      </c>
      <c r="D600" s="22">
        <f>IFERROR(__xludf.DUMMYFUNCTION("""COMPUTED_VALUE"""),27.55)</f>
        <v>27.55</v>
      </c>
      <c r="E600" s="26">
        <f t="shared" si="2"/>
        <v>0.003445789622</v>
      </c>
      <c r="F600" s="25">
        <f>IFERROR(__xludf.DUMMYFUNCTION("""COMPUTED_VALUE"""),44127.63611111111)</f>
        <v>44127.63611</v>
      </c>
      <c r="G600" s="22">
        <f>IFERROR(__xludf.DUMMYFUNCTION("""COMPUTED_VALUE"""),28.99)</f>
        <v>28.99</v>
      </c>
      <c r="H600" s="25">
        <f>IFERROR(__xludf.DUMMYFUNCTION("""COMPUTED_VALUE"""),44127.63611111111)</f>
        <v>44127.63611</v>
      </c>
      <c r="I600" s="22">
        <f>IFERROR(__xludf.DUMMYFUNCTION("""COMPUTED_VALUE"""),29.14)</f>
        <v>29.14</v>
      </c>
      <c r="J600" s="25">
        <f>IFERROR(__xludf.DUMMYFUNCTION("""COMPUTED_VALUE"""),44127.63611111111)</f>
        <v>44127.63611</v>
      </c>
      <c r="K600" s="22">
        <f>IFERROR(__xludf.DUMMYFUNCTION("""COMPUTED_VALUE"""),29.89)</f>
        <v>29.89</v>
      </c>
      <c r="M600" s="22" t="str">
        <f t="shared" si="3"/>
        <v/>
      </c>
      <c r="N600" s="22" t="str">
        <f t="shared" si="4"/>
        <v>PREDICT CRASH</v>
      </c>
    </row>
    <row r="601" ht="15.75" customHeight="1">
      <c r="A601" s="25">
        <f>IFERROR(__xludf.DUMMYFUNCTION("""COMPUTED_VALUE"""),44130.66666666667)</f>
        <v>44130.66667</v>
      </c>
      <c r="B601" s="22">
        <f>IFERROR(__xludf.DUMMYFUNCTION("""COMPUTED_VALUE"""),3400.97)</f>
        <v>3400.97</v>
      </c>
      <c r="C601" s="25">
        <f>IFERROR(__xludf.DUMMYFUNCTION("""COMPUTED_VALUE"""),44130.63611111111)</f>
        <v>44130.63611</v>
      </c>
      <c r="D601" s="22">
        <f>IFERROR(__xludf.DUMMYFUNCTION("""COMPUTED_VALUE"""),32.46)</f>
        <v>32.46</v>
      </c>
      <c r="E601" s="26">
        <f t="shared" si="2"/>
        <v>-0.01858953826</v>
      </c>
      <c r="F601" s="25">
        <f>IFERROR(__xludf.DUMMYFUNCTION("""COMPUTED_VALUE"""),44130.63611111111)</f>
        <v>44130.63611</v>
      </c>
      <c r="G601" s="22">
        <f>IFERROR(__xludf.DUMMYFUNCTION("""COMPUTED_VALUE"""),32.07)</f>
        <v>32.07</v>
      </c>
      <c r="H601" s="25">
        <f>IFERROR(__xludf.DUMMYFUNCTION("""COMPUTED_VALUE"""),44130.63611111111)</f>
        <v>44130.63611</v>
      </c>
      <c r="I601" s="22">
        <f>IFERROR(__xludf.DUMMYFUNCTION("""COMPUTED_VALUE"""),31.23)</f>
        <v>31.23</v>
      </c>
      <c r="J601" s="25">
        <f>IFERROR(__xludf.DUMMYFUNCTION("""COMPUTED_VALUE"""),44130.63611111111)</f>
        <v>44130.63611</v>
      </c>
      <c r="K601" s="22">
        <f>IFERROR(__xludf.DUMMYFUNCTION("""COMPUTED_VALUE"""),31.16)</f>
        <v>31.16</v>
      </c>
      <c r="M601" s="22" t="str">
        <f t="shared" si="3"/>
        <v/>
      </c>
      <c r="N601" s="22" t="str">
        <f t="shared" si="4"/>
        <v>PREDICT CRASH</v>
      </c>
    </row>
    <row r="602" ht="15.75" customHeight="1">
      <c r="A602" s="25">
        <f>IFERROR(__xludf.DUMMYFUNCTION("""COMPUTED_VALUE"""),44131.66666666667)</f>
        <v>44131.66667</v>
      </c>
      <c r="B602" s="22">
        <f>IFERROR(__xludf.DUMMYFUNCTION("""COMPUTED_VALUE"""),3390.68)</f>
        <v>3390.68</v>
      </c>
      <c r="C602" s="25">
        <f>IFERROR(__xludf.DUMMYFUNCTION("""COMPUTED_VALUE"""),44131.63611111111)</f>
        <v>44131.63611</v>
      </c>
      <c r="D602" s="22">
        <f>IFERROR(__xludf.DUMMYFUNCTION("""COMPUTED_VALUE"""),33.35)</f>
        <v>33.35</v>
      </c>
      <c r="E602" s="26">
        <f t="shared" si="2"/>
        <v>-0.0030256074</v>
      </c>
      <c r="F602" s="25">
        <f>IFERROR(__xludf.DUMMYFUNCTION("""COMPUTED_VALUE"""),44131.63611111111)</f>
        <v>44131.63611</v>
      </c>
      <c r="G602" s="22">
        <f>IFERROR(__xludf.DUMMYFUNCTION("""COMPUTED_VALUE"""),32.72)</f>
        <v>32.72</v>
      </c>
      <c r="H602" s="25">
        <f>IFERROR(__xludf.DUMMYFUNCTION("""COMPUTED_VALUE"""),44131.63611111111)</f>
        <v>44131.63611</v>
      </c>
      <c r="I602" s="22">
        <f>IFERROR(__xludf.DUMMYFUNCTION("""COMPUTED_VALUE"""),31.66)</f>
        <v>31.66</v>
      </c>
      <c r="J602" s="25">
        <f>IFERROR(__xludf.DUMMYFUNCTION("""COMPUTED_VALUE"""),44131.63611111111)</f>
        <v>44131.63611</v>
      </c>
      <c r="K602" s="22">
        <f>IFERROR(__xludf.DUMMYFUNCTION("""COMPUTED_VALUE"""),31.34)</f>
        <v>31.34</v>
      </c>
      <c r="M602" s="22" t="str">
        <f t="shared" si="3"/>
        <v/>
      </c>
      <c r="N602" s="22" t="str">
        <f t="shared" si="4"/>
        <v>PREDICT CRASH</v>
      </c>
    </row>
    <row r="603" ht="15.75" customHeight="1">
      <c r="A603" s="25">
        <f>IFERROR(__xludf.DUMMYFUNCTION("""COMPUTED_VALUE"""),44132.66666666667)</f>
        <v>44132.66667</v>
      </c>
      <c r="B603" s="22">
        <f>IFERROR(__xludf.DUMMYFUNCTION("""COMPUTED_VALUE"""),3271.03)</f>
        <v>3271.03</v>
      </c>
      <c r="C603" s="25">
        <f>IFERROR(__xludf.DUMMYFUNCTION("""COMPUTED_VALUE"""),44132.63611111111)</f>
        <v>44132.63611</v>
      </c>
      <c r="D603" s="22">
        <f>IFERROR(__xludf.DUMMYFUNCTION("""COMPUTED_VALUE"""),40.28)</f>
        <v>40.28</v>
      </c>
      <c r="E603" s="26">
        <f t="shared" si="2"/>
        <v>-0.03528790685</v>
      </c>
      <c r="F603" s="25">
        <f>IFERROR(__xludf.DUMMYFUNCTION("""COMPUTED_VALUE"""),44132.63611111111)</f>
        <v>44132.63611</v>
      </c>
      <c r="G603" s="22">
        <f>IFERROR(__xludf.DUMMYFUNCTION("""COMPUTED_VALUE"""),37.75)</f>
        <v>37.75</v>
      </c>
      <c r="H603" s="25">
        <f>IFERROR(__xludf.DUMMYFUNCTION("""COMPUTED_VALUE"""),44132.63611111111)</f>
        <v>44132.63611</v>
      </c>
      <c r="I603" s="22">
        <f>IFERROR(__xludf.DUMMYFUNCTION("""COMPUTED_VALUE"""),35.23)</f>
        <v>35.23</v>
      </c>
      <c r="J603" s="25">
        <f>IFERROR(__xludf.DUMMYFUNCTION("""COMPUTED_VALUE"""),44132.63611111111)</f>
        <v>44132.63611</v>
      </c>
      <c r="K603" s="22">
        <f>IFERROR(__xludf.DUMMYFUNCTION("""COMPUTED_VALUE"""),33.26)</f>
        <v>33.26</v>
      </c>
      <c r="M603" s="22" t="str">
        <f t="shared" si="3"/>
        <v/>
      </c>
      <c r="N603" s="22" t="str">
        <f t="shared" si="4"/>
        <v>PREDICT CRASH</v>
      </c>
    </row>
    <row r="604" ht="15.75" customHeight="1">
      <c r="A604" s="25">
        <f>IFERROR(__xludf.DUMMYFUNCTION("""COMPUTED_VALUE"""),44133.66666666667)</f>
        <v>44133.66667</v>
      </c>
      <c r="B604" s="22">
        <f>IFERROR(__xludf.DUMMYFUNCTION("""COMPUTED_VALUE"""),3310.11)</f>
        <v>3310.11</v>
      </c>
      <c r="C604" s="25">
        <f>IFERROR(__xludf.DUMMYFUNCTION("""COMPUTED_VALUE"""),44133.63611111111)</f>
        <v>44133.63611</v>
      </c>
      <c r="D604" s="22">
        <f>IFERROR(__xludf.DUMMYFUNCTION("""COMPUTED_VALUE"""),37.59)</f>
        <v>37.59</v>
      </c>
      <c r="E604" s="26">
        <f t="shared" si="2"/>
        <v>0.01194730712</v>
      </c>
      <c r="F604" s="25">
        <f>IFERROR(__xludf.DUMMYFUNCTION("""COMPUTED_VALUE"""),44133.63611111111)</f>
        <v>44133.63611</v>
      </c>
      <c r="G604" s="22">
        <f>IFERROR(__xludf.DUMMYFUNCTION("""COMPUTED_VALUE"""),35.84)</f>
        <v>35.84</v>
      </c>
      <c r="H604" s="25">
        <f>IFERROR(__xludf.DUMMYFUNCTION("""COMPUTED_VALUE"""),44133.63611111111)</f>
        <v>44133.63611</v>
      </c>
      <c r="I604" s="22">
        <f>IFERROR(__xludf.DUMMYFUNCTION("""COMPUTED_VALUE"""),34.03)</f>
        <v>34.03</v>
      </c>
      <c r="J604" s="25">
        <f>IFERROR(__xludf.DUMMYFUNCTION("""COMPUTED_VALUE"""),44133.63611111111)</f>
        <v>44133.63611</v>
      </c>
      <c r="K604" s="22">
        <f>IFERROR(__xludf.DUMMYFUNCTION("""COMPUTED_VALUE"""),32.83)</f>
        <v>32.83</v>
      </c>
      <c r="M604" s="22" t="str">
        <f t="shared" si="3"/>
        <v/>
      </c>
      <c r="N604" s="22" t="str">
        <f t="shared" si="4"/>
        <v>PREDICT CRASH</v>
      </c>
    </row>
    <row r="605" ht="15.75" customHeight="1">
      <c r="A605" s="25">
        <f>IFERROR(__xludf.DUMMYFUNCTION("""COMPUTED_VALUE"""),44134.66666666667)</f>
        <v>44134.66667</v>
      </c>
      <c r="B605" s="22">
        <f>IFERROR(__xludf.DUMMYFUNCTION("""COMPUTED_VALUE"""),3269.96)</f>
        <v>3269.96</v>
      </c>
      <c r="C605" s="25">
        <f>IFERROR(__xludf.DUMMYFUNCTION("""COMPUTED_VALUE"""),44134.63611111111)</f>
        <v>44134.63611</v>
      </c>
      <c r="D605" s="22">
        <f>IFERROR(__xludf.DUMMYFUNCTION("""COMPUTED_VALUE"""),38.02)</f>
        <v>38.02</v>
      </c>
      <c r="E605" s="26">
        <f t="shared" si="2"/>
        <v>-0.01212950627</v>
      </c>
      <c r="F605" s="25">
        <f>IFERROR(__xludf.DUMMYFUNCTION("""COMPUTED_VALUE"""),44134.63611111111)</f>
        <v>44134.63611</v>
      </c>
      <c r="G605" s="22">
        <f>IFERROR(__xludf.DUMMYFUNCTION("""COMPUTED_VALUE"""),36.27)</f>
        <v>36.27</v>
      </c>
      <c r="H605" s="25">
        <f>IFERROR(__xludf.DUMMYFUNCTION("""COMPUTED_VALUE"""),44134.63611111111)</f>
        <v>44134.63611</v>
      </c>
      <c r="I605" s="22">
        <f>IFERROR(__xludf.DUMMYFUNCTION("""COMPUTED_VALUE"""),34.3)</f>
        <v>34.3</v>
      </c>
      <c r="J605" s="25">
        <f>IFERROR(__xludf.DUMMYFUNCTION("""COMPUTED_VALUE"""),44134.63611111111)</f>
        <v>44134.63611</v>
      </c>
      <c r="K605" s="22">
        <f>IFERROR(__xludf.DUMMYFUNCTION("""COMPUTED_VALUE"""),32.7)</f>
        <v>32.7</v>
      </c>
      <c r="M605" s="22" t="str">
        <f t="shared" si="3"/>
        <v/>
      </c>
      <c r="N605" s="22" t="str">
        <f t="shared" si="4"/>
        <v>PREDICT CRASH</v>
      </c>
    </row>
    <row r="606" ht="15.75" customHeight="1">
      <c r="A606" s="25">
        <f>IFERROR(__xludf.DUMMYFUNCTION("""COMPUTED_VALUE"""),44137.66666666667)</f>
        <v>44137.66667</v>
      </c>
      <c r="B606" s="22">
        <f>IFERROR(__xludf.DUMMYFUNCTION("""COMPUTED_VALUE"""),3310.24)</f>
        <v>3310.24</v>
      </c>
      <c r="C606" s="25">
        <f>IFERROR(__xludf.DUMMYFUNCTION("""COMPUTED_VALUE"""),44137.63611111111)</f>
        <v>44137.63611</v>
      </c>
      <c r="D606" s="22">
        <f>IFERROR(__xludf.DUMMYFUNCTION("""COMPUTED_VALUE"""),37.13)</f>
        <v>37.13</v>
      </c>
      <c r="E606" s="26">
        <f t="shared" si="2"/>
        <v>0.01231819349</v>
      </c>
      <c r="F606" s="25">
        <f>IFERROR(__xludf.DUMMYFUNCTION("""COMPUTED_VALUE"""),44137.63611111111)</f>
        <v>44137.63611</v>
      </c>
      <c r="G606" s="22">
        <f>IFERROR(__xludf.DUMMYFUNCTION("""COMPUTED_VALUE"""),35.06)</f>
        <v>35.06</v>
      </c>
      <c r="H606" s="25">
        <f>IFERROR(__xludf.DUMMYFUNCTION("""COMPUTED_VALUE"""),44137.63611111111)</f>
        <v>44137.63611</v>
      </c>
      <c r="I606" s="22">
        <f>IFERROR(__xludf.DUMMYFUNCTION("""COMPUTED_VALUE"""),33.44)</f>
        <v>33.44</v>
      </c>
      <c r="J606" s="25">
        <f>IFERROR(__xludf.DUMMYFUNCTION("""COMPUTED_VALUE"""),44137.63611111111)</f>
        <v>44137.63611</v>
      </c>
      <c r="K606" s="22">
        <f>IFERROR(__xludf.DUMMYFUNCTION("""COMPUTED_VALUE"""),32.12)</f>
        <v>32.12</v>
      </c>
      <c r="M606" s="22" t="str">
        <f t="shared" si="3"/>
        <v/>
      </c>
      <c r="N606" s="22" t="str">
        <f t="shared" si="4"/>
        <v>PREDICT CRASH</v>
      </c>
    </row>
    <row r="607" ht="15.75" customHeight="1">
      <c r="A607" s="25">
        <f>IFERROR(__xludf.DUMMYFUNCTION("""COMPUTED_VALUE"""),44138.66666666667)</f>
        <v>44138.66667</v>
      </c>
      <c r="B607" s="22">
        <f>IFERROR(__xludf.DUMMYFUNCTION("""COMPUTED_VALUE"""),3369.02)</f>
        <v>3369.02</v>
      </c>
      <c r="C607" s="25">
        <f>IFERROR(__xludf.DUMMYFUNCTION("""COMPUTED_VALUE"""),44138.63611111111)</f>
        <v>44138.63611</v>
      </c>
      <c r="D607" s="22">
        <f>IFERROR(__xludf.DUMMYFUNCTION("""COMPUTED_VALUE"""),35.55)</f>
        <v>35.55</v>
      </c>
      <c r="E607" s="26">
        <f t="shared" si="2"/>
        <v>0.01775702064</v>
      </c>
      <c r="F607" s="25">
        <f>IFERROR(__xludf.DUMMYFUNCTION("""COMPUTED_VALUE"""),44138.63611111111)</f>
        <v>44138.63611</v>
      </c>
      <c r="G607" s="22">
        <f>IFERROR(__xludf.DUMMYFUNCTION("""COMPUTED_VALUE"""),33.52)</f>
        <v>33.52</v>
      </c>
      <c r="H607" s="25">
        <f>IFERROR(__xludf.DUMMYFUNCTION("""COMPUTED_VALUE"""),44138.63611111111)</f>
        <v>44138.63611</v>
      </c>
      <c r="I607" s="22">
        <f>IFERROR(__xludf.DUMMYFUNCTION("""COMPUTED_VALUE"""),32.18)</f>
        <v>32.18</v>
      </c>
      <c r="J607" s="25">
        <f>IFERROR(__xludf.DUMMYFUNCTION("""COMPUTED_VALUE"""),44138.63611111111)</f>
        <v>44138.63611</v>
      </c>
      <c r="K607" s="22">
        <f>IFERROR(__xludf.DUMMYFUNCTION("""COMPUTED_VALUE"""),31.29)</f>
        <v>31.29</v>
      </c>
      <c r="M607" s="22" t="str">
        <f t="shared" si="3"/>
        <v/>
      </c>
      <c r="N607" s="22" t="str">
        <f t="shared" si="4"/>
        <v>PREDICT CRASH</v>
      </c>
    </row>
    <row r="608" ht="15.75" customHeight="1">
      <c r="A608" s="25">
        <f>IFERROR(__xludf.DUMMYFUNCTION("""COMPUTED_VALUE"""),44139.66666666667)</f>
        <v>44139.66667</v>
      </c>
      <c r="B608" s="22">
        <f>IFERROR(__xludf.DUMMYFUNCTION("""COMPUTED_VALUE"""),3443.44)</f>
        <v>3443.44</v>
      </c>
      <c r="C608" s="25">
        <f>IFERROR(__xludf.DUMMYFUNCTION("""COMPUTED_VALUE"""),44139.63611111111)</f>
        <v>44139.63611</v>
      </c>
      <c r="D608" s="22">
        <f>IFERROR(__xludf.DUMMYFUNCTION("""COMPUTED_VALUE"""),29.57)</f>
        <v>29.57</v>
      </c>
      <c r="E608" s="26">
        <f t="shared" si="2"/>
        <v>0.02208950971</v>
      </c>
      <c r="F608" s="25">
        <f>IFERROR(__xludf.DUMMYFUNCTION("""COMPUTED_VALUE"""),44139.63611111111)</f>
        <v>44139.63611</v>
      </c>
      <c r="G608" s="22">
        <f>IFERROR(__xludf.DUMMYFUNCTION("""COMPUTED_VALUE"""),29.98)</f>
        <v>29.98</v>
      </c>
      <c r="H608" s="25">
        <f>IFERROR(__xludf.DUMMYFUNCTION("""COMPUTED_VALUE"""),44139.63611111111)</f>
        <v>44139.63611</v>
      </c>
      <c r="I608" s="22">
        <f>IFERROR(__xludf.DUMMYFUNCTION("""COMPUTED_VALUE"""),29.93)</f>
        <v>29.93</v>
      </c>
      <c r="J608" s="25">
        <f>IFERROR(__xludf.DUMMYFUNCTION("""COMPUTED_VALUE"""),44139.63611111111)</f>
        <v>44139.63611</v>
      </c>
      <c r="K608" s="22">
        <f>IFERROR(__xludf.DUMMYFUNCTION("""COMPUTED_VALUE"""),29.72)</f>
        <v>29.72</v>
      </c>
      <c r="M608" s="22" t="str">
        <f t="shared" si="3"/>
        <v/>
      </c>
      <c r="N608" s="22" t="str">
        <f t="shared" si="4"/>
        <v>PREDICT CRASH</v>
      </c>
    </row>
    <row r="609" ht="15.75" customHeight="1">
      <c r="A609" s="25">
        <f>IFERROR(__xludf.DUMMYFUNCTION("""COMPUTED_VALUE"""),44140.66666666667)</f>
        <v>44140.66667</v>
      </c>
      <c r="B609" s="22">
        <f>IFERROR(__xludf.DUMMYFUNCTION("""COMPUTED_VALUE"""),3510.45)</f>
        <v>3510.45</v>
      </c>
      <c r="C609" s="25">
        <f>IFERROR(__xludf.DUMMYFUNCTION("""COMPUTED_VALUE"""),44140.63611111111)</f>
        <v>44140.63611</v>
      </c>
      <c r="D609" s="22">
        <f>IFERROR(__xludf.DUMMYFUNCTION("""COMPUTED_VALUE"""),27.58)</f>
        <v>27.58</v>
      </c>
      <c r="E609" s="26">
        <f t="shared" si="2"/>
        <v>0.01946019097</v>
      </c>
      <c r="F609" s="25">
        <f>IFERROR(__xludf.DUMMYFUNCTION("""COMPUTED_VALUE"""),44140.63611111111)</f>
        <v>44140.63611</v>
      </c>
      <c r="G609" s="22">
        <f>IFERROR(__xludf.DUMMYFUNCTION("""COMPUTED_VALUE"""),29.05)</f>
        <v>29.05</v>
      </c>
      <c r="H609" s="25">
        <f>IFERROR(__xludf.DUMMYFUNCTION("""COMPUTED_VALUE"""),44140.63611111111)</f>
        <v>44140.63611</v>
      </c>
      <c r="I609" s="22">
        <f>IFERROR(__xludf.DUMMYFUNCTION("""COMPUTED_VALUE"""),29.36)</f>
        <v>29.36</v>
      </c>
      <c r="J609" s="25">
        <f>IFERROR(__xludf.DUMMYFUNCTION("""COMPUTED_VALUE"""),44140.63611111111)</f>
        <v>44140.63611</v>
      </c>
      <c r="K609" s="22">
        <f>IFERROR(__xludf.DUMMYFUNCTION("""COMPUTED_VALUE"""),29.39)</f>
        <v>29.39</v>
      </c>
      <c r="M609" s="22" t="str">
        <f t="shared" si="3"/>
        <v/>
      </c>
      <c r="N609" s="22" t="str">
        <f t="shared" si="4"/>
        <v>PREDICT CRASH</v>
      </c>
    </row>
    <row r="610" ht="15.75" customHeight="1">
      <c r="A610" s="25">
        <f>IFERROR(__xludf.DUMMYFUNCTION("""COMPUTED_VALUE"""),44141.66666666667)</f>
        <v>44141.66667</v>
      </c>
      <c r="B610" s="22">
        <f>IFERROR(__xludf.DUMMYFUNCTION("""COMPUTED_VALUE"""),3509.44)</f>
        <v>3509.44</v>
      </c>
      <c r="C610" s="25">
        <f>IFERROR(__xludf.DUMMYFUNCTION("""COMPUTED_VALUE"""),44141.63611111111)</f>
        <v>44141.63611</v>
      </c>
      <c r="D610" s="22">
        <f>IFERROR(__xludf.DUMMYFUNCTION("""COMPUTED_VALUE"""),24.86)</f>
        <v>24.86</v>
      </c>
      <c r="E610" s="26">
        <f t="shared" si="2"/>
        <v>-0.0002877124015</v>
      </c>
      <c r="F610" s="25">
        <f>IFERROR(__xludf.DUMMYFUNCTION("""COMPUTED_VALUE"""),44141.63611111111)</f>
        <v>44141.63611</v>
      </c>
      <c r="G610" s="22">
        <f>IFERROR(__xludf.DUMMYFUNCTION("""COMPUTED_VALUE"""),27.37)</f>
        <v>27.37</v>
      </c>
      <c r="H610" s="25">
        <f>IFERROR(__xludf.DUMMYFUNCTION("""COMPUTED_VALUE"""),44141.63611111111)</f>
        <v>44141.63611</v>
      </c>
      <c r="I610" s="22">
        <f>IFERROR(__xludf.DUMMYFUNCTION("""COMPUTED_VALUE"""),27.91)</f>
        <v>27.91</v>
      </c>
      <c r="J610" s="25">
        <f>IFERROR(__xludf.DUMMYFUNCTION("""COMPUTED_VALUE"""),44141.63611111111)</f>
        <v>44141.63611</v>
      </c>
      <c r="K610" s="22">
        <f>IFERROR(__xludf.DUMMYFUNCTION("""COMPUTED_VALUE"""),28.77)</f>
        <v>28.77</v>
      </c>
      <c r="M610" s="22" t="str">
        <f t="shared" si="3"/>
        <v/>
      </c>
      <c r="N610" s="22" t="str">
        <f t="shared" si="4"/>
        <v/>
      </c>
    </row>
    <row r="611" ht="15.75" customHeight="1">
      <c r="A611" s="25">
        <f>IFERROR(__xludf.DUMMYFUNCTION("""COMPUTED_VALUE"""),44144.66666666667)</f>
        <v>44144.66667</v>
      </c>
      <c r="B611" s="22">
        <f>IFERROR(__xludf.DUMMYFUNCTION("""COMPUTED_VALUE"""),3550.5)</f>
        <v>3550.5</v>
      </c>
      <c r="C611" s="25">
        <f>IFERROR(__xludf.DUMMYFUNCTION("""COMPUTED_VALUE"""),44144.63611111111)</f>
        <v>44144.63611</v>
      </c>
      <c r="D611" s="22">
        <f>IFERROR(__xludf.DUMMYFUNCTION("""COMPUTED_VALUE"""),25.75)</f>
        <v>25.75</v>
      </c>
      <c r="E611" s="26">
        <f t="shared" si="2"/>
        <v>0.01169987234</v>
      </c>
      <c r="F611" s="25">
        <f>IFERROR(__xludf.DUMMYFUNCTION("""COMPUTED_VALUE"""),44144.63611111111)</f>
        <v>44144.63611</v>
      </c>
      <c r="G611" s="22">
        <f>IFERROR(__xludf.DUMMYFUNCTION("""COMPUTED_VALUE"""),26.88)</f>
        <v>26.88</v>
      </c>
      <c r="H611" s="25">
        <f>IFERROR(__xludf.DUMMYFUNCTION("""COMPUTED_VALUE"""),44144.63611111111)</f>
        <v>44144.63611</v>
      </c>
      <c r="I611" s="22">
        <f>IFERROR(__xludf.DUMMYFUNCTION("""COMPUTED_VALUE"""),27.13)</f>
        <v>27.13</v>
      </c>
      <c r="J611" s="25">
        <f>IFERROR(__xludf.DUMMYFUNCTION("""COMPUTED_VALUE"""),44144.63611111111)</f>
        <v>44144.63611</v>
      </c>
      <c r="K611" s="22">
        <f>IFERROR(__xludf.DUMMYFUNCTION("""COMPUTED_VALUE"""),27.83)</f>
        <v>27.83</v>
      </c>
      <c r="M611" s="22" t="str">
        <f t="shared" si="3"/>
        <v/>
      </c>
      <c r="N611" s="22" t="str">
        <f t="shared" si="4"/>
        <v>PREDICT CRASH</v>
      </c>
    </row>
    <row r="612" ht="15.75" customHeight="1">
      <c r="A612" s="25">
        <f>IFERROR(__xludf.DUMMYFUNCTION("""COMPUTED_VALUE"""),44145.66666666667)</f>
        <v>44145.66667</v>
      </c>
      <c r="B612" s="22">
        <f>IFERROR(__xludf.DUMMYFUNCTION("""COMPUTED_VALUE"""),3545.53)</f>
        <v>3545.53</v>
      </c>
      <c r="C612" s="25">
        <f>IFERROR(__xludf.DUMMYFUNCTION("""COMPUTED_VALUE"""),44145.63611111111)</f>
        <v>44145.63611</v>
      </c>
      <c r="D612" s="22">
        <f>IFERROR(__xludf.DUMMYFUNCTION("""COMPUTED_VALUE"""),24.8)</f>
        <v>24.8</v>
      </c>
      <c r="E612" s="26">
        <f t="shared" si="2"/>
        <v>-0.001399802845</v>
      </c>
      <c r="F612" s="25">
        <f>IFERROR(__xludf.DUMMYFUNCTION("""COMPUTED_VALUE"""),44145.63611111111)</f>
        <v>44145.63611</v>
      </c>
      <c r="G612" s="22">
        <f>IFERROR(__xludf.DUMMYFUNCTION("""COMPUTED_VALUE"""),26.49)</f>
        <v>26.49</v>
      </c>
      <c r="H612" s="25">
        <f>IFERROR(__xludf.DUMMYFUNCTION("""COMPUTED_VALUE"""),44145.63611111111)</f>
        <v>44145.63611</v>
      </c>
      <c r="I612" s="22">
        <f>IFERROR(__xludf.DUMMYFUNCTION("""COMPUTED_VALUE"""),27.05)</f>
        <v>27.05</v>
      </c>
      <c r="J612" s="25">
        <f>IFERROR(__xludf.DUMMYFUNCTION("""COMPUTED_VALUE"""),44145.63611111111)</f>
        <v>44145.63611</v>
      </c>
      <c r="K612" s="22">
        <f>IFERROR(__xludf.DUMMYFUNCTION("""COMPUTED_VALUE"""),28.01)</f>
        <v>28.01</v>
      </c>
      <c r="M612" s="22" t="str">
        <f t="shared" si="3"/>
        <v/>
      </c>
      <c r="N612" s="22" t="str">
        <f t="shared" si="4"/>
        <v/>
      </c>
    </row>
    <row r="613" ht="15.75" customHeight="1">
      <c r="A613" s="25">
        <f>IFERROR(__xludf.DUMMYFUNCTION("""COMPUTED_VALUE"""),44146.66666666667)</f>
        <v>44146.66667</v>
      </c>
      <c r="B613" s="22">
        <f>IFERROR(__xludf.DUMMYFUNCTION("""COMPUTED_VALUE"""),3572.66)</f>
        <v>3572.66</v>
      </c>
      <c r="C613" s="25">
        <f>IFERROR(__xludf.DUMMYFUNCTION("""COMPUTED_VALUE"""),44146.63611111111)</f>
        <v>44146.63611</v>
      </c>
      <c r="D613" s="22">
        <f>IFERROR(__xludf.DUMMYFUNCTION("""COMPUTED_VALUE"""),23.45)</f>
        <v>23.45</v>
      </c>
      <c r="E613" s="26">
        <f t="shared" si="2"/>
        <v>0.007651888434</v>
      </c>
      <c r="F613" s="25">
        <f>IFERROR(__xludf.DUMMYFUNCTION("""COMPUTED_VALUE"""),44146.63611111111)</f>
        <v>44146.63611</v>
      </c>
      <c r="G613" s="22">
        <f>IFERROR(__xludf.DUMMYFUNCTION("""COMPUTED_VALUE"""),25.62)</f>
        <v>25.62</v>
      </c>
      <c r="H613" s="25">
        <f>IFERROR(__xludf.DUMMYFUNCTION("""COMPUTED_VALUE"""),44146.63611111111)</f>
        <v>44146.63611</v>
      </c>
      <c r="I613" s="22">
        <f>IFERROR(__xludf.DUMMYFUNCTION("""COMPUTED_VALUE"""),26.54)</f>
        <v>26.54</v>
      </c>
      <c r="J613" s="25">
        <f>IFERROR(__xludf.DUMMYFUNCTION("""COMPUTED_VALUE"""),44146.63611111111)</f>
        <v>44146.63611</v>
      </c>
      <c r="K613" s="22">
        <f>IFERROR(__xludf.DUMMYFUNCTION("""COMPUTED_VALUE"""),27.84)</f>
        <v>27.84</v>
      </c>
      <c r="M613" s="22" t="str">
        <f t="shared" si="3"/>
        <v/>
      </c>
      <c r="N613" s="22" t="str">
        <f t="shared" si="4"/>
        <v/>
      </c>
    </row>
    <row r="614" ht="15.75" customHeight="1">
      <c r="A614" s="25">
        <f>IFERROR(__xludf.DUMMYFUNCTION("""COMPUTED_VALUE"""),44147.66666666667)</f>
        <v>44147.66667</v>
      </c>
      <c r="B614" s="22">
        <f>IFERROR(__xludf.DUMMYFUNCTION("""COMPUTED_VALUE"""),3537.01)</f>
        <v>3537.01</v>
      </c>
      <c r="C614" s="25">
        <f>IFERROR(__xludf.DUMMYFUNCTION("""COMPUTED_VALUE"""),44147.63611111111)</f>
        <v>44147.63611</v>
      </c>
      <c r="D614" s="22">
        <f>IFERROR(__xludf.DUMMYFUNCTION("""COMPUTED_VALUE"""),25.35)</f>
        <v>25.35</v>
      </c>
      <c r="E614" s="26">
        <f t="shared" si="2"/>
        <v>-0.009978559393</v>
      </c>
      <c r="F614" s="25">
        <f>IFERROR(__xludf.DUMMYFUNCTION("""COMPUTED_VALUE"""),44147.63611111111)</f>
        <v>44147.63611</v>
      </c>
      <c r="G614" s="22">
        <f>IFERROR(__xludf.DUMMYFUNCTION("""COMPUTED_VALUE"""),27.22)</f>
        <v>27.22</v>
      </c>
      <c r="H614" s="25">
        <f>IFERROR(__xludf.DUMMYFUNCTION("""COMPUTED_VALUE"""),44147.63611111111)</f>
        <v>44147.63611</v>
      </c>
      <c r="I614" s="22">
        <f>IFERROR(__xludf.DUMMYFUNCTION("""COMPUTED_VALUE"""),27.64)</f>
        <v>27.64</v>
      </c>
      <c r="J614" s="25">
        <f>IFERROR(__xludf.DUMMYFUNCTION("""COMPUTED_VALUE"""),44147.63611111111)</f>
        <v>44147.63611</v>
      </c>
      <c r="K614" s="22">
        <f>IFERROR(__xludf.DUMMYFUNCTION("""COMPUTED_VALUE"""),28.36)</f>
        <v>28.36</v>
      </c>
      <c r="M614" s="22" t="str">
        <f t="shared" si="3"/>
        <v/>
      </c>
      <c r="N614" s="22" t="str">
        <f t="shared" si="4"/>
        <v>PREDICT CRASH</v>
      </c>
    </row>
    <row r="615" ht="15.75" customHeight="1">
      <c r="A615" s="25">
        <f>IFERROR(__xludf.DUMMYFUNCTION("""COMPUTED_VALUE"""),44148.66666666667)</f>
        <v>44148.66667</v>
      </c>
      <c r="B615" s="22">
        <f>IFERROR(__xludf.DUMMYFUNCTION("""COMPUTED_VALUE"""),3585.15)</f>
        <v>3585.15</v>
      </c>
      <c r="C615" s="25">
        <f>IFERROR(__xludf.DUMMYFUNCTION("""COMPUTED_VALUE"""),44148.63611111111)</f>
        <v>44148.63611</v>
      </c>
      <c r="D615" s="22">
        <f>IFERROR(__xludf.DUMMYFUNCTION("""COMPUTED_VALUE"""),23.1)</f>
        <v>23.1</v>
      </c>
      <c r="E615" s="26">
        <f t="shared" si="2"/>
        <v>0.01361036582</v>
      </c>
      <c r="F615" s="25">
        <f>IFERROR(__xludf.DUMMYFUNCTION("""COMPUTED_VALUE"""),44148.63611111111)</f>
        <v>44148.63611</v>
      </c>
      <c r="G615" s="22">
        <f>IFERROR(__xludf.DUMMYFUNCTION("""COMPUTED_VALUE"""),25.69)</f>
        <v>25.69</v>
      </c>
      <c r="H615" s="25">
        <f>IFERROR(__xludf.DUMMYFUNCTION("""COMPUTED_VALUE"""),44148.63611111111)</f>
        <v>44148.63611</v>
      </c>
      <c r="I615" s="22">
        <f>IFERROR(__xludf.DUMMYFUNCTION("""COMPUTED_VALUE"""),26.82)</f>
        <v>26.82</v>
      </c>
      <c r="J615" s="25">
        <f>IFERROR(__xludf.DUMMYFUNCTION("""COMPUTED_VALUE"""),44148.63611111111)</f>
        <v>44148.63611</v>
      </c>
      <c r="K615" s="22">
        <f>IFERROR(__xludf.DUMMYFUNCTION("""COMPUTED_VALUE"""),27.84)</f>
        <v>27.84</v>
      </c>
      <c r="M615" s="22" t="str">
        <f t="shared" si="3"/>
        <v/>
      </c>
      <c r="N615" s="22" t="str">
        <f t="shared" si="4"/>
        <v/>
      </c>
    </row>
    <row r="616" ht="15.75" customHeight="1">
      <c r="A616" s="25">
        <f>IFERROR(__xludf.DUMMYFUNCTION("""COMPUTED_VALUE"""),44151.66666666667)</f>
        <v>44151.66667</v>
      </c>
      <c r="B616" s="22">
        <f>IFERROR(__xludf.DUMMYFUNCTION("""COMPUTED_VALUE"""),3626.91)</f>
        <v>3626.91</v>
      </c>
      <c r="C616" s="25">
        <f>IFERROR(__xludf.DUMMYFUNCTION("""COMPUTED_VALUE"""),44151.63611111111)</f>
        <v>44151.63611</v>
      </c>
      <c r="D616" s="22">
        <f>IFERROR(__xludf.DUMMYFUNCTION("""COMPUTED_VALUE"""),22.45)</f>
        <v>22.45</v>
      </c>
      <c r="E616" s="26">
        <f t="shared" si="2"/>
        <v>0.0116480482</v>
      </c>
      <c r="F616" s="25">
        <f>IFERROR(__xludf.DUMMYFUNCTION("""COMPUTED_VALUE"""),44151.63611111111)</f>
        <v>44151.63611</v>
      </c>
      <c r="G616" s="22">
        <f>IFERROR(__xludf.DUMMYFUNCTION("""COMPUTED_VALUE"""),25.35)</f>
        <v>25.35</v>
      </c>
      <c r="H616" s="25">
        <f>IFERROR(__xludf.DUMMYFUNCTION("""COMPUTED_VALUE"""),44151.63611111111)</f>
        <v>44151.63611</v>
      </c>
      <c r="I616" s="22">
        <f>IFERROR(__xludf.DUMMYFUNCTION("""COMPUTED_VALUE"""),26.61)</f>
        <v>26.61</v>
      </c>
      <c r="J616" s="25">
        <f>IFERROR(__xludf.DUMMYFUNCTION("""COMPUTED_VALUE"""),44151.63611111111)</f>
        <v>44151.63611</v>
      </c>
      <c r="K616" s="22">
        <f>IFERROR(__xludf.DUMMYFUNCTION("""COMPUTED_VALUE"""),27.55)</f>
        <v>27.55</v>
      </c>
      <c r="M616" s="22" t="str">
        <f t="shared" si="3"/>
        <v/>
      </c>
      <c r="N616" s="22" t="str">
        <f t="shared" si="4"/>
        <v/>
      </c>
    </row>
    <row r="617" ht="15.75" customHeight="1">
      <c r="A617" s="25">
        <f>IFERROR(__xludf.DUMMYFUNCTION("""COMPUTED_VALUE"""),44152.66666666667)</f>
        <v>44152.66667</v>
      </c>
      <c r="B617" s="22">
        <f>IFERROR(__xludf.DUMMYFUNCTION("""COMPUTED_VALUE"""),3609.53)</f>
        <v>3609.53</v>
      </c>
      <c r="C617" s="25">
        <f>IFERROR(__xludf.DUMMYFUNCTION("""COMPUTED_VALUE"""),44152.63611111111)</f>
        <v>44152.63611</v>
      </c>
      <c r="D617" s="22">
        <f>IFERROR(__xludf.DUMMYFUNCTION("""COMPUTED_VALUE"""),22.71)</f>
        <v>22.71</v>
      </c>
      <c r="E617" s="26">
        <f t="shared" si="2"/>
        <v>-0.004791957893</v>
      </c>
      <c r="F617" s="25">
        <f>IFERROR(__xludf.DUMMYFUNCTION("""COMPUTED_VALUE"""),44152.63611111111)</f>
        <v>44152.63611</v>
      </c>
      <c r="G617" s="22">
        <f>IFERROR(__xludf.DUMMYFUNCTION("""COMPUTED_VALUE"""),25.38)</f>
        <v>25.38</v>
      </c>
      <c r="H617" s="25">
        <f>IFERROR(__xludf.DUMMYFUNCTION("""COMPUTED_VALUE"""),44152.63611111111)</f>
        <v>44152.63611</v>
      </c>
      <c r="I617" s="22">
        <f>IFERROR(__xludf.DUMMYFUNCTION("""COMPUTED_VALUE"""),26.73)</f>
        <v>26.73</v>
      </c>
      <c r="J617" s="25">
        <f>IFERROR(__xludf.DUMMYFUNCTION("""COMPUTED_VALUE"""),44152.63611111111)</f>
        <v>44152.63611</v>
      </c>
      <c r="K617" s="22">
        <f>IFERROR(__xludf.DUMMYFUNCTION("""COMPUTED_VALUE"""),27.74)</f>
        <v>27.74</v>
      </c>
      <c r="M617" s="22" t="str">
        <f t="shared" si="3"/>
        <v/>
      </c>
      <c r="N617" s="22" t="str">
        <f t="shared" si="4"/>
        <v/>
      </c>
    </row>
    <row r="618" ht="15.75" customHeight="1">
      <c r="A618" s="25">
        <f>IFERROR(__xludf.DUMMYFUNCTION("""COMPUTED_VALUE"""),44153.66666666667)</f>
        <v>44153.66667</v>
      </c>
      <c r="B618" s="22">
        <f>IFERROR(__xludf.DUMMYFUNCTION("""COMPUTED_VALUE"""),3567.79)</f>
        <v>3567.79</v>
      </c>
      <c r="C618" s="25">
        <f>IFERROR(__xludf.DUMMYFUNCTION("""COMPUTED_VALUE"""),44153.63611111111)</f>
        <v>44153.63611</v>
      </c>
      <c r="D618" s="22">
        <f>IFERROR(__xludf.DUMMYFUNCTION("""COMPUTED_VALUE"""),23.84)</f>
        <v>23.84</v>
      </c>
      <c r="E618" s="26">
        <f t="shared" si="2"/>
        <v>-0.01156383241</v>
      </c>
      <c r="F618" s="25">
        <f>IFERROR(__xludf.DUMMYFUNCTION("""COMPUTED_VALUE"""),44153.63611111111)</f>
        <v>44153.63611</v>
      </c>
      <c r="G618" s="22">
        <f>IFERROR(__xludf.DUMMYFUNCTION("""COMPUTED_VALUE"""),26.39)</f>
        <v>26.39</v>
      </c>
      <c r="H618" s="25">
        <f>IFERROR(__xludf.DUMMYFUNCTION("""COMPUTED_VALUE"""),44153.63611111111)</f>
        <v>44153.63611</v>
      </c>
      <c r="I618" s="22">
        <f>IFERROR(__xludf.DUMMYFUNCTION("""COMPUTED_VALUE"""),27.61)</f>
        <v>27.61</v>
      </c>
      <c r="J618" s="25">
        <f>IFERROR(__xludf.DUMMYFUNCTION("""COMPUTED_VALUE"""),44153.63611111111)</f>
        <v>44153.63611</v>
      </c>
      <c r="K618" s="22">
        <f>IFERROR(__xludf.DUMMYFUNCTION("""COMPUTED_VALUE"""),28.81)</f>
        <v>28.81</v>
      </c>
      <c r="M618" s="22" t="str">
        <f t="shared" si="3"/>
        <v/>
      </c>
      <c r="N618" s="22" t="str">
        <f t="shared" si="4"/>
        <v/>
      </c>
    </row>
    <row r="619" ht="15.75" customHeight="1">
      <c r="A619" s="25">
        <f>IFERROR(__xludf.DUMMYFUNCTION("""COMPUTED_VALUE"""),44154.66666666667)</f>
        <v>44154.66667</v>
      </c>
      <c r="B619" s="22">
        <f>IFERROR(__xludf.DUMMYFUNCTION("""COMPUTED_VALUE"""),3581.87)</f>
        <v>3581.87</v>
      </c>
      <c r="C619" s="25">
        <f>IFERROR(__xludf.DUMMYFUNCTION("""COMPUTED_VALUE"""),44154.63611111111)</f>
        <v>44154.63611</v>
      </c>
      <c r="D619" s="22">
        <f>IFERROR(__xludf.DUMMYFUNCTION("""COMPUTED_VALUE"""),23.11)</f>
        <v>23.11</v>
      </c>
      <c r="E619" s="26">
        <f t="shared" si="2"/>
        <v>0.003946420613</v>
      </c>
      <c r="F619" s="25">
        <f>IFERROR(__xludf.DUMMYFUNCTION("""COMPUTED_VALUE"""),44154.63611111111)</f>
        <v>44154.63611</v>
      </c>
      <c r="G619" s="22">
        <f>IFERROR(__xludf.DUMMYFUNCTION("""COMPUTED_VALUE"""),25.8)</f>
        <v>25.8</v>
      </c>
      <c r="H619" s="25">
        <f>IFERROR(__xludf.DUMMYFUNCTION("""COMPUTED_VALUE"""),44154.63611111111)</f>
        <v>44154.63611</v>
      </c>
      <c r="I619" s="22">
        <f>IFERROR(__xludf.DUMMYFUNCTION("""COMPUTED_VALUE"""),26.82)</f>
        <v>26.82</v>
      </c>
      <c r="J619" s="25">
        <f>IFERROR(__xludf.DUMMYFUNCTION("""COMPUTED_VALUE"""),44154.63611111111)</f>
        <v>44154.63611</v>
      </c>
      <c r="K619" s="22">
        <f>IFERROR(__xludf.DUMMYFUNCTION("""COMPUTED_VALUE"""),27.94)</f>
        <v>27.94</v>
      </c>
      <c r="M619" s="22" t="str">
        <f t="shared" si="3"/>
        <v/>
      </c>
      <c r="N619" s="22" t="str">
        <f t="shared" si="4"/>
        <v/>
      </c>
    </row>
    <row r="620" ht="15.75" customHeight="1">
      <c r="A620" s="25">
        <f>IFERROR(__xludf.DUMMYFUNCTION("""COMPUTED_VALUE"""),44155.66666666667)</f>
        <v>44155.66667</v>
      </c>
      <c r="B620" s="22">
        <f>IFERROR(__xludf.DUMMYFUNCTION("""COMPUTED_VALUE"""),3557.54)</f>
        <v>3557.54</v>
      </c>
      <c r="C620" s="25">
        <f>IFERROR(__xludf.DUMMYFUNCTION("""COMPUTED_VALUE"""),44155.63611111111)</f>
        <v>44155.63611</v>
      </c>
      <c r="D620" s="22">
        <f>IFERROR(__xludf.DUMMYFUNCTION("""COMPUTED_VALUE"""),23.7)</f>
        <v>23.7</v>
      </c>
      <c r="E620" s="26">
        <f t="shared" si="2"/>
        <v>-0.006792541326</v>
      </c>
      <c r="F620" s="25">
        <f>IFERROR(__xludf.DUMMYFUNCTION("""COMPUTED_VALUE"""),44155.63611111111)</f>
        <v>44155.63611</v>
      </c>
      <c r="G620" s="22">
        <f>IFERROR(__xludf.DUMMYFUNCTION("""COMPUTED_VALUE"""),26.06)</f>
        <v>26.06</v>
      </c>
      <c r="H620" s="25">
        <f>IFERROR(__xludf.DUMMYFUNCTION("""COMPUTED_VALUE"""),44155.63611111111)</f>
        <v>44155.63611</v>
      </c>
      <c r="I620" s="22">
        <f>IFERROR(__xludf.DUMMYFUNCTION("""COMPUTED_VALUE"""),27.07)</f>
        <v>27.07</v>
      </c>
      <c r="J620" s="25">
        <f>IFERROR(__xludf.DUMMYFUNCTION("""COMPUTED_VALUE"""),44155.63611111111)</f>
        <v>44155.63611</v>
      </c>
      <c r="K620" s="22">
        <f>IFERROR(__xludf.DUMMYFUNCTION("""COMPUTED_VALUE"""),27.76)</f>
        <v>27.76</v>
      </c>
      <c r="M620" s="22" t="str">
        <f t="shared" si="3"/>
        <v/>
      </c>
      <c r="N620" s="22" t="str">
        <f t="shared" si="4"/>
        <v/>
      </c>
    </row>
    <row r="621" ht="15.75" customHeight="1">
      <c r="A621" s="25">
        <f>IFERROR(__xludf.DUMMYFUNCTION("""COMPUTED_VALUE"""),44158.66666666667)</f>
        <v>44158.66667</v>
      </c>
      <c r="B621" s="22">
        <f>IFERROR(__xludf.DUMMYFUNCTION("""COMPUTED_VALUE"""),3577.59)</f>
        <v>3577.59</v>
      </c>
      <c r="C621" s="25">
        <f>IFERROR(__xludf.DUMMYFUNCTION("""COMPUTED_VALUE"""),44158.63611111111)</f>
        <v>44158.63611</v>
      </c>
      <c r="D621" s="22">
        <f>IFERROR(__xludf.DUMMYFUNCTION("""COMPUTED_VALUE"""),22.66)</f>
        <v>22.66</v>
      </c>
      <c r="E621" s="26">
        <f t="shared" si="2"/>
        <v>0.005635916954</v>
      </c>
      <c r="F621" s="25">
        <f>IFERROR(__xludf.DUMMYFUNCTION("""COMPUTED_VALUE"""),44158.63611111111)</f>
        <v>44158.63611</v>
      </c>
      <c r="G621" s="22">
        <f>IFERROR(__xludf.DUMMYFUNCTION("""COMPUTED_VALUE"""),25.43)</f>
        <v>25.43</v>
      </c>
      <c r="H621" s="25">
        <f>IFERROR(__xludf.DUMMYFUNCTION("""COMPUTED_VALUE"""),44158.63611111111)</f>
        <v>44158.63611</v>
      </c>
      <c r="I621" s="22">
        <f>IFERROR(__xludf.DUMMYFUNCTION("""COMPUTED_VALUE"""),26.65)</f>
        <v>26.65</v>
      </c>
      <c r="J621" s="25">
        <f>IFERROR(__xludf.DUMMYFUNCTION("""COMPUTED_VALUE"""),44158.63611111111)</f>
        <v>44158.63611</v>
      </c>
      <c r="K621" s="22">
        <f>IFERROR(__xludf.DUMMYFUNCTION("""COMPUTED_VALUE"""),27.37)</f>
        <v>27.37</v>
      </c>
      <c r="M621" s="22" t="str">
        <f t="shared" si="3"/>
        <v/>
      </c>
      <c r="N621" s="22" t="str">
        <f t="shared" si="4"/>
        <v/>
      </c>
    </row>
    <row r="622" ht="15.75" customHeight="1">
      <c r="A622" s="25">
        <f>IFERROR(__xludf.DUMMYFUNCTION("""COMPUTED_VALUE"""),44159.66666666667)</f>
        <v>44159.66667</v>
      </c>
      <c r="B622" s="22">
        <f>IFERROR(__xludf.DUMMYFUNCTION("""COMPUTED_VALUE"""),3635.41)</f>
        <v>3635.41</v>
      </c>
      <c r="C622" s="25">
        <f>IFERROR(__xludf.DUMMYFUNCTION("""COMPUTED_VALUE"""),44159.63611111111)</f>
        <v>44159.63611</v>
      </c>
      <c r="D622" s="22">
        <f>IFERROR(__xludf.DUMMYFUNCTION("""COMPUTED_VALUE"""),21.64)</f>
        <v>21.64</v>
      </c>
      <c r="E622" s="26">
        <f t="shared" si="2"/>
        <v>0.0161617178</v>
      </c>
      <c r="F622" s="25">
        <f>IFERROR(__xludf.DUMMYFUNCTION("""COMPUTED_VALUE"""),44159.63611111111)</f>
        <v>44159.63611</v>
      </c>
      <c r="G622" s="22">
        <f>IFERROR(__xludf.DUMMYFUNCTION("""COMPUTED_VALUE"""),24.84)</f>
        <v>24.84</v>
      </c>
      <c r="H622" s="25">
        <f>IFERROR(__xludf.DUMMYFUNCTION("""COMPUTED_VALUE"""),44159.63611111111)</f>
        <v>44159.63611</v>
      </c>
      <c r="I622" s="22">
        <f>IFERROR(__xludf.DUMMYFUNCTION("""COMPUTED_VALUE"""),26.3)</f>
        <v>26.3</v>
      </c>
      <c r="J622" s="25">
        <f>IFERROR(__xludf.DUMMYFUNCTION("""COMPUTED_VALUE"""),44159.63611111111)</f>
        <v>44159.63611</v>
      </c>
      <c r="K622" s="22">
        <f>IFERROR(__xludf.DUMMYFUNCTION("""COMPUTED_VALUE"""),27.15)</f>
        <v>27.15</v>
      </c>
      <c r="M622" s="22" t="str">
        <f t="shared" si="3"/>
        <v/>
      </c>
      <c r="N622" s="22" t="str">
        <f t="shared" si="4"/>
        <v/>
      </c>
    </row>
    <row r="623" ht="15.75" customHeight="1">
      <c r="A623" s="25">
        <f>IFERROR(__xludf.DUMMYFUNCTION("""COMPUTED_VALUE"""),44160.66666666667)</f>
        <v>44160.66667</v>
      </c>
      <c r="B623" s="22">
        <f>IFERROR(__xludf.DUMMYFUNCTION("""COMPUTED_VALUE"""),3629.65)</f>
        <v>3629.65</v>
      </c>
      <c r="C623" s="25">
        <f>IFERROR(__xludf.DUMMYFUNCTION("""COMPUTED_VALUE"""),44160.63611111111)</f>
        <v>44160.63611</v>
      </c>
      <c r="D623" s="22">
        <f>IFERROR(__xludf.DUMMYFUNCTION("""COMPUTED_VALUE"""),21.25)</f>
        <v>21.25</v>
      </c>
      <c r="E623" s="26">
        <f t="shared" si="2"/>
        <v>-0.001584415513</v>
      </c>
      <c r="F623" s="25">
        <f>IFERROR(__xludf.DUMMYFUNCTION("""COMPUTED_VALUE"""),44160.63611111111)</f>
        <v>44160.63611</v>
      </c>
      <c r="G623" s="22">
        <f>IFERROR(__xludf.DUMMYFUNCTION("""COMPUTED_VALUE"""),24.42)</f>
        <v>24.42</v>
      </c>
      <c r="H623" s="25">
        <f>IFERROR(__xludf.DUMMYFUNCTION("""COMPUTED_VALUE"""),44160.63611111111)</f>
        <v>44160.63611</v>
      </c>
      <c r="I623" s="22">
        <f>IFERROR(__xludf.DUMMYFUNCTION("""COMPUTED_VALUE"""),26.0)</f>
        <v>26</v>
      </c>
      <c r="J623" s="25">
        <f>IFERROR(__xludf.DUMMYFUNCTION("""COMPUTED_VALUE"""),44160.63611111111)</f>
        <v>44160.63611</v>
      </c>
      <c r="K623" s="22">
        <f>IFERROR(__xludf.DUMMYFUNCTION("""COMPUTED_VALUE"""),27.11)</f>
        <v>27.11</v>
      </c>
      <c r="M623" s="22" t="str">
        <f t="shared" si="3"/>
        <v/>
      </c>
      <c r="N623" s="22" t="str">
        <f t="shared" si="4"/>
        <v/>
      </c>
    </row>
    <row r="624" ht="15.75" customHeight="1">
      <c r="A624" s="25">
        <f>IFERROR(__xludf.DUMMYFUNCTION("""COMPUTED_VALUE"""),44162.54166666667)</f>
        <v>44162.54167</v>
      </c>
      <c r="B624" s="22">
        <f>IFERROR(__xludf.DUMMYFUNCTION("""COMPUTED_VALUE"""),3638.35)</f>
        <v>3638.35</v>
      </c>
      <c r="C624" s="25">
        <f>IFERROR(__xludf.DUMMYFUNCTION("""COMPUTED_VALUE"""),44162.54166666667)</f>
        <v>44162.54167</v>
      </c>
      <c r="D624" s="22">
        <f>IFERROR(__xludf.DUMMYFUNCTION("""COMPUTED_VALUE"""),20.84)</f>
        <v>20.84</v>
      </c>
      <c r="E624" s="26">
        <f t="shared" si="2"/>
        <v>0.002396925323</v>
      </c>
      <c r="F624" s="25">
        <f>IFERROR(__xludf.DUMMYFUNCTION("""COMPUTED_VALUE"""),44162.54166666667)</f>
        <v>44162.54167</v>
      </c>
      <c r="G624" s="22">
        <f>IFERROR(__xludf.DUMMYFUNCTION("""COMPUTED_VALUE"""),24.43)</f>
        <v>24.43</v>
      </c>
      <c r="H624" s="25">
        <f>IFERROR(__xludf.DUMMYFUNCTION("""COMPUTED_VALUE"""),44162.54166666667)</f>
        <v>44162.54167</v>
      </c>
      <c r="I624" s="22">
        <f>IFERROR(__xludf.DUMMYFUNCTION("""COMPUTED_VALUE"""),26.05)</f>
        <v>26.05</v>
      </c>
      <c r="J624" s="25">
        <f>IFERROR(__xludf.DUMMYFUNCTION("""COMPUTED_VALUE"""),44162.54166666667)</f>
        <v>44162.54167</v>
      </c>
      <c r="K624" s="22">
        <f>IFERROR(__xludf.DUMMYFUNCTION("""COMPUTED_VALUE"""),27.03)</f>
        <v>27.03</v>
      </c>
      <c r="M624" s="22" t="str">
        <f t="shared" si="3"/>
        <v/>
      </c>
      <c r="N624" s="22" t="str">
        <f t="shared" si="4"/>
        <v/>
      </c>
    </row>
    <row r="625" ht="15.75" customHeight="1">
      <c r="A625" s="25">
        <f>IFERROR(__xludf.DUMMYFUNCTION("""COMPUTED_VALUE"""),44165.66666666667)</f>
        <v>44165.66667</v>
      </c>
      <c r="B625" s="22">
        <f>IFERROR(__xludf.DUMMYFUNCTION("""COMPUTED_VALUE"""),3621.63)</f>
        <v>3621.63</v>
      </c>
      <c r="C625" s="25">
        <f>IFERROR(__xludf.DUMMYFUNCTION("""COMPUTED_VALUE"""),44165.63611111111)</f>
        <v>44165.63611</v>
      </c>
      <c r="D625" s="22">
        <f>IFERROR(__xludf.DUMMYFUNCTION("""COMPUTED_VALUE"""),20.57)</f>
        <v>20.57</v>
      </c>
      <c r="E625" s="26">
        <f t="shared" si="2"/>
        <v>-0.004595489714</v>
      </c>
      <c r="F625" s="25">
        <f>IFERROR(__xludf.DUMMYFUNCTION("""COMPUTED_VALUE"""),44165.63611111111)</f>
        <v>44165.63611</v>
      </c>
      <c r="G625" s="22">
        <f>IFERROR(__xludf.DUMMYFUNCTION("""COMPUTED_VALUE"""),24.33)</f>
        <v>24.33</v>
      </c>
      <c r="H625" s="25">
        <f>IFERROR(__xludf.DUMMYFUNCTION("""COMPUTED_VALUE"""),44165.63611111111)</f>
        <v>44165.63611</v>
      </c>
      <c r="I625" s="22">
        <f>IFERROR(__xludf.DUMMYFUNCTION("""COMPUTED_VALUE"""),25.97)</f>
        <v>25.97</v>
      </c>
      <c r="J625" s="25">
        <f>IFERROR(__xludf.DUMMYFUNCTION("""COMPUTED_VALUE"""),44165.63611111111)</f>
        <v>44165.63611</v>
      </c>
      <c r="K625" s="22">
        <f>IFERROR(__xludf.DUMMYFUNCTION("""COMPUTED_VALUE"""),26.78)</f>
        <v>26.78</v>
      </c>
      <c r="M625" s="22" t="str">
        <f t="shared" si="3"/>
        <v/>
      </c>
      <c r="N625" s="22" t="str">
        <f t="shared" si="4"/>
        <v/>
      </c>
    </row>
    <row r="626" ht="15.75" customHeight="1">
      <c r="A626" s="25">
        <f>IFERROR(__xludf.DUMMYFUNCTION("""COMPUTED_VALUE"""),44166.66666666667)</f>
        <v>44166.66667</v>
      </c>
      <c r="B626" s="22">
        <f>IFERROR(__xludf.DUMMYFUNCTION("""COMPUTED_VALUE"""),3662.45)</f>
        <v>3662.45</v>
      </c>
      <c r="C626" s="25">
        <f>IFERROR(__xludf.DUMMYFUNCTION("""COMPUTED_VALUE"""),44166.63611111111)</f>
        <v>44166.63611</v>
      </c>
      <c r="D626" s="22">
        <f>IFERROR(__xludf.DUMMYFUNCTION("""COMPUTED_VALUE"""),20.77)</f>
        <v>20.77</v>
      </c>
      <c r="E626" s="26">
        <f t="shared" si="2"/>
        <v>0.01127116795</v>
      </c>
      <c r="F626" s="25">
        <f>IFERROR(__xludf.DUMMYFUNCTION("""COMPUTED_VALUE"""),44166.63611111111)</f>
        <v>44166.63611</v>
      </c>
      <c r="G626" s="22">
        <f>IFERROR(__xludf.DUMMYFUNCTION("""COMPUTED_VALUE"""),24.49)</f>
        <v>24.49</v>
      </c>
      <c r="H626" s="25">
        <f>IFERROR(__xludf.DUMMYFUNCTION("""COMPUTED_VALUE"""),44166.63611111111)</f>
        <v>44166.63611</v>
      </c>
      <c r="I626" s="22">
        <f>IFERROR(__xludf.DUMMYFUNCTION("""COMPUTED_VALUE"""),26.09)</f>
        <v>26.09</v>
      </c>
      <c r="J626" s="25">
        <f>IFERROR(__xludf.DUMMYFUNCTION("""COMPUTED_VALUE"""),44166.63611111111)</f>
        <v>44166.63611</v>
      </c>
      <c r="K626" s="22">
        <f>IFERROR(__xludf.DUMMYFUNCTION("""COMPUTED_VALUE"""),26.95)</f>
        <v>26.95</v>
      </c>
      <c r="M626" s="22" t="str">
        <f t="shared" si="3"/>
        <v/>
      </c>
      <c r="N626" s="22" t="str">
        <f t="shared" si="4"/>
        <v/>
      </c>
    </row>
    <row r="627" ht="15.75" customHeight="1">
      <c r="A627" s="25">
        <f>IFERROR(__xludf.DUMMYFUNCTION("""COMPUTED_VALUE"""),44167.66666666667)</f>
        <v>44167.66667</v>
      </c>
      <c r="B627" s="22">
        <f>IFERROR(__xludf.DUMMYFUNCTION("""COMPUTED_VALUE"""),3669.01)</f>
        <v>3669.01</v>
      </c>
      <c r="C627" s="25">
        <f>IFERROR(__xludf.DUMMYFUNCTION("""COMPUTED_VALUE"""),44167.63611111111)</f>
        <v>44167.63611</v>
      </c>
      <c r="D627" s="22">
        <f>IFERROR(__xludf.DUMMYFUNCTION("""COMPUTED_VALUE"""),21.17)</f>
        <v>21.17</v>
      </c>
      <c r="E627" s="26">
        <f t="shared" si="2"/>
        <v>0.001791150732</v>
      </c>
      <c r="F627" s="25">
        <f>IFERROR(__xludf.DUMMYFUNCTION("""COMPUTED_VALUE"""),44167.63611111111)</f>
        <v>44167.63611</v>
      </c>
      <c r="G627" s="22">
        <f>IFERROR(__xludf.DUMMYFUNCTION("""COMPUTED_VALUE"""),24.54)</f>
        <v>24.54</v>
      </c>
      <c r="H627" s="25">
        <f>IFERROR(__xludf.DUMMYFUNCTION("""COMPUTED_VALUE"""),44167.63611111111)</f>
        <v>44167.63611</v>
      </c>
      <c r="I627" s="22">
        <f>IFERROR(__xludf.DUMMYFUNCTION("""COMPUTED_VALUE"""),26.17)</f>
        <v>26.17</v>
      </c>
      <c r="J627" s="25">
        <f>IFERROR(__xludf.DUMMYFUNCTION("""COMPUTED_VALUE"""),44167.63611111111)</f>
        <v>44167.63611</v>
      </c>
      <c r="K627" s="22">
        <f>IFERROR(__xludf.DUMMYFUNCTION("""COMPUTED_VALUE"""),27.23)</f>
        <v>27.23</v>
      </c>
      <c r="M627" s="22" t="str">
        <f t="shared" si="3"/>
        <v/>
      </c>
      <c r="N627" s="22" t="str">
        <f t="shared" si="4"/>
        <v/>
      </c>
    </row>
    <row r="628" ht="15.75" customHeight="1">
      <c r="A628" s="25">
        <f>IFERROR(__xludf.DUMMYFUNCTION("""COMPUTED_VALUE"""),44168.66666666667)</f>
        <v>44168.66667</v>
      </c>
      <c r="B628" s="22">
        <f>IFERROR(__xludf.DUMMYFUNCTION("""COMPUTED_VALUE"""),3666.72)</f>
        <v>3666.72</v>
      </c>
      <c r="C628" s="25">
        <f>IFERROR(__xludf.DUMMYFUNCTION("""COMPUTED_VALUE"""),44168.63611111111)</f>
        <v>44168.63611</v>
      </c>
      <c r="D628" s="22">
        <f>IFERROR(__xludf.DUMMYFUNCTION("""COMPUTED_VALUE"""),21.28)</f>
        <v>21.28</v>
      </c>
      <c r="E628" s="26">
        <f t="shared" si="2"/>
        <v>-0.0006241465681</v>
      </c>
      <c r="F628" s="25">
        <f>IFERROR(__xludf.DUMMYFUNCTION("""COMPUTED_VALUE"""),44168.63611111111)</f>
        <v>44168.63611</v>
      </c>
      <c r="G628" s="22">
        <f>IFERROR(__xludf.DUMMYFUNCTION("""COMPUTED_VALUE"""),24.56)</f>
        <v>24.56</v>
      </c>
      <c r="H628" s="25">
        <f>IFERROR(__xludf.DUMMYFUNCTION("""COMPUTED_VALUE"""),44168.63611111111)</f>
        <v>44168.63611</v>
      </c>
      <c r="I628" s="22">
        <f>IFERROR(__xludf.DUMMYFUNCTION("""COMPUTED_VALUE"""),26.25)</f>
        <v>26.25</v>
      </c>
      <c r="J628" s="25">
        <f>IFERROR(__xludf.DUMMYFUNCTION("""COMPUTED_VALUE"""),44168.63611111111)</f>
        <v>44168.63611</v>
      </c>
      <c r="K628" s="22">
        <f>IFERROR(__xludf.DUMMYFUNCTION("""COMPUTED_VALUE"""),27.06)</f>
        <v>27.06</v>
      </c>
      <c r="M628" s="22" t="str">
        <f t="shared" si="3"/>
        <v/>
      </c>
      <c r="N628" s="22" t="str">
        <f t="shared" si="4"/>
        <v/>
      </c>
    </row>
    <row r="629" ht="15.75" customHeight="1">
      <c r="A629" s="25">
        <f>IFERROR(__xludf.DUMMYFUNCTION("""COMPUTED_VALUE"""),44169.66666666667)</f>
        <v>44169.66667</v>
      </c>
      <c r="B629" s="22">
        <f>IFERROR(__xludf.DUMMYFUNCTION("""COMPUTED_VALUE"""),3699.12)</f>
        <v>3699.12</v>
      </c>
      <c r="C629" s="25">
        <f>IFERROR(__xludf.DUMMYFUNCTION("""COMPUTED_VALUE"""),44169.63611111111)</f>
        <v>44169.63611</v>
      </c>
      <c r="D629" s="22">
        <f>IFERROR(__xludf.DUMMYFUNCTION("""COMPUTED_VALUE"""),20.79)</f>
        <v>20.79</v>
      </c>
      <c r="E629" s="26">
        <f t="shared" si="2"/>
        <v>0.008836235109</v>
      </c>
      <c r="F629" s="25">
        <f>IFERROR(__xludf.DUMMYFUNCTION("""COMPUTED_VALUE"""),44169.63611111111)</f>
        <v>44169.63611</v>
      </c>
      <c r="G629" s="22">
        <f>IFERROR(__xludf.DUMMYFUNCTION("""COMPUTED_VALUE"""),24.29)</f>
        <v>24.29</v>
      </c>
      <c r="H629" s="25">
        <f>IFERROR(__xludf.DUMMYFUNCTION("""COMPUTED_VALUE"""),44169.63611111111)</f>
        <v>44169.63611</v>
      </c>
      <c r="I629" s="22">
        <f>IFERROR(__xludf.DUMMYFUNCTION("""COMPUTED_VALUE"""),26.08)</f>
        <v>26.08</v>
      </c>
      <c r="J629" s="25">
        <f>IFERROR(__xludf.DUMMYFUNCTION("""COMPUTED_VALUE"""),44169.63611111111)</f>
        <v>44169.63611</v>
      </c>
      <c r="K629" s="22">
        <f>IFERROR(__xludf.DUMMYFUNCTION("""COMPUTED_VALUE"""),27.07)</f>
        <v>27.07</v>
      </c>
      <c r="M629" s="22" t="str">
        <f t="shared" si="3"/>
        <v/>
      </c>
      <c r="N629" s="22" t="str">
        <f t="shared" si="4"/>
        <v/>
      </c>
    </row>
    <row r="630" ht="15.75" customHeight="1">
      <c r="A630" s="25">
        <f>IFERROR(__xludf.DUMMYFUNCTION("""COMPUTED_VALUE"""),44172.66666666667)</f>
        <v>44172.66667</v>
      </c>
      <c r="B630" s="22">
        <f>IFERROR(__xludf.DUMMYFUNCTION("""COMPUTED_VALUE"""),3691.96)</f>
        <v>3691.96</v>
      </c>
      <c r="C630" s="25">
        <f>IFERROR(__xludf.DUMMYFUNCTION("""COMPUTED_VALUE"""),44172.63611111111)</f>
        <v>44172.63611</v>
      </c>
      <c r="D630" s="22">
        <f>IFERROR(__xludf.DUMMYFUNCTION("""COMPUTED_VALUE"""),21.3)</f>
        <v>21.3</v>
      </c>
      <c r="E630" s="26">
        <f t="shared" si="2"/>
        <v>-0.001935595493</v>
      </c>
      <c r="F630" s="25">
        <f>IFERROR(__xludf.DUMMYFUNCTION("""COMPUTED_VALUE"""),44172.63611111111)</f>
        <v>44172.63611</v>
      </c>
      <c r="G630" s="22">
        <f>IFERROR(__xludf.DUMMYFUNCTION("""COMPUTED_VALUE"""),24.52)</f>
        <v>24.52</v>
      </c>
      <c r="H630" s="25">
        <f>IFERROR(__xludf.DUMMYFUNCTION("""COMPUTED_VALUE"""),44172.63611111111)</f>
        <v>44172.63611</v>
      </c>
      <c r="I630" s="22">
        <f>IFERROR(__xludf.DUMMYFUNCTION("""COMPUTED_VALUE"""),26.32)</f>
        <v>26.32</v>
      </c>
      <c r="J630" s="25">
        <f>IFERROR(__xludf.DUMMYFUNCTION("""COMPUTED_VALUE"""),44172.63611111111)</f>
        <v>44172.63611</v>
      </c>
      <c r="K630" s="22">
        <f>IFERROR(__xludf.DUMMYFUNCTION("""COMPUTED_VALUE"""),27.18)</f>
        <v>27.18</v>
      </c>
      <c r="M630" s="22" t="str">
        <f t="shared" si="3"/>
        <v/>
      </c>
      <c r="N630" s="22" t="str">
        <f t="shared" si="4"/>
        <v/>
      </c>
    </row>
    <row r="631" ht="15.75" customHeight="1">
      <c r="A631" s="25">
        <f>IFERROR(__xludf.DUMMYFUNCTION("""COMPUTED_VALUE"""),44173.66666666667)</f>
        <v>44173.66667</v>
      </c>
      <c r="B631" s="22">
        <f>IFERROR(__xludf.DUMMYFUNCTION("""COMPUTED_VALUE"""),3702.25)</f>
        <v>3702.25</v>
      </c>
      <c r="C631" s="25">
        <f>IFERROR(__xludf.DUMMYFUNCTION("""COMPUTED_VALUE"""),44173.63611111111)</f>
        <v>44173.63611</v>
      </c>
      <c r="D631" s="22">
        <f>IFERROR(__xludf.DUMMYFUNCTION("""COMPUTED_VALUE"""),20.68)</f>
        <v>20.68</v>
      </c>
      <c r="E631" s="26">
        <f t="shared" si="2"/>
        <v>0.002787137455</v>
      </c>
      <c r="F631" s="25">
        <f>IFERROR(__xludf.DUMMYFUNCTION("""COMPUTED_VALUE"""),44173.63611111111)</f>
        <v>44173.63611</v>
      </c>
      <c r="G631" s="22">
        <f>IFERROR(__xludf.DUMMYFUNCTION("""COMPUTED_VALUE"""),23.87)</f>
        <v>23.87</v>
      </c>
      <c r="H631" s="25">
        <f>IFERROR(__xludf.DUMMYFUNCTION("""COMPUTED_VALUE"""),44173.63611111111)</f>
        <v>44173.63611</v>
      </c>
      <c r="I631" s="22">
        <f>IFERROR(__xludf.DUMMYFUNCTION("""COMPUTED_VALUE"""),25.89)</f>
        <v>25.89</v>
      </c>
      <c r="J631" s="25">
        <f>IFERROR(__xludf.DUMMYFUNCTION("""COMPUTED_VALUE"""),44173.63611111111)</f>
        <v>44173.63611</v>
      </c>
      <c r="K631" s="22">
        <f>IFERROR(__xludf.DUMMYFUNCTION("""COMPUTED_VALUE"""),26.88)</f>
        <v>26.88</v>
      </c>
      <c r="M631" s="22" t="str">
        <f t="shared" si="3"/>
        <v/>
      </c>
      <c r="N631" s="22" t="str">
        <f t="shared" si="4"/>
        <v/>
      </c>
    </row>
    <row r="632" ht="15.75" customHeight="1">
      <c r="A632" s="25">
        <f>IFERROR(__xludf.DUMMYFUNCTION("""COMPUTED_VALUE"""),44174.66666666667)</f>
        <v>44174.66667</v>
      </c>
      <c r="B632" s="22">
        <f>IFERROR(__xludf.DUMMYFUNCTION("""COMPUTED_VALUE"""),3672.82)</f>
        <v>3672.82</v>
      </c>
      <c r="C632" s="25">
        <f>IFERROR(__xludf.DUMMYFUNCTION("""COMPUTED_VALUE"""),44174.63611111111)</f>
        <v>44174.63611</v>
      </c>
      <c r="D632" s="22">
        <f>IFERROR(__xludf.DUMMYFUNCTION("""COMPUTED_VALUE"""),22.27)</f>
        <v>22.27</v>
      </c>
      <c r="E632" s="26">
        <f t="shared" si="2"/>
        <v>-0.007949220069</v>
      </c>
      <c r="F632" s="25">
        <f>IFERROR(__xludf.DUMMYFUNCTION("""COMPUTED_VALUE"""),44174.63611111111)</f>
        <v>44174.63611</v>
      </c>
      <c r="G632" s="22">
        <f>IFERROR(__xludf.DUMMYFUNCTION("""COMPUTED_VALUE"""),24.73)</f>
        <v>24.73</v>
      </c>
      <c r="H632" s="25">
        <f>IFERROR(__xludf.DUMMYFUNCTION("""COMPUTED_VALUE"""),44174.63611111111)</f>
        <v>44174.63611</v>
      </c>
      <c r="I632" s="22">
        <f>IFERROR(__xludf.DUMMYFUNCTION("""COMPUTED_VALUE"""),26.55)</f>
        <v>26.55</v>
      </c>
      <c r="J632" s="25">
        <f>IFERROR(__xludf.DUMMYFUNCTION("""COMPUTED_VALUE"""),44174.63611111111)</f>
        <v>44174.63611</v>
      </c>
      <c r="K632" s="22">
        <f>IFERROR(__xludf.DUMMYFUNCTION("""COMPUTED_VALUE"""),27.29)</f>
        <v>27.29</v>
      </c>
      <c r="M632" s="22" t="str">
        <f t="shared" si="3"/>
        <v/>
      </c>
      <c r="N632" s="22" t="str">
        <f t="shared" si="4"/>
        <v/>
      </c>
    </row>
    <row r="633" ht="15.75" customHeight="1">
      <c r="A633" s="25">
        <f>IFERROR(__xludf.DUMMYFUNCTION("""COMPUTED_VALUE"""),44175.66666666667)</f>
        <v>44175.66667</v>
      </c>
      <c r="B633" s="22">
        <f>IFERROR(__xludf.DUMMYFUNCTION("""COMPUTED_VALUE"""),3668.1)</f>
        <v>3668.1</v>
      </c>
      <c r="C633" s="25">
        <f>IFERROR(__xludf.DUMMYFUNCTION("""COMPUTED_VALUE"""),44175.63611111111)</f>
        <v>44175.63611</v>
      </c>
      <c r="D633" s="22">
        <f>IFERROR(__xludf.DUMMYFUNCTION("""COMPUTED_VALUE"""),22.52)</f>
        <v>22.52</v>
      </c>
      <c r="E633" s="26">
        <f t="shared" si="2"/>
        <v>-0.001285116069</v>
      </c>
      <c r="F633" s="25">
        <f>IFERROR(__xludf.DUMMYFUNCTION("""COMPUTED_VALUE"""),44175.63611111111)</f>
        <v>44175.63611</v>
      </c>
      <c r="G633" s="22">
        <f>IFERROR(__xludf.DUMMYFUNCTION("""COMPUTED_VALUE"""),25.05)</f>
        <v>25.05</v>
      </c>
      <c r="H633" s="25">
        <f>IFERROR(__xludf.DUMMYFUNCTION("""COMPUTED_VALUE"""),44175.63611111111)</f>
        <v>44175.63611</v>
      </c>
      <c r="I633" s="22">
        <f>IFERROR(__xludf.DUMMYFUNCTION("""COMPUTED_VALUE"""),26.92)</f>
        <v>26.92</v>
      </c>
      <c r="J633" s="25">
        <f>IFERROR(__xludf.DUMMYFUNCTION("""COMPUTED_VALUE"""),44175.63611111111)</f>
        <v>44175.63611</v>
      </c>
      <c r="K633" s="22">
        <f>IFERROR(__xludf.DUMMYFUNCTION("""COMPUTED_VALUE"""),27.54)</f>
        <v>27.54</v>
      </c>
      <c r="M633" s="22" t="str">
        <f t="shared" si="3"/>
        <v/>
      </c>
      <c r="N633" s="22" t="str">
        <f t="shared" si="4"/>
        <v/>
      </c>
    </row>
    <row r="634" ht="15.75" customHeight="1">
      <c r="A634" s="25">
        <f>IFERROR(__xludf.DUMMYFUNCTION("""COMPUTED_VALUE"""),44176.66666666667)</f>
        <v>44176.66667</v>
      </c>
      <c r="B634" s="22">
        <f>IFERROR(__xludf.DUMMYFUNCTION("""COMPUTED_VALUE"""),3663.46)</f>
        <v>3663.46</v>
      </c>
      <c r="C634" s="25">
        <f>IFERROR(__xludf.DUMMYFUNCTION("""COMPUTED_VALUE"""),44176.63611111111)</f>
        <v>44176.63611</v>
      </c>
      <c r="D634" s="22">
        <f>IFERROR(__xludf.DUMMYFUNCTION("""COMPUTED_VALUE"""),23.31)</f>
        <v>23.31</v>
      </c>
      <c r="E634" s="26">
        <f t="shared" si="2"/>
        <v>-0.001264960061</v>
      </c>
      <c r="F634" s="25">
        <f>IFERROR(__xludf.DUMMYFUNCTION("""COMPUTED_VALUE"""),44176.63611111111)</f>
        <v>44176.63611</v>
      </c>
      <c r="G634" s="22">
        <f>IFERROR(__xludf.DUMMYFUNCTION("""COMPUTED_VALUE"""),26.05)</f>
        <v>26.05</v>
      </c>
      <c r="H634" s="25">
        <f>IFERROR(__xludf.DUMMYFUNCTION("""COMPUTED_VALUE"""),44176.63611111111)</f>
        <v>44176.63611</v>
      </c>
      <c r="I634" s="22">
        <f>IFERROR(__xludf.DUMMYFUNCTION("""COMPUTED_VALUE"""),27.68)</f>
        <v>27.68</v>
      </c>
      <c r="J634" s="25">
        <f>IFERROR(__xludf.DUMMYFUNCTION("""COMPUTED_VALUE"""),44176.63611111111)</f>
        <v>44176.63611</v>
      </c>
      <c r="K634" s="22">
        <f>IFERROR(__xludf.DUMMYFUNCTION("""COMPUTED_VALUE"""),28.03)</f>
        <v>28.03</v>
      </c>
      <c r="M634" s="22" t="str">
        <f t="shared" si="3"/>
        <v/>
      </c>
      <c r="N634" s="22" t="str">
        <f t="shared" si="4"/>
        <v/>
      </c>
    </row>
    <row r="635" ht="15.75" customHeight="1">
      <c r="A635" s="25">
        <f>IFERROR(__xludf.DUMMYFUNCTION("""COMPUTED_VALUE"""),44179.66666666667)</f>
        <v>44179.66667</v>
      </c>
      <c r="B635" s="22">
        <f>IFERROR(__xludf.DUMMYFUNCTION("""COMPUTED_VALUE"""),3647.49)</f>
        <v>3647.49</v>
      </c>
      <c r="C635" s="25">
        <f>IFERROR(__xludf.DUMMYFUNCTION("""COMPUTED_VALUE"""),44179.63611111111)</f>
        <v>44179.63611</v>
      </c>
      <c r="D635" s="22">
        <f>IFERROR(__xludf.DUMMYFUNCTION("""COMPUTED_VALUE"""),24.72)</f>
        <v>24.72</v>
      </c>
      <c r="E635" s="26">
        <f t="shared" si="2"/>
        <v>-0.004359266923</v>
      </c>
      <c r="F635" s="25">
        <f>IFERROR(__xludf.DUMMYFUNCTION("""COMPUTED_VALUE"""),44179.63611111111)</f>
        <v>44179.63611</v>
      </c>
      <c r="G635" s="22">
        <f>IFERROR(__xludf.DUMMYFUNCTION("""COMPUTED_VALUE"""),27.11)</f>
        <v>27.11</v>
      </c>
      <c r="H635" s="25">
        <f>IFERROR(__xludf.DUMMYFUNCTION("""COMPUTED_VALUE"""),44179.63611111111)</f>
        <v>44179.63611</v>
      </c>
      <c r="I635" s="22">
        <f>IFERROR(__xludf.DUMMYFUNCTION("""COMPUTED_VALUE"""),28.73)</f>
        <v>28.73</v>
      </c>
      <c r="J635" s="25">
        <f>IFERROR(__xludf.DUMMYFUNCTION("""COMPUTED_VALUE"""),44179.63611111111)</f>
        <v>44179.63611</v>
      </c>
      <c r="K635" s="22">
        <f>IFERROR(__xludf.DUMMYFUNCTION("""COMPUTED_VALUE"""),28.56)</f>
        <v>28.56</v>
      </c>
      <c r="M635" s="22" t="str">
        <f t="shared" si="3"/>
        <v/>
      </c>
      <c r="N635" s="22" t="str">
        <f t="shared" si="4"/>
        <v/>
      </c>
    </row>
    <row r="636" ht="15.75" customHeight="1">
      <c r="A636" s="25">
        <f>IFERROR(__xludf.DUMMYFUNCTION("""COMPUTED_VALUE"""),44180.66666666667)</f>
        <v>44180.66667</v>
      </c>
      <c r="B636" s="22">
        <f>IFERROR(__xludf.DUMMYFUNCTION("""COMPUTED_VALUE"""),3694.62)</f>
        <v>3694.62</v>
      </c>
      <c r="C636" s="25">
        <f>IFERROR(__xludf.DUMMYFUNCTION("""COMPUTED_VALUE"""),44180.63611111111)</f>
        <v>44180.63611</v>
      </c>
      <c r="D636" s="22">
        <f>IFERROR(__xludf.DUMMYFUNCTION("""COMPUTED_VALUE"""),22.89)</f>
        <v>22.89</v>
      </c>
      <c r="E636" s="26">
        <f t="shared" si="2"/>
        <v>0.01292121431</v>
      </c>
      <c r="F636" s="25">
        <f>IFERROR(__xludf.DUMMYFUNCTION("""COMPUTED_VALUE"""),44180.63611111111)</f>
        <v>44180.63611</v>
      </c>
      <c r="G636" s="22">
        <f>IFERROR(__xludf.DUMMYFUNCTION("""COMPUTED_VALUE"""),25.87)</f>
        <v>25.87</v>
      </c>
      <c r="H636" s="25">
        <f>IFERROR(__xludf.DUMMYFUNCTION("""COMPUTED_VALUE"""),44180.63611111111)</f>
        <v>44180.63611</v>
      </c>
      <c r="I636" s="22">
        <f>IFERROR(__xludf.DUMMYFUNCTION("""COMPUTED_VALUE"""),27.49)</f>
        <v>27.49</v>
      </c>
      <c r="J636" s="25">
        <f>IFERROR(__xludf.DUMMYFUNCTION("""COMPUTED_VALUE"""),44180.63611111111)</f>
        <v>44180.63611</v>
      </c>
      <c r="K636" s="22">
        <f>IFERROR(__xludf.DUMMYFUNCTION("""COMPUTED_VALUE"""),28.1)</f>
        <v>28.1</v>
      </c>
      <c r="M636" s="22" t="str">
        <f t="shared" si="3"/>
        <v/>
      </c>
      <c r="N636" s="22" t="str">
        <f t="shared" si="4"/>
        <v/>
      </c>
    </row>
    <row r="637" ht="15.75" customHeight="1">
      <c r="A637" s="25">
        <f>IFERROR(__xludf.DUMMYFUNCTION("""COMPUTED_VALUE"""),44181.66666666667)</f>
        <v>44181.66667</v>
      </c>
      <c r="B637" s="22">
        <f>IFERROR(__xludf.DUMMYFUNCTION("""COMPUTED_VALUE"""),3701.17)</f>
        <v>3701.17</v>
      </c>
      <c r="C637" s="25">
        <f>IFERROR(__xludf.DUMMYFUNCTION("""COMPUTED_VALUE"""),44181.63611111111)</f>
        <v>44181.63611</v>
      </c>
      <c r="D637" s="22">
        <f>IFERROR(__xludf.DUMMYFUNCTION("""COMPUTED_VALUE"""),22.5)</f>
        <v>22.5</v>
      </c>
      <c r="E637" s="26">
        <f t="shared" si="2"/>
        <v>0.001772848087</v>
      </c>
      <c r="F637" s="25">
        <f>IFERROR(__xludf.DUMMYFUNCTION("""COMPUTED_VALUE"""),44181.63611111111)</f>
        <v>44181.63611</v>
      </c>
      <c r="G637" s="22">
        <f>IFERROR(__xludf.DUMMYFUNCTION("""COMPUTED_VALUE"""),25.47)</f>
        <v>25.47</v>
      </c>
      <c r="H637" s="25">
        <f>IFERROR(__xludf.DUMMYFUNCTION("""COMPUTED_VALUE"""),44181.63611111111)</f>
        <v>44181.63611</v>
      </c>
      <c r="I637" s="22">
        <f>IFERROR(__xludf.DUMMYFUNCTION("""COMPUTED_VALUE"""),27.21)</f>
        <v>27.21</v>
      </c>
      <c r="J637" s="25">
        <f>IFERROR(__xludf.DUMMYFUNCTION("""COMPUTED_VALUE"""),44181.63611111111)</f>
        <v>44181.63611</v>
      </c>
      <c r="K637" s="22">
        <f>IFERROR(__xludf.DUMMYFUNCTION("""COMPUTED_VALUE"""),27.86)</f>
        <v>27.86</v>
      </c>
      <c r="M637" s="22" t="str">
        <f t="shared" si="3"/>
        <v/>
      </c>
      <c r="N637" s="22" t="str">
        <f t="shared" si="4"/>
        <v/>
      </c>
    </row>
    <row r="638" ht="15.75" customHeight="1">
      <c r="A638" s="25">
        <f>IFERROR(__xludf.DUMMYFUNCTION("""COMPUTED_VALUE"""),44182.66666666667)</f>
        <v>44182.66667</v>
      </c>
      <c r="B638" s="22">
        <f>IFERROR(__xludf.DUMMYFUNCTION("""COMPUTED_VALUE"""),3722.48)</f>
        <v>3722.48</v>
      </c>
      <c r="C638" s="25">
        <f>IFERROR(__xludf.DUMMYFUNCTION("""COMPUTED_VALUE"""),44182.63611111111)</f>
        <v>44182.63611</v>
      </c>
      <c r="D638" s="22">
        <f>IFERROR(__xludf.DUMMYFUNCTION("""COMPUTED_VALUE"""),21.93)</f>
        <v>21.93</v>
      </c>
      <c r="E638" s="26">
        <f t="shared" si="2"/>
        <v>0.005757638801</v>
      </c>
      <c r="F638" s="25">
        <f>IFERROR(__xludf.DUMMYFUNCTION("""COMPUTED_VALUE"""),44182.63611111111)</f>
        <v>44182.63611</v>
      </c>
      <c r="G638" s="22">
        <f>IFERROR(__xludf.DUMMYFUNCTION("""COMPUTED_VALUE"""),25.15)</f>
        <v>25.15</v>
      </c>
      <c r="H638" s="25">
        <f>IFERROR(__xludf.DUMMYFUNCTION("""COMPUTED_VALUE"""),44182.63611111111)</f>
        <v>44182.63611</v>
      </c>
      <c r="I638" s="22">
        <f>IFERROR(__xludf.DUMMYFUNCTION("""COMPUTED_VALUE"""),27.05)</f>
        <v>27.05</v>
      </c>
      <c r="J638" s="25">
        <f>IFERROR(__xludf.DUMMYFUNCTION("""COMPUTED_VALUE"""),44182.63611111111)</f>
        <v>44182.63611</v>
      </c>
      <c r="K638" s="22">
        <f>IFERROR(__xludf.DUMMYFUNCTION("""COMPUTED_VALUE"""),27.81)</f>
        <v>27.81</v>
      </c>
      <c r="M638" s="22" t="str">
        <f t="shared" si="3"/>
        <v/>
      </c>
      <c r="N638" s="22" t="str">
        <f t="shared" si="4"/>
        <v/>
      </c>
    </row>
    <row r="639" ht="15.75" customHeight="1">
      <c r="A639" s="25">
        <f>IFERROR(__xludf.DUMMYFUNCTION("""COMPUTED_VALUE"""),44183.66666666667)</f>
        <v>44183.66667</v>
      </c>
      <c r="B639" s="22">
        <f>IFERROR(__xludf.DUMMYFUNCTION("""COMPUTED_VALUE"""),3709.41)</f>
        <v>3709.41</v>
      </c>
      <c r="C639" s="25">
        <f>IFERROR(__xludf.DUMMYFUNCTION("""COMPUTED_VALUE"""),44183.63611111111)</f>
        <v>44183.63611</v>
      </c>
      <c r="D639" s="22">
        <f>IFERROR(__xludf.DUMMYFUNCTION("""COMPUTED_VALUE"""),21.57)</f>
        <v>21.57</v>
      </c>
      <c r="E639" s="26">
        <f t="shared" si="2"/>
        <v>-0.003511100127</v>
      </c>
      <c r="F639" s="25">
        <f>IFERROR(__xludf.DUMMYFUNCTION("""COMPUTED_VALUE"""),44183.63611111111)</f>
        <v>44183.63611</v>
      </c>
      <c r="G639" s="22">
        <f>IFERROR(__xludf.DUMMYFUNCTION("""COMPUTED_VALUE"""),25.17)</f>
        <v>25.17</v>
      </c>
      <c r="H639" s="25">
        <f>IFERROR(__xludf.DUMMYFUNCTION("""COMPUTED_VALUE"""),44183.63611111111)</f>
        <v>44183.63611</v>
      </c>
      <c r="I639" s="22">
        <f>IFERROR(__xludf.DUMMYFUNCTION("""COMPUTED_VALUE"""),27.22)</f>
        <v>27.22</v>
      </c>
      <c r="J639" s="25">
        <f>IFERROR(__xludf.DUMMYFUNCTION("""COMPUTED_VALUE"""),44183.63611111111)</f>
        <v>44183.63611</v>
      </c>
      <c r="K639" s="22">
        <f>IFERROR(__xludf.DUMMYFUNCTION("""COMPUTED_VALUE"""),27.88)</f>
        <v>27.88</v>
      </c>
      <c r="M639" s="22" t="str">
        <f t="shared" si="3"/>
        <v/>
      </c>
      <c r="N639" s="22" t="str">
        <f t="shared" si="4"/>
        <v/>
      </c>
    </row>
    <row r="640" ht="15.75" customHeight="1">
      <c r="A640" s="25">
        <f>IFERROR(__xludf.DUMMYFUNCTION("""COMPUTED_VALUE"""),44186.66666666667)</f>
        <v>44186.66667</v>
      </c>
      <c r="B640" s="22">
        <f>IFERROR(__xludf.DUMMYFUNCTION("""COMPUTED_VALUE"""),3694.92)</f>
        <v>3694.92</v>
      </c>
      <c r="C640" s="25">
        <f>IFERROR(__xludf.DUMMYFUNCTION("""COMPUTED_VALUE"""),44186.63611111111)</f>
        <v>44186.63611</v>
      </c>
      <c r="D640" s="22">
        <f>IFERROR(__xludf.DUMMYFUNCTION("""COMPUTED_VALUE"""),25.16)</f>
        <v>25.16</v>
      </c>
      <c r="E640" s="26">
        <f t="shared" si="2"/>
        <v>-0.003906281592</v>
      </c>
      <c r="F640" s="25">
        <f>IFERROR(__xludf.DUMMYFUNCTION("""COMPUTED_VALUE"""),44186.63611111111)</f>
        <v>44186.63611</v>
      </c>
      <c r="G640" s="22">
        <f>IFERROR(__xludf.DUMMYFUNCTION("""COMPUTED_VALUE"""),27.58)</f>
        <v>27.58</v>
      </c>
      <c r="H640" s="25">
        <f>IFERROR(__xludf.DUMMYFUNCTION("""COMPUTED_VALUE"""),44186.63611111111)</f>
        <v>44186.63611</v>
      </c>
      <c r="I640" s="22">
        <f>IFERROR(__xludf.DUMMYFUNCTION("""COMPUTED_VALUE"""),28.7)</f>
        <v>28.7</v>
      </c>
      <c r="J640" s="25">
        <f>IFERROR(__xludf.DUMMYFUNCTION("""COMPUTED_VALUE"""),44186.63611111111)</f>
        <v>44186.63611</v>
      </c>
      <c r="K640" s="22">
        <f>IFERROR(__xludf.DUMMYFUNCTION("""COMPUTED_VALUE"""),28.81)</f>
        <v>28.81</v>
      </c>
      <c r="M640" s="22" t="str">
        <f t="shared" si="3"/>
        <v/>
      </c>
      <c r="N640" s="22" t="str">
        <f t="shared" si="4"/>
        <v>PREDICT CRASH</v>
      </c>
    </row>
    <row r="641" ht="15.75" customHeight="1">
      <c r="A641" s="25">
        <f>IFERROR(__xludf.DUMMYFUNCTION("""COMPUTED_VALUE"""),44187.66666666667)</f>
        <v>44187.66667</v>
      </c>
      <c r="B641" s="22">
        <f>IFERROR(__xludf.DUMMYFUNCTION("""COMPUTED_VALUE"""),3687.26)</f>
        <v>3687.26</v>
      </c>
      <c r="C641" s="25">
        <f>IFERROR(__xludf.DUMMYFUNCTION("""COMPUTED_VALUE"""),44187.63611111111)</f>
        <v>44187.63611</v>
      </c>
      <c r="D641" s="22">
        <f>IFERROR(__xludf.DUMMYFUNCTION("""COMPUTED_VALUE"""),24.23)</f>
        <v>24.23</v>
      </c>
      <c r="E641" s="26">
        <f t="shared" si="2"/>
        <v>-0.002073116603</v>
      </c>
      <c r="F641" s="25">
        <f>IFERROR(__xludf.DUMMYFUNCTION("""COMPUTED_VALUE"""),44187.63611111111)</f>
        <v>44187.63611</v>
      </c>
      <c r="G641" s="22">
        <f>IFERROR(__xludf.DUMMYFUNCTION("""COMPUTED_VALUE"""),27.25)</f>
        <v>27.25</v>
      </c>
      <c r="H641" s="25">
        <f>IFERROR(__xludf.DUMMYFUNCTION("""COMPUTED_VALUE"""),44187.63611111111)</f>
        <v>44187.63611</v>
      </c>
      <c r="I641" s="22">
        <f>IFERROR(__xludf.DUMMYFUNCTION("""COMPUTED_VALUE"""),28.63)</f>
        <v>28.63</v>
      </c>
      <c r="J641" s="25">
        <f>IFERROR(__xludf.DUMMYFUNCTION("""COMPUTED_VALUE"""),44187.63611111111)</f>
        <v>44187.63611</v>
      </c>
      <c r="K641" s="22">
        <f>IFERROR(__xludf.DUMMYFUNCTION("""COMPUTED_VALUE"""),28.72)</f>
        <v>28.72</v>
      </c>
      <c r="M641" s="22" t="str">
        <f t="shared" si="3"/>
        <v/>
      </c>
      <c r="N641" s="22" t="str">
        <f t="shared" si="4"/>
        <v/>
      </c>
    </row>
    <row r="642" ht="15.75" customHeight="1">
      <c r="A642" s="25">
        <f>IFERROR(__xludf.DUMMYFUNCTION("""COMPUTED_VALUE"""),44188.66666666667)</f>
        <v>44188.66667</v>
      </c>
      <c r="B642" s="22">
        <f>IFERROR(__xludf.DUMMYFUNCTION("""COMPUTED_VALUE"""),3690.01)</f>
        <v>3690.01</v>
      </c>
      <c r="C642" s="25">
        <f>IFERROR(__xludf.DUMMYFUNCTION("""COMPUTED_VALUE"""),44188.63611111111)</f>
        <v>44188.63611</v>
      </c>
      <c r="D642" s="22">
        <f>IFERROR(__xludf.DUMMYFUNCTION("""COMPUTED_VALUE"""),23.31)</f>
        <v>23.31</v>
      </c>
      <c r="E642" s="26">
        <f t="shared" si="2"/>
        <v>0.0007458112528</v>
      </c>
      <c r="F642" s="25">
        <f>IFERROR(__xludf.DUMMYFUNCTION("""COMPUTED_VALUE"""),44188.63611111111)</f>
        <v>44188.63611</v>
      </c>
      <c r="G642" s="22">
        <f>IFERROR(__xludf.DUMMYFUNCTION("""COMPUTED_VALUE"""),26.26)</f>
        <v>26.26</v>
      </c>
      <c r="H642" s="25">
        <f>IFERROR(__xludf.DUMMYFUNCTION("""COMPUTED_VALUE"""),44188.63611111111)</f>
        <v>44188.63611</v>
      </c>
      <c r="I642" s="22">
        <f>IFERROR(__xludf.DUMMYFUNCTION("""COMPUTED_VALUE"""),27.96)</f>
        <v>27.96</v>
      </c>
      <c r="J642" s="25">
        <f>IFERROR(__xludf.DUMMYFUNCTION("""COMPUTED_VALUE"""),44188.63611111111)</f>
        <v>44188.63611</v>
      </c>
      <c r="K642" s="22">
        <f>IFERROR(__xludf.DUMMYFUNCTION("""COMPUTED_VALUE"""),28.28)</f>
        <v>28.28</v>
      </c>
      <c r="M642" s="22" t="str">
        <f t="shared" si="3"/>
        <v/>
      </c>
      <c r="N642" s="22" t="str">
        <f t="shared" si="4"/>
        <v/>
      </c>
    </row>
    <row r="643" ht="15.75" customHeight="1">
      <c r="A643" s="25">
        <f>IFERROR(__xludf.DUMMYFUNCTION("""COMPUTED_VALUE"""),44193.66666666667)</f>
        <v>44193.66667</v>
      </c>
      <c r="B643" s="22">
        <f>IFERROR(__xludf.DUMMYFUNCTION("""COMPUTED_VALUE"""),3735.36)</f>
        <v>3735.36</v>
      </c>
      <c r="C643" s="25">
        <f>IFERROR(__xludf.DUMMYFUNCTION("""COMPUTED_VALUE"""),44193.63611111111)</f>
        <v>44193.63611</v>
      </c>
      <c r="D643" s="22">
        <f>IFERROR(__xludf.DUMMYFUNCTION("""COMPUTED_VALUE"""),21.7)</f>
        <v>21.7</v>
      </c>
      <c r="E643" s="26">
        <f t="shared" si="2"/>
        <v>0.01228993959</v>
      </c>
      <c r="F643" s="25">
        <f>IFERROR(__xludf.DUMMYFUNCTION("""COMPUTED_VALUE"""),44193.63611111111)</f>
        <v>44193.63611</v>
      </c>
      <c r="G643" s="22">
        <f>IFERROR(__xludf.DUMMYFUNCTION("""COMPUTED_VALUE"""),25.15)</f>
        <v>25.15</v>
      </c>
      <c r="H643" s="25">
        <f>IFERROR(__xludf.DUMMYFUNCTION("""COMPUTED_VALUE"""),44193.63611111111)</f>
        <v>44193.63611</v>
      </c>
      <c r="I643" s="22">
        <f>IFERROR(__xludf.DUMMYFUNCTION("""COMPUTED_VALUE"""),27.16)</f>
        <v>27.16</v>
      </c>
      <c r="J643" s="25">
        <f>IFERROR(__xludf.DUMMYFUNCTION("""COMPUTED_VALUE"""),44193.63611111111)</f>
        <v>44193.63611</v>
      </c>
      <c r="K643" s="22">
        <f>IFERROR(__xludf.DUMMYFUNCTION("""COMPUTED_VALUE"""),27.56)</f>
        <v>27.56</v>
      </c>
      <c r="M643" s="22" t="str">
        <f t="shared" si="3"/>
        <v/>
      </c>
      <c r="N643" s="22" t="str">
        <f t="shared" si="4"/>
        <v/>
      </c>
    </row>
    <row r="644" ht="15.75" customHeight="1">
      <c r="A644" s="25">
        <f>IFERROR(__xludf.DUMMYFUNCTION("""COMPUTED_VALUE"""),44194.66666666667)</f>
        <v>44194.66667</v>
      </c>
      <c r="B644" s="22">
        <f>IFERROR(__xludf.DUMMYFUNCTION("""COMPUTED_VALUE"""),3727.04)</f>
        <v>3727.04</v>
      </c>
      <c r="C644" s="25">
        <f>IFERROR(__xludf.DUMMYFUNCTION("""COMPUTED_VALUE"""),44194.63611111111)</f>
        <v>44194.63611</v>
      </c>
      <c r="D644" s="22">
        <f>IFERROR(__xludf.DUMMYFUNCTION("""COMPUTED_VALUE"""),23.08)</f>
        <v>23.08</v>
      </c>
      <c r="E644" s="26">
        <f t="shared" si="2"/>
        <v>-0.002227362289</v>
      </c>
      <c r="F644" s="25">
        <f>IFERROR(__xludf.DUMMYFUNCTION("""COMPUTED_VALUE"""),44194.63611111111)</f>
        <v>44194.63611</v>
      </c>
      <c r="G644" s="22">
        <f>IFERROR(__xludf.DUMMYFUNCTION("""COMPUTED_VALUE"""),26.24)</f>
        <v>26.24</v>
      </c>
      <c r="H644" s="25">
        <f>IFERROR(__xludf.DUMMYFUNCTION("""COMPUTED_VALUE"""),44194.63611111111)</f>
        <v>44194.63611</v>
      </c>
      <c r="I644" s="22">
        <f>IFERROR(__xludf.DUMMYFUNCTION("""COMPUTED_VALUE"""),28.09)</f>
        <v>28.09</v>
      </c>
      <c r="J644" s="25">
        <f>IFERROR(__xludf.DUMMYFUNCTION("""COMPUTED_VALUE"""),44194.63611111111)</f>
        <v>44194.63611</v>
      </c>
      <c r="K644" s="22">
        <f>IFERROR(__xludf.DUMMYFUNCTION("""COMPUTED_VALUE"""),28.19)</f>
        <v>28.19</v>
      </c>
      <c r="M644" s="22" t="str">
        <f t="shared" si="3"/>
        <v/>
      </c>
      <c r="N644" s="22" t="str">
        <f t="shared" si="4"/>
        <v/>
      </c>
    </row>
    <row r="645" ht="15.75" customHeight="1">
      <c r="A645" s="25">
        <f>IFERROR(__xludf.DUMMYFUNCTION("""COMPUTED_VALUE"""),44195.66666666667)</f>
        <v>44195.66667</v>
      </c>
      <c r="B645" s="22">
        <f>IFERROR(__xludf.DUMMYFUNCTION("""COMPUTED_VALUE"""),3732.04)</f>
        <v>3732.04</v>
      </c>
      <c r="C645" s="25">
        <f>IFERROR(__xludf.DUMMYFUNCTION("""COMPUTED_VALUE"""),44195.63611111111)</f>
        <v>44195.63611</v>
      </c>
      <c r="D645" s="22">
        <f>IFERROR(__xludf.DUMMYFUNCTION("""COMPUTED_VALUE"""),22.77)</f>
        <v>22.77</v>
      </c>
      <c r="E645" s="26">
        <f t="shared" si="2"/>
        <v>0.00134154718</v>
      </c>
      <c r="F645" s="25">
        <f>IFERROR(__xludf.DUMMYFUNCTION("""COMPUTED_VALUE"""),44195.63611111111)</f>
        <v>44195.63611</v>
      </c>
      <c r="G645" s="22">
        <f>IFERROR(__xludf.DUMMYFUNCTION("""COMPUTED_VALUE"""),25.44)</f>
        <v>25.44</v>
      </c>
      <c r="H645" s="25">
        <f>IFERROR(__xludf.DUMMYFUNCTION("""COMPUTED_VALUE"""),44195.63611111111)</f>
        <v>44195.63611</v>
      </c>
      <c r="I645" s="22">
        <f>IFERROR(__xludf.DUMMYFUNCTION("""COMPUTED_VALUE"""),27.5)</f>
        <v>27.5</v>
      </c>
      <c r="J645" s="25">
        <f>IFERROR(__xludf.DUMMYFUNCTION("""COMPUTED_VALUE"""),44195.63611111111)</f>
        <v>44195.63611</v>
      </c>
      <c r="K645" s="22">
        <f>IFERROR(__xludf.DUMMYFUNCTION("""COMPUTED_VALUE"""),27.93)</f>
        <v>27.93</v>
      </c>
      <c r="M645" s="22" t="str">
        <f t="shared" si="3"/>
        <v/>
      </c>
      <c r="N645" s="22" t="str">
        <f t="shared" si="4"/>
        <v/>
      </c>
    </row>
    <row r="646" ht="15.75" customHeight="1">
      <c r="A646" s="25">
        <f>IFERROR(__xludf.DUMMYFUNCTION("""COMPUTED_VALUE"""),44196.66666666667)</f>
        <v>44196.66667</v>
      </c>
      <c r="B646" s="22">
        <f>IFERROR(__xludf.DUMMYFUNCTION("""COMPUTED_VALUE"""),3756.07)</f>
        <v>3756.07</v>
      </c>
      <c r="C646" s="25">
        <f>IFERROR(__xludf.DUMMYFUNCTION("""COMPUTED_VALUE"""),44196.63611111111)</f>
        <v>44196.63611</v>
      </c>
      <c r="D646" s="22">
        <f>IFERROR(__xludf.DUMMYFUNCTION("""COMPUTED_VALUE"""),22.75)</f>
        <v>22.75</v>
      </c>
      <c r="E646" s="26">
        <f t="shared" si="2"/>
        <v>0.00643883774</v>
      </c>
      <c r="F646" s="25">
        <f>IFERROR(__xludf.DUMMYFUNCTION("""COMPUTED_VALUE"""),44196.63611111111)</f>
        <v>44196.63611</v>
      </c>
      <c r="G646" s="22">
        <f>IFERROR(__xludf.DUMMYFUNCTION("""COMPUTED_VALUE"""),25.28)</f>
        <v>25.28</v>
      </c>
      <c r="H646" s="25">
        <f>IFERROR(__xludf.DUMMYFUNCTION("""COMPUTED_VALUE"""),44196.63611111111)</f>
        <v>44196.63611</v>
      </c>
      <c r="I646" s="22">
        <f>IFERROR(__xludf.DUMMYFUNCTION("""COMPUTED_VALUE"""),27.29)</f>
        <v>27.29</v>
      </c>
      <c r="J646" s="25">
        <f>IFERROR(__xludf.DUMMYFUNCTION("""COMPUTED_VALUE"""),44196.63611111111)</f>
        <v>44196.63611</v>
      </c>
      <c r="K646" s="22">
        <f>IFERROR(__xludf.DUMMYFUNCTION("""COMPUTED_VALUE"""),27.62)</f>
        <v>27.62</v>
      </c>
      <c r="M646" s="22" t="str">
        <f t="shared" si="3"/>
        <v/>
      </c>
      <c r="N646" s="22" t="str">
        <f t="shared" si="4"/>
        <v/>
      </c>
    </row>
    <row r="647" ht="15.75" customHeight="1">
      <c r="A647" s="25">
        <f>IFERROR(__xludf.DUMMYFUNCTION("""COMPUTED_VALUE"""),44200.66666666667)</f>
        <v>44200.66667</v>
      </c>
      <c r="B647" s="22">
        <f>IFERROR(__xludf.DUMMYFUNCTION("""COMPUTED_VALUE"""),3700.65)</f>
        <v>3700.65</v>
      </c>
      <c r="C647" s="25">
        <f>IFERROR(__xludf.DUMMYFUNCTION("""COMPUTED_VALUE"""),44200.63611111111)</f>
        <v>44200.63611</v>
      </c>
      <c r="D647" s="22">
        <f>IFERROR(__xludf.DUMMYFUNCTION("""COMPUTED_VALUE"""),26.97)</f>
        <v>26.97</v>
      </c>
      <c r="E647" s="26">
        <f t="shared" si="2"/>
        <v>-0.01475478359</v>
      </c>
      <c r="F647" s="25">
        <f>IFERROR(__xludf.DUMMYFUNCTION("""COMPUTED_VALUE"""),44200.63611111111)</f>
        <v>44200.63611</v>
      </c>
      <c r="G647" s="22">
        <f>IFERROR(__xludf.DUMMYFUNCTION("""COMPUTED_VALUE"""),28.26)</f>
        <v>28.26</v>
      </c>
      <c r="H647" s="25">
        <f>IFERROR(__xludf.DUMMYFUNCTION("""COMPUTED_VALUE"""),44200.63611111111)</f>
        <v>44200.63611</v>
      </c>
      <c r="I647" s="22">
        <f>IFERROR(__xludf.DUMMYFUNCTION("""COMPUTED_VALUE"""),29.46)</f>
        <v>29.46</v>
      </c>
      <c r="J647" s="25">
        <f>IFERROR(__xludf.DUMMYFUNCTION("""COMPUTED_VALUE"""),44200.63611111111)</f>
        <v>44200.63611</v>
      </c>
      <c r="K647" s="22">
        <f>IFERROR(__xludf.DUMMYFUNCTION("""COMPUTED_VALUE"""),29.19)</f>
        <v>29.19</v>
      </c>
      <c r="M647" s="22" t="str">
        <f t="shared" si="3"/>
        <v/>
      </c>
      <c r="N647" s="22" t="str">
        <f t="shared" si="4"/>
        <v>PREDICT CRASH</v>
      </c>
    </row>
    <row r="648" ht="15.75" customHeight="1">
      <c r="A648" s="25">
        <f>IFERROR(__xludf.DUMMYFUNCTION("""COMPUTED_VALUE"""),44201.66666666667)</f>
        <v>44201.66667</v>
      </c>
      <c r="B648" s="22">
        <f>IFERROR(__xludf.DUMMYFUNCTION("""COMPUTED_VALUE"""),3726.86)</f>
        <v>3726.86</v>
      </c>
      <c r="C648" s="25">
        <f>IFERROR(__xludf.DUMMYFUNCTION("""COMPUTED_VALUE"""),44201.63611111111)</f>
        <v>44201.63611</v>
      </c>
      <c r="D648" s="22">
        <f>IFERROR(__xludf.DUMMYFUNCTION("""COMPUTED_VALUE"""),25.34)</f>
        <v>25.34</v>
      </c>
      <c r="E648" s="26">
        <f t="shared" si="2"/>
        <v>0.007082539554</v>
      </c>
      <c r="F648" s="25">
        <f>IFERROR(__xludf.DUMMYFUNCTION("""COMPUTED_VALUE"""),44201.63611111111)</f>
        <v>44201.63611</v>
      </c>
      <c r="G648" s="22">
        <f>IFERROR(__xludf.DUMMYFUNCTION("""COMPUTED_VALUE"""),27.25)</f>
        <v>27.25</v>
      </c>
      <c r="H648" s="25">
        <f>IFERROR(__xludf.DUMMYFUNCTION("""COMPUTED_VALUE"""),44201.63611111111)</f>
        <v>44201.63611</v>
      </c>
      <c r="I648" s="22">
        <f>IFERROR(__xludf.DUMMYFUNCTION("""COMPUTED_VALUE"""),28.71)</f>
        <v>28.71</v>
      </c>
      <c r="J648" s="25">
        <f>IFERROR(__xludf.DUMMYFUNCTION("""COMPUTED_VALUE"""),44201.63611111111)</f>
        <v>44201.63611</v>
      </c>
      <c r="K648" s="22">
        <f>IFERROR(__xludf.DUMMYFUNCTION("""COMPUTED_VALUE"""),28.74)</f>
        <v>28.74</v>
      </c>
      <c r="M648" s="22" t="str">
        <f t="shared" si="3"/>
        <v/>
      </c>
      <c r="N648" s="22" t="str">
        <f t="shared" si="4"/>
        <v>PREDICT CRASH</v>
      </c>
    </row>
    <row r="649" ht="15.75" customHeight="1">
      <c r="A649" s="25">
        <f>IFERROR(__xludf.DUMMYFUNCTION("""COMPUTED_VALUE"""),44202.66666666667)</f>
        <v>44202.66667</v>
      </c>
      <c r="B649" s="22">
        <f>IFERROR(__xludf.DUMMYFUNCTION("""COMPUTED_VALUE"""),3748.14)</f>
        <v>3748.14</v>
      </c>
      <c r="C649" s="25">
        <f>IFERROR(__xludf.DUMMYFUNCTION("""COMPUTED_VALUE"""),44202.63611111111)</f>
        <v>44202.63611</v>
      </c>
      <c r="D649" s="22">
        <f>IFERROR(__xludf.DUMMYFUNCTION("""COMPUTED_VALUE"""),25.07)</f>
        <v>25.07</v>
      </c>
      <c r="E649" s="26">
        <f t="shared" si="2"/>
        <v>0.00570990056</v>
      </c>
      <c r="F649" s="25">
        <f>IFERROR(__xludf.DUMMYFUNCTION("""COMPUTED_VALUE"""),44202.63611111111)</f>
        <v>44202.63611</v>
      </c>
      <c r="G649" s="22">
        <f>IFERROR(__xludf.DUMMYFUNCTION("""COMPUTED_VALUE"""),26.79)</f>
        <v>26.79</v>
      </c>
      <c r="H649" s="25">
        <f>IFERROR(__xludf.DUMMYFUNCTION("""COMPUTED_VALUE"""),44202.63611111111)</f>
        <v>44202.63611</v>
      </c>
      <c r="I649" s="22">
        <f>IFERROR(__xludf.DUMMYFUNCTION("""COMPUTED_VALUE"""),28.29)</f>
        <v>28.29</v>
      </c>
      <c r="J649" s="25">
        <f>IFERROR(__xludf.DUMMYFUNCTION("""COMPUTED_VALUE"""),44202.63611111111)</f>
        <v>44202.63611</v>
      </c>
      <c r="K649" s="22">
        <f>IFERROR(__xludf.DUMMYFUNCTION("""COMPUTED_VALUE"""),28.29)</f>
        <v>28.29</v>
      </c>
      <c r="M649" s="22" t="str">
        <f t="shared" si="3"/>
        <v/>
      </c>
      <c r="N649" s="22" t="str">
        <f t="shared" si="4"/>
        <v>PREDICT CRASH</v>
      </c>
    </row>
    <row r="650" ht="15.75" customHeight="1">
      <c r="A650" s="25">
        <f>IFERROR(__xludf.DUMMYFUNCTION("""COMPUTED_VALUE"""),44203.66666666667)</f>
        <v>44203.66667</v>
      </c>
      <c r="B650" s="22">
        <f>IFERROR(__xludf.DUMMYFUNCTION("""COMPUTED_VALUE"""),3803.79)</f>
        <v>3803.79</v>
      </c>
      <c r="C650" s="25">
        <f>IFERROR(__xludf.DUMMYFUNCTION("""COMPUTED_VALUE"""),44203.63611111111)</f>
        <v>44203.63611</v>
      </c>
      <c r="D650" s="22">
        <f>IFERROR(__xludf.DUMMYFUNCTION("""COMPUTED_VALUE"""),22.37)</f>
        <v>22.37</v>
      </c>
      <c r="E650" s="26">
        <f t="shared" si="2"/>
        <v>0.01484736429</v>
      </c>
      <c r="F650" s="25">
        <f>IFERROR(__xludf.DUMMYFUNCTION("""COMPUTED_VALUE"""),44203.63611111111)</f>
        <v>44203.63611</v>
      </c>
      <c r="G650" s="22">
        <f>IFERROR(__xludf.DUMMYFUNCTION("""COMPUTED_VALUE"""),25.02)</f>
        <v>25.02</v>
      </c>
      <c r="H650" s="25">
        <f>IFERROR(__xludf.DUMMYFUNCTION("""COMPUTED_VALUE"""),44203.63611111111)</f>
        <v>44203.63611</v>
      </c>
      <c r="I650" s="22">
        <f>IFERROR(__xludf.DUMMYFUNCTION("""COMPUTED_VALUE"""),27.19)</f>
        <v>27.19</v>
      </c>
      <c r="J650" s="25">
        <f>IFERROR(__xludf.DUMMYFUNCTION("""COMPUTED_VALUE"""),44203.63611111111)</f>
        <v>44203.63611</v>
      </c>
      <c r="K650" s="22">
        <f>IFERROR(__xludf.DUMMYFUNCTION("""COMPUTED_VALUE"""),27.41)</f>
        <v>27.41</v>
      </c>
      <c r="M650" s="22" t="str">
        <f t="shared" si="3"/>
        <v/>
      </c>
      <c r="N650" s="22" t="str">
        <f t="shared" si="4"/>
        <v/>
      </c>
    </row>
    <row r="651" ht="15.75" customHeight="1">
      <c r="A651" s="25">
        <f>IFERROR(__xludf.DUMMYFUNCTION("""COMPUTED_VALUE"""),44204.66666666667)</f>
        <v>44204.66667</v>
      </c>
      <c r="B651" s="22">
        <f>IFERROR(__xludf.DUMMYFUNCTION("""COMPUTED_VALUE"""),3824.68)</f>
        <v>3824.68</v>
      </c>
      <c r="C651" s="25">
        <f>IFERROR(__xludf.DUMMYFUNCTION("""COMPUTED_VALUE"""),44204.63611111111)</f>
        <v>44204.63611</v>
      </c>
      <c r="D651" s="22">
        <f>IFERROR(__xludf.DUMMYFUNCTION("""COMPUTED_VALUE"""),21.56)</f>
        <v>21.56</v>
      </c>
      <c r="E651" s="26">
        <f t="shared" si="2"/>
        <v>0.005491890982</v>
      </c>
      <c r="F651" s="25">
        <f>IFERROR(__xludf.DUMMYFUNCTION("""COMPUTED_VALUE"""),44204.63611111111)</f>
        <v>44204.63611</v>
      </c>
      <c r="G651" s="22">
        <f>IFERROR(__xludf.DUMMYFUNCTION("""COMPUTED_VALUE"""),24.9)</f>
        <v>24.9</v>
      </c>
      <c r="H651" s="25">
        <f>IFERROR(__xludf.DUMMYFUNCTION("""COMPUTED_VALUE"""),44204.63611111111)</f>
        <v>44204.63611</v>
      </c>
      <c r="I651" s="22">
        <f>IFERROR(__xludf.DUMMYFUNCTION("""COMPUTED_VALUE"""),27.08)</f>
        <v>27.08</v>
      </c>
      <c r="J651" s="25">
        <f>IFERROR(__xludf.DUMMYFUNCTION("""COMPUTED_VALUE"""),44204.63611111111)</f>
        <v>44204.63611</v>
      </c>
      <c r="K651" s="22">
        <f>IFERROR(__xludf.DUMMYFUNCTION("""COMPUTED_VALUE"""),27.27)</f>
        <v>27.27</v>
      </c>
      <c r="M651" s="22" t="str">
        <f t="shared" si="3"/>
        <v/>
      </c>
      <c r="N651" s="22" t="str">
        <f t="shared" si="4"/>
        <v/>
      </c>
    </row>
    <row r="652" ht="15.75" customHeight="1">
      <c r="A652" s="25">
        <f>IFERROR(__xludf.DUMMYFUNCTION("""COMPUTED_VALUE"""),44207.66666666667)</f>
        <v>44207.66667</v>
      </c>
      <c r="B652" s="22">
        <f>IFERROR(__xludf.DUMMYFUNCTION("""COMPUTED_VALUE"""),3799.61)</f>
        <v>3799.61</v>
      </c>
      <c r="C652" s="25">
        <f>IFERROR(__xludf.DUMMYFUNCTION("""COMPUTED_VALUE"""),44207.63611111111)</f>
        <v>44207.63611</v>
      </c>
      <c r="D652" s="22">
        <f>IFERROR(__xludf.DUMMYFUNCTION("""COMPUTED_VALUE"""),24.08)</f>
        <v>24.08</v>
      </c>
      <c r="E652" s="26">
        <f t="shared" si="2"/>
        <v>-0.006554796741</v>
      </c>
      <c r="F652" s="25">
        <f>IFERROR(__xludf.DUMMYFUNCTION("""COMPUTED_VALUE"""),44207.63611111111)</f>
        <v>44207.63611</v>
      </c>
      <c r="G652" s="22">
        <f>IFERROR(__xludf.DUMMYFUNCTION("""COMPUTED_VALUE"""),26.7)</f>
        <v>26.7</v>
      </c>
      <c r="H652" s="25">
        <f>IFERROR(__xludf.DUMMYFUNCTION("""COMPUTED_VALUE"""),44207.63611111111)</f>
        <v>44207.63611</v>
      </c>
      <c r="I652" s="22">
        <f>IFERROR(__xludf.DUMMYFUNCTION("""COMPUTED_VALUE"""),28.5)</f>
        <v>28.5</v>
      </c>
      <c r="J652" s="25">
        <f>IFERROR(__xludf.DUMMYFUNCTION("""COMPUTED_VALUE"""),44207.63611111111)</f>
        <v>44207.63611</v>
      </c>
      <c r="K652" s="22">
        <f>IFERROR(__xludf.DUMMYFUNCTION("""COMPUTED_VALUE"""),28.15)</f>
        <v>28.15</v>
      </c>
      <c r="M652" s="22" t="str">
        <f t="shared" si="3"/>
        <v/>
      </c>
      <c r="N652" s="22" t="str">
        <f t="shared" si="4"/>
        <v/>
      </c>
    </row>
    <row r="653" ht="15.75" customHeight="1">
      <c r="A653" s="25">
        <f>IFERROR(__xludf.DUMMYFUNCTION("""COMPUTED_VALUE"""),44208.66666666667)</f>
        <v>44208.66667</v>
      </c>
      <c r="B653" s="22">
        <f>IFERROR(__xludf.DUMMYFUNCTION("""COMPUTED_VALUE"""),3801.19)</f>
        <v>3801.19</v>
      </c>
      <c r="C653" s="25">
        <f>IFERROR(__xludf.DUMMYFUNCTION("""COMPUTED_VALUE"""),44208.63611111111)</f>
        <v>44208.63611</v>
      </c>
      <c r="D653" s="22">
        <f>IFERROR(__xludf.DUMMYFUNCTION("""COMPUTED_VALUE"""),23.33)</f>
        <v>23.33</v>
      </c>
      <c r="E653" s="26">
        <f t="shared" si="2"/>
        <v>0.0004158321512</v>
      </c>
      <c r="F653" s="25">
        <f>IFERROR(__xludf.DUMMYFUNCTION("""COMPUTED_VALUE"""),44208.63611111111)</f>
        <v>44208.63611</v>
      </c>
      <c r="G653" s="22">
        <f>IFERROR(__xludf.DUMMYFUNCTION("""COMPUTED_VALUE"""),26.2)</f>
        <v>26.2</v>
      </c>
      <c r="H653" s="25">
        <f>IFERROR(__xludf.DUMMYFUNCTION("""COMPUTED_VALUE"""),44208.63611111111)</f>
        <v>44208.63611</v>
      </c>
      <c r="I653" s="22">
        <f>IFERROR(__xludf.DUMMYFUNCTION("""COMPUTED_VALUE"""),28.09)</f>
        <v>28.09</v>
      </c>
      <c r="J653" s="25">
        <f>IFERROR(__xludf.DUMMYFUNCTION("""COMPUTED_VALUE"""),44208.63611111111)</f>
        <v>44208.63611</v>
      </c>
      <c r="K653" s="22">
        <f>IFERROR(__xludf.DUMMYFUNCTION("""COMPUTED_VALUE"""),27.88)</f>
        <v>27.88</v>
      </c>
      <c r="M653" s="22" t="str">
        <f t="shared" si="3"/>
        <v/>
      </c>
      <c r="N653" s="22" t="str">
        <f t="shared" si="4"/>
        <v/>
      </c>
    </row>
    <row r="654" ht="15.75" customHeight="1">
      <c r="A654" s="25">
        <f>IFERROR(__xludf.DUMMYFUNCTION("""COMPUTED_VALUE"""),44209.66666666667)</f>
        <v>44209.66667</v>
      </c>
      <c r="B654" s="22">
        <f>IFERROR(__xludf.DUMMYFUNCTION("""COMPUTED_VALUE"""),3809.84)</f>
        <v>3809.84</v>
      </c>
      <c r="C654" s="25">
        <f>IFERROR(__xludf.DUMMYFUNCTION("""COMPUTED_VALUE"""),44209.63611111111)</f>
        <v>44209.63611</v>
      </c>
      <c r="D654" s="22">
        <f>IFERROR(__xludf.DUMMYFUNCTION("""COMPUTED_VALUE"""),22.21)</f>
        <v>22.21</v>
      </c>
      <c r="E654" s="26">
        <f t="shared" si="2"/>
        <v>0.002275603166</v>
      </c>
      <c r="F654" s="25">
        <f>IFERROR(__xludf.DUMMYFUNCTION("""COMPUTED_VALUE"""),44209.63611111111)</f>
        <v>44209.63611</v>
      </c>
      <c r="G654" s="22">
        <f>IFERROR(__xludf.DUMMYFUNCTION("""COMPUTED_VALUE"""),25.55)</f>
        <v>25.55</v>
      </c>
      <c r="H654" s="25">
        <f>IFERROR(__xludf.DUMMYFUNCTION("""COMPUTED_VALUE"""),44209.63611111111)</f>
        <v>44209.63611</v>
      </c>
      <c r="I654" s="22">
        <f>IFERROR(__xludf.DUMMYFUNCTION("""COMPUTED_VALUE"""),27.71)</f>
        <v>27.71</v>
      </c>
      <c r="J654" s="25">
        <f>IFERROR(__xludf.DUMMYFUNCTION("""COMPUTED_VALUE"""),44209.63611111111)</f>
        <v>44209.63611</v>
      </c>
      <c r="K654" s="22">
        <f>IFERROR(__xludf.DUMMYFUNCTION("""COMPUTED_VALUE"""),27.65)</f>
        <v>27.65</v>
      </c>
      <c r="M654" s="22" t="str">
        <f t="shared" si="3"/>
        <v/>
      </c>
      <c r="N654" s="22" t="str">
        <f t="shared" si="4"/>
        <v/>
      </c>
    </row>
    <row r="655" ht="15.75" customHeight="1">
      <c r="A655" s="25">
        <f>IFERROR(__xludf.DUMMYFUNCTION("""COMPUTED_VALUE"""),44210.66666666667)</f>
        <v>44210.66667</v>
      </c>
      <c r="B655" s="22">
        <f>IFERROR(__xludf.DUMMYFUNCTION("""COMPUTED_VALUE"""),3795.54)</f>
        <v>3795.54</v>
      </c>
      <c r="C655" s="25">
        <f>IFERROR(__xludf.DUMMYFUNCTION("""COMPUTED_VALUE"""),44210.63611111111)</f>
        <v>44210.63611</v>
      </c>
      <c r="D655" s="22">
        <f>IFERROR(__xludf.DUMMYFUNCTION("""COMPUTED_VALUE"""),23.25)</f>
        <v>23.25</v>
      </c>
      <c r="E655" s="26">
        <f t="shared" si="2"/>
        <v>-0.003753438465</v>
      </c>
      <c r="F655" s="25">
        <f>IFERROR(__xludf.DUMMYFUNCTION("""COMPUTED_VALUE"""),44210.63611111111)</f>
        <v>44210.63611</v>
      </c>
      <c r="G655" s="22">
        <f>IFERROR(__xludf.DUMMYFUNCTION("""COMPUTED_VALUE"""),26.32)</f>
        <v>26.32</v>
      </c>
      <c r="H655" s="25">
        <f>IFERROR(__xludf.DUMMYFUNCTION("""COMPUTED_VALUE"""),44210.63611111111)</f>
        <v>44210.63611</v>
      </c>
      <c r="I655" s="22">
        <f>IFERROR(__xludf.DUMMYFUNCTION("""COMPUTED_VALUE"""),27.4)</f>
        <v>27.4</v>
      </c>
      <c r="J655" s="25">
        <f>IFERROR(__xludf.DUMMYFUNCTION("""COMPUTED_VALUE"""),44210.63611111111)</f>
        <v>44210.63611</v>
      </c>
      <c r="K655" s="22">
        <f>IFERROR(__xludf.DUMMYFUNCTION("""COMPUTED_VALUE"""),28.11)</f>
        <v>28.11</v>
      </c>
      <c r="M655" s="22" t="str">
        <f t="shared" si="3"/>
        <v/>
      </c>
      <c r="N655" s="22" t="str">
        <f t="shared" si="4"/>
        <v/>
      </c>
    </row>
    <row r="656" ht="15.75" customHeight="1">
      <c r="A656" s="25">
        <f>IFERROR(__xludf.DUMMYFUNCTION("""COMPUTED_VALUE"""),44211.66666666667)</f>
        <v>44211.66667</v>
      </c>
      <c r="B656" s="22">
        <f>IFERROR(__xludf.DUMMYFUNCTION("""COMPUTED_VALUE"""),3768.25)</f>
        <v>3768.25</v>
      </c>
      <c r="C656" s="25">
        <f>IFERROR(__xludf.DUMMYFUNCTION("""COMPUTED_VALUE"""),44211.63611111111)</f>
        <v>44211.63611</v>
      </c>
      <c r="D656" s="22">
        <f>IFERROR(__xludf.DUMMYFUNCTION("""COMPUTED_VALUE"""),24.34)</f>
        <v>24.34</v>
      </c>
      <c r="E656" s="26">
        <f t="shared" si="2"/>
        <v>-0.007190017758</v>
      </c>
      <c r="F656" s="25">
        <f>IFERROR(__xludf.DUMMYFUNCTION("""COMPUTED_VALUE"""),44211.63611111111)</f>
        <v>44211.63611</v>
      </c>
      <c r="G656" s="22">
        <f>IFERROR(__xludf.DUMMYFUNCTION("""COMPUTED_VALUE"""),27.26)</f>
        <v>27.26</v>
      </c>
      <c r="H656" s="25">
        <f>IFERROR(__xludf.DUMMYFUNCTION("""COMPUTED_VALUE"""),44211.63611111111)</f>
        <v>44211.63611</v>
      </c>
      <c r="I656" s="22">
        <f>IFERROR(__xludf.DUMMYFUNCTION("""COMPUTED_VALUE"""),28.1)</f>
        <v>28.1</v>
      </c>
      <c r="J656" s="25">
        <f>IFERROR(__xludf.DUMMYFUNCTION("""COMPUTED_VALUE"""),44211.63611111111)</f>
        <v>44211.63611</v>
      </c>
      <c r="K656" s="22">
        <f>IFERROR(__xludf.DUMMYFUNCTION("""COMPUTED_VALUE"""),28.6)</f>
        <v>28.6</v>
      </c>
      <c r="M656" s="22" t="str">
        <f t="shared" si="3"/>
        <v/>
      </c>
      <c r="N656" s="22" t="str">
        <f t="shared" si="4"/>
        <v/>
      </c>
    </row>
    <row r="657" ht="15.75" customHeight="1">
      <c r="A657" s="25">
        <f>IFERROR(__xludf.DUMMYFUNCTION("""COMPUTED_VALUE"""),44215.66666666667)</f>
        <v>44215.66667</v>
      </c>
      <c r="B657" s="22">
        <f>IFERROR(__xludf.DUMMYFUNCTION("""COMPUTED_VALUE"""),3798.91)</f>
        <v>3798.91</v>
      </c>
      <c r="C657" s="25">
        <f>IFERROR(__xludf.DUMMYFUNCTION("""COMPUTED_VALUE"""),44215.63611111111)</f>
        <v>44215.63611</v>
      </c>
      <c r="D657" s="22">
        <f>IFERROR(__xludf.DUMMYFUNCTION("""COMPUTED_VALUE"""),23.24)</f>
        <v>23.24</v>
      </c>
      <c r="E657" s="26">
        <f t="shared" si="2"/>
        <v>0.00813640284</v>
      </c>
      <c r="F657" s="25">
        <f>IFERROR(__xludf.DUMMYFUNCTION("""COMPUTED_VALUE"""),44215.63611111111)</f>
        <v>44215.63611</v>
      </c>
      <c r="G657" s="22">
        <f>IFERROR(__xludf.DUMMYFUNCTION("""COMPUTED_VALUE"""),26.69)</f>
        <v>26.69</v>
      </c>
      <c r="H657" s="25">
        <f>IFERROR(__xludf.DUMMYFUNCTION("""COMPUTED_VALUE"""),44215.63611111111)</f>
        <v>44215.63611</v>
      </c>
      <c r="I657" s="22">
        <f>IFERROR(__xludf.DUMMYFUNCTION("""COMPUTED_VALUE"""),27.83)</f>
        <v>27.83</v>
      </c>
      <c r="J657" s="25">
        <f>IFERROR(__xludf.DUMMYFUNCTION("""COMPUTED_VALUE"""),44215.63611111111)</f>
        <v>44215.63611</v>
      </c>
      <c r="K657" s="22">
        <f>IFERROR(__xludf.DUMMYFUNCTION("""COMPUTED_VALUE"""),28.2)</f>
        <v>28.2</v>
      </c>
      <c r="M657" s="22" t="str">
        <f t="shared" si="3"/>
        <v/>
      </c>
      <c r="N657" s="22" t="str">
        <f t="shared" si="4"/>
        <v/>
      </c>
    </row>
    <row r="658" ht="15.75" customHeight="1">
      <c r="A658" s="25">
        <f>IFERROR(__xludf.DUMMYFUNCTION("""COMPUTED_VALUE"""),44216.66666666667)</f>
        <v>44216.66667</v>
      </c>
      <c r="B658" s="22">
        <f>IFERROR(__xludf.DUMMYFUNCTION("""COMPUTED_VALUE"""),3851.85)</f>
        <v>3851.85</v>
      </c>
      <c r="C658" s="25">
        <f>IFERROR(__xludf.DUMMYFUNCTION("""COMPUTED_VALUE"""),44216.63611111111)</f>
        <v>44216.63611</v>
      </c>
      <c r="D658" s="22">
        <f>IFERROR(__xludf.DUMMYFUNCTION("""COMPUTED_VALUE"""),21.58)</f>
        <v>21.58</v>
      </c>
      <c r="E658" s="26">
        <f t="shared" si="2"/>
        <v>0.01393557626</v>
      </c>
      <c r="F658" s="25">
        <f>IFERROR(__xludf.DUMMYFUNCTION("""COMPUTED_VALUE"""),44216.63611111111)</f>
        <v>44216.63611</v>
      </c>
      <c r="G658" s="22">
        <f>IFERROR(__xludf.DUMMYFUNCTION("""COMPUTED_VALUE"""),25.72)</f>
        <v>25.72</v>
      </c>
      <c r="H658" s="25">
        <f>IFERROR(__xludf.DUMMYFUNCTION("""COMPUTED_VALUE"""),44216.63611111111)</f>
        <v>44216.63611</v>
      </c>
      <c r="I658" s="22">
        <f>IFERROR(__xludf.DUMMYFUNCTION("""COMPUTED_VALUE"""),27.17)</f>
        <v>27.17</v>
      </c>
      <c r="J658" s="25">
        <f>IFERROR(__xludf.DUMMYFUNCTION("""COMPUTED_VALUE"""),44216.63611111111)</f>
        <v>44216.63611</v>
      </c>
      <c r="K658" s="22">
        <f>IFERROR(__xludf.DUMMYFUNCTION("""COMPUTED_VALUE"""),27.66)</f>
        <v>27.66</v>
      </c>
      <c r="M658" s="22" t="str">
        <f t="shared" si="3"/>
        <v/>
      </c>
      <c r="N658" s="22" t="str">
        <f t="shared" si="4"/>
        <v/>
      </c>
    </row>
    <row r="659" ht="15.75" customHeight="1">
      <c r="A659" s="25">
        <f>IFERROR(__xludf.DUMMYFUNCTION("""COMPUTED_VALUE"""),44217.66666666667)</f>
        <v>44217.66667</v>
      </c>
      <c r="B659" s="22">
        <f>IFERROR(__xludf.DUMMYFUNCTION("""COMPUTED_VALUE"""),3853.07)</f>
        <v>3853.07</v>
      </c>
      <c r="C659" s="25">
        <f>IFERROR(__xludf.DUMMYFUNCTION("""COMPUTED_VALUE"""),44217.63611111111)</f>
        <v>44217.63611</v>
      </c>
      <c r="D659" s="22">
        <f>IFERROR(__xludf.DUMMYFUNCTION("""COMPUTED_VALUE"""),21.32)</f>
        <v>21.32</v>
      </c>
      <c r="E659" s="26">
        <f t="shared" si="2"/>
        <v>0.0003167309215</v>
      </c>
      <c r="F659" s="25">
        <f>IFERROR(__xludf.DUMMYFUNCTION("""COMPUTED_VALUE"""),44217.63611111111)</f>
        <v>44217.63611</v>
      </c>
      <c r="G659" s="22">
        <f>IFERROR(__xludf.DUMMYFUNCTION("""COMPUTED_VALUE"""),25.7)</f>
        <v>25.7</v>
      </c>
      <c r="H659" s="25">
        <f>IFERROR(__xludf.DUMMYFUNCTION("""COMPUTED_VALUE"""),44217.63611111111)</f>
        <v>44217.63611</v>
      </c>
      <c r="I659" s="22">
        <f>IFERROR(__xludf.DUMMYFUNCTION("""COMPUTED_VALUE"""),27.23)</f>
        <v>27.23</v>
      </c>
      <c r="J659" s="25">
        <f>IFERROR(__xludf.DUMMYFUNCTION("""COMPUTED_VALUE"""),44217.63611111111)</f>
        <v>44217.63611</v>
      </c>
      <c r="K659" s="22">
        <f>IFERROR(__xludf.DUMMYFUNCTION("""COMPUTED_VALUE"""),27.8)</f>
        <v>27.8</v>
      </c>
      <c r="M659" s="22" t="str">
        <f t="shared" si="3"/>
        <v/>
      </c>
      <c r="N659" s="22" t="str">
        <f t="shared" si="4"/>
        <v/>
      </c>
    </row>
    <row r="660" ht="15.75" customHeight="1">
      <c r="A660" s="25">
        <f>IFERROR(__xludf.DUMMYFUNCTION("""COMPUTED_VALUE"""),44218.66666666667)</f>
        <v>44218.66667</v>
      </c>
      <c r="B660" s="22">
        <f>IFERROR(__xludf.DUMMYFUNCTION("""COMPUTED_VALUE"""),3841.47)</f>
        <v>3841.47</v>
      </c>
      <c r="C660" s="25">
        <f>IFERROR(__xludf.DUMMYFUNCTION("""COMPUTED_VALUE"""),44218.63611111111)</f>
        <v>44218.63611</v>
      </c>
      <c r="D660" s="22">
        <f>IFERROR(__xludf.DUMMYFUNCTION("""COMPUTED_VALUE"""),21.91)</f>
        <v>21.91</v>
      </c>
      <c r="E660" s="26">
        <f t="shared" si="2"/>
        <v>-0.003010586364</v>
      </c>
      <c r="F660" s="25">
        <f>IFERROR(__xludf.DUMMYFUNCTION("""COMPUTED_VALUE"""),44218.63611111111)</f>
        <v>44218.63611</v>
      </c>
      <c r="G660" s="22">
        <f>IFERROR(__xludf.DUMMYFUNCTION("""COMPUTED_VALUE"""),25.99)</f>
        <v>25.99</v>
      </c>
      <c r="H660" s="25">
        <f>IFERROR(__xludf.DUMMYFUNCTION("""COMPUTED_VALUE"""),44218.63611111111)</f>
        <v>44218.63611</v>
      </c>
      <c r="I660" s="22">
        <f>IFERROR(__xludf.DUMMYFUNCTION("""COMPUTED_VALUE"""),27.52)</f>
        <v>27.52</v>
      </c>
      <c r="J660" s="25">
        <f>IFERROR(__xludf.DUMMYFUNCTION("""COMPUTED_VALUE"""),44218.63611111111)</f>
        <v>44218.63611</v>
      </c>
      <c r="K660" s="22">
        <f>IFERROR(__xludf.DUMMYFUNCTION("""COMPUTED_VALUE"""),27.98)</f>
        <v>27.98</v>
      </c>
      <c r="M660" s="22" t="str">
        <f t="shared" si="3"/>
        <v/>
      </c>
      <c r="N660" s="22" t="str">
        <f t="shared" si="4"/>
        <v/>
      </c>
    </row>
    <row r="661" ht="15.75" customHeight="1">
      <c r="A661" s="25">
        <f>IFERROR(__xludf.DUMMYFUNCTION("""COMPUTED_VALUE"""),44221.66666666667)</f>
        <v>44221.66667</v>
      </c>
      <c r="B661" s="22">
        <f>IFERROR(__xludf.DUMMYFUNCTION("""COMPUTED_VALUE"""),3855.36)</f>
        <v>3855.36</v>
      </c>
      <c r="C661" s="25">
        <f>IFERROR(__xludf.DUMMYFUNCTION("""COMPUTED_VALUE"""),44221.63611111111)</f>
        <v>44221.63611</v>
      </c>
      <c r="D661" s="22">
        <f>IFERROR(__xludf.DUMMYFUNCTION("""COMPUTED_VALUE"""),23.19)</f>
        <v>23.19</v>
      </c>
      <c r="E661" s="26">
        <f t="shared" si="2"/>
        <v>0.003615803325</v>
      </c>
      <c r="F661" s="25">
        <f>IFERROR(__xludf.DUMMYFUNCTION("""COMPUTED_VALUE"""),44221.63611111111)</f>
        <v>44221.63611</v>
      </c>
      <c r="G661" s="22">
        <f>IFERROR(__xludf.DUMMYFUNCTION("""COMPUTED_VALUE"""),26.88)</f>
        <v>26.88</v>
      </c>
      <c r="H661" s="25">
        <f>IFERROR(__xludf.DUMMYFUNCTION("""COMPUTED_VALUE"""),44221.63611111111)</f>
        <v>44221.63611</v>
      </c>
      <c r="I661" s="22">
        <f>IFERROR(__xludf.DUMMYFUNCTION("""COMPUTED_VALUE"""),28.27)</f>
        <v>28.27</v>
      </c>
      <c r="J661" s="25">
        <f>IFERROR(__xludf.DUMMYFUNCTION("""COMPUTED_VALUE"""),44221.63611111111)</f>
        <v>44221.63611</v>
      </c>
      <c r="K661" s="22">
        <f>IFERROR(__xludf.DUMMYFUNCTION("""COMPUTED_VALUE"""),28.57)</f>
        <v>28.57</v>
      </c>
      <c r="M661" s="22" t="str">
        <f t="shared" si="3"/>
        <v/>
      </c>
      <c r="N661" s="22" t="str">
        <f t="shared" si="4"/>
        <v/>
      </c>
    </row>
    <row r="662" ht="15.75" customHeight="1">
      <c r="A662" s="25">
        <f>IFERROR(__xludf.DUMMYFUNCTION("""COMPUTED_VALUE"""),44222.66666666667)</f>
        <v>44222.66667</v>
      </c>
      <c r="B662" s="22">
        <f>IFERROR(__xludf.DUMMYFUNCTION("""COMPUTED_VALUE"""),3849.62)</f>
        <v>3849.62</v>
      </c>
      <c r="C662" s="25">
        <f>IFERROR(__xludf.DUMMYFUNCTION("""COMPUTED_VALUE"""),44222.63611111111)</f>
        <v>44222.63611</v>
      </c>
      <c r="D662" s="22">
        <f>IFERROR(__xludf.DUMMYFUNCTION("""COMPUTED_VALUE"""),23.02)</f>
        <v>23.02</v>
      </c>
      <c r="E662" s="26">
        <f t="shared" si="2"/>
        <v>-0.001488836321</v>
      </c>
      <c r="F662" s="25">
        <f>IFERROR(__xludf.DUMMYFUNCTION("""COMPUTED_VALUE"""),44222.63611111111)</f>
        <v>44222.63611</v>
      </c>
      <c r="G662" s="22">
        <f>IFERROR(__xludf.DUMMYFUNCTION("""COMPUTED_VALUE"""),26.89)</f>
        <v>26.89</v>
      </c>
      <c r="H662" s="25">
        <f>IFERROR(__xludf.DUMMYFUNCTION("""COMPUTED_VALUE"""),44222.63611111111)</f>
        <v>44222.63611</v>
      </c>
      <c r="I662" s="22">
        <f>IFERROR(__xludf.DUMMYFUNCTION("""COMPUTED_VALUE"""),28.38)</f>
        <v>28.38</v>
      </c>
      <c r="J662" s="25">
        <f>IFERROR(__xludf.DUMMYFUNCTION("""COMPUTED_VALUE"""),44222.63611111111)</f>
        <v>44222.63611</v>
      </c>
      <c r="K662" s="22">
        <f>IFERROR(__xludf.DUMMYFUNCTION("""COMPUTED_VALUE"""),28.39)</f>
        <v>28.39</v>
      </c>
      <c r="M662" s="22" t="str">
        <f t="shared" si="3"/>
        <v/>
      </c>
      <c r="N662" s="22" t="str">
        <f t="shared" si="4"/>
        <v/>
      </c>
    </row>
    <row r="663" ht="15.75" customHeight="1">
      <c r="A663" s="25">
        <f>IFERROR(__xludf.DUMMYFUNCTION("""COMPUTED_VALUE"""),44223.66666666667)</f>
        <v>44223.66667</v>
      </c>
      <c r="B663" s="22">
        <f>IFERROR(__xludf.DUMMYFUNCTION("""COMPUTED_VALUE"""),3750.77)</f>
        <v>3750.77</v>
      </c>
      <c r="C663" s="25">
        <f>IFERROR(__xludf.DUMMYFUNCTION("""COMPUTED_VALUE"""),44223.63611111111)</f>
        <v>44223.63611</v>
      </c>
      <c r="D663" s="22">
        <f>IFERROR(__xludf.DUMMYFUNCTION("""COMPUTED_VALUE"""),37.21)</f>
        <v>37.21</v>
      </c>
      <c r="E663" s="26">
        <f t="shared" si="2"/>
        <v>-0.02567785911</v>
      </c>
      <c r="F663" s="25">
        <f>IFERROR(__xludf.DUMMYFUNCTION("""COMPUTED_VALUE"""),44223.63611111111)</f>
        <v>44223.63611</v>
      </c>
      <c r="G663" s="22">
        <f>IFERROR(__xludf.DUMMYFUNCTION("""COMPUTED_VALUE"""),35.73)</f>
        <v>35.73</v>
      </c>
      <c r="H663" s="25">
        <f>IFERROR(__xludf.DUMMYFUNCTION("""COMPUTED_VALUE"""),44223.63611111111)</f>
        <v>44223.63611</v>
      </c>
      <c r="I663" s="22">
        <f>IFERROR(__xludf.DUMMYFUNCTION("""COMPUTED_VALUE"""),34.66)</f>
        <v>34.66</v>
      </c>
      <c r="J663" s="25">
        <f>IFERROR(__xludf.DUMMYFUNCTION("""COMPUTED_VALUE"""),44223.63611111111)</f>
        <v>44223.63611</v>
      </c>
      <c r="K663" s="22">
        <f>IFERROR(__xludf.DUMMYFUNCTION("""COMPUTED_VALUE"""),32.97)</f>
        <v>32.97</v>
      </c>
      <c r="M663" s="22" t="str">
        <f t="shared" si="3"/>
        <v/>
      </c>
      <c r="N663" s="22" t="str">
        <f t="shared" si="4"/>
        <v>PREDICT CRASH</v>
      </c>
    </row>
    <row r="664" ht="15.75" customHeight="1">
      <c r="A664" s="25">
        <f>IFERROR(__xludf.DUMMYFUNCTION("""COMPUTED_VALUE"""),44224.66666666667)</f>
        <v>44224.66667</v>
      </c>
      <c r="B664" s="22">
        <f>IFERROR(__xludf.DUMMYFUNCTION("""COMPUTED_VALUE"""),3787.38)</f>
        <v>3787.38</v>
      </c>
      <c r="C664" s="25">
        <f>IFERROR(__xludf.DUMMYFUNCTION("""COMPUTED_VALUE"""),44224.63611111111)</f>
        <v>44224.63611</v>
      </c>
      <c r="D664" s="22">
        <f>IFERROR(__xludf.DUMMYFUNCTION("""COMPUTED_VALUE"""),30.21)</f>
        <v>30.21</v>
      </c>
      <c r="E664" s="26">
        <f t="shared" si="2"/>
        <v>0.009760662477</v>
      </c>
      <c r="F664" s="25">
        <f>IFERROR(__xludf.DUMMYFUNCTION("""COMPUTED_VALUE"""),44224.63611111111)</f>
        <v>44224.63611</v>
      </c>
      <c r="G664" s="22">
        <f>IFERROR(__xludf.DUMMYFUNCTION("""COMPUTED_VALUE"""),31.77)</f>
        <v>31.77</v>
      </c>
      <c r="H664" s="25">
        <f>IFERROR(__xludf.DUMMYFUNCTION("""COMPUTED_VALUE"""),44224.63611111111)</f>
        <v>44224.63611</v>
      </c>
      <c r="I664" s="22">
        <f>IFERROR(__xludf.DUMMYFUNCTION("""COMPUTED_VALUE"""),32.01)</f>
        <v>32.01</v>
      </c>
      <c r="J664" s="25">
        <f>IFERROR(__xludf.DUMMYFUNCTION("""COMPUTED_VALUE"""),44224.63611111111)</f>
        <v>44224.63611</v>
      </c>
      <c r="K664" s="22">
        <f>IFERROR(__xludf.DUMMYFUNCTION("""COMPUTED_VALUE"""),30.95)</f>
        <v>30.95</v>
      </c>
      <c r="M664" s="22" t="str">
        <f t="shared" si="3"/>
        <v/>
      </c>
      <c r="N664" s="22" t="str">
        <f t="shared" si="4"/>
        <v>PREDICT CRASH</v>
      </c>
    </row>
    <row r="665" ht="15.75" customHeight="1">
      <c r="A665" s="25">
        <f>IFERROR(__xludf.DUMMYFUNCTION("""COMPUTED_VALUE"""),44225.66666666667)</f>
        <v>44225.66667</v>
      </c>
      <c r="B665" s="22">
        <f>IFERROR(__xludf.DUMMYFUNCTION("""COMPUTED_VALUE"""),3714.24)</f>
        <v>3714.24</v>
      </c>
      <c r="C665" s="25">
        <f>IFERROR(__xludf.DUMMYFUNCTION("""COMPUTED_VALUE"""),44225.63611111111)</f>
        <v>44225.63611</v>
      </c>
      <c r="D665" s="22">
        <f>IFERROR(__xludf.DUMMYFUNCTION("""COMPUTED_VALUE"""),33.09)</f>
        <v>33.09</v>
      </c>
      <c r="E665" s="26">
        <f t="shared" si="2"/>
        <v>-0.01931150294</v>
      </c>
      <c r="F665" s="25">
        <f>IFERROR(__xludf.DUMMYFUNCTION("""COMPUTED_VALUE"""),44225.63611111111)</f>
        <v>44225.63611</v>
      </c>
      <c r="G665" s="22">
        <f>IFERROR(__xludf.DUMMYFUNCTION("""COMPUTED_VALUE"""),33.88)</f>
        <v>33.88</v>
      </c>
      <c r="H665" s="25">
        <f>IFERROR(__xludf.DUMMYFUNCTION("""COMPUTED_VALUE"""),44225.63611111111)</f>
        <v>44225.63611</v>
      </c>
      <c r="I665" s="22">
        <f>IFERROR(__xludf.DUMMYFUNCTION("""COMPUTED_VALUE"""),33.96)</f>
        <v>33.96</v>
      </c>
      <c r="J665" s="25">
        <f>IFERROR(__xludf.DUMMYFUNCTION("""COMPUTED_VALUE"""),44225.63611111111)</f>
        <v>44225.63611</v>
      </c>
      <c r="K665" s="22">
        <f>IFERROR(__xludf.DUMMYFUNCTION("""COMPUTED_VALUE"""),31.92)</f>
        <v>31.92</v>
      </c>
      <c r="M665" s="22" t="str">
        <f t="shared" si="3"/>
        <v/>
      </c>
      <c r="N665" s="22" t="str">
        <f t="shared" si="4"/>
        <v>PREDICT CRASH</v>
      </c>
    </row>
    <row r="666" ht="15.75" customHeight="1">
      <c r="A666" s="25">
        <f>IFERROR(__xludf.DUMMYFUNCTION("""COMPUTED_VALUE"""),44228.66666666667)</f>
        <v>44228.66667</v>
      </c>
      <c r="B666" s="22">
        <f>IFERROR(__xludf.DUMMYFUNCTION("""COMPUTED_VALUE"""),3773.86)</f>
        <v>3773.86</v>
      </c>
      <c r="C666" s="25">
        <f>IFERROR(__xludf.DUMMYFUNCTION("""COMPUTED_VALUE"""),44228.63611111111)</f>
        <v>44228.63611</v>
      </c>
      <c r="D666" s="22">
        <f>IFERROR(__xludf.DUMMYFUNCTION("""COMPUTED_VALUE"""),30.24)</f>
        <v>30.24</v>
      </c>
      <c r="E666" s="26">
        <f t="shared" si="2"/>
        <v>0.01605173602</v>
      </c>
      <c r="F666" s="25">
        <f>IFERROR(__xludf.DUMMYFUNCTION("""COMPUTED_VALUE"""),44228.63611111111)</f>
        <v>44228.63611</v>
      </c>
      <c r="G666" s="22">
        <f>IFERROR(__xludf.DUMMYFUNCTION("""COMPUTED_VALUE"""),32.53)</f>
        <v>32.53</v>
      </c>
      <c r="H666" s="25">
        <f>IFERROR(__xludf.DUMMYFUNCTION("""COMPUTED_VALUE"""),44228.63611111111)</f>
        <v>44228.63611</v>
      </c>
      <c r="I666" s="22">
        <f>IFERROR(__xludf.DUMMYFUNCTION("""COMPUTED_VALUE"""),32.71)</f>
        <v>32.71</v>
      </c>
      <c r="J666" s="25">
        <f>IFERROR(__xludf.DUMMYFUNCTION("""COMPUTED_VALUE"""),44228.63611111111)</f>
        <v>44228.63611</v>
      </c>
      <c r="K666" s="22">
        <f>IFERROR(__xludf.DUMMYFUNCTION("""COMPUTED_VALUE"""),31.04)</f>
        <v>31.04</v>
      </c>
      <c r="M666" s="22" t="str">
        <f t="shared" si="3"/>
        <v/>
      </c>
      <c r="N666" s="22" t="str">
        <f t="shared" si="4"/>
        <v>PREDICT CRASH</v>
      </c>
    </row>
    <row r="667" ht="15.75" customHeight="1">
      <c r="A667" s="25">
        <f>IFERROR(__xludf.DUMMYFUNCTION("""COMPUTED_VALUE"""),44229.66666666667)</f>
        <v>44229.66667</v>
      </c>
      <c r="B667" s="22">
        <f>IFERROR(__xludf.DUMMYFUNCTION("""COMPUTED_VALUE"""),3826.31)</f>
        <v>3826.31</v>
      </c>
      <c r="C667" s="25">
        <f>IFERROR(__xludf.DUMMYFUNCTION("""COMPUTED_VALUE"""),44229.63611111111)</f>
        <v>44229.63611</v>
      </c>
      <c r="D667" s="22">
        <f>IFERROR(__xludf.DUMMYFUNCTION("""COMPUTED_VALUE"""),25.56)</f>
        <v>25.56</v>
      </c>
      <c r="E667" s="26">
        <f t="shared" si="2"/>
        <v>0.01389823682</v>
      </c>
      <c r="F667" s="25">
        <f>IFERROR(__xludf.DUMMYFUNCTION("""COMPUTED_VALUE"""),44229.63611111111)</f>
        <v>44229.63611</v>
      </c>
      <c r="G667" s="22">
        <f>IFERROR(__xludf.DUMMYFUNCTION("""COMPUTED_VALUE"""),29.36)</f>
        <v>29.36</v>
      </c>
      <c r="H667" s="25">
        <f>IFERROR(__xludf.DUMMYFUNCTION("""COMPUTED_VALUE"""),44229.63611111111)</f>
        <v>44229.63611</v>
      </c>
      <c r="I667" s="22">
        <f>IFERROR(__xludf.DUMMYFUNCTION("""COMPUTED_VALUE"""),30.56)</f>
        <v>30.56</v>
      </c>
      <c r="J667" s="25">
        <f>IFERROR(__xludf.DUMMYFUNCTION("""COMPUTED_VALUE"""),44229.63611111111)</f>
        <v>44229.63611</v>
      </c>
      <c r="K667" s="22">
        <f>IFERROR(__xludf.DUMMYFUNCTION("""COMPUTED_VALUE"""),29.7)</f>
        <v>29.7</v>
      </c>
      <c r="M667" s="22" t="str">
        <f t="shared" si="3"/>
        <v/>
      </c>
      <c r="N667" s="22" t="str">
        <f t="shared" si="4"/>
        <v>PREDICT CRASH</v>
      </c>
    </row>
    <row r="668" ht="15.75" customHeight="1">
      <c r="A668" s="25">
        <f>IFERROR(__xludf.DUMMYFUNCTION("""COMPUTED_VALUE"""),44230.66666666667)</f>
        <v>44230.66667</v>
      </c>
      <c r="B668" s="22">
        <f>IFERROR(__xludf.DUMMYFUNCTION("""COMPUTED_VALUE"""),3830.17)</f>
        <v>3830.17</v>
      </c>
      <c r="C668" s="25">
        <f>IFERROR(__xludf.DUMMYFUNCTION("""COMPUTED_VALUE"""),44230.63611111111)</f>
        <v>44230.63611</v>
      </c>
      <c r="D668" s="22">
        <f>IFERROR(__xludf.DUMMYFUNCTION("""COMPUTED_VALUE"""),22.91)</f>
        <v>22.91</v>
      </c>
      <c r="E668" s="26">
        <f t="shared" si="2"/>
        <v>0.001008804828</v>
      </c>
      <c r="F668" s="25">
        <f>IFERROR(__xludf.DUMMYFUNCTION("""COMPUTED_VALUE"""),44230.63611111111)</f>
        <v>44230.63611</v>
      </c>
      <c r="G668" s="22">
        <f>IFERROR(__xludf.DUMMYFUNCTION("""COMPUTED_VALUE"""),27.57)</f>
        <v>27.57</v>
      </c>
      <c r="H668" s="25">
        <f>IFERROR(__xludf.DUMMYFUNCTION("""COMPUTED_VALUE"""),44230.63611111111)</f>
        <v>44230.63611</v>
      </c>
      <c r="I668" s="22">
        <f>IFERROR(__xludf.DUMMYFUNCTION("""COMPUTED_VALUE"""),29.27)</f>
        <v>29.27</v>
      </c>
      <c r="J668" s="25">
        <f>IFERROR(__xludf.DUMMYFUNCTION("""COMPUTED_VALUE"""),44230.63611111111)</f>
        <v>44230.63611</v>
      </c>
      <c r="K668" s="22">
        <f>IFERROR(__xludf.DUMMYFUNCTION("""COMPUTED_VALUE"""),28.8)</f>
        <v>28.8</v>
      </c>
      <c r="M668" s="22" t="str">
        <f t="shared" si="3"/>
        <v/>
      </c>
      <c r="N668" s="22" t="str">
        <f t="shared" si="4"/>
        <v/>
      </c>
    </row>
    <row r="669" ht="15.75" customHeight="1">
      <c r="A669" s="25">
        <f>IFERROR(__xludf.DUMMYFUNCTION("""COMPUTED_VALUE"""),44231.66666666667)</f>
        <v>44231.66667</v>
      </c>
      <c r="B669" s="22">
        <f>IFERROR(__xludf.DUMMYFUNCTION("""COMPUTED_VALUE"""),3871.74)</f>
        <v>3871.74</v>
      </c>
      <c r="C669" s="25">
        <f>IFERROR(__xludf.DUMMYFUNCTION("""COMPUTED_VALUE"""),44231.63611111111)</f>
        <v>44231.63611</v>
      </c>
      <c r="D669" s="22">
        <f>IFERROR(__xludf.DUMMYFUNCTION("""COMPUTED_VALUE"""),21.77)</f>
        <v>21.77</v>
      </c>
      <c r="E669" s="26">
        <f t="shared" si="2"/>
        <v>0.01085330416</v>
      </c>
      <c r="F669" s="25">
        <f>IFERROR(__xludf.DUMMYFUNCTION("""COMPUTED_VALUE"""),44231.63611111111)</f>
        <v>44231.63611</v>
      </c>
      <c r="G669" s="22">
        <f>IFERROR(__xludf.DUMMYFUNCTION("""COMPUTED_VALUE"""),26.79)</f>
        <v>26.79</v>
      </c>
      <c r="H669" s="25">
        <f>IFERROR(__xludf.DUMMYFUNCTION("""COMPUTED_VALUE"""),44231.63611111111)</f>
        <v>44231.63611</v>
      </c>
      <c r="I669" s="22">
        <f>IFERROR(__xludf.DUMMYFUNCTION("""COMPUTED_VALUE"""),28.61)</f>
        <v>28.61</v>
      </c>
      <c r="J669" s="25">
        <f>IFERROR(__xludf.DUMMYFUNCTION("""COMPUTED_VALUE"""),44231.63611111111)</f>
        <v>44231.63611</v>
      </c>
      <c r="K669" s="22">
        <f>IFERROR(__xludf.DUMMYFUNCTION("""COMPUTED_VALUE"""),28.35)</f>
        <v>28.35</v>
      </c>
      <c r="M669" s="22" t="str">
        <f t="shared" si="3"/>
        <v/>
      </c>
      <c r="N669" s="22" t="str">
        <f t="shared" si="4"/>
        <v/>
      </c>
    </row>
    <row r="670" ht="15.75" customHeight="1">
      <c r="A670" s="25">
        <f>IFERROR(__xludf.DUMMYFUNCTION("""COMPUTED_VALUE"""),44232.66666666667)</f>
        <v>44232.66667</v>
      </c>
      <c r="B670" s="22">
        <f>IFERROR(__xludf.DUMMYFUNCTION("""COMPUTED_VALUE"""),3886.83)</f>
        <v>3886.83</v>
      </c>
      <c r="C670" s="25">
        <f>IFERROR(__xludf.DUMMYFUNCTION("""COMPUTED_VALUE"""),44232.63611111111)</f>
        <v>44232.63611</v>
      </c>
      <c r="D670" s="22">
        <f>IFERROR(__xludf.DUMMYFUNCTION("""COMPUTED_VALUE"""),20.87)</f>
        <v>20.87</v>
      </c>
      <c r="E670" s="26">
        <f t="shared" si="2"/>
        <v>0.003897472454</v>
      </c>
      <c r="F670" s="25">
        <f>IFERROR(__xludf.DUMMYFUNCTION("""COMPUTED_VALUE"""),44232.63611111111)</f>
        <v>44232.63611</v>
      </c>
      <c r="G670" s="22">
        <f>IFERROR(__xludf.DUMMYFUNCTION("""COMPUTED_VALUE"""),26.52)</f>
        <v>26.52</v>
      </c>
      <c r="H670" s="25">
        <f>IFERROR(__xludf.DUMMYFUNCTION("""COMPUTED_VALUE"""),44232.63611111111)</f>
        <v>44232.63611</v>
      </c>
      <c r="I670" s="22">
        <f>IFERROR(__xludf.DUMMYFUNCTION("""COMPUTED_VALUE"""),28.59)</f>
        <v>28.59</v>
      </c>
      <c r="J670" s="25">
        <f>IFERROR(__xludf.DUMMYFUNCTION("""COMPUTED_VALUE"""),44232.63611111111)</f>
        <v>44232.63611</v>
      </c>
      <c r="K670" s="22">
        <f>IFERROR(__xludf.DUMMYFUNCTION("""COMPUTED_VALUE"""),28.41)</f>
        <v>28.41</v>
      </c>
      <c r="M670" s="22" t="str">
        <f t="shared" si="3"/>
        <v/>
      </c>
      <c r="N670" s="22" t="str">
        <f t="shared" si="4"/>
        <v/>
      </c>
    </row>
    <row r="671" ht="15.75" customHeight="1">
      <c r="A671" s="25">
        <f>IFERROR(__xludf.DUMMYFUNCTION("""COMPUTED_VALUE"""),44235.66666666667)</f>
        <v>44235.66667</v>
      </c>
      <c r="B671" s="22">
        <f>IFERROR(__xludf.DUMMYFUNCTION("""COMPUTED_VALUE"""),3915.59)</f>
        <v>3915.59</v>
      </c>
      <c r="C671" s="25">
        <f>IFERROR(__xludf.DUMMYFUNCTION("""COMPUTED_VALUE"""),44235.63611111111)</f>
        <v>44235.63611</v>
      </c>
      <c r="D671" s="22">
        <f>IFERROR(__xludf.DUMMYFUNCTION("""COMPUTED_VALUE"""),21.24)</f>
        <v>21.24</v>
      </c>
      <c r="E671" s="26">
        <f t="shared" si="2"/>
        <v>0.007399345997</v>
      </c>
      <c r="F671" s="25">
        <f>IFERROR(__xludf.DUMMYFUNCTION("""COMPUTED_VALUE"""),44235.63611111111)</f>
        <v>44235.63611</v>
      </c>
      <c r="G671" s="22">
        <f>IFERROR(__xludf.DUMMYFUNCTION("""COMPUTED_VALUE"""),26.65)</f>
        <v>26.65</v>
      </c>
      <c r="H671" s="25">
        <f>IFERROR(__xludf.DUMMYFUNCTION("""COMPUTED_VALUE"""),44235.63611111111)</f>
        <v>44235.63611</v>
      </c>
      <c r="I671" s="22">
        <f>IFERROR(__xludf.DUMMYFUNCTION("""COMPUTED_VALUE"""),28.76)</f>
        <v>28.76</v>
      </c>
      <c r="J671" s="25">
        <f>IFERROR(__xludf.DUMMYFUNCTION("""COMPUTED_VALUE"""),44235.63611111111)</f>
        <v>44235.63611</v>
      </c>
      <c r="K671" s="22">
        <f>IFERROR(__xludf.DUMMYFUNCTION("""COMPUTED_VALUE"""),28.41)</f>
        <v>28.41</v>
      </c>
      <c r="M671" s="22" t="str">
        <f t="shared" si="3"/>
        <v/>
      </c>
      <c r="N671" s="22" t="str">
        <f t="shared" si="4"/>
        <v/>
      </c>
    </row>
    <row r="672" ht="15.75" customHeight="1">
      <c r="A672" s="25">
        <f>IFERROR(__xludf.DUMMYFUNCTION("""COMPUTED_VALUE"""),44236.66666666667)</f>
        <v>44236.66667</v>
      </c>
      <c r="B672" s="22">
        <f>IFERROR(__xludf.DUMMYFUNCTION("""COMPUTED_VALUE"""),3911.23)</f>
        <v>3911.23</v>
      </c>
      <c r="C672" s="25">
        <f>IFERROR(__xludf.DUMMYFUNCTION("""COMPUTED_VALUE"""),44236.63611111111)</f>
        <v>44236.63611</v>
      </c>
      <c r="D672" s="22">
        <f>IFERROR(__xludf.DUMMYFUNCTION("""COMPUTED_VALUE"""),21.63)</f>
        <v>21.63</v>
      </c>
      <c r="E672" s="26">
        <f t="shared" si="2"/>
        <v>-0.001113497583</v>
      </c>
      <c r="F672" s="25">
        <f>IFERROR(__xludf.DUMMYFUNCTION("""COMPUTED_VALUE"""),44236.63611111111)</f>
        <v>44236.63611</v>
      </c>
      <c r="G672" s="22">
        <f>IFERROR(__xludf.DUMMYFUNCTION("""COMPUTED_VALUE"""),27.11)</f>
        <v>27.11</v>
      </c>
      <c r="H672" s="25">
        <f>IFERROR(__xludf.DUMMYFUNCTION("""COMPUTED_VALUE"""),44236.63611111111)</f>
        <v>44236.63611</v>
      </c>
      <c r="I672" s="22">
        <f>IFERROR(__xludf.DUMMYFUNCTION("""COMPUTED_VALUE"""),29.19)</f>
        <v>29.19</v>
      </c>
      <c r="J672" s="25">
        <f>IFERROR(__xludf.DUMMYFUNCTION("""COMPUTED_VALUE"""),44236.63611111111)</f>
        <v>44236.63611</v>
      </c>
      <c r="K672" s="22">
        <f>IFERROR(__xludf.DUMMYFUNCTION("""COMPUTED_VALUE"""),28.63)</f>
        <v>28.63</v>
      </c>
      <c r="M672" s="22" t="str">
        <f t="shared" si="3"/>
        <v/>
      </c>
      <c r="N672" s="22" t="str">
        <f t="shared" si="4"/>
        <v/>
      </c>
    </row>
    <row r="673" ht="15.75" customHeight="1">
      <c r="A673" s="25">
        <f>IFERROR(__xludf.DUMMYFUNCTION("""COMPUTED_VALUE"""),44237.66666666667)</f>
        <v>44237.66667</v>
      </c>
      <c r="B673" s="22">
        <f>IFERROR(__xludf.DUMMYFUNCTION("""COMPUTED_VALUE"""),3909.88)</f>
        <v>3909.88</v>
      </c>
      <c r="C673" s="25">
        <f>IFERROR(__xludf.DUMMYFUNCTION("""COMPUTED_VALUE"""),44237.63611111111)</f>
        <v>44237.63611</v>
      </c>
      <c r="D673" s="22">
        <f>IFERROR(__xludf.DUMMYFUNCTION("""COMPUTED_VALUE"""),21.99)</f>
        <v>21.99</v>
      </c>
      <c r="E673" s="26">
        <f t="shared" si="2"/>
        <v>-0.0003451599625</v>
      </c>
      <c r="F673" s="25">
        <f>IFERROR(__xludf.DUMMYFUNCTION("""COMPUTED_VALUE"""),44237.63611111111)</f>
        <v>44237.63611</v>
      </c>
      <c r="G673" s="22">
        <f>IFERROR(__xludf.DUMMYFUNCTION("""COMPUTED_VALUE"""),27.49)</f>
        <v>27.49</v>
      </c>
      <c r="H673" s="25">
        <f>IFERROR(__xludf.DUMMYFUNCTION("""COMPUTED_VALUE"""),44237.63611111111)</f>
        <v>44237.63611</v>
      </c>
      <c r="I673" s="22">
        <f>IFERROR(__xludf.DUMMYFUNCTION("""COMPUTED_VALUE"""),30.0)</f>
        <v>30</v>
      </c>
      <c r="J673" s="25">
        <f>IFERROR(__xludf.DUMMYFUNCTION("""COMPUTED_VALUE"""),44237.63611111111)</f>
        <v>44237.63611</v>
      </c>
      <c r="K673" s="22">
        <f>IFERROR(__xludf.DUMMYFUNCTION("""COMPUTED_VALUE"""),28.99)</f>
        <v>28.99</v>
      </c>
      <c r="M673" s="22" t="str">
        <f t="shared" si="3"/>
        <v/>
      </c>
      <c r="N673" s="22" t="str">
        <f t="shared" si="4"/>
        <v/>
      </c>
    </row>
    <row r="674" ht="15.75" customHeight="1">
      <c r="A674" s="25">
        <f>IFERROR(__xludf.DUMMYFUNCTION("""COMPUTED_VALUE"""),44238.66666666667)</f>
        <v>44238.66667</v>
      </c>
      <c r="B674" s="22">
        <f>IFERROR(__xludf.DUMMYFUNCTION("""COMPUTED_VALUE"""),3916.38)</f>
        <v>3916.38</v>
      </c>
      <c r="C674" s="25">
        <f>IFERROR(__xludf.DUMMYFUNCTION("""COMPUTED_VALUE"""),44238.63611111111)</f>
        <v>44238.63611</v>
      </c>
      <c r="D674" s="22">
        <f>IFERROR(__xludf.DUMMYFUNCTION("""COMPUTED_VALUE"""),21.25)</f>
        <v>21.25</v>
      </c>
      <c r="E674" s="26">
        <f t="shared" si="2"/>
        <v>0.001662455114</v>
      </c>
      <c r="F674" s="25">
        <f>IFERROR(__xludf.DUMMYFUNCTION("""COMPUTED_VALUE"""),44238.63611111111)</f>
        <v>44238.63611</v>
      </c>
      <c r="G674" s="22">
        <f>IFERROR(__xludf.DUMMYFUNCTION("""COMPUTED_VALUE"""),27.22)</f>
        <v>27.22</v>
      </c>
      <c r="H674" s="25">
        <f>IFERROR(__xludf.DUMMYFUNCTION("""COMPUTED_VALUE"""),44238.63611111111)</f>
        <v>44238.63611</v>
      </c>
      <c r="I674" s="22">
        <f>IFERROR(__xludf.DUMMYFUNCTION("""COMPUTED_VALUE"""),29.57)</f>
        <v>29.57</v>
      </c>
      <c r="J674" s="25">
        <f>IFERROR(__xludf.DUMMYFUNCTION("""COMPUTED_VALUE"""),44238.63611111111)</f>
        <v>44238.63611</v>
      </c>
      <c r="K674" s="22">
        <f>IFERROR(__xludf.DUMMYFUNCTION("""COMPUTED_VALUE"""),28.96)</f>
        <v>28.96</v>
      </c>
      <c r="M674" s="22" t="str">
        <f t="shared" si="3"/>
        <v/>
      </c>
      <c r="N674" s="22" t="str">
        <f t="shared" si="4"/>
        <v/>
      </c>
    </row>
    <row r="675" ht="15.75" customHeight="1">
      <c r="A675" s="25">
        <f>IFERROR(__xludf.DUMMYFUNCTION("""COMPUTED_VALUE"""),44239.66666666667)</f>
        <v>44239.66667</v>
      </c>
      <c r="B675" s="22">
        <f>IFERROR(__xludf.DUMMYFUNCTION("""COMPUTED_VALUE"""),3934.83)</f>
        <v>3934.83</v>
      </c>
      <c r="C675" s="25">
        <f>IFERROR(__xludf.DUMMYFUNCTION("""COMPUTED_VALUE"""),44239.63611111111)</f>
        <v>44239.63611</v>
      </c>
      <c r="D675" s="22">
        <f>IFERROR(__xludf.DUMMYFUNCTION("""COMPUTED_VALUE"""),19.97)</f>
        <v>19.97</v>
      </c>
      <c r="E675" s="26">
        <f t="shared" si="2"/>
        <v>0.004710983102</v>
      </c>
      <c r="F675" s="25">
        <f>IFERROR(__xludf.DUMMYFUNCTION("""COMPUTED_VALUE"""),44239.63611111111)</f>
        <v>44239.63611</v>
      </c>
      <c r="G675" s="22">
        <f>IFERROR(__xludf.DUMMYFUNCTION("""COMPUTED_VALUE"""),26.5)</f>
        <v>26.5</v>
      </c>
      <c r="H675" s="25">
        <f>IFERROR(__xludf.DUMMYFUNCTION("""COMPUTED_VALUE"""),44239.63611111111)</f>
        <v>44239.63611</v>
      </c>
      <c r="I675" s="22">
        <f>IFERROR(__xludf.DUMMYFUNCTION("""COMPUTED_VALUE"""),29.34)</f>
        <v>29.34</v>
      </c>
      <c r="J675" s="25">
        <f>IFERROR(__xludf.DUMMYFUNCTION("""COMPUTED_VALUE"""),44239.63611111111)</f>
        <v>44239.63611</v>
      </c>
      <c r="K675" s="22">
        <f>IFERROR(__xludf.DUMMYFUNCTION("""COMPUTED_VALUE"""),28.84)</f>
        <v>28.84</v>
      </c>
      <c r="M675" s="22" t="str">
        <f t="shared" si="3"/>
        <v/>
      </c>
      <c r="N675" s="22" t="str">
        <f t="shared" si="4"/>
        <v/>
      </c>
    </row>
    <row r="676" ht="15.75" customHeight="1">
      <c r="A676" s="25">
        <f>IFERROR(__xludf.DUMMYFUNCTION("""COMPUTED_VALUE"""),44243.66666666667)</f>
        <v>44243.66667</v>
      </c>
      <c r="B676" s="22">
        <f>IFERROR(__xludf.DUMMYFUNCTION("""COMPUTED_VALUE"""),3932.59)</f>
        <v>3932.59</v>
      </c>
      <c r="C676" s="25">
        <f>IFERROR(__xludf.DUMMYFUNCTION("""COMPUTED_VALUE"""),44243.63611111111)</f>
        <v>44243.63611</v>
      </c>
      <c r="D676" s="22">
        <f>IFERROR(__xludf.DUMMYFUNCTION("""COMPUTED_VALUE"""),21.46)</f>
        <v>21.46</v>
      </c>
      <c r="E676" s="26">
        <f t="shared" si="2"/>
        <v>-0.0005692749115</v>
      </c>
      <c r="F676" s="25">
        <f>IFERROR(__xludf.DUMMYFUNCTION("""COMPUTED_VALUE"""),44243.63611111111)</f>
        <v>44243.63611</v>
      </c>
      <c r="G676" s="22">
        <f>IFERROR(__xludf.DUMMYFUNCTION("""COMPUTED_VALUE"""),27.55)</f>
        <v>27.55</v>
      </c>
      <c r="H676" s="25">
        <f>IFERROR(__xludf.DUMMYFUNCTION("""COMPUTED_VALUE"""),44243.63611111111)</f>
        <v>44243.63611</v>
      </c>
      <c r="I676" s="22">
        <f>IFERROR(__xludf.DUMMYFUNCTION("""COMPUTED_VALUE"""),30.18)</f>
        <v>30.18</v>
      </c>
      <c r="J676" s="25">
        <f>IFERROR(__xludf.DUMMYFUNCTION("""COMPUTED_VALUE"""),44243.63611111111)</f>
        <v>44243.63611</v>
      </c>
      <c r="K676" s="22">
        <f>IFERROR(__xludf.DUMMYFUNCTION("""COMPUTED_VALUE"""),29.41)</f>
        <v>29.41</v>
      </c>
      <c r="M676" s="22" t="str">
        <f t="shared" si="3"/>
        <v/>
      </c>
      <c r="N676" s="22" t="str">
        <f t="shared" si="4"/>
        <v/>
      </c>
    </row>
    <row r="677" ht="15.75" customHeight="1">
      <c r="A677" s="25">
        <f>IFERROR(__xludf.DUMMYFUNCTION("""COMPUTED_VALUE"""),44244.66666666667)</f>
        <v>44244.66667</v>
      </c>
      <c r="B677" s="22">
        <f>IFERROR(__xludf.DUMMYFUNCTION("""COMPUTED_VALUE"""),3931.33)</f>
        <v>3931.33</v>
      </c>
      <c r="C677" s="25">
        <f>IFERROR(__xludf.DUMMYFUNCTION("""COMPUTED_VALUE"""),44244.63611111111)</f>
        <v>44244.63611</v>
      </c>
      <c r="D677" s="22">
        <f>IFERROR(__xludf.DUMMYFUNCTION("""COMPUTED_VALUE"""),21.5)</f>
        <v>21.5</v>
      </c>
      <c r="E677" s="26">
        <f t="shared" si="2"/>
        <v>-0.0003203995331</v>
      </c>
      <c r="F677" s="25">
        <f>IFERROR(__xludf.DUMMYFUNCTION("""COMPUTED_VALUE"""),44244.63611111111)</f>
        <v>44244.63611</v>
      </c>
      <c r="G677" s="22">
        <f>IFERROR(__xludf.DUMMYFUNCTION("""COMPUTED_VALUE"""),27.52)</f>
        <v>27.52</v>
      </c>
      <c r="H677" s="25">
        <f>IFERROR(__xludf.DUMMYFUNCTION("""COMPUTED_VALUE"""),44244.63611111111)</f>
        <v>44244.63611</v>
      </c>
      <c r="I677" s="22">
        <f>IFERROR(__xludf.DUMMYFUNCTION("""COMPUTED_VALUE"""),30.22)</f>
        <v>30.22</v>
      </c>
      <c r="J677" s="25">
        <f>IFERROR(__xludf.DUMMYFUNCTION("""COMPUTED_VALUE"""),44244.63611111111)</f>
        <v>44244.63611</v>
      </c>
      <c r="K677" s="22">
        <f>IFERROR(__xludf.DUMMYFUNCTION("""COMPUTED_VALUE"""),29.4)</f>
        <v>29.4</v>
      </c>
      <c r="M677" s="22" t="str">
        <f t="shared" si="3"/>
        <v/>
      </c>
      <c r="N677" s="22" t="str">
        <f t="shared" si="4"/>
        <v/>
      </c>
    </row>
    <row r="678" ht="15.75" customHeight="1">
      <c r="A678" s="25">
        <f>IFERROR(__xludf.DUMMYFUNCTION("""COMPUTED_VALUE"""),44245.66666666667)</f>
        <v>44245.66667</v>
      </c>
      <c r="B678" s="22">
        <f>IFERROR(__xludf.DUMMYFUNCTION("""COMPUTED_VALUE"""),3913.97)</f>
        <v>3913.97</v>
      </c>
      <c r="C678" s="25">
        <f>IFERROR(__xludf.DUMMYFUNCTION("""COMPUTED_VALUE"""),44245.63611111111)</f>
        <v>44245.63611</v>
      </c>
      <c r="D678" s="22">
        <f>IFERROR(__xludf.DUMMYFUNCTION("""COMPUTED_VALUE"""),22.49)</f>
        <v>22.49</v>
      </c>
      <c r="E678" s="26">
        <f t="shared" si="2"/>
        <v>-0.004415808391</v>
      </c>
      <c r="F678" s="25">
        <f>IFERROR(__xludf.DUMMYFUNCTION("""COMPUTED_VALUE"""),44245.63611111111)</f>
        <v>44245.63611</v>
      </c>
      <c r="G678" s="22">
        <f>IFERROR(__xludf.DUMMYFUNCTION("""COMPUTED_VALUE"""),27.86)</f>
        <v>27.86</v>
      </c>
      <c r="H678" s="25">
        <f>IFERROR(__xludf.DUMMYFUNCTION("""COMPUTED_VALUE"""),44245.63611111111)</f>
        <v>44245.63611</v>
      </c>
      <c r="I678" s="22">
        <f>IFERROR(__xludf.DUMMYFUNCTION("""COMPUTED_VALUE"""),29.7)</f>
        <v>29.7</v>
      </c>
      <c r="J678" s="25">
        <f>IFERROR(__xludf.DUMMYFUNCTION("""COMPUTED_VALUE"""),44245.63611111111)</f>
        <v>44245.63611</v>
      </c>
      <c r="K678" s="22">
        <f>IFERROR(__xludf.DUMMYFUNCTION("""COMPUTED_VALUE"""),29.52)</f>
        <v>29.52</v>
      </c>
      <c r="M678" s="22" t="str">
        <f t="shared" si="3"/>
        <v/>
      </c>
      <c r="N678" s="22" t="str">
        <f t="shared" si="4"/>
        <v/>
      </c>
    </row>
    <row r="679" ht="15.75" customHeight="1">
      <c r="A679" s="25">
        <f>IFERROR(__xludf.DUMMYFUNCTION("""COMPUTED_VALUE"""),44246.66666666667)</f>
        <v>44246.66667</v>
      </c>
      <c r="B679" s="22">
        <f>IFERROR(__xludf.DUMMYFUNCTION("""COMPUTED_VALUE"""),3906.71)</f>
        <v>3906.71</v>
      </c>
      <c r="C679" s="25">
        <f>IFERROR(__xludf.DUMMYFUNCTION("""COMPUTED_VALUE"""),44246.63611111111)</f>
        <v>44246.63611</v>
      </c>
      <c r="D679" s="22">
        <f>IFERROR(__xludf.DUMMYFUNCTION("""COMPUTED_VALUE"""),22.05)</f>
        <v>22.05</v>
      </c>
      <c r="E679" s="26">
        <f t="shared" si="2"/>
        <v>-0.001854894136</v>
      </c>
      <c r="F679" s="25">
        <f>IFERROR(__xludf.DUMMYFUNCTION("""COMPUTED_VALUE"""),44246.63611111111)</f>
        <v>44246.63611</v>
      </c>
      <c r="G679" s="22">
        <f>IFERROR(__xludf.DUMMYFUNCTION("""COMPUTED_VALUE"""),27.09)</f>
        <v>27.09</v>
      </c>
      <c r="H679" s="25">
        <f>IFERROR(__xludf.DUMMYFUNCTION("""COMPUTED_VALUE"""),44246.63611111111)</f>
        <v>44246.63611</v>
      </c>
      <c r="I679" s="22">
        <f>IFERROR(__xludf.DUMMYFUNCTION("""COMPUTED_VALUE"""),29.36)</f>
        <v>29.36</v>
      </c>
      <c r="J679" s="25">
        <f>IFERROR(__xludf.DUMMYFUNCTION("""COMPUTED_VALUE"""),44246.63611111111)</f>
        <v>44246.63611</v>
      </c>
      <c r="K679" s="22">
        <f>IFERROR(__xludf.DUMMYFUNCTION("""COMPUTED_VALUE"""),29.27)</f>
        <v>29.27</v>
      </c>
      <c r="M679" s="22" t="str">
        <f t="shared" si="3"/>
        <v/>
      </c>
      <c r="N679" s="22" t="str">
        <f t="shared" si="4"/>
        <v/>
      </c>
    </row>
    <row r="680" ht="15.75" customHeight="1">
      <c r="A680" s="25">
        <f>IFERROR(__xludf.DUMMYFUNCTION("""COMPUTED_VALUE"""),44249.66666666667)</f>
        <v>44249.66667</v>
      </c>
      <c r="B680" s="22">
        <f>IFERROR(__xludf.DUMMYFUNCTION("""COMPUTED_VALUE"""),3876.5)</f>
        <v>3876.5</v>
      </c>
      <c r="C680" s="25">
        <f>IFERROR(__xludf.DUMMYFUNCTION("""COMPUTED_VALUE"""),44249.63611111111)</f>
        <v>44249.63611</v>
      </c>
      <c r="D680" s="22">
        <f>IFERROR(__xludf.DUMMYFUNCTION("""COMPUTED_VALUE"""),23.45)</f>
        <v>23.45</v>
      </c>
      <c r="E680" s="26">
        <f t="shared" si="2"/>
        <v>-0.00773284938</v>
      </c>
      <c r="F680" s="25">
        <f>IFERROR(__xludf.DUMMYFUNCTION("""COMPUTED_VALUE"""),44249.63611111111)</f>
        <v>44249.63611</v>
      </c>
      <c r="G680" s="22">
        <f>IFERROR(__xludf.DUMMYFUNCTION("""COMPUTED_VALUE"""),27.81)</f>
        <v>27.81</v>
      </c>
      <c r="H680" s="25">
        <f>IFERROR(__xludf.DUMMYFUNCTION("""COMPUTED_VALUE"""),44249.63611111111)</f>
        <v>44249.63611</v>
      </c>
      <c r="I680" s="22">
        <f>IFERROR(__xludf.DUMMYFUNCTION("""COMPUTED_VALUE"""),29.99)</f>
        <v>29.99</v>
      </c>
      <c r="J680" s="25">
        <f>IFERROR(__xludf.DUMMYFUNCTION("""COMPUTED_VALUE"""),44249.63611111111)</f>
        <v>44249.63611</v>
      </c>
      <c r="K680" s="22">
        <f>IFERROR(__xludf.DUMMYFUNCTION("""COMPUTED_VALUE"""),29.43)</f>
        <v>29.43</v>
      </c>
      <c r="M680" s="22" t="str">
        <f t="shared" si="3"/>
        <v/>
      </c>
      <c r="N680" s="22" t="str">
        <f t="shared" si="4"/>
        <v/>
      </c>
    </row>
    <row r="681" ht="15.75" customHeight="1">
      <c r="A681" s="25">
        <f>IFERROR(__xludf.DUMMYFUNCTION("""COMPUTED_VALUE"""),44250.66666666667)</f>
        <v>44250.66667</v>
      </c>
      <c r="B681" s="22">
        <f>IFERROR(__xludf.DUMMYFUNCTION("""COMPUTED_VALUE"""),3881.37)</f>
        <v>3881.37</v>
      </c>
      <c r="C681" s="25">
        <f>IFERROR(__xludf.DUMMYFUNCTION("""COMPUTED_VALUE"""),44250.63611111111)</f>
        <v>44250.63611</v>
      </c>
      <c r="D681" s="22">
        <f>IFERROR(__xludf.DUMMYFUNCTION("""COMPUTED_VALUE"""),23.11)</f>
        <v>23.11</v>
      </c>
      <c r="E681" s="26">
        <f t="shared" si="2"/>
        <v>0.001256287889</v>
      </c>
      <c r="F681" s="25">
        <f>IFERROR(__xludf.DUMMYFUNCTION("""COMPUTED_VALUE"""),44250.63611111111)</f>
        <v>44250.63611</v>
      </c>
      <c r="G681" s="22">
        <f>IFERROR(__xludf.DUMMYFUNCTION("""COMPUTED_VALUE"""),27.12)</f>
        <v>27.12</v>
      </c>
      <c r="H681" s="25">
        <f>IFERROR(__xludf.DUMMYFUNCTION("""COMPUTED_VALUE"""),44250.63611111111)</f>
        <v>44250.63611</v>
      </c>
      <c r="I681" s="22">
        <f>IFERROR(__xludf.DUMMYFUNCTION("""COMPUTED_VALUE"""),29.4)</f>
        <v>29.4</v>
      </c>
      <c r="J681" s="25">
        <f>IFERROR(__xludf.DUMMYFUNCTION("""COMPUTED_VALUE"""),44250.63611111111)</f>
        <v>44250.63611</v>
      </c>
      <c r="K681" s="22">
        <f>IFERROR(__xludf.DUMMYFUNCTION("""COMPUTED_VALUE"""),28.95)</f>
        <v>28.95</v>
      </c>
      <c r="M681" s="22" t="str">
        <f t="shared" si="3"/>
        <v/>
      </c>
      <c r="N681" s="22" t="str">
        <f t="shared" si="4"/>
        <v/>
      </c>
    </row>
    <row r="682" ht="15.75" customHeight="1">
      <c r="A682" s="25">
        <f>IFERROR(__xludf.DUMMYFUNCTION("""COMPUTED_VALUE"""),44251.66666666667)</f>
        <v>44251.66667</v>
      </c>
      <c r="B682" s="22">
        <f>IFERROR(__xludf.DUMMYFUNCTION("""COMPUTED_VALUE"""),3925.43)</f>
        <v>3925.43</v>
      </c>
      <c r="C682" s="25">
        <f>IFERROR(__xludf.DUMMYFUNCTION("""COMPUTED_VALUE"""),44251.63611111111)</f>
        <v>44251.63611</v>
      </c>
      <c r="D682" s="22">
        <f>IFERROR(__xludf.DUMMYFUNCTION("""COMPUTED_VALUE"""),21.34)</f>
        <v>21.34</v>
      </c>
      <c r="E682" s="26">
        <f t="shared" si="2"/>
        <v>0.01135166191</v>
      </c>
      <c r="F682" s="25">
        <f>IFERROR(__xludf.DUMMYFUNCTION("""COMPUTED_VALUE"""),44251.63611111111)</f>
        <v>44251.63611</v>
      </c>
      <c r="G682" s="22">
        <f>IFERROR(__xludf.DUMMYFUNCTION("""COMPUTED_VALUE"""),25.89)</f>
        <v>25.89</v>
      </c>
      <c r="H682" s="25">
        <f>IFERROR(__xludf.DUMMYFUNCTION("""COMPUTED_VALUE"""),44251.63611111111)</f>
        <v>44251.63611</v>
      </c>
      <c r="I682" s="22">
        <f>IFERROR(__xludf.DUMMYFUNCTION("""COMPUTED_VALUE"""),28.79)</f>
        <v>28.79</v>
      </c>
      <c r="J682" s="25">
        <f>IFERROR(__xludf.DUMMYFUNCTION("""COMPUTED_VALUE"""),44251.63611111111)</f>
        <v>44251.63611</v>
      </c>
      <c r="K682" s="22">
        <f>IFERROR(__xludf.DUMMYFUNCTION("""COMPUTED_VALUE"""),28.28)</f>
        <v>28.28</v>
      </c>
      <c r="M682" s="22" t="str">
        <f t="shared" si="3"/>
        <v/>
      </c>
      <c r="N682" s="22" t="str">
        <f t="shared" si="4"/>
        <v/>
      </c>
    </row>
    <row r="683" ht="15.75" customHeight="1">
      <c r="A683" s="25">
        <f>IFERROR(__xludf.DUMMYFUNCTION("""COMPUTED_VALUE"""),44252.66666666667)</f>
        <v>44252.66667</v>
      </c>
      <c r="B683" s="22">
        <f>IFERROR(__xludf.DUMMYFUNCTION("""COMPUTED_VALUE"""),3829.34)</f>
        <v>3829.34</v>
      </c>
      <c r="C683" s="25">
        <f>IFERROR(__xludf.DUMMYFUNCTION("""COMPUTED_VALUE"""),44252.63611111111)</f>
        <v>44252.63611</v>
      </c>
      <c r="D683" s="22">
        <f>IFERROR(__xludf.DUMMYFUNCTION("""COMPUTED_VALUE"""),28.89)</f>
        <v>28.89</v>
      </c>
      <c r="E683" s="26">
        <f t="shared" si="2"/>
        <v>-0.0244788469</v>
      </c>
      <c r="F683" s="25">
        <f>IFERROR(__xludf.DUMMYFUNCTION("""COMPUTED_VALUE"""),44252.63611111111)</f>
        <v>44252.63611</v>
      </c>
      <c r="G683" s="22">
        <f>IFERROR(__xludf.DUMMYFUNCTION("""COMPUTED_VALUE"""),30.24)</f>
        <v>30.24</v>
      </c>
      <c r="H683" s="25">
        <f>IFERROR(__xludf.DUMMYFUNCTION("""COMPUTED_VALUE"""),44252.63611111111)</f>
        <v>44252.63611</v>
      </c>
      <c r="I683" s="22">
        <f>IFERROR(__xludf.DUMMYFUNCTION("""COMPUTED_VALUE"""),31.73)</f>
        <v>31.73</v>
      </c>
      <c r="J683" s="25">
        <f>IFERROR(__xludf.DUMMYFUNCTION("""COMPUTED_VALUE"""),44252.63611111111)</f>
        <v>44252.63611</v>
      </c>
      <c r="K683" s="22">
        <f>IFERROR(__xludf.DUMMYFUNCTION("""COMPUTED_VALUE"""),29.73)</f>
        <v>29.73</v>
      </c>
      <c r="M683" s="22" t="str">
        <f t="shared" si="3"/>
        <v/>
      </c>
      <c r="N683" s="22" t="str">
        <f t="shared" si="4"/>
        <v>PREDICT CRASH</v>
      </c>
    </row>
    <row r="684" ht="15.75" customHeight="1">
      <c r="A684" s="25">
        <f>IFERROR(__xludf.DUMMYFUNCTION("""COMPUTED_VALUE"""),44253.66666666667)</f>
        <v>44253.66667</v>
      </c>
      <c r="B684" s="22">
        <f>IFERROR(__xludf.DUMMYFUNCTION("""COMPUTED_VALUE"""),3811.15)</f>
        <v>3811.15</v>
      </c>
      <c r="C684" s="25">
        <f>IFERROR(__xludf.DUMMYFUNCTION("""COMPUTED_VALUE"""),44253.63611111111)</f>
        <v>44253.63611</v>
      </c>
      <c r="D684" s="22">
        <f>IFERROR(__xludf.DUMMYFUNCTION("""COMPUTED_VALUE"""),27.95)</f>
        <v>27.95</v>
      </c>
      <c r="E684" s="26">
        <f t="shared" si="2"/>
        <v>-0.004750165825</v>
      </c>
      <c r="F684" s="25">
        <f>IFERROR(__xludf.DUMMYFUNCTION("""COMPUTED_VALUE"""),44253.63611111111)</f>
        <v>44253.63611</v>
      </c>
      <c r="G684" s="22">
        <f>IFERROR(__xludf.DUMMYFUNCTION("""COMPUTED_VALUE"""),29.6)</f>
        <v>29.6</v>
      </c>
      <c r="H684" s="25">
        <f>IFERROR(__xludf.DUMMYFUNCTION("""COMPUTED_VALUE"""),44253.63611111111)</f>
        <v>44253.63611</v>
      </c>
      <c r="I684" s="22">
        <f>IFERROR(__xludf.DUMMYFUNCTION("""COMPUTED_VALUE"""),31.3)</f>
        <v>31.3</v>
      </c>
      <c r="J684" s="25">
        <f>IFERROR(__xludf.DUMMYFUNCTION("""COMPUTED_VALUE"""),44253.63611111111)</f>
        <v>44253.63611</v>
      </c>
      <c r="K684" s="22">
        <f>IFERROR(__xludf.DUMMYFUNCTION("""COMPUTED_VALUE"""),29.37)</f>
        <v>29.37</v>
      </c>
      <c r="M684" s="22" t="str">
        <f t="shared" si="3"/>
        <v/>
      </c>
      <c r="N684" s="22" t="str">
        <f t="shared" si="4"/>
        <v>PREDICT CRASH</v>
      </c>
    </row>
    <row r="685" ht="15.75" customHeight="1">
      <c r="A685" s="25">
        <f>IFERROR(__xludf.DUMMYFUNCTION("""COMPUTED_VALUE"""),44256.66666666667)</f>
        <v>44256.66667</v>
      </c>
      <c r="B685" s="22">
        <f>IFERROR(__xludf.DUMMYFUNCTION("""COMPUTED_VALUE"""),3901.82)</f>
        <v>3901.82</v>
      </c>
      <c r="C685" s="25">
        <f>IFERROR(__xludf.DUMMYFUNCTION("""COMPUTED_VALUE"""),44256.63611111111)</f>
        <v>44256.63611</v>
      </c>
      <c r="D685" s="22">
        <f>IFERROR(__xludf.DUMMYFUNCTION("""COMPUTED_VALUE"""),23.35)</f>
        <v>23.35</v>
      </c>
      <c r="E685" s="26">
        <f t="shared" si="2"/>
        <v>0.02379071934</v>
      </c>
      <c r="F685" s="25">
        <f>IFERROR(__xludf.DUMMYFUNCTION("""COMPUTED_VALUE"""),44256.63611111111)</f>
        <v>44256.63611</v>
      </c>
      <c r="G685" s="22">
        <f>IFERROR(__xludf.DUMMYFUNCTION("""COMPUTED_VALUE"""),26.78)</f>
        <v>26.78</v>
      </c>
      <c r="H685" s="25">
        <f>IFERROR(__xludf.DUMMYFUNCTION("""COMPUTED_VALUE"""),44256.63611111111)</f>
        <v>44256.63611</v>
      </c>
      <c r="I685" s="22">
        <f>IFERROR(__xludf.DUMMYFUNCTION("""COMPUTED_VALUE"""),28.91)</f>
        <v>28.91</v>
      </c>
      <c r="J685" s="25">
        <f>IFERROR(__xludf.DUMMYFUNCTION("""COMPUTED_VALUE"""),44256.63611111111)</f>
        <v>44256.63611</v>
      </c>
      <c r="K685" s="22">
        <f>IFERROR(__xludf.DUMMYFUNCTION("""COMPUTED_VALUE"""),28.03)</f>
        <v>28.03</v>
      </c>
      <c r="M685" s="22" t="str">
        <f t="shared" si="3"/>
        <v/>
      </c>
      <c r="N685" s="22" t="str">
        <f t="shared" si="4"/>
        <v/>
      </c>
    </row>
    <row r="686" ht="15.75" customHeight="1">
      <c r="A686" s="25">
        <f>IFERROR(__xludf.DUMMYFUNCTION("""COMPUTED_VALUE"""),44257.66666666667)</f>
        <v>44257.66667</v>
      </c>
      <c r="B686" s="22">
        <f>IFERROR(__xludf.DUMMYFUNCTION("""COMPUTED_VALUE"""),3870.29)</f>
        <v>3870.29</v>
      </c>
      <c r="C686" s="25">
        <f>IFERROR(__xludf.DUMMYFUNCTION("""COMPUTED_VALUE"""),44257.63611111111)</f>
        <v>44257.63611</v>
      </c>
      <c r="D686" s="22">
        <f>IFERROR(__xludf.DUMMYFUNCTION("""COMPUTED_VALUE"""),24.1)</f>
        <v>24.1</v>
      </c>
      <c r="E686" s="26">
        <f t="shared" si="2"/>
        <v>-0.008080844324</v>
      </c>
      <c r="F686" s="25">
        <f>IFERROR(__xludf.DUMMYFUNCTION("""COMPUTED_VALUE"""),44257.63611111111)</f>
        <v>44257.63611</v>
      </c>
      <c r="G686" s="22">
        <f>IFERROR(__xludf.DUMMYFUNCTION("""COMPUTED_VALUE"""),27.16)</f>
        <v>27.16</v>
      </c>
      <c r="H686" s="25">
        <f>IFERROR(__xludf.DUMMYFUNCTION("""COMPUTED_VALUE"""),44257.63611111111)</f>
        <v>44257.63611</v>
      </c>
      <c r="I686" s="22">
        <f>IFERROR(__xludf.DUMMYFUNCTION("""COMPUTED_VALUE"""),29.41)</f>
        <v>29.41</v>
      </c>
      <c r="J686" s="25">
        <f>IFERROR(__xludf.DUMMYFUNCTION("""COMPUTED_VALUE"""),44257.63611111111)</f>
        <v>44257.63611</v>
      </c>
      <c r="K686" s="22">
        <f>IFERROR(__xludf.DUMMYFUNCTION("""COMPUTED_VALUE"""),28.28)</f>
        <v>28.28</v>
      </c>
      <c r="M686" s="22" t="str">
        <f t="shared" si="3"/>
        <v/>
      </c>
      <c r="N686" s="22" t="str">
        <f t="shared" si="4"/>
        <v/>
      </c>
    </row>
    <row r="687" ht="15.75" customHeight="1">
      <c r="A687" s="25">
        <f>IFERROR(__xludf.DUMMYFUNCTION("""COMPUTED_VALUE"""),44258.66666666667)</f>
        <v>44258.66667</v>
      </c>
      <c r="B687" s="22">
        <f>IFERROR(__xludf.DUMMYFUNCTION("""COMPUTED_VALUE"""),3819.72)</f>
        <v>3819.72</v>
      </c>
      <c r="C687" s="25">
        <f>IFERROR(__xludf.DUMMYFUNCTION("""COMPUTED_VALUE"""),44258.63611111111)</f>
        <v>44258.63611</v>
      </c>
      <c r="D687" s="22">
        <f>IFERROR(__xludf.DUMMYFUNCTION("""COMPUTED_VALUE"""),26.67)</f>
        <v>26.67</v>
      </c>
      <c r="E687" s="26">
        <f t="shared" si="2"/>
        <v>-0.01306620434</v>
      </c>
      <c r="F687" s="25">
        <f>IFERROR(__xludf.DUMMYFUNCTION("""COMPUTED_VALUE"""),44258.63611111111)</f>
        <v>44258.63611</v>
      </c>
      <c r="G687" s="22">
        <f>IFERROR(__xludf.DUMMYFUNCTION("""COMPUTED_VALUE"""),28.79)</f>
        <v>28.79</v>
      </c>
      <c r="H687" s="25">
        <f>IFERROR(__xludf.DUMMYFUNCTION("""COMPUTED_VALUE"""),44258.63611111111)</f>
        <v>44258.63611</v>
      </c>
      <c r="I687" s="22">
        <f>IFERROR(__xludf.DUMMYFUNCTION("""COMPUTED_VALUE"""),30.52)</f>
        <v>30.52</v>
      </c>
      <c r="J687" s="25">
        <f>IFERROR(__xludf.DUMMYFUNCTION("""COMPUTED_VALUE"""),44258.63611111111)</f>
        <v>44258.63611</v>
      </c>
      <c r="K687" s="22">
        <f>IFERROR(__xludf.DUMMYFUNCTION("""COMPUTED_VALUE"""),28.86)</f>
        <v>28.86</v>
      </c>
      <c r="M687" s="22" t="str">
        <f t="shared" si="3"/>
        <v/>
      </c>
      <c r="N687" s="22" t="str">
        <f t="shared" si="4"/>
        <v>PREDICT CRASH</v>
      </c>
    </row>
    <row r="688" ht="15.75" customHeight="1">
      <c r="A688" s="25">
        <f>IFERROR(__xludf.DUMMYFUNCTION("""COMPUTED_VALUE"""),44259.66666666667)</f>
        <v>44259.66667</v>
      </c>
      <c r="B688" s="22">
        <f>IFERROR(__xludf.DUMMYFUNCTION("""COMPUTED_VALUE"""),3768.47)</f>
        <v>3768.47</v>
      </c>
      <c r="C688" s="25">
        <f>IFERROR(__xludf.DUMMYFUNCTION("""COMPUTED_VALUE"""),44259.63611111111)</f>
        <v>44259.63611</v>
      </c>
      <c r="D688" s="22">
        <f>IFERROR(__xludf.DUMMYFUNCTION("""COMPUTED_VALUE"""),28.57)</f>
        <v>28.57</v>
      </c>
      <c r="E688" s="26">
        <f t="shared" si="2"/>
        <v>-0.01341721383</v>
      </c>
      <c r="F688" s="25">
        <f>IFERROR(__xludf.DUMMYFUNCTION("""COMPUTED_VALUE"""),44259.63611111111)</f>
        <v>44259.63611</v>
      </c>
      <c r="G688" s="22">
        <f>IFERROR(__xludf.DUMMYFUNCTION("""COMPUTED_VALUE"""),30.08)</f>
        <v>30.08</v>
      </c>
      <c r="H688" s="25">
        <f>IFERROR(__xludf.DUMMYFUNCTION("""COMPUTED_VALUE"""),44259.63611111111)</f>
        <v>44259.63611</v>
      </c>
      <c r="I688" s="22">
        <f>IFERROR(__xludf.DUMMYFUNCTION("""COMPUTED_VALUE"""),31.52)</f>
        <v>31.52</v>
      </c>
      <c r="J688" s="25">
        <f>IFERROR(__xludf.DUMMYFUNCTION("""COMPUTED_VALUE"""),44259.63611111111)</f>
        <v>44259.63611</v>
      </c>
      <c r="K688" s="22">
        <f>IFERROR(__xludf.DUMMYFUNCTION("""COMPUTED_VALUE"""),29.36)</f>
        <v>29.36</v>
      </c>
      <c r="M688" s="22" t="str">
        <f t="shared" si="3"/>
        <v/>
      </c>
      <c r="N688" s="22" t="str">
        <f t="shared" si="4"/>
        <v>PREDICT CRASH</v>
      </c>
    </row>
    <row r="689" ht="15.75" customHeight="1">
      <c r="A689" s="25">
        <f>IFERROR(__xludf.DUMMYFUNCTION("""COMPUTED_VALUE"""),44260.66666666667)</f>
        <v>44260.66667</v>
      </c>
      <c r="B689" s="22">
        <f>IFERROR(__xludf.DUMMYFUNCTION("""COMPUTED_VALUE"""),3841.94)</f>
        <v>3841.94</v>
      </c>
      <c r="C689" s="25">
        <f>IFERROR(__xludf.DUMMYFUNCTION("""COMPUTED_VALUE"""),44260.63611111111)</f>
        <v>44260.63611</v>
      </c>
      <c r="D689" s="22">
        <f>IFERROR(__xludf.DUMMYFUNCTION("""COMPUTED_VALUE"""),24.66)</f>
        <v>24.66</v>
      </c>
      <c r="E689" s="26">
        <f t="shared" si="2"/>
        <v>0.01949597582</v>
      </c>
      <c r="F689" s="25">
        <f>IFERROR(__xludf.DUMMYFUNCTION("""COMPUTED_VALUE"""),44260.63611111111)</f>
        <v>44260.63611</v>
      </c>
      <c r="G689" s="22">
        <f>IFERROR(__xludf.DUMMYFUNCTION("""COMPUTED_VALUE"""),27.89)</f>
        <v>27.89</v>
      </c>
      <c r="H689" s="25">
        <f>IFERROR(__xludf.DUMMYFUNCTION("""COMPUTED_VALUE"""),44260.63611111111)</f>
        <v>44260.63611</v>
      </c>
      <c r="I689" s="22">
        <f>IFERROR(__xludf.DUMMYFUNCTION("""COMPUTED_VALUE"""),29.87)</f>
        <v>29.87</v>
      </c>
      <c r="J689" s="25">
        <f>IFERROR(__xludf.DUMMYFUNCTION("""COMPUTED_VALUE"""),44260.63611111111)</f>
        <v>44260.63611</v>
      </c>
      <c r="K689" s="22">
        <f>IFERROR(__xludf.DUMMYFUNCTION("""COMPUTED_VALUE"""),28.1)</f>
        <v>28.1</v>
      </c>
      <c r="M689" s="22" t="str">
        <f t="shared" si="3"/>
        <v/>
      </c>
      <c r="N689" s="22" t="str">
        <f t="shared" si="4"/>
        <v/>
      </c>
    </row>
    <row r="690" ht="15.75" customHeight="1">
      <c r="A690" s="25">
        <f>IFERROR(__xludf.DUMMYFUNCTION("""COMPUTED_VALUE"""),44263.66666666667)</f>
        <v>44263.66667</v>
      </c>
      <c r="B690" s="22">
        <f>IFERROR(__xludf.DUMMYFUNCTION("""COMPUTED_VALUE"""),3821.35)</f>
        <v>3821.35</v>
      </c>
      <c r="C690" s="25">
        <f>IFERROR(__xludf.DUMMYFUNCTION("""COMPUTED_VALUE"""),44263.63611111111)</f>
        <v>44263.63611</v>
      </c>
      <c r="D690" s="22">
        <f>IFERROR(__xludf.DUMMYFUNCTION("""COMPUTED_VALUE"""),25.47)</f>
        <v>25.47</v>
      </c>
      <c r="E690" s="26">
        <f t="shared" si="2"/>
        <v>-0.005359271618</v>
      </c>
      <c r="F690" s="25">
        <f>IFERROR(__xludf.DUMMYFUNCTION("""COMPUTED_VALUE"""),44263.63611111111)</f>
        <v>44263.63611</v>
      </c>
      <c r="G690" s="22">
        <f>IFERROR(__xludf.DUMMYFUNCTION("""COMPUTED_VALUE"""),28.13)</f>
        <v>28.13</v>
      </c>
      <c r="H690" s="25">
        <f>IFERROR(__xludf.DUMMYFUNCTION("""COMPUTED_VALUE"""),44263.63611111111)</f>
        <v>44263.63611</v>
      </c>
      <c r="I690" s="22">
        <f>IFERROR(__xludf.DUMMYFUNCTION("""COMPUTED_VALUE"""),29.52)</f>
        <v>29.52</v>
      </c>
      <c r="J690" s="25">
        <f>IFERROR(__xludf.DUMMYFUNCTION("""COMPUTED_VALUE"""),44263.63611111111)</f>
        <v>44263.63611</v>
      </c>
      <c r="K690" s="22">
        <f>IFERROR(__xludf.DUMMYFUNCTION("""COMPUTED_VALUE"""),27.95)</f>
        <v>27.95</v>
      </c>
      <c r="M690" s="22" t="str">
        <f t="shared" si="3"/>
        <v/>
      </c>
      <c r="N690" s="22" t="str">
        <f t="shared" si="4"/>
        <v>PREDICT CRASH</v>
      </c>
    </row>
    <row r="691" ht="15.75" customHeight="1">
      <c r="A691" s="25">
        <f>IFERROR(__xludf.DUMMYFUNCTION("""COMPUTED_VALUE"""),44264.66666666667)</f>
        <v>44264.66667</v>
      </c>
      <c r="B691" s="22">
        <f>IFERROR(__xludf.DUMMYFUNCTION("""COMPUTED_VALUE"""),3875.44)</f>
        <v>3875.44</v>
      </c>
      <c r="C691" s="25">
        <f>IFERROR(__xludf.DUMMYFUNCTION("""COMPUTED_VALUE"""),44264.63611111111)</f>
        <v>44264.63611</v>
      </c>
      <c r="D691" s="22">
        <f>IFERROR(__xludf.DUMMYFUNCTION("""COMPUTED_VALUE"""),24.03)</f>
        <v>24.03</v>
      </c>
      <c r="E691" s="26">
        <f t="shared" si="2"/>
        <v>0.01415468355</v>
      </c>
      <c r="F691" s="25">
        <f>IFERROR(__xludf.DUMMYFUNCTION("""COMPUTED_VALUE"""),44264.63611111111)</f>
        <v>44264.63611</v>
      </c>
      <c r="G691" s="22">
        <f>IFERROR(__xludf.DUMMYFUNCTION("""COMPUTED_VALUE"""),27.28)</f>
        <v>27.28</v>
      </c>
      <c r="H691" s="25">
        <f>IFERROR(__xludf.DUMMYFUNCTION("""COMPUTED_VALUE"""),44264.63611111111)</f>
        <v>44264.63611</v>
      </c>
      <c r="I691" s="22">
        <f>IFERROR(__xludf.DUMMYFUNCTION("""COMPUTED_VALUE"""),29.03)</f>
        <v>29.03</v>
      </c>
      <c r="J691" s="25">
        <f>IFERROR(__xludf.DUMMYFUNCTION("""COMPUTED_VALUE"""),44264.63611111111)</f>
        <v>44264.63611</v>
      </c>
      <c r="K691" s="22">
        <f>IFERROR(__xludf.DUMMYFUNCTION("""COMPUTED_VALUE"""),27.74)</f>
        <v>27.74</v>
      </c>
      <c r="M691" s="22" t="str">
        <f t="shared" si="3"/>
        <v/>
      </c>
      <c r="N691" s="22" t="str">
        <f t="shared" si="4"/>
        <v/>
      </c>
    </row>
    <row r="692" ht="15.75" customHeight="1">
      <c r="A692" s="25">
        <f>IFERROR(__xludf.DUMMYFUNCTION("""COMPUTED_VALUE"""),44265.66666666667)</f>
        <v>44265.66667</v>
      </c>
      <c r="B692" s="22">
        <f>IFERROR(__xludf.DUMMYFUNCTION("""COMPUTED_VALUE"""),3898.81)</f>
        <v>3898.81</v>
      </c>
      <c r="C692" s="25">
        <f>IFERROR(__xludf.DUMMYFUNCTION("""COMPUTED_VALUE"""),44265.63611111111)</f>
        <v>44265.63611</v>
      </c>
      <c r="D692" s="22">
        <f>IFERROR(__xludf.DUMMYFUNCTION("""COMPUTED_VALUE"""),22.56)</f>
        <v>22.56</v>
      </c>
      <c r="E692" s="26">
        <f t="shared" si="2"/>
        <v>0.006030283013</v>
      </c>
      <c r="F692" s="25">
        <f>IFERROR(__xludf.DUMMYFUNCTION("""COMPUTED_VALUE"""),44265.63611111111)</f>
        <v>44265.63611</v>
      </c>
      <c r="G692" s="22">
        <f>IFERROR(__xludf.DUMMYFUNCTION("""COMPUTED_VALUE"""),26.68)</f>
        <v>26.68</v>
      </c>
      <c r="H692" s="25">
        <f>IFERROR(__xludf.DUMMYFUNCTION("""COMPUTED_VALUE"""),44265.63611111111)</f>
        <v>44265.63611</v>
      </c>
      <c r="I692" s="22">
        <f>IFERROR(__xludf.DUMMYFUNCTION("""COMPUTED_VALUE"""),28.73)</f>
        <v>28.73</v>
      </c>
      <c r="J692" s="25">
        <f>IFERROR(__xludf.DUMMYFUNCTION("""COMPUTED_VALUE"""),44265.63611111111)</f>
        <v>44265.63611</v>
      </c>
      <c r="K692" s="22">
        <f>IFERROR(__xludf.DUMMYFUNCTION("""COMPUTED_VALUE"""),27.56)</f>
        <v>27.56</v>
      </c>
      <c r="M692" s="22" t="str">
        <f t="shared" si="3"/>
        <v/>
      </c>
      <c r="N692" s="22" t="str">
        <f t="shared" si="4"/>
        <v/>
      </c>
    </row>
    <row r="693" ht="15.75" customHeight="1">
      <c r="A693" s="25">
        <f>IFERROR(__xludf.DUMMYFUNCTION("""COMPUTED_VALUE"""),44266.66666666667)</f>
        <v>44266.66667</v>
      </c>
      <c r="B693" s="22">
        <f>IFERROR(__xludf.DUMMYFUNCTION("""COMPUTED_VALUE"""),3939.34)</f>
        <v>3939.34</v>
      </c>
      <c r="C693" s="25">
        <f>IFERROR(__xludf.DUMMYFUNCTION("""COMPUTED_VALUE"""),44266.63611111111)</f>
        <v>44266.63611</v>
      </c>
      <c r="D693" s="22">
        <f>IFERROR(__xludf.DUMMYFUNCTION("""COMPUTED_VALUE"""),21.91)</f>
        <v>21.91</v>
      </c>
      <c r="E693" s="26">
        <f t="shared" si="2"/>
        <v>0.01039547965</v>
      </c>
      <c r="F693" s="25">
        <f>IFERROR(__xludf.DUMMYFUNCTION("""COMPUTED_VALUE"""),44266.63611111111)</f>
        <v>44266.63611</v>
      </c>
      <c r="G693" s="22">
        <f>IFERROR(__xludf.DUMMYFUNCTION("""COMPUTED_VALUE"""),26.09)</f>
        <v>26.09</v>
      </c>
      <c r="H693" s="25">
        <f>IFERROR(__xludf.DUMMYFUNCTION("""COMPUTED_VALUE"""),44266.63611111111)</f>
        <v>44266.63611</v>
      </c>
      <c r="I693" s="22">
        <f>IFERROR(__xludf.DUMMYFUNCTION("""COMPUTED_VALUE"""),28.2)</f>
        <v>28.2</v>
      </c>
      <c r="J693" s="25">
        <f>IFERROR(__xludf.DUMMYFUNCTION("""COMPUTED_VALUE"""),44266.63611111111)</f>
        <v>44266.63611</v>
      </c>
      <c r="K693" s="22">
        <f>IFERROR(__xludf.DUMMYFUNCTION("""COMPUTED_VALUE"""),27.23)</f>
        <v>27.23</v>
      </c>
      <c r="M693" s="22" t="str">
        <f t="shared" si="3"/>
        <v/>
      </c>
      <c r="N693" s="22" t="str">
        <f t="shared" si="4"/>
        <v/>
      </c>
    </row>
    <row r="694" ht="15.75" customHeight="1">
      <c r="A694" s="25">
        <f>IFERROR(__xludf.DUMMYFUNCTION("""COMPUTED_VALUE"""),44267.66666666667)</f>
        <v>44267.66667</v>
      </c>
      <c r="B694" s="22">
        <f>IFERROR(__xludf.DUMMYFUNCTION("""COMPUTED_VALUE"""),3943.34)</f>
        <v>3943.34</v>
      </c>
      <c r="C694" s="25">
        <f>IFERROR(__xludf.DUMMYFUNCTION("""COMPUTED_VALUE"""),44267.63611111111)</f>
        <v>44267.63611</v>
      </c>
      <c r="D694" s="22">
        <f>IFERROR(__xludf.DUMMYFUNCTION("""COMPUTED_VALUE"""),20.69)</f>
        <v>20.69</v>
      </c>
      <c r="E694" s="26">
        <f t="shared" si="2"/>
        <v>0.001015398519</v>
      </c>
      <c r="F694" s="25">
        <f>IFERROR(__xludf.DUMMYFUNCTION("""COMPUTED_VALUE"""),44267.63611111111)</f>
        <v>44267.63611</v>
      </c>
      <c r="G694" s="22">
        <f>IFERROR(__xludf.DUMMYFUNCTION("""COMPUTED_VALUE"""),25.74)</f>
        <v>25.74</v>
      </c>
      <c r="H694" s="25">
        <f>IFERROR(__xludf.DUMMYFUNCTION("""COMPUTED_VALUE"""),44267.63611111111)</f>
        <v>44267.63611</v>
      </c>
      <c r="I694" s="22">
        <f>IFERROR(__xludf.DUMMYFUNCTION("""COMPUTED_VALUE"""),28.11)</f>
        <v>28.11</v>
      </c>
      <c r="J694" s="25">
        <f>IFERROR(__xludf.DUMMYFUNCTION("""COMPUTED_VALUE"""),44267.63611111111)</f>
        <v>44267.63611</v>
      </c>
      <c r="K694" s="22">
        <f>IFERROR(__xludf.DUMMYFUNCTION("""COMPUTED_VALUE"""),27.17)</f>
        <v>27.17</v>
      </c>
      <c r="M694" s="22" t="str">
        <f t="shared" si="3"/>
        <v/>
      </c>
      <c r="N694" s="22" t="str">
        <f t="shared" si="4"/>
        <v/>
      </c>
    </row>
    <row r="695" ht="15.75" customHeight="1">
      <c r="A695" s="25">
        <f>IFERROR(__xludf.DUMMYFUNCTION("""COMPUTED_VALUE"""),44270.66666666667)</f>
        <v>44270.66667</v>
      </c>
      <c r="B695" s="22">
        <f>IFERROR(__xludf.DUMMYFUNCTION("""COMPUTED_VALUE"""),3968.94)</f>
        <v>3968.94</v>
      </c>
      <c r="C695" s="25">
        <f>IFERROR(__xludf.DUMMYFUNCTION("""COMPUTED_VALUE"""),44270.63611111111)</f>
        <v>44270.63611</v>
      </c>
      <c r="D695" s="22">
        <f>IFERROR(__xludf.DUMMYFUNCTION("""COMPUTED_VALUE"""),20.03)</f>
        <v>20.03</v>
      </c>
      <c r="E695" s="26">
        <f t="shared" si="2"/>
        <v>0.006491958593</v>
      </c>
      <c r="F695" s="25">
        <f>IFERROR(__xludf.DUMMYFUNCTION("""COMPUTED_VALUE"""),44270.63611111111)</f>
        <v>44270.63611</v>
      </c>
      <c r="G695" s="22">
        <f>IFERROR(__xludf.DUMMYFUNCTION("""COMPUTED_VALUE"""),24.89)</f>
        <v>24.89</v>
      </c>
      <c r="H695" s="25">
        <f>IFERROR(__xludf.DUMMYFUNCTION("""COMPUTED_VALUE"""),44270.63611111111)</f>
        <v>44270.63611</v>
      </c>
      <c r="I695" s="22">
        <f>IFERROR(__xludf.DUMMYFUNCTION("""COMPUTED_VALUE"""),27.43)</f>
        <v>27.43</v>
      </c>
      <c r="J695" s="25">
        <f>IFERROR(__xludf.DUMMYFUNCTION("""COMPUTED_VALUE"""),44270.63611111111)</f>
        <v>44270.63611</v>
      </c>
      <c r="K695" s="22">
        <f>IFERROR(__xludf.DUMMYFUNCTION("""COMPUTED_VALUE"""),26.91)</f>
        <v>26.91</v>
      </c>
      <c r="M695" s="22" t="str">
        <f t="shared" si="3"/>
        <v/>
      </c>
      <c r="N695" s="22" t="str">
        <f t="shared" si="4"/>
        <v/>
      </c>
    </row>
    <row r="696" ht="15.75" customHeight="1">
      <c r="A696" s="25">
        <f>IFERROR(__xludf.DUMMYFUNCTION("""COMPUTED_VALUE"""),44271.66666666667)</f>
        <v>44271.66667</v>
      </c>
      <c r="B696" s="22">
        <f>IFERROR(__xludf.DUMMYFUNCTION("""COMPUTED_VALUE"""),3962.71)</f>
        <v>3962.71</v>
      </c>
      <c r="C696" s="25">
        <f>IFERROR(__xludf.DUMMYFUNCTION("""COMPUTED_VALUE"""),44271.63611111111)</f>
        <v>44271.63611</v>
      </c>
      <c r="D696" s="22">
        <f>IFERROR(__xludf.DUMMYFUNCTION("""COMPUTED_VALUE"""),19.79)</f>
        <v>19.79</v>
      </c>
      <c r="E696" s="26">
        <f t="shared" si="2"/>
        <v>-0.001569688632</v>
      </c>
      <c r="F696" s="25">
        <f>IFERROR(__xludf.DUMMYFUNCTION("""COMPUTED_VALUE"""),44271.63611111111)</f>
        <v>44271.63611</v>
      </c>
      <c r="G696" s="22">
        <f>IFERROR(__xludf.DUMMYFUNCTION("""COMPUTED_VALUE"""),24.71)</f>
        <v>24.71</v>
      </c>
      <c r="H696" s="25">
        <f>IFERROR(__xludf.DUMMYFUNCTION("""COMPUTED_VALUE"""),44271.63611111111)</f>
        <v>44271.63611</v>
      </c>
      <c r="I696" s="22">
        <f>IFERROR(__xludf.DUMMYFUNCTION("""COMPUTED_VALUE"""),27.25)</f>
        <v>27.25</v>
      </c>
      <c r="J696" s="25">
        <f>IFERROR(__xludf.DUMMYFUNCTION("""COMPUTED_VALUE"""),44271.63611111111)</f>
        <v>44271.63611</v>
      </c>
      <c r="K696" s="22">
        <f>IFERROR(__xludf.DUMMYFUNCTION("""COMPUTED_VALUE"""),26.83)</f>
        <v>26.83</v>
      </c>
      <c r="M696" s="22" t="str">
        <f t="shared" si="3"/>
        <v/>
      </c>
      <c r="N696" s="22" t="str">
        <f t="shared" si="4"/>
        <v/>
      </c>
    </row>
    <row r="697" ht="15.75" customHeight="1">
      <c r="A697" s="25">
        <f>IFERROR(__xludf.DUMMYFUNCTION("""COMPUTED_VALUE"""),44272.66666666667)</f>
        <v>44272.66667</v>
      </c>
      <c r="B697" s="22">
        <f>IFERROR(__xludf.DUMMYFUNCTION("""COMPUTED_VALUE"""),3974.12)</f>
        <v>3974.12</v>
      </c>
      <c r="C697" s="25">
        <f>IFERROR(__xludf.DUMMYFUNCTION("""COMPUTED_VALUE"""),44272.63611111111)</f>
        <v>44272.63611</v>
      </c>
      <c r="D697" s="22">
        <f>IFERROR(__xludf.DUMMYFUNCTION("""COMPUTED_VALUE"""),19.23)</f>
        <v>19.23</v>
      </c>
      <c r="E697" s="26">
        <f t="shared" si="2"/>
        <v>0.002879342672</v>
      </c>
      <c r="F697" s="25">
        <f>IFERROR(__xludf.DUMMYFUNCTION("""COMPUTED_VALUE"""),44272.63611111111)</f>
        <v>44272.63611</v>
      </c>
      <c r="G697" s="22">
        <f>IFERROR(__xludf.DUMMYFUNCTION("""COMPUTED_VALUE"""),23.88)</f>
        <v>23.88</v>
      </c>
      <c r="H697" s="25">
        <f>IFERROR(__xludf.DUMMYFUNCTION("""COMPUTED_VALUE"""),44272.63611111111)</f>
        <v>44272.63611</v>
      </c>
      <c r="I697" s="22">
        <f>IFERROR(__xludf.DUMMYFUNCTION("""COMPUTED_VALUE"""),26.61)</f>
        <v>26.61</v>
      </c>
      <c r="J697" s="25">
        <f>IFERROR(__xludf.DUMMYFUNCTION("""COMPUTED_VALUE"""),44272.63611111111)</f>
        <v>44272.63611</v>
      </c>
      <c r="K697" s="22">
        <f>IFERROR(__xludf.DUMMYFUNCTION("""COMPUTED_VALUE"""),26.42)</f>
        <v>26.42</v>
      </c>
      <c r="M697" s="22" t="str">
        <f t="shared" si="3"/>
        <v/>
      </c>
      <c r="N697" s="22" t="str">
        <f t="shared" si="4"/>
        <v/>
      </c>
    </row>
    <row r="698" ht="15.75" customHeight="1">
      <c r="A698" s="25">
        <f>IFERROR(__xludf.DUMMYFUNCTION("""COMPUTED_VALUE"""),44273.66666666667)</f>
        <v>44273.66667</v>
      </c>
      <c r="B698" s="22">
        <f>IFERROR(__xludf.DUMMYFUNCTION("""COMPUTED_VALUE"""),3915.46)</f>
        <v>3915.46</v>
      </c>
      <c r="C698" s="25">
        <f>IFERROR(__xludf.DUMMYFUNCTION("""COMPUTED_VALUE"""),44273.63611111111)</f>
        <v>44273.63611</v>
      </c>
      <c r="D698" s="22">
        <f>IFERROR(__xludf.DUMMYFUNCTION("""COMPUTED_VALUE"""),21.58)</f>
        <v>21.58</v>
      </c>
      <c r="E698" s="26">
        <f t="shared" si="2"/>
        <v>-0.01476050044</v>
      </c>
      <c r="F698" s="25">
        <f>IFERROR(__xludf.DUMMYFUNCTION("""COMPUTED_VALUE"""),44273.63611111111)</f>
        <v>44273.63611</v>
      </c>
      <c r="G698" s="22">
        <f>IFERROR(__xludf.DUMMYFUNCTION("""COMPUTED_VALUE"""),25.28)</f>
        <v>25.28</v>
      </c>
      <c r="H698" s="25">
        <f>IFERROR(__xludf.DUMMYFUNCTION("""COMPUTED_VALUE"""),44273.63611111111)</f>
        <v>44273.63611</v>
      </c>
      <c r="I698" s="22">
        <f>IFERROR(__xludf.DUMMYFUNCTION("""COMPUTED_VALUE"""),27.65)</f>
        <v>27.65</v>
      </c>
      <c r="J698" s="25">
        <f>IFERROR(__xludf.DUMMYFUNCTION("""COMPUTED_VALUE"""),44273.63611111111)</f>
        <v>44273.63611</v>
      </c>
      <c r="K698" s="22">
        <f>IFERROR(__xludf.DUMMYFUNCTION("""COMPUTED_VALUE"""),26.99)</f>
        <v>26.99</v>
      </c>
      <c r="M698" s="22" t="str">
        <f t="shared" si="3"/>
        <v/>
      </c>
      <c r="N698" s="22" t="str">
        <f t="shared" si="4"/>
        <v/>
      </c>
    </row>
    <row r="699" ht="15.75" customHeight="1">
      <c r="A699" s="25">
        <f>IFERROR(__xludf.DUMMYFUNCTION("""COMPUTED_VALUE"""),44274.66666666667)</f>
        <v>44274.66667</v>
      </c>
      <c r="B699" s="22">
        <f>IFERROR(__xludf.DUMMYFUNCTION("""COMPUTED_VALUE"""),3913.1)</f>
        <v>3913.1</v>
      </c>
      <c r="C699" s="25">
        <f>IFERROR(__xludf.DUMMYFUNCTION("""COMPUTED_VALUE"""),44274.63611111111)</f>
        <v>44274.63611</v>
      </c>
      <c r="D699" s="22">
        <f>IFERROR(__xludf.DUMMYFUNCTION("""COMPUTED_VALUE"""),20.95)</f>
        <v>20.95</v>
      </c>
      <c r="E699" s="26">
        <f t="shared" si="2"/>
        <v>-0.0006027388864</v>
      </c>
      <c r="F699" s="25">
        <f>IFERROR(__xludf.DUMMYFUNCTION("""COMPUTED_VALUE"""),44274.63611111111)</f>
        <v>44274.63611</v>
      </c>
      <c r="G699" s="22">
        <f>IFERROR(__xludf.DUMMYFUNCTION("""COMPUTED_VALUE"""),24.99)</f>
        <v>24.99</v>
      </c>
      <c r="H699" s="25">
        <f>IFERROR(__xludf.DUMMYFUNCTION("""COMPUTED_VALUE"""),44274.63611111111)</f>
        <v>44274.63611</v>
      </c>
      <c r="I699" s="22">
        <f>IFERROR(__xludf.DUMMYFUNCTION("""COMPUTED_VALUE"""),27.32)</f>
        <v>27.32</v>
      </c>
      <c r="J699" s="25">
        <f>IFERROR(__xludf.DUMMYFUNCTION("""COMPUTED_VALUE"""),44274.63611111111)</f>
        <v>44274.63611</v>
      </c>
      <c r="K699" s="22">
        <f>IFERROR(__xludf.DUMMYFUNCTION("""COMPUTED_VALUE"""),26.88)</f>
        <v>26.88</v>
      </c>
      <c r="M699" s="22" t="str">
        <f t="shared" si="3"/>
        <v/>
      </c>
      <c r="N699" s="22" t="str">
        <f t="shared" si="4"/>
        <v/>
      </c>
    </row>
    <row r="700" ht="15.75" customHeight="1">
      <c r="A700" s="25">
        <f>IFERROR(__xludf.DUMMYFUNCTION("""COMPUTED_VALUE"""),44277.66666666667)</f>
        <v>44277.66667</v>
      </c>
      <c r="B700" s="22">
        <f>IFERROR(__xludf.DUMMYFUNCTION("""COMPUTED_VALUE"""),3940.59)</f>
        <v>3940.59</v>
      </c>
      <c r="C700" s="25">
        <f>IFERROR(__xludf.DUMMYFUNCTION("""COMPUTED_VALUE"""),44277.63611111111)</f>
        <v>44277.63611</v>
      </c>
      <c r="D700" s="22">
        <f>IFERROR(__xludf.DUMMYFUNCTION("""COMPUTED_VALUE"""),18.88)</f>
        <v>18.88</v>
      </c>
      <c r="E700" s="26">
        <f t="shared" si="2"/>
        <v>0.007025120748</v>
      </c>
      <c r="F700" s="25">
        <f>IFERROR(__xludf.DUMMYFUNCTION("""COMPUTED_VALUE"""),44277.63611111111)</f>
        <v>44277.63611</v>
      </c>
      <c r="G700" s="22">
        <f>IFERROR(__xludf.DUMMYFUNCTION("""COMPUTED_VALUE"""),22.94)</f>
        <v>22.94</v>
      </c>
      <c r="H700" s="25">
        <f>IFERROR(__xludf.DUMMYFUNCTION("""COMPUTED_VALUE"""),44277.63611111111)</f>
        <v>44277.63611</v>
      </c>
      <c r="I700" s="22">
        <f>IFERROR(__xludf.DUMMYFUNCTION("""COMPUTED_VALUE"""),25.47)</f>
        <v>25.47</v>
      </c>
      <c r="J700" s="25">
        <f>IFERROR(__xludf.DUMMYFUNCTION("""COMPUTED_VALUE"""),44277.63611111111)</f>
        <v>44277.63611</v>
      </c>
      <c r="K700" s="22">
        <f>IFERROR(__xludf.DUMMYFUNCTION("""COMPUTED_VALUE"""),25.96)</f>
        <v>25.96</v>
      </c>
      <c r="M700" s="22" t="str">
        <f t="shared" si="3"/>
        <v/>
      </c>
      <c r="N700" s="22" t="str">
        <f t="shared" si="4"/>
        <v/>
      </c>
    </row>
    <row r="701" ht="15.75" customHeight="1">
      <c r="A701" s="25">
        <f>IFERROR(__xludf.DUMMYFUNCTION("""COMPUTED_VALUE"""),44278.66666666667)</f>
        <v>44278.66667</v>
      </c>
      <c r="B701" s="22">
        <f>IFERROR(__xludf.DUMMYFUNCTION("""COMPUTED_VALUE"""),3910.52)</f>
        <v>3910.52</v>
      </c>
      <c r="C701" s="25">
        <f>IFERROR(__xludf.DUMMYFUNCTION("""COMPUTED_VALUE"""),44278.63611111111)</f>
        <v>44278.63611</v>
      </c>
      <c r="D701" s="22">
        <f>IFERROR(__xludf.DUMMYFUNCTION("""COMPUTED_VALUE"""),20.3)</f>
        <v>20.3</v>
      </c>
      <c r="E701" s="26">
        <f t="shared" si="2"/>
        <v>-0.007630837007</v>
      </c>
      <c r="F701" s="25">
        <f>IFERROR(__xludf.DUMMYFUNCTION("""COMPUTED_VALUE"""),44278.63611111111)</f>
        <v>44278.63611</v>
      </c>
      <c r="G701" s="22">
        <f>IFERROR(__xludf.DUMMYFUNCTION("""COMPUTED_VALUE"""),23.8)</f>
        <v>23.8</v>
      </c>
      <c r="H701" s="25">
        <f>IFERROR(__xludf.DUMMYFUNCTION("""COMPUTED_VALUE"""),44278.63611111111)</f>
        <v>44278.63611</v>
      </c>
      <c r="I701" s="22">
        <f>IFERROR(__xludf.DUMMYFUNCTION("""COMPUTED_VALUE"""),25.99)</f>
        <v>25.99</v>
      </c>
      <c r="J701" s="25">
        <f>IFERROR(__xludf.DUMMYFUNCTION("""COMPUTED_VALUE"""),44278.63611111111)</f>
        <v>44278.63611</v>
      </c>
      <c r="K701" s="22">
        <f>IFERROR(__xludf.DUMMYFUNCTION("""COMPUTED_VALUE"""),26.01)</f>
        <v>26.01</v>
      </c>
      <c r="M701" s="22" t="str">
        <f t="shared" si="3"/>
        <v/>
      </c>
      <c r="N701" s="22" t="str">
        <f t="shared" si="4"/>
        <v/>
      </c>
    </row>
    <row r="702" ht="15.75" customHeight="1">
      <c r="A702" s="25">
        <f>IFERROR(__xludf.DUMMYFUNCTION("""COMPUTED_VALUE"""),44279.66666666667)</f>
        <v>44279.66667</v>
      </c>
      <c r="B702" s="22">
        <f>IFERROR(__xludf.DUMMYFUNCTION("""COMPUTED_VALUE"""),3889.14)</f>
        <v>3889.14</v>
      </c>
      <c r="C702" s="25">
        <f>IFERROR(__xludf.DUMMYFUNCTION("""COMPUTED_VALUE"""),44279.63611111111)</f>
        <v>44279.63611</v>
      </c>
      <c r="D702" s="22">
        <f>IFERROR(__xludf.DUMMYFUNCTION("""COMPUTED_VALUE"""),21.2)</f>
        <v>21.2</v>
      </c>
      <c r="E702" s="26">
        <f t="shared" si="2"/>
        <v>-0.005467303581</v>
      </c>
      <c r="F702" s="25">
        <f>IFERROR(__xludf.DUMMYFUNCTION("""COMPUTED_VALUE"""),44279.63611111111)</f>
        <v>44279.63611</v>
      </c>
      <c r="G702" s="22">
        <f>IFERROR(__xludf.DUMMYFUNCTION("""COMPUTED_VALUE"""),24.4)</f>
        <v>24.4</v>
      </c>
      <c r="H702" s="25">
        <f>IFERROR(__xludf.DUMMYFUNCTION("""COMPUTED_VALUE"""),44279.63611111111)</f>
        <v>44279.63611</v>
      </c>
      <c r="I702" s="22">
        <f>IFERROR(__xludf.DUMMYFUNCTION("""COMPUTED_VALUE"""),26.54)</f>
        <v>26.54</v>
      </c>
      <c r="J702" s="25">
        <f>IFERROR(__xludf.DUMMYFUNCTION("""COMPUTED_VALUE"""),44279.63611111111)</f>
        <v>44279.63611</v>
      </c>
      <c r="K702" s="22">
        <f>IFERROR(__xludf.DUMMYFUNCTION("""COMPUTED_VALUE"""),26.34)</f>
        <v>26.34</v>
      </c>
      <c r="M702" s="22" t="str">
        <f t="shared" si="3"/>
        <v/>
      </c>
      <c r="N702" s="22" t="str">
        <f t="shared" si="4"/>
        <v/>
      </c>
    </row>
    <row r="703" ht="15.75" customHeight="1">
      <c r="A703" s="25">
        <f>IFERROR(__xludf.DUMMYFUNCTION("""COMPUTED_VALUE"""),44280.66666666667)</f>
        <v>44280.66667</v>
      </c>
      <c r="B703" s="22">
        <f>IFERROR(__xludf.DUMMYFUNCTION("""COMPUTED_VALUE"""),3909.52)</f>
        <v>3909.52</v>
      </c>
      <c r="C703" s="25">
        <f>IFERROR(__xludf.DUMMYFUNCTION("""COMPUTED_VALUE"""),44280.63611111111)</f>
        <v>44280.63611</v>
      </c>
      <c r="D703" s="22">
        <f>IFERROR(__xludf.DUMMYFUNCTION("""COMPUTED_VALUE"""),19.81)</f>
        <v>19.81</v>
      </c>
      <c r="E703" s="26">
        <f t="shared" si="2"/>
        <v>0.005240233059</v>
      </c>
      <c r="F703" s="25">
        <f>IFERROR(__xludf.DUMMYFUNCTION("""COMPUTED_VALUE"""),44280.63611111111)</f>
        <v>44280.63611</v>
      </c>
      <c r="G703" s="22">
        <f>IFERROR(__xludf.DUMMYFUNCTION("""COMPUTED_VALUE"""),23.37)</f>
        <v>23.37</v>
      </c>
      <c r="H703" s="25">
        <f>IFERROR(__xludf.DUMMYFUNCTION("""COMPUTED_VALUE"""),44280.63611111111)</f>
        <v>44280.63611</v>
      </c>
      <c r="I703" s="22">
        <f>IFERROR(__xludf.DUMMYFUNCTION("""COMPUTED_VALUE"""),25.71)</f>
        <v>25.71</v>
      </c>
      <c r="J703" s="25">
        <f>IFERROR(__xludf.DUMMYFUNCTION("""COMPUTED_VALUE"""),44280.63611111111)</f>
        <v>44280.63611</v>
      </c>
      <c r="K703" s="22">
        <f>IFERROR(__xludf.DUMMYFUNCTION("""COMPUTED_VALUE"""),25.72)</f>
        <v>25.72</v>
      </c>
      <c r="M703" s="22" t="str">
        <f t="shared" si="3"/>
        <v/>
      </c>
      <c r="N703" s="22" t="str">
        <f t="shared" si="4"/>
        <v/>
      </c>
    </row>
    <row r="704" ht="15.75" customHeight="1">
      <c r="A704" s="25">
        <f>IFERROR(__xludf.DUMMYFUNCTION("""COMPUTED_VALUE"""),44281.66666666667)</f>
        <v>44281.66667</v>
      </c>
      <c r="B704" s="22">
        <f>IFERROR(__xludf.DUMMYFUNCTION("""COMPUTED_VALUE"""),3974.54)</f>
        <v>3974.54</v>
      </c>
      <c r="C704" s="25">
        <f>IFERROR(__xludf.DUMMYFUNCTION("""COMPUTED_VALUE"""),44281.63611111111)</f>
        <v>44281.63611</v>
      </c>
      <c r="D704" s="22">
        <f>IFERROR(__xludf.DUMMYFUNCTION("""COMPUTED_VALUE"""),18.86)</f>
        <v>18.86</v>
      </c>
      <c r="E704" s="26">
        <f t="shared" si="2"/>
        <v>0.01663119769</v>
      </c>
      <c r="F704" s="25">
        <f>IFERROR(__xludf.DUMMYFUNCTION("""COMPUTED_VALUE"""),44281.63611111111)</f>
        <v>44281.63611</v>
      </c>
      <c r="G704" s="22">
        <f>IFERROR(__xludf.DUMMYFUNCTION("""COMPUTED_VALUE"""),22.32)</f>
        <v>22.32</v>
      </c>
      <c r="H704" s="25">
        <f>IFERROR(__xludf.DUMMYFUNCTION("""COMPUTED_VALUE"""),44281.63611111111)</f>
        <v>44281.63611</v>
      </c>
      <c r="I704" s="22">
        <f>IFERROR(__xludf.DUMMYFUNCTION("""COMPUTED_VALUE"""),24.79)</f>
        <v>24.79</v>
      </c>
      <c r="J704" s="25">
        <f>IFERROR(__xludf.DUMMYFUNCTION("""COMPUTED_VALUE"""),44281.63611111111)</f>
        <v>44281.63611</v>
      </c>
      <c r="K704" s="22">
        <f>IFERROR(__xludf.DUMMYFUNCTION("""COMPUTED_VALUE"""),25.16)</f>
        <v>25.16</v>
      </c>
      <c r="M704" s="22" t="str">
        <f t="shared" si="3"/>
        <v/>
      </c>
      <c r="N704" s="22" t="str">
        <f t="shared" si="4"/>
        <v/>
      </c>
    </row>
    <row r="705" ht="15.75" customHeight="1">
      <c r="A705" s="25">
        <f>IFERROR(__xludf.DUMMYFUNCTION("""COMPUTED_VALUE"""),44284.66666666667)</f>
        <v>44284.66667</v>
      </c>
      <c r="B705" s="22">
        <f>IFERROR(__xludf.DUMMYFUNCTION("""COMPUTED_VALUE"""),3971.09)</f>
        <v>3971.09</v>
      </c>
      <c r="C705" s="25">
        <f>IFERROR(__xludf.DUMMYFUNCTION("""COMPUTED_VALUE"""),44284.63611111111)</f>
        <v>44284.63611</v>
      </c>
      <c r="D705" s="22">
        <f>IFERROR(__xludf.DUMMYFUNCTION("""COMPUTED_VALUE"""),20.74)</f>
        <v>20.74</v>
      </c>
      <c r="E705" s="26">
        <f t="shared" si="2"/>
        <v>-0.000868024979</v>
      </c>
      <c r="F705" s="25">
        <f>IFERROR(__xludf.DUMMYFUNCTION("""COMPUTED_VALUE"""),44284.63611111111)</f>
        <v>44284.63611</v>
      </c>
      <c r="G705" s="22">
        <f>IFERROR(__xludf.DUMMYFUNCTION("""COMPUTED_VALUE"""),23.2)</f>
        <v>23.2</v>
      </c>
      <c r="H705" s="25">
        <f>IFERROR(__xludf.DUMMYFUNCTION("""COMPUTED_VALUE"""),44284.63611111111)</f>
        <v>44284.63611</v>
      </c>
      <c r="I705" s="22">
        <f>IFERROR(__xludf.DUMMYFUNCTION("""COMPUTED_VALUE"""),25.44)</f>
        <v>25.44</v>
      </c>
      <c r="J705" s="25">
        <f>IFERROR(__xludf.DUMMYFUNCTION("""COMPUTED_VALUE"""),44284.63611111111)</f>
        <v>44284.63611</v>
      </c>
      <c r="K705" s="22">
        <f>IFERROR(__xludf.DUMMYFUNCTION("""COMPUTED_VALUE"""),25.39)</f>
        <v>25.39</v>
      </c>
      <c r="M705" s="22" t="str">
        <f t="shared" si="3"/>
        <v/>
      </c>
      <c r="N705" s="22" t="str">
        <f t="shared" si="4"/>
        <v/>
      </c>
    </row>
    <row r="706" ht="15.75" customHeight="1">
      <c r="A706" s="25">
        <f>IFERROR(__xludf.DUMMYFUNCTION("""COMPUTED_VALUE"""),44285.66666666667)</f>
        <v>44285.66667</v>
      </c>
      <c r="B706" s="22">
        <f>IFERROR(__xludf.DUMMYFUNCTION("""COMPUTED_VALUE"""),3958.55)</f>
        <v>3958.55</v>
      </c>
      <c r="C706" s="25">
        <f>IFERROR(__xludf.DUMMYFUNCTION("""COMPUTED_VALUE"""),44285.63611111111)</f>
        <v>44285.63611</v>
      </c>
      <c r="D706" s="22">
        <f>IFERROR(__xludf.DUMMYFUNCTION("""COMPUTED_VALUE"""),19.61)</f>
        <v>19.61</v>
      </c>
      <c r="E706" s="26">
        <f t="shared" si="2"/>
        <v>-0.003157823167</v>
      </c>
      <c r="F706" s="25">
        <f>IFERROR(__xludf.DUMMYFUNCTION("""COMPUTED_VALUE"""),44285.63611111111)</f>
        <v>44285.63611</v>
      </c>
      <c r="G706" s="22">
        <f>IFERROR(__xludf.DUMMYFUNCTION("""COMPUTED_VALUE"""),22.31)</f>
        <v>22.31</v>
      </c>
      <c r="H706" s="25">
        <f>IFERROR(__xludf.DUMMYFUNCTION("""COMPUTED_VALUE"""),44285.63611111111)</f>
        <v>44285.63611</v>
      </c>
      <c r="I706" s="22">
        <f>IFERROR(__xludf.DUMMYFUNCTION("""COMPUTED_VALUE"""),24.63)</f>
        <v>24.63</v>
      </c>
      <c r="J706" s="25">
        <f>IFERROR(__xludf.DUMMYFUNCTION("""COMPUTED_VALUE"""),44285.63611111111)</f>
        <v>44285.63611</v>
      </c>
      <c r="K706" s="22">
        <f>IFERROR(__xludf.DUMMYFUNCTION("""COMPUTED_VALUE"""),24.81)</f>
        <v>24.81</v>
      </c>
      <c r="M706" s="22" t="str">
        <f t="shared" si="3"/>
        <v/>
      </c>
      <c r="N706" s="22" t="str">
        <f t="shared" si="4"/>
        <v/>
      </c>
    </row>
    <row r="707" ht="15.75" customHeight="1">
      <c r="A707" s="25">
        <f>IFERROR(__xludf.DUMMYFUNCTION("""COMPUTED_VALUE"""),44286.66666666667)</f>
        <v>44286.66667</v>
      </c>
      <c r="B707" s="22">
        <f>IFERROR(__xludf.DUMMYFUNCTION("""COMPUTED_VALUE"""),3972.89)</f>
        <v>3972.89</v>
      </c>
      <c r="C707" s="25">
        <f>IFERROR(__xludf.DUMMYFUNCTION("""COMPUTED_VALUE"""),44286.63611111111)</f>
        <v>44286.63611</v>
      </c>
      <c r="D707" s="22">
        <f>IFERROR(__xludf.DUMMYFUNCTION("""COMPUTED_VALUE"""),19.4)</f>
        <v>19.4</v>
      </c>
      <c r="E707" s="26">
        <f t="shared" si="2"/>
        <v>0.003622538556</v>
      </c>
      <c r="F707" s="25">
        <f>IFERROR(__xludf.DUMMYFUNCTION("""COMPUTED_VALUE"""),44286.63611111111)</f>
        <v>44286.63611</v>
      </c>
      <c r="G707" s="22">
        <f>IFERROR(__xludf.DUMMYFUNCTION("""COMPUTED_VALUE"""),22.15)</f>
        <v>22.15</v>
      </c>
      <c r="H707" s="25">
        <f>IFERROR(__xludf.DUMMYFUNCTION("""COMPUTED_VALUE"""),44286.63611111111)</f>
        <v>44286.63611</v>
      </c>
      <c r="I707" s="22">
        <f>IFERROR(__xludf.DUMMYFUNCTION("""COMPUTED_VALUE"""),24.3)</f>
        <v>24.3</v>
      </c>
      <c r="J707" s="25">
        <f>IFERROR(__xludf.DUMMYFUNCTION("""COMPUTED_VALUE"""),44286.63611111111)</f>
        <v>44286.63611</v>
      </c>
      <c r="K707" s="22">
        <f>IFERROR(__xludf.DUMMYFUNCTION("""COMPUTED_VALUE"""),24.64)</f>
        <v>24.64</v>
      </c>
      <c r="M707" s="22" t="str">
        <f t="shared" si="3"/>
        <v/>
      </c>
      <c r="N707" s="22" t="str">
        <f t="shared" si="4"/>
        <v/>
      </c>
    </row>
    <row r="708" ht="15.75" customHeight="1">
      <c r="A708" s="25">
        <f>IFERROR(__xludf.DUMMYFUNCTION("""COMPUTED_VALUE"""),44287.66666666667)</f>
        <v>44287.66667</v>
      </c>
      <c r="B708" s="22">
        <f>IFERROR(__xludf.DUMMYFUNCTION("""COMPUTED_VALUE"""),4019.87)</f>
        <v>4019.87</v>
      </c>
      <c r="C708" s="25">
        <f>IFERROR(__xludf.DUMMYFUNCTION("""COMPUTED_VALUE"""),44287.63611111111)</f>
        <v>44287.63611</v>
      </c>
      <c r="D708" s="22">
        <f>IFERROR(__xludf.DUMMYFUNCTION("""COMPUTED_VALUE"""),17.33)</f>
        <v>17.33</v>
      </c>
      <c r="E708" s="26">
        <f t="shared" si="2"/>
        <v>0.01182514492</v>
      </c>
      <c r="F708" s="25">
        <f>IFERROR(__xludf.DUMMYFUNCTION("""COMPUTED_VALUE"""),44287.63611111111)</f>
        <v>44287.63611</v>
      </c>
      <c r="G708" s="22">
        <f>IFERROR(__xludf.DUMMYFUNCTION("""COMPUTED_VALUE"""),20.97)</f>
        <v>20.97</v>
      </c>
      <c r="H708" s="25">
        <f>IFERROR(__xludf.DUMMYFUNCTION("""COMPUTED_VALUE"""),44287.63611111111)</f>
        <v>44287.63611</v>
      </c>
      <c r="I708" s="22">
        <f>IFERROR(__xludf.DUMMYFUNCTION("""COMPUTED_VALUE"""),23.49)</f>
        <v>23.49</v>
      </c>
      <c r="J708" s="25">
        <f>IFERROR(__xludf.DUMMYFUNCTION("""COMPUTED_VALUE"""),44287.63611111111)</f>
        <v>44287.63611</v>
      </c>
      <c r="K708" s="22">
        <f>IFERROR(__xludf.DUMMYFUNCTION("""COMPUTED_VALUE"""),24.19)</f>
        <v>24.19</v>
      </c>
      <c r="M708" s="22" t="str">
        <f t="shared" si="3"/>
        <v/>
      </c>
      <c r="N708" s="22" t="str">
        <f t="shared" si="4"/>
        <v/>
      </c>
    </row>
    <row r="709" ht="15.75" customHeight="1">
      <c r="A709" s="25">
        <f>IFERROR(__xludf.DUMMYFUNCTION("""COMPUTED_VALUE"""),44291.66666666667)</f>
        <v>44291.66667</v>
      </c>
      <c r="B709" s="22">
        <f>IFERROR(__xludf.DUMMYFUNCTION("""COMPUTED_VALUE"""),4077.91)</f>
        <v>4077.91</v>
      </c>
      <c r="C709" s="25">
        <f>IFERROR(__xludf.DUMMYFUNCTION("""COMPUTED_VALUE"""),44291.63611111111)</f>
        <v>44291.63611</v>
      </c>
      <c r="D709" s="22">
        <f>IFERROR(__xludf.DUMMYFUNCTION("""COMPUTED_VALUE"""),17.91)</f>
        <v>17.91</v>
      </c>
      <c r="E709" s="26">
        <f t="shared" si="2"/>
        <v>0.01443827785</v>
      </c>
      <c r="F709" s="25">
        <f>IFERROR(__xludf.DUMMYFUNCTION("""COMPUTED_VALUE"""),44291.63611111111)</f>
        <v>44291.63611</v>
      </c>
      <c r="G709" s="22">
        <f>IFERROR(__xludf.DUMMYFUNCTION("""COMPUTED_VALUE"""),20.96)</f>
        <v>20.96</v>
      </c>
      <c r="H709" s="25">
        <f>IFERROR(__xludf.DUMMYFUNCTION("""COMPUTED_VALUE"""),44291.63611111111)</f>
        <v>44291.63611</v>
      </c>
      <c r="I709" s="22">
        <f>IFERROR(__xludf.DUMMYFUNCTION("""COMPUTED_VALUE"""),23.39)</f>
        <v>23.39</v>
      </c>
      <c r="J709" s="25">
        <f>IFERROR(__xludf.DUMMYFUNCTION("""COMPUTED_VALUE"""),44291.63611111111)</f>
        <v>44291.63611</v>
      </c>
      <c r="K709" s="22">
        <f>IFERROR(__xludf.DUMMYFUNCTION("""COMPUTED_VALUE"""),24.04)</f>
        <v>24.04</v>
      </c>
      <c r="M709" s="22" t="str">
        <f t="shared" si="3"/>
        <v/>
      </c>
      <c r="N709" s="22" t="str">
        <f t="shared" si="4"/>
        <v/>
      </c>
    </row>
    <row r="710" ht="15.75" customHeight="1">
      <c r="A710" s="25">
        <f>IFERROR(__xludf.DUMMYFUNCTION("""COMPUTED_VALUE"""),44292.66666666667)</f>
        <v>44292.66667</v>
      </c>
      <c r="B710" s="22">
        <f>IFERROR(__xludf.DUMMYFUNCTION("""COMPUTED_VALUE"""),4073.94)</f>
        <v>4073.94</v>
      </c>
      <c r="C710" s="25">
        <f>IFERROR(__xludf.DUMMYFUNCTION("""COMPUTED_VALUE"""),44292.63611111111)</f>
        <v>44292.63611</v>
      </c>
      <c r="D710" s="22">
        <f>IFERROR(__xludf.DUMMYFUNCTION("""COMPUTED_VALUE"""),18.12)</f>
        <v>18.12</v>
      </c>
      <c r="E710" s="26">
        <f t="shared" si="2"/>
        <v>-0.0009735379153</v>
      </c>
      <c r="F710" s="25">
        <f>IFERROR(__xludf.DUMMYFUNCTION("""COMPUTED_VALUE"""),44292.63611111111)</f>
        <v>44292.63611</v>
      </c>
      <c r="G710" s="22">
        <f>IFERROR(__xludf.DUMMYFUNCTION("""COMPUTED_VALUE"""),21.16)</f>
        <v>21.16</v>
      </c>
      <c r="H710" s="25">
        <f>IFERROR(__xludf.DUMMYFUNCTION("""COMPUTED_VALUE"""),44292.63611111111)</f>
        <v>44292.63611</v>
      </c>
      <c r="I710" s="22">
        <f>IFERROR(__xludf.DUMMYFUNCTION("""COMPUTED_VALUE"""),23.46)</f>
        <v>23.46</v>
      </c>
      <c r="J710" s="25">
        <f>IFERROR(__xludf.DUMMYFUNCTION("""COMPUTED_VALUE"""),44292.63611111111)</f>
        <v>44292.63611</v>
      </c>
      <c r="K710" s="22">
        <f>IFERROR(__xludf.DUMMYFUNCTION("""COMPUTED_VALUE"""),24.08)</f>
        <v>24.08</v>
      </c>
      <c r="M710" s="22" t="str">
        <f t="shared" si="3"/>
        <v/>
      </c>
      <c r="N710" s="22" t="str">
        <f t="shared" si="4"/>
        <v/>
      </c>
    </row>
    <row r="711" ht="15.75" customHeight="1">
      <c r="A711" s="25">
        <f>IFERROR(__xludf.DUMMYFUNCTION("""COMPUTED_VALUE"""),44293.66666666667)</f>
        <v>44293.66667</v>
      </c>
      <c r="B711" s="22">
        <f>IFERROR(__xludf.DUMMYFUNCTION("""COMPUTED_VALUE"""),4079.95)</f>
        <v>4079.95</v>
      </c>
      <c r="C711" s="25">
        <f>IFERROR(__xludf.DUMMYFUNCTION("""COMPUTED_VALUE"""),44293.63611111111)</f>
        <v>44293.63611</v>
      </c>
      <c r="D711" s="22">
        <f>IFERROR(__xludf.DUMMYFUNCTION("""COMPUTED_VALUE"""),17.16)</f>
        <v>17.16</v>
      </c>
      <c r="E711" s="26">
        <f t="shared" si="2"/>
        <v>0.001475230367</v>
      </c>
      <c r="F711" s="25">
        <f>IFERROR(__xludf.DUMMYFUNCTION("""COMPUTED_VALUE"""),44293.63611111111)</f>
        <v>44293.63611</v>
      </c>
      <c r="G711" s="22">
        <f>IFERROR(__xludf.DUMMYFUNCTION("""COMPUTED_VALUE"""),20.66)</f>
        <v>20.66</v>
      </c>
      <c r="H711" s="25">
        <f>IFERROR(__xludf.DUMMYFUNCTION("""COMPUTED_VALUE"""),44293.63611111111)</f>
        <v>44293.63611</v>
      </c>
      <c r="I711" s="22">
        <f>IFERROR(__xludf.DUMMYFUNCTION("""COMPUTED_VALUE"""),23.06)</f>
        <v>23.06</v>
      </c>
      <c r="J711" s="25">
        <f>IFERROR(__xludf.DUMMYFUNCTION("""COMPUTED_VALUE"""),44293.63611111111)</f>
        <v>44293.63611</v>
      </c>
      <c r="K711" s="22">
        <f>IFERROR(__xludf.DUMMYFUNCTION("""COMPUTED_VALUE"""),23.78)</f>
        <v>23.78</v>
      </c>
      <c r="M711" s="22" t="str">
        <f t="shared" si="3"/>
        <v/>
      </c>
      <c r="N711" s="22" t="str">
        <f t="shared" si="4"/>
        <v/>
      </c>
    </row>
    <row r="712" ht="15.75" customHeight="1">
      <c r="A712" s="25">
        <f>IFERROR(__xludf.DUMMYFUNCTION("""COMPUTED_VALUE"""),44294.66666666667)</f>
        <v>44294.66667</v>
      </c>
      <c r="B712" s="22">
        <f>IFERROR(__xludf.DUMMYFUNCTION("""COMPUTED_VALUE"""),4097.17)</f>
        <v>4097.17</v>
      </c>
      <c r="C712" s="25">
        <f>IFERROR(__xludf.DUMMYFUNCTION("""COMPUTED_VALUE"""),44294.63611111111)</f>
        <v>44294.63611</v>
      </c>
      <c r="D712" s="22">
        <f>IFERROR(__xludf.DUMMYFUNCTION("""COMPUTED_VALUE"""),16.95)</f>
        <v>16.95</v>
      </c>
      <c r="E712" s="26">
        <f t="shared" si="2"/>
        <v>0.004220639959</v>
      </c>
      <c r="F712" s="25">
        <f>IFERROR(__xludf.DUMMYFUNCTION("""COMPUTED_VALUE"""),44294.63611111111)</f>
        <v>44294.63611</v>
      </c>
      <c r="G712" s="22">
        <f>IFERROR(__xludf.DUMMYFUNCTION("""COMPUTED_VALUE"""),20.59)</f>
        <v>20.59</v>
      </c>
      <c r="H712" s="25">
        <f>IFERROR(__xludf.DUMMYFUNCTION("""COMPUTED_VALUE"""),44294.63611111111)</f>
        <v>44294.63611</v>
      </c>
      <c r="I712" s="22">
        <f>IFERROR(__xludf.DUMMYFUNCTION("""COMPUTED_VALUE"""),23.08)</f>
        <v>23.08</v>
      </c>
      <c r="J712" s="25">
        <f>IFERROR(__xludf.DUMMYFUNCTION("""COMPUTED_VALUE"""),44294.63611111111)</f>
        <v>44294.63611</v>
      </c>
      <c r="K712" s="22">
        <f>IFERROR(__xludf.DUMMYFUNCTION("""COMPUTED_VALUE"""),23.74)</f>
        <v>23.74</v>
      </c>
      <c r="M712" s="22" t="str">
        <f t="shared" si="3"/>
        <v/>
      </c>
      <c r="N712" s="22" t="str">
        <f t="shared" si="4"/>
        <v/>
      </c>
    </row>
    <row r="713" ht="15.75" customHeight="1">
      <c r="A713" s="25">
        <f>IFERROR(__xludf.DUMMYFUNCTION("""COMPUTED_VALUE"""),44295.66666666667)</f>
        <v>44295.66667</v>
      </c>
      <c r="B713" s="22">
        <f>IFERROR(__xludf.DUMMYFUNCTION("""COMPUTED_VALUE"""),4128.8)</f>
        <v>4128.8</v>
      </c>
      <c r="C713" s="25">
        <f>IFERROR(__xludf.DUMMYFUNCTION("""COMPUTED_VALUE"""),44295.63611111111)</f>
        <v>44295.63611</v>
      </c>
      <c r="D713" s="22">
        <f>IFERROR(__xludf.DUMMYFUNCTION("""COMPUTED_VALUE"""),16.69)</f>
        <v>16.69</v>
      </c>
      <c r="E713" s="26">
        <f t="shared" si="2"/>
        <v>0.007719962804</v>
      </c>
      <c r="F713" s="25">
        <f>IFERROR(__xludf.DUMMYFUNCTION("""COMPUTED_VALUE"""),44295.63611111111)</f>
        <v>44295.63611</v>
      </c>
      <c r="G713" s="22">
        <f>IFERROR(__xludf.DUMMYFUNCTION("""COMPUTED_VALUE"""),20.74)</f>
        <v>20.74</v>
      </c>
      <c r="H713" s="25">
        <f>IFERROR(__xludf.DUMMYFUNCTION("""COMPUTED_VALUE"""),44295.63611111111)</f>
        <v>44295.63611</v>
      </c>
      <c r="I713" s="22">
        <f>IFERROR(__xludf.DUMMYFUNCTION("""COMPUTED_VALUE"""),23.19)</f>
        <v>23.19</v>
      </c>
      <c r="J713" s="25">
        <f>IFERROR(__xludf.DUMMYFUNCTION("""COMPUTED_VALUE"""),44295.63611111111)</f>
        <v>44295.63611</v>
      </c>
      <c r="K713" s="22">
        <f>IFERROR(__xludf.DUMMYFUNCTION("""COMPUTED_VALUE"""),23.81)</f>
        <v>23.81</v>
      </c>
      <c r="M713" s="22" t="str">
        <f t="shared" si="3"/>
        <v/>
      </c>
      <c r="N713" s="22" t="str">
        <f t="shared" si="4"/>
        <v/>
      </c>
    </row>
    <row r="714" ht="15.75" customHeight="1">
      <c r="A714" s="25">
        <f>IFERROR(__xludf.DUMMYFUNCTION("""COMPUTED_VALUE"""),44298.66666666667)</f>
        <v>44298.66667</v>
      </c>
      <c r="B714" s="22">
        <f>IFERROR(__xludf.DUMMYFUNCTION("""COMPUTED_VALUE"""),4127.99)</f>
        <v>4127.99</v>
      </c>
      <c r="C714" s="25">
        <f>IFERROR(__xludf.DUMMYFUNCTION("""COMPUTED_VALUE"""),44298.63611111111)</f>
        <v>44298.63611</v>
      </c>
      <c r="D714" s="22">
        <f>IFERROR(__xludf.DUMMYFUNCTION("""COMPUTED_VALUE"""),16.91)</f>
        <v>16.91</v>
      </c>
      <c r="E714" s="26">
        <f t="shared" si="2"/>
        <v>-0.0001961829103</v>
      </c>
      <c r="F714" s="25">
        <f>IFERROR(__xludf.DUMMYFUNCTION("""COMPUTED_VALUE"""),44298.63611111111)</f>
        <v>44298.63611</v>
      </c>
      <c r="G714" s="22">
        <f>IFERROR(__xludf.DUMMYFUNCTION("""COMPUTED_VALUE"""),20.82)</f>
        <v>20.82</v>
      </c>
      <c r="H714" s="25">
        <f>IFERROR(__xludf.DUMMYFUNCTION("""COMPUTED_VALUE"""),44298.63611111111)</f>
        <v>44298.63611</v>
      </c>
      <c r="I714" s="22">
        <f>IFERROR(__xludf.DUMMYFUNCTION("""COMPUTED_VALUE"""),23.17)</f>
        <v>23.17</v>
      </c>
      <c r="J714" s="25">
        <f>IFERROR(__xludf.DUMMYFUNCTION("""COMPUTED_VALUE"""),44298.63611111111)</f>
        <v>44298.63611</v>
      </c>
      <c r="K714" s="22">
        <f>IFERROR(__xludf.DUMMYFUNCTION("""COMPUTED_VALUE"""),23.83)</f>
        <v>23.83</v>
      </c>
      <c r="M714" s="22" t="str">
        <f t="shared" si="3"/>
        <v/>
      </c>
      <c r="N714" s="22" t="str">
        <f t="shared" si="4"/>
        <v/>
      </c>
    </row>
    <row r="715" ht="15.75" customHeight="1">
      <c r="A715" s="25">
        <f>IFERROR(__xludf.DUMMYFUNCTION("""COMPUTED_VALUE"""),44299.66666666667)</f>
        <v>44299.66667</v>
      </c>
      <c r="B715" s="22">
        <f>IFERROR(__xludf.DUMMYFUNCTION("""COMPUTED_VALUE"""),4141.59)</f>
        <v>4141.59</v>
      </c>
      <c r="C715" s="25">
        <f>IFERROR(__xludf.DUMMYFUNCTION("""COMPUTED_VALUE"""),44299.63611111111)</f>
        <v>44299.63611</v>
      </c>
      <c r="D715" s="22">
        <f>IFERROR(__xludf.DUMMYFUNCTION("""COMPUTED_VALUE"""),16.65)</f>
        <v>16.65</v>
      </c>
      <c r="E715" s="26">
        <f t="shared" si="2"/>
        <v>0.003294581624</v>
      </c>
      <c r="F715" s="25">
        <f>IFERROR(__xludf.DUMMYFUNCTION("""COMPUTED_VALUE"""),44299.63611111111)</f>
        <v>44299.63611</v>
      </c>
      <c r="G715" s="22">
        <f>IFERROR(__xludf.DUMMYFUNCTION("""COMPUTED_VALUE"""),20.78)</f>
        <v>20.78</v>
      </c>
      <c r="H715" s="25">
        <f>IFERROR(__xludf.DUMMYFUNCTION("""COMPUTED_VALUE"""),44299.63611111111)</f>
        <v>44299.63611</v>
      </c>
      <c r="I715" s="22">
        <f>IFERROR(__xludf.DUMMYFUNCTION("""COMPUTED_VALUE"""),23.12)</f>
        <v>23.12</v>
      </c>
      <c r="J715" s="25">
        <f>IFERROR(__xludf.DUMMYFUNCTION("""COMPUTED_VALUE"""),44299.63611111111)</f>
        <v>44299.63611</v>
      </c>
      <c r="K715" s="22">
        <f>IFERROR(__xludf.DUMMYFUNCTION("""COMPUTED_VALUE"""),23.82)</f>
        <v>23.82</v>
      </c>
      <c r="M715" s="22" t="str">
        <f t="shared" si="3"/>
        <v/>
      </c>
      <c r="N715" s="22" t="str">
        <f t="shared" si="4"/>
        <v/>
      </c>
    </row>
    <row r="716" ht="15.75" customHeight="1">
      <c r="A716" s="25">
        <f>IFERROR(__xludf.DUMMYFUNCTION("""COMPUTED_VALUE"""),44300.66666666667)</f>
        <v>44300.66667</v>
      </c>
      <c r="B716" s="22">
        <f>IFERROR(__xludf.DUMMYFUNCTION("""COMPUTED_VALUE"""),4124.66)</f>
        <v>4124.66</v>
      </c>
      <c r="C716" s="25">
        <f>IFERROR(__xludf.DUMMYFUNCTION("""COMPUTED_VALUE"""),44300.63611111111)</f>
        <v>44300.63611</v>
      </c>
      <c r="D716" s="22">
        <f>IFERROR(__xludf.DUMMYFUNCTION("""COMPUTED_VALUE"""),16.99)</f>
        <v>16.99</v>
      </c>
      <c r="E716" s="26">
        <f t="shared" si="2"/>
        <v>-0.004087802028</v>
      </c>
      <c r="F716" s="25">
        <f>IFERROR(__xludf.DUMMYFUNCTION("""COMPUTED_VALUE"""),44300.63611111111)</f>
        <v>44300.63611</v>
      </c>
      <c r="G716" s="22">
        <f>IFERROR(__xludf.DUMMYFUNCTION("""COMPUTED_VALUE"""),21.06)</f>
        <v>21.06</v>
      </c>
      <c r="H716" s="25">
        <f>IFERROR(__xludf.DUMMYFUNCTION("""COMPUTED_VALUE"""),44300.63611111111)</f>
        <v>44300.63611</v>
      </c>
      <c r="I716" s="22">
        <f>IFERROR(__xludf.DUMMYFUNCTION("""COMPUTED_VALUE"""),23.51)</f>
        <v>23.51</v>
      </c>
      <c r="J716" s="25">
        <f>IFERROR(__xludf.DUMMYFUNCTION("""COMPUTED_VALUE"""),44300.63611111111)</f>
        <v>44300.63611</v>
      </c>
      <c r="K716" s="22">
        <f>IFERROR(__xludf.DUMMYFUNCTION("""COMPUTED_VALUE"""),24.01)</f>
        <v>24.01</v>
      </c>
      <c r="M716" s="22" t="str">
        <f t="shared" si="3"/>
        <v/>
      </c>
      <c r="N716" s="22" t="str">
        <f t="shared" si="4"/>
        <v/>
      </c>
    </row>
    <row r="717" ht="15.75" customHeight="1">
      <c r="A717" s="25">
        <f>IFERROR(__xludf.DUMMYFUNCTION("""COMPUTED_VALUE"""),44301.66666666667)</f>
        <v>44301.66667</v>
      </c>
      <c r="B717" s="22">
        <f>IFERROR(__xludf.DUMMYFUNCTION("""COMPUTED_VALUE"""),4170.42)</f>
        <v>4170.42</v>
      </c>
      <c r="C717" s="25">
        <f>IFERROR(__xludf.DUMMYFUNCTION("""COMPUTED_VALUE"""),44301.63611111111)</f>
        <v>44301.63611</v>
      </c>
      <c r="D717" s="22">
        <f>IFERROR(__xludf.DUMMYFUNCTION("""COMPUTED_VALUE"""),16.57)</f>
        <v>16.57</v>
      </c>
      <c r="E717" s="26">
        <f t="shared" si="2"/>
        <v>0.01109424777</v>
      </c>
      <c r="F717" s="25">
        <f>IFERROR(__xludf.DUMMYFUNCTION("""COMPUTED_VALUE"""),44301.63611111111)</f>
        <v>44301.63611</v>
      </c>
      <c r="G717" s="22">
        <f>IFERROR(__xludf.DUMMYFUNCTION("""COMPUTED_VALUE"""),20.76)</f>
        <v>20.76</v>
      </c>
      <c r="H717" s="25">
        <f>IFERROR(__xludf.DUMMYFUNCTION("""COMPUTED_VALUE"""),44301.63611111111)</f>
        <v>44301.63611</v>
      </c>
      <c r="I717" s="22">
        <f>IFERROR(__xludf.DUMMYFUNCTION("""COMPUTED_VALUE"""),23.3)</f>
        <v>23.3</v>
      </c>
      <c r="J717" s="25">
        <f>IFERROR(__xludf.DUMMYFUNCTION("""COMPUTED_VALUE"""),44301.63611111111)</f>
        <v>44301.63611</v>
      </c>
      <c r="K717" s="22">
        <f>IFERROR(__xludf.DUMMYFUNCTION("""COMPUTED_VALUE"""),23.85)</f>
        <v>23.85</v>
      </c>
      <c r="M717" s="22" t="str">
        <f t="shared" si="3"/>
        <v/>
      </c>
      <c r="N717" s="22" t="str">
        <f t="shared" si="4"/>
        <v/>
      </c>
    </row>
    <row r="718" ht="15.75" customHeight="1">
      <c r="A718" s="25">
        <f>IFERROR(__xludf.DUMMYFUNCTION("""COMPUTED_VALUE"""),44302.66666666667)</f>
        <v>44302.66667</v>
      </c>
      <c r="B718" s="22">
        <f>IFERROR(__xludf.DUMMYFUNCTION("""COMPUTED_VALUE"""),4185.47)</f>
        <v>4185.47</v>
      </c>
      <c r="C718" s="25">
        <f>IFERROR(__xludf.DUMMYFUNCTION("""COMPUTED_VALUE"""),44302.63611111111)</f>
        <v>44302.63611</v>
      </c>
      <c r="D718" s="22">
        <f>IFERROR(__xludf.DUMMYFUNCTION("""COMPUTED_VALUE"""),16.25)</f>
        <v>16.25</v>
      </c>
      <c r="E718" s="26">
        <f t="shared" si="2"/>
        <v>0.003608749239</v>
      </c>
      <c r="F718" s="25">
        <f>IFERROR(__xludf.DUMMYFUNCTION("""COMPUTED_VALUE"""),44302.63611111111)</f>
        <v>44302.63611</v>
      </c>
      <c r="G718" s="22">
        <f>IFERROR(__xludf.DUMMYFUNCTION("""COMPUTED_VALUE"""),20.53)</f>
        <v>20.53</v>
      </c>
      <c r="H718" s="25">
        <f>IFERROR(__xludf.DUMMYFUNCTION("""COMPUTED_VALUE"""),44302.63611111111)</f>
        <v>44302.63611</v>
      </c>
      <c r="I718" s="22">
        <f>IFERROR(__xludf.DUMMYFUNCTION("""COMPUTED_VALUE"""),23.16)</f>
        <v>23.16</v>
      </c>
      <c r="J718" s="25">
        <f>IFERROR(__xludf.DUMMYFUNCTION("""COMPUTED_VALUE"""),44302.63611111111)</f>
        <v>44302.63611</v>
      </c>
      <c r="K718" s="22">
        <f>IFERROR(__xludf.DUMMYFUNCTION("""COMPUTED_VALUE"""),23.84)</f>
        <v>23.84</v>
      </c>
      <c r="M718" s="22" t="str">
        <f t="shared" si="3"/>
        <v/>
      </c>
      <c r="N718" s="22" t="str">
        <f t="shared" si="4"/>
        <v/>
      </c>
    </row>
    <row r="719" ht="15.75" customHeight="1">
      <c r="A719" s="25">
        <f>IFERROR(__xludf.DUMMYFUNCTION("""COMPUTED_VALUE"""),44305.66666666667)</f>
        <v>44305.66667</v>
      </c>
      <c r="B719" s="22">
        <f>IFERROR(__xludf.DUMMYFUNCTION("""COMPUTED_VALUE"""),4163.26)</f>
        <v>4163.26</v>
      </c>
      <c r="C719" s="25">
        <f>IFERROR(__xludf.DUMMYFUNCTION("""COMPUTED_VALUE"""),44305.63611111111)</f>
        <v>44305.63611</v>
      </c>
      <c r="D719" s="22">
        <f>IFERROR(__xludf.DUMMYFUNCTION("""COMPUTED_VALUE"""),17.29)</f>
        <v>17.29</v>
      </c>
      <c r="E719" s="26">
        <f t="shared" si="2"/>
        <v>-0.005306453039</v>
      </c>
      <c r="F719" s="25">
        <f>IFERROR(__xludf.DUMMYFUNCTION("""COMPUTED_VALUE"""),44305.63611111111)</f>
        <v>44305.63611</v>
      </c>
      <c r="G719" s="22">
        <f>IFERROR(__xludf.DUMMYFUNCTION("""COMPUTED_VALUE"""),21.37)</f>
        <v>21.37</v>
      </c>
      <c r="H719" s="25">
        <f>IFERROR(__xludf.DUMMYFUNCTION("""COMPUTED_VALUE"""),44305.63611111111)</f>
        <v>44305.63611</v>
      </c>
      <c r="I719" s="22">
        <f>IFERROR(__xludf.DUMMYFUNCTION("""COMPUTED_VALUE"""),23.74)</f>
        <v>23.74</v>
      </c>
      <c r="J719" s="25">
        <f>IFERROR(__xludf.DUMMYFUNCTION("""COMPUTED_VALUE"""),44305.63611111111)</f>
        <v>44305.63611</v>
      </c>
      <c r="K719" s="22">
        <f>IFERROR(__xludf.DUMMYFUNCTION("""COMPUTED_VALUE"""),24.1)</f>
        <v>24.1</v>
      </c>
      <c r="M719" s="22" t="str">
        <f t="shared" si="3"/>
        <v/>
      </c>
      <c r="N719" s="22" t="str">
        <f t="shared" si="4"/>
        <v/>
      </c>
    </row>
    <row r="720" ht="15.75" customHeight="1">
      <c r="A720" s="25">
        <f>IFERROR(__xludf.DUMMYFUNCTION("""COMPUTED_VALUE"""),44306.66666666667)</f>
        <v>44306.66667</v>
      </c>
      <c r="B720" s="22">
        <f>IFERROR(__xludf.DUMMYFUNCTION("""COMPUTED_VALUE"""),4134.94)</f>
        <v>4134.94</v>
      </c>
      <c r="C720" s="25">
        <f>IFERROR(__xludf.DUMMYFUNCTION("""COMPUTED_VALUE"""),44306.63611111111)</f>
        <v>44306.63611</v>
      </c>
      <c r="D720" s="22">
        <f>IFERROR(__xludf.DUMMYFUNCTION("""COMPUTED_VALUE"""),18.68)</f>
        <v>18.68</v>
      </c>
      <c r="E720" s="26">
        <f t="shared" si="2"/>
        <v>-0.006802361611</v>
      </c>
      <c r="F720" s="25">
        <f>IFERROR(__xludf.DUMMYFUNCTION("""COMPUTED_VALUE"""),44306.63611111111)</f>
        <v>44306.63611</v>
      </c>
      <c r="G720" s="22">
        <f>IFERROR(__xludf.DUMMYFUNCTION("""COMPUTED_VALUE"""),22.35)</f>
        <v>22.35</v>
      </c>
      <c r="H720" s="25">
        <f>IFERROR(__xludf.DUMMYFUNCTION("""COMPUTED_VALUE"""),44306.63611111111)</f>
        <v>44306.63611</v>
      </c>
      <c r="I720" s="22">
        <f>IFERROR(__xludf.DUMMYFUNCTION("""COMPUTED_VALUE"""),24.46)</f>
        <v>24.46</v>
      </c>
      <c r="J720" s="25">
        <f>IFERROR(__xludf.DUMMYFUNCTION("""COMPUTED_VALUE"""),44306.63611111111)</f>
        <v>44306.63611</v>
      </c>
      <c r="K720" s="22">
        <f>IFERROR(__xludf.DUMMYFUNCTION("""COMPUTED_VALUE"""),24.5)</f>
        <v>24.5</v>
      </c>
      <c r="M720" s="22" t="str">
        <f t="shared" si="3"/>
        <v/>
      </c>
      <c r="N720" s="22" t="str">
        <f t="shared" si="4"/>
        <v/>
      </c>
    </row>
    <row r="721" ht="15.75" customHeight="1">
      <c r="A721" s="25">
        <f>IFERROR(__xludf.DUMMYFUNCTION("""COMPUTED_VALUE"""),44307.66666666667)</f>
        <v>44307.66667</v>
      </c>
      <c r="B721" s="22">
        <f>IFERROR(__xludf.DUMMYFUNCTION("""COMPUTED_VALUE"""),4173.42)</f>
        <v>4173.42</v>
      </c>
      <c r="C721" s="25">
        <f>IFERROR(__xludf.DUMMYFUNCTION("""COMPUTED_VALUE"""),44307.63611111111)</f>
        <v>44307.63611</v>
      </c>
      <c r="D721" s="22">
        <f>IFERROR(__xludf.DUMMYFUNCTION("""COMPUTED_VALUE"""),17.5)</f>
        <v>17.5</v>
      </c>
      <c r="E721" s="26">
        <f t="shared" si="2"/>
        <v>0.009306060064</v>
      </c>
      <c r="F721" s="25">
        <f>IFERROR(__xludf.DUMMYFUNCTION("""COMPUTED_VALUE"""),44307.63611111111)</f>
        <v>44307.63611</v>
      </c>
      <c r="G721" s="22">
        <f>IFERROR(__xludf.DUMMYFUNCTION("""COMPUTED_VALUE"""),21.49)</f>
        <v>21.49</v>
      </c>
      <c r="H721" s="25">
        <f>IFERROR(__xludf.DUMMYFUNCTION("""COMPUTED_VALUE"""),44307.63611111111)</f>
        <v>44307.63611</v>
      </c>
      <c r="I721" s="22">
        <f>IFERROR(__xludf.DUMMYFUNCTION("""COMPUTED_VALUE"""),23.8)</f>
        <v>23.8</v>
      </c>
      <c r="J721" s="25">
        <f>IFERROR(__xludf.DUMMYFUNCTION("""COMPUTED_VALUE"""),44307.63611111111)</f>
        <v>44307.63611</v>
      </c>
      <c r="K721" s="22">
        <f>IFERROR(__xludf.DUMMYFUNCTION("""COMPUTED_VALUE"""),24.04)</f>
        <v>24.04</v>
      </c>
      <c r="M721" s="22" t="str">
        <f t="shared" si="3"/>
        <v/>
      </c>
      <c r="N721" s="22" t="str">
        <f t="shared" si="4"/>
        <v/>
      </c>
    </row>
    <row r="722" ht="15.75" customHeight="1">
      <c r="A722" s="25">
        <f>IFERROR(__xludf.DUMMYFUNCTION("""COMPUTED_VALUE"""),44308.66666666667)</f>
        <v>44308.66667</v>
      </c>
      <c r="B722" s="22">
        <f>IFERROR(__xludf.DUMMYFUNCTION("""COMPUTED_VALUE"""),4134.98)</f>
        <v>4134.98</v>
      </c>
      <c r="C722" s="25">
        <f>IFERROR(__xludf.DUMMYFUNCTION("""COMPUTED_VALUE"""),44308.63611111111)</f>
        <v>44308.63611</v>
      </c>
      <c r="D722" s="22">
        <f>IFERROR(__xludf.DUMMYFUNCTION("""COMPUTED_VALUE"""),18.71)</f>
        <v>18.71</v>
      </c>
      <c r="E722" s="26">
        <f t="shared" si="2"/>
        <v>-0.009210671344</v>
      </c>
      <c r="F722" s="25">
        <f>IFERROR(__xludf.DUMMYFUNCTION("""COMPUTED_VALUE"""),44308.63611111111)</f>
        <v>44308.63611</v>
      </c>
      <c r="G722" s="22">
        <f>IFERROR(__xludf.DUMMYFUNCTION("""COMPUTED_VALUE"""),22.52)</f>
        <v>22.52</v>
      </c>
      <c r="H722" s="25">
        <f>IFERROR(__xludf.DUMMYFUNCTION("""COMPUTED_VALUE"""),44308.63611111111)</f>
        <v>44308.63611</v>
      </c>
      <c r="I722" s="22">
        <f>IFERROR(__xludf.DUMMYFUNCTION("""COMPUTED_VALUE"""),24.65)</f>
        <v>24.65</v>
      </c>
      <c r="J722" s="25">
        <f>IFERROR(__xludf.DUMMYFUNCTION("""COMPUTED_VALUE"""),44308.63611111111)</f>
        <v>44308.63611</v>
      </c>
      <c r="K722" s="22">
        <f>IFERROR(__xludf.DUMMYFUNCTION("""COMPUTED_VALUE"""),24.62)</f>
        <v>24.62</v>
      </c>
      <c r="M722" s="22" t="str">
        <f t="shared" si="3"/>
        <v/>
      </c>
      <c r="N722" s="22" t="str">
        <f t="shared" si="4"/>
        <v/>
      </c>
    </row>
    <row r="723" ht="15.75" customHeight="1">
      <c r="A723" s="25">
        <f>IFERROR(__xludf.DUMMYFUNCTION("""COMPUTED_VALUE"""),44309.66666666667)</f>
        <v>44309.66667</v>
      </c>
      <c r="B723" s="22">
        <f>IFERROR(__xludf.DUMMYFUNCTION("""COMPUTED_VALUE"""),4180.17)</f>
        <v>4180.17</v>
      </c>
      <c r="C723" s="25">
        <f>IFERROR(__xludf.DUMMYFUNCTION("""COMPUTED_VALUE"""),44309.63611111111)</f>
        <v>44309.63611</v>
      </c>
      <c r="D723" s="22">
        <f>IFERROR(__xludf.DUMMYFUNCTION("""COMPUTED_VALUE"""),17.33)</f>
        <v>17.33</v>
      </c>
      <c r="E723" s="26">
        <f t="shared" si="2"/>
        <v>0.01092871066</v>
      </c>
      <c r="F723" s="25">
        <f>IFERROR(__xludf.DUMMYFUNCTION("""COMPUTED_VALUE"""),44309.63611111111)</f>
        <v>44309.63611</v>
      </c>
      <c r="G723" s="22">
        <f>IFERROR(__xludf.DUMMYFUNCTION("""COMPUTED_VALUE"""),21.57)</f>
        <v>21.57</v>
      </c>
      <c r="H723" s="25">
        <f>IFERROR(__xludf.DUMMYFUNCTION("""COMPUTED_VALUE"""),44309.63611111111)</f>
        <v>44309.63611</v>
      </c>
      <c r="I723" s="22">
        <f>IFERROR(__xludf.DUMMYFUNCTION("""COMPUTED_VALUE"""),23.88)</f>
        <v>23.88</v>
      </c>
      <c r="J723" s="25">
        <f>IFERROR(__xludf.DUMMYFUNCTION("""COMPUTED_VALUE"""),44309.63611111111)</f>
        <v>44309.63611</v>
      </c>
      <c r="K723" s="22">
        <f>IFERROR(__xludf.DUMMYFUNCTION("""COMPUTED_VALUE"""),24.21)</f>
        <v>24.21</v>
      </c>
      <c r="M723" s="22" t="str">
        <f t="shared" si="3"/>
        <v/>
      </c>
      <c r="N723" s="22" t="str">
        <f t="shared" si="4"/>
        <v/>
      </c>
    </row>
    <row r="724" ht="15.75" customHeight="1">
      <c r="A724" s="25">
        <f>IFERROR(__xludf.DUMMYFUNCTION("""COMPUTED_VALUE"""),44312.66666666667)</f>
        <v>44312.66667</v>
      </c>
      <c r="B724" s="22">
        <f>IFERROR(__xludf.DUMMYFUNCTION("""COMPUTED_VALUE"""),4187.62)</f>
        <v>4187.62</v>
      </c>
      <c r="C724" s="25">
        <f>IFERROR(__xludf.DUMMYFUNCTION("""COMPUTED_VALUE"""),44312.63611111111)</f>
        <v>44312.63611</v>
      </c>
      <c r="D724" s="22">
        <f>IFERROR(__xludf.DUMMYFUNCTION("""COMPUTED_VALUE"""),17.64)</f>
        <v>17.64</v>
      </c>
      <c r="E724" s="26">
        <f t="shared" si="2"/>
        <v>0.001782224168</v>
      </c>
      <c r="F724" s="25">
        <f>IFERROR(__xludf.DUMMYFUNCTION("""COMPUTED_VALUE"""),44312.63611111111)</f>
        <v>44312.63611</v>
      </c>
      <c r="G724" s="22">
        <f>IFERROR(__xludf.DUMMYFUNCTION("""COMPUTED_VALUE"""),21.54)</f>
        <v>21.54</v>
      </c>
      <c r="H724" s="25">
        <f>IFERROR(__xludf.DUMMYFUNCTION("""COMPUTED_VALUE"""),44312.63611111111)</f>
        <v>44312.63611</v>
      </c>
      <c r="I724" s="22">
        <f>IFERROR(__xludf.DUMMYFUNCTION("""COMPUTED_VALUE"""),23.81)</f>
        <v>23.81</v>
      </c>
      <c r="J724" s="25">
        <f>IFERROR(__xludf.DUMMYFUNCTION("""COMPUTED_VALUE"""),44312.63611111111)</f>
        <v>44312.63611</v>
      </c>
      <c r="K724" s="22">
        <f>IFERROR(__xludf.DUMMYFUNCTION("""COMPUTED_VALUE"""),24.26)</f>
        <v>24.26</v>
      </c>
      <c r="M724" s="22" t="str">
        <f t="shared" si="3"/>
        <v/>
      </c>
      <c r="N724" s="22" t="str">
        <f t="shared" si="4"/>
        <v/>
      </c>
    </row>
    <row r="725" ht="15.75" customHeight="1">
      <c r="A725" s="25">
        <f>IFERROR(__xludf.DUMMYFUNCTION("""COMPUTED_VALUE"""),44313.66666666667)</f>
        <v>44313.66667</v>
      </c>
      <c r="B725" s="22">
        <f>IFERROR(__xludf.DUMMYFUNCTION("""COMPUTED_VALUE"""),4186.72)</f>
        <v>4186.72</v>
      </c>
      <c r="C725" s="25">
        <f>IFERROR(__xludf.DUMMYFUNCTION("""COMPUTED_VALUE"""),44313.63611111111)</f>
        <v>44313.63611</v>
      </c>
      <c r="D725" s="22">
        <f>IFERROR(__xludf.DUMMYFUNCTION("""COMPUTED_VALUE"""),17.56)</f>
        <v>17.56</v>
      </c>
      <c r="E725" s="26">
        <f t="shared" si="2"/>
        <v>-0.0002149192143</v>
      </c>
      <c r="F725" s="25">
        <f>IFERROR(__xludf.DUMMYFUNCTION("""COMPUTED_VALUE"""),44313.63611111111)</f>
        <v>44313.63611</v>
      </c>
      <c r="G725" s="22">
        <f>IFERROR(__xludf.DUMMYFUNCTION("""COMPUTED_VALUE"""),21.32)</f>
        <v>21.32</v>
      </c>
      <c r="H725" s="25">
        <f>IFERROR(__xludf.DUMMYFUNCTION("""COMPUTED_VALUE"""),44313.63611111111)</f>
        <v>44313.63611</v>
      </c>
      <c r="I725" s="22">
        <f>IFERROR(__xludf.DUMMYFUNCTION("""COMPUTED_VALUE"""),23.69)</f>
        <v>23.69</v>
      </c>
      <c r="J725" s="25">
        <f>IFERROR(__xludf.DUMMYFUNCTION("""COMPUTED_VALUE"""),44313.63611111111)</f>
        <v>44313.63611</v>
      </c>
      <c r="K725" s="22">
        <f>IFERROR(__xludf.DUMMYFUNCTION("""COMPUTED_VALUE"""),24.25)</f>
        <v>24.25</v>
      </c>
      <c r="M725" s="22" t="str">
        <f t="shared" si="3"/>
        <v/>
      </c>
      <c r="N725" s="22" t="str">
        <f t="shared" si="4"/>
        <v/>
      </c>
    </row>
    <row r="726" ht="15.75" customHeight="1">
      <c r="A726" s="25">
        <f>IFERROR(__xludf.DUMMYFUNCTION("""COMPUTED_VALUE"""),44314.66666666667)</f>
        <v>44314.66667</v>
      </c>
      <c r="B726" s="22">
        <f>IFERROR(__xludf.DUMMYFUNCTION("""COMPUTED_VALUE"""),4183.18)</f>
        <v>4183.18</v>
      </c>
      <c r="C726" s="25">
        <f>IFERROR(__xludf.DUMMYFUNCTION("""COMPUTED_VALUE"""),44314.63611111111)</f>
        <v>44314.63611</v>
      </c>
      <c r="D726" s="22">
        <f>IFERROR(__xludf.DUMMYFUNCTION("""COMPUTED_VALUE"""),17.28)</f>
        <v>17.28</v>
      </c>
      <c r="E726" s="26">
        <f t="shared" si="2"/>
        <v>-0.0008455306302</v>
      </c>
      <c r="F726" s="25">
        <f>IFERROR(__xludf.DUMMYFUNCTION("""COMPUTED_VALUE"""),44314.63611111111)</f>
        <v>44314.63611</v>
      </c>
      <c r="G726" s="22">
        <f>IFERROR(__xludf.DUMMYFUNCTION("""COMPUTED_VALUE"""),21.13)</f>
        <v>21.13</v>
      </c>
      <c r="H726" s="25">
        <f>IFERROR(__xludf.DUMMYFUNCTION("""COMPUTED_VALUE"""),44314.63611111111)</f>
        <v>44314.63611</v>
      </c>
      <c r="I726" s="22">
        <f>IFERROR(__xludf.DUMMYFUNCTION("""COMPUTED_VALUE"""),23.61)</f>
        <v>23.61</v>
      </c>
      <c r="J726" s="25">
        <f>IFERROR(__xludf.DUMMYFUNCTION("""COMPUTED_VALUE"""),44314.63611111111)</f>
        <v>44314.63611</v>
      </c>
      <c r="K726" s="22">
        <f>IFERROR(__xludf.DUMMYFUNCTION("""COMPUTED_VALUE"""),24.2)</f>
        <v>24.2</v>
      </c>
      <c r="M726" s="22" t="str">
        <f t="shared" si="3"/>
        <v/>
      </c>
      <c r="N726" s="22" t="str">
        <f t="shared" si="4"/>
        <v/>
      </c>
    </row>
    <row r="727" ht="15.75" customHeight="1">
      <c r="A727" s="25">
        <f>IFERROR(__xludf.DUMMYFUNCTION("""COMPUTED_VALUE"""),44315.66666666667)</f>
        <v>44315.66667</v>
      </c>
      <c r="B727" s="22">
        <f>IFERROR(__xludf.DUMMYFUNCTION("""COMPUTED_VALUE"""),4211.47)</f>
        <v>4211.47</v>
      </c>
      <c r="C727" s="25">
        <f>IFERROR(__xludf.DUMMYFUNCTION("""COMPUTED_VALUE"""),44315.63611111111)</f>
        <v>44315.63611</v>
      </c>
      <c r="D727" s="22">
        <f>IFERROR(__xludf.DUMMYFUNCTION("""COMPUTED_VALUE"""),17.61)</f>
        <v>17.61</v>
      </c>
      <c r="E727" s="26">
        <f t="shared" si="2"/>
        <v>0.00676279768</v>
      </c>
      <c r="F727" s="25">
        <f>IFERROR(__xludf.DUMMYFUNCTION("""COMPUTED_VALUE"""),44315.63611111111)</f>
        <v>44315.63611</v>
      </c>
      <c r="G727" s="22">
        <f>IFERROR(__xludf.DUMMYFUNCTION("""COMPUTED_VALUE"""),21.31)</f>
        <v>21.31</v>
      </c>
      <c r="H727" s="25">
        <f>IFERROR(__xludf.DUMMYFUNCTION("""COMPUTED_VALUE"""),44315.63611111111)</f>
        <v>44315.63611</v>
      </c>
      <c r="I727" s="22">
        <f>IFERROR(__xludf.DUMMYFUNCTION("""COMPUTED_VALUE"""),23.67)</f>
        <v>23.67</v>
      </c>
      <c r="J727" s="25">
        <f>IFERROR(__xludf.DUMMYFUNCTION("""COMPUTED_VALUE"""),44315.63611111111)</f>
        <v>44315.63611</v>
      </c>
      <c r="K727" s="22">
        <f>IFERROR(__xludf.DUMMYFUNCTION("""COMPUTED_VALUE"""),24.22)</f>
        <v>24.22</v>
      </c>
      <c r="M727" s="22" t="str">
        <f t="shared" si="3"/>
        <v/>
      </c>
      <c r="N727" s="22" t="str">
        <f t="shared" si="4"/>
        <v/>
      </c>
    </row>
    <row r="728" ht="15.75" customHeight="1">
      <c r="A728" s="25">
        <f>IFERROR(__xludf.DUMMYFUNCTION("""COMPUTED_VALUE"""),44316.66666666667)</f>
        <v>44316.66667</v>
      </c>
      <c r="B728" s="22">
        <f>IFERROR(__xludf.DUMMYFUNCTION("""COMPUTED_VALUE"""),4181.17)</f>
        <v>4181.17</v>
      </c>
      <c r="C728" s="25">
        <f>IFERROR(__xludf.DUMMYFUNCTION("""COMPUTED_VALUE"""),44316.63611111111)</f>
        <v>44316.63611</v>
      </c>
      <c r="D728" s="22">
        <f>IFERROR(__xludf.DUMMYFUNCTION("""COMPUTED_VALUE"""),18.61)</f>
        <v>18.61</v>
      </c>
      <c r="E728" s="26">
        <f t="shared" si="2"/>
        <v>-0.007194637502</v>
      </c>
      <c r="F728" s="25">
        <f>IFERROR(__xludf.DUMMYFUNCTION("""COMPUTED_VALUE"""),44316.63611111111)</f>
        <v>44316.63611</v>
      </c>
      <c r="G728" s="22">
        <f>IFERROR(__xludf.DUMMYFUNCTION("""COMPUTED_VALUE"""),22.07)</f>
        <v>22.07</v>
      </c>
      <c r="H728" s="25">
        <f>IFERROR(__xludf.DUMMYFUNCTION("""COMPUTED_VALUE"""),44316.63611111111)</f>
        <v>44316.63611</v>
      </c>
      <c r="I728" s="22">
        <f>IFERROR(__xludf.DUMMYFUNCTION("""COMPUTED_VALUE"""),24.19)</f>
        <v>24.19</v>
      </c>
      <c r="J728" s="25">
        <f>IFERROR(__xludf.DUMMYFUNCTION("""COMPUTED_VALUE"""),44316.63611111111)</f>
        <v>44316.63611</v>
      </c>
      <c r="K728" s="22">
        <f>IFERROR(__xludf.DUMMYFUNCTION("""COMPUTED_VALUE"""),24.49)</f>
        <v>24.49</v>
      </c>
      <c r="M728" s="22" t="str">
        <f t="shared" si="3"/>
        <v/>
      </c>
      <c r="N728" s="22" t="str">
        <f t="shared" si="4"/>
        <v/>
      </c>
    </row>
    <row r="729" ht="15.75" customHeight="1">
      <c r="A729" s="25">
        <f>IFERROR(__xludf.DUMMYFUNCTION("""COMPUTED_VALUE"""),44319.66666666667)</f>
        <v>44319.66667</v>
      </c>
      <c r="B729" s="22">
        <f>IFERROR(__xludf.DUMMYFUNCTION("""COMPUTED_VALUE"""),4192.66)</f>
        <v>4192.66</v>
      </c>
      <c r="C729" s="25">
        <f>IFERROR(__xludf.DUMMYFUNCTION("""COMPUTED_VALUE"""),44319.63611111111)</f>
        <v>44319.63611</v>
      </c>
      <c r="D729" s="22">
        <f>IFERROR(__xludf.DUMMYFUNCTION("""COMPUTED_VALUE"""),18.31)</f>
        <v>18.31</v>
      </c>
      <c r="E729" s="26">
        <f t="shared" si="2"/>
        <v>0.002748034641</v>
      </c>
      <c r="F729" s="25">
        <f>IFERROR(__xludf.DUMMYFUNCTION("""COMPUTED_VALUE"""),44319.63611111111)</f>
        <v>44319.63611</v>
      </c>
      <c r="G729" s="22">
        <f>IFERROR(__xludf.DUMMYFUNCTION("""COMPUTED_VALUE"""),21.74)</f>
        <v>21.74</v>
      </c>
      <c r="H729" s="25">
        <f>IFERROR(__xludf.DUMMYFUNCTION("""COMPUTED_VALUE"""),44319.63611111111)</f>
        <v>44319.63611</v>
      </c>
      <c r="I729" s="22">
        <f>IFERROR(__xludf.DUMMYFUNCTION("""COMPUTED_VALUE"""),23.94)</f>
        <v>23.94</v>
      </c>
      <c r="J729" s="25">
        <f>IFERROR(__xludf.DUMMYFUNCTION("""COMPUTED_VALUE"""),44319.63611111111)</f>
        <v>44319.63611</v>
      </c>
      <c r="K729" s="22">
        <f>IFERROR(__xludf.DUMMYFUNCTION("""COMPUTED_VALUE"""),24.34)</f>
        <v>24.34</v>
      </c>
      <c r="M729" s="22" t="str">
        <f t="shared" si="3"/>
        <v/>
      </c>
      <c r="N729" s="22" t="str">
        <f t="shared" si="4"/>
        <v/>
      </c>
    </row>
    <row r="730" ht="15.75" customHeight="1">
      <c r="A730" s="25">
        <f>IFERROR(__xludf.DUMMYFUNCTION("""COMPUTED_VALUE"""),44320.66666666667)</f>
        <v>44320.66667</v>
      </c>
      <c r="B730" s="22">
        <f>IFERROR(__xludf.DUMMYFUNCTION("""COMPUTED_VALUE"""),4164.66)</f>
        <v>4164.66</v>
      </c>
      <c r="C730" s="25">
        <f>IFERROR(__xludf.DUMMYFUNCTION("""COMPUTED_VALUE"""),44320.63611111111)</f>
        <v>44320.63611</v>
      </c>
      <c r="D730" s="22">
        <f>IFERROR(__xludf.DUMMYFUNCTION("""COMPUTED_VALUE"""),19.48)</f>
        <v>19.48</v>
      </c>
      <c r="E730" s="26">
        <f t="shared" si="2"/>
        <v>-0.006678337857</v>
      </c>
      <c r="F730" s="25">
        <f>IFERROR(__xludf.DUMMYFUNCTION("""COMPUTED_VALUE"""),44320.63611111111)</f>
        <v>44320.63611</v>
      </c>
      <c r="G730" s="22">
        <f>IFERROR(__xludf.DUMMYFUNCTION("""COMPUTED_VALUE"""),22.67)</f>
        <v>22.67</v>
      </c>
      <c r="H730" s="25">
        <f>IFERROR(__xludf.DUMMYFUNCTION("""COMPUTED_VALUE"""),44320.63611111111)</f>
        <v>44320.63611</v>
      </c>
      <c r="I730" s="22">
        <f>IFERROR(__xludf.DUMMYFUNCTION("""COMPUTED_VALUE"""),24.64)</f>
        <v>24.64</v>
      </c>
      <c r="J730" s="25">
        <f>IFERROR(__xludf.DUMMYFUNCTION("""COMPUTED_VALUE"""),44320.63611111111)</f>
        <v>44320.63611</v>
      </c>
      <c r="K730" s="22">
        <f>IFERROR(__xludf.DUMMYFUNCTION("""COMPUTED_VALUE"""),24.76)</f>
        <v>24.76</v>
      </c>
      <c r="M730" s="22" t="str">
        <f t="shared" si="3"/>
        <v/>
      </c>
      <c r="N730" s="22" t="str">
        <f t="shared" si="4"/>
        <v/>
      </c>
    </row>
    <row r="731" ht="15.75" customHeight="1">
      <c r="A731" s="25">
        <f>IFERROR(__xludf.DUMMYFUNCTION("""COMPUTED_VALUE"""),44321.66666666667)</f>
        <v>44321.66667</v>
      </c>
      <c r="B731" s="22">
        <f>IFERROR(__xludf.DUMMYFUNCTION("""COMPUTED_VALUE"""),4167.59)</f>
        <v>4167.59</v>
      </c>
      <c r="C731" s="25">
        <f>IFERROR(__xludf.DUMMYFUNCTION("""COMPUTED_VALUE"""),44321.63611111111)</f>
        <v>44321.63611</v>
      </c>
      <c r="D731" s="22">
        <f>IFERROR(__xludf.DUMMYFUNCTION("""COMPUTED_VALUE"""),19.15)</f>
        <v>19.15</v>
      </c>
      <c r="E731" s="26">
        <f t="shared" si="2"/>
        <v>0.0007035388243</v>
      </c>
      <c r="F731" s="25">
        <f>IFERROR(__xludf.DUMMYFUNCTION("""COMPUTED_VALUE"""),44321.63611111111)</f>
        <v>44321.63611</v>
      </c>
      <c r="G731" s="22">
        <f>IFERROR(__xludf.DUMMYFUNCTION("""COMPUTED_VALUE"""),22.26)</f>
        <v>22.26</v>
      </c>
      <c r="H731" s="25">
        <f>IFERROR(__xludf.DUMMYFUNCTION("""COMPUTED_VALUE"""),44321.63611111111)</f>
        <v>44321.63611</v>
      </c>
      <c r="I731" s="22">
        <f>IFERROR(__xludf.DUMMYFUNCTION("""COMPUTED_VALUE"""),24.3)</f>
        <v>24.3</v>
      </c>
      <c r="J731" s="25">
        <f>IFERROR(__xludf.DUMMYFUNCTION("""COMPUTED_VALUE"""),44321.63611111111)</f>
        <v>44321.63611</v>
      </c>
      <c r="K731" s="22">
        <f>IFERROR(__xludf.DUMMYFUNCTION("""COMPUTED_VALUE"""),24.58)</f>
        <v>24.58</v>
      </c>
      <c r="M731" s="22" t="str">
        <f t="shared" si="3"/>
        <v/>
      </c>
      <c r="N731" s="22" t="str">
        <f t="shared" si="4"/>
        <v/>
      </c>
    </row>
    <row r="732" ht="15.75" customHeight="1">
      <c r="A732" s="25">
        <f>IFERROR(__xludf.DUMMYFUNCTION("""COMPUTED_VALUE"""),44322.66666666667)</f>
        <v>44322.66667</v>
      </c>
      <c r="B732" s="22">
        <f>IFERROR(__xludf.DUMMYFUNCTION("""COMPUTED_VALUE"""),4201.62)</f>
        <v>4201.62</v>
      </c>
      <c r="C732" s="25">
        <f>IFERROR(__xludf.DUMMYFUNCTION("""COMPUTED_VALUE"""),44322.63611111111)</f>
        <v>44322.63611</v>
      </c>
      <c r="D732" s="22">
        <f>IFERROR(__xludf.DUMMYFUNCTION("""COMPUTED_VALUE"""),18.39)</f>
        <v>18.39</v>
      </c>
      <c r="E732" s="26">
        <f t="shared" si="2"/>
        <v>0.008165390549</v>
      </c>
      <c r="F732" s="25">
        <f>IFERROR(__xludf.DUMMYFUNCTION("""COMPUTED_VALUE"""),44322.63611111111)</f>
        <v>44322.63611</v>
      </c>
      <c r="G732" s="22">
        <f>IFERROR(__xludf.DUMMYFUNCTION("""COMPUTED_VALUE"""),21.88)</f>
        <v>21.88</v>
      </c>
      <c r="H732" s="25">
        <f>IFERROR(__xludf.DUMMYFUNCTION("""COMPUTED_VALUE"""),44322.63611111111)</f>
        <v>44322.63611</v>
      </c>
      <c r="I732" s="22">
        <f>IFERROR(__xludf.DUMMYFUNCTION("""COMPUTED_VALUE"""),23.88)</f>
        <v>23.88</v>
      </c>
      <c r="J732" s="25">
        <f>IFERROR(__xludf.DUMMYFUNCTION("""COMPUTED_VALUE"""),44322.63611111111)</f>
        <v>44322.63611</v>
      </c>
      <c r="K732" s="22">
        <f>IFERROR(__xludf.DUMMYFUNCTION("""COMPUTED_VALUE"""),24.24)</f>
        <v>24.24</v>
      </c>
      <c r="M732" s="22" t="str">
        <f t="shared" si="3"/>
        <v/>
      </c>
      <c r="N732" s="22" t="str">
        <f t="shared" si="4"/>
        <v/>
      </c>
    </row>
    <row r="733" ht="15.75" customHeight="1">
      <c r="A733" s="25">
        <f>IFERROR(__xludf.DUMMYFUNCTION("""COMPUTED_VALUE"""),44323.66666666667)</f>
        <v>44323.66667</v>
      </c>
      <c r="B733" s="22">
        <f>IFERROR(__xludf.DUMMYFUNCTION("""COMPUTED_VALUE"""),4232.6)</f>
        <v>4232.6</v>
      </c>
      <c r="C733" s="25">
        <f>IFERROR(__xludf.DUMMYFUNCTION("""COMPUTED_VALUE"""),44323.63611111111)</f>
        <v>44323.63611</v>
      </c>
      <c r="D733" s="22">
        <f>IFERROR(__xludf.DUMMYFUNCTION("""COMPUTED_VALUE"""),16.69)</f>
        <v>16.69</v>
      </c>
      <c r="E733" s="26">
        <f t="shared" si="2"/>
        <v>0.007373346471</v>
      </c>
      <c r="F733" s="25">
        <f>IFERROR(__xludf.DUMMYFUNCTION("""COMPUTED_VALUE"""),44323.63611111111)</f>
        <v>44323.63611</v>
      </c>
      <c r="G733" s="22">
        <f>IFERROR(__xludf.DUMMYFUNCTION("""COMPUTED_VALUE"""),20.79)</f>
        <v>20.79</v>
      </c>
      <c r="H733" s="25">
        <f>IFERROR(__xludf.DUMMYFUNCTION("""COMPUTED_VALUE"""),44323.63611111111)</f>
        <v>44323.63611</v>
      </c>
      <c r="I733" s="22">
        <f>IFERROR(__xludf.DUMMYFUNCTION("""COMPUTED_VALUE"""),23.13)</f>
        <v>23.13</v>
      </c>
      <c r="J733" s="25">
        <f>IFERROR(__xludf.DUMMYFUNCTION("""COMPUTED_VALUE"""),44323.63611111111)</f>
        <v>44323.63611</v>
      </c>
      <c r="K733" s="22">
        <f>IFERROR(__xludf.DUMMYFUNCTION("""COMPUTED_VALUE"""),23.77)</f>
        <v>23.77</v>
      </c>
      <c r="M733" s="22" t="str">
        <f t="shared" si="3"/>
        <v/>
      </c>
      <c r="N733" s="22" t="str">
        <f t="shared" si="4"/>
        <v/>
      </c>
    </row>
    <row r="734" ht="15.75" customHeight="1">
      <c r="A734" s="25">
        <f>IFERROR(__xludf.DUMMYFUNCTION("""COMPUTED_VALUE"""),44326.66666666667)</f>
        <v>44326.66667</v>
      </c>
      <c r="B734" s="22">
        <f>IFERROR(__xludf.DUMMYFUNCTION("""COMPUTED_VALUE"""),4188.43)</f>
        <v>4188.43</v>
      </c>
      <c r="C734" s="25">
        <f>IFERROR(__xludf.DUMMYFUNCTION("""COMPUTED_VALUE"""),44326.63611111111)</f>
        <v>44326.63611</v>
      </c>
      <c r="D734" s="22">
        <f>IFERROR(__xludf.DUMMYFUNCTION("""COMPUTED_VALUE"""),19.66)</f>
        <v>19.66</v>
      </c>
      <c r="E734" s="26">
        <f t="shared" si="2"/>
        <v>-0.01043566602</v>
      </c>
      <c r="F734" s="25">
        <f>IFERROR(__xludf.DUMMYFUNCTION("""COMPUTED_VALUE"""),44326.63611111111)</f>
        <v>44326.63611</v>
      </c>
      <c r="G734" s="22">
        <f>IFERROR(__xludf.DUMMYFUNCTION("""COMPUTED_VALUE"""),22.4)</f>
        <v>22.4</v>
      </c>
      <c r="H734" s="25">
        <f>IFERROR(__xludf.DUMMYFUNCTION("""COMPUTED_VALUE"""),44326.63611111111)</f>
        <v>44326.63611</v>
      </c>
      <c r="I734" s="22">
        <f>IFERROR(__xludf.DUMMYFUNCTION("""COMPUTED_VALUE"""),24.28)</f>
        <v>24.28</v>
      </c>
      <c r="J734" s="25">
        <f>IFERROR(__xludf.DUMMYFUNCTION("""COMPUTED_VALUE"""),44326.63611111111)</f>
        <v>44326.63611</v>
      </c>
      <c r="K734" s="22">
        <f>IFERROR(__xludf.DUMMYFUNCTION("""COMPUTED_VALUE"""),24.5)</f>
        <v>24.5</v>
      </c>
      <c r="M734" s="22" t="str">
        <f t="shared" si="3"/>
        <v/>
      </c>
      <c r="N734" s="22" t="str">
        <f t="shared" si="4"/>
        <v/>
      </c>
    </row>
    <row r="735" ht="15.75" customHeight="1">
      <c r="A735" s="25">
        <f>IFERROR(__xludf.DUMMYFUNCTION("""COMPUTED_VALUE"""),44327.66666666667)</f>
        <v>44327.66667</v>
      </c>
      <c r="B735" s="22">
        <f>IFERROR(__xludf.DUMMYFUNCTION("""COMPUTED_VALUE"""),4152.1)</f>
        <v>4152.1</v>
      </c>
      <c r="C735" s="25">
        <f>IFERROR(__xludf.DUMMYFUNCTION("""COMPUTED_VALUE"""),44327.63611111111)</f>
        <v>44327.63611</v>
      </c>
      <c r="D735" s="22">
        <f>IFERROR(__xludf.DUMMYFUNCTION("""COMPUTED_VALUE"""),21.84)</f>
        <v>21.84</v>
      </c>
      <c r="E735" s="26">
        <f t="shared" si="2"/>
        <v>-0.008673894514</v>
      </c>
      <c r="F735" s="25">
        <f>IFERROR(__xludf.DUMMYFUNCTION("""COMPUTED_VALUE"""),44327.63611111111)</f>
        <v>44327.63611</v>
      </c>
      <c r="G735" s="22">
        <f>IFERROR(__xludf.DUMMYFUNCTION("""COMPUTED_VALUE"""),24.23)</f>
        <v>24.23</v>
      </c>
      <c r="H735" s="25">
        <f>IFERROR(__xludf.DUMMYFUNCTION("""COMPUTED_VALUE"""),44327.63611111111)</f>
        <v>44327.63611</v>
      </c>
      <c r="I735" s="22">
        <f>IFERROR(__xludf.DUMMYFUNCTION("""COMPUTED_VALUE"""),25.64)</f>
        <v>25.64</v>
      </c>
      <c r="J735" s="25">
        <f>IFERROR(__xludf.DUMMYFUNCTION("""COMPUTED_VALUE"""),44327.63611111111)</f>
        <v>44327.63611</v>
      </c>
      <c r="K735" s="22">
        <f>IFERROR(__xludf.DUMMYFUNCTION("""COMPUTED_VALUE"""),25.29)</f>
        <v>25.29</v>
      </c>
      <c r="M735" s="22" t="str">
        <f t="shared" si="3"/>
        <v/>
      </c>
      <c r="N735" s="22" t="str">
        <f t="shared" si="4"/>
        <v/>
      </c>
    </row>
    <row r="736" ht="15.75" customHeight="1">
      <c r="A736" s="25">
        <f>IFERROR(__xludf.DUMMYFUNCTION("""COMPUTED_VALUE"""),44328.66666666667)</f>
        <v>44328.66667</v>
      </c>
      <c r="B736" s="22">
        <f>IFERROR(__xludf.DUMMYFUNCTION("""COMPUTED_VALUE"""),4063.04)</f>
        <v>4063.04</v>
      </c>
      <c r="C736" s="25">
        <f>IFERROR(__xludf.DUMMYFUNCTION("""COMPUTED_VALUE"""),44328.63611111111)</f>
        <v>44328.63611</v>
      </c>
      <c r="D736" s="22">
        <f>IFERROR(__xludf.DUMMYFUNCTION("""COMPUTED_VALUE"""),27.59)</f>
        <v>27.59</v>
      </c>
      <c r="E736" s="26">
        <f t="shared" si="2"/>
        <v>-0.02144938706</v>
      </c>
      <c r="F736" s="25">
        <f>IFERROR(__xludf.DUMMYFUNCTION("""COMPUTED_VALUE"""),44328.63611111111)</f>
        <v>44328.63611</v>
      </c>
      <c r="G736" s="22">
        <f>IFERROR(__xludf.DUMMYFUNCTION("""COMPUTED_VALUE"""),28.18)</f>
        <v>28.18</v>
      </c>
      <c r="H736" s="25">
        <f>IFERROR(__xludf.DUMMYFUNCTION("""COMPUTED_VALUE"""),44328.63611111111)</f>
        <v>44328.63611</v>
      </c>
      <c r="I736" s="22">
        <f>IFERROR(__xludf.DUMMYFUNCTION("""COMPUTED_VALUE"""),28.62)</f>
        <v>28.62</v>
      </c>
      <c r="J736" s="25">
        <f>IFERROR(__xludf.DUMMYFUNCTION("""COMPUTED_VALUE"""),44328.63611111111)</f>
        <v>44328.63611</v>
      </c>
      <c r="K736" s="22">
        <f>IFERROR(__xludf.DUMMYFUNCTION("""COMPUTED_VALUE"""),27.3)</f>
        <v>27.3</v>
      </c>
      <c r="M736" s="22" t="str">
        <f t="shared" si="3"/>
        <v/>
      </c>
      <c r="N736" s="22" t="str">
        <f t="shared" si="4"/>
        <v>PREDICT CRASH</v>
      </c>
    </row>
    <row r="737" ht="15.75" customHeight="1">
      <c r="A737" s="25">
        <f>IFERROR(__xludf.DUMMYFUNCTION("""COMPUTED_VALUE"""),44329.66666666667)</f>
        <v>44329.66667</v>
      </c>
      <c r="B737" s="22">
        <f>IFERROR(__xludf.DUMMYFUNCTION("""COMPUTED_VALUE"""),4112.5)</f>
        <v>4112.5</v>
      </c>
      <c r="C737" s="25">
        <f>IFERROR(__xludf.DUMMYFUNCTION("""COMPUTED_VALUE"""),44329.63611111111)</f>
        <v>44329.63611</v>
      </c>
      <c r="D737" s="22">
        <f>IFERROR(__xludf.DUMMYFUNCTION("""COMPUTED_VALUE"""),23.13)</f>
        <v>23.13</v>
      </c>
      <c r="E737" s="26">
        <f t="shared" si="2"/>
        <v>0.01217315114</v>
      </c>
      <c r="F737" s="25">
        <f>IFERROR(__xludf.DUMMYFUNCTION("""COMPUTED_VALUE"""),44329.63611111111)</f>
        <v>44329.63611</v>
      </c>
      <c r="G737" s="22">
        <f>IFERROR(__xludf.DUMMYFUNCTION("""COMPUTED_VALUE"""),25.26)</f>
        <v>25.26</v>
      </c>
      <c r="H737" s="25">
        <f>IFERROR(__xludf.DUMMYFUNCTION("""COMPUTED_VALUE"""),44329.63611111111)</f>
        <v>44329.63611</v>
      </c>
      <c r="I737" s="22">
        <f>IFERROR(__xludf.DUMMYFUNCTION("""COMPUTED_VALUE"""),26.33)</f>
        <v>26.33</v>
      </c>
      <c r="J737" s="25">
        <f>IFERROR(__xludf.DUMMYFUNCTION("""COMPUTED_VALUE"""),44329.63611111111)</f>
        <v>44329.63611</v>
      </c>
      <c r="K737" s="22">
        <f>IFERROR(__xludf.DUMMYFUNCTION("""COMPUTED_VALUE"""),26.02)</f>
        <v>26.02</v>
      </c>
      <c r="M737" s="22" t="str">
        <f t="shared" si="3"/>
        <v/>
      </c>
      <c r="N737" s="22" t="str">
        <f t="shared" si="4"/>
        <v/>
      </c>
    </row>
    <row r="738" ht="15.75" customHeight="1">
      <c r="A738" s="25">
        <f>IFERROR(__xludf.DUMMYFUNCTION("""COMPUTED_VALUE"""),44330.66666666667)</f>
        <v>44330.66667</v>
      </c>
      <c r="B738" s="22">
        <f>IFERROR(__xludf.DUMMYFUNCTION("""COMPUTED_VALUE"""),4173.85)</f>
        <v>4173.85</v>
      </c>
      <c r="C738" s="25">
        <f>IFERROR(__xludf.DUMMYFUNCTION("""COMPUTED_VALUE"""),44330.63611111111)</f>
        <v>44330.63611</v>
      </c>
      <c r="D738" s="22">
        <f>IFERROR(__xludf.DUMMYFUNCTION("""COMPUTED_VALUE"""),18.81)</f>
        <v>18.81</v>
      </c>
      <c r="E738" s="26">
        <f t="shared" si="2"/>
        <v>0.01491793313</v>
      </c>
      <c r="F738" s="25">
        <f>IFERROR(__xludf.DUMMYFUNCTION("""COMPUTED_VALUE"""),44330.63611111111)</f>
        <v>44330.63611</v>
      </c>
      <c r="G738" s="22">
        <f>IFERROR(__xludf.DUMMYFUNCTION("""COMPUTED_VALUE"""),22.26)</f>
        <v>22.26</v>
      </c>
      <c r="H738" s="25">
        <f>IFERROR(__xludf.DUMMYFUNCTION("""COMPUTED_VALUE"""),44330.63611111111)</f>
        <v>44330.63611</v>
      </c>
      <c r="I738" s="22">
        <f>IFERROR(__xludf.DUMMYFUNCTION("""COMPUTED_VALUE"""),24.23)</f>
        <v>24.23</v>
      </c>
      <c r="J738" s="25">
        <f>IFERROR(__xludf.DUMMYFUNCTION("""COMPUTED_VALUE"""),44330.63611111111)</f>
        <v>44330.63611</v>
      </c>
      <c r="K738" s="22">
        <f>IFERROR(__xludf.DUMMYFUNCTION("""COMPUTED_VALUE"""),24.69)</f>
        <v>24.69</v>
      </c>
      <c r="M738" s="22" t="str">
        <f t="shared" si="3"/>
        <v/>
      </c>
      <c r="N738" s="22" t="str">
        <f t="shared" si="4"/>
        <v/>
      </c>
    </row>
    <row r="739" ht="15.75" customHeight="1">
      <c r="A739" s="25">
        <f>IFERROR(__xludf.DUMMYFUNCTION("""COMPUTED_VALUE"""),44333.66666666667)</f>
        <v>44333.66667</v>
      </c>
      <c r="B739" s="22">
        <f>IFERROR(__xludf.DUMMYFUNCTION("""COMPUTED_VALUE"""),4163.29)</f>
        <v>4163.29</v>
      </c>
      <c r="C739" s="25">
        <f>IFERROR(__xludf.DUMMYFUNCTION("""COMPUTED_VALUE"""),44333.63611111111)</f>
        <v>44333.63611</v>
      </c>
      <c r="D739" s="22">
        <f>IFERROR(__xludf.DUMMYFUNCTION("""COMPUTED_VALUE"""),19.72)</f>
        <v>19.72</v>
      </c>
      <c r="E739" s="26">
        <f t="shared" si="2"/>
        <v>-0.002530038214</v>
      </c>
      <c r="F739" s="25">
        <f>IFERROR(__xludf.DUMMYFUNCTION("""COMPUTED_VALUE"""),44333.63611111111)</f>
        <v>44333.63611</v>
      </c>
      <c r="G739" s="22">
        <f>IFERROR(__xludf.DUMMYFUNCTION("""COMPUTED_VALUE"""),23.14)</f>
        <v>23.14</v>
      </c>
      <c r="H739" s="25">
        <f>IFERROR(__xludf.DUMMYFUNCTION("""COMPUTED_VALUE"""),44333.63611111111)</f>
        <v>44333.63611</v>
      </c>
      <c r="I739" s="22">
        <f>IFERROR(__xludf.DUMMYFUNCTION("""COMPUTED_VALUE"""),25.09)</f>
        <v>25.09</v>
      </c>
      <c r="J739" s="25">
        <f>IFERROR(__xludf.DUMMYFUNCTION("""COMPUTED_VALUE"""),44333.63611111111)</f>
        <v>44333.63611</v>
      </c>
      <c r="K739" s="22">
        <f>IFERROR(__xludf.DUMMYFUNCTION("""COMPUTED_VALUE"""),25.2)</f>
        <v>25.2</v>
      </c>
      <c r="M739" s="22" t="str">
        <f t="shared" si="3"/>
        <v/>
      </c>
      <c r="N739" s="22" t="str">
        <f t="shared" si="4"/>
        <v/>
      </c>
    </row>
    <row r="740" ht="15.75" customHeight="1">
      <c r="A740" s="25">
        <f>IFERROR(__xludf.DUMMYFUNCTION("""COMPUTED_VALUE"""),44334.66666666667)</f>
        <v>44334.66667</v>
      </c>
      <c r="B740" s="22">
        <f>IFERROR(__xludf.DUMMYFUNCTION("""COMPUTED_VALUE"""),4127.83)</f>
        <v>4127.83</v>
      </c>
      <c r="C740" s="25">
        <f>IFERROR(__xludf.DUMMYFUNCTION("""COMPUTED_VALUE"""),44334.63611111111)</f>
        <v>44334.63611</v>
      </c>
      <c r="D740" s="22">
        <f>IFERROR(__xludf.DUMMYFUNCTION("""COMPUTED_VALUE"""),21.34)</f>
        <v>21.34</v>
      </c>
      <c r="E740" s="26">
        <f t="shared" si="2"/>
        <v>-0.008517302422</v>
      </c>
      <c r="F740" s="25">
        <f>IFERROR(__xludf.DUMMYFUNCTION("""COMPUTED_VALUE"""),44334.63611111111)</f>
        <v>44334.63611</v>
      </c>
      <c r="G740" s="22">
        <f>IFERROR(__xludf.DUMMYFUNCTION("""COMPUTED_VALUE"""),24.22)</f>
        <v>24.22</v>
      </c>
      <c r="H740" s="25">
        <f>IFERROR(__xludf.DUMMYFUNCTION("""COMPUTED_VALUE"""),44334.63611111111)</f>
        <v>44334.63611</v>
      </c>
      <c r="I740" s="22">
        <f>IFERROR(__xludf.DUMMYFUNCTION("""COMPUTED_VALUE"""),26.07)</f>
        <v>26.07</v>
      </c>
      <c r="J740" s="25">
        <f>IFERROR(__xludf.DUMMYFUNCTION("""COMPUTED_VALUE"""),44334.63611111111)</f>
        <v>44334.63611</v>
      </c>
      <c r="K740" s="22">
        <f>IFERROR(__xludf.DUMMYFUNCTION("""COMPUTED_VALUE"""),26.01)</f>
        <v>26.01</v>
      </c>
      <c r="M740" s="22" t="str">
        <f t="shared" si="3"/>
        <v/>
      </c>
      <c r="N740" s="22" t="str">
        <f t="shared" si="4"/>
        <v/>
      </c>
    </row>
    <row r="741" ht="15.75" customHeight="1">
      <c r="A741" s="25">
        <f>IFERROR(__xludf.DUMMYFUNCTION("""COMPUTED_VALUE"""),44335.66666666667)</f>
        <v>44335.66667</v>
      </c>
      <c r="B741" s="22">
        <f>IFERROR(__xludf.DUMMYFUNCTION("""COMPUTED_VALUE"""),4115.68)</f>
        <v>4115.68</v>
      </c>
      <c r="C741" s="25">
        <f>IFERROR(__xludf.DUMMYFUNCTION("""COMPUTED_VALUE"""),44335.63611111111)</f>
        <v>44335.63611</v>
      </c>
      <c r="D741" s="22">
        <f>IFERROR(__xludf.DUMMYFUNCTION("""COMPUTED_VALUE"""),22.18)</f>
        <v>22.18</v>
      </c>
      <c r="E741" s="26">
        <f t="shared" si="2"/>
        <v>-0.002943435171</v>
      </c>
      <c r="F741" s="25">
        <f>IFERROR(__xludf.DUMMYFUNCTION("""COMPUTED_VALUE"""),44335.63611111111)</f>
        <v>44335.63611</v>
      </c>
      <c r="G741" s="22">
        <f>IFERROR(__xludf.DUMMYFUNCTION("""COMPUTED_VALUE"""),25.27)</f>
        <v>25.27</v>
      </c>
      <c r="H741" s="25">
        <f>IFERROR(__xludf.DUMMYFUNCTION("""COMPUTED_VALUE"""),44335.63611111111)</f>
        <v>44335.63611</v>
      </c>
      <c r="I741" s="22">
        <f>IFERROR(__xludf.DUMMYFUNCTION("""COMPUTED_VALUE"""),26.69)</f>
        <v>26.69</v>
      </c>
      <c r="J741" s="25">
        <f>IFERROR(__xludf.DUMMYFUNCTION("""COMPUTED_VALUE"""),44335.63611111111)</f>
        <v>44335.63611</v>
      </c>
      <c r="K741" s="22">
        <f>IFERROR(__xludf.DUMMYFUNCTION("""COMPUTED_VALUE"""),26.3)</f>
        <v>26.3</v>
      </c>
      <c r="M741" s="22" t="str">
        <f t="shared" si="3"/>
        <v/>
      </c>
      <c r="N741" s="22" t="str">
        <f t="shared" si="4"/>
        <v/>
      </c>
    </row>
    <row r="742" ht="15.75" customHeight="1">
      <c r="A742" s="25">
        <f>IFERROR(__xludf.DUMMYFUNCTION("""COMPUTED_VALUE"""),44336.66666666667)</f>
        <v>44336.66667</v>
      </c>
      <c r="B742" s="22">
        <f>IFERROR(__xludf.DUMMYFUNCTION("""COMPUTED_VALUE"""),4159.12)</f>
        <v>4159.12</v>
      </c>
      <c r="C742" s="25">
        <f>IFERROR(__xludf.DUMMYFUNCTION("""COMPUTED_VALUE"""),44336.63611111111)</f>
        <v>44336.63611</v>
      </c>
      <c r="D742" s="22">
        <f>IFERROR(__xludf.DUMMYFUNCTION("""COMPUTED_VALUE"""),20.67)</f>
        <v>20.67</v>
      </c>
      <c r="E742" s="26">
        <f t="shared" si="2"/>
        <v>0.01055475644</v>
      </c>
      <c r="F742" s="25">
        <f>IFERROR(__xludf.DUMMYFUNCTION("""COMPUTED_VALUE"""),44336.63611111111)</f>
        <v>44336.63611</v>
      </c>
      <c r="G742" s="22">
        <f>IFERROR(__xludf.DUMMYFUNCTION("""COMPUTED_VALUE"""),23.81)</f>
        <v>23.81</v>
      </c>
      <c r="H742" s="25">
        <f>IFERROR(__xludf.DUMMYFUNCTION("""COMPUTED_VALUE"""),44336.63611111111)</f>
        <v>44336.63611</v>
      </c>
      <c r="I742" s="22">
        <f>IFERROR(__xludf.DUMMYFUNCTION("""COMPUTED_VALUE"""),25.74)</f>
        <v>25.74</v>
      </c>
      <c r="J742" s="25">
        <f>IFERROR(__xludf.DUMMYFUNCTION("""COMPUTED_VALUE"""),44336.63611111111)</f>
        <v>44336.63611</v>
      </c>
      <c r="K742" s="22">
        <f>IFERROR(__xludf.DUMMYFUNCTION("""COMPUTED_VALUE"""),25.65)</f>
        <v>25.65</v>
      </c>
      <c r="M742" s="22" t="str">
        <f t="shared" si="3"/>
        <v/>
      </c>
      <c r="N742" s="22" t="str">
        <f t="shared" si="4"/>
        <v/>
      </c>
    </row>
    <row r="743" ht="15.75" customHeight="1">
      <c r="A743" s="25">
        <f>IFERROR(__xludf.DUMMYFUNCTION("""COMPUTED_VALUE"""),44337.66666666667)</f>
        <v>44337.66667</v>
      </c>
      <c r="B743" s="22">
        <f>IFERROR(__xludf.DUMMYFUNCTION("""COMPUTED_VALUE"""),4155.86)</f>
        <v>4155.86</v>
      </c>
      <c r="C743" s="25">
        <f>IFERROR(__xludf.DUMMYFUNCTION("""COMPUTED_VALUE"""),44337.63611111111)</f>
        <v>44337.63611</v>
      </c>
      <c r="D743" s="22">
        <f>IFERROR(__xludf.DUMMYFUNCTION("""COMPUTED_VALUE"""),20.15)</f>
        <v>20.15</v>
      </c>
      <c r="E743" s="26">
        <f t="shared" si="2"/>
        <v>-0.0007838196542</v>
      </c>
      <c r="F743" s="25">
        <f>IFERROR(__xludf.DUMMYFUNCTION("""COMPUTED_VALUE"""),44337.63611111111)</f>
        <v>44337.63611</v>
      </c>
      <c r="G743" s="22">
        <f>IFERROR(__xludf.DUMMYFUNCTION("""COMPUTED_VALUE"""),23.49)</f>
        <v>23.49</v>
      </c>
      <c r="H743" s="25">
        <f>IFERROR(__xludf.DUMMYFUNCTION("""COMPUTED_VALUE"""),44337.63611111111)</f>
        <v>44337.63611</v>
      </c>
      <c r="I743" s="22">
        <f>IFERROR(__xludf.DUMMYFUNCTION("""COMPUTED_VALUE"""),25.54)</f>
        <v>25.54</v>
      </c>
      <c r="J743" s="25">
        <f>IFERROR(__xludf.DUMMYFUNCTION("""COMPUTED_VALUE"""),44337.63611111111)</f>
        <v>44337.63611</v>
      </c>
      <c r="K743" s="22">
        <f>IFERROR(__xludf.DUMMYFUNCTION("""COMPUTED_VALUE"""),25.51)</f>
        <v>25.51</v>
      </c>
      <c r="M743" s="22" t="str">
        <f t="shared" si="3"/>
        <v/>
      </c>
      <c r="N743" s="22" t="str">
        <f t="shared" si="4"/>
        <v/>
      </c>
    </row>
    <row r="744" ht="15.75" customHeight="1">
      <c r="A744" s="25">
        <f>IFERROR(__xludf.DUMMYFUNCTION("""COMPUTED_VALUE"""),44340.66666666667)</f>
        <v>44340.66667</v>
      </c>
      <c r="B744" s="22">
        <f>IFERROR(__xludf.DUMMYFUNCTION("""COMPUTED_VALUE"""),4197.05)</f>
        <v>4197.05</v>
      </c>
      <c r="C744" s="25">
        <f>IFERROR(__xludf.DUMMYFUNCTION("""COMPUTED_VALUE"""),44340.63611111111)</f>
        <v>44340.63611</v>
      </c>
      <c r="D744" s="22">
        <f>IFERROR(__xludf.DUMMYFUNCTION("""COMPUTED_VALUE"""),18.4)</f>
        <v>18.4</v>
      </c>
      <c r="E744" s="26">
        <f t="shared" si="2"/>
        <v>0.009911305963</v>
      </c>
      <c r="F744" s="25">
        <f>IFERROR(__xludf.DUMMYFUNCTION("""COMPUTED_VALUE"""),44340.63611111111)</f>
        <v>44340.63611</v>
      </c>
      <c r="G744" s="22">
        <f>IFERROR(__xludf.DUMMYFUNCTION("""COMPUTED_VALUE"""),22.23)</f>
        <v>22.23</v>
      </c>
      <c r="H744" s="25">
        <f>IFERROR(__xludf.DUMMYFUNCTION("""COMPUTED_VALUE"""),44340.63611111111)</f>
        <v>44340.63611</v>
      </c>
      <c r="I744" s="22">
        <f>IFERROR(__xludf.DUMMYFUNCTION("""COMPUTED_VALUE"""),24.4)</f>
        <v>24.4</v>
      </c>
      <c r="J744" s="25">
        <f>IFERROR(__xludf.DUMMYFUNCTION("""COMPUTED_VALUE"""),44340.63611111111)</f>
        <v>44340.63611</v>
      </c>
      <c r="K744" s="22">
        <f>IFERROR(__xludf.DUMMYFUNCTION("""COMPUTED_VALUE"""),24.71)</f>
        <v>24.71</v>
      </c>
      <c r="M744" s="22" t="str">
        <f t="shared" si="3"/>
        <v/>
      </c>
      <c r="N744" s="22" t="str">
        <f t="shared" si="4"/>
        <v/>
      </c>
    </row>
    <row r="745" ht="15.75" customHeight="1">
      <c r="A745" s="25">
        <f>IFERROR(__xludf.DUMMYFUNCTION("""COMPUTED_VALUE"""),44341.66666666667)</f>
        <v>44341.66667</v>
      </c>
      <c r="B745" s="22">
        <f>IFERROR(__xludf.DUMMYFUNCTION("""COMPUTED_VALUE"""),4188.13)</f>
        <v>4188.13</v>
      </c>
      <c r="C745" s="25">
        <f>IFERROR(__xludf.DUMMYFUNCTION("""COMPUTED_VALUE"""),44341.63611111111)</f>
        <v>44341.63611</v>
      </c>
      <c r="D745" s="22">
        <f>IFERROR(__xludf.DUMMYFUNCTION("""COMPUTED_VALUE"""),18.84)</f>
        <v>18.84</v>
      </c>
      <c r="E745" s="26">
        <f t="shared" si="2"/>
        <v>-0.002125302296</v>
      </c>
      <c r="F745" s="25">
        <f>IFERROR(__xludf.DUMMYFUNCTION("""COMPUTED_VALUE"""),44341.63611111111)</f>
        <v>44341.63611</v>
      </c>
      <c r="G745" s="22">
        <f>IFERROR(__xludf.DUMMYFUNCTION("""COMPUTED_VALUE"""),22.4)</f>
        <v>22.4</v>
      </c>
      <c r="H745" s="25">
        <f>IFERROR(__xludf.DUMMYFUNCTION("""COMPUTED_VALUE"""),44341.63611111111)</f>
        <v>44341.63611</v>
      </c>
      <c r="I745" s="22">
        <f>IFERROR(__xludf.DUMMYFUNCTION("""COMPUTED_VALUE"""),24.6)</f>
        <v>24.6</v>
      </c>
      <c r="J745" s="25">
        <f>IFERROR(__xludf.DUMMYFUNCTION("""COMPUTED_VALUE"""),44341.63611111111)</f>
        <v>44341.63611</v>
      </c>
      <c r="K745" s="22">
        <f>IFERROR(__xludf.DUMMYFUNCTION("""COMPUTED_VALUE"""),24.81)</f>
        <v>24.81</v>
      </c>
      <c r="M745" s="22" t="str">
        <f t="shared" si="3"/>
        <v/>
      </c>
      <c r="N745" s="22" t="str">
        <f t="shared" si="4"/>
        <v/>
      </c>
    </row>
    <row r="746" ht="15.75" customHeight="1">
      <c r="A746" s="25">
        <f>IFERROR(__xludf.DUMMYFUNCTION("""COMPUTED_VALUE"""),44342.66666666667)</f>
        <v>44342.66667</v>
      </c>
      <c r="B746" s="22">
        <f>IFERROR(__xludf.DUMMYFUNCTION("""COMPUTED_VALUE"""),4195.99)</f>
        <v>4195.99</v>
      </c>
      <c r="C746" s="25">
        <f>IFERROR(__xludf.DUMMYFUNCTION("""COMPUTED_VALUE"""),44342.63611111111)</f>
        <v>44342.63611</v>
      </c>
      <c r="D746" s="22">
        <f>IFERROR(__xludf.DUMMYFUNCTION("""COMPUTED_VALUE"""),17.36)</f>
        <v>17.36</v>
      </c>
      <c r="E746" s="26">
        <f t="shared" si="2"/>
        <v>0.001876732575</v>
      </c>
      <c r="F746" s="25">
        <f>IFERROR(__xludf.DUMMYFUNCTION("""COMPUTED_VALUE"""),44342.63611111111)</f>
        <v>44342.63611</v>
      </c>
      <c r="G746" s="22">
        <f>IFERROR(__xludf.DUMMYFUNCTION("""COMPUTED_VALUE"""),21.3)</f>
        <v>21.3</v>
      </c>
      <c r="H746" s="25">
        <f>IFERROR(__xludf.DUMMYFUNCTION("""COMPUTED_VALUE"""),44342.63611111111)</f>
        <v>44342.63611</v>
      </c>
      <c r="I746" s="22">
        <f>IFERROR(__xludf.DUMMYFUNCTION("""COMPUTED_VALUE"""),23.84)</f>
        <v>23.84</v>
      </c>
      <c r="J746" s="25">
        <f>IFERROR(__xludf.DUMMYFUNCTION("""COMPUTED_VALUE"""),44342.63611111111)</f>
        <v>44342.63611</v>
      </c>
      <c r="K746" s="22">
        <f>IFERROR(__xludf.DUMMYFUNCTION("""COMPUTED_VALUE"""),24.34)</f>
        <v>24.34</v>
      </c>
      <c r="M746" s="22" t="str">
        <f t="shared" si="3"/>
        <v/>
      </c>
      <c r="N746" s="22" t="str">
        <f t="shared" si="4"/>
        <v/>
      </c>
    </row>
    <row r="747" ht="15.75" customHeight="1">
      <c r="A747" s="25">
        <f>IFERROR(__xludf.DUMMYFUNCTION("""COMPUTED_VALUE"""),44343.66666666667)</f>
        <v>44343.66667</v>
      </c>
      <c r="B747" s="22">
        <f>IFERROR(__xludf.DUMMYFUNCTION("""COMPUTED_VALUE"""),4200.88)</f>
        <v>4200.88</v>
      </c>
      <c r="C747" s="25">
        <f>IFERROR(__xludf.DUMMYFUNCTION("""COMPUTED_VALUE"""),44343.63611111111)</f>
        <v>44343.63611</v>
      </c>
      <c r="D747" s="22">
        <f>IFERROR(__xludf.DUMMYFUNCTION("""COMPUTED_VALUE"""),16.74)</f>
        <v>16.74</v>
      </c>
      <c r="E747" s="26">
        <f t="shared" si="2"/>
        <v>0.001165398392</v>
      </c>
      <c r="F747" s="25">
        <f>IFERROR(__xludf.DUMMYFUNCTION("""COMPUTED_VALUE"""),44343.63611111111)</f>
        <v>44343.63611</v>
      </c>
      <c r="G747" s="22">
        <f>IFERROR(__xludf.DUMMYFUNCTION("""COMPUTED_VALUE"""),20.31)</f>
        <v>20.31</v>
      </c>
      <c r="H747" s="25">
        <f>IFERROR(__xludf.DUMMYFUNCTION("""COMPUTED_VALUE"""),44343.63611111111)</f>
        <v>44343.63611</v>
      </c>
      <c r="I747" s="22">
        <f>IFERROR(__xludf.DUMMYFUNCTION("""COMPUTED_VALUE"""),23.09)</f>
        <v>23.09</v>
      </c>
      <c r="J747" s="25">
        <f>IFERROR(__xludf.DUMMYFUNCTION("""COMPUTED_VALUE"""),44343.63611111111)</f>
        <v>44343.63611</v>
      </c>
      <c r="K747" s="22">
        <f>IFERROR(__xludf.DUMMYFUNCTION("""COMPUTED_VALUE"""),23.85)</f>
        <v>23.85</v>
      </c>
      <c r="M747" s="22" t="str">
        <f t="shared" si="3"/>
        <v/>
      </c>
      <c r="N747" s="22" t="str">
        <f t="shared" si="4"/>
        <v/>
      </c>
    </row>
    <row r="748" ht="15.75" customHeight="1">
      <c r="A748" s="25">
        <f>IFERROR(__xludf.DUMMYFUNCTION("""COMPUTED_VALUE"""),44344.66666666667)</f>
        <v>44344.66667</v>
      </c>
      <c r="B748" s="22">
        <f>IFERROR(__xludf.DUMMYFUNCTION("""COMPUTED_VALUE"""),4204.11)</f>
        <v>4204.11</v>
      </c>
      <c r="C748" s="25">
        <f>IFERROR(__xludf.DUMMYFUNCTION("""COMPUTED_VALUE"""),44344.63611111111)</f>
        <v>44344.63611</v>
      </c>
      <c r="D748" s="22">
        <f>IFERROR(__xludf.DUMMYFUNCTION("""COMPUTED_VALUE"""),16.76)</f>
        <v>16.76</v>
      </c>
      <c r="E748" s="26">
        <f t="shared" si="2"/>
        <v>0.000768886519</v>
      </c>
      <c r="F748" s="25">
        <f>IFERROR(__xludf.DUMMYFUNCTION("""COMPUTED_VALUE"""),44344.63611111111)</f>
        <v>44344.63611</v>
      </c>
      <c r="G748" s="22">
        <f>IFERROR(__xludf.DUMMYFUNCTION("""COMPUTED_VALUE"""),20.48)</f>
        <v>20.48</v>
      </c>
      <c r="H748" s="25">
        <f>IFERROR(__xludf.DUMMYFUNCTION("""COMPUTED_VALUE"""),44344.63611111111)</f>
        <v>44344.63611</v>
      </c>
      <c r="I748" s="22">
        <f>IFERROR(__xludf.DUMMYFUNCTION("""COMPUTED_VALUE"""),23.11)</f>
        <v>23.11</v>
      </c>
      <c r="J748" s="25">
        <f>IFERROR(__xludf.DUMMYFUNCTION("""COMPUTED_VALUE"""),44344.63611111111)</f>
        <v>44344.63611</v>
      </c>
      <c r="K748" s="22">
        <f>IFERROR(__xludf.DUMMYFUNCTION("""COMPUTED_VALUE"""),23.82)</f>
        <v>23.82</v>
      </c>
      <c r="M748" s="22" t="str">
        <f t="shared" si="3"/>
        <v/>
      </c>
      <c r="N748" s="22" t="str">
        <f t="shared" si="4"/>
        <v/>
      </c>
    </row>
    <row r="749" ht="15.75" customHeight="1">
      <c r="A749" s="25">
        <f>IFERROR(__xludf.DUMMYFUNCTION("""COMPUTED_VALUE"""),44348.66666666667)</f>
        <v>44348.66667</v>
      </c>
      <c r="B749" s="22">
        <f>IFERROR(__xludf.DUMMYFUNCTION("""COMPUTED_VALUE"""),4202.04)</f>
        <v>4202.04</v>
      </c>
      <c r="C749" s="25">
        <f>IFERROR(__xludf.DUMMYFUNCTION("""COMPUTED_VALUE"""),44348.63611111111)</f>
        <v>44348.63611</v>
      </c>
      <c r="D749" s="22">
        <f>IFERROR(__xludf.DUMMYFUNCTION("""COMPUTED_VALUE"""),17.9)</f>
        <v>17.9</v>
      </c>
      <c r="E749" s="26">
        <f t="shared" si="2"/>
        <v>-0.0004923753184</v>
      </c>
      <c r="F749" s="25">
        <f>IFERROR(__xludf.DUMMYFUNCTION("""COMPUTED_VALUE"""),44348.63611111111)</f>
        <v>44348.63611</v>
      </c>
      <c r="G749" s="22">
        <f>IFERROR(__xludf.DUMMYFUNCTION("""COMPUTED_VALUE"""),21.34)</f>
        <v>21.34</v>
      </c>
      <c r="H749" s="25">
        <f>IFERROR(__xludf.DUMMYFUNCTION("""COMPUTED_VALUE"""),44348.63611111111)</f>
        <v>44348.63611</v>
      </c>
      <c r="I749" s="22">
        <f>IFERROR(__xludf.DUMMYFUNCTION("""COMPUTED_VALUE"""),23.79)</f>
        <v>23.79</v>
      </c>
      <c r="J749" s="25">
        <f>IFERROR(__xludf.DUMMYFUNCTION("""COMPUTED_VALUE"""),44348.63611111111)</f>
        <v>44348.63611</v>
      </c>
      <c r="K749" s="22">
        <f>IFERROR(__xludf.DUMMYFUNCTION("""COMPUTED_VALUE"""),24.27)</f>
        <v>24.27</v>
      </c>
      <c r="M749" s="22" t="str">
        <f t="shared" si="3"/>
        <v/>
      </c>
      <c r="N749" s="22" t="str">
        <f t="shared" si="4"/>
        <v/>
      </c>
    </row>
    <row r="750" ht="15.75" customHeight="1">
      <c r="A750" s="25">
        <f>IFERROR(__xludf.DUMMYFUNCTION("""COMPUTED_VALUE"""),44349.66666666667)</f>
        <v>44349.66667</v>
      </c>
      <c r="B750" s="22">
        <f>IFERROR(__xludf.DUMMYFUNCTION("""COMPUTED_VALUE"""),4208.12)</f>
        <v>4208.12</v>
      </c>
      <c r="C750" s="25">
        <f>IFERROR(__xludf.DUMMYFUNCTION("""COMPUTED_VALUE"""),44349.63611111111)</f>
        <v>44349.63611</v>
      </c>
      <c r="D750" s="22">
        <f>IFERROR(__xludf.DUMMYFUNCTION("""COMPUTED_VALUE"""),17.48)</f>
        <v>17.48</v>
      </c>
      <c r="E750" s="26">
        <f t="shared" si="2"/>
        <v>0.00144691626</v>
      </c>
      <c r="F750" s="25">
        <f>IFERROR(__xludf.DUMMYFUNCTION("""COMPUTED_VALUE"""),44349.63611111111)</f>
        <v>44349.63611</v>
      </c>
      <c r="G750" s="22">
        <f>IFERROR(__xludf.DUMMYFUNCTION("""COMPUTED_VALUE"""),21.42)</f>
        <v>21.42</v>
      </c>
      <c r="H750" s="25">
        <f>IFERROR(__xludf.DUMMYFUNCTION("""COMPUTED_VALUE"""),44349.63611111111)</f>
        <v>44349.63611</v>
      </c>
      <c r="I750" s="22">
        <f>IFERROR(__xludf.DUMMYFUNCTION("""COMPUTED_VALUE"""),23.94)</f>
        <v>23.94</v>
      </c>
      <c r="J750" s="25">
        <f>IFERROR(__xludf.DUMMYFUNCTION("""COMPUTED_VALUE"""),44349.63611111111)</f>
        <v>44349.63611</v>
      </c>
      <c r="K750" s="22">
        <f>IFERROR(__xludf.DUMMYFUNCTION("""COMPUTED_VALUE"""),24.46)</f>
        <v>24.46</v>
      </c>
      <c r="M750" s="22" t="str">
        <f t="shared" si="3"/>
        <v/>
      </c>
      <c r="N750" s="22" t="str">
        <f t="shared" si="4"/>
        <v/>
      </c>
    </row>
    <row r="751" ht="15.75" customHeight="1">
      <c r="A751" s="25">
        <f>IFERROR(__xludf.DUMMYFUNCTION("""COMPUTED_VALUE"""),44350.66666666667)</f>
        <v>44350.66667</v>
      </c>
      <c r="B751" s="22">
        <f>IFERROR(__xludf.DUMMYFUNCTION("""COMPUTED_VALUE"""),4192.85)</f>
        <v>4192.85</v>
      </c>
      <c r="C751" s="25">
        <f>IFERROR(__xludf.DUMMYFUNCTION("""COMPUTED_VALUE"""),44350.63611111111)</f>
        <v>44350.63611</v>
      </c>
      <c r="D751" s="22">
        <f>IFERROR(__xludf.DUMMYFUNCTION("""COMPUTED_VALUE"""),18.04)</f>
        <v>18.04</v>
      </c>
      <c r="E751" s="26">
        <f t="shared" si="2"/>
        <v>-0.003628698801</v>
      </c>
      <c r="F751" s="25">
        <f>IFERROR(__xludf.DUMMYFUNCTION("""COMPUTED_VALUE"""),44350.63611111111)</f>
        <v>44350.63611</v>
      </c>
      <c r="G751" s="22">
        <f>IFERROR(__xludf.DUMMYFUNCTION("""COMPUTED_VALUE"""),21.82)</f>
        <v>21.82</v>
      </c>
      <c r="H751" s="25">
        <f>IFERROR(__xludf.DUMMYFUNCTION("""COMPUTED_VALUE"""),44350.63611111111)</f>
        <v>44350.63611</v>
      </c>
      <c r="I751" s="22">
        <f>IFERROR(__xludf.DUMMYFUNCTION("""COMPUTED_VALUE"""),24.13)</f>
        <v>24.13</v>
      </c>
      <c r="J751" s="25">
        <f>IFERROR(__xludf.DUMMYFUNCTION("""COMPUTED_VALUE"""),44350.63611111111)</f>
        <v>44350.63611</v>
      </c>
      <c r="K751" s="22">
        <f>IFERROR(__xludf.DUMMYFUNCTION("""COMPUTED_VALUE"""),24.74)</f>
        <v>24.74</v>
      </c>
      <c r="M751" s="22" t="str">
        <f t="shared" si="3"/>
        <v/>
      </c>
      <c r="N751" s="22" t="str">
        <f t="shared" si="4"/>
        <v/>
      </c>
    </row>
    <row r="752" ht="15.75" customHeight="1">
      <c r="A752" s="25">
        <f>IFERROR(__xludf.DUMMYFUNCTION("""COMPUTED_VALUE"""),44351.66666666667)</f>
        <v>44351.66667</v>
      </c>
      <c r="B752" s="22">
        <f>IFERROR(__xludf.DUMMYFUNCTION("""COMPUTED_VALUE"""),4229.89)</f>
        <v>4229.89</v>
      </c>
      <c r="C752" s="25">
        <f>IFERROR(__xludf.DUMMYFUNCTION("""COMPUTED_VALUE"""),44351.63611111111)</f>
        <v>44351.63611</v>
      </c>
      <c r="D752" s="22">
        <f>IFERROR(__xludf.DUMMYFUNCTION("""COMPUTED_VALUE"""),16.42)</f>
        <v>16.42</v>
      </c>
      <c r="E752" s="26">
        <f t="shared" si="2"/>
        <v>0.0088340866</v>
      </c>
      <c r="F752" s="25">
        <f>IFERROR(__xludf.DUMMYFUNCTION("""COMPUTED_VALUE"""),44351.63611111111)</f>
        <v>44351.63611</v>
      </c>
      <c r="G752" s="22">
        <f>IFERROR(__xludf.DUMMYFUNCTION("""COMPUTED_VALUE"""),20.62)</f>
        <v>20.62</v>
      </c>
      <c r="H752" s="25">
        <f>IFERROR(__xludf.DUMMYFUNCTION("""COMPUTED_VALUE"""),44351.63611111111)</f>
        <v>44351.63611</v>
      </c>
      <c r="I752" s="22">
        <f>IFERROR(__xludf.DUMMYFUNCTION("""COMPUTED_VALUE"""),23.3)</f>
        <v>23.3</v>
      </c>
      <c r="J752" s="25">
        <f>IFERROR(__xludf.DUMMYFUNCTION("""COMPUTED_VALUE"""),44351.63611111111)</f>
        <v>44351.63611</v>
      </c>
      <c r="K752" s="22">
        <f>IFERROR(__xludf.DUMMYFUNCTION("""COMPUTED_VALUE"""),24.2)</f>
        <v>24.2</v>
      </c>
      <c r="M752" s="22" t="str">
        <f t="shared" si="3"/>
        <v/>
      </c>
      <c r="N752" s="22" t="str">
        <f t="shared" si="4"/>
        <v/>
      </c>
    </row>
    <row r="753" ht="15.75" customHeight="1">
      <c r="A753" s="25">
        <f>IFERROR(__xludf.DUMMYFUNCTION("""COMPUTED_VALUE"""),44354.66666666667)</f>
        <v>44354.66667</v>
      </c>
      <c r="B753" s="22">
        <f>IFERROR(__xludf.DUMMYFUNCTION("""COMPUTED_VALUE"""),4226.52)</f>
        <v>4226.52</v>
      </c>
      <c r="C753" s="25">
        <f>IFERROR(__xludf.DUMMYFUNCTION("""COMPUTED_VALUE"""),44354.63611111111)</f>
        <v>44354.63611</v>
      </c>
      <c r="D753" s="22">
        <f>IFERROR(__xludf.DUMMYFUNCTION("""COMPUTED_VALUE"""),16.42)</f>
        <v>16.42</v>
      </c>
      <c r="E753" s="26">
        <f t="shared" si="2"/>
        <v>-0.0007967110256</v>
      </c>
      <c r="F753" s="25">
        <f>IFERROR(__xludf.DUMMYFUNCTION("""COMPUTED_VALUE"""),44354.63611111111)</f>
        <v>44354.63611</v>
      </c>
      <c r="G753" s="22">
        <f>IFERROR(__xludf.DUMMYFUNCTION("""COMPUTED_VALUE"""),20.55)</f>
        <v>20.55</v>
      </c>
      <c r="H753" s="25">
        <f>IFERROR(__xludf.DUMMYFUNCTION("""COMPUTED_VALUE"""),44354.63611111111)</f>
        <v>44354.63611</v>
      </c>
      <c r="I753" s="22">
        <f>IFERROR(__xludf.DUMMYFUNCTION("""COMPUTED_VALUE"""),23.22)</f>
        <v>23.22</v>
      </c>
      <c r="J753" s="25">
        <f>IFERROR(__xludf.DUMMYFUNCTION("""COMPUTED_VALUE"""),44354.63611111111)</f>
        <v>44354.63611</v>
      </c>
      <c r="K753" s="22">
        <f>IFERROR(__xludf.DUMMYFUNCTION("""COMPUTED_VALUE"""),24.1)</f>
        <v>24.1</v>
      </c>
      <c r="M753" s="22" t="str">
        <f t="shared" si="3"/>
        <v/>
      </c>
      <c r="N753" s="22" t="str">
        <f t="shared" si="4"/>
        <v/>
      </c>
    </row>
    <row r="754" ht="15.75" customHeight="1">
      <c r="A754" s="25">
        <f>IFERROR(__xludf.DUMMYFUNCTION("""COMPUTED_VALUE"""),44355.66666666667)</f>
        <v>44355.66667</v>
      </c>
      <c r="B754" s="22">
        <f>IFERROR(__xludf.DUMMYFUNCTION("""COMPUTED_VALUE"""),4227.26)</f>
        <v>4227.26</v>
      </c>
      <c r="C754" s="25">
        <f>IFERROR(__xludf.DUMMYFUNCTION("""COMPUTED_VALUE"""),44355.63611111111)</f>
        <v>44355.63611</v>
      </c>
      <c r="D754" s="22">
        <f>IFERROR(__xludf.DUMMYFUNCTION("""COMPUTED_VALUE"""),17.07)</f>
        <v>17.07</v>
      </c>
      <c r="E754" s="26">
        <f t="shared" si="2"/>
        <v>0.0001750849399</v>
      </c>
      <c r="F754" s="25">
        <f>IFERROR(__xludf.DUMMYFUNCTION("""COMPUTED_VALUE"""),44355.63611111111)</f>
        <v>44355.63611</v>
      </c>
      <c r="G754" s="22">
        <f>IFERROR(__xludf.DUMMYFUNCTION("""COMPUTED_VALUE"""),20.85)</f>
        <v>20.85</v>
      </c>
      <c r="H754" s="25">
        <f>IFERROR(__xludf.DUMMYFUNCTION("""COMPUTED_VALUE"""),44355.63611111111)</f>
        <v>44355.63611</v>
      </c>
      <c r="I754" s="22">
        <f>IFERROR(__xludf.DUMMYFUNCTION("""COMPUTED_VALUE"""),23.34)</f>
        <v>23.34</v>
      </c>
      <c r="J754" s="25">
        <f>IFERROR(__xludf.DUMMYFUNCTION("""COMPUTED_VALUE"""),44355.63611111111)</f>
        <v>44355.63611</v>
      </c>
      <c r="K754" s="22">
        <f>IFERROR(__xludf.DUMMYFUNCTION("""COMPUTED_VALUE"""),24.07)</f>
        <v>24.07</v>
      </c>
      <c r="M754" s="22" t="str">
        <f t="shared" si="3"/>
        <v/>
      </c>
      <c r="N754" s="22" t="str">
        <f t="shared" si="4"/>
        <v/>
      </c>
    </row>
    <row r="755" ht="15.75" customHeight="1">
      <c r="A755" s="25">
        <f>IFERROR(__xludf.DUMMYFUNCTION("""COMPUTED_VALUE"""),44356.66666666667)</f>
        <v>44356.66667</v>
      </c>
      <c r="B755" s="22">
        <f>IFERROR(__xludf.DUMMYFUNCTION("""COMPUTED_VALUE"""),4219.55)</f>
        <v>4219.55</v>
      </c>
      <c r="C755" s="25">
        <f>IFERROR(__xludf.DUMMYFUNCTION("""COMPUTED_VALUE"""),44356.63611111111)</f>
        <v>44356.63611</v>
      </c>
      <c r="D755" s="22">
        <f>IFERROR(__xludf.DUMMYFUNCTION("""COMPUTED_VALUE"""),17.89)</f>
        <v>17.89</v>
      </c>
      <c r="E755" s="26">
        <f t="shared" si="2"/>
        <v>-0.001823876459</v>
      </c>
      <c r="F755" s="25">
        <f>IFERROR(__xludf.DUMMYFUNCTION("""COMPUTED_VALUE"""),44356.63611111111)</f>
        <v>44356.63611</v>
      </c>
      <c r="G755" s="22">
        <f>IFERROR(__xludf.DUMMYFUNCTION("""COMPUTED_VALUE"""),21.28)</f>
        <v>21.28</v>
      </c>
      <c r="H755" s="25">
        <f>IFERROR(__xludf.DUMMYFUNCTION("""COMPUTED_VALUE"""),44356.63611111111)</f>
        <v>44356.63611</v>
      </c>
      <c r="I755" s="22">
        <f>IFERROR(__xludf.DUMMYFUNCTION("""COMPUTED_VALUE"""),23.61)</f>
        <v>23.61</v>
      </c>
      <c r="J755" s="25">
        <f>IFERROR(__xludf.DUMMYFUNCTION("""COMPUTED_VALUE"""),44356.63611111111)</f>
        <v>44356.63611</v>
      </c>
      <c r="K755" s="22">
        <f>IFERROR(__xludf.DUMMYFUNCTION("""COMPUTED_VALUE"""),24.23)</f>
        <v>24.23</v>
      </c>
      <c r="M755" s="22" t="str">
        <f t="shared" si="3"/>
        <v/>
      </c>
      <c r="N755" s="22" t="str">
        <f t="shared" si="4"/>
        <v/>
      </c>
    </row>
    <row r="756" ht="15.75" customHeight="1">
      <c r="A756" s="25">
        <f>IFERROR(__xludf.DUMMYFUNCTION("""COMPUTED_VALUE"""),44357.66666666667)</f>
        <v>44357.66667</v>
      </c>
      <c r="B756" s="22">
        <f>IFERROR(__xludf.DUMMYFUNCTION("""COMPUTED_VALUE"""),4239.18)</f>
        <v>4239.18</v>
      </c>
      <c r="C756" s="25">
        <f>IFERROR(__xludf.DUMMYFUNCTION("""COMPUTED_VALUE"""),44357.63611111111)</f>
        <v>44357.63611</v>
      </c>
      <c r="D756" s="22">
        <f>IFERROR(__xludf.DUMMYFUNCTION("""COMPUTED_VALUE"""),16.1)</f>
        <v>16.1</v>
      </c>
      <c r="E756" s="26">
        <f t="shared" si="2"/>
        <v>0.004652154851</v>
      </c>
      <c r="F756" s="25">
        <f>IFERROR(__xludf.DUMMYFUNCTION("""COMPUTED_VALUE"""),44357.63611111111)</f>
        <v>44357.63611</v>
      </c>
      <c r="G756" s="22">
        <f>IFERROR(__xludf.DUMMYFUNCTION("""COMPUTED_VALUE"""),20.08)</f>
        <v>20.08</v>
      </c>
      <c r="H756" s="25">
        <f>IFERROR(__xludf.DUMMYFUNCTION("""COMPUTED_VALUE"""),44357.63611111111)</f>
        <v>44357.63611</v>
      </c>
      <c r="I756" s="22">
        <f>IFERROR(__xludf.DUMMYFUNCTION("""COMPUTED_VALUE"""),22.59)</f>
        <v>22.59</v>
      </c>
      <c r="J756" s="25">
        <f>IFERROR(__xludf.DUMMYFUNCTION("""COMPUTED_VALUE"""),44357.63611111111)</f>
        <v>44357.63611</v>
      </c>
      <c r="K756" s="22">
        <f>IFERROR(__xludf.DUMMYFUNCTION("""COMPUTED_VALUE"""),23.47)</f>
        <v>23.47</v>
      </c>
      <c r="M756" s="22" t="str">
        <f t="shared" si="3"/>
        <v/>
      </c>
      <c r="N756" s="22" t="str">
        <f t="shared" si="4"/>
        <v/>
      </c>
    </row>
    <row r="757" ht="15.75" customHeight="1">
      <c r="A757" s="25">
        <f>IFERROR(__xludf.DUMMYFUNCTION("""COMPUTED_VALUE"""),44358.66666666667)</f>
        <v>44358.66667</v>
      </c>
      <c r="B757" s="22">
        <f>IFERROR(__xludf.DUMMYFUNCTION("""COMPUTED_VALUE"""),4247.44)</f>
        <v>4247.44</v>
      </c>
      <c r="C757" s="25">
        <f>IFERROR(__xludf.DUMMYFUNCTION("""COMPUTED_VALUE"""),44358.63611111111)</f>
        <v>44358.63611</v>
      </c>
      <c r="D757" s="22">
        <f>IFERROR(__xludf.DUMMYFUNCTION("""COMPUTED_VALUE"""),15.65)</f>
        <v>15.65</v>
      </c>
      <c r="E757" s="26">
        <f t="shared" si="2"/>
        <v>0.001948490038</v>
      </c>
      <c r="F757" s="25">
        <f>IFERROR(__xludf.DUMMYFUNCTION("""COMPUTED_VALUE"""),44358.63611111111)</f>
        <v>44358.63611</v>
      </c>
      <c r="G757" s="22">
        <f>IFERROR(__xludf.DUMMYFUNCTION("""COMPUTED_VALUE"""),19.64)</f>
        <v>19.64</v>
      </c>
      <c r="H757" s="25">
        <f>IFERROR(__xludf.DUMMYFUNCTION("""COMPUTED_VALUE"""),44358.63611111111)</f>
        <v>44358.63611</v>
      </c>
      <c r="I757" s="22">
        <f>IFERROR(__xludf.DUMMYFUNCTION("""COMPUTED_VALUE"""),22.3)</f>
        <v>22.3</v>
      </c>
      <c r="J757" s="25">
        <f>IFERROR(__xludf.DUMMYFUNCTION("""COMPUTED_VALUE"""),44358.63611111111)</f>
        <v>44358.63611</v>
      </c>
      <c r="K757" s="22">
        <f>IFERROR(__xludf.DUMMYFUNCTION("""COMPUTED_VALUE"""),23.24)</f>
        <v>23.24</v>
      </c>
      <c r="M757" s="22" t="str">
        <f t="shared" si="3"/>
        <v/>
      </c>
      <c r="N757" s="22" t="str">
        <f t="shared" si="4"/>
        <v/>
      </c>
    </row>
    <row r="758" ht="15.75" customHeight="1">
      <c r="A758" s="25">
        <f>IFERROR(__xludf.DUMMYFUNCTION("""COMPUTED_VALUE"""),44361.66666666667)</f>
        <v>44361.66667</v>
      </c>
      <c r="B758" s="22">
        <f>IFERROR(__xludf.DUMMYFUNCTION("""COMPUTED_VALUE"""),4255.15)</f>
        <v>4255.15</v>
      </c>
      <c r="C758" s="25">
        <f>IFERROR(__xludf.DUMMYFUNCTION("""COMPUTED_VALUE"""),44361.63611111111)</f>
        <v>44361.63611</v>
      </c>
      <c r="D758" s="22">
        <f>IFERROR(__xludf.DUMMYFUNCTION("""COMPUTED_VALUE"""),16.39)</f>
        <v>16.39</v>
      </c>
      <c r="E758" s="26">
        <f t="shared" si="2"/>
        <v>0.001815211045</v>
      </c>
      <c r="F758" s="25">
        <f>IFERROR(__xludf.DUMMYFUNCTION("""COMPUTED_VALUE"""),44361.63611111111)</f>
        <v>44361.63611</v>
      </c>
      <c r="G758" s="22">
        <f>IFERROR(__xludf.DUMMYFUNCTION("""COMPUTED_VALUE"""),20.14)</f>
        <v>20.14</v>
      </c>
      <c r="H758" s="25">
        <f>IFERROR(__xludf.DUMMYFUNCTION("""COMPUTED_VALUE"""),44361.63611111111)</f>
        <v>44361.63611</v>
      </c>
      <c r="I758" s="22">
        <f>IFERROR(__xludf.DUMMYFUNCTION("""COMPUTED_VALUE"""),22.68)</f>
        <v>22.68</v>
      </c>
      <c r="J758" s="25">
        <f>IFERROR(__xludf.DUMMYFUNCTION("""COMPUTED_VALUE"""),44361.63611111111)</f>
        <v>44361.63611</v>
      </c>
      <c r="K758" s="22">
        <f>IFERROR(__xludf.DUMMYFUNCTION("""COMPUTED_VALUE"""),23.49)</f>
        <v>23.49</v>
      </c>
      <c r="M758" s="22" t="str">
        <f t="shared" si="3"/>
        <v/>
      </c>
      <c r="N758" s="22" t="str">
        <f t="shared" si="4"/>
        <v/>
      </c>
    </row>
    <row r="759" ht="15.75" customHeight="1">
      <c r="A759" s="25">
        <f>IFERROR(__xludf.DUMMYFUNCTION("""COMPUTED_VALUE"""),44362.66666666667)</f>
        <v>44362.66667</v>
      </c>
      <c r="B759" s="22">
        <f>IFERROR(__xludf.DUMMYFUNCTION("""COMPUTED_VALUE"""),4246.59)</f>
        <v>4246.59</v>
      </c>
      <c r="C759" s="25">
        <f>IFERROR(__xludf.DUMMYFUNCTION("""COMPUTED_VALUE"""),44362.63611111111)</f>
        <v>44362.63611</v>
      </c>
      <c r="D759" s="22">
        <f>IFERROR(__xludf.DUMMYFUNCTION("""COMPUTED_VALUE"""),17.02)</f>
        <v>17.02</v>
      </c>
      <c r="E759" s="26">
        <f t="shared" si="2"/>
        <v>-0.002011679964</v>
      </c>
      <c r="F759" s="25">
        <f>IFERROR(__xludf.DUMMYFUNCTION("""COMPUTED_VALUE"""),44362.63611111111)</f>
        <v>44362.63611</v>
      </c>
      <c r="G759" s="22">
        <f>IFERROR(__xludf.DUMMYFUNCTION("""COMPUTED_VALUE"""),20.68)</f>
        <v>20.68</v>
      </c>
      <c r="H759" s="25">
        <f>IFERROR(__xludf.DUMMYFUNCTION("""COMPUTED_VALUE"""),44362.63611111111)</f>
        <v>44362.63611</v>
      </c>
      <c r="I759" s="22">
        <f>IFERROR(__xludf.DUMMYFUNCTION("""COMPUTED_VALUE"""),23.11)</f>
        <v>23.11</v>
      </c>
      <c r="J759" s="25">
        <f>IFERROR(__xludf.DUMMYFUNCTION("""COMPUTED_VALUE"""),44362.63611111111)</f>
        <v>44362.63611</v>
      </c>
      <c r="K759" s="22">
        <f>IFERROR(__xludf.DUMMYFUNCTION("""COMPUTED_VALUE"""),23.77)</f>
        <v>23.77</v>
      </c>
      <c r="M759" s="22" t="str">
        <f t="shared" si="3"/>
        <v/>
      </c>
      <c r="N759" s="22" t="str">
        <f t="shared" si="4"/>
        <v/>
      </c>
    </row>
    <row r="760" ht="15.75" customHeight="1">
      <c r="A760" s="25">
        <f>IFERROR(__xludf.DUMMYFUNCTION("""COMPUTED_VALUE"""),44363.66666666667)</f>
        <v>44363.66667</v>
      </c>
      <c r="B760" s="22">
        <f>IFERROR(__xludf.DUMMYFUNCTION("""COMPUTED_VALUE"""),4223.7)</f>
        <v>4223.7</v>
      </c>
      <c r="C760" s="25">
        <f>IFERROR(__xludf.DUMMYFUNCTION("""COMPUTED_VALUE"""),44363.63611111111)</f>
        <v>44363.63611</v>
      </c>
      <c r="D760" s="22">
        <f>IFERROR(__xludf.DUMMYFUNCTION("""COMPUTED_VALUE"""),18.15)</f>
        <v>18.15</v>
      </c>
      <c r="E760" s="26">
        <f t="shared" si="2"/>
        <v>-0.005390207202</v>
      </c>
      <c r="F760" s="25">
        <f>IFERROR(__xludf.DUMMYFUNCTION("""COMPUTED_VALUE"""),44363.63611111111)</f>
        <v>44363.63611</v>
      </c>
      <c r="G760" s="22">
        <f>IFERROR(__xludf.DUMMYFUNCTION("""COMPUTED_VALUE"""),21.26)</f>
        <v>21.26</v>
      </c>
      <c r="H760" s="25">
        <f>IFERROR(__xludf.DUMMYFUNCTION("""COMPUTED_VALUE"""),44363.63611111111)</f>
        <v>44363.63611</v>
      </c>
      <c r="I760" s="22">
        <f>IFERROR(__xludf.DUMMYFUNCTION("""COMPUTED_VALUE"""),23.45)</f>
        <v>23.45</v>
      </c>
      <c r="J760" s="25">
        <f>IFERROR(__xludf.DUMMYFUNCTION("""COMPUTED_VALUE"""),44363.63611111111)</f>
        <v>44363.63611</v>
      </c>
      <c r="K760" s="22">
        <f>IFERROR(__xludf.DUMMYFUNCTION("""COMPUTED_VALUE"""),23.94)</f>
        <v>23.94</v>
      </c>
      <c r="M760" s="22" t="str">
        <f t="shared" si="3"/>
        <v/>
      </c>
      <c r="N760" s="22" t="str">
        <f t="shared" si="4"/>
        <v/>
      </c>
    </row>
    <row r="761" ht="15.75" customHeight="1">
      <c r="A761" s="25">
        <f>IFERROR(__xludf.DUMMYFUNCTION("""COMPUTED_VALUE"""),44364.66666666667)</f>
        <v>44364.66667</v>
      </c>
      <c r="B761" s="22">
        <f>IFERROR(__xludf.DUMMYFUNCTION("""COMPUTED_VALUE"""),4221.86)</f>
        <v>4221.86</v>
      </c>
      <c r="C761" s="25">
        <f>IFERROR(__xludf.DUMMYFUNCTION("""COMPUTED_VALUE"""),44364.63611111111)</f>
        <v>44364.63611</v>
      </c>
      <c r="D761" s="22">
        <f>IFERROR(__xludf.DUMMYFUNCTION("""COMPUTED_VALUE"""),17.75)</f>
        <v>17.75</v>
      </c>
      <c r="E761" s="26">
        <f t="shared" si="2"/>
        <v>-0.0004356370007</v>
      </c>
      <c r="F761" s="25">
        <f>IFERROR(__xludf.DUMMYFUNCTION("""COMPUTED_VALUE"""),44364.63611111111)</f>
        <v>44364.63611</v>
      </c>
      <c r="G761" s="22">
        <f>IFERROR(__xludf.DUMMYFUNCTION("""COMPUTED_VALUE"""),20.98)</f>
        <v>20.98</v>
      </c>
      <c r="H761" s="25">
        <f>IFERROR(__xludf.DUMMYFUNCTION("""COMPUTED_VALUE"""),44364.63611111111)</f>
        <v>44364.63611</v>
      </c>
      <c r="I761" s="22">
        <f>IFERROR(__xludf.DUMMYFUNCTION("""COMPUTED_VALUE"""),23.15)</f>
        <v>23.15</v>
      </c>
      <c r="J761" s="25">
        <f>IFERROR(__xludf.DUMMYFUNCTION("""COMPUTED_VALUE"""),44364.63611111111)</f>
        <v>44364.63611</v>
      </c>
      <c r="K761" s="22">
        <f>IFERROR(__xludf.DUMMYFUNCTION("""COMPUTED_VALUE"""),23.73)</f>
        <v>23.73</v>
      </c>
      <c r="M761" s="22" t="str">
        <f t="shared" si="3"/>
        <v/>
      </c>
      <c r="N761" s="22" t="str">
        <f t="shared" si="4"/>
        <v/>
      </c>
    </row>
    <row r="762" ht="15.75" customHeight="1">
      <c r="A762" s="25">
        <f>IFERROR(__xludf.DUMMYFUNCTION("""COMPUTED_VALUE"""),44365.66666666667)</f>
        <v>44365.66667</v>
      </c>
      <c r="B762" s="22">
        <f>IFERROR(__xludf.DUMMYFUNCTION("""COMPUTED_VALUE"""),4166.45)</f>
        <v>4166.45</v>
      </c>
      <c r="C762" s="25">
        <f>IFERROR(__xludf.DUMMYFUNCTION("""COMPUTED_VALUE"""),44365.63611111111)</f>
        <v>44365.63611</v>
      </c>
      <c r="D762" s="22">
        <f>IFERROR(__xludf.DUMMYFUNCTION("""COMPUTED_VALUE"""),20.7)</f>
        <v>20.7</v>
      </c>
      <c r="E762" s="26">
        <f t="shared" si="2"/>
        <v>-0.013124547</v>
      </c>
      <c r="F762" s="25">
        <f>IFERROR(__xludf.DUMMYFUNCTION("""COMPUTED_VALUE"""),44365.63611111111)</f>
        <v>44365.63611</v>
      </c>
      <c r="G762" s="22">
        <f>IFERROR(__xludf.DUMMYFUNCTION("""COMPUTED_VALUE"""),22.93)</f>
        <v>22.93</v>
      </c>
      <c r="H762" s="25">
        <f>IFERROR(__xludf.DUMMYFUNCTION("""COMPUTED_VALUE"""),44365.63611111111)</f>
        <v>44365.63611</v>
      </c>
      <c r="I762" s="22">
        <f>IFERROR(__xludf.DUMMYFUNCTION("""COMPUTED_VALUE"""),24.48)</f>
        <v>24.48</v>
      </c>
      <c r="J762" s="25">
        <f>IFERROR(__xludf.DUMMYFUNCTION("""COMPUTED_VALUE"""),44365.63611111111)</f>
        <v>44365.63611</v>
      </c>
      <c r="K762" s="22">
        <f>IFERROR(__xludf.DUMMYFUNCTION("""COMPUTED_VALUE"""),24.67)</f>
        <v>24.67</v>
      </c>
      <c r="M762" s="22" t="str">
        <f t="shared" si="3"/>
        <v/>
      </c>
      <c r="N762" s="22" t="str">
        <f t="shared" si="4"/>
        <v/>
      </c>
    </row>
    <row r="763" ht="15.75" customHeight="1">
      <c r="A763" s="25">
        <f>IFERROR(__xludf.DUMMYFUNCTION("""COMPUTED_VALUE"""),44368.66666666667)</f>
        <v>44368.66667</v>
      </c>
      <c r="B763" s="22">
        <f>IFERROR(__xludf.DUMMYFUNCTION("""COMPUTED_VALUE"""),4224.79)</f>
        <v>4224.79</v>
      </c>
      <c r="C763" s="25">
        <f>IFERROR(__xludf.DUMMYFUNCTION("""COMPUTED_VALUE"""),44368.63611111111)</f>
        <v>44368.63611</v>
      </c>
      <c r="D763" s="22">
        <f>IFERROR(__xludf.DUMMYFUNCTION("""COMPUTED_VALUE"""),17.89)</f>
        <v>17.89</v>
      </c>
      <c r="E763" s="26">
        <f t="shared" si="2"/>
        <v>0.01400232812</v>
      </c>
      <c r="F763" s="25">
        <f>IFERROR(__xludf.DUMMYFUNCTION("""COMPUTED_VALUE"""),44368.63611111111)</f>
        <v>44368.63611</v>
      </c>
      <c r="G763" s="22">
        <f>IFERROR(__xludf.DUMMYFUNCTION("""COMPUTED_VALUE"""),21.12)</f>
        <v>21.12</v>
      </c>
      <c r="H763" s="25">
        <f>IFERROR(__xludf.DUMMYFUNCTION("""COMPUTED_VALUE"""),44368.63611111111)</f>
        <v>44368.63611</v>
      </c>
      <c r="I763" s="22">
        <f>IFERROR(__xludf.DUMMYFUNCTION("""COMPUTED_VALUE"""),23.37)</f>
        <v>23.37</v>
      </c>
      <c r="J763" s="25">
        <f>IFERROR(__xludf.DUMMYFUNCTION("""COMPUTED_VALUE"""),44368.63611111111)</f>
        <v>44368.63611</v>
      </c>
      <c r="K763" s="22">
        <f>IFERROR(__xludf.DUMMYFUNCTION("""COMPUTED_VALUE"""),23.86)</f>
        <v>23.86</v>
      </c>
      <c r="M763" s="22" t="str">
        <f t="shared" si="3"/>
        <v/>
      </c>
      <c r="N763" s="22" t="str">
        <f t="shared" si="4"/>
        <v/>
      </c>
    </row>
    <row r="764" ht="15.75" customHeight="1">
      <c r="A764" s="25">
        <f>IFERROR(__xludf.DUMMYFUNCTION("""COMPUTED_VALUE"""),44369.66666666667)</f>
        <v>44369.66667</v>
      </c>
      <c r="B764" s="22">
        <f>IFERROR(__xludf.DUMMYFUNCTION("""COMPUTED_VALUE"""),4246.44)</f>
        <v>4246.44</v>
      </c>
      <c r="C764" s="25">
        <f>IFERROR(__xludf.DUMMYFUNCTION("""COMPUTED_VALUE"""),44369.63611111111)</f>
        <v>44369.63611</v>
      </c>
      <c r="D764" s="22">
        <f>IFERROR(__xludf.DUMMYFUNCTION("""COMPUTED_VALUE"""),16.66)</f>
        <v>16.66</v>
      </c>
      <c r="E764" s="26">
        <f t="shared" si="2"/>
        <v>0.005124515065</v>
      </c>
      <c r="F764" s="25">
        <f>IFERROR(__xludf.DUMMYFUNCTION("""COMPUTED_VALUE"""),44369.63611111111)</f>
        <v>44369.63611</v>
      </c>
      <c r="G764" s="22">
        <f>IFERROR(__xludf.DUMMYFUNCTION("""COMPUTED_VALUE"""),20.07)</f>
        <v>20.07</v>
      </c>
      <c r="H764" s="25">
        <f>IFERROR(__xludf.DUMMYFUNCTION("""COMPUTED_VALUE"""),44369.63611111111)</f>
        <v>44369.63611</v>
      </c>
      <c r="I764" s="22">
        <f>IFERROR(__xludf.DUMMYFUNCTION("""COMPUTED_VALUE"""),22.69)</f>
        <v>22.69</v>
      </c>
      <c r="J764" s="25">
        <f>IFERROR(__xludf.DUMMYFUNCTION("""COMPUTED_VALUE"""),44369.63611111111)</f>
        <v>44369.63611</v>
      </c>
      <c r="K764" s="22">
        <f>IFERROR(__xludf.DUMMYFUNCTION("""COMPUTED_VALUE"""),23.41)</f>
        <v>23.41</v>
      </c>
      <c r="M764" s="22" t="str">
        <f t="shared" si="3"/>
        <v/>
      </c>
      <c r="N764" s="22" t="str">
        <f t="shared" si="4"/>
        <v/>
      </c>
    </row>
    <row r="765" ht="15.75" customHeight="1">
      <c r="A765" s="25">
        <f>IFERROR(__xludf.DUMMYFUNCTION("""COMPUTED_VALUE"""),44370.66666666667)</f>
        <v>44370.66667</v>
      </c>
      <c r="B765" s="22">
        <f>IFERROR(__xludf.DUMMYFUNCTION("""COMPUTED_VALUE"""),4241.84)</f>
        <v>4241.84</v>
      </c>
      <c r="C765" s="25">
        <f>IFERROR(__xludf.DUMMYFUNCTION("""COMPUTED_VALUE"""),44370.63611111111)</f>
        <v>44370.63611</v>
      </c>
      <c r="D765" s="22">
        <f>IFERROR(__xludf.DUMMYFUNCTION("""COMPUTED_VALUE"""),16.32)</f>
        <v>16.32</v>
      </c>
      <c r="E765" s="26">
        <f t="shared" si="2"/>
        <v>-0.001083260331</v>
      </c>
      <c r="F765" s="25">
        <f>IFERROR(__xludf.DUMMYFUNCTION("""COMPUTED_VALUE"""),44370.63611111111)</f>
        <v>44370.63611</v>
      </c>
      <c r="G765" s="22">
        <f>IFERROR(__xludf.DUMMYFUNCTION("""COMPUTED_VALUE"""),19.7)</f>
        <v>19.7</v>
      </c>
      <c r="H765" s="25">
        <f>IFERROR(__xludf.DUMMYFUNCTION("""COMPUTED_VALUE"""),44370.63611111111)</f>
        <v>44370.63611</v>
      </c>
      <c r="I765" s="22">
        <f>IFERROR(__xludf.DUMMYFUNCTION("""COMPUTED_VALUE"""),22.23)</f>
        <v>22.23</v>
      </c>
      <c r="J765" s="25">
        <f>IFERROR(__xludf.DUMMYFUNCTION("""COMPUTED_VALUE"""),44370.63611111111)</f>
        <v>44370.63611</v>
      </c>
      <c r="K765" s="22">
        <f>IFERROR(__xludf.DUMMYFUNCTION("""COMPUTED_VALUE"""),23.21)</f>
        <v>23.21</v>
      </c>
      <c r="M765" s="22" t="str">
        <f t="shared" si="3"/>
        <v/>
      </c>
      <c r="N765" s="22" t="str">
        <f t="shared" si="4"/>
        <v/>
      </c>
    </row>
    <row r="766" ht="15.75" customHeight="1">
      <c r="A766" s="25">
        <f>IFERROR(__xludf.DUMMYFUNCTION("""COMPUTED_VALUE"""),44371.66666666667)</f>
        <v>44371.66667</v>
      </c>
      <c r="B766" s="22">
        <f>IFERROR(__xludf.DUMMYFUNCTION("""COMPUTED_VALUE"""),4266.49)</f>
        <v>4266.49</v>
      </c>
      <c r="C766" s="25">
        <f>IFERROR(__xludf.DUMMYFUNCTION("""COMPUTED_VALUE"""),44371.63611111111)</f>
        <v>44371.63611</v>
      </c>
      <c r="D766" s="22">
        <f>IFERROR(__xludf.DUMMYFUNCTION("""COMPUTED_VALUE"""),15.97)</f>
        <v>15.97</v>
      </c>
      <c r="E766" s="26">
        <f t="shared" si="2"/>
        <v>0.005811157422</v>
      </c>
      <c r="F766" s="25">
        <f>IFERROR(__xludf.DUMMYFUNCTION("""COMPUTED_VALUE"""),44371.63611111111)</f>
        <v>44371.63611</v>
      </c>
      <c r="G766" s="22">
        <f>IFERROR(__xludf.DUMMYFUNCTION("""COMPUTED_VALUE"""),19.26)</f>
        <v>19.26</v>
      </c>
      <c r="H766" s="25">
        <f>IFERROR(__xludf.DUMMYFUNCTION("""COMPUTED_VALUE"""),44371.63611111111)</f>
        <v>44371.63611</v>
      </c>
      <c r="I766" s="22">
        <f>IFERROR(__xludf.DUMMYFUNCTION("""COMPUTED_VALUE"""),21.91)</f>
        <v>21.91</v>
      </c>
      <c r="J766" s="25">
        <f>IFERROR(__xludf.DUMMYFUNCTION("""COMPUTED_VALUE"""),44371.63611111111)</f>
        <v>44371.63611</v>
      </c>
      <c r="K766" s="22">
        <f>IFERROR(__xludf.DUMMYFUNCTION("""COMPUTED_VALUE"""),23.08)</f>
        <v>23.08</v>
      </c>
      <c r="M766" s="22" t="str">
        <f t="shared" si="3"/>
        <v/>
      </c>
      <c r="N766" s="22" t="str">
        <f t="shared" si="4"/>
        <v/>
      </c>
    </row>
    <row r="767" ht="15.75" customHeight="1">
      <c r="A767" s="25">
        <f>IFERROR(__xludf.DUMMYFUNCTION("""COMPUTED_VALUE"""),44372.66666666667)</f>
        <v>44372.66667</v>
      </c>
      <c r="B767" s="22">
        <f>IFERROR(__xludf.DUMMYFUNCTION("""COMPUTED_VALUE"""),4280.7)</f>
        <v>4280.7</v>
      </c>
      <c r="C767" s="25">
        <f>IFERROR(__xludf.DUMMYFUNCTION("""COMPUTED_VALUE"""),44372.63611111111)</f>
        <v>44372.63611</v>
      </c>
      <c r="D767" s="22">
        <f>IFERROR(__xludf.DUMMYFUNCTION("""COMPUTED_VALUE"""),15.62)</f>
        <v>15.62</v>
      </c>
      <c r="E767" s="26">
        <f t="shared" si="2"/>
        <v>0.003330606658</v>
      </c>
      <c r="F767" s="25">
        <f>IFERROR(__xludf.DUMMYFUNCTION("""COMPUTED_VALUE"""),44372.63611111111)</f>
        <v>44372.63611</v>
      </c>
      <c r="G767" s="22">
        <f>IFERROR(__xludf.DUMMYFUNCTION("""COMPUTED_VALUE"""),19.0)</f>
        <v>19</v>
      </c>
      <c r="H767" s="25">
        <f>IFERROR(__xludf.DUMMYFUNCTION("""COMPUTED_VALUE"""),44372.63611111111)</f>
        <v>44372.63611</v>
      </c>
      <c r="I767" s="22">
        <f>IFERROR(__xludf.DUMMYFUNCTION("""COMPUTED_VALUE"""),21.83)</f>
        <v>21.83</v>
      </c>
      <c r="J767" s="25">
        <f>IFERROR(__xludf.DUMMYFUNCTION("""COMPUTED_VALUE"""),44372.63611111111)</f>
        <v>44372.63611</v>
      </c>
      <c r="K767" s="22">
        <f>IFERROR(__xludf.DUMMYFUNCTION("""COMPUTED_VALUE"""),23.18)</f>
        <v>23.18</v>
      </c>
      <c r="M767" s="22" t="str">
        <f t="shared" si="3"/>
        <v/>
      </c>
      <c r="N767" s="22" t="str">
        <f t="shared" si="4"/>
        <v/>
      </c>
    </row>
    <row r="768" ht="15.75" customHeight="1">
      <c r="A768" s="25">
        <f>IFERROR(__xludf.DUMMYFUNCTION("""COMPUTED_VALUE"""),44375.66666666667)</f>
        <v>44375.66667</v>
      </c>
      <c r="B768" s="22">
        <f>IFERROR(__xludf.DUMMYFUNCTION("""COMPUTED_VALUE"""),4290.61)</f>
        <v>4290.61</v>
      </c>
      <c r="C768" s="25">
        <f>IFERROR(__xludf.DUMMYFUNCTION("""COMPUTED_VALUE"""),44375.63611111111)</f>
        <v>44375.63611</v>
      </c>
      <c r="D768" s="22">
        <f>IFERROR(__xludf.DUMMYFUNCTION("""COMPUTED_VALUE"""),15.76)</f>
        <v>15.76</v>
      </c>
      <c r="E768" s="26">
        <f t="shared" si="2"/>
        <v>0.002315041932</v>
      </c>
      <c r="F768" s="25">
        <f>IFERROR(__xludf.DUMMYFUNCTION("""COMPUTED_VALUE"""),44375.63611111111)</f>
        <v>44375.63611</v>
      </c>
      <c r="G768" s="22">
        <f>IFERROR(__xludf.DUMMYFUNCTION("""COMPUTED_VALUE"""),19.02)</f>
        <v>19.02</v>
      </c>
      <c r="H768" s="25">
        <f>IFERROR(__xludf.DUMMYFUNCTION("""COMPUTED_VALUE"""),44375.63611111111)</f>
        <v>44375.63611</v>
      </c>
      <c r="I768" s="22">
        <f>IFERROR(__xludf.DUMMYFUNCTION("""COMPUTED_VALUE"""),21.84)</f>
        <v>21.84</v>
      </c>
      <c r="J768" s="25">
        <f>IFERROR(__xludf.DUMMYFUNCTION("""COMPUTED_VALUE"""),44375.63611111111)</f>
        <v>44375.63611</v>
      </c>
      <c r="K768" s="22">
        <f>IFERROR(__xludf.DUMMYFUNCTION("""COMPUTED_VALUE"""),23.2)</f>
        <v>23.2</v>
      </c>
      <c r="M768" s="22" t="str">
        <f t="shared" si="3"/>
        <v/>
      </c>
      <c r="N768" s="22" t="str">
        <f t="shared" si="4"/>
        <v/>
      </c>
    </row>
    <row r="769" ht="15.75" customHeight="1">
      <c r="A769" s="25">
        <f>IFERROR(__xludf.DUMMYFUNCTION("""COMPUTED_VALUE"""),44376.66666666667)</f>
        <v>44376.66667</v>
      </c>
      <c r="B769" s="22">
        <f>IFERROR(__xludf.DUMMYFUNCTION("""COMPUTED_VALUE"""),4291.8)</f>
        <v>4291.8</v>
      </c>
      <c r="C769" s="25">
        <f>IFERROR(__xludf.DUMMYFUNCTION("""COMPUTED_VALUE"""),44376.63611111111)</f>
        <v>44376.63611</v>
      </c>
      <c r="D769" s="22">
        <f>IFERROR(__xludf.DUMMYFUNCTION("""COMPUTED_VALUE"""),16.02)</f>
        <v>16.02</v>
      </c>
      <c r="E769" s="26">
        <f t="shared" si="2"/>
        <v>0.0002773498407</v>
      </c>
      <c r="F769" s="25">
        <f>IFERROR(__xludf.DUMMYFUNCTION("""COMPUTED_VALUE"""),44376.63611111111)</f>
        <v>44376.63611</v>
      </c>
      <c r="G769" s="22">
        <f>IFERROR(__xludf.DUMMYFUNCTION("""COMPUTED_VALUE"""),19.49)</f>
        <v>19.49</v>
      </c>
      <c r="H769" s="25">
        <f>IFERROR(__xludf.DUMMYFUNCTION("""COMPUTED_VALUE"""),44376.63611111111)</f>
        <v>44376.63611</v>
      </c>
      <c r="I769" s="22">
        <f>IFERROR(__xludf.DUMMYFUNCTION("""COMPUTED_VALUE"""),22.14)</f>
        <v>22.14</v>
      </c>
      <c r="J769" s="25">
        <f>IFERROR(__xludf.DUMMYFUNCTION("""COMPUTED_VALUE"""),44376.63611111111)</f>
        <v>44376.63611</v>
      </c>
      <c r="K769" s="22">
        <f>IFERROR(__xludf.DUMMYFUNCTION("""COMPUTED_VALUE"""),23.49)</f>
        <v>23.49</v>
      </c>
      <c r="M769" s="22" t="str">
        <f t="shared" si="3"/>
        <v/>
      </c>
      <c r="N769" s="22" t="str">
        <f t="shared" si="4"/>
        <v/>
      </c>
    </row>
    <row r="770" ht="15.75" customHeight="1">
      <c r="A770" s="25">
        <f>IFERROR(__xludf.DUMMYFUNCTION("""COMPUTED_VALUE"""),44377.66666666667)</f>
        <v>44377.66667</v>
      </c>
      <c r="B770" s="22">
        <f>IFERROR(__xludf.DUMMYFUNCTION("""COMPUTED_VALUE"""),4297.5)</f>
        <v>4297.5</v>
      </c>
      <c r="C770" s="25">
        <f>IFERROR(__xludf.DUMMYFUNCTION("""COMPUTED_VALUE"""),44377.63611111111)</f>
        <v>44377.63611</v>
      </c>
      <c r="D770" s="22">
        <f>IFERROR(__xludf.DUMMYFUNCTION("""COMPUTED_VALUE"""),15.83)</f>
        <v>15.83</v>
      </c>
      <c r="E770" s="26">
        <f t="shared" si="2"/>
        <v>0.001328114078</v>
      </c>
      <c r="F770" s="25">
        <f>IFERROR(__xludf.DUMMYFUNCTION("""COMPUTED_VALUE"""),44377.63611111111)</f>
        <v>44377.63611</v>
      </c>
      <c r="G770" s="22">
        <f>IFERROR(__xludf.DUMMYFUNCTION("""COMPUTED_VALUE"""),19.51)</f>
        <v>19.51</v>
      </c>
      <c r="H770" s="25">
        <f>IFERROR(__xludf.DUMMYFUNCTION("""COMPUTED_VALUE"""),44377.63611111111)</f>
        <v>44377.63611</v>
      </c>
      <c r="I770" s="22">
        <f>IFERROR(__xludf.DUMMYFUNCTION("""COMPUTED_VALUE"""),22.29)</f>
        <v>22.29</v>
      </c>
      <c r="J770" s="25">
        <f>IFERROR(__xludf.DUMMYFUNCTION("""COMPUTED_VALUE"""),44377.63611111111)</f>
        <v>44377.63611</v>
      </c>
      <c r="K770" s="22">
        <f>IFERROR(__xludf.DUMMYFUNCTION("""COMPUTED_VALUE"""),23.49)</f>
        <v>23.49</v>
      </c>
      <c r="M770" s="22" t="str">
        <f t="shared" si="3"/>
        <v/>
      </c>
      <c r="N770" s="22" t="str">
        <f t="shared" si="4"/>
        <v/>
      </c>
    </row>
    <row r="771" ht="15.75" customHeight="1">
      <c r="A771" s="25">
        <f>IFERROR(__xludf.DUMMYFUNCTION("""COMPUTED_VALUE"""),44378.66666666667)</f>
        <v>44378.66667</v>
      </c>
      <c r="B771" s="22">
        <f>IFERROR(__xludf.DUMMYFUNCTION("""COMPUTED_VALUE"""),4319.94)</f>
        <v>4319.94</v>
      </c>
      <c r="C771" s="25">
        <f>IFERROR(__xludf.DUMMYFUNCTION("""COMPUTED_VALUE"""),44378.63611111111)</f>
        <v>44378.63611</v>
      </c>
      <c r="D771" s="22">
        <f>IFERROR(__xludf.DUMMYFUNCTION("""COMPUTED_VALUE"""),15.48)</f>
        <v>15.48</v>
      </c>
      <c r="E771" s="26">
        <f t="shared" si="2"/>
        <v>0.005221640489</v>
      </c>
      <c r="F771" s="25">
        <f>IFERROR(__xludf.DUMMYFUNCTION("""COMPUTED_VALUE"""),44378.63611111111)</f>
        <v>44378.63611</v>
      </c>
      <c r="G771" s="22">
        <f>IFERROR(__xludf.DUMMYFUNCTION("""COMPUTED_VALUE"""),19.45)</f>
        <v>19.45</v>
      </c>
      <c r="H771" s="25">
        <f>IFERROR(__xludf.DUMMYFUNCTION("""COMPUTED_VALUE"""),44378.63611111111)</f>
        <v>44378.63611</v>
      </c>
      <c r="I771" s="22">
        <f>IFERROR(__xludf.DUMMYFUNCTION("""COMPUTED_VALUE"""),22.24)</f>
        <v>22.24</v>
      </c>
      <c r="J771" s="25">
        <f>IFERROR(__xludf.DUMMYFUNCTION("""COMPUTED_VALUE"""),44378.63611111111)</f>
        <v>44378.63611</v>
      </c>
      <c r="K771" s="22">
        <f>IFERROR(__xludf.DUMMYFUNCTION("""COMPUTED_VALUE"""),23.54)</f>
        <v>23.54</v>
      </c>
      <c r="M771" s="22" t="str">
        <f t="shared" si="3"/>
        <v/>
      </c>
      <c r="N771" s="22" t="str">
        <f t="shared" si="4"/>
        <v/>
      </c>
    </row>
    <row r="772" ht="15.75" customHeight="1">
      <c r="A772" s="25">
        <f>IFERROR(__xludf.DUMMYFUNCTION("""COMPUTED_VALUE"""),44379.66666666667)</f>
        <v>44379.66667</v>
      </c>
      <c r="B772" s="22">
        <f>IFERROR(__xludf.DUMMYFUNCTION("""COMPUTED_VALUE"""),4352.34)</f>
        <v>4352.34</v>
      </c>
      <c r="C772" s="25">
        <f>IFERROR(__xludf.DUMMYFUNCTION("""COMPUTED_VALUE"""),44379.63611111111)</f>
        <v>44379.63611</v>
      </c>
      <c r="D772" s="22">
        <f>IFERROR(__xludf.DUMMYFUNCTION("""COMPUTED_VALUE"""),15.07)</f>
        <v>15.07</v>
      </c>
      <c r="E772" s="26">
        <f t="shared" si="2"/>
        <v>0.007500104168</v>
      </c>
      <c r="F772" s="25">
        <f>IFERROR(__xludf.DUMMYFUNCTION("""COMPUTED_VALUE"""),44379.63611111111)</f>
        <v>44379.63611</v>
      </c>
      <c r="G772" s="22">
        <f>IFERROR(__xludf.DUMMYFUNCTION("""COMPUTED_VALUE"""),19.3)</f>
        <v>19.3</v>
      </c>
      <c r="H772" s="25">
        <f>IFERROR(__xludf.DUMMYFUNCTION("""COMPUTED_VALUE"""),44379.63611111111)</f>
        <v>44379.63611</v>
      </c>
      <c r="I772" s="22">
        <f>IFERROR(__xludf.DUMMYFUNCTION("""COMPUTED_VALUE"""),21.94)</f>
        <v>21.94</v>
      </c>
      <c r="J772" s="25">
        <f>IFERROR(__xludf.DUMMYFUNCTION("""COMPUTED_VALUE"""),44379.63611111111)</f>
        <v>44379.63611</v>
      </c>
      <c r="K772" s="22">
        <f>IFERROR(__xludf.DUMMYFUNCTION("""COMPUTED_VALUE"""),23.35)</f>
        <v>23.35</v>
      </c>
      <c r="M772" s="22" t="str">
        <f t="shared" si="3"/>
        <v/>
      </c>
      <c r="N772" s="22" t="str">
        <f t="shared" si="4"/>
        <v/>
      </c>
    </row>
    <row r="773" ht="15.75" customHeight="1">
      <c r="A773" s="25">
        <f>IFERROR(__xludf.DUMMYFUNCTION("""COMPUTED_VALUE"""),44383.66666666667)</f>
        <v>44383.66667</v>
      </c>
      <c r="B773" s="22">
        <f>IFERROR(__xludf.DUMMYFUNCTION("""COMPUTED_VALUE"""),4343.54)</f>
        <v>4343.54</v>
      </c>
      <c r="C773" s="25">
        <f>IFERROR(__xludf.DUMMYFUNCTION("""COMPUTED_VALUE"""),44383.63611111111)</f>
        <v>44383.63611</v>
      </c>
      <c r="D773" s="22">
        <f>IFERROR(__xludf.DUMMYFUNCTION("""COMPUTED_VALUE"""),16.44)</f>
        <v>16.44</v>
      </c>
      <c r="E773" s="26">
        <f t="shared" si="2"/>
        <v>-0.002021900863</v>
      </c>
      <c r="F773" s="25">
        <f>IFERROR(__xludf.DUMMYFUNCTION("""COMPUTED_VALUE"""),44383.63611111111)</f>
        <v>44383.63611</v>
      </c>
      <c r="G773" s="22">
        <f>IFERROR(__xludf.DUMMYFUNCTION("""COMPUTED_VALUE"""),20.26)</f>
        <v>20.26</v>
      </c>
      <c r="H773" s="25">
        <f>IFERROR(__xludf.DUMMYFUNCTION("""COMPUTED_VALUE"""),44383.63611111111)</f>
        <v>44383.63611</v>
      </c>
      <c r="I773" s="22">
        <f>IFERROR(__xludf.DUMMYFUNCTION("""COMPUTED_VALUE"""),22.51)</f>
        <v>22.51</v>
      </c>
      <c r="J773" s="25">
        <f>IFERROR(__xludf.DUMMYFUNCTION("""COMPUTED_VALUE"""),44383.63611111111)</f>
        <v>44383.63611</v>
      </c>
      <c r="K773" s="22">
        <f>IFERROR(__xludf.DUMMYFUNCTION("""COMPUTED_VALUE"""),23.73)</f>
        <v>23.73</v>
      </c>
      <c r="M773" s="22" t="str">
        <f t="shared" si="3"/>
        <v/>
      </c>
      <c r="N773" s="22" t="str">
        <f t="shared" si="4"/>
        <v/>
      </c>
    </row>
    <row r="774" ht="15.75" customHeight="1">
      <c r="A774" s="25">
        <f>IFERROR(__xludf.DUMMYFUNCTION("""COMPUTED_VALUE"""),44384.66666666667)</f>
        <v>44384.66667</v>
      </c>
      <c r="B774" s="22">
        <f>IFERROR(__xludf.DUMMYFUNCTION("""COMPUTED_VALUE"""),4358.13)</f>
        <v>4358.13</v>
      </c>
      <c r="C774" s="25">
        <f>IFERROR(__xludf.DUMMYFUNCTION("""COMPUTED_VALUE"""),44384.63611111111)</f>
        <v>44384.63611</v>
      </c>
      <c r="D774" s="22">
        <f>IFERROR(__xludf.DUMMYFUNCTION("""COMPUTED_VALUE"""),16.2)</f>
        <v>16.2</v>
      </c>
      <c r="E774" s="26">
        <f t="shared" si="2"/>
        <v>0.003359011313</v>
      </c>
      <c r="F774" s="25">
        <f>IFERROR(__xludf.DUMMYFUNCTION("""COMPUTED_VALUE"""),44384.63611111111)</f>
        <v>44384.63611</v>
      </c>
      <c r="G774" s="22">
        <f>IFERROR(__xludf.DUMMYFUNCTION("""COMPUTED_VALUE"""),20.41)</f>
        <v>20.41</v>
      </c>
      <c r="H774" s="25">
        <f>IFERROR(__xludf.DUMMYFUNCTION("""COMPUTED_VALUE"""),44384.63611111111)</f>
        <v>44384.63611</v>
      </c>
      <c r="I774" s="22">
        <f>IFERROR(__xludf.DUMMYFUNCTION("""COMPUTED_VALUE"""),22.65)</f>
        <v>22.65</v>
      </c>
      <c r="J774" s="25">
        <f>IFERROR(__xludf.DUMMYFUNCTION("""COMPUTED_VALUE"""),44384.63611111111)</f>
        <v>44384.63611</v>
      </c>
      <c r="K774" s="22">
        <f>IFERROR(__xludf.DUMMYFUNCTION("""COMPUTED_VALUE"""),23.81)</f>
        <v>23.81</v>
      </c>
      <c r="M774" s="22" t="str">
        <f t="shared" si="3"/>
        <v/>
      </c>
      <c r="N774" s="22" t="str">
        <f t="shared" si="4"/>
        <v/>
      </c>
    </row>
    <row r="775" ht="15.75" customHeight="1">
      <c r="A775" s="25">
        <f>IFERROR(__xludf.DUMMYFUNCTION("""COMPUTED_VALUE"""),44385.66666666667)</f>
        <v>44385.66667</v>
      </c>
      <c r="B775" s="22">
        <f>IFERROR(__xludf.DUMMYFUNCTION("""COMPUTED_VALUE"""),4320.82)</f>
        <v>4320.82</v>
      </c>
      <c r="C775" s="25">
        <f>IFERROR(__xludf.DUMMYFUNCTION("""COMPUTED_VALUE"""),44385.63611111111)</f>
        <v>44385.63611</v>
      </c>
      <c r="D775" s="22">
        <f>IFERROR(__xludf.DUMMYFUNCTION("""COMPUTED_VALUE"""),19.0)</f>
        <v>19</v>
      </c>
      <c r="E775" s="26">
        <f t="shared" si="2"/>
        <v>-0.008561011259</v>
      </c>
      <c r="F775" s="25">
        <f>IFERROR(__xludf.DUMMYFUNCTION("""COMPUTED_VALUE"""),44385.63611111111)</f>
        <v>44385.63611</v>
      </c>
      <c r="G775" s="22">
        <f>IFERROR(__xludf.DUMMYFUNCTION("""COMPUTED_VALUE"""),21.98)</f>
        <v>21.98</v>
      </c>
      <c r="H775" s="25">
        <f>IFERROR(__xludf.DUMMYFUNCTION("""COMPUTED_VALUE"""),44385.63611111111)</f>
        <v>44385.63611</v>
      </c>
      <c r="I775" s="22">
        <f>IFERROR(__xludf.DUMMYFUNCTION("""COMPUTED_VALUE"""),23.56)</f>
        <v>23.56</v>
      </c>
      <c r="J775" s="25">
        <f>IFERROR(__xludf.DUMMYFUNCTION("""COMPUTED_VALUE"""),44385.63611111111)</f>
        <v>44385.63611</v>
      </c>
      <c r="K775" s="22">
        <f>IFERROR(__xludf.DUMMYFUNCTION("""COMPUTED_VALUE"""),24.29)</f>
        <v>24.29</v>
      </c>
      <c r="M775" s="22" t="str">
        <f t="shared" si="3"/>
        <v/>
      </c>
      <c r="N775" s="22" t="str">
        <f t="shared" si="4"/>
        <v/>
      </c>
    </row>
    <row r="776" ht="15.75" customHeight="1">
      <c r="A776" s="25">
        <f>IFERROR(__xludf.DUMMYFUNCTION("""COMPUTED_VALUE"""),44386.66666666667)</f>
        <v>44386.66667</v>
      </c>
      <c r="B776" s="22">
        <f>IFERROR(__xludf.DUMMYFUNCTION("""COMPUTED_VALUE"""),4369.55)</f>
        <v>4369.55</v>
      </c>
      <c r="C776" s="25">
        <f>IFERROR(__xludf.DUMMYFUNCTION("""COMPUTED_VALUE"""),44386.63611111111)</f>
        <v>44386.63611</v>
      </c>
      <c r="D776" s="22">
        <f>IFERROR(__xludf.DUMMYFUNCTION("""COMPUTED_VALUE"""),16.18)</f>
        <v>16.18</v>
      </c>
      <c r="E776" s="26">
        <f t="shared" si="2"/>
        <v>0.01127795187</v>
      </c>
      <c r="F776" s="25">
        <f>IFERROR(__xludf.DUMMYFUNCTION("""COMPUTED_VALUE"""),44386.63611111111)</f>
        <v>44386.63611</v>
      </c>
      <c r="G776" s="22">
        <f>IFERROR(__xludf.DUMMYFUNCTION("""COMPUTED_VALUE"""),20.44)</f>
        <v>20.44</v>
      </c>
      <c r="H776" s="25">
        <f>IFERROR(__xludf.DUMMYFUNCTION("""COMPUTED_VALUE"""),44386.63611111111)</f>
        <v>44386.63611</v>
      </c>
      <c r="I776" s="22">
        <f>IFERROR(__xludf.DUMMYFUNCTION("""COMPUTED_VALUE"""),22.64)</f>
        <v>22.64</v>
      </c>
      <c r="J776" s="25">
        <f>IFERROR(__xludf.DUMMYFUNCTION("""COMPUTED_VALUE"""),44386.63611111111)</f>
        <v>44386.63611</v>
      </c>
      <c r="K776" s="22">
        <f>IFERROR(__xludf.DUMMYFUNCTION("""COMPUTED_VALUE"""),23.99)</f>
        <v>23.99</v>
      </c>
      <c r="M776" s="22" t="str">
        <f t="shared" si="3"/>
        <v/>
      </c>
      <c r="N776" s="22" t="str">
        <f t="shared" si="4"/>
        <v/>
      </c>
    </row>
    <row r="777" ht="15.75" customHeight="1">
      <c r="A777" s="25">
        <f>IFERROR(__xludf.DUMMYFUNCTION("""COMPUTED_VALUE"""),44389.66666666667)</f>
        <v>44389.66667</v>
      </c>
      <c r="B777" s="22">
        <f>IFERROR(__xludf.DUMMYFUNCTION("""COMPUTED_VALUE"""),4384.63)</f>
        <v>4384.63</v>
      </c>
      <c r="C777" s="25">
        <f>IFERROR(__xludf.DUMMYFUNCTION("""COMPUTED_VALUE"""),44389.63611111111)</f>
        <v>44389.63611</v>
      </c>
      <c r="D777" s="22">
        <f>IFERROR(__xludf.DUMMYFUNCTION("""COMPUTED_VALUE"""),16.17)</f>
        <v>16.17</v>
      </c>
      <c r="E777" s="26">
        <f t="shared" si="2"/>
        <v>0.003451156298</v>
      </c>
      <c r="F777" s="25">
        <f>IFERROR(__xludf.DUMMYFUNCTION("""COMPUTED_VALUE"""),44389.63611111111)</f>
        <v>44389.63611</v>
      </c>
      <c r="G777" s="22">
        <f>IFERROR(__xludf.DUMMYFUNCTION("""COMPUTED_VALUE"""),20.46)</f>
        <v>20.46</v>
      </c>
      <c r="H777" s="25">
        <f>IFERROR(__xludf.DUMMYFUNCTION("""COMPUTED_VALUE"""),44389.63611111111)</f>
        <v>44389.63611</v>
      </c>
      <c r="I777" s="22">
        <f>IFERROR(__xludf.DUMMYFUNCTION("""COMPUTED_VALUE"""),22.71)</f>
        <v>22.71</v>
      </c>
      <c r="J777" s="25">
        <f>IFERROR(__xludf.DUMMYFUNCTION("""COMPUTED_VALUE"""),44389.63611111111)</f>
        <v>44389.63611</v>
      </c>
      <c r="K777" s="22">
        <f>IFERROR(__xludf.DUMMYFUNCTION("""COMPUTED_VALUE"""),24.02)</f>
        <v>24.02</v>
      </c>
      <c r="M777" s="22" t="str">
        <f t="shared" si="3"/>
        <v/>
      </c>
      <c r="N777" s="22" t="str">
        <f t="shared" si="4"/>
        <v/>
      </c>
    </row>
    <row r="778" ht="15.75" customHeight="1">
      <c r="A778" s="25">
        <f>IFERROR(__xludf.DUMMYFUNCTION("""COMPUTED_VALUE"""),44390.66666666667)</f>
        <v>44390.66667</v>
      </c>
      <c r="B778" s="22">
        <f>IFERROR(__xludf.DUMMYFUNCTION("""COMPUTED_VALUE"""),4369.21)</f>
        <v>4369.21</v>
      </c>
      <c r="C778" s="25">
        <f>IFERROR(__xludf.DUMMYFUNCTION("""COMPUTED_VALUE"""),44390.63611111111)</f>
        <v>44390.63611</v>
      </c>
      <c r="D778" s="22">
        <f>IFERROR(__xludf.DUMMYFUNCTION("""COMPUTED_VALUE"""),17.12)</f>
        <v>17.12</v>
      </c>
      <c r="E778" s="26">
        <f t="shared" si="2"/>
        <v>-0.003516830382</v>
      </c>
      <c r="F778" s="25">
        <f>IFERROR(__xludf.DUMMYFUNCTION("""COMPUTED_VALUE"""),44390.63611111111)</f>
        <v>44390.63611</v>
      </c>
      <c r="G778" s="22">
        <f>IFERROR(__xludf.DUMMYFUNCTION("""COMPUTED_VALUE"""),21.13)</f>
        <v>21.13</v>
      </c>
      <c r="H778" s="25">
        <f>IFERROR(__xludf.DUMMYFUNCTION("""COMPUTED_VALUE"""),44390.63611111111)</f>
        <v>44390.63611</v>
      </c>
      <c r="I778" s="22">
        <f>IFERROR(__xludf.DUMMYFUNCTION("""COMPUTED_VALUE"""),23.3)</f>
        <v>23.3</v>
      </c>
      <c r="J778" s="25">
        <f>IFERROR(__xludf.DUMMYFUNCTION("""COMPUTED_VALUE"""),44390.63611111111)</f>
        <v>44390.63611</v>
      </c>
      <c r="K778" s="22">
        <f>IFERROR(__xludf.DUMMYFUNCTION("""COMPUTED_VALUE"""),24.37)</f>
        <v>24.37</v>
      </c>
      <c r="M778" s="22" t="str">
        <f t="shared" si="3"/>
        <v/>
      </c>
      <c r="N778" s="22" t="str">
        <f t="shared" si="4"/>
        <v/>
      </c>
    </row>
    <row r="779" ht="15.75" customHeight="1">
      <c r="A779" s="25">
        <f>IFERROR(__xludf.DUMMYFUNCTION("""COMPUTED_VALUE"""),44391.66666666667)</f>
        <v>44391.66667</v>
      </c>
      <c r="B779" s="22">
        <f>IFERROR(__xludf.DUMMYFUNCTION("""COMPUTED_VALUE"""),4374.3)</f>
        <v>4374.3</v>
      </c>
      <c r="C779" s="25">
        <f>IFERROR(__xludf.DUMMYFUNCTION("""COMPUTED_VALUE"""),44391.63611111111)</f>
        <v>44391.63611</v>
      </c>
      <c r="D779" s="22">
        <f>IFERROR(__xludf.DUMMYFUNCTION("""COMPUTED_VALUE"""),16.33)</f>
        <v>16.33</v>
      </c>
      <c r="E779" s="26">
        <f t="shared" si="2"/>
        <v>0.001164970326</v>
      </c>
      <c r="F779" s="25">
        <f>IFERROR(__xludf.DUMMYFUNCTION("""COMPUTED_VALUE"""),44391.63611111111)</f>
        <v>44391.63611</v>
      </c>
      <c r="G779" s="22">
        <f>IFERROR(__xludf.DUMMYFUNCTION("""COMPUTED_VALUE"""),20.62)</f>
        <v>20.62</v>
      </c>
      <c r="H779" s="25">
        <f>IFERROR(__xludf.DUMMYFUNCTION("""COMPUTED_VALUE"""),44391.63611111111)</f>
        <v>44391.63611</v>
      </c>
      <c r="I779" s="22">
        <f>IFERROR(__xludf.DUMMYFUNCTION("""COMPUTED_VALUE"""),23.07)</f>
        <v>23.07</v>
      </c>
      <c r="J779" s="25">
        <f>IFERROR(__xludf.DUMMYFUNCTION("""COMPUTED_VALUE"""),44391.63611111111)</f>
        <v>44391.63611</v>
      </c>
      <c r="K779" s="22">
        <f>IFERROR(__xludf.DUMMYFUNCTION("""COMPUTED_VALUE"""),24.49)</f>
        <v>24.49</v>
      </c>
      <c r="M779" s="22" t="str">
        <f t="shared" si="3"/>
        <v/>
      </c>
      <c r="N779" s="22" t="str">
        <f t="shared" si="4"/>
        <v/>
      </c>
    </row>
    <row r="780" ht="15.75" customHeight="1">
      <c r="A780" s="25">
        <f>IFERROR(__xludf.DUMMYFUNCTION("""COMPUTED_VALUE"""),44392.66666666667)</f>
        <v>44392.66667</v>
      </c>
      <c r="B780" s="22">
        <f>IFERROR(__xludf.DUMMYFUNCTION("""COMPUTED_VALUE"""),4360.03)</f>
        <v>4360.03</v>
      </c>
      <c r="C780" s="25">
        <f>IFERROR(__xludf.DUMMYFUNCTION("""COMPUTED_VALUE"""),44392.63611111111)</f>
        <v>44392.63611</v>
      </c>
      <c r="D780" s="22">
        <f>IFERROR(__xludf.DUMMYFUNCTION("""COMPUTED_VALUE"""),17.01)</f>
        <v>17.01</v>
      </c>
      <c r="E780" s="26">
        <f t="shared" si="2"/>
        <v>-0.003262236244</v>
      </c>
      <c r="F780" s="25">
        <f>IFERROR(__xludf.DUMMYFUNCTION("""COMPUTED_VALUE"""),44392.63611111111)</f>
        <v>44392.63611</v>
      </c>
      <c r="G780" s="22">
        <f>IFERROR(__xludf.DUMMYFUNCTION("""COMPUTED_VALUE"""),21.09)</f>
        <v>21.09</v>
      </c>
      <c r="H780" s="25">
        <f>IFERROR(__xludf.DUMMYFUNCTION("""COMPUTED_VALUE"""),44392.63611111111)</f>
        <v>44392.63611</v>
      </c>
      <c r="I780" s="22">
        <f>IFERROR(__xludf.DUMMYFUNCTION("""COMPUTED_VALUE"""),23.28)</f>
        <v>23.28</v>
      </c>
      <c r="J780" s="25">
        <f>IFERROR(__xludf.DUMMYFUNCTION("""COMPUTED_VALUE"""),44392.63611111111)</f>
        <v>44392.63611</v>
      </c>
      <c r="K780" s="22">
        <f>IFERROR(__xludf.DUMMYFUNCTION("""COMPUTED_VALUE"""),24.56)</f>
        <v>24.56</v>
      </c>
      <c r="M780" s="22" t="str">
        <f t="shared" si="3"/>
        <v/>
      </c>
      <c r="N780" s="22" t="str">
        <f t="shared" si="4"/>
        <v/>
      </c>
    </row>
    <row r="781" ht="15.75" customHeight="1">
      <c r="A781" s="25">
        <f>IFERROR(__xludf.DUMMYFUNCTION("""COMPUTED_VALUE"""),44393.66666666667)</f>
        <v>44393.66667</v>
      </c>
      <c r="B781" s="22">
        <f>IFERROR(__xludf.DUMMYFUNCTION("""COMPUTED_VALUE"""),4327.16)</f>
        <v>4327.16</v>
      </c>
      <c r="C781" s="25">
        <f>IFERROR(__xludf.DUMMYFUNCTION("""COMPUTED_VALUE"""),44393.63611111111)</f>
        <v>44393.63611</v>
      </c>
      <c r="D781" s="22">
        <f>IFERROR(__xludf.DUMMYFUNCTION("""COMPUTED_VALUE"""),18.45)</f>
        <v>18.45</v>
      </c>
      <c r="E781" s="26">
        <f t="shared" si="2"/>
        <v>-0.007538938952</v>
      </c>
      <c r="F781" s="25">
        <f>IFERROR(__xludf.DUMMYFUNCTION("""COMPUTED_VALUE"""),44393.63611111111)</f>
        <v>44393.63611</v>
      </c>
      <c r="G781" s="22">
        <f>IFERROR(__xludf.DUMMYFUNCTION("""COMPUTED_VALUE"""),22.07)</f>
        <v>22.07</v>
      </c>
      <c r="H781" s="25">
        <f>IFERROR(__xludf.DUMMYFUNCTION("""COMPUTED_VALUE"""),44393.63611111111)</f>
        <v>44393.63611</v>
      </c>
      <c r="I781" s="22">
        <f>IFERROR(__xludf.DUMMYFUNCTION("""COMPUTED_VALUE"""),23.94)</f>
        <v>23.94</v>
      </c>
      <c r="J781" s="25">
        <f>IFERROR(__xludf.DUMMYFUNCTION("""COMPUTED_VALUE"""),44393.63611111111)</f>
        <v>44393.63611</v>
      </c>
      <c r="K781" s="22">
        <f>IFERROR(__xludf.DUMMYFUNCTION("""COMPUTED_VALUE"""),25.04)</f>
        <v>25.04</v>
      </c>
      <c r="M781" s="22" t="str">
        <f t="shared" si="3"/>
        <v/>
      </c>
      <c r="N781" s="22" t="str">
        <f t="shared" si="4"/>
        <v/>
      </c>
    </row>
    <row r="782" ht="15.75" customHeight="1">
      <c r="A782" s="25">
        <f>IFERROR(__xludf.DUMMYFUNCTION("""COMPUTED_VALUE"""),44396.66666666667)</f>
        <v>44396.66667</v>
      </c>
      <c r="B782" s="22">
        <f>IFERROR(__xludf.DUMMYFUNCTION("""COMPUTED_VALUE"""),4258.49)</f>
        <v>4258.49</v>
      </c>
      <c r="C782" s="25">
        <f>IFERROR(__xludf.DUMMYFUNCTION("""COMPUTED_VALUE"""),44396.63611111111)</f>
        <v>44396.63611</v>
      </c>
      <c r="D782" s="22">
        <f>IFERROR(__xludf.DUMMYFUNCTION("""COMPUTED_VALUE"""),22.5)</f>
        <v>22.5</v>
      </c>
      <c r="E782" s="26">
        <f t="shared" si="2"/>
        <v>-0.01586953106</v>
      </c>
      <c r="F782" s="25">
        <f>IFERROR(__xludf.DUMMYFUNCTION("""COMPUTED_VALUE"""),44396.63611111111)</f>
        <v>44396.63611</v>
      </c>
      <c r="G782" s="22">
        <f>IFERROR(__xludf.DUMMYFUNCTION("""COMPUTED_VALUE"""),24.9)</f>
        <v>24.9</v>
      </c>
      <c r="H782" s="25">
        <f>IFERROR(__xludf.DUMMYFUNCTION("""COMPUTED_VALUE"""),44396.63611111111)</f>
        <v>44396.63611</v>
      </c>
      <c r="I782" s="22">
        <f>IFERROR(__xludf.DUMMYFUNCTION("""COMPUTED_VALUE"""),25.66)</f>
        <v>25.66</v>
      </c>
      <c r="J782" s="25">
        <f>IFERROR(__xludf.DUMMYFUNCTION("""COMPUTED_VALUE"""),44396.63611111111)</f>
        <v>44396.63611</v>
      </c>
      <c r="K782" s="22">
        <f>IFERROR(__xludf.DUMMYFUNCTION("""COMPUTED_VALUE"""),25.95)</f>
        <v>25.95</v>
      </c>
      <c r="M782" s="22" t="str">
        <f t="shared" si="3"/>
        <v/>
      </c>
      <c r="N782" s="22" t="str">
        <f t="shared" si="4"/>
        <v/>
      </c>
    </row>
    <row r="783" ht="15.75" customHeight="1">
      <c r="A783" s="25">
        <f>IFERROR(__xludf.DUMMYFUNCTION("""COMPUTED_VALUE"""),44397.66666666667)</f>
        <v>44397.66667</v>
      </c>
      <c r="B783" s="22">
        <f>IFERROR(__xludf.DUMMYFUNCTION("""COMPUTED_VALUE"""),4323.06)</f>
        <v>4323.06</v>
      </c>
      <c r="C783" s="25">
        <f>IFERROR(__xludf.DUMMYFUNCTION("""COMPUTED_VALUE"""),44397.63611111111)</f>
        <v>44397.63611</v>
      </c>
      <c r="D783" s="22">
        <f>IFERROR(__xludf.DUMMYFUNCTION("""COMPUTED_VALUE"""),19.73)</f>
        <v>19.73</v>
      </c>
      <c r="E783" s="26">
        <f t="shared" si="2"/>
        <v>0.01516265155</v>
      </c>
      <c r="F783" s="25">
        <f>IFERROR(__xludf.DUMMYFUNCTION("""COMPUTED_VALUE"""),44397.63611111111)</f>
        <v>44397.63611</v>
      </c>
      <c r="G783" s="22">
        <f>IFERROR(__xludf.DUMMYFUNCTION("""COMPUTED_VALUE"""),23.2)</f>
        <v>23.2</v>
      </c>
      <c r="H783" s="25">
        <f>IFERROR(__xludf.DUMMYFUNCTION("""COMPUTED_VALUE"""),44397.63611111111)</f>
        <v>44397.63611</v>
      </c>
      <c r="I783" s="22">
        <f>IFERROR(__xludf.DUMMYFUNCTION("""COMPUTED_VALUE"""),24.64)</f>
        <v>24.64</v>
      </c>
      <c r="J783" s="25">
        <f>IFERROR(__xludf.DUMMYFUNCTION("""COMPUTED_VALUE"""),44397.63611111111)</f>
        <v>44397.63611</v>
      </c>
      <c r="K783" s="22">
        <f>IFERROR(__xludf.DUMMYFUNCTION("""COMPUTED_VALUE"""),25.37)</f>
        <v>25.37</v>
      </c>
      <c r="M783" s="22" t="str">
        <f t="shared" si="3"/>
        <v/>
      </c>
      <c r="N783" s="22" t="str">
        <f t="shared" si="4"/>
        <v/>
      </c>
    </row>
    <row r="784" ht="15.75" customHeight="1">
      <c r="A784" s="25">
        <f>IFERROR(__xludf.DUMMYFUNCTION("""COMPUTED_VALUE"""),44398.66666666667)</f>
        <v>44398.66667</v>
      </c>
      <c r="B784" s="22">
        <f>IFERROR(__xludf.DUMMYFUNCTION("""COMPUTED_VALUE"""),4358.69)</f>
        <v>4358.69</v>
      </c>
      <c r="C784" s="25">
        <f>IFERROR(__xludf.DUMMYFUNCTION("""COMPUTED_VALUE"""),44398.63611111111)</f>
        <v>44398.63611</v>
      </c>
      <c r="D784" s="22">
        <f>IFERROR(__xludf.DUMMYFUNCTION("""COMPUTED_VALUE"""),17.91)</f>
        <v>17.91</v>
      </c>
      <c r="E784" s="26">
        <f t="shared" si="2"/>
        <v>0.00824184721</v>
      </c>
      <c r="F784" s="25">
        <f>IFERROR(__xludf.DUMMYFUNCTION("""COMPUTED_VALUE"""),44398.63611111111)</f>
        <v>44398.63611</v>
      </c>
      <c r="G784" s="22">
        <f>IFERROR(__xludf.DUMMYFUNCTION("""COMPUTED_VALUE"""),21.87)</f>
        <v>21.87</v>
      </c>
      <c r="H784" s="25">
        <f>IFERROR(__xludf.DUMMYFUNCTION("""COMPUTED_VALUE"""),44398.63611111111)</f>
        <v>44398.63611</v>
      </c>
      <c r="I784" s="22">
        <f>IFERROR(__xludf.DUMMYFUNCTION("""COMPUTED_VALUE"""),23.8)</f>
        <v>23.8</v>
      </c>
      <c r="J784" s="25">
        <f>IFERROR(__xludf.DUMMYFUNCTION("""COMPUTED_VALUE"""),44398.63611111111)</f>
        <v>44398.63611</v>
      </c>
      <c r="K784" s="22">
        <f>IFERROR(__xludf.DUMMYFUNCTION("""COMPUTED_VALUE"""),24.87)</f>
        <v>24.87</v>
      </c>
      <c r="M784" s="22" t="str">
        <f t="shared" si="3"/>
        <v/>
      </c>
      <c r="N784" s="22" t="str">
        <f t="shared" si="4"/>
        <v/>
      </c>
    </row>
    <row r="785" ht="15.75" customHeight="1">
      <c r="A785" s="25">
        <f>IFERROR(__xludf.DUMMYFUNCTION("""COMPUTED_VALUE"""),44399.66666666667)</f>
        <v>44399.66667</v>
      </c>
      <c r="B785" s="22">
        <f>IFERROR(__xludf.DUMMYFUNCTION("""COMPUTED_VALUE"""),4367.48)</f>
        <v>4367.48</v>
      </c>
      <c r="C785" s="25">
        <f>IFERROR(__xludf.DUMMYFUNCTION("""COMPUTED_VALUE"""),44399.63611111111)</f>
        <v>44399.63611</v>
      </c>
      <c r="D785" s="22">
        <f>IFERROR(__xludf.DUMMYFUNCTION("""COMPUTED_VALUE"""),17.69)</f>
        <v>17.69</v>
      </c>
      <c r="E785" s="26">
        <f t="shared" si="2"/>
        <v>0.002016660969</v>
      </c>
      <c r="F785" s="25">
        <f>IFERROR(__xludf.DUMMYFUNCTION("""COMPUTED_VALUE"""),44399.63611111111)</f>
        <v>44399.63611</v>
      </c>
      <c r="G785" s="22">
        <f>IFERROR(__xludf.DUMMYFUNCTION("""COMPUTED_VALUE"""),21.86)</f>
        <v>21.86</v>
      </c>
      <c r="H785" s="25">
        <f>IFERROR(__xludf.DUMMYFUNCTION("""COMPUTED_VALUE"""),44399.63611111111)</f>
        <v>44399.63611</v>
      </c>
      <c r="I785" s="22">
        <f>IFERROR(__xludf.DUMMYFUNCTION("""COMPUTED_VALUE"""),23.74)</f>
        <v>23.74</v>
      </c>
      <c r="J785" s="25">
        <f>IFERROR(__xludf.DUMMYFUNCTION("""COMPUTED_VALUE"""),44399.63611111111)</f>
        <v>44399.63611</v>
      </c>
      <c r="K785" s="22">
        <f>IFERROR(__xludf.DUMMYFUNCTION("""COMPUTED_VALUE"""),24.84)</f>
        <v>24.84</v>
      </c>
      <c r="M785" s="22" t="str">
        <f t="shared" si="3"/>
        <v/>
      </c>
      <c r="N785" s="22" t="str">
        <f t="shared" si="4"/>
        <v/>
      </c>
    </row>
    <row r="786" ht="15.75" customHeight="1">
      <c r="A786" s="25">
        <f>IFERROR(__xludf.DUMMYFUNCTION("""COMPUTED_VALUE"""),44400.66666666667)</f>
        <v>44400.66667</v>
      </c>
      <c r="B786" s="22">
        <f>IFERROR(__xludf.DUMMYFUNCTION("""COMPUTED_VALUE"""),4411.79)</f>
        <v>4411.79</v>
      </c>
      <c r="C786" s="25">
        <f>IFERROR(__xludf.DUMMYFUNCTION("""COMPUTED_VALUE"""),44400.63611111111)</f>
        <v>44400.63611</v>
      </c>
      <c r="D786" s="22">
        <f>IFERROR(__xludf.DUMMYFUNCTION("""COMPUTED_VALUE"""),17.2)</f>
        <v>17.2</v>
      </c>
      <c r="E786" s="26">
        <f t="shared" si="2"/>
        <v>0.01014543856</v>
      </c>
      <c r="F786" s="25">
        <f>IFERROR(__xludf.DUMMYFUNCTION("""COMPUTED_VALUE"""),44400.63611111111)</f>
        <v>44400.63611</v>
      </c>
      <c r="G786" s="22">
        <f>IFERROR(__xludf.DUMMYFUNCTION("""COMPUTED_VALUE"""),21.65)</f>
        <v>21.65</v>
      </c>
      <c r="H786" s="25">
        <f>IFERROR(__xludf.DUMMYFUNCTION("""COMPUTED_VALUE"""),44400.63611111111)</f>
        <v>44400.63611</v>
      </c>
      <c r="I786" s="22">
        <f>IFERROR(__xludf.DUMMYFUNCTION("""COMPUTED_VALUE"""),23.62)</f>
        <v>23.62</v>
      </c>
      <c r="J786" s="25">
        <f>IFERROR(__xludf.DUMMYFUNCTION("""COMPUTED_VALUE"""),44400.63611111111)</f>
        <v>44400.63611</v>
      </c>
      <c r="K786" s="22">
        <f>IFERROR(__xludf.DUMMYFUNCTION("""COMPUTED_VALUE"""),24.8)</f>
        <v>24.8</v>
      </c>
      <c r="M786" s="22" t="str">
        <f t="shared" si="3"/>
        <v/>
      </c>
      <c r="N786" s="22" t="str">
        <f t="shared" si="4"/>
        <v/>
      </c>
    </row>
    <row r="787" ht="15.75" customHeight="1">
      <c r="A787" s="25">
        <f>IFERROR(__xludf.DUMMYFUNCTION("""COMPUTED_VALUE"""),44403.66666666667)</f>
        <v>44403.66667</v>
      </c>
      <c r="B787" s="22">
        <f>IFERROR(__xludf.DUMMYFUNCTION("""COMPUTED_VALUE"""),4422.3)</f>
        <v>4422.3</v>
      </c>
      <c r="C787" s="25">
        <f>IFERROR(__xludf.DUMMYFUNCTION("""COMPUTED_VALUE"""),44403.63611111111)</f>
        <v>44403.63611</v>
      </c>
      <c r="D787" s="22">
        <f>IFERROR(__xludf.DUMMYFUNCTION("""COMPUTED_VALUE"""),17.58)</f>
        <v>17.58</v>
      </c>
      <c r="E787" s="26">
        <f t="shared" si="2"/>
        <v>0.002382253008</v>
      </c>
      <c r="F787" s="25">
        <f>IFERROR(__xludf.DUMMYFUNCTION("""COMPUTED_VALUE"""),44403.63611111111)</f>
        <v>44403.63611</v>
      </c>
      <c r="G787" s="22">
        <f>IFERROR(__xludf.DUMMYFUNCTION("""COMPUTED_VALUE"""),21.74)</f>
        <v>21.74</v>
      </c>
      <c r="H787" s="25">
        <f>IFERROR(__xludf.DUMMYFUNCTION("""COMPUTED_VALUE"""),44403.63611111111)</f>
        <v>44403.63611</v>
      </c>
      <c r="I787" s="22">
        <f>IFERROR(__xludf.DUMMYFUNCTION("""COMPUTED_VALUE"""),23.68)</f>
        <v>23.68</v>
      </c>
      <c r="J787" s="25">
        <f>IFERROR(__xludf.DUMMYFUNCTION("""COMPUTED_VALUE"""),44403.63611111111)</f>
        <v>44403.63611</v>
      </c>
      <c r="K787" s="22">
        <f>IFERROR(__xludf.DUMMYFUNCTION("""COMPUTED_VALUE"""),24.99)</f>
        <v>24.99</v>
      </c>
      <c r="M787" s="22" t="str">
        <f t="shared" si="3"/>
        <v/>
      </c>
      <c r="N787" s="22" t="str">
        <f t="shared" si="4"/>
        <v/>
      </c>
    </row>
    <row r="788" ht="15.75" customHeight="1">
      <c r="A788" s="25">
        <f>IFERROR(__xludf.DUMMYFUNCTION("""COMPUTED_VALUE"""),44404.66666666667)</f>
        <v>44404.66667</v>
      </c>
      <c r="B788" s="22">
        <f>IFERROR(__xludf.DUMMYFUNCTION("""COMPUTED_VALUE"""),4401.46)</f>
        <v>4401.46</v>
      </c>
      <c r="C788" s="25">
        <f>IFERROR(__xludf.DUMMYFUNCTION("""COMPUTED_VALUE"""),44404.63611111111)</f>
        <v>44404.63611</v>
      </c>
      <c r="D788" s="22">
        <f>IFERROR(__xludf.DUMMYFUNCTION("""COMPUTED_VALUE"""),19.36)</f>
        <v>19.36</v>
      </c>
      <c r="E788" s="26">
        <f t="shared" si="2"/>
        <v>-0.004712479931</v>
      </c>
      <c r="F788" s="25">
        <f>IFERROR(__xludf.DUMMYFUNCTION("""COMPUTED_VALUE"""),44404.63611111111)</f>
        <v>44404.63611</v>
      </c>
      <c r="G788" s="22">
        <f>IFERROR(__xludf.DUMMYFUNCTION("""COMPUTED_VALUE"""),23.0)</f>
        <v>23</v>
      </c>
      <c r="H788" s="25">
        <f>IFERROR(__xludf.DUMMYFUNCTION("""COMPUTED_VALUE"""),44404.63611111111)</f>
        <v>44404.63611</v>
      </c>
      <c r="I788" s="22">
        <f>IFERROR(__xludf.DUMMYFUNCTION("""COMPUTED_VALUE"""),24.68)</f>
        <v>24.68</v>
      </c>
      <c r="J788" s="25">
        <f>IFERROR(__xludf.DUMMYFUNCTION("""COMPUTED_VALUE"""),44404.63611111111)</f>
        <v>44404.63611</v>
      </c>
      <c r="K788" s="22">
        <f>IFERROR(__xludf.DUMMYFUNCTION("""COMPUTED_VALUE"""),25.57)</f>
        <v>25.57</v>
      </c>
      <c r="M788" s="22" t="str">
        <f t="shared" si="3"/>
        <v/>
      </c>
      <c r="N788" s="22" t="str">
        <f t="shared" si="4"/>
        <v/>
      </c>
    </row>
    <row r="789" ht="15.75" customHeight="1">
      <c r="A789" s="25">
        <f>IFERROR(__xludf.DUMMYFUNCTION("""COMPUTED_VALUE"""),44405.66666666667)</f>
        <v>44405.66667</v>
      </c>
      <c r="B789" s="22">
        <f>IFERROR(__xludf.DUMMYFUNCTION("""COMPUTED_VALUE"""),4400.64)</f>
        <v>4400.64</v>
      </c>
      <c r="C789" s="25">
        <f>IFERROR(__xludf.DUMMYFUNCTION("""COMPUTED_VALUE"""),44405.63611111111)</f>
        <v>44405.63611</v>
      </c>
      <c r="D789" s="22">
        <f>IFERROR(__xludf.DUMMYFUNCTION("""COMPUTED_VALUE"""),18.31)</f>
        <v>18.31</v>
      </c>
      <c r="E789" s="26">
        <f t="shared" si="2"/>
        <v>-0.000186301818</v>
      </c>
      <c r="F789" s="25">
        <f>IFERROR(__xludf.DUMMYFUNCTION("""COMPUTED_VALUE"""),44405.63611111111)</f>
        <v>44405.63611</v>
      </c>
      <c r="G789" s="22">
        <f>IFERROR(__xludf.DUMMYFUNCTION("""COMPUTED_VALUE"""),22.35)</f>
        <v>22.35</v>
      </c>
      <c r="H789" s="25">
        <f>IFERROR(__xludf.DUMMYFUNCTION("""COMPUTED_VALUE"""),44405.63611111111)</f>
        <v>44405.63611</v>
      </c>
      <c r="I789" s="22">
        <f>IFERROR(__xludf.DUMMYFUNCTION("""COMPUTED_VALUE"""),24.36)</f>
        <v>24.36</v>
      </c>
      <c r="J789" s="25">
        <f>IFERROR(__xludf.DUMMYFUNCTION("""COMPUTED_VALUE"""),44405.63611111111)</f>
        <v>44405.63611</v>
      </c>
      <c r="K789" s="22">
        <f>IFERROR(__xludf.DUMMYFUNCTION("""COMPUTED_VALUE"""),25.34)</f>
        <v>25.34</v>
      </c>
      <c r="M789" s="22" t="str">
        <f t="shared" si="3"/>
        <v/>
      </c>
      <c r="N789" s="22" t="str">
        <f t="shared" si="4"/>
        <v/>
      </c>
    </row>
    <row r="790" ht="15.75" customHeight="1">
      <c r="A790" s="25">
        <f>IFERROR(__xludf.DUMMYFUNCTION("""COMPUTED_VALUE"""),44406.66666666667)</f>
        <v>44406.66667</v>
      </c>
      <c r="B790" s="22">
        <f>IFERROR(__xludf.DUMMYFUNCTION("""COMPUTED_VALUE"""),4419.15)</f>
        <v>4419.15</v>
      </c>
      <c r="C790" s="25">
        <f>IFERROR(__xludf.DUMMYFUNCTION("""COMPUTED_VALUE"""),44406.63611111111)</f>
        <v>44406.63611</v>
      </c>
      <c r="D790" s="22">
        <f>IFERROR(__xludf.DUMMYFUNCTION("""COMPUTED_VALUE"""),17.7)</f>
        <v>17.7</v>
      </c>
      <c r="E790" s="26">
        <f t="shared" si="2"/>
        <v>0.00420620637</v>
      </c>
      <c r="F790" s="25">
        <f>IFERROR(__xludf.DUMMYFUNCTION("""COMPUTED_VALUE"""),44406.63611111111)</f>
        <v>44406.63611</v>
      </c>
      <c r="G790" s="22">
        <f>IFERROR(__xludf.DUMMYFUNCTION("""COMPUTED_VALUE"""),21.88)</f>
        <v>21.88</v>
      </c>
      <c r="H790" s="25">
        <f>IFERROR(__xludf.DUMMYFUNCTION("""COMPUTED_VALUE"""),44406.63611111111)</f>
        <v>44406.63611</v>
      </c>
      <c r="I790" s="22">
        <f>IFERROR(__xludf.DUMMYFUNCTION("""COMPUTED_VALUE"""),24.14)</f>
        <v>24.14</v>
      </c>
      <c r="J790" s="25">
        <f>IFERROR(__xludf.DUMMYFUNCTION("""COMPUTED_VALUE"""),44406.63611111111)</f>
        <v>44406.63611</v>
      </c>
      <c r="K790" s="22">
        <f>IFERROR(__xludf.DUMMYFUNCTION("""COMPUTED_VALUE"""),25.11)</f>
        <v>25.11</v>
      </c>
      <c r="M790" s="22" t="str">
        <f t="shared" si="3"/>
        <v/>
      </c>
      <c r="N790" s="22" t="str">
        <f t="shared" si="4"/>
        <v/>
      </c>
    </row>
    <row r="791" ht="15.75" customHeight="1">
      <c r="A791" s="25">
        <f>IFERROR(__xludf.DUMMYFUNCTION("""COMPUTED_VALUE"""),44407.66666666667)</f>
        <v>44407.66667</v>
      </c>
      <c r="B791" s="22">
        <f>IFERROR(__xludf.DUMMYFUNCTION("""COMPUTED_VALUE"""),4395.26)</f>
        <v>4395.26</v>
      </c>
      <c r="C791" s="25">
        <f>IFERROR(__xludf.DUMMYFUNCTION("""COMPUTED_VALUE"""),44407.63611111111)</f>
        <v>44407.63611</v>
      </c>
      <c r="D791" s="22">
        <f>IFERROR(__xludf.DUMMYFUNCTION("""COMPUTED_VALUE"""),18.24)</f>
        <v>18.24</v>
      </c>
      <c r="E791" s="26">
        <f t="shared" si="2"/>
        <v>-0.005406016994</v>
      </c>
      <c r="F791" s="25">
        <f>IFERROR(__xludf.DUMMYFUNCTION("""COMPUTED_VALUE"""),44407.63611111111)</f>
        <v>44407.63611</v>
      </c>
      <c r="G791" s="22">
        <f>IFERROR(__xludf.DUMMYFUNCTION("""COMPUTED_VALUE"""),22.18)</f>
        <v>22.18</v>
      </c>
      <c r="H791" s="25">
        <f>IFERROR(__xludf.DUMMYFUNCTION("""COMPUTED_VALUE"""),44407.63611111111)</f>
        <v>44407.63611</v>
      </c>
      <c r="I791" s="22">
        <f>IFERROR(__xludf.DUMMYFUNCTION("""COMPUTED_VALUE"""),24.37)</f>
        <v>24.37</v>
      </c>
      <c r="J791" s="25">
        <f>IFERROR(__xludf.DUMMYFUNCTION("""COMPUTED_VALUE"""),44407.63611111111)</f>
        <v>44407.63611</v>
      </c>
      <c r="K791" s="22">
        <f>IFERROR(__xludf.DUMMYFUNCTION("""COMPUTED_VALUE"""),25.3)</f>
        <v>25.3</v>
      </c>
      <c r="M791" s="22" t="str">
        <f t="shared" si="3"/>
        <v/>
      </c>
      <c r="N791" s="22" t="str">
        <f t="shared" si="4"/>
        <v/>
      </c>
    </row>
    <row r="792" ht="15.75" customHeight="1">
      <c r="A792" s="25">
        <f>IFERROR(__xludf.DUMMYFUNCTION("""COMPUTED_VALUE"""),44410.66666666667)</f>
        <v>44410.66667</v>
      </c>
      <c r="B792" s="22">
        <f>IFERROR(__xludf.DUMMYFUNCTION("""COMPUTED_VALUE"""),4387.16)</f>
        <v>4387.16</v>
      </c>
      <c r="C792" s="25">
        <f>IFERROR(__xludf.DUMMYFUNCTION("""COMPUTED_VALUE"""),44410.63611111111)</f>
        <v>44410.63611</v>
      </c>
      <c r="D792" s="22">
        <f>IFERROR(__xludf.DUMMYFUNCTION("""COMPUTED_VALUE"""),19.46)</f>
        <v>19.46</v>
      </c>
      <c r="E792" s="26">
        <f t="shared" si="2"/>
        <v>-0.001842894391</v>
      </c>
      <c r="F792" s="25">
        <f>IFERROR(__xludf.DUMMYFUNCTION("""COMPUTED_VALUE"""),44410.63611111111)</f>
        <v>44410.63611</v>
      </c>
      <c r="G792" s="22">
        <f>IFERROR(__xludf.DUMMYFUNCTION("""COMPUTED_VALUE"""),23.05)</f>
        <v>23.05</v>
      </c>
      <c r="H792" s="25">
        <f>IFERROR(__xludf.DUMMYFUNCTION("""COMPUTED_VALUE"""),44410.63611111111)</f>
        <v>44410.63611</v>
      </c>
      <c r="I792" s="22">
        <f>IFERROR(__xludf.DUMMYFUNCTION("""COMPUTED_VALUE"""),24.95)</f>
        <v>24.95</v>
      </c>
      <c r="J792" s="25">
        <f>IFERROR(__xludf.DUMMYFUNCTION("""COMPUTED_VALUE"""),44410.63611111111)</f>
        <v>44410.63611</v>
      </c>
      <c r="K792" s="22">
        <f>IFERROR(__xludf.DUMMYFUNCTION("""COMPUTED_VALUE"""),25.64)</f>
        <v>25.64</v>
      </c>
      <c r="M792" s="22" t="str">
        <f t="shared" si="3"/>
        <v/>
      </c>
      <c r="N792" s="22" t="str">
        <f t="shared" si="4"/>
        <v/>
      </c>
    </row>
    <row r="793" ht="15.75" customHeight="1">
      <c r="A793" s="25">
        <f>IFERROR(__xludf.DUMMYFUNCTION("""COMPUTED_VALUE"""),44411.66666666667)</f>
        <v>44411.66667</v>
      </c>
      <c r="B793" s="22">
        <f>IFERROR(__xludf.DUMMYFUNCTION("""COMPUTED_VALUE"""),4423.15)</f>
        <v>4423.15</v>
      </c>
      <c r="C793" s="25">
        <f>IFERROR(__xludf.DUMMYFUNCTION("""COMPUTED_VALUE"""),44411.63611111111)</f>
        <v>44411.63611</v>
      </c>
      <c r="D793" s="22">
        <f>IFERROR(__xludf.DUMMYFUNCTION("""COMPUTED_VALUE"""),18.04)</f>
        <v>18.04</v>
      </c>
      <c r="E793" s="26">
        <f t="shared" si="2"/>
        <v>0.008203484714</v>
      </c>
      <c r="F793" s="25">
        <f>IFERROR(__xludf.DUMMYFUNCTION("""COMPUTED_VALUE"""),44411.63611111111)</f>
        <v>44411.63611</v>
      </c>
      <c r="G793" s="22">
        <f>IFERROR(__xludf.DUMMYFUNCTION("""COMPUTED_VALUE"""),22.18)</f>
        <v>22.18</v>
      </c>
      <c r="H793" s="25">
        <f>IFERROR(__xludf.DUMMYFUNCTION("""COMPUTED_VALUE"""),44411.63611111111)</f>
        <v>44411.63611</v>
      </c>
      <c r="I793" s="22">
        <f>IFERROR(__xludf.DUMMYFUNCTION("""COMPUTED_VALUE"""),24.36)</f>
        <v>24.36</v>
      </c>
      <c r="J793" s="25">
        <f>IFERROR(__xludf.DUMMYFUNCTION("""COMPUTED_VALUE"""),44411.63611111111)</f>
        <v>44411.63611</v>
      </c>
      <c r="K793" s="22">
        <f>IFERROR(__xludf.DUMMYFUNCTION("""COMPUTED_VALUE"""),25.4)</f>
        <v>25.4</v>
      </c>
      <c r="M793" s="22" t="str">
        <f t="shared" si="3"/>
        <v/>
      </c>
      <c r="N793" s="22" t="str">
        <f t="shared" si="4"/>
        <v/>
      </c>
    </row>
    <row r="794" ht="15.75" customHeight="1">
      <c r="A794" s="25">
        <f>IFERROR(__xludf.DUMMYFUNCTION("""COMPUTED_VALUE"""),44412.66666666667)</f>
        <v>44412.66667</v>
      </c>
      <c r="B794" s="22">
        <f>IFERROR(__xludf.DUMMYFUNCTION("""COMPUTED_VALUE"""),4402.66)</f>
        <v>4402.66</v>
      </c>
      <c r="C794" s="25">
        <f>IFERROR(__xludf.DUMMYFUNCTION("""COMPUTED_VALUE"""),44412.63611111111)</f>
        <v>44412.63611</v>
      </c>
      <c r="D794" s="22">
        <f>IFERROR(__xludf.DUMMYFUNCTION("""COMPUTED_VALUE"""),17.97)</f>
        <v>17.97</v>
      </c>
      <c r="E794" s="26">
        <f t="shared" si="2"/>
        <v>-0.004632445203</v>
      </c>
      <c r="F794" s="25">
        <f>IFERROR(__xludf.DUMMYFUNCTION("""COMPUTED_VALUE"""),44412.63611111111)</f>
        <v>44412.63611</v>
      </c>
      <c r="G794" s="22">
        <f>IFERROR(__xludf.DUMMYFUNCTION("""COMPUTED_VALUE"""),22.17)</f>
        <v>22.17</v>
      </c>
      <c r="H794" s="25">
        <f>IFERROR(__xludf.DUMMYFUNCTION("""COMPUTED_VALUE"""),44412.63611111111)</f>
        <v>44412.63611</v>
      </c>
      <c r="I794" s="22">
        <f>IFERROR(__xludf.DUMMYFUNCTION("""COMPUTED_VALUE"""),24.37)</f>
        <v>24.37</v>
      </c>
      <c r="J794" s="25">
        <f>IFERROR(__xludf.DUMMYFUNCTION("""COMPUTED_VALUE"""),44412.63611111111)</f>
        <v>44412.63611</v>
      </c>
      <c r="K794" s="22">
        <f>IFERROR(__xludf.DUMMYFUNCTION("""COMPUTED_VALUE"""),25.49)</f>
        <v>25.49</v>
      </c>
      <c r="M794" s="22" t="str">
        <f t="shared" si="3"/>
        <v/>
      </c>
      <c r="N794" s="22" t="str">
        <f t="shared" si="4"/>
        <v/>
      </c>
    </row>
    <row r="795" ht="15.75" customHeight="1">
      <c r="A795" s="25">
        <f>IFERROR(__xludf.DUMMYFUNCTION("""COMPUTED_VALUE"""),44413.66666666667)</f>
        <v>44413.66667</v>
      </c>
      <c r="B795" s="22">
        <f>IFERROR(__xludf.DUMMYFUNCTION("""COMPUTED_VALUE"""),4429.1)</f>
        <v>4429.1</v>
      </c>
      <c r="C795" s="25">
        <f>IFERROR(__xludf.DUMMYFUNCTION("""COMPUTED_VALUE"""),44413.63611111111)</f>
        <v>44413.63611</v>
      </c>
      <c r="D795" s="22">
        <f>IFERROR(__xludf.DUMMYFUNCTION("""COMPUTED_VALUE"""),17.28)</f>
        <v>17.28</v>
      </c>
      <c r="E795" s="26">
        <f t="shared" si="2"/>
        <v>0.006005460335</v>
      </c>
      <c r="F795" s="25">
        <f>IFERROR(__xludf.DUMMYFUNCTION("""COMPUTED_VALUE"""),44413.63611111111)</f>
        <v>44413.63611</v>
      </c>
      <c r="G795" s="22">
        <f>IFERROR(__xludf.DUMMYFUNCTION("""COMPUTED_VALUE"""),21.52)</f>
        <v>21.52</v>
      </c>
      <c r="H795" s="25">
        <f>IFERROR(__xludf.DUMMYFUNCTION("""COMPUTED_VALUE"""),44413.63611111111)</f>
        <v>44413.63611</v>
      </c>
      <c r="I795" s="22">
        <f>IFERROR(__xludf.DUMMYFUNCTION("""COMPUTED_VALUE"""),23.99)</f>
        <v>23.99</v>
      </c>
      <c r="J795" s="25">
        <f>IFERROR(__xludf.DUMMYFUNCTION("""COMPUTED_VALUE"""),44413.63611111111)</f>
        <v>44413.63611</v>
      </c>
      <c r="K795" s="22">
        <f>IFERROR(__xludf.DUMMYFUNCTION("""COMPUTED_VALUE"""),25.17)</f>
        <v>25.17</v>
      </c>
      <c r="M795" s="22" t="str">
        <f t="shared" si="3"/>
        <v/>
      </c>
      <c r="N795" s="22" t="str">
        <f t="shared" si="4"/>
        <v/>
      </c>
    </row>
    <row r="796" ht="15.75" customHeight="1">
      <c r="A796" s="25">
        <f>IFERROR(__xludf.DUMMYFUNCTION("""COMPUTED_VALUE"""),44414.66666666667)</f>
        <v>44414.66667</v>
      </c>
      <c r="B796" s="22">
        <f>IFERROR(__xludf.DUMMYFUNCTION("""COMPUTED_VALUE"""),4436.52)</f>
        <v>4436.52</v>
      </c>
      <c r="C796" s="25">
        <f>IFERROR(__xludf.DUMMYFUNCTION("""COMPUTED_VALUE"""),44414.63611111111)</f>
        <v>44414.63611</v>
      </c>
      <c r="D796" s="22">
        <f>IFERROR(__xludf.DUMMYFUNCTION("""COMPUTED_VALUE"""),16.15)</f>
        <v>16.15</v>
      </c>
      <c r="E796" s="26">
        <f t="shared" si="2"/>
        <v>0.001675283918</v>
      </c>
      <c r="F796" s="25">
        <f>IFERROR(__xludf.DUMMYFUNCTION("""COMPUTED_VALUE"""),44414.63611111111)</f>
        <v>44414.63611</v>
      </c>
      <c r="G796" s="22">
        <f>IFERROR(__xludf.DUMMYFUNCTION("""COMPUTED_VALUE"""),20.87)</f>
        <v>20.87</v>
      </c>
      <c r="H796" s="25">
        <f>IFERROR(__xludf.DUMMYFUNCTION("""COMPUTED_VALUE"""),44414.63611111111)</f>
        <v>44414.63611</v>
      </c>
      <c r="I796" s="22">
        <f>IFERROR(__xludf.DUMMYFUNCTION("""COMPUTED_VALUE"""),23.68)</f>
        <v>23.68</v>
      </c>
      <c r="J796" s="25">
        <f>IFERROR(__xludf.DUMMYFUNCTION("""COMPUTED_VALUE"""),44414.63611111111)</f>
        <v>44414.63611</v>
      </c>
      <c r="K796" s="22">
        <f>IFERROR(__xludf.DUMMYFUNCTION("""COMPUTED_VALUE"""),24.97)</f>
        <v>24.97</v>
      </c>
      <c r="M796" s="22" t="str">
        <f t="shared" si="3"/>
        <v/>
      </c>
      <c r="N796" s="22" t="str">
        <f t="shared" si="4"/>
        <v/>
      </c>
    </row>
    <row r="797" ht="15.75" customHeight="1">
      <c r="A797" s="25">
        <f>IFERROR(__xludf.DUMMYFUNCTION("""COMPUTED_VALUE"""),44417.66666666667)</f>
        <v>44417.66667</v>
      </c>
      <c r="B797" s="22">
        <f>IFERROR(__xludf.DUMMYFUNCTION("""COMPUTED_VALUE"""),4432.35)</f>
        <v>4432.35</v>
      </c>
      <c r="C797" s="25">
        <f>IFERROR(__xludf.DUMMYFUNCTION("""COMPUTED_VALUE"""),44417.63611111111)</f>
        <v>44417.63611</v>
      </c>
      <c r="D797" s="22">
        <f>IFERROR(__xludf.DUMMYFUNCTION("""COMPUTED_VALUE"""),16.72)</f>
        <v>16.72</v>
      </c>
      <c r="E797" s="26">
        <f t="shared" si="2"/>
        <v>-0.0009399258879</v>
      </c>
      <c r="F797" s="25">
        <f>IFERROR(__xludf.DUMMYFUNCTION("""COMPUTED_VALUE"""),44417.63611111111)</f>
        <v>44417.63611</v>
      </c>
      <c r="G797" s="22">
        <f>IFERROR(__xludf.DUMMYFUNCTION("""COMPUTED_VALUE"""),21.27)</f>
        <v>21.27</v>
      </c>
      <c r="H797" s="25">
        <f>IFERROR(__xludf.DUMMYFUNCTION("""COMPUTED_VALUE"""),44417.63611111111)</f>
        <v>44417.63611</v>
      </c>
      <c r="I797" s="22">
        <f>IFERROR(__xludf.DUMMYFUNCTION("""COMPUTED_VALUE"""),24.13)</f>
        <v>24.13</v>
      </c>
      <c r="J797" s="25">
        <f>IFERROR(__xludf.DUMMYFUNCTION("""COMPUTED_VALUE"""),44417.63611111111)</f>
        <v>44417.63611</v>
      </c>
      <c r="K797" s="22">
        <f>IFERROR(__xludf.DUMMYFUNCTION("""COMPUTED_VALUE"""),25.36)</f>
        <v>25.36</v>
      </c>
      <c r="M797" s="22" t="str">
        <f t="shared" si="3"/>
        <v/>
      </c>
      <c r="N797" s="22" t="str">
        <f t="shared" si="4"/>
        <v/>
      </c>
    </row>
    <row r="798" ht="15.75" customHeight="1">
      <c r="A798" s="25">
        <f>IFERROR(__xludf.DUMMYFUNCTION("""COMPUTED_VALUE"""),44418.66666666667)</f>
        <v>44418.66667</v>
      </c>
      <c r="B798" s="22">
        <f>IFERROR(__xludf.DUMMYFUNCTION("""COMPUTED_VALUE"""),4436.75)</f>
        <v>4436.75</v>
      </c>
      <c r="C798" s="25">
        <f>IFERROR(__xludf.DUMMYFUNCTION("""COMPUTED_VALUE"""),44418.63611111111)</f>
        <v>44418.63611</v>
      </c>
      <c r="D798" s="22">
        <f>IFERROR(__xludf.DUMMYFUNCTION("""COMPUTED_VALUE"""),16.79)</f>
        <v>16.79</v>
      </c>
      <c r="E798" s="26">
        <f t="shared" si="2"/>
        <v>0.0009927013887</v>
      </c>
      <c r="F798" s="25">
        <f>IFERROR(__xludf.DUMMYFUNCTION("""COMPUTED_VALUE"""),44418.63611111111)</f>
        <v>44418.63611</v>
      </c>
      <c r="G798" s="22">
        <f>IFERROR(__xludf.DUMMYFUNCTION("""COMPUTED_VALUE"""),21.21)</f>
        <v>21.21</v>
      </c>
      <c r="H798" s="25">
        <f>IFERROR(__xludf.DUMMYFUNCTION("""COMPUTED_VALUE"""),44418.63611111111)</f>
        <v>44418.63611</v>
      </c>
      <c r="I798" s="22">
        <f>IFERROR(__xludf.DUMMYFUNCTION("""COMPUTED_VALUE"""),24.06)</f>
        <v>24.06</v>
      </c>
      <c r="J798" s="25">
        <f>IFERROR(__xludf.DUMMYFUNCTION("""COMPUTED_VALUE"""),44418.63611111111)</f>
        <v>44418.63611</v>
      </c>
      <c r="K798" s="22">
        <f>IFERROR(__xludf.DUMMYFUNCTION("""COMPUTED_VALUE"""),25.29)</f>
        <v>25.29</v>
      </c>
      <c r="M798" s="22" t="str">
        <f t="shared" si="3"/>
        <v/>
      </c>
      <c r="N798" s="22" t="str">
        <f t="shared" si="4"/>
        <v/>
      </c>
    </row>
    <row r="799" ht="15.75" customHeight="1">
      <c r="A799" s="25">
        <f>IFERROR(__xludf.DUMMYFUNCTION("""COMPUTED_VALUE"""),44419.66666666667)</f>
        <v>44419.66667</v>
      </c>
      <c r="B799" s="22">
        <f>IFERROR(__xludf.DUMMYFUNCTION("""COMPUTED_VALUE"""),4447.7)</f>
        <v>4447.7</v>
      </c>
      <c r="C799" s="25">
        <f>IFERROR(__xludf.DUMMYFUNCTION("""COMPUTED_VALUE"""),44419.63611111111)</f>
        <v>44419.63611</v>
      </c>
      <c r="D799" s="22">
        <f>IFERROR(__xludf.DUMMYFUNCTION("""COMPUTED_VALUE"""),16.06)</f>
        <v>16.06</v>
      </c>
      <c r="E799" s="26">
        <f t="shared" si="2"/>
        <v>0.002468022764</v>
      </c>
      <c r="F799" s="25">
        <f>IFERROR(__xludf.DUMMYFUNCTION("""COMPUTED_VALUE"""),44419.63611111111)</f>
        <v>44419.63611</v>
      </c>
      <c r="G799" s="22">
        <f>IFERROR(__xludf.DUMMYFUNCTION("""COMPUTED_VALUE"""),20.67)</f>
        <v>20.67</v>
      </c>
      <c r="H799" s="25">
        <f>IFERROR(__xludf.DUMMYFUNCTION("""COMPUTED_VALUE"""),44419.63611111111)</f>
        <v>44419.63611</v>
      </c>
      <c r="I799" s="22">
        <f>IFERROR(__xludf.DUMMYFUNCTION("""COMPUTED_VALUE"""),23.26)</f>
        <v>23.26</v>
      </c>
      <c r="J799" s="25">
        <f>IFERROR(__xludf.DUMMYFUNCTION("""COMPUTED_VALUE"""),44419.63611111111)</f>
        <v>44419.63611</v>
      </c>
      <c r="K799" s="22">
        <f>IFERROR(__xludf.DUMMYFUNCTION("""COMPUTED_VALUE"""),25.11)</f>
        <v>25.11</v>
      </c>
      <c r="M799" s="22" t="str">
        <f t="shared" si="3"/>
        <v/>
      </c>
      <c r="N799" s="22" t="str">
        <f t="shared" si="4"/>
        <v/>
      </c>
    </row>
    <row r="800" ht="15.75" customHeight="1">
      <c r="A800" s="25">
        <f>IFERROR(__xludf.DUMMYFUNCTION("""COMPUTED_VALUE"""),44420.66666666667)</f>
        <v>44420.66667</v>
      </c>
      <c r="B800" s="22">
        <f>IFERROR(__xludf.DUMMYFUNCTION("""COMPUTED_VALUE"""),4460.83)</f>
        <v>4460.83</v>
      </c>
      <c r="C800" s="25">
        <f>IFERROR(__xludf.DUMMYFUNCTION("""COMPUTED_VALUE"""),44420.63611111111)</f>
        <v>44420.63611</v>
      </c>
      <c r="D800" s="22">
        <f>IFERROR(__xludf.DUMMYFUNCTION("""COMPUTED_VALUE"""),15.59)</f>
        <v>15.59</v>
      </c>
      <c r="E800" s="26">
        <f t="shared" si="2"/>
        <v>0.002952087596</v>
      </c>
      <c r="F800" s="25">
        <f>IFERROR(__xludf.DUMMYFUNCTION("""COMPUTED_VALUE"""),44420.63611111111)</f>
        <v>44420.63611</v>
      </c>
      <c r="G800" s="22">
        <f>IFERROR(__xludf.DUMMYFUNCTION("""COMPUTED_VALUE"""),20.25)</f>
        <v>20.25</v>
      </c>
      <c r="H800" s="25">
        <f>IFERROR(__xludf.DUMMYFUNCTION("""COMPUTED_VALUE"""),44420.63611111111)</f>
        <v>44420.63611</v>
      </c>
      <c r="I800" s="22">
        <f>IFERROR(__xludf.DUMMYFUNCTION("""COMPUTED_VALUE"""),22.88)</f>
        <v>22.88</v>
      </c>
      <c r="J800" s="25">
        <f>IFERROR(__xludf.DUMMYFUNCTION("""COMPUTED_VALUE"""),44420.63611111111)</f>
        <v>44420.63611</v>
      </c>
      <c r="K800" s="22">
        <f>IFERROR(__xludf.DUMMYFUNCTION("""COMPUTED_VALUE"""),24.52)</f>
        <v>24.52</v>
      </c>
      <c r="M800" s="22" t="str">
        <f t="shared" si="3"/>
        <v/>
      </c>
      <c r="N800" s="22" t="str">
        <f t="shared" si="4"/>
        <v/>
      </c>
    </row>
    <row r="801" ht="15.75" customHeight="1">
      <c r="A801" s="25">
        <f>IFERROR(__xludf.DUMMYFUNCTION("""COMPUTED_VALUE"""),44421.66666666667)</f>
        <v>44421.66667</v>
      </c>
      <c r="B801" s="22">
        <f>IFERROR(__xludf.DUMMYFUNCTION("""COMPUTED_VALUE"""),4468.0)</f>
        <v>4468</v>
      </c>
      <c r="C801" s="25">
        <f>IFERROR(__xludf.DUMMYFUNCTION("""COMPUTED_VALUE"""),44421.63611111111)</f>
        <v>44421.63611</v>
      </c>
      <c r="D801" s="22">
        <f>IFERROR(__xludf.DUMMYFUNCTION("""COMPUTED_VALUE"""),15.45)</f>
        <v>15.45</v>
      </c>
      <c r="E801" s="26">
        <f t="shared" si="2"/>
        <v>0.001607324198</v>
      </c>
      <c r="F801" s="25">
        <f>IFERROR(__xludf.DUMMYFUNCTION("""COMPUTED_VALUE"""),44421.63611111111)</f>
        <v>44421.63611</v>
      </c>
      <c r="G801" s="22">
        <f>IFERROR(__xludf.DUMMYFUNCTION("""COMPUTED_VALUE"""),20.26)</f>
        <v>20.26</v>
      </c>
      <c r="H801" s="25">
        <f>IFERROR(__xludf.DUMMYFUNCTION("""COMPUTED_VALUE"""),44421.63611111111)</f>
        <v>44421.63611</v>
      </c>
      <c r="I801" s="22">
        <f>IFERROR(__xludf.DUMMYFUNCTION("""COMPUTED_VALUE"""),22.92)</f>
        <v>22.92</v>
      </c>
      <c r="J801" s="25">
        <f>IFERROR(__xludf.DUMMYFUNCTION("""COMPUTED_VALUE"""),44421.63611111111)</f>
        <v>44421.63611</v>
      </c>
      <c r="K801" s="22">
        <f>IFERROR(__xludf.DUMMYFUNCTION("""COMPUTED_VALUE"""),24.53)</f>
        <v>24.53</v>
      </c>
      <c r="M801" s="22" t="str">
        <f t="shared" si="3"/>
        <v/>
      </c>
      <c r="N801" s="22" t="str">
        <f t="shared" si="4"/>
        <v/>
      </c>
    </row>
    <row r="802" ht="15.75" customHeight="1">
      <c r="A802" s="25">
        <f>IFERROR(__xludf.DUMMYFUNCTION("""COMPUTED_VALUE"""),44424.66666666667)</f>
        <v>44424.66667</v>
      </c>
      <c r="B802" s="22">
        <f>IFERROR(__xludf.DUMMYFUNCTION("""COMPUTED_VALUE"""),4479.71)</f>
        <v>4479.71</v>
      </c>
      <c r="C802" s="25">
        <f>IFERROR(__xludf.DUMMYFUNCTION("""COMPUTED_VALUE"""),44424.63611111111)</f>
        <v>44424.63611</v>
      </c>
      <c r="D802" s="22">
        <f>IFERROR(__xludf.DUMMYFUNCTION("""COMPUTED_VALUE"""),16.12)</f>
        <v>16.12</v>
      </c>
      <c r="E802" s="26">
        <f t="shared" si="2"/>
        <v>0.002620859445</v>
      </c>
      <c r="F802" s="25">
        <f>IFERROR(__xludf.DUMMYFUNCTION("""COMPUTED_VALUE"""),44424.63611111111)</f>
        <v>44424.63611</v>
      </c>
      <c r="G802" s="22">
        <f>IFERROR(__xludf.DUMMYFUNCTION("""COMPUTED_VALUE"""),20.64)</f>
        <v>20.64</v>
      </c>
      <c r="H802" s="25">
        <f>IFERROR(__xludf.DUMMYFUNCTION("""COMPUTED_VALUE"""),44424.63611111111)</f>
        <v>44424.63611</v>
      </c>
      <c r="I802" s="22">
        <f>IFERROR(__xludf.DUMMYFUNCTION("""COMPUTED_VALUE"""),23.13)</f>
        <v>23.13</v>
      </c>
      <c r="J802" s="25">
        <f>IFERROR(__xludf.DUMMYFUNCTION("""COMPUTED_VALUE"""),44424.63611111111)</f>
        <v>44424.63611</v>
      </c>
      <c r="K802" s="22">
        <f>IFERROR(__xludf.DUMMYFUNCTION("""COMPUTED_VALUE"""),24.72)</f>
        <v>24.72</v>
      </c>
      <c r="M802" s="22" t="str">
        <f t="shared" si="3"/>
        <v/>
      </c>
      <c r="N802" s="22" t="str">
        <f t="shared" si="4"/>
        <v/>
      </c>
    </row>
    <row r="803" ht="15.75" customHeight="1">
      <c r="A803" s="25">
        <f>IFERROR(__xludf.DUMMYFUNCTION("""COMPUTED_VALUE"""),44425.66666666667)</f>
        <v>44425.66667</v>
      </c>
      <c r="B803" s="22">
        <f>IFERROR(__xludf.DUMMYFUNCTION("""COMPUTED_VALUE"""),4448.08)</f>
        <v>4448.08</v>
      </c>
      <c r="C803" s="25">
        <f>IFERROR(__xludf.DUMMYFUNCTION("""COMPUTED_VALUE"""),44425.63611111111)</f>
        <v>44425.63611</v>
      </c>
      <c r="D803" s="22">
        <f>IFERROR(__xludf.DUMMYFUNCTION("""COMPUTED_VALUE"""),17.91)</f>
        <v>17.91</v>
      </c>
      <c r="E803" s="26">
        <f t="shared" si="2"/>
        <v>-0.007060724913</v>
      </c>
      <c r="F803" s="25">
        <f>IFERROR(__xludf.DUMMYFUNCTION("""COMPUTED_VALUE"""),44425.63611111111)</f>
        <v>44425.63611</v>
      </c>
      <c r="G803" s="22">
        <f>IFERROR(__xludf.DUMMYFUNCTION("""COMPUTED_VALUE"""),21.7)</f>
        <v>21.7</v>
      </c>
      <c r="H803" s="25">
        <f>IFERROR(__xludf.DUMMYFUNCTION("""COMPUTED_VALUE"""),44425.63611111111)</f>
        <v>44425.63611</v>
      </c>
      <c r="I803" s="22">
        <f>IFERROR(__xludf.DUMMYFUNCTION("""COMPUTED_VALUE"""),24.2)</f>
        <v>24.2</v>
      </c>
      <c r="J803" s="25">
        <f>IFERROR(__xludf.DUMMYFUNCTION("""COMPUTED_VALUE"""),44425.63611111111)</f>
        <v>44425.63611</v>
      </c>
      <c r="K803" s="22">
        <f>IFERROR(__xludf.DUMMYFUNCTION("""COMPUTED_VALUE"""),25.26)</f>
        <v>25.26</v>
      </c>
      <c r="M803" s="22" t="str">
        <f t="shared" si="3"/>
        <v/>
      </c>
      <c r="N803" s="22" t="str">
        <f t="shared" si="4"/>
        <v/>
      </c>
    </row>
    <row r="804" ht="15.75" customHeight="1">
      <c r="A804" s="25">
        <f>IFERROR(__xludf.DUMMYFUNCTION("""COMPUTED_VALUE"""),44426.66666666667)</f>
        <v>44426.66667</v>
      </c>
      <c r="B804" s="22">
        <f>IFERROR(__xludf.DUMMYFUNCTION("""COMPUTED_VALUE"""),4400.27)</f>
        <v>4400.27</v>
      </c>
      <c r="C804" s="25">
        <f>IFERROR(__xludf.DUMMYFUNCTION("""COMPUTED_VALUE"""),44426.63611111111)</f>
        <v>44426.63611</v>
      </c>
      <c r="D804" s="22">
        <f>IFERROR(__xludf.DUMMYFUNCTION("""COMPUTED_VALUE"""),21.57)</f>
        <v>21.57</v>
      </c>
      <c r="E804" s="26">
        <f t="shared" si="2"/>
        <v>-0.01074845776</v>
      </c>
      <c r="F804" s="25">
        <f>IFERROR(__xludf.DUMMYFUNCTION("""COMPUTED_VALUE"""),44426.63611111111)</f>
        <v>44426.63611</v>
      </c>
      <c r="G804" s="22">
        <f>IFERROR(__xludf.DUMMYFUNCTION("""COMPUTED_VALUE"""),23.8)</f>
        <v>23.8</v>
      </c>
      <c r="H804" s="25">
        <f>IFERROR(__xludf.DUMMYFUNCTION("""COMPUTED_VALUE"""),44426.63611111111)</f>
        <v>44426.63611</v>
      </c>
      <c r="I804" s="22">
        <f>IFERROR(__xludf.DUMMYFUNCTION("""COMPUTED_VALUE"""),25.65)</f>
        <v>25.65</v>
      </c>
      <c r="J804" s="25">
        <f>IFERROR(__xludf.DUMMYFUNCTION("""COMPUTED_VALUE"""),44426.63611111111)</f>
        <v>44426.63611</v>
      </c>
      <c r="K804" s="22">
        <f>IFERROR(__xludf.DUMMYFUNCTION("""COMPUTED_VALUE"""),26.17)</f>
        <v>26.17</v>
      </c>
      <c r="M804" s="22" t="str">
        <f t="shared" si="3"/>
        <v/>
      </c>
      <c r="N804" s="22" t="str">
        <f t="shared" si="4"/>
        <v/>
      </c>
    </row>
    <row r="805" ht="15.75" customHeight="1">
      <c r="A805" s="25">
        <f>IFERROR(__xludf.DUMMYFUNCTION("""COMPUTED_VALUE"""),44427.66666666667)</f>
        <v>44427.66667</v>
      </c>
      <c r="B805" s="22">
        <f>IFERROR(__xludf.DUMMYFUNCTION("""COMPUTED_VALUE"""),4405.8)</f>
        <v>4405.8</v>
      </c>
      <c r="C805" s="25">
        <f>IFERROR(__xludf.DUMMYFUNCTION("""COMPUTED_VALUE"""),44427.63611111111)</f>
        <v>44427.63611</v>
      </c>
      <c r="D805" s="22">
        <f>IFERROR(__xludf.DUMMYFUNCTION("""COMPUTED_VALUE"""),21.67)</f>
        <v>21.67</v>
      </c>
      <c r="E805" s="26">
        <f t="shared" si="2"/>
        <v>0.001256741064</v>
      </c>
      <c r="F805" s="25">
        <f>IFERROR(__xludf.DUMMYFUNCTION("""COMPUTED_VALUE"""),44427.63611111111)</f>
        <v>44427.63611</v>
      </c>
      <c r="G805" s="22">
        <f>IFERROR(__xludf.DUMMYFUNCTION("""COMPUTED_VALUE"""),24.2)</f>
        <v>24.2</v>
      </c>
      <c r="H805" s="25">
        <f>IFERROR(__xludf.DUMMYFUNCTION("""COMPUTED_VALUE"""),44427.63611111111)</f>
        <v>44427.63611</v>
      </c>
      <c r="I805" s="22">
        <f>IFERROR(__xludf.DUMMYFUNCTION("""COMPUTED_VALUE"""),25.84)</f>
        <v>25.84</v>
      </c>
      <c r="J805" s="25">
        <f>IFERROR(__xludf.DUMMYFUNCTION("""COMPUTED_VALUE"""),44427.63611111111)</f>
        <v>44427.63611</v>
      </c>
      <c r="K805" s="22">
        <f>IFERROR(__xludf.DUMMYFUNCTION("""COMPUTED_VALUE"""),26.22)</f>
        <v>26.22</v>
      </c>
      <c r="M805" s="22" t="str">
        <f t="shared" si="3"/>
        <v/>
      </c>
      <c r="N805" s="22" t="str">
        <f t="shared" si="4"/>
        <v/>
      </c>
    </row>
    <row r="806" ht="15.75" customHeight="1">
      <c r="A806" s="25">
        <f>IFERROR(__xludf.DUMMYFUNCTION("""COMPUTED_VALUE"""),44428.66666666667)</f>
        <v>44428.66667</v>
      </c>
      <c r="B806" s="22">
        <f>IFERROR(__xludf.DUMMYFUNCTION("""COMPUTED_VALUE"""),4441.67)</f>
        <v>4441.67</v>
      </c>
      <c r="C806" s="25">
        <f>IFERROR(__xludf.DUMMYFUNCTION("""COMPUTED_VALUE"""),44428.63611111111)</f>
        <v>44428.63611</v>
      </c>
      <c r="D806" s="22">
        <f>IFERROR(__xludf.DUMMYFUNCTION("""COMPUTED_VALUE"""),18.56)</f>
        <v>18.56</v>
      </c>
      <c r="E806" s="26">
        <f t="shared" si="2"/>
        <v>0.008141540696</v>
      </c>
      <c r="F806" s="25">
        <f>IFERROR(__xludf.DUMMYFUNCTION("""COMPUTED_VALUE"""),44428.63611111111)</f>
        <v>44428.63611</v>
      </c>
      <c r="G806" s="22">
        <f>IFERROR(__xludf.DUMMYFUNCTION("""COMPUTED_VALUE"""),22.41)</f>
        <v>22.41</v>
      </c>
      <c r="H806" s="25">
        <f>IFERROR(__xludf.DUMMYFUNCTION("""COMPUTED_VALUE"""),44428.63611111111)</f>
        <v>44428.63611</v>
      </c>
      <c r="I806" s="22">
        <f>IFERROR(__xludf.DUMMYFUNCTION("""COMPUTED_VALUE"""),24.64)</f>
        <v>24.64</v>
      </c>
      <c r="J806" s="25">
        <f>IFERROR(__xludf.DUMMYFUNCTION("""COMPUTED_VALUE"""),44428.63611111111)</f>
        <v>44428.63611</v>
      </c>
      <c r="K806" s="22">
        <f>IFERROR(__xludf.DUMMYFUNCTION("""COMPUTED_VALUE"""),25.64)</f>
        <v>25.64</v>
      </c>
      <c r="M806" s="22" t="str">
        <f t="shared" si="3"/>
        <v/>
      </c>
      <c r="N806" s="22" t="str">
        <f t="shared" si="4"/>
        <v/>
      </c>
    </row>
    <row r="807" ht="15.75" customHeight="1">
      <c r="A807" s="25">
        <f>IFERROR(__xludf.DUMMYFUNCTION("""COMPUTED_VALUE"""),44431.66666666667)</f>
        <v>44431.66667</v>
      </c>
      <c r="B807" s="22">
        <f>IFERROR(__xludf.DUMMYFUNCTION("""COMPUTED_VALUE"""),4479.53)</f>
        <v>4479.53</v>
      </c>
      <c r="C807" s="25">
        <f>IFERROR(__xludf.DUMMYFUNCTION("""COMPUTED_VALUE"""),44431.63611111111)</f>
        <v>44431.63611</v>
      </c>
      <c r="D807" s="22">
        <f>IFERROR(__xludf.DUMMYFUNCTION("""COMPUTED_VALUE"""),17.15)</f>
        <v>17.15</v>
      </c>
      <c r="E807" s="26">
        <f t="shared" si="2"/>
        <v>0.008523820995</v>
      </c>
      <c r="F807" s="25">
        <f>IFERROR(__xludf.DUMMYFUNCTION("""COMPUTED_VALUE"""),44431.63611111111)</f>
        <v>44431.63611</v>
      </c>
      <c r="G807" s="22">
        <f>IFERROR(__xludf.DUMMYFUNCTION("""COMPUTED_VALUE"""),21.2)</f>
        <v>21.2</v>
      </c>
      <c r="H807" s="25">
        <f>IFERROR(__xludf.DUMMYFUNCTION("""COMPUTED_VALUE"""),44431.63611111111)</f>
        <v>44431.63611</v>
      </c>
      <c r="I807" s="22">
        <f>IFERROR(__xludf.DUMMYFUNCTION("""COMPUTED_VALUE"""),23.89)</f>
        <v>23.89</v>
      </c>
      <c r="J807" s="25">
        <f>IFERROR(__xludf.DUMMYFUNCTION("""COMPUTED_VALUE"""),44431.63611111111)</f>
        <v>44431.63611</v>
      </c>
      <c r="K807" s="22">
        <f>IFERROR(__xludf.DUMMYFUNCTION("""COMPUTED_VALUE"""),25.52)</f>
        <v>25.52</v>
      </c>
      <c r="M807" s="22" t="str">
        <f t="shared" si="3"/>
        <v/>
      </c>
      <c r="N807" s="22" t="str">
        <f t="shared" si="4"/>
        <v/>
      </c>
    </row>
    <row r="808" ht="15.75" customHeight="1">
      <c r="A808" s="25">
        <f>IFERROR(__xludf.DUMMYFUNCTION("""COMPUTED_VALUE"""),44432.66666666667)</f>
        <v>44432.66667</v>
      </c>
      <c r="B808" s="22">
        <f>IFERROR(__xludf.DUMMYFUNCTION("""COMPUTED_VALUE"""),4486.23)</f>
        <v>4486.23</v>
      </c>
      <c r="C808" s="25">
        <f>IFERROR(__xludf.DUMMYFUNCTION("""COMPUTED_VALUE"""),44432.63611111111)</f>
        <v>44432.63611</v>
      </c>
      <c r="D808" s="22">
        <f>IFERROR(__xludf.DUMMYFUNCTION("""COMPUTED_VALUE"""),17.22)</f>
        <v>17.22</v>
      </c>
      <c r="E808" s="26">
        <f t="shared" si="2"/>
        <v>0.001495692628</v>
      </c>
      <c r="F808" s="25">
        <f>IFERROR(__xludf.DUMMYFUNCTION("""COMPUTED_VALUE"""),44432.63611111111)</f>
        <v>44432.63611</v>
      </c>
      <c r="G808" s="22">
        <f>IFERROR(__xludf.DUMMYFUNCTION("""COMPUTED_VALUE"""),21.22)</f>
        <v>21.22</v>
      </c>
      <c r="H808" s="25">
        <f>IFERROR(__xludf.DUMMYFUNCTION("""COMPUTED_VALUE"""),44432.63611111111)</f>
        <v>44432.63611</v>
      </c>
      <c r="I808" s="22">
        <f>IFERROR(__xludf.DUMMYFUNCTION("""COMPUTED_VALUE"""),24.01)</f>
        <v>24.01</v>
      </c>
      <c r="J808" s="25">
        <f>IFERROR(__xludf.DUMMYFUNCTION("""COMPUTED_VALUE"""),44432.63611111111)</f>
        <v>44432.63611</v>
      </c>
      <c r="K808" s="22">
        <f>IFERROR(__xludf.DUMMYFUNCTION("""COMPUTED_VALUE"""),25.7)</f>
        <v>25.7</v>
      </c>
      <c r="M808" s="22" t="str">
        <f t="shared" si="3"/>
        <v/>
      </c>
      <c r="N808" s="22" t="str">
        <f t="shared" si="4"/>
        <v/>
      </c>
    </row>
    <row r="809" ht="15.75" customHeight="1">
      <c r="A809" s="25">
        <f>IFERROR(__xludf.DUMMYFUNCTION("""COMPUTED_VALUE"""),44433.66666666667)</f>
        <v>44433.66667</v>
      </c>
      <c r="B809" s="22">
        <f>IFERROR(__xludf.DUMMYFUNCTION("""COMPUTED_VALUE"""),4496.19)</f>
        <v>4496.19</v>
      </c>
      <c r="C809" s="25">
        <f>IFERROR(__xludf.DUMMYFUNCTION("""COMPUTED_VALUE"""),44433.63611111111)</f>
        <v>44433.63611</v>
      </c>
      <c r="D809" s="22">
        <f>IFERROR(__xludf.DUMMYFUNCTION("""COMPUTED_VALUE"""),16.79)</f>
        <v>16.79</v>
      </c>
      <c r="E809" s="26">
        <f t="shared" si="2"/>
        <v>0.002220126922</v>
      </c>
      <c r="F809" s="25">
        <f>IFERROR(__xludf.DUMMYFUNCTION("""COMPUTED_VALUE"""),44433.63611111111)</f>
        <v>44433.63611</v>
      </c>
      <c r="G809" s="22">
        <f>IFERROR(__xludf.DUMMYFUNCTION("""COMPUTED_VALUE"""),20.79)</f>
        <v>20.79</v>
      </c>
      <c r="H809" s="25">
        <f>IFERROR(__xludf.DUMMYFUNCTION("""COMPUTED_VALUE"""),44433.63611111111)</f>
        <v>44433.63611</v>
      </c>
      <c r="I809" s="22">
        <f>IFERROR(__xludf.DUMMYFUNCTION("""COMPUTED_VALUE"""),23.64)</f>
        <v>23.64</v>
      </c>
      <c r="J809" s="25">
        <f>IFERROR(__xludf.DUMMYFUNCTION("""COMPUTED_VALUE"""),44433.63611111111)</f>
        <v>44433.63611</v>
      </c>
      <c r="K809" s="22">
        <f>IFERROR(__xludf.DUMMYFUNCTION("""COMPUTED_VALUE"""),25.52)</f>
        <v>25.52</v>
      </c>
      <c r="M809" s="22" t="str">
        <f t="shared" si="3"/>
        <v/>
      </c>
      <c r="N809" s="22" t="str">
        <f t="shared" si="4"/>
        <v/>
      </c>
    </row>
    <row r="810" ht="15.75" customHeight="1">
      <c r="A810" s="25">
        <f>IFERROR(__xludf.DUMMYFUNCTION("""COMPUTED_VALUE"""),44434.66666666667)</f>
        <v>44434.66667</v>
      </c>
      <c r="B810" s="22">
        <f>IFERROR(__xludf.DUMMYFUNCTION("""COMPUTED_VALUE"""),4470.0)</f>
        <v>4470</v>
      </c>
      <c r="C810" s="25">
        <f>IFERROR(__xludf.DUMMYFUNCTION("""COMPUTED_VALUE"""),44434.63611111111)</f>
        <v>44434.63611</v>
      </c>
      <c r="D810" s="22">
        <f>IFERROR(__xludf.DUMMYFUNCTION("""COMPUTED_VALUE"""),18.84)</f>
        <v>18.84</v>
      </c>
      <c r="E810" s="26">
        <f t="shared" si="2"/>
        <v>-0.005824931776</v>
      </c>
      <c r="F810" s="25">
        <f>IFERROR(__xludf.DUMMYFUNCTION("""COMPUTED_VALUE"""),44434.63611111111)</f>
        <v>44434.63611</v>
      </c>
      <c r="G810" s="22">
        <f>IFERROR(__xludf.DUMMYFUNCTION("""COMPUTED_VALUE"""),21.86)</f>
        <v>21.86</v>
      </c>
      <c r="H810" s="25">
        <f>IFERROR(__xludf.DUMMYFUNCTION("""COMPUTED_VALUE"""),44434.63611111111)</f>
        <v>44434.63611</v>
      </c>
      <c r="I810" s="22">
        <f>IFERROR(__xludf.DUMMYFUNCTION("""COMPUTED_VALUE"""),24.4)</f>
        <v>24.4</v>
      </c>
      <c r="J810" s="25">
        <f>IFERROR(__xludf.DUMMYFUNCTION("""COMPUTED_VALUE"""),44434.63611111111)</f>
        <v>44434.63611</v>
      </c>
      <c r="K810" s="22">
        <f>IFERROR(__xludf.DUMMYFUNCTION("""COMPUTED_VALUE"""),25.98)</f>
        <v>25.98</v>
      </c>
      <c r="M810" s="22" t="str">
        <f t="shared" si="3"/>
        <v/>
      </c>
      <c r="N810" s="22" t="str">
        <f t="shared" si="4"/>
        <v/>
      </c>
    </row>
    <row r="811" ht="15.75" customHeight="1">
      <c r="A811" s="25">
        <f>IFERROR(__xludf.DUMMYFUNCTION("""COMPUTED_VALUE"""),44435.66666666667)</f>
        <v>44435.66667</v>
      </c>
      <c r="B811" s="22">
        <f>IFERROR(__xludf.DUMMYFUNCTION("""COMPUTED_VALUE"""),4509.37)</f>
        <v>4509.37</v>
      </c>
      <c r="C811" s="25">
        <f>IFERROR(__xludf.DUMMYFUNCTION("""COMPUTED_VALUE"""),44435.63611111111)</f>
        <v>44435.63611</v>
      </c>
      <c r="D811" s="22">
        <f>IFERROR(__xludf.DUMMYFUNCTION("""COMPUTED_VALUE"""),16.39)</f>
        <v>16.39</v>
      </c>
      <c r="E811" s="26">
        <f t="shared" si="2"/>
        <v>0.008807606264</v>
      </c>
      <c r="F811" s="25">
        <f>IFERROR(__xludf.DUMMYFUNCTION("""COMPUTED_VALUE"""),44435.63611111111)</f>
        <v>44435.63611</v>
      </c>
      <c r="G811" s="22">
        <f>IFERROR(__xludf.DUMMYFUNCTION("""COMPUTED_VALUE"""),20.61)</f>
        <v>20.61</v>
      </c>
      <c r="H811" s="25">
        <f>IFERROR(__xludf.DUMMYFUNCTION("""COMPUTED_VALUE"""),44435.63611111111)</f>
        <v>44435.63611</v>
      </c>
      <c r="I811" s="22">
        <f>IFERROR(__xludf.DUMMYFUNCTION("""COMPUTED_VALUE"""),23.54)</f>
        <v>23.54</v>
      </c>
      <c r="J811" s="25">
        <f>IFERROR(__xludf.DUMMYFUNCTION("""COMPUTED_VALUE"""),44435.63611111111)</f>
        <v>44435.63611</v>
      </c>
      <c r="K811" s="22">
        <f>IFERROR(__xludf.DUMMYFUNCTION("""COMPUTED_VALUE"""),25.32)</f>
        <v>25.32</v>
      </c>
      <c r="M811" s="22" t="str">
        <f t="shared" si="3"/>
        <v/>
      </c>
      <c r="N811" s="22" t="str">
        <f t="shared" si="4"/>
        <v/>
      </c>
    </row>
    <row r="812" ht="15.75" customHeight="1">
      <c r="A812" s="25">
        <f>IFERROR(__xludf.DUMMYFUNCTION("""COMPUTED_VALUE"""),44438.66666666667)</f>
        <v>44438.66667</v>
      </c>
      <c r="B812" s="22">
        <f>IFERROR(__xludf.DUMMYFUNCTION("""COMPUTED_VALUE"""),4528.79)</f>
        <v>4528.79</v>
      </c>
      <c r="C812" s="25">
        <f>IFERROR(__xludf.DUMMYFUNCTION("""COMPUTED_VALUE"""),44438.63611111111)</f>
        <v>44438.63611</v>
      </c>
      <c r="D812" s="22">
        <f>IFERROR(__xludf.DUMMYFUNCTION("""COMPUTED_VALUE"""),16.19)</f>
        <v>16.19</v>
      </c>
      <c r="E812" s="26">
        <f t="shared" si="2"/>
        <v>0.004306588282</v>
      </c>
      <c r="F812" s="25">
        <f>IFERROR(__xludf.DUMMYFUNCTION("""COMPUTED_VALUE"""),44438.63611111111)</f>
        <v>44438.63611</v>
      </c>
      <c r="G812" s="22">
        <f>IFERROR(__xludf.DUMMYFUNCTION("""COMPUTED_VALUE"""),20.4)</f>
        <v>20.4</v>
      </c>
      <c r="H812" s="25">
        <f>IFERROR(__xludf.DUMMYFUNCTION("""COMPUTED_VALUE"""),44438.63611111111)</f>
        <v>44438.63611</v>
      </c>
      <c r="I812" s="22">
        <f>IFERROR(__xludf.DUMMYFUNCTION("""COMPUTED_VALUE"""),23.43)</f>
        <v>23.43</v>
      </c>
      <c r="J812" s="25">
        <f>IFERROR(__xludf.DUMMYFUNCTION("""COMPUTED_VALUE"""),44438.63611111111)</f>
        <v>44438.63611</v>
      </c>
      <c r="K812" s="22">
        <f>IFERROR(__xludf.DUMMYFUNCTION("""COMPUTED_VALUE"""),25.3)</f>
        <v>25.3</v>
      </c>
      <c r="M812" s="22" t="str">
        <f t="shared" si="3"/>
        <v/>
      </c>
      <c r="N812" s="22" t="str">
        <f t="shared" si="4"/>
        <v/>
      </c>
    </row>
    <row r="813" ht="15.75" customHeight="1">
      <c r="A813" s="25">
        <f>IFERROR(__xludf.DUMMYFUNCTION("""COMPUTED_VALUE"""),44439.66666666667)</f>
        <v>44439.66667</v>
      </c>
      <c r="B813" s="22">
        <f>IFERROR(__xludf.DUMMYFUNCTION("""COMPUTED_VALUE"""),4522.68)</f>
        <v>4522.68</v>
      </c>
      <c r="C813" s="25">
        <f>IFERROR(__xludf.DUMMYFUNCTION("""COMPUTED_VALUE"""),44439.63611111111)</f>
        <v>44439.63611</v>
      </c>
      <c r="D813" s="22">
        <f>IFERROR(__xludf.DUMMYFUNCTION("""COMPUTED_VALUE"""),16.48)</f>
        <v>16.48</v>
      </c>
      <c r="E813" s="26">
        <f t="shared" si="2"/>
        <v>-0.00134914624</v>
      </c>
      <c r="F813" s="25">
        <f>IFERROR(__xludf.DUMMYFUNCTION("""COMPUTED_VALUE"""),44439.63611111111)</f>
        <v>44439.63611</v>
      </c>
      <c r="G813" s="22">
        <f>IFERROR(__xludf.DUMMYFUNCTION("""COMPUTED_VALUE"""),20.42)</f>
        <v>20.42</v>
      </c>
      <c r="H813" s="25">
        <f>IFERROR(__xludf.DUMMYFUNCTION("""COMPUTED_VALUE"""),44439.63611111111)</f>
        <v>44439.63611</v>
      </c>
      <c r="I813" s="22">
        <f>IFERROR(__xludf.DUMMYFUNCTION("""COMPUTED_VALUE"""),23.49)</f>
        <v>23.49</v>
      </c>
      <c r="J813" s="25">
        <f>IFERROR(__xludf.DUMMYFUNCTION("""COMPUTED_VALUE"""),44439.63611111111)</f>
        <v>44439.63611</v>
      </c>
      <c r="K813" s="22">
        <f>IFERROR(__xludf.DUMMYFUNCTION("""COMPUTED_VALUE"""),25.32)</f>
        <v>25.32</v>
      </c>
      <c r="M813" s="22" t="str">
        <f t="shared" si="3"/>
        <v/>
      </c>
      <c r="N813" s="22" t="str">
        <f t="shared" si="4"/>
        <v/>
      </c>
    </row>
    <row r="814" ht="15.75" customHeight="1">
      <c r="A814" s="25">
        <f>IFERROR(__xludf.DUMMYFUNCTION("""COMPUTED_VALUE"""),44440.66666666667)</f>
        <v>44440.66667</v>
      </c>
      <c r="B814" s="22">
        <f>IFERROR(__xludf.DUMMYFUNCTION("""COMPUTED_VALUE"""),4524.09)</f>
        <v>4524.09</v>
      </c>
      <c r="C814" s="25">
        <f>IFERROR(__xludf.DUMMYFUNCTION("""COMPUTED_VALUE"""),44440.63611111111)</f>
        <v>44440.63611</v>
      </c>
      <c r="D814" s="22">
        <f>IFERROR(__xludf.DUMMYFUNCTION("""COMPUTED_VALUE"""),16.11)</f>
        <v>16.11</v>
      </c>
      <c r="E814" s="26">
        <f t="shared" si="2"/>
        <v>0.0003117620526</v>
      </c>
      <c r="F814" s="25">
        <f>IFERROR(__xludf.DUMMYFUNCTION("""COMPUTED_VALUE"""),44440.63611111111)</f>
        <v>44440.63611</v>
      </c>
      <c r="G814" s="22">
        <f>IFERROR(__xludf.DUMMYFUNCTION("""COMPUTED_VALUE"""),20.08)</f>
        <v>20.08</v>
      </c>
      <c r="H814" s="25">
        <f>IFERROR(__xludf.DUMMYFUNCTION("""COMPUTED_VALUE"""),44440.63611111111)</f>
        <v>44440.63611</v>
      </c>
      <c r="I814" s="22">
        <f>IFERROR(__xludf.DUMMYFUNCTION("""COMPUTED_VALUE"""),23.27)</f>
        <v>23.27</v>
      </c>
      <c r="J814" s="25">
        <f>IFERROR(__xludf.DUMMYFUNCTION("""COMPUTED_VALUE"""),44440.63611111111)</f>
        <v>44440.63611</v>
      </c>
      <c r="K814" s="22">
        <f>IFERROR(__xludf.DUMMYFUNCTION("""COMPUTED_VALUE"""),25.22)</f>
        <v>25.22</v>
      </c>
      <c r="M814" s="22" t="str">
        <f t="shared" si="3"/>
        <v/>
      </c>
      <c r="N814" s="22" t="str">
        <f t="shared" si="4"/>
        <v/>
      </c>
    </row>
    <row r="815" ht="15.75" customHeight="1">
      <c r="A815" s="25">
        <f>IFERROR(__xludf.DUMMYFUNCTION("""COMPUTED_VALUE"""),44441.66666666667)</f>
        <v>44441.66667</v>
      </c>
      <c r="B815" s="22">
        <f>IFERROR(__xludf.DUMMYFUNCTION("""COMPUTED_VALUE"""),4536.95)</f>
        <v>4536.95</v>
      </c>
      <c r="C815" s="25">
        <f>IFERROR(__xludf.DUMMYFUNCTION("""COMPUTED_VALUE"""),44441.63611111111)</f>
        <v>44441.63611</v>
      </c>
      <c r="D815" s="22">
        <f>IFERROR(__xludf.DUMMYFUNCTION("""COMPUTED_VALUE"""),16.41)</f>
        <v>16.41</v>
      </c>
      <c r="E815" s="26">
        <f t="shared" si="2"/>
        <v>0.002842560603</v>
      </c>
      <c r="F815" s="25">
        <f>IFERROR(__xludf.DUMMYFUNCTION("""COMPUTED_VALUE"""),44441.63611111111)</f>
        <v>44441.63611</v>
      </c>
      <c r="G815" s="22">
        <f>IFERROR(__xludf.DUMMYFUNCTION("""COMPUTED_VALUE"""),20.13)</f>
        <v>20.13</v>
      </c>
      <c r="H815" s="25">
        <f>IFERROR(__xludf.DUMMYFUNCTION("""COMPUTED_VALUE"""),44441.63611111111)</f>
        <v>44441.63611</v>
      </c>
      <c r="I815" s="22">
        <f>IFERROR(__xludf.DUMMYFUNCTION("""COMPUTED_VALUE"""),23.35)</f>
        <v>23.35</v>
      </c>
      <c r="J815" s="25">
        <f>IFERROR(__xludf.DUMMYFUNCTION("""COMPUTED_VALUE"""),44441.63611111111)</f>
        <v>44441.63611</v>
      </c>
      <c r="K815" s="22">
        <f>IFERROR(__xludf.DUMMYFUNCTION("""COMPUTED_VALUE"""),25.12)</f>
        <v>25.12</v>
      </c>
      <c r="M815" s="22" t="str">
        <f t="shared" si="3"/>
        <v/>
      </c>
      <c r="N815" s="22" t="str">
        <f t="shared" si="4"/>
        <v/>
      </c>
    </row>
    <row r="816" ht="15.75" customHeight="1">
      <c r="A816" s="25">
        <f>IFERROR(__xludf.DUMMYFUNCTION("""COMPUTED_VALUE"""),44442.66666666667)</f>
        <v>44442.66667</v>
      </c>
      <c r="B816" s="22">
        <f>IFERROR(__xludf.DUMMYFUNCTION("""COMPUTED_VALUE"""),4535.43)</f>
        <v>4535.43</v>
      </c>
      <c r="C816" s="25">
        <f>IFERROR(__xludf.DUMMYFUNCTION("""COMPUTED_VALUE"""),44442.63611111111)</f>
        <v>44442.63611</v>
      </c>
      <c r="D816" s="22">
        <f>IFERROR(__xludf.DUMMYFUNCTION("""COMPUTED_VALUE"""),16.41)</f>
        <v>16.41</v>
      </c>
      <c r="E816" s="26">
        <f t="shared" si="2"/>
        <v>-0.0003350268352</v>
      </c>
      <c r="F816" s="25">
        <f>IFERROR(__xludf.DUMMYFUNCTION("""COMPUTED_VALUE"""),44442.63611111111)</f>
        <v>44442.63611</v>
      </c>
      <c r="G816" s="22">
        <f>IFERROR(__xludf.DUMMYFUNCTION("""COMPUTED_VALUE"""),20.32)</f>
        <v>20.32</v>
      </c>
      <c r="H816" s="25">
        <f>IFERROR(__xludf.DUMMYFUNCTION("""COMPUTED_VALUE"""),44442.63611111111)</f>
        <v>44442.63611</v>
      </c>
      <c r="I816" s="22">
        <f>IFERROR(__xludf.DUMMYFUNCTION("""COMPUTED_VALUE"""),23.47)</f>
        <v>23.47</v>
      </c>
      <c r="J816" s="25">
        <f>IFERROR(__xludf.DUMMYFUNCTION("""COMPUTED_VALUE"""),44442.63611111111)</f>
        <v>44442.63611</v>
      </c>
      <c r="K816" s="22">
        <f>IFERROR(__xludf.DUMMYFUNCTION("""COMPUTED_VALUE"""),25.49)</f>
        <v>25.49</v>
      </c>
      <c r="M816" s="22" t="str">
        <f t="shared" si="3"/>
        <v/>
      </c>
      <c r="N816" s="22" t="str">
        <f t="shared" si="4"/>
        <v/>
      </c>
    </row>
    <row r="817" ht="15.75" customHeight="1">
      <c r="A817" s="25">
        <f>IFERROR(__xludf.DUMMYFUNCTION("""COMPUTED_VALUE"""),44446.66666666667)</f>
        <v>44446.66667</v>
      </c>
      <c r="B817" s="22">
        <f>IFERROR(__xludf.DUMMYFUNCTION("""COMPUTED_VALUE"""),4520.03)</f>
        <v>4520.03</v>
      </c>
      <c r="C817" s="25">
        <f>IFERROR(__xludf.DUMMYFUNCTION("""COMPUTED_VALUE"""),44446.63611111111)</f>
        <v>44446.63611</v>
      </c>
      <c r="D817" s="22">
        <f>IFERROR(__xludf.DUMMYFUNCTION("""COMPUTED_VALUE"""),18.14)</f>
        <v>18.14</v>
      </c>
      <c r="E817" s="26">
        <f t="shared" si="2"/>
        <v>-0.00339548841</v>
      </c>
      <c r="F817" s="25">
        <f>IFERROR(__xludf.DUMMYFUNCTION("""COMPUTED_VALUE"""),44446.63611111111)</f>
        <v>44446.63611</v>
      </c>
      <c r="G817" s="22">
        <f>IFERROR(__xludf.DUMMYFUNCTION("""COMPUTED_VALUE"""),21.53)</f>
        <v>21.53</v>
      </c>
      <c r="H817" s="25">
        <f>IFERROR(__xludf.DUMMYFUNCTION("""COMPUTED_VALUE"""),44446.63611111111)</f>
        <v>44446.63611</v>
      </c>
      <c r="I817" s="22">
        <f>IFERROR(__xludf.DUMMYFUNCTION("""COMPUTED_VALUE"""),24.28)</f>
        <v>24.28</v>
      </c>
      <c r="J817" s="25">
        <f>IFERROR(__xludf.DUMMYFUNCTION("""COMPUTED_VALUE"""),44446.63611111111)</f>
        <v>44446.63611</v>
      </c>
      <c r="K817" s="22">
        <f>IFERROR(__xludf.DUMMYFUNCTION("""COMPUTED_VALUE"""),26.09)</f>
        <v>26.09</v>
      </c>
      <c r="M817" s="22" t="str">
        <f t="shared" si="3"/>
        <v/>
      </c>
      <c r="N817" s="22" t="str">
        <f t="shared" si="4"/>
        <v/>
      </c>
    </row>
    <row r="818" ht="15.75" customHeight="1">
      <c r="A818" s="25">
        <f>IFERROR(__xludf.DUMMYFUNCTION("""COMPUTED_VALUE"""),44447.66666666667)</f>
        <v>44447.66667</v>
      </c>
      <c r="B818" s="22">
        <f>IFERROR(__xludf.DUMMYFUNCTION("""COMPUTED_VALUE"""),4514.07)</f>
        <v>4514.07</v>
      </c>
      <c r="C818" s="25">
        <f>IFERROR(__xludf.DUMMYFUNCTION("""COMPUTED_VALUE"""),44447.63611111111)</f>
        <v>44447.63611</v>
      </c>
      <c r="D818" s="22">
        <f>IFERROR(__xludf.DUMMYFUNCTION("""COMPUTED_VALUE"""),17.96)</f>
        <v>17.96</v>
      </c>
      <c r="E818" s="26">
        <f t="shared" si="2"/>
        <v>-0.001318575319</v>
      </c>
      <c r="F818" s="25">
        <f>IFERROR(__xludf.DUMMYFUNCTION("""COMPUTED_VALUE"""),44447.63611111111)</f>
        <v>44447.63611</v>
      </c>
      <c r="G818" s="22">
        <f>IFERROR(__xludf.DUMMYFUNCTION("""COMPUTED_VALUE"""),21.59)</f>
        <v>21.59</v>
      </c>
      <c r="H818" s="25">
        <f>IFERROR(__xludf.DUMMYFUNCTION("""COMPUTED_VALUE"""),44447.63611111111)</f>
        <v>44447.63611</v>
      </c>
      <c r="I818" s="22">
        <f>IFERROR(__xludf.DUMMYFUNCTION("""COMPUTED_VALUE"""),24.34)</f>
        <v>24.34</v>
      </c>
      <c r="J818" s="25">
        <f>IFERROR(__xludf.DUMMYFUNCTION("""COMPUTED_VALUE"""),44447.63611111111)</f>
        <v>44447.63611</v>
      </c>
      <c r="K818" s="22">
        <f>IFERROR(__xludf.DUMMYFUNCTION("""COMPUTED_VALUE"""),26.22)</f>
        <v>26.22</v>
      </c>
      <c r="M818" s="22" t="str">
        <f t="shared" si="3"/>
        <v/>
      </c>
      <c r="N818" s="22" t="str">
        <f t="shared" si="4"/>
        <v/>
      </c>
    </row>
    <row r="819" ht="15.75" customHeight="1">
      <c r="A819" s="25">
        <f>IFERROR(__xludf.DUMMYFUNCTION("""COMPUTED_VALUE"""),44448.66666666667)</f>
        <v>44448.66667</v>
      </c>
      <c r="B819" s="22">
        <f>IFERROR(__xludf.DUMMYFUNCTION("""COMPUTED_VALUE"""),4493.28)</f>
        <v>4493.28</v>
      </c>
      <c r="C819" s="25">
        <f>IFERROR(__xludf.DUMMYFUNCTION("""COMPUTED_VALUE"""),44448.63611111111)</f>
        <v>44448.63611</v>
      </c>
      <c r="D819" s="22">
        <f>IFERROR(__xludf.DUMMYFUNCTION("""COMPUTED_VALUE"""),18.8)</f>
        <v>18.8</v>
      </c>
      <c r="E819" s="26">
        <f t="shared" si="2"/>
        <v>-0.004605599825</v>
      </c>
      <c r="F819" s="25">
        <f>IFERROR(__xludf.DUMMYFUNCTION("""COMPUTED_VALUE"""),44448.63611111111)</f>
        <v>44448.63611</v>
      </c>
      <c r="G819" s="22">
        <f>IFERROR(__xludf.DUMMYFUNCTION("""COMPUTED_VALUE"""),22.06)</f>
        <v>22.06</v>
      </c>
      <c r="H819" s="25">
        <f>IFERROR(__xludf.DUMMYFUNCTION("""COMPUTED_VALUE"""),44448.63611111111)</f>
        <v>44448.63611</v>
      </c>
      <c r="I819" s="22">
        <f>IFERROR(__xludf.DUMMYFUNCTION("""COMPUTED_VALUE"""),24.63)</f>
        <v>24.63</v>
      </c>
      <c r="J819" s="25">
        <f>IFERROR(__xludf.DUMMYFUNCTION("""COMPUTED_VALUE"""),44448.63611111111)</f>
        <v>44448.63611</v>
      </c>
      <c r="K819" s="22">
        <f>IFERROR(__xludf.DUMMYFUNCTION("""COMPUTED_VALUE"""),26.46)</f>
        <v>26.46</v>
      </c>
      <c r="M819" s="22" t="str">
        <f t="shared" si="3"/>
        <v/>
      </c>
      <c r="N819" s="22" t="str">
        <f t="shared" si="4"/>
        <v/>
      </c>
    </row>
    <row r="820" ht="15.75" customHeight="1">
      <c r="A820" s="25">
        <f>IFERROR(__xludf.DUMMYFUNCTION("""COMPUTED_VALUE"""),44449.66666666667)</f>
        <v>44449.66667</v>
      </c>
      <c r="B820" s="22">
        <f>IFERROR(__xludf.DUMMYFUNCTION("""COMPUTED_VALUE"""),4458.58)</f>
        <v>4458.58</v>
      </c>
      <c r="C820" s="25">
        <f>IFERROR(__xludf.DUMMYFUNCTION("""COMPUTED_VALUE"""),44449.63611111111)</f>
        <v>44449.63611</v>
      </c>
      <c r="D820" s="22">
        <f>IFERROR(__xludf.DUMMYFUNCTION("""COMPUTED_VALUE"""),20.95)</f>
        <v>20.95</v>
      </c>
      <c r="E820" s="26">
        <f t="shared" si="2"/>
        <v>-0.007722643592</v>
      </c>
      <c r="F820" s="25">
        <f>IFERROR(__xludf.DUMMYFUNCTION("""COMPUTED_VALUE"""),44449.63611111111)</f>
        <v>44449.63611</v>
      </c>
      <c r="G820" s="22">
        <f>IFERROR(__xludf.DUMMYFUNCTION("""COMPUTED_VALUE"""),23.31)</f>
        <v>23.31</v>
      </c>
      <c r="H820" s="25">
        <f>IFERROR(__xludf.DUMMYFUNCTION("""COMPUTED_VALUE"""),44449.63611111111)</f>
        <v>44449.63611</v>
      </c>
      <c r="I820" s="22">
        <f>IFERROR(__xludf.DUMMYFUNCTION("""COMPUTED_VALUE"""),25.29)</f>
        <v>25.29</v>
      </c>
      <c r="J820" s="25">
        <f>IFERROR(__xludf.DUMMYFUNCTION("""COMPUTED_VALUE"""),44449.63611111111)</f>
        <v>44449.63611</v>
      </c>
      <c r="K820" s="22">
        <f>IFERROR(__xludf.DUMMYFUNCTION("""COMPUTED_VALUE"""),27.08)</f>
        <v>27.08</v>
      </c>
      <c r="M820" s="22" t="str">
        <f t="shared" si="3"/>
        <v/>
      </c>
      <c r="N820" s="22" t="str">
        <f t="shared" si="4"/>
        <v/>
      </c>
    </row>
    <row r="821" ht="15.75" customHeight="1">
      <c r="A821" s="25">
        <f>IFERROR(__xludf.DUMMYFUNCTION("""COMPUTED_VALUE"""),44452.66666666667)</f>
        <v>44452.66667</v>
      </c>
      <c r="B821" s="22">
        <f>IFERROR(__xludf.DUMMYFUNCTION("""COMPUTED_VALUE"""),4468.73)</f>
        <v>4468.73</v>
      </c>
      <c r="C821" s="25">
        <f>IFERROR(__xludf.DUMMYFUNCTION("""COMPUTED_VALUE"""),44452.63611111111)</f>
        <v>44452.63611</v>
      </c>
      <c r="D821" s="22">
        <f>IFERROR(__xludf.DUMMYFUNCTION("""COMPUTED_VALUE"""),19.37)</f>
        <v>19.37</v>
      </c>
      <c r="E821" s="26">
        <f t="shared" si="2"/>
        <v>0.002276509561</v>
      </c>
      <c r="F821" s="25">
        <f>IFERROR(__xludf.DUMMYFUNCTION("""COMPUTED_VALUE"""),44452.63611111111)</f>
        <v>44452.63611</v>
      </c>
      <c r="G821" s="22">
        <f>IFERROR(__xludf.DUMMYFUNCTION("""COMPUTED_VALUE"""),22.47)</f>
        <v>22.47</v>
      </c>
      <c r="H821" s="25">
        <f>IFERROR(__xludf.DUMMYFUNCTION("""COMPUTED_VALUE"""),44452.63611111111)</f>
        <v>44452.63611</v>
      </c>
      <c r="I821" s="22">
        <f>IFERROR(__xludf.DUMMYFUNCTION("""COMPUTED_VALUE"""),24.78)</f>
        <v>24.78</v>
      </c>
      <c r="J821" s="25">
        <f>IFERROR(__xludf.DUMMYFUNCTION("""COMPUTED_VALUE"""),44452.63611111111)</f>
        <v>44452.63611</v>
      </c>
      <c r="K821" s="22">
        <f>IFERROR(__xludf.DUMMYFUNCTION("""COMPUTED_VALUE"""),26.62)</f>
        <v>26.62</v>
      </c>
      <c r="M821" s="22" t="str">
        <f t="shared" si="3"/>
        <v/>
      </c>
      <c r="N821" s="22" t="str">
        <f t="shared" si="4"/>
        <v/>
      </c>
    </row>
    <row r="822" ht="15.75" customHeight="1">
      <c r="A822" s="25">
        <f>IFERROR(__xludf.DUMMYFUNCTION("""COMPUTED_VALUE"""),44453.66666666667)</f>
        <v>44453.66667</v>
      </c>
      <c r="B822" s="22">
        <f>IFERROR(__xludf.DUMMYFUNCTION("""COMPUTED_VALUE"""),4443.05)</f>
        <v>4443.05</v>
      </c>
      <c r="C822" s="25">
        <f>IFERROR(__xludf.DUMMYFUNCTION("""COMPUTED_VALUE"""),44453.63611111111)</f>
        <v>44453.63611</v>
      </c>
      <c r="D822" s="22">
        <f>IFERROR(__xludf.DUMMYFUNCTION("""COMPUTED_VALUE"""),19.46)</f>
        <v>19.46</v>
      </c>
      <c r="E822" s="26">
        <f t="shared" si="2"/>
        <v>-0.005746599146</v>
      </c>
      <c r="F822" s="25">
        <f>IFERROR(__xludf.DUMMYFUNCTION("""COMPUTED_VALUE"""),44453.63611111111)</f>
        <v>44453.63611</v>
      </c>
      <c r="G822" s="22">
        <f>IFERROR(__xludf.DUMMYFUNCTION("""COMPUTED_VALUE"""),22.55)</f>
        <v>22.55</v>
      </c>
      <c r="H822" s="25">
        <f>IFERROR(__xludf.DUMMYFUNCTION("""COMPUTED_VALUE"""),44453.63611111111)</f>
        <v>44453.63611</v>
      </c>
      <c r="I822" s="22">
        <f>IFERROR(__xludf.DUMMYFUNCTION("""COMPUTED_VALUE"""),24.87)</f>
        <v>24.87</v>
      </c>
      <c r="J822" s="25">
        <f>IFERROR(__xludf.DUMMYFUNCTION("""COMPUTED_VALUE"""),44453.63611111111)</f>
        <v>44453.63611</v>
      </c>
      <c r="K822" s="22">
        <f>IFERROR(__xludf.DUMMYFUNCTION("""COMPUTED_VALUE"""),26.67)</f>
        <v>26.67</v>
      </c>
      <c r="M822" s="22" t="str">
        <f t="shared" si="3"/>
        <v/>
      </c>
      <c r="N822" s="22" t="str">
        <f t="shared" si="4"/>
        <v/>
      </c>
    </row>
    <row r="823" ht="15.75" customHeight="1">
      <c r="A823" s="25">
        <f>IFERROR(__xludf.DUMMYFUNCTION("""COMPUTED_VALUE"""),44454.66666666667)</f>
        <v>44454.66667</v>
      </c>
      <c r="B823" s="22">
        <f>IFERROR(__xludf.DUMMYFUNCTION("""COMPUTED_VALUE"""),4480.7)</f>
        <v>4480.7</v>
      </c>
      <c r="C823" s="25">
        <f>IFERROR(__xludf.DUMMYFUNCTION("""COMPUTED_VALUE"""),44454.63611111111)</f>
        <v>44454.63611</v>
      </c>
      <c r="D823" s="22">
        <f>IFERROR(__xludf.DUMMYFUNCTION("""COMPUTED_VALUE"""),18.18)</f>
        <v>18.18</v>
      </c>
      <c r="E823" s="26">
        <f t="shared" si="2"/>
        <v>0.008473908689</v>
      </c>
      <c r="F823" s="25">
        <f>IFERROR(__xludf.DUMMYFUNCTION("""COMPUTED_VALUE"""),44454.63611111111)</f>
        <v>44454.63611</v>
      </c>
      <c r="G823" s="22">
        <f>IFERROR(__xludf.DUMMYFUNCTION("""COMPUTED_VALUE"""),21.76)</f>
        <v>21.76</v>
      </c>
      <c r="H823" s="25">
        <f>IFERROR(__xludf.DUMMYFUNCTION("""COMPUTED_VALUE"""),44454.63611111111)</f>
        <v>44454.63611</v>
      </c>
      <c r="I823" s="22">
        <f>IFERROR(__xludf.DUMMYFUNCTION("""COMPUTED_VALUE"""),24.3)</f>
        <v>24.3</v>
      </c>
      <c r="J823" s="25">
        <f>IFERROR(__xludf.DUMMYFUNCTION("""COMPUTED_VALUE"""),44454.63611111111)</f>
        <v>44454.63611</v>
      </c>
      <c r="K823" s="22">
        <f>IFERROR(__xludf.DUMMYFUNCTION("""COMPUTED_VALUE"""),26.28)</f>
        <v>26.28</v>
      </c>
      <c r="M823" s="22" t="str">
        <f t="shared" si="3"/>
        <v/>
      </c>
      <c r="N823" s="22" t="str">
        <f t="shared" si="4"/>
        <v/>
      </c>
    </row>
    <row r="824" ht="15.75" customHeight="1">
      <c r="A824" s="25">
        <f>IFERROR(__xludf.DUMMYFUNCTION("""COMPUTED_VALUE"""),44455.66666666667)</f>
        <v>44455.66667</v>
      </c>
      <c r="B824" s="22">
        <f>IFERROR(__xludf.DUMMYFUNCTION("""COMPUTED_VALUE"""),4473.75)</f>
        <v>4473.75</v>
      </c>
      <c r="C824" s="25">
        <f>IFERROR(__xludf.DUMMYFUNCTION("""COMPUTED_VALUE"""),44455.63611111111)</f>
        <v>44455.63611</v>
      </c>
      <c r="D824" s="22">
        <f>IFERROR(__xludf.DUMMYFUNCTION("""COMPUTED_VALUE"""),18.69)</f>
        <v>18.69</v>
      </c>
      <c r="E824" s="26">
        <f t="shared" si="2"/>
        <v>-0.001551096927</v>
      </c>
      <c r="F824" s="25">
        <f>IFERROR(__xludf.DUMMYFUNCTION("""COMPUTED_VALUE"""),44455.63611111111)</f>
        <v>44455.63611</v>
      </c>
      <c r="G824" s="22">
        <f>IFERROR(__xludf.DUMMYFUNCTION("""COMPUTED_VALUE"""),21.81)</f>
        <v>21.81</v>
      </c>
      <c r="H824" s="25">
        <f>IFERROR(__xludf.DUMMYFUNCTION("""COMPUTED_VALUE"""),44455.63611111111)</f>
        <v>44455.63611</v>
      </c>
      <c r="I824" s="22">
        <f>IFERROR(__xludf.DUMMYFUNCTION("""COMPUTED_VALUE"""),24.34)</f>
        <v>24.34</v>
      </c>
      <c r="J824" s="25">
        <f>IFERROR(__xludf.DUMMYFUNCTION("""COMPUTED_VALUE"""),44455.63611111111)</f>
        <v>44455.63611</v>
      </c>
      <c r="K824" s="22">
        <f>IFERROR(__xludf.DUMMYFUNCTION("""COMPUTED_VALUE"""),26.3)</f>
        <v>26.3</v>
      </c>
      <c r="M824" s="22" t="str">
        <f t="shared" si="3"/>
        <v/>
      </c>
      <c r="N824" s="22" t="str">
        <f t="shared" si="4"/>
        <v/>
      </c>
    </row>
    <row r="825" ht="15.75" customHeight="1">
      <c r="A825" s="25">
        <f>IFERROR(__xludf.DUMMYFUNCTION("""COMPUTED_VALUE"""),44456.66666666667)</f>
        <v>44456.66667</v>
      </c>
      <c r="B825" s="22">
        <f>IFERROR(__xludf.DUMMYFUNCTION("""COMPUTED_VALUE"""),4432.99)</f>
        <v>4432.99</v>
      </c>
      <c r="C825" s="25">
        <f>IFERROR(__xludf.DUMMYFUNCTION("""COMPUTED_VALUE"""),44456.63611111111)</f>
        <v>44456.63611</v>
      </c>
      <c r="D825" s="22">
        <f>IFERROR(__xludf.DUMMYFUNCTION("""COMPUTED_VALUE"""),20.81)</f>
        <v>20.81</v>
      </c>
      <c r="E825" s="26">
        <f t="shared" si="2"/>
        <v>-0.009110924839</v>
      </c>
      <c r="F825" s="25">
        <f>IFERROR(__xludf.DUMMYFUNCTION("""COMPUTED_VALUE"""),44456.63611111111)</f>
        <v>44456.63611</v>
      </c>
      <c r="G825" s="22">
        <f>IFERROR(__xludf.DUMMYFUNCTION("""COMPUTED_VALUE"""),23.22)</f>
        <v>23.22</v>
      </c>
      <c r="H825" s="25">
        <f>IFERROR(__xludf.DUMMYFUNCTION("""COMPUTED_VALUE"""),44456.63611111111)</f>
        <v>44456.63611</v>
      </c>
      <c r="I825" s="22">
        <f>IFERROR(__xludf.DUMMYFUNCTION("""COMPUTED_VALUE"""),25.23)</f>
        <v>25.23</v>
      </c>
      <c r="J825" s="25">
        <f>IFERROR(__xludf.DUMMYFUNCTION("""COMPUTED_VALUE"""),44456.63611111111)</f>
        <v>44456.63611</v>
      </c>
      <c r="K825" s="22">
        <f>IFERROR(__xludf.DUMMYFUNCTION("""COMPUTED_VALUE"""),26.88)</f>
        <v>26.88</v>
      </c>
      <c r="M825" s="22" t="str">
        <f t="shared" si="3"/>
        <v/>
      </c>
      <c r="N825" s="22" t="str">
        <f t="shared" si="4"/>
        <v/>
      </c>
    </row>
    <row r="826" ht="15.75" customHeight="1">
      <c r="A826" s="25">
        <f>IFERROR(__xludf.DUMMYFUNCTION("""COMPUTED_VALUE"""),44459.66666666667)</f>
        <v>44459.66667</v>
      </c>
      <c r="B826" s="22">
        <f>IFERROR(__xludf.DUMMYFUNCTION("""COMPUTED_VALUE"""),4357.73)</f>
        <v>4357.73</v>
      </c>
      <c r="C826" s="25">
        <f>IFERROR(__xludf.DUMMYFUNCTION("""COMPUTED_VALUE"""),44459.63611111111)</f>
        <v>44459.63611</v>
      </c>
      <c r="D826" s="22">
        <f>IFERROR(__xludf.DUMMYFUNCTION("""COMPUTED_VALUE"""),25.71)</f>
        <v>25.71</v>
      </c>
      <c r="E826" s="26">
        <f t="shared" si="2"/>
        <v>-0.01697725463</v>
      </c>
      <c r="F826" s="25">
        <f>IFERROR(__xludf.DUMMYFUNCTION("""COMPUTED_VALUE"""),44459.63611111111)</f>
        <v>44459.63611</v>
      </c>
      <c r="G826" s="22">
        <f>IFERROR(__xludf.DUMMYFUNCTION("""COMPUTED_VALUE"""),26.4)</f>
        <v>26.4</v>
      </c>
      <c r="H826" s="25">
        <f>IFERROR(__xludf.DUMMYFUNCTION("""COMPUTED_VALUE"""),44459.63611111111)</f>
        <v>44459.63611</v>
      </c>
      <c r="I826" s="22">
        <f>IFERROR(__xludf.DUMMYFUNCTION("""COMPUTED_VALUE"""),27.19)</f>
        <v>27.19</v>
      </c>
      <c r="J826" s="25">
        <f>IFERROR(__xludf.DUMMYFUNCTION("""COMPUTED_VALUE"""),44459.63611111111)</f>
        <v>44459.63611</v>
      </c>
      <c r="K826" s="22">
        <f>IFERROR(__xludf.DUMMYFUNCTION("""COMPUTED_VALUE"""),27.46)</f>
        <v>27.46</v>
      </c>
      <c r="M826" s="22" t="str">
        <f t="shared" si="3"/>
        <v/>
      </c>
      <c r="N826" s="22" t="str">
        <f t="shared" si="4"/>
        <v>PREDICT CRASH</v>
      </c>
    </row>
    <row r="827" ht="15.75" customHeight="1">
      <c r="A827" s="25">
        <f>IFERROR(__xludf.DUMMYFUNCTION("""COMPUTED_VALUE"""),44460.66666666667)</f>
        <v>44460.66667</v>
      </c>
      <c r="B827" s="22">
        <f>IFERROR(__xludf.DUMMYFUNCTION("""COMPUTED_VALUE"""),4354.19)</f>
        <v>4354.19</v>
      </c>
      <c r="C827" s="25">
        <f>IFERROR(__xludf.DUMMYFUNCTION("""COMPUTED_VALUE"""),44460.63611111111)</f>
        <v>44460.63611</v>
      </c>
      <c r="D827" s="22">
        <f>IFERROR(__xludf.DUMMYFUNCTION("""COMPUTED_VALUE"""),24.36)</f>
        <v>24.36</v>
      </c>
      <c r="E827" s="26">
        <f t="shared" si="2"/>
        <v>-0.000812349549</v>
      </c>
      <c r="F827" s="25">
        <f>IFERROR(__xludf.DUMMYFUNCTION("""COMPUTED_VALUE"""),44460.63611111111)</f>
        <v>44460.63611</v>
      </c>
      <c r="G827" s="22">
        <f>IFERROR(__xludf.DUMMYFUNCTION("""COMPUTED_VALUE"""),25.47)</f>
        <v>25.47</v>
      </c>
      <c r="H827" s="25">
        <f>IFERROR(__xludf.DUMMYFUNCTION("""COMPUTED_VALUE"""),44460.63611111111)</f>
        <v>44460.63611</v>
      </c>
      <c r="I827" s="22">
        <f>IFERROR(__xludf.DUMMYFUNCTION("""COMPUTED_VALUE"""),26.75)</f>
        <v>26.75</v>
      </c>
      <c r="J827" s="25">
        <f>IFERROR(__xludf.DUMMYFUNCTION("""COMPUTED_VALUE"""),44460.63611111111)</f>
        <v>44460.63611</v>
      </c>
      <c r="K827" s="22">
        <f>IFERROR(__xludf.DUMMYFUNCTION("""COMPUTED_VALUE"""),27.14)</f>
        <v>27.14</v>
      </c>
      <c r="M827" s="22" t="str">
        <f t="shared" si="3"/>
        <v/>
      </c>
      <c r="N827" s="22" t="str">
        <f t="shared" si="4"/>
        <v/>
      </c>
    </row>
    <row r="828" ht="15.75" customHeight="1">
      <c r="A828" s="25">
        <f>IFERROR(__xludf.DUMMYFUNCTION("""COMPUTED_VALUE"""),44461.66666666667)</f>
        <v>44461.66667</v>
      </c>
      <c r="B828" s="22">
        <f>IFERROR(__xludf.DUMMYFUNCTION("""COMPUTED_VALUE"""),4395.64)</f>
        <v>4395.64</v>
      </c>
      <c r="C828" s="25">
        <f>IFERROR(__xludf.DUMMYFUNCTION("""COMPUTED_VALUE"""),44461.63611111111)</f>
        <v>44461.63611</v>
      </c>
      <c r="D828" s="22">
        <f>IFERROR(__xludf.DUMMYFUNCTION("""COMPUTED_VALUE"""),20.87)</f>
        <v>20.87</v>
      </c>
      <c r="E828" s="26">
        <f t="shared" si="2"/>
        <v>0.009519566211</v>
      </c>
      <c r="F828" s="25">
        <f>IFERROR(__xludf.DUMMYFUNCTION("""COMPUTED_VALUE"""),44461.63611111111)</f>
        <v>44461.63611</v>
      </c>
      <c r="G828" s="22">
        <f>IFERROR(__xludf.DUMMYFUNCTION("""COMPUTED_VALUE"""),23.05)</f>
        <v>23.05</v>
      </c>
      <c r="H828" s="25">
        <f>IFERROR(__xludf.DUMMYFUNCTION("""COMPUTED_VALUE"""),44461.63611111111)</f>
        <v>44461.63611</v>
      </c>
      <c r="I828" s="22">
        <f>IFERROR(__xludf.DUMMYFUNCTION("""COMPUTED_VALUE"""),25.07)</f>
        <v>25.07</v>
      </c>
      <c r="J828" s="25">
        <f>IFERROR(__xludf.DUMMYFUNCTION("""COMPUTED_VALUE"""),44461.63611111111)</f>
        <v>44461.63611</v>
      </c>
      <c r="K828" s="22">
        <f>IFERROR(__xludf.DUMMYFUNCTION("""COMPUTED_VALUE"""),26.2)</f>
        <v>26.2</v>
      </c>
      <c r="M828" s="22" t="str">
        <f t="shared" si="3"/>
        <v/>
      </c>
      <c r="N828" s="22" t="str">
        <f t="shared" si="4"/>
        <v/>
      </c>
    </row>
    <row r="829" ht="15.75" customHeight="1">
      <c r="A829" s="25">
        <f>IFERROR(__xludf.DUMMYFUNCTION("""COMPUTED_VALUE"""),44462.66666666667)</f>
        <v>44462.66667</v>
      </c>
      <c r="B829" s="22">
        <f>IFERROR(__xludf.DUMMYFUNCTION("""COMPUTED_VALUE"""),4448.98)</f>
        <v>4448.98</v>
      </c>
      <c r="C829" s="25">
        <f>IFERROR(__xludf.DUMMYFUNCTION("""COMPUTED_VALUE"""),44462.63611111111)</f>
        <v>44462.63611</v>
      </c>
      <c r="D829" s="22">
        <f>IFERROR(__xludf.DUMMYFUNCTION("""COMPUTED_VALUE"""),18.63)</f>
        <v>18.63</v>
      </c>
      <c r="E829" s="26">
        <f t="shared" si="2"/>
        <v>0.01213475171</v>
      </c>
      <c r="F829" s="25">
        <f>IFERROR(__xludf.DUMMYFUNCTION("""COMPUTED_VALUE"""),44462.63611111111)</f>
        <v>44462.63611</v>
      </c>
      <c r="G829" s="22">
        <f>IFERROR(__xludf.DUMMYFUNCTION("""COMPUTED_VALUE"""),21.37)</f>
        <v>21.37</v>
      </c>
      <c r="H829" s="25">
        <f>IFERROR(__xludf.DUMMYFUNCTION("""COMPUTED_VALUE"""),44462.63611111111)</f>
        <v>44462.63611</v>
      </c>
      <c r="I829" s="22">
        <f>IFERROR(__xludf.DUMMYFUNCTION("""COMPUTED_VALUE"""),23.91)</f>
        <v>23.91</v>
      </c>
      <c r="J829" s="25">
        <f>IFERROR(__xludf.DUMMYFUNCTION("""COMPUTED_VALUE"""),44462.63611111111)</f>
        <v>44462.63611</v>
      </c>
      <c r="K829" s="22">
        <f>IFERROR(__xludf.DUMMYFUNCTION("""COMPUTED_VALUE"""),25.49)</f>
        <v>25.49</v>
      </c>
      <c r="M829" s="22" t="str">
        <f t="shared" si="3"/>
        <v/>
      </c>
      <c r="N829" s="22" t="str">
        <f t="shared" si="4"/>
        <v/>
      </c>
    </row>
    <row r="830" ht="15.75" customHeight="1">
      <c r="A830" s="25">
        <f>IFERROR(__xludf.DUMMYFUNCTION("""COMPUTED_VALUE"""),44463.66666666667)</f>
        <v>44463.66667</v>
      </c>
      <c r="B830" s="22">
        <f>IFERROR(__xludf.DUMMYFUNCTION("""COMPUTED_VALUE"""),4455.48)</f>
        <v>4455.48</v>
      </c>
      <c r="C830" s="25">
        <f>IFERROR(__xludf.DUMMYFUNCTION("""COMPUTED_VALUE"""),44463.63611111111)</f>
        <v>44463.63611</v>
      </c>
      <c r="D830" s="22">
        <f>IFERROR(__xludf.DUMMYFUNCTION("""COMPUTED_VALUE"""),17.75)</f>
        <v>17.75</v>
      </c>
      <c r="E830" s="26">
        <f t="shared" si="2"/>
        <v>0.00146100904</v>
      </c>
      <c r="F830" s="25">
        <f>IFERROR(__xludf.DUMMYFUNCTION("""COMPUTED_VALUE"""),44463.63611111111)</f>
        <v>44463.63611</v>
      </c>
      <c r="G830" s="22">
        <f>IFERROR(__xludf.DUMMYFUNCTION("""COMPUTED_VALUE"""),20.82)</f>
        <v>20.82</v>
      </c>
      <c r="H830" s="25">
        <f>IFERROR(__xludf.DUMMYFUNCTION("""COMPUTED_VALUE"""),44463.63611111111)</f>
        <v>44463.63611</v>
      </c>
      <c r="I830" s="22">
        <f>IFERROR(__xludf.DUMMYFUNCTION("""COMPUTED_VALUE"""),23.66)</f>
        <v>23.66</v>
      </c>
      <c r="J830" s="25">
        <f>IFERROR(__xludf.DUMMYFUNCTION("""COMPUTED_VALUE"""),44463.63611111111)</f>
        <v>44463.63611</v>
      </c>
      <c r="K830" s="22">
        <f>IFERROR(__xludf.DUMMYFUNCTION("""COMPUTED_VALUE"""),25.38)</f>
        <v>25.38</v>
      </c>
      <c r="M830" s="22" t="str">
        <f t="shared" si="3"/>
        <v/>
      </c>
      <c r="N830" s="22" t="str">
        <f t="shared" si="4"/>
        <v/>
      </c>
    </row>
    <row r="831" ht="15.75" customHeight="1">
      <c r="A831" s="25">
        <f>IFERROR(__xludf.DUMMYFUNCTION("""COMPUTED_VALUE"""),44466.66666666667)</f>
        <v>44466.66667</v>
      </c>
      <c r="B831" s="22">
        <f>IFERROR(__xludf.DUMMYFUNCTION("""COMPUTED_VALUE"""),4443.11)</f>
        <v>4443.11</v>
      </c>
      <c r="C831" s="25">
        <f>IFERROR(__xludf.DUMMYFUNCTION("""COMPUTED_VALUE"""),44466.63611111111)</f>
        <v>44466.63611</v>
      </c>
      <c r="D831" s="22">
        <f>IFERROR(__xludf.DUMMYFUNCTION("""COMPUTED_VALUE"""),18.76)</f>
        <v>18.76</v>
      </c>
      <c r="E831" s="26">
        <f t="shared" si="2"/>
        <v>-0.002776356307</v>
      </c>
      <c r="F831" s="25">
        <f>IFERROR(__xludf.DUMMYFUNCTION("""COMPUTED_VALUE"""),44466.63611111111)</f>
        <v>44466.63611</v>
      </c>
      <c r="G831" s="22">
        <f>IFERROR(__xludf.DUMMYFUNCTION("""COMPUTED_VALUE"""),21.4)</f>
        <v>21.4</v>
      </c>
      <c r="H831" s="25">
        <f>IFERROR(__xludf.DUMMYFUNCTION("""COMPUTED_VALUE"""),44466.63611111111)</f>
        <v>44466.63611</v>
      </c>
      <c r="I831" s="22">
        <f>IFERROR(__xludf.DUMMYFUNCTION("""COMPUTED_VALUE"""),24.14)</f>
        <v>24.14</v>
      </c>
      <c r="J831" s="25">
        <f>IFERROR(__xludf.DUMMYFUNCTION("""COMPUTED_VALUE"""),44466.63611111111)</f>
        <v>44466.63611</v>
      </c>
      <c r="K831" s="22">
        <f>IFERROR(__xludf.DUMMYFUNCTION("""COMPUTED_VALUE"""),25.81)</f>
        <v>25.81</v>
      </c>
      <c r="M831" s="22" t="str">
        <f t="shared" si="3"/>
        <v/>
      </c>
      <c r="N831" s="22" t="str">
        <f t="shared" si="4"/>
        <v/>
      </c>
    </row>
    <row r="832" ht="15.75" customHeight="1">
      <c r="A832" s="25">
        <f>IFERROR(__xludf.DUMMYFUNCTION("""COMPUTED_VALUE"""),44467.66666666667)</f>
        <v>44467.66667</v>
      </c>
      <c r="B832" s="22">
        <f>IFERROR(__xludf.DUMMYFUNCTION("""COMPUTED_VALUE"""),4352.63)</f>
        <v>4352.63</v>
      </c>
      <c r="C832" s="25">
        <f>IFERROR(__xludf.DUMMYFUNCTION("""COMPUTED_VALUE"""),44467.63611111111)</f>
        <v>44467.63611</v>
      </c>
      <c r="D832" s="22">
        <f>IFERROR(__xludf.DUMMYFUNCTION("""COMPUTED_VALUE"""),23.25)</f>
        <v>23.25</v>
      </c>
      <c r="E832" s="26">
        <f t="shared" si="2"/>
        <v>-0.02036411433</v>
      </c>
      <c r="F832" s="25">
        <f>IFERROR(__xludf.DUMMYFUNCTION("""COMPUTED_VALUE"""),44467.63611111111)</f>
        <v>44467.63611</v>
      </c>
      <c r="G832" s="22">
        <f>IFERROR(__xludf.DUMMYFUNCTION("""COMPUTED_VALUE"""),24.03)</f>
        <v>24.03</v>
      </c>
      <c r="H832" s="25">
        <f>IFERROR(__xludf.DUMMYFUNCTION("""COMPUTED_VALUE"""),44467.63611111111)</f>
        <v>44467.63611</v>
      </c>
      <c r="I832" s="22">
        <f>IFERROR(__xludf.DUMMYFUNCTION("""COMPUTED_VALUE"""),26.08)</f>
        <v>26.08</v>
      </c>
      <c r="J832" s="25">
        <f>IFERROR(__xludf.DUMMYFUNCTION("""COMPUTED_VALUE"""),44467.63611111111)</f>
        <v>44467.63611</v>
      </c>
      <c r="K832" s="22">
        <f>IFERROR(__xludf.DUMMYFUNCTION("""COMPUTED_VALUE"""),27.04)</f>
        <v>27.04</v>
      </c>
      <c r="M832" s="22" t="str">
        <f t="shared" si="3"/>
        <v/>
      </c>
      <c r="N832" s="22" t="str">
        <f t="shared" si="4"/>
        <v/>
      </c>
    </row>
    <row r="833" ht="15.75" customHeight="1">
      <c r="A833" s="25">
        <f>IFERROR(__xludf.DUMMYFUNCTION("""COMPUTED_VALUE"""),44468.66666666667)</f>
        <v>44468.66667</v>
      </c>
      <c r="B833" s="22">
        <f>IFERROR(__xludf.DUMMYFUNCTION("""COMPUTED_VALUE"""),4359.46)</f>
        <v>4359.46</v>
      </c>
      <c r="C833" s="25">
        <f>IFERROR(__xludf.DUMMYFUNCTION("""COMPUTED_VALUE"""),44468.63611111111)</f>
        <v>44468.63611</v>
      </c>
      <c r="D833" s="22">
        <f>IFERROR(__xludf.DUMMYFUNCTION("""COMPUTED_VALUE"""),22.56)</f>
        <v>22.56</v>
      </c>
      <c r="E833" s="26">
        <f t="shared" si="2"/>
        <v>0.001569166228</v>
      </c>
      <c r="F833" s="25">
        <f>IFERROR(__xludf.DUMMYFUNCTION("""COMPUTED_VALUE"""),44468.63611111111)</f>
        <v>44468.63611</v>
      </c>
      <c r="G833" s="22">
        <f>IFERROR(__xludf.DUMMYFUNCTION("""COMPUTED_VALUE"""),23.72)</f>
        <v>23.72</v>
      </c>
      <c r="H833" s="25">
        <f>IFERROR(__xludf.DUMMYFUNCTION("""COMPUTED_VALUE"""),44468.63611111111)</f>
        <v>44468.63611</v>
      </c>
      <c r="I833" s="22">
        <f>IFERROR(__xludf.DUMMYFUNCTION("""COMPUTED_VALUE"""),25.88)</f>
        <v>25.88</v>
      </c>
      <c r="J833" s="25">
        <f>IFERROR(__xludf.DUMMYFUNCTION("""COMPUTED_VALUE"""),44468.63611111111)</f>
        <v>44468.63611</v>
      </c>
      <c r="K833" s="22">
        <f>IFERROR(__xludf.DUMMYFUNCTION("""COMPUTED_VALUE"""),26.8)</f>
        <v>26.8</v>
      </c>
      <c r="M833" s="22" t="str">
        <f t="shared" si="3"/>
        <v/>
      </c>
      <c r="N833" s="22" t="str">
        <f t="shared" si="4"/>
        <v/>
      </c>
    </row>
    <row r="834" ht="15.75" customHeight="1">
      <c r="A834" s="25">
        <f>IFERROR(__xludf.DUMMYFUNCTION("""COMPUTED_VALUE"""),44469.66666666667)</f>
        <v>44469.66667</v>
      </c>
      <c r="B834" s="22">
        <f>IFERROR(__xludf.DUMMYFUNCTION("""COMPUTED_VALUE"""),4307.54)</f>
        <v>4307.54</v>
      </c>
      <c r="C834" s="25">
        <f>IFERROR(__xludf.DUMMYFUNCTION("""COMPUTED_VALUE"""),44469.63611111111)</f>
        <v>44469.63611</v>
      </c>
      <c r="D834" s="22">
        <f>IFERROR(__xludf.DUMMYFUNCTION("""COMPUTED_VALUE"""),23.14)</f>
        <v>23.14</v>
      </c>
      <c r="E834" s="26">
        <f t="shared" si="2"/>
        <v>-0.01190973194</v>
      </c>
      <c r="F834" s="25">
        <f>IFERROR(__xludf.DUMMYFUNCTION("""COMPUTED_VALUE"""),44469.63611111111)</f>
        <v>44469.63611</v>
      </c>
      <c r="G834" s="22">
        <f>IFERROR(__xludf.DUMMYFUNCTION("""COMPUTED_VALUE"""),23.87)</f>
        <v>23.87</v>
      </c>
      <c r="H834" s="25">
        <f>IFERROR(__xludf.DUMMYFUNCTION("""COMPUTED_VALUE"""),44469.63611111111)</f>
        <v>44469.63611</v>
      </c>
      <c r="I834" s="22">
        <f>IFERROR(__xludf.DUMMYFUNCTION("""COMPUTED_VALUE"""),25.92)</f>
        <v>25.92</v>
      </c>
      <c r="J834" s="25">
        <f>IFERROR(__xludf.DUMMYFUNCTION("""COMPUTED_VALUE"""),44469.63611111111)</f>
        <v>44469.63611</v>
      </c>
      <c r="K834" s="22">
        <f>IFERROR(__xludf.DUMMYFUNCTION("""COMPUTED_VALUE"""),26.86)</f>
        <v>26.86</v>
      </c>
      <c r="M834" s="22" t="str">
        <f t="shared" si="3"/>
        <v/>
      </c>
      <c r="N834" s="22" t="str">
        <f t="shared" si="4"/>
        <v/>
      </c>
    </row>
    <row r="835" ht="15.75" customHeight="1">
      <c r="A835" s="25">
        <f>IFERROR(__xludf.DUMMYFUNCTION("""COMPUTED_VALUE"""),44470.66666666667)</f>
        <v>44470.66667</v>
      </c>
      <c r="B835" s="22">
        <f>IFERROR(__xludf.DUMMYFUNCTION("""COMPUTED_VALUE"""),4357.04)</f>
        <v>4357.04</v>
      </c>
      <c r="C835" s="25">
        <f>IFERROR(__xludf.DUMMYFUNCTION("""COMPUTED_VALUE"""),44470.63611111111)</f>
        <v>44470.63611</v>
      </c>
      <c r="D835" s="22">
        <f>IFERROR(__xludf.DUMMYFUNCTION("""COMPUTED_VALUE"""),21.15)</f>
        <v>21.15</v>
      </c>
      <c r="E835" s="26">
        <f t="shared" si="2"/>
        <v>0.01149147773</v>
      </c>
      <c r="F835" s="25">
        <f>IFERROR(__xludf.DUMMYFUNCTION("""COMPUTED_VALUE"""),44470.63611111111)</f>
        <v>44470.63611</v>
      </c>
      <c r="G835" s="22">
        <f>IFERROR(__xludf.DUMMYFUNCTION("""COMPUTED_VALUE"""),23.05)</f>
        <v>23.05</v>
      </c>
      <c r="H835" s="25">
        <f>IFERROR(__xludf.DUMMYFUNCTION("""COMPUTED_VALUE"""),44470.63611111111)</f>
        <v>44470.63611</v>
      </c>
      <c r="I835" s="22">
        <f>IFERROR(__xludf.DUMMYFUNCTION("""COMPUTED_VALUE"""),25.3)</f>
        <v>25.3</v>
      </c>
      <c r="J835" s="25">
        <f>IFERROR(__xludf.DUMMYFUNCTION("""COMPUTED_VALUE"""),44470.63611111111)</f>
        <v>44470.63611</v>
      </c>
      <c r="K835" s="22">
        <f>IFERROR(__xludf.DUMMYFUNCTION("""COMPUTED_VALUE"""),26.82)</f>
        <v>26.82</v>
      </c>
      <c r="M835" s="22" t="str">
        <f t="shared" si="3"/>
        <v/>
      </c>
      <c r="N835" s="22" t="str">
        <f t="shared" si="4"/>
        <v/>
      </c>
    </row>
    <row r="836" ht="15.75" customHeight="1">
      <c r="A836" s="25">
        <f>IFERROR(__xludf.DUMMYFUNCTION("""COMPUTED_VALUE"""),44473.66666666667)</f>
        <v>44473.66667</v>
      </c>
      <c r="B836" s="22">
        <f>IFERROR(__xludf.DUMMYFUNCTION("""COMPUTED_VALUE"""),4300.46)</f>
        <v>4300.46</v>
      </c>
      <c r="C836" s="25">
        <f>IFERROR(__xludf.DUMMYFUNCTION("""COMPUTED_VALUE"""),44473.63611111111)</f>
        <v>44473.63611</v>
      </c>
      <c r="D836" s="22">
        <f>IFERROR(__xludf.DUMMYFUNCTION("""COMPUTED_VALUE"""),22.96)</f>
        <v>22.96</v>
      </c>
      <c r="E836" s="26">
        <f t="shared" si="2"/>
        <v>-0.01298588032</v>
      </c>
      <c r="F836" s="25">
        <f>IFERROR(__xludf.DUMMYFUNCTION("""COMPUTED_VALUE"""),44473.63611111111)</f>
        <v>44473.63611</v>
      </c>
      <c r="G836" s="22">
        <f>IFERROR(__xludf.DUMMYFUNCTION("""COMPUTED_VALUE"""),24.11)</f>
        <v>24.11</v>
      </c>
      <c r="H836" s="25">
        <f>IFERROR(__xludf.DUMMYFUNCTION("""COMPUTED_VALUE"""),44473.63611111111)</f>
        <v>44473.63611</v>
      </c>
      <c r="I836" s="22">
        <f>IFERROR(__xludf.DUMMYFUNCTION("""COMPUTED_VALUE"""),26.02)</f>
        <v>26.02</v>
      </c>
      <c r="J836" s="25">
        <f>IFERROR(__xludf.DUMMYFUNCTION("""COMPUTED_VALUE"""),44473.63611111111)</f>
        <v>44473.63611</v>
      </c>
      <c r="K836" s="22">
        <f>IFERROR(__xludf.DUMMYFUNCTION("""COMPUTED_VALUE"""),27.2)</f>
        <v>27.2</v>
      </c>
      <c r="M836" s="22" t="str">
        <f t="shared" si="3"/>
        <v/>
      </c>
      <c r="N836" s="22" t="str">
        <f t="shared" si="4"/>
        <v/>
      </c>
    </row>
    <row r="837" ht="15.75" customHeight="1">
      <c r="A837" s="25">
        <f>IFERROR(__xludf.DUMMYFUNCTION("""COMPUTED_VALUE"""),44474.66666666667)</f>
        <v>44474.66667</v>
      </c>
      <c r="B837" s="22">
        <f>IFERROR(__xludf.DUMMYFUNCTION("""COMPUTED_VALUE"""),4345.72)</f>
        <v>4345.72</v>
      </c>
      <c r="C837" s="25">
        <f>IFERROR(__xludf.DUMMYFUNCTION("""COMPUTED_VALUE"""),44474.63611111111)</f>
        <v>44474.63611</v>
      </c>
      <c r="D837" s="22">
        <f>IFERROR(__xludf.DUMMYFUNCTION("""COMPUTED_VALUE"""),21.3)</f>
        <v>21.3</v>
      </c>
      <c r="E837" s="26">
        <f t="shared" si="2"/>
        <v>0.01052445552</v>
      </c>
      <c r="F837" s="25">
        <f>IFERROR(__xludf.DUMMYFUNCTION("""COMPUTED_VALUE"""),44474.63611111111)</f>
        <v>44474.63611</v>
      </c>
      <c r="G837" s="22">
        <f>IFERROR(__xludf.DUMMYFUNCTION("""COMPUTED_VALUE"""),23.11)</f>
        <v>23.11</v>
      </c>
      <c r="H837" s="25">
        <f>IFERROR(__xludf.DUMMYFUNCTION("""COMPUTED_VALUE"""),44474.63611111111)</f>
        <v>44474.63611</v>
      </c>
      <c r="I837" s="22">
        <f>IFERROR(__xludf.DUMMYFUNCTION("""COMPUTED_VALUE"""),25.3)</f>
        <v>25.3</v>
      </c>
      <c r="J837" s="25">
        <f>IFERROR(__xludf.DUMMYFUNCTION("""COMPUTED_VALUE"""),44474.63611111111)</f>
        <v>44474.63611</v>
      </c>
      <c r="K837" s="22">
        <f>IFERROR(__xludf.DUMMYFUNCTION("""COMPUTED_VALUE"""),26.57)</f>
        <v>26.57</v>
      </c>
      <c r="M837" s="22" t="str">
        <f t="shared" si="3"/>
        <v/>
      </c>
      <c r="N837" s="22" t="str">
        <f t="shared" si="4"/>
        <v/>
      </c>
    </row>
    <row r="838" ht="15.75" customHeight="1">
      <c r="A838" s="25">
        <f>IFERROR(__xludf.DUMMYFUNCTION("""COMPUTED_VALUE"""),44475.66666666667)</f>
        <v>44475.66667</v>
      </c>
      <c r="B838" s="22">
        <f>IFERROR(__xludf.DUMMYFUNCTION("""COMPUTED_VALUE"""),4363.55)</f>
        <v>4363.55</v>
      </c>
      <c r="C838" s="25">
        <f>IFERROR(__xludf.DUMMYFUNCTION("""COMPUTED_VALUE"""),44475.63611111111)</f>
        <v>44475.63611</v>
      </c>
      <c r="D838" s="22">
        <f>IFERROR(__xludf.DUMMYFUNCTION("""COMPUTED_VALUE"""),21.0)</f>
        <v>21</v>
      </c>
      <c r="E838" s="26">
        <f t="shared" si="2"/>
        <v>0.004102887439</v>
      </c>
      <c r="F838" s="25">
        <f>IFERROR(__xludf.DUMMYFUNCTION("""COMPUTED_VALUE"""),44475.63611111111)</f>
        <v>44475.63611</v>
      </c>
      <c r="G838" s="22">
        <f>IFERROR(__xludf.DUMMYFUNCTION("""COMPUTED_VALUE"""),22.84)</f>
        <v>22.84</v>
      </c>
      <c r="H838" s="25">
        <f>IFERROR(__xludf.DUMMYFUNCTION("""COMPUTED_VALUE"""),44475.63611111111)</f>
        <v>44475.63611</v>
      </c>
      <c r="I838" s="22">
        <f>IFERROR(__xludf.DUMMYFUNCTION("""COMPUTED_VALUE"""),25.04)</f>
        <v>25.04</v>
      </c>
      <c r="J838" s="25">
        <f>IFERROR(__xludf.DUMMYFUNCTION("""COMPUTED_VALUE"""),44475.63611111111)</f>
        <v>44475.63611</v>
      </c>
      <c r="K838" s="22">
        <f>IFERROR(__xludf.DUMMYFUNCTION("""COMPUTED_VALUE"""),26.43)</f>
        <v>26.43</v>
      </c>
      <c r="M838" s="22" t="str">
        <f t="shared" si="3"/>
        <v/>
      </c>
      <c r="N838" s="22" t="str">
        <f t="shared" si="4"/>
        <v/>
      </c>
    </row>
    <row r="839" ht="15.75" customHeight="1">
      <c r="A839" s="25">
        <f>IFERROR(__xludf.DUMMYFUNCTION("""COMPUTED_VALUE"""),44476.66666666667)</f>
        <v>44476.66667</v>
      </c>
      <c r="B839" s="22">
        <f>IFERROR(__xludf.DUMMYFUNCTION("""COMPUTED_VALUE"""),4399.76)</f>
        <v>4399.76</v>
      </c>
      <c r="C839" s="25">
        <f>IFERROR(__xludf.DUMMYFUNCTION("""COMPUTED_VALUE"""),44476.63611111111)</f>
        <v>44476.63611</v>
      </c>
      <c r="D839" s="22">
        <f>IFERROR(__xludf.DUMMYFUNCTION("""COMPUTED_VALUE"""),19.54)</f>
        <v>19.54</v>
      </c>
      <c r="E839" s="26">
        <f t="shared" si="2"/>
        <v>0.008298289237</v>
      </c>
      <c r="F839" s="25">
        <f>IFERROR(__xludf.DUMMYFUNCTION("""COMPUTED_VALUE"""),44476.63611111111)</f>
        <v>44476.63611</v>
      </c>
      <c r="G839" s="22">
        <f>IFERROR(__xludf.DUMMYFUNCTION("""COMPUTED_VALUE"""),22.12)</f>
        <v>22.12</v>
      </c>
      <c r="H839" s="25">
        <f>IFERROR(__xludf.DUMMYFUNCTION("""COMPUTED_VALUE"""),44476.63611111111)</f>
        <v>44476.63611</v>
      </c>
      <c r="I839" s="22">
        <f>IFERROR(__xludf.DUMMYFUNCTION("""COMPUTED_VALUE"""),24.64)</f>
        <v>24.64</v>
      </c>
      <c r="J839" s="25">
        <f>IFERROR(__xludf.DUMMYFUNCTION("""COMPUTED_VALUE"""),44476.63611111111)</f>
        <v>44476.63611</v>
      </c>
      <c r="K839" s="22">
        <f>IFERROR(__xludf.DUMMYFUNCTION("""COMPUTED_VALUE"""),26.12)</f>
        <v>26.12</v>
      </c>
      <c r="M839" s="22" t="str">
        <f t="shared" si="3"/>
        <v/>
      </c>
      <c r="N839" s="22" t="str">
        <f t="shared" si="4"/>
        <v/>
      </c>
    </row>
    <row r="840" ht="15.75" customHeight="1">
      <c r="A840" s="25">
        <f>IFERROR(__xludf.DUMMYFUNCTION("""COMPUTED_VALUE"""),44477.66666666667)</f>
        <v>44477.66667</v>
      </c>
      <c r="B840" s="22">
        <f>IFERROR(__xludf.DUMMYFUNCTION("""COMPUTED_VALUE"""),4391.34)</f>
        <v>4391.34</v>
      </c>
      <c r="C840" s="25">
        <f>IFERROR(__xludf.DUMMYFUNCTION("""COMPUTED_VALUE"""),44477.63611111111)</f>
        <v>44477.63611</v>
      </c>
      <c r="D840" s="22">
        <f>IFERROR(__xludf.DUMMYFUNCTION("""COMPUTED_VALUE"""),18.77)</f>
        <v>18.77</v>
      </c>
      <c r="E840" s="26">
        <f t="shared" si="2"/>
        <v>-0.001913740749</v>
      </c>
      <c r="F840" s="25">
        <f>IFERROR(__xludf.DUMMYFUNCTION("""COMPUTED_VALUE"""),44477.63611111111)</f>
        <v>44477.63611</v>
      </c>
      <c r="G840" s="22">
        <f>IFERROR(__xludf.DUMMYFUNCTION("""COMPUTED_VALUE"""),21.88)</f>
        <v>21.88</v>
      </c>
      <c r="H840" s="25">
        <f>IFERROR(__xludf.DUMMYFUNCTION("""COMPUTED_VALUE"""),44477.63611111111)</f>
        <v>44477.63611</v>
      </c>
      <c r="I840" s="22">
        <f>IFERROR(__xludf.DUMMYFUNCTION("""COMPUTED_VALUE"""),24.46)</f>
        <v>24.46</v>
      </c>
      <c r="J840" s="25">
        <f>IFERROR(__xludf.DUMMYFUNCTION("""COMPUTED_VALUE"""),44477.63611111111)</f>
        <v>44477.63611</v>
      </c>
      <c r="K840" s="22">
        <f>IFERROR(__xludf.DUMMYFUNCTION("""COMPUTED_VALUE"""),26.21)</f>
        <v>26.21</v>
      </c>
      <c r="M840" s="22" t="str">
        <f t="shared" si="3"/>
        <v/>
      </c>
      <c r="N840" s="22" t="str">
        <f t="shared" si="4"/>
        <v/>
      </c>
    </row>
    <row r="841" ht="15.75" customHeight="1">
      <c r="A841" s="25">
        <f>IFERROR(__xludf.DUMMYFUNCTION("""COMPUTED_VALUE"""),44480.66666666667)</f>
        <v>44480.66667</v>
      </c>
      <c r="B841" s="22">
        <f>IFERROR(__xludf.DUMMYFUNCTION("""COMPUTED_VALUE"""),4361.19)</f>
        <v>4361.19</v>
      </c>
      <c r="C841" s="25">
        <f>IFERROR(__xludf.DUMMYFUNCTION("""COMPUTED_VALUE"""),44480.63611111111)</f>
        <v>44480.63611</v>
      </c>
      <c r="D841" s="22">
        <f>IFERROR(__xludf.DUMMYFUNCTION("""COMPUTED_VALUE"""),20.0)</f>
        <v>20</v>
      </c>
      <c r="E841" s="26">
        <f t="shared" si="2"/>
        <v>-0.006865785842</v>
      </c>
      <c r="F841" s="25">
        <f>IFERROR(__xludf.DUMMYFUNCTION("""COMPUTED_VALUE"""),44480.63611111111)</f>
        <v>44480.63611</v>
      </c>
      <c r="G841" s="22">
        <f>IFERROR(__xludf.DUMMYFUNCTION("""COMPUTED_VALUE"""),22.39)</f>
        <v>22.39</v>
      </c>
      <c r="H841" s="25">
        <f>IFERROR(__xludf.DUMMYFUNCTION("""COMPUTED_VALUE"""),44480.63611111111)</f>
        <v>44480.63611</v>
      </c>
      <c r="I841" s="22">
        <f>IFERROR(__xludf.DUMMYFUNCTION("""COMPUTED_VALUE"""),24.76)</f>
        <v>24.76</v>
      </c>
      <c r="J841" s="25">
        <f>IFERROR(__xludf.DUMMYFUNCTION("""COMPUTED_VALUE"""),44480.63611111111)</f>
        <v>44480.63611</v>
      </c>
      <c r="K841" s="22">
        <f>IFERROR(__xludf.DUMMYFUNCTION("""COMPUTED_VALUE"""),26.27)</f>
        <v>26.27</v>
      </c>
      <c r="M841" s="22" t="str">
        <f t="shared" si="3"/>
        <v/>
      </c>
      <c r="N841" s="22" t="str">
        <f t="shared" si="4"/>
        <v/>
      </c>
    </row>
    <row r="842" ht="15.75" customHeight="1">
      <c r="A842" s="25">
        <f>IFERROR(__xludf.DUMMYFUNCTION("""COMPUTED_VALUE"""),44481.66666666667)</f>
        <v>44481.66667</v>
      </c>
      <c r="B842" s="22">
        <f>IFERROR(__xludf.DUMMYFUNCTION("""COMPUTED_VALUE"""),4350.65)</f>
        <v>4350.65</v>
      </c>
      <c r="C842" s="25">
        <f>IFERROR(__xludf.DUMMYFUNCTION("""COMPUTED_VALUE"""),44481.63611111111)</f>
        <v>44481.63611</v>
      </c>
      <c r="D842" s="22">
        <f>IFERROR(__xludf.DUMMYFUNCTION("""COMPUTED_VALUE"""),19.85)</f>
        <v>19.85</v>
      </c>
      <c r="E842" s="26">
        <f t="shared" si="2"/>
        <v>-0.002416771569</v>
      </c>
      <c r="F842" s="25">
        <f>IFERROR(__xludf.DUMMYFUNCTION("""COMPUTED_VALUE"""),44481.63611111111)</f>
        <v>44481.63611</v>
      </c>
      <c r="G842" s="22">
        <f>IFERROR(__xludf.DUMMYFUNCTION("""COMPUTED_VALUE"""),22.33)</f>
        <v>22.33</v>
      </c>
      <c r="H842" s="25">
        <f>IFERROR(__xludf.DUMMYFUNCTION("""COMPUTED_VALUE"""),44481.63611111111)</f>
        <v>44481.63611</v>
      </c>
      <c r="I842" s="22">
        <f>IFERROR(__xludf.DUMMYFUNCTION("""COMPUTED_VALUE"""),24.65)</f>
        <v>24.65</v>
      </c>
      <c r="J842" s="25">
        <f>IFERROR(__xludf.DUMMYFUNCTION("""COMPUTED_VALUE"""),44481.63611111111)</f>
        <v>44481.63611</v>
      </c>
      <c r="K842" s="22">
        <f>IFERROR(__xludf.DUMMYFUNCTION("""COMPUTED_VALUE"""),26.18)</f>
        <v>26.18</v>
      </c>
      <c r="M842" s="22" t="str">
        <f t="shared" si="3"/>
        <v/>
      </c>
      <c r="N842" s="22" t="str">
        <f t="shared" si="4"/>
        <v/>
      </c>
    </row>
    <row r="843" ht="15.75" customHeight="1">
      <c r="A843" s="25">
        <f>IFERROR(__xludf.DUMMYFUNCTION("""COMPUTED_VALUE"""),44482.66666666667)</f>
        <v>44482.66667</v>
      </c>
      <c r="B843" s="22">
        <f>IFERROR(__xludf.DUMMYFUNCTION("""COMPUTED_VALUE"""),4363.8)</f>
        <v>4363.8</v>
      </c>
      <c r="C843" s="25">
        <f>IFERROR(__xludf.DUMMYFUNCTION("""COMPUTED_VALUE"""),44482.63611111111)</f>
        <v>44482.63611</v>
      </c>
      <c r="D843" s="22">
        <f>IFERROR(__xludf.DUMMYFUNCTION("""COMPUTED_VALUE"""),18.64)</f>
        <v>18.64</v>
      </c>
      <c r="E843" s="26">
        <f t="shared" si="2"/>
        <v>0.003022536862</v>
      </c>
      <c r="F843" s="25">
        <f>IFERROR(__xludf.DUMMYFUNCTION("""COMPUTED_VALUE"""),44482.63611111111)</f>
        <v>44482.63611</v>
      </c>
      <c r="G843" s="22">
        <f>IFERROR(__xludf.DUMMYFUNCTION("""COMPUTED_VALUE"""),21.54)</f>
        <v>21.54</v>
      </c>
      <c r="H843" s="25">
        <f>IFERROR(__xludf.DUMMYFUNCTION("""COMPUTED_VALUE"""),44482.63611111111)</f>
        <v>44482.63611</v>
      </c>
      <c r="I843" s="22">
        <f>IFERROR(__xludf.DUMMYFUNCTION("""COMPUTED_VALUE"""),24.07)</f>
        <v>24.07</v>
      </c>
      <c r="J843" s="25">
        <f>IFERROR(__xludf.DUMMYFUNCTION("""COMPUTED_VALUE"""),44482.63611111111)</f>
        <v>44482.63611</v>
      </c>
      <c r="K843" s="22">
        <f>IFERROR(__xludf.DUMMYFUNCTION("""COMPUTED_VALUE"""),25.86)</f>
        <v>25.86</v>
      </c>
      <c r="M843" s="22" t="str">
        <f t="shared" si="3"/>
        <v/>
      </c>
      <c r="N843" s="22" t="str">
        <f t="shared" si="4"/>
        <v/>
      </c>
    </row>
    <row r="844" ht="15.75" customHeight="1">
      <c r="A844" s="25">
        <f>IFERROR(__xludf.DUMMYFUNCTION("""COMPUTED_VALUE"""),44483.66666666667)</f>
        <v>44483.66667</v>
      </c>
      <c r="B844" s="22">
        <f>IFERROR(__xludf.DUMMYFUNCTION("""COMPUTED_VALUE"""),4438.26)</f>
        <v>4438.26</v>
      </c>
      <c r="C844" s="25">
        <f>IFERROR(__xludf.DUMMYFUNCTION("""COMPUTED_VALUE"""),44483.63611111111)</f>
        <v>44483.63611</v>
      </c>
      <c r="D844" s="22">
        <f>IFERROR(__xludf.DUMMYFUNCTION("""COMPUTED_VALUE"""),16.86)</f>
        <v>16.86</v>
      </c>
      <c r="E844" s="26">
        <f t="shared" si="2"/>
        <v>0.01706311013</v>
      </c>
      <c r="F844" s="25">
        <f>IFERROR(__xludf.DUMMYFUNCTION("""COMPUTED_VALUE"""),44483.63611111111)</f>
        <v>44483.63611</v>
      </c>
      <c r="G844" s="22">
        <f>IFERROR(__xludf.DUMMYFUNCTION("""COMPUTED_VALUE"""),20.37)</f>
        <v>20.37</v>
      </c>
      <c r="H844" s="25">
        <f>IFERROR(__xludf.DUMMYFUNCTION("""COMPUTED_VALUE"""),44483.63611111111)</f>
        <v>44483.63611</v>
      </c>
      <c r="I844" s="22">
        <f>IFERROR(__xludf.DUMMYFUNCTION("""COMPUTED_VALUE"""),23.27)</f>
        <v>23.27</v>
      </c>
      <c r="J844" s="25">
        <f>IFERROR(__xludf.DUMMYFUNCTION("""COMPUTED_VALUE"""),44483.63611111111)</f>
        <v>44483.63611</v>
      </c>
      <c r="K844" s="22">
        <f>IFERROR(__xludf.DUMMYFUNCTION("""COMPUTED_VALUE"""),25.31)</f>
        <v>25.31</v>
      </c>
      <c r="M844" s="22" t="str">
        <f t="shared" si="3"/>
        <v/>
      </c>
      <c r="N844" s="22" t="str">
        <f t="shared" si="4"/>
        <v/>
      </c>
    </row>
    <row r="845" ht="15.75" customHeight="1">
      <c r="A845" s="25">
        <f>IFERROR(__xludf.DUMMYFUNCTION("""COMPUTED_VALUE"""),44484.66666666667)</f>
        <v>44484.66667</v>
      </c>
      <c r="B845" s="22">
        <f>IFERROR(__xludf.DUMMYFUNCTION("""COMPUTED_VALUE"""),4471.37)</f>
        <v>4471.37</v>
      </c>
      <c r="C845" s="25">
        <f>IFERROR(__xludf.DUMMYFUNCTION("""COMPUTED_VALUE"""),44484.63611111111)</f>
        <v>44484.63611</v>
      </c>
      <c r="D845" s="22">
        <f>IFERROR(__xludf.DUMMYFUNCTION("""COMPUTED_VALUE"""),16.3)</f>
        <v>16.3</v>
      </c>
      <c r="E845" s="26">
        <f t="shared" si="2"/>
        <v>0.007460130772</v>
      </c>
      <c r="F845" s="25">
        <f>IFERROR(__xludf.DUMMYFUNCTION("""COMPUTED_VALUE"""),44484.63611111111)</f>
        <v>44484.63611</v>
      </c>
      <c r="G845" s="22">
        <f>IFERROR(__xludf.DUMMYFUNCTION("""COMPUTED_VALUE"""),20.3)</f>
        <v>20.3</v>
      </c>
      <c r="H845" s="25">
        <f>IFERROR(__xludf.DUMMYFUNCTION("""COMPUTED_VALUE"""),44484.63611111111)</f>
        <v>44484.63611</v>
      </c>
      <c r="I845" s="22">
        <f>IFERROR(__xludf.DUMMYFUNCTION("""COMPUTED_VALUE"""),23.43)</f>
        <v>23.43</v>
      </c>
      <c r="J845" s="25">
        <f>IFERROR(__xludf.DUMMYFUNCTION("""COMPUTED_VALUE"""),44484.63611111111)</f>
        <v>44484.63611</v>
      </c>
      <c r="K845" s="22">
        <f>IFERROR(__xludf.DUMMYFUNCTION("""COMPUTED_VALUE"""),25.49)</f>
        <v>25.49</v>
      </c>
      <c r="M845" s="22" t="str">
        <f t="shared" si="3"/>
        <v/>
      </c>
      <c r="N845" s="22" t="str">
        <f t="shared" si="4"/>
        <v/>
      </c>
    </row>
    <row r="846" ht="15.75" customHeight="1">
      <c r="A846" s="25">
        <f>IFERROR(__xludf.DUMMYFUNCTION("""COMPUTED_VALUE"""),44487.66666666667)</f>
        <v>44487.66667</v>
      </c>
      <c r="B846" s="22">
        <f>IFERROR(__xludf.DUMMYFUNCTION("""COMPUTED_VALUE"""),4486.46)</f>
        <v>4486.46</v>
      </c>
      <c r="C846" s="25">
        <f>IFERROR(__xludf.DUMMYFUNCTION("""COMPUTED_VALUE"""),44487.63611111111)</f>
        <v>44487.63611</v>
      </c>
      <c r="D846" s="22">
        <f>IFERROR(__xludf.DUMMYFUNCTION("""COMPUTED_VALUE"""),16.31)</f>
        <v>16.31</v>
      </c>
      <c r="E846" s="26">
        <f t="shared" si="2"/>
        <v>0.00337480459</v>
      </c>
      <c r="F846" s="25">
        <f>IFERROR(__xludf.DUMMYFUNCTION("""COMPUTED_VALUE"""),44487.63611111111)</f>
        <v>44487.63611</v>
      </c>
      <c r="G846" s="22">
        <f>IFERROR(__xludf.DUMMYFUNCTION("""COMPUTED_VALUE"""),20.29)</f>
        <v>20.29</v>
      </c>
      <c r="H846" s="25">
        <f>IFERROR(__xludf.DUMMYFUNCTION("""COMPUTED_VALUE"""),44487.63611111111)</f>
        <v>44487.63611</v>
      </c>
      <c r="I846" s="22">
        <f>IFERROR(__xludf.DUMMYFUNCTION("""COMPUTED_VALUE"""),23.64)</f>
        <v>23.64</v>
      </c>
      <c r="J846" s="25">
        <f>IFERROR(__xludf.DUMMYFUNCTION("""COMPUTED_VALUE"""),44487.63611111111)</f>
        <v>44487.63611</v>
      </c>
      <c r="K846" s="22">
        <f>IFERROR(__xludf.DUMMYFUNCTION("""COMPUTED_VALUE"""),25.67)</f>
        <v>25.67</v>
      </c>
      <c r="M846" s="22" t="str">
        <f t="shared" si="3"/>
        <v/>
      </c>
      <c r="N846" s="22" t="str">
        <f t="shared" si="4"/>
        <v/>
      </c>
    </row>
    <row r="847" ht="15.75" customHeight="1">
      <c r="A847" s="25">
        <f>IFERROR(__xludf.DUMMYFUNCTION("""COMPUTED_VALUE"""),44488.66666666667)</f>
        <v>44488.66667</v>
      </c>
      <c r="B847" s="22">
        <f>IFERROR(__xludf.DUMMYFUNCTION("""COMPUTED_VALUE"""),4519.63)</f>
        <v>4519.63</v>
      </c>
      <c r="C847" s="25">
        <f>IFERROR(__xludf.DUMMYFUNCTION("""COMPUTED_VALUE"""),44488.63611111111)</f>
        <v>44488.63611</v>
      </c>
      <c r="D847" s="22">
        <f>IFERROR(__xludf.DUMMYFUNCTION("""COMPUTED_VALUE"""),15.7)</f>
        <v>15.7</v>
      </c>
      <c r="E847" s="26">
        <f t="shared" si="2"/>
        <v>0.007393356901</v>
      </c>
      <c r="F847" s="25">
        <f>IFERROR(__xludf.DUMMYFUNCTION("""COMPUTED_VALUE"""),44488.63611111111)</f>
        <v>44488.63611</v>
      </c>
      <c r="G847" s="22">
        <f>IFERROR(__xludf.DUMMYFUNCTION("""COMPUTED_VALUE"""),19.98)</f>
        <v>19.98</v>
      </c>
      <c r="H847" s="25">
        <f>IFERROR(__xludf.DUMMYFUNCTION("""COMPUTED_VALUE"""),44488.63611111111)</f>
        <v>44488.63611</v>
      </c>
      <c r="I847" s="22">
        <f>IFERROR(__xludf.DUMMYFUNCTION("""COMPUTED_VALUE"""),23.23)</f>
        <v>23.23</v>
      </c>
      <c r="J847" s="25">
        <f>IFERROR(__xludf.DUMMYFUNCTION("""COMPUTED_VALUE"""),44488.63611111111)</f>
        <v>44488.63611</v>
      </c>
      <c r="K847" s="22">
        <f>IFERROR(__xludf.DUMMYFUNCTION("""COMPUTED_VALUE"""),25.46)</f>
        <v>25.46</v>
      </c>
      <c r="M847" s="22" t="str">
        <f t="shared" si="3"/>
        <v/>
      </c>
      <c r="N847" s="22" t="str">
        <f t="shared" si="4"/>
        <v/>
      </c>
    </row>
    <row r="848" ht="15.75" customHeight="1">
      <c r="A848" s="25">
        <f>IFERROR(__xludf.DUMMYFUNCTION("""COMPUTED_VALUE"""),44489.66666666667)</f>
        <v>44489.66667</v>
      </c>
      <c r="B848" s="22">
        <f>IFERROR(__xludf.DUMMYFUNCTION("""COMPUTED_VALUE"""),4536.19)</f>
        <v>4536.19</v>
      </c>
      <c r="C848" s="25">
        <f>IFERROR(__xludf.DUMMYFUNCTION("""COMPUTED_VALUE"""),44489.63611111111)</f>
        <v>44489.63611</v>
      </c>
      <c r="D848" s="22">
        <f>IFERROR(__xludf.DUMMYFUNCTION("""COMPUTED_VALUE"""),15.49)</f>
        <v>15.49</v>
      </c>
      <c r="E848" s="26">
        <f t="shared" si="2"/>
        <v>0.003664016745</v>
      </c>
      <c r="F848" s="25">
        <f>IFERROR(__xludf.DUMMYFUNCTION("""COMPUTED_VALUE"""),44489.63611111111)</f>
        <v>44489.63611</v>
      </c>
      <c r="G848" s="22">
        <f>IFERROR(__xludf.DUMMYFUNCTION("""COMPUTED_VALUE"""),19.87)</f>
        <v>19.87</v>
      </c>
      <c r="H848" s="25">
        <f>IFERROR(__xludf.DUMMYFUNCTION("""COMPUTED_VALUE"""),44489.63611111111)</f>
        <v>44489.63611</v>
      </c>
      <c r="I848" s="22">
        <f>IFERROR(__xludf.DUMMYFUNCTION("""COMPUTED_VALUE"""),23.06)</f>
        <v>23.06</v>
      </c>
      <c r="J848" s="25">
        <f>IFERROR(__xludf.DUMMYFUNCTION("""COMPUTED_VALUE"""),44489.63611111111)</f>
        <v>44489.63611</v>
      </c>
      <c r="K848" s="22">
        <f>IFERROR(__xludf.DUMMYFUNCTION("""COMPUTED_VALUE"""),25.36)</f>
        <v>25.36</v>
      </c>
      <c r="M848" s="22" t="str">
        <f t="shared" si="3"/>
        <v/>
      </c>
      <c r="N848" s="22" t="str">
        <f t="shared" si="4"/>
        <v/>
      </c>
    </row>
    <row r="849" ht="15.75" customHeight="1">
      <c r="A849" s="25">
        <f>IFERROR(__xludf.DUMMYFUNCTION("""COMPUTED_VALUE"""),44490.66666666667)</f>
        <v>44490.66667</v>
      </c>
      <c r="B849" s="22">
        <f>IFERROR(__xludf.DUMMYFUNCTION("""COMPUTED_VALUE"""),4549.78)</f>
        <v>4549.78</v>
      </c>
      <c r="C849" s="25">
        <f>IFERROR(__xludf.DUMMYFUNCTION("""COMPUTED_VALUE"""),44490.63611111111)</f>
        <v>44490.63611</v>
      </c>
      <c r="D849" s="22">
        <f>IFERROR(__xludf.DUMMYFUNCTION("""COMPUTED_VALUE"""),15.01)</f>
        <v>15.01</v>
      </c>
      <c r="E849" s="26">
        <f t="shared" si="2"/>
        <v>0.002995906256</v>
      </c>
      <c r="F849" s="25">
        <f>IFERROR(__xludf.DUMMYFUNCTION("""COMPUTED_VALUE"""),44490.63611111111)</f>
        <v>44490.63611</v>
      </c>
      <c r="G849" s="22">
        <f>IFERROR(__xludf.DUMMYFUNCTION("""COMPUTED_VALUE"""),19.48)</f>
        <v>19.48</v>
      </c>
      <c r="H849" s="25">
        <f>IFERROR(__xludf.DUMMYFUNCTION("""COMPUTED_VALUE"""),44490.63611111111)</f>
        <v>44490.63611</v>
      </c>
      <c r="I849" s="22">
        <f>IFERROR(__xludf.DUMMYFUNCTION("""COMPUTED_VALUE"""),22.83)</f>
        <v>22.83</v>
      </c>
      <c r="J849" s="25">
        <f>IFERROR(__xludf.DUMMYFUNCTION("""COMPUTED_VALUE"""),44490.63611111111)</f>
        <v>44490.63611</v>
      </c>
      <c r="K849" s="22">
        <f>IFERROR(__xludf.DUMMYFUNCTION("""COMPUTED_VALUE"""),25.16)</f>
        <v>25.16</v>
      </c>
      <c r="M849" s="22" t="str">
        <f t="shared" si="3"/>
        <v/>
      </c>
      <c r="N849" s="22" t="str">
        <f t="shared" si="4"/>
        <v/>
      </c>
    </row>
    <row r="850" ht="15.75" customHeight="1">
      <c r="A850" s="25">
        <f>IFERROR(__xludf.DUMMYFUNCTION("""COMPUTED_VALUE"""),44491.66666666667)</f>
        <v>44491.66667</v>
      </c>
      <c r="B850" s="22">
        <f>IFERROR(__xludf.DUMMYFUNCTION("""COMPUTED_VALUE"""),4544.9)</f>
        <v>4544.9</v>
      </c>
      <c r="C850" s="25">
        <f>IFERROR(__xludf.DUMMYFUNCTION("""COMPUTED_VALUE"""),44491.63611111111)</f>
        <v>44491.63611</v>
      </c>
      <c r="D850" s="22">
        <f>IFERROR(__xludf.DUMMYFUNCTION("""COMPUTED_VALUE"""),15.43)</f>
        <v>15.43</v>
      </c>
      <c r="E850" s="26">
        <f t="shared" si="2"/>
        <v>-0.001072579334</v>
      </c>
      <c r="F850" s="25">
        <f>IFERROR(__xludf.DUMMYFUNCTION("""COMPUTED_VALUE"""),44491.63611111111)</f>
        <v>44491.63611</v>
      </c>
      <c r="G850" s="22">
        <f>IFERROR(__xludf.DUMMYFUNCTION("""COMPUTED_VALUE"""),20.01)</f>
        <v>20.01</v>
      </c>
      <c r="H850" s="25">
        <f>IFERROR(__xludf.DUMMYFUNCTION("""COMPUTED_VALUE"""),44491.63611111111)</f>
        <v>44491.63611</v>
      </c>
      <c r="I850" s="22">
        <f>IFERROR(__xludf.DUMMYFUNCTION("""COMPUTED_VALUE"""),23.22)</f>
        <v>23.22</v>
      </c>
      <c r="J850" s="25">
        <f>IFERROR(__xludf.DUMMYFUNCTION("""COMPUTED_VALUE"""),44491.63611111111)</f>
        <v>44491.63611</v>
      </c>
      <c r="K850" s="22">
        <f>IFERROR(__xludf.DUMMYFUNCTION("""COMPUTED_VALUE"""),25.29)</f>
        <v>25.29</v>
      </c>
      <c r="M850" s="22" t="str">
        <f t="shared" si="3"/>
        <v/>
      </c>
      <c r="N850" s="22" t="str">
        <f t="shared" si="4"/>
        <v/>
      </c>
    </row>
    <row r="851" ht="15.75" customHeight="1">
      <c r="A851" s="25">
        <f>IFERROR(__xludf.DUMMYFUNCTION("""COMPUTED_VALUE"""),44494.66666666667)</f>
        <v>44494.66667</v>
      </c>
      <c r="B851" s="22">
        <f>IFERROR(__xludf.DUMMYFUNCTION("""COMPUTED_VALUE"""),4566.48)</f>
        <v>4566.48</v>
      </c>
      <c r="C851" s="25">
        <f>IFERROR(__xludf.DUMMYFUNCTION("""COMPUTED_VALUE"""),44494.63611111111)</f>
        <v>44494.63611</v>
      </c>
      <c r="D851" s="22">
        <f>IFERROR(__xludf.DUMMYFUNCTION("""COMPUTED_VALUE"""),15.24)</f>
        <v>15.24</v>
      </c>
      <c r="E851" s="26">
        <f t="shared" si="2"/>
        <v>0.004748179278</v>
      </c>
      <c r="F851" s="25">
        <f>IFERROR(__xludf.DUMMYFUNCTION("""COMPUTED_VALUE"""),44494.63611111111)</f>
        <v>44494.63611</v>
      </c>
      <c r="G851" s="22">
        <f>IFERROR(__xludf.DUMMYFUNCTION("""COMPUTED_VALUE"""),19.56)</f>
        <v>19.56</v>
      </c>
      <c r="H851" s="25">
        <f>IFERROR(__xludf.DUMMYFUNCTION("""COMPUTED_VALUE"""),44494.63611111111)</f>
        <v>44494.63611</v>
      </c>
      <c r="I851" s="22">
        <f>IFERROR(__xludf.DUMMYFUNCTION("""COMPUTED_VALUE"""),22.76)</f>
        <v>22.76</v>
      </c>
      <c r="J851" s="25">
        <f>IFERROR(__xludf.DUMMYFUNCTION("""COMPUTED_VALUE"""),44494.63611111111)</f>
        <v>44494.63611</v>
      </c>
      <c r="K851" s="22">
        <f>IFERROR(__xludf.DUMMYFUNCTION("""COMPUTED_VALUE"""),24.82)</f>
        <v>24.82</v>
      </c>
      <c r="M851" s="22" t="str">
        <f t="shared" si="3"/>
        <v/>
      </c>
      <c r="N851" s="22" t="str">
        <f t="shared" si="4"/>
        <v/>
      </c>
    </row>
    <row r="852" ht="15.75" customHeight="1">
      <c r="A852" s="25">
        <f>IFERROR(__xludf.DUMMYFUNCTION("""COMPUTED_VALUE"""),44495.66666666667)</f>
        <v>44495.66667</v>
      </c>
      <c r="B852" s="22">
        <f>IFERROR(__xludf.DUMMYFUNCTION("""COMPUTED_VALUE"""),4574.79)</f>
        <v>4574.79</v>
      </c>
      <c r="C852" s="25">
        <f>IFERROR(__xludf.DUMMYFUNCTION("""COMPUTED_VALUE"""),44495.63611111111)</f>
        <v>44495.63611</v>
      </c>
      <c r="D852" s="22">
        <f>IFERROR(__xludf.DUMMYFUNCTION("""COMPUTED_VALUE"""),15.98)</f>
        <v>15.98</v>
      </c>
      <c r="E852" s="26">
        <f t="shared" si="2"/>
        <v>0.001819782414</v>
      </c>
      <c r="F852" s="25">
        <f>IFERROR(__xludf.DUMMYFUNCTION("""COMPUTED_VALUE"""),44495.63611111111)</f>
        <v>44495.63611</v>
      </c>
      <c r="G852" s="22">
        <f>IFERROR(__xludf.DUMMYFUNCTION("""COMPUTED_VALUE"""),20.11)</f>
        <v>20.11</v>
      </c>
      <c r="H852" s="25">
        <f>IFERROR(__xludf.DUMMYFUNCTION("""COMPUTED_VALUE"""),44495.63611111111)</f>
        <v>44495.63611</v>
      </c>
      <c r="I852" s="22">
        <f>IFERROR(__xludf.DUMMYFUNCTION("""COMPUTED_VALUE"""),23.03)</f>
        <v>23.03</v>
      </c>
      <c r="J852" s="25">
        <f>IFERROR(__xludf.DUMMYFUNCTION("""COMPUTED_VALUE"""),44495.63611111111)</f>
        <v>44495.63611</v>
      </c>
      <c r="K852" s="22">
        <f>IFERROR(__xludf.DUMMYFUNCTION("""COMPUTED_VALUE"""),25.04)</f>
        <v>25.04</v>
      </c>
      <c r="M852" s="22" t="str">
        <f t="shared" si="3"/>
        <v/>
      </c>
      <c r="N852" s="22" t="str">
        <f t="shared" si="4"/>
        <v/>
      </c>
    </row>
    <row r="853" ht="15.75" customHeight="1">
      <c r="A853" s="25">
        <f>IFERROR(__xludf.DUMMYFUNCTION("""COMPUTED_VALUE"""),44496.66666666667)</f>
        <v>44496.66667</v>
      </c>
      <c r="B853" s="22">
        <f>IFERROR(__xludf.DUMMYFUNCTION("""COMPUTED_VALUE"""),4551.68)</f>
        <v>4551.68</v>
      </c>
      <c r="C853" s="25">
        <f>IFERROR(__xludf.DUMMYFUNCTION("""COMPUTED_VALUE"""),44496.63611111111)</f>
        <v>44496.63611</v>
      </c>
      <c r="D853" s="22">
        <f>IFERROR(__xludf.DUMMYFUNCTION("""COMPUTED_VALUE"""),16.98)</f>
        <v>16.98</v>
      </c>
      <c r="E853" s="26">
        <f t="shared" si="2"/>
        <v>-0.005051597997</v>
      </c>
      <c r="F853" s="25">
        <f>IFERROR(__xludf.DUMMYFUNCTION("""COMPUTED_VALUE"""),44496.63611111111)</f>
        <v>44496.63611</v>
      </c>
      <c r="G853" s="22">
        <f>IFERROR(__xludf.DUMMYFUNCTION("""COMPUTED_VALUE"""),20.89)</f>
        <v>20.89</v>
      </c>
      <c r="H853" s="25">
        <f>IFERROR(__xludf.DUMMYFUNCTION("""COMPUTED_VALUE"""),44496.63611111111)</f>
        <v>44496.63611</v>
      </c>
      <c r="I853" s="22">
        <f>IFERROR(__xludf.DUMMYFUNCTION("""COMPUTED_VALUE"""),23.7)</f>
        <v>23.7</v>
      </c>
      <c r="J853" s="25">
        <f>IFERROR(__xludf.DUMMYFUNCTION("""COMPUTED_VALUE"""),44496.63611111111)</f>
        <v>44496.63611</v>
      </c>
      <c r="K853" s="22">
        <f>IFERROR(__xludf.DUMMYFUNCTION("""COMPUTED_VALUE"""),25.03)</f>
        <v>25.03</v>
      </c>
      <c r="M853" s="22" t="str">
        <f t="shared" si="3"/>
        <v/>
      </c>
      <c r="N853" s="22" t="str">
        <f t="shared" si="4"/>
        <v/>
      </c>
    </row>
    <row r="854" ht="15.75" customHeight="1">
      <c r="A854" s="25">
        <f>IFERROR(__xludf.DUMMYFUNCTION("""COMPUTED_VALUE"""),44497.66666666667)</f>
        <v>44497.66667</v>
      </c>
      <c r="B854" s="22">
        <f>IFERROR(__xludf.DUMMYFUNCTION("""COMPUTED_VALUE"""),4596.42)</f>
        <v>4596.42</v>
      </c>
      <c r="C854" s="25">
        <f>IFERROR(__xludf.DUMMYFUNCTION("""COMPUTED_VALUE"""),44497.63611111111)</f>
        <v>44497.63611</v>
      </c>
      <c r="D854" s="22">
        <f>IFERROR(__xludf.DUMMYFUNCTION("""COMPUTED_VALUE"""),16.53)</f>
        <v>16.53</v>
      </c>
      <c r="E854" s="26">
        <f t="shared" si="2"/>
        <v>0.009829337739</v>
      </c>
      <c r="F854" s="25">
        <f>IFERROR(__xludf.DUMMYFUNCTION("""COMPUTED_VALUE"""),44497.63611111111)</f>
        <v>44497.63611</v>
      </c>
      <c r="G854" s="22">
        <f>IFERROR(__xludf.DUMMYFUNCTION("""COMPUTED_VALUE"""),20.48)</f>
        <v>20.48</v>
      </c>
      <c r="H854" s="25">
        <f>IFERROR(__xludf.DUMMYFUNCTION("""COMPUTED_VALUE"""),44497.63611111111)</f>
        <v>44497.63611</v>
      </c>
      <c r="I854" s="22">
        <f>IFERROR(__xludf.DUMMYFUNCTION("""COMPUTED_VALUE"""),23.43)</f>
        <v>23.43</v>
      </c>
      <c r="J854" s="25">
        <f>IFERROR(__xludf.DUMMYFUNCTION("""COMPUTED_VALUE"""),44497.63611111111)</f>
        <v>44497.63611</v>
      </c>
      <c r="K854" s="22">
        <f>IFERROR(__xludf.DUMMYFUNCTION("""COMPUTED_VALUE"""),24.92)</f>
        <v>24.92</v>
      </c>
      <c r="M854" s="22" t="str">
        <f t="shared" si="3"/>
        <v/>
      </c>
      <c r="N854" s="22" t="str">
        <f t="shared" si="4"/>
        <v/>
      </c>
    </row>
    <row r="855" ht="15.75" customHeight="1">
      <c r="A855" s="25">
        <f>IFERROR(__xludf.DUMMYFUNCTION("""COMPUTED_VALUE"""),44498.66666666667)</f>
        <v>44498.66667</v>
      </c>
      <c r="B855" s="22">
        <f>IFERROR(__xludf.DUMMYFUNCTION("""COMPUTED_VALUE"""),4605.38)</f>
        <v>4605.38</v>
      </c>
      <c r="C855" s="25">
        <f>IFERROR(__xludf.DUMMYFUNCTION("""COMPUTED_VALUE"""),44498.63611111111)</f>
        <v>44498.63611</v>
      </c>
      <c r="D855" s="22">
        <f>IFERROR(__xludf.DUMMYFUNCTION("""COMPUTED_VALUE"""),16.26)</f>
        <v>16.26</v>
      </c>
      <c r="E855" s="26">
        <f t="shared" si="2"/>
        <v>0.001949343184</v>
      </c>
      <c r="F855" s="25">
        <f>IFERROR(__xludf.DUMMYFUNCTION("""COMPUTED_VALUE"""),44498.63611111111)</f>
        <v>44498.63611</v>
      </c>
      <c r="G855" s="22">
        <f>IFERROR(__xludf.DUMMYFUNCTION("""COMPUTED_VALUE"""),20.37)</f>
        <v>20.37</v>
      </c>
      <c r="H855" s="25">
        <f>IFERROR(__xludf.DUMMYFUNCTION("""COMPUTED_VALUE"""),44498.63611111111)</f>
        <v>44498.63611</v>
      </c>
      <c r="I855" s="22">
        <f>IFERROR(__xludf.DUMMYFUNCTION("""COMPUTED_VALUE"""),23.35)</f>
        <v>23.35</v>
      </c>
      <c r="J855" s="25">
        <f>IFERROR(__xludf.DUMMYFUNCTION("""COMPUTED_VALUE"""),44498.63611111111)</f>
        <v>44498.63611</v>
      </c>
      <c r="K855" s="22">
        <f>IFERROR(__xludf.DUMMYFUNCTION("""COMPUTED_VALUE"""),24.8)</f>
        <v>24.8</v>
      </c>
      <c r="M855" s="22" t="str">
        <f t="shared" si="3"/>
        <v/>
      </c>
      <c r="N855" s="22" t="str">
        <f t="shared" si="4"/>
        <v/>
      </c>
    </row>
    <row r="856" ht="15.75" customHeight="1">
      <c r="A856" s="25">
        <f>IFERROR(__xludf.DUMMYFUNCTION("""COMPUTED_VALUE"""),44501.66666666667)</f>
        <v>44501.66667</v>
      </c>
      <c r="B856" s="22">
        <f>IFERROR(__xludf.DUMMYFUNCTION("""COMPUTED_VALUE"""),4613.67)</f>
        <v>4613.67</v>
      </c>
      <c r="C856" s="25">
        <f>IFERROR(__xludf.DUMMYFUNCTION("""COMPUTED_VALUE"""),44501.63611111111)</f>
        <v>44501.63611</v>
      </c>
      <c r="D856" s="22">
        <f>IFERROR(__xludf.DUMMYFUNCTION("""COMPUTED_VALUE"""),16.41)</f>
        <v>16.41</v>
      </c>
      <c r="E856" s="26">
        <f t="shared" si="2"/>
        <v>0.001800068615</v>
      </c>
      <c r="F856" s="25">
        <f>IFERROR(__xludf.DUMMYFUNCTION("""COMPUTED_VALUE"""),44501.63611111111)</f>
        <v>44501.63611</v>
      </c>
      <c r="G856" s="22">
        <f>IFERROR(__xludf.DUMMYFUNCTION("""COMPUTED_VALUE"""),20.39)</f>
        <v>20.39</v>
      </c>
      <c r="H856" s="25">
        <f>IFERROR(__xludf.DUMMYFUNCTION("""COMPUTED_VALUE"""),44501.63611111111)</f>
        <v>44501.63611</v>
      </c>
      <c r="I856" s="22">
        <f>IFERROR(__xludf.DUMMYFUNCTION("""COMPUTED_VALUE"""),23.33)</f>
        <v>23.33</v>
      </c>
      <c r="J856" s="25">
        <f>IFERROR(__xludf.DUMMYFUNCTION("""COMPUTED_VALUE"""),44501.63611111111)</f>
        <v>44501.63611</v>
      </c>
      <c r="K856" s="22">
        <f>IFERROR(__xludf.DUMMYFUNCTION("""COMPUTED_VALUE"""),24.67)</f>
        <v>24.67</v>
      </c>
      <c r="M856" s="22" t="str">
        <f t="shared" si="3"/>
        <v/>
      </c>
      <c r="N856" s="22" t="str">
        <f t="shared" si="4"/>
        <v/>
      </c>
    </row>
    <row r="857" ht="15.75" customHeight="1">
      <c r="A857" s="25">
        <f>IFERROR(__xludf.DUMMYFUNCTION("""COMPUTED_VALUE"""),44502.66666666667)</f>
        <v>44502.66667</v>
      </c>
      <c r="B857" s="22">
        <f>IFERROR(__xludf.DUMMYFUNCTION("""COMPUTED_VALUE"""),4630.65)</f>
        <v>4630.65</v>
      </c>
      <c r="C857" s="25">
        <f>IFERROR(__xludf.DUMMYFUNCTION("""COMPUTED_VALUE"""),44502.63611111111)</f>
        <v>44502.63611</v>
      </c>
      <c r="D857" s="22">
        <f>IFERROR(__xludf.DUMMYFUNCTION("""COMPUTED_VALUE"""),16.03)</f>
        <v>16.03</v>
      </c>
      <c r="E857" s="26">
        <f t="shared" si="2"/>
        <v>0.003680367256</v>
      </c>
      <c r="F857" s="25">
        <f>IFERROR(__xludf.DUMMYFUNCTION("""COMPUTED_VALUE"""),44502.63611111111)</f>
        <v>44502.63611</v>
      </c>
      <c r="G857" s="22">
        <f>IFERROR(__xludf.DUMMYFUNCTION("""COMPUTED_VALUE"""),20.1)</f>
        <v>20.1</v>
      </c>
      <c r="H857" s="25">
        <f>IFERROR(__xludf.DUMMYFUNCTION("""COMPUTED_VALUE"""),44502.63611111111)</f>
        <v>44502.63611</v>
      </c>
      <c r="I857" s="22">
        <f>IFERROR(__xludf.DUMMYFUNCTION("""COMPUTED_VALUE"""),23.13)</f>
        <v>23.13</v>
      </c>
      <c r="J857" s="25">
        <f>IFERROR(__xludf.DUMMYFUNCTION("""COMPUTED_VALUE"""),44502.63611111111)</f>
        <v>44502.63611</v>
      </c>
      <c r="K857" s="22">
        <f>IFERROR(__xludf.DUMMYFUNCTION("""COMPUTED_VALUE"""),24.72)</f>
        <v>24.72</v>
      </c>
      <c r="M857" s="22" t="str">
        <f t="shared" si="3"/>
        <v/>
      </c>
      <c r="N857" s="22" t="str">
        <f t="shared" si="4"/>
        <v/>
      </c>
    </row>
    <row r="858" ht="15.75" customHeight="1">
      <c r="A858" s="25">
        <f>IFERROR(__xludf.DUMMYFUNCTION("""COMPUTED_VALUE"""),44503.66666666667)</f>
        <v>44503.66667</v>
      </c>
      <c r="B858" s="22">
        <f>IFERROR(__xludf.DUMMYFUNCTION("""COMPUTED_VALUE"""),4660.57)</f>
        <v>4660.57</v>
      </c>
      <c r="C858" s="25">
        <f>IFERROR(__xludf.DUMMYFUNCTION("""COMPUTED_VALUE"""),44503.63611111111)</f>
        <v>44503.63611</v>
      </c>
      <c r="D858" s="22">
        <f>IFERROR(__xludf.DUMMYFUNCTION("""COMPUTED_VALUE"""),15.1)</f>
        <v>15.1</v>
      </c>
      <c r="E858" s="26">
        <f t="shared" si="2"/>
        <v>0.00646129593</v>
      </c>
      <c r="F858" s="25">
        <f>IFERROR(__xludf.DUMMYFUNCTION("""COMPUTED_VALUE"""),44503.63611111111)</f>
        <v>44503.63611</v>
      </c>
      <c r="G858" s="22">
        <f>IFERROR(__xludf.DUMMYFUNCTION("""COMPUTED_VALUE"""),19.5)</f>
        <v>19.5</v>
      </c>
      <c r="H858" s="25">
        <f>IFERROR(__xludf.DUMMYFUNCTION("""COMPUTED_VALUE"""),44503.63611111111)</f>
        <v>44503.63611</v>
      </c>
      <c r="I858" s="22">
        <f>IFERROR(__xludf.DUMMYFUNCTION("""COMPUTED_VALUE"""),22.7)</f>
        <v>22.7</v>
      </c>
      <c r="J858" s="25">
        <f>IFERROR(__xludf.DUMMYFUNCTION("""COMPUTED_VALUE"""),44503.63611111111)</f>
        <v>44503.63611</v>
      </c>
      <c r="K858" s="22">
        <f>IFERROR(__xludf.DUMMYFUNCTION("""COMPUTED_VALUE"""),24.71)</f>
        <v>24.71</v>
      </c>
      <c r="M858" s="22" t="str">
        <f t="shared" si="3"/>
        <v/>
      </c>
      <c r="N858" s="22" t="str">
        <f t="shared" si="4"/>
        <v/>
      </c>
    </row>
    <row r="859" ht="15.75" customHeight="1">
      <c r="A859" s="25">
        <f>IFERROR(__xludf.DUMMYFUNCTION("""COMPUTED_VALUE"""),44504.66666666667)</f>
        <v>44504.66667</v>
      </c>
      <c r="B859" s="22">
        <f>IFERROR(__xludf.DUMMYFUNCTION("""COMPUTED_VALUE"""),4680.06)</f>
        <v>4680.06</v>
      </c>
      <c r="C859" s="25">
        <f>IFERROR(__xludf.DUMMYFUNCTION("""COMPUTED_VALUE"""),44504.63611111111)</f>
        <v>44504.63611</v>
      </c>
      <c r="D859" s="22">
        <f>IFERROR(__xludf.DUMMYFUNCTION("""COMPUTED_VALUE"""),15.44)</f>
        <v>15.44</v>
      </c>
      <c r="E859" s="26">
        <f t="shared" si="2"/>
        <v>0.004181891915</v>
      </c>
      <c r="F859" s="25">
        <f>IFERROR(__xludf.DUMMYFUNCTION("""COMPUTED_VALUE"""),44504.63611111111)</f>
        <v>44504.63611</v>
      </c>
      <c r="G859" s="22">
        <f>IFERROR(__xludf.DUMMYFUNCTION("""COMPUTED_VALUE"""),19.7)</f>
        <v>19.7</v>
      </c>
      <c r="H859" s="25">
        <f>IFERROR(__xludf.DUMMYFUNCTION("""COMPUTED_VALUE"""),44504.63611111111)</f>
        <v>44504.63611</v>
      </c>
      <c r="I859" s="22">
        <f>IFERROR(__xludf.DUMMYFUNCTION("""COMPUTED_VALUE"""),22.87)</f>
        <v>22.87</v>
      </c>
      <c r="J859" s="25">
        <f>IFERROR(__xludf.DUMMYFUNCTION("""COMPUTED_VALUE"""),44504.63611111111)</f>
        <v>44504.63611</v>
      </c>
      <c r="K859" s="22">
        <f>IFERROR(__xludf.DUMMYFUNCTION("""COMPUTED_VALUE"""),24.86)</f>
        <v>24.86</v>
      </c>
      <c r="M859" s="22" t="str">
        <f t="shared" si="3"/>
        <v/>
      </c>
      <c r="N859" s="22" t="str">
        <f t="shared" si="4"/>
        <v/>
      </c>
    </row>
    <row r="860" ht="15.75" customHeight="1">
      <c r="A860" s="25">
        <f>IFERROR(__xludf.DUMMYFUNCTION("""COMPUTED_VALUE"""),44505.66666666667)</f>
        <v>44505.66667</v>
      </c>
      <c r="B860" s="22">
        <f>IFERROR(__xludf.DUMMYFUNCTION("""COMPUTED_VALUE"""),4697.53)</f>
        <v>4697.53</v>
      </c>
      <c r="C860" s="25">
        <f>IFERROR(__xludf.DUMMYFUNCTION("""COMPUTED_VALUE"""),44505.63611111111)</f>
        <v>44505.63611</v>
      </c>
      <c r="D860" s="22">
        <f>IFERROR(__xludf.DUMMYFUNCTION("""COMPUTED_VALUE"""),16.48)</f>
        <v>16.48</v>
      </c>
      <c r="E860" s="26">
        <f t="shared" si="2"/>
        <v>0.003732858126</v>
      </c>
      <c r="F860" s="25">
        <f>IFERROR(__xludf.DUMMYFUNCTION("""COMPUTED_VALUE"""),44505.63611111111)</f>
        <v>44505.63611</v>
      </c>
      <c r="G860" s="22">
        <f>IFERROR(__xludf.DUMMYFUNCTION("""COMPUTED_VALUE"""),20.49)</f>
        <v>20.49</v>
      </c>
      <c r="H860" s="25">
        <f>IFERROR(__xludf.DUMMYFUNCTION("""COMPUTED_VALUE"""),44505.63611111111)</f>
        <v>44505.63611</v>
      </c>
      <c r="I860" s="22">
        <f>IFERROR(__xludf.DUMMYFUNCTION("""COMPUTED_VALUE"""),23.49)</f>
        <v>23.49</v>
      </c>
      <c r="J860" s="25">
        <f>IFERROR(__xludf.DUMMYFUNCTION("""COMPUTED_VALUE"""),44505.63611111111)</f>
        <v>44505.63611</v>
      </c>
      <c r="K860" s="22">
        <f>IFERROR(__xludf.DUMMYFUNCTION("""COMPUTED_VALUE"""),25.39)</f>
        <v>25.39</v>
      </c>
      <c r="M860" s="22" t="str">
        <f t="shared" si="3"/>
        <v/>
      </c>
      <c r="N860" s="22" t="str">
        <f t="shared" si="4"/>
        <v/>
      </c>
    </row>
    <row r="861" ht="15.75" customHeight="1">
      <c r="A861" s="25">
        <f>IFERROR(__xludf.DUMMYFUNCTION("""COMPUTED_VALUE"""),44508.66666666667)</f>
        <v>44508.66667</v>
      </c>
      <c r="B861" s="22">
        <f>IFERROR(__xludf.DUMMYFUNCTION("""COMPUTED_VALUE"""),4701.7)</f>
        <v>4701.7</v>
      </c>
      <c r="C861" s="25">
        <f>IFERROR(__xludf.DUMMYFUNCTION("""COMPUTED_VALUE"""),44508.63611111111)</f>
        <v>44508.63611</v>
      </c>
      <c r="D861" s="22">
        <f>IFERROR(__xludf.DUMMYFUNCTION("""COMPUTED_VALUE"""),17.22)</f>
        <v>17.22</v>
      </c>
      <c r="E861" s="26">
        <f t="shared" si="2"/>
        <v>0.0008877005575</v>
      </c>
      <c r="F861" s="25">
        <f>IFERROR(__xludf.DUMMYFUNCTION("""COMPUTED_VALUE"""),44508.63611111111)</f>
        <v>44508.63611</v>
      </c>
      <c r="G861" s="22">
        <f>IFERROR(__xludf.DUMMYFUNCTION("""COMPUTED_VALUE"""),20.98)</f>
        <v>20.98</v>
      </c>
      <c r="H861" s="25">
        <f>IFERROR(__xludf.DUMMYFUNCTION("""COMPUTED_VALUE"""),44508.63611111111)</f>
        <v>44508.63611</v>
      </c>
      <c r="I861" s="22">
        <f>IFERROR(__xludf.DUMMYFUNCTION("""COMPUTED_VALUE"""),23.8)</f>
        <v>23.8</v>
      </c>
      <c r="J861" s="25">
        <f>IFERROR(__xludf.DUMMYFUNCTION("""COMPUTED_VALUE"""),44508.63611111111)</f>
        <v>44508.63611</v>
      </c>
      <c r="K861" s="22">
        <f>IFERROR(__xludf.DUMMYFUNCTION("""COMPUTED_VALUE"""),25.55)</f>
        <v>25.55</v>
      </c>
      <c r="M861" s="22" t="str">
        <f t="shared" si="3"/>
        <v/>
      </c>
      <c r="N861" s="22" t="str">
        <f t="shared" si="4"/>
        <v/>
      </c>
    </row>
    <row r="862" ht="15.75" customHeight="1">
      <c r="A862" s="25">
        <f>IFERROR(__xludf.DUMMYFUNCTION("""COMPUTED_VALUE"""),44509.66666666667)</f>
        <v>44509.66667</v>
      </c>
      <c r="B862" s="22">
        <f>IFERROR(__xludf.DUMMYFUNCTION("""COMPUTED_VALUE"""),4685.25)</f>
        <v>4685.25</v>
      </c>
      <c r="C862" s="25">
        <f>IFERROR(__xludf.DUMMYFUNCTION("""COMPUTED_VALUE"""),44509.63611111111)</f>
        <v>44509.63611</v>
      </c>
      <c r="D862" s="22">
        <f>IFERROR(__xludf.DUMMYFUNCTION("""COMPUTED_VALUE"""),17.78)</f>
        <v>17.78</v>
      </c>
      <c r="E862" s="26">
        <f t="shared" si="2"/>
        <v>-0.0034987345</v>
      </c>
      <c r="F862" s="25">
        <f>IFERROR(__xludf.DUMMYFUNCTION("""COMPUTED_VALUE"""),44509.63611111111)</f>
        <v>44509.63611</v>
      </c>
      <c r="G862" s="22">
        <f>IFERROR(__xludf.DUMMYFUNCTION("""COMPUTED_VALUE"""),21.41)</f>
        <v>21.41</v>
      </c>
      <c r="H862" s="25">
        <f>IFERROR(__xludf.DUMMYFUNCTION("""COMPUTED_VALUE"""),44509.63611111111)</f>
        <v>44509.63611</v>
      </c>
      <c r="I862" s="22">
        <f>IFERROR(__xludf.DUMMYFUNCTION("""COMPUTED_VALUE"""),24.12)</f>
        <v>24.12</v>
      </c>
      <c r="J862" s="25">
        <f>IFERROR(__xludf.DUMMYFUNCTION("""COMPUTED_VALUE"""),44509.63611111111)</f>
        <v>44509.63611</v>
      </c>
      <c r="K862" s="22">
        <f>IFERROR(__xludf.DUMMYFUNCTION("""COMPUTED_VALUE"""),25.75)</f>
        <v>25.75</v>
      </c>
      <c r="M862" s="22" t="str">
        <f t="shared" si="3"/>
        <v/>
      </c>
      <c r="N862" s="22" t="str">
        <f t="shared" si="4"/>
        <v/>
      </c>
    </row>
    <row r="863" ht="15.75" customHeight="1">
      <c r="A863" s="25">
        <f>IFERROR(__xludf.DUMMYFUNCTION("""COMPUTED_VALUE"""),44510.66666666667)</f>
        <v>44510.66667</v>
      </c>
      <c r="B863" s="22">
        <f>IFERROR(__xludf.DUMMYFUNCTION("""COMPUTED_VALUE"""),4646.71)</f>
        <v>4646.71</v>
      </c>
      <c r="C863" s="25">
        <f>IFERROR(__xludf.DUMMYFUNCTION("""COMPUTED_VALUE"""),44510.63611111111)</f>
        <v>44510.63611</v>
      </c>
      <c r="D863" s="22">
        <f>IFERROR(__xludf.DUMMYFUNCTION("""COMPUTED_VALUE"""),18.73)</f>
        <v>18.73</v>
      </c>
      <c r="E863" s="26">
        <f t="shared" si="2"/>
        <v>-0.008225815058</v>
      </c>
      <c r="F863" s="25">
        <f>IFERROR(__xludf.DUMMYFUNCTION("""COMPUTED_VALUE"""),44510.63611111111)</f>
        <v>44510.63611</v>
      </c>
      <c r="G863" s="22">
        <f>IFERROR(__xludf.DUMMYFUNCTION("""COMPUTED_VALUE"""),22.0)</f>
        <v>22</v>
      </c>
      <c r="H863" s="25">
        <f>IFERROR(__xludf.DUMMYFUNCTION("""COMPUTED_VALUE"""),44510.63611111111)</f>
        <v>44510.63611</v>
      </c>
      <c r="I863" s="22">
        <f>IFERROR(__xludf.DUMMYFUNCTION("""COMPUTED_VALUE"""),24.48)</f>
        <v>24.48</v>
      </c>
      <c r="J863" s="25">
        <f>IFERROR(__xludf.DUMMYFUNCTION("""COMPUTED_VALUE"""),44510.63611111111)</f>
        <v>44510.63611</v>
      </c>
      <c r="K863" s="22">
        <f>IFERROR(__xludf.DUMMYFUNCTION("""COMPUTED_VALUE"""),25.88)</f>
        <v>25.88</v>
      </c>
      <c r="M863" s="22" t="str">
        <f t="shared" si="3"/>
        <v/>
      </c>
      <c r="N863" s="22" t="str">
        <f t="shared" si="4"/>
        <v/>
      </c>
    </row>
    <row r="864" ht="15.75" customHeight="1">
      <c r="A864" s="25">
        <f>IFERROR(__xludf.DUMMYFUNCTION("""COMPUTED_VALUE"""),44511.66666666667)</f>
        <v>44511.66667</v>
      </c>
      <c r="B864" s="22">
        <f>IFERROR(__xludf.DUMMYFUNCTION("""COMPUTED_VALUE"""),4649.27)</f>
        <v>4649.27</v>
      </c>
      <c r="C864" s="25">
        <f>IFERROR(__xludf.DUMMYFUNCTION("""COMPUTED_VALUE"""),44511.63611111111)</f>
        <v>44511.63611</v>
      </c>
      <c r="D864" s="22">
        <f>IFERROR(__xludf.DUMMYFUNCTION("""COMPUTED_VALUE"""),17.66)</f>
        <v>17.66</v>
      </c>
      <c r="E864" s="26">
        <f t="shared" si="2"/>
        <v>0.0005509274304</v>
      </c>
      <c r="F864" s="25">
        <f>IFERROR(__xludf.DUMMYFUNCTION("""COMPUTED_VALUE"""),44511.63611111111)</f>
        <v>44511.63611</v>
      </c>
      <c r="G864" s="22">
        <f>IFERROR(__xludf.DUMMYFUNCTION("""COMPUTED_VALUE"""),21.38)</f>
        <v>21.38</v>
      </c>
      <c r="H864" s="25">
        <f>IFERROR(__xludf.DUMMYFUNCTION("""COMPUTED_VALUE"""),44511.63611111111)</f>
        <v>44511.63611</v>
      </c>
      <c r="I864" s="22">
        <f>IFERROR(__xludf.DUMMYFUNCTION("""COMPUTED_VALUE"""),24.04)</f>
        <v>24.04</v>
      </c>
      <c r="J864" s="25">
        <f>IFERROR(__xludf.DUMMYFUNCTION("""COMPUTED_VALUE"""),44511.63611111111)</f>
        <v>44511.63611</v>
      </c>
      <c r="K864" s="22">
        <f>IFERROR(__xludf.DUMMYFUNCTION("""COMPUTED_VALUE"""),25.63)</f>
        <v>25.63</v>
      </c>
      <c r="M864" s="22" t="str">
        <f t="shared" si="3"/>
        <v/>
      </c>
      <c r="N864" s="22" t="str">
        <f t="shared" si="4"/>
        <v/>
      </c>
    </row>
    <row r="865" ht="15.75" customHeight="1">
      <c r="A865" s="25">
        <f>IFERROR(__xludf.DUMMYFUNCTION("""COMPUTED_VALUE"""),44512.66666666667)</f>
        <v>44512.66667</v>
      </c>
      <c r="B865" s="22">
        <f>IFERROR(__xludf.DUMMYFUNCTION("""COMPUTED_VALUE"""),4682.85)</f>
        <v>4682.85</v>
      </c>
      <c r="C865" s="25">
        <f>IFERROR(__xludf.DUMMYFUNCTION("""COMPUTED_VALUE"""),44512.63611111111)</f>
        <v>44512.63611</v>
      </c>
      <c r="D865" s="22">
        <f>IFERROR(__xludf.DUMMYFUNCTION("""COMPUTED_VALUE"""),16.29)</f>
        <v>16.29</v>
      </c>
      <c r="E865" s="26">
        <f t="shared" si="2"/>
        <v>0.007222639253</v>
      </c>
      <c r="F865" s="25">
        <f>IFERROR(__xludf.DUMMYFUNCTION("""COMPUTED_VALUE"""),44512.63611111111)</f>
        <v>44512.63611</v>
      </c>
      <c r="G865" s="22">
        <f>IFERROR(__xludf.DUMMYFUNCTION("""COMPUTED_VALUE"""),20.69)</f>
        <v>20.69</v>
      </c>
      <c r="H865" s="25">
        <f>IFERROR(__xludf.DUMMYFUNCTION("""COMPUTED_VALUE"""),44512.63611111111)</f>
        <v>44512.63611</v>
      </c>
      <c r="I865" s="22">
        <f>IFERROR(__xludf.DUMMYFUNCTION("""COMPUTED_VALUE"""),23.69)</f>
        <v>23.69</v>
      </c>
      <c r="J865" s="25">
        <f>IFERROR(__xludf.DUMMYFUNCTION("""COMPUTED_VALUE"""),44512.63611111111)</f>
        <v>44512.63611</v>
      </c>
      <c r="K865" s="22">
        <f>IFERROR(__xludf.DUMMYFUNCTION("""COMPUTED_VALUE"""),25.4)</f>
        <v>25.4</v>
      </c>
      <c r="M865" s="22" t="str">
        <f t="shared" si="3"/>
        <v/>
      </c>
      <c r="N865" s="22" t="str">
        <f t="shared" si="4"/>
        <v/>
      </c>
    </row>
    <row r="866" ht="15.75" customHeight="1">
      <c r="A866" s="25">
        <f>IFERROR(__xludf.DUMMYFUNCTION("""COMPUTED_VALUE"""),44515.66666666667)</f>
        <v>44515.66667</v>
      </c>
      <c r="B866" s="22">
        <f>IFERROR(__xludf.DUMMYFUNCTION("""COMPUTED_VALUE"""),4682.8)</f>
        <v>4682.8</v>
      </c>
      <c r="C866" s="25">
        <f>IFERROR(__xludf.DUMMYFUNCTION("""COMPUTED_VALUE"""),44515.63611111111)</f>
        <v>44515.63611</v>
      </c>
      <c r="D866" s="22">
        <f>IFERROR(__xludf.DUMMYFUNCTION("""COMPUTED_VALUE"""),16.49)</f>
        <v>16.49</v>
      </c>
      <c r="E866" s="26">
        <f t="shared" si="2"/>
        <v>-0.00001067725851</v>
      </c>
      <c r="F866" s="25">
        <f>IFERROR(__xludf.DUMMYFUNCTION("""COMPUTED_VALUE"""),44515.63611111111)</f>
        <v>44515.63611</v>
      </c>
      <c r="G866" s="22">
        <f>IFERROR(__xludf.DUMMYFUNCTION("""COMPUTED_VALUE"""),20.87)</f>
        <v>20.87</v>
      </c>
      <c r="H866" s="25">
        <f>IFERROR(__xludf.DUMMYFUNCTION("""COMPUTED_VALUE"""),44515.63611111111)</f>
        <v>44515.63611</v>
      </c>
      <c r="I866" s="22">
        <f>IFERROR(__xludf.DUMMYFUNCTION("""COMPUTED_VALUE"""),23.86)</f>
        <v>23.86</v>
      </c>
      <c r="J866" s="25">
        <f>IFERROR(__xludf.DUMMYFUNCTION("""COMPUTED_VALUE"""),44515.63611111111)</f>
        <v>44515.63611</v>
      </c>
      <c r="K866" s="22">
        <f>IFERROR(__xludf.DUMMYFUNCTION("""COMPUTED_VALUE"""),25.53)</f>
        <v>25.53</v>
      </c>
      <c r="M866" s="22" t="str">
        <f t="shared" si="3"/>
        <v/>
      </c>
      <c r="N866" s="22" t="str">
        <f t="shared" si="4"/>
        <v/>
      </c>
    </row>
    <row r="867" ht="15.75" customHeight="1">
      <c r="A867" s="25">
        <f>IFERROR(__xludf.DUMMYFUNCTION("""COMPUTED_VALUE"""),44516.66666666667)</f>
        <v>44516.66667</v>
      </c>
      <c r="B867" s="22">
        <f>IFERROR(__xludf.DUMMYFUNCTION("""COMPUTED_VALUE"""),4700.9)</f>
        <v>4700.9</v>
      </c>
      <c r="C867" s="25">
        <f>IFERROR(__xludf.DUMMYFUNCTION("""COMPUTED_VALUE"""),44516.63611111111)</f>
        <v>44516.63611</v>
      </c>
      <c r="D867" s="22">
        <f>IFERROR(__xludf.DUMMYFUNCTION("""COMPUTED_VALUE"""),16.37)</f>
        <v>16.37</v>
      </c>
      <c r="E867" s="26">
        <f t="shared" si="2"/>
        <v>0.003865208849</v>
      </c>
      <c r="F867" s="25">
        <f>IFERROR(__xludf.DUMMYFUNCTION("""COMPUTED_VALUE"""),44516.63611111111)</f>
        <v>44516.63611</v>
      </c>
      <c r="G867" s="22">
        <f>IFERROR(__xludf.DUMMYFUNCTION("""COMPUTED_VALUE"""),20.9)</f>
        <v>20.9</v>
      </c>
      <c r="H867" s="25">
        <f>IFERROR(__xludf.DUMMYFUNCTION("""COMPUTED_VALUE"""),44516.63611111111)</f>
        <v>44516.63611</v>
      </c>
      <c r="I867" s="22">
        <f>IFERROR(__xludf.DUMMYFUNCTION("""COMPUTED_VALUE"""),23.93)</f>
        <v>23.93</v>
      </c>
      <c r="J867" s="25">
        <f>IFERROR(__xludf.DUMMYFUNCTION("""COMPUTED_VALUE"""),44516.63611111111)</f>
        <v>44516.63611</v>
      </c>
      <c r="K867" s="22">
        <f>IFERROR(__xludf.DUMMYFUNCTION("""COMPUTED_VALUE"""),25.86)</f>
        <v>25.86</v>
      </c>
      <c r="M867" s="22" t="str">
        <f t="shared" si="3"/>
        <v/>
      </c>
      <c r="N867" s="22" t="str">
        <f t="shared" si="4"/>
        <v/>
      </c>
    </row>
    <row r="868" ht="15.75" customHeight="1">
      <c r="A868" s="25">
        <f>IFERROR(__xludf.DUMMYFUNCTION("""COMPUTED_VALUE"""),44517.66666666667)</f>
        <v>44517.66667</v>
      </c>
      <c r="B868" s="22">
        <f>IFERROR(__xludf.DUMMYFUNCTION("""COMPUTED_VALUE"""),4688.67)</f>
        <v>4688.67</v>
      </c>
      <c r="C868" s="25">
        <f>IFERROR(__xludf.DUMMYFUNCTION("""COMPUTED_VALUE"""),44517.63611111111)</f>
        <v>44517.63611</v>
      </c>
      <c r="D868" s="22">
        <f>IFERROR(__xludf.DUMMYFUNCTION("""COMPUTED_VALUE"""),17.11)</f>
        <v>17.11</v>
      </c>
      <c r="E868" s="26">
        <f t="shared" si="2"/>
        <v>-0.002601629475</v>
      </c>
      <c r="F868" s="25">
        <f>IFERROR(__xludf.DUMMYFUNCTION("""COMPUTED_VALUE"""),44517.63611111111)</f>
        <v>44517.63611</v>
      </c>
      <c r="G868" s="22">
        <f>IFERROR(__xludf.DUMMYFUNCTION("""COMPUTED_VALUE"""),21.58)</f>
        <v>21.58</v>
      </c>
      <c r="H868" s="25">
        <f>IFERROR(__xludf.DUMMYFUNCTION("""COMPUTED_VALUE"""),44517.63611111111)</f>
        <v>44517.63611</v>
      </c>
      <c r="I868" s="22">
        <f>IFERROR(__xludf.DUMMYFUNCTION("""COMPUTED_VALUE"""),24.66)</f>
        <v>24.66</v>
      </c>
      <c r="J868" s="25">
        <f>IFERROR(__xludf.DUMMYFUNCTION("""COMPUTED_VALUE"""),44517.63611111111)</f>
        <v>44517.63611</v>
      </c>
      <c r="K868" s="22">
        <f>IFERROR(__xludf.DUMMYFUNCTION("""COMPUTED_VALUE"""),26.51)</f>
        <v>26.51</v>
      </c>
      <c r="M868" s="22" t="str">
        <f t="shared" si="3"/>
        <v/>
      </c>
      <c r="N868" s="22" t="str">
        <f t="shared" si="4"/>
        <v/>
      </c>
    </row>
    <row r="869" ht="15.75" customHeight="1">
      <c r="A869" s="25">
        <f>IFERROR(__xludf.DUMMYFUNCTION("""COMPUTED_VALUE"""),44518.66666666667)</f>
        <v>44518.66667</v>
      </c>
      <c r="B869" s="22">
        <f>IFERROR(__xludf.DUMMYFUNCTION("""COMPUTED_VALUE"""),4704.54)</f>
        <v>4704.54</v>
      </c>
      <c r="C869" s="25">
        <f>IFERROR(__xludf.DUMMYFUNCTION("""COMPUTED_VALUE"""),44518.63611111111)</f>
        <v>44518.63611</v>
      </c>
      <c r="D869" s="22">
        <f>IFERROR(__xludf.DUMMYFUNCTION("""COMPUTED_VALUE"""),17.59)</f>
        <v>17.59</v>
      </c>
      <c r="E869" s="26">
        <f t="shared" si="2"/>
        <v>0.003384755165</v>
      </c>
      <c r="F869" s="25">
        <f>IFERROR(__xludf.DUMMYFUNCTION("""COMPUTED_VALUE"""),44518.63611111111)</f>
        <v>44518.63611</v>
      </c>
      <c r="G869" s="22">
        <f>IFERROR(__xludf.DUMMYFUNCTION("""COMPUTED_VALUE"""),21.9)</f>
        <v>21.9</v>
      </c>
      <c r="H869" s="25">
        <f>IFERROR(__xludf.DUMMYFUNCTION("""COMPUTED_VALUE"""),44518.63611111111)</f>
        <v>44518.63611</v>
      </c>
      <c r="I869" s="22">
        <f>IFERROR(__xludf.DUMMYFUNCTION("""COMPUTED_VALUE"""),24.87)</f>
        <v>24.87</v>
      </c>
      <c r="J869" s="25">
        <f>IFERROR(__xludf.DUMMYFUNCTION("""COMPUTED_VALUE"""),44518.63611111111)</f>
        <v>44518.63611</v>
      </c>
      <c r="K869" s="22">
        <f>IFERROR(__xludf.DUMMYFUNCTION("""COMPUTED_VALUE"""),26.62)</f>
        <v>26.62</v>
      </c>
      <c r="M869" s="22" t="str">
        <f t="shared" si="3"/>
        <v/>
      </c>
      <c r="N869" s="22" t="str">
        <f t="shared" si="4"/>
        <v/>
      </c>
    </row>
    <row r="870" ht="15.75" customHeight="1">
      <c r="A870" s="25">
        <f>IFERROR(__xludf.DUMMYFUNCTION("""COMPUTED_VALUE"""),44519.66666666667)</f>
        <v>44519.66667</v>
      </c>
      <c r="B870" s="22">
        <f>IFERROR(__xludf.DUMMYFUNCTION("""COMPUTED_VALUE"""),4697.96)</f>
        <v>4697.96</v>
      </c>
      <c r="C870" s="25">
        <f>IFERROR(__xludf.DUMMYFUNCTION("""COMPUTED_VALUE"""),44519.63611111111)</f>
        <v>44519.63611</v>
      </c>
      <c r="D870" s="22">
        <f>IFERROR(__xludf.DUMMYFUNCTION("""COMPUTED_VALUE"""),17.91)</f>
        <v>17.91</v>
      </c>
      <c r="E870" s="26">
        <f t="shared" si="2"/>
        <v>-0.001398648965</v>
      </c>
      <c r="F870" s="25">
        <f>IFERROR(__xludf.DUMMYFUNCTION("""COMPUTED_VALUE"""),44519.63611111111)</f>
        <v>44519.63611</v>
      </c>
      <c r="G870" s="22">
        <f>IFERROR(__xludf.DUMMYFUNCTION("""COMPUTED_VALUE"""),21.92)</f>
        <v>21.92</v>
      </c>
      <c r="H870" s="25">
        <f>IFERROR(__xludf.DUMMYFUNCTION("""COMPUTED_VALUE"""),44519.63611111111)</f>
        <v>44519.63611</v>
      </c>
      <c r="I870" s="22">
        <f>IFERROR(__xludf.DUMMYFUNCTION("""COMPUTED_VALUE"""),24.87)</f>
        <v>24.87</v>
      </c>
      <c r="J870" s="25">
        <f>IFERROR(__xludf.DUMMYFUNCTION("""COMPUTED_VALUE"""),44519.63611111111)</f>
        <v>44519.63611</v>
      </c>
      <c r="K870" s="22">
        <f>IFERROR(__xludf.DUMMYFUNCTION("""COMPUTED_VALUE"""),26.63)</f>
        <v>26.63</v>
      </c>
      <c r="M870" s="22" t="str">
        <f t="shared" si="3"/>
        <v/>
      </c>
      <c r="N870" s="22" t="str">
        <f t="shared" si="4"/>
        <v/>
      </c>
    </row>
    <row r="871" ht="15.75" customHeight="1">
      <c r="A871" s="25">
        <f>IFERROR(__xludf.DUMMYFUNCTION("""COMPUTED_VALUE"""),44522.66666666667)</f>
        <v>44522.66667</v>
      </c>
      <c r="B871" s="22">
        <f>IFERROR(__xludf.DUMMYFUNCTION("""COMPUTED_VALUE"""),4682.94)</f>
        <v>4682.94</v>
      </c>
      <c r="C871" s="25">
        <f>IFERROR(__xludf.DUMMYFUNCTION("""COMPUTED_VALUE"""),44522.63611111111)</f>
        <v>44522.63611</v>
      </c>
      <c r="D871" s="22">
        <f>IFERROR(__xludf.DUMMYFUNCTION("""COMPUTED_VALUE"""),19.17)</f>
        <v>19.17</v>
      </c>
      <c r="E871" s="26">
        <f t="shared" si="2"/>
        <v>-0.003197132372</v>
      </c>
      <c r="F871" s="25">
        <f>IFERROR(__xludf.DUMMYFUNCTION("""COMPUTED_VALUE"""),44522.63611111111)</f>
        <v>44522.63611</v>
      </c>
      <c r="G871" s="22">
        <f>IFERROR(__xludf.DUMMYFUNCTION("""COMPUTED_VALUE"""),22.63)</f>
        <v>22.63</v>
      </c>
      <c r="H871" s="25">
        <f>IFERROR(__xludf.DUMMYFUNCTION("""COMPUTED_VALUE"""),44522.63611111111)</f>
        <v>44522.63611</v>
      </c>
      <c r="I871" s="22">
        <f>IFERROR(__xludf.DUMMYFUNCTION("""COMPUTED_VALUE"""),25.43)</f>
        <v>25.43</v>
      </c>
      <c r="J871" s="25">
        <f>IFERROR(__xludf.DUMMYFUNCTION("""COMPUTED_VALUE"""),44522.63611111111)</f>
        <v>44522.63611</v>
      </c>
      <c r="K871" s="22">
        <f>IFERROR(__xludf.DUMMYFUNCTION("""COMPUTED_VALUE"""),26.91)</f>
        <v>26.91</v>
      </c>
      <c r="M871" s="22" t="str">
        <f t="shared" si="3"/>
        <v/>
      </c>
      <c r="N871" s="22" t="str">
        <f t="shared" si="4"/>
        <v/>
      </c>
    </row>
    <row r="872" ht="15.75" customHeight="1">
      <c r="A872" s="25">
        <f>IFERROR(__xludf.DUMMYFUNCTION("""COMPUTED_VALUE"""),44523.66666666667)</f>
        <v>44523.66667</v>
      </c>
      <c r="B872" s="22">
        <f>IFERROR(__xludf.DUMMYFUNCTION("""COMPUTED_VALUE"""),4690.7)</f>
        <v>4690.7</v>
      </c>
      <c r="C872" s="25">
        <f>IFERROR(__xludf.DUMMYFUNCTION("""COMPUTED_VALUE"""),44523.63611111111)</f>
        <v>44523.63611</v>
      </c>
      <c r="D872" s="22">
        <f>IFERROR(__xludf.DUMMYFUNCTION("""COMPUTED_VALUE"""),19.38)</f>
        <v>19.38</v>
      </c>
      <c r="E872" s="26">
        <f t="shared" si="2"/>
        <v>0.001657078673</v>
      </c>
      <c r="F872" s="25">
        <f>IFERROR(__xludf.DUMMYFUNCTION("""COMPUTED_VALUE"""),44523.63611111111)</f>
        <v>44523.63611</v>
      </c>
      <c r="G872" s="22">
        <f>IFERROR(__xludf.DUMMYFUNCTION("""COMPUTED_VALUE"""),22.45)</f>
        <v>22.45</v>
      </c>
      <c r="H872" s="25">
        <f>IFERROR(__xludf.DUMMYFUNCTION("""COMPUTED_VALUE"""),44523.63611111111)</f>
        <v>44523.63611</v>
      </c>
      <c r="I872" s="22">
        <f>IFERROR(__xludf.DUMMYFUNCTION("""COMPUTED_VALUE"""),25.32)</f>
        <v>25.32</v>
      </c>
      <c r="J872" s="25">
        <f>IFERROR(__xludf.DUMMYFUNCTION("""COMPUTED_VALUE"""),44523.63611111111)</f>
        <v>44523.63611</v>
      </c>
      <c r="K872" s="22">
        <f>IFERROR(__xludf.DUMMYFUNCTION("""COMPUTED_VALUE"""),26.83)</f>
        <v>26.83</v>
      </c>
      <c r="M872" s="22" t="str">
        <f t="shared" si="3"/>
        <v/>
      </c>
      <c r="N872" s="22" t="str">
        <f t="shared" si="4"/>
        <v/>
      </c>
    </row>
    <row r="873" ht="15.75" customHeight="1">
      <c r="A873" s="25">
        <f>IFERROR(__xludf.DUMMYFUNCTION("""COMPUTED_VALUE"""),44524.66666666667)</f>
        <v>44524.66667</v>
      </c>
      <c r="B873" s="22">
        <f>IFERROR(__xludf.DUMMYFUNCTION("""COMPUTED_VALUE"""),4701.46)</f>
        <v>4701.46</v>
      </c>
      <c r="C873" s="25">
        <f>IFERROR(__xludf.DUMMYFUNCTION("""COMPUTED_VALUE"""),44524.63611111111)</f>
        <v>44524.63611</v>
      </c>
      <c r="D873" s="22">
        <f>IFERROR(__xludf.DUMMYFUNCTION("""COMPUTED_VALUE"""),18.58)</f>
        <v>18.58</v>
      </c>
      <c r="E873" s="26">
        <f t="shared" si="2"/>
        <v>0.002293900697</v>
      </c>
      <c r="F873" s="25">
        <f>IFERROR(__xludf.DUMMYFUNCTION("""COMPUTED_VALUE"""),44524.63611111111)</f>
        <v>44524.63611</v>
      </c>
      <c r="G873" s="22">
        <f>IFERROR(__xludf.DUMMYFUNCTION("""COMPUTED_VALUE"""),21.9)</f>
        <v>21.9</v>
      </c>
      <c r="H873" s="25">
        <f>IFERROR(__xludf.DUMMYFUNCTION("""COMPUTED_VALUE"""),44524.63611111111)</f>
        <v>44524.63611</v>
      </c>
      <c r="I873" s="22">
        <f>IFERROR(__xludf.DUMMYFUNCTION("""COMPUTED_VALUE"""),24.97)</f>
        <v>24.97</v>
      </c>
      <c r="J873" s="25">
        <f>IFERROR(__xludf.DUMMYFUNCTION("""COMPUTED_VALUE"""),44524.63611111111)</f>
        <v>44524.63611</v>
      </c>
      <c r="K873" s="22">
        <f>IFERROR(__xludf.DUMMYFUNCTION("""COMPUTED_VALUE"""),26.56)</f>
        <v>26.56</v>
      </c>
      <c r="M873" s="22" t="str">
        <f t="shared" si="3"/>
        <v/>
      </c>
      <c r="N873" s="22" t="str">
        <f t="shared" si="4"/>
        <v/>
      </c>
    </row>
    <row r="874" ht="15.75" customHeight="1">
      <c r="A874" s="25">
        <f>IFERROR(__xludf.DUMMYFUNCTION("""COMPUTED_VALUE"""),44526.54166666667)</f>
        <v>44526.54167</v>
      </c>
      <c r="B874" s="22">
        <f>IFERROR(__xludf.DUMMYFUNCTION("""COMPUTED_VALUE"""),4594.62)</f>
        <v>4594.62</v>
      </c>
      <c r="C874" s="25">
        <f>IFERROR(__xludf.DUMMYFUNCTION("""COMPUTED_VALUE"""),44526.54166666667)</f>
        <v>44526.54167</v>
      </c>
      <c r="D874" s="22">
        <f>IFERROR(__xludf.DUMMYFUNCTION("""COMPUTED_VALUE"""),28.62)</f>
        <v>28.62</v>
      </c>
      <c r="E874" s="26">
        <f t="shared" si="2"/>
        <v>-0.02272485568</v>
      </c>
      <c r="F874" s="25">
        <f>IFERROR(__xludf.DUMMYFUNCTION("""COMPUTED_VALUE"""),44526.54166666667)</f>
        <v>44526.54167</v>
      </c>
      <c r="G874" s="22">
        <f>IFERROR(__xludf.DUMMYFUNCTION("""COMPUTED_VALUE"""),29.17)</f>
        <v>29.17</v>
      </c>
      <c r="H874" s="25">
        <f>IFERROR(__xludf.DUMMYFUNCTION("""COMPUTED_VALUE"""),44526.54166666667)</f>
        <v>44526.54167</v>
      </c>
      <c r="I874" s="22">
        <f>IFERROR(__xludf.DUMMYFUNCTION("""COMPUTED_VALUE"""),29.88)</f>
        <v>29.88</v>
      </c>
      <c r="J874" s="25">
        <f>IFERROR(__xludf.DUMMYFUNCTION("""COMPUTED_VALUE"""),44526.54166666667)</f>
        <v>44526.54167</v>
      </c>
      <c r="K874" s="22">
        <f>IFERROR(__xludf.DUMMYFUNCTION("""COMPUTED_VALUE"""),29.66)</f>
        <v>29.66</v>
      </c>
      <c r="M874" s="22" t="str">
        <f t="shared" si="3"/>
        <v/>
      </c>
      <c r="N874" s="22" t="str">
        <f t="shared" si="4"/>
        <v>PREDICT CRASH</v>
      </c>
    </row>
    <row r="875" ht="15.75" customHeight="1">
      <c r="A875" s="25">
        <f>IFERROR(__xludf.DUMMYFUNCTION("""COMPUTED_VALUE"""),44529.66666666667)</f>
        <v>44529.66667</v>
      </c>
      <c r="B875" s="22">
        <f>IFERROR(__xludf.DUMMYFUNCTION("""COMPUTED_VALUE"""),4655.27)</f>
        <v>4655.27</v>
      </c>
      <c r="C875" s="25">
        <f>IFERROR(__xludf.DUMMYFUNCTION("""COMPUTED_VALUE"""),44529.63611111111)</f>
        <v>44529.63611</v>
      </c>
      <c r="D875" s="22">
        <f>IFERROR(__xludf.DUMMYFUNCTION("""COMPUTED_VALUE"""),22.96)</f>
        <v>22.96</v>
      </c>
      <c r="E875" s="26">
        <f t="shared" si="2"/>
        <v>0.01320022113</v>
      </c>
      <c r="F875" s="25">
        <f>IFERROR(__xludf.DUMMYFUNCTION("""COMPUTED_VALUE"""),44529.63611111111)</f>
        <v>44529.63611</v>
      </c>
      <c r="G875" s="22">
        <f>IFERROR(__xludf.DUMMYFUNCTION("""COMPUTED_VALUE"""),25.04)</f>
        <v>25.04</v>
      </c>
      <c r="H875" s="25">
        <f>IFERROR(__xludf.DUMMYFUNCTION("""COMPUTED_VALUE"""),44529.63611111111)</f>
        <v>44529.63611</v>
      </c>
      <c r="I875" s="22">
        <f>IFERROR(__xludf.DUMMYFUNCTION("""COMPUTED_VALUE"""),26.94)</f>
        <v>26.94</v>
      </c>
      <c r="J875" s="25">
        <f>IFERROR(__xludf.DUMMYFUNCTION("""COMPUTED_VALUE"""),44529.63611111111)</f>
        <v>44529.63611</v>
      </c>
      <c r="K875" s="22">
        <f>IFERROR(__xludf.DUMMYFUNCTION("""COMPUTED_VALUE"""),27.84)</f>
        <v>27.84</v>
      </c>
      <c r="M875" s="22" t="str">
        <f t="shared" si="3"/>
        <v/>
      </c>
      <c r="N875" s="22" t="str">
        <f t="shared" si="4"/>
        <v/>
      </c>
    </row>
    <row r="876" ht="15.75" customHeight="1">
      <c r="A876" s="25">
        <f>IFERROR(__xludf.DUMMYFUNCTION("""COMPUTED_VALUE"""),44530.66666666667)</f>
        <v>44530.66667</v>
      </c>
      <c r="B876" s="22">
        <f>IFERROR(__xludf.DUMMYFUNCTION("""COMPUTED_VALUE"""),4567.0)</f>
        <v>4567</v>
      </c>
      <c r="C876" s="25">
        <f>IFERROR(__xludf.DUMMYFUNCTION("""COMPUTED_VALUE"""),44530.63611111111)</f>
        <v>44530.63611</v>
      </c>
      <c r="D876" s="22">
        <f>IFERROR(__xludf.DUMMYFUNCTION("""COMPUTED_VALUE"""),27.19)</f>
        <v>27.19</v>
      </c>
      <c r="E876" s="26">
        <f t="shared" si="2"/>
        <v>-0.01896130622</v>
      </c>
      <c r="F876" s="25">
        <f>IFERROR(__xludf.DUMMYFUNCTION("""COMPUTED_VALUE"""),44530.63611111111)</f>
        <v>44530.63611</v>
      </c>
      <c r="G876" s="22">
        <f>IFERROR(__xludf.DUMMYFUNCTION("""COMPUTED_VALUE"""),28.13)</f>
        <v>28.13</v>
      </c>
      <c r="H876" s="25">
        <f>IFERROR(__xludf.DUMMYFUNCTION("""COMPUTED_VALUE"""),44530.63611111111)</f>
        <v>44530.63611</v>
      </c>
      <c r="I876" s="22">
        <f>IFERROR(__xludf.DUMMYFUNCTION("""COMPUTED_VALUE"""),29.15)</f>
        <v>29.15</v>
      </c>
      <c r="J876" s="25">
        <f>IFERROR(__xludf.DUMMYFUNCTION("""COMPUTED_VALUE"""),44530.63611111111)</f>
        <v>44530.63611</v>
      </c>
      <c r="K876" s="22">
        <f>IFERROR(__xludf.DUMMYFUNCTION("""COMPUTED_VALUE"""),29.37)</f>
        <v>29.37</v>
      </c>
      <c r="M876" s="22" t="str">
        <f t="shared" si="3"/>
        <v/>
      </c>
      <c r="N876" s="22" t="str">
        <f t="shared" si="4"/>
        <v>PREDICT CRASH</v>
      </c>
    </row>
    <row r="877" ht="15.75" customHeight="1">
      <c r="A877" s="25">
        <f>IFERROR(__xludf.DUMMYFUNCTION("""COMPUTED_VALUE"""),44531.66666666667)</f>
        <v>44531.66667</v>
      </c>
      <c r="B877" s="22">
        <f>IFERROR(__xludf.DUMMYFUNCTION("""COMPUTED_VALUE"""),4513.04)</f>
        <v>4513.04</v>
      </c>
      <c r="C877" s="25">
        <f>IFERROR(__xludf.DUMMYFUNCTION("""COMPUTED_VALUE"""),44531.63611111111)</f>
        <v>44531.63611</v>
      </c>
      <c r="D877" s="22">
        <f>IFERROR(__xludf.DUMMYFUNCTION("""COMPUTED_VALUE"""),31.12)</f>
        <v>31.12</v>
      </c>
      <c r="E877" s="26">
        <f t="shared" si="2"/>
        <v>-0.01181519597</v>
      </c>
      <c r="F877" s="25">
        <f>IFERROR(__xludf.DUMMYFUNCTION("""COMPUTED_VALUE"""),44531.63611111111)</f>
        <v>44531.63611</v>
      </c>
      <c r="G877" s="22">
        <f>IFERROR(__xludf.DUMMYFUNCTION("""COMPUTED_VALUE"""),30.79)</f>
        <v>30.79</v>
      </c>
      <c r="H877" s="25">
        <f>IFERROR(__xludf.DUMMYFUNCTION("""COMPUTED_VALUE"""),44531.63611111111)</f>
        <v>44531.63611</v>
      </c>
      <c r="I877" s="22">
        <f>IFERROR(__xludf.DUMMYFUNCTION("""COMPUTED_VALUE"""),31.08)</f>
        <v>31.08</v>
      </c>
      <c r="J877" s="25">
        <f>IFERROR(__xludf.DUMMYFUNCTION("""COMPUTED_VALUE"""),44531.63611111111)</f>
        <v>44531.63611</v>
      </c>
      <c r="K877" s="22">
        <f>IFERROR(__xludf.DUMMYFUNCTION("""COMPUTED_VALUE"""),30.37)</f>
        <v>30.37</v>
      </c>
      <c r="M877" s="22" t="str">
        <f t="shared" si="3"/>
        <v/>
      </c>
      <c r="N877" s="22" t="str">
        <f t="shared" si="4"/>
        <v>PREDICT CRASH</v>
      </c>
    </row>
    <row r="878" ht="15.75" customHeight="1">
      <c r="A878" s="25">
        <f>IFERROR(__xludf.DUMMYFUNCTION("""COMPUTED_VALUE"""),44532.66666666667)</f>
        <v>44532.66667</v>
      </c>
      <c r="B878" s="22">
        <f>IFERROR(__xludf.DUMMYFUNCTION("""COMPUTED_VALUE"""),4577.1)</f>
        <v>4577.1</v>
      </c>
      <c r="C878" s="25">
        <f>IFERROR(__xludf.DUMMYFUNCTION("""COMPUTED_VALUE"""),44532.63611111111)</f>
        <v>44532.63611</v>
      </c>
      <c r="D878" s="22">
        <f>IFERROR(__xludf.DUMMYFUNCTION("""COMPUTED_VALUE"""),27.95)</f>
        <v>27.95</v>
      </c>
      <c r="E878" s="26">
        <f t="shared" si="2"/>
        <v>0.01419442327</v>
      </c>
      <c r="F878" s="25">
        <f>IFERROR(__xludf.DUMMYFUNCTION("""COMPUTED_VALUE"""),44532.63611111111)</f>
        <v>44532.63611</v>
      </c>
      <c r="G878" s="22">
        <f>IFERROR(__xludf.DUMMYFUNCTION("""COMPUTED_VALUE"""),29.15)</f>
        <v>29.15</v>
      </c>
      <c r="H878" s="25">
        <f>IFERROR(__xludf.DUMMYFUNCTION("""COMPUTED_VALUE"""),44532.63611111111)</f>
        <v>44532.63611</v>
      </c>
      <c r="I878" s="22">
        <f>IFERROR(__xludf.DUMMYFUNCTION("""COMPUTED_VALUE"""),29.85)</f>
        <v>29.85</v>
      </c>
      <c r="J878" s="25">
        <f>IFERROR(__xludf.DUMMYFUNCTION("""COMPUTED_VALUE"""),44532.63611111111)</f>
        <v>44532.63611</v>
      </c>
      <c r="K878" s="22">
        <f>IFERROR(__xludf.DUMMYFUNCTION("""COMPUTED_VALUE"""),29.58)</f>
        <v>29.58</v>
      </c>
      <c r="M878" s="22" t="str">
        <f t="shared" si="3"/>
        <v/>
      </c>
      <c r="N878" s="22" t="str">
        <f t="shared" si="4"/>
        <v>PREDICT CRASH</v>
      </c>
    </row>
    <row r="879" ht="15.75" customHeight="1">
      <c r="A879" s="25">
        <f>IFERROR(__xludf.DUMMYFUNCTION("""COMPUTED_VALUE"""),44533.66666666667)</f>
        <v>44533.66667</v>
      </c>
      <c r="B879" s="22">
        <f>IFERROR(__xludf.DUMMYFUNCTION("""COMPUTED_VALUE"""),4538.43)</f>
        <v>4538.43</v>
      </c>
      <c r="C879" s="25">
        <f>IFERROR(__xludf.DUMMYFUNCTION("""COMPUTED_VALUE"""),44533.63611111111)</f>
        <v>44533.63611</v>
      </c>
      <c r="D879" s="22">
        <f>IFERROR(__xludf.DUMMYFUNCTION("""COMPUTED_VALUE"""),30.67)</f>
        <v>30.67</v>
      </c>
      <c r="E879" s="26">
        <f t="shared" si="2"/>
        <v>-0.008448580979</v>
      </c>
      <c r="F879" s="25">
        <f>IFERROR(__xludf.DUMMYFUNCTION("""COMPUTED_VALUE"""),44533.63611111111)</f>
        <v>44533.63611</v>
      </c>
      <c r="G879" s="22">
        <f>IFERROR(__xludf.DUMMYFUNCTION("""COMPUTED_VALUE"""),31.78)</f>
        <v>31.78</v>
      </c>
      <c r="H879" s="25">
        <f>IFERROR(__xludf.DUMMYFUNCTION("""COMPUTED_VALUE"""),44533.63611111111)</f>
        <v>44533.63611</v>
      </c>
      <c r="I879" s="22">
        <f>IFERROR(__xludf.DUMMYFUNCTION("""COMPUTED_VALUE"""),31.46)</f>
        <v>31.46</v>
      </c>
      <c r="J879" s="25">
        <f>IFERROR(__xludf.DUMMYFUNCTION("""COMPUTED_VALUE"""),44533.63611111111)</f>
        <v>44533.63611</v>
      </c>
      <c r="K879" s="22">
        <f>IFERROR(__xludf.DUMMYFUNCTION("""COMPUTED_VALUE"""),31.14)</f>
        <v>31.14</v>
      </c>
      <c r="M879" s="22" t="str">
        <f t="shared" si="3"/>
        <v/>
      </c>
      <c r="N879" s="22" t="str">
        <f t="shared" si="4"/>
        <v>PREDICT CRASH</v>
      </c>
    </row>
    <row r="880" ht="15.75" customHeight="1">
      <c r="A880" s="25">
        <f>IFERROR(__xludf.DUMMYFUNCTION("""COMPUTED_VALUE"""),44536.66666666667)</f>
        <v>44536.66667</v>
      </c>
      <c r="B880" s="22">
        <f>IFERROR(__xludf.DUMMYFUNCTION("""COMPUTED_VALUE"""),4591.67)</f>
        <v>4591.67</v>
      </c>
      <c r="C880" s="25">
        <f>IFERROR(__xludf.DUMMYFUNCTION("""COMPUTED_VALUE"""),44536.63611111111)</f>
        <v>44536.63611</v>
      </c>
      <c r="D880" s="22">
        <f>IFERROR(__xludf.DUMMYFUNCTION("""COMPUTED_VALUE"""),27.18)</f>
        <v>27.18</v>
      </c>
      <c r="E880" s="26">
        <f t="shared" si="2"/>
        <v>0.01173092898</v>
      </c>
      <c r="F880" s="25">
        <f>IFERROR(__xludf.DUMMYFUNCTION("""COMPUTED_VALUE"""),44536.63611111111)</f>
        <v>44536.63611</v>
      </c>
      <c r="G880" s="22">
        <f>IFERROR(__xludf.DUMMYFUNCTION("""COMPUTED_VALUE"""),28.88)</f>
        <v>28.88</v>
      </c>
      <c r="H880" s="25">
        <f>IFERROR(__xludf.DUMMYFUNCTION("""COMPUTED_VALUE"""),44536.63611111111)</f>
        <v>44536.63611</v>
      </c>
      <c r="I880" s="22">
        <f>IFERROR(__xludf.DUMMYFUNCTION("""COMPUTED_VALUE"""),29.75)</f>
        <v>29.75</v>
      </c>
      <c r="J880" s="25">
        <f>IFERROR(__xludf.DUMMYFUNCTION("""COMPUTED_VALUE"""),44536.63611111111)</f>
        <v>44536.63611</v>
      </c>
      <c r="K880" s="22">
        <f>IFERROR(__xludf.DUMMYFUNCTION("""COMPUTED_VALUE"""),29.68)</f>
        <v>29.68</v>
      </c>
      <c r="M880" s="22" t="str">
        <f t="shared" si="3"/>
        <v/>
      </c>
      <c r="N880" s="22" t="str">
        <f t="shared" si="4"/>
        <v>PREDICT CRASH</v>
      </c>
    </row>
    <row r="881" ht="15.75" customHeight="1">
      <c r="A881" s="25">
        <f>IFERROR(__xludf.DUMMYFUNCTION("""COMPUTED_VALUE"""),44537.66666666667)</f>
        <v>44537.66667</v>
      </c>
      <c r="B881" s="22">
        <f>IFERROR(__xludf.DUMMYFUNCTION("""COMPUTED_VALUE"""),4686.75)</f>
        <v>4686.75</v>
      </c>
      <c r="C881" s="25">
        <f>IFERROR(__xludf.DUMMYFUNCTION("""COMPUTED_VALUE"""),44537.63611111111)</f>
        <v>44537.63611</v>
      </c>
      <c r="D881" s="22">
        <f>IFERROR(__xludf.DUMMYFUNCTION("""COMPUTED_VALUE"""),21.89)</f>
        <v>21.89</v>
      </c>
      <c r="E881" s="26">
        <f t="shared" si="2"/>
        <v>0.02070706301</v>
      </c>
      <c r="F881" s="25">
        <f>IFERROR(__xludf.DUMMYFUNCTION("""COMPUTED_VALUE"""),44537.63611111111)</f>
        <v>44537.63611</v>
      </c>
      <c r="G881" s="22">
        <f>IFERROR(__xludf.DUMMYFUNCTION("""COMPUTED_VALUE"""),24.96)</f>
        <v>24.96</v>
      </c>
      <c r="H881" s="25">
        <f>IFERROR(__xludf.DUMMYFUNCTION("""COMPUTED_VALUE"""),44537.63611111111)</f>
        <v>44537.63611</v>
      </c>
      <c r="I881" s="22">
        <f>IFERROR(__xludf.DUMMYFUNCTION("""COMPUTED_VALUE"""),26.77)</f>
        <v>26.77</v>
      </c>
      <c r="J881" s="25">
        <f>IFERROR(__xludf.DUMMYFUNCTION("""COMPUTED_VALUE"""),44537.63611111111)</f>
        <v>44537.63611</v>
      </c>
      <c r="K881" s="22">
        <f>IFERROR(__xludf.DUMMYFUNCTION("""COMPUTED_VALUE"""),27.96)</f>
        <v>27.96</v>
      </c>
      <c r="M881" s="22" t="str">
        <f t="shared" si="3"/>
        <v/>
      </c>
      <c r="N881" s="22" t="str">
        <f t="shared" si="4"/>
        <v/>
      </c>
    </row>
    <row r="882" ht="15.75" customHeight="1">
      <c r="A882" s="25">
        <f>IFERROR(__xludf.DUMMYFUNCTION("""COMPUTED_VALUE"""),44538.66666666667)</f>
        <v>44538.66667</v>
      </c>
      <c r="B882" s="22">
        <f>IFERROR(__xludf.DUMMYFUNCTION("""COMPUTED_VALUE"""),4701.21)</f>
        <v>4701.21</v>
      </c>
      <c r="C882" s="25">
        <f>IFERROR(__xludf.DUMMYFUNCTION("""COMPUTED_VALUE"""),44538.63611111111)</f>
        <v>44538.63611</v>
      </c>
      <c r="D882" s="22">
        <f>IFERROR(__xludf.DUMMYFUNCTION("""COMPUTED_VALUE"""),19.9)</f>
        <v>19.9</v>
      </c>
      <c r="E882" s="26">
        <f t="shared" si="2"/>
        <v>0.003085293647</v>
      </c>
      <c r="F882" s="25">
        <f>IFERROR(__xludf.DUMMYFUNCTION("""COMPUTED_VALUE"""),44538.63611111111)</f>
        <v>44538.63611</v>
      </c>
      <c r="G882" s="22">
        <f>IFERROR(__xludf.DUMMYFUNCTION("""COMPUTED_VALUE"""),23.63)</f>
        <v>23.63</v>
      </c>
      <c r="H882" s="25">
        <f>IFERROR(__xludf.DUMMYFUNCTION("""COMPUTED_VALUE"""),44538.63611111111)</f>
        <v>44538.63611</v>
      </c>
      <c r="I882" s="22">
        <f>IFERROR(__xludf.DUMMYFUNCTION("""COMPUTED_VALUE"""),26.01)</f>
        <v>26.01</v>
      </c>
      <c r="J882" s="25">
        <f>IFERROR(__xludf.DUMMYFUNCTION("""COMPUTED_VALUE"""),44538.63611111111)</f>
        <v>44538.63611</v>
      </c>
      <c r="K882" s="22">
        <f>IFERROR(__xludf.DUMMYFUNCTION("""COMPUTED_VALUE"""),27.65)</f>
        <v>27.65</v>
      </c>
      <c r="M882" s="22" t="str">
        <f t="shared" si="3"/>
        <v/>
      </c>
      <c r="N882" s="22" t="str">
        <f t="shared" si="4"/>
        <v/>
      </c>
    </row>
    <row r="883" ht="15.75" customHeight="1">
      <c r="A883" s="25">
        <f>IFERROR(__xludf.DUMMYFUNCTION("""COMPUTED_VALUE"""),44539.66666666667)</f>
        <v>44539.66667</v>
      </c>
      <c r="B883" s="22">
        <f>IFERROR(__xludf.DUMMYFUNCTION("""COMPUTED_VALUE"""),4667.45)</f>
        <v>4667.45</v>
      </c>
      <c r="C883" s="25">
        <f>IFERROR(__xludf.DUMMYFUNCTION("""COMPUTED_VALUE"""),44539.63611111111)</f>
        <v>44539.63611</v>
      </c>
      <c r="D883" s="22">
        <f>IFERROR(__xludf.DUMMYFUNCTION("""COMPUTED_VALUE"""),21.58)</f>
        <v>21.58</v>
      </c>
      <c r="E883" s="26">
        <f t="shared" si="2"/>
        <v>-0.007181129964</v>
      </c>
      <c r="F883" s="25">
        <f>IFERROR(__xludf.DUMMYFUNCTION("""COMPUTED_VALUE"""),44539.63611111111)</f>
        <v>44539.63611</v>
      </c>
      <c r="G883" s="22">
        <f>IFERROR(__xludf.DUMMYFUNCTION("""COMPUTED_VALUE"""),24.66)</f>
        <v>24.66</v>
      </c>
      <c r="H883" s="25">
        <f>IFERROR(__xludf.DUMMYFUNCTION("""COMPUTED_VALUE"""),44539.63611111111)</f>
        <v>44539.63611</v>
      </c>
      <c r="I883" s="22">
        <f>IFERROR(__xludf.DUMMYFUNCTION("""COMPUTED_VALUE"""),26.87)</f>
        <v>26.87</v>
      </c>
      <c r="J883" s="25">
        <f>IFERROR(__xludf.DUMMYFUNCTION("""COMPUTED_VALUE"""),44539.63611111111)</f>
        <v>44539.63611</v>
      </c>
      <c r="K883" s="22">
        <f>IFERROR(__xludf.DUMMYFUNCTION("""COMPUTED_VALUE"""),28.21)</f>
        <v>28.21</v>
      </c>
      <c r="M883" s="22" t="str">
        <f t="shared" si="3"/>
        <v/>
      </c>
      <c r="N883" s="22" t="str">
        <f t="shared" si="4"/>
        <v/>
      </c>
    </row>
    <row r="884" ht="15.75" customHeight="1">
      <c r="A884" s="25">
        <f>IFERROR(__xludf.DUMMYFUNCTION("""COMPUTED_VALUE"""),44540.66666666667)</f>
        <v>44540.66667</v>
      </c>
      <c r="B884" s="22">
        <f>IFERROR(__xludf.DUMMYFUNCTION("""COMPUTED_VALUE"""),4712.02)</f>
        <v>4712.02</v>
      </c>
      <c r="C884" s="25">
        <f>IFERROR(__xludf.DUMMYFUNCTION("""COMPUTED_VALUE"""),44540.63611111111)</f>
        <v>44540.63611</v>
      </c>
      <c r="D884" s="22">
        <f>IFERROR(__xludf.DUMMYFUNCTION("""COMPUTED_VALUE"""),18.69)</f>
        <v>18.69</v>
      </c>
      <c r="E884" s="26">
        <f t="shared" si="2"/>
        <v>0.009549111399</v>
      </c>
      <c r="F884" s="25">
        <f>IFERROR(__xludf.DUMMYFUNCTION("""COMPUTED_VALUE"""),44540.63611111111)</f>
        <v>44540.63611</v>
      </c>
      <c r="G884" s="22">
        <f>IFERROR(__xludf.DUMMYFUNCTION("""COMPUTED_VALUE"""),23.18)</f>
        <v>23.18</v>
      </c>
      <c r="H884" s="25">
        <f>IFERROR(__xludf.DUMMYFUNCTION("""COMPUTED_VALUE"""),44540.63611111111)</f>
        <v>44540.63611</v>
      </c>
      <c r="I884" s="22">
        <f>IFERROR(__xludf.DUMMYFUNCTION("""COMPUTED_VALUE"""),26.05)</f>
        <v>26.05</v>
      </c>
      <c r="J884" s="25">
        <f>IFERROR(__xludf.DUMMYFUNCTION("""COMPUTED_VALUE"""),44540.63611111111)</f>
        <v>44540.63611</v>
      </c>
      <c r="K884" s="22">
        <f>IFERROR(__xludf.DUMMYFUNCTION("""COMPUTED_VALUE"""),27.63)</f>
        <v>27.63</v>
      </c>
      <c r="M884" s="22" t="str">
        <f t="shared" si="3"/>
        <v/>
      </c>
      <c r="N884" s="22" t="str">
        <f t="shared" si="4"/>
        <v/>
      </c>
    </row>
    <row r="885" ht="15.75" customHeight="1">
      <c r="A885" s="25">
        <f>IFERROR(__xludf.DUMMYFUNCTION("""COMPUTED_VALUE"""),44543.66666666667)</f>
        <v>44543.66667</v>
      </c>
      <c r="B885" s="22">
        <f>IFERROR(__xludf.DUMMYFUNCTION("""COMPUTED_VALUE"""),4668.97)</f>
        <v>4668.97</v>
      </c>
      <c r="C885" s="25">
        <f>IFERROR(__xludf.DUMMYFUNCTION("""COMPUTED_VALUE"""),44543.63611111111)</f>
        <v>44543.63611</v>
      </c>
      <c r="D885" s="22">
        <f>IFERROR(__xludf.DUMMYFUNCTION("""COMPUTED_VALUE"""),20.31)</f>
        <v>20.31</v>
      </c>
      <c r="E885" s="26">
        <f t="shared" si="2"/>
        <v>-0.009136209099</v>
      </c>
      <c r="F885" s="25">
        <f>IFERROR(__xludf.DUMMYFUNCTION("""COMPUTED_VALUE"""),44543.63611111111)</f>
        <v>44543.63611</v>
      </c>
      <c r="G885" s="22">
        <f>IFERROR(__xludf.DUMMYFUNCTION("""COMPUTED_VALUE"""),24.32)</f>
        <v>24.32</v>
      </c>
      <c r="H885" s="25">
        <f>IFERROR(__xludf.DUMMYFUNCTION("""COMPUTED_VALUE"""),44543.63611111111)</f>
        <v>44543.63611</v>
      </c>
      <c r="I885" s="22">
        <f>IFERROR(__xludf.DUMMYFUNCTION("""COMPUTED_VALUE"""),26.91)</f>
        <v>26.91</v>
      </c>
      <c r="J885" s="25">
        <f>IFERROR(__xludf.DUMMYFUNCTION("""COMPUTED_VALUE"""),44543.63611111111)</f>
        <v>44543.63611</v>
      </c>
      <c r="K885" s="22">
        <f>IFERROR(__xludf.DUMMYFUNCTION("""COMPUTED_VALUE"""),28.18)</f>
        <v>28.18</v>
      </c>
      <c r="M885" s="22" t="str">
        <f t="shared" si="3"/>
        <v/>
      </c>
      <c r="N885" s="22" t="str">
        <f t="shared" si="4"/>
        <v/>
      </c>
    </row>
    <row r="886" ht="15.75" customHeight="1">
      <c r="A886" s="25">
        <f>IFERROR(__xludf.DUMMYFUNCTION("""COMPUTED_VALUE"""),44544.66666666667)</f>
        <v>44544.66667</v>
      </c>
      <c r="B886" s="22">
        <f>IFERROR(__xludf.DUMMYFUNCTION("""COMPUTED_VALUE"""),4634.09)</f>
        <v>4634.09</v>
      </c>
      <c r="C886" s="25">
        <f>IFERROR(__xludf.DUMMYFUNCTION("""COMPUTED_VALUE"""),44544.63611111111)</f>
        <v>44544.63611</v>
      </c>
      <c r="D886" s="22">
        <f>IFERROR(__xludf.DUMMYFUNCTION("""COMPUTED_VALUE"""),21.89)</f>
        <v>21.89</v>
      </c>
      <c r="E886" s="26">
        <f t="shared" si="2"/>
        <v>-0.00747059844</v>
      </c>
      <c r="F886" s="25">
        <f>IFERROR(__xludf.DUMMYFUNCTION("""COMPUTED_VALUE"""),44544.63611111111)</f>
        <v>44544.63611</v>
      </c>
      <c r="G886" s="22">
        <f>IFERROR(__xludf.DUMMYFUNCTION("""COMPUTED_VALUE"""),25.35)</f>
        <v>25.35</v>
      </c>
      <c r="H886" s="25">
        <f>IFERROR(__xludf.DUMMYFUNCTION("""COMPUTED_VALUE"""),44544.63611111111)</f>
        <v>44544.63611</v>
      </c>
      <c r="I886" s="22">
        <f>IFERROR(__xludf.DUMMYFUNCTION("""COMPUTED_VALUE"""),27.64)</f>
        <v>27.64</v>
      </c>
      <c r="J886" s="25">
        <f>IFERROR(__xludf.DUMMYFUNCTION("""COMPUTED_VALUE"""),44544.63611111111)</f>
        <v>44544.63611</v>
      </c>
      <c r="K886" s="22">
        <f>IFERROR(__xludf.DUMMYFUNCTION("""COMPUTED_VALUE"""),28.72)</f>
        <v>28.72</v>
      </c>
      <c r="M886" s="22" t="str">
        <f t="shared" si="3"/>
        <v/>
      </c>
      <c r="N886" s="22" t="str">
        <f t="shared" si="4"/>
        <v/>
      </c>
    </row>
    <row r="887" ht="15.75" customHeight="1">
      <c r="A887" s="25">
        <f>IFERROR(__xludf.DUMMYFUNCTION("""COMPUTED_VALUE"""),44545.66666666667)</f>
        <v>44545.66667</v>
      </c>
      <c r="B887" s="22">
        <f>IFERROR(__xludf.DUMMYFUNCTION("""COMPUTED_VALUE"""),4709.85)</f>
        <v>4709.85</v>
      </c>
      <c r="C887" s="25">
        <f>IFERROR(__xludf.DUMMYFUNCTION("""COMPUTED_VALUE"""),44545.63611111111)</f>
        <v>44545.63611</v>
      </c>
      <c r="D887" s="22">
        <f>IFERROR(__xludf.DUMMYFUNCTION("""COMPUTED_VALUE"""),19.29)</f>
        <v>19.29</v>
      </c>
      <c r="E887" s="26">
        <f t="shared" si="2"/>
        <v>0.01634840929</v>
      </c>
      <c r="F887" s="25">
        <f>IFERROR(__xludf.DUMMYFUNCTION("""COMPUTED_VALUE"""),44545.63611111111)</f>
        <v>44545.63611</v>
      </c>
      <c r="G887" s="22">
        <f>IFERROR(__xludf.DUMMYFUNCTION("""COMPUTED_VALUE"""),23.3)</f>
        <v>23.3</v>
      </c>
      <c r="H887" s="25">
        <f>IFERROR(__xludf.DUMMYFUNCTION("""COMPUTED_VALUE"""),44545.63611111111)</f>
        <v>44545.63611</v>
      </c>
      <c r="I887" s="22">
        <f>IFERROR(__xludf.DUMMYFUNCTION("""COMPUTED_VALUE"""),26.47)</f>
        <v>26.47</v>
      </c>
      <c r="J887" s="25">
        <f>IFERROR(__xludf.DUMMYFUNCTION("""COMPUTED_VALUE"""),44545.63611111111)</f>
        <v>44545.63611</v>
      </c>
      <c r="K887" s="22">
        <f>IFERROR(__xludf.DUMMYFUNCTION("""COMPUTED_VALUE"""),27.87)</f>
        <v>27.87</v>
      </c>
      <c r="M887" s="22" t="str">
        <f t="shared" si="3"/>
        <v/>
      </c>
      <c r="N887" s="22" t="str">
        <f t="shared" si="4"/>
        <v/>
      </c>
    </row>
    <row r="888" ht="15.75" customHeight="1">
      <c r="A888" s="25">
        <f>IFERROR(__xludf.DUMMYFUNCTION("""COMPUTED_VALUE"""),44546.66666666667)</f>
        <v>44546.66667</v>
      </c>
      <c r="B888" s="22">
        <f>IFERROR(__xludf.DUMMYFUNCTION("""COMPUTED_VALUE"""),4668.67)</f>
        <v>4668.67</v>
      </c>
      <c r="C888" s="25">
        <f>IFERROR(__xludf.DUMMYFUNCTION("""COMPUTED_VALUE"""),44546.63611111111)</f>
        <v>44546.63611</v>
      </c>
      <c r="D888" s="22">
        <f>IFERROR(__xludf.DUMMYFUNCTION("""COMPUTED_VALUE"""),20.57)</f>
        <v>20.57</v>
      </c>
      <c r="E888" s="26">
        <f t="shared" si="2"/>
        <v>-0.008743378239</v>
      </c>
      <c r="F888" s="25">
        <f>IFERROR(__xludf.DUMMYFUNCTION("""COMPUTED_VALUE"""),44546.63611111111)</f>
        <v>44546.63611</v>
      </c>
      <c r="G888" s="22">
        <f>IFERROR(__xludf.DUMMYFUNCTION("""COMPUTED_VALUE"""),24.37)</f>
        <v>24.37</v>
      </c>
      <c r="H888" s="25">
        <f>IFERROR(__xludf.DUMMYFUNCTION("""COMPUTED_VALUE"""),44546.63611111111)</f>
        <v>44546.63611</v>
      </c>
      <c r="I888" s="22">
        <f>IFERROR(__xludf.DUMMYFUNCTION("""COMPUTED_VALUE"""),27.14)</f>
        <v>27.14</v>
      </c>
      <c r="J888" s="25">
        <f>IFERROR(__xludf.DUMMYFUNCTION("""COMPUTED_VALUE"""),44546.63611111111)</f>
        <v>44546.63611</v>
      </c>
      <c r="K888" s="22">
        <f>IFERROR(__xludf.DUMMYFUNCTION("""COMPUTED_VALUE"""),28.85)</f>
        <v>28.85</v>
      </c>
      <c r="M888" s="22" t="str">
        <f t="shared" si="3"/>
        <v/>
      </c>
      <c r="N888" s="22" t="str">
        <f t="shared" si="4"/>
        <v/>
      </c>
    </row>
    <row r="889" ht="15.75" customHeight="1">
      <c r="A889" s="25">
        <f>IFERROR(__xludf.DUMMYFUNCTION("""COMPUTED_VALUE"""),44547.66666666667)</f>
        <v>44547.66667</v>
      </c>
      <c r="B889" s="22">
        <f>IFERROR(__xludf.DUMMYFUNCTION("""COMPUTED_VALUE"""),4620.64)</f>
        <v>4620.64</v>
      </c>
      <c r="C889" s="25">
        <f>IFERROR(__xludf.DUMMYFUNCTION("""COMPUTED_VALUE"""),44547.63611111111)</f>
        <v>44547.63611</v>
      </c>
      <c r="D889" s="22">
        <f>IFERROR(__xludf.DUMMYFUNCTION("""COMPUTED_VALUE"""),21.57)</f>
        <v>21.57</v>
      </c>
      <c r="E889" s="26">
        <f t="shared" si="2"/>
        <v>-0.01028772648</v>
      </c>
      <c r="F889" s="25">
        <f>IFERROR(__xludf.DUMMYFUNCTION("""COMPUTED_VALUE"""),44547.63611111111)</f>
        <v>44547.63611</v>
      </c>
      <c r="G889" s="22">
        <f>IFERROR(__xludf.DUMMYFUNCTION("""COMPUTED_VALUE"""),25.38)</f>
        <v>25.38</v>
      </c>
      <c r="H889" s="25">
        <f>IFERROR(__xludf.DUMMYFUNCTION("""COMPUTED_VALUE"""),44547.63611111111)</f>
        <v>44547.63611</v>
      </c>
      <c r="I889" s="22">
        <f>IFERROR(__xludf.DUMMYFUNCTION("""COMPUTED_VALUE"""),27.9)</f>
        <v>27.9</v>
      </c>
      <c r="J889" s="25">
        <f>IFERROR(__xludf.DUMMYFUNCTION("""COMPUTED_VALUE"""),44547.63611111111)</f>
        <v>44547.63611</v>
      </c>
      <c r="K889" s="22">
        <f>IFERROR(__xludf.DUMMYFUNCTION("""COMPUTED_VALUE"""),29.09)</f>
        <v>29.09</v>
      </c>
      <c r="M889" s="22" t="str">
        <f t="shared" si="3"/>
        <v/>
      </c>
      <c r="N889" s="22" t="str">
        <f t="shared" si="4"/>
        <v/>
      </c>
    </row>
    <row r="890" ht="15.75" customHeight="1">
      <c r="A890" s="25">
        <f>IFERROR(__xludf.DUMMYFUNCTION("""COMPUTED_VALUE"""),44550.66666666667)</f>
        <v>44550.66667</v>
      </c>
      <c r="B890" s="22">
        <f>IFERROR(__xludf.DUMMYFUNCTION("""COMPUTED_VALUE"""),4568.02)</f>
        <v>4568.02</v>
      </c>
      <c r="C890" s="25">
        <f>IFERROR(__xludf.DUMMYFUNCTION("""COMPUTED_VALUE"""),44550.63611111111)</f>
        <v>44550.63611</v>
      </c>
      <c r="D890" s="22">
        <f>IFERROR(__xludf.DUMMYFUNCTION("""COMPUTED_VALUE"""),22.87)</f>
        <v>22.87</v>
      </c>
      <c r="E890" s="26">
        <f t="shared" si="2"/>
        <v>-0.01138803283</v>
      </c>
      <c r="F890" s="25">
        <f>IFERROR(__xludf.DUMMYFUNCTION("""COMPUTED_VALUE"""),44550.63611111111)</f>
        <v>44550.63611</v>
      </c>
      <c r="G890" s="22">
        <f>IFERROR(__xludf.DUMMYFUNCTION("""COMPUTED_VALUE"""),26.31)</f>
        <v>26.31</v>
      </c>
      <c r="H890" s="25">
        <f>IFERROR(__xludf.DUMMYFUNCTION("""COMPUTED_VALUE"""),44550.63611111111)</f>
        <v>44550.63611</v>
      </c>
      <c r="I890" s="22">
        <f>IFERROR(__xludf.DUMMYFUNCTION("""COMPUTED_VALUE"""),28.34)</f>
        <v>28.34</v>
      </c>
      <c r="J890" s="25">
        <f>IFERROR(__xludf.DUMMYFUNCTION("""COMPUTED_VALUE"""),44550.63611111111)</f>
        <v>44550.63611</v>
      </c>
      <c r="K890" s="22">
        <f>IFERROR(__xludf.DUMMYFUNCTION("""COMPUTED_VALUE"""),29.32)</f>
        <v>29.32</v>
      </c>
      <c r="M890" s="22" t="str">
        <f t="shared" si="3"/>
        <v/>
      </c>
      <c r="N890" s="22" t="str">
        <f t="shared" si="4"/>
        <v/>
      </c>
    </row>
    <row r="891" ht="15.75" customHeight="1">
      <c r="A891" s="25">
        <f>IFERROR(__xludf.DUMMYFUNCTION("""COMPUTED_VALUE"""),44551.66666666667)</f>
        <v>44551.66667</v>
      </c>
      <c r="B891" s="22">
        <f>IFERROR(__xludf.DUMMYFUNCTION("""COMPUTED_VALUE"""),4649.23)</f>
        <v>4649.23</v>
      </c>
      <c r="C891" s="25">
        <f>IFERROR(__xludf.DUMMYFUNCTION("""COMPUTED_VALUE"""),44551.63611111111)</f>
        <v>44551.63611</v>
      </c>
      <c r="D891" s="22">
        <f>IFERROR(__xludf.DUMMYFUNCTION("""COMPUTED_VALUE"""),21.01)</f>
        <v>21.01</v>
      </c>
      <c r="E891" s="26">
        <f t="shared" si="2"/>
        <v>0.01777794318</v>
      </c>
      <c r="F891" s="25">
        <f>IFERROR(__xludf.DUMMYFUNCTION("""COMPUTED_VALUE"""),44551.63611111111)</f>
        <v>44551.63611</v>
      </c>
      <c r="G891" s="22">
        <f>IFERROR(__xludf.DUMMYFUNCTION("""COMPUTED_VALUE"""),25.0)</f>
        <v>25</v>
      </c>
      <c r="H891" s="25">
        <f>IFERROR(__xludf.DUMMYFUNCTION("""COMPUTED_VALUE"""),44551.63611111111)</f>
        <v>44551.63611</v>
      </c>
      <c r="I891" s="22">
        <f>IFERROR(__xludf.DUMMYFUNCTION("""COMPUTED_VALUE"""),27.5)</f>
        <v>27.5</v>
      </c>
      <c r="J891" s="25">
        <f>IFERROR(__xludf.DUMMYFUNCTION("""COMPUTED_VALUE"""),44551.63611111111)</f>
        <v>44551.63611</v>
      </c>
      <c r="K891" s="22">
        <f>IFERROR(__xludf.DUMMYFUNCTION("""COMPUTED_VALUE"""),28.95)</f>
        <v>28.95</v>
      </c>
      <c r="M891" s="22" t="str">
        <f t="shared" si="3"/>
        <v/>
      </c>
      <c r="N891" s="22" t="str">
        <f t="shared" si="4"/>
        <v/>
      </c>
    </row>
    <row r="892" ht="15.75" customHeight="1">
      <c r="A892" s="25">
        <f>IFERROR(__xludf.DUMMYFUNCTION("""COMPUTED_VALUE"""),44552.66666666667)</f>
        <v>44552.66667</v>
      </c>
      <c r="B892" s="22">
        <f>IFERROR(__xludf.DUMMYFUNCTION("""COMPUTED_VALUE"""),4696.56)</f>
        <v>4696.56</v>
      </c>
      <c r="C892" s="25">
        <f>IFERROR(__xludf.DUMMYFUNCTION("""COMPUTED_VALUE"""),44552.63611111111)</f>
        <v>44552.63611</v>
      </c>
      <c r="D892" s="22">
        <f>IFERROR(__xludf.DUMMYFUNCTION("""COMPUTED_VALUE"""),18.63)</f>
        <v>18.63</v>
      </c>
      <c r="E892" s="26">
        <f t="shared" si="2"/>
        <v>0.01018018037</v>
      </c>
      <c r="F892" s="25">
        <f>IFERROR(__xludf.DUMMYFUNCTION("""COMPUTED_VALUE"""),44552.63611111111)</f>
        <v>44552.63611</v>
      </c>
      <c r="G892" s="22">
        <f>IFERROR(__xludf.DUMMYFUNCTION("""COMPUTED_VALUE"""),23.56)</f>
        <v>23.56</v>
      </c>
      <c r="H892" s="25">
        <f>IFERROR(__xludf.DUMMYFUNCTION("""COMPUTED_VALUE"""),44552.63611111111)</f>
        <v>44552.63611</v>
      </c>
      <c r="I892" s="22">
        <f>IFERROR(__xludf.DUMMYFUNCTION("""COMPUTED_VALUE"""),26.65)</f>
        <v>26.65</v>
      </c>
      <c r="J892" s="25">
        <f>IFERROR(__xludf.DUMMYFUNCTION("""COMPUTED_VALUE"""),44552.63611111111)</f>
        <v>44552.63611</v>
      </c>
      <c r="K892" s="22">
        <f>IFERROR(__xludf.DUMMYFUNCTION("""COMPUTED_VALUE"""),28.36)</f>
        <v>28.36</v>
      </c>
      <c r="M892" s="22" t="str">
        <f t="shared" si="3"/>
        <v/>
      </c>
      <c r="N892" s="22" t="str">
        <f t="shared" si="4"/>
        <v/>
      </c>
    </row>
    <row r="893" ht="15.75" customHeight="1">
      <c r="A893" s="25">
        <f>IFERROR(__xludf.DUMMYFUNCTION("""COMPUTED_VALUE"""),44553.66666666667)</f>
        <v>44553.66667</v>
      </c>
      <c r="B893" s="22">
        <f>IFERROR(__xludf.DUMMYFUNCTION("""COMPUTED_VALUE"""),4725.79)</f>
        <v>4725.79</v>
      </c>
      <c r="C893" s="25">
        <f>IFERROR(__xludf.DUMMYFUNCTION("""COMPUTED_VALUE"""),44553.63611111111)</f>
        <v>44553.63611</v>
      </c>
      <c r="D893" s="22">
        <f>IFERROR(__xludf.DUMMYFUNCTION("""COMPUTED_VALUE"""),17.96)</f>
        <v>17.96</v>
      </c>
      <c r="E893" s="26">
        <f t="shared" si="2"/>
        <v>0.006223704158</v>
      </c>
      <c r="F893" s="25">
        <f>IFERROR(__xludf.DUMMYFUNCTION("""COMPUTED_VALUE"""),44553.63611111111)</f>
        <v>44553.63611</v>
      </c>
      <c r="G893" s="22">
        <f>IFERROR(__xludf.DUMMYFUNCTION("""COMPUTED_VALUE"""),23.24)</f>
        <v>23.24</v>
      </c>
      <c r="H893" s="25">
        <f>IFERROR(__xludf.DUMMYFUNCTION("""COMPUTED_VALUE"""),44553.63611111111)</f>
        <v>44553.63611</v>
      </c>
      <c r="I893" s="22">
        <f>IFERROR(__xludf.DUMMYFUNCTION("""COMPUTED_VALUE"""),26.48)</f>
        <v>26.48</v>
      </c>
      <c r="J893" s="25">
        <f>IFERROR(__xludf.DUMMYFUNCTION("""COMPUTED_VALUE"""),44553.63611111111)</f>
        <v>44553.63611</v>
      </c>
      <c r="K893" s="22">
        <f>IFERROR(__xludf.DUMMYFUNCTION("""COMPUTED_VALUE"""),28.31)</f>
        <v>28.31</v>
      </c>
      <c r="M893" s="22" t="str">
        <f t="shared" si="3"/>
        <v/>
      </c>
      <c r="N893" s="22" t="str">
        <f t="shared" si="4"/>
        <v/>
      </c>
    </row>
    <row r="894" ht="15.75" customHeight="1">
      <c r="A894" s="25">
        <f>IFERROR(__xludf.DUMMYFUNCTION("""COMPUTED_VALUE"""),44557.66666666667)</f>
        <v>44557.66667</v>
      </c>
      <c r="B894" s="22">
        <f>IFERROR(__xludf.DUMMYFUNCTION("""COMPUTED_VALUE"""),4791.19)</f>
        <v>4791.19</v>
      </c>
      <c r="C894" s="25">
        <f>IFERROR(__xludf.DUMMYFUNCTION("""COMPUTED_VALUE"""),44557.63611111111)</f>
        <v>44557.63611</v>
      </c>
      <c r="D894" s="22">
        <f>IFERROR(__xludf.DUMMYFUNCTION("""COMPUTED_VALUE"""),17.68)</f>
        <v>17.68</v>
      </c>
      <c r="E894" s="26">
        <f t="shared" si="2"/>
        <v>0.01383895603</v>
      </c>
      <c r="F894" s="25">
        <f>IFERROR(__xludf.DUMMYFUNCTION("""COMPUTED_VALUE"""),44557.63611111111)</f>
        <v>44557.63611</v>
      </c>
      <c r="G894" s="22">
        <f>IFERROR(__xludf.DUMMYFUNCTION("""COMPUTED_VALUE"""),22.74)</f>
        <v>22.74</v>
      </c>
      <c r="H894" s="25">
        <f>IFERROR(__xludf.DUMMYFUNCTION("""COMPUTED_VALUE"""),44557.63611111111)</f>
        <v>44557.63611</v>
      </c>
      <c r="I894" s="22">
        <f>IFERROR(__xludf.DUMMYFUNCTION("""COMPUTED_VALUE"""),25.99)</f>
        <v>25.99</v>
      </c>
      <c r="J894" s="25">
        <f>IFERROR(__xludf.DUMMYFUNCTION("""COMPUTED_VALUE"""),44557.63611111111)</f>
        <v>44557.63611</v>
      </c>
      <c r="K894" s="22">
        <f>IFERROR(__xludf.DUMMYFUNCTION("""COMPUTED_VALUE"""),27.98)</f>
        <v>27.98</v>
      </c>
      <c r="M894" s="22" t="str">
        <f t="shared" si="3"/>
        <v/>
      </c>
      <c r="N894" s="22" t="str">
        <f t="shared" si="4"/>
        <v/>
      </c>
    </row>
    <row r="895" ht="15.75" customHeight="1">
      <c r="A895" s="25">
        <f>IFERROR(__xludf.DUMMYFUNCTION("""COMPUTED_VALUE"""),44558.66666666667)</f>
        <v>44558.66667</v>
      </c>
      <c r="B895" s="22">
        <f>IFERROR(__xludf.DUMMYFUNCTION("""COMPUTED_VALUE"""),4786.35)</f>
        <v>4786.35</v>
      </c>
      <c r="C895" s="25">
        <f>IFERROR(__xludf.DUMMYFUNCTION("""COMPUTED_VALUE"""),44558.63611111111)</f>
        <v>44558.63611</v>
      </c>
      <c r="D895" s="22">
        <f>IFERROR(__xludf.DUMMYFUNCTION("""COMPUTED_VALUE"""),17.54)</f>
        <v>17.54</v>
      </c>
      <c r="E895" s="26">
        <f t="shared" si="2"/>
        <v>-0.001010187448</v>
      </c>
      <c r="F895" s="25">
        <f>IFERROR(__xludf.DUMMYFUNCTION("""COMPUTED_VALUE"""),44558.63611111111)</f>
        <v>44558.63611</v>
      </c>
      <c r="G895" s="22">
        <f>IFERROR(__xludf.DUMMYFUNCTION("""COMPUTED_VALUE"""),22.33)</f>
        <v>22.33</v>
      </c>
      <c r="H895" s="25">
        <f>IFERROR(__xludf.DUMMYFUNCTION("""COMPUTED_VALUE"""),44558.63611111111)</f>
        <v>44558.63611</v>
      </c>
      <c r="I895" s="22">
        <f>IFERROR(__xludf.DUMMYFUNCTION("""COMPUTED_VALUE"""),25.78)</f>
        <v>25.78</v>
      </c>
      <c r="J895" s="25">
        <f>IFERROR(__xludf.DUMMYFUNCTION("""COMPUTED_VALUE"""),44558.63611111111)</f>
        <v>44558.63611</v>
      </c>
      <c r="K895" s="22">
        <f>IFERROR(__xludf.DUMMYFUNCTION("""COMPUTED_VALUE"""),28.1)</f>
        <v>28.1</v>
      </c>
      <c r="M895" s="22" t="str">
        <f t="shared" si="3"/>
        <v/>
      </c>
      <c r="N895" s="22" t="str">
        <f t="shared" si="4"/>
        <v/>
      </c>
    </row>
    <row r="896" ht="15.75" customHeight="1">
      <c r="A896" s="25">
        <f>IFERROR(__xludf.DUMMYFUNCTION("""COMPUTED_VALUE"""),44559.66666666667)</f>
        <v>44559.66667</v>
      </c>
      <c r="B896" s="22">
        <f>IFERROR(__xludf.DUMMYFUNCTION("""COMPUTED_VALUE"""),4793.06)</f>
        <v>4793.06</v>
      </c>
      <c r="C896" s="25">
        <f>IFERROR(__xludf.DUMMYFUNCTION("""COMPUTED_VALUE"""),44559.63611111111)</f>
        <v>44559.63611</v>
      </c>
      <c r="D896" s="22">
        <f>IFERROR(__xludf.DUMMYFUNCTION("""COMPUTED_VALUE"""),16.95)</f>
        <v>16.95</v>
      </c>
      <c r="E896" s="26">
        <f t="shared" si="2"/>
        <v>0.001401903329</v>
      </c>
      <c r="F896" s="25">
        <f>IFERROR(__xludf.DUMMYFUNCTION("""COMPUTED_VALUE"""),44559.63611111111)</f>
        <v>44559.63611</v>
      </c>
      <c r="G896" s="22">
        <f>IFERROR(__xludf.DUMMYFUNCTION("""COMPUTED_VALUE"""),21.83)</f>
        <v>21.83</v>
      </c>
      <c r="H896" s="25">
        <f>IFERROR(__xludf.DUMMYFUNCTION("""COMPUTED_VALUE"""),44559.63611111111)</f>
        <v>44559.63611</v>
      </c>
      <c r="I896" s="22">
        <f>IFERROR(__xludf.DUMMYFUNCTION("""COMPUTED_VALUE"""),25.42)</f>
        <v>25.42</v>
      </c>
      <c r="J896" s="25">
        <f>IFERROR(__xludf.DUMMYFUNCTION("""COMPUTED_VALUE"""),44559.63611111111)</f>
        <v>44559.63611</v>
      </c>
      <c r="K896" s="22">
        <f>IFERROR(__xludf.DUMMYFUNCTION("""COMPUTED_VALUE"""),27.79)</f>
        <v>27.79</v>
      </c>
      <c r="M896" s="22" t="str">
        <f t="shared" si="3"/>
        <v/>
      </c>
      <c r="N896" s="22" t="str">
        <f t="shared" si="4"/>
        <v/>
      </c>
    </row>
    <row r="897" ht="15.75" customHeight="1">
      <c r="A897" s="25">
        <f>IFERROR(__xludf.DUMMYFUNCTION("""COMPUTED_VALUE"""),44560.66666666667)</f>
        <v>44560.66667</v>
      </c>
      <c r="B897" s="22">
        <f>IFERROR(__xludf.DUMMYFUNCTION("""COMPUTED_VALUE"""),4778.73)</f>
        <v>4778.73</v>
      </c>
      <c r="C897" s="25">
        <f>IFERROR(__xludf.DUMMYFUNCTION("""COMPUTED_VALUE"""),44560.63611111111)</f>
        <v>44560.63611</v>
      </c>
      <c r="D897" s="22">
        <f>IFERROR(__xludf.DUMMYFUNCTION("""COMPUTED_VALUE"""),17.33)</f>
        <v>17.33</v>
      </c>
      <c r="E897" s="26">
        <f t="shared" si="2"/>
        <v>-0.002989739331</v>
      </c>
      <c r="F897" s="25">
        <f>IFERROR(__xludf.DUMMYFUNCTION("""COMPUTED_VALUE"""),44560.63611111111)</f>
        <v>44560.63611</v>
      </c>
      <c r="G897" s="22">
        <f>IFERROR(__xludf.DUMMYFUNCTION("""COMPUTED_VALUE"""),21.88)</f>
        <v>21.88</v>
      </c>
      <c r="H897" s="25">
        <f>IFERROR(__xludf.DUMMYFUNCTION("""COMPUTED_VALUE"""),44560.63611111111)</f>
        <v>44560.63611</v>
      </c>
      <c r="I897" s="22">
        <f>IFERROR(__xludf.DUMMYFUNCTION("""COMPUTED_VALUE"""),25.39)</f>
        <v>25.39</v>
      </c>
      <c r="J897" s="25">
        <f>IFERROR(__xludf.DUMMYFUNCTION("""COMPUTED_VALUE"""),44560.63611111111)</f>
        <v>44560.63611</v>
      </c>
      <c r="K897" s="22">
        <f>IFERROR(__xludf.DUMMYFUNCTION("""COMPUTED_VALUE"""),27.92)</f>
        <v>27.92</v>
      </c>
      <c r="M897" s="22" t="str">
        <f t="shared" si="3"/>
        <v/>
      </c>
      <c r="N897" s="22" t="str">
        <f t="shared" si="4"/>
        <v/>
      </c>
    </row>
    <row r="898" ht="15.75" customHeight="1">
      <c r="A898" s="25">
        <f>IFERROR(__xludf.DUMMYFUNCTION("""COMPUTED_VALUE"""),44561.66666666667)</f>
        <v>44561.66667</v>
      </c>
      <c r="B898" s="22">
        <f>IFERROR(__xludf.DUMMYFUNCTION("""COMPUTED_VALUE"""),4766.18)</f>
        <v>4766.18</v>
      </c>
      <c r="C898" s="25">
        <f>IFERROR(__xludf.DUMMYFUNCTION("""COMPUTED_VALUE"""),44561.63611111111)</f>
        <v>44561.63611</v>
      </c>
      <c r="D898" s="22">
        <f>IFERROR(__xludf.DUMMYFUNCTION("""COMPUTED_VALUE"""),17.22)</f>
        <v>17.22</v>
      </c>
      <c r="E898" s="26">
        <f t="shared" si="2"/>
        <v>-0.002626220774</v>
      </c>
      <c r="F898" s="25">
        <f>IFERROR(__xludf.DUMMYFUNCTION("""COMPUTED_VALUE"""),44561.63611111111)</f>
        <v>44561.63611</v>
      </c>
      <c r="G898" s="22">
        <f>IFERROR(__xludf.DUMMYFUNCTION("""COMPUTED_VALUE"""),21.88)</f>
        <v>21.88</v>
      </c>
      <c r="H898" s="25">
        <f>IFERROR(__xludf.DUMMYFUNCTION("""COMPUTED_VALUE"""),44561.63611111111)</f>
        <v>44561.63611</v>
      </c>
      <c r="I898" s="22">
        <f>IFERROR(__xludf.DUMMYFUNCTION("""COMPUTED_VALUE"""),25.1)</f>
        <v>25.1</v>
      </c>
      <c r="J898" s="25">
        <f>IFERROR(__xludf.DUMMYFUNCTION("""COMPUTED_VALUE"""),44561.63611111111)</f>
        <v>44561.63611</v>
      </c>
      <c r="K898" s="22">
        <f>IFERROR(__xludf.DUMMYFUNCTION("""COMPUTED_VALUE"""),27.62)</f>
        <v>27.62</v>
      </c>
      <c r="M898" s="22" t="str">
        <f t="shared" si="3"/>
        <v/>
      </c>
      <c r="N898" s="22" t="str">
        <f t="shared" si="4"/>
        <v/>
      </c>
    </row>
    <row r="899" ht="15.75" customHeight="1">
      <c r="A899" s="25">
        <f>IFERROR(__xludf.DUMMYFUNCTION("""COMPUTED_VALUE"""),44564.66666666667)</f>
        <v>44564.66667</v>
      </c>
      <c r="B899" s="22">
        <f>IFERROR(__xludf.DUMMYFUNCTION("""COMPUTED_VALUE"""),4796.56)</f>
        <v>4796.56</v>
      </c>
      <c r="C899" s="25">
        <f>IFERROR(__xludf.DUMMYFUNCTION("""COMPUTED_VALUE"""),44564.63611111111)</f>
        <v>44564.63611</v>
      </c>
      <c r="D899" s="22">
        <f>IFERROR(__xludf.DUMMYFUNCTION("""COMPUTED_VALUE"""),16.6)</f>
        <v>16.6</v>
      </c>
      <c r="E899" s="26">
        <f t="shared" si="2"/>
        <v>0.006374077353</v>
      </c>
      <c r="F899" s="25">
        <f>IFERROR(__xludf.DUMMYFUNCTION("""COMPUTED_VALUE"""),44564.63611111111)</f>
        <v>44564.63611</v>
      </c>
      <c r="G899" s="22">
        <f>IFERROR(__xludf.DUMMYFUNCTION("""COMPUTED_VALUE"""),21.53)</f>
        <v>21.53</v>
      </c>
      <c r="H899" s="25">
        <f>IFERROR(__xludf.DUMMYFUNCTION("""COMPUTED_VALUE"""),44564.63611111111)</f>
        <v>44564.63611</v>
      </c>
      <c r="I899" s="22">
        <f>IFERROR(__xludf.DUMMYFUNCTION("""COMPUTED_VALUE"""),24.74)</f>
        <v>24.74</v>
      </c>
      <c r="J899" s="25">
        <f>IFERROR(__xludf.DUMMYFUNCTION("""COMPUTED_VALUE"""),44564.63611111111)</f>
        <v>44564.63611</v>
      </c>
      <c r="K899" s="22">
        <f>IFERROR(__xludf.DUMMYFUNCTION("""COMPUTED_VALUE"""),27.27)</f>
        <v>27.27</v>
      </c>
      <c r="M899" s="22" t="str">
        <f t="shared" si="3"/>
        <v/>
      </c>
      <c r="N899" s="22" t="str">
        <f t="shared" si="4"/>
        <v/>
      </c>
    </row>
    <row r="900" ht="15.75" customHeight="1">
      <c r="A900" s="25">
        <f>IFERROR(__xludf.DUMMYFUNCTION("""COMPUTED_VALUE"""),44565.66666666667)</f>
        <v>44565.66667</v>
      </c>
      <c r="B900" s="22">
        <f>IFERROR(__xludf.DUMMYFUNCTION("""COMPUTED_VALUE"""),4793.54)</f>
        <v>4793.54</v>
      </c>
      <c r="C900" s="25">
        <f>IFERROR(__xludf.DUMMYFUNCTION("""COMPUTED_VALUE"""),44565.63611111111)</f>
        <v>44565.63611</v>
      </c>
      <c r="D900" s="22">
        <f>IFERROR(__xludf.DUMMYFUNCTION("""COMPUTED_VALUE"""),16.91)</f>
        <v>16.91</v>
      </c>
      <c r="E900" s="26">
        <f t="shared" si="2"/>
        <v>-0.0006296178928</v>
      </c>
      <c r="F900" s="25">
        <f>IFERROR(__xludf.DUMMYFUNCTION("""COMPUTED_VALUE"""),44565.63611111111)</f>
        <v>44565.63611</v>
      </c>
      <c r="G900" s="22">
        <f>IFERROR(__xludf.DUMMYFUNCTION("""COMPUTED_VALUE"""),21.62)</f>
        <v>21.62</v>
      </c>
      <c r="H900" s="25">
        <f>IFERROR(__xludf.DUMMYFUNCTION("""COMPUTED_VALUE"""),44565.63611111111)</f>
        <v>44565.63611</v>
      </c>
      <c r="I900" s="22">
        <f>IFERROR(__xludf.DUMMYFUNCTION("""COMPUTED_VALUE"""),24.86)</f>
        <v>24.86</v>
      </c>
      <c r="J900" s="25">
        <f>IFERROR(__xludf.DUMMYFUNCTION("""COMPUTED_VALUE"""),44565.63611111111)</f>
        <v>44565.63611</v>
      </c>
      <c r="K900" s="22">
        <f>IFERROR(__xludf.DUMMYFUNCTION("""COMPUTED_VALUE"""),27.53)</f>
        <v>27.53</v>
      </c>
      <c r="M900" s="22" t="str">
        <f t="shared" si="3"/>
        <v/>
      </c>
      <c r="N900" s="22" t="str">
        <f t="shared" si="4"/>
        <v/>
      </c>
    </row>
    <row r="901" ht="15.75" customHeight="1">
      <c r="A901" s="25">
        <f>IFERROR(__xludf.DUMMYFUNCTION("""COMPUTED_VALUE"""),44566.66666666667)</f>
        <v>44566.66667</v>
      </c>
      <c r="B901" s="22">
        <f>IFERROR(__xludf.DUMMYFUNCTION("""COMPUTED_VALUE"""),4700.58)</f>
        <v>4700.58</v>
      </c>
      <c r="C901" s="25">
        <f>IFERROR(__xludf.DUMMYFUNCTION("""COMPUTED_VALUE"""),44566.63611111111)</f>
        <v>44566.63611</v>
      </c>
      <c r="D901" s="22">
        <f>IFERROR(__xludf.DUMMYFUNCTION("""COMPUTED_VALUE"""),19.73)</f>
        <v>19.73</v>
      </c>
      <c r="E901" s="26">
        <f t="shared" si="2"/>
        <v>-0.0193927661</v>
      </c>
      <c r="F901" s="25">
        <f>IFERROR(__xludf.DUMMYFUNCTION("""COMPUTED_VALUE"""),44566.63611111111)</f>
        <v>44566.63611</v>
      </c>
      <c r="G901" s="22">
        <f>IFERROR(__xludf.DUMMYFUNCTION("""COMPUTED_VALUE"""),23.47)</f>
        <v>23.47</v>
      </c>
      <c r="H901" s="25">
        <f>IFERROR(__xludf.DUMMYFUNCTION("""COMPUTED_VALUE"""),44566.63611111111)</f>
        <v>44566.63611</v>
      </c>
      <c r="I901" s="22">
        <f>IFERROR(__xludf.DUMMYFUNCTION("""COMPUTED_VALUE"""),26.0)</f>
        <v>26</v>
      </c>
      <c r="J901" s="25">
        <f>IFERROR(__xludf.DUMMYFUNCTION("""COMPUTED_VALUE"""),44566.63611111111)</f>
        <v>44566.63611</v>
      </c>
      <c r="K901" s="22">
        <f>IFERROR(__xludf.DUMMYFUNCTION("""COMPUTED_VALUE"""),28.24)</f>
        <v>28.24</v>
      </c>
      <c r="M901" s="22" t="str">
        <f t="shared" si="3"/>
        <v/>
      </c>
      <c r="N901" s="22" t="str">
        <f t="shared" si="4"/>
        <v/>
      </c>
    </row>
    <row r="902" ht="15.75" customHeight="1">
      <c r="A902" s="25">
        <f>IFERROR(__xludf.DUMMYFUNCTION("""COMPUTED_VALUE"""),44567.66666666667)</f>
        <v>44567.66667</v>
      </c>
      <c r="B902" s="22">
        <f>IFERROR(__xludf.DUMMYFUNCTION("""COMPUTED_VALUE"""),4696.05)</f>
        <v>4696.05</v>
      </c>
      <c r="C902" s="25">
        <f>IFERROR(__xludf.DUMMYFUNCTION("""COMPUTED_VALUE"""),44567.63611111111)</f>
        <v>44567.63611</v>
      </c>
      <c r="D902" s="22">
        <f>IFERROR(__xludf.DUMMYFUNCTION("""COMPUTED_VALUE"""),19.61)</f>
        <v>19.61</v>
      </c>
      <c r="E902" s="26">
        <f t="shared" si="2"/>
        <v>-0.0009637108612</v>
      </c>
      <c r="F902" s="25">
        <f>IFERROR(__xludf.DUMMYFUNCTION("""COMPUTED_VALUE"""),44567.63611111111)</f>
        <v>44567.63611</v>
      </c>
      <c r="G902" s="22">
        <f>IFERROR(__xludf.DUMMYFUNCTION("""COMPUTED_VALUE"""),23.5)</f>
        <v>23.5</v>
      </c>
      <c r="H902" s="25">
        <f>IFERROR(__xludf.DUMMYFUNCTION("""COMPUTED_VALUE"""),44567.63611111111)</f>
        <v>44567.63611</v>
      </c>
      <c r="I902" s="22">
        <f>IFERROR(__xludf.DUMMYFUNCTION("""COMPUTED_VALUE"""),25.93)</f>
        <v>25.93</v>
      </c>
      <c r="J902" s="25">
        <f>IFERROR(__xludf.DUMMYFUNCTION("""COMPUTED_VALUE"""),44567.63611111111)</f>
        <v>44567.63611</v>
      </c>
      <c r="K902" s="22">
        <f>IFERROR(__xludf.DUMMYFUNCTION("""COMPUTED_VALUE"""),27.91)</f>
        <v>27.91</v>
      </c>
      <c r="M902" s="22" t="str">
        <f t="shared" si="3"/>
        <v/>
      </c>
      <c r="N902" s="22" t="str">
        <f t="shared" si="4"/>
        <v/>
      </c>
    </row>
    <row r="903" ht="15.75" customHeight="1">
      <c r="A903" s="25">
        <f>IFERROR(__xludf.DUMMYFUNCTION("""COMPUTED_VALUE"""),44568.66666666667)</f>
        <v>44568.66667</v>
      </c>
      <c r="B903" s="22">
        <f>IFERROR(__xludf.DUMMYFUNCTION("""COMPUTED_VALUE"""),4677.03)</f>
        <v>4677.03</v>
      </c>
      <c r="C903" s="25">
        <f>IFERROR(__xludf.DUMMYFUNCTION("""COMPUTED_VALUE"""),44568.63611111111)</f>
        <v>44568.63611</v>
      </c>
      <c r="D903" s="22">
        <f>IFERROR(__xludf.DUMMYFUNCTION("""COMPUTED_VALUE"""),18.76)</f>
        <v>18.76</v>
      </c>
      <c r="E903" s="26">
        <f t="shared" si="2"/>
        <v>-0.004050212413</v>
      </c>
      <c r="F903" s="25">
        <f>IFERROR(__xludf.DUMMYFUNCTION("""COMPUTED_VALUE"""),44568.63611111111)</f>
        <v>44568.63611</v>
      </c>
      <c r="G903" s="22">
        <f>IFERROR(__xludf.DUMMYFUNCTION("""COMPUTED_VALUE"""),22.87)</f>
        <v>22.87</v>
      </c>
      <c r="H903" s="25">
        <f>IFERROR(__xludf.DUMMYFUNCTION("""COMPUTED_VALUE"""),44568.63611111111)</f>
        <v>44568.63611</v>
      </c>
      <c r="I903" s="22">
        <f>IFERROR(__xludf.DUMMYFUNCTION("""COMPUTED_VALUE"""),25.41)</f>
        <v>25.41</v>
      </c>
      <c r="J903" s="25">
        <f>IFERROR(__xludf.DUMMYFUNCTION("""COMPUTED_VALUE"""),44568.63611111111)</f>
        <v>44568.63611</v>
      </c>
      <c r="K903" s="22">
        <f>IFERROR(__xludf.DUMMYFUNCTION("""COMPUTED_VALUE"""),27.55)</f>
        <v>27.55</v>
      </c>
      <c r="M903" s="22" t="str">
        <f t="shared" si="3"/>
        <v/>
      </c>
      <c r="N903" s="22" t="str">
        <f t="shared" si="4"/>
        <v/>
      </c>
    </row>
    <row r="904" ht="15.75" customHeight="1">
      <c r="A904" s="25">
        <f>IFERROR(__xludf.DUMMYFUNCTION("""COMPUTED_VALUE"""),44571.66666666667)</f>
        <v>44571.66667</v>
      </c>
      <c r="B904" s="22">
        <f>IFERROR(__xludf.DUMMYFUNCTION("""COMPUTED_VALUE"""),4670.29)</f>
        <v>4670.29</v>
      </c>
      <c r="C904" s="25">
        <f>IFERROR(__xludf.DUMMYFUNCTION("""COMPUTED_VALUE"""),44571.63611111111)</f>
        <v>44571.63611</v>
      </c>
      <c r="D904" s="22">
        <f>IFERROR(__xludf.DUMMYFUNCTION("""COMPUTED_VALUE"""),19.4)</f>
        <v>19.4</v>
      </c>
      <c r="E904" s="26">
        <f t="shared" si="2"/>
        <v>-0.001441085475</v>
      </c>
      <c r="F904" s="25">
        <f>IFERROR(__xludf.DUMMYFUNCTION("""COMPUTED_VALUE"""),44571.63611111111)</f>
        <v>44571.63611</v>
      </c>
      <c r="G904" s="22">
        <f>IFERROR(__xludf.DUMMYFUNCTION("""COMPUTED_VALUE"""),22.68)</f>
        <v>22.68</v>
      </c>
      <c r="H904" s="25">
        <f>IFERROR(__xludf.DUMMYFUNCTION("""COMPUTED_VALUE"""),44571.63611111111)</f>
        <v>44571.63611</v>
      </c>
      <c r="I904" s="22">
        <f>IFERROR(__xludf.DUMMYFUNCTION("""COMPUTED_VALUE"""),25.14)</f>
        <v>25.14</v>
      </c>
      <c r="J904" s="25">
        <f>IFERROR(__xludf.DUMMYFUNCTION("""COMPUTED_VALUE"""),44571.63611111111)</f>
        <v>44571.63611</v>
      </c>
      <c r="K904" s="22">
        <f>IFERROR(__xludf.DUMMYFUNCTION("""COMPUTED_VALUE"""),27.68)</f>
        <v>27.68</v>
      </c>
      <c r="M904" s="22" t="str">
        <f t="shared" si="3"/>
        <v/>
      </c>
      <c r="N904" s="22" t="str">
        <f t="shared" si="4"/>
        <v/>
      </c>
    </row>
    <row r="905" ht="15.75" customHeight="1">
      <c r="A905" s="25">
        <f>IFERROR(__xludf.DUMMYFUNCTION("""COMPUTED_VALUE"""),44572.66666666667)</f>
        <v>44572.66667</v>
      </c>
      <c r="B905" s="22">
        <f>IFERROR(__xludf.DUMMYFUNCTION("""COMPUTED_VALUE"""),4713.07)</f>
        <v>4713.07</v>
      </c>
      <c r="C905" s="25">
        <f>IFERROR(__xludf.DUMMYFUNCTION("""COMPUTED_VALUE"""),44572.63611111111)</f>
        <v>44572.63611</v>
      </c>
      <c r="D905" s="22">
        <f>IFERROR(__xludf.DUMMYFUNCTION("""COMPUTED_VALUE"""),18.41)</f>
        <v>18.41</v>
      </c>
      <c r="E905" s="26">
        <f t="shared" si="2"/>
        <v>0.009160030748</v>
      </c>
      <c r="F905" s="25">
        <f>IFERROR(__xludf.DUMMYFUNCTION("""COMPUTED_VALUE"""),44572.63611111111)</f>
        <v>44572.63611</v>
      </c>
      <c r="G905" s="22">
        <f>IFERROR(__xludf.DUMMYFUNCTION("""COMPUTED_VALUE"""),21.98)</f>
        <v>21.98</v>
      </c>
      <c r="H905" s="25">
        <f>IFERROR(__xludf.DUMMYFUNCTION("""COMPUTED_VALUE"""),44572.63611111111)</f>
        <v>44572.63611</v>
      </c>
      <c r="I905" s="22">
        <f>IFERROR(__xludf.DUMMYFUNCTION("""COMPUTED_VALUE"""),24.63)</f>
        <v>24.63</v>
      </c>
      <c r="J905" s="25">
        <f>IFERROR(__xludf.DUMMYFUNCTION("""COMPUTED_VALUE"""),44572.63611111111)</f>
        <v>44572.63611</v>
      </c>
      <c r="K905" s="22">
        <f>IFERROR(__xludf.DUMMYFUNCTION("""COMPUTED_VALUE"""),26.93)</f>
        <v>26.93</v>
      </c>
      <c r="M905" s="22" t="str">
        <f t="shared" si="3"/>
        <v/>
      </c>
      <c r="N905" s="22" t="str">
        <f t="shared" si="4"/>
        <v/>
      </c>
    </row>
    <row r="906" ht="15.75" customHeight="1">
      <c r="A906" s="25">
        <f>IFERROR(__xludf.DUMMYFUNCTION("""COMPUTED_VALUE"""),44573.66666666667)</f>
        <v>44573.66667</v>
      </c>
      <c r="B906" s="22">
        <f>IFERROR(__xludf.DUMMYFUNCTION("""COMPUTED_VALUE"""),4726.35)</f>
        <v>4726.35</v>
      </c>
      <c r="C906" s="25">
        <f>IFERROR(__xludf.DUMMYFUNCTION("""COMPUTED_VALUE"""),44573.63611111111)</f>
        <v>44573.63611</v>
      </c>
      <c r="D906" s="22">
        <f>IFERROR(__xludf.DUMMYFUNCTION("""COMPUTED_VALUE"""),17.62)</f>
        <v>17.62</v>
      </c>
      <c r="E906" s="26">
        <f t="shared" si="2"/>
        <v>0.002817696321</v>
      </c>
      <c r="F906" s="25">
        <f>IFERROR(__xludf.DUMMYFUNCTION("""COMPUTED_VALUE"""),44573.63611111111)</f>
        <v>44573.63611</v>
      </c>
      <c r="G906" s="22">
        <f>IFERROR(__xludf.DUMMYFUNCTION("""COMPUTED_VALUE"""),21.58)</f>
        <v>21.58</v>
      </c>
      <c r="H906" s="25">
        <f>IFERROR(__xludf.DUMMYFUNCTION("""COMPUTED_VALUE"""),44573.63611111111)</f>
        <v>44573.63611</v>
      </c>
      <c r="I906" s="22">
        <f>IFERROR(__xludf.DUMMYFUNCTION("""COMPUTED_VALUE"""),24.34)</f>
        <v>24.34</v>
      </c>
      <c r="J906" s="25">
        <f>IFERROR(__xludf.DUMMYFUNCTION("""COMPUTED_VALUE"""),44573.63611111111)</f>
        <v>44573.63611</v>
      </c>
      <c r="K906" s="22">
        <f>IFERROR(__xludf.DUMMYFUNCTION("""COMPUTED_VALUE"""),26.36)</f>
        <v>26.36</v>
      </c>
      <c r="M906" s="22" t="str">
        <f t="shared" si="3"/>
        <v/>
      </c>
      <c r="N906" s="22" t="str">
        <f t="shared" si="4"/>
        <v/>
      </c>
    </row>
    <row r="907" ht="15.75" customHeight="1">
      <c r="A907" s="25">
        <f>IFERROR(__xludf.DUMMYFUNCTION("""COMPUTED_VALUE"""),44574.66666666667)</f>
        <v>44574.66667</v>
      </c>
      <c r="B907" s="22">
        <f>IFERROR(__xludf.DUMMYFUNCTION("""COMPUTED_VALUE"""),4659.03)</f>
        <v>4659.03</v>
      </c>
      <c r="C907" s="25">
        <f>IFERROR(__xludf.DUMMYFUNCTION("""COMPUTED_VALUE"""),44574.63611111111)</f>
        <v>44574.63611</v>
      </c>
      <c r="D907" s="22">
        <f>IFERROR(__xludf.DUMMYFUNCTION("""COMPUTED_VALUE"""),20.31)</f>
        <v>20.31</v>
      </c>
      <c r="E907" s="26">
        <f t="shared" si="2"/>
        <v>-0.01424354946</v>
      </c>
      <c r="F907" s="25">
        <f>IFERROR(__xludf.DUMMYFUNCTION("""COMPUTED_VALUE"""),44574.63611111111)</f>
        <v>44574.63611</v>
      </c>
      <c r="G907" s="22">
        <f>IFERROR(__xludf.DUMMYFUNCTION("""COMPUTED_VALUE"""),23.41)</f>
        <v>23.41</v>
      </c>
      <c r="H907" s="25">
        <f>IFERROR(__xludf.DUMMYFUNCTION("""COMPUTED_VALUE"""),44574.63611111111)</f>
        <v>44574.63611</v>
      </c>
      <c r="I907" s="22">
        <f>IFERROR(__xludf.DUMMYFUNCTION("""COMPUTED_VALUE"""),25.63)</f>
        <v>25.63</v>
      </c>
      <c r="J907" s="25">
        <f>IFERROR(__xludf.DUMMYFUNCTION("""COMPUTED_VALUE"""),44574.63611111111)</f>
        <v>44574.63611</v>
      </c>
      <c r="K907" s="22">
        <f>IFERROR(__xludf.DUMMYFUNCTION("""COMPUTED_VALUE"""),27.02)</f>
        <v>27.02</v>
      </c>
      <c r="M907" s="22" t="str">
        <f t="shared" si="3"/>
        <v/>
      </c>
      <c r="N907" s="22" t="str">
        <f t="shared" si="4"/>
        <v/>
      </c>
    </row>
    <row r="908" ht="15.75" customHeight="1">
      <c r="A908" s="25">
        <f>IFERROR(__xludf.DUMMYFUNCTION("""COMPUTED_VALUE"""),44575.66666666667)</f>
        <v>44575.66667</v>
      </c>
      <c r="B908" s="22">
        <f>IFERROR(__xludf.DUMMYFUNCTION("""COMPUTED_VALUE"""),4662.85)</f>
        <v>4662.85</v>
      </c>
      <c r="C908" s="25">
        <f>IFERROR(__xludf.DUMMYFUNCTION("""COMPUTED_VALUE"""),44575.63611111111)</f>
        <v>44575.63611</v>
      </c>
      <c r="D908" s="22">
        <f>IFERROR(__xludf.DUMMYFUNCTION("""COMPUTED_VALUE"""),19.19)</f>
        <v>19.19</v>
      </c>
      <c r="E908" s="26">
        <f t="shared" si="2"/>
        <v>0.0008199131579</v>
      </c>
      <c r="F908" s="25">
        <f>IFERROR(__xludf.DUMMYFUNCTION("""COMPUTED_VALUE"""),44575.63611111111)</f>
        <v>44575.63611</v>
      </c>
      <c r="G908" s="22">
        <f>IFERROR(__xludf.DUMMYFUNCTION("""COMPUTED_VALUE"""),22.82)</f>
        <v>22.82</v>
      </c>
      <c r="H908" s="25">
        <f>IFERROR(__xludf.DUMMYFUNCTION("""COMPUTED_VALUE"""),44575.63611111111)</f>
        <v>44575.63611</v>
      </c>
      <c r="I908" s="22">
        <f>IFERROR(__xludf.DUMMYFUNCTION("""COMPUTED_VALUE"""),25.18)</f>
        <v>25.18</v>
      </c>
      <c r="J908" s="25">
        <f>IFERROR(__xludf.DUMMYFUNCTION("""COMPUTED_VALUE"""),44575.63611111111)</f>
        <v>44575.63611</v>
      </c>
      <c r="K908" s="22">
        <f>IFERROR(__xludf.DUMMYFUNCTION("""COMPUTED_VALUE"""),27.12)</f>
        <v>27.12</v>
      </c>
      <c r="M908" s="22" t="str">
        <f t="shared" si="3"/>
        <v/>
      </c>
      <c r="N908" s="22" t="str">
        <f t="shared" si="4"/>
        <v/>
      </c>
    </row>
    <row r="909" ht="15.75" customHeight="1">
      <c r="A909" s="25">
        <f>IFERROR(__xludf.DUMMYFUNCTION("""COMPUTED_VALUE"""),44579.66666666667)</f>
        <v>44579.66667</v>
      </c>
      <c r="B909" s="22">
        <f>IFERROR(__xludf.DUMMYFUNCTION("""COMPUTED_VALUE"""),4577.11)</f>
        <v>4577.11</v>
      </c>
      <c r="C909" s="25">
        <f>IFERROR(__xludf.DUMMYFUNCTION("""COMPUTED_VALUE"""),44579.63611111111)</f>
        <v>44579.63611</v>
      </c>
      <c r="D909" s="22">
        <f>IFERROR(__xludf.DUMMYFUNCTION("""COMPUTED_VALUE"""),22.79)</f>
        <v>22.79</v>
      </c>
      <c r="E909" s="26">
        <f t="shared" si="2"/>
        <v>-0.01838789581</v>
      </c>
      <c r="F909" s="25">
        <f>IFERROR(__xludf.DUMMYFUNCTION("""COMPUTED_VALUE"""),44579.63611111111)</f>
        <v>44579.63611</v>
      </c>
      <c r="G909" s="22">
        <f>IFERROR(__xludf.DUMMYFUNCTION("""COMPUTED_VALUE"""),25.12)</f>
        <v>25.12</v>
      </c>
      <c r="H909" s="25">
        <f>IFERROR(__xludf.DUMMYFUNCTION("""COMPUTED_VALUE"""),44579.63611111111)</f>
        <v>44579.63611</v>
      </c>
      <c r="I909" s="22">
        <f>IFERROR(__xludf.DUMMYFUNCTION("""COMPUTED_VALUE"""),26.77)</f>
        <v>26.77</v>
      </c>
      <c r="J909" s="25">
        <f>IFERROR(__xludf.DUMMYFUNCTION("""COMPUTED_VALUE"""),44579.63611111111)</f>
        <v>44579.63611</v>
      </c>
      <c r="K909" s="22">
        <f>IFERROR(__xludf.DUMMYFUNCTION("""COMPUTED_VALUE"""),28.01)</f>
        <v>28.01</v>
      </c>
      <c r="M909" s="22" t="str">
        <f t="shared" si="3"/>
        <v/>
      </c>
      <c r="N909" s="22" t="str">
        <f t="shared" si="4"/>
        <v/>
      </c>
    </row>
    <row r="910" ht="15.75" customHeight="1">
      <c r="A910" s="25">
        <f>IFERROR(__xludf.DUMMYFUNCTION("""COMPUTED_VALUE"""),44580.66666666667)</f>
        <v>44580.66667</v>
      </c>
      <c r="B910" s="22">
        <f>IFERROR(__xludf.DUMMYFUNCTION("""COMPUTED_VALUE"""),4532.76)</f>
        <v>4532.76</v>
      </c>
      <c r="C910" s="25">
        <f>IFERROR(__xludf.DUMMYFUNCTION("""COMPUTED_VALUE"""),44580.63611111111)</f>
        <v>44580.63611</v>
      </c>
      <c r="D910" s="22">
        <f>IFERROR(__xludf.DUMMYFUNCTION("""COMPUTED_VALUE"""),23.85)</f>
        <v>23.85</v>
      </c>
      <c r="E910" s="26">
        <f t="shared" si="2"/>
        <v>-0.009689520243</v>
      </c>
      <c r="F910" s="25">
        <f>IFERROR(__xludf.DUMMYFUNCTION("""COMPUTED_VALUE"""),44580.63611111111)</f>
        <v>44580.63611</v>
      </c>
      <c r="G910" s="22">
        <f>IFERROR(__xludf.DUMMYFUNCTION("""COMPUTED_VALUE"""),25.81)</f>
        <v>25.81</v>
      </c>
      <c r="H910" s="25">
        <f>IFERROR(__xludf.DUMMYFUNCTION("""COMPUTED_VALUE"""),44580.63611111111)</f>
        <v>44580.63611</v>
      </c>
      <c r="I910" s="22">
        <f>IFERROR(__xludf.DUMMYFUNCTION("""COMPUTED_VALUE"""),27.17)</f>
        <v>27.17</v>
      </c>
      <c r="J910" s="25">
        <f>IFERROR(__xludf.DUMMYFUNCTION("""COMPUTED_VALUE"""),44580.63611111111)</f>
        <v>44580.63611</v>
      </c>
      <c r="K910" s="22">
        <f>IFERROR(__xludf.DUMMYFUNCTION("""COMPUTED_VALUE"""),28.14)</f>
        <v>28.14</v>
      </c>
      <c r="M910" s="22" t="str">
        <f t="shared" si="3"/>
        <v/>
      </c>
      <c r="N910" s="22" t="str">
        <f t="shared" si="4"/>
        <v/>
      </c>
    </row>
    <row r="911" ht="15.75" customHeight="1">
      <c r="A911" s="25">
        <f>IFERROR(__xludf.DUMMYFUNCTION("""COMPUTED_VALUE"""),44581.66666666667)</f>
        <v>44581.66667</v>
      </c>
      <c r="B911" s="22">
        <f>IFERROR(__xludf.DUMMYFUNCTION("""COMPUTED_VALUE"""),4482.73)</f>
        <v>4482.73</v>
      </c>
      <c r="C911" s="25">
        <f>IFERROR(__xludf.DUMMYFUNCTION("""COMPUTED_VALUE"""),44581.63611111111)</f>
        <v>44581.63611</v>
      </c>
      <c r="D911" s="22">
        <f>IFERROR(__xludf.DUMMYFUNCTION("""COMPUTED_VALUE"""),25.59)</f>
        <v>25.59</v>
      </c>
      <c r="E911" s="26">
        <f t="shared" si="2"/>
        <v>-0.01103742532</v>
      </c>
      <c r="F911" s="25">
        <f>IFERROR(__xludf.DUMMYFUNCTION("""COMPUTED_VALUE"""),44581.63611111111)</f>
        <v>44581.63611</v>
      </c>
      <c r="G911" s="22">
        <f>IFERROR(__xludf.DUMMYFUNCTION("""COMPUTED_VALUE"""),27.25)</f>
        <v>27.25</v>
      </c>
      <c r="H911" s="25">
        <f>IFERROR(__xludf.DUMMYFUNCTION("""COMPUTED_VALUE"""),44581.63611111111)</f>
        <v>44581.63611</v>
      </c>
      <c r="I911" s="22">
        <f>IFERROR(__xludf.DUMMYFUNCTION("""COMPUTED_VALUE"""),28.08)</f>
        <v>28.08</v>
      </c>
      <c r="J911" s="25">
        <f>IFERROR(__xludf.DUMMYFUNCTION("""COMPUTED_VALUE"""),44581.63611111111)</f>
        <v>44581.63611</v>
      </c>
      <c r="K911" s="22">
        <f>IFERROR(__xludf.DUMMYFUNCTION("""COMPUTED_VALUE"""),28.45)</f>
        <v>28.45</v>
      </c>
      <c r="M911" s="22" t="str">
        <f t="shared" si="3"/>
        <v/>
      </c>
      <c r="N911" s="22" t="str">
        <f t="shared" si="4"/>
        <v>PREDICT CRASH</v>
      </c>
    </row>
    <row r="912" ht="15.75" customHeight="1">
      <c r="A912" s="25">
        <f>IFERROR(__xludf.DUMMYFUNCTION("""COMPUTED_VALUE"""),44582.66666666667)</f>
        <v>44582.66667</v>
      </c>
      <c r="B912" s="22">
        <f>IFERROR(__xludf.DUMMYFUNCTION("""COMPUTED_VALUE"""),4397.94)</f>
        <v>4397.94</v>
      </c>
      <c r="C912" s="25">
        <f>IFERROR(__xludf.DUMMYFUNCTION("""COMPUTED_VALUE"""),44582.63611111111)</f>
        <v>44582.63611</v>
      </c>
      <c r="D912" s="22">
        <f>IFERROR(__xludf.DUMMYFUNCTION("""COMPUTED_VALUE"""),28.85)</f>
        <v>28.85</v>
      </c>
      <c r="E912" s="26">
        <f t="shared" si="2"/>
        <v>-0.01891481307</v>
      </c>
      <c r="F912" s="25">
        <f>IFERROR(__xludf.DUMMYFUNCTION("""COMPUTED_VALUE"""),44582.63611111111)</f>
        <v>44582.63611</v>
      </c>
      <c r="G912" s="22">
        <f>IFERROR(__xludf.DUMMYFUNCTION("""COMPUTED_VALUE"""),29.95)</f>
        <v>29.95</v>
      </c>
      <c r="H912" s="25">
        <f>IFERROR(__xludf.DUMMYFUNCTION("""COMPUTED_VALUE"""),44582.63611111111)</f>
        <v>44582.63611</v>
      </c>
      <c r="I912" s="22">
        <f>IFERROR(__xludf.DUMMYFUNCTION("""COMPUTED_VALUE"""),30.37)</f>
        <v>30.37</v>
      </c>
      <c r="J912" s="25">
        <f>IFERROR(__xludf.DUMMYFUNCTION("""COMPUTED_VALUE"""),44582.63611111111)</f>
        <v>44582.63611</v>
      </c>
      <c r="K912" s="22">
        <f>IFERROR(__xludf.DUMMYFUNCTION("""COMPUTED_VALUE"""),29.67)</f>
        <v>29.67</v>
      </c>
      <c r="M912" s="22" t="str">
        <f t="shared" si="3"/>
        <v/>
      </c>
      <c r="N912" s="22" t="str">
        <f t="shared" si="4"/>
        <v>PREDICT CRASH</v>
      </c>
    </row>
    <row r="913" ht="15.75" customHeight="1">
      <c r="A913" s="25">
        <f>IFERROR(__xludf.DUMMYFUNCTION("""COMPUTED_VALUE"""),44585.66666666667)</f>
        <v>44585.66667</v>
      </c>
      <c r="B913" s="22">
        <f>IFERROR(__xludf.DUMMYFUNCTION("""COMPUTED_VALUE"""),4410.13)</f>
        <v>4410.13</v>
      </c>
      <c r="C913" s="25">
        <f>IFERROR(__xludf.DUMMYFUNCTION("""COMPUTED_VALUE"""),44585.63611111111)</f>
        <v>44585.63611</v>
      </c>
      <c r="D913" s="22">
        <f>IFERROR(__xludf.DUMMYFUNCTION("""COMPUTED_VALUE"""),29.9)</f>
        <v>29.9</v>
      </c>
      <c r="E913" s="26">
        <f t="shared" si="2"/>
        <v>0.002771752229</v>
      </c>
      <c r="F913" s="25">
        <f>IFERROR(__xludf.DUMMYFUNCTION("""COMPUTED_VALUE"""),44585.63611111111)</f>
        <v>44585.63611</v>
      </c>
      <c r="G913" s="22">
        <f>IFERROR(__xludf.DUMMYFUNCTION("""COMPUTED_VALUE"""),30.82)</f>
        <v>30.82</v>
      </c>
      <c r="H913" s="25">
        <f>IFERROR(__xludf.DUMMYFUNCTION("""COMPUTED_VALUE"""),44585.63611111111)</f>
        <v>44585.63611</v>
      </c>
      <c r="I913" s="22">
        <f>IFERROR(__xludf.DUMMYFUNCTION("""COMPUTED_VALUE"""),30.59)</f>
        <v>30.59</v>
      </c>
      <c r="J913" s="25">
        <f>IFERROR(__xludf.DUMMYFUNCTION("""COMPUTED_VALUE"""),44585.63611111111)</f>
        <v>44585.63611</v>
      </c>
      <c r="K913" s="22">
        <f>IFERROR(__xludf.DUMMYFUNCTION("""COMPUTED_VALUE"""),30.36)</f>
        <v>30.36</v>
      </c>
      <c r="M913" s="22" t="str">
        <f t="shared" si="3"/>
        <v/>
      </c>
      <c r="N913" s="22" t="str">
        <f t="shared" si="4"/>
        <v>PREDICT CRASH</v>
      </c>
    </row>
    <row r="914" ht="15.75" customHeight="1">
      <c r="A914" s="25">
        <f>IFERROR(__xludf.DUMMYFUNCTION("""COMPUTED_VALUE"""),44586.66666666667)</f>
        <v>44586.66667</v>
      </c>
      <c r="B914" s="22">
        <f>IFERROR(__xludf.DUMMYFUNCTION("""COMPUTED_VALUE"""),4356.45)</f>
        <v>4356.45</v>
      </c>
      <c r="C914" s="25">
        <f>IFERROR(__xludf.DUMMYFUNCTION("""COMPUTED_VALUE"""),44586.63611111111)</f>
        <v>44586.63611</v>
      </c>
      <c r="D914" s="22">
        <f>IFERROR(__xludf.DUMMYFUNCTION("""COMPUTED_VALUE"""),31.16)</f>
        <v>31.16</v>
      </c>
      <c r="E914" s="26">
        <f t="shared" si="2"/>
        <v>-0.01217197679</v>
      </c>
      <c r="F914" s="25">
        <f>IFERROR(__xludf.DUMMYFUNCTION("""COMPUTED_VALUE"""),44586.63611111111)</f>
        <v>44586.63611</v>
      </c>
      <c r="G914" s="22">
        <f>IFERROR(__xludf.DUMMYFUNCTION("""COMPUTED_VALUE"""),31.76)</f>
        <v>31.76</v>
      </c>
      <c r="H914" s="25">
        <f>IFERROR(__xludf.DUMMYFUNCTION("""COMPUTED_VALUE"""),44586.63611111111)</f>
        <v>44586.63611</v>
      </c>
      <c r="I914" s="22">
        <f>IFERROR(__xludf.DUMMYFUNCTION("""COMPUTED_VALUE"""),31.3)</f>
        <v>31.3</v>
      </c>
      <c r="J914" s="25">
        <f>IFERROR(__xludf.DUMMYFUNCTION("""COMPUTED_VALUE"""),44586.63611111111)</f>
        <v>44586.63611</v>
      </c>
      <c r="K914" s="22">
        <f>IFERROR(__xludf.DUMMYFUNCTION("""COMPUTED_VALUE"""),30.47)</f>
        <v>30.47</v>
      </c>
      <c r="M914" s="22" t="str">
        <f t="shared" si="3"/>
        <v/>
      </c>
      <c r="N914" s="22" t="str">
        <f t="shared" si="4"/>
        <v>PREDICT CRASH</v>
      </c>
    </row>
    <row r="915" ht="15.75" customHeight="1">
      <c r="A915" s="25">
        <f>IFERROR(__xludf.DUMMYFUNCTION("""COMPUTED_VALUE"""),44587.66666666667)</f>
        <v>44587.66667</v>
      </c>
      <c r="B915" s="22">
        <f>IFERROR(__xludf.DUMMYFUNCTION("""COMPUTED_VALUE"""),4349.93)</f>
        <v>4349.93</v>
      </c>
      <c r="C915" s="25">
        <f>IFERROR(__xludf.DUMMYFUNCTION("""COMPUTED_VALUE"""),44587.63611111111)</f>
        <v>44587.63611</v>
      </c>
      <c r="D915" s="22">
        <f>IFERROR(__xludf.DUMMYFUNCTION("""COMPUTED_VALUE"""),31.96)</f>
        <v>31.96</v>
      </c>
      <c r="E915" s="26">
        <f t="shared" si="2"/>
        <v>-0.001496631432</v>
      </c>
      <c r="F915" s="25">
        <f>IFERROR(__xludf.DUMMYFUNCTION("""COMPUTED_VALUE"""),44587.63611111111)</f>
        <v>44587.63611</v>
      </c>
      <c r="G915" s="22">
        <f>IFERROR(__xludf.DUMMYFUNCTION("""COMPUTED_VALUE"""),31.95)</f>
        <v>31.95</v>
      </c>
      <c r="H915" s="25">
        <f>IFERROR(__xludf.DUMMYFUNCTION("""COMPUTED_VALUE"""),44587.63611111111)</f>
        <v>44587.63611</v>
      </c>
      <c r="I915" s="22">
        <f>IFERROR(__xludf.DUMMYFUNCTION("""COMPUTED_VALUE"""),31.04)</f>
        <v>31.04</v>
      </c>
      <c r="J915" s="25">
        <f>IFERROR(__xludf.DUMMYFUNCTION("""COMPUTED_VALUE"""),44587.63611111111)</f>
        <v>44587.63611</v>
      </c>
      <c r="K915" s="22">
        <f>IFERROR(__xludf.DUMMYFUNCTION("""COMPUTED_VALUE"""),30.38)</f>
        <v>30.38</v>
      </c>
      <c r="M915" s="22" t="str">
        <f t="shared" si="3"/>
        <v/>
      </c>
      <c r="N915" s="22" t="str">
        <f t="shared" si="4"/>
        <v>PREDICT CRASH</v>
      </c>
    </row>
    <row r="916" ht="15.75" customHeight="1">
      <c r="A916" s="25">
        <f>IFERROR(__xludf.DUMMYFUNCTION("""COMPUTED_VALUE"""),44588.66666666667)</f>
        <v>44588.66667</v>
      </c>
      <c r="B916" s="22">
        <f>IFERROR(__xludf.DUMMYFUNCTION("""COMPUTED_VALUE"""),4326.51)</f>
        <v>4326.51</v>
      </c>
      <c r="C916" s="25">
        <f>IFERROR(__xludf.DUMMYFUNCTION("""COMPUTED_VALUE"""),44588.63611111111)</f>
        <v>44588.63611</v>
      </c>
      <c r="D916" s="22">
        <f>IFERROR(__xludf.DUMMYFUNCTION("""COMPUTED_VALUE"""),30.49)</f>
        <v>30.49</v>
      </c>
      <c r="E916" s="26">
        <f t="shared" si="2"/>
        <v>-0.005383994685</v>
      </c>
      <c r="F916" s="25">
        <f>IFERROR(__xludf.DUMMYFUNCTION("""COMPUTED_VALUE"""),44588.63611111111)</f>
        <v>44588.63611</v>
      </c>
      <c r="G916" s="22">
        <f>IFERROR(__xludf.DUMMYFUNCTION("""COMPUTED_VALUE"""),30.87)</f>
        <v>30.87</v>
      </c>
      <c r="H916" s="25">
        <f>IFERROR(__xludf.DUMMYFUNCTION("""COMPUTED_VALUE"""),44588.63611111111)</f>
        <v>44588.63611</v>
      </c>
      <c r="I916" s="22">
        <f>IFERROR(__xludf.DUMMYFUNCTION("""COMPUTED_VALUE"""),30.27)</f>
        <v>30.27</v>
      </c>
      <c r="J916" s="25">
        <f>IFERROR(__xludf.DUMMYFUNCTION("""COMPUTED_VALUE"""),44588.63611111111)</f>
        <v>44588.63611</v>
      </c>
      <c r="K916" s="22">
        <f>IFERROR(__xludf.DUMMYFUNCTION("""COMPUTED_VALUE"""),29.89)</f>
        <v>29.89</v>
      </c>
      <c r="M916" s="22" t="str">
        <f t="shared" si="3"/>
        <v/>
      </c>
      <c r="N916" s="22" t="str">
        <f t="shared" si="4"/>
        <v>PREDICT CRASH</v>
      </c>
    </row>
    <row r="917" ht="15.75" customHeight="1">
      <c r="A917" s="25">
        <f>IFERROR(__xludf.DUMMYFUNCTION("""COMPUTED_VALUE"""),44589.66666666667)</f>
        <v>44589.66667</v>
      </c>
      <c r="B917" s="22">
        <f>IFERROR(__xludf.DUMMYFUNCTION("""COMPUTED_VALUE"""),4431.85)</f>
        <v>4431.85</v>
      </c>
      <c r="C917" s="25">
        <f>IFERROR(__xludf.DUMMYFUNCTION("""COMPUTED_VALUE"""),44589.63611111111)</f>
        <v>44589.63611</v>
      </c>
      <c r="D917" s="22">
        <f>IFERROR(__xludf.DUMMYFUNCTION("""COMPUTED_VALUE"""),27.66)</f>
        <v>27.66</v>
      </c>
      <c r="E917" s="26">
        <f t="shared" si="2"/>
        <v>0.02434756883</v>
      </c>
      <c r="F917" s="25">
        <f>IFERROR(__xludf.DUMMYFUNCTION("""COMPUTED_VALUE"""),44589.63611111111)</f>
        <v>44589.63611</v>
      </c>
      <c r="G917" s="22">
        <f>IFERROR(__xludf.DUMMYFUNCTION("""COMPUTED_VALUE"""),28.82)</f>
        <v>28.82</v>
      </c>
      <c r="H917" s="25">
        <f>IFERROR(__xludf.DUMMYFUNCTION("""COMPUTED_VALUE"""),44589.63611111111)</f>
        <v>44589.63611</v>
      </c>
      <c r="I917" s="22">
        <f>IFERROR(__xludf.DUMMYFUNCTION("""COMPUTED_VALUE"""),29.07)</f>
        <v>29.07</v>
      </c>
      <c r="J917" s="25">
        <f>IFERROR(__xludf.DUMMYFUNCTION("""COMPUTED_VALUE"""),44589.63611111111)</f>
        <v>44589.63611</v>
      </c>
      <c r="K917" s="22">
        <f>IFERROR(__xludf.DUMMYFUNCTION("""COMPUTED_VALUE"""),29.05)</f>
        <v>29.05</v>
      </c>
      <c r="M917" s="22" t="str">
        <f t="shared" si="3"/>
        <v/>
      </c>
      <c r="N917" s="22" t="str">
        <f t="shared" si="4"/>
        <v>PREDICT CRASH</v>
      </c>
    </row>
    <row r="918" ht="15.75" customHeight="1">
      <c r="A918" s="25">
        <f>IFERROR(__xludf.DUMMYFUNCTION("""COMPUTED_VALUE"""),44592.66666666667)</f>
        <v>44592.66667</v>
      </c>
      <c r="B918" s="22">
        <f>IFERROR(__xludf.DUMMYFUNCTION("""COMPUTED_VALUE"""),4515.55)</f>
        <v>4515.55</v>
      </c>
      <c r="C918" s="25">
        <f>IFERROR(__xludf.DUMMYFUNCTION("""COMPUTED_VALUE"""),44592.63611111111)</f>
        <v>44592.63611</v>
      </c>
      <c r="D918" s="22">
        <f>IFERROR(__xludf.DUMMYFUNCTION("""COMPUTED_VALUE"""),24.83)</f>
        <v>24.83</v>
      </c>
      <c r="E918" s="26">
        <f t="shared" si="2"/>
        <v>0.01888601825</v>
      </c>
      <c r="F918" s="25">
        <f>IFERROR(__xludf.DUMMYFUNCTION("""COMPUTED_VALUE"""),44592.63611111111)</f>
        <v>44592.63611</v>
      </c>
      <c r="G918" s="22">
        <f>IFERROR(__xludf.DUMMYFUNCTION("""COMPUTED_VALUE"""),26.85)</f>
        <v>26.85</v>
      </c>
      <c r="H918" s="25">
        <f>IFERROR(__xludf.DUMMYFUNCTION("""COMPUTED_VALUE"""),44592.63611111111)</f>
        <v>44592.63611</v>
      </c>
      <c r="I918" s="22">
        <f>IFERROR(__xludf.DUMMYFUNCTION("""COMPUTED_VALUE"""),27.56)</f>
        <v>27.56</v>
      </c>
      <c r="J918" s="25">
        <f>IFERROR(__xludf.DUMMYFUNCTION("""COMPUTED_VALUE"""),44592.63611111111)</f>
        <v>44592.63611</v>
      </c>
      <c r="K918" s="22">
        <f>IFERROR(__xludf.DUMMYFUNCTION("""COMPUTED_VALUE"""),28.0)</f>
        <v>28</v>
      </c>
      <c r="M918" s="22" t="str">
        <f t="shared" si="3"/>
        <v/>
      </c>
      <c r="N918" s="22" t="str">
        <f t="shared" si="4"/>
        <v/>
      </c>
    </row>
    <row r="919" ht="15.75" customHeight="1">
      <c r="A919" s="25">
        <f>IFERROR(__xludf.DUMMYFUNCTION("""COMPUTED_VALUE"""),44593.66666666667)</f>
        <v>44593.66667</v>
      </c>
      <c r="B919" s="22">
        <f>IFERROR(__xludf.DUMMYFUNCTION("""COMPUTED_VALUE"""),4546.54)</f>
        <v>4546.54</v>
      </c>
      <c r="C919" s="25">
        <f>IFERROR(__xludf.DUMMYFUNCTION("""COMPUTED_VALUE"""),44593.63611111111)</f>
        <v>44593.63611</v>
      </c>
      <c r="D919" s="22">
        <f>IFERROR(__xludf.DUMMYFUNCTION("""COMPUTED_VALUE"""),21.96)</f>
        <v>21.96</v>
      </c>
      <c r="E919" s="26">
        <f t="shared" si="2"/>
        <v>0.006862951357</v>
      </c>
      <c r="F919" s="25">
        <f>IFERROR(__xludf.DUMMYFUNCTION("""COMPUTED_VALUE"""),44593.63611111111)</f>
        <v>44593.63611</v>
      </c>
      <c r="G919" s="22">
        <f>IFERROR(__xludf.DUMMYFUNCTION("""COMPUTED_VALUE"""),24.76)</f>
        <v>24.76</v>
      </c>
      <c r="H919" s="25">
        <f>IFERROR(__xludf.DUMMYFUNCTION("""COMPUTED_VALUE"""),44593.63611111111)</f>
        <v>44593.63611</v>
      </c>
      <c r="I919" s="22">
        <f>IFERROR(__xludf.DUMMYFUNCTION("""COMPUTED_VALUE"""),26.07)</f>
        <v>26.07</v>
      </c>
      <c r="J919" s="25">
        <f>IFERROR(__xludf.DUMMYFUNCTION("""COMPUTED_VALUE"""),44593.63611111111)</f>
        <v>44593.63611</v>
      </c>
      <c r="K919" s="22">
        <f>IFERROR(__xludf.DUMMYFUNCTION("""COMPUTED_VALUE"""),27.05)</f>
        <v>27.05</v>
      </c>
      <c r="M919" s="22" t="str">
        <f t="shared" si="3"/>
        <v/>
      </c>
      <c r="N919" s="22" t="str">
        <f t="shared" si="4"/>
        <v/>
      </c>
    </row>
    <row r="920" ht="15.75" customHeight="1">
      <c r="A920" s="25">
        <f>IFERROR(__xludf.DUMMYFUNCTION("""COMPUTED_VALUE"""),44594.66666666667)</f>
        <v>44594.66667</v>
      </c>
      <c r="B920" s="22">
        <f>IFERROR(__xludf.DUMMYFUNCTION("""COMPUTED_VALUE"""),4589.38)</f>
        <v>4589.38</v>
      </c>
      <c r="C920" s="25">
        <f>IFERROR(__xludf.DUMMYFUNCTION("""COMPUTED_VALUE"""),44594.63611111111)</f>
        <v>44594.63611</v>
      </c>
      <c r="D920" s="22">
        <f>IFERROR(__xludf.DUMMYFUNCTION("""COMPUTED_VALUE"""),22.09)</f>
        <v>22.09</v>
      </c>
      <c r="E920" s="26">
        <f t="shared" si="2"/>
        <v>0.009422549895</v>
      </c>
      <c r="F920" s="25">
        <f>IFERROR(__xludf.DUMMYFUNCTION("""COMPUTED_VALUE"""),44594.63611111111)</f>
        <v>44594.63611</v>
      </c>
      <c r="G920" s="22">
        <f>IFERROR(__xludf.DUMMYFUNCTION("""COMPUTED_VALUE"""),25.14)</f>
        <v>25.14</v>
      </c>
      <c r="H920" s="25">
        <f>IFERROR(__xludf.DUMMYFUNCTION("""COMPUTED_VALUE"""),44594.63611111111)</f>
        <v>44594.63611</v>
      </c>
      <c r="I920" s="22">
        <f>IFERROR(__xludf.DUMMYFUNCTION("""COMPUTED_VALUE"""),26.68)</f>
        <v>26.68</v>
      </c>
      <c r="J920" s="25">
        <f>IFERROR(__xludf.DUMMYFUNCTION("""COMPUTED_VALUE"""),44594.63611111111)</f>
        <v>44594.63611</v>
      </c>
      <c r="K920" s="22">
        <f>IFERROR(__xludf.DUMMYFUNCTION("""COMPUTED_VALUE"""),27.4)</f>
        <v>27.4</v>
      </c>
      <c r="M920" s="22" t="str">
        <f t="shared" si="3"/>
        <v/>
      </c>
      <c r="N920" s="22" t="str">
        <f t="shared" si="4"/>
        <v/>
      </c>
    </row>
    <row r="921" ht="15.75" customHeight="1">
      <c r="A921" s="25">
        <f>IFERROR(__xludf.DUMMYFUNCTION("""COMPUTED_VALUE"""),44595.66666666667)</f>
        <v>44595.66667</v>
      </c>
      <c r="B921" s="22">
        <f>IFERROR(__xludf.DUMMYFUNCTION("""COMPUTED_VALUE"""),4477.44)</f>
        <v>4477.44</v>
      </c>
      <c r="C921" s="25">
        <f>IFERROR(__xludf.DUMMYFUNCTION("""COMPUTED_VALUE"""),44595.63611111111)</f>
        <v>44595.63611</v>
      </c>
      <c r="D921" s="22">
        <f>IFERROR(__xludf.DUMMYFUNCTION("""COMPUTED_VALUE"""),24.35)</f>
        <v>24.35</v>
      </c>
      <c r="E921" s="26">
        <f t="shared" si="2"/>
        <v>-0.02439109422</v>
      </c>
      <c r="F921" s="25">
        <f>IFERROR(__xludf.DUMMYFUNCTION("""COMPUTED_VALUE"""),44595.63611111111)</f>
        <v>44595.63611</v>
      </c>
      <c r="G921" s="22">
        <f>IFERROR(__xludf.DUMMYFUNCTION("""COMPUTED_VALUE"""),26.67)</f>
        <v>26.67</v>
      </c>
      <c r="H921" s="25">
        <f>IFERROR(__xludf.DUMMYFUNCTION("""COMPUTED_VALUE"""),44595.63611111111)</f>
        <v>44595.63611</v>
      </c>
      <c r="I921" s="22">
        <f>IFERROR(__xludf.DUMMYFUNCTION("""COMPUTED_VALUE"""),27.76)</f>
        <v>27.76</v>
      </c>
      <c r="J921" s="25">
        <f>IFERROR(__xludf.DUMMYFUNCTION("""COMPUTED_VALUE"""),44595.63611111111)</f>
        <v>44595.63611</v>
      </c>
      <c r="K921" s="22">
        <f>IFERROR(__xludf.DUMMYFUNCTION("""COMPUTED_VALUE"""),28.25)</f>
        <v>28.25</v>
      </c>
      <c r="M921" s="22" t="str">
        <f t="shared" si="3"/>
        <v/>
      </c>
      <c r="N921" s="22" t="str">
        <f t="shared" si="4"/>
        <v/>
      </c>
    </row>
    <row r="922" ht="15.75" customHeight="1">
      <c r="A922" s="25">
        <f>IFERROR(__xludf.DUMMYFUNCTION("""COMPUTED_VALUE"""),44596.66666666667)</f>
        <v>44596.66667</v>
      </c>
      <c r="B922" s="22">
        <f>IFERROR(__xludf.DUMMYFUNCTION("""COMPUTED_VALUE"""),4500.53)</f>
        <v>4500.53</v>
      </c>
      <c r="C922" s="25">
        <f>IFERROR(__xludf.DUMMYFUNCTION("""COMPUTED_VALUE"""),44596.63611111111)</f>
        <v>44596.63611</v>
      </c>
      <c r="D922" s="22">
        <f>IFERROR(__xludf.DUMMYFUNCTION("""COMPUTED_VALUE"""),23.22)</f>
        <v>23.22</v>
      </c>
      <c r="E922" s="26">
        <f t="shared" si="2"/>
        <v>0.005156964694</v>
      </c>
      <c r="F922" s="25">
        <f>IFERROR(__xludf.DUMMYFUNCTION("""COMPUTED_VALUE"""),44596.63611111111)</f>
        <v>44596.63611</v>
      </c>
      <c r="G922" s="22">
        <f>IFERROR(__xludf.DUMMYFUNCTION("""COMPUTED_VALUE"""),26.25)</f>
        <v>26.25</v>
      </c>
      <c r="H922" s="25">
        <f>IFERROR(__xludf.DUMMYFUNCTION("""COMPUTED_VALUE"""),44596.63611111111)</f>
        <v>44596.63611</v>
      </c>
      <c r="I922" s="22">
        <f>IFERROR(__xludf.DUMMYFUNCTION("""COMPUTED_VALUE"""),27.58)</f>
        <v>27.58</v>
      </c>
      <c r="J922" s="25">
        <f>IFERROR(__xludf.DUMMYFUNCTION("""COMPUTED_VALUE"""),44596.63611111111)</f>
        <v>44596.63611</v>
      </c>
      <c r="K922" s="22">
        <f>IFERROR(__xludf.DUMMYFUNCTION("""COMPUTED_VALUE"""),28.05)</f>
        <v>28.05</v>
      </c>
      <c r="M922" s="22" t="str">
        <f t="shared" si="3"/>
        <v/>
      </c>
      <c r="N922" s="22" t="str">
        <f t="shared" si="4"/>
        <v/>
      </c>
    </row>
    <row r="923" ht="15.75" customHeight="1">
      <c r="A923" s="25">
        <f>IFERROR(__xludf.DUMMYFUNCTION("""COMPUTED_VALUE"""),44599.66666666667)</f>
        <v>44599.66667</v>
      </c>
      <c r="B923" s="22">
        <f>IFERROR(__xludf.DUMMYFUNCTION("""COMPUTED_VALUE"""),4483.87)</f>
        <v>4483.87</v>
      </c>
      <c r="C923" s="25">
        <f>IFERROR(__xludf.DUMMYFUNCTION("""COMPUTED_VALUE"""),44599.63611111111)</f>
        <v>44599.63611</v>
      </c>
      <c r="D923" s="22">
        <f>IFERROR(__xludf.DUMMYFUNCTION("""COMPUTED_VALUE"""),22.86)</f>
        <v>22.86</v>
      </c>
      <c r="E923" s="26">
        <f t="shared" si="2"/>
        <v>-0.003701786234</v>
      </c>
      <c r="F923" s="25">
        <f>IFERROR(__xludf.DUMMYFUNCTION("""COMPUTED_VALUE"""),44599.63611111111)</f>
        <v>44599.63611</v>
      </c>
      <c r="G923" s="22">
        <f>IFERROR(__xludf.DUMMYFUNCTION("""COMPUTED_VALUE"""),25.69)</f>
        <v>25.69</v>
      </c>
      <c r="H923" s="25">
        <f>IFERROR(__xludf.DUMMYFUNCTION("""COMPUTED_VALUE"""),44599.63611111111)</f>
        <v>44599.63611</v>
      </c>
      <c r="I923" s="22">
        <f>IFERROR(__xludf.DUMMYFUNCTION("""COMPUTED_VALUE"""),27.14)</f>
        <v>27.14</v>
      </c>
      <c r="J923" s="25">
        <f>IFERROR(__xludf.DUMMYFUNCTION("""COMPUTED_VALUE"""),44599.63611111111)</f>
        <v>44599.63611</v>
      </c>
      <c r="K923" s="22">
        <f>IFERROR(__xludf.DUMMYFUNCTION("""COMPUTED_VALUE"""),27.8)</f>
        <v>27.8</v>
      </c>
      <c r="M923" s="22" t="str">
        <f t="shared" si="3"/>
        <v/>
      </c>
      <c r="N923" s="22" t="str">
        <f t="shared" si="4"/>
        <v/>
      </c>
    </row>
    <row r="924" ht="15.75" customHeight="1">
      <c r="A924" s="25">
        <f>IFERROR(__xludf.DUMMYFUNCTION("""COMPUTED_VALUE"""),44600.66666666667)</f>
        <v>44600.66667</v>
      </c>
      <c r="B924" s="22">
        <f>IFERROR(__xludf.DUMMYFUNCTION("""COMPUTED_VALUE"""),4521.54)</f>
        <v>4521.54</v>
      </c>
      <c r="C924" s="25">
        <f>IFERROR(__xludf.DUMMYFUNCTION("""COMPUTED_VALUE"""),44600.63611111111)</f>
        <v>44600.63611</v>
      </c>
      <c r="D924" s="22">
        <f>IFERROR(__xludf.DUMMYFUNCTION("""COMPUTED_VALUE"""),21.44)</f>
        <v>21.44</v>
      </c>
      <c r="E924" s="26">
        <f t="shared" si="2"/>
        <v>0.008401224835</v>
      </c>
      <c r="F924" s="25">
        <f>IFERROR(__xludf.DUMMYFUNCTION("""COMPUTED_VALUE"""),44600.63611111111)</f>
        <v>44600.63611</v>
      </c>
      <c r="G924" s="22">
        <f>IFERROR(__xludf.DUMMYFUNCTION("""COMPUTED_VALUE"""),24.54)</f>
        <v>24.54</v>
      </c>
      <c r="H924" s="25">
        <f>IFERROR(__xludf.DUMMYFUNCTION("""COMPUTED_VALUE"""),44600.63611111111)</f>
        <v>44600.63611</v>
      </c>
      <c r="I924" s="22">
        <f>IFERROR(__xludf.DUMMYFUNCTION("""COMPUTED_VALUE"""),26.31)</f>
        <v>26.31</v>
      </c>
      <c r="J924" s="25">
        <f>IFERROR(__xludf.DUMMYFUNCTION("""COMPUTED_VALUE"""),44600.63611111111)</f>
        <v>44600.63611</v>
      </c>
      <c r="K924" s="22">
        <f>IFERROR(__xludf.DUMMYFUNCTION("""COMPUTED_VALUE"""),28.05)</f>
        <v>28.05</v>
      </c>
      <c r="M924" s="22" t="str">
        <f t="shared" si="3"/>
        <v/>
      </c>
      <c r="N924" s="22" t="str">
        <f t="shared" si="4"/>
        <v/>
      </c>
    </row>
    <row r="925" ht="15.75" customHeight="1">
      <c r="A925" s="25">
        <f>IFERROR(__xludf.DUMMYFUNCTION("""COMPUTED_VALUE"""),44601.66666666667)</f>
        <v>44601.66667</v>
      </c>
      <c r="B925" s="22">
        <f>IFERROR(__xludf.DUMMYFUNCTION("""COMPUTED_VALUE"""),4587.18)</f>
        <v>4587.18</v>
      </c>
      <c r="C925" s="25">
        <f>IFERROR(__xludf.DUMMYFUNCTION("""COMPUTED_VALUE"""),44601.63611111111)</f>
        <v>44601.63611</v>
      </c>
      <c r="D925" s="22">
        <f>IFERROR(__xludf.DUMMYFUNCTION("""COMPUTED_VALUE"""),19.96)</f>
        <v>19.96</v>
      </c>
      <c r="E925" s="26">
        <f t="shared" si="2"/>
        <v>0.01451717778</v>
      </c>
      <c r="F925" s="25">
        <f>IFERROR(__xludf.DUMMYFUNCTION("""COMPUTED_VALUE"""),44601.63611111111)</f>
        <v>44601.63611</v>
      </c>
      <c r="G925" s="22">
        <f>IFERROR(__xludf.DUMMYFUNCTION("""COMPUTED_VALUE"""),23.49)</f>
        <v>23.49</v>
      </c>
      <c r="H925" s="25">
        <f>IFERROR(__xludf.DUMMYFUNCTION("""COMPUTED_VALUE"""),44601.63611111111)</f>
        <v>44601.63611</v>
      </c>
      <c r="I925" s="22">
        <f>IFERROR(__xludf.DUMMYFUNCTION("""COMPUTED_VALUE"""),25.53)</f>
        <v>25.53</v>
      </c>
      <c r="J925" s="25">
        <f>IFERROR(__xludf.DUMMYFUNCTION("""COMPUTED_VALUE"""),44601.63611111111)</f>
        <v>44601.63611</v>
      </c>
      <c r="K925" s="22">
        <f>IFERROR(__xludf.DUMMYFUNCTION("""COMPUTED_VALUE"""),26.6)</f>
        <v>26.6</v>
      </c>
      <c r="M925" s="22" t="str">
        <f t="shared" si="3"/>
        <v/>
      </c>
      <c r="N925" s="22" t="str">
        <f t="shared" si="4"/>
        <v/>
      </c>
    </row>
    <row r="926" ht="15.75" customHeight="1">
      <c r="A926" s="25">
        <f>IFERROR(__xludf.DUMMYFUNCTION("""COMPUTED_VALUE"""),44602.66666666667)</f>
        <v>44602.66667</v>
      </c>
      <c r="B926" s="22">
        <f>IFERROR(__xludf.DUMMYFUNCTION("""COMPUTED_VALUE"""),4504.08)</f>
        <v>4504.08</v>
      </c>
      <c r="C926" s="25">
        <f>IFERROR(__xludf.DUMMYFUNCTION("""COMPUTED_VALUE"""),44602.63611111111)</f>
        <v>44602.63611</v>
      </c>
      <c r="D926" s="22">
        <f>IFERROR(__xludf.DUMMYFUNCTION("""COMPUTED_VALUE"""),23.91)</f>
        <v>23.91</v>
      </c>
      <c r="E926" s="26">
        <f t="shared" si="2"/>
        <v>-0.01811570507</v>
      </c>
      <c r="F926" s="25">
        <f>IFERROR(__xludf.DUMMYFUNCTION("""COMPUTED_VALUE"""),44602.63611111111)</f>
        <v>44602.63611</v>
      </c>
      <c r="G926" s="22">
        <f>IFERROR(__xludf.DUMMYFUNCTION("""COMPUTED_VALUE"""),26.07)</f>
        <v>26.07</v>
      </c>
      <c r="H926" s="25">
        <f>IFERROR(__xludf.DUMMYFUNCTION("""COMPUTED_VALUE"""),44602.63611111111)</f>
        <v>44602.63611</v>
      </c>
      <c r="I926" s="22">
        <f>IFERROR(__xludf.DUMMYFUNCTION("""COMPUTED_VALUE"""),27.28)</f>
        <v>27.28</v>
      </c>
      <c r="J926" s="25">
        <f>IFERROR(__xludf.DUMMYFUNCTION("""COMPUTED_VALUE"""),44602.63611111111)</f>
        <v>44602.63611</v>
      </c>
      <c r="K926" s="22">
        <f>IFERROR(__xludf.DUMMYFUNCTION("""COMPUTED_VALUE"""),27.84)</f>
        <v>27.84</v>
      </c>
      <c r="M926" s="22" t="str">
        <f t="shared" si="3"/>
        <v/>
      </c>
      <c r="N926" s="22" t="str">
        <f t="shared" si="4"/>
        <v/>
      </c>
    </row>
    <row r="927" ht="15.75" customHeight="1">
      <c r="A927" s="25">
        <f>IFERROR(__xludf.DUMMYFUNCTION("""COMPUTED_VALUE"""),44603.66666666667)</f>
        <v>44603.66667</v>
      </c>
      <c r="B927" s="22">
        <f>IFERROR(__xludf.DUMMYFUNCTION("""COMPUTED_VALUE"""),4418.64)</f>
        <v>4418.64</v>
      </c>
      <c r="C927" s="25">
        <f>IFERROR(__xludf.DUMMYFUNCTION("""COMPUTED_VALUE"""),44603.63611111111)</f>
        <v>44603.63611</v>
      </c>
      <c r="D927" s="22">
        <f>IFERROR(__xludf.DUMMYFUNCTION("""COMPUTED_VALUE"""),27.36)</f>
        <v>27.36</v>
      </c>
      <c r="E927" s="26">
        <f t="shared" si="2"/>
        <v>-0.01896946768</v>
      </c>
      <c r="F927" s="25">
        <f>IFERROR(__xludf.DUMMYFUNCTION("""COMPUTED_VALUE"""),44603.63611111111)</f>
        <v>44603.63611</v>
      </c>
      <c r="G927" s="22">
        <f>IFERROR(__xludf.DUMMYFUNCTION("""COMPUTED_VALUE"""),28.83)</f>
        <v>28.83</v>
      </c>
      <c r="H927" s="25">
        <f>IFERROR(__xludf.DUMMYFUNCTION("""COMPUTED_VALUE"""),44603.63611111111)</f>
        <v>44603.63611</v>
      </c>
      <c r="I927" s="22">
        <f>IFERROR(__xludf.DUMMYFUNCTION("""COMPUTED_VALUE"""),29.0)</f>
        <v>29</v>
      </c>
      <c r="J927" s="25">
        <f>IFERROR(__xludf.DUMMYFUNCTION("""COMPUTED_VALUE"""),44603.63611111111)</f>
        <v>44603.63611</v>
      </c>
      <c r="K927" s="22">
        <f>IFERROR(__xludf.DUMMYFUNCTION("""COMPUTED_VALUE"""),28.85)</f>
        <v>28.85</v>
      </c>
      <c r="M927" s="22" t="str">
        <f t="shared" si="3"/>
        <v/>
      </c>
      <c r="N927" s="22" t="str">
        <f t="shared" si="4"/>
        <v>PREDICT CRASH</v>
      </c>
    </row>
    <row r="928" ht="15.75" customHeight="1">
      <c r="A928" s="25">
        <f>IFERROR(__xludf.DUMMYFUNCTION("""COMPUTED_VALUE"""),44606.66666666667)</f>
        <v>44606.66667</v>
      </c>
      <c r="B928" s="22">
        <f>IFERROR(__xludf.DUMMYFUNCTION("""COMPUTED_VALUE"""),4401.67)</f>
        <v>4401.67</v>
      </c>
      <c r="C928" s="25">
        <f>IFERROR(__xludf.DUMMYFUNCTION("""COMPUTED_VALUE"""),44606.63611111111)</f>
        <v>44606.63611</v>
      </c>
      <c r="D928" s="22">
        <f>IFERROR(__xludf.DUMMYFUNCTION("""COMPUTED_VALUE"""),28.33)</f>
        <v>28.33</v>
      </c>
      <c r="E928" s="26">
        <f t="shared" si="2"/>
        <v>-0.003840548223</v>
      </c>
      <c r="F928" s="25">
        <f>IFERROR(__xludf.DUMMYFUNCTION("""COMPUTED_VALUE"""),44606.63611111111)</f>
        <v>44606.63611</v>
      </c>
      <c r="G928" s="22">
        <f>IFERROR(__xludf.DUMMYFUNCTION("""COMPUTED_VALUE"""),29.44)</f>
        <v>29.44</v>
      </c>
      <c r="H928" s="25">
        <f>IFERROR(__xludf.DUMMYFUNCTION("""COMPUTED_VALUE"""),44606.63611111111)</f>
        <v>44606.63611</v>
      </c>
      <c r="I928" s="22">
        <f>IFERROR(__xludf.DUMMYFUNCTION("""COMPUTED_VALUE"""),29.47)</f>
        <v>29.47</v>
      </c>
      <c r="J928" s="25">
        <f>IFERROR(__xludf.DUMMYFUNCTION("""COMPUTED_VALUE"""),44606.63611111111)</f>
        <v>44606.63611</v>
      </c>
      <c r="K928" s="22">
        <f>IFERROR(__xludf.DUMMYFUNCTION("""COMPUTED_VALUE"""),28.96)</f>
        <v>28.96</v>
      </c>
      <c r="M928" s="22" t="str">
        <f t="shared" si="3"/>
        <v/>
      </c>
      <c r="N928" s="22" t="str">
        <f t="shared" si="4"/>
        <v>PREDICT CRASH</v>
      </c>
    </row>
    <row r="929" ht="15.75" customHeight="1">
      <c r="A929" s="25">
        <f>IFERROR(__xludf.DUMMYFUNCTION("""COMPUTED_VALUE"""),44607.66666666667)</f>
        <v>44607.66667</v>
      </c>
      <c r="B929" s="22">
        <f>IFERROR(__xludf.DUMMYFUNCTION("""COMPUTED_VALUE"""),4471.07)</f>
        <v>4471.07</v>
      </c>
      <c r="C929" s="25">
        <f>IFERROR(__xludf.DUMMYFUNCTION("""COMPUTED_VALUE"""),44607.63611111111)</f>
        <v>44607.63611</v>
      </c>
      <c r="D929" s="22">
        <f>IFERROR(__xludf.DUMMYFUNCTION("""COMPUTED_VALUE"""),25.7)</f>
        <v>25.7</v>
      </c>
      <c r="F929" s="25">
        <f>IFERROR(__xludf.DUMMYFUNCTION("""COMPUTED_VALUE"""),44607.63611111111)</f>
        <v>44607.63611</v>
      </c>
      <c r="G929" s="22">
        <f>IFERROR(__xludf.DUMMYFUNCTION("""COMPUTED_VALUE"""),27.28)</f>
        <v>27.28</v>
      </c>
      <c r="H929" s="25">
        <f>IFERROR(__xludf.DUMMYFUNCTION("""COMPUTED_VALUE"""),44607.63611111111)</f>
        <v>44607.63611</v>
      </c>
      <c r="I929" s="22">
        <f>IFERROR(__xludf.DUMMYFUNCTION("""COMPUTED_VALUE"""),28.1)</f>
        <v>28.1</v>
      </c>
      <c r="J929" s="25">
        <f>IFERROR(__xludf.DUMMYFUNCTION("""COMPUTED_VALUE"""),44607.63611111111)</f>
        <v>44607.63611</v>
      </c>
      <c r="K929" s="22">
        <f>IFERROR(__xludf.DUMMYFUNCTION("""COMPUTED_VALUE"""),28.01)</f>
        <v>28.01</v>
      </c>
      <c r="N929" s="22" t="str">
        <f t="shared" si="4"/>
        <v>PREDICT CRASH</v>
      </c>
    </row>
    <row r="930" ht="15.75" customHeight="1">
      <c r="A930" s="25">
        <f>IFERROR(__xludf.DUMMYFUNCTION("""COMPUTED_VALUE"""),44608.66666666667)</f>
        <v>44608.66667</v>
      </c>
      <c r="B930" s="22">
        <f>IFERROR(__xludf.DUMMYFUNCTION("""COMPUTED_VALUE"""),4475.01)</f>
        <v>4475.01</v>
      </c>
      <c r="C930" s="25">
        <f>IFERROR(__xludf.DUMMYFUNCTION("""COMPUTED_VALUE"""),44608.63611111111)</f>
        <v>44608.63611</v>
      </c>
      <c r="D930" s="22">
        <f>IFERROR(__xludf.DUMMYFUNCTION("""COMPUTED_VALUE"""),24.29)</f>
        <v>24.29</v>
      </c>
      <c r="F930" s="25">
        <f>IFERROR(__xludf.DUMMYFUNCTION("""COMPUTED_VALUE"""),44608.63611111111)</f>
        <v>44608.63611</v>
      </c>
      <c r="G930" s="22">
        <f>IFERROR(__xludf.DUMMYFUNCTION("""COMPUTED_VALUE"""),26.26)</f>
        <v>26.26</v>
      </c>
      <c r="H930" s="25">
        <f>IFERROR(__xludf.DUMMYFUNCTION("""COMPUTED_VALUE"""),44608.63611111111)</f>
        <v>44608.63611</v>
      </c>
      <c r="I930" s="22">
        <f>IFERROR(__xludf.DUMMYFUNCTION("""COMPUTED_VALUE"""),27.24)</f>
        <v>27.24</v>
      </c>
      <c r="J930" s="25">
        <f>IFERROR(__xludf.DUMMYFUNCTION("""COMPUTED_VALUE"""),44608.63611111111)</f>
        <v>44608.63611</v>
      </c>
      <c r="K930" s="22">
        <f>IFERROR(__xludf.DUMMYFUNCTION("""COMPUTED_VALUE"""),27.67)</f>
        <v>27.67</v>
      </c>
      <c r="N930" s="22" t="str">
        <f t="shared" si="4"/>
        <v/>
      </c>
    </row>
    <row r="931" ht="15.75" customHeight="1">
      <c r="A931" s="25">
        <f>IFERROR(__xludf.DUMMYFUNCTION("""COMPUTED_VALUE"""),44609.66666666667)</f>
        <v>44609.66667</v>
      </c>
      <c r="B931" s="22">
        <f>IFERROR(__xludf.DUMMYFUNCTION("""COMPUTED_VALUE"""),4380.26)</f>
        <v>4380.26</v>
      </c>
      <c r="C931" s="25">
        <f>IFERROR(__xludf.DUMMYFUNCTION("""COMPUTED_VALUE"""),44609.63611111111)</f>
        <v>44609.63611</v>
      </c>
      <c r="D931" s="22">
        <f>IFERROR(__xludf.DUMMYFUNCTION("""COMPUTED_VALUE"""),28.11)</f>
        <v>28.11</v>
      </c>
      <c r="F931" s="25">
        <f>IFERROR(__xludf.DUMMYFUNCTION("""COMPUTED_VALUE"""),44609.63611111111)</f>
        <v>44609.63611</v>
      </c>
      <c r="G931" s="22">
        <f>IFERROR(__xludf.DUMMYFUNCTION("""COMPUTED_VALUE"""),29.32)</f>
        <v>29.32</v>
      </c>
      <c r="H931" s="25">
        <f>IFERROR(__xludf.DUMMYFUNCTION("""COMPUTED_VALUE"""),44609.63611111111)</f>
        <v>44609.63611</v>
      </c>
      <c r="I931" s="22">
        <f>IFERROR(__xludf.DUMMYFUNCTION("""COMPUTED_VALUE"""),29.43)</f>
        <v>29.43</v>
      </c>
      <c r="J931" s="25">
        <f>IFERROR(__xludf.DUMMYFUNCTION("""COMPUTED_VALUE"""),44609.63611111111)</f>
        <v>44609.63611</v>
      </c>
      <c r="K931" s="22">
        <f>IFERROR(__xludf.DUMMYFUNCTION("""COMPUTED_VALUE"""),28.99)</f>
        <v>28.99</v>
      </c>
      <c r="N931" s="22" t="str">
        <f t="shared" si="4"/>
        <v>PREDICT CRASH</v>
      </c>
    </row>
    <row r="932" ht="15.75" customHeight="1">
      <c r="A932" s="25">
        <f>IFERROR(__xludf.DUMMYFUNCTION("""COMPUTED_VALUE"""),44610.66666666667)</f>
        <v>44610.66667</v>
      </c>
      <c r="B932" s="22">
        <f>IFERROR(__xludf.DUMMYFUNCTION("""COMPUTED_VALUE"""),4348.87)</f>
        <v>4348.87</v>
      </c>
      <c r="C932" s="25">
        <f>IFERROR(__xludf.DUMMYFUNCTION("""COMPUTED_VALUE"""),44610.63611111111)</f>
        <v>44610.63611</v>
      </c>
      <c r="D932" s="22">
        <f>IFERROR(__xludf.DUMMYFUNCTION("""COMPUTED_VALUE"""),27.75)</f>
        <v>27.75</v>
      </c>
      <c r="F932" s="25">
        <f>IFERROR(__xludf.DUMMYFUNCTION("""COMPUTED_VALUE"""),44610.63611111111)</f>
        <v>44610.63611</v>
      </c>
      <c r="G932" s="22">
        <f>IFERROR(__xludf.DUMMYFUNCTION("""COMPUTED_VALUE"""),29.22)</f>
        <v>29.22</v>
      </c>
      <c r="H932" s="25">
        <f>IFERROR(__xludf.DUMMYFUNCTION("""COMPUTED_VALUE"""),44610.63611111111)</f>
        <v>44610.63611</v>
      </c>
      <c r="I932" s="22">
        <f>IFERROR(__xludf.DUMMYFUNCTION("""COMPUTED_VALUE"""),29.39)</f>
        <v>29.39</v>
      </c>
      <c r="J932" s="25">
        <f>IFERROR(__xludf.DUMMYFUNCTION("""COMPUTED_VALUE"""),44610.63611111111)</f>
        <v>44610.63611</v>
      </c>
      <c r="K932" s="22">
        <f>IFERROR(__xludf.DUMMYFUNCTION("""COMPUTED_VALUE"""),29.15)</f>
        <v>29.15</v>
      </c>
      <c r="N932" s="22" t="str">
        <f t="shared" si="4"/>
        <v>PREDICT CRASH</v>
      </c>
    </row>
    <row r="933" ht="15.75" customHeight="1">
      <c r="A933" s="25">
        <f>IFERROR(__xludf.DUMMYFUNCTION("""COMPUTED_VALUE"""),44614.66666666667)</f>
        <v>44614.66667</v>
      </c>
      <c r="B933" s="22">
        <f>IFERROR(__xludf.DUMMYFUNCTION("""COMPUTED_VALUE"""),4304.76)</f>
        <v>4304.76</v>
      </c>
      <c r="C933" s="25">
        <f>IFERROR(__xludf.DUMMYFUNCTION("""COMPUTED_VALUE"""),44614.63611111111)</f>
        <v>44614.63611</v>
      </c>
      <c r="D933" s="22">
        <f>IFERROR(__xludf.DUMMYFUNCTION("""COMPUTED_VALUE"""),28.81)</f>
        <v>28.81</v>
      </c>
      <c r="F933" s="25">
        <f>IFERROR(__xludf.DUMMYFUNCTION("""COMPUTED_VALUE"""),44614.63611111111)</f>
        <v>44614.63611</v>
      </c>
      <c r="G933" s="22">
        <f>IFERROR(__xludf.DUMMYFUNCTION("""COMPUTED_VALUE"""),29.11)</f>
        <v>29.11</v>
      </c>
      <c r="H933" s="25">
        <f>IFERROR(__xludf.DUMMYFUNCTION("""COMPUTED_VALUE"""),44614.63611111111)</f>
        <v>44614.63611</v>
      </c>
      <c r="I933" s="22">
        <f>IFERROR(__xludf.DUMMYFUNCTION("""COMPUTED_VALUE"""),29.21)</f>
        <v>29.21</v>
      </c>
      <c r="J933" s="25">
        <f>IFERROR(__xludf.DUMMYFUNCTION("""COMPUTED_VALUE"""),44614.63611111111)</f>
        <v>44614.63611</v>
      </c>
      <c r="K933" s="22">
        <f>IFERROR(__xludf.DUMMYFUNCTION("""COMPUTED_VALUE"""),28.85)</f>
        <v>28.85</v>
      </c>
      <c r="N933" s="22" t="str">
        <f t="shared" si="4"/>
        <v>PREDICT CRASH</v>
      </c>
    </row>
    <row r="934" ht="15.75" customHeight="1">
      <c r="A934" s="25">
        <f>IFERROR(__xludf.DUMMYFUNCTION("""COMPUTED_VALUE"""),44615.66666666667)</f>
        <v>44615.66667</v>
      </c>
      <c r="B934" s="22">
        <f>IFERROR(__xludf.DUMMYFUNCTION("""COMPUTED_VALUE"""),4225.5)</f>
        <v>4225.5</v>
      </c>
      <c r="C934" s="25">
        <f>IFERROR(__xludf.DUMMYFUNCTION("""COMPUTED_VALUE"""),44615.63611111111)</f>
        <v>44615.63611</v>
      </c>
      <c r="D934" s="22">
        <f>IFERROR(__xludf.DUMMYFUNCTION("""COMPUTED_VALUE"""),31.02)</f>
        <v>31.02</v>
      </c>
      <c r="F934" s="25">
        <f>IFERROR(__xludf.DUMMYFUNCTION("""COMPUTED_VALUE"""),44615.63611111111)</f>
        <v>44615.63611</v>
      </c>
      <c r="G934" s="22">
        <f>IFERROR(__xludf.DUMMYFUNCTION("""COMPUTED_VALUE"""),30.88)</f>
        <v>30.88</v>
      </c>
      <c r="H934" s="25">
        <f>IFERROR(__xludf.DUMMYFUNCTION("""COMPUTED_VALUE"""),44615.63611111111)</f>
        <v>44615.63611</v>
      </c>
      <c r="I934" s="22">
        <f>IFERROR(__xludf.DUMMYFUNCTION("""COMPUTED_VALUE"""),30.75)</f>
        <v>30.75</v>
      </c>
      <c r="J934" s="25">
        <f>IFERROR(__xludf.DUMMYFUNCTION("""COMPUTED_VALUE"""),44615.63611111111)</f>
        <v>44615.63611</v>
      </c>
      <c r="K934" s="22">
        <f>IFERROR(__xludf.DUMMYFUNCTION("""COMPUTED_VALUE"""),29.74)</f>
        <v>29.74</v>
      </c>
      <c r="N934" s="22" t="str">
        <f t="shared" si="4"/>
        <v>PREDICT CRASH</v>
      </c>
    </row>
    <row r="935" ht="15.75" customHeight="1">
      <c r="A935" s="25">
        <f>IFERROR(__xludf.DUMMYFUNCTION("""COMPUTED_VALUE"""),44616.66666666667)</f>
        <v>44616.66667</v>
      </c>
      <c r="B935" s="22">
        <f>IFERROR(__xludf.DUMMYFUNCTION("""COMPUTED_VALUE"""),4288.7)</f>
        <v>4288.7</v>
      </c>
      <c r="C935" s="25">
        <f>IFERROR(__xludf.DUMMYFUNCTION("""COMPUTED_VALUE"""),44616.63611111111)</f>
        <v>44616.63611</v>
      </c>
      <c r="D935" s="22">
        <f>IFERROR(__xludf.DUMMYFUNCTION("""COMPUTED_VALUE"""),30.32)</f>
        <v>30.32</v>
      </c>
      <c r="F935" s="25">
        <f>IFERROR(__xludf.DUMMYFUNCTION("""COMPUTED_VALUE"""),44616.63611111111)</f>
        <v>44616.63611</v>
      </c>
      <c r="G935" s="22">
        <f>IFERROR(__xludf.DUMMYFUNCTION("""COMPUTED_VALUE"""),30.05)</f>
        <v>30.05</v>
      </c>
      <c r="H935" s="25">
        <f>IFERROR(__xludf.DUMMYFUNCTION("""COMPUTED_VALUE"""),44616.63611111111)</f>
        <v>44616.63611</v>
      </c>
      <c r="I935" s="22">
        <f>IFERROR(__xludf.DUMMYFUNCTION("""COMPUTED_VALUE"""),29.98)</f>
        <v>29.98</v>
      </c>
      <c r="J935" s="25">
        <f>IFERROR(__xludf.DUMMYFUNCTION("""COMPUTED_VALUE"""),44616.63611111111)</f>
        <v>44616.63611</v>
      </c>
      <c r="K935" s="22">
        <f>IFERROR(__xludf.DUMMYFUNCTION("""COMPUTED_VALUE"""),29.79)</f>
        <v>29.79</v>
      </c>
      <c r="N935" s="22" t="str">
        <f t="shared" si="4"/>
        <v>PREDICT CRASH</v>
      </c>
    </row>
    <row r="936" ht="15.75" customHeight="1">
      <c r="A936" s="25">
        <f>IFERROR(__xludf.DUMMYFUNCTION("""COMPUTED_VALUE"""),44617.66666666667)</f>
        <v>44617.66667</v>
      </c>
      <c r="B936" s="22">
        <f>IFERROR(__xludf.DUMMYFUNCTION("""COMPUTED_VALUE"""),4384.65)</f>
        <v>4384.65</v>
      </c>
      <c r="C936" s="25">
        <f>IFERROR(__xludf.DUMMYFUNCTION("""COMPUTED_VALUE"""),44617.63611111111)</f>
        <v>44617.63611</v>
      </c>
      <c r="D936" s="22">
        <f>IFERROR(__xludf.DUMMYFUNCTION("""COMPUTED_VALUE"""),27.59)</f>
        <v>27.59</v>
      </c>
      <c r="F936" s="25">
        <f>IFERROR(__xludf.DUMMYFUNCTION("""COMPUTED_VALUE"""),44617.63611111111)</f>
        <v>44617.63611</v>
      </c>
      <c r="G936" s="22">
        <f>IFERROR(__xludf.DUMMYFUNCTION("""COMPUTED_VALUE"""),28.04)</f>
        <v>28.04</v>
      </c>
      <c r="H936" s="25">
        <f>IFERROR(__xludf.DUMMYFUNCTION("""COMPUTED_VALUE"""),44617.63611111111)</f>
        <v>44617.63611</v>
      </c>
      <c r="I936" s="22">
        <f>IFERROR(__xludf.DUMMYFUNCTION("""COMPUTED_VALUE"""),28.67)</f>
        <v>28.67</v>
      </c>
      <c r="J936" s="25">
        <f>IFERROR(__xludf.DUMMYFUNCTION("""COMPUTED_VALUE"""),44617.63611111111)</f>
        <v>44617.63611</v>
      </c>
      <c r="K936" s="22">
        <f>IFERROR(__xludf.DUMMYFUNCTION("""COMPUTED_VALUE"""),28.45)</f>
        <v>28.45</v>
      </c>
      <c r="N936" s="22" t="str">
        <f t="shared" si="4"/>
        <v>PREDICT CRASH</v>
      </c>
    </row>
    <row r="937" ht="15.75" customHeight="1">
      <c r="A937" s="25">
        <f>IFERROR(__xludf.DUMMYFUNCTION("""COMPUTED_VALUE"""),44620.66666666667)</f>
        <v>44620.66667</v>
      </c>
      <c r="B937" s="22">
        <f>IFERROR(__xludf.DUMMYFUNCTION("""COMPUTED_VALUE"""),4373.94)</f>
        <v>4373.94</v>
      </c>
      <c r="C937" s="25">
        <f>IFERROR(__xludf.DUMMYFUNCTION("""COMPUTED_VALUE"""),44620.63611111111)</f>
        <v>44620.63611</v>
      </c>
      <c r="D937" s="22">
        <f>IFERROR(__xludf.DUMMYFUNCTION("""COMPUTED_VALUE"""),30.15)</f>
        <v>30.15</v>
      </c>
      <c r="F937" s="25">
        <f>IFERROR(__xludf.DUMMYFUNCTION("""COMPUTED_VALUE"""),44620.63611111111)</f>
        <v>44620.63611</v>
      </c>
      <c r="G937" s="22">
        <f>IFERROR(__xludf.DUMMYFUNCTION("""COMPUTED_VALUE"""),29.65)</f>
        <v>29.65</v>
      </c>
      <c r="H937" s="25">
        <f>IFERROR(__xludf.DUMMYFUNCTION("""COMPUTED_VALUE"""),44620.63611111111)</f>
        <v>44620.63611</v>
      </c>
      <c r="I937" s="22">
        <f>IFERROR(__xludf.DUMMYFUNCTION("""COMPUTED_VALUE"""),29.88)</f>
        <v>29.88</v>
      </c>
      <c r="J937" s="25">
        <f>IFERROR(__xludf.DUMMYFUNCTION("""COMPUTED_VALUE"""),44620.63611111111)</f>
        <v>44620.63611</v>
      </c>
      <c r="K937" s="22">
        <f>IFERROR(__xludf.DUMMYFUNCTION("""COMPUTED_VALUE"""),29.41)</f>
        <v>29.41</v>
      </c>
      <c r="N937" s="22" t="str">
        <f t="shared" si="4"/>
        <v>PREDICT CRASH</v>
      </c>
    </row>
    <row r="938" ht="15.75" customHeight="1">
      <c r="A938" s="25">
        <f>IFERROR(__xludf.DUMMYFUNCTION("""COMPUTED_VALUE"""),44621.66666666667)</f>
        <v>44621.66667</v>
      </c>
      <c r="B938" s="22">
        <f>IFERROR(__xludf.DUMMYFUNCTION("""COMPUTED_VALUE"""),4306.26)</f>
        <v>4306.26</v>
      </c>
      <c r="C938" s="25">
        <f>IFERROR(__xludf.DUMMYFUNCTION("""COMPUTED_VALUE"""),44621.63611111111)</f>
        <v>44621.63611</v>
      </c>
      <c r="D938" s="22">
        <f>IFERROR(__xludf.DUMMYFUNCTION("""COMPUTED_VALUE"""),33.32)</f>
        <v>33.32</v>
      </c>
      <c r="F938" s="25">
        <f>IFERROR(__xludf.DUMMYFUNCTION("""COMPUTED_VALUE"""),44621.63611111111)</f>
        <v>44621.63611</v>
      </c>
      <c r="G938" s="22">
        <f>IFERROR(__xludf.DUMMYFUNCTION("""COMPUTED_VALUE"""),32.59)</f>
        <v>32.59</v>
      </c>
      <c r="H938" s="25">
        <f>IFERROR(__xludf.DUMMYFUNCTION("""COMPUTED_VALUE"""),44621.63611111111)</f>
        <v>44621.63611</v>
      </c>
      <c r="I938" s="22">
        <f>IFERROR(__xludf.DUMMYFUNCTION("""COMPUTED_VALUE"""),32.13)</f>
        <v>32.13</v>
      </c>
      <c r="J938" s="25">
        <f>IFERROR(__xludf.DUMMYFUNCTION("""COMPUTED_VALUE"""),44621.63611111111)</f>
        <v>44621.63611</v>
      </c>
      <c r="K938" s="22">
        <f>IFERROR(__xludf.DUMMYFUNCTION("""COMPUTED_VALUE"""),30.91)</f>
        <v>30.91</v>
      </c>
      <c r="N938" s="22" t="str">
        <f t="shared" si="4"/>
        <v>PREDICT CRASH</v>
      </c>
    </row>
    <row r="939" ht="15.75" customHeight="1">
      <c r="A939" s="25">
        <f>IFERROR(__xludf.DUMMYFUNCTION("""COMPUTED_VALUE"""),44622.66666666667)</f>
        <v>44622.66667</v>
      </c>
      <c r="B939" s="22">
        <f>IFERROR(__xludf.DUMMYFUNCTION("""COMPUTED_VALUE"""),4386.54)</f>
        <v>4386.54</v>
      </c>
      <c r="C939" s="25">
        <f>IFERROR(__xludf.DUMMYFUNCTION("""COMPUTED_VALUE"""),44622.63611111111)</f>
        <v>44622.63611</v>
      </c>
      <c r="D939" s="22">
        <f>IFERROR(__xludf.DUMMYFUNCTION("""COMPUTED_VALUE"""),30.74)</f>
        <v>30.74</v>
      </c>
      <c r="F939" s="25">
        <f>IFERROR(__xludf.DUMMYFUNCTION("""COMPUTED_VALUE"""),44622.63611111111)</f>
        <v>44622.63611</v>
      </c>
      <c r="G939" s="22">
        <f>IFERROR(__xludf.DUMMYFUNCTION("""COMPUTED_VALUE"""),30.97)</f>
        <v>30.97</v>
      </c>
      <c r="H939" s="25">
        <f>IFERROR(__xludf.DUMMYFUNCTION("""COMPUTED_VALUE"""),44622.63611111111)</f>
        <v>44622.63611</v>
      </c>
      <c r="I939" s="22">
        <f>IFERROR(__xludf.DUMMYFUNCTION("""COMPUTED_VALUE"""),31.04)</f>
        <v>31.04</v>
      </c>
      <c r="J939" s="25">
        <f>IFERROR(__xludf.DUMMYFUNCTION("""COMPUTED_VALUE"""),44622.63611111111)</f>
        <v>44622.63611</v>
      </c>
      <c r="K939" s="22">
        <f>IFERROR(__xludf.DUMMYFUNCTION("""COMPUTED_VALUE"""),29.86)</f>
        <v>29.86</v>
      </c>
      <c r="N939" s="22" t="str">
        <f t="shared" si="4"/>
        <v>PREDICT CRASH</v>
      </c>
    </row>
    <row r="940" ht="15.75" customHeight="1">
      <c r="A940" s="25">
        <f>IFERROR(__xludf.DUMMYFUNCTION("""COMPUTED_VALUE"""),44623.66666666667)</f>
        <v>44623.66667</v>
      </c>
      <c r="B940" s="22">
        <f>IFERROR(__xludf.DUMMYFUNCTION("""COMPUTED_VALUE"""),4363.49)</f>
        <v>4363.49</v>
      </c>
      <c r="C940" s="25">
        <f>IFERROR(__xludf.DUMMYFUNCTION("""COMPUTED_VALUE"""),44623.63611111111)</f>
        <v>44623.63611</v>
      </c>
      <c r="D940" s="22">
        <f>IFERROR(__xludf.DUMMYFUNCTION("""COMPUTED_VALUE"""),30.48)</f>
        <v>30.48</v>
      </c>
      <c r="F940" s="25">
        <f>IFERROR(__xludf.DUMMYFUNCTION("""COMPUTED_VALUE"""),44623.63611111111)</f>
        <v>44623.63611</v>
      </c>
      <c r="G940" s="22">
        <f>IFERROR(__xludf.DUMMYFUNCTION("""COMPUTED_VALUE"""),30.8)</f>
        <v>30.8</v>
      </c>
      <c r="H940" s="25">
        <f>IFERROR(__xludf.DUMMYFUNCTION("""COMPUTED_VALUE"""),44623.63611111111)</f>
        <v>44623.63611</v>
      </c>
      <c r="I940" s="22">
        <f>IFERROR(__xludf.DUMMYFUNCTION("""COMPUTED_VALUE"""),30.92)</f>
        <v>30.92</v>
      </c>
      <c r="J940" s="25">
        <f>IFERROR(__xludf.DUMMYFUNCTION("""COMPUTED_VALUE"""),44623.63611111111)</f>
        <v>44623.63611</v>
      </c>
      <c r="K940" s="22">
        <f>IFERROR(__xludf.DUMMYFUNCTION("""COMPUTED_VALUE"""),29.81)</f>
        <v>29.81</v>
      </c>
      <c r="N940" s="22" t="str">
        <f t="shared" si="4"/>
        <v>PREDICT CRASH</v>
      </c>
    </row>
    <row r="941" ht="15.75" customHeight="1">
      <c r="A941" s="25">
        <f>IFERROR(__xludf.DUMMYFUNCTION("""COMPUTED_VALUE"""),44624.66666666667)</f>
        <v>44624.66667</v>
      </c>
      <c r="B941" s="22">
        <f>IFERROR(__xludf.DUMMYFUNCTION("""COMPUTED_VALUE"""),4328.87)</f>
        <v>4328.87</v>
      </c>
      <c r="C941" s="25">
        <f>IFERROR(__xludf.DUMMYFUNCTION("""COMPUTED_VALUE"""),44624.63611111111)</f>
        <v>44624.63611</v>
      </c>
      <c r="D941" s="22">
        <f>IFERROR(__xludf.DUMMYFUNCTION("""COMPUTED_VALUE"""),31.98)</f>
        <v>31.98</v>
      </c>
      <c r="F941" s="25">
        <f>IFERROR(__xludf.DUMMYFUNCTION("""COMPUTED_VALUE"""),44624.63611111111)</f>
        <v>44624.63611</v>
      </c>
      <c r="G941" s="22">
        <f>IFERROR(__xludf.DUMMYFUNCTION("""COMPUTED_VALUE"""),32.34)</f>
        <v>32.34</v>
      </c>
      <c r="H941" s="25">
        <f>IFERROR(__xludf.DUMMYFUNCTION("""COMPUTED_VALUE"""),44624.63611111111)</f>
        <v>44624.63611</v>
      </c>
      <c r="I941" s="22">
        <f>IFERROR(__xludf.DUMMYFUNCTION("""COMPUTED_VALUE"""),32.08)</f>
        <v>32.08</v>
      </c>
      <c r="J941" s="25">
        <f>IFERROR(__xludf.DUMMYFUNCTION("""COMPUTED_VALUE"""),44624.63611111111)</f>
        <v>44624.63611</v>
      </c>
      <c r="K941" s="22">
        <f>IFERROR(__xludf.DUMMYFUNCTION("""COMPUTED_VALUE"""),30.68)</f>
        <v>30.68</v>
      </c>
      <c r="N941" s="22" t="str">
        <f t="shared" si="4"/>
        <v>PREDICT CRASH</v>
      </c>
    </row>
    <row r="942" ht="15.75" customHeight="1">
      <c r="A942" s="25">
        <f>IFERROR(__xludf.DUMMYFUNCTION("""COMPUTED_VALUE"""),44627.66666666667)</f>
        <v>44627.66667</v>
      </c>
      <c r="B942" s="22">
        <f>IFERROR(__xludf.DUMMYFUNCTION("""COMPUTED_VALUE"""),4201.09)</f>
        <v>4201.09</v>
      </c>
      <c r="C942" s="25">
        <f>IFERROR(__xludf.DUMMYFUNCTION("""COMPUTED_VALUE"""),44627.63611111111)</f>
        <v>44627.63611</v>
      </c>
      <c r="D942" s="22">
        <f>IFERROR(__xludf.DUMMYFUNCTION("""COMPUTED_VALUE"""),36.45)</f>
        <v>36.45</v>
      </c>
      <c r="F942" s="25">
        <f>IFERROR(__xludf.DUMMYFUNCTION("""COMPUTED_VALUE"""),44627.63611111111)</f>
        <v>44627.63611</v>
      </c>
      <c r="G942" s="22">
        <f>IFERROR(__xludf.DUMMYFUNCTION("""COMPUTED_VALUE"""),35.74)</f>
        <v>35.74</v>
      </c>
      <c r="H942" s="25">
        <f>IFERROR(__xludf.DUMMYFUNCTION("""COMPUTED_VALUE"""),44627.63611111111)</f>
        <v>44627.63611</v>
      </c>
      <c r="I942" s="22">
        <f>IFERROR(__xludf.DUMMYFUNCTION("""COMPUTED_VALUE"""),34.53)</f>
        <v>34.53</v>
      </c>
      <c r="J942" s="25">
        <f>IFERROR(__xludf.DUMMYFUNCTION("""COMPUTED_VALUE"""),44627.63611111111)</f>
        <v>44627.63611</v>
      </c>
      <c r="K942" s="22">
        <f>IFERROR(__xludf.DUMMYFUNCTION("""COMPUTED_VALUE"""),32.15)</f>
        <v>32.15</v>
      </c>
      <c r="N942" s="22" t="str">
        <f t="shared" si="4"/>
        <v>PREDICT CRASH</v>
      </c>
    </row>
    <row r="943" ht="15.75" customHeight="1">
      <c r="A943" s="25">
        <f>IFERROR(__xludf.DUMMYFUNCTION("""COMPUTED_VALUE"""),44628.66666666667)</f>
        <v>44628.66667</v>
      </c>
      <c r="B943" s="22">
        <f>IFERROR(__xludf.DUMMYFUNCTION("""COMPUTED_VALUE"""),4170.7)</f>
        <v>4170.7</v>
      </c>
      <c r="C943" s="25">
        <f>IFERROR(__xludf.DUMMYFUNCTION("""COMPUTED_VALUE"""),44628.63611111111)</f>
        <v>44628.63611</v>
      </c>
      <c r="D943" s="22">
        <f>IFERROR(__xludf.DUMMYFUNCTION("""COMPUTED_VALUE"""),35.13)</f>
        <v>35.13</v>
      </c>
      <c r="F943" s="25">
        <f>IFERROR(__xludf.DUMMYFUNCTION("""COMPUTED_VALUE"""),44628.63611111111)</f>
        <v>44628.63611</v>
      </c>
      <c r="G943" s="22">
        <f>IFERROR(__xludf.DUMMYFUNCTION("""COMPUTED_VALUE"""),35.0)</f>
        <v>35</v>
      </c>
      <c r="H943" s="25">
        <f>IFERROR(__xludf.DUMMYFUNCTION("""COMPUTED_VALUE"""),44628.63611111111)</f>
        <v>44628.63611</v>
      </c>
      <c r="I943" s="22">
        <f>IFERROR(__xludf.DUMMYFUNCTION("""COMPUTED_VALUE"""),34.29)</f>
        <v>34.29</v>
      </c>
      <c r="J943" s="25">
        <f>IFERROR(__xludf.DUMMYFUNCTION("""COMPUTED_VALUE"""),44628.63611111111)</f>
        <v>44628.63611</v>
      </c>
      <c r="K943" s="22">
        <f>IFERROR(__xludf.DUMMYFUNCTION("""COMPUTED_VALUE"""),32.05)</f>
        <v>32.05</v>
      </c>
      <c r="N943" s="22" t="str">
        <f t="shared" si="4"/>
        <v>PREDICT CRASH</v>
      </c>
    </row>
    <row r="944" ht="15.75" customHeight="1">
      <c r="A944" s="25">
        <f>IFERROR(__xludf.DUMMYFUNCTION("""COMPUTED_VALUE"""),44629.66666666667)</f>
        <v>44629.66667</v>
      </c>
      <c r="B944" s="22">
        <f>IFERROR(__xludf.DUMMYFUNCTION("""COMPUTED_VALUE"""),4277.88)</f>
        <v>4277.88</v>
      </c>
      <c r="C944" s="25">
        <f>IFERROR(__xludf.DUMMYFUNCTION("""COMPUTED_VALUE"""),44629.63611111111)</f>
        <v>44629.63611</v>
      </c>
      <c r="D944" s="22">
        <f>IFERROR(__xludf.DUMMYFUNCTION("""COMPUTED_VALUE"""),32.45)</f>
        <v>32.45</v>
      </c>
      <c r="F944" s="25">
        <f>IFERROR(__xludf.DUMMYFUNCTION("""COMPUTED_VALUE"""),44629.63611111111)</f>
        <v>44629.63611</v>
      </c>
      <c r="G944" s="22">
        <f>IFERROR(__xludf.DUMMYFUNCTION("""COMPUTED_VALUE"""),33.06)</f>
        <v>33.06</v>
      </c>
      <c r="H944" s="25">
        <f>IFERROR(__xludf.DUMMYFUNCTION("""COMPUTED_VALUE"""),44629.63611111111)</f>
        <v>44629.63611</v>
      </c>
      <c r="I944" s="22">
        <f>IFERROR(__xludf.DUMMYFUNCTION("""COMPUTED_VALUE"""),32.97)</f>
        <v>32.97</v>
      </c>
      <c r="J944" s="25">
        <f>IFERROR(__xludf.DUMMYFUNCTION("""COMPUTED_VALUE"""),44629.63611111111)</f>
        <v>44629.63611</v>
      </c>
      <c r="K944" s="22">
        <f>IFERROR(__xludf.DUMMYFUNCTION("""COMPUTED_VALUE"""),31.28)</f>
        <v>31.28</v>
      </c>
      <c r="N944" s="22" t="str">
        <f t="shared" si="4"/>
        <v>PREDICT CRASH</v>
      </c>
    </row>
    <row r="945" ht="15.75" customHeight="1">
      <c r="A945" s="25">
        <f>IFERROR(__xludf.DUMMYFUNCTION("""COMPUTED_VALUE"""),44630.66666666667)</f>
        <v>44630.66667</v>
      </c>
      <c r="B945" s="22">
        <f>IFERROR(__xludf.DUMMYFUNCTION("""COMPUTED_VALUE"""),4259.52)</f>
        <v>4259.52</v>
      </c>
      <c r="C945" s="25">
        <f>IFERROR(__xludf.DUMMYFUNCTION("""COMPUTED_VALUE"""),44630.63611111111)</f>
        <v>44630.63611</v>
      </c>
      <c r="D945" s="22">
        <f>IFERROR(__xludf.DUMMYFUNCTION("""COMPUTED_VALUE"""),30.23)</f>
        <v>30.23</v>
      </c>
      <c r="F945" s="25">
        <f>IFERROR(__xludf.DUMMYFUNCTION("""COMPUTED_VALUE"""),44630.63611111111)</f>
        <v>44630.63611</v>
      </c>
      <c r="G945" s="22">
        <f>IFERROR(__xludf.DUMMYFUNCTION("""COMPUTED_VALUE"""),31.52)</f>
        <v>31.52</v>
      </c>
      <c r="H945" s="25">
        <f>IFERROR(__xludf.DUMMYFUNCTION("""COMPUTED_VALUE"""),44630.63611111111)</f>
        <v>44630.63611</v>
      </c>
      <c r="I945" s="22">
        <f>IFERROR(__xludf.DUMMYFUNCTION("""COMPUTED_VALUE"""),32.04)</f>
        <v>32.04</v>
      </c>
      <c r="J945" s="25">
        <f>IFERROR(__xludf.DUMMYFUNCTION("""COMPUTED_VALUE"""),44630.63611111111)</f>
        <v>44630.63611</v>
      </c>
      <c r="K945" s="22">
        <f>IFERROR(__xludf.DUMMYFUNCTION("""COMPUTED_VALUE"""),30.92)</f>
        <v>30.92</v>
      </c>
      <c r="N945" s="22" t="str">
        <f t="shared" si="4"/>
        <v>PREDICT CRASH</v>
      </c>
    </row>
    <row r="946" ht="15.75" customHeight="1">
      <c r="A946" s="25">
        <f>IFERROR(__xludf.DUMMYFUNCTION("""COMPUTED_VALUE"""),44631.66666666667)</f>
        <v>44631.66667</v>
      </c>
      <c r="B946" s="22">
        <f>IFERROR(__xludf.DUMMYFUNCTION("""COMPUTED_VALUE"""),4204.31)</f>
        <v>4204.31</v>
      </c>
      <c r="C946" s="25">
        <f>IFERROR(__xludf.DUMMYFUNCTION("""COMPUTED_VALUE"""),44631.63611111111)</f>
        <v>44631.63611</v>
      </c>
      <c r="D946" s="22">
        <f>IFERROR(__xludf.DUMMYFUNCTION("""COMPUTED_VALUE"""),30.75)</f>
        <v>30.75</v>
      </c>
      <c r="F946" s="25">
        <f>IFERROR(__xludf.DUMMYFUNCTION("""COMPUTED_VALUE"""),44631.63611111111)</f>
        <v>44631.63611</v>
      </c>
      <c r="G946" s="22">
        <f>IFERROR(__xludf.DUMMYFUNCTION("""COMPUTED_VALUE"""),32.34)</f>
        <v>32.34</v>
      </c>
      <c r="H946" s="25">
        <f>IFERROR(__xludf.DUMMYFUNCTION("""COMPUTED_VALUE"""),44631.63611111111)</f>
        <v>44631.63611</v>
      </c>
      <c r="I946" s="22">
        <f>IFERROR(__xludf.DUMMYFUNCTION("""COMPUTED_VALUE"""),32.98)</f>
        <v>32.98</v>
      </c>
      <c r="J946" s="25">
        <f>IFERROR(__xludf.DUMMYFUNCTION("""COMPUTED_VALUE"""),44631.63611111111)</f>
        <v>44631.63611</v>
      </c>
      <c r="K946" s="22">
        <f>IFERROR(__xludf.DUMMYFUNCTION("""COMPUTED_VALUE"""),31.71)</f>
        <v>31.71</v>
      </c>
      <c r="N946" s="22" t="str">
        <f t="shared" si="4"/>
        <v>PREDICT CRASH</v>
      </c>
    </row>
    <row r="947" ht="15.75" customHeight="1">
      <c r="A947" s="25">
        <f>IFERROR(__xludf.DUMMYFUNCTION("""COMPUTED_VALUE"""),44634.66666666667)</f>
        <v>44634.66667</v>
      </c>
      <c r="B947" s="22">
        <f>IFERROR(__xludf.DUMMYFUNCTION("""COMPUTED_VALUE"""),4173.11)</f>
        <v>4173.11</v>
      </c>
      <c r="C947" s="25">
        <f>IFERROR(__xludf.DUMMYFUNCTION("""COMPUTED_VALUE"""),44634.63611111111)</f>
        <v>44634.63611</v>
      </c>
      <c r="D947" s="22">
        <f>IFERROR(__xludf.DUMMYFUNCTION("""COMPUTED_VALUE"""),31.77)</f>
        <v>31.77</v>
      </c>
      <c r="F947" s="25">
        <f>IFERROR(__xludf.DUMMYFUNCTION("""COMPUTED_VALUE"""),44634.63611111111)</f>
        <v>44634.63611</v>
      </c>
      <c r="G947" s="22">
        <f>IFERROR(__xludf.DUMMYFUNCTION("""COMPUTED_VALUE"""),33.32)</f>
        <v>33.32</v>
      </c>
      <c r="H947" s="25">
        <f>IFERROR(__xludf.DUMMYFUNCTION("""COMPUTED_VALUE"""),44634.63611111111)</f>
        <v>44634.63611</v>
      </c>
      <c r="I947" s="22">
        <f>IFERROR(__xludf.DUMMYFUNCTION("""COMPUTED_VALUE"""),33.69)</f>
        <v>33.69</v>
      </c>
      <c r="J947" s="25">
        <f>IFERROR(__xludf.DUMMYFUNCTION("""COMPUTED_VALUE"""),44634.63611111111)</f>
        <v>44634.63611</v>
      </c>
      <c r="K947" s="22">
        <f>IFERROR(__xludf.DUMMYFUNCTION("""COMPUTED_VALUE"""),32.52)</f>
        <v>32.52</v>
      </c>
      <c r="N947" s="22" t="str">
        <f t="shared" si="4"/>
        <v>PREDICT CRASH</v>
      </c>
    </row>
    <row r="948" ht="15.75" customHeight="1">
      <c r="A948" s="25">
        <f>IFERROR(__xludf.DUMMYFUNCTION("""COMPUTED_VALUE"""),44635.66666666667)</f>
        <v>44635.66667</v>
      </c>
      <c r="B948" s="22">
        <f>IFERROR(__xludf.DUMMYFUNCTION("""COMPUTED_VALUE"""),4262.45)</f>
        <v>4262.45</v>
      </c>
      <c r="C948" s="25">
        <f>IFERROR(__xludf.DUMMYFUNCTION("""COMPUTED_VALUE"""),44635.63611111111)</f>
        <v>44635.63611</v>
      </c>
      <c r="D948" s="22">
        <f>IFERROR(__xludf.DUMMYFUNCTION("""COMPUTED_VALUE"""),29.83)</f>
        <v>29.83</v>
      </c>
      <c r="F948" s="25">
        <f>IFERROR(__xludf.DUMMYFUNCTION("""COMPUTED_VALUE"""),44635.63611111111)</f>
        <v>44635.63611</v>
      </c>
      <c r="G948" s="22">
        <f>IFERROR(__xludf.DUMMYFUNCTION("""COMPUTED_VALUE"""),31.96)</f>
        <v>31.96</v>
      </c>
      <c r="H948" s="25">
        <f>IFERROR(__xludf.DUMMYFUNCTION("""COMPUTED_VALUE"""),44635.63611111111)</f>
        <v>44635.63611</v>
      </c>
      <c r="I948" s="22">
        <f>IFERROR(__xludf.DUMMYFUNCTION("""COMPUTED_VALUE"""),32.55)</f>
        <v>32.55</v>
      </c>
      <c r="J948" s="25">
        <f>IFERROR(__xludf.DUMMYFUNCTION("""COMPUTED_VALUE"""),44635.63611111111)</f>
        <v>44635.63611</v>
      </c>
      <c r="K948" s="22">
        <f>IFERROR(__xludf.DUMMYFUNCTION("""COMPUTED_VALUE"""),31.61)</f>
        <v>31.61</v>
      </c>
      <c r="N948" s="22" t="str">
        <f t="shared" si="4"/>
        <v>PREDICT CRASH</v>
      </c>
    </row>
    <row r="949" ht="15.75" customHeight="1">
      <c r="A949" s="25">
        <f>IFERROR(__xludf.DUMMYFUNCTION("""COMPUTED_VALUE"""),44636.66666666667)</f>
        <v>44636.66667</v>
      </c>
      <c r="B949" s="22">
        <f>IFERROR(__xludf.DUMMYFUNCTION("""COMPUTED_VALUE"""),4357.86)</f>
        <v>4357.86</v>
      </c>
      <c r="C949" s="25">
        <f>IFERROR(__xludf.DUMMYFUNCTION("""COMPUTED_VALUE"""),44636.63611111111)</f>
        <v>44636.63611</v>
      </c>
      <c r="D949" s="22">
        <f>IFERROR(__xludf.DUMMYFUNCTION("""COMPUTED_VALUE"""),26.67)</f>
        <v>26.67</v>
      </c>
      <c r="F949" s="25">
        <f>IFERROR(__xludf.DUMMYFUNCTION("""COMPUTED_VALUE"""),44636.63611111111)</f>
        <v>44636.63611</v>
      </c>
      <c r="G949" s="22">
        <f>IFERROR(__xludf.DUMMYFUNCTION("""COMPUTED_VALUE"""),28.96)</f>
        <v>28.96</v>
      </c>
      <c r="H949" s="25">
        <f>IFERROR(__xludf.DUMMYFUNCTION("""COMPUTED_VALUE"""),44636.63611111111)</f>
        <v>44636.63611</v>
      </c>
      <c r="I949" s="22">
        <f>IFERROR(__xludf.DUMMYFUNCTION("""COMPUTED_VALUE"""),30.35)</f>
        <v>30.35</v>
      </c>
      <c r="J949" s="25">
        <f>IFERROR(__xludf.DUMMYFUNCTION("""COMPUTED_VALUE"""),44636.63611111111)</f>
        <v>44636.63611</v>
      </c>
      <c r="K949" s="22">
        <f>IFERROR(__xludf.DUMMYFUNCTION("""COMPUTED_VALUE"""),30.26)</f>
        <v>30.26</v>
      </c>
      <c r="N949" s="22" t="str">
        <f t="shared" si="4"/>
        <v>PREDICT CRASH</v>
      </c>
    </row>
    <row r="950" ht="15.75" customHeight="1">
      <c r="A950" s="25">
        <f>IFERROR(__xludf.DUMMYFUNCTION("""COMPUTED_VALUE"""),44637.66666666667)</f>
        <v>44637.66667</v>
      </c>
      <c r="B950" s="22">
        <f>IFERROR(__xludf.DUMMYFUNCTION("""COMPUTED_VALUE"""),4411.67)</f>
        <v>4411.67</v>
      </c>
      <c r="C950" s="25">
        <f>IFERROR(__xludf.DUMMYFUNCTION("""COMPUTED_VALUE"""),44637.63611111111)</f>
        <v>44637.63611</v>
      </c>
      <c r="D950" s="22">
        <f>IFERROR(__xludf.DUMMYFUNCTION("""COMPUTED_VALUE"""),25.67)</f>
        <v>25.67</v>
      </c>
      <c r="F950" s="25">
        <f>IFERROR(__xludf.DUMMYFUNCTION("""COMPUTED_VALUE"""),44637.63611111111)</f>
        <v>44637.63611</v>
      </c>
      <c r="G950" s="22">
        <f>IFERROR(__xludf.DUMMYFUNCTION("""COMPUTED_VALUE"""),28.22)</f>
        <v>28.22</v>
      </c>
      <c r="H950" s="25">
        <f>IFERROR(__xludf.DUMMYFUNCTION("""COMPUTED_VALUE"""),44637.63611111111)</f>
        <v>44637.63611</v>
      </c>
      <c r="I950" s="22">
        <f>IFERROR(__xludf.DUMMYFUNCTION("""COMPUTED_VALUE"""),29.62)</f>
        <v>29.62</v>
      </c>
      <c r="J950" s="25">
        <f>IFERROR(__xludf.DUMMYFUNCTION("""COMPUTED_VALUE"""),44637.63611111111)</f>
        <v>44637.63611</v>
      </c>
      <c r="K950" s="22">
        <f>IFERROR(__xludf.DUMMYFUNCTION("""COMPUTED_VALUE"""),29.59)</f>
        <v>29.59</v>
      </c>
      <c r="N950" s="22" t="str">
        <f t="shared" si="4"/>
        <v>PREDICT CRASH</v>
      </c>
    </row>
    <row r="951" ht="15.75" customHeight="1">
      <c r="A951" s="25">
        <f>IFERROR(__xludf.DUMMYFUNCTION("""COMPUTED_VALUE"""),44638.66666666667)</f>
        <v>44638.66667</v>
      </c>
      <c r="B951" s="22">
        <f>IFERROR(__xludf.DUMMYFUNCTION("""COMPUTED_VALUE"""),4463.12)</f>
        <v>4463.12</v>
      </c>
      <c r="C951" s="25">
        <f>IFERROR(__xludf.DUMMYFUNCTION("""COMPUTED_VALUE"""),44638.63611111111)</f>
        <v>44638.63611</v>
      </c>
      <c r="D951" s="22">
        <f>IFERROR(__xludf.DUMMYFUNCTION("""COMPUTED_VALUE"""),23.87)</f>
        <v>23.87</v>
      </c>
      <c r="F951" s="25">
        <f>IFERROR(__xludf.DUMMYFUNCTION("""COMPUTED_VALUE"""),44638.63611111111)</f>
        <v>44638.63611</v>
      </c>
      <c r="G951" s="22">
        <f>IFERROR(__xludf.DUMMYFUNCTION("""COMPUTED_VALUE"""),26.55)</f>
        <v>26.55</v>
      </c>
      <c r="H951" s="25">
        <f>IFERROR(__xludf.DUMMYFUNCTION("""COMPUTED_VALUE"""),44638.63611111111)</f>
        <v>44638.63611</v>
      </c>
      <c r="I951" s="22">
        <f>IFERROR(__xludf.DUMMYFUNCTION("""COMPUTED_VALUE"""),28.31)</f>
        <v>28.31</v>
      </c>
      <c r="J951" s="25">
        <f>IFERROR(__xludf.DUMMYFUNCTION("""COMPUTED_VALUE"""),44638.63611111111)</f>
        <v>44638.63611</v>
      </c>
      <c r="K951" s="22">
        <f>IFERROR(__xludf.DUMMYFUNCTION("""COMPUTED_VALUE"""),28.43)</f>
        <v>28.43</v>
      </c>
      <c r="N951" s="22" t="str">
        <f t="shared" si="4"/>
        <v/>
      </c>
    </row>
    <row r="952" ht="15.75" customHeight="1">
      <c r="A952" s="25">
        <f>IFERROR(__xludf.DUMMYFUNCTION("""COMPUTED_VALUE"""),44641.66666666667)</f>
        <v>44641.66667</v>
      </c>
      <c r="B952" s="22">
        <f>IFERROR(__xludf.DUMMYFUNCTION("""COMPUTED_VALUE"""),4461.18)</f>
        <v>4461.18</v>
      </c>
      <c r="C952" s="25">
        <f>IFERROR(__xludf.DUMMYFUNCTION("""COMPUTED_VALUE"""),44641.63611111111)</f>
        <v>44641.63611</v>
      </c>
      <c r="D952" s="22">
        <f>IFERROR(__xludf.DUMMYFUNCTION("""COMPUTED_VALUE"""),23.53)</f>
        <v>23.53</v>
      </c>
      <c r="F952" s="25">
        <f>IFERROR(__xludf.DUMMYFUNCTION("""COMPUTED_VALUE"""),44641.63611111111)</f>
        <v>44641.63611</v>
      </c>
      <c r="G952" s="22">
        <f>IFERROR(__xludf.DUMMYFUNCTION("""COMPUTED_VALUE"""),26.38)</f>
        <v>26.38</v>
      </c>
      <c r="H952" s="25">
        <f>IFERROR(__xludf.DUMMYFUNCTION("""COMPUTED_VALUE"""),44641.63611111111)</f>
        <v>44641.63611</v>
      </c>
      <c r="I952" s="22">
        <f>IFERROR(__xludf.DUMMYFUNCTION("""COMPUTED_VALUE"""),28.23)</f>
        <v>28.23</v>
      </c>
      <c r="J952" s="25">
        <f>IFERROR(__xludf.DUMMYFUNCTION("""COMPUTED_VALUE"""),44641.63611111111)</f>
        <v>44641.63611</v>
      </c>
      <c r="K952" s="22">
        <f>IFERROR(__xludf.DUMMYFUNCTION("""COMPUTED_VALUE"""),28.72)</f>
        <v>28.72</v>
      </c>
      <c r="N952" s="22" t="str">
        <f t="shared" si="4"/>
        <v/>
      </c>
    </row>
    <row r="953" ht="15.75" customHeight="1">
      <c r="A953" s="25">
        <f>IFERROR(__xludf.DUMMYFUNCTION("""COMPUTED_VALUE"""),44642.66666666667)</f>
        <v>44642.66667</v>
      </c>
      <c r="B953" s="22">
        <f>IFERROR(__xludf.DUMMYFUNCTION("""COMPUTED_VALUE"""),4511.61)</f>
        <v>4511.61</v>
      </c>
      <c r="C953" s="25">
        <f>IFERROR(__xludf.DUMMYFUNCTION("""COMPUTED_VALUE"""),44642.63611111111)</f>
        <v>44642.63611</v>
      </c>
      <c r="D953" s="22">
        <f>IFERROR(__xludf.DUMMYFUNCTION("""COMPUTED_VALUE"""),22.94)</f>
        <v>22.94</v>
      </c>
      <c r="F953" s="25">
        <f>IFERROR(__xludf.DUMMYFUNCTION("""COMPUTED_VALUE"""),44642.63611111111)</f>
        <v>44642.63611</v>
      </c>
      <c r="G953" s="22">
        <f>IFERROR(__xludf.DUMMYFUNCTION("""COMPUTED_VALUE"""),25.85)</f>
        <v>25.85</v>
      </c>
      <c r="H953" s="25">
        <f>IFERROR(__xludf.DUMMYFUNCTION("""COMPUTED_VALUE"""),44642.63611111111)</f>
        <v>44642.63611</v>
      </c>
      <c r="I953" s="22">
        <f>IFERROR(__xludf.DUMMYFUNCTION("""COMPUTED_VALUE"""),27.72)</f>
        <v>27.72</v>
      </c>
      <c r="J953" s="25">
        <f>IFERROR(__xludf.DUMMYFUNCTION("""COMPUTED_VALUE"""),44642.63611111111)</f>
        <v>44642.63611</v>
      </c>
      <c r="K953" s="22">
        <f>IFERROR(__xludf.DUMMYFUNCTION("""COMPUTED_VALUE"""),28.48)</f>
        <v>28.48</v>
      </c>
      <c r="N953" s="22" t="str">
        <f t="shared" si="4"/>
        <v/>
      </c>
    </row>
    <row r="954" ht="15.75" customHeight="1">
      <c r="A954" s="25">
        <f>IFERROR(__xludf.DUMMYFUNCTION("""COMPUTED_VALUE"""),44643.66666666667)</f>
        <v>44643.66667</v>
      </c>
      <c r="B954" s="22">
        <f>IFERROR(__xludf.DUMMYFUNCTION("""COMPUTED_VALUE"""),4456.24)</f>
        <v>4456.24</v>
      </c>
      <c r="C954" s="25">
        <f>IFERROR(__xludf.DUMMYFUNCTION("""COMPUTED_VALUE"""),44643.63611111111)</f>
        <v>44643.63611</v>
      </c>
      <c r="D954" s="22">
        <f>IFERROR(__xludf.DUMMYFUNCTION("""COMPUTED_VALUE"""),23.57)</f>
        <v>23.57</v>
      </c>
      <c r="F954" s="25">
        <f>IFERROR(__xludf.DUMMYFUNCTION("""COMPUTED_VALUE"""),44643.63611111111)</f>
        <v>44643.63611</v>
      </c>
      <c r="G954" s="22">
        <f>IFERROR(__xludf.DUMMYFUNCTION("""COMPUTED_VALUE"""),26.41)</f>
        <v>26.41</v>
      </c>
      <c r="H954" s="25">
        <f>IFERROR(__xludf.DUMMYFUNCTION("""COMPUTED_VALUE"""),44643.63611111111)</f>
        <v>44643.63611</v>
      </c>
      <c r="I954" s="22">
        <f>IFERROR(__xludf.DUMMYFUNCTION("""COMPUTED_VALUE"""),28.16)</f>
        <v>28.16</v>
      </c>
      <c r="J954" s="25">
        <f>IFERROR(__xludf.DUMMYFUNCTION("""COMPUTED_VALUE"""),44643.63611111111)</f>
        <v>44643.63611</v>
      </c>
      <c r="K954" s="22">
        <f>IFERROR(__xludf.DUMMYFUNCTION("""COMPUTED_VALUE"""),28.73)</f>
        <v>28.73</v>
      </c>
      <c r="N954" s="22" t="str">
        <f t="shared" si="4"/>
        <v/>
      </c>
    </row>
    <row r="955" ht="15.75" customHeight="1">
      <c r="A955" s="25">
        <f>IFERROR(__xludf.DUMMYFUNCTION("""COMPUTED_VALUE"""),44644.66666666667)</f>
        <v>44644.66667</v>
      </c>
      <c r="B955" s="22">
        <f>IFERROR(__xludf.DUMMYFUNCTION("""COMPUTED_VALUE"""),4520.16)</f>
        <v>4520.16</v>
      </c>
      <c r="C955" s="25">
        <f>IFERROR(__xludf.DUMMYFUNCTION("""COMPUTED_VALUE"""),44644.63611111111)</f>
        <v>44644.63611</v>
      </c>
      <c r="D955" s="22">
        <f>IFERROR(__xludf.DUMMYFUNCTION("""COMPUTED_VALUE"""),21.67)</f>
        <v>21.67</v>
      </c>
      <c r="F955" s="25">
        <f>IFERROR(__xludf.DUMMYFUNCTION("""COMPUTED_VALUE"""),44644.63611111111)</f>
        <v>44644.63611</v>
      </c>
      <c r="G955" s="22">
        <f>IFERROR(__xludf.DUMMYFUNCTION("""COMPUTED_VALUE"""),25.3)</f>
        <v>25.3</v>
      </c>
      <c r="H955" s="25">
        <f>IFERROR(__xludf.DUMMYFUNCTION("""COMPUTED_VALUE"""),44644.63611111111)</f>
        <v>44644.63611</v>
      </c>
      <c r="I955" s="22">
        <f>IFERROR(__xludf.DUMMYFUNCTION("""COMPUTED_VALUE"""),27.48)</f>
        <v>27.48</v>
      </c>
      <c r="J955" s="25">
        <f>IFERROR(__xludf.DUMMYFUNCTION("""COMPUTED_VALUE"""),44644.63611111111)</f>
        <v>44644.63611</v>
      </c>
      <c r="K955" s="22">
        <f>IFERROR(__xludf.DUMMYFUNCTION("""COMPUTED_VALUE"""),28.41)</f>
        <v>28.41</v>
      </c>
      <c r="N955" s="22" t="str">
        <f t="shared" si="4"/>
        <v/>
      </c>
    </row>
    <row r="956" ht="15.75" customHeight="1">
      <c r="A956" s="25">
        <f>IFERROR(__xludf.DUMMYFUNCTION("""COMPUTED_VALUE"""),44645.66666666667)</f>
        <v>44645.66667</v>
      </c>
      <c r="B956" s="22">
        <f>IFERROR(__xludf.DUMMYFUNCTION("""COMPUTED_VALUE"""),4543.06)</f>
        <v>4543.06</v>
      </c>
      <c r="C956" s="25">
        <f>IFERROR(__xludf.DUMMYFUNCTION("""COMPUTED_VALUE"""),44645.63611111111)</f>
        <v>44645.63611</v>
      </c>
      <c r="D956" s="22">
        <f>IFERROR(__xludf.DUMMYFUNCTION("""COMPUTED_VALUE"""),20.81)</f>
        <v>20.81</v>
      </c>
      <c r="F956" s="25">
        <f>IFERROR(__xludf.DUMMYFUNCTION("""COMPUTED_VALUE"""),44645.63611111111)</f>
        <v>44645.63611</v>
      </c>
      <c r="G956" s="22">
        <f>IFERROR(__xludf.DUMMYFUNCTION("""COMPUTED_VALUE"""),24.72)</f>
        <v>24.72</v>
      </c>
      <c r="H956" s="25">
        <f>IFERROR(__xludf.DUMMYFUNCTION("""COMPUTED_VALUE"""),44645.63611111111)</f>
        <v>44645.63611</v>
      </c>
      <c r="I956" s="22">
        <f>IFERROR(__xludf.DUMMYFUNCTION("""COMPUTED_VALUE"""),27.02)</f>
        <v>27.02</v>
      </c>
      <c r="J956" s="25">
        <f>IFERROR(__xludf.DUMMYFUNCTION("""COMPUTED_VALUE"""),44645.63611111111)</f>
        <v>44645.63611</v>
      </c>
      <c r="K956" s="22">
        <f>IFERROR(__xludf.DUMMYFUNCTION("""COMPUTED_VALUE"""),28.06)</f>
        <v>28.06</v>
      </c>
      <c r="N956" s="22" t="str">
        <f t="shared" si="4"/>
        <v/>
      </c>
    </row>
    <row r="957" ht="15.75" customHeight="1">
      <c r="A957" s="25">
        <f>IFERROR(__xludf.DUMMYFUNCTION("""COMPUTED_VALUE"""),44648.66666666667)</f>
        <v>44648.66667</v>
      </c>
      <c r="B957" s="22">
        <f>IFERROR(__xludf.DUMMYFUNCTION("""COMPUTED_VALUE"""),4575.52)</f>
        <v>4575.52</v>
      </c>
      <c r="C957" s="25">
        <f>IFERROR(__xludf.DUMMYFUNCTION("""COMPUTED_VALUE"""),44648.63611111111)</f>
        <v>44648.63611</v>
      </c>
      <c r="D957" s="22">
        <f>IFERROR(__xludf.DUMMYFUNCTION("""COMPUTED_VALUE"""),19.63)</f>
        <v>19.63</v>
      </c>
      <c r="F957" s="25">
        <f>IFERROR(__xludf.DUMMYFUNCTION("""COMPUTED_VALUE"""),44648.63611111111)</f>
        <v>44648.63611</v>
      </c>
      <c r="G957" s="22">
        <f>IFERROR(__xludf.DUMMYFUNCTION("""COMPUTED_VALUE"""),24.18)</f>
        <v>24.18</v>
      </c>
      <c r="H957" s="25">
        <f>IFERROR(__xludf.DUMMYFUNCTION("""COMPUTED_VALUE"""),44648.63611111111)</f>
        <v>44648.63611</v>
      </c>
      <c r="I957" s="22">
        <f>IFERROR(__xludf.DUMMYFUNCTION("""COMPUTED_VALUE"""),26.6)</f>
        <v>26.6</v>
      </c>
      <c r="J957" s="25">
        <f>IFERROR(__xludf.DUMMYFUNCTION("""COMPUTED_VALUE"""),44648.63611111111)</f>
        <v>44648.63611</v>
      </c>
      <c r="K957" s="22">
        <f>IFERROR(__xludf.DUMMYFUNCTION("""COMPUTED_VALUE"""),28.01)</f>
        <v>28.01</v>
      </c>
      <c r="N957" s="22" t="str">
        <f t="shared" si="4"/>
        <v/>
      </c>
    </row>
    <row r="958" ht="15.75" customHeight="1">
      <c r="A958" s="25">
        <f>IFERROR(__xludf.DUMMYFUNCTION("""COMPUTED_VALUE"""),44649.66666666667)</f>
        <v>44649.66667</v>
      </c>
      <c r="B958" s="22">
        <f>IFERROR(__xludf.DUMMYFUNCTION("""COMPUTED_VALUE"""),4631.6)</f>
        <v>4631.6</v>
      </c>
      <c r="C958" s="25">
        <f>IFERROR(__xludf.DUMMYFUNCTION("""COMPUTED_VALUE"""),44649.63611111111)</f>
        <v>44649.63611</v>
      </c>
      <c r="D958" s="22">
        <f>IFERROR(__xludf.DUMMYFUNCTION("""COMPUTED_VALUE"""),18.9)</f>
        <v>18.9</v>
      </c>
      <c r="F958" s="25">
        <f>IFERROR(__xludf.DUMMYFUNCTION("""COMPUTED_VALUE"""),44649.63611111111)</f>
        <v>44649.63611</v>
      </c>
      <c r="G958" s="22">
        <f>IFERROR(__xludf.DUMMYFUNCTION("""COMPUTED_VALUE"""),23.19)</f>
        <v>23.19</v>
      </c>
      <c r="H958" s="25">
        <f>IFERROR(__xludf.DUMMYFUNCTION("""COMPUTED_VALUE"""),44649.63611111111)</f>
        <v>44649.63611</v>
      </c>
      <c r="I958" s="22">
        <f>IFERROR(__xludf.DUMMYFUNCTION("""COMPUTED_VALUE"""),25.87)</f>
        <v>25.87</v>
      </c>
      <c r="J958" s="25">
        <f>IFERROR(__xludf.DUMMYFUNCTION("""COMPUTED_VALUE"""),44649.63611111111)</f>
        <v>44649.63611</v>
      </c>
      <c r="K958" s="22">
        <f>IFERROR(__xludf.DUMMYFUNCTION("""COMPUTED_VALUE"""),27.56)</f>
        <v>27.56</v>
      </c>
      <c r="N958" s="22" t="str">
        <f t="shared" si="4"/>
        <v/>
      </c>
    </row>
    <row r="959" ht="15.75" customHeight="1">
      <c r="A959" s="25">
        <f>IFERROR(__xludf.DUMMYFUNCTION("""COMPUTED_VALUE"""),44650.66666666667)</f>
        <v>44650.66667</v>
      </c>
      <c r="B959" s="22">
        <f>IFERROR(__xludf.DUMMYFUNCTION("""COMPUTED_VALUE"""),4602.45)</f>
        <v>4602.45</v>
      </c>
      <c r="C959" s="25">
        <f>IFERROR(__xludf.DUMMYFUNCTION("""COMPUTED_VALUE"""),44650.63611111111)</f>
        <v>44650.63611</v>
      </c>
      <c r="D959" s="22">
        <f>IFERROR(__xludf.DUMMYFUNCTION("""COMPUTED_VALUE"""),19.33)</f>
        <v>19.33</v>
      </c>
      <c r="F959" s="25">
        <f>IFERROR(__xludf.DUMMYFUNCTION("""COMPUTED_VALUE"""),44650.63611111111)</f>
        <v>44650.63611</v>
      </c>
      <c r="G959" s="22">
        <f>IFERROR(__xludf.DUMMYFUNCTION("""COMPUTED_VALUE"""),23.57)</f>
        <v>23.57</v>
      </c>
      <c r="H959" s="25">
        <f>IFERROR(__xludf.DUMMYFUNCTION("""COMPUTED_VALUE"""),44650.63611111111)</f>
        <v>44650.63611</v>
      </c>
      <c r="I959" s="22">
        <f>IFERROR(__xludf.DUMMYFUNCTION("""COMPUTED_VALUE"""),26.18)</f>
        <v>26.18</v>
      </c>
      <c r="J959" s="25">
        <f>IFERROR(__xludf.DUMMYFUNCTION("""COMPUTED_VALUE"""),44650.63611111111)</f>
        <v>44650.63611</v>
      </c>
      <c r="K959" s="22">
        <f>IFERROR(__xludf.DUMMYFUNCTION("""COMPUTED_VALUE"""),27.8)</f>
        <v>27.8</v>
      </c>
      <c r="N959" s="22" t="str">
        <f t="shared" si="4"/>
        <v/>
      </c>
    </row>
    <row r="960" ht="15.75" customHeight="1">
      <c r="A960" s="25">
        <f>IFERROR(__xludf.DUMMYFUNCTION("""COMPUTED_VALUE"""),44651.66666666667)</f>
        <v>44651.66667</v>
      </c>
      <c r="B960" s="22">
        <f>IFERROR(__xludf.DUMMYFUNCTION("""COMPUTED_VALUE"""),4530.41)</f>
        <v>4530.41</v>
      </c>
      <c r="C960" s="25">
        <f>IFERROR(__xludf.DUMMYFUNCTION("""COMPUTED_VALUE"""),44651.63611111111)</f>
        <v>44651.63611</v>
      </c>
      <c r="D960" s="22">
        <f>IFERROR(__xludf.DUMMYFUNCTION("""COMPUTED_VALUE"""),20.56)</f>
        <v>20.56</v>
      </c>
      <c r="F960" s="25">
        <f>IFERROR(__xludf.DUMMYFUNCTION("""COMPUTED_VALUE"""),44651.63611111111)</f>
        <v>44651.63611</v>
      </c>
      <c r="G960" s="22">
        <f>IFERROR(__xludf.DUMMYFUNCTION("""COMPUTED_VALUE"""),24.46)</f>
        <v>24.46</v>
      </c>
      <c r="H960" s="25">
        <f>IFERROR(__xludf.DUMMYFUNCTION("""COMPUTED_VALUE"""),44651.63611111111)</f>
        <v>44651.63611</v>
      </c>
      <c r="I960" s="22">
        <f>IFERROR(__xludf.DUMMYFUNCTION("""COMPUTED_VALUE"""),26.79)</f>
        <v>26.79</v>
      </c>
      <c r="J960" s="25">
        <f>IFERROR(__xludf.DUMMYFUNCTION("""COMPUTED_VALUE"""),44651.63611111111)</f>
        <v>44651.63611</v>
      </c>
      <c r="K960" s="22">
        <f>IFERROR(__xludf.DUMMYFUNCTION("""COMPUTED_VALUE"""),28.27)</f>
        <v>28.27</v>
      </c>
      <c r="N960" s="22" t="str">
        <f t="shared" si="4"/>
        <v/>
      </c>
    </row>
    <row r="961" ht="15.75" customHeight="1">
      <c r="A961" s="25">
        <f>IFERROR(__xludf.DUMMYFUNCTION("""COMPUTED_VALUE"""),44652.66666666667)</f>
        <v>44652.66667</v>
      </c>
      <c r="B961" s="22">
        <f>IFERROR(__xludf.DUMMYFUNCTION("""COMPUTED_VALUE"""),4545.86)</f>
        <v>4545.86</v>
      </c>
      <c r="C961" s="25">
        <f>IFERROR(__xludf.DUMMYFUNCTION("""COMPUTED_VALUE"""),44652.63611111111)</f>
        <v>44652.63611</v>
      </c>
      <c r="D961" s="22">
        <f>IFERROR(__xludf.DUMMYFUNCTION("""COMPUTED_VALUE"""),19.63)</f>
        <v>19.63</v>
      </c>
      <c r="F961" s="25">
        <f>IFERROR(__xludf.DUMMYFUNCTION("""COMPUTED_VALUE"""),44652.63611111111)</f>
        <v>44652.63611</v>
      </c>
      <c r="G961" s="22">
        <f>IFERROR(__xludf.DUMMYFUNCTION("""COMPUTED_VALUE"""),24.21)</f>
        <v>24.21</v>
      </c>
      <c r="H961" s="25">
        <f>IFERROR(__xludf.DUMMYFUNCTION("""COMPUTED_VALUE"""),44652.63611111111)</f>
        <v>44652.63611</v>
      </c>
      <c r="I961" s="22">
        <f>IFERROR(__xludf.DUMMYFUNCTION("""COMPUTED_VALUE"""),26.75)</f>
        <v>26.75</v>
      </c>
      <c r="J961" s="25">
        <f>IFERROR(__xludf.DUMMYFUNCTION("""COMPUTED_VALUE"""),44652.63611111111)</f>
        <v>44652.63611</v>
      </c>
      <c r="K961" s="22">
        <f>IFERROR(__xludf.DUMMYFUNCTION("""COMPUTED_VALUE"""),28.14)</f>
        <v>28.14</v>
      </c>
      <c r="N961" s="22" t="str">
        <f t="shared" si="4"/>
        <v/>
      </c>
    </row>
    <row r="962" ht="15.75" customHeight="1">
      <c r="A962" s="25">
        <f>IFERROR(__xludf.DUMMYFUNCTION("""COMPUTED_VALUE"""),44655.66666666667)</f>
        <v>44655.66667</v>
      </c>
      <c r="B962" s="22">
        <f>IFERROR(__xludf.DUMMYFUNCTION("""COMPUTED_VALUE"""),4582.64)</f>
        <v>4582.64</v>
      </c>
      <c r="C962" s="25">
        <f>IFERROR(__xludf.DUMMYFUNCTION("""COMPUTED_VALUE"""),44655.63611111111)</f>
        <v>44655.63611</v>
      </c>
      <c r="D962" s="22">
        <f>IFERROR(__xludf.DUMMYFUNCTION("""COMPUTED_VALUE"""),18.57)</f>
        <v>18.57</v>
      </c>
      <c r="F962" s="25">
        <f>IFERROR(__xludf.DUMMYFUNCTION("""COMPUTED_VALUE"""),44655.63611111111)</f>
        <v>44655.63611</v>
      </c>
      <c r="G962" s="22">
        <f>IFERROR(__xludf.DUMMYFUNCTION("""COMPUTED_VALUE"""),23.03)</f>
        <v>23.03</v>
      </c>
      <c r="H962" s="25">
        <f>IFERROR(__xludf.DUMMYFUNCTION("""COMPUTED_VALUE"""),44655.63611111111)</f>
        <v>44655.63611</v>
      </c>
      <c r="I962" s="22">
        <f>IFERROR(__xludf.DUMMYFUNCTION("""COMPUTED_VALUE"""),25.79)</f>
        <v>25.79</v>
      </c>
      <c r="J962" s="25">
        <f>IFERROR(__xludf.DUMMYFUNCTION("""COMPUTED_VALUE"""),44655.63611111111)</f>
        <v>44655.63611</v>
      </c>
      <c r="K962" s="22">
        <f>IFERROR(__xludf.DUMMYFUNCTION("""COMPUTED_VALUE"""),27.6)</f>
        <v>27.6</v>
      </c>
      <c r="N962" s="22" t="str">
        <f t="shared" si="4"/>
        <v/>
      </c>
    </row>
    <row r="963" ht="15.75" customHeight="1">
      <c r="A963" s="25">
        <f>IFERROR(__xludf.DUMMYFUNCTION("""COMPUTED_VALUE"""),44656.66666666667)</f>
        <v>44656.66667</v>
      </c>
      <c r="B963" s="22">
        <f>IFERROR(__xludf.DUMMYFUNCTION("""COMPUTED_VALUE"""),4525.12)</f>
        <v>4525.12</v>
      </c>
      <c r="C963" s="25">
        <f>IFERROR(__xludf.DUMMYFUNCTION("""COMPUTED_VALUE"""),44656.63611111111)</f>
        <v>44656.63611</v>
      </c>
      <c r="D963" s="22">
        <f>IFERROR(__xludf.DUMMYFUNCTION("""COMPUTED_VALUE"""),21.03)</f>
        <v>21.03</v>
      </c>
      <c r="F963" s="25">
        <f>IFERROR(__xludf.DUMMYFUNCTION("""COMPUTED_VALUE"""),44656.63611111111)</f>
        <v>44656.63611</v>
      </c>
      <c r="G963" s="22">
        <f>IFERROR(__xludf.DUMMYFUNCTION("""COMPUTED_VALUE"""),24.9)</f>
        <v>24.9</v>
      </c>
      <c r="H963" s="25">
        <f>IFERROR(__xludf.DUMMYFUNCTION("""COMPUTED_VALUE"""),44656.63611111111)</f>
        <v>44656.63611</v>
      </c>
      <c r="I963" s="22">
        <f>IFERROR(__xludf.DUMMYFUNCTION("""COMPUTED_VALUE"""),27.28)</f>
        <v>27.28</v>
      </c>
      <c r="J963" s="25">
        <f>IFERROR(__xludf.DUMMYFUNCTION("""COMPUTED_VALUE"""),44656.63611111111)</f>
        <v>44656.63611</v>
      </c>
      <c r="K963" s="22">
        <f>IFERROR(__xludf.DUMMYFUNCTION("""COMPUTED_VALUE"""),28.51)</f>
        <v>28.51</v>
      </c>
      <c r="N963" s="22" t="str">
        <f t="shared" si="4"/>
        <v/>
      </c>
    </row>
    <row r="964" ht="15.75" customHeight="1">
      <c r="A964" s="25">
        <f>IFERROR(__xludf.DUMMYFUNCTION("""COMPUTED_VALUE"""),44657.66666666667)</f>
        <v>44657.66667</v>
      </c>
      <c r="B964" s="22">
        <f>IFERROR(__xludf.DUMMYFUNCTION("""COMPUTED_VALUE"""),4481.15)</f>
        <v>4481.15</v>
      </c>
      <c r="C964" s="25">
        <f>IFERROR(__xludf.DUMMYFUNCTION("""COMPUTED_VALUE"""),44657.63611111111)</f>
        <v>44657.63611</v>
      </c>
      <c r="D964" s="22">
        <f>IFERROR(__xludf.DUMMYFUNCTION("""COMPUTED_VALUE"""),22.1)</f>
        <v>22.1</v>
      </c>
      <c r="F964" s="25">
        <f>IFERROR(__xludf.DUMMYFUNCTION("""COMPUTED_VALUE"""),44657.63611111111)</f>
        <v>44657.63611</v>
      </c>
      <c r="G964" s="22">
        <f>IFERROR(__xludf.DUMMYFUNCTION("""COMPUTED_VALUE"""),25.8)</f>
        <v>25.8</v>
      </c>
      <c r="H964" s="25">
        <f>IFERROR(__xludf.DUMMYFUNCTION("""COMPUTED_VALUE"""),44657.63611111111)</f>
        <v>44657.63611</v>
      </c>
      <c r="I964" s="22">
        <f>IFERROR(__xludf.DUMMYFUNCTION("""COMPUTED_VALUE"""),27.84)</f>
        <v>27.84</v>
      </c>
      <c r="J964" s="25">
        <f>IFERROR(__xludf.DUMMYFUNCTION("""COMPUTED_VALUE"""),44657.63611111111)</f>
        <v>44657.63611</v>
      </c>
      <c r="K964" s="22">
        <f>IFERROR(__xludf.DUMMYFUNCTION("""COMPUTED_VALUE"""),28.92)</f>
        <v>28.92</v>
      </c>
      <c r="N964" s="22" t="str">
        <f t="shared" si="4"/>
        <v/>
      </c>
    </row>
    <row r="965" ht="15.75" customHeight="1">
      <c r="A965" s="25">
        <f>IFERROR(__xludf.DUMMYFUNCTION("""COMPUTED_VALUE"""),44658.66666666667)</f>
        <v>44658.66667</v>
      </c>
      <c r="B965" s="22">
        <f>IFERROR(__xludf.DUMMYFUNCTION("""COMPUTED_VALUE"""),4500.21)</f>
        <v>4500.21</v>
      </c>
      <c r="C965" s="25">
        <f>IFERROR(__xludf.DUMMYFUNCTION("""COMPUTED_VALUE"""),44658.63611111111)</f>
        <v>44658.63611</v>
      </c>
      <c r="D965" s="22">
        <f>IFERROR(__xludf.DUMMYFUNCTION("""COMPUTED_VALUE"""),21.55)</f>
        <v>21.55</v>
      </c>
      <c r="F965" s="25">
        <f>IFERROR(__xludf.DUMMYFUNCTION("""COMPUTED_VALUE"""),44658.63611111111)</f>
        <v>44658.63611</v>
      </c>
      <c r="G965" s="22">
        <f>IFERROR(__xludf.DUMMYFUNCTION("""COMPUTED_VALUE"""),25.23)</f>
        <v>25.23</v>
      </c>
      <c r="H965" s="25">
        <f>IFERROR(__xludf.DUMMYFUNCTION("""COMPUTED_VALUE"""),44658.63611111111)</f>
        <v>44658.63611</v>
      </c>
      <c r="I965" s="22">
        <f>IFERROR(__xludf.DUMMYFUNCTION("""COMPUTED_VALUE"""),27.52)</f>
        <v>27.52</v>
      </c>
      <c r="J965" s="25">
        <f>IFERROR(__xludf.DUMMYFUNCTION("""COMPUTED_VALUE"""),44658.63611111111)</f>
        <v>44658.63611</v>
      </c>
      <c r="K965" s="22">
        <f>IFERROR(__xludf.DUMMYFUNCTION("""COMPUTED_VALUE"""),28.61)</f>
        <v>28.61</v>
      </c>
      <c r="N965" s="22" t="str">
        <f t="shared" si="4"/>
        <v/>
      </c>
    </row>
    <row r="966" ht="15.75" customHeight="1">
      <c r="A966" s="25">
        <f>IFERROR(__xludf.DUMMYFUNCTION("""COMPUTED_VALUE"""),44659.66666666667)</f>
        <v>44659.66667</v>
      </c>
      <c r="B966" s="22">
        <f>IFERROR(__xludf.DUMMYFUNCTION("""COMPUTED_VALUE"""),4488.28)</f>
        <v>4488.28</v>
      </c>
      <c r="C966" s="25">
        <f>IFERROR(__xludf.DUMMYFUNCTION("""COMPUTED_VALUE"""),44659.63611111111)</f>
        <v>44659.63611</v>
      </c>
      <c r="D966" s="22">
        <f>IFERROR(__xludf.DUMMYFUNCTION("""COMPUTED_VALUE"""),21.16)</f>
        <v>21.16</v>
      </c>
      <c r="F966" s="25">
        <f>IFERROR(__xludf.DUMMYFUNCTION("""COMPUTED_VALUE"""),44659.63611111111)</f>
        <v>44659.63611</v>
      </c>
      <c r="G966" s="22">
        <f>IFERROR(__xludf.DUMMYFUNCTION("""COMPUTED_VALUE"""),25.17)</f>
        <v>25.17</v>
      </c>
      <c r="H966" s="25">
        <f>IFERROR(__xludf.DUMMYFUNCTION("""COMPUTED_VALUE"""),44659.63611111111)</f>
        <v>44659.63611</v>
      </c>
      <c r="I966" s="22">
        <f>IFERROR(__xludf.DUMMYFUNCTION("""COMPUTED_VALUE"""),27.52)</f>
        <v>27.52</v>
      </c>
      <c r="J966" s="25">
        <f>IFERROR(__xludf.DUMMYFUNCTION("""COMPUTED_VALUE"""),44659.63611111111)</f>
        <v>44659.63611</v>
      </c>
      <c r="K966" s="22">
        <f>IFERROR(__xludf.DUMMYFUNCTION("""COMPUTED_VALUE"""),28.63)</f>
        <v>28.63</v>
      </c>
      <c r="N966" s="22" t="str">
        <f t="shared" si="4"/>
        <v/>
      </c>
    </row>
    <row r="967" ht="15.75" customHeight="1">
      <c r="A967" s="25">
        <f>IFERROR(__xludf.DUMMYFUNCTION("""COMPUTED_VALUE"""),44662.66666666667)</f>
        <v>44662.66667</v>
      </c>
      <c r="B967" s="22">
        <f>IFERROR(__xludf.DUMMYFUNCTION("""COMPUTED_VALUE"""),4412.53)</f>
        <v>4412.53</v>
      </c>
      <c r="C967" s="25">
        <f>IFERROR(__xludf.DUMMYFUNCTION("""COMPUTED_VALUE"""),44662.63611111111)</f>
        <v>44662.63611</v>
      </c>
      <c r="D967" s="22">
        <f>IFERROR(__xludf.DUMMYFUNCTION("""COMPUTED_VALUE"""),24.37)</f>
        <v>24.37</v>
      </c>
      <c r="F967" s="25">
        <f>IFERROR(__xludf.DUMMYFUNCTION("""COMPUTED_VALUE"""),44662.63611111111)</f>
        <v>44662.63611</v>
      </c>
      <c r="G967" s="22">
        <f>IFERROR(__xludf.DUMMYFUNCTION("""COMPUTED_VALUE"""),27.0)</f>
        <v>27</v>
      </c>
      <c r="H967" s="25">
        <f>IFERROR(__xludf.DUMMYFUNCTION("""COMPUTED_VALUE"""),44662.63611111111)</f>
        <v>44662.63611</v>
      </c>
      <c r="I967" s="22">
        <f>IFERROR(__xludf.DUMMYFUNCTION("""COMPUTED_VALUE"""),28.72)</f>
        <v>28.72</v>
      </c>
      <c r="J967" s="25">
        <f>IFERROR(__xludf.DUMMYFUNCTION("""COMPUTED_VALUE"""),44662.63611111111)</f>
        <v>44662.63611</v>
      </c>
      <c r="K967" s="22">
        <f>IFERROR(__xludf.DUMMYFUNCTION("""COMPUTED_VALUE"""),29.37)</f>
        <v>29.37</v>
      </c>
      <c r="N967" s="22" t="str">
        <f t="shared" si="4"/>
        <v/>
      </c>
    </row>
    <row r="968" ht="15.75" customHeight="1">
      <c r="A968" s="25">
        <f>IFERROR(__xludf.DUMMYFUNCTION("""COMPUTED_VALUE"""),44663.66666666667)</f>
        <v>44663.66667</v>
      </c>
      <c r="B968" s="22">
        <f>IFERROR(__xludf.DUMMYFUNCTION("""COMPUTED_VALUE"""),4397.45)</f>
        <v>4397.45</v>
      </c>
      <c r="C968" s="25">
        <f>IFERROR(__xludf.DUMMYFUNCTION("""COMPUTED_VALUE"""),44663.63611111111)</f>
        <v>44663.63611</v>
      </c>
      <c r="D968" s="22">
        <f>IFERROR(__xludf.DUMMYFUNCTION("""COMPUTED_VALUE"""),24.26)</f>
        <v>24.26</v>
      </c>
      <c r="F968" s="25">
        <f>IFERROR(__xludf.DUMMYFUNCTION("""COMPUTED_VALUE"""),44663.63611111111)</f>
        <v>44663.63611</v>
      </c>
      <c r="G968" s="22">
        <f>IFERROR(__xludf.DUMMYFUNCTION("""COMPUTED_VALUE"""),27.17)</f>
        <v>27.17</v>
      </c>
      <c r="H968" s="25">
        <f>IFERROR(__xludf.DUMMYFUNCTION("""COMPUTED_VALUE"""),44663.63611111111)</f>
        <v>44663.63611</v>
      </c>
      <c r="I968" s="22">
        <f>IFERROR(__xludf.DUMMYFUNCTION("""COMPUTED_VALUE"""),28.88)</f>
        <v>28.88</v>
      </c>
      <c r="J968" s="25">
        <f>IFERROR(__xludf.DUMMYFUNCTION("""COMPUTED_VALUE"""),44663.63611111111)</f>
        <v>44663.63611</v>
      </c>
      <c r="K968" s="22">
        <f>IFERROR(__xludf.DUMMYFUNCTION("""COMPUTED_VALUE"""),29.55)</f>
        <v>29.55</v>
      </c>
      <c r="N968" s="22" t="str">
        <f t="shared" si="4"/>
        <v/>
      </c>
    </row>
    <row r="969" ht="15.75" customHeight="1">
      <c r="A969" s="25">
        <f>IFERROR(__xludf.DUMMYFUNCTION("""COMPUTED_VALUE"""),44664.66666666667)</f>
        <v>44664.66667</v>
      </c>
      <c r="B969" s="22">
        <f>IFERROR(__xludf.DUMMYFUNCTION("""COMPUTED_VALUE"""),4446.59)</f>
        <v>4446.59</v>
      </c>
      <c r="C969" s="25">
        <f>IFERROR(__xludf.DUMMYFUNCTION("""COMPUTED_VALUE"""),44664.63611111111)</f>
        <v>44664.63611</v>
      </c>
      <c r="D969" s="22">
        <f>IFERROR(__xludf.DUMMYFUNCTION("""COMPUTED_VALUE"""),21.82)</f>
        <v>21.82</v>
      </c>
      <c r="F969" s="25">
        <f>IFERROR(__xludf.DUMMYFUNCTION("""COMPUTED_VALUE"""),44664.63611111111)</f>
        <v>44664.63611</v>
      </c>
      <c r="G969" s="22">
        <f>IFERROR(__xludf.DUMMYFUNCTION("""COMPUTED_VALUE"""),25.54)</f>
        <v>25.54</v>
      </c>
      <c r="H969" s="25">
        <f>IFERROR(__xludf.DUMMYFUNCTION("""COMPUTED_VALUE"""),44664.63611111111)</f>
        <v>44664.63611</v>
      </c>
      <c r="I969" s="22">
        <f>IFERROR(__xludf.DUMMYFUNCTION("""COMPUTED_VALUE"""),27.87)</f>
        <v>27.87</v>
      </c>
      <c r="J969" s="25">
        <f>IFERROR(__xludf.DUMMYFUNCTION("""COMPUTED_VALUE"""),44664.63611111111)</f>
        <v>44664.63611</v>
      </c>
      <c r="K969" s="22">
        <f>IFERROR(__xludf.DUMMYFUNCTION("""COMPUTED_VALUE"""),28.8)</f>
        <v>28.8</v>
      </c>
    </row>
    <row r="970" ht="15.75" customHeight="1">
      <c r="A970" s="25">
        <f>IFERROR(__xludf.DUMMYFUNCTION("""COMPUTED_VALUE"""),44665.66666666667)</f>
        <v>44665.66667</v>
      </c>
      <c r="B970" s="22">
        <f>IFERROR(__xludf.DUMMYFUNCTION("""COMPUTED_VALUE"""),4392.59)</f>
        <v>4392.59</v>
      </c>
      <c r="C970" s="25">
        <f>IFERROR(__xludf.DUMMYFUNCTION("""COMPUTED_VALUE"""),44665.63611111111)</f>
        <v>44665.63611</v>
      </c>
      <c r="D970" s="22">
        <f>IFERROR(__xludf.DUMMYFUNCTION("""COMPUTED_VALUE"""),22.7)</f>
        <v>22.7</v>
      </c>
      <c r="F970" s="25">
        <f>IFERROR(__xludf.DUMMYFUNCTION("""COMPUTED_VALUE"""),44665.63611111111)</f>
        <v>44665.63611</v>
      </c>
      <c r="G970" s="22">
        <f>IFERROR(__xludf.DUMMYFUNCTION("""COMPUTED_VALUE"""),26.03)</f>
        <v>26.03</v>
      </c>
      <c r="H970" s="25">
        <f>IFERROR(__xludf.DUMMYFUNCTION("""COMPUTED_VALUE"""),44665.63611111111)</f>
        <v>44665.63611</v>
      </c>
      <c r="I970" s="22">
        <f>IFERROR(__xludf.DUMMYFUNCTION("""COMPUTED_VALUE"""),28.26)</f>
        <v>28.26</v>
      </c>
      <c r="J970" s="25">
        <f>IFERROR(__xludf.DUMMYFUNCTION("""COMPUTED_VALUE"""),44665.63611111111)</f>
        <v>44665.63611</v>
      </c>
      <c r="K970" s="22">
        <f>IFERROR(__xludf.DUMMYFUNCTION("""COMPUTED_VALUE"""),29.27)</f>
        <v>29.27</v>
      </c>
    </row>
    <row r="971" ht="15.75" customHeight="1">
      <c r="A971" s="25">
        <f>IFERROR(__xludf.DUMMYFUNCTION("""COMPUTED_VALUE"""),44669.66666666667)</f>
        <v>44669.66667</v>
      </c>
      <c r="B971" s="22">
        <f>IFERROR(__xludf.DUMMYFUNCTION("""COMPUTED_VALUE"""),4391.69)</f>
        <v>4391.69</v>
      </c>
      <c r="C971" s="25">
        <f>IFERROR(__xludf.DUMMYFUNCTION("""COMPUTED_VALUE"""),44669.63611111111)</f>
        <v>44669.63611</v>
      </c>
      <c r="D971" s="22">
        <f>IFERROR(__xludf.DUMMYFUNCTION("""COMPUTED_VALUE"""),22.17)</f>
        <v>22.17</v>
      </c>
      <c r="F971" s="25">
        <f>IFERROR(__xludf.DUMMYFUNCTION("""COMPUTED_VALUE"""),44669.63611111111)</f>
        <v>44669.63611</v>
      </c>
      <c r="G971" s="22">
        <f>IFERROR(__xludf.DUMMYFUNCTION("""COMPUTED_VALUE"""),25.75)</f>
        <v>25.75</v>
      </c>
      <c r="H971" s="25">
        <f>IFERROR(__xludf.DUMMYFUNCTION("""COMPUTED_VALUE"""),44669.63611111111)</f>
        <v>44669.63611</v>
      </c>
      <c r="I971" s="22">
        <f>IFERROR(__xludf.DUMMYFUNCTION("""COMPUTED_VALUE"""),27.87)</f>
        <v>27.87</v>
      </c>
      <c r="J971" s="25">
        <f>IFERROR(__xludf.DUMMYFUNCTION("""COMPUTED_VALUE"""),44669.63611111111)</f>
        <v>44669.63611</v>
      </c>
      <c r="K971" s="22">
        <f>IFERROR(__xludf.DUMMYFUNCTION("""COMPUTED_VALUE"""),29.09)</f>
        <v>29.09</v>
      </c>
    </row>
    <row r="972" ht="15.75" customHeight="1">
      <c r="A972" s="25">
        <f>IFERROR(__xludf.DUMMYFUNCTION("""COMPUTED_VALUE"""),44670.66666666667)</f>
        <v>44670.66667</v>
      </c>
      <c r="B972" s="22">
        <f>IFERROR(__xludf.DUMMYFUNCTION("""COMPUTED_VALUE"""),4462.21)</f>
        <v>4462.21</v>
      </c>
      <c r="C972" s="25">
        <f>IFERROR(__xludf.DUMMYFUNCTION("""COMPUTED_VALUE"""),44670.63611111111)</f>
        <v>44670.63611</v>
      </c>
      <c r="D972" s="22">
        <f>IFERROR(__xludf.DUMMYFUNCTION("""COMPUTED_VALUE"""),21.37)</f>
        <v>21.37</v>
      </c>
      <c r="F972" s="25">
        <f>IFERROR(__xludf.DUMMYFUNCTION("""COMPUTED_VALUE"""),44670.63611111111)</f>
        <v>44670.63611</v>
      </c>
      <c r="G972" s="22">
        <f>IFERROR(__xludf.DUMMYFUNCTION("""COMPUTED_VALUE"""),25.06)</f>
        <v>25.06</v>
      </c>
      <c r="H972" s="25">
        <f>IFERROR(__xludf.DUMMYFUNCTION("""COMPUTED_VALUE"""),44670.63611111111)</f>
        <v>44670.63611</v>
      </c>
      <c r="I972" s="22">
        <f>IFERROR(__xludf.DUMMYFUNCTION("""COMPUTED_VALUE"""),27.34)</f>
        <v>27.34</v>
      </c>
      <c r="J972" s="25">
        <f>IFERROR(__xludf.DUMMYFUNCTION("""COMPUTED_VALUE"""),44670.63611111111)</f>
        <v>44670.63611</v>
      </c>
      <c r="K972" s="22">
        <f>IFERROR(__xludf.DUMMYFUNCTION("""COMPUTED_VALUE"""),28.68)</f>
        <v>28.68</v>
      </c>
    </row>
    <row r="973" ht="15.75" customHeight="1">
      <c r="A973" s="25">
        <f>IFERROR(__xludf.DUMMYFUNCTION("""COMPUTED_VALUE"""),44671.66666666667)</f>
        <v>44671.66667</v>
      </c>
      <c r="B973" s="22">
        <f>IFERROR(__xludf.DUMMYFUNCTION("""COMPUTED_VALUE"""),4459.45)</f>
        <v>4459.45</v>
      </c>
      <c r="C973" s="25">
        <f>IFERROR(__xludf.DUMMYFUNCTION("""COMPUTED_VALUE"""),44671.63611111111)</f>
        <v>44671.63611</v>
      </c>
      <c r="D973" s="22">
        <f>IFERROR(__xludf.DUMMYFUNCTION("""COMPUTED_VALUE"""),20.32)</f>
        <v>20.32</v>
      </c>
      <c r="F973" s="25">
        <f>IFERROR(__xludf.DUMMYFUNCTION("""COMPUTED_VALUE"""),44671.63611111111)</f>
        <v>44671.63611</v>
      </c>
      <c r="G973" s="22">
        <f>IFERROR(__xludf.DUMMYFUNCTION("""COMPUTED_VALUE"""),24.15)</f>
        <v>24.15</v>
      </c>
      <c r="H973" s="25">
        <f>IFERROR(__xludf.DUMMYFUNCTION("""COMPUTED_VALUE"""),44671.63611111111)</f>
        <v>44671.63611</v>
      </c>
      <c r="I973" s="22">
        <f>IFERROR(__xludf.DUMMYFUNCTION("""COMPUTED_VALUE"""),26.83)</f>
        <v>26.83</v>
      </c>
      <c r="J973" s="25">
        <f>IFERROR(__xludf.DUMMYFUNCTION("""COMPUTED_VALUE"""),44671.63611111111)</f>
        <v>44671.63611</v>
      </c>
      <c r="K973" s="22">
        <f>IFERROR(__xludf.DUMMYFUNCTION("""COMPUTED_VALUE"""),28.23)</f>
        <v>28.23</v>
      </c>
    </row>
    <row r="974" ht="15.75" customHeight="1">
      <c r="A974" s="25">
        <f>IFERROR(__xludf.DUMMYFUNCTION("""COMPUTED_VALUE"""),44672.66666666667)</f>
        <v>44672.66667</v>
      </c>
      <c r="B974" s="22">
        <f>IFERROR(__xludf.DUMMYFUNCTION("""COMPUTED_VALUE"""),4393.66)</f>
        <v>4393.66</v>
      </c>
      <c r="C974" s="25">
        <f>IFERROR(__xludf.DUMMYFUNCTION("""COMPUTED_VALUE"""),44672.63611111111)</f>
        <v>44672.63611</v>
      </c>
      <c r="D974" s="22">
        <f>IFERROR(__xludf.DUMMYFUNCTION("""COMPUTED_VALUE"""),22.68)</f>
        <v>22.68</v>
      </c>
      <c r="F974" s="25">
        <f>IFERROR(__xludf.DUMMYFUNCTION("""COMPUTED_VALUE"""),44672.63611111111)</f>
        <v>44672.63611</v>
      </c>
      <c r="G974" s="22">
        <f>IFERROR(__xludf.DUMMYFUNCTION("""COMPUTED_VALUE"""),26.11)</f>
        <v>26.11</v>
      </c>
      <c r="H974" s="25">
        <f>IFERROR(__xludf.DUMMYFUNCTION("""COMPUTED_VALUE"""),44672.63611111111)</f>
        <v>44672.63611</v>
      </c>
      <c r="I974" s="22">
        <f>IFERROR(__xludf.DUMMYFUNCTION("""COMPUTED_VALUE"""),28.21)</f>
        <v>28.21</v>
      </c>
      <c r="J974" s="25">
        <f>IFERROR(__xludf.DUMMYFUNCTION("""COMPUTED_VALUE"""),44672.63611111111)</f>
        <v>44672.63611</v>
      </c>
      <c r="K974" s="22">
        <f>IFERROR(__xludf.DUMMYFUNCTION("""COMPUTED_VALUE"""),29.22)</f>
        <v>29.22</v>
      </c>
    </row>
    <row r="975" ht="15.75" customHeight="1">
      <c r="A975" s="25">
        <f>IFERROR(__xludf.DUMMYFUNCTION("""COMPUTED_VALUE"""),44673.66666666667)</f>
        <v>44673.66667</v>
      </c>
      <c r="B975" s="22">
        <f>IFERROR(__xludf.DUMMYFUNCTION("""COMPUTED_VALUE"""),4271.78)</f>
        <v>4271.78</v>
      </c>
      <c r="C975" s="25">
        <f>IFERROR(__xludf.DUMMYFUNCTION("""COMPUTED_VALUE"""),44673.63611111111)</f>
        <v>44673.63611</v>
      </c>
      <c r="D975" s="22">
        <f>IFERROR(__xludf.DUMMYFUNCTION("""COMPUTED_VALUE"""),28.21)</f>
        <v>28.21</v>
      </c>
      <c r="F975" s="25">
        <f>IFERROR(__xludf.DUMMYFUNCTION("""COMPUTED_VALUE"""),44673.63611111111)</f>
        <v>44673.63611</v>
      </c>
      <c r="G975" s="22">
        <f>IFERROR(__xludf.DUMMYFUNCTION("""COMPUTED_VALUE"""),29.87)</f>
        <v>29.87</v>
      </c>
      <c r="H975" s="25">
        <f>IFERROR(__xludf.DUMMYFUNCTION("""COMPUTED_VALUE"""),44673.63611111111)</f>
        <v>44673.63611</v>
      </c>
      <c r="I975" s="22">
        <f>IFERROR(__xludf.DUMMYFUNCTION("""COMPUTED_VALUE"""),30.77)</f>
        <v>30.77</v>
      </c>
      <c r="J975" s="25">
        <f>IFERROR(__xludf.DUMMYFUNCTION("""COMPUTED_VALUE"""),44673.63611111111)</f>
        <v>44673.63611</v>
      </c>
      <c r="K975" s="22">
        <f>IFERROR(__xludf.DUMMYFUNCTION("""COMPUTED_VALUE"""),30.8)</f>
        <v>30.8</v>
      </c>
    </row>
    <row r="976" ht="15.75" customHeight="1">
      <c r="A976" s="25">
        <f>IFERROR(__xludf.DUMMYFUNCTION("""COMPUTED_VALUE"""),44676.66666666667)</f>
        <v>44676.66667</v>
      </c>
      <c r="B976" s="22">
        <f>IFERROR(__xludf.DUMMYFUNCTION("""COMPUTED_VALUE"""),4296.12)</f>
        <v>4296.12</v>
      </c>
      <c r="C976" s="25">
        <f>IFERROR(__xludf.DUMMYFUNCTION("""COMPUTED_VALUE"""),44676.63611111111)</f>
        <v>44676.63611</v>
      </c>
      <c r="D976" s="22">
        <f>IFERROR(__xludf.DUMMYFUNCTION("""COMPUTED_VALUE"""),27.02)</f>
        <v>27.02</v>
      </c>
      <c r="F976" s="25">
        <f>IFERROR(__xludf.DUMMYFUNCTION("""COMPUTED_VALUE"""),44676.63611111111)</f>
        <v>44676.63611</v>
      </c>
      <c r="G976" s="22">
        <f>IFERROR(__xludf.DUMMYFUNCTION("""COMPUTED_VALUE"""),29.07)</f>
        <v>29.07</v>
      </c>
      <c r="H976" s="25">
        <f>IFERROR(__xludf.DUMMYFUNCTION("""COMPUTED_VALUE"""),44676.63611111111)</f>
        <v>44676.63611</v>
      </c>
      <c r="I976" s="22">
        <f>IFERROR(__xludf.DUMMYFUNCTION("""COMPUTED_VALUE"""),30.12)</f>
        <v>30.12</v>
      </c>
      <c r="J976" s="25">
        <f>IFERROR(__xludf.DUMMYFUNCTION("""COMPUTED_VALUE"""),44676.63611111111)</f>
        <v>44676.63611</v>
      </c>
      <c r="K976" s="22">
        <f>IFERROR(__xludf.DUMMYFUNCTION("""COMPUTED_VALUE"""),30.29)</f>
        <v>30.29</v>
      </c>
    </row>
    <row r="977" ht="15.75" customHeight="1">
      <c r="A977" s="25">
        <f>IFERROR(__xludf.DUMMYFUNCTION("""COMPUTED_VALUE"""),44677.66666666667)</f>
        <v>44677.66667</v>
      </c>
      <c r="B977" s="22">
        <f>IFERROR(__xludf.DUMMYFUNCTION("""COMPUTED_VALUE"""),4175.2)</f>
        <v>4175.2</v>
      </c>
      <c r="C977" s="25">
        <f>IFERROR(__xludf.DUMMYFUNCTION("""COMPUTED_VALUE"""),44677.63611111111)</f>
        <v>44677.63611</v>
      </c>
      <c r="D977" s="22">
        <f>IFERROR(__xludf.DUMMYFUNCTION("""COMPUTED_VALUE"""),33.52)</f>
        <v>33.52</v>
      </c>
      <c r="F977" s="25">
        <f>IFERROR(__xludf.DUMMYFUNCTION("""COMPUTED_VALUE"""),44677.63611111111)</f>
        <v>44677.63611</v>
      </c>
      <c r="G977" s="22">
        <f>IFERROR(__xludf.DUMMYFUNCTION("""COMPUTED_VALUE"""),33.14)</f>
        <v>33.14</v>
      </c>
      <c r="H977" s="25">
        <f>IFERROR(__xludf.DUMMYFUNCTION("""COMPUTED_VALUE"""),44677.63611111111)</f>
        <v>44677.63611</v>
      </c>
      <c r="I977" s="22">
        <f>IFERROR(__xludf.DUMMYFUNCTION("""COMPUTED_VALUE"""),32.87)</f>
        <v>32.87</v>
      </c>
      <c r="J977" s="25">
        <f>IFERROR(__xludf.DUMMYFUNCTION("""COMPUTED_VALUE"""),44677.63611111111)</f>
        <v>44677.63611</v>
      </c>
      <c r="K977" s="22">
        <f>IFERROR(__xludf.DUMMYFUNCTION("""COMPUTED_VALUE"""),32.03)</f>
        <v>32.03</v>
      </c>
    </row>
    <row r="978" ht="15.75" customHeight="1">
      <c r="A978" s="25">
        <f>IFERROR(__xludf.DUMMYFUNCTION("""COMPUTED_VALUE"""),44678.66666666667)</f>
        <v>44678.66667</v>
      </c>
      <c r="B978" s="22">
        <f>IFERROR(__xludf.DUMMYFUNCTION("""COMPUTED_VALUE"""),4183.96)</f>
        <v>4183.96</v>
      </c>
      <c r="C978" s="25">
        <f>IFERROR(__xludf.DUMMYFUNCTION("""COMPUTED_VALUE"""),44678.63611111111)</f>
        <v>44678.63611</v>
      </c>
      <c r="D978" s="22">
        <f>IFERROR(__xludf.DUMMYFUNCTION("""COMPUTED_VALUE"""),31.6)</f>
        <v>31.6</v>
      </c>
      <c r="F978" s="25">
        <f>IFERROR(__xludf.DUMMYFUNCTION("""COMPUTED_VALUE"""),44678.63611111111)</f>
        <v>44678.63611</v>
      </c>
      <c r="G978" s="22">
        <f>IFERROR(__xludf.DUMMYFUNCTION("""COMPUTED_VALUE"""),32.2)</f>
        <v>32.2</v>
      </c>
      <c r="H978" s="25">
        <f>IFERROR(__xludf.DUMMYFUNCTION("""COMPUTED_VALUE"""),44678.63611111111)</f>
        <v>44678.63611</v>
      </c>
      <c r="I978" s="22">
        <f>IFERROR(__xludf.DUMMYFUNCTION("""COMPUTED_VALUE"""),32.32)</f>
        <v>32.32</v>
      </c>
      <c r="J978" s="25">
        <f>IFERROR(__xludf.DUMMYFUNCTION("""COMPUTED_VALUE"""),44678.63611111111)</f>
        <v>44678.63611</v>
      </c>
      <c r="K978" s="22">
        <f>IFERROR(__xludf.DUMMYFUNCTION("""COMPUTED_VALUE"""),31.65)</f>
        <v>31.65</v>
      </c>
    </row>
    <row r="979" ht="15.75" customHeight="1">
      <c r="A979" s="25">
        <f>IFERROR(__xludf.DUMMYFUNCTION("""COMPUTED_VALUE"""),44679.66666666667)</f>
        <v>44679.66667</v>
      </c>
      <c r="B979" s="22">
        <f>IFERROR(__xludf.DUMMYFUNCTION("""COMPUTED_VALUE"""),4287.5)</f>
        <v>4287.5</v>
      </c>
      <c r="C979" s="25">
        <f>IFERROR(__xludf.DUMMYFUNCTION("""COMPUTED_VALUE"""),44679.63611111111)</f>
        <v>44679.63611</v>
      </c>
      <c r="D979" s="22">
        <f>IFERROR(__xludf.DUMMYFUNCTION("""COMPUTED_VALUE"""),29.99)</f>
        <v>29.99</v>
      </c>
      <c r="F979" s="25">
        <f>IFERROR(__xludf.DUMMYFUNCTION("""COMPUTED_VALUE"""),44679.63611111111)</f>
        <v>44679.63611</v>
      </c>
      <c r="G979" s="22">
        <f>IFERROR(__xludf.DUMMYFUNCTION("""COMPUTED_VALUE"""),31.15)</f>
        <v>31.15</v>
      </c>
      <c r="H979" s="25">
        <f>IFERROR(__xludf.DUMMYFUNCTION("""COMPUTED_VALUE"""),44679.63611111111)</f>
        <v>44679.63611</v>
      </c>
      <c r="I979" s="22">
        <f>IFERROR(__xludf.DUMMYFUNCTION("""COMPUTED_VALUE"""),31.65)</f>
        <v>31.65</v>
      </c>
      <c r="J979" s="25">
        <f>IFERROR(__xludf.DUMMYFUNCTION("""COMPUTED_VALUE"""),44679.63611111111)</f>
        <v>44679.63611</v>
      </c>
      <c r="K979" s="22">
        <f>IFERROR(__xludf.DUMMYFUNCTION("""COMPUTED_VALUE"""),31.11)</f>
        <v>31.11</v>
      </c>
    </row>
    <row r="980" ht="15.75" customHeight="1">
      <c r="A980" s="25">
        <f>IFERROR(__xludf.DUMMYFUNCTION("""COMPUTED_VALUE"""),44680.66666666667)</f>
        <v>44680.66667</v>
      </c>
      <c r="B980" s="22">
        <f>IFERROR(__xludf.DUMMYFUNCTION("""COMPUTED_VALUE"""),4131.93)</f>
        <v>4131.93</v>
      </c>
      <c r="C980" s="25">
        <f>IFERROR(__xludf.DUMMYFUNCTION("""COMPUTED_VALUE"""),44680.63611111111)</f>
        <v>44680.63611</v>
      </c>
      <c r="D980" s="22">
        <f>IFERROR(__xludf.DUMMYFUNCTION("""COMPUTED_VALUE"""),33.4)</f>
        <v>33.4</v>
      </c>
      <c r="F980" s="25">
        <f>IFERROR(__xludf.DUMMYFUNCTION("""COMPUTED_VALUE"""),44680.63611111111)</f>
        <v>44680.63611</v>
      </c>
      <c r="G980" s="22">
        <f>IFERROR(__xludf.DUMMYFUNCTION("""COMPUTED_VALUE"""),33.18)</f>
        <v>33.18</v>
      </c>
      <c r="H980" s="25">
        <f>IFERROR(__xludf.DUMMYFUNCTION("""COMPUTED_VALUE"""),44680.63611111111)</f>
        <v>44680.63611</v>
      </c>
      <c r="I980" s="22">
        <f>IFERROR(__xludf.DUMMYFUNCTION("""COMPUTED_VALUE"""),33.02)</f>
        <v>33.02</v>
      </c>
      <c r="J980" s="25">
        <f>IFERROR(__xludf.DUMMYFUNCTION("""COMPUTED_VALUE"""),44680.63611111111)</f>
        <v>44680.63611</v>
      </c>
      <c r="K980" s="22">
        <f>IFERROR(__xludf.DUMMYFUNCTION("""COMPUTED_VALUE"""),31.72)</f>
        <v>31.72</v>
      </c>
    </row>
    <row r="981" ht="15.75" customHeight="1">
      <c r="A981" s="25">
        <f>IFERROR(__xludf.DUMMYFUNCTION("""COMPUTED_VALUE"""),44683.66666666667)</f>
        <v>44683.66667</v>
      </c>
      <c r="B981" s="22">
        <f>IFERROR(__xludf.DUMMYFUNCTION("""COMPUTED_VALUE"""),4155.38)</f>
        <v>4155.38</v>
      </c>
      <c r="C981" s="25">
        <f>IFERROR(__xludf.DUMMYFUNCTION("""COMPUTED_VALUE"""),44683.63611111111)</f>
        <v>44683.63611</v>
      </c>
      <c r="D981" s="22">
        <f>IFERROR(__xludf.DUMMYFUNCTION("""COMPUTED_VALUE"""),32.34)</f>
        <v>32.34</v>
      </c>
      <c r="F981" s="25">
        <f>IFERROR(__xludf.DUMMYFUNCTION("""COMPUTED_VALUE"""),44683.63611111111)</f>
        <v>44683.63611</v>
      </c>
      <c r="G981" s="22">
        <f>IFERROR(__xludf.DUMMYFUNCTION("""COMPUTED_VALUE"""),33.01)</f>
        <v>33.01</v>
      </c>
      <c r="H981" s="25">
        <f>IFERROR(__xludf.DUMMYFUNCTION("""COMPUTED_VALUE"""),44683.63611111111)</f>
        <v>44683.63611</v>
      </c>
      <c r="I981" s="22">
        <f>IFERROR(__xludf.DUMMYFUNCTION("""COMPUTED_VALUE"""),33.03)</f>
        <v>33.03</v>
      </c>
      <c r="J981" s="25">
        <f>IFERROR(__xludf.DUMMYFUNCTION("""COMPUTED_VALUE"""),44683.63611111111)</f>
        <v>44683.63611</v>
      </c>
      <c r="K981" s="22">
        <f>IFERROR(__xludf.DUMMYFUNCTION("""COMPUTED_VALUE"""),31.71)</f>
        <v>31.71</v>
      </c>
    </row>
    <row r="982" ht="15.75" customHeight="1">
      <c r="A982" s="25">
        <f>IFERROR(__xludf.DUMMYFUNCTION("""COMPUTED_VALUE"""),44684.66666666667)</f>
        <v>44684.66667</v>
      </c>
      <c r="B982" s="22">
        <f>IFERROR(__xludf.DUMMYFUNCTION("""COMPUTED_VALUE"""),4175.48)</f>
        <v>4175.48</v>
      </c>
      <c r="C982" s="25">
        <f>IFERROR(__xludf.DUMMYFUNCTION("""COMPUTED_VALUE"""),44684.63611111111)</f>
        <v>44684.63611</v>
      </c>
      <c r="D982" s="22">
        <f>IFERROR(__xludf.DUMMYFUNCTION("""COMPUTED_VALUE"""),29.25)</f>
        <v>29.25</v>
      </c>
      <c r="F982" s="25">
        <f>IFERROR(__xludf.DUMMYFUNCTION("""COMPUTED_VALUE"""),44684.63611111111)</f>
        <v>44684.63611</v>
      </c>
      <c r="G982" s="22">
        <f>IFERROR(__xludf.DUMMYFUNCTION("""COMPUTED_VALUE"""),30.81)</f>
        <v>30.81</v>
      </c>
      <c r="H982" s="25">
        <f>IFERROR(__xludf.DUMMYFUNCTION("""COMPUTED_VALUE"""),44684.63611111111)</f>
        <v>44684.63611</v>
      </c>
      <c r="I982" s="22">
        <f>IFERROR(__xludf.DUMMYFUNCTION("""COMPUTED_VALUE"""),31.31)</f>
        <v>31.31</v>
      </c>
      <c r="J982" s="25">
        <f>IFERROR(__xludf.DUMMYFUNCTION("""COMPUTED_VALUE"""),44684.63611111111)</f>
        <v>44684.63611</v>
      </c>
      <c r="K982" s="22">
        <f>IFERROR(__xludf.DUMMYFUNCTION("""COMPUTED_VALUE"""),30.75)</f>
        <v>30.75</v>
      </c>
    </row>
    <row r="983" ht="15.75" customHeight="1">
      <c r="A983" s="25">
        <f>IFERROR(__xludf.DUMMYFUNCTION("""COMPUTED_VALUE"""),44685.66666666667)</f>
        <v>44685.66667</v>
      </c>
      <c r="B983" s="22">
        <f>IFERROR(__xludf.DUMMYFUNCTION("""COMPUTED_VALUE"""),4300.17)</f>
        <v>4300.17</v>
      </c>
      <c r="C983" s="25">
        <f>IFERROR(__xludf.DUMMYFUNCTION("""COMPUTED_VALUE"""),44685.63611111111)</f>
        <v>44685.63611</v>
      </c>
      <c r="D983" s="22">
        <f>IFERROR(__xludf.DUMMYFUNCTION("""COMPUTED_VALUE"""),25.42)</f>
        <v>25.42</v>
      </c>
      <c r="F983" s="25">
        <f>IFERROR(__xludf.DUMMYFUNCTION("""COMPUTED_VALUE"""),44685.63611111111)</f>
        <v>44685.63611</v>
      </c>
      <c r="G983" s="22">
        <f>IFERROR(__xludf.DUMMYFUNCTION("""COMPUTED_VALUE"""),28.09)</f>
        <v>28.09</v>
      </c>
      <c r="H983" s="25">
        <f>IFERROR(__xludf.DUMMYFUNCTION("""COMPUTED_VALUE"""),44685.63611111111)</f>
        <v>44685.63611</v>
      </c>
      <c r="I983" s="22">
        <f>IFERROR(__xludf.DUMMYFUNCTION("""COMPUTED_VALUE"""),29.23)</f>
        <v>29.23</v>
      </c>
      <c r="J983" s="25">
        <f>IFERROR(__xludf.DUMMYFUNCTION("""COMPUTED_VALUE"""),44685.63611111111)</f>
        <v>44685.63611</v>
      </c>
      <c r="K983" s="22">
        <f>IFERROR(__xludf.DUMMYFUNCTION("""COMPUTED_VALUE"""),29.52)</f>
        <v>29.52</v>
      </c>
    </row>
    <row r="984" ht="15.75" customHeight="1">
      <c r="A984" s="25">
        <f>IFERROR(__xludf.DUMMYFUNCTION("""COMPUTED_VALUE"""),44686.66666666667)</f>
        <v>44686.66667</v>
      </c>
      <c r="B984" s="22">
        <f>IFERROR(__xludf.DUMMYFUNCTION("""COMPUTED_VALUE"""),4146.87)</f>
        <v>4146.87</v>
      </c>
      <c r="C984" s="25">
        <f>IFERROR(__xludf.DUMMYFUNCTION("""COMPUTED_VALUE"""),44686.63611111111)</f>
        <v>44686.63611</v>
      </c>
      <c r="D984" s="22">
        <f>IFERROR(__xludf.DUMMYFUNCTION("""COMPUTED_VALUE"""),31.2)</f>
        <v>31.2</v>
      </c>
      <c r="F984" s="25">
        <f>IFERROR(__xludf.DUMMYFUNCTION("""COMPUTED_VALUE"""),44686.63611111111)</f>
        <v>44686.63611</v>
      </c>
      <c r="G984" s="22">
        <f>IFERROR(__xludf.DUMMYFUNCTION("""COMPUTED_VALUE"""),32.68)</f>
        <v>32.68</v>
      </c>
      <c r="H984" s="25">
        <f>IFERROR(__xludf.DUMMYFUNCTION("""COMPUTED_VALUE"""),44686.63611111111)</f>
        <v>44686.63611</v>
      </c>
      <c r="I984" s="22">
        <f>IFERROR(__xludf.DUMMYFUNCTION("""COMPUTED_VALUE"""),32.73)</f>
        <v>32.73</v>
      </c>
      <c r="J984" s="25">
        <f>IFERROR(__xludf.DUMMYFUNCTION("""COMPUTED_VALUE"""),44686.63611111111)</f>
        <v>44686.63611</v>
      </c>
      <c r="K984" s="22">
        <f>IFERROR(__xludf.DUMMYFUNCTION("""COMPUTED_VALUE"""),31.63)</f>
        <v>31.63</v>
      </c>
    </row>
    <row r="985" ht="15.75" customHeight="1">
      <c r="A985" s="25">
        <f>IFERROR(__xludf.DUMMYFUNCTION("""COMPUTED_VALUE"""),44687.66666666667)</f>
        <v>44687.66667</v>
      </c>
      <c r="B985" s="22">
        <f>IFERROR(__xludf.DUMMYFUNCTION("""COMPUTED_VALUE"""),4123.34)</f>
        <v>4123.34</v>
      </c>
      <c r="C985" s="25">
        <f>IFERROR(__xludf.DUMMYFUNCTION("""COMPUTED_VALUE"""),44687.63611111111)</f>
        <v>44687.63611</v>
      </c>
      <c r="D985" s="22">
        <f>IFERROR(__xludf.DUMMYFUNCTION("""COMPUTED_VALUE"""),30.19)</f>
        <v>30.19</v>
      </c>
      <c r="F985" s="25">
        <f>IFERROR(__xludf.DUMMYFUNCTION("""COMPUTED_VALUE"""),44687.63611111111)</f>
        <v>44687.63611</v>
      </c>
      <c r="G985" s="22">
        <f>IFERROR(__xludf.DUMMYFUNCTION("""COMPUTED_VALUE"""),32.31)</f>
        <v>32.31</v>
      </c>
      <c r="H985" s="25">
        <f>IFERROR(__xludf.DUMMYFUNCTION("""COMPUTED_VALUE"""),44687.63611111111)</f>
        <v>44687.63611</v>
      </c>
      <c r="I985" s="22">
        <f>IFERROR(__xludf.DUMMYFUNCTION("""COMPUTED_VALUE"""),32.58)</f>
        <v>32.58</v>
      </c>
      <c r="J985" s="25">
        <f>IFERROR(__xludf.DUMMYFUNCTION("""COMPUTED_VALUE"""),44687.63611111111)</f>
        <v>44687.63611</v>
      </c>
      <c r="K985" s="22">
        <f>IFERROR(__xludf.DUMMYFUNCTION("""COMPUTED_VALUE"""),31.96)</f>
        <v>31.96</v>
      </c>
    </row>
    <row r="986" ht="15.75" customHeight="1">
      <c r="A986" s="25">
        <f>IFERROR(__xludf.DUMMYFUNCTION("""COMPUTED_VALUE"""),44690.66666666667)</f>
        <v>44690.66667</v>
      </c>
      <c r="B986" s="22">
        <f>IFERROR(__xludf.DUMMYFUNCTION("""COMPUTED_VALUE"""),3991.24)</f>
        <v>3991.24</v>
      </c>
      <c r="C986" s="25">
        <f>IFERROR(__xludf.DUMMYFUNCTION("""COMPUTED_VALUE"""),44690.63611111111)</f>
        <v>44690.63611</v>
      </c>
      <c r="D986" s="22">
        <f>IFERROR(__xludf.DUMMYFUNCTION("""COMPUTED_VALUE"""),34.75)</f>
        <v>34.75</v>
      </c>
      <c r="F986" s="25">
        <f>IFERROR(__xludf.DUMMYFUNCTION("""COMPUTED_VALUE"""),44690.63611111111)</f>
        <v>44690.63611</v>
      </c>
      <c r="G986" s="22">
        <f>IFERROR(__xludf.DUMMYFUNCTION("""COMPUTED_VALUE"""),35.05)</f>
        <v>35.05</v>
      </c>
      <c r="H986" s="25">
        <f>IFERROR(__xludf.DUMMYFUNCTION("""COMPUTED_VALUE"""),44690.63611111111)</f>
        <v>44690.63611</v>
      </c>
      <c r="I986" s="22">
        <f>IFERROR(__xludf.DUMMYFUNCTION("""COMPUTED_VALUE"""),34.42)</f>
        <v>34.42</v>
      </c>
      <c r="J986" s="25">
        <f>IFERROR(__xludf.DUMMYFUNCTION("""COMPUTED_VALUE"""),44690.63611111111)</f>
        <v>44690.63611</v>
      </c>
      <c r="K986" s="22">
        <f>IFERROR(__xludf.DUMMYFUNCTION("""COMPUTED_VALUE"""),33.13)</f>
        <v>33.13</v>
      </c>
    </row>
    <row r="987" ht="15.75" customHeight="1">
      <c r="A987" s="25">
        <f>IFERROR(__xludf.DUMMYFUNCTION("""COMPUTED_VALUE"""),44691.66666666667)</f>
        <v>44691.66667</v>
      </c>
      <c r="B987" s="22">
        <f>IFERROR(__xludf.DUMMYFUNCTION("""COMPUTED_VALUE"""),4001.05)</f>
        <v>4001.05</v>
      </c>
      <c r="C987" s="25">
        <f>IFERROR(__xludf.DUMMYFUNCTION("""COMPUTED_VALUE"""),44691.63611111111)</f>
        <v>44691.63611</v>
      </c>
      <c r="D987" s="22">
        <f>IFERROR(__xludf.DUMMYFUNCTION("""COMPUTED_VALUE"""),32.99)</f>
        <v>32.99</v>
      </c>
      <c r="F987" s="25">
        <f>IFERROR(__xludf.DUMMYFUNCTION("""COMPUTED_VALUE"""),44691.63611111111)</f>
        <v>44691.63611</v>
      </c>
      <c r="G987" s="22">
        <f>IFERROR(__xludf.DUMMYFUNCTION("""COMPUTED_VALUE"""),33.97)</f>
        <v>33.97</v>
      </c>
      <c r="H987" s="25">
        <f>IFERROR(__xludf.DUMMYFUNCTION("""COMPUTED_VALUE"""),44691.63611111111)</f>
        <v>44691.63611</v>
      </c>
      <c r="I987" s="22">
        <f>IFERROR(__xludf.DUMMYFUNCTION("""COMPUTED_VALUE"""),33.67)</f>
        <v>33.67</v>
      </c>
      <c r="J987" s="25">
        <f>IFERROR(__xludf.DUMMYFUNCTION("""COMPUTED_VALUE"""),44691.63611111111)</f>
        <v>44691.63611</v>
      </c>
      <c r="K987" s="22">
        <f>IFERROR(__xludf.DUMMYFUNCTION("""COMPUTED_VALUE"""),32.52)</f>
        <v>32.52</v>
      </c>
    </row>
    <row r="988" ht="15.75" customHeight="1">
      <c r="A988" s="25">
        <f>IFERROR(__xludf.DUMMYFUNCTION("""COMPUTED_VALUE"""),44692.66666666667)</f>
        <v>44692.66667</v>
      </c>
      <c r="B988" s="22">
        <f>IFERROR(__xludf.DUMMYFUNCTION("""COMPUTED_VALUE"""),3935.18)</f>
        <v>3935.18</v>
      </c>
      <c r="C988" s="25">
        <f>IFERROR(__xludf.DUMMYFUNCTION("""COMPUTED_VALUE"""),44692.63611111111)</f>
        <v>44692.63611</v>
      </c>
      <c r="D988" s="22">
        <f>IFERROR(__xludf.DUMMYFUNCTION("""COMPUTED_VALUE"""),32.56)</f>
        <v>32.56</v>
      </c>
      <c r="F988" s="25">
        <f>IFERROR(__xludf.DUMMYFUNCTION("""COMPUTED_VALUE"""),44692.63611111111)</f>
        <v>44692.63611</v>
      </c>
      <c r="G988" s="22">
        <f>IFERROR(__xludf.DUMMYFUNCTION("""COMPUTED_VALUE"""),33.63)</f>
        <v>33.63</v>
      </c>
      <c r="H988" s="25">
        <f>IFERROR(__xludf.DUMMYFUNCTION("""COMPUTED_VALUE"""),44692.63611111111)</f>
        <v>44692.63611</v>
      </c>
      <c r="I988" s="22">
        <f>IFERROR(__xludf.DUMMYFUNCTION("""COMPUTED_VALUE"""),33.53)</f>
        <v>33.53</v>
      </c>
      <c r="J988" s="25">
        <f>IFERROR(__xludf.DUMMYFUNCTION("""COMPUTED_VALUE"""),44692.63611111111)</f>
        <v>44692.63611</v>
      </c>
      <c r="K988" s="22">
        <f>IFERROR(__xludf.DUMMYFUNCTION("""COMPUTED_VALUE"""),32.63)</f>
        <v>32.63</v>
      </c>
    </row>
    <row r="989" ht="15.75" customHeight="1">
      <c r="A989" s="25">
        <f>IFERROR(__xludf.DUMMYFUNCTION("""COMPUTED_VALUE"""),44693.66666666667)</f>
        <v>44693.66667</v>
      </c>
      <c r="B989" s="22">
        <f>IFERROR(__xludf.DUMMYFUNCTION("""COMPUTED_VALUE"""),3930.08)</f>
        <v>3930.08</v>
      </c>
      <c r="C989" s="25">
        <f>IFERROR(__xludf.DUMMYFUNCTION("""COMPUTED_VALUE"""),44693.63611111111)</f>
        <v>44693.63611</v>
      </c>
      <c r="D989" s="22">
        <f>IFERROR(__xludf.DUMMYFUNCTION("""COMPUTED_VALUE"""),31.77)</f>
        <v>31.77</v>
      </c>
      <c r="F989" s="25">
        <f>IFERROR(__xludf.DUMMYFUNCTION("""COMPUTED_VALUE"""),44693.63611111111)</f>
        <v>44693.63611</v>
      </c>
      <c r="G989" s="22">
        <f>IFERROR(__xludf.DUMMYFUNCTION("""COMPUTED_VALUE"""),33.08)</f>
        <v>33.08</v>
      </c>
      <c r="H989" s="25">
        <f>IFERROR(__xludf.DUMMYFUNCTION("""COMPUTED_VALUE"""),44693.63611111111)</f>
        <v>44693.63611</v>
      </c>
      <c r="I989" s="22">
        <f>IFERROR(__xludf.DUMMYFUNCTION("""COMPUTED_VALUE"""),33.45)</f>
        <v>33.45</v>
      </c>
      <c r="J989" s="25">
        <f>IFERROR(__xludf.DUMMYFUNCTION("""COMPUTED_VALUE"""),44693.63611111111)</f>
        <v>44693.63611</v>
      </c>
      <c r="K989" s="22">
        <f>IFERROR(__xludf.DUMMYFUNCTION("""COMPUTED_VALUE"""),32.15)</f>
        <v>32.15</v>
      </c>
    </row>
    <row r="990" ht="15.75" customHeight="1">
      <c r="A990" s="25">
        <f>IFERROR(__xludf.DUMMYFUNCTION("""COMPUTED_VALUE"""),44694.66666666667)</f>
        <v>44694.66667</v>
      </c>
      <c r="B990" s="22">
        <f>IFERROR(__xludf.DUMMYFUNCTION("""COMPUTED_VALUE"""),4023.89)</f>
        <v>4023.89</v>
      </c>
      <c r="C990" s="25">
        <f>IFERROR(__xludf.DUMMYFUNCTION("""COMPUTED_VALUE"""),44694.63611111111)</f>
        <v>44694.63611</v>
      </c>
      <c r="D990" s="22">
        <f>IFERROR(__xludf.DUMMYFUNCTION("""COMPUTED_VALUE"""),28.87)</f>
        <v>28.87</v>
      </c>
      <c r="F990" s="25">
        <f>IFERROR(__xludf.DUMMYFUNCTION("""COMPUTED_VALUE"""),44694.63611111111)</f>
        <v>44694.63611</v>
      </c>
      <c r="G990" s="22">
        <f>IFERROR(__xludf.DUMMYFUNCTION("""COMPUTED_VALUE"""),30.7)</f>
        <v>30.7</v>
      </c>
      <c r="H990" s="25">
        <f>IFERROR(__xludf.DUMMYFUNCTION("""COMPUTED_VALUE"""),44694.63611111111)</f>
        <v>44694.63611</v>
      </c>
      <c r="I990" s="22">
        <f>IFERROR(__xludf.DUMMYFUNCTION("""COMPUTED_VALUE"""),31.58)</f>
        <v>31.58</v>
      </c>
      <c r="J990" s="25">
        <f>IFERROR(__xludf.DUMMYFUNCTION("""COMPUTED_VALUE"""),44694.63611111111)</f>
        <v>44694.63611</v>
      </c>
      <c r="K990" s="22">
        <f>IFERROR(__xludf.DUMMYFUNCTION("""COMPUTED_VALUE"""),31.45)</f>
        <v>31.45</v>
      </c>
    </row>
    <row r="991" ht="15.75" customHeight="1">
      <c r="A991" s="25">
        <f>IFERROR(__xludf.DUMMYFUNCTION("""COMPUTED_VALUE"""),44697.66666666667)</f>
        <v>44697.66667</v>
      </c>
      <c r="B991" s="22">
        <f>IFERROR(__xludf.DUMMYFUNCTION("""COMPUTED_VALUE"""),4008.01)</f>
        <v>4008.01</v>
      </c>
      <c r="C991" s="25">
        <f>IFERROR(__xludf.DUMMYFUNCTION("""COMPUTED_VALUE"""),44697.63611111111)</f>
        <v>44697.63611</v>
      </c>
      <c r="D991" s="22">
        <f>IFERROR(__xludf.DUMMYFUNCTION("""COMPUTED_VALUE"""),27.47)</f>
        <v>27.47</v>
      </c>
      <c r="F991" s="25">
        <f>IFERROR(__xludf.DUMMYFUNCTION("""COMPUTED_VALUE"""),44697.63611111111)</f>
        <v>44697.63611</v>
      </c>
      <c r="G991" s="22">
        <f>IFERROR(__xludf.DUMMYFUNCTION("""COMPUTED_VALUE"""),29.51)</f>
        <v>29.51</v>
      </c>
      <c r="H991" s="25">
        <f>IFERROR(__xludf.DUMMYFUNCTION("""COMPUTED_VALUE"""),44697.63611111111)</f>
        <v>44697.63611</v>
      </c>
      <c r="I991" s="22">
        <f>IFERROR(__xludf.DUMMYFUNCTION("""COMPUTED_VALUE"""),31.03)</f>
        <v>31.03</v>
      </c>
      <c r="J991" s="25">
        <f>IFERROR(__xludf.DUMMYFUNCTION("""COMPUTED_VALUE"""),44697.63611111111)</f>
        <v>44697.63611</v>
      </c>
      <c r="K991" s="22">
        <f>IFERROR(__xludf.DUMMYFUNCTION("""COMPUTED_VALUE"""),31.06)</f>
        <v>31.06</v>
      </c>
    </row>
    <row r="992" ht="15.75" customHeight="1">
      <c r="A992" s="25">
        <f>IFERROR(__xludf.DUMMYFUNCTION("""COMPUTED_VALUE"""),44698.66666666667)</f>
        <v>44698.66667</v>
      </c>
      <c r="B992" s="22">
        <f>IFERROR(__xludf.DUMMYFUNCTION("""COMPUTED_VALUE"""),4088.85)</f>
        <v>4088.85</v>
      </c>
      <c r="C992" s="25">
        <f>IFERROR(__xludf.DUMMYFUNCTION("""COMPUTED_VALUE"""),44698.63611111111)</f>
        <v>44698.63611</v>
      </c>
      <c r="D992" s="22">
        <f>IFERROR(__xludf.DUMMYFUNCTION("""COMPUTED_VALUE"""),26.1)</f>
        <v>26.1</v>
      </c>
      <c r="F992" s="25">
        <f>IFERROR(__xludf.DUMMYFUNCTION("""COMPUTED_VALUE"""),44698.63611111111)</f>
        <v>44698.63611</v>
      </c>
      <c r="G992" s="22">
        <f>IFERROR(__xludf.DUMMYFUNCTION("""COMPUTED_VALUE"""),28.37)</f>
        <v>28.37</v>
      </c>
      <c r="H992" s="25">
        <f>IFERROR(__xludf.DUMMYFUNCTION("""COMPUTED_VALUE"""),44698.63611111111)</f>
        <v>44698.63611</v>
      </c>
      <c r="I992" s="22">
        <f>IFERROR(__xludf.DUMMYFUNCTION("""COMPUTED_VALUE"""),30.29)</f>
        <v>30.29</v>
      </c>
      <c r="J992" s="25">
        <f>IFERROR(__xludf.DUMMYFUNCTION("""COMPUTED_VALUE"""),44698.63611111111)</f>
        <v>44698.63611</v>
      </c>
      <c r="K992" s="22">
        <f>IFERROR(__xludf.DUMMYFUNCTION("""COMPUTED_VALUE"""),30.46)</f>
        <v>30.46</v>
      </c>
    </row>
    <row r="993" ht="15.75" customHeight="1">
      <c r="A993" s="25">
        <f>IFERROR(__xludf.DUMMYFUNCTION("""COMPUTED_VALUE"""),44699.66666666667)</f>
        <v>44699.66667</v>
      </c>
      <c r="B993" s="22">
        <f>IFERROR(__xludf.DUMMYFUNCTION("""COMPUTED_VALUE"""),3923.68)</f>
        <v>3923.68</v>
      </c>
      <c r="C993" s="25">
        <f>IFERROR(__xludf.DUMMYFUNCTION("""COMPUTED_VALUE"""),44699.63611111111)</f>
        <v>44699.63611</v>
      </c>
      <c r="D993" s="22">
        <f>IFERROR(__xludf.DUMMYFUNCTION("""COMPUTED_VALUE"""),30.96)</f>
        <v>30.96</v>
      </c>
      <c r="F993" s="25">
        <f>IFERROR(__xludf.DUMMYFUNCTION("""COMPUTED_VALUE"""),44699.63611111111)</f>
        <v>44699.63611</v>
      </c>
      <c r="G993" s="22">
        <f>IFERROR(__xludf.DUMMYFUNCTION("""COMPUTED_VALUE"""),32.8)</f>
        <v>32.8</v>
      </c>
      <c r="H993" s="25">
        <f>IFERROR(__xludf.DUMMYFUNCTION("""COMPUTED_VALUE"""),44699.63611111111)</f>
        <v>44699.63611</v>
      </c>
      <c r="I993" s="22">
        <f>IFERROR(__xludf.DUMMYFUNCTION("""COMPUTED_VALUE"""),33.64)</f>
        <v>33.64</v>
      </c>
      <c r="J993" s="25">
        <f>IFERROR(__xludf.DUMMYFUNCTION("""COMPUTED_VALUE"""),44699.63611111111)</f>
        <v>44699.63611</v>
      </c>
      <c r="K993" s="22">
        <f>IFERROR(__xludf.DUMMYFUNCTION("""COMPUTED_VALUE"""),32.8)</f>
        <v>32.8</v>
      </c>
    </row>
    <row r="994" ht="15.75" customHeight="1">
      <c r="A994" s="25">
        <f>IFERROR(__xludf.DUMMYFUNCTION("""COMPUTED_VALUE"""),44700.66666666667)</f>
        <v>44700.66667</v>
      </c>
      <c r="B994" s="22">
        <f>IFERROR(__xludf.DUMMYFUNCTION("""COMPUTED_VALUE"""),3900.79)</f>
        <v>3900.79</v>
      </c>
      <c r="C994" s="25">
        <f>IFERROR(__xludf.DUMMYFUNCTION("""COMPUTED_VALUE"""),44700.63611111111)</f>
        <v>44700.63611</v>
      </c>
      <c r="D994" s="22">
        <f>IFERROR(__xludf.DUMMYFUNCTION("""COMPUTED_VALUE"""),29.35)</f>
        <v>29.35</v>
      </c>
      <c r="F994" s="25">
        <f>IFERROR(__xludf.DUMMYFUNCTION("""COMPUTED_VALUE"""),44700.63611111111)</f>
        <v>44700.63611</v>
      </c>
      <c r="G994" s="22">
        <f>IFERROR(__xludf.DUMMYFUNCTION("""COMPUTED_VALUE"""),30.79)</f>
        <v>30.79</v>
      </c>
      <c r="H994" s="25">
        <f>IFERROR(__xludf.DUMMYFUNCTION("""COMPUTED_VALUE"""),44700.63611111111)</f>
        <v>44700.63611</v>
      </c>
      <c r="I994" s="22">
        <f>IFERROR(__xludf.DUMMYFUNCTION("""COMPUTED_VALUE"""),32.0)</f>
        <v>32</v>
      </c>
      <c r="J994" s="25">
        <f>IFERROR(__xludf.DUMMYFUNCTION("""COMPUTED_VALUE"""),44700.63611111111)</f>
        <v>44700.63611</v>
      </c>
      <c r="K994" s="22">
        <f>IFERROR(__xludf.DUMMYFUNCTION("""COMPUTED_VALUE"""),31.98)</f>
        <v>31.98</v>
      </c>
    </row>
    <row r="995" ht="15.75" customHeight="1">
      <c r="A995" s="25">
        <f>IFERROR(__xludf.DUMMYFUNCTION("""COMPUTED_VALUE"""),44701.66666666667)</f>
        <v>44701.66667</v>
      </c>
      <c r="B995" s="22">
        <f>IFERROR(__xludf.DUMMYFUNCTION("""COMPUTED_VALUE"""),3901.36)</f>
        <v>3901.36</v>
      </c>
      <c r="C995" s="25">
        <f>IFERROR(__xludf.DUMMYFUNCTION("""COMPUTED_VALUE"""),44701.63611111111)</f>
        <v>44701.63611</v>
      </c>
      <c r="D995" s="22">
        <f>IFERROR(__xludf.DUMMYFUNCTION("""COMPUTED_VALUE"""),29.43)</f>
        <v>29.43</v>
      </c>
      <c r="F995" s="25">
        <f>IFERROR(__xludf.DUMMYFUNCTION("""COMPUTED_VALUE"""),44701.63611111111)</f>
        <v>44701.63611</v>
      </c>
      <c r="G995" s="22">
        <f>IFERROR(__xludf.DUMMYFUNCTION("""COMPUTED_VALUE"""),31.14)</f>
        <v>31.14</v>
      </c>
      <c r="H995" s="25">
        <f>IFERROR(__xludf.DUMMYFUNCTION("""COMPUTED_VALUE"""),44701.63611111111)</f>
        <v>44701.63611</v>
      </c>
      <c r="I995" s="22">
        <f>IFERROR(__xludf.DUMMYFUNCTION("""COMPUTED_VALUE"""),32.21)</f>
        <v>32.21</v>
      </c>
      <c r="J995" s="25">
        <f>IFERROR(__xludf.DUMMYFUNCTION("""COMPUTED_VALUE"""),44701.63611111111)</f>
        <v>44701.63611</v>
      </c>
      <c r="K995" s="22">
        <f>IFERROR(__xludf.DUMMYFUNCTION("""COMPUTED_VALUE"""),31.99)</f>
        <v>31.99</v>
      </c>
    </row>
    <row r="996" ht="15.75" customHeight="1">
      <c r="A996" s="25">
        <f>IFERROR(__xludf.DUMMYFUNCTION("""COMPUTED_VALUE"""),44704.66666666667)</f>
        <v>44704.66667</v>
      </c>
      <c r="B996" s="22">
        <f>IFERROR(__xludf.DUMMYFUNCTION("""COMPUTED_VALUE"""),3973.75)</f>
        <v>3973.75</v>
      </c>
      <c r="C996" s="25">
        <f>IFERROR(__xludf.DUMMYFUNCTION("""COMPUTED_VALUE"""),44704.63611111111)</f>
        <v>44704.63611</v>
      </c>
      <c r="D996" s="22">
        <f>IFERROR(__xludf.DUMMYFUNCTION("""COMPUTED_VALUE"""),28.48)</f>
        <v>28.48</v>
      </c>
      <c r="F996" s="25">
        <f>IFERROR(__xludf.DUMMYFUNCTION("""COMPUTED_VALUE"""),44704.63611111111)</f>
        <v>44704.63611</v>
      </c>
      <c r="G996" s="22">
        <f>IFERROR(__xludf.DUMMYFUNCTION("""COMPUTED_VALUE"""),30.29)</f>
        <v>30.29</v>
      </c>
      <c r="H996" s="25">
        <f>IFERROR(__xludf.DUMMYFUNCTION("""COMPUTED_VALUE"""),44704.63611111111)</f>
        <v>44704.63611</v>
      </c>
      <c r="I996" s="22">
        <f>IFERROR(__xludf.DUMMYFUNCTION("""COMPUTED_VALUE"""),31.61)</f>
        <v>31.61</v>
      </c>
      <c r="J996" s="25">
        <f>IFERROR(__xludf.DUMMYFUNCTION("""COMPUTED_VALUE"""),44704.63611111111)</f>
        <v>44704.63611</v>
      </c>
      <c r="K996" s="22">
        <f>IFERROR(__xludf.DUMMYFUNCTION("""COMPUTED_VALUE"""),31.61)</f>
        <v>31.61</v>
      </c>
    </row>
    <row r="997" ht="15.75" customHeight="1">
      <c r="A997" s="25">
        <f>IFERROR(__xludf.DUMMYFUNCTION("""COMPUTED_VALUE"""),44705.66666666667)</f>
        <v>44705.66667</v>
      </c>
      <c r="B997" s="22">
        <f>IFERROR(__xludf.DUMMYFUNCTION("""COMPUTED_VALUE"""),3941.48)</f>
        <v>3941.48</v>
      </c>
      <c r="C997" s="25">
        <f>IFERROR(__xludf.DUMMYFUNCTION("""COMPUTED_VALUE"""),44705.63611111111)</f>
        <v>44705.63611</v>
      </c>
      <c r="D997" s="22">
        <f>IFERROR(__xludf.DUMMYFUNCTION("""COMPUTED_VALUE"""),29.45)</f>
        <v>29.45</v>
      </c>
      <c r="F997" s="25">
        <f>IFERROR(__xludf.DUMMYFUNCTION("""COMPUTED_VALUE"""),44705.63611111111)</f>
        <v>44705.63611</v>
      </c>
      <c r="G997" s="22">
        <f>IFERROR(__xludf.DUMMYFUNCTION("""COMPUTED_VALUE"""),30.74)</f>
        <v>30.74</v>
      </c>
      <c r="H997" s="25">
        <f>IFERROR(__xludf.DUMMYFUNCTION("""COMPUTED_VALUE"""),44705.63611111111)</f>
        <v>44705.63611</v>
      </c>
      <c r="I997" s="22">
        <f>IFERROR(__xludf.DUMMYFUNCTION("""COMPUTED_VALUE"""),31.98)</f>
        <v>31.98</v>
      </c>
      <c r="J997" s="25">
        <f>IFERROR(__xludf.DUMMYFUNCTION("""COMPUTED_VALUE"""),44705.63611111111)</f>
        <v>44705.63611</v>
      </c>
      <c r="K997" s="22">
        <f>IFERROR(__xludf.DUMMYFUNCTION("""COMPUTED_VALUE"""),31.72)</f>
        <v>31.72</v>
      </c>
    </row>
    <row r="998" ht="15.75" customHeight="1">
      <c r="A998" s="25">
        <f>IFERROR(__xludf.DUMMYFUNCTION("""COMPUTED_VALUE"""),44706.66666666667)</f>
        <v>44706.66667</v>
      </c>
      <c r="B998" s="22">
        <f>IFERROR(__xludf.DUMMYFUNCTION("""COMPUTED_VALUE"""),3978.73)</f>
        <v>3978.73</v>
      </c>
      <c r="C998" s="25">
        <f>IFERROR(__xludf.DUMMYFUNCTION("""COMPUTED_VALUE"""),44706.63611111111)</f>
        <v>44706.63611</v>
      </c>
      <c r="D998" s="22">
        <f>IFERROR(__xludf.DUMMYFUNCTION("""COMPUTED_VALUE"""),28.37)</f>
        <v>28.37</v>
      </c>
      <c r="F998" s="25">
        <f>IFERROR(__xludf.DUMMYFUNCTION("""COMPUTED_VALUE"""),44706.63611111111)</f>
        <v>44706.63611</v>
      </c>
      <c r="G998" s="22">
        <f>IFERROR(__xludf.DUMMYFUNCTION("""COMPUTED_VALUE"""),29.73)</f>
        <v>29.73</v>
      </c>
      <c r="H998" s="25">
        <f>IFERROR(__xludf.DUMMYFUNCTION("""COMPUTED_VALUE"""),44706.63611111111)</f>
        <v>44706.63611</v>
      </c>
      <c r="I998" s="22">
        <f>IFERROR(__xludf.DUMMYFUNCTION("""COMPUTED_VALUE"""),31.12)</f>
        <v>31.12</v>
      </c>
      <c r="J998" s="25">
        <f>IFERROR(__xludf.DUMMYFUNCTION("""COMPUTED_VALUE"""),44706.63611111111)</f>
        <v>44706.63611</v>
      </c>
      <c r="K998" s="22">
        <f>IFERROR(__xludf.DUMMYFUNCTION("""COMPUTED_VALUE"""),31.25)</f>
        <v>31.25</v>
      </c>
    </row>
    <row r="999" ht="15.75" customHeight="1">
      <c r="A999" s="25">
        <f>IFERROR(__xludf.DUMMYFUNCTION("""COMPUTED_VALUE"""),44707.66666666667)</f>
        <v>44707.66667</v>
      </c>
      <c r="B999" s="22">
        <f>IFERROR(__xludf.DUMMYFUNCTION("""COMPUTED_VALUE"""),4057.84)</f>
        <v>4057.84</v>
      </c>
      <c r="C999" s="25">
        <f>IFERROR(__xludf.DUMMYFUNCTION("""COMPUTED_VALUE"""),44707.63611111111)</f>
        <v>44707.63611</v>
      </c>
      <c r="D999" s="22">
        <f>IFERROR(__xludf.DUMMYFUNCTION("""COMPUTED_VALUE"""),27.5)</f>
        <v>27.5</v>
      </c>
      <c r="F999" s="25">
        <f>IFERROR(__xludf.DUMMYFUNCTION("""COMPUTED_VALUE"""),44707.63611111111)</f>
        <v>44707.63611</v>
      </c>
      <c r="G999" s="22">
        <f>IFERROR(__xludf.DUMMYFUNCTION("""COMPUTED_VALUE"""),29.28)</f>
        <v>29.28</v>
      </c>
      <c r="H999" s="25">
        <f>IFERROR(__xludf.DUMMYFUNCTION("""COMPUTED_VALUE"""),44707.63611111111)</f>
        <v>44707.63611</v>
      </c>
      <c r="I999" s="22">
        <f>IFERROR(__xludf.DUMMYFUNCTION("""COMPUTED_VALUE"""),30.83)</f>
        <v>30.83</v>
      </c>
      <c r="J999" s="25">
        <f>IFERROR(__xludf.DUMMYFUNCTION("""COMPUTED_VALUE"""),44707.63611111111)</f>
        <v>44707.63611</v>
      </c>
      <c r="K999" s="22">
        <f>IFERROR(__xludf.DUMMYFUNCTION("""COMPUTED_VALUE"""),30.87)</f>
        <v>30.87</v>
      </c>
    </row>
    <row r="1000" ht="15.75" customHeight="1">
      <c r="A1000" s="25">
        <f>IFERROR(__xludf.DUMMYFUNCTION("""COMPUTED_VALUE"""),44708.66666666667)</f>
        <v>44708.66667</v>
      </c>
      <c r="B1000" s="22">
        <f>IFERROR(__xludf.DUMMYFUNCTION("""COMPUTED_VALUE"""),4158.24)</f>
        <v>4158.24</v>
      </c>
      <c r="C1000" s="25">
        <f>IFERROR(__xludf.DUMMYFUNCTION("""COMPUTED_VALUE"""),44708.63611111111)</f>
        <v>44708.63611</v>
      </c>
      <c r="D1000" s="22">
        <f>IFERROR(__xludf.DUMMYFUNCTION("""COMPUTED_VALUE"""),25.72)</f>
        <v>25.72</v>
      </c>
      <c r="F1000" s="25">
        <f>IFERROR(__xludf.DUMMYFUNCTION("""COMPUTED_VALUE"""),44708.63611111111)</f>
        <v>44708.63611</v>
      </c>
      <c r="G1000" s="22">
        <f>IFERROR(__xludf.DUMMYFUNCTION("""COMPUTED_VALUE"""),28.02)</f>
        <v>28.02</v>
      </c>
      <c r="H1000" s="25">
        <f>IFERROR(__xludf.DUMMYFUNCTION("""COMPUTED_VALUE"""),44708.63611111111)</f>
        <v>44708.63611</v>
      </c>
      <c r="I1000" s="22">
        <f>IFERROR(__xludf.DUMMYFUNCTION("""COMPUTED_VALUE"""),29.86)</f>
        <v>29.86</v>
      </c>
      <c r="J1000" s="25">
        <f>IFERROR(__xludf.DUMMYFUNCTION("""COMPUTED_VALUE"""),44708.63611111111)</f>
        <v>44708.63611</v>
      </c>
      <c r="K1000" s="22">
        <f>IFERROR(__xludf.DUMMYFUNCTION("""COMPUTED_VALUE"""),30.21)</f>
        <v>30.21</v>
      </c>
    </row>
    <row r="1001" ht="15.75" customHeight="1">
      <c r="A1001" s="25">
        <f>IFERROR(__xludf.DUMMYFUNCTION("""COMPUTED_VALUE"""),44712.66666666667)</f>
        <v>44712.66667</v>
      </c>
      <c r="B1001" s="22">
        <f>IFERROR(__xludf.DUMMYFUNCTION("""COMPUTED_VALUE"""),4132.15)</f>
        <v>4132.15</v>
      </c>
      <c r="C1001" s="25">
        <f>IFERROR(__xludf.DUMMYFUNCTION("""COMPUTED_VALUE"""),44712.63611111111)</f>
        <v>44712.63611</v>
      </c>
      <c r="D1001" s="22">
        <f>IFERROR(__xludf.DUMMYFUNCTION("""COMPUTED_VALUE"""),26.19)</f>
        <v>26.19</v>
      </c>
      <c r="F1001" s="25">
        <f>IFERROR(__xludf.DUMMYFUNCTION("""COMPUTED_VALUE"""),44712.63611111111)</f>
        <v>44712.63611</v>
      </c>
      <c r="G1001" s="22">
        <f>IFERROR(__xludf.DUMMYFUNCTION("""COMPUTED_VALUE"""),27.99)</f>
        <v>27.99</v>
      </c>
      <c r="H1001" s="25">
        <f>IFERROR(__xludf.DUMMYFUNCTION("""COMPUTED_VALUE"""),44712.63611111111)</f>
        <v>44712.63611</v>
      </c>
      <c r="I1001" s="22">
        <f>IFERROR(__xludf.DUMMYFUNCTION("""COMPUTED_VALUE"""),29.8)</f>
        <v>29.8</v>
      </c>
      <c r="J1001" s="25">
        <f>IFERROR(__xludf.DUMMYFUNCTION("""COMPUTED_VALUE"""),44712.63611111111)</f>
        <v>44712.63611</v>
      </c>
      <c r="K1001" s="22">
        <f>IFERROR(__xludf.DUMMYFUNCTION("""COMPUTED_VALUE"""),30.3)</f>
        <v>30.3</v>
      </c>
    </row>
    <row r="1002" ht="15.75" customHeight="1">
      <c r="A1002" s="25">
        <f>IFERROR(__xludf.DUMMYFUNCTION("""COMPUTED_VALUE"""),44713.66666666667)</f>
        <v>44713.66667</v>
      </c>
      <c r="B1002" s="22">
        <f>IFERROR(__xludf.DUMMYFUNCTION("""COMPUTED_VALUE"""),4101.23)</f>
        <v>4101.23</v>
      </c>
      <c r="C1002" s="25">
        <f>IFERROR(__xludf.DUMMYFUNCTION("""COMPUTED_VALUE"""),44713.63611111111)</f>
        <v>44713.63611</v>
      </c>
      <c r="D1002" s="22">
        <f>IFERROR(__xludf.DUMMYFUNCTION("""COMPUTED_VALUE"""),25.69)</f>
        <v>25.69</v>
      </c>
      <c r="F1002" s="25">
        <f>IFERROR(__xludf.DUMMYFUNCTION("""COMPUTED_VALUE"""),44713.63611111111)</f>
        <v>44713.63611</v>
      </c>
      <c r="G1002" s="22">
        <f>IFERROR(__xludf.DUMMYFUNCTION("""COMPUTED_VALUE"""),27.72)</f>
        <v>27.72</v>
      </c>
      <c r="H1002" s="25">
        <f>IFERROR(__xludf.DUMMYFUNCTION("""COMPUTED_VALUE"""),44713.63611111111)</f>
        <v>44713.63611</v>
      </c>
      <c r="I1002" s="22">
        <f>IFERROR(__xludf.DUMMYFUNCTION("""COMPUTED_VALUE"""),29.47)</f>
        <v>29.47</v>
      </c>
      <c r="J1002" s="25">
        <f>IFERROR(__xludf.DUMMYFUNCTION("""COMPUTED_VALUE"""),44713.63611111111)</f>
        <v>44713.63611</v>
      </c>
      <c r="K1002" s="22">
        <f>IFERROR(__xludf.DUMMYFUNCTION("""COMPUTED_VALUE"""),30.09)</f>
        <v>30.09</v>
      </c>
    </row>
    <row r="1003" ht="15.75" customHeight="1">
      <c r="A1003" s="25">
        <f>IFERROR(__xludf.DUMMYFUNCTION("""COMPUTED_VALUE"""),44714.66666666667)</f>
        <v>44714.66667</v>
      </c>
      <c r="B1003" s="22">
        <f>IFERROR(__xludf.DUMMYFUNCTION("""COMPUTED_VALUE"""),4176.82)</f>
        <v>4176.82</v>
      </c>
      <c r="C1003" s="25">
        <f>IFERROR(__xludf.DUMMYFUNCTION("""COMPUTED_VALUE"""),44714.63611111111)</f>
        <v>44714.63611</v>
      </c>
      <c r="D1003" s="22">
        <f>IFERROR(__xludf.DUMMYFUNCTION("""COMPUTED_VALUE"""),24.72)</f>
        <v>24.72</v>
      </c>
      <c r="F1003" s="25">
        <f>IFERROR(__xludf.DUMMYFUNCTION("""COMPUTED_VALUE"""),44714.63611111111)</f>
        <v>44714.63611</v>
      </c>
      <c r="G1003" s="22">
        <f>IFERROR(__xludf.DUMMYFUNCTION("""COMPUTED_VALUE"""),27.06)</f>
        <v>27.06</v>
      </c>
      <c r="H1003" s="25">
        <f>IFERROR(__xludf.DUMMYFUNCTION("""COMPUTED_VALUE"""),44714.63611111111)</f>
        <v>44714.63611</v>
      </c>
      <c r="I1003" s="22">
        <f>IFERROR(__xludf.DUMMYFUNCTION("""COMPUTED_VALUE"""),28.92)</f>
        <v>28.92</v>
      </c>
      <c r="J1003" s="25">
        <f>IFERROR(__xludf.DUMMYFUNCTION("""COMPUTED_VALUE"""),44714.63611111111)</f>
        <v>44714.63611</v>
      </c>
      <c r="K1003" s="22">
        <f>IFERROR(__xludf.DUMMYFUNCTION("""COMPUTED_VALUE"""),29.43)</f>
        <v>29.43</v>
      </c>
    </row>
    <row r="1004" ht="15.75" customHeight="1">
      <c r="A1004" s="25">
        <f>IFERROR(__xludf.DUMMYFUNCTION("""COMPUTED_VALUE"""),44715.66666666667)</f>
        <v>44715.66667</v>
      </c>
      <c r="B1004" s="22">
        <f>IFERROR(__xludf.DUMMYFUNCTION("""COMPUTED_VALUE"""),4108.54)</f>
        <v>4108.54</v>
      </c>
      <c r="C1004" s="25">
        <f>IFERROR(__xludf.DUMMYFUNCTION("""COMPUTED_VALUE"""),44715.63611111111)</f>
        <v>44715.63611</v>
      </c>
      <c r="D1004" s="22">
        <f>IFERROR(__xludf.DUMMYFUNCTION("""COMPUTED_VALUE"""),24.79)</f>
        <v>24.79</v>
      </c>
      <c r="F1004" s="25">
        <f>IFERROR(__xludf.DUMMYFUNCTION("""COMPUTED_VALUE"""),44715.63611111111)</f>
        <v>44715.63611</v>
      </c>
      <c r="G1004" s="22">
        <f>IFERROR(__xludf.DUMMYFUNCTION("""COMPUTED_VALUE"""),27.33)</f>
        <v>27.33</v>
      </c>
      <c r="H1004" s="25">
        <f>IFERROR(__xludf.DUMMYFUNCTION("""COMPUTED_VALUE"""),44715.63611111111)</f>
        <v>44715.63611</v>
      </c>
      <c r="I1004" s="22">
        <f>IFERROR(__xludf.DUMMYFUNCTION("""COMPUTED_VALUE"""),29.15)</f>
        <v>29.15</v>
      </c>
      <c r="J1004" s="25">
        <f>IFERROR(__xludf.DUMMYFUNCTION("""COMPUTED_VALUE"""),44715.63611111111)</f>
        <v>44715.63611</v>
      </c>
      <c r="K1004" s="22">
        <f>IFERROR(__xludf.DUMMYFUNCTION("""COMPUTED_VALUE"""),29.82)</f>
        <v>29.82</v>
      </c>
    </row>
    <row r="1005" ht="15.75" customHeight="1">
      <c r="A1005" s="25">
        <f>IFERROR(__xludf.DUMMYFUNCTION("""COMPUTED_VALUE"""),44718.66666666667)</f>
        <v>44718.66667</v>
      </c>
      <c r="B1005" s="22">
        <f>IFERROR(__xludf.DUMMYFUNCTION("""COMPUTED_VALUE"""),4121.43)</f>
        <v>4121.43</v>
      </c>
      <c r="C1005" s="25">
        <f>IFERROR(__xludf.DUMMYFUNCTION("""COMPUTED_VALUE"""),44718.63611111111)</f>
        <v>44718.63611</v>
      </c>
      <c r="D1005" s="22">
        <f>IFERROR(__xludf.DUMMYFUNCTION("""COMPUTED_VALUE"""),25.07)</f>
        <v>25.07</v>
      </c>
      <c r="F1005" s="25">
        <f>IFERROR(__xludf.DUMMYFUNCTION("""COMPUTED_VALUE"""),44718.63611111111)</f>
        <v>44718.63611</v>
      </c>
      <c r="G1005" s="22">
        <f>IFERROR(__xludf.DUMMYFUNCTION("""COMPUTED_VALUE"""),27.22)</f>
        <v>27.22</v>
      </c>
      <c r="H1005" s="25">
        <f>IFERROR(__xludf.DUMMYFUNCTION("""COMPUTED_VALUE"""),44718.63611111111)</f>
        <v>44718.63611</v>
      </c>
      <c r="I1005" s="22">
        <f>IFERROR(__xludf.DUMMYFUNCTION("""COMPUTED_VALUE"""),29.1)</f>
        <v>29.1</v>
      </c>
      <c r="J1005" s="25">
        <f>IFERROR(__xludf.DUMMYFUNCTION("""COMPUTED_VALUE"""),44718.63611111111)</f>
        <v>44718.63611</v>
      </c>
      <c r="K1005" s="22">
        <f>IFERROR(__xludf.DUMMYFUNCTION("""COMPUTED_VALUE"""),29.91)</f>
        <v>29.91</v>
      </c>
    </row>
    <row r="1006" ht="15.75" customHeight="1">
      <c r="A1006" s="25">
        <f>IFERROR(__xludf.DUMMYFUNCTION("""COMPUTED_VALUE"""),44719.66666666667)</f>
        <v>44719.66667</v>
      </c>
      <c r="B1006" s="22">
        <f>IFERROR(__xludf.DUMMYFUNCTION("""COMPUTED_VALUE"""),4160.68)</f>
        <v>4160.68</v>
      </c>
      <c r="C1006" s="25">
        <f>IFERROR(__xludf.DUMMYFUNCTION("""COMPUTED_VALUE"""),44719.63611111111)</f>
        <v>44719.63611</v>
      </c>
      <c r="D1006" s="22">
        <f>IFERROR(__xludf.DUMMYFUNCTION("""COMPUTED_VALUE"""),24.02)</f>
        <v>24.02</v>
      </c>
      <c r="F1006" s="25">
        <f>IFERROR(__xludf.DUMMYFUNCTION("""COMPUTED_VALUE"""),44719.63611111111)</f>
        <v>44719.63611</v>
      </c>
      <c r="G1006" s="22">
        <f>IFERROR(__xludf.DUMMYFUNCTION("""COMPUTED_VALUE"""),26.52)</f>
        <v>26.52</v>
      </c>
      <c r="H1006" s="25">
        <f>IFERROR(__xludf.DUMMYFUNCTION("""COMPUTED_VALUE"""),44719.63611111111)</f>
        <v>44719.63611</v>
      </c>
      <c r="I1006" s="22">
        <f>IFERROR(__xludf.DUMMYFUNCTION("""COMPUTED_VALUE"""),28.56)</f>
        <v>28.56</v>
      </c>
      <c r="J1006" s="25">
        <f>IFERROR(__xludf.DUMMYFUNCTION("""COMPUTED_VALUE"""),44719.63611111111)</f>
        <v>44719.63611</v>
      </c>
      <c r="K1006" s="22">
        <f>IFERROR(__xludf.DUMMYFUNCTION("""COMPUTED_VALUE"""),29.53)</f>
        <v>29.53</v>
      </c>
    </row>
    <row r="1007" ht="15.75" customHeight="1">
      <c r="A1007" s="25">
        <f>IFERROR(__xludf.DUMMYFUNCTION("""COMPUTED_VALUE"""),44720.66666666667)</f>
        <v>44720.66667</v>
      </c>
      <c r="B1007" s="22">
        <f>IFERROR(__xludf.DUMMYFUNCTION("""COMPUTED_VALUE"""),4115.77)</f>
        <v>4115.77</v>
      </c>
      <c r="C1007" s="25">
        <f>IFERROR(__xludf.DUMMYFUNCTION("""COMPUTED_VALUE"""),44720.63611111111)</f>
        <v>44720.63611</v>
      </c>
      <c r="D1007" s="22">
        <f>IFERROR(__xludf.DUMMYFUNCTION("""COMPUTED_VALUE"""),23.96)</f>
        <v>23.96</v>
      </c>
      <c r="F1007" s="25">
        <f>IFERROR(__xludf.DUMMYFUNCTION("""COMPUTED_VALUE"""),44720.63611111111)</f>
        <v>44720.63611</v>
      </c>
      <c r="G1007" s="22">
        <f>IFERROR(__xludf.DUMMYFUNCTION("""COMPUTED_VALUE"""),26.54)</f>
        <v>26.54</v>
      </c>
      <c r="H1007" s="25">
        <f>IFERROR(__xludf.DUMMYFUNCTION("""COMPUTED_VALUE"""),44720.63611111111)</f>
        <v>44720.63611</v>
      </c>
      <c r="I1007" s="22">
        <f>IFERROR(__xludf.DUMMYFUNCTION("""COMPUTED_VALUE"""),28.41)</f>
        <v>28.41</v>
      </c>
      <c r="J1007" s="25">
        <f>IFERROR(__xludf.DUMMYFUNCTION("""COMPUTED_VALUE"""),44720.63611111111)</f>
        <v>44720.63611</v>
      </c>
      <c r="K1007" s="22">
        <f>IFERROR(__xludf.DUMMYFUNCTION("""COMPUTED_VALUE"""),29.55)</f>
        <v>29.55</v>
      </c>
    </row>
    <row r="1008" ht="15.75" customHeight="1">
      <c r="A1008" s="25">
        <f>IFERROR(__xludf.DUMMYFUNCTION("""COMPUTED_VALUE"""),44721.66666666667)</f>
        <v>44721.66667</v>
      </c>
      <c r="B1008" s="22">
        <f>IFERROR(__xludf.DUMMYFUNCTION("""COMPUTED_VALUE"""),4017.82)</f>
        <v>4017.82</v>
      </c>
      <c r="C1008" s="25">
        <f>IFERROR(__xludf.DUMMYFUNCTION("""COMPUTED_VALUE"""),44721.63611111111)</f>
        <v>44721.63611</v>
      </c>
      <c r="D1008" s="22">
        <f>IFERROR(__xludf.DUMMYFUNCTION("""COMPUTED_VALUE"""),26.09)</f>
        <v>26.09</v>
      </c>
      <c r="F1008" s="25">
        <f>IFERROR(__xludf.DUMMYFUNCTION("""COMPUTED_VALUE"""),44721.63611111111)</f>
        <v>44721.63611</v>
      </c>
      <c r="G1008" s="22">
        <f>IFERROR(__xludf.DUMMYFUNCTION("""COMPUTED_VALUE"""),28.01)</f>
        <v>28.01</v>
      </c>
      <c r="H1008" s="25">
        <f>IFERROR(__xludf.DUMMYFUNCTION("""COMPUTED_VALUE"""),44721.63611111111)</f>
        <v>44721.63611</v>
      </c>
      <c r="I1008" s="22">
        <f>IFERROR(__xludf.DUMMYFUNCTION("""COMPUTED_VALUE"""),29.49)</f>
        <v>29.49</v>
      </c>
      <c r="J1008" s="25">
        <f>IFERROR(__xludf.DUMMYFUNCTION("""COMPUTED_VALUE"""),44721.63611111111)</f>
        <v>44721.63611</v>
      </c>
      <c r="K1008" s="22">
        <f>IFERROR(__xludf.DUMMYFUNCTION("""COMPUTED_VALUE"""),30.23)</f>
        <v>30.23</v>
      </c>
    </row>
    <row r="1009" ht="15.75" customHeight="1">
      <c r="A1009" s="25">
        <f>IFERROR(__xludf.DUMMYFUNCTION("""COMPUTED_VALUE"""),44722.66666666667)</f>
        <v>44722.66667</v>
      </c>
      <c r="B1009" s="22">
        <f>IFERROR(__xludf.DUMMYFUNCTION("""COMPUTED_VALUE"""),3900.86)</f>
        <v>3900.86</v>
      </c>
      <c r="C1009" s="25">
        <f>IFERROR(__xludf.DUMMYFUNCTION("""COMPUTED_VALUE"""),44722.63611111111)</f>
        <v>44722.63611</v>
      </c>
      <c r="D1009" s="22">
        <f>IFERROR(__xludf.DUMMYFUNCTION("""COMPUTED_VALUE"""),27.75)</f>
        <v>27.75</v>
      </c>
      <c r="F1009" s="25">
        <f>IFERROR(__xludf.DUMMYFUNCTION("""COMPUTED_VALUE"""),44722.63611111111)</f>
        <v>44722.63611</v>
      </c>
      <c r="G1009" s="22">
        <f>IFERROR(__xludf.DUMMYFUNCTION("""COMPUTED_VALUE"""),29.72)</f>
        <v>29.72</v>
      </c>
      <c r="H1009" s="25">
        <f>IFERROR(__xludf.DUMMYFUNCTION("""COMPUTED_VALUE"""),44722.63611111111)</f>
        <v>44722.63611</v>
      </c>
      <c r="I1009" s="22">
        <f>IFERROR(__xludf.DUMMYFUNCTION("""COMPUTED_VALUE"""),30.94)</f>
        <v>30.94</v>
      </c>
      <c r="J1009" s="25">
        <f>IFERROR(__xludf.DUMMYFUNCTION("""COMPUTED_VALUE"""),44722.63611111111)</f>
        <v>44722.63611</v>
      </c>
      <c r="K1009" s="22">
        <f>IFERROR(__xludf.DUMMYFUNCTION("""COMPUTED_VALUE"""),31.06)</f>
        <v>31.06</v>
      </c>
    </row>
    <row r="1010" ht="15.75" customHeight="1">
      <c r="A1010" s="25">
        <f>IFERROR(__xludf.DUMMYFUNCTION("""COMPUTED_VALUE"""),44725.66666666667)</f>
        <v>44725.66667</v>
      </c>
      <c r="B1010" s="22">
        <f>IFERROR(__xludf.DUMMYFUNCTION("""COMPUTED_VALUE"""),3749.63)</f>
        <v>3749.63</v>
      </c>
      <c r="C1010" s="25">
        <f>IFERROR(__xludf.DUMMYFUNCTION("""COMPUTED_VALUE"""),44725.63611111111)</f>
        <v>44725.63611</v>
      </c>
      <c r="D1010" s="22">
        <f>IFERROR(__xludf.DUMMYFUNCTION("""COMPUTED_VALUE"""),34.02)</f>
        <v>34.02</v>
      </c>
      <c r="F1010" s="25">
        <f>IFERROR(__xludf.DUMMYFUNCTION("""COMPUTED_VALUE"""),44725.63611111111)</f>
        <v>44725.63611</v>
      </c>
      <c r="G1010" s="22">
        <f>IFERROR(__xludf.DUMMYFUNCTION("""COMPUTED_VALUE"""),34.24)</f>
        <v>34.24</v>
      </c>
      <c r="H1010" s="25">
        <f>IFERROR(__xludf.DUMMYFUNCTION("""COMPUTED_VALUE"""),44725.63611111111)</f>
        <v>44725.63611</v>
      </c>
      <c r="I1010" s="22">
        <f>IFERROR(__xludf.DUMMYFUNCTION("""COMPUTED_VALUE"""),34.16)</f>
        <v>34.16</v>
      </c>
      <c r="J1010" s="25">
        <f>IFERROR(__xludf.DUMMYFUNCTION("""COMPUTED_VALUE"""),44725.63611111111)</f>
        <v>44725.63611</v>
      </c>
      <c r="K1010" s="22">
        <f>IFERROR(__xludf.DUMMYFUNCTION("""COMPUTED_VALUE"""),33.19)</f>
        <v>33.19</v>
      </c>
    </row>
    <row r="1011" ht="15.75" customHeight="1">
      <c r="A1011" s="25">
        <f>IFERROR(__xludf.DUMMYFUNCTION("""COMPUTED_VALUE"""),44726.66666666667)</f>
        <v>44726.66667</v>
      </c>
      <c r="B1011" s="22">
        <f>IFERROR(__xludf.DUMMYFUNCTION("""COMPUTED_VALUE"""),3735.48)</f>
        <v>3735.48</v>
      </c>
      <c r="C1011" s="25">
        <f>IFERROR(__xludf.DUMMYFUNCTION("""COMPUTED_VALUE"""),44726.63611111111)</f>
        <v>44726.63611</v>
      </c>
      <c r="D1011" s="22">
        <f>IFERROR(__xludf.DUMMYFUNCTION("""COMPUTED_VALUE"""),32.69)</f>
        <v>32.69</v>
      </c>
      <c r="F1011" s="25">
        <f>IFERROR(__xludf.DUMMYFUNCTION("""COMPUTED_VALUE"""),44726.63611111111)</f>
        <v>44726.63611</v>
      </c>
      <c r="G1011" s="22">
        <f>IFERROR(__xludf.DUMMYFUNCTION("""COMPUTED_VALUE"""),33.28)</f>
        <v>33.28</v>
      </c>
      <c r="H1011" s="25">
        <f>IFERROR(__xludf.DUMMYFUNCTION("""COMPUTED_VALUE"""),44726.63611111111)</f>
        <v>44726.63611</v>
      </c>
      <c r="I1011" s="22">
        <f>IFERROR(__xludf.DUMMYFUNCTION("""COMPUTED_VALUE"""),33.57)</f>
        <v>33.57</v>
      </c>
      <c r="J1011" s="25">
        <f>IFERROR(__xludf.DUMMYFUNCTION("""COMPUTED_VALUE"""),44726.63611111111)</f>
        <v>44726.63611</v>
      </c>
      <c r="K1011" s="22">
        <f>IFERROR(__xludf.DUMMYFUNCTION("""COMPUTED_VALUE"""),32.89)</f>
        <v>32.89</v>
      </c>
    </row>
    <row r="1012" ht="15.75" customHeight="1">
      <c r="A1012" s="25">
        <f>IFERROR(__xludf.DUMMYFUNCTION("""COMPUTED_VALUE"""),44727.66666666667)</f>
        <v>44727.66667</v>
      </c>
      <c r="B1012" s="22">
        <f>IFERROR(__xludf.DUMMYFUNCTION("""COMPUTED_VALUE"""),3789.99)</f>
        <v>3789.99</v>
      </c>
      <c r="C1012" s="25">
        <f>IFERROR(__xludf.DUMMYFUNCTION("""COMPUTED_VALUE"""),44727.63611111111)</f>
        <v>44727.63611</v>
      </c>
      <c r="D1012" s="22">
        <f>IFERROR(__xludf.DUMMYFUNCTION("""COMPUTED_VALUE"""),29.62)</f>
        <v>29.62</v>
      </c>
      <c r="F1012" s="25">
        <f>IFERROR(__xludf.DUMMYFUNCTION("""COMPUTED_VALUE"""),44727.63611111111)</f>
        <v>44727.63611</v>
      </c>
      <c r="G1012" s="22">
        <f>IFERROR(__xludf.DUMMYFUNCTION("""COMPUTED_VALUE"""),30.78)</f>
        <v>30.78</v>
      </c>
      <c r="H1012" s="25">
        <f>IFERROR(__xludf.DUMMYFUNCTION("""COMPUTED_VALUE"""),44727.63611111111)</f>
        <v>44727.63611</v>
      </c>
      <c r="I1012" s="22">
        <f>IFERROR(__xludf.DUMMYFUNCTION("""COMPUTED_VALUE"""),31.56)</f>
        <v>31.56</v>
      </c>
      <c r="J1012" s="25">
        <f>IFERROR(__xludf.DUMMYFUNCTION("""COMPUTED_VALUE"""),44727.63611111111)</f>
        <v>44727.63611</v>
      </c>
      <c r="K1012" s="22">
        <f>IFERROR(__xludf.DUMMYFUNCTION("""COMPUTED_VALUE"""),31.71)</f>
        <v>31.71</v>
      </c>
    </row>
    <row r="1013" ht="15.75" customHeight="1">
      <c r="A1013" s="25">
        <f>IFERROR(__xludf.DUMMYFUNCTION("""COMPUTED_VALUE"""),44728.66666666667)</f>
        <v>44728.66667</v>
      </c>
      <c r="B1013" s="22">
        <f>IFERROR(__xludf.DUMMYFUNCTION("""COMPUTED_VALUE"""),3666.77)</f>
        <v>3666.77</v>
      </c>
      <c r="C1013" s="25">
        <f>IFERROR(__xludf.DUMMYFUNCTION("""COMPUTED_VALUE"""),44728.63611111111)</f>
        <v>44728.63611</v>
      </c>
      <c r="D1013" s="22">
        <f>IFERROR(__xludf.DUMMYFUNCTION("""COMPUTED_VALUE"""),32.95)</f>
        <v>32.95</v>
      </c>
      <c r="F1013" s="25">
        <f>IFERROR(__xludf.DUMMYFUNCTION("""COMPUTED_VALUE"""),44728.63611111111)</f>
        <v>44728.63611</v>
      </c>
      <c r="G1013" s="22">
        <f>IFERROR(__xludf.DUMMYFUNCTION("""COMPUTED_VALUE"""),33.49)</f>
        <v>33.49</v>
      </c>
      <c r="H1013" s="25">
        <f>IFERROR(__xludf.DUMMYFUNCTION("""COMPUTED_VALUE"""),44728.63611111111)</f>
        <v>44728.63611</v>
      </c>
      <c r="I1013" s="22">
        <f>IFERROR(__xludf.DUMMYFUNCTION("""COMPUTED_VALUE"""),33.92)</f>
        <v>33.92</v>
      </c>
      <c r="J1013" s="25">
        <f>IFERROR(__xludf.DUMMYFUNCTION("""COMPUTED_VALUE"""),44728.63611111111)</f>
        <v>44728.63611</v>
      </c>
      <c r="K1013" s="22">
        <f>IFERROR(__xludf.DUMMYFUNCTION("""COMPUTED_VALUE"""),33.29)</f>
        <v>33.29</v>
      </c>
    </row>
    <row r="1014" ht="15.75" customHeight="1">
      <c r="A1014" s="25">
        <f>IFERROR(__xludf.DUMMYFUNCTION("""COMPUTED_VALUE"""),44729.66666666667)</f>
        <v>44729.66667</v>
      </c>
      <c r="B1014" s="22">
        <f>IFERROR(__xludf.DUMMYFUNCTION("""COMPUTED_VALUE"""),3674.84)</f>
        <v>3674.84</v>
      </c>
      <c r="C1014" s="25">
        <f>IFERROR(__xludf.DUMMYFUNCTION("""COMPUTED_VALUE"""),44729.63611111111)</f>
        <v>44729.63611</v>
      </c>
      <c r="D1014" s="22">
        <f>IFERROR(__xludf.DUMMYFUNCTION("""COMPUTED_VALUE"""),31.13)</f>
        <v>31.13</v>
      </c>
      <c r="F1014" s="25">
        <f>IFERROR(__xludf.DUMMYFUNCTION("""COMPUTED_VALUE"""),44729.63611111111)</f>
        <v>44729.63611</v>
      </c>
      <c r="G1014" s="22">
        <f>IFERROR(__xludf.DUMMYFUNCTION("""COMPUTED_VALUE"""),32.36)</f>
        <v>32.36</v>
      </c>
      <c r="H1014" s="25">
        <f>IFERROR(__xludf.DUMMYFUNCTION("""COMPUTED_VALUE"""),44729.63611111111)</f>
        <v>44729.63611</v>
      </c>
      <c r="I1014" s="22">
        <f>IFERROR(__xludf.DUMMYFUNCTION("""COMPUTED_VALUE"""),32.81)</f>
        <v>32.81</v>
      </c>
      <c r="J1014" s="25">
        <f>IFERROR(__xludf.DUMMYFUNCTION("""COMPUTED_VALUE"""),44729.63611111111)</f>
        <v>44729.63611</v>
      </c>
      <c r="K1014" s="22">
        <f>IFERROR(__xludf.DUMMYFUNCTION("""COMPUTED_VALUE"""),32.47)</f>
        <v>32.47</v>
      </c>
    </row>
    <row r="1015" ht="15.75" customHeight="1">
      <c r="A1015" s="25">
        <f>IFERROR(__xludf.DUMMYFUNCTION("""COMPUTED_VALUE"""),44733.66666666667)</f>
        <v>44733.66667</v>
      </c>
      <c r="B1015" s="22">
        <f>IFERROR(__xludf.DUMMYFUNCTION("""COMPUTED_VALUE"""),3764.79)</f>
        <v>3764.79</v>
      </c>
      <c r="C1015" s="25">
        <f>IFERROR(__xludf.DUMMYFUNCTION("""COMPUTED_VALUE"""),44733.63611111111)</f>
        <v>44733.63611</v>
      </c>
      <c r="D1015" s="22">
        <f>IFERROR(__xludf.DUMMYFUNCTION("""COMPUTED_VALUE"""),30.19)</f>
        <v>30.19</v>
      </c>
      <c r="F1015" s="25">
        <f>IFERROR(__xludf.DUMMYFUNCTION("""COMPUTED_VALUE"""),44733.63611111111)</f>
        <v>44733.63611</v>
      </c>
      <c r="G1015" s="22">
        <f>IFERROR(__xludf.DUMMYFUNCTION("""COMPUTED_VALUE"""),31.25)</f>
        <v>31.25</v>
      </c>
      <c r="H1015" s="25">
        <f>IFERROR(__xludf.DUMMYFUNCTION("""COMPUTED_VALUE"""),44733.63611111111)</f>
        <v>44733.63611</v>
      </c>
      <c r="I1015" s="22">
        <f>IFERROR(__xludf.DUMMYFUNCTION("""COMPUTED_VALUE"""),31.86)</f>
        <v>31.86</v>
      </c>
      <c r="J1015" s="25">
        <f>IFERROR(__xludf.DUMMYFUNCTION("""COMPUTED_VALUE"""),44733.63611111111)</f>
        <v>44733.63611</v>
      </c>
      <c r="K1015" s="22">
        <f>IFERROR(__xludf.DUMMYFUNCTION("""COMPUTED_VALUE"""),31.59)</f>
        <v>31.59</v>
      </c>
    </row>
    <row r="1016" ht="15.75" customHeight="1">
      <c r="A1016" s="25">
        <f>IFERROR(__xludf.DUMMYFUNCTION("""COMPUTED_VALUE"""),44734.66666666667)</f>
        <v>44734.66667</v>
      </c>
      <c r="B1016" s="22">
        <f>IFERROR(__xludf.DUMMYFUNCTION("""COMPUTED_VALUE"""),3759.89)</f>
        <v>3759.89</v>
      </c>
      <c r="C1016" s="25">
        <f>IFERROR(__xludf.DUMMYFUNCTION("""COMPUTED_VALUE"""),44734.63611111111)</f>
        <v>44734.63611</v>
      </c>
      <c r="D1016" s="22">
        <f>IFERROR(__xludf.DUMMYFUNCTION("""COMPUTED_VALUE"""),28.95)</f>
        <v>28.95</v>
      </c>
      <c r="F1016" s="25">
        <f>IFERROR(__xludf.DUMMYFUNCTION("""COMPUTED_VALUE"""),44734.63611111111)</f>
        <v>44734.63611</v>
      </c>
      <c r="G1016" s="22">
        <f>IFERROR(__xludf.DUMMYFUNCTION("""COMPUTED_VALUE"""),30.24)</f>
        <v>30.24</v>
      </c>
      <c r="H1016" s="25">
        <f>IFERROR(__xludf.DUMMYFUNCTION("""COMPUTED_VALUE"""),44734.63611111111)</f>
        <v>44734.63611</v>
      </c>
      <c r="I1016" s="22">
        <f>IFERROR(__xludf.DUMMYFUNCTION("""COMPUTED_VALUE"""),31.18)</f>
        <v>31.18</v>
      </c>
      <c r="J1016" s="25">
        <f>IFERROR(__xludf.DUMMYFUNCTION("""COMPUTED_VALUE"""),44734.63611111111)</f>
        <v>44734.63611</v>
      </c>
      <c r="K1016" s="22">
        <f>IFERROR(__xludf.DUMMYFUNCTION("""COMPUTED_VALUE"""),31.13)</f>
        <v>31.13</v>
      </c>
    </row>
    <row r="1017" ht="15.75" customHeight="1">
      <c r="A1017" s="25">
        <f>IFERROR(__xludf.DUMMYFUNCTION("""COMPUTED_VALUE"""),44735.66666666667)</f>
        <v>44735.66667</v>
      </c>
      <c r="B1017" s="22">
        <f>IFERROR(__xludf.DUMMYFUNCTION("""COMPUTED_VALUE"""),3795.73)</f>
        <v>3795.73</v>
      </c>
      <c r="C1017" s="25">
        <f>IFERROR(__xludf.DUMMYFUNCTION("""COMPUTED_VALUE"""),44735.63611111111)</f>
        <v>44735.63611</v>
      </c>
      <c r="D1017" s="22">
        <f>IFERROR(__xludf.DUMMYFUNCTION("""COMPUTED_VALUE"""),29.05)</f>
        <v>29.05</v>
      </c>
      <c r="F1017" s="25">
        <f>IFERROR(__xludf.DUMMYFUNCTION("""COMPUTED_VALUE"""),44735.63611111111)</f>
        <v>44735.63611</v>
      </c>
      <c r="G1017" s="22">
        <f>IFERROR(__xludf.DUMMYFUNCTION("""COMPUTED_VALUE"""),30.19)</f>
        <v>30.19</v>
      </c>
      <c r="H1017" s="25">
        <f>IFERROR(__xludf.DUMMYFUNCTION("""COMPUTED_VALUE"""),44735.63611111111)</f>
        <v>44735.63611</v>
      </c>
      <c r="I1017" s="22">
        <f>IFERROR(__xludf.DUMMYFUNCTION("""COMPUTED_VALUE"""),31.13)</f>
        <v>31.13</v>
      </c>
      <c r="J1017" s="25">
        <f>IFERROR(__xludf.DUMMYFUNCTION("""COMPUTED_VALUE"""),44735.63611111111)</f>
        <v>44735.63611</v>
      </c>
      <c r="K1017" s="22">
        <f>IFERROR(__xludf.DUMMYFUNCTION("""COMPUTED_VALUE"""),31.02)</f>
        <v>31.02</v>
      </c>
    </row>
    <row r="1018" ht="15.75" customHeight="1">
      <c r="A1018" s="25">
        <f>IFERROR(__xludf.DUMMYFUNCTION("""COMPUTED_VALUE"""),44736.66666666667)</f>
        <v>44736.66667</v>
      </c>
      <c r="B1018" s="22">
        <f>IFERROR(__xludf.DUMMYFUNCTION("""COMPUTED_VALUE"""),3911.74)</f>
        <v>3911.74</v>
      </c>
      <c r="C1018" s="25">
        <f>IFERROR(__xludf.DUMMYFUNCTION("""COMPUTED_VALUE"""),44736.63611111111)</f>
        <v>44736.63611</v>
      </c>
      <c r="D1018" s="22">
        <f>IFERROR(__xludf.DUMMYFUNCTION("""COMPUTED_VALUE"""),27.23)</f>
        <v>27.23</v>
      </c>
      <c r="F1018" s="25">
        <f>IFERROR(__xludf.DUMMYFUNCTION("""COMPUTED_VALUE"""),44736.63611111111)</f>
        <v>44736.63611</v>
      </c>
      <c r="G1018" s="22">
        <f>IFERROR(__xludf.DUMMYFUNCTION("""COMPUTED_VALUE"""),28.95)</f>
        <v>28.95</v>
      </c>
      <c r="H1018" s="25">
        <f>IFERROR(__xludf.DUMMYFUNCTION("""COMPUTED_VALUE"""),44736.63611111111)</f>
        <v>44736.63611</v>
      </c>
      <c r="I1018" s="22">
        <f>IFERROR(__xludf.DUMMYFUNCTION("""COMPUTED_VALUE"""),30.16)</f>
        <v>30.16</v>
      </c>
      <c r="J1018" s="25">
        <f>IFERROR(__xludf.DUMMYFUNCTION("""COMPUTED_VALUE"""),44736.63611111111)</f>
        <v>44736.63611</v>
      </c>
      <c r="K1018" s="22">
        <f>IFERROR(__xludf.DUMMYFUNCTION("""COMPUTED_VALUE"""),30.56)</f>
        <v>30.56</v>
      </c>
    </row>
    <row r="1019" ht="15.75" customHeight="1">
      <c r="A1019" s="25">
        <f>IFERROR(__xludf.DUMMYFUNCTION("""COMPUTED_VALUE"""),44739.66666666667)</f>
        <v>44739.66667</v>
      </c>
      <c r="B1019" s="22">
        <f>IFERROR(__xludf.DUMMYFUNCTION("""COMPUTED_VALUE"""),3900.11)</f>
        <v>3900.11</v>
      </c>
      <c r="C1019" s="25">
        <f>IFERROR(__xludf.DUMMYFUNCTION("""COMPUTED_VALUE"""),44739.63611111111)</f>
        <v>44739.63611</v>
      </c>
      <c r="D1019" s="22">
        <f>IFERROR(__xludf.DUMMYFUNCTION("""COMPUTED_VALUE"""),26.95)</f>
        <v>26.95</v>
      </c>
      <c r="F1019" s="25">
        <f>IFERROR(__xludf.DUMMYFUNCTION("""COMPUTED_VALUE"""),44739.63611111111)</f>
        <v>44739.63611</v>
      </c>
      <c r="G1019" s="22">
        <f>IFERROR(__xludf.DUMMYFUNCTION("""COMPUTED_VALUE"""),28.18)</f>
        <v>28.18</v>
      </c>
      <c r="H1019" s="25">
        <f>IFERROR(__xludf.DUMMYFUNCTION("""COMPUTED_VALUE"""),44739.63611111111)</f>
        <v>44739.63611</v>
      </c>
      <c r="I1019" s="22">
        <f>IFERROR(__xludf.DUMMYFUNCTION("""COMPUTED_VALUE"""),29.61)</f>
        <v>29.61</v>
      </c>
      <c r="J1019" s="25">
        <f>IFERROR(__xludf.DUMMYFUNCTION("""COMPUTED_VALUE"""),44739.63611111111)</f>
        <v>44739.63611</v>
      </c>
      <c r="K1019" s="22">
        <f>IFERROR(__xludf.DUMMYFUNCTION("""COMPUTED_VALUE"""),30.1)</f>
        <v>30.1</v>
      </c>
    </row>
    <row r="1020" ht="15.75" customHeight="1">
      <c r="A1020" s="25">
        <f>IFERROR(__xludf.DUMMYFUNCTION("""COMPUTED_VALUE"""),44740.66666666667)</f>
        <v>44740.66667</v>
      </c>
      <c r="B1020" s="22">
        <f>IFERROR(__xludf.DUMMYFUNCTION("""COMPUTED_VALUE"""),3821.55)</f>
        <v>3821.55</v>
      </c>
      <c r="C1020" s="25">
        <f>IFERROR(__xludf.DUMMYFUNCTION("""COMPUTED_VALUE"""),44740.63611111111)</f>
        <v>44740.63611</v>
      </c>
      <c r="D1020" s="22">
        <f>IFERROR(__xludf.DUMMYFUNCTION("""COMPUTED_VALUE"""),28.36)</f>
        <v>28.36</v>
      </c>
      <c r="F1020" s="25">
        <f>IFERROR(__xludf.DUMMYFUNCTION("""COMPUTED_VALUE"""),44740.63611111111)</f>
        <v>44740.63611</v>
      </c>
      <c r="G1020" s="22">
        <f>IFERROR(__xludf.DUMMYFUNCTION("""COMPUTED_VALUE"""),29.15)</f>
        <v>29.15</v>
      </c>
      <c r="H1020" s="25">
        <f>IFERROR(__xludf.DUMMYFUNCTION("""COMPUTED_VALUE"""),44740.63611111111)</f>
        <v>44740.63611</v>
      </c>
      <c r="I1020" s="22">
        <f>IFERROR(__xludf.DUMMYFUNCTION("""COMPUTED_VALUE"""),30.38)</f>
        <v>30.38</v>
      </c>
      <c r="J1020" s="25">
        <f>IFERROR(__xludf.DUMMYFUNCTION("""COMPUTED_VALUE"""),44740.63611111111)</f>
        <v>44740.63611</v>
      </c>
      <c r="K1020" s="22">
        <f>IFERROR(__xludf.DUMMYFUNCTION("""COMPUTED_VALUE"""),30.59)</f>
        <v>30.59</v>
      </c>
    </row>
    <row r="1021" ht="15.75" customHeight="1">
      <c r="A1021" s="25">
        <f>IFERROR(__xludf.DUMMYFUNCTION("""COMPUTED_VALUE"""),44741.66666666667)</f>
        <v>44741.66667</v>
      </c>
      <c r="B1021" s="22">
        <f>IFERROR(__xludf.DUMMYFUNCTION("""COMPUTED_VALUE"""),3818.83)</f>
        <v>3818.83</v>
      </c>
      <c r="C1021" s="25">
        <f>IFERROR(__xludf.DUMMYFUNCTION("""COMPUTED_VALUE"""),44741.63611111111)</f>
        <v>44741.63611</v>
      </c>
      <c r="D1021" s="22">
        <f>IFERROR(__xludf.DUMMYFUNCTION("""COMPUTED_VALUE"""),28.16)</f>
        <v>28.16</v>
      </c>
      <c r="F1021" s="25">
        <f>IFERROR(__xludf.DUMMYFUNCTION("""COMPUTED_VALUE"""),44741.63611111111)</f>
        <v>44741.63611</v>
      </c>
      <c r="G1021" s="22">
        <f>IFERROR(__xludf.DUMMYFUNCTION("""COMPUTED_VALUE"""),29.0)</f>
        <v>29</v>
      </c>
      <c r="H1021" s="25">
        <f>IFERROR(__xludf.DUMMYFUNCTION("""COMPUTED_VALUE"""),44741.63611111111)</f>
        <v>44741.63611</v>
      </c>
      <c r="I1021" s="22">
        <f>IFERROR(__xludf.DUMMYFUNCTION("""COMPUTED_VALUE"""),30.27)</f>
        <v>30.27</v>
      </c>
      <c r="J1021" s="25">
        <f>IFERROR(__xludf.DUMMYFUNCTION("""COMPUTED_VALUE"""),44741.63611111111)</f>
        <v>44741.63611</v>
      </c>
      <c r="K1021" s="22">
        <f>IFERROR(__xludf.DUMMYFUNCTION("""COMPUTED_VALUE"""),30.65)</f>
        <v>30.65</v>
      </c>
    </row>
    <row r="1022" ht="15.75" customHeight="1">
      <c r="A1022" s="25">
        <f>IFERROR(__xludf.DUMMYFUNCTION("""COMPUTED_VALUE"""),44742.66666666667)</f>
        <v>44742.66667</v>
      </c>
      <c r="B1022" s="22">
        <f>IFERROR(__xludf.DUMMYFUNCTION("""COMPUTED_VALUE"""),3785.38)</f>
        <v>3785.38</v>
      </c>
      <c r="C1022" s="25">
        <f>IFERROR(__xludf.DUMMYFUNCTION("""COMPUTED_VALUE"""),44742.63611111111)</f>
        <v>44742.63611</v>
      </c>
      <c r="D1022" s="22">
        <f>IFERROR(__xludf.DUMMYFUNCTION("""COMPUTED_VALUE"""),28.71)</f>
        <v>28.71</v>
      </c>
      <c r="F1022" s="25">
        <f>IFERROR(__xludf.DUMMYFUNCTION("""COMPUTED_VALUE"""),44742.63611111111)</f>
        <v>44742.63611</v>
      </c>
      <c r="G1022" s="22">
        <f>IFERROR(__xludf.DUMMYFUNCTION("""COMPUTED_VALUE"""),29.71)</f>
        <v>29.71</v>
      </c>
      <c r="H1022" s="25">
        <f>IFERROR(__xludf.DUMMYFUNCTION("""COMPUTED_VALUE"""),44742.63611111111)</f>
        <v>44742.63611</v>
      </c>
      <c r="I1022" s="22">
        <f>IFERROR(__xludf.DUMMYFUNCTION("""COMPUTED_VALUE"""),30.85)</f>
        <v>30.85</v>
      </c>
      <c r="J1022" s="25">
        <f>IFERROR(__xludf.DUMMYFUNCTION("""COMPUTED_VALUE"""),44742.63611111111)</f>
        <v>44742.63611</v>
      </c>
      <c r="K1022" s="22">
        <f>IFERROR(__xludf.DUMMYFUNCTION("""COMPUTED_VALUE"""),31.1)</f>
        <v>31.1</v>
      </c>
    </row>
    <row r="1023" ht="15.75" customHeight="1">
      <c r="A1023" s="25">
        <f>IFERROR(__xludf.DUMMYFUNCTION("""COMPUTED_VALUE"""),44743.66666666667)</f>
        <v>44743.66667</v>
      </c>
      <c r="B1023" s="22">
        <f>IFERROR(__xludf.DUMMYFUNCTION("""COMPUTED_VALUE"""),3825.33)</f>
        <v>3825.33</v>
      </c>
      <c r="C1023" s="25">
        <f>IFERROR(__xludf.DUMMYFUNCTION("""COMPUTED_VALUE"""),44743.63611111111)</f>
        <v>44743.63611</v>
      </c>
      <c r="D1023" s="22">
        <f>IFERROR(__xludf.DUMMYFUNCTION("""COMPUTED_VALUE"""),26.7)</f>
        <v>26.7</v>
      </c>
      <c r="F1023" s="25">
        <f>IFERROR(__xludf.DUMMYFUNCTION("""COMPUTED_VALUE"""),44743.63611111111)</f>
        <v>44743.63611</v>
      </c>
      <c r="G1023" s="22">
        <f>IFERROR(__xludf.DUMMYFUNCTION("""COMPUTED_VALUE"""),28.52)</f>
        <v>28.52</v>
      </c>
      <c r="H1023" s="25">
        <f>IFERROR(__xludf.DUMMYFUNCTION("""COMPUTED_VALUE"""),44743.63611111111)</f>
        <v>44743.63611</v>
      </c>
      <c r="I1023" s="22">
        <f>IFERROR(__xludf.DUMMYFUNCTION("""COMPUTED_VALUE"""),29.93)</f>
        <v>29.93</v>
      </c>
      <c r="J1023" s="25">
        <f>IFERROR(__xludf.DUMMYFUNCTION("""COMPUTED_VALUE"""),44743.63611111111)</f>
        <v>44743.63611</v>
      </c>
      <c r="K1023" s="22">
        <f>IFERROR(__xludf.DUMMYFUNCTION("""COMPUTED_VALUE"""),30.41)</f>
        <v>30.41</v>
      </c>
    </row>
    <row r="1024" ht="15.75" customHeight="1">
      <c r="A1024" s="25">
        <f>IFERROR(__xludf.DUMMYFUNCTION("""COMPUTED_VALUE"""),44747.66666666667)</f>
        <v>44747.66667</v>
      </c>
      <c r="B1024" s="22">
        <f>IFERROR(__xludf.DUMMYFUNCTION("""COMPUTED_VALUE"""),3831.39)</f>
        <v>3831.39</v>
      </c>
      <c r="C1024" s="25">
        <f>IFERROR(__xludf.DUMMYFUNCTION("""COMPUTED_VALUE"""),44747.63611111111)</f>
        <v>44747.63611</v>
      </c>
      <c r="D1024" s="22">
        <f>IFERROR(__xludf.DUMMYFUNCTION("""COMPUTED_VALUE"""),27.54)</f>
        <v>27.54</v>
      </c>
      <c r="F1024" s="25">
        <f>IFERROR(__xludf.DUMMYFUNCTION("""COMPUTED_VALUE"""),44747.63611111111)</f>
        <v>44747.63611</v>
      </c>
      <c r="G1024" s="22">
        <f>IFERROR(__xludf.DUMMYFUNCTION("""COMPUTED_VALUE"""),28.9)</f>
        <v>28.9</v>
      </c>
      <c r="H1024" s="25">
        <f>IFERROR(__xludf.DUMMYFUNCTION("""COMPUTED_VALUE"""),44747.63611111111)</f>
        <v>44747.63611</v>
      </c>
      <c r="I1024" s="22">
        <f>IFERROR(__xludf.DUMMYFUNCTION("""COMPUTED_VALUE"""),30.01)</f>
        <v>30.01</v>
      </c>
      <c r="J1024" s="25">
        <f>IFERROR(__xludf.DUMMYFUNCTION("""COMPUTED_VALUE"""),44747.63611111111)</f>
        <v>44747.63611</v>
      </c>
      <c r="K1024" s="22">
        <f>IFERROR(__xludf.DUMMYFUNCTION("""COMPUTED_VALUE"""),30.08)</f>
        <v>30.08</v>
      </c>
    </row>
    <row r="1025" ht="15.75" customHeight="1">
      <c r="A1025" s="25">
        <f>IFERROR(__xludf.DUMMYFUNCTION("""COMPUTED_VALUE"""),44748.66666666667)</f>
        <v>44748.66667</v>
      </c>
      <c r="B1025" s="22">
        <f>IFERROR(__xludf.DUMMYFUNCTION("""COMPUTED_VALUE"""),3845.08)</f>
        <v>3845.08</v>
      </c>
      <c r="C1025" s="25">
        <f>IFERROR(__xludf.DUMMYFUNCTION("""COMPUTED_VALUE"""),44748.63611111111)</f>
        <v>44748.63611</v>
      </c>
      <c r="D1025" s="22">
        <f>IFERROR(__xludf.DUMMYFUNCTION("""COMPUTED_VALUE"""),26.73)</f>
        <v>26.73</v>
      </c>
      <c r="F1025" s="25">
        <f>IFERROR(__xludf.DUMMYFUNCTION("""COMPUTED_VALUE"""),44748.63611111111)</f>
        <v>44748.63611</v>
      </c>
      <c r="G1025" s="22">
        <f>IFERROR(__xludf.DUMMYFUNCTION("""COMPUTED_VALUE"""),28.39)</f>
        <v>28.39</v>
      </c>
      <c r="H1025" s="25">
        <f>IFERROR(__xludf.DUMMYFUNCTION("""COMPUTED_VALUE"""),44748.63611111111)</f>
        <v>44748.63611</v>
      </c>
      <c r="I1025" s="22">
        <f>IFERROR(__xludf.DUMMYFUNCTION("""COMPUTED_VALUE"""),29.62)</f>
        <v>29.62</v>
      </c>
      <c r="J1025" s="25">
        <f>IFERROR(__xludf.DUMMYFUNCTION("""COMPUTED_VALUE"""),44748.63611111111)</f>
        <v>44748.63611</v>
      </c>
      <c r="K1025" s="22">
        <f>IFERROR(__xludf.DUMMYFUNCTION("""COMPUTED_VALUE"""),29.97)</f>
        <v>29.97</v>
      </c>
    </row>
    <row r="1026" ht="15.75" customHeight="1">
      <c r="A1026" s="25">
        <f>IFERROR(__xludf.DUMMYFUNCTION("""COMPUTED_VALUE"""),44749.66666666667)</f>
        <v>44749.66667</v>
      </c>
      <c r="B1026" s="22">
        <f>IFERROR(__xludf.DUMMYFUNCTION("""COMPUTED_VALUE"""),3902.62)</f>
        <v>3902.62</v>
      </c>
      <c r="C1026" s="25">
        <f>IFERROR(__xludf.DUMMYFUNCTION("""COMPUTED_VALUE"""),44749.63611111111)</f>
        <v>44749.63611</v>
      </c>
      <c r="D1026" s="22">
        <f>IFERROR(__xludf.DUMMYFUNCTION("""COMPUTED_VALUE"""),26.08)</f>
        <v>26.08</v>
      </c>
      <c r="F1026" s="25">
        <f>IFERROR(__xludf.DUMMYFUNCTION("""COMPUTED_VALUE"""),44749.63611111111)</f>
        <v>44749.63611</v>
      </c>
      <c r="G1026" s="22">
        <f>IFERROR(__xludf.DUMMYFUNCTION("""COMPUTED_VALUE"""),28.03)</f>
        <v>28.03</v>
      </c>
      <c r="H1026" s="25">
        <f>IFERROR(__xludf.DUMMYFUNCTION("""COMPUTED_VALUE"""),44749.63611111111)</f>
        <v>44749.63611</v>
      </c>
      <c r="I1026" s="22">
        <f>IFERROR(__xludf.DUMMYFUNCTION("""COMPUTED_VALUE"""),29.37)</f>
        <v>29.37</v>
      </c>
      <c r="J1026" s="25">
        <f>IFERROR(__xludf.DUMMYFUNCTION("""COMPUTED_VALUE"""),44749.63611111111)</f>
        <v>44749.63611</v>
      </c>
      <c r="K1026" s="22">
        <f>IFERROR(__xludf.DUMMYFUNCTION("""COMPUTED_VALUE"""),29.8)</f>
        <v>29.8</v>
      </c>
    </row>
    <row r="1027" ht="15.75" customHeight="1">
      <c r="A1027" s="25">
        <f>IFERROR(__xludf.DUMMYFUNCTION("""COMPUTED_VALUE"""),44750.66666666667)</f>
        <v>44750.66667</v>
      </c>
      <c r="B1027" s="22">
        <f>IFERROR(__xludf.DUMMYFUNCTION("""COMPUTED_VALUE"""),3899.38)</f>
        <v>3899.38</v>
      </c>
      <c r="C1027" s="25">
        <f>IFERROR(__xludf.DUMMYFUNCTION("""COMPUTED_VALUE"""),44750.63611111111)</f>
        <v>44750.63611</v>
      </c>
      <c r="D1027" s="22">
        <f>IFERROR(__xludf.DUMMYFUNCTION("""COMPUTED_VALUE"""),24.64)</f>
        <v>24.64</v>
      </c>
      <c r="F1027" s="25">
        <f>IFERROR(__xludf.DUMMYFUNCTION("""COMPUTED_VALUE"""),44750.63611111111)</f>
        <v>44750.63611</v>
      </c>
      <c r="G1027" s="22">
        <f>IFERROR(__xludf.DUMMYFUNCTION("""COMPUTED_VALUE"""),27.3)</f>
        <v>27.3</v>
      </c>
      <c r="H1027" s="25">
        <f>IFERROR(__xludf.DUMMYFUNCTION("""COMPUTED_VALUE"""),44750.63611111111)</f>
        <v>44750.63611</v>
      </c>
      <c r="I1027" s="22">
        <f>IFERROR(__xludf.DUMMYFUNCTION("""COMPUTED_VALUE"""),28.89)</f>
        <v>28.89</v>
      </c>
      <c r="J1027" s="25">
        <f>IFERROR(__xludf.DUMMYFUNCTION("""COMPUTED_VALUE"""),44750.63611111111)</f>
        <v>44750.63611</v>
      </c>
      <c r="K1027" s="22">
        <f>IFERROR(__xludf.DUMMYFUNCTION("""COMPUTED_VALUE"""),29.54)</f>
        <v>29.54</v>
      </c>
    </row>
    <row r="1028" ht="15.75" customHeight="1">
      <c r="A1028" s="25">
        <f>IFERROR(__xludf.DUMMYFUNCTION("""COMPUTED_VALUE"""),44753.66666666667)</f>
        <v>44753.66667</v>
      </c>
      <c r="B1028" s="22">
        <f>IFERROR(__xludf.DUMMYFUNCTION("""COMPUTED_VALUE"""),3854.43)</f>
        <v>3854.43</v>
      </c>
      <c r="C1028" s="25">
        <f>IFERROR(__xludf.DUMMYFUNCTION("""COMPUTED_VALUE"""),44753.63611111111)</f>
        <v>44753.63611</v>
      </c>
      <c r="D1028" s="22">
        <f>IFERROR(__xludf.DUMMYFUNCTION("""COMPUTED_VALUE"""),26.17)</f>
        <v>26.17</v>
      </c>
      <c r="F1028" s="25">
        <f>IFERROR(__xludf.DUMMYFUNCTION("""COMPUTED_VALUE"""),44753.63611111111)</f>
        <v>44753.63611</v>
      </c>
      <c r="G1028" s="22">
        <f>IFERROR(__xludf.DUMMYFUNCTION("""COMPUTED_VALUE"""),28.25)</f>
        <v>28.25</v>
      </c>
      <c r="H1028" s="25">
        <f>IFERROR(__xludf.DUMMYFUNCTION("""COMPUTED_VALUE"""),44753.63611111111)</f>
        <v>44753.63611</v>
      </c>
      <c r="I1028" s="22">
        <f>IFERROR(__xludf.DUMMYFUNCTION("""COMPUTED_VALUE"""),29.57)</f>
        <v>29.57</v>
      </c>
      <c r="J1028" s="25">
        <f>IFERROR(__xludf.DUMMYFUNCTION("""COMPUTED_VALUE"""),44753.63611111111)</f>
        <v>44753.63611</v>
      </c>
      <c r="K1028" s="22">
        <f>IFERROR(__xludf.DUMMYFUNCTION("""COMPUTED_VALUE"""),30.2)</f>
        <v>30.2</v>
      </c>
    </row>
    <row r="1029" ht="15.75" customHeight="1">
      <c r="A1029" s="25">
        <f>IFERROR(__xludf.DUMMYFUNCTION("""COMPUTED_VALUE"""),44754.66666666667)</f>
        <v>44754.66667</v>
      </c>
      <c r="B1029" s="22">
        <f>IFERROR(__xludf.DUMMYFUNCTION("""COMPUTED_VALUE"""),3818.8)</f>
        <v>3818.8</v>
      </c>
      <c r="C1029" s="25">
        <f>IFERROR(__xludf.DUMMYFUNCTION("""COMPUTED_VALUE"""),44754.63611111111)</f>
        <v>44754.63611</v>
      </c>
      <c r="D1029" s="22">
        <f>IFERROR(__xludf.DUMMYFUNCTION("""COMPUTED_VALUE"""),27.29)</f>
        <v>27.29</v>
      </c>
      <c r="F1029" s="25">
        <f>IFERROR(__xludf.DUMMYFUNCTION("""COMPUTED_VALUE"""),44754.63611111111)</f>
        <v>44754.63611</v>
      </c>
      <c r="G1029" s="22">
        <f>IFERROR(__xludf.DUMMYFUNCTION("""COMPUTED_VALUE"""),28.82)</f>
        <v>28.82</v>
      </c>
      <c r="H1029" s="25">
        <f>IFERROR(__xludf.DUMMYFUNCTION("""COMPUTED_VALUE"""),44754.63611111111)</f>
        <v>44754.63611</v>
      </c>
      <c r="I1029" s="22">
        <f>IFERROR(__xludf.DUMMYFUNCTION("""COMPUTED_VALUE"""),30.04)</f>
        <v>30.04</v>
      </c>
      <c r="J1029" s="25">
        <f>IFERROR(__xludf.DUMMYFUNCTION("""COMPUTED_VALUE"""),44754.63611111111)</f>
        <v>44754.63611</v>
      </c>
      <c r="K1029" s="22">
        <f>IFERROR(__xludf.DUMMYFUNCTION("""COMPUTED_VALUE"""),30.66)</f>
        <v>30.66</v>
      </c>
    </row>
    <row r="1030" ht="15.75" customHeight="1">
      <c r="A1030" s="25">
        <f>IFERROR(__xludf.DUMMYFUNCTION("""COMPUTED_VALUE"""),44755.66666666667)</f>
        <v>44755.66667</v>
      </c>
      <c r="B1030" s="22">
        <f>IFERROR(__xludf.DUMMYFUNCTION("""COMPUTED_VALUE"""),3801.78)</f>
        <v>3801.78</v>
      </c>
      <c r="C1030" s="25">
        <f>IFERROR(__xludf.DUMMYFUNCTION("""COMPUTED_VALUE"""),44755.63611111111)</f>
        <v>44755.63611</v>
      </c>
      <c r="D1030" s="22">
        <f>IFERROR(__xludf.DUMMYFUNCTION("""COMPUTED_VALUE"""),26.82)</f>
        <v>26.82</v>
      </c>
      <c r="F1030" s="25">
        <f>IFERROR(__xludf.DUMMYFUNCTION("""COMPUTED_VALUE"""),44755.63611111111)</f>
        <v>44755.63611</v>
      </c>
      <c r="G1030" s="22">
        <f>IFERROR(__xludf.DUMMYFUNCTION("""COMPUTED_VALUE"""),28.56)</f>
        <v>28.56</v>
      </c>
      <c r="H1030" s="25">
        <f>IFERROR(__xludf.DUMMYFUNCTION("""COMPUTED_VALUE"""),44755.63611111111)</f>
        <v>44755.63611</v>
      </c>
      <c r="I1030" s="22">
        <f>IFERROR(__xludf.DUMMYFUNCTION("""COMPUTED_VALUE"""),29.98)</f>
        <v>29.98</v>
      </c>
      <c r="J1030" s="25">
        <f>IFERROR(__xludf.DUMMYFUNCTION("""COMPUTED_VALUE"""),44755.63611111111)</f>
        <v>44755.63611</v>
      </c>
      <c r="K1030" s="22">
        <f>IFERROR(__xludf.DUMMYFUNCTION("""COMPUTED_VALUE"""),30.9)</f>
        <v>30.9</v>
      </c>
    </row>
    <row r="1031" ht="15.75" customHeight="1">
      <c r="A1031" s="25">
        <f>IFERROR(__xludf.DUMMYFUNCTION("""COMPUTED_VALUE"""),44756.66666666667)</f>
        <v>44756.66667</v>
      </c>
      <c r="B1031" s="22">
        <f>IFERROR(__xludf.DUMMYFUNCTION("""COMPUTED_VALUE"""),3790.38)</f>
        <v>3790.38</v>
      </c>
      <c r="C1031" s="25">
        <f>IFERROR(__xludf.DUMMYFUNCTION("""COMPUTED_VALUE"""),44756.63611111111)</f>
        <v>44756.63611</v>
      </c>
      <c r="D1031" s="22">
        <f>IFERROR(__xludf.DUMMYFUNCTION("""COMPUTED_VALUE"""),26.4)</f>
        <v>26.4</v>
      </c>
      <c r="F1031" s="25">
        <f>IFERROR(__xludf.DUMMYFUNCTION("""COMPUTED_VALUE"""),44756.63611111111)</f>
        <v>44756.63611</v>
      </c>
      <c r="G1031" s="22">
        <f>IFERROR(__xludf.DUMMYFUNCTION("""COMPUTED_VALUE"""),28.61)</f>
        <v>28.61</v>
      </c>
      <c r="H1031" s="25">
        <f>IFERROR(__xludf.DUMMYFUNCTION("""COMPUTED_VALUE"""),44756.63611111111)</f>
        <v>44756.63611</v>
      </c>
      <c r="I1031" s="22">
        <f>IFERROR(__xludf.DUMMYFUNCTION("""COMPUTED_VALUE"""),30.06)</f>
        <v>30.06</v>
      </c>
      <c r="J1031" s="25">
        <f>IFERROR(__xludf.DUMMYFUNCTION("""COMPUTED_VALUE"""),44756.63611111111)</f>
        <v>44756.63611</v>
      </c>
      <c r="K1031" s="22">
        <f>IFERROR(__xludf.DUMMYFUNCTION("""COMPUTED_VALUE"""),31.11)</f>
        <v>31.11</v>
      </c>
    </row>
    <row r="1032" ht="15.75" customHeight="1">
      <c r="A1032" s="25">
        <f>IFERROR(__xludf.DUMMYFUNCTION("""COMPUTED_VALUE"""),44757.66666666667)</f>
        <v>44757.66667</v>
      </c>
      <c r="B1032" s="22">
        <f>IFERROR(__xludf.DUMMYFUNCTION("""COMPUTED_VALUE"""),3863.16)</f>
        <v>3863.16</v>
      </c>
      <c r="C1032" s="25">
        <f>IFERROR(__xludf.DUMMYFUNCTION("""COMPUTED_VALUE"""),44757.63611111111)</f>
        <v>44757.63611</v>
      </c>
      <c r="D1032" s="22">
        <f>IFERROR(__xludf.DUMMYFUNCTION("""COMPUTED_VALUE"""),24.23)</f>
        <v>24.23</v>
      </c>
      <c r="F1032" s="25">
        <f>IFERROR(__xludf.DUMMYFUNCTION("""COMPUTED_VALUE"""),44757.63611111111)</f>
        <v>44757.63611</v>
      </c>
      <c r="G1032" s="22">
        <f>IFERROR(__xludf.DUMMYFUNCTION("""COMPUTED_VALUE"""),27.08)</f>
        <v>27.08</v>
      </c>
      <c r="H1032" s="25">
        <f>IFERROR(__xludf.DUMMYFUNCTION("""COMPUTED_VALUE"""),44757.63611111111)</f>
        <v>44757.63611</v>
      </c>
      <c r="I1032" s="22">
        <f>IFERROR(__xludf.DUMMYFUNCTION("""COMPUTED_VALUE"""),28.96)</f>
        <v>28.96</v>
      </c>
      <c r="J1032" s="25">
        <f>IFERROR(__xludf.DUMMYFUNCTION("""COMPUTED_VALUE"""),44757.63611111111)</f>
        <v>44757.63611</v>
      </c>
      <c r="K1032" s="22">
        <f>IFERROR(__xludf.DUMMYFUNCTION("""COMPUTED_VALUE"""),30.53)</f>
        <v>30.53</v>
      </c>
    </row>
    <row r="1033" ht="15.75" customHeight="1">
      <c r="A1033" s="25">
        <f>IFERROR(__xludf.DUMMYFUNCTION("""COMPUTED_VALUE"""),44760.66666666667)</f>
        <v>44760.66667</v>
      </c>
      <c r="B1033" s="22">
        <f>IFERROR(__xludf.DUMMYFUNCTION("""COMPUTED_VALUE"""),3830.85)</f>
        <v>3830.85</v>
      </c>
      <c r="C1033" s="25">
        <f>IFERROR(__xludf.DUMMYFUNCTION("""COMPUTED_VALUE"""),44760.63611111111)</f>
        <v>44760.63611</v>
      </c>
      <c r="D1033" s="22">
        <f>IFERROR(__xludf.DUMMYFUNCTION("""COMPUTED_VALUE"""),25.3)</f>
        <v>25.3</v>
      </c>
      <c r="F1033" s="25">
        <f>IFERROR(__xludf.DUMMYFUNCTION("""COMPUTED_VALUE"""),44760.63611111111)</f>
        <v>44760.63611</v>
      </c>
      <c r="G1033" s="22">
        <f>IFERROR(__xludf.DUMMYFUNCTION("""COMPUTED_VALUE"""),27.82)</f>
        <v>27.82</v>
      </c>
      <c r="H1033" s="25">
        <f>IFERROR(__xludf.DUMMYFUNCTION("""COMPUTED_VALUE"""),44760.63611111111)</f>
        <v>44760.63611</v>
      </c>
      <c r="I1033" s="22">
        <f>IFERROR(__xludf.DUMMYFUNCTION("""COMPUTED_VALUE"""),29.53)</f>
        <v>29.53</v>
      </c>
      <c r="J1033" s="25">
        <f>IFERROR(__xludf.DUMMYFUNCTION("""COMPUTED_VALUE"""),44760.63611111111)</f>
        <v>44760.63611</v>
      </c>
      <c r="K1033" s="22">
        <f>IFERROR(__xludf.DUMMYFUNCTION("""COMPUTED_VALUE"""),30.92)</f>
        <v>30.92</v>
      </c>
    </row>
    <row r="1034" ht="15.75" customHeight="1">
      <c r="A1034" s="25">
        <f>IFERROR(__xludf.DUMMYFUNCTION("""COMPUTED_VALUE"""),44761.66666666667)</f>
        <v>44761.66667</v>
      </c>
      <c r="B1034" s="22">
        <f>IFERROR(__xludf.DUMMYFUNCTION("""COMPUTED_VALUE"""),3936.69)</f>
        <v>3936.69</v>
      </c>
      <c r="C1034" s="25">
        <f>IFERROR(__xludf.DUMMYFUNCTION("""COMPUTED_VALUE"""),44761.63611111111)</f>
        <v>44761.63611</v>
      </c>
      <c r="D1034" s="22">
        <f>IFERROR(__xludf.DUMMYFUNCTION("""COMPUTED_VALUE"""),24.5)</f>
        <v>24.5</v>
      </c>
      <c r="F1034" s="25">
        <f>IFERROR(__xludf.DUMMYFUNCTION("""COMPUTED_VALUE"""),44761.63611111111)</f>
        <v>44761.63611</v>
      </c>
      <c r="G1034" s="22">
        <f>IFERROR(__xludf.DUMMYFUNCTION("""COMPUTED_VALUE"""),27.31)</f>
        <v>27.31</v>
      </c>
      <c r="H1034" s="25">
        <f>IFERROR(__xludf.DUMMYFUNCTION("""COMPUTED_VALUE"""),44761.63611111111)</f>
        <v>44761.63611</v>
      </c>
      <c r="I1034" s="22">
        <f>IFERROR(__xludf.DUMMYFUNCTION("""COMPUTED_VALUE"""),29.01)</f>
        <v>29.01</v>
      </c>
      <c r="J1034" s="25">
        <f>IFERROR(__xludf.DUMMYFUNCTION("""COMPUTED_VALUE"""),44761.63611111111)</f>
        <v>44761.63611</v>
      </c>
      <c r="K1034" s="22">
        <f>IFERROR(__xludf.DUMMYFUNCTION("""COMPUTED_VALUE"""),30.33)</f>
        <v>30.33</v>
      </c>
    </row>
    <row r="1035" ht="15.75" customHeight="1">
      <c r="A1035" s="25">
        <f>IFERROR(__xludf.DUMMYFUNCTION("""COMPUTED_VALUE"""),44762.66666666667)</f>
        <v>44762.66667</v>
      </c>
      <c r="B1035" s="22">
        <f>IFERROR(__xludf.DUMMYFUNCTION("""COMPUTED_VALUE"""),3959.9)</f>
        <v>3959.9</v>
      </c>
      <c r="C1035" s="25">
        <f>IFERROR(__xludf.DUMMYFUNCTION("""COMPUTED_VALUE"""),44762.63611111111)</f>
        <v>44762.63611</v>
      </c>
      <c r="D1035" s="22">
        <f>IFERROR(__xludf.DUMMYFUNCTION("""COMPUTED_VALUE"""),23.88)</f>
        <v>23.88</v>
      </c>
      <c r="F1035" s="25">
        <f>IFERROR(__xludf.DUMMYFUNCTION("""COMPUTED_VALUE"""),44762.63611111111)</f>
        <v>44762.63611</v>
      </c>
      <c r="G1035" s="22">
        <f>IFERROR(__xludf.DUMMYFUNCTION("""COMPUTED_VALUE"""),26.7)</f>
        <v>26.7</v>
      </c>
      <c r="H1035" s="25">
        <f>IFERROR(__xludf.DUMMYFUNCTION("""COMPUTED_VALUE"""),44762.63611111111)</f>
        <v>44762.63611</v>
      </c>
      <c r="I1035" s="22">
        <f>IFERROR(__xludf.DUMMYFUNCTION("""COMPUTED_VALUE"""),28.53)</f>
        <v>28.53</v>
      </c>
      <c r="J1035" s="25">
        <f>IFERROR(__xludf.DUMMYFUNCTION("""COMPUTED_VALUE"""),44762.63611111111)</f>
        <v>44762.63611</v>
      </c>
      <c r="K1035" s="22">
        <f>IFERROR(__xludf.DUMMYFUNCTION("""COMPUTED_VALUE"""),30.08)</f>
        <v>30.08</v>
      </c>
    </row>
    <row r="1036" ht="15.75" customHeight="1">
      <c r="A1036" s="25">
        <f>IFERROR(__xludf.DUMMYFUNCTION("""COMPUTED_VALUE"""),44763.66666666667)</f>
        <v>44763.66667</v>
      </c>
      <c r="B1036" s="22">
        <f>IFERROR(__xludf.DUMMYFUNCTION("""COMPUTED_VALUE"""),3998.95)</f>
        <v>3998.95</v>
      </c>
      <c r="C1036" s="25">
        <f>IFERROR(__xludf.DUMMYFUNCTION("""COMPUTED_VALUE"""),44763.63611111111)</f>
        <v>44763.63611</v>
      </c>
      <c r="D1036" s="22">
        <f>IFERROR(__xludf.DUMMYFUNCTION("""COMPUTED_VALUE"""),23.11)</f>
        <v>23.11</v>
      </c>
      <c r="F1036" s="25">
        <f>IFERROR(__xludf.DUMMYFUNCTION("""COMPUTED_VALUE"""),44763.63611111111)</f>
        <v>44763.63611</v>
      </c>
      <c r="G1036" s="22">
        <f>IFERROR(__xludf.DUMMYFUNCTION("""COMPUTED_VALUE"""),26.22)</f>
        <v>26.22</v>
      </c>
      <c r="H1036" s="25">
        <f>IFERROR(__xludf.DUMMYFUNCTION("""COMPUTED_VALUE"""),44763.63611111111)</f>
        <v>44763.63611</v>
      </c>
      <c r="I1036" s="22">
        <f>IFERROR(__xludf.DUMMYFUNCTION("""COMPUTED_VALUE"""),28.1)</f>
        <v>28.1</v>
      </c>
      <c r="J1036" s="25">
        <f>IFERROR(__xludf.DUMMYFUNCTION("""COMPUTED_VALUE"""),44763.63611111111)</f>
        <v>44763.63611</v>
      </c>
      <c r="K1036" s="22">
        <f>IFERROR(__xludf.DUMMYFUNCTION("""COMPUTED_VALUE"""),29.88)</f>
        <v>29.88</v>
      </c>
    </row>
    <row r="1037" ht="15.75" customHeight="1">
      <c r="A1037" s="25">
        <f>IFERROR(__xludf.DUMMYFUNCTION("""COMPUTED_VALUE"""),44764.66666666667)</f>
        <v>44764.66667</v>
      </c>
      <c r="B1037" s="22">
        <f>IFERROR(__xludf.DUMMYFUNCTION("""COMPUTED_VALUE"""),3961.63)</f>
        <v>3961.63</v>
      </c>
      <c r="C1037" s="25">
        <f>IFERROR(__xludf.DUMMYFUNCTION("""COMPUTED_VALUE"""),44764.63611111111)</f>
        <v>44764.63611</v>
      </c>
      <c r="D1037" s="22">
        <f>IFERROR(__xludf.DUMMYFUNCTION("""COMPUTED_VALUE"""),23.03)</f>
        <v>23.03</v>
      </c>
      <c r="F1037" s="25">
        <f>IFERROR(__xludf.DUMMYFUNCTION("""COMPUTED_VALUE"""),44764.63611111111)</f>
        <v>44764.63611</v>
      </c>
      <c r="G1037" s="22">
        <f>IFERROR(__xludf.DUMMYFUNCTION("""COMPUTED_VALUE"""),25.97)</f>
        <v>25.97</v>
      </c>
      <c r="H1037" s="25">
        <f>IFERROR(__xludf.DUMMYFUNCTION("""COMPUTED_VALUE"""),44764.63611111111)</f>
        <v>44764.63611</v>
      </c>
      <c r="I1037" s="22">
        <f>IFERROR(__xludf.DUMMYFUNCTION("""COMPUTED_VALUE"""),28.03)</f>
        <v>28.03</v>
      </c>
      <c r="J1037" s="25">
        <f>IFERROR(__xludf.DUMMYFUNCTION("""COMPUTED_VALUE"""),44764.63611111111)</f>
        <v>44764.63611</v>
      </c>
      <c r="K1037" s="22">
        <f>IFERROR(__xludf.DUMMYFUNCTION("""COMPUTED_VALUE"""),29.9)</f>
        <v>29.9</v>
      </c>
    </row>
    <row r="1038" ht="15.75" customHeight="1">
      <c r="A1038" s="25">
        <f>IFERROR(__xludf.DUMMYFUNCTION("""COMPUTED_VALUE"""),44767.66666666667)</f>
        <v>44767.66667</v>
      </c>
      <c r="B1038" s="22">
        <f>IFERROR(__xludf.DUMMYFUNCTION("""COMPUTED_VALUE"""),3966.84)</f>
        <v>3966.84</v>
      </c>
      <c r="C1038" s="25">
        <f>IFERROR(__xludf.DUMMYFUNCTION("""COMPUTED_VALUE"""),44767.63611111111)</f>
        <v>44767.63611</v>
      </c>
      <c r="D1038" s="22">
        <f>IFERROR(__xludf.DUMMYFUNCTION("""COMPUTED_VALUE"""),23.36)</f>
        <v>23.36</v>
      </c>
      <c r="F1038" s="25">
        <f>IFERROR(__xludf.DUMMYFUNCTION("""COMPUTED_VALUE"""),44767.63611111111)</f>
        <v>44767.63611</v>
      </c>
      <c r="G1038" s="22">
        <f>IFERROR(__xludf.DUMMYFUNCTION("""COMPUTED_VALUE"""),25.8)</f>
        <v>25.8</v>
      </c>
      <c r="H1038" s="25">
        <f>IFERROR(__xludf.DUMMYFUNCTION("""COMPUTED_VALUE"""),44767.63611111111)</f>
        <v>44767.63611</v>
      </c>
      <c r="I1038" s="22">
        <f>IFERROR(__xludf.DUMMYFUNCTION("""COMPUTED_VALUE"""),27.86)</f>
        <v>27.86</v>
      </c>
      <c r="J1038" s="25">
        <f>IFERROR(__xludf.DUMMYFUNCTION("""COMPUTED_VALUE"""),44767.63611111111)</f>
        <v>44767.63611</v>
      </c>
      <c r="K1038" s="22">
        <f>IFERROR(__xludf.DUMMYFUNCTION("""COMPUTED_VALUE"""),29.74)</f>
        <v>29.74</v>
      </c>
    </row>
    <row r="1039" ht="15.75" customHeight="1">
      <c r="A1039" s="25">
        <f>IFERROR(__xludf.DUMMYFUNCTION("""COMPUTED_VALUE"""),44768.66666666667)</f>
        <v>44768.66667</v>
      </c>
      <c r="B1039" s="22">
        <f>IFERROR(__xludf.DUMMYFUNCTION("""COMPUTED_VALUE"""),3921.05)</f>
        <v>3921.05</v>
      </c>
      <c r="C1039" s="25">
        <f>IFERROR(__xludf.DUMMYFUNCTION("""COMPUTED_VALUE"""),44768.63611111111)</f>
        <v>44768.63611</v>
      </c>
      <c r="D1039" s="22">
        <f>IFERROR(__xludf.DUMMYFUNCTION("""COMPUTED_VALUE"""),24.69)</f>
        <v>24.69</v>
      </c>
      <c r="F1039" s="25">
        <f>IFERROR(__xludf.DUMMYFUNCTION("""COMPUTED_VALUE"""),44768.63611111111)</f>
        <v>44768.63611</v>
      </c>
      <c r="G1039" s="22">
        <f>IFERROR(__xludf.DUMMYFUNCTION("""COMPUTED_VALUE"""),26.42)</f>
        <v>26.42</v>
      </c>
      <c r="H1039" s="25">
        <f>IFERROR(__xludf.DUMMYFUNCTION("""COMPUTED_VALUE"""),44768.63611111111)</f>
        <v>44768.63611</v>
      </c>
      <c r="I1039" s="22">
        <f>IFERROR(__xludf.DUMMYFUNCTION("""COMPUTED_VALUE"""),28.31)</f>
        <v>28.31</v>
      </c>
      <c r="J1039" s="25">
        <f>IFERROR(__xludf.DUMMYFUNCTION("""COMPUTED_VALUE"""),44768.63611111111)</f>
        <v>44768.63611</v>
      </c>
      <c r="K1039" s="22">
        <f>IFERROR(__xludf.DUMMYFUNCTION("""COMPUTED_VALUE"""),30.02)</f>
        <v>30.02</v>
      </c>
    </row>
    <row r="1040" ht="15.75" customHeight="1">
      <c r="A1040" s="25">
        <f>IFERROR(__xludf.DUMMYFUNCTION("""COMPUTED_VALUE"""),44769.66666666667)</f>
        <v>44769.66667</v>
      </c>
      <c r="B1040" s="22">
        <f>IFERROR(__xludf.DUMMYFUNCTION("""COMPUTED_VALUE"""),4023.61)</f>
        <v>4023.61</v>
      </c>
      <c r="C1040" s="25">
        <f>IFERROR(__xludf.DUMMYFUNCTION("""COMPUTED_VALUE"""),44769.63611111111)</f>
        <v>44769.63611</v>
      </c>
      <c r="D1040" s="22">
        <f>IFERROR(__xludf.DUMMYFUNCTION("""COMPUTED_VALUE"""),23.24)</f>
        <v>23.24</v>
      </c>
      <c r="F1040" s="25">
        <f>IFERROR(__xludf.DUMMYFUNCTION("""COMPUTED_VALUE"""),44769.63611111111)</f>
        <v>44769.63611</v>
      </c>
      <c r="G1040" s="22">
        <f>IFERROR(__xludf.DUMMYFUNCTION("""COMPUTED_VALUE"""),25.31)</f>
        <v>25.31</v>
      </c>
      <c r="H1040" s="25">
        <f>IFERROR(__xludf.DUMMYFUNCTION("""COMPUTED_VALUE"""),44769.63611111111)</f>
        <v>44769.63611</v>
      </c>
      <c r="I1040" s="22">
        <f>IFERROR(__xludf.DUMMYFUNCTION("""COMPUTED_VALUE"""),27.41)</f>
        <v>27.41</v>
      </c>
      <c r="J1040" s="25">
        <f>IFERROR(__xludf.DUMMYFUNCTION("""COMPUTED_VALUE"""),44769.63611111111)</f>
        <v>44769.63611</v>
      </c>
      <c r="K1040" s="22">
        <f>IFERROR(__xludf.DUMMYFUNCTION("""COMPUTED_VALUE"""),29.53)</f>
        <v>29.53</v>
      </c>
    </row>
    <row r="1041" ht="15.75" customHeight="1">
      <c r="A1041" s="25">
        <f>IFERROR(__xludf.DUMMYFUNCTION("""COMPUTED_VALUE"""),44770.66666666667)</f>
        <v>44770.66667</v>
      </c>
      <c r="B1041" s="22">
        <f>IFERROR(__xludf.DUMMYFUNCTION("""COMPUTED_VALUE"""),4072.43)</f>
        <v>4072.43</v>
      </c>
      <c r="C1041" s="25">
        <f>IFERROR(__xludf.DUMMYFUNCTION("""COMPUTED_VALUE"""),44770.63611111111)</f>
        <v>44770.63611</v>
      </c>
      <c r="D1041" s="22">
        <f>IFERROR(__xludf.DUMMYFUNCTION("""COMPUTED_VALUE"""),22.33)</f>
        <v>22.33</v>
      </c>
      <c r="F1041" s="25">
        <f>IFERROR(__xludf.DUMMYFUNCTION("""COMPUTED_VALUE"""),44770.63611111111)</f>
        <v>44770.63611</v>
      </c>
      <c r="G1041" s="22">
        <f>IFERROR(__xludf.DUMMYFUNCTION("""COMPUTED_VALUE"""),24.33)</f>
        <v>24.33</v>
      </c>
      <c r="H1041" s="25">
        <f>IFERROR(__xludf.DUMMYFUNCTION("""COMPUTED_VALUE"""),44770.63611111111)</f>
        <v>44770.63611</v>
      </c>
      <c r="I1041" s="22">
        <f>IFERROR(__xludf.DUMMYFUNCTION("""COMPUTED_VALUE"""),26.65)</f>
        <v>26.65</v>
      </c>
      <c r="J1041" s="25">
        <f>IFERROR(__xludf.DUMMYFUNCTION("""COMPUTED_VALUE"""),44770.63611111111)</f>
        <v>44770.63611</v>
      </c>
      <c r="K1041" s="22">
        <f>IFERROR(__xludf.DUMMYFUNCTION("""COMPUTED_VALUE"""),28.79)</f>
        <v>28.79</v>
      </c>
    </row>
    <row r="1042" ht="15.75" customHeight="1">
      <c r="A1042" s="25">
        <f>IFERROR(__xludf.DUMMYFUNCTION("""COMPUTED_VALUE"""),44771.66666666667)</f>
        <v>44771.66667</v>
      </c>
      <c r="B1042" s="22">
        <f>IFERROR(__xludf.DUMMYFUNCTION("""COMPUTED_VALUE"""),4130.29)</f>
        <v>4130.29</v>
      </c>
      <c r="C1042" s="25">
        <f>IFERROR(__xludf.DUMMYFUNCTION("""COMPUTED_VALUE"""),44771.63611111111)</f>
        <v>44771.63611</v>
      </c>
      <c r="D1042" s="22">
        <f>IFERROR(__xludf.DUMMYFUNCTION("""COMPUTED_VALUE"""),21.33)</f>
        <v>21.33</v>
      </c>
      <c r="F1042" s="25">
        <f>IFERROR(__xludf.DUMMYFUNCTION("""COMPUTED_VALUE"""),44771.63611111111)</f>
        <v>44771.63611</v>
      </c>
      <c r="G1042" s="22">
        <f>IFERROR(__xludf.DUMMYFUNCTION("""COMPUTED_VALUE"""),23.79)</f>
        <v>23.79</v>
      </c>
      <c r="H1042" s="25">
        <f>IFERROR(__xludf.DUMMYFUNCTION("""COMPUTED_VALUE"""),44771.63611111111)</f>
        <v>44771.63611</v>
      </c>
      <c r="I1042" s="22">
        <f>IFERROR(__xludf.DUMMYFUNCTION("""COMPUTED_VALUE"""),26.22)</f>
        <v>26.22</v>
      </c>
      <c r="J1042" s="25">
        <f>IFERROR(__xludf.DUMMYFUNCTION("""COMPUTED_VALUE"""),44771.63611111111)</f>
        <v>44771.63611</v>
      </c>
      <c r="K1042" s="22">
        <f>IFERROR(__xludf.DUMMYFUNCTION("""COMPUTED_VALUE"""),28.54)</f>
        <v>28.54</v>
      </c>
    </row>
    <row r="1043" ht="15.75" customHeight="1">
      <c r="A1043" s="25">
        <f>IFERROR(__xludf.DUMMYFUNCTION("""COMPUTED_VALUE"""),44774.66666666667)</f>
        <v>44774.66667</v>
      </c>
      <c r="B1043" s="22">
        <f>IFERROR(__xludf.DUMMYFUNCTION("""COMPUTED_VALUE"""),4118.63)</f>
        <v>4118.63</v>
      </c>
      <c r="C1043" s="25">
        <f>IFERROR(__xludf.DUMMYFUNCTION("""COMPUTED_VALUE"""),44774.63611111111)</f>
        <v>44774.63611</v>
      </c>
      <c r="D1043" s="22">
        <f>IFERROR(__xludf.DUMMYFUNCTION("""COMPUTED_VALUE"""),22.84)</f>
        <v>22.84</v>
      </c>
      <c r="F1043" s="25">
        <f>IFERROR(__xludf.DUMMYFUNCTION("""COMPUTED_VALUE"""),44774.63611111111)</f>
        <v>44774.63611</v>
      </c>
      <c r="G1043" s="22">
        <f>IFERROR(__xludf.DUMMYFUNCTION("""COMPUTED_VALUE"""),24.86)</f>
        <v>24.86</v>
      </c>
      <c r="H1043" s="25">
        <f>IFERROR(__xludf.DUMMYFUNCTION("""COMPUTED_VALUE"""),44774.63611111111)</f>
        <v>44774.63611</v>
      </c>
      <c r="I1043" s="22">
        <f>IFERROR(__xludf.DUMMYFUNCTION("""COMPUTED_VALUE"""),26.88)</f>
        <v>26.88</v>
      </c>
      <c r="J1043" s="25">
        <f>IFERROR(__xludf.DUMMYFUNCTION("""COMPUTED_VALUE"""),44774.63611111111)</f>
        <v>44774.63611</v>
      </c>
      <c r="K1043" s="22">
        <f>IFERROR(__xludf.DUMMYFUNCTION("""COMPUTED_VALUE"""),28.76)</f>
        <v>28.76</v>
      </c>
    </row>
    <row r="1044" ht="15.75" customHeight="1">
      <c r="A1044" s="25">
        <f>IFERROR(__xludf.DUMMYFUNCTION("""COMPUTED_VALUE"""),44775.66666666667)</f>
        <v>44775.66667</v>
      </c>
      <c r="B1044" s="22">
        <f>IFERROR(__xludf.DUMMYFUNCTION("""COMPUTED_VALUE"""),4091.19)</f>
        <v>4091.19</v>
      </c>
      <c r="C1044" s="25">
        <f>IFERROR(__xludf.DUMMYFUNCTION("""COMPUTED_VALUE"""),44775.63611111111)</f>
        <v>44775.63611</v>
      </c>
      <c r="D1044" s="22">
        <f>IFERROR(__xludf.DUMMYFUNCTION("""COMPUTED_VALUE"""),23.93)</f>
        <v>23.93</v>
      </c>
      <c r="F1044" s="25">
        <f>IFERROR(__xludf.DUMMYFUNCTION("""COMPUTED_VALUE"""),44775.63611111111)</f>
        <v>44775.63611</v>
      </c>
      <c r="G1044" s="22">
        <f>IFERROR(__xludf.DUMMYFUNCTION("""COMPUTED_VALUE"""),25.66)</f>
        <v>25.66</v>
      </c>
      <c r="H1044" s="25">
        <f>IFERROR(__xludf.DUMMYFUNCTION("""COMPUTED_VALUE"""),44775.63611111111)</f>
        <v>44775.63611</v>
      </c>
      <c r="I1044" s="22">
        <f>IFERROR(__xludf.DUMMYFUNCTION("""COMPUTED_VALUE"""),27.6)</f>
        <v>27.6</v>
      </c>
      <c r="J1044" s="25">
        <f>IFERROR(__xludf.DUMMYFUNCTION("""COMPUTED_VALUE"""),44775.63611111111)</f>
        <v>44775.63611</v>
      </c>
      <c r="K1044" s="22">
        <f>IFERROR(__xludf.DUMMYFUNCTION("""COMPUTED_VALUE"""),29.19)</f>
        <v>29.19</v>
      </c>
    </row>
    <row r="1045" ht="15.75" customHeight="1">
      <c r="A1045" s="25">
        <f>IFERROR(__xludf.DUMMYFUNCTION("""COMPUTED_VALUE"""),44776.66666666667)</f>
        <v>44776.66667</v>
      </c>
      <c r="B1045" s="22">
        <f>IFERROR(__xludf.DUMMYFUNCTION("""COMPUTED_VALUE"""),4155.17)</f>
        <v>4155.17</v>
      </c>
      <c r="C1045" s="25">
        <f>IFERROR(__xludf.DUMMYFUNCTION("""COMPUTED_VALUE"""),44776.63611111111)</f>
        <v>44776.63611</v>
      </c>
      <c r="D1045" s="22">
        <f>IFERROR(__xludf.DUMMYFUNCTION("""COMPUTED_VALUE"""),21.95)</f>
        <v>21.95</v>
      </c>
      <c r="F1045" s="25">
        <f>IFERROR(__xludf.DUMMYFUNCTION("""COMPUTED_VALUE"""),44776.63611111111)</f>
        <v>44776.63611</v>
      </c>
      <c r="G1045" s="22">
        <f>IFERROR(__xludf.DUMMYFUNCTION("""COMPUTED_VALUE"""),24.37)</f>
        <v>24.37</v>
      </c>
      <c r="H1045" s="25">
        <f>IFERROR(__xludf.DUMMYFUNCTION("""COMPUTED_VALUE"""),44776.63611111111)</f>
        <v>44776.63611</v>
      </c>
      <c r="I1045" s="22">
        <f>IFERROR(__xludf.DUMMYFUNCTION("""COMPUTED_VALUE"""),26.55)</f>
        <v>26.55</v>
      </c>
      <c r="J1045" s="25">
        <f>IFERROR(__xludf.DUMMYFUNCTION("""COMPUTED_VALUE"""),44776.63611111111)</f>
        <v>44776.63611</v>
      </c>
      <c r="K1045" s="22">
        <f>IFERROR(__xludf.DUMMYFUNCTION("""COMPUTED_VALUE"""),28.49)</f>
        <v>28.49</v>
      </c>
    </row>
    <row r="1046" ht="15.75" customHeight="1">
      <c r="A1046" s="25">
        <f>IFERROR(__xludf.DUMMYFUNCTION("""COMPUTED_VALUE"""),44777.66666666667)</f>
        <v>44777.66667</v>
      </c>
      <c r="B1046" s="22">
        <f>IFERROR(__xludf.DUMMYFUNCTION("""COMPUTED_VALUE"""),4151.94)</f>
        <v>4151.94</v>
      </c>
      <c r="C1046" s="25">
        <f>IFERROR(__xludf.DUMMYFUNCTION("""COMPUTED_VALUE"""),44777.63611111111)</f>
        <v>44777.63611</v>
      </c>
      <c r="D1046" s="22">
        <f>IFERROR(__xludf.DUMMYFUNCTION("""COMPUTED_VALUE"""),21.44)</f>
        <v>21.44</v>
      </c>
      <c r="F1046" s="25">
        <f>IFERROR(__xludf.DUMMYFUNCTION("""COMPUTED_VALUE"""),44777.63611111111)</f>
        <v>44777.63611</v>
      </c>
      <c r="G1046" s="22">
        <f>IFERROR(__xludf.DUMMYFUNCTION("""COMPUTED_VALUE"""),24.32)</f>
        <v>24.32</v>
      </c>
      <c r="H1046" s="25">
        <f>IFERROR(__xludf.DUMMYFUNCTION("""COMPUTED_VALUE"""),44777.63611111111)</f>
        <v>44777.63611</v>
      </c>
      <c r="I1046" s="22">
        <f>IFERROR(__xludf.DUMMYFUNCTION("""COMPUTED_VALUE"""),26.6)</f>
        <v>26.6</v>
      </c>
      <c r="J1046" s="25">
        <f>IFERROR(__xludf.DUMMYFUNCTION("""COMPUTED_VALUE"""),44777.63611111111)</f>
        <v>44777.63611</v>
      </c>
      <c r="K1046" s="22">
        <f>IFERROR(__xludf.DUMMYFUNCTION("""COMPUTED_VALUE"""),28.44)</f>
        <v>28.44</v>
      </c>
    </row>
    <row r="1047" ht="15.75" customHeight="1">
      <c r="A1047" s="25">
        <f>IFERROR(__xludf.DUMMYFUNCTION("""COMPUTED_VALUE"""),44778.66666666667)</f>
        <v>44778.66667</v>
      </c>
      <c r="B1047" s="22">
        <f>IFERROR(__xludf.DUMMYFUNCTION("""COMPUTED_VALUE"""),4145.19)</f>
        <v>4145.19</v>
      </c>
      <c r="C1047" s="25">
        <f>IFERROR(__xludf.DUMMYFUNCTION("""COMPUTED_VALUE"""),44778.63611111111)</f>
        <v>44778.63611</v>
      </c>
      <c r="D1047" s="22">
        <f>IFERROR(__xludf.DUMMYFUNCTION("""COMPUTED_VALUE"""),21.15)</f>
        <v>21.15</v>
      </c>
      <c r="F1047" s="25">
        <f>IFERROR(__xludf.DUMMYFUNCTION("""COMPUTED_VALUE"""),44778.63611111111)</f>
        <v>44778.63611</v>
      </c>
      <c r="G1047" s="22">
        <f>IFERROR(__xludf.DUMMYFUNCTION("""COMPUTED_VALUE"""),24.18)</f>
        <v>24.18</v>
      </c>
      <c r="H1047" s="25">
        <f>IFERROR(__xludf.DUMMYFUNCTION("""COMPUTED_VALUE"""),44778.63611111111)</f>
        <v>44778.63611</v>
      </c>
      <c r="I1047" s="22">
        <f>IFERROR(__xludf.DUMMYFUNCTION("""COMPUTED_VALUE"""),26.52)</f>
        <v>26.52</v>
      </c>
      <c r="J1047" s="25">
        <f>IFERROR(__xludf.DUMMYFUNCTION("""COMPUTED_VALUE"""),44778.63611111111)</f>
        <v>44778.63611</v>
      </c>
      <c r="K1047" s="22">
        <f>IFERROR(__xludf.DUMMYFUNCTION("""COMPUTED_VALUE"""),28.45)</f>
        <v>28.45</v>
      </c>
    </row>
    <row r="1048" ht="15.75" customHeight="1">
      <c r="A1048" s="25">
        <f>IFERROR(__xludf.DUMMYFUNCTION("""COMPUTED_VALUE"""),44781.66666666667)</f>
        <v>44781.66667</v>
      </c>
      <c r="B1048" s="22">
        <f>IFERROR(__xludf.DUMMYFUNCTION("""COMPUTED_VALUE"""),4140.06)</f>
        <v>4140.06</v>
      </c>
      <c r="C1048" s="25">
        <f>IFERROR(__xludf.DUMMYFUNCTION("""COMPUTED_VALUE"""),44781.63611111111)</f>
        <v>44781.63611</v>
      </c>
      <c r="D1048" s="22">
        <f>IFERROR(__xludf.DUMMYFUNCTION("""COMPUTED_VALUE"""),21.29)</f>
        <v>21.29</v>
      </c>
      <c r="F1048" s="25">
        <f>IFERROR(__xludf.DUMMYFUNCTION("""COMPUTED_VALUE"""),44781.63611111111)</f>
        <v>44781.63611</v>
      </c>
      <c r="G1048" s="22">
        <f>IFERROR(__xludf.DUMMYFUNCTION("""COMPUTED_VALUE"""),24.48)</f>
        <v>24.48</v>
      </c>
      <c r="H1048" s="25">
        <f>IFERROR(__xludf.DUMMYFUNCTION("""COMPUTED_VALUE"""),44781.63611111111)</f>
        <v>44781.63611</v>
      </c>
      <c r="I1048" s="22">
        <f>IFERROR(__xludf.DUMMYFUNCTION("""COMPUTED_VALUE"""),26.75)</f>
        <v>26.75</v>
      </c>
      <c r="J1048" s="25">
        <f>IFERROR(__xludf.DUMMYFUNCTION("""COMPUTED_VALUE"""),44781.63611111111)</f>
        <v>44781.63611</v>
      </c>
      <c r="K1048" s="22">
        <f>IFERROR(__xludf.DUMMYFUNCTION("""COMPUTED_VALUE"""),28.56)</f>
        <v>28.56</v>
      </c>
    </row>
    <row r="1049" ht="15.75" customHeight="1">
      <c r="A1049" s="25">
        <f>IFERROR(__xludf.DUMMYFUNCTION("""COMPUTED_VALUE"""),44782.66666666667)</f>
        <v>44782.66667</v>
      </c>
      <c r="B1049" s="22">
        <f>IFERROR(__xludf.DUMMYFUNCTION("""COMPUTED_VALUE"""),4122.47)</f>
        <v>4122.47</v>
      </c>
      <c r="C1049" s="25">
        <f>IFERROR(__xludf.DUMMYFUNCTION("""COMPUTED_VALUE"""),44782.63611111111)</f>
        <v>44782.63611</v>
      </c>
      <c r="D1049" s="22">
        <f>IFERROR(__xludf.DUMMYFUNCTION("""COMPUTED_VALUE"""),21.77)</f>
        <v>21.77</v>
      </c>
      <c r="F1049" s="25">
        <f>IFERROR(__xludf.DUMMYFUNCTION("""COMPUTED_VALUE"""),44782.63611111111)</f>
        <v>44782.63611</v>
      </c>
      <c r="G1049" s="22">
        <f>IFERROR(__xludf.DUMMYFUNCTION("""COMPUTED_VALUE"""),24.69)</f>
        <v>24.69</v>
      </c>
      <c r="H1049" s="25">
        <f>IFERROR(__xludf.DUMMYFUNCTION("""COMPUTED_VALUE"""),44782.63611111111)</f>
        <v>44782.63611</v>
      </c>
      <c r="I1049" s="22">
        <f>IFERROR(__xludf.DUMMYFUNCTION("""COMPUTED_VALUE"""),26.84)</f>
        <v>26.84</v>
      </c>
      <c r="J1049" s="25">
        <f>IFERROR(__xludf.DUMMYFUNCTION("""COMPUTED_VALUE"""),44782.63611111111)</f>
        <v>44782.63611</v>
      </c>
      <c r="K1049" s="22">
        <f>IFERROR(__xludf.DUMMYFUNCTION("""COMPUTED_VALUE"""),28.62)</f>
        <v>28.62</v>
      </c>
    </row>
    <row r="1050" ht="15.75" customHeight="1">
      <c r="A1050" s="25">
        <f>IFERROR(__xludf.DUMMYFUNCTION("""COMPUTED_VALUE"""),44783.66666666667)</f>
        <v>44783.66667</v>
      </c>
      <c r="B1050" s="22">
        <f>IFERROR(__xludf.DUMMYFUNCTION("""COMPUTED_VALUE"""),4210.24)</f>
        <v>4210.24</v>
      </c>
      <c r="C1050" s="25">
        <f>IFERROR(__xludf.DUMMYFUNCTION("""COMPUTED_VALUE"""),44783.63611111111)</f>
        <v>44783.63611</v>
      </c>
      <c r="D1050" s="22">
        <f>IFERROR(__xludf.DUMMYFUNCTION("""COMPUTED_VALUE"""),19.74)</f>
        <v>19.74</v>
      </c>
      <c r="F1050" s="25">
        <f>IFERROR(__xludf.DUMMYFUNCTION("""COMPUTED_VALUE"""),44783.63611111111)</f>
        <v>44783.63611</v>
      </c>
      <c r="G1050" s="22">
        <f>IFERROR(__xludf.DUMMYFUNCTION("""COMPUTED_VALUE"""),23.46)</f>
        <v>23.46</v>
      </c>
      <c r="H1050" s="25">
        <f>IFERROR(__xludf.DUMMYFUNCTION("""COMPUTED_VALUE"""),44783.63611111111)</f>
        <v>44783.63611</v>
      </c>
      <c r="I1050" s="22">
        <f>IFERROR(__xludf.DUMMYFUNCTION("""COMPUTED_VALUE"""),25.89)</f>
        <v>25.89</v>
      </c>
      <c r="J1050" s="25">
        <f>IFERROR(__xludf.DUMMYFUNCTION("""COMPUTED_VALUE"""),44783.63611111111)</f>
        <v>44783.63611</v>
      </c>
      <c r="K1050" s="22">
        <f>IFERROR(__xludf.DUMMYFUNCTION("""COMPUTED_VALUE"""),27.82)</f>
        <v>27.82</v>
      </c>
    </row>
    <row r="1051" ht="15.75" customHeight="1">
      <c r="A1051" s="25">
        <f>IFERROR(__xludf.DUMMYFUNCTION("""COMPUTED_VALUE"""),44784.66666666667)</f>
        <v>44784.66667</v>
      </c>
      <c r="B1051" s="22">
        <f>IFERROR(__xludf.DUMMYFUNCTION("""COMPUTED_VALUE"""),4207.27)</f>
        <v>4207.27</v>
      </c>
      <c r="C1051" s="25">
        <f>IFERROR(__xludf.DUMMYFUNCTION("""COMPUTED_VALUE"""),44784.63611111111)</f>
        <v>44784.63611</v>
      </c>
      <c r="D1051" s="22">
        <f>IFERROR(__xludf.DUMMYFUNCTION("""COMPUTED_VALUE"""),20.2)</f>
        <v>20.2</v>
      </c>
      <c r="F1051" s="25">
        <f>IFERROR(__xludf.DUMMYFUNCTION("""COMPUTED_VALUE"""),44784.63611111111)</f>
        <v>44784.63611</v>
      </c>
      <c r="G1051" s="22">
        <f>IFERROR(__xludf.DUMMYFUNCTION("""COMPUTED_VALUE"""),23.71)</f>
        <v>23.71</v>
      </c>
      <c r="H1051" s="25">
        <f>IFERROR(__xludf.DUMMYFUNCTION("""COMPUTED_VALUE"""),44784.63611111111)</f>
        <v>44784.63611</v>
      </c>
      <c r="I1051" s="22">
        <f>IFERROR(__xludf.DUMMYFUNCTION("""COMPUTED_VALUE"""),26.09)</f>
        <v>26.09</v>
      </c>
      <c r="J1051" s="25">
        <f>IFERROR(__xludf.DUMMYFUNCTION("""COMPUTED_VALUE"""),44784.63611111111)</f>
        <v>44784.63611</v>
      </c>
      <c r="K1051" s="22">
        <f>IFERROR(__xludf.DUMMYFUNCTION("""COMPUTED_VALUE"""),27.97)</f>
        <v>27.97</v>
      </c>
    </row>
    <row r="1052" ht="15.75" customHeight="1">
      <c r="A1052" s="25">
        <f>IFERROR(__xludf.DUMMYFUNCTION("""COMPUTED_VALUE"""),44785.66666666667)</f>
        <v>44785.66667</v>
      </c>
      <c r="B1052" s="22">
        <f>IFERROR(__xludf.DUMMYFUNCTION("""COMPUTED_VALUE"""),4280.15)</f>
        <v>4280.15</v>
      </c>
      <c r="C1052" s="25">
        <f>IFERROR(__xludf.DUMMYFUNCTION("""COMPUTED_VALUE"""),44785.63611111111)</f>
        <v>44785.63611</v>
      </c>
      <c r="D1052" s="22">
        <f>IFERROR(__xludf.DUMMYFUNCTION("""COMPUTED_VALUE"""),19.53)</f>
        <v>19.53</v>
      </c>
      <c r="F1052" s="25">
        <f>IFERROR(__xludf.DUMMYFUNCTION("""COMPUTED_VALUE"""),44785.63611111111)</f>
        <v>44785.63611</v>
      </c>
      <c r="G1052" s="22">
        <f>IFERROR(__xludf.DUMMYFUNCTION("""COMPUTED_VALUE"""),23.31)</f>
        <v>23.31</v>
      </c>
      <c r="H1052" s="25">
        <f>IFERROR(__xludf.DUMMYFUNCTION("""COMPUTED_VALUE"""),44785.63611111111)</f>
        <v>44785.63611</v>
      </c>
      <c r="I1052" s="22">
        <f>IFERROR(__xludf.DUMMYFUNCTION("""COMPUTED_VALUE"""),25.74)</f>
        <v>25.74</v>
      </c>
      <c r="J1052" s="25">
        <f>IFERROR(__xludf.DUMMYFUNCTION("""COMPUTED_VALUE"""),44785.63611111111)</f>
        <v>44785.63611</v>
      </c>
      <c r="K1052" s="22">
        <f>IFERROR(__xludf.DUMMYFUNCTION("""COMPUTED_VALUE"""),27.7)</f>
        <v>27.7</v>
      </c>
    </row>
    <row r="1053" ht="15.75" customHeight="1">
      <c r="A1053" s="25">
        <f>IFERROR(__xludf.DUMMYFUNCTION("""COMPUTED_VALUE"""),44788.66666666667)</f>
        <v>44788.66667</v>
      </c>
      <c r="B1053" s="22">
        <f>IFERROR(__xludf.DUMMYFUNCTION("""COMPUTED_VALUE"""),4297.14)</f>
        <v>4297.14</v>
      </c>
      <c r="C1053" s="25">
        <f>IFERROR(__xludf.DUMMYFUNCTION("""COMPUTED_VALUE"""),44788.63611111111)</f>
        <v>44788.63611</v>
      </c>
      <c r="D1053" s="22">
        <f>IFERROR(__xludf.DUMMYFUNCTION("""COMPUTED_VALUE"""),19.95)</f>
        <v>19.95</v>
      </c>
      <c r="F1053" s="25">
        <f>IFERROR(__xludf.DUMMYFUNCTION("""COMPUTED_VALUE"""),44788.63611111111)</f>
        <v>44788.63611</v>
      </c>
      <c r="G1053" s="22">
        <f>IFERROR(__xludf.DUMMYFUNCTION("""COMPUTED_VALUE"""),23.32)</f>
        <v>23.32</v>
      </c>
      <c r="H1053" s="25">
        <f>IFERROR(__xludf.DUMMYFUNCTION("""COMPUTED_VALUE"""),44788.63611111111)</f>
        <v>44788.63611</v>
      </c>
      <c r="I1053" s="22">
        <f>IFERROR(__xludf.DUMMYFUNCTION("""COMPUTED_VALUE"""),25.7)</f>
        <v>25.7</v>
      </c>
      <c r="J1053" s="25">
        <f>IFERROR(__xludf.DUMMYFUNCTION("""COMPUTED_VALUE"""),44788.63611111111)</f>
        <v>44788.63611</v>
      </c>
      <c r="K1053" s="22">
        <f>IFERROR(__xludf.DUMMYFUNCTION("""COMPUTED_VALUE"""),27.64)</f>
        <v>27.64</v>
      </c>
    </row>
    <row r="1054" ht="15.75" customHeight="1">
      <c r="A1054" s="25">
        <f>IFERROR(__xludf.DUMMYFUNCTION("""COMPUTED_VALUE"""),44789.66666666667)</f>
        <v>44789.66667</v>
      </c>
      <c r="B1054" s="22">
        <f>IFERROR(__xludf.DUMMYFUNCTION("""COMPUTED_VALUE"""),4305.2)</f>
        <v>4305.2</v>
      </c>
      <c r="C1054" s="25">
        <f>IFERROR(__xludf.DUMMYFUNCTION("""COMPUTED_VALUE"""),44789.63611111111)</f>
        <v>44789.63611</v>
      </c>
      <c r="D1054" s="22">
        <f>IFERROR(__xludf.DUMMYFUNCTION("""COMPUTED_VALUE"""),19.69)</f>
        <v>19.69</v>
      </c>
      <c r="F1054" s="25">
        <f>IFERROR(__xludf.DUMMYFUNCTION("""COMPUTED_VALUE"""),44789.63611111111)</f>
        <v>44789.63611</v>
      </c>
      <c r="G1054" s="22">
        <f>IFERROR(__xludf.DUMMYFUNCTION("""COMPUTED_VALUE"""),23.32)</f>
        <v>23.32</v>
      </c>
      <c r="H1054" s="25">
        <f>IFERROR(__xludf.DUMMYFUNCTION("""COMPUTED_VALUE"""),44789.63611111111)</f>
        <v>44789.63611</v>
      </c>
      <c r="I1054" s="22">
        <f>IFERROR(__xludf.DUMMYFUNCTION("""COMPUTED_VALUE"""),25.61)</f>
        <v>25.61</v>
      </c>
      <c r="J1054" s="25">
        <f>IFERROR(__xludf.DUMMYFUNCTION("""COMPUTED_VALUE"""),44789.63611111111)</f>
        <v>44789.63611</v>
      </c>
      <c r="K1054" s="22">
        <f>IFERROR(__xludf.DUMMYFUNCTION("""COMPUTED_VALUE"""),27.58)</f>
        <v>27.58</v>
      </c>
    </row>
    <row r="1055" ht="15.75" customHeight="1">
      <c r="A1055" s="25">
        <f>IFERROR(__xludf.DUMMYFUNCTION("""COMPUTED_VALUE"""),44790.66666666667)</f>
        <v>44790.66667</v>
      </c>
      <c r="B1055" s="22">
        <f>IFERROR(__xludf.DUMMYFUNCTION("""COMPUTED_VALUE"""),4274.04)</f>
        <v>4274.04</v>
      </c>
      <c r="C1055" s="25">
        <f>IFERROR(__xludf.DUMMYFUNCTION("""COMPUTED_VALUE"""),44790.63611111111)</f>
        <v>44790.63611</v>
      </c>
      <c r="D1055" s="22">
        <f>IFERROR(__xludf.DUMMYFUNCTION("""COMPUTED_VALUE"""),19.9)</f>
        <v>19.9</v>
      </c>
      <c r="F1055" s="25">
        <f>IFERROR(__xludf.DUMMYFUNCTION("""COMPUTED_VALUE"""),44790.63611111111)</f>
        <v>44790.63611</v>
      </c>
      <c r="G1055" s="22">
        <f>IFERROR(__xludf.DUMMYFUNCTION("""COMPUTED_VALUE"""),23.6)</f>
        <v>23.6</v>
      </c>
      <c r="H1055" s="25">
        <f>IFERROR(__xludf.DUMMYFUNCTION("""COMPUTED_VALUE"""),44790.63611111111)</f>
        <v>44790.63611</v>
      </c>
      <c r="I1055" s="22">
        <f>IFERROR(__xludf.DUMMYFUNCTION("""COMPUTED_VALUE"""),26.05)</f>
        <v>26.05</v>
      </c>
      <c r="J1055" s="25">
        <f>IFERROR(__xludf.DUMMYFUNCTION("""COMPUTED_VALUE"""),44790.63611111111)</f>
        <v>44790.63611</v>
      </c>
      <c r="K1055" s="22">
        <f>IFERROR(__xludf.DUMMYFUNCTION("""COMPUTED_VALUE"""),27.94)</f>
        <v>27.94</v>
      </c>
    </row>
    <row r="1056" ht="15.75" customHeight="1">
      <c r="A1056" s="25">
        <f>IFERROR(__xludf.DUMMYFUNCTION("""COMPUTED_VALUE"""),44791.66666666667)</f>
        <v>44791.66667</v>
      </c>
      <c r="B1056" s="22">
        <f>IFERROR(__xludf.DUMMYFUNCTION("""COMPUTED_VALUE"""),4283.74)</f>
        <v>4283.74</v>
      </c>
      <c r="C1056" s="25">
        <f>IFERROR(__xludf.DUMMYFUNCTION("""COMPUTED_VALUE"""),44791.63611111111)</f>
        <v>44791.63611</v>
      </c>
      <c r="D1056" s="22">
        <f>IFERROR(__xludf.DUMMYFUNCTION("""COMPUTED_VALUE"""),19.56)</f>
        <v>19.56</v>
      </c>
      <c r="F1056" s="25">
        <f>IFERROR(__xludf.DUMMYFUNCTION("""COMPUTED_VALUE"""),44791.63611111111)</f>
        <v>44791.63611</v>
      </c>
      <c r="G1056" s="22">
        <f>IFERROR(__xludf.DUMMYFUNCTION("""COMPUTED_VALUE"""),23.39)</f>
        <v>23.39</v>
      </c>
      <c r="H1056" s="25">
        <f>IFERROR(__xludf.DUMMYFUNCTION("""COMPUTED_VALUE"""),44791.63611111111)</f>
        <v>44791.63611</v>
      </c>
      <c r="I1056" s="22">
        <f>IFERROR(__xludf.DUMMYFUNCTION("""COMPUTED_VALUE"""),25.88)</f>
        <v>25.88</v>
      </c>
      <c r="J1056" s="25">
        <f>IFERROR(__xludf.DUMMYFUNCTION("""COMPUTED_VALUE"""),44791.63611111111)</f>
        <v>44791.63611</v>
      </c>
      <c r="K1056" s="22">
        <f>IFERROR(__xludf.DUMMYFUNCTION("""COMPUTED_VALUE"""),27.84)</f>
        <v>27.84</v>
      </c>
    </row>
    <row r="1057" ht="15.75" customHeight="1">
      <c r="A1057" s="25">
        <f>IFERROR(__xludf.DUMMYFUNCTION("""COMPUTED_VALUE"""),44792.66666666667)</f>
        <v>44792.66667</v>
      </c>
      <c r="B1057" s="22">
        <f>IFERROR(__xludf.DUMMYFUNCTION("""COMPUTED_VALUE"""),4228.48)</f>
        <v>4228.48</v>
      </c>
      <c r="C1057" s="25">
        <f>IFERROR(__xludf.DUMMYFUNCTION("""COMPUTED_VALUE"""),44792.63611111111)</f>
        <v>44792.63611</v>
      </c>
      <c r="D1057" s="22">
        <f>IFERROR(__xludf.DUMMYFUNCTION("""COMPUTED_VALUE"""),20.6)</f>
        <v>20.6</v>
      </c>
      <c r="F1057" s="25">
        <f>IFERROR(__xludf.DUMMYFUNCTION("""COMPUTED_VALUE"""),44792.63611111111)</f>
        <v>44792.63611</v>
      </c>
      <c r="G1057" s="22">
        <f>IFERROR(__xludf.DUMMYFUNCTION("""COMPUTED_VALUE"""),24.32)</f>
        <v>24.32</v>
      </c>
      <c r="H1057" s="25">
        <f>IFERROR(__xludf.DUMMYFUNCTION("""COMPUTED_VALUE"""),44792.63611111111)</f>
        <v>44792.63611</v>
      </c>
      <c r="I1057" s="22">
        <f>IFERROR(__xludf.DUMMYFUNCTION("""COMPUTED_VALUE"""),26.67)</f>
        <v>26.67</v>
      </c>
      <c r="J1057" s="25">
        <f>IFERROR(__xludf.DUMMYFUNCTION("""COMPUTED_VALUE"""),44792.63611111111)</f>
        <v>44792.63611</v>
      </c>
      <c r="K1057" s="22">
        <f>IFERROR(__xludf.DUMMYFUNCTION("""COMPUTED_VALUE"""),28.36)</f>
        <v>28.36</v>
      </c>
    </row>
    <row r="1058" ht="15.75" customHeight="1">
      <c r="A1058" s="25">
        <f>IFERROR(__xludf.DUMMYFUNCTION("""COMPUTED_VALUE"""),44795.66666666667)</f>
        <v>44795.66667</v>
      </c>
      <c r="B1058" s="22">
        <f>IFERROR(__xludf.DUMMYFUNCTION("""COMPUTED_VALUE"""),4137.99)</f>
        <v>4137.99</v>
      </c>
      <c r="C1058" s="25">
        <f>IFERROR(__xludf.DUMMYFUNCTION("""COMPUTED_VALUE"""),44795.63611111111)</f>
        <v>44795.63611</v>
      </c>
      <c r="D1058" s="22">
        <f>IFERROR(__xludf.DUMMYFUNCTION("""COMPUTED_VALUE"""),23.8)</f>
        <v>23.8</v>
      </c>
      <c r="F1058" s="25">
        <f>IFERROR(__xludf.DUMMYFUNCTION("""COMPUTED_VALUE"""),44795.63611111111)</f>
        <v>44795.63611</v>
      </c>
      <c r="G1058" s="22">
        <f>IFERROR(__xludf.DUMMYFUNCTION("""COMPUTED_VALUE"""),26.0)</f>
        <v>26</v>
      </c>
      <c r="H1058" s="25">
        <f>IFERROR(__xludf.DUMMYFUNCTION("""COMPUTED_VALUE"""),44795.63611111111)</f>
        <v>44795.63611</v>
      </c>
      <c r="I1058" s="22">
        <f>IFERROR(__xludf.DUMMYFUNCTION("""COMPUTED_VALUE"""),27.83)</f>
        <v>27.83</v>
      </c>
      <c r="J1058" s="25">
        <f>IFERROR(__xludf.DUMMYFUNCTION("""COMPUTED_VALUE"""),44795.63611111111)</f>
        <v>44795.63611</v>
      </c>
      <c r="K1058" s="22">
        <f>IFERROR(__xludf.DUMMYFUNCTION("""COMPUTED_VALUE"""),29.08)</f>
        <v>29.08</v>
      </c>
    </row>
    <row r="1059" ht="15.75" customHeight="1">
      <c r="A1059" s="25">
        <f>IFERROR(__xludf.DUMMYFUNCTION("""COMPUTED_VALUE"""),44796.66666666667)</f>
        <v>44796.66667</v>
      </c>
      <c r="B1059" s="22">
        <f>IFERROR(__xludf.DUMMYFUNCTION("""COMPUTED_VALUE"""),4128.73)</f>
        <v>4128.73</v>
      </c>
      <c r="C1059" s="25">
        <f>IFERROR(__xludf.DUMMYFUNCTION("""COMPUTED_VALUE"""),44796.63611111111)</f>
        <v>44796.63611</v>
      </c>
      <c r="D1059" s="22">
        <f>IFERROR(__xludf.DUMMYFUNCTION("""COMPUTED_VALUE"""),24.11)</f>
        <v>24.11</v>
      </c>
      <c r="F1059" s="25">
        <f>IFERROR(__xludf.DUMMYFUNCTION("""COMPUTED_VALUE"""),44796.63611111111)</f>
        <v>44796.63611</v>
      </c>
      <c r="G1059" s="22">
        <f>IFERROR(__xludf.DUMMYFUNCTION("""COMPUTED_VALUE"""),25.92)</f>
        <v>25.92</v>
      </c>
      <c r="H1059" s="25">
        <f>IFERROR(__xludf.DUMMYFUNCTION("""COMPUTED_VALUE"""),44796.63611111111)</f>
        <v>44796.63611</v>
      </c>
      <c r="I1059" s="22">
        <f>IFERROR(__xludf.DUMMYFUNCTION("""COMPUTED_VALUE"""),27.81)</f>
        <v>27.81</v>
      </c>
      <c r="J1059" s="25">
        <f>IFERROR(__xludf.DUMMYFUNCTION("""COMPUTED_VALUE"""),44796.63611111111)</f>
        <v>44796.63611</v>
      </c>
      <c r="K1059" s="22">
        <f>IFERROR(__xludf.DUMMYFUNCTION("""COMPUTED_VALUE"""),28.85)</f>
        <v>28.85</v>
      </c>
    </row>
    <row r="1060" ht="15.75" customHeight="1">
      <c r="A1060" s="25">
        <f>IFERROR(__xludf.DUMMYFUNCTION("""COMPUTED_VALUE"""),44797.66666666667)</f>
        <v>44797.66667</v>
      </c>
      <c r="B1060" s="22">
        <f>IFERROR(__xludf.DUMMYFUNCTION("""COMPUTED_VALUE"""),4140.77)</f>
        <v>4140.77</v>
      </c>
      <c r="C1060" s="25">
        <f>IFERROR(__xludf.DUMMYFUNCTION("""COMPUTED_VALUE"""),44797.63611111111)</f>
        <v>44797.63611</v>
      </c>
      <c r="D1060" s="22">
        <f>IFERROR(__xludf.DUMMYFUNCTION("""COMPUTED_VALUE"""),22.82)</f>
        <v>22.82</v>
      </c>
      <c r="F1060" s="25">
        <f>IFERROR(__xludf.DUMMYFUNCTION("""COMPUTED_VALUE"""),44797.63611111111)</f>
        <v>44797.63611</v>
      </c>
      <c r="G1060" s="22">
        <f>IFERROR(__xludf.DUMMYFUNCTION("""COMPUTED_VALUE"""),24.89)</f>
        <v>24.89</v>
      </c>
      <c r="H1060" s="25">
        <f>IFERROR(__xludf.DUMMYFUNCTION("""COMPUTED_VALUE"""),44797.63611111111)</f>
        <v>44797.63611</v>
      </c>
      <c r="I1060" s="22">
        <f>IFERROR(__xludf.DUMMYFUNCTION("""COMPUTED_VALUE"""),27.04)</f>
        <v>27.04</v>
      </c>
      <c r="J1060" s="25">
        <f>IFERROR(__xludf.DUMMYFUNCTION("""COMPUTED_VALUE"""),44797.63611111111)</f>
        <v>44797.63611</v>
      </c>
      <c r="K1060" s="22">
        <f>IFERROR(__xludf.DUMMYFUNCTION("""COMPUTED_VALUE"""),28.46)</f>
        <v>28.46</v>
      </c>
    </row>
    <row r="1061" ht="15.75" customHeight="1">
      <c r="A1061" s="25">
        <f>IFERROR(__xludf.DUMMYFUNCTION("""COMPUTED_VALUE"""),44798.66666666667)</f>
        <v>44798.66667</v>
      </c>
      <c r="B1061" s="22">
        <f>IFERROR(__xludf.DUMMYFUNCTION("""COMPUTED_VALUE"""),4199.12)</f>
        <v>4199.12</v>
      </c>
      <c r="C1061" s="25">
        <f>IFERROR(__xludf.DUMMYFUNCTION("""COMPUTED_VALUE"""),44798.63611111111)</f>
        <v>44798.63611</v>
      </c>
      <c r="D1061" s="22">
        <f>IFERROR(__xludf.DUMMYFUNCTION("""COMPUTED_VALUE"""),21.78)</f>
        <v>21.78</v>
      </c>
      <c r="F1061" s="25">
        <f>IFERROR(__xludf.DUMMYFUNCTION("""COMPUTED_VALUE"""),44798.63611111111)</f>
        <v>44798.63611</v>
      </c>
      <c r="G1061" s="22">
        <f>IFERROR(__xludf.DUMMYFUNCTION("""COMPUTED_VALUE"""),24.13)</f>
        <v>24.13</v>
      </c>
      <c r="H1061" s="25">
        <f>IFERROR(__xludf.DUMMYFUNCTION("""COMPUTED_VALUE"""),44798.63611111111)</f>
        <v>44798.63611</v>
      </c>
      <c r="I1061" s="22">
        <f>IFERROR(__xludf.DUMMYFUNCTION("""COMPUTED_VALUE"""),26.52)</f>
        <v>26.52</v>
      </c>
      <c r="J1061" s="25">
        <f>IFERROR(__xludf.DUMMYFUNCTION("""COMPUTED_VALUE"""),44798.63611111111)</f>
        <v>44798.63611</v>
      </c>
      <c r="K1061" s="22">
        <f>IFERROR(__xludf.DUMMYFUNCTION("""COMPUTED_VALUE"""),28.21)</f>
        <v>28.21</v>
      </c>
    </row>
    <row r="1062" ht="15.75" customHeight="1">
      <c r="A1062" s="25">
        <f>IFERROR(__xludf.DUMMYFUNCTION("""COMPUTED_VALUE"""),44799.66666666667)</f>
        <v>44799.66667</v>
      </c>
      <c r="B1062" s="22">
        <f>IFERROR(__xludf.DUMMYFUNCTION("""COMPUTED_VALUE"""),4057.66)</f>
        <v>4057.66</v>
      </c>
      <c r="C1062" s="25">
        <f>IFERROR(__xludf.DUMMYFUNCTION("""COMPUTED_VALUE"""),44799.63611111111)</f>
        <v>44799.63611</v>
      </c>
      <c r="D1062" s="22">
        <f>IFERROR(__xludf.DUMMYFUNCTION("""COMPUTED_VALUE"""),25.56)</f>
        <v>25.56</v>
      </c>
      <c r="F1062" s="25">
        <f>IFERROR(__xludf.DUMMYFUNCTION("""COMPUTED_VALUE"""),44799.63611111111)</f>
        <v>44799.63611</v>
      </c>
      <c r="G1062" s="22">
        <f>IFERROR(__xludf.DUMMYFUNCTION("""COMPUTED_VALUE"""),26.56)</f>
        <v>26.56</v>
      </c>
      <c r="H1062" s="25">
        <f>IFERROR(__xludf.DUMMYFUNCTION("""COMPUTED_VALUE"""),44799.63611111111)</f>
        <v>44799.63611</v>
      </c>
      <c r="I1062" s="22">
        <f>IFERROR(__xludf.DUMMYFUNCTION("""COMPUTED_VALUE"""),28.28)</f>
        <v>28.28</v>
      </c>
      <c r="J1062" s="25">
        <f>IFERROR(__xludf.DUMMYFUNCTION("""COMPUTED_VALUE"""),44799.63611111111)</f>
        <v>44799.63611</v>
      </c>
      <c r="K1062" s="22">
        <f>IFERROR(__xludf.DUMMYFUNCTION("""COMPUTED_VALUE"""),29.47)</f>
        <v>29.47</v>
      </c>
    </row>
    <row r="1063" ht="15.75" customHeight="1">
      <c r="A1063" s="25">
        <f>IFERROR(__xludf.DUMMYFUNCTION("""COMPUTED_VALUE"""),44802.66666666667)</f>
        <v>44802.66667</v>
      </c>
      <c r="B1063" s="22">
        <f>IFERROR(__xludf.DUMMYFUNCTION("""COMPUTED_VALUE"""),4030.61)</f>
        <v>4030.61</v>
      </c>
      <c r="C1063" s="25">
        <f>IFERROR(__xludf.DUMMYFUNCTION("""COMPUTED_VALUE"""),44802.63611111111)</f>
        <v>44802.63611</v>
      </c>
      <c r="D1063" s="22">
        <f>IFERROR(__xludf.DUMMYFUNCTION("""COMPUTED_VALUE"""),26.21)</f>
        <v>26.21</v>
      </c>
      <c r="F1063" s="25">
        <f>IFERROR(__xludf.DUMMYFUNCTION("""COMPUTED_VALUE"""),44802.63611111111)</f>
        <v>44802.63611</v>
      </c>
      <c r="G1063" s="22">
        <f>IFERROR(__xludf.DUMMYFUNCTION("""COMPUTED_VALUE"""),26.82)</f>
        <v>26.82</v>
      </c>
      <c r="H1063" s="25">
        <f>IFERROR(__xludf.DUMMYFUNCTION("""COMPUTED_VALUE"""),44802.63611111111)</f>
        <v>44802.63611</v>
      </c>
      <c r="I1063" s="22">
        <f>IFERROR(__xludf.DUMMYFUNCTION("""COMPUTED_VALUE"""),28.5)</f>
        <v>28.5</v>
      </c>
      <c r="J1063" s="25">
        <f>IFERROR(__xludf.DUMMYFUNCTION("""COMPUTED_VALUE"""),44802.63611111111)</f>
        <v>44802.63611</v>
      </c>
      <c r="K1063" s="22">
        <f>IFERROR(__xludf.DUMMYFUNCTION("""COMPUTED_VALUE"""),29.32)</f>
        <v>29.32</v>
      </c>
    </row>
    <row r="1064" ht="15.75" customHeight="1">
      <c r="A1064" s="25">
        <f>IFERROR(__xludf.DUMMYFUNCTION("""COMPUTED_VALUE"""),44803.66666666667)</f>
        <v>44803.66667</v>
      </c>
      <c r="B1064" s="22">
        <f>IFERROR(__xludf.DUMMYFUNCTION("""COMPUTED_VALUE"""),3986.16)</f>
        <v>3986.16</v>
      </c>
      <c r="C1064" s="25">
        <f>IFERROR(__xludf.DUMMYFUNCTION("""COMPUTED_VALUE"""),44803.63611111111)</f>
        <v>44803.63611</v>
      </c>
      <c r="D1064" s="22">
        <f>IFERROR(__xludf.DUMMYFUNCTION("""COMPUTED_VALUE"""),26.21)</f>
        <v>26.21</v>
      </c>
      <c r="F1064" s="25">
        <f>IFERROR(__xludf.DUMMYFUNCTION("""COMPUTED_VALUE"""),44803.63611111111)</f>
        <v>44803.63611</v>
      </c>
      <c r="G1064" s="22">
        <f>IFERROR(__xludf.DUMMYFUNCTION("""COMPUTED_VALUE"""),26.91)</f>
        <v>26.91</v>
      </c>
      <c r="H1064" s="25">
        <f>IFERROR(__xludf.DUMMYFUNCTION("""COMPUTED_VALUE"""),44803.63611111111)</f>
        <v>44803.63611</v>
      </c>
      <c r="I1064" s="22">
        <f>IFERROR(__xludf.DUMMYFUNCTION("""COMPUTED_VALUE"""),28.45)</f>
        <v>28.45</v>
      </c>
      <c r="J1064" s="25">
        <f>IFERROR(__xludf.DUMMYFUNCTION("""COMPUTED_VALUE"""),44803.63611111111)</f>
        <v>44803.63611</v>
      </c>
      <c r="K1064" s="22">
        <f>IFERROR(__xludf.DUMMYFUNCTION("""COMPUTED_VALUE"""),29.31)</f>
        <v>29.31</v>
      </c>
    </row>
    <row r="1065" ht="15.75" customHeight="1">
      <c r="A1065" s="25">
        <f>IFERROR(__xludf.DUMMYFUNCTION("""COMPUTED_VALUE"""),44804.66666666667)</f>
        <v>44804.66667</v>
      </c>
      <c r="B1065" s="22">
        <f>IFERROR(__xludf.DUMMYFUNCTION("""COMPUTED_VALUE"""),3955.0)</f>
        <v>3955</v>
      </c>
      <c r="C1065" s="25">
        <f>IFERROR(__xludf.DUMMYFUNCTION("""COMPUTED_VALUE"""),44804.63611111111)</f>
        <v>44804.63611</v>
      </c>
      <c r="D1065" s="22">
        <f>IFERROR(__xludf.DUMMYFUNCTION("""COMPUTED_VALUE"""),25.87)</f>
        <v>25.87</v>
      </c>
      <c r="F1065" s="25">
        <f>IFERROR(__xludf.DUMMYFUNCTION("""COMPUTED_VALUE"""),44804.63611111111)</f>
        <v>44804.63611</v>
      </c>
      <c r="G1065" s="22">
        <f>IFERROR(__xludf.DUMMYFUNCTION("""COMPUTED_VALUE"""),26.65)</f>
        <v>26.65</v>
      </c>
      <c r="H1065" s="25">
        <f>IFERROR(__xludf.DUMMYFUNCTION("""COMPUTED_VALUE"""),44804.63611111111)</f>
        <v>44804.63611</v>
      </c>
      <c r="I1065" s="22">
        <f>IFERROR(__xludf.DUMMYFUNCTION("""COMPUTED_VALUE"""),28.37)</f>
        <v>28.37</v>
      </c>
      <c r="J1065" s="25">
        <f>IFERROR(__xludf.DUMMYFUNCTION("""COMPUTED_VALUE"""),44804.63611111111)</f>
        <v>44804.63611</v>
      </c>
      <c r="K1065" s="22">
        <f>IFERROR(__xludf.DUMMYFUNCTION("""COMPUTED_VALUE"""),29.26)</f>
        <v>29.26</v>
      </c>
    </row>
    <row r="1066" ht="15.75" customHeight="1">
      <c r="A1066" s="25">
        <f>IFERROR(__xludf.DUMMYFUNCTION("""COMPUTED_VALUE"""),44805.66666666667)</f>
        <v>44805.66667</v>
      </c>
      <c r="B1066" s="22">
        <f>IFERROR(__xludf.DUMMYFUNCTION("""COMPUTED_VALUE"""),3966.85)</f>
        <v>3966.85</v>
      </c>
      <c r="C1066" s="25">
        <f>IFERROR(__xludf.DUMMYFUNCTION("""COMPUTED_VALUE"""),44805.63611111111)</f>
        <v>44805.63611</v>
      </c>
      <c r="D1066" s="22">
        <f>IFERROR(__xludf.DUMMYFUNCTION("""COMPUTED_VALUE"""),25.56)</f>
        <v>25.56</v>
      </c>
      <c r="F1066" s="25">
        <f>IFERROR(__xludf.DUMMYFUNCTION("""COMPUTED_VALUE"""),44805.63611111111)</f>
        <v>44805.63611</v>
      </c>
      <c r="G1066" s="22">
        <f>IFERROR(__xludf.DUMMYFUNCTION("""COMPUTED_VALUE"""),26.43)</f>
        <v>26.43</v>
      </c>
      <c r="H1066" s="25">
        <f>IFERROR(__xludf.DUMMYFUNCTION("""COMPUTED_VALUE"""),44805.63611111111)</f>
        <v>44805.63611</v>
      </c>
      <c r="I1066" s="22">
        <f>IFERROR(__xludf.DUMMYFUNCTION("""COMPUTED_VALUE"""),28.16)</f>
        <v>28.16</v>
      </c>
      <c r="J1066" s="25">
        <f>IFERROR(__xludf.DUMMYFUNCTION("""COMPUTED_VALUE"""),44805.63611111111)</f>
        <v>44805.63611</v>
      </c>
      <c r="K1066" s="22">
        <f>IFERROR(__xludf.DUMMYFUNCTION("""COMPUTED_VALUE"""),29.17)</f>
        <v>29.17</v>
      </c>
    </row>
    <row r="1067" ht="15.75" customHeight="1">
      <c r="A1067" s="25">
        <f>IFERROR(__xludf.DUMMYFUNCTION("""COMPUTED_VALUE"""),44806.66666666667)</f>
        <v>44806.66667</v>
      </c>
      <c r="B1067" s="22">
        <f>IFERROR(__xludf.DUMMYFUNCTION("""COMPUTED_VALUE"""),3924.26)</f>
        <v>3924.26</v>
      </c>
      <c r="C1067" s="25">
        <f>IFERROR(__xludf.DUMMYFUNCTION("""COMPUTED_VALUE"""),44806.63611111111)</f>
        <v>44806.63611</v>
      </c>
      <c r="D1067" s="22">
        <f>IFERROR(__xludf.DUMMYFUNCTION("""COMPUTED_VALUE"""),25.47)</f>
        <v>25.47</v>
      </c>
      <c r="F1067" s="25">
        <f>IFERROR(__xludf.DUMMYFUNCTION("""COMPUTED_VALUE"""),44806.63611111111)</f>
        <v>44806.63611</v>
      </c>
      <c r="G1067" s="22">
        <f>IFERROR(__xludf.DUMMYFUNCTION("""COMPUTED_VALUE"""),26.48)</f>
        <v>26.48</v>
      </c>
      <c r="H1067" s="25">
        <f>IFERROR(__xludf.DUMMYFUNCTION("""COMPUTED_VALUE"""),44806.63611111111)</f>
        <v>44806.63611</v>
      </c>
      <c r="I1067" s="22">
        <f>IFERROR(__xludf.DUMMYFUNCTION("""COMPUTED_VALUE"""),28.11)</f>
        <v>28.11</v>
      </c>
      <c r="J1067" s="25">
        <f>IFERROR(__xludf.DUMMYFUNCTION("""COMPUTED_VALUE"""),44806.63611111111)</f>
        <v>44806.63611</v>
      </c>
      <c r="K1067" s="22">
        <f>IFERROR(__xludf.DUMMYFUNCTION("""COMPUTED_VALUE"""),29.15)</f>
        <v>29.15</v>
      </c>
    </row>
    <row r="1068" ht="15.75" customHeight="1">
      <c r="A1068" s="25">
        <f>IFERROR(__xludf.DUMMYFUNCTION("""COMPUTED_VALUE"""),44810.66666666667)</f>
        <v>44810.66667</v>
      </c>
      <c r="B1068" s="22">
        <f>IFERROR(__xludf.DUMMYFUNCTION("""COMPUTED_VALUE"""),3908.19)</f>
        <v>3908.19</v>
      </c>
      <c r="C1068" s="25">
        <f>IFERROR(__xludf.DUMMYFUNCTION("""COMPUTED_VALUE"""),44810.63611111111)</f>
        <v>44810.63611</v>
      </c>
      <c r="D1068" s="22">
        <f>IFERROR(__xludf.DUMMYFUNCTION("""COMPUTED_VALUE"""),26.91)</f>
        <v>26.91</v>
      </c>
      <c r="F1068" s="25">
        <f>IFERROR(__xludf.DUMMYFUNCTION("""COMPUTED_VALUE"""),44810.63611111111)</f>
        <v>44810.63611</v>
      </c>
      <c r="G1068" s="22">
        <f>IFERROR(__xludf.DUMMYFUNCTION("""COMPUTED_VALUE"""),27.59)</f>
        <v>27.59</v>
      </c>
      <c r="H1068" s="25">
        <f>IFERROR(__xludf.DUMMYFUNCTION("""COMPUTED_VALUE"""),44810.63611111111)</f>
        <v>44810.63611</v>
      </c>
      <c r="I1068" s="22">
        <f>IFERROR(__xludf.DUMMYFUNCTION("""COMPUTED_VALUE"""),28.89)</f>
        <v>28.89</v>
      </c>
      <c r="J1068" s="25">
        <f>IFERROR(__xludf.DUMMYFUNCTION("""COMPUTED_VALUE"""),44810.63611111111)</f>
        <v>44810.63611</v>
      </c>
      <c r="K1068" s="22">
        <f>IFERROR(__xludf.DUMMYFUNCTION("""COMPUTED_VALUE"""),29.45)</f>
        <v>29.45</v>
      </c>
    </row>
    <row r="1069" ht="15.75" customHeight="1">
      <c r="A1069" s="25">
        <f>IFERROR(__xludf.DUMMYFUNCTION("""COMPUTED_VALUE"""),44811.66666666667)</f>
        <v>44811.66667</v>
      </c>
      <c r="B1069" s="22">
        <f>IFERROR(__xludf.DUMMYFUNCTION("""COMPUTED_VALUE"""),3979.87)</f>
        <v>3979.87</v>
      </c>
      <c r="C1069" s="25">
        <f>IFERROR(__xludf.DUMMYFUNCTION("""COMPUTED_VALUE"""),44811.63611111111)</f>
        <v>44811.63611</v>
      </c>
      <c r="D1069" s="22">
        <f>IFERROR(__xludf.DUMMYFUNCTION("""COMPUTED_VALUE"""),24.64)</f>
        <v>24.64</v>
      </c>
      <c r="F1069" s="25">
        <f>IFERROR(__xludf.DUMMYFUNCTION("""COMPUTED_VALUE"""),44811.63611111111)</f>
        <v>44811.63611</v>
      </c>
      <c r="G1069" s="22">
        <f>IFERROR(__xludf.DUMMYFUNCTION("""COMPUTED_VALUE"""),26.1)</f>
        <v>26.1</v>
      </c>
      <c r="H1069" s="25">
        <f>IFERROR(__xludf.DUMMYFUNCTION("""COMPUTED_VALUE"""),44811.63611111111)</f>
        <v>44811.63611</v>
      </c>
      <c r="I1069" s="22">
        <f>IFERROR(__xludf.DUMMYFUNCTION("""COMPUTED_VALUE"""),27.72)</f>
        <v>27.72</v>
      </c>
      <c r="J1069" s="25">
        <f>IFERROR(__xludf.DUMMYFUNCTION("""COMPUTED_VALUE"""),44811.63611111111)</f>
        <v>44811.63611</v>
      </c>
      <c r="K1069" s="22">
        <f>IFERROR(__xludf.DUMMYFUNCTION("""COMPUTED_VALUE"""),28.75)</f>
        <v>28.75</v>
      </c>
    </row>
    <row r="1070" ht="15.75" customHeight="1">
      <c r="A1070" s="25">
        <f>IFERROR(__xludf.DUMMYFUNCTION("""COMPUTED_VALUE"""),44812.66666666667)</f>
        <v>44812.66667</v>
      </c>
      <c r="B1070" s="22">
        <f>IFERROR(__xludf.DUMMYFUNCTION("""COMPUTED_VALUE"""),4006.18)</f>
        <v>4006.18</v>
      </c>
      <c r="C1070" s="25">
        <f>IFERROR(__xludf.DUMMYFUNCTION("""COMPUTED_VALUE"""),44812.63611111111)</f>
        <v>44812.63611</v>
      </c>
      <c r="D1070" s="22">
        <f>IFERROR(__xludf.DUMMYFUNCTION("""COMPUTED_VALUE"""),23.61)</f>
        <v>23.61</v>
      </c>
      <c r="F1070" s="25">
        <f>IFERROR(__xludf.DUMMYFUNCTION("""COMPUTED_VALUE"""),44812.63611111111)</f>
        <v>44812.63611</v>
      </c>
      <c r="G1070" s="22">
        <f>IFERROR(__xludf.DUMMYFUNCTION("""COMPUTED_VALUE"""),25.52)</f>
        <v>25.52</v>
      </c>
      <c r="H1070" s="25">
        <f>IFERROR(__xludf.DUMMYFUNCTION("""COMPUTED_VALUE"""),44812.63611111111)</f>
        <v>44812.63611</v>
      </c>
      <c r="I1070" s="22">
        <f>IFERROR(__xludf.DUMMYFUNCTION("""COMPUTED_VALUE"""),27.29)</f>
        <v>27.29</v>
      </c>
      <c r="J1070" s="25">
        <f>IFERROR(__xludf.DUMMYFUNCTION("""COMPUTED_VALUE"""),44812.63611111111)</f>
        <v>44812.63611</v>
      </c>
      <c r="K1070" s="22">
        <f>IFERROR(__xludf.DUMMYFUNCTION("""COMPUTED_VALUE"""),28.45)</f>
        <v>28.45</v>
      </c>
    </row>
    <row r="1071" ht="15.75" customHeight="1">
      <c r="A1071" s="25">
        <f>IFERROR(__xludf.DUMMYFUNCTION("""COMPUTED_VALUE"""),44813.66666666667)</f>
        <v>44813.66667</v>
      </c>
      <c r="B1071" s="22">
        <f>IFERROR(__xludf.DUMMYFUNCTION("""COMPUTED_VALUE"""),4067.36)</f>
        <v>4067.36</v>
      </c>
      <c r="C1071" s="25">
        <f>IFERROR(__xludf.DUMMYFUNCTION("""COMPUTED_VALUE"""),44813.63611111111)</f>
        <v>44813.63611</v>
      </c>
      <c r="D1071" s="22">
        <f>IFERROR(__xludf.DUMMYFUNCTION("""COMPUTED_VALUE"""),22.79)</f>
        <v>22.79</v>
      </c>
      <c r="F1071" s="25">
        <f>IFERROR(__xludf.DUMMYFUNCTION("""COMPUTED_VALUE"""),44813.63611111111)</f>
        <v>44813.63611</v>
      </c>
      <c r="G1071" s="22">
        <f>IFERROR(__xludf.DUMMYFUNCTION("""COMPUTED_VALUE"""),25.14)</f>
        <v>25.14</v>
      </c>
      <c r="H1071" s="25">
        <f>IFERROR(__xludf.DUMMYFUNCTION("""COMPUTED_VALUE"""),44813.63611111111)</f>
        <v>44813.63611</v>
      </c>
      <c r="I1071" s="22">
        <f>IFERROR(__xludf.DUMMYFUNCTION("""COMPUTED_VALUE"""),27.07)</f>
        <v>27.07</v>
      </c>
      <c r="J1071" s="25">
        <f>IFERROR(__xludf.DUMMYFUNCTION("""COMPUTED_VALUE"""),44813.63611111111)</f>
        <v>44813.63611</v>
      </c>
      <c r="K1071" s="22">
        <f>IFERROR(__xludf.DUMMYFUNCTION("""COMPUTED_VALUE"""),28.29)</f>
        <v>28.29</v>
      </c>
    </row>
    <row r="1072" ht="15.75" customHeight="1">
      <c r="A1072" s="25">
        <f>IFERROR(__xludf.DUMMYFUNCTION("""COMPUTED_VALUE"""),44816.66666666667)</f>
        <v>44816.66667</v>
      </c>
      <c r="B1072" s="22">
        <f>IFERROR(__xludf.DUMMYFUNCTION("""COMPUTED_VALUE"""),4110.41)</f>
        <v>4110.41</v>
      </c>
      <c r="C1072" s="25">
        <f>IFERROR(__xludf.DUMMYFUNCTION("""COMPUTED_VALUE"""),44816.63611111111)</f>
        <v>44816.63611</v>
      </c>
      <c r="D1072" s="22">
        <f>IFERROR(__xludf.DUMMYFUNCTION("""COMPUTED_VALUE"""),23.87)</f>
        <v>23.87</v>
      </c>
      <c r="F1072" s="25">
        <f>IFERROR(__xludf.DUMMYFUNCTION("""COMPUTED_VALUE"""),44816.63611111111)</f>
        <v>44816.63611</v>
      </c>
      <c r="G1072" s="22">
        <f>IFERROR(__xludf.DUMMYFUNCTION("""COMPUTED_VALUE"""),25.37)</f>
        <v>25.37</v>
      </c>
      <c r="H1072" s="25">
        <f>IFERROR(__xludf.DUMMYFUNCTION("""COMPUTED_VALUE"""),44816.63611111111)</f>
        <v>44816.63611</v>
      </c>
      <c r="I1072" s="22">
        <f>IFERROR(__xludf.DUMMYFUNCTION("""COMPUTED_VALUE"""),26.84)</f>
        <v>26.84</v>
      </c>
      <c r="J1072" s="25">
        <f>IFERROR(__xludf.DUMMYFUNCTION("""COMPUTED_VALUE"""),44816.63611111111)</f>
        <v>44816.63611</v>
      </c>
      <c r="K1072" s="22">
        <f>IFERROR(__xludf.DUMMYFUNCTION("""COMPUTED_VALUE"""),28.08)</f>
        <v>28.08</v>
      </c>
    </row>
    <row r="1073" ht="15.75" customHeight="1">
      <c r="A1073" s="25">
        <f>IFERROR(__xludf.DUMMYFUNCTION("""COMPUTED_VALUE"""),44817.66666666667)</f>
        <v>44817.66667</v>
      </c>
      <c r="B1073" s="22">
        <f>IFERROR(__xludf.DUMMYFUNCTION("""COMPUTED_VALUE"""),3932.69)</f>
        <v>3932.69</v>
      </c>
      <c r="C1073" s="25">
        <f>IFERROR(__xludf.DUMMYFUNCTION("""COMPUTED_VALUE"""),44817.63611111111)</f>
        <v>44817.63611</v>
      </c>
      <c r="D1073" s="22">
        <f>IFERROR(__xludf.DUMMYFUNCTION("""COMPUTED_VALUE"""),27.27)</f>
        <v>27.27</v>
      </c>
      <c r="F1073" s="25">
        <f>IFERROR(__xludf.DUMMYFUNCTION("""COMPUTED_VALUE"""),44817.63611111111)</f>
        <v>44817.63611</v>
      </c>
      <c r="G1073" s="22">
        <f>IFERROR(__xludf.DUMMYFUNCTION("""COMPUTED_VALUE"""),27.95)</f>
        <v>27.95</v>
      </c>
      <c r="H1073" s="25">
        <f>IFERROR(__xludf.DUMMYFUNCTION("""COMPUTED_VALUE"""),44817.63611111111)</f>
        <v>44817.63611</v>
      </c>
      <c r="I1073" s="22">
        <f>IFERROR(__xludf.DUMMYFUNCTION("""COMPUTED_VALUE"""),29.04)</f>
        <v>29.04</v>
      </c>
      <c r="J1073" s="25">
        <f>IFERROR(__xludf.DUMMYFUNCTION("""COMPUTED_VALUE"""),44817.63611111111)</f>
        <v>44817.63611</v>
      </c>
      <c r="K1073" s="22">
        <f>IFERROR(__xludf.DUMMYFUNCTION("""COMPUTED_VALUE"""),29.69)</f>
        <v>29.69</v>
      </c>
    </row>
    <row r="1074" ht="15.75" customHeight="1">
      <c r="A1074" s="25">
        <f>IFERROR(__xludf.DUMMYFUNCTION("""COMPUTED_VALUE"""),44818.66666666667)</f>
        <v>44818.66667</v>
      </c>
      <c r="B1074" s="22">
        <f>IFERROR(__xludf.DUMMYFUNCTION("""COMPUTED_VALUE"""),3946.01)</f>
        <v>3946.01</v>
      </c>
      <c r="C1074" s="25">
        <f>IFERROR(__xludf.DUMMYFUNCTION("""COMPUTED_VALUE"""),44818.63611111111)</f>
        <v>44818.63611</v>
      </c>
      <c r="D1074" s="22">
        <f>IFERROR(__xludf.DUMMYFUNCTION("""COMPUTED_VALUE"""),26.16)</f>
        <v>26.16</v>
      </c>
      <c r="F1074" s="25">
        <f>IFERROR(__xludf.DUMMYFUNCTION("""COMPUTED_VALUE"""),44818.63611111111)</f>
        <v>44818.63611</v>
      </c>
      <c r="G1074" s="22">
        <f>IFERROR(__xludf.DUMMYFUNCTION("""COMPUTED_VALUE"""),27.46)</f>
        <v>27.46</v>
      </c>
      <c r="H1074" s="25">
        <f>IFERROR(__xludf.DUMMYFUNCTION("""COMPUTED_VALUE"""),44818.63611111111)</f>
        <v>44818.63611</v>
      </c>
      <c r="I1074" s="22">
        <f>IFERROR(__xludf.DUMMYFUNCTION("""COMPUTED_VALUE"""),28.66)</f>
        <v>28.66</v>
      </c>
      <c r="J1074" s="25">
        <f>IFERROR(__xludf.DUMMYFUNCTION("""COMPUTED_VALUE"""),44818.63611111111)</f>
        <v>44818.63611</v>
      </c>
      <c r="K1074" s="22">
        <f>IFERROR(__xludf.DUMMYFUNCTION("""COMPUTED_VALUE"""),29.41)</f>
        <v>29.41</v>
      </c>
    </row>
    <row r="1075" ht="15.75" customHeight="1">
      <c r="A1075" s="25">
        <f>IFERROR(__xludf.DUMMYFUNCTION("""COMPUTED_VALUE"""),44819.66666666667)</f>
        <v>44819.66667</v>
      </c>
      <c r="B1075" s="22">
        <f>IFERROR(__xludf.DUMMYFUNCTION("""COMPUTED_VALUE"""),3901.35)</f>
        <v>3901.35</v>
      </c>
      <c r="C1075" s="25">
        <f>IFERROR(__xludf.DUMMYFUNCTION("""COMPUTED_VALUE"""),44819.63611111111)</f>
        <v>44819.63611</v>
      </c>
      <c r="D1075" s="22">
        <f>IFERROR(__xludf.DUMMYFUNCTION("""COMPUTED_VALUE"""),26.27)</f>
        <v>26.27</v>
      </c>
      <c r="F1075" s="25">
        <f>IFERROR(__xludf.DUMMYFUNCTION("""COMPUTED_VALUE"""),44819.63611111111)</f>
        <v>44819.63611</v>
      </c>
      <c r="G1075" s="22">
        <f>IFERROR(__xludf.DUMMYFUNCTION("""COMPUTED_VALUE"""),27.6)</f>
        <v>27.6</v>
      </c>
      <c r="H1075" s="25">
        <f>IFERROR(__xludf.DUMMYFUNCTION("""COMPUTED_VALUE"""),44819.63611111111)</f>
        <v>44819.63611</v>
      </c>
      <c r="I1075" s="22">
        <f>IFERROR(__xludf.DUMMYFUNCTION("""COMPUTED_VALUE"""),28.81)</f>
        <v>28.81</v>
      </c>
      <c r="J1075" s="25">
        <f>IFERROR(__xludf.DUMMYFUNCTION("""COMPUTED_VALUE"""),44819.63611111111)</f>
        <v>44819.63611</v>
      </c>
      <c r="K1075" s="22">
        <f>IFERROR(__xludf.DUMMYFUNCTION("""COMPUTED_VALUE"""),29.47)</f>
        <v>29.47</v>
      </c>
    </row>
    <row r="1076" ht="15.75" customHeight="1">
      <c r="A1076" s="25">
        <f>IFERROR(__xludf.DUMMYFUNCTION("""COMPUTED_VALUE"""),44820.66666666667)</f>
        <v>44820.66667</v>
      </c>
      <c r="B1076" s="22">
        <f>IFERROR(__xludf.DUMMYFUNCTION("""COMPUTED_VALUE"""),3873.33)</f>
        <v>3873.33</v>
      </c>
      <c r="C1076" s="25">
        <f>IFERROR(__xludf.DUMMYFUNCTION("""COMPUTED_VALUE"""),44820.63611111111)</f>
        <v>44820.63611</v>
      </c>
      <c r="D1076" s="22">
        <f>IFERROR(__xludf.DUMMYFUNCTION("""COMPUTED_VALUE"""),26.3)</f>
        <v>26.3</v>
      </c>
      <c r="F1076" s="25">
        <f>IFERROR(__xludf.DUMMYFUNCTION("""COMPUTED_VALUE"""),44820.63611111111)</f>
        <v>44820.63611</v>
      </c>
      <c r="G1076" s="22">
        <f>IFERROR(__xludf.DUMMYFUNCTION("""COMPUTED_VALUE"""),27.63)</f>
        <v>27.63</v>
      </c>
      <c r="H1076" s="25">
        <f>IFERROR(__xludf.DUMMYFUNCTION("""COMPUTED_VALUE"""),44820.63611111111)</f>
        <v>44820.63611</v>
      </c>
      <c r="I1076" s="22">
        <f>IFERROR(__xludf.DUMMYFUNCTION("""COMPUTED_VALUE"""),28.85)</f>
        <v>28.85</v>
      </c>
      <c r="J1076" s="25">
        <f>IFERROR(__xludf.DUMMYFUNCTION("""COMPUTED_VALUE"""),44820.63611111111)</f>
        <v>44820.63611</v>
      </c>
      <c r="K1076" s="22">
        <f>IFERROR(__xludf.DUMMYFUNCTION("""COMPUTED_VALUE"""),29.52)</f>
        <v>29.52</v>
      </c>
    </row>
    <row r="1077" ht="15.75" customHeight="1">
      <c r="A1077" s="25">
        <f>IFERROR(__xludf.DUMMYFUNCTION("""COMPUTED_VALUE"""),44823.66666666667)</f>
        <v>44823.66667</v>
      </c>
      <c r="B1077" s="22">
        <f>IFERROR(__xludf.DUMMYFUNCTION("""COMPUTED_VALUE"""),3899.89)</f>
        <v>3899.89</v>
      </c>
      <c r="C1077" s="25">
        <f>IFERROR(__xludf.DUMMYFUNCTION("""COMPUTED_VALUE"""),44823.63611111111)</f>
        <v>44823.63611</v>
      </c>
      <c r="D1077" s="22">
        <f>IFERROR(__xludf.DUMMYFUNCTION("""COMPUTED_VALUE"""),25.76)</f>
        <v>25.76</v>
      </c>
      <c r="F1077" s="25">
        <f>IFERROR(__xludf.DUMMYFUNCTION("""COMPUTED_VALUE"""),44823.63611111111)</f>
        <v>44823.63611</v>
      </c>
      <c r="G1077" s="22">
        <f>IFERROR(__xludf.DUMMYFUNCTION("""COMPUTED_VALUE"""),27.01)</f>
        <v>27.01</v>
      </c>
      <c r="H1077" s="25">
        <f>IFERROR(__xludf.DUMMYFUNCTION("""COMPUTED_VALUE"""),44823.63611111111)</f>
        <v>44823.63611</v>
      </c>
      <c r="I1077" s="22">
        <f>IFERROR(__xludf.DUMMYFUNCTION("""COMPUTED_VALUE"""),28.33)</f>
        <v>28.33</v>
      </c>
      <c r="J1077" s="25">
        <f>IFERROR(__xludf.DUMMYFUNCTION("""COMPUTED_VALUE"""),44823.63611111111)</f>
        <v>44823.63611</v>
      </c>
      <c r="K1077" s="22">
        <f>IFERROR(__xludf.DUMMYFUNCTION("""COMPUTED_VALUE"""),29.13)</f>
        <v>29.13</v>
      </c>
    </row>
    <row r="1078" ht="15.75" customHeight="1">
      <c r="A1078" s="25">
        <f>IFERROR(__xludf.DUMMYFUNCTION("""COMPUTED_VALUE"""),44824.66666666667)</f>
        <v>44824.66667</v>
      </c>
      <c r="B1078" s="22">
        <f>IFERROR(__xludf.DUMMYFUNCTION("""COMPUTED_VALUE"""),3855.93)</f>
        <v>3855.93</v>
      </c>
      <c r="C1078" s="25">
        <f>IFERROR(__xludf.DUMMYFUNCTION("""COMPUTED_VALUE"""),44824.63611111111)</f>
        <v>44824.63611</v>
      </c>
      <c r="D1078" s="22">
        <f>IFERROR(__xludf.DUMMYFUNCTION("""COMPUTED_VALUE"""),27.16)</f>
        <v>27.16</v>
      </c>
      <c r="F1078" s="25">
        <f>IFERROR(__xludf.DUMMYFUNCTION("""COMPUTED_VALUE"""),44824.63611111111)</f>
        <v>44824.63611</v>
      </c>
      <c r="G1078" s="22">
        <f>IFERROR(__xludf.DUMMYFUNCTION("""COMPUTED_VALUE"""),27.88)</f>
        <v>27.88</v>
      </c>
      <c r="H1078" s="25">
        <f>IFERROR(__xludf.DUMMYFUNCTION("""COMPUTED_VALUE"""),44824.63611111111)</f>
        <v>44824.63611</v>
      </c>
      <c r="I1078" s="22">
        <f>IFERROR(__xludf.DUMMYFUNCTION("""COMPUTED_VALUE"""),28.98)</f>
        <v>28.98</v>
      </c>
      <c r="J1078" s="25">
        <f>IFERROR(__xludf.DUMMYFUNCTION("""COMPUTED_VALUE"""),44824.63611111111)</f>
        <v>44824.63611</v>
      </c>
      <c r="K1078" s="22">
        <f>IFERROR(__xludf.DUMMYFUNCTION("""COMPUTED_VALUE"""),29.57)</f>
        <v>29.57</v>
      </c>
    </row>
    <row r="1079" ht="15.75" customHeight="1">
      <c r="A1079" s="25">
        <f>IFERROR(__xludf.DUMMYFUNCTION("""COMPUTED_VALUE"""),44825.66666666667)</f>
        <v>44825.66667</v>
      </c>
      <c r="B1079" s="22">
        <f>IFERROR(__xludf.DUMMYFUNCTION("""COMPUTED_VALUE"""),3789.93)</f>
        <v>3789.93</v>
      </c>
      <c r="C1079" s="25">
        <f>IFERROR(__xludf.DUMMYFUNCTION("""COMPUTED_VALUE"""),44825.63611111111)</f>
        <v>44825.63611</v>
      </c>
      <c r="D1079" s="22">
        <f>IFERROR(__xludf.DUMMYFUNCTION("""COMPUTED_VALUE"""),27.99)</f>
        <v>27.99</v>
      </c>
      <c r="F1079" s="25">
        <f>IFERROR(__xludf.DUMMYFUNCTION("""COMPUTED_VALUE"""),44825.63611111111)</f>
        <v>44825.63611</v>
      </c>
      <c r="G1079" s="22">
        <f>IFERROR(__xludf.DUMMYFUNCTION("""COMPUTED_VALUE"""),28.76)</f>
        <v>28.76</v>
      </c>
      <c r="H1079" s="25">
        <f>IFERROR(__xludf.DUMMYFUNCTION("""COMPUTED_VALUE"""),44825.63611111111)</f>
        <v>44825.63611</v>
      </c>
      <c r="I1079" s="22">
        <f>IFERROR(__xludf.DUMMYFUNCTION("""COMPUTED_VALUE"""),29.66)</f>
        <v>29.66</v>
      </c>
      <c r="J1079" s="25">
        <f>IFERROR(__xludf.DUMMYFUNCTION("""COMPUTED_VALUE"""),44825.63611111111)</f>
        <v>44825.63611</v>
      </c>
      <c r="K1079" s="22">
        <f>IFERROR(__xludf.DUMMYFUNCTION("""COMPUTED_VALUE"""),30.0)</f>
        <v>30</v>
      </c>
    </row>
    <row r="1080" ht="15.75" customHeight="1">
      <c r="A1080" s="25">
        <f>IFERROR(__xludf.DUMMYFUNCTION("""COMPUTED_VALUE"""),44826.66666666667)</f>
        <v>44826.66667</v>
      </c>
      <c r="B1080" s="22">
        <f>IFERROR(__xludf.DUMMYFUNCTION("""COMPUTED_VALUE"""),3757.99)</f>
        <v>3757.99</v>
      </c>
      <c r="C1080" s="25">
        <f>IFERROR(__xludf.DUMMYFUNCTION("""COMPUTED_VALUE"""),44826.63611111111)</f>
        <v>44826.63611</v>
      </c>
      <c r="D1080" s="22">
        <f>IFERROR(__xludf.DUMMYFUNCTION("""COMPUTED_VALUE"""),27.35)</f>
        <v>27.35</v>
      </c>
      <c r="F1080" s="25">
        <f>IFERROR(__xludf.DUMMYFUNCTION("""COMPUTED_VALUE"""),44826.63611111111)</f>
        <v>44826.63611</v>
      </c>
      <c r="G1080" s="22">
        <f>IFERROR(__xludf.DUMMYFUNCTION("""COMPUTED_VALUE"""),28.22)</f>
        <v>28.22</v>
      </c>
      <c r="H1080" s="25">
        <f>IFERROR(__xludf.DUMMYFUNCTION("""COMPUTED_VALUE"""),44826.63611111111)</f>
        <v>44826.63611</v>
      </c>
      <c r="I1080" s="22">
        <f>IFERROR(__xludf.DUMMYFUNCTION("""COMPUTED_VALUE"""),29.34)</f>
        <v>29.34</v>
      </c>
      <c r="J1080" s="25">
        <f>IFERROR(__xludf.DUMMYFUNCTION("""COMPUTED_VALUE"""),44826.63611111111)</f>
        <v>44826.63611</v>
      </c>
      <c r="K1080" s="22">
        <f>IFERROR(__xludf.DUMMYFUNCTION("""COMPUTED_VALUE"""),29.75)</f>
        <v>29.75</v>
      </c>
    </row>
    <row r="1081" ht="15.75" customHeight="1">
      <c r="A1081" s="25">
        <f>IFERROR(__xludf.DUMMYFUNCTION("""COMPUTED_VALUE"""),44827.66666666667)</f>
        <v>44827.66667</v>
      </c>
      <c r="B1081" s="22">
        <f>IFERROR(__xludf.DUMMYFUNCTION("""COMPUTED_VALUE"""),3693.23)</f>
        <v>3693.23</v>
      </c>
      <c r="C1081" s="25">
        <f>IFERROR(__xludf.DUMMYFUNCTION("""COMPUTED_VALUE"""),44827.63611111111)</f>
        <v>44827.63611</v>
      </c>
      <c r="D1081" s="22">
        <f>IFERROR(__xludf.DUMMYFUNCTION("""COMPUTED_VALUE"""),29.92)</f>
        <v>29.92</v>
      </c>
      <c r="F1081" s="25">
        <f>IFERROR(__xludf.DUMMYFUNCTION("""COMPUTED_VALUE"""),44827.63611111111)</f>
        <v>44827.63611</v>
      </c>
      <c r="G1081" s="22">
        <f>IFERROR(__xludf.DUMMYFUNCTION("""COMPUTED_VALUE"""),30.32)</f>
        <v>30.32</v>
      </c>
      <c r="H1081" s="25">
        <f>IFERROR(__xludf.DUMMYFUNCTION("""COMPUTED_VALUE"""),44827.63611111111)</f>
        <v>44827.63611</v>
      </c>
      <c r="I1081" s="22">
        <f>IFERROR(__xludf.DUMMYFUNCTION("""COMPUTED_VALUE"""),30.92)</f>
        <v>30.92</v>
      </c>
      <c r="J1081" s="25">
        <f>IFERROR(__xludf.DUMMYFUNCTION("""COMPUTED_VALUE"""),44827.63611111111)</f>
        <v>44827.63611</v>
      </c>
      <c r="K1081" s="22">
        <f>IFERROR(__xludf.DUMMYFUNCTION("""COMPUTED_VALUE"""),30.83)</f>
        <v>30.83</v>
      </c>
    </row>
    <row r="1082" ht="15.75" customHeight="1">
      <c r="A1082" s="25">
        <f>IFERROR(__xludf.DUMMYFUNCTION("""COMPUTED_VALUE"""),44830.66666666667)</f>
        <v>44830.66667</v>
      </c>
      <c r="B1082" s="22">
        <f>IFERROR(__xludf.DUMMYFUNCTION("""COMPUTED_VALUE"""),3655.04)</f>
        <v>3655.04</v>
      </c>
      <c r="C1082" s="25">
        <f>IFERROR(__xludf.DUMMYFUNCTION("""COMPUTED_VALUE"""),44830.63611111111)</f>
        <v>44830.63611</v>
      </c>
      <c r="D1082" s="22">
        <f>IFERROR(__xludf.DUMMYFUNCTION("""COMPUTED_VALUE"""),32.26)</f>
        <v>32.26</v>
      </c>
      <c r="F1082" s="25">
        <f>IFERROR(__xludf.DUMMYFUNCTION("""COMPUTED_VALUE"""),44830.63611111111)</f>
        <v>44830.63611</v>
      </c>
      <c r="G1082" s="22">
        <f>IFERROR(__xludf.DUMMYFUNCTION("""COMPUTED_VALUE"""),31.77)</f>
        <v>31.77</v>
      </c>
      <c r="H1082" s="25">
        <f>IFERROR(__xludf.DUMMYFUNCTION("""COMPUTED_VALUE"""),44830.63611111111)</f>
        <v>44830.63611</v>
      </c>
      <c r="I1082" s="22">
        <f>IFERROR(__xludf.DUMMYFUNCTION("""COMPUTED_VALUE"""),32.12)</f>
        <v>32.12</v>
      </c>
      <c r="J1082" s="25">
        <f>IFERROR(__xludf.DUMMYFUNCTION("""COMPUTED_VALUE"""),44830.63611111111)</f>
        <v>44830.63611</v>
      </c>
      <c r="K1082" s="22">
        <f>IFERROR(__xludf.DUMMYFUNCTION("""COMPUTED_VALUE"""),31.73)</f>
        <v>31.73</v>
      </c>
    </row>
    <row r="1083" ht="15.75" customHeight="1">
      <c r="A1083" s="25">
        <f>IFERROR(__xludf.DUMMYFUNCTION("""COMPUTED_VALUE"""),44831.66666666667)</f>
        <v>44831.66667</v>
      </c>
      <c r="B1083" s="22">
        <f>IFERROR(__xludf.DUMMYFUNCTION("""COMPUTED_VALUE"""),3647.29)</f>
        <v>3647.29</v>
      </c>
      <c r="C1083" s="25">
        <f>IFERROR(__xludf.DUMMYFUNCTION("""COMPUTED_VALUE"""),44831.63611111111)</f>
        <v>44831.63611</v>
      </c>
      <c r="D1083" s="22">
        <f>IFERROR(__xludf.DUMMYFUNCTION("""COMPUTED_VALUE"""),32.6)</f>
        <v>32.6</v>
      </c>
      <c r="F1083" s="25">
        <f>IFERROR(__xludf.DUMMYFUNCTION("""COMPUTED_VALUE"""),44831.63611111111)</f>
        <v>44831.63611</v>
      </c>
      <c r="G1083" s="22">
        <f>IFERROR(__xludf.DUMMYFUNCTION("""COMPUTED_VALUE"""),32.12)</f>
        <v>32.12</v>
      </c>
      <c r="H1083" s="25">
        <f>IFERROR(__xludf.DUMMYFUNCTION("""COMPUTED_VALUE"""),44831.63611111111)</f>
        <v>44831.63611</v>
      </c>
      <c r="I1083" s="22">
        <f>IFERROR(__xludf.DUMMYFUNCTION("""COMPUTED_VALUE"""),32.45)</f>
        <v>32.45</v>
      </c>
      <c r="J1083" s="25">
        <f>IFERROR(__xludf.DUMMYFUNCTION("""COMPUTED_VALUE"""),44831.63611111111)</f>
        <v>44831.63611</v>
      </c>
      <c r="K1083" s="22">
        <f>IFERROR(__xludf.DUMMYFUNCTION("""COMPUTED_VALUE"""),32.22)</f>
        <v>32.22</v>
      </c>
    </row>
    <row r="1084" ht="15.75" customHeight="1">
      <c r="A1084" s="25">
        <f>IFERROR(__xludf.DUMMYFUNCTION("""COMPUTED_VALUE"""),44832.66666666667)</f>
        <v>44832.66667</v>
      </c>
      <c r="B1084" s="22">
        <f>IFERROR(__xludf.DUMMYFUNCTION("""COMPUTED_VALUE"""),3719.04)</f>
        <v>3719.04</v>
      </c>
      <c r="C1084" s="25">
        <f>IFERROR(__xludf.DUMMYFUNCTION("""COMPUTED_VALUE"""),44832.63611111111)</f>
        <v>44832.63611</v>
      </c>
      <c r="D1084" s="22">
        <f>IFERROR(__xludf.DUMMYFUNCTION("""COMPUTED_VALUE"""),30.18)</f>
        <v>30.18</v>
      </c>
      <c r="F1084" s="25">
        <f>IFERROR(__xludf.DUMMYFUNCTION("""COMPUTED_VALUE"""),44832.63611111111)</f>
        <v>44832.63611</v>
      </c>
      <c r="G1084" s="22">
        <f>IFERROR(__xludf.DUMMYFUNCTION("""COMPUTED_VALUE"""),30.58)</f>
        <v>30.58</v>
      </c>
      <c r="H1084" s="25">
        <f>IFERROR(__xludf.DUMMYFUNCTION("""COMPUTED_VALUE"""),44832.63611111111)</f>
        <v>44832.63611</v>
      </c>
      <c r="I1084" s="22">
        <f>IFERROR(__xludf.DUMMYFUNCTION("""COMPUTED_VALUE"""),31.45)</f>
        <v>31.45</v>
      </c>
      <c r="J1084" s="25">
        <f>IFERROR(__xludf.DUMMYFUNCTION("""COMPUTED_VALUE"""),44832.63611111111)</f>
        <v>44832.63611</v>
      </c>
      <c r="K1084" s="22">
        <f>IFERROR(__xludf.DUMMYFUNCTION("""COMPUTED_VALUE"""),31.57)</f>
        <v>31.57</v>
      </c>
    </row>
    <row r="1085" ht="15.75" customHeight="1">
      <c r="A1085" s="25">
        <f>IFERROR(__xludf.DUMMYFUNCTION("""COMPUTED_VALUE"""),44833.66666666667)</f>
        <v>44833.66667</v>
      </c>
      <c r="B1085" s="22">
        <f>IFERROR(__xludf.DUMMYFUNCTION("""COMPUTED_VALUE"""),3640.47)</f>
        <v>3640.47</v>
      </c>
      <c r="C1085" s="25">
        <f>IFERROR(__xludf.DUMMYFUNCTION("""COMPUTED_VALUE"""),44833.63611111111)</f>
        <v>44833.63611</v>
      </c>
      <c r="D1085" s="22">
        <f>IFERROR(__xludf.DUMMYFUNCTION("""COMPUTED_VALUE"""),31.84)</f>
        <v>31.84</v>
      </c>
      <c r="F1085" s="25">
        <f>IFERROR(__xludf.DUMMYFUNCTION("""COMPUTED_VALUE"""),44833.63611111111)</f>
        <v>44833.63611</v>
      </c>
      <c r="G1085" s="22">
        <f>IFERROR(__xludf.DUMMYFUNCTION("""COMPUTED_VALUE"""),31.74)</f>
        <v>31.74</v>
      </c>
      <c r="H1085" s="25">
        <f>IFERROR(__xludf.DUMMYFUNCTION("""COMPUTED_VALUE"""),44833.63611111111)</f>
        <v>44833.63611</v>
      </c>
      <c r="I1085" s="22">
        <f>IFERROR(__xludf.DUMMYFUNCTION("""COMPUTED_VALUE"""),32.32)</f>
        <v>32.32</v>
      </c>
      <c r="J1085" s="25">
        <f>IFERROR(__xludf.DUMMYFUNCTION("""COMPUTED_VALUE"""),44833.63611111111)</f>
        <v>44833.63611</v>
      </c>
      <c r="K1085" s="22">
        <f>IFERROR(__xludf.DUMMYFUNCTION("""COMPUTED_VALUE"""),32.12)</f>
        <v>32.12</v>
      </c>
    </row>
    <row r="1086" ht="15.75" customHeight="1">
      <c r="A1086" s="25">
        <f>IFERROR(__xludf.DUMMYFUNCTION("""COMPUTED_VALUE"""),44834.66666666667)</f>
        <v>44834.66667</v>
      </c>
      <c r="B1086" s="22">
        <f>IFERROR(__xludf.DUMMYFUNCTION("""COMPUTED_VALUE"""),3585.62)</f>
        <v>3585.62</v>
      </c>
      <c r="C1086" s="25">
        <f>IFERROR(__xludf.DUMMYFUNCTION("""COMPUTED_VALUE"""),44834.63611111111)</f>
        <v>44834.63611</v>
      </c>
      <c r="D1086" s="22">
        <f>IFERROR(__xludf.DUMMYFUNCTION("""COMPUTED_VALUE"""),31.62)</f>
        <v>31.62</v>
      </c>
      <c r="F1086" s="25">
        <f>IFERROR(__xludf.DUMMYFUNCTION("""COMPUTED_VALUE"""),44834.63611111111)</f>
        <v>44834.63611</v>
      </c>
      <c r="G1086" s="22">
        <f>IFERROR(__xludf.DUMMYFUNCTION("""COMPUTED_VALUE"""),31.86)</f>
        <v>31.86</v>
      </c>
      <c r="H1086" s="25">
        <f>IFERROR(__xludf.DUMMYFUNCTION("""COMPUTED_VALUE"""),44834.63611111111)</f>
        <v>44834.63611</v>
      </c>
      <c r="I1086" s="22">
        <f>IFERROR(__xludf.DUMMYFUNCTION("""COMPUTED_VALUE"""),32.48)</f>
        <v>32.48</v>
      </c>
      <c r="J1086" s="25">
        <f>IFERROR(__xludf.DUMMYFUNCTION("""COMPUTED_VALUE"""),44834.63611111111)</f>
        <v>44834.63611</v>
      </c>
      <c r="K1086" s="22">
        <f>IFERROR(__xludf.DUMMYFUNCTION("""COMPUTED_VALUE"""),32.08)</f>
        <v>32.08</v>
      </c>
    </row>
    <row r="1087" ht="15.75" customHeight="1">
      <c r="A1087" s="25">
        <f>IFERROR(__xludf.DUMMYFUNCTION("""COMPUTED_VALUE"""),44837.66666666667)</f>
        <v>44837.66667</v>
      </c>
      <c r="B1087" s="22">
        <f>IFERROR(__xludf.DUMMYFUNCTION("""COMPUTED_VALUE"""),3678.43)</f>
        <v>3678.43</v>
      </c>
      <c r="C1087" s="25">
        <f>IFERROR(__xludf.DUMMYFUNCTION("""COMPUTED_VALUE"""),44837.63611111111)</f>
        <v>44837.63611</v>
      </c>
      <c r="D1087" s="22">
        <f>IFERROR(__xludf.DUMMYFUNCTION("""COMPUTED_VALUE"""),30.1)</f>
        <v>30.1</v>
      </c>
      <c r="F1087" s="25">
        <f>IFERROR(__xludf.DUMMYFUNCTION("""COMPUTED_VALUE"""),44837.63611111111)</f>
        <v>44837.63611</v>
      </c>
      <c r="G1087" s="22">
        <f>IFERROR(__xludf.DUMMYFUNCTION("""COMPUTED_VALUE"""),30.69)</f>
        <v>30.69</v>
      </c>
      <c r="H1087" s="25">
        <f>IFERROR(__xludf.DUMMYFUNCTION("""COMPUTED_VALUE"""),44837.63611111111)</f>
        <v>44837.63611</v>
      </c>
      <c r="I1087" s="22">
        <f>IFERROR(__xludf.DUMMYFUNCTION("""COMPUTED_VALUE"""),31.46)</f>
        <v>31.46</v>
      </c>
      <c r="J1087" s="25">
        <f>IFERROR(__xludf.DUMMYFUNCTION("""COMPUTED_VALUE"""),44837.63611111111)</f>
        <v>44837.63611</v>
      </c>
      <c r="K1087" s="22">
        <f>IFERROR(__xludf.DUMMYFUNCTION("""COMPUTED_VALUE"""),31.38)</f>
        <v>31.38</v>
      </c>
    </row>
    <row r="1088" ht="15.75" customHeight="1">
      <c r="A1088" s="25">
        <f>IFERROR(__xludf.DUMMYFUNCTION("""COMPUTED_VALUE"""),44838.66666666667)</f>
        <v>44838.66667</v>
      </c>
      <c r="B1088" s="22">
        <f>IFERROR(__xludf.DUMMYFUNCTION("""COMPUTED_VALUE"""),3790.93)</f>
        <v>3790.93</v>
      </c>
      <c r="C1088" s="25">
        <f>IFERROR(__xludf.DUMMYFUNCTION("""COMPUTED_VALUE"""),44838.63611111111)</f>
        <v>44838.63611</v>
      </c>
      <c r="D1088" s="22">
        <f>IFERROR(__xludf.DUMMYFUNCTION("""COMPUTED_VALUE"""),29.07)</f>
        <v>29.07</v>
      </c>
      <c r="F1088" s="25">
        <f>IFERROR(__xludf.DUMMYFUNCTION("""COMPUTED_VALUE"""),44838.63611111111)</f>
        <v>44838.63611</v>
      </c>
      <c r="G1088" s="22">
        <f>IFERROR(__xludf.DUMMYFUNCTION("""COMPUTED_VALUE"""),29.67)</f>
        <v>29.67</v>
      </c>
      <c r="H1088" s="25">
        <f>IFERROR(__xludf.DUMMYFUNCTION("""COMPUTED_VALUE"""),44838.63611111111)</f>
        <v>44838.63611</v>
      </c>
      <c r="I1088" s="22">
        <f>IFERROR(__xludf.DUMMYFUNCTION("""COMPUTED_VALUE"""),30.6)</f>
        <v>30.6</v>
      </c>
      <c r="J1088" s="25">
        <f>IFERROR(__xludf.DUMMYFUNCTION("""COMPUTED_VALUE"""),44838.63611111111)</f>
        <v>44838.63611</v>
      </c>
      <c r="K1088" s="22">
        <f>IFERROR(__xludf.DUMMYFUNCTION("""COMPUTED_VALUE"""),30.77)</f>
        <v>30.77</v>
      </c>
    </row>
    <row r="1089" ht="15.75" customHeight="1">
      <c r="A1089" s="25">
        <f>IFERROR(__xludf.DUMMYFUNCTION("""COMPUTED_VALUE"""),44839.66666666667)</f>
        <v>44839.66667</v>
      </c>
      <c r="B1089" s="22">
        <f>IFERROR(__xludf.DUMMYFUNCTION("""COMPUTED_VALUE"""),3783.28)</f>
        <v>3783.28</v>
      </c>
      <c r="C1089" s="25">
        <f>IFERROR(__xludf.DUMMYFUNCTION("""COMPUTED_VALUE"""),44839.63611111111)</f>
        <v>44839.63611</v>
      </c>
      <c r="D1089" s="22">
        <f>IFERROR(__xludf.DUMMYFUNCTION("""COMPUTED_VALUE"""),28.55)</f>
        <v>28.55</v>
      </c>
      <c r="F1089" s="25">
        <f>IFERROR(__xludf.DUMMYFUNCTION("""COMPUTED_VALUE"""),44839.63611111111)</f>
        <v>44839.63611</v>
      </c>
      <c r="G1089" s="22">
        <f>IFERROR(__xludf.DUMMYFUNCTION("""COMPUTED_VALUE"""),29.43)</f>
        <v>29.43</v>
      </c>
      <c r="H1089" s="25">
        <f>IFERROR(__xludf.DUMMYFUNCTION("""COMPUTED_VALUE"""),44839.63611111111)</f>
        <v>44839.63611</v>
      </c>
      <c r="I1089" s="22">
        <f>IFERROR(__xludf.DUMMYFUNCTION("""COMPUTED_VALUE"""),30.63)</f>
        <v>30.63</v>
      </c>
      <c r="J1089" s="25">
        <f>IFERROR(__xludf.DUMMYFUNCTION("""COMPUTED_VALUE"""),44839.63611111111)</f>
        <v>44839.63611</v>
      </c>
      <c r="K1089" s="22">
        <f>IFERROR(__xludf.DUMMYFUNCTION("""COMPUTED_VALUE"""),30.89)</f>
        <v>30.89</v>
      </c>
    </row>
    <row r="1090" ht="15.75" customHeight="1">
      <c r="A1090" s="25">
        <f>IFERROR(__xludf.DUMMYFUNCTION("""COMPUTED_VALUE"""),44840.66666666667)</f>
        <v>44840.66667</v>
      </c>
      <c r="B1090" s="22">
        <f>IFERROR(__xludf.DUMMYFUNCTION("""COMPUTED_VALUE"""),3744.52)</f>
        <v>3744.52</v>
      </c>
      <c r="C1090" s="25">
        <f>IFERROR(__xludf.DUMMYFUNCTION("""COMPUTED_VALUE"""),44840.63611111111)</f>
        <v>44840.63611</v>
      </c>
      <c r="D1090" s="22">
        <f>IFERROR(__xludf.DUMMYFUNCTION("""COMPUTED_VALUE"""),30.52)</f>
        <v>30.52</v>
      </c>
      <c r="F1090" s="25">
        <f>IFERROR(__xludf.DUMMYFUNCTION("""COMPUTED_VALUE"""),44840.63611111111)</f>
        <v>44840.63611</v>
      </c>
      <c r="G1090" s="22">
        <f>IFERROR(__xludf.DUMMYFUNCTION("""COMPUTED_VALUE"""),30.79)</f>
        <v>30.79</v>
      </c>
      <c r="H1090" s="25">
        <f>IFERROR(__xludf.DUMMYFUNCTION("""COMPUTED_VALUE"""),44840.63611111111)</f>
        <v>44840.63611</v>
      </c>
      <c r="I1090" s="22">
        <f>IFERROR(__xludf.DUMMYFUNCTION("""COMPUTED_VALUE"""),31.66)</f>
        <v>31.66</v>
      </c>
      <c r="J1090" s="25">
        <f>IFERROR(__xludf.DUMMYFUNCTION("""COMPUTED_VALUE"""),44840.63611111111)</f>
        <v>44840.63611</v>
      </c>
      <c r="K1090" s="22">
        <f>IFERROR(__xludf.DUMMYFUNCTION("""COMPUTED_VALUE"""),31.6)</f>
        <v>31.6</v>
      </c>
    </row>
    <row r="1091" ht="15.75" customHeight="1">
      <c r="A1091" s="25">
        <f>IFERROR(__xludf.DUMMYFUNCTION("""COMPUTED_VALUE"""),44841.66666666667)</f>
        <v>44841.66667</v>
      </c>
      <c r="B1091" s="22">
        <f>IFERROR(__xludf.DUMMYFUNCTION("""COMPUTED_VALUE"""),3639.66)</f>
        <v>3639.66</v>
      </c>
      <c r="C1091" s="25">
        <f>IFERROR(__xludf.DUMMYFUNCTION("""COMPUTED_VALUE"""),44841.63611111111)</f>
        <v>44841.63611</v>
      </c>
      <c r="D1091" s="22">
        <f>IFERROR(__xludf.DUMMYFUNCTION("""COMPUTED_VALUE"""),31.36)</f>
        <v>31.36</v>
      </c>
      <c r="F1091" s="25">
        <f>IFERROR(__xludf.DUMMYFUNCTION("""COMPUTED_VALUE"""),44841.63611111111)</f>
        <v>44841.63611</v>
      </c>
      <c r="G1091" s="22">
        <f>IFERROR(__xludf.DUMMYFUNCTION("""COMPUTED_VALUE"""),32.1)</f>
        <v>32.1</v>
      </c>
      <c r="H1091" s="25">
        <f>IFERROR(__xludf.DUMMYFUNCTION("""COMPUTED_VALUE"""),44841.63611111111)</f>
        <v>44841.63611</v>
      </c>
      <c r="I1091" s="22">
        <f>IFERROR(__xludf.DUMMYFUNCTION("""COMPUTED_VALUE"""),32.77)</f>
        <v>32.77</v>
      </c>
      <c r="J1091" s="25">
        <f>IFERROR(__xludf.DUMMYFUNCTION("""COMPUTED_VALUE"""),44841.63611111111)</f>
        <v>44841.63611</v>
      </c>
      <c r="K1091" s="22">
        <f>IFERROR(__xludf.DUMMYFUNCTION("""COMPUTED_VALUE"""),32.58)</f>
        <v>32.58</v>
      </c>
    </row>
    <row r="1092" ht="15.75" customHeight="1">
      <c r="A1092" s="25">
        <f>IFERROR(__xludf.DUMMYFUNCTION("""COMPUTED_VALUE"""),44844.66666666667)</f>
        <v>44844.66667</v>
      </c>
      <c r="B1092" s="22">
        <f>IFERROR(__xludf.DUMMYFUNCTION("""COMPUTED_VALUE"""),3612.39)</f>
        <v>3612.39</v>
      </c>
      <c r="C1092" s="25">
        <f>IFERROR(__xludf.DUMMYFUNCTION("""COMPUTED_VALUE"""),44844.63611111111)</f>
        <v>44844.63611</v>
      </c>
      <c r="D1092" s="22">
        <f>IFERROR(__xludf.DUMMYFUNCTION("""COMPUTED_VALUE"""),32.45)</f>
        <v>32.45</v>
      </c>
      <c r="F1092" s="25">
        <f>IFERROR(__xludf.DUMMYFUNCTION("""COMPUTED_VALUE"""),44844.63611111111)</f>
        <v>44844.63611</v>
      </c>
      <c r="G1092" s="22">
        <f>IFERROR(__xludf.DUMMYFUNCTION("""COMPUTED_VALUE"""),32.73)</f>
        <v>32.73</v>
      </c>
      <c r="H1092" s="25">
        <f>IFERROR(__xludf.DUMMYFUNCTION("""COMPUTED_VALUE"""),44844.63611111111)</f>
        <v>44844.63611</v>
      </c>
      <c r="I1092" s="22">
        <f>IFERROR(__xludf.DUMMYFUNCTION("""COMPUTED_VALUE"""),33.17)</f>
        <v>33.17</v>
      </c>
      <c r="J1092" s="25">
        <f>IFERROR(__xludf.DUMMYFUNCTION("""COMPUTED_VALUE"""),44844.63611111111)</f>
        <v>44844.63611</v>
      </c>
      <c r="K1092" s="22">
        <f>IFERROR(__xludf.DUMMYFUNCTION("""COMPUTED_VALUE"""),32.81)</f>
        <v>32.81</v>
      </c>
    </row>
    <row r="1093" ht="15.75" customHeight="1">
      <c r="A1093" s="25">
        <f>IFERROR(__xludf.DUMMYFUNCTION("""COMPUTED_VALUE"""),44845.66666666667)</f>
        <v>44845.66667</v>
      </c>
      <c r="B1093" s="22">
        <f>IFERROR(__xludf.DUMMYFUNCTION("""COMPUTED_VALUE"""),3588.84)</f>
        <v>3588.84</v>
      </c>
      <c r="C1093" s="25">
        <f>IFERROR(__xludf.DUMMYFUNCTION("""COMPUTED_VALUE"""),44845.63611111111)</f>
        <v>44845.63611</v>
      </c>
      <c r="D1093" s="22">
        <f>IFERROR(__xludf.DUMMYFUNCTION("""COMPUTED_VALUE"""),33.63)</f>
        <v>33.63</v>
      </c>
      <c r="F1093" s="25">
        <f>IFERROR(__xludf.DUMMYFUNCTION("""COMPUTED_VALUE"""),44845.63611111111)</f>
        <v>44845.63611</v>
      </c>
      <c r="G1093" s="22">
        <f>IFERROR(__xludf.DUMMYFUNCTION("""COMPUTED_VALUE"""),33.36)</f>
        <v>33.36</v>
      </c>
      <c r="H1093" s="25">
        <f>IFERROR(__xludf.DUMMYFUNCTION("""COMPUTED_VALUE"""),44845.63611111111)</f>
        <v>44845.63611</v>
      </c>
      <c r="I1093" s="22">
        <f>IFERROR(__xludf.DUMMYFUNCTION("""COMPUTED_VALUE"""),33.76)</f>
        <v>33.76</v>
      </c>
      <c r="J1093" s="25">
        <f>IFERROR(__xludf.DUMMYFUNCTION("""COMPUTED_VALUE"""),44845.63611111111)</f>
        <v>44845.63611</v>
      </c>
      <c r="K1093" s="22">
        <f>IFERROR(__xludf.DUMMYFUNCTION("""COMPUTED_VALUE"""),33.14)</f>
        <v>33.14</v>
      </c>
    </row>
    <row r="1094" ht="15.75" customHeight="1">
      <c r="A1094" s="25">
        <f>IFERROR(__xludf.DUMMYFUNCTION("""COMPUTED_VALUE"""),44846.66666666667)</f>
        <v>44846.66667</v>
      </c>
      <c r="B1094" s="22">
        <f>IFERROR(__xludf.DUMMYFUNCTION("""COMPUTED_VALUE"""),3577.03)</f>
        <v>3577.03</v>
      </c>
      <c r="C1094" s="25">
        <f>IFERROR(__xludf.DUMMYFUNCTION("""COMPUTED_VALUE"""),44846.63611111111)</f>
        <v>44846.63611</v>
      </c>
      <c r="D1094" s="22">
        <f>IFERROR(__xludf.DUMMYFUNCTION("""COMPUTED_VALUE"""),33.57)</f>
        <v>33.57</v>
      </c>
      <c r="F1094" s="25">
        <f>IFERROR(__xludf.DUMMYFUNCTION("""COMPUTED_VALUE"""),44846.63611111111)</f>
        <v>44846.63611</v>
      </c>
      <c r="G1094" s="22">
        <f>IFERROR(__xludf.DUMMYFUNCTION("""COMPUTED_VALUE"""),33.13)</f>
        <v>33.13</v>
      </c>
      <c r="H1094" s="25">
        <f>IFERROR(__xludf.DUMMYFUNCTION("""COMPUTED_VALUE"""),44846.63611111111)</f>
        <v>44846.63611</v>
      </c>
      <c r="I1094" s="22">
        <f>IFERROR(__xludf.DUMMYFUNCTION("""COMPUTED_VALUE"""),33.44)</f>
        <v>33.44</v>
      </c>
      <c r="J1094" s="25">
        <f>IFERROR(__xludf.DUMMYFUNCTION("""COMPUTED_VALUE"""),44846.63611111111)</f>
        <v>44846.63611</v>
      </c>
      <c r="K1094" s="22">
        <f>IFERROR(__xludf.DUMMYFUNCTION("""COMPUTED_VALUE"""),33.04)</f>
        <v>33.04</v>
      </c>
    </row>
    <row r="1095" ht="15.75" customHeight="1">
      <c r="A1095" s="25">
        <f>IFERROR(__xludf.DUMMYFUNCTION("""COMPUTED_VALUE"""),44847.66666666667)</f>
        <v>44847.66667</v>
      </c>
      <c r="B1095" s="22">
        <f>IFERROR(__xludf.DUMMYFUNCTION("""COMPUTED_VALUE"""),3669.91)</f>
        <v>3669.91</v>
      </c>
      <c r="C1095" s="25">
        <f>IFERROR(__xludf.DUMMYFUNCTION("""COMPUTED_VALUE"""),44847.63611111111)</f>
        <v>44847.63611</v>
      </c>
      <c r="D1095" s="22">
        <f>IFERROR(__xludf.DUMMYFUNCTION("""COMPUTED_VALUE"""),31.94)</f>
        <v>31.94</v>
      </c>
      <c r="F1095" s="25">
        <f>IFERROR(__xludf.DUMMYFUNCTION("""COMPUTED_VALUE"""),44847.63611111111)</f>
        <v>44847.63611</v>
      </c>
      <c r="G1095" s="22">
        <f>IFERROR(__xludf.DUMMYFUNCTION("""COMPUTED_VALUE"""),31.8)</f>
        <v>31.8</v>
      </c>
      <c r="H1095" s="25">
        <f>IFERROR(__xludf.DUMMYFUNCTION("""COMPUTED_VALUE"""),44847.63611111111)</f>
        <v>44847.63611</v>
      </c>
      <c r="I1095" s="22">
        <f>IFERROR(__xludf.DUMMYFUNCTION("""COMPUTED_VALUE"""),32.33)</f>
        <v>32.33</v>
      </c>
      <c r="J1095" s="25">
        <f>IFERROR(__xludf.DUMMYFUNCTION("""COMPUTED_VALUE"""),44847.63611111111)</f>
        <v>44847.63611</v>
      </c>
      <c r="K1095" s="22">
        <f>IFERROR(__xludf.DUMMYFUNCTION("""COMPUTED_VALUE"""),32.24)</f>
        <v>32.24</v>
      </c>
    </row>
    <row r="1096" ht="15.75" customHeight="1">
      <c r="A1096" s="25">
        <f>IFERROR(__xludf.DUMMYFUNCTION("""COMPUTED_VALUE"""),44848.66666666667)</f>
        <v>44848.66667</v>
      </c>
      <c r="B1096" s="22">
        <f>IFERROR(__xludf.DUMMYFUNCTION("""COMPUTED_VALUE"""),3583.07)</f>
        <v>3583.07</v>
      </c>
      <c r="C1096" s="25">
        <f>IFERROR(__xludf.DUMMYFUNCTION("""COMPUTED_VALUE"""),44848.63611111111)</f>
        <v>44848.63611</v>
      </c>
      <c r="D1096" s="22">
        <f>IFERROR(__xludf.DUMMYFUNCTION("""COMPUTED_VALUE"""),32.02)</f>
        <v>32.02</v>
      </c>
      <c r="F1096" s="25">
        <f>IFERROR(__xludf.DUMMYFUNCTION("""COMPUTED_VALUE"""),44848.63611111111)</f>
        <v>44848.63611</v>
      </c>
      <c r="G1096" s="22">
        <f>IFERROR(__xludf.DUMMYFUNCTION("""COMPUTED_VALUE"""),32.45)</f>
        <v>32.45</v>
      </c>
      <c r="H1096" s="25">
        <f>IFERROR(__xludf.DUMMYFUNCTION("""COMPUTED_VALUE"""),44848.63611111111)</f>
        <v>44848.63611</v>
      </c>
      <c r="I1096" s="22">
        <f>IFERROR(__xludf.DUMMYFUNCTION("""COMPUTED_VALUE"""),33.09)</f>
        <v>33.09</v>
      </c>
      <c r="J1096" s="25">
        <f>IFERROR(__xludf.DUMMYFUNCTION("""COMPUTED_VALUE"""),44848.63611111111)</f>
        <v>44848.63611</v>
      </c>
      <c r="K1096" s="22">
        <f>IFERROR(__xludf.DUMMYFUNCTION("""COMPUTED_VALUE"""),32.81)</f>
        <v>32.81</v>
      </c>
    </row>
    <row r="1097" ht="15.75" customHeight="1">
      <c r="A1097" s="25">
        <f>IFERROR(__xludf.DUMMYFUNCTION("""COMPUTED_VALUE"""),44851.66666666667)</f>
        <v>44851.66667</v>
      </c>
      <c r="B1097" s="22">
        <f>IFERROR(__xludf.DUMMYFUNCTION("""COMPUTED_VALUE"""),3677.95)</f>
        <v>3677.95</v>
      </c>
      <c r="C1097" s="25">
        <f>IFERROR(__xludf.DUMMYFUNCTION("""COMPUTED_VALUE"""),44851.63611111111)</f>
        <v>44851.63611</v>
      </c>
      <c r="D1097" s="22">
        <f>IFERROR(__xludf.DUMMYFUNCTION("""COMPUTED_VALUE"""),31.37)</f>
        <v>31.37</v>
      </c>
      <c r="F1097" s="25">
        <f>IFERROR(__xludf.DUMMYFUNCTION("""COMPUTED_VALUE"""),44851.63611111111)</f>
        <v>44851.63611</v>
      </c>
      <c r="G1097" s="22">
        <f>IFERROR(__xludf.DUMMYFUNCTION("""COMPUTED_VALUE"""),31.74)</f>
        <v>31.74</v>
      </c>
      <c r="H1097" s="25">
        <f>IFERROR(__xludf.DUMMYFUNCTION("""COMPUTED_VALUE"""),44851.63611111111)</f>
        <v>44851.63611</v>
      </c>
      <c r="I1097" s="22">
        <f>IFERROR(__xludf.DUMMYFUNCTION("""COMPUTED_VALUE"""),32.44)</f>
        <v>32.44</v>
      </c>
      <c r="J1097" s="25">
        <f>IFERROR(__xludf.DUMMYFUNCTION("""COMPUTED_VALUE"""),44851.63611111111)</f>
        <v>44851.63611</v>
      </c>
      <c r="K1097" s="22">
        <f>IFERROR(__xludf.DUMMYFUNCTION("""COMPUTED_VALUE"""),32.14)</f>
        <v>32.14</v>
      </c>
    </row>
    <row r="1098" ht="15.75" customHeight="1">
      <c r="A1098" s="25">
        <f>IFERROR(__xludf.DUMMYFUNCTION("""COMPUTED_VALUE"""),44852.66666666667)</f>
        <v>44852.66667</v>
      </c>
      <c r="B1098" s="22">
        <f>IFERROR(__xludf.DUMMYFUNCTION("""COMPUTED_VALUE"""),3719.98)</f>
        <v>3719.98</v>
      </c>
      <c r="C1098" s="25">
        <f>IFERROR(__xludf.DUMMYFUNCTION("""COMPUTED_VALUE"""),44852.63611111111)</f>
        <v>44852.63611</v>
      </c>
      <c r="D1098" s="22">
        <f>IFERROR(__xludf.DUMMYFUNCTION("""COMPUTED_VALUE"""),30.5)</f>
        <v>30.5</v>
      </c>
      <c r="F1098" s="25">
        <f>IFERROR(__xludf.DUMMYFUNCTION("""COMPUTED_VALUE"""),44852.63611111111)</f>
        <v>44852.63611</v>
      </c>
      <c r="G1098" s="22">
        <f>IFERROR(__xludf.DUMMYFUNCTION("""COMPUTED_VALUE"""),30.98)</f>
        <v>30.98</v>
      </c>
      <c r="H1098" s="25">
        <f>IFERROR(__xludf.DUMMYFUNCTION("""COMPUTED_VALUE"""),44852.63611111111)</f>
        <v>44852.63611</v>
      </c>
      <c r="I1098" s="22">
        <f>IFERROR(__xludf.DUMMYFUNCTION("""COMPUTED_VALUE"""),31.77)</f>
        <v>31.77</v>
      </c>
      <c r="J1098" s="25">
        <f>IFERROR(__xludf.DUMMYFUNCTION("""COMPUTED_VALUE"""),44852.63611111111)</f>
        <v>44852.63611</v>
      </c>
      <c r="K1098" s="22">
        <f>IFERROR(__xludf.DUMMYFUNCTION("""COMPUTED_VALUE"""),31.79)</f>
        <v>31.79</v>
      </c>
    </row>
    <row r="1099" ht="15.75" customHeight="1">
      <c r="A1099" s="25">
        <f>IFERROR(__xludf.DUMMYFUNCTION("""COMPUTED_VALUE"""),44853.66666666667)</f>
        <v>44853.66667</v>
      </c>
      <c r="B1099" s="22">
        <f>IFERROR(__xludf.DUMMYFUNCTION("""COMPUTED_VALUE"""),3695.16)</f>
        <v>3695.16</v>
      </c>
      <c r="C1099" s="25">
        <f>IFERROR(__xludf.DUMMYFUNCTION("""COMPUTED_VALUE"""),44853.63611111111)</f>
        <v>44853.63611</v>
      </c>
      <c r="D1099" s="22">
        <f>IFERROR(__xludf.DUMMYFUNCTION("""COMPUTED_VALUE"""),30.76)</f>
        <v>30.76</v>
      </c>
      <c r="F1099" s="25">
        <f>IFERROR(__xludf.DUMMYFUNCTION("""COMPUTED_VALUE"""),44853.63611111111)</f>
        <v>44853.63611</v>
      </c>
      <c r="G1099" s="22">
        <f>IFERROR(__xludf.DUMMYFUNCTION("""COMPUTED_VALUE"""),31.35)</f>
        <v>31.35</v>
      </c>
      <c r="H1099" s="25">
        <f>IFERROR(__xludf.DUMMYFUNCTION("""COMPUTED_VALUE"""),44853.63611111111)</f>
        <v>44853.63611</v>
      </c>
      <c r="I1099" s="22">
        <f>IFERROR(__xludf.DUMMYFUNCTION("""COMPUTED_VALUE"""),32.13)</f>
        <v>32.13</v>
      </c>
      <c r="J1099" s="25">
        <f>IFERROR(__xludf.DUMMYFUNCTION("""COMPUTED_VALUE"""),44853.63611111111)</f>
        <v>44853.63611</v>
      </c>
      <c r="K1099" s="22">
        <f>IFERROR(__xludf.DUMMYFUNCTION("""COMPUTED_VALUE"""),32.08)</f>
        <v>32.08</v>
      </c>
    </row>
    <row r="1100" ht="15.75" customHeight="1">
      <c r="A1100" s="25">
        <f>IFERROR(__xludf.DUMMYFUNCTION("""COMPUTED_VALUE"""),44854.66666666667)</f>
        <v>44854.66667</v>
      </c>
      <c r="B1100" s="22">
        <f>IFERROR(__xludf.DUMMYFUNCTION("""COMPUTED_VALUE"""),3665.78)</f>
        <v>3665.78</v>
      </c>
      <c r="C1100" s="25">
        <f>IFERROR(__xludf.DUMMYFUNCTION("""COMPUTED_VALUE"""),44854.63611111111)</f>
        <v>44854.63611</v>
      </c>
      <c r="D1100" s="22">
        <f>IFERROR(__xludf.DUMMYFUNCTION("""COMPUTED_VALUE"""),29.98)</f>
        <v>29.98</v>
      </c>
      <c r="F1100" s="25">
        <f>IFERROR(__xludf.DUMMYFUNCTION("""COMPUTED_VALUE"""),44854.63611111111)</f>
        <v>44854.63611</v>
      </c>
      <c r="G1100" s="22">
        <f>IFERROR(__xludf.DUMMYFUNCTION("""COMPUTED_VALUE"""),30.81)</f>
        <v>30.81</v>
      </c>
      <c r="H1100" s="25">
        <f>IFERROR(__xludf.DUMMYFUNCTION("""COMPUTED_VALUE"""),44854.63611111111)</f>
        <v>44854.63611</v>
      </c>
      <c r="I1100" s="22">
        <f>IFERROR(__xludf.DUMMYFUNCTION("""COMPUTED_VALUE"""),31.76)</f>
        <v>31.76</v>
      </c>
      <c r="J1100" s="25">
        <f>IFERROR(__xludf.DUMMYFUNCTION("""COMPUTED_VALUE"""),44854.63611111111)</f>
        <v>44854.63611</v>
      </c>
      <c r="K1100" s="22">
        <f>IFERROR(__xludf.DUMMYFUNCTION("""COMPUTED_VALUE"""),31.96)</f>
        <v>31.96</v>
      </c>
    </row>
    <row r="1101" ht="15.75" customHeight="1">
      <c r="A1101" s="25">
        <f>IFERROR(__xludf.DUMMYFUNCTION("""COMPUTED_VALUE"""),44855.66666666667)</f>
        <v>44855.66667</v>
      </c>
      <c r="B1101" s="22">
        <f>IFERROR(__xludf.DUMMYFUNCTION("""COMPUTED_VALUE"""),3752.75)</f>
        <v>3752.75</v>
      </c>
      <c r="C1101" s="25">
        <f>IFERROR(__xludf.DUMMYFUNCTION("""COMPUTED_VALUE"""),44855.63611111111)</f>
        <v>44855.63611</v>
      </c>
      <c r="D1101" s="22">
        <f>IFERROR(__xludf.DUMMYFUNCTION("""COMPUTED_VALUE"""),29.69)</f>
        <v>29.69</v>
      </c>
      <c r="F1101" s="25">
        <f>IFERROR(__xludf.DUMMYFUNCTION("""COMPUTED_VALUE"""),44855.63611111111)</f>
        <v>44855.63611</v>
      </c>
      <c r="G1101" s="22">
        <f>IFERROR(__xludf.DUMMYFUNCTION("""COMPUTED_VALUE"""),30.47)</f>
        <v>30.47</v>
      </c>
      <c r="H1101" s="25">
        <f>IFERROR(__xludf.DUMMYFUNCTION("""COMPUTED_VALUE"""),44855.63611111111)</f>
        <v>44855.63611</v>
      </c>
      <c r="I1101" s="22">
        <f>IFERROR(__xludf.DUMMYFUNCTION("""COMPUTED_VALUE"""),31.49)</f>
        <v>31.49</v>
      </c>
      <c r="J1101" s="25">
        <f>IFERROR(__xludf.DUMMYFUNCTION("""COMPUTED_VALUE"""),44855.63611111111)</f>
        <v>44855.63611</v>
      </c>
      <c r="K1101" s="22">
        <f>IFERROR(__xludf.DUMMYFUNCTION("""COMPUTED_VALUE"""),31.71)</f>
        <v>31.71</v>
      </c>
    </row>
    <row r="1102" ht="15.75" customHeight="1">
      <c r="A1102" s="25">
        <f>IFERROR(__xludf.DUMMYFUNCTION("""COMPUTED_VALUE"""),44858.66666666667)</f>
        <v>44858.66667</v>
      </c>
      <c r="B1102" s="22">
        <f>IFERROR(__xludf.DUMMYFUNCTION("""COMPUTED_VALUE"""),3797.34)</f>
        <v>3797.34</v>
      </c>
      <c r="C1102" s="25">
        <f>IFERROR(__xludf.DUMMYFUNCTION("""COMPUTED_VALUE"""),44858.63611111111)</f>
        <v>44858.63611</v>
      </c>
      <c r="D1102" s="22">
        <f>IFERROR(__xludf.DUMMYFUNCTION("""COMPUTED_VALUE"""),29.85)</f>
        <v>29.85</v>
      </c>
      <c r="F1102" s="25">
        <f>IFERROR(__xludf.DUMMYFUNCTION("""COMPUTED_VALUE"""),44858.63611111111)</f>
        <v>44858.63611</v>
      </c>
      <c r="G1102" s="22">
        <f>IFERROR(__xludf.DUMMYFUNCTION("""COMPUTED_VALUE"""),30.33)</f>
        <v>30.33</v>
      </c>
      <c r="H1102" s="25">
        <f>IFERROR(__xludf.DUMMYFUNCTION("""COMPUTED_VALUE"""),44858.63611111111)</f>
        <v>44858.63611</v>
      </c>
      <c r="I1102" s="22">
        <f>IFERROR(__xludf.DUMMYFUNCTION("""COMPUTED_VALUE"""),31.33)</f>
        <v>31.33</v>
      </c>
      <c r="J1102" s="25">
        <f>IFERROR(__xludf.DUMMYFUNCTION("""COMPUTED_VALUE"""),44858.63611111111)</f>
        <v>44858.63611</v>
      </c>
      <c r="K1102" s="22">
        <f>IFERROR(__xludf.DUMMYFUNCTION("""COMPUTED_VALUE"""),31.64)</f>
        <v>31.64</v>
      </c>
    </row>
    <row r="1103" ht="15.75" customHeight="1">
      <c r="A1103" s="25">
        <f>IFERROR(__xludf.DUMMYFUNCTION("""COMPUTED_VALUE"""),44859.66666666667)</f>
        <v>44859.66667</v>
      </c>
      <c r="B1103" s="22">
        <f>IFERROR(__xludf.DUMMYFUNCTION("""COMPUTED_VALUE"""),3859.11)</f>
        <v>3859.11</v>
      </c>
      <c r="C1103" s="25">
        <f>IFERROR(__xludf.DUMMYFUNCTION("""COMPUTED_VALUE"""),44859.63611111111)</f>
        <v>44859.63611</v>
      </c>
      <c r="D1103" s="22">
        <f>IFERROR(__xludf.DUMMYFUNCTION("""COMPUTED_VALUE"""),28.46)</f>
        <v>28.46</v>
      </c>
      <c r="F1103" s="25">
        <f>IFERROR(__xludf.DUMMYFUNCTION("""COMPUTED_VALUE"""),44859.63611111111)</f>
        <v>44859.63611</v>
      </c>
      <c r="G1103" s="22">
        <f>IFERROR(__xludf.DUMMYFUNCTION("""COMPUTED_VALUE"""),29.29)</f>
        <v>29.29</v>
      </c>
      <c r="H1103" s="25">
        <f>IFERROR(__xludf.DUMMYFUNCTION("""COMPUTED_VALUE"""),44859.63611111111)</f>
        <v>44859.63611</v>
      </c>
      <c r="I1103" s="22">
        <f>IFERROR(__xludf.DUMMYFUNCTION("""COMPUTED_VALUE"""),30.54)</f>
        <v>30.54</v>
      </c>
      <c r="J1103" s="25">
        <f>IFERROR(__xludf.DUMMYFUNCTION("""COMPUTED_VALUE"""),44859.63611111111)</f>
        <v>44859.63611</v>
      </c>
      <c r="K1103" s="22">
        <f>IFERROR(__xludf.DUMMYFUNCTION("""COMPUTED_VALUE"""),31.0)</f>
        <v>31</v>
      </c>
    </row>
    <row r="1104" ht="15.75" customHeight="1">
      <c r="A1104" s="25">
        <f>IFERROR(__xludf.DUMMYFUNCTION("""COMPUTED_VALUE"""),44860.66666666667)</f>
        <v>44860.66667</v>
      </c>
      <c r="B1104" s="22">
        <f>IFERROR(__xludf.DUMMYFUNCTION("""COMPUTED_VALUE"""),3830.6)</f>
        <v>3830.6</v>
      </c>
      <c r="C1104" s="25">
        <f>IFERROR(__xludf.DUMMYFUNCTION("""COMPUTED_VALUE"""),44860.63611111111)</f>
        <v>44860.63611</v>
      </c>
      <c r="D1104" s="22">
        <f>IFERROR(__xludf.DUMMYFUNCTION("""COMPUTED_VALUE"""),27.28)</f>
        <v>27.28</v>
      </c>
      <c r="F1104" s="25">
        <f>IFERROR(__xludf.DUMMYFUNCTION("""COMPUTED_VALUE"""),44860.63611111111)</f>
        <v>44860.63611</v>
      </c>
      <c r="G1104" s="22">
        <f>IFERROR(__xludf.DUMMYFUNCTION("""COMPUTED_VALUE"""),28.46)</f>
        <v>28.46</v>
      </c>
      <c r="H1104" s="25">
        <f>IFERROR(__xludf.DUMMYFUNCTION("""COMPUTED_VALUE"""),44860.63611111111)</f>
        <v>44860.63611</v>
      </c>
      <c r="I1104" s="22">
        <f>IFERROR(__xludf.DUMMYFUNCTION("""COMPUTED_VALUE"""),29.96)</f>
        <v>29.96</v>
      </c>
      <c r="J1104" s="25">
        <f>IFERROR(__xludf.DUMMYFUNCTION("""COMPUTED_VALUE"""),44860.63611111111)</f>
        <v>44860.63611</v>
      </c>
      <c r="K1104" s="22">
        <f>IFERROR(__xludf.DUMMYFUNCTION("""COMPUTED_VALUE"""),30.68)</f>
        <v>30.68</v>
      </c>
    </row>
    <row r="1105" ht="15.75" customHeight="1">
      <c r="A1105" s="25">
        <f>IFERROR(__xludf.DUMMYFUNCTION("""COMPUTED_VALUE"""),44861.66666666667)</f>
        <v>44861.66667</v>
      </c>
      <c r="B1105" s="22">
        <f>IFERROR(__xludf.DUMMYFUNCTION("""COMPUTED_VALUE"""),3807.3)</f>
        <v>3807.3</v>
      </c>
      <c r="C1105" s="25">
        <f>IFERROR(__xludf.DUMMYFUNCTION("""COMPUTED_VALUE"""),44861.63611111111)</f>
        <v>44861.63611</v>
      </c>
      <c r="D1105" s="22">
        <f>IFERROR(__xludf.DUMMYFUNCTION("""COMPUTED_VALUE"""),27.39)</f>
        <v>27.39</v>
      </c>
      <c r="F1105" s="25">
        <f>IFERROR(__xludf.DUMMYFUNCTION("""COMPUTED_VALUE"""),44861.63611111111)</f>
        <v>44861.63611</v>
      </c>
      <c r="G1105" s="22">
        <f>IFERROR(__xludf.DUMMYFUNCTION("""COMPUTED_VALUE"""),28.28)</f>
        <v>28.28</v>
      </c>
      <c r="H1105" s="25">
        <f>IFERROR(__xludf.DUMMYFUNCTION("""COMPUTED_VALUE"""),44861.63611111111)</f>
        <v>44861.63611</v>
      </c>
      <c r="I1105" s="22">
        <f>IFERROR(__xludf.DUMMYFUNCTION("""COMPUTED_VALUE"""),29.78)</f>
        <v>29.78</v>
      </c>
      <c r="J1105" s="25">
        <f>IFERROR(__xludf.DUMMYFUNCTION("""COMPUTED_VALUE"""),44861.63611111111)</f>
        <v>44861.63611</v>
      </c>
      <c r="K1105" s="22">
        <f>IFERROR(__xludf.DUMMYFUNCTION("""COMPUTED_VALUE"""),30.58)</f>
        <v>30.58</v>
      </c>
    </row>
    <row r="1106" ht="15.75" customHeight="1">
      <c r="A1106" s="25">
        <f>IFERROR(__xludf.DUMMYFUNCTION("""COMPUTED_VALUE"""),44862.66666666667)</f>
        <v>44862.66667</v>
      </c>
      <c r="B1106" s="22">
        <f>IFERROR(__xludf.DUMMYFUNCTION("""COMPUTED_VALUE"""),3901.06)</f>
        <v>3901.06</v>
      </c>
      <c r="C1106" s="25">
        <f>IFERROR(__xludf.DUMMYFUNCTION("""COMPUTED_VALUE"""),44862.63611111111)</f>
        <v>44862.63611</v>
      </c>
      <c r="D1106" s="22">
        <f>IFERROR(__xludf.DUMMYFUNCTION("""COMPUTED_VALUE"""),25.75)</f>
        <v>25.75</v>
      </c>
      <c r="F1106" s="25">
        <f>IFERROR(__xludf.DUMMYFUNCTION("""COMPUTED_VALUE"""),44862.63611111111)</f>
        <v>44862.63611</v>
      </c>
      <c r="G1106" s="22">
        <f>IFERROR(__xludf.DUMMYFUNCTION("""COMPUTED_VALUE"""),26.9)</f>
        <v>26.9</v>
      </c>
      <c r="H1106" s="25">
        <f>IFERROR(__xludf.DUMMYFUNCTION("""COMPUTED_VALUE"""),44862.63611111111)</f>
        <v>44862.63611</v>
      </c>
      <c r="I1106" s="22">
        <f>IFERROR(__xludf.DUMMYFUNCTION("""COMPUTED_VALUE"""),28.53)</f>
        <v>28.53</v>
      </c>
      <c r="J1106" s="25">
        <f>IFERROR(__xludf.DUMMYFUNCTION("""COMPUTED_VALUE"""),44862.63611111111)</f>
        <v>44862.63611</v>
      </c>
      <c r="K1106" s="22">
        <f>IFERROR(__xludf.DUMMYFUNCTION("""COMPUTED_VALUE"""),29.57)</f>
        <v>29.57</v>
      </c>
    </row>
    <row r="1107" ht="15.75" customHeight="1">
      <c r="A1107" s="25">
        <f>IFERROR(__xludf.DUMMYFUNCTION("""COMPUTED_VALUE"""),44865.66666666667)</f>
        <v>44865.66667</v>
      </c>
      <c r="B1107" s="22">
        <f>IFERROR(__xludf.DUMMYFUNCTION("""COMPUTED_VALUE"""),3871.98)</f>
        <v>3871.98</v>
      </c>
      <c r="C1107" s="25">
        <f>IFERROR(__xludf.DUMMYFUNCTION("""COMPUTED_VALUE"""),44865.63611111111)</f>
        <v>44865.63611</v>
      </c>
      <c r="D1107" s="22">
        <f>IFERROR(__xludf.DUMMYFUNCTION("""COMPUTED_VALUE"""),25.88)</f>
        <v>25.88</v>
      </c>
      <c r="F1107" s="25">
        <f>IFERROR(__xludf.DUMMYFUNCTION("""COMPUTED_VALUE"""),44865.63611111111)</f>
        <v>44865.63611</v>
      </c>
      <c r="G1107" s="22">
        <f>IFERROR(__xludf.DUMMYFUNCTION("""COMPUTED_VALUE"""),26.92)</f>
        <v>26.92</v>
      </c>
      <c r="H1107" s="25">
        <f>IFERROR(__xludf.DUMMYFUNCTION("""COMPUTED_VALUE"""),44865.63611111111)</f>
        <v>44865.63611</v>
      </c>
      <c r="I1107" s="22">
        <f>IFERROR(__xludf.DUMMYFUNCTION("""COMPUTED_VALUE"""),28.58)</f>
        <v>28.58</v>
      </c>
      <c r="J1107" s="25">
        <f>IFERROR(__xludf.DUMMYFUNCTION("""COMPUTED_VALUE"""),44865.63611111111)</f>
        <v>44865.63611</v>
      </c>
      <c r="K1107" s="22">
        <f>IFERROR(__xludf.DUMMYFUNCTION("""COMPUTED_VALUE"""),29.73)</f>
        <v>29.73</v>
      </c>
    </row>
    <row r="1108" ht="15.75" customHeight="1">
      <c r="A1108" s="25">
        <f>IFERROR(__xludf.DUMMYFUNCTION("""COMPUTED_VALUE"""),44866.66666666667)</f>
        <v>44866.66667</v>
      </c>
      <c r="B1108" s="22">
        <f>IFERROR(__xludf.DUMMYFUNCTION("""COMPUTED_VALUE"""),3856.1)</f>
        <v>3856.1</v>
      </c>
      <c r="C1108" s="25">
        <f>IFERROR(__xludf.DUMMYFUNCTION("""COMPUTED_VALUE"""),44866.63611111111)</f>
        <v>44866.63611</v>
      </c>
      <c r="D1108" s="22">
        <f>IFERROR(__xludf.DUMMYFUNCTION("""COMPUTED_VALUE"""),25.81)</f>
        <v>25.81</v>
      </c>
      <c r="F1108" s="25">
        <f>IFERROR(__xludf.DUMMYFUNCTION("""COMPUTED_VALUE"""),44866.63611111111)</f>
        <v>44866.63611</v>
      </c>
      <c r="G1108" s="22">
        <f>IFERROR(__xludf.DUMMYFUNCTION("""COMPUTED_VALUE"""),26.69)</f>
        <v>26.69</v>
      </c>
      <c r="H1108" s="25">
        <f>IFERROR(__xludf.DUMMYFUNCTION("""COMPUTED_VALUE"""),44866.63611111111)</f>
        <v>44866.63611</v>
      </c>
      <c r="I1108" s="22">
        <f>IFERROR(__xludf.DUMMYFUNCTION("""COMPUTED_VALUE"""),28.25)</f>
        <v>28.25</v>
      </c>
      <c r="J1108" s="25">
        <f>IFERROR(__xludf.DUMMYFUNCTION("""COMPUTED_VALUE"""),44866.63611111111)</f>
        <v>44866.63611</v>
      </c>
      <c r="K1108" s="22">
        <f>IFERROR(__xludf.DUMMYFUNCTION("""COMPUTED_VALUE"""),29.38)</f>
        <v>29.38</v>
      </c>
    </row>
    <row r="1109" ht="15.75" customHeight="1">
      <c r="A1109" s="25">
        <f>IFERROR(__xludf.DUMMYFUNCTION("""COMPUTED_VALUE"""),44867.66666666667)</f>
        <v>44867.66667</v>
      </c>
      <c r="B1109" s="22">
        <f>IFERROR(__xludf.DUMMYFUNCTION("""COMPUTED_VALUE"""),3759.69)</f>
        <v>3759.69</v>
      </c>
      <c r="C1109" s="25">
        <f>IFERROR(__xludf.DUMMYFUNCTION("""COMPUTED_VALUE"""),44867.63611111111)</f>
        <v>44867.63611</v>
      </c>
      <c r="D1109" s="22">
        <f>IFERROR(__xludf.DUMMYFUNCTION("""COMPUTED_VALUE"""),25.86)</f>
        <v>25.86</v>
      </c>
      <c r="F1109" s="25">
        <f>IFERROR(__xludf.DUMMYFUNCTION("""COMPUTED_VALUE"""),44867.63611111111)</f>
        <v>44867.63611</v>
      </c>
      <c r="G1109" s="22">
        <f>IFERROR(__xludf.DUMMYFUNCTION("""COMPUTED_VALUE"""),27.22)</f>
        <v>27.22</v>
      </c>
      <c r="H1109" s="25">
        <f>IFERROR(__xludf.DUMMYFUNCTION("""COMPUTED_VALUE"""),44867.63611111111)</f>
        <v>44867.63611</v>
      </c>
      <c r="I1109" s="22">
        <f>IFERROR(__xludf.DUMMYFUNCTION("""COMPUTED_VALUE"""),28.72)</f>
        <v>28.72</v>
      </c>
      <c r="J1109" s="25">
        <f>IFERROR(__xludf.DUMMYFUNCTION("""COMPUTED_VALUE"""),44867.63611111111)</f>
        <v>44867.63611</v>
      </c>
      <c r="K1109" s="22">
        <f>IFERROR(__xludf.DUMMYFUNCTION("""COMPUTED_VALUE"""),29.74)</f>
        <v>29.74</v>
      </c>
    </row>
    <row r="1110" ht="15.75" customHeight="1">
      <c r="A1110" s="25">
        <f>IFERROR(__xludf.DUMMYFUNCTION("""COMPUTED_VALUE"""),44868.66666666667)</f>
        <v>44868.66667</v>
      </c>
      <c r="B1110" s="22">
        <f>IFERROR(__xludf.DUMMYFUNCTION("""COMPUTED_VALUE"""),3719.89)</f>
        <v>3719.89</v>
      </c>
      <c r="C1110" s="25">
        <f>IFERROR(__xludf.DUMMYFUNCTION("""COMPUTED_VALUE"""),44868.63611111111)</f>
        <v>44868.63611</v>
      </c>
      <c r="D1110" s="22">
        <f>IFERROR(__xludf.DUMMYFUNCTION("""COMPUTED_VALUE"""),25.3)</f>
        <v>25.3</v>
      </c>
      <c r="F1110" s="25">
        <f>IFERROR(__xludf.DUMMYFUNCTION("""COMPUTED_VALUE"""),44868.63611111111)</f>
        <v>44868.63611</v>
      </c>
      <c r="G1110" s="22">
        <f>IFERROR(__xludf.DUMMYFUNCTION("""COMPUTED_VALUE"""),26.7)</f>
        <v>26.7</v>
      </c>
      <c r="H1110" s="25">
        <f>IFERROR(__xludf.DUMMYFUNCTION("""COMPUTED_VALUE"""),44868.63611111111)</f>
        <v>44868.63611</v>
      </c>
      <c r="I1110" s="22">
        <f>IFERROR(__xludf.DUMMYFUNCTION("""COMPUTED_VALUE"""),28.22)</f>
        <v>28.22</v>
      </c>
      <c r="J1110" s="25">
        <f>IFERROR(__xludf.DUMMYFUNCTION("""COMPUTED_VALUE"""),44868.63611111111)</f>
        <v>44868.63611</v>
      </c>
      <c r="K1110" s="22">
        <f>IFERROR(__xludf.DUMMYFUNCTION("""COMPUTED_VALUE"""),29.33)</f>
        <v>29.33</v>
      </c>
    </row>
    <row r="1111" ht="15.75" customHeight="1">
      <c r="A1111" s="25">
        <f>IFERROR(__xludf.DUMMYFUNCTION("""COMPUTED_VALUE"""),44869.66666666667)</f>
        <v>44869.66667</v>
      </c>
      <c r="B1111" s="22">
        <f>IFERROR(__xludf.DUMMYFUNCTION("""COMPUTED_VALUE"""),3770.55)</f>
        <v>3770.55</v>
      </c>
      <c r="C1111" s="25">
        <f>IFERROR(__xludf.DUMMYFUNCTION("""COMPUTED_VALUE"""),44869.63611111111)</f>
        <v>44869.63611</v>
      </c>
      <c r="D1111" s="22">
        <f>IFERROR(__xludf.DUMMYFUNCTION("""COMPUTED_VALUE"""),24.55)</f>
        <v>24.55</v>
      </c>
      <c r="F1111" s="25">
        <f>IFERROR(__xludf.DUMMYFUNCTION("""COMPUTED_VALUE"""),44869.63611111111)</f>
        <v>44869.63611</v>
      </c>
      <c r="G1111" s="22">
        <f>IFERROR(__xludf.DUMMYFUNCTION("""COMPUTED_VALUE"""),26.39)</f>
        <v>26.39</v>
      </c>
      <c r="H1111" s="25">
        <f>IFERROR(__xludf.DUMMYFUNCTION("""COMPUTED_VALUE"""),44869.63611111111)</f>
        <v>44869.63611</v>
      </c>
      <c r="I1111" s="22">
        <f>IFERROR(__xludf.DUMMYFUNCTION("""COMPUTED_VALUE"""),27.99)</f>
        <v>27.99</v>
      </c>
      <c r="J1111" s="25">
        <f>IFERROR(__xludf.DUMMYFUNCTION("""COMPUTED_VALUE"""),44869.63611111111)</f>
        <v>44869.63611</v>
      </c>
      <c r="K1111" s="22">
        <f>IFERROR(__xludf.DUMMYFUNCTION("""COMPUTED_VALUE"""),29.16)</f>
        <v>29.16</v>
      </c>
    </row>
    <row r="1112" ht="15.75" customHeight="1">
      <c r="A1112" s="25">
        <f>IFERROR(__xludf.DUMMYFUNCTION("""COMPUTED_VALUE"""),44872.66666666667)</f>
        <v>44872.66667</v>
      </c>
      <c r="B1112" s="22">
        <f>IFERROR(__xludf.DUMMYFUNCTION("""COMPUTED_VALUE"""),3806.8)</f>
        <v>3806.8</v>
      </c>
      <c r="C1112" s="25">
        <f>IFERROR(__xludf.DUMMYFUNCTION("""COMPUTED_VALUE"""),44872.63611111111)</f>
        <v>44872.63611</v>
      </c>
      <c r="D1112" s="22">
        <f>IFERROR(__xludf.DUMMYFUNCTION("""COMPUTED_VALUE"""),24.35)</f>
        <v>24.35</v>
      </c>
      <c r="F1112" s="25">
        <f>IFERROR(__xludf.DUMMYFUNCTION("""COMPUTED_VALUE"""),44872.63611111111)</f>
        <v>44872.63611</v>
      </c>
      <c r="G1112" s="22">
        <f>IFERROR(__xludf.DUMMYFUNCTION("""COMPUTED_VALUE"""),26.26)</f>
        <v>26.26</v>
      </c>
      <c r="H1112" s="25">
        <f>IFERROR(__xludf.DUMMYFUNCTION("""COMPUTED_VALUE"""),44872.63611111111)</f>
        <v>44872.63611</v>
      </c>
      <c r="I1112" s="22">
        <f>IFERROR(__xludf.DUMMYFUNCTION("""COMPUTED_VALUE"""),27.85)</f>
        <v>27.85</v>
      </c>
      <c r="J1112" s="25">
        <f>IFERROR(__xludf.DUMMYFUNCTION("""COMPUTED_VALUE"""),44872.63611111111)</f>
        <v>44872.63611</v>
      </c>
      <c r="K1112" s="22">
        <f>IFERROR(__xludf.DUMMYFUNCTION("""COMPUTED_VALUE"""),29.03)</f>
        <v>29.03</v>
      </c>
    </row>
    <row r="1113" ht="15.75" customHeight="1">
      <c r="A1113" s="25">
        <f>IFERROR(__xludf.DUMMYFUNCTION("""COMPUTED_VALUE"""),44873.66666666667)</f>
        <v>44873.66667</v>
      </c>
      <c r="B1113" s="22">
        <f>IFERROR(__xludf.DUMMYFUNCTION("""COMPUTED_VALUE"""),3828.11)</f>
        <v>3828.11</v>
      </c>
      <c r="C1113" s="25">
        <f>IFERROR(__xludf.DUMMYFUNCTION("""COMPUTED_VALUE"""),44873.63611111111)</f>
        <v>44873.63611</v>
      </c>
      <c r="D1113" s="22">
        <f>IFERROR(__xludf.DUMMYFUNCTION("""COMPUTED_VALUE"""),25.54)</f>
        <v>25.54</v>
      </c>
      <c r="F1113" s="25">
        <f>IFERROR(__xludf.DUMMYFUNCTION("""COMPUTED_VALUE"""),44873.63611111111)</f>
        <v>44873.63611</v>
      </c>
      <c r="G1113" s="22">
        <f>IFERROR(__xludf.DUMMYFUNCTION("""COMPUTED_VALUE"""),27.1)</f>
        <v>27.1</v>
      </c>
      <c r="H1113" s="25">
        <f>IFERROR(__xludf.DUMMYFUNCTION("""COMPUTED_VALUE"""),44873.63611111111)</f>
        <v>44873.63611</v>
      </c>
      <c r="I1113" s="22">
        <f>IFERROR(__xludf.DUMMYFUNCTION("""COMPUTED_VALUE"""),28.48)</f>
        <v>28.48</v>
      </c>
      <c r="J1113" s="25">
        <f>IFERROR(__xludf.DUMMYFUNCTION("""COMPUTED_VALUE"""),44873.63611111111)</f>
        <v>44873.63611</v>
      </c>
      <c r="K1113" s="22">
        <f>IFERROR(__xludf.DUMMYFUNCTION("""COMPUTED_VALUE"""),29.6)</f>
        <v>29.6</v>
      </c>
    </row>
    <row r="1114" ht="15.75" customHeight="1">
      <c r="A1114" s="25">
        <f>IFERROR(__xludf.DUMMYFUNCTION("""COMPUTED_VALUE"""),44874.66666666667)</f>
        <v>44874.66667</v>
      </c>
      <c r="B1114" s="22">
        <f>IFERROR(__xludf.DUMMYFUNCTION("""COMPUTED_VALUE"""),3748.57)</f>
        <v>3748.57</v>
      </c>
      <c r="C1114" s="25">
        <f>IFERROR(__xludf.DUMMYFUNCTION("""COMPUTED_VALUE"""),44874.63611111111)</f>
        <v>44874.63611</v>
      </c>
      <c r="D1114" s="22">
        <f>IFERROR(__xludf.DUMMYFUNCTION("""COMPUTED_VALUE"""),26.09)</f>
        <v>26.09</v>
      </c>
      <c r="F1114" s="25">
        <f>IFERROR(__xludf.DUMMYFUNCTION("""COMPUTED_VALUE"""),44874.63611111111)</f>
        <v>44874.63611</v>
      </c>
      <c r="G1114" s="22">
        <f>IFERROR(__xludf.DUMMYFUNCTION("""COMPUTED_VALUE"""),27.91)</f>
        <v>27.91</v>
      </c>
      <c r="H1114" s="25">
        <f>IFERROR(__xludf.DUMMYFUNCTION("""COMPUTED_VALUE"""),44874.63611111111)</f>
        <v>44874.63611</v>
      </c>
      <c r="I1114" s="22">
        <f>IFERROR(__xludf.DUMMYFUNCTION("""COMPUTED_VALUE"""),29.26)</f>
        <v>29.26</v>
      </c>
      <c r="J1114" s="25">
        <f>IFERROR(__xludf.DUMMYFUNCTION("""COMPUTED_VALUE"""),44874.63611111111)</f>
        <v>44874.63611</v>
      </c>
      <c r="K1114" s="22">
        <f>IFERROR(__xludf.DUMMYFUNCTION("""COMPUTED_VALUE"""),30.14)</f>
        <v>30.14</v>
      </c>
    </row>
    <row r="1115" ht="15.75" customHeight="1">
      <c r="A1115" s="25">
        <f>IFERROR(__xludf.DUMMYFUNCTION("""COMPUTED_VALUE"""),44875.66666666667)</f>
        <v>44875.66667</v>
      </c>
      <c r="B1115" s="22">
        <f>IFERROR(__xludf.DUMMYFUNCTION("""COMPUTED_VALUE"""),3956.37)</f>
        <v>3956.37</v>
      </c>
      <c r="C1115" s="25">
        <f>IFERROR(__xludf.DUMMYFUNCTION("""COMPUTED_VALUE"""),44875.63611111111)</f>
        <v>44875.63611</v>
      </c>
      <c r="D1115" s="22">
        <f>IFERROR(__xludf.DUMMYFUNCTION("""COMPUTED_VALUE"""),23.53)</f>
        <v>23.53</v>
      </c>
      <c r="F1115" s="25">
        <f>IFERROR(__xludf.DUMMYFUNCTION("""COMPUTED_VALUE"""),44875.63611111111)</f>
        <v>44875.63611</v>
      </c>
      <c r="G1115" s="22">
        <f>IFERROR(__xludf.DUMMYFUNCTION("""COMPUTED_VALUE"""),26.18)</f>
        <v>26.18</v>
      </c>
      <c r="H1115" s="25">
        <f>IFERROR(__xludf.DUMMYFUNCTION("""COMPUTED_VALUE"""),44875.63611111111)</f>
        <v>44875.63611</v>
      </c>
      <c r="I1115" s="22">
        <f>IFERROR(__xludf.DUMMYFUNCTION("""COMPUTED_VALUE"""),27.76)</f>
        <v>27.76</v>
      </c>
      <c r="J1115" s="25">
        <f>IFERROR(__xludf.DUMMYFUNCTION("""COMPUTED_VALUE"""),44875.63611111111)</f>
        <v>44875.63611</v>
      </c>
      <c r="K1115" s="22">
        <f>IFERROR(__xludf.DUMMYFUNCTION("""COMPUTED_VALUE"""),31.29)</f>
        <v>31.29</v>
      </c>
    </row>
    <row r="1116" ht="15.75" customHeight="1">
      <c r="A1116" s="25">
        <f>IFERROR(__xludf.DUMMYFUNCTION("""COMPUTED_VALUE"""),44876.66666666667)</f>
        <v>44876.66667</v>
      </c>
      <c r="B1116" s="22">
        <f>IFERROR(__xludf.DUMMYFUNCTION("""COMPUTED_VALUE"""),3992.93)</f>
        <v>3992.93</v>
      </c>
      <c r="C1116" s="25">
        <f>IFERROR(__xludf.DUMMYFUNCTION("""COMPUTED_VALUE"""),44876.63611111111)</f>
        <v>44876.63611</v>
      </c>
      <c r="D1116" s="22">
        <f>IFERROR(__xludf.DUMMYFUNCTION("""COMPUTED_VALUE"""),22.52)</f>
        <v>22.52</v>
      </c>
      <c r="F1116" s="25">
        <f>IFERROR(__xludf.DUMMYFUNCTION("""COMPUTED_VALUE"""),44876.63611111111)</f>
        <v>44876.63611</v>
      </c>
      <c r="G1116" s="22">
        <f>IFERROR(__xludf.DUMMYFUNCTION("""COMPUTED_VALUE"""),25.74)</f>
        <v>25.74</v>
      </c>
      <c r="H1116" s="25">
        <f>IFERROR(__xludf.DUMMYFUNCTION("""COMPUTED_VALUE"""),44876.63611111111)</f>
        <v>44876.63611</v>
      </c>
      <c r="I1116" s="22">
        <f>IFERROR(__xludf.DUMMYFUNCTION("""COMPUTED_VALUE"""),27.74)</f>
        <v>27.74</v>
      </c>
      <c r="J1116" s="25">
        <f>IFERROR(__xludf.DUMMYFUNCTION("""COMPUTED_VALUE"""),44876.63611111111)</f>
        <v>44876.63611</v>
      </c>
      <c r="K1116" s="22">
        <f>IFERROR(__xludf.DUMMYFUNCTION("""COMPUTED_VALUE"""),29.07)</f>
        <v>29.07</v>
      </c>
    </row>
    <row r="1117" ht="15.75" customHeight="1">
      <c r="A1117" s="25">
        <f>IFERROR(__xludf.DUMMYFUNCTION("""COMPUTED_VALUE"""),44879.66666666667)</f>
        <v>44879.66667</v>
      </c>
      <c r="B1117" s="22">
        <f>IFERROR(__xludf.DUMMYFUNCTION("""COMPUTED_VALUE"""),3957.25)</f>
        <v>3957.25</v>
      </c>
      <c r="C1117" s="25">
        <f>IFERROR(__xludf.DUMMYFUNCTION("""COMPUTED_VALUE"""),44879.63611111111)</f>
        <v>44879.63611</v>
      </c>
      <c r="D1117" s="22">
        <f>IFERROR(__xludf.DUMMYFUNCTION("""COMPUTED_VALUE"""),23.73)</f>
        <v>23.73</v>
      </c>
      <c r="F1117" s="25">
        <f>IFERROR(__xludf.DUMMYFUNCTION("""COMPUTED_VALUE"""),44879.63611111111)</f>
        <v>44879.63611</v>
      </c>
      <c r="G1117" s="22">
        <f>IFERROR(__xludf.DUMMYFUNCTION("""COMPUTED_VALUE"""),26.13)</f>
        <v>26.13</v>
      </c>
      <c r="H1117" s="25">
        <f>IFERROR(__xludf.DUMMYFUNCTION("""COMPUTED_VALUE"""),44879.63611111111)</f>
        <v>44879.63611</v>
      </c>
      <c r="I1117" s="22">
        <f>IFERROR(__xludf.DUMMYFUNCTION("""COMPUTED_VALUE"""),28.15)</f>
        <v>28.15</v>
      </c>
      <c r="J1117" s="25">
        <f>IFERROR(__xludf.DUMMYFUNCTION("""COMPUTED_VALUE"""),44879.63611111111)</f>
        <v>44879.63611</v>
      </c>
      <c r="K1117" s="22">
        <f>IFERROR(__xludf.DUMMYFUNCTION("""COMPUTED_VALUE"""),29.42)</f>
        <v>29.42</v>
      </c>
    </row>
    <row r="1118" ht="15.75" customHeight="1">
      <c r="A1118" s="25">
        <f>IFERROR(__xludf.DUMMYFUNCTION("""COMPUTED_VALUE"""),44880.66666666667)</f>
        <v>44880.66667</v>
      </c>
      <c r="B1118" s="22">
        <f>IFERROR(__xludf.DUMMYFUNCTION("""COMPUTED_VALUE"""),3991.73)</f>
        <v>3991.73</v>
      </c>
      <c r="C1118" s="25">
        <f>IFERROR(__xludf.DUMMYFUNCTION("""COMPUTED_VALUE"""),44880.63611111111)</f>
        <v>44880.63611</v>
      </c>
      <c r="D1118" s="22">
        <f>IFERROR(__xludf.DUMMYFUNCTION("""COMPUTED_VALUE"""),24.54)</f>
        <v>24.54</v>
      </c>
      <c r="F1118" s="25">
        <f>IFERROR(__xludf.DUMMYFUNCTION("""COMPUTED_VALUE"""),44880.63611111111)</f>
        <v>44880.63611</v>
      </c>
      <c r="G1118" s="22">
        <f>IFERROR(__xludf.DUMMYFUNCTION("""COMPUTED_VALUE"""),26.59)</f>
        <v>26.59</v>
      </c>
      <c r="H1118" s="25">
        <f>IFERROR(__xludf.DUMMYFUNCTION("""COMPUTED_VALUE"""),44880.63611111111)</f>
        <v>44880.63611</v>
      </c>
      <c r="I1118" s="22">
        <f>IFERROR(__xludf.DUMMYFUNCTION("""COMPUTED_VALUE"""),28.52)</f>
        <v>28.52</v>
      </c>
      <c r="J1118" s="25">
        <f>IFERROR(__xludf.DUMMYFUNCTION("""COMPUTED_VALUE"""),44880.63611111111)</f>
        <v>44880.63611</v>
      </c>
      <c r="K1118" s="22">
        <f>IFERROR(__xludf.DUMMYFUNCTION("""COMPUTED_VALUE"""),29.42)</f>
        <v>29.42</v>
      </c>
    </row>
    <row r="1119" ht="15.75" customHeight="1">
      <c r="A1119" s="25">
        <f>IFERROR(__xludf.DUMMYFUNCTION("""COMPUTED_VALUE"""),44881.66666666667)</f>
        <v>44881.66667</v>
      </c>
      <c r="B1119" s="22">
        <f>IFERROR(__xludf.DUMMYFUNCTION("""COMPUTED_VALUE"""),3958.79)</f>
        <v>3958.79</v>
      </c>
      <c r="C1119" s="25">
        <f>IFERROR(__xludf.DUMMYFUNCTION("""COMPUTED_VALUE"""),44881.63611111111)</f>
        <v>44881.63611</v>
      </c>
      <c r="D1119" s="22">
        <f>IFERROR(__xludf.DUMMYFUNCTION("""COMPUTED_VALUE"""),24.11)</f>
        <v>24.11</v>
      </c>
      <c r="F1119" s="25">
        <f>IFERROR(__xludf.DUMMYFUNCTION("""COMPUTED_VALUE"""),44881.63611111111)</f>
        <v>44881.63611</v>
      </c>
      <c r="G1119" s="22">
        <f>IFERROR(__xludf.DUMMYFUNCTION("""COMPUTED_VALUE"""),26.03)</f>
        <v>26.03</v>
      </c>
      <c r="H1119" s="25">
        <f>IFERROR(__xludf.DUMMYFUNCTION("""COMPUTED_VALUE"""),44881.63611111111)</f>
        <v>44881.63611</v>
      </c>
      <c r="I1119" s="22">
        <f>IFERROR(__xludf.DUMMYFUNCTION("""COMPUTED_VALUE"""),28.06)</f>
        <v>28.06</v>
      </c>
      <c r="J1119" s="25">
        <f>IFERROR(__xludf.DUMMYFUNCTION("""COMPUTED_VALUE"""),44881.63611111111)</f>
        <v>44881.63611</v>
      </c>
      <c r="K1119" s="22">
        <f>IFERROR(__xludf.DUMMYFUNCTION("""COMPUTED_VALUE"""),29.19)</f>
        <v>29.19</v>
      </c>
    </row>
    <row r="1120" ht="15.75" customHeight="1">
      <c r="A1120" s="25">
        <f>IFERROR(__xludf.DUMMYFUNCTION("""COMPUTED_VALUE"""),44882.66666666667)</f>
        <v>44882.66667</v>
      </c>
      <c r="B1120" s="22">
        <f>IFERROR(__xludf.DUMMYFUNCTION("""COMPUTED_VALUE"""),3946.56)</f>
        <v>3946.56</v>
      </c>
      <c r="C1120" s="25">
        <f>IFERROR(__xludf.DUMMYFUNCTION("""COMPUTED_VALUE"""),44882.63611111111)</f>
        <v>44882.63611</v>
      </c>
      <c r="D1120" s="22">
        <f>IFERROR(__xludf.DUMMYFUNCTION("""COMPUTED_VALUE"""),23.93)</f>
        <v>23.93</v>
      </c>
      <c r="F1120" s="25">
        <f>IFERROR(__xludf.DUMMYFUNCTION("""COMPUTED_VALUE"""),44882.63611111111)</f>
        <v>44882.63611</v>
      </c>
      <c r="G1120" s="22">
        <f>IFERROR(__xludf.DUMMYFUNCTION("""COMPUTED_VALUE"""),25.83)</f>
        <v>25.83</v>
      </c>
      <c r="H1120" s="25">
        <f>IFERROR(__xludf.DUMMYFUNCTION("""COMPUTED_VALUE"""),44882.63611111111)</f>
        <v>44882.63611</v>
      </c>
      <c r="I1120" s="22">
        <f>IFERROR(__xludf.DUMMYFUNCTION("""COMPUTED_VALUE"""),27.92)</f>
        <v>27.92</v>
      </c>
      <c r="J1120" s="25">
        <f>IFERROR(__xludf.DUMMYFUNCTION("""COMPUTED_VALUE"""),44882.63611111111)</f>
        <v>44882.63611</v>
      </c>
      <c r="K1120" s="22">
        <f>IFERROR(__xludf.DUMMYFUNCTION("""COMPUTED_VALUE"""),29.1)</f>
        <v>29.1</v>
      </c>
    </row>
    <row r="1121" ht="15.75" customHeight="1">
      <c r="A1121" s="25">
        <f>IFERROR(__xludf.DUMMYFUNCTION("""COMPUTED_VALUE"""),44883.66666666667)</f>
        <v>44883.66667</v>
      </c>
      <c r="B1121" s="22">
        <f>IFERROR(__xludf.DUMMYFUNCTION("""COMPUTED_VALUE"""),3965.34)</f>
        <v>3965.34</v>
      </c>
      <c r="C1121" s="25">
        <f>IFERROR(__xludf.DUMMYFUNCTION("""COMPUTED_VALUE"""),44883.63611111111)</f>
        <v>44883.63611</v>
      </c>
      <c r="D1121" s="22">
        <f>IFERROR(__xludf.DUMMYFUNCTION("""COMPUTED_VALUE"""),23.12)</f>
        <v>23.12</v>
      </c>
      <c r="F1121" s="25">
        <f>IFERROR(__xludf.DUMMYFUNCTION("""COMPUTED_VALUE"""),44883.63611111111)</f>
        <v>44883.63611</v>
      </c>
      <c r="G1121" s="22">
        <f>IFERROR(__xludf.DUMMYFUNCTION("""COMPUTED_VALUE"""),25.33)</f>
        <v>25.33</v>
      </c>
      <c r="H1121" s="25">
        <f>IFERROR(__xludf.DUMMYFUNCTION("""COMPUTED_VALUE"""),44883.63611111111)</f>
        <v>44883.63611</v>
      </c>
      <c r="I1121" s="22">
        <f>IFERROR(__xludf.DUMMYFUNCTION("""COMPUTED_VALUE"""),27.61)</f>
        <v>27.61</v>
      </c>
      <c r="J1121" s="25">
        <f>IFERROR(__xludf.DUMMYFUNCTION("""COMPUTED_VALUE"""),44883.63611111111)</f>
        <v>44883.63611</v>
      </c>
      <c r="K1121" s="22">
        <f>IFERROR(__xludf.DUMMYFUNCTION("""COMPUTED_VALUE"""),28.88)</f>
        <v>28.88</v>
      </c>
    </row>
    <row r="1122" ht="15.75" customHeight="1">
      <c r="A1122" s="25">
        <f>IFERROR(__xludf.DUMMYFUNCTION("""COMPUTED_VALUE"""),44886.66666666667)</f>
        <v>44886.66667</v>
      </c>
      <c r="B1122" s="22">
        <f>IFERROR(__xludf.DUMMYFUNCTION("""COMPUTED_VALUE"""),3949.94)</f>
        <v>3949.94</v>
      </c>
      <c r="C1122" s="25">
        <f>IFERROR(__xludf.DUMMYFUNCTION("""COMPUTED_VALUE"""),44886.63611111111)</f>
        <v>44886.63611</v>
      </c>
      <c r="D1122" s="22">
        <f>IFERROR(__xludf.DUMMYFUNCTION("""COMPUTED_VALUE"""),22.36)</f>
        <v>22.36</v>
      </c>
      <c r="F1122" s="25">
        <f>IFERROR(__xludf.DUMMYFUNCTION("""COMPUTED_VALUE"""),44886.63611111111)</f>
        <v>44886.63611</v>
      </c>
      <c r="G1122" s="22">
        <f>IFERROR(__xludf.DUMMYFUNCTION("""COMPUTED_VALUE"""),24.72)</f>
        <v>24.72</v>
      </c>
      <c r="H1122" s="25">
        <f>IFERROR(__xludf.DUMMYFUNCTION("""COMPUTED_VALUE"""),44886.63611111111)</f>
        <v>44886.63611</v>
      </c>
      <c r="I1122" s="22">
        <f>IFERROR(__xludf.DUMMYFUNCTION("""COMPUTED_VALUE"""),27.16)</f>
        <v>27.16</v>
      </c>
      <c r="J1122" s="25">
        <f>IFERROR(__xludf.DUMMYFUNCTION("""COMPUTED_VALUE"""),44886.63611111111)</f>
        <v>44886.63611</v>
      </c>
      <c r="K1122" s="22">
        <f>IFERROR(__xludf.DUMMYFUNCTION("""COMPUTED_VALUE"""),28.52)</f>
        <v>28.52</v>
      </c>
    </row>
    <row r="1123" ht="15.75" customHeight="1">
      <c r="A1123" s="25">
        <f>IFERROR(__xludf.DUMMYFUNCTION("""COMPUTED_VALUE"""),44887.66666666667)</f>
        <v>44887.66667</v>
      </c>
      <c r="B1123" s="22">
        <f>IFERROR(__xludf.DUMMYFUNCTION("""COMPUTED_VALUE"""),4003.58)</f>
        <v>4003.58</v>
      </c>
      <c r="C1123" s="25">
        <f>IFERROR(__xludf.DUMMYFUNCTION("""COMPUTED_VALUE"""),44887.63611111111)</f>
        <v>44887.63611</v>
      </c>
      <c r="D1123" s="22">
        <f>IFERROR(__xludf.DUMMYFUNCTION("""COMPUTED_VALUE"""),21.29)</f>
        <v>21.29</v>
      </c>
      <c r="F1123" s="25">
        <f>IFERROR(__xludf.DUMMYFUNCTION("""COMPUTED_VALUE"""),44887.63611111111)</f>
        <v>44887.63611</v>
      </c>
      <c r="G1123" s="22">
        <f>IFERROR(__xludf.DUMMYFUNCTION("""COMPUTED_VALUE"""),23.83)</f>
        <v>23.83</v>
      </c>
      <c r="H1123" s="25">
        <f>IFERROR(__xludf.DUMMYFUNCTION("""COMPUTED_VALUE"""),44887.63611111111)</f>
        <v>44887.63611</v>
      </c>
      <c r="I1123" s="22">
        <f>IFERROR(__xludf.DUMMYFUNCTION("""COMPUTED_VALUE"""),26.39)</f>
        <v>26.39</v>
      </c>
      <c r="J1123" s="25">
        <f>IFERROR(__xludf.DUMMYFUNCTION("""COMPUTED_VALUE"""),44887.63611111111)</f>
        <v>44887.63611</v>
      </c>
      <c r="K1123" s="22">
        <f>IFERROR(__xludf.DUMMYFUNCTION("""COMPUTED_VALUE"""),27.97)</f>
        <v>27.97</v>
      </c>
    </row>
    <row r="1124" ht="15.75" customHeight="1">
      <c r="A1124" s="25">
        <f>IFERROR(__xludf.DUMMYFUNCTION("""COMPUTED_VALUE"""),44890.54166666667)</f>
        <v>44890.54167</v>
      </c>
      <c r="B1124" s="22">
        <f>IFERROR(__xludf.DUMMYFUNCTION("""COMPUTED_VALUE"""),4026.12)</f>
        <v>4026.12</v>
      </c>
      <c r="C1124" s="25">
        <f>IFERROR(__xludf.DUMMYFUNCTION("""COMPUTED_VALUE"""),44890.54166666667)</f>
        <v>44890.54167</v>
      </c>
      <c r="D1124" s="22">
        <f>IFERROR(__xludf.DUMMYFUNCTION("""COMPUTED_VALUE"""),20.5)</f>
        <v>20.5</v>
      </c>
      <c r="F1124" s="25">
        <f>IFERROR(__xludf.DUMMYFUNCTION("""COMPUTED_VALUE"""),44890.54166666667)</f>
        <v>44890.54167</v>
      </c>
      <c r="G1124" s="22">
        <f>IFERROR(__xludf.DUMMYFUNCTION("""COMPUTED_VALUE"""),23.59)</f>
        <v>23.59</v>
      </c>
      <c r="H1124" s="25">
        <f>IFERROR(__xludf.DUMMYFUNCTION("""COMPUTED_VALUE"""),44890.54166666667)</f>
        <v>44890.54167</v>
      </c>
      <c r="I1124" s="22">
        <f>IFERROR(__xludf.DUMMYFUNCTION("""COMPUTED_VALUE"""),26.32)</f>
        <v>26.32</v>
      </c>
      <c r="J1124" s="25">
        <f>IFERROR(__xludf.DUMMYFUNCTION("""COMPUTED_VALUE"""),44890.54166666667)</f>
        <v>44890.54167</v>
      </c>
      <c r="K1124" s="22">
        <f>IFERROR(__xludf.DUMMYFUNCTION("""COMPUTED_VALUE"""),27.92)</f>
        <v>27.92</v>
      </c>
    </row>
    <row r="1125" ht="15.75" customHeight="1">
      <c r="A1125" s="25">
        <f>IFERROR(__xludf.DUMMYFUNCTION("""COMPUTED_VALUE"""),44893.66666666667)</f>
        <v>44893.66667</v>
      </c>
      <c r="B1125" s="22">
        <f>IFERROR(__xludf.DUMMYFUNCTION("""COMPUTED_VALUE"""),3963.94)</f>
        <v>3963.94</v>
      </c>
      <c r="C1125" s="25">
        <f>IFERROR(__xludf.DUMMYFUNCTION("""COMPUTED_VALUE"""),44893.63611111111)</f>
        <v>44893.63611</v>
      </c>
      <c r="D1125" s="22">
        <f>IFERROR(__xludf.DUMMYFUNCTION("""COMPUTED_VALUE"""),22.21)</f>
        <v>22.21</v>
      </c>
      <c r="F1125" s="25">
        <f>IFERROR(__xludf.DUMMYFUNCTION("""COMPUTED_VALUE"""),44893.63611111111)</f>
        <v>44893.63611</v>
      </c>
      <c r="G1125" s="22">
        <f>IFERROR(__xludf.DUMMYFUNCTION("""COMPUTED_VALUE"""),24.9)</f>
        <v>24.9</v>
      </c>
      <c r="H1125" s="25">
        <f>IFERROR(__xludf.DUMMYFUNCTION("""COMPUTED_VALUE"""),44893.63611111111)</f>
        <v>44893.63611</v>
      </c>
      <c r="I1125" s="22">
        <f>IFERROR(__xludf.DUMMYFUNCTION("""COMPUTED_VALUE"""),27.39)</f>
        <v>27.39</v>
      </c>
      <c r="J1125" s="25">
        <f>IFERROR(__xludf.DUMMYFUNCTION("""COMPUTED_VALUE"""),44893.63611111111)</f>
        <v>44893.63611</v>
      </c>
      <c r="K1125" s="22">
        <f>IFERROR(__xludf.DUMMYFUNCTION("""COMPUTED_VALUE"""),28.72)</f>
        <v>28.72</v>
      </c>
    </row>
    <row r="1126" ht="15.75" customHeight="1">
      <c r="A1126" s="25">
        <f>IFERROR(__xludf.DUMMYFUNCTION("""COMPUTED_VALUE"""),44894.66666666667)</f>
        <v>44894.66667</v>
      </c>
      <c r="B1126" s="22">
        <f>IFERROR(__xludf.DUMMYFUNCTION("""COMPUTED_VALUE"""),3957.63)</f>
        <v>3957.63</v>
      </c>
      <c r="C1126" s="25">
        <f>IFERROR(__xludf.DUMMYFUNCTION("""COMPUTED_VALUE"""),44894.63611111111)</f>
        <v>44894.63611</v>
      </c>
      <c r="D1126" s="22">
        <f>IFERROR(__xludf.DUMMYFUNCTION("""COMPUTED_VALUE"""),21.89)</f>
        <v>21.89</v>
      </c>
      <c r="F1126" s="25">
        <f>IFERROR(__xludf.DUMMYFUNCTION("""COMPUTED_VALUE"""),44894.63611111111)</f>
        <v>44894.63611</v>
      </c>
      <c r="G1126" s="22">
        <f>IFERROR(__xludf.DUMMYFUNCTION("""COMPUTED_VALUE"""),24.65)</f>
        <v>24.65</v>
      </c>
      <c r="H1126" s="25">
        <f>IFERROR(__xludf.DUMMYFUNCTION("""COMPUTED_VALUE"""),44894.63611111111)</f>
        <v>44894.63611</v>
      </c>
      <c r="I1126" s="22">
        <f>IFERROR(__xludf.DUMMYFUNCTION("""COMPUTED_VALUE"""),27.22)</f>
        <v>27.22</v>
      </c>
      <c r="J1126" s="25">
        <f>IFERROR(__xludf.DUMMYFUNCTION("""COMPUTED_VALUE"""),44894.63611111111)</f>
        <v>44894.63611</v>
      </c>
      <c r="K1126" s="22">
        <f>IFERROR(__xludf.DUMMYFUNCTION("""COMPUTED_VALUE"""),28.65)</f>
        <v>28.65</v>
      </c>
    </row>
    <row r="1127" ht="15.75" customHeight="1">
      <c r="A1127" s="25">
        <f>IFERROR(__xludf.DUMMYFUNCTION("""COMPUTED_VALUE"""),44895.66666666667)</f>
        <v>44895.66667</v>
      </c>
      <c r="B1127" s="22">
        <f>IFERROR(__xludf.DUMMYFUNCTION("""COMPUTED_VALUE"""),4080.11)</f>
        <v>4080.11</v>
      </c>
      <c r="C1127" s="25">
        <f>IFERROR(__xludf.DUMMYFUNCTION("""COMPUTED_VALUE"""),44895.63611111111)</f>
        <v>44895.63611</v>
      </c>
      <c r="D1127" s="22">
        <f>IFERROR(__xludf.DUMMYFUNCTION("""COMPUTED_VALUE"""),20.58)</f>
        <v>20.58</v>
      </c>
      <c r="F1127" s="25">
        <f>IFERROR(__xludf.DUMMYFUNCTION("""COMPUTED_VALUE"""),44895.63611111111)</f>
        <v>44895.63611</v>
      </c>
      <c r="G1127" s="22">
        <f>IFERROR(__xludf.DUMMYFUNCTION("""COMPUTED_VALUE"""),23.53)</f>
        <v>23.53</v>
      </c>
      <c r="H1127" s="25">
        <f>IFERROR(__xludf.DUMMYFUNCTION("""COMPUTED_VALUE"""),44895.63611111111)</f>
        <v>44895.63611</v>
      </c>
      <c r="I1127" s="22">
        <f>IFERROR(__xludf.DUMMYFUNCTION("""COMPUTED_VALUE"""),26.2)</f>
        <v>26.2</v>
      </c>
      <c r="J1127" s="25">
        <f>IFERROR(__xludf.DUMMYFUNCTION("""COMPUTED_VALUE"""),44895.63611111111)</f>
        <v>44895.63611</v>
      </c>
      <c r="K1127" s="22">
        <f>IFERROR(__xludf.DUMMYFUNCTION("""COMPUTED_VALUE"""),27.69)</f>
        <v>27.69</v>
      </c>
    </row>
    <row r="1128" ht="15.75" customHeight="1">
      <c r="A1128" s="25">
        <f>IFERROR(__xludf.DUMMYFUNCTION("""COMPUTED_VALUE"""),44896.66666666667)</f>
        <v>44896.66667</v>
      </c>
      <c r="B1128" s="22">
        <f>IFERROR(__xludf.DUMMYFUNCTION("""COMPUTED_VALUE"""),4076.57)</f>
        <v>4076.57</v>
      </c>
      <c r="C1128" s="25">
        <f>IFERROR(__xludf.DUMMYFUNCTION("""COMPUTED_VALUE"""),44896.63611111111)</f>
        <v>44896.63611</v>
      </c>
      <c r="D1128" s="22">
        <f>IFERROR(__xludf.DUMMYFUNCTION("""COMPUTED_VALUE"""),19.84)</f>
        <v>19.84</v>
      </c>
      <c r="F1128" s="25">
        <f>IFERROR(__xludf.DUMMYFUNCTION("""COMPUTED_VALUE"""),44896.63611111111)</f>
        <v>44896.63611</v>
      </c>
      <c r="G1128" s="22">
        <f>IFERROR(__xludf.DUMMYFUNCTION("""COMPUTED_VALUE"""),23.31)</f>
        <v>23.31</v>
      </c>
      <c r="H1128" s="25">
        <f>IFERROR(__xludf.DUMMYFUNCTION("""COMPUTED_VALUE"""),44896.63611111111)</f>
        <v>44896.63611</v>
      </c>
      <c r="I1128" s="22">
        <f>IFERROR(__xludf.DUMMYFUNCTION("""COMPUTED_VALUE"""),25.97)</f>
        <v>25.97</v>
      </c>
      <c r="J1128" s="25">
        <f>IFERROR(__xludf.DUMMYFUNCTION("""COMPUTED_VALUE"""),44896.63611111111)</f>
        <v>44896.63611</v>
      </c>
      <c r="K1128" s="22">
        <f>IFERROR(__xludf.DUMMYFUNCTION("""COMPUTED_VALUE"""),27.51)</f>
        <v>27.51</v>
      </c>
    </row>
    <row r="1129" ht="15.75" customHeight="1">
      <c r="A1129" s="25">
        <f>IFERROR(__xludf.DUMMYFUNCTION("""COMPUTED_VALUE"""),44897.66666666667)</f>
        <v>44897.66667</v>
      </c>
      <c r="B1129" s="22">
        <f>IFERROR(__xludf.DUMMYFUNCTION("""COMPUTED_VALUE"""),4071.7)</f>
        <v>4071.7</v>
      </c>
      <c r="C1129" s="25">
        <f>IFERROR(__xludf.DUMMYFUNCTION("""COMPUTED_VALUE"""),44897.63611111111)</f>
        <v>44897.63611</v>
      </c>
      <c r="D1129" s="22">
        <f>IFERROR(__xludf.DUMMYFUNCTION("""COMPUTED_VALUE"""),19.06)</f>
        <v>19.06</v>
      </c>
      <c r="F1129" s="25">
        <f>IFERROR(__xludf.DUMMYFUNCTION("""COMPUTED_VALUE"""),44897.63611111111)</f>
        <v>44897.63611</v>
      </c>
      <c r="G1129" s="22">
        <f>IFERROR(__xludf.DUMMYFUNCTION("""COMPUTED_VALUE"""),22.96)</f>
        <v>22.96</v>
      </c>
      <c r="H1129" s="25">
        <f>IFERROR(__xludf.DUMMYFUNCTION("""COMPUTED_VALUE"""),44897.63611111111)</f>
        <v>44897.63611</v>
      </c>
      <c r="I1129" s="22">
        <f>IFERROR(__xludf.DUMMYFUNCTION("""COMPUTED_VALUE"""),25.72)</f>
        <v>25.72</v>
      </c>
      <c r="J1129" s="25">
        <f>IFERROR(__xludf.DUMMYFUNCTION("""COMPUTED_VALUE"""),44897.63611111111)</f>
        <v>44897.63611</v>
      </c>
      <c r="K1129" s="22">
        <f>IFERROR(__xludf.DUMMYFUNCTION("""COMPUTED_VALUE"""),27.35)</f>
        <v>27.35</v>
      </c>
    </row>
    <row r="1130" ht="15.75" customHeight="1">
      <c r="A1130" s="25">
        <f>IFERROR(__xludf.DUMMYFUNCTION("""COMPUTED_VALUE"""),44900.66666666667)</f>
        <v>44900.66667</v>
      </c>
      <c r="B1130" s="22">
        <f>IFERROR(__xludf.DUMMYFUNCTION("""COMPUTED_VALUE"""),3998.84)</f>
        <v>3998.84</v>
      </c>
      <c r="C1130" s="25">
        <f>IFERROR(__xludf.DUMMYFUNCTION("""COMPUTED_VALUE"""),44900.63611111111)</f>
        <v>44900.63611</v>
      </c>
      <c r="D1130" s="22">
        <f>IFERROR(__xludf.DUMMYFUNCTION("""COMPUTED_VALUE"""),20.75)</f>
        <v>20.75</v>
      </c>
      <c r="F1130" s="25">
        <f>IFERROR(__xludf.DUMMYFUNCTION("""COMPUTED_VALUE"""),44900.63611111111)</f>
        <v>44900.63611</v>
      </c>
      <c r="G1130" s="22">
        <f>IFERROR(__xludf.DUMMYFUNCTION("""COMPUTED_VALUE"""),23.89)</f>
        <v>23.89</v>
      </c>
      <c r="H1130" s="25">
        <f>IFERROR(__xludf.DUMMYFUNCTION("""COMPUTED_VALUE"""),44900.63611111111)</f>
        <v>44900.63611</v>
      </c>
      <c r="I1130" s="22">
        <f>IFERROR(__xludf.DUMMYFUNCTION("""COMPUTED_VALUE"""),26.2)</f>
        <v>26.2</v>
      </c>
      <c r="J1130" s="25">
        <f>IFERROR(__xludf.DUMMYFUNCTION("""COMPUTED_VALUE"""),44900.63611111111)</f>
        <v>44900.63611</v>
      </c>
      <c r="K1130" s="22">
        <f>IFERROR(__xludf.DUMMYFUNCTION("""COMPUTED_VALUE"""),27.33)</f>
        <v>27.33</v>
      </c>
    </row>
    <row r="1131" ht="15.75" customHeight="1">
      <c r="A1131" s="25">
        <f>IFERROR(__xludf.DUMMYFUNCTION("""COMPUTED_VALUE"""),44901.66666666667)</f>
        <v>44901.66667</v>
      </c>
      <c r="B1131" s="22">
        <f>IFERROR(__xludf.DUMMYFUNCTION("""COMPUTED_VALUE"""),3941.26)</f>
        <v>3941.26</v>
      </c>
      <c r="C1131" s="25">
        <f>IFERROR(__xludf.DUMMYFUNCTION("""COMPUTED_VALUE"""),44901.63611111111)</f>
        <v>44901.63611</v>
      </c>
      <c r="D1131" s="22">
        <f>IFERROR(__xludf.DUMMYFUNCTION("""COMPUTED_VALUE"""),22.17)</f>
        <v>22.17</v>
      </c>
      <c r="F1131" s="25">
        <f>IFERROR(__xludf.DUMMYFUNCTION("""COMPUTED_VALUE"""),44901.63611111111)</f>
        <v>44901.63611</v>
      </c>
      <c r="G1131" s="22">
        <f>IFERROR(__xludf.DUMMYFUNCTION("""COMPUTED_VALUE"""),24.72)</f>
        <v>24.72</v>
      </c>
      <c r="H1131" s="25">
        <f>IFERROR(__xludf.DUMMYFUNCTION("""COMPUTED_VALUE"""),44901.63611111111)</f>
        <v>44901.63611</v>
      </c>
      <c r="I1131" s="22">
        <f>IFERROR(__xludf.DUMMYFUNCTION("""COMPUTED_VALUE"""),26.74)</f>
        <v>26.74</v>
      </c>
      <c r="J1131" s="25">
        <f>IFERROR(__xludf.DUMMYFUNCTION("""COMPUTED_VALUE"""),44901.63611111111)</f>
        <v>44901.63611</v>
      </c>
      <c r="K1131" s="22">
        <f>IFERROR(__xludf.DUMMYFUNCTION("""COMPUTED_VALUE"""),27.67)</f>
        <v>27.67</v>
      </c>
    </row>
    <row r="1132" ht="15.75" customHeight="1">
      <c r="A1132" s="25">
        <f>IFERROR(__xludf.DUMMYFUNCTION("""COMPUTED_VALUE"""),44902.66666666667)</f>
        <v>44902.66667</v>
      </c>
      <c r="B1132" s="22">
        <f>IFERROR(__xludf.DUMMYFUNCTION("""COMPUTED_VALUE"""),3933.92)</f>
        <v>3933.92</v>
      </c>
      <c r="C1132" s="25">
        <f>IFERROR(__xludf.DUMMYFUNCTION("""COMPUTED_VALUE"""),44902.63611111111)</f>
        <v>44902.63611</v>
      </c>
      <c r="D1132" s="22">
        <f>IFERROR(__xludf.DUMMYFUNCTION("""COMPUTED_VALUE"""),22.68)</f>
        <v>22.68</v>
      </c>
      <c r="F1132" s="25">
        <f>IFERROR(__xludf.DUMMYFUNCTION("""COMPUTED_VALUE"""),44902.63611111111)</f>
        <v>44902.63611</v>
      </c>
      <c r="G1132" s="22">
        <f>IFERROR(__xludf.DUMMYFUNCTION("""COMPUTED_VALUE"""),25.18)</f>
        <v>25.18</v>
      </c>
      <c r="H1132" s="25">
        <f>IFERROR(__xludf.DUMMYFUNCTION("""COMPUTED_VALUE"""),44902.63611111111)</f>
        <v>44902.63611</v>
      </c>
      <c r="I1132" s="22">
        <f>IFERROR(__xludf.DUMMYFUNCTION("""COMPUTED_VALUE"""),27.08)</f>
        <v>27.08</v>
      </c>
      <c r="J1132" s="25">
        <f>IFERROR(__xludf.DUMMYFUNCTION("""COMPUTED_VALUE"""),44902.63611111111)</f>
        <v>44902.63611</v>
      </c>
      <c r="K1132" s="22">
        <f>IFERROR(__xludf.DUMMYFUNCTION("""COMPUTED_VALUE"""),27.99)</f>
        <v>27.99</v>
      </c>
    </row>
    <row r="1133" ht="15.75" customHeight="1">
      <c r="A1133" s="25">
        <f>IFERROR(__xludf.DUMMYFUNCTION("""COMPUTED_VALUE"""),44903.66666666667)</f>
        <v>44903.66667</v>
      </c>
      <c r="B1133" s="22">
        <f>IFERROR(__xludf.DUMMYFUNCTION("""COMPUTED_VALUE"""),3963.51)</f>
        <v>3963.51</v>
      </c>
      <c r="C1133" s="25">
        <f>IFERROR(__xludf.DUMMYFUNCTION("""COMPUTED_VALUE"""),44903.63611111111)</f>
        <v>44903.63611</v>
      </c>
      <c r="D1133" s="22">
        <f>IFERROR(__xludf.DUMMYFUNCTION("""COMPUTED_VALUE"""),22.29)</f>
        <v>22.29</v>
      </c>
      <c r="F1133" s="25">
        <f>IFERROR(__xludf.DUMMYFUNCTION("""COMPUTED_VALUE"""),44903.63611111111)</f>
        <v>44903.63611</v>
      </c>
      <c r="G1133" s="22">
        <f>IFERROR(__xludf.DUMMYFUNCTION("""COMPUTED_VALUE"""),24.73)</f>
        <v>24.73</v>
      </c>
      <c r="H1133" s="25">
        <f>IFERROR(__xludf.DUMMYFUNCTION("""COMPUTED_VALUE"""),44903.63611111111)</f>
        <v>44903.63611</v>
      </c>
      <c r="I1133" s="22">
        <f>IFERROR(__xludf.DUMMYFUNCTION("""COMPUTED_VALUE"""),26.73)</f>
        <v>26.73</v>
      </c>
      <c r="J1133" s="25">
        <f>IFERROR(__xludf.DUMMYFUNCTION("""COMPUTED_VALUE"""),44903.63611111111)</f>
        <v>44903.63611</v>
      </c>
      <c r="K1133" s="22">
        <f>IFERROR(__xludf.DUMMYFUNCTION("""COMPUTED_VALUE"""),27.71)</f>
        <v>27.71</v>
      </c>
    </row>
    <row r="1134" ht="15.75" customHeight="1">
      <c r="A1134" s="25">
        <f>IFERROR(__xludf.DUMMYFUNCTION("""COMPUTED_VALUE"""),44904.66666666667)</f>
        <v>44904.66667</v>
      </c>
      <c r="B1134" s="22">
        <f>IFERROR(__xludf.DUMMYFUNCTION("""COMPUTED_VALUE"""),3934.38)</f>
        <v>3934.38</v>
      </c>
      <c r="C1134" s="25">
        <f>IFERROR(__xludf.DUMMYFUNCTION("""COMPUTED_VALUE"""),44904.63611111111)</f>
        <v>44904.63611</v>
      </c>
      <c r="D1134" s="22">
        <f>IFERROR(__xludf.DUMMYFUNCTION("""COMPUTED_VALUE"""),22.83)</f>
        <v>22.83</v>
      </c>
      <c r="F1134" s="25">
        <f>IFERROR(__xludf.DUMMYFUNCTION("""COMPUTED_VALUE"""),44904.63611111111)</f>
        <v>44904.63611</v>
      </c>
      <c r="G1134" s="22">
        <f>IFERROR(__xludf.DUMMYFUNCTION("""COMPUTED_VALUE"""),25.21)</f>
        <v>25.21</v>
      </c>
      <c r="H1134" s="25">
        <f>IFERROR(__xludf.DUMMYFUNCTION("""COMPUTED_VALUE"""),44904.63611111111)</f>
        <v>44904.63611</v>
      </c>
      <c r="I1134" s="22">
        <f>IFERROR(__xludf.DUMMYFUNCTION("""COMPUTED_VALUE"""),27.08)</f>
        <v>27.08</v>
      </c>
      <c r="J1134" s="25">
        <f>IFERROR(__xludf.DUMMYFUNCTION("""COMPUTED_VALUE"""),44904.63611111111)</f>
        <v>44904.63611</v>
      </c>
      <c r="K1134" s="22">
        <f>IFERROR(__xludf.DUMMYFUNCTION("""COMPUTED_VALUE"""),28.0)</f>
        <v>28</v>
      </c>
    </row>
    <row r="1135" ht="15.75" customHeight="1">
      <c r="A1135" s="25">
        <f>IFERROR(__xludf.DUMMYFUNCTION("""COMPUTED_VALUE"""),44907.66666666667)</f>
        <v>44907.66667</v>
      </c>
      <c r="B1135" s="22">
        <f>IFERROR(__xludf.DUMMYFUNCTION("""COMPUTED_VALUE"""),3990.56)</f>
        <v>3990.56</v>
      </c>
      <c r="C1135" s="25">
        <f>IFERROR(__xludf.DUMMYFUNCTION("""COMPUTED_VALUE"""),44907.63611111111)</f>
        <v>44907.63611</v>
      </c>
      <c r="D1135" s="22">
        <f>IFERROR(__xludf.DUMMYFUNCTION("""COMPUTED_VALUE"""),25.0)</f>
        <v>25</v>
      </c>
      <c r="F1135" s="25">
        <f>IFERROR(__xludf.DUMMYFUNCTION("""COMPUTED_VALUE"""),44907.63611111111)</f>
        <v>44907.63611</v>
      </c>
      <c r="G1135" s="22">
        <f>IFERROR(__xludf.DUMMYFUNCTION("""COMPUTED_VALUE"""),25.67)</f>
        <v>25.67</v>
      </c>
      <c r="H1135" s="25">
        <f>IFERROR(__xludf.DUMMYFUNCTION("""COMPUTED_VALUE"""),44907.63611111111)</f>
        <v>44907.63611</v>
      </c>
      <c r="I1135" s="22">
        <f>IFERROR(__xludf.DUMMYFUNCTION("""COMPUTED_VALUE"""),27.2)</f>
        <v>27.2</v>
      </c>
      <c r="J1135" s="25">
        <f>IFERROR(__xludf.DUMMYFUNCTION("""COMPUTED_VALUE"""),44907.63611111111)</f>
        <v>44907.63611</v>
      </c>
      <c r="K1135" s="22">
        <f>IFERROR(__xludf.DUMMYFUNCTION("""COMPUTED_VALUE"""),28.06)</f>
        <v>28.06</v>
      </c>
    </row>
    <row r="1136" ht="15.75" customHeight="1">
      <c r="A1136" s="25">
        <f>IFERROR(__xludf.DUMMYFUNCTION("""COMPUTED_VALUE"""),44908.66666666667)</f>
        <v>44908.66667</v>
      </c>
      <c r="B1136" s="22">
        <f>IFERROR(__xludf.DUMMYFUNCTION("""COMPUTED_VALUE"""),4019.65)</f>
        <v>4019.65</v>
      </c>
      <c r="C1136" s="25">
        <f>IFERROR(__xludf.DUMMYFUNCTION("""COMPUTED_VALUE"""),44908.63611111111)</f>
        <v>44908.63611</v>
      </c>
      <c r="D1136" s="22">
        <f>IFERROR(__xludf.DUMMYFUNCTION("""COMPUTED_VALUE"""),22.55)</f>
        <v>22.55</v>
      </c>
      <c r="F1136" s="25">
        <f>IFERROR(__xludf.DUMMYFUNCTION("""COMPUTED_VALUE"""),44908.63611111111)</f>
        <v>44908.63611</v>
      </c>
      <c r="G1136" s="22">
        <f>IFERROR(__xludf.DUMMYFUNCTION("""COMPUTED_VALUE"""),24.29)</f>
        <v>24.29</v>
      </c>
      <c r="H1136" s="25">
        <f>IFERROR(__xludf.DUMMYFUNCTION("""COMPUTED_VALUE"""),44908.63611111111)</f>
        <v>44908.63611</v>
      </c>
      <c r="I1136" s="22">
        <f>IFERROR(__xludf.DUMMYFUNCTION("""COMPUTED_VALUE"""),26.26)</f>
        <v>26.26</v>
      </c>
      <c r="J1136" s="25">
        <f>IFERROR(__xludf.DUMMYFUNCTION("""COMPUTED_VALUE"""),44908.63611111111)</f>
        <v>44908.63611</v>
      </c>
      <c r="K1136" s="22">
        <f>IFERROR(__xludf.DUMMYFUNCTION("""COMPUTED_VALUE"""),27.85)</f>
        <v>27.85</v>
      </c>
    </row>
    <row r="1137" ht="15.75" customHeight="1">
      <c r="A1137" s="25">
        <f>IFERROR(__xludf.DUMMYFUNCTION("""COMPUTED_VALUE"""),44909.66666666667)</f>
        <v>44909.66667</v>
      </c>
      <c r="B1137" s="22">
        <f>IFERROR(__xludf.DUMMYFUNCTION("""COMPUTED_VALUE"""),3995.32)</f>
        <v>3995.32</v>
      </c>
      <c r="C1137" s="25">
        <f>IFERROR(__xludf.DUMMYFUNCTION("""COMPUTED_VALUE"""),44909.63611111111)</f>
        <v>44909.63611</v>
      </c>
      <c r="D1137" s="22">
        <f>IFERROR(__xludf.DUMMYFUNCTION("""COMPUTED_VALUE"""),21.14)</f>
        <v>21.14</v>
      </c>
      <c r="F1137" s="25">
        <f>IFERROR(__xludf.DUMMYFUNCTION("""COMPUTED_VALUE"""),44909.63611111111)</f>
        <v>44909.63611</v>
      </c>
      <c r="G1137" s="22">
        <f>IFERROR(__xludf.DUMMYFUNCTION("""COMPUTED_VALUE"""),23.46)</f>
        <v>23.46</v>
      </c>
      <c r="H1137" s="25">
        <f>IFERROR(__xludf.DUMMYFUNCTION("""COMPUTED_VALUE"""),44909.63611111111)</f>
        <v>44909.63611</v>
      </c>
      <c r="I1137" s="22">
        <f>IFERROR(__xludf.DUMMYFUNCTION("""COMPUTED_VALUE"""),25.78)</f>
        <v>25.78</v>
      </c>
      <c r="J1137" s="25">
        <f>IFERROR(__xludf.DUMMYFUNCTION("""COMPUTED_VALUE"""),44909.63611111111)</f>
        <v>44909.63611</v>
      </c>
      <c r="K1137" s="22">
        <f>IFERROR(__xludf.DUMMYFUNCTION("""COMPUTED_VALUE"""),27.51)</f>
        <v>27.51</v>
      </c>
    </row>
    <row r="1138" ht="15.75" customHeight="1">
      <c r="A1138" s="25">
        <f>IFERROR(__xludf.DUMMYFUNCTION("""COMPUTED_VALUE"""),44910.66666666667)</f>
        <v>44910.66667</v>
      </c>
      <c r="B1138" s="22">
        <f>IFERROR(__xludf.DUMMYFUNCTION("""COMPUTED_VALUE"""),3895.75)</f>
        <v>3895.75</v>
      </c>
      <c r="C1138" s="25">
        <f>IFERROR(__xludf.DUMMYFUNCTION("""COMPUTED_VALUE"""),44910.63611111111)</f>
        <v>44910.63611</v>
      </c>
      <c r="D1138" s="22">
        <f>IFERROR(__xludf.DUMMYFUNCTION("""COMPUTED_VALUE"""),22.83)</f>
        <v>22.83</v>
      </c>
      <c r="F1138" s="25">
        <f>IFERROR(__xludf.DUMMYFUNCTION("""COMPUTED_VALUE"""),44910.63611111111)</f>
        <v>44910.63611</v>
      </c>
      <c r="G1138" s="22">
        <f>IFERROR(__xludf.DUMMYFUNCTION("""COMPUTED_VALUE"""),25.08)</f>
        <v>25.08</v>
      </c>
      <c r="H1138" s="25">
        <f>IFERROR(__xludf.DUMMYFUNCTION("""COMPUTED_VALUE"""),44910.63611111111)</f>
        <v>44910.63611</v>
      </c>
      <c r="I1138" s="22">
        <f>IFERROR(__xludf.DUMMYFUNCTION("""COMPUTED_VALUE"""),27.22)</f>
        <v>27.22</v>
      </c>
      <c r="J1138" s="25">
        <f>IFERROR(__xludf.DUMMYFUNCTION("""COMPUTED_VALUE"""),44910.63611111111)</f>
        <v>44910.63611</v>
      </c>
      <c r="K1138" s="22">
        <f>IFERROR(__xludf.DUMMYFUNCTION("""COMPUTED_VALUE"""),28.57)</f>
        <v>28.57</v>
      </c>
    </row>
    <row r="1139" ht="15.75" customHeight="1">
      <c r="A1139" s="25">
        <f>IFERROR(__xludf.DUMMYFUNCTION("""COMPUTED_VALUE"""),44911.66666666667)</f>
        <v>44911.66667</v>
      </c>
      <c r="B1139" s="22">
        <f>IFERROR(__xludf.DUMMYFUNCTION("""COMPUTED_VALUE"""),3852.36)</f>
        <v>3852.36</v>
      </c>
      <c r="C1139" s="25">
        <f>IFERROR(__xludf.DUMMYFUNCTION("""COMPUTED_VALUE"""),44911.63611111111)</f>
        <v>44911.63611</v>
      </c>
      <c r="D1139" s="22">
        <f>IFERROR(__xludf.DUMMYFUNCTION("""COMPUTED_VALUE"""),22.62)</f>
        <v>22.62</v>
      </c>
      <c r="F1139" s="25">
        <f>IFERROR(__xludf.DUMMYFUNCTION("""COMPUTED_VALUE"""),44911.63611111111)</f>
        <v>44911.63611</v>
      </c>
      <c r="G1139" s="22">
        <f>IFERROR(__xludf.DUMMYFUNCTION("""COMPUTED_VALUE"""),25.15)</f>
        <v>25.15</v>
      </c>
      <c r="H1139" s="25">
        <f>IFERROR(__xludf.DUMMYFUNCTION("""COMPUTED_VALUE"""),44911.63611111111)</f>
        <v>44911.63611</v>
      </c>
      <c r="I1139" s="22">
        <f>IFERROR(__xludf.DUMMYFUNCTION("""COMPUTED_VALUE"""),27.28)</f>
        <v>27.28</v>
      </c>
      <c r="J1139" s="25">
        <f>IFERROR(__xludf.DUMMYFUNCTION("""COMPUTED_VALUE"""),44911.63611111111)</f>
        <v>44911.63611</v>
      </c>
      <c r="K1139" s="22">
        <f>IFERROR(__xludf.DUMMYFUNCTION("""COMPUTED_VALUE"""),28.55)</f>
        <v>28.55</v>
      </c>
    </row>
    <row r="1140" ht="15.75" customHeight="1">
      <c r="A1140" s="25">
        <f>IFERROR(__xludf.DUMMYFUNCTION("""COMPUTED_VALUE"""),44914.66666666667)</f>
        <v>44914.66667</v>
      </c>
      <c r="B1140" s="22">
        <f>IFERROR(__xludf.DUMMYFUNCTION("""COMPUTED_VALUE"""),3817.66)</f>
        <v>3817.66</v>
      </c>
      <c r="C1140" s="25">
        <f>IFERROR(__xludf.DUMMYFUNCTION("""COMPUTED_VALUE"""),44914.63611111111)</f>
        <v>44914.63611</v>
      </c>
      <c r="D1140" s="22">
        <f>IFERROR(__xludf.DUMMYFUNCTION("""COMPUTED_VALUE"""),22.42)</f>
        <v>22.42</v>
      </c>
      <c r="F1140" s="25">
        <f>IFERROR(__xludf.DUMMYFUNCTION("""COMPUTED_VALUE"""),44914.63611111111)</f>
        <v>44914.63611</v>
      </c>
      <c r="G1140" s="22">
        <f>IFERROR(__xludf.DUMMYFUNCTION("""COMPUTED_VALUE"""),25.08)</f>
        <v>25.08</v>
      </c>
      <c r="H1140" s="25">
        <f>IFERROR(__xludf.DUMMYFUNCTION("""COMPUTED_VALUE"""),44914.63611111111)</f>
        <v>44914.63611</v>
      </c>
      <c r="I1140" s="22">
        <f>IFERROR(__xludf.DUMMYFUNCTION("""COMPUTED_VALUE"""),27.11)</f>
        <v>27.11</v>
      </c>
      <c r="J1140" s="25">
        <f>IFERROR(__xludf.DUMMYFUNCTION("""COMPUTED_VALUE"""),44914.63611111111)</f>
        <v>44914.63611</v>
      </c>
      <c r="K1140" s="22">
        <f>IFERROR(__xludf.DUMMYFUNCTION("""COMPUTED_VALUE"""),28.38)</f>
        <v>28.38</v>
      </c>
    </row>
    <row r="1141" ht="15.75" customHeight="1">
      <c r="A1141" s="25">
        <f>IFERROR(__xludf.DUMMYFUNCTION("""COMPUTED_VALUE"""),44915.66666666667)</f>
        <v>44915.66667</v>
      </c>
      <c r="B1141" s="22">
        <f>IFERROR(__xludf.DUMMYFUNCTION("""COMPUTED_VALUE"""),3821.62)</f>
        <v>3821.62</v>
      </c>
      <c r="C1141" s="25">
        <f>IFERROR(__xludf.DUMMYFUNCTION("""COMPUTED_VALUE"""),44915.63611111111)</f>
        <v>44915.63611</v>
      </c>
      <c r="D1141" s="22">
        <f>IFERROR(__xludf.DUMMYFUNCTION("""COMPUTED_VALUE"""),21.48)</f>
        <v>21.48</v>
      </c>
      <c r="F1141" s="25">
        <f>IFERROR(__xludf.DUMMYFUNCTION("""COMPUTED_VALUE"""),44915.63611111111)</f>
        <v>44915.63611</v>
      </c>
      <c r="G1141" s="22">
        <f>IFERROR(__xludf.DUMMYFUNCTION("""COMPUTED_VALUE"""),24.4)</f>
        <v>24.4</v>
      </c>
      <c r="H1141" s="25">
        <f>IFERROR(__xludf.DUMMYFUNCTION("""COMPUTED_VALUE"""),44915.63611111111)</f>
        <v>44915.63611</v>
      </c>
      <c r="I1141" s="22">
        <f>IFERROR(__xludf.DUMMYFUNCTION("""COMPUTED_VALUE"""),26.69)</f>
        <v>26.69</v>
      </c>
      <c r="J1141" s="25">
        <f>IFERROR(__xludf.DUMMYFUNCTION("""COMPUTED_VALUE"""),44915.63611111111)</f>
        <v>44915.63611</v>
      </c>
      <c r="K1141" s="22">
        <f>IFERROR(__xludf.DUMMYFUNCTION("""COMPUTED_VALUE"""),27.85)</f>
        <v>27.85</v>
      </c>
    </row>
    <row r="1142" ht="15.75" customHeight="1">
      <c r="A1142" s="25">
        <f>IFERROR(__xludf.DUMMYFUNCTION("""COMPUTED_VALUE"""),44916.66666666667)</f>
        <v>44916.66667</v>
      </c>
      <c r="B1142" s="22">
        <f>IFERROR(__xludf.DUMMYFUNCTION("""COMPUTED_VALUE"""),3878.44)</f>
        <v>3878.44</v>
      </c>
      <c r="C1142" s="25">
        <f>IFERROR(__xludf.DUMMYFUNCTION("""COMPUTED_VALUE"""),44916.63611111111)</f>
        <v>44916.63611</v>
      </c>
      <c r="D1142" s="22">
        <f>IFERROR(__xludf.DUMMYFUNCTION("""COMPUTED_VALUE"""),20.07)</f>
        <v>20.07</v>
      </c>
      <c r="F1142" s="25">
        <f>IFERROR(__xludf.DUMMYFUNCTION("""COMPUTED_VALUE"""),44916.63611111111)</f>
        <v>44916.63611</v>
      </c>
      <c r="G1142" s="22">
        <f>IFERROR(__xludf.DUMMYFUNCTION("""COMPUTED_VALUE"""),23.35)</f>
        <v>23.35</v>
      </c>
      <c r="H1142" s="25">
        <f>IFERROR(__xludf.DUMMYFUNCTION("""COMPUTED_VALUE"""),44916.63611111111)</f>
        <v>44916.63611</v>
      </c>
      <c r="I1142" s="22">
        <f>IFERROR(__xludf.DUMMYFUNCTION("""COMPUTED_VALUE"""),25.74)</f>
        <v>25.74</v>
      </c>
      <c r="J1142" s="25">
        <f>IFERROR(__xludf.DUMMYFUNCTION("""COMPUTED_VALUE"""),44916.63611111111)</f>
        <v>44916.63611</v>
      </c>
      <c r="K1142" s="22">
        <f>IFERROR(__xludf.DUMMYFUNCTION("""COMPUTED_VALUE"""),27.13)</f>
        <v>27.13</v>
      </c>
    </row>
    <row r="1143" ht="15.75" customHeight="1">
      <c r="A1143" s="25">
        <f>IFERROR(__xludf.DUMMYFUNCTION("""COMPUTED_VALUE"""),44917.66666666667)</f>
        <v>44917.66667</v>
      </c>
      <c r="B1143" s="22">
        <f>IFERROR(__xludf.DUMMYFUNCTION("""COMPUTED_VALUE"""),3822.39)</f>
        <v>3822.39</v>
      </c>
      <c r="C1143" s="25">
        <f>IFERROR(__xludf.DUMMYFUNCTION("""COMPUTED_VALUE"""),44917.63611111111)</f>
        <v>44917.63611</v>
      </c>
      <c r="D1143" s="22">
        <f>IFERROR(__xludf.DUMMYFUNCTION("""COMPUTED_VALUE"""),21.97)</f>
        <v>21.97</v>
      </c>
      <c r="F1143" s="25">
        <f>IFERROR(__xludf.DUMMYFUNCTION("""COMPUTED_VALUE"""),44917.63611111111)</f>
        <v>44917.63611</v>
      </c>
      <c r="G1143" s="22">
        <f>IFERROR(__xludf.DUMMYFUNCTION("""COMPUTED_VALUE"""),24.78)</f>
        <v>24.78</v>
      </c>
      <c r="H1143" s="25">
        <f>IFERROR(__xludf.DUMMYFUNCTION("""COMPUTED_VALUE"""),44917.63611111111)</f>
        <v>44917.63611</v>
      </c>
      <c r="I1143" s="22">
        <f>IFERROR(__xludf.DUMMYFUNCTION("""COMPUTED_VALUE"""),26.77)</f>
        <v>26.77</v>
      </c>
      <c r="J1143" s="25">
        <f>IFERROR(__xludf.DUMMYFUNCTION("""COMPUTED_VALUE"""),44917.63611111111)</f>
        <v>44917.63611</v>
      </c>
      <c r="K1143" s="22">
        <f>IFERROR(__xludf.DUMMYFUNCTION("""COMPUTED_VALUE"""),27.83)</f>
        <v>27.83</v>
      </c>
    </row>
    <row r="1144" ht="15.75" customHeight="1">
      <c r="A1144" s="25">
        <f>IFERROR(__xludf.DUMMYFUNCTION("""COMPUTED_VALUE"""),44918.66666666667)</f>
        <v>44918.66667</v>
      </c>
      <c r="B1144" s="22">
        <f>IFERROR(__xludf.DUMMYFUNCTION("""COMPUTED_VALUE"""),3844.82)</f>
        <v>3844.82</v>
      </c>
      <c r="C1144" s="25">
        <f>IFERROR(__xludf.DUMMYFUNCTION("""COMPUTED_VALUE"""),44918.63611111111)</f>
        <v>44918.63611</v>
      </c>
      <c r="D1144" s="22">
        <f>IFERROR(__xludf.DUMMYFUNCTION("""COMPUTED_VALUE"""),20.87)</f>
        <v>20.87</v>
      </c>
      <c r="F1144" s="25">
        <f>IFERROR(__xludf.DUMMYFUNCTION("""COMPUTED_VALUE"""),44918.63611111111)</f>
        <v>44918.63611</v>
      </c>
      <c r="G1144" s="22">
        <f>IFERROR(__xludf.DUMMYFUNCTION("""COMPUTED_VALUE"""),24.13)</f>
        <v>24.13</v>
      </c>
      <c r="H1144" s="25">
        <f>IFERROR(__xludf.DUMMYFUNCTION("""COMPUTED_VALUE"""),44918.63611111111)</f>
        <v>44918.63611</v>
      </c>
      <c r="I1144" s="22">
        <f>IFERROR(__xludf.DUMMYFUNCTION("""COMPUTED_VALUE"""),26.16)</f>
        <v>26.16</v>
      </c>
      <c r="J1144" s="25">
        <f>IFERROR(__xludf.DUMMYFUNCTION("""COMPUTED_VALUE"""),44918.63611111111)</f>
        <v>44918.63611</v>
      </c>
      <c r="K1144" s="22">
        <f>IFERROR(__xludf.DUMMYFUNCTION("""COMPUTED_VALUE"""),27.34)</f>
        <v>27.34</v>
      </c>
    </row>
    <row r="1145" ht="15.75" customHeight="1">
      <c r="A1145" s="25">
        <f>IFERROR(__xludf.DUMMYFUNCTION("""COMPUTED_VALUE"""),44922.66666666667)</f>
        <v>44922.66667</v>
      </c>
      <c r="B1145" s="22">
        <f>IFERROR(__xludf.DUMMYFUNCTION("""COMPUTED_VALUE"""),3829.25)</f>
        <v>3829.25</v>
      </c>
      <c r="C1145" s="25">
        <f>IFERROR(__xludf.DUMMYFUNCTION("""COMPUTED_VALUE"""),44922.63611111111)</f>
        <v>44922.63611</v>
      </c>
      <c r="D1145" s="22">
        <f>IFERROR(__xludf.DUMMYFUNCTION("""COMPUTED_VALUE"""),21.65)</f>
        <v>21.65</v>
      </c>
      <c r="F1145" s="25">
        <f>IFERROR(__xludf.DUMMYFUNCTION("""COMPUTED_VALUE"""),44922.63611111111)</f>
        <v>44922.63611</v>
      </c>
      <c r="G1145" s="22">
        <f>IFERROR(__xludf.DUMMYFUNCTION("""COMPUTED_VALUE"""),24.43)</f>
        <v>24.43</v>
      </c>
      <c r="H1145" s="25">
        <f>IFERROR(__xludf.DUMMYFUNCTION("""COMPUTED_VALUE"""),44922.63611111111)</f>
        <v>44922.63611</v>
      </c>
      <c r="I1145" s="22">
        <f>IFERROR(__xludf.DUMMYFUNCTION("""COMPUTED_VALUE"""),26.3)</f>
        <v>26.3</v>
      </c>
      <c r="J1145" s="25">
        <f>IFERROR(__xludf.DUMMYFUNCTION("""COMPUTED_VALUE"""),44922.63611111111)</f>
        <v>44922.63611</v>
      </c>
      <c r="K1145" s="22">
        <f>IFERROR(__xludf.DUMMYFUNCTION("""COMPUTED_VALUE"""),27.38)</f>
        <v>27.38</v>
      </c>
    </row>
    <row r="1146" ht="15.75" customHeight="1">
      <c r="A1146" s="25">
        <f>IFERROR(__xludf.DUMMYFUNCTION("""COMPUTED_VALUE"""),44923.66666666667)</f>
        <v>44923.66667</v>
      </c>
      <c r="B1146" s="22">
        <f>IFERROR(__xludf.DUMMYFUNCTION("""COMPUTED_VALUE"""),3783.22)</f>
        <v>3783.22</v>
      </c>
      <c r="C1146" s="25">
        <f>IFERROR(__xludf.DUMMYFUNCTION("""COMPUTED_VALUE"""),44923.63611111111)</f>
        <v>44923.63611</v>
      </c>
      <c r="D1146" s="22">
        <f>IFERROR(__xludf.DUMMYFUNCTION("""COMPUTED_VALUE"""),22.14)</f>
        <v>22.14</v>
      </c>
      <c r="F1146" s="25">
        <f>IFERROR(__xludf.DUMMYFUNCTION("""COMPUTED_VALUE"""),44923.63611111111)</f>
        <v>44923.63611</v>
      </c>
      <c r="G1146" s="22">
        <f>IFERROR(__xludf.DUMMYFUNCTION("""COMPUTED_VALUE"""),24.58)</f>
        <v>24.58</v>
      </c>
      <c r="H1146" s="25">
        <f>IFERROR(__xludf.DUMMYFUNCTION("""COMPUTED_VALUE"""),44923.63611111111)</f>
        <v>44923.63611</v>
      </c>
      <c r="I1146" s="22">
        <f>IFERROR(__xludf.DUMMYFUNCTION("""COMPUTED_VALUE"""),26.44)</f>
        <v>26.44</v>
      </c>
      <c r="J1146" s="25">
        <f>IFERROR(__xludf.DUMMYFUNCTION("""COMPUTED_VALUE"""),44923.63611111111)</f>
        <v>44923.63611</v>
      </c>
      <c r="K1146" s="22">
        <f>IFERROR(__xludf.DUMMYFUNCTION("""COMPUTED_VALUE"""),27.5)</f>
        <v>27.5</v>
      </c>
    </row>
    <row r="1147" ht="15.75" customHeight="1">
      <c r="A1147" s="25">
        <f>IFERROR(__xludf.DUMMYFUNCTION("""COMPUTED_VALUE"""),44924.66666666667)</f>
        <v>44924.66667</v>
      </c>
      <c r="B1147" s="22">
        <f>IFERROR(__xludf.DUMMYFUNCTION("""COMPUTED_VALUE"""),3849.28)</f>
        <v>3849.28</v>
      </c>
      <c r="C1147" s="25">
        <f>IFERROR(__xludf.DUMMYFUNCTION("""COMPUTED_VALUE"""),44924.63611111111)</f>
        <v>44924.63611</v>
      </c>
      <c r="D1147" s="22">
        <f>IFERROR(__xludf.DUMMYFUNCTION("""COMPUTED_VALUE"""),21.44)</f>
        <v>21.44</v>
      </c>
      <c r="F1147" s="25">
        <f>IFERROR(__xludf.DUMMYFUNCTION("""COMPUTED_VALUE"""),44924.63611111111)</f>
        <v>44924.63611</v>
      </c>
      <c r="G1147" s="22">
        <f>IFERROR(__xludf.DUMMYFUNCTION("""COMPUTED_VALUE"""),23.95)</f>
        <v>23.95</v>
      </c>
      <c r="H1147" s="25">
        <f>IFERROR(__xludf.DUMMYFUNCTION("""COMPUTED_VALUE"""),44924.63611111111)</f>
        <v>44924.63611</v>
      </c>
      <c r="I1147" s="22">
        <f>IFERROR(__xludf.DUMMYFUNCTION("""COMPUTED_VALUE"""),25.99)</f>
        <v>25.99</v>
      </c>
      <c r="J1147" s="25">
        <f>IFERROR(__xludf.DUMMYFUNCTION("""COMPUTED_VALUE"""),44924.63611111111)</f>
        <v>44924.63611</v>
      </c>
      <c r="K1147" s="22">
        <f>IFERROR(__xludf.DUMMYFUNCTION("""COMPUTED_VALUE"""),27.02)</f>
        <v>27.02</v>
      </c>
    </row>
    <row r="1148" ht="15.75" customHeight="1">
      <c r="A1148" s="25">
        <f>IFERROR(__xludf.DUMMYFUNCTION("""COMPUTED_VALUE"""),44925.66666666667)</f>
        <v>44925.66667</v>
      </c>
      <c r="B1148" s="22">
        <f>IFERROR(__xludf.DUMMYFUNCTION("""COMPUTED_VALUE"""),3839.5)</f>
        <v>3839.5</v>
      </c>
      <c r="C1148" s="25">
        <f>IFERROR(__xludf.DUMMYFUNCTION("""COMPUTED_VALUE"""),44925.63611111111)</f>
        <v>44925.63611</v>
      </c>
      <c r="D1148" s="22">
        <f>IFERROR(__xludf.DUMMYFUNCTION("""COMPUTED_VALUE"""),21.67)</f>
        <v>21.67</v>
      </c>
      <c r="F1148" s="25">
        <f>IFERROR(__xludf.DUMMYFUNCTION("""COMPUTED_VALUE"""),44925.63611111111)</f>
        <v>44925.63611</v>
      </c>
      <c r="G1148" s="22">
        <f>IFERROR(__xludf.DUMMYFUNCTION("""COMPUTED_VALUE"""),24.29)</f>
        <v>24.29</v>
      </c>
      <c r="H1148" s="25">
        <f>IFERROR(__xludf.DUMMYFUNCTION("""COMPUTED_VALUE"""),44925.63611111111)</f>
        <v>44925.63611</v>
      </c>
      <c r="I1148" s="22">
        <f>IFERROR(__xludf.DUMMYFUNCTION("""COMPUTED_VALUE"""),26.2)</f>
        <v>26.2</v>
      </c>
      <c r="J1148" s="25">
        <f>IFERROR(__xludf.DUMMYFUNCTION("""COMPUTED_VALUE"""),44925.63611111111)</f>
        <v>44925.63611</v>
      </c>
      <c r="K1148" s="22">
        <f>IFERROR(__xludf.DUMMYFUNCTION("""COMPUTED_VALUE"""),27.3)</f>
        <v>27.3</v>
      </c>
    </row>
    <row r="1149" ht="15.75" customHeight="1">
      <c r="A1149" s="25">
        <f>IFERROR(__xludf.DUMMYFUNCTION("""COMPUTED_VALUE"""),44929.66666666667)</f>
        <v>44929.66667</v>
      </c>
      <c r="B1149" s="22">
        <f>IFERROR(__xludf.DUMMYFUNCTION("""COMPUTED_VALUE"""),3824.14)</f>
        <v>3824.14</v>
      </c>
      <c r="C1149" s="25">
        <f>IFERROR(__xludf.DUMMYFUNCTION("""COMPUTED_VALUE"""),44929.63611111111)</f>
        <v>44929.63611</v>
      </c>
      <c r="D1149" s="22">
        <f>IFERROR(__xludf.DUMMYFUNCTION("""COMPUTED_VALUE"""),22.9)</f>
        <v>22.9</v>
      </c>
      <c r="F1149" s="25">
        <f>IFERROR(__xludf.DUMMYFUNCTION("""COMPUTED_VALUE"""),44929.63611111111)</f>
        <v>44929.63611</v>
      </c>
      <c r="G1149" s="22">
        <f>IFERROR(__xludf.DUMMYFUNCTION("""COMPUTED_VALUE"""),24.58)</f>
        <v>24.58</v>
      </c>
      <c r="H1149" s="25">
        <f>IFERROR(__xludf.DUMMYFUNCTION("""COMPUTED_VALUE"""),44929.63611111111)</f>
        <v>44929.63611</v>
      </c>
      <c r="I1149" s="22">
        <f>IFERROR(__xludf.DUMMYFUNCTION("""COMPUTED_VALUE"""),26.24)</f>
        <v>26.24</v>
      </c>
      <c r="J1149" s="25">
        <f>IFERROR(__xludf.DUMMYFUNCTION("""COMPUTED_VALUE"""),44929.63611111111)</f>
        <v>44929.63611</v>
      </c>
      <c r="K1149" s="22">
        <f>IFERROR(__xludf.DUMMYFUNCTION("""COMPUTED_VALUE"""),27.53)</f>
        <v>27.53</v>
      </c>
    </row>
    <row r="1150" ht="15.75" customHeight="1">
      <c r="A1150" s="25">
        <f>IFERROR(__xludf.DUMMYFUNCTION("""COMPUTED_VALUE"""),44930.66666666667)</f>
        <v>44930.66667</v>
      </c>
      <c r="B1150" s="22">
        <f>IFERROR(__xludf.DUMMYFUNCTION("""COMPUTED_VALUE"""),3852.97)</f>
        <v>3852.97</v>
      </c>
      <c r="C1150" s="25">
        <f>IFERROR(__xludf.DUMMYFUNCTION("""COMPUTED_VALUE"""),44930.63611111111)</f>
        <v>44930.63611</v>
      </c>
      <c r="D1150" s="22">
        <f>IFERROR(__xludf.DUMMYFUNCTION("""COMPUTED_VALUE"""),22.01)</f>
        <v>22.01</v>
      </c>
      <c r="F1150" s="25">
        <f>IFERROR(__xludf.DUMMYFUNCTION("""COMPUTED_VALUE"""),44930.63611111111)</f>
        <v>44930.63611</v>
      </c>
      <c r="G1150" s="22">
        <f>IFERROR(__xludf.DUMMYFUNCTION("""COMPUTED_VALUE"""),23.81)</f>
        <v>23.81</v>
      </c>
      <c r="H1150" s="25">
        <f>IFERROR(__xludf.DUMMYFUNCTION("""COMPUTED_VALUE"""),44930.63611111111)</f>
        <v>44930.63611</v>
      </c>
      <c r="I1150" s="22">
        <f>IFERROR(__xludf.DUMMYFUNCTION("""COMPUTED_VALUE"""),25.55)</f>
        <v>25.55</v>
      </c>
      <c r="J1150" s="25">
        <f>IFERROR(__xludf.DUMMYFUNCTION("""COMPUTED_VALUE"""),44930.63611111111)</f>
        <v>44930.63611</v>
      </c>
      <c r="K1150" s="22">
        <f>IFERROR(__xludf.DUMMYFUNCTION("""COMPUTED_VALUE"""),26.82)</f>
        <v>26.82</v>
      </c>
    </row>
    <row r="1151" ht="15.75" customHeight="1">
      <c r="A1151" s="25">
        <f>IFERROR(__xludf.DUMMYFUNCTION("""COMPUTED_VALUE"""),44931.66666666667)</f>
        <v>44931.66667</v>
      </c>
      <c r="B1151" s="22">
        <f>IFERROR(__xludf.DUMMYFUNCTION("""COMPUTED_VALUE"""),3808.1)</f>
        <v>3808.1</v>
      </c>
      <c r="C1151" s="25">
        <f>IFERROR(__xludf.DUMMYFUNCTION("""COMPUTED_VALUE"""),44931.63611111111)</f>
        <v>44931.63611</v>
      </c>
      <c r="D1151" s="22">
        <f>IFERROR(__xludf.DUMMYFUNCTION("""COMPUTED_VALUE"""),22.46)</f>
        <v>22.46</v>
      </c>
      <c r="F1151" s="25">
        <f>IFERROR(__xludf.DUMMYFUNCTION("""COMPUTED_VALUE"""),44931.63611111111)</f>
        <v>44931.63611</v>
      </c>
      <c r="G1151" s="22">
        <f>IFERROR(__xludf.DUMMYFUNCTION("""COMPUTED_VALUE"""),24.07)</f>
        <v>24.07</v>
      </c>
      <c r="H1151" s="25">
        <f>IFERROR(__xludf.DUMMYFUNCTION("""COMPUTED_VALUE"""),44931.63611111111)</f>
        <v>44931.63611</v>
      </c>
      <c r="I1151" s="22">
        <f>IFERROR(__xludf.DUMMYFUNCTION("""COMPUTED_VALUE"""),25.65)</f>
        <v>25.65</v>
      </c>
      <c r="J1151" s="25">
        <f>IFERROR(__xludf.DUMMYFUNCTION("""COMPUTED_VALUE"""),44931.63611111111)</f>
        <v>44931.63611</v>
      </c>
      <c r="K1151" s="22">
        <f>IFERROR(__xludf.DUMMYFUNCTION("""COMPUTED_VALUE"""),26.87)</f>
        <v>26.87</v>
      </c>
    </row>
    <row r="1152" ht="15.75" customHeight="1">
      <c r="A1152" s="25">
        <f>IFERROR(__xludf.DUMMYFUNCTION("""COMPUTED_VALUE"""),44932.66666666667)</f>
        <v>44932.66667</v>
      </c>
      <c r="B1152" s="22">
        <f>IFERROR(__xludf.DUMMYFUNCTION("""COMPUTED_VALUE"""),3895.08)</f>
        <v>3895.08</v>
      </c>
      <c r="C1152" s="25">
        <f>IFERROR(__xludf.DUMMYFUNCTION("""COMPUTED_VALUE"""),44932.63611111111)</f>
        <v>44932.63611</v>
      </c>
      <c r="D1152" s="22">
        <f>IFERROR(__xludf.DUMMYFUNCTION("""COMPUTED_VALUE"""),21.13)</f>
        <v>21.13</v>
      </c>
      <c r="F1152" s="25">
        <f>IFERROR(__xludf.DUMMYFUNCTION("""COMPUTED_VALUE"""),44932.63611111111)</f>
        <v>44932.63611</v>
      </c>
      <c r="G1152" s="22">
        <f>IFERROR(__xludf.DUMMYFUNCTION("""COMPUTED_VALUE"""),23.18)</f>
        <v>23.18</v>
      </c>
      <c r="H1152" s="25">
        <f>IFERROR(__xludf.DUMMYFUNCTION("""COMPUTED_VALUE"""),44932.63611111111)</f>
        <v>44932.63611</v>
      </c>
      <c r="I1152" s="22">
        <f>IFERROR(__xludf.DUMMYFUNCTION("""COMPUTED_VALUE"""),24.77)</f>
        <v>24.77</v>
      </c>
      <c r="J1152" s="25">
        <f>IFERROR(__xludf.DUMMYFUNCTION("""COMPUTED_VALUE"""),44932.63611111111)</f>
        <v>44932.63611</v>
      </c>
      <c r="K1152" s="22">
        <f>IFERROR(__xludf.DUMMYFUNCTION("""COMPUTED_VALUE"""),26.16)</f>
        <v>26.16</v>
      </c>
    </row>
    <row r="1153" ht="15.75" customHeight="1">
      <c r="A1153" s="25">
        <f>IFERROR(__xludf.DUMMYFUNCTION("""COMPUTED_VALUE"""),44935.66666666667)</f>
        <v>44935.66667</v>
      </c>
      <c r="B1153" s="22">
        <f>IFERROR(__xludf.DUMMYFUNCTION("""COMPUTED_VALUE"""),3892.09)</f>
        <v>3892.09</v>
      </c>
      <c r="C1153" s="25">
        <f>IFERROR(__xludf.DUMMYFUNCTION("""COMPUTED_VALUE"""),44935.63611111111)</f>
        <v>44935.63611</v>
      </c>
      <c r="D1153" s="22">
        <f>IFERROR(__xludf.DUMMYFUNCTION("""COMPUTED_VALUE"""),21.97)</f>
        <v>21.97</v>
      </c>
      <c r="F1153" s="25">
        <f>IFERROR(__xludf.DUMMYFUNCTION("""COMPUTED_VALUE"""),44935.63611111111)</f>
        <v>44935.63611</v>
      </c>
      <c r="G1153" s="22">
        <f>IFERROR(__xludf.DUMMYFUNCTION("""COMPUTED_VALUE"""),23.74)</f>
        <v>23.74</v>
      </c>
      <c r="H1153" s="25">
        <f>IFERROR(__xludf.DUMMYFUNCTION("""COMPUTED_VALUE"""),44935.63611111111)</f>
        <v>44935.63611</v>
      </c>
      <c r="I1153" s="22">
        <f>IFERROR(__xludf.DUMMYFUNCTION("""COMPUTED_VALUE"""),25.12)</f>
        <v>25.12</v>
      </c>
      <c r="J1153" s="25">
        <f>IFERROR(__xludf.DUMMYFUNCTION("""COMPUTED_VALUE"""),44935.63611111111)</f>
        <v>44935.63611</v>
      </c>
      <c r="K1153" s="22">
        <f>IFERROR(__xludf.DUMMYFUNCTION("""COMPUTED_VALUE"""),26.46)</f>
        <v>26.46</v>
      </c>
    </row>
    <row r="1154" ht="15.75" customHeight="1">
      <c r="A1154" s="25">
        <f>IFERROR(__xludf.DUMMYFUNCTION("""COMPUTED_VALUE"""),44936.66666666667)</f>
        <v>44936.66667</v>
      </c>
      <c r="B1154" s="22">
        <f>IFERROR(__xludf.DUMMYFUNCTION("""COMPUTED_VALUE"""),3919.25)</f>
        <v>3919.25</v>
      </c>
      <c r="C1154" s="25">
        <f>IFERROR(__xludf.DUMMYFUNCTION("""COMPUTED_VALUE"""),44936.63611111111)</f>
        <v>44936.63611</v>
      </c>
      <c r="D1154" s="22">
        <f>IFERROR(__xludf.DUMMYFUNCTION("""COMPUTED_VALUE"""),20.58)</f>
        <v>20.58</v>
      </c>
      <c r="F1154" s="25">
        <f>IFERROR(__xludf.DUMMYFUNCTION("""COMPUTED_VALUE"""),44936.63611111111)</f>
        <v>44936.63611</v>
      </c>
      <c r="G1154" s="22">
        <f>IFERROR(__xludf.DUMMYFUNCTION("""COMPUTED_VALUE"""),22.74)</f>
        <v>22.74</v>
      </c>
      <c r="H1154" s="25">
        <f>IFERROR(__xludf.DUMMYFUNCTION("""COMPUTED_VALUE"""),44936.63611111111)</f>
        <v>44936.63611</v>
      </c>
      <c r="I1154" s="22">
        <f>IFERROR(__xludf.DUMMYFUNCTION("""COMPUTED_VALUE"""),24.23)</f>
        <v>24.23</v>
      </c>
      <c r="J1154" s="25">
        <f>IFERROR(__xludf.DUMMYFUNCTION("""COMPUTED_VALUE"""),44936.63611111111)</f>
        <v>44936.63611</v>
      </c>
      <c r="K1154" s="22">
        <f>IFERROR(__xludf.DUMMYFUNCTION("""COMPUTED_VALUE"""),25.56)</f>
        <v>25.56</v>
      </c>
    </row>
    <row r="1155" ht="15.75" customHeight="1">
      <c r="A1155" s="25">
        <f>IFERROR(__xludf.DUMMYFUNCTION("""COMPUTED_VALUE"""),44937.66666666667)</f>
        <v>44937.66667</v>
      </c>
      <c r="B1155" s="22">
        <f>IFERROR(__xludf.DUMMYFUNCTION("""COMPUTED_VALUE"""),3969.61)</f>
        <v>3969.61</v>
      </c>
      <c r="C1155" s="25">
        <f>IFERROR(__xludf.DUMMYFUNCTION("""COMPUTED_VALUE"""),44937.63611111111)</f>
        <v>44937.63611</v>
      </c>
      <c r="D1155" s="22">
        <f>IFERROR(__xludf.DUMMYFUNCTION("""COMPUTED_VALUE"""),21.09)</f>
        <v>21.09</v>
      </c>
      <c r="F1155" s="25">
        <f>IFERROR(__xludf.DUMMYFUNCTION("""COMPUTED_VALUE"""),44937.63611111111)</f>
        <v>44937.63611</v>
      </c>
      <c r="G1155" s="22">
        <f>IFERROR(__xludf.DUMMYFUNCTION("""COMPUTED_VALUE"""),22.74)</f>
        <v>22.74</v>
      </c>
      <c r="H1155" s="25">
        <f>IFERROR(__xludf.DUMMYFUNCTION("""COMPUTED_VALUE"""),44937.63611111111)</f>
        <v>44937.63611</v>
      </c>
      <c r="I1155" s="22">
        <f>IFERROR(__xludf.DUMMYFUNCTION("""COMPUTED_VALUE"""),24.19)</f>
        <v>24.19</v>
      </c>
      <c r="J1155" s="25">
        <f>IFERROR(__xludf.DUMMYFUNCTION("""COMPUTED_VALUE"""),44937.63611111111)</f>
        <v>44937.63611</v>
      </c>
      <c r="K1155" s="22">
        <f>IFERROR(__xludf.DUMMYFUNCTION("""COMPUTED_VALUE"""),25.42)</f>
        <v>25.42</v>
      </c>
    </row>
    <row r="1156" ht="15.75" customHeight="1">
      <c r="A1156" s="25">
        <f>IFERROR(__xludf.DUMMYFUNCTION("""COMPUTED_VALUE"""),44938.66666666667)</f>
        <v>44938.66667</v>
      </c>
      <c r="B1156" s="22">
        <f>IFERROR(__xludf.DUMMYFUNCTION("""COMPUTED_VALUE"""),3983.17)</f>
        <v>3983.17</v>
      </c>
      <c r="C1156" s="25">
        <f>IFERROR(__xludf.DUMMYFUNCTION("""COMPUTED_VALUE"""),44938.63611111111)</f>
        <v>44938.63611</v>
      </c>
      <c r="D1156" s="22">
        <f>IFERROR(__xludf.DUMMYFUNCTION("""COMPUTED_VALUE"""),18.83)</f>
        <v>18.83</v>
      </c>
      <c r="F1156" s="25">
        <f>IFERROR(__xludf.DUMMYFUNCTION("""COMPUTED_VALUE"""),44938.63611111111)</f>
        <v>44938.63611</v>
      </c>
      <c r="G1156" s="22">
        <f>IFERROR(__xludf.DUMMYFUNCTION("""COMPUTED_VALUE"""),21.58)</f>
        <v>21.58</v>
      </c>
      <c r="H1156" s="25">
        <f>IFERROR(__xludf.DUMMYFUNCTION("""COMPUTED_VALUE"""),44938.63611111111)</f>
        <v>44938.63611</v>
      </c>
      <c r="I1156" s="22">
        <f>IFERROR(__xludf.DUMMYFUNCTION("""COMPUTED_VALUE"""),23.49)</f>
        <v>23.49</v>
      </c>
      <c r="J1156" s="25">
        <f>IFERROR(__xludf.DUMMYFUNCTION("""COMPUTED_VALUE"""),44938.63611111111)</f>
        <v>44938.63611</v>
      </c>
      <c r="K1156" s="22">
        <f>IFERROR(__xludf.DUMMYFUNCTION("""COMPUTED_VALUE"""),25.04)</f>
        <v>25.04</v>
      </c>
    </row>
    <row r="1157" ht="15.75" customHeight="1">
      <c r="A1157" s="25">
        <f>IFERROR(__xludf.DUMMYFUNCTION("""COMPUTED_VALUE"""),44939.66666666667)</f>
        <v>44939.66667</v>
      </c>
      <c r="B1157" s="22">
        <f>IFERROR(__xludf.DUMMYFUNCTION("""COMPUTED_VALUE"""),3999.09)</f>
        <v>3999.09</v>
      </c>
      <c r="C1157" s="25">
        <f>IFERROR(__xludf.DUMMYFUNCTION("""COMPUTED_VALUE"""),44939.63611111111)</f>
        <v>44939.63611</v>
      </c>
      <c r="D1157" s="22">
        <f>IFERROR(__xludf.DUMMYFUNCTION("""COMPUTED_VALUE"""),18.35)</f>
        <v>18.35</v>
      </c>
      <c r="F1157" s="25">
        <f>IFERROR(__xludf.DUMMYFUNCTION("""COMPUTED_VALUE"""),44939.63611111111)</f>
        <v>44939.63611</v>
      </c>
      <c r="G1157" s="22">
        <f>IFERROR(__xludf.DUMMYFUNCTION("""COMPUTED_VALUE"""),21.14)</f>
        <v>21.14</v>
      </c>
      <c r="H1157" s="25">
        <f>IFERROR(__xludf.DUMMYFUNCTION("""COMPUTED_VALUE"""),44939.63611111111)</f>
        <v>44939.63611</v>
      </c>
      <c r="I1157" s="22">
        <f>IFERROR(__xludf.DUMMYFUNCTION("""COMPUTED_VALUE"""),23.02)</f>
        <v>23.02</v>
      </c>
      <c r="J1157" s="25">
        <f>IFERROR(__xludf.DUMMYFUNCTION("""COMPUTED_VALUE"""),44939.63611111111)</f>
        <v>44939.63611</v>
      </c>
      <c r="K1157" s="22">
        <f>IFERROR(__xludf.DUMMYFUNCTION("""COMPUTED_VALUE"""),24.41)</f>
        <v>24.41</v>
      </c>
    </row>
    <row r="1158" ht="15.75" customHeight="1">
      <c r="A1158" s="25">
        <f>IFERROR(__xludf.DUMMYFUNCTION("""COMPUTED_VALUE"""),44943.66666666667)</f>
        <v>44943.66667</v>
      </c>
      <c r="B1158" s="22">
        <f>IFERROR(__xludf.DUMMYFUNCTION("""COMPUTED_VALUE"""),3990.97)</f>
        <v>3990.97</v>
      </c>
      <c r="C1158" s="25">
        <f>IFERROR(__xludf.DUMMYFUNCTION("""COMPUTED_VALUE"""),44943.63611111111)</f>
        <v>44943.63611</v>
      </c>
      <c r="D1158" s="22">
        <f>IFERROR(__xludf.DUMMYFUNCTION("""COMPUTED_VALUE"""),19.36)</f>
        <v>19.36</v>
      </c>
      <c r="F1158" s="25">
        <f>IFERROR(__xludf.DUMMYFUNCTION("""COMPUTED_VALUE"""),44943.63611111111)</f>
        <v>44943.63611</v>
      </c>
      <c r="G1158" s="22">
        <f>IFERROR(__xludf.DUMMYFUNCTION("""COMPUTED_VALUE"""),21.45)</f>
        <v>21.45</v>
      </c>
      <c r="H1158" s="25">
        <f>IFERROR(__xludf.DUMMYFUNCTION("""COMPUTED_VALUE"""),44943.63611111111)</f>
        <v>44943.63611</v>
      </c>
      <c r="I1158" s="22">
        <f>IFERROR(__xludf.DUMMYFUNCTION("""COMPUTED_VALUE"""),23.36)</f>
        <v>23.36</v>
      </c>
      <c r="J1158" s="25">
        <f>IFERROR(__xludf.DUMMYFUNCTION("""COMPUTED_VALUE"""),44943.63611111111)</f>
        <v>44943.63611</v>
      </c>
      <c r="K1158" s="22">
        <f>IFERROR(__xludf.DUMMYFUNCTION("""COMPUTED_VALUE"""),24.81)</f>
        <v>24.81</v>
      </c>
    </row>
    <row r="1159" ht="15.75" customHeight="1">
      <c r="A1159" s="25">
        <f>IFERROR(__xludf.DUMMYFUNCTION("""COMPUTED_VALUE"""),44944.66666666667)</f>
        <v>44944.66667</v>
      </c>
      <c r="B1159" s="22">
        <f>IFERROR(__xludf.DUMMYFUNCTION("""COMPUTED_VALUE"""),3928.86)</f>
        <v>3928.86</v>
      </c>
      <c r="C1159" s="25">
        <f>IFERROR(__xludf.DUMMYFUNCTION("""COMPUTED_VALUE"""),44944.63611111111)</f>
        <v>44944.63611</v>
      </c>
      <c r="D1159" s="22">
        <f>IFERROR(__xludf.DUMMYFUNCTION("""COMPUTED_VALUE"""),20.34)</f>
        <v>20.34</v>
      </c>
      <c r="F1159" s="25">
        <f>IFERROR(__xludf.DUMMYFUNCTION("""COMPUTED_VALUE"""),44944.63611111111)</f>
        <v>44944.63611</v>
      </c>
      <c r="G1159" s="22">
        <f>IFERROR(__xludf.DUMMYFUNCTION("""COMPUTED_VALUE"""),22.27)</f>
        <v>22.27</v>
      </c>
      <c r="H1159" s="25">
        <f>IFERROR(__xludf.DUMMYFUNCTION("""COMPUTED_VALUE"""),44944.63611111111)</f>
        <v>44944.63611</v>
      </c>
      <c r="I1159" s="22">
        <f>IFERROR(__xludf.DUMMYFUNCTION("""COMPUTED_VALUE"""),24.0)</f>
        <v>24</v>
      </c>
      <c r="J1159" s="25">
        <f>IFERROR(__xludf.DUMMYFUNCTION("""COMPUTED_VALUE"""),44944.63611111111)</f>
        <v>44944.63611</v>
      </c>
      <c r="K1159" s="22">
        <f>IFERROR(__xludf.DUMMYFUNCTION("""COMPUTED_VALUE"""),25.39)</f>
        <v>25.39</v>
      </c>
    </row>
    <row r="1160" ht="15.75" customHeight="1">
      <c r="A1160" s="25">
        <f>IFERROR(__xludf.DUMMYFUNCTION("""COMPUTED_VALUE"""),44945.66666666667)</f>
        <v>44945.66667</v>
      </c>
      <c r="B1160" s="22">
        <f>IFERROR(__xludf.DUMMYFUNCTION("""COMPUTED_VALUE"""),3898.85)</f>
        <v>3898.85</v>
      </c>
      <c r="C1160" s="25">
        <f>IFERROR(__xludf.DUMMYFUNCTION("""COMPUTED_VALUE"""),44945.63611111111)</f>
        <v>44945.63611</v>
      </c>
      <c r="D1160" s="22">
        <f>IFERROR(__xludf.DUMMYFUNCTION("""COMPUTED_VALUE"""),20.52)</f>
        <v>20.52</v>
      </c>
      <c r="F1160" s="25">
        <f>IFERROR(__xludf.DUMMYFUNCTION("""COMPUTED_VALUE"""),44945.63611111111)</f>
        <v>44945.63611</v>
      </c>
      <c r="G1160" s="22">
        <f>IFERROR(__xludf.DUMMYFUNCTION("""COMPUTED_VALUE"""),22.45)</f>
        <v>22.45</v>
      </c>
      <c r="H1160" s="25">
        <f>IFERROR(__xludf.DUMMYFUNCTION("""COMPUTED_VALUE"""),44945.63611111111)</f>
        <v>44945.63611</v>
      </c>
      <c r="I1160" s="22">
        <f>IFERROR(__xludf.DUMMYFUNCTION("""COMPUTED_VALUE"""),24.07)</f>
        <v>24.07</v>
      </c>
      <c r="J1160" s="25">
        <f>IFERROR(__xludf.DUMMYFUNCTION("""COMPUTED_VALUE"""),44945.63611111111)</f>
        <v>44945.63611</v>
      </c>
      <c r="K1160" s="22">
        <f>IFERROR(__xludf.DUMMYFUNCTION("""COMPUTED_VALUE"""),25.3)</f>
        <v>25.3</v>
      </c>
    </row>
    <row r="1161" ht="15.75" customHeight="1">
      <c r="A1161" s="25">
        <f>IFERROR(__xludf.DUMMYFUNCTION("""COMPUTED_VALUE"""),44946.66666666667)</f>
        <v>44946.66667</v>
      </c>
      <c r="B1161" s="22">
        <f>IFERROR(__xludf.DUMMYFUNCTION("""COMPUTED_VALUE"""),3972.61)</f>
        <v>3972.61</v>
      </c>
      <c r="C1161" s="25">
        <f>IFERROR(__xludf.DUMMYFUNCTION("""COMPUTED_VALUE"""),44946.63611111111)</f>
        <v>44946.63611</v>
      </c>
      <c r="D1161" s="22">
        <f>IFERROR(__xludf.DUMMYFUNCTION("""COMPUTED_VALUE"""),19.85)</f>
        <v>19.85</v>
      </c>
      <c r="F1161" s="25">
        <f>IFERROR(__xludf.DUMMYFUNCTION("""COMPUTED_VALUE"""),44946.63611111111)</f>
        <v>44946.63611</v>
      </c>
      <c r="G1161" s="22">
        <f>IFERROR(__xludf.DUMMYFUNCTION("""COMPUTED_VALUE"""),21.72)</f>
        <v>21.72</v>
      </c>
      <c r="H1161" s="25">
        <f>IFERROR(__xludf.DUMMYFUNCTION("""COMPUTED_VALUE"""),44946.63611111111)</f>
        <v>44946.63611</v>
      </c>
      <c r="I1161" s="22">
        <f>IFERROR(__xludf.DUMMYFUNCTION("""COMPUTED_VALUE"""),23.39)</f>
        <v>23.39</v>
      </c>
      <c r="J1161" s="25">
        <f>IFERROR(__xludf.DUMMYFUNCTION("""COMPUTED_VALUE"""),44946.63611111111)</f>
        <v>44946.63611</v>
      </c>
      <c r="K1161" s="22">
        <f>IFERROR(__xludf.DUMMYFUNCTION("""COMPUTED_VALUE"""),24.71)</f>
        <v>24.71</v>
      </c>
    </row>
    <row r="1162" ht="15.75" customHeight="1">
      <c r="A1162" s="25">
        <f>IFERROR(__xludf.DUMMYFUNCTION("""COMPUTED_VALUE"""),44949.66666666667)</f>
        <v>44949.66667</v>
      </c>
      <c r="B1162" s="22">
        <f>IFERROR(__xludf.DUMMYFUNCTION("""COMPUTED_VALUE"""),4019.81)</f>
        <v>4019.81</v>
      </c>
      <c r="C1162" s="25">
        <f>IFERROR(__xludf.DUMMYFUNCTION("""COMPUTED_VALUE"""),44949.63611111111)</f>
        <v>44949.63611</v>
      </c>
      <c r="D1162" s="22">
        <f>IFERROR(__xludf.DUMMYFUNCTION("""COMPUTED_VALUE"""),19.81)</f>
        <v>19.81</v>
      </c>
      <c r="F1162" s="25">
        <f>IFERROR(__xludf.DUMMYFUNCTION("""COMPUTED_VALUE"""),44949.63611111111)</f>
        <v>44949.63611</v>
      </c>
      <c r="G1162" s="22">
        <f>IFERROR(__xludf.DUMMYFUNCTION("""COMPUTED_VALUE"""),21.6)</f>
        <v>21.6</v>
      </c>
      <c r="H1162" s="25">
        <f>IFERROR(__xludf.DUMMYFUNCTION("""COMPUTED_VALUE"""),44949.63611111111)</f>
        <v>44949.63611</v>
      </c>
      <c r="I1162" s="22">
        <f>IFERROR(__xludf.DUMMYFUNCTION("""COMPUTED_VALUE"""),23.14)</f>
        <v>23.14</v>
      </c>
      <c r="J1162" s="25">
        <f>IFERROR(__xludf.DUMMYFUNCTION("""COMPUTED_VALUE"""),44949.63611111111)</f>
        <v>44949.63611</v>
      </c>
      <c r="K1162" s="22">
        <f>IFERROR(__xludf.DUMMYFUNCTION("""COMPUTED_VALUE"""),24.34)</f>
        <v>24.34</v>
      </c>
    </row>
    <row r="1163" ht="15.75" customHeight="1">
      <c r="A1163" s="25">
        <f>IFERROR(__xludf.DUMMYFUNCTION("""COMPUTED_VALUE"""),44950.66666666667)</f>
        <v>44950.66667</v>
      </c>
      <c r="B1163" s="22">
        <f>IFERROR(__xludf.DUMMYFUNCTION("""COMPUTED_VALUE"""),4016.95)</f>
        <v>4016.95</v>
      </c>
      <c r="C1163" s="25">
        <f>IFERROR(__xludf.DUMMYFUNCTION("""COMPUTED_VALUE"""),44950.63611111111)</f>
        <v>44950.63611</v>
      </c>
      <c r="D1163" s="22">
        <f>IFERROR(__xludf.DUMMYFUNCTION("""COMPUTED_VALUE"""),19.2)</f>
        <v>19.2</v>
      </c>
      <c r="F1163" s="25">
        <f>IFERROR(__xludf.DUMMYFUNCTION("""COMPUTED_VALUE"""),44950.63611111111)</f>
        <v>44950.63611</v>
      </c>
      <c r="G1163" s="22">
        <f>IFERROR(__xludf.DUMMYFUNCTION("""COMPUTED_VALUE"""),20.91)</f>
        <v>20.91</v>
      </c>
      <c r="H1163" s="25">
        <f>IFERROR(__xludf.DUMMYFUNCTION("""COMPUTED_VALUE"""),44950.63611111111)</f>
        <v>44950.63611</v>
      </c>
      <c r="I1163" s="22">
        <f>IFERROR(__xludf.DUMMYFUNCTION("""COMPUTED_VALUE"""),22.59)</f>
        <v>22.59</v>
      </c>
      <c r="J1163" s="25">
        <f>IFERROR(__xludf.DUMMYFUNCTION("""COMPUTED_VALUE"""),44950.63611111111)</f>
        <v>44950.63611</v>
      </c>
      <c r="K1163" s="22">
        <f>IFERROR(__xludf.DUMMYFUNCTION("""COMPUTED_VALUE"""),23.8)</f>
        <v>23.8</v>
      </c>
    </row>
    <row r="1164" ht="15.75" customHeight="1">
      <c r="A1164" s="25">
        <f>IFERROR(__xludf.DUMMYFUNCTION("""COMPUTED_VALUE"""),44951.66666666667)</f>
        <v>44951.66667</v>
      </c>
      <c r="B1164" s="22">
        <f>IFERROR(__xludf.DUMMYFUNCTION("""COMPUTED_VALUE"""),4016.22)</f>
        <v>4016.22</v>
      </c>
      <c r="C1164" s="25">
        <f>IFERROR(__xludf.DUMMYFUNCTION("""COMPUTED_VALUE"""),44951.63611111111)</f>
        <v>44951.63611</v>
      </c>
      <c r="D1164" s="22">
        <f>IFERROR(__xludf.DUMMYFUNCTION("""COMPUTED_VALUE"""),19.08)</f>
        <v>19.08</v>
      </c>
      <c r="F1164" s="25">
        <f>IFERROR(__xludf.DUMMYFUNCTION("""COMPUTED_VALUE"""),44951.63611111111)</f>
        <v>44951.63611</v>
      </c>
      <c r="G1164" s="22">
        <f>IFERROR(__xludf.DUMMYFUNCTION("""COMPUTED_VALUE"""),20.94)</f>
        <v>20.94</v>
      </c>
      <c r="H1164" s="25">
        <f>IFERROR(__xludf.DUMMYFUNCTION("""COMPUTED_VALUE"""),44951.63611111111)</f>
        <v>44951.63611</v>
      </c>
      <c r="I1164" s="22">
        <f>IFERROR(__xludf.DUMMYFUNCTION("""COMPUTED_VALUE"""),22.52)</f>
        <v>22.52</v>
      </c>
      <c r="J1164" s="25">
        <f>IFERROR(__xludf.DUMMYFUNCTION("""COMPUTED_VALUE"""),44951.63611111111)</f>
        <v>44951.63611</v>
      </c>
      <c r="K1164" s="22">
        <f>IFERROR(__xludf.DUMMYFUNCTION("""COMPUTED_VALUE"""),23.94)</f>
        <v>23.94</v>
      </c>
    </row>
    <row r="1165" ht="15.75" customHeight="1">
      <c r="A1165" s="25">
        <f>IFERROR(__xludf.DUMMYFUNCTION("""COMPUTED_VALUE"""),44952.66666666667)</f>
        <v>44952.66667</v>
      </c>
      <c r="B1165" s="22">
        <f>IFERROR(__xludf.DUMMYFUNCTION("""COMPUTED_VALUE"""),4060.43)</f>
        <v>4060.43</v>
      </c>
      <c r="C1165" s="25">
        <f>IFERROR(__xludf.DUMMYFUNCTION("""COMPUTED_VALUE"""),44952.63611111111)</f>
        <v>44952.63611</v>
      </c>
      <c r="D1165" s="22">
        <f>IFERROR(__xludf.DUMMYFUNCTION("""COMPUTED_VALUE"""),18.73)</f>
        <v>18.73</v>
      </c>
      <c r="F1165" s="25">
        <f>IFERROR(__xludf.DUMMYFUNCTION("""COMPUTED_VALUE"""),44952.63611111111)</f>
        <v>44952.63611</v>
      </c>
      <c r="G1165" s="22">
        <f>IFERROR(__xludf.DUMMYFUNCTION("""COMPUTED_VALUE"""),20.7)</f>
        <v>20.7</v>
      </c>
      <c r="H1165" s="25">
        <f>IFERROR(__xludf.DUMMYFUNCTION("""COMPUTED_VALUE"""),44952.63611111111)</f>
        <v>44952.63611</v>
      </c>
      <c r="I1165" s="22">
        <f>IFERROR(__xludf.DUMMYFUNCTION("""COMPUTED_VALUE"""),22.34)</f>
        <v>22.34</v>
      </c>
      <c r="J1165" s="25">
        <f>IFERROR(__xludf.DUMMYFUNCTION("""COMPUTED_VALUE"""),44952.63611111111)</f>
        <v>44952.63611</v>
      </c>
      <c r="K1165" s="22">
        <f>IFERROR(__xludf.DUMMYFUNCTION("""COMPUTED_VALUE"""),23.56)</f>
        <v>23.56</v>
      </c>
    </row>
    <row r="1166" ht="15.75" customHeight="1">
      <c r="A1166" s="25">
        <f>IFERROR(__xludf.DUMMYFUNCTION("""COMPUTED_VALUE"""),44953.66666666667)</f>
        <v>44953.66667</v>
      </c>
      <c r="B1166" s="22">
        <f>IFERROR(__xludf.DUMMYFUNCTION("""COMPUTED_VALUE"""),4070.56)</f>
        <v>4070.56</v>
      </c>
      <c r="C1166" s="25">
        <f>IFERROR(__xludf.DUMMYFUNCTION("""COMPUTED_VALUE"""),44953.63611111111)</f>
        <v>44953.63611</v>
      </c>
      <c r="D1166" s="22">
        <f>IFERROR(__xludf.DUMMYFUNCTION("""COMPUTED_VALUE"""),18.51)</f>
        <v>18.51</v>
      </c>
      <c r="F1166" s="25">
        <f>IFERROR(__xludf.DUMMYFUNCTION("""COMPUTED_VALUE"""),44953.63611111111)</f>
        <v>44953.63611</v>
      </c>
      <c r="G1166" s="22">
        <f>IFERROR(__xludf.DUMMYFUNCTION("""COMPUTED_VALUE"""),20.47)</f>
        <v>20.47</v>
      </c>
      <c r="H1166" s="25">
        <f>IFERROR(__xludf.DUMMYFUNCTION("""COMPUTED_VALUE"""),44953.63611111111)</f>
        <v>44953.63611</v>
      </c>
      <c r="I1166" s="22">
        <f>IFERROR(__xludf.DUMMYFUNCTION("""COMPUTED_VALUE"""),22.14)</f>
        <v>22.14</v>
      </c>
      <c r="J1166" s="25">
        <f>IFERROR(__xludf.DUMMYFUNCTION("""COMPUTED_VALUE"""),44953.63611111111)</f>
        <v>44953.63611</v>
      </c>
      <c r="K1166" s="22">
        <f>IFERROR(__xludf.DUMMYFUNCTION("""COMPUTED_VALUE"""),23.29)</f>
        <v>23.29</v>
      </c>
    </row>
    <row r="1167" ht="15.75" customHeight="1">
      <c r="A1167" s="25">
        <f>IFERROR(__xludf.DUMMYFUNCTION("""COMPUTED_VALUE"""),44956.66666666667)</f>
        <v>44956.66667</v>
      </c>
      <c r="B1167" s="22">
        <f>IFERROR(__xludf.DUMMYFUNCTION("""COMPUTED_VALUE"""),4017.77)</f>
        <v>4017.77</v>
      </c>
      <c r="C1167" s="25">
        <f>IFERROR(__xludf.DUMMYFUNCTION("""COMPUTED_VALUE"""),44956.63611111111)</f>
        <v>44956.63611</v>
      </c>
      <c r="D1167" s="22">
        <f>IFERROR(__xludf.DUMMYFUNCTION("""COMPUTED_VALUE"""),19.94)</f>
        <v>19.94</v>
      </c>
      <c r="F1167" s="25">
        <f>IFERROR(__xludf.DUMMYFUNCTION("""COMPUTED_VALUE"""),44956.63611111111)</f>
        <v>44956.63611</v>
      </c>
      <c r="G1167" s="22">
        <f>IFERROR(__xludf.DUMMYFUNCTION("""COMPUTED_VALUE"""),21.37)</f>
        <v>21.37</v>
      </c>
      <c r="H1167" s="25">
        <f>IFERROR(__xludf.DUMMYFUNCTION("""COMPUTED_VALUE"""),44956.63611111111)</f>
        <v>44956.63611</v>
      </c>
      <c r="I1167" s="22">
        <f>IFERROR(__xludf.DUMMYFUNCTION("""COMPUTED_VALUE"""),22.71)</f>
        <v>22.71</v>
      </c>
      <c r="J1167" s="25">
        <f>IFERROR(__xludf.DUMMYFUNCTION("""COMPUTED_VALUE"""),44956.63611111111)</f>
        <v>44956.63611</v>
      </c>
      <c r="K1167" s="22">
        <f>IFERROR(__xludf.DUMMYFUNCTION("""COMPUTED_VALUE"""),23.61)</f>
        <v>23.61</v>
      </c>
    </row>
    <row r="1168" ht="15.75" customHeight="1">
      <c r="A1168" s="25">
        <f>IFERROR(__xludf.DUMMYFUNCTION("""COMPUTED_VALUE"""),44957.66666666667)</f>
        <v>44957.66667</v>
      </c>
      <c r="B1168" s="22">
        <f>IFERROR(__xludf.DUMMYFUNCTION("""COMPUTED_VALUE"""),4076.6)</f>
        <v>4076.6</v>
      </c>
      <c r="C1168" s="25">
        <f>IFERROR(__xludf.DUMMYFUNCTION("""COMPUTED_VALUE"""),44957.63611111111)</f>
        <v>44957.63611</v>
      </c>
      <c r="D1168" s="22">
        <f>IFERROR(__xludf.DUMMYFUNCTION("""COMPUTED_VALUE"""),19.4)</f>
        <v>19.4</v>
      </c>
      <c r="F1168" s="25">
        <f>IFERROR(__xludf.DUMMYFUNCTION("""COMPUTED_VALUE"""),44957.63611111111)</f>
        <v>44957.63611</v>
      </c>
      <c r="G1168" s="22">
        <f>IFERROR(__xludf.DUMMYFUNCTION("""COMPUTED_VALUE"""),20.81)</f>
        <v>20.81</v>
      </c>
      <c r="H1168" s="25">
        <f>IFERROR(__xludf.DUMMYFUNCTION("""COMPUTED_VALUE"""),44957.63611111111)</f>
        <v>44957.63611</v>
      </c>
      <c r="I1168" s="22">
        <f>IFERROR(__xludf.DUMMYFUNCTION("""COMPUTED_VALUE"""),22.25)</f>
        <v>22.25</v>
      </c>
      <c r="J1168" s="25">
        <f>IFERROR(__xludf.DUMMYFUNCTION("""COMPUTED_VALUE"""),44957.63611111111)</f>
        <v>44957.63611</v>
      </c>
      <c r="K1168" s="22">
        <f>IFERROR(__xludf.DUMMYFUNCTION("""COMPUTED_VALUE"""),23.4)</f>
        <v>23.4</v>
      </c>
    </row>
    <row r="1169" ht="15.75" customHeight="1">
      <c r="A1169" s="25">
        <f>IFERROR(__xludf.DUMMYFUNCTION("""COMPUTED_VALUE"""),44958.66666666667)</f>
        <v>44958.66667</v>
      </c>
      <c r="B1169" s="22">
        <f>IFERROR(__xludf.DUMMYFUNCTION("""COMPUTED_VALUE"""),4119.21)</f>
        <v>4119.21</v>
      </c>
      <c r="C1169" s="25">
        <f>IFERROR(__xludf.DUMMYFUNCTION("""COMPUTED_VALUE"""),44958.63611111111)</f>
        <v>44958.63611</v>
      </c>
      <c r="D1169" s="22">
        <f>IFERROR(__xludf.DUMMYFUNCTION("""COMPUTED_VALUE"""),17.87)</f>
        <v>17.87</v>
      </c>
      <c r="F1169" s="25">
        <f>IFERROR(__xludf.DUMMYFUNCTION("""COMPUTED_VALUE"""),44958.63611111111)</f>
        <v>44958.63611</v>
      </c>
      <c r="G1169" s="22">
        <f>IFERROR(__xludf.DUMMYFUNCTION("""COMPUTED_VALUE"""),19.97)</f>
        <v>19.97</v>
      </c>
      <c r="H1169" s="25">
        <f>IFERROR(__xludf.DUMMYFUNCTION("""COMPUTED_VALUE"""),44958.63611111111)</f>
        <v>44958.63611</v>
      </c>
      <c r="I1169" s="22">
        <f>IFERROR(__xludf.DUMMYFUNCTION("""COMPUTED_VALUE"""),21.65)</f>
        <v>21.65</v>
      </c>
      <c r="J1169" s="25">
        <f>IFERROR(__xludf.DUMMYFUNCTION("""COMPUTED_VALUE"""),44958.63611111111)</f>
        <v>44958.63611</v>
      </c>
      <c r="K1169" s="22">
        <f>IFERROR(__xludf.DUMMYFUNCTION("""COMPUTED_VALUE"""),22.99)</f>
        <v>22.99</v>
      </c>
    </row>
    <row r="1170" ht="15.75" customHeight="1">
      <c r="A1170" s="25">
        <f>IFERROR(__xludf.DUMMYFUNCTION("""COMPUTED_VALUE"""),44959.66666666667)</f>
        <v>44959.66667</v>
      </c>
      <c r="B1170" s="22">
        <f>IFERROR(__xludf.DUMMYFUNCTION("""COMPUTED_VALUE"""),4179.76)</f>
        <v>4179.76</v>
      </c>
      <c r="C1170" s="25">
        <f>IFERROR(__xludf.DUMMYFUNCTION("""COMPUTED_VALUE"""),44959.63611111111)</f>
        <v>44959.63611</v>
      </c>
      <c r="D1170" s="22">
        <f>IFERROR(__xludf.DUMMYFUNCTION("""COMPUTED_VALUE"""),18.73)</f>
        <v>18.73</v>
      </c>
      <c r="F1170" s="25">
        <f>IFERROR(__xludf.DUMMYFUNCTION("""COMPUTED_VALUE"""),44959.63611111111)</f>
        <v>44959.63611</v>
      </c>
      <c r="G1170" s="22">
        <f>IFERROR(__xludf.DUMMYFUNCTION("""COMPUTED_VALUE"""),20.84)</f>
        <v>20.84</v>
      </c>
      <c r="H1170" s="25">
        <f>IFERROR(__xludf.DUMMYFUNCTION("""COMPUTED_VALUE"""),44959.63611111111)</f>
        <v>44959.63611</v>
      </c>
      <c r="I1170" s="22">
        <f>IFERROR(__xludf.DUMMYFUNCTION("""COMPUTED_VALUE"""),22.34)</f>
        <v>22.34</v>
      </c>
      <c r="J1170" s="25">
        <f>IFERROR(__xludf.DUMMYFUNCTION("""COMPUTED_VALUE"""),44959.63611111111)</f>
        <v>44959.63611</v>
      </c>
      <c r="K1170" s="22">
        <f>IFERROR(__xludf.DUMMYFUNCTION("""COMPUTED_VALUE"""),23.45)</f>
        <v>23.45</v>
      </c>
    </row>
    <row r="1171" ht="15.75" customHeight="1">
      <c r="A1171" s="25">
        <f>IFERROR(__xludf.DUMMYFUNCTION("""COMPUTED_VALUE"""),44960.66666666667)</f>
        <v>44960.66667</v>
      </c>
      <c r="B1171" s="22">
        <f>IFERROR(__xludf.DUMMYFUNCTION("""COMPUTED_VALUE"""),4136.48)</f>
        <v>4136.48</v>
      </c>
      <c r="C1171" s="25">
        <f>IFERROR(__xludf.DUMMYFUNCTION("""COMPUTED_VALUE"""),44960.63611111111)</f>
        <v>44960.63611</v>
      </c>
      <c r="D1171" s="22">
        <f>IFERROR(__xludf.DUMMYFUNCTION("""COMPUTED_VALUE"""),18.33)</f>
        <v>18.33</v>
      </c>
      <c r="F1171" s="25">
        <f>IFERROR(__xludf.DUMMYFUNCTION("""COMPUTED_VALUE"""),44960.63611111111)</f>
        <v>44960.63611</v>
      </c>
      <c r="G1171" s="22">
        <f>IFERROR(__xludf.DUMMYFUNCTION("""COMPUTED_VALUE"""),20.78)</f>
        <v>20.78</v>
      </c>
      <c r="H1171" s="25">
        <f>IFERROR(__xludf.DUMMYFUNCTION("""COMPUTED_VALUE"""),44960.63611111111)</f>
        <v>44960.63611</v>
      </c>
      <c r="I1171" s="22">
        <f>IFERROR(__xludf.DUMMYFUNCTION("""COMPUTED_VALUE"""),22.37)</f>
        <v>22.37</v>
      </c>
      <c r="J1171" s="25">
        <f>IFERROR(__xludf.DUMMYFUNCTION("""COMPUTED_VALUE"""),44960.63611111111)</f>
        <v>44960.63611</v>
      </c>
      <c r="K1171" s="22">
        <f>IFERROR(__xludf.DUMMYFUNCTION("""COMPUTED_VALUE"""),23.38)</f>
        <v>23.38</v>
      </c>
    </row>
    <row r="1172" ht="15.75" customHeight="1">
      <c r="A1172" s="25">
        <f>IFERROR(__xludf.DUMMYFUNCTION("""COMPUTED_VALUE"""),44963.66666666667)</f>
        <v>44963.66667</v>
      </c>
      <c r="B1172" s="22">
        <f>IFERROR(__xludf.DUMMYFUNCTION("""COMPUTED_VALUE"""),4111.08)</f>
        <v>4111.08</v>
      </c>
      <c r="C1172" s="25">
        <f>IFERROR(__xludf.DUMMYFUNCTION("""COMPUTED_VALUE"""),44963.63611111111)</f>
        <v>44963.63611</v>
      </c>
      <c r="D1172" s="22">
        <f>IFERROR(__xludf.DUMMYFUNCTION("""COMPUTED_VALUE"""),19.43)</f>
        <v>19.43</v>
      </c>
      <c r="F1172" s="25">
        <f>IFERROR(__xludf.DUMMYFUNCTION("""COMPUTED_VALUE"""),44963.63611111111)</f>
        <v>44963.63611</v>
      </c>
      <c r="G1172" s="22">
        <f>IFERROR(__xludf.DUMMYFUNCTION("""COMPUTED_VALUE"""),21.43)</f>
        <v>21.43</v>
      </c>
      <c r="H1172" s="25">
        <f>IFERROR(__xludf.DUMMYFUNCTION("""COMPUTED_VALUE"""),44963.63611111111)</f>
        <v>44963.63611</v>
      </c>
      <c r="I1172" s="22">
        <f>IFERROR(__xludf.DUMMYFUNCTION("""COMPUTED_VALUE"""),22.86)</f>
        <v>22.86</v>
      </c>
      <c r="J1172" s="25">
        <f>IFERROR(__xludf.DUMMYFUNCTION("""COMPUTED_VALUE"""),44963.63611111111)</f>
        <v>44963.63611</v>
      </c>
      <c r="K1172" s="22">
        <f>IFERROR(__xludf.DUMMYFUNCTION("""COMPUTED_VALUE"""),23.82)</f>
        <v>23.82</v>
      </c>
    </row>
    <row r="1173" ht="15.75" customHeight="1">
      <c r="A1173" s="25">
        <f>IFERROR(__xludf.DUMMYFUNCTION("""COMPUTED_VALUE"""),44964.66666666667)</f>
        <v>44964.66667</v>
      </c>
      <c r="B1173" s="22">
        <f>IFERROR(__xludf.DUMMYFUNCTION("""COMPUTED_VALUE"""),4164.0)</f>
        <v>4164</v>
      </c>
      <c r="C1173" s="25">
        <f>IFERROR(__xludf.DUMMYFUNCTION("""COMPUTED_VALUE"""),44964.63611111111)</f>
        <v>44964.63611</v>
      </c>
      <c r="D1173" s="22">
        <f>IFERROR(__xludf.DUMMYFUNCTION("""COMPUTED_VALUE"""),18.66)</f>
        <v>18.66</v>
      </c>
      <c r="F1173" s="25">
        <f>IFERROR(__xludf.DUMMYFUNCTION("""COMPUTED_VALUE"""),44964.63611111111)</f>
        <v>44964.63611</v>
      </c>
      <c r="G1173" s="22">
        <f>IFERROR(__xludf.DUMMYFUNCTION("""COMPUTED_VALUE"""),20.78)</f>
        <v>20.78</v>
      </c>
      <c r="H1173" s="25">
        <f>IFERROR(__xludf.DUMMYFUNCTION("""COMPUTED_VALUE"""),44964.63611111111)</f>
        <v>44964.63611</v>
      </c>
      <c r="I1173" s="22">
        <f>IFERROR(__xludf.DUMMYFUNCTION("""COMPUTED_VALUE"""),22.38)</f>
        <v>22.38</v>
      </c>
      <c r="J1173" s="25">
        <f>IFERROR(__xludf.DUMMYFUNCTION("""COMPUTED_VALUE"""),44964.63611111111)</f>
        <v>44964.63611</v>
      </c>
      <c r="K1173" s="22">
        <f>IFERROR(__xludf.DUMMYFUNCTION("""COMPUTED_VALUE"""),23.43)</f>
        <v>23.43</v>
      </c>
    </row>
    <row r="1174" ht="15.75" customHeight="1">
      <c r="A1174" s="25">
        <f>IFERROR(__xludf.DUMMYFUNCTION("""COMPUTED_VALUE"""),44965.66666666667)</f>
        <v>44965.66667</v>
      </c>
      <c r="B1174" s="22">
        <f>IFERROR(__xludf.DUMMYFUNCTION("""COMPUTED_VALUE"""),4117.86)</f>
        <v>4117.86</v>
      </c>
      <c r="C1174" s="25">
        <f>IFERROR(__xludf.DUMMYFUNCTION("""COMPUTED_VALUE"""),44965.63611111111)</f>
        <v>44965.63611</v>
      </c>
      <c r="D1174" s="22">
        <f>IFERROR(__xludf.DUMMYFUNCTION("""COMPUTED_VALUE"""),19.63)</f>
        <v>19.63</v>
      </c>
      <c r="F1174" s="25">
        <f>IFERROR(__xludf.DUMMYFUNCTION("""COMPUTED_VALUE"""),44965.63611111111)</f>
        <v>44965.63611</v>
      </c>
      <c r="G1174" s="22">
        <f>IFERROR(__xludf.DUMMYFUNCTION("""COMPUTED_VALUE"""),21.82)</f>
        <v>21.82</v>
      </c>
      <c r="H1174" s="25">
        <f>IFERROR(__xludf.DUMMYFUNCTION("""COMPUTED_VALUE"""),44965.63611111111)</f>
        <v>44965.63611</v>
      </c>
      <c r="I1174" s="22">
        <f>IFERROR(__xludf.DUMMYFUNCTION("""COMPUTED_VALUE"""),23.14)</f>
        <v>23.14</v>
      </c>
      <c r="J1174" s="25">
        <f>IFERROR(__xludf.DUMMYFUNCTION("""COMPUTED_VALUE"""),44965.63611111111)</f>
        <v>44965.63611</v>
      </c>
      <c r="K1174" s="22">
        <f>IFERROR(__xludf.DUMMYFUNCTION("""COMPUTED_VALUE"""),23.75)</f>
        <v>23.75</v>
      </c>
    </row>
    <row r="1175" ht="15.75" customHeight="1">
      <c r="A1175" s="25">
        <f>IFERROR(__xludf.DUMMYFUNCTION("""COMPUTED_VALUE"""),44966.66666666667)</f>
        <v>44966.66667</v>
      </c>
      <c r="B1175" s="22">
        <f>IFERROR(__xludf.DUMMYFUNCTION("""COMPUTED_VALUE"""),4081.5)</f>
        <v>4081.5</v>
      </c>
      <c r="C1175" s="25">
        <f>IFERROR(__xludf.DUMMYFUNCTION("""COMPUTED_VALUE"""),44966.63611111111)</f>
        <v>44966.63611</v>
      </c>
      <c r="D1175" s="22">
        <f>IFERROR(__xludf.DUMMYFUNCTION("""COMPUTED_VALUE"""),20.71)</f>
        <v>20.71</v>
      </c>
      <c r="F1175" s="25">
        <f>IFERROR(__xludf.DUMMYFUNCTION("""COMPUTED_VALUE"""),44966.63611111111)</f>
        <v>44966.63611</v>
      </c>
      <c r="G1175" s="22">
        <f>IFERROR(__xludf.DUMMYFUNCTION("""COMPUTED_VALUE"""),22.5)</f>
        <v>22.5</v>
      </c>
      <c r="H1175" s="25">
        <f>IFERROR(__xludf.DUMMYFUNCTION("""COMPUTED_VALUE"""),44966.63611111111)</f>
        <v>44966.63611</v>
      </c>
      <c r="I1175" s="22">
        <f>IFERROR(__xludf.DUMMYFUNCTION("""COMPUTED_VALUE"""),23.66)</f>
        <v>23.66</v>
      </c>
      <c r="J1175" s="25">
        <f>IFERROR(__xludf.DUMMYFUNCTION("""COMPUTED_VALUE"""),44966.63611111111)</f>
        <v>44966.63611</v>
      </c>
      <c r="K1175" s="22">
        <f>IFERROR(__xludf.DUMMYFUNCTION("""COMPUTED_VALUE"""),24.44)</f>
        <v>24.44</v>
      </c>
    </row>
    <row r="1176" ht="15.75" customHeight="1">
      <c r="A1176" s="25">
        <f>IFERROR(__xludf.DUMMYFUNCTION("""COMPUTED_VALUE"""),44967.66666666667)</f>
        <v>44967.66667</v>
      </c>
      <c r="B1176" s="22">
        <f>IFERROR(__xludf.DUMMYFUNCTION("""COMPUTED_VALUE"""),4090.46)</f>
        <v>4090.46</v>
      </c>
      <c r="C1176" s="25">
        <f>IFERROR(__xludf.DUMMYFUNCTION("""COMPUTED_VALUE"""),44967.63611111111)</f>
        <v>44967.63611</v>
      </c>
      <c r="D1176" s="22">
        <f>IFERROR(__xludf.DUMMYFUNCTION("""COMPUTED_VALUE"""),20.53)</f>
        <v>20.53</v>
      </c>
      <c r="F1176" s="25">
        <f>IFERROR(__xludf.DUMMYFUNCTION("""COMPUTED_VALUE"""),44967.63611111111)</f>
        <v>44967.63611</v>
      </c>
      <c r="G1176" s="22">
        <f>IFERROR(__xludf.DUMMYFUNCTION("""COMPUTED_VALUE"""),22.55)</f>
        <v>22.55</v>
      </c>
      <c r="H1176" s="25">
        <f>IFERROR(__xludf.DUMMYFUNCTION("""COMPUTED_VALUE"""),44967.63611111111)</f>
        <v>44967.63611</v>
      </c>
      <c r="I1176" s="22">
        <f>IFERROR(__xludf.DUMMYFUNCTION("""COMPUTED_VALUE"""),23.82)</f>
        <v>23.82</v>
      </c>
      <c r="J1176" s="25">
        <f>IFERROR(__xludf.DUMMYFUNCTION("""COMPUTED_VALUE"""),44967.63611111111)</f>
        <v>44967.63611</v>
      </c>
      <c r="K1176" s="22">
        <f>IFERROR(__xludf.DUMMYFUNCTION("""COMPUTED_VALUE"""),24.59)</f>
        <v>24.59</v>
      </c>
    </row>
    <row r="1177" ht="15.75" customHeight="1">
      <c r="A1177" s="25">
        <f>IFERROR(__xludf.DUMMYFUNCTION("""COMPUTED_VALUE"""),44970.66666666667)</f>
        <v>44970.66667</v>
      </c>
      <c r="B1177" s="22">
        <f>IFERROR(__xludf.DUMMYFUNCTION("""COMPUTED_VALUE"""),4137.29)</f>
        <v>4137.29</v>
      </c>
      <c r="C1177" s="25">
        <f>IFERROR(__xludf.DUMMYFUNCTION("""COMPUTED_VALUE"""),44970.63611111111)</f>
        <v>44970.63611</v>
      </c>
      <c r="D1177" s="22">
        <f>IFERROR(__xludf.DUMMYFUNCTION("""COMPUTED_VALUE"""),20.34)</f>
        <v>20.34</v>
      </c>
      <c r="F1177" s="25">
        <f>IFERROR(__xludf.DUMMYFUNCTION("""COMPUTED_VALUE"""),44970.63611111111)</f>
        <v>44970.63611</v>
      </c>
      <c r="G1177" s="22">
        <f>IFERROR(__xludf.DUMMYFUNCTION("""COMPUTED_VALUE"""),21.97)</f>
        <v>21.97</v>
      </c>
      <c r="H1177" s="25">
        <f>IFERROR(__xludf.DUMMYFUNCTION("""COMPUTED_VALUE"""),44970.63611111111)</f>
        <v>44970.63611</v>
      </c>
      <c r="I1177" s="22">
        <f>IFERROR(__xludf.DUMMYFUNCTION("""COMPUTED_VALUE"""),23.35)</f>
        <v>23.35</v>
      </c>
      <c r="J1177" s="25">
        <f>IFERROR(__xludf.DUMMYFUNCTION("""COMPUTED_VALUE"""),44970.63611111111)</f>
        <v>44970.63611</v>
      </c>
      <c r="K1177" s="22">
        <f>IFERROR(__xludf.DUMMYFUNCTION("""COMPUTED_VALUE"""),24.16)</f>
        <v>24.16</v>
      </c>
    </row>
    <row r="1178" ht="15.75" customHeight="1">
      <c r="A1178" s="25">
        <f>IFERROR(__xludf.DUMMYFUNCTION("""COMPUTED_VALUE"""),44971.66666666667)</f>
        <v>44971.66667</v>
      </c>
      <c r="B1178" s="22">
        <f>IFERROR(__xludf.DUMMYFUNCTION("""COMPUTED_VALUE"""),4136.13)</f>
        <v>4136.13</v>
      </c>
      <c r="C1178" s="25">
        <f>IFERROR(__xludf.DUMMYFUNCTION("""COMPUTED_VALUE"""),44971.63611111111)</f>
        <v>44971.63611</v>
      </c>
      <c r="D1178" s="22">
        <f>IFERROR(__xludf.DUMMYFUNCTION("""COMPUTED_VALUE"""),18.91)</f>
        <v>18.91</v>
      </c>
      <c r="F1178" s="25">
        <f>IFERROR(__xludf.DUMMYFUNCTION("""COMPUTED_VALUE"""),44971.63611111111)</f>
        <v>44971.63611</v>
      </c>
      <c r="G1178" s="22">
        <f>IFERROR(__xludf.DUMMYFUNCTION("""COMPUTED_VALUE"""),21.14)</f>
        <v>21.14</v>
      </c>
      <c r="H1178" s="25">
        <f>IFERROR(__xludf.DUMMYFUNCTION("""COMPUTED_VALUE"""),44971.63611111111)</f>
        <v>44971.63611</v>
      </c>
      <c r="I1178" s="22">
        <f>IFERROR(__xludf.DUMMYFUNCTION("""COMPUTED_VALUE"""),22.68)</f>
        <v>22.68</v>
      </c>
      <c r="J1178" s="25">
        <f>IFERROR(__xludf.DUMMYFUNCTION("""COMPUTED_VALUE"""),44971.63611111111)</f>
        <v>44971.63611</v>
      </c>
      <c r="K1178" s="22">
        <f>IFERROR(__xludf.DUMMYFUNCTION("""COMPUTED_VALUE"""),23.53)</f>
        <v>23.53</v>
      </c>
    </row>
    <row r="1179" ht="15.75" customHeight="1">
      <c r="A1179" s="25">
        <f>IFERROR(__xludf.DUMMYFUNCTION("""COMPUTED_VALUE"""),44972.66666666667)</f>
        <v>44972.66667</v>
      </c>
      <c r="B1179" s="22">
        <f>IFERROR(__xludf.DUMMYFUNCTION("""COMPUTED_VALUE"""),4147.6)</f>
        <v>4147.6</v>
      </c>
      <c r="C1179" s="25">
        <f>IFERROR(__xludf.DUMMYFUNCTION("""COMPUTED_VALUE"""),44972.63611111111)</f>
        <v>44972.63611</v>
      </c>
      <c r="D1179" s="22">
        <f>IFERROR(__xludf.DUMMYFUNCTION("""COMPUTED_VALUE"""),18.23)</f>
        <v>18.23</v>
      </c>
      <c r="F1179" s="25">
        <f>IFERROR(__xludf.DUMMYFUNCTION("""COMPUTED_VALUE"""),44972.63611111111)</f>
        <v>44972.63611</v>
      </c>
      <c r="G1179" s="22">
        <f>IFERROR(__xludf.DUMMYFUNCTION("""COMPUTED_VALUE"""),20.68)</f>
        <v>20.68</v>
      </c>
      <c r="H1179" s="25">
        <f>IFERROR(__xludf.DUMMYFUNCTION("""COMPUTED_VALUE"""),44972.63611111111)</f>
        <v>44972.63611</v>
      </c>
      <c r="I1179" s="22">
        <f>IFERROR(__xludf.DUMMYFUNCTION("""COMPUTED_VALUE"""),22.21)</f>
        <v>22.21</v>
      </c>
      <c r="J1179" s="25">
        <f>IFERROR(__xludf.DUMMYFUNCTION("""COMPUTED_VALUE"""),44972.63611111111)</f>
        <v>44972.63611</v>
      </c>
      <c r="K1179" s="22">
        <f>IFERROR(__xludf.DUMMYFUNCTION("""COMPUTED_VALUE"""),23.31)</f>
        <v>23.31</v>
      </c>
    </row>
    <row r="1180" ht="15.75" customHeight="1">
      <c r="A1180" s="25">
        <f>IFERROR(__xludf.DUMMYFUNCTION("""COMPUTED_VALUE"""),44973.66666666667)</f>
        <v>44973.66667</v>
      </c>
      <c r="B1180" s="22">
        <f>IFERROR(__xludf.DUMMYFUNCTION("""COMPUTED_VALUE"""),4090.41)</f>
        <v>4090.41</v>
      </c>
      <c r="C1180" s="25">
        <f>IFERROR(__xludf.DUMMYFUNCTION("""COMPUTED_VALUE"""),44973.63611111111)</f>
        <v>44973.63611</v>
      </c>
      <c r="D1180" s="22">
        <f>IFERROR(__xludf.DUMMYFUNCTION("""COMPUTED_VALUE"""),20.17)</f>
        <v>20.17</v>
      </c>
      <c r="F1180" s="25">
        <f>IFERROR(__xludf.DUMMYFUNCTION("""COMPUTED_VALUE"""),44973.63611111111)</f>
        <v>44973.63611</v>
      </c>
      <c r="G1180" s="22">
        <f>IFERROR(__xludf.DUMMYFUNCTION("""COMPUTED_VALUE"""),21.88)</f>
        <v>21.88</v>
      </c>
      <c r="H1180" s="25">
        <f>IFERROR(__xludf.DUMMYFUNCTION("""COMPUTED_VALUE"""),44973.63611111111)</f>
        <v>44973.63611</v>
      </c>
      <c r="I1180" s="22">
        <f>IFERROR(__xludf.DUMMYFUNCTION("""COMPUTED_VALUE"""),23.21)</f>
        <v>23.21</v>
      </c>
      <c r="J1180" s="25">
        <f>IFERROR(__xludf.DUMMYFUNCTION("""COMPUTED_VALUE"""),44973.63611111111)</f>
        <v>44973.63611</v>
      </c>
      <c r="K1180" s="22">
        <f>IFERROR(__xludf.DUMMYFUNCTION("""COMPUTED_VALUE"""),23.96)</f>
        <v>23.96</v>
      </c>
    </row>
    <row r="1181" ht="15.75" customHeight="1">
      <c r="A1181" s="25">
        <f>IFERROR(__xludf.DUMMYFUNCTION("""COMPUTED_VALUE"""),44974.66666666667)</f>
        <v>44974.66667</v>
      </c>
      <c r="B1181" s="22">
        <f>IFERROR(__xludf.DUMMYFUNCTION("""COMPUTED_VALUE"""),4079.09)</f>
        <v>4079.09</v>
      </c>
      <c r="C1181" s="25">
        <f>IFERROR(__xludf.DUMMYFUNCTION("""COMPUTED_VALUE"""),44974.63611111111)</f>
        <v>44974.63611</v>
      </c>
      <c r="D1181" s="22">
        <f>IFERROR(__xludf.DUMMYFUNCTION("""COMPUTED_VALUE"""),20.02)</f>
        <v>20.02</v>
      </c>
      <c r="F1181" s="25">
        <f>IFERROR(__xludf.DUMMYFUNCTION("""COMPUTED_VALUE"""),44974.63611111111)</f>
        <v>44974.63611</v>
      </c>
      <c r="G1181" s="22">
        <f>IFERROR(__xludf.DUMMYFUNCTION("""COMPUTED_VALUE"""),21.77)</f>
        <v>21.77</v>
      </c>
      <c r="H1181" s="25">
        <f>IFERROR(__xludf.DUMMYFUNCTION("""COMPUTED_VALUE"""),44974.63611111111)</f>
        <v>44974.63611</v>
      </c>
      <c r="I1181" s="22">
        <f>IFERROR(__xludf.DUMMYFUNCTION("""COMPUTED_VALUE"""),23.19)</f>
        <v>23.19</v>
      </c>
      <c r="J1181" s="25">
        <f>IFERROR(__xludf.DUMMYFUNCTION("""COMPUTED_VALUE"""),44974.63611111111)</f>
        <v>44974.63611</v>
      </c>
      <c r="K1181" s="22">
        <f>IFERROR(__xludf.DUMMYFUNCTION("""COMPUTED_VALUE"""),24.04)</f>
        <v>24.04</v>
      </c>
    </row>
    <row r="1182" ht="15.75" customHeight="1">
      <c r="A1182" s="25">
        <f>IFERROR(__xludf.DUMMYFUNCTION("""COMPUTED_VALUE"""),44978.66666666667)</f>
        <v>44978.66667</v>
      </c>
      <c r="B1182" s="22">
        <f>IFERROR(__xludf.DUMMYFUNCTION("""COMPUTED_VALUE"""),3997.34)</f>
        <v>3997.34</v>
      </c>
      <c r="C1182" s="25">
        <f>IFERROR(__xludf.DUMMYFUNCTION("""COMPUTED_VALUE"""),44978.63611111111)</f>
        <v>44978.63611</v>
      </c>
      <c r="D1182" s="22">
        <f>IFERROR(__xludf.DUMMYFUNCTION("""COMPUTED_VALUE"""),22.87)</f>
        <v>22.87</v>
      </c>
      <c r="F1182" s="25">
        <f>IFERROR(__xludf.DUMMYFUNCTION("""COMPUTED_VALUE"""),44978.63611111111)</f>
        <v>44978.63611</v>
      </c>
      <c r="G1182" s="22">
        <f>IFERROR(__xludf.DUMMYFUNCTION("""COMPUTED_VALUE"""),23.38)</f>
        <v>23.38</v>
      </c>
      <c r="H1182" s="25">
        <f>IFERROR(__xludf.DUMMYFUNCTION("""COMPUTED_VALUE"""),44978.63611111111)</f>
        <v>44978.63611</v>
      </c>
      <c r="I1182" s="22">
        <f>IFERROR(__xludf.DUMMYFUNCTION("""COMPUTED_VALUE"""),24.6)</f>
        <v>24.6</v>
      </c>
      <c r="J1182" s="25">
        <f>IFERROR(__xludf.DUMMYFUNCTION("""COMPUTED_VALUE"""),44978.63611111111)</f>
        <v>44978.63611</v>
      </c>
      <c r="K1182" s="22">
        <f>IFERROR(__xludf.DUMMYFUNCTION("""COMPUTED_VALUE"""),25.0)</f>
        <v>25</v>
      </c>
    </row>
    <row r="1183" ht="15.75" customHeight="1">
      <c r="A1183" s="25">
        <f>IFERROR(__xludf.DUMMYFUNCTION("""COMPUTED_VALUE"""),44979.66666666667)</f>
        <v>44979.66667</v>
      </c>
      <c r="B1183" s="22">
        <f>IFERROR(__xludf.DUMMYFUNCTION("""COMPUTED_VALUE"""),3991.05)</f>
        <v>3991.05</v>
      </c>
      <c r="C1183" s="25">
        <f>IFERROR(__xludf.DUMMYFUNCTION("""COMPUTED_VALUE"""),44979.63611111111)</f>
        <v>44979.63611</v>
      </c>
      <c r="D1183" s="22">
        <f>IFERROR(__xludf.DUMMYFUNCTION("""COMPUTED_VALUE"""),22.29)</f>
        <v>22.29</v>
      </c>
      <c r="F1183" s="25">
        <f>IFERROR(__xludf.DUMMYFUNCTION("""COMPUTED_VALUE"""),44979.63611111111)</f>
        <v>44979.63611</v>
      </c>
      <c r="G1183" s="22">
        <f>IFERROR(__xludf.DUMMYFUNCTION("""COMPUTED_VALUE"""),22.68)</f>
        <v>22.68</v>
      </c>
      <c r="H1183" s="25">
        <f>IFERROR(__xludf.DUMMYFUNCTION("""COMPUTED_VALUE"""),44979.63611111111)</f>
        <v>44979.63611</v>
      </c>
      <c r="I1183" s="22">
        <f>IFERROR(__xludf.DUMMYFUNCTION("""COMPUTED_VALUE"""),24.06)</f>
        <v>24.06</v>
      </c>
      <c r="J1183" s="25">
        <f>IFERROR(__xludf.DUMMYFUNCTION("""COMPUTED_VALUE"""),44979.63611111111)</f>
        <v>44979.63611</v>
      </c>
      <c r="K1183" s="22">
        <f>IFERROR(__xludf.DUMMYFUNCTION("""COMPUTED_VALUE"""),24.56)</f>
        <v>24.56</v>
      </c>
    </row>
    <row r="1184" ht="15.75" customHeight="1">
      <c r="A1184" s="25">
        <f>IFERROR(__xludf.DUMMYFUNCTION("""COMPUTED_VALUE"""),44980.66666666667)</f>
        <v>44980.66667</v>
      </c>
      <c r="B1184" s="22">
        <f>IFERROR(__xludf.DUMMYFUNCTION("""COMPUTED_VALUE"""),4012.32)</f>
        <v>4012.32</v>
      </c>
      <c r="C1184" s="25">
        <f>IFERROR(__xludf.DUMMYFUNCTION("""COMPUTED_VALUE"""),44980.63611111111)</f>
        <v>44980.63611</v>
      </c>
      <c r="D1184" s="22">
        <f>IFERROR(__xludf.DUMMYFUNCTION("""COMPUTED_VALUE"""),21.14)</f>
        <v>21.14</v>
      </c>
      <c r="F1184" s="25">
        <f>IFERROR(__xludf.DUMMYFUNCTION("""COMPUTED_VALUE"""),44980.63611111111)</f>
        <v>44980.63611</v>
      </c>
      <c r="G1184" s="22">
        <f>IFERROR(__xludf.DUMMYFUNCTION("""COMPUTED_VALUE"""),21.74)</f>
        <v>21.74</v>
      </c>
      <c r="H1184" s="25">
        <f>IFERROR(__xludf.DUMMYFUNCTION("""COMPUTED_VALUE"""),44980.63611111111)</f>
        <v>44980.63611</v>
      </c>
      <c r="I1184" s="22">
        <f>IFERROR(__xludf.DUMMYFUNCTION("""COMPUTED_VALUE"""),23.34)</f>
        <v>23.34</v>
      </c>
      <c r="J1184" s="25">
        <f>IFERROR(__xludf.DUMMYFUNCTION("""COMPUTED_VALUE"""),44980.63611111111)</f>
        <v>44980.63611</v>
      </c>
      <c r="K1184" s="22">
        <f>IFERROR(__xludf.DUMMYFUNCTION("""COMPUTED_VALUE"""),24.13)</f>
        <v>24.13</v>
      </c>
    </row>
    <row r="1185" ht="15.75" customHeight="1">
      <c r="A1185" s="25">
        <f>IFERROR(__xludf.DUMMYFUNCTION("""COMPUTED_VALUE"""),44981.66666666667)</f>
        <v>44981.66667</v>
      </c>
      <c r="B1185" s="22">
        <f>IFERROR(__xludf.DUMMYFUNCTION("""COMPUTED_VALUE"""),3970.04)</f>
        <v>3970.04</v>
      </c>
      <c r="C1185" s="25">
        <f>IFERROR(__xludf.DUMMYFUNCTION("""COMPUTED_VALUE"""),44981.63611111111)</f>
        <v>44981.63611</v>
      </c>
      <c r="D1185" s="22">
        <f>IFERROR(__xludf.DUMMYFUNCTION("""COMPUTED_VALUE"""),21.67)</f>
        <v>21.67</v>
      </c>
      <c r="F1185" s="25">
        <f>IFERROR(__xludf.DUMMYFUNCTION("""COMPUTED_VALUE"""),44981.63611111111)</f>
        <v>44981.63611</v>
      </c>
      <c r="G1185" s="22">
        <f>IFERROR(__xludf.DUMMYFUNCTION("""COMPUTED_VALUE"""),22.43)</f>
        <v>22.43</v>
      </c>
      <c r="H1185" s="25">
        <f>IFERROR(__xludf.DUMMYFUNCTION("""COMPUTED_VALUE"""),44981.63611111111)</f>
        <v>44981.63611</v>
      </c>
      <c r="I1185" s="22">
        <f>IFERROR(__xludf.DUMMYFUNCTION("""COMPUTED_VALUE"""),23.98)</f>
        <v>23.98</v>
      </c>
      <c r="J1185" s="25">
        <f>IFERROR(__xludf.DUMMYFUNCTION("""COMPUTED_VALUE"""),44981.63611111111)</f>
        <v>44981.63611</v>
      </c>
      <c r="K1185" s="22">
        <f>IFERROR(__xludf.DUMMYFUNCTION("""COMPUTED_VALUE"""),24.54)</f>
        <v>24.54</v>
      </c>
    </row>
    <row r="1186" ht="15.75" customHeight="1">
      <c r="A1186" s="25">
        <f>IFERROR(__xludf.DUMMYFUNCTION("""COMPUTED_VALUE"""),44984.66666666667)</f>
        <v>44984.66667</v>
      </c>
      <c r="B1186" s="22">
        <f>IFERROR(__xludf.DUMMYFUNCTION("""COMPUTED_VALUE"""),3982.24)</f>
        <v>3982.24</v>
      </c>
      <c r="C1186" s="25">
        <f>IFERROR(__xludf.DUMMYFUNCTION("""COMPUTED_VALUE"""),44984.63611111111)</f>
        <v>44984.63611</v>
      </c>
      <c r="D1186" s="22">
        <f>IFERROR(__xludf.DUMMYFUNCTION("""COMPUTED_VALUE"""),20.95)</f>
        <v>20.95</v>
      </c>
      <c r="F1186" s="25">
        <f>IFERROR(__xludf.DUMMYFUNCTION("""COMPUTED_VALUE"""),44984.63611111111)</f>
        <v>44984.63611</v>
      </c>
      <c r="G1186" s="22">
        <f>IFERROR(__xludf.DUMMYFUNCTION("""COMPUTED_VALUE"""),21.59)</f>
        <v>21.59</v>
      </c>
      <c r="H1186" s="25">
        <f>IFERROR(__xludf.DUMMYFUNCTION("""COMPUTED_VALUE"""),44984.63611111111)</f>
        <v>44984.63611</v>
      </c>
      <c r="I1186" s="22">
        <f>IFERROR(__xludf.DUMMYFUNCTION("""COMPUTED_VALUE"""),23.37)</f>
        <v>23.37</v>
      </c>
      <c r="J1186" s="25">
        <f>IFERROR(__xludf.DUMMYFUNCTION("""COMPUTED_VALUE"""),44984.63611111111)</f>
        <v>44984.63611</v>
      </c>
      <c r="K1186" s="22">
        <f>IFERROR(__xludf.DUMMYFUNCTION("""COMPUTED_VALUE"""),24.1)</f>
        <v>24.1</v>
      </c>
    </row>
    <row r="1187" ht="15.75" customHeight="1">
      <c r="A1187" s="25">
        <f>IFERROR(__xludf.DUMMYFUNCTION("""COMPUTED_VALUE"""),44985.66666666667)</f>
        <v>44985.66667</v>
      </c>
      <c r="B1187" s="22">
        <f>IFERROR(__xludf.DUMMYFUNCTION("""COMPUTED_VALUE"""),3970.15)</f>
        <v>3970.15</v>
      </c>
      <c r="C1187" s="25">
        <f>IFERROR(__xludf.DUMMYFUNCTION("""COMPUTED_VALUE"""),44985.63611111111)</f>
        <v>44985.63611</v>
      </c>
      <c r="D1187" s="22">
        <f>IFERROR(__xludf.DUMMYFUNCTION("""COMPUTED_VALUE"""),20.7)</f>
        <v>20.7</v>
      </c>
      <c r="F1187" s="25">
        <f>IFERROR(__xludf.DUMMYFUNCTION("""COMPUTED_VALUE"""),44985.63611111111)</f>
        <v>44985.63611</v>
      </c>
      <c r="G1187" s="22">
        <f>IFERROR(__xludf.DUMMYFUNCTION("""COMPUTED_VALUE"""),21.32)</f>
        <v>21.32</v>
      </c>
      <c r="H1187" s="25">
        <f>IFERROR(__xludf.DUMMYFUNCTION("""COMPUTED_VALUE"""),44985.63611111111)</f>
        <v>44985.63611</v>
      </c>
      <c r="I1187" s="22">
        <f>IFERROR(__xludf.DUMMYFUNCTION("""COMPUTED_VALUE"""),23.05)</f>
        <v>23.05</v>
      </c>
      <c r="J1187" s="25">
        <f>IFERROR(__xludf.DUMMYFUNCTION("""COMPUTED_VALUE"""),44985.63611111111)</f>
        <v>44985.63611</v>
      </c>
      <c r="K1187" s="22">
        <f>IFERROR(__xludf.DUMMYFUNCTION("""COMPUTED_VALUE"""),23.88)</f>
        <v>23.88</v>
      </c>
    </row>
    <row r="1188" ht="15.75" customHeight="1">
      <c r="A1188" s="25">
        <f>IFERROR(__xludf.DUMMYFUNCTION("""COMPUTED_VALUE"""),44986.66666666667)</f>
        <v>44986.66667</v>
      </c>
      <c r="B1188" s="22">
        <f>IFERROR(__xludf.DUMMYFUNCTION("""COMPUTED_VALUE"""),3951.39)</f>
        <v>3951.39</v>
      </c>
      <c r="C1188" s="25">
        <f>IFERROR(__xludf.DUMMYFUNCTION("""COMPUTED_VALUE"""),44986.63611111111)</f>
        <v>44986.63611</v>
      </c>
      <c r="D1188" s="22">
        <f>IFERROR(__xludf.DUMMYFUNCTION("""COMPUTED_VALUE"""),20.58)</f>
        <v>20.58</v>
      </c>
      <c r="F1188" s="25">
        <f>IFERROR(__xludf.DUMMYFUNCTION("""COMPUTED_VALUE"""),44986.63611111111)</f>
        <v>44986.63611</v>
      </c>
      <c r="G1188" s="22">
        <f>IFERROR(__xludf.DUMMYFUNCTION("""COMPUTED_VALUE"""),21.36)</f>
        <v>21.36</v>
      </c>
      <c r="H1188" s="25">
        <f>IFERROR(__xludf.DUMMYFUNCTION("""COMPUTED_VALUE"""),44986.63611111111)</f>
        <v>44986.63611</v>
      </c>
      <c r="I1188" s="22">
        <f>IFERROR(__xludf.DUMMYFUNCTION("""COMPUTED_VALUE"""),23.09)</f>
        <v>23.09</v>
      </c>
      <c r="J1188" s="25">
        <f>IFERROR(__xludf.DUMMYFUNCTION("""COMPUTED_VALUE"""),44986.63611111111)</f>
        <v>44986.63611</v>
      </c>
      <c r="K1188" s="22">
        <f>IFERROR(__xludf.DUMMYFUNCTION("""COMPUTED_VALUE"""),23.98)</f>
        <v>23.98</v>
      </c>
    </row>
    <row r="1189" ht="15.75" customHeight="1">
      <c r="A1189" s="25">
        <f>IFERROR(__xludf.DUMMYFUNCTION("""COMPUTED_VALUE"""),44987.66666666667)</f>
        <v>44987.66667</v>
      </c>
      <c r="B1189" s="22">
        <f>IFERROR(__xludf.DUMMYFUNCTION("""COMPUTED_VALUE"""),3981.35)</f>
        <v>3981.35</v>
      </c>
      <c r="C1189" s="25">
        <f>IFERROR(__xludf.DUMMYFUNCTION("""COMPUTED_VALUE"""),44987.63611111111)</f>
        <v>44987.63611</v>
      </c>
      <c r="D1189" s="22">
        <f>IFERROR(__xludf.DUMMYFUNCTION("""COMPUTED_VALUE"""),19.59)</f>
        <v>19.59</v>
      </c>
      <c r="F1189" s="25">
        <f>IFERROR(__xludf.DUMMYFUNCTION("""COMPUTED_VALUE"""),44987.63611111111)</f>
        <v>44987.63611</v>
      </c>
      <c r="G1189" s="22">
        <f>IFERROR(__xludf.DUMMYFUNCTION("""COMPUTED_VALUE"""),20.63)</f>
        <v>20.63</v>
      </c>
      <c r="H1189" s="25">
        <f>IFERROR(__xludf.DUMMYFUNCTION("""COMPUTED_VALUE"""),44987.63611111111)</f>
        <v>44987.63611</v>
      </c>
      <c r="I1189" s="22">
        <f>IFERROR(__xludf.DUMMYFUNCTION("""COMPUTED_VALUE"""),22.39)</f>
        <v>22.39</v>
      </c>
      <c r="J1189" s="25">
        <f>IFERROR(__xludf.DUMMYFUNCTION("""COMPUTED_VALUE"""),44987.63611111111)</f>
        <v>44987.63611</v>
      </c>
      <c r="K1189" s="22">
        <f>IFERROR(__xludf.DUMMYFUNCTION("""COMPUTED_VALUE"""),23.47)</f>
        <v>23.47</v>
      </c>
    </row>
    <row r="1190" ht="15.75" customHeight="1">
      <c r="A1190" s="25">
        <f>IFERROR(__xludf.DUMMYFUNCTION("""COMPUTED_VALUE"""),44988.66666666667)</f>
        <v>44988.66667</v>
      </c>
      <c r="B1190" s="22">
        <f>IFERROR(__xludf.DUMMYFUNCTION("""COMPUTED_VALUE"""),4045.64)</f>
        <v>4045.64</v>
      </c>
      <c r="C1190" s="25">
        <f>IFERROR(__xludf.DUMMYFUNCTION("""COMPUTED_VALUE"""),44988.63611111111)</f>
        <v>44988.63611</v>
      </c>
      <c r="D1190" s="22">
        <f>IFERROR(__xludf.DUMMYFUNCTION("""COMPUTED_VALUE"""),18.49)</f>
        <v>18.49</v>
      </c>
      <c r="F1190" s="25">
        <f>IFERROR(__xludf.DUMMYFUNCTION("""COMPUTED_VALUE"""),44988.63611111111)</f>
        <v>44988.63611</v>
      </c>
      <c r="G1190" s="22">
        <f>IFERROR(__xludf.DUMMYFUNCTION("""COMPUTED_VALUE"""),19.98)</f>
        <v>19.98</v>
      </c>
      <c r="H1190" s="25">
        <f>IFERROR(__xludf.DUMMYFUNCTION("""COMPUTED_VALUE"""),44988.63611111111)</f>
        <v>44988.63611</v>
      </c>
      <c r="I1190" s="22">
        <f>IFERROR(__xludf.DUMMYFUNCTION("""COMPUTED_VALUE"""),21.82)</f>
        <v>21.82</v>
      </c>
      <c r="J1190" s="25">
        <f>IFERROR(__xludf.DUMMYFUNCTION("""COMPUTED_VALUE"""),44988.63611111111)</f>
        <v>44988.63611</v>
      </c>
      <c r="K1190" s="22">
        <f>IFERROR(__xludf.DUMMYFUNCTION("""COMPUTED_VALUE"""),23.0)</f>
        <v>23</v>
      </c>
    </row>
    <row r="1191" ht="15.75" customHeight="1">
      <c r="A1191" s="25">
        <f>IFERROR(__xludf.DUMMYFUNCTION("""COMPUTED_VALUE"""),44991.66666666667)</f>
        <v>44991.66667</v>
      </c>
      <c r="B1191" s="22">
        <f>IFERROR(__xludf.DUMMYFUNCTION("""COMPUTED_VALUE"""),4048.42)</f>
        <v>4048.42</v>
      </c>
      <c r="C1191" s="25">
        <f>IFERROR(__xludf.DUMMYFUNCTION("""COMPUTED_VALUE"""),44991.63611111111)</f>
        <v>44991.63611</v>
      </c>
      <c r="D1191" s="22">
        <f>IFERROR(__xludf.DUMMYFUNCTION("""COMPUTED_VALUE"""),18.61)</f>
        <v>18.61</v>
      </c>
      <c r="F1191" s="25">
        <f>IFERROR(__xludf.DUMMYFUNCTION("""COMPUTED_VALUE"""),44991.63611111111)</f>
        <v>44991.63611</v>
      </c>
      <c r="G1191" s="22">
        <f>IFERROR(__xludf.DUMMYFUNCTION("""COMPUTED_VALUE"""),19.99)</f>
        <v>19.99</v>
      </c>
      <c r="H1191" s="25">
        <f>IFERROR(__xludf.DUMMYFUNCTION("""COMPUTED_VALUE"""),44991.63611111111)</f>
        <v>44991.63611</v>
      </c>
      <c r="I1191" s="22">
        <f>IFERROR(__xludf.DUMMYFUNCTION("""COMPUTED_VALUE"""),21.79)</f>
        <v>21.79</v>
      </c>
      <c r="J1191" s="25">
        <f>IFERROR(__xludf.DUMMYFUNCTION("""COMPUTED_VALUE"""),44991.63611111111)</f>
        <v>44991.63611</v>
      </c>
      <c r="K1191" s="22">
        <f>IFERROR(__xludf.DUMMYFUNCTION("""COMPUTED_VALUE"""),22.9)</f>
        <v>22.9</v>
      </c>
    </row>
    <row r="1192" ht="15.75" customHeight="1">
      <c r="A1192" s="25">
        <f>IFERROR(__xludf.DUMMYFUNCTION("""COMPUTED_VALUE"""),44992.66666666667)</f>
        <v>44992.66667</v>
      </c>
      <c r="B1192" s="22">
        <f>IFERROR(__xludf.DUMMYFUNCTION("""COMPUTED_VALUE"""),3986.37)</f>
        <v>3986.37</v>
      </c>
      <c r="C1192" s="25">
        <f>IFERROR(__xludf.DUMMYFUNCTION("""COMPUTED_VALUE"""),44992.63611111111)</f>
        <v>44992.63611</v>
      </c>
      <c r="D1192" s="22">
        <f>IFERROR(__xludf.DUMMYFUNCTION("""COMPUTED_VALUE"""),19.59)</f>
        <v>19.59</v>
      </c>
      <c r="F1192" s="25">
        <f>IFERROR(__xludf.DUMMYFUNCTION("""COMPUTED_VALUE"""),44992.63611111111)</f>
        <v>44992.63611</v>
      </c>
      <c r="G1192" s="22">
        <f>IFERROR(__xludf.DUMMYFUNCTION("""COMPUTED_VALUE"""),20.59)</f>
        <v>20.59</v>
      </c>
      <c r="H1192" s="25">
        <f>IFERROR(__xludf.DUMMYFUNCTION("""COMPUTED_VALUE"""),44992.63611111111)</f>
        <v>44992.63611</v>
      </c>
      <c r="I1192" s="22">
        <f>IFERROR(__xludf.DUMMYFUNCTION("""COMPUTED_VALUE"""),22.2)</f>
        <v>22.2</v>
      </c>
      <c r="J1192" s="25">
        <f>IFERROR(__xludf.DUMMYFUNCTION("""COMPUTED_VALUE"""),44992.63611111111)</f>
        <v>44992.63611</v>
      </c>
      <c r="K1192" s="22">
        <f>IFERROR(__xludf.DUMMYFUNCTION("""COMPUTED_VALUE"""),23.16)</f>
        <v>23.16</v>
      </c>
    </row>
    <row r="1193" ht="15.75" customHeight="1">
      <c r="A1193" s="25">
        <f>IFERROR(__xludf.DUMMYFUNCTION("""COMPUTED_VALUE"""),44993.66666666667)</f>
        <v>44993.66667</v>
      </c>
      <c r="B1193" s="22">
        <f>IFERROR(__xludf.DUMMYFUNCTION("""COMPUTED_VALUE"""),3992.01)</f>
        <v>3992.01</v>
      </c>
      <c r="C1193" s="25">
        <f>IFERROR(__xludf.DUMMYFUNCTION("""COMPUTED_VALUE"""),44993.63611111111)</f>
        <v>44993.63611</v>
      </c>
      <c r="D1193" s="22">
        <f>IFERROR(__xludf.DUMMYFUNCTION("""COMPUTED_VALUE"""),19.11)</f>
        <v>19.11</v>
      </c>
      <c r="F1193" s="25">
        <f>IFERROR(__xludf.DUMMYFUNCTION("""COMPUTED_VALUE"""),44993.63611111111)</f>
        <v>44993.63611</v>
      </c>
      <c r="G1193" s="22">
        <f>IFERROR(__xludf.DUMMYFUNCTION("""COMPUTED_VALUE"""),20.19)</f>
        <v>20.19</v>
      </c>
      <c r="H1193" s="25">
        <f>IFERROR(__xludf.DUMMYFUNCTION("""COMPUTED_VALUE"""),44993.63611111111)</f>
        <v>44993.63611</v>
      </c>
      <c r="I1193" s="22">
        <f>IFERROR(__xludf.DUMMYFUNCTION("""COMPUTED_VALUE"""),21.84)</f>
        <v>21.84</v>
      </c>
      <c r="J1193" s="25">
        <f>IFERROR(__xludf.DUMMYFUNCTION("""COMPUTED_VALUE"""),44993.63611111111)</f>
        <v>44993.63611</v>
      </c>
      <c r="K1193" s="22">
        <f>IFERROR(__xludf.DUMMYFUNCTION("""COMPUTED_VALUE"""),23.2)</f>
        <v>23.2</v>
      </c>
    </row>
    <row r="1194" ht="15.75" customHeight="1">
      <c r="A1194" s="25">
        <f>IFERROR(__xludf.DUMMYFUNCTION("""COMPUTED_VALUE"""),44994.66666666667)</f>
        <v>44994.66667</v>
      </c>
      <c r="B1194" s="22">
        <f>IFERROR(__xludf.DUMMYFUNCTION("""COMPUTED_VALUE"""),3918.32)</f>
        <v>3918.32</v>
      </c>
      <c r="C1194" s="25">
        <f>IFERROR(__xludf.DUMMYFUNCTION("""COMPUTED_VALUE"""),44994.63611111111)</f>
        <v>44994.63611</v>
      </c>
      <c r="D1194" s="22">
        <f>IFERROR(__xludf.DUMMYFUNCTION("""COMPUTED_VALUE"""),22.61)</f>
        <v>22.61</v>
      </c>
      <c r="F1194" s="25">
        <f>IFERROR(__xludf.DUMMYFUNCTION("""COMPUTED_VALUE"""),44994.63611111111)</f>
        <v>44994.63611</v>
      </c>
      <c r="G1194" s="22">
        <f>IFERROR(__xludf.DUMMYFUNCTION("""COMPUTED_VALUE"""),22.87)</f>
        <v>22.87</v>
      </c>
      <c r="H1194" s="25">
        <f>IFERROR(__xludf.DUMMYFUNCTION("""COMPUTED_VALUE"""),44994.63611111111)</f>
        <v>44994.63611</v>
      </c>
      <c r="I1194" s="22">
        <f>IFERROR(__xludf.DUMMYFUNCTION("""COMPUTED_VALUE"""),23.87)</f>
        <v>23.87</v>
      </c>
      <c r="J1194" s="25">
        <f>IFERROR(__xludf.DUMMYFUNCTION("""COMPUTED_VALUE"""),44994.63611111111)</f>
        <v>44994.63611</v>
      </c>
      <c r="K1194" s="22">
        <f>IFERROR(__xludf.DUMMYFUNCTION("""COMPUTED_VALUE"""),24.2)</f>
        <v>24.2</v>
      </c>
    </row>
    <row r="1195" ht="15.75" customHeight="1">
      <c r="A1195" s="25">
        <f>IFERROR(__xludf.DUMMYFUNCTION("""COMPUTED_VALUE"""),44995.66666666667)</f>
        <v>44995.66667</v>
      </c>
      <c r="B1195" s="22">
        <f>IFERROR(__xludf.DUMMYFUNCTION("""COMPUTED_VALUE"""),3861.59)</f>
        <v>3861.59</v>
      </c>
      <c r="C1195" s="25">
        <f>IFERROR(__xludf.DUMMYFUNCTION("""COMPUTED_VALUE"""),44995.63611111111)</f>
        <v>44995.63611</v>
      </c>
      <c r="D1195" s="22">
        <f>IFERROR(__xludf.DUMMYFUNCTION("""COMPUTED_VALUE"""),24.8)</f>
        <v>24.8</v>
      </c>
      <c r="F1195" s="25">
        <f>IFERROR(__xludf.DUMMYFUNCTION("""COMPUTED_VALUE"""),44995.63611111111)</f>
        <v>44995.63611</v>
      </c>
      <c r="G1195" s="22">
        <f>IFERROR(__xludf.DUMMYFUNCTION("""COMPUTED_VALUE"""),25.39)</f>
        <v>25.39</v>
      </c>
      <c r="H1195" s="25">
        <f>IFERROR(__xludf.DUMMYFUNCTION("""COMPUTED_VALUE"""),44995.63611111111)</f>
        <v>44995.63611</v>
      </c>
      <c r="I1195" s="22">
        <f>IFERROR(__xludf.DUMMYFUNCTION("""COMPUTED_VALUE"""),25.97)</f>
        <v>25.97</v>
      </c>
      <c r="J1195" s="25">
        <f>IFERROR(__xludf.DUMMYFUNCTION("""COMPUTED_VALUE"""),44995.63611111111)</f>
        <v>44995.63611</v>
      </c>
      <c r="K1195" s="22">
        <f>IFERROR(__xludf.DUMMYFUNCTION("""COMPUTED_VALUE"""),25.6)</f>
        <v>25.6</v>
      </c>
    </row>
    <row r="1196" ht="15.75" customHeight="1">
      <c r="A1196" s="25">
        <f>IFERROR(__xludf.DUMMYFUNCTION("""COMPUTED_VALUE"""),44998.66666666667)</f>
        <v>44998.66667</v>
      </c>
      <c r="B1196" s="22">
        <f>IFERROR(__xludf.DUMMYFUNCTION("""COMPUTED_VALUE"""),3855.76)</f>
        <v>3855.76</v>
      </c>
      <c r="C1196" s="25">
        <f>IFERROR(__xludf.DUMMYFUNCTION("""COMPUTED_VALUE"""),44998.63611111111)</f>
        <v>44998.63611</v>
      </c>
      <c r="D1196" s="22">
        <f>IFERROR(__xludf.DUMMYFUNCTION("""COMPUTED_VALUE"""),26.52)</f>
        <v>26.52</v>
      </c>
      <c r="F1196" s="25">
        <f>IFERROR(__xludf.DUMMYFUNCTION("""COMPUTED_VALUE"""),44998.63611111111)</f>
        <v>44998.63611</v>
      </c>
      <c r="G1196" s="22">
        <f>IFERROR(__xludf.DUMMYFUNCTION("""COMPUTED_VALUE"""),26.64)</f>
        <v>26.64</v>
      </c>
      <c r="H1196" s="25">
        <f>IFERROR(__xludf.DUMMYFUNCTION("""COMPUTED_VALUE"""),44998.63611111111)</f>
        <v>44998.63611</v>
      </c>
      <c r="I1196" s="22">
        <f>IFERROR(__xludf.DUMMYFUNCTION("""COMPUTED_VALUE"""),27.0)</f>
        <v>27</v>
      </c>
      <c r="J1196" s="25">
        <f>IFERROR(__xludf.DUMMYFUNCTION("""COMPUTED_VALUE"""),44998.63611111111)</f>
        <v>44998.63611</v>
      </c>
      <c r="K1196" s="22">
        <f>IFERROR(__xludf.DUMMYFUNCTION("""COMPUTED_VALUE"""),26.3)</f>
        <v>26.3</v>
      </c>
    </row>
    <row r="1197" ht="15.75" customHeight="1">
      <c r="A1197" s="25">
        <f>IFERROR(__xludf.DUMMYFUNCTION("""COMPUTED_VALUE"""),44999.66666666667)</f>
        <v>44999.66667</v>
      </c>
      <c r="B1197" s="22">
        <f>IFERROR(__xludf.DUMMYFUNCTION("""COMPUTED_VALUE"""),3919.29)</f>
        <v>3919.29</v>
      </c>
      <c r="C1197" s="25">
        <f>IFERROR(__xludf.DUMMYFUNCTION("""COMPUTED_VALUE"""),44999.63611111111)</f>
        <v>44999.63611</v>
      </c>
      <c r="D1197" s="22">
        <f>IFERROR(__xludf.DUMMYFUNCTION("""COMPUTED_VALUE"""),23.73)</f>
        <v>23.73</v>
      </c>
      <c r="F1197" s="25">
        <f>IFERROR(__xludf.DUMMYFUNCTION("""COMPUTED_VALUE"""),44999.63611111111)</f>
        <v>44999.63611</v>
      </c>
      <c r="G1197" s="22">
        <f>IFERROR(__xludf.DUMMYFUNCTION("""COMPUTED_VALUE"""),24.87)</f>
        <v>24.87</v>
      </c>
      <c r="H1197" s="25">
        <f>IFERROR(__xludf.DUMMYFUNCTION("""COMPUTED_VALUE"""),44999.63611111111)</f>
        <v>44999.63611</v>
      </c>
      <c r="I1197" s="22">
        <f>IFERROR(__xludf.DUMMYFUNCTION("""COMPUTED_VALUE"""),25.68)</f>
        <v>25.68</v>
      </c>
      <c r="J1197" s="25">
        <f>IFERROR(__xludf.DUMMYFUNCTION("""COMPUTED_VALUE"""),44999.63611111111)</f>
        <v>44999.63611</v>
      </c>
      <c r="K1197" s="22">
        <f>IFERROR(__xludf.DUMMYFUNCTION("""COMPUTED_VALUE"""),25.41)</f>
        <v>25.41</v>
      </c>
    </row>
    <row r="1198" ht="15.75" customHeight="1">
      <c r="A1198" s="25">
        <f>IFERROR(__xludf.DUMMYFUNCTION("""COMPUTED_VALUE"""),45000.66666666667)</f>
        <v>45000.66667</v>
      </c>
      <c r="B1198" s="22">
        <f>IFERROR(__xludf.DUMMYFUNCTION("""COMPUTED_VALUE"""),3891.93)</f>
        <v>3891.93</v>
      </c>
      <c r="C1198" s="25">
        <f>IFERROR(__xludf.DUMMYFUNCTION("""COMPUTED_VALUE"""),45000.63611111111)</f>
        <v>45000.63611</v>
      </c>
      <c r="D1198" s="22">
        <f>IFERROR(__xludf.DUMMYFUNCTION("""COMPUTED_VALUE"""),26.14)</f>
        <v>26.14</v>
      </c>
      <c r="F1198" s="25">
        <f>IFERROR(__xludf.DUMMYFUNCTION("""COMPUTED_VALUE"""),45000.63611111111)</f>
        <v>45000.63611</v>
      </c>
      <c r="G1198" s="22">
        <f>IFERROR(__xludf.DUMMYFUNCTION("""COMPUTED_VALUE"""),27.2)</f>
        <v>27.2</v>
      </c>
      <c r="H1198" s="25">
        <f>IFERROR(__xludf.DUMMYFUNCTION("""COMPUTED_VALUE"""),45000.63611111111)</f>
        <v>45000.63611</v>
      </c>
      <c r="I1198" s="22">
        <f>IFERROR(__xludf.DUMMYFUNCTION("""COMPUTED_VALUE"""),27.8)</f>
        <v>27.8</v>
      </c>
      <c r="J1198" s="25">
        <f>IFERROR(__xludf.DUMMYFUNCTION("""COMPUTED_VALUE"""),45000.63611111111)</f>
        <v>45000.63611</v>
      </c>
      <c r="K1198" s="22">
        <f>IFERROR(__xludf.DUMMYFUNCTION("""COMPUTED_VALUE"""),27.57)</f>
        <v>27.57</v>
      </c>
    </row>
    <row r="1199" ht="15.75" customHeight="1">
      <c r="A1199" s="25">
        <f>IFERROR(__xludf.DUMMYFUNCTION("""COMPUTED_VALUE"""),45001.66666666667)</f>
        <v>45001.66667</v>
      </c>
      <c r="B1199" s="22">
        <f>IFERROR(__xludf.DUMMYFUNCTION("""COMPUTED_VALUE"""),3960.28)</f>
        <v>3960.28</v>
      </c>
      <c r="C1199" s="25">
        <f>IFERROR(__xludf.DUMMYFUNCTION("""COMPUTED_VALUE"""),45001.63611111111)</f>
        <v>45001.63611</v>
      </c>
      <c r="D1199" s="22">
        <f>IFERROR(__xludf.DUMMYFUNCTION("""COMPUTED_VALUE"""),22.99)</f>
        <v>22.99</v>
      </c>
      <c r="F1199" s="25">
        <f>IFERROR(__xludf.DUMMYFUNCTION("""COMPUTED_VALUE"""),45001.63611111111)</f>
        <v>45001.63611</v>
      </c>
      <c r="G1199" s="22">
        <f>IFERROR(__xludf.DUMMYFUNCTION("""COMPUTED_VALUE"""),24.56)</f>
        <v>24.56</v>
      </c>
      <c r="H1199" s="25">
        <f>IFERROR(__xludf.DUMMYFUNCTION("""COMPUTED_VALUE"""),45001.63611111111)</f>
        <v>45001.63611</v>
      </c>
      <c r="I1199" s="22">
        <f>IFERROR(__xludf.DUMMYFUNCTION("""COMPUTED_VALUE"""),25.72)</f>
        <v>25.72</v>
      </c>
      <c r="J1199" s="25">
        <f>IFERROR(__xludf.DUMMYFUNCTION("""COMPUTED_VALUE"""),45001.63611111111)</f>
        <v>45001.63611</v>
      </c>
      <c r="K1199" s="22">
        <f>IFERROR(__xludf.DUMMYFUNCTION("""COMPUTED_VALUE"""),25.71)</f>
        <v>25.71</v>
      </c>
    </row>
    <row r="1200" ht="15.75" customHeight="1">
      <c r="A1200" s="25">
        <f>IFERROR(__xludf.DUMMYFUNCTION("""COMPUTED_VALUE"""),45002.66666666667)</f>
        <v>45002.66667</v>
      </c>
      <c r="B1200" s="22">
        <f>IFERROR(__xludf.DUMMYFUNCTION("""COMPUTED_VALUE"""),3916.64)</f>
        <v>3916.64</v>
      </c>
      <c r="C1200" s="25">
        <f>IFERROR(__xludf.DUMMYFUNCTION("""COMPUTED_VALUE"""),45002.63611111111)</f>
        <v>45002.63611</v>
      </c>
      <c r="D1200" s="22">
        <f>IFERROR(__xludf.DUMMYFUNCTION("""COMPUTED_VALUE"""),25.51)</f>
        <v>25.51</v>
      </c>
      <c r="F1200" s="25">
        <f>IFERROR(__xludf.DUMMYFUNCTION("""COMPUTED_VALUE"""),45002.63611111111)</f>
        <v>45002.63611</v>
      </c>
      <c r="G1200" s="22">
        <f>IFERROR(__xludf.DUMMYFUNCTION("""COMPUTED_VALUE"""),27.42)</f>
        <v>27.42</v>
      </c>
      <c r="H1200" s="25">
        <f>IFERROR(__xludf.DUMMYFUNCTION("""COMPUTED_VALUE"""),45002.63611111111)</f>
        <v>45002.63611</v>
      </c>
      <c r="I1200" s="22">
        <f>IFERROR(__xludf.DUMMYFUNCTION("""COMPUTED_VALUE"""),28.23)</f>
        <v>28.23</v>
      </c>
      <c r="J1200" s="25">
        <f>IFERROR(__xludf.DUMMYFUNCTION("""COMPUTED_VALUE"""),45002.63611111111)</f>
        <v>45002.63611</v>
      </c>
      <c r="K1200" s="22">
        <f>IFERROR(__xludf.DUMMYFUNCTION("""COMPUTED_VALUE"""),27.63)</f>
        <v>27.63</v>
      </c>
    </row>
    <row r="1201" ht="15.75" customHeight="1">
      <c r="A1201" s="25">
        <f>IFERROR(__xludf.DUMMYFUNCTION("""COMPUTED_VALUE"""),45005.66666666667)</f>
        <v>45005.66667</v>
      </c>
      <c r="B1201" s="22">
        <f>IFERROR(__xludf.DUMMYFUNCTION("""COMPUTED_VALUE"""),3951.57)</f>
        <v>3951.57</v>
      </c>
      <c r="C1201" s="25">
        <f>IFERROR(__xludf.DUMMYFUNCTION("""COMPUTED_VALUE"""),45005.63611111111)</f>
        <v>45005.63611</v>
      </c>
      <c r="D1201" s="22">
        <f>IFERROR(__xludf.DUMMYFUNCTION("""COMPUTED_VALUE"""),24.15)</f>
        <v>24.15</v>
      </c>
      <c r="F1201" s="25">
        <f>IFERROR(__xludf.DUMMYFUNCTION("""COMPUTED_VALUE"""),45005.63611111111)</f>
        <v>45005.63611</v>
      </c>
      <c r="G1201" s="22">
        <f>IFERROR(__xludf.DUMMYFUNCTION("""COMPUTED_VALUE"""),25.85)</f>
        <v>25.85</v>
      </c>
      <c r="H1201" s="25">
        <f>IFERROR(__xludf.DUMMYFUNCTION("""COMPUTED_VALUE"""),45005.63611111111)</f>
        <v>45005.63611</v>
      </c>
      <c r="I1201" s="22">
        <f>IFERROR(__xludf.DUMMYFUNCTION("""COMPUTED_VALUE"""),26.98)</f>
        <v>26.98</v>
      </c>
      <c r="J1201" s="25">
        <f>IFERROR(__xludf.DUMMYFUNCTION("""COMPUTED_VALUE"""),45005.63611111111)</f>
        <v>45005.63611</v>
      </c>
      <c r="K1201" s="22">
        <f>IFERROR(__xludf.DUMMYFUNCTION("""COMPUTED_VALUE"""),26.69)</f>
        <v>26.69</v>
      </c>
    </row>
    <row r="1202" ht="15.75" customHeight="1">
      <c r="A1202" s="25">
        <f>IFERROR(__xludf.DUMMYFUNCTION("""COMPUTED_VALUE"""),45006.66666666667)</f>
        <v>45006.66667</v>
      </c>
      <c r="B1202" s="22">
        <f>IFERROR(__xludf.DUMMYFUNCTION("""COMPUTED_VALUE"""),4002.87)</f>
        <v>4002.87</v>
      </c>
      <c r="C1202" s="25">
        <f>IFERROR(__xludf.DUMMYFUNCTION("""COMPUTED_VALUE"""),45006.63611111111)</f>
        <v>45006.63611</v>
      </c>
      <c r="D1202" s="22">
        <f>IFERROR(__xludf.DUMMYFUNCTION("""COMPUTED_VALUE"""),21.38)</f>
        <v>21.38</v>
      </c>
      <c r="F1202" s="25">
        <f>IFERROR(__xludf.DUMMYFUNCTION("""COMPUTED_VALUE"""),45006.63611111111)</f>
        <v>45006.63611</v>
      </c>
      <c r="G1202" s="22">
        <f>IFERROR(__xludf.DUMMYFUNCTION("""COMPUTED_VALUE"""),23.57)</f>
        <v>23.57</v>
      </c>
      <c r="H1202" s="25">
        <f>IFERROR(__xludf.DUMMYFUNCTION("""COMPUTED_VALUE"""),45006.63611111111)</f>
        <v>45006.63611</v>
      </c>
      <c r="I1202" s="22">
        <f>IFERROR(__xludf.DUMMYFUNCTION("""COMPUTED_VALUE"""),25.14)</f>
        <v>25.14</v>
      </c>
      <c r="J1202" s="25">
        <f>IFERROR(__xludf.DUMMYFUNCTION("""COMPUTED_VALUE"""),45006.63611111111)</f>
        <v>45006.63611</v>
      </c>
      <c r="K1202" s="22">
        <f>IFERROR(__xludf.DUMMYFUNCTION("""COMPUTED_VALUE"""),25.18)</f>
        <v>25.18</v>
      </c>
    </row>
    <row r="1203" ht="15.75" customHeight="1">
      <c r="A1203" s="25">
        <f>IFERROR(__xludf.DUMMYFUNCTION("""COMPUTED_VALUE"""),45007.66666666667)</f>
        <v>45007.66667</v>
      </c>
      <c r="B1203" s="22">
        <f>IFERROR(__xludf.DUMMYFUNCTION("""COMPUTED_VALUE"""),3936.97)</f>
        <v>3936.97</v>
      </c>
      <c r="C1203" s="25">
        <f>IFERROR(__xludf.DUMMYFUNCTION("""COMPUTED_VALUE"""),45007.63611111111)</f>
        <v>45007.63611</v>
      </c>
      <c r="D1203" s="22">
        <f>IFERROR(__xludf.DUMMYFUNCTION("""COMPUTED_VALUE"""),22.26)</f>
        <v>22.26</v>
      </c>
      <c r="F1203" s="25">
        <f>IFERROR(__xludf.DUMMYFUNCTION("""COMPUTED_VALUE"""),45007.63611111111)</f>
        <v>45007.63611</v>
      </c>
      <c r="G1203" s="22">
        <f>IFERROR(__xludf.DUMMYFUNCTION("""COMPUTED_VALUE"""),24.38)</f>
        <v>24.38</v>
      </c>
      <c r="H1203" s="25">
        <f>IFERROR(__xludf.DUMMYFUNCTION("""COMPUTED_VALUE"""),45007.63611111111)</f>
        <v>45007.63611</v>
      </c>
      <c r="I1203" s="22">
        <f>IFERROR(__xludf.DUMMYFUNCTION("""COMPUTED_VALUE"""),25.66)</f>
        <v>25.66</v>
      </c>
      <c r="J1203" s="25">
        <f>IFERROR(__xludf.DUMMYFUNCTION("""COMPUTED_VALUE"""),45007.63611111111)</f>
        <v>45007.63611</v>
      </c>
      <c r="K1203" s="22">
        <f>IFERROR(__xludf.DUMMYFUNCTION("""COMPUTED_VALUE"""),25.55)</f>
        <v>25.55</v>
      </c>
    </row>
    <row r="1204" ht="15.75" customHeight="1">
      <c r="A1204" s="25">
        <f>IFERROR(__xludf.DUMMYFUNCTION("""COMPUTED_VALUE"""),45008.66666666667)</f>
        <v>45008.66667</v>
      </c>
      <c r="B1204" s="22">
        <f>IFERROR(__xludf.DUMMYFUNCTION("""COMPUTED_VALUE"""),3948.72)</f>
        <v>3948.72</v>
      </c>
      <c r="C1204" s="25">
        <f>IFERROR(__xludf.DUMMYFUNCTION("""COMPUTED_VALUE"""),45008.63611111111)</f>
        <v>45008.63611</v>
      </c>
      <c r="D1204" s="22">
        <f>IFERROR(__xludf.DUMMYFUNCTION("""COMPUTED_VALUE"""),22.61)</f>
        <v>22.61</v>
      </c>
      <c r="F1204" s="25">
        <f>IFERROR(__xludf.DUMMYFUNCTION("""COMPUTED_VALUE"""),45008.63611111111)</f>
        <v>45008.63611</v>
      </c>
      <c r="G1204" s="22">
        <f>IFERROR(__xludf.DUMMYFUNCTION("""COMPUTED_VALUE"""),24.53)</f>
        <v>24.53</v>
      </c>
      <c r="H1204" s="25">
        <f>IFERROR(__xludf.DUMMYFUNCTION("""COMPUTED_VALUE"""),45008.63611111111)</f>
        <v>45008.63611</v>
      </c>
      <c r="I1204" s="22">
        <f>IFERROR(__xludf.DUMMYFUNCTION("""COMPUTED_VALUE"""),25.94)</f>
        <v>25.94</v>
      </c>
      <c r="J1204" s="25">
        <f>IFERROR(__xludf.DUMMYFUNCTION("""COMPUTED_VALUE"""),45008.63611111111)</f>
        <v>45008.63611</v>
      </c>
      <c r="K1204" s="22">
        <f>IFERROR(__xludf.DUMMYFUNCTION("""COMPUTED_VALUE"""),25.99)</f>
        <v>25.99</v>
      </c>
    </row>
    <row r="1205" ht="15.75" customHeight="1">
      <c r="A1205" s="25">
        <f>IFERROR(__xludf.DUMMYFUNCTION("""COMPUTED_VALUE"""),45009.66666666667)</f>
        <v>45009.66667</v>
      </c>
      <c r="B1205" s="22">
        <f>IFERROR(__xludf.DUMMYFUNCTION("""COMPUTED_VALUE"""),3970.99)</f>
        <v>3970.99</v>
      </c>
      <c r="C1205" s="25">
        <f>IFERROR(__xludf.DUMMYFUNCTION("""COMPUTED_VALUE"""),45009.63611111111)</f>
        <v>45009.63611</v>
      </c>
      <c r="D1205" s="22">
        <f>IFERROR(__xludf.DUMMYFUNCTION("""COMPUTED_VALUE"""),21.74)</f>
        <v>21.74</v>
      </c>
      <c r="F1205" s="25">
        <f>IFERROR(__xludf.DUMMYFUNCTION("""COMPUTED_VALUE"""),45009.63611111111)</f>
        <v>45009.63611</v>
      </c>
      <c r="G1205" s="22">
        <f>IFERROR(__xludf.DUMMYFUNCTION("""COMPUTED_VALUE"""),23.96)</f>
        <v>23.96</v>
      </c>
      <c r="H1205" s="25">
        <f>IFERROR(__xludf.DUMMYFUNCTION("""COMPUTED_VALUE"""),45009.63611111111)</f>
        <v>45009.63611</v>
      </c>
      <c r="I1205" s="22">
        <f>IFERROR(__xludf.DUMMYFUNCTION("""COMPUTED_VALUE"""),25.54)</f>
        <v>25.54</v>
      </c>
      <c r="J1205" s="25">
        <f>IFERROR(__xludf.DUMMYFUNCTION("""COMPUTED_VALUE"""),45009.63611111111)</f>
        <v>45009.63611</v>
      </c>
      <c r="K1205" s="22">
        <f>IFERROR(__xludf.DUMMYFUNCTION("""COMPUTED_VALUE"""),25.78)</f>
        <v>25.78</v>
      </c>
    </row>
    <row r="1206" ht="15.75" customHeight="1">
      <c r="A1206" s="25">
        <f>IFERROR(__xludf.DUMMYFUNCTION("""COMPUTED_VALUE"""),45012.66666666667)</f>
        <v>45012.66667</v>
      </c>
      <c r="B1206" s="22">
        <f>IFERROR(__xludf.DUMMYFUNCTION("""COMPUTED_VALUE"""),3977.53)</f>
        <v>3977.53</v>
      </c>
      <c r="C1206" s="25">
        <f>IFERROR(__xludf.DUMMYFUNCTION("""COMPUTED_VALUE"""),45012.63611111111)</f>
        <v>45012.63611</v>
      </c>
      <c r="D1206" s="22">
        <f>IFERROR(__xludf.DUMMYFUNCTION("""COMPUTED_VALUE"""),20.6)</f>
        <v>20.6</v>
      </c>
      <c r="F1206" s="25">
        <f>IFERROR(__xludf.DUMMYFUNCTION("""COMPUTED_VALUE"""),45012.63611111111)</f>
        <v>45012.63611</v>
      </c>
      <c r="G1206" s="22">
        <f>IFERROR(__xludf.DUMMYFUNCTION("""COMPUTED_VALUE"""),22.87)</f>
        <v>22.87</v>
      </c>
      <c r="H1206" s="25">
        <f>IFERROR(__xludf.DUMMYFUNCTION("""COMPUTED_VALUE"""),45012.63611111111)</f>
        <v>45012.63611</v>
      </c>
      <c r="I1206" s="22">
        <f>IFERROR(__xludf.DUMMYFUNCTION("""COMPUTED_VALUE"""),24.6)</f>
        <v>24.6</v>
      </c>
      <c r="J1206" s="25">
        <f>IFERROR(__xludf.DUMMYFUNCTION("""COMPUTED_VALUE"""),45012.63611111111)</f>
        <v>45012.63611</v>
      </c>
      <c r="K1206" s="22">
        <f>IFERROR(__xludf.DUMMYFUNCTION("""COMPUTED_VALUE"""),25.09)</f>
        <v>25.09</v>
      </c>
    </row>
    <row r="1207" ht="15.75" customHeight="1">
      <c r="A1207" s="25">
        <f>IFERROR(__xludf.DUMMYFUNCTION("""COMPUTED_VALUE"""),45013.66666666667)</f>
        <v>45013.66667</v>
      </c>
      <c r="B1207" s="22">
        <f>IFERROR(__xludf.DUMMYFUNCTION("""COMPUTED_VALUE"""),3971.27)</f>
        <v>3971.27</v>
      </c>
      <c r="C1207" s="25">
        <f>IFERROR(__xludf.DUMMYFUNCTION("""COMPUTED_VALUE"""),45013.63611111111)</f>
        <v>45013.63611</v>
      </c>
      <c r="D1207" s="22">
        <f>IFERROR(__xludf.DUMMYFUNCTION("""COMPUTED_VALUE"""),19.97)</f>
        <v>19.97</v>
      </c>
      <c r="F1207" s="25">
        <f>IFERROR(__xludf.DUMMYFUNCTION("""COMPUTED_VALUE"""),45013.63611111111)</f>
        <v>45013.63611</v>
      </c>
      <c r="G1207" s="22">
        <f>IFERROR(__xludf.DUMMYFUNCTION("""COMPUTED_VALUE"""),22.38)</f>
        <v>22.38</v>
      </c>
      <c r="H1207" s="25">
        <f>IFERROR(__xludf.DUMMYFUNCTION("""COMPUTED_VALUE"""),45013.63611111111)</f>
        <v>45013.63611</v>
      </c>
      <c r="I1207" s="22">
        <f>IFERROR(__xludf.DUMMYFUNCTION("""COMPUTED_VALUE"""),24.33)</f>
        <v>24.33</v>
      </c>
      <c r="J1207" s="25">
        <f>IFERROR(__xludf.DUMMYFUNCTION("""COMPUTED_VALUE"""),45013.63611111111)</f>
        <v>45013.63611</v>
      </c>
      <c r="K1207" s="22">
        <f>IFERROR(__xludf.DUMMYFUNCTION("""COMPUTED_VALUE"""),24.78)</f>
        <v>24.78</v>
      </c>
    </row>
    <row r="1208" ht="15.75" customHeight="1">
      <c r="A1208" s="25">
        <f>IFERROR(__xludf.DUMMYFUNCTION("""COMPUTED_VALUE"""),45014.66666666667)</f>
        <v>45014.66667</v>
      </c>
      <c r="B1208" s="22">
        <f>IFERROR(__xludf.DUMMYFUNCTION("""COMPUTED_VALUE"""),4027.81)</f>
        <v>4027.81</v>
      </c>
      <c r="C1208" s="25">
        <f>IFERROR(__xludf.DUMMYFUNCTION("""COMPUTED_VALUE"""),45014.63611111111)</f>
        <v>45014.63611</v>
      </c>
      <c r="D1208" s="22">
        <f>IFERROR(__xludf.DUMMYFUNCTION("""COMPUTED_VALUE"""),19.12)</f>
        <v>19.12</v>
      </c>
      <c r="F1208" s="25">
        <f>IFERROR(__xludf.DUMMYFUNCTION("""COMPUTED_VALUE"""),45014.63611111111)</f>
        <v>45014.63611</v>
      </c>
      <c r="G1208" s="22">
        <f>IFERROR(__xludf.DUMMYFUNCTION("""COMPUTED_VALUE"""),21.49)</f>
        <v>21.49</v>
      </c>
      <c r="H1208" s="25">
        <f>IFERROR(__xludf.DUMMYFUNCTION("""COMPUTED_VALUE"""),45014.63611111111)</f>
        <v>45014.63611</v>
      </c>
      <c r="I1208" s="22">
        <f>IFERROR(__xludf.DUMMYFUNCTION("""COMPUTED_VALUE"""),23.57)</f>
        <v>23.57</v>
      </c>
      <c r="J1208" s="25">
        <f>IFERROR(__xludf.DUMMYFUNCTION("""COMPUTED_VALUE"""),45014.63611111111)</f>
        <v>45014.63611</v>
      </c>
      <c r="K1208" s="22">
        <f>IFERROR(__xludf.DUMMYFUNCTION("""COMPUTED_VALUE"""),24.22)</f>
        <v>24.22</v>
      </c>
    </row>
    <row r="1209" ht="15.75" customHeight="1">
      <c r="A1209" s="25">
        <f>IFERROR(__xludf.DUMMYFUNCTION("""COMPUTED_VALUE"""),45015.66666666667)</f>
        <v>45015.66667</v>
      </c>
      <c r="B1209" s="22">
        <f>IFERROR(__xludf.DUMMYFUNCTION("""COMPUTED_VALUE"""),4050.83)</f>
        <v>4050.83</v>
      </c>
      <c r="C1209" s="25">
        <f>IFERROR(__xludf.DUMMYFUNCTION("""COMPUTED_VALUE"""),45015.63611111111)</f>
        <v>45015.63611</v>
      </c>
      <c r="D1209" s="22">
        <f>IFERROR(__xludf.DUMMYFUNCTION("""COMPUTED_VALUE"""),19.02)</f>
        <v>19.02</v>
      </c>
      <c r="F1209" s="25">
        <f>IFERROR(__xludf.DUMMYFUNCTION("""COMPUTED_VALUE"""),45015.63611111111)</f>
        <v>45015.63611</v>
      </c>
      <c r="G1209" s="22">
        <f>IFERROR(__xludf.DUMMYFUNCTION("""COMPUTED_VALUE"""),21.45)</f>
        <v>21.45</v>
      </c>
      <c r="H1209" s="25">
        <f>IFERROR(__xludf.DUMMYFUNCTION("""COMPUTED_VALUE"""),45015.63611111111)</f>
        <v>45015.63611</v>
      </c>
      <c r="I1209" s="22">
        <f>IFERROR(__xludf.DUMMYFUNCTION("""COMPUTED_VALUE"""),23.55)</f>
        <v>23.55</v>
      </c>
      <c r="J1209" s="25">
        <f>IFERROR(__xludf.DUMMYFUNCTION("""COMPUTED_VALUE"""),45015.63611111111)</f>
        <v>45015.63611</v>
      </c>
      <c r="K1209" s="22">
        <f>IFERROR(__xludf.DUMMYFUNCTION("""COMPUTED_VALUE"""),24.18)</f>
        <v>24.18</v>
      </c>
    </row>
    <row r="1210" ht="15.75" customHeight="1">
      <c r="A1210" s="25">
        <f>IFERROR(__xludf.DUMMYFUNCTION("""COMPUTED_VALUE"""),45016.66666666667)</f>
        <v>45016.66667</v>
      </c>
      <c r="B1210" s="22">
        <f>IFERROR(__xludf.DUMMYFUNCTION("""COMPUTED_VALUE"""),4109.31)</f>
        <v>4109.31</v>
      </c>
      <c r="C1210" s="25">
        <f>IFERROR(__xludf.DUMMYFUNCTION("""COMPUTED_VALUE"""),45016.63611111111)</f>
        <v>45016.63611</v>
      </c>
      <c r="D1210" s="22">
        <f>IFERROR(__xludf.DUMMYFUNCTION("""COMPUTED_VALUE"""),18.7)</f>
        <v>18.7</v>
      </c>
      <c r="F1210" s="25">
        <f>IFERROR(__xludf.DUMMYFUNCTION("""COMPUTED_VALUE"""),45016.63611111111)</f>
        <v>45016.63611</v>
      </c>
      <c r="G1210" s="22">
        <f>IFERROR(__xludf.DUMMYFUNCTION("""COMPUTED_VALUE"""),21.23)</f>
        <v>21.23</v>
      </c>
      <c r="H1210" s="25">
        <f>IFERROR(__xludf.DUMMYFUNCTION("""COMPUTED_VALUE"""),45016.63611111111)</f>
        <v>45016.63611</v>
      </c>
      <c r="I1210" s="22">
        <f>IFERROR(__xludf.DUMMYFUNCTION("""COMPUTED_VALUE"""),23.25)</f>
        <v>23.25</v>
      </c>
      <c r="J1210" s="25">
        <f>IFERROR(__xludf.DUMMYFUNCTION("""COMPUTED_VALUE"""),45016.63611111111)</f>
        <v>45016.63611</v>
      </c>
      <c r="K1210" s="22">
        <f>IFERROR(__xludf.DUMMYFUNCTION("""COMPUTED_VALUE"""),24.12)</f>
        <v>24.12</v>
      </c>
    </row>
    <row r="1211" ht="15.75" customHeight="1">
      <c r="A1211" s="25">
        <f>IFERROR(__xludf.DUMMYFUNCTION("""COMPUTED_VALUE"""),45019.66666666667)</f>
        <v>45019.66667</v>
      </c>
      <c r="B1211" s="22">
        <f>IFERROR(__xludf.DUMMYFUNCTION("""COMPUTED_VALUE"""),4124.51)</f>
        <v>4124.51</v>
      </c>
      <c r="C1211" s="25">
        <f>IFERROR(__xludf.DUMMYFUNCTION("""COMPUTED_VALUE"""),45019.63611111111)</f>
        <v>45019.63611</v>
      </c>
      <c r="D1211" s="22">
        <f>IFERROR(__xludf.DUMMYFUNCTION("""COMPUTED_VALUE"""),18.55)</f>
        <v>18.55</v>
      </c>
      <c r="F1211" s="25">
        <f>IFERROR(__xludf.DUMMYFUNCTION("""COMPUTED_VALUE"""),45019.63611111111)</f>
        <v>45019.63611</v>
      </c>
      <c r="G1211" s="22">
        <f>IFERROR(__xludf.DUMMYFUNCTION("""COMPUTED_VALUE"""),20.83)</f>
        <v>20.83</v>
      </c>
      <c r="H1211" s="25">
        <f>IFERROR(__xludf.DUMMYFUNCTION("""COMPUTED_VALUE"""),45019.63611111111)</f>
        <v>45019.63611</v>
      </c>
      <c r="I1211" s="22">
        <f>IFERROR(__xludf.DUMMYFUNCTION("""COMPUTED_VALUE"""),22.98)</f>
        <v>22.98</v>
      </c>
      <c r="J1211" s="25">
        <f>IFERROR(__xludf.DUMMYFUNCTION("""COMPUTED_VALUE"""),45019.63611111111)</f>
        <v>45019.63611</v>
      </c>
      <c r="K1211" s="22">
        <f>IFERROR(__xludf.DUMMYFUNCTION("""COMPUTED_VALUE"""),23.84)</f>
        <v>23.84</v>
      </c>
    </row>
    <row r="1212" ht="15.75" customHeight="1">
      <c r="A1212" s="25">
        <f>IFERROR(__xludf.DUMMYFUNCTION("""COMPUTED_VALUE"""),45020.66666666667)</f>
        <v>45020.66667</v>
      </c>
      <c r="B1212" s="22">
        <f>IFERROR(__xludf.DUMMYFUNCTION("""COMPUTED_VALUE"""),4100.6)</f>
        <v>4100.6</v>
      </c>
      <c r="C1212" s="25">
        <f>IFERROR(__xludf.DUMMYFUNCTION("""COMPUTED_VALUE"""),45020.63611111111)</f>
        <v>45020.63611</v>
      </c>
      <c r="D1212" s="22">
        <f>IFERROR(__xludf.DUMMYFUNCTION("""COMPUTED_VALUE"""),19.0)</f>
        <v>19</v>
      </c>
      <c r="F1212" s="25">
        <f>IFERROR(__xludf.DUMMYFUNCTION("""COMPUTED_VALUE"""),45020.63611111111)</f>
        <v>45020.63611</v>
      </c>
      <c r="G1212" s="22">
        <f>IFERROR(__xludf.DUMMYFUNCTION("""COMPUTED_VALUE"""),21.34)</f>
        <v>21.34</v>
      </c>
      <c r="H1212" s="25">
        <f>IFERROR(__xludf.DUMMYFUNCTION("""COMPUTED_VALUE"""),45020.63611111111)</f>
        <v>45020.63611</v>
      </c>
      <c r="I1212" s="22">
        <f>IFERROR(__xludf.DUMMYFUNCTION("""COMPUTED_VALUE"""),23.45)</f>
        <v>23.45</v>
      </c>
      <c r="J1212" s="25">
        <f>IFERROR(__xludf.DUMMYFUNCTION("""COMPUTED_VALUE"""),45020.63611111111)</f>
        <v>45020.63611</v>
      </c>
      <c r="K1212" s="22">
        <f>IFERROR(__xludf.DUMMYFUNCTION("""COMPUTED_VALUE"""),24.33)</f>
        <v>24.33</v>
      </c>
    </row>
    <row r="1213" ht="15.75" customHeight="1">
      <c r="A1213" s="25">
        <f>IFERROR(__xludf.DUMMYFUNCTION("""COMPUTED_VALUE"""),45021.66666666667)</f>
        <v>45021.66667</v>
      </c>
      <c r="B1213" s="22">
        <f>IFERROR(__xludf.DUMMYFUNCTION("""COMPUTED_VALUE"""),4090.38)</f>
        <v>4090.38</v>
      </c>
      <c r="C1213" s="25">
        <f>IFERROR(__xludf.DUMMYFUNCTION("""COMPUTED_VALUE"""),45021.63611111111)</f>
        <v>45021.63611</v>
      </c>
      <c r="D1213" s="22">
        <f>IFERROR(__xludf.DUMMYFUNCTION("""COMPUTED_VALUE"""),19.08)</f>
        <v>19.08</v>
      </c>
      <c r="F1213" s="25">
        <f>IFERROR(__xludf.DUMMYFUNCTION("""COMPUTED_VALUE"""),45021.63611111111)</f>
        <v>45021.63611</v>
      </c>
      <c r="G1213" s="22">
        <f>IFERROR(__xludf.DUMMYFUNCTION("""COMPUTED_VALUE"""),21.48)</f>
        <v>21.48</v>
      </c>
      <c r="H1213" s="25">
        <f>IFERROR(__xludf.DUMMYFUNCTION("""COMPUTED_VALUE"""),45021.63611111111)</f>
        <v>45021.63611</v>
      </c>
      <c r="I1213" s="22">
        <f>IFERROR(__xludf.DUMMYFUNCTION("""COMPUTED_VALUE"""),23.76)</f>
        <v>23.76</v>
      </c>
      <c r="J1213" s="25">
        <f>IFERROR(__xludf.DUMMYFUNCTION("""COMPUTED_VALUE"""),45021.63611111111)</f>
        <v>45021.63611</v>
      </c>
      <c r="K1213" s="22">
        <f>IFERROR(__xludf.DUMMYFUNCTION("""COMPUTED_VALUE"""),24.51)</f>
        <v>24.51</v>
      </c>
    </row>
    <row r="1214" ht="15.75" customHeight="1">
      <c r="A1214" s="25">
        <f>IFERROR(__xludf.DUMMYFUNCTION("""COMPUTED_VALUE"""),45022.66666666667)</f>
        <v>45022.66667</v>
      </c>
      <c r="B1214" s="22">
        <f>IFERROR(__xludf.DUMMYFUNCTION("""COMPUTED_VALUE"""),4105.02)</f>
        <v>4105.02</v>
      </c>
      <c r="C1214" s="25">
        <f>IFERROR(__xludf.DUMMYFUNCTION("""COMPUTED_VALUE"""),45022.63611111111)</f>
        <v>45022.63611</v>
      </c>
      <c r="D1214" s="22">
        <f>IFERROR(__xludf.DUMMYFUNCTION("""COMPUTED_VALUE"""),18.4)</f>
        <v>18.4</v>
      </c>
      <c r="F1214" s="25">
        <f>IFERROR(__xludf.DUMMYFUNCTION("""COMPUTED_VALUE"""),45022.63611111111)</f>
        <v>45022.63611</v>
      </c>
      <c r="G1214" s="22">
        <f>IFERROR(__xludf.DUMMYFUNCTION("""COMPUTED_VALUE"""),21.0)</f>
        <v>21</v>
      </c>
      <c r="H1214" s="25">
        <f>IFERROR(__xludf.DUMMYFUNCTION("""COMPUTED_VALUE"""),45022.63611111111)</f>
        <v>45022.63611</v>
      </c>
      <c r="I1214" s="22">
        <f>IFERROR(__xludf.DUMMYFUNCTION("""COMPUTED_VALUE"""),23.33)</f>
        <v>23.33</v>
      </c>
      <c r="J1214" s="25">
        <f>IFERROR(__xludf.DUMMYFUNCTION("""COMPUTED_VALUE"""),45022.63611111111)</f>
        <v>45022.63611</v>
      </c>
      <c r="K1214" s="22">
        <f>IFERROR(__xludf.DUMMYFUNCTION("""COMPUTED_VALUE"""),24.34)</f>
        <v>24.34</v>
      </c>
    </row>
    <row r="1215" ht="15.75" customHeight="1">
      <c r="A1215" s="25">
        <f>IFERROR(__xludf.DUMMYFUNCTION("""COMPUTED_VALUE"""),45026.66666666667)</f>
        <v>45026.66667</v>
      </c>
      <c r="B1215" s="22">
        <f>IFERROR(__xludf.DUMMYFUNCTION("""COMPUTED_VALUE"""),4109.11)</f>
        <v>4109.11</v>
      </c>
      <c r="C1215" s="25">
        <f>IFERROR(__xludf.DUMMYFUNCTION("""COMPUTED_VALUE"""),45026.63611111111)</f>
        <v>45026.63611</v>
      </c>
      <c r="D1215" s="22">
        <f>IFERROR(__xludf.DUMMYFUNCTION("""COMPUTED_VALUE"""),18.97)</f>
        <v>18.97</v>
      </c>
      <c r="F1215" s="25">
        <f>IFERROR(__xludf.DUMMYFUNCTION("""COMPUTED_VALUE"""),45026.63611111111)</f>
        <v>45026.63611</v>
      </c>
      <c r="G1215" s="22">
        <f>IFERROR(__xludf.DUMMYFUNCTION("""COMPUTED_VALUE"""),21.07)</f>
        <v>21.07</v>
      </c>
      <c r="H1215" s="25">
        <f>IFERROR(__xludf.DUMMYFUNCTION("""COMPUTED_VALUE"""),45026.63611111111)</f>
        <v>45026.63611</v>
      </c>
      <c r="I1215" s="22">
        <f>IFERROR(__xludf.DUMMYFUNCTION("""COMPUTED_VALUE"""),23.21)</f>
        <v>23.21</v>
      </c>
      <c r="J1215" s="25">
        <f>IFERROR(__xludf.DUMMYFUNCTION("""COMPUTED_VALUE"""),45026.63611111111)</f>
        <v>45026.63611</v>
      </c>
      <c r="K1215" s="22">
        <f>IFERROR(__xludf.DUMMYFUNCTION("""COMPUTED_VALUE"""),23.93)</f>
        <v>23.93</v>
      </c>
    </row>
    <row r="1216" ht="15.75" customHeight="1">
      <c r="A1216" s="25">
        <f>IFERROR(__xludf.DUMMYFUNCTION("""COMPUTED_VALUE"""),45027.66666666667)</f>
        <v>45027.66667</v>
      </c>
      <c r="B1216" s="22">
        <f>IFERROR(__xludf.DUMMYFUNCTION("""COMPUTED_VALUE"""),4108.94)</f>
        <v>4108.94</v>
      </c>
      <c r="C1216" s="25">
        <f>IFERROR(__xludf.DUMMYFUNCTION("""COMPUTED_VALUE"""),45027.63611111111)</f>
        <v>45027.63611</v>
      </c>
      <c r="D1216" s="22">
        <f>IFERROR(__xludf.DUMMYFUNCTION("""COMPUTED_VALUE"""),19.1)</f>
        <v>19.1</v>
      </c>
      <c r="F1216" s="25">
        <f>IFERROR(__xludf.DUMMYFUNCTION("""COMPUTED_VALUE"""),45027.63611111111)</f>
        <v>45027.63611</v>
      </c>
      <c r="G1216" s="22">
        <f>IFERROR(__xludf.DUMMYFUNCTION("""COMPUTED_VALUE"""),21.01)</f>
        <v>21.01</v>
      </c>
      <c r="H1216" s="25">
        <f>IFERROR(__xludf.DUMMYFUNCTION("""COMPUTED_VALUE"""),45027.63611111111)</f>
        <v>45027.63611</v>
      </c>
      <c r="I1216" s="22">
        <f>IFERROR(__xludf.DUMMYFUNCTION("""COMPUTED_VALUE"""),23.12)</f>
        <v>23.12</v>
      </c>
      <c r="J1216" s="25">
        <f>IFERROR(__xludf.DUMMYFUNCTION("""COMPUTED_VALUE"""),45027.63611111111)</f>
        <v>45027.63611</v>
      </c>
      <c r="K1216" s="22">
        <f>IFERROR(__xludf.DUMMYFUNCTION("""COMPUTED_VALUE"""),23.93)</f>
        <v>23.93</v>
      </c>
    </row>
    <row r="1217" ht="15.75" customHeight="1">
      <c r="A1217" s="25">
        <f>IFERROR(__xludf.DUMMYFUNCTION("""COMPUTED_VALUE"""),45028.66666666667)</f>
        <v>45028.66667</v>
      </c>
      <c r="B1217" s="22">
        <f>IFERROR(__xludf.DUMMYFUNCTION("""COMPUTED_VALUE"""),4091.95)</f>
        <v>4091.95</v>
      </c>
      <c r="C1217" s="25">
        <f>IFERROR(__xludf.DUMMYFUNCTION("""COMPUTED_VALUE"""),45028.63611111111)</f>
        <v>45028.63611</v>
      </c>
      <c r="D1217" s="22">
        <f>IFERROR(__xludf.DUMMYFUNCTION("""COMPUTED_VALUE"""),19.09)</f>
        <v>19.09</v>
      </c>
      <c r="F1217" s="25">
        <f>IFERROR(__xludf.DUMMYFUNCTION("""COMPUTED_VALUE"""),45028.63611111111)</f>
        <v>45028.63611</v>
      </c>
      <c r="G1217" s="22">
        <f>IFERROR(__xludf.DUMMYFUNCTION("""COMPUTED_VALUE"""),21.05)</f>
        <v>21.05</v>
      </c>
      <c r="H1217" s="25">
        <f>IFERROR(__xludf.DUMMYFUNCTION("""COMPUTED_VALUE"""),45028.63611111111)</f>
        <v>45028.63611</v>
      </c>
      <c r="I1217" s="22">
        <f>IFERROR(__xludf.DUMMYFUNCTION("""COMPUTED_VALUE"""),23.13)</f>
        <v>23.13</v>
      </c>
      <c r="J1217" s="25">
        <f>IFERROR(__xludf.DUMMYFUNCTION("""COMPUTED_VALUE"""),45028.63611111111)</f>
        <v>45028.63611</v>
      </c>
      <c r="K1217" s="22">
        <f>IFERROR(__xludf.DUMMYFUNCTION("""COMPUTED_VALUE"""),24.16)</f>
        <v>24.16</v>
      </c>
    </row>
    <row r="1218" ht="15.75" customHeight="1">
      <c r="A1218" s="25">
        <f>IFERROR(__xludf.DUMMYFUNCTION("""COMPUTED_VALUE"""),45029.66666666667)</f>
        <v>45029.66667</v>
      </c>
      <c r="B1218" s="22">
        <f>IFERROR(__xludf.DUMMYFUNCTION("""COMPUTED_VALUE"""),4146.22)</f>
        <v>4146.22</v>
      </c>
      <c r="C1218" s="25">
        <f>IFERROR(__xludf.DUMMYFUNCTION("""COMPUTED_VALUE"""),45029.63611111111)</f>
        <v>45029.63611</v>
      </c>
      <c r="D1218" s="22">
        <f>IFERROR(__xludf.DUMMYFUNCTION("""COMPUTED_VALUE"""),17.8)</f>
        <v>17.8</v>
      </c>
      <c r="F1218" s="25">
        <f>IFERROR(__xludf.DUMMYFUNCTION("""COMPUTED_VALUE"""),45029.63611111111)</f>
        <v>45029.63611</v>
      </c>
      <c r="G1218" s="22">
        <f>IFERROR(__xludf.DUMMYFUNCTION("""COMPUTED_VALUE"""),20.26)</f>
        <v>20.26</v>
      </c>
      <c r="H1218" s="25">
        <f>IFERROR(__xludf.DUMMYFUNCTION("""COMPUTED_VALUE"""),45029.63611111111)</f>
        <v>45029.63611</v>
      </c>
      <c r="I1218" s="22">
        <f>IFERROR(__xludf.DUMMYFUNCTION("""COMPUTED_VALUE"""),22.59)</f>
        <v>22.59</v>
      </c>
      <c r="J1218" s="25">
        <f>IFERROR(__xludf.DUMMYFUNCTION("""COMPUTED_VALUE"""),45029.63611111111)</f>
        <v>45029.63611</v>
      </c>
      <c r="K1218" s="22">
        <f>IFERROR(__xludf.DUMMYFUNCTION("""COMPUTED_VALUE"""),23.62)</f>
        <v>23.62</v>
      </c>
    </row>
    <row r="1219" ht="15.75" customHeight="1">
      <c r="A1219" s="25">
        <f>IFERROR(__xludf.DUMMYFUNCTION("""COMPUTED_VALUE"""),45030.66666666667)</f>
        <v>45030.66667</v>
      </c>
      <c r="B1219" s="22">
        <f>IFERROR(__xludf.DUMMYFUNCTION("""COMPUTED_VALUE"""),4137.64)</f>
        <v>4137.64</v>
      </c>
      <c r="C1219" s="25">
        <f>IFERROR(__xludf.DUMMYFUNCTION("""COMPUTED_VALUE"""),45030.63611111111)</f>
        <v>45030.63611</v>
      </c>
      <c r="D1219" s="22">
        <f>IFERROR(__xludf.DUMMYFUNCTION("""COMPUTED_VALUE"""),17.07)</f>
        <v>17.07</v>
      </c>
      <c r="F1219" s="25">
        <f>IFERROR(__xludf.DUMMYFUNCTION("""COMPUTED_VALUE"""),45030.63611111111)</f>
        <v>45030.63611</v>
      </c>
      <c r="G1219" s="22">
        <f>IFERROR(__xludf.DUMMYFUNCTION("""COMPUTED_VALUE"""),20.03)</f>
        <v>20.03</v>
      </c>
      <c r="H1219" s="25">
        <f>IFERROR(__xludf.DUMMYFUNCTION("""COMPUTED_VALUE"""),45030.63611111111)</f>
        <v>45030.63611</v>
      </c>
      <c r="I1219" s="22">
        <f>IFERROR(__xludf.DUMMYFUNCTION("""COMPUTED_VALUE"""),22.48)</f>
        <v>22.48</v>
      </c>
      <c r="J1219" s="25">
        <f>IFERROR(__xludf.DUMMYFUNCTION("""COMPUTED_VALUE"""),45030.63611111111)</f>
        <v>45030.63611</v>
      </c>
      <c r="K1219" s="22">
        <f>IFERROR(__xludf.DUMMYFUNCTION("""COMPUTED_VALUE"""),23.59)</f>
        <v>23.59</v>
      </c>
    </row>
    <row r="1220" ht="15.75" customHeight="1">
      <c r="A1220" s="25">
        <f>IFERROR(__xludf.DUMMYFUNCTION("""COMPUTED_VALUE"""),45033.66666666667)</f>
        <v>45033.66667</v>
      </c>
      <c r="B1220" s="22">
        <f>IFERROR(__xludf.DUMMYFUNCTION("""COMPUTED_VALUE"""),4151.32)</f>
        <v>4151.32</v>
      </c>
      <c r="C1220" s="25">
        <f>IFERROR(__xludf.DUMMYFUNCTION("""COMPUTED_VALUE"""),45033.63611111111)</f>
        <v>45033.63611</v>
      </c>
      <c r="D1220" s="22">
        <f>IFERROR(__xludf.DUMMYFUNCTION("""COMPUTED_VALUE"""),16.95)</f>
        <v>16.95</v>
      </c>
      <c r="F1220" s="25">
        <f>IFERROR(__xludf.DUMMYFUNCTION("""COMPUTED_VALUE"""),45033.63611111111)</f>
        <v>45033.63611</v>
      </c>
      <c r="G1220" s="22">
        <f>IFERROR(__xludf.DUMMYFUNCTION("""COMPUTED_VALUE"""),19.65)</f>
        <v>19.65</v>
      </c>
      <c r="H1220" s="25">
        <f>IFERROR(__xludf.DUMMYFUNCTION("""COMPUTED_VALUE"""),45033.63611111111)</f>
        <v>45033.63611</v>
      </c>
      <c r="I1220" s="22">
        <f>IFERROR(__xludf.DUMMYFUNCTION("""COMPUTED_VALUE"""),22.15)</f>
        <v>22.15</v>
      </c>
      <c r="J1220" s="25">
        <f>IFERROR(__xludf.DUMMYFUNCTION("""COMPUTED_VALUE"""),45033.63611111111)</f>
        <v>45033.63611</v>
      </c>
      <c r="K1220" s="22">
        <f>IFERROR(__xludf.DUMMYFUNCTION("""COMPUTED_VALUE"""),23.31)</f>
        <v>23.31</v>
      </c>
    </row>
    <row r="1221" ht="15.75" customHeight="1">
      <c r="A1221" s="25">
        <f>IFERROR(__xludf.DUMMYFUNCTION("""COMPUTED_VALUE"""),45034.66666666667)</f>
        <v>45034.66667</v>
      </c>
      <c r="B1221" s="22">
        <f>IFERROR(__xludf.DUMMYFUNCTION("""COMPUTED_VALUE"""),4154.87)</f>
        <v>4154.87</v>
      </c>
      <c r="C1221" s="25">
        <f>IFERROR(__xludf.DUMMYFUNCTION("""COMPUTED_VALUE"""),45034.63611111111)</f>
        <v>45034.63611</v>
      </c>
      <c r="D1221" s="22">
        <f>IFERROR(__xludf.DUMMYFUNCTION("""COMPUTED_VALUE"""),16.83)</f>
        <v>16.83</v>
      </c>
      <c r="F1221" s="25">
        <f>IFERROR(__xludf.DUMMYFUNCTION("""COMPUTED_VALUE"""),45034.63611111111)</f>
        <v>45034.63611</v>
      </c>
      <c r="G1221" s="22">
        <f>IFERROR(__xludf.DUMMYFUNCTION("""COMPUTED_VALUE"""),19.82)</f>
        <v>19.82</v>
      </c>
      <c r="H1221" s="25">
        <f>IFERROR(__xludf.DUMMYFUNCTION("""COMPUTED_VALUE"""),45034.63611111111)</f>
        <v>45034.63611</v>
      </c>
      <c r="I1221" s="22">
        <f>IFERROR(__xludf.DUMMYFUNCTION("""COMPUTED_VALUE"""),22.34)</f>
        <v>22.34</v>
      </c>
      <c r="J1221" s="25">
        <f>IFERROR(__xludf.DUMMYFUNCTION("""COMPUTED_VALUE"""),45034.63611111111)</f>
        <v>45034.63611</v>
      </c>
      <c r="K1221" s="22">
        <f>IFERROR(__xludf.DUMMYFUNCTION("""COMPUTED_VALUE"""),23.52)</f>
        <v>23.52</v>
      </c>
    </row>
    <row r="1222" ht="15.75" customHeight="1">
      <c r="A1222" s="25">
        <f>IFERROR(__xludf.DUMMYFUNCTION("""COMPUTED_VALUE"""),45035.66666666667)</f>
        <v>45035.66667</v>
      </c>
      <c r="B1222" s="22">
        <f>IFERROR(__xludf.DUMMYFUNCTION("""COMPUTED_VALUE"""),4154.52)</f>
        <v>4154.52</v>
      </c>
      <c r="C1222" s="25">
        <f>IFERROR(__xludf.DUMMYFUNCTION("""COMPUTED_VALUE"""),45035.63611111111)</f>
        <v>45035.63611</v>
      </c>
      <c r="D1222" s="22">
        <f>IFERROR(__xludf.DUMMYFUNCTION("""COMPUTED_VALUE"""),16.46)</f>
        <v>16.46</v>
      </c>
      <c r="F1222" s="25">
        <f>IFERROR(__xludf.DUMMYFUNCTION("""COMPUTED_VALUE"""),45035.63611111111)</f>
        <v>45035.63611</v>
      </c>
      <c r="G1222" s="22">
        <f>IFERROR(__xludf.DUMMYFUNCTION("""COMPUTED_VALUE"""),20.02)</f>
        <v>20.02</v>
      </c>
      <c r="H1222" s="25">
        <f>IFERROR(__xludf.DUMMYFUNCTION("""COMPUTED_VALUE"""),45035.63611111111)</f>
        <v>45035.63611</v>
      </c>
      <c r="I1222" s="22">
        <f>IFERROR(__xludf.DUMMYFUNCTION("""COMPUTED_VALUE"""),22.58)</f>
        <v>22.58</v>
      </c>
      <c r="J1222" s="25">
        <f>IFERROR(__xludf.DUMMYFUNCTION("""COMPUTED_VALUE"""),45035.63611111111)</f>
        <v>45035.63611</v>
      </c>
      <c r="K1222" s="22">
        <f>IFERROR(__xludf.DUMMYFUNCTION("""COMPUTED_VALUE"""),23.65)</f>
        <v>23.65</v>
      </c>
    </row>
    <row r="1223" ht="15.75" customHeight="1">
      <c r="A1223" s="25">
        <f>IFERROR(__xludf.DUMMYFUNCTION("""COMPUTED_VALUE"""),45036.66666666667)</f>
        <v>45036.66667</v>
      </c>
      <c r="B1223" s="22">
        <f>IFERROR(__xludf.DUMMYFUNCTION("""COMPUTED_VALUE"""),4129.79)</f>
        <v>4129.79</v>
      </c>
      <c r="C1223" s="25">
        <f>IFERROR(__xludf.DUMMYFUNCTION("""COMPUTED_VALUE"""),45036.63611111111)</f>
        <v>45036.63611</v>
      </c>
      <c r="D1223" s="22">
        <f>IFERROR(__xludf.DUMMYFUNCTION("""COMPUTED_VALUE"""),17.17)</f>
        <v>17.17</v>
      </c>
      <c r="F1223" s="25">
        <f>IFERROR(__xludf.DUMMYFUNCTION("""COMPUTED_VALUE"""),45036.63611111111)</f>
        <v>45036.63611</v>
      </c>
      <c r="G1223" s="22">
        <f>IFERROR(__xludf.DUMMYFUNCTION("""COMPUTED_VALUE"""),20.55)</f>
        <v>20.55</v>
      </c>
      <c r="H1223" s="25">
        <f>IFERROR(__xludf.DUMMYFUNCTION("""COMPUTED_VALUE"""),45036.63611111111)</f>
        <v>45036.63611</v>
      </c>
      <c r="I1223" s="22">
        <f>IFERROR(__xludf.DUMMYFUNCTION("""COMPUTED_VALUE"""),23.09)</f>
        <v>23.09</v>
      </c>
      <c r="J1223" s="25">
        <f>IFERROR(__xludf.DUMMYFUNCTION("""COMPUTED_VALUE"""),45036.63611111111)</f>
        <v>45036.63611</v>
      </c>
      <c r="K1223" s="22">
        <f>IFERROR(__xludf.DUMMYFUNCTION("""COMPUTED_VALUE"""),24.12)</f>
        <v>24.12</v>
      </c>
    </row>
    <row r="1224" ht="15.75" customHeight="1">
      <c r="A1224" s="25">
        <f>IFERROR(__xludf.DUMMYFUNCTION("""COMPUTED_VALUE"""),45037.66666666667)</f>
        <v>45037.66667</v>
      </c>
      <c r="B1224" s="22">
        <f>IFERROR(__xludf.DUMMYFUNCTION("""COMPUTED_VALUE"""),4133.52)</f>
        <v>4133.52</v>
      </c>
      <c r="C1224" s="25">
        <f>IFERROR(__xludf.DUMMYFUNCTION("""COMPUTED_VALUE"""),45037.63611111111)</f>
        <v>45037.63611</v>
      </c>
      <c r="D1224" s="22">
        <f>IFERROR(__xludf.DUMMYFUNCTION("""COMPUTED_VALUE"""),16.77)</f>
        <v>16.77</v>
      </c>
      <c r="F1224" s="25">
        <f>IFERROR(__xludf.DUMMYFUNCTION("""COMPUTED_VALUE"""),45037.63611111111)</f>
        <v>45037.63611</v>
      </c>
      <c r="G1224" s="22">
        <f>IFERROR(__xludf.DUMMYFUNCTION("""COMPUTED_VALUE"""),20.39)</f>
        <v>20.39</v>
      </c>
      <c r="H1224" s="25">
        <f>IFERROR(__xludf.DUMMYFUNCTION("""COMPUTED_VALUE"""),45037.63611111111)</f>
        <v>45037.63611</v>
      </c>
      <c r="I1224" s="22">
        <f>IFERROR(__xludf.DUMMYFUNCTION("""COMPUTED_VALUE"""),23.09)</f>
        <v>23.09</v>
      </c>
      <c r="J1224" s="25">
        <f>IFERROR(__xludf.DUMMYFUNCTION("""COMPUTED_VALUE"""),45037.63611111111)</f>
        <v>45037.63611</v>
      </c>
      <c r="K1224" s="22">
        <f>IFERROR(__xludf.DUMMYFUNCTION("""COMPUTED_VALUE"""),24.12)</f>
        <v>24.12</v>
      </c>
    </row>
    <row r="1225" ht="15.75" customHeight="1">
      <c r="A1225" s="25">
        <f>IFERROR(__xludf.DUMMYFUNCTION("""COMPUTED_VALUE"""),45040.66666666667)</f>
        <v>45040.66667</v>
      </c>
      <c r="B1225" s="22">
        <f>IFERROR(__xludf.DUMMYFUNCTION("""COMPUTED_VALUE"""),4137.04)</f>
        <v>4137.04</v>
      </c>
      <c r="C1225" s="25">
        <f>IFERROR(__xludf.DUMMYFUNCTION("""COMPUTED_VALUE"""),45040.63611111111)</f>
        <v>45040.63611</v>
      </c>
      <c r="D1225" s="22">
        <f>IFERROR(__xludf.DUMMYFUNCTION("""COMPUTED_VALUE"""),16.89)</f>
        <v>16.89</v>
      </c>
      <c r="F1225" s="25">
        <f>IFERROR(__xludf.DUMMYFUNCTION("""COMPUTED_VALUE"""),45040.63611111111)</f>
        <v>45040.63611</v>
      </c>
      <c r="G1225" s="22">
        <f>IFERROR(__xludf.DUMMYFUNCTION("""COMPUTED_VALUE"""),20.4)</f>
        <v>20.4</v>
      </c>
      <c r="H1225" s="25">
        <f>IFERROR(__xludf.DUMMYFUNCTION("""COMPUTED_VALUE"""),45040.63611111111)</f>
        <v>45040.63611</v>
      </c>
      <c r="I1225" s="22">
        <f>IFERROR(__xludf.DUMMYFUNCTION("""COMPUTED_VALUE"""),23.15)</f>
        <v>23.15</v>
      </c>
      <c r="J1225" s="25">
        <f>IFERROR(__xludf.DUMMYFUNCTION("""COMPUTED_VALUE"""),45040.63611111111)</f>
        <v>45040.63611</v>
      </c>
      <c r="K1225" s="22">
        <f>IFERROR(__xludf.DUMMYFUNCTION("""COMPUTED_VALUE"""),24.42)</f>
        <v>24.42</v>
      </c>
    </row>
    <row r="1226" ht="15.75" customHeight="1">
      <c r="A1226" s="25">
        <f>IFERROR(__xludf.DUMMYFUNCTION("""COMPUTED_VALUE"""),45041.66666666667)</f>
        <v>45041.66667</v>
      </c>
      <c r="B1226" s="22">
        <f>IFERROR(__xludf.DUMMYFUNCTION("""COMPUTED_VALUE"""),4071.63)</f>
        <v>4071.63</v>
      </c>
      <c r="C1226" s="25">
        <f>IFERROR(__xludf.DUMMYFUNCTION("""COMPUTED_VALUE"""),45041.63611111111)</f>
        <v>45041.63611</v>
      </c>
      <c r="D1226" s="22">
        <f>IFERROR(__xludf.DUMMYFUNCTION("""COMPUTED_VALUE"""),18.76)</f>
        <v>18.76</v>
      </c>
      <c r="F1226" s="25">
        <f>IFERROR(__xludf.DUMMYFUNCTION("""COMPUTED_VALUE"""),45041.63611111111)</f>
        <v>45041.63611</v>
      </c>
      <c r="G1226" s="22">
        <f>IFERROR(__xludf.DUMMYFUNCTION("""COMPUTED_VALUE"""),21.65)</f>
        <v>21.65</v>
      </c>
      <c r="H1226" s="25">
        <f>IFERROR(__xludf.DUMMYFUNCTION("""COMPUTED_VALUE"""),45041.63611111111)</f>
        <v>45041.63611</v>
      </c>
      <c r="I1226" s="22">
        <f>IFERROR(__xludf.DUMMYFUNCTION("""COMPUTED_VALUE"""),24.2)</f>
        <v>24.2</v>
      </c>
      <c r="J1226" s="25">
        <f>IFERROR(__xludf.DUMMYFUNCTION("""COMPUTED_VALUE"""),45041.63611111111)</f>
        <v>45041.63611</v>
      </c>
      <c r="K1226" s="22">
        <f>IFERROR(__xludf.DUMMYFUNCTION("""COMPUTED_VALUE"""),25.03)</f>
        <v>25.03</v>
      </c>
    </row>
    <row r="1227" ht="15.75" customHeight="1">
      <c r="A1227" s="25">
        <f>IFERROR(__xludf.DUMMYFUNCTION("""COMPUTED_VALUE"""),45042.66666666667)</f>
        <v>45042.66667</v>
      </c>
      <c r="B1227" s="22">
        <f>IFERROR(__xludf.DUMMYFUNCTION("""COMPUTED_VALUE"""),4055.99)</f>
        <v>4055.99</v>
      </c>
      <c r="C1227" s="25">
        <f>IFERROR(__xludf.DUMMYFUNCTION("""COMPUTED_VALUE"""),45042.63611111111)</f>
        <v>45042.63611</v>
      </c>
      <c r="D1227" s="22">
        <f>IFERROR(__xludf.DUMMYFUNCTION("""COMPUTED_VALUE"""),18.84)</f>
        <v>18.84</v>
      </c>
      <c r="F1227" s="25">
        <f>IFERROR(__xludf.DUMMYFUNCTION("""COMPUTED_VALUE"""),45042.63611111111)</f>
        <v>45042.63611</v>
      </c>
      <c r="G1227" s="22">
        <f>IFERROR(__xludf.DUMMYFUNCTION("""COMPUTED_VALUE"""),21.54)</f>
        <v>21.54</v>
      </c>
      <c r="H1227" s="25">
        <f>IFERROR(__xludf.DUMMYFUNCTION("""COMPUTED_VALUE"""),45042.63611111111)</f>
        <v>45042.63611</v>
      </c>
      <c r="I1227" s="22">
        <f>IFERROR(__xludf.DUMMYFUNCTION("""COMPUTED_VALUE"""),24.13)</f>
        <v>24.13</v>
      </c>
      <c r="J1227" s="25">
        <f>IFERROR(__xludf.DUMMYFUNCTION("""COMPUTED_VALUE"""),45042.63611111111)</f>
        <v>45042.63611</v>
      </c>
      <c r="K1227" s="22">
        <f>IFERROR(__xludf.DUMMYFUNCTION("""COMPUTED_VALUE"""),24.83)</f>
        <v>24.83</v>
      </c>
    </row>
    <row r="1228" ht="15.75" customHeight="1">
      <c r="A1228" s="25">
        <f>IFERROR(__xludf.DUMMYFUNCTION("""COMPUTED_VALUE"""),45043.66666666667)</f>
        <v>45043.66667</v>
      </c>
      <c r="B1228" s="22">
        <f>IFERROR(__xludf.DUMMYFUNCTION("""COMPUTED_VALUE"""),4135.35)</f>
        <v>4135.35</v>
      </c>
      <c r="C1228" s="25">
        <f>IFERROR(__xludf.DUMMYFUNCTION("""COMPUTED_VALUE"""),45043.63611111111)</f>
        <v>45043.63611</v>
      </c>
      <c r="D1228" s="22">
        <f>IFERROR(__xludf.DUMMYFUNCTION("""COMPUTED_VALUE"""),17.03)</f>
        <v>17.03</v>
      </c>
      <c r="F1228" s="25">
        <f>IFERROR(__xludf.DUMMYFUNCTION("""COMPUTED_VALUE"""),45043.63611111111)</f>
        <v>45043.63611</v>
      </c>
      <c r="G1228" s="22">
        <f>IFERROR(__xludf.DUMMYFUNCTION("""COMPUTED_VALUE"""),20.37)</f>
        <v>20.37</v>
      </c>
      <c r="H1228" s="25">
        <f>IFERROR(__xludf.DUMMYFUNCTION("""COMPUTED_VALUE"""),45043.63611111111)</f>
        <v>45043.63611</v>
      </c>
      <c r="I1228" s="22">
        <f>IFERROR(__xludf.DUMMYFUNCTION("""COMPUTED_VALUE"""),23.25)</f>
        <v>23.25</v>
      </c>
      <c r="J1228" s="25">
        <f>IFERROR(__xludf.DUMMYFUNCTION("""COMPUTED_VALUE"""),45043.63611111111)</f>
        <v>45043.63611</v>
      </c>
      <c r="K1228" s="22">
        <f>IFERROR(__xludf.DUMMYFUNCTION("""COMPUTED_VALUE"""),24.3)</f>
        <v>24.3</v>
      </c>
    </row>
    <row r="1229" ht="15.75" customHeight="1">
      <c r="A1229" s="25">
        <f>IFERROR(__xludf.DUMMYFUNCTION("""COMPUTED_VALUE"""),45044.66666666667)</f>
        <v>45044.66667</v>
      </c>
      <c r="B1229" s="22">
        <f>IFERROR(__xludf.DUMMYFUNCTION("""COMPUTED_VALUE"""),4169.48)</f>
        <v>4169.48</v>
      </c>
      <c r="C1229" s="25">
        <f>IFERROR(__xludf.DUMMYFUNCTION("""COMPUTED_VALUE"""),45044.63611111111)</f>
        <v>45044.63611</v>
      </c>
      <c r="D1229" s="22">
        <f>IFERROR(__xludf.DUMMYFUNCTION("""COMPUTED_VALUE"""),15.78)</f>
        <v>15.78</v>
      </c>
      <c r="F1229" s="25">
        <f>IFERROR(__xludf.DUMMYFUNCTION("""COMPUTED_VALUE"""),45044.63611111111)</f>
        <v>45044.63611</v>
      </c>
      <c r="G1229" s="22">
        <f>IFERROR(__xludf.DUMMYFUNCTION("""COMPUTED_VALUE"""),19.54)</f>
        <v>19.54</v>
      </c>
      <c r="H1229" s="25">
        <f>IFERROR(__xludf.DUMMYFUNCTION("""COMPUTED_VALUE"""),45044.63611111111)</f>
        <v>45044.63611</v>
      </c>
      <c r="I1229" s="22">
        <f>IFERROR(__xludf.DUMMYFUNCTION("""COMPUTED_VALUE"""),22.78)</f>
        <v>22.78</v>
      </c>
      <c r="J1229" s="25">
        <f>IFERROR(__xludf.DUMMYFUNCTION("""COMPUTED_VALUE"""),45044.63611111111)</f>
        <v>45044.63611</v>
      </c>
      <c r="K1229" s="22">
        <f>IFERROR(__xludf.DUMMYFUNCTION("""COMPUTED_VALUE"""),24.15)</f>
        <v>24.15</v>
      </c>
    </row>
    <row r="1230" ht="15.75" customHeight="1">
      <c r="A1230" s="25">
        <f>IFERROR(__xludf.DUMMYFUNCTION("""COMPUTED_VALUE"""),45047.66666666667)</f>
        <v>45047.66667</v>
      </c>
      <c r="B1230" s="22">
        <f>IFERROR(__xludf.DUMMYFUNCTION("""COMPUTED_VALUE"""),4167.87)</f>
        <v>4167.87</v>
      </c>
      <c r="C1230" s="25">
        <f>IFERROR(__xludf.DUMMYFUNCTION("""COMPUTED_VALUE"""),45047.63611111111)</f>
        <v>45047.63611</v>
      </c>
      <c r="D1230" s="22">
        <f>IFERROR(__xludf.DUMMYFUNCTION("""COMPUTED_VALUE"""),16.08)</f>
        <v>16.08</v>
      </c>
      <c r="F1230" s="25">
        <f>IFERROR(__xludf.DUMMYFUNCTION("""COMPUTED_VALUE"""),45047.63611111111)</f>
        <v>45047.63611</v>
      </c>
      <c r="G1230" s="22">
        <f>IFERROR(__xludf.DUMMYFUNCTION("""COMPUTED_VALUE"""),19.67)</f>
        <v>19.67</v>
      </c>
      <c r="H1230" s="25">
        <f>IFERROR(__xludf.DUMMYFUNCTION("""COMPUTED_VALUE"""),45047.63611111111)</f>
        <v>45047.63611</v>
      </c>
      <c r="I1230" s="22">
        <f>IFERROR(__xludf.DUMMYFUNCTION("""COMPUTED_VALUE"""),22.63)</f>
        <v>22.63</v>
      </c>
      <c r="J1230" s="25">
        <f>IFERROR(__xludf.DUMMYFUNCTION("""COMPUTED_VALUE"""),45047.63611111111)</f>
        <v>45047.63611</v>
      </c>
      <c r="K1230" s="22">
        <f>IFERROR(__xludf.DUMMYFUNCTION("""COMPUTED_VALUE"""),23.96)</f>
        <v>23.96</v>
      </c>
    </row>
    <row r="1231" ht="15.75" customHeight="1">
      <c r="A1231" s="25">
        <f>IFERROR(__xludf.DUMMYFUNCTION("""COMPUTED_VALUE"""),45048.66666666667)</f>
        <v>45048.66667</v>
      </c>
      <c r="B1231" s="22">
        <f>IFERROR(__xludf.DUMMYFUNCTION("""COMPUTED_VALUE"""),4119.58)</f>
        <v>4119.58</v>
      </c>
      <c r="C1231" s="25">
        <f>IFERROR(__xludf.DUMMYFUNCTION("""COMPUTED_VALUE"""),45048.63611111111)</f>
        <v>45048.63611</v>
      </c>
      <c r="D1231" s="22">
        <f>IFERROR(__xludf.DUMMYFUNCTION("""COMPUTED_VALUE"""),17.78)</f>
        <v>17.78</v>
      </c>
      <c r="F1231" s="25">
        <f>IFERROR(__xludf.DUMMYFUNCTION("""COMPUTED_VALUE"""),45048.63611111111)</f>
        <v>45048.63611</v>
      </c>
      <c r="G1231" s="22">
        <f>IFERROR(__xludf.DUMMYFUNCTION("""COMPUTED_VALUE"""),20.75)</f>
        <v>20.75</v>
      </c>
      <c r="H1231" s="25">
        <f>IFERROR(__xludf.DUMMYFUNCTION("""COMPUTED_VALUE"""),45048.63611111111)</f>
        <v>45048.63611</v>
      </c>
      <c r="I1231" s="22">
        <f>IFERROR(__xludf.DUMMYFUNCTION("""COMPUTED_VALUE"""),23.47)</f>
        <v>23.47</v>
      </c>
      <c r="J1231" s="25">
        <f>IFERROR(__xludf.DUMMYFUNCTION("""COMPUTED_VALUE"""),45048.63611111111)</f>
        <v>45048.63611</v>
      </c>
      <c r="K1231" s="22">
        <f>IFERROR(__xludf.DUMMYFUNCTION("""COMPUTED_VALUE"""),24.72)</f>
        <v>24.72</v>
      </c>
    </row>
    <row r="1232" ht="15.75" customHeight="1">
      <c r="A1232" s="25">
        <f>IFERROR(__xludf.DUMMYFUNCTION("""COMPUTED_VALUE"""),45049.66666666667)</f>
        <v>45049.66667</v>
      </c>
      <c r="B1232" s="22">
        <f>IFERROR(__xludf.DUMMYFUNCTION("""COMPUTED_VALUE"""),4090.75)</f>
        <v>4090.75</v>
      </c>
      <c r="C1232" s="25">
        <f>IFERROR(__xludf.DUMMYFUNCTION("""COMPUTED_VALUE"""),45049.63611111111)</f>
        <v>45049.63611</v>
      </c>
      <c r="D1232" s="22">
        <f>IFERROR(__xludf.DUMMYFUNCTION("""COMPUTED_VALUE"""),18.34)</f>
        <v>18.34</v>
      </c>
      <c r="F1232" s="25">
        <f>IFERROR(__xludf.DUMMYFUNCTION("""COMPUTED_VALUE"""),45049.63611111111)</f>
        <v>45049.63611</v>
      </c>
      <c r="G1232" s="22">
        <f>IFERROR(__xludf.DUMMYFUNCTION("""COMPUTED_VALUE"""),21.29)</f>
        <v>21.29</v>
      </c>
      <c r="H1232" s="25">
        <f>IFERROR(__xludf.DUMMYFUNCTION("""COMPUTED_VALUE"""),45049.63611111111)</f>
        <v>45049.63611</v>
      </c>
      <c r="I1232" s="22">
        <f>IFERROR(__xludf.DUMMYFUNCTION("""COMPUTED_VALUE"""),23.8)</f>
        <v>23.8</v>
      </c>
      <c r="J1232" s="25">
        <f>IFERROR(__xludf.DUMMYFUNCTION("""COMPUTED_VALUE"""),45049.63611111111)</f>
        <v>45049.63611</v>
      </c>
      <c r="K1232" s="22">
        <f>IFERROR(__xludf.DUMMYFUNCTION("""COMPUTED_VALUE"""),24.42)</f>
        <v>24.42</v>
      </c>
    </row>
    <row r="1233" ht="15.75" customHeight="1">
      <c r="A1233" s="25">
        <f>IFERROR(__xludf.DUMMYFUNCTION("""COMPUTED_VALUE"""),45050.66666666667)</f>
        <v>45050.66667</v>
      </c>
      <c r="B1233" s="22">
        <f>IFERROR(__xludf.DUMMYFUNCTION("""COMPUTED_VALUE"""),4061.22)</f>
        <v>4061.22</v>
      </c>
      <c r="C1233" s="25">
        <f>IFERROR(__xludf.DUMMYFUNCTION("""COMPUTED_VALUE"""),45050.63611111111)</f>
        <v>45050.63611</v>
      </c>
      <c r="D1233" s="22">
        <f>IFERROR(__xludf.DUMMYFUNCTION("""COMPUTED_VALUE"""),20.09)</f>
        <v>20.09</v>
      </c>
      <c r="F1233" s="25">
        <f>IFERROR(__xludf.DUMMYFUNCTION("""COMPUTED_VALUE"""),45050.63611111111)</f>
        <v>45050.63611</v>
      </c>
      <c r="G1233" s="22">
        <f>IFERROR(__xludf.DUMMYFUNCTION("""COMPUTED_VALUE"""),22.77)</f>
        <v>22.77</v>
      </c>
      <c r="H1233" s="25">
        <f>IFERROR(__xludf.DUMMYFUNCTION("""COMPUTED_VALUE"""),45050.63611111111)</f>
        <v>45050.63611</v>
      </c>
      <c r="I1233" s="22">
        <f>IFERROR(__xludf.DUMMYFUNCTION("""COMPUTED_VALUE"""),24.92)</f>
        <v>24.92</v>
      </c>
      <c r="J1233" s="25">
        <f>IFERROR(__xludf.DUMMYFUNCTION("""COMPUTED_VALUE"""),45050.63611111111)</f>
        <v>45050.63611</v>
      </c>
      <c r="K1233" s="22">
        <f>IFERROR(__xludf.DUMMYFUNCTION("""COMPUTED_VALUE"""),25.6)</f>
        <v>25.6</v>
      </c>
    </row>
    <row r="1234" ht="15.75" customHeight="1">
      <c r="A1234" s="25">
        <f>IFERROR(__xludf.DUMMYFUNCTION("""COMPUTED_VALUE"""),45051.66666666667)</f>
        <v>45051.66667</v>
      </c>
      <c r="B1234" s="22">
        <f>IFERROR(__xludf.DUMMYFUNCTION("""COMPUTED_VALUE"""),4136.25)</f>
        <v>4136.25</v>
      </c>
      <c r="C1234" s="25">
        <f>IFERROR(__xludf.DUMMYFUNCTION("""COMPUTED_VALUE"""),45051.63611111111)</f>
        <v>45051.63611</v>
      </c>
      <c r="D1234" s="22">
        <f>IFERROR(__xludf.DUMMYFUNCTION("""COMPUTED_VALUE"""),17.19)</f>
        <v>17.19</v>
      </c>
      <c r="F1234" s="25">
        <f>IFERROR(__xludf.DUMMYFUNCTION("""COMPUTED_VALUE"""),45051.63611111111)</f>
        <v>45051.63611</v>
      </c>
      <c r="G1234" s="22">
        <f>IFERROR(__xludf.DUMMYFUNCTION("""COMPUTED_VALUE"""),20.78)</f>
        <v>20.78</v>
      </c>
      <c r="H1234" s="25">
        <f>IFERROR(__xludf.DUMMYFUNCTION("""COMPUTED_VALUE"""),45051.63611111111)</f>
        <v>45051.63611</v>
      </c>
      <c r="I1234" s="22">
        <f>IFERROR(__xludf.DUMMYFUNCTION("""COMPUTED_VALUE"""),23.55)</f>
        <v>23.55</v>
      </c>
      <c r="J1234" s="25">
        <f>IFERROR(__xludf.DUMMYFUNCTION("""COMPUTED_VALUE"""),45051.63611111111)</f>
        <v>45051.63611</v>
      </c>
      <c r="K1234" s="22">
        <f>IFERROR(__xludf.DUMMYFUNCTION("""COMPUTED_VALUE"""),24.45)</f>
        <v>24.45</v>
      </c>
    </row>
    <row r="1235" ht="15.75" customHeight="1">
      <c r="A1235" s="25">
        <f>IFERROR(__xludf.DUMMYFUNCTION("""COMPUTED_VALUE"""),45054.66666666667)</f>
        <v>45054.66667</v>
      </c>
      <c r="B1235" s="22">
        <f>IFERROR(__xludf.DUMMYFUNCTION("""COMPUTED_VALUE"""),4138.12)</f>
        <v>4138.12</v>
      </c>
      <c r="C1235" s="25">
        <f>IFERROR(__xludf.DUMMYFUNCTION("""COMPUTED_VALUE"""),45054.63611111111)</f>
        <v>45054.63611</v>
      </c>
      <c r="D1235" s="22">
        <f>IFERROR(__xludf.DUMMYFUNCTION("""COMPUTED_VALUE"""),16.98)</f>
        <v>16.98</v>
      </c>
      <c r="F1235" s="25">
        <f>IFERROR(__xludf.DUMMYFUNCTION("""COMPUTED_VALUE"""),45054.63611111111)</f>
        <v>45054.63611</v>
      </c>
      <c r="G1235" s="22">
        <f>IFERROR(__xludf.DUMMYFUNCTION("""COMPUTED_VALUE"""),20.71)</f>
        <v>20.71</v>
      </c>
      <c r="H1235" s="25">
        <f>IFERROR(__xludf.DUMMYFUNCTION("""COMPUTED_VALUE"""),45054.63611111111)</f>
        <v>45054.63611</v>
      </c>
      <c r="I1235" s="22">
        <f>IFERROR(__xludf.DUMMYFUNCTION("""COMPUTED_VALUE"""),23.53)</f>
        <v>23.53</v>
      </c>
      <c r="J1235" s="25">
        <f>IFERROR(__xludf.DUMMYFUNCTION("""COMPUTED_VALUE"""),45054.63611111111)</f>
        <v>45054.63611</v>
      </c>
      <c r="K1235" s="22">
        <f>IFERROR(__xludf.DUMMYFUNCTION("""COMPUTED_VALUE"""),24.66)</f>
        <v>24.66</v>
      </c>
    </row>
    <row r="1236" ht="15.75" customHeight="1">
      <c r="A1236" s="25">
        <f>IFERROR(__xludf.DUMMYFUNCTION("""COMPUTED_VALUE"""),45055.66666666667)</f>
        <v>45055.66667</v>
      </c>
      <c r="B1236" s="22">
        <f>IFERROR(__xludf.DUMMYFUNCTION("""COMPUTED_VALUE"""),4119.17)</f>
        <v>4119.17</v>
      </c>
      <c r="C1236" s="25">
        <f>IFERROR(__xludf.DUMMYFUNCTION("""COMPUTED_VALUE"""),45055.63611111111)</f>
        <v>45055.63611</v>
      </c>
      <c r="D1236" s="22">
        <f>IFERROR(__xludf.DUMMYFUNCTION("""COMPUTED_VALUE"""),17.71)</f>
        <v>17.71</v>
      </c>
      <c r="F1236" s="25">
        <f>IFERROR(__xludf.DUMMYFUNCTION("""COMPUTED_VALUE"""),45055.63611111111)</f>
        <v>45055.63611</v>
      </c>
      <c r="G1236" s="22">
        <f>IFERROR(__xludf.DUMMYFUNCTION("""COMPUTED_VALUE"""),21.17)</f>
        <v>21.17</v>
      </c>
      <c r="H1236" s="25">
        <f>IFERROR(__xludf.DUMMYFUNCTION("""COMPUTED_VALUE"""),45055.63611111111)</f>
        <v>45055.63611</v>
      </c>
      <c r="I1236" s="22">
        <f>IFERROR(__xludf.DUMMYFUNCTION("""COMPUTED_VALUE"""),23.81)</f>
        <v>23.81</v>
      </c>
      <c r="J1236" s="25">
        <f>IFERROR(__xludf.DUMMYFUNCTION("""COMPUTED_VALUE"""),45055.63611111111)</f>
        <v>45055.63611</v>
      </c>
      <c r="K1236" s="22">
        <f>IFERROR(__xludf.DUMMYFUNCTION("""COMPUTED_VALUE"""),24.75)</f>
        <v>24.75</v>
      </c>
    </row>
    <row r="1237" ht="15.75" customHeight="1">
      <c r="A1237" s="25">
        <f>IFERROR(__xludf.DUMMYFUNCTION("""COMPUTED_VALUE"""),45056.66666666667)</f>
        <v>45056.66667</v>
      </c>
      <c r="B1237" s="22">
        <f>IFERROR(__xludf.DUMMYFUNCTION("""COMPUTED_VALUE"""),4137.64)</f>
        <v>4137.64</v>
      </c>
      <c r="C1237" s="25">
        <f>IFERROR(__xludf.DUMMYFUNCTION("""COMPUTED_VALUE"""),45056.63611111111)</f>
        <v>45056.63611</v>
      </c>
      <c r="D1237" s="22">
        <f>IFERROR(__xludf.DUMMYFUNCTION("""COMPUTED_VALUE"""),16.94)</f>
        <v>16.94</v>
      </c>
      <c r="F1237" s="25">
        <f>IFERROR(__xludf.DUMMYFUNCTION("""COMPUTED_VALUE"""),45056.63611111111)</f>
        <v>45056.63611</v>
      </c>
      <c r="G1237" s="22">
        <f>IFERROR(__xludf.DUMMYFUNCTION("""COMPUTED_VALUE"""),20.69)</f>
        <v>20.69</v>
      </c>
      <c r="H1237" s="25">
        <f>IFERROR(__xludf.DUMMYFUNCTION("""COMPUTED_VALUE"""),45056.63611111111)</f>
        <v>45056.63611</v>
      </c>
      <c r="I1237" s="22">
        <f>IFERROR(__xludf.DUMMYFUNCTION("""COMPUTED_VALUE"""),23.37)</f>
        <v>23.37</v>
      </c>
      <c r="J1237" s="25">
        <f>IFERROR(__xludf.DUMMYFUNCTION("""COMPUTED_VALUE"""),45056.63611111111)</f>
        <v>45056.63611</v>
      </c>
      <c r="K1237" s="22">
        <f>IFERROR(__xludf.DUMMYFUNCTION("""COMPUTED_VALUE"""),24.54)</f>
        <v>24.54</v>
      </c>
    </row>
    <row r="1238" ht="15.75" customHeight="1">
      <c r="A1238" s="25">
        <f>IFERROR(__xludf.DUMMYFUNCTION("""COMPUTED_VALUE"""),45057.66666666667)</f>
        <v>45057.66667</v>
      </c>
      <c r="B1238" s="22">
        <f>IFERROR(__xludf.DUMMYFUNCTION("""COMPUTED_VALUE"""),4130.62)</f>
        <v>4130.62</v>
      </c>
      <c r="C1238" s="25">
        <f>IFERROR(__xludf.DUMMYFUNCTION("""COMPUTED_VALUE"""),45057.63611111111)</f>
        <v>45057.63611</v>
      </c>
      <c r="D1238" s="22">
        <f>IFERROR(__xludf.DUMMYFUNCTION("""COMPUTED_VALUE"""),16.93)</f>
        <v>16.93</v>
      </c>
      <c r="F1238" s="25">
        <f>IFERROR(__xludf.DUMMYFUNCTION("""COMPUTED_VALUE"""),45057.63611111111)</f>
        <v>45057.63611</v>
      </c>
      <c r="G1238" s="22">
        <f>IFERROR(__xludf.DUMMYFUNCTION("""COMPUTED_VALUE"""),20.62)</f>
        <v>20.62</v>
      </c>
      <c r="H1238" s="25">
        <f>IFERROR(__xludf.DUMMYFUNCTION("""COMPUTED_VALUE"""),45057.63611111111)</f>
        <v>45057.63611</v>
      </c>
      <c r="I1238" s="22">
        <f>IFERROR(__xludf.DUMMYFUNCTION("""COMPUTED_VALUE"""),23.32)</f>
        <v>23.32</v>
      </c>
      <c r="J1238" s="25">
        <f>IFERROR(__xludf.DUMMYFUNCTION("""COMPUTED_VALUE"""),45057.63611111111)</f>
        <v>45057.63611</v>
      </c>
      <c r="K1238" s="22">
        <f>IFERROR(__xludf.DUMMYFUNCTION("""COMPUTED_VALUE"""),24.48)</f>
        <v>24.48</v>
      </c>
    </row>
    <row r="1239" ht="15.75" customHeight="1">
      <c r="A1239" s="25">
        <f>IFERROR(__xludf.DUMMYFUNCTION("""COMPUTED_VALUE"""),45058.66666666667)</f>
        <v>45058.66667</v>
      </c>
      <c r="B1239" s="22">
        <f>IFERROR(__xludf.DUMMYFUNCTION("""COMPUTED_VALUE"""),4124.08)</f>
        <v>4124.08</v>
      </c>
      <c r="C1239" s="25">
        <f>IFERROR(__xludf.DUMMYFUNCTION("""COMPUTED_VALUE"""),45058.63611111111)</f>
        <v>45058.63611</v>
      </c>
      <c r="D1239" s="22">
        <f>IFERROR(__xludf.DUMMYFUNCTION("""COMPUTED_VALUE"""),17.03)</f>
        <v>17.03</v>
      </c>
      <c r="F1239" s="25">
        <f>IFERROR(__xludf.DUMMYFUNCTION("""COMPUTED_VALUE"""),45058.63611111111)</f>
        <v>45058.63611</v>
      </c>
      <c r="G1239" s="22">
        <f>IFERROR(__xludf.DUMMYFUNCTION("""COMPUTED_VALUE"""),20.66)</f>
        <v>20.66</v>
      </c>
      <c r="H1239" s="25">
        <f>IFERROR(__xludf.DUMMYFUNCTION("""COMPUTED_VALUE"""),45058.63611111111)</f>
        <v>45058.63611</v>
      </c>
      <c r="I1239" s="22">
        <f>IFERROR(__xludf.DUMMYFUNCTION("""COMPUTED_VALUE"""),23.37)</f>
        <v>23.37</v>
      </c>
      <c r="J1239" s="25">
        <f>IFERROR(__xludf.DUMMYFUNCTION("""COMPUTED_VALUE"""),45058.63611111111)</f>
        <v>45058.63611</v>
      </c>
      <c r="K1239" s="22">
        <f>IFERROR(__xludf.DUMMYFUNCTION("""COMPUTED_VALUE"""),24.87)</f>
        <v>24.87</v>
      </c>
    </row>
    <row r="1240" ht="15.75" customHeight="1">
      <c r="A1240" s="25">
        <f>IFERROR(__xludf.DUMMYFUNCTION("""COMPUTED_VALUE"""),45061.66666666667)</f>
        <v>45061.66667</v>
      </c>
      <c r="B1240" s="22">
        <f>IFERROR(__xludf.DUMMYFUNCTION("""COMPUTED_VALUE"""),4136.28)</f>
        <v>4136.28</v>
      </c>
      <c r="C1240" s="25">
        <f>IFERROR(__xludf.DUMMYFUNCTION("""COMPUTED_VALUE"""),45061.63611111111)</f>
        <v>45061.63611</v>
      </c>
      <c r="D1240" s="22">
        <f>IFERROR(__xludf.DUMMYFUNCTION("""COMPUTED_VALUE"""),17.12)</f>
        <v>17.12</v>
      </c>
      <c r="F1240" s="25">
        <f>IFERROR(__xludf.DUMMYFUNCTION("""COMPUTED_VALUE"""),45061.63611111111)</f>
        <v>45061.63611</v>
      </c>
      <c r="G1240" s="22">
        <f>IFERROR(__xludf.DUMMYFUNCTION("""COMPUTED_VALUE"""),20.31)</f>
        <v>20.31</v>
      </c>
      <c r="H1240" s="25">
        <f>IFERROR(__xludf.DUMMYFUNCTION("""COMPUTED_VALUE"""),45061.63611111111)</f>
        <v>45061.63611</v>
      </c>
      <c r="I1240" s="22">
        <f>IFERROR(__xludf.DUMMYFUNCTION("""COMPUTED_VALUE"""),23.05)</f>
        <v>23.05</v>
      </c>
      <c r="J1240" s="25">
        <f>IFERROR(__xludf.DUMMYFUNCTION("""COMPUTED_VALUE"""),45061.63611111111)</f>
        <v>45061.63611</v>
      </c>
      <c r="K1240" s="22">
        <f>IFERROR(__xludf.DUMMYFUNCTION("""COMPUTED_VALUE"""),24.25)</f>
        <v>24.25</v>
      </c>
    </row>
    <row r="1241" ht="15.75" customHeight="1">
      <c r="A1241" s="25">
        <f>IFERROR(__xludf.DUMMYFUNCTION("""COMPUTED_VALUE"""),45062.66666666667)</f>
        <v>45062.66667</v>
      </c>
      <c r="B1241" s="22">
        <f>IFERROR(__xludf.DUMMYFUNCTION("""COMPUTED_VALUE"""),4109.9)</f>
        <v>4109.9</v>
      </c>
      <c r="C1241" s="25">
        <f>IFERROR(__xludf.DUMMYFUNCTION("""COMPUTED_VALUE"""),45062.63611111111)</f>
        <v>45062.63611</v>
      </c>
      <c r="D1241" s="22">
        <f>IFERROR(__xludf.DUMMYFUNCTION("""COMPUTED_VALUE"""),17.99)</f>
        <v>17.99</v>
      </c>
      <c r="F1241" s="25">
        <f>IFERROR(__xludf.DUMMYFUNCTION("""COMPUTED_VALUE"""),45062.63611111111)</f>
        <v>45062.63611</v>
      </c>
      <c r="G1241" s="22">
        <f>IFERROR(__xludf.DUMMYFUNCTION("""COMPUTED_VALUE"""),20.9)</f>
        <v>20.9</v>
      </c>
      <c r="H1241" s="25">
        <f>IFERROR(__xludf.DUMMYFUNCTION("""COMPUTED_VALUE"""),45062.63611111111)</f>
        <v>45062.63611</v>
      </c>
      <c r="I1241" s="22">
        <f>IFERROR(__xludf.DUMMYFUNCTION("""COMPUTED_VALUE"""),23.54)</f>
        <v>23.54</v>
      </c>
      <c r="J1241" s="25">
        <f>IFERROR(__xludf.DUMMYFUNCTION("""COMPUTED_VALUE"""),45062.63611111111)</f>
        <v>45062.63611</v>
      </c>
      <c r="K1241" s="22">
        <f>IFERROR(__xludf.DUMMYFUNCTION("""COMPUTED_VALUE"""),24.88)</f>
        <v>24.88</v>
      </c>
    </row>
    <row r="1242" ht="15.75" customHeight="1">
      <c r="A1242" s="25">
        <f>IFERROR(__xludf.DUMMYFUNCTION("""COMPUTED_VALUE"""),45063.66666666667)</f>
        <v>45063.66667</v>
      </c>
      <c r="B1242" s="22">
        <f>IFERROR(__xludf.DUMMYFUNCTION("""COMPUTED_VALUE"""),4158.77)</f>
        <v>4158.77</v>
      </c>
      <c r="C1242" s="25">
        <f>IFERROR(__xludf.DUMMYFUNCTION("""COMPUTED_VALUE"""),45063.63611111111)</f>
        <v>45063.63611</v>
      </c>
      <c r="D1242" s="22">
        <f>IFERROR(__xludf.DUMMYFUNCTION("""COMPUTED_VALUE"""),16.87)</f>
        <v>16.87</v>
      </c>
      <c r="F1242" s="25">
        <f>IFERROR(__xludf.DUMMYFUNCTION("""COMPUTED_VALUE"""),45063.63611111111)</f>
        <v>45063.63611</v>
      </c>
      <c r="G1242" s="22">
        <f>IFERROR(__xludf.DUMMYFUNCTION("""COMPUTED_VALUE"""),20.05)</f>
        <v>20.05</v>
      </c>
      <c r="H1242" s="25">
        <f>IFERROR(__xludf.DUMMYFUNCTION("""COMPUTED_VALUE"""),45063.63611111111)</f>
        <v>45063.63611</v>
      </c>
      <c r="I1242" s="22">
        <f>IFERROR(__xludf.DUMMYFUNCTION("""COMPUTED_VALUE"""),22.86)</f>
        <v>22.86</v>
      </c>
      <c r="J1242" s="25">
        <f>IFERROR(__xludf.DUMMYFUNCTION("""COMPUTED_VALUE"""),45063.63611111111)</f>
        <v>45063.63611</v>
      </c>
      <c r="K1242" s="22">
        <f>IFERROR(__xludf.DUMMYFUNCTION("""COMPUTED_VALUE"""),24.12)</f>
        <v>24.12</v>
      </c>
    </row>
    <row r="1243" ht="15.75" customHeight="1">
      <c r="A1243" s="25">
        <f>IFERROR(__xludf.DUMMYFUNCTION("""COMPUTED_VALUE"""),45064.66666666667)</f>
        <v>45064.66667</v>
      </c>
      <c r="B1243" s="22">
        <f>IFERROR(__xludf.DUMMYFUNCTION("""COMPUTED_VALUE"""),4198.05)</f>
        <v>4198.05</v>
      </c>
      <c r="C1243" s="25">
        <f>IFERROR(__xludf.DUMMYFUNCTION("""COMPUTED_VALUE"""),45064.63611111111)</f>
        <v>45064.63611</v>
      </c>
      <c r="D1243" s="22">
        <f>IFERROR(__xludf.DUMMYFUNCTION("""COMPUTED_VALUE"""),16.05)</f>
        <v>16.05</v>
      </c>
      <c r="F1243" s="25">
        <f>IFERROR(__xludf.DUMMYFUNCTION("""COMPUTED_VALUE"""),45064.63611111111)</f>
        <v>45064.63611</v>
      </c>
      <c r="G1243" s="22">
        <f>IFERROR(__xludf.DUMMYFUNCTION("""COMPUTED_VALUE"""),19.33)</f>
        <v>19.33</v>
      </c>
      <c r="H1243" s="25">
        <f>IFERROR(__xludf.DUMMYFUNCTION("""COMPUTED_VALUE"""),45064.63611111111)</f>
        <v>45064.63611</v>
      </c>
      <c r="I1243" s="22">
        <f>IFERROR(__xludf.DUMMYFUNCTION("""COMPUTED_VALUE"""),22.23)</f>
        <v>22.23</v>
      </c>
      <c r="J1243" s="25">
        <f>IFERROR(__xludf.DUMMYFUNCTION("""COMPUTED_VALUE"""),45064.63611111111)</f>
        <v>45064.63611</v>
      </c>
      <c r="K1243" s="22">
        <f>IFERROR(__xludf.DUMMYFUNCTION("""COMPUTED_VALUE"""),23.67)</f>
        <v>23.67</v>
      </c>
    </row>
    <row r="1244" ht="15.75" customHeight="1">
      <c r="A1244" s="25">
        <f>IFERROR(__xludf.DUMMYFUNCTION("""COMPUTED_VALUE"""),45065.66666666667)</f>
        <v>45065.66667</v>
      </c>
      <c r="B1244" s="22">
        <f>IFERROR(__xludf.DUMMYFUNCTION("""COMPUTED_VALUE"""),4191.98)</f>
        <v>4191.98</v>
      </c>
      <c r="C1244" s="25">
        <f>IFERROR(__xludf.DUMMYFUNCTION("""COMPUTED_VALUE"""),45065.63611111111)</f>
        <v>45065.63611</v>
      </c>
      <c r="D1244" s="22">
        <f>IFERROR(__xludf.DUMMYFUNCTION("""COMPUTED_VALUE"""),16.81)</f>
        <v>16.81</v>
      </c>
      <c r="F1244" s="25">
        <f>IFERROR(__xludf.DUMMYFUNCTION("""COMPUTED_VALUE"""),45065.63611111111)</f>
        <v>45065.63611</v>
      </c>
      <c r="G1244" s="22">
        <f>IFERROR(__xludf.DUMMYFUNCTION("""COMPUTED_VALUE"""),20.04)</f>
        <v>20.04</v>
      </c>
      <c r="H1244" s="25">
        <f>IFERROR(__xludf.DUMMYFUNCTION("""COMPUTED_VALUE"""),45065.63611111111)</f>
        <v>45065.63611</v>
      </c>
      <c r="I1244" s="22">
        <f>IFERROR(__xludf.DUMMYFUNCTION("""COMPUTED_VALUE"""),22.89)</f>
        <v>22.89</v>
      </c>
      <c r="J1244" s="25">
        <f>IFERROR(__xludf.DUMMYFUNCTION("""COMPUTED_VALUE"""),45065.63611111111)</f>
        <v>45065.63611</v>
      </c>
      <c r="K1244" s="22">
        <f>IFERROR(__xludf.DUMMYFUNCTION("""COMPUTED_VALUE"""),24.37)</f>
        <v>24.37</v>
      </c>
    </row>
    <row r="1245" ht="15.75" customHeight="1">
      <c r="A1245" s="25">
        <f>IFERROR(__xludf.DUMMYFUNCTION("""COMPUTED_VALUE"""),45068.66666666667)</f>
        <v>45068.66667</v>
      </c>
      <c r="B1245" s="22">
        <f>IFERROR(__xludf.DUMMYFUNCTION("""COMPUTED_VALUE"""),4192.63)</f>
        <v>4192.63</v>
      </c>
      <c r="C1245" s="25">
        <f>IFERROR(__xludf.DUMMYFUNCTION("""COMPUTED_VALUE"""),45068.63611111111)</f>
        <v>45068.63611</v>
      </c>
      <c r="D1245" s="22">
        <f>IFERROR(__xludf.DUMMYFUNCTION("""COMPUTED_VALUE"""),17.21)</f>
        <v>17.21</v>
      </c>
      <c r="F1245" s="25">
        <f>IFERROR(__xludf.DUMMYFUNCTION("""COMPUTED_VALUE"""),45068.63611111111)</f>
        <v>45068.63611</v>
      </c>
      <c r="G1245" s="22">
        <f>IFERROR(__xludf.DUMMYFUNCTION("""COMPUTED_VALUE"""),20.36)</f>
        <v>20.36</v>
      </c>
      <c r="H1245" s="25">
        <f>IFERROR(__xludf.DUMMYFUNCTION("""COMPUTED_VALUE"""),45068.63611111111)</f>
        <v>45068.63611</v>
      </c>
      <c r="I1245" s="22">
        <f>IFERROR(__xludf.DUMMYFUNCTION("""COMPUTED_VALUE"""),22.9)</f>
        <v>22.9</v>
      </c>
      <c r="J1245" s="25">
        <f>IFERROR(__xludf.DUMMYFUNCTION("""COMPUTED_VALUE"""),45068.63611111111)</f>
        <v>45068.63611</v>
      </c>
      <c r="K1245" s="22">
        <f>IFERROR(__xludf.DUMMYFUNCTION("""COMPUTED_VALUE"""),24.06)</f>
        <v>24.06</v>
      </c>
    </row>
    <row r="1246" ht="15.75" customHeight="1">
      <c r="A1246" s="25">
        <f>IFERROR(__xludf.DUMMYFUNCTION("""COMPUTED_VALUE"""),45069.66666666667)</f>
        <v>45069.66667</v>
      </c>
      <c r="B1246" s="22">
        <f>IFERROR(__xludf.DUMMYFUNCTION("""COMPUTED_VALUE"""),4145.58)</f>
        <v>4145.58</v>
      </c>
      <c r="C1246" s="25">
        <f>IFERROR(__xludf.DUMMYFUNCTION("""COMPUTED_VALUE"""),45069.63611111111)</f>
        <v>45069.63611</v>
      </c>
      <c r="D1246" s="22">
        <f>IFERROR(__xludf.DUMMYFUNCTION("""COMPUTED_VALUE"""),18.53)</f>
        <v>18.53</v>
      </c>
      <c r="F1246" s="25">
        <f>IFERROR(__xludf.DUMMYFUNCTION("""COMPUTED_VALUE"""),45069.63611111111)</f>
        <v>45069.63611</v>
      </c>
      <c r="G1246" s="22">
        <f>IFERROR(__xludf.DUMMYFUNCTION("""COMPUTED_VALUE"""),21.06)</f>
        <v>21.06</v>
      </c>
      <c r="H1246" s="25">
        <f>IFERROR(__xludf.DUMMYFUNCTION("""COMPUTED_VALUE"""),45069.63611111111)</f>
        <v>45069.63611</v>
      </c>
      <c r="I1246" s="22">
        <f>IFERROR(__xludf.DUMMYFUNCTION("""COMPUTED_VALUE"""),23.37)</f>
        <v>23.37</v>
      </c>
      <c r="J1246" s="25">
        <f>IFERROR(__xludf.DUMMYFUNCTION("""COMPUTED_VALUE"""),45069.63611111111)</f>
        <v>45069.63611</v>
      </c>
      <c r="K1246" s="22">
        <f>IFERROR(__xludf.DUMMYFUNCTION("""COMPUTED_VALUE"""),24.35)</f>
        <v>24.35</v>
      </c>
    </row>
    <row r="1247" ht="15.75" customHeight="1">
      <c r="A1247" s="25">
        <f>IFERROR(__xludf.DUMMYFUNCTION("""COMPUTED_VALUE"""),45070.66666666667)</f>
        <v>45070.66667</v>
      </c>
      <c r="B1247" s="22">
        <f>IFERROR(__xludf.DUMMYFUNCTION("""COMPUTED_VALUE"""),4115.24)</f>
        <v>4115.24</v>
      </c>
      <c r="C1247" s="25">
        <f>IFERROR(__xludf.DUMMYFUNCTION("""COMPUTED_VALUE"""),45070.63611111111)</f>
        <v>45070.63611</v>
      </c>
      <c r="D1247" s="22">
        <f>IFERROR(__xludf.DUMMYFUNCTION("""COMPUTED_VALUE"""),20.03)</f>
        <v>20.03</v>
      </c>
      <c r="F1247" s="25">
        <f>IFERROR(__xludf.DUMMYFUNCTION("""COMPUTED_VALUE"""),45070.63611111111)</f>
        <v>45070.63611</v>
      </c>
      <c r="G1247" s="22">
        <f>IFERROR(__xludf.DUMMYFUNCTION("""COMPUTED_VALUE"""),22.02)</f>
        <v>22.02</v>
      </c>
      <c r="H1247" s="25">
        <f>IFERROR(__xludf.DUMMYFUNCTION("""COMPUTED_VALUE"""),45070.63611111111)</f>
        <v>45070.63611</v>
      </c>
      <c r="I1247" s="22">
        <f>IFERROR(__xludf.DUMMYFUNCTION("""COMPUTED_VALUE"""),23.92)</f>
        <v>23.92</v>
      </c>
      <c r="J1247" s="25">
        <f>IFERROR(__xludf.DUMMYFUNCTION("""COMPUTED_VALUE"""),45070.63611111111)</f>
        <v>45070.63611</v>
      </c>
      <c r="K1247" s="22">
        <f>IFERROR(__xludf.DUMMYFUNCTION("""COMPUTED_VALUE"""),24.71)</f>
        <v>24.71</v>
      </c>
    </row>
    <row r="1248" ht="15.75" customHeight="1">
      <c r="A1248" s="25">
        <f>IFERROR(__xludf.DUMMYFUNCTION("""COMPUTED_VALUE"""),45071.66666666667)</f>
        <v>45071.66667</v>
      </c>
      <c r="B1248" s="22">
        <f>IFERROR(__xludf.DUMMYFUNCTION("""COMPUTED_VALUE"""),4151.28)</f>
        <v>4151.28</v>
      </c>
      <c r="C1248" s="25">
        <f>IFERROR(__xludf.DUMMYFUNCTION("""COMPUTED_VALUE"""),45071.63611111111)</f>
        <v>45071.63611</v>
      </c>
      <c r="D1248" s="22">
        <f>IFERROR(__xludf.DUMMYFUNCTION("""COMPUTED_VALUE"""),19.14)</f>
        <v>19.14</v>
      </c>
      <c r="F1248" s="25">
        <f>IFERROR(__xludf.DUMMYFUNCTION("""COMPUTED_VALUE"""),45071.63611111111)</f>
        <v>45071.63611</v>
      </c>
      <c r="G1248" s="22">
        <f>IFERROR(__xludf.DUMMYFUNCTION("""COMPUTED_VALUE"""),21.38)</f>
        <v>21.38</v>
      </c>
      <c r="H1248" s="25">
        <f>IFERROR(__xludf.DUMMYFUNCTION("""COMPUTED_VALUE"""),45071.63611111111)</f>
        <v>45071.63611</v>
      </c>
      <c r="I1248" s="22">
        <f>IFERROR(__xludf.DUMMYFUNCTION("""COMPUTED_VALUE"""),23.47)</f>
        <v>23.47</v>
      </c>
      <c r="J1248" s="25">
        <f>IFERROR(__xludf.DUMMYFUNCTION("""COMPUTED_VALUE"""),45071.63611111111)</f>
        <v>45071.63611</v>
      </c>
      <c r="K1248" s="22">
        <f>IFERROR(__xludf.DUMMYFUNCTION("""COMPUTED_VALUE"""),24.48)</f>
        <v>24.48</v>
      </c>
    </row>
    <row r="1249" ht="15.75" customHeight="1">
      <c r="A1249" s="25">
        <f>IFERROR(__xludf.DUMMYFUNCTION("""COMPUTED_VALUE"""),45072.66666666667)</f>
        <v>45072.66667</v>
      </c>
      <c r="B1249" s="22">
        <f>IFERROR(__xludf.DUMMYFUNCTION("""COMPUTED_VALUE"""),4205.45)</f>
        <v>4205.45</v>
      </c>
      <c r="C1249" s="25">
        <f>IFERROR(__xludf.DUMMYFUNCTION("""COMPUTED_VALUE"""),45072.63611111111)</f>
        <v>45072.63611</v>
      </c>
      <c r="D1249" s="22">
        <f>IFERROR(__xludf.DUMMYFUNCTION("""COMPUTED_VALUE"""),17.95)</f>
        <v>17.95</v>
      </c>
      <c r="F1249" s="25">
        <f>IFERROR(__xludf.DUMMYFUNCTION("""COMPUTED_VALUE"""),45072.63611111111)</f>
        <v>45072.63611</v>
      </c>
      <c r="G1249" s="22">
        <f>IFERROR(__xludf.DUMMYFUNCTION("""COMPUTED_VALUE"""),20.44)</f>
        <v>20.44</v>
      </c>
      <c r="H1249" s="25">
        <f>IFERROR(__xludf.DUMMYFUNCTION("""COMPUTED_VALUE"""),45072.63611111111)</f>
        <v>45072.63611</v>
      </c>
      <c r="I1249" s="22">
        <f>IFERROR(__xludf.DUMMYFUNCTION("""COMPUTED_VALUE"""),22.82)</f>
        <v>22.82</v>
      </c>
      <c r="J1249" s="25">
        <f>IFERROR(__xludf.DUMMYFUNCTION("""COMPUTED_VALUE"""),45072.63611111111)</f>
        <v>45072.63611</v>
      </c>
      <c r="K1249" s="22">
        <f>IFERROR(__xludf.DUMMYFUNCTION("""COMPUTED_VALUE"""),23.58)</f>
        <v>23.58</v>
      </c>
    </row>
    <row r="1250" ht="15.75" customHeight="1">
      <c r="A1250" s="25">
        <f>IFERROR(__xludf.DUMMYFUNCTION("""COMPUTED_VALUE"""),45076.66666666667)</f>
        <v>45076.66667</v>
      </c>
      <c r="B1250" s="22">
        <f>IFERROR(__xludf.DUMMYFUNCTION("""COMPUTED_VALUE"""),4205.52)</f>
        <v>4205.52</v>
      </c>
      <c r="C1250" s="25">
        <f>IFERROR(__xludf.DUMMYFUNCTION("""COMPUTED_VALUE"""),45076.63611111111)</f>
        <v>45076.63611</v>
      </c>
      <c r="D1250" s="22">
        <f>IFERROR(__xludf.DUMMYFUNCTION("""COMPUTED_VALUE"""),17.46)</f>
        <v>17.46</v>
      </c>
      <c r="F1250" s="25">
        <f>IFERROR(__xludf.DUMMYFUNCTION("""COMPUTED_VALUE"""),45076.63611111111)</f>
        <v>45076.63611</v>
      </c>
      <c r="G1250" s="22">
        <f>IFERROR(__xludf.DUMMYFUNCTION("""COMPUTED_VALUE"""),20.13)</f>
        <v>20.13</v>
      </c>
      <c r="H1250" s="25">
        <f>IFERROR(__xludf.DUMMYFUNCTION("""COMPUTED_VALUE"""),45076.63611111111)</f>
        <v>45076.63611</v>
      </c>
      <c r="I1250" s="22">
        <f>IFERROR(__xludf.DUMMYFUNCTION("""COMPUTED_VALUE"""),22.58)</f>
        <v>22.58</v>
      </c>
      <c r="J1250" s="25">
        <f>IFERROR(__xludf.DUMMYFUNCTION("""COMPUTED_VALUE"""),45076.63611111111)</f>
        <v>45076.63611</v>
      </c>
      <c r="K1250" s="22">
        <f>IFERROR(__xludf.DUMMYFUNCTION("""COMPUTED_VALUE"""),23.64)</f>
        <v>23.64</v>
      </c>
    </row>
    <row r="1251" ht="15.75" customHeight="1">
      <c r="A1251" s="25">
        <f>IFERROR(__xludf.DUMMYFUNCTION("""COMPUTED_VALUE"""),45077.66666666667)</f>
        <v>45077.66667</v>
      </c>
      <c r="B1251" s="22">
        <f>IFERROR(__xludf.DUMMYFUNCTION("""COMPUTED_VALUE"""),4179.83)</f>
        <v>4179.83</v>
      </c>
      <c r="C1251" s="25">
        <f>IFERROR(__xludf.DUMMYFUNCTION("""COMPUTED_VALUE"""),45077.63611111111)</f>
        <v>45077.63611</v>
      </c>
      <c r="D1251" s="22">
        <f>IFERROR(__xludf.DUMMYFUNCTION("""COMPUTED_VALUE"""),17.94)</f>
        <v>17.94</v>
      </c>
      <c r="F1251" s="25">
        <f>IFERROR(__xludf.DUMMYFUNCTION("""COMPUTED_VALUE"""),45077.63611111111)</f>
        <v>45077.63611</v>
      </c>
      <c r="G1251" s="22">
        <f>IFERROR(__xludf.DUMMYFUNCTION("""COMPUTED_VALUE"""),20.21)</f>
        <v>20.21</v>
      </c>
      <c r="H1251" s="25">
        <f>IFERROR(__xludf.DUMMYFUNCTION("""COMPUTED_VALUE"""),45077.63611111111)</f>
        <v>45077.63611</v>
      </c>
      <c r="I1251" s="22">
        <f>IFERROR(__xludf.DUMMYFUNCTION("""COMPUTED_VALUE"""),22.55)</f>
        <v>22.55</v>
      </c>
      <c r="J1251" s="25">
        <f>IFERROR(__xludf.DUMMYFUNCTION("""COMPUTED_VALUE"""),45077.63611111111)</f>
        <v>45077.63611</v>
      </c>
      <c r="K1251" s="22">
        <f>IFERROR(__xludf.DUMMYFUNCTION("""COMPUTED_VALUE"""),23.66)</f>
        <v>23.66</v>
      </c>
    </row>
    <row r="1252" ht="15.75" customHeight="1">
      <c r="A1252" s="25">
        <f>IFERROR(__xludf.DUMMYFUNCTION("""COMPUTED_VALUE"""),45078.66666666667)</f>
        <v>45078.66667</v>
      </c>
      <c r="B1252" s="22">
        <f>IFERROR(__xludf.DUMMYFUNCTION("""COMPUTED_VALUE"""),4221.02)</f>
        <v>4221.02</v>
      </c>
      <c r="C1252" s="25">
        <f>IFERROR(__xludf.DUMMYFUNCTION("""COMPUTED_VALUE"""),45078.63611111111)</f>
        <v>45078.63611</v>
      </c>
      <c r="D1252" s="22">
        <f>IFERROR(__xludf.DUMMYFUNCTION("""COMPUTED_VALUE"""),15.65)</f>
        <v>15.65</v>
      </c>
      <c r="F1252" s="25">
        <f>IFERROR(__xludf.DUMMYFUNCTION("""COMPUTED_VALUE"""),45078.63611111111)</f>
        <v>45078.63611</v>
      </c>
      <c r="G1252" s="22">
        <f>IFERROR(__xludf.DUMMYFUNCTION("""COMPUTED_VALUE"""),18.75)</f>
        <v>18.75</v>
      </c>
      <c r="H1252" s="25">
        <f>IFERROR(__xludf.DUMMYFUNCTION("""COMPUTED_VALUE"""),45078.63611111111)</f>
        <v>45078.63611</v>
      </c>
      <c r="I1252" s="22">
        <f>IFERROR(__xludf.DUMMYFUNCTION("""COMPUTED_VALUE"""),21.37)</f>
        <v>21.37</v>
      </c>
      <c r="J1252" s="25">
        <f>IFERROR(__xludf.DUMMYFUNCTION("""COMPUTED_VALUE"""),45078.63611111111)</f>
        <v>45078.63611</v>
      </c>
      <c r="K1252" s="22">
        <f>IFERROR(__xludf.DUMMYFUNCTION("""COMPUTED_VALUE"""),23.03)</f>
        <v>23.03</v>
      </c>
    </row>
    <row r="1253" ht="15.75" customHeight="1">
      <c r="A1253" s="25">
        <f>IFERROR(__xludf.DUMMYFUNCTION("""COMPUTED_VALUE"""),45079.66666666667)</f>
        <v>45079.66667</v>
      </c>
      <c r="B1253" s="22">
        <f>IFERROR(__xludf.DUMMYFUNCTION("""COMPUTED_VALUE"""),4282.37)</f>
        <v>4282.37</v>
      </c>
      <c r="C1253" s="25">
        <f>IFERROR(__xludf.DUMMYFUNCTION("""COMPUTED_VALUE"""),45079.63611111111)</f>
        <v>45079.63611</v>
      </c>
      <c r="D1253" s="22">
        <f>IFERROR(__xludf.DUMMYFUNCTION("""COMPUTED_VALUE"""),14.6)</f>
        <v>14.6</v>
      </c>
      <c r="F1253" s="25">
        <f>IFERROR(__xludf.DUMMYFUNCTION("""COMPUTED_VALUE"""),45079.63611111111)</f>
        <v>45079.63611</v>
      </c>
      <c r="G1253" s="22">
        <f>IFERROR(__xludf.DUMMYFUNCTION("""COMPUTED_VALUE"""),17.92)</f>
        <v>17.92</v>
      </c>
      <c r="H1253" s="25">
        <f>IFERROR(__xludf.DUMMYFUNCTION("""COMPUTED_VALUE"""),45079.63611111111)</f>
        <v>45079.63611</v>
      </c>
      <c r="I1253" s="22">
        <f>IFERROR(__xludf.DUMMYFUNCTION("""COMPUTED_VALUE"""),20.6)</f>
        <v>20.6</v>
      </c>
      <c r="J1253" s="25">
        <f>IFERROR(__xludf.DUMMYFUNCTION("""COMPUTED_VALUE"""),45079.63611111111)</f>
        <v>45079.63611</v>
      </c>
      <c r="K1253" s="22">
        <f>IFERROR(__xludf.DUMMYFUNCTION("""COMPUTED_VALUE"""),22.37)</f>
        <v>22.37</v>
      </c>
    </row>
    <row r="1254" ht="15.75" customHeight="1">
      <c r="A1254" s="25">
        <f>IFERROR(__xludf.DUMMYFUNCTION("""COMPUTED_VALUE"""),45082.66666666667)</f>
        <v>45082.66667</v>
      </c>
      <c r="B1254" s="22">
        <f>IFERROR(__xludf.DUMMYFUNCTION("""COMPUTED_VALUE"""),4273.79)</f>
        <v>4273.79</v>
      </c>
      <c r="C1254" s="25">
        <f>IFERROR(__xludf.DUMMYFUNCTION("""COMPUTED_VALUE"""),45082.63611111111)</f>
        <v>45082.63611</v>
      </c>
      <c r="D1254" s="22">
        <f>IFERROR(__xludf.DUMMYFUNCTION("""COMPUTED_VALUE"""),14.73)</f>
        <v>14.73</v>
      </c>
      <c r="F1254" s="25">
        <f>IFERROR(__xludf.DUMMYFUNCTION("""COMPUTED_VALUE"""),45082.63611111111)</f>
        <v>45082.63611</v>
      </c>
      <c r="G1254" s="22">
        <f>IFERROR(__xludf.DUMMYFUNCTION("""COMPUTED_VALUE"""),17.9)</f>
        <v>17.9</v>
      </c>
      <c r="H1254" s="25">
        <f>IFERROR(__xludf.DUMMYFUNCTION("""COMPUTED_VALUE"""),45082.63611111111)</f>
        <v>45082.63611</v>
      </c>
      <c r="I1254" s="22">
        <f>IFERROR(__xludf.DUMMYFUNCTION("""COMPUTED_VALUE"""),20.52)</f>
        <v>20.52</v>
      </c>
      <c r="J1254" s="25">
        <f>IFERROR(__xludf.DUMMYFUNCTION("""COMPUTED_VALUE"""),45082.63611111111)</f>
        <v>45082.63611</v>
      </c>
      <c r="K1254" s="22">
        <f>IFERROR(__xludf.DUMMYFUNCTION("""COMPUTED_VALUE"""),22.11)</f>
        <v>22.11</v>
      </c>
    </row>
    <row r="1255" ht="15.75" customHeight="1">
      <c r="A1255" s="25">
        <f>IFERROR(__xludf.DUMMYFUNCTION("""COMPUTED_VALUE"""),45083.66666666667)</f>
        <v>45083.66667</v>
      </c>
      <c r="B1255" s="22">
        <f>IFERROR(__xludf.DUMMYFUNCTION("""COMPUTED_VALUE"""),4283.85)</f>
        <v>4283.85</v>
      </c>
      <c r="C1255" s="25">
        <f>IFERROR(__xludf.DUMMYFUNCTION("""COMPUTED_VALUE"""),45083.63611111111)</f>
        <v>45083.63611</v>
      </c>
      <c r="D1255" s="22">
        <f>IFERROR(__xludf.DUMMYFUNCTION("""COMPUTED_VALUE"""),13.96)</f>
        <v>13.96</v>
      </c>
      <c r="F1255" s="25">
        <f>IFERROR(__xludf.DUMMYFUNCTION("""COMPUTED_VALUE"""),45083.63611111111)</f>
        <v>45083.63611</v>
      </c>
      <c r="G1255" s="22">
        <f>IFERROR(__xludf.DUMMYFUNCTION("""COMPUTED_VALUE"""),17.04)</f>
        <v>17.04</v>
      </c>
      <c r="H1255" s="25">
        <f>IFERROR(__xludf.DUMMYFUNCTION("""COMPUTED_VALUE"""),45083.63611111111)</f>
        <v>45083.63611</v>
      </c>
      <c r="I1255" s="22">
        <f>IFERROR(__xludf.DUMMYFUNCTION("""COMPUTED_VALUE"""),19.7)</f>
        <v>19.7</v>
      </c>
      <c r="J1255" s="25">
        <f>IFERROR(__xludf.DUMMYFUNCTION("""COMPUTED_VALUE"""),45083.63611111111)</f>
        <v>45083.63611</v>
      </c>
      <c r="K1255" s="22">
        <f>IFERROR(__xludf.DUMMYFUNCTION("""COMPUTED_VALUE"""),21.59)</f>
        <v>21.59</v>
      </c>
    </row>
    <row r="1256" ht="15.75" customHeight="1">
      <c r="A1256" s="25">
        <f>IFERROR(__xludf.DUMMYFUNCTION("""COMPUTED_VALUE"""),45084.66666666667)</f>
        <v>45084.66667</v>
      </c>
      <c r="B1256" s="22">
        <f>IFERROR(__xludf.DUMMYFUNCTION("""COMPUTED_VALUE"""),4267.52)</f>
        <v>4267.52</v>
      </c>
      <c r="C1256" s="25">
        <f>IFERROR(__xludf.DUMMYFUNCTION("""COMPUTED_VALUE"""),45084.63611111111)</f>
        <v>45084.63611</v>
      </c>
      <c r="D1256" s="22">
        <f>IFERROR(__xludf.DUMMYFUNCTION("""COMPUTED_VALUE"""),13.94)</f>
        <v>13.94</v>
      </c>
      <c r="F1256" s="25">
        <f>IFERROR(__xludf.DUMMYFUNCTION("""COMPUTED_VALUE"""),45084.63611111111)</f>
        <v>45084.63611</v>
      </c>
      <c r="G1256" s="22">
        <f>IFERROR(__xludf.DUMMYFUNCTION("""COMPUTED_VALUE"""),17.14)</f>
        <v>17.14</v>
      </c>
      <c r="H1256" s="25">
        <f>IFERROR(__xludf.DUMMYFUNCTION("""COMPUTED_VALUE"""),45084.63611111111)</f>
        <v>45084.63611</v>
      </c>
      <c r="I1256" s="22">
        <f>IFERROR(__xludf.DUMMYFUNCTION("""COMPUTED_VALUE"""),19.8)</f>
        <v>19.8</v>
      </c>
      <c r="J1256" s="25">
        <f>IFERROR(__xludf.DUMMYFUNCTION("""COMPUTED_VALUE"""),45084.63611111111)</f>
        <v>45084.63611</v>
      </c>
      <c r="K1256" s="22">
        <f>IFERROR(__xludf.DUMMYFUNCTION("""COMPUTED_VALUE"""),21.6)</f>
        <v>21.6</v>
      </c>
    </row>
    <row r="1257" ht="15.75" customHeight="1">
      <c r="A1257" s="25">
        <f>IFERROR(__xludf.DUMMYFUNCTION("""COMPUTED_VALUE"""),45085.66666666667)</f>
        <v>45085.66667</v>
      </c>
      <c r="B1257" s="22">
        <f>IFERROR(__xludf.DUMMYFUNCTION("""COMPUTED_VALUE"""),4293.93)</f>
        <v>4293.93</v>
      </c>
      <c r="C1257" s="25">
        <f>IFERROR(__xludf.DUMMYFUNCTION("""COMPUTED_VALUE"""),45085.63611111111)</f>
        <v>45085.63611</v>
      </c>
      <c r="D1257" s="22">
        <f>IFERROR(__xludf.DUMMYFUNCTION("""COMPUTED_VALUE"""),13.65)</f>
        <v>13.65</v>
      </c>
      <c r="F1257" s="25">
        <f>IFERROR(__xludf.DUMMYFUNCTION("""COMPUTED_VALUE"""),45085.63611111111)</f>
        <v>45085.63611</v>
      </c>
      <c r="G1257" s="22">
        <f>IFERROR(__xludf.DUMMYFUNCTION("""COMPUTED_VALUE"""),16.86)</f>
        <v>16.86</v>
      </c>
      <c r="H1257" s="25">
        <f>IFERROR(__xludf.DUMMYFUNCTION("""COMPUTED_VALUE"""),45085.63611111111)</f>
        <v>45085.63611</v>
      </c>
      <c r="I1257" s="22">
        <f>IFERROR(__xludf.DUMMYFUNCTION("""COMPUTED_VALUE"""),19.47)</f>
        <v>19.47</v>
      </c>
      <c r="J1257" s="25">
        <f>IFERROR(__xludf.DUMMYFUNCTION("""COMPUTED_VALUE"""),45085.63611111111)</f>
        <v>45085.63611</v>
      </c>
      <c r="K1257" s="22">
        <f>IFERROR(__xludf.DUMMYFUNCTION("""COMPUTED_VALUE"""),21.55)</f>
        <v>21.55</v>
      </c>
    </row>
    <row r="1258" ht="15.75" customHeight="1">
      <c r="A1258" s="25">
        <f>IFERROR(__xludf.DUMMYFUNCTION("""COMPUTED_VALUE"""),45086.66666666667)</f>
        <v>45086.66667</v>
      </c>
      <c r="B1258" s="22">
        <f>IFERROR(__xludf.DUMMYFUNCTION("""COMPUTED_VALUE"""),4298.86)</f>
        <v>4298.86</v>
      </c>
      <c r="C1258" s="25">
        <f>IFERROR(__xludf.DUMMYFUNCTION("""COMPUTED_VALUE"""),45086.63611111111)</f>
        <v>45086.63611</v>
      </c>
      <c r="D1258" s="22">
        <f>IFERROR(__xludf.DUMMYFUNCTION("""COMPUTED_VALUE"""),13.83)</f>
        <v>13.83</v>
      </c>
      <c r="F1258" s="25">
        <f>IFERROR(__xludf.DUMMYFUNCTION("""COMPUTED_VALUE"""),45086.63611111111)</f>
        <v>45086.63611</v>
      </c>
      <c r="G1258" s="22">
        <f>IFERROR(__xludf.DUMMYFUNCTION("""COMPUTED_VALUE"""),16.96)</f>
        <v>16.96</v>
      </c>
      <c r="H1258" s="25">
        <f>IFERROR(__xludf.DUMMYFUNCTION("""COMPUTED_VALUE"""),45086.63611111111)</f>
        <v>45086.63611</v>
      </c>
      <c r="I1258" s="22">
        <f>IFERROR(__xludf.DUMMYFUNCTION("""COMPUTED_VALUE"""),19.55)</f>
        <v>19.55</v>
      </c>
      <c r="J1258" s="25">
        <f>IFERROR(__xludf.DUMMYFUNCTION("""COMPUTED_VALUE"""),45086.63611111111)</f>
        <v>45086.63611</v>
      </c>
      <c r="K1258" s="22">
        <f>IFERROR(__xludf.DUMMYFUNCTION("""COMPUTED_VALUE"""),21.34)</f>
        <v>21.34</v>
      </c>
    </row>
    <row r="1259" ht="15.75" customHeight="1">
      <c r="A1259" s="25">
        <f>IFERROR(__xludf.DUMMYFUNCTION("""COMPUTED_VALUE"""),45089.66666666667)</f>
        <v>45089.66667</v>
      </c>
      <c r="B1259" s="22">
        <f>IFERROR(__xludf.DUMMYFUNCTION("""COMPUTED_VALUE"""),4338.93)</f>
        <v>4338.93</v>
      </c>
      <c r="C1259" s="25">
        <f>IFERROR(__xludf.DUMMYFUNCTION("""COMPUTED_VALUE"""),45089.63611111111)</f>
        <v>45089.63611</v>
      </c>
      <c r="D1259" s="22">
        <f>IFERROR(__xludf.DUMMYFUNCTION("""COMPUTED_VALUE"""),15.01)</f>
        <v>15.01</v>
      </c>
      <c r="F1259" s="25">
        <f>IFERROR(__xludf.DUMMYFUNCTION("""COMPUTED_VALUE"""),45089.63611111111)</f>
        <v>45089.63611</v>
      </c>
      <c r="G1259" s="22">
        <f>IFERROR(__xludf.DUMMYFUNCTION("""COMPUTED_VALUE"""),17.28)</f>
        <v>17.28</v>
      </c>
      <c r="H1259" s="25">
        <f>IFERROR(__xludf.DUMMYFUNCTION("""COMPUTED_VALUE"""),45089.63611111111)</f>
        <v>45089.63611</v>
      </c>
      <c r="I1259" s="22">
        <f>IFERROR(__xludf.DUMMYFUNCTION("""COMPUTED_VALUE"""),19.6)</f>
        <v>19.6</v>
      </c>
      <c r="J1259" s="25">
        <f>IFERROR(__xludf.DUMMYFUNCTION("""COMPUTED_VALUE"""),45089.63611111111)</f>
        <v>45089.63611</v>
      </c>
      <c r="K1259" s="22">
        <f>IFERROR(__xludf.DUMMYFUNCTION("""COMPUTED_VALUE"""),21.27)</f>
        <v>21.27</v>
      </c>
    </row>
    <row r="1260" ht="15.75" customHeight="1">
      <c r="A1260" s="25">
        <f>IFERROR(__xludf.DUMMYFUNCTION("""COMPUTED_VALUE"""),45090.66666666667)</f>
        <v>45090.66667</v>
      </c>
      <c r="B1260" s="22">
        <f>IFERROR(__xludf.DUMMYFUNCTION("""COMPUTED_VALUE"""),4369.01)</f>
        <v>4369.01</v>
      </c>
      <c r="C1260" s="25">
        <f>IFERROR(__xludf.DUMMYFUNCTION("""COMPUTED_VALUE"""),45090.63611111111)</f>
        <v>45090.63611</v>
      </c>
      <c r="D1260" s="22">
        <f>IFERROR(__xludf.DUMMYFUNCTION("""COMPUTED_VALUE"""),14.61)</f>
        <v>14.61</v>
      </c>
      <c r="F1260" s="25">
        <f>IFERROR(__xludf.DUMMYFUNCTION("""COMPUTED_VALUE"""),45090.63611111111)</f>
        <v>45090.63611</v>
      </c>
      <c r="G1260" s="22">
        <f>IFERROR(__xludf.DUMMYFUNCTION("""COMPUTED_VALUE"""),17.23)</f>
        <v>17.23</v>
      </c>
      <c r="H1260" s="25">
        <f>IFERROR(__xludf.DUMMYFUNCTION("""COMPUTED_VALUE"""),45090.63611111111)</f>
        <v>45090.63611</v>
      </c>
      <c r="I1260" s="22">
        <f>IFERROR(__xludf.DUMMYFUNCTION("""COMPUTED_VALUE"""),19.62)</f>
        <v>19.62</v>
      </c>
      <c r="J1260" s="25">
        <f>IFERROR(__xludf.DUMMYFUNCTION("""COMPUTED_VALUE"""),45090.63611111111)</f>
        <v>45090.63611</v>
      </c>
      <c r="K1260" s="22">
        <f>IFERROR(__xludf.DUMMYFUNCTION("""COMPUTED_VALUE"""),21.26)</f>
        <v>21.26</v>
      </c>
    </row>
    <row r="1261" ht="15.75" customHeight="1">
      <c r="A1261" s="25">
        <f>IFERROR(__xludf.DUMMYFUNCTION("""COMPUTED_VALUE"""),45091.66666666667)</f>
        <v>45091.66667</v>
      </c>
      <c r="B1261" s="22">
        <f>IFERROR(__xludf.DUMMYFUNCTION("""COMPUTED_VALUE"""),4372.59)</f>
        <v>4372.59</v>
      </c>
      <c r="C1261" s="25">
        <f>IFERROR(__xludf.DUMMYFUNCTION("""COMPUTED_VALUE"""),45091.63611111111)</f>
        <v>45091.63611</v>
      </c>
      <c r="D1261" s="22">
        <f>IFERROR(__xludf.DUMMYFUNCTION("""COMPUTED_VALUE"""),13.88)</f>
        <v>13.88</v>
      </c>
      <c r="F1261" s="25">
        <f>IFERROR(__xludf.DUMMYFUNCTION("""COMPUTED_VALUE"""),45091.63611111111)</f>
        <v>45091.63611</v>
      </c>
      <c r="G1261" s="22">
        <f>IFERROR(__xludf.DUMMYFUNCTION("""COMPUTED_VALUE"""),16.86)</f>
        <v>16.86</v>
      </c>
      <c r="H1261" s="25">
        <f>IFERROR(__xludf.DUMMYFUNCTION("""COMPUTED_VALUE"""),45091.63611111111)</f>
        <v>45091.63611</v>
      </c>
      <c r="I1261" s="22">
        <f>IFERROR(__xludf.DUMMYFUNCTION("""COMPUTED_VALUE"""),19.47)</f>
        <v>19.47</v>
      </c>
      <c r="J1261" s="25">
        <f>IFERROR(__xludf.DUMMYFUNCTION("""COMPUTED_VALUE"""),45091.63611111111)</f>
        <v>45091.63611</v>
      </c>
      <c r="K1261" s="22">
        <f>IFERROR(__xludf.DUMMYFUNCTION("""COMPUTED_VALUE"""),21.27)</f>
        <v>21.27</v>
      </c>
    </row>
    <row r="1262" ht="15.75" customHeight="1">
      <c r="A1262" s="25">
        <f>IFERROR(__xludf.DUMMYFUNCTION("""COMPUTED_VALUE"""),45092.66666666667)</f>
        <v>45092.66667</v>
      </c>
      <c r="B1262" s="22">
        <f>IFERROR(__xludf.DUMMYFUNCTION("""COMPUTED_VALUE"""),4425.84)</f>
        <v>4425.84</v>
      </c>
      <c r="C1262" s="25">
        <f>IFERROR(__xludf.DUMMYFUNCTION("""COMPUTED_VALUE"""),45092.63611111111)</f>
        <v>45092.63611</v>
      </c>
      <c r="D1262" s="22">
        <f>IFERROR(__xludf.DUMMYFUNCTION("""COMPUTED_VALUE"""),14.5)</f>
        <v>14.5</v>
      </c>
      <c r="F1262" s="25">
        <f>IFERROR(__xludf.DUMMYFUNCTION("""COMPUTED_VALUE"""),45092.63611111111)</f>
        <v>45092.63611</v>
      </c>
      <c r="G1262" s="22">
        <f>IFERROR(__xludf.DUMMYFUNCTION("""COMPUTED_VALUE"""),17.18)</f>
        <v>17.18</v>
      </c>
      <c r="H1262" s="25">
        <f>IFERROR(__xludf.DUMMYFUNCTION("""COMPUTED_VALUE"""),45092.63611111111)</f>
        <v>45092.63611</v>
      </c>
      <c r="I1262" s="22">
        <f>IFERROR(__xludf.DUMMYFUNCTION("""COMPUTED_VALUE"""),19.5)</f>
        <v>19.5</v>
      </c>
      <c r="J1262" s="25">
        <f>IFERROR(__xludf.DUMMYFUNCTION("""COMPUTED_VALUE"""),45092.63611111111)</f>
        <v>45092.63611</v>
      </c>
      <c r="K1262" s="22">
        <f>IFERROR(__xludf.DUMMYFUNCTION("""COMPUTED_VALUE"""),21.27)</f>
        <v>21.27</v>
      </c>
    </row>
    <row r="1263" ht="15.75" customHeight="1">
      <c r="A1263" s="25">
        <f>IFERROR(__xludf.DUMMYFUNCTION("""COMPUTED_VALUE"""),45093.66666666667)</f>
        <v>45093.66667</v>
      </c>
      <c r="B1263" s="22">
        <f>IFERROR(__xludf.DUMMYFUNCTION("""COMPUTED_VALUE"""),4409.59)</f>
        <v>4409.59</v>
      </c>
      <c r="C1263" s="25">
        <f>IFERROR(__xludf.DUMMYFUNCTION("""COMPUTED_VALUE"""),45093.63611111111)</f>
        <v>45093.63611</v>
      </c>
      <c r="D1263" s="22">
        <f>IFERROR(__xludf.DUMMYFUNCTION("""COMPUTED_VALUE"""),13.54)</f>
        <v>13.54</v>
      </c>
      <c r="F1263" s="25">
        <f>IFERROR(__xludf.DUMMYFUNCTION("""COMPUTED_VALUE"""),45093.63611111111)</f>
        <v>45093.63611</v>
      </c>
      <c r="G1263" s="22">
        <f>IFERROR(__xludf.DUMMYFUNCTION("""COMPUTED_VALUE"""),16.75)</f>
        <v>16.75</v>
      </c>
      <c r="H1263" s="25">
        <f>IFERROR(__xludf.DUMMYFUNCTION("""COMPUTED_VALUE"""),45093.63611111111)</f>
        <v>45093.63611</v>
      </c>
      <c r="I1263" s="22">
        <f>IFERROR(__xludf.DUMMYFUNCTION("""COMPUTED_VALUE"""),19.3)</f>
        <v>19.3</v>
      </c>
      <c r="J1263" s="25">
        <f>IFERROR(__xludf.DUMMYFUNCTION("""COMPUTED_VALUE"""),45093.63611111111)</f>
        <v>45093.63611</v>
      </c>
      <c r="K1263" s="22">
        <f>IFERROR(__xludf.DUMMYFUNCTION("""COMPUTED_VALUE"""),21.19)</f>
        <v>21.19</v>
      </c>
    </row>
    <row r="1264" ht="15.75" customHeight="1">
      <c r="A1264" s="25">
        <f>IFERROR(__xludf.DUMMYFUNCTION("""COMPUTED_VALUE"""),45097.66666666667)</f>
        <v>45097.66667</v>
      </c>
      <c r="B1264" s="22">
        <f>IFERROR(__xludf.DUMMYFUNCTION("""COMPUTED_VALUE"""),4388.71)</f>
        <v>4388.71</v>
      </c>
      <c r="C1264" s="25">
        <f>IFERROR(__xludf.DUMMYFUNCTION("""COMPUTED_VALUE"""),45097.63611111111)</f>
        <v>45097.63611</v>
      </c>
      <c r="D1264" s="22">
        <f>IFERROR(__xludf.DUMMYFUNCTION("""COMPUTED_VALUE"""),13.88)</f>
        <v>13.88</v>
      </c>
      <c r="F1264" s="25">
        <f>IFERROR(__xludf.DUMMYFUNCTION("""COMPUTED_VALUE"""),45097.63611111111)</f>
        <v>45097.63611</v>
      </c>
      <c r="G1264" s="22">
        <f>IFERROR(__xludf.DUMMYFUNCTION("""COMPUTED_VALUE"""),17.3)</f>
        <v>17.3</v>
      </c>
      <c r="H1264" s="25">
        <f>IFERROR(__xludf.DUMMYFUNCTION("""COMPUTED_VALUE"""),45097.63611111111)</f>
        <v>45097.63611</v>
      </c>
      <c r="I1264" s="22">
        <f>IFERROR(__xludf.DUMMYFUNCTION("""COMPUTED_VALUE"""),19.75)</f>
        <v>19.75</v>
      </c>
      <c r="J1264" s="25">
        <f>IFERROR(__xludf.DUMMYFUNCTION("""COMPUTED_VALUE"""),45097.63611111111)</f>
        <v>45097.63611</v>
      </c>
      <c r="K1264" s="22">
        <f>IFERROR(__xludf.DUMMYFUNCTION("""COMPUTED_VALUE"""),21.51)</f>
        <v>21.51</v>
      </c>
    </row>
    <row r="1265" ht="15.75" customHeight="1">
      <c r="A1265" s="25">
        <f>IFERROR(__xludf.DUMMYFUNCTION("""COMPUTED_VALUE"""),45098.66666666667)</f>
        <v>45098.66667</v>
      </c>
      <c r="B1265" s="22">
        <f>IFERROR(__xludf.DUMMYFUNCTION("""COMPUTED_VALUE"""),4365.69)</f>
        <v>4365.69</v>
      </c>
      <c r="C1265" s="25">
        <f>IFERROR(__xludf.DUMMYFUNCTION("""COMPUTED_VALUE"""),45098.63611111111)</f>
        <v>45098.63611</v>
      </c>
      <c r="D1265" s="22">
        <f>IFERROR(__xludf.DUMMYFUNCTION("""COMPUTED_VALUE"""),13.2)</f>
        <v>13.2</v>
      </c>
      <c r="F1265" s="25">
        <f>IFERROR(__xludf.DUMMYFUNCTION("""COMPUTED_VALUE"""),45098.63611111111)</f>
        <v>45098.63611</v>
      </c>
      <c r="G1265" s="22">
        <f>IFERROR(__xludf.DUMMYFUNCTION("""COMPUTED_VALUE"""),16.89)</f>
        <v>16.89</v>
      </c>
      <c r="H1265" s="25">
        <f>IFERROR(__xludf.DUMMYFUNCTION("""COMPUTED_VALUE"""),45098.63611111111)</f>
        <v>45098.63611</v>
      </c>
      <c r="I1265" s="22">
        <f>IFERROR(__xludf.DUMMYFUNCTION("""COMPUTED_VALUE"""),19.53)</f>
        <v>19.53</v>
      </c>
      <c r="J1265" s="25">
        <f>IFERROR(__xludf.DUMMYFUNCTION("""COMPUTED_VALUE"""),45098.63611111111)</f>
        <v>45098.63611</v>
      </c>
      <c r="K1265" s="22">
        <f>IFERROR(__xludf.DUMMYFUNCTION("""COMPUTED_VALUE"""),21.38)</f>
        <v>21.38</v>
      </c>
    </row>
    <row r="1266" ht="15.75" customHeight="1">
      <c r="A1266" s="25">
        <f>IFERROR(__xludf.DUMMYFUNCTION("""COMPUTED_VALUE"""),45099.66666666667)</f>
        <v>45099.66667</v>
      </c>
      <c r="B1266" s="22">
        <f>IFERROR(__xludf.DUMMYFUNCTION("""COMPUTED_VALUE"""),4381.89)</f>
        <v>4381.89</v>
      </c>
      <c r="C1266" s="25">
        <f>IFERROR(__xludf.DUMMYFUNCTION("""COMPUTED_VALUE"""),45099.63611111111)</f>
        <v>45099.63611</v>
      </c>
      <c r="D1266" s="22">
        <f>IFERROR(__xludf.DUMMYFUNCTION("""COMPUTED_VALUE"""),12.91)</f>
        <v>12.91</v>
      </c>
      <c r="F1266" s="25">
        <f>IFERROR(__xludf.DUMMYFUNCTION("""COMPUTED_VALUE"""),45099.63611111111)</f>
        <v>45099.63611</v>
      </c>
      <c r="G1266" s="22">
        <f>IFERROR(__xludf.DUMMYFUNCTION("""COMPUTED_VALUE"""),16.56)</f>
        <v>16.56</v>
      </c>
      <c r="H1266" s="25">
        <f>IFERROR(__xludf.DUMMYFUNCTION("""COMPUTED_VALUE"""),45099.63611111111)</f>
        <v>45099.63611</v>
      </c>
      <c r="I1266" s="22">
        <f>IFERROR(__xludf.DUMMYFUNCTION("""COMPUTED_VALUE"""),19.27)</f>
        <v>19.27</v>
      </c>
      <c r="J1266" s="25">
        <f>IFERROR(__xludf.DUMMYFUNCTION("""COMPUTED_VALUE"""),45099.63611111111)</f>
        <v>45099.63611</v>
      </c>
      <c r="K1266" s="22">
        <f>IFERROR(__xludf.DUMMYFUNCTION("""COMPUTED_VALUE"""),21.25)</f>
        <v>21.25</v>
      </c>
    </row>
    <row r="1267" ht="15.75" customHeight="1">
      <c r="A1267" s="25">
        <f>IFERROR(__xludf.DUMMYFUNCTION("""COMPUTED_VALUE"""),45100.66666666667)</f>
        <v>45100.66667</v>
      </c>
      <c r="B1267" s="22">
        <f>IFERROR(__xludf.DUMMYFUNCTION("""COMPUTED_VALUE"""),4348.33)</f>
        <v>4348.33</v>
      </c>
      <c r="C1267" s="25">
        <f>IFERROR(__xludf.DUMMYFUNCTION("""COMPUTED_VALUE"""),45100.63611111111)</f>
        <v>45100.63611</v>
      </c>
      <c r="D1267" s="22">
        <f>IFERROR(__xludf.DUMMYFUNCTION("""COMPUTED_VALUE"""),13.44)</f>
        <v>13.44</v>
      </c>
      <c r="F1267" s="25">
        <f>IFERROR(__xludf.DUMMYFUNCTION("""COMPUTED_VALUE"""),45100.63611111111)</f>
        <v>45100.63611</v>
      </c>
      <c r="G1267" s="22">
        <f>IFERROR(__xludf.DUMMYFUNCTION("""COMPUTED_VALUE"""),16.87)</f>
        <v>16.87</v>
      </c>
      <c r="H1267" s="25">
        <f>IFERROR(__xludf.DUMMYFUNCTION("""COMPUTED_VALUE"""),45100.63611111111)</f>
        <v>45100.63611</v>
      </c>
      <c r="I1267" s="22">
        <f>IFERROR(__xludf.DUMMYFUNCTION("""COMPUTED_VALUE"""),19.49)</f>
        <v>19.49</v>
      </c>
      <c r="J1267" s="25">
        <f>IFERROR(__xludf.DUMMYFUNCTION("""COMPUTED_VALUE"""),45100.63611111111)</f>
        <v>45100.63611</v>
      </c>
      <c r="K1267" s="22">
        <f>IFERROR(__xludf.DUMMYFUNCTION("""COMPUTED_VALUE"""),21.41)</f>
        <v>21.41</v>
      </c>
    </row>
    <row r="1268" ht="15.75" customHeight="1">
      <c r="A1268" s="25">
        <f>IFERROR(__xludf.DUMMYFUNCTION("""COMPUTED_VALUE"""),45103.66666666667)</f>
        <v>45103.66667</v>
      </c>
      <c r="B1268" s="22">
        <f>IFERROR(__xludf.DUMMYFUNCTION("""COMPUTED_VALUE"""),4328.82)</f>
        <v>4328.82</v>
      </c>
      <c r="C1268" s="25">
        <f>IFERROR(__xludf.DUMMYFUNCTION("""COMPUTED_VALUE"""),45103.63611111111)</f>
        <v>45103.63611</v>
      </c>
      <c r="D1268" s="22">
        <f>IFERROR(__xludf.DUMMYFUNCTION("""COMPUTED_VALUE"""),14.25)</f>
        <v>14.25</v>
      </c>
      <c r="F1268" s="25">
        <f>IFERROR(__xludf.DUMMYFUNCTION("""COMPUTED_VALUE"""),45103.63611111111)</f>
        <v>45103.63611</v>
      </c>
      <c r="G1268" s="22">
        <f>IFERROR(__xludf.DUMMYFUNCTION("""COMPUTED_VALUE"""),17.05)</f>
        <v>17.05</v>
      </c>
      <c r="H1268" s="25">
        <f>IFERROR(__xludf.DUMMYFUNCTION("""COMPUTED_VALUE"""),45103.63611111111)</f>
        <v>45103.63611</v>
      </c>
      <c r="I1268" s="22">
        <f>IFERROR(__xludf.DUMMYFUNCTION("""COMPUTED_VALUE"""),19.5)</f>
        <v>19.5</v>
      </c>
      <c r="J1268" s="25">
        <f>IFERROR(__xludf.DUMMYFUNCTION("""COMPUTED_VALUE"""),45103.63611111111)</f>
        <v>45103.63611</v>
      </c>
      <c r="K1268" s="22">
        <f>IFERROR(__xludf.DUMMYFUNCTION("""COMPUTED_VALUE"""),21.44)</f>
        <v>21.44</v>
      </c>
    </row>
    <row r="1269" ht="15.75" customHeight="1">
      <c r="A1269" s="25">
        <f>IFERROR(__xludf.DUMMYFUNCTION("""COMPUTED_VALUE"""),45104.66666666667)</f>
        <v>45104.66667</v>
      </c>
      <c r="B1269" s="22">
        <f>IFERROR(__xludf.DUMMYFUNCTION("""COMPUTED_VALUE"""),4378.41)</f>
        <v>4378.41</v>
      </c>
      <c r="C1269" s="25">
        <f>IFERROR(__xludf.DUMMYFUNCTION("""COMPUTED_VALUE"""),45104.63611111111)</f>
        <v>45104.63611</v>
      </c>
      <c r="D1269" s="22">
        <f>IFERROR(__xludf.DUMMYFUNCTION("""COMPUTED_VALUE"""),13.74)</f>
        <v>13.74</v>
      </c>
      <c r="F1269" s="25">
        <f>IFERROR(__xludf.DUMMYFUNCTION("""COMPUTED_VALUE"""),45104.63611111111)</f>
        <v>45104.63611</v>
      </c>
      <c r="G1269" s="22">
        <f>IFERROR(__xludf.DUMMYFUNCTION("""COMPUTED_VALUE"""),16.44)</f>
        <v>16.44</v>
      </c>
      <c r="H1269" s="25">
        <f>IFERROR(__xludf.DUMMYFUNCTION("""COMPUTED_VALUE"""),45104.63611111111)</f>
        <v>45104.63611</v>
      </c>
      <c r="I1269" s="22">
        <f>IFERROR(__xludf.DUMMYFUNCTION("""COMPUTED_VALUE"""),18.88)</f>
        <v>18.88</v>
      </c>
      <c r="J1269" s="25">
        <f>IFERROR(__xludf.DUMMYFUNCTION("""COMPUTED_VALUE"""),45104.63611111111)</f>
        <v>45104.63611</v>
      </c>
      <c r="K1269" s="22">
        <f>IFERROR(__xludf.DUMMYFUNCTION("""COMPUTED_VALUE"""),21.0)</f>
        <v>21</v>
      </c>
    </row>
    <row r="1270" ht="15.75" customHeight="1">
      <c r="A1270" s="25">
        <f>IFERROR(__xludf.DUMMYFUNCTION("""COMPUTED_VALUE"""),45105.66666666667)</f>
        <v>45105.66667</v>
      </c>
      <c r="B1270" s="22">
        <f>IFERROR(__xludf.DUMMYFUNCTION("""COMPUTED_VALUE"""),4376.86)</f>
        <v>4376.86</v>
      </c>
      <c r="C1270" s="25">
        <f>IFERROR(__xludf.DUMMYFUNCTION("""COMPUTED_VALUE"""),45105.63611111111)</f>
        <v>45105.63611</v>
      </c>
      <c r="D1270" s="22">
        <f>IFERROR(__xludf.DUMMYFUNCTION("""COMPUTED_VALUE"""),13.43)</f>
        <v>13.43</v>
      </c>
      <c r="F1270" s="25">
        <f>IFERROR(__xludf.DUMMYFUNCTION("""COMPUTED_VALUE"""),45105.63611111111)</f>
        <v>45105.63611</v>
      </c>
      <c r="G1270" s="22">
        <f>IFERROR(__xludf.DUMMYFUNCTION("""COMPUTED_VALUE"""),15.9)</f>
        <v>15.9</v>
      </c>
      <c r="H1270" s="25">
        <f>IFERROR(__xludf.DUMMYFUNCTION("""COMPUTED_VALUE"""),45105.63611111111)</f>
        <v>45105.63611</v>
      </c>
      <c r="I1270" s="22">
        <f>IFERROR(__xludf.DUMMYFUNCTION("""COMPUTED_VALUE"""),18.34)</f>
        <v>18.34</v>
      </c>
      <c r="J1270" s="25">
        <f>IFERROR(__xludf.DUMMYFUNCTION("""COMPUTED_VALUE"""),45105.63611111111)</f>
        <v>45105.63611</v>
      </c>
      <c r="K1270" s="22">
        <f>IFERROR(__xludf.DUMMYFUNCTION("""COMPUTED_VALUE"""),20.55)</f>
        <v>20.55</v>
      </c>
    </row>
    <row r="1271" ht="15.75" customHeight="1">
      <c r="A1271" s="25">
        <f>IFERROR(__xludf.DUMMYFUNCTION("""COMPUTED_VALUE"""),45106.66666666667)</f>
        <v>45106.66667</v>
      </c>
      <c r="B1271" s="22">
        <f>IFERROR(__xludf.DUMMYFUNCTION("""COMPUTED_VALUE"""),4396.44)</f>
        <v>4396.44</v>
      </c>
      <c r="C1271" s="25">
        <f>IFERROR(__xludf.DUMMYFUNCTION("""COMPUTED_VALUE"""),45106.63611111111)</f>
        <v>45106.63611</v>
      </c>
      <c r="D1271" s="22">
        <f>IFERROR(__xludf.DUMMYFUNCTION("""COMPUTED_VALUE"""),13.54)</f>
        <v>13.54</v>
      </c>
      <c r="F1271" s="25">
        <f>IFERROR(__xludf.DUMMYFUNCTION("""COMPUTED_VALUE"""),45106.63611111111)</f>
        <v>45106.63611</v>
      </c>
      <c r="G1271" s="22">
        <f>IFERROR(__xludf.DUMMYFUNCTION("""COMPUTED_VALUE"""),16.1)</f>
        <v>16.1</v>
      </c>
      <c r="H1271" s="25">
        <f>IFERROR(__xludf.DUMMYFUNCTION("""COMPUTED_VALUE"""),45106.63611111111)</f>
        <v>45106.63611</v>
      </c>
      <c r="I1271" s="22">
        <f>IFERROR(__xludf.DUMMYFUNCTION("""COMPUTED_VALUE"""),18.49)</f>
        <v>18.49</v>
      </c>
      <c r="J1271" s="25">
        <f>IFERROR(__xludf.DUMMYFUNCTION("""COMPUTED_VALUE"""),45106.63611111111)</f>
        <v>45106.63611</v>
      </c>
      <c r="K1271" s="22">
        <f>IFERROR(__xludf.DUMMYFUNCTION("""COMPUTED_VALUE"""),20.78)</f>
        <v>20.78</v>
      </c>
    </row>
    <row r="1272" ht="15.75" customHeight="1">
      <c r="A1272" s="25">
        <f>IFERROR(__xludf.DUMMYFUNCTION("""COMPUTED_VALUE"""),45107.66666666667)</f>
        <v>45107.66667</v>
      </c>
      <c r="B1272" s="22">
        <f>IFERROR(__xludf.DUMMYFUNCTION("""COMPUTED_VALUE"""),4450.38)</f>
        <v>4450.38</v>
      </c>
      <c r="C1272" s="25">
        <f>IFERROR(__xludf.DUMMYFUNCTION("""COMPUTED_VALUE"""),45107.63611111111)</f>
        <v>45107.63611</v>
      </c>
      <c r="D1272" s="22">
        <f>IFERROR(__xludf.DUMMYFUNCTION("""COMPUTED_VALUE"""),13.59)</f>
        <v>13.59</v>
      </c>
      <c r="F1272" s="25">
        <f>IFERROR(__xludf.DUMMYFUNCTION("""COMPUTED_VALUE"""),45107.63611111111)</f>
        <v>45107.63611</v>
      </c>
      <c r="G1272" s="22">
        <f>IFERROR(__xludf.DUMMYFUNCTION("""COMPUTED_VALUE"""),16.02)</f>
        <v>16.02</v>
      </c>
      <c r="H1272" s="25">
        <f>IFERROR(__xludf.DUMMYFUNCTION("""COMPUTED_VALUE"""),45107.63611111111)</f>
        <v>45107.63611</v>
      </c>
      <c r="I1272" s="22">
        <f>IFERROR(__xludf.DUMMYFUNCTION("""COMPUTED_VALUE"""),18.33)</f>
        <v>18.33</v>
      </c>
      <c r="J1272" s="25">
        <f>IFERROR(__xludf.DUMMYFUNCTION("""COMPUTED_VALUE"""),45107.63611111111)</f>
        <v>45107.63611</v>
      </c>
      <c r="K1272" s="22">
        <f>IFERROR(__xludf.DUMMYFUNCTION("""COMPUTED_VALUE"""),20.53)</f>
        <v>20.53</v>
      </c>
    </row>
    <row r="1273" ht="15.75" customHeight="1">
      <c r="A1273" s="25">
        <f>IFERROR(__xludf.DUMMYFUNCTION("""COMPUTED_VALUE"""),45110.54166666667)</f>
        <v>45110.54167</v>
      </c>
      <c r="B1273" s="22">
        <f>IFERROR(__xludf.DUMMYFUNCTION("""COMPUTED_VALUE"""),4455.59)</f>
        <v>4455.59</v>
      </c>
      <c r="C1273" s="25">
        <f>IFERROR(__xludf.DUMMYFUNCTION("""COMPUTED_VALUE"""),45110.54166666667)</f>
        <v>45110.54167</v>
      </c>
      <c r="D1273" s="22">
        <f>IFERROR(__xludf.DUMMYFUNCTION("""COMPUTED_VALUE"""),13.57)</f>
        <v>13.57</v>
      </c>
      <c r="F1273" s="25">
        <f>IFERROR(__xludf.DUMMYFUNCTION("""COMPUTED_VALUE"""),45110.54166666667)</f>
        <v>45110.54167</v>
      </c>
      <c r="G1273" s="22">
        <f>IFERROR(__xludf.DUMMYFUNCTION("""COMPUTED_VALUE"""),16.07)</f>
        <v>16.07</v>
      </c>
      <c r="H1273" s="25">
        <f>IFERROR(__xludf.DUMMYFUNCTION("""COMPUTED_VALUE"""),45110.54166666667)</f>
        <v>45110.54167</v>
      </c>
      <c r="I1273" s="22">
        <f>IFERROR(__xludf.DUMMYFUNCTION("""COMPUTED_VALUE"""),18.37)</f>
        <v>18.37</v>
      </c>
      <c r="J1273" s="25">
        <f>IFERROR(__xludf.DUMMYFUNCTION("""COMPUTED_VALUE"""),45110.54166666667)</f>
        <v>45110.54167</v>
      </c>
      <c r="K1273" s="22">
        <f>IFERROR(__xludf.DUMMYFUNCTION("""COMPUTED_VALUE"""),20.21)</f>
        <v>20.21</v>
      </c>
    </row>
    <row r="1274" ht="15.75" customHeight="1">
      <c r="A1274" s="25">
        <f>IFERROR(__xludf.DUMMYFUNCTION("""COMPUTED_VALUE"""),45112.66666666667)</f>
        <v>45112.66667</v>
      </c>
      <c r="B1274" s="22">
        <f>IFERROR(__xludf.DUMMYFUNCTION("""COMPUTED_VALUE"""),4446.82)</f>
        <v>4446.82</v>
      </c>
      <c r="C1274" s="25">
        <f>IFERROR(__xludf.DUMMYFUNCTION("""COMPUTED_VALUE"""),45112.63611111111)</f>
        <v>45112.63611</v>
      </c>
      <c r="D1274" s="22">
        <f>IFERROR(__xludf.DUMMYFUNCTION("""COMPUTED_VALUE"""),14.18)</f>
        <v>14.18</v>
      </c>
      <c r="F1274" s="25">
        <f>IFERROR(__xludf.DUMMYFUNCTION("""COMPUTED_VALUE"""),45112.63611111111)</f>
        <v>45112.63611</v>
      </c>
      <c r="G1274" s="22">
        <f>IFERROR(__xludf.DUMMYFUNCTION("""COMPUTED_VALUE"""),16.51)</f>
        <v>16.51</v>
      </c>
      <c r="H1274" s="25">
        <f>IFERROR(__xludf.DUMMYFUNCTION("""COMPUTED_VALUE"""),45112.63611111111)</f>
        <v>45112.63611</v>
      </c>
      <c r="I1274" s="22">
        <f>IFERROR(__xludf.DUMMYFUNCTION("""COMPUTED_VALUE"""),18.71)</f>
        <v>18.71</v>
      </c>
      <c r="J1274" s="25">
        <f>IFERROR(__xludf.DUMMYFUNCTION("""COMPUTED_VALUE"""),45112.63611111111)</f>
        <v>45112.63611</v>
      </c>
      <c r="K1274" s="22">
        <f>IFERROR(__xludf.DUMMYFUNCTION("""COMPUTED_VALUE"""),20.75)</f>
        <v>20.75</v>
      </c>
    </row>
    <row r="1275" ht="15.75" customHeight="1">
      <c r="A1275" s="25">
        <f>IFERROR(__xludf.DUMMYFUNCTION("""COMPUTED_VALUE"""),45113.66666666667)</f>
        <v>45113.66667</v>
      </c>
      <c r="B1275" s="22">
        <f>IFERROR(__xludf.DUMMYFUNCTION("""COMPUTED_VALUE"""),4411.59)</f>
        <v>4411.59</v>
      </c>
      <c r="C1275" s="25">
        <f>IFERROR(__xludf.DUMMYFUNCTION("""COMPUTED_VALUE"""),45113.63611111111)</f>
        <v>45113.63611</v>
      </c>
      <c r="D1275" s="22">
        <f>IFERROR(__xludf.DUMMYFUNCTION("""COMPUTED_VALUE"""),15.44)</f>
        <v>15.44</v>
      </c>
      <c r="F1275" s="25">
        <f>IFERROR(__xludf.DUMMYFUNCTION("""COMPUTED_VALUE"""),45113.63611111111)</f>
        <v>45113.63611</v>
      </c>
      <c r="G1275" s="22">
        <f>IFERROR(__xludf.DUMMYFUNCTION("""COMPUTED_VALUE"""),17.52)</f>
        <v>17.52</v>
      </c>
      <c r="H1275" s="25">
        <f>IFERROR(__xludf.DUMMYFUNCTION("""COMPUTED_VALUE"""),45113.63611111111)</f>
        <v>45113.63611</v>
      </c>
      <c r="I1275" s="22">
        <f>IFERROR(__xludf.DUMMYFUNCTION("""COMPUTED_VALUE"""),19.5)</f>
        <v>19.5</v>
      </c>
      <c r="J1275" s="25">
        <f>IFERROR(__xludf.DUMMYFUNCTION("""COMPUTED_VALUE"""),45113.63611111111)</f>
        <v>45113.63611</v>
      </c>
      <c r="K1275" s="22">
        <f>IFERROR(__xludf.DUMMYFUNCTION("""COMPUTED_VALUE"""),21.34)</f>
        <v>21.34</v>
      </c>
    </row>
    <row r="1276" ht="15.75" customHeight="1">
      <c r="A1276" s="25">
        <f>IFERROR(__xludf.DUMMYFUNCTION("""COMPUTED_VALUE"""),45114.66666666667)</f>
        <v>45114.66667</v>
      </c>
      <c r="B1276" s="22">
        <f>IFERROR(__xludf.DUMMYFUNCTION("""COMPUTED_VALUE"""),4398.95)</f>
        <v>4398.95</v>
      </c>
      <c r="C1276" s="25">
        <f>IFERROR(__xludf.DUMMYFUNCTION("""COMPUTED_VALUE"""),45114.63611111111)</f>
        <v>45114.63611</v>
      </c>
      <c r="D1276" s="22">
        <f>IFERROR(__xludf.DUMMYFUNCTION("""COMPUTED_VALUE"""),14.83)</f>
        <v>14.83</v>
      </c>
      <c r="F1276" s="25">
        <f>IFERROR(__xludf.DUMMYFUNCTION("""COMPUTED_VALUE"""),45114.63611111111)</f>
        <v>45114.63611</v>
      </c>
      <c r="G1276" s="22">
        <f>IFERROR(__xludf.DUMMYFUNCTION("""COMPUTED_VALUE"""),17.24)</f>
        <v>17.24</v>
      </c>
      <c r="H1276" s="25">
        <f>IFERROR(__xludf.DUMMYFUNCTION("""COMPUTED_VALUE"""),45114.63611111111)</f>
        <v>45114.63611</v>
      </c>
      <c r="I1276" s="22">
        <f>IFERROR(__xludf.DUMMYFUNCTION("""COMPUTED_VALUE"""),19.31)</f>
        <v>19.31</v>
      </c>
      <c r="J1276" s="25">
        <f>IFERROR(__xludf.DUMMYFUNCTION("""COMPUTED_VALUE"""),45114.63611111111)</f>
        <v>45114.63611</v>
      </c>
      <c r="K1276" s="22">
        <f>IFERROR(__xludf.DUMMYFUNCTION("""COMPUTED_VALUE"""),21.23)</f>
        <v>21.23</v>
      </c>
    </row>
    <row r="1277" ht="15.75" customHeight="1">
      <c r="A1277" s="25">
        <f>IFERROR(__xludf.DUMMYFUNCTION("""COMPUTED_VALUE"""),45117.66666666667)</f>
        <v>45117.66667</v>
      </c>
      <c r="B1277" s="22">
        <f>IFERROR(__xludf.DUMMYFUNCTION("""COMPUTED_VALUE"""),4409.53)</f>
        <v>4409.53</v>
      </c>
      <c r="C1277" s="25">
        <f>IFERROR(__xludf.DUMMYFUNCTION("""COMPUTED_VALUE"""),45117.63611111111)</f>
        <v>45117.63611</v>
      </c>
      <c r="D1277" s="22">
        <f>IFERROR(__xludf.DUMMYFUNCTION("""COMPUTED_VALUE"""),15.07)</f>
        <v>15.07</v>
      </c>
      <c r="F1277" s="25">
        <f>IFERROR(__xludf.DUMMYFUNCTION("""COMPUTED_VALUE"""),45117.63611111111)</f>
        <v>45117.63611</v>
      </c>
      <c r="G1277" s="22">
        <f>IFERROR(__xludf.DUMMYFUNCTION("""COMPUTED_VALUE"""),17.25)</f>
        <v>17.25</v>
      </c>
      <c r="H1277" s="25">
        <f>IFERROR(__xludf.DUMMYFUNCTION("""COMPUTED_VALUE"""),45117.63611111111)</f>
        <v>45117.63611</v>
      </c>
      <c r="I1277" s="22">
        <f>IFERROR(__xludf.DUMMYFUNCTION("""COMPUTED_VALUE"""),19.21)</f>
        <v>19.21</v>
      </c>
      <c r="J1277" s="25">
        <f>IFERROR(__xludf.DUMMYFUNCTION("""COMPUTED_VALUE"""),45117.63611111111)</f>
        <v>45117.63611</v>
      </c>
      <c r="K1277" s="22">
        <f>IFERROR(__xludf.DUMMYFUNCTION("""COMPUTED_VALUE"""),21.16)</f>
        <v>21.16</v>
      </c>
    </row>
    <row r="1278" ht="15.75" customHeight="1">
      <c r="A1278" s="25">
        <f>IFERROR(__xludf.DUMMYFUNCTION("""COMPUTED_VALUE"""),45118.66666666667)</f>
        <v>45118.66667</v>
      </c>
      <c r="B1278" s="22">
        <f>IFERROR(__xludf.DUMMYFUNCTION("""COMPUTED_VALUE"""),4439.26)</f>
        <v>4439.26</v>
      </c>
      <c r="C1278" s="25">
        <f>IFERROR(__xludf.DUMMYFUNCTION("""COMPUTED_VALUE"""),45118.63611111111)</f>
        <v>45118.63611</v>
      </c>
      <c r="D1278" s="22">
        <f>IFERROR(__xludf.DUMMYFUNCTION("""COMPUTED_VALUE"""),14.84)</f>
        <v>14.84</v>
      </c>
      <c r="F1278" s="25">
        <f>IFERROR(__xludf.DUMMYFUNCTION("""COMPUTED_VALUE"""),45118.63611111111)</f>
        <v>45118.63611</v>
      </c>
      <c r="G1278" s="22">
        <f>IFERROR(__xludf.DUMMYFUNCTION("""COMPUTED_VALUE"""),16.97)</f>
        <v>16.97</v>
      </c>
      <c r="H1278" s="25">
        <f>IFERROR(__xludf.DUMMYFUNCTION("""COMPUTED_VALUE"""),45118.63611111111)</f>
        <v>45118.63611</v>
      </c>
      <c r="I1278" s="22">
        <f>IFERROR(__xludf.DUMMYFUNCTION("""COMPUTED_VALUE"""),18.97)</f>
        <v>18.97</v>
      </c>
      <c r="J1278" s="25">
        <f>IFERROR(__xludf.DUMMYFUNCTION("""COMPUTED_VALUE"""),45118.63611111111)</f>
        <v>45118.63611</v>
      </c>
      <c r="K1278" s="22">
        <f>IFERROR(__xludf.DUMMYFUNCTION("""COMPUTED_VALUE"""),20.89)</f>
        <v>20.89</v>
      </c>
    </row>
    <row r="1279" ht="15.75" customHeight="1">
      <c r="A1279" s="25">
        <f>IFERROR(__xludf.DUMMYFUNCTION("""COMPUTED_VALUE"""),45119.66666666667)</f>
        <v>45119.66667</v>
      </c>
      <c r="B1279" s="22">
        <f>IFERROR(__xludf.DUMMYFUNCTION("""COMPUTED_VALUE"""),4472.16)</f>
        <v>4472.16</v>
      </c>
      <c r="C1279" s="25">
        <f>IFERROR(__xludf.DUMMYFUNCTION("""COMPUTED_VALUE"""),45119.63611111111)</f>
        <v>45119.63611</v>
      </c>
      <c r="D1279" s="22">
        <f>IFERROR(__xludf.DUMMYFUNCTION("""COMPUTED_VALUE"""),13.54)</f>
        <v>13.54</v>
      </c>
      <c r="F1279" s="25">
        <f>IFERROR(__xludf.DUMMYFUNCTION("""COMPUTED_VALUE"""),45119.63611111111)</f>
        <v>45119.63611</v>
      </c>
      <c r="G1279" s="22">
        <f>IFERROR(__xludf.DUMMYFUNCTION("""COMPUTED_VALUE"""),16.11)</f>
        <v>16.11</v>
      </c>
      <c r="H1279" s="25">
        <f>IFERROR(__xludf.DUMMYFUNCTION("""COMPUTED_VALUE"""),45119.63611111111)</f>
        <v>45119.63611</v>
      </c>
      <c r="I1279" s="22">
        <f>IFERROR(__xludf.DUMMYFUNCTION("""COMPUTED_VALUE"""),18.26)</f>
        <v>18.26</v>
      </c>
      <c r="J1279" s="25">
        <f>IFERROR(__xludf.DUMMYFUNCTION("""COMPUTED_VALUE"""),45119.63611111111)</f>
        <v>45119.63611</v>
      </c>
      <c r="K1279" s="22">
        <f>IFERROR(__xludf.DUMMYFUNCTION("""COMPUTED_VALUE"""),20.41)</f>
        <v>20.41</v>
      </c>
    </row>
    <row r="1280" ht="15.75" customHeight="1">
      <c r="A1280" s="25">
        <f>IFERROR(__xludf.DUMMYFUNCTION("""COMPUTED_VALUE"""),45120.66666666667)</f>
        <v>45120.66667</v>
      </c>
      <c r="B1280" s="22">
        <f>IFERROR(__xludf.DUMMYFUNCTION("""COMPUTED_VALUE"""),4510.04)</f>
        <v>4510.04</v>
      </c>
      <c r="C1280" s="25">
        <f>IFERROR(__xludf.DUMMYFUNCTION("""COMPUTED_VALUE"""),45120.63611111111)</f>
        <v>45120.63611</v>
      </c>
      <c r="D1280" s="22">
        <f>IFERROR(__xludf.DUMMYFUNCTION("""COMPUTED_VALUE"""),13.61)</f>
        <v>13.61</v>
      </c>
      <c r="F1280" s="25">
        <f>IFERROR(__xludf.DUMMYFUNCTION("""COMPUTED_VALUE"""),45120.63611111111)</f>
        <v>45120.63611</v>
      </c>
      <c r="G1280" s="22">
        <f>IFERROR(__xludf.DUMMYFUNCTION("""COMPUTED_VALUE"""),16.12)</f>
        <v>16.12</v>
      </c>
      <c r="H1280" s="25">
        <f>IFERROR(__xludf.DUMMYFUNCTION("""COMPUTED_VALUE"""),45120.63611111111)</f>
        <v>45120.63611</v>
      </c>
      <c r="I1280" s="22">
        <f>IFERROR(__xludf.DUMMYFUNCTION("""COMPUTED_VALUE"""),18.24)</f>
        <v>18.24</v>
      </c>
      <c r="J1280" s="25">
        <f>IFERROR(__xludf.DUMMYFUNCTION("""COMPUTED_VALUE"""),45120.63611111111)</f>
        <v>45120.63611</v>
      </c>
      <c r="K1280" s="22">
        <f>IFERROR(__xludf.DUMMYFUNCTION("""COMPUTED_VALUE"""),20.3)</f>
        <v>20.3</v>
      </c>
    </row>
    <row r="1281" ht="15.75" customHeight="1">
      <c r="A1281" s="25">
        <f>IFERROR(__xludf.DUMMYFUNCTION("""COMPUTED_VALUE"""),45121.66666666667)</f>
        <v>45121.66667</v>
      </c>
      <c r="B1281" s="22">
        <f>IFERROR(__xludf.DUMMYFUNCTION("""COMPUTED_VALUE"""),4505.42)</f>
        <v>4505.42</v>
      </c>
      <c r="C1281" s="25">
        <f>IFERROR(__xludf.DUMMYFUNCTION("""COMPUTED_VALUE"""),45121.63611111111)</f>
        <v>45121.63611</v>
      </c>
      <c r="D1281" s="22">
        <f>IFERROR(__xludf.DUMMYFUNCTION("""COMPUTED_VALUE"""),13.34)</f>
        <v>13.34</v>
      </c>
      <c r="F1281" s="25">
        <f>IFERROR(__xludf.DUMMYFUNCTION("""COMPUTED_VALUE"""),45121.63611111111)</f>
        <v>45121.63611</v>
      </c>
      <c r="G1281" s="22">
        <f>IFERROR(__xludf.DUMMYFUNCTION("""COMPUTED_VALUE"""),16.04)</f>
        <v>16.04</v>
      </c>
      <c r="H1281" s="25">
        <f>IFERROR(__xludf.DUMMYFUNCTION("""COMPUTED_VALUE"""),45121.63611111111)</f>
        <v>45121.63611</v>
      </c>
      <c r="I1281" s="22">
        <f>IFERROR(__xludf.DUMMYFUNCTION("""COMPUTED_VALUE"""),18.21)</f>
        <v>18.21</v>
      </c>
      <c r="J1281" s="25">
        <f>IFERROR(__xludf.DUMMYFUNCTION("""COMPUTED_VALUE"""),45121.63611111111)</f>
        <v>45121.63611</v>
      </c>
      <c r="K1281" s="22">
        <f>IFERROR(__xludf.DUMMYFUNCTION("""COMPUTED_VALUE"""),20.26)</f>
        <v>20.26</v>
      </c>
    </row>
    <row r="1282" ht="15.75" customHeight="1">
      <c r="A1282" s="25">
        <f>IFERROR(__xludf.DUMMYFUNCTION("""COMPUTED_VALUE"""),45124.66666666667)</f>
        <v>45124.66667</v>
      </c>
      <c r="B1282" s="22">
        <f>IFERROR(__xludf.DUMMYFUNCTION("""COMPUTED_VALUE"""),4522.79)</f>
        <v>4522.79</v>
      </c>
      <c r="C1282" s="25">
        <f>IFERROR(__xludf.DUMMYFUNCTION("""COMPUTED_VALUE"""),45124.63611111111)</f>
        <v>45124.63611</v>
      </c>
      <c r="D1282" s="22">
        <f>IFERROR(__xludf.DUMMYFUNCTION("""COMPUTED_VALUE"""),13.48)</f>
        <v>13.48</v>
      </c>
      <c r="F1282" s="25">
        <f>IFERROR(__xludf.DUMMYFUNCTION("""COMPUTED_VALUE"""),45124.63611111111)</f>
        <v>45124.63611</v>
      </c>
      <c r="G1282" s="22">
        <f>IFERROR(__xludf.DUMMYFUNCTION("""COMPUTED_VALUE"""),16.27)</f>
        <v>16.27</v>
      </c>
      <c r="H1282" s="25">
        <f>IFERROR(__xludf.DUMMYFUNCTION("""COMPUTED_VALUE"""),45124.63611111111)</f>
        <v>45124.63611</v>
      </c>
      <c r="I1282" s="22">
        <f>IFERROR(__xludf.DUMMYFUNCTION("""COMPUTED_VALUE"""),18.27)</f>
        <v>18.27</v>
      </c>
      <c r="J1282" s="25">
        <f>IFERROR(__xludf.DUMMYFUNCTION("""COMPUTED_VALUE"""),45124.63611111111)</f>
        <v>45124.63611</v>
      </c>
      <c r="K1282" s="22">
        <f>IFERROR(__xludf.DUMMYFUNCTION("""COMPUTED_VALUE"""),20.59)</f>
        <v>20.59</v>
      </c>
    </row>
    <row r="1283" ht="15.75" customHeight="1">
      <c r="A1283" s="25">
        <f>IFERROR(__xludf.DUMMYFUNCTION("""COMPUTED_VALUE"""),45125.66666666667)</f>
        <v>45125.66667</v>
      </c>
      <c r="B1283" s="22">
        <f>IFERROR(__xludf.DUMMYFUNCTION("""COMPUTED_VALUE"""),4554.98)</f>
        <v>4554.98</v>
      </c>
      <c r="C1283" s="25">
        <f>IFERROR(__xludf.DUMMYFUNCTION("""COMPUTED_VALUE"""),45125.63611111111)</f>
        <v>45125.63611</v>
      </c>
      <c r="D1283" s="22">
        <f>IFERROR(__xludf.DUMMYFUNCTION("""COMPUTED_VALUE"""),13.3)</f>
        <v>13.3</v>
      </c>
      <c r="F1283" s="25">
        <f>IFERROR(__xludf.DUMMYFUNCTION("""COMPUTED_VALUE"""),45125.63611111111)</f>
        <v>45125.63611</v>
      </c>
      <c r="G1283" s="22">
        <f>IFERROR(__xludf.DUMMYFUNCTION("""COMPUTED_VALUE"""),16.13)</f>
        <v>16.13</v>
      </c>
      <c r="H1283" s="25">
        <f>IFERROR(__xludf.DUMMYFUNCTION("""COMPUTED_VALUE"""),45125.63611111111)</f>
        <v>45125.63611</v>
      </c>
      <c r="I1283" s="22">
        <f>IFERROR(__xludf.DUMMYFUNCTION("""COMPUTED_VALUE"""),18.15)</f>
        <v>18.15</v>
      </c>
      <c r="J1283" s="25">
        <f>IFERROR(__xludf.DUMMYFUNCTION("""COMPUTED_VALUE"""),45125.63611111111)</f>
        <v>45125.63611</v>
      </c>
      <c r="K1283" s="22">
        <f>IFERROR(__xludf.DUMMYFUNCTION("""COMPUTED_VALUE"""),20.54)</f>
        <v>20.54</v>
      </c>
    </row>
    <row r="1284" ht="15.75" customHeight="1">
      <c r="A1284" s="25">
        <f>IFERROR(__xludf.DUMMYFUNCTION("""COMPUTED_VALUE"""),45126.66666666667)</f>
        <v>45126.66667</v>
      </c>
      <c r="B1284" s="22">
        <f>IFERROR(__xludf.DUMMYFUNCTION("""COMPUTED_VALUE"""),4565.72)</f>
        <v>4565.72</v>
      </c>
      <c r="C1284" s="25">
        <f>IFERROR(__xludf.DUMMYFUNCTION("""COMPUTED_VALUE"""),45126.63611111111)</f>
        <v>45126.63611</v>
      </c>
      <c r="D1284" s="22">
        <f>IFERROR(__xludf.DUMMYFUNCTION("""COMPUTED_VALUE"""),13.76)</f>
        <v>13.76</v>
      </c>
      <c r="F1284" s="25">
        <f>IFERROR(__xludf.DUMMYFUNCTION("""COMPUTED_VALUE"""),45126.63611111111)</f>
        <v>45126.63611</v>
      </c>
      <c r="G1284" s="22">
        <f>IFERROR(__xludf.DUMMYFUNCTION("""COMPUTED_VALUE"""),16.56)</f>
        <v>16.56</v>
      </c>
      <c r="H1284" s="25">
        <f>IFERROR(__xludf.DUMMYFUNCTION("""COMPUTED_VALUE"""),45126.63611111111)</f>
        <v>45126.63611</v>
      </c>
      <c r="I1284" s="22">
        <f>IFERROR(__xludf.DUMMYFUNCTION("""COMPUTED_VALUE"""),18.59)</f>
        <v>18.59</v>
      </c>
      <c r="J1284" s="25">
        <f>IFERROR(__xludf.DUMMYFUNCTION("""COMPUTED_VALUE"""),45126.63611111111)</f>
        <v>45126.63611</v>
      </c>
      <c r="K1284" s="22">
        <f>IFERROR(__xludf.DUMMYFUNCTION("""COMPUTED_VALUE"""),20.81)</f>
        <v>20.81</v>
      </c>
    </row>
    <row r="1285" ht="15.75" customHeight="1">
      <c r="A1285" s="25">
        <f>IFERROR(__xludf.DUMMYFUNCTION("""COMPUTED_VALUE"""),45127.66666666667)</f>
        <v>45127.66667</v>
      </c>
      <c r="B1285" s="22">
        <f>IFERROR(__xludf.DUMMYFUNCTION("""COMPUTED_VALUE"""),4534.87)</f>
        <v>4534.87</v>
      </c>
      <c r="C1285" s="25">
        <f>IFERROR(__xludf.DUMMYFUNCTION("""COMPUTED_VALUE"""),45127.63611111111)</f>
        <v>45127.63611</v>
      </c>
      <c r="D1285" s="22">
        <f>IFERROR(__xludf.DUMMYFUNCTION("""COMPUTED_VALUE"""),13.99)</f>
        <v>13.99</v>
      </c>
      <c r="F1285" s="25">
        <f>IFERROR(__xludf.DUMMYFUNCTION("""COMPUTED_VALUE"""),45127.63611111111)</f>
        <v>45127.63611</v>
      </c>
      <c r="G1285" s="22">
        <f>IFERROR(__xludf.DUMMYFUNCTION("""COMPUTED_VALUE"""),16.66)</f>
        <v>16.66</v>
      </c>
      <c r="H1285" s="25">
        <f>IFERROR(__xludf.DUMMYFUNCTION("""COMPUTED_VALUE"""),45127.63611111111)</f>
        <v>45127.63611</v>
      </c>
      <c r="I1285" s="22">
        <f>IFERROR(__xludf.DUMMYFUNCTION("""COMPUTED_VALUE"""),18.74)</f>
        <v>18.74</v>
      </c>
      <c r="J1285" s="25">
        <f>IFERROR(__xludf.DUMMYFUNCTION("""COMPUTED_VALUE"""),45127.63611111111)</f>
        <v>45127.63611</v>
      </c>
      <c r="K1285" s="22">
        <f>IFERROR(__xludf.DUMMYFUNCTION("""COMPUTED_VALUE"""),20.84)</f>
        <v>20.84</v>
      </c>
    </row>
    <row r="1286" ht="15.75" customHeight="1">
      <c r="A1286" s="25">
        <f>IFERROR(__xludf.DUMMYFUNCTION("""COMPUTED_VALUE"""),45128.66666666667)</f>
        <v>45128.66667</v>
      </c>
      <c r="B1286" s="22">
        <f>IFERROR(__xludf.DUMMYFUNCTION("""COMPUTED_VALUE"""),4536.34)</f>
        <v>4536.34</v>
      </c>
      <c r="C1286" s="25">
        <f>IFERROR(__xludf.DUMMYFUNCTION("""COMPUTED_VALUE"""),45128.63611111111)</f>
        <v>45128.63611</v>
      </c>
      <c r="D1286" s="22">
        <f>IFERROR(__xludf.DUMMYFUNCTION("""COMPUTED_VALUE"""),13.6)</f>
        <v>13.6</v>
      </c>
      <c r="F1286" s="25">
        <f>IFERROR(__xludf.DUMMYFUNCTION("""COMPUTED_VALUE"""),45128.63611111111)</f>
        <v>45128.63611</v>
      </c>
      <c r="G1286" s="22">
        <f>IFERROR(__xludf.DUMMYFUNCTION("""COMPUTED_VALUE"""),16.4)</f>
        <v>16.4</v>
      </c>
      <c r="H1286" s="25">
        <f>IFERROR(__xludf.DUMMYFUNCTION("""COMPUTED_VALUE"""),45128.63611111111)</f>
        <v>45128.63611</v>
      </c>
      <c r="I1286" s="22">
        <f>IFERROR(__xludf.DUMMYFUNCTION("""COMPUTED_VALUE"""),18.52)</f>
        <v>18.52</v>
      </c>
      <c r="J1286" s="25">
        <f>IFERROR(__xludf.DUMMYFUNCTION("""COMPUTED_VALUE"""),45128.63611111111)</f>
        <v>45128.63611</v>
      </c>
      <c r="K1286" s="22">
        <f>IFERROR(__xludf.DUMMYFUNCTION("""COMPUTED_VALUE"""),20.7)</f>
        <v>20.7</v>
      </c>
    </row>
    <row r="1287" ht="15.75" customHeight="1">
      <c r="A1287" s="25">
        <f>IFERROR(__xludf.DUMMYFUNCTION("""COMPUTED_VALUE"""),45131.66666666667)</f>
        <v>45131.66667</v>
      </c>
      <c r="B1287" s="22">
        <f>IFERROR(__xludf.DUMMYFUNCTION("""COMPUTED_VALUE"""),4554.64)</f>
        <v>4554.64</v>
      </c>
      <c r="C1287" s="25">
        <f>IFERROR(__xludf.DUMMYFUNCTION("""COMPUTED_VALUE"""),45131.63611111111)</f>
        <v>45131.63611</v>
      </c>
      <c r="D1287" s="22">
        <f>IFERROR(__xludf.DUMMYFUNCTION("""COMPUTED_VALUE"""),13.91)</f>
        <v>13.91</v>
      </c>
      <c r="F1287" s="25">
        <f>IFERROR(__xludf.DUMMYFUNCTION("""COMPUTED_VALUE"""),45131.63611111111)</f>
        <v>45131.63611</v>
      </c>
      <c r="G1287" s="22">
        <f>IFERROR(__xludf.DUMMYFUNCTION("""COMPUTED_VALUE"""),16.26)</f>
        <v>16.26</v>
      </c>
      <c r="H1287" s="25">
        <f>IFERROR(__xludf.DUMMYFUNCTION("""COMPUTED_VALUE"""),45131.63611111111)</f>
        <v>45131.63611</v>
      </c>
      <c r="I1287" s="22">
        <f>IFERROR(__xludf.DUMMYFUNCTION("""COMPUTED_VALUE"""),18.39)</f>
        <v>18.39</v>
      </c>
      <c r="J1287" s="25">
        <f>IFERROR(__xludf.DUMMYFUNCTION("""COMPUTED_VALUE"""),45131.63611111111)</f>
        <v>45131.63611</v>
      </c>
      <c r="K1287" s="22">
        <f>IFERROR(__xludf.DUMMYFUNCTION("""COMPUTED_VALUE"""),20.54)</f>
        <v>20.54</v>
      </c>
    </row>
    <row r="1288" ht="15.75" customHeight="1">
      <c r="A1288" s="25">
        <f>IFERROR(__xludf.DUMMYFUNCTION("""COMPUTED_VALUE"""),45132.66666666667)</f>
        <v>45132.66667</v>
      </c>
      <c r="B1288" s="22">
        <f>IFERROR(__xludf.DUMMYFUNCTION("""COMPUTED_VALUE"""),4567.46)</f>
        <v>4567.46</v>
      </c>
      <c r="C1288" s="25">
        <f>IFERROR(__xludf.DUMMYFUNCTION("""COMPUTED_VALUE"""),45132.63611111111)</f>
        <v>45132.63611</v>
      </c>
      <c r="D1288" s="22">
        <f>IFERROR(__xludf.DUMMYFUNCTION("""COMPUTED_VALUE"""),13.86)</f>
        <v>13.86</v>
      </c>
      <c r="F1288" s="25">
        <f>IFERROR(__xludf.DUMMYFUNCTION("""COMPUTED_VALUE"""),45132.63611111111)</f>
        <v>45132.63611</v>
      </c>
      <c r="G1288" s="22">
        <f>IFERROR(__xludf.DUMMYFUNCTION("""COMPUTED_VALUE"""),16.22)</f>
        <v>16.22</v>
      </c>
      <c r="H1288" s="25">
        <f>IFERROR(__xludf.DUMMYFUNCTION("""COMPUTED_VALUE"""),45132.63611111111)</f>
        <v>45132.63611</v>
      </c>
      <c r="I1288" s="22">
        <f>IFERROR(__xludf.DUMMYFUNCTION("""COMPUTED_VALUE"""),18.36)</f>
        <v>18.36</v>
      </c>
      <c r="J1288" s="25">
        <f>IFERROR(__xludf.DUMMYFUNCTION("""COMPUTED_VALUE"""),45132.63611111111)</f>
        <v>45132.63611</v>
      </c>
      <c r="K1288" s="22">
        <f>IFERROR(__xludf.DUMMYFUNCTION("""COMPUTED_VALUE"""),20.54)</f>
        <v>20.54</v>
      </c>
    </row>
    <row r="1289" ht="15.75" customHeight="1">
      <c r="A1289" s="25">
        <f>IFERROR(__xludf.DUMMYFUNCTION("""COMPUTED_VALUE"""),45133.66666666667)</f>
        <v>45133.66667</v>
      </c>
      <c r="B1289" s="22">
        <f>IFERROR(__xludf.DUMMYFUNCTION("""COMPUTED_VALUE"""),4566.75)</f>
        <v>4566.75</v>
      </c>
      <c r="C1289" s="25">
        <f>IFERROR(__xludf.DUMMYFUNCTION("""COMPUTED_VALUE"""),45133.63611111111)</f>
        <v>45133.63611</v>
      </c>
      <c r="D1289" s="22">
        <f>IFERROR(__xludf.DUMMYFUNCTION("""COMPUTED_VALUE"""),13.19)</f>
        <v>13.19</v>
      </c>
      <c r="F1289" s="25">
        <f>IFERROR(__xludf.DUMMYFUNCTION("""COMPUTED_VALUE"""),45133.63611111111)</f>
        <v>45133.63611</v>
      </c>
      <c r="G1289" s="22">
        <f>IFERROR(__xludf.DUMMYFUNCTION("""COMPUTED_VALUE"""),15.79)</f>
        <v>15.79</v>
      </c>
      <c r="H1289" s="25">
        <f>IFERROR(__xludf.DUMMYFUNCTION("""COMPUTED_VALUE"""),45133.63611111111)</f>
        <v>45133.63611</v>
      </c>
      <c r="I1289" s="22">
        <f>IFERROR(__xludf.DUMMYFUNCTION("""COMPUTED_VALUE"""),18.12)</f>
        <v>18.12</v>
      </c>
      <c r="J1289" s="25">
        <f>IFERROR(__xludf.DUMMYFUNCTION("""COMPUTED_VALUE"""),45133.63611111111)</f>
        <v>45133.63611</v>
      </c>
      <c r="K1289" s="22">
        <f>IFERROR(__xludf.DUMMYFUNCTION("""COMPUTED_VALUE"""),20.38)</f>
        <v>20.38</v>
      </c>
    </row>
    <row r="1290" ht="15.75" customHeight="1">
      <c r="A1290" s="25">
        <f>IFERROR(__xludf.DUMMYFUNCTION("""COMPUTED_VALUE"""),45134.66666666667)</f>
        <v>45134.66667</v>
      </c>
      <c r="B1290" s="22">
        <f>IFERROR(__xludf.DUMMYFUNCTION("""COMPUTED_VALUE"""),4537.41)</f>
        <v>4537.41</v>
      </c>
      <c r="C1290" s="25">
        <f>IFERROR(__xludf.DUMMYFUNCTION("""COMPUTED_VALUE"""),45134.63611111111)</f>
        <v>45134.63611</v>
      </c>
      <c r="D1290" s="22">
        <f>IFERROR(__xludf.DUMMYFUNCTION("""COMPUTED_VALUE"""),14.41)</f>
        <v>14.41</v>
      </c>
      <c r="F1290" s="25">
        <f>IFERROR(__xludf.DUMMYFUNCTION("""COMPUTED_VALUE"""),45134.63611111111)</f>
        <v>45134.63611</v>
      </c>
      <c r="G1290" s="22">
        <f>IFERROR(__xludf.DUMMYFUNCTION("""COMPUTED_VALUE"""),16.63)</f>
        <v>16.63</v>
      </c>
      <c r="H1290" s="25">
        <f>IFERROR(__xludf.DUMMYFUNCTION("""COMPUTED_VALUE"""),45134.63611111111)</f>
        <v>45134.63611</v>
      </c>
      <c r="I1290" s="22">
        <f>IFERROR(__xludf.DUMMYFUNCTION("""COMPUTED_VALUE"""),18.74)</f>
        <v>18.74</v>
      </c>
      <c r="J1290" s="25">
        <f>IFERROR(__xludf.DUMMYFUNCTION("""COMPUTED_VALUE"""),45134.63611111111)</f>
        <v>45134.63611</v>
      </c>
      <c r="K1290" s="22">
        <f>IFERROR(__xludf.DUMMYFUNCTION("""COMPUTED_VALUE"""),20.76)</f>
        <v>20.76</v>
      </c>
    </row>
    <row r="1291" ht="15.75" customHeight="1">
      <c r="A1291" s="25">
        <f>IFERROR(__xludf.DUMMYFUNCTION("""COMPUTED_VALUE"""),45135.66666666667)</f>
        <v>45135.66667</v>
      </c>
      <c r="B1291" s="22">
        <f>IFERROR(__xludf.DUMMYFUNCTION("""COMPUTED_VALUE"""),4582.23)</f>
        <v>4582.23</v>
      </c>
      <c r="C1291" s="25">
        <f>IFERROR(__xludf.DUMMYFUNCTION("""COMPUTED_VALUE"""),45135.63611111111)</f>
        <v>45135.63611</v>
      </c>
      <c r="D1291" s="22">
        <f>IFERROR(__xludf.DUMMYFUNCTION("""COMPUTED_VALUE"""),13.33)</f>
        <v>13.33</v>
      </c>
      <c r="F1291" s="25">
        <f>IFERROR(__xludf.DUMMYFUNCTION("""COMPUTED_VALUE"""),45135.63611111111)</f>
        <v>45135.63611</v>
      </c>
      <c r="G1291" s="22">
        <f>IFERROR(__xludf.DUMMYFUNCTION("""COMPUTED_VALUE"""),15.92)</f>
        <v>15.92</v>
      </c>
      <c r="H1291" s="25">
        <f>IFERROR(__xludf.DUMMYFUNCTION("""COMPUTED_VALUE"""),45135.63611111111)</f>
        <v>45135.63611</v>
      </c>
      <c r="I1291" s="22">
        <f>IFERROR(__xludf.DUMMYFUNCTION("""COMPUTED_VALUE"""),18.27)</f>
        <v>18.27</v>
      </c>
      <c r="J1291" s="25">
        <f>IFERROR(__xludf.DUMMYFUNCTION("""COMPUTED_VALUE"""),45135.63611111111)</f>
        <v>45135.63611</v>
      </c>
      <c r="K1291" s="22">
        <f>IFERROR(__xludf.DUMMYFUNCTION("""COMPUTED_VALUE"""),20.47)</f>
        <v>20.47</v>
      </c>
    </row>
    <row r="1292" ht="15.75" customHeight="1">
      <c r="A1292" s="25">
        <f>IFERROR(__xludf.DUMMYFUNCTION("""COMPUTED_VALUE"""),45138.66666666667)</f>
        <v>45138.66667</v>
      </c>
      <c r="B1292" s="22">
        <f>IFERROR(__xludf.DUMMYFUNCTION("""COMPUTED_VALUE"""),4588.96)</f>
        <v>4588.96</v>
      </c>
      <c r="C1292" s="25">
        <f>IFERROR(__xludf.DUMMYFUNCTION("""COMPUTED_VALUE"""),45138.63611111111)</f>
        <v>45138.63611</v>
      </c>
      <c r="D1292" s="22">
        <f>IFERROR(__xludf.DUMMYFUNCTION("""COMPUTED_VALUE"""),13.63)</f>
        <v>13.63</v>
      </c>
      <c r="F1292" s="25">
        <f>IFERROR(__xludf.DUMMYFUNCTION("""COMPUTED_VALUE"""),45138.63611111111)</f>
        <v>45138.63611</v>
      </c>
      <c r="G1292" s="22">
        <f>IFERROR(__xludf.DUMMYFUNCTION("""COMPUTED_VALUE"""),16.01)</f>
        <v>16.01</v>
      </c>
      <c r="H1292" s="25">
        <f>IFERROR(__xludf.DUMMYFUNCTION("""COMPUTED_VALUE"""),45138.63611111111)</f>
        <v>45138.63611</v>
      </c>
      <c r="I1292" s="22">
        <f>IFERROR(__xludf.DUMMYFUNCTION("""COMPUTED_VALUE"""),18.42)</f>
        <v>18.42</v>
      </c>
      <c r="J1292" s="25">
        <f>IFERROR(__xludf.DUMMYFUNCTION("""COMPUTED_VALUE"""),45138.63611111111)</f>
        <v>45138.63611</v>
      </c>
      <c r="K1292" s="22">
        <f>IFERROR(__xludf.DUMMYFUNCTION("""COMPUTED_VALUE"""),20.54)</f>
        <v>20.54</v>
      </c>
    </row>
    <row r="1293" ht="15.75" customHeight="1">
      <c r="A1293" s="25">
        <f>IFERROR(__xludf.DUMMYFUNCTION("""COMPUTED_VALUE"""),45139.66666666667)</f>
        <v>45139.66667</v>
      </c>
      <c r="B1293" s="22">
        <f>IFERROR(__xludf.DUMMYFUNCTION("""COMPUTED_VALUE"""),4576.73)</f>
        <v>4576.73</v>
      </c>
      <c r="C1293" s="25">
        <f>IFERROR(__xludf.DUMMYFUNCTION("""COMPUTED_VALUE"""),45139.63611111111)</f>
        <v>45139.63611</v>
      </c>
      <c r="D1293" s="22">
        <f>IFERROR(__xludf.DUMMYFUNCTION("""COMPUTED_VALUE"""),13.93)</f>
        <v>13.93</v>
      </c>
      <c r="F1293" s="25">
        <f>IFERROR(__xludf.DUMMYFUNCTION("""COMPUTED_VALUE"""),45139.63611111111)</f>
        <v>45139.63611</v>
      </c>
      <c r="G1293" s="22">
        <f>IFERROR(__xludf.DUMMYFUNCTION("""COMPUTED_VALUE"""),16.34)</f>
        <v>16.34</v>
      </c>
      <c r="H1293" s="25">
        <f>IFERROR(__xludf.DUMMYFUNCTION("""COMPUTED_VALUE"""),45139.63611111111)</f>
        <v>45139.63611</v>
      </c>
      <c r="I1293" s="22">
        <f>IFERROR(__xludf.DUMMYFUNCTION("""COMPUTED_VALUE"""),18.62)</f>
        <v>18.62</v>
      </c>
      <c r="J1293" s="25">
        <f>IFERROR(__xludf.DUMMYFUNCTION("""COMPUTED_VALUE"""),45139.63611111111)</f>
        <v>45139.63611</v>
      </c>
      <c r="K1293" s="22">
        <f>IFERROR(__xludf.DUMMYFUNCTION("""COMPUTED_VALUE"""),20.74)</f>
        <v>20.74</v>
      </c>
    </row>
    <row r="1294" ht="15.75" customHeight="1">
      <c r="A1294" s="25">
        <f>IFERROR(__xludf.DUMMYFUNCTION("""COMPUTED_VALUE"""),45140.66666666667)</f>
        <v>45140.66667</v>
      </c>
      <c r="B1294" s="22">
        <f>IFERROR(__xludf.DUMMYFUNCTION("""COMPUTED_VALUE"""),4513.39)</f>
        <v>4513.39</v>
      </c>
      <c r="C1294" s="25">
        <f>IFERROR(__xludf.DUMMYFUNCTION("""COMPUTED_VALUE"""),45140.63611111111)</f>
        <v>45140.63611</v>
      </c>
      <c r="D1294" s="22">
        <f>IFERROR(__xludf.DUMMYFUNCTION("""COMPUTED_VALUE"""),16.09)</f>
        <v>16.09</v>
      </c>
      <c r="F1294" s="25">
        <f>IFERROR(__xludf.DUMMYFUNCTION("""COMPUTED_VALUE"""),45140.63611111111)</f>
        <v>45140.63611</v>
      </c>
      <c r="G1294" s="22">
        <f>IFERROR(__xludf.DUMMYFUNCTION("""COMPUTED_VALUE"""),17.96)</f>
        <v>17.96</v>
      </c>
      <c r="H1294" s="25">
        <f>IFERROR(__xludf.DUMMYFUNCTION("""COMPUTED_VALUE"""),45140.63611111111)</f>
        <v>45140.63611</v>
      </c>
      <c r="I1294" s="22">
        <f>IFERROR(__xludf.DUMMYFUNCTION("""COMPUTED_VALUE"""),19.88)</f>
        <v>19.88</v>
      </c>
      <c r="J1294" s="25">
        <f>IFERROR(__xludf.DUMMYFUNCTION("""COMPUTED_VALUE"""),45140.63611111111)</f>
        <v>45140.63611</v>
      </c>
      <c r="K1294" s="22">
        <f>IFERROR(__xludf.DUMMYFUNCTION("""COMPUTED_VALUE"""),21.63)</f>
        <v>21.63</v>
      </c>
    </row>
    <row r="1295" ht="15.75" customHeight="1">
      <c r="A1295" s="25">
        <f>IFERROR(__xludf.DUMMYFUNCTION("""COMPUTED_VALUE"""),45141.66666666667)</f>
        <v>45141.66667</v>
      </c>
      <c r="B1295" s="22">
        <f>IFERROR(__xludf.DUMMYFUNCTION("""COMPUTED_VALUE"""),4501.89)</f>
        <v>4501.89</v>
      </c>
      <c r="C1295" s="25">
        <f>IFERROR(__xludf.DUMMYFUNCTION("""COMPUTED_VALUE"""),45141.63611111111)</f>
        <v>45141.63611</v>
      </c>
      <c r="D1295" s="22">
        <f>IFERROR(__xludf.DUMMYFUNCTION("""COMPUTED_VALUE"""),15.92)</f>
        <v>15.92</v>
      </c>
      <c r="F1295" s="25">
        <f>IFERROR(__xludf.DUMMYFUNCTION("""COMPUTED_VALUE"""),45141.63611111111)</f>
        <v>45141.63611</v>
      </c>
      <c r="G1295" s="22">
        <f>IFERROR(__xludf.DUMMYFUNCTION("""COMPUTED_VALUE"""),17.72)</f>
        <v>17.72</v>
      </c>
      <c r="H1295" s="25">
        <f>IFERROR(__xludf.DUMMYFUNCTION("""COMPUTED_VALUE"""),45141.63611111111)</f>
        <v>45141.63611</v>
      </c>
      <c r="I1295" s="22">
        <f>IFERROR(__xludf.DUMMYFUNCTION("""COMPUTED_VALUE"""),19.68)</f>
        <v>19.68</v>
      </c>
      <c r="J1295" s="25">
        <f>IFERROR(__xludf.DUMMYFUNCTION("""COMPUTED_VALUE"""),45141.63611111111)</f>
        <v>45141.63611</v>
      </c>
      <c r="K1295" s="22">
        <f>IFERROR(__xludf.DUMMYFUNCTION("""COMPUTED_VALUE"""),21.47)</f>
        <v>21.47</v>
      </c>
    </row>
    <row r="1296" ht="15.75" customHeight="1">
      <c r="A1296" s="25">
        <f>IFERROR(__xludf.DUMMYFUNCTION("""COMPUTED_VALUE"""),45142.66666666667)</f>
        <v>45142.66667</v>
      </c>
      <c r="B1296" s="22">
        <f>IFERROR(__xludf.DUMMYFUNCTION("""COMPUTED_VALUE"""),4478.03)</f>
        <v>4478.03</v>
      </c>
      <c r="C1296" s="25">
        <f>IFERROR(__xludf.DUMMYFUNCTION("""COMPUTED_VALUE"""),45142.63611111111)</f>
        <v>45142.63611</v>
      </c>
      <c r="D1296" s="22">
        <f>IFERROR(__xludf.DUMMYFUNCTION("""COMPUTED_VALUE"""),17.1)</f>
        <v>17.1</v>
      </c>
      <c r="F1296" s="25">
        <f>IFERROR(__xludf.DUMMYFUNCTION("""COMPUTED_VALUE"""),45142.63611111111)</f>
        <v>45142.63611</v>
      </c>
      <c r="G1296" s="22">
        <f>IFERROR(__xludf.DUMMYFUNCTION("""COMPUTED_VALUE"""),18.61)</f>
        <v>18.61</v>
      </c>
      <c r="H1296" s="25">
        <f>IFERROR(__xludf.DUMMYFUNCTION("""COMPUTED_VALUE"""),45142.63611111111)</f>
        <v>45142.63611</v>
      </c>
      <c r="I1296" s="22">
        <f>IFERROR(__xludf.DUMMYFUNCTION("""COMPUTED_VALUE"""),20.18)</f>
        <v>20.18</v>
      </c>
      <c r="J1296" s="25">
        <f>IFERROR(__xludf.DUMMYFUNCTION("""COMPUTED_VALUE"""),45142.63611111111)</f>
        <v>45142.63611</v>
      </c>
      <c r="K1296" s="22">
        <f>IFERROR(__xludf.DUMMYFUNCTION("""COMPUTED_VALUE"""),21.78)</f>
        <v>21.78</v>
      </c>
    </row>
    <row r="1297" ht="15.75" customHeight="1">
      <c r="A1297" s="25">
        <f>IFERROR(__xludf.DUMMYFUNCTION("""COMPUTED_VALUE"""),45145.66666666667)</f>
        <v>45145.66667</v>
      </c>
      <c r="B1297" s="22">
        <f>IFERROR(__xludf.DUMMYFUNCTION("""COMPUTED_VALUE"""),4518.44)</f>
        <v>4518.44</v>
      </c>
      <c r="C1297" s="25">
        <f>IFERROR(__xludf.DUMMYFUNCTION("""COMPUTED_VALUE"""),45145.63611111111)</f>
        <v>45145.63611</v>
      </c>
      <c r="D1297" s="22">
        <f>IFERROR(__xludf.DUMMYFUNCTION("""COMPUTED_VALUE"""),15.77)</f>
        <v>15.77</v>
      </c>
      <c r="F1297" s="25">
        <f>IFERROR(__xludf.DUMMYFUNCTION("""COMPUTED_VALUE"""),45145.63611111111)</f>
        <v>45145.63611</v>
      </c>
      <c r="G1297" s="22">
        <f>IFERROR(__xludf.DUMMYFUNCTION("""COMPUTED_VALUE"""),17.72)</f>
        <v>17.72</v>
      </c>
      <c r="H1297" s="25">
        <f>IFERROR(__xludf.DUMMYFUNCTION("""COMPUTED_VALUE"""),45145.63611111111)</f>
        <v>45145.63611</v>
      </c>
      <c r="I1297" s="22">
        <f>IFERROR(__xludf.DUMMYFUNCTION("""COMPUTED_VALUE"""),19.48)</f>
        <v>19.48</v>
      </c>
      <c r="J1297" s="25">
        <f>IFERROR(__xludf.DUMMYFUNCTION("""COMPUTED_VALUE"""),45145.63611111111)</f>
        <v>45145.63611</v>
      </c>
      <c r="K1297" s="22">
        <f>IFERROR(__xludf.DUMMYFUNCTION("""COMPUTED_VALUE"""),21.44)</f>
        <v>21.44</v>
      </c>
    </row>
    <row r="1298" ht="15.75" customHeight="1">
      <c r="A1298" s="25">
        <f>IFERROR(__xludf.DUMMYFUNCTION("""COMPUTED_VALUE"""),45146.66666666667)</f>
        <v>45146.66667</v>
      </c>
      <c r="B1298" s="22">
        <f>IFERROR(__xludf.DUMMYFUNCTION("""COMPUTED_VALUE"""),4499.38)</f>
        <v>4499.38</v>
      </c>
      <c r="C1298" s="25">
        <f>IFERROR(__xludf.DUMMYFUNCTION("""COMPUTED_VALUE"""),45146.63611111111)</f>
        <v>45146.63611</v>
      </c>
      <c r="D1298" s="22">
        <f>IFERROR(__xludf.DUMMYFUNCTION("""COMPUTED_VALUE"""),15.99)</f>
        <v>15.99</v>
      </c>
      <c r="F1298" s="25">
        <f>IFERROR(__xludf.DUMMYFUNCTION("""COMPUTED_VALUE"""),45146.63611111111)</f>
        <v>45146.63611</v>
      </c>
      <c r="G1298" s="22">
        <f>IFERROR(__xludf.DUMMYFUNCTION("""COMPUTED_VALUE"""),18.13)</f>
        <v>18.13</v>
      </c>
      <c r="H1298" s="25">
        <f>IFERROR(__xludf.DUMMYFUNCTION("""COMPUTED_VALUE"""),45146.63611111111)</f>
        <v>45146.63611</v>
      </c>
      <c r="I1298" s="22">
        <f>IFERROR(__xludf.DUMMYFUNCTION("""COMPUTED_VALUE"""),19.9)</f>
        <v>19.9</v>
      </c>
      <c r="J1298" s="25">
        <f>IFERROR(__xludf.DUMMYFUNCTION("""COMPUTED_VALUE"""),45146.63611111111)</f>
        <v>45146.63611</v>
      </c>
      <c r="K1298" s="22">
        <f>IFERROR(__xludf.DUMMYFUNCTION("""COMPUTED_VALUE"""),21.71)</f>
        <v>21.71</v>
      </c>
    </row>
    <row r="1299" ht="15.75" customHeight="1">
      <c r="A1299" s="25">
        <f>IFERROR(__xludf.DUMMYFUNCTION("""COMPUTED_VALUE"""),45147.66666666667)</f>
        <v>45147.66667</v>
      </c>
      <c r="B1299" s="22">
        <f>IFERROR(__xludf.DUMMYFUNCTION("""COMPUTED_VALUE"""),4467.71)</f>
        <v>4467.71</v>
      </c>
      <c r="C1299" s="25">
        <f>IFERROR(__xludf.DUMMYFUNCTION("""COMPUTED_VALUE"""),45147.63611111111)</f>
        <v>45147.63611</v>
      </c>
      <c r="D1299" s="22">
        <f>IFERROR(__xludf.DUMMYFUNCTION("""COMPUTED_VALUE"""),15.96)</f>
        <v>15.96</v>
      </c>
      <c r="F1299" s="25">
        <f>IFERROR(__xludf.DUMMYFUNCTION("""COMPUTED_VALUE"""),45147.63611111111)</f>
        <v>45147.63611</v>
      </c>
      <c r="G1299" s="22">
        <f>IFERROR(__xludf.DUMMYFUNCTION("""COMPUTED_VALUE"""),18.05)</f>
        <v>18.05</v>
      </c>
      <c r="H1299" s="25">
        <f>IFERROR(__xludf.DUMMYFUNCTION("""COMPUTED_VALUE"""),45147.63611111111)</f>
        <v>45147.63611</v>
      </c>
      <c r="I1299" s="22">
        <f>IFERROR(__xludf.DUMMYFUNCTION("""COMPUTED_VALUE"""),19.86)</f>
        <v>19.86</v>
      </c>
      <c r="J1299" s="25">
        <f>IFERROR(__xludf.DUMMYFUNCTION("""COMPUTED_VALUE"""),45147.63611111111)</f>
        <v>45147.63611</v>
      </c>
      <c r="K1299" s="22">
        <f>IFERROR(__xludf.DUMMYFUNCTION("""COMPUTED_VALUE"""),21.67)</f>
        <v>21.67</v>
      </c>
    </row>
    <row r="1300" ht="15.75" customHeight="1">
      <c r="A1300" s="25">
        <f>IFERROR(__xludf.DUMMYFUNCTION("""COMPUTED_VALUE"""),45148.66666666667)</f>
        <v>45148.66667</v>
      </c>
      <c r="B1300" s="22">
        <f>IFERROR(__xludf.DUMMYFUNCTION("""COMPUTED_VALUE"""),4468.83)</f>
        <v>4468.83</v>
      </c>
      <c r="C1300" s="25">
        <f>IFERROR(__xludf.DUMMYFUNCTION("""COMPUTED_VALUE"""),45148.63611111111)</f>
        <v>45148.63611</v>
      </c>
      <c r="D1300" s="22">
        <f>IFERROR(__xludf.DUMMYFUNCTION("""COMPUTED_VALUE"""),15.85)</f>
        <v>15.85</v>
      </c>
      <c r="F1300" s="25">
        <f>IFERROR(__xludf.DUMMYFUNCTION("""COMPUTED_VALUE"""),45148.63611111111)</f>
        <v>45148.63611</v>
      </c>
      <c r="G1300" s="22">
        <f>IFERROR(__xludf.DUMMYFUNCTION("""COMPUTED_VALUE"""),18.16)</f>
        <v>18.16</v>
      </c>
      <c r="H1300" s="25">
        <f>IFERROR(__xludf.DUMMYFUNCTION("""COMPUTED_VALUE"""),45148.63611111111)</f>
        <v>45148.63611</v>
      </c>
      <c r="I1300" s="22">
        <f>IFERROR(__xludf.DUMMYFUNCTION("""COMPUTED_VALUE"""),19.83)</f>
        <v>19.83</v>
      </c>
      <c r="J1300" s="25">
        <f>IFERROR(__xludf.DUMMYFUNCTION("""COMPUTED_VALUE"""),45148.63611111111)</f>
        <v>45148.63611</v>
      </c>
      <c r="K1300" s="22">
        <f>IFERROR(__xludf.DUMMYFUNCTION("""COMPUTED_VALUE"""),21.27)</f>
        <v>21.27</v>
      </c>
    </row>
    <row r="1301" ht="15.75" customHeight="1">
      <c r="A1301" s="25">
        <f>IFERROR(__xludf.DUMMYFUNCTION("""COMPUTED_VALUE"""),45149.66666666667)</f>
        <v>45149.66667</v>
      </c>
      <c r="B1301" s="22">
        <f>IFERROR(__xludf.DUMMYFUNCTION("""COMPUTED_VALUE"""),4464.05)</f>
        <v>4464.05</v>
      </c>
      <c r="C1301" s="25">
        <f>IFERROR(__xludf.DUMMYFUNCTION("""COMPUTED_VALUE"""),45149.63611111111)</f>
        <v>45149.63611</v>
      </c>
      <c r="D1301" s="22">
        <f>IFERROR(__xludf.DUMMYFUNCTION("""COMPUTED_VALUE"""),14.84)</f>
        <v>14.84</v>
      </c>
      <c r="F1301" s="25">
        <f>IFERROR(__xludf.DUMMYFUNCTION("""COMPUTED_VALUE"""),45149.63611111111)</f>
        <v>45149.63611</v>
      </c>
      <c r="G1301" s="22">
        <f>IFERROR(__xludf.DUMMYFUNCTION("""COMPUTED_VALUE"""),17.56)</f>
        <v>17.56</v>
      </c>
      <c r="H1301" s="25">
        <f>IFERROR(__xludf.DUMMYFUNCTION("""COMPUTED_VALUE"""),45149.63611111111)</f>
        <v>45149.63611</v>
      </c>
      <c r="I1301" s="22">
        <f>IFERROR(__xludf.DUMMYFUNCTION("""COMPUTED_VALUE"""),19.58)</f>
        <v>19.58</v>
      </c>
      <c r="J1301" s="25">
        <f>IFERROR(__xludf.DUMMYFUNCTION("""COMPUTED_VALUE"""),45149.63611111111)</f>
        <v>45149.63611</v>
      </c>
      <c r="K1301" s="22">
        <f>IFERROR(__xludf.DUMMYFUNCTION("""COMPUTED_VALUE"""),21.46)</f>
        <v>21.46</v>
      </c>
    </row>
    <row r="1302" ht="15.75" customHeight="1">
      <c r="A1302" s="25">
        <f>IFERROR(__xludf.DUMMYFUNCTION("""COMPUTED_VALUE"""),45152.66666666667)</f>
        <v>45152.66667</v>
      </c>
      <c r="B1302" s="22">
        <f>IFERROR(__xludf.DUMMYFUNCTION("""COMPUTED_VALUE"""),4489.72)</f>
        <v>4489.72</v>
      </c>
      <c r="C1302" s="25">
        <f>IFERROR(__xludf.DUMMYFUNCTION("""COMPUTED_VALUE"""),45152.63611111111)</f>
        <v>45152.63611</v>
      </c>
      <c r="D1302" s="22">
        <f>IFERROR(__xludf.DUMMYFUNCTION("""COMPUTED_VALUE"""),14.82)</f>
        <v>14.82</v>
      </c>
      <c r="F1302" s="25">
        <f>IFERROR(__xludf.DUMMYFUNCTION("""COMPUTED_VALUE"""),45152.63611111111)</f>
        <v>45152.63611</v>
      </c>
      <c r="G1302" s="22">
        <f>IFERROR(__xludf.DUMMYFUNCTION("""COMPUTED_VALUE"""),17.41)</f>
        <v>17.41</v>
      </c>
      <c r="H1302" s="25">
        <f>IFERROR(__xludf.DUMMYFUNCTION("""COMPUTED_VALUE"""),45152.63611111111)</f>
        <v>45152.63611</v>
      </c>
      <c r="I1302" s="22">
        <f>IFERROR(__xludf.DUMMYFUNCTION("""COMPUTED_VALUE"""),19.29)</f>
        <v>19.29</v>
      </c>
      <c r="J1302" s="25">
        <f>IFERROR(__xludf.DUMMYFUNCTION("""COMPUTED_VALUE"""),45152.63611111111)</f>
        <v>45152.63611</v>
      </c>
      <c r="K1302" s="22">
        <f>IFERROR(__xludf.DUMMYFUNCTION("""COMPUTED_VALUE"""),21.36)</f>
        <v>21.36</v>
      </c>
    </row>
    <row r="1303" ht="15.75" customHeight="1">
      <c r="A1303" s="25">
        <f>IFERROR(__xludf.DUMMYFUNCTION("""COMPUTED_VALUE"""),45153.66666666667)</f>
        <v>45153.66667</v>
      </c>
      <c r="B1303" s="22">
        <f>IFERROR(__xludf.DUMMYFUNCTION("""COMPUTED_VALUE"""),4437.86)</f>
        <v>4437.86</v>
      </c>
      <c r="C1303" s="25">
        <f>IFERROR(__xludf.DUMMYFUNCTION("""COMPUTED_VALUE"""),45153.63611111111)</f>
        <v>45153.63611</v>
      </c>
      <c r="D1303" s="22">
        <f>IFERROR(__xludf.DUMMYFUNCTION("""COMPUTED_VALUE"""),16.46)</f>
        <v>16.46</v>
      </c>
      <c r="F1303" s="25">
        <f>IFERROR(__xludf.DUMMYFUNCTION("""COMPUTED_VALUE"""),45153.63611111111)</f>
        <v>45153.63611</v>
      </c>
      <c r="G1303" s="22">
        <f>IFERROR(__xludf.DUMMYFUNCTION("""COMPUTED_VALUE"""),18.59)</f>
        <v>18.59</v>
      </c>
      <c r="H1303" s="25">
        <f>IFERROR(__xludf.DUMMYFUNCTION("""COMPUTED_VALUE"""),45153.63611111111)</f>
        <v>45153.63611</v>
      </c>
      <c r="I1303" s="22">
        <f>IFERROR(__xludf.DUMMYFUNCTION("""COMPUTED_VALUE"""),20.36)</f>
        <v>20.36</v>
      </c>
      <c r="J1303" s="25">
        <f>IFERROR(__xludf.DUMMYFUNCTION("""COMPUTED_VALUE"""),45153.63611111111)</f>
        <v>45153.63611</v>
      </c>
      <c r="K1303" s="22">
        <f>IFERROR(__xludf.DUMMYFUNCTION("""COMPUTED_VALUE"""),22.07)</f>
        <v>22.07</v>
      </c>
    </row>
    <row r="1304" ht="15.75" customHeight="1">
      <c r="A1304" s="25">
        <f>IFERROR(__xludf.DUMMYFUNCTION("""COMPUTED_VALUE"""),45154.66666666667)</f>
        <v>45154.66667</v>
      </c>
      <c r="B1304" s="22">
        <f>IFERROR(__xludf.DUMMYFUNCTION("""COMPUTED_VALUE"""),4404.33)</f>
        <v>4404.33</v>
      </c>
      <c r="C1304" s="25">
        <f>IFERROR(__xludf.DUMMYFUNCTION("""COMPUTED_VALUE"""),45154.63611111111)</f>
        <v>45154.63611</v>
      </c>
      <c r="D1304" s="22">
        <f>IFERROR(__xludf.DUMMYFUNCTION("""COMPUTED_VALUE"""),16.78)</f>
        <v>16.78</v>
      </c>
      <c r="F1304" s="25">
        <f>IFERROR(__xludf.DUMMYFUNCTION("""COMPUTED_VALUE"""),45154.63611111111)</f>
        <v>45154.63611</v>
      </c>
      <c r="G1304" s="22">
        <f>IFERROR(__xludf.DUMMYFUNCTION("""COMPUTED_VALUE"""),18.97)</f>
        <v>18.97</v>
      </c>
      <c r="H1304" s="25">
        <f>IFERROR(__xludf.DUMMYFUNCTION("""COMPUTED_VALUE"""),45154.63611111111)</f>
        <v>45154.63611</v>
      </c>
      <c r="I1304" s="22">
        <f>IFERROR(__xludf.DUMMYFUNCTION("""COMPUTED_VALUE"""),20.7)</f>
        <v>20.7</v>
      </c>
      <c r="J1304" s="25">
        <f>IFERROR(__xludf.DUMMYFUNCTION("""COMPUTED_VALUE"""),45154.63611111111)</f>
        <v>45154.63611</v>
      </c>
      <c r="K1304" s="22">
        <f>IFERROR(__xludf.DUMMYFUNCTION("""COMPUTED_VALUE"""),22.24)</f>
        <v>22.24</v>
      </c>
    </row>
    <row r="1305" ht="15.75" customHeight="1">
      <c r="A1305" s="25">
        <f>IFERROR(__xludf.DUMMYFUNCTION("""COMPUTED_VALUE"""),45155.66666666667)</f>
        <v>45155.66667</v>
      </c>
      <c r="B1305" s="22">
        <f>IFERROR(__xludf.DUMMYFUNCTION("""COMPUTED_VALUE"""),4370.36)</f>
        <v>4370.36</v>
      </c>
      <c r="C1305" s="25">
        <f>IFERROR(__xludf.DUMMYFUNCTION("""COMPUTED_VALUE"""),45155.63611111111)</f>
        <v>45155.63611</v>
      </c>
      <c r="D1305" s="22">
        <f>IFERROR(__xludf.DUMMYFUNCTION("""COMPUTED_VALUE"""),17.89)</f>
        <v>17.89</v>
      </c>
      <c r="F1305" s="25">
        <f>IFERROR(__xludf.DUMMYFUNCTION("""COMPUTED_VALUE"""),45155.63611111111)</f>
        <v>45155.63611</v>
      </c>
      <c r="G1305" s="22">
        <f>IFERROR(__xludf.DUMMYFUNCTION("""COMPUTED_VALUE"""),19.83)</f>
        <v>19.83</v>
      </c>
      <c r="H1305" s="25">
        <f>IFERROR(__xludf.DUMMYFUNCTION("""COMPUTED_VALUE"""),45155.63611111111)</f>
        <v>45155.63611</v>
      </c>
      <c r="I1305" s="22">
        <f>IFERROR(__xludf.DUMMYFUNCTION("""COMPUTED_VALUE"""),21.42)</f>
        <v>21.42</v>
      </c>
      <c r="J1305" s="25">
        <f>IFERROR(__xludf.DUMMYFUNCTION("""COMPUTED_VALUE"""),45155.63611111111)</f>
        <v>45155.63611</v>
      </c>
      <c r="K1305" s="22">
        <f>IFERROR(__xludf.DUMMYFUNCTION("""COMPUTED_VALUE"""),22.7)</f>
        <v>22.7</v>
      </c>
    </row>
    <row r="1306" ht="15.75" customHeight="1">
      <c r="A1306" s="25">
        <f>IFERROR(__xludf.DUMMYFUNCTION("""COMPUTED_VALUE"""),45156.66666666667)</f>
        <v>45156.66667</v>
      </c>
      <c r="B1306" s="22">
        <f>IFERROR(__xludf.DUMMYFUNCTION("""COMPUTED_VALUE"""),4369.71)</f>
        <v>4369.71</v>
      </c>
      <c r="C1306" s="25">
        <f>IFERROR(__xludf.DUMMYFUNCTION("""COMPUTED_VALUE"""),45156.63611111111)</f>
        <v>45156.63611</v>
      </c>
      <c r="D1306" s="22">
        <f>IFERROR(__xludf.DUMMYFUNCTION("""COMPUTED_VALUE"""),17.3)</f>
        <v>17.3</v>
      </c>
      <c r="F1306" s="25">
        <f>IFERROR(__xludf.DUMMYFUNCTION("""COMPUTED_VALUE"""),45156.63611111111)</f>
        <v>45156.63611</v>
      </c>
      <c r="G1306" s="22">
        <f>IFERROR(__xludf.DUMMYFUNCTION("""COMPUTED_VALUE"""),19.24)</f>
        <v>19.24</v>
      </c>
      <c r="H1306" s="25">
        <f>IFERROR(__xludf.DUMMYFUNCTION("""COMPUTED_VALUE"""),45156.63611111111)</f>
        <v>45156.63611</v>
      </c>
      <c r="I1306" s="22">
        <f>IFERROR(__xludf.DUMMYFUNCTION("""COMPUTED_VALUE"""),21.05)</f>
        <v>21.05</v>
      </c>
      <c r="J1306" s="25">
        <f>IFERROR(__xludf.DUMMYFUNCTION("""COMPUTED_VALUE"""),45156.63611111111)</f>
        <v>45156.63611</v>
      </c>
      <c r="K1306" s="22">
        <f>IFERROR(__xludf.DUMMYFUNCTION("""COMPUTED_VALUE"""),22.44)</f>
        <v>22.44</v>
      </c>
    </row>
    <row r="1307" ht="15.75" customHeight="1">
      <c r="A1307" s="25">
        <f>IFERROR(__xludf.DUMMYFUNCTION("""COMPUTED_VALUE"""),45159.66666666667)</f>
        <v>45159.66667</v>
      </c>
      <c r="B1307" s="22">
        <f>IFERROR(__xludf.DUMMYFUNCTION("""COMPUTED_VALUE"""),4399.77)</f>
        <v>4399.77</v>
      </c>
      <c r="C1307" s="25">
        <f>IFERROR(__xludf.DUMMYFUNCTION("""COMPUTED_VALUE"""),45159.63611111111)</f>
        <v>45159.63611</v>
      </c>
      <c r="D1307" s="22">
        <f>IFERROR(__xludf.DUMMYFUNCTION("""COMPUTED_VALUE"""),17.13)</f>
        <v>17.13</v>
      </c>
      <c r="F1307" s="25">
        <f>IFERROR(__xludf.DUMMYFUNCTION("""COMPUTED_VALUE"""),45159.63611111111)</f>
        <v>45159.63611</v>
      </c>
      <c r="G1307" s="22">
        <f>IFERROR(__xludf.DUMMYFUNCTION("""COMPUTED_VALUE"""),18.77)</f>
        <v>18.77</v>
      </c>
      <c r="H1307" s="25">
        <f>IFERROR(__xludf.DUMMYFUNCTION("""COMPUTED_VALUE"""),45159.63611111111)</f>
        <v>45159.63611</v>
      </c>
      <c r="I1307" s="22">
        <f>IFERROR(__xludf.DUMMYFUNCTION("""COMPUTED_VALUE"""),20.63)</f>
        <v>20.63</v>
      </c>
      <c r="J1307" s="25">
        <f>IFERROR(__xludf.DUMMYFUNCTION("""COMPUTED_VALUE"""),45159.63611111111)</f>
        <v>45159.63611</v>
      </c>
      <c r="K1307" s="22">
        <f>IFERROR(__xludf.DUMMYFUNCTION("""COMPUTED_VALUE"""),22.22)</f>
        <v>22.22</v>
      </c>
    </row>
    <row r="1308" ht="15.75" customHeight="1">
      <c r="A1308" s="25">
        <f>IFERROR(__xludf.DUMMYFUNCTION("""COMPUTED_VALUE"""),45160.66666666667)</f>
        <v>45160.66667</v>
      </c>
      <c r="B1308" s="22">
        <f>IFERROR(__xludf.DUMMYFUNCTION("""COMPUTED_VALUE"""),4387.55)</f>
        <v>4387.55</v>
      </c>
      <c r="C1308" s="25">
        <f>IFERROR(__xludf.DUMMYFUNCTION("""COMPUTED_VALUE"""),45160.63611111111)</f>
        <v>45160.63611</v>
      </c>
      <c r="D1308" s="22">
        <f>IFERROR(__xludf.DUMMYFUNCTION("""COMPUTED_VALUE"""),16.97)</f>
        <v>16.97</v>
      </c>
      <c r="F1308" s="25">
        <f>IFERROR(__xludf.DUMMYFUNCTION("""COMPUTED_VALUE"""),45160.63611111111)</f>
        <v>45160.63611</v>
      </c>
      <c r="G1308" s="22">
        <f>IFERROR(__xludf.DUMMYFUNCTION("""COMPUTED_VALUE"""),18.72)</f>
        <v>18.72</v>
      </c>
      <c r="H1308" s="25">
        <f>IFERROR(__xludf.DUMMYFUNCTION("""COMPUTED_VALUE"""),45160.63611111111)</f>
        <v>45160.63611</v>
      </c>
      <c r="I1308" s="22">
        <f>IFERROR(__xludf.DUMMYFUNCTION("""COMPUTED_VALUE"""),20.77)</f>
        <v>20.77</v>
      </c>
      <c r="J1308" s="25">
        <f>IFERROR(__xludf.DUMMYFUNCTION("""COMPUTED_VALUE"""),45160.63611111111)</f>
        <v>45160.63611</v>
      </c>
      <c r="K1308" s="22">
        <f>IFERROR(__xludf.DUMMYFUNCTION("""COMPUTED_VALUE"""),22.54)</f>
        <v>22.54</v>
      </c>
    </row>
    <row r="1309" ht="15.75" customHeight="1">
      <c r="A1309" s="25">
        <f>IFERROR(__xludf.DUMMYFUNCTION("""COMPUTED_VALUE"""),45161.66666666667)</f>
        <v>45161.66667</v>
      </c>
      <c r="B1309" s="22">
        <f>IFERROR(__xludf.DUMMYFUNCTION("""COMPUTED_VALUE"""),4436.01)</f>
        <v>4436.01</v>
      </c>
      <c r="C1309" s="25">
        <f>IFERROR(__xludf.DUMMYFUNCTION("""COMPUTED_VALUE"""),45161.63611111111)</f>
        <v>45161.63611</v>
      </c>
      <c r="D1309" s="22">
        <f>IFERROR(__xludf.DUMMYFUNCTION("""COMPUTED_VALUE"""),15.98)</f>
        <v>15.98</v>
      </c>
      <c r="F1309" s="25">
        <f>IFERROR(__xludf.DUMMYFUNCTION("""COMPUTED_VALUE"""),45161.63611111111)</f>
        <v>45161.63611</v>
      </c>
      <c r="G1309" s="22">
        <f>IFERROR(__xludf.DUMMYFUNCTION("""COMPUTED_VALUE"""),17.94)</f>
        <v>17.94</v>
      </c>
      <c r="H1309" s="25">
        <f>IFERROR(__xludf.DUMMYFUNCTION("""COMPUTED_VALUE"""),45161.63611111111)</f>
        <v>45161.63611</v>
      </c>
      <c r="I1309" s="22">
        <f>IFERROR(__xludf.DUMMYFUNCTION("""COMPUTED_VALUE"""),20.06)</f>
        <v>20.06</v>
      </c>
      <c r="J1309" s="25">
        <f>IFERROR(__xludf.DUMMYFUNCTION("""COMPUTED_VALUE"""),45161.63611111111)</f>
        <v>45161.63611</v>
      </c>
      <c r="K1309" s="22">
        <f>IFERROR(__xludf.DUMMYFUNCTION("""COMPUTED_VALUE"""),21.79)</f>
        <v>21.79</v>
      </c>
    </row>
    <row r="1310" ht="15.75" customHeight="1">
      <c r="A1310" s="25">
        <f>IFERROR(__xludf.DUMMYFUNCTION("""COMPUTED_VALUE"""),45162.66666666667)</f>
        <v>45162.66667</v>
      </c>
      <c r="B1310" s="22">
        <f>IFERROR(__xludf.DUMMYFUNCTION("""COMPUTED_VALUE"""),4376.31)</f>
        <v>4376.31</v>
      </c>
      <c r="C1310" s="25">
        <f>IFERROR(__xludf.DUMMYFUNCTION("""COMPUTED_VALUE"""),45162.63611111111)</f>
        <v>45162.63611</v>
      </c>
      <c r="D1310" s="22">
        <f>IFERROR(__xludf.DUMMYFUNCTION("""COMPUTED_VALUE"""),17.2)</f>
        <v>17.2</v>
      </c>
      <c r="F1310" s="25">
        <f>IFERROR(__xludf.DUMMYFUNCTION("""COMPUTED_VALUE"""),45162.63611111111)</f>
        <v>45162.63611</v>
      </c>
      <c r="G1310" s="22">
        <f>IFERROR(__xludf.DUMMYFUNCTION("""COMPUTED_VALUE"""),18.75)</f>
        <v>18.75</v>
      </c>
      <c r="H1310" s="25">
        <f>IFERROR(__xludf.DUMMYFUNCTION("""COMPUTED_VALUE"""),45162.63611111111)</f>
        <v>45162.63611</v>
      </c>
      <c r="I1310" s="22">
        <f>IFERROR(__xludf.DUMMYFUNCTION("""COMPUTED_VALUE"""),20.61)</f>
        <v>20.61</v>
      </c>
      <c r="J1310" s="25">
        <f>IFERROR(__xludf.DUMMYFUNCTION("""COMPUTED_VALUE"""),45162.63611111111)</f>
        <v>45162.63611</v>
      </c>
      <c r="K1310" s="22">
        <f>IFERROR(__xludf.DUMMYFUNCTION("""COMPUTED_VALUE"""),22.09)</f>
        <v>22.09</v>
      </c>
    </row>
    <row r="1311" ht="15.75" customHeight="1">
      <c r="A1311" s="25">
        <f>IFERROR(__xludf.DUMMYFUNCTION("""COMPUTED_VALUE"""),45163.66666666667)</f>
        <v>45163.66667</v>
      </c>
      <c r="B1311" s="22">
        <f>IFERROR(__xludf.DUMMYFUNCTION("""COMPUTED_VALUE"""),4405.71)</f>
        <v>4405.71</v>
      </c>
      <c r="C1311" s="25">
        <f>IFERROR(__xludf.DUMMYFUNCTION("""COMPUTED_VALUE"""),45163.63611111111)</f>
        <v>45163.63611</v>
      </c>
      <c r="D1311" s="22">
        <f>IFERROR(__xludf.DUMMYFUNCTION("""COMPUTED_VALUE"""),15.68)</f>
        <v>15.68</v>
      </c>
      <c r="F1311" s="25">
        <f>IFERROR(__xludf.DUMMYFUNCTION("""COMPUTED_VALUE"""),45163.63611111111)</f>
        <v>45163.63611</v>
      </c>
      <c r="G1311" s="22">
        <f>IFERROR(__xludf.DUMMYFUNCTION("""COMPUTED_VALUE"""),17.72)</f>
        <v>17.72</v>
      </c>
      <c r="H1311" s="25">
        <f>IFERROR(__xludf.DUMMYFUNCTION("""COMPUTED_VALUE"""),45163.63611111111)</f>
        <v>45163.63611</v>
      </c>
      <c r="I1311" s="22">
        <f>IFERROR(__xludf.DUMMYFUNCTION("""COMPUTED_VALUE"""),19.76)</f>
        <v>19.76</v>
      </c>
      <c r="J1311" s="25">
        <f>IFERROR(__xludf.DUMMYFUNCTION("""COMPUTED_VALUE"""),45163.63611111111)</f>
        <v>45163.63611</v>
      </c>
      <c r="K1311" s="22">
        <f>IFERROR(__xludf.DUMMYFUNCTION("""COMPUTED_VALUE"""),21.5)</f>
        <v>21.5</v>
      </c>
    </row>
    <row r="1312" ht="15.75" customHeight="1">
      <c r="A1312" s="25">
        <f>IFERROR(__xludf.DUMMYFUNCTION("""COMPUTED_VALUE"""),45166.66666666667)</f>
        <v>45166.66667</v>
      </c>
      <c r="B1312" s="22">
        <f>IFERROR(__xludf.DUMMYFUNCTION("""COMPUTED_VALUE"""),4433.31)</f>
        <v>4433.31</v>
      </c>
      <c r="C1312" s="25">
        <f>IFERROR(__xludf.DUMMYFUNCTION("""COMPUTED_VALUE"""),45166.63611111111)</f>
        <v>45166.63611</v>
      </c>
      <c r="D1312" s="22">
        <f>IFERROR(__xludf.DUMMYFUNCTION("""COMPUTED_VALUE"""),15.08)</f>
        <v>15.08</v>
      </c>
      <c r="F1312" s="25">
        <f>IFERROR(__xludf.DUMMYFUNCTION("""COMPUTED_VALUE"""),45166.63611111111)</f>
        <v>45166.63611</v>
      </c>
      <c r="G1312" s="22">
        <f>IFERROR(__xludf.DUMMYFUNCTION("""COMPUTED_VALUE"""),17.12)</f>
        <v>17.12</v>
      </c>
      <c r="H1312" s="25">
        <f>IFERROR(__xludf.DUMMYFUNCTION("""COMPUTED_VALUE"""),45166.63611111111)</f>
        <v>45166.63611</v>
      </c>
      <c r="I1312" s="22">
        <f>IFERROR(__xludf.DUMMYFUNCTION("""COMPUTED_VALUE"""),19.31)</f>
        <v>19.31</v>
      </c>
      <c r="J1312" s="25">
        <f>IFERROR(__xludf.DUMMYFUNCTION("""COMPUTED_VALUE"""),45166.63611111111)</f>
        <v>45166.63611</v>
      </c>
      <c r="K1312" s="22">
        <f>IFERROR(__xludf.DUMMYFUNCTION("""COMPUTED_VALUE"""),21.19)</f>
        <v>21.19</v>
      </c>
    </row>
    <row r="1313" ht="15.75" customHeight="1">
      <c r="A1313" s="25">
        <f>IFERROR(__xludf.DUMMYFUNCTION("""COMPUTED_VALUE"""),45167.66666666667)</f>
        <v>45167.66667</v>
      </c>
      <c r="B1313" s="22">
        <f>IFERROR(__xludf.DUMMYFUNCTION("""COMPUTED_VALUE"""),4497.63)</f>
        <v>4497.63</v>
      </c>
      <c r="C1313" s="25">
        <f>IFERROR(__xludf.DUMMYFUNCTION("""COMPUTED_VALUE"""),45167.63611111111)</f>
        <v>45167.63611</v>
      </c>
      <c r="D1313" s="22">
        <f>IFERROR(__xludf.DUMMYFUNCTION("""COMPUTED_VALUE"""),14.45)</f>
        <v>14.45</v>
      </c>
      <c r="F1313" s="25">
        <f>IFERROR(__xludf.DUMMYFUNCTION("""COMPUTED_VALUE"""),45167.63611111111)</f>
        <v>45167.63611</v>
      </c>
      <c r="G1313" s="22">
        <f>IFERROR(__xludf.DUMMYFUNCTION("""COMPUTED_VALUE"""),16.56)</f>
        <v>16.56</v>
      </c>
      <c r="H1313" s="25">
        <f>IFERROR(__xludf.DUMMYFUNCTION("""COMPUTED_VALUE"""),45167.63611111111)</f>
        <v>45167.63611</v>
      </c>
      <c r="I1313" s="22">
        <f>IFERROR(__xludf.DUMMYFUNCTION("""COMPUTED_VALUE"""),18.71)</f>
        <v>18.71</v>
      </c>
      <c r="J1313" s="25">
        <f>IFERROR(__xludf.DUMMYFUNCTION("""COMPUTED_VALUE"""),45167.63611111111)</f>
        <v>45167.63611</v>
      </c>
      <c r="K1313" s="22">
        <f>IFERROR(__xludf.DUMMYFUNCTION("""COMPUTED_VALUE"""),20.72)</f>
        <v>20.72</v>
      </c>
    </row>
    <row r="1314" ht="15.75" customHeight="1">
      <c r="A1314" s="25">
        <f>IFERROR(__xludf.DUMMYFUNCTION("""COMPUTED_VALUE"""),45168.66666666667)</f>
        <v>45168.66667</v>
      </c>
      <c r="B1314" s="22">
        <f>IFERROR(__xludf.DUMMYFUNCTION("""COMPUTED_VALUE"""),4514.87)</f>
        <v>4514.87</v>
      </c>
      <c r="C1314" s="25">
        <f>IFERROR(__xludf.DUMMYFUNCTION("""COMPUTED_VALUE"""),45168.63611111111)</f>
        <v>45168.63611</v>
      </c>
      <c r="D1314" s="22">
        <f>IFERROR(__xludf.DUMMYFUNCTION("""COMPUTED_VALUE"""),13.88)</f>
        <v>13.88</v>
      </c>
      <c r="F1314" s="25">
        <f>IFERROR(__xludf.DUMMYFUNCTION("""COMPUTED_VALUE"""),45168.63611111111)</f>
        <v>45168.63611</v>
      </c>
      <c r="G1314" s="22">
        <f>IFERROR(__xludf.DUMMYFUNCTION("""COMPUTED_VALUE"""),16.18)</f>
        <v>16.18</v>
      </c>
      <c r="H1314" s="25">
        <f>IFERROR(__xludf.DUMMYFUNCTION("""COMPUTED_VALUE"""),45168.63611111111)</f>
        <v>45168.63611</v>
      </c>
      <c r="I1314" s="22">
        <f>IFERROR(__xludf.DUMMYFUNCTION("""COMPUTED_VALUE"""),18.55)</f>
        <v>18.55</v>
      </c>
      <c r="J1314" s="25">
        <f>IFERROR(__xludf.DUMMYFUNCTION("""COMPUTED_VALUE"""),45168.63611111111)</f>
        <v>45168.63611</v>
      </c>
      <c r="K1314" s="22">
        <f>IFERROR(__xludf.DUMMYFUNCTION("""COMPUTED_VALUE"""),20.21)</f>
        <v>20.21</v>
      </c>
    </row>
    <row r="1315" ht="15.75" customHeight="1">
      <c r="A1315" s="25">
        <f>IFERROR(__xludf.DUMMYFUNCTION("""COMPUTED_VALUE"""),45169.66666666667)</f>
        <v>45169.66667</v>
      </c>
      <c r="B1315" s="22">
        <f>IFERROR(__xludf.DUMMYFUNCTION("""COMPUTED_VALUE"""),4507.66)</f>
        <v>4507.66</v>
      </c>
      <c r="C1315" s="25">
        <f>IFERROR(__xludf.DUMMYFUNCTION("""COMPUTED_VALUE"""),45169.63611111111)</f>
        <v>45169.63611</v>
      </c>
      <c r="D1315" s="22">
        <f>IFERROR(__xludf.DUMMYFUNCTION("""COMPUTED_VALUE"""),13.57)</f>
        <v>13.57</v>
      </c>
      <c r="F1315" s="25">
        <f>IFERROR(__xludf.DUMMYFUNCTION("""COMPUTED_VALUE"""),45169.63611111111)</f>
        <v>45169.63611</v>
      </c>
      <c r="G1315" s="22">
        <f>IFERROR(__xludf.DUMMYFUNCTION("""COMPUTED_VALUE"""),15.92)</f>
        <v>15.92</v>
      </c>
      <c r="H1315" s="25">
        <f>IFERROR(__xludf.DUMMYFUNCTION("""COMPUTED_VALUE"""),45169.63611111111)</f>
        <v>45169.63611</v>
      </c>
      <c r="I1315" s="22">
        <f>IFERROR(__xludf.DUMMYFUNCTION("""COMPUTED_VALUE"""),18.29)</f>
        <v>18.29</v>
      </c>
      <c r="J1315" s="25">
        <f>IFERROR(__xludf.DUMMYFUNCTION("""COMPUTED_VALUE"""),45169.63611111111)</f>
        <v>45169.63611</v>
      </c>
      <c r="K1315" s="22">
        <f>IFERROR(__xludf.DUMMYFUNCTION("""COMPUTED_VALUE"""),20.08)</f>
        <v>20.08</v>
      </c>
    </row>
    <row r="1316" ht="15.75" customHeight="1">
      <c r="A1316" s="25">
        <f>IFERROR(__xludf.DUMMYFUNCTION("""COMPUTED_VALUE"""),45170.66666666667)</f>
        <v>45170.66667</v>
      </c>
      <c r="B1316" s="22">
        <f>IFERROR(__xludf.DUMMYFUNCTION("""COMPUTED_VALUE"""),4515.77)</f>
        <v>4515.77</v>
      </c>
      <c r="C1316" s="25">
        <f>IFERROR(__xludf.DUMMYFUNCTION("""COMPUTED_VALUE"""),45170.63611111111)</f>
        <v>45170.63611</v>
      </c>
      <c r="D1316" s="22">
        <f>IFERROR(__xludf.DUMMYFUNCTION("""COMPUTED_VALUE"""),13.09)</f>
        <v>13.09</v>
      </c>
      <c r="F1316" s="25">
        <f>IFERROR(__xludf.DUMMYFUNCTION("""COMPUTED_VALUE"""),45170.63611111111)</f>
        <v>45170.63611</v>
      </c>
      <c r="G1316" s="22">
        <f>IFERROR(__xludf.DUMMYFUNCTION("""COMPUTED_VALUE"""),15.74)</f>
        <v>15.74</v>
      </c>
      <c r="H1316" s="25">
        <f>IFERROR(__xludf.DUMMYFUNCTION("""COMPUTED_VALUE"""),45170.63611111111)</f>
        <v>45170.63611</v>
      </c>
      <c r="I1316" s="22">
        <f>IFERROR(__xludf.DUMMYFUNCTION("""COMPUTED_VALUE"""),18.15)</f>
        <v>18.15</v>
      </c>
      <c r="J1316" s="25">
        <f>IFERROR(__xludf.DUMMYFUNCTION("""COMPUTED_VALUE"""),45170.63611111111)</f>
        <v>45170.63611</v>
      </c>
      <c r="K1316" s="22">
        <f>IFERROR(__xludf.DUMMYFUNCTION("""COMPUTED_VALUE"""),20.25)</f>
        <v>20.25</v>
      </c>
    </row>
    <row r="1317" ht="15.75" customHeight="1">
      <c r="A1317" s="25">
        <f>IFERROR(__xludf.DUMMYFUNCTION("""COMPUTED_VALUE"""),45174.66666666667)</f>
        <v>45174.66667</v>
      </c>
      <c r="B1317" s="22">
        <f>IFERROR(__xludf.DUMMYFUNCTION("""COMPUTED_VALUE"""),4496.83)</f>
        <v>4496.83</v>
      </c>
      <c r="C1317" s="25">
        <f>IFERROR(__xludf.DUMMYFUNCTION("""COMPUTED_VALUE"""),45174.63611111111)</f>
        <v>45174.63611</v>
      </c>
      <c r="D1317" s="22">
        <f>IFERROR(__xludf.DUMMYFUNCTION("""COMPUTED_VALUE"""),14.01)</f>
        <v>14.01</v>
      </c>
      <c r="F1317" s="25">
        <f>IFERROR(__xludf.DUMMYFUNCTION("""COMPUTED_VALUE"""),45174.63611111111)</f>
        <v>45174.63611</v>
      </c>
      <c r="G1317" s="22">
        <f>IFERROR(__xludf.DUMMYFUNCTION("""COMPUTED_VALUE"""),16.24)</f>
        <v>16.24</v>
      </c>
      <c r="H1317" s="25">
        <f>IFERROR(__xludf.DUMMYFUNCTION("""COMPUTED_VALUE"""),45174.63611111111)</f>
        <v>45174.63611</v>
      </c>
      <c r="I1317" s="22">
        <f>IFERROR(__xludf.DUMMYFUNCTION("""COMPUTED_VALUE"""),18.32)</f>
        <v>18.32</v>
      </c>
      <c r="J1317" s="25">
        <f>IFERROR(__xludf.DUMMYFUNCTION("""COMPUTED_VALUE"""),45174.63611111111)</f>
        <v>45174.63611</v>
      </c>
      <c r="K1317" s="22">
        <f>IFERROR(__xludf.DUMMYFUNCTION("""COMPUTED_VALUE"""),20.48)</f>
        <v>20.48</v>
      </c>
    </row>
    <row r="1318" ht="15.75" customHeight="1">
      <c r="A1318" s="25">
        <f>IFERROR(__xludf.DUMMYFUNCTION("""COMPUTED_VALUE"""),45175.66666666667)</f>
        <v>45175.66667</v>
      </c>
      <c r="B1318" s="22">
        <f>IFERROR(__xludf.DUMMYFUNCTION("""COMPUTED_VALUE"""),4465.48)</f>
        <v>4465.48</v>
      </c>
      <c r="C1318" s="25">
        <f>IFERROR(__xludf.DUMMYFUNCTION("""COMPUTED_VALUE"""),45175.63611111111)</f>
        <v>45175.63611</v>
      </c>
      <c r="D1318" s="22">
        <f>IFERROR(__xludf.DUMMYFUNCTION("""COMPUTED_VALUE"""),14.45)</f>
        <v>14.45</v>
      </c>
      <c r="F1318" s="25">
        <f>IFERROR(__xludf.DUMMYFUNCTION("""COMPUTED_VALUE"""),45175.63611111111)</f>
        <v>45175.63611</v>
      </c>
      <c r="G1318" s="22">
        <f>IFERROR(__xludf.DUMMYFUNCTION("""COMPUTED_VALUE"""),16.61)</f>
        <v>16.61</v>
      </c>
      <c r="H1318" s="25">
        <f>IFERROR(__xludf.DUMMYFUNCTION("""COMPUTED_VALUE"""),45175.63611111111)</f>
        <v>45175.63611</v>
      </c>
      <c r="I1318" s="22">
        <f>IFERROR(__xludf.DUMMYFUNCTION("""COMPUTED_VALUE"""),18.62)</f>
        <v>18.62</v>
      </c>
      <c r="J1318" s="25">
        <f>IFERROR(__xludf.DUMMYFUNCTION("""COMPUTED_VALUE"""),45175.63611111111)</f>
        <v>45175.63611</v>
      </c>
      <c r="K1318" s="22">
        <f>IFERROR(__xludf.DUMMYFUNCTION("""COMPUTED_VALUE"""),20.8)</f>
        <v>20.8</v>
      </c>
    </row>
    <row r="1319" ht="15.75" customHeight="1">
      <c r="A1319" s="25">
        <f>IFERROR(__xludf.DUMMYFUNCTION("""COMPUTED_VALUE"""),45176.66666666667)</f>
        <v>45176.66667</v>
      </c>
      <c r="B1319" s="22">
        <f>IFERROR(__xludf.DUMMYFUNCTION("""COMPUTED_VALUE"""),4451.14)</f>
        <v>4451.14</v>
      </c>
      <c r="C1319" s="25">
        <f>IFERROR(__xludf.DUMMYFUNCTION("""COMPUTED_VALUE"""),45176.63611111111)</f>
        <v>45176.63611</v>
      </c>
      <c r="D1319" s="22">
        <f>IFERROR(__xludf.DUMMYFUNCTION("""COMPUTED_VALUE"""),14.4)</f>
        <v>14.4</v>
      </c>
      <c r="F1319" s="25">
        <f>IFERROR(__xludf.DUMMYFUNCTION("""COMPUTED_VALUE"""),45176.63611111111)</f>
        <v>45176.63611</v>
      </c>
      <c r="G1319" s="22">
        <f>IFERROR(__xludf.DUMMYFUNCTION("""COMPUTED_VALUE"""),16.58)</f>
        <v>16.58</v>
      </c>
      <c r="H1319" s="25">
        <f>IFERROR(__xludf.DUMMYFUNCTION("""COMPUTED_VALUE"""),45176.63611111111)</f>
        <v>45176.63611</v>
      </c>
      <c r="I1319" s="22">
        <f>IFERROR(__xludf.DUMMYFUNCTION("""COMPUTED_VALUE"""),18.61)</f>
        <v>18.61</v>
      </c>
      <c r="J1319" s="25">
        <f>IFERROR(__xludf.DUMMYFUNCTION("""COMPUTED_VALUE"""),45176.63611111111)</f>
        <v>45176.63611</v>
      </c>
      <c r="K1319" s="22">
        <f>IFERROR(__xludf.DUMMYFUNCTION("""COMPUTED_VALUE"""),20.58)</f>
        <v>20.58</v>
      </c>
    </row>
    <row r="1320" ht="15.75" customHeight="1">
      <c r="A1320" s="25">
        <f>IFERROR(__xludf.DUMMYFUNCTION("""COMPUTED_VALUE"""),45177.66666666667)</f>
        <v>45177.66667</v>
      </c>
      <c r="B1320" s="22">
        <f>IFERROR(__xludf.DUMMYFUNCTION("""COMPUTED_VALUE"""),4457.49)</f>
        <v>4457.49</v>
      </c>
      <c r="C1320" s="25">
        <f>IFERROR(__xludf.DUMMYFUNCTION("""COMPUTED_VALUE"""),45177.63611111111)</f>
        <v>45177.63611</v>
      </c>
      <c r="D1320" s="22">
        <f>IFERROR(__xludf.DUMMYFUNCTION("""COMPUTED_VALUE"""),13.84)</f>
        <v>13.84</v>
      </c>
      <c r="F1320" s="25">
        <f>IFERROR(__xludf.DUMMYFUNCTION("""COMPUTED_VALUE"""),45177.63611111111)</f>
        <v>45177.63611</v>
      </c>
      <c r="G1320" s="22">
        <f>IFERROR(__xludf.DUMMYFUNCTION("""COMPUTED_VALUE"""),16.14)</f>
        <v>16.14</v>
      </c>
      <c r="H1320" s="25">
        <f>IFERROR(__xludf.DUMMYFUNCTION("""COMPUTED_VALUE"""),45177.63611111111)</f>
        <v>45177.63611</v>
      </c>
      <c r="I1320" s="22">
        <f>IFERROR(__xludf.DUMMYFUNCTION("""COMPUTED_VALUE"""),18.27)</f>
        <v>18.27</v>
      </c>
      <c r="J1320" s="25">
        <f>IFERROR(__xludf.DUMMYFUNCTION("""COMPUTED_VALUE"""),45177.63611111111)</f>
        <v>45177.63611</v>
      </c>
      <c r="K1320" s="22">
        <f>IFERROR(__xludf.DUMMYFUNCTION("""COMPUTED_VALUE"""),20.32)</f>
        <v>20.32</v>
      </c>
    </row>
    <row r="1321" ht="15.75" customHeight="1">
      <c r="A1321" s="25">
        <f>IFERROR(__xludf.DUMMYFUNCTION("""COMPUTED_VALUE"""),45180.66666666667)</f>
        <v>45180.66667</v>
      </c>
      <c r="B1321" s="22">
        <f>IFERROR(__xludf.DUMMYFUNCTION("""COMPUTED_VALUE"""),4487.46)</f>
        <v>4487.46</v>
      </c>
      <c r="C1321" s="25">
        <f>IFERROR(__xludf.DUMMYFUNCTION("""COMPUTED_VALUE"""),45180.63611111111)</f>
        <v>45180.63611</v>
      </c>
      <c r="D1321" s="22">
        <f>IFERROR(__xludf.DUMMYFUNCTION("""COMPUTED_VALUE"""),13.8)</f>
        <v>13.8</v>
      </c>
      <c r="F1321" s="25">
        <f>IFERROR(__xludf.DUMMYFUNCTION("""COMPUTED_VALUE"""),45180.63611111111)</f>
        <v>45180.63611</v>
      </c>
      <c r="G1321" s="22">
        <f>IFERROR(__xludf.DUMMYFUNCTION("""COMPUTED_VALUE"""),16.02)</f>
        <v>16.02</v>
      </c>
      <c r="H1321" s="25">
        <f>IFERROR(__xludf.DUMMYFUNCTION("""COMPUTED_VALUE"""),45180.63611111111)</f>
        <v>45180.63611</v>
      </c>
      <c r="I1321" s="22">
        <f>IFERROR(__xludf.DUMMYFUNCTION("""COMPUTED_VALUE"""),18.05)</f>
        <v>18.05</v>
      </c>
      <c r="J1321" s="25">
        <f>IFERROR(__xludf.DUMMYFUNCTION("""COMPUTED_VALUE"""),45180.63611111111)</f>
        <v>45180.63611</v>
      </c>
      <c r="K1321" s="22">
        <f>IFERROR(__xludf.DUMMYFUNCTION("""COMPUTED_VALUE"""),20.15)</f>
        <v>20.15</v>
      </c>
    </row>
    <row r="1322" ht="15.75" customHeight="1">
      <c r="A1322" s="25">
        <f>IFERROR(__xludf.DUMMYFUNCTION("""COMPUTED_VALUE"""),45181.66666666667)</f>
        <v>45181.66667</v>
      </c>
      <c r="B1322" s="22">
        <f>IFERROR(__xludf.DUMMYFUNCTION("""COMPUTED_VALUE"""),4461.9)</f>
        <v>4461.9</v>
      </c>
      <c r="C1322" s="25">
        <f>IFERROR(__xludf.DUMMYFUNCTION("""COMPUTED_VALUE"""),45181.63611111111)</f>
        <v>45181.63611</v>
      </c>
      <c r="D1322" s="22">
        <f>IFERROR(__xludf.DUMMYFUNCTION("""COMPUTED_VALUE"""),14.23)</f>
        <v>14.23</v>
      </c>
      <c r="F1322" s="25">
        <f>IFERROR(__xludf.DUMMYFUNCTION("""COMPUTED_VALUE"""),45181.63611111111)</f>
        <v>45181.63611</v>
      </c>
      <c r="G1322" s="22">
        <f>IFERROR(__xludf.DUMMYFUNCTION("""COMPUTED_VALUE"""),16.25)</f>
        <v>16.25</v>
      </c>
      <c r="H1322" s="25">
        <f>IFERROR(__xludf.DUMMYFUNCTION("""COMPUTED_VALUE"""),45181.63611111111)</f>
        <v>45181.63611</v>
      </c>
      <c r="I1322" s="22">
        <f>IFERROR(__xludf.DUMMYFUNCTION("""COMPUTED_VALUE"""),18.21)</f>
        <v>18.21</v>
      </c>
      <c r="J1322" s="25">
        <f>IFERROR(__xludf.DUMMYFUNCTION("""COMPUTED_VALUE"""),45181.63611111111)</f>
        <v>45181.63611</v>
      </c>
      <c r="K1322" s="22">
        <f>IFERROR(__xludf.DUMMYFUNCTION("""COMPUTED_VALUE"""),20.26)</f>
        <v>20.26</v>
      </c>
    </row>
    <row r="1323" ht="15.75" customHeight="1">
      <c r="A1323" s="25">
        <f>IFERROR(__xludf.DUMMYFUNCTION("""COMPUTED_VALUE"""),45182.66666666667)</f>
        <v>45182.66667</v>
      </c>
      <c r="B1323" s="22">
        <f>IFERROR(__xludf.DUMMYFUNCTION("""COMPUTED_VALUE"""),4467.44)</f>
        <v>4467.44</v>
      </c>
      <c r="C1323" s="25">
        <f>IFERROR(__xludf.DUMMYFUNCTION("""COMPUTED_VALUE"""),45182.63611111111)</f>
        <v>45182.63611</v>
      </c>
      <c r="D1323" s="22">
        <f>IFERROR(__xludf.DUMMYFUNCTION("""COMPUTED_VALUE"""),13.48)</f>
        <v>13.48</v>
      </c>
      <c r="F1323" s="25">
        <f>IFERROR(__xludf.DUMMYFUNCTION("""COMPUTED_VALUE"""),45182.63611111111)</f>
        <v>45182.63611</v>
      </c>
      <c r="G1323" s="22">
        <f>IFERROR(__xludf.DUMMYFUNCTION("""COMPUTED_VALUE"""),15.92)</f>
        <v>15.92</v>
      </c>
      <c r="H1323" s="25">
        <f>IFERROR(__xludf.DUMMYFUNCTION("""COMPUTED_VALUE"""),45182.63611111111)</f>
        <v>45182.63611</v>
      </c>
      <c r="I1323" s="22">
        <f>IFERROR(__xludf.DUMMYFUNCTION("""COMPUTED_VALUE"""),18.01)</f>
        <v>18.01</v>
      </c>
      <c r="J1323" s="25">
        <f>IFERROR(__xludf.DUMMYFUNCTION("""COMPUTED_VALUE"""),45182.63611111111)</f>
        <v>45182.63611</v>
      </c>
      <c r="K1323" s="22">
        <f>IFERROR(__xludf.DUMMYFUNCTION("""COMPUTED_VALUE"""),20.21)</f>
        <v>20.21</v>
      </c>
    </row>
    <row r="1324" ht="15.75" customHeight="1">
      <c r="A1324" s="25">
        <f>IFERROR(__xludf.DUMMYFUNCTION("""COMPUTED_VALUE"""),45183.66666666667)</f>
        <v>45183.66667</v>
      </c>
      <c r="B1324" s="22">
        <f>IFERROR(__xludf.DUMMYFUNCTION("""COMPUTED_VALUE"""),4505.1)</f>
        <v>4505.1</v>
      </c>
      <c r="C1324" s="25">
        <f>IFERROR(__xludf.DUMMYFUNCTION("""COMPUTED_VALUE"""),45183.63611111111)</f>
        <v>45183.63611</v>
      </c>
      <c r="D1324" s="22">
        <f>IFERROR(__xludf.DUMMYFUNCTION("""COMPUTED_VALUE"""),12.82)</f>
        <v>12.82</v>
      </c>
      <c r="F1324" s="25">
        <f>IFERROR(__xludf.DUMMYFUNCTION("""COMPUTED_VALUE"""),45183.63611111111)</f>
        <v>45183.63611</v>
      </c>
      <c r="G1324" s="22">
        <f>IFERROR(__xludf.DUMMYFUNCTION("""COMPUTED_VALUE"""),15.34)</f>
        <v>15.34</v>
      </c>
      <c r="H1324" s="25">
        <f>IFERROR(__xludf.DUMMYFUNCTION("""COMPUTED_VALUE"""),45183.63611111111)</f>
        <v>45183.63611</v>
      </c>
      <c r="I1324" s="22">
        <f>IFERROR(__xludf.DUMMYFUNCTION("""COMPUTED_VALUE"""),17.68)</f>
        <v>17.68</v>
      </c>
      <c r="J1324" s="25">
        <f>IFERROR(__xludf.DUMMYFUNCTION("""COMPUTED_VALUE"""),45183.63611111111)</f>
        <v>45183.63611</v>
      </c>
      <c r="K1324" s="22">
        <f>IFERROR(__xludf.DUMMYFUNCTION("""COMPUTED_VALUE"""),19.78)</f>
        <v>19.78</v>
      </c>
    </row>
    <row r="1325" ht="15.75" customHeight="1">
      <c r="A1325" s="25">
        <f>IFERROR(__xludf.DUMMYFUNCTION("""COMPUTED_VALUE"""),45184.66666666667)</f>
        <v>45184.66667</v>
      </c>
      <c r="B1325" s="22">
        <f>IFERROR(__xludf.DUMMYFUNCTION("""COMPUTED_VALUE"""),4450.32)</f>
        <v>4450.32</v>
      </c>
      <c r="C1325" s="25">
        <f>IFERROR(__xludf.DUMMYFUNCTION("""COMPUTED_VALUE"""),45184.63611111111)</f>
        <v>45184.63611</v>
      </c>
      <c r="D1325" s="22">
        <f>IFERROR(__xludf.DUMMYFUNCTION("""COMPUTED_VALUE"""),13.79)</f>
        <v>13.79</v>
      </c>
      <c r="F1325" s="25">
        <f>IFERROR(__xludf.DUMMYFUNCTION("""COMPUTED_VALUE"""),45184.63611111111)</f>
        <v>45184.63611</v>
      </c>
      <c r="G1325" s="22">
        <f>IFERROR(__xludf.DUMMYFUNCTION("""COMPUTED_VALUE"""),16.02)</f>
        <v>16.02</v>
      </c>
      <c r="H1325" s="25">
        <f>IFERROR(__xludf.DUMMYFUNCTION("""COMPUTED_VALUE"""),45184.63611111111)</f>
        <v>45184.63611</v>
      </c>
      <c r="I1325" s="22">
        <f>IFERROR(__xludf.DUMMYFUNCTION("""COMPUTED_VALUE"""),18.15)</f>
        <v>18.15</v>
      </c>
      <c r="J1325" s="25">
        <f>IFERROR(__xludf.DUMMYFUNCTION("""COMPUTED_VALUE"""),45184.63611111111)</f>
        <v>45184.63611</v>
      </c>
      <c r="K1325" s="22">
        <f>IFERROR(__xludf.DUMMYFUNCTION("""COMPUTED_VALUE"""),20.44)</f>
        <v>20.44</v>
      </c>
    </row>
    <row r="1326" ht="15.75" customHeight="1">
      <c r="A1326" s="25">
        <f>IFERROR(__xludf.DUMMYFUNCTION("""COMPUTED_VALUE"""),45187.66666666667)</f>
        <v>45187.66667</v>
      </c>
      <c r="B1326" s="22">
        <f>IFERROR(__xludf.DUMMYFUNCTION("""COMPUTED_VALUE"""),4453.53)</f>
        <v>4453.53</v>
      </c>
      <c r="C1326" s="25">
        <f>IFERROR(__xludf.DUMMYFUNCTION("""COMPUTED_VALUE"""),45187.63611111111)</f>
        <v>45187.63611</v>
      </c>
      <c r="D1326" s="22">
        <f>IFERROR(__xludf.DUMMYFUNCTION("""COMPUTED_VALUE"""),14.0)</f>
        <v>14</v>
      </c>
      <c r="F1326" s="25">
        <f>IFERROR(__xludf.DUMMYFUNCTION("""COMPUTED_VALUE"""),45187.63611111111)</f>
        <v>45187.63611</v>
      </c>
      <c r="G1326" s="22">
        <f>IFERROR(__xludf.DUMMYFUNCTION("""COMPUTED_VALUE"""),16.13)</f>
        <v>16.13</v>
      </c>
      <c r="H1326" s="25">
        <f>IFERROR(__xludf.DUMMYFUNCTION("""COMPUTED_VALUE"""),45187.63611111111)</f>
        <v>45187.63611</v>
      </c>
      <c r="I1326" s="22">
        <f>IFERROR(__xludf.DUMMYFUNCTION("""COMPUTED_VALUE"""),18.19)</f>
        <v>18.19</v>
      </c>
      <c r="J1326" s="25">
        <f>IFERROR(__xludf.DUMMYFUNCTION("""COMPUTED_VALUE"""),45187.63611111111)</f>
        <v>45187.63611</v>
      </c>
      <c r="K1326" s="22">
        <f>IFERROR(__xludf.DUMMYFUNCTION("""COMPUTED_VALUE"""),20.19)</f>
        <v>20.19</v>
      </c>
    </row>
    <row r="1327" ht="15.75" customHeight="1">
      <c r="A1327" s="25">
        <f>IFERROR(__xludf.DUMMYFUNCTION("""COMPUTED_VALUE"""),45188.66666666667)</f>
        <v>45188.66667</v>
      </c>
      <c r="B1327" s="22">
        <f>IFERROR(__xludf.DUMMYFUNCTION("""COMPUTED_VALUE"""),4443.95)</f>
        <v>4443.95</v>
      </c>
      <c r="C1327" s="25">
        <f>IFERROR(__xludf.DUMMYFUNCTION("""COMPUTED_VALUE"""),45188.63611111111)</f>
        <v>45188.63611</v>
      </c>
      <c r="D1327" s="22">
        <f>IFERROR(__xludf.DUMMYFUNCTION("""COMPUTED_VALUE"""),14.11)</f>
        <v>14.11</v>
      </c>
      <c r="F1327" s="25">
        <f>IFERROR(__xludf.DUMMYFUNCTION("""COMPUTED_VALUE"""),45188.63611111111)</f>
        <v>45188.63611</v>
      </c>
      <c r="G1327" s="22">
        <f>IFERROR(__xludf.DUMMYFUNCTION("""COMPUTED_VALUE"""),16.13)</f>
        <v>16.13</v>
      </c>
      <c r="H1327" s="25">
        <f>IFERROR(__xludf.DUMMYFUNCTION("""COMPUTED_VALUE"""),45188.63611111111)</f>
        <v>45188.63611</v>
      </c>
      <c r="I1327" s="22">
        <f>IFERROR(__xludf.DUMMYFUNCTION("""COMPUTED_VALUE"""),18.17)</f>
        <v>18.17</v>
      </c>
      <c r="J1327" s="25">
        <f>IFERROR(__xludf.DUMMYFUNCTION("""COMPUTED_VALUE"""),45188.63611111111)</f>
        <v>45188.63611</v>
      </c>
      <c r="K1327" s="22">
        <f>IFERROR(__xludf.DUMMYFUNCTION("""COMPUTED_VALUE"""),20.19)</f>
        <v>20.19</v>
      </c>
    </row>
    <row r="1328" ht="15.75" customHeight="1">
      <c r="A1328" s="25">
        <f>IFERROR(__xludf.DUMMYFUNCTION("""COMPUTED_VALUE"""),45189.66666666667)</f>
        <v>45189.66667</v>
      </c>
      <c r="B1328" s="22">
        <f>IFERROR(__xludf.DUMMYFUNCTION("""COMPUTED_VALUE"""),4402.2)</f>
        <v>4402.2</v>
      </c>
      <c r="C1328" s="25">
        <f>IFERROR(__xludf.DUMMYFUNCTION("""COMPUTED_VALUE"""),45189.63611111111)</f>
        <v>45189.63611</v>
      </c>
      <c r="D1328" s="22">
        <f>IFERROR(__xludf.DUMMYFUNCTION("""COMPUTED_VALUE"""),15.14)</f>
        <v>15.14</v>
      </c>
      <c r="F1328" s="25">
        <f>IFERROR(__xludf.DUMMYFUNCTION("""COMPUTED_VALUE"""),45189.63611111111)</f>
        <v>45189.63611</v>
      </c>
      <c r="G1328" s="22">
        <f>IFERROR(__xludf.DUMMYFUNCTION("""COMPUTED_VALUE"""),16.81)</f>
        <v>16.81</v>
      </c>
      <c r="H1328" s="25">
        <f>IFERROR(__xludf.DUMMYFUNCTION("""COMPUTED_VALUE"""),45189.63611111111)</f>
        <v>45189.63611</v>
      </c>
      <c r="I1328" s="22">
        <f>IFERROR(__xludf.DUMMYFUNCTION("""COMPUTED_VALUE"""),18.61)</f>
        <v>18.61</v>
      </c>
      <c r="J1328" s="25">
        <f>IFERROR(__xludf.DUMMYFUNCTION("""COMPUTED_VALUE"""),45189.63611111111)</f>
        <v>45189.63611</v>
      </c>
      <c r="K1328" s="22">
        <f>IFERROR(__xludf.DUMMYFUNCTION("""COMPUTED_VALUE"""),20.45)</f>
        <v>20.45</v>
      </c>
    </row>
    <row r="1329" ht="15.75" customHeight="1">
      <c r="A1329" s="25">
        <f>IFERROR(__xludf.DUMMYFUNCTION("""COMPUTED_VALUE"""),45190.66666666667)</f>
        <v>45190.66667</v>
      </c>
      <c r="B1329" s="22">
        <f>IFERROR(__xludf.DUMMYFUNCTION("""COMPUTED_VALUE"""),4330.0)</f>
        <v>4330</v>
      </c>
      <c r="C1329" s="25">
        <f>IFERROR(__xludf.DUMMYFUNCTION("""COMPUTED_VALUE"""),45190.63611111111)</f>
        <v>45190.63611</v>
      </c>
      <c r="D1329" s="22">
        <f>IFERROR(__xludf.DUMMYFUNCTION("""COMPUTED_VALUE"""),17.54)</f>
        <v>17.54</v>
      </c>
      <c r="F1329" s="25">
        <f>IFERROR(__xludf.DUMMYFUNCTION("""COMPUTED_VALUE"""),45190.63611111111)</f>
        <v>45190.63611</v>
      </c>
      <c r="G1329" s="22">
        <f>IFERROR(__xludf.DUMMYFUNCTION("""COMPUTED_VALUE"""),18.24)</f>
        <v>18.24</v>
      </c>
      <c r="H1329" s="25">
        <f>IFERROR(__xludf.DUMMYFUNCTION("""COMPUTED_VALUE"""),45190.63611111111)</f>
        <v>45190.63611</v>
      </c>
      <c r="I1329" s="22">
        <f>IFERROR(__xludf.DUMMYFUNCTION("""COMPUTED_VALUE"""),19.58)</f>
        <v>19.58</v>
      </c>
      <c r="J1329" s="25">
        <f>IFERROR(__xludf.DUMMYFUNCTION("""COMPUTED_VALUE"""),45190.63611111111)</f>
        <v>45190.63611</v>
      </c>
      <c r="K1329" s="22">
        <f>IFERROR(__xludf.DUMMYFUNCTION("""COMPUTED_VALUE"""),21.08)</f>
        <v>21.08</v>
      </c>
    </row>
    <row r="1330" ht="15.75" customHeight="1">
      <c r="A1330" s="25">
        <f>IFERROR(__xludf.DUMMYFUNCTION("""COMPUTED_VALUE"""),45191.66666666667)</f>
        <v>45191.66667</v>
      </c>
      <c r="B1330" s="22">
        <f>IFERROR(__xludf.DUMMYFUNCTION("""COMPUTED_VALUE"""),4320.06)</f>
        <v>4320.06</v>
      </c>
      <c r="C1330" s="25">
        <f>IFERROR(__xludf.DUMMYFUNCTION("""COMPUTED_VALUE"""),45191.63611111111)</f>
        <v>45191.63611</v>
      </c>
      <c r="D1330" s="22">
        <f>IFERROR(__xludf.DUMMYFUNCTION("""COMPUTED_VALUE"""),17.2)</f>
        <v>17.2</v>
      </c>
      <c r="F1330" s="25">
        <f>IFERROR(__xludf.DUMMYFUNCTION("""COMPUTED_VALUE"""),45191.63611111111)</f>
        <v>45191.63611</v>
      </c>
      <c r="G1330" s="22">
        <f>IFERROR(__xludf.DUMMYFUNCTION("""COMPUTED_VALUE"""),18.09)</f>
        <v>18.09</v>
      </c>
      <c r="H1330" s="25">
        <f>IFERROR(__xludf.DUMMYFUNCTION("""COMPUTED_VALUE"""),45191.63611111111)</f>
        <v>45191.63611</v>
      </c>
      <c r="I1330" s="22">
        <f>IFERROR(__xludf.DUMMYFUNCTION("""COMPUTED_VALUE"""),19.6)</f>
        <v>19.6</v>
      </c>
      <c r="J1330" s="25">
        <f>IFERROR(__xludf.DUMMYFUNCTION("""COMPUTED_VALUE"""),45191.63611111111)</f>
        <v>45191.63611</v>
      </c>
      <c r="K1330" s="22">
        <f>IFERROR(__xludf.DUMMYFUNCTION("""COMPUTED_VALUE"""),21.24)</f>
        <v>21.24</v>
      </c>
    </row>
    <row r="1331" ht="15.75" customHeight="1">
      <c r="A1331" s="25">
        <f>IFERROR(__xludf.DUMMYFUNCTION("""COMPUTED_VALUE"""),45194.66666666667)</f>
        <v>45194.66667</v>
      </c>
      <c r="B1331" s="22">
        <f>IFERROR(__xludf.DUMMYFUNCTION("""COMPUTED_VALUE"""),4337.44)</f>
        <v>4337.44</v>
      </c>
      <c r="C1331" s="25">
        <f>IFERROR(__xludf.DUMMYFUNCTION("""COMPUTED_VALUE"""),45194.63611111111)</f>
        <v>45194.63611</v>
      </c>
      <c r="D1331" s="22">
        <f>IFERROR(__xludf.DUMMYFUNCTION("""COMPUTED_VALUE"""),16.9)</f>
        <v>16.9</v>
      </c>
      <c r="F1331" s="25">
        <f>IFERROR(__xludf.DUMMYFUNCTION("""COMPUTED_VALUE"""),45194.63611111111)</f>
        <v>45194.63611</v>
      </c>
      <c r="G1331" s="22">
        <f>IFERROR(__xludf.DUMMYFUNCTION("""COMPUTED_VALUE"""),18.02)</f>
        <v>18.02</v>
      </c>
      <c r="H1331" s="25">
        <f>IFERROR(__xludf.DUMMYFUNCTION("""COMPUTED_VALUE"""),45194.63611111111)</f>
        <v>45194.63611</v>
      </c>
      <c r="I1331" s="22">
        <f>IFERROR(__xludf.DUMMYFUNCTION("""COMPUTED_VALUE"""),19.63)</f>
        <v>19.63</v>
      </c>
      <c r="J1331" s="25">
        <f>IFERROR(__xludf.DUMMYFUNCTION("""COMPUTED_VALUE"""),45194.63611111111)</f>
        <v>45194.63611</v>
      </c>
      <c r="K1331" s="22">
        <f>IFERROR(__xludf.DUMMYFUNCTION("""COMPUTED_VALUE"""),21.36)</f>
        <v>21.36</v>
      </c>
    </row>
    <row r="1332" ht="15.75" customHeight="1">
      <c r="A1332" s="25">
        <f>IFERROR(__xludf.DUMMYFUNCTION("""COMPUTED_VALUE"""),45195.66666666667)</f>
        <v>45195.66667</v>
      </c>
      <c r="B1332" s="22">
        <f>IFERROR(__xludf.DUMMYFUNCTION("""COMPUTED_VALUE"""),4273.53)</f>
        <v>4273.53</v>
      </c>
      <c r="C1332" s="25">
        <f>IFERROR(__xludf.DUMMYFUNCTION("""COMPUTED_VALUE"""),45195.63611111111)</f>
        <v>45195.63611</v>
      </c>
      <c r="D1332" s="22">
        <f>IFERROR(__xludf.DUMMYFUNCTION("""COMPUTED_VALUE"""),18.94)</f>
        <v>18.94</v>
      </c>
      <c r="F1332" s="25">
        <f>IFERROR(__xludf.DUMMYFUNCTION("""COMPUTED_VALUE"""),45195.63611111111)</f>
        <v>45195.63611</v>
      </c>
      <c r="G1332" s="22">
        <f>IFERROR(__xludf.DUMMYFUNCTION("""COMPUTED_VALUE"""),19.72)</f>
        <v>19.72</v>
      </c>
      <c r="H1332" s="25">
        <f>IFERROR(__xludf.DUMMYFUNCTION("""COMPUTED_VALUE"""),45195.63611111111)</f>
        <v>45195.63611</v>
      </c>
      <c r="I1332" s="22">
        <f>IFERROR(__xludf.DUMMYFUNCTION("""COMPUTED_VALUE"""),21.01)</f>
        <v>21.01</v>
      </c>
      <c r="J1332" s="25">
        <f>IFERROR(__xludf.DUMMYFUNCTION("""COMPUTED_VALUE"""),45195.63611111111)</f>
        <v>45195.63611</v>
      </c>
      <c r="K1332" s="22">
        <f>IFERROR(__xludf.DUMMYFUNCTION("""COMPUTED_VALUE"""),22.37)</f>
        <v>22.37</v>
      </c>
    </row>
    <row r="1333" ht="15.75" customHeight="1">
      <c r="A1333" s="25">
        <f>IFERROR(__xludf.DUMMYFUNCTION("""COMPUTED_VALUE"""),45196.66666666667)</f>
        <v>45196.66667</v>
      </c>
      <c r="B1333" s="22">
        <f>IFERROR(__xludf.DUMMYFUNCTION("""COMPUTED_VALUE"""),4274.51)</f>
        <v>4274.51</v>
      </c>
      <c r="C1333" s="25">
        <f>IFERROR(__xludf.DUMMYFUNCTION("""COMPUTED_VALUE"""),45196.63611111111)</f>
        <v>45196.63611</v>
      </c>
      <c r="D1333" s="22">
        <f>IFERROR(__xludf.DUMMYFUNCTION("""COMPUTED_VALUE"""),18.22)</f>
        <v>18.22</v>
      </c>
      <c r="F1333" s="25">
        <f>IFERROR(__xludf.DUMMYFUNCTION("""COMPUTED_VALUE"""),45196.63611111111)</f>
        <v>45196.63611</v>
      </c>
      <c r="G1333" s="22">
        <f>IFERROR(__xludf.DUMMYFUNCTION("""COMPUTED_VALUE"""),19.11)</f>
        <v>19.11</v>
      </c>
      <c r="H1333" s="25">
        <f>IFERROR(__xludf.DUMMYFUNCTION("""COMPUTED_VALUE"""),45196.63611111111)</f>
        <v>45196.63611</v>
      </c>
      <c r="I1333" s="22">
        <f>IFERROR(__xludf.DUMMYFUNCTION("""COMPUTED_VALUE"""),20.7)</f>
        <v>20.7</v>
      </c>
      <c r="J1333" s="25">
        <f>IFERROR(__xludf.DUMMYFUNCTION("""COMPUTED_VALUE"""),45196.63611111111)</f>
        <v>45196.63611</v>
      </c>
      <c r="K1333" s="22">
        <f>IFERROR(__xludf.DUMMYFUNCTION("""COMPUTED_VALUE"""),22.13)</f>
        <v>22.13</v>
      </c>
    </row>
    <row r="1334" ht="15.75" customHeight="1">
      <c r="A1334" s="25">
        <f>IFERROR(__xludf.DUMMYFUNCTION("""COMPUTED_VALUE"""),45197.66666666667)</f>
        <v>45197.66667</v>
      </c>
      <c r="B1334" s="22">
        <f>IFERROR(__xludf.DUMMYFUNCTION("""COMPUTED_VALUE"""),4299.7)</f>
        <v>4299.7</v>
      </c>
      <c r="C1334" s="25">
        <f>IFERROR(__xludf.DUMMYFUNCTION("""COMPUTED_VALUE"""),45197.63611111111)</f>
        <v>45197.63611</v>
      </c>
      <c r="D1334" s="22">
        <f>IFERROR(__xludf.DUMMYFUNCTION("""COMPUTED_VALUE"""),17.34)</f>
        <v>17.34</v>
      </c>
      <c r="F1334" s="25">
        <f>IFERROR(__xludf.DUMMYFUNCTION("""COMPUTED_VALUE"""),45197.63611111111)</f>
        <v>45197.63611</v>
      </c>
      <c r="G1334" s="22">
        <f>IFERROR(__xludf.DUMMYFUNCTION("""COMPUTED_VALUE"""),18.38)</f>
        <v>18.38</v>
      </c>
      <c r="H1334" s="25">
        <f>IFERROR(__xludf.DUMMYFUNCTION("""COMPUTED_VALUE"""),45197.63611111111)</f>
        <v>45197.63611</v>
      </c>
      <c r="I1334" s="22">
        <f>IFERROR(__xludf.DUMMYFUNCTION("""COMPUTED_VALUE"""),20.09)</f>
        <v>20.09</v>
      </c>
      <c r="J1334" s="25">
        <f>IFERROR(__xludf.DUMMYFUNCTION("""COMPUTED_VALUE"""),45197.63611111111)</f>
        <v>45197.63611</v>
      </c>
      <c r="K1334" s="22">
        <f>IFERROR(__xludf.DUMMYFUNCTION("""COMPUTED_VALUE"""),22.0)</f>
        <v>22</v>
      </c>
    </row>
    <row r="1335" ht="15.75" customHeight="1">
      <c r="A1335" s="25">
        <f>IFERROR(__xludf.DUMMYFUNCTION("""COMPUTED_VALUE"""),45198.66666666667)</f>
        <v>45198.66667</v>
      </c>
      <c r="B1335" s="22">
        <f>IFERROR(__xludf.DUMMYFUNCTION("""COMPUTED_VALUE"""),4288.05)</f>
        <v>4288.05</v>
      </c>
      <c r="C1335" s="25">
        <f>IFERROR(__xludf.DUMMYFUNCTION("""COMPUTED_VALUE"""),45198.63611111111)</f>
        <v>45198.63611</v>
      </c>
      <c r="D1335" s="22">
        <f>IFERROR(__xludf.DUMMYFUNCTION("""COMPUTED_VALUE"""),17.52)</f>
        <v>17.52</v>
      </c>
      <c r="F1335" s="25">
        <f>IFERROR(__xludf.DUMMYFUNCTION("""COMPUTED_VALUE"""),45198.63611111111)</f>
        <v>45198.63611</v>
      </c>
      <c r="G1335" s="22">
        <f>IFERROR(__xludf.DUMMYFUNCTION("""COMPUTED_VALUE"""),18.51)</f>
        <v>18.51</v>
      </c>
      <c r="H1335" s="25">
        <f>IFERROR(__xludf.DUMMYFUNCTION("""COMPUTED_VALUE"""),45198.63611111111)</f>
        <v>45198.63611</v>
      </c>
      <c r="I1335" s="22">
        <f>IFERROR(__xludf.DUMMYFUNCTION("""COMPUTED_VALUE"""),20.18)</f>
        <v>20.18</v>
      </c>
      <c r="J1335" s="25">
        <f>IFERROR(__xludf.DUMMYFUNCTION("""COMPUTED_VALUE"""),45198.63611111111)</f>
        <v>45198.63611</v>
      </c>
      <c r="K1335" s="22">
        <f>IFERROR(__xludf.DUMMYFUNCTION("""COMPUTED_VALUE"""),21.85)</f>
        <v>21.85</v>
      </c>
    </row>
    <row r="1336" ht="15.75" customHeight="1">
      <c r="A1336" s="25">
        <f>IFERROR(__xludf.DUMMYFUNCTION("""COMPUTED_VALUE"""),45201.66666666667)</f>
        <v>45201.66667</v>
      </c>
      <c r="B1336" s="22">
        <f>IFERROR(__xludf.DUMMYFUNCTION("""COMPUTED_VALUE"""),4288.39)</f>
        <v>4288.39</v>
      </c>
      <c r="C1336" s="25">
        <f>IFERROR(__xludf.DUMMYFUNCTION("""COMPUTED_VALUE"""),45201.63611111111)</f>
        <v>45201.63611</v>
      </c>
      <c r="D1336" s="22">
        <f>IFERROR(__xludf.DUMMYFUNCTION("""COMPUTED_VALUE"""),17.61)</f>
        <v>17.61</v>
      </c>
      <c r="F1336" s="25">
        <f>IFERROR(__xludf.DUMMYFUNCTION("""COMPUTED_VALUE"""),45201.63611111111)</f>
        <v>45201.63611</v>
      </c>
      <c r="G1336" s="22">
        <f>IFERROR(__xludf.DUMMYFUNCTION("""COMPUTED_VALUE"""),18.62)</f>
        <v>18.62</v>
      </c>
      <c r="H1336" s="25">
        <f>IFERROR(__xludf.DUMMYFUNCTION("""COMPUTED_VALUE"""),45201.63611111111)</f>
        <v>45201.63611</v>
      </c>
      <c r="I1336" s="22">
        <f>IFERROR(__xludf.DUMMYFUNCTION("""COMPUTED_VALUE"""),20.27)</f>
        <v>20.27</v>
      </c>
      <c r="J1336" s="25">
        <f>IFERROR(__xludf.DUMMYFUNCTION("""COMPUTED_VALUE"""),45201.63611111111)</f>
        <v>45201.63611</v>
      </c>
      <c r="K1336" s="22">
        <f>IFERROR(__xludf.DUMMYFUNCTION("""COMPUTED_VALUE"""),22.13)</f>
        <v>22.13</v>
      </c>
    </row>
    <row r="1337" ht="15.75" customHeight="1">
      <c r="A1337" s="25">
        <f>IFERROR(__xludf.DUMMYFUNCTION("""COMPUTED_VALUE"""),45202.66666666667)</f>
        <v>45202.66667</v>
      </c>
      <c r="B1337" s="22">
        <f>IFERROR(__xludf.DUMMYFUNCTION("""COMPUTED_VALUE"""),4229.45)</f>
        <v>4229.45</v>
      </c>
      <c r="C1337" s="25">
        <f>IFERROR(__xludf.DUMMYFUNCTION("""COMPUTED_VALUE"""),45202.63611111111)</f>
        <v>45202.63611</v>
      </c>
      <c r="D1337" s="22">
        <f>IFERROR(__xludf.DUMMYFUNCTION("""COMPUTED_VALUE"""),19.78)</f>
        <v>19.78</v>
      </c>
      <c r="F1337" s="25">
        <f>IFERROR(__xludf.DUMMYFUNCTION("""COMPUTED_VALUE"""),45202.63611111111)</f>
        <v>45202.63611</v>
      </c>
      <c r="G1337" s="22">
        <f>IFERROR(__xludf.DUMMYFUNCTION("""COMPUTED_VALUE"""),20.41)</f>
        <v>20.41</v>
      </c>
      <c r="H1337" s="25">
        <f>IFERROR(__xludf.DUMMYFUNCTION("""COMPUTED_VALUE"""),45202.63611111111)</f>
        <v>45202.63611</v>
      </c>
      <c r="I1337" s="22">
        <f>IFERROR(__xludf.DUMMYFUNCTION("""COMPUTED_VALUE"""),21.65)</f>
        <v>21.65</v>
      </c>
      <c r="J1337" s="25">
        <f>IFERROR(__xludf.DUMMYFUNCTION("""COMPUTED_VALUE"""),45202.63611111111)</f>
        <v>45202.63611</v>
      </c>
      <c r="K1337" s="22">
        <f>IFERROR(__xludf.DUMMYFUNCTION("""COMPUTED_VALUE"""),23.03)</f>
        <v>23.03</v>
      </c>
    </row>
    <row r="1338" ht="15.75" customHeight="1">
      <c r="A1338" s="25">
        <f>IFERROR(__xludf.DUMMYFUNCTION("""COMPUTED_VALUE"""),45203.66666666667)</f>
        <v>45203.66667</v>
      </c>
      <c r="B1338" s="22">
        <f>IFERROR(__xludf.DUMMYFUNCTION("""COMPUTED_VALUE"""),4263.75)</f>
        <v>4263.75</v>
      </c>
      <c r="C1338" s="25">
        <f>IFERROR(__xludf.DUMMYFUNCTION("""COMPUTED_VALUE"""),45203.63611111111)</f>
        <v>45203.63611</v>
      </c>
      <c r="D1338" s="22">
        <f>IFERROR(__xludf.DUMMYFUNCTION("""COMPUTED_VALUE"""),18.58)</f>
        <v>18.58</v>
      </c>
      <c r="F1338" s="25">
        <f>IFERROR(__xludf.DUMMYFUNCTION("""COMPUTED_VALUE"""),45203.63611111111)</f>
        <v>45203.63611</v>
      </c>
      <c r="G1338" s="22">
        <f>IFERROR(__xludf.DUMMYFUNCTION("""COMPUTED_VALUE"""),19.52)</f>
        <v>19.52</v>
      </c>
      <c r="H1338" s="25">
        <f>IFERROR(__xludf.DUMMYFUNCTION("""COMPUTED_VALUE"""),45203.63611111111)</f>
        <v>45203.63611</v>
      </c>
      <c r="I1338" s="22">
        <f>IFERROR(__xludf.DUMMYFUNCTION("""COMPUTED_VALUE"""),21.08)</f>
        <v>21.08</v>
      </c>
      <c r="J1338" s="25">
        <f>IFERROR(__xludf.DUMMYFUNCTION("""COMPUTED_VALUE"""),45203.63611111111)</f>
        <v>45203.63611</v>
      </c>
      <c r="K1338" s="22">
        <f>IFERROR(__xludf.DUMMYFUNCTION("""COMPUTED_VALUE"""),22.74)</f>
        <v>22.74</v>
      </c>
    </row>
    <row r="1339" ht="15.75" customHeight="1">
      <c r="A1339" s="25">
        <f>IFERROR(__xludf.DUMMYFUNCTION("""COMPUTED_VALUE"""),45204.66666666667)</f>
        <v>45204.66667</v>
      </c>
      <c r="B1339" s="22">
        <f>IFERROR(__xludf.DUMMYFUNCTION("""COMPUTED_VALUE"""),4258.19)</f>
        <v>4258.19</v>
      </c>
      <c r="C1339" s="25">
        <f>IFERROR(__xludf.DUMMYFUNCTION("""COMPUTED_VALUE"""),45204.63611111111)</f>
        <v>45204.63611</v>
      </c>
      <c r="D1339" s="22">
        <f>IFERROR(__xludf.DUMMYFUNCTION("""COMPUTED_VALUE"""),18.49)</f>
        <v>18.49</v>
      </c>
      <c r="F1339" s="25">
        <f>IFERROR(__xludf.DUMMYFUNCTION("""COMPUTED_VALUE"""),45204.63611111111)</f>
        <v>45204.63611</v>
      </c>
      <c r="G1339" s="22">
        <f>IFERROR(__xludf.DUMMYFUNCTION("""COMPUTED_VALUE"""),19.5)</f>
        <v>19.5</v>
      </c>
      <c r="H1339" s="25">
        <f>IFERROR(__xludf.DUMMYFUNCTION("""COMPUTED_VALUE"""),45204.63611111111)</f>
        <v>45204.63611</v>
      </c>
      <c r="I1339" s="22">
        <f>IFERROR(__xludf.DUMMYFUNCTION("""COMPUTED_VALUE"""),21.14)</f>
        <v>21.14</v>
      </c>
      <c r="J1339" s="25">
        <f>IFERROR(__xludf.DUMMYFUNCTION("""COMPUTED_VALUE"""),45204.63611111111)</f>
        <v>45204.63611</v>
      </c>
      <c r="K1339" s="22">
        <f>IFERROR(__xludf.DUMMYFUNCTION("""COMPUTED_VALUE"""),22.76)</f>
        <v>22.76</v>
      </c>
    </row>
    <row r="1340" ht="15.75" customHeight="1">
      <c r="A1340" s="25">
        <f>IFERROR(__xludf.DUMMYFUNCTION("""COMPUTED_VALUE"""),45205.66666666667)</f>
        <v>45205.66667</v>
      </c>
      <c r="B1340" s="22">
        <f>IFERROR(__xludf.DUMMYFUNCTION("""COMPUTED_VALUE"""),4308.5)</f>
        <v>4308.5</v>
      </c>
      <c r="C1340" s="25">
        <f>IFERROR(__xludf.DUMMYFUNCTION("""COMPUTED_VALUE"""),45205.63611111111)</f>
        <v>45205.63611</v>
      </c>
      <c r="D1340" s="22">
        <f>IFERROR(__xludf.DUMMYFUNCTION("""COMPUTED_VALUE"""),17.45)</f>
        <v>17.45</v>
      </c>
      <c r="F1340" s="25">
        <f>IFERROR(__xludf.DUMMYFUNCTION("""COMPUTED_VALUE"""),45205.63611111111)</f>
        <v>45205.63611</v>
      </c>
      <c r="G1340" s="22">
        <f>IFERROR(__xludf.DUMMYFUNCTION("""COMPUTED_VALUE"""),18.73)</f>
        <v>18.73</v>
      </c>
      <c r="H1340" s="25">
        <f>IFERROR(__xludf.DUMMYFUNCTION("""COMPUTED_VALUE"""),45205.63611111111)</f>
        <v>45205.63611</v>
      </c>
      <c r="I1340" s="22">
        <f>IFERROR(__xludf.DUMMYFUNCTION("""COMPUTED_VALUE"""),20.49)</f>
        <v>20.49</v>
      </c>
      <c r="J1340" s="25">
        <f>IFERROR(__xludf.DUMMYFUNCTION("""COMPUTED_VALUE"""),45205.63611111111)</f>
        <v>45205.63611</v>
      </c>
      <c r="K1340" s="22">
        <f>IFERROR(__xludf.DUMMYFUNCTION("""COMPUTED_VALUE"""),22.25)</f>
        <v>22.25</v>
      </c>
    </row>
    <row r="1341" ht="15.75" customHeight="1">
      <c r="A1341" s="25">
        <f>IFERROR(__xludf.DUMMYFUNCTION("""COMPUTED_VALUE"""),45208.66666666667)</f>
        <v>45208.66667</v>
      </c>
      <c r="B1341" s="22">
        <f>IFERROR(__xludf.DUMMYFUNCTION("""COMPUTED_VALUE"""),4335.66)</f>
        <v>4335.66</v>
      </c>
      <c r="C1341" s="25">
        <f>IFERROR(__xludf.DUMMYFUNCTION("""COMPUTED_VALUE"""),45208.63611111111)</f>
        <v>45208.63611</v>
      </c>
      <c r="D1341" s="22">
        <f>IFERROR(__xludf.DUMMYFUNCTION("""COMPUTED_VALUE"""),17.7)</f>
        <v>17.7</v>
      </c>
      <c r="F1341" s="25">
        <f>IFERROR(__xludf.DUMMYFUNCTION("""COMPUTED_VALUE"""),45208.63611111111)</f>
        <v>45208.63611</v>
      </c>
      <c r="G1341" s="22">
        <f>IFERROR(__xludf.DUMMYFUNCTION("""COMPUTED_VALUE"""),18.81)</f>
        <v>18.81</v>
      </c>
      <c r="H1341" s="25">
        <f>IFERROR(__xludf.DUMMYFUNCTION("""COMPUTED_VALUE"""),45208.63611111111)</f>
        <v>45208.63611</v>
      </c>
      <c r="I1341" s="22">
        <f>IFERROR(__xludf.DUMMYFUNCTION("""COMPUTED_VALUE"""),20.56)</f>
        <v>20.56</v>
      </c>
      <c r="J1341" s="25">
        <f>IFERROR(__xludf.DUMMYFUNCTION("""COMPUTED_VALUE"""),45208.63611111111)</f>
        <v>45208.63611</v>
      </c>
      <c r="K1341" s="22">
        <f>IFERROR(__xludf.DUMMYFUNCTION("""COMPUTED_VALUE"""),22.42)</f>
        <v>22.42</v>
      </c>
    </row>
    <row r="1342" ht="15.75" customHeight="1">
      <c r="A1342" s="25">
        <f>IFERROR(__xludf.DUMMYFUNCTION("""COMPUTED_VALUE"""),45209.66666666667)</f>
        <v>45209.66667</v>
      </c>
      <c r="B1342" s="22">
        <f>IFERROR(__xludf.DUMMYFUNCTION("""COMPUTED_VALUE"""),4358.24)</f>
        <v>4358.24</v>
      </c>
      <c r="C1342" s="25">
        <f>IFERROR(__xludf.DUMMYFUNCTION("""COMPUTED_VALUE"""),45209.63611111111)</f>
        <v>45209.63611</v>
      </c>
      <c r="D1342" s="22">
        <f>IFERROR(__xludf.DUMMYFUNCTION("""COMPUTED_VALUE"""),17.03)</f>
        <v>17.03</v>
      </c>
      <c r="F1342" s="25">
        <f>IFERROR(__xludf.DUMMYFUNCTION("""COMPUTED_VALUE"""),45209.63611111111)</f>
        <v>45209.63611</v>
      </c>
      <c r="G1342" s="22">
        <f>IFERROR(__xludf.DUMMYFUNCTION("""COMPUTED_VALUE"""),18.27)</f>
        <v>18.27</v>
      </c>
      <c r="H1342" s="25">
        <f>IFERROR(__xludf.DUMMYFUNCTION("""COMPUTED_VALUE"""),45209.63611111111)</f>
        <v>45209.63611</v>
      </c>
      <c r="I1342" s="22">
        <f>IFERROR(__xludf.DUMMYFUNCTION("""COMPUTED_VALUE"""),20.13)</f>
        <v>20.13</v>
      </c>
      <c r="J1342" s="25">
        <f>IFERROR(__xludf.DUMMYFUNCTION("""COMPUTED_VALUE"""),45209.63611111111)</f>
        <v>45209.63611</v>
      </c>
      <c r="K1342" s="22">
        <f>IFERROR(__xludf.DUMMYFUNCTION("""COMPUTED_VALUE"""),22.18)</f>
        <v>22.18</v>
      </c>
    </row>
    <row r="1343" ht="15.75" customHeight="1">
      <c r="A1343" s="25">
        <f>IFERROR(__xludf.DUMMYFUNCTION("""COMPUTED_VALUE"""),45210.66666666667)</f>
        <v>45210.66667</v>
      </c>
      <c r="B1343" s="22">
        <f>IFERROR(__xludf.DUMMYFUNCTION("""COMPUTED_VALUE"""),4376.95)</f>
        <v>4376.95</v>
      </c>
      <c r="C1343" s="25">
        <f>IFERROR(__xludf.DUMMYFUNCTION("""COMPUTED_VALUE"""),45210.63611111111)</f>
        <v>45210.63611</v>
      </c>
      <c r="D1343" s="22">
        <f>IFERROR(__xludf.DUMMYFUNCTION("""COMPUTED_VALUE"""),16.09)</f>
        <v>16.09</v>
      </c>
      <c r="F1343" s="25">
        <f>IFERROR(__xludf.DUMMYFUNCTION("""COMPUTED_VALUE"""),45210.63611111111)</f>
        <v>45210.63611</v>
      </c>
      <c r="G1343" s="22">
        <f>IFERROR(__xludf.DUMMYFUNCTION("""COMPUTED_VALUE"""),17.63)</f>
        <v>17.63</v>
      </c>
      <c r="H1343" s="25">
        <f>IFERROR(__xludf.DUMMYFUNCTION("""COMPUTED_VALUE"""),45210.63611111111)</f>
        <v>45210.63611</v>
      </c>
      <c r="I1343" s="22">
        <f>IFERROR(__xludf.DUMMYFUNCTION("""COMPUTED_VALUE"""),19.63)</f>
        <v>19.63</v>
      </c>
      <c r="J1343" s="25">
        <f>IFERROR(__xludf.DUMMYFUNCTION("""COMPUTED_VALUE"""),45210.63611111111)</f>
        <v>45210.63611</v>
      </c>
      <c r="K1343" s="22">
        <f>IFERROR(__xludf.DUMMYFUNCTION("""COMPUTED_VALUE"""),21.86)</f>
        <v>21.86</v>
      </c>
    </row>
    <row r="1344" ht="15.75" customHeight="1">
      <c r="A1344" s="25">
        <f>IFERROR(__xludf.DUMMYFUNCTION("""COMPUTED_VALUE"""),45211.66666666667)</f>
        <v>45211.66667</v>
      </c>
      <c r="B1344" s="22">
        <f>IFERROR(__xludf.DUMMYFUNCTION("""COMPUTED_VALUE"""),4349.61)</f>
        <v>4349.61</v>
      </c>
      <c r="C1344" s="25">
        <f>IFERROR(__xludf.DUMMYFUNCTION("""COMPUTED_VALUE"""),45211.63611111111)</f>
        <v>45211.63611</v>
      </c>
      <c r="D1344" s="22">
        <f>IFERROR(__xludf.DUMMYFUNCTION("""COMPUTED_VALUE"""),16.69)</f>
        <v>16.69</v>
      </c>
      <c r="F1344" s="25">
        <f>IFERROR(__xludf.DUMMYFUNCTION("""COMPUTED_VALUE"""),45211.63611111111)</f>
        <v>45211.63611</v>
      </c>
      <c r="G1344" s="22">
        <f>IFERROR(__xludf.DUMMYFUNCTION("""COMPUTED_VALUE"""),18.09)</f>
        <v>18.09</v>
      </c>
      <c r="H1344" s="25">
        <f>IFERROR(__xludf.DUMMYFUNCTION("""COMPUTED_VALUE"""),45211.63611111111)</f>
        <v>45211.63611</v>
      </c>
      <c r="I1344" s="22">
        <f>IFERROR(__xludf.DUMMYFUNCTION("""COMPUTED_VALUE"""),19.98)</f>
        <v>19.98</v>
      </c>
      <c r="J1344" s="25">
        <f>IFERROR(__xludf.DUMMYFUNCTION("""COMPUTED_VALUE"""),45211.63611111111)</f>
        <v>45211.63611</v>
      </c>
      <c r="K1344" s="22">
        <f>IFERROR(__xludf.DUMMYFUNCTION("""COMPUTED_VALUE"""),22.08)</f>
        <v>22.08</v>
      </c>
    </row>
    <row r="1345" ht="15.75" customHeight="1">
      <c r="A1345" s="25">
        <f>IFERROR(__xludf.DUMMYFUNCTION("""COMPUTED_VALUE"""),45212.66666666667)</f>
        <v>45212.66667</v>
      </c>
      <c r="B1345" s="22">
        <f>IFERROR(__xludf.DUMMYFUNCTION("""COMPUTED_VALUE"""),4327.78)</f>
        <v>4327.78</v>
      </c>
      <c r="C1345" s="25">
        <f>IFERROR(__xludf.DUMMYFUNCTION("""COMPUTED_VALUE"""),45212.63611111111)</f>
        <v>45212.63611</v>
      </c>
      <c r="D1345" s="22">
        <f>IFERROR(__xludf.DUMMYFUNCTION("""COMPUTED_VALUE"""),19.32)</f>
        <v>19.32</v>
      </c>
      <c r="F1345" s="25">
        <f>IFERROR(__xludf.DUMMYFUNCTION("""COMPUTED_VALUE"""),45212.63611111111)</f>
        <v>45212.63611</v>
      </c>
      <c r="G1345" s="22">
        <f>IFERROR(__xludf.DUMMYFUNCTION("""COMPUTED_VALUE"""),20.57)</f>
        <v>20.57</v>
      </c>
      <c r="H1345" s="25">
        <f>IFERROR(__xludf.DUMMYFUNCTION("""COMPUTED_VALUE"""),45212.63611111111)</f>
        <v>45212.63611</v>
      </c>
      <c r="I1345" s="22">
        <f>IFERROR(__xludf.DUMMYFUNCTION("""COMPUTED_VALUE"""),21.81)</f>
        <v>21.81</v>
      </c>
      <c r="J1345" s="25">
        <f>IFERROR(__xludf.DUMMYFUNCTION("""COMPUTED_VALUE"""),45212.63611111111)</f>
        <v>45212.63611</v>
      </c>
      <c r="K1345" s="22">
        <f>IFERROR(__xludf.DUMMYFUNCTION("""COMPUTED_VALUE"""),23.25)</f>
        <v>23.25</v>
      </c>
    </row>
    <row r="1346" ht="15.75" customHeight="1">
      <c r="A1346" s="25">
        <f>IFERROR(__xludf.DUMMYFUNCTION("""COMPUTED_VALUE"""),45215.66666666667)</f>
        <v>45215.66667</v>
      </c>
      <c r="B1346" s="22">
        <f>IFERROR(__xludf.DUMMYFUNCTION("""COMPUTED_VALUE"""),4373.63)</f>
        <v>4373.63</v>
      </c>
      <c r="C1346" s="25">
        <f>IFERROR(__xludf.DUMMYFUNCTION("""COMPUTED_VALUE"""),45215.63611111111)</f>
        <v>45215.63611</v>
      </c>
      <c r="D1346" s="22">
        <f>IFERROR(__xludf.DUMMYFUNCTION("""COMPUTED_VALUE"""),17.21)</f>
        <v>17.21</v>
      </c>
      <c r="F1346" s="25">
        <f>IFERROR(__xludf.DUMMYFUNCTION("""COMPUTED_VALUE"""),45215.63611111111)</f>
        <v>45215.63611</v>
      </c>
      <c r="G1346" s="22">
        <f>IFERROR(__xludf.DUMMYFUNCTION("""COMPUTED_VALUE"""),18.79)</f>
        <v>18.79</v>
      </c>
      <c r="H1346" s="25">
        <f>IFERROR(__xludf.DUMMYFUNCTION("""COMPUTED_VALUE"""),45215.63611111111)</f>
        <v>45215.63611</v>
      </c>
      <c r="I1346" s="22">
        <f>IFERROR(__xludf.DUMMYFUNCTION("""COMPUTED_VALUE"""),20.64)</f>
        <v>20.64</v>
      </c>
      <c r="J1346" s="25">
        <f>IFERROR(__xludf.DUMMYFUNCTION("""COMPUTED_VALUE"""),45215.63611111111)</f>
        <v>45215.63611</v>
      </c>
      <c r="K1346" s="22">
        <f>IFERROR(__xludf.DUMMYFUNCTION("""COMPUTED_VALUE"""),22.62)</f>
        <v>22.62</v>
      </c>
    </row>
    <row r="1347" ht="15.75" customHeight="1">
      <c r="A1347" s="25">
        <f>IFERROR(__xludf.DUMMYFUNCTION("""COMPUTED_VALUE"""),45216.66666666667)</f>
        <v>45216.66667</v>
      </c>
      <c r="B1347" s="22">
        <f>IFERROR(__xludf.DUMMYFUNCTION("""COMPUTED_VALUE"""),4373.2)</f>
        <v>4373.2</v>
      </c>
      <c r="C1347" s="25">
        <f>IFERROR(__xludf.DUMMYFUNCTION("""COMPUTED_VALUE"""),45216.63611111111)</f>
        <v>45216.63611</v>
      </c>
      <c r="D1347" s="22">
        <f>IFERROR(__xludf.DUMMYFUNCTION("""COMPUTED_VALUE"""),17.88)</f>
        <v>17.88</v>
      </c>
      <c r="F1347" s="25">
        <f>IFERROR(__xludf.DUMMYFUNCTION("""COMPUTED_VALUE"""),45216.63611111111)</f>
        <v>45216.63611</v>
      </c>
      <c r="G1347" s="22">
        <f>IFERROR(__xludf.DUMMYFUNCTION("""COMPUTED_VALUE"""),19.26)</f>
        <v>19.26</v>
      </c>
      <c r="H1347" s="25">
        <f>IFERROR(__xludf.DUMMYFUNCTION("""COMPUTED_VALUE"""),45216.63611111111)</f>
        <v>45216.63611</v>
      </c>
      <c r="I1347" s="22">
        <f>IFERROR(__xludf.DUMMYFUNCTION("""COMPUTED_VALUE"""),21.06)</f>
        <v>21.06</v>
      </c>
      <c r="J1347" s="25">
        <f>IFERROR(__xludf.DUMMYFUNCTION("""COMPUTED_VALUE"""),45216.63611111111)</f>
        <v>45216.63611</v>
      </c>
      <c r="K1347" s="22">
        <f>IFERROR(__xludf.DUMMYFUNCTION("""COMPUTED_VALUE"""),22.93)</f>
        <v>22.93</v>
      </c>
    </row>
    <row r="1348" ht="15.75" customHeight="1">
      <c r="A1348" s="25">
        <f>IFERROR(__xludf.DUMMYFUNCTION("""COMPUTED_VALUE"""),45217.66666666667)</f>
        <v>45217.66667</v>
      </c>
      <c r="B1348" s="22">
        <f>IFERROR(__xludf.DUMMYFUNCTION("""COMPUTED_VALUE"""),4314.6)</f>
        <v>4314.6</v>
      </c>
      <c r="C1348" s="25">
        <f>IFERROR(__xludf.DUMMYFUNCTION("""COMPUTED_VALUE"""),45217.63611111111)</f>
        <v>45217.63611</v>
      </c>
      <c r="D1348" s="22">
        <f>IFERROR(__xludf.DUMMYFUNCTION("""COMPUTED_VALUE"""),19.22)</f>
        <v>19.22</v>
      </c>
      <c r="F1348" s="25">
        <f>IFERROR(__xludf.DUMMYFUNCTION("""COMPUTED_VALUE"""),45217.63611111111)</f>
        <v>45217.63611</v>
      </c>
      <c r="G1348" s="22">
        <f>IFERROR(__xludf.DUMMYFUNCTION("""COMPUTED_VALUE"""),20.47)</f>
        <v>20.47</v>
      </c>
      <c r="H1348" s="25">
        <f>IFERROR(__xludf.DUMMYFUNCTION("""COMPUTED_VALUE"""),45217.63611111111)</f>
        <v>45217.63611</v>
      </c>
      <c r="I1348" s="22">
        <f>IFERROR(__xludf.DUMMYFUNCTION("""COMPUTED_VALUE"""),21.96)</f>
        <v>21.96</v>
      </c>
      <c r="J1348" s="25">
        <f>IFERROR(__xludf.DUMMYFUNCTION("""COMPUTED_VALUE"""),45217.63611111111)</f>
        <v>45217.63611</v>
      </c>
      <c r="K1348" s="22">
        <f>IFERROR(__xludf.DUMMYFUNCTION("""COMPUTED_VALUE"""),23.55)</f>
        <v>23.55</v>
      </c>
    </row>
    <row r="1349" ht="15.75" customHeight="1">
      <c r="A1349" s="25">
        <f>IFERROR(__xludf.DUMMYFUNCTION("""COMPUTED_VALUE"""),45218.66666666667)</f>
        <v>45218.66667</v>
      </c>
      <c r="B1349" s="22">
        <f>IFERROR(__xludf.DUMMYFUNCTION("""COMPUTED_VALUE"""),4278.0)</f>
        <v>4278</v>
      </c>
      <c r="C1349" s="25">
        <f>IFERROR(__xludf.DUMMYFUNCTION("""COMPUTED_VALUE"""),45218.63611111111)</f>
        <v>45218.63611</v>
      </c>
      <c r="D1349" s="22">
        <f>IFERROR(__xludf.DUMMYFUNCTION("""COMPUTED_VALUE"""),21.4)</f>
        <v>21.4</v>
      </c>
      <c r="F1349" s="25">
        <f>IFERROR(__xludf.DUMMYFUNCTION("""COMPUTED_VALUE"""),45218.63611111111)</f>
        <v>45218.63611</v>
      </c>
      <c r="G1349" s="22">
        <f>IFERROR(__xludf.DUMMYFUNCTION("""COMPUTED_VALUE"""),22.19)</f>
        <v>22.19</v>
      </c>
      <c r="H1349" s="25">
        <f>IFERROR(__xludf.DUMMYFUNCTION("""COMPUTED_VALUE"""),45218.63611111111)</f>
        <v>45218.63611</v>
      </c>
      <c r="I1349" s="22">
        <f>IFERROR(__xludf.DUMMYFUNCTION("""COMPUTED_VALUE"""),23.21)</f>
        <v>23.21</v>
      </c>
      <c r="J1349" s="25">
        <f>IFERROR(__xludf.DUMMYFUNCTION("""COMPUTED_VALUE"""),45218.63611111111)</f>
        <v>45218.63611</v>
      </c>
      <c r="K1349" s="22">
        <f>IFERROR(__xludf.DUMMYFUNCTION("""COMPUTED_VALUE"""),24.39)</f>
        <v>24.39</v>
      </c>
    </row>
    <row r="1350" ht="15.75" customHeight="1">
      <c r="A1350" s="25">
        <f>IFERROR(__xludf.DUMMYFUNCTION("""COMPUTED_VALUE"""),45219.66666666667)</f>
        <v>45219.66667</v>
      </c>
      <c r="B1350" s="22">
        <f>IFERROR(__xludf.DUMMYFUNCTION("""COMPUTED_VALUE"""),4224.16)</f>
        <v>4224.16</v>
      </c>
      <c r="C1350" s="25">
        <f>IFERROR(__xludf.DUMMYFUNCTION("""COMPUTED_VALUE"""),45219.63611111111)</f>
        <v>45219.63611</v>
      </c>
      <c r="D1350" s="22">
        <f>IFERROR(__xludf.DUMMYFUNCTION("""COMPUTED_VALUE"""),21.71)</f>
        <v>21.71</v>
      </c>
      <c r="F1350" s="25">
        <f>IFERROR(__xludf.DUMMYFUNCTION("""COMPUTED_VALUE"""),45219.63611111111)</f>
        <v>45219.63611</v>
      </c>
      <c r="G1350" s="22">
        <f>IFERROR(__xludf.DUMMYFUNCTION("""COMPUTED_VALUE"""),22.44)</f>
        <v>22.44</v>
      </c>
      <c r="H1350" s="25">
        <f>IFERROR(__xludf.DUMMYFUNCTION("""COMPUTED_VALUE"""),45219.63611111111)</f>
        <v>45219.63611</v>
      </c>
      <c r="I1350" s="22">
        <f>IFERROR(__xludf.DUMMYFUNCTION("""COMPUTED_VALUE"""),23.6)</f>
        <v>23.6</v>
      </c>
      <c r="J1350" s="25">
        <f>IFERROR(__xludf.DUMMYFUNCTION("""COMPUTED_VALUE"""),45219.63611111111)</f>
        <v>45219.63611</v>
      </c>
      <c r="K1350" s="22">
        <f>IFERROR(__xludf.DUMMYFUNCTION("""COMPUTED_VALUE"""),24.61)</f>
        <v>24.61</v>
      </c>
    </row>
    <row r="1351" ht="15.75" customHeight="1">
      <c r="A1351" s="25">
        <f>IFERROR(__xludf.DUMMYFUNCTION("""COMPUTED_VALUE"""),45222.66666666667)</f>
        <v>45222.66667</v>
      </c>
      <c r="B1351" s="22">
        <f>IFERROR(__xludf.DUMMYFUNCTION("""COMPUTED_VALUE"""),4217.04)</f>
        <v>4217.04</v>
      </c>
      <c r="C1351" s="25">
        <f>IFERROR(__xludf.DUMMYFUNCTION("""COMPUTED_VALUE"""),45222.63611111111)</f>
        <v>45222.63611</v>
      </c>
      <c r="D1351" s="22">
        <f>IFERROR(__xludf.DUMMYFUNCTION("""COMPUTED_VALUE"""),20.37)</f>
        <v>20.37</v>
      </c>
      <c r="F1351" s="25">
        <f>IFERROR(__xludf.DUMMYFUNCTION("""COMPUTED_VALUE"""),45222.63611111111)</f>
        <v>45222.63611</v>
      </c>
      <c r="G1351" s="22">
        <f>IFERROR(__xludf.DUMMYFUNCTION("""COMPUTED_VALUE"""),21.33)</f>
        <v>21.33</v>
      </c>
      <c r="H1351" s="25">
        <f>IFERROR(__xludf.DUMMYFUNCTION("""COMPUTED_VALUE"""),45222.63611111111)</f>
        <v>45222.63611</v>
      </c>
      <c r="I1351" s="22">
        <f>IFERROR(__xludf.DUMMYFUNCTION("""COMPUTED_VALUE"""),22.67)</f>
        <v>22.67</v>
      </c>
      <c r="J1351" s="25">
        <f>IFERROR(__xludf.DUMMYFUNCTION("""COMPUTED_VALUE"""),45222.63611111111)</f>
        <v>45222.63611</v>
      </c>
      <c r="K1351" s="22">
        <f>IFERROR(__xludf.DUMMYFUNCTION("""COMPUTED_VALUE"""),24.03)</f>
        <v>24.03</v>
      </c>
    </row>
    <row r="1352" ht="15.75" customHeight="1">
      <c r="A1352" s="25">
        <f>IFERROR(__xludf.DUMMYFUNCTION("""COMPUTED_VALUE"""),45223.66666666667)</f>
        <v>45223.66667</v>
      </c>
      <c r="B1352" s="22">
        <f>IFERROR(__xludf.DUMMYFUNCTION("""COMPUTED_VALUE"""),4247.68)</f>
        <v>4247.68</v>
      </c>
      <c r="C1352" s="25">
        <f>IFERROR(__xludf.DUMMYFUNCTION("""COMPUTED_VALUE"""),45223.63611111111)</f>
        <v>45223.63611</v>
      </c>
      <c r="D1352" s="22">
        <f>IFERROR(__xludf.DUMMYFUNCTION("""COMPUTED_VALUE"""),18.97)</f>
        <v>18.97</v>
      </c>
      <c r="F1352" s="25">
        <f>IFERROR(__xludf.DUMMYFUNCTION("""COMPUTED_VALUE"""),45223.63611111111)</f>
        <v>45223.63611</v>
      </c>
      <c r="G1352" s="22">
        <f>IFERROR(__xludf.DUMMYFUNCTION("""COMPUTED_VALUE"""),20.21)</f>
        <v>20.21</v>
      </c>
      <c r="H1352" s="25">
        <f>IFERROR(__xludf.DUMMYFUNCTION("""COMPUTED_VALUE"""),45223.63611111111)</f>
        <v>45223.63611</v>
      </c>
      <c r="I1352" s="22">
        <f>IFERROR(__xludf.DUMMYFUNCTION("""COMPUTED_VALUE"""),21.85)</f>
        <v>21.85</v>
      </c>
      <c r="J1352" s="25">
        <f>IFERROR(__xludf.DUMMYFUNCTION("""COMPUTED_VALUE"""),45223.63611111111)</f>
        <v>45223.63611</v>
      </c>
      <c r="K1352" s="22">
        <f>IFERROR(__xludf.DUMMYFUNCTION("""COMPUTED_VALUE"""),23.47)</f>
        <v>23.47</v>
      </c>
    </row>
    <row r="1353" ht="15.75" customHeight="1">
      <c r="A1353" s="25">
        <f>IFERROR(__xludf.DUMMYFUNCTION("""COMPUTED_VALUE"""),45224.66666666667)</f>
        <v>45224.66667</v>
      </c>
      <c r="B1353" s="22">
        <f>IFERROR(__xludf.DUMMYFUNCTION("""COMPUTED_VALUE"""),4186.77)</f>
        <v>4186.77</v>
      </c>
      <c r="C1353" s="25">
        <f>IFERROR(__xludf.DUMMYFUNCTION("""COMPUTED_VALUE"""),45224.63611111111)</f>
        <v>45224.63611</v>
      </c>
      <c r="D1353" s="22">
        <f>IFERROR(__xludf.DUMMYFUNCTION("""COMPUTED_VALUE"""),20.19)</f>
        <v>20.19</v>
      </c>
      <c r="F1353" s="25">
        <f>IFERROR(__xludf.DUMMYFUNCTION("""COMPUTED_VALUE"""),45224.63611111111)</f>
        <v>45224.63611</v>
      </c>
      <c r="G1353" s="22">
        <f>IFERROR(__xludf.DUMMYFUNCTION("""COMPUTED_VALUE"""),21.33)</f>
        <v>21.33</v>
      </c>
      <c r="H1353" s="25">
        <f>IFERROR(__xludf.DUMMYFUNCTION("""COMPUTED_VALUE"""),45224.63611111111)</f>
        <v>45224.63611</v>
      </c>
      <c r="I1353" s="22">
        <f>IFERROR(__xludf.DUMMYFUNCTION("""COMPUTED_VALUE"""),22.69)</f>
        <v>22.69</v>
      </c>
      <c r="J1353" s="25">
        <f>IFERROR(__xludf.DUMMYFUNCTION("""COMPUTED_VALUE"""),45224.63611111111)</f>
        <v>45224.63611</v>
      </c>
      <c r="K1353" s="22">
        <f>IFERROR(__xludf.DUMMYFUNCTION("""COMPUTED_VALUE"""),24.04)</f>
        <v>24.04</v>
      </c>
    </row>
    <row r="1354" ht="15.75" customHeight="1">
      <c r="A1354" s="25">
        <f>IFERROR(__xludf.DUMMYFUNCTION("""COMPUTED_VALUE"""),45225.66666666667)</f>
        <v>45225.66667</v>
      </c>
      <c r="B1354" s="22">
        <f>IFERROR(__xludf.DUMMYFUNCTION("""COMPUTED_VALUE"""),4137.23)</f>
        <v>4137.23</v>
      </c>
      <c r="C1354" s="25">
        <f>IFERROR(__xludf.DUMMYFUNCTION("""COMPUTED_VALUE"""),45225.63611111111)</f>
        <v>45225.63611</v>
      </c>
      <c r="D1354" s="22">
        <f>IFERROR(__xludf.DUMMYFUNCTION("""COMPUTED_VALUE"""),20.68)</f>
        <v>20.68</v>
      </c>
      <c r="F1354" s="25">
        <f>IFERROR(__xludf.DUMMYFUNCTION("""COMPUTED_VALUE"""),45225.63611111111)</f>
        <v>45225.63611</v>
      </c>
      <c r="G1354" s="22">
        <f>IFERROR(__xludf.DUMMYFUNCTION("""COMPUTED_VALUE"""),21.57)</f>
        <v>21.57</v>
      </c>
      <c r="H1354" s="25">
        <f>IFERROR(__xludf.DUMMYFUNCTION("""COMPUTED_VALUE"""),45225.63611111111)</f>
        <v>45225.63611</v>
      </c>
      <c r="I1354" s="22">
        <f>IFERROR(__xludf.DUMMYFUNCTION("""COMPUTED_VALUE"""),23.02)</f>
        <v>23.02</v>
      </c>
      <c r="J1354" s="25">
        <f>IFERROR(__xludf.DUMMYFUNCTION("""COMPUTED_VALUE"""),45225.63611111111)</f>
        <v>45225.63611</v>
      </c>
      <c r="K1354" s="22">
        <f>IFERROR(__xludf.DUMMYFUNCTION("""COMPUTED_VALUE"""),24.31)</f>
        <v>24.31</v>
      </c>
    </row>
    <row r="1355" ht="15.75" customHeight="1">
      <c r="A1355" s="25">
        <f>IFERROR(__xludf.DUMMYFUNCTION("""COMPUTED_VALUE"""),45226.66666666667)</f>
        <v>45226.66667</v>
      </c>
      <c r="B1355" s="22">
        <f>IFERROR(__xludf.DUMMYFUNCTION("""COMPUTED_VALUE"""),4117.37)</f>
        <v>4117.37</v>
      </c>
      <c r="C1355" s="25">
        <f>IFERROR(__xludf.DUMMYFUNCTION("""COMPUTED_VALUE"""),45226.63611111111)</f>
        <v>45226.63611</v>
      </c>
      <c r="D1355" s="22">
        <f>IFERROR(__xludf.DUMMYFUNCTION("""COMPUTED_VALUE"""),21.27)</f>
        <v>21.27</v>
      </c>
      <c r="F1355" s="25">
        <f>IFERROR(__xludf.DUMMYFUNCTION("""COMPUTED_VALUE"""),45226.63611111111)</f>
        <v>45226.63611</v>
      </c>
      <c r="G1355" s="22">
        <f>IFERROR(__xludf.DUMMYFUNCTION("""COMPUTED_VALUE"""),22.27)</f>
        <v>22.27</v>
      </c>
      <c r="H1355" s="25">
        <f>IFERROR(__xludf.DUMMYFUNCTION("""COMPUTED_VALUE"""),45226.63611111111)</f>
        <v>45226.63611</v>
      </c>
      <c r="I1355" s="22">
        <f>IFERROR(__xludf.DUMMYFUNCTION("""COMPUTED_VALUE"""),23.65)</f>
        <v>23.65</v>
      </c>
      <c r="J1355" s="25">
        <f>IFERROR(__xludf.DUMMYFUNCTION("""COMPUTED_VALUE"""),45226.63611111111)</f>
        <v>45226.63611</v>
      </c>
      <c r="K1355" s="22">
        <f>IFERROR(__xludf.DUMMYFUNCTION("""COMPUTED_VALUE"""),24.48)</f>
        <v>24.48</v>
      </c>
    </row>
    <row r="1356" ht="15.75" customHeight="1">
      <c r="A1356" s="25">
        <f>IFERROR(__xludf.DUMMYFUNCTION("""COMPUTED_VALUE"""),45229.66666666667)</f>
        <v>45229.66667</v>
      </c>
      <c r="B1356" s="22">
        <f>IFERROR(__xludf.DUMMYFUNCTION("""COMPUTED_VALUE"""),4166.82)</f>
        <v>4166.82</v>
      </c>
      <c r="C1356" s="25">
        <f>IFERROR(__xludf.DUMMYFUNCTION("""COMPUTED_VALUE"""),45229.63611111111)</f>
        <v>45229.63611</v>
      </c>
      <c r="D1356" s="22">
        <f>IFERROR(__xludf.DUMMYFUNCTION("""COMPUTED_VALUE"""),19.75)</f>
        <v>19.75</v>
      </c>
      <c r="F1356" s="25">
        <f>IFERROR(__xludf.DUMMYFUNCTION("""COMPUTED_VALUE"""),45229.63611111111)</f>
        <v>45229.63611</v>
      </c>
      <c r="G1356" s="22">
        <f>IFERROR(__xludf.DUMMYFUNCTION("""COMPUTED_VALUE"""),20.8)</f>
        <v>20.8</v>
      </c>
      <c r="H1356" s="25">
        <f>IFERROR(__xludf.DUMMYFUNCTION("""COMPUTED_VALUE"""),45229.63611111111)</f>
        <v>45229.63611</v>
      </c>
      <c r="I1356" s="22">
        <f>IFERROR(__xludf.DUMMYFUNCTION("""COMPUTED_VALUE"""),22.46)</f>
        <v>22.46</v>
      </c>
      <c r="J1356" s="25">
        <f>IFERROR(__xludf.DUMMYFUNCTION("""COMPUTED_VALUE"""),45229.63611111111)</f>
        <v>45229.63611</v>
      </c>
      <c r="K1356" s="22">
        <f>IFERROR(__xludf.DUMMYFUNCTION("""COMPUTED_VALUE"""),23.71)</f>
        <v>23.71</v>
      </c>
    </row>
    <row r="1357" ht="15.75" customHeight="1">
      <c r="A1357" s="25">
        <f>IFERROR(__xludf.DUMMYFUNCTION("""COMPUTED_VALUE"""),45230.66666666667)</f>
        <v>45230.66667</v>
      </c>
      <c r="B1357" s="22">
        <f>IFERROR(__xludf.DUMMYFUNCTION("""COMPUTED_VALUE"""),4193.8)</f>
        <v>4193.8</v>
      </c>
      <c r="C1357" s="25">
        <f>IFERROR(__xludf.DUMMYFUNCTION("""COMPUTED_VALUE"""),45230.63611111111)</f>
        <v>45230.63611</v>
      </c>
      <c r="D1357" s="22">
        <f>IFERROR(__xludf.DUMMYFUNCTION("""COMPUTED_VALUE"""),18.14)</f>
        <v>18.14</v>
      </c>
      <c r="F1357" s="25">
        <f>IFERROR(__xludf.DUMMYFUNCTION("""COMPUTED_VALUE"""),45230.63611111111)</f>
        <v>45230.63611</v>
      </c>
      <c r="G1357" s="22">
        <f>IFERROR(__xludf.DUMMYFUNCTION("""COMPUTED_VALUE"""),19.49)</f>
        <v>19.49</v>
      </c>
      <c r="H1357" s="25">
        <f>IFERROR(__xludf.DUMMYFUNCTION("""COMPUTED_VALUE"""),45230.63611111111)</f>
        <v>45230.63611</v>
      </c>
      <c r="I1357" s="22">
        <f>IFERROR(__xludf.DUMMYFUNCTION("""COMPUTED_VALUE"""),21.34)</f>
        <v>21.34</v>
      </c>
      <c r="J1357" s="25">
        <f>IFERROR(__xludf.DUMMYFUNCTION("""COMPUTED_VALUE"""),45230.63611111111)</f>
        <v>45230.63611</v>
      </c>
      <c r="K1357" s="22">
        <f>IFERROR(__xludf.DUMMYFUNCTION("""COMPUTED_VALUE"""),23.03)</f>
        <v>23.03</v>
      </c>
    </row>
    <row r="1358" ht="15.75" customHeight="1">
      <c r="A1358" s="25">
        <f>IFERROR(__xludf.DUMMYFUNCTION("""COMPUTED_VALUE"""),45231.66666666667)</f>
        <v>45231.66667</v>
      </c>
      <c r="B1358" s="22">
        <f>IFERROR(__xludf.DUMMYFUNCTION("""COMPUTED_VALUE"""),4237.86)</f>
        <v>4237.86</v>
      </c>
      <c r="C1358" s="25">
        <f>IFERROR(__xludf.DUMMYFUNCTION("""COMPUTED_VALUE"""),45231.63611111111)</f>
        <v>45231.63611</v>
      </c>
      <c r="D1358" s="22">
        <f>IFERROR(__xludf.DUMMYFUNCTION("""COMPUTED_VALUE"""),16.87)</f>
        <v>16.87</v>
      </c>
      <c r="F1358" s="25">
        <f>IFERROR(__xludf.DUMMYFUNCTION("""COMPUTED_VALUE"""),45231.63611111111)</f>
        <v>45231.63611</v>
      </c>
      <c r="G1358" s="22">
        <f>IFERROR(__xludf.DUMMYFUNCTION("""COMPUTED_VALUE"""),18.55)</f>
        <v>18.55</v>
      </c>
      <c r="H1358" s="25">
        <f>IFERROR(__xludf.DUMMYFUNCTION("""COMPUTED_VALUE"""),45231.63611111111)</f>
        <v>45231.63611</v>
      </c>
      <c r="I1358" s="22">
        <f>IFERROR(__xludf.DUMMYFUNCTION("""COMPUTED_VALUE"""),20.43)</f>
        <v>20.43</v>
      </c>
      <c r="J1358" s="25">
        <f>IFERROR(__xludf.DUMMYFUNCTION("""COMPUTED_VALUE"""),45231.63611111111)</f>
        <v>45231.63611</v>
      </c>
      <c r="K1358" s="22">
        <f>IFERROR(__xludf.DUMMYFUNCTION("""COMPUTED_VALUE"""),22.36)</f>
        <v>22.36</v>
      </c>
    </row>
    <row r="1359" ht="15.75" customHeight="1">
      <c r="A1359" s="25">
        <f>IFERROR(__xludf.DUMMYFUNCTION("""COMPUTED_VALUE"""),45232.66666666667)</f>
        <v>45232.66667</v>
      </c>
      <c r="B1359" s="22">
        <f>IFERROR(__xludf.DUMMYFUNCTION("""COMPUTED_VALUE"""),4317.78)</f>
        <v>4317.78</v>
      </c>
      <c r="C1359" s="25">
        <f>IFERROR(__xludf.DUMMYFUNCTION("""COMPUTED_VALUE"""),45232.63611111111)</f>
        <v>45232.63611</v>
      </c>
      <c r="D1359" s="22">
        <f>IFERROR(__xludf.DUMMYFUNCTION("""COMPUTED_VALUE"""),15.66)</f>
        <v>15.66</v>
      </c>
      <c r="F1359" s="25">
        <f>IFERROR(__xludf.DUMMYFUNCTION("""COMPUTED_VALUE"""),45232.63611111111)</f>
        <v>45232.63611</v>
      </c>
      <c r="G1359" s="22">
        <f>IFERROR(__xludf.DUMMYFUNCTION("""COMPUTED_VALUE"""),17.8)</f>
        <v>17.8</v>
      </c>
      <c r="H1359" s="25">
        <f>IFERROR(__xludf.DUMMYFUNCTION("""COMPUTED_VALUE"""),45232.63611111111)</f>
        <v>45232.63611</v>
      </c>
      <c r="I1359" s="22">
        <f>IFERROR(__xludf.DUMMYFUNCTION("""COMPUTED_VALUE"""),19.82)</f>
        <v>19.82</v>
      </c>
      <c r="J1359" s="25">
        <f>IFERROR(__xludf.DUMMYFUNCTION("""COMPUTED_VALUE"""),45232.63611111111)</f>
        <v>45232.63611</v>
      </c>
      <c r="K1359" s="22">
        <f>IFERROR(__xludf.DUMMYFUNCTION("""COMPUTED_VALUE"""),21.93)</f>
        <v>21.93</v>
      </c>
    </row>
    <row r="1360" ht="15.75" customHeight="1">
      <c r="A1360" s="25">
        <f>IFERROR(__xludf.DUMMYFUNCTION("""COMPUTED_VALUE"""),45233.66666666667)</f>
        <v>45233.66667</v>
      </c>
      <c r="B1360" s="22">
        <f>IFERROR(__xludf.DUMMYFUNCTION("""COMPUTED_VALUE"""),4358.34)</f>
        <v>4358.34</v>
      </c>
      <c r="C1360" s="25">
        <f>IFERROR(__xludf.DUMMYFUNCTION("""COMPUTED_VALUE"""),45233.63611111111)</f>
        <v>45233.63611</v>
      </c>
      <c r="D1360" s="22">
        <f>IFERROR(__xludf.DUMMYFUNCTION("""COMPUTED_VALUE"""),14.91)</f>
        <v>14.91</v>
      </c>
      <c r="F1360" s="25">
        <f>IFERROR(__xludf.DUMMYFUNCTION("""COMPUTED_VALUE"""),45233.63611111111)</f>
        <v>45233.63611</v>
      </c>
      <c r="G1360" s="22">
        <f>IFERROR(__xludf.DUMMYFUNCTION("""COMPUTED_VALUE"""),17.22)</f>
        <v>17.22</v>
      </c>
      <c r="H1360" s="25">
        <f>IFERROR(__xludf.DUMMYFUNCTION("""COMPUTED_VALUE"""),45233.63611111111)</f>
        <v>45233.63611</v>
      </c>
      <c r="I1360" s="22">
        <f>IFERROR(__xludf.DUMMYFUNCTION("""COMPUTED_VALUE"""),19.36)</f>
        <v>19.36</v>
      </c>
      <c r="J1360" s="25">
        <f>IFERROR(__xludf.DUMMYFUNCTION("""COMPUTED_VALUE"""),45233.63611111111)</f>
        <v>45233.63611</v>
      </c>
      <c r="K1360" s="22">
        <f>IFERROR(__xludf.DUMMYFUNCTION("""COMPUTED_VALUE"""),21.58)</f>
        <v>21.58</v>
      </c>
    </row>
    <row r="1361" ht="15.75" customHeight="1">
      <c r="A1361" s="25">
        <f>IFERROR(__xludf.DUMMYFUNCTION("""COMPUTED_VALUE"""),45236.66666666667)</f>
        <v>45236.66667</v>
      </c>
      <c r="B1361" s="22">
        <f>IFERROR(__xludf.DUMMYFUNCTION("""COMPUTED_VALUE"""),4365.98)</f>
        <v>4365.98</v>
      </c>
      <c r="C1361" s="25">
        <f>IFERROR(__xludf.DUMMYFUNCTION("""COMPUTED_VALUE"""),45236.63611111111)</f>
        <v>45236.63611</v>
      </c>
      <c r="D1361" s="22">
        <f>IFERROR(__xludf.DUMMYFUNCTION("""COMPUTED_VALUE"""),14.89)</f>
        <v>14.89</v>
      </c>
      <c r="F1361" s="25">
        <f>IFERROR(__xludf.DUMMYFUNCTION("""COMPUTED_VALUE"""),45236.63611111111)</f>
        <v>45236.63611</v>
      </c>
      <c r="G1361" s="22">
        <f>IFERROR(__xludf.DUMMYFUNCTION("""COMPUTED_VALUE"""),17.03)</f>
        <v>17.03</v>
      </c>
      <c r="H1361" s="25">
        <f>IFERROR(__xludf.DUMMYFUNCTION("""COMPUTED_VALUE"""),45236.63611111111)</f>
        <v>45236.63611</v>
      </c>
      <c r="I1361" s="22">
        <f>IFERROR(__xludf.DUMMYFUNCTION("""COMPUTED_VALUE"""),19.13)</f>
        <v>19.13</v>
      </c>
      <c r="J1361" s="25">
        <f>IFERROR(__xludf.DUMMYFUNCTION("""COMPUTED_VALUE"""),45236.63611111111)</f>
        <v>45236.63611</v>
      </c>
      <c r="K1361" s="22">
        <f>IFERROR(__xludf.DUMMYFUNCTION("""COMPUTED_VALUE"""),21.44)</f>
        <v>21.44</v>
      </c>
    </row>
    <row r="1362" ht="15.75" customHeight="1">
      <c r="A1362" s="25">
        <f>IFERROR(__xludf.DUMMYFUNCTION("""COMPUTED_VALUE"""),45237.66666666667)</f>
        <v>45237.66667</v>
      </c>
      <c r="B1362" s="22">
        <f>IFERROR(__xludf.DUMMYFUNCTION("""COMPUTED_VALUE"""),4378.38)</f>
        <v>4378.38</v>
      </c>
      <c r="C1362" s="25">
        <f>IFERROR(__xludf.DUMMYFUNCTION("""COMPUTED_VALUE"""),45237.63611111111)</f>
        <v>45237.63611</v>
      </c>
      <c r="D1362" s="22">
        <f>IFERROR(__xludf.DUMMYFUNCTION("""COMPUTED_VALUE"""),14.81)</f>
        <v>14.81</v>
      </c>
      <c r="F1362" s="25">
        <f>IFERROR(__xludf.DUMMYFUNCTION("""COMPUTED_VALUE"""),45237.63611111111)</f>
        <v>45237.63611</v>
      </c>
      <c r="G1362" s="22">
        <f>IFERROR(__xludf.DUMMYFUNCTION("""COMPUTED_VALUE"""),16.92)</f>
        <v>16.92</v>
      </c>
      <c r="H1362" s="25">
        <f>IFERROR(__xludf.DUMMYFUNCTION("""COMPUTED_VALUE"""),45237.63611111111)</f>
        <v>45237.63611</v>
      </c>
      <c r="I1362" s="22">
        <f>IFERROR(__xludf.DUMMYFUNCTION("""COMPUTED_VALUE"""),19.18)</f>
        <v>19.18</v>
      </c>
      <c r="J1362" s="25">
        <f>IFERROR(__xludf.DUMMYFUNCTION("""COMPUTED_VALUE"""),45237.63611111111)</f>
        <v>45237.63611</v>
      </c>
      <c r="K1362" s="22">
        <f>IFERROR(__xludf.DUMMYFUNCTION("""COMPUTED_VALUE"""),21.44)</f>
        <v>21.44</v>
      </c>
    </row>
    <row r="1363" ht="15.75" customHeight="1">
      <c r="A1363" s="25">
        <f>IFERROR(__xludf.DUMMYFUNCTION("""COMPUTED_VALUE"""),45238.66666666667)</f>
        <v>45238.66667</v>
      </c>
      <c r="B1363" s="22">
        <f>IFERROR(__xludf.DUMMYFUNCTION("""COMPUTED_VALUE"""),4382.78)</f>
        <v>4382.78</v>
      </c>
      <c r="C1363" s="25">
        <f>IFERROR(__xludf.DUMMYFUNCTION("""COMPUTED_VALUE"""),45238.63611111111)</f>
        <v>45238.63611</v>
      </c>
      <c r="D1363" s="22">
        <f>IFERROR(__xludf.DUMMYFUNCTION("""COMPUTED_VALUE"""),14.45)</f>
        <v>14.45</v>
      </c>
      <c r="F1363" s="25">
        <f>IFERROR(__xludf.DUMMYFUNCTION("""COMPUTED_VALUE"""),45238.63611111111)</f>
        <v>45238.63611</v>
      </c>
      <c r="G1363" s="22">
        <f>IFERROR(__xludf.DUMMYFUNCTION("""COMPUTED_VALUE"""),16.64)</f>
        <v>16.64</v>
      </c>
      <c r="H1363" s="25">
        <f>IFERROR(__xludf.DUMMYFUNCTION("""COMPUTED_VALUE"""),45238.63611111111)</f>
        <v>45238.63611</v>
      </c>
      <c r="I1363" s="22">
        <f>IFERROR(__xludf.DUMMYFUNCTION("""COMPUTED_VALUE"""),18.89)</f>
        <v>18.89</v>
      </c>
      <c r="J1363" s="25">
        <f>IFERROR(__xludf.DUMMYFUNCTION("""COMPUTED_VALUE"""),45238.63611111111)</f>
        <v>45238.63611</v>
      </c>
      <c r="K1363" s="22">
        <f>IFERROR(__xludf.DUMMYFUNCTION("""COMPUTED_VALUE"""),21.21)</f>
        <v>21.21</v>
      </c>
    </row>
    <row r="1364" ht="15.75" customHeight="1">
      <c r="A1364" s="25">
        <f>IFERROR(__xludf.DUMMYFUNCTION("""COMPUTED_VALUE"""),45239.66666666667)</f>
        <v>45239.66667</v>
      </c>
      <c r="B1364" s="22">
        <f>IFERROR(__xludf.DUMMYFUNCTION("""COMPUTED_VALUE"""),4347.35)</f>
        <v>4347.35</v>
      </c>
      <c r="C1364" s="25">
        <f>IFERROR(__xludf.DUMMYFUNCTION("""COMPUTED_VALUE"""),45239.63611111111)</f>
        <v>45239.63611</v>
      </c>
      <c r="D1364" s="22">
        <f>IFERROR(__xludf.DUMMYFUNCTION("""COMPUTED_VALUE"""),15.29)</f>
        <v>15.29</v>
      </c>
      <c r="F1364" s="25">
        <f>IFERROR(__xludf.DUMMYFUNCTION("""COMPUTED_VALUE"""),45239.63611111111)</f>
        <v>45239.63611</v>
      </c>
      <c r="G1364" s="22">
        <f>IFERROR(__xludf.DUMMYFUNCTION("""COMPUTED_VALUE"""),17.3)</f>
        <v>17.3</v>
      </c>
      <c r="H1364" s="25">
        <f>IFERROR(__xludf.DUMMYFUNCTION("""COMPUTED_VALUE"""),45239.63611111111)</f>
        <v>45239.63611</v>
      </c>
      <c r="I1364" s="22">
        <f>IFERROR(__xludf.DUMMYFUNCTION("""COMPUTED_VALUE"""),19.37)</f>
        <v>19.37</v>
      </c>
      <c r="J1364" s="25">
        <f>IFERROR(__xludf.DUMMYFUNCTION("""COMPUTED_VALUE"""),45239.63611111111)</f>
        <v>45239.63611</v>
      </c>
      <c r="K1364" s="22">
        <f>IFERROR(__xludf.DUMMYFUNCTION("""COMPUTED_VALUE"""),21.55)</f>
        <v>21.55</v>
      </c>
    </row>
    <row r="1365" ht="15.75" customHeight="1">
      <c r="A1365" s="25">
        <f>IFERROR(__xludf.DUMMYFUNCTION("""COMPUTED_VALUE"""),45240.66666666667)</f>
        <v>45240.66667</v>
      </c>
      <c r="B1365" s="22">
        <f>IFERROR(__xludf.DUMMYFUNCTION("""COMPUTED_VALUE"""),4415.24)</f>
        <v>4415.24</v>
      </c>
      <c r="C1365" s="25">
        <f>IFERROR(__xludf.DUMMYFUNCTION("""COMPUTED_VALUE"""),45240.63611111111)</f>
        <v>45240.63611</v>
      </c>
      <c r="D1365" s="22">
        <f>IFERROR(__xludf.DUMMYFUNCTION("""COMPUTED_VALUE"""),14.17)</f>
        <v>14.17</v>
      </c>
      <c r="F1365" s="25">
        <f>IFERROR(__xludf.DUMMYFUNCTION("""COMPUTED_VALUE"""),45240.63611111111)</f>
        <v>45240.63611</v>
      </c>
      <c r="G1365" s="22">
        <f>IFERROR(__xludf.DUMMYFUNCTION("""COMPUTED_VALUE"""),16.52)</f>
        <v>16.52</v>
      </c>
      <c r="H1365" s="25">
        <f>IFERROR(__xludf.DUMMYFUNCTION("""COMPUTED_VALUE"""),45240.63611111111)</f>
        <v>45240.63611</v>
      </c>
      <c r="I1365" s="22">
        <f>IFERROR(__xludf.DUMMYFUNCTION("""COMPUTED_VALUE"""),18.69)</f>
        <v>18.69</v>
      </c>
      <c r="J1365" s="25">
        <f>IFERROR(__xludf.DUMMYFUNCTION("""COMPUTED_VALUE"""),45240.63611111111)</f>
        <v>45240.63611</v>
      </c>
      <c r="K1365" s="22">
        <f>IFERROR(__xludf.DUMMYFUNCTION("""COMPUTED_VALUE"""),21.0)</f>
        <v>21</v>
      </c>
    </row>
    <row r="1366" ht="15.75" customHeight="1">
      <c r="A1366" s="25">
        <f>IFERROR(__xludf.DUMMYFUNCTION("""COMPUTED_VALUE"""),45243.66666666667)</f>
        <v>45243.66667</v>
      </c>
      <c r="B1366" s="22">
        <f>IFERROR(__xludf.DUMMYFUNCTION("""COMPUTED_VALUE"""),4411.55)</f>
        <v>4411.55</v>
      </c>
      <c r="C1366" s="25">
        <f>IFERROR(__xludf.DUMMYFUNCTION("""COMPUTED_VALUE"""),45243.63611111111)</f>
        <v>45243.63611</v>
      </c>
      <c r="D1366" s="22">
        <f>IFERROR(__xludf.DUMMYFUNCTION("""COMPUTED_VALUE"""),14.76)</f>
        <v>14.76</v>
      </c>
      <c r="F1366" s="25">
        <f>IFERROR(__xludf.DUMMYFUNCTION("""COMPUTED_VALUE"""),45243.63611111111)</f>
        <v>45243.63611</v>
      </c>
      <c r="G1366" s="22">
        <f>IFERROR(__xludf.DUMMYFUNCTION("""COMPUTED_VALUE"""),16.61)</f>
        <v>16.61</v>
      </c>
      <c r="H1366" s="25">
        <f>IFERROR(__xludf.DUMMYFUNCTION("""COMPUTED_VALUE"""),45243.63611111111)</f>
        <v>45243.63611</v>
      </c>
      <c r="I1366" s="22">
        <f>IFERROR(__xludf.DUMMYFUNCTION("""COMPUTED_VALUE"""),18.82)</f>
        <v>18.82</v>
      </c>
      <c r="J1366" s="25">
        <f>IFERROR(__xludf.DUMMYFUNCTION("""COMPUTED_VALUE"""),45243.63611111111)</f>
        <v>45243.63611</v>
      </c>
      <c r="K1366" s="22">
        <f>IFERROR(__xludf.DUMMYFUNCTION("""COMPUTED_VALUE"""),21.07)</f>
        <v>21.07</v>
      </c>
    </row>
    <row r="1367" ht="15.75" customHeight="1">
      <c r="A1367" s="25">
        <f>IFERROR(__xludf.DUMMYFUNCTION("""COMPUTED_VALUE"""),45244.66666666667)</f>
        <v>45244.66667</v>
      </c>
      <c r="B1367" s="22">
        <f>IFERROR(__xludf.DUMMYFUNCTION("""COMPUTED_VALUE"""),4495.7)</f>
        <v>4495.7</v>
      </c>
      <c r="C1367" s="25">
        <f>IFERROR(__xludf.DUMMYFUNCTION("""COMPUTED_VALUE"""),45244.63611111111)</f>
        <v>45244.63611</v>
      </c>
      <c r="D1367" s="22">
        <f>IFERROR(__xludf.DUMMYFUNCTION("""COMPUTED_VALUE"""),14.16)</f>
        <v>14.16</v>
      </c>
      <c r="F1367" s="25">
        <f>IFERROR(__xludf.DUMMYFUNCTION("""COMPUTED_VALUE"""),45244.63611111111)</f>
        <v>45244.63611</v>
      </c>
      <c r="G1367" s="22">
        <f>IFERROR(__xludf.DUMMYFUNCTION("""COMPUTED_VALUE"""),16.29)</f>
        <v>16.29</v>
      </c>
      <c r="H1367" s="25">
        <f>IFERROR(__xludf.DUMMYFUNCTION("""COMPUTED_VALUE"""),45244.63611111111)</f>
        <v>45244.63611</v>
      </c>
      <c r="I1367" s="22">
        <f>IFERROR(__xludf.DUMMYFUNCTION("""COMPUTED_VALUE"""),18.51)</f>
        <v>18.51</v>
      </c>
      <c r="J1367" s="25">
        <f>IFERROR(__xludf.DUMMYFUNCTION("""COMPUTED_VALUE"""),45244.63611111111)</f>
        <v>45244.63611</v>
      </c>
      <c r="K1367" s="22">
        <f>IFERROR(__xludf.DUMMYFUNCTION("""COMPUTED_VALUE"""),20.82)</f>
        <v>20.82</v>
      </c>
    </row>
    <row r="1368" ht="15.75" customHeight="1">
      <c r="A1368" s="25">
        <f>IFERROR(__xludf.DUMMYFUNCTION("""COMPUTED_VALUE"""),45245.66666666667)</f>
        <v>45245.66667</v>
      </c>
      <c r="B1368" s="22">
        <f>IFERROR(__xludf.DUMMYFUNCTION("""COMPUTED_VALUE"""),4502.88)</f>
        <v>4502.88</v>
      </c>
      <c r="C1368" s="25">
        <f>IFERROR(__xludf.DUMMYFUNCTION("""COMPUTED_VALUE"""),45245.63611111111)</f>
        <v>45245.63611</v>
      </c>
      <c r="D1368" s="22">
        <f>IFERROR(__xludf.DUMMYFUNCTION("""COMPUTED_VALUE"""),14.18)</f>
        <v>14.18</v>
      </c>
      <c r="F1368" s="25">
        <f>IFERROR(__xludf.DUMMYFUNCTION("""COMPUTED_VALUE"""),45245.63611111111)</f>
        <v>45245.63611</v>
      </c>
      <c r="G1368" s="22">
        <f>IFERROR(__xludf.DUMMYFUNCTION("""COMPUTED_VALUE"""),16.28)</f>
        <v>16.28</v>
      </c>
      <c r="H1368" s="25">
        <f>IFERROR(__xludf.DUMMYFUNCTION("""COMPUTED_VALUE"""),45245.63611111111)</f>
        <v>45245.63611</v>
      </c>
      <c r="I1368" s="22">
        <f>IFERROR(__xludf.DUMMYFUNCTION("""COMPUTED_VALUE"""),18.58)</f>
        <v>18.58</v>
      </c>
      <c r="J1368" s="25">
        <f>IFERROR(__xludf.DUMMYFUNCTION("""COMPUTED_VALUE"""),45245.63611111111)</f>
        <v>45245.63611</v>
      </c>
      <c r="K1368" s="22">
        <f>IFERROR(__xludf.DUMMYFUNCTION("""COMPUTED_VALUE"""),20.96)</f>
        <v>20.96</v>
      </c>
    </row>
    <row r="1369" ht="15.75" customHeight="1">
      <c r="A1369" s="25">
        <f>IFERROR(__xludf.DUMMYFUNCTION("""COMPUTED_VALUE"""),45246.66666666667)</f>
        <v>45246.66667</v>
      </c>
      <c r="B1369" s="22">
        <f>IFERROR(__xludf.DUMMYFUNCTION("""COMPUTED_VALUE"""),4508.24)</f>
        <v>4508.24</v>
      </c>
      <c r="C1369" s="25">
        <f>IFERROR(__xludf.DUMMYFUNCTION("""COMPUTED_VALUE"""),45246.63611111111)</f>
        <v>45246.63611</v>
      </c>
      <c r="D1369" s="22">
        <f>IFERROR(__xludf.DUMMYFUNCTION("""COMPUTED_VALUE"""),14.32)</f>
        <v>14.32</v>
      </c>
      <c r="F1369" s="25">
        <f>IFERROR(__xludf.DUMMYFUNCTION("""COMPUTED_VALUE"""),45246.63611111111)</f>
        <v>45246.63611</v>
      </c>
      <c r="G1369" s="22">
        <f>IFERROR(__xludf.DUMMYFUNCTION("""COMPUTED_VALUE"""),16.14)</f>
        <v>16.14</v>
      </c>
      <c r="H1369" s="25">
        <f>IFERROR(__xludf.DUMMYFUNCTION("""COMPUTED_VALUE"""),45246.63611111111)</f>
        <v>45246.63611</v>
      </c>
      <c r="I1369" s="22">
        <f>IFERROR(__xludf.DUMMYFUNCTION("""COMPUTED_VALUE"""),18.46)</f>
        <v>18.46</v>
      </c>
      <c r="J1369" s="25">
        <f>IFERROR(__xludf.DUMMYFUNCTION("""COMPUTED_VALUE"""),45246.63611111111)</f>
        <v>45246.63611</v>
      </c>
      <c r="K1369" s="22">
        <f>IFERROR(__xludf.DUMMYFUNCTION("""COMPUTED_VALUE"""),20.83)</f>
        <v>20.83</v>
      </c>
    </row>
    <row r="1370" ht="15.75" customHeight="1">
      <c r="A1370" s="25">
        <f>IFERROR(__xludf.DUMMYFUNCTION("""COMPUTED_VALUE"""),45247.66666666667)</f>
        <v>45247.66667</v>
      </c>
      <c r="B1370" s="22">
        <f>IFERROR(__xludf.DUMMYFUNCTION("""COMPUTED_VALUE"""),4514.02)</f>
        <v>4514.02</v>
      </c>
      <c r="C1370" s="25">
        <f>IFERROR(__xludf.DUMMYFUNCTION("""COMPUTED_VALUE"""),45247.63611111111)</f>
        <v>45247.63611</v>
      </c>
      <c r="D1370" s="22">
        <f>IFERROR(__xludf.DUMMYFUNCTION("""COMPUTED_VALUE"""),13.8)</f>
        <v>13.8</v>
      </c>
      <c r="F1370" s="25">
        <f>IFERROR(__xludf.DUMMYFUNCTION("""COMPUTED_VALUE"""),45247.63611111111)</f>
        <v>45247.63611</v>
      </c>
      <c r="G1370" s="22">
        <f>IFERROR(__xludf.DUMMYFUNCTION("""COMPUTED_VALUE"""),15.85)</f>
        <v>15.85</v>
      </c>
      <c r="H1370" s="25">
        <f>IFERROR(__xludf.DUMMYFUNCTION("""COMPUTED_VALUE"""),45247.63611111111)</f>
        <v>45247.63611</v>
      </c>
      <c r="I1370" s="22">
        <f>IFERROR(__xludf.DUMMYFUNCTION("""COMPUTED_VALUE"""),18.31)</f>
        <v>18.31</v>
      </c>
      <c r="J1370" s="25">
        <f>IFERROR(__xludf.DUMMYFUNCTION("""COMPUTED_VALUE"""),45247.63611111111)</f>
        <v>45247.63611</v>
      </c>
      <c r="K1370" s="22">
        <f>IFERROR(__xludf.DUMMYFUNCTION("""COMPUTED_VALUE"""),20.73)</f>
        <v>20.73</v>
      </c>
    </row>
    <row r="1371" ht="15.75" customHeight="1">
      <c r="A1371" s="25">
        <f>IFERROR(__xludf.DUMMYFUNCTION("""COMPUTED_VALUE"""),45250.66666666667)</f>
        <v>45250.66667</v>
      </c>
      <c r="B1371" s="22">
        <f>IFERROR(__xludf.DUMMYFUNCTION("""COMPUTED_VALUE"""),4547.38)</f>
        <v>4547.38</v>
      </c>
      <c r="C1371" s="25">
        <f>IFERROR(__xludf.DUMMYFUNCTION("""COMPUTED_VALUE"""),45250.63611111111)</f>
        <v>45250.63611</v>
      </c>
      <c r="D1371" s="22">
        <f>IFERROR(__xludf.DUMMYFUNCTION("""COMPUTED_VALUE"""),13.41)</f>
        <v>13.41</v>
      </c>
      <c r="F1371" s="25">
        <f>IFERROR(__xludf.DUMMYFUNCTION("""COMPUTED_VALUE"""),45250.63611111111)</f>
        <v>45250.63611</v>
      </c>
      <c r="G1371" s="22">
        <f>IFERROR(__xludf.DUMMYFUNCTION("""COMPUTED_VALUE"""),15.69)</f>
        <v>15.69</v>
      </c>
      <c r="H1371" s="25">
        <f>IFERROR(__xludf.DUMMYFUNCTION("""COMPUTED_VALUE"""),45250.63611111111)</f>
        <v>45250.63611</v>
      </c>
      <c r="I1371" s="22">
        <f>IFERROR(__xludf.DUMMYFUNCTION("""COMPUTED_VALUE"""),18.21)</f>
        <v>18.21</v>
      </c>
      <c r="J1371" s="25">
        <f>IFERROR(__xludf.DUMMYFUNCTION("""COMPUTED_VALUE"""),45250.63611111111)</f>
        <v>45250.63611</v>
      </c>
      <c r="K1371" s="22">
        <f>IFERROR(__xludf.DUMMYFUNCTION("""COMPUTED_VALUE"""),20.6)</f>
        <v>20.6</v>
      </c>
    </row>
    <row r="1372" ht="15.75" customHeight="1">
      <c r="A1372" s="25">
        <f>IFERROR(__xludf.DUMMYFUNCTION("""COMPUTED_VALUE"""),45251.66666666667)</f>
        <v>45251.66667</v>
      </c>
      <c r="B1372" s="22">
        <f>IFERROR(__xludf.DUMMYFUNCTION("""COMPUTED_VALUE"""),4538.19)</f>
        <v>4538.19</v>
      </c>
      <c r="C1372" s="25">
        <f>IFERROR(__xludf.DUMMYFUNCTION("""COMPUTED_VALUE"""),45251.63611111111)</f>
        <v>45251.63611</v>
      </c>
      <c r="D1372" s="22">
        <f>IFERROR(__xludf.DUMMYFUNCTION("""COMPUTED_VALUE"""),13.35)</f>
        <v>13.35</v>
      </c>
      <c r="F1372" s="25">
        <f>IFERROR(__xludf.DUMMYFUNCTION("""COMPUTED_VALUE"""),45251.63611111111)</f>
        <v>45251.63611</v>
      </c>
      <c r="G1372" s="22">
        <f>IFERROR(__xludf.DUMMYFUNCTION("""COMPUTED_VALUE"""),15.5)</f>
        <v>15.5</v>
      </c>
      <c r="H1372" s="25">
        <f>IFERROR(__xludf.DUMMYFUNCTION("""COMPUTED_VALUE"""),45251.63611111111)</f>
        <v>45251.63611</v>
      </c>
      <c r="I1372" s="22">
        <f>IFERROR(__xludf.DUMMYFUNCTION("""COMPUTED_VALUE"""),18.03)</f>
        <v>18.03</v>
      </c>
      <c r="J1372" s="25">
        <f>IFERROR(__xludf.DUMMYFUNCTION("""COMPUTED_VALUE"""),45251.63611111111)</f>
        <v>45251.63611</v>
      </c>
      <c r="K1372" s="22">
        <f>IFERROR(__xludf.DUMMYFUNCTION("""COMPUTED_VALUE"""),20.52)</f>
        <v>20.52</v>
      </c>
    </row>
    <row r="1373" ht="15.75" customHeight="1">
      <c r="A1373" s="25">
        <f>IFERROR(__xludf.DUMMYFUNCTION("""COMPUTED_VALUE"""),45252.66666666667)</f>
        <v>45252.66667</v>
      </c>
      <c r="B1373" s="22">
        <f>IFERROR(__xludf.DUMMYFUNCTION("""COMPUTED_VALUE"""),4556.62)</f>
        <v>4556.62</v>
      </c>
      <c r="C1373" s="25">
        <f>IFERROR(__xludf.DUMMYFUNCTION("""COMPUTED_VALUE"""),45252.63611111111)</f>
        <v>45252.63611</v>
      </c>
      <c r="D1373" s="22">
        <f>IFERROR(__xludf.DUMMYFUNCTION("""COMPUTED_VALUE"""),12.85)</f>
        <v>12.85</v>
      </c>
      <c r="F1373" s="25">
        <f>IFERROR(__xludf.DUMMYFUNCTION("""COMPUTED_VALUE"""),45252.63611111111)</f>
        <v>45252.63611</v>
      </c>
      <c r="G1373" s="22">
        <f>IFERROR(__xludf.DUMMYFUNCTION("""COMPUTED_VALUE"""),15.48)</f>
        <v>15.48</v>
      </c>
      <c r="H1373" s="25">
        <f>IFERROR(__xludf.DUMMYFUNCTION("""COMPUTED_VALUE"""),45252.63611111111)</f>
        <v>45252.63611</v>
      </c>
      <c r="I1373" s="22">
        <f>IFERROR(__xludf.DUMMYFUNCTION("""COMPUTED_VALUE"""),18.05)</f>
        <v>18.05</v>
      </c>
      <c r="J1373" s="25">
        <f>IFERROR(__xludf.DUMMYFUNCTION("""COMPUTED_VALUE"""),45252.63611111111)</f>
        <v>45252.63611</v>
      </c>
      <c r="K1373" s="22">
        <f>IFERROR(__xludf.DUMMYFUNCTION("""COMPUTED_VALUE"""),20.45)</f>
        <v>20.45</v>
      </c>
    </row>
    <row r="1374" ht="15.75" customHeight="1">
      <c r="A1374" s="25">
        <f>IFERROR(__xludf.DUMMYFUNCTION("""COMPUTED_VALUE"""),45254.54166666667)</f>
        <v>45254.54167</v>
      </c>
      <c r="B1374" s="22">
        <f>IFERROR(__xludf.DUMMYFUNCTION("""COMPUTED_VALUE"""),4559.34)</f>
        <v>4559.34</v>
      </c>
      <c r="C1374" s="25">
        <f>IFERROR(__xludf.DUMMYFUNCTION("""COMPUTED_VALUE"""),45254.54166666667)</f>
        <v>45254.54167</v>
      </c>
      <c r="D1374" s="22">
        <f>IFERROR(__xludf.DUMMYFUNCTION("""COMPUTED_VALUE"""),12.46)</f>
        <v>12.46</v>
      </c>
      <c r="F1374" s="25">
        <f>IFERROR(__xludf.DUMMYFUNCTION("""COMPUTED_VALUE"""),45254.54166666667)</f>
        <v>45254.54167</v>
      </c>
      <c r="G1374" s="22">
        <f>IFERROR(__xludf.DUMMYFUNCTION("""COMPUTED_VALUE"""),15.12)</f>
        <v>15.12</v>
      </c>
      <c r="H1374" s="25">
        <f>IFERROR(__xludf.DUMMYFUNCTION("""COMPUTED_VALUE"""),45254.54166666667)</f>
        <v>45254.54167</v>
      </c>
      <c r="I1374" s="22">
        <f>IFERROR(__xludf.DUMMYFUNCTION("""COMPUTED_VALUE"""),17.81)</f>
        <v>17.81</v>
      </c>
      <c r="J1374" s="25">
        <f>IFERROR(__xludf.DUMMYFUNCTION("""COMPUTED_VALUE"""),45254.54166666667)</f>
        <v>45254.54167</v>
      </c>
      <c r="K1374" s="22">
        <f>IFERROR(__xludf.DUMMYFUNCTION("""COMPUTED_VALUE"""),20.36)</f>
        <v>20.36</v>
      </c>
    </row>
    <row r="1375" ht="15.75" customHeight="1">
      <c r="A1375" s="25">
        <f>IFERROR(__xludf.DUMMYFUNCTION("""COMPUTED_VALUE"""),45257.66666666667)</f>
        <v>45257.66667</v>
      </c>
      <c r="B1375" s="22">
        <f>IFERROR(__xludf.DUMMYFUNCTION("""COMPUTED_VALUE"""),4550.43)</f>
        <v>4550.43</v>
      </c>
      <c r="C1375" s="25">
        <f>IFERROR(__xludf.DUMMYFUNCTION("""COMPUTED_VALUE"""),45257.63611111111)</f>
        <v>45257.63611</v>
      </c>
      <c r="D1375" s="22">
        <f>IFERROR(__xludf.DUMMYFUNCTION("""COMPUTED_VALUE"""),12.69)</f>
        <v>12.69</v>
      </c>
      <c r="F1375" s="25">
        <f>IFERROR(__xludf.DUMMYFUNCTION("""COMPUTED_VALUE"""),45257.63611111111)</f>
        <v>45257.63611</v>
      </c>
      <c r="G1375" s="22">
        <f>IFERROR(__xludf.DUMMYFUNCTION("""COMPUTED_VALUE"""),15.34)</f>
        <v>15.34</v>
      </c>
      <c r="H1375" s="25">
        <f>IFERROR(__xludf.DUMMYFUNCTION("""COMPUTED_VALUE"""),45257.63611111111)</f>
        <v>45257.63611</v>
      </c>
      <c r="I1375" s="22">
        <f>IFERROR(__xludf.DUMMYFUNCTION("""COMPUTED_VALUE"""),17.89)</f>
        <v>17.89</v>
      </c>
      <c r="J1375" s="25">
        <f>IFERROR(__xludf.DUMMYFUNCTION("""COMPUTED_VALUE"""),45257.63611111111)</f>
        <v>45257.63611</v>
      </c>
      <c r="K1375" s="22">
        <f>IFERROR(__xludf.DUMMYFUNCTION("""COMPUTED_VALUE"""),20.38)</f>
        <v>20.38</v>
      </c>
    </row>
    <row r="1376" ht="15.75" customHeight="1">
      <c r="A1376" s="25">
        <f>IFERROR(__xludf.DUMMYFUNCTION("""COMPUTED_VALUE"""),45258.66666666667)</f>
        <v>45258.66667</v>
      </c>
      <c r="B1376" s="22">
        <f>IFERROR(__xludf.DUMMYFUNCTION("""COMPUTED_VALUE"""),4554.89)</f>
        <v>4554.89</v>
      </c>
      <c r="C1376" s="25">
        <f>IFERROR(__xludf.DUMMYFUNCTION("""COMPUTED_VALUE"""),45258.63611111111)</f>
        <v>45258.63611</v>
      </c>
      <c r="D1376" s="22">
        <f>IFERROR(__xludf.DUMMYFUNCTION("""COMPUTED_VALUE"""),12.69)</f>
        <v>12.69</v>
      </c>
      <c r="F1376" s="25">
        <f>IFERROR(__xludf.DUMMYFUNCTION("""COMPUTED_VALUE"""),45258.63611111111)</f>
        <v>45258.63611</v>
      </c>
      <c r="G1376" s="22">
        <f>IFERROR(__xludf.DUMMYFUNCTION("""COMPUTED_VALUE"""),15.24)</f>
        <v>15.24</v>
      </c>
      <c r="H1376" s="25">
        <f>IFERROR(__xludf.DUMMYFUNCTION("""COMPUTED_VALUE"""),45258.63611111111)</f>
        <v>45258.63611</v>
      </c>
      <c r="I1376" s="22">
        <f>IFERROR(__xludf.DUMMYFUNCTION("""COMPUTED_VALUE"""),17.81)</f>
        <v>17.81</v>
      </c>
      <c r="J1376" s="25">
        <f>IFERROR(__xludf.DUMMYFUNCTION("""COMPUTED_VALUE"""),45258.63611111111)</f>
        <v>45258.63611</v>
      </c>
      <c r="K1376" s="22">
        <f>IFERROR(__xludf.DUMMYFUNCTION("""COMPUTED_VALUE"""),20.33)</f>
        <v>20.33</v>
      </c>
    </row>
    <row r="1377" ht="15.75" customHeight="1">
      <c r="A1377" s="25">
        <f>IFERROR(__xludf.DUMMYFUNCTION("""COMPUTED_VALUE"""),45259.66666666667)</f>
        <v>45259.66667</v>
      </c>
      <c r="B1377" s="22">
        <f>IFERROR(__xludf.DUMMYFUNCTION("""COMPUTED_VALUE"""),4550.58)</f>
        <v>4550.58</v>
      </c>
      <c r="C1377" s="25">
        <f>IFERROR(__xludf.DUMMYFUNCTION("""COMPUTED_VALUE"""),45259.63611111111)</f>
        <v>45259.63611</v>
      </c>
      <c r="D1377" s="22">
        <f>IFERROR(__xludf.DUMMYFUNCTION("""COMPUTED_VALUE"""),12.98)</f>
        <v>12.98</v>
      </c>
      <c r="F1377" s="25">
        <f>IFERROR(__xludf.DUMMYFUNCTION("""COMPUTED_VALUE"""),45259.63611111111)</f>
        <v>45259.63611</v>
      </c>
      <c r="G1377" s="22">
        <f>IFERROR(__xludf.DUMMYFUNCTION("""COMPUTED_VALUE"""),15.51)</f>
        <v>15.51</v>
      </c>
      <c r="H1377" s="25">
        <f>IFERROR(__xludf.DUMMYFUNCTION("""COMPUTED_VALUE"""),45259.63611111111)</f>
        <v>45259.63611</v>
      </c>
      <c r="I1377" s="22">
        <f>IFERROR(__xludf.DUMMYFUNCTION("""COMPUTED_VALUE"""),18.03)</f>
        <v>18.03</v>
      </c>
      <c r="J1377" s="25">
        <f>IFERROR(__xludf.DUMMYFUNCTION("""COMPUTED_VALUE"""),45259.63611111111)</f>
        <v>45259.63611</v>
      </c>
      <c r="K1377" s="22">
        <f>IFERROR(__xludf.DUMMYFUNCTION("""COMPUTED_VALUE"""),20.5)</f>
        <v>20.5</v>
      </c>
    </row>
    <row r="1378" ht="15.75" customHeight="1">
      <c r="A1378" s="25">
        <f>IFERROR(__xludf.DUMMYFUNCTION("""COMPUTED_VALUE"""),45260.66666666667)</f>
        <v>45260.66667</v>
      </c>
      <c r="B1378" s="22">
        <f>IFERROR(__xludf.DUMMYFUNCTION("""COMPUTED_VALUE"""),4567.8)</f>
        <v>4567.8</v>
      </c>
      <c r="C1378" s="25">
        <f>IFERROR(__xludf.DUMMYFUNCTION("""COMPUTED_VALUE"""),45260.63611111111)</f>
        <v>45260.63611</v>
      </c>
      <c r="D1378" s="22">
        <f>IFERROR(__xludf.DUMMYFUNCTION("""COMPUTED_VALUE"""),12.92)</f>
        <v>12.92</v>
      </c>
      <c r="F1378" s="25">
        <f>IFERROR(__xludf.DUMMYFUNCTION("""COMPUTED_VALUE"""),45260.63611111111)</f>
        <v>45260.63611</v>
      </c>
      <c r="G1378" s="22">
        <f>IFERROR(__xludf.DUMMYFUNCTION("""COMPUTED_VALUE"""),15.44)</f>
        <v>15.44</v>
      </c>
      <c r="H1378" s="25">
        <f>IFERROR(__xludf.DUMMYFUNCTION("""COMPUTED_VALUE"""),45260.63611111111)</f>
        <v>45260.63611</v>
      </c>
      <c r="I1378" s="22">
        <f>IFERROR(__xludf.DUMMYFUNCTION("""COMPUTED_VALUE"""),17.91)</f>
        <v>17.91</v>
      </c>
      <c r="J1378" s="25">
        <f>IFERROR(__xludf.DUMMYFUNCTION("""COMPUTED_VALUE"""),45260.63611111111)</f>
        <v>45260.63611</v>
      </c>
      <c r="K1378" s="22">
        <f>IFERROR(__xludf.DUMMYFUNCTION("""COMPUTED_VALUE"""),20.44)</f>
        <v>20.44</v>
      </c>
    </row>
    <row r="1379" ht="15.75" customHeight="1">
      <c r="A1379" s="25">
        <f>IFERROR(__xludf.DUMMYFUNCTION("""COMPUTED_VALUE"""),45261.66666666667)</f>
        <v>45261.66667</v>
      </c>
      <c r="B1379" s="22">
        <f>IFERROR(__xludf.DUMMYFUNCTION("""COMPUTED_VALUE"""),4594.63)</f>
        <v>4594.63</v>
      </c>
      <c r="C1379" s="25">
        <f>IFERROR(__xludf.DUMMYFUNCTION("""COMPUTED_VALUE"""),45261.63611111111)</f>
        <v>45261.63611</v>
      </c>
      <c r="D1379" s="22">
        <f>IFERROR(__xludf.DUMMYFUNCTION("""COMPUTED_VALUE"""),12.63)</f>
        <v>12.63</v>
      </c>
      <c r="F1379" s="25">
        <f>IFERROR(__xludf.DUMMYFUNCTION("""COMPUTED_VALUE"""),45261.63611111111)</f>
        <v>45261.63611</v>
      </c>
      <c r="G1379" s="22">
        <f>IFERROR(__xludf.DUMMYFUNCTION("""COMPUTED_VALUE"""),15.36)</f>
        <v>15.36</v>
      </c>
      <c r="H1379" s="25">
        <f>IFERROR(__xludf.DUMMYFUNCTION("""COMPUTED_VALUE"""),45261.63611111111)</f>
        <v>45261.63611</v>
      </c>
      <c r="I1379" s="22">
        <f>IFERROR(__xludf.DUMMYFUNCTION("""COMPUTED_VALUE"""),17.83)</f>
        <v>17.83</v>
      </c>
      <c r="J1379" s="25">
        <f>IFERROR(__xludf.DUMMYFUNCTION("""COMPUTED_VALUE"""),45261.63611111111)</f>
        <v>45261.63611</v>
      </c>
      <c r="K1379" s="22">
        <f>IFERROR(__xludf.DUMMYFUNCTION("""COMPUTED_VALUE"""),20.39)</f>
        <v>20.39</v>
      </c>
    </row>
    <row r="1380" ht="15.75" customHeight="1">
      <c r="A1380" s="25">
        <f>IFERROR(__xludf.DUMMYFUNCTION("""COMPUTED_VALUE"""),45264.66666666667)</f>
        <v>45264.66667</v>
      </c>
      <c r="B1380" s="22">
        <f>IFERROR(__xludf.DUMMYFUNCTION("""COMPUTED_VALUE"""),4569.78)</f>
        <v>4569.78</v>
      </c>
      <c r="C1380" s="25">
        <f>IFERROR(__xludf.DUMMYFUNCTION("""COMPUTED_VALUE"""),45264.63611111111)</f>
        <v>45264.63611</v>
      </c>
      <c r="D1380" s="22">
        <f>IFERROR(__xludf.DUMMYFUNCTION("""COMPUTED_VALUE"""),13.08)</f>
        <v>13.08</v>
      </c>
      <c r="F1380" s="25">
        <f>IFERROR(__xludf.DUMMYFUNCTION("""COMPUTED_VALUE"""),45264.63611111111)</f>
        <v>45264.63611</v>
      </c>
      <c r="G1380" s="22">
        <f>IFERROR(__xludf.DUMMYFUNCTION("""COMPUTED_VALUE"""),15.68)</f>
        <v>15.68</v>
      </c>
      <c r="H1380" s="25">
        <f>IFERROR(__xludf.DUMMYFUNCTION("""COMPUTED_VALUE"""),45264.63611111111)</f>
        <v>45264.63611</v>
      </c>
      <c r="I1380" s="22">
        <f>IFERROR(__xludf.DUMMYFUNCTION("""COMPUTED_VALUE"""),18.12)</f>
        <v>18.12</v>
      </c>
      <c r="J1380" s="25">
        <f>IFERROR(__xludf.DUMMYFUNCTION("""COMPUTED_VALUE"""),45264.63611111111)</f>
        <v>45264.63611</v>
      </c>
      <c r="K1380" s="22">
        <f>IFERROR(__xludf.DUMMYFUNCTION("""COMPUTED_VALUE"""),20.62)</f>
        <v>20.62</v>
      </c>
    </row>
    <row r="1381" ht="15.75" customHeight="1">
      <c r="A1381" s="25">
        <f>IFERROR(__xludf.DUMMYFUNCTION("""COMPUTED_VALUE"""),45265.66666666667)</f>
        <v>45265.66667</v>
      </c>
      <c r="B1381" s="22">
        <f>IFERROR(__xludf.DUMMYFUNCTION("""COMPUTED_VALUE"""),4567.18)</f>
        <v>4567.18</v>
      </c>
      <c r="C1381" s="25">
        <f>IFERROR(__xludf.DUMMYFUNCTION("""COMPUTED_VALUE"""),45265.63611111111)</f>
        <v>45265.63611</v>
      </c>
      <c r="D1381" s="22">
        <f>IFERROR(__xludf.DUMMYFUNCTION("""COMPUTED_VALUE"""),12.85)</f>
        <v>12.85</v>
      </c>
      <c r="F1381" s="25">
        <f>IFERROR(__xludf.DUMMYFUNCTION("""COMPUTED_VALUE"""),45265.63611111111)</f>
        <v>45265.63611</v>
      </c>
      <c r="G1381" s="22">
        <f>IFERROR(__xludf.DUMMYFUNCTION("""COMPUTED_VALUE"""),15.57)</f>
        <v>15.57</v>
      </c>
      <c r="H1381" s="25">
        <f>IFERROR(__xludf.DUMMYFUNCTION("""COMPUTED_VALUE"""),45265.63611111111)</f>
        <v>45265.63611</v>
      </c>
      <c r="I1381" s="22">
        <f>IFERROR(__xludf.DUMMYFUNCTION("""COMPUTED_VALUE"""),17.99)</f>
        <v>17.99</v>
      </c>
      <c r="J1381" s="25">
        <f>IFERROR(__xludf.DUMMYFUNCTION("""COMPUTED_VALUE"""),45265.63611111111)</f>
        <v>45265.63611</v>
      </c>
      <c r="K1381" s="22">
        <f>IFERROR(__xludf.DUMMYFUNCTION("""COMPUTED_VALUE"""),20.54)</f>
        <v>20.54</v>
      </c>
    </row>
    <row r="1382" ht="15.75" customHeight="1">
      <c r="A1382" s="25">
        <f>IFERROR(__xludf.DUMMYFUNCTION("""COMPUTED_VALUE"""),45266.66666666667)</f>
        <v>45266.66667</v>
      </c>
      <c r="B1382" s="22">
        <f>IFERROR(__xludf.DUMMYFUNCTION("""COMPUTED_VALUE"""),4549.34)</f>
        <v>4549.34</v>
      </c>
      <c r="C1382" s="25">
        <f>IFERROR(__xludf.DUMMYFUNCTION("""COMPUTED_VALUE"""),45266.63611111111)</f>
        <v>45266.63611</v>
      </c>
      <c r="D1382" s="22">
        <f>IFERROR(__xludf.DUMMYFUNCTION("""COMPUTED_VALUE"""),12.97)</f>
        <v>12.97</v>
      </c>
      <c r="F1382" s="25">
        <f>IFERROR(__xludf.DUMMYFUNCTION("""COMPUTED_VALUE"""),45266.63611111111)</f>
        <v>45266.63611</v>
      </c>
      <c r="G1382" s="22">
        <f>IFERROR(__xludf.DUMMYFUNCTION("""COMPUTED_VALUE"""),15.74)</f>
        <v>15.74</v>
      </c>
      <c r="H1382" s="25">
        <f>IFERROR(__xludf.DUMMYFUNCTION("""COMPUTED_VALUE"""),45266.63611111111)</f>
        <v>45266.63611</v>
      </c>
      <c r="I1382" s="22">
        <f>IFERROR(__xludf.DUMMYFUNCTION("""COMPUTED_VALUE"""),18.15)</f>
        <v>18.15</v>
      </c>
      <c r="J1382" s="25">
        <f>IFERROR(__xludf.DUMMYFUNCTION("""COMPUTED_VALUE"""),45266.63611111111)</f>
        <v>45266.63611</v>
      </c>
      <c r="K1382" s="22">
        <f>IFERROR(__xludf.DUMMYFUNCTION("""COMPUTED_VALUE"""),20.6)</f>
        <v>20.6</v>
      </c>
    </row>
    <row r="1383" ht="15.75" customHeight="1">
      <c r="A1383" s="25">
        <f>IFERROR(__xludf.DUMMYFUNCTION("""COMPUTED_VALUE"""),45267.66666666667)</f>
        <v>45267.66667</v>
      </c>
      <c r="B1383" s="22">
        <f>IFERROR(__xludf.DUMMYFUNCTION("""COMPUTED_VALUE"""),4585.59)</f>
        <v>4585.59</v>
      </c>
      <c r="C1383" s="25">
        <f>IFERROR(__xludf.DUMMYFUNCTION("""COMPUTED_VALUE"""),45267.63611111111)</f>
        <v>45267.63611</v>
      </c>
      <c r="D1383" s="22">
        <f>IFERROR(__xludf.DUMMYFUNCTION("""COMPUTED_VALUE"""),13.06)</f>
        <v>13.06</v>
      </c>
      <c r="F1383" s="25">
        <f>IFERROR(__xludf.DUMMYFUNCTION("""COMPUTED_VALUE"""),45267.63611111111)</f>
        <v>45267.63611</v>
      </c>
      <c r="G1383" s="22">
        <f>IFERROR(__xludf.DUMMYFUNCTION("""COMPUTED_VALUE"""),15.65)</f>
        <v>15.65</v>
      </c>
      <c r="H1383" s="25">
        <f>IFERROR(__xludf.DUMMYFUNCTION("""COMPUTED_VALUE"""),45267.63611111111)</f>
        <v>45267.63611</v>
      </c>
      <c r="I1383" s="22">
        <f>IFERROR(__xludf.DUMMYFUNCTION("""COMPUTED_VALUE"""),17.95)</f>
        <v>17.95</v>
      </c>
      <c r="J1383" s="25">
        <f>IFERROR(__xludf.DUMMYFUNCTION("""COMPUTED_VALUE"""),45267.63611111111)</f>
        <v>45267.63611</v>
      </c>
      <c r="K1383" s="22">
        <f>IFERROR(__xludf.DUMMYFUNCTION("""COMPUTED_VALUE"""),20.37)</f>
        <v>20.37</v>
      </c>
    </row>
    <row r="1384" ht="15.75" customHeight="1">
      <c r="A1384" s="25">
        <f>IFERROR(__xludf.DUMMYFUNCTION("""COMPUTED_VALUE"""),45268.66666666667)</f>
        <v>45268.66667</v>
      </c>
      <c r="B1384" s="22">
        <f>IFERROR(__xludf.DUMMYFUNCTION("""COMPUTED_VALUE"""),4604.37)</f>
        <v>4604.37</v>
      </c>
      <c r="C1384" s="25">
        <f>IFERROR(__xludf.DUMMYFUNCTION("""COMPUTED_VALUE"""),45268.63611111111)</f>
        <v>45268.63611</v>
      </c>
      <c r="D1384" s="22">
        <f>IFERROR(__xludf.DUMMYFUNCTION("""COMPUTED_VALUE"""),12.35)</f>
        <v>12.35</v>
      </c>
      <c r="F1384" s="25">
        <f>IFERROR(__xludf.DUMMYFUNCTION("""COMPUTED_VALUE"""),45268.63611111111)</f>
        <v>45268.63611</v>
      </c>
      <c r="G1384" s="22">
        <f>IFERROR(__xludf.DUMMYFUNCTION("""COMPUTED_VALUE"""),15.16)</f>
        <v>15.16</v>
      </c>
      <c r="H1384" s="25">
        <f>IFERROR(__xludf.DUMMYFUNCTION("""COMPUTED_VALUE"""),45268.63611111111)</f>
        <v>45268.63611</v>
      </c>
      <c r="I1384" s="22">
        <f>IFERROR(__xludf.DUMMYFUNCTION("""COMPUTED_VALUE"""),17.61)</f>
        <v>17.61</v>
      </c>
      <c r="J1384" s="25">
        <f>IFERROR(__xludf.DUMMYFUNCTION("""COMPUTED_VALUE"""),45268.63611111111)</f>
        <v>45268.63611</v>
      </c>
      <c r="K1384" s="22">
        <f>IFERROR(__xludf.DUMMYFUNCTION("""COMPUTED_VALUE"""),20.22)</f>
        <v>20.22</v>
      </c>
    </row>
    <row r="1385" ht="15.75" customHeight="1">
      <c r="A1385" s="25">
        <f>IFERROR(__xludf.DUMMYFUNCTION("""COMPUTED_VALUE"""),45271.66666666667)</f>
        <v>45271.66667</v>
      </c>
      <c r="B1385" s="22">
        <f>IFERROR(__xludf.DUMMYFUNCTION("""COMPUTED_VALUE"""),4622.44)</f>
        <v>4622.44</v>
      </c>
      <c r="C1385" s="25">
        <f>IFERROR(__xludf.DUMMYFUNCTION("""COMPUTED_VALUE"""),45271.63611111111)</f>
        <v>45271.63611</v>
      </c>
      <c r="D1385" s="22">
        <f>IFERROR(__xludf.DUMMYFUNCTION("""COMPUTED_VALUE"""),12.63)</f>
        <v>12.63</v>
      </c>
      <c r="F1385" s="25">
        <f>IFERROR(__xludf.DUMMYFUNCTION("""COMPUTED_VALUE"""),45271.63611111111)</f>
        <v>45271.63611</v>
      </c>
      <c r="G1385" s="22">
        <f>IFERROR(__xludf.DUMMYFUNCTION("""COMPUTED_VALUE"""),15.19)</f>
        <v>15.19</v>
      </c>
      <c r="H1385" s="25">
        <f>IFERROR(__xludf.DUMMYFUNCTION("""COMPUTED_VALUE"""),45271.63611111111)</f>
        <v>45271.63611</v>
      </c>
      <c r="I1385" s="22">
        <f>IFERROR(__xludf.DUMMYFUNCTION("""COMPUTED_VALUE"""),17.54)</f>
        <v>17.54</v>
      </c>
      <c r="J1385" s="25">
        <f>IFERROR(__xludf.DUMMYFUNCTION("""COMPUTED_VALUE"""),45271.63611111111)</f>
        <v>45271.63611</v>
      </c>
      <c r="K1385" s="22">
        <f>IFERROR(__xludf.DUMMYFUNCTION("""COMPUTED_VALUE"""),20.14)</f>
        <v>20.14</v>
      </c>
    </row>
    <row r="1386" ht="15.75" customHeight="1">
      <c r="A1386" s="25">
        <f>IFERROR(__xludf.DUMMYFUNCTION("""COMPUTED_VALUE"""),45272.66666666667)</f>
        <v>45272.66667</v>
      </c>
      <c r="B1386" s="22">
        <f>IFERROR(__xludf.DUMMYFUNCTION("""COMPUTED_VALUE"""),4643.7)</f>
        <v>4643.7</v>
      </c>
      <c r="C1386" s="25">
        <f>IFERROR(__xludf.DUMMYFUNCTION("""COMPUTED_VALUE"""),45272.63611111111)</f>
        <v>45272.63611</v>
      </c>
      <c r="D1386" s="22">
        <f>IFERROR(__xludf.DUMMYFUNCTION("""COMPUTED_VALUE"""),12.07)</f>
        <v>12.07</v>
      </c>
      <c r="F1386" s="25">
        <f>IFERROR(__xludf.DUMMYFUNCTION("""COMPUTED_VALUE"""),45272.63611111111)</f>
        <v>45272.63611</v>
      </c>
      <c r="G1386" s="22">
        <f>IFERROR(__xludf.DUMMYFUNCTION("""COMPUTED_VALUE"""),14.83)</f>
        <v>14.83</v>
      </c>
      <c r="H1386" s="25">
        <f>IFERROR(__xludf.DUMMYFUNCTION("""COMPUTED_VALUE"""),45272.63611111111)</f>
        <v>45272.63611</v>
      </c>
      <c r="I1386" s="22">
        <f>IFERROR(__xludf.DUMMYFUNCTION("""COMPUTED_VALUE"""),17.2)</f>
        <v>17.2</v>
      </c>
      <c r="J1386" s="25">
        <f>IFERROR(__xludf.DUMMYFUNCTION("""COMPUTED_VALUE"""),45272.63611111111)</f>
        <v>45272.63611</v>
      </c>
      <c r="K1386" s="22">
        <f>IFERROR(__xludf.DUMMYFUNCTION("""COMPUTED_VALUE"""),19.69)</f>
        <v>19.69</v>
      </c>
    </row>
    <row r="1387" ht="15.75" customHeight="1">
      <c r="A1387" s="25">
        <f>IFERROR(__xludf.DUMMYFUNCTION("""COMPUTED_VALUE"""),45273.66666666667)</f>
        <v>45273.66667</v>
      </c>
      <c r="B1387" s="22">
        <f>IFERROR(__xludf.DUMMYFUNCTION("""COMPUTED_VALUE"""),4707.09)</f>
        <v>4707.09</v>
      </c>
      <c r="C1387" s="25">
        <f>IFERROR(__xludf.DUMMYFUNCTION("""COMPUTED_VALUE"""),45273.63611111111)</f>
        <v>45273.63611</v>
      </c>
      <c r="D1387" s="22">
        <f>IFERROR(__xludf.DUMMYFUNCTION("""COMPUTED_VALUE"""),12.19)</f>
        <v>12.19</v>
      </c>
      <c r="F1387" s="25">
        <f>IFERROR(__xludf.DUMMYFUNCTION("""COMPUTED_VALUE"""),45273.63611111111)</f>
        <v>45273.63611</v>
      </c>
      <c r="G1387" s="22">
        <f>IFERROR(__xludf.DUMMYFUNCTION("""COMPUTED_VALUE"""),14.66)</f>
        <v>14.66</v>
      </c>
      <c r="H1387" s="25">
        <f>IFERROR(__xludf.DUMMYFUNCTION("""COMPUTED_VALUE"""),45273.63611111111)</f>
        <v>45273.63611</v>
      </c>
      <c r="I1387" s="22">
        <f>IFERROR(__xludf.DUMMYFUNCTION("""COMPUTED_VALUE"""),16.99)</f>
        <v>16.99</v>
      </c>
      <c r="J1387" s="25">
        <f>IFERROR(__xludf.DUMMYFUNCTION("""COMPUTED_VALUE"""),45273.63611111111)</f>
        <v>45273.63611</v>
      </c>
      <c r="K1387" s="22">
        <f>IFERROR(__xludf.DUMMYFUNCTION("""COMPUTED_VALUE"""),19.68)</f>
        <v>19.68</v>
      </c>
    </row>
    <row r="1388" ht="15.75" customHeight="1">
      <c r="A1388" s="25">
        <f>IFERROR(__xludf.DUMMYFUNCTION("""COMPUTED_VALUE"""),45274.66666666667)</f>
        <v>45274.66667</v>
      </c>
      <c r="B1388" s="22">
        <f>IFERROR(__xludf.DUMMYFUNCTION("""COMPUTED_VALUE"""),4719.55)</f>
        <v>4719.55</v>
      </c>
      <c r="C1388" s="25">
        <f>IFERROR(__xludf.DUMMYFUNCTION("""COMPUTED_VALUE"""),45274.63611111111)</f>
        <v>45274.63611</v>
      </c>
      <c r="D1388" s="22">
        <f>IFERROR(__xludf.DUMMYFUNCTION("""COMPUTED_VALUE"""),12.48)</f>
        <v>12.48</v>
      </c>
      <c r="F1388" s="25">
        <f>IFERROR(__xludf.DUMMYFUNCTION("""COMPUTED_VALUE"""),45274.63611111111)</f>
        <v>45274.63611</v>
      </c>
      <c r="G1388" s="22">
        <f>IFERROR(__xludf.DUMMYFUNCTION("""COMPUTED_VALUE"""),14.79)</f>
        <v>14.79</v>
      </c>
      <c r="H1388" s="25">
        <f>IFERROR(__xludf.DUMMYFUNCTION("""COMPUTED_VALUE"""),45274.63611111111)</f>
        <v>45274.63611</v>
      </c>
      <c r="I1388" s="22">
        <f>IFERROR(__xludf.DUMMYFUNCTION("""COMPUTED_VALUE"""),16.99)</f>
        <v>16.99</v>
      </c>
      <c r="J1388" s="25">
        <f>IFERROR(__xludf.DUMMYFUNCTION("""COMPUTED_VALUE"""),45274.63611111111)</f>
        <v>45274.63611</v>
      </c>
      <c r="K1388" s="22">
        <f>IFERROR(__xludf.DUMMYFUNCTION("""COMPUTED_VALUE"""),19.48)</f>
        <v>19.48</v>
      </c>
    </row>
    <row r="1389" ht="15.75" customHeight="1">
      <c r="A1389" s="25">
        <f>IFERROR(__xludf.DUMMYFUNCTION("""COMPUTED_VALUE"""),45275.66666666667)</f>
        <v>45275.66667</v>
      </c>
      <c r="B1389" s="22">
        <f>IFERROR(__xludf.DUMMYFUNCTION("""COMPUTED_VALUE"""),4719.19)</f>
        <v>4719.19</v>
      </c>
      <c r="C1389" s="25">
        <f>IFERROR(__xludf.DUMMYFUNCTION("""COMPUTED_VALUE"""),45275.63611111111)</f>
        <v>45275.63611</v>
      </c>
      <c r="D1389" s="22">
        <f>IFERROR(__xludf.DUMMYFUNCTION("""COMPUTED_VALUE"""),12.28)</f>
        <v>12.28</v>
      </c>
      <c r="F1389" s="25">
        <f>IFERROR(__xludf.DUMMYFUNCTION("""COMPUTED_VALUE"""),45275.63611111111)</f>
        <v>45275.63611</v>
      </c>
      <c r="G1389" s="22">
        <f>IFERROR(__xludf.DUMMYFUNCTION("""COMPUTED_VALUE"""),15.13)</f>
        <v>15.13</v>
      </c>
      <c r="H1389" s="25">
        <f>IFERROR(__xludf.DUMMYFUNCTION("""COMPUTED_VALUE"""),45275.63611111111)</f>
        <v>45275.63611</v>
      </c>
      <c r="I1389" s="22">
        <f>IFERROR(__xludf.DUMMYFUNCTION("""COMPUTED_VALUE"""),17.32)</f>
        <v>17.32</v>
      </c>
      <c r="J1389" s="25">
        <f>IFERROR(__xludf.DUMMYFUNCTION("""COMPUTED_VALUE"""),45275.63611111111)</f>
        <v>45275.63611</v>
      </c>
      <c r="K1389" s="22">
        <f>IFERROR(__xludf.DUMMYFUNCTION("""COMPUTED_VALUE"""),19.89)</f>
        <v>19.89</v>
      </c>
    </row>
    <row r="1390" ht="15.75" customHeight="1">
      <c r="A1390" s="25">
        <f>IFERROR(__xludf.DUMMYFUNCTION("""COMPUTED_VALUE"""),45278.66666666667)</f>
        <v>45278.66667</v>
      </c>
      <c r="B1390" s="22">
        <f>IFERROR(__xludf.DUMMYFUNCTION("""COMPUTED_VALUE"""),4740.56)</f>
        <v>4740.56</v>
      </c>
      <c r="C1390" s="25">
        <f>IFERROR(__xludf.DUMMYFUNCTION("""COMPUTED_VALUE"""),45278.63611111111)</f>
        <v>45278.63611</v>
      </c>
      <c r="D1390" s="22">
        <f>IFERROR(__xludf.DUMMYFUNCTION("""COMPUTED_VALUE"""),12.56)</f>
        <v>12.56</v>
      </c>
      <c r="F1390" s="25">
        <f>IFERROR(__xludf.DUMMYFUNCTION("""COMPUTED_VALUE"""),45278.63611111111)</f>
        <v>45278.63611</v>
      </c>
      <c r="G1390" s="22">
        <f>IFERROR(__xludf.DUMMYFUNCTION("""COMPUTED_VALUE"""),15.47)</f>
        <v>15.47</v>
      </c>
      <c r="H1390" s="25">
        <f>IFERROR(__xludf.DUMMYFUNCTION("""COMPUTED_VALUE"""),45278.63611111111)</f>
        <v>45278.63611</v>
      </c>
      <c r="I1390" s="22">
        <f>IFERROR(__xludf.DUMMYFUNCTION("""COMPUTED_VALUE"""),17.59)</f>
        <v>17.59</v>
      </c>
      <c r="J1390" s="25">
        <f>IFERROR(__xludf.DUMMYFUNCTION("""COMPUTED_VALUE"""),45278.63611111111)</f>
        <v>45278.63611</v>
      </c>
      <c r="K1390" s="22">
        <f>IFERROR(__xludf.DUMMYFUNCTION("""COMPUTED_VALUE"""),20.03)</f>
        <v>20.03</v>
      </c>
    </row>
    <row r="1391" ht="15.75" customHeight="1">
      <c r="A1391" s="25">
        <f>IFERROR(__xludf.DUMMYFUNCTION("""COMPUTED_VALUE"""),45279.66666666667)</f>
        <v>45279.66667</v>
      </c>
      <c r="B1391" s="22">
        <f>IFERROR(__xludf.DUMMYFUNCTION("""COMPUTED_VALUE"""),4768.37)</f>
        <v>4768.37</v>
      </c>
      <c r="C1391" s="25">
        <f>IFERROR(__xludf.DUMMYFUNCTION("""COMPUTED_VALUE"""),45279.63611111111)</f>
        <v>45279.63611</v>
      </c>
      <c r="D1391" s="22">
        <f>IFERROR(__xludf.DUMMYFUNCTION("""COMPUTED_VALUE"""),12.53)</f>
        <v>12.53</v>
      </c>
      <c r="F1391" s="25">
        <f>IFERROR(__xludf.DUMMYFUNCTION("""COMPUTED_VALUE"""),45279.63611111111)</f>
        <v>45279.63611</v>
      </c>
      <c r="G1391" s="22">
        <f>IFERROR(__xludf.DUMMYFUNCTION("""COMPUTED_VALUE"""),15.64)</f>
        <v>15.64</v>
      </c>
      <c r="H1391" s="25">
        <f>IFERROR(__xludf.DUMMYFUNCTION("""COMPUTED_VALUE"""),45279.63611111111)</f>
        <v>45279.63611</v>
      </c>
      <c r="I1391" s="22">
        <f>IFERROR(__xludf.DUMMYFUNCTION("""COMPUTED_VALUE"""),17.81)</f>
        <v>17.81</v>
      </c>
      <c r="J1391" s="25">
        <f>IFERROR(__xludf.DUMMYFUNCTION("""COMPUTED_VALUE"""),45279.63611111111)</f>
        <v>45279.63611</v>
      </c>
      <c r="K1391" s="22">
        <f>IFERROR(__xludf.DUMMYFUNCTION("""COMPUTED_VALUE"""),20.24)</f>
        <v>20.24</v>
      </c>
    </row>
    <row r="1392" ht="15.75" customHeight="1">
      <c r="A1392" s="25">
        <f>IFERROR(__xludf.DUMMYFUNCTION("""COMPUTED_VALUE"""),45280.66666666667)</f>
        <v>45280.66667</v>
      </c>
      <c r="B1392" s="22">
        <f>IFERROR(__xludf.DUMMYFUNCTION("""COMPUTED_VALUE"""),4698.35)</f>
        <v>4698.35</v>
      </c>
      <c r="C1392" s="25">
        <f>IFERROR(__xludf.DUMMYFUNCTION("""COMPUTED_VALUE"""),45280.63611111111)</f>
        <v>45280.63611</v>
      </c>
      <c r="D1392" s="22">
        <f>IFERROR(__xludf.DUMMYFUNCTION("""COMPUTED_VALUE"""),13.67)</f>
        <v>13.67</v>
      </c>
      <c r="F1392" s="25">
        <f>IFERROR(__xludf.DUMMYFUNCTION("""COMPUTED_VALUE"""),45280.63611111111)</f>
        <v>45280.63611</v>
      </c>
      <c r="G1392" s="22">
        <f>IFERROR(__xludf.DUMMYFUNCTION("""COMPUTED_VALUE"""),16.58)</f>
        <v>16.58</v>
      </c>
      <c r="H1392" s="25">
        <f>IFERROR(__xludf.DUMMYFUNCTION("""COMPUTED_VALUE"""),45280.63611111111)</f>
        <v>45280.63611</v>
      </c>
      <c r="I1392" s="22">
        <f>IFERROR(__xludf.DUMMYFUNCTION("""COMPUTED_VALUE"""),18.64)</f>
        <v>18.64</v>
      </c>
      <c r="J1392" s="25">
        <f>IFERROR(__xludf.DUMMYFUNCTION("""COMPUTED_VALUE"""),45280.63611111111)</f>
        <v>45280.63611</v>
      </c>
      <c r="K1392" s="22">
        <f>IFERROR(__xludf.DUMMYFUNCTION("""COMPUTED_VALUE"""),20.77)</f>
        <v>20.77</v>
      </c>
    </row>
    <row r="1393" ht="15.75" customHeight="1">
      <c r="A1393" s="25">
        <f>IFERROR(__xludf.DUMMYFUNCTION("""COMPUTED_VALUE"""),45281.66666666667)</f>
        <v>45281.66667</v>
      </c>
      <c r="B1393" s="22">
        <f>IFERROR(__xludf.DUMMYFUNCTION("""COMPUTED_VALUE"""),4746.75)</f>
        <v>4746.75</v>
      </c>
      <c r="C1393" s="25">
        <f>IFERROR(__xludf.DUMMYFUNCTION("""COMPUTED_VALUE"""),45281.63611111111)</f>
        <v>45281.63611</v>
      </c>
      <c r="D1393" s="22">
        <f>IFERROR(__xludf.DUMMYFUNCTION("""COMPUTED_VALUE"""),13.65)</f>
        <v>13.65</v>
      </c>
      <c r="F1393" s="25">
        <f>IFERROR(__xludf.DUMMYFUNCTION("""COMPUTED_VALUE"""),45281.63611111111)</f>
        <v>45281.63611</v>
      </c>
      <c r="G1393" s="22">
        <f>IFERROR(__xludf.DUMMYFUNCTION("""COMPUTED_VALUE"""),16.3)</f>
        <v>16.3</v>
      </c>
      <c r="H1393" s="25">
        <f>IFERROR(__xludf.DUMMYFUNCTION("""COMPUTED_VALUE"""),45281.63611111111)</f>
        <v>45281.63611</v>
      </c>
      <c r="I1393" s="22">
        <f>IFERROR(__xludf.DUMMYFUNCTION("""COMPUTED_VALUE"""),18.4)</f>
        <v>18.4</v>
      </c>
      <c r="J1393" s="25">
        <f>IFERROR(__xludf.DUMMYFUNCTION("""COMPUTED_VALUE"""),45281.63611111111)</f>
        <v>45281.63611</v>
      </c>
      <c r="K1393" s="22">
        <f>IFERROR(__xludf.DUMMYFUNCTION("""COMPUTED_VALUE"""),20.55)</f>
        <v>20.55</v>
      </c>
    </row>
    <row r="1394" ht="15.75" customHeight="1">
      <c r="A1394" s="25">
        <f>IFERROR(__xludf.DUMMYFUNCTION("""COMPUTED_VALUE"""),45282.66666666667)</f>
        <v>45282.66667</v>
      </c>
      <c r="B1394" s="22">
        <f>IFERROR(__xludf.DUMMYFUNCTION("""COMPUTED_VALUE"""),4754.63)</f>
        <v>4754.63</v>
      </c>
      <c r="C1394" s="25">
        <f>IFERROR(__xludf.DUMMYFUNCTION("""COMPUTED_VALUE"""),45282.63611111111)</f>
        <v>45282.63611</v>
      </c>
      <c r="D1394" s="22">
        <f>IFERROR(__xludf.DUMMYFUNCTION("""COMPUTED_VALUE"""),13.03)</f>
        <v>13.03</v>
      </c>
      <c r="F1394" s="25">
        <f>IFERROR(__xludf.DUMMYFUNCTION("""COMPUTED_VALUE"""),45282.63611111111)</f>
        <v>45282.63611</v>
      </c>
      <c r="G1394" s="22">
        <f>IFERROR(__xludf.DUMMYFUNCTION("""COMPUTED_VALUE"""),15.99)</f>
        <v>15.99</v>
      </c>
      <c r="H1394" s="25">
        <f>IFERROR(__xludf.DUMMYFUNCTION("""COMPUTED_VALUE"""),45282.63611111111)</f>
        <v>45282.63611</v>
      </c>
      <c r="I1394" s="22">
        <f>IFERROR(__xludf.DUMMYFUNCTION("""COMPUTED_VALUE"""),18.19)</f>
        <v>18.19</v>
      </c>
      <c r="J1394" s="25">
        <f>IFERROR(__xludf.DUMMYFUNCTION("""COMPUTED_VALUE"""),45282.63611111111)</f>
        <v>45282.63611</v>
      </c>
      <c r="K1394" s="22">
        <f>IFERROR(__xludf.DUMMYFUNCTION("""COMPUTED_VALUE"""),20.72)</f>
        <v>20.72</v>
      </c>
    </row>
    <row r="1395" ht="15.75" customHeight="1">
      <c r="A1395" s="25">
        <f>IFERROR(__xludf.DUMMYFUNCTION("""COMPUTED_VALUE"""),45286.66666666667)</f>
        <v>45286.66667</v>
      </c>
      <c r="B1395" s="22">
        <f>IFERROR(__xludf.DUMMYFUNCTION("""COMPUTED_VALUE"""),4774.75)</f>
        <v>4774.75</v>
      </c>
      <c r="C1395" s="25">
        <f>IFERROR(__xludf.DUMMYFUNCTION("""COMPUTED_VALUE"""),45286.63611111111)</f>
        <v>45286.63611</v>
      </c>
      <c r="D1395" s="22">
        <f>IFERROR(__xludf.DUMMYFUNCTION("""COMPUTED_VALUE"""),12.99)</f>
        <v>12.99</v>
      </c>
      <c r="F1395" s="25">
        <f>IFERROR(__xludf.DUMMYFUNCTION("""COMPUTED_VALUE"""),45286.63611111111)</f>
        <v>45286.63611</v>
      </c>
      <c r="G1395" s="22">
        <f>IFERROR(__xludf.DUMMYFUNCTION("""COMPUTED_VALUE"""),15.88)</f>
        <v>15.88</v>
      </c>
      <c r="H1395" s="25">
        <f>IFERROR(__xludf.DUMMYFUNCTION("""COMPUTED_VALUE"""),45286.63611111111)</f>
        <v>45286.63611</v>
      </c>
      <c r="I1395" s="22">
        <f>IFERROR(__xludf.DUMMYFUNCTION("""COMPUTED_VALUE"""),18.06)</f>
        <v>18.06</v>
      </c>
      <c r="J1395" s="25">
        <f>IFERROR(__xludf.DUMMYFUNCTION("""COMPUTED_VALUE"""),45286.63611111111)</f>
        <v>45286.63611</v>
      </c>
      <c r="K1395" s="22">
        <f>IFERROR(__xludf.DUMMYFUNCTION("""COMPUTED_VALUE"""),20.38)</f>
        <v>20.38</v>
      </c>
    </row>
    <row r="1396" ht="15.75" customHeight="1">
      <c r="A1396" s="25">
        <f>IFERROR(__xludf.DUMMYFUNCTION("""COMPUTED_VALUE"""),45287.66666666667)</f>
        <v>45287.66667</v>
      </c>
      <c r="B1396" s="22">
        <f>IFERROR(__xludf.DUMMYFUNCTION("""COMPUTED_VALUE"""),4781.58)</f>
        <v>4781.58</v>
      </c>
      <c r="C1396" s="25">
        <f>IFERROR(__xludf.DUMMYFUNCTION("""COMPUTED_VALUE"""),45287.63611111111)</f>
        <v>45287.63611</v>
      </c>
      <c r="D1396" s="22">
        <f>IFERROR(__xludf.DUMMYFUNCTION("""COMPUTED_VALUE"""),12.43)</f>
        <v>12.43</v>
      </c>
      <c r="F1396" s="25">
        <f>IFERROR(__xludf.DUMMYFUNCTION("""COMPUTED_VALUE"""),45287.63611111111)</f>
        <v>45287.63611</v>
      </c>
      <c r="G1396" s="22">
        <f>IFERROR(__xludf.DUMMYFUNCTION("""COMPUTED_VALUE"""),15.27)</f>
        <v>15.27</v>
      </c>
      <c r="H1396" s="25">
        <f>IFERROR(__xludf.DUMMYFUNCTION("""COMPUTED_VALUE"""),45287.63611111111)</f>
        <v>45287.63611</v>
      </c>
      <c r="I1396" s="22">
        <f>IFERROR(__xludf.DUMMYFUNCTION("""COMPUTED_VALUE"""),17.52)</f>
        <v>17.52</v>
      </c>
      <c r="J1396" s="25">
        <f>IFERROR(__xludf.DUMMYFUNCTION("""COMPUTED_VALUE"""),45287.63611111111)</f>
        <v>45287.63611</v>
      </c>
      <c r="K1396" s="22">
        <f>IFERROR(__xludf.DUMMYFUNCTION("""COMPUTED_VALUE"""),20.05)</f>
        <v>20.05</v>
      </c>
    </row>
    <row r="1397" ht="15.75" customHeight="1">
      <c r="A1397" s="25">
        <f>IFERROR(__xludf.DUMMYFUNCTION("""COMPUTED_VALUE"""),45288.66666666667)</f>
        <v>45288.66667</v>
      </c>
      <c r="B1397" s="22">
        <f>IFERROR(__xludf.DUMMYFUNCTION("""COMPUTED_VALUE"""),4783.35)</f>
        <v>4783.35</v>
      </c>
      <c r="C1397" s="25">
        <f>IFERROR(__xludf.DUMMYFUNCTION("""COMPUTED_VALUE"""),45288.63611111111)</f>
        <v>45288.63611</v>
      </c>
      <c r="D1397" s="22">
        <f>IFERROR(__xludf.DUMMYFUNCTION("""COMPUTED_VALUE"""),12.47)</f>
        <v>12.47</v>
      </c>
      <c r="F1397" s="25">
        <f>IFERROR(__xludf.DUMMYFUNCTION("""COMPUTED_VALUE"""),45288.63611111111)</f>
        <v>45288.63611</v>
      </c>
      <c r="G1397" s="22">
        <f>IFERROR(__xludf.DUMMYFUNCTION("""COMPUTED_VALUE"""),15.23)</f>
        <v>15.23</v>
      </c>
      <c r="H1397" s="25">
        <f>IFERROR(__xludf.DUMMYFUNCTION("""COMPUTED_VALUE"""),45288.63611111111)</f>
        <v>45288.63611</v>
      </c>
      <c r="I1397" s="22">
        <f>IFERROR(__xludf.DUMMYFUNCTION("""COMPUTED_VALUE"""),17.51)</f>
        <v>17.51</v>
      </c>
      <c r="J1397" s="25">
        <f>IFERROR(__xludf.DUMMYFUNCTION("""COMPUTED_VALUE"""),45288.63611111111)</f>
        <v>45288.63611</v>
      </c>
      <c r="K1397" s="22">
        <f>IFERROR(__xludf.DUMMYFUNCTION("""COMPUTED_VALUE"""),20.04)</f>
        <v>20.04</v>
      </c>
    </row>
    <row r="1398" ht="15.75" customHeight="1">
      <c r="A1398" s="25">
        <f>IFERROR(__xludf.DUMMYFUNCTION("""COMPUTED_VALUE"""),45289.66666666667)</f>
        <v>45289.66667</v>
      </c>
      <c r="B1398" s="22">
        <f>IFERROR(__xludf.DUMMYFUNCTION("""COMPUTED_VALUE"""),4769.83)</f>
        <v>4769.83</v>
      </c>
      <c r="C1398" s="25">
        <f>IFERROR(__xludf.DUMMYFUNCTION("""COMPUTED_VALUE"""),45289.63611111111)</f>
        <v>45289.63611</v>
      </c>
      <c r="D1398" s="22">
        <f>IFERROR(__xludf.DUMMYFUNCTION("""COMPUTED_VALUE"""),12.45)</f>
        <v>12.45</v>
      </c>
      <c r="F1398" s="25">
        <f>IFERROR(__xludf.DUMMYFUNCTION("""COMPUTED_VALUE"""),45289.63611111111)</f>
        <v>45289.63611</v>
      </c>
      <c r="G1398" s="22">
        <f>IFERROR(__xludf.DUMMYFUNCTION("""COMPUTED_VALUE"""),15.26)</f>
        <v>15.26</v>
      </c>
      <c r="H1398" s="25">
        <f>IFERROR(__xludf.DUMMYFUNCTION("""COMPUTED_VALUE"""),45289.63611111111)</f>
        <v>45289.63611</v>
      </c>
      <c r="I1398" s="22">
        <f>IFERROR(__xludf.DUMMYFUNCTION("""COMPUTED_VALUE"""),17.53)</f>
        <v>17.53</v>
      </c>
      <c r="J1398" s="25">
        <f>IFERROR(__xludf.DUMMYFUNCTION("""COMPUTED_VALUE"""),45289.63611111111)</f>
        <v>45289.63611</v>
      </c>
      <c r="K1398" s="22">
        <f>IFERROR(__xludf.DUMMYFUNCTION("""COMPUTED_VALUE"""),20.07)</f>
        <v>20.07</v>
      </c>
    </row>
    <row r="1399" ht="15.75" customHeight="1">
      <c r="A1399" s="25">
        <f>IFERROR(__xludf.DUMMYFUNCTION("""COMPUTED_VALUE"""),45293.66666666667)</f>
        <v>45293.66667</v>
      </c>
      <c r="B1399" s="22">
        <f>IFERROR(__xludf.DUMMYFUNCTION("""COMPUTED_VALUE"""),4742.83)</f>
        <v>4742.83</v>
      </c>
      <c r="C1399" s="25">
        <f>IFERROR(__xludf.DUMMYFUNCTION("""COMPUTED_VALUE"""),45293.63611111111)</f>
        <v>45293.63611</v>
      </c>
      <c r="D1399" s="22">
        <f>IFERROR(__xludf.DUMMYFUNCTION("""COMPUTED_VALUE"""),13.2)</f>
        <v>13.2</v>
      </c>
      <c r="F1399" s="25">
        <f>IFERROR(__xludf.DUMMYFUNCTION("""COMPUTED_VALUE"""),45293.63611111111)</f>
        <v>45293.63611</v>
      </c>
      <c r="G1399" s="22">
        <f>IFERROR(__xludf.DUMMYFUNCTION("""COMPUTED_VALUE"""),15.48)</f>
        <v>15.48</v>
      </c>
      <c r="H1399" s="25">
        <f>IFERROR(__xludf.DUMMYFUNCTION("""COMPUTED_VALUE"""),45293.63611111111)</f>
        <v>45293.63611</v>
      </c>
      <c r="I1399" s="22">
        <f>IFERROR(__xludf.DUMMYFUNCTION("""COMPUTED_VALUE"""),17.68)</f>
        <v>17.68</v>
      </c>
      <c r="J1399" s="25">
        <f>IFERROR(__xludf.DUMMYFUNCTION("""COMPUTED_VALUE"""),45293.63611111111)</f>
        <v>45293.63611</v>
      </c>
      <c r="K1399" s="22">
        <f>IFERROR(__xludf.DUMMYFUNCTION("""COMPUTED_VALUE"""),20.19)</f>
        <v>20.19</v>
      </c>
    </row>
    <row r="1400" ht="15.75" customHeight="1">
      <c r="A1400" s="25">
        <f>IFERROR(__xludf.DUMMYFUNCTION("""COMPUTED_VALUE"""),45294.66666666667)</f>
        <v>45294.66667</v>
      </c>
      <c r="B1400" s="22">
        <f>IFERROR(__xludf.DUMMYFUNCTION("""COMPUTED_VALUE"""),4704.81)</f>
        <v>4704.81</v>
      </c>
      <c r="C1400" s="25">
        <f>IFERROR(__xludf.DUMMYFUNCTION("""COMPUTED_VALUE"""),45294.63611111111)</f>
        <v>45294.63611</v>
      </c>
      <c r="D1400" s="22">
        <f>IFERROR(__xludf.DUMMYFUNCTION("""COMPUTED_VALUE"""),14.04)</f>
        <v>14.04</v>
      </c>
      <c r="F1400" s="25">
        <f>IFERROR(__xludf.DUMMYFUNCTION("""COMPUTED_VALUE"""),45294.63611111111)</f>
        <v>45294.63611</v>
      </c>
      <c r="G1400" s="22">
        <f>IFERROR(__xludf.DUMMYFUNCTION("""COMPUTED_VALUE"""),16.04)</f>
        <v>16.04</v>
      </c>
      <c r="H1400" s="25">
        <f>IFERROR(__xludf.DUMMYFUNCTION("""COMPUTED_VALUE"""),45294.63611111111)</f>
        <v>45294.63611</v>
      </c>
      <c r="I1400" s="22">
        <f>IFERROR(__xludf.DUMMYFUNCTION("""COMPUTED_VALUE"""),18.08)</f>
        <v>18.08</v>
      </c>
      <c r="J1400" s="25">
        <f>IFERROR(__xludf.DUMMYFUNCTION("""COMPUTED_VALUE"""),45294.63611111111)</f>
        <v>45294.63611</v>
      </c>
      <c r="K1400" s="22">
        <f>IFERROR(__xludf.DUMMYFUNCTION("""COMPUTED_VALUE"""),20.51)</f>
        <v>20.51</v>
      </c>
    </row>
    <row r="1401" ht="15.75" customHeight="1">
      <c r="A1401" s="25">
        <f>IFERROR(__xludf.DUMMYFUNCTION("""COMPUTED_VALUE"""),45295.66666666667)</f>
        <v>45295.66667</v>
      </c>
      <c r="B1401" s="22">
        <f>IFERROR(__xludf.DUMMYFUNCTION("""COMPUTED_VALUE"""),4688.68)</f>
        <v>4688.68</v>
      </c>
      <c r="C1401" s="25">
        <f>IFERROR(__xludf.DUMMYFUNCTION("""COMPUTED_VALUE"""),45295.63611111111)</f>
        <v>45295.63611</v>
      </c>
      <c r="D1401" s="22">
        <f>IFERROR(__xludf.DUMMYFUNCTION("""COMPUTED_VALUE"""),14.13)</f>
        <v>14.13</v>
      </c>
      <c r="F1401" s="25">
        <f>IFERROR(__xludf.DUMMYFUNCTION("""COMPUTED_VALUE"""),45295.63611111111)</f>
        <v>45295.63611</v>
      </c>
      <c r="G1401" s="22">
        <f>IFERROR(__xludf.DUMMYFUNCTION("""COMPUTED_VALUE"""),16.04)</f>
        <v>16.04</v>
      </c>
      <c r="H1401" s="25">
        <f>IFERROR(__xludf.DUMMYFUNCTION("""COMPUTED_VALUE"""),45295.63611111111)</f>
        <v>45295.63611</v>
      </c>
      <c r="I1401" s="22">
        <f>IFERROR(__xludf.DUMMYFUNCTION("""COMPUTED_VALUE"""),18.02)</f>
        <v>18.02</v>
      </c>
      <c r="J1401" s="25">
        <f>IFERROR(__xludf.DUMMYFUNCTION("""COMPUTED_VALUE"""),45295.63611111111)</f>
        <v>45295.63611</v>
      </c>
      <c r="K1401" s="22">
        <f>IFERROR(__xludf.DUMMYFUNCTION("""COMPUTED_VALUE"""),20.28)</f>
        <v>20.28</v>
      </c>
    </row>
    <row r="1402" ht="15.75" customHeight="1">
      <c r="A1402" s="25">
        <f>IFERROR(__xludf.DUMMYFUNCTION("""COMPUTED_VALUE"""),45296.66666666667)</f>
        <v>45296.66667</v>
      </c>
      <c r="B1402" s="22">
        <f>IFERROR(__xludf.DUMMYFUNCTION("""COMPUTED_VALUE"""),4697.24)</f>
        <v>4697.24</v>
      </c>
      <c r="C1402" s="25">
        <f>IFERROR(__xludf.DUMMYFUNCTION("""COMPUTED_VALUE"""),45296.63611111111)</f>
        <v>45296.63611</v>
      </c>
      <c r="D1402" s="22">
        <f>IFERROR(__xludf.DUMMYFUNCTION("""COMPUTED_VALUE"""),13.35)</f>
        <v>13.35</v>
      </c>
      <c r="F1402" s="25">
        <f>IFERROR(__xludf.DUMMYFUNCTION("""COMPUTED_VALUE"""),45296.63611111111)</f>
        <v>45296.63611</v>
      </c>
      <c r="G1402" s="22">
        <f>IFERROR(__xludf.DUMMYFUNCTION("""COMPUTED_VALUE"""),15.51)</f>
        <v>15.51</v>
      </c>
      <c r="H1402" s="25">
        <f>IFERROR(__xludf.DUMMYFUNCTION("""COMPUTED_VALUE"""),45296.63611111111)</f>
        <v>45296.63611</v>
      </c>
      <c r="I1402" s="22">
        <f>IFERROR(__xludf.DUMMYFUNCTION("""COMPUTED_VALUE"""),17.56)</f>
        <v>17.56</v>
      </c>
      <c r="J1402" s="25">
        <f>IFERROR(__xludf.DUMMYFUNCTION("""COMPUTED_VALUE"""),45296.63611111111)</f>
        <v>45296.63611</v>
      </c>
      <c r="K1402" s="22">
        <f>IFERROR(__xludf.DUMMYFUNCTION("""COMPUTED_VALUE"""),20.05)</f>
        <v>20.05</v>
      </c>
    </row>
    <row r="1403" ht="15.75" customHeight="1">
      <c r="A1403" s="25">
        <f>IFERROR(__xludf.DUMMYFUNCTION("""COMPUTED_VALUE"""),45299.66666666667)</f>
        <v>45299.66667</v>
      </c>
      <c r="B1403" s="22">
        <f>IFERROR(__xludf.DUMMYFUNCTION("""COMPUTED_VALUE"""),4763.54)</f>
        <v>4763.54</v>
      </c>
      <c r="C1403" s="25">
        <f>IFERROR(__xludf.DUMMYFUNCTION("""COMPUTED_VALUE"""),45299.63611111111)</f>
        <v>45299.63611</v>
      </c>
      <c r="D1403" s="22">
        <f>IFERROR(__xludf.DUMMYFUNCTION("""COMPUTED_VALUE"""),13.08)</f>
        <v>13.08</v>
      </c>
      <c r="F1403" s="25">
        <f>IFERROR(__xludf.DUMMYFUNCTION("""COMPUTED_VALUE"""),45299.63611111111)</f>
        <v>45299.63611</v>
      </c>
      <c r="G1403" s="22">
        <f>IFERROR(__xludf.DUMMYFUNCTION("""COMPUTED_VALUE"""),15.14)</f>
        <v>15.14</v>
      </c>
      <c r="H1403" s="25">
        <f>IFERROR(__xludf.DUMMYFUNCTION("""COMPUTED_VALUE"""),45299.63611111111)</f>
        <v>45299.63611</v>
      </c>
      <c r="I1403" s="22">
        <f>IFERROR(__xludf.DUMMYFUNCTION("""COMPUTED_VALUE"""),17.09)</f>
        <v>17.09</v>
      </c>
      <c r="J1403" s="25">
        <f>IFERROR(__xludf.DUMMYFUNCTION("""COMPUTED_VALUE"""),45299.63611111111)</f>
        <v>45299.63611</v>
      </c>
      <c r="K1403" s="22">
        <f>IFERROR(__xludf.DUMMYFUNCTION("""COMPUTED_VALUE"""),19.61)</f>
        <v>19.61</v>
      </c>
    </row>
    <row r="1404" ht="15.75" customHeight="1">
      <c r="A1404" s="25">
        <f>IFERROR(__xludf.DUMMYFUNCTION("""COMPUTED_VALUE"""),45300.66666666667)</f>
        <v>45300.66667</v>
      </c>
      <c r="B1404" s="22">
        <f>IFERROR(__xludf.DUMMYFUNCTION("""COMPUTED_VALUE"""),4756.5)</f>
        <v>4756.5</v>
      </c>
      <c r="C1404" s="25">
        <f>IFERROR(__xludf.DUMMYFUNCTION("""COMPUTED_VALUE"""),45300.63611111111)</f>
        <v>45300.63611</v>
      </c>
      <c r="D1404" s="22">
        <f>IFERROR(__xludf.DUMMYFUNCTION("""COMPUTED_VALUE"""),12.76)</f>
        <v>12.76</v>
      </c>
      <c r="F1404" s="25">
        <f>IFERROR(__xludf.DUMMYFUNCTION("""COMPUTED_VALUE"""),45300.63611111111)</f>
        <v>45300.63611</v>
      </c>
      <c r="G1404" s="22">
        <f>IFERROR(__xludf.DUMMYFUNCTION("""COMPUTED_VALUE"""),14.9)</f>
        <v>14.9</v>
      </c>
      <c r="H1404" s="25">
        <f>IFERROR(__xludf.DUMMYFUNCTION("""COMPUTED_VALUE"""),45300.63611111111)</f>
        <v>45300.63611</v>
      </c>
      <c r="I1404" s="22">
        <f>IFERROR(__xludf.DUMMYFUNCTION("""COMPUTED_VALUE"""),16.96)</f>
        <v>16.96</v>
      </c>
      <c r="J1404" s="25">
        <f>IFERROR(__xludf.DUMMYFUNCTION("""COMPUTED_VALUE"""),45300.63611111111)</f>
        <v>45300.63611</v>
      </c>
      <c r="K1404" s="22">
        <f>IFERROR(__xludf.DUMMYFUNCTION("""COMPUTED_VALUE"""),19.66)</f>
        <v>19.66</v>
      </c>
    </row>
    <row r="1405" ht="15.75" customHeight="1">
      <c r="A1405" s="25">
        <f>IFERROR(__xludf.DUMMYFUNCTION("""COMPUTED_VALUE"""),45301.66666666667)</f>
        <v>45301.66667</v>
      </c>
      <c r="B1405" s="22">
        <f>IFERROR(__xludf.DUMMYFUNCTION("""COMPUTED_VALUE"""),4783.45)</f>
        <v>4783.45</v>
      </c>
      <c r="C1405" s="25">
        <f>IFERROR(__xludf.DUMMYFUNCTION("""COMPUTED_VALUE"""),45301.63611111111)</f>
        <v>45301.63611</v>
      </c>
      <c r="D1405" s="22">
        <f>IFERROR(__xludf.DUMMYFUNCTION("""COMPUTED_VALUE"""),12.69)</f>
        <v>12.69</v>
      </c>
      <c r="F1405" s="25">
        <f>IFERROR(__xludf.DUMMYFUNCTION("""COMPUTED_VALUE"""),45301.63611111111)</f>
        <v>45301.63611</v>
      </c>
      <c r="G1405" s="22">
        <f>IFERROR(__xludf.DUMMYFUNCTION("""COMPUTED_VALUE"""),14.73)</f>
        <v>14.73</v>
      </c>
      <c r="H1405" s="25">
        <f>IFERROR(__xludf.DUMMYFUNCTION("""COMPUTED_VALUE"""),45301.63611111111)</f>
        <v>45301.63611</v>
      </c>
      <c r="I1405" s="22">
        <f>IFERROR(__xludf.DUMMYFUNCTION("""COMPUTED_VALUE"""),16.75)</f>
        <v>16.75</v>
      </c>
      <c r="J1405" s="25">
        <f>IFERROR(__xludf.DUMMYFUNCTION("""COMPUTED_VALUE"""),45301.63611111111)</f>
        <v>45301.63611</v>
      </c>
      <c r="K1405" s="22">
        <f>IFERROR(__xludf.DUMMYFUNCTION("""COMPUTED_VALUE"""),19.25)</f>
        <v>19.25</v>
      </c>
    </row>
    <row r="1406" ht="15.75" customHeight="1">
      <c r="A1406" s="25">
        <f>IFERROR(__xludf.DUMMYFUNCTION("""COMPUTED_VALUE"""),45302.66666666667)</f>
        <v>45302.66667</v>
      </c>
      <c r="B1406" s="22">
        <f>IFERROR(__xludf.DUMMYFUNCTION("""COMPUTED_VALUE"""),4780.24)</f>
        <v>4780.24</v>
      </c>
      <c r="C1406" s="25">
        <f>IFERROR(__xludf.DUMMYFUNCTION("""COMPUTED_VALUE"""),45302.63611111111)</f>
        <v>45302.63611</v>
      </c>
      <c r="D1406" s="22">
        <f>IFERROR(__xludf.DUMMYFUNCTION("""COMPUTED_VALUE"""),12.44)</f>
        <v>12.44</v>
      </c>
      <c r="F1406" s="25">
        <f>IFERROR(__xludf.DUMMYFUNCTION("""COMPUTED_VALUE"""),45302.63611111111)</f>
        <v>45302.63611</v>
      </c>
      <c r="G1406" s="22">
        <f>IFERROR(__xludf.DUMMYFUNCTION("""COMPUTED_VALUE"""),14.56)</f>
        <v>14.56</v>
      </c>
      <c r="H1406" s="25">
        <f>IFERROR(__xludf.DUMMYFUNCTION("""COMPUTED_VALUE"""),45302.63611111111)</f>
        <v>45302.63611</v>
      </c>
      <c r="I1406" s="22">
        <f>IFERROR(__xludf.DUMMYFUNCTION("""COMPUTED_VALUE"""),16.68)</f>
        <v>16.68</v>
      </c>
      <c r="J1406" s="25">
        <f>IFERROR(__xludf.DUMMYFUNCTION("""COMPUTED_VALUE"""),45302.63611111111)</f>
        <v>45302.63611</v>
      </c>
      <c r="K1406" s="22">
        <f>IFERROR(__xludf.DUMMYFUNCTION("""COMPUTED_VALUE"""),19.17)</f>
        <v>19.17</v>
      </c>
    </row>
    <row r="1407" ht="15.75" customHeight="1">
      <c r="A1407" s="25">
        <f>IFERROR(__xludf.DUMMYFUNCTION("""COMPUTED_VALUE"""),45303.66666666667)</f>
        <v>45303.66667</v>
      </c>
      <c r="B1407" s="22">
        <f>IFERROR(__xludf.DUMMYFUNCTION("""COMPUTED_VALUE"""),4783.83)</f>
        <v>4783.83</v>
      </c>
      <c r="C1407" s="25">
        <f>IFERROR(__xludf.DUMMYFUNCTION("""COMPUTED_VALUE"""),45303.63611111111)</f>
        <v>45303.63611</v>
      </c>
      <c r="D1407" s="22">
        <f>IFERROR(__xludf.DUMMYFUNCTION("""COMPUTED_VALUE"""),12.7)</f>
        <v>12.7</v>
      </c>
      <c r="F1407" s="25">
        <f>IFERROR(__xludf.DUMMYFUNCTION("""COMPUTED_VALUE"""),45303.63611111111)</f>
        <v>45303.63611</v>
      </c>
      <c r="G1407" s="22">
        <f>IFERROR(__xludf.DUMMYFUNCTION("""COMPUTED_VALUE"""),14.94)</f>
        <v>14.94</v>
      </c>
      <c r="H1407" s="25">
        <f>IFERROR(__xludf.DUMMYFUNCTION("""COMPUTED_VALUE"""),45303.63611111111)</f>
        <v>45303.63611</v>
      </c>
      <c r="I1407" s="22">
        <f>IFERROR(__xludf.DUMMYFUNCTION("""COMPUTED_VALUE"""),16.85)</f>
        <v>16.85</v>
      </c>
      <c r="J1407" s="25">
        <f>IFERROR(__xludf.DUMMYFUNCTION("""COMPUTED_VALUE"""),45303.63611111111)</f>
        <v>45303.63611</v>
      </c>
      <c r="K1407" s="22">
        <f>IFERROR(__xludf.DUMMYFUNCTION("""COMPUTED_VALUE"""),19.47)</f>
        <v>19.47</v>
      </c>
    </row>
    <row r="1408" ht="15.75" customHeight="1">
      <c r="A1408" s="25">
        <f>IFERROR(__xludf.DUMMYFUNCTION("""COMPUTED_VALUE"""),45307.66666666667)</f>
        <v>45307.66667</v>
      </c>
      <c r="B1408" s="22">
        <f>IFERROR(__xludf.DUMMYFUNCTION("""COMPUTED_VALUE"""),4765.98)</f>
        <v>4765.98</v>
      </c>
      <c r="C1408" s="25">
        <f>IFERROR(__xludf.DUMMYFUNCTION("""COMPUTED_VALUE"""),45307.63611111111)</f>
        <v>45307.63611</v>
      </c>
      <c r="D1408" s="22">
        <f>IFERROR(__xludf.DUMMYFUNCTION("""COMPUTED_VALUE"""),13.84)</f>
        <v>13.84</v>
      </c>
      <c r="F1408" s="25">
        <f>IFERROR(__xludf.DUMMYFUNCTION("""COMPUTED_VALUE"""),45307.63611111111)</f>
        <v>45307.63611</v>
      </c>
      <c r="G1408" s="22">
        <f>IFERROR(__xludf.DUMMYFUNCTION("""COMPUTED_VALUE"""),15.74)</f>
        <v>15.74</v>
      </c>
      <c r="H1408" s="25">
        <f>IFERROR(__xludf.DUMMYFUNCTION("""COMPUTED_VALUE"""),45307.63611111111)</f>
        <v>45307.63611</v>
      </c>
      <c r="I1408" s="22">
        <f>IFERROR(__xludf.DUMMYFUNCTION("""COMPUTED_VALUE"""),17.44)</f>
        <v>17.44</v>
      </c>
      <c r="J1408" s="25">
        <f>IFERROR(__xludf.DUMMYFUNCTION("""COMPUTED_VALUE"""),45307.63611111111)</f>
        <v>45307.63611</v>
      </c>
      <c r="K1408" s="22">
        <f>IFERROR(__xludf.DUMMYFUNCTION("""COMPUTED_VALUE"""),19.75)</f>
        <v>19.75</v>
      </c>
    </row>
    <row r="1409" ht="15.75" customHeight="1">
      <c r="A1409" s="25">
        <f>IFERROR(__xludf.DUMMYFUNCTION("""COMPUTED_VALUE"""),45308.66666666667)</f>
        <v>45308.66667</v>
      </c>
      <c r="B1409" s="22">
        <f>IFERROR(__xludf.DUMMYFUNCTION("""COMPUTED_VALUE"""),4739.21)</f>
        <v>4739.21</v>
      </c>
      <c r="C1409" s="25">
        <f>IFERROR(__xludf.DUMMYFUNCTION("""COMPUTED_VALUE"""),45308.63611111111)</f>
        <v>45308.63611</v>
      </c>
      <c r="D1409" s="22">
        <f>IFERROR(__xludf.DUMMYFUNCTION("""COMPUTED_VALUE"""),14.79)</f>
        <v>14.79</v>
      </c>
      <c r="F1409" s="25">
        <f>IFERROR(__xludf.DUMMYFUNCTION("""COMPUTED_VALUE"""),45308.63611111111)</f>
        <v>45308.63611</v>
      </c>
      <c r="G1409" s="22">
        <f>IFERROR(__xludf.DUMMYFUNCTION("""COMPUTED_VALUE"""),16.38)</f>
        <v>16.38</v>
      </c>
      <c r="H1409" s="25">
        <f>IFERROR(__xludf.DUMMYFUNCTION("""COMPUTED_VALUE"""),45308.63611111111)</f>
        <v>45308.63611</v>
      </c>
      <c r="I1409" s="22">
        <f>IFERROR(__xludf.DUMMYFUNCTION("""COMPUTED_VALUE"""),17.9)</f>
        <v>17.9</v>
      </c>
      <c r="J1409" s="25">
        <f>IFERROR(__xludf.DUMMYFUNCTION("""COMPUTED_VALUE"""),45308.63611111111)</f>
        <v>45308.63611</v>
      </c>
      <c r="K1409" s="22">
        <f>IFERROR(__xludf.DUMMYFUNCTION("""COMPUTED_VALUE"""),20.03)</f>
        <v>20.03</v>
      </c>
    </row>
    <row r="1410" ht="15.75" customHeight="1">
      <c r="A1410" s="25">
        <f>IFERROR(__xludf.DUMMYFUNCTION("""COMPUTED_VALUE"""),45309.66666666667)</f>
        <v>45309.66667</v>
      </c>
      <c r="B1410" s="22">
        <f>IFERROR(__xludf.DUMMYFUNCTION("""COMPUTED_VALUE"""),4780.94)</f>
        <v>4780.94</v>
      </c>
      <c r="C1410" s="25">
        <f>IFERROR(__xludf.DUMMYFUNCTION("""COMPUTED_VALUE"""),45309.63611111111)</f>
        <v>45309.63611</v>
      </c>
      <c r="D1410" s="22">
        <f>IFERROR(__xludf.DUMMYFUNCTION("""COMPUTED_VALUE"""),14.13)</f>
        <v>14.13</v>
      </c>
      <c r="F1410" s="25">
        <f>IFERROR(__xludf.DUMMYFUNCTION("""COMPUTED_VALUE"""),45309.63611111111)</f>
        <v>45309.63611</v>
      </c>
      <c r="G1410" s="22">
        <f>IFERROR(__xludf.DUMMYFUNCTION("""COMPUTED_VALUE"""),15.84)</f>
        <v>15.84</v>
      </c>
      <c r="H1410" s="25">
        <f>IFERROR(__xludf.DUMMYFUNCTION("""COMPUTED_VALUE"""),45309.63611111111)</f>
        <v>45309.63611</v>
      </c>
      <c r="I1410" s="22">
        <f>IFERROR(__xludf.DUMMYFUNCTION("""COMPUTED_VALUE"""),17.45)</f>
        <v>17.45</v>
      </c>
      <c r="J1410" s="25">
        <f>IFERROR(__xludf.DUMMYFUNCTION("""COMPUTED_VALUE"""),45309.63611111111)</f>
        <v>45309.63611</v>
      </c>
      <c r="K1410" s="22">
        <f>IFERROR(__xludf.DUMMYFUNCTION("""COMPUTED_VALUE"""),19.55)</f>
        <v>19.55</v>
      </c>
    </row>
    <row r="1411" ht="15.75" customHeight="1">
      <c r="A1411" s="25">
        <f>IFERROR(__xludf.DUMMYFUNCTION("""COMPUTED_VALUE"""),45310.66666666667)</f>
        <v>45310.66667</v>
      </c>
      <c r="B1411" s="22">
        <f>IFERROR(__xludf.DUMMYFUNCTION("""COMPUTED_VALUE"""),4839.81)</f>
        <v>4839.81</v>
      </c>
      <c r="C1411" s="25">
        <f>IFERROR(__xludf.DUMMYFUNCTION("""COMPUTED_VALUE"""),45310.63611111111)</f>
        <v>45310.63611</v>
      </c>
      <c r="D1411" s="22">
        <f>IFERROR(__xludf.DUMMYFUNCTION("""COMPUTED_VALUE"""),13.3)</f>
        <v>13.3</v>
      </c>
      <c r="F1411" s="25">
        <f>IFERROR(__xludf.DUMMYFUNCTION("""COMPUTED_VALUE"""),45310.63611111111)</f>
        <v>45310.63611</v>
      </c>
      <c r="G1411" s="22">
        <f>IFERROR(__xludf.DUMMYFUNCTION("""COMPUTED_VALUE"""),15.26)</f>
        <v>15.26</v>
      </c>
      <c r="H1411" s="25">
        <f>IFERROR(__xludf.DUMMYFUNCTION("""COMPUTED_VALUE"""),45310.63611111111)</f>
        <v>45310.63611</v>
      </c>
      <c r="I1411" s="22">
        <f>IFERROR(__xludf.DUMMYFUNCTION("""COMPUTED_VALUE"""),16.94)</f>
        <v>16.94</v>
      </c>
      <c r="J1411" s="25">
        <f>IFERROR(__xludf.DUMMYFUNCTION("""COMPUTED_VALUE"""),45310.63611111111)</f>
        <v>45310.63611</v>
      </c>
      <c r="K1411" s="22">
        <f>IFERROR(__xludf.DUMMYFUNCTION("""COMPUTED_VALUE"""),19.18)</f>
        <v>19.18</v>
      </c>
    </row>
    <row r="1412" ht="15.75" customHeight="1">
      <c r="A1412" s="25">
        <f>IFERROR(__xludf.DUMMYFUNCTION("""COMPUTED_VALUE"""),45313.66666666667)</f>
        <v>45313.66667</v>
      </c>
      <c r="B1412" s="22">
        <f>IFERROR(__xludf.DUMMYFUNCTION("""COMPUTED_VALUE"""),4850.43)</f>
        <v>4850.43</v>
      </c>
      <c r="C1412" s="25">
        <f>IFERROR(__xludf.DUMMYFUNCTION("""COMPUTED_VALUE"""),45313.63611111111)</f>
        <v>45313.63611</v>
      </c>
      <c r="D1412" s="22">
        <f>IFERROR(__xludf.DUMMYFUNCTION("""COMPUTED_VALUE"""),13.19)</f>
        <v>13.19</v>
      </c>
      <c r="F1412" s="25">
        <f>IFERROR(__xludf.DUMMYFUNCTION("""COMPUTED_VALUE"""),45313.63611111111)</f>
        <v>45313.63611</v>
      </c>
      <c r="G1412" s="22">
        <f>IFERROR(__xludf.DUMMYFUNCTION("""COMPUTED_VALUE"""),14.97)</f>
        <v>14.97</v>
      </c>
      <c r="H1412" s="25">
        <f>IFERROR(__xludf.DUMMYFUNCTION("""COMPUTED_VALUE"""),45313.63611111111)</f>
        <v>45313.63611</v>
      </c>
      <c r="I1412" s="22">
        <f>IFERROR(__xludf.DUMMYFUNCTION("""COMPUTED_VALUE"""),16.75)</f>
        <v>16.75</v>
      </c>
      <c r="J1412" s="25">
        <f>IFERROR(__xludf.DUMMYFUNCTION("""COMPUTED_VALUE"""),45313.63611111111)</f>
        <v>45313.63611</v>
      </c>
      <c r="K1412" s="22">
        <f>IFERROR(__xludf.DUMMYFUNCTION("""COMPUTED_VALUE"""),18.94)</f>
        <v>18.94</v>
      </c>
    </row>
    <row r="1413" ht="15.75" customHeight="1">
      <c r="A1413" s="25">
        <f>IFERROR(__xludf.DUMMYFUNCTION("""COMPUTED_VALUE"""),45314.66666666667)</f>
        <v>45314.66667</v>
      </c>
      <c r="B1413" s="22">
        <f>IFERROR(__xludf.DUMMYFUNCTION("""COMPUTED_VALUE"""),4864.6)</f>
        <v>4864.6</v>
      </c>
      <c r="C1413" s="25">
        <f>IFERROR(__xludf.DUMMYFUNCTION("""COMPUTED_VALUE"""),45314.63611111111)</f>
        <v>45314.63611</v>
      </c>
      <c r="D1413" s="22">
        <f>IFERROR(__xludf.DUMMYFUNCTION("""COMPUTED_VALUE"""),12.55)</f>
        <v>12.55</v>
      </c>
      <c r="F1413" s="25">
        <f>IFERROR(__xludf.DUMMYFUNCTION("""COMPUTED_VALUE"""),45314.63611111111)</f>
        <v>45314.63611</v>
      </c>
      <c r="G1413" s="22">
        <f>IFERROR(__xludf.DUMMYFUNCTION("""COMPUTED_VALUE"""),14.52)</f>
        <v>14.52</v>
      </c>
      <c r="H1413" s="25">
        <f>IFERROR(__xludf.DUMMYFUNCTION("""COMPUTED_VALUE"""),45314.63611111111)</f>
        <v>45314.63611</v>
      </c>
      <c r="I1413" s="22">
        <f>IFERROR(__xludf.DUMMYFUNCTION("""COMPUTED_VALUE"""),16.36)</f>
        <v>16.36</v>
      </c>
      <c r="J1413" s="25">
        <f>IFERROR(__xludf.DUMMYFUNCTION("""COMPUTED_VALUE"""),45314.63611111111)</f>
        <v>45314.63611</v>
      </c>
      <c r="K1413" s="22">
        <f>IFERROR(__xludf.DUMMYFUNCTION("""COMPUTED_VALUE"""),18.68)</f>
        <v>18.68</v>
      </c>
    </row>
    <row r="1414" ht="15.75" customHeight="1">
      <c r="A1414" s="25">
        <f>IFERROR(__xludf.DUMMYFUNCTION("""COMPUTED_VALUE"""),45315.66666666667)</f>
        <v>45315.66667</v>
      </c>
      <c r="B1414" s="22">
        <f>IFERROR(__xludf.DUMMYFUNCTION("""COMPUTED_VALUE"""),4868.55)</f>
        <v>4868.55</v>
      </c>
      <c r="C1414" s="25">
        <f>IFERROR(__xludf.DUMMYFUNCTION("""COMPUTED_VALUE"""),45315.63611111111)</f>
        <v>45315.63611</v>
      </c>
      <c r="D1414" s="22">
        <f>IFERROR(__xludf.DUMMYFUNCTION("""COMPUTED_VALUE"""),13.14)</f>
        <v>13.14</v>
      </c>
      <c r="F1414" s="25">
        <f>IFERROR(__xludf.DUMMYFUNCTION("""COMPUTED_VALUE"""),45315.63611111111)</f>
        <v>45315.63611</v>
      </c>
      <c r="G1414" s="22">
        <f>IFERROR(__xludf.DUMMYFUNCTION("""COMPUTED_VALUE"""),14.97)</f>
        <v>14.97</v>
      </c>
      <c r="H1414" s="25">
        <f>IFERROR(__xludf.DUMMYFUNCTION("""COMPUTED_VALUE"""),45315.63611111111)</f>
        <v>45315.63611</v>
      </c>
      <c r="I1414" s="22">
        <f>IFERROR(__xludf.DUMMYFUNCTION("""COMPUTED_VALUE"""),16.73)</f>
        <v>16.73</v>
      </c>
      <c r="J1414" s="25">
        <f>IFERROR(__xludf.DUMMYFUNCTION("""COMPUTED_VALUE"""),45315.63611111111)</f>
        <v>45315.63611</v>
      </c>
      <c r="K1414" s="22">
        <f>IFERROR(__xludf.DUMMYFUNCTION("""COMPUTED_VALUE"""),18.91)</f>
        <v>18.91</v>
      </c>
    </row>
    <row r="1415" ht="15.75" customHeight="1">
      <c r="A1415" s="25">
        <f>IFERROR(__xludf.DUMMYFUNCTION("""COMPUTED_VALUE"""),45316.66666666667)</f>
        <v>45316.66667</v>
      </c>
      <c r="B1415" s="22">
        <f>IFERROR(__xludf.DUMMYFUNCTION("""COMPUTED_VALUE"""),4894.16)</f>
        <v>4894.16</v>
      </c>
      <c r="C1415" s="25">
        <f>IFERROR(__xludf.DUMMYFUNCTION("""COMPUTED_VALUE"""),45316.63611111111)</f>
        <v>45316.63611</v>
      </c>
      <c r="D1415" s="22">
        <f>IFERROR(__xludf.DUMMYFUNCTION("""COMPUTED_VALUE"""),13.45)</f>
        <v>13.45</v>
      </c>
      <c r="F1415" s="25">
        <f>IFERROR(__xludf.DUMMYFUNCTION("""COMPUTED_VALUE"""),45316.63611111111)</f>
        <v>45316.63611</v>
      </c>
      <c r="G1415" s="22">
        <f>IFERROR(__xludf.DUMMYFUNCTION("""COMPUTED_VALUE"""),15.1)</f>
        <v>15.1</v>
      </c>
      <c r="H1415" s="25">
        <f>IFERROR(__xludf.DUMMYFUNCTION("""COMPUTED_VALUE"""),45316.63611111111)</f>
        <v>45316.63611</v>
      </c>
      <c r="I1415" s="22">
        <f>IFERROR(__xludf.DUMMYFUNCTION("""COMPUTED_VALUE"""),16.83)</f>
        <v>16.83</v>
      </c>
      <c r="J1415" s="25">
        <f>IFERROR(__xludf.DUMMYFUNCTION("""COMPUTED_VALUE"""),45316.63611111111)</f>
        <v>45316.63611</v>
      </c>
      <c r="K1415" s="22">
        <f>IFERROR(__xludf.DUMMYFUNCTION("""COMPUTED_VALUE"""),19.19)</f>
        <v>19.19</v>
      </c>
    </row>
    <row r="1416" ht="15.75" customHeight="1">
      <c r="A1416" s="25">
        <f>IFERROR(__xludf.DUMMYFUNCTION("""COMPUTED_VALUE"""),45317.66666666667)</f>
        <v>45317.66667</v>
      </c>
      <c r="B1416" s="22">
        <f>IFERROR(__xludf.DUMMYFUNCTION("""COMPUTED_VALUE"""),4890.97)</f>
        <v>4890.97</v>
      </c>
      <c r="C1416" s="25">
        <f>IFERROR(__xludf.DUMMYFUNCTION("""COMPUTED_VALUE"""),45317.63611111111)</f>
        <v>45317.63611</v>
      </c>
      <c r="D1416" s="22">
        <f>IFERROR(__xludf.DUMMYFUNCTION("""COMPUTED_VALUE"""),13.26)</f>
        <v>13.26</v>
      </c>
      <c r="F1416" s="25">
        <f>IFERROR(__xludf.DUMMYFUNCTION("""COMPUTED_VALUE"""),45317.63611111111)</f>
        <v>45317.63611</v>
      </c>
      <c r="G1416" s="22">
        <f>IFERROR(__xludf.DUMMYFUNCTION("""COMPUTED_VALUE"""),15.03)</f>
        <v>15.03</v>
      </c>
      <c r="H1416" s="25">
        <f>IFERROR(__xludf.DUMMYFUNCTION("""COMPUTED_VALUE"""),45317.63611111111)</f>
        <v>45317.63611</v>
      </c>
      <c r="I1416" s="22">
        <f>IFERROR(__xludf.DUMMYFUNCTION("""COMPUTED_VALUE"""),16.86)</f>
        <v>16.86</v>
      </c>
      <c r="J1416" s="25">
        <f>IFERROR(__xludf.DUMMYFUNCTION("""COMPUTED_VALUE"""),45317.63611111111)</f>
        <v>45317.63611</v>
      </c>
      <c r="K1416" s="22">
        <f>IFERROR(__xludf.DUMMYFUNCTION("""COMPUTED_VALUE"""),19.05)</f>
        <v>19.05</v>
      </c>
    </row>
    <row r="1417" ht="15.75" customHeight="1">
      <c r="A1417" s="25">
        <f>IFERROR(__xludf.DUMMYFUNCTION("""COMPUTED_VALUE"""),45320.66666666667)</f>
        <v>45320.66667</v>
      </c>
      <c r="B1417" s="22">
        <f>IFERROR(__xludf.DUMMYFUNCTION("""COMPUTED_VALUE"""),4927.93)</f>
        <v>4927.93</v>
      </c>
      <c r="C1417" s="25">
        <f>IFERROR(__xludf.DUMMYFUNCTION("""COMPUTED_VALUE"""),45320.63611111111)</f>
        <v>45320.63611</v>
      </c>
      <c r="D1417" s="22">
        <f>IFERROR(__xludf.DUMMYFUNCTION("""COMPUTED_VALUE"""),13.6)</f>
        <v>13.6</v>
      </c>
      <c r="F1417" s="25">
        <f>IFERROR(__xludf.DUMMYFUNCTION("""COMPUTED_VALUE"""),45320.63611111111)</f>
        <v>45320.63611</v>
      </c>
      <c r="G1417" s="22">
        <f>IFERROR(__xludf.DUMMYFUNCTION("""COMPUTED_VALUE"""),15.22)</f>
        <v>15.22</v>
      </c>
      <c r="H1417" s="25">
        <f>IFERROR(__xludf.DUMMYFUNCTION("""COMPUTED_VALUE"""),45320.63611111111)</f>
        <v>45320.63611</v>
      </c>
      <c r="I1417" s="22">
        <f>IFERROR(__xludf.DUMMYFUNCTION("""COMPUTED_VALUE"""),16.97)</f>
        <v>16.97</v>
      </c>
      <c r="J1417" s="25">
        <f>IFERROR(__xludf.DUMMYFUNCTION("""COMPUTED_VALUE"""),45320.63611111111)</f>
        <v>45320.63611</v>
      </c>
      <c r="K1417" s="22">
        <f>IFERROR(__xludf.DUMMYFUNCTION("""COMPUTED_VALUE"""),19.12)</f>
        <v>19.12</v>
      </c>
    </row>
    <row r="1418" ht="15.75" customHeight="1">
      <c r="A1418" s="25">
        <f>IFERROR(__xludf.DUMMYFUNCTION("""COMPUTED_VALUE"""),45321.66666666667)</f>
        <v>45321.66667</v>
      </c>
      <c r="B1418" s="22">
        <f>IFERROR(__xludf.DUMMYFUNCTION("""COMPUTED_VALUE"""),4924.97)</f>
        <v>4924.97</v>
      </c>
      <c r="C1418" s="25">
        <f>IFERROR(__xludf.DUMMYFUNCTION("""COMPUTED_VALUE"""),45321.63611111111)</f>
        <v>45321.63611</v>
      </c>
      <c r="D1418" s="22">
        <f>IFERROR(__xludf.DUMMYFUNCTION("""COMPUTED_VALUE"""),13.31)</f>
        <v>13.31</v>
      </c>
      <c r="F1418" s="25">
        <f>IFERROR(__xludf.DUMMYFUNCTION("""COMPUTED_VALUE"""),45321.63611111111)</f>
        <v>45321.63611</v>
      </c>
      <c r="G1418" s="22">
        <f>IFERROR(__xludf.DUMMYFUNCTION("""COMPUTED_VALUE"""),15.14)</f>
        <v>15.14</v>
      </c>
      <c r="H1418" s="25">
        <f>IFERROR(__xludf.DUMMYFUNCTION("""COMPUTED_VALUE"""),45321.63611111111)</f>
        <v>45321.63611</v>
      </c>
      <c r="I1418" s="22">
        <f>IFERROR(__xludf.DUMMYFUNCTION("""COMPUTED_VALUE"""),16.93)</f>
        <v>16.93</v>
      </c>
      <c r="J1418" s="25">
        <f>IFERROR(__xludf.DUMMYFUNCTION("""COMPUTED_VALUE"""),45321.63611111111)</f>
        <v>45321.63611</v>
      </c>
      <c r="K1418" s="22">
        <f>IFERROR(__xludf.DUMMYFUNCTION("""COMPUTED_VALUE"""),20.55)</f>
        <v>20.55</v>
      </c>
    </row>
    <row r="1419" ht="15.75" customHeight="1">
      <c r="A1419" s="25">
        <f>IFERROR(__xludf.DUMMYFUNCTION("""COMPUTED_VALUE"""),45322.66666666667)</f>
        <v>45322.66667</v>
      </c>
      <c r="B1419" s="22">
        <f>IFERROR(__xludf.DUMMYFUNCTION("""COMPUTED_VALUE"""),4845.65)</f>
        <v>4845.65</v>
      </c>
      <c r="C1419" s="25">
        <f>IFERROR(__xludf.DUMMYFUNCTION("""COMPUTED_VALUE"""),45322.63611111111)</f>
        <v>45322.63611</v>
      </c>
      <c r="D1419" s="22">
        <f>IFERROR(__xludf.DUMMYFUNCTION("""COMPUTED_VALUE"""),14.35)</f>
        <v>14.35</v>
      </c>
      <c r="F1419" s="25">
        <f>IFERROR(__xludf.DUMMYFUNCTION("""COMPUTED_VALUE"""),45322.63611111111)</f>
        <v>45322.63611</v>
      </c>
      <c r="G1419" s="22">
        <f>IFERROR(__xludf.DUMMYFUNCTION("""COMPUTED_VALUE"""),15.96)</f>
        <v>15.96</v>
      </c>
      <c r="H1419" s="25">
        <f>IFERROR(__xludf.DUMMYFUNCTION("""COMPUTED_VALUE"""),45322.63611111111)</f>
        <v>45322.63611</v>
      </c>
      <c r="I1419" s="22">
        <f>IFERROR(__xludf.DUMMYFUNCTION("""COMPUTED_VALUE"""),17.58)</f>
        <v>17.58</v>
      </c>
      <c r="J1419" s="25">
        <f>IFERROR(__xludf.DUMMYFUNCTION("""COMPUTED_VALUE"""),45322.63611111111)</f>
        <v>45322.63611</v>
      </c>
      <c r="K1419" s="22">
        <f>IFERROR(__xludf.DUMMYFUNCTION("""COMPUTED_VALUE"""),19.76)</f>
        <v>19.76</v>
      </c>
    </row>
    <row r="1420" ht="15.75" customHeight="1">
      <c r="A1420" s="25">
        <f>IFERROR(__xludf.DUMMYFUNCTION("""COMPUTED_VALUE"""),45323.66666666667)</f>
        <v>45323.66667</v>
      </c>
      <c r="B1420" s="22">
        <f>IFERROR(__xludf.DUMMYFUNCTION("""COMPUTED_VALUE"""),4906.19)</f>
        <v>4906.19</v>
      </c>
      <c r="C1420" s="25">
        <f>IFERROR(__xludf.DUMMYFUNCTION("""COMPUTED_VALUE"""),45323.63611111111)</f>
        <v>45323.63611</v>
      </c>
      <c r="D1420" s="22">
        <f>IFERROR(__xludf.DUMMYFUNCTION("""COMPUTED_VALUE"""),13.88)</f>
        <v>13.88</v>
      </c>
      <c r="F1420" s="25">
        <f>IFERROR(__xludf.DUMMYFUNCTION("""COMPUTED_VALUE"""),45323.63611111111)</f>
        <v>45323.63611</v>
      </c>
      <c r="G1420" s="22">
        <f>IFERROR(__xludf.DUMMYFUNCTION("""COMPUTED_VALUE"""),15.5)</f>
        <v>15.5</v>
      </c>
      <c r="H1420" s="25">
        <f>IFERROR(__xludf.DUMMYFUNCTION("""COMPUTED_VALUE"""),45323.63611111111)</f>
        <v>45323.63611</v>
      </c>
      <c r="I1420" s="22">
        <f>IFERROR(__xludf.DUMMYFUNCTION("""COMPUTED_VALUE"""),17.22)</f>
        <v>17.22</v>
      </c>
      <c r="J1420" s="25">
        <f>IFERROR(__xludf.DUMMYFUNCTION("""COMPUTED_VALUE"""),45323.63611111111)</f>
        <v>45323.63611</v>
      </c>
      <c r="K1420" s="22">
        <f>IFERROR(__xludf.DUMMYFUNCTION("""COMPUTED_VALUE"""),19.52)</f>
        <v>19.52</v>
      </c>
    </row>
    <row r="1421" ht="15.75" customHeight="1">
      <c r="A1421" s="25">
        <f>IFERROR(__xludf.DUMMYFUNCTION("""COMPUTED_VALUE"""),45324.66666666667)</f>
        <v>45324.66667</v>
      </c>
      <c r="B1421" s="22">
        <f>IFERROR(__xludf.DUMMYFUNCTION("""COMPUTED_VALUE"""),4958.61)</f>
        <v>4958.61</v>
      </c>
      <c r="C1421" s="25">
        <f>IFERROR(__xludf.DUMMYFUNCTION("""COMPUTED_VALUE"""),45324.63611111111)</f>
        <v>45324.63611</v>
      </c>
      <c r="D1421" s="22">
        <f>IFERROR(__xludf.DUMMYFUNCTION("""COMPUTED_VALUE"""),13.85)</f>
        <v>13.85</v>
      </c>
      <c r="F1421" s="25">
        <f>IFERROR(__xludf.DUMMYFUNCTION("""COMPUTED_VALUE"""),45324.63611111111)</f>
        <v>45324.63611</v>
      </c>
      <c r="G1421" s="22">
        <f>IFERROR(__xludf.DUMMYFUNCTION("""COMPUTED_VALUE"""),15.61)</f>
        <v>15.61</v>
      </c>
      <c r="H1421" s="25">
        <f>IFERROR(__xludf.DUMMYFUNCTION("""COMPUTED_VALUE"""),45324.63611111111)</f>
        <v>45324.63611</v>
      </c>
      <c r="I1421" s="22">
        <f>IFERROR(__xludf.DUMMYFUNCTION("""COMPUTED_VALUE"""),17.27)</f>
        <v>17.27</v>
      </c>
      <c r="J1421" s="25">
        <f>IFERROR(__xludf.DUMMYFUNCTION("""COMPUTED_VALUE"""),45324.63611111111)</f>
        <v>45324.63611</v>
      </c>
      <c r="K1421" s="22">
        <f>IFERROR(__xludf.DUMMYFUNCTION("""COMPUTED_VALUE"""),19.53)</f>
        <v>19.53</v>
      </c>
    </row>
    <row r="1422" ht="15.75" customHeight="1">
      <c r="A1422" s="25">
        <f>IFERROR(__xludf.DUMMYFUNCTION("""COMPUTED_VALUE"""),45327.66666666667)</f>
        <v>45327.66667</v>
      </c>
      <c r="B1422" s="22">
        <f>IFERROR(__xludf.DUMMYFUNCTION("""COMPUTED_VALUE"""),4942.81)</f>
        <v>4942.81</v>
      </c>
      <c r="C1422" s="25">
        <f>IFERROR(__xludf.DUMMYFUNCTION("""COMPUTED_VALUE"""),45327.63611111111)</f>
        <v>45327.63611</v>
      </c>
      <c r="D1422" s="22">
        <f>IFERROR(__xludf.DUMMYFUNCTION("""COMPUTED_VALUE"""),13.67)</f>
        <v>13.67</v>
      </c>
      <c r="F1422" s="25">
        <f>IFERROR(__xludf.DUMMYFUNCTION("""COMPUTED_VALUE"""),45327.63611111111)</f>
        <v>45327.63611</v>
      </c>
      <c r="G1422" s="22">
        <f>IFERROR(__xludf.DUMMYFUNCTION("""COMPUTED_VALUE"""),15.33)</f>
        <v>15.33</v>
      </c>
      <c r="H1422" s="25">
        <f>IFERROR(__xludf.DUMMYFUNCTION("""COMPUTED_VALUE"""),45327.63611111111)</f>
        <v>45327.63611</v>
      </c>
      <c r="I1422" s="22">
        <f>IFERROR(__xludf.DUMMYFUNCTION("""COMPUTED_VALUE"""),17.06)</f>
        <v>17.06</v>
      </c>
      <c r="J1422" s="25">
        <f>IFERROR(__xludf.DUMMYFUNCTION("""COMPUTED_VALUE"""),45327.63611111111)</f>
        <v>45327.63611</v>
      </c>
      <c r="K1422" s="22">
        <f>IFERROR(__xludf.DUMMYFUNCTION("""COMPUTED_VALUE"""),19.26)</f>
        <v>19.26</v>
      </c>
    </row>
    <row r="1423" ht="15.75" customHeight="1">
      <c r="A1423" s="25">
        <f>IFERROR(__xludf.DUMMYFUNCTION("""COMPUTED_VALUE"""),45328.66666666667)</f>
        <v>45328.66667</v>
      </c>
      <c r="B1423" s="22">
        <f>IFERROR(__xludf.DUMMYFUNCTION("""COMPUTED_VALUE"""),4954.23)</f>
        <v>4954.23</v>
      </c>
      <c r="C1423" s="25">
        <f>IFERROR(__xludf.DUMMYFUNCTION("""COMPUTED_VALUE"""),45328.63611111111)</f>
        <v>45328.63611</v>
      </c>
      <c r="D1423" s="22">
        <f>IFERROR(__xludf.DUMMYFUNCTION("""COMPUTED_VALUE"""),13.06)</f>
        <v>13.06</v>
      </c>
      <c r="F1423" s="25">
        <f>IFERROR(__xludf.DUMMYFUNCTION("""COMPUTED_VALUE"""),45328.63611111111)</f>
        <v>45328.63611</v>
      </c>
      <c r="G1423" s="22">
        <f>IFERROR(__xludf.DUMMYFUNCTION("""COMPUTED_VALUE"""),14.99)</f>
        <v>14.99</v>
      </c>
      <c r="H1423" s="25">
        <f>IFERROR(__xludf.DUMMYFUNCTION("""COMPUTED_VALUE"""),45328.63611111111)</f>
        <v>45328.63611</v>
      </c>
      <c r="I1423" s="22">
        <f>IFERROR(__xludf.DUMMYFUNCTION("""COMPUTED_VALUE"""),16.82)</f>
        <v>16.82</v>
      </c>
      <c r="J1423" s="25">
        <f>IFERROR(__xludf.DUMMYFUNCTION("""COMPUTED_VALUE"""),45328.63611111111)</f>
        <v>45328.63611</v>
      </c>
      <c r="K1423" s="22">
        <f>IFERROR(__xludf.DUMMYFUNCTION("""COMPUTED_VALUE"""),19.09)</f>
        <v>19.09</v>
      </c>
    </row>
    <row r="1424" ht="15.75" customHeight="1">
      <c r="A1424" s="25">
        <f>IFERROR(__xludf.DUMMYFUNCTION("""COMPUTED_VALUE"""),45329.66666666667)</f>
        <v>45329.66667</v>
      </c>
      <c r="B1424" s="22">
        <f>IFERROR(__xludf.DUMMYFUNCTION("""COMPUTED_VALUE"""),4995.06)</f>
        <v>4995.06</v>
      </c>
      <c r="C1424" s="25">
        <f>IFERROR(__xludf.DUMMYFUNCTION("""COMPUTED_VALUE"""),45329.63611111111)</f>
        <v>45329.63611</v>
      </c>
      <c r="D1424" s="22">
        <f>IFERROR(__xludf.DUMMYFUNCTION("""COMPUTED_VALUE"""),12.83)</f>
        <v>12.83</v>
      </c>
      <c r="F1424" s="25">
        <f>IFERROR(__xludf.DUMMYFUNCTION("""COMPUTED_VALUE"""),45329.63611111111)</f>
        <v>45329.63611</v>
      </c>
      <c r="G1424" s="22">
        <f>IFERROR(__xludf.DUMMYFUNCTION("""COMPUTED_VALUE"""),14.85)</f>
        <v>14.85</v>
      </c>
      <c r="H1424" s="25">
        <f>IFERROR(__xludf.DUMMYFUNCTION("""COMPUTED_VALUE"""),45329.63611111111)</f>
        <v>45329.63611</v>
      </c>
      <c r="I1424" s="22">
        <f>IFERROR(__xludf.DUMMYFUNCTION("""COMPUTED_VALUE"""),16.69)</f>
        <v>16.69</v>
      </c>
      <c r="J1424" s="25">
        <f>IFERROR(__xludf.DUMMYFUNCTION("""COMPUTED_VALUE"""),45329.63611111111)</f>
        <v>45329.63611</v>
      </c>
      <c r="K1424" s="22">
        <f>IFERROR(__xludf.DUMMYFUNCTION("""COMPUTED_VALUE"""),18.97)</f>
        <v>18.97</v>
      </c>
    </row>
    <row r="1425" ht="15.75" customHeight="1">
      <c r="A1425" s="25">
        <f>IFERROR(__xludf.DUMMYFUNCTION("""COMPUTED_VALUE"""),45330.66666666667)</f>
        <v>45330.66667</v>
      </c>
      <c r="B1425" s="22">
        <f>IFERROR(__xludf.DUMMYFUNCTION("""COMPUTED_VALUE"""),4997.91)</f>
        <v>4997.91</v>
      </c>
      <c r="C1425" s="25">
        <f>IFERROR(__xludf.DUMMYFUNCTION("""COMPUTED_VALUE"""),45330.63611111111)</f>
        <v>45330.63611</v>
      </c>
      <c r="D1425" s="22">
        <f>IFERROR(__xludf.DUMMYFUNCTION("""COMPUTED_VALUE"""),12.79)</f>
        <v>12.79</v>
      </c>
      <c r="F1425" s="25">
        <f>IFERROR(__xludf.DUMMYFUNCTION("""COMPUTED_VALUE"""),45330.63611111111)</f>
        <v>45330.63611</v>
      </c>
      <c r="G1425" s="22">
        <f>IFERROR(__xludf.DUMMYFUNCTION("""COMPUTED_VALUE"""),14.93)</f>
        <v>14.93</v>
      </c>
      <c r="H1425" s="25">
        <f>IFERROR(__xludf.DUMMYFUNCTION("""COMPUTED_VALUE"""),45330.63611111111)</f>
        <v>45330.63611</v>
      </c>
      <c r="I1425" s="22">
        <f>IFERROR(__xludf.DUMMYFUNCTION("""COMPUTED_VALUE"""),16.73)</f>
        <v>16.73</v>
      </c>
      <c r="J1425" s="25">
        <f>IFERROR(__xludf.DUMMYFUNCTION("""COMPUTED_VALUE"""),45330.63611111111)</f>
        <v>45330.63611</v>
      </c>
      <c r="K1425" s="22">
        <f>IFERROR(__xludf.DUMMYFUNCTION("""COMPUTED_VALUE"""),18.94)</f>
        <v>18.94</v>
      </c>
    </row>
    <row r="1426" ht="15.75" customHeight="1">
      <c r="A1426" s="25">
        <f>IFERROR(__xludf.DUMMYFUNCTION("""COMPUTED_VALUE"""),45331.66666666667)</f>
        <v>45331.66667</v>
      </c>
      <c r="B1426" s="22">
        <f>IFERROR(__xludf.DUMMYFUNCTION("""COMPUTED_VALUE"""),5026.61)</f>
        <v>5026.61</v>
      </c>
      <c r="C1426" s="25">
        <f>IFERROR(__xludf.DUMMYFUNCTION("""COMPUTED_VALUE"""),45331.63611111111)</f>
        <v>45331.63611</v>
      </c>
      <c r="D1426" s="22">
        <f>IFERROR(__xludf.DUMMYFUNCTION("""COMPUTED_VALUE"""),12.93)</f>
        <v>12.93</v>
      </c>
      <c r="F1426" s="25">
        <f>IFERROR(__xludf.DUMMYFUNCTION("""COMPUTED_VALUE"""),45331.63611111111)</f>
        <v>45331.63611</v>
      </c>
      <c r="G1426" s="22">
        <f>IFERROR(__xludf.DUMMYFUNCTION("""COMPUTED_VALUE"""),15.08)</f>
        <v>15.08</v>
      </c>
      <c r="H1426" s="25">
        <f>IFERROR(__xludf.DUMMYFUNCTION("""COMPUTED_VALUE"""),45331.63611111111)</f>
        <v>45331.63611</v>
      </c>
      <c r="I1426" s="22">
        <f>IFERROR(__xludf.DUMMYFUNCTION("""COMPUTED_VALUE"""),16.94)</f>
        <v>16.94</v>
      </c>
      <c r="J1426" s="25">
        <f>IFERROR(__xludf.DUMMYFUNCTION("""COMPUTED_VALUE"""),45331.63611111111)</f>
        <v>45331.63611</v>
      </c>
      <c r="K1426" s="22">
        <f>IFERROR(__xludf.DUMMYFUNCTION("""COMPUTED_VALUE"""),19.07)</f>
        <v>19.07</v>
      </c>
    </row>
    <row r="1427" ht="15.75" customHeight="1">
      <c r="A1427" s="25">
        <f>IFERROR(__xludf.DUMMYFUNCTION("""COMPUTED_VALUE"""),45334.66666666667)</f>
        <v>45334.66667</v>
      </c>
      <c r="B1427" s="22">
        <f>IFERROR(__xludf.DUMMYFUNCTION("""COMPUTED_VALUE"""),5021.84)</f>
        <v>5021.84</v>
      </c>
      <c r="C1427" s="25">
        <f>IFERROR(__xludf.DUMMYFUNCTION("""COMPUTED_VALUE"""),45334.63611111111)</f>
        <v>45334.63611</v>
      </c>
      <c r="D1427" s="22">
        <f>IFERROR(__xludf.DUMMYFUNCTION("""COMPUTED_VALUE"""),13.93)</f>
        <v>13.93</v>
      </c>
      <c r="F1427" s="25">
        <f>IFERROR(__xludf.DUMMYFUNCTION("""COMPUTED_VALUE"""),45334.63611111111)</f>
        <v>45334.63611</v>
      </c>
      <c r="G1427" s="22">
        <f>IFERROR(__xludf.DUMMYFUNCTION("""COMPUTED_VALUE"""),15.67)</f>
        <v>15.67</v>
      </c>
      <c r="H1427" s="25">
        <f>IFERROR(__xludf.DUMMYFUNCTION("""COMPUTED_VALUE"""),45334.63611111111)</f>
        <v>45334.63611</v>
      </c>
      <c r="I1427" s="22">
        <f>IFERROR(__xludf.DUMMYFUNCTION("""COMPUTED_VALUE"""),17.37)</f>
        <v>17.37</v>
      </c>
      <c r="J1427" s="25">
        <f>IFERROR(__xludf.DUMMYFUNCTION("""COMPUTED_VALUE"""),45334.63611111111)</f>
        <v>45334.63611</v>
      </c>
      <c r="K1427" s="22">
        <f>IFERROR(__xludf.DUMMYFUNCTION("""COMPUTED_VALUE"""),19.4)</f>
        <v>19.4</v>
      </c>
    </row>
    <row r="1428" ht="15.75" customHeight="1">
      <c r="A1428" s="25">
        <f>IFERROR(__xludf.DUMMYFUNCTION("""COMPUTED_VALUE"""),45335.66666666667)</f>
        <v>45335.66667</v>
      </c>
      <c r="B1428" s="22">
        <f>IFERROR(__xludf.DUMMYFUNCTION("""COMPUTED_VALUE"""),4953.17)</f>
        <v>4953.17</v>
      </c>
      <c r="C1428" s="25">
        <f>IFERROR(__xludf.DUMMYFUNCTION("""COMPUTED_VALUE"""),45335.63611111111)</f>
        <v>45335.63611</v>
      </c>
      <c r="D1428" s="22">
        <f>IFERROR(__xludf.DUMMYFUNCTION("""COMPUTED_VALUE"""),15.85)</f>
        <v>15.85</v>
      </c>
      <c r="F1428" s="25">
        <f>IFERROR(__xludf.DUMMYFUNCTION("""COMPUTED_VALUE"""),45335.63611111111)</f>
        <v>45335.63611</v>
      </c>
      <c r="G1428" s="22">
        <f>IFERROR(__xludf.DUMMYFUNCTION("""COMPUTED_VALUE"""),16.82)</f>
        <v>16.82</v>
      </c>
      <c r="H1428" s="25">
        <f>IFERROR(__xludf.DUMMYFUNCTION("""COMPUTED_VALUE"""),45335.63611111111)</f>
        <v>45335.63611</v>
      </c>
      <c r="I1428" s="22">
        <f>IFERROR(__xludf.DUMMYFUNCTION("""COMPUTED_VALUE"""),18.19)</f>
        <v>18.19</v>
      </c>
      <c r="J1428" s="25">
        <f>IFERROR(__xludf.DUMMYFUNCTION("""COMPUTED_VALUE"""),45335.63611111111)</f>
        <v>45335.63611</v>
      </c>
      <c r="K1428" s="22">
        <f>IFERROR(__xludf.DUMMYFUNCTION("""COMPUTED_VALUE"""),19.8)</f>
        <v>19.8</v>
      </c>
    </row>
    <row r="1429" ht="15.75" customHeight="1">
      <c r="A1429" s="25">
        <f>IFERROR(__xludf.DUMMYFUNCTION("""COMPUTED_VALUE"""),45336.66666666667)</f>
        <v>45336.66667</v>
      </c>
      <c r="B1429" s="22">
        <f>IFERROR(__xludf.DUMMYFUNCTION("""COMPUTED_VALUE"""),5000.62)</f>
        <v>5000.62</v>
      </c>
      <c r="C1429" s="25">
        <f>IFERROR(__xludf.DUMMYFUNCTION("""COMPUTED_VALUE"""),45336.63611111111)</f>
        <v>45336.63611</v>
      </c>
      <c r="D1429" s="22">
        <f>IFERROR(__xludf.DUMMYFUNCTION("""COMPUTED_VALUE"""),14.38)</f>
        <v>14.38</v>
      </c>
      <c r="F1429" s="25">
        <f>IFERROR(__xludf.DUMMYFUNCTION("""COMPUTED_VALUE"""),45336.63611111111)</f>
        <v>45336.63611</v>
      </c>
      <c r="G1429" s="22">
        <f>IFERROR(__xludf.DUMMYFUNCTION("""COMPUTED_VALUE"""),15.93)</f>
        <v>15.93</v>
      </c>
      <c r="H1429" s="25">
        <f>IFERROR(__xludf.DUMMYFUNCTION("""COMPUTED_VALUE"""),45336.63611111111)</f>
        <v>45336.63611</v>
      </c>
      <c r="I1429" s="22">
        <f>IFERROR(__xludf.DUMMYFUNCTION("""COMPUTED_VALUE"""),17.62)</f>
        <v>17.62</v>
      </c>
      <c r="J1429" s="25">
        <f>IFERROR(__xludf.DUMMYFUNCTION("""COMPUTED_VALUE"""),45336.63611111111)</f>
        <v>45336.63611</v>
      </c>
      <c r="K1429" s="22">
        <f>IFERROR(__xludf.DUMMYFUNCTION("""COMPUTED_VALUE"""),19.48)</f>
        <v>19.48</v>
      </c>
    </row>
    <row r="1430" ht="15.75" customHeight="1">
      <c r="A1430" s="25">
        <f>IFERROR(__xludf.DUMMYFUNCTION("""COMPUTED_VALUE"""),45337.66666666667)</f>
        <v>45337.66667</v>
      </c>
      <c r="B1430" s="22">
        <f>IFERROR(__xludf.DUMMYFUNCTION("""COMPUTED_VALUE"""),5029.73)</f>
        <v>5029.73</v>
      </c>
      <c r="C1430" s="25">
        <f>IFERROR(__xludf.DUMMYFUNCTION("""COMPUTED_VALUE"""),45337.63611111111)</f>
        <v>45337.63611</v>
      </c>
      <c r="D1430" s="22">
        <f>IFERROR(__xludf.DUMMYFUNCTION("""COMPUTED_VALUE"""),14.01)</f>
        <v>14.01</v>
      </c>
      <c r="F1430" s="25">
        <f>IFERROR(__xludf.DUMMYFUNCTION("""COMPUTED_VALUE"""),45337.63611111111)</f>
        <v>45337.63611</v>
      </c>
      <c r="G1430" s="22">
        <f>IFERROR(__xludf.DUMMYFUNCTION("""COMPUTED_VALUE"""),15.76)</f>
        <v>15.76</v>
      </c>
      <c r="H1430" s="25">
        <f>IFERROR(__xludf.DUMMYFUNCTION("""COMPUTED_VALUE"""),45337.63611111111)</f>
        <v>45337.63611</v>
      </c>
      <c r="I1430" s="22">
        <f>IFERROR(__xludf.DUMMYFUNCTION("""COMPUTED_VALUE"""),17.53)</f>
        <v>17.53</v>
      </c>
      <c r="J1430" s="25">
        <f>IFERROR(__xludf.DUMMYFUNCTION("""COMPUTED_VALUE"""),45337.63611111111)</f>
        <v>45337.63611</v>
      </c>
      <c r="K1430" s="22">
        <f>IFERROR(__xludf.DUMMYFUNCTION("""COMPUTED_VALUE"""),19.77)</f>
        <v>19.77</v>
      </c>
    </row>
    <row r="1431" ht="15.75" customHeight="1">
      <c r="A1431" s="25">
        <f>IFERROR(__xludf.DUMMYFUNCTION("""COMPUTED_VALUE"""),45338.66666666667)</f>
        <v>45338.66667</v>
      </c>
      <c r="B1431" s="22">
        <f>IFERROR(__xludf.DUMMYFUNCTION("""COMPUTED_VALUE"""),5005.57)</f>
        <v>5005.57</v>
      </c>
      <c r="C1431" s="25">
        <f>IFERROR(__xludf.DUMMYFUNCTION("""COMPUTED_VALUE"""),45338.63611111111)</f>
        <v>45338.63611</v>
      </c>
      <c r="D1431" s="22">
        <f>IFERROR(__xludf.DUMMYFUNCTION("""COMPUTED_VALUE"""),14.24)</f>
        <v>14.24</v>
      </c>
      <c r="F1431" s="25">
        <f>IFERROR(__xludf.DUMMYFUNCTION("""COMPUTED_VALUE"""),45338.63611111111)</f>
        <v>45338.63611</v>
      </c>
      <c r="G1431" s="22">
        <f>IFERROR(__xludf.DUMMYFUNCTION("""COMPUTED_VALUE"""),15.86)</f>
        <v>15.86</v>
      </c>
      <c r="H1431" s="25">
        <f>IFERROR(__xludf.DUMMYFUNCTION("""COMPUTED_VALUE"""),45338.63611111111)</f>
        <v>45338.63611</v>
      </c>
      <c r="I1431" s="22">
        <f>IFERROR(__xludf.DUMMYFUNCTION("""COMPUTED_VALUE"""),17.62)</f>
        <v>17.62</v>
      </c>
      <c r="J1431" s="25">
        <f>IFERROR(__xludf.DUMMYFUNCTION("""COMPUTED_VALUE"""),45338.63611111111)</f>
        <v>45338.63611</v>
      </c>
      <c r="K1431" s="22">
        <f>IFERROR(__xludf.DUMMYFUNCTION("""COMPUTED_VALUE"""),19.89)</f>
        <v>19.89</v>
      </c>
    </row>
    <row r="1432" ht="15.75" customHeight="1">
      <c r="A1432" s="25">
        <f>IFERROR(__xludf.DUMMYFUNCTION("""COMPUTED_VALUE"""),45342.66666666667)</f>
        <v>45342.66667</v>
      </c>
      <c r="B1432" s="22">
        <f>IFERROR(__xludf.DUMMYFUNCTION("""COMPUTED_VALUE"""),4975.51)</f>
        <v>4975.51</v>
      </c>
      <c r="C1432" s="25">
        <f>IFERROR(__xludf.DUMMYFUNCTION("""COMPUTED_VALUE"""),45342.63611111111)</f>
        <v>45342.63611</v>
      </c>
      <c r="D1432" s="22">
        <f>IFERROR(__xludf.DUMMYFUNCTION("""COMPUTED_VALUE"""),15.42)</f>
        <v>15.42</v>
      </c>
      <c r="F1432" s="25">
        <f>IFERROR(__xludf.DUMMYFUNCTION("""COMPUTED_VALUE"""),45342.63611111111)</f>
        <v>45342.63611</v>
      </c>
      <c r="G1432" s="22">
        <f>IFERROR(__xludf.DUMMYFUNCTION("""COMPUTED_VALUE"""),16.41)</f>
        <v>16.41</v>
      </c>
      <c r="H1432" s="25">
        <f>IFERROR(__xludf.DUMMYFUNCTION("""COMPUTED_VALUE"""),45342.63611111111)</f>
        <v>45342.63611</v>
      </c>
      <c r="I1432" s="22">
        <f>IFERROR(__xludf.DUMMYFUNCTION("""COMPUTED_VALUE"""),18.0)</f>
        <v>18</v>
      </c>
      <c r="J1432" s="25">
        <f>IFERROR(__xludf.DUMMYFUNCTION("""COMPUTED_VALUE"""),45342.63611111111)</f>
        <v>45342.63611</v>
      </c>
      <c r="K1432" s="22">
        <f>IFERROR(__xludf.DUMMYFUNCTION("""COMPUTED_VALUE"""),20.2)</f>
        <v>20.2</v>
      </c>
    </row>
    <row r="1433" ht="15.75" customHeight="1">
      <c r="A1433" s="25">
        <f>IFERROR(__xludf.DUMMYFUNCTION("""COMPUTED_VALUE"""),45343.66666666667)</f>
        <v>45343.66667</v>
      </c>
      <c r="B1433" s="22">
        <f>IFERROR(__xludf.DUMMYFUNCTION("""COMPUTED_VALUE"""),4981.8)</f>
        <v>4981.8</v>
      </c>
      <c r="C1433" s="25">
        <f>IFERROR(__xludf.DUMMYFUNCTION("""COMPUTED_VALUE"""),45343.63611111111)</f>
        <v>45343.63611</v>
      </c>
      <c r="D1433" s="22">
        <f>IFERROR(__xludf.DUMMYFUNCTION("""COMPUTED_VALUE"""),15.34)</f>
        <v>15.34</v>
      </c>
      <c r="F1433" s="25">
        <f>IFERROR(__xludf.DUMMYFUNCTION("""COMPUTED_VALUE"""),45343.63611111111)</f>
        <v>45343.63611</v>
      </c>
      <c r="G1433" s="22">
        <f>IFERROR(__xludf.DUMMYFUNCTION("""COMPUTED_VALUE"""),16.23)</f>
        <v>16.23</v>
      </c>
      <c r="H1433" s="25">
        <f>IFERROR(__xludf.DUMMYFUNCTION("""COMPUTED_VALUE"""),45343.63611111111)</f>
        <v>45343.63611</v>
      </c>
      <c r="I1433" s="22">
        <f>IFERROR(__xludf.DUMMYFUNCTION("""COMPUTED_VALUE"""),17.78)</f>
        <v>17.78</v>
      </c>
      <c r="J1433" s="25">
        <f>IFERROR(__xludf.DUMMYFUNCTION("""COMPUTED_VALUE"""),45343.63611111111)</f>
        <v>45343.63611</v>
      </c>
      <c r="K1433" s="22">
        <f>IFERROR(__xludf.DUMMYFUNCTION("""COMPUTED_VALUE"""),19.87)</f>
        <v>19.87</v>
      </c>
    </row>
    <row r="1434" ht="15.75" customHeight="1">
      <c r="A1434" s="25">
        <f>IFERROR(__xludf.DUMMYFUNCTION("""COMPUTED_VALUE"""),45344.66666666667)</f>
        <v>45344.66667</v>
      </c>
      <c r="B1434" s="22">
        <f>IFERROR(__xludf.DUMMYFUNCTION("""COMPUTED_VALUE"""),5087.03)</f>
        <v>5087.03</v>
      </c>
      <c r="C1434" s="25">
        <f>IFERROR(__xludf.DUMMYFUNCTION("""COMPUTED_VALUE"""),45344.63611111111)</f>
        <v>45344.63611</v>
      </c>
      <c r="D1434" s="22">
        <f>IFERROR(__xludf.DUMMYFUNCTION("""COMPUTED_VALUE"""),14.54)</f>
        <v>14.54</v>
      </c>
      <c r="F1434" s="25">
        <f>IFERROR(__xludf.DUMMYFUNCTION("""COMPUTED_VALUE"""),45344.63611111111)</f>
        <v>45344.63611</v>
      </c>
      <c r="G1434" s="22">
        <f>IFERROR(__xludf.DUMMYFUNCTION("""COMPUTED_VALUE"""),15.77)</f>
        <v>15.77</v>
      </c>
      <c r="H1434" s="25">
        <f>IFERROR(__xludf.DUMMYFUNCTION("""COMPUTED_VALUE"""),45344.63611111111)</f>
        <v>45344.63611</v>
      </c>
      <c r="I1434" s="22">
        <f>IFERROR(__xludf.DUMMYFUNCTION("""COMPUTED_VALUE"""),17.39)</f>
        <v>17.39</v>
      </c>
      <c r="J1434" s="25">
        <f>IFERROR(__xludf.DUMMYFUNCTION("""COMPUTED_VALUE"""),45344.63611111111)</f>
        <v>45344.63611</v>
      </c>
      <c r="K1434" s="22">
        <f>IFERROR(__xludf.DUMMYFUNCTION("""COMPUTED_VALUE"""),19.51)</f>
        <v>19.51</v>
      </c>
    </row>
    <row r="1435" ht="15.75" customHeight="1">
      <c r="A1435" s="25">
        <f>IFERROR(__xludf.DUMMYFUNCTION("""COMPUTED_VALUE"""),45345.66666666667)</f>
        <v>45345.66667</v>
      </c>
      <c r="B1435" s="22">
        <f>IFERROR(__xludf.DUMMYFUNCTION("""COMPUTED_VALUE"""),5088.8)</f>
        <v>5088.8</v>
      </c>
      <c r="C1435" s="25">
        <f>IFERROR(__xludf.DUMMYFUNCTION("""COMPUTED_VALUE"""),45345.63611111111)</f>
        <v>45345.63611</v>
      </c>
      <c r="D1435" s="22">
        <f>IFERROR(__xludf.DUMMYFUNCTION("""COMPUTED_VALUE"""),13.75)</f>
        <v>13.75</v>
      </c>
      <c r="F1435" s="25">
        <f>IFERROR(__xludf.DUMMYFUNCTION("""COMPUTED_VALUE"""),45345.63611111111)</f>
        <v>45345.63611</v>
      </c>
      <c r="G1435" s="22">
        <f>IFERROR(__xludf.DUMMYFUNCTION("""COMPUTED_VALUE"""),15.25)</f>
        <v>15.25</v>
      </c>
      <c r="H1435" s="25">
        <f>IFERROR(__xludf.DUMMYFUNCTION("""COMPUTED_VALUE"""),45345.63611111111)</f>
        <v>45345.63611</v>
      </c>
      <c r="I1435" s="22">
        <f>IFERROR(__xludf.DUMMYFUNCTION("""COMPUTED_VALUE"""),17.09)</f>
        <v>17.09</v>
      </c>
      <c r="J1435" s="25">
        <f>IFERROR(__xludf.DUMMYFUNCTION("""COMPUTED_VALUE"""),45345.63611111111)</f>
        <v>45345.63611</v>
      </c>
      <c r="K1435" s="22">
        <f>IFERROR(__xludf.DUMMYFUNCTION("""COMPUTED_VALUE"""),19.38)</f>
        <v>19.38</v>
      </c>
    </row>
    <row r="1436" ht="15.75" customHeight="1">
      <c r="A1436" s="25">
        <f>IFERROR(__xludf.DUMMYFUNCTION("""COMPUTED_VALUE"""),45348.66666666667)</f>
        <v>45348.66667</v>
      </c>
      <c r="B1436" s="22">
        <f>IFERROR(__xludf.DUMMYFUNCTION("""COMPUTED_VALUE"""),5069.53)</f>
        <v>5069.53</v>
      </c>
      <c r="C1436" s="25">
        <f>IFERROR(__xludf.DUMMYFUNCTION("""COMPUTED_VALUE"""),45348.63611111111)</f>
        <v>45348.63611</v>
      </c>
      <c r="D1436" s="22">
        <f>IFERROR(__xludf.DUMMYFUNCTION("""COMPUTED_VALUE"""),13.74)</f>
        <v>13.74</v>
      </c>
      <c r="F1436" s="25">
        <f>IFERROR(__xludf.DUMMYFUNCTION("""COMPUTED_VALUE"""),45348.63611111111)</f>
        <v>45348.63611</v>
      </c>
      <c r="G1436" s="22">
        <f>IFERROR(__xludf.DUMMYFUNCTION("""COMPUTED_VALUE"""),15.22)</f>
        <v>15.22</v>
      </c>
      <c r="H1436" s="25">
        <f>IFERROR(__xludf.DUMMYFUNCTION("""COMPUTED_VALUE"""),45348.63611111111)</f>
        <v>45348.63611</v>
      </c>
      <c r="I1436" s="22">
        <f>IFERROR(__xludf.DUMMYFUNCTION("""COMPUTED_VALUE"""),17.04)</f>
        <v>17.04</v>
      </c>
      <c r="J1436" s="25">
        <f>IFERROR(__xludf.DUMMYFUNCTION("""COMPUTED_VALUE"""),45348.63611111111)</f>
        <v>45348.63611</v>
      </c>
      <c r="K1436" s="22">
        <f>IFERROR(__xludf.DUMMYFUNCTION("""COMPUTED_VALUE"""),19.35)</f>
        <v>19.35</v>
      </c>
    </row>
    <row r="1437" ht="15.75" customHeight="1">
      <c r="A1437" s="25">
        <f>IFERROR(__xludf.DUMMYFUNCTION("""COMPUTED_VALUE"""),45349.66666666667)</f>
        <v>45349.66667</v>
      </c>
      <c r="B1437" s="22">
        <f>IFERROR(__xludf.DUMMYFUNCTION("""COMPUTED_VALUE"""),5078.18)</f>
        <v>5078.18</v>
      </c>
      <c r="C1437" s="25">
        <f>IFERROR(__xludf.DUMMYFUNCTION("""COMPUTED_VALUE"""),45349.63611111111)</f>
        <v>45349.63611</v>
      </c>
      <c r="D1437" s="22">
        <f>IFERROR(__xludf.DUMMYFUNCTION("""COMPUTED_VALUE"""),13.43)</f>
        <v>13.43</v>
      </c>
      <c r="F1437" s="25">
        <f>IFERROR(__xludf.DUMMYFUNCTION("""COMPUTED_VALUE"""),45349.63611111111)</f>
        <v>45349.63611</v>
      </c>
      <c r="G1437" s="22">
        <f>IFERROR(__xludf.DUMMYFUNCTION("""COMPUTED_VALUE"""),14.89)</f>
        <v>14.89</v>
      </c>
      <c r="H1437" s="25">
        <f>IFERROR(__xludf.DUMMYFUNCTION("""COMPUTED_VALUE"""),45349.63611111111)</f>
        <v>45349.63611</v>
      </c>
      <c r="I1437" s="22">
        <f>IFERROR(__xludf.DUMMYFUNCTION("""COMPUTED_VALUE"""),16.78)</f>
        <v>16.78</v>
      </c>
      <c r="J1437" s="25">
        <f>IFERROR(__xludf.DUMMYFUNCTION("""COMPUTED_VALUE"""),45349.63611111111)</f>
        <v>45349.63611</v>
      </c>
      <c r="K1437" s="22">
        <f>IFERROR(__xludf.DUMMYFUNCTION("""COMPUTED_VALUE"""),19.18)</f>
        <v>19.18</v>
      </c>
    </row>
    <row r="1438" ht="15.75" customHeight="1">
      <c r="A1438" s="25">
        <f>IFERROR(__xludf.DUMMYFUNCTION("""COMPUTED_VALUE"""),45350.66666666667)</f>
        <v>45350.66667</v>
      </c>
      <c r="B1438" s="22">
        <f>IFERROR(__xludf.DUMMYFUNCTION("""COMPUTED_VALUE"""),5069.76)</f>
        <v>5069.76</v>
      </c>
      <c r="C1438" s="25">
        <f>IFERROR(__xludf.DUMMYFUNCTION("""COMPUTED_VALUE"""),45350.63611111111)</f>
        <v>45350.63611</v>
      </c>
      <c r="D1438" s="22">
        <f>IFERROR(__xludf.DUMMYFUNCTION("""COMPUTED_VALUE"""),13.84)</f>
        <v>13.84</v>
      </c>
      <c r="F1438" s="25">
        <f>IFERROR(__xludf.DUMMYFUNCTION("""COMPUTED_VALUE"""),45350.63611111111)</f>
        <v>45350.63611</v>
      </c>
      <c r="G1438" s="22">
        <f>IFERROR(__xludf.DUMMYFUNCTION("""COMPUTED_VALUE"""),15.22)</f>
        <v>15.22</v>
      </c>
      <c r="H1438" s="25">
        <f>IFERROR(__xludf.DUMMYFUNCTION("""COMPUTED_VALUE"""),45350.63611111111)</f>
        <v>45350.63611</v>
      </c>
      <c r="I1438" s="22">
        <f>IFERROR(__xludf.DUMMYFUNCTION("""COMPUTED_VALUE"""),17.03)</f>
        <v>17.03</v>
      </c>
      <c r="J1438" s="25">
        <f>IFERROR(__xludf.DUMMYFUNCTION("""COMPUTED_VALUE"""),45350.63611111111)</f>
        <v>45350.63611</v>
      </c>
      <c r="K1438" s="22">
        <f>IFERROR(__xludf.DUMMYFUNCTION("""COMPUTED_VALUE"""),19.43)</f>
        <v>19.43</v>
      </c>
    </row>
    <row r="1439" ht="15.75" customHeight="1">
      <c r="A1439" s="25">
        <f>IFERROR(__xludf.DUMMYFUNCTION("""COMPUTED_VALUE"""),45351.66666666667)</f>
        <v>45351.66667</v>
      </c>
      <c r="B1439" s="22">
        <f>IFERROR(__xludf.DUMMYFUNCTION("""COMPUTED_VALUE"""),5096.27)</f>
        <v>5096.27</v>
      </c>
      <c r="C1439" s="25">
        <f>IFERROR(__xludf.DUMMYFUNCTION("""COMPUTED_VALUE"""),45351.63611111111)</f>
        <v>45351.63611</v>
      </c>
      <c r="D1439" s="22">
        <f>IFERROR(__xludf.DUMMYFUNCTION("""COMPUTED_VALUE"""),13.4)</f>
        <v>13.4</v>
      </c>
      <c r="F1439" s="25">
        <f>IFERROR(__xludf.DUMMYFUNCTION("""COMPUTED_VALUE"""),45351.63611111111)</f>
        <v>45351.63611</v>
      </c>
      <c r="G1439" s="22">
        <f>IFERROR(__xludf.DUMMYFUNCTION("""COMPUTED_VALUE"""),14.93)</f>
        <v>14.93</v>
      </c>
      <c r="H1439" s="25">
        <f>IFERROR(__xludf.DUMMYFUNCTION("""COMPUTED_VALUE"""),45351.63611111111)</f>
        <v>45351.63611</v>
      </c>
      <c r="I1439" s="22">
        <f>IFERROR(__xludf.DUMMYFUNCTION("""COMPUTED_VALUE"""),16.86)</f>
        <v>16.86</v>
      </c>
      <c r="J1439" s="25">
        <f>IFERROR(__xludf.DUMMYFUNCTION("""COMPUTED_VALUE"""),45351.63611111111)</f>
        <v>45351.63611</v>
      </c>
      <c r="K1439" s="22">
        <f>IFERROR(__xludf.DUMMYFUNCTION("""COMPUTED_VALUE"""),19.32)</f>
        <v>19.32</v>
      </c>
    </row>
    <row r="1440" ht="15.75" customHeight="1">
      <c r="A1440" s="25">
        <f>IFERROR(__xludf.DUMMYFUNCTION("""COMPUTED_VALUE"""),45352.66666666667)</f>
        <v>45352.66667</v>
      </c>
      <c r="B1440" s="22">
        <f>IFERROR(__xludf.DUMMYFUNCTION("""COMPUTED_VALUE"""),5137.08)</f>
        <v>5137.08</v>
      </c>
      <c r="C1440" s="25">
        <f>IFERROR(__xludf.DUMMYFUNCTION("""COMPUTED_VALUE"""),45352.63611111111)</f>
        <v>45352.63611</v>
      </c>
      <c r="D1440" s="22">
        <f>IFERROR(__xludf.DUMMYFUNCTION("""COMPUTED_VALUE"""),13.11)</f>
        <v>13.11</v>
      </c>
      <c r="F1440" s="25">
        <f>IFERROR(__xludf.DUMMYFUNCTION("""COMPUTED_VALUE"""),45352.63611111111)</f>
        <v>45352.63611</v>
      </c>
      <c r="G1440" s="22">
        <f>IFERROR(__xludf.DUMMYFUNCTION("""COMPUTED_VALUE"""),14.93)</f>
        <v>14.93</v>
      </c>
      <c r="H1440" s="25">
        <f>IFERROR(__xludf.DUMMYFUNCTION("""COMPUTED_VALUE"""),45352.63611111111)</f>
        <v>45352.63611</v>
      </c>
      <c r="I1440" s="22">
        <f>IFERROR(__xludf.DUMMYFUNCTION("""COMPUTED_VALUE"""),16.86)</f>
        <v>16.86</v>
      </c>
      <c r="J1440" s="25">
        <f>IFERROR(__xludf.DUMMYFUNCTION("""COMPUTED_VALUE"""),45352.63611111111)</f>
        <v>45352.63611</v>
      </c>
      <c r="K1440" s="22">
        <f>IFERROR(__xludf.DUMMYFUNCTION("""COMPUTED_VALUE"""),19.4)</f>
        <v>19.4</v>
      </c>
    </row>
    <row r="1441" ht="15.75" customHeight="1">
      <c r="A1441" s="25">
        <f>IFERROR(__xludf.DUMMYFUNCTION("""COMPUTED_VALUE"""),45355.66666666667)</f>
        <v>45355.66667</v>
      </c>
      <c r="B1441" s="22">
        <f>IFERROR(__xludf.DUMMYFUNCTION("""COMPUTED_VALUE"""),5130.95)</f>
        <v>5130.95</v>
      </c>
      <c r="C1441" s="25">
        <f>IFERROR(__xludf.DUMMYFUNCTION("""COMPUTED_VALUE"""),45355.63611111111)</f>
        <v>45355.63611</v>
      </c>
      <c r="D1441" s="22">
        <f>IFERROR(__xludf.DUMMYFUNCTION("""COMPUTED_VALUE"""),13.49)</f>
        <v>13.49</v>
      </c>
      <c r="F1441" s="25">
        <f>IFERROR(__xludf.DUMMYFUNCTION("""COMPUTED_VALUE"""),45355.63611111111)</f>
        <v>45355.63611</v>
      </c>
      <c r="G1441" s="22">
        <f>IFERROR(__xludf.DUMMYFUNCTION("""COMPUTED_VALUE"""),15.23)</f>
        <v>15.23</v>
      </c>
      <c r="H1441" s="25">
        <f>IFERROR(__xludf.DUMMYFUNCTION("""COMPUTED_VALUE"""),45355.63611111111)</f>
        <v>45355.63611</v>
      </c>
      <c r="I1441" s="22">
        <f>IFERROR(__xludf.DUMMYFUNCTION("""COMPUTED_VALUE"""),17.12)</f>
        <v>17.12</v>
      </c>
      <c r="J1441" s="25">
        <f>IFERROR(__xludf.DUMMYFUNCTION("""COMPUTED_VALUE"""),45355.63611111111)</f>
        <v>45355.63611</v>
      </c>
      <c r="K1441" s="22">
        <f>IFERROR(__xludf.DUMMYFUNCTION("""COMPUTED_VALUE"""),19.7)</f>
        <v>19.7</v>
      </c>
    </row>
    <row r="1442" ht="15.75" customHeight="1">
      <c r="A1442" s="25">
        <f>IFERROR(__xludf.DUMMYFUNCTION("""COMPUTED_VALUE"""),45356.66666666667)</f>
        <v>45356.66667</v>
      </c>
      <c r="B1442" s="22">
        <f>IFERROR(__xludf.DUMMYFUNCTION("""COMPUTED_VALUE"""),5078.65)</f>
        <v>5078.65</v>
      </c>
      <c r="C1442" s="25">
        <f>IFERROR(__xludf.DUMMYFUNCTION("""COMPUTED_VALUE"""),45356.63611111111)</f>
        <v>45356.63611</v>
      </c>
      <c r="D1442" s="22">
        <f>IFERROR(__xludf.DUMMYFUNCTION("""COMPUTED_VALUE"""),14.46)</f>
        <v>14.46</v>
      </c>
      <c r="F1442" s="25">
        <f>IFERROR(__xludf.DUMMYFUNCTION("""COMPUTED_VALUE"""),45356.63611111111)</f>
        <v>45356.63611</v>
      </c>
      <c r="G1442" s="22">
        <f>IFERROR(__xludf.DUMMYFUNCTION("""COMPUTED_VALUE"""),15.91)</f>
        <v>15.91</v>
      </c>
      <c r="H1442" s="25">
        <f>IFERROR(__xludf.DUMMYFUNCTION("""COMPUTED_VALUE"""),45356.63611111111)</f>
        <v>45356.63611</v>
      </c>
      <c r="I1442" s="22">
        <f>IFERROR(__xludf.DUMMYFUNCTION("""COMPUTED_VALUE"""),17.62)</f>
        <v>17.62</v>
      </c>
      <c r="J1442" s="25">
        <f>IFERROR(__xludf.DUMMYFUNCTION("""COMPUTED_VALUE"""),45356.63611111111)</f>
        <v>45356.63611</v>
      </c>
      <c r="K1442" s="22">
        <f>IFERROR(__xludf.DUMMYFUNCTION("""COMPUTED_VALUE"""),20.08)</f>
        <v>20.08</v>
      </c>
    </row>
    <row r="1443" ht="15.75" customHeight="1">
      <c r="A1443" s="25">
        <f>IFERROR(__xludf.DUMMYFUNCTION("""COMPUTED_VALUE"""),45357.66666666667)</f>
        <v>45357.66667</v>
      </c>
      <c r="B1443" s="22">
        <f>IFERROR(__xludf.DUMMYFUNCTION("""COMPUTED_VALUE"""),5104.76)</f>
        <v>5104.76</v>
      </c>
      <c r="C1443" s="25">
        <f>IFERROR(__xludf.DUMMYFUNCTION("""COMPUTED_VALUE"""),45357.63611111111)</f>
        <v>45357.63611</v>
      </c>
      <c r="D1443" s="22">
        <f>IFERROR(__xludf.DUMMYFUNCTION("""COMPUTED_VALUE"""),14.5)</f>
        <v>14.5</v>
      </c>
      <c r="F1443" s="25">
        <f>IFERROR(__xludf.DUMMYFUNCTION("""COMPUTED_VALUE"""),45357.63611111111)</f>
        <v>45357.63611</v>
      </c>
      <c r="G1443" s="22">
        <f>IFERROR(__xludf.DUMMYFUNCTION("""COMPUTED_VALUE"""),15.97)</f>
        <v>15.97</v>
      </c>
      <c r="H1443" s="25">
        <f>IFERROR(__xludf.DUMMYFUNCTION("""COMPUTED_VALUE"""),45357.63611111111)</f>
        <v>45357.63611</v>
      </c>
      <c r="I1443" s="22">
        <f>IFERROR(__xludf.DUMMYFUNCTION("""COMPUTED_VALUE"""),17.67)</f>
        <v>17.67</v>
      </c>
      <c r="J1443" s="25">
        <f>IFERROR(__xludf.DUMMYFUNCTION("""COMPUTED_VALUE"""),45357.63611111111)</f>
        <v>45357.63611</v>
      </c>
      <c r="K1443" s="22">
        <f>IFERROR(__xludf.DUMMYFUNCTION("""COMPUTED_VALUE"""),20.14)</f>
        <v>20.14</v>
      </c>
    </row>
    <row r="1444" ht="15.75" customHeight="1">
      <c r="A1444" s="25">
        <f>IFERROR(__xludf.DUMMYFUNCTION("""COMPUTED_VALUE"""),45358.66666666667)</f>
        <v>45358.66667</v>
      </c>
      <c r="B1444" s="22">
        <f>IFERROR(__xludf.DUMMYFUNCTION("""COMPUTED_VALUE"""),5157.36)</f>
        <v>5157.36</v>
      </c>
      <c r="C1444" s="25">
        <f>IFERROR(__xludf.DUMMYFUNCTION("""COMPUTED_VALUE"""),45358.63611111111)</f>
        <v>45358.63611</v>
      </c>
      <c r="D1444" s="22">
        <f>IFERROR(__xludf.DUMMYFUNCTION("""COMPUTED_VALUE"""),14.44)</f>
        <v>14.44</v>
      </c>
      <c r="F1444" s="25">
        <f>IFERROR(__xludf.DUMMYFUNCTION("""COMPUTED_VALUE"""),45358.63611111111)</f>
        <v>45358.63611</v>
      </c>
      <c r="G1444" s="22">
        <f>IFERROR(__xludf.DUMMYFUNCTION("""COMPUTED_VALUE"""),15.91)</f>
        <v>15.91</v>
      </c>
      <c r="H1444" s="25">
        <f>IFERROR(__xludf.DUMMYFUNCTION("""COMPUTED_VALUE"""),45358.63611111111)</f>
        <v>45358.63611</v>
      </c>
      <c r="I1444" s="22">
        <f>IFERROR(__xludf.DUMMYFUNCTION("""COMPUTED_VALUE"""),17.57)</f>
        <v>17.57</v>
      </c>
      <c r="J1444" s="25">
        <f>IFERROR(__xludf.DUMMYFUNCTION("""COMPUTED_VALUE"""),45358.63611111111)</f>
        <v>45358.63611</v>
      </c>
      <c r="K1444" s="22">
        <f>IFERROR(__xludf.DUMMYFUNCTION("""COMPUTED_VALUE"""),20.06)</f>
        <v>20.06</v>
      </c>
    </row>
    <row r="1445" ht="15.75" customHeight="1">
      <c r="A1445" s="25">
        <f>IFERROR(__xludf.DUMMYFUNCTION("""COMPUTED_VALUE"""),45359.66666666667)</f>
        <v>45359.66667</v>
      </c>
      <c r="B1445" s="22">
        <f>IFERROR(__xludf.DUMMYFUNCTION("""COMPUTED_VALUE"""),5123.69)</f>
        <v>5123.69</v>
      </c>
      <c r="C1445" s="25">
        <f>IFERROR(__xludf.DUMMYFUNCTION("""COMPUTED_VALUE"""),45359.63611111111)</f>
        <v>45359.63611</v>
      </c>
      <c r="D1445" s="22">
        <f>IFERROR(__xludf.DUMMYFUNCTION("""COMPUTED_VALUE"""),14.74)</f>
        <v>14.74</v>
      </c>
      <c r="F1445" s="25">
        <f>IFERROR(__xludf.DUMMYFUNCTION("""COMPUTED_VALUE"""),45359.63611111111)</f>
        <v>45359.63611</v>
      </c>
      <c r="G1445" s="22">
        <f>IFERROR(__xludf.DUMMYFUNCTION("""COMPUTED_VALUE"""),16.3)</f>
        <v>16.3</v>
      </c>
      <c r="H1445" s="25">
        <f>IFERROR(__xludf.DUMMYFUNCTION("""COMPUTED_VALUE"""),45359.63611111111)</f>
        <v>45359.63611</v>
      </c>
      <c r="I1445" s="22">
        <f>IFERROR(__xludf.DUMMYFUNCTION("""COMPUTED_VALUE"""),17.96)</f>
        <v>17.96</v>
      </c>
      <c r="J1445" s="25">
        <f>IFERROR(__xludf.DUMMYFUNCTION("""COMPUTED_VALUE"""),45359.63611111111)</f>
        <v>45359.63611</v>
      </c>
      <c r="K1445" s="22">
        <f>IFERROR(__xludf.DUMMYFUNCTION("""COMPUTED_VALUE"""),20.27)</f>
        <v>20.27</v>
      </c>
    </row>
    <row r="1446" ht="15.75" customHeight="1">
      <c r="A1446" s="25">
        <f>IFERROR(__xludf.DUMMYFUNCTION("""COMPUTED_VALUE"""),45362.66666666667)</f>
        <v>45362.66667</v>
      </c>
      <c r="B1446" s="22">
        <f>IFERROR(__xludf.DUMMYFUNCTION("""COMPUTED_VALUE"""),5117.94)</f>
        <v>5117.94</v>
      </c>
      <c r="C1446" s="25">
        <f>IFERROR(__xludf.DUMMYFUNCTION("""COMPUTED_VALUE"""),45362.63611111111)</f>
        <v>45362.63611</v>
      </c>
      <c r="D1446" s="22">
        <f>IFERROR(__xludf.DUMMYFUNCTION("""COMPUTED_VALUE"""),15.22)</f>
        <v>15.22</v>
      </c>
      <c r="F1446" s="25">
        <f>IFERROR(__xludf.DUMMYFUNCTION("""COMPUTED_VALUE"""),45362.63611111111)</f>
        <v>45362.63611</v>
      </c>
      <c r="G1446" s="22">
        <f>IFERROR(__xludf.DUMMYFUNCTION("""COMPUTED_VALUE"""),16.46)</f>
        <v>16.46</v>
      </c>
      <c r="H1446" s="25">
        <f>IFERROR(__xludf.DUMMYFUNCTION("""COMPUTED_VALUE"""),45362.63611111111)</f>
        <v>45362.63611</v>
      </c>
      <c r="I1446" s="22">
        <f>IFERROR(__xludf.DUMMYFUNCTION("""COMPUTED_VALUE"""),18.11)</f>
        <v>18.11</v>
      </c>
      <c r="J1446" s="25">
        <f>IFERROR(__xludf.DUMMYFUNCTION("""COMPUTED_VALUE"""),45362.63611111111)</f>
        <v>45362.63611</v>
      </c>
      <c r="K1446" s="22">
        <f>IFERROR(__xludf.DUMMYFUNCTION("""COMPUTED_VALUE"""),20.45)</f>
        <v>20.45</v>
      </c>
    </row>
    <row r="1447" ht="15.75" customHeight="1">
      <c r="A1447" s="25">
        <f>IFERROR(__xludf.DUMMYFUNCTION("""COMPUTED_VALUE"""),45363.66666666667)</f>
        <v>45363.66667</v>
      </c>
      <c r="B1447" s="22">
        <f>IFERROR(__xludf.DUMMYFUNCTION("""COMPUTED_VALUE"""),5175.27)</f>
        <v>5175.27</v>
      </c>
      <c r="C1447" s="25">
        <f>IFERROR(__xludf.DUMMYFUNCTION("""COMPUTED_VALUE"""),45363.63611111111)</f>
        <v>45363.63611</v>
      </c>
      <c r="D1447" s="22">
        <f>IFERROR(__xludf.DUMMYFUNCTION("""COMPUTED_VALUE"""),13.84)</f>
        <v>13.84</v>
      </c>
      <c r="F1447" s="25">
        <f>IFERROR(__xludf.DUMMYFUNCTION("""COMPUTED_VALUE"""),45363.63611111111)</f>
        <v>45363.63611</v>
      </c>
      <c r="G1447" s="22">
        <f>IFERROR(__xludf.DUMMYFUNCTION("""COMPUTED_VALUE"""),15.66)</f>
        <v>15.66</v>
      </c>
      <c r="H1447" s="25">
        <f>IFERROR(__xludf.DUMMYFUNCTION("""COMPUTED_VALUE"""),45363.63611111111)</f>
        <v>45363.63611</v>
      </c>
      <c r="I1447" s="22">
        <f>IFERROR(__xludf.DUMMYFUNCTION("""COMPUTED_VALUE"""),17.58)</f>
        <v>17.58</v>
      </c>
      <c r="J1447" s="25">
        <f>IFERROR(__xludf.DUMMYFUNCTION("""COMPUTED_VALUE"""),45363.63611111111)</f>
        <v>45363.63611</v>
      </c>
      <c r="K1447" s="22">
        <f>IFERROR(__xludf.DUMMYFUNCTION("""COMPUTED_VALUE"""),20.11)</f>
        <v>20.11</v>
      </c>
    </row>
    <row r="1448" ht="15.75" customHeight="1">
      <c r="A1448" s="25">
        <f>IFERROR(__xludf.DUMMYFUNCTION("""COMPUTED_VALUE"""),45364.66666666667)</f>
        <v>45364.66667</v>
      </c>
      <c r="B1448" s="22">
        <f>IFERROR(__xludf.DUMMYFUNCTION("""COMPUTED_VALUE"""),5165.31)</f>
        <v>5165.31</v>
      </c>
      <c r="C1448" s="25">
        <f>IFERROR(__xludf.DUMMYFUNCTION("""COMPUTED_VALUE"""),45364.63611111111)</f>
        <v>45364.63611</v>
      </c>
      <c r="D1448" s="22">
        <f>IFERROR(__xludf.DUMMYFUNCTION("""COMPUTED_VALUE"""),13.75)</f>
        <v>13.75</v>
      </c>
      <c r="F1448" s="25">
        <f>IFERROR(__xludf.DUMMYFUNCTION("""COMPUTED_VALUE"""),45364.63611111111)</f>
        <v>45364.63611</v>
      </c>
      <c r="G1448" s="22">
        <f>IFERROR(__xludf.DUMMYFUNCTION("""COMPUTED_VALUE"""),15.6)</f>
        <v>15.6</v>
      </c>
      <c r="H1448" s="25">
        <f>IFERROR(__xludf.DUMMYFUNCTION("""COMPUTED_VALUE"""),45364.63611111111)</f>
        <v>45364.63611</v>
      </c>
      <c r="I1448" s="22">
        <f>IFERROR(__xludf.DUMMYFUNCTION("""COMPUTED_VALUE"""),17.56)</f>
        <v>17.56</v>
      </c>
      <c r="J1448" s="25">
        <f>IFERROR(__xludf.DUMMYFUNCTION("""COMPUTED_VALUE"""),45364.63611111111)</f>
        <v>45364.63611</v>
      </c>
      <c r="K1448" s="22">
        <f>IFERROR(__xludf.DUMMYFUNCTION("""COMPUTED_VALUE"""),20.2)</f>
        <v>20.2</v>
      </c>
    </row>
    <row r="1449" ht="15.75" customHeight="1">
      <c r="A1449" s="25">
        <f>IFERROR(__xludf.DUMMYFUNCTION("""COMPUTED_VALUE"""),45365.66666666667)</f>
        <v>45365.66667</v>
      </c>
      <c r="B1449" s="22">
        <f>IFERROR(__xludf.DUMMYFUNCTION("""COMPUTED_VALUE"""),5150.48)</f>
        <v>5150.48</v>
      </c>
      <c r="C1449" s="25">
        <f>IFERROR(__xludf.DUMMYFUNCTION("""COMPUTED_VALUE"""),45365.63611111111)</f>
        <v>45365.63611</v>
      </c>
      <c r="D1449" s="22">
        <f>IFERROR(__xludf.DUMMYFUNCTION("""COMPUTED_VALUE"""),14.4)</f>
        <v>14.4</v>
      </c>
      <c r="F1449" s="25">
        <f>IFERROR(__xludf.DUMMYFUNCTION("""COMPUTED_VALUE"""),45365.63611111111)</f>
        <v>45365.63611</v>
      </c>
      <c r="G1449" s="22">
        <f>IFERROR(__xludf.DUMMYFUNCTION("""COMPUTED_VALUE"""),16.12)</f>
        <v>16.12</v>
      </c>
      <c r="H1449" s="25">
        <f>IFERROR(__xludf.DUMMYFUNCTION("""COMPUTED_VALUE"""),45365.63611111111)</f>
        <v>45365.63611</v>
      </c>
      <c r="I1449" s="22">
        <f>IFERROR(__xludf.DUMMYFUNCTION("""COMPUTED_VALUE"""),17.93)</f>
        <v>17.93</v>
      </c>
      <c r="J1449" s="25">
        <f>IFERROR(__xludf.DUMMYFUNCTION("""COMPUTED_VALUE"""),45365.63611111111)</f>
        <v>45365.63611</v>
      </c>
      <c r="K1449" s="22">
        <f>IFERROR(__xludf.DUMMYFUNCTION("""COMPUTED_VALUE"""),20.48)</f>
        <v>20.48</v>
      </c>
    </row>
    <row r="1450" ht="15.75" customHeight="1">
      <c r="A1450" s="25">
        <f>IFERROR(__xludf.DUMMYFUNCTION("""COMPUTED_VALUE"""),45366.66666666667)</f>
        <v>45366.66667</v>
      </c>
      <c r="B1450" s="22">
        <f>IFERROR(__xludf.DUMMYFUNCTION("""COMPUTED_VALUE"""),5117.09)</f>
        <v>5117.09</v>
      </c>
      <c r="C1450" s="25">
        <f>IFERROR(__xludf.DUMMYFUNCTION("""COMPUTED_VALUE"""),45366.63611111111)</f>
        <v>45366.63611</v>
      </c>
      <c r="D1450" s="22">
        <f>IFERROR(__xludf.DUMMYFUNCTION("""COMPUTED_VALUE"""),14.41)</f>
        <v>14.41</v>
      </c>
      <c r="F1450" s="25">
        <f>IFERROR(__xludf.DUMMYFUNCTION("""COMPUTED_VALUE"""),45366.63611111111)</f>
        <v>45366.63611</v>
      </c>
      <c r="G1450" s="22">
        <f>IFERROR(__xludf.DUMMYFUNCTION("""COMPUTED_VALUE"""),16.41)</f>
        <v>16.41</v>
      </c>
      <c r="H1450" s="25">
        <f>IFERROR(__xludf.DUMMYFUNCTION("""COMPUTED_VALUE"""),45366.63611111111)</f>
        <v>45366.63611</v>
      </c>
      <c r="I1450" s="22">
        <f>IFERROR(__xludf.DUMMYFUNCTION("""COMPUTED_VALUE"""),18.17)</f>
        <v>18.17</v>
      </c>
      <c r="J1450" s="25">
        <f>IFERROR(__xludf.DUMMYFUNCTION("""COMPUTED_VALUE"""),45366.63611111111)</f>
        <v>45366.63611</v>
      </c>
      <c r="K1450" s="22">
        <f>IFERROR(__xludf.DUMMYFUNCTION("""COMPUTED_VALUE"""),20.65)</f>
        <v>20.65</v>
      </c>
    </row>
    <row r="1451" ht="15.75" customHeight="1">
      <c r="A1451" s="25">
        <f>IFERROR(__xludf.DUMMYFUNCTION("""COMPUTED_VALUE"""),45369.66666666667)</f>
        <v>45369.66667</v>
      </c>
      <c r="B1451" s="22">
        <f>IFERROR(__xludf.DUMMYFUNCTION("""COMPUTED_VALUE"""),5149.42)</f>
        <v>5149.42</v>
      </c>
      <c r="C1451" s="25">
        <f>IFERROR(__xludf.DUMMYFUNCTION("""COMPUTED_VALUE"""),45369.63611111111)</f>
        <v>45369.63611</v>
      </c>
      <c r="D1451" s="22">
        <f>IFERROR(__xludf.DUMMYFUNCTION("""COMPUTED_VALUE"""),14.33)</f>
        <v>14.33</v>
      </c>
      <c r="F1451" s="25">
        <f>IFERROR(__xludf.DUMMYFUNCTION("""COMPUTED_VALUE"""),45369.63611111111)</f>
        <v>45369.63611</v>
      </c>
      <c r="G1451" s="22">
        <f>IFERROR(__xludf.DUMMYFUNCTION("""COMPUTED_VALUE"""),16.22)</f>
        <v>16.22</v>
      </c>
      <c r="H1451" s="25">
        <f>IFERROR(__xludf.DUMMYFUNCTION("""COMPUTED_VALUE"""),45369.63611111111)</f>
        <v>45369.63611</v>
      </c>
      <c r="I1451" s="22">
        <f>IFERROR(__xludf.DUMMYFUNCTION("""COMPUTED_VALUE"""),18.0)</f>
        <v>18</v>
      </c>
      <c r="J1451" s="25">
        <f>IFERROR(__xludf.DUMMYFUNCTION("""COMPUTED_VALUE"""),45369.63611111111)</f>
        <v>45369.63611</v>
      </c>
      <c r="K1451" s="22">
        <f>IFERROR(__xludf.DUMMYFUNCTION("""COMPUTED_VALUE"""),20.51)</f>
        <v>20.51</v>
      </c>
    </row>
    <row r="1452" ht="15.75" customHeight="1">
      <c r="A1452" s="25">
        <f>IFERROR(__xludf.DUMMYFUNCTION("""COMPUTED_VALUE"""),45370.66666666667)</f>
        <v>45370.66667</v>
      </c>
      <c r="B1452" s="22">
        <f>IFERROR(__xludf.DUMMYFUNCTION("""COMPUTED_VALUE"""),5178.51)</f>
        <v>5178.51</v>
      </c>
      <c r="C1452" s="25">
        <f>IFERROR(__xludf.DUMMYFUNCTION("""COMPUTED_VALUE"""),45370.63611111111)</f>
        <v>45370.63611</v>
      </c>
      <c r="D1452" s="22">
        <f>IFERROR(__xludf.DUMMYFUNCTION("""COMPUTED_VALUE"""),13.82)</f>
        <v>13.82</v>
      </c>
      <c r="F1452" s="25">
        <f>IFERROR(__xludf.DUMMYFUNCTION("""COMPUTED_VALUE"""),45370.63611111111)</f>
        <v>45370.63611</v>
      </c>
      <c r="G1452" s="22">
        <f>IFERROR(__xludf.DUMMYFUNCTION("""COMPUTED_VALUE"""),15.77)</f>
        <v>15.77</v>
      </c>
      <c r="H1452" s="25">
        <f>IFERROR(__xludf.DUMMYFUNCTION("""COMPUTED_VALUE"""),45370.63611111111)</f>
        <v>45370.63611</v>
      </c>
      <c r="I1452" s="22">
        <f>IFERROR(__xludf.DUMMYFUNCTION("""COMPUTED_VALUE"""),17.64)</f>
        <v>17.64</v>
      </c>
      <c r="J1452" s="25">
        <f>IFERROR(__xludf.DUMMYFUNCTION("""COMPUTED_VALUE"""),45370.63611111111)</f>
        <v>45370.63611</v>
      </c>
      <c r="K1452" s="22">
        <f>IFERROR(__xludf.DUMMYFUNCTION("""COMPUTED_VALUE"""),20.27)</f>
        <v>20.27</v>
      </c>
    </row>
    <row r="1453" ht="15.75" customHeight="1">
      <c r="A1453" s="25">
        <f>IFERROR(__xludf.DUMMYFUNCTION("""COMPUTED_VALUE"""),45371.66666666667)</f>
        <v>45371.66667</v>
      </c>
      <c r="B1453" s="22">
        <f>IFERROR(__xludf.DUMMYFUNCTION("""COMPUTED_VALUE"""),5224.62)</f>
        <v>5224.62</v>
      </c>
      <c r="C1453" s="25">
        <f>IFERROR(__xludf.DUMMYFUNCTION("""COMPUTED_VALUE"""),45371.63611111111)</f>
        <v>45371.63611</v>
      </c>
      <c r="D1453" s="22">
        <f>IFERROR(__xludf.DUMMYFUNCTION("""COMPUTED_VALUE"""),13.04)</f>
        <v>13.04</v>
      </c>
      <c r="F1453" s="25">
        <f>IFERROR(__xludf.DUMMYFUNCTION("""COMPUTED_VALUE"""),45371.63611111111)</f>
        <v>45371.63611</v>
      </c>
      <c r="G1453" s="22">
        <f>IFERROR(__xludf.DUMMYFUNCTION("""COMPUTED_VALUE"""),15.28)</f>
        <v>15.28</v>
      </c>
      <c r="H1453" s="25">
        <f>IFERROR(__xludf.DUMMYFUNCTION("""COMPUTED_VALUE"""),45371.63611111111)</f>
        <v>45371.63611</v>
      </c>
      <c r="I1453" s="22">
        <f>IFERROR(__xludf.DUMMYFUNCTION("""COMPUTED_VALUE"""),17.27)</f>
        <v>17.27</v>
      </c>
      <c r="J1453" s="25">
        <f>IFERROR(__xludf.DUMMYFUNCTION("""COMPUTED_VALUE"""),45371.63611111111)</f>
        <v>45371.63611</v>
      </c>
      <c r="K1453" s="22">
        <f>IFERROR(__xludf.DUMMYFUNCTION("""COMPUTED_VALUE"""),19.99)</f>
        <v>19.99</v>
      </c>
    </row>
    <row r="1454" ht="15.75" customHeight="1">
      <c r="A1454" s="25">
        <f>IFERROR(__xludf.DUMMYFUNCTION("""COMPUTED_VALUE"""),45372.66666666667)</f>
        <v>45372.66667</v>
      </c>
      <c r="B1454" s="22">
        <f>IFERROR(__xludf.DUMMYFUNCTION("""COMPUTED_VALUE"""),5241.53)</f>
        <v>5241.53</v>
      </c>
      <c r="C1454" s="25">
        <f>IFERROR(__xludf.DUMMYFUNCTION("""COMPUTED_VALUE"""),45372.63611111111)</f>
        <v>45372.63611</v>
      </c>
      <c r="D1454" s="22">
        <f>IFERROR(__xludf.DUMMYFUNCTION("""COMPUTED_VALUE"""),12.92)</f>
        <v>12.92</v>
      </c>
      <c r="F1454" s="25">
        <f>IFERROR(__xludf.DUMMYFUNCTION("""COMPUTED_VALUE"""),45372.63611111111)</f>
        <v>45372.63611</v>
      </c>
      <c r="G1454" s="22">
        <f>IFERROR(__xludf.DUMMYFUNCTION("""COMPUTED_VALUE"""),15.18)</f>
        <v>15.18</v>
      </c>
      <c r="H1454" s="25">
        <f>IFERROR(__xludf.DUMMYFUNCTION("""COMPUTED_VALUE"""),45372.63611111111)</f>
        <v>45372.63611</v>
      </c>
      <c r="I1454" s="22">
        <f>IFERROR(__xludf.DUMMYFUNCTION("""COMPUTED_VALUE"""),17.25)</f>
        <v>17.25</v>
      </c>
      <c r="J1454" s="25">
        <f>IFERROR(__xludf.DUMMYFUNCTION("""COMPUTED_VALUE"""),45372.63611111111)</f>
        <v>45372.63611</v>
      </c>
      <c r="K1454" s="22">
        <f>IFERROR(__xludf.DUMMYFUNCTION("""COMPUTED_VALUE"""),19.97)</f>
        <v>19.97</v>
      </c>
    </row>
    <row r="1455" ht="15.75" customHeight="1">
      <c r="A1455" s="25">
        <f>IFERROR(__xludf.DUMMYFUNCTION("""COMPUTED_VALUE"""),45373.66666666667)</f>
        <v>45373.66667</v>
      </c>
      <c r="B1455" s="22">
        <f>IFERROR(__xludf.DUMMYFUNCTION("""COMPUTED_VALUE"""),5234.18)</f>
        <v>5234.18</v>
      </c>
      <c r="C1455" s="25">
        <f>IFERROR(__xludf.DUMMYFUNCTION("""COMPUTED_VALUE"""),45373.63611111111)</f>
        <v>45373.63611</v>
      </c>
      <c r="D1455" s="22">
        <f>IFERROR(__xludf.DUMMYFUNCTION("""COMPUTED_VALUE"""),13.06)</f>
        <v>13.06</v>
      </c>
      <c r="F1455" s="25">
        <f>IFERROR(__xludf.DUMMYFUNCTION("""COMPUTED_VALUE"""),45373.63611111111)</f>
        <v>45373.63611</v>
      </c>
      <c r="G1455" s="22">
        <f>IFERROR(__xludf.DUMMYFUNCTION("""COMPUTED_VALUE"""),15.3)</f>
        <v>15.3</v>
      </c>
      <c r="H1455" s="25">
        <f>IFERROR(__xludf.DUMMYFUNCTION("""COMPUTED_VALUE"""),45373.63611111111)</f>
        <v>45373.63611</v>
      </c>
      <c r="I1455" s="22">
        <f>IFERROR(__xludf.DUMMYFUNCTION("""COMPUTED_VALUE"""),17.34)</f>
        <v>17.34</v>
      </c>
      <c r="J1455" s="25">
        <f>IFERROR(__xludf.DUMMYFUNCTION("""COMPUTED_VALUE"""),45373.63611111111)</f>
        <v>45373.63611</v>
      </c>
      <c r="K1455" s="22">
        <f>IFERROR(__xludf.DUMMYFUNCTION("""COMPUTED_VALUE"""),20.14)</f>
        <v>20.14</v>
      </c>
    </row>
    <row r="1456" ht="15.75" customHeight="1">
      <c r="A1456" s="25">
        <f>IFERROR(__xludf.DUMMYFUNCTION("""COMPUTED_VALUE"""),45376.66666666667)</f>
        <v>45376.66667</v>
      </c>
      <c r="B1456" s="22">
        <f>IFERROR(__xludf.DUMMYFUNCTION("""COMPUTED_VALUE"""),5218.19)</f>
        <v>5218.19</v>
      </c>
      <c r="C1456" s="25">
        <f>IFERROR(__xludf.DUMMYFUNCTION("""COMPUTED_VALUE"""),45376.63611111111)</f>
        <v>45376.63611</v>
      </c>
      <c r="D1456" s="22">
        <f>IFERROR(__xludf.DUMMYFUNCTION("""COMPUTED_VALUE"""),13.19)</f>
        <v>13.19</v>
      </c>
      <c r="F1456" s="25">
        <f>IFERROR(__xludf.DUMMYFUNCTION("""COMPUTED_VALUE"""),45376.63611111111)</f>
        <v>45376.63611</v>
      </c>
      <c r="G1456" s="22">
        <f>IFERROR(__xludf.DUMMYFUNCTION("""COMPUTED_VALUE"""),15.38)</f>
        <v>15.38</v>
      </c>
      <c r="H1456" s="25">
        <f>IFERROR(__xludf.DUMMYFUNCTION("""COMPUTED_VALUE"""),45376.63611111111)</f>
        <v>45376.63611</v>
      </c>
      <c r="I1456" s="22">
        <f>IFERROR(__xludf.DUMMYFUNCTION("""COMPUTED_VALUE"""),17.46)</f>
        <v>17.46</v>
      </c>
      <c r="J1456" s="25">
        <f>IFERROR(__xludf.DUMMYFUNCTION("""COMPUTED_VALUE"""),45376.63611111111)</f>
        <v>45376.63611</v>
      </c>
      <c r="K1456" s="22">
        <f>IFERROR(__xludf.DUMMYFUNCTION("""COMPUTED_VALUE"""),20.23)</f>
        <v>20.23</v>
      </c>
    </row>
    <row r="1457" ht="15.75" customHeight="1">
      <c r="A1457" s="25">
        <f>IFERROR(__xludf.DUMMYFUNCTION("""COMPUTED_VALUE"""),45377.66666666667)</f>
        <v>45377.66667</v>
      </c>
      <c r="B1457" s="22">
        <f>IFERROR(__xludf.DUMMYFUNCTION("""COMPUTED_VALUE"""),5203.58)</f>
        <v>5203.58</v>
      </c>
      <c r="C1457" s="25">
        <f>IFERROR(__xludf.DUMMYFUNCTION("""COMPUTED_VALUE"""),45377.63611111111)</f>
        <v>45377.63611</v>
      </c>
      <c r="D1457" s="22">
        <f>IFERROR(__xludf.DUMMYFUNCTION("""COMPUTED_VALUE"""),13.24)</f>
        <v>13.24</v>
      </c>
      <c r="F1457" s="25">
        <f>IFERROR(__xludf.DUMMYFUNCTION("""COMPUTED_VALUE"""),45377.63611111111)</f>
        <v>45377.63611</v>
      </c>
      <c r="G1457" s="22">
        <f>IFERROR(__xludf.DUMMYFUNCTION("""COMPUTED_VALUE"""),15.29)</f>
        <v>15.29</v>
      </c>
      <c r="H1457" s="25">
        <f>IFERROR(__xludf.DUMMYFUNCTION("""COMPUTED_VALUE"""),45377.63611111111)</f>
        <v>45377.63611</v>
      </c>
      <c r="I1457" s="22">
        <f>IFERROR(__xludf.DUMMYFUNCTION("""COMPUTED_VALUE"""),17.34)</f>
        <v>17.34</v>
      </c>
      <c r="J1457" s="25">
        <f>IFERROR(__xludf.DUMMYFUNCTION("""COMPUTED_VALUE"""),45377.63611111111)</f>
        <v>45377.63611</v>
      </c>
      <c r="K1457" s="22">
        <f>IFERROR(__xludf.DUMMYFUNCTION("""COMPUTED_VALUE"""),20.1)</f>
        <v>20.1</v>
      </c>
    </row>
    <row r="1458" ht="15.75" customHeight="1">
      <c r="A1458" s="25">
        <f>IFERROR(__xludf.DUMMYFUNCTION("""COMPUTED_VALUE"""),45378.66666666667)</f>
        <v>45378.66667</v>
      </c>
      <c r="B1458" s="22">
        <f>IFERROR(__xludf.DUMMYFUNCTION("""COMPUTED_VALUE"""),5248.49)</f>
        <v>5248.49</v>
      </c>
      <c r="C1458" s="25">
        <f>IFERROR(__xludf.DUMMYFUNCTION("""COMPUTED_VALUE"""),45378.63611111111)</f>
        <v>45378.63611</v>
      </c>
      <c r="D1458" s="22">
        <f>IFERROR(__xludf.DUMMYFUNCTION("""COMPUTED_VALUE"""),12.78)</f>
        <v>12.78</v>
      </c>
      <c r="F1458" s="25">
        <f>IFERROR(__xludf.DUMMYFUNCTION("""COMPUTED_VALUE"""),45378.63611111111)</f>
        <v>45378.63611</v>
      </c>
      <c r="G1458" s="22">
        <f>IFERROR(__xludf.DUMMYFUNCTION("""COMPUTED_VALUE"""),15.01)</f>
        <v>15.01</v>
      </c>
      <c r="H1458" s="25">
        <f>IFERROR(__xludf.DUMMYFUNCTION("""COMPUTED_VALUE"""),45378.63611111111)</f>
        <v>45378.63611</v>
      </c>
      <c r="I1458" s="22">
        <f>IFERROR(__xludf.DUMMYFUNCTION("""COMPUTED_VALUE"""),17.07)</f>
        <v>17.07</v>
      </c>
      <c r="J1458" s="25">
        <f>IFERROR(__xludf.DUMMYFUNCTION("""COMPUTED_VALUE"""),45378.63611111111)</f>
        <v>45378.63611</v>
      </c>
      <c r="K1458" s="22">
        <f>IFERROR(__xludf.DUMMYFUNCTION("""COMPUTED_VALUE"""),19.88)</f>
        <v>19.88</v>
      </c>
    </row>
    <row r="1459" ht="15.75" customHeight="1">
      <c r="A1459" s="25">
        <f>IFERROR(__xludf.DUMMYFUNCTION("""COMPUTED_VALUE"""),45379.66666666667)</f>
        <v>45379.66667</v>
      </c>
      <c r="B1459" s="22">
        <f>IFERROR(__xludf.DUMMYFUNCTION("""COMPUTED_VALUE"""),5254.35)</f>
        <v>5254.35</v>
      </c>
      <c r="C1459" s="25">
        <f>IFERROR(__xludf.DUMMYFUNCTION("""COMPUTED_VALUE"""),45379.63611111111)</f>
        <v>45379.63611</v>
      </c>
      <c r="D1459" s="22">
        <f>IFERROR(__xludf.DUMMYFUNCTION("""COMPUTED_VALUE"""),13.01)</f>
        <v>13.01</v>
      </c>
      <c r="F1459" s="25">
        <f>IFERROR(__xludf.DUMMYFUNCTION("""COMPUTED_VALUE"""),45379.63611111111)</f>
        <v>45379.63611</v>
      </c>
      <c r="G1459" s="22">
        <f>IFERROR(__xludf.DUMMYFUNCTION("""COMPUTED_VALUE"""),15.19)</f>
        <v>15.19</v>
      </c>
      <c r="H1459" s="25">
        <f>IFERROR(__xludf.DUMMYFUNCTION("""COMPUTED_VALUE"""),45379.63611111111)</f>
        <v>45379.63611</v>
      </c>
      <c r="I1459" s="22">
        <f>IFERROR(__xludf.DUMMYFUNCTION("""COMPUTED_VALUE"""),17.19)</f>
        <v>17.19</v>
      </c>
      <c r="J1459" s="25">
        <f>IFERROR(__xludf.DUMMYFUNCTION("""COMPUTED_VALUE"""),45379.63611111111)</f>
        <v>45379.63611</v>
      </c>
      <c r="K1459" s="22">
        <f>IFERROR(__xludf.DUMMYFUNCTION("""COMPUTED_VALUE"""),20.03)</f>
        <v>20.03</v>
      </c>
    </row>
    <row r="1460" ht="15.75" customHeight="1">
      <c r="A1460" s="25">
        <f>IFERROR(__xludf.DUMMYFUNCTION("""COMPUTED_VALUE"""),45383.66666666667)</f>
        <v>45383.66667</v>
      </c>
      <c r="B1460" s="22">
        <f>IFERROR(__xludf.DUMMYFUNCTION("""COMPUTED_VALUE"""),5243.77)</f>
        <v>5243.77</v>
      </c>
      <c r="C1460" s="25">
        <f>IFERROR(__xludf.DUMMYFUNCTION("""COMPUTED_VALUE"""),45383.63611111111)</f>
        <v>45383.63611</v>
      </c>
      <c r="D1460" s="22">
        <f>IFERROR(__xludf.DUMMYFUNCTION("""COMPUTED_VALUE"""),13.65)</f>
        <v>13.65</v>
      </c>
      <c r="F1460" s="25">
        <f>IFERROR(__xludf.DUMMYFUNCTION("""COMPUTED_VALUE"""),45383.63611111111)</f>
        <v>45383.63611</v>
      </c>
      <c r="G1460" s="22">
        <f>IFERROR(__xludf.DUMMYFUNCTION("""COMPUTED_VALUE"""),15.52)</f>
        <v>15.52</v>
      </c>
      <c r="H1460" s="25">
        <f>IFERROR(__xludf.DUMMYFUNCTION("""COMPUTED_VALUE"""),45383.63611111111)</f>
        <v>45383.63611</v>
      </c>
      <c r="I1460" s="22">
        <f>IFERROR(__xludf.DUMMYFUNCTION("""COMPUTED_VALUE"""),17.42)</f>
        <v>17.42</v>
      </c>
      <c r="J1460" s="25">
        <f>IFERROR(__xludf.DUMMYFUNCTION("""COMPUTED_VALUE"""),45383.63611111111)</f>
        <v>45383.63611</v>
      </c>
      <c r="K1460" s="22">
        <f>IFERROR(__xludf.DUMMYFUNCTION("""COMPUTED_VALUE"""),19.93)</f>
        <v>19.93</v>
      </c>
    </row>
    <row r="1461" ht="15.75" customHeight="1">
      <c r="A1461" s="25">
        <f>IFERROR(__xludf.DUMMYFUNCTION("""COMPUTED_VALUE"""),45384.66666666667)</f>
        <v>45384.66667</v>
      </c>
      <c r="B1461" s="22">
        <f>IFERROR(__xludf.DUMMYFUNCTION("""COMPUTED_VALUE"""),5205.81)</f>
        <v>5205.81</v>
      </c>
      <c r="C1461" s="25">
        <f>IFERROR(__xludf.DUMMYFUNCTION("""COMPUTED_VALUE"""),45384.63611111111)</f>
        <v>45384.63611</v>
      </c>
      <c r="D1461" s="22">
        <f>IFERROR(__xludf.DUMMYFUNCTION("""COMPUTED_VALUE"""),14.61)</f>
        <v>14.61</v>
      </c>
      <c r="F1461" s="25">
        <f>IFERROR(__xludf.DUMMYFUNCTION("""COMPUTED_VALUE"""),45384.63611111111)</f>
        <v>45384.63611</v>
      </c>
      <c r="G1461" s="22">
        <f>IFERROR(__xludf.DUMMYFUNCTION("""COMPUTED_VALUE"""),16.09)</f>
        <v>16.09</v>
      </c>
      <c r="H1461" s="25">
        <f>IFERROR(__xludf.DUMMYFUNCTION("""COMPUTED_VALUE"""),45384.63611111111)</f>
        <v>45384.63611</v>
      </c>
      <c r="I1461" s="22">
        <f>IFERROR(__xludf.DUMMYFUNCTION("""COMPUTED_VALUE"""),17.84)</f>
        <v>17.84</v>
      </c>
      <c r="J1461" s="25">
        <f>IFERROR(__xludf.DUMMYFUNCTION("""COMPUTED_VALUE"""),45384.63611111111)</f>
        <v>45384.63611</v>
      </c>
      <c r="K1461" s="22">
        <f>IFERROR(__xludf.DUMMYFUNCTION("""COMPUTED_VALUE"""),20.24)</f>
        <v>20.24</v>
      </c>
    </row>
    <row r="1462" ht="15.75" customHeight="1">
      <c r="A1462" s="25">
        <f>IFERROR(__xludf.DUMMYFUNCTION("""COMPUTED_VALUE"""),45385.66666666667)</f>
        <v>45385.66667</v>
      </c>
      <c r="B1462" s="22">
        <f>IFERROR(__xludf.DUMMYFUNCTION("""COMPUTED_VALUE"""),5211.49)</f>
        <v>5211.49</v>
      </c>
      <c r="C1462" s="25">
        <f>IFERROR(__xludf.DUMMYFUNCTION("""COMPUTED_VALUE"""),45385.63611111111)</f>
        <v>45385.63611</v>
      </c>
      <c r="D1462" s="22">
        <f>IFERROR(__xludf.DUMMYFUNCTION("""COMPUTED_VALUE"""),14.33)</f>
        <v>14.33</v>
      </c>
      <c r="F1462" s="25">
        <f>IFERROR(__xludf.DUMMYFUNCTION("""COMPUTED_VALUE"""),45385.63611111111)</f>
        <v>45385.63611</v>
      </c>
      <c r="G1462" s="22">
        <f>IFERROR(__xludf.DUMMYFUNCTION("""COMPUTED_VALUE"""),15.91)</f>
        <v>15.91</v>
      </c>
      <c r="H1462" s="25">
        <f>IFERROR(__xludf.DUMMYFUNCTION("""COMPUTED_VALUE"""),45385.63611111111)</f>
        <v>45385.63611</v>
      </c>
      <c r="I1462" s="22">
        <f>IFERROR(__xludf.DUMMYFUNCTION("""COMPUTED_VALUE"""),17.74)</f>
        <v>17.74</v>
      </c>
      <c r="J1462" s="25">
        <f>IFERROR(__xludf.DUMMYFUNCTION("""COMPUTED_VALUE"""),45385.63611111111)</f>
        <v>45385.63611</v>
      </c>
      <c r="K1462" s="22">
        <f>IFERROR(__xludf.DUMMYFUNCTION("""COMPUTED_VALUE"""),20.21)</f>
        <v>20.21</v>
      </c>
    </row>
    <row r="1463" ht="15.75" customHeight="1">
      <c r="A1463" s="25">
        <f>IFERROR(__xludf.DUMMYFUNCTION("""COMPUTED_VALUE"""),45386.66666666667)</f>
        <v>45386.66667</v>
      </c>
      <c r="B1463" s="22">
        <f>IFERROR(__xludf.DUMMYFUNCTION("""COMPUTED_VALUE"""),5147.21)</f>
        <v>5147.21</v>
      </c>
      <c r="C1463" s="25">
        <f>IFERROR(__xludf.DUMMYFUNCTION("""COMPUTED_VALUE"""),45386.63611111111)</f>
        <v>45386.63611</v>
      </c>
      <c r="D1463" s="22">
        <f>IFERROR(__xludf.DUMMYFUNCTION("""COMPUTED_VALUE"""),16.35)</f>
        <v>16.35</v>
      </c>
      <c r="F1463" s="25">
        <f>IFERROR(__xludf.DUMMYFUNCTION("""COMPUTED_VALUE"""),45386.63611111111)</f>
        <v>45386.63611</v>
      </c>
      <c r="G1463" s="22">
        <f>IFERROR(__xludf.DUMMYFUNCTION("""COMPUTED_VALUE"""),17.16)</f>
        <v>17.16</v>
      </c>
      <c r="H1463" s="25">
        <f>IFERROR(__xludf.DUMMYFUNCTION("""COMPUTED_VALUE"""),45386.63611111111)</f>
        <v>45386.63611</v>
      </c>
      <c r="I1463" s="22">
        <f>IFERROR(__xludf.DUMMYFUNCTION("""COMPUTED_VALUE"""),18.65)</f>
        <v>18.65</v>
      </c>
      <c r="J1463" s="25">
        <f>IFERROR(__xludf.DUMMYFUNCTION("""COMPUTED_VALUE"""),45386.63611111111)</f>
        <v>45386.63611</v>
      </c>
      <c r="K1463" s="22">
        <f>IFERROR(__xludf.DUMMYFUNCTION("""COMPUTED_VALUE"""),20.78)</f>
        <v>20.78</v>
      </c>
    </row>
    <row r="1464" ht="15.75" customHeight="1">
      <c r="A1464" s="25">
        <f>IFERROR(__xludf.DUMMYFUNCTION("""COMPUTED_VALUE"""),45387.66666666667)</f>
        <v>45387.66667</v>
      </c>
      <c r="B1464" s="22">
        <f>IFERROR(__xludf.DUMMYFUNCTION("""COMPUTED_VALUE"""),5204.34)</f>
        <v>5204.34</v>
      </c>
      <c r="C1464" s="25">
        <f>IFERROR(__xludf.DUMMYFUNCTION("""COMPUTED_VALUE"""),45387.63611111111)</f>
        <v>45387.63611</v>
      </c>
      <c r="D1464" s="22">
        <f>IFERROR(__xludf.DUMMYFUNCTION("""COMPUTED_VALUE"""),16.03)</f>
        <v>16.03</v>
      </c>
      <c r="F1464" s="25">
        <f>IFERROR(__xludf.DUMMYFUNCTION("""COMPUTED_VALUE"""),45387.63611111111)</f>
        <v>45387.63611</v>
      </c>
      <c r="G1464" s="22">
        <f>IFERROR(__xludf.DUMMYFUNCTION("""COMPUTED_VALUE"""),17.18)</f>
        <v>17.18</v>
      </c>
      <c r="H1464" s="25">
        <f>IFERROR(__xludf.DUMMYFUNCTION("""COMPUTED_VALUE"""),45387.63611111111)</f>
        <v>45387.63611</v>
      </c>
      <c r="I1464" s="22">
        <f>IFERROR(__xludf.DUMMYFUNCTION("""COMPUTED_VALUE"""),18.68)</f>
        <v>18.68</v>
      </c>
      <c r="J1464" s="25">
        <f>IFERROR(__xludf.DUMMYFUNCTION("""COMPUTED_VALUE"""),45387.63611111111)</f>
        <v>45387.63611</v>
      </c>
      <c r="K1464" s="22">
        <f>IFERROR(__xludf.DUMMYFUNCTION("""COMPUTED_VALUE"""),20.83)</f>
        <v>20.83</v>
      </c>
    </row>
    <row r="1465" ht="15.75" customHeight="1">
      <c r="A1465" s="25">
        <f>IFERROR(__xludf.DUMMYFUNCTION("""COMPUTED_VALUE"""),45390.66666666667)</f>
        <v>45390.66667</v>
      </c>
      <c r="B1465" s="22">
        <f>IFERROR(__xludf.DUMMYFUNCTION("""COMPUTED_VALUE"""),5202.39)</f>
        <v>5202.39</v>
      </c>
      <c r="C1465" s="25">
        <f>IFERROR(__xludf.DUMMYFUNCTION("""COMPUTED_VALUE"""),45390.63611111111)</f>
        <v>45390.63611</v>
      </c>
      <c r="D1465" s="22">
        <f>IFERROR(__xludf.DUMMYFUNCTION("""COMPUTED_VALUE"""),15.19)</f>
        <v>15.19</v>
      </c>
      <c r="F1465" s="25">
        <f>IFERROR(__xludf.DUMMYFUNCTION("""COMPUTED_VALUE"""),45390.63611111111)</f>
        <v>45390.63611</v>
      </c>
      <c r="G1465" s="22">
        <f>IFERROR(__xludf.DUMMYFUNCTION("""COMPUTED_VALUE"""),16.56)</f>
        <v>16.56</v>
      </c>
      <c r="H1465" s="25">
        <f>IFERROR(__xludf.DUMMYFUNCTION("""COMPUTED_VALUE"""),45390.63611111111)</f>
        <v>45390.63611</v>
      </c>
      <c r="I1465" s="22">
        <f>IFERROR(__xludf.DUMMYFUNCTION("""COMPUTED_VALUE"""),18.16)</f>
        <v>18.16</v>
      </c>
      <c r="J1465" s="25">
        <f>IFERROR(__xludf.DUMMYFUNCTION("""COMPUTED_VALUE"""),45390.63611111111)</f>
        <v>45390.63611</v>
      </c>
      <c r="K1465" s="22">
        <f>IFERROR(__xludf.DUMMYFUNCTION("""COMPUTED_VALUE"""),20.47)</f>
        <v>20.47</v>
      </c>
    </row>
    <row r="1466" ht="15.75" customHeight="1">
      <c r="A1466" s="25">
        <f>IFERROR(__xludf.DUMMYFUNCTION("""COMPUTED_VALUE"""),45391.66666666667)</f>
        <v>45391.66667</v>
      </c>
      <c r="B1466" s="22">
        <f>IFERROR(__xludf.DUMMYFUNCTION("""COMPUTED_VALUE"""),5209.91)</f>
        <v>5209.91</v>
      </c>
      <c r="C1466" s="25">
        <f>IFERROR(__xludf.DUMMYFUNCTION("""COMPUTED_VALUE"""),45391.63611111111)</f>
        <v>45391.63611</v>
      </c>
      <c r="D1466" s="22">
        <f>IFERROR(__xludf.DUMMYFUNCTION("""COMPUTED_VALUE"""),14.98)</f>
        <v>14.98</v>
      </c>
      <c r="F1466" s="25">
        <f>IFERROR(__xludf.DUMMYFUNCTION("""COMPUTED_VALUE"""),45391.63611111111)</f>
        <v>45391.63611</v>
      </c>
      <c r="G1466" s="22">
        <f>IFERROR(__xludf.DUMMYFUNCTION("""COMPUTED_VALUE"""),16.42)</f>
        <v>16.42</v>
      </c>
      <c r="H1466" s="25">
        <f>IFERROR(__xludf.DUMMYFUNCTION("""COMPUTED_VALUE"""),45391.63611111111)</f>
        <v>45391.63611</v>
      </c>
      <c r="I1466" s="22">
        <f>IFERROR(__xludf.DUMMYFUNCTION("""COMPUTED_VALUE"""),18.07)</f>
        <v>18.07</v>
      </c>
      <c r="J1466" s="25">
        <f>IFERROR(__xludf.DUMMYFUNCTION("""COMPUTED_VALUE"""),45391.63611111111)</f>
        <v>45391.63611</v>
      </c>
      <c r="K1466" s="22">
        <f>IFERROR(__xludf.DUMMYFUNCTION("""COMPUTED_VALUE"""),20.38)</f>
        <v>20.38</v>
      </c>
    </row>
    <row r="1467" ht="15.75" customHeight="1">
      <c r="A1467" s="25">
        <f>IFERROR(__xludf.DUMMYFUNCTION("""COMPUTED_VALUE"""),45392.66666666667)</f>
        <v>45392.66667</v>
      </c>
      <c r="B1467" s="22">
        <f>IFERROR(__xludf.DUMMYFUNCTION("""COMPUTED_VALUE"""),5160.64)</f>
        <v>5160.64</v>
      </c>
      <c r="C1467" s="25">
        <f>IFERROR(__xludf.DUMMYFUNCTION("""COMPUTED_VALUE"""),45392.63611111111)</f>
        <v>45392.63611</v>
      </c>
      <c r="D1467" s="22">
        <f>IFERROR(__xludf.DUMMYFUNCTION("""COMPUTED_VALUE"""),15.8)</f>
        <v>15.8</v>
      </c>
      <c r="F1467" s="25">
        <f>IFERROR(__xludf.DUMMYFUNCTION("""COMPUTED_VALUE"""),45392.63611111111)</f>
        <v>45392.63611</v>
      </c>
      <c r="G1467" s="22">
        <f>IFERROR(__xludf.DUMMYFUNCTION("""COMPUTED_VALUE"""),17.04)</f>
        <v>17.04</v>
      </c>
      <c r="H1467" s="25">
        <f>IFERROR(__xludf.DUMMYFUNCTION("""COMPUTED_VALUE"""),45392.63611111111)</f>
        <v>45392.63611</v>
      </c>
      <c r="I1467" s="22">
        <f>IFERROR(__xludf.DUMMYFUNCTION("""COMPUTED_VALUE"""),18.54)</f>
        <v>18.54</v>
      </c>
      <c r="J1467" s="25">
        <f>IFERROR(__xludf.DUMMYFUNCTION("""COMPUTED_VALUE"""),45392.63611111111)</f>
        <v>45392.63611</v>
      </c>
      <c r="K1467" s="22">
        <f>IFERROR(__xludf.DUMMYFUNCTION("""COMPUTED_VALUE"""),20.7)</f>
        <v>20.7</v>
      </c>
    </row>
    <row r="1468" ht="15.75" customHeight="1">
      <c r="A1468" s="25">
        <f>IFERROR(__xludf.DUMMYFUNCTION("""COMPUTED_VALUE"""),45393.66666666667)</f>
        <v>45393.66667</v>
      </c>
      <c r="B1468" s="22">
        <f>IFERROR(__xludf.DUMMYFUNCTION("""COMPUTED_VALUE"""),5199.06)</f>
        <v>5199.06</v>
      </c>
      <c r="C1468" s="25">
        <f>IFERROR(__xludf.DUMMYFUNCTION("""COMPUTED_VALUE"""),45393.63611111111)</f>
        <v>45393.63611</v>
      </c>
      <c r="D1468" s="22">
        <f>IFERROR(__xludf.DUMMYFUNCTION("""COMPUTED_VALUE"""),14.91)</f>
        <v>14.91</v>
      </c>
      <c r="F1468" s="25">
        <f>IFERROR(__xludf.DUMMYFUNCTION("""COMPUTED_VALUE"""),45393.63611111111)</f>
        <v>45393.63611</v>
      </c>
      <c r="G1468" s="22">
        <f>IFERROR(__xludf.DUMMYFUNCTION("""COMPUTED_VALUE"""),16.49)</f>
        <v>16.49</v>
      </c>
      <c r="H1468" s="25">
        <f>IFERROR(__xludf.DUMMYFUNCTION("""COMPUTED_VALUE"""),45393.63611111111)</f>
        <v>45393.63611</v>
      </c>
      <c r="I1468" s="22">
        <f>IFERROR(__xludf.DUMMYFUNCTION("""COMPUTED_VALUE"""),18.15)</f>
        <v>18.15</v>
      </c>
      <c r="J1468" s="25">
        <f>IFERROR(__xludf.DUMMYFUNCTION("""COMPUTED_VALUE"""),45393.63611111111)</f>
        <v>45393.63611</v>
      </c>
      <c r="K1468" s="22">
        <f>IFERROR(__xludf.DUMMYFUNCTION("""COMPUTED_VALUE"""),20.45)</f>
        <v>20.45</v>
      </c>
    </row>
    <row r="1469" ht="15.75" customHeight="1">
      <c r="A1469" s="25">
        <f>IFERROR(__xludf.DUMMYFUNCTION("""COMPUTED_VALUE"""),45394.66666666667)</f>
        <v>45394.66667</v>
      </c>
      <c r="B1469" s="22">
        <f>IFERROR(__xludf.DUMMYFUNCTION("""COMPUTED_VALUE"""),5123.41)</f>
        <v>5123.41</v>
      </c>
      <c r="C1469" s="25">
        <f>IFERROR(__xludf.DUMMYFUNCTION("""COMPUTED_VALUE"""),45394.63611111111)</f>
        <v>45394.63611</v>
      </c>
      <c r="D1469" s="22">
        <f>IFERROR(__xludf.DUMMYFUNCTION("""COMPUTED_VALUE"""),17.31)</f>
        <v>17.31</v>
      </c>
      <c r="F1469" s="25">
        <f>IFERROR(__xludf.DUMMYFUNCTION("""COMPUTED_VALUE"""),45394.63611111111)</f>
        <v>45394.63611</v>
      </c>
      <c r="G1469" s="22">
        <f>IFERROR(__xludf.DUMMYFUNCTION("""COMPUTED_VALUE"""),18.2)</f>
        <v>18.2</v>
      </c>
      <c r="H1469" s="25">
        <f>IFERROR(__xludf.DUMMYFUNCTION("""COMPUTED_VALUE"""),45394.63611111111)</f>
        <v>45394.63611</v>
      </c>
      <c r="I1469" s="22">
        <f>IFERROR(__xludf.DUMMYFUNCTION("""COMPUTED_VALUE"""),19.38)</f>
        <v>19.38</v>
      </c>
      <c r="J1469" s="25">
        <f>IFERROR(__xludf.DUMMYFUNCTION("""COMPUTED_VALUE"""),45394.63611111111)</f>
        <v>45394.63611</v>
      </c>
      <c r="K1469" s="22">
        <f>IFERROR(__xludf.DUMMYFUNCTION("""COMPUTED_VALUE"""),21.29)</f>
        <v>21.29</v>
      </c>
    </row>
    <row r="1470" ht="15.75" customHeight="1">
      <c r="A1470" s="25">
        <f>IFERROR(__xludf.DUMMYFUNCTION("""COMPUTED_VALUE"""),45397.66666666667)</f>
        <v>45397.66667</v>
      </c>
      <c r="B1470" s="22">
        <f>IFERROR(__xludf.DUMMYFUNCTION("""COMPUTED_VALUE"""),5061.82)</f>
        <v>5061.82</v>
      </c>
      <c r="C1470" s="25">
        <f>IFERROR(__xludf.DUMMYFUNCTION("""COMPUTED_VALUE"""),45397.63611111111)</f>
        <v>45397.63611</v>
      </c>
      <c r="D1470" s="22">
        <f>IFERROR(__xludf.DUMMYFUNCTION("""COMPUTED_VALUE"""),19.23)</f>
        <v>19.23</v>
      </c>
      <c r="F1470" s="25">
        <f>IFERROR(__xludf.DUMMYFUNCTION("""COMPUTED_VALUE"""),45397.63611111111)</f>
        <v>45397.63611</v>
      </c>
      <c r="G1470" s="22">
        <f>IFERROR(__xludf.DUMMYFUNCTION("""COMPUTED_VALUE"""),19.55)</f>
        <v>19.55</v>
      </c>
      <c r="H1470" s="25">
        <f>IFERROR(__xludf.DUMMYFUNCTION("""COMPUTED_VALUE"""),45397.63611111111)</f>
        <v>45397.63611</v>
      </c>
      <c r="I1470" s="22">
        <f>IFERROR(__xludf.DUMMYFUNCTION("""COMPUTED_VALUE"""),20.41)</f>
        <v>20.41</v>
      </c>
      <c r="J1470" s="25">
        <f>IFERROR(__xludf.DUMMYFUNCTION("""COMPUTED_VALUE"""),45397.63611111111)</f>
        <v>45397.63611</v>
      </c>
      <c r="K1470" s="22">
        <f>IFERROR(__xludf.DUMMYFUNCTION("""COMPUTED_VALUE"""),22.0)</f>
        <v>22</v>
      </c>
    </row>
    <row r="1471" ht="15.75" customHeight="1">
      <c r="A1471" s="25">
        <f>IFERROR(__xludf.DUMMYFUNCTION("""COMPUTED_VALUE"""),45398.66666666667)</f>
        <v>45398.66667</v>
      </c>
      <c r="B1471" s="22">
        <f>IFERROR(__xludf.DUMMYFUNCTION("""COMPUTED_VALUE"""),5051.41)</f>
        <v>5051.41</v>
      </c>
      <c r="C1471" s="25">
        <f>IFERROR(__xludf.DUMMYFUNCTION("""COMPUTED_VALUE"""),45398.63611111111)</f>
        <v>45398.63611</v>
      </c>
      <c r="D1471" s="22">
        <f>IFERROR(__xludf.DUMMYFUNCTION("""COMPUTED_VALUE"""),18.4)</f>
        <v>18.4</v>
      </c>
      <c r="F1471" s="25">
        <f>IFERROR(__xludf.DUMMYFUNCTION("""COMPUTED_VALUE"""),45398.63611111111)</f>
        <v>45398.63611</v>
      </c>
      <c r="G1471" s="22">
        <f>IFERROR(__xludf.DUMMYFUNCTION("""COMPUTED_VALUE"""),18.84)</f>
        <v>18.84</v>
      </c>
      <c r="H1471" s="25">
        <f>IFERROR(__xludf.DUMMYFUNCTION("""COMPUTED_VALUE"""),45398.63611111111)</f>
        <v>45398.63611</v>
      </c>
      <c r="I1471" s="22">
        <f>IFERROR(__xludf.DUMMYFUNCTION("""COMPUTED_VALUE"""),19.9)</f>
        <v>19.9</v>
      </c>
      <c r="J1471" s="25">
        <f>IFERROR(__xludf.DUMMYFUNCTION("""COMPUTED_VALUE"""),45398.63611111111)</f>
        <v>45398.63611</v>
      </c>
      <c r="K1471" s="22">
        <f>IFERROR(__xludf.DUMMYFUNCTION("""COMPUTED_VALUE"""),21.57)</f>
        <v>21.57</v>
      </c>
    </row>
    <row r="1472" ht="15.75" customHeight="1">
      <c r="A1472" s="25">
        <f>IFERROR(__xludf.DUMMYFUNCTION("""COMPUTED_VALUE"""),45399.66666666667)</f>
        <v>45399.66667</v>
      </c>
      <c r="B1472" s="22">
        <f>IFERROR(__xludf.DUMMYFUNCTION("""COMPUTED_VALUE"""),5022.21)</f>
        <v>5022.21</v>
      </c>
      <c r="C1472" s="25">
        <f>IFERROR(__xludf.DUMMYFUNCTION("""COMPUTED_VALUE"""),45399.63611111111)</f>
        <v>45399.63611</v>
      </c>
      <c r="D1472" s="22">
        <f>IFERROR(__xludf.DUMMYFUNCTION("""COMPUTED_VALUE"""),18.21)</f>
        <v>18.21</v>
      </c>
      <c r="F1472" s="25">
        <f>IFERROR(__xludf.DUMMYFUNCTION("""COMPUTED_VALUE"""),45399.63611111111)</f>
        <v>45399.63611</v>
      </c>
      <c r="G1472" s="22">
        <f>IFERROR(__xludf.DUMMYFUNCTION("""COMPUTED_VALUE"""),18.77)</f>
        <v>18.77</v>
      </c>
      <c r="H1472" s="25">
        <f>IFERROR(__xludf.DUMMYFUNCTION("""COMPUTED_VALUE"""),45399.63611111111)</f>
        <v>45399.63611</v>
      </c>
      <c r="I1472" s="22">
        <f>IFERROR(__xludf.DUMMYFUNCTION("""COMPUTED_VALUE"""),19.87)</f>
        <v>19.87</v>
      </c>
      <c r="J1472" s="25">
        <f>IFERROR(__xludf.DUMMYFUNCTION("""COMPUTED_VALUE"""),45399.63611111111)</f>
        <v>45399.63611</v>
      </c>
      <c r="K1472" s="22">
        <f>IFERROR(__xludf.DUMMYFUNCTION("""COMPUTED_VALUE"""),21.52)</f>
        <v>21.52</v>
      </c>
    </row>
    <row r="1473" ht="15.75" customHeight="1">
      <c r="A1473" s="25">
        <f>IFERROR(__xludf.DUMMYFUNCTION("""COMPUTED_VALUE"""),45400.66666666667)</f>
        <v>45400.66667</v>
      </c>
      <c r="B1473" s="22">
        <f>IFERROR(__xludf.DUMMYFUNCTION("""COMPUTED_VALUE"""),5011.12)</f>
        <v>5011.12</v>
      </c>
      <c r="C1473" s="25">
        <f>IFERROR(__xludf.DUMMYFUNCTION("""COMPUTED_VALUE"""),45400.63611111111)</f>
        <v>45400.63611</v>
      </c>
      <c r="D1473" s="22">
        <f>IFERROR(__xludf.DUMMYFUNCTION("""COMPUTED_VALUE"""),18.0)</f>
        <v>18</v>
      </c>
      <c r="F1473" s="25">
        <f>IFERROR(__xludf.DUMMYFUNCTION("""COMPUTED_VALUE"""),45400.63611111111)</f>
        <v>45400.63611</v>
      </c>
      <c r="G1473" s="22">
        <f>IFERROR(__xludf.DUMMYFUNCTION("""COMPUTED_VALUE"""),18.66)</f>
        <v>18.66</v>
      </c>
      <c r="H1473" s="25">
        <f>IFERROR(__xludf.DUMMYFUNCTION("""COMPUTED_VALUE"""),45400.63611111111)</f>
        <v>45400.63611</v>
      </c>
      <c r="I1473" s="22">
        <f>IFERROR(__xludf.DUMMYFUNCTION("""COMPUTED_VALUE"""),19.77)</f>
        <v>19.77</v>
      </c>
      <c r="J1473" s="25">
        <f>IFERROR(__xludf.DUMMYFUNCTION("""COMPUTED_VALUE"""),45400.63611111111)</f>
        <v>45400.63611</v>
      </c>
      <c r="K1473" s="22">
        <f>IFERROR(__xludf.DUMMYFUNCTION("""COMPUTED_VALUE"""),21.41)</f>
        <v>21.41</v>
      </c>
    </row>
    <row r="1474" ht="15.75" customHeight="1">
      <c r="A1474" s="25">
        <f>IFERROR(__xludf.DUMMYFUNCTION("""COMPUTED_VALUE"""),45401.66666666667)</f>
        <v>45401.66667</v>
      </c>
      <c r="B1474" s="22">
        <f>IFERROR(__xludf.DUMMYFUNCTION("""COMPUTED_VALUE"""),4967.23)</f>
        <v>4967.23</v>
      </c>
      <c r="C1474" s="25">
        <f>IFERROR(__xludf.DUMMYFUNCTION("""COMPUTED_VALUE"""),45401.63611111111)</f>
        <v>45401.63611</v>
      </c>
      <c r="D1474" s="22">
        <f>IFERROR(__xludf.DUMMYFUNCTION("""COMPUTED_VALUE"""),18.71)</f>
        <v>18.71</v>
      </c>
      <c r="F1474" s="25">
        <f>IFERROR(__xludf.DUMMYFUNCTION("""COMPUTED_VALUE"""),45401.63611111111)</f>
        <v>45401.63611</v>
      </c>
      <c r="G1474" s="22">
        <f>IFERROR(__xludf.DUMMYFUNCTION("""COMPUTED_VALUE"""),19.25)</f>
        <v>19.25</v>
      </c>
      <c r="H1474" s="25">
        <f>IFERROR(__xludf.DUMMYFUNCTION("""COMPUTED_VALUE"""),45401.63611111111)</f>
        <v>45401.63611</v>
      </c>
      <c r="I1474" s="22">
        <f>IFERROR(__xludf.DUMMYFUNCTION("""COMPUTED_VALUE"""),20.17)</f>
        <v>20.17</v>
      </c>
      <c r="J1474" s="25">
        <f>IFERROR(__xludf.DUMMYFUNCTION("""COMPUTED_VALUE"""),45401.63611111111)</f>
        <v>45401.63611</v>
      </c>
      <c r="K1474" s="22">
        <f>IFERROR(__xludf.DUMMYFUNCTION("""COMPUTED_VALUE"""),21.59)</f>
        <v>21.59</v>
      </c>
    </row>
    <row r="1475" ht="15.75" customHeight="1">
      <c r="A1475" s="25">
        <f>IFERROR(__xludf.DUMMYFUNCTION("""COMPUTED_VALUE"""),45404.66666666667)</f>
        <v>45404.66667</v>
      </c>
      <c r="B1475" s="22">
        <f>IFERROR(__xludf.DUMMYFUNCTION("""COMPUTED_VALUE"""),5010.6)</f>
        <v>5010.6</v>
      </c>
      <c r="C1475" s="25">
        <f>IFERROR(__xludf.DUMMYFUNCTION("""COMPUTED_VALUE"""),45404.63611111111)</f>
        <v>45404.63611</v>
      </c>
      <c r="D1475" s="22">
        <f>IFERROR(__xludf.DUMMYFUNCTION("""COMPUTED_VALUE"""),16.94)</f>
        <v>16.94</v>
      </c>
      <c r="F1475" s="25">
        <f>IFERROR(__xludf.DUMMYFUNCTION("""COMPUTED_VALUE"""),45404.63611111111)</f>
        <v>45404.63611</v>
      </c>
      <c r="G1475" s="22">
        <f>IFERROR(__xludf.DUMMYFUNCTION("""COMPUTED_VALUE"""),17.63)</f>
        <v>17.63</v>
      </c>
      <c r="H1475" s="25">
        <f>IFERROR(__xludf.DUMMYFUNCTION("""COMPUTED_VALUE"""),45404.63611111111)</f>
        <v>45404.63611</v>
      </c>
      <c r="I1475" s="22">
        <f>IFERROR(__xludf.DUMMYFUNCTION("""COMPUTED_VALUE"""),18.86)</f>
        <v>18.86</v>
      </c>
      <c r="J1475" s="25">
        <f>IFERROR(__xludf.DUMMYFUNCTION("""COMPUTED_VALUE"""),45404.63611111111)</f>
        <v>45404.63611</v>
      </c>
      <c r="K1475" s="22">
        <f>IFERROR(__xludf.DUMMYFUNCTION("""COMPUTED_VALUE"""),20.5)</f>
        <v>20.5</v>
      </c>
    </row>
    <row r="1476" ht="15.75" customHeight="1">
      <c r="A1476" s="25">
        <f>IFERROR(__xludf.DUMMYFUNCTION("""COMPUTED_VALUE"""),45405.66666666667)</f>
        <v>45405.66667</v>
      </c>
      <c r="B1476" s="22">
        <f>IFERROR(__xludf.DUMMYFUNCTION("""COMPUTED_VALUE"""),5070.55)</f>
        <v>5070.55</v>
      </c>
      <c r="C1476" s="25">
        <f>IFERROR(__xludf.DUMMYFUNCTION("""COMPUTED_VALUE"""),45405.63611111111)</f>
        <v>45405.63611</v>
      </c>
      <c r="D1476" s="22">
        <f>IFERROR(__xludf.DUMMYFUNCTION("""COMPUTED_VALUE"""),15.69)</f>
        <v>15.69</v>
      </c>
      <c r="F1476" s="25">
        <f>IFERROR(__xludf.DUMMYFUNCTION("""COMPUTED_VALUE"""),45405.63611111111)</f>
        <v>45405.63611</v>
      </c>
      <c r="G1476" s="22">
        <f>IFERROR(__xludf.DUMMYFUNCTION("""COMPUTED_VALUE"""),16.68)</f>
        <v>16.68</v>
      </c>
      <c r="H1476" s="25">
        <f>IFERROR(__xludf.DUMMYFUNCTION("""COMPUTED_VALUE"""),45405.63611111111)</f>
        <v>45405.63611</v>
      </c>
      <c r="I1476" s="22">
        <f>IFERROR(__xludf.DUMMYFUNCTION("""COMPUTED_VALUE"""),18.17)</f>
        <v>18.17</v>
      </c>
      <c r="J1476" s="25">
        <f>IFERROR(__xludf.DUMMYFUNCTION("""COMPUTED_VALUE"""),45405.63611111111)</f>
        <v>45405.63611</v>
      </c>
      <c r="K1476" s="22">
        <f>IFERROR(__xludf.DUMMYFUNCTION("""COMPUTED_VALUE"""),20.0)</f>
        <v>20</v>
      </c>
    </row>
    <row r="1477" ht="15.75" customHeight="1">
      <c r="A1477" s="25">
        <f>IFERROR(__xludf.DUMMYFUNCTION("""COMPUTED_VALUE"""),45406.66666666667)</f>
        <v>45406.66667</v>
      </c>
      <c r="B1477" s="22">
        <f>IFERROR(__xludf.DUMMYFUNCTION("""COMPUTED_VALUE"""),5071.63)</f>
        <v>5071.63</v>
      </c>
      <c r="C1477" s="25">
        <f>IFERROR(__xludf.DUMMYFUNCTION("""COMPUTED_VALUE"""),45406.63611111111)</f>
        <v>45406.63611</v>
      </c>
      <c r="D1477" s="22">
        <f>IFERROR(__xludf.DUMMYFUNCTION("""COMPUTED_VALUE"""),15.97)</f>
        <v>15.97</v>
      </c>
      <c r="F1477" s="25">
        <f>IFERROR(__xludf.DUMMYFUNCTION("""COMPUTED_VALUE"""),45406.63611111111)</f>
        <v>45406.63611</v>
      </c>
      <c r="G1477" s="22">
        <f>IFERROR(__xludf.DUMMYFUNCTION("""COMPUTED_VALUE"""),16.84)</f>
        <v>16.84</v>
      </c>
      <c r="H1477" s="25">
        <f>IFERROR(__xludf.DUMMYFUNCTION("""COMPUTED_VALUE"""),45406.63611111111)</f>
        <v>45406.63611</v>
      </c>
      <c r="I1477" s="22">
        <f>IFERROR(__xludf.DUMMYFUNCTION("""COMPUTED_VALUE"""),18.31)</f>
        <v>18.31</v>
      </c>
      <c r="J1477" s="25">
        <f>IFERROR(__xludf.DUMMYFUNCTION("""COMPUTED_VALUE"""),45406.63611111111)</f>
        <v>45406.63611</v>
      </c>
      <c r="K1477" s="22">
        <f>IFERROR(__xludf.DUMMYFUNCTION("""COMPUTED_VALUE"""),20.04)</f>
        <v>20.04</v>
      </c>
    </row>
    <row r="1478" ht="15.75" customHeight="1">
      <c r="A1478" s="25">
        <f>IFERROR(__xludf.DUMMYFUNCTION("""COMPUTED_VALUE"""),45407.66666666667)</f>
        <v>45407.66667</v>
      </c>
      <c r="B1478" s="22">
        <f>IFERROR(__xludf.DUMMYFUNCTION("""COMPUTED_VALUE"""),5048.42)</f>
        <v>5048.42</v>
      </c>
      <c r="C1478" s="25">
        <f>IFERROR(__xludf.DUMMYFUNCTION("""COMPUTED_VALUE"""),45407.63611111111)</f>
        <v>45407.63611</v>
      </c>
      <c r="D1478" s="22">
        <f>IFERROR(__xludf.DUMMYFUNCTION("""COMPUTED_VALUE"""),15.37)</f>
        <v>15.37</v>
      </c>
      <c r="F1478" s="25">
        <f>IFERROR(__xludf.DUMMYFUNCTION("""COMPUTED_VALUE"""),45407.63611111111)</f>
        <v>45407.63611</v>
      </c>
      <c r="G1478" s="22">
        <f>IFERROR(__xludf.DUMMYFUNCTION("""COMPUTED_VALUE"""),16.37)</f>
        <v>16.37</v>
      </c>
      <c r="H1478" s="25">
        <f>IFERROR(__xludf.DUMMYFUNCTION("""COMPUTED_VALUE"""),45407.63611111111)</f>
        <v>45407.63611</v>
      </c>
      <c r="I1478" s="22">
        <f>IFERROR(__xludf.DUMMYFUNCTION("""COMPUTED_VALUE"""),17.88)</f>
        <v>17.88</v>
      </c>
      <c r="J1478" s="25">
        <f>IFERROR(__xludf.DUMMYFUNCTION("""COMPUTED_VALUE"""),45407.63611111111)</f>
        <v>45407.63611</v>
      </c>
      <c r="K1478" s="22">
        <f>IFERROR(__xludf.DUMMYFUNCTION("""COMPUTED_VALUE"""),19.6)</f>
        <v>19.6</v>
      </c>
    </row>
    <row r="1479" ht="15.75" customHeight="1">
      <c r="A1479" s="25">
        <f>IFERROR(__xludf.DUMMYFUNCTION("""COMPUTED_VALUE"""),45408.66666666667)</f>
        <v>45408.66667</v>
      </c>
      <c r="B1479" s="22">
        <f>IFERROR(__xludf.DUMMYFUNCTION("""COMPUTED_VALUE"""),5099.96)</f>
        <v>5099.96</v>
      </c>
      <c r="C1479" s="25">
        <f>IFERROR(__xludf.DUMMYFUNCTION("""COMPUTED_VALUE"""),45408.63611111111)</f>
        <v>45408.63611</v>
      </c>
      <c r="D1479" s="22">
        <f>IFERROR(__xludf.DUMMYFUNCTION("""COMPUTED_VALUE"""),15.03)</f>
        <v>15.03</v>
      </c>
      <c r="F1479" s="25">
        <f>IFERROR(__xludf.DUMMYFUNCTION("""COMPUTED_VALUE"""),45408.63611111111)</f>
        <v>45408.63611</v>
      </c>
      <c r="G1479" s="22">
        <f>IFERROR(__xludf.DUMMYFUNCTION("""COMPUTED_VALUE"""),16.27)</f>
        <v>16.27</v>
      </c>
      <c r="H1479" s="25">
        <f>IFERROR(__xludf.DUMMYFUNCTION("""COMPUTED_VALUE"""),45408.63611111111)</f>
        <v>45408.63611</v>
      </c>
      <c r="I1479" s="22">
        <f>IFERROR(__xludf.DUMMYFUNCTION("""COMPUTED_VALUE"""),17.83)</f>
        <v>17.83</v>
      </c>
      <c r="J1479" s="25">
        <f>IFERROR(__xludf.DUMMYFUNCTION("""COMPUTED_VALUE"""),45408.63611111111)</f>
        <v>45408.63611</v>
      </c>
      <c r="K1479" s="22">
        <f>IFERROR(__xludf.DUMMYFUNCTION("""COMPUTED_VALUE"""),19.6)</f>
        <v>19.6</v>
      </c>
    </row>
    <row r="1480" ht="15.75" customHeight="1">
      <c r="A1480" s="25">
        <f>IFERROR(__xludf.DUMMYFUNCTION("""COMPUTED_VALUE"""),45411.66666666667)</f>
        <v>45411.66667</v>
      </c>
      <c r="B1480" s="22">
        <f>IFERROR(__xludf.DUMMYFUNCTION("""COMPUTED_VALUE"""),5116.17)</f>
        <v>5116.17</v>
      </c>
      <c r="C1480" s="25">
        <f>IFERROR(__xludf.DUMMYFUNCTION("""COMPUTED_VALUE"""),45411.63611111111)</f>
        <v>45411.63611</v>
      </c>
      <c r="D1480" s="22">
        <f>IFERROR(__xludf.DUMMYFUNCTION("""COMPUTED_VALUE"""),14.67)</f>
        <v>14.67</v>
      </c>
      <c r="F1480" s="25">
        <f>IFERROR(__xludf.DUMMYFUNCTION("""COMPUTED_VALUE"""),45411.63611111111)</f>
        <v>45411.63611</v>
      </c>
      <c r="G1480" s="22">
        <f>IFERROR(__xludf.DUMMYFUNCTION("""COMPUTED_VALUE"""),16.0)</f>
        <v>16</v>
      </c>
      <c r="H1480" s="25">
        <f>IFERROR(__xludf.DUMMYFUNCTION("""COMPUTED_VALUE"""),45411.63611111111)</f>
        <v>45411.63611</v>
      </c>
      <c r="I1480" s="22">
        <f>IFERROR(__xludf.DUMMYFUNCTION("""COMPUTED_VALUE"""),17.63)</f>
        <v>17.63</v>
      </c>
      <c r="J1480" s="25">
        <f>IFERROR(__xludf.DUMMYFUNCTION("""COMPUTED_VALUE"""),45411.63611111111)</f>
        <v>45411.63611</v>
      </c>
      <c r="K1480" s="22">
        <f>IFERROR(__xludf.DUMMYFUNCTION("""COMPUTED_VALUE"""),19.44)</f>
        <v>19.44</v>
      </c>
    </row>
    <row r="1481" ht="15.75" customHeight="1">
      <c r="A1481" s="25">
        <f>IFERROR(__xludf.DUMMYFUNCTION("""COMPUTED_VALUE"""),45412.66666666667)</f>
        <v>45412.66667</v>
      </c>
      <c r="B1481" s="22">
        <f>IFERROR(__xludf.DUMMYFUNCTION("""COMPUTED_VALUE"""),5035.69)</f>
        <v>5035.69</v>
      </c>
      <c r="C1481" s="25">
        <f>IFERROR(__xludf.DUMMYFUNCTION("""COMPUTED_VALUE"""),45412.63611111111)</f>
        <v>45412.63611</v>
      </c>
      <c r="D1481" s="22">
        <f>IFERROR(__xludf.DUMMYFUNCTION("""COMPUTED_VALUE"""),15.65)</f>
        <v>15.65</v>
      </c>
      <c r="F1481" s="25">
        <f>IFERROR(__xludf.DUMMYFUNCTION("""COMPUTED_VALUE"""),45412.63611111111)</f>
        <v>45412.63611</v>
      </c>
      <c r="G1481" s="22">
        <f>IFERROR(__xludf.DUMMYFUNCTION("""COMPUTED_VALUE"""),16.59)</f>
        <v>16.59</v>
      </c>
      <c r="H1481" s="25">
        <f>IFERROR(__xludf.DUMMYFUNCTION("""COMPUTED_VALUE"""),45412.63611111111)</f>
        <v>45412.63611</v>
      </c>
      <c r="I1481" s="22">
        <f>IFERROR(__xludf.DUMMYFUNCTION("""COMPUTED_VALUE"""),17.94)</f>
        <v>17.94</v>
      </c>
      <c r="J1481" s="25">
        <f>IFERROR(__xludf.DUMMYFUNCTION("""COMPUTED_VALUE"""),45412.63611111111)</f>
        <v>45412.63611</v>
      </c>
      <c r="K1481" s="22">
        <f>IFERROR(__xludf.DUMMYFUNCTION("""COMPUTED_VALUE"""),19.65)</f>
        <v>19.65</v>
      </c>
    </row>
    <row r="1482" ht="15.75" customHeight="1">
      <c r="A1482" s="25">
        <f>IFERROR(__xludf.DUMMYFUNCTION("""COMPUTED_VALUE"""),45413.66666666667)</f>
        <v>45413.66667</v>
      </c>
      <c r="B1482" s="22">
        <f>IFERROR(__xludf.DUMMYFUNCTION("""COMPUTED_VALUE"""),5018.39)</f>
        <v>5018.39</v>
      </c>
      <c r="C1482" s="25">
        <f>IFERROR(__xludf.DUMMYFUNCTION("""COMPUTED_VALUE"""),45413.63611111111)</f>
        <v>45413.63611</v>
      </c>
      <c r="D1482" s="22">
        <f>IFERROR(__xludf.DUMMYFUNCTION("""COMPUTED_VALUE"""),15.39)</f>
        <v>15.39</v>
      </c>
      <c r="F1482" s="25">
        <f>IFERROR(__xludf.DUMMYFUNCTION("""COMPUTED_VALUE"""),45413.63611111111)</f>
        <v>45413.63611</v>
      </c>
      <c r="G1482" s="22">
        <f>IFERROR(__xludf.DUMMYFUNCTION("""COMPUTED_VALUE"""),16.57)</f>
        <v>16.57</v>
      </c>
      <c r="H1482" s="25">
        <f>IFERROR(__xludf.DUMMYFUNCTION("""COMPUTED_VALUE"""),45413.63611111111)</f>
        <v>45413.63611</v>
      </c>
      <c r="I1482" s="22">
        <f>IFERROR(__xludf.DUMMYFUNCTION("""COMPUTED_VALUE"""),18.16)</f>
        <v>18.16</v>
      </c>
      <c r="J1482" s="25">
        <f>IFERROR(__xludf.DUMMYFUNCTION("""COMPUTED_VALUE"""),45413.63611111111)</f>
        <v>45413.63611</v>
      </c>
      <c r="K1482" s="22">
        <f>IFERROR(__xludf.DUMMYFUNCTION("""COMPUTED_VALUE"""),19.72)</f>
        <v>19.72</v>
      </c>
    </row>
    <row r="1483" ht="15.75" customHeight="1">
      <c r="A1483" s="25">
        <f>IFERROR(__xludf.DUMMYFUNCTION("""COMPUTED_VALUE"""),45414.66666666667)</f>
        <v>45414.66667</v>
      </c>
      <c r="B1483" s="22">
        <f>IFERROR(__xludf.DUMMYFUNCTION("""COMPUTED_VALUE"""),5064.2)</f>
        <v>5064.2</v>
      </c>
      <c r="C1483" s="25">
        <f>IFERROR(__xludf.DUMMYFUNCTION("""COMPUTED_VALUE"""),45414.63611111111)</f>
        <v>45414.63611</v>
      </c>
      <c r="D1483" s="22">
        <f>IFERROR(__xludf.DUMMYFUNCTION("""COMPUTED_VALUE"""),14.68)</f>
        <v>14.68</v>
      </c>
      <c r="F1483" s="25">
        <f>IFERROR(__xludf.DUMMYFUNCTION("""COMPUTED_VALUE"""),45414.63611111111)</f>
        <v>45414.63611</v>
      </c>
      <c r="G1483" s="22">
        <f>IFERROR(__xludf.DUMMYFUNCTION("""COMPUTED_VALUE"""),16.05)</f>
        <v>16.05</v>
      </c>
      <c r="H1483" s="25">
        <f>IFERROR(__xludf.DUMMYFUNCTION("""COMPUTED_VALUE"""),45414.63611111111)</f>
        <v>45414.63611</v>
      </c>
      <c r="I1483" s="22">
        <f>IFERROR(__xludf.DUMMYFUNCTION("""COMPUTED_VALUE"""),17.71)</f>
        <v>17.71</v>
      </c>
      <c r="J1483" s="25">
        <f>IFERROR(__xludf.DUMMYFUNCTION("""COMPUTED_VALUE"""),45414.63611111111)</f>
        <v>45414.63611</v>
      </c>
      <c r="K1483" s="22">
        <f>IFERROR(__xludf.DUMMYFUNCTION("""COMPUTED_VALUE"""),19.4)</f>
        <v>19.4</v>
      </c>
    </row>
    <row r="1484" ht="15.75" customHeight="1">
      <c r="A1484" s="25">
        <f>IFERROR(__xludf.DUMMYFUNCTION("""COMPUTED_VALUE"""),45415.66666666667)</f>
        <v>45415.66667</v>
      </c>
      <c r="B1484" s="22">
        <f>IFERROR(__xludf.DUMMYFUNCTION("""COMPUTED_VALUE"""),5127.79)</f>
        <v>5127.79</v>
      </c>
      <c r="C1484" s="25">
        <f>IFERROR(__xludf.DUMMYFUNCTION("""COMPUTED_VALUE"""),45415.63611111111)</f>
        <v>45415.63611</v>
      </c>
      <c r="D1484" s="22">
        <f>IFERROR(__xludf.DUMMYFUNCTION("""COMPUTED_VALUE"""),13.49)</f>
        <v>13.49</v>
      </c>
      <c r="F1484" s="25">
        <f>IFERROR(__xludf.DUMMYFUNCTION("""COMPUTED_VALUE"""),45415.63611111111)</f>
        <v>45415.63611</v>
      </c>
      <c r="G1484" s="22">
        <f>IFERROR(__xludf.DUMMYFUNCTION("""COMPUTED_VALUE"""),15.27)</f>
        <v>15.27</v>
      </c>
      <c r="H1484" s="25">
        <f>IFERROR(__xludf.DUMMYFUNCTION("""COMPUTED_VALUE"""),45415.63611111111)</f>
        <v>45415.63611</v>
      </c>
      <c r="I1484" s="22">
        <f>IFERROR(__xludf.DUMMYFUNCTION("""COMPUTED_VALUE"""),17.13)</f>
        <v>17.13</v>
      </c>
      <c r="J1484" s="25">
        <f>IFERROR(__xludf.DUMMYFUNCTION("""COMPUTED_VALUE"""),45415.63611111111)</f>
        <v>45415.63611</v>
      </c>
      <c r="K1484" s="22">
        <f>IFERROR(__xludf.DUMMYFUNCTION("""COMPUTED_VALUE"""),18.98)</f>
        <v>18.98</v>
      </c>
    </row>
    <row r="1485" ht="15.75" customHeight="1">
      <c r="A1485" s="25">
        <f>IFERROR(__xludf.DUMMYFUNCTION("""COMPUTED_VALUE"""),45418.66666666667)</f>
        <v>45418.66667</v>
      </c>
      <c r="B1485" s="22">
        <f>IFERROR(__xludf.DUMMYFUNCTION("""COMPUTED_VALUE"""),5180.74)</f>
        <v>5180.74</v>
      </c>
      <c r="C1485" s="25">
        <f>IFERROR(__xludf.DUMMYFUNCTION("""COMPUTED_VALUE"""),45418.63611111111)</f>
        <v>45418.63611</v>
      </c>
      <c r="D1485" s="22">
        <f>IFERROR(__xludf.DUMMYFUNCTION("""COMPUTED_VALUE"""),13.49)</f>
        <v>13.49</v>
      </c>
      <c r="F1485" s="25">
        <f>IFERROR(__xludf.DUMMYFUNCTION("""COMPUTED_VALUE"""),45418.63611111111)</f>
        <v>45418.63611</v>
      </c>
      <c r="G1485" s="22">
        <f>IFERROR(__xludf.DUMMYFUNCTION("""COMPUTED_VALUE"""),15.02)</f>
        <v>15.02</v>
      </c>
      <c r="H1485" s="25">
        <f>IFERROR(__xludf.DUMMYFUNCTION("""COMPUTED_VALUE"""),45418.63611111111)</f>
        <v>45418.63611</v>
      </c>
      <c r="I1485" s="22">
        <f>IFERROR(__xludf.DUMMYFUNCTION("""COMPUTED_VALUE"""),16.94)</f>
        <v>16.94</v>
      </c>
      <c r="J1485" s="25">
        <f>IFERROR(__xludf.DUMMYFUNCTION("""COMPUTED_VALUE"""),45418.63611111111)</f>
        <v>45418.63611</v>
      </c>
      <c r="K1485" s="22">
        <f>IFERROR(__xludf.DUMMYFUNCTION("""COMPUTED_VALUE"""),18.88)</f>
        <v>18.88</v>
      </c>
    </row>
    <row r="1486" ht="15.75" customHeight="1">
      <c r="A1486" s="25">
        <f>IFERROR(__xludf.DUMMYFUNCTION("""COMPUTED_VALUE"""),45419.66666666667)</f>
        <v>45419.66667</v>
      </c>
      <c r="B1486" s="22">
        <f>IFERROR(__xludf.DUMMYFUNCTION("""COMPUTED_VALUE"""),5187.7)</f>
        <v>5187.7</v>
      </c>
      <c r="C1486" s="25">
        <f>IFERROR(__xludf.DUMMYFUNCTION("""COMPUTED_VALUE"""),45419.63611111111)</f>
        <v>45419.63611</v>
      </c>
      <c r="D1486" s="22">
        <f>IFERROR(__xludf.DUMMYFUNCTION("""COMPUTED_VALUE"""),13.23)</f>
        <v>13.23</v>
      </c>
      <c r="F1486" s="25">
        <f>IFERROR(__xludf.DUMMYFUNCTION("""COMPUTED_VALUE"""),45419.63611111111)</f>
        <v>45419.63611</v>
      </c>
      <c r="G1486" s="22">
        <f>IFERROR(__xludf.DUMMYFUNCTION("""COMPUTED_VALUE"""),14.95)</f>
        <v>14.95</v>
      </c>
      <c r="H1486" s="25">
        <f>IFERROR(__xludf.DUMMYFUNCTION("""COMPUTED_VALUE"""),45419.63611111111)</f>
        <v>45419.63611</v>
      </c>
      <c r="I1486" s="22">
        <f>IFERROR(__xludf.DUMMYFUNCTION("""COMPUTED_VALUE"""),16.9)</f>
        <v>16.9</v>
      </c>
      <c r="J1486" s="25">
        <f>IFERROR(__xludf.DUMMYFUNCTION("""COMPUTED_VALUE"""),45419.63611111111)</f>
        <v>45419.63611</v>
      </c>
      <c r="K1486" s="22">
        <f>IFERROR(__xludf.DUMMYFUNCTION("""COMPUTED_VALUE"""),18.87)</f>
        <v>18.87</v>
      </c>
    </row>
    <row r="1487" ht="15.75" customHeight="1">
      <c r="A1487" s="25">
        <f>IFERROR(__xludf.DUMMYFUNCTION("""COMPUTED_VALUE"""),45420.66666666667)</f>
        <v>45420.66667</v>
      </c>
      <c r="B1487" s="22">
        <f>IFERROR(__xludf.DUMMYFUNCTION("""COMPUTED_VALUE"""),5187.67)</f>
        <v>5187.67</v>
      </c>
      <c r="C1487" s="25">
        <f>IFERROR(__xludf.DUMMYFUNCTION("""COMPUTED_VALUE"""),45420.63611111111)</f>
        <v>45420.63611</v>
      </c>
      <c r="D1487" s="22">
        <f>IFERROR(__xludf.DUMMYFUNCTION("""COMPUTED_VALUE"""),13.0)</f>
        <v>13</v>
      </c>
      <c r="F1487" s="25">
        <f>IFERROR(__xludf.DUMMYFUNCTION("""COMPUTED_VALUE"""),45420.63611111111)</f>
        <v>45420.63611</v>
      </c>
      <c r="G1487" s="22">
        <f>IFERROR(__xludf.DUMMYFUNCTION("""COMPUTED_VALUE"""),14.9)</f>
        <v>14.9</v>
      </c>
      <c r="H1487" s="25">
        <f>IFERROR(__xludf.DUMMYFUNCTION("""COMPUTED_VALUE"""),45420.63611111111)</f>
        <v>45420.63611</v>
      </c>
      <c r="I1487" s="22">
        <f>IFERROR(__xludf.DUMMYFUNCTION("""COMPUTED_VALUE"""),16.89)</f>
        <v>16.89</v>
      </c>
      <c r="J1487" s="25">
        <f>IFERROR(__xludf.DUMMYFUNCTION("""COMPUTED_VALUE"""),45420.63611111111)</f>
        <v>45420.63611</v>
      </c>
      <c r="K1487" s="22">
        <f>IFERROR(__xludf.DUMMYFUNCTION("""COMPUTED_VALUE"""),18.69)</f>
        <v>18.69</v>
      </c>
    </row>
    <row r="1488" ht="15.75" customHeight="1">
      <c r="A1488" s="25">
        <f>IFERROR(__xludf.DUMMYFUNCTION("""COMPUTED_VALUE"""),45421.66666666667)</f>
        <v>45421.66667</v>
      </c>
      <c r="B1488" s="22">
        <f>IFERROR(__xludf.DUMMYFUNCTION("""COMPUTED_VALUE"""),5214.08)</f>
        <v>5214.08</v>
      </c>
      <c r="C1488" s="25">
        <f>IFERROR(__xludf.DUMMYFUNCTION("""COMPUTED_VALUE"""),45421.63611111111)</f>
        <v>45421.63611</v>
      </c>
      <c r="D1488" s="22">
        <f>IFERROR(__xludf.DUMMYFUNCTION("""COMPUTED_VALUE"""),12.69)</f>
        <v>12.69</v>
      </c>
      <c r="F1488" s="25">
        <f>IFERROR(__xludf.DUMMYFUNCTION("""COMPUTED_VALUE"""),45421.63611111111)</f>
        <v>45421.63611</v>
      </c>
      <c r="G1488" s="22">
        <f>IFERROR(__xludf.DUMMYFUNCTION("""COMPUTED_VALUE"""),14.71)</f>
        <v>14.71</v>
      </c>
      <c r="H1488" s="25">
        <f>IFERROR(__xludf.DUMMYFUNCTION("""COMPUTED_VALUE"""),45421.63611111111)</f>
        <v>45421.63611</v>
      </c>
      <c r="I1488" s="22">
        <f>IFERROR(__xludf.DUMMYFUNCTION("""COMPUTED_VALUE"""),16.68)</f>
        <v>16.68</v>
      </c>
      <c r="J1488" s="25">
        <f>IFERROR(__xludf.DUMMYFUNCTION("""COMPUTED_VALUE"""),45421.63611111111)</f>
        <v>45421.63611</v>
      </c>
      <c r="K1488" s="22">
        <f>IFERROR(__xludf.DUMMYFUNCTION("""COMPUTED_VALUE"""),18.55)</f>
        <v>18.55</v>
      </c>
    </row>
    <row r="1489" ht="15.75" customHeight="1">
      <c r="A1489" s="25">
        <f>IFERROR(__xludf.DUMMYFUNCTION("""COMPUTED_VALUE"""),45422.66666666667)</f>
        <v>45422.66667</v>
      </c>
      <c r="B1489" s="22">
        <f>IFERROR(__xludf.DUMMYFUNCTION("""COMPUTED_VALUE"""),5222.68)</f>
        <v>5222.68</v>
      </c>
      <c r="C1489" s="25">
        <f>IFERROR(__xludf.DUMMYFUNCTION("""COMPUTED_VALUE"""),45422.63611111111)</f>
        <v>45422.63611</v>
      </c>
      <c r="D1489" s="22">
        <f>IFERROR(__xludf.DUMMYFUNCTION("""COMPUTED_VALUE"""),12.55)</f>
        <v>12.55</v>
      </c>
      <c r="F1489" s="25">
        <f>IFERROR(__xludf.DUMMYFUNCTION("""COMPUTED_VALUE"""),45422.63611111111)</f>
        <v>45422.63611</v>
      </c>
      <c r="G1489" s="22">
        <f>IFERROR(__xludf.DUMMYFUNCTION("""COMPUTED_VALUE"""),14.66)</f>
        <v>14.66</v>
      </c>
      <c r="H1489" s="25">
        <f>IFERROR(__xludf.DUMMYFUNCTION("""COMPUTED_VALUE"""),45422.63611111111)</f>
        <v>45422.63611</v>
      </c>
      <c r="I1489" s="22">
        <f>IFERROR(__xludf.DUMMYFUNCTION("""COMPUTED_VALUE"""),16.67)</f>
        <v>16.67</v>
      </c>
      <c r="J1489" s="25">
        <f>IFERROR(__xludf.DUMMYFUNCTION("""COMPUTED_VALUE"""),45422.63611111111)</f>
        <v>45422.63611</v>
      </c>
      <c r="K1489" s="22">
        <f>IFERROR(__xludf.DUMMYFUNCTION("""COMPUTED_VALUE"""),18.68)</f>
        <v>18.68</v>
      </c>
    </row>
    <row r="1490" ht="15.75" customHeight="1">
      <c r="A1490" s="25">
        <f>IFERROR(__xludf.DUMMYFUNCTION("""COMPUTED_VALUE"""),45425.66666666667)</f>
        <v>45425.66667</v>
      </c>
      <c r="B1490" s="22">
        <f>IFERROR(__xludf.DUMMYFUNCTION("""COMPUTED_VALUE"""),5221.42)</f>
        <v>5221.42</v>
      </c>
      <c r="C1490" s="25">
        <f>IFERROR(__xludf.DUMMYFUNCTION("""COMPUTED_VALUE"""),45425.63611111111)</f>
        <v>45425.63611</v>
      </c>
      <c r="D1490" s="22">
        <f>IFERROR(__xludf.DUMMYFUNCTION("""COMPUTED_VALUE"""),13.6)</f>
        <v>13.6</v>
      </c>
      <c r="F1490" s="25">
        <f>IFERROR(__xludf.DUMMYFUNCTION("""COMPUTED_VALUE"""),45425.63611111111)</f>
        <v>45425.63611</v>
      </c>
      <c r="G1490" s="22">
        <f>IFERROR(__xludf.DUMMYFUNCTION("""COMPUTED_VALUE"""),14.89)</f>
        <v>14.89</v>
      </c>
      <c r="H1490" s="25">
        <f>IFERROR(__xludf.DUMMYFUNCTION("""COMPUTED_VALUE"""),45425.63611111111)</f>
        <v>45425.63611</v>
      </c>
      <c r="I1490" s="22">
        <f>IFERROR(__xludf.DUMMYFUNCTION("""COMPUTED_VALUE"""),16.86)</f>
        <v>16.86</v>
      </c>
      <c r="J1490" s="25">
        <f>IFERROR(__xludf.DUMMYFUNCTION("""COMPUTED_VALUE"""),45425.63611111111)</f>
        <v>45425.63611</v>
      </c>
      <c r="K1490" s="22">
        <f>IFERROR(__xludf.DUMMYFUNCTION("""COMPUTED_VALUE"""),18.65)</f>
        <v>18.65</v>
      </c>
    </row>
    <row r="1491" ht="15.75" customHeight="1">
      <c r="A1491" s="25">
        <f>IFERROR(__xludf.DUMMYFUNCTION("""COMPUTED_VALUE"""),45426.66666666667)</f>
        <v>45426.66667</v>
      </c>
      <c r="B1491" s="22">
        <f>IFERROR(__xludf.DUMMYFUNCTION("""COMPUTED_VALUE"""),5246.68)</f>
        <v>5246.68</v>
      </c>
      <c r="C1491" s="25">
        <f>IFERROR(__xludf.DUMMYFUNCTION("""COMPUTED_VALUE"""),45426.63611111111)</f>
        <v>45426.63611</v>
      </c>
      <c r="D1491" s="22">
        <f>IFERROR(__xludf.DUMMYFUNCTION("""COMPUTED_VALUE"""),13.42)</f>
        <v>13.42</v>
      </c>
      <c r="F1491" s="25">
        <f>IFERROR(__xludf.DUMMYFUNCTION("""COMPUTED_VALUE"""),45426.63611111111)</f>
        <v>45426.63611</v>
      </c>
      <c r="G1491" s="22">
        <f>IFERROR(__xludf.DUMMYFUNCTION("""COMPUTED_VALUE"""),14.7)</f>
        <v>14.7</v>
      </c>
      <c r="H1491" s="25">
        <f>IFERROR(__xludf.DUMMYFUNCTION("""COMPUTED_VALUE"""),45426.63611111111)</f>
        <v>45426.63611</v>
      </c>
      <c r="I1491" s="22">
        <f>IFERROR(__xludf.DUMMYFUNCTION("""COMPUTED_VALUE"""),16.76)</f>
        <v>16.76</v>
      </c>
      <c r="J1491" s="25">
        <f>IFERROR(__xludf.DUMMYFUNCTION("""COMPUTED_VALUE"""),45426.63611111111)</f>
        <v>45426.63611</v>
      </c>
      <c r="K1491" s="22">
        <f>IFERROR(__xludf.DUMMYFUNCTION("""COMPUTED_VALUE"""),18.72)</f>
        <v>18.72</v>
      </c>
    </row>
    <row r="1492" ht="15.75" customHeight="1">
      <c r="A1492" s="25">
        <f>IFERROR(__xludf.DUMMYFUNCTION("""COMPUTED_VALUE"""),45427.66666666667)</f>
        <v>45427.66667</v>
      </c>
      <c r="B1492" s="22">
        <f>IFERROR(__xludf.DUMMYFUNCTION("""COMPUTED_VALUE"""),5308.15)</f>
        <v>5308.15</v>
      </c>
      <c r="C1492" s="25">
        <f>IFERROR(__xludf.DUMMYFUNCTION("""COMPUTED_VALUE"""),45427.63611111111)</f>
        <v>45427.63611</v>
      </c>
      <c r="D1492" s="22">
        <f>IFERROR(__xludf.DUMMYFUNCTION("""COMPUTED_VALUE"""),12.45)</f>
        <v>12.45</v>
      </c>
      <c r="F1492" s="25">
        <f>IFERROR(__xludf.DUMMYFUNCTION("""COMPUTED_VALUE"""),45427.63611111111)</f>
        <v>45427.63611</v>
      </c>
      <c r="G1492" s="22">
        <f>IFERROR(__xludf.DUMMYFUNCTION("""COMPUTED_VALUE"""),14.08)</f>
        <v>14.08</v>
      </c>
      <c r="H1492" s="25">
        <f>IFERROR(__xludf.DUMMYFUNCTION("""COMPUTED_VALUE"""),45427.63611111111)</f>
        <v>45427.63611</v>
      </c>
      <c r="I1492" s="22">
        <f>IFERROR(__xludf.DUMMYFUNCTION("""COMPUTED_VALUE"""),16.33)</f>
        <v>16.33</v>
      </c>
      <c r="J1492" s="25">
        <f>IFERROR(__xludf.DUMMYFUNCTION("""COMPUTED_VALUE"""),45427.63611111111)</f>
        <v>45427.63611</v>
      </c>
      <c r="K1492" s="22">
        <f>IFERROR(__xludf.DUMMYFUNCTION("""COMPUTED_VALUE"""),18.28)</f>
        <v>18.28</v>
      </c>
    </row>
    <row r="1493" ht="15.75" customHeight="1">
      <c r="A1493" s="25">
        <f>IFERROR(__xludf.DUMMYFUNCTION("""COMPUTED_VALUE"""),45428.66666666667)</f>
        <v>45428.66667</v>
      </c>
      <c r="B1493" s="22">
        <f>IFERROR(__xludf.DUMMYFUNCTION("""COMPUTED_VALUE"""),5297.1)</f>
        <v>5297.1</v>
      </c>
      <c r="C1493" s="25">
        <f>IFERROR(__xludf.DUMMYFUNCTION("""COMPUTED_VALUE"""),45428.63611111111)</f>
        <v>45428.63611</v>
      </c>
      <c r="D1493" s="22">
        <f>IFERROR(__xludf.DUMMYFUNCTION("""COMPUTED_VALUE"""),12.42)</f>
        <v>12.42</v>
      </c>
      <c r="F1493" s="25">
        <f>IFERROR(__xludf.DUMMYFUNCTION("""COMPUTED_VALUE"""),45428.63611111111)</f>
        <v>45428.63611</v>
      </c>
      <c r="G1493" s="22">
        <f>IFERROR(__xludf.DUMMYFUNCTION("""COMPUTED_VALUE"""),14.22)</f>
        <v>14.22</v>
      </c>
      <c r="H1493" s="25">
        <f>IFERROR(__xludf.DUMMYFUNCTION("""COMPUTED_VALUE"""),45428.63611111111)</f>
        <v>45428.63611</v>
      </c>
      <c r="I1493" s="22">
        <f>IFERROR(__xludf.DUMMYFUNCTION("""COMPUTED_VALUE"""),16.46)</f>
        <v>16.46</v>
      </c>
      <c r="J1493" s="25">
        <f>IFERROR(__xludf.DUMMYFUNCTION("""COMPUTED_VALUE"""),45428.63611111111)</f>
        <v>45428.63611</v>
      </c>
      <c r="K1493" s="22">
        <f>IFERROR(__xludf.DUMMYFUNCTION("""COMPUTED_VALUE"""),18.37)</f>
        <v>18.37</v>
      </c>
    </row>
    <row r="1494" ht="15.75" customHeight="1">
      <c r="A1494" s="25">
        <f>IFERROR(__xludf.DUMMYFUNCTION("""COMPUTED_VALUE"""),45429.66666666667)</f>
        <v>45429.66667</v>
      </c>
      <c r="B1494" s="22">
        <f>IFERROR(__xludf.DUMMYFUNCTION("""COMPUTED_VALUE"""),5303.27)</f>
        <v>5303.27</v>
      </c>
      <c r="C1494" s="25">
        <f>IFERROR(__xludf.DUMMYFUNCTION("""COMPUTED_VALUE"""),45429.63611111111)</f>
        <v>45429.63611</v>
      </c>
      <c r="D1494" s="22">
        <f>IFERROR(__xludf.DUMMYFUNCTION("""COMPUTED_VALUE"""),11.99)</f>
        <v>11.99</v>
      </c>
      <c r="F1494" s="25">
        <f>IFERROR(__xludf.DUMMYFUNCTION("""COMPUTED_VALUE"""),45429.63611111111)</f>
        <v>45429.63611</v>
      </c>
      <c r="G1494" s="22">
        <f>IFERROR(__xludf.DUMMYFUNCTION("""COMPUTED_VALUE"""),13.99)</f>
        <v>13.99</v>
      </c>
      <c r="H1494" s="25">
        <f>IFERROR(__xludf.DUMMYFUNCTION("""COMPUTED_VALUE"""),45429.63611111111)</f>
        <v>45429.63611</v>
      </c>
      <c r="I1494" s="22">
        <f>IFERROR(__xludf.DUMMYFUNCTION("""COMPUTED_VALUE"""),16.29)</f>
        <v>16.29</v>
      </c>
      <c r="J1494" s="25">
        <f>IFERROR(__xludf.DUMMYFUNCTION("""COMPUTED_VALUE"""),45429.63611111111)</f>
        <v>45429.63611</v>
      </c>
      <c r="K1494" s="22">
        <f>IFERROR(__xludf.DUMMYFUNCTION("""COMPUTED_VALUE"""),18.31)</f>
        <v>18.31</v>
      </c>
    </row>
    <row r="1495" ht="15.75" customHeight="1">
      <c r="A1495" s="25">
        <f>IFERROR(__xludf.DUMMYFUNCTION("""COMPUTED_VALUE"""),45432.66666666667)</f>
        <v>45432.66667</v>
      </c>
      <c r="B1495" s="22">
        <f>IFERROR(__xludf.DUMMYFUNCTION("""COMPUTED_VALUE"""),5308.13)</f>
        <v>5308.13</v>
      </c>
      <c r="C1495" s="25">
        <f>IFERROR(__xludf.DUMMYFUNCTION("""COMPUTED_VALUE"""),45432.63611111111)</f>
        <v>45432.63611</v>
      </c>
      <c r="D1495" s="22">
        <f>IFERROR(__xludf.DUMMYFUNCTION("""COMPUTED_VALUE"""),12.15)</f>
        <v>12.15</v>
      </c>
      <c r="F1495" s="25">
        <f>IFERROR(__xludf.DUMMYFUNCTION("""COMPUTED_VALUE"""),45432.63611111111)</f>
        <v>45432.63611</v>
      </c>
      <c r="G1495" s="22">
        <f>IFERROR(__xludf.DUMMYFUNCTION("""COMPUTED_VALUE"""),14.11)</f>
        <v>14.11</v>
      </c>
      <c r="H1495" s="25">
        <f>IFERROR(__xludf.DUMMYFUNCTION("""COMPUTED_VALUE"""),45432.63611111111)</f>
        <v>45432.63611</v>
      </c>
      <c r="I1495" s="22">
        <f>IFERROR(__xludf.DUMMYFUNCTION("""COMPUTED_VALUE"""),16.34)</f>
        <v>16.34</v>
      </c>
      <c r="J1495" s="25">
        <f>IFERROR(__xludf.DUMMYFUNCTION("""COMPUTED_VALUE"""),45432.63611111111)</f>
        <v>45432.63611</v>
      </c>
      <c r="K1495" s="22">
        <f>IFERROR(__xludf.DUMMYFUNCTION("""COMPUTED_VALUE"""),18.33)</f>
        <v>18.33</v>
      </c>
    </row>
    <row r="1496" ht="15.75" customHeight="1">
      <c r="A1496" s="25">
        <f>IFERROR(__xludf.DUMMYFUNCTION("""COMPUTED_VALUE"""),45433.66666666667)</f>
        <v>45433.66667</v>
      </c>
      <c r="B1496" s="22">
        <f>IFERROR(__xludf.DUMMYFUNCTION("""COMPUTED_VALUE"""),5321.41)</f>
        <v>5321.41</v>
      </c>
      <c r="C1496" s="25">
        <f>IFERROR(__xludf.DUMMYFUNCTION("""COMPUTED_VALUE"""),45433.63611111111)</f>
        <v>45433.63611</v>
      </c>
      <c r="D1496" s="22">
        <f>IFERROR(__xludf.DUMMYFUNCTION("""COMPUTED_VALUE"""),11.86)</f>
        <v>11.86</v>
      </c>
      <c r="F1496" s="25">
        <f>IFERROR(__xludf.DUMMYFUNCTION("""COMPUTED_VALUE"""),45433.63611111111)</f>
        <v>45433.63611</v>
      </c>
      <c r="G1496" s="22">
        <f>IFERROR(__xludf.DUMMYFUNCTION("""COMPUTED_VALUE"""),13.95)</f>
        <v>13.95</v>
      </c>
      <c r="H1496" s="25">
        <f>IFERROR(__xludf.DUMMYFUNCTION("""COMPUTED_VALUE"""),45433.63611111111)</f>
        <v>45433.63611</v>
      </c>
      <c r="I1496" s="22">
        <f>IFERROR(__xludf.DUMMYFUNCTION("""COMPUTED_VALUE"""),16.2)</f>
        <v>16.2</v>
      </c>
      <c r="J1496" s="25">
        <f>IFERROR(__xludf.DUMMYFUNCTION("""COMPUTED_VALUE"""),45433.63611111111)</f>
        <v>45433.63611</v>
      </c>
      <c r="K1496" s="22">
        <f>IFERROR(__xludf.DUMMYFUNCTION("""COMPUTED_VALUE"""),18.27)</f>
        <v>18.27</v>
      </c>
    </row>
    <row r="1497" ht="15.75" customHeight="1">
      <c r="A1497" s="25">
        <f>IFERROR(__xludf.DUMMYFUNCTION("""COMPUTED_VALUE"""),45434.66666666667)</f>
        <v>45434.66667</v>
      </c>
      <c r="B1497" s="22">
        <f>IFERROR(__xludf.DUMMYFUNCTION("""COMPUTED_VALUE"""),5307.01)</f>
        <v>5307.01</v>
      </c>
      <c r="C1497" s="25">
        <f>IFERROR(__xludf.DUMMYFUNCTION("""COMPUTED_VALUE"""),45434.63611111111)</f>
        <v>45434.63611</v>
      </c>
      <c r="D1497" s="22">
        <f>IFERROR(__xludf.DUMMYFUNCTION("""COMPUTED_VALUE"""),12.29)</f>
        <v>12.29</v>
      </c>
      <c r="F1497" s="25">
        <f>IFERROR(__xludf.DUMMYFUNCTION("""COMPUTED_VALUE"""),45434.63611111111)</f>
        <v>45434.63611</v>
      </c>
      <c r="G1497" s="22">
        <f>IFERROR(__xludf.DUMMYFUNCTION("""COMPUTED_VALUE"""),14.31)</f>
        <v>14.31</v>
      </c>
      <c r="H1497" s="25">
        <f>IFERROR(__xludf.DUMMYFUNCTION("""COMPUTED_VALUE"""),45434.63611111111)</f>
        <v>45434.63611</v>
      </c>
      <c r="I1497" s="22">
        <f>IFERROR(__xludf.DUMMYFUNCTION("""COMPUTED_VALUE"""),16.51)</f>
        <v>16.51</v>
      </c>
      <c r="J1497" s="25">
        <f>IFERROR(__xludf.DUMMYFUNCTION("""COMPUTED_VALUE"""),45434.63611111111)</f>
        <v>45434.63611</v>
      </c>
      <c r="K1497" s="22">
        <f>IFERROR(__xludf.DUMMYFUNCTION("""COMPUTED_VALUE"""),18.47)</f>
        <v>18.47</v>
      </c>
    </row>
    <row r="1498" ht="15.75" customHeight="1">
      <c r="A1498" s="25">
        <f>IFERROR(__xludf.DUMMYFUNCTION("""COMPUTED_VALUE"""),45435.66666666667)</f>
        <v>45435.66667</v>
      </c>
      <c r="B1498" s="22">
        <f>IFERROR(__xludf.DUMMYFUNCTION("""COMPUTED_VALUE"""),5267.84)</f>
        <v>5267.84</v>
      </c>
      <c r="C1498" s="25">
        <f>IFERROR(__xludf.DUMMYFUNCTION("""COMPUTED_VALUE"""),45435.63611111111)</f>
        <v>45435.63611</v>
      </c>
      <c r="D1498" s="22">
        <f>IFERROR(__xludf.DUMMYFUNCTION("""COMPUTED_VALUE"""),12.77)</f>
        <v>12.77</v>
      </c>
      <c r="F1498" s="25">
        <f>IFERROR(__xludf.DUMMYFUNCTION("""COMPUTED_VALUE"""),45435.63611111111)</f>
        <v>45435.63611</v>
      </c>
      <c r="G1498" s="22">
        <f>IFERROR(__xludf.DUMMYFUNCTION("""COMPUTED_VALUE"""),14.67)</f>
        <v>14.67</v>
      </c>
      <c r="H1498" s="25">
        <f>IFERROR(__xludf.DUMMYFUNCTION("""COMPUTED_VALUE"""),45435.63611111111)</f>
        <v>45435.63611</v>
      </c>
      <c r="I1498" s="22">
        <f>IFERROR(__xludf.DUMMYFUNCTION("""COMPUTED_VALUE"""),16.7)</f>
        <v>16.7</v>
      </c>
      <c r="J1498" s="25">
        <f>IFERROR(__xludf.DUMMYFUNCTION("""COMPUTED_VALUE"""),45435.63611111111)</f>
        <v>45435.63611</v>
      </c>
      <c r="K1498" s="22">
        <f>IFERROR(__xludf.DUMMYFUNCTION("""COMPUTED_VALUE"""),18.66)</f>
        <v>18.66</v>
      </c>
    </row>
    <row r="1499" ht="15.75" customHeight="1">
      <c r="A1499" s="25">
        <f>IFERROR(__xludf.DUMMYFUNCTION("""COMPUTED_VALUE"""),45436.66666666667)</f>
        <v>45436.66667</v>
      </c>
      <c r="B1499" s="22">
        <f>IFERROR(__xludf.DUMMYFUNCTION("""COMPUTED_VALUE"""),5304.72)</f>
        <v>5304.72</v>
      </c>
      <c r="C1499" s="25">
        <f>IFERROR(__xludf.DUMMYFUNCTION("""COMPUTED_VALUE"""),45436.63611111111)</f>
        <v>45436.63611</v>
      </c>
      <c r="D1499" s="22">
        <f>IFERROR(__xludf.DUMMYFUNCTION("""COMPUTED_VALUE"""),11.93)</f>
        <v>11.93</v>
      </c>
      <c r="F1499" s="25">
        <f>IFERROR(__xludf.DUMMYFUNCTION("""COMPUTED_VALUE"""),45436.63611111111)</f>
        <v>45436.63611</v>
      </c>
      <c r="G1499" s="22">
        <f>IFERROR(__xludf.DUMMYFUNCTION("""COMPUTED_VALUE"""),14.17)</f>
        <v>14.17</v>
      </c>
      <c r="H1499" s="25">
        <f>IFERROR(__xludf.DUMMYFUNCTION("""COMPUTED_VALUE"""),45436.63611111111)</f>
        <v>45436.63611</v>
      </c>
      <c r="I1499" s="22">
        <f>IFERROR(__xludf.DUMMYFUNCTION("""COMPUTED_VALUE"""),16.36)</f>
        <v>16.36</v>
      </c>
      <c r="J1499" s="25">
        <f>IFERROR(__xludf.DUMMYFUNCTION("""COMPUTED_VALUE"""),45436.63611111111)</f>
        <v>45436.63611</v>
      </c>
      <c r="K1499" s="22">
        <f>IFERROR(__xludf.DUMMYFUNCTION("""COMPUTED_VALUE"""),18.44)</f>
        <v>18.44</v>
      </c>
    </row>
    <row r="1500" ht="15.75" customHeight="1">
      <c r="A1500" s="25">
        <f>IFERROR(__xludf.DUMMYFUNCTION("""COMPUTED_VALUE"""),45440.66666666667)</f>
        <v>45440.66667</v>
      </c>
      <c r="B1500" s="22">
        <f>IFERROR(__xludf.DUMMYFUNCTION("""COMPUTED_VALUE"""),5306.04)</f>
        <v>5306.04</v>
      </c>
      <c r="C1500" s="25">
        <f>IFERROR(__xludf.DUMMYFUNCTION("""COMPUTED_VALUE"""),45440.63611111111)</f>
        <v>45440.63611</v>
      </c>
      <c r="D1500" s="22">
        <f>IFERROR(__xludf.DUMMYFUNCTION("""COMPUTED_VALUE"""),12.92)</f>
        <v>12.92</v>
      </c>
      <c r="F1500" s="25">
        <f>IFERROR(__xludf.DUMMYFUNCTION("""COMPUTED_VALUE"""),45440.63611111111)</f>
        <v>45440.63611</v>
      </c>
      <c r="G1500" s="22">
        <f>IFERROR(__xludf.DUMMYFUNCTION("""COMPUTED_VALUE"""),14.72)</f>
        <v>14.72</v>
      </c>
      <c r="H1500" s="25">
        <f>IFERROR(__xludf.DUMMYFUNCTION("""COMPUTED_VALUE"""),45440.63611111111)</f>
        <v>45440.63611</v>
      </c>
      <c r="I1500" s="22">
        <f>IFERROR(__xludf.DUMMYFUNCTION("""COMPUTED_VALUE"""),16.71)</f>
        <v>16.71</v>
      </c>
      <c r="J1500" s="25">
        <f>IFERROR(__xludf.DUMMYFUNCTION("""COMPUTED_VALUE"""),45440.63611111111)</f>
        <v>45440.63611</v>
      </c>
      <c r="K1500" s="22">
        <f>IFERROR(__xludf.DUMMYFUNCTION("""COMPUTED_VALUE"""),18.56)</f>
        <v>18.56</v>
      </c>
    </row>
    <row r="1501" ht="15.75" customHeight="1">
      <c r="A1501" s="25">
        <f>IFERROR(__xludf.DUMMYFUNCTION("""COMPUTED_VALUE"""),45441.66666666667)</f>
        <v>45441.66667</v>
      </c>
      <c r="B1501" s="22">
        <f>IFERROR(__xludf.DUMMYFUNCTION("""COMPUTED_VALUE"""),5266.95)</f>
        <v>5266.95</v>
      </c>
      <c r="C1501" s="25">
        <f>IFERROR(__xludf.DUMMYFUNCTION("""COMPUTED_VALUE"""),45441.63611111111)</f>
        <v>45441.63611</v>
      </c>
      <c r="D1501" s="22">
        <f>IFERROR(__xludf.DUMMYFUNCTION("""COMPUTED_VALUE"""),14.28)</f>
        <v>14.28</v>
      </c>
      <c r="F1501" s="25">
        <f>IFERROR(__xludf.DUMMYFUNCTION("""COMPUTED_VALUE"""),45441.63611111111)</f>
        <v>45441.63611</v>
      </c>
      <c r="G1501" s="22">
        <f>IFERROR(__xludf.DUMMYFUNCTION("""COMPUTED_VALUE"""),15.45)</f>
        <v>15.45</v>
      </c>
      <c r="H1501" s="25">
        <f>IFERROR(__xludf.DUMMYFUNCTION("""COMPUTED_VALUE"""),45441.63611111111)</f>
        <v>45441.63611</v>
      </c>
      <c r="I1501" s="22">
        <f>IFERROR(__xludf.DUMMYFUNCTION("""COMPUTED_VALUE"""),17.21)</f>
        <v>17.21</v>
      </c>
      <c r="J1501" s="25">
        <f>IFERROR(__xludf.DUMMYFUNCTION("""COMPUTED_VALUE"""),45441.63611111111)</f>
        <v>45441.63611</v>
      </c>
      <c r="K1501" s="22">
        <f>IFERROR(__xludf.DUMMYFUNCTION("""COMPUTED_VALUE"""),18.89)</f>
        <v>18.89</v>
      </c>
    </row>
    <row r="1502" ht="15.75" customHeight="1">
      <c r="A1502" s="25">
        <f>IFERROR(__xludf.DUMMYFUNCTION("""COMPUTED_VALUE"""),45442.66666666667)</f>
        <v>45442.66667</v>
      </c>
      <c r="B1502" s="22">
        <f>IFERROR(__xludf.DUMMYFUNCTION("""COMPUTED_VALUE"""),5235.48)</f>
        <v>5235.48</v>
      </c>
      <c r="C1502" s="25">
        <f>IFERROR(__xludf.DUMMYFUNCTION("""COMPUTED_VALUE"""),45442.63611111111)</f>
        <v>45442.63611</v>
      </c>
      <c r="D1502" s="22">
        <f>IFERROR(__xludf.DUMMYFUNCTION("""COMPUTED_VALUE"""),14.47)</f>
        <v>14.47</v>
      </c>
      <c r="F1502" s="25">
        <f>IFERROR(__xludf.DUMMYFUNCTION("""COMPUTED_VALUE"""),45442.63611111111)</f>
        <v>45442.63611</v>
      </c>
      <c r="G1502" s="22">
        <f>IFERROR(__xludf.DUMMYFUNCTION("""COMPUTED_VALUE"""),15.59)</f>
        <v>15.59</v>
      </c>
      <c r="H1502" s="25">
        <f>IFERROR(__xludf.DUMMYFUNCTION("""COMPUTED_VALUE"""),45442.63611111111)</f>
        <v>45442.63611</v>
      </c>
      <c r="I1502" s="22">
        <f>IFERROR(__xludf.DUMMYFUNCTION("""COMPUTED_VALUE"""),17.3)</f>
        <v>17.3</v>
      </c>
      <c r="J1502" s="25">
        <f>IFERROR(__xludf.DUMMYFUNCTION("""COMPUTED_VALUE"""),45442.63611111111)</f>
        <v>45442.63611</v>
      </c>
      <c r="K1502" s="22">
        <f>IFERROR(__xludf.DUMMYFUNCTION("""COMPUTED_VALUE"""),18.9)</f>
        <v>18.9</v>
      </c>
    </row>
    <row r="1503" ht="15.75" customHeight="1">
      <c r="A1503" s="25">
        <f>IFERROR(__xludf.DUMMYFUNCTION("""COMPUTED_VALUE"""),45443.66666666667)</f>
        <v>45443.66667</v>
      </c>
      <c r="B1503" s="22">
        <f>IFERROR(__xludf.DUMMYFUNCTION("""COMPUTED_VALUE"""),5277.51)</f>
        <v>5277.51</v>
      </c>
      <c r="C1503" s="25">
        <f>IFERROR(__xludf.DUMMYFUNCTION("""COMPUTED_VALUE"""),45443.63611111111)</f>
        <v>45443.63611</v>
      </c>
      <c r="D1503" s="22">
        <f>IFERROR(__xludf.DUMMYFUNCTION("""COMPUTED_VALUE"""),12.92)</f>
        <v>12.92</v>
      </c>
      <c r="F1503" s="25">
        <f>IFERROR(__xludf.DUMMYFUNCTION("""COMPUTED_VALUE"""),45443.63611111111)</f>
        <v>45443.63611</v>
      </c>
      <c r="G1503" s="22">
        <f>IFERROR(__xludf.DUMMYFUNCTION("""COMPUTED_VALUE"""),14.66)</f>
        <v>14.66</v>
      </c>
      <c r="H1503" s="25">
        <f>IFERROR(__xludf.DUMMYFUNCTION("""COMPUTED_VALUE"""),45443.63611111111)</f>
        <v>45443.63611</v>
      </c>
      <c r="I1503" s="22">
        <f>IFERROR(__xludf.DUMMYFUNCTION("""COMPUTED_VALUE"""),16.61)</f>
        <v>16.61</v>
      </c>
      <c r="J1503" s="25">
        <f>IFERROR(__xludf.DUMMYFUNCTION("""COMPUTED_VALUE"""),45443.63611111111)</f>
        <v>45443.63611</v>
      </c>
      <c r="K1503" s="22">
        <f>IFERROR(__xludf.DUMMYFUNCTION("""COMPUTED_VALUE"""),18.4)</f>
        <v>18.4</v>
      </c>
    </row>
    <row r="1504" ht="15.75" customHeight="1">
      <c r="A1504" s="25">
        <f>IFERROR(__xludf.DUMMYFUNCTION("""COMPUTED_VALUE"""),45446.66666666667)</f>
        <v>45446.66667</v>
      </c>
      <c r="B1504" s="22">
        <f>IFERROR(__xludf.DUMMYFUNCTION("""COMPUTED_VALUE"""),5283.4)</f>
        <v>5283.4</v>
      </c>
      <c r="C1504" s="25">
        <f>IFERROR(__xludf.DUMMYFUNCTION("""COMPUTED_VALUE"""),45446.63611111111)</f>
        <v>45446.63611</v>
      </c>
      <c r="D1504" s="22">
        <f>IFERROR(__xludf.DUMMYFUNCTION("""COMPUTED_VALUE"""),13.11)</f>
        <v>13.11</v>
      </c>
      <c r="F1504" s="25">
        <f>IFERROR(__xludf.DUMMYFUNCTION("""COMPUTED_VALUE"""),45446.63611111111)</f>
        <v>45446.63611</v>
      </c>
      <c r="G1504" s="22">
        <f>IFERROR(__xludf.DUMMYFUNCTION("""COMPUTED_VALUE"""),14.8)</f>
        <v>14.8</v>
      </c>
      <c r="H1504" s="25">
        <f>IFERROR(__xludf.DUMMYFUNCTION("""COMPUTED_VALUE"""),45446.63611111111)</f>
        <v>45446.63611</v>
      </c>
      <c r="I1504" s="22">
        <f>IFERROR(__xludf.DUMMYFUNCTION("""COMPUTED_VALUE"""),16.74)</f>
        <v>16.74</v>
      </c>
      <c r="J1504" s="25">
        <f>IFERROR(__xludf.DUMMYFUNCTION("""COMPUTED_VALUE"""),45446.63611111111)</f>
        <v>45446.63611</v>
      </c>
      <c r="K1504" s="22">
        <f>IFERROR(__xludf.DUMMYFUNCTION("""COMPUTED_VALUE"""),18.5)</f>
        <v>18.5</v>
      </c>
    </row>
    <row r="1505" ht="15.75" customHeight="1">
      <c r="A1505" s="25">
        <f>IFERROR(__xludf.DUMMYFUNCTION("""COMPUTED_VALUE"""),45447.66666666667)</f>
        <v>45447.66667</v>
      </c>
      <c r="B1505" s="22">
        <f>IFERROR(__xludf.DUMMYFUNCTION("""COMPUTED_VALUE"""),5291.34)</f>
        <v>5291.34</v>
      </c>
      <c r="C1505" s="25">
        <f>IFERROR(__xludf.DUMMYFUNCTION("""COMPUTED_VALUE"""),45447.63611111111)</f>
        <v>45447.63611</v>
      </c>
      <c r="D1505" s="22">
        <f>IFERROR(__xludf.DUMMYFUNCTION("""COMPUTED_VALUE"""),13.16)</f>
        <v>13.16</v>
      </c>
      <c r="F1505" s="25">
        <f>IFERROR(__xludf.DUMMYFUNCTION("""COMPUTED_VALUE"""),45447.63611111111)</f>
        <v>45447.63611</v>
      </c>
      <c r="G1505" s="22">
        <f>IFERROR(__xludf.DUMMYFUNCTION("""COMPUTED_VALUE"""),14.88)</f>
        <v>14.88</v>
      </c>
      <c r="H1505" s="25">
        <f>IFERROR(__xludf.DUMMYFUNCTION("""COMPUTED_VALUE"""),45447.63611111111)</f>
        <v>45447.63611</v>
      </c>
      <c r="I1505" s="22">
        <f>IFERROR(__xludf.DUMMYFUNCTION("""COMPUTED_VALUE"""),16.84)</f>
        <v>16.84</v>
      </c>
      <c r="J1505" s="25">
        <f>IFERROR(__xludf.DUMMYFUNCTION("""COMPUTED_VALUE"""),45447.63611111111)</f>
        <v>45447.63611</v>
      </c>
      <c r="K1505" s="22">
        <f>IFERROR(__xludf.DUMMYFUNCTION("""COMPUTED_VALUE"""),18.61)</f>
        <v>18.61</v>
      </c>
    </row>
    <row r="1506" ht="15.75" customHeight="1">
      <c r="A1506" s="25">
        <f>IFERROR(__xludf.DUMMYFUNCTION("""COMPUTED_VALUE"""),45448.66666666667)</f>
        <v>45448.66667</v>
      </c>
      <c r="B1506" s="22">
        <f>IFERROR(__xludf.DUMMYFUNCTION("""COMPUTED_VALUE"""),5354.03)</f>
        <v>5354.03</v>
      </c>
      <c r="C1506" s="25">
        <f>IFERROR(__xludf.DUMMYFUNCTION("""COMPUTED_VALUE"""),45448.63611111111)</f>
        <v>45448.63611</v>
      </c>
      <c r="D1506" s="22">
        <f>IFERROR(__xludf.DUMMYFUNCTION("""COMPUTED_VALUE"""),12.63)</f>
        <v>12.63</v>
      </c>
      <c r="F1506" s="25">
        <f>IFERROR(__xludf.DUMMYFUNCTION("""COMPUTED_VALUE"""),45448.63611111111)</f>
        <v>45448.63611</v>
      </c>
      <c r="G1506" s="22">
        <f>IFERROR(__xludf.DUMMYFUNCTION("""COMPUTED_VALUE"""),14.54)</f>
        <v>14.54</v>
      </c>
      <c r="H1506" s="25">
        <f>IFERROR(__xludf.DUMMYFUNCTION("""COMPUTED_VALUE"""),45448.63611111111)</f>
        <v>45448.63611</v>
      </c>
      <c r="I1506" s="22">
        <f>IFERROR(__xludf.DUMMYFUNCTION("""COMPUTED_VALUE"""),16.61)</f>
        <v>16.61</v>
      </c>
      <c r="J1506" s="25">
        <f>IFERROR(__xludf.DUMMYFUNCTION("""COMPUTED_VALUE"""),45448.63611111111)</f>
        <v>45448.63611</v>
      </c>
      <c r="K1506" s="22">
        <f>IFERROR(__xludf.DUMMYFUNCTION("""COMPUTED_VALUE"""),18.37)</f>
        <v>18.37</v>
      </c>
    </row>
    <row r="1507" ht="15.75" customHeight="1">
      <c r="A1507" s="25">
        <f>IFERROR(__xludf.DUMMYFUNCTION("""COMPUTED_VALUE"""),45449.66666666667)</f>
        <v>45449.66667</v>
      </c>
      <c r="B1507" s="22">
        <f>IFERROR(__xludf.DUMMYFUNCTION("""COMPUTED_VALUE"""),5352.96)</f>
        <v>5352.96</v>
      </c>
      <c r="C1507" s="25">
        <f>IFERROR(__xludf.DUMMYFUNCTION("""COMPUTED_VALUE"""),45449.63611111111)</f>
        <v>45449.63611</v>
      </c>
      <c r="D1507" s="22">
        <f>IFERROR(__xludf.DUMMYFUNCTION("""COMPUTED_VALUE"""),12.58)</f>
        <v>12.58</v>
      </c>
      <c r="F1507" s="25">
        <f>IFERROR(__xludf.DUMMYFUNCTION("""COMPUTED_VALUE"""),45449.63611111111)</f>
        <v>45449.63611</v>
      </c>
      <c r="G1507" s="22">
        <f>IFERROR(__xludf.DUMMYFUNCTION("""COMPUTED_VALUE"""),14.54)</f>
        <v>14.54</v>
      </c>
      <c r="H1507" s="25">
        <f>IFERROR(__xludf.DUMMYFUNCTION("""COMPUTED_VALUE"""),45449.63611111111)</f>
        <v>45449.63611</v>
      </c>
      <c r="I1507" s="22">
        <f>IFERROR(__xludf.DUMMYFUNCTION("""COMPUTED_VALUE"""),16.62)</f>
        <v>16.62</v>
      </c>
      <c r="J1507" s="25">
        <f>IFERROR(__xludf.DUMMYFUNCTION("""COMPUTED_VALUE"""),45449.63611111111)</f>
        <v>45449.63611</v>
      </c>
      <c r="K1507" s="22">
        <f>IFERROR(__xludf.DUMMYFUNCTION("""COMPUTED_VALUE"""),18.35)</f>
        <v>18.35</v>
      </c>
    </row>
    <row r="1508" ht="15.75" customHeight="1">
      <c r="A1508" s="25">
        <f>IFERROR(__xludf.DUMMYFUNCTION("""COMPUTED_VALUE"""),45450.66666666667)</f>
        <v>45450.66667</v>
      </c>
      <c r="B1508" s="22">
        <f>IFERROR(__xludf.DUMMYFUNCTION("""COMPUTED_VALUE"""),5346.99)</f>
        <v>5346.99</v>
      </c>
      <c r="C1508" s="25">
        <f>IFERROR(__xludf.DUMMYFUNCTION("""COMPUTED_VALUE"""),45450.63611111111)</f>
        <v>45450.63611</v>
      </c>
      <c r="D1508" s="22">
        <f>IFERROR(__xludf.DUMMYFUNCTION("""COMPUTED_VALUE"""),12.22)</f>
        <v>12.22</v>
      </c>
      <c r="F1508" s="25">
        <f>IFERROR(__xludf.DUMMYFUNCTION("""COMPUTED_VALUE"""),45450.63611111111)</f>
        <v>45450.63611</v>
      </c>
      <c r="G1508" s="22">
        <f>IFERROR(__xludf.DUMMYFUNCTION("""COMPUTED_VALUE"""),14.41)</f>
        <v>14.41</v>
      </c>
      <c r="H1508" s="25">
        <f>IFERROR(__xludf.DUMMYFUNCTION("""COMPUTED_VALUE"""),45450.63611111111)</f>
        <v>45450.63611</v>
      </c>
      <c r="I1508" s="22">
        <f>IFERROR(__xludf.DUMMYFUNCTION("""COMPUTED_VALUE"""),16.54)</f>
        <v>16.54</v>
      </c>
      <c r="J1508" s="25">
        <f>IFERROR(__xludf.DUMMYFUNCTION("""COMPUTED_VALUE"""),45450.63611111111)</f>
        <v>45450.63611</v>
      </c>
      <c r="K1508" s="22">
        <f>IFERROR(__xludf.DUMMYFUNCTION("""COMPUTED_VALUE"""),18.25)</f>
        <v>18.25</v>
      </c>
    </row>
    <row r="1509" ht="15.75" customHeight="1">
      <c r="A1509" s="25">
        <f>IFERROR(__xludf.DUMMYFUNCTION("""COMPUTED_VALUE"""),45453.66666666667)</f>
        <v>45453.66667</v>
      </c>
      <c r="B1509" s="22">
        <f>IFERROR(__xludf.DUMMYFUNCTION("""COMPUTED_VALUE"""),5360.79)</f>
        <v>5360.79</v>
      </c>
      <c r="C1509" s="25">
        <f>IFERROR(__xludf.DUMMYFUNCTION("""COMPUTED_VALUE"""),45453.63611111111)</f>
        <v>45453.63611</v>
      </c>
      <c r="D1509" s="22">
        <f>IFERROR(__xludf.DUMMYFUNCTION("""COMPUTED_VALUE"""),12.74)</f>
        <v>12.74</v>
      </c>
      <c r="F1509" s="25">
        <f>IFERROR(__xludf.DUMMYFUNCTION("""COMPUTED_VALUE"""),45453.63611111111)</f>
        <v>45453.63611</v>
      </c>
      <c r="G1509" s="22">
        <f>IFERROR(__xludf.DUMMYFUNCTION("""COMPUTED_VALUE"""),14.6)</f>
        <v>14.6</v>
      </c>
      <c r="H1509" s="25">
        <f>IFERROR(__xludf.DUMMYFUNCTION("""COMPUTED_VALUE"""),45453.63611111111)</f>
        <v>45453.63611</v>
      </c>
      <c r="I1509" s="22">
        <f>IFERROR(__xludf.DUMMYFUNCTION("""COMPUTED_VALUE"""),16.67)</f>
        <v>16.67</v>
      </c>
      <c r="J1509" s="25">
        <f>IFERROR(__xludf.DUMMYFUNCTION("""COMPUTED_VALUE"""),45453.63611111111)</f>
        <v>45453.63611</v>
      </c>
      <c r="K1509" s="22">
        <f>IFERROR(__xludf.DUMMYFUNCTION("""COMPUTED_VALUE"""),18.32)</f>
        <v>18.32</v>
      </c>
    </row>
    <row r="1510" ht="15.75" customHeight="1">
      <c r="A1510" s="25">
        <f>IFERROR(__xludf.DUMMYFUNCTION("""COMPUTED_VALUE"""),45454.66666666667)</f>
        <v>45454.66667</v>
      </c>
      <c r="B1510" s="22">
        <f>IFERROR(__xludf.DUMMYFUNCTION("""COMPUTED_VALUE"""),5375.32)</f>
        <v>5375.32</v>
      </c>
      <c r="C1510" s="25">
        <f>IFERROR(__xludf.DUMMYFUNCTION("""COMPUTED_VALUE"""),45454.63611111111)</f>
        <v>45454.63611</v>
      </c>
      <c r="D1510" s="22">
        <f>IFERROR(__xludf.DUMMYFUNCTION("""COMPUTED_VALUE"""),12.85)</f>
        <v>12.85</v>
      </c>
      <c r="F1510" s="25">
        <f>IFERROR(__xludf.DUMMYFUNCTION("""COMPUTED_VALUE"""),45454.63611111111)</f>
        <v>45454.63611</v>
      </c>
      <c r="G1510" s="22">
        <f>IFERROR(__xludf.DUMMYFUNCTION("""COMPUTED_VALUE"""),14.49)</f>
        <v>14.49</v>
      </c>
      <c r="H1510" s="25">
        <f>IFERROR(__xludf.DUMMYFUNCTION("""COMPUTED_VALUE"""),45454.63611111111)</f>
        <v>45454.63611</v>
      </c>
      <c r="I1510" s="22">
        <f>IFERROR(__xludf.DUMMYFUNCTION("""COMPUTED_VALUE"""),16.59)</f>
        <v>16.59</v>
      </c>
      <c r="J1510" s="25">
        <f>IFERROR(__xludf.DUMMYFUNCTION("""COMPUTED_VALUE"""),45454.63611111111)</f>
        <v>45454.63611</v>
      </c>
      <c r="K1510" s="22">
        <f>IFERROR(__xludf.DUMMYFUNCTION("""COMPUTED_VALUE"""),18.25)</f>
        <v>18.25</v>
      </c>
    </row>
    <row r="1511" ht="15.75" customHeight="1">
      <c r="A1511" s="25">
        <f>IFERROR(__xludf.DUMMYFUNCTION("""COMPUTED_VALUE"""),45455.66666666667)</f>
        <v>45455.66667</v>
      </c>
      <c r="B1511" s="22">
        <f>IFERROR(__xludf.DUMMYFUNCTION("""COMPUTED_VALUE"""),5421.03)</f>
        <v>5421.03</v>
      </c>
      <c r="C1511" s="25">
        <f>IFERROR(__xludf.DUMMYFUNCTION("""COMPUTED_VALUE"""),45455.63611111111)</f>
        <v>45455.63611</v>
      </c>
      <c r="D1511" s="22">
        <f>IFERROR(__xludf.DUMMYFUNCTION("""COMPUTED_VALUE"""),12.04)</f>
        <v>12.04</v>
      </c>
      <c r="F1511" s="25">
        <f>IFERROR(__xludf.DUMMYFUNCTION("""COMPUTED_VALUE"""),45455.63611111111)</f>
        <v>45455.63611</v>
      </c>
      <c r="G1511" s="22">
        <f>IFERROR(__xludf.DUMMYFUNCTION("""COMPUTED_VALUE"""),14.12)</f>
        <v>14.12</v>
      </c>
      <c r="H1511" s="25">
        <f>IFERROR(__xludf.DUMMYFUNCTION("""COMPUTED_VALUE"""),45455.63611111111)</f>
        <v>45455.63611</v>
      </c>
      <c r="I1511" s="22">
        <f>IFERROR(__xludf.DUMMYFUNCTION("""COMPUTED_VALUE"""),16.38)</f>
        <v>16.38</v>
      </c>
      <c r="J1511" s="25">
        <f>IFERROR(__xludf.DUMMYFUNCTION("""COMPUTED_VALUE"""),45455.63611111111)</f>
        <v>45455.63611</v>
      </c>
      <c r="K1511" s="22">
        <f>IFERROR(__xludf.DUMMYFUNCTION("""COMPUTED_VALUE"""),18.21)</f>
        <v>18.21</v>
      </c>
    </row>
    <row r="1512" ht="15.75" customHeight="1">
      <c r="A1512" s="25">
        <f>IFERROR(__xludf.DUMMYFUNCTION("""COMPUTED_VALUE"""),45456.66666666667)</f>
        <v>45456.66667</v>
      </c>
      <c r="B1512" s="22">
        <f>IFERROR(__xludf.DUMMYFUNCTION("""COMPUTED_VALUE"""),5433.74)</f>
        <v>5433.74</v>
      </c>
      <c r="C1512" s="25">
        <f>IFERROR(__xludf.DUMMYFUNCTION("""COMPUTED_VALUE"""),45456.63611111111)</f>
        <v>45456.63611</v>
      </c>
      <c r="D1512" s="22">
        <f>IFERROR(__xludf.DUMMYFUNCTION("""COMPUTED_VALUE"""),11.94)</f>
        <v>11.94</v>
      </c>
      <c r="F1512" s="25">
        <f>IFERROR(__xludf.DUMMYFUNCTION("""COMPUTED_VALUE"""),45456.63611111111)</f>
        <v>45456.63611</v>
      </c>
      <c r="G1512" s="22">
        <f>IFERROR(__xludf.DUMMYFUNCTION("""COMPUTED_VALUE"""),14.17)</f>
        <v>14.17</v>
      </c>
      <c r="H1512" s="25">
        <f>IFERROR(__xludf.DUMMYFUNCTION("""COMPUTED_VALUE"""),45456.63611111111)</f>
        <v>45456.63611</v>
      </c>
      <c r="I1512" s="22">
        <f>IFERROR(__xludf.DUMMYFUNCTION("""COMPUTED_VALUE"""),16.49)</f>
        <v>16.49</v>
      </c>
      <c r="J1512" s="25">
        <f>IFERROR(__xludf.DUMMYFUNCTION("""COMPUTED_VALUE"""),45456.63611111111)</f>
        <v>45456.63611</v>
      </c>
      <c r="K1512" s="22">
        <f>IFERROR(__xludf.DUMMYFUNCTION("""COMPUTED_VALUE"""),18.25)</f>
        <v>18.25</v>
      </c>
    </row>
    <row r="1513" ht="15.75" customHeight="1">
      <c r="A1513" s="25">
        <f>IFERROR(__xludf.DUMMYFUNCTION("""COMPUTED_VALUE"""),45457.66666666667)</f>
        <v>45457.66667</v>
      </c>
      <c r="B1513" s="22">
        <f>IFERROR(__xludf.DUMMYFUNCTION("""COMPUTED_VALUE"""),5431.6)</f>
        <v>5431.6</v>
      </c>
      <c r="C1513" s="25">
        <f>IFERROR(__xludf.DUMMYFUNCTION("""COMPUTED_VALUE"""),45457.63611111111)</f>
        <v>45457.63611</v>
      </c>
      <c r="D1513" s="22">
        <f>IFERROR(__xludf.DUMMYFUNCTION("""COMPUTED_VALUE"""),12.66)</f>
        <v>12.66</v>
      </c>
      <c r="F1513" s="25">
        <f>IFERROR(__xludf.DUMMYFUNCTION("""COMPUTED_VALUE"""),45457.63611111111)</f>
        <v>45457.63611</v>
      </c>
      <c r="G1513" s="22">
        <f>IFERROR(__xludf.DUMMYFUNCTION("""COMPUTED_VALUE"""),14.84)</f>
        <v>14.84</v>
      </c>
      <c r="H1513" s="25">
        <f>IFERROR(__xludf.DUMMYFUNCTION("""COMPUTED_VALUE"""),45457.63611111111)</f>
        <v>45457.63611</v>
      </c>
      <c r="I1513" s="22">
        <f>IFERROR(__xludf.DUMMYFUNCTION("""COMPUTED_VALUE"""),17.03)</f>
        <v>17.03</v>
      </c>
      <c r="J1513" s="25">
        <f>IFERROR(__xludf.DUMMYFUNCTION("""COMPUTED_VALUE"""),45457.63611111111)</f>
        <v>45457.63611</v>
      </c>
      <c r="K1513" s="22">
        <f>IFERROR(__xludf.DUMMYFUNCTION("""COMPUTED_VALUE"""),18.59)</f>
        <v>18.59</v>
      </c>
    </row>
    <row r="1514" ht="15.75" customHeight="1">
      <c r="A1514" s="25">
        <f>IFERROR(__xludf.DUMMYFUNCTION("""COMPUTED_VALUE"""),45460.66666666667)</f>
        <v>45460.66667</v>
      </c>
      <c r="B1514" s="22">
        <f>IFERROR(__xludf.DUMMYFUNCTION("""COMPUTED_VALUE"""),5473.23)</f>
        <v>5473.23</v>
      </c>
      <c r="C1514" s="25">
        <f>IFERROR(__xludf.DUMMYFUNCTION("""COMPUTED_VALUE"""),45460.63611111111)</f>
        <v>45460.63611</v>
      </c>
      <c r="D1514" s="22">
        <f>IFERROR(__xludf.DUMMYFUNCTION("""COMPUTED_VALUE"""),12.75)</f>
        <v>12.75</v>
      </c>
      <c r="F1514" s="25">
        <f>IFERROR(__xludf.DUMMYFUNCTION("""COMPUTED_VALUE"""),45460.63611111111)</f>
        <v>45460.63611</v>
      </c>
      <c r="G1514" s="22">
        <f>IFERROR(__xludf.DUMMYFUNCTION("""COMPUTED_VALUE"""),14.79)</f>
        <v>14.79</v>
      </c>
      <c r="H1514" s="25">
        <f>IFERROR(__xludf.DUMMYFUNCTION("""COMPUTED_VALUE"""),45460.63611111111)</f>
        <v>45460.63611</v>
      </c>
      <c r="I1514" s="22">
        <f>IFERROR(__xludf.DUMMYFUNCTION("""COMPUTED_VALUE"""),17.0)</f>
        <v>17</v>
      </c>
      <c r="J1514" s="25">
        <f>IFERROR(__xludf.DUMMYFUNCTION("""COMPUTED_VALUE"""),45460.63611111111)</f>
        <v>45460.63611</v>
      </c>
      <c r="K1514" s="22">
        <f>IFERROR(__xludf.DUMMYFUNCTION("""COMPUTED_VALUE"""),18.56)</f>
        <v>18.56</v>
      </c>
    </row>
    <row r="1515" ht="15.75" customHeight="1">
      <c r="A1515" s="25">
        <f>IFERROR(__xludf.DUMMYFUNCTION("""COMPUTED_VALUE"""),45461.66666666667)</f>
        <v>45461.66667</v>
      </c>
      <c r="B1515" s="22">
        <f>IFERROR(__xludf.DUMMYFUNCTION("""COMPUTED_VALUE"""),5487.03)</f>
        <v>5487.03</v>
      </c>
      <c r="C1515" s="25">
        <f>IFERROR(__xludf.DUMMYFUNCTION("""COMPUTED_VALUE"""),45461.63611111111)</f>
        <v>45461.63611</v>
      </c>
      <c r="D1515" s="22">
        <f>IFERROR(__xludf.DUMMYFUNCTION("""COMPUTED_VALUE"""),12.3)</f>
        <v>12.3</v>
      </c>
      <c r="F1515" s="25">
        <f>IFERROR(__xludf.DUMMYFUNCTION("""COMPUTED_VALUE"""),45461.63611111111)</f>
        <v>45461.63611</v>
      </c>
      <c r="G1515" s="22">
        <f>IFERROR(__xludf.DUMMYFUNCTION("""COMPUTED_VALUE"""),14.69)</f>
        <v>14.69</v>
      </c>
      <c r="H1515" s="25">
        <f>IFERROR(__xludf.DUMMYFUNCTION("""COMPUTED_VALUE"""),45461.63611111111)</f>
        <v>45461.63611</v>
      </c>
      <c r="I1515" s="22">
        <f>IFERROR(__xludf.DUMMYFUNCTION("""COMPUTED_VALUE"""),16.99)</f>
        <v>16.99</v>
      </c>
      <c r="J1515" s="25">
        <f>IFERROR(__xludf.DUMMYFUNCTION("""COMPUTED_VALUE"""),45461.63611111111)</f>
        <v>45461.63611</v>
      </c>
      <c r="K1515" s="22">
        <f>IFERROR(__xludf.DUMMYFUNCTION("""COMPUTED_VALUE"""),18.59)</f>
        <v>18.59</v>
      </c>
    </row>
    <row r="1516" ht="15.75" customHeight="1">
      <c r="A1516" s="25">
        <f>IFERROR(__xludf.DUMMYFUNCTION("""COMPUTED_VALUE"""),45463.66666666667)</f>
        <v>45463.66667</v>
      </c>
      <c r="B1516" s="22">
        <f>IFERROR(__xludf.DUMMYFUNCTION("""COMPUTED_VALUE"""),5473.17)</f>
        <v>5473.17</v>
      </c>
      <c r="C1516" s="25">
        <f>IFERROR(__xludf.DUMMYFUNCTION("""COMPUTED_VALUE"""),45463.63611111111)</f>
        <v>45463.63611</v>
      </c>
      <c r="D1516" s="22">
        <f>IFERROR(__xludf.DUMMYFUNCTION("""COMPUTED_VALUE"""),13.28)</f>
        <v>13.28</v>
      </c>
      <c r="F1516" s="25">
        <f>IFERROR(__xludf.DUMMYFUNCTION("""COMPUTED_VALUE"""),45463.63611111111)</f>
        <v>45463.63611</v>
      </c>
      <c r="G1516" s="22">
        <f>IFERROR(__xludf.DUMMYFUNCTION("""COMPUTED_VALUE"""),15.41)</f>
        <v>15.41</v>
      </c>
      <c r="H1516" s="25">
        <f>IFERROR(__xludf.DUMMYFUNCTION("""COMPUTED_VALUE"""),45463.63611111111)</f>
        <v>45463.63611</v>
      </c>
      <c r="I1516" s="22">
        <f>IFERROR(__xludf.DUMMYFUNCTION("""COMPUTED_VALUE"""),17.62)</f>
        <v>17.62</v>
      </c>
      <c r="J1516" s="25">
        <f>IFERROR(__xludf.DUMMYFUNCTION("""COMPUTED_VALUE"""),45463.63611111111)</f>
        <v>45463.63611</v>
      </c>
      <c r="K1516" s="22">
        <f>IFERROR(__xludf.DUMMYFUNCTION("""COMPUTED_VALUE"""),19.09)</f>
        <v>19.09</v>
      </c>
    </row>
    <row r="1517" ht="15.75" customHeight="1">
      <c r="A1517" s="25">
        <f>IFERROR(__xludf.DUMMYFUNCTION("""COMPUTED_VALUE"""),45464.66666666667)</f>
        <v>45464.66667</v>
      </c>
      <c r="B1517" s="22">
        <f>IFERROR(__xludf.DUMMYFUNCTION("""COMPUTED_VALUE"""),5464.62)</f>
        <v>5464.62</v>
      </c>
      <c r="C1517" s="25">
        <f>IFERROR(__xludf.DUMMYFUNCTION("""COMPUTED_VALUE"""),45464.63611111111)</f>
        <v>45464.63611</v>
      </c>
      <c r="D1517" s="22">
        <f>IFERROR(__xludf.DUMMYFUNCTION("""COMPUTED_VALUE"""),13.2)</f>
        <v>13.2</v>
      </c>
      <c r="F1517" s="25">
        <f>IFERROR(__xludf.DUMMYFUNCTION("""COMPUTED_VALUE"""),45464.63611111111)</f>
        <v>45464.63611</v>
      </c>
      <c r="G1517" s="22">
        <f>IFERROR(__xludf.DUMMYFUNCTION("""COMPUTED_VALUE"""),15.17)</f>
        <v>15.17</v>
      </c>
      <c r="H1517" s="25">
        <f>IFERROR(__xludf.DUMMYFUNCTION("""COMPUTED_VALUE"""),45464.63611111111)</f>
        <v>45464.63611</v>
      </c>
      <c r="I1517" s="22">
        <f>IFERROR(__xludf.DUMMYFUNCTION("""COMPUTED_VALUE"""),17.46)</f>
        <v>17.46</v>
      </c>
      <c r="J1517" s="25">
        <f>IFERROR(__xludf.DUMMYFUNCTION("""COMPUTED_VALUE"""),45464.63611111111)</f>
        <v>45464.63611</v>
      </c>
      <c r="K1517" s="22">
        <f>IFERROR(__xludf.DUMMYFUNCTION("""COMPUTED_VALUE"""),19.13)</f>
        <v>19.13</v>
      </c>
    </row>
    <row r="1518" ht="15.75" customHeight="1">
      <c r="A1518" s="25">
        <f>IFERROR(__xludf.DUMMYFUNCTION("""COMPUTED_VALUE"""),45467.66666666667)</f>
        <v>45467.66667</v>
      </c>
      <c r="B1518" s="22">
        <f>IFERROR(__xludf.DUMMYFUNCTION("""COMPUTED_VALUE"""),5447.87)</f>
        <v>5447.87</v>
      </c>
      <c r="C1518" s="25">
        <f>IFERROR(__xludf.DUMMYFUNCTION("""COMPUTED_VALUE"""),45467.63611111111)</f>
        <v>45467.63611</v>
      </c>
      <c r="D1518" s="22">
        <f>IFERROR(__xludf.DUMMYFUNCTION("""COMPUTED_VALUE"""),13.33)</f>
        <v>13.33</v>
      </c>
      <c r="F1518" s="25">
        <f>IFERROR(__xludf.DUMMYFUNCTION("""COMPUTED_VALUE"""),45467.63611111111)</f>
        <v>45467.63611</v>
      </c>
      <c r="G1518" s="22">
        <f>IFERROR(__xludf.DUMMYFUNCTION("""COMPUTED_VALUE"""),15.23)</f>
        <v>15.23</v>
      </c>
      <c r="H1518" s="25">
        <f>IFERROR(__xludf.DUMMYFUNCTION("""COMPUTED_VALUE"""),45467.63611111111)</f>
        <v>45467.63611</v>
      </c>
      <c r="I1518" s="22">
        <f>IFERROR(__xludf.DUMMYFUNCTION("""COMPUTED_VALUE"""),17.56)</f>
        <v>17.56</v>
      </c>
      <c r="J1518" s="25">
        <f>IFERROR(__xludf.DUMMYFUNCTION("""COMPUTED_VALUE"""),45467.63611111111)</f>
        <v>45467.63611</v>
      </c>
      <c r="K1518" s="22">
        <f>IFERROR(__xludf.DUMMYFUNCTION("""COMPUTED_VALUE"""),19.25)</f>
        <v>19.25</v>
      </c>
    </row>
    <row r="1519" ht="15.75" customHeight="1">
      <c r="A1519" s="25">
        <f>IFERROR(__xludf.DUMMYFUNCTION("""COMPUTED_VALUE"""),45468.66666666667)</f>
        <v>45468.66667</v>
      </c>
      <c r="B1519" s="22">
        <f>IFERROR(__xludf.DUMMYFUNCTION("""COMPUTED_VALUE"""),5469.3)</f>
        <v>5469.3</v>
      </c>
      <c r="C1519" s="25">
        <f>IFERROR(__xludf.DUMMYFUNCTION("""COMPUTED_VALUE"""),45468.63611111111)</f>
        <v>45468.63611</v>
      </c>
      <c r="D1519" s="22">
        <f>IFERROR(__xludf.DUMMYFUNCTION("""COMPUTED_VALUE"""),12.84)</f>
        <v>12.84</v>
      </c>
      <c r="F1519" s="25">
        <f>IFERROR(__xludf.DUMMYFUNCTION("""COMPUTED_VALUE"""),45468.63611111111)</f>
        <v>45468.63611</v>
      </c>
      <c r="G1519" s="22">
        <f>IFERROR(__xludf.DUMMYFUNCTION("""COMPUTED_VALUE"""),14.86)</f>
        <v>14.86</v>
      </c>
      <c r="H1519" s="25">
        <f>IFERROR(__xludf.DUMMYFUNCTION("""COMPUTED_VALUE"""),45468.63611111111)</f>
        <v>45468.63611</v>
      </c>
      <c r="I1519" s="22">
        <f>IFERROR(__xludf.DUMMYFUNCTION("""COMPUTED_VALUE"""),17.24)</f>
        <v>17.24</v>
      </c>
      <c r="J1519" s="25">
        <f>IFERROR(__xludf.DUMMYFUNCTION("""COMPUTED_VALUE"""),45468.63611111111)</f>
        <v>45468.63611</v>
      </c>
      <c r="K1519" s="22">
        <f>IFERROR(__xludf.DUMMYFUNCTION("""COMPUTED_VALUE"""),18.9)</f>
        <v>18.9</v>
      </c>
    </row>
    <row r="1520" ht="15.75" customHeight="1">
      <c r="A1520" s="25">
        <f>IFERROR(__xludf.DUMMYFUNCTION("""COMPUTED_VALUE"""),45469.66666666667)</f>
        <v>45469.66667</v>
      </c>
      <c r="B1520" s="22">
        <f>IFERROR(__xludf.DUMMYFUNCTION("""COMPUTED_VALUE"""),5477.9)</f>
        <v>5477.9</v>
      </c>
      <c r="C1520" s="25">
        <f>IFERROR(__xludf.DUMMYFUNCTION("""COMPUTED_VALUE"""),45469.63611111111)</f>
        <v>45469.63611</v>
      </c>
      <c r="D1520" s="22">
        <f>IFERROR(__xludf.DUMMYFUNCTION("""COMPUTED_VALUE"""),12.55)</f>
        <v>12.55</v>
      </c>
      <c r="F1520" s="25">
        <f>IFERROR(__xludf.DUMMYFUNCTION("""COMPUTED_VALUE"""),45469.63611111111)</f>
        <v>45469.63611</v>
      </c>
      <c r="G1520" s="22">
        <f>IFERROR(__xludf.DUMMYFUNCTION("""COMPUTED_VALUE"""),14.71)</f>
        <v>14.71</v>
      </c>
      <c r="H1520" s="25">
        <f>IFERROR(__xludf.DUMMYFUNCTION("""COMPUTED_VALUE"""),45469.63611111111)</f>
        <v>45469.63611</v>
      </c>
      <c r="I1520" s="22">
        <f>IFERROR(__xludf.DUMMYFUNCTION("""COMPUTED_VALUE"""),17.18)</f>
        <v>17.18</v>
      </c>
      <c r="J1520" s="25">
        <f>IFERROR(__xludf.DUMMYFUNCTION("""COMPUTED_VALUE"""),45469.63611111111)</f>
        <v>45469.63611</v>
      </c>
      <c r="K1520" s="22">
        <f>IFERROR(__xludf.DUMMYFUNCTION("""COMPUTED_VALUE"""),18.89)</f>
        <v>18.89</v>
      </c>
    </row>
    <row r="1521" ht="15.75" customHeight="1">
      <c r="A1521" s="25">
        <f>IFERROR(__xludf.DUMMYFUNCTION("""COMPUTED_VALUE"""),45470.66666666667)</f>
        <v>45470.66667</v>
      </c>
      <c r="B1521" s="22">
        <f>IFERROR(__xludf.DUMMYFUNCTION("""COMPUTED_VALUE"""),5482.87)</f>
        <v>5482.87</v>
      </c>
      <c r="C1521" s="25">
        <f>IFERROR(__xludf.DUMMYFUNCTION("""COMPUTED_VALUE"""),45470.63611111111)</f>
        <v>45470.63611</v>
      </c>
      <c r="D1521" s="22">
        <f>IFERROR(__xludf.DUMMYFUNCTION("""COMPUTED_VALUE"""),12.24)</f>
        <v>12.24</v>
      </c>
      <c r="F1521" s="25">
        <f>IFERROR(__xludf.DUMMYFUNCTION("""COMPUTED_VALUE"""),45470.63611111111)</f>
        <v>45470.63611</v>
      </c>
      <c r="G1521" s="22">
        <f>IFERROR(__xludf.DUMMYFUNCTION("""COMPUTED_VALUE"""),14.42)</f>
        <v>14.42</v>
      </c>
      <c r="H1521" s="25">
        <f>IFERROR(__xludf.DUMMYFUNCTION("""COMPUTED_VALUE"""),45470.63611111111)</f>
        <v>45470.63611</v>
      </c>
      <c r="I1521" s="22">
        <f>IFERROR(__xludf.DUMMYFUNCTION("""COMPUTED_VALUE"""),16.92)</f>
        <v>16.92</v>
      </c>
      <c r="J1521" s="25">
        <f>IFERROR(__xludf.DUMMYFUNCTION("""COMPUTED_VALUE"""),45470.63611111111)</f>
        <v>45470.63611</v>
      </c>
      <c r="K1521" s="22">
        <f>IFERROR(__xludf.DUMMYFUNCTION("""COMPUTED_VALUE"""),18.66)</f>
        <v>18.66</v>
      </c>
    </row>
    <row r="1522" ht="15.75" customHeight="1">
      <c r="A1522" s="25">
        <f>IFERROR(__xludf.DUMMYFUNCTION("""COMPUTED_VALUE"""),45471.66666666667)</f>
        <v>45471.66667</v>
      </c>
      <c r="B1522" s="22">
        <f>IFERROR(__xludf.DUMMYFUNCTION("""COMPUTED_VALUE"""),5460.48)</f>
        <v>5460.48</v>
      </c>
      <c r="C1522" s="25">
        <f>IFERROR(__xludf.DUMMYFUNCTION("""COMPUTED_VALUE"""),45471.63611111111)</f>
        <v>45471.63611</v>
      </c>
      <c r="D1522" s="22">
        <f>IFERROR(__xludf.DUMMYFUNCTION("""COMPUTED_VALUE"""),12.44)</f>
        <v>12.44</v>
      </c>
      <c r="F1522" s="25">
        <f>IFERROR(__xludf.DUMMYFUNCTION("""COMPUTED_VALUE"""),45471.63611111111)</f>
        <v>45471.63611</v>
      </c>
      <c r="G1522" s="22">
        <f>IFERROR(__xludf.DUMMYFUNCTION("""COMPUTED_VALUE"""),14.52)</f>
        <v>14.52</v>
      </c>
      <c r="H1522" s="25">
        <f>IFERROR(__xludf.DUMMYFUNCTION("""COMPUTED_VALUE"""),45471.63611111111)</f>
        <v>45471.63611</v>
      </c>
      <c r="I1522" s="22">
        <f>IFERROR(__xludf.DUMMYFUNCTION("""COMPUTED_VALUE"""),16.95)</f>
        <v>16.95</v>
      </c>
      <c r="J1522" s="25">
        <f>IFERROR(__xludf.DUMMYFUNCTION("""COMPUTED_VALUE"""),45471.63611111111)</f>
        <v>45471.63611</v>
      </c>
      <c r="K1522" s="22">
        <f>IFERROR(__xludf.DUMMYFUNCTION("""COMPUTED_VALUE"""),18.73)</f>
        <v>18.73</v>
      </c>
    </row>
    <row r="1523" ht="15.75" customHeight="1">
      <c r="A1523" s="25">
        <f>IFERROR(__xludf.DUMMYFUNCTION("""COMPUTED_VALUE"""),45474.66666666667)</f>
        <v>45474.66667</v>
      </c>
      <c r="B1523" s="22">
        <f>IFERROR(__xludf.DUMMYFUNCTION("""COMPUTED_VALUE"""),5475.09)</f>
        <v>5475.09</v>
      </c>
      <c r="C1523" s="25">
        <f>IFERROR(__xludf.DUMMYFUNCTION("""COMPUTED_VALUE"""),45474.63611111111)</f>
        <v>45474.63611</v>
      </c>
      <c r="D1523" s="22">
        <f>IFERROR(__xludf.DUMMYFUNCTION("""COMPUTED_VALUE"""),12.22)</f>
        <v>12.22</v>
      </c>
      <c r="F1523" s="25">
        <f>IFERROR(__xludf.DUMMYFUNCTION("""COMPUTED_VALUE"""),45474.63611111111)</f>
        <v>45474.63611</v>
      </c>
      <c r="G1523" s="22">
        <f>IFERROR(__xludf.DUMMYFUNCTION("""COMPUTED_VALUE"""),14.19)</f>
        <v>14.19</v>
      </c>
      <c r="H1523" s="25">
        <f>IFERROR(__xludf.DUMMYFUNCTION("""COMPUTED_VALUE"""),45474.63611111111)</f>
        <v>45474.63611</v>
      </c>
      <c r="I1523" s="22">
        <f>IFERROR(__xludf.DUMMYFUNCTION("""COMPUTED_VALUE"""),16.68)</f>
        <v>16.68</v>
      </c>
      <c r="J1523" s="25">
        <f>IFERROR(__xludf.DUMMYFUNCTION("""COMPUTED_VALUE"""),45474.63611111111)</f>
        <v>45474.63611</v>
      </c>
      <c r="K1523" s="22">
        <f>IFERROR(__xludf.DUMMYFUNCTION("""COMPUTED_VALUE"""),18.48)</f>
        <v>18.48</v>
      </c>
    </row>
    <row r="1524" ht="15.75" customHeight="1">
      <c r="A1524" s="25">
        <f>IFERROR(__xludf.DUMMYFUNCTION("""COMPUTED_VALUE"""),45475.66666666667)</f>
        <v>45475.66667</v>
      </c>
      <c r="B1524" s="22">
        <f>IFERROR(__xludf.DUMMYFUNCTION("""COMPUTED_VALUE"""),5509.01)</f>
        <v>5509.01</v>
      </c>
      <c r="C1524" s="25">
        <f>IFERROR(__xludf.DUMMYFUNCTION("""COMPUTED_VALUE"""),45475.63611111111)</f>
        <v>45475.63611</v>
      </c>
      <c r="D1524" s="22">
        <f>IFERROR(__xludf.DUMMYFUNCTION("""COMPUTED_VALUE"""),12.03)</f>
        <v>12.03</v>
      </c>
      <c r="F1524" s="25">
        <f>IFERROR(__xludf.DUMMYFUNCTION("""COMPUTED_VALUE"""),45475.63611111111)</f>
        <v>45475.63611</v>
      </c>
      <c r="G1524" s="22">
        <f>IFERROR(__xludf.DUMMYFUNCTION("""COMPUTED_VALUE"""),14.01)</f>
        <v>14.01</v>
      </c>
      <c r="H1524" s="25">
        <f>IFERROR(__xludf.DUMMYFUNCTION("""COMPUTED_VALUE"""),45475.63611111111)</f>
        <v>45475.63611</v>
      </c>
      <c r="I1524" s="22">
        <f>IFERROR(__xludf.DUMMYFUNCTION("""COMPUTED_VALUE"""),16.53)</f>
        <v>16.53</v>
      </c>
      <c r="J1524" s="25">
        <f>IFERROR(__xludf.DUMMYFUNCTION("""COMPUTED_VALUE"""),45475.63611111111)</f>
        <v>45475.63611</v>
      </c>
      <c r="K1524" s="22">
        <f>IFERROR(__xludf.DUMMYFUNCTION("""COMPUTED_VALUE"""),18.38)</f>
        <v>18.38</v>
      </c>
    </row>
    <row r="1525" ht="15.75" customHeight="1">
      <c r="A1525" s="25">
        <f>IFERROR(__xludf.DUMMYFUNCTION("""COMPUTED_VALUE"""),45476.54166666667)</f>
        <v>45476.54167</v>
      </c>
      <c r="B1525" s="22">
        <f>IFERROR(__xludf.DUMMYFUNCTION("""COMPUTED_VALUE"""),5537.02)</f>
        <v>5537.02</v>
      </c>
      <c r="C1525" s="25">
        <f>IFERROR(__xludf.DUMMYFUNCTION("""COMPUTED_VALUE"""),45476.54166666667)</f>
        <v>45476.54167</v>
      </c>
      <c r="D1525" s="22">
        <f>IFERROR(__xludf.DUMMYFUNCTION("""COMPUTED_VALUE"""),12.09)</f>
        <v>12.09</v>
      </c>
      <c r="F1525" s="25">
        <f>IFERROR(__xludf.DUMMYFUNCTION("""COMPUTED_VALUE"""),45476.54166666667)</f>
        <v>45476.54167</v>
      </c>
      <c r="G1525" s="22">
        <f>IFERROR(__xludf.DUMMYFUNCTION("""COMPUTED_VALUE"""),14.02)</f>
        <v>14.02</v>
      </c>
      <c r="H1525" s="25">
        <f>IFERROR(__xludf.DUMMYFUNCTION("""COMPUTED_VALUE"""),45476.54166666667)</f>
        <v>45476.54167</v>
      </c>
      <c r="I1525" s="22">
        <f>IFERROR(__xludf.DUMMYFUNCTION("""COMPUTED_VALUE"""),16.55)</f>
        <v>16.55</v>
      </c>
      <c r="J1525" s="25">
        <f>IFERROR(__xludf.DUMMYFUNCTION("""COMPUTED_VALUE"""),45476.54166666667)</f>
        <v>45476.54167</v>
      </c>
      <c r="K1525" s="22">
        <f>IFERROR(__xludf.DUMMYFUNCTION("""COMPUTED_VALUE"""),18.4)</f>
        <v>18.4</v>
      </c>
    </row>
    <row r="1526" ht="15.75" customHeight="1">
      <c r="A1526" s="25">
        <f>IFERROR(__xludf.DUMMYFUNCTION("""COMPUTED_VALUE"""),45478.66666666667)</f>
        <v>45478.66667</v>
      </c>
      <c r="B1526" s="22">
        <f>IFERROR(__xludf.DUMMYFUNCTION("""COMPUTED_VALUE"""),5567.19)</f>
        <v>5567.19</v>
      </c>
      <c r="C1526" s="25">
        <f>IFERROR(__xludf.DUMMYFUNCTION("""COMPUTED_VALUE"""),45478.63611111111)</f>
        <v>45478.63611</v>
      </c>
      <c r="D1526" s="22">
        <f>IFERROR(__xludf.DUMMYFUNCTION("""COMPUTED_VALUE"""),12.48)</f>
        <v>12.48</v>
      </c>
      <c r="F1526" s="25">
        <f>IFERROR(__xludf.DUMMYFUNCTION("""COMPUTED_VALUE"""),45478.63611111111)</f>
        <v>45478.63611</v>
      </c>
      <c r="G1526" s="22">
        <f>IFERROR(__xludf.DUMMYFUNCTION("""COMPUTED_VALUE"""),14.35)</f>
        <v>14.35</v>
      </c>
      <c r="H1526" s="25">
        <f>IFERROR(__xludf.DUMMYFUNCTION("""COMPUTED_VALUE"""),45478.63611111111)</f>
        <v>45478.63611</v>
      </c>
      <c r="I1526" s="22">
        <f>IFERROR(__xludf.DUMMYFUNCTION("""COMPUTED_VALUE"""),16.71)</f>
        <v>16.71</v>
      </c>
      <c r="J1526" s="25">
        <f>IFERROR(__xludf.DUMMYFUNCTION("""COMPUTED_VALUE"""),45478.63611111111)</f>
        <v>45478.63611</v>
      </c>
      <c r="K1526" s="22">
        <f>IFERROR(__xludf.DUMMYFUNCTION("""COMPUTED_VALUE"""),18.44)</f>
        <v>18.44</v>
      </c>
    </row>
    <row r="1527" ht="15.75" customHeight="1">
      <c r="A1527" s="25">
        <f>IFERROR(__xludf.DUMMYFUNCTION("""COMPUTED_VALUE"""),45481.66666666667)</f>
        <v>45481.66667</v>
      </c>
      <c r="B1527" s="22">
        <f>IFERROR(__xludf.DUMMYFUNCTION("""COMPUTED_VALUE"""),5572.85)</f>
        <v>5572.85</v>
      </c>
      <c r="C1527" s="25">
        <f>IFERROR(__xludf.DUMMYFUNCTION("""COMPUTED_VALUE"""),45481.63611111111)</f>
        <v>45481.63611</v>
      </c>
      <c r="D1527" s="22">
        <f>IFERROR(__xludf.DUMMYFUNCTION("""COMPUTED_VALUE"""),12.37)</f>
        <v>12.37</v>
      </c>
      <c r="F1527" s="25">
        <f>IFERROR(__xludf.DUMMYFUNCTION("""COMPUTED_VALUE"""),45481.63611111111)</f>
        <v>45481.63611</v>
      </c>
      <c r="G1527" s="22">
        <f>IFERROR(__xludf.DUMMYFUNCTION("""COMPUTED_VALUE"""),14.29)</f>
        <v>14.29</v>
      </c>
      <c r="H1527" s="25">
        <f>IFERROR(__xludf.DUMMYFUNCTION("""COMPUTED_VALUE"""),45481.63611111111)</f>
        <v>45481.63611</v>
      </c>
      <c r="I1527" s="22">
        <f>IFERROR(__xludf.DUMMYFUNCTION("""COMPUTED_VALUE"""),16.65)</f>
        <v>16.65</v>
      </c>
      <c r="J1527" s="25">
        <f>IFERROR(__xludf.DUMMYFUNCTION("""COMPUTED_VALUE"""),45481.63611111111)</f>
        <v>45481.63611</v>
      </c>
      <c r="K1527" s="22">
        <f>IFERROR(__xludf.DUMMYFUNCTION("""COMPUTED_VALUE"""),18.38)</f>
        <v>18.38</v>
      </c>
    </row>
    <row r="1528" ht="15.75" customHeight="1">
      <c r="A1528" s="25">
        <f>IFERROR(__xludf.DUMMYFUNCTION("""COMPUTED_VALUE"""),45482.66666666667)</f>
        <v>45482.66667</v>
      </c>
      <c r="B1528" s="22">
        <f>IFERROR(__xludf.DUMMYFUNCTION("""COMPUTED_VALUE"""),5576.98)</f>
        <v>5576.98</v>
      </c>
      <c r="C1528" s="25">
        <f>IFERROR(__xludf.DUMMYFUNCTION("""COMPUTED_VALUE"""),45482.63611111111)</f>
        <v>45482.63611</v>
      </c>
      <c r="D1528" s="22">
        <f>IFERROR(__xludf.DUMMYFUNCTION("""COMPUTED_VALUE"""),12.51)</f>
        <v>12.51</v>
      </c>
      <c r="F1528" s="25">
        <f>IFERROR(__xludf.DUMMYFUNCTION("""COMPUTED_VALUE"""),45482.63611111111)</f>
        <v>45482.63611</v>
      </c>
      <c r="G1528" s="22">
        <f>IFERROR(__xludf.DUMMYFUNCTION("""COMPUTED_VALUE"""),14.39)</f>
        <v>14.39</v>
      </c>
      <c r="H1528" s="25">
        <f>IFERROR(__xludf.DUMMYFUNCTION("""COMPUTED_VALUE"""),45482.63611111111)</f>
        <v>45482.63611</v>
      </c>
      <c r="I1528" s="22">
        <f>IFERROR(__xludf.DUMMYFUNCTION("""COMPUTED_VALUE"""),16.77)</f>
        <v>16.77</v>
      </c>
      <c r="J1528" s="25">
        <f>IFERROR(__xludf.DUMMYFUNCTION("""COMPUTED_VALUE"""),45482.63611111111)</f>
        <v>45482.63611</v>
      </c>
      <c r="K1528" s="22">
        <f>IFERROR(__xludf.DUMMYFUNCTION("""COMPUTED_VALUE"""),18.48)</f>
        <v>18.48</v>
      </c>
    </row>
    <row r="1529" ht="15.75" customHeight="1">
      <c r="A1529" s="25">
        <f>IFERROR(__xludf.DUMMYFUNCTION("""COMPUTED_VALUE"""),45483.66666666667)</f>
        <v>45483.66667</v>
      </c>
      <c r="B1529" s="22">
        <f>IFERROR(__xludf.DUMMYFUNCTION("""COMPUTED_VALUE"""),5633.91)</f>
        <v>5633.91</v>
      </c>
      <c r="C1529" s="25">
        <f>IFERROR(__xludf.DUMMYFUNCTION("""COMPUTED_VALUE"""),45483.63611111111)</f>
        <v>45483.63611</v>
      </c>
      <c r="D1529" s="22">
        <f>IFERROR(__xludf.DUMMYFUNCTION("""COMPUTED_VALUE"""),12.85)</f>
        <v>12.85</v>
      </c>
      <c r="F1529" s="25">
        <f>IFERROR(__xludf.DUMMYFUNCTION("""COMPUTED_VALUE"""),45483.63611111111)</f>
        <v>45483.63611</v>
      </c>
      <c r="G1529" s="22">
        <f>IFERROR(__xludf.DUMMYFUNCTION("""COMPUTED_VALUE"""),14.5)</f>
        <v>14.5</v>
      </c>
      <c r="H1529" s="25">
        <f>IFERROR(__xludf.DUMMYFUNCTION("""COMPUTED_VALUE"""),45483.63611111111)</f>
        <v>45483.63611</v>
      </c>
      <c r="I1529" s="22">
        <f>IFERROR(__xludf.DUMMYFUNCTION("""COMPUTED_VALUE"""),16.8)</f>
        <v>16.8</v>
      </c>
      <c r="J1529" s="25">
        <f>IFERROR(__xludf.DUMMYFUNCTION("""COMPUTED_VALUE"""),45483.63611111111)</f>
        <v>45483.63611</v>
      </c>
      <c r="K1529" s="22">
        <f>IFERROR(__xludf.DUMMYFUNCTION("""COMPUTED_VALUE"""),18.5)</f>
        <v>18.5</v>
      </c>
    </row>
    <row r="1530" ht="15.75" customHeight="1">
      <c r="A1530" s="25">
        <f>IFERROR(__xludf.DUMMYFUNCTION("""COMPUTED_VALUE"""),45484.66666666667)</f>
        <v>45484.66667</v>
      </c>
      <c r="B1530" s="22">
        <f>IFERROR(__xludf.DUMMYFUNCTION("""COMPUTED_VALUE"""),5584.54)</f>
        <v>5584.54</v>
      </c>
      <c r="C1530" s="25">
        <f>IFERROR(__xludf.DUMMYFUNCTION("""COMPUTED_VALUE"""),45484.63611111111)</f>
        <v>45484.63611</v>
      </c>
      <c r="D1530" s="22">
        <f>IFERROR(__xludf.DUMMYFUNCTION("""COMPUTED_VALUE"""),12.92)</f>
        <v>12.92</v>
      </c>
      <c r="F1530" s="25">
        <f>IFERROR(__xludf.DUMMYFUNCTION("""COMPUTED_VALUE"""),45484.63611111111)</f>
        <v>45484.63611</v>
      </c>
      <c r="G1530" s="22">
        <f>IFERROR(__xludf.DUMMYFUNCTION("""COMPUTED_VALUE"""),14.67)</f>
        <v>14.67</v>
      </c>
      <c r="H1530" s="25">
        <f>IFERROR(__xludf.DUMMYFUNCTION("""COMPUTED_VALUE"""),45484.63611111111)</f>
        <v>45484.63611</v>
      </c>
      <c r="I1530" s="22">
        <f>IFERROR(__xludf.DUMMYFUNCTION("""COMPUTED_VALUE"""),16.99)</f>
        <v>16.99</v>
      </c>
      <c r="J1530" s="25">
        <f>IFERROR(__xludf.DUMMYFUNCTION("""COMPUTED_VALUE"""),45484.63611111111)</f>
        <v>45484.63611</v>
      </c>
      <c r="K1530" s="22">
        <f>IFERROR(__xludf.DUMMYFUNCTION("""COMPUTED_VALUE"""),18.8)</f>
        <v>18.8</v>
      </c>
    </row>
    <row r="1531" ht="15.75" customHeight="1">
      <c r="A1531" s="25">
        <f>IFERROR(__xludf.DUMMYFUNCTION("""COMPUTED_VALUE"""),45485.66666666667)</f>
        <v>45485.66667</v>
      </c>
      <c r="B1531" s="22">
        <f>IFERROR(__xludf.DUMMYFUNCTION("""COMPUTED_VALUE"""),5615.35)</f>
        <v>5615.35</v>
      </c>
      <c r="C1531" s="25">
        <f>IFERROR(__xludf.DUMMYFUNCTION("""COMPUTED_VALUE"""),45485.63611111111)</f>
        <v>45485.63611</v>
      </c>
      <c r="D1531" s="22">
        <f>IFERROR(__xludf.DUMMYFUNCTION("""COMPUTED_VALUE"""),12.46)</f>
        <v>12.46</v>
      </c>
      <c r="F1531" s="25">
        <f>IFERROR(__xludf.DUMMYFUNCTION("""COMPUTED_VALUE"""),45485.63611111111)</f>
        <v>45485.63611</v>
      </c>
      <c r="G1531" s="22">
        <f>IFERROR(__xludf.DUMMYFUNCTION("""COMPUTED_VALUE"""),14.37)</f>
        <v>14.37</v>
      </c>
      <c r="H1531" s="25">
        <f>IFERROR(__xludf.DUMMYFUNCTION("""COMPUTED_VALUE"""),45485.63611111111)</f>
        <v>45485.63611</v>
      </c>
      <c r="I1531" s="22">
        <f>IFERROR(__xludf.DUMMYFUNCTION("""COMPUTED_VALUE"""),16.8)</f>
        <v>16.8</v>
      </c>
      <c r="J1531" s="25">
        <f>IFERROR(__xludf.DUMMYFUNCTION("""COMPUTED_VALUE"""),45485.63611111111)</f>
        <v>45485.63611</v>
      </c>
      <c r="K1531" s="22">
        <f>IFERROR(__xludf.DUMMYFUNCTION("""COMPUTED_VALUE"""),18.61)</f>
        <v>18.61</v>
      </c>
    </row>
    <row r="1532" ht="15.75" customHeight="1">
      <c r="A1532" s="25">
        <f>IFERROR(__xludf.DUMMYFUNCTION("""COMPUTED_VALUE"""),45488.66666666667)</f>
        <v>45488.66667</v>
      </c>
      <c r="B1532" s="22">
        <f>IFERROR(__xludf.DUMMYFUNCTION("""COMPUTED_VALUE"""),5631.22)</f>
        <v>5631.22</v>
      </c>
      <c r="C1532" s="25">
        <f>IFERROR(__xludf.DUMMYFUNCTION("""COMPUTED_VALUE"""),45488.63611111111)</f>
        <v>45488.63611</v>
      </c>
      <c r="D1532" s="22">
        <f>IFERROR(__xludf.DUMMYFUNCTION("""COMPUTED_VALUE"""),13.12)</f>
        <v>13.12</v>
      </c>
      <c r="F1532" s="25">
        <f>IFERROR(__xludf.DUMMYFUNCTION("""COMPUTED_VALUE"""),45488.63611111111)</f>
        <v>45488.63611</v>
      </c>
      <c r="G1532" s="22">
        <f>IFERROR(__xludf.DUMMYFUNCTION("""COMPUTED_VALUE"""),14.87)</f>
        <v>14.87</v>
      </c>
      <c r="H1532" s="25">
        <f>IFERROR(__xludf.DUMMYFUNCTION("""COMPUTED_VALUE"""),45488.63611111111)</f>
        <v>45488.63611</v>
      </c>
      <c r="I1532" s="22">
        <f>IFERROR(__xludf.DUMMYFUNCTION("""COMPUTED_VALUE"""),17.07)</f>
        <v>17.07</v>
      </c>
      <c r="J1532" s="25">
        <f>IFERROR(__xludf.DUMMYFUNCTION("""COMPUTED_VALUE"""),45488.63611111111)</f>
        <v>45488.63611</v>
      </c>
      <c r="K1532" s="22">
        <f>IFERROR(__xludf.DUMMYFUNCTION("""COMPUTED_VALUE"""),18.86)</f>
        <v>18.86</v>
      </c>
    </row>
    <row r="1533" ht="15.75" customHeight="1">
      <c r="A1533" s="25">
        <f>IFERROR(__xludf.DUMMYFUNCTION("""COMPUTED_VALUE"""),45489.66666666667)</f>
        <v>45489.66667</v>
      </c>
      <c r="B1533" s="22">
        <f>IFERROR(__xludf.DUMMYFUNCTION("""COMPUTED_VALUE"""),5667.2)</f>
        <v>5667.2</v>
      </c>
      <c r="C1533" s="25">
        <f>IFERROR(__xludf.DUMMYFUNCTION("""COMPUTED_VALUE"""),45489.63611111111)</f>
        <v>45489.63611</v>
      </c>
      <c r="D1533" s="22">
        <f>IFERROR(__xludf.DUMMYFUNCTION("""COMPUTED_VALUE"""),13.19)</f>
        <v>13.19</v>
      </c>
      <c r="F1533" s="25">
        <f>IFERROR(__xludf.DUMMYFUNCTION("""COMPUTED_VALUE"""),45489.63611111111)</f>
        <v>45489.63611</v>
      </c>
      <c r="G1533" s="22">
        <f>IFERROR(__xludf.DUMMYFUNCTION("""COMPUTED_VALUE"""),14.91)</f>
        <v>14.91</v>
      </c>
      <c r="H1533" s="25">
        <f>IFERROR(__xludf.DUMMYFUNCTION("""COMPUTED_VALUE"""),45489.63611111111)</f>
        <v>45489.63611</v>
      </c>
      <c r="I1533" s="22">
        <f>IFERROR(__xludf.DUMMYFUNCTION("""COMPUTED_VALUE"""),17.15)</f>
        <v>17.15</v>
      </c>
      <c r="J1533" s="25">
        <f>IFERROR(__xludf.DUMMYFUNCTION("""COMPUTED_VALUE"""),45489.63611111111)</f>
        <v>45489.63611</v>
      </c>
      <c r="K1533" s="22">
        <f>IFERROR(__xludf.DUMMYFUNCTION("""COMPUTED_VALUE"""),18.86)</f>
        <v>18.86</v>
      </c>
    </row>
    <row r="1534" ht="15.75" customHeight="1">
      <c r="A1534" s="25">
        <f>IFERROR(__xludf.DUMMYFUNCTION("""COMPUTED_VALUE"""),45490.66666666667)</f>
        <v>45490.66667</v>
      </c>
      <c r="B1534" s="22">
        <f>IFERROR(__xludf.DUMMYFUNCTION("""COMPUTED_VALUE"""),5588.27)</f>
        <v>5588.27</v>
      </c>
      <c r="C1534" s="25">
        <f>IFERROR(__xludf.DUMMYFUNCTION("""COMPUTED_VALUE"""),45490.63611111111)</f>
        <v>45490.63611</v>
      </c>
      <c r="D1534" s="22">
        <f>IFERROR(__xludf.DUMMYFUNCTION("""COMPUTED_VALUE"""),14.48)</f>
        <v>14.48</v>
      </c>
      <c r="F1534" s="25">
        <f>IFERROR(__xludf.DUMMYFUNCTION("""COMPUTED_VALUE"""),45490.63611111111)</f>
        <v>45490.63611</v>
      </c>
      <c r="G1534" s="22">
        <f>IFERROR(__xludf.DUMMYFUNCTION("""COMPUTED_VALUE"""),15.79)</f>
        <v>15.79</v>
      </c>
      <c r="H1534" s="25">
        <f>IFERROR(__xludf.DUMMYFUNCTION("""COMPUTED_VALUE"""),45490.63611111111)</f>
        <v>45490.63611</v>
      </c>
      <c r="I1534" s="22">
        <f>IFERROR(__xludf.DUMMYFUNCTION("""COMPUTED_VALUE"""),17.73)</f>
        <v>17.73</v>
      </c>
      <c r="J1534" s="25">
        <f>IFERROR(__xludf.DUMMYFUNCTION("""COMPUTED_VALUE"""),45490.63611111111)</f>
        <v>45490.63611</v>
      </c>
      <c r="K1534" s="22">
        <f>IFERROR(__xludf.DUMMYFUNCTION("""COMPUTED_VALUE"""),19.28)</f>
        <v>19.28</v>
      </c>
    </row>
    <row r="1535" ht="15.75" customHeight="1">
      <c r="A1535" s="25">
        <f>IFERROR(__xludf.DUMMYFUNCTION("""COMPUTED_VALUE"""),45491.66666666667)</f>
        <v>45491.66667</v>
      </c>
      <c r="B1535" s="22">
        <f>IFERROR(__xludf.DUMMYFUNCTION("""COMPUTED_VALUE"""),5544.59)</f>
        <v>5544.59</v>
      </c>
      <c r="C1535" s="25">
        <f>IFERROR(__xludf.DUMMYFUNCTION("""COMPUTED_VALUE"""),45491.63611111111)</f>
        <v>45491.63611</v>
      </c>
      <c r="D1535" s="22">
        <f>IFERROR(__xludf.DUMMYFUNCTION("""COMPUTED_VALUE"""),15.93)</f>
        <v>15.93</v>
      </c>
      <c r="F1535" s="25">
        <f>IFERROR(__xludf.DUMMYFUNCTION("""COMPUTED_VALUE"""),45491.63611111111)</f>
        <v>45491.63611</v>
      </c>
      <c r="G1535" s="22">
        <f>IFERROR(__xludf.DUMMYFUNCTION("""COMPUTED_VALUE"""),16.56)</f>
        <v>16.56</v>
      </c>
      <c r="H1535" s="25">
        <f>IFERROR(__xludf.DUMMYFUNCTION("""COMPUTED_VALUE"""),45491.63611111111)</f>
        <v>45491.63611</v>
      </c>
      <c r="I1535" s="22">
        <f>IFERROR(__xludf.DUMMYFUNCTION("""COMPUTED_VALUE"""),18.2)</f>
        <v>18.2</v>
      </c>
      <c r="J1535" s="25">
        <f>IFERROR(__xludf.DUMMYFUNCTION("""COMPUTED_VALUE"""),45491.63611111111)</f>
        <v>45491.63611</v>
      </c>
      <c r="K1535" s="22">
        <f>IFERROR(__xludf.DUMMYFUNCTION("""COMPUTED_VALUE"""),19.55)</f>
        <v>19.55</v>
      </c>
    </row>
    <row r="1536" ht="15.75" customHeight="1">
      <c r="A1536" s="25">
        <f>IFERROR(__xludf.DUMMYFUNCTION("""COMPUTED_VALUE"""),45492.66666666667)</f>
        <v>45492.66667</v>
      </c>
      <c r="B1536" s="22">
        <f>IFERROR(__xludf.DUMMYFUNCTION("""COMPUTED_VALUE"""),5505.0)</f>
        <v>5505</v>
      </c>
      <c r="C1536" s="25">
        <f>IFERROR(__xludf.DUMMYFUNCTION("""COMPUTED_VALUE"""),45492.63611111111)</f>
        <v>45492.63611</v>
      </c>
      <c r="D1536" s="22">
        <f>IFERROR(__xludf.DUMMYFUNCTION("""COMPUTED_VALUE"""),16.52)</f>
        <v>16.52</v>
      </c>
      <c r="F1536" s="25">
        <f>IFERROR(__xludf.DUMMYFUNCTION("""COMPUTED_VALUE"""),45492.63611111111)</f>
        <v>45492.63611</v>
      </c>
      <c r="G1536" s="22">
        <f>IFERROR(__xludf.DUMMYFUNCTION("""COMPUTED_VALUE"""),17.16)</f>
        <v>17.16</v>
      </c>
      <c r="H1536" s="25">
        <f>IFERROR(__xludf.DUMMYFUNCTION("""COMPUTED_VALUE"""),45492.63611111111)</f>
        <v>45492.63611</v>
      </c>
      <c r="I1536" s="22">
        <f>IFERROR(__xludf.DUMMYFUNCTION("""COMPUTED_VALUE"""),18.64)</f>
        <v>18.64</v>
      </c>
      <c r="J1536" s="25">
        <f>IFERROR(__xludf.DUMMYFUNCTION("""COMPUTED_VALUE"""),45492.63611111111)</f>
        <v>45492.63611</v>
      </c>
      <c r="K1536" s="22">
        <f>IFERROR(__xludf.DUMMYFUNCTION("""COMPUTED_VALUE"""),19.83)</f>
        <v>19.83</v>
      </c>
    </row>
    <row r="1537" ht="15.75" customHeight="1">
      <c r="A1537" s="25">
        <f>IFERROR(__xludf.DUMMYFUNCTION("""COMPUTED_VALUE"""),45495.66666666667)</f>
        <v>45495.66667</v>
      </c>
      <c r="B1537" s="22">
        <f>IFERROR(__xludf.DUMMYFUNCTION("""COMPUTED_VALUE"""),5564.41)</f>
        <v>5564.41</v>
      </c>
      <c r="C1537" s="25">
        <f>IFERROR(__xludf.DUMMYFUNCTION("""COMPUTED_VALUE"""),45495.63611111111)</f>
        <v>45495.63611</v>
      </c>
      <c r="D1537" s="22">
        <f>IFERROR(__xludf.DUMMYFUNCTION("""COMPUTED_VALUE"""),14.91)</f>
        <v>14.91</v>
      </c>
      <c r="F1537" s="25">
        <f>IFERROR(__xludf.DUMMYFUNCTION("""COMPUTED_VALUE"""),45495.63611111111)</f>
        <v>45495.63611</v>
      </c>
      <c r="G1537" s="22">
        <f>IFERROR(__xludf.DUMMYFUNCTION("""COMPUTED_VALUE"""),16.09)</f>
        <v>16.09</v>
      </c>
      <c r="H1537" s="25">
        <f>IFERROR(__xludf.DUMMYFUNCTION("""COMPUTED_VALUE"""),45495.63611111111)</f>
        <v>45495.63611</v>
      </c>
      <c r="I1537" s="22">
        <f>IFERROR(__xludf.DUMMYFUNCTION("""COMPUTED_VALUE"""),17.93)</f>
        <v>17.93</v>
      </c>
      <c r="J1537" s="25">
        <f>IFERROR(__xludf.DUMMYFUNCTION("""COMPUTED_VALUE"""),45495.63611111111)</f>
        <v>45495.63611</v>
      </c>
      <c r="K1537" s="22">
        <f>IFERROR(__xludf.DUMMYFUNCTION("""COMPUTED_VALUE"""),19.35)</f>
        <v>19.35</v>
      </c>
    </row>
    <row r="1538" ht="15.75" customHeight="1">
      <c r="A1538" s="25">
        <f>IFERROR(__xludf.DUMMYFUNCTION("""COMPUTED_VALUE"""),45496.66666666667)</f>
        <v>45496.66667</v>
      </c>
      <c r="B1538" s="22">
        <f>IFERROR(__xludf.DUMMYFUNCTION("""COMPUTED_VALUE"""),5555.74)</f>
        <v>5555.74</v>
      </c>
      <c r="C1538" s="25">
        <f>IFERROR(__xludf.DUMMYFUNCTION("""COMPUTED_VALUE"""),45496.63611111111)</f>
        <v>45496.63611</v>
      </c>
      <c r="D1538" s="22">
        <f>IFERROR(__xludf.DUMMYFUNCTION("""COMPUTED_VALUE"""),14.72)</f>
        <v>14.72</v>
      </c>
      <c r="F1538" s="25">
        <f>IFERROR(__xludf.DUMMYFUNCTION("""COMPUTED_VALUE"""),45496.63611111111)</f>
        <v>45496.63611</v>
      </c>
      <c r="G1538" s="22">
        <f>IFERROR(__xludf.DUMMYFUNCTION("""COMPUTED_VALUE"""),16.01)</f>
        <v>16.01</v>
      </c>
      <c r="H1538" s="25">
        <f>IFERROR(__xludf.DUMMYFUNCTION("""COMPUTED_VALUE"""),45496.63611111111)</f>
        <v>45496.63611</v>
      </c>
      <c r="I1538" s="22">
        <f>IFERROR(__xludf.DUMMYFUNCTION("""COMPUTED_VALUE"""),17.92)</f>
        <v>17.92</v>
      </c>
      <c r="J1538" s="25">
        <f>IFERROR(__xludf.DUMMYFUNCTION("""COMPUTED_VALUE"""),45496.63611111111)</f>
        <v>45496.63611</v>
      </c>
      <c r="K1538" s="22">
        <f>IFERROR(__xludf.DUMMYFUNCTION("""COMPUTED_VALUE"""),19.37)</f>
        <v>19.37</v>
      </c>
    </row>
    <row r="1539" ht="15.75" customHeight="1">
      <c r="A1539" s="25">
        <f>IFERROR(__xludf.DUMMYFUNCTION("""COMPUTED_VALUE"""),45497.66666666667)</f>
        <v>45497.66667</v>
      </c>
      <c r="B1539" s="22">
        <f>IFERROR(__xludf.DUMMYFUNCTION("""COMPUTED_VALUE"""),5427.13)</f>
        <v>5427.13</v>
      </c>
      <c r="C1539" s="25">
        <f>IFERROR(__xludf.DUMMYFUNCTION("""COMPUTED_VALUE"""),45497.63611111111)</f>
        <v>45497.63611</v>
      </c>
      <c r="D1539" s="22">
        <f>IFERROR(__xludf.DUMMYFUNCTION("""COMPUTED_VALUE"""),18.04)</f>
        <v>18.04</v>
      </c>
      <c r="F1539" s="25">
        <f>IFERROR(__xludf.DUMMYFUNCTION("""COMPUTED_VALUE"""),45497.63611111111)</f>
        <v>45497.63611</v>
      </c>
      <c r="G1539" s="22">
        <f>IFERROR(__xludf.DUMMYFUNCTION("""COMPUTED_VALUE"""),18.43)</f>
        <v>18.43</v>
      </c>
      <c r="H1539" s="25">
        <f>IFERROR(__xludf.DUMMYFUNCTION("""COMPUTED_VALUE"""),45497.63611111111)</f>
        <v>45497.63611</v>
      </c>
      <c r="I1539" s="22">
        <f>IFERROR(__xludf.DUMMYFUNCTION("""COMPUTED_VALUE"""),19.62)</f>
        <v>19.62</v>
      </c>
      <c r="J1539" s="25">
        <f>IFERROR(__xludf.DUMMYFUNCTION("""COMPUTED_VALUE"""),45497.63611111111)</f>
        <v>45497.63611</v>
      </c>
      <c r="K1539" s="22">
        <f>IFERROR(__xludf.DUMMYFUNCTION("""COMPUTED_VALUE"""),20.41)</f>
        <v>20.41</v>
      </c>
    </row>
    <row r="1540" ht="15.75" customHeight="1">
      <c r="A1540" s="25">
        <f>IFERROR(__xludf.DUMMYFUNCTION("""COMPUTED_VALUE"""),45498.66666666667)</f>
        <v>45498.66667</v>
      </c>
      <c r="B1540" s="22">
        <f>IFERROR(__xludf.DUMMYFUNCTION("""COMPUTED_VALUE"""),5399.22)</f>
        <v>5399.22</v>
      </c>
      <c r="C1540" s="25">
        <f>IFERROR(__xludf.DUMMYFUNCTION("""COMPUTED_VALUE"""),45498.63611111111)</f>
        <v>45498.63611</v>
      </c>
      <c r="D1540" s="22">
        <f>IFERROR(__xludf.DUMMYFUNCTION("""COMPUTED_VALUE"""),18.46)</f>
        <v>18.46</v>
      </c>
      <c r="F1540" s="25">
        <f>IFERROR(__xludf.DUMMYFUNCTION("""COMPUTED_VALUE"""),45498.63611111111)</f>
        <v>45498.63611</v>
      </c>
      <c r="G1540" s="22">
        <f>IFERROR(__xludf.DUMMYFUNCTION("""COMPUTED_VALUE"""),18.69)</f>
        <v>18.69</v>
      </c>
      <c r="H1540" s="25">
        <f>IFERROR(__xludf.DUMMYFUNCTION("""COMPUTED_VALUE"""),45498.63611111111)</f>
        <v>45498.63611</v>
      </c>
      <c r="I1540" s="22">
        <f>IFERROR(__xludf.DUMMYFUNCTION("""COMPUTED_VALUE"""),19.8)</f>
        <v>19.8</v>
      </c>
      <c r="J1540" s="25">
        <f>IFERROR(__xludf.DUMMYFUNCTION("""COMPUTED_VALUE"""),45498.63611111111)</f>
        <v>45498.63611</v>
      </c>
      <c r="K1540" s="22">
        <f>IFERROR(__xludf.DUMMYFUNCTION("""COMPUTED_VALUE"""),20.56)</f>
        <v>20.56</v>
      </c>
    </row>
    <row r="1541" ht="15.75" customHeight="1">
      <c r="A1541" s="25">
        <f>IFERROR(__xludf.DUMMYFUNCTION("""COMPUTED_VALUE"""),45499.66666666667)</f>
        <v>45499.66667</v>
      </c>
      <c r="B1541" s="22">
        <f>IFERROR(__xludf.DUMMYFUNCTION("""COMPUTED_VALUE"""),5459.1)</f>
        <v>5459.1</v>
      </c>
      <c r="C1541" s="25">
        <f>IFERROR(__xludf.DUMMYFUNCTION("""COMPUTED_VALUE"""),45499.63611111111)</f>
        <v>45499.63611</v>
      </c>
      <c r="D1541" s="22">
        <f>IFERROR(__xludf.DUMMYFUNCTION("""COMPUTED_VALUE"""),16.39)</f>
        <v>16.39</v>
      </c>
      <c r="F1541" s="25">
        <f>IFERROR(__xludf.DUMMYFUNCTION("""COMPUTED_VALUE"""),45499.63611111111)</f>
        <v>45499.63611</v>
      </c>
      <c r="G1541" s="22">
        <f>IFERROR(__xludf.DUMMYFUNCTION("""COMPUTED_VALUE"""),17.24)</f>
        <v>17.24</v>
      </c>
      <c r="H1541" s="25">
        <f>IFERROR(__xludf.DUMMYFUNCTION("""COMPUTED_VALUE"""),45499.63611111111)</f>
        <v>45499.63611</v>
      </c>
      <c r="I1541" s="22">
        <f>IFERROR(__xludf.DUMMYFUNCTION("""COMPUTED_VALUE"""),18.75)</f>
        <v>18.75</v>
      </c>
      <c r="J1541" s="25">
        <f>IFERROR(__xludf.DUMMYFUNCTION("""COMPUTED_VALUE"""),45499.63611111111)</f>
        <v>45499.63611</v>
      </c>
      <c r="K1541" s="22">
        <f>IFERROR(__xludf.DUMMYFUNCTION("""COMPUTED_VALUE"""),19.63)</f>
        <v>19.63</v>
      </c>
    </row>
    <row r="1542" ht="15.75" customHeight="1">
      <c r="A1542" s="25">
        <f>IFERROR(__xludf.DUMMYFUNCTION("""COMPUTED_VALUE"""),45502.66666666667)</f>
        <v>45502.66667</v>
      </c>
      <c r="B1542" s="22">
        <f>IFERROR(__xludf.DUMMYFUNCTION("""COMPUTED_VALUE"""),5463.54)</f>
        <v>5463.54</v>
      </c>
      <c r="C1542" s="25">
        <f>IFERROR(__xludf.DUMMYFUNCTION("""COMPUTED_VALUE"""),45502.63611111111)</f>
        <v>45502.63611</v>
      </c>
      <c r="D1542" s="22">
        <f>IFERROR(__xludf.DUMMYFUNCTION("""COMPUTED_VALUE"""),16.6)</f>
        <v>16.6</v>
      </c>
      <c r="F1542" s="25">
        <f>IFERROR(__xludf.DUMMYFUNCTION("""COMPUTED_VALUE"""),45502.63611111111)</f>
        <v>45502.63611</v>
      </c>
      <c r="G1542" s="22">
        <f>IFERROR(__xludf.DUMMYFUNCTION("""COMPUTED_VALUE"""),17.16)</f>
        <v>17.16</v>
      </c>
      <c r="H1542" s="25">
        <f>IFERROR(__xludf.DUMMYFUNCTION("""COMPUTED_VALUE"""),45502.63611111111)</f>
        <v>45502.63611</v>
      </c>
      <c r="I1542" s="22">
        <f>IFERROR(__xludf.DUMMYFUNCTION("""COMPUTED_VALUE"""),18.64)</f>
        <v>18.64</v>
      </c>
      <c r="J1542" s="25">
        <f>IFERROR(__xludf.DUMMYFUNCTION("""COMPUTED_VALUE"""),45502.63611111111)</f>
        <v>45502.63611</v>
      </c>
      <c r="K1542" s="22">
        <f>IFERROR(__xludf.DUMMYFUNCTION("""COMPUTED_VALUE"""),19.51)</f>
        <v>19.51</v>
      </c>
    </row>
    <row r="1543" ht="15.75" customHeight="1">
      <c r="A1543" s="25">
        <f>IFERROR(__xludf.DUMMYFUNCTION("""COMPUTED_VALUE"""),45503.66666666667)</f>
        <v>45503.66667</v>
      </c>
      <c r="B1543" s="22">
        <f>IFERROR(__xludf.DUMMYFUNCTION("""COMPUTED_VALUE"""),5436.44)</f>
        <v>5436.44</v>
      </c>
      <c r="C1543" s="25">
        <f>IFERROR(__xludf.DUMMYFUNCTION("""COMPUTED_VALUE"""),45503.63611111111)</f>
        <v>45503.63611</v>
      </c>
      <c r="D1543" s="22">
        <f>IFERROR(__xludf.DUMMYFUNCTION("""COMPUTED_VALUE"""),17.69)</f>
        <v>17.69</v>
      </c>
      <c r="F1543" s="25">
        <f>IFERROR(__xludf.DUMMYFUNCTION("""COMPUTED_VALUE"""),45503.63611111111)</f>
        <v>45503.63611</v>
      </c>
      <c r="G1543" s="22">
        <f>IFERROR(__xludf.DUMMYFUNCTION("""COMPUTED_VALUE"""),18.01)</f>
        <v>18.01</v>
      </c>
      <c r="H1543" s="25">
        <f>IFERROR(__xludf.DUMMYFUNCTION("""COMPUTED_VALUE"""),45503.63611111111)</f>
        <v>45503.63611</v>
      </c>
      <c r="I1543" s="22">
        <f>IFERROR(__xludf.DUMMYFUNCTION("""COMPUTED_VALUE"""),19.24)</f>
        <v>19.24</v>
      </c>
      <c r="J1543" s="25">
        <f>IFERROR(__xludf.DUMMYFUNCTION("""COMPUTED_VALUE"""),45503.63611111111)</f>
        <v>45503.63611</v>
      </c>
      <c r="K1543" s="22">
        <f>IFERROR(__xludf.DUMMYFUNCTION("""COMPUTED_VALUE"""),19.93)</f>
        <v>19.93</v>
      </c>
    </row>
    <row r="1544" ht="15.75" customHeight="1">
      <c r="A1544" s="25">
        <f>IFERROR(__xludf.DUMMYFUNCTION("""COMPUTED_VALUE"""),45504.66666666667)</f>
        <v>45504.66667</v>
      </c>
      <c r="B1544" s="22">
        <f>IFERROR(__xludf.DUMMYFUNCTION("""COMPUTED_VALUE"""),5522.3)</f>
        <v>5522.3</v>
      </c>
      <c r="C1544" s="25">
        <f>IFERROR(__xludf.DUMMYFUNCTION("""COMPUTED_VALUE"""),45504.63611111111)</f>
        <v>45504.63611</v>
      </c>
      <c r="D1544" s="22">
        <f>IFERROR(__xludf.DUMMYFUNCTION("""COMPUTED_VALUE"""),16.36)</f>
        <v>16.36</v>
      </c>
      <c r="F1544" s="25">
        <f>IFERROR(__xludf.DUMMYFUNCTION("""COMPUTED_VALUE"""),45504.63611111111)</f>
        <v>45504.63611</v>
      </c>
      <c r="G1544" s="22">
        <f>IFERROR(__xludf.DUMMYFUNCTION("""COMPUTED_VALUE"""),16.97)</f>
        <v>16.97</v>
      </c>
      <c r="H1544" s="25">
        <f>IFERROR(__xludf.DUMMYFUNCTION("""COMPUTED_VALUE"""),45504.63611111111)</f>
        <v>45504.63611</v>
      </c>
      <c r="I1544" s="22">
        <f>IFERROR(__xludf.DUMMYFUNCTION("""COMPUTED_VALUE"""),18.32)</f>
        <v>18.32</v>
      </c>
      <c r="J1544" s="25">
        <f>IFERROR(__xludf.DUMMYFUNCTION("""COMPUTED_VALUE"""),45504.63611111111)</f>
        <v>45504.63611</v>
      </c>
      <c r="K1544" s="22">
        <f>IFERROR(__xludf.DUMMYFUNCTION("""COMPUTED_VALUE"""),19.25)</f>
        <v>19.25</v>
      </c>
    </row>
    <row r="1545" ht="15.75" customHeight="1">
      <c r="A1545" s="25">
        <f>IFERROR(__xludf.DUMMYFUNCTION("""COMPUTED_VALUE"""),45505.66666666667)</f>
        <v>45505.66667</v>
      </c>
      <c r="B1545" s="22">
        <f>IFERROR(__xludf.DUMMYFUNCTION("""COMPUTED_VALUE"""),5446.68)</f>
        <v>5446.68</v>
      </c>
      <c r="C1545" s="25">
        <f>IFERROR(__xludf.DUMMYFUNCTION("""COMPUTED_VALUE"""),45505.63611111111)</f>
        <v>45505.63611</v>
      </c>
      <c r="D1545" s="22">
        <f>IFERROR(__xludf.DUMMYFUNCTION("""COMPUTED_VALUE"""),18.59)</f>
        <v>18.59</v>
      </c>
      <c r="F1545" s="25">
        <f>IFERROR(__xludf.DUMMYFUNCTION("""COMPUTED_VALUE"""),45505.63611111111)</f>
        <v>45505.63611</v>
      </c>
      <c r="G1545" s="22">
        <f>IFERROR(__xludf.DUMMYFUNCTION("""COMPUTED_VALUE"""),19.14)</f>
        <v>19.14</v>
      </c>
      <c r="H1545" s="25">
        <f>IFERROR(__xludf.DUMMYFUNCTION("""COMPUTED_VALUE"""),45505.63611111111)</f>
        <v>45505.63611</v>
      </c>
      <c r="I1545" s="22">
        <f>IFERROR(__xludf.DUMMYFUNCTION("""COMPUTED_VALUE"""),19.94)</f>
        <v>19.94</v>
      </c>
      <c r="J1545" s="25">
        <f>IFERROR(__xludf.DUMMYFUNCTION("""COMPUTED_VALUE"""),45505.63611111111)</f>
        <v>45505.63611</v>
      </c>
      <c r="K1545" s="22">
        <f>IFERROR(__xludf.DUMMYFUNCTION("""COMPUTED_VALUE"""),20.43)</f>
        <v>20.43</v>
      </c>
    </row>
    <row r="1546" ht="15.75" customHeight="1">
      <c r="A1546" s="25">
        <f>IFERROR(__xludf.DUMMYFUNCTION("""COMPUTED_VALUE"""),45506.66666666667)</f>
        <v>45506.66667</v>
      </c>
      <c r="B1546" s="22">
        <f>IFERROR(__xludf.DUMMYFUNCTION("""COMPUTED_VALUE"""),5346.56)</f>
        <v>5346.56</v>
      </c>
      <c r="C1546" s="25">
        <f>IFERROR(__xludf.DUMMYFUNCTION("""COMPUTED_VALUE"""),45506.63611111111)</f>
        <v>45506.63611</v>
      </c>
      <c r="D1546" s="22">
        <f>IFERROR(__xludf.DUMMYFUNCTION("""COMPUTED_VALUE"""),23.39)</f>
        <v>23.39</v>
      </c>
      <c r="F1546" s="25">
        <f>IFERROR(__xludf.DUMMYFUNCTION("""COMPUTED_VALUE"""),45506.63611111111)</f>
        <v>45506.63611</v>
      </c>
      <c r="G1546" s="22">
        <f>IFERROR(__xludf.DUMMYFUNCTION("""COMPUTED_VALUE"""),23.34)</f>
        <v>23.34</v>
      </c>
      <c r="H1546" s="25">
        <f>IFERROR(__xludf.DUMMYFUNCTION("""COMPUTED_VALUE"""),45506.63611111111)</f>
        <v>45506.63611</v>
      </c>
      <c r="I1546" s="22">
        <f>IFERROR(__xludf.DUMMYFUNCTION("""COMPUTED_VALUE"""),22.98)</f>
        <v>22.98</v>
      </c>
      <c r="J1546" s="25">
        <f>IFERROR(__xludf.DUMMYFUNCTION("""COMPUTED_VALUE"""),45506.63611111111)</f>
        <v>45506.63611</v>
      </c>
      <c r="K1546" s="22">
        <f>IFERROR(__xludf.DUMMYFUNCTION("""COMPUTED_VALUE"""),22.43)</f>
        <v>22.43</v>
      </c>
    </row>
    <row r="1547" ht="15.75" customHeight="1">
      <c r="A1547" s="25">
        <f>IFERROR(__xludf.DUMMYFUNCTION("""COMPUTED_VALUE"""),45509.66666666667)</f>
        <v>45509.66667</v>
      </c>
      <c r="B1547" s="22">
        <f>IFERROR(__xludf.DUMMYFUNCTION("""COMPUTED_VALUE"""),5186.33)</f>
        <v>5186.33</v>
      </c>
      <c r="C1547" s="25">
        <f>IFERROR(__xludf.DUMMYFUNCTION("""COMPUTED_VALUE"""),45509.63611111111)</f>
        <v>45509.63611</v>
      </c>
      <c r="D1547" s="22">
        <f>IFERROR(__xludf.DUMMYFUNCTION("""COMPUTED_VALUE"""),38.57)</f>
        <v>38.57</v>
      </c>
      <c r="F1547" s="25">
        <f>IFERROR(__xludf.DUMMYFUNCTION("""COMPUTED_VALUE"""),45509.63611111111)</f>
        <v>45509.63611</v>
      </c>
      <c r="G1547" s="22">
        <f>IFERROR(__xludf.DUMMYFUNCTION("""COMPUTED_VALUE"""),33.71)</f>
        <v>33.71</v>
      </c>
      <c r="H1547" s="25">
        <f>IFERROR(__xludf.DUMMYFUNCTION("""COMPUTED_VALUE"""),45509.63611111111)</f>
        <v>45509.63611</v>
      </c>
      <c r="I1547" s="22">
        <f>IFERROR(__xludf.DUMMYFUNCTION("""COMPUTED_VALUE"""),30.28)</f>
        <v>30.28</v>
      </c>
      <c r="J1547" s="25">
        <f>IFERROR(__xludf.DUMMYFUNCTION("""COMPUTED_VALUE"""),45509.63611111111)</f>
        <v>45509.63611</v>
      </c>
      <c r="K1547" s="22">
        <f>IFERROR(__xludf.DUMMYFUNCTION("""COMPUTED_VALUE"""),26.38)</f>
        <v>26.38</v>
      </c>
    </row>
    <row r="1548" ht="15.75" customHeight="1">
      <c r="A1548" s="25">
        <f>IFERROR(__xludf.DUMMYFUNCTION("""COMPUTED_VALUE"""),45510.66666666667)</f>
        <v>45510.66667</v>
      </c>
      <c r="B1548" s="22">
        <f>IFERROR(__xludf.DUMMYFUNCTION("""COMPUTED_VALUE"""),5240.03)</f>
        <v>5240.03</v>
      </c>
      <c r="C1548" s="25">
        <f>IFERROR(__xludf.DUMMYFUNCTION("""COMPUTED_VALUE"""),45510.63611111111)</f>
        <v>45510.63611</v>
      </c>
      <c r="D1548" s="22">
        <f>IFERROR(__xludf.DUMMYFUNCTION("""COMPUTED_VALUE"""),27.71)</f>
        <v>27.71</v>
      </c>
      <c r="F1548" s="25">
        <f>IFERROR(__xludf.DUMMYFUNCTION("""COMPUTED_VALUE"""),45510.63611111111)</f>
        <v>45510.63611</v>
      </c>
      <c r="G1548" s="22">
        <f>IFERROR(__xludf.DUMMYFUNCTION("""COMPUTED_VALUE"""),26.76)</f>
        <v>26.76</v>
      </c>
      <c r="H1548" s="25">
        <f>IFERROR(__xludf.DUMMYFUNCTION("""COMPUTED_VALUE"""),45510.63611111111)</f>
        <v>45510.63611</v>
      </c>
      <c r="I1548" s="22">
        <f>IFERROR(__xludf.DUMMYFUNCTION("""COMPUTED_VALUE"""),25.56)</f>
        <v>25.56</v>
      </c>
      <c r="J1548" s="25">
        <f>IFERROR(__xludf.DUMMYFUNCTION("""COMPUTED_VALUE"""),45510.63611111111)</f>
        <v>45510.63611</v>
      </c>
      <c r="K1548" s="22">
        <f>IFERROR(__xludf.DUMMYFUNCTION("""COMPUTED_VALUE"""),23.96)</f>
        <v>23.96</v>
      </c>
    </row>
    <row r="1549" ht="15.75" customHeight="1">
      <c r="A1549" s="25">
        <f>IFERROR(__xludf.DUMMYFUNCTION("""COMPUTED_VALUE"""),45511.66666666667)</f>
        <v>45511.66667</v>
      </c>
      <c r="B1549" s="22">
        <f>IFERROR(__xludf.DUMMYFUNCTION("""COMPUTED_VALUE"""),5199.5)</f>
        <v>5199.5</v>
      </c>
      <c r="C1549" s="25">
        <f>IFERROR(__xludf.DUMMYFUNCTION("""COMPUTED_VALUE"""),45511.63611111111)</f>
        <v>45511.63611</v>
      </c>
      <c r="D1549" s="22">
        <f>IFERROR(__xludf.DUMMYFUNCTION("""COMPUTED_VALUE"""),27.85)</f>
        <v>27.85</v>
      </c>
      <c r="F1549" s="25">
        <f>IFERROR(__xludf.DUMMYFUNCTION("""COMPUTED_VALUE"""),45511.63611111111)</f>
        <v>45511.63611</v>
      </c>
      <c r="G1549" s="22">
        <f>IFERROR(__xludf.DUMMYFUNCTION("""COMPUTED_VALUE"""),27.01)</f>
        <v>27.01</v>
      </c>
      <c r="H1549" s="25">
        <f>IFERROR(__xludf.DUMMYFUNCTION("""COMPUTED_VALUE"""),45511.63611111111)</f>
        <v>45511.63611</v>
      </c>
      <c r="I1549" s="22">
        <f>IFERROR(__xludf.DUMMYFUNCTION("""COMPUTED_VALUE"""),25.75)</f>
        <v>25.75</v>
      </c>
      <c r="J1549" s="25">
        <f>IFERROR(__xludf.DUMMYFUNCTION("""COMPUTED_VALUE"""),45511.63611111111)</f>
        <v>45511.63611</v>
      </c>
      <c r="K1549" s="22">
        <f>IFERROR(__xludf.DUMMYFUNCTION("""COMPUTED_VALUE"""),24.09)</f>
        <v>24.09</v>
      </c>
    </row>
    <row r="1550" ht="15.75" customHeight="1">
      <c r="A1550" s="25">
        <f>IFERROR(__xludf.DUMMYFUNCTION("""COMPUTED_VALUE"""),45512.66666666667)</f>
        <v>45512.66667</v>
      </c>
      <c r="B1550" s="22">
        <f>IFERROR(__xludf.DUMMYFUNCTION("""COMPUTED_VALUE"""),5319.31)</f>
        <v>5319.31</v>
      </c>
      <c r="C1550" s="25">
        <f>IFERROR(__xludf.DUMMYFUNCTION("""COMPUTED_VALUE"""),45512.63611111111)</f>
        <v>45512.63611</v>
      </c>
      <c r="D1550" s="22">
        <f>IFERROR(__xludf.DUMMYFUNCTION("""COMPUTED_VALUE"""),23.79)</f>
        <v>23.79</v>
      </c>
      <c r="F1550" s="25">
        <f>IFERROR(__xludf.DUMMYFUNCTION("""COMPUTED_VALUE"""),45512.63611111111)</f>
        <v>45512.63611</v>
      </c>
      <c r="G1550" s="22">
        <f>IFERROR(__xludf.DUMMYFUNCTION("""COMPUTED_VALUE"""),24.13)</f>
        <v>24.13</v>
      </c>
      <c r="H1550" s="25">
        <f>IFERROR(__xludf.DUMMYFUNCTION("""COMPUTED_VALUE"""),45512.63611111111)</f>
        <v>45512.63611</v>
      </c>
      <c r="I1550" s="22">
        <f>IFERROR(__xludf.DUMMYFUNCTION("""COMPUTED_VALUE"""),23.5)</f>
        <v>23.5</v>
      </c>
      <c r="J1550" s="25">
        <f>IFERROR(__xludf.DUMMYFUNCTION("""COMPUTED_VALUE"""),45512.63611111111)</f>
        <v>45512.63611</v>
      </c>
      <c r="K1550" s="22">
        <f>IFERROR(__xludf.DUMMYFUNCTION("""COMPUTED_VALUE"""),23.3)</f>
        <v>23.3</v>
      </c>
    </row>
    <row r="1551" ht="15.75" customHeight="1">
      <c r="A1551" s="25">
        <f>IFERROR(__xludf.DUMMYFUNCTION("""COMPUTED_VALUE"""),45513.66666666667)</f>
        <v>45513.66667</v>
      </c>
      <c r="B1551" s="22">
        <f>IFERROR(__xludf.DUMMYFUNCTION("""COMPUTED_VALUE"""),5344.16)</f>
        <v>5344.16</v>
      </c>
      <c r="C1551" s="25">
        <f>IFERROR(__xludf.DUMMYFUNCTION("""COMPUTED_VALUE"""),45513.63611111111)</f>
        <v>45513.63611</v>
      </c>
      <c r="D1551" s="22">
        <f>IFERROR(__xludf.DUMMYFUNCTION("""COMPUTED_VALUE"""),20.37)</f>
        <v>20.37</v>
      </c>
      <c r="F1551" s="25">
        <f>IFERROR(__xludf.DUMMYFUNCTION("""COMPUTED_VALUE"""),45513.63611111111)</f>
        <v>45513.63611</v>
      </c>
      <c r="G1551" s="22">
        <f>IFERROR(__xludf.DUMMYFUNCTION("""COMPUTED_VALUE"""),21.18)</f>
        <v>21.18</v>
      </c>
      <c r="H1551" s="25">
        <f>IFERROR(__xludf.DUMMYFUNCTION("""COMPUTED_VALUE"""),45513.63611111111)</f>
        <v>45513.63611</v>
      </c>
      <c r="I1551" s="22">
        <f>IFERROR(__xludf.DUMMYFUNCTION("""COMPUTED_VALUE"""),21.43)</f>
        <v>21.43</v>
      </c>
      <c r="J1551" s="25">
        <f>IFERROR(__xludf.DUMMYFUNCTION("""COMPUTED_VALUE"""),45513.63611111111)</f>
        <v>45513.63611</v>
      </c>
      <c r="K1551" s="22">
        <f>IFERROR(__xludf.DUMMYFUNCTION("""COMPUTED_VALUE"""),21.86)</f>
        <v>21.86</v>
      </c>
    </row>
    <row r="1552" ht="15.75" customHeight="1">
      <c r="A1552" s="25">
        <f>IFERROR(__xludf.DUMMYFUNCTION("""COMPUTED_VALUE"""),45516.66666666667)</f>
        <v>45516.66667</v>
      </c>
      <c r="B1552" s="22">
        <f>IFERROR(__xludf.DUMMYFUNCTION("""COMPUTED_VALUE"""),5344.39)</f>
        <v>5344.39</v>
      </c>
      <c r="C1552" s="25">
        <f>IFERROR(__xludf.DUMMYFUNCTION("""COMPUTED_VALUE"""),45516.63611111111)</f>
        <v>45516.63611</v>
      </c>
      <c r="D1552" s="22">
        <f>IFERROR(__xludf.DUMMYFUNCTION("""COMPUTED_VALUE"""),20.71)</f>
        <v>20.71</v>
      </c>
      <c r="F1552" s="25">
        <f>IFERROR(__xludf.DUMMYFUNCTION("""COMPUTED_VALUE"""),45516.63611111111)</f>
        <v>45516.63611</v>
      </c>
      <c r="G1552" s="22">
        <f>IFERROR(__xludf.DUMMYFUNCTION("""COMPUTED_VALUE"""),21.63)</f>
        <v>21.63</v>
      </c>
      <c r="H1552" s="25">
        <f>IFERROR(__xludf.DUMMYFUNCTION("""COMPUTED_VALUE"""),45516.63611111111)</f>
        <v>45516.63611</v>
      </c>
      <c r="I1552" s="22">
        <f>IFERROR(__xludf.DUMMYFUNCTION("""COMPUTED_VALUE"""),21.63)</f>
        <v>21.63</v>
      </c>
      <c r="J1552" s="25">
        <f>IFERROR(__xludf.DUMMYFUNCTION("""COMPUTED_VALUE"""),45516.63611111111)</f>
        <v>45516.63611</v>
      </c>
      <c r="K1552" s="22">
        <f>IFERROR(__xludf.DUMMYFUNCTION("""COMPUTED_VALUE"""),21.91)</f>
        <v>21.91</v>
      </c>
    </row>
    <row r="1553" ht="15.75" customHeight="1">
      <c r="A1553" s="25">
        <f>IFERROR(__xludf.DUMMYFUNCTION("""COMPUTED_VALUE"""),45517.66666666667)</f>
        <v>45517.66667</v>
      </c>
      <c r="B1553" s="22">
        <f>IFERROR(__xludf.DUMMYFUNCTION("""COMPUTED_VALUE"""),5434.43)</f>
        <v>5434.43</v>
      </c>
      <c r="C1553" s="25">
        <f>IFERROR(__xludf.DUMMYFUNCTION("""COMPUTED_VALUE"""),45517.63611111111)</f>
        <v>45517.63611</v>
      </c>
      <c r="D1553" s="22">
        <f>IFERROR(__xludf.DUMMYFUNCTION("""COMPUTED_VALUE"""),18.12)</f>
        <v>18.12</v>
      </c>
      <c r="F1553" s="25">
        <f>IFERROR(__xludf.DUMMYFUNCTION("""COMPUTED_VALUE"""),45517.63611111111)</f>
        <v>45517.63611</v>
      </c>
      <c r="G1553" s="22">
        <f>IFERROR(__xludf.DUMMYFUNCTION("""COMPUTED_VALUE"""),19.86)</f>
        <v>19.86</v>
      </c>
      <c r="H1553" s="25">
        <f>IFERROR(__xludf.DUMMYFUNCTION("""COMPUTED_VALUE"""),45517.63611111111)</f>
        <v>45517.63611</v>
      </c>
      <c r="I1553" s="22">
        <f>IFERROR(__xludf.DUMMYFUNCTION("""COMPUTED_VALUE"""),20.23)</f>
        <v>20.23</v>
      </c>
      <c r="J1553" s="25">
        <f>IFERROR(__xludf.DUMMYFUNCTION("""COMPUTED_VALUE"""),45517.63611111111)</f>
        <v>45517.63611</v>
      </c>
      <c r="K1553" s="22">
        <f>IFERROR(__xludf.DUMMYFUNCTION("""COMPUTED_VALUE"""),21.06)</f>
        <v>21.06</v>
      </c>
    </row>
    <row r="1554" ht="15.75" customHeight="1">
      <c r="A1554" s="25">
        <f>IFERROR(__xludf.DUMMYFUNCTION("""COMPUTED_VALUE"""),45518.66666666667)</f>
        <v>45518.66667</v>
      </c>
      <c r="B1554" s="22">
        <f>IFERROR(__xludf.DUMMYFUNCTION("""COMPUTED_VALUE"""),5455.21)</f>
        <v>5455.21</v>
      </c>
      <c r="C1554" s="25">
        <f>IFERROR(__xludf.DUMMYFUNCTION("""COMPUTED_VALUE"""),45518.63611111111)</f>
        <v>45518.63611</v>
      </c>
      <c r="D1554" s="22">
        <f>IFERROR(__xludf.DUMMYFUNCTION("""COMPUTED_VALUE"""),16.19)</f>
        <v>16.19</v>
      </c>
      <c r="F1554" s="25">
        <f>IFERROR(__xludf.DUMMYFUNCTION("""COMPUTED_VALUE"""),45518.63611111111)</f>
        <v>45518.63611</v>
      </c>
      <c r="G1554" s="22">
        <f>IFERROR(__xludf.DUMMYFUNCTION("""COMPUTED_VALUE"""),18.45)</f>
        <v>18.45</v>
      </c>
      <c r="H1554" s="25">
        <f>IFERROR(__xludf.DUMMYFUNCTION("""COMPUTED_VALUE"""),45518.63611111111)</f>
        <v>45518.63611</v>
      </c>
      <c r="I1554" s="22">
        <f>IFERROR(__xludf.DUMMYFUNCTION("""COMPUTED_VALUE"""),19.2)</f>
        <v>19.2</v>
      </c>
      <c r="J1554" s="25">
        <f>IFERROR(__xludf.DUMMYFUNCTION("""COMPUTED_VALUE"""),45518.63611111111)</f>
        <v>45518.63611</v>
      </c>
      <c r="K1554" s="22">
        <f>IFERROR(__xludf.DUMMYFUNCTION("""COMPUTED_VALUE"""),20.72)</f>
        <v>20.72</v>
      </c>
    </row>
    <row r="1555" ht="15.75" customHeight="1">
      <c r="A1555" s="25">
        <f>IFERROR(__xludf.DUMMYFUNCTION("""COMPUTED_VALUE"""),45519.66666666667)</f>
        <v>45519.66667</v>
      </c>
      <c r="B1555" s="22">
        <f>IFERROR(__xludf.DUMMYFUNCTION("""COMPUTED_VALUE"""),5543.22)</f>
        <v>5543.22</v>
      </c>
      <c r="C1555" s="25">
        <f>IFERROR(__xludf.DUMMYFUNCTION("""COMPUTED_VALUE"""),45519.63611111111)</f>
        <v>45519.63611</v>
      </c>
      <c r="D1555" s="22">
        <f>IFERROR(__xludf.DUMMYFUNCTION("""COMPUTED_VALUE"""),15.23)</f>
        <v>15.23</v>
      </c>
      <c r="F1555" s="25">
        <f>IFERROR(__xludf.DUMMYFUNCTION("""COMPUTED_VALUE"""),45519.63611111111)</f>
        <v>45519.63611</v>
      </c>
      <c r="G1555" s="22">
        <f>IFERROR(__xludf.DUMMYFUNCTION("""COMPUTED_VALUE"""),17.88)</f>
        <v>17.88</v>
      </c>
      <c r="H1555" s="25">
        <f>IFERROR(__xludf.DUMMYFUNCTION("""COMPUTED_VALUE"""),45519.63611111111)</f>
        <v>45519.63611</v>
      </c>
      <c r="I1555" s="22">
        <f>IFERROR(__xludf.DUMMYFUNCTION("""COMPUTED_VALUE"""),18.77)</f>
        <v>18.77</v>
      </c>
      <c r="J1555" s="25">
        <f>IFERROR(__xludf.DUMMYFUNCTION("""COMPUTED_VALUE"""),45519.63611111111)</f>
        <v>45519.63611</v>
      </c>
      <c r="K1555" s="22">
        <f>IFERROR(__xludf.DUMMYFUNCTION("""COMPUTED_VALUE"""),19.99)</f>
        <v>19.99</v>
      </c>
    </row>
    <row r="1556" ht="15.75" customHeight="1">
      <c r="A1556" s="25">
        <f>IFERROR(__xludf.DUMMYFUNCTION("""COMPUTED_VALUE"""),45520.66666666667)</f>
        <v>45520.66667</v>
      </c>
      <c r="B1556" s="22">
        <f>IFERROR(__xludf.DUMMYFUNCTION("""COMPUTED_VALUE"""),5554.25)</f>
        <v>5554.25</v>
      </c>
      <c r="C1556" s="25">
        <f>IFERROR(__xludf.DUMMYFUNCTION("""COMPUTED_VALUE"""),45520.63611111111)</f>
        <v>45520.63611</v>
      </c>
      <c r="D1556" s="22">
        <f>IFERROR(__xludf.DUMMYFUNCTION("""COMPUTED_VALUE"""),14.8)</f>
        <v>14.8</v>
      </c>
      <c r="F1556" s="25">
        <f>IFERROR(__xludf.DUMMYFUNCTION("""COMPUTED_VALUE"""),45520.63611111111)</f>
        <v>45520.63611</v>
      </c>
      <c r="G1556" s="22">
        <f>IFERROR(__xludf.DUMMYFUNCTION("""COMPUTED_VALUE"""),17.81)</f>
        <v>17.81</v>
      </c>
      <c r="H1556" s="25">
        <f>IFERROR(__xludf.DUMMYFUNCTION("""COMPUTED_VALUE"""),45520.63611111111)</f>
        <v>45520.63611</v>
      </c>
      <c r="I1556" s="22">
        <f>IFERROR(__xludf.DUMMYFUNCTION("""COMPUTED_VALUE"""),18.78)</f>
        <v>18.78</v>
      </c>
      <c r="J1556" s="25">
        <f>IFERROR(__xludf.DUMMYFUNCTION("""COMPUTED_VALUE"""),45520.63611111111)</f>
        <v>45520.63611</v>
      </c>
      <c r="K1556" s="22">
        <f>IFERROR(__xludf.DUMMYFUNCTION("""COMPUTED_VALUE"""),20.08)</f>
        <v>20.08</v>
      </c>
    </row>
    <row r="1557" ht="15.75" customHeight="1">
      <c r="A1557" s="25">
        <f>IFERROR(__xludf.DUMMYFUNCTION("""COMPUTED_VALUE"""),45523.66666666667)</f>
        <v>45523.66667</v>
      </c>
      <c r="B1557" s="22">
        <f>IFERROR(__xludf.DUMMYFUNCTION("""COMPUTED_VALUE"""),5608.25)</f>
        <v>5608.25</v>
      </c>
      <c r="C1557" s="25">
        <f>IFERROR(__xludf.DUMMYFUNCTION("""COMPUTED_VALUE"""),45523.63611111111)</f>
        <v>45523.63611</v>
      </c>
      <c r="D1557" s="22">
        <f>IFERROR(__xludf.DUMMYFUNCTION("""COMPUTED_VALUE"""),14.65)</f>
        <v>14.65</v>
      </c>
      <c r="F1557" s="25">
        <f>IFERROR(__xludf.DUMMYFUNCTION("""COMPUTED_VALUE"""),45523.63611111111)</f>
        <v>45523.63611</v>
      </c>
      <c r="G1557" s="22">
        <f>IFERROR(__xludf.DUMMYFUNCTION("""COMPUTED_VALUE"""),17.59)</f>
        <v>17.59</v>
      </c>
      <c r="H1557" s="25">
        <f>IFERROR(__xludf.DUMMYFUNCTION("""COMPUTED_VALUE"""),45523.63611111111)</f>
        <v>45523.63611</v>
      </c>
      <c r="I1557" s="22">
        <f>IFERROR(__xludf.DUMMYFUNCTION("""COMPUTED_VALUE"""),18.62)</f>
        <v>18.62</v>
      </c>
      <c r="J1557" s="25">
        <f>IFERROR(__xludf.DUMMYFUNCTION("""COMPUTED_VALUE"""),45523.63611111111)</f>
        <v>45523.63611</v>
      </c>
      <c r="K1557" s="22">
        <f>IFERROR(__xludf.DUMMYFUNCTION("""COMPUTED_VALUE"""),20.04)</f>
        <v>20.04</v>
      </c>
    </row>
    <row r="1558" ht="15.75" customHeight="1">
      <c r="A1558" s="25">
        <f>IFERROR(__xludf.DUMMYFUNCTION("""COMPUTED_VALUE"""),45524.66666666667)</f>
        <v>45524.66667</v>
      </c>
      <c r="B1558" s="22">
        <f>IFERROR(__xludf.DUMMYFUNCTION("""COMPUTED_VALUE"""),5597.12)</f>
        <v>5597.12</v>
      </c>
      <c r="C1558" s="25">
        <f>IFERROR(__xludf.DUMMYFUNCTION("""COMPUTED_VALUE"""),45524.63611111111)</f>
        <v>45524.63611</v>
      </c>
      <c r="D1558" s="22">
        <f>IFERROR(__xludf.DUMMYFUNCTION("""COMPUTED_VALUE"""),15.88)</f>
        <v>15.88</v>
      </c>
      <c r="F1558" s="25">
        <f>IFERROR(__xludf.DUMMYFUNCTION("""COMPUTED_VALUE"""),45524.63611111111)</f>
        <v>45524.63611</v>
      </c>
      <c r="G1558" s="22">
        <f>IFERROR(__xludf.DUMMYFUNCTION("""COMPUTED_VALUE"""),18.28)</f>
        <v>18.28</v>
      </c>
      <c r="H1558" s="25">
        <f>IFERROR(__xludf.DUMMYFUNCTION("""COMPUTED_VALUE"""),45524.63611111111)</f>
        <v>45524.63611</v>
      </c>
      <c r="I1558" s="22">
        <f>IFERROR(__xludf.DUMMYFUNCTION("""COMPUTED_VALUE"""),19.3)</f>
        <v>19.3</v>
      </c>
      <c r="J1558" s="25">
        <f>IFERROR(__xludf.DUMMYFUNCTION("""COMPUTED_VALUE"""),45524.63611111111)</f>
        <v>45524.63611</v>
      </c>
      <c r="K1558" s="22">
        <f>IFERROR(__xludf.DUMMYFUNCTION("""COMPUTED_VALUE"""),20.66)</f>
        <v>20.66</v>
      </c>
    </row>
    <row r="1559" ht="15.75" customHeight="1">
      <c r="A1559" s="25">
        <f>IFERROR(__xludf.DUMMYFUNCTION("""COMPUTED_VALUE"""),45525.66666666667)</f>
        <v>45525.66667</v>
      </c>
      <c r="B1559" s="22">
        <f>IFERROR(__xludf.DUMMYFUNCTION("""COMPUTED_VALUE"""),5620.85)</f>
        <v>5620.85</v>
      </c>
      <c r="C1559" s="25">
        <f>IFERROR(__xludf.DUMMYFUNCTION("""COMPUTED_VALUE"""),45525.63611111111)</f>
        <v>45525.63611</v>
      </c>
      <c r="D1559" s="22">
        <f>IFERROR(__xludf.DUMMYFUNCTION("""COMPUTED_VALUE"""),16.27)</f>
        <v>16.27</v>
      </c>
      <c r="F1559" s="25">
        <f>IFERROR(__xludf.DUMMYFUNCTION("""COMPUTED_VALUE"""),45525.63611111111)</f>
        <v>45525.63611</v>
      </c>
      <c r="G1559" s="22">
        <f>IFERROR(__xludf.DUMMYFUNCTION("""COMPUTED_VALUE"""),18.58)</f>
        <v>18.58</v>
      </c>
      <c r="H1559" s="25">
        <f>IFERROR(__xludf.DUMMYFUNCTION("""COMPUTED_VALUE"""),45525.63611111111)</f>
        <v>45525.63611</v>
      </c>
      <c r="I1559" s="22">
        <f>IFERROR(__xludf.DUMMYFUNCTION("""COMPUTED_VALUE"""),19.54)</f>
        <v>19.54</v>
      </c>
      <c r="J1559" s="25">
        <f>IFERROR(__xludf.DUMMYFUNCTION("""COMPUTED_VALUE"""),45525.63611111111)</f>
        <v>45525.63611</v>
      </c>
      <c r="K1559" s="22">
        <f>IFERROR(__xludf.DUMMYFUNCTION("""COMPUTED_VALUE"""),21.44)</f>
        <v>21.44</v>
      </c>
    </row>
    <row r="1560" ht="15.75" customHeight="1">
      <c r="A1560" s="25">
        <f>IFERROR(__xludf.DUMMYFUNCTION("""COMPUTED_VALUE"""),45526.66666666667)</f>
        <v>45526.66667</v>
      </c>
      <c r="B1560" s="22">
        <f>IFERROR(__xludf.DUMMYFUNCTION("""COMPUTED_VALUE"""),5570.64)</f>
        <v>5570.64</v>
      </c>
      <c r="C1560" s="25">
        <f>IFERROR(__xludf.DUMMYFUNCTION("""COMPUTED_VALUE"""),45526.63611111111)</f>
        <v>45526.63611</v>
      </c>
      <c r="D1560" s="22">
        <f>IFERROR(__xludf.DUMMYFUNCTION("""COMPUTED_VALUE"""),17.55)</f>
        <v>17.55</v>
      </c>
      <c r="F1560" s="25">
        <f>IFERROR(__xludf.DUMMYFUNCTION("""COMPUTED_VALUE"""),45526.63611111111)</f>
        <v>45526.63611</v>
      </c>
      <c r="G1560" s="22">
        <f>IFERROR(__xludf.DUMMYFUNCTION("""COMPUTED_VALUE"""),19.36)</f>
        <v>19.36</v>
      </c>
      <c r="H1560" s="25">
        <f>IFERROR(__xludf.DUMMYFUNCTION("""COMPUTED_VALUE"""),45526.63611111111)</f>
        <v>45526.63611</v>
      </c>
      <c r="I1560" s="22">
        <f>IFERROR(__xludf.DUMMYFUNCTION("""COMPUTED_VALUE"""),20.09)</f>
        <v>20.09</v>
      </c>
      <c r="J1560" s="25">
        <f>IFERROR(__xludf.DUMMYFUNCTION("""COMPUTED_VALUE"""),45526.63611111111)</f>
        <v>45526.63611</v>
      </c>
      <c r="K1560" s="22">
        <f>IFERROR(__xludf.DUMMYFUNCTION("""COMPUTED_VALUE"""),21.65)</f>
        <v>21.65</v>
      </c>
    </row>
    <row r="1561" ht="15.75" customHeight="1">
      <c r="A1561" s="25">
        <f>IFERROR(__xludf.DUMMYFUNCTION("""COMPUTED_VALUE"""),45527.66666666667)</f>
        <v>45527.66667</v>
      </c>
      <c r="B1561" s="22">
        <f>IFERROR(__xludf.DUMMYFUNCTION("""COMPUTED_VALUE"""),5634.61)</f>
        <v>5634.61</v>
      </c>
      <c r="C1561" s="25">
        <f>IFERROR(__xludf.DUMMYFUNCTION("""COMPUTED_VALUE"""),45527.63611111111)</f>
        <v>45527.63611</v>
      </c>
      <c r="D1561" s="22">
        <f>IFERROR(__xludf.DUMMYFUNCTION("""COMPUTED_VALUE"""),15.86)</f>
        <v>15.86</v>
      </c>
      <c r="F1561" s="25">
        <f>IFERROR(__xludf.DUMMYFUNCTION("""COMPUTED_VALUE"""),45527.63611111111)</f>
        <v>45527.63611</v>
      </c>
      <c r="G1561" s="22">
        <f>IFERROR(__xludf.DUMMYFUNCTION("""COMPUTED_VALUE"""),18.19)</f>
        <v>18.19</v>
      </c>
      <c r="H1561" s="25">
        <f>IFERROR(__xludf.DUMMYFUNCTION("""COMPUTED_VALUE"""),45527.63611111111)</f>
        <v>45527.63611</v>
      </c>
      <c r="I1561" s="22">
        <f>IFERROR(__xludf.DUMMYFUNCTION("""COMPUTED_VALUE"""),19.35)</f>
        <v>19.35</v>
      </c>
      <c r="J1561" s="25">
        <f>IFERROR(__xludf.DUMMYFUNCTION("""COMPUTED_VALUE"""),45527.63611111111)</f>
        <v>45527.63611</v>
      </c>
      <c r="K1561" s="22">
        <f>IFERROR(__xludf.DUMMYFUNCTION("""COMPUTED_VALUE"""),21.24)</f>
        <v>21.24</v>
      </c>
    </row>
    <row r="1562" ht="15.75" customHeight="1">
      <c r="A1562" s="25">
        <f>IFERROR(__xludf.DUMMYFUNCTION("""COMPUTED_VALUE"""),45530.66666666667)</f>
        <v>45530.66667</v>
      </c>
      <c r="B1562" s="22">
        <f>IFERROR(__xludf.DUMMYFUNCTION("""COMPUTED_VALUE"""),5616.84)</f>
        <v>5616.84</v>
      </c>
      <c r="C1562" s="25">
        <f>IFERROR(__xludf.DUMMYFUNCTION("""COMPUTED_VALUE"""),45530.63611111111)</f>
        <v>45530.63611</v>
      </c>
      <c r="D1562" s="22">
        <f>IFERROR(__xludf.DUMMYFUNCTION("""COMPUTED_VALUE"""),16.15)</f>
        <v>16.15</v>
      </c>
      <c r="F1562" s="25">
        <f>IFERROR(__xludf.DUMMYFUNCTION("""COMPUTED_VALUE"""),45530.63611111111)</f>
        <v>45530.63611</v>
      </c>
      <c r="G1562" s="22">
        <f>IFERROR(__xludf.DUMMYFUNCTION("""COMPUTED_VALUE"""),18.25)</f>
        <v>18.25</v>
      </c>
      <c r="H1562" s="25">
        <f>IFERROR(__xludf.DUMMYFUNCTION("""COMPUTED_VALUE"""),45530.63611111111)</f>
        <v>45530.63611</v>
      </c>
      <c r="I1562" s="22">
        <f>IFERROR(__xludf.DUMMYFUNCTION("""COMPUTED_VALUE"""),19.36)</f>
        <v>19.36</v>
      </c>
      <c r="J1562" s="25">
        <f>IFERROR(__xludf.DUMMYFUNCTION("""COMPUTED_VALUE"""),45530.63611111111)</f>
        <v>45530.63611</v>
      </c>
      <c r="K1562" s="22">
        <f>IFERROR(__xludf.DUMMYFUNCTION("""COMPUTED_VALUE"""),20.27)</f>
        <v>20.27</v>
      </c>
    </row>
    <row r="1563" ht="15.75" customHeight="1">
      <c r="A1563" s="25">
        <f>IFERROR(__xludf.DUMMYFUNCTION("""COMPUTED_VALUE"""),45531.66666666667)</f>
        <v>45531.66667</v>
      </c>
      <c r="B1563" s="22">
        <f>IFERROR(__xludf.DUMMYFUNCTION("""COMPUTED_VALUE"""),5625.8)</f>
        <v>5625.8</v>
      </c>
      <c r="C1563" s="25">
        <f>IFERROR(__xludf.DUMMYFUNCTION("""COMPUTED_VALUE"""),45531.63611111111)</f>
        <v>45531.63611</v>
      </c>
      <c r="D1563" s="22">
        <f>IFERROR(__xludf.DUMMYFUNCTION("""COMPUTED_VALUE"""),15.43)</f>
        <v>15.43</v>
      </c>
      <c r="F1563" s="25">
        <f>IFERROR(__xludf.DUMMYFUNCTION("""COMPUTED_VALUE"""),45531.63611111111)</f>
        <v>45531.63611</v>
      </c>
      <c r="G1563" s="22">
        <f>IFERROR(__xludf.DUMMYFUNCTION("""COMPUTED_VALUE"""),17.73)</f>
        <v>17.73</v>
      </c>
      <c r="H1563" s="25">
        <f>IFERROR(__xludf.DUMMYFUNCTION("""COMPUTED_VALUE"""),45531.63611111111)</f>
        <v>45531.63611</v>
      </c>
      <c r="I1563" s="22">
        <f>IFERROR(__xludf.DUMMYFUNCTION("""COMPUTED_VALUE"""),19.0)</f>
        <v>19</v>
      </c>
      <c r="J1563" s="25">
        <f>IFERROR(__xludf.DUMMYFUNCTION("""COMPUTED_VALUE"""),45531.63611111111)</f>
        <v>45531.63611</v>
      </c>
      <c r="K1563" s="22">
        <f>IFERROR(__xludf.DUMMYFUNCTION("""COMPUTED_VALUE"""),20.04)</f>
        <v>20.04</v>
      </c>
    </row>
    <row r="1564" ht="15.75" customHeight="1">
      <c r="A1564" s="25">
        <f>IFERROR(__xludf.DUMMYFUNCTION("""COMPUTED_VALUE"""),45532.66666666667)</f>
        <v>45532.66667</v>
      </c>
      <c r="B1564" s="22">
        <f>IFERROR(__xludf.DUMMYFUNCTION("""COMPUTED_VALUE"""),5592.18)</f>
        <v>5592.18</v>
      </c>
      <c r="C1564" s="25">
        <f>IFERROR(__xludf.DUMMYFUNCTION("""COMPUTED_VALUE"""),45532.63611111111)</f>
        <v>45532.63611</v>
      </c>
      <c r="D1564" s="22">
        <f>IFERROR(__xludf.DUMMYFUNCTION("""COMPUTED_VALUE"""),17.11)</f>
        <v>17.11</v>
      </c>
      <c r="F1564" s="25">
        <f>IFERROR(__xludf.DUMMYFUNCTION("""COMPUTED_VALUE"""),45532.63611111111)</f>
        <v>45532.63611</v>
      </c>
      <c r="G1564" s="22">
        <f>IFERROR(__xludf.DUMMYFUNCTION("""COMPUTED_VALUE"""),18.9)</f>
        <v>18.9</v>
      </c>
      <c r="H1564" s="25">
        <f>IFERROR(__xludf.DUMMYFUNCTION("""COMPUTED_VALUE"""),45532.63611111111)</f>
        <v>45532.63611</v>
      </c>
      <c r="I1564" s="22">
        <f>IFERROR(__xludf.DUMMYFUNCTION("""COMPUTED_VALUE"""),19.83)</f>
        <v>19.83</v>
      </c>
      <c r="J1564" s="25">
        <f>IFERROR(__xludf.DUMMYFUNCTION("""COMPUTED_VALUE"""),45532.63611111111)</f>
        <v>45532.63611</v>
      </c>
      <c r="K1564" s="22">
        <f>IFERROR(__xludf.DUMMYFUNCTION("""COMPUTED_VALUE"""),20.81)</f>
        <v>20.81</v>
      </c>
    </row>
    <row r="1565" ht="15.75" customHeight="1">
      <c r="A1565" s="25">
        <f>IFERROR(__xludf.DUMMYFUNCTION("""COMPUTED_VALUE"""),45533.66666666667)</f>
        <v>45533.66667</v>
      </c>
      <c r="B1565" s="22">
        <f>IFERROR(__xludf.DUMMYFUNCTION("""COMPUTED_VALUE"""),5591.96)</f>
        <v>5591.96</v>
      </c>
      <c r="C1565" s="25">
        <f>IFERROR(__xludf.DUMMYFUNCTION("""COMPUTED_VALUE"""),45533.63611111111)</f>
        <v>45533.63611</v>
      </c>
      <c r="D1565" s="22">
        <f>IFERROR(__xludf.DUMMYFUNCTION("""COMPUTED_VALUE"""),15.65)</f>
        <v>15.65</v>
      </c>
      <c r="F1565" s="25">
        <f>IFERROR(__xludf.DUMMYFUNCTION("""COMPUTED_VALUE"""),45533.63611111111)</f>
        <v>45533.63611</v>
      </c>
      <c r="G1565" s="22">
        <f>IFERROR(__xludf.DUMMYFUNCTION("""COMPUTED_VALUE"""),18.0)</f>
        <v>18</v>
      </c>
      <c r="H1565" s="25">
        <f>IFERROR(__xludf.DUMMYFUNCTION("""COMPUTED_VALUE"""),45533.63611111111)</f>
        <v>45533.63611</v>
      </c>
      <c r="I1565" s="22">
        <f>IFERROR(__xludf.DUMMYFUNCTION("""COMPUTED_VALUE"""),19.31)</f>
        <v>19.31</v>
      </c>
      <c r="J1565" s="25">
        <f>IFERROR(__xludf.DUMMYFUNCTION("""COMPUTED_VALUE"""),45533.63611111111)</f>
        <v>45533.63611</v>
      </c>
      <c r="K1565" s="22">
        <f>IFERROR(__xludf.DUMMYFUNCTION("""COMPUTED_VALUE"""),20.18)</f>
        <v>20.18</v>
      </c>
    </row>
    <row r="1566" ht="15.75" customHeight="1">
      <c r="A1566" s="25">
        <f>IFERROR(__xludf.DUMMYFUNCTION("""COMPUTED_VALUE"""),45534.66666666667)</f>
        <v>45534.66667</v>
      </c>
      <c r="B1566" s="22">
        <f>IFERROR(__xludf.DUMMYFUNCTION("""COMPUTED_VALUE"""),5648.4)</f>
        <v>5648.4</v>
      </c>
      <c r="C1566" s="25">
        <f>IFERROR(__xludf.DUMMYFUNCTION("""COMPUTED_VALUE"""),45534.63611111111)</f>
        <v>45534.63611</v>
      </c>
      <c r="D1566" s="22">
        <f>IFERROR(__xludf.DUMMYFUNCTION("""COMPUTED_VALUE"""),15.0)</f>
        <v>15</v>
      </c>
      <c r="F1566" s="25">
        <f>IFERROR(__xludf.DUMMYFUNCTION("""COMPUTED_VALUE"""),45534.63611111111)</f>
        <v>45534.63611</v>
      </c>
      <c r="G1566" s="22">
        <f>IFERROR(__xludf.DUMMYFUNCTION("""COMPUTED_VALUE"""),17.43)</f>
        <v>17.43</v>
      </c>
      <c r="H1566" s="25">
        <f>IFERROR(__xludf.DUMMYFUNCTION("""COMPUTED_VALUE"""),45534.63611111111)</f>
        <v>45534.63611</v>
      </c>
      <c r="I1566" s="22">
        <f>IFERROR(__xludf.DUMMYFUNCTION("""COMPUTED_VALUE"""),18.88)</f>
        <v>18.88</v>
      </c>
      <c r="J1566" s="25">
        <f>IFERROR(__xludf.DUMMYFUNCTION("""COMPUTED_VALUE"""),45534.63611111111)</f>
        <v>45534.63611</v>
      </c>
      <c r="K1566" s="22">
        <f>IFERROR(__xludf.DUMMYFUNCTION("""COMPUTED_VALUE"""),20.29)</f>
        <v>20.29</v>
      </c>
    </row>
    <row r="1567" ht="15.75" customHeight="1">
      <c r="A1567" s="25">
        <f>IFERROR(__xludf.DUMMYFUNCTION("""COMPUTED_VALUE"""),45538.66666666667)</f>
        <v>45538.66667</v>
      </c>
      <c r="B1567" s="22">
        <f>IFERROR(__xludf.DUMMYFUNCTION("""COMPUTED_VALUE"""),5528.93)</f>
        <v>5528.93</v>
      </c>
      <c r="C1567" s="25">
        <f>IFERROR(__xludf.DUMMYFUNCTION("""COMPUTED_VALUE"""),45538.63611111111)</f>
        <v>45538.63611</v>
      </c>
      <c r="D1567" s="22">
        <f>IFERROR(__xludf.DUMMYFUNCTION("""COMPUTED_VALUE"""),20.72)</f>
        <v>20.72</v>
      </c>
      <c r="F1567" s="25">
        <f>IFERROR(__xludf.DUMMYFUNCTION("""COMPUTED_VALUE"""),45538.63611111111)</f>
        <v>45538.63611</v>
      </c>
      <c r="G1567" s="22">
        <f>IFERROR(__xludf.DUMMYFUNCTION("""COMPUTED_VALUE"""),21.7)</f>
        <v>21.7</v>
      </c>
      <c r="H1567" s="25">
        <f>IFERROR(__xludf.DUMMYFUNCTION("""COMPUTED_VALUE"""),45538.63611111111)</f>
        <v>45538.63611</v>
      </c>
      <c r="I1567" s="22">
        <f>IFERROR(__xludf.DUMMYFUNCTION("""COMPUTED_VALUE"""),21.93)</f>
        <v>21.93</v>
      </c>
      <c r="J1567" s="25">
        <f>IFERROR(__xludf.DUMMYFUNCTION("""COMPUTED_VALUE"""),45538.63611111111)</f>
        <v>45538.63611</v>
      </c>
      <c r="K1567" s="22">
        <f>IFERROR(__xludf.DUMMYFUNCTION("""COMPUTED_VALUE"""),22.01)</f>
        <v>22.01</v>
      </c>
    </row>
    <row r="1568" ht="15.75" customHeight="1">
      <c r="A1568" s="25">
        <f>IFERROR(__xludf.DUMMYFUNCTION("""COMPUTED_VALUE"""),45539.66666666667)</f>
        <v>45539.66667</v>
      </c>
      <c r="B1568" s="22">
        <f>IFERROR(__xludf.DUMMYFUNCTION("""COMPUTED_VALUE"""),5520.07)</f>
        <v>5520.07</v>
      </c>
      <c r="C1568" s="25">
        <f>IFERROR(__xludf.DUMMYFUNCTION("""COMPUTED_VALUE"""),45539.63611111111)</f>
        <v>45539.63611</v>
      </c>
      <c r="D1568" s="22">
        <f>IFERROR(__xludf.DUMMYFUNCTION("""COMPUTED_VALUE"""),21.32)</f>
        <v>21.32</v>
      </c>
      <c r="F1568" s="25">
        <f>IFERROR(__xludf.DUMMYFUNCTION("""COMPUTED_VALUE"""),45539.63611111111)</f>
        <v>45539.63611</v>
      </c>
      <c r="G1568" s="22">
        <f>IFERROR(__xludf.DUMMYFUNCTION("""COMPUTED_VALUE"""),22.07)</f>
        <v>22.07</v>
      </c>
      <c r="H1568" s="25">
        <f>IFERROR(__xludf.DUMMYFUNCTION("""COMPUTED_VALUE"""),45539.63611111111)</f>
        <v>45539.63611</v>
      </c>
      <c r="I1568" s="22">
        <f>IFERROR(__xludf.DUMMYFUNCTION("""COMPUTED_VALUE"""),22.27)</f>
        <v>22.27</v>
      </c>
      <c r="J1568" s="25">
        <f>IFERROR(__xludf.DUMMYFUNCTION("""COMPUTED_VALUE"""),45539.63611111111)</f>
        <v>45539.63611</v>
      </c>
      <c r="K1568" s="22">
        <f>IFERROR(__xludf.DUMMYFUNCTION("""COMPUTED_VALUE"""),22.76)</f>
        <v>22.76</v>
      </c>
    </row>
    <row r="1569" ht="15.75" customHeight="1">
      <c r="A1569" s="25">
        <f>IFERROR(__xludf.DUMMYFUNCTION("""COMPUTED_VALUE"""),45540.66666666667)</f>
        <v>45540.66667</v>
      </c>
      <c r="B1569" s="22">
        <f>IFERROR(__xludf.DUMMYFUNCTION("""COMPUTED_VALUE"""),5503.41)</f>
        <v>5503.41</v>
      </c>
      <c r="C1569" s="25">
        <f>IFERROR(__xludf.DUMMYFUNCTION("""COMPUTED_VALUE"""),45540.63611111111)</f>
        <v>45540.63611</v>
      </c>
      <c r="D1569" s="22">
        <f>IFERROR(__xludf.DUMMYFUNCTION("""COMPUTED_VALUE"""),19.9)</f>
        <v>19.9</v>
      </c>
      <c r="F1569" s="25">
        <f>IFERROR(__xludf.DUMMYFUNCTION("""COMPUTED_VALUE"""),45540.63611111111)</f>
        <v>45540.63611</v>
      </c>
      <c r="G1569" s="22">
        <f>IFERROR(__xludf.DUMMYFUNCTION("""COMPUTED_VALUE"""),20.93)</f>
        <v>20.93</v>
      </c>
      <c r="H1569" s="25">
        <f>IFERROR(__xludf.DUMMYFUNCTION("""COMPUTED_VALUE"""),45540.63611111111)</f>
        <v>45540.63611</v>
      </c>
      <c r="I1569" s="22">
        <f>IFERROR(__xludf.DUMMYFUNCTION("""COMPUTED_VALUE"""),21.45)</f>
        <v>21.45</v>
      </c>
      <c r="J1569" s="25">
        <f>IFERROR(__xludf.DUMMYFUNCTION("""COMPUTED_VALUE"""),45540.63611111111)</f>
        <v>45540.63611</v>
      </c>
      <c r="K1569" s="22">
        <f>IFERROR(__xludf.DUMMYFUNCTION("""COMPUTED_VALUE"""),22.43)</f>
        <v>22.43</v>
      </c>
    </row>
    <row r="1570" ht="15.75" customHeight="1">
      <c r="A1570" s="25">
        <f>IFERROR(__xludf.DUMMYFUNCTION("""COMPUTED_VALUE"""),45541.66666666667)</f>
        <v>45541.66667</v>
      </c>
      <c r="B1570" s="22">
        <f>IFERROR(__xludf.DUMMYFUNCTION("""COMPUTED_VALUE"""),5408.42)</f>
        <v>5408.42</v>
      </c>
      <c r="C1570" s="25">
        <f>IFERROR(__xludf.DUMMYFUNCTION("""COMPUTED_VALUE"""),45541.63611111111)</f>
        <v>45541.63611</v>
      </c>
      <c r="D1570" s="22">
        <f>IFERROR(__xludf.DUMMYFUNCTION("""COMPUTED_VALUE"""),22.38)</f>
        <v>22.38</v>
      </c>
      <c r="F1570" s="25">
        <f>IFERROR(__xludf.DUMMYFUNCTION("""COMPUTED_VALUE"""),45541.63611111111)</f>
        <v>45541.63611</v>
      </c>
      <c r="G1570" s="22">
        <f>IFERROR(__xludf.DUMMYFUNCTION("""COMPUTED_VALUE"""),22.74)</f>
        <v>22.74</v>
      </c>
      <c r="H1570" s="25">
        <f>IFERROR(__xludf.DUMMYFUNCTION("""COMPUTED_VALUE"""),45541.63611111111)</f>
        <v>45541.63611</v>
      </c>
      <c r="I1570" s="22">
        <f>IFERROR(__xludf.DUMMYFUNCTION("""COMPUTED_VALUE"""),22.79)</f>
        <v>22.79</v>
      </c>
      <c r="J1570" s="25">
        <f>IFERROR(__xludf.DUMMYFUNCTION("""COMPUTED_VALUE"""),45541.63611111111)</f>
        <v>45541.63611</v>
      </c>
      <c r="K1570" s="22">
        <f>IFERROR(__xludf.DUMMYFUNCTION("""COMPUTED_VALUE"""),23.38)</f>
        <v>23.38</v>
      </c>
    </row>
    <row r="1571" ht="15.75" customHeight="1">
      <c r="A1571" s="25">
        <f>IFERROR(__xludf.DUMMYFUNCTION("""COMPUTED_VALUE"""),45544.66666666667)</f>
        <v>45544.66667</v>
      </c>
      <c r="B1571" s="22">
        <f>IFERROR(__xludf.DUMMYFUNCTION("""COMPUTED_VALUE"""),5471.05)</f>
        <v>5471.05</v>
      </c>
      <c r="C1571" s="25">
        <f>IFERROR(__xludf.DUMMYFUNCTION("""COMPUTED_VALUE"""),45544.63611111111)</f>
        <v>45544.63611</v>
      </c>
      <c r="D1571" s="22">
        <f>IFERROR(__xludf.DUMMYFUNCTION("""COMPUTED_VALUE"""),19.45)</f>
        <v>19.45</v>
      </c>
      <c r="F1571" s="25">
        <f>IFERROR(__xludf.DUMMYFUNCTION("""COMPUTED_VALUE"""),45544.63611111111)</f>
        <v>45544.63611</v>
      </c>
      <c r="G1571" s="22">
        <f>IFERROR(__xludf.DUMMYFUNCTION("""COMPUTED_VALUE"""),20.88)</f>
        <v>20.88</v>
      </c>
      <c r="H1571" s="25">
        <f>IFERROR(__xludf.DUMMYFUNCTION("""COMPUTED_VALUE"""),45544.63611111111)</f>
        <v>45544.63611</v>
      </c>
      <c r="I1571" s="22">
        <f>IFERROR(__xludf.DUMMYFUNCTION("""COMPUTED_VALUE"""),21.4)</f>
        <v>21.4</v>
      </c>
      <c r="J1571" s="25">
        <f>IFERROR(__xludf.DUMMYFUNCTION("""COMPUTED_VALUE"""),45544.63611111111)</f>
        <v>45544.63611</v>
      </c>
      <c r="K1571" s="22">
        <f>IFERROR(__xludf.DUMMYFUNCTION("""COMPUTED_VALUE"""),22.27)</f>
        <v>22.27</v>
      </c>
    </row>
    <row r="1572" ht="15.75" customHeight="1">
      <c r="A1572" s="25">
        <f>IFERROR(__xludf.DUMMYFUNCTION("""COMPUTED_VALUE"""),45545.66666666667)</f>
        <v>45545.66667</v>
      </c>
      <c r="B1572" s="22">
        <f>IFERROR(__xludf.DUMMYFUNCTION("""COMPUTED_VALUE"""),5495.52)</f>
        <v>5495.52</v>
      </c>
      <c r="C1572" s="25">
        <f>IFERROR(__xludf.DUMMYFUNCTION("""COMPUTED_VALUE"""),45545.63611111111)</f>
        <v>45545.63611</v>
      </c>
      <c r="D1572" s="22">
        <f>IFERROR(__xludf.DUMMYFUNCTION("""COMPUTED_VALUE"""),19.08)</f>
        <v>19.08</v>
      </c>
      <c r="F1572" s="25">
        <f>IFERROR(__xludf.DUMMYFUNCTION("""COMPUTED_VALUE"""),45545.63611111111)</f>
        <v>45545.63611</v>
      </c>
      <c r="G1572" s="22">
        <f>IFERROR(__xludf.DUMMYFUNCTION("""COMPUTED_VALUE"""),20.55)</f>
        <v>20.55</v>
      </c>
      <c r="H1572" s="25">
        <f>IFERROR(__xludf.DUMMYFUNCTION("""COMPUTED_VALUE"""),45545.63611111111)</f>
        <v>45545.63611</v>
      </c>
      <c r="I1572" s="22">
        <f>IFERROR(__xludf.DUMMYFUNCTION("""COMPUTED_VALUE"""),21.23)</f>
        <v>21.23</v>
      </c>
      <c r="J1572" s="25">
        <f>IFERROR(__xludf.DUMMYFUNCTION("""COMPUTED_VALUE"""),45545.63611111111)</f>
        <v>45545.63611</v>
      </c>
      <c r="K1572" s="22">
        <f>IFERROR(__xludf.DUMMYFUNCTION("""COMPUTED_VALUE"""),22.19)</f>
        <v>22.19</v>
      </c>
    </row>
    <row r="1573" ht="15.75" customHeight="1">
      <c r="A1573" s="25">
        <f>IFERROR(__xludf.DUMMYFUNCTION("""COMPUTED_VALUE"""),45546.66666666667)</f>
        <v>45546.66667</v>
      </c>
      <c r="B1573" s="22">
        <f>IFERROR(__xludf.DUMMYFUNCTION("""COMPUTED_VALUE"""),5554.13)</f>
        <v>5554.13</v>
      </c>
      <c r="C1573" s="25">
        <f>IFERROR(__xludf.DUMMYFUNCTION("""COMPUTED_VALUE"""),45546.63611111111)</f>
        <v>45546.63611</v>
      </c>
      <c r="D1573" s="22">
        <f>IFERROR(__xludf.DUMMYFUNCTION("""COMPUTED_VALUE"""),17.69)</f>
        <v>17.69</v>
      </c>
      <c r="F1573" s="25">
        <f>IFERROR(__xludf.DUMMYFUNCTION("""COMPUTED_VALUE"""),45546.63611111111)</f>
        <v>45546.63611</v>
      </c>
      <c r="G1573" s="22">
        <f>IFERROR(__xludf.DUMMYFUNCTION("""COMPUTED_VALUE"""),19.59)</f>
        <v>19.59</v>
      </c>
      <c r="H1573" s="25">
        <f>IFERROR(__xludf.DUMMYFUNCTION("""COMPUTED_VALUE"""),45546.63611111111)</f>
        <v>45546.63611</v>
      </c>
      <c r="I1573" s="22">
        <f>IFERROR(__xludf.DUMMYFUNCTION("""COMPUTED_VALUE"""),20.37)</f>
        <v>20.37</v>
      </c>
      <c r="J1573" s="25">
        <f>IFERROR(__xludf.DUMMYFUNCTION("""COMPUTED_VALUE"""),45546.63611111111)</f>
        <v>45546.63611</v>
      </c>
      <c r="K1573" s="22">
        <f>IFERROR(__xludf.DUMMYFUNCTION("""COMPUTED_VALUE"""),21.63)</f>
        <v>21.63</v>
      </c>
    </row>
    <row r="1574" ht="15.75" customHeight="1">
      <c r="A1574" s="25">
        <f>IFERROR(__xludf.DUMMYFUNCTION("""COMPUTED_VALUE"""),45547.66666666667)</f>
        <v>45547.66667</v>
      </c>
      <c r="B1574" s="22">
        <f>IFERROR(__xludf.DUMMYFUNCTION("""COMPUTED_VALUE"""),5595.76)</f>
        <v>5595.76</v>
      </c>
      <c r="C1574" s="25">
        <f>IFERROR(__xludf.DUMMYFUNCTION("""COMPUTED_VALUE"""),45547.63611111111)</f>
        <v>45547.63611</v>
      </c>
      <c r="D1574" s="22">
        <f>IFERROR(__xludf.DUMMYFUNCTION("""COMPUTED_VALUE"""),17.07)</f>
        <v>17.07</v>
      </c>
      <c r="F1574" s="25">
        <f>IFERROR(__xludf.DUMMYFUNCTION("""COMPUTED_VALUE"""),45547.63611111111)</f>
        <v>45547.63611</v>
      </c>
      <c r="G1574" s="22">
        <f>IFERROR(__xludf.DUMMYFUNCTION("""COMPUTED_VALUE"""),19.48)</f>
        <v>19.48</v>
      </c>
      <c r="H1574" s="25">
        <f>IFERROR(__xludf.DUMMYFUNCTION("""COMPUTED_VALUE"""),45547.63611111111)</f>
        <v>45547.63611</v>
      </c>
      <c r="I1574" s="22">
        <f>IFERROR(__xludf.DUMMYFUNCTION("""COMPUTED_VALUE"""),20.4)</f>
        <v>20.4</v>
      </c>
      <c r="J1574" s="25">
        <f>IFERROR(__xludf.DUMMYFUNCTION("""COMPUTED_VALUE"""),45547.63611111111)</f>
        <v>45547.63611</v>
      </c>
      <c r="K1574" s="22">
        <f>IFERROR(__xludf.DUMMYFUNCTION("""COMPUTED_VALUE"""),21.91)</f>
        <v>21.91</v>
      </c>
    </row>
    <row r="1575" ht="15.75" customHeight="1">
      <c r="A1575" s="25">
        <f>IFERROR(__xludf.DUMMYFUNCTION("""COMPUTED_VALUE"""),45548.66666666667)</f>
        <v>45548.66667</v>
      </c>
      <c r="B1575" s="22">
        <f>IFERROR(__xludf.DUMMYFUNCTION("""COMPUTED_VALUE"""),5626.02)</f>
        <v>5626.02</v>
      </c>
      <c r="C1575" s="25">
        <f>IFERROR(__xludf.DUMMYFUNCTION("""COMPUTED_VALUE"""),45548.63611111111)</f>
        <v>45548.63611</v>
      </c>
      <c r="D1575" s="22">
        <f>IFERROR(__xludf.DUMMYFUNCTION("""COMPUTED_VALUE"""),16.56)</f>
        <v>16.56</v>
      </c>
      <c r="F1575" s="25">
        <f>IFERROR(__xludf.DUMMYFUNCTION("""COMPUTED_VALUE"""),45548.63611111111)</f>
        <v>45548.63611</v>
      </c>
      <c r="G1575" s="22">
        <f>IFERROR(__xludf.DUMMYFUNCTION("""COMPUTED_VALUE"""),19.28)</f>
        <v>19.28</v>
      </c>
      <c r="H1575" s="25">
        <f>IFERROR(__xludf.DUMMYFUNCTION("""COMPUTED_VALUE"""),45548.63611111111)</f>
        <v>45548.63611</v>
      </c>
      <c r="I1575" s="22">
        <f>IFERROR(__xludf.DUMMYFUNCTION("""COMPUTED_VALUE"""),20.28)</f>
        <v>20.28</v>
      </c>
      <c r="J1575" s="25">
        <f>IFERROR(__xludf.DUMMYFUNCTION("""COMPUTED_VALUE"""),45548.63611111111)</f>
        <v>45548.63611</v>
      </c>
      <c r="K1575" s="22">
        <f>IFERROR(__xludf.DUMMYFUNCTION("""COMPUTED_VALUE"""),21.65)</f>
        <v>21.65</v>
      </c>
    </row>
    <row r="1576" ht="15.75" customHeight="1">
      <c r="A1576" s="25">
        <f>IFERROR(__xludf.DUMMYFUNCTION("""COMPUTED_VALUE"""),45551.66666666667)</f>
        <v>45551.66667</v>
      </c>
      <c r="B1576" s="22">
        <f>IFERROR(__xludf.DUMMYFUNCTION("""COMPUTED_VALUE"""),5633.09)</f>
        <v>5633.09</v>
      </c>
      <c r="C1576" s="25">
        <f>IFERROR(__xludf.DUMMYFUNCTION("""COMPUTED_VALUE"""),45551.63611111111)</f>
        <v>45551.63611</v>
      </c>
      <c r="D1576" s="22">
        <f>IFERROR(__xludf.DUMMYFUNCTION("""COMPUTED_VALUE"""),17.14)</f>
        <v>17.14</v>
      </c>
      <c r="F1576" s="25">
        <f>IFERROR(__xludf.DUMMYFUNCTION("""COMPUTED_VALUE"""),45551.63611111111)</f>
        <v>45551.63611</v>
      </c>
      <c r="G1576" s="22">
        <f>IFERROR(__xludf.DUMMYFUNCTION("""COMPUTED_VALUE"""),19.81)</f>
        <v>19.81</v>
      </c>
      <c r="H1576" s="25">
        <f>IFERROR(__xludf.DUMMYFUNCTION("""COMPUTED_VALUE"""),45551.63611111111)</f>
        <v>45551.63611</v>
      </c>
      <c r="I1576" s="22">
        <f>IFERROR(__xludf.DUMMYFUNCTION("""COMPUTED_VALUE"""),20.58)</f>
        <v>20.58</v>
      </c>
      <c r="J1576" s="25">
        <f>IFERROR(__xludf.DUMMYFUNCTION("""COMPUTED_VALUE"""),45551.63611111111)</f>
        <v>45551.63611</v>
      </c>
      <c r="K1576" s="22">
        <f>IFERROR(__xludf.DUMMYFUNCTION("""COMPUTED_VALUE"""),21.83)</f>
        <v>21.83</v>
      </c>
    </row>
    <row r="1577" ht="15.75" customHeight="1">
      <c r="A1577" s="25">
        <f>IFERROR(__xludf.DUMMYFUNCTION("""COMPUTED_VALUE"""),45552.66666666667)</f>
        <v>45552.66667</v>
      </c>
      <c r="B1577" s="22">
        <f>IFERROR(__xludf.DUMMYFUNCTION("""COMPUTED_VALUE"""),5634.58)</f>
        <v>5634.58</v>
      </c>
      <c r="C1577" s="25">
        <f>IFERROR(__xludf.DUMMYFUNCTION("""COMPUTED_VALUE"""),45552.63611111111)</f>
        <v>45552.63611</v>
      </c>
      <c r="D1577" s="22">
        <f>IFERROR(__xludf.DUMMYFUNCTION("""COMPUTED_VALUE"""),17.61)</f>
        <v>17.61</v>
      </c>
      <c r="F1577" s="25">
        <f>IFERROR(__xludf.DUMMYFUNCTION("""COMPUTED_VALUE"""),45552.63611111111)</f>
        <v>45552.63611</v>
      </c>
      <c r="G1577" s="22">
        <f>IFERROR(__xludf.DUMMYFUNCTION("""COMPUTED_VALUE"""),20.13)</f>
        <v>20.13</v>
      </c>
      <c r="H1577" s="25">
        <f>IFERROR(__xludf.DUMMYFUNCTION("""COMPUTED_VALUE"""),45552.63611111111)</f>
        <v>45552.63611</v>
      </c>
      <c r="I1577" s="22">
        <f>IFERROR(__xludf.DUMMYFUNCTION("""COMPUTED_VALUE"""),20.88)</f>
        <v>20.88</v>
      </c>
      <c r="J1577" s="25">
        <f>IFERROR(__xludf.DUMMYFUNCTION("""COMPUTED_VALUE"""),45552.63611111111)</f>
        <v>45552.63611</v>
      </c>
      <c r="K1577" s="22">
        <f>IFERROR(__xludf.DUMMYFUNCTION("""COMPUTED_VALUE"""),22.08)</f>
        <v>22.08</v>
      </c>
    </row>
    <row r="1578" ht="15.75" customHeight="1">
      <c r="A1578" s="25">
        <f>IFERROR(__xludf.DUMMYFUNCTION("""COMPUTED_VALUE"""),45553.66666666667)</f>
        <v>45553.66667</v>
      </c>
      <c r="B1578" s="22">
        <f>IFERROR(__xludf.DUMMYFUNCTION("""COMPUTED_VALUE"""),5618.26)</f>
        <v>5618.26</v>
      </c>
      <c r="C1578" s="25">
        <f>IFERROR(__xludf.DUMMYFUNCTION("""COMPUTED_VALUE"""),45553.63611111111)</f>
        <v>45553.63611</v>
      </c>
      <c r="D1578" s="22">
        <f>IFERROR(__xludf.DUMMYFUNCTION("""COMPUTED_VALUE"""),18.23)</f>
        <v>18.23</v>
      </c>
      <c r="F1578" s="25">
        <f>IFERROR(__xludf.DUMMYFUNCTION("""COMPUTED_VALUE"""),45553.63611111111)</f>
        <v>45553.63611</v>
      </c>
      <c r="G1578" s="22">
        <f>IFERROR(__xludf.DUMMYFUNCTION("""COMPUTED_VALUE"""),20.35)</f>
        <v>20.35</v>
      </c>
      <c r="H1578" s="25">
        <f>IFERROR(__xludf.DUMMYFUNCTION("""COMPUTED_VALUE"""),45553.63611111111)</f>
        <v>45553.63611</v>
      </c>
      <c r="I1578" s="22">
        <f>IFERROR(__xludf.DUMMYFUNCTION("""COMPUTED_VALUE"""),20.98)</f>
        <v>20.98</v>
      </c>
      <c r="J1578" s="25">
        <f>IFERROR(__xludf.DUMMYFUNCTION("""COMPUTED_VALUE"""),45553.63611111111)</f>
        <v>45553.63611</v>
      </c>
      <c r="K1578" s="22">
        <f>IFERROR(__xludf.DUMMYFUNCTION("""COMPUTED_VALUE"""),22.25)</f>
        <v>22.25</v>
      </c>
    </row>
    <row r="1579" ht="15.75" customHeight="1">
      <c r="A1579" s="25">
        <f>IFERROR(__xludf.DUMMYFUNCTION("""COMPUTED_VALUE"""),45554.66666666667)</f>
        <v>45554.66667</v>
      </c>
      <c r="B1579" s="22">
        <f>IFERROR(__xludf.DUMMYFUNCTION("""COMPUTED_VALUE"""),5713.64)</f>
        <v>5713.64</v>
      </c>
      <c r="C1579" s="25">
        <f>IFERROR(__xludf.DUMMYFUNCTION("""COMPUTED_VALUE"""),45554.63611111111)</f>
        <v>45554.63611</v>
      </c>
      <c r="D1579" s="22">
        <f>IFERROR(__xludf.DUMMYFUNCTION("""COMPUTED_VALUE"""),16.33)</f>
        <v>16.33</v>
      </c>
      <c r="F1579" s="25">
        <f>IFERROR(__xludf.DUMMYFUNCTION("""COMPUTED_VALUE"""),45554.63611111111)</f>
        <v>45554.63611</v>
      </c>
      <c r="G1579" s="22">
        <f>IFERROR(__xludf.DUMMYFUNCTION("""COMPUTED_VALUE"""),19.07)</f>
        <v>19.07</v>
      </c>
      <c r="H1579" s="25">
        <f>IFERROR(__xludf.DUMMYFUNCTION("""COMPUTED_VALUE"""),45554.63611111111)</f>
        <v>45554.63611</v>
      </c>
      <c r="I1579" s="22">
        <f>IFERROR(__xludf.DUMMYFUNCTION("""COMPUTED_VALUE"""),20.04)</f>
        <v>20.04</v>
      </c>
      <c r="J1579" s="25">
        <f>IFERROR(__xludf.DUMMYFUNCTION("""COMPUTED_VALUE"""),45554.63611111111)</f>
        <v>45554.63611</v>
      </c>
      <c r="K1579" s="22">
        <f>IFERROR(__xludf.DUMMYFUNCTION("""COMPUTED_VALUE"""),21.52)</f>
        <v>21.52</v>
      </c>
    </row>
    <row r="1580" ht="15.75" customHeight="1">
      <c r="A1580" s="25">
        <f>IFERROR(__xludf.DUMMYFUNCTION("""COMPUTED_VALUE"""),45555.66666666667)</f>
        <v>45555.66667</v>
      </c>
      <c r="B1580" s="22">
        <f>IFERROR(__xludf.DUMMYFUNCTION("""COMPUTED_VALUE"""),5702.55)</f>
        <v>5702.55</v>
      </c>
      <c r="C1580" s="25">
        <f>IFERROR(__xludf.DUMMYFUNCTION("""COMPUTED_VALUE"""),45555.63611111111)</f>
        <v>45555.63611</v>
      </c>
      <c r="D1580" s="22">
        <f>IFERROR(__xludf.DUMMYFUNCTION("""COMPUTED_VALUE"""),16.15)</f>
        <v>16.15</v>
      </c>
      <c r="F1580" s="25">
        <f>IFERROR(__xludf.DUMMYFUNCTION("""COMPUTED_VALUE"""),45555.63611111111)</f>
        <v>45555.63611</v>
      </c>
      <c r="G1580" s="22">
        <f>IFERROR(__xludf.DUMMYFUNCTION("""COMPUTED_VALUE"""),18.94)</f>
        <v>18.94</v>
      </c>
      <c r="H1580" s="25">
        <f>IFERROR(__xludf.DUMMYFUNCTION("""COMPUTED_VALUE"""),45555.63611111111)</f>
        <v>45555.63611</v>
      </c>
      <c r="I1580" s="22">
        <f>IFERROR(__xludf.DUMMYFUNCTION("""COMPUTED_VALUE"""),20.12)</f>
        <v>20.12</v>
      </c>
      <c r="J1580" s="25">
        <f>IFERROR(__xludf.DUMMYFUNCTION("""COMPUTED_VALUE"""),45555.63611111111)</f>
        <v>45555.63611</v>
      </c>
      <c r="K1580" s="22">
        <f>IFERROR(__xludf.DUMMYFUNCTION("""COMPUTED_VALUE"""),21.47)</f>
        <v>21.47</v>
      </c>
    </row>
    <row r="1581" ht="15.75" customHeight="1">
      <c r="A1581" s="25">
        <f>IFERROR(__xludf.DUMMYFUNCTION("""COMPUTED_VALUE"""),45558.66666666667)</f>
        <v>45558.66667</v>
      </c>
      <c r="B1581" s="22">
        <f>IFERROR(__xludf.DUMMYFUNCTION("""COMPUTED_VALUE"""),5718.57)</f>
        <v>5718.57</v>
      </c>
      <c r="C1581" s="25">
        <f>IFERROR(__xludf.DUMMYFUNCTION("""COMPUTED_VALUE"""),45558.63611111111)</f>
        <v>45558.63611</v>
      </c>
      <c r="D1581" s="22">
        <f>IFERROR(__xludf.DUMMYFUNCTION("""COMPUTED_VALUE"""),15.89)</f>
        <v>15.89</v>
      </c>
      <c r="F1581" s="25">
        <f>IFERROR(__xludf.DUMMYFUNCTION("""COMPUTED_VALUE"""),45558.63611111111)</f>
        <v>45558.63611</v>
      </c>
      <c r="G1581" s="22">
        <f>IFERROR(__xludf.DUMMYFUNCTION("""COMPUTED_VALUE"""),18.7)</f>
        <v>18.7</v>
      </c>
      <c r="H1581" s="25">
        <f>IFERROR(__xludf.DUMMYFUNCTION("""COMPUTED_VALUE"""),45558.63611111111)</f>
        <v>45558.63611</v>
      </c>
      <c r="I1581" s="22">
        <f>IFERROR(__xludf.DUMMYFUNCTION("""COMPUTED_VALUE"""),20.05)</f>
        <v>20.05</v>
      </c>
      <c r="J1581" s="25">
        <f>IFERROR(__xludf.DUMMYFUNCTION("""COMPUTED_VALUE"""),45558.63611111111)</f>
        <v>45558.63611</v>
      </c>
      <c r="K1581" s="22">
        <f>IFERROR(__xludf.DUMMYFUNCTION("""COMPUTED_VALUE"""),21.41)</f>
        <v>21.41</v>
      </c>
    </row>
    <row r="1582" ht="15.75" customHeight="1">
      <c r="A1582" s="25">
        <f>IFERROR(__xludf.DUMMYFUNCTION("""COMPUTED_VALUE"""),45559.66666666667)</f>
        <v>45559.66667</v>
      </c>
      <c r="B1582" s="22">
        <f>IFERROR(__xludf.DUMMYFUNCTION("""COMPUTED_VALUE"""),5732.93)</f>
        <v>5732.93</v>
      </c>
      <c r="C1582" s="25">
        <f>IFERROR(__xludf.DUMMYFUNCTION("""COMPUTED_VALUE"""),45559.63611111111)</f>
        <v>45559.63611</v>
      </c>
      <c r="D1582" s="22">
        <f>IFERROR(__xludf.DUMMYFUNCTION("""COMPUTED_VALUE"""),15.39)</f>
        <v>15.39</v>
      </c>
      <c r="F1582" s="25">
        <f>IFERROR(__xludf.DUMMYFUNCTION("""COMPUTED_VALUE"""),45559.63611111111)</f>
        <v>45559.63611</v>
      </c>
      <c r="G1582" s="22">
        <f>IFERROR(__xludf.DUMMYFUNCTION("""COMPUTED_VALUE"""),18.47)</f>
        <v>18.47</v>
      </c>
      <c r="H1582" s="25">
        <f>IFERROR(__xludf.DUMMYFUNCTION("""COMPUTED_VALUE"""),45559.63611111111)</f>
        <v>45559.63611</v>
      </c>
      <c r="I1582" s="22">
        <f>IFERROR(__xludf.DUMMYFUNCTION("""COMPUTED_VALUE"""),19.87)</f>
        <v>19.87</v>
      </c>
      <c r="J1582" s="25">
        <f>IFERROR(__xludf.DUMMYFUNCTION("""COMPUTED_VALUE"""),45559.63611111111)</f>
        <v>45559.63611</v>
      </c>
      <c r="K1582" s="22">
        <f>IFERROR(__xludf.DUMMYFUNCTION("""COMPUTED_VALUE"""),21.29)</f>
        <v>21.29</v>
      </c>
    </row>
    <row r="1583" ht="15.75" customHeight="1">
      <c r="A1583" s="25">
        <f>IFERROR(__xludf.DUMMYFUNCTION("""COMPUTED_VALUE"""),45560.66666666667)</f>
        <v>45560.66667</v>
      </c>
      <c r="B1583" s="22">
        <f>IFERROR(__xludf.DUMMYFUNCTION("""COMPUTED_VALUE"""),5722.26)</f>
        <v>5722.26</v>
      </c>
      <c r="C1583" s="25">
        <f>IFERROR(__xludf.DUMMYFUNCTION("""COMPUTED_VALUE"""),45560.63611111111)</f>
        <v>45560.63611</v>
      </c>
      <c r="D1583" s="22">
        <f>IFERROR(__xludf.DUMMYFUNCTION("""COMPUTED_VALUE"""),15.41)</f>
        <v>15.41</v>
      </c>
      <c r="F1583" s="25">
        <f>IFERROR(__xludf.DUMMYFUNCTION("""COMPUTED_VALUE"""),45560.63611111111)</f>
        <v>45560.63611</v>
      </c>
      <c r="G1583" s="22">
        <f>IFERROR(__xludf.DUMMYFUNCTION("""COMPUTED_VALUE"""),18.57)</f>
        <v>18.57</v>
      </c>
      <c r="H1583" s="25">
        <f>IFERROR(__xludf.DUMMYFUNCTION("""COMPUTED_VALUE"""),45560.63611111111)</f>
        <v>45560.63611</v>
      </c>
      <c r="I1583" s="22">
        <f>IFERROR(__xludf.DUMMYFUNCTION("""COMPUTED_VALUE"""),20.0)</f>
        <v>20</v>
      </c>
      <c r="J1583" s="25">
        <f>IFERROR(__xludf.DUMMYFUNCTION("""COMPUTED_VALUE"""),45560.63611111111)</f>
        <v>45560.63611</v>
      </c>
      <c r="K1583" s="22">
        <f>IFERROR(__xludf.DUMMYFUNCTION("""COMPUTED_VALUE"""),21.49)</f>
        <v>21.49</v>
      </c>
    </row>
    <row r="1584" ht="15.75" customHeight="1">
      <c r="A1584" s="25">
        <f>IFERROR(__xludf.DUMMYFUNCTION("""COMPUTED_VALUE"""),45561.66666666667)</f>
        <v>45561.66667</v>
      </c>
      <c r="B1584" s="22">
        <f>IFERROR(__xludf.DUMMYFUNCTION("""COMPUTED_VALUE"""),5745.37)</f>
        <v>5745.37</v>
      </c>
      <c r="C1584" s="25">
        <f>IFERROR(__xludf.DUMMYFUNCTION("""COMPUTED_VALUE"""),45561.63611111111)</f>
        <v>45561.63611</v>
      </c>
      <c r="D1584" s="22">
        <f>IFERROR(__xludf.DUMMYFUNCTION("""COMPUTED_VALUE"""),15.37)</f>
        <v>15.37</v>
      </c>
      <c r="F1584" s="25">
        <f>IFERROR(__xludf.DUMMYFUNCTION("""COMPUTED_VALUE"""),45561.63611111111)</f>
        <v>45561.63611</v>
      </c>
      <c r="G1584" s="22">
        <f>IFERROR(__xludf.DUMMYFUNCTION("""COMPUTED_VALUE"""),18.45)</f>
        <v>18.45</v>
      </c>
      <c r="H1584" s="25">
        <f>IFERROR(__xludf.DUMMYFUNCTION("""COMPUTED_VALUE"""),45561.63611111111)</f>
        <v>45561.63611</v>
      </c>
      <c r="I1584" s="22">
        <f>IFERROR(__xludf.DUMMYFUNCTION("""COMPUTED_VALUE"""),19.99)</f>
        <v>19.99</v>
      </c>
      <c r="J1584" s="25">
        <f>IFERROR(__xludf.DUMMYFUNCTION("""COMPUTED_VALUE"""),45561.63611111111)</f>
        <v>45561.63611</v>
      </c>
      <c r="K1584" s="22">
        <f>IFERROR(__xludf.DUMMYFUNCTION("""COMPUTED_VALUE"""),21.6)</f>
        <v>21.6</v>
      </c>
    </row>
    <row r="1585" ht="15.75" customHeight="1">
      <c r="A1585" s="25">
        <f>IFERROR(__xludf.DUMMYFUNCTION("""COMPUTED_VALUE"""),45562.66666666667)</f>
        <v>45562.66667</v>
      </c>
      <c r="B1585" s="22">
        <f>IFERROR(__xludf.DUMMYFUNCTION("""COMPUTED_VALUE"""),5738.17)</f>
        <v>5738.17</v>
      </c>
      <c r="C1585" s="25">
        <f>IFERROR(__xludf.DUMMYFUNCTION("""COMPUTED_VALUE"""),45562.63611111111)</f>
        <v>45562.63611</v>
      </c>
      <c r="D1585" s="22">
        <f>IFERROR(__xludf.DUMMYFUNCTION("""COMPUTED_VALUE"""),16.96)</f>
        <v>16.96</v>
      </c>
      <c r="F1585" s="25">
        <f>IFERROR(__xludf.DUMMYFUNCTION("""COMPUTED_VALUE"""),45562.63611111111)</f>
        <v>45562.63611</v>
      </c>
      <c r="G1585" s="22">
        <f>IFERROR(__xludf.DUMMYFUNCTION("""COMPUTED_VALUE"""),19.54)</f>
        <v>19.54</v>
      </c>
      <c r="H1585" s="25">
        <f>IFERROR(__xludf.DUMMYFUNCTION("""COMPUTED_VALUE"""),45562.63611111111)</f>
        <v>45562.63611</v>
      </c>
      <c r="I1585" s="22">
        <f>IFERROR(__xludf.DUMMYFUNCTION("""COMPUTED_VALUE"""),20.92)</f>
        <v>20.92</v>
      </c>
      <c r="J1585" s="25">
        <f>IFERROR(__xludf.DUMMYFUNCTION("""COMPUTED_VALUE"""),45562.63611111111)</f>
        <v>45562.63611</v>
      </c>
      <c r="K1585" s="22">
        <f>IFERROR(__xludf.DUMMYFUNCTION("""COMPUTED_VALUE"""),22.23)</f>
        <v>22.23</v>
      </c>
    </row>
    <row r="1586" ht="15.75" customHeight="1">
      <c r="A1586" s="25">
        <f>IFERROR(__xludf.DUMMYFUNCTION("""COMPUTED_VALUE"""),45565.66666666667)</f>
        <v>45565.66667</v>
      </c>
      <c r="B1586" s="22">
        <f>IFERROR(__xludf.DUMMYFUNCTION("""COMPUTED_VALUE"""),5762.48)</f>
        <v>5762.48</v>
      </c>
      <c r="C1586" s="25">
        <f>IFERROR(__xludf.DUMMYFUNCTION("""COMPUTED_VALUE"""),45565.63611111111)</f>
        <v>45565.63611</v>
      </c>
      <c r="D1586" s="22">
        <f>IFERROR(__xludf.DUMMYFUNCTION("""COMPUTED_VALUE"""),16.73)</f>
        <v>16.73</v>
      </c>
      <c r="F1586" s="25">
        <f>IFERROR(__xludf.DUMMYFUNCTION("""COMPUTED_VALUE"""),45565.63611111111)</f>
        <v>45565.63611</v>
      </c>
      <c r="G1586" s="22">
        <f>IFERROR(__xludf.DUMMYFUNCTION("""COMPUTED_VALUE"""),19.22)</f>
        <v>19.22</v>
      </c>
      <c r="H1586" s="25">
        <f>IFERROR(__xludf.DUMMYFUNCTION("""COMPUTED_VALUE"""),45565.63611111111)</f>
        <v>45565.63611</v>
      </c>
      <c r="I1586" s="22">
        <f>IFERROR(__xludf.DUMMYFUNCTION("""COMPUTED_VALUE"""),20.62)</f>
        <v>20.62</v>
      </c>
      <c r="J1586" s="25">
        <f>IFERROR(__xludf.DUMMYFUNCTION("""COMPUTED_VALUE"""),45565.63611111111)</f>
        <v>45565.63611</v>
      </c>
      <c r="K1586" s="22">
        <f>IFERROR(__xludf.DUMMYFUNCTION("""COMPUTED_VALUE"""),21.85)</f>
        <v>21.85</v>
      </c>
    </row>
    <row r="1587" ht="15.75" customHeight="1">
      <c r="A1587" s="25">
        <f>IFERROR(__xludf.DUMMYFUNCTION("""COMPUTED_VALUE"""),45566.66666666667)</f>
        <v>45566.66667</v>
      </c>
      <c r="B1587" s="22">
        <f>IFERROR(__xludf.DUMMYFUNCTION("""COMPUTED_VALUE"""),5708.75)</f>
        <v>5708.75</v>
      </c>
      <c r="C1587" s="25">
        <f>IFERROR(__xludf.DUMMYFUNCTION("""COMPUTED_VALUE"""),45566.63611111111)</f>
        <v>45566.63611</v>
      </c>
      <c r="D1587" s="22">
        <f>IFERROR(__xludf.DUMMYFUNCTION("""COMPUTED_VALUE"""),19.26)</f>
        <v>19.26</v>
      </c>
      <c r="F1587" s="25">
        <f>IFERROR(__xludf.DUMMYFUNCTION("""COMPUTED_VALUE"""),45566.63611111111)</f>
        <v>45566.63611</v>
      </c>
      <c r="G1587" s="22">
        <f>IFERROR(__xludf.DUMMYFUNCTION("""COMPUTED_VALUE"""),20.89)</f>
        <v>20.89</v>
      </c>
      <c r="H1587" s="25">
        <f>IFERROR(__xludf.DUMMYFUNCTION("""COMPUTED_VALUE"""),45566.63611111111)</f>
        <v>45566.63611</v>
      </c>
      <c r="I1587" s="22">
        <f>IFERROR(__xludf.DUMMYFUNCTION("""COMPUTED_VALUE"""),21.83)</f>
        <v>21.83</v>
      </c>
      <c r="J1587" s="25">
        <f>IFERROR(__xludf.DUMMYFUNCTION("""COMPUTED_VALUE"""),45566.63611111111)</f>
        <v>45566.63611</v>
      </c>
      <c r="K1587" s="22">
        <f>IFERROR(__xludf.DUMMYFUNCTION("""COMPUTED_VALUE"""),22.66)</f>
        <v>22.66</v>
      </c>
    </row>
    <row r="1588" ht="15.75" customHeight="1">
      <c r="A1588" s="25">
        <f>IFERROR(__xludf.DUMMYFUNCTION("""COMPUTED_VALUE"""),45567.66666666667)</f>
        <v>45567.66667</v>
      </c>
      <c r="B1588" s="22">
        <f>IFERROR(__xludf.DUMMYFUNCTION("""COMPUTED_VALUE"""),5709.54)</f>
        <v>5709.54</v>
      </c>
      <c r="C1588" s="25">
        <f>IFERROR(__xludf.DUMMYFUNCTION("""COMPUTED_VALUE"""),45567.63611111111)</f>
        <v>45567.63611</v>
      </c>
      <c r="D1588" s="22">
        <f>IFERROR(__xludf.DUMMYFUNCTION("""COMPUTED_VALUE"""),18.9)</f>
        <v>18.9</v>
      </c>
      <c r="F1588" s="25">
        <f>IFERROR(__xludf.DUMMYFUNCTION("""COMPUTED_VALUE"""),45567.63611111111)</f>
        <v>45567.63611</v>
      </c>
      <c r="G1588" s="22">
        <f>IFERROR(__xludf.DUMMYFUNCTION("""COMPUTED_VALUE"""),20.59)</f>
        <v>20.59</v>
      </c>
      <c r="H1588" s="25">
        <f>IFERROR(__xludf.DUMMYFUNCTION("""COMPUTED_VALUE"""),45567.63611111111)</f>
        <v>45567.63611</v>
      </c>
      <c r="I1588" s="22">
        <f>IFERROR(__xludf.DUMMYFUNCTION("""COMPUTED_VALUE"""),21.62)</f>
        <v>21.62</v>
      </c>
      <c r="J1588" s="25">
        <f>IFERROR(__xludf.DUMMYFUNCTION("""COMPUTED_VALUE"""),45567.63611111111)</f>
        <v>45567.63611</v>
      </c>
      <c r="K1588" s="22">
        <f>IFERROR(__xludf.DUMMYFUNCTION("""COMPUTED_VALUE"""),22.43)</f>
        <v>22.43</v>
      </c>
    </row>
    <row r="1589" ht="15.75" customHeight="1">
      <c r="A1589" s="25">
        <f>IFERROR(__xludf.DUMMYFUNCTION("""COMPUTED_VALUE"""),45568.66666666667)</f>
        <v>45568.66667</v>
      </c>
      <c r="B1589" s="22">
        <f>IFERROR(__xludf.DUMMYFUNCTION("""COMPUTED_VALUE"""),5699.94)</f>
        <v>5699.94</v>
      </c>
      <c r="C1589" s="25">
        <f>IFERROR(__xludf.DUMMYFUNCTION("""COMPUTED_VALUE"""),45568.63611111111)</f>
        <v>45568.63611</v>
      </c>
      <c r="D1589" s="22">
        <f>IFERROR(__xludf.DUMMYFUNCTION("""COMPUTED_VALUE"""),20.49)</f>
        <v>20.49</v>
      </c>
      <c r="F1589" s="25">
        <f>IFERROR(__xludf.DUMMYFUNCTION("""COMPUTED_VALUE"""),45568.63611111111)</f>
        <v>45568.63611</v>
      </c>
      <c r="G1589" s="22">
        <f>IFERROR(__xludf.DUMMYFUNCTION("""COMPUTED_VALUE"""),21.63)</f>
        <v>21.63</v>
      </c>
      <c r="H1589" s="25">
        <f>IFERROR(__xludf.DUMMYFUNCTION("""COMPUTED_VALUE"""),45568.63611111111)</f>
        <v>45568.63611</v>
      </c>
      <c r="I1589" s="22">
        <f>IFERROR(__xludf.DUMMYFUNCTION("""COMPUTED_VALUE"""),22.28)</f>
        <v>22.28</v>
      </c>
      <c r="J1589" s="25">
        <f>IFERROR(__xludf.DUMMYFUNCTION("""COMPUTED_VALUE"""),45568.63611111111)</f>
        <v>45568.63611</v>
      </c>
      <c r="K1589" s="22">
        <f>IFERROR(__xludf.DUMMYFUNCTION("""COMPUTED_VALUE"""),22.86)</f>
        <v>22.86</v>
      </c>
    </row>
    <row r="1590" ht="15.75" customHeight="1">
      <c r="A1590" s="25">
        <f>IFERROR(__xludf.DUMMYFUNCTION("""COMPUTED_VALUE"""),45569.66666666667)</f>
        <v>45569.66667</v>
      </c>
      <c r="B1590" s="22">
        <f>IFERROR(__xludf.DUMMYFUNCTION("""COMPUTED_VALUE"""),5751.07)</f>
        <v>5751.07</v>
      </c>
      <c r="C1590" s="25">
        <f>IFERROR(__xludf.DUMMYFUNCTION("""COMPUTED_VALUE"""),45569.63611111111)</f>
        <v>45569.63611</v>
      </c>
      <c r="D1590" s="22">
        <f>IFERROR(__xludf.DUMMYFUNCTION("""COMPUTED_VALUE"""),19.21)</f>
        <v>19.21</v>
      </c>
      <c r="F1590" s="25">
        <f>IFERROR(__xludf.DUMMYFUNCTION("""COMPUTED_VALUE"""),45569.63611111111)</f>
        <v>45569.63611</v>
      </c>
      <c r="G1590" s="22">
        <f>IFERROR(__xludf.DUMMYFUNCTION("""COMPUTED_VALUE"""),20.65)</f>
        <v>20.65</v>
      </c>
      <c r="H1590" s="25">
        <f>IFERROR(__xludf.DUMMYFUNCTION("""COMPUTED_VALUE"""),45569.63611111111)</f>
        <v>45569.63611</v>
      </c>
      <c r="I1590" s="22">
        <f>IFERROR(__xludf.DUMMYFUNCTION("""COMPUTED_VALUE"""),21.6)</f>
        <v>21.6</v>
      </c>
      <c r="J1590" s="25">
        <f>IFERROR(__xludf.DUMMYFUNCTION("""COMPUTED_VALUE"""),45569.63611111111)</f>
        <v>45569.63611</v>
      </c>
      <c r="K1590" s="22">
        <f>IFERROR(__xludf.DUMMYFUNCTION("""COMPUTED_VALUE"""),22.32)</f>
        <v>22.32</v>
      </c>
    </row>
    <row r="1591" ht="15.75" customHeight="1">
      <c r="A1591" s="25">
        <f>IFERROR(__xludf.DUMMYFUNCTION("""COMPUTED_VALUE"""),45572.66666666667)</f>
        <v>45572.66667</v>
      </c>
      <c r="B1591" s="22">
        <f>IFERROR(__xludf.DUMMYFUNCTION("""COMPUTED_VALUE"""),5695.94)</f>
        <v>5695.94</v>
      </c>
      <c r="C1591" s="25">
        <f>IFERROR(__xludf.DUMMYFUNCTION("""COMPUTED_VALUE"""),45572.63611111111)</f>
        <v>45572.63611</v>
      </c>
      <c r="D1591" s="22">
        <f>IFERROR(__xludf.DUMMYFUNCTION("""COMPUTED_VALUE"""),22.64)</f>
        <v>22.64</v>
      </c>
      <c r="F1591" s="25">
        <f>IFERROR(__xludf.DUMMYFUNCTION("""COMPUTED_VALUE"""),45572.63611111111)</f>
        <v>45572.63611</v>
      </c>
      <c r="G1591" s="22">
        <f>IFERROR(__xludf.DUMMYFUNCTION("""COMPUTED_VALUE"""),22.59)</f>
        <v>22.59</v>
      </c>
      <c r="H1591" s="25">
        <f>IFERROR(__xludf.DUMMYFUNCTION("""COMPUTED_VALUE"""),45572.63611111111)</f>
        <v>45572.63611</v>
      </c>
      <c r="I1591" s="22">
        <f>IFERROR(__xludf.DUMMYFUNCTION("""COMPUTED_VALUE"""),23.02)</f>
        <v>23.02</v>
      </c>
      <c r="J1591" s="25">
        <f>IFERROR(__xludf.DUMMYFUNCTION("""COMPUTED_VALUE"""),45572.63611111111)</f>
        <v>45572.63611</v>
      </c>
      <c r="K1591" s="22">
        <f>IFERROR(__xludf.DUMMYFUNCTION("""COMPUTED_VALUE"""),23.2)</f>
        <v>23.2</v>
      </c>
    </row>
    <row r="1592" ht="15.75" customHeight="1">
      <c r="A1592" s="25">
        <f>IFERROR(__xludf.DUMMYFUNCTION("""COMPUTED_VALUE"""),45573.66666666667)</f>
        <v>45573.66667</v>
      </c>
      <c r="B1592" s="22">
        <f>IFERROR(__xludf.DUMMYFUNCTION("""COMPUTED_VALUE"""),5751.13)</f>
        <v>5751.13</v>
      </c>
      <c r="C1592" s="25">
        <f>IFERROR(__xludf.DUMMYFUNCTION("""COMPUTED_VALUE"""),45573.63611111111)</f>
        <v>45573.63611</v>
      </c>
      <c r="D1592" s="22">
        <f>IFERROR(__xludf.DUMMYFUNCTION("""COMPUTED_VALUE"""),21.42)</f>
        <v>21.42</v>
      </c>
      <c r="F1592" s="25">
        <f>IFERROR(__xludf.DUMMYFUNCTION("""COMPUTED_VALUE"""),45573.63611111111)</f>
        <v>45573.63611</v>
      </c>
      <c r="G1592" s="22">
        <f>IFERROR(__xludf.DUMMYFUNCTION("""COMPUTED_VALUE"""),21.52)</f>
        <v>21.52</v>
      </c>
      <c r="H1592" s="25">
        <f>IFERROR(__xludf.DUMMYFUNCTION("""COMPUTED_VALUE"""),45573.63611111111)</f>
        <v>45573.63611</v>
      </c>
      <c r="I1592" s="22">
        <f>IFERROR(__xludf.DUMMYFUNCTION("""COMPUTED_VALUE"""),22.45)</f>
        <v>22.45</v>
      </c>
      <c r="J1592" s="25">
        <f>IFERROR(__xludf.DUMMYFUNCTION("""COMPUTED_VALUE"""),45573.63611111111)</f>
        <v>45573.63611</v>
      </c>
      <c r="K1592" s="22">
        <f>IFERROR(__xludf.DUMMYFUNCTION("""COMPUTED_VALUE"""),22.8)</f>
        <v>22.8</v>
      </c>
    </row>
    <row r="1593" ht="15.75" customHeight="1">
      <c r="A1593" s="25">
        <f>IFERROR(__xludf.DUMMYFUNCTION("""COMPUTED_VALUE"""),45574.66666666667)</f>
        <v>45574.66667</v>
      </c>
      <c r="B1593" s="22">
        <f>IFERROR(__xludf.DUMMYFUNCTION("""COMPUTED_VALUE"""),5792.04)</f>
        <v>5792.04</v>
      </c>
      <c r="C1593" s="25">
        <f>IFERROR(__xludf.DUMMYFUNCTION("""COMPUTED_VALUE"""),45574.63611111111)</f>
        <v>45574.63611</v>
      </c>
      <c r="D1593" s="22">
        <f>IFERROR(__xludf.DUMMYFUNCTION("""COMPUTED_VALUE"""),20.86)</f>
        <v>20.86</v>
      </c>
      <c r="F1593" s="25">
        <f>IFERROR(__xludf.DUMMYFUNCTION("""COMPUTED_VALUE"""),45574.63611111111)</f>
        <v>45574.63611</v>
      </c>
      <c r="G1593" s="22">
        <f>IFERROR(__xludf.DUMMYFUNCTION("""COMPUTED_VALUE"""),20.91)</f>
        <v>20.91</v>
      </c>
      <c r="H1593" s="25">
        <f>IFERROR(__xludf.DUMMYFUNCTION("""COMPUTED_VALUE"""),45574.63611111111)</f>
        <v>45574.63611</v>
      </c>
      <c r="I1593" s="22">
        <f>IFERROR(__xludf.DUMMYFUNCTION("""COMPUTED_VALUE"""),21.85)</f>
        <v>21.85</v>
      </c>
      <c r="J1593" s="25">
        <f>IFERROR(__xludf.DUMMYFUNCTION("""COMPUTED_VALUE"""),45574.63611111111)</f>
        <v>45574.63611</v>
      </c>
      <c r="K1593" s="22">
        <f>IFERROR(__xludf.DUMMYFUNCTION("""COMPUTED_VALUE"""),22.55)</f>
        <v>22.55</v>
      </c>
    </row>
    <row r="1594" ht="15.75" customHeight="1">
      <c r="A1594" s="25">
        <f>IFERROR(__xludf.DUMMYFUNCTION("""COMPUTED_VALUE"""),45575.66666666667)</f>
        <v>45575.66667</v>
      </c>
      <c r="B1594" s="22">
        <f>IFERROR(__xludf.DUMMYFUNCTION("""COMPUTED_VALUE"""),5780.05)</f>
        <v>5780.05</v>
      </c>
      <c r="C1594" s="25">
        <f>IFERROR(__xludf.DUMMYFUNCTION("""COMPUTED_VALUE"""),45575.63611111111)</f>
        <v>45575.63611</v>
      </c>
      <c r="D1594" s="22">
        <f>IFERROR(__xludf.DUMMYFUNCTION("""COMPUTED_VALUE"""),20.93)</f>
        <v>20.93</v>
      </c>
      <c r="F1594" s="25">
        <f>IFERROR(__xludf.DUMMYFUNCTION("""COMPUTED_VALUE"""),45575.63611111111)</f>
        <v>45575.63611</v>
      </c>
      <c r="G1594" s="22">
        <f>IFERROR(__xludf.DUMMYFUNCTION("""COMPUTED_VALUE"""),21.02)</f>
        <v>21.02</v>
      </c>
      <c r="H1594" s="25">
        <f>IFERROR(__xludf.DUMMYFUNCTION("""COMPUTED_VALUE"""),45575.63611111111)</f>
        <v>45575.63611</v>
      </c>
      <c r="I1594" s="22">
        <f>IFERROR(__xludf.DUMMYFUNCTION("""COMPUTED_VALUE"""),21.96)</f>
        <v>21.96</v>
      </c>
      <c r="J1594" s="25">
        <f>IFERROR(__xludf.DUMMYFUNCTION("""COMPUTED_VALUE"""),45575.63611111111)</f>
        <v>45575.63611</v>
      </c>
      <c r="K1594" s="22">
        <f>IFERROR(__xludf.DUMMYFUNCTION("""COMPUTED_VALUE"""),22.54)</f>
        <v>22.54</v>
      </c>
    </row>
    <row r="1595" ht="15.75" customHeight="1">
      <c r="A1595" s="25">
        <f>IFERROR(__xludf.DUMMYFUNCTION("""COMPUTED_VALUE"""),45576.66666666667)</f>
        <v>45576.66667</v>
      </c>
      <c r="B1595" s="22">
        <f>IFERROR(__xludf.DUMMYFUNCTION("""COMPUTED_VALUE"""),5815.03)</f>
        <v>5815.03</v>
      </c>
      <c r="C1595" s="25">
        <f>IFERROR(__xludf.DUMMYFUNCTION("""COMPUTED_VALUE"""),45576.63611111111)</f>
        <v>45576.63611</v>
      </c>
      <c r="D1595" s="22">
        <f>IFERROR(__xludf.DUMMYFUNCTION("""COMPUTED_VALUE"""),20.46)</f>
        <v>20.46</v>
      </c>
      <c r="F1595" s="25">
        <f>IFERROR(__xludf.DUMMYFUNCTION("""COMPUTED_VALUE"""),45576.63611111111)</f>
        <v>45576.63611</v>
      </c>
      <c r="G1595" s="22">
        <f>IFERROR(__xludf.DUMMYFUNCTION("""COMPUTED_VALUE"""),20.77)</f>
        <v>20.77</v>
      </c>
      <c r="H1595" s="25">
        <f>IFERROR(__xludf.DUMMYFUNCTION("""COMPUTED_VALUE"""),45579.63611111111)</f>
        <v>45579.63611</v>
      </c>
      <c r="I1595" s="22">
        <f>IFERROR(__xludf.DUMMYFUNCTION("""COMPUTED_VALUE"""),21.14)</f>
        <v>21.14</v>
      </c>
      <c r="J1595" s="25">
        <f>IFERROR(__xludf.DUMMYFUNCTION("""COMPUTED_VALUE"""),45576.63611111111)</f>
        <v>45576.63611</v>
      </c>
      <c r="K1595" s="22">
        <f>IFERROR(__xludf.DUMMYFUNCTION("""COMPUTED_VALUE"""),22.47)</f>
        <v>22.47</v>
      </c>
    </row>
    <row r="1596" ht="15.75" customHeight="1">
      <c r="A1596" s="25">
        <f>IFERROR(__xludf.DUMMYFUNCTION("""COMPUTED_VALUE"""),45579.66666666667)</f>
        <v>45579.66667</v>
      </c>
      <c r="B1596" s="22">
        <f>IFERROR(__xludf.DUMMYFUNCTION("""COMPUTED_VALUE"""),5859.85)</f>
        <v>5859.85</v>
      </c>
      <c r="C1596" s="25">
        <f>IFERROR(__xludf.DUMMYFUNCTION("""COMPUTED_VALUE"""),45579.63611111111)</f>
        <v>45579.63611</v>
      </c>
      <c r="D1596" s="22">
        <f>IFERROR(__xludf.DUMMYFUNCTION("""COMPUTED_VALUE"""),19.7)</f>
        <v>19.7</v>
      </c>
      <c r="F1596" s="25">
        <f>IFERROR(__xludf.DUMMYFUNCTION("""COMPUTED_VALUE"""),45579.63611111111)</f>
        <v>45579.63611</v>
      </c>
      <c r="G1596" s="22">
        <f>IFERROR(__xludf.DUMMYFUNCTION("""COMPUTED_VALUE"""),20.12)</f>
        <v>20.12</v>
      </c>
      <c r="H1596" s="25">
        <f>IFERROR(__xludf.DUMMYFUNCTION("""COMPUTED_VALUE"""),45580.63611111111)</f>
        <v>45580.63611</v>
      </c>
      <c r="I1596" s="22">
        <f>IFERROR(__xludf.DUMMYFUNCTION("""COMPUTED_VALUE"""),21.52)</f>
        <v>21.52</v>
      </c>
      <c r="J1596" s="25">
        <f>IFERROR(__xludf.DUMMYFUNCTION("""COMPUTED_VALUE"""),45579.63611111111)</f>
        <v>45579.63611</v>
      </c>
      <c r="K1596" s="22">
        <f>IFERROR(__xludf.DUMMYFUNCTION("""COMPUTED_VALUE"""),21.95)</f>
        <v>21.95</v>
      </c>
    </row>
    <row r="1597" ht="15.75" customHeight="1">
      <c r="A1597" s="25">
        <f>IFERROR(__xludf.DUMMYFUNCTION("""COMPUTED_VALUE"""),45580.66666666667)</f>
        <v>45580.66667</v>
      </c>
      <c r="B1597" s="22">
        <f>IFERROR(__xludf.DUMMYFUNCTION("""COMPUTED_VALUE"""),5815.26)</f>
        <v>5815.26</v>
      </c>
      <c r="C1597" s="25">
        <f>IFERROR(__xludf.DUMMYFUNCTION("""COMPUTED_VALUE"""),45580.63611111111)</f>
        <v>45580.63611</v>
      </c>
      <c r="D1597" s="22">
        <f>IFERROR(__xludf.DUMMYFUNCTION("""COMPUTED_VALUE"""),20.64)</f>
        <v>20.64</v>
      </c>
      <c r="F1597" s="25">
        <f>IFERROR(__xludf.DUMMYFUNCTION("""COMPUTED_VALUE"""),45580.63611111111)</f>
        <v>45580.63611</v>
      </c>
      <c r="G1597" s="22">
        <f>IFERROR(__xludf.DUMMYFUNCTION("""COMPUTED_VALUE"""),20.8)</f>
        <v>20.8</v>
      </c>
      <c r="H1597" s="25">
        <f>IFERROR(__xludf.DUMMYFUNCTION("""COMPUTED_VALUE"""),45581.63611111111)</f>
        <v>45581.63611</v>
      </c>
      <c r="I1597" s="22">
        <f>IFERROR(__xludf.DUMMYFUNCTION("""COMPUTED_VALUE"""),21.14)</f>
        <v>21.14</v>
      </c>
      <c r="J1597" s="25">
        <f>IFERROR(__xludf.DUMMYFUNCTION("""COMPUTED_VALUE"""),45580.63611111111)</f>
        <v>45580.63611</v>
      </c>
      <c r="K1597" s="22">
        <f>IFERROR(__xludf.DUMMYFUNCTION("""COMPUTED_VALUE"""),22.14)</f>
        <v>22.14</v>
      </c>
    </row>
    <row r="1598" ht="15.75" customHeight="1">
      <c r="A1598" s="25">
        <f>IFERROR(__xludf.DUMMYFUNCTION("""COMPUTED_VALUE"""),45581.66666666667)</f>
        <v>45581.66667</v>
      </c>
      <c r="B1598" s="22">
        <f>IFERROR(__xludf.DUMMYFUNCTION("""COMPUTED_VALUE"""),5842.47)</f>
        <v>5842.47</v>
      </c>
      <c r="C1598" s="25">
        <f>IFERROR(__xludf.DUMMYFUNCTION("""COMPUTED_VALUE"""),45581.63611111111)</f>
        <v>45581.63611</v>
      </c>
      <c r="D1598" s="22">
        <f>IFERROR(__xludf.DUMMYFUNCTION("""COMPUTED_VALUE"""),19.58)</f>
        <v>19.58</v>
      </c>
      <c r="F1598" s="25">
        <f>IFERROR(__xludf.DUMMYFUNCTION("""COMPUTED_VALUE"""),45581.63611111111)</f>
        <v>45581.63611</v>
      </c>
      <c r="G1598" s="22">
        <f>IFERROR(__xludf.DUMMYFUNCTION("""COMPUTED_VALUE"""),20.32)</f>
        <v>20.32</v>
      </c>
      <c r="H1598" s="25">
        <f>IFERROR(__xludf.DUMMYFUNCTION("""COMPUTED_VALUE"""),45582.63611111111)</f>
        <v>45582.63611</v>
      </c>
      <c r="I1598" s="22">
        <f>IFERROR(__xludf.DUMMYFUNCTION("""COMPUTED_VALUE"""),20.75)</f>
        <v>20.75</v>
      </c>
      <c r="J1598" s="25">
        <f>IFERROR(__xludf.DUMMYFUNCTION("""COMPUTED_VALUE"""),45581.63611111111)</f>
        <v>45581.63611</v>
      </c>
      <c r="K1598" s="22">
        <f>IFERROR(__xludf.DUMMYFUNCTION("""COMPUTED_VALUE"""),21.92)</f>
        <v>21.92</v>
      </c>
    </row>
    <row r="1599" ht="15.75" customHeight="1">
      <c r="A1599" s="25">
        <f>IFERROR(__xludf.DUMMYFUNCTION("""COMPUTED_VALUE"""),45582.66666666667)</f>
        <v>45582.66667</v>
      </c>
      <c r="B1599" s="22">
        <f>IFERROR(__xludf.DUMMYFUNCTION("""COMPUTED_VALUE"""),5841.47)</f>
        <v>5841.47</v>
      </c>
      <c r="C1599" s="25">
        <f>IFERROR(__xludf.DUMMYFUNCTION("""COMPUTED_VALUE"""),45582.63611111111)</f>
        <v>45582.63611</v>
      </c>
      <c r="D1599" s="22">
        <f>IFERROR(__xludf.DUMMYFUNCTION("""COMPUTED_VALUE"""),19.11)</f>
        <v>19.11</v>
      </c>
      <c r="F1599" s="25">
        <f>IFERROR(__xludf.DUMMYFUNCTION("""COMPUTED_VALUE"""),45582.63611111111)</f>
        <v>45582.63611</v>
      </c>
      <c r="G1599" s="22">
        <f>IFERROR(__xludf.DUMMYFUNCTION("""COMPUTED_VALUE"""),19.81)</f>
        <v>19.81</v>
      </c>
      <c r="H1599" s="25">
        <f>IFERROR(__xludf.DUMMYFUNCTION("""COMPUTED_VALUE"""),45583.63611111111)</f>
        <v>45583.63611</v>
      </c>
      <c r="I1599" s="22">
        <f>IFERROR(__xludf.DUMMYFUNCTION("""COMPUTED_VALUE"""),20.23)</f>
        <v>20.23</v>
      </c>
      <c r="J1599" s="25">
        <f>IFERROR(__xludf.DUMMYFUNCTION("""COMPUTED_VALUE"""),45582.63611111111)</f>
        <v>45582.63611</v>
      </c>
      <c r="K1599" s="22">
        <f>IFERROR(__xludf.DUMMYFUNCTION("""COMPUTED_VALUE"""),21.66)</f>
        <v>21.66</v>
      </c>
    </row>
    <row r="1600" ht="15.75" customHeight="1">
      <c r="A1600" s="25">
        <f>IFERROR(__xludf.DUMMYFUNCTION("""COMPUTED_VALUE"""),45583.66666666667)</f>
        <v>45583.66667</v>
      </c>
      <c r="B1600" s="22">
        <f>IFERROR(__xludf.DUMMYFUNCTION("""COMPUTED_VALUE"""),5864.67)</f>
        <v>5864.67</v>
      </c>
      <c r="C1600" s="25">
        <f>IFERROR(__xludf.DUMMYFUNCTION("""COMPUTED_VALUE"""),45583.63611111111)</f>
        <v>45583.63611</v>
      </c>
      <c r="D1600" s="22">
        <f>IFERROR(__xludf.DUMMYFUNCTION("""COMPUTED_VALUE"""),18.03)</f>
        <v>18.03</v>
      </c>
      <c r="F1600" s="25">
        <f>IFERROR(__xludf.DUMMYFUNCTION("""COMPUTED_VALUE"""),45583.63611111111)</f>
        <v>45583.63611</v>
      </c>
      <c r="G1600" s="22">
        <f>IFERROR(__xludf.DUMMYFUNCTION("""COMPUTED_VALUE"""),19.19)</f>
        <v>19.19</v>
      </c>
      <c r="H1600" s="25">
        <f>IFERROR(__xludf.DUMMYFUNCTION("""COMPUTED_VALUE"""),45586.63611111111)</f>
        <v>45586.63611</v>
      </c>
      <c r="I1600" s="22">
        <f>IFERROR(__xludf.DUMMYFUNCTION("""COMPUTED_VALUE"""),20.2)</f>
        <v>20.2</v>
      </c>
      <c r="J1600" s="25">
        <f>IFERROR(__xludf.DUMMYFUNCTION("""COMPUTED_VALUE"""),45583.63611111111)</f>
        <v>45583.63611</v>
      </c>
      <c r="K1600" s="22">
        <f>IFERROR(__xludf.DUMMYFUNCTION("""COMPUTED_VALUE"""),21.29)</f>
        <v>21.29</v>
      </c>
    </row>
    <row r="1601" ht="15.75" customHeight="1">
      <c r="A1601" s="25">
        <f>IFERROR(__xludf.DUMMYFUNCTION("""COMPUTED_VALUE"""),45586.66666666667)</f>
        <v>45586.66667</v>
      </c>
      <c r="B1601" s="22">
        <f>IFERROR(__xludf.DUMMYFUNCTION("""COMPUTED_VALUE"""),5853.98)</f>
        <v>5853.98</v>
      </c>
      <c r="C1601" s="25">
        <f>IFERROR(__xludf.DUMMYFUNCTION("""COMPUTED_VALUE"""),45586.63611111111)</f>
        <v>45586.63611</v>
      </c>
      <c r="D1601" s="22">
        <f>IFERROR(__xludf.DUMMYFUNCTION("""COMPUTED_VALUE"""),18.37)</f>
        <v>18.37</v>
      </c>
      <c r="F1601" s="25">
        <f>IFERROR(__xludf.DUMMYFUNCTION("""COMPUTED_VALUE"""),45586.63611111111)</f>
        <v>45586.63611</v>
      </c>
      <c r="G1601" s="22">
        <f>IFERROR(__xludf.DUMMYFUNCTION("""COMPUTED_VALUE"""),19.24)</f>
        <v>19.24</v>
      </c>
      <c r="H1601" s="25">
        <f>IFERROR(__xludf.DUMMYFUNCTION("""COMPUTED_VALUE"""),45587.63611111111)</f>
        <v>45587.63611</v>
      </c>
      <c r="I1601" s="22">
        <f>IFERROR(__xludf.DUMMYFUNCTION("""COMPUTED_VALUE"""),20.22)</f>
        <v>20.22</v>
      </c>
      <c r="J1601" s="25">
        <f>IFERROR(__xludf.DUMMYFUNCTION("""COMPUTED_VALUE"""),45586.63611111111)</f>
        <v>45586.63611</v>
      </c>
      <c r="K1601" s="22">
        <f>IFERROR(__xludf.DUMMYFUNCTION("""COMPUTED_VALUE"""),21.26)</f>
        <v>21.26</v>
      </c>
    </row>
    <row r="1602" ht="15.75" customHeight="1">
      <c r="A1602" s="25">
        <f>IFERROR(__xludf.DUMMYFUNCTION("""COMPUTED_VALUE"""),45587.66666666667)</f>
        <v>45587.66667</v>
      </c>
      <c r="B1602" s="22">
        <f>IFERROR(__xludf.DUMMYFUNCTION("""COMPUTED_VALUE"""),5851.2)</f>
        <v>5851.2</v>
      </c>
      <c r="C1602" s="25">
        <f>IFERROR(__xludf.DUMMYFUNCTION("""COMPUTED_VALUE"""),45587.63611111111)</f>
        <v>45587.63611</v>
      </c>
      <c r="D1602" s="22">
        <f>IFERROR(__xludf.DUMMYFUNCTION("""COMPUTED_VALUE"""),18.2)</f>
        <v>18.2</v>
      </c>
      <c r="F1602" s="25">
        <f>IFERROR(__xludf.DUMMYFUNCTION("""COMPUTED_VALUE"""),45587.63611111111)</f>
        <v>45587.63611</v>
      </c>
      <c r="G1602" s="22">
        <f>IFERROR(__xludf.DUMMYFUNCTION("""COMPUTED_VALUE"""),19.17)</f>
        <v>19.17</v>
      </c>
      <c r="H1602" s="25">
        <f>IFERROR(__xludf.DUMMYFUNCTION("""COMPUTED_VALUE"""),45588.63611111111)</f>
        <v>45588.63611</v>
      </c>
      <c r="I1602" s="22">
        <f>IFERROR(__xludf.DUMMYFUNCTION("""COMPUTED_VALUE"""),20.74)</f>
        <v>20.74</v>
      </c>
      <c r="J1602" s="25">
        <f>IFERROR(__xludf.DUMMYFUNCTION("""COMPUTED_VALUE"""),45587.63611111111)</f>
        <v>45587.63611</v>
      </c>
      <c r="K1602" s="22">
        <f>IFERROR(__xludf.DUMMYFUNCTION("""COMPUTED_VALUE"""),21.26)</f>
        <v>21.26</v>
      </c>
    </row>
    <row r="1603" ht="15.75" customHeight="1">
      <c r="A1603" s="25">
        <f>IFERROR(__xludf.DUMMYFUNCTION("""COMPUTED_VALUE"""),45588.66666666667)</f>
        <v>45588.66667</v>
      </c>
      <c r="B1603" s="22">
        <f>IFERROR(__xludf.DUMMYFUNCTION("""COMPUTED_VALUE"""),5797.42)</f>
        <v>5797.42</v>
      </c>
      <c r="C1603" s="25">
        <f>IFERROR(__xludf.DUMMYFUNCTION("""COMPUTED_VALUE"""),45588.63611111111)</f>
        <v>45588.63611</v>
      </c>
      <c r="D1603" s="22">
        <f>IFERROR(__xludf.DUMMYFUNCTION("""COMPUTED_VALUE"""),19.24)</f>
        <v>19.24</v>
      </c>
      <c r="F1603" s="25">
        <f>IFERROR(__xludf.DUMMYFUNCTION("""COMPUTED_VALUE"""),45588.63611111111)</f>
        <v>45588.63611</v>
      </c>
      <c r="G1603" s="22">
        <f>IFERROR(__xludf.DUMMYFUNCTION("""COMPUTED_VALUE"""),20.04)</f>
        <v>20.04</v>
      </c>
      <c r="H1603" s="25">
        <f>IFERROR(__xludf.DUMMYFUNCTION("""COMPUTED_VALUE"""),45589.63611111111)</f>
        <v>45589.63611</v>
      </c>
      <c r="I1603" s="22">
        <f>IFERROR(__xludf.DUMMYFUNCTION("""COMPUTED_VALUE"""),20.56)</f>
        <v>20.56</v>
      </c>
      <c r="J1603" s="25">
        <f>IFERROR(__xludf.DUMMYFUNCTION("""COMPUTED_VALUE"""),45588.63611111111)</f>
        <v>45588.63611</v>
      </c>
      <c r="K1603" s="22">
        <f>IFERROR(__xludf.DUMMYFUNCTION("""COMPUTED_VALUE"""),21.64)</f>
        <v>21.64</v>
      </c>
    </row>
    <row r="1604" ht="15.75" customHeight="1">
      <c r="A1604" s="25">
        <f>IFERROR(__xludf.DUMMYFUNCTION("""COMPUTED_VALUE"""),45589.66666666667)</f>
        <v>45589.66667</v>
      </c>
      <c r="B1604" s="22">
        <f>IFERROR(__xludf.DUMMYFUNCTION("""COMPUTED_VALUE"""),5809.86)</f>
        <v>5809.86</v>
      </c>
      <c r="C1604" s="25">
        <f>IFERROR(__xludf.DUMMYFUNCTION("""COMPUTED_VALUE"""),45589.63611111111)</f>
        <v>45589.63611</v>
      </c>
      <c r="D1604" s="22">
        <f>IFERROR(__xludf.DUMMYFUNCTION("""COMPUTED_VALUE"""),19.08)</f>
        <v>19.08</v>
      </c>
      <c r="F1604" s="25">
        <f>IFERROR(__xludf.DUMMYFUNCTION("""COMPUTED_VALUE"""),45589.63611111111)</f>
        <v>45589.63611</v>
      </c>
      <c r="G1604" s="22">
        <f>IFERROR(__xludf.DUMMYFUNCTION("""COMPUTED_VALUE"""),19.85)</f>
        <v>19.85</v>
      </c>
      <c r="H1604" s="25">
        <f>IFERROR(__xludf.DUMMYFUNCTION("""COMPUTED_VALUE"""),45590.63611111111)</f>
        <v>45590.63611</v>
      </c>
      <c r="I1604" s="22">
        <f>IFERROR(__xludf.DUMMYFUNCTION("""COMPUTED_VALUE"""),21.51)</f>
        <v>21.51</v>
      </c>
      <c r="J1604" s="25">
        <f>IFERROR(__xludf.DUMMYFUNCTION("""COMPUTED_VALUE"""),45589.63611111111)</f>
        <v>45589.63611</v>
      </c>
      <c r="K1604" s="22">
        <f>IFERROR(__xludf.DUMMYFUNCTION("""COMPUTED_VALUE"""),21.61)</f>
        <v>21.61</v>
      </c>
    </row>
    <row r="1605" ht="15.75" customHeight="1">
      <c r="A1605" s="25">
        <f>IFERROR(__xludf.DUMMYFUNCTION("""COMPUTED_VALUE"""),45590.66666666667)</f>
        <v>45590.66667</v>
      </c>
      <c r="B1605" s="22">
        <f>IFERROR(__xludf.DUMMYFUNCTION("""COMPUTED_VALUE"""),5808.12)</f>
        <v>5808.12</v>
      </c>
      <c r="C1605" s="25">
        <f>IFERROR(__xludf.DUMMYFUNCTION("""COMPUTED_VALUE"""),45590.63611111111)</f>
        <v>45590.63611</v>
      </c>
      <c r="D1605" s="22">
        <f>IFERROR(__xludf.DUMMYFUNCTION("""COMPUTED_VALUE"""),20.33)</f>
        <v>20.33</v>
      </c>
      <c r="F1605" s="25">
        <f>IFERROR(__xludf.DUMMYFUNCTION("""COMPUTED_VALUE"""),45590.63611111111)</f>
        <v>45590.63611</v>
      </c>
      <c r="G1605" s="22">
        <f>IFERROR(__xludf.DUMMYFUNCTION("""COMPUTED_VALUE"""),20.94)</f>
        <v>20.94</v>
      </c>
      <c r="H1605" s="25">
        <f>IFERROR(__xludf.DUMMYFUNCTION("""COMPUTED_VALUE"""),45593.63611111111)</f>
        <v>45593.63611</v>
      </c>
      <c r="I1605" s="22">
        <f>IFERROR(__xludf.DUMMYFUNCTION("""COMPUTED_VALUE"""),20.79)</f>
        <v>20.79</v>
      </c>
      <c r="J1605" s="25">
        <f>IFERROR(__xludf.DUMMYFUNCTION("""COMPUTED_VALUE"""),45590.63611111111)</f>
        <v>45590.63611</v>
      </c>
      <c r="K1605" s="22">
        <f>IFERROR(__xludf.DUMMYFUNCTION("""COMPUTED_VALUE"""),21.98)</f>
        <v>21.98</v>
      </c>
    </row>
    <row r="1606" ht="15.75" customHeight="1">
      <c r="A1606" s="25">
        <f>IFERROR(__xludf.DUMMYFUNCTION("""COMPUTED_VALUE"""),45593.66666666667)</f>
        <v>45593.66667</v>
      </c>
      <c r="B1606" s="22">
        <f>IFERROR(__xludf.DUMMYFUNCTION("""COMPUTED_VALUE"""),5823.52)</f>
        <v>5823.52</v>
      </c>
      <c r="C1606" s="25">
        <f>IFERROR(__xludf.DUMMYFUNCTION("""COMPUTED_VALUE"""),45593.63611111111)</f>
        <v>45593.63611</v>
      </c>
      <c r="D1606" s="22">
        <f>IFERROR(__xludf.DUMMYFUNCTION("""COMPUTED_VALUE"""),19.8)</f>
        <v>19.8</v>
      </c>
      <c r="F1606" s="25">
        <f>IFERROR(__xludf.DUMMYFUNCTION("""COMPUTED_VALUE"""),45593.63611111111)</f>
        <v>45593.63611</v>
      </c>
      <c r="G1606" s="22">
        <f>IFERROR(__xludf.DUMMYFUNCTION("""COMPUTED_VALUE"""),20.17)</f>
        <v>20.17</v>
      </c>
      <c r="H1606" s="25">
        <f>IFERROR(__xludf.DUMMYFUNCTION("""COMPUTED_VALUE"""),45594.63611111111)</f>
        <v>45594.63611</v>
      </c>
      <c r="I1606" s="22">
        <f>IFERROR(__xludf.DUMMYFUNCTION("""COMPUTED_VALUE"""),20.45)</f>
        <v>20.45</v>
      </c>
      <c r="J1606" s="25">
        <f>IFERROR(__xludf.DUMMYFUNCTION("""COMPUTED_VALUE"""),45593.63611111111)</f>
        <v>45593.63611</v>
      </c>
      <c r="K1606" s="22">
        <f>IFERROR(__xludf.DUMMYFUNCTION("""COMPUTED_VALUE"""),21.6)</f>
        <v>21.6</v>
      </c>
    </row>
    <row r="1607" ht="15.75" customHeight="1">
      <c r="A1607" s="25">
        <f>IFERROR(__xludf.DUMMYFUNCTION("""COMPUTED_VALUE"""),45594.66666666667)</f>
        <v>45594.66667</v>
      </c>
      <c r="B1607" s="22">
        <f>IFERROR(__xludf.DUMMYFUNCTION("""COMPUTED_VALUE"""),5832.92)</f>
        <v>5832.92</v>
      </c>
      <c r="C1607" s="25">
        <f>IFERROR(__xludf.DUMMYFUNCTION("""COMPUTED_VALUE"""),45594.63611111111)</f>
        <v>45594.63611</v>
      </c>
      <c r="D1607" s="22">
        <f>IFERROR(__xludf.DUMMYFUNCTION("""COMPUTED_VALUE"""),19.34)</f>
        <v>19.34</v>
      </c>
      <c r="F1607" s="25">
        <f>IFERROR(__xludf.DUMMYFUNCTION("""COMPUTED_VALUE"""),45594.63611111111)</f>
        <v>45594.63611</v>
      </c>
      <c r="G1607" s="22">
        <f>IFERROR(__xludf.DUMMYFUNCTION("""COMPUTED_VALUE"""),19.96)</f>
        <v>19.96</v>
      </c>
      <c r="H1607" s="25">
        <f>IFERROR(__xludf.DUMMYFUNCTION("""COMPUTED_VALUE"""),45595.63611111111)</f>
        <v>45595.63611</v>
      </c>
      <c r="I1607" s="22">
        <f>IFERROR(__xludf.DUMMYFUNCTION("""COMPUTED_VALUE"""),21.23)</f>
        <v>21.23</v>
      </c>
      <c r="J1607" s="25">
        <f>IFERROR(__xludf.DUMMYFUNCTION("""COMPUTED_VALUE"""),45594.63611111111)</f>
        <v>45594.63611</v>
      </c>
      <c r="K1607" s="22">
        <f>IFERROR(__xludf.DUMMYFUNCTION("""COMPUTED_VALUE"""),21.44)</f>
        <v>21.44</v>
      </c>
    </row>
    <row r="1608" ht="15.75" customHeight="1">
      <c r="A1608" s="25">
        <f>IFERROR(__xludf.DUMMYFUNCTION("""COMPUTED_VALUE"""),45595.66666666667)</f>
        <v>45595.66667</v>
      </c>
      <c r="B1608" s="22">
        <f>IFERROR(__xludf.DUMMYFUNCTION("""COMPUTED_VALUE"""),5813.67)</f>
        <v>5813.67</v>
      </c>
      <c r="C1608" s="25">
        <f>IFERROR(__xludf.DUMMYFUNCTION("""COMPUTED_VALUE"""),45595.63611111111)</f>
        <v>45595.63611</v>
      </c>
      <c r="D1608" s="22">
        <f>IFERROR(__xludf.DUMMYFUNCTION("""COMPUTED_VALUE"""),20.35)</f>
        <v>20.35</v>
      </c>
      <c r="F1608" s="25">
        <f>IFERROR(__xludf.DUMMYFUNCTION("""COMPUTED_VALUE"""),45595.63611111111)</f>
        <v>45595.63611</v>
      </c>
      <c r="G1608" s="22">
        <f>IFERROR(__xludf.DUMMYFUNCTION("""COMPUTED_VALUE"""),20.76)</f>
        <v>20.76</v>
      </c>
      <c r="H1608" s="25">
        <f>IFERROR(__xludf.DUMMYFUNCTION("""COMPUTED_VALUE"""),45596.63611111111)</f>
        <v>45596.63611</v>
      </c>
      <c r="I1608" s="22">
        <f>IFERROR(__xludf.DUMMYFUNCTION("""COMPUTED_VALUE"""),22.61)</f>
        <v>22.61</v>
      </c>
      <c r="J1608" s="25">
        <f>IFERROR(__xludf.DUMMYFUNCTION("""COMPUTED_VALUE"""),45595.63611111111)</f>
        <v>45595.63611</v>
      </c>
      <c r="K1608" s="22">
        <f>IFERROR(__xludf.DUMMYFUNCTION("""COMPUTED_VALUE"""),21.94)</f>
        <v>21.94</v>
      </c>
    </row>
    <row r="1609" ht="15.75" customHeight="1">
      <c r="A1609" s="25">
        <f>IFERROR(__xludf.DUMMYFUNCTION("""COMPUTED_VALUE"""),45596.66666666667)</f>
        <v>45596.66667</v>
      </c>
      <c r="B1609" s="22">
        <f>IFERROR(__xludf.DUMMYFUNCTION("""COMPUTED_VALUE"""),5705.45)</f>
        <v>5705.45</v>
      </c>
      <c r="C1609" s="25">
        <f>IFERROR(__xludf.DUMMYFUNCTION("""COMPUTED_VALUE"""),45596.63611111111)</f>
        <v>45596.63611</v>
      </c>
      <c r="D1609" s="22">
        <f>IFERROR(__xludf.DUMMYFUNCTION("""COMPUTED_VALUE"""),23.16)</f>
        <v>23.16</v>
      </c>
      <c r="F1609" s="25">
        <f>IFERROR(__xludf.DUMMYFUNCTION("""COMPUTED_VALUE"""),45596.63611111111)</f>
        <v>45596.63611</v>
      </c>
      <c r="G1609" s="22">
        <f>IFERROR(__xludf.DUMMYFUNCTION("""COMPUTED_VALUE"""),22.64)</f>
        <v>22.64</v>
      </c>
      <c r="H1609" s="25">
        <f>IFERROR(__xludf.DUMMYFUNCTION("""COMPUTED_VALUE"""),45597.63611111111)</f>
        <v>45597.63611</v>
      </c>
      <c r="I1609" s="22">
        <f>IFERROR(__xludf.DUMMYFUNCTION("""COMPUTED_VALUE"""),22.18)</f>
        <v>22.18</v>
      </c>
      <c r="J1609" s="25">
        <f>IFERROR(__xludf.DUMMYFUNCTION("""COMPUTED_VALUE"""),45596.63611111111)</f>
        <v>45596.63611</v>
      </c>
      <c r="K1609" s="22">
        <f>IFERROR(__xludf.DUMMYFUNCTION("""COMPUTED_VALUE"""),22.73)</f>
        <v>22.73</v>
      </c>
    </row>
    <row r="1610" ht="15.75" customHeight="1">
      <c r="A1610" s="25">
        <f>IFERROR(__xludf.DUMMYFUNCTION("""COMPUTED_VALUE"""),45597.66666666667)</f>
        <v>45597.66667</v>
      </c>
      <c r="B1610" s="22">
        <f>IFERROR(__xludf.DUMMYFUNCTION("""COMPUTED_VALUE"""),5728.8)</f>
        <v>5728.8</v>
      </c>
      <c r="C1610" s="25">
        <f>IFERROR(__xludf.DUMMYFUNCTION("""COMPUTED_VALUE"""),45597.63611111111)</f>
        <v>45597.63611</v>
      </c>
      <c r="D1610" s="22">
        <f>IFERROR(__xludf.DUMMYFUNCTION("""COMPUTED_VALUE"""),21.88)</f>
        <v>21.88</v>
      </c>
      <c r="F1610" s="25">
        <f>IFERROR(__xludf.DUMMYFUNCTION("""COMPUTED_VALUE"""),45597.63611111111)</f>
        <v>45597.63611</v>
      </c>
      <c r="G1610" s="22">
        <f>IFERROR(__xludf.DUMMYFUNCTION("""COMPUTED_VALUE"""),21.91)</f>
        <v>21.91</v>
      </c>
      <c r="H1610" s="25">
        <f>IFERROR(__xludf.DUMMYFUNCTION("""COMPUTED_VALUE"""),45600.63611111111)</f>
        <v>45600.63611</v>
      </c>
      <c r="I1610" s="22">
        <f>IFERROR(__xludf.DUMMYFUNCTION("""COMPUTED_VALUE"""),22.0)</f>
        <v>22</v>
      </c>
      <c r="J1610" s="25">
        <f>IFERROR(__xludf.DUMMYFUNCTION("""COMPUTED_VALUE"""),45597.63611111111)</f>
        <v>45597.63611</v>
      </c>
      <c r="K1610" s="22">
        <f>IFERROR(__xludf.DUMMYFUNCTION("""COMPUTED_VALUE"""),22.41)</f>
        <v>22.41</v>
      </c>
    </row>
    <row r="1611" ht="15.75" customHeight="1">
      <c r="A1611" s="25">
        <f>IFERROR(__xludf.DUMMYFUNCTION("""COMPUTED_VALUE"""),45600.66666666667)</f>
        <v>45600.66667</v>
      </c>
      <c r="B1611" s="22">
        <f>IFERROR(__xludf.DUMMYFUNCTION("""COMPUTED_VALUE"""),5712.69)</f>
        <v>5712.69</v>
      </c>
      <c r="C1611" s="25">
        <f>IFERROR(__xludf.DUMMYFUNCTION("""COMPUTED_VALUE"""),45600.63611111111)</f>
        <v>45600.63611</v>
      </c>
      <c r="D1611" s="22">
        <f>IFERROR(__xludf.DUMMYFUNCTION("""COMPUTED_VALUE"""),21.98)</f>
        <v>21.98</v>
      </c>
      <c r="F1611" s="25">
        <f>IFERROR(__xludf.DUMMYFUNCTION("""COMPUTED_VALUE"""),45600.63611111111)</f>
        <v>45600.63611</v>
      </c>
      <c r="G1611" s="22">
        <f>IFERROR(__xludf.DUMMYFUNCTION("""COMPUTED_VALUE"""),21.57)</f>
        <v>21.57</v>
      </c>
      <c r="H1611" s="25">
        <f>IFERROR(__xludf.DUMMYFUNCTION("""COMPUTED_VALUE"""),45601.63611111111)</f>
        <v>45601.63611</v>
      </c>
      <c r="I1611" s="22">
        <f>IFERROR(__xludf.DUMMYFUNCTION("""COMPUTED_VALUE"""),20.85)</f>
        <v>20.85</v>
      </c>
      <c r="J1611" s="25">
        <f>IFERROR(__xludf.DUMMYFUNCTION("""COMPUTED_VALUE"""),45600.63611111111)</f>
        <v>45600.63611</v>
      </c>
      <c r="K1611" s="22">
        <f>IFERROR(__xludf.DUMMYFUNCTION("""COMPUTED_VALUE"""),22.37)</f>
        <v>22.37</v>
      </c>
    </row>
    <row r="1612" ht="15.75" customHeight="1">
      <c r="A1612" s="25">
        <f>IFERROR(__xludf.DUMMYFUNCTION("""COMPUTED_VALUE"""),45601.66666666667)</f>
        <v>45601.66667</v>
      </c>
      <c r="B1612" s="22">
        <f>IFERROR(__xludf.DUMMYFUNCTION("""COMPUTED_VALUE"""),5782.76)</f>
        <v>5782.76</v>
      </c>
      <c r="C1612" s="25">
        <f>IFERROR(__xludf.DUMMYFUNCTION("""COMPUTED_VALUE"""),45601.63611111111)</f>
        <v>45601.63611</v>
      </c>
      <c r="D1612" s="22">
        <f>IFERROR(__xludf.DUMMYFUNCTION("""COMPUTED_VALUE"""),20.49)</f>
        <v>20.49</v>
      </c>
      <c r="F1612" s="25">
        <f>IFERROR(__xludf.DUMMYFUNCTION("""COMPUTED_VALUE"""),45601.63611111111)</f>
        <v>45601.63611</v>
      </c>
      <c r="G1612" s="22">
        <f>IFERROR(__xludf.DUMMYFUNCTION("""COMPUTED_VALUE"""),20.19)</f>
        <v>20.19</v>
      </c>
      <c r="H1612" s="25">
        <f>IFERROR(__xludf.DUMMYFUNCTION("""COMPUTED_VALUE"""),45602.63611111111)</f>
        <v>45602.63611</v>
      </c>
      <c r="I1612" s="22">
        <f>IFERROR(__xludf.DUMMYFUNCTION("""COMPUTED_VALUE"""),19.17)</f>
        <v>19.17</v>
      </c>
      <c r="J1612" s="25">
        <f>IFERROR(__xludf.DUMMYFUNCTION("""COMPUTED_VALUE"""),45601.63611111111)</f>
        <v>45601.63611</v>
      </c>
      <c r="K1612" s="22">
        <f>IFERROR(__xludf.DUMMYFUNCTION("""COMPUTED_VALUE"""),21.51)</f>
        <v>21.51</v>
      </c>
    </row>
    <row r="1613" ht="15.75" customHeight="1">
      <c r="A1613" s="25">
        <f>IFERROR(__xludf.DUMMYFUNCTION("""COMPUTED_VALUE"""),45602.66666666667)</f>
        <v>45602.66667</v>
      </c>
      <c r="B1613" s="22">
        <f>IFERROR(__xludf.DUMMYFUNCTION("""COMPUTED_VALUE"""),5929.04)</f>
        <v>5929.04</v>
      </c>
      <c r="C1613" s="25">
        <f>IFERROR(__xludf.DUMMYFUNCTION("""COMPUTED_VALUE"""),45602.63611111111)</f>
        <v>45602.63611</v>
      </c>
      <c r="D1613" s="22">
        <f>IFERROR(__xludf.DUMMYFUNCTION("""COMPUTED_VALUE"""),16.27)</f>
        <v>16.27</v>
      </c>
      <c r="F1613" s="25">
        <f>IFERROR(__xludf.DUMMYFUNCTION("""COMPUTED_VALUE"""),45602.63611111111)</f>
        <v>45602.63611</v>
      </c>
      <c r="G1613" s="22">
        <f>IFERROR(__xludf.DUMMYFUNCTION("""COMPUTED_VALUE"""),17.67)</f>
        <v>17.67</v>
      </c>
      <c r="H1613" s="25">
        <f>IFERROR(__xludf.DUMMYFUNCTION("""COMPUTED_VALUE"""),45603.63611111111)</f>
        <v>45603.63611</v>
      </c>
      <c r="I1613" s="22">
        <f>IFERROR(__xludf.DUMMYFUNCTION("""COMPUTED_VALUE"""),18.61)</f>
        <v>18.61</v>
      </c>
      <c r="J1613" s="25">
        <f>IFERROR(__xludf.DUMMYFUNCTION("""COMPUTED_VALUE"""),45602.63611111111)</f>
        <v>45602.63611</v>
      </c>
      <c r="K1613" s="22">
        <f>IFERROR(__xludf.DUMMYFUNCTION("""COMPUTED_VALUE"""),20.47)</f>
        <v>20.47</v>
      </c>
    </row>
    <row r="1614" ht="15.75" customHeight="1">
      <c r="A1614" s="25">
        <f>IFERROR(__xludf.DUMMYFUNCTION("""COMPUTED_VALUE"""),45603.66666666667)</f>
        <v>45603.66667</v>
      </c>
      <c r="B1614" s="22">
        <f>IFERROR(__xludf.DUMMYFUNCTION("""COMPUTED_VALUE"""),5973.1)</f>
        <v>5973.1</v>
      </c>
      <c r="C1614" s="25">
        <f>IFERROR(__xludf.DUMMYFUNCTION("""COMPUTED_VALUE"""),45603.63611111111)</f>
        <v>45603.63611</v>
      </c>
      <c r="D1614" s="22">
        <f>IFERROR(__xludf.DUMMYFUNCTION("""COMPUTED_VALUE"""),15.2)</f>
        <v>15.2</v>
      </c>
      <c r="F1614" s="25">
        <f>IFERROR(__xludf.DUMMYFUNCTION("""COMPUTED_VALUE"""),45603.63611111111)</f>
        <v>45603.63611</v>
      </c>
      <c r="G1614" s="22">
        <f>IFERROR(__xludf.DUMMYFUNCTION("""COMPUTED_VALUE"""),16.95)</f>
        <v>16.95</v>
      </c>
      <c r="H1614" s="25">
        <f>IFERROR(__xludf.DUMMYFUNCTION("""COMPUTED_VALUE"""),45604.63611111111)</f>
        <v>45604.63611</v>
      </c>
      <c r="I1614" s="22">
        <f>IFERROR(__xludf.DUMMYFUNCTION("""COMPUTED_VALUE"""),18.56)</f>
        <v>18.56</v>
      </c>
      <c r="J1614" s="25">
        <f>IFERROR(__xludf.DUMMYFUNCTION("""COMPUTED_VALUE"""),45603.63611111111)</f>
        <v>45603.63611</v>
      </c>
      <c r="K1614" s="22">
        <f>IFERROR(__xludf.DUMMYFUNCTION("""COMPUTED_VALUE"""),20.26)</f>
        <v>20.26</v>
      </c>
    </row>
    <row r="1615" ht="15.75" customHeight="1">
      <c r="A1615" s="25">
        <f>IFERROR(__xludf.DUMMYFUNCTION("""COMPUTED_VALUE"""),45604.66666666667)</f>
        <v>45604.66667</v>
      </c>
      <c r="B1615" s="22">
        <f>IFERROR(__xludf.DUMMYFUNCTION("""COMPUTED_VALUE"""),5995.54)</f>
        <v>5995.54</v>
      </c>
      <c r="C1615" s="25">
        <f>IFERROR(__xludf.DUMMYFUNCTION("""COMPUTED_VALUE"""),45604.63611111111)</f>
        <v>45604.63611</v>
      </c>
      <c r="D1615" s="22">
        <f>IFERROR(__xludf.DUMMYFUNCTION("""COMPUTED_VALUE"""),14.94)</f>
        <v>14.94</v>
      </c>
      <c r="F1615" s="25">
        <f>IFERROR(__xludf.DUMMYFUNCTION("""COMPUTED_VALUE"""),45604.63611111111)</f>
        <v>45604.63611</v>
      </c>
      <c r="G1615" s="22">
        <f>IFERROR(__xludf.DUMMYFUNCTION("""COMPUTED_VALUE"""),16.83)</f>
        <v>16.83</v>
      </c>
      <c r="H1615" s="25">
        <f>IFERROR(__xludf.DUMMYFUNCTION("""COMPUTED_VALUE"""),45607.63611111111)</f>
        <v>45607.63611</v>
      </c>
      <c r="I1615" s="22">
        <f>IFERROR(__xludf.DUMMYFUNCTION("""COMPUTED_VALUE"""),18.47)</f>
        <v>18.47</v>
      </c>
      <c r="J1615" s="25">
        <f>IFERROR(__xludf.DUMMYFUNCTION("""COMPUTED_VALUE"""),45604.63611111111)</f>
        <v>45604.63611</v>
      </c>
      <c r="K1615" s="22">
        <f>IFERROR(__xludf.DUMMYFUNCTION("""COMPUTED_VALUE"""),20.24)</f>
        <v>20.24</v>
      </c>
    </row>
    <row r="1616" ht="15.75" customHeight="1">
      <c r="A1616" s="25">
        <f>IFERROR(__xludf.DUMMYFUNCTION("""COMPUTED_VALUE"""),45607.66666666667)</f>
        <v>45607.66667</v>
      </c>
      <c r="B1616" s="22">
        <f>IFERROR(__xludf.DUMMYFUNCTION("""COMPUTED_VALUE"""),6001.35)</f>
        <v>6001.35</v>
      </c>
      <c r="C1616" s="25">
        <f>IFERROR(__xludf.DUMMYFUNCTION("""COMPUTED_VALUE"""),45607.63611111111)</f>
        <v>45607.63611</v>
      </c>
      <c r="D1616" s="22">
        <f>IFERROR(__xludf.DUMMYFUNCTION("""COMPUTED_VALUE"""),14.97)</f>
        <v>14.97</v>
      </c>
      <c r="F1616" s="25">
        <f>IFERROR(__xludf.DUMMYFUNCTION("""COMPUTED_VALUE"""),45607.63611111111)</f>
        <v>45607.63611</v>
      </c>
      <c r="G1616" s="22">
        <f>IFERROR(__xludf.DUMMYFUNCTION("""COMPUTED_VALUE"""),16.8)</f>
        <v>16.8</v>
      </c>
      <c r="H1616" s="25">
        <f>IFERROR(__xludf.DUMMYFUNCTION("""COMPUTED_VALUE"""),45608.63611111111)</f>
        <v>45608.63611</v>
      </c>
      <c r="I1616" s="22">
        <f>IFERROR(__xludf.DUMMYFUNCTION("""COMPUTED_VALUE"""),18.54)</f>
        <v>18.54</v>
      </c>
      <c r="J1616" s="25">
        <f>IFERROR(__xludf.DUMMYFUNCTION("""COMPUTED_VALUE"""),45607.63611111111)</f>
        <v>45607.63611</v>
      </c>
      <c r="K1616" s="22">
        <f>IFERROR(__xludf.DUMMYFUNCTION("""COMPUTED_VALUE"""),20.14)</f>
        <v>20.14</v>
      </c>
    </row>
    <row r="1617" ht="15.75" customHeight="1">
      <c r="A1617" s="25">
        <f>IFERROR(__xludf.DUMMYFUNCTION("""COMPUTED_VALUE"""),45608.66666666667)</f>
        <v>45608.66667</v>
      </c>
      <c r="B1617" s="22">
        <f>IFERROR(__xludf.DUMMYFUNCTION("""COMPUTED_VALUE"""),5983.99)</f>
        <v>5983.99</v>
      </c>
      <c r="C1617" s="25">
        <f>IFERROR(__xludf.DUMMYFUNCTION("""COMPUTED_VALUE"""),45608.63611111111)</f>
        <v>45608.63611</v>
      </c>
      <c r="D1617" s="22">
        <f>IFERROR(__xludf.DUMMYFUNCTION("""COMPUTED_VALUE"""),14.71)</f>
        <v>14.71</v>
      </c>
      <c r="F1617" s="25">
        <f>IFERROR(__xludf.DUMMYFUNCTION("""COMPUTED_VALUE"""),45608.63611111111)</f>
        <v>45608.63611</v>
      </c>
      <c r="G1617" s="22">
        <f>IFERROR(__xludf.DUMMYFUNCTION("""COMPUTED_VALUE"""),16.71)</f>
        <v>16.71</v>
      </c>
      <c r="H1617" s="25">
        <f>IFERROR(__xludf.DUMMYFUNCTION("""COMPUTED_VALUE"""),45609.63611111111)</f>
        <v>45609.63611</v>
      </c>
      <c r="I1617" s="22">
        <f>IFERROR(__xludf.DUMMYFUNCTION("""COMPUTED_VALUE"""),18.46)</f>
        <v>18.46</v>
      </c>
      <c r="J1617" s="25">
        <f>IFERROR(__xludf.DUMMYFUNCTION("""COMPUTED_VALUE"""),45608.63611111111)</f>
        <v>45608.63611</v>
      </c>
      <c r="K1617" s="22">
        <f>IFERROR(__xludf.DUMMYFUNCTION("""COMPUTED_VALUE"""),20.17)</f>
        <v>20.17</v>
      </c>
    </row>
    <row r="1618" ht="15.75" customHeight="1">
      <c r="A1618" s="25">
        <f>IFERROR(__xludf.DUMMYFUNCTION("""COMPUTED_VALUE"""),45609.66666666667)</f>
        <v>45609.66667</v>
      </c>
      <c r="B1618" s="22">
        <f>IFERROR(__xludf.DUMMYFUNCTION("""COMPUTED_VALUE"""),5985.38)</f>
        <v>5985.38</v>
      </c>
      <c r="C1618" s="25">
        <f>IFERROR(__xludf.DUMMYFUNCTION("""COMPUTED_VALUE"""),45609.63611111111)</f>
        <v>45609.63611</v>
      </c>
      <c r="D1618" s="22">
        <f>IFERROR(__xludf.DUMMYFUNCTION("""COMPUTED_VALUE"""),14.02)</f>
        <v>14.02</v>
      </c>
      <c r="F1618" s="25">
        <f>IFERROR(__xludf.DUMMYFUNCTION("""COMPUTED_VALUE"""),45609.63611111111)</f>
        <v>45609.63611</v>
      </c>
      <c r="G1618" s="22">
        <f>IFERROR(__xludf.DUMMYFUNCTION("""COMPUTED_VALUE"""),16.51)</f>
        <v>16.51</v>
      </c>
      <c r="H1618" s="25">
        <f>IFERROR(__xludf.DUMMYFUNCTION("""COMPUTED_VALUE"""),45610.63611111111)</f>
        <v>45610.63611</v>
      </c>
      <c r="I1618" s="22">
        <f>IFERROR(__xludf.DUMMYFUNCTION("""COMPUTED_VALUE"""),18.57)</f>
        <v>18.57</v>
      </c>
      <c r="J1618" s="25">
        <f>IFERROR(__xludf.DUMMYFUNCTION("""COMPUTED_VALUE"""),45609.63611111111)</f>
        <v>45609.63611</v>
      </c>
      <c r="K1618" s="22">
        <f>IFERROR(__xludf.DUMMYFUNCTION("""COMPUTED_VALUE"""),20.06)</f>
        <v>20.06</v>
      </c>
    </row>
    <row r="1619" ht="15.75" customHeight="1">
      <c r="A1619" s="25">
        <f>IFERROR(__xludf.DUMMYFUNCTION("""COMPUTED_VALUE"""),45610.66666666667)</f>
        <v>45610.66667</v>
      </c>
      <c r="B1619" s="22">
        <f>IFERROR(__xludf.DUMMYFUNCTION("""COMPUTED_VALUE"""),5949.17)</f>
        <v>5949.17</v>
      </c>
      <c r="C1619" s="25">
        <f>IFERROR(__xludf.DUMMYFUNCTION("""COMPUTED_VALUE"""),45610.63611111111)</f>
        <v>45610.63611</v>
      </c>
      <c r="D1619" s="22">
        <f>IFERROR(__xludf.DUMMYFUNCTION("""COMPUTED_VALUE"""),14.31)</f>
        <v>14.31</v>
      </c>
      <c r="F1619" s="25">
        <f>IFERROR(__xludf.DUMMYFUNCTION("""COMPUTED_VALUE"""),45610.63611111111)</f>
        <v>45610.63611</v>
      </c>
      <c r="G1619" s="22">
        <f>IFERROR(__xludf.DUMMYFUNCTION("""COMPUTED_VALUE"""),16.68)</f>
        <v>16.68</v>
      </c>
      <c r="H1619" s="25">
        <f>IFERROR(__xludf.DUMMYFUNCTION("""COMPUTED_VALUE"""),45611.63611111111)</f>
        <v>45611.63611</v>
      </c>
      <c r="I1619" s="22">
        <f>IFERROR(__xludf.DUMMYFUNCTION("""COMPUTED_VALUE"""),19.25)</f>
        <v>19.25</v>
      </c>
      <c r="J1619" s="25">
        <f>IFERROR(__xludf.DUMMYFUNCTION("""COMPUTED_VALUE"""),45610.63611111111)</f>
        <v>45610.63611</v>
      </c>
      <c r="K1619" s="22">
        <f>IFERROR(__xludf.DUMMYFUNCTION("""COMPUTED_VALUE"""),20.19)</f>
        <v>20.19</v>
      </c>
    </row>
    <row r="1620" ht="15.75" customHeight="1">
      <c r="A1620" s="25">
        <f>IFERROR(__xludf.DUMMYFUNCTION("""COMPUTED_VALUE"""),45611.66666666667)</f>
        <v>45611.66667</v>
      </c>
      <c r="B1620" s="22">
        <f>IFERROR(__xludf.DUMMYFUNCTION("""COMPUTED_VALUE"""),5870.62)</f>
        <v>5870.62</v>
      </c>
      <c r="C1620" s="25">
        <f>IFERROR(__xludf.DUMMYFUNCTION("""COMPUTED_VALUE"""),45611.63611111111)</f>
        <v>45611.63611</v>
      </c>
      <c r="D1620" s="22">
        <f>IFERROR(__xludf.DUMMYFUNCTION("""COMPUTED_VALUE"""),16.14)</f>
        <v>16.14</v>
      </c>
      <c r="F1620" s="25">
        <f>IFERROR(__xludf.DUMMYFUNCTION("""COMPUTED_VALUE"""),45611.63611111111)</f>
        <v>45611.63611</v>
      </c>
      <c r="G1620" s="22">
        <f>IFERROR(__xludf.DUMMYFUNCTION("""COMPUTED_VALUE"""),17.81)</f>
        <v>17.81</v>
      </c>
      <c r="H1620" s="25">
        <f>IFERROR(__xludf.DUMMYFUNCTION("""COMPUTED_VALUE"""),45614.63611111111)</f>
        <v>45614.63611</v>
      </c>
      <c r="I1620" s="22">
        <f>IFERROR(__xludf.DUMMYFUNCTION("""COMPUTED_VALUE"""),18.76)</f>
        <v>18.76</v>
      </c>
      <c r="J1620" s="25">
        <f>IFERROR(__xludf.DUMMYFUNCTION("""COMPUTED_VALUE"""),45611.63611111111)</f>
        <v>45611.63611</v>
      </c>
      <c r="K1620" s="22">
        <f>IFERROR(__xludf.DUMMYFUNCTION("""COMPUTED_VALUE"""),20.72)</f>
        <v>20.72</v>
      </c>
    </row>
    <row r="1621" ht="15.75" customHeight="1">
      <c r="A1621" s="25">
        <f>IFERROR(__xludf.DUMMYFUNCTION("""COMPUTED_VALUE"""),45614.66666666667)</f>
        <v>45614.66667</v>
      </c>
      <c r="B1621" s="22">
        <f>IFERROR(__xludf.DUMMYFUNCTION("""COMPUTED_VALUE"""),5893.62)</f>
        <v>5893.62</v>
      </c>
      <c r="C1621" s="25">
        <f>IFERROR(__xludf.DUMMYFUNCTION("""COMPUTED_VALUE"""),45614.63611111111)</f>
        <v>45614.63611</v>
      </c>
      <c r="D1621" s="22">
        <f>IFERROR(__xludf.DUMMYFUNCTION("""COMPUTED_VALUE"""),15.58)</f>
        <v>15.58</v>
      </c>
      <c r="F1621" s="25">
        <f>IFERROR(__xludf.DUMMYFUNCTION("""COMPUTED_VALUE"""),45614.63611111111)</f>
        <v>45614.63611</v>
      </c>
      <c r="G1621" s="22">
        <f>IFERROR(__xludf.DUMMYFUNCTION("""COMPUTED_VALUE"""),17.19)</f>
        <v>17.19</v>
      </c>
      <c r="H1621" s="25">
        <f>IFERROR(__xludf.DUMMYFUNCTION("""COMPUTED_VALUE"""),45615.63611111111)</f>
        <v>45615.63611</v>
      </c>
      <c r="I1621" s="22">
        <f>IFERROR(__xludf.DUMMYFUNCTION("""COMPUTED_VALUE"""),19.16)</f>
        <v>19.16</v>
      </c>
      <c r="J1621" s="25">
        <f>IFERROR(__xludf.DUMMYFUNCTION("""COMPUTED_VALUE"""),45614.63611111111)</f>
        <v>45614.63611</v>
      </c>
      <c r="K1621" s="22">
        <f>IFERROR(__xludf.DUMMYFUNCTION("""COMPUTED_VALUE"""),20.4)</f>
        <v>20.4</v>
      </c>
    </row>
    <row r="1622" ht="15.75" customHeight="1">
      <c r="A1622" s="25">
        <f>IFERROR(__xludf.DUMMYFUNCTION("""COMPUTED_VALUE"""),45615.66666666667)</f>
        <v>45615.66667</v>
      </c>
      <c r="B1622" s="22">
        <f>IFERROR(__xludf.DUMMYFUNCTION("""COMPUTED_VALUE"""),5916.98)</f>
        <v>5916.98</v>
      </c>
      <c r="C1622" s="25">
        <f>IFERROR(__xludf.DUMMYFUNCTION("""COMPUTED_VALUE"""),45615.63611111111)</f>
        <v>45615.63611</v>
      </c>
      <c r="D1622" s="22">
        <f>IFERROR(__xludf.DUMMYFUNCTION("""COMPUTED_VALUE"""),16.35)</f>
        <v>16.35</v>
      </c>
      <c r="F1622" s="25">
        <f>IFERROR(__xludf.DUMMYFUNCTION("""COMPUTED_VALUE"""),45615.63611111111)</f>
        <v>45615.63611</v>
      </c>
      <c r="G1622" s="22">
        <f>IFERROR(__xludf.DUMMYFUNCTION("""COMPUTED_VALUE"""),17.69)</f>
        <v>17.69</v>
      </c>
      <c r="H1622" s="25">
        <f>IFERROR(__xludf.DUMMYFUNCTION("""COMPUTED_VALUE"""),45616.63611111111)</f>
        <v>45616.63611</v>
      </c>
      <c r="I1622" s="22">
        <f>IFERROR(__xludf.DUMMYFUNCTION("""COMPUTED_VALUE"""),19.43)</f>
        <v>19.43</v>
      </c>
      <c r="J1622" s="25">
        <f>IFERROR(__xludf.DUMMYFUNCTION("""COMPUTED_VALUE"""),45615.63611111111)</f>
        <v>45615.63611</v>
      </c>
      <c r="K1622" s="22">
        <f>IFERROR(__xludf.DUMMYFUNCTION("""COMPUTED_VALUE"""),20.52)</f>
        <v>20.52</v>
      </c>
    </row>
    <row r="1623" ht="15.75" customHeight="1">
      <c r="A1623" s="25">
        <f>IFERROR(__xludf.DUMMYFUNCTION("""COMPUTED_VALUE"""),45616.66666666667)</f>
        <v>45616.66667</v>
      </c>
      <c r="B1623" s="22">
        <f>IFERROR(__xludf.DUMMYFUNCTION("""COMPUTED_VALUE"""),5917.11)</f>
        <v>5917.11</v>
      </c>
      <c r="C1623" s="25">
        <f>IFERROR(__xludf.DUMMYFUNCTION("""COMPUTED_VALUE"""),45616.63611111111)</f>
        <v>45616.63611</v>
      </c>
      <c r="D1623" s="22">
        <f>IFERROR(__xludf.DUMMYFUNCTION("""COMPUTED_VALUE"""),17.16)</f>
        <v>17.16</v>
      </c>
      <c r="F1623" s="25">
        <f>IFERROR(__xludf.DUMMYFUNCTION("""COMPUTED_VALUE"""),45616.63611111111)</f>
        <v>45616.63611</v>
      </c>
      <c r="G1623" s="22">
        <f>IFERROR(__xludf.DUMMYFUNCTION("""COMPUTED_VALUE"""),18.26)</f>
        <v>18.26</v>
      </c>
      <c r="H1623" s="25">
        <f>IFERROR(__xludf.DUMMYFUNCTION("""COMPUTED_VALUE"""),45617.63611111111)</f>
        <v>45617.63611</v>
      </c>
      <c r="I1623" s="22">
        <f>IFERROR(__xludf.DUMMYFUNCTION("""COMPUTED_VALUE"""),19.41)</f>
        <v>19.41</v>
      </c>
      <c r="J1623" s="25">
        <f>IFERROR(__xludf.DUMMYFUNCTION("""COMPUTED_VALUE"""),45616.63611111111)</f>
        <v>45616.63611</v>
      </c>
      <c r="K1623" s="22">
        <f>IFERROR(__xludf.DUMMYFUNCTION("""COMPUTED_VALUE"""),20.75)</f>
        <v>20.75</v>
      </c>
    </row>
    <row r="1624" ht="15.75" customHeight="1">
      <c r="A1624" s="25">
        <f>IFERROR(__xludf.DUMMYFUNCTION("""COMPUTED_VALUE"""),45617.66666666667)</f>
        <v>45617.66667</v>
      </c>
      <c r="B1624" s="22">
        <f>IFERROR(__xludf.DUMMYFUNCTION("""COMPUTED_VALUE"""),5948.71)</f>
        <v>5948.71</v>
      </c>
      <c r="C1624" s="25">
        <f>IFERROR(__xludf.DUMMYFUNCTION("""COMPUTED_VALUE"""),45617.63611111111)</f>
        <v>45617.63611</v>
      </c>
      <c r="D1624" s="22">
        <f>IFERROR(__xludf.DUMMYFUNCTION("""COMPUTED_VALUE"""),16.87)</f>
        <v>16.87</v>
      </c>
      <c r="F1624" s="25">
        <f>IFERROR(__xludf.DUMMYFUNCTION("""COMPUTED_VALUE"""),45617.63611111111)</f>
        <v>45617.63611</v>
      </c>
      <c r="G1624" s="22">
        <f>IFERROR(__xludf.DUMMYFUNCTION("""COMPUTED_VALUE"""),18.18)</f>
        <v>18.18</v>
      </c>
      <c r="H1624" s="25"/>
      <c r="I1624" s="22"/>
      <c r="J1624" s="25">
        <f>IFERROR(__xludf.DUMMYFUNCTION("""COMPUTED_VALUE"""),45617.63611111111)</f>
        <v>45617.63611</v>
      </c>
      <c r="K1624" s="22">
        <f>IFERROR(__xludf.DUMMYFUNCTION("""COMPUTED_VALUE"""),20.63)</f>
        <v>20.63</v>
      </c>
    </row>
    <row r="1625" ht="15.75" customHeight="1">
      <c r="A1625" s="25"/>
      <c r="B1625" s="22"/>
      <c r="C1625" s="25"/>
      <c r="D1625" s="22"/>
      <c r="F1625" s="25"/>
      <c r="G1625" s="22"/>
      <c r="H1625" s="25"/>
      <c r="I1625" s="22"/>
      <c r="J1625" s="25"/>
      <c r="K1625" s="22"/>
    </row>
    <row r="1626" ht="15.75" customHeight="1">
      <c r="A1626" s="25"/>
      <c r="B1626" s="22"/>
      <c r="C1626" s="25"/>
      <c r="D1626" s="22"/>
      <c r="F1626" s="25"/>
      <c r="G1626" s="22"/>
      <c r="H1626" s="25"/>
      <c r="I1626" s="22"/>
      <c r="J1626" s="25"/>
      <c r="K1626" s="22"/>
    </row>
    <row r="1627" ht="15.75" customHeight="1">
      <c r="A1627" s="25"/>
      <c r="B1627" s="22"/>
      <c r="C1627" s="25"/>
      <c r="D1627" s="22"/>
      <c r="F1627" s="25"/>
      <c r="G1627" s="22"/>
      <c r="H1627" s="25"/>
      <c r="I1627" s="22"/>
      <c r="J1627" s="25"/>
      <c r="K1627" s="22"/>
    </row>
    <row r="1628" ht="15.75" customHeight="1">
      <c r="A1628" s="25"/>
      <c r="B1628" s="22"/>
      <c r="C1628" s="25"/>
      <c r="D1628" s="22"/>
      <c r="F1628" s="25"/>
      <c r="G1628" s="22"/>
      <c r="H1628" s="25"/>
      <c r="I1628" s="22"/>
      <c r="J1628" s="25"/>
      <c r="K1628" s="22"/>
    </row>
    <row r="1629" ht="15.75" customHeight="1">
      <c r="A1629" s="25"/>
      <c r="B1629" s="22"/>
      <c r="C1629" s="25"/>
      <c r="D1629" s="22"/>
      <c r="F1629" s="25"/>
      <c r="G1629" s="22"/>
      <c r="H1629" s="25"/>
      <c r="I1629" s="22"/>
      <c r="J1629" s="25"/>
      <c r="K1629" s="22"/>
    </row>
    <row r="1630" ht="15.75" customHeight="1">
      <c r="A1630" s="25"/>
      <c r="B1630" s="22"/>
      <c r="C1630" s="25"/>
      <c r="D1630" s="22"/>
      <c r="F1630" s="25"/>
      <c r="G1630" s="22"/>
      <c r="H1630" s="25"/>
      <c r="I1630" s="22"/>
      <c r="J1630" s="25"/>
      <c r="K1630" s="22"/>
    </row>
    <row r="1631" ht="15.75" customHeight="1">
      <c r="A1631" s="25"/>
      <c r="B1631" s="22"/>
      <c r="C1631" s="25"/>
      <c r="D1631" s="22"/>
      <c r="F1631" s="25"/>
      <c r="G1631" s="22"/>
      <c r="H1631" s="25"/>
      <c r="I1631" s="22"/>
      <c r="J1631" s="25"/>
      <c r="K1631" s="22"/>
    </row>
    <row r="1632" ht="15.75" customHeight="1">
      <c r="A1632" s="25"/>
      <c r="B1632" s="22"/>
      <c r="C1632" s="25"/>
      <c r="D1632" s="22"/>
      <c r="F1632" s="25"/>
      <c r="G1632" s="22"/>
      <c r="H1632" s="25"/>
      <c r="I1632" s="22"/>
      <c r="J1632" s="25"/>
      <c r="K1632" s="22"/>
    </row>
    <row r="1633" ht="15.75" customHeight="1">
      <c r="A1633" s="25"/>
      <c r="B1633" s="22"/>
      <c r="C1633" s="25"/>
      <c r="D1633" s="22"/>
      <c r="F1633" s="25"/>
      <c r="G1633" s="22"/>
      <c r="H1633" s="25"/>
      <c r="I1633" s="22"/>
      <c r="J1633" s="25"/>
      <c r="K1633" s="22"/>
    </row>
    <row r="1634" ht="15.75" customHeight="1">
      <c r="A1634" s="25"/>
      <c r="B1634" s="22"/>
      <c r="C1634" s="25"/>
      <c r="D1634" s="22"/>
      <c r="F1634" s="25"/>
      <c r="G1634" s="22"/>
      <c r="H1634" s="25"/>
      <c r="I1634" s="22"/>
      <c r="J1634" s="25"/>
      <c r="K1634" s="22"/>
    </row>
    <row r="1635" ht="15.75" customHeight="1">
      <c r="A1635" s="25"/>
      <c r="B1635" s="22"/>
      <c r="C1635" s="25"/>
      <c r="D1635" s="22"/>
      <c r="F1635" s="25"/>
      <c r="G1635" s="22"/>
      <c r="H1635" s="25"/>
      <c r="I1635" s="22"/>
      <c r="J1635" s="25"/>
      <c r="K1635" s="22"/>
    </row>
    <row r="1636" ht="15.75" customHeight="1">
      <c r="A1636" s="25"/>
      <c r="B1636" s="22"/>
      <c r="C1636" s="25"/>
      <c r="D1636" s="22"/>
      <c r="F1636" s="25"/>
      <c r="G1636" s="22"/>
      <c r="H1636" s="25"/>
      <c r="I1636" s="22"/>
      <c r="J1636" s="25"/>
      <c r="K1636" s="22"/>
    </row>
    <row r="1637" ht="15.75" customHeight="1">
      <c r="A1637" s="25"/>
      <c r="B1637" s="22"/>
      <c r="C1637" s="25"/>
      <c r="D1637" s="22"/>
      <c r="F1637" s="25"/>
      <c r="G1637" s="22"/>
      <c r="H1637" s="25"/>
      <c r="I1637" s="22"/>
      <c r="J1637" s="25"/>
      <c r="K1637" s="22"/>
    </row>
    <row r="1638" ht="15.75" customHeight="1">
      <c r="A1638" s="25"/>
      <c r="B1638" s="22"/>
      <c r="C1638" s="25"/>
      <c r="D1638" s="22"/>
      <c r="F1638" s="25"/>
      <c r="G1638" s="22"/>
      <c r="H1638" s="25"/>
      <c r="I1638" s="22"/>
      <c r="J1638" s="25"/>
      <c r="K1638" s="22"/>
    </row>
    <row r="1639" ht="15.75" customHeight="1">
      <c r="A1639" s="25"/>
      <c r="B1639" s="22"/>
      <c r="C1639" s="25"/>
      <c r="D1639" s="22"/>
      <c r="F1639" s="25"/>
      <c r="G1639" s="22"/>
      <c r="H1639" s="25"/>
      <c r="I1639" s="22"/>
      <c r="J1639" s="25"/>
      <c r="K1639" s="22"/>
    </row>
    <row r="1640" ht="15.75" customHeight="1">
      <c r="A1640" s="25"/>
      <c r="B1640" s="22"/>
      <c r="C1640" s="25"/>
      <c r="D1640" s="22"/>
      <c r="F1640" s="25"/>
      <c r="G1640" s="22"/>
      <c r="H1640" s="25"/>
      <c r="I1640" s="22"/>
      <c r="J1640" s="25"/>
      <c r="K1640" s="22"/>
    </row>
    <row r="1641" ht="15.75" customHeight="1">
      <c r="A1641" s="25"/>
      <c r="B1641" s="22"/>
      <c r="C1641" s="25"/>
      <c r="D1641" s="22"/>
      <c r="F1641" s="25"/>
      <c r="G1641" s="22"/>
      <c r="H1641" s="25"/>
      <c r="I1641" s="22"/>
      <c r="J1641" s="25"/>
      <c r="K1641" s="22"/>
    </row>
    <row r="1642" ht="15.75" customHeight="1">
      <c r="A1642" s="25"/>
      <c r="B1642" s="22"/>
      <c r="C1642" s="25"/>
      <c r="D1642" s="22"/>
      <c r="F1642" s="25"/>
      <c r="G1642" s="22"/>
      <c r="H1642" s="25"/>
      <c r="I1642" s="22"/>
      <c r="J1642" s="25"/>
      <c r="K1642" s="22"/>
    </row>
    <row r="1643" ht="15.75" customHeight="1">
      <c r="A1643" s="25"/>
      <c r="B1643" s="22"/>
      <c r="C1643" s="25"/>
      <c r="D1643" s="22"/>
      <c r="F1643" s="25"/>
      <c r="G1643" s="22"/>
      <c r="H1643" s="25"/>
      <c r="I1643" s="22"/>
      <c r="J1643" s="25"/>
      <c r="K1643" s="22"/>
    </row>
    <row r="1644" ht="15.75" customHeight="1">
      <c r="A1644" s="25"/>
      <c r="B1644" s="22"/>
      <c r="C1644" s="25"/>
      <c r="D1644" s="22"/>
      <c r="F1644" s="25"/>
      <c r="G1644" s="22"/>
      <c r="H1644" s="25"/>
      <c r="I1644" s="22"/>
      <c r="J1644" s="25"/>
      <c r="K1644" s="22"/>
    </row>
    <row r="1645" ht="15.75" customHeight="1">
      <c r="A1645" s="25"/>
      <c r="B1645" s="22"/>
      <c r="C1645" s="25"/>
      <c r="D1645" s="22"/>
      <c r="F1645" s="25"/>
      <c r="G1645" s="22"/>
      <c r="H1645" s="25"/>
      <c r="I1645" s="22"/>
      <c r="J1645" s="25"/>
      <c r="K1645" s="22"/>
    </row>
    <row r="1646" ht="15.75" customHeight="1">
      <c r="A1646" s="25"/>
      <c r="B1646" s="22"/>
      <c r="C1646" s="25"/>
      <c r="D1646" s="22"/>
      <c r="F1646" s="25"/>
      <c r="G1646" s="22"/>
      <c r="H1646" s="25"/>
      <c r="I1646" s="22"/>
      <c r="J1646" s="25"/>
      <c r="K1646" s="22"/>
    </row>
    <row r="1647" ht="15.75" customHeight="1">
      <c r="A1647" s="25"/>
      <c r="B1647" s="22"/>
      <c r="C1647" s="25"/>
      <c r="D1647" s="22"/>
      <c r="F1647" s="25"/>
      <c r="G1647" s="22"/>
      <c r="H1647" s="25"/>
      <c r="I1647" s="22"/>
      <c r="J1647" s="25"/>
      <c r="K1647" s="22"/>
    </row>
    <row r="1648" ht="15.75" customHeight="1">
      <c r="A1648" s="25"/>
      <c r="B1648" s="22"/>
      <c r="C1648" s="25"/>
      <c r="D1648" s="22"/>
      <c r="F1648" s="25"/>
      <c r="G1648" s="22"/>
      <c r="H1648" s="25"/>
      <c r="I1648" s="22"/>
      <c r="J1648" s="25"/>
      <c r="K1648" s="22"/>
    </row>
    <row r="1649" ht="15.75" customHeight="1">
      <c r="A1649" s="25"/>
      <c r="B1649" s="22"/>
      <c r="C1649" s="25"/>
      <c r="D1649" s="22"/>
      <c r="F1649" s="25"/>
      <c r="G1649" s="22"/>
      <c r="H1649" s="25"/>
      <c r="I1649" s="22"/>
      <c r="J1649" s="25"/>
      <c r="K1649" s="22"/>
    </row>
    <row r="1650" ht="15.75" customHeight="1">
      <c r="A1650" s="25"/>
      <c r="B1650" s="22"/>
      <c r="C1650" s="25"/>
      <c r="D1650" s="22"/>
      <c r="F1650" s="25"/>
      <c r="G1650" s="22"/>
      <c r="H1650" s="25"/>
      <c r="I1650" s="22"/>
      <c r="J1650" s="25"/>
      <c r="K1650" s="22"/>
    </row>
    <row r="1651" ht="15.75" customHeight="1">
      <c r="A1651" s="25"/>
      <c r="B1651" s="22"/>
      <c r="C1651" s="25"/>
      <c r="D1651" s="22"/>
      <c r="F1651" s="25"/>
      <c r="G1651" s="22"/>
      <c r="H1651" s="25"/>
      <c r="I1651" s="22"/>
      <c r="J1651" s="25"/>
      <c r="K1651" s="22"/>
    </row>
    <row r="1652" ht="15.75" customHeight="1">
      <c r="A1652" s="25"/>
      <c r="B1652" s="22"/>
      <c r="C1652" s="25"/>
      <c r="D1652" s="22"/>
      <c r="F1652" s="25"/>
      <c r="G1652" s="22"/>
      <c r="H1652" s="25"/>
      <c r="I1652" s="22"/>
      <c r="J1652" s="25"/>
      <c r="K1652" s="22"/>
    </row>
    <row r="1653" ht="15.75" customHeight="1">
      <c r="A1653" s="25"/>
      <c r="B1653" s="22"/>
      <c r="C1653" s="25"/>
      <c r="D1653" s="22"/>
      <c r="F1653" s="25"/>
      <c r="G1653" s="22"/>
      <c r="H1653" s="25"/>
      <c r="I1653" s="22"/>
      <c r="J1653" s="25"/>
      <c r="K1653" s="22"/>
    </row>
    <row r="1654" ht="15.75" customHeight="1">
      <c r="A1654" s="25"/>
      <c r="B1654" s="22"/>
      <c r="C1654" s="25"/>
      <c r="D1654" s="22"/>
      <c r="F1654" s="25"/>
      <c r="G1654" s="22"/>
      <c r="H1654" s="25"/>
      <c r="I1654" s="22"/>
      <c r="J1654" s="25"/>
      <c r="K1654" s="22"/>
    </row>
    <row r="1655" ht="15.75" customHeight="1">
      <c r="A1655" s="25"/>
      <c r="B1655" s="22"/>
      <c r="C1655" s="25"/>
      <c r="D1655" s="22"/>
      <c r="F1655" s="25"/>
      <c r="G1655" s="22"/>
      <c r="H1655" s="25"/>
      <c r="I1655" s="22"/>
      <c r="J1655" s="25"/>
      <c r="K1655" s="22"/>
    </row>
    <row r="1656" ht="15.75" customHeight="1">
      <c r="A1656" s="25"/>
      <c r="B1656" s="22"/>
      <c r="C1656" s="25"/>
      <c r="D1656" s="22"/>
      <c r="F1656" s="25"/>
      <c r="G1656" s="22"/>
      <c r="H1656" s="25"/>
      <c r="I1656" s="22"/>
      <c r="J1656" s="25"/>
      <c r="K1656" s="22"/>
    </row>
    <row r="1657" ht="15.75" customHeight="1">
      <c r="A1657" s="25"/>
      <c r="B1657" s="22"/>
      <c r="C1657" s="25"/>
      <c r="D1657" s="22"/>
      <c r="F1657" s="25"/>
      <c r="G1657" s="22"/>
      <c r="H1657" s="25"/>
      <c r="I1657" s="22"/>
      <c r="J1657" s="25"/>
      <c r="K1657" s="22"/>
    </row>
    <row r="1658" ht="15.75" customHeight="1">
      <c r="A1658" s="25"/>
      <c r="B1658" s="22"/>
      <c r="C1658" s="25"/>
      <c r="D1658" s="22"/>
      <c r="F1658" s="25"/>
      <c r="G1658" s="22"/>
      <c r="H1658" s="25"/>
      <c r="I1658" s="22"/>
      <c r="J1658" s="25"/>
      <c r="K1658" s="22"/>
    </row>
    <row r="1659" ht="15.75" customHeight="1">
      <c r="A1659" s="25"/>
      <c r="B1659" s="22"/>
      <c r="C1659" s="25"/>
      <c r="D1659" s="22"/>
      <c r="F1659" s="25"/>
      <c r="G1659" s="22"/>
      <c r="H1659" s="25"/>
      <c r="I1659" s="22"/>
      <c r="J1659" s="25"/>
      <c r="K1659" s="22"/>
    </row>
    <row r="1660" ht="15.75" customHeight="1">
      <c r="A1660" s="25"/>
      <c r="B1660" s="22"/>
      <c r="C1660" s="25"/>
      <c r="D1660" s="22"/>
      <c r="F1660" s="25"/>
      <c r="G1660" s="22"/>
      <c r="H1660" s="25"/>
      <c r="I1660" s="22"/>
      <c r="J1660" s="25"/>
      <c r="K1660" s="22"/>
    </row>
    <row r="1661" ht="15.75" customHeight="1">
      <c r="A1661" s="25"/>
      <c r="B1661" s="22"/>
      <c r="C1661" s="25"/>
      <c r="D1661" s="22"/>
      <c r="F1661" s="25"/>
      <c r="G1661" s="22"/>
      <c r="H1661" s="25"/>
      <c r="I1661" s="22"/>
      <c r="J1661" s="25"/>
      <c r="K1661" s="22"/>
    </row>
    <row r="1662" ht="15.75" customHeight="1">
      <c r="A1662" s="25"/>
      <c r="B1662" s="22"/>
      <c r="C1662" s="25"/>
      <c r="D1662" s="22"/>
      <c r="F1662" s="25"/>
      <c r="G1662" s="22"/>
      <c r="H1662" s="25"/>
      <c r="I1662" s="22"/>
      <c r="J1662" s="25"/>
      <c r="K1662" s="22"/>
    </row>
    <row r="1663" ht="15.75" customHeight="1">
      <c r="A1663" s="25"/>
      <c r="B1663" s="22"/>
      <c r="C1663" s="25"/>
      <c r="D1663" s="22"/>
      <c r="F1663" s="25"/>
      <c r="G1663" s="22"/>
      <c r="H1663" s="25"/>
      <c r="I1663" s="22"/>
      <c r="J1663" s="25"/>
      <c r="K1663" s="22"/>
    </row>
    <row r="1664" ht="15.75" customHeight="1">
      <c r="A1664" s="25"/>
      <c r="B1664" s="22"/>
      <c r="C1664" s="25"/>
      <c r="D1664" s="22"/>
      <c r="F1664" s="25"/>
      <c r="G1664" s="22"/>
      <c r="H1664" s="25"/>
      <c r="I1664" s="22"/>
      <c r="J1664" s="25"/>
      <c r="K1664" s="22"/>
    </row>
    <row r="1665" ht="15.75" customHeight="1">
      <c r="A1665" s="25"/>
      <c r="B1665" s="22"/>
      <c r="C1665" s="25"/>
      <c r="D1665" s="22"/>
      <c r="F1665" s="25"/>
      <c r="G1665" s="22"/>
      <c r="H1665" s="25"/>
      <c r="I1665" s="22"/>
      <c r="J1665" s="25"/>
      <c r="K1665" s="22"/>
    </row>
    <row r="1666" ht="15.75" customHeight="1">
      <c r="A1666" s="25"/>
      <c r="B1666" s="22"/>
      <c r="C1666" s="25"/>
      <c r="D1666" s="22"/>
      <c r="F1666" s="25"/>
      <c r="G1666" s="22"/>
      <c r="H1666" s="25"/>
      <c r="I1666" s="22"/>
      <c r="J1666" s="25"/>
      <c r="K1666" s="22"/>
    </row>
    <row r="1667" ht="15.75" customHeight="1">
      <c r="A1667" s="25"/>
      <c r="B1667" s="22"/>
      <c r="C1667" s="25"/>
      <c r="D1667" s="22"/>
      <c r="F1667" s="25"/>
      <c r="G1667" s="22"/>
      <c r="H1667" s="25"/>
      <c r="I1667" s="22"/>
      <c r="J1667" s="25"/>
      <c r="K1667" s="22"/>
    </row>
    <row r="1668" ht="15.75" customHeight="1">
      <c r="A1668" s="25"/>
      <c r="B1668" s="22"/>
      <c r="C1668" s="25"/>
      <c r="D1668" s="22"/>
      <c r="F1668" s="25"/>
      <c r="G1668" s="22"/>
      <c r="H1668" s="25"/>
      <c r="I1668" s="22"/>
      <c r="J1668" s="25"/>
      <c r="K1668" s="22"/>
    </row>
    <row r="1669" ht="15.75" customHeight="1">
      <c r="A1669" s="25"/>
      <c r="B1669" s="22"/>
      <c r="C1669" s="25"/>
      <c r="D1669" s="22"/>
      <c r="F1669" s="25"/>
      <c r="G1669" s="22"/>
      <c r="H1669" s="25"/>
      <c r="I1669" s="22"/>
      <c r="J1669" s="25"/>
      <c r="K1669" s="22"/>
    </row>
    <row r="1670" ht="15.75" customHeight="1">
      <c r="A1670" s="25"/>
      <c r="B1670" s="22"/>
      <c r="C1670" s="25"/>
      <c r="D1670" s="22"/>
      <c r="F1670" s="25"/>
      <c r="G1670" s="22"/>
      <c r="H1670" s="25"/>
      <c r="I1670" s="22"/>
      <c r="J1670" s="25"/>
      <c r="K1670" s="22"/>
    </row>
    <row r="1671" ht="15.75" customHeight="1">
      <c r="A1671" s="25"/>
      <c r="B1671" s="22"/>
      <c r="C1671" s="25"/>
      <c r="D1671" s="22"/>
      <c r="F1671" s="25"/>
      <c r="G1671" s="22"/>
      <c r="H1671" s="25"/>
      <c r="I1671" s="22"/>
      <c r="J1671" s="25"/>
      <c r="K1671" s="22"/>
    </row>
    <row r="1672" ht="15.75" customHeight="1">
      <c r="A1672" s="25"/>
      <c r="B1672" s="22"/>
      <c r="C1672" s="25"/>
      <c r="D1672" s="22"/>
      <c r="F1672" s="25"/>
      <c r="G1672" s="22"/>
      <c r="H1672" s="25"/>
      <c r="I1672" s="22"/>
      <c r="J1672" s="25"/>
      <c r="K1672" s="22"/>
    </row>
    <row r="1673" ht="15.75" customHeight="1">
      <c r="A1673" s="25"/>
      <c r="B1673" s="22"/>
      <c r="C1673" s="25"/>
      <c r="D1673" s="22"/>
      <c r="F1673" s="25"/>
      <c r="G1673" s="22"/>
      <c r="H1673" s="25"/>
      <c r="I1673" s="22"/>
      <c r="J1673" s="25"/>
      <c r="K1673" s="22"/>
    </row>
    <row r="1674" ht="15.75" customHeight="1">
      <c r="A1674" s="25"/>
      <c r="B1674" s="22"/>
      <c r="C1674" s="25"/>
      <c r="D1674" s="22"/>
      <c r="F1674" s="25"/>
      <c r="G1674" s="22"/>
      <c r="H1674" s="25"/>
      <c r="I1674" s="22"/>
      <c r="J1674" s="25"/>
      <c r="K1674" s="22"/>
    </row>
    <row r="1675" ht="15.75" customHeight="1">
      <c r="A1675" s="25"/>
      <c r="B1675" s="22"/>
      <c r="C1675" s="25"/>
      <c r="D1675" s="22"/>
      <c r="F1675" s="25"/>
      <c r="G1675" s="22"/>
      <c r="H1675" s="25"/>
      <c r="I1675" s="22"/>
      <c r="J1675" s="25"/>
      <c r="K1675" s="22"/>
    </row>
    <row r="1676" ht="15.75" customHeight="1">
      <c r="A1676" s="25"/>
      <c r="B1676" s="22"/>
      <c r="C1676" s="25"/>
      <c r="D1676" s="22"/>
      <c r="F1676" s="25"/>
      <c r="G1676" s="22"/>
      <c r="H1676" s="25"/>
      <c r="I1676" s="22"/>
      <c r="J1676" s="25"/>
      <c r="K1676" s="22"/>
    </row>
    <row r="1677" ht="15.75" customHeight="1">
      <c r="A1677" s="25"/>
      <c r="B1677" s="22"/>
      <c r="C1677" s="25"/>
      <c r="D1677" s="22"/>
      <c r="F1677" s="25"/>
      <c r="G1677" s="22"/>
      <c r="H1677" s="25"/>
      <c r="I1677" s="22"/>
      <c r="J1677" s="25"/>
      <c r="K1677" s="22"/>
    </row>
    <row r="1678" ht="15.75" customHeight="1">
      <c r="A1678" s="25"/>
      <c r="B1678" s="22"/>
      <c r="C1678" s="25"/>
      <c r="D1678" s="22"/>
      <c r="F1678" s="25"/>
      <c r="G1678" s="22"/>
      <c r="H1678" s="25"/>
      <c r="I1678" s="22"/>
      <c r="J1678" s="25"/>
      <c r="K1678" s="22"/>
    </row>
    <row r="1679" ht="15.75" customHeight="1">
      <c r="A1679" s="25"/>
      <c r="B1679" s="22"/>
      <c r="C1679" s="25"/>
      <c r="D1679" s="22"/>
      <c r="F1679" s="25"/>
      <c r="G1679" s="22"/>
      <c r="H1679" s="25"/>
      <c r="I1679" s="22"/>
      <c r="J1679" s="25"/>
      <c r="K1679" s="22"/>
    </row>
    <row r="1680" ht="15.75" customHeight="1">
      <c r="A1680" s="25"/>
      <c r="B1680" s="22"/>
      <c r="C1680" s="25"/>
      <c r="D1680" s="22"/>
      <c r="F1680" s="25"/>
      <c r="G1680" s="22"/>
      <c r="H1680" s="25"/>
      <c r="I1680" s="22"/>
      <c r="J1680" s="25"/>
      <c r="K1680" s="22"/>
    </row>
    <row r="1681" ht="15.75" customHeight="1">
      <c r="A1681" s="25"/>
      <c r="B1681" s="22"/>
      <c r="C1681" s="25"/>
      <c r="D1681" s="22"/>
      <c r="F1681" s="25"/>
      <c r="G1681" s="22"/>
      <c r="H1681" s="25"/>
      <c r="I1681" s="22"/>
      <c r="J1681" s="25"/>
      <c r="K1681" s="22"/>
    </row>
    <row r="1682" ht="15.75" customHeight="1">
      <c r="A1682" s="25"/>
      <c r="B1682" s="22"/>
      <c r="C1682" s="25"/>
      <c r="D1682" s="22"/>
      <c r="F1682" s="25"/>
      <c r="G1682" s="22"/>
      <c r="H1682" s="25"/>
      <c r="I1682" s="22"/>
      <c r="J1682" s="25"/>
      <c r="K1682" s="22"/>
    </row>
    <row r="1683" ht="15.75" customHeight="1">
      <c r="A1683" s="25"/>
      <c r="B1683" s="22"/>
      <c r="C1683" s="25"/>
      <c r="D1683" s="22"/>
      <c r="F1683" s="25"/>
      <c r="G1683" s="22"/>
      <c r="H1683" s="25"/>
      <c r="I1683" s="22"/>
      <c r="J1683" s="25"/>
      <c r="K1683" s="22"/>
    </row>
    <row r="1684" ht="15.75" customHeight="1">
      <c r="A1684" s="25"/>
      <c r="B1684" s="22"/>
      <c r="C1684" s="25"/>
      <c r="D1684" s="22"/>
      <c r="F1684" s="25"/>
      <c r="G1684" s="22"/>
      <c r="H1684" s="25"/>
      <c r="I1684" s="22"/>
      <c r="J1684" s="25"/>
      <c r="K1684" s="22"/>
    </row>
    <row r="1685" ht="15.75" customHeight="1">
      <c r="A1685" s="25"/>
      <c r="B1685" s="22"/>
      <c r="C1685" s="25"/>
      <c r="D1685" s="22"/>
      <c r="F1685" s="25"/>
      <c r="G1685" s="22"/>
      <c r="H1685" s="25"/>
      <c r="I1685" s="22"/>
      <c r="J1685" s="25"/>
      <c r="K1685" s="22"/>
    </row>
    <row r="1686" ht="15.75" customHeight="1">
      <c r="A1686" s="25"/>
      <c r="B1686" s="22"/>
      <c r="C1686" s="25"/>
      <c r="D1686" s="22"/>
      <c r="F1686" s="25"/>
      <c r="G1686" s="22"/>
      <c r="H1686" s="25"/>
      <c r="I1686" s="22"/>
      <c r="J1686" s="25"/>
      <c r="K1686" s="22"/>
    </row>
    <row r="1687" ht="15.75" customHeight="1">
      <c r="A1687" s="25"/>
      <c r="B1687" s="22"/>
      <c r="C1687" s="25"/>
      <c r="D1687" s="22"/>
      <c r="F1687" s="25"/>
      <c r="G1687" s="22"/>
      <c r="H1687" s="25"/>
      <c r="I1687" s="22"/>
      <c r="J1687" s="25"/>
      <c r="K1687" s="22"/>
    </row>
    <row r="1688" ht="15.75" customHeight="1">
      <c r="A1688" s="25"/>
      <c r="B1688" s="22"/>
      <c r="C1688" s="25"/>
      <c r="D1688" s="22"/>
      <c r="F1688" s="25"/>
      <c r="G1688" s="22"/>
      <c r="H1688" s="25"/>
      <c r="I1688" s="22"/>
      <c r="J1688" s="25"/>
      <c r="K1688" s="22"/>
    </row>
    <row r="1689" ht="15.75" customHeight="1">
      <c r="A1689" s="25"/>
      <c r="B1689" s="22"/>
      <c r="C1689" s="25"/>
      <c r="D1689" s="22"/>
      <c r="F1689" s="25"/>
      <c r="G1689" s="22"/>
      <c r="H1689" s="25"/>
      <c r="I1689" s="22"/>
      <c r="J1689" s="25"/>
      <c r="K1689" s="22"/>
    </row>
    <row r="1690" ht="15.75" customHeight="1">
      <c r="A1690" s="25"/>
      <c r="B1690" s="22"/>
      <c r="C1690" s="25"/>
      <c r="D1690" s="22"/>
      <c r="F1690" s="25"/>
      <c r="G1690" s="22"/>
      <c r="H1690" s="25"/>
      <c r="I1690" s="22"/>
      <c r="J1690" s="25"/>
      <c r="K1690" s="22"/>
    </row>
    <row r="1691" ht="15.75" customHeight="1">
      <c r="A1691" s="25"/>
      <c r="B1691" s="22"/>
      <c r="C1691" s="25"/>
      <c r="D1691" s="22"/>
      <c r="F1691" s="25"/>
      <c r="G1691" s="22"/>
      <c r="H1691" s="25"/>
      <c r="I1691" s="22"/>
      <c r="J1691" s="25"/>
      <c r="K1691" s="22"/>
    </row>
    <row r="1692" ht="15.75" customHeight="1">
      <c r="A1692" s="25"/>
      <c r="B1692" s="22"/>
      <c r="C1692" s="25"/>
      <c r="D1692" s="22"/>
      <c r="F1692" s="25"/>
      <c r="G1692" s="22"/>
      <c r="H1692" s="25"/>
      <c r="I1692" s="22"/>
      <c r="J1692" s="25"/>
      <c r="K1692" s="22"/>
    </row>
    <row r="1693" ht="15.75" customHeight="1">
      <c r="A1693" s="25"/>
      <c r="B1693" s="22"/>
      <c r="C1693" s="25"/>
      <c r="D1693" s="22"/>
      <c r="F1693" s="25"/>
      <c r="G1693" s="22"/>
      <c r="H1693" s="25"/>
      <c r="I1693" s="22"/>
      <c r="J1693" s="25"/>
      <c r="K1693" s="22"/>
    </row>
    <row r="1694" ht="15.75" customHeight="1">
      <c r="A1694" s="25"/>
      <c r="B1694" s="22"/>
      <c r="C1694" s="25"/>
      <c r="D1694" s="22"/>
      <c r="F1694" s="25"/>
      <c r="G1694" s="22"/>
      <c r="H1694" s="25"/>
      <c r="I1694" s="22"/>
      <c r="J1694" s="25"/>
      <c r="K1694" s="22"/>
    </row>
    <row r="1695" ht="15.75" customHeight="1">
      <c r="A1695" s="25"/>
      <c r="B1695" s="22"/>
      <c r="C1695" s="25"/>
      <c r="D1695" s="22"/>
      <c r="F1695" s="25"/>
      <c r="G1695" s="22"/>
      <c r="H1695" s="25"/>
      <c r="I1695" s="22"/>
      <c r="J1695" s="25"/>
      <c r="K1695" s="22"/>
    </row>
    <row r="1696" ht="15.75" customHeight="1">
      <c r="A1696" s="25"/>
      <c r="B1696" s="22"/>
      <c r="C1696" s="25"/>
      <c r="D1696" s="22"/>
      <c r="F1696" s="25"/>
      <c r="G1696" s="22"/>
      <c r="H1696" s="25"/>
      <c r="I1696" s="22"/>
      <c r="J1696" s="25"/>
      <c r="K1696" s="22"/>
    </row>
    <row r="1697" ht="15.75" customHeight="1">
      <c r="A1697" s="25"/>
      <c r="B1697" s="22"/>
      <c r="C1697" s="25"/>
      <c r="D1697" s="22"/>
      <c r="F1697" s="25"/>
      <c r="G1697" s="22"/>
      <c r="H1697" s="25"/>
      <c r="I1697" s="22"/>
      <c r="J1697" s="25"/>
      <c r="K1697" s="22"/>
    </row>
    <row r="1698" ht="15.75" customHeight="1">
      <c r="A1698" s="25"/>
      <c r="B1698" s="22"/>
      <c r="C1698" s="25"/>
      <c r="D1698" s="22"/>
      <c r="F1698" s="25"/>
      <c r="G1698" s="22"/>
      <c r="H1698" s="25"/>
      <c r="I1698" s="22"/>
      <c r="J1698" s="25"/>
      <c r="K1698" s="22"/>
    </row>
    <row r="1699" ht="15.75" customHeight="1">
      <c r="A1699" s="25"/>
      <c r="B1699" s="22"/>
      <c r="C1699" s="25"/>
      <c r="D1699" s="22"/>
      <c r="F1699" s="25"/>
      <c r="G1699" s="22"/>
      <c r="H1699" s="25"/>
      <c r="I1699" s="22"/>
      <c r="J1699" s="25"/>
      <c r="K1699" s="22"/>
    </row>
    <row r="1700" ht="15.75" customHeight="1">
      <c r="A1700" s="25"/>
      <c r="B1700" s="22"/>
      <c r="C1700" s="25"/>
      <c r="D1700" s="22"/>
      <c r="F1700" s="25"/>
      <c r="G1700" s="22"/>
      <c r="H1700" s="25"/>
      <c r="I1700" s="22"/>
      <c r="J1700" s="25"/>
      <c r="K1700" s="22"/>
    </row>
    <row r="1701" ht="15.75" customHeight="1">
      <c r="A1701" s="25"/>
      <c r="B1701" s="22"/>
      <c r="C1701" s="25"/>
      <c r="D1701" s="22"/>
      <c r="F1701" s="25"/>
      <c r="G1701" s="22"/>
      <c r="H1701" s="25"/>
      <c r="I1701" s="22"/>
      <c r="J1701" s="25"/>
      <c r="K1701" s="22"/>
    </row>
    <row r="1702" ht="15.75" customHeight="1">
      <c r="A1702" s="25"/>
      <c r="B1702" s="22"/>
      <c r="C1702" s="25"/>
      <c r="D1702" s="22"/>
      <c r="F1702" s="25"/>
      <c r="G1702" s="22"/>
      <c r="H1702" s="25"/>
      <c r="I1702" s="22"/>
      <c r="J1702" s="25"/>
      <c r="K1702" s="22"/>
    </row>
    <row r="1703" ht="15.75" customHeight="1">
      <c r="A1703" s="25"/>
      <c r="B1703" s="22"/>
      <c r="C1703" s="25"/>
      <c r="D1703" s="22"/>
      <c r="F1703" s="25"/>
      <c r="G1703" s="22"/>
      <c r="H1703" s="25"/>
      <c r="I1703" s="22"/>
      <c r="J1703" s="25"/>
      <c r="K1703" s="22"/>
    </row>
    <row r="1704" ht="15.75" customHeight="1">
      <c r="A1704" s="25"/>
      <c r="B1704" s="22"/>
      <c r="C1704" s="25"/>
      <c r="D1704" s="22"/>
      <c r="F1704" s="25"/>
      <c r="G1704" s="22"/>
      <c r="H1704" s="25"/>
      <c r="I1704" s="22"/>
      <c r="J1704" s="25"/>
      <c r="K1704" s="22"/>
    </row>
    <row r="1705" ht="15.75" customHeight="1">
      <c r="A1705" s="25"/>
      <c r="B1705" s="22"/>
      <c r="C1705" s="25"/>
      <c r="D1705" s="22"/>
      <c r="F1705" s="25"/>
      <c r="G1705" s="22"/>
      <c r="H1705" s="25"/>
      <c r="I1705" s="22"/>
      <c r="J1705" s="25"/>
      <c r="K1705" s="22"/>
    </row>
    <row r="1706" ht="15.75" customHeight="1">
      <c r="A1706" s="25"/>
      <c r="B1706" s="22"/>
      <c r="C1706" s="25"/>
      <c r="D1706" s="22"/>
      <c r="F1706" s="25"/>
      <c r="G1706" s="22"/>
      <c r="H1706" s="25"/>
      <c r="I1706" s="22"/>
      <c r="J1706" s="25"/>
      <c r="K1706" s="22"/>
    </row>
    <row r="1707" ht="15.75" customHeight="1">
      <c r="A1707" s="25"/>
      <c r="B1707" s="22"/>
      <c r="C1707" s="25"/>
      <c r="D1707" s="22"/>
      <c r="F1707" s="25"/>
      <c r="G1707" s="22"/>
      <c r="H1707" s="25"/>
      <c r="I1707" s="22"/>
      <c r="J1707" s="25"/>
      <c r="K1707" s="22"/>
    </row>
    <row r="1708" ht="15.75" customHeight="1">
      <c r="A1708" s="25"/>
      <c r="B1708" s="22"/>
      <c r="C1708" s="25"/>
      <c r="D1708" s="22"/>
      <c r="F1708" s="25"/>
      <c r="G1708" s="22"/>
      <c r="H1708" s="25"/>
      <c r="I1708" s="22"/>
      <c r="J1708" s="25"/>
      <c r="K1708" s="22"/>
    </row>
    <row r="1709" ht="15.75" customHeight="1">
      <c r="A1709" s="25"/>
      <c r="B1709" s="22"/>
      <c r="C1709" s="25"/>
      <c r="D1709" s="22"/>
      <c r="F1709" s="25"/>
      <c r="G1709" s="22"/>
      <c r="H1709" s="25"/>
      <c r="I1709" s="22"/>
      <c r="J1709" s="25"/>
      <c r="K1709" s="22"/>
    </row>
    <row r="1710" ht="15.75" customHeight="1">
      <c r="A1710" s="25"/>
      <c r="B1710" s="22"/>
      <c r="C1710" s="25"/>
      <c r="D1710" s="22"/>
      <c r="F1710" s="25"/>
      <c r="G1710" s="22"/>
      <c r="H1710" s="25"/>
      <c r="I1710" s="22"/>
      <c r="J1710" s="25"/>
      <c r="K1710" s="22"/>
    </row>
    <row r="1711" ht="15.75" customHeight="1">
      <c r="A1711" s="25"/>
      <c r="B1711" s="22"/>
      <c r="C1711" s="25"/>
      <c r="D1711" s="22"/>
      <c r="F1711" s="25"/>
      <c r="G1711" s="22"/>
      <c r="H1711" s="25"/>
      <c r="I1711" s="22"/>
      <c r="J1711" s="25"/>
      <c r="K1711" s="22"/>
    </row>
    <row r="1712" ht="15.75" customHeight="1">
      <c r="A1712" s="25"/>
      <c r="B1712" s="22"/>
      <c r="C1712" s="25"/>
      <c r="D1712" s="22"/>
      <c r="F1712" s="25"/>
      <c r="G1712" s="22"/>
      <c r="H1712" s="25"/>
      <c r="I1712" s="22"/>
      <c r="J1712" s="25"/>
      <c r="K1712" s="22"/>
    </row>
    <row r="1713" ht="15.75" customHeight="1">
      <c r="A1713" s="25"/>
      <c r="B1713" s="22"/>
      <c r="C1713" s="25"/>
      <c r="D1713" s="22"/>
      <c r="F1713" s="25"/>
      <c r="G1713" s="22"/>
      <c r="H1713" s="25"/>
      <c r="I1713" s="22"/>
      <c r="J1713" s="25"/>
      <c r="K1713" s="22"/>
    </row>
    <row r="1714" ht="15.75" customHeight="1">
      <c r="A1714" s="25"/>
      <c r="B1714" s="22"/>
      <c r="C1714" s="25"/>
      <c r="D1714" s="22"/>
      <c r="F1714" s="25"/>
      <c r="G1714" s="22"/>
      <c r="H1714" s="25"/>
      <c r="I1714" s="22"/>
      <c r="J1714" s="25"/>
      <c r="K1714" s="22"/>
    </row>
    <row r="1715" ht="15.75" customHeight="1">
      <c r="A1715" s="25"/>
      <c r="B1715" s="22"/>
      <c r="C1715" s="25"/>
      <c r="D1715" s="22"/>
      <c r="F1715" s="25"/>
      <c r="G1715" s="22"/>
      <c r="H1715" s="25"/>
      <c r="I1715" s="22"/>
      <c r="J1715" s="25"/>
      <c r="K1715" s="22"/>
    </row>
    <row r="1716" ht="15.75" customHeight="1">
      <c r="A1716" s="25"/>
      <c r="B1716" s="22"/>
      <c r="C1716" s="25"/>
      <c r="D1716" s="22"/>
      <c r="F1716" s="25"/>
      <c r="G1716" s="22"/>
      <c r="H1716" s="25"/>
      <c r="I1716" s="22"/>
      <c r="J1716" s="25"/>
      <c r="K1716" s="22"/>
    </row>
    <row r="1717" ht="15.75" customHeight="1">
      <c r="A1717" s="25"/>
      <c r="B1717" s="22"/>
      <c r="C1717" s="25"/>
      <c r="D1717" s="22"/>
      <c r="F1717" s="25"/>
      <c r="G1717" s="22"/>
      <c r="H1717" s="25"/>
      <c r="I1717" s="22"/>
      <c r="J1717" s="25"/>
      <c r="K1717" s="22"/>
    </row>
    <row r="1718" ht="15.75" customHeight="1">
      <c r="A1718" s="25"/>
      <c r="B1718" s="22"/>
      <c r="C1718" s="25"/>
      <c r="D1718" s="22"/>
      <c r="F1718" s="25"/>
      <c r="G1718" s="22"/>
      <c r="H1718" s="25"/>
      <c r="I1718" s="22"/>
      <c r="J1718" s="25"/>
      <c r="K1718" s="22"/>
    </row>
    <row r="1719" ht="15.75" customHeight="1">
      <c r="A1719" s="25"/>
      <c r="B1719" s="22"/>
      <c r="C1719" s="25"/>
      <c r="D1719" s="22"/>
      <c r="F1719" s="25"/>
      <c r="G1719" s="22"/>
      <c r="H1719" s="25"/>
      <c r="I1719" s="22"/>
      <c r="J1719" s="25"/>
      <c r="K1719" s="22"/>
    </row>
    <row r="1720" ht="15.75" customHeight="1">
      <c r="A1720" s="25"/>
      <c r="B1720" s="22"/>
      <c r="C1720" s="25"/>
      <c r="D1720" s="22"/>
      <c r="F1720" s="25"/>
      <c r="G1720" s="22"/>
      <c r="H1720" s="25"/>
      <c r="I1720" s="22"/>
      <c r="J1720" s="25"/>
      <c r="K1720" s="22"/>
    </row>
    <row r="1721" ht="15.75" customHeight="1">
      <c r="A1721" s="25"/>
      <c r="B1721" s="22"/>
      <c r="C1721" s="25"/>
      <c r="D1721" s="22"/>
      <c r="F1721" s="25"/>
      <c r="G1721" s="22"/>
      <c r="H1721" s="25"/>
      <c r="I1721" s="22"/>
      <c r="J1721" s="25"/>
      <c r="K1721" s="22"/>
    </row>
    <row r="1722" ht="15.75" customHeight="1">
      <c r="A1722" s="25"/>
      <c r="B1722" s="22"/>
      <c r="C1722" s="25"/>
      <c r="D1722" s="22"/>
      <c r="F1722" s="25"/>
      <c r="G1722" s="22"/>
      <c r="H1722" s="25"/>
      <c r="I1722" s="22"/>
      <c r="J1722" s="25"/>
      <c r="K1722" s="22"/>
    </row>
    <row r="1723" ht="15.75" customHeight="1">
      <c r="A1723" s="25"/>
      <c r="B1723" s="22"/>
      <c r="C1723" s="25"/>
      <c r="D1723" s="22"/>
      <c r="F1723" s="25"/>
      <c r="G1723" s="22"/>
      <c r="H1723" s="25"/>
      <c r="I1723" s="22"/>
      <c r="J1723" s="25"/>
      <c r="K1723" s="22"/>
    </row>
    <row r="1724" ht="15.75" customHeight="1">
      <c r="A1724" s="25"/>
      <c r="B1724" s="22"/>
      <c r="C1724" s="25"/>
      <c r="D1724" s="22"/>
      <c r="F1724" s="25"/>
      <c r="G1724" s="22"/>
      <c r="H1724" s="25"/>
      <c r="I1724" s="22"/>
      <c r="J1724" s="25"/>
      <c r="K1724" s="22"/>
    </row>
    <row r="1725" ht="15.75" customHeight="1">
      <c r="A1725" s="25"/>
      <c r="B1725" s="22"/>
      <c r="C1725" s="25"/>
      <c r="D1725" s="22"/>
      <c r="F1725" s="25"/>
      <c r="G1725" s="22"/>
      <c r="H1725" s="25"/>
      <c r="I1725" s="22"/>
      <c r="J1725" s="25"/>
      <c r="K1725" s="22"/>
    </row>
    <row r="1726" ht="15.75" customHeight="1">
      <c r="A1726" s="25"/>
      <c r="B1726" s="22"/>
      <c r="C1726" s="25"/>
      <c r="D1726" s="22"/>
      <c r="F1726" s="25"/>
      <c r="G1726" s="22"/>
      <c r="H1726" s="25"/>
      <c r="I1726" s="22"/>
      <c r="J1726" s="25"/>
      <c r="K1726" s="22"/>
    </row>
    <row r="1727" ht="15.75" customHeight="1">
      <c r="A1727" s="25"/>
      <c r="B1727" s="22"/>
      <c r="C1727" s="25"/>
      <c r="D1727" s="22"/>
      <c r="F1727" s="25"/>
      <c r="G1727" s="22"/>
      <c r="H1727" s="25"/>
      <c r="I1727" s="22"/>
      <c r="J1727" s="25"/>
      <c r="K1727" s="22"/>
    </row>
    <row r="1728" ht="15.75" customHeight="1">
      <c r="A1728" s="25"/>
      <c r="B1728" s="22"/>
      <c r="C1728" s="25"/>
      <c r="D1728" s="22"/>
      <c r="F1728" s="25"/>
      <c r="G1728" s="22"/>
      <c r="H1728" s="25"/>
      <c r="I1728" s="22"/>
      <c r="J1728" s="25"/>
      <c r="K1728" s="22"/>
    </row>
    <row r="1729" ht="15.75" customHeight="1">
      <c r="A1729" s="25"/>
      <c r="B1729" s="22"/>
      <c r="C1729" s="25"/>
      <c r="D1729" s="22"/>
      <c r="F1729" s="25"/>
      <c r="G1729" s="22"/>
      <c r="H1729" s="25"/>
      <c r="I1729" s="22"/>
      <c r="J1729" s="25"/>
      <c r="K1729" s="22"/>
    </row>
    <row r="1730" ht="15.75" customHeight="1">
      <c r="A1730" s="25"/>
      <c r="B1730" s="22"/>
      <c r="C1730" s="25"/>
      <c r="D1730" s="22"/>
      <c r="F1730" s="25"/>
      <c r="G1730" s="22"/>
      <c r="H1730" s="25"/>
      <c r="I1730" s="22"/>
      <c r="J1730" s="25"/>
      <c r="K1730" s="22"/>
    </row>
    <row r="1731" ht="15.75" customHeight="1">
      <c r="A1731" s="25"/>
      <c r="B1731" s="22"/>
      <c r="C1731" s="25"/>
      <c r="D1731" s="22"/>
      <c r="F1731" s="25"/>
      <c r="G1731" s="22"/>
      <c r="H1731" s="25"/>
      <c r="I1731" s="22"/>
      <c r="J1731" s="25"/>
      <c r="K1731" s="22"/>
    </row>
    <row r="1732" ht="15.75" customHeight="1">
      <c r="A1732" s="25"/>
      <c r="B1732" s="22"/>
      <c r="C1732" s="25"/>
      <c r="D1732" s="22"/>
      <c r="F1732" s="25"/>
      <c r="G1732" s="22"/>
      <c r="H1732" s="25"/>
      <c r="I1732" s="22"/>
      <c r="J1732" s="25"/>
      <c r="K1732" s="22"/>
    </row>
    <row r="1733" ht="15.75" customHeight="1">
      <c r="A1733" s="25"/>
      <c r="B1733" s="22"/>
      <c r="C1733" s="25"/>
      <c r="D1733" s="22"/>
      <c r="F1733" s="25"/>
      <c r="G1733" s="22"/>
      <c r="H1733" s="25"/>
      <c r="I1733" s="22"/>
      <c r="J1733" s="25"/>
      <c r="K1733" s="22"/>
    </row>
    <row r="1734" ht="15.75" customHeight="1">
      <c r="A1734" s="25"/>
      <c r="B1734" s="22"/>
      <c r="C1734" s="25"/>
      <c r="D1734" s="22"/>
      <c r="F1734" s="25"/>
      <c r="G1734" s="22"/>
      <c r="H1734" s="25"/>
      <c r="I1734" s="22"/>
      <c r="J1734" s="25"/>
      <c r="K1734" s="22"/>
    </row>
    <row r="1735" ht="15.75" customHeight="1">
      <c r="A1735" s="25"/>
      <c r="B1735" s="22"/>
      <c r="C1735" s="25"/>
      <c r="D1735" s="22"/>
      <c r="F1735" s="25"/>
      <c r="G1735" s="22"/>
      <c r="H1735" s="25"/>
      <c r="I1735" s="22"/>
      <c r="J1735" s="25"/>
      <c r="K1735" s="22"/>
    </row>
    <row r="1736" ht="15.75" customHeight="1">
      <c r="A1736" s="25"/>
      <c r="B1736" s="22"/>
      <c r="C1736" s="25"/>
      <c r="D1736" s="22"/>
      <c r="F1736" s="25"/>
      <c r="G1736" s="22"/>
      <c r="H1736" s="25"/>
      <c r="I1736" s="22"/>
      <c r="J1736" s="25"/>
      <c r="K1736" s="22"/>
    </row>
    <row r="1737" ht="15.75" customHeight="1">
      <c r="A1737" s="25"/>
      <c r="B1737" s="22"/>
      <c r="C1737" s="25"/>
      <c r="D1737" s="22"/>
      <c r="F1737" s="25"/>
      <c r="G1737" s="22"/>
      <c r="H1737" s="25"/>
      <c r="I1737" s="22"/>
      <c r="J1737" s="25"/>
      <c r="K1737" s="22"/>
    </row>
    <row r="1738" ht="15.75" customHeight="1">
      <c r="A1738" s="25"/>
      <c r="B1738" s="22"/>
      <c r="C1738" s="25"/>
      <c r="D1738" s="22"/>
      <c r="F1738" s="25"/>
      <c r="G1738" s="22"/>
      <c r="H1738" s="25"/>
      <c r="I1738" s="22"/>
      <c r="J1738" s="25"/>
      <c r="K1738" s="22"/>
    </row>
    <row r="1739" ht="15.75" customHeight="1">
      <c r="A1739" s="25"/>
      <c r="B1739" s="22"/>
      <c r="C1739" s="25"/>
      <c r="D1739" s="22"/>
      <c r="F1739" s="25"/>
      <c r="G1739" s="22"/>
      <c r="H1739" s="25"/>
      <c r="I1739" s="22"/>
      <c r="J1739" s="25"/>
      <c r="K1739" s="22"/>
    </row>
    <row r="1740" ht="15.75" customHeight="1">
      <c r="A1740" s="25"/>
      <c r="B1740" s="22"/>
      <c r="C1740" s="25"/>
      <c r="D1740" s="22"/>
      <c r="F1740" s="25"/>
      <c r="G1740" s="22"/>
      <c r="H1740" s="25"/>
      <c r="I1740" s="22"/>
      <c r="J1740" s="25"/>
      <c r="K1740" s="22"/>
    </row>
    <row r="1741" ht="15.75" customHeight="1">
      <c r="A1741" s="25"/>
      <c r="B1741" s="22"/>
      <c r="C1741" s="25"/>
      <c r="D1741" s="22"/>
      <c r="F1741" s="25"/>
      <c r="G1741" s="22"/>
      <c r="H1741" s="25"/>
      <c r="I1741" s="22"/>
      <c r="J1741" s="25"/>
      <c r="K1741" s="22"/>
    </row>
    <row r="1742" ht="15.75" customHeight="1">
      <c r="A1742" s="25"/>
      <c r="B1742" s="22"/>
      <c r="C1742" s="25"/>
      <c r="D1742" s="22"/>
      <c r="F1742" s="25"/>
      <c r="G1742" s="22"/>
      <c r="H1742" s="25"/>
      <c r="I1742" s="22"/>
      <c r="J1742" s="25"/>
      <c r="K1742" s="22"/>
    </row>
    <row r="1743" ht="15.75" customHeight="1">
      <c r="A1743" s="25"/>
      <c r="B1743" s="22"/>
      <c r="C1743" s="25"/>
      <c r="D1743" s="22"/>
      <c r="F1743" s="25"/>
      <c r="G1743" s="22"/>
      <c r="H1743" s="25"/>
      <c r="I1743" s="22"/>
      <c r="J1743" s="25"/>
      <c r="K1743" s="22"/>
    </row>
    <row r="1744" ht="15.75" customHeight="1">
      <c r="A1744" s="25"/>
      <c r="B1744" s="22"/>
      <c r="C1744" s="25"/>
      <c r="D1744" s="22"/>
      <c r="F1744" s="25"/>
      <c r="G1744" s="22"/>
      <c r="H1744" s="25"/>
      <c r="I1744" s="22"/>
      <c r="J1744" s="25"/>
      <c r="K1744" s="22"/>
    </row>
    <row r="1745" ht="15.75" customHeight="1">
      <c r="A1745" s="25"/>
      <c r="B1745" s="22"/>
      <c r="C1745" s="25"/>
      <c r="D1745" s="22"/>
      <c r="F1745" s="25"/>
      <c r="G1745" s="22"/>
      <c r="H1745" s="25"/>
      <c r="I1745" s="22"/>
      <c r="J1745" s="25"/>
      <c r="K1745" s="22"/>
    </row>
    <row r="1746" ht="15.75" customHeight="1">
      <c r="A1746" s="25"/>
      <c r="B1746" s="22"/>
      <c r="C1746" s="25"/>
      <c r="D1746" s="22"/>
      <c r="F1746" s="25"/>
      <c r="G1746" s="22"/>
      <c r="H1746" s="25"/>
      <c r="I1746" s="22"/>
      <c r="J1746" s="25"/>
      <c r="K1746" s="22"/>
    </row>
    <row r="1747" ht="15.75" customHeight="1">
      <c r="A1747" s="25"/>
      <c r="B1747" s="22"/>
      <c r="C1747" s="25"/>
      <c r="D1747" s="22"/>
      <c r="F1747" s="25"/>
      <c r="G1747" s="22"/>
      <c r="H1747" s="25"/>
      <c r="I1747" s="22"/>
      <c r="J1747" s="25"/>
      <c r="K1747" s="22"/>
    </row>
    <row r="1748" ht="15.75" customHeight="1">
      <c r="A1748" s="25"/>
      <c r="B1748" s="22"/>
      <c r="C1748" s="25"/>
      <c r="D1748" s="22"/>
      <c r="F1748" s="25"/>
      <c r="G1748" s="22"/>
      <c r="H1748" s="25"/>
      <c r="I1748" s="22"/>
      <c r="J1748" s="25"/>
      <c r="K1748" s="22"/>
    </row>
    <row r="1749" ht="15.75" customHeight="1">
      <c r="A1749" s="25"/>
      <c r="B1749" s="22"/>
      <c r="C1749" s="25"/>
      <c r="D1749" s="22"/>
      <c r="F1749" s="25"/>
      <c r="G1749" s="22"/>
      <c r="H1749" s="25"/>
      <c r="I1749" s="22"/>
      <c r="J1749" s="25"/>
      <c r="K1749" s="22"/>
    </row>
    <row r="1750" ht="15.75" customHeight="1">
      <c r="A1750" s="25"/>
      <c r="B1750" s="22"/>
      <c r="C1750" s="25"/>
      <c r="D1750" s="22"/>
      <c r="F1750" s="25"/>
      <c r="G1750" s="22"/>
      <c r="H1750" s="25"/>
      <c r="I1750" s="22"/>
      <c r="J1750" s="25"/>
      <c r="K1750" s="22"/>
    </row>
    <row r="1751" ht="15.75" customHeight="1">
      <c r="A1751" s="25"/>
      <c r="B1751" s="22"/>
      <c r="C1751" s="25"/>
      <c r="D1751" s="22"/>
      <c r="F1751" s="25"/>
      <c r="G1751" s="22"/>
      <c r="H1751" s="25"/>
      <c r="I1751" s="22"/>
      <c r="J1751" s="25"/>
      <c r="K1751" s="22"/>
    </row>
    <row r="1752" ht="15.75" customHeight="1">
      <c r="A1752" s="25"/>
      <c r="B1752" s="22"/>
      <c r="C1752" s="25"/>
      <c r="D1752" s="22"/>
      <c r="F1752" s="25"/>
      <c r="G1752" s="22"/>
      <c r="H1752" s="25"/>
      <c r="I1752" s="22"/>
      <c r="J1752" s="25"/>
      <c r="K1752" s="22"/>
    </row>
    <row r="1753" ht="15.75" customHeight="1">
      <c r="A1753" s="25"/>
      <c r="B1753" s="22"/>
      <c r="C1753" s="25"/>
      <c r="D1753" s="22"/>
      <c r="F1753" s="25"/>
      <c r="G1753" s="22"/>
      <c r="H1753" s="25"/>
      <c r="I1753" s="22"/>
      <c r="J1753" s="25"/>
      <c r="K1753" s="22"/>
    </row>
    <row r="1754" ht="15.75" customHeight="1">
      <c r="A1754" s="25"/>
      <c r="B1754" s="22"/>
      <c r="C1754" s="25"/>
      <c r="D1754" s="22"/>
      <c r="F1754" s="25"/>
      <c r="G1754" s="22"/>
      <c r="H1754" s="25"/>
      <c r="I1754" s="22"/>
      <c r="J1754" s="25"/>
      <c r="K1754" s="22"/>
    </row>
    <row r="1755" ht="15.75" customHeight="1">
      <c r="A1755" s="25"/>
      <c r="B1755" s="22"/>
      <c r="C1755" s="25"/>
      <c r="D1755" s="22"/>
      <c r="F1755" s="25"/>
      <c r="G1755" s="22"/>
      <c r="H1755" s="25"/>
      <c r="I1755" s="22"/>
      <c r="J1755" s="25"/>
      <c r="K1755" s="22"/>
    </row>
    <row r="1756" ht="15.75" customHeight="1">
      <c r="A1756" s="25"/>
      <c r="B1756" s="22"/>
      <c r="C1756" s="25"/>
      <c r="D1756" s="22"/>
      <c r="F1756" s="25"/>
      <c r="G1756" s="22"/>
      <c r="H1756" s="25"/>
      <c r="I1756" s="22"/>
      <c r="J1756" s="25"/>
      <c r="K1756" s="22"/>
    </row>
    <row r="1757" ht="15.75" customHeight="1">
      <c r="A1757" s="25"/>
      <c r="B1757" s="22"/>
      <c r="C1757" s="25"/>
      <c r="D1757" s="22"/>
      <c r="F1757" s="25"/>
      <c r="G1757" s="22"/>
      <c r="H1757" s="25"/>
      <c r="I1757" s="22"/>
      <c r="J1757" s="25"/>
      <c r="K1757" s="22"/>
    </row>
    <row r="1758" ht="15.75" customHeight="1">
      <c r="A1758" s="25"/>
      <c r="B1758" s="22"/>
      <c r="C1758" s="25"/>
      <c r="D1758" s="22"/>
      <c r="F1758" s="25"/>
      <c r="G1758" s="22"/>
      <c r="H1758" s="25"/>
      <c r="I1758" s="22"/>
      <c r="J1758" s="25"/>
      <c r="K1758" s="22"/>
    </row>
    <row r="1759" ht="15.75" customHeight="1">
      <c r="A1759" s="25"/>
      <c r="B1759" s="22"/>
      <c r="C1759" s="25"/>
      <c r="D1759" s="22"/>
      <c r="F1759" s="25"/>
      <c r="G1759" s="22"/>
      <c r="H1759" s="25"/>
      <c r="I1759" s="22"/>
      <c r="J1759" s="25"/>
      <c r="K1759" s="22"/>
    </row>
    <row r="1760" ht="15.75" customHeight="1">
      <c r="A1760" s="25"/>
      <c r="B1760" s="22"/>
      <c r="C1760" s="25"/>
      <c r="D1760" s="22"/>
      <c r="F1760" s="25"/>
      <c r="G1760" s="22"/>
      <c r="H1760" s="25"/>
      <c r="I1760" s="22"/>
      <c r="J1760" s="25"/>
      <c r="K1760" s="22"/>
    </row>
    <row r="1761" ht="15.75" customHeight="1">
      <c r="A1761" s="25"/>
      <c r="B1761" s="22"/>
      <c r="C1761" s="25"/>
      <c r="D1761" s="22"/>
      <c r="F1761" s="25"/>
      <c r="G1761" s="22"/>
      <c r="H1761" s="25"/>
      <c r="I1761" s="22"/>
      <c r="J1761" s="25"/>
      <c r="K1761" s="22"/>
    </row>
    <row r="1762" ht="15.75" customHeight="1">
      <c r="A1762" s="25"/>
      <c r="B1762" s="22"/>
      <c r="C1762" s="25"/>
      <c r="D1762" s="22"/>
      <c r="F1762" s="25"/>
      <c r="G1762" s="22"/>
      <c r="H1762" s="25"/>
      <c r="I1762" s="22"/>
      <c r="J1762" s="25"/>
      <c r="K1762" s="22"/>
    </row>
    <row r="1763" ht="15.75" customHeight="1">
      <c r="A1763" s="25"/>
      <c r="B1763" s="22"/>
      <c r="C1763" s="25"/>
      <c r="D1763" s="22"/>
      <c r="F1763" s="25"/>
      <c r="G1763" s="22"/>
      <c r="H1763" s="25"/>
      <c r="I1763" s="22"/>
      <c r="J1763" s="25"/>
      <c r="K1763" s="22"/>
    </row>
    <row r="1764" ht="15.75" customHeight="1">
      <c r="A1764" s="25"/>
      <c r="B1764" s="22"/>
      <c r="C1764" s="25"/>
      <c r="D1764" s="22"/>
      <c r="F1764" s="25"/>
      <c r="G1764" s="22"/>
      <c r="H1764" s="25"/>
      <c r="I1764" s="22"/>
      <c r="J1764" s="25"/>
      <c r="K1764" s="22"/>
    </row>
    <row r="1765" ht="15.75" customHeight="1">
      <c r="A1765" s="25"/>
      <c r="B1765" s="22"/>
      <c r="C1765" s="25"/>
      <c r="D1765" s="22"/>
      <c r="F1765" s="25"/>
      <c r="G1765" s="22"/>
      <c r="H1765" s="25"/>
      <c r="I1765" s="22"/>
      <c r="J1765" s="25"/>
      <c r="K1765" s="22"/>
    </row>
    <row r="1766" ht="15.75" customHeight="1">
      <c r="A1766" s="25"/>
      <c r="B1766" s="22"/>
      <c r="C1766" s="25"/>
      <c r="D1766" s="22"/>
      <c r="F1766" s="25"/>
      <c r="G1766" s="22"/>
      <c r="H1766" s="25"/>
      <c r="I1766" s="22"/>
      <c r="J1766" s="25"/>
      <c r="K1766" s="22"/>
    </row>
    <row r="1767" ht="15.75" customHeight="1">
      <c r="A1767" s="25"/>
      <c r="B1767" s="22"/>
      <c r="C1767" s="25"/>
      <c r="D1767" s="22"/>
      <c r="F1767" s="25"/>
      <c r="G1767" s="22"/>
      <c r="H1767" s="25"/>
      <c r="I1767" s="22"/>
      <c r="J1767" s="25"/>
      <c r="K1767" s="22"/>
    </row>
    <row r="1768" ht="15.75" customHeight="1">
      <c r="A1768" s="25"/>
      <c r="B1768" s="22"/>
      <c r="C1768" s="25"/>
      <c r="D1768" s="22"/>
      <c r="F1768" s="25"/>
      <c r="G1768" s="22"/>
      <c r="H1768" s="25"/>
      <c r="I1768" s="22"/>
      <c r="J1768" s="25"/>
      <c r="K1768" s="22"/>
    </row>
    <row r="1769" ht="15.75" customHeight="1">
      <c r="A1769" s="25"/>
      <c r="B1769" s="22"/>
      <c r="C1769" s="25"/>
      <c r="D1769" s="22"/>
      <c r="F1769" s="25"/>
      <c r="G1769" s="22"/>
      <c r="H1769" s="25"/>
      <c r="I1769" s="22"/>
      <c r="J1769" s="25"/>
      <c r="K1769" s="22"/>
    </row>
    <row r="1770" ht="15.75" customHeight="1">
      <c r="A1770" s="25"/>
      <c r="B1770" s="22"/>
      <c r="C1770" s="25"/>
      <c r="D1770" s="22"/>
      <c r="F1770" s="25"/>
      <c r="G1770" s="22"/>
      <c r="H1770" s="25"/>
      <c r="I1770" s="22"/>
      <c r="J1770" s="25"/>
      <c r="K1770" s="22"/>
    </row>
    <row r="1771" ht="15.75" customHeight="1">
      <c r="A1771" s="25"/>
      <c r="B1771" s="22"/>
      <c r="C1771" s="25"/>
      <c r="D1771" s="22"/>
      <c r="F1771" s="25"/>
      <c r="G1771" s="22"/>
      <c r="H1771" s="25"/>
      <c r="I1771" s="22"/>
      <c r="J1771" s="25"/>
      <c r="K1771" s="22"/>
    </row>
    <row r="1772" ht="15.75" customHeight="1">
      <c r="A1772" s="25"/>
      <c r="B1772" s="22"/>
      <c r="C1772" s="25"/>
      <c r="D1772" s="22"/>
      <c r="F1772" s="25"/>
      <c r="G1772" s="22"/>
      <c r="H1772" s="25"/>
      <c r="I1772" s="22"/>
      <c r="J1772" s="25"/>
      <c r="K1772" s="22"/>
    </row>
    <row r="1773" ht="15.75" customHeight="1">
      <c r="A1773" s="25"/>
      <c r="B1773" s="22"/>
      <c r="C1773" s="25"/>
      <c r="D1773" s="22"/>
      <c r="F1773" s="25"/>
      <c r="G1773" s="22"/>
      <c r="H1773" s="25"/>
      <c r="I1773" s="22"/>
      <c r="J1773" s="25"/>
      <c r="K1773" s="22"/>
    </row>
    <row r="1774" ht="15.75" customHeight="1">
      <c r="A1774" s="25"/>
      <c r="B1774" s="22"/>
      <c r="C1774" s="25"/>
      <c r="D1774" s="22"/>
      <c r="F1774" s="25"/>
      <c r="G1774" s="22"/>
      <c r="H1774" s="25"/>
      <c r="I1774" s="22"/>
      <c r="J1774" s="25"/>
      <c r="K1774" s="22"/>
    </row>
    <row r="1775" ht="15.75" customHeight="1">
      <c r="A1775" s="25"/>
      <c r="B1775" s="22"/>
      <c r="C1775" s="25"/>
      <c r="D1775" s="22"/>
      <c r="F1775" s="25"/>
      <c r="G1775" s="22"/>
      <c r="H1775" s="25"/>
      <c r="I1775" s="22"/>
      <c r="J1775" s="25"/>
      <c r="K1775" s="22"/>
    </row>
    <row r="1776" ht="15.75" customHeight="1">
      <c r="A1776" s="25"/>
      <c r="B1776" s="22"/>
      <c r="C1776" s="25"/>
      <c r="D1776" s="22"/>
      <c r="F1776" s="25"/>
      <c r="G1776" s="22"/>
      <c r="H1776" s="25"/>
      <c r="I1776" s="22"/>
      <c r="J1776" s="25"/>
      <c r="K1776" s="22"/>
    </row>
    <row r="1777" ht="15.75" customHeight="1">
      <c r="A1777" s="25"/>
      <c r="B1777" s="22"/>
      <c r="C1777" s="25"/>
      <c r="D1777" s="22"/>
      <c r="F1777" s="25"/>
      <c r="G1777" s="22"/>
      <c r="H1777" s="25"/>
      <c r="I1777" s="22"/>
      <c r="J1777" s="25"/>
      <c r="K1777" s="22"/>
    </row>
    <row r="1778" ht="15.75" customHeight="1">
      <c r="A1778" s="25"/>
      <c r="B1778" s="22"/>
      <c r="C1778" s="25"/>
      <c r="D1778" s="22"/>
      <c r="F1778" s="25"/>
      <c r="G1778" s="22"/>
      <c r="H1778" s="25"/>
      <c r="I1778" s="22"/>
      <c r="J1778" s="25"/>
      <c r="K1778" s="22"/>
    </row>
    <row r="1779" ht="15.75" customHeight="1">
      <c r="A1779" s="25"/>
      <c r="B1779" s="22"/>
      <c r="C1779" s="25"/>
      <c r="D1779" s="22"/>
      <c r="F1779" s="25"/>
      <c r="G1779" s="22"/>
      <c r="H1779" s="25"/>
      <c r="I1779" s="22"/>
      <c r="J1779" s="25"/>
      <c r="K1779" s="22"/>
    </row>
    <row r="1780" ht="15.75" customHeight="1">
      <c r="A1780" s="25"/>
      <c r="B1780" s="22"/>
      <c r="C1780" s="25"/>
      <c r="D1780" s="22"/>
      <c r="F1780" s="25"/>
      <c r="G1780" s="22"/>
      <c r="H1780" s="25"/>
      <c r="I1780" s="22"/>
      <c r="J1780" s="25"/>
      <c r="K1780" s="22"/>
    </row>
    <row r="1781" ht="15.75" customHeight="1">
      <c r="A1781" s="25"/>
      <c r="B1781" s="22"/>
      <c r="C1781" s="25"/>
      <c r="D1781" s="22"/>
      <c r="F1781" s="25"/>
      <c r="G1781" s="22"/>
      <c r="H1781" s="25"/>
      <c r="I1781" s="22"/>
      <c r="J1781" s="25"/>
      <c r="K1781" s="22"/>
    </row>
    <row r="1782" ht="15.75" customHeight="1">
      <c r="A1782" s="25"/>
      <c r="B1782" s="22"/>
      <c r="C1782" s="25"/>
      <c r="D1782" s="22"/>
      <c r="F1782" s="25"/>
      <c r="G1782" s="22"/>
      <c r="H1782" s="25"/>
      <c r="I1782" s="22"/>
      <c r="J1782" s="25"/>
      <c r="K1782" s="22"/>
    </row>
    <row r="1783" ht="15.75" customHeight="1">
      <c r="A1783" s="25"/>
      <c r="B1783" s="22"/>
      <c r="C1783" s="25"/>
      <c r="D1783" s="22"/>
      <c r="F1783" s="25"/>
      <c r="G1783" s="22"/>
      <c r="H1783" s="25"/>
      <c r="I1783" s="22"/>
      <c r="J1783" s="25"/>
      <c r="K1783" s="22"/>
    </row>
    <row r="1784" ht="15.75" customHeight="1">
      <c r="A1784" s="25"/>
      <c r="B1784" s="22"/>
      <c r="C1784" s="25"/>
      <c r="D1784" s="22"/>
      <c r="F1784" s="25"/>
      <c r="G1784" s="22"/>
      <c r="H1784" s="25"/>
      <c r="I1784" s="22"/>
      <c r="J1784" s="25"/>
      <c r="K1784" s="22"/>
    </row>
    <row r="1785" ht="15.75" customHeight="1">
      <c r="A1785" s="25"/>
      <c r="B1785" s="22"/>
      <c r="C1785" s="25"/>
      <c r="D1785" s="22"/>
      <c r="F1785" s="25"/>
      <c r="G1785" s="22"/>
      <c r="H1785" s="25"/>
      <c r="I1785" s="22"/>
      <c r="J1785" s="25"/>
      <c r="K1785" s="22"/>
    </row>
    <row r="1786" ht="15.75" customHeight="1">
      <c r="A1786" s="25"/>
      <c r="B1786" s="22"/>
      <c r="C1786" s="25"/>
      <c r="D1786" s="22"/>
      <c r="F1786" s="25"/>
      <c r="G1786" s="22"/>
      <c r="H1786" s="25"/>
      <c r="I1786" s="22"/>
      <c r="J1786" s="25"/>
      <c r="K1786" s="22"/>
    </row>
    <row r="1787" ht="15.75" customHeight="1">
      <c r="A1787" s="25"/>
      <c r="B1787" s="22"/>
      <c r="C1787" s="25"/>
      <c r="D1787" s="22"/>
      <c r="F1787" s="25"/>
      <c r="G1787" s="22"/>
      <c r="H1787" s="25"/>
      <c r="I1787" s="22"/>
      <c r="J1787" s="25"/>
      <c r="K1787" s="22"/>
    </row>
    <row r="1788" ht="15.75" customHeight="1">
      <c r="A1788" s="25"/>
      <c r="B1788" s="22"/>
      <c r="C1788" s="25"/>
      <c r="D1788" s="22"/>
      <c r="F1788" s="25"/>
      <c r="G1788" s="22"/>
      <c r="H1788" s="25"/>
      <c r="I1788" s="22"/>
      <c r="J1788" s="25"/>
      <c r="K1788" s="22"/>
    </row>
    <row r="1789" ht="15.75" customHeight="1">
      <c r="A1789" s="25"/>
      <c r="B1789" s="22"/>
      <c r="C1789" s="25"/>
      <c r="D1789" s="22"/>
      <c r="F1789" s="25"/>
      <c r="G1789" s="22"/>
      <c r="H1789" s="25"/>
      <c r="I1789" s="22"/>
      <c r="J1789" s="25"/>
      <c r="K1789" s="22"/>
    </row>
    <row r="1790" ht="15.75" customHeight="1">
      <c r="A1790" s="25"/>
      <c r="B1790" s="22"/>
      <c r="C1790" s="25"/>
      <c r="D1790" s="22"/>
      <c r="F1790" s="25"/>
      <c r="G1790" s="22"/>
      <c r="H1790" s="25"/>
      <c r="I1790" s="22"/>
      <c r="J1790" s="25"/>
      <c r="K1790" s="22"/>
    </row>
    <row r="1791" ht="15.75" customHeight="1">
      <c r="A1791" s="25"/>
      <c r="B1791" s="22"/>
      <c r="C1791" s="25"/>
      <c r="D1791" s="22"/>
      <c r="F1791" s="25"/>
      <c r="G1791" s="22"/>
      <c r="H1791" s="25"/>
      <c r="I1791" s="22"/>
      <c r="J1791" s="25"/>
      <c r="K1791" s="22"/>
    </row>
    <row r="1792" ht="15.75" customHeight="1">
      <c r="A1792" s="25"/>
      <c r="B1792" s="22"/>
      <c r="C1792" s="25"/>
      <c r="D1792" s="22"/>
      <c r="F1792" s="25"/>
      <c r="G1792" s="22"/>
      <c r="H1792" s="25"/>
      <c r="I1792" s="22"/>
      <c r="J1792" s="25"/>
      <c r="K1792" s="22"/>
    </row>
    <row r="1793" ht="15.75" customHeight="1">
      <c r="A1793" s="25"/>
      <c r="B1793" s="22"/>
      <c r="C1793" s="25"/>
      <c r="D1793" s="22"/>
      <c r="F1793" s="25"/>
      <c r="G1793" s="22"/>
      <c r="H1793" s="25"/>
      <c r="I1793" s="22"/>
      <c r="J1793" s="25"/>
      <c r="K1793" s="22"/>
    </row>
    <row r="1794" ht="15.75" customHeight="1">
      <c r="A1794" s="25"/>
      <c r="B1794" s="22"/>
      <c r="C1794" s="25"/>
      <c r="D1794" s="22"/>
      <c r="F1794" s="25"/>
      <c r="G1794" s="22"/>
      <c r="H1794" s="25"/>
      <c r="I1794" s="22"/>
      <c r="J1794" s="25"/>
      <c r="K1794" s="22"/>
    </row>
    <row r="1795" ht="15.75" customHeight="1">
      <c r="A1795" s="25"/>
      <c r="B1795" s="22"/>
      <c r="C1795" s="25"/>
      <c r="D1795" s="22"/>
      <c r="F1795" s="25"/>
      <c r="G1795" s="22"/>
      <c r="H1795" s="25"/>
      <c r="I1795" s="22"/>
      <c r="J1795" s="25"/>
      <c r="K1795" s="22"/>
    </row>
    <row r="1796" ht="15.75" customHeight="1">
      <c r="A1796" s="25"/>
      <c r="B1796" s="22"/>
      <c r="C1796" s="25"/>
      <c r="D1796" s="22"/>
      <c r="F1796" s="25"/>
      <c r="G1796" s="22"/>
      <c r="H1796" s="25"/>
      <c r="I1796" s="22"/>
      <c r="J1796" s="25"/>
      <c r="K1796" s="22"/>
    </row>
    <row r="1797" ht="15.75" customHeight="1">
      <c r="A1797" s="25"/>
      <c r="B1797" s="22"/>
      <c r="C1797" s="25"/>
      <c r="D1797" s="22"/>
      <c r="F1797" s="25"/>
      <c r="G1797" s="22"/>
      <c r="H1797" s="25"/>
      <c r="I1797" s="22"/>
      <c r="J1797" s="25"/>
      <c r="K1797" s="22"/>
    </row>
    <row r="1798" ht="15.75" customHeight="1">
      <c r="A1798" s="25"/>
      <c r="B1798" s="22"/>
      <c r="C1798" s="25"/>
      <c r="D1798" s="22"/>
      <c r="F1798" s="25"/>
      <c r="G1798" s="22"/>
      <c r="H1798" s="25"/>
      <c r="I1798" s="22"/>
      <c r="J1798" s="25"/>
      <c r="K1798" s="22"/>
    </row>
    <row r="1799" ht="15.75" customHeight="1">
      <c r="A1799" s="25"/>
      <c r="B1799" s="22"/>
      <c r="C1799" s="25"/>
      <c r="D1799" s="22"/>
      <c r="F1799" s="25"/>
      <c r="G1799" s="22"/>
      <c r="H1799" s="25"/>
      <c r="I1799" s="22"/>
      <c r="J1799" s="25"/>
      <c r="K1799" s="22"/>
    </row>
    <row r="1800" ht="15.75" customHeight="1">
      <c r="A1800" s="25"/>
      <c r="B1800" s="22"/>
      <c r="C1800" s="25"/>
      <c r="D1800" s="22"/>
      <c r="F1800" s="25"/>
      <c r="G1800" s="22"/>
      <c r="H1800" s="25"/>
      <c r="I1800" s="22"/>
      <c r="J1800" s="25"/>
      <c r="K1800" s="22"/>
    </row>
    <row r="1801" ht="15.75" customHeight="1">
      <c r="A1801" s="25"/>
      <c r="B1801" s="22"/>
      <c r="C1801" s="25"/>
      <c r="D1801" s="22"/>
      <c r="F1801" s="25"/>
      <c r="G1801" s="22"/>
      <c r="H1801" s="25"/>
      <c r="I1801" s="22"/>
      <c r="J1801" s="25"/>
      <c r="K1801" s="22"/>
    </row>
    <row r="1802" ht="15.75" customHeight="1">
      <c r="A1802" s="25"/>
      <c r="B1802" s="22"/>
      <c r="C1802" s="25"/>
      <c r="D1802" s="22"/>
      <c r="F1802" s="25"/>
      <c r="G1802" s="22"/>
      <c r="H1802" s="25"/>
      <c r="I1802" s="22"/>
      <c r="J1802" s="25"/>
      <c r="K1802" s="22"/>
    </row>
    <row r="1803" ht="15.75" customHeight="1">
      <c r="A1803" s="25"/>
      <c r="B1803" s="22"/>
      <c r="C1803" s="25"/>
      <c r="D1803" s="22"/>
      <c r="F1803" s="25"/>
      <c r="G1803" s="22"/>
      <c r="H1803" s="25"/>
      <c r="I1803" s="22"/>
      <c r="J1803" s="25"/>
      <c r="K1803" s="22"/>
    </row>
    <row r="1804" ht="15.75" customHeight="1">
      <c r="A1804" s="25"/>
      <c r="B1804" s="22"/>
      <c r="C1804" s="25"/>
      <c r="D1804" s="22"/>
      <c r="F1804" s="25"/>
      <c r="G1804" s="22"/>
      <c r="H1804" s="25"/>
      <c r="I1804" s="22"/>
      <c r="J1804" s="25"/>
      <c r="K1804" s="22"/>
    </row>
    <row r="1805" ht="15.75" customHeight="1">
      <c r="A1805" s="25"/>
      <c r="B1805" s="22"/>
      <c r="C1805" s="25"/>
      <c r="D1805" s="22"/>
      <c r="F1805" s="25"/>
      <c r="G1805" s="22"/>
      <c r="H1805" s="25"/>
      <c r="I1805" s="22"/>
      <c r="J1805" s="25"/>
      <c r="K1805" s="22"/>
    </row>
    <row r="1806" ht="15.75" customHeight="1">
      <c r="A1806" s="25"/>
      <c r="B1806" s="22"/>
      <c r="C1806" s="25"/>
      <c r="D1806" s="22"/>
      <c r="F1806" s="25"/>
      <c r="G1806" s="22"/>
      <c r="H1806" s="25"/>
      <c r="I1806" s="22"/>
      <c r="J1806" s="25"/>
      <c r="K1806" s="22"/>
    </row>
    <row r="1807" ht="15.75" customHeight="1">
      <c r="A1807" s="25"/>
      <c r="B1807" s="22"/>
      <c r="C1807" s="25"/>
      <c r="D1807" s="22"/>
      <c r="F1807" s="25"/>
      <c r="G1807" s="22"/>
      <c r="H1807" s="25"/>
      <c r="I1807" s="22"/>
      <c r="J1807" s="25"/>
      <c r="K1807" s="22"/>
    </row>
    <row r="1808" ht="15.75" customHeight="1">
      <c r="A1808" s="25"/>
      <c r="B1808" s="22"/>
      <c r="C1808" s="25"/>
      <c r="D1808" s="22"/>
      <c r="F1808" s="25"/>
      <c r="G1808" s="22"/>
      <c r="H1808" s="25"/>
      <c r="I1808" s="22"/>
      <c r="J1808" s="25"/>
      <c r="K1808" s="22"/>
    </row>
    <row r="1809" ht="15.75" customHeight="1">
      <c r="A1809" s="25"/>
      <c r="B1809" s="22"/>
      <c r="C1809" s="25"/>
      <c r="D1809" s="22"/>
      <c r="F1809" s="25"/>
      <c r="G1809" s="22"/>
      <c r="H1809" s="25"/>
      <c r="I1809" s="22"/>
      <c r="J1809" s="25"/>
      <c r="K1809" s="22"/>
    </row>
    <row r="1810" ht="15.75" customHeight="1">
      <c r="A1810" s="25"/>
      <c r="B1810" s="22"/>
      <c r="C1810" s="25"/>
      <c r="D1810" s="22"/>
      <c r="F1810" s="25"/>
      <c r="G1810" s="22"/>
      <c r="H1810" s="25"/>
      <c r="I1810" s="22"/>
      <c r="J1810" s="25"/>
      <c r="K1810" s="22"/>
    </row>
    <row r="1811" ht="15.75" customHeight="1">
      <c r="A1811" s="25"/>
      <c r="B1811" s="22"/>
      <c r="C1811" s="25"/>
      <c r="D1811" s="22"/>
      <c r="F1811" s="25"/>
      <c r="G1811" s="22"/>
      <c r="H1811" s="25"/>
      <c r="I1811" s="22"/>
      <c r="J1811" s="25"/>
      <c r="K1811" s="22"/>
    </row>
    <row r="1812" ht="15.75" customHeight="1">
      <c r="A1812" s="25"/>
      <c r="B1812" s="22"/>
      <c r="C1812" s="25"/>
      <c r="D1812" s="22"/>
      <c r="F1812" s="25"/>
      <c r="G1812" s="22"/>
      <c r="H1812" s="25"/>
      <c r="I1812" s="22"/>
      <c r="J1812" s="25"/>
      <c r="K1812" s="22"/>
    </row>
    <row r="1813" ht="15.75" customHeight="1">
      <c r="A1813" s="25"/>
      <c r="B1813" s="22"/>
      <c r="C1813" s="25"/>
      <c r="D1813" s="22"/>
      <c r="F1813" s="25"/>
      <c r="G1813" s="22"/>
      <c r="H1813" s="25"/>
      <c r="I1813" s="22"/>
      <c r="J1813" s="25"/>
      <c r="K1813" s="22"/>
    </row>
    <row r="1814" ht="15.75" customHeight="1">
      <c r="A1814" s="25"/>
      <c r="B1814" s="22"/>
      <c r="C1814" s="25"/>
      <c r="D1814" s="22"/>
      <c r="F1814" s="25"/>
      <c r="G1814" s="22"/>
      <c r="H1814" s="25"/>
      <c r="I1814" s="22"/>
      <c r="J1814" s="25"/>
      <c r="K1814" s="22"/>
    </row>
    <row r="1815" ht="15.75" customHeight="1">
      <c r="A1815" s="25"/>
      <c r="B1815" s="22"/>
      <c r="C1815" s="25"/>
      <c r="D1815" s="22"/>
      <c r="F1815" s="25"/>
      <c r="G1815" s="22"/>
      <c r="H1815" s="25"/>
      <c r="I1815" s="22"/>
      <c r="J1815" s="25"/>
      <c r="K1815" s="22"/>
    </row>
    <row r="1816" ht="15.75" customHeight="1">
      <c r="A1816" s="25"/>
      <c r="B1816" s="22"/>
      <c r="C1816" s="25"/>
      <c r="D1816" s="22"/>
      <c r="F1816" s="25"/>
      <c r="G1816" s="22"/>
      <c r="H1816" s="25"/>
      <c r="I1816" s="22"/>
      <c r="J1816" s="25"/>
      <c r="K1816" s="22"/>
    </row>
    <row r="1817" ht="15.75" customHeight="1">
      <c r="A1817" s="25"/>
      <c r="B1817" s="22"/>
      <c r="C1817" s="25"/>
      <c r="D1817" s="22"/>
      <c r="F1817" s="25"/>
      <c r="G1817" s="22"/>
      <c r="H1817" s="25"/>
      <c r="I1817" s="22"/>
      <c r="J1817" s="25"/>
      <c r="K1817" s="22"/>
    </row>
    <row r="1818" ht="15.75" customHeight="1">
      <c r="A1818" s="25"/>
      <c r="B1818" s="22"/>
      <c r="C1818" s="25"/>
      <c r="D1818" s="22"/>
      <c r="F1818" s="25"/>
      <c r="G1818" s="22"/>
      <c r="H1818" s="25"/>
      <c r="I1818" s="22"/>
      <c r="J1818" s="25"/>
      <c r="K1818" s="22"/>
    </row>
    <row r="1819" ht="15.75" customHeight="1">
      <c r="A1819" s="25"/>
      <c r="B1819" s="22"/>
      <c r="C1819" s="25"/>
      <c r="D1819" s="22"/>
      <c r="F1819" s="25"/>
      <c r="G1819" s="22"/>
      <c r="H1819" s="25"/>
      <c r="I1819" s="22"/>
      <c r="J1819" s="25"/>
      <c r="K1819" s="22"/>
    </row>
    <row r="1820" ht="15.75" customHeight="1">
      <c r="A1820" s="25"/>
      <c r="B1820" s="22"/>
      <c r="C1820" s="25"/>
      <c r="D1820" s="22"/>
      <c r="F1820" s="25"/>
      <c r="G1820" s="22"/>
      <c r="H1820" s="25"/>
      <c r="I1820" s="22"/>
      <c r="J1820" s="25"/>
      <c r="K1820" s="22"/>
    </row>
    <row r="1821" ht="15.75" customHeight="1">
      <c r="A1821" s="25"/>
      <c r="B1821" s="22"/>
      <c r="C1821" s="25"/>
      <c r="D1821" s="22"/>
      <c r="F1821" s="25"/>
      <c r="G1821" s="22"/>
      <c r="H1821" s="25"/>
      <c r="I1821" s="22"/>
      <c r="J1821" s="25"/>
      <c r="K1821" s="22"/>
    </row>
    <row r="1822" ht="15.75" customHeight="1">
      <c r="A1822" s="25"/>
      <c r="B1822" s="22"/>
      <c r="C1822" s="25"/>
      <c r="D1822" s="22"/>
      <c r="F1822" s="25"/>
      <c r="G1822" s="22"/>
      <c r="H1822" s="25"/>
      <c r="I1822" s="22"/>
      <c r="J1822" s="25"/>
      <c r="K1822" s="22"/>
    </row>
    <row r="1823" ht="15.75" customHeight="1">
      <c r="A1823" s="25"/>
      <c r="B1823" s="22"/>
      <c r="C1823" s="25"/>
      <c r="D1823" s="22"/>
      <c r="F1823" s="25"/>
      <c r="G1823" s="22"/>
      <c r="H1823" s="25"/>
      <c r="I1823" s="22"/>
      <c r="J1823" s="25"/>
      <c r="K1823" s="22"/>
    </row>
    <row r="1824" ht="15.75" customHeight="1">
      <c r="A1824" s="25"/>
      <c r="B1824" s="22"/>
      <c r="C1824" s="25"/>
      <c r="D1824" s="22"/>
      <c r="F1824" s="25"/>
      <c r="G1824" s="22"/>
      <c r="H1824" s="25"/>
      <c r="I1824" s="22"/>
      <c r="J1824" s="25"/>
      <c r="K1824" s="22"/>
    </row>
    <row r="1825" ht="15.75" customHeight="1">
      <c r="A1825" s="25"/>
      <c r="B1825" s="22"/>
      <c r="C1825" s="25"/>
      <c r="D1825" s="22"/>
      <c r="F1825" s="25"/>
      <c r="G1825" s="22"/>
      <c r="H1825" s="25"/>
      <c r="I1825" s="22"/>
      <c r="J1825" s="25"/>
      <c r="K1825" s="22"/>
    </row>
    <row r="1826" ht="15.75" customHeight="1">
      <c r="A1826" s="25"/>
      <c r="B1826" s="22"/>
      <c r="C1826" s="25"/>
      <c r="D1826" s="22"/>
      <c r="F1826" s="25"/>
      <c r="G1826" s="22"/>
      <c r="H1826" s="25"/>
      <c r="I1826" s="22"/>
      <c r="J1826" s="25"/>
      <c r="K1826" s="22"/>
    </row>
    <row r="1827" ht="15.75" customHeight="1">
      <c r="A1827" s="25"/>
      <c r="B1827" s="22"/>
      <c r="C1827" s="25"/>
      <c r="D1827" s="22"/>
      <c r="F1827" s="25"/>
      <c r="G1827" s="22"/>
      <c r="H1827" s="25"/>
      <c r="I1827" s="22"/>
      <c r="J1827" s="25"/>
      <c r="K1827" s="22"/>
    </row>
    <row r="1828" ht="15.75" customHeight="1">
      <c r="A1828" s="25"/>
      <c r="B1828" s="22"/>
      <c r="C1828" s="25"/>
      <c r="D1828" s="22"/>
      <c r="F1828" s="25"/>
      <c r="G1828" s="22"/>
      <c r="H1828" s="25"/>
      <c r="I1828" s="22"/>
      <c r="J1828" s="25"/>
      <c r="K1828" s="22"/>
    </row>
    <row r="1829" ht="15.75" customHeight="1">
      <c r="A1829" s="25"/>
      <c r="B1829" s="22"/>
      <c r="C1829" s="25"/>
      <c r="D1829" s="22"/>
      <c r="F1829" s="25"/>
      <c r="G1829" s="22"/>
      <c r="H1829" s="25"/>
      <c r="I1829" s="22"/>
      <c r="J1829" s="25"/>
      <c r="K1829" s="22"/>
    </row>
    <row r="1830" ht="15.75" customHeight="1">
      <c r="A1830" s="25"/>
      <c r="B1830" s="22"/>
      <c r="C1830" s="25"/>
      <c r="D1830" s="22"/>
      <c r="F1830" s="25"/>
      <c r="G1830" s="22"/>
      <c r="H1830" s="25"/>
      <c r="I1830" s="22"/>
      <c r="J1830" s="25"/>
      <c r="K1830" s="22"/>
    </row>
    <row r="1831" ht="15.75" customHeight="1">
      <c r="A1831" s="25"/>
      <c r="B1831" s="22"/>
      <c r="C1831" s="25"/>
      <c r="D1831" s="22"/>
      <c r="F1831" s="25"/>
      <c r="G1831" s="22"/>
      <c r="H1831" s="25"/>
      <c r="I1831" s="22"/>
      <c r="J1831" s="25"/>
      <c r="K1831" s="22"/>
    </row>
    <row r="1832" ht="15.75" customHeight="1">
      <c r="A1832" s="25"/>
      <c r="B1832" s="22"/>
      <c r="C1832" s="25"/>
      <c r="D1832" s="22"/>
      <c r="F1832" s="25"/>
      <c r="G1832" s="22"/>
      <c r="H1832" s="25"/>
      <c r="I1832" s="22"/>
      <c r="J1832" s="25"/>
      <c r="K1832" s="22"/>
    </row>
    <row r="1833" ht="15.75" customHeight="1">
      <c r="A1833" s="25"/>
      <c r="B1833" s="22"/>
      <c r="C1833" s="25"/>
      <c r="D1833" s="22"/>
      <c r="F1833" s="25"/>
      <c r="G1833" s="22"/>
      <c r="H1833" s="25"/>
      <c r="I1833" s="22"/>
      <c r="J1833" s="25"/>
      <c r="K1833" s="22"/>
    </row>
    <row r="1834" ht="15.75" customHeight="1">
      <c r="A1834" s="25"/>
      <c r="B1834" s="22"/>
      <c r="C1834" s="25"/>
      <c r="D1834" s="22"/>
      <c r="F1834" s="25"/>
      <c r="G1834" s="22"/>
      <c r="H1834" s="25"/>
      <c r="I1834" s="22"/>
      <c r="J1834" s="25"/>
      <c r="K1834" s="22"/>
    </row>
    <row r="1835" ht="15.75" customHeight="1">
      <c r="A1835" s="25"/>
      <c r="B1835" s="22"/>
      <c r="C1835" s="25"/>
      <c r="D1835" s="22"/>
      <c r="F1835" s="25"/>
      <c r="G1835" s="22"/>
      <c r="H1835" s="25"/>
      <c r="I1835" s="22"/>
      <c r="J1835" s="25"/>
      <c r="K1835" s="22"/>
    </row>
    <row r="1836" ht="15.75" customHeight="1">
      <c r="A1836" s="25"/>
      <c r="B1836" s="22"/>
      <c r="C1836" s="25"/>
      <c r="D1836" s="22"/>
      <c r="F1836" s="25"/>
      <c r="G1836" s="22"/>
      <c r="H1836" s="25"/>
      <c r="I1836" s="22"/>
      <c r="J1836" s="25"/>
      <c r="K1836" s="22"/>
    </row>
    <row r="1837" ht="15.75" customHeight="1">
      <c r="A1837" s="25"/>
      <c r="B1837" s="22"/>
      <c r="C1837" s="25"/>
      <c r="D1837" s="22"/>
      <c r="F1837" s="25"/>
      <c r="G1837" s="22"/>
      <c r="H1837" s="25"/>
      <c r="I1837" s="22"/>
      <c r="J1837" s="25"/>
      <c r="K1837" s="22"/>
    </row>
    <row r="1838" ht="15.75" customHeight="1">
      <c r="A1838" s="25"/>
      <c r="B1838" s="22"/>
      <c r="C1838" s="25"/>
      <c r="D1838" s="22"/>
      <c r="F1838" s="25"/>
      <c r="G1838" s="22"/>
      <c r="H1838" s="25"/>
      <c r="I1838" s="22"/>
      <c r="J1838" s="25"/>
      <c r="K1838" s="22"/>
    </row>
    <row r="1839" ht="15.75" customHeight="1">
      <c r="A1839" s="25"/>
      <c r="B1839" s="22"/>
      <c r="C1839" s="25"/>
      <c r="D1839" s="22"/>
      <c r="F1839" s="25"/>
      <c r="G1839" s="22"/>
      <c r="H1839" s="25"/>
      <c r="I1839" s="22"/>
      <c r="J1839" s="25"/>
      <c r="K1839" s="22"/>
    </row>
    <row r="1840" ht="15.75" customHeight="1">
      <c r="A1840" s="25"/>
      <c r="B1840" s="22"/>
      <c r="C1840" s="25"/>
      <c r="D1840" s="22"/>
      <c r="F1840" s="25"/>
      <c r="G1840" s="22"/>
      <c r="H1840" s="25"/>
      <c r="I1840" s="22"/>
      <c r="J1840" s="25"/>
      <c r="K1840" s="22"/>
    </row>
    <row r="1841" ht="15.75" customHeight="1">
      <c r="A1841" s="25"/>
      <c r="B1841" s="22"/>
      <c r="C1841" s="25"/>
      <c r="D1841" s="22"/>
      <c r="F1841" s="25"/>
      <c r="G1841" s="22"/>
      <c r="H1841" s="25"/>
      <c r="I1841" s="22"/>
      <c r="J1841" s="25"/>
      <c r="K1841" s="22"/>
    </row>
    <row r="1842" ht="15.75" customHeight="1">
      <c r="A1842" s="25"/>
      <c r="B1842" s="22"/>
      <c r="C1842" s="25"/>
      <c r="D1842" s="22"/>
      <c r="F1842" s="25"/>
      <c r="G1842" s="22"/>
      <c r="H1842" s="25"/>
      <c r="I1842" s="22"/>
      <c r="J1842" s="25"/>
      <c r="K1842" s="22"/>
    </row>
    <row r="1843" ht="15.75" customHeight="1">
      <c r="A1843" s="25"/>
      <c r="B1843" s="22"/>
      <c r="C1843" s="25"/>
      <c r="D1843" s="22"/>
      <c r="F1843" s="25"/>
      <c r="G1843" s="22"/>
      <c r="H1843" s="25"/>
      <c r="I1843" s="22"/>
      <c r="J1843" s="25"/>
      <c r="K1843" s="22"/>
    </row>
    <row r="1844" ht="15.75" customHeight="1">
      <c r="A1844" s="25"/>
      <c r="B1844" s="22"/>
      <c r="C1844" s="25"/>
      <c r="D1844" s="22"/>
      <c r="F1844" s="25"/>
      <c r="G1844" s="22"/>
      <c r="H1844" s="25"/>
      <c r="I1844" s="22"/>
      <c r="J1844" s="25"/>
      <c r="K1844" s="22"/>
    </row>
    <row r="1845" ht="15.75" customHeight="1">
      <c r="A1845" s="25"/>
      <c r="B1845" s="22"/>
      <c r="C1845" s="25"/>
      <c r="D1845" s="22"/>
      <c r="F1845" s="25"/>
      <c r="G1845" s="22"/>
      <c r="H1845" s="25"/>
      <c r="I1845" s="22"/>
      <c r="J1845" s="25"/>
      <c r="K1845" s="22"/>
    </row>
    <row r="1846" ht="15.75" customHeight="1">
      <c r="A1846" s="25"/>
      <c r="B1846" s="22"/>
      <c r="C1846" s="25"/>
      <c r="D1846" s="22"/>
      <c r="F1846" s="25"/>
      <c r="G1846" s="22"/>
      <c r="H1846" s="25"/>
      <c r="I1846" s="22"/>
      <c r="J1846" s="25"/>
      <c r="K1846" s="22"/>
    </row>
    <row r="1847" ht="15.75" customHeight="1">
      <c r="A1847" s="25"/>
      <c r="B1847" s="22"/>
      <c r="C1847" s="25"/>
      <c r="D1847" s="22"/>
      <c r="F1847" s="25"/>
      <c r="G1847" s="22"/>
      <c r="H1847" s="25"/>
      <c r="I1847" s="22"/>
      <c r="J1847" s="25"/>
      <c r="K1847" s="22"/>
    </row>
    <row r="1848" ht="15.75" customHeight="1">
      <c r="A1848" s="25"/>
      <c r="B1848" s="22"/>
      <c r="C1848" s="25"/>
      <c r="D1848" s="22"/>
      <c r="F1848" s="25"/>
      <c r="G1848" s="22"/>
      <c r="H1848" s="25"/>
      <c r="I1848" s="22"/>
      <c r="J1848" s="25"/>
      <c r="K1848" s="22"/>
    </row>
    <row r="1849" ht="15.75" customHeight="1">
      <c r="A1849" s="25"/>
      <c r="B1849" s="22"/>
      <c r="C1849" s="25"/>
      <c r="D1849" s="22"/>
      <c r="F1849" s="25"/>
      <c r="G1849" s="22"/>
      <c r="H1849" s="25"/>
      <c r="I1849" s="22"/>
      <c r="J1849" s="25"/>
      <c r="K1849" s="22"/>
    </row>
    <row r="1850" ht="15.75" customHeight="1">
      <c r="A1850" s="25"/>
      <c r="B1850" s="22"/>
      <c r="C1850" s="25"/>
      <c r="D1850" s="22"/>
      <c r="F1850" s="25"/>
      <c r="G1850" s="22"/>
      <c r="H1850" s="25"/>
      <c r="I1850" s="22"/>
      <c r="J1850" s="25"/>
      <c r="K1850" s="22"/>
    </row>
    <row r="1851" ht="15.75" customHeight="1">
      <c r="A1851" s="25"/>
      <c r="B1851" s="22"/>
      <c r="C1851" s="25"/>
      <c r="D1851" s="22"/>
      <c r="F1851" s="25"/>
      <c r="G1851" s="22"/>
      <c r="H1851" s="25"/>
      <c r="I1851" s="22"/>
      <c r="J1851" s="25"/>
      <c r="K1851" s="22"/>
    </row>
    <row r="1852" ht="15.75" customHeight="1">
      <c r="A1852" s="25"/>
      <c r="B1852" s="22"/>
      <c r="C1852" s="25"/>
      <c r="D1852" s="22"/>
      <c r="F1852" s="25"/>
      <c r="G1852" s="22"/>
      <c r="H1852" s="25"/>
      <c r="I1852" s="22"/>
      <c r="J1852" s="25"/>
      <c r="K1852" s="22"/>
    </row>
    <row r="1853" ht="15.75" customHeight="1">
      <c r="A1853" s="25"/>
      <c r="B1853" s="22"/>
      <c r="C1853" s="25"/>
      <c r="D1853" s="22"/>
      <c r="F1853" s="25"/>
      <c r="G1853" s="22"/>
      <c r="H1853" s="25"/>
      <c r="I1853" s="22"/>
      <c r="J1853" s="25"/>
      <c r="K1853" s="22"/>
    </row>
    <row r="1854" ht="15.75" customHeight="1">
      <c r="A1854" s="25"/>
      <c r="B1854" s="22"/>
      <c r="C1854" s="25"/>
      <c r="D1854" s="22"/>
      <c r="F1854" s="25"/>
      <c r="G1854" s="22"/>
      <c r="H1854" s="25"/>
      <c r="I1854" s="22"/>
      <c r="J1854" s="25"/>
      <c r="K1854" s="22"/>
    </row>
    <row r="1855" ht="15.75" customHeight="1">
      <c r="A1855" s="25"/>
      <c r="B1855" s="22"/>
      <c r="C1855" s="25"/>
      <c r="D1855" s="22"/>
      <c r="F1855" s="25"/>
      <c r="G1855" s="22"/>
      <c r="H1855" s="25"/>
      <c r="I1855" s="22"/>
      <c r="J1855" s="25"/>
      <c r="K1855" s="22"/>
    </row>
    <row r="1856" ht="15.75" customHeight="1">
      <c r="A1856" s="25"/>
      <c r="B1856" s="22"/>
      <c r="C1856" s="25"/>
      <c r="D1856" s="22"/>
      <c r="F1856" s="25"/>
      <c r="G1856" s="22"/>
      <c r="H1856" s="25"/>
      <c r="I1856" s="22"/>
      <c r="J1856" s="25"/>
      <c r="K1856" s="22"/>
    </row>
    <row r="1857" ht="15.75" customHeight="1">
      <c r="A1857" s="25"/>
      <c r="B1857" s="22"/>
      <c r="C1857" s="25"/>
      <c r="D1857" s="22"/>
      <c r="F1857" s="25"/>
      <c r="G1857" s="22"/>
      <c r="H1857" s="25"/>
      <c r="I1857" s="22"/>
      <c r="J1857" s="25"/>
      <c r="K1857" s="22"/>
    </row>
    <row r="1858" ht="15.75" customHeight="1">
      <c r="A1858" s="25"/>
      <c r="B1858" s="22"/>
      <c r="C1858" s="25"/>
      <c r="D1858" s="22"/>
      <c r="F1858" s="25"/>
      <c r="G1858" s="22"/>
      <c r="H1858" s="25"/>
      <c r="I1858" s="22"/>
      <c r="J1858" s="25"/>
      <c r="K1858" s="22"/>
    </row>
    <row r="1859" ht="15.75" customHeight="1">
      <c r="A1859" s="25"/>
      <c r="B1859" s="22"/>
      <c r="C1859" s="25"/>
      <c r="D1859" s="22"/>
      <c r="F1859" s="25"/>
      <c r="G1859" s="22"/>
      <c r="H1859" s="25"/>
      <c r="I1859" s="22"/>
      <c r="J1859" s="25"/>
      <c r="K1859" s="22"/>
    </row>
    <row r="1860" ht="15.75" customHeight="1">
      <c r="A1860" s="25"/>
      <c r="B1860" s="22"/>
      <c r="C1860" s="25"/>
      <c r="D1860" s="22"/>
      <c r="F1860" s="25"/>
      <c r="G1860" s="22"/>
      <c r="H1860" s="25"/>
      <c r="I1860" s="22"/>
      <c r="J1860" s="25"/>
      <c r="K1860" s="22"/>
    </row>
    <row r="1861" ht="15.75" customHeight="1">
      <c r="A1861" s="25"/>
      <c r="B1861" s="22"/>
      <c r="C1861" s="25"/>
      <c r="D1861" s="22"/>
      <c r="F1861" s="25"/>
      <c r="G1861" s="22"/>
      <c r="H1861" s="25"/>
      <c r="I1861" s="22"/>
      <c r="J1861" s="25"/>
      <c r="K1861" s="22"/>
    </row>
    <row r="1862" ht="15.75" customHeight="1">
      <c r="A1862" s="25"/>
      <c r="B1862" s="22"/>
      <c r="C1862" s="25"/>
      <c r="D1862" s="22"/>
      <c r="F1862" s="25"/>
      <c r="G1862" s="22"/>
      <c r="H1862" s="25"/>
      <c r="I1862" s="22"/>
      <c r="J1862" s="25"/>
      <c r="K1862" s="22"/>
    </row>
    <row r="1863" ht="15.75" customHeight="1">
      <c r="A1863" s="25"/>
      <c r="B1863" s="22"/>
      <c r="C1863" s="25"/>
      <c r="D1863" s="22"/>
      <c r="F1863" s="25"/>
      <c r="G1863" s="22"/>
      <c r="H1863" s="25"/>
      <c r="I1863" s="22"/>
      <c r="J1863" s="25"/>
      <c r="K1863" s="22"/>
    </row>
    <row r="1864" ht="15.75" customHeight="1">
      <c r="A1864" s="25"/>
      <c r="B1864" s="22"/>
      <c r="C1864" s="25"/>
      <c r="D1864" s="22"/>
      <c r="F1864" s="25"/>
      <c r="G1864" s="22"/>
      <c r="H1864" s="25"/>
      <c r="I1864" s="22"/>
      <c r="J1864" s="25"/>
      <c r="K1864" s="22"/>
    </row>
    <row r="1865" ht="15.75" customHeight="1">
      <c r="A1865" s="25"/>
      <c r="B1865" s="22"/>
      <c r="C1865" s="25"/>
      <c r="D1865" s="22"/>
      <c r="F1865" s="25"/>
      <c r="G1865" s="22"/>
      <c r="H1865" s="25"/>
      <c r="I1865" s="22"/>
      <c r="J1865" s="25"/>
      <c r="K1865" s="22"/>
    </row>
    <row r="1866" ht="15.75" customHeight="1">
      <c r="A1866" s="25"/>
      <c r="B1866" s="22"/>
      <c r="C1866" s="25"/>
      <c r="D1866" s="22"/>
      <c r="F1866" s="25"/>
      <c r="G1866" s="22"/>
      <c r="H1866" s="25"/>
      <c r="I1866" s="22"/>
      <c r="J1866" s="25"/>
      <c r="K1866" s="22"/>
    </row>
    <row r="1867" ht="15.75" customHeight="1">
      <c r="A1867" s="25"/>
      <c r="B1867" s="22"/>
      <c r="C1867" s="25"/>
      <c r="D1867" s="22"/>
      <c r="F1867" s="25"/>
      <c r="G1867" s="22"/>
      <c r="H1867" s="25"/>
      <c r="I1867" s="22"/>
      <c r="J1867" s="25"/>
      <c r="K1867" s="22"/>
    </row>
    <row r="1868" ht="15.75" customHeight="1">
      <c r="A1868" s="25"/>
      <c r="B1868" s="22"/>
      <c r="C1868" s="25"/>
      <c r="D1868" s="22"/>
      <c r="F1868" s="25"/>
      <c r="G1868" s="22"/>
      <c r="H1868" s="25"/>
      <c r="I1868" s="22"/>
      <c r="J1868" s="25"/>
      <c r="K1868" s="22"/>
    </row>
    <row r="1869" ht="15.75" customHeight="1">
      <c r="A1869" s="25"/>
      <c r="B1869" s="22"/>
      <c r="C1869" s="25"/>
      <c r="D1869" s="22"/>
      <c r="F1869" s="25"/>
      <c r="G1869" s="22"/>
      <c r="H1869" s="25"/>
      <c r="I1869" s="22"/>
      <c r="J1869" s="25"/>
      <c r="K1869" s="22"/>
    </row>
    <row r="1870" ht="15.75" customHeight="1">
      <c r="A1870" s="25"/>
      <c r="B1870" s="22"/>
      <c r="C1870" s="25"/>
      <c r="D1870" s="22"/>
      <c r="F1870" s="25"/>
      <c r="G1870" s="22"/>
      <c r="H1870" s="25"/>
      <c r="I1870" s="22"/>
      <c r="J1870" s="25"/>
      <c r="K1870" s="22"/>
    </row>
    <row r="1871" ht="15.75" customHeight="1">
      <c r="A1871" s="25"/>
      <c r="B1871" s="22"/>
      <c r="C1871" s="25"/>
      <c r="D1871" s="22"/>
      <c r="F1871" s="25"/>
      <c r="G1871" s="22"/>
      <c r="H1871" s="25"/>
      <c r="I1871" s="22"/>
      <c r="J1871" s="25"/>
      <c r="K1871" s="22"/>
    </row>
    <row r="1872" ht="15.75" customHeight="1">
      <c r="A1872" s="25"/>
      <c r="B1872" s="22"/>
      <c r="C1872" s="25"/>
      <c r="D1872" s="22"/>
      <c r="F1872" s="25"/>
      <c r="G1872" s="22"/>
      <c r="H1872" s="25"/>
      <c r="I1872" s="22"/>
      <c r="J1872" s="25"/>
      <c r="K1872" s="22"/>
    </row>
    <row r="1873" ht="15.75" customHeight="1">
      <c r="A1873" s="25"/>
      <c r="B1873" s="22"/>
      <c r="C1873" s="25"/>
      <c r="D1873" s="22"/>
      <c r="F1873" s="25"/>
      <c r="G1873" s="22"/>
      <c r="H1873" s="25"/>
      <c r="I1873" s="22"/>
      <c r="J1873" s="25"/>
      <c r="K1873" s="22"/>
    </row>
    <row r="1874" ht="15.75" customHeight="1">
      <c r="A1874" s="25"/>
      <c r="B1874" s="22"/>
      <c r="C1874" s="25"/>
      <c r="D1874" s="22"/>
      <c r="F1874" s="25"/>
      <c r="G1874" s="22"/>
      <c r="H1874" s="25"/>
      <c r="I1874" s="22"/>
      <c r="J1874" s="25"/>
      <c r="K1874" s="22"/>
    </row>
    <row r="1875" ht="15.75" customHeight="1">
      <c r="A1875" s="25"/>
      <c r="B1875" s="22"/>
      <c r="C1875" s="25"/>
      <c r="D1875" s="22"/>
      <c r="F1875" s="25"/>
      <c r="G1875" s="22"/>
      <c r="H1875" s="25"/>
      <c r="I1875" s="22"/>
      <c r="J1875" s="25"/>
      <c r="K1875" s="22"/>
    </row>
    <row r="1876" ht="15.75" customHeight="1">
      <c r="A1876" s="25"/>
      <c r="B1876" s="22"/>
      <c r="C1876" s="25"/>
      <c r="D1876" s="22"/>
      <c r="F1876" s="25"/>
      <c r="G1876" s="22"/>
      <c r="H1876" s="25"/>
      <c r="I1876" s="22"/>
      <c r="J1876" s="25"/>
      <c r="K1876" s="22"/>
    </row>
    <row r="1877" ht="15.75" customHeight="1">
      <c r="A1877" s="25"/>
      <c r="B1877" s="22"/>
      <c r="C1877" s="25"/>
      <c r="D1877" s="22"/>
      <c r="F1877" s="25"/>
      <c r="G1877" s="22"/>
      <c r="H1877" s="25"/>
      <c r="I1877" s="22"/>
      <c r="J1877" s="25"/>
      <c r="K1877" s="22"/>
    </row>
    <row r="1878" ht="15.75" customHeight="1">
      <c r="A1878" s="25"/>
      <c r="B1878" s="22"/>
      <c r="C1878" s="25"/>
      <c r="D1878" s="22"/>
      <c r="F1878" s="25"/>
      <c r="G1878" s="22"/>
      <c r="H1878" s="25"/>
      <c r="I1878" s="22"/>
      <c r="J1878" s="25"/>
      <c r="K1878" s="22"/>
    </row>
    <row r="1879" ht="15.75" customHeight="1">
      <c r="A1879" s="25"/>
      <c r="B1879" s="22"/>
      <c r="C1879" s="25"/>
      <c r="D1879" s="22"/>
      <c r="F1879" s="25"/>
      <c r="G1879" s="22"/>
      <c r="H1879" s="25"/>
      <c r="I1879" s="22"/>
      <c r="J1879" s="25"/>
      <c r="K1879" s="22"/>
    </row>
    <row r="1880" ht="15.75" customHeight="1">
      <c r="A1880" s="25"/>
      <c r="B1880" s="22"/>
      <c r="C1880" s="25"/>
      <c r="D1880" s="22"/>
      <c r="F1880" s="25"/>
      <c r="G1880" s="22"/>
      <c r="H1880" s="25"/>
      <c r="I1880" s="22"/>
      <c r="J1880" s="25"/>
      <c r="K1880" s="22"/>
    </row>
    <row r="1881" ht="15.75" customHeight="1">
      <c r="A1881" s="25"/>
      <c r="B1881" s="22"/>
      <c r="C1881" s="25"/>
      <c r="D1881" s="22"/>
      <c r="F1881" s="25"/>
      <c r="G1881" s="22"/>
      <c r="H1881" s="25"/>
      <c r="I1881" s="22"/>
      <c r="J1881" s="25"/>
      <c r="K1881" s="22"/>
    </row>
    <row r="1882" ht="15.75" customHeight="1">
      <c r="A1882" s="25"/>
      <c r="B1882" s="22"/>
      <c r="C1882" s="25"/>
      <c r="D1882" s="22"/>
      <c r="F1882" s="25"/>
      <c r="G1882" s="22"/>
      <c r="H1882" s="25"/>
      <c r="I1882" s="22"/>
      <c r="J1882" s="25"/>
      <c r="K1882" s="22"/>
    </row>
    <row r="1883" ht="15.75" customHeight="1">
      <c r="A1883" s="25"/>
      <c r="B1883" s="22"/>
      <c r="C1883" s="25"/>
      <c r="D1883" s="22"/>
      <c r="F1883" s="25"/>
      <c r="G1883" s="22"/>
      <c r="H1883" s="25"/>
      <c r="I1883" s="22"/>
      <c r="J1883" s="25"/>
      <c r="K1883" s="22"/>
    </row>
    <row r="1884" ht="15.75" customHeight="1">
      <c r="A1884" s="25"/>
      <c r="B1884" s="22"/>
      <c r="C1884" s="25"/>
      <c r="D1884" s="22"/>
      <c r="F1884" s="25"/>
      <c r="G1884" s="22"/>
      <c r="H1884" s="25"/>
      <c r="I1884" s="22"/>
      <c r="J1884" s="25"/>
      <c r="K1884" s="22"/>
    </row>
    <row r="1885" ht="15.75" customHeight="1">
      <c r="A1885" s="25"/>
      <c r="B1885" s="22"/>
      <c r="C1885" s="25"/>
      <c r="D1885" s="22"/>
      <c r="F1885" s="25"/>
      <c r="G1885" s="22"/>
      <c r="H1885" s="25"/>
      <c r="I1885" s="22"/>
      <c r="J1885" s="25"/>
      <c r="K1885" s="22"/>
    </row>
    <row r="1886" ht="15.75" customHeight="1">
      <c r="A1886" s="25"/>
      <c r="B1886" s="22"/>
      <c r="C1886" s="25"/>
      <c r="D1886" s="22"/>
      <c r="F1886" s="25"/>
      <c r="G1886" s="22"/>
      <c r="H1886" s="25"/>
      <c r="I1886" s="22"/>
      <c r="J1886" s="25"/>
      <c r="K1886" s="22"/>
    </row>
    <row r="1887" ht="15.75" customHeight="1">
      <c r="A1887" s="25"/>
      <c r="B1887" s="22"/>
      <c r="C1887" s="25"/>
      <c r="D1887" s="22"/>
      <c r="F1887" s="25"/>
      <c r="G1887" s="22"/>
      <c r="H1887" s="25"/>
      <c r="I1887" s="22"/>
      <c r="J1887" s="25"/>
      <c r="K1887" s="22"/>
    </row>
    <row r="1888" ht="15.75" customHeight="1">
      <c r="A1888" s="25"/>
      <c r="B1888" s="22"/>
      <c r="C1888" s="25"/>
      <c r="D1888" s="22"/>
      <c r="F1888" s="25"/>
      <c r="G1888" s="22"/>
      <c r="H1888" s="25"/>
      <c r="I1888" s="22"/>
      <c r="J1888" s="25"/>
      <c r="K1888" s="22"/>
    </row>
    <row r="1889" ht="15.75" customHeight="1">
      <c r="A1889" s="25"/>
      <c r="B1889" s="22"/>
      <c r="C1889" s="25"/>
      <c r="D1889" s="22"/>
      <c r="F1889" s="25"/>
      <c r="G1889" s="22"/>
      <c r="H1889" s="25"/>
      <c r="I1889" s="22"/>
      <c r="J1889" s="25"/>
      <c r="K1889" s="22"/>
    </row>
    <row r="1890" ht="15.75" customHeight="1">
      <c r="A1890" s="25"/>
      <c r="B1890" s="22"/>
      <c r="C1890" s="25"/>
      <c r="D1890" s="22"/>
      <c r="F1890" s="25"/>
      <c r="G1890" s="22"/>
      <c r="H1890" s="25"/>
      <c r="I1890" s="22"/>
      <c r="J1890" s="25"/>
      <c r="K1890" s="22"/>
    </row>
    <row r="1891" ht="15.75" customHeight="1">
      <c r="A1891" s="25"/>
      <c r="B1891" s="22"/>
      <c r="C1891" s="25"/>
      <c r="D1891" s="22"/>
      <c r="F1891" s="25"/>
      <c r="G1891" s="22"/>
      <c r="H1891" s="25"/>
      <c r="I1891" s="22"/>
      <c r="J1891" s="25"/>
      <c r="K1891" s="22"/>
    </row>
    <row r="1892" ht="15.75" customHeight="1">
      <c r="A1892" s="25"/>
      <c r="B1892" s="22"/>
      <c r="C1892" s="25"/>
      <c r="D1892" s="22"/>
      <c r="F1892" s="25"/>
      <c r="G1892" s="22"/>
      <c r="H1892" s="25"/>
      <c r="I1892" s="22"/>
      <c r="J1892" s="25"/>
      <c r="K1892" s="22"/>
    </row>
    <row r="1893" ht="15.75" customHeight="1">
      <c r="A1893" s="25"/>
      <c r="B1893" s="22"/>
      <c r="C1893" s="25"/>
      <c r="D1893" s="22"/>
      <c r="F1893" s="25"/>
      <c r="G1893" s="22"/>
      <c r="H1893" s="25"/>
      <c r="I1893" s="22"/>
      <c r="J1893" s="25"/>
      <c r="K1893" s="22"/>
    </row>
    <row r="1894" ht="15.75" customHeight="1">
      <c r="A1894" s="25"/>
      <c r="B1894" s="22"/>
      <c r="C1894" s="25"/>
      <c r="D1894" s="22"/>
      <c r="F1894" s="25"/>
      <c r="G1894" s="22"/>
      <c r="H1894" s="25"/>
      <c r="I1894" s="22"/>
      <c r="J1894" s="25"/>
      <c r="K1894" s="22"/>
    </row>
    <row r="1895" ht="15.75" customHeight="1">
      <c r="A1895" s="25"/>
      <c r="B1895" s="22"/>
      <c r="C1895" s="25"/>
      <c r="D1895" s="22"/>
      <c r="F1895" s="25"/>
      <c r="G1895" s="22"/>
      <c r="H1895" s="25"/>
      <c r="I1895" s="22"/>
      <c r="J1895" s="25"/>
      <c r="K1895" s="22"/>
    </row>
    <row r="1896" ht="15.75" customHeight="1">
      <c r="A1896" s="25"/>
      <c r="B1896" s="22"/>
      <c r="C1896" s="25"/>
      <c r="D1896" s="22"/>
      <c r="F1896" s="25"/>
      <c r="G1896" s="22"/>
      <c r="H1896" s="25"/>
      <c r="I1896" s="22"/>
      <c r="J1896" s="25"/>
      <c r="K1896" s="22"/>
    </row>
    <row r="1897" ht="15.75" customHeight="1">
      <c r="A1897" s="25"/>
      <c r="B1897" s="22"/>
      <c r="C1897" s="25"/>
      <c r="D1897" s="22"/>
      <c r="F1897" s="25"/>
      <c r="G1897" s="22"/>
      <c r="H1897" s="25"/>
      <c r="I1897" s="22"/>
      <c r="J1897" s="25"/>
      <c r="K1897" s="22"/>
    </row>
    <row r="1898" ht="15.75" customHeight="1">
      <c r="A1898" s="25"/>
      <c r="B1898" s="22"/>
      <c r="C1898" s="25"/>
      <c r="D1898" s="22"/>
      <c r="F1898" s="25"/>
      <c r="G1898" s="22"/>
      <c r="H1898" s="25"/>
      <c r="I1898" s="22"/>
      <c r="J1898" s="25"/>
      <c r="K1898" s="22"/>
    </row>
    <row r="1899" ht="15.75" customHeight="1">
      <c r="A1899" s="25"/>
      <c r="B1899" s="22"/>
      <c r="C1899" s="25"/>
      <c r="D1899" s="22"/>
      <c r="F1899" s="25"/>
      <c r="G1899" s="22"/>
      <c r="H1899" s="25"/>
      <c r="I1899" s="22"/>
      <c r="J1899" s="25"/>
      <c r="K1899" s="22"/>
    </row>
    <row r="1900" ht="15.75" customHeight="1">
      <c r="A1900" s="25"/>
      <c r="B1900" s="22"/>
      <c r="C1900" s="25"/>
      <c r="D1900" s="22"/>
      <c r="F1900" s="25"/>
      <c r="G1900" s="22"/>
      <c r="H1900" s="25"/>
      <c r="I1900" s="22"/>
      <c r="J1900" s="25"/>
      <c r="K1900" s="22"/>
    </row>
    <row r="1901" ht="15.75" customHeight="1">
      <c r="A1901" s="25"/>
      <c r="B1901" s="22"/>
      <c r="C1901" s="25"/>
      <c r="D1901" s="22"/>
      <c r="F1901" s="25"/>
      <c r="G1901" s="22"/>
      <c r="H1901" s="25"/>
      <c r="I1901" s="22"/>
      <c r="J1901" s="25"/>
      <c r="K1901" s="22"/>
    </row>
    <row r="1902" ht="15.75" customHeight="1">
      <c r="A1902" s="25"/>
      <c r="B1902" s="22"/>
      <c r="C1902" s="25"/>
      <c r="D1902" s="22"/>
      <c r="F1902" s="25"/>
      <c r="G1902" s="22"/>
      <c r="H1902" s="25"/>
      <c r="I1902" s="22"/>
      <c r="J1902" s="25"/>
      <c r="K1902" s="22"/>
    </row>
    <row r="1903" ht="15.75" customHeight="1">
      <c r="A1903" s="25"/>
      <c r="B1903" s="22"/>
      <c r="C1903" s="25"/>
      <c r="D1903" s="22"/>
      <c r="F1903" s="25"/>
      <c r="G1903" s="22"/>
      <c r="H1903" s="25"/>
      <c r="I1903" s="22"/>
      <c r="J1903" s="25"/>
      <c r="K1903" s="22"/>
    </row>
    <row r="1904" ht="15.75" customHeight="1">
      <c r="A1904" s="25"/>
      <c r="B1904" s="22"/>
      <c r="C1904" s="25"/>
      <c r="D1904" s="22"/>
      <c r="F1904" s="25"/>
      <c r="G1904" s="22"/>
      <c r="H1904" s="25"/>
      <c r="I1904" s="22"/>
      <c r="J1904" s="25"/>
      <c r="K1904" s="22"/>
    </row>
    <row r="1905" ht="15.75" customHeight="1">
      <c r="A1905" s="25"/>
      <c r="B1905" s="22"/>
      <c r="C1905" s="25"/>
      <c r="D1905" s="22"/>
      <c r="F1905" s="25"/>
      <c r="G1905" s="22"/>
      <c r="H1905" s="25"/>
      <c r="I1905" s="22"/>
      <c r="J1905" s="25"/>
      <c r="K1905" s="22"/>
    </row>
    <row r="1906" ht="15.75" customHeight="1">
      <c r="A1906" s="25"/>
      <c r="B1906" s="22"/>
      <c r="C1906" s="25"/>
      <c r="D1906" s="22"/>
      <c r="F1906" s="25"/>
      <c r="G1906" s="22"/>
      <c r="H1906" s="25"/>
      <c r="I1906" s="22"/>
      <c r="J1906" s="25"/>
      <c r="K1906" s="22"/>
    </row>
    <row r="1907" ht="15.75" customHeight="1">
      <c r="A1907" s="25"/>
      <c r="B1907" s="22"/>
      <c r="C1907" s="25"/>
      <c r="D1907" s="22"/>
      <c r="F1907" s="25"/>
      <c r="G1907" s="22"/>
      <c r="H1907" s="25"/>
      <c r="I1907" s="22"/>
      <c r="J1907" s="25"/>
      <c r="K1907" s="22"/>
    </row>
    <row r="1908" ht="15.75" customHeight="1">
      <c r="A1908" s="25"/>
      <c r="B1908" s="22"/>
      <c r="C1908" s="25"/>
      <c r="D1908" s="22"/>
      <c r="F1908" s="25"/>
      <c r="G1908" s="22"/>
      <c r="H1908" s="25"/>
      <c r="I1908" s="22"/>
      <c r="J1908" s="25"/>
      <c r="K1908" s="22"/>
    </row>
    <row r="1909" ht="15.75" customHeight="1">
      <c r="A1909" s="25"/>
      <c r="B1909" s="22"/>
      <c r="C1909" s="25"/>
      <c r="D1909" s="22"/>
      <c r="F1909" s="25"/>
      <c r="G1909" s="22"/>
      <c r="H1909" s="25"/>
      <c r="I1909" s="22"/>
      <c r="J1909" s="25"/>
      <c r="K1909" s="22"/>
    </row>
    <row r="1910" ht="15.75" customHeight="1">
      <c r="A1910" s="25"/>
      <c r="B1910" s="22"/>
      <c r="C1910" s="25"/>
      <c r="D1910" s="22"/>
      <c r="F1910" s="25"/>
      <c r="G1910" s="22"/>
      <c r="H1910" s="25"/>
      <c r="I1910" s="22"/>
      <c r="J1910" s="25"/>
      <c r="K1910" s="22"/>
    </row>
    <row r="1911" ht="15.75" customHeight="1">
      <c r="A1911" s="25"/>
      <c r="B1911" s="22"/>
      <c r="C1911" s="25"/>
      <c r="D1911" s="22"/>
      <c r="F1911" s="25"/>
      <c r="G1911" s="22"/>
      <c r="H1911" s="25"/>
      <c r="I1911" s="22"/>
      <c r="J1911" s="25"/>
      <c r="K1911" s="22"/>
    </row>
    <row r="1912" ht="15.75" customHeight="1">
      <c r="A1912" s="25"/>
      <c r="B1912" s="22"/>
      <c r="C1912" s="25"/>
      <c r="D1912" s="22"/>
      <c r="F1912" s="25"/>
      <c r="G1912" s="22"/>
      <c r="H1912" s="25"/>
      <c r="I1912" s="22"/>
      <c r="J1912" s="25"/>
      <c r="K1912" s="22"/>
    </row>
    <row r="1913" ht="15.75" customHeight="1">
      <c r="A1913" s="25"/>
      <c r="B1913" s="22"/>
      <c r="C1913" s="25"/>
      <c r="D1913" s="22"/>
      <c r="F1913" s="25"/>
      <c r="G1913" s="22"/>
      <c r="H1913" s="25"/>
      <c r="I1913" s="22"/>
      <c r="J1913" s="25"/>
      <c r="K1913" s="22"/>
    </row>
    <row r="1914" ht="15.75" customHeight="1">
      <c r="A1914" s="25"/>
      <c r="B1914" s="22"/>
      <c r="C1914" s="25"/>
      <c r="D1914" s="22"/>
      <c r="F1914" s="25"/>
      <c r="G1914" s="22"/>
      <c r="H1914" s="25"/>
      <c r="I1914" s="22"/>
      <c r="J1914" s="25"/>
      <c r="K1914" s="22"/>
    </row>
    <row r="1915" ht="15.75" customHeight="1">
      <c r="A1915" s="25"/>
      <c r="B1915" s="22"/>
      <c r="C1915" s="25"/>
      <c r="D1915" s="22"/>
      <c r="F1915" s="25"/>
      <c r="G1915" s="22"/>
      <c r="H1915" s="25"/>
      <c r="I1915" s="22"/>
      <c r="J1915" s="25"/>
      <c r="K1915" s="22"/>
    </row>
    <row r="1916" ht="15.75" customHeight="1">
      <c r="A1916" s="25"/>
      <c r="B1916" s="22"/>
      <c r="C1916" s="25"/>
      <c r="D1916" s="22"/>
      <c r="F1916" s="25"/>
      <c r="G1916" s="22"/>
      <c r="H1916" s="25"/>
      <c r="I1916" s="22"/>
      <c r="J1916" s="25"/>
      <c r="K1916" s="22"/>
    </row>
    <row r="1917" ht="15.75" customHeight="1">
      <c r="A1917" s="25"/>
      <c r="B1917" s="22"/>
      <c r="C1917" s="25"/>
      <c r="D1917" s="22"/>
      <c r="F1917" s="25"/>
      <c r="G1917" s="22"/>
      <c r="H1917" s="25"/>
      <c r="I1917" s="22"/>
      <c r="J1917" s="25"/>
      <c r="K1917" s="22"/>
    </row>
    <row r="1918" ht="15.75" customHeight="1">
      <c r="A1918" s="25"/>
      <c r="B1918" s="22"/>
      <c r="C1918" s="25"/>
      <c r="D1918" s="22"/>
      <c r="F1918" s="25"/>
      <c r="G1918" s="22"/>
      <c r="H1918" s="25"/>
      <c r="I1918" s="22"/>
      <c r="J1918" s="25"/>
      <c r="K1918" s="22"/>
    </row>
    <row r="1919" ht="15.75" customHeight="1">
      <c r="A1919" s="25"/>
      <c r="B1919" s="22"/>
      <c r="C1919" s="25"/>
      <c r="D1919" s="22"/>
      <c r="F1919" s="25"/>
      <c r="G1919" s="22"/>
      <c r="H1919" s="25"/>
      <c r="I1919" s="22"/>
      <c r="J1919" s="25"/>
      <c r="K1919" s="22"/>
    </row>
    <row r="1920" ht="15.75" customHeight="1">
      <c r="A1920" s="25"/>
      <c r="B1920" s="22"/>
      <c r="C1920" s="25"/>
      <c r="D1920" s="22"/>
      <c r="F1920" s="25"/>
      <c r="G1920" s="22"/>
      <c r="H1920" s="25"/>
      <c r="I1920" s="22"/>
      <c r="J1920" s="25"/>
      <c r="K1920" s="22"/>
    </row>
    <row r="1921" ht="15.75" customHeight="1">
      <c r="A1921" s="25"/>
      <c r="B1921" s="22"/>
      <c r="C1921" s="25"/>
      <c r="D1921" s="22"/>
      <c r="F1921" s="25"/>
      <c r="G1921" s="22"/>
      <c r="H1921" s="25"/>
      <c r="I1921" s="22"/>
      <c r="J1921" s="25"/>
      <c r="K1921" s="22"/>
    </row>
    <row r="1922" ht="15.75" customHeight="1">
      <c r="A1922" s="25"/>
      <c r="B1922" s="22"/>
      <c r="C1922" s="25"/>
      <c r="D1922" s="22"/>
      <c r="F1922" s="25"/>
      <c r="G1922" s="22"/>
      <c r="H1922" s="25"/>
      <c r="I1922" s="22"/>
      <c r="J1922" s="25"/>
      <c r="K1922" s="22"/>
    </row>
    <row r="1923" ht="15.75" customHeight="1">
      <c r="A1923" s="25"/>
      <c r="B1923" s="22"/>
      <c r="C1923" s="25"/>
      <c r="D1923" s="22"/>
      <c r="F1923" s="25"/>
      <c r="G1923" s="22"/>
      <c r="H1923" s="25"/>
      <c r="I1923" s="22"/>
      <c r="J1923" s="25"/>
      <c r="K1923" s="22"/>
    </row>
    <row r="1924" ht="15.75" customHeight="1">
      <c r="A1924" s="25"/>
      <c r="B1924" s="22"/>
      <c r="C1924" s="25"/>
      <c r="D1924" s="22"/>
      <c r="F1924" s="25"/>
      <c r="G1924" s="22"/>
      <c r="H1924" s="25"/>
      <c r="I1924" s="22"/>
      <c r="J1924" s="25"/>
      <c r="K1924" s="22"/>
    </row>
    <row r="1925" ht="15.75" customHeight="1">
      <c r="A1925" s="25"/>
      <c r="B1925" s="22"/>
      <c r="C1925" s="25"/>
      <c r="D1925" s="22"/>
      <c r="F1925" s="25"/>
      <c r="G1925" s="22"/>
      <c r="H1925" s="25"/>
      <c r="I1925" s="22"/>
      <c r="J1925" s="25"/>
      <c r="K1925" s="22"/>
    </row>
    <row r="1926" ht="15.75" customHeight="1">
      <c r="A1926" s="25"/>
      <c r="B1926" s="22"/>
      <c r="C1926" s="25"/>
      <c r="D1926" s="22"/>
      <c r="F1926" s="25"/>
      <c r="G1926" s="22"/>
      <c r="H1926" s="25"/>
      <c r="I1926" s="22"/>
      <c r="J1926" s="25"/>
      <c r="K1926" s="22"/>
    </row>
    <row r="1927" ht="15.75" customHeight="1">
      <c r="A1927" s="25"/>
      <c r="B1927" s="22"/>
      <c r="C1927" s="25"/>
      <c r="D1927" s="22"/>
      <c r="F1927" s="25"/>
      <c r="G1927" s="22"/>
      <c r="H1927" s="25"/>
      <c r="I1927" s="22"/>
      <c r="J1927" s="25"/>
      <c r="K1927" s="22"/>
    </row>
    <row r="1928" ht="15.75" customHeight="1">
      <c r="A1928" s="25"/>
      <c r="B1928" s="22"/>
      <c r="C1928" s="25"/>
      <c r="D1928" s="22"/>
      <c r="F1928" s="25"/>
      <c r="G1928" s="22"/>
      <c r="H1928" s="25"/>
      <c r="I1928" s="22"/>
      <c r="J1928" s="25"/>
      <c r="K1928" s="22"/>
    </row>
    <row r="1929" ht="15.75" customHeight="1">
      <c r="A1929" s="25"/>
      <c r="B1929" s="22"/>
      <c r="C1929" s="25"/>
      <c r="D1929" s="22"/>
      <c r="F1929" s="25"/>
      <c r="G1929" s="22"/>
      <c r="H1929" s="25"/>
      <c r="I1929" s="22"/>
      <c r="J1929" s="25"/>
      <c r="K1929" s="22"/>
    </row>
    <row r="1930" ht="15.75" customHeight="1">
      <c r="A1930" s="25"/>
      <c r="B1930" s="22"/>
      <c r="C1930" s="25"/>
      <c r="D1930" s="22"/>
      <c r="F1930" s="25"/>
      <c r="G1930" s="22"/>
      <c r="H1930" s="25"/>
      <c r="I1930" s="22"/>
      <c r="J1930" s="25"/>
      <c r="K1930" s="22"/>
    </row>
    <row r="1931" ht="15.75" customHeight="1">
      <c r="A1931" s="25"/>
      <c r="B1931" s="22"/>
      <c r="C1931" s="25"/>
      <c r="D1931" s="22"/>
      <c r="F1931" s="25"/>
      <c r="G1931" s="22"/>
      <c r="H1931" s="25"/>
      <c r="I1931" s="22"/>
      <c r="J1931" s="25"/>
      <c r="K1931" s="22"/>
    </row>
    <row r="1932" ht="15.75" customHeight="1">
      <c r="A1932" s="25"/>
      <c r="B1932" s="22"/>
      <c r="C1932" s="25"/>
      <c r="D1932" s="22"/>
      <c r="F1932" s="25"/>
      <c r="G1932" s="22"/>
      <c r="H1932" s="25"/>
      <c r="I1932" s="22"/>
      <c r="J1932" s="25"/>
      <c r="K1932" s="22"/>
    </row>
    <row r="1933" ht="15.75" customHeight="1">
      <c r="A1933" s="25"/>
      <c r="B1933" s="22"/>
      <c r="C1933" s="25"/>
      <c r="D1933" s="22"/>
      <c r="F1933" s="25"/>
      <c r="G1933" s="22"/>
      <c r="H1933" s="25"/>
      <c r="I1933" s="22"/>
      <c r="J1933" s="25"/>
      <c r="K1933" s="22"/>
    </row>
    <row r="1934" ht="15.75" customHeight="1">
      <c r="A1934" s="25"/>
      <c r="B1934" s="22"/>
      <c r="C1934" s="25"/>
      <c r="D1934" s="22"/>
      <c r="F1934" s="25"/>
      <c r="G1934" s="22"/>
      <c r="H1934" s="25"/>
      <c r="I1934" s="22"/>
      <c r="J1934" s="25"/>
      <c r="K1934" s="22"/>
    </row>
    <row r="1935" ht="15.75" customHeight="1">
      <c r="A1935" s="25"/>
      <c r="B1935" s="22"/>
      <c r="C1935" s="25"/>
      <c r="D1935" s="22"/>
      <c r="F1935" s="25"/>
      <c r="G1935" s="22"/>
      <c r="H1935" s="25"/>
      <c r="I1935" s="22"/>
      <c r="J1935" s="25"/>
      <c r="K1935" s="22"/>
    </row>
    <row r="1936" ht="15.75" customHeight="1">
      <c r="A1936" s="25"/>
      <c r="B1936" s="22"/>
      <c r="C1936" s="25"/>
      <c r="D1936" s="22"/>
      <c r="F1936" s="25"/>
      <c r="G1936" s="22"/>
      <c r="H1936" s="25"/>
      <c r="I1936" s="22"/>
      <c r="J1936" s="25"/>
      <c r="K1936" s="22"/>
    </row>
    <row r="1937" ht="15.75" customHeight="1">
      <c r="A1937" s="25"/>
      <c r="B1937" s="22"/>
      <c r="C1937" s="25"/>
      <c r="D1937" s="22"/>
      <c r="F1937" s="25"/>
      <c r="G1937" s="22"/>
      <c r="H1937" s="25"/>
      <c r="I1937" s="22"/>
      <c r="J1937" s="25"/>
      <c r="K1937" s="22"/>
    </row>
    <row r="1938" ht="15.75" customHeight="1">
      <c r="A1938" s="25"/>
      <c r="B1938" s="22"/>
      <c r="C1938" s="25"/>
      <c r="D1938" s="22"/>
      <c r="F1938" s="25"/>
      <c r="G1938" s="22"/>
      <c r="H1938" s="25"/>
      <c r="I1938" s="22"/>
      <c r="J1938" s="25"/>
      <c r="K1938" s="22"/>
    </row>
    <row r="1939" ht="15.75" customHeight="1">
      <c r="A1939" s="25"/>
      <c r="B1939" s="22"/>
      <c r="C1939" s="25"/>
      <c r="D1939" s="22"/>
      <c r="F1939" s="25"/>
      <c r="G1939" s="22"/>
      <c r="H1939" s="25"/>
      <c r="I1939" s="22"/>
      <c r="J1939" s="25"/>
      <c r="K1939" s="22"/>
    </row>
    <row r="1940" ht="15.75" customHeight="1">
      <c r="A1940" s="25"/>
      <c r="B1940" s="22"/>
      <c r="C1940" s="25"/>
      <c r="D1940" s="22"/>
      <c r="F1940" s="25"/>
      <c r="G1940" s="22"/>
      <c r="H1940" s="25"/>
      <c r="I1940" s="22"/>
      <c r="J1940" s="25"/>
      <c r="K1940" s="22"/>
    </row>
    <row r="1941" ht="15.75" customHeight="1">
      <c r="A1941" s="25"/>
      <c r="B1941" s="22"/>
      <c r="C1941" s="25"/>
      <c r="D1941" s="22"/>
      <c r="F1941" s="25"/>
      <c r="G1941" s="22"/>
      <c r="H1941" s="25"/>
      <c r="I1941" s="22"/>
      <c r="J1941" s="25"/>
      <c r="K1941" s="22"/>
    </row>
    <row r="1942" ht="15.75" customHeight="1">
      <c r="A1942" s="25"/>
      <c r="B1942" s="22"/>
      <c r="C1942" s="25"/>
      <c r="D1942" s="22"/>
      <c r="F1942" s="25"/>
      <c r="G1942" s="22"/>
      <c r="H1942" s="25"/>
      <c r="I1942" s="22"/>
      <c r="J1942" s="25"/>
      <c r="K1942" s="22"/>
    </row>
    <row r="1943" ht="15.75" customHeight="1">
      <c r="A1943" s="25"/>
      <c r="B1943" s="22"/>
      <c r="C1943" s="25"/>
      <c r="D1943" s="22"/>
      <c r="F1943" s="25"/>
      <c r="G1943" s="22"/>
      <c r="H1943" s="25"/>
      <c r="I1943" s="22"/>
      <c r="J1943" s="25"/>
      <c r="K1943" s="22"/>
    </row>
    <row r="1944" ht="15.75" customHeight="1">
      <c r="A1944" s="25"/>
      <c r="B1944" s="22"/>
      <c r="C1944" s="25"/>
      <c r="D1944" s="22"/>
      <c r="F1944" s="25"/>
      <c r="G1944" s="22"/>
      <c r="H1944" s="25"/>
      <c r="I1944" s="22"/>
      <c r="J1944" s="25"/>
      <c r="K1944" s="22"/>
    </row>
    <row r="1945" ht="15.75" customHeight="1">
      <c r="A1945" s="25"/>
      <c r="B1945" s="22"/>
      <c r="C1945" s="25"/>
      <c r="D1945" s="22"/>
      <c r="F1945" s="25"/>
      <c r="G1945" s="22"/>
      <c r="H1945" s="25"/>
      <c r="I1945" s="22"/>
      <c r="J1945" s="25"/>
      <c r="K1945" s="22"/>
    </row>
    <row r="1946" ht="15.75" customHeight="1">
      <c r="A1946" s="25"/>
      <c r="B1946" s="22"/>
      <c r="C1946" s="25"/>
      <c r="D1946" s="22"/>
      <c r="F1946" s="25"/>
      <c r="G1946" s="22"/>
      <c r="H1946" s="25"/>
      <c r="I1946" s="22"/>
      <c r="J1946" s="25"/>
      <c r="K1946" s="22"/>
    </row>
    <row r="1947" ht="15.75" customHeight="1">
      <c r="A1947" s="25"/>
      <c r="B1947" s="22"/>
      <c r="C1947" s="25"/>
      <c r="D1947" s="22"/>
      <c r="F1947" s="25"/>
      <c r="G1947" s="22"/>
      <c r="H1947" s="25"/>
      <c r="I1947" s="22"/>
      <c r="J1947" s="25"/>
      <c r="K1947" s="22"/>
    </row>
    <row r="1948" ht="15.75" customHeight="1">
      <c r="A1948" s="25"/>
      <c r="B1948" s="22"/>
      <c r="C1948" s="25"/>
      <c r="D1948" s="22"/>
      <c r="F1948" s="25"/>
      <c r="G1948" s="22"/>
      <c r="H1948" s="25"/>
      <c r="I1948" s="22"/>
      <c r="J1948" s="25"/>
      <c r="K1948" s="22"/>
    </row>
    <row r="1949" ht="15.75" customHeight="1">
      <c r="A1949" s="25"/>
      <c r="B1949" s="22"/>
      <c r="C1949" s="25"/>
      <c r="D1949" s="22"/>
      <c r="F1949" s="25"/>
      <c r="G1949" s="22"/>
      <c r="H1949" s="25"/>
      <c r="I1949" s="22"/>
      <c r="J1949" s="25"/>
      <c r="K1949" s="22"/>
    </row>
    <row r="1950" ht="15.75" customHeight="1">
      <c r="A1950" s="25"/>
      <c r="B1950" s="22"/>
      <c r="C1950" s="25"/>
      <c r="D1950" s="22"/>
      <c r="F1950" s="25"/>
      <c r="G1950" s="22"/>
      <c r="H1950" s="25"/>
      <c r="I1950" s="22"/>
      <c r="J1950" s="25"/>
      <c r="K1950" s="22"/>
    </row>
    <row r="1951" ht="15.75" customHeight="1">
      <c r="A1951" s="25"/>
      <c r="B1951" s="22"/>
      <c r="C1951" s="25"/>
      <c r="D1951" s="22"/>
      <c r="F1951" s="25"/>
      <c r="G1951" s="22"/>
      <c r="H1951" s="25"/>
      <c r="I1951" s="22"/>
      <c r="J1951" s="25"/>
      <c r="K1951" s="22"/>
    </row>
    <row r="1952" ht="15.75" customHeight="1">
      <c r="A1952" s="25"/>
      <c r="B1952" s="22"/>
      <c r="C1952" s="25"/>
      <c r="D1952" s="22"/>
      <c r="F1952" s="25"/>
      <c r="G1952" s="22"/>
      <c r="H1952" s="25"/>
      <c r="I1952" s="22"/>
      <c r="J1952" s="25"/>
      <c r="K1952" s="22"/>
    </row>
    <row r="1953" ht="15.75" customHeight="1">
      <c r="A1953" s="25"/>
      <c r="B1953" s="22"/>
      <c r="C1953" s="25"/>
      <c r="D1953" s="22"/>
      <c r="F1953" s="25"/>
      <c r="G1953" s="22"/>
      <c r="H1953" s="25"/>
      <c r="I1953" s="22"/>
      <c r="J1953" s="25"/>
      <c r="K1953" s="22"/>
    </row>
    <row r="1954" ht="15.75" customHeight="1">
      <c r="A1954" s="25"/>
      <c r="B1954" s="22"/>
      <c r="C1954" s="25"/>
      <c r="D1954" s="22"/>
      <c r="F1954" s="25"/>
      <c r="G1954" s="22"/>
      <c r="H1954" s="25"/>
      <c r="I1954" s="22"/>
      <c r="J1954" s="25"/>
      <c r="K1954" s="22"/>
    </row>
    <row r="1955" ht="15.75" customHeight="1">
      <c r="A1955" s="25"/>
      <c r="B1955" s="22"/>
      <c r="C1955" s="25"/>
      <c r="D1955" s="22"/>
      <c r="F1955" s="25"/>
      <c r="G1955" s="22"/>
      <c r="H1955" s="25"/>
      <c r="I1955" s="22"/>
      <c r="J1955" s="25"/>
      <c r="K1955" s="22"/>
    </row>
    <row r="1956" ht="15.75" customHeight="1">
      <c r="A1956" s="25"/>
      <c r="B1956" s="22"/>
      <c r="C1956" s="25"/>
      <c r="D1956" s="22"/>
      <c r="F1956" s="25"/>
      <c r="G1956" s="22"/>
      <c r="H1956" s="25"/>
      <c r="I1956" s="22"/>
      <c r="J1956" s="25"/>
      <c r="K1956" s="22"/>
    </row>
    <row r="1957" ht="15.75" customHeight="1">
      <c r="A1957" s="25"/>
      <c r="B1957" s="22"/>
      <c r="C1957" s="25"/>
      <c r="D1957" s="22"/>
      <c r="F1957" s="25"/>
      <c r="G1957" s="22"/>
      <c r="H1957" s="25"/>
      <c r="I1957" s="22"/>
      <c r="J1957" s="25"/>
      <c r="K1957" s="22"/>
    </row>
    <row r="1958" ht="15.75" customHeight="1">
      <c r="A1958" s="25"/>
      <c r="B1958" s="22"/>
      <c r="C1958" s="25"/>
      <c r="D1958" s="22"/>
      <c r="F1958" s="25"/>
      <c r="G1958" s="22"/>
      <c r="H1958" s="25"/>
      <c r="I1958" s="22"/>
      <c r="J1958" s="25"/>
      <c r="K1958" s="22"/>
    </row>
    <row r="1959" ht="15.75" customHeight="1">
      <c r="A1959" s="25"/>
      <c r="B1959" s="22"/>
      <c r="C1959" s="25"/>
      <c r="D1959" s="22"/>
      <c r="F1959" s="25"/>
      <c r="G1959" s="22"/>
      <c r="H1959" s="25"/>
      <c r="I1959" s="22"/>
      <c r="J1959" s="25"/>
      <c r="K1959" s="22"/>
    </row>
    <row r="1960" ht="15.75" customHeight="1">
      <c r="A1960" s="25"/>
      <c r="B1960" s="22"/>
      <c r="C1960" s="25"/>
      <c r="D1960" s="22"/>
      <c r="F1960" s="25"/>
      <c r="G1960" s="22"/>
      <c r="H1960" s="25"/>
      <c r="I1960" s="22"/>
      <c r="J1960" s="25"/>
      <c r="K1960" s="22"/>
    </row>
    <row r="1961" ht="15.75" customHeight="1">
      <c r="A1961" s="25"/>
      <c r="B1961" s="22"/>
      <c r="C1961" s="25"/>
      <c r="D1961" s="22"/>
      <c r="F1961" s="25"/>
      <c r="G1961" s="22"/>
      <c r="H1961" s="25"/>
      <c r="I1961" s="22"/>
      <c r="J1961" s="25"/>
      <c r="K1961" s="22"/>
    </row>
    <row r="1962" ht="15.75" customHeight="1">
      <c r="A1962" s="25"/>
      <c r="B1962" s="22"/>
      <c r="C1962" s="25"/>
      <c r="D1962" s="22"/>
      <c r="F1962" s="25"/>
      <c r="G1962" s="22"/>
      <c r="H1962" s="25"/>
      <c r="I1962" s="22"/>
      <c r="J1962" s="25"/>
      <c r="K1962" s="22"/>
    </row>
    <row r="1963" ht="15.75" customHeight="1">
      <c r="A1963" s="25"/>
      <c r="B1963" s="22"/>
      <c r="C1963" s="25"/>
      <c r="D1963" s="22"/>
      <c r="F1963" s="25"/>
      <c r="G1963" s="22"/>
      <c r="H1963" s="25"/>
      <c r="I1963" s="22"/>
      <c r="J1963" s="25"/>
      <c r="K1963" s="22"/>
    </row>
    <row r="1964" ht="15.75" customHeight="1">
      <c r="A1964" s="25"/>
      <c r="B1964" s="22"/>
      <c r="C1964" s="25"/>
      <c r="D1964" s="22"/>
      <c r="F1964" s="25"/>
      <c r="G1964" s="22"/>
      <c r="H1964" s="25"/>
      <c r="I1964" s="22"/>
      <c r="J1964" s="25"/>
      <c r="K1964" s="22"/>
    </row>
    <row r="1965" ht="15.75" customHeight="1">
      <c r="A1965" s="25"/>
      <c r="B1965" s="22"/>
      <c r="C1965" s="25"/>
      <c r="D1965" s="22"/>
      <c r="F1965" s="25"/>
      <c r="G1965" s="22"/>
      <c r="H1965" s="25"/>
      <c r="I1965" s="22"/>
      <c r="J1965" s="25"/>
      <c r="K1965" s="22"/>
    </row>
    <row r="1966" ht="15.75" customHeight="1">
      <c r="A1966" s="25"/>
      <c r="B1966" s="22"/>
      <c r="C1966" s="25"/>
      <c r="D1966" s="22"/>
      <c r="F1966" s="25"/>
      <c r="G1966" s="22"/>
      <c r="H1966" s="25"/>
      <c r="I1966" s="22"/>
      <c r="J1966" s="25"/>
      <c r="K1966" s="22"/>
    </row>
    <row r="1967" ht="15.75" customHeight="1">
      <c r="A1967" s="25"/>
      <c r="B1967" s="22"/>
      <c r="C1967" s="25"/>
      <c r="D1967" s="22"/>
      <c r="F1967" s="25"/>
      <c r="G1967" s="22"/>
      <c r="H1967" s="25"/>
      <c r="I1967" s="22"/>
      <c r="J1967" s="25"/>
      <c r="K1967" s="22"/>
    </row>
    <row r="1968" ht="15.75" customHeight="1">
      <c r="A1968" s="25"/>
      <c r="B1968" s="22"/>
      <c r="C1968" s="25"/>
      <c r="D1968" s="22"/>
      <c r="F1968" s="25"/>
      <c r="G1968" s="22"/>
      <c r="H1968" s="25"/>
      <c r="I1968" s="22"/>
      <c r="J1968" s="25"/>
      <c r="K1968" s="22"/>
    </row>
    <row r="1969" ht="15.75" customHeight="1">
      <c r="A1969" s="25"/>
      <c r="B1969" s="22"/>
      <c r="C1969" s="25"/>
      <c r="D1969" s="22"/>
      <c r="F1969" s="25"/>
      <c r="G1969" s="22"/>
      <c r="H1969" s="25"/>
      <c r="I1969" s="22"/>
      <c r="J1969" s="25"/>
      <c r="K1969" s="22"/>
    </row>
    <row r="1970" ht="15.75" customHeight="1">
      <c r="A1970" s="25"/>
      <c r="B1970" s="22"/>
      <c r="C1970" s="25"/>
      <c r="D1970" s="22"/>
      <c r="F1970" s="25"/>
      <c r="G1970" s="22"/>
      <c r="H1970" s="25"/>
      <c r="I1970" s="22"/>
      <c r="J1970" s="25"/>
      <c r="K1970" s="22"/>
    </row>
    <row r="1971" ht="15.75" customHeight="1">
      <c r="A1971" s="25"/>
      <c r="B1971" s="22"/>
      <c r="C1971" s="25"/>
      <c r="D1971" s="22"/>
      <c r="F1971" s="25"/>
      <c r="G1971" s="22"/>
      <c r="H1971" s="25"/>
      <c r="I1971" s="22"/>
      <c r="J1971" s="25"/>
      <c r="K1971" s="22"/>
    </row>
    <row r="1972" ht="15.75" customHeight="1">
      <c r="A1972" s="25"/>
      <c r="B1972" s="22"/>
      <c r="C1972" s="25"/>
      <c r="D1972" s="22"/>
      <c r="F1972" s="25"/>
      <c r="G1972" s="22"/>
      <c r="H1972" s="25"/>
      <c r="I1972" s="22"/>
      <c r="J1972" s="25"/>
      <c r="K1972" s="22"/>
    </row>
    <row r="1973" ht="15.75" customHeight="1">
      <c r="A1973" s="25"/>
      <c r="B1973" s="22"/>
      <c r="C1973" s="25"/>
      <c r="D1973" s="22"/>
      <c r="F1973" s="25"/>
      <c r="G1973" s="22"/>
      <c r="H1973" s="25"/>
      <c r="I1973" s="22"/>
      <c r="J1973" s="25"/>
      <c r="K1973" s="22"/>
    </row>
    <row r="1974" ht="15.75" customHeight="1">
      <c r="A1974" s="25"/>
      <c r="B1974" s="22"/>
      <c r="C1974" s="25"/>
      <c r="D1974" s="22"/>
      <c r="F1974" s="25"/>
      <c r="G1974" s="22"/>
      <c r="H1974" s="25"/>
      <c r="I1974" s="22"/>
      <c r="J1974" s="25"/>
      <c r="K1974" s="22"/>
    </row>
    <row r="1975" ht="15.75" customHeight="1">
      <c r="A1975" s="25"/>
      <c r="B1975" s="22"/>
      <c r="C1975" s="25"/>
      <c r="D1975" s="22"/>
      <c r="F1975" s="25"/>
      <c r="G1975" s="22"/>
      <c r="H1975" s="25"/>
      <c r="I1975" s="22"/>
      <c r="J1975" s="25"/>
      <c r="K1975" s="22"/>
    </row>
    <row r="1976" ht="15.75" customHeight="1">
      <c r="A1976" s="25"/>
      <c r="B1976" s="22"/>
      <c r="C1976" s="25"/>
      <c r="D1976" s="22"/>
      <c r="F1976" s="25"/>
      <c r="G1976" s="22"/>
      <c r="H1976" s="25"/>
      <c r="I1976" s="22"/>
      <c r="J1976" s="25"/>
      <c r="K1976" s="22"/>
    </row>
    <row r="1977" ht="15.75" customHeight="1">
      <c r="A1977" s="25"/>
      <c r="B1977" s="22"/>
      <c r="C1977" s="25"/>
      <c r="D1977" s="22"/>
      <c r="F1977" s="25"/>
      <c r="G1977" s="22"/>
      <c r="H1977" s="25"/>
      <c r="I1977" s="22"/>
      <c r="J1977" s="25"/>
      <c r="K1977" s="22"/>
    </row>
    <row r="1978" ht="15.75" customHeight="1">
      <c r="A1978" s="25"/>
      <c r="B1978" s="22"/>
      <c r="C1978" s="25"/>
      <c r="D1978" s="22"/>
      <c r="F1978" s="25"/>
      <c r="G1978" s="22"/>
      <c r="H1978" s="25"/>
      <c r="I1978" s="22"/>
      <c r="J1978" s="25"/>
      <c r="K1978" s="22"/>
    </row>
    <row r="1979" ht="15.75" customHeight="1">
      <c r="A1979" s="25"/>
      <c r="B1979" s="22"/>
      <c r="C1979" s="25"/>
      <c r="D1979" s="22"/>
      <c r="F1979" s="25"/>
      <c r="G1979" s="22"/>
      <c r="H1979" s="25"/>
      <c r="I1979" s="22"/>
      <c r="J1979" s="25"/>
      <c r="K1979" s="22"/>
    </row>
    <row r="1980" ht="15.75" customHeight="1">
      <c r="A1980" s="25"/>
      <c r="B1980" s="22"/>
      <c r="C1980" s="25"/>
      <c r="D1980" s="22"/>
      <c r="F1980" s="25"/>
      <c r="G1980" s="22"/>
      <c r="H1980" s="25"/>
      <c r="I1980" s="22"/>
      <c r="J1980" s="25"/>
      <c r="K1980" s="22"/>
    </row>
    <row r="1981" ht="15.75" customHeight="1">
      <c r="A1981" s="25"/>
      <c r="B1981" s="22"/>
      <c r="C1981" s="25"/>
      <c r="D1981" s="22"/>
      <c r="F1981" s="25"/>
      <c r="G1981" s="22"/>
      <c r="H1981" s="25"/>
      <c r="I1981" s="22"/>
      <c r="J1981" s="25"/>
      <c r="K1981" s="22"/>
    </row>
    <row r="1982" ht="15.75" customHeight="1">
      <c r="A1982" s="25"/>
      <c r="B1982" s="22"/>
      <c r="C1982" s="25"/>
      <c r="D1982" s="22"/>
      <c r="F1982" s="25"/>
      <c r="G1982" s="22"/>
      <c r="H1982" s="25"/>
      <c r="I1982" s="22"/>
      <c r="J1982" s="25"/>
      <c r="K1982" s="22"/>
    </row>
    <row r="1983" ht="15.75" customHeight="1">
      <c r="A1983" s="25"/>
      <c r="B1983" s="22"/>
      <c r="C1983" s="25"/>
      <c r="D1983" s="22"/>
      <c r="F1983" s="25"/>
      <c r="G1983" s="22"/>
      <c r="H1983" s="25"/>
      <c r="I1983" s="22"/>
      <c r="J1983" s="25"/>
      <c r="K1983" s="22"/>
    </row>
    <row r="1984" ht="15.75" customHeight="1">
      <c r="A1984" s="25"/>
      <c r="B1984" s="22"/>
      <c r="C1984" s="25"/>
      <c r="D1984" s="22"/>
      <c r="F1984" s="25"/>
      <c r="G1984" s="22"/>
      <c r="H1984" s="25"/>
      <c r="I1984" s="22"/>
      <c r="J1984" s="25"/>
      <c r="K1984" s="22"/>
    </row>
    <row r="1985" ht="15.75" customHeight="1">
      <c r="A1985" s="25"/>
      <c r="B1985" s="22"/>
      <c r="C1985" s="25"/>
      <c r="D1985" s="22"/>
      <c r="F1985" s="25"/>
      <c r="G1985" s="22"/>
      <c r="H1985" s="25"/>
      <c r="I1985" s="22"/>
      <c r="J1985" s="25"/>
      <c r="K1985" s="22"/>
    </row>
    <row r="1986" ht="15.75" customHeight="1">
      <c r="A1986" s="25"/>
      <c r="B1986" s="22"/>
      <c r="C1986" s="25"/>
      <c r="D1986" s="22"/>
      <c r="F1986" s="25"/>
      <c r="G1986" s="22"/>
      <c r="H1986" s="25"/>
      <c r="I1986" s="22"/>
      <c r="J1986" s="25"/>
      <c r="K1986" s="22"/>
    </row>
    <row r="1987" ht="15.75" customHeight="1">
      <c r="A1987" s="25"/>
      <c r="B1987" s="22"/>
      <c r="C1987" s="25"/>
      <c r="D1987" s="22"/>
      <c r="F1987" s="25"/>
      <c r="G1987" s="22"/>
      <c r="H1987" s="25"/>
      <c r="I1987" s="22"/>
      <c r="J1987" s="25"/>
      <c r="K1987" s="22"/>
    </row>
    <row r="1988" ht="15.75" customHeight="1">
      <c r="A1988" s="25"/>
      <c r="B1988" s="22"/>
      <c r="C1988" s="25"/>
      <c r="D1988" s="22"/>
      <c r="F1988" s="25"/>
      <c r="G1988" s="22"/>
      <c r="H1988" s="25"/>
      <c r="I1988" s="22"/>
      <c r="J1988" s="25"/>
      <c r="K1988" s="22"/>
    </row>
    <row r="1989" ht="15.75" customHeight="1">
      <c r="A1989" s="25"/>
      <c r="B1989" s="22"/>
      <c r="C1989" s="25"/>
      <c r="D1989" s="22"/>
      <c r="F1989" s="25"/>
      <c r="G1989" s="22"/>
      <c r="H1989" s="25"/>
      <c r="I1989" s="22"/>
      <c r="J1989" s="25"/>
      <c r="K1989" s="22"/>
    </row>
    <row r="1990" ht="15.75" customHeight="1">
      <c r="A1990" s="25"/>
      <c r="B1990" s="22"/>
      <c r="C1990" s="25"/>
      <c r="D1990" s="22"/>
      <c r="F1990" s="25"/>
      <c r="G1990" s="22"/>
      <c r="H1990" s="25"/>
      <c r="I1990" s="22"/>
      <c r="J1990" s="25"/>
      <c r="K1990" s="22"/>
    </row>
    <row r="1991" ht="15.75" customHeight="1">
      <c r="A1991" s="25"/>
      <c r="B1991" s="22"/>
      <c r="C1991" s="25"/>
      <c r="D1991" s="22"/>
      <c r="F1991" s="25"/>
      <c r="G1991" s="22"/>
      <c r="H1991" s="25"/>
      <c r="I1991" s="22"/>
      <c r="J1991" s="25"/>
      <c r="K1991" s="22"/>
    </row>
    <row r="1992" ht="15.75" customHeight="1">
      <c r="A1992" s="25"/>
      <c r="B1992" s="22"/>
      <c r="C1992" s="25"/>
      <c r="D1992" s="22"/>
      <c r="F1992" s="25"/>
      <c r="G1992" s="22"/>
      <c r="H1992" s="25"/>
      <c r="I1992" s="22"/>
      <c r="J1992" s="25"/>
      <c r="K1992" s="22"/>
    </row>
    <row r="1993" ht="15.75" customHeight="1">
      <c r="A1993" s="25"/>
      <c r="B1993" s="22"/>
      <c r="C1993" s="25"/>
      <c r="D1993" s="22"/>
      <c r="F1993" s="25"/>
      <c r="G1993" s="22"/>
      <c r="H1993" s="25"/>
      <c r="I1993" s="22"/>
      <c r="J1993" s="25"/>
      <c r="K1993" s="22"/>
    </row>
    <row r="1994" ht="15.75" customHeight="1">
      <c r="A1994" s="25"/>
      <c r="B1994" s="22"/>
      <c r="C1994" s="25"/>
      <c r="D1994" s="22"/>
      <c r="F1994" s="25"/>
      <c r="G1994" s="22"/>
      <c r="H1994" s="25"/>
      <c r="I1994" s="22"/>
      <c r="J1994" s="25"/>
      <c r="K1994" s="22"/>
    </row>
    <row r="1995" ht="15.75" customHeight="1">
      <c r="A1995" s="25"/>
      <c r="B1995" s="22"/>
      <c r="C1995" s="25"/>
      <c r="D1995" s="22"/>
      <c r="F1995" s="25"/>
      <c r="G1995" s="22"/>
      <c r="H1995" s="25"/>
      <c r="I1995" s="22"/>
      <c r="J1995" s="25"/>
      <c r="K1995" s="22"/>
    </row>
    <row r="1996" ht="15.75" customHeight="1">
      <c r="A1996" s="25"/>
      <c r="B1996" s="22"/>
      <c r="C1996" s="25"/>
      <c r="D1996" s="22"/>
      <c r="F1996" s="25"/>
      <c r="G1996" s="22"/>
      <c r="H1996" s="25"/>
      <c r="I1996" s="22"/>
      <c r="J1996" s="25"/>
      <c r="K1996" s="22"/>
    </row>
    <row r="1997" ht="15.75" customHeight="1">
      <c r="A1997" s="25"/>
      <c r="B1997" s="22"/>
      <c r="C1997" s="25"/>
      <c r="D1997" s="22"/>
      <c r="F1997" s="25"/>
      <c r="G1997" s="22"/>
      <c r="H1997" s="25"/>
      <c r="I1997" s="22"/>
      <c r="J1997" s="25"/>
      <c r="K1997" s="22"/>
    </row>
    <row r="1998" ht="15.75" customHeight="1">
      <c r="A1998" s="25"/>
      <c r="B1998" s="22"/>
      <c r="C1998" s="25"/>
      <c r="D1998" s="22"/>
      <c r="F1998" s="25"/>
      <c r="G1998" s="22"/>
      <c r="H1998" s="25"/>
      <c r="I1998" s="22"/>
      <c r="J1998" s="25"/>
      <c r="K1998" s="22"/>
    </row>
    <row r="1999" ht="15.75" customHeight="1">
      <c r="A1999" s="25"/>
      <c r="B1999" s="22"/>
      <c r="C1999" s="25"/>
      <c r="D1999" s="22"/>
      <c r="F1999" s="25"/>
      <c r="G1999" s="22"/>
      <c r="H1999" s="25"/>
      <c r="I1999" s="22"/>
      <c r="J1999" s="25"/>
      <c r="K1999" s="22"/>
    </row>
    <row r="2000" ht="15.75" customHeight="1">
      <c r="A2000" s="25"/>
      <c r="B2000" s="22"/>
      <c r="C2000" s="25"/>
      <c r="D2000" s="22"/>
      <c r="F2000" s="25"/>
      <c r="G2000" s="22"/>
      <c r="H2000" s="25"/>
      <c r="I2000" s="22"/>
      <c r="J2000" s="25"/>
      <c r="K2000" s="22"/>
    </row>
    <row r="2001" ht="15.75" customHeight="1">
      <c r="A2001" s="25"/>
      <c r="B2001" s="22"/>
      <c r="C2001" s="25"/>
      <c r="D2001" s="22"/>
      <c r="F2001" s="25"/>
      <c r="G2001" s="22"/>
      <c r="H2001" s="25"/>
      <c r="I2001" s="22"/>
      <c r="J2001" s="25"/>
      <c r="K2001" s="22"/>
    </row>
    <row r="2002" ht="15.75" customHeight="1">
      <c r="A2002" s="25"/>
      <c r="B2002" s="22"/>
      <c r="C2002" s="25"/>
      <c r="D2002" s="22"/>
      <c r="F2002" s="25"/>
      <c r="G2002" s="22"/>
      <c r="H2002" s="25"/>
      <c r="I2002" s="22"/>
      <c r="J2002" s="25"/>
      <c r="K2002" s="22"/>
    </row>
    <row r="2003" ht="15.75" customHeight="1">
      <c r="A2003" s="25"/>
      <c r="B2003" s="22"/>
      <c r="C2003" s="25"/>
      <c r="D2003" s="22"/>
      <c r="F2003" s="25"/>
      <c r="G2003" s="22"/>
      <c r="H2003" s="25"/>
      <c r="I2003" s="22"/>
      <c r="J2003" s="25"/>
      <c r="K2003" s="22"/>
    </row>
    <row r="2004" ht="15.75" customHeight="1">
      <c r="A2004" s="25"/>
      <c r="B2004" s="22"/>
      <c r="C2004" s="25"/>
      <c r="D2004" s="22"/>
      <c r="F2004" s="25"/>
      <c r="G2004" s="22"/>
      <c r="H2004" s="25"/>
      <c r="I2004" s="22"/>
      <c r="J2004" s="25"/>
      <c r="K2004" s="22"/>
    </row>
    <row r="2005" ht="15.75" customHeight="1">
      <c r="A2005" s="25"/>
      <c r="B2005" s="22"/>
      <c r="C2005" s="25"/>
      <c r="D2005" s="22"/>
      <c r="F2005" s="25"/>
      <c r="G2005" s="22"/>
      <c r="H2005" s="25"/>
      <c r="I2005" s="22"/>
      <c r="J2005" s="25"/>
      <c r="K2005" s="22"/>
    </row>
    <row r="2006" ht="15.75" customHeight="1">
      <c r="A2006" s="25"/>
      <c r="B2006" s="22"/>
      <c r="C2006" s="25"/>
      <c r="D2006" s="22"/>
      <c r="F2006" s="25"/>
      <c r="G2006" s="22"/>
      <c r="H2006" s="25"/>
      <c r="I2006" s="22"/>
      <c r="J2006" s="25"/>
      <c r="K2006" s="22"/>
    </row>
    <row r="2007" ht="15.75" customHeight="1">
      <c r="A2007" s="25"/>
      <c r="B2007" s="22"/>
      <c r="C2007" s="25"/>
      <c r="D2007" s="22"/>
      <c r="F2007" s="25"/>
      <c r="G2007" s="22"/>
      <c r="H2007" s="25"/>
      <c r="I2007" s="22"/>
      <c r="J2007" s="25"/>
      <c r="K2007" s="22"/>
    </row>
    <row r="2008" ht="15.75" customHeight="1">
      <c r="A2008" s="25"/>
      <c r="B2008" s="22"/>
      <c r="C2008" s="25"/>
      <c r="D2008" s="22"/>
      <c r="F2008" s="25"/>
      <c r="G2008" s="22"/>
      <c r="H2008" s="25"/>
      <c r="I2008" s="22"/>
      <c r="J2008" s="25"/>
      <c r="K2008" s="22"/>
    </row>
    <row r="2009" ht="15.75" customHeight="1">
      <c r="A2009" s="25"/>
      <c r="B2009" s="22"/>
      <c r="C2009" s="25"/>
      <c r="D2009" s="22"/>
      <c r="F2009" s="25"/>
      <c r="G2009" s="22"/>
      <c r="H2009" s="25"/>
      <c r="I2009" s="22"/>
      <c r="J2009" s="25"/>
      <c r="K2009" s="22"/>
    </row>
    <row r="2010" ht="15.75" customHeight="1">
      <c r="A2010" s="25"/>
      <c r="B2010" s="22"/>
      <c r="C2010" s="25"/>
      <c r="D2010" s="22"/>
      <c r="F2010" s="25"/>
      <c r="G2010" s="22"/>
      <c r="H2010" s="25"/>
      <c r="I2010" s="22"/>
      <c r="J2010" s="25"/>
      <c r="K2010" s="22"/>
    </row>
    <row r="2011" ht="15.75" customHeight="1">
      <c r="A2011" s="25"/>
      <c r="B2011" s="22"/>
      <c r="C2011" s="25"/>
      <c r="D2011" s="22"/>
      <c r="F2011" s="25"/>
      <c r="G2011" s="22"/>
      <c r="H2011" s="25"/>
      <c r="I2011" s="22"/>
      <c r="J2011" s="25"/>
      <c r="K2011" s="22"/>
    </row>
    <row r="2012" ht="15.75" customHeight="1">
      <c r="A2012" s="25"/>
      <c r="B2012" s="22"/>
      <c r="C2012" s="25"/>
      <c r="D2012" s="22"/>
      <c r="F2012" s="25"/>
      <c r="G2012" s="22"/>
      <c r="H2012" s="25"/>
      <c r="I2012" s="22"/>
      <c r="J2012" s="25"/>
      <c r="K2012" s="22"/>
    </row>
    <row r="2013" ht="15.75" customHeight="1">
      <c r="A2013" s="25"/>
      <c r="B2013" s="22"/>
      <c r="C2013" s="25"/>
      <c r="D2013" s="22"/>
      <c r="F2013" s="25"/>
      <c r="G2013" s="22"/>
      <c r="H2013" s="25"/>
      <c r="I2013" s="22"/>
      <c r="J2013" s="25"/>
      <c r="K2013" s="22"/>
    </row>
    <row r="2014" ht="15.75" customHeight="1">
      <c r="A2014" s="25"/>
      <c r="B2014" s="22"/>
      <c r="C2014" s="25"/>
      <c r="D2014" s="22"/>
      <c r="F2014" s="25"/>
      <c r="G2014" s="22"/>
      <c r="H2014" s="25"/>
      <c r="I2014" s="22"/>
      <c r="J2014" s="25"/>
      <c r="K2014" s="22"/>
    </row>
    <row r="2015" ht="15.75" customHeight="1">
      <c r="A2015" s="25"/>
      <c r="B2015" s="22"/>
      <c r="C2015" s="25"/>
      <c r="D2015" s="22"/>
      <c r="F2015" s="25"/>
      <c r="G2015" s="22"/>
      <c r="H2015" s="25"/>
      <c r="I2015" s="22"/>
      <c r="J2015" s="25"/>
      <c r="K2015" s="22"/>
    </row>
    <row r="2016" ht="15.75" customHeight="1">
      <c r="A2016" s="25"/>
      <c r="B2016" s="22"/>
      <c r="C2016" s="25"/>
      <c r="D2016" s="22"/>
      <c r="F2016" s="25"/>
      <c r="G2016" s="22"/>
      <c r="H2016" s="25"/>
      <c r="I2016" s="22"/>
      <c r="J2016" s="25"/>
      <c r="K2016" s="22"/>
    </row>
    <row r="2017" ht="15.75" customHeight="1">
      <c r="A2017" s="25"/>
      <c r="B2017" s="22"/>
      <c r="C2017" s="25"/>
      <c r="D2017" s="22"/>
      <c r="F2017" s="25"/>
      <c r="G2017" s="22"/>
      <c r="H2017" s="25"/>
      <c r="I2017" s="22"/>
      <c r="J2017" s="25"/>
      <c r="K2017" s="22"/>
    </row>
    <row r="2018" ht="15.75" customHeight="1">
      <c r="A2018" s="25"/>
      <c r="B2018" s="22"/>
      <c r="C2018" s="25"/>
      <c r="D2018" s="22"/>
      <c r="F2018" s="25"/>
      <c r="G2018" s="22"/>
      <c r="H2018" s="25"/>
      <c r="I2018" s="22"/>
      <c r="J2018" s="25"/>
      <c r="K2018" s="22"/>
    </row>
    <row r="2019" ht="15.75" customHeight="1">
      <c r="A2019" s="25"/>
      <c r="B2019" s="22"/>
      <c r="C2019" s="25"/>
      <c r="D2019" s="22"/>
      <c r="F2019" s="25"/>
      <c r="G2019" s="22"/>
      <c r="H2019" s="25"/>
      <c r="I2019" s="22"/>
      <c r="J2019" s="25"/>
      <c r="K2019" s="22"/>
    </row>
    <row r="2020" ht="15.75" customHeight="1">
      <c r="A2020" s="25"/>
      <c r="B2020" s="22"/>
      <c r="C2020" s="25"/>
      <c r="D2020" s="22"/>
      <c r="F2020" s="25"/>
      <c r="G2020" s="22"/>
      <c r="H2020" s="25"/>
      <c r="I2020" s="22"/>
      <c r="J2020" s="25"/>
      <c r="K2020" s="22"/>
    </row>
    <row r="2021" ht="15.75" customHeight="1">
      <c r="A2021" s="25"/>
      <c r="B2021" s="22"/>
      <c r="C2021" s="25"/>
      <c r="D2021" s="22"/>
      <c r="F2021" s="25"/>
      <c r="G2021" s="22"/>
      <c r="H2021" s="25"/>
      <c r="I2021" s="22"/>
      <c r="J2021" s="25"/>
      <c r="K2021" s="22"/>
    </row>
    <row r="2022" ht="15.75" customHeight="1">
      <c r="A2022" s="25"/>
      <c r="B2022" s="22"/>
      <c r="C2022" s="25"/>
      <c r="D2022" s="22"/>
      <c r="F2022" s="25"/>
      <c r="G2022" s="22"/>
      <c r="H2022" s="25"/>
      <c r="I2022" s="22"/>
      <c r="J2022" s="25"/>
      <c r="K2022" s="22"/>
    </row>
    <row r="2023" ht="15.75" customHeight="1">
      <c r="A2023" s="25"/>
      <c r="B2023" s="22"/>
      <c r="C2023" s="25"/>
      <c r="D2023" s="22"/>
      <c r="F2023" s="25"/>
      <c r="G2023" s="22"/>
      <c r="H2023" s="25"/>
      <c r="I2023" s="22"/>
      <c r="J2023" s="25"/>
      <c r="K2023" s="22"/>
    </row>
    <row r="2024" ht="15.75" customHeight="1">
      <c r="A2024" s="25"/>
      <c r="B2024" s="22"/>
      <c r="C2024" s="25"/>
      <c r="D2024" s="22"/>
      <c r="F2024" s="25"/>
      <c r="G2024" s="22"/>
      <c r="H2024" s="25"/>
      <c r="I2024" s="22"/>
      <c r="J2024" s="25"/>
      <c r="K2024" s="22"/>
    </row>
    <row r="2025" ht="15.75" customHeight="1">
      <c r="A2025" s="25"/>
      <c r="B2025" s="22"/>
      <c r="C2025" s="25"/>
      <c r="D2025" s="22"/>
      <c r="F2025" s="25"/>
      <c r="G2025" s="22"/>
      <c r="H2025" s="25"/>
      <c r="I2025" s="22"/>
      <c r="J2025" s="25"/>
      <c r="K2025" s="22"/>
    </row>
    <row r="2026" ht="15.75" customHeight="1">
      <c r="A2026" s="25"/>
      <c r="B2026" s="22"/>
      <c r="C2026" s="25"/>
      <c r="D2026" s="22"/>
      <c r="F2026" s="25"/>
      <c r="G2026" s="22"/>
      <c r="H2026" s="25"/>
      <c r="I2026" s="22"/>
      <c r="J2026" s="25"/>
      <c r="K2026" s="22"/>
    </row>
    <row r="2027" ht="15.75" customHeight="1">
      <c r="A2027" s="25"/>
      <c r="B2027" s="22"/>
      <c r="C2027" s="25"/>
      <c r="D2027" s="22"/>
      <c r="F2027" s="25"/>
      <c r="G2027" s="22"/>
      <c r="H2027" s="25"/>
      <c r="I2027" s="22"/>
      <c r="J2027" s="25"/>
      <c r="K2027" s="22"/>
    </row>
    <row r="2028" ht="15.75" customHeight="1">
      <c r="A2028" s="25"/>
      <c r="B2028" s="22"/>
      <c r="C2028" s="25"/>
      <c r="D2028" s="22"/>
      <c r="F2028" s="25"/>
      <c r="G2028" s="22"/>
      <c r="H2028" s="25"/>
      <c r="I2028" s="22"/>
      <c r="J2028" s="25"/>
      <c r="K2028" s="22"/>
    </row>
    <row r="2029" ht="15.75" customHeight="1">
      <c r="A2029" s="25"/>
      <c r="B2029" s="22"/>
      <c r="C2029" s="25"/>
      <c r="D2029" s="22"/>
      <c r="F2029" s="25"/>
      <c r="G2029" s="22"/>
      <c r="H2029" s="25"/>
      <c r="I2029" s="22"/>
      <c r="J2029" s="25"/>
      <c r="K2029" s="22"/>
    </row>
    <row r="2030" ht="15.75" customHeight="1">
      <c r="A2030" s="25"/>
      <c r="B2030" s="22"/>
      <c r="C2030" s="25"/>
      <c r="D2030" s="22"/>
      <c r="F2030" s="25"/>
      <c r="G2030" s="22"/>
      <c r="H2030" s="25"/>
      <c r="I2030" s="22"/>
      <c r="J2030" s="25"/>
      <c r="K2030" s="22"/>
    </row>
    <row r="2031" ht="15.75" customHeight="1">
      <c r="A2031" s="25"/>
      <c r="B2031" s="22"/>
      <c r="C2031" s="25"/>
      <c r="D2031" s="22"/>
      <c r="F2031" s="25"/>
      <c r="G2031" s="22"/>
      <c r="H2031" s="25"/>
      <c r="I2031" s="22"/>
      <c r="J2031" s="25"/>
      <c r="K2031" s="22"/>
    </row>
    <row r="2032" ht="15.75" customHeight="1">
      <c r="A2032" s="25"/>
      <c r="B2032" s="22"/>
      <c r="C2032" s="25"/>
      <c r="D2032" s="22"/>
      <c r="F2032" s="25"/>
      <c r="G2032" s="22"/>
      <c r="H2032" s="25"/>
      <c r="I2032" s="22"/>
      <c r="J2032" s="25"/>
      <c r="K2032" s="22"/>
    </row>
    <row r="2033" ht="15.75" customHeight="1">
      <c r="A2033" s="25"/>
      <c r="B2033" s="22"/>
      <c r="C2033" s="25"/>
      <c r="D2033" s="22"/>
      <c r="F2033" s="25"/>
      <c r="G2033" s="22"/>
      <c r="H2033" s="25"/>
      <c r="I2033" s="22"/>
      <c r="J2033" s="25"/>
      <c r="K2033" s="22"/>
    </row>
    <row r="2034" ht="15.75" customHeight="1">
      <c r="A2034" s="25"/>
      <c r="B2034" s="22"/>
      <c r="C2034" s="25"/>
      <c r="D2034" s="22"/>
      <c r="F2034" s="25"/>
      <c r="G2034" s="22"/>
      <c r="H2034" s="25"/>
      <c r="I2034" s="22"/>
      <c r="J2034" s="25"/>
      <c r="K2034" s="22"/>
    </row>
    <row r="2035" ht="15.75" customHeight="1">
      <c r="A2035" s="25"/>
      <c r="B2035" s="22"/>
      <c r="C2035" s="25"/>
      <c r="D2035" s="22"/>
      <c r="F2035" s="25"/>
      <c r="G2035" s="22"/>
      <c r="H2035" s="25"/>
      <c r="I2035" s="22"/>
      <c r="J2035" s="25"/>
      <c r="K2035" s="22"/>
    </row>
    <row r="2036" ht="15.75" customHeight="1">
      <c r="A2036" s="25"/>
      <c r="B2036" s="22"/>
      <c r="C2036" s="25"/>
      <c r="D2036" s="22"/>
      <c r="F2036" s="25"/>
      <c r="G2036" s="22"/>
      <c r="H2036" s="25"/>
      <c r="I2036" s="22"/>
      <c r="J2036" s="25"/>
      <c r="K2036" s="22"/>
    </row>
    <row r="2037" ht="15.75" customHeight="1">
      <c r="A2037" s="25"/>
      <c r="B2037" s="22"/>
      <c r="C2037" s="25"/>
      <c r="D2037" s="22"/>
      <c r="F2037" s="25"/>
      <c r="G2037" s="22"/>
      <c r="H2037" s="25"/>
      <c r="I2037" s="22"/>
      <c r="J2037" s="25"/>
      <c r="K2037" s="22"/>
    </row>
    <row r="2038" ht="15.75" customHeight="1">
      <c r="A2038" s="25"/>
      <c r="B2038" s="22"/>
      <c r="C2038" s="25"/>
      <c r="D2038" s="22"/>
      <c r="F2038" s="25"/>
      <c r="G2038" s="22"/>
      <c r="H2038" s="25"/>
      <c r="I2038" s="22"/>
      <c r="J2038" s="25"/>
      <c r="K2038" s="22"/>
    </row>
    <row r="2039" ht="15.75" customHeight="1">
      <c r="A2039" s="25"/>
      <c r="B2039" s="22"/>
      <c r="C2039" s="25"/>
      <c r="D2039" s="22"/>
      <c r="F2039" s="25"/>
      <c r="G2039" s="22"/>
      <c r="H2039" s="25"/>
      <c r="I2039" s="22"/>
      <c r="J2039" s="25"/>
      <c r="K2039" s="22"/>
    </row>
    <row r="2040" ht="15.75" customHeight="1">
      <c r="A2040" s="25"/>
      <c r="B2040" s="22"/>
      <c r="C2040" s="25"/>
      <c r="D2040" s="22"/>
      <c r="F2040" s="25"/>
      <c r="G2040" s="22"/>
      <c r="H2040" s="25"/>
      <c r="I2040" s="22"/>
      <c r="J2040" s="25"/>
      <c r="K2040" s="22"/>
    </row>
    <row r="2041" ht="15.75" customHeight="1">
      <c r="A2041" s="25"/>
      <c r="B2041" s="22"/>
      <c r="C2041" s="25"/>
      <c r="D2041" s="22"/>
      <c r="F2041" s="25"/>
      <c r="G2041" s="22"/>
      <c r="H2041" s="25"/>
      <c r="I2041" s="22"/>
      <c r="J2041" s="25"/>
      <c r="K2041" s="22"/>
    </row>
    <row r="2042" ht="15.75" customHeight="1">
      <c r="A2042" s="25"/>
      <c r="B2042" s="22"/>
      <c r="C2042" s="25"/>
      <c r="D2042" s="22"/>
      <c r="F2042" s="25"/>
      <c r="G2042" s="22"/>
      <c r="H2042" s="25"/>
      <c r="I2042" s="22"/>
      <c r="J2042" s="25"/>
      <c r="K2042" s="22"/>
    </row>
    <row r="2043" ht="15.75" customHeight="1">
      <c r="A2043" s="25"/>
      <c r="B2043" s="22"/>
      <c r="C2043" s="25"/>
      <c r="D2043" s="22"/>
      <c r="F2043" s="25"/>
      <c r="G2043" s="22"/>
      <c r="H2043" s="25"/>
      <c r="I2043" s="22"/>
      <c r="J2043" s="25"/>
      <c r="K2043" s="22"/>
    </row>
    <row r="2044" ht="15.75" customHeight="1">
      <c r="A2044" s="25"/>
      <c r="B2044" s="22"/>
      <c r="C2044" s="25"/>
      <c r="D2044" s="22"/>
      <c r="F2044" s="25"/>
      <c r="G2044" s="22"/>
      <c r="H2044" s="25"/>
      <c r="I2044" s="22"/>
      <c r="J2044" s="25"/>
      <c r="K2044" s="22"/>
    </row>
    <row r="2045" ht="15.75" customHeight="1">
      <c r="A2045" s="25"/>
      <c r="B2045" s="22"/>
      <c r="C2045" s="25"/>
      <c r="D2045" s="22"/>
      <c r="F2045" s="25"/>
      <c r="G2045" s="22"/>
      <c r="H2045" s="25"/>
      <c r="I2045" s="22"/>
      <c r="J2045" s="25"/>
      <c r="K2045" s="22"/>
    </row>
    <row r="2046" ht="15.75" customHeight="1">
      <c r="A2046" s="25"/>
      <c r="B2046" s="22"/>
      <c r="C2046" s="25"/>
      <c r="D2046" s="22"/>
      <c r="F2046" s="25"/>
      <c r="G2046" s="22"/>
      <c r="H2046" s="25"/>
      <c r="I2046" s="22"/>
      <c r="J2046" s="25"/>
      <c r="K2046" s="22"/>
    </row>
    <row r="2047" ht="15.75" customHeight="1">
      <c r="A2047" s="25"/>
      <c r="B2047" s="22"/>
      <c r="C2047" s="25"/>
      <c r="D2047" s="22"/>
      <c r="F2047" s="25"/>
      <c r="G2047" s="22"/>
      <c r="H2047" s="25"/>
      <c r="I2047" s="22"/>
      <c r="J2047" s="25"/>
      <c r="K2047" s="22"/>
    </row>
    <row r="2048" ht="15.75" customHeight="1">
      <c r="A2048" s="25"/>
      <c r="B2048" s="22"/>
      <c r="C2048" s="25"/>
      <c r="D2048" s="22"/>
      <c r="F2048" s="25"/>
      <c r="G2048" s="22"/>
      <c r="H2048" s="25"/>
      <c r="I2048" s="22"/>
      <c r="J2048" s="25"/>
      <c r="K2048" s="22"/>
    </row>
    <row r="2049" ht="15.75" customHeight="1">
      <c r="A2049" s="25"/>
      <c r="B2049" s="22"/>
      <c r="C2049" s="25"/>
      <c r="D2049" s="22"/>
      <c r="F2049" s="25"/>
      <c r="G2049" s="22"/>
      <c r="H2049" s="25"/>
      <c r="I2049" s="22"/>
      <c r="J2049" s="25"/>
      <c r="K2049" s="22"/>
    </row>
    <row r="2050" ht="15.75" customHeight="1">
      <c r="A2050" s="25"/>
      <c r="B2050" s="22"/>
      <c r="C2050" s="25"/>
      <c r="D2050" s="22"/>
      <c r="F2050" s="25"/>
      <c r="G2050" s="22"/>
      <c r="H2050" s="25"/>
      <c r="I2050" s="22"/>
      <c r="J2050" s="25"/>
      <c r="K2050" s="22"/>
    </row>
    <row r="2051" ht="15.75" customHeight="1">
      <c r="A2051" s="25"/>
      <c r="B2051" s="22"/>
      <c r="C2051" s="25"/>
      <c r="D2051" s="22"/>
      <c r="F2051" s="25"/>
      <c r="G2051" s="22"/>
      <c r="H2051" s="25"/>
      <c r="I2051" s="22"/>
      <c r="J2051" s="25"/>
      <c r="K2051" s="22"/>
    </row>
    <row r="2052" ht="15.75" customHeight="1">
      <c r="A2052" s="25"/>
      <c r="B2052" s="22"/>
      <c r="C2052" s="25"/>
      <c r="D2052" s="22"/>
      <c r="F2052" s="25"/>
      <c r="G2052" s="22"/>
      <c r="H2052" s="25"/>
      <c r="I2052" s="22"/>
      <c r="J2052" s="25"/>
      <c r="K2052" s="22"/>
    </row>
    <row r="2053" ht="15.75" customHeight="1">
      <c r="A2053" s="25"/>
      <c r="B2053" s="22"/>
      <c r="C2053" s="25"/>
      <c r="D2053" s="22"/>
      <c r="F2053" s="25"/>
      <c r="G2053" s="22"/>
      <c r="H2053" s="25"/>
      <c r="I2053" s="22"/>
      <c r="J2053" s="25"/>
      <c r="K2053" s="22"/>
    </row>
    <row r="2054" ht="15.75" customHeight="1">
      <c r="A2054" s="25"/>
      <c r="B2054" s="22"/>
      <c r="C2054" s="25"/>
      <c r="D2054" s="22"/>
      <c r="F2054" s="25"/>
      <c r="G2054" s="22"/>
      <c r="H2054" s="25"/>
      <c r="I2054" s="22"/>
      <c r="J2054" s="25"/>
      <c r="K2054" s="22"/>
    </row>
    <row r="2055" ht="15.75" customHeight="1">
      <c r="A2055" s="25"/>
      <c r="B2055" s="22"/>
      <c r="C2055" s="25"/>
      <c r="D2055" s="22"/>
      <c r="F2055" s="25"/>
      <c r="G2055" s="22"/>
      <c r="H2055" s="25"/>
      <c r="I2055" s="22"/>
      <c r="J2055" s="25"/>
      <c r="K2055" s="22"/>
    </row>
    <row r="2056" ht="15.75" customHeight="1">
      <c r="A2056" s="25"/>
      <c r="B2056" s="22"/>
      <c r="C2056" s="25"/>
      <c r="D2056" s="22"/>
      <c r="F2056" s="25"/>
      <c r="G2056" s="22"/>
      <c r="H2056" s="25"/>
      <c r="I2056" s="22"/>
      <c r="J2056" s="25"/>
      <c r="K2056" s="22"/>
    </row>
    <row r="2057" ht="15.75" customHeight="1">
      <c r="A2057" s="25"/>
      <c r="B2057" s="22"/>
      <c r="C2057" s="25"/>
      <c r="D2057" s="22"/>
      <c r="F2057" s="25"/>
      <c r="G2057" s="22"/>
      <c r="H2057" s="25"/>
      <c r="I2057" s="22"/>
      <c r="J2057" s="25"/>
      <c r="K2057" s="22"/>
    </row>
    <row r="2058" ht="15.75" customHeight="1">
      <c r="A2058" s="25"/>
      <c r="B2058" s="22"/>
      <c r="C2058" s="25"/>
      <c r="D2058" s="22"/>
      <c r="F2058" s="25"/>
      <c r="G2058" s="22"/>
      <c r="H2058" s="25"/>
      <c r="I2058" s="22"/>
      <c r="J2058" s="25"/>
      <c r="K2058" s="22"/>
    </row>
    <row r="2059" ht="15.75" customHeight="1">
      <c r="A2059" s="25"/>
      <c r="B2059" s="22"/>
      <c r="C2059" s="25"/>
      <c r="D2059" s="22"/>
      <c r="F2059" s="25"/>
      <c r="G2059" s="22"/>
      <c r="H2059" s="25"/>
      <c r="I2059" s="22"/>
      <c r="J2059" s="25"/>
      <c r="K2059" s="22"/>
    </row>
    <row r="2060" ht="15.75" customHeight="1">
      <c r="A2060" s="25"/>
      <c r="B2060" s="22"/>
      <c r="C2060" s="25"/>
      <c r="D2060" s="22"/>
      <c r="F2060" s="25"/>
      <c r="G2060" s="22"/>
      <c r="H2060" s="25"/>
      <c r="I2060" s="22"/>
      <c r="J2060" s="25"/>
      <c r="K2060" s="22"/>
    </row>
    <row r="2061" ht="15.75" customHeight="1">
      <c r="A2061" s="25"/>
      <c r="B2061" s="22"/>
      <c r="C2061" s="25"/>
      <c r="D2061" s="22"/>
      <c r="F2061" s="25"/>
      <c r="G2061" s="22"/>
      <c r="H2061" s="25"/>
      <c r="I2061" s="22"/>
      <c r="J2061" s="25"/>
      <c r="K2061" s="22"/>
    </row>
    <row r="2062" ht="15.75" customHeight="1">
      <c r="A2062" s="25"/>
      <c r="B2062" s="22"/>
      <c r="C2062" s="25"/>
      <c r="D2062" s="22"/>
      <c r="F2062" s="25"/>
      <c r="G2062" s="22"/>
      <c r="H2062" s="25"/>
      <c r="I2062" s="22"/>
      <c r="J2062" s="25"/>
      <c r="K2062" s="22"/>
    </row>
    <row r="2063" ht="15.75" customHeight="1">
      <c r="A2063" s="25"/>
      <c r="B2063" s="22"/>
      <c r="C2063" s="25"/>
      <c r="D2063" s="22"/>
      <c r="F2063" s="25"/>
      <c r="G2063" s="22"/>
      <c r="H2063" s="25"/>
      <c r="I2063" s="22"/>
      <c r="J2063" s="25"/>
      <c r="K2063" s="22"/>
    </row>
    <row r="2064" ht="15.75" customHeight="1">
      <c r="A2064" s="25"/>
      <c r="B2064" s="22"/>
      <c r="C2064" s="25"/>
      <c r="D2064" s="22"/>
      <c r="F2064" s="25"/>
      <c r="G2064" s="22"/>
      <c r="H2064" s="25"/>
      <c r="I2064" s="22"/>
      <c r="J2064" s="25"/>
      <c r="K2064" s="22"/>
    </row>
    <row r="2065" ht="15.75" customHeight="1">
      <c r="A2065" s="25"/>
      <c r="B2065" s="22"/>
      <c r="C2065" s="25"/>
      <c r="D2065" s="22"/>
      <c r="F2065" s="25"/>
      <c r="G2065" s="22"/>
      <c r="H2065" s="25"/>
      <c r="I2065" s="22"/>
      <c r="J2065" s="25"/>
      <c r="K2065" s="22"/>
    </row>
    <row r="2066" ht="15.75" customHeight="1">
      <c r="A2066" s="25"/>
      <c r="B2066" s="22"/>
      <c r="C2066" s="25"/>
      <c r="D2066" s="22"/>
      <c r="F2066" s="25"/>
      <c r="G2066" s="22"/>
      <c r="H2066" s="25"/>
      <c r="I2066" s="22"/>
      <c r="J2066" s="25"/>
      <c r="K2066" s="22"/>
    </row>
    <row r="2067" ht="15.75" customHeight="1">
      <c r="A2067" s="25"/>
      <c r="B2067" s="22"/>
      <c r="C2067" s="25"/>
      <c r="D2067" s="22"/>
      <c r="F2067" s="25"/>
      <c r="G2067" s="22"/>
      <c r="H2067" s="25"/>
      <c r="I2067" s="22"/>
      <c r="J2067" s="25"/>
      <c r="K2067" s="22"/>
    </row>
    <row r="2068" ht="15.75" customHeight="1">
      <c r="A2068" s="25"/>
      <c r="B2068" s="22"/>
      <c r="C2068" s="25"/>
      <c r="D2068" s="22"/>
      <c r="F2068" s="25"/>
      <c r="G2068" s="22"/>
      <c r="H2068" s="25"/>
      <c r="I2068" s="22"/>
      <c r="J2068" s="25"/>
      <c r="K2068" s="22"/>
    </row>
    <row r="2069" ht="15.75" customHeight="1">
      <c r="A2069" s="25"/>
      <c r="B2069" s="22"/>
      <c r="C2069" s="25"/>
      <c r="D2069" s="22"/>
      <c r="F2069" s="25"/>
      <c r="G2069" s="22"/>
      <c r="H2069" s="25"/>
      <c r="I2069" s="22"/>
      <c r="J2069" s="25"/>
      <c r="K2069" s="22"/>
    </row>
    <row r="2070" ht="15.75" customHeight="1">
      <c r="A2070" s="25"/>
      <c r="B2070" s="22"/>
      <c r="C2070" s="25"/>
      <c r="D2070" s="22"/>
      <c r="F2070" s="25"/>
      <c r="G2070" s="22"/>
      <c r="H2070" s="25"/>
      <c r="I2070" s="22"/>
      <c r="J2070" s="25"/>
      <c r="K2070" s="22"/>
    </row>
    <row r="2071" ht="15.75" customHeight="1">
      <c r="A2071" s="25"/>
      <c r="B2071" s="22"/>
      <c r="C2071" s="25"/>
      <c r="D2071" s="22"/>
      <c r="F2071" s="25"/>
      <c r="G2071" s="22"/>
      <c r="H2071" s="25"/>
      <c r="I2071" s="22"/>
      <c r="J2071" s="25"/>
      <c r="K2071" s="22"/>
    </row>
    <row r="2072" ht="15.75" customHeight="1">
      <c r="A2072" s="25"/>
      <c r="B2072" s="22"/>
      <c r="C2072" s="25"/>
      <c r="D2072" s="22"/>
      <c r="F2072" s="25"/>
      <c r="G2072" s="22"/>
      <c r="H2072" s="25"/>
      <c r="I2072" s="22"/>
      <c r="J2072" s="25"/>
      <c r="K2072" s="22"/>
    </row>
    <row r="2073" ht="15.75" customHeight="1">
      <c r="A2073" s="25"/>
      <c r="B2073" s="22"/>
      <c r="C2073" s="25"/>
      <c r="D2073" s="22"/>
      <c r="F2073" s="25"/>
      <c r="G2073" s="22"/>
      <c r="H2073" s="25"/>
      <c r="I2073" s="22"/>
      <c r="J2073" s="25"/>
      <c r="K2073" s="22"/>
    </row>
    <row r="2074" ht="15.75" customHeight="1">
      <c r="A2074" s="25"/>
      <c r="B2074" s="22"/>
      <c r="C2074" s="25"/>
      <c r="D2074" s="22"/>
      <c r="F2074" s="25"/>
      <c r="G2074" s="22"/>
      <c r="H2074" s="25"/>
      <c r="I2074" s="22"/>
      <c r="J2074" s="25"/>
      <c r="K2074" s="22"/>
    </row>
    <row r="2075" ht="15.75" customHeight="1">
      <c r="A2075" s="25"/>
      <c r="B2075" s="22"/>
      <c r="C2075" s="25"/>
      <c r="D2075" s="22"/>
      <c r="F2075" s="25"/>
      <c r="G2075" s="22"/>
      <c r="H2075" s="25"/>
      <c r="I2075" s="22"/>
      <c r="J2075" s="25"/>
      <c r="K2075" s="22"/>
    </row>
    <row r="2076" ht="15.75" customHeight="1">
      <c r="A2076" s="25"/>
      <c r="B2076" s="22"/>
      <c r="C2076" s="25"/>
      <c r="D2076" s="22"/>
      <c r="F2076" s="25"/>
      <c r="G2076" s="22"/>
      <c r="H2076" s="25"/>
      <c r="I2076" s="22"/>
      <c r="J2076" s="25"/>
      <c r="K2076" s="22"/>
    </row>
    <row r="2077" ht="15.75" customHeight="1">
      <c r="A2077" s="25"/>
      <c r="B2077" s="22"/>
      <c r="C2077" s="25"/>
      <c r="D2077" s="22"/>
      <c r="F2077" s="25"/>
      <c r="G2077" s="22"/>
      <c r="H2077" s="25"/>
      <c r="I2077" s="22"/>
      <c r="J2077" s="25"/>
      <c r="K2077" s="22"/>
    </row>
    <row r="2078" ht="15.75" customHeight="1">
      <c r="A2078" s="25"/>
      <c r="B2078" s="22"/>
      <c r="C2078" s="25"/>
      <c r="D2078" s="22"/>
      <c r="F2078" s="25"/>
      <c r="G2078" s="22"/>
      <c r="H2078" s="25"/>
      <c r="I2078" s="22"/>
      <c r="J2078" s="25"/>
      <c r="K2078" s="22"/>
    </row>
    <row r="2079" ht="15.75" customHeight="1">
      <c r="A2079" s="25"/>
      <c r="B2079" s="22"/>
      <c r="C2079" s="25"/>
      <c r="D2079" s="22"/>
      <c r="F2079" s="25"/>
      <c r="G2079" s="22"/>
      <c r="H2079" s="25"/>
      <c r="I2079" s="22"/>
      <c r="J2079" s="25"/>
      <c r="K2079" s="22"/>
    </row>
    <row r="2080" ht="15.75" customHeight="1">
      <c r="A2080" s="25"/>
      <c r="B2080" s="22"/>
      <c r="C2080" s="25"/>
      <c r="D2080" s="22"/>
      <c r="F2080" s="25"/>
      <c r="G2080" s="22"/>
      <c r="H2080" s="25"/>
      <c r="I2080" s="22"/>
      <c r="J2080" s="25"/>
      <c r="K2080" s="22"/>
    </row>
    <row r="2081" ht="15.75" customHeight="1">
      <c r="A2081" s="25"/>
      <c r="B2081" s="22"/>
      <c r="C2081" s="25"/>
      <c r="D2081" s="22"/>
      <c r="F2081" s="25"/>
      <c r="G2081" s="22"/>
      <c r="H2081" s="25"/>
      <c r="I2081" s="22"/>
      <c r="J2081" s="25"/>
      <c r="K2081" s="22"/>
    </row>
    <row r="2082" ht="15.75" customHeight="1">
      <c r="A2082" s="25"/>
      <c r="B2082" s="22"/>
      <c r="C2082" s="25"/>
      <c r="D2082" s="22"/>
      <c r="F2082" s="25"/>
      <c r="G2082" s="22"/>
      <c r="H2082" s="25"/>
      <c r="I2082" s="22"/>
      <c r="J2082" s="25"/>
      <c r="K2082" s="22"/>
    </row>
    <row r="2083" ht="15.75" customHeight="1">
      <c r="A2083" s="25"/>
      <c r="B2083" s="22"/>
      <c r="C2083" s="25"/>
      <c r="D2083" s="22"/>
      <c r="F2083" s="25"/>
      <c r="G2083" s="22"/>
      <c r="H2083" s="25"/>
      <c r="I2083" s="22"/>
      <c r="J2083" s="25"/>
      <c r="K2083" s="22"/>
    </row>
    <row r="2084" ht="15.75" customHeight="1">
      <c r="A2084" s="25"/>
      <c r="B2084" s="22"/>
      <c r="C2084" s="25"/>
      <c r="D2084" s="22"/>
      <c r="F2084" s="25"/>
      <c r="G2084" s="22"/>
      <c r="H2084" s="25"/>
      <c r="I2084" s="22"/>
      <c r="J2084" s="25"/>
      <c r="K2084" s="22"/>
    </row>
    <row r="2085" ht="15.75" customHeight="1">
      <c r="A2085" s="25"/>
      <c r="B2085" s="22"/>
      <c r="C2085" s="25"/>
      <c r="D2085" s="22"/>
      <c r="F2085" s="25"/>
      <c r="G2085" s="22"/>
      <c r="H2085" s="25"/>
      <c r="I2085" s="22"/>
      <c r="J2085" s="25"/>
      <c r="K2085" s="22"/>
    </row>
    <row r="2086" ht="15.75" customHeight="1">
      <c r="A2086" s="25"/>
      <c r="B2086" s="22"/>
      <c r="C2086" s="25"/>
      <c r="D2086" s="22"/>
      <c r="F2086" s="25"/>
      <c r="G2086" s="22"/>
      <c r="H2086" s="25"/>
      <c r="I2086" s="22"/>
      <c r="J2086" s="25"/>
      <c r="K2086" s="22"/>
    </row>
    <row r="2087" ht="15.75" customHeight="1">
      <c r="A2087" s="25"/>
      <c r="B2087" s="22"/>
      <c r="C2087" s="25"/>
      <c r="D2087" s="22"/>
      <c r="F2087" s="25"/>
      <c r="G2087" s="22"/>
      <c r="H2087" s="25"/>
      <c r="I2087" s="22"/>
      <c r="J2087" s="25"/>
      <c r="K2087" s="22"/>
    </row>
    <row r="2088" ht="15.75" customHeight="1">
      <c r="A2088" s="25"/>
      <c r="B2088" s="22"/>
      <c r="C2088" s="25"/>
      <c r="D2088" s="22"/>
      <c r="F2088" s="25"/>
      <c r="G2088" s="22"/>
      <c r="H2088" s="25"/>
      <c r="I2088" s="22"/>
      <c r="J2088" s="25"/>
      <c r="K2088" s="22"/>
    </row>
    <row r="2089" ht="15.75" customHeight="1">
      <c r="A2089" s="25"/>
      <c r="B2089" s="22"/>
      <c r="C2089" s="25"/>
      <c r="D2089" s="22"/>
      <c r="F2089" s="25"/>
      <c r="G2089" s="22"/>
      <c r="H2089" s="25"/>
      <c r="I2089" s="22"/>
      <c r="J2089" s="25"/>
      <c r="K2089" s="22"/>
    </row>
    <row r="2090" ht="15.75" customHeight="1">
      <c r="A2090" s="25"/>
      <c r="B2090" s="22"/>
      <c r="C2090" s="25"/>
      <c r="D2090" s="22"/>
      <c r="F2090" s="25"/>
      <c r="G2090" s="22"/>
      <c r="H2090" s="25"/>
      <c r="I2090" s="22"/>
      <c r="J2090" s="25"/>
      <c r="K2090" s="22"/>
    </row>
    <row r="2091" ht="15.75" customHeight="1">
      <c r="A2091" s="25"/>
      <c r="B2091" s="22"/>
      <c r="C2091" s="25"/>
      <c r="D2091" s="22"/>
      <c r="F2091" s="25"/>
      <c r="G2091" s="22"/>
      <c r="H2091" s="25"/>
      <c r="I2091" s="22"/>
      <c r="J2091" s="25"/>
      <c r="K2091" s="22"/>
    </row>
    <row r="2092" ht="15.75" customHeight="1">
      <c r="A2092" s="25"/>
      <c r="B2092" s="22"/>
      <c r="C2092" s="25"/>
      <c r="D2092" s="22"/>
      <c r="F2092" s="25"/>
      <c r="G2092" s="22"/>
      <c r="H2092" s="25"/>
      <c r="I2092" s="22"/>
      <c r="J2092" s="25"/>
      <c r="K2092" s="22"/>
    </row>
    <row r="2093" ht="15.75" customHeight="1">
      <c r="A2093" s="25"/>
      <c r="B2093" s="22"/>
      <c r="C2093" s="25"/>
      <c r="D2093" s="22"/>
      <c r="F2093" s="25"/>
      <c r="G2093" s="22"/>
      <c r="H2093" s="25"/>
      <c r="I2093" s="22"/>
      <c r="J2093" s="25"/>
      <c r="K2093" s="22"/>
    </row>
    <row r="2094" ht="15.75" customHeight="1">
      <c r="A2094" s="25"/>
      <c r="B2094" s="22"/>
      <c r="C2094" s="25"/>
      <c r="D2094" s="22"/>
      <c r="F2094" s="25"/>
      <c r="G2094" s="22"/>
      <c r="H2094" s="25"/>
      <c r="I2094" s="22"/>
      <c r="J2094" s="25"/>
      <c r="K2094" s="22"/>
    </row>
    <row r="2095" ht="15.75" customHeight="1">
      <c r="A2095" s="25"/>
      <c r="B2095" s="22"/>
      <c r="C2095" s="25"/>
      <c r="D2095" s="22"/>
      <c r="F2095" s="25"/>
      <c r="G2095" s="22"/>
      <c r="H2095" s="25"/>
      <c r="I2095" s="22"/>
      <c r="J2095" s="25"/>
      <c r="K2095" s="22"/>
    </row>
    <row r="2096" ht="15.75" customHeight="1">
      <c r="A2096" s="25"/>
      <c r="B2096" s="22"/>
      <c r="C2096" s="25"/>
      <c r="D2096" s="22"/>
      <c r="F2096" s="25"/>
      <c r="G2096" s="22"/>
      <c r="H2096" s="25"/>
      <c r="I2096" s="22"/>
      <c r="J2096" s="25"/>
      <c r="K2096" s="22"/>
    </row>
    <row r="2097" ht="15.75" customHeight="1">
      <c r="A2097" s="25"/>
      <c r="B2097" s="22"/>
      <c r="C2097" s="25"/>
      <c r="D2097" s="22"/>
      <c r="F2097" s="25"/>
      <c r="G2097" s="22"/>
      <c r="H2097" s="25"/>
      <c r="I2097" s="22"/>
      <c r="J2097" s="25"/>
      <c r="K2097" s="22"/>
    </row>
    <row r="2098" ht="15.75" customHeight="1">
      <c r="A2098" s="25"/>
      <c r="B2098" s="22"/>
      <c r="C2098" s="25"/>
      <c r="D2098" s="22"/>
      <c r="F2098" s="25"/>
      <c r="G2098" s="22"/>
      <c r="H2098" s="25"/>
      <c r="I2098" s="22"/>
      <c r="J2098" s="25"/>
      <c r="K2098" s="22"/>
    </row>
    <row r="2099" ht="15.75" customHeight="1">
      <c r="A2099" s="25"/>
      <c r="B2099" s="22"/>
      <c r="C2099" s="25"/>
      <c r="D2099" s="22"/>
      <c r="F2099" s="25"/>
      <c r="G2099" s="22"/>
      <c r="H2099" s="25"/>
      <c r="I2099" s="22"/>
      <c r="J2099" s="25"/>
      <c r="K2099" s="22"/>
    </row>
    <row r="2100" ht="15.75" customHeight="1">
      <c r="A2100" s="25"/>
      <c r="B2100" s="22"/>
      <c r="C2100" s="25"/>
      <c r="D2100" s="22"/>
      <c r="F2100" s="25"/>
      <c r="G2100" s="22"/>
      <c r="H2100" s="25"/>
      <c r="I2100" s="22"/>
      <c r="J2100" s="25"/>
      <c r="K2100" s="22"/>
    </row>
    <row r="2101" ht="15.75" customHeight="1">
      <c r="A2101" s="25"/>
      <c r="B2101" s="22"/>
      <c r="C2101" s="25"/>
      <c r="D2101" s="22"/>
      <c r="F2101" s="25"/>
      <c r="G2101" s="22"/>
      <c r="H2101" s="25"/>
      <c r="I2101" s="22"/>
      <c r="J2101" s="25"/>
      <c r="K2101" s="22"/>
    </row>
    <row r="2102" ht="15.75" customHeight="1">
      <c r="A2102" s="25"/>
      <c r="B2102" s="22"/>
      <c r="C2102" s="25"/>
      <c r="D2102" s="22"/>
      <c r="F2102" s="25"/>
      <c r="G2102" s="22"/>
      <c r="H2102" s="25"/>
      <c r="I2102" s="22"/>
      <c r="J2102" s="25"/>
      <c r="K2102" s="22"/>
    </row>
    <row r="2103" ht="15.75" customHeight="1">
      <c r="A2103" s="25"/>
      <c r="B2103" s="22"/>
      <c r="C2103" s="25"/>
      <c r="D2103" s="22"/>
      <c r="F2103" s="25"/>
      <c r="G2103" s="22"/>
      <c r="H2103" s="25"/>
      <c r="I2103" s="22"/>
      <c r="J2103" s="25"/>
      <c r="K2103" s="22"/>
    </row>
    <row r="2104" ht="15.75" customHeight="1">
      <c r="A2104" s="25"/>
      <c r="B2104" s="22"/>
      <c r="C2104" s="25"/>
      <c r="D2104" s="22"/>
      <c r="F2104" s="25"/>
      <c r="G2104" s="22"/>
      <c r="H2104" s="25"/>
      <c r="I2104" s="22"/>
      <c r="J2104" s="25"/>
      <c r="K2104" s="22"/>
    </row>
    <row r="2105" ht="15.75" customHeight="1">
      <c r="A2105" s="25"/>
      <c r="B2105" s="22"/>
      <c r="C2105" s="25"/>
      <c r="D2105" s="22"/>
      <c r="F2105" s="25"/>
      <c r="G2105" s="22"/>
      <c r="H2105" s="25"/>
      <c r="I2105" s="22"/>
      <c r="J2105" s="25"/>
      <c r="K2105" s="22"/>
    </row>
    <row r="2106" ht="15.75" customHeight="1">
      <c r="A2106" s="25"/>
      <c r="B2106" s="22"/>
      <c r="C2106" s="25"/>
      <c r="D2106" s="22"/>
      <c r="F2106" s="25"/>
      <c r="G2106" s="22"/>
      <c r="H2106" s="25"/>
      <c r="I2106" s="22"/>
      <c r="J2106" s="25"/>
      <c r="K2106" s="22"/>
    </row>
    <row r="2107" ht="15.75" customHeight="1">
      <c r="A2107" s="25"/>
      <c r="B2107" s="22"/>
      <c r="C2107" s="25"/>
      <c r="D2107" s="22"/>
      <c r="F2107" s="25"/>
      <c r="G2107" s="22"/>
      <c r="H2107" s="25"/>
      <c r="I2107" s="22"/>
      <c r="J2107" s="25"/>
      <c r="K2107" s="22"/>
    </row>
    <row r="2108" ht="15.75" customHeight="1">
      <c r="A2108" s="25"/>
      <c r="B2108" s="22"/>
      <c r="C2108" s="25"/>
      <c r="D2108" s="22"/>
      <c r="F2108" s="25"/>
      <c r="G2108" s="22"/>
      <c r="H2108" s="25"/>
      <c r="I2108" s="22"/>
      <c r="J2108" s="25"/>
      <c r="K2108" s="22"/>
    </row>
    <row r="2109" ht="15.75" customHeight="1">
      <c r="A2109" s="25"/>
      <c r="B2109" s="22"/>
      <c r="C2109" s="25"/>
      <c r="D2109" s="22"/>
      <c r="F2109" s="25"/>
      <c r="G2109" s="22"/>
      <c r="H2109" s="25"/>
      <c r="I2109" s="22"/>
      <c r="J2109" s="25"/>
      <c r="K2109" s="22"/>
    </row>
    <row r="2110" ht="15.75" customHeight="1">
      <c r="A2110" s="25"/>
      <c r="B2110" s="22"/>
      <c r="C2110" s="25"/>
      <c r="D2110" s="22"/>
      <c r="F2110" s="25"/>
      <c r="G2110" s="22"/>
      <c r="H2110" s="25"/>
      <c r="I2110" s="22"/>
      <c r="J2110" s="25"/>
      <c r="K2110" s="22"/>
    </row>
    <row r="2111" ht="15.75" customHeight="1">
      <c r="A2111" s="25"/>
      <c r="B2111" s="22"/>
      <c r="C2111" s="25"/>
      <c r="D2111" s="22"/>
      <c r="F2111" s="25"/>
      <c r="G2111" s="22"/>
      <c r="H2111" s="25"/>
      <c r="I2111" s="22"/>
      <c r="J2111" s="25"/>
      <c r="K2111" s="22"/>
    </row>
    <row r="2112" ht="15.75" customHeight="1">
      <c r="A2112" s="25"/>
      <c r="B2112" s="22"/>
      <c r="C2112" s="25"/>
      <c r="D2112" s="22"/>
      <c r="F2112" s="25"/>
      <c r="G2112" s="22"/>
      <c r="H2112" s="25"/>
      <c r="I2112" s="22"/>
      <c r="J2112" s="25"/>
      <c r="K2112" s="22"/>
    </row>
    <row r="2113" ht="15.75" customHeight="1">
      <c r="A2113" s="25"/>
      <c r="B2113" s="22"/>
      <c r="C2113" s="25"/>
      <c r="D2113" s="22"/>
      <c r="F2113" s="25"/>
      <c r="G2113" s="22"/>
      <c r="H2113" s="25"/>
      <c r="I2113" s="22"/>
      <c r="J2113" s="25"/>
      <c r="K2113" s="22"/>
    </row>
    <row r="2114" ht="15.75" customHeight="1">
      <c r="A2114" s="25"/>
      <c r="B2114" s="22"/>
      <c r="C2114" s="25"/>
      <c r="D2114" s="22"/>
      <c r="F2114" s="25"/>
      <c r="G2114" s="22"/>
      <c r="H2114" s="25"/>
      <c r="I2114" s="22"/>
      <c r="J2114" s="25"/>
      <c r="K2114" s="22"/>
    </row>
    <row r="2115" ht="15.75" customHeight="1">
      <c r="A2115" s="25"/>
      <c r="B2115" s="22"/>
      <c r="C2115" s="25"/>
      <c r="D2115" s="22"/>
      <c r="F2115" s="25"/>
      <c r="G2115" s="22"/>
      <c r="H2115" s="25"/>
      <c r="I2115" s="22"/>
      <c r="J2115" s="25"/>
      <c r="K2115" s="22"/>
    </row>
    <row r="2116" ht="15.75" customHeight="1">
      <c r="A2116" s="25"/>
      <c r="B2116" s="22"/>
      <c r="C2116" s="25"/>
      <c r="D2116" s="22"/>
      <c r="F2116" s="25"/>
      <c r="G2116" s="22"/>
      <c r="H2116" s="25"/>
      <c r="I2116" s="22"/>
      <c r="J2116" s="25"/>
      <c r="K2116" s="22"/>
    </row>
    <row r="2117" ht="15.75" customHeight="1">
      <c r="A2117" s="25"/>
      <c r="B2117" s="22"/>
      <c r="C2117" s="25"/>
      <c r="D2117" s="22"/>
      <c r="F2117" s="25"/>
      <c r="G2117" s="22"/>
      <c r="H2117" s="25"/>
      <c r="I2117" s="22"/>
      <c r="J2117" s="25"/>
      <c r="K2117" s="22"/>
    </row>
    <row r="2118" ht="15.75" customHeight="1">
      <c r="A2118" s="25"/>
      <c r="B2118" s="22"/>
      <c r="C2118" s="25"/>
      <c r="D2118" s="22"/>
      <c r="F2118" s="25"/>
      <c r="G2118" s="22"/>
      <c r="H2118" s="25"/>
      <c r="I2118" s="22"/>
      <c r="J2118" s="25"/>
      <c r="K2118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3" max="3" width="14.38"/>
  </cols>
  <sheetData>
    <row r="1" ht="15.75" customHeight="1">
      <c r="A1" s="22" t="s">
        <v>107</v>
      </c>
      <c r="B1" s="22" t="s">
        <v>108</v>
      </c>
      <c r="C1" s="22" t="s">
        <v>100</v>
      </c>
      <c r="D1" s="22" t="s">
        <v>101</v>
      </c>
      <c r="E1" s="22" t="s">
        <v>102</v>
      </c>
      <c r="F1" s="22" t="s">
        <v>103</v>
      </c>
    </row>
    <row r="2" ht="15.75" customHeight="1">
      <c r="A2" s="25">
        <f>'VIX HISTORIQUE'!A5</f>
        <v>43259.66667</v>
      </c>
      <c r="B2" s="22">
        <f>'VIX HISTORIQUE'!B5</f>
        <v>2779.03</v>
      </c>
      <c r="C2" s="22">
        <f>'VIX HISTORIQUE'!D5</f>
        <v>12.18</v>
      </c>
      <c r="D2" s="22">
        <f>'VIX HISTORIQUE'!G5</f>
        <v>14.6</v>
      </c>
      <c r="E2" s="22">
        <f>'VIX HISTORIQUE'!I5</f>
        <v>16.13</v>
      </c>
      <c r="F2" s="22">
        <f>'VIX HISTORIQUE'!K5</f>
        <v>17.23</v>
      </c>
    </row>
    <row r="3" ht="15.75" customHeight="1">
      <c r="A3" s="25">
        <f>'VIX HISTORIQUE'!A6</f>
        <v>43262.66667</v>
      </c>
      <c r="B3" s="22">
        <f>'VIX HISTORIQUE'!B6</f>
        <v>2782</v>
      </c>
      <c r="C3" s="22">
        <f>'VIX HISTORIQUE'!D6</f>
        <v>12.35</v>
      </c>
      <c r="D3" s="22">
        <f>'VIX HISTORIQUE'!G6</f>
        <v>14.55</v>
      </c>
      <c r="E3" s="22">
        <f>'VIX HISTORIQUE'!I6</f>
        <v>16.12</v>
      </c>
      <c r="F3" s="22">
        <f>'VIX HISTORIQUE'!K6</f>
        <v>17.17</v>
      </c>
    </row>
    <row r="4" ht="15.75" customHeight="1">
      <c r="A4" s="25">
        <f>'VIX HISTORIQUE'!A7</f>
        <v>43263.66667</v>
      </c>
      <c r="B4" s="22">
        <f>'VIX HISTORIQUE'!B7</f>
        <v>2786.85</v>
      </c>
      <c r="C4" s="22">
        <f>'VIX HISTORIQUE'!D7</f>
        <v>12.34</v>
      </c>
      <c r="D4" s="22">
        <f>'VIX HISTORIQUE'!G7</f>
        <v>14.59</v>
      </c>
      <c r="E4" s="22">
        <f>'VIX HISTORIQUE'!I7</f>
        <v>16.17</v>
      </c>
      <c r="F4" s="22">
        <f>'VIX HISTORIQUE'!K7</f>
        <v>17.23</v>
      </c>
    </row>
    <row r="5" ht="15.75" customHeight="1">
      <c r="A5" s="25">
        <f>'VIX HISTORIQUE'!A8</f>
        <v>43264.66667</v>
      </c>
      <c r="B5" s="22">
        <f>'VIX HISTORIQUE'!B8</f>
        <v>2775.63</v>
      </c>
      <c r="C5" s="22">
        <f>'VIX HISTORIQUE'!D8</f>
        <v>12.94</v>
      </c>
      <c r="D5" s="22">
        <f>'VIX HISTORIQUE'!G8</f>
        <v>14.92</v>
      </c>
      <c r="E5" s="22">
        <f>'VIX HISTORIQUE'!I8</f>
        <v>16.43</v>
      </c>
      <c r="F5" s="22">
        <f>'VIX HISTORIQUE'!K8</f>
        <v>17.44</v>
      </c>
    </row>
    <row r="6" ht="15.75" customHeight="1">
      <c r="A6" s="25">
        <f>'VIX HISTORIQUE'!A9</f>
        <v>43265.66667</v>
      </c>
      <c r="B6" s="22">
        <f>'VIX HISTORIQUE'!B9</f>
        <v>2782.49</v>
      </c>
      <c r="C6" s="22">
        <f>'VIX HISTORIQUE'!D9</f>
        <v>12.12</v>
      </c>
      <c r="D6" s="22">
        <f>'VIX HISTORIQUE'!G9</f>
        <v>14.4</v>
      </c>
      <c r="E6" s="22">
        <f>'VIX HISTORIQUE'!I9</f>
        <v>16.09</v>
      </c>
      <c r="F6" s="22">
        <f>'VIX HISTORIQUE'!K9</f>
        <v>17.31</v>
      </c>
    </row>
    <row r="7" ht="15.75" customHeight="1">
      <c r="A7" s="25">
        <f>'VIX HISTORIQUE'!A10</f>
        <v>43266.66667</v>
      </c>
      <c r="B7" s="22">
        <f>'VIX HISTORIQUE'!B10</f>
        <v>2779.66</v>
      </c>
      <c r="C7" s="22">
        <f>'VIX HISTORIQUE'!D10</f>
        <v>11.98</v>
      </c>
      <c r="D7" s="22">
        <f>'VIX HISTORIQUE'!G10</f>
        <v>14.42</v>
      </c>
      <c r="E7" s="22">
        <f>'VIX HISTORIQUE'!I10</f>
        <v>16.32</v>
      </c>
      <c r="F7" s="22">
        <f>'VIX HISTORIQUE'!K10</f>
        <v>17.54</v>
      </c>
    </row>
    <row r="8" ht="15.75" customHeight="1">
      <c r="A8" s="25">
        <f>'VIX HISTORIQUE'!A11</f>
        <v>43269.66667</v>
      </c>
      <c r="B8" s="22">
        <f>'VIX HISTORIQUE'!B11</f>
        <v>2773.75</v>
      </c>
      <c r="C8" s="22">
        <f>'VIX HISTORIQUE'!D11</f>
        <v>12.31</v>
      </c>
      <c r="D8" s="22">
        <f>'VIX HISTORIQUE'!G11</f>
        <v>14.48</v>
      </c>
      <c r="E8" s="22">
        <f>'VIX HISTORIQUE'!I11</f>
        <v>16.35</v>
      </c>
      <c r="F8" s="22">
        <f>'VIX HISTORIQUE'!K11</f>
        <v>17.61</v>
      </c>
    </row>
    <row r="9" ht="15.75" customHeight="1">
      <c r="A9" s="25">
        <f>'VIX HISTORIQUE'!A12</f>
        <v>43270.66667</v>
      </c>
      <c r="B9" s="22">
        <f>'VIX HISTORIQUE'!B12</f>
        <v>2762.59</v>
      </c>
      <c r="C9" s="22">
        <f>'VIX HISTORIQUE'!D12</f>
        <v>13.35</v>
      </c>
      <c r="D9" s="22">
        <f>'VIX HISTORIQUE'!G12</f>
        <v>15.17</v>
      </c>
      <c r="E9" s="22">
        <f>'VIX HISTORIQUE'!I12</f>
        <v>16.89</v>
      </c>
      <c r="F9" s="22">
        <f>'VIX HISTORIQUE'!K12</f>
        <v>18.09</v>
      </c>
    </row>
    <row r="10" ht="15.75" customHeight="1">
      <c r="A10" s="25">
        <f>'VIX HISTORIQUE'!A13</f>
        <v>43271.66667</v>
      </c>
      <c r="B10" s="22">
        <f>'VIX HISTORIQUE'!B13</f>
        <v>2767.32</v>
      </c>
      <c r="C10" s="22">
        <f>'VIX HISTORIQUE'!D13</f>
        <v>12.79</v>
      </c>
      <c r="D10" s="22">
        <f>'VIX HISTORIQUE'!G13</f>
        <v>14.79</v>
      </c>
      <c r="E10" s="22">
        <f>'VIX HISTORIQUE'!I13</f>
        <v>16.52</v>
      </c>
      <c r="F10" s="22">
        <f>'VIX HISTORIQUE'!K13</f>
        <v>17.77</v>
      </c>
    </row>
    <row r="11" ht="15.75" customHeight="1">
      <c r="A11" s="25">
        <f>'VIX HISTORIQUE'!A14</f>
        <v>43272.66667</v>
      </c>
      <c r="B11" s="22">
        <f>'VIX HISTORIQUE'!B14</f>
        <v>2749.76</v>
      </c>
      <c r="C11" s="22">
        <f>'VIX HISTORIQUE'!D14</f>
        <v>14.64</v>
      </c>
      <c r="D11" s="22">
        <f>'VIX HISTORIQUE'!G14</f>
        <v>15.87</v>
      </c>
      <c r="E11" s="22">
        <f>'VIX HISTORIQUE'!I14</f>
        <v>17.2</v>
      </c>
      <c r="F11" s="22">
        <f>'VIX HISTORIQUE'!K14</f>
        <v>18.18</v>
      </c>
    </row>
    <row r="12" ht="15.75" customHeight="1">
      <c r="A12" s="25">
        <f>'VIX HISTORIQUE'!A15</f>
        <v>43273.66667</v>
      </c>
      <c r="B12" s="22">
        <f>'VIX HISTORIQUE'!B15</f>
        <v>2754.88</v>
      </c>
      <c r="C12" s="22">
        <f>'VIX HISTORIQUE'!D15</f>
        <v>13.77</v>
      </c>
      <c r="D12" s="22">
        <f>'VIX HISTORIQUE'!G15</f>
        <v>15.5</v>
      </c>
      <c r="E12" s="22">
        <f>'VIX HISTORIQUE'!I15</f>
        <v>16.92</v>
      </c>
      <c r="F12" s="22">
        <f>'VIX HISTORIQUE'!K15</f>
        <v>18.12</v>
      </c>
    </row>
    <row r="13" ht="15.75" customHeight="1">
      <c r="A13" s="25">
        <f>'VIX HISTORIQUE'!A16</f>
        <v>43276.66667</v>
      </c>
      <c r="B13" s="22">
        <f>'VIX HISTORIQUE'!B16</f>
        <v>2717.07</v>
      </c>
      <c r="C13" s="22">
        <f>'VIX HISTORIQUE'!D16</f>
        <v>17.33</v>
      </c>
      <c r="D13" s="22">
        <f>'VIX HISTORIQUE'!G16</f>
        <v>17.52</v>
      </c>
      <c r="E13" s="22">
        <f>'VIX HISTORIQUE'!I16</f>
        <v>18.27</v>
      </c>
      <c r="F13" s="22">
        <f>'VIX HISTORIQUE'!K16</f>
        <v>18.87</v>
      </c>
    </row>
    <row r="14" ht="15.75" customHeight="1">
      <c r="A14" s="25">
        <f>'VIX HISTORIQUE'!A17</f>
        <v>43277.66667</v>
      </c>
      <c r="B14" s="22">
        <f>'VIX HISTORIQUE'!B17</f>
        <v>2723.06</v>
      </c>
      <c r="C14" s="22">
        <f>'VIX HISTORIQUE'!D17</f>
        <v>15.92</v>
      </c>
      <c r="D14" s="22">
        <f>'VIX HISTORIQUE'!G17</f>
        <v>16.87</v>
      </c>
      <c r="E14" s="22">
        <f>'VIX HISTORIQUE'!I17</f>
        <v>17.79</v>
      </c>
      <c r="F14" s="22">
        <f>'VIX HISTORIQUE'!K17</f>
        <v>18.49</v>
      </c>
    </row>
    <row r="15" ht="15.75" customHeight="1">
      <c r="A15" s="25">
        <f>'VIX HISTORIQUE'!A18</f>
        <v>43278.66667</v>
      </c>
      <c r="B15" s="22">
        <f>'VIX HISTORIQUE'!B18</f>
        <v>2699.63</v>
      </c>
      <c r="C15" s="22">
        <f>'VIX HISTORIQUE'!D18</f>
        <v>17.91</v>
      </c>
      <c r="D15" s="22">
        <f>'VIX HISTORIQUE'!G18</f>
        <v>18.05</v>
      </c>
      <c r="E15" s="22">
        <f>'VIX HISTORIQUE'!I18</f>
        <v>18.66</v>
      </c>
      <c r="F15" s="22">
        <f>'VIX HISTORIQUE'!K18</f>
        <v>18.99</v>
      </c>
    </row>
    <row r="16" ht="15.75" customHeight="1">
      <c r="A16" s="25">
        <f>'VIX HISTORIQUE'!A19</f>
        <v>43279.66667</v>
      </c>
      <c r="B16" s="22">
        <f>'VIX HISTORIQUE'!B19</f>
        <v>2716.31</v>
      </c>
      <c r="C16" s="22">
        <f>'VIX HISTORIQUE'!D19</f>
        <v>16.85</v>
      </c>
      <c r="D16" s="22">
        <f>'VIX HISTORIQUE'!G19</f>
        <v>17.52</v>
      </c>
      <c r="E16" s="22">
        <f>'VIX HISTORIQUE'!I19</f>
        <v>18.29</v>
      </c>
      <c r="F16" s="22">
        <f>'VIX HISTORIQUE'!K19</f>
        <v>18.78</v>
      </c>
    </row>
    <row r="17" ht="15.75" customHeight="1">
      <c r="A17" s="25">
        <f>'VIX HISTORIQUE'!A20</f>
        <v>43280.66667</v>
      </c>
      <c r="B17" s="22">
        <f>'VIX HISTORIQUE'!B20</f>
        <v>2718.37</v>
      </c>
      <c r="C17" s="22">
        <f>'VIX HISTORIQUE'!D20</f>
        <v>16.09</v>
      </c>
      <c r="D17" s="22">
        <f>'VIX HISTORIQUE'!G20</f>
        <v>17.14</v>
      </c>
      <c r="E17" s="22">
        <f>'VIX HISTORIQUE'!I20</f>
        <v>18.09</v>
      </c>
      <c r="F17" s="22">
        <f>'VIX HISTORIQUE'!K20</f>
        <v>18.67</v>
      </c>
    </row>
    <row r="18" ht="15.75" customHeight="1">
      <c r="A18" s="25">
        <f>'VIX HISTORIQUE'!A21</f>
        <v>43283.66667</v>
      </c>
      <c r="B18" s="22">
        <f>'VIX HISTORIQUE'!B21</f>
        <v>2726.71</v>
      </c>
      <c r="C18" s="22">
        <f>'VIX HISTORIQUE'!D21</f>
        <v>15.6</v>
      </c>
      <c r="D18" s="22">
        <f>'VIX HISTORIQUE'!G21</f>
        <v>16.95</v>
      </c>
      <c r="E18" s="22">
        <f>'VIX HISTORIQUE'!I21</f>
        <v>17.97</v>
      </c>
      <c r="F18" s="22">
        <f>'VIX HISTORIQUE'!K21</f>
        <v>18.65</v>
      </c>
    </row>
    <row r="19" ht="15.75" customHeight="1">
      <c r="A19" s="25">
        <f>'VIX HISTORIQUE'!A22</f>
        <v>43284.54167</v>
      </c>
      <c r="B19" s="22">
        <f>'VIX HISTORIQUE'!B22</f>
        <v>2713.22</v>
      </c>
      <c r="C19" s="22">
        <f>'VIX HISTORIQUE'!D22</f>
        <v>16.14</v>
      </c>
      <c r="D19" s="22">
        <f>'VIX HISTORIQUE'!G22</f>
        <v>17.35</v>
      </c>
      <c r="E19" s="22">
        <f>'VIX HISTORIQUE'!I22</f>
        <v>18.23</v>
      </c>
      <c r="F19" s="22">
        <f>'VIX HISTORIQUE'!K22</f>
        <v>18.82</v>
      </c>
    </row>
    <row r="20" ht="15.75" customHeight="1">
      <c r="A20" s="25">
        <f>'VIX HISTORIQUE'!A23</f>
        <v>43286.66667</v>
      </c>
      <c r="B20" s="22">
        <f>'VIX HISTORIQUE'!B23</f>
        <v>2736.61</v>
      </c>
      <c r="C20" s="22">
        <f>'VIX HISTORIQUE'!D23</f>
        <v>14.97</v>
      </c>
      <c r="D20" s="22">
        <f>'VIX HISTORIQUE'!G23</f>
        <v>16.53</v>
      </c>
      <c r="E20" s="22">
        <f>'VIX HISTORIQUE'!I23</f>
        <v>17.63</v>
      </c>
      <c r="F20" s="22">
        <f>'VIX HISTORIQUE'!K23</f>
        <v>18.35</v>
      </c>
    </row>
    <row r="21" ht="15.75" customHeight="1">
      <c r="A21" s="25">
        <f>'VIX HISTORIQUE'!A24</f>
        <v>43287.66667</v>
      </c>
      <c r="B21" s="22">
        <f>'VIX HISTORIQUE'!B24</f>
        <v>2759.82</v>
      </c>
      <c r="C21" s="22">
        <f>'VIX HISTORIQUE'!D24</f>
        <v>13.37</v>
      </c>
      <c r="D21" s="22">
        <f>'VIX HISTORIQUE'!G24</f>
        <v>15.71</v>
      </c>
      <c r="E21" s="22">
        <f>'VIX HISTORIQUE'!I24</f>
        <v>17.07</v>
      </c>
      <c r="F21" s="22">
        <f>'VIX HISTORIQUE'!K24</f>
        <v>18</v>
      </c>
    </row>
    <row r="22" ht="15.75" customHeight="1">
      <c r="A22" s="25">
        <f>'VIX HISTORIQUE'!A25</f>
        <v>43290.66667</v>
      </c>
      <c r="B22" s="22">
        <f>'VIX HISTORIQUE'!B25</f>
        <v>2784.17</v>
      </c>
      <c r="C22" s="22">
        <f>'VIX HISTORIQUE'!D25</f>
        <v>12.69</v>
      </c>
      <c r="D22" s="22">
        <f>'VIX HISTORIQUE'!G25</f>
        <v>14.87</v>
      </c>
      <c r="E22" s="22">
        <f>'VIX HISTORIQUE'!I25</f>
        <v>16.29</v>
      </c>
      <c r="F22" s="22">
        <f>'VIX HISTORIQUE'!K25</f>
        <v>17.4</v>
      </c>
    </row>
    <row r="23" ht="15.75" customHeight="1">
      <c r="A23" s="25">
        <f>'VIX HISTORIQUE'!A26</f>
        <v>43291.66667</v>
      </c>
      <c r="B23" s="22">
        <f>'VIX HISTORIQUE'!B26</f>
        <v>2793.84</v>
      </c>
      <c r="C23" s="22">
        <f>'VIX HISTORIQUE'!D26</f>
        <v>12.64</v>
      </c>
      <c r="D23" s="22">
        <f>'VIX HISTORIQUE'!G26</f>
        <v>14.71</v>
      </c>
      <c r="E23" s="22">
        <f>'VIX HISTORIQUE'!I26</f>
        <v>16.11</v>
      </c>
      <c r="F23" s="22">
        <f>'VIX HISTORIQUE'!K26</f>
        <v>17.23</v>
      </c>
    </row>
    <row r="24" ht="15.75" customHeight="1">
      <c r="A24" s="25">
        <f>'VIX HISTORIQUE'!A27</f>
        <v>43292.66667</v>
      </c>
      <c r="B24" s="22">
        <f>'VIX HISTORIQUE'!B27</f>
        <v>2774.02</v>
      </c>
      <c r="C24" s="22">
        <f>'VIX HISTORIQUE'!D27</f>
        <v>13.63</v>
      </c>
      <c r="D24" s="22">
        <f>'VIX HISTORIQUE'!G27</f>
        <v>15.38</v>
      </c>
      <c r="E24" s="22">
        <f>'VIX HISTORIQUE'!I27</f>
        <v>16.54</v>
      </c>
      <c r="F24" s="22">
        <f>'VIX HISTORIQUE'!K27</f>
        <v>17.46</v>
      </c>
    </row>
    <row r="25" ht="15.75" customHeight="1">
      <c r="A25" s="25">
        <f>'VIX HISTORIQUE'!A28</f>
        <v>43293.66667</v>
      </c>
      <c r="B25" s="22">
        <f>'VIX HISTORIQUE'!B28</f>
        <v>2798.29</v>
      </c>
      <c r="C25" s="22">
        <f>'VIX HISTORIQUE'!D28</f>
        <v>12.58</v>
      </c>
      <c r="D25" s="22">
        <f>'VIX HISTORIQUE'!G28</f>
        <v>14.76</v>
      </c>
      <c r="E25" s="22">
        <f>'VIX HISTORIQUE'!I28</f>
        <v>16.1</v>
      </c>
      <c r="F25" s="22">
        <f>'VIX HISTORIQUE'!K28</f>
        <v>17.22</v>
      </c>
    </row>
    <row r="26" ht="15.75" customHeight="1">
      <c r="A26" s="25">
        <f>'VIX HISTORIQUE'!A29</f>
        <v>43294.66667</v>
      </c>
      <c r="B26" s="22">
        <f>'VIX HISTORIQUE'!B29</f>
        <v>2801.31</v>
      </c>
      <c r="C26" s="22">
        <f>'VIX HISTORIQUE'!D29</f>
        <v>12.18</v>
      </c>
      <c r="D26" s="22">
        <f>'VIX HISTORIQUE'!G29</f>
        <v>14.54</v>
      </c>
      <c r="E26" s="22">
        <f>'VIX HISTORIQUE'!I29</f>
        <v>15.9</v>
      </c>
      <c r="F26" s="22">
        <f>'VIX HISTORIQUE'!K29</f>
        <v>17.11</v>
      </c>
    </row>
    <row r="27" ht="15.75" customHeight="1">
      <c r="A27" s="25">
        <f>'VIX HISTORIQUE'!A30</f>
        <v>43297.66667</v>
      </c>
      <c r="B27" s="22">
        <f>'VIX HISTORIQUE'!B30</f>
        <v>2798.43</v>
      </c>
      <c r="C27" s="22">
        <f>'VIX HISTORIQUE'!D30</f>
        <v>12.83</v>
      </c>
      <c r="D27" s="22">
        <f>'VIX HISTORIQUE'!G30</f>
        <v>14.85</v>
      </c>
      <c r="E27" s="22">
        <f>'VIX HISTORIQUE'!I30</f>
        <v>16.1</v>
      </c>
      <c r="F27" s="22">
        <f>'VIX HISTORIQUE'!K30</f>
        <v>17.21</v>
      </c>
    </row>
    <row r="28" ht="15.75" customHeight="1">
      <c r="A28" s="25">
        <f>'VIX HISTORIQUE'!A31</f>
        <v>43298.66667</v>
      </c>
      <c r="B28" s="22">
        <f>'VIX HISTORIQUE'!B31</f>
        <v>2809.55</v>
      </c>
      <c r="C28" s="22">
        <f>'VIX HISTORIQUE'!D31</f>
        <v>12.06</v>
      </c>
      <c r="D28" s="22">
        <f>'VIX HISTORIQUE'!G31</f>
        <v>14.4</v>
      </c>
      <c r="E28" s="22">
        <f>'VIX HISTORIQUE'!I31</f>
        <v>15.83</v>
      </c>
      <c r="F28" s="22">
        <f>'VIX HISTORIQUE'!K31</f>
        <v>17.14</v>
      </c>
    </row>
    <row r="29" ht="15.75" customHeight="1">
      <c r="A29" s="25">
        <f>'VIX HISTORIQUE'!A32</f>
        <v>43299.66667</v>
      </c>
      <c r="B29" s="22">
        <f>'VIX HISTORIQUE'!B32</f>
        <v>2815.62</v>
      </c>
      <c r="C29" s="22">
        <f>'VIX HISTORIQUE'!D32</f>
        <v>12.1</v>
      </c>
      <c r="D29" s="22">
        <f>'VIX HISTORIQUE'!G32</f>
        <v>14.39</v>
      </c>
      <c r="E29" s="22">
        <f>'VIX HISTORIQUE'!I32</f>
        <v>15.88</v>
      </c>
      <c r="F29" s="22">
        <f>'VIX HISTORIQUE'!K32</f>
        <v>17.17</v>
      </c>
    </row>
    <row r="30" ht="15.75" customHeight="1">
      <c r="A30" s="25">
        <f>'VIX HISTORIQUE'!A33</f>
        <v>43300.66667</v>
      </c>
      <c r="B30" s="22">
        <f>'VIX HISTORIQUE'!B33</f>
        <v>2804.49</v>
      </c>
      <c r="C30" s="22">
        <f>'VIX HISTORIQUE'!D33</f>
        <v>12.87</v>
      </c>
      <c r="D30" s="22">
        <f>'VIX HISTORIQUE'!G33</f>
        <v>14.97</v>
      </c>
      <c r="E30" s="22">
        <f>'VIX HISTORIQUE'!I33</f>
        <v>16.22</v>
      </c>
      <c r="F30" s="22">
        <f>'VIX HISTORIQUE'!K33</f>
        <v>17.41</v>
      </c>
    </row>
    <row r="31" ht="15.75" customHeight="1">
      <c r="A31" s="25">
        <f>'VIX HISTORIQUE'!A34</f>
        <v>43301.66667</v>
      </c>
      <c r="B31" s="22">
        <f>'VIX HISTORIQUE'!B34</f>
        <v>2801.83</v>
      </c>
      <c r="C31" s="22">
        <f>'VIX HISTORIQUE'!D34</f>
        <v>12.86</v>
      </c>
      <c r="D31" s="22">
        <f>'VIX HISTORIQUE'!G34</f>
        <v>15.08</v>
      </c>
      <c r="E31" s="22">
        <f>'VIX HISTORIQUE'!I34</f>
        <v>16.41</v>
      </c>
      <c r="F31" s="22">
        <f>'VIX HISTORIQUE'!K34</f>
        <v>17.62</v>
      </c>
    </row>
    <row r="32" ht="15.75" customHeight="1">
      <c r="A32" s="25">
        <f>'VIX HISTORIQUE'!A35</f>
        <v>43304.66667</v>
      </c>
      <c r="B32" s="22">
        <f>'VIX HISTORIQUE'!B35</f>
        <v>2806.98</v>
      </c>
      <c r="C32" s="22">
        <f>'VIX HISTORIQUE'!D35</f>
        <v>12.62</v>
      </c>
      <c r="D32" s="22">
        <f>'VIX HISTORIQUE'!G35</f>
        <v>14.86</v>
      </c>
      <c r="E32" s="22">
        <f>'VIX HISTORIQUE'!I35</f>
        <v>16.24</v>
      </c>
      <c r="F32" s="22">
        <f>'VIX HISTORIQUE'!K35</f>
        <v>17.45</v>
      </c>
    </row>
    <row r="33" ht="15.75" customHeight="1">
      <c r="A33" s="25">
        <f>'VIX HISTORIQUE'!A36</f>
        <v>43305.66667</v>
      </c>
      <c r="B33" s="22">
        <f>'VIX HISTORIQUE'!B36</f>
        <v>2820.4</v>
      </c>
      <c r="C33" s="22">
        <f>'VIX HISTORIQUE'!D36</f>
        <v>12.41</v>
      </c>
      <c r="D33" s="22">
        <f>'VIX HISTORIQUE'!G36</f>
        <v>14.7</v>
      </c>
      <c r="E33" s="22">
        <f>'VIX HISTORIQUE'!I36</f>
        <v>16.09</v>
      </c>
      <c r="F33" s="22">
        <f>'VIX HISTORIQUE'!K36</f>
        <v>17.33</v>
      </c>
    </row>
    <row r="34" ht="15.75" customHeight="1">
      <c r="A34" s="25">
        <f>'VIX HISTORIQUE'!A37</f>
        <v>43306.66667</v>
      </c>
      <c r="B34" s="22">
        <f>'VIX HISTORIQUE'!B37</f>
        <v>2846.07</v>
      </c>
      <c r="C34" s="22">
        <f>'VIX HISTORIQUE'!D37</f>
        <v>12.29</v>
      </c>
      <c r="D34" s="22">
        <f>'VIX HISTORIQUE'!G37</f>
        <v>14.55</v>
      </c>
      <c r="E34" s="22">
        <f>'VIX HISTORIQUE'!I37</f>
        <v>15.89</v>
      </c>
      <c r="F34" s="22">
        <f>'VIX HISTORIQUE'!K37</f>
        <v>17.14</v>
      </c>
    </row>
    <row r="35" ht="15.75" customHeight="1">
      <c r="A35" s="25">
        <f>'VIX HISTORIQUE'!A38</f>
        <v>43307.66667</v>
      </c>
      <c r="B35" s="22">
        <f>'VIX HISTORIQUE'!B38</f>
        <v>2837.44</v>
      </c>
      <c r="C35" s="22">
        <f>'VIX HISTORIQUE'!D38</f>
        <v>12.14</v>
      </c>
      <c r="D35" s="22">
        <f>'VIX HISTORIQUE'!G38</f>
        <v>14.4</v>
      </c>
      <c r="E35" s="22">
        <f>'VIX HISTORIQUE'!I38</f>
        <v>15.87</v>
      </c>
      <c r="F35" s="22">
        <f>'VIX HISTORIQUE'!K38</f>
        <v>17.18</v>
      </c>
    </row>
    <row r="36" ht="15.75" customHeight="1">
      <c r="A36" s="25">
        <f>'VIX HISTORIQUE'!A39</f>
        <v>43308.66667</v>
      </c>
      <c r="B36" s="22">
        <f>'VIX HISTORIQUE'!B39</f>
        <v>2818.82</v>
      </c>
      <c r="C36" s="22">
        <f>'VIX HISTORIQUE'!D39</f>
        <v>13.03</v>
      </c>
      <c r="D36" s="22">
        <f>'VIX HISTORIQUE'!G39</f>
        <v>15</v>
      </c>
      <c r="E36" s="22">
        <f>'VIX HISTORIQUE'!I39</f>
        <v>16.22</v>
      </c>
      <c r="F36" s="22">
        <f>'VIX HISTORIQUE'!K39</f>
        <v>17.33</v>
      </c>
    </row>
    <row r="37" ht="15.75" customHeight="1">
      <c r="A37" s="25">
        <f>'VIX HISTORIQUE'!A40</f>
        <v>43311.66667</v>
      </c>
      <c r="B37" s="22">
        <f>'VIX HISTORIQUE'!B40</f>
        <v>2802.6</v>
      </c>
      <c r="C37" s="22">
        <f>'VIX HISTORIQUE'!D40</f>
        <v>14.26</v>
      </c>
      <c r="D37" s="22">
        <f>'VIX HISTORIQUE'!G40</f>
        <v>15.66</v>
      </c>
      <c r="E37" s="22">
        <f>'VIX HISTORIQUE'!I40</f>
        <v>16.68</v>
      </c>
      <c r="F37" s="22">
        <f>'VIX HISTORIQUE'!K40</f>
        <v>17.66</v>
      </c>
    </row>
    <row r="38" ht="15.75" customHeight="1">
      <c r="A38" s="25">
        <f>'VIX HISTORIQUE'!A41</f>
        <v>43312.66667</v>
      </c>
      <c r="B38" s="22">
        <f>'VIX HISTORIQUE'!B41</f>
        <v>2816.29</v>
      </c>
      <c r="C38" s="22">
        <f>'VIX HISTORIQUE'!D41</f>
        <v>12.83</v>
      </c>
      <c r="D38" s="22">
        <f>'VIX HISTORIQUE'!G41</f>
        <v>14.87</v>
      </c>
      <c r="E38" s="22">
        <f>'VIX HISTORIQUE'!I41</f>
        <v>16.21</v>
      </c>
      <c r="F38" s="22">
        <f>'VIX HISTORIQUE'!K41</f>
        <v>17.42</v>
      </c>
    </row>
    <row r="39" ht="15.75" customHeight="1">
      <c r="A39" s="25">
        <f>'VIX HISTORIQUE'!A42</f>
        <v>43313.66667</v>
      </c>
      <c r="B39" s="22">
        <f>'VIX HISTORIQUE'!B42</f>
        <v>2813.36</v>
      </c>
      <c r="C39" s="22">
        <f>'VIX HISTORIQUE'!D42</f>
        <v>13.15</v>
      </c>
      <c r="D39" s="22">
        <f>'VIX HISTORIQUE'!G42</f>
        <v>15.22</v>
      </c>
      <c r="E39" s="22">
        <f>'VIX HISTORIQUE'!I42</f>
        <v>16.41</v>
      </c>
      <c r="F39" s="22">
        <f>'VIX HISTORIQUE'!K42</f>
        <v>17.59</v>
      </c>
    </row>
    <row r="40" ht="15.75" customHeight="1">
      <c r="A40" s="25">
        <f>'VIX HISTORIQUE'!A43</f>
        <v>43314.66667</v>
      </c>
      <c r="B40" s="22">
        <f>'VIX HISTORIQUE'!B43</f>
        <v>2827.22</v>
      </c>
      <c r="C40" s="22">
        <f>'VIX HISTORIQUE'!D43</f>
        <v>12.19</v>
      </c>
      <c r="D40" s="22">
        <f>'VIX HISTORIQUE'!G43</f>
        <v>14.76</v>
      </c>
      <c r="E40" s="22">
        <f>'VIX HISTORIQUE'!I43</f>
        <v>16.08</v>
      </c>
      <c r="F40" s="22">
        <f>'VIX HISTORIQUE'!K43</f>
        <v>17.34</v>
      </c>
    </row>
    <row r="41" ht="15.75" customHeight="1">
      <c r="A41" s="25">
        <f>'VIX HISTORIQUE'!A44</f>
        <v>43315.66667</v>
      </c>
      <c r="B41" s="22">
        <f>'VIX HISTORIQUE'!B44</f>
        <v>2840.35</v>
      </c>
      <c r="C41" s="22">
        <f>'VIX HISTORIQUE'!D44</f>
        <v>11.64</v>
      </c>
      <c r="D41" s="22">
        <f>'VIX HISTORIQUE'!G44</f>
        <v>14.49</v>
      </c>
      <c r="E41" s="22">
        <f>'VIX HISTORIQUE'!I44</f>
        <v>15.9</v>
      </c>
      <c r="F41" s="22">
        <f>'VIX HISTORIQUE'!K44</f>
        <v>17.13</v>
      </c>
    </row>
    <row r="42" ht="15.75" customHeight="1">
      <c r="A42" s="25">
        <f>'VIX HISTORIQUE'!A45</f>
        <v>43318.66667</v>
      </c>
      <c r="B42" s="22">
        <f>'VIX HISTORIQUE'!B45</f>
        <v>2850.4</v>
      </c>
      <c r="C42" s="22">
        <f>'VIX HISTORIQUE'!D45</f>
        <v>11.27</v>
      </c>
      <c r="D42" s="22">
        <f>'VIX HISTORIQUE'!G45</f>
        <v>14.23</v>
      </c>
      <c r="E42" s="22">
        <f>'VIX HISTORIQUE'!I45</f>
        <v>15.68</v>
      </c>
      <c r="F42" s="22">
        <f>'VIX HISTORIQUE'!K45</f>
        <v>16.92</v>
      </c>
    </row>
    <row r="43" ht="15.75" customHeight="1">
      <c r="A43" s="25">
        <f>'VIX HISTORIQUE'!A46</f>
        <v>43319.66667</v>
      </c>
      <c r="B43" s="22">
        <f>'VIX HISTORIQUE'!B46</f>
        <v>2858.45</v>
      </c>
      <c r="C43" s="22">
        <f>'VIX HISTORIQUE'!D46</f>
        <v>10.93</v>
      </c>
      <c r="D43" s="22">
        <f>'VIX HISTORIQUE'!G46</f>
        <v>13.93</v>
      </c>
      <c r="E43" s="22">
        <f>'VIX HISTORIQUE'!I46</f>
        <v>15.41</v>
      </c>
      <c r="F43" s="22">
        <f>'VIX HISTORIQUE'!K46</f>
        <v>16.76</v>
      </c>
    </row>
    <row r="44" ht="15.75" customHeight="1">
      <c r="A44" s="25">
        <f>'VIX HISTORIQUE'!A47</f>
        <v>43320.66667</v>
      </c>
      <c r="B44" s="22">
        <f>'VIX HISTORIQUE'!B47</f>
        <v>2857.7</v>
      </c>
      <c r="C44" s="22">
        <f>'VIX HISTORIQUE'!D47</f>
        <v>10.85</v>
      </c>
      <c r="D44" s="22">
        <f>'VIX HISTORIQUE'!G47</f>
        <v>13.96</v>
      </c>
      <c r="E44" s="22">
        <f>'VIX HISTORIQUE'!I47</f>
        <v>15.45</v>
      </c>
      <c r="F44" s="22">
        <f>'VIX HISTORIQUE'!K47</f>
        <v>16.85</v>
      </c>
    </row>
    <row r="45" ht="15.75" customHeight="1">
      <c r="A45" s="25">
        <f>'VIX HISTORIQUE'!A48</f>
        <v>43321.66667</v>
      </c>
      <c r="B45" s="22">
        <f>'VIX HISTORIQUE'!B48</f>
        <v>2853.58</v>
      </c>
      <c r="C45" s="22">
        <f>'VIX HISTORIQUE'!D48</f>
        <v>11.27</v>
      </c>
      <c r="D45" s="22">
        <f>'VIX HISTORIQUE'!G48</f>
        <v>14.13</v>
      </c>
      <c r="E45" s="22">
        <f>'VIX HISTORIQUE'!I48</f>
        <v>15.54</v>
      </c>
      <c r="F45" s="22">
        <f>'VIX HISTORIQUE'!K48</f>
        <v>16.89</v>
      </c>
    </row>
    <row r="46" ht="15.75" customHeight="1">
      <c r="A46" s="25">
        <f>'VIX HISTORIQUE'!A49</f>
        <v>43322.66667</v>
      </c>
      <c r="B46" s="22">
        <f>'VIX HISTORIQUE'!B49</f>
        <v>2833.28</v>
      </c>
      <c r="C46" s="22">
        <f>'VIX HISTORIQUE'!D49</f>
        <v>13.16</v>
      </c>
      <c r="D46" s="22">
        <f>'VIX HISTORIQUE'!G49</f>
        <v>15.22</v>
      </c>
      <c r="E46" s="22">
        <f>'VIX HISTORIQUE'!I49</f>
        <v>16.29</v>
      </c>
      <c r="F46" s="22">
        <f>'VIX HISTORIQUE'!K49</f>
        <v>17.4</v>
      </c>
    </row>
    <row r="47" ht="15.75" customHeight="1">
      <c r="A47" s="25">
        <f>'VIX HISTORIQUE'!A50</f>
        <v>43325.66667</v>
      </c>
      <c r="B47" s="22">
        <f>'VIX HISTORIQUE'!B50</f>
        <v>2821.93</v>
      </c>
      <c r="C47" s="22">
        <f>'VIX HISTORIQUE'!D50</f>
        <v>14.78</v>
      </c>
      <c r="D47" s="22">
        <f>'VIX HISTORIQUE'!G50</f>
        <v>16.21</v>
      </c>
      <c r="E47" s="22">
        <f>'VIX HISTORIQUE'!I50</f>
        <v>16.97</v>
      </c>
      <c r="F47" s="22">
        <f>'VIX HISTORIQUE'!K50</f>
        <v>17.83</v>
      </c>
    </row>
    <row r="48" ht="15.75" customHeight="1">
      <c r="A48" s="25">
        <f>'VIX HISTORIQUE'!A51</f>
        <v>43326.66667</v>
      </c>
      <c r="B48" s="22">
        <f>'VIX HISTORIQUE'!B51</f>
        <v>2839.96</v>
      </c>
      <c r="C48" s="22">
        <f>'VIX HISTORIQUE'!D51</f>
        <v>13.31</v>
      </c>
      <c r="D48" s="22">
        <f>'VIX HISTORIQUE'!G51</f>
        <v>15.35</v>
      </c>
      <c r="E48" s="22">
        <f>'VIX HISTORIQUE'!I51</f>
        <v>16.39</v>
      </c>
      <c r="F48" s="22">
        <f>'VIX HISTORIQUE'!K51</f>
        <v>17.45</v>
      </c>
    </row>
    <row r="49" ht="15.75" customHeight="1">
      <c r="A49" s="25">
        <f>'VIX HISTORIQUE'!A52</f>
        <v>43327.66667</v>
      </c>
      <c r="B49" s="22">
        <f>'VIX HISTORIQUE'!B52</f>
        <v>2818.37</v>
      </c>
      <c r="C49" s="22">
        <f>'VIX HISTORIQUE'!D52</f>
        <v>14.64</v>
      </c>
      <c r="D49" s="22">
        <f>'VIX HISTORIQUE'!G52</f>
        <v>16.19</v>
      </c>
      <c r="E49" s="22">
        <f>'VIX HISTORIQUE'!I52</f>
        <v>16.94</v>
      </c>
      <c r="F49" s="22">
        <f>'VIX HISTORIQUE'!K52</f>
        <v>17.72</v>
      </c>
    </row>
    <row r="50" ht="15.75" customHeight="1">
      <c r="A50" s="25">
        <f>'VIX HISTORIQUE'!A53</f>
        <v>43328.66667</v>
      </c>
      <c r="B50" s="22">
        <f>'VIX HISTORIQUE'!B53</f>
        <v>2840.69</v>
      </c>
      <c r="C50" s="22">
        <f>'VIX HISTORIQUE'!D53</f>
        <v>13.45</v>
      </c>
      <c r="D50" s="22">
        <f>'VIX HISTORIQUE'!G53</f>
        <v>15.51</v>
      </c>
      <c r="E50" s="22">
        <f>'VIX HISTORIQUE'!I53</f>
        <v>16.47</v>
      </c>
      <c r="F50" s="22">
        <f>'VIX HISTORIQUE'!K53</f>
        <v>17.38</v>
      </c>
    </row>
    <row r="51" ht="15.75" customHeight="1">
      <c r="A51" s="25">
        <f>'VIX HISTORIQUE'!A54</f>
        <v>43329.66667</v>
      </c>
      <c r="B51" s="22">
        <f>'VIX HISTORIQUE'!B54</f>
        <v>2850.13</v>
      </c>
      <c r="C51" s="22">
        <f>'VIX HISTORIQUE'!D54</f>
        <v>12.64</v>
      </c>
      <c r="D51" s="22">
        <f>'VIX HISTORIQUE'!G54</f>
        <v>15.17</v>
      </c>
      <c r="E51" s="22">
        <f>'VIX HISTORIQUE'!I54</f>
        <v>16.26</v>
      </c>
      <c r="F51" s="22">
        <f>'VIX HISTORIQUE'!K54</f>
        <v>17.27</v>
      </c>
    </row>
    <row r="52" ht="15.75" customHeight="1">
      <c r="A52" s="25">
        <f>'VIX HISTORIQUE'!A55</f>
        <v>43332.66667</v>
      </c>
      <c r="B52" s="22">
        <f>'VIX HISTORIQUE'!B55</f>
        <v>2857.05</v>
      </c>
      <c r="C52" s="22">
        <f>'VIX HISTORIQUE'!D55</f>
        <v>12.49</v>
      </c>
      <c r="D52" s="22">
        <f>'VIX HISTORIQUE'!G55</f>
        <v>15</v>
      </c>
      <c r="E52" s="22">
        <f>'VIX HISTORIQUE'!I55</f>
        <v>16.15</v>
      </c>
      <c r="F52" s="22">
        <f>'VIX HISTORIQUE'!K55</f>
        <v>17.16</v>
      </c>
    </row>
    <row r="53" ht="15.75" customHeight="1">
      <c r="A53" s="25">
        <f>'VIX HISTORIQUE'!A56</f>
        <v>43333.66667</v>
      </c>
      <c r="B53" s="22">
        <f>'VIX HISTORIQUE'!B56</f>
        <v>2862.96</v>
      </c>
      <c r="C53" s="22">
        <f>'VIX HISTORIQUE'!D56</f>
        <v>12.86</v>
      </c>
      <c r="D53" s="22">
        <f>'VIX HISTORIQUE'!G56</f>
        <v>15.19</v>
      </c>
      <c r="E53" s="22">
        <f>'VIX HISTORIQUE'!I56</f>
        <v>16.33</v>
      </c>
      <c r="F53" s="22">
        <f>'VIX HISTORIQUE'!K56</f>
        <v>17.24</v>
      </c>
    </row>
    <row r="54" ht="15.75" customHeight="1">
      <c r="A54" s="25">
        <f>'VIX HISTORIQUE'!A57</f>
        <v>43334.66667</v>
      </c>
      <c r="B54" s="22">
        <f>'VIX HISTORIQUE'!B57</f>
        <v>2861.82</v>
      </c>
      <c r="C54" s="22">
        <f>'VIX HISTORIQUE'!D57</f>
        <v>12.25</v>
      </c>
      <c r="D54" s="22">
        <f>'VIX HISTORIQUE'!G57</f>
        <v>15.08</v>
      </c>
      <c r="E54" s="22">
        <f>'VIX HISTORIQUE'!I57</f>
        <v>16.25</v>
      </c>
      <c r="F54" s="22">
        <f>'VIX HISTORIQUE'!K57</f>
        <v>17.2</v>
      </c>
    </row>
    <row r="55" ht="15.75" customHeight="1">
      <c r="A55" s="25">
        <f>'VIX HISTORIQUE'!A58</f>
        <v>43335.66667</v>
      </c>
      <c r="B55" s="22">
        <f>'VIX HISTORIQUE'!B58</f>
        <v>2856.98</v>
      </c>
      <c r="C55" s="22">
        <f>'VIX HISTORIQUE'!D58</f>
        <v>12.41</v>
      </c>
      <c r="D55" s="22">
        <f>'VIX HISTORIQUE'!G58</f>
        <v>15.06</v>
      </c>
      <c r="E55" s="22">
        <f>'VIX HISTORIQUE'!I58</f>
        <v>16.28</v>
      </c>
      <c r="F55" s="22">
        <f>'VIX HISTORIQUE'!K58</f>
        <v>17.25</v>
      </c>
    </row>
    <row r="56" ht="15.75" customHeight="1">
      <c r="A56" s="25">
        <f>'VIX HISTORIQUE'!A59</f>
        <v>43336.66667</v>
      </c>
      <c r="B56" s="22">
        <f>'VIX HISTORIQUE'!B59</f>
        <v>2874.69</v>
      </c>
      <c r="C56" s="22">
        <f>'VIX HISTORIQUE'!D59</f>
        <v>11.99</v>
      </c>
      <c r="D56" s="22">
        <f>'VIX HISTORIQUE'!G59</f>
        <v>14.82</v>
      </c>
      <c r="E56" s="22">
        <f>'VIX HISTORIQUE'!I59</f>
        <v>16.07</v>
      </c>
      <c r="F56" s="22">
        <f>'VIX HISTORIQUE'!K59</f>
        <v>17.08</v>
      </c>
    </row>
    <row r="57" ht="15.75" customHeight="1">
      <c r="A57" s="25">
        <f>'VIX HISTORIQUE'!A60</f>
        <v>43339.66667</v>
      </c>
      <c r="B57" s="22">
        <f>'VIX HISTORIQUE'!B60</f>
        <v>2896.74</v>
      </c>
      <c r="C57" s="22">
        <f>'VIX HISTORIQUE'!D60</f>
        <v>12.16</v>
      </c>
      <c r="D57" s="22">
        <f>'VIX HISTORIQUE'!G60</f>
        <v>14.79</v>
      </c>
      <c r="E57" s="22">
        <f>'VIX HISTORIQUE'!I60</f>
        <v>16</v>
      </c>
      <c r="F57" s="22">
        <f>'VIX HISTORIQUE'!K60</f>
        <v>17.01</v>
      </c>
    </row>
    <row r="58" ht="15.75" customHeight="1">
      <c r="A58" s="25">
        <f>'VIX HISTORIQUE'!A61</f>
        <v>43340.66667</v>
      </c>
      <c r="B58" s="22">
        <f>'VIX HISTORIQUE'!B61</f>
        <v>2897.52</v>
      </c>
      <c r="C58" s="22">
        <f>'VIX HISTORIQUE'!D61</f>
        <v>12.5</v>
      </c>
      <c r="D58" s="22">
        <f>'VIX HISTORIQUE'!G61</f>
        <v>15.11</v>
      </c>
      <c r="E58" s="22">
        <f>'VIX HISTORIQUE'!I61</f>
        <v>16.25</v>
      </c>
      <c r="F58" s="22">
        <f>'VIX HISTORIQUE'!K61</f>
        <v>17.21</v>
      </c>
    </row>
    <row r="59" ht="15.75" customHeight="1">
      <c r="A59" s="25">
        <f>'VIX HISTORIQUE'!A62</f>
        <v>43341.66667</v>
      </c>
      <c r="B59" s="22">
        <f>'VIX HISTORIQUE'!B62</f>
        <v>2914.04</v>
      </c>
      <c r="C59" s="22">
        <f>'VIX HISTORIQUE'!D62</f>
        <v>12.25</v>
      </c>
      <c r="D59" s="22">
        <f>'VIX HISTORIQUE'!G62</f>
        <v>14.95</v>
      </c>
      <c r="E59" s="22">
        <f>'VIX HISTORIQUE'!I62</f>
        <v>16.2</v>
      </c>
      <c r="F59" s="22">
        <f>'VIX HISTORIQUE'!K62</f>
        <v>17.2</v>
      </c>
    </row>
    <row r="60" ht="15.75" customHeight="1">
      <c r="A60" s="25">
        <f>'VIX HISTORIQUE'!A63</f>
        <v>43342.66667</v>
      </c>
      <c r="B60" s="22">
        <f>'VIX HISTORIQUE'!B63</f>
        <v>2901.13</v>
      </c>
      <c r="C60" s="22">
        <f>'VIX HISTORIQUE'!D63</f>
        <v>13.53</v>
      </c>
      <c r="D60" s="22">
        <f>'VIX HISTORIQUE'!G63</f>
        <v>15.54</v>
      </c>
      <c r="E60" s="22">
        <f>'VIX HISTORIQUE'!I63</f>
        <v>16.69</v>
      </c>
      <c r="F60" s="22">
        <f>'VIX HISTORIQUE'!K63</f>
        <v>17.58</v>
      </c>
    </row>
    <row r="61" ht="15.75" customHeight="1">
      <c r="A61" s="25">
        <f>'VIX HISTORIQUE'!A64</f>
        <v>43343.66667</v>
      </c>
      <c r="B61" s="22">
        <f>'VIX HISTORIQUE'!B64</f>
        <v>2901.52</v>
      </c>
      <c r="C61" s="22">
        <f>'VIX HISTORIQUE'!D64</f>
        <v>12.86</v>
      </c>
      <c r="D61" s="22">
        <f>'VIX HISTORIQUE'!G64</f>
        <v>15.15</v>
      </c>
      <c r="E61" s="22">
        <f>'VIX HISTORIQUE'!I64</f>
        <v>16.43</v>
      </c>
      <c r="F61" s="22">
        <f>'VIX HISTORIQUE'!K64</f>
        <v>17.41</v>
      </c>
    </row>
    <row r="62" ht="15.75" customHeight="1">
      <c r="A62" s="25">
        <f>'VIX HISTORIQUE'!A65</f>
        <v>43347.66667</v>
      </c>
      <c r="B62" s="22">
        <f>'VIX HISTORIQUE'!B65</f>
        <v>2896.72</v>
      </c>
      <c r="C62" s="22">
        <f>'VIX HISTORIQUE'!D65</f>
        <v>13.16</v>
      </c>
      <c r="D62" s="22">
        <f>'VIX HISTORIQUE'!G65</f>
        <v>15.45</v>
      </c>
      <c r="E62" s="22">
        <f>'VIX HISTORIQUE'!I65</f>
        <v>16.59</v>
      </c>
      <c r="F62" s="22">
        <f>'VIX HISTORIQUE'!K65</f>
        <v>17.5</v>
      </c>
    </row>
    <row r="63" ht="15.75" customHeight="1">
      <c r="A63" s="25">
        <f>'VIX HISTORIQUE'!A66</f>
        <v>43348.66667</v>
      </c>
      <c r="B63" s="22">
        <f>'VIX HISTORIQUE'!B66</f>
        <v>2888.6</v>
      </c>
      <c r="C63" s="22">
        <f>'VIX HISTORIQUE'!D66</f>
        <v>13.91</v>
      </c>
      <c r="D63" s="22">
        <f>'VIX HISTORIQUE'!G66</f>
        <v>15.92</v>
      </c>
      <c r="E63" s="22">
        <f>'VIX HISTORIQUE'!I66</f>
        <v>16.93</v>
      </c>
      <c r="F63" s="22">
        <f>'VIX HISTORIQUE'!K66</f>
        <v>17.8</v>
      </c>
    </row>
    <row r="64" ht="15.75" customHeight="1">
      <c r="A64" s="25">
        <f>'VIX HISTORIQUE'!A67</f>
        <v>43349.66667</v>
      </c>
      <c r="B64" s="22">
        <f>'VIX HISTORIQUE'!B67</f>
        <v>2878.05</v>
      </c>
      <c r="C64" s="22">
        <f>'VIX HISTORIQUE'!D67</f>
        <v>14.65</v>
      </c>
      <c r="D64" s="22">
        <f>'VIX HISTORIQUE'!G67</f>
        <v>16.34</v>
      </c>
      <c r="E64" s="22">
        <f>'VIX HISTORIQUE'!I67</f>
        <v>17.26</v>
      </c>
      <c r="F64" s="22">
        <f>'VIX HISTORIQUE'!K67</f>
        <v>18.02</v>
      </c>
    </row>
    <row r="65" ht="15.75" customHeight="1">
      <c r="A65" s="25">
        <f>'VIX HISTORIQUE'!A68</f>
        <v>43350.66667</v>
      </c>
      <c r="B65" s="22">
        <f>'VIX HISTORIQUE'!B68</f>
        <v>2871.68</v>
      </c>
      <c r="C65" s="22">
        <f>'VIX HISTORIQUE'!D68</f>
        <v>14.88</v>
      </c>
      <c r="D65" s="22">
        <f>'VIX HISTORIQUE'!G68</f>
        <v>16.59</v>
      </c>
      <c r="E65" s="22">
        <f>'VIX HISTORIQUE'!I68</f>
        <v>17.47</v>
      </c>
      <c r="F65" s="22">
        <f>'VIX HISTORIQUE'!K68</f>
        <v>18.18</v>
      </c>
    </row>
    <row r="66" ht="15.75" customHeight="1">
      <c r="A66" s="25">
        <f>'VIX HISTORIQUE'!A69</f>
        <v>43353.66667</v>
      </c>
      <c r="B66" s="22">
        <f>'VIX HISTORIQUE'!B69</f>
        <v>2877.13</v>
      </c>
      <c r="C66" s="22">
        <f>'VIX HISTORIQUE'!D69</f>
        <v>14.16</v>
      </c>
      <c r="D66" s="22">
        <f>'VIX HISTORIQUE'!G69</f>
        <v>16.17</v>
      </c>
      <c r="E66" s="22">
        <f>'VIX HISTORIQUE'!I69</f>
        <v>17.15</v>
      </c>
      <c r="F66" s="22">
        <f>'VIX HISTORIQUE'!K69</f>
        <v>18.04</v>
      </c>
    </row>
    <row r="67" ht="15.75" customHeight="1">
      <c r="A67" s="25">
        <f>'VIX HISTORIQUE'!A70</f>
        <v>43354.66667</v>
      </c>
      <c r="B67" s="22">
        <f>'VIX HISTORIQUE'!B70</f>
        <v>2887.89</v>
      </c>
      <c r="C67" s="22">
        <f>'VIX HISTORIQUE'!D70</f>
        <v>13.22</v>
      </c>
      <c r="D67" s="22">
        <f>'VIX HISTORIQUE'!G70</f>
        <v>15.54</v>
      </c>
      <c r="E67" s="22">
        <f>'VIX HISTORIQUE'!I70</f>
        <v>16.64</v>
      </c>
      <c r="F67" s="22">
        <f>'VIX HISTORIQUE'!K70</f>
        <v>17.68</v>
      </c>
    </row>
    <row r="68" ht="15.75" customHeight="1">
      <c r="A68" s="25">
        <f>'VIX HISTORIQUE'!A71</f>
        <v>43355.66667</v>
      </c>
      <c r="B68" s="22">
        <f>'VIX HISTORIQUE'!B71</f>
        <v>2888.92</v>
      </c>
      <c r="C68" s="22">
        <f>'VIX HISTORIQUE'!D71</f>
        <v>13.14</v>
      </c>
      <c r="D68" s="22">
        <f>'VIX HISTORIQUE'!G71</f>
        <v>15.32</v>
      </c>
      <c r="E68" s="22">
        <f>'VIX HISTORIQUE'!I71</f>
        <v>16.4</v>
      </c>
      <c r="F68" s="22">
        <f>'VIX HISTORIQUE'!K71</f>
        <v>17.45</v>
      </c>
    </row>
    <row r="69" ht="15.75" customHeight="1">
      <c r="A69" s="25">
        <f>'VIX HISTORIQUE'!A72</f>
        <v>43356.66667</v>
      </c>
      <c r="B69" s="22">
        <f>'VIX HISTORIQUE'!B72</f>
        <v>2904.18</v>
      </c>
      <c r="C69" s="22">
        <f>'VIX HISTORIQUE'!D72</f>
        <v>12.37</v>
      </c>
      <c r="D69" s="22">
        <f>'VIX HISTORIQUE'!G72</f>
        <v>14.77</v>
      </c>
      <c r="E69" s="22">
        <f>'VIX HISTORIQUE'!I72</f>
        <v>15.86</v>
      </c>
      <c r="F69" s="22">
        <f>'VIX HISTORIQUE'!K72</f>
        <v>17.11</v>
      </c>
    </row>
    <row r="70" ht="15.75" customHeight="1">
      <c r="A70" s="25">
        <f>'VIX HISTORIQUE'!A73</f>
        <v>43357.66667</v>
      </c>
      <c r="B70" s="22">
        <f>'VIX HISTORIQUE'!B73</f>
        <v>2904.98</v>
      </c>
      <c r="C70" s="22">
        <f>'VIX HISTORIQUE'!D73</f>
        <v>12.07</v>
      </c>
      <c r="D70" s="22">
        <f>'VIX HISTORIQUE'!G73</f>
        <v>14.37</v>
      </c>
      <c r="E70" s="22">
        <f>'VIX HISTORIQUE'!I73</f>
        <v>15.6</v>
      </c>
      <c r="F70" s="22">
        <f>'VIX HISTORIQUE'!K73</f>
        <v>16.98</v>
      </c>
    </row>
    <row r="71" ht="15.75" customHeight="1">
      <c r="A71" s="25">
        <f>'VIX HISTORIQUE'!A74</f>
        <v>43360.66667</v>
      </c>
      <c r="B71" s="22">
        <f>'VIX HISTORIQUE'!B74</f>
        <v>2888.8</v>
      </c>
      <c r="C71" s="22">
        <f>'VIX HISTORIQUE'!D74</f>
        <v>13.68</v>
      </c>
      <c r="D71" s="22">
        <f>'VIX HISTORIQUE'!G74</f>
        <v>15.28</v>
      </c>
      <c r="E71" s="22">
        <f>'VIX HISTORIQUE'!I74</f>
        <v>16.1</v>
      </c>
      <c r="F71" s="22">
        <f>'VIX HISTORIQUE'!K74</f>
        <v>17.23</v>
      </c>
    </row>
    <row r="72" ht="15.75" customHeight="1">
      <c r="A72" s="25">
        <f>'VIX HISTORIQUE'!A75</f>
        <v>43361.66667</v>
      </c>
      <c r="B72" s="22">
        <f>'VIX HISTORIQUE'!B75</f>
        <v>2904.31</v>
      </c>
      <c r="C72" s="22">
        <f>'VIX HISTORIQUE'!D75</f>
        <v>12.79</v>
      </c>
      <c r="D72" s="22">
        <f>'VIX HISTORIQUE'!G75</f>
        <v>15.04</v>
      </c>
      <c r="E72" s="22">
        <f>'VIX HISTORIQUE'!I75</f>
        <v>15.99</v>
      </c>
      <c r="F72" s="22">
        <f>'VIX HISTORIQUE'!K75</f>
        <v>17.1</v>
      </c>
    </row>
    <row r="73" ht="15.75" customHeight="1">
      <c r="A73" s="25">
        <f>'VIX HISTORIQUE'!A76</f>
        <v>43362.66667</v>
      </c>
      <c r="B73" s="22">
        <f>'VIX HISTORIQUE'!B76</f>
        <v>2907.95</v>
      </c>
      <c r="C73" s="22">
        <f>'VIX HISTORIQUE'!D76</f>
        <v>11.75</v>
      </c>
      <c r="D73" s="22">
        <f>'VIX HISTORIQUE'!G76</f>
        <v>14.65</v>
      </c>
      <c r="E73" s="22">
        <f>'VIX HISTORIQUE'!I76</f>
        <v>15.85</v>
      </c>
      <c r="F73" s="22">
        <f>'VIX HISTORIQUE'!K76</f>
        <v>16.99</v>
      </c>
    </row>
    <row r="74" ht="15.75" customHeight="1">
      <c r="A74" s="25">
        <f>'VIX HISTORIQUE'!A77</f>
        <v>43363.66667</v>
      </c>
      <c r="B74" s="22">
        <f>'VIX HISTORIQUE'!B77</f>
        <v>2930.75</v>
      </c>
      <c r="C74" s="22">
        <f>'VIX HISTORIQUE'!D77</f>
        <v>11.8</v>
      </c>
      <c r="D74" s="22">
        <f>'VIX HISTORIQUE'!G77</f>
        <v>14.51</v>
      </c>
      <c r="E74" s="22">
        <f>'VIX HISTORIQUE'!I77</f>
        <v>15.7</v>
      </c>
      <c r="F74" s="22">
        <f>'VIX HISTORIQUE'!K77</f>
        <v>16.84</v>
      </c>
    </row>
    <row r="75" ht="15.75" customHeight="1">
      <c r="A75" s="25">
        <f>'VIX HISTORIQUE'!A78</f>
        <v>43364.66667</v>
      </c>
      <c r="B75" s="22">
        <f>'VIX HISTORIQUE'!B78</f>
        <v>2929.67</v>
      </c>
      <c r="C75" s="22">
        <f>'VIX HISTORIQUE'!D78</f>
        <v>11.68</v>
      </c>
      <c r="D75" s="22">
        <f>'VIX HISTORIQUE'!G78</f>
        <v>14.58</v>
      </c>
      <c r="E75" s="22">
        <f>'VIX HISTORIQUE'!I78</f>
        <v>15.9</v>
      </c>
      <c r="F75" s="22">
        <f>'VIX HISTORIQUE'!K78</f>
        <v>17</v>
      </c>
    </row>
    <row r="76" ht="15.75" customHeight="1">
      <c r="A76" s="25">
        <f>'VIX HISTORIQUE'!A79</f>
        <v>43367.66667</v>
      </c>
      <c r="B76" s="22">
        <f>'VIX HISTORIQUE'!B79</f>
        <v>2919.37</v>
      </c>
      <c r="C76" s="22">
        <f>'VIX HISTORIQUE'!D79</f>
        <v>12.2</v>
      </c>
      <c r="D76" s="22">
        <f>'VIX HISTORIQUE'!G79</f>
        <v>14.77</v>
      </c>
      <c r="E76" s="22">
        <f>'VIX HISTORIQUE'!I79</f>
        <v>15.96</v>
      </c>
      <c r="F76" s="22">
        <f>'VIX HISTORIQUE'!K79</f>
        <v>17.07</v>
      </c>
    </row>
    <row r="77" ht="15.75" customHeight="1">
      <c r="A77" s="25">
        <f>'VIX HISTORIQUE'!A80</f>
        <v>43368.66667</v>
      </c>
      <c r="B77" s="22">
        <f>'VIX HISTORIQUE'!B80</f>
        <v>2915.56</v>
      </c>
      <c r="C77" s="22">
        <f>'VIX HISTORIQUE'!D80</f>
        <v>12.42</v>
      </c>
      <c r="D77" s="22">
        <f>'VIX HISTORIQUE'!G80</f>
        <v>14.92</v>
      </c>
      <c r="E77" s="22">
        <f>'VIX HISTORIQUE'!I80</f>
        <v>16.05</v>
      </c>
      <c r="F77" s="22">
        <f>'VIX HISTORIQUE'!K80</f>
        <v>17.11</v>
      </c>
    </row>
    <row r="78" ht="15.75" customHeight="1">
      <c r="A78" s="25">
        <f>'VIX HISTORIQUE'!A81</f>
        <v>43369.66667</v>
      </c>
      <c r="B78" s="22">
        <f>'VIX HISTORIQUE'!B81</f>
        <v>2905.97</v>
      </c>
      <c r="C78" s="22">
        <f>'VIX HISTORIQUE'!D81</f>
        <v>12.89</v>
      </c>
      <c r="D78" s="22">
        <f>'VIX HISTORIQUE'!G81</f>
        <v>15.15</v>
      </c>
      <c r="E78" s="22">
        <f>'VIX HISTORIQUE'!I81</f>
        <v>16.2</v>
      </c>
      <c r="F78" s="22">
        <f>'VIX HISTORIQUE'!K81</f>
        <v>17.25</v>
      </c>
    </row>
    <row r="79" ht="15.75" customHeight="1">
      <c r="A79" s="25">
        <f>'VIX HISTORIQUE'!A82</f>
        <v>43370.66667</v>
      </c>
      <c r="B79" s="22">
        <f>'VIX HISTORIQUE'!B82</f>
        <v>2914</v>
      </c>
      <c r="C79" s="22">
        <f>'VIX HISTORIQUE'!D82</f>
        <v>12.41</v>
      </c>
      <c r="D79" s="22">
        <f>'VIX HISTORIQUE'!G82</f>
        <v>14.89</v>
      </c>
      <c r="E79" s="22">
        <f>'VIX HISTORIQUE'!I82</f>
        <v>16.07</v>
      </c>
      <c r="F79" s="22">
        <f>'VIX HISTORIQUE'!K82</f>
        <v>17.23</v>
      </c>
    </row>
    <row r="80" ht="15.75" customHeight="1">
      <c r="A80" s="25">
        <f>'VIX HISTORIQUE'!A83</f>
        <v>43371.66667</v>
      </c>
      <c r="B80" s="22">
        <f>'VIX HISTORIQUE'!B83</f>
        <v>2913.98</v>
      </c>
      <c r="C80" s="22">
        <f>'VIX HISTORIQUE'!D83</f>
        <v>12.12</v>
      </c>
      <c r="D80" s="22">
        <f>'VIX HISTORIQUE'!G83</f>
        <v>14.77</v>
      </c>
      <c r="E80" s="22">
        <f>'VIX HISTORIQUE'!I83</f>
        <v>15.98</v>
      </c>
      <c r="F80" s="22">
        <f>'VIX HISTORIQUE'!K83</f>
        <v>17.22</v>
      </c>
    </row>
    <row r="81" ht="15.75" customHeight="1">
      <c r="A81" s="25">
        <f>'VIX HISTORIQUE'!A84</f>
        <v>43374.66667</v>
      </c>
      <c r="B81" s="22">
        <f>'VIX HISTORIQUE'!B84</f>
        <v>2924.59</v>
      </c>
      <c r="C81" s="22">
        <f>'VIX HISTORIQUE'!D84</f>
        <v>12</v>
      </c>
      <c r="D81" s="22">
        <f>'VIX HISTORIQUE'!G84</f>
        <v>14.74</v>
      </c>
      <c r="E81" s="22">
        <f>'VIX HISTORIQUE'!I84</f>
        <v>15.95</v>
      </c>
      <c r="F81" s="22">
        <f>'VIX HISTORIQUE'!K84</f>
        <v>17.2</v>
      </c>
    </row>
    <row r="82" ht="15.75" customHeight="1">
      <c r="A82" s="25">
        <f>'VIX HISTORIQUE'!A85</f>
        <v>43375.66667</v>
      </c>
      <c r="B82" s="22">
        <f>'VIX HISTORIQUE'!B85</f>
        <v>2923.43</v>
      </c>
      <c r="C82" s="22">
        <f>'VIX HISTORIQUE'!D85</f>
        <v>12.05</v>
      </c>
      <c r="D82" s="22">
        <f>'VIX HISTORIQUE'!G85</f>
        <v>14.84</v>
      </c>
      <c r="E82" s="22">
        <f>'VIX HISTORIQUE'!I85</f>
        <v>16.03</v>
      </c>
      <c r="F82" s="22">
        <f>'VIX HISTORIQUE'!K85</f>
        <v>17.22</v>
      </c>
    </row>
    <row r="83" ht="15.75" customHeight="1">
      <c r="A83" s="25">
        <f>'VIX HISTORIQUE'!A86</f>
        <v>43376.66667</v>
      </c>
      <c r="B83" s="22">
        <f>'VIX HISTORIQUE'!B86</f>
        <v>2925.51</v>
      </c>
      <c r="C83" s="22">
        <f>'VIX HISTORIQUE'!D86</f>
        <v>11.61</v>
      </c>
      <c r="D83" s="22">
        <f>'VIX HISTORIQUE'!G86</f>
        <v>14.68</v>
      </c>
      <c r="E83" s="22">
        <f>'VIX HISTORIQUE'!I86</f>
        <v>15.96</v>
      </c>
      <c r="F83" s="22">
        <f>'VIX HISTORIQUE'!K86</f>
        <v>17.17</v>
      </c>
    </row>
    <row r="84" ht="15.75" customHeight="1">
      <c r="A84" s="25">
        <f>'VIX HISTORIQUE'!A87</f>
        <v>43377.66667</v>
      </c>
      <c r="B84" s="22">
        <f>'VIX HISTORIQUE'!B87</f>
        <v>2901.61</v>
      </c>
      <c r="C84" s="22">
        <f>'VIX HISTORIQUE'!D87</f>
        <v>14.22</v>
      </c>
      <c r="D84" s="22">
        <f>'VIX HISTORIQUE'!G87</f>
        <v>15.84</v>
      </c>
      <c r="E84" s="22">
        <f>'VIX HISTORIQUE'!I87</f>
        <v>16.7</v>
      </c>
      <c r="F84" s="22">
        <f>'VIX HISTORIQUE'!K87</f>
        <v>17.61</v>
      </c>
    </row>
    <row r="85" ht="15.75" customHeight="1">
      <c r="A85" s="25">
        <f>'VIX HISTORIQUE'!A88</f>
        <v>43378.66667</v>
      </c>
      <c r="B85" s="22">
        <f>'VIX HISTORIQUE'!B88</f>
        <v>2885.57</v>
      </c>
      <c r="C85" s="22">
        <f>'VIX HISTORIQUE'!D88</f>
        <v>14.82</v>
      </c>
      <c r="D85" s="22">
        <f>'VIX HISTORIQUE'!G88</f>
        <v>16.25</v>
      </c>
      <c r="E85" s="22">
        <f>'VIX HISTORIQUE'!I88</f>
        <v>17.14</v>
      </c>
      <c r="F85" s="22">
        <f>'VIX HISTORIQUE'!K88</f>
        <v>17.97</v>
      </c>
    </row>
    <row r="86" ht="15.75" customHeight="1">
      <c r="A86" s="25">
        <f>'VIX HISTORIQUE'!A89</f>
        <v>43381.66667</v>
      </c>
      <c r="B86" s="22">
        <f>'VIX HISTORIQUE'!B89</f>
        <v>2884.43</v>
      </c>
      <c r="C86" s="22">
        <f>'VIX HISTORIQUE'!D89</f>
        <v>15.69</v>
      </c>
      <c r="D86" s="22">
        <f>'VIX HISTORIQUE'!G89</f>
        <v>16.51</v>
      </c>
      <c r="E86" s="22">
        <f>'VIX HISTORIQUE'!I89</f>
        <v>17.36</v>
      </c>
      <c r="F86" s="22">
        <f>'VIX HISTORIQUE'!K89</f>
        <v>18.14</v>
      </c>
    </row>
    <row r="87" ht="15.75" customHeight="1">
      <c r="A87" s="25">
        <f>'VIX HISTORIQUE'!A90</f>
        <v>43382.66667</v>
      </c>
      <c r="B87" s="22">
        <f>'VIX HISTORIQUE'!B90</f>
        <v>2880.34</v>
      </c>
      <c r="C87" s="22">
        <f>'VIX HISTORIQUE'!D90</f>
        <v>15.95</v>
      </c>
      <c r="D87" s="22">
        <f>'VIX HISTORIQUE'!G90</f>
        <v>16.63</v>
      </c>
      <c r="E87" s="22">
        <f>'VIX HISTORIQUE'!I90</f>
        <v>17.4</v>
      </c>
      <c r="F87" s="22">
        <f>'VIX HISTORIQUE'!K90</f>
        <v>18.22</v>
      </c>
    </row>
    <row r="88" ht="15.75" customHeight="1">
      <c r="A88" s="25">
        <f>'VIX HISTORIQUE'!A91</f>
        <v>43383.66667</v>
      </c>
      <c r="B88" s="22">
        <f>'VIX HISTORIQUE'!B91</f>
        <v>2785.68</v>
      </c>
      <c r="C88" s="22">
        <f>'VIX HISTORIQUE'!D91</f>
        <v>22.96</v>
      </c>
      <c r="D88" s="22">
        <f>'VIX HISTORIQUE'!G91</f>
        <v>20.7</v>
      </c>
      <c r="E88" s="22">
        <f>'VIX HISTORIQUE'!I91</f>
        <v>20.31</v>
      </c>
      <c r="F88" s="22">
        <f>'VIX HISTORIQUE'!K91</f>
        <v>19.99</v>
      </c>
    </row>
    <row r="89" ht="15.75" customHeight="1">
      <c r="A89" s="25">
        <f>'VIX HISTORIQUE'!A92</f>
        <v>43384.66667</v>
      </c>
      <c r="B89" s="22">
        <f>'VIX HISTORIQUE'!B92</f>
        <v>2728.37</v>
      </c>
      <c r="C89" s="22">
        <f>'VIX HISTORIQUE'!D92</f>
        <v>24.98</v>
      </c>
      <c r="D89" s="22">
        <f>'VIX HISTORIQUE'!G92</f>
        <v>21.56</v>
      </c>
      <c r="E89" s="22">
        <f>'VIX HISTORIQUE'!I92</f>
        <v>20.88</v>
      </c>
      <c r="F89" s="22">
        <f>'VIX HISTORIQUE'!K92</f>
        <v>20.53</v>
      </c>
    </row>
    <row r="90" ht="15.75" customHeight="1">
      <c r="A90" s="25">
        <f>'VIX HISTORIQUE'!A93</f>
        <v>43385.66667</v>
      </c>
      <c r="B90" s="22">
        <f>'VIX HISTORIQUE'!B93</f>
        <v>2767.13</v>
      </c>
      <c r="C90" s="22">
        <f>'VIX HISTORIQUE'!D93</f>
        <v>21.31</v>
      </c>
      <c r="D90" s="22">
        <f>'VIX HISTORIQUE'!G93</f>
        <v>19.84</v>
      </c>
      <c r="E90" s="22">
        <f>'VIX HISTORIQUE'!I93</f>
        <v>19.87</v>
      </c>
      <c r="F90" s="22">
        <f>'VIX HISTORIQUE'!K93</f>
        <v>19.83</v>
      </c>
    </row>
    <row r="91" ht="15.75" customHeight="1">
      <c r="A91" s="25">
        <f>'VIX HISTORIQUE'!A94</f>
        <v>43388.66667</v>
      </c>
      <c r="B91" s="22">
        <f>'VIX HISTORIQUE'!B94</f>
        <v>2750.79</v>
      </c>
      <c r="C91" s="22">
        <f>'VIX HISTORIQUE'!D94</f>
        <v>21.3</v>
      </c>
      <c r="D91" s="22">
        <f>'VIX HISTORIQUE'!G94</f>
        <v>20.29</v>
      </c>
      <c r="E91" s="22">
        <f>'VIX HISTORIQUE'!I94</f>
        <v>20.27</v>
      </c>
      <c r="F91" s="22">
        <f>'VIX HISTORIQUE'!K94</f>
        <v>20.19</v>
      </c>
    </row>
    <row r="92" ht="15.75" customHeight="1">
      <c r="A92" s="25">
        <f>'VIX HISTORIQUE'!A95</f>
        <v>43389.66667</v>
      </c>
      <c r="B92" s="22">
        <f>'VIX HISTORIQUE'!B95</f>
        <v>2809.92</v>
      </c>
      <c r="C92" s="22">
        <f>'VIX HISTORIQUE'!D95</f>
        <v>17.62</v>
      </c>
      <c r="D92" s="22">
        <f>'VIX HISTORIQUE'!G95</f>
        <v>17.96</v>
      </c>
      <c r="E92" s="22">
        <f>'VIX HISTORIQUE'!I95</f>
        <v>18.58</v>
      </c>
      <c r="F92" s="22">
        <f>'VIX HISTORIQUE'!K95</f>
        <v>19.01</v>
      </c>
    </row>
    <row r="93" ht="15.75" customHeight="1">
      <c r="A93" s="25">
        <f>'VIX HISTORIQUE'!A96</f>
        <v>43390.66667</v>
      </c>
      <c r="B93" s="22">
        <f>'VIX HISTORIQUE'!B96</f>
        <v>2809.21</v>
      </c>
      <c r="C93" s="22">
        <f>'VIX HISTORIQUE'!D96</f>
        <v>17.4</v>
      </c>
      <c r="D93" s="22">
        <f>'VIX HISTORIQUE'!G96</f>
        <v>18.1</v>
      </c>
      <c r="E93" s="22">
        <f>'VIX HISTORIQUE'!I96</f>
        <v>18.64</v>
      </c>
      <c r="F93" s="22">
        <f>'VIX HISTORIQUE'!K96</f>
        <v>19.07</v>
      </c>
    </row>
    <row r="94" ht="15.75" customHeight="1">
      <c r="A94" s="25">
        <f>'VIX HISTORIQUE'!A97</f>
        <v>43391.66667</v>
      </c>
      <c r="B94" s="22">
        <f>'VIX HISTORIQUE'!B97</f>
        <v>2768.78</v>
      </c>
      <c r="C94" s="22">
        <f>'VIX HISTORIQUE'!D97</f>
        <v>20.06</v>
      </c>
      <c r="D94" s="22">
        <f>'VIX HISTORIQUE'!G97</f>
        <v>19.86</v>
      </c>
      <c r="E94" s="22">
        <f>'VIX HISTORIQUE'!I97</f>
        <v>19.93</v>
      </c>
      <c r="F94" s="22">
        <f>'VIX HISTORIQUE'!K97</f>
        <v>20.01</v>
      </c>
    </row>
    <row r="95" ht="15.75" customHeight="1">
      <c r="A95" s="25">
        <f>'VIX HISTORIQUE'!A98</f>
        <v>43392.66667</v>
      </c>
      <c r="B95" s="22">
        <f>'VIX HISTORIQUE'!B98</f>
        <v>2767.78</v>
      </c>
      <c r="C95" s="22">
        <f>'VIX HISTORIQUE'!D98</f>
        <v>19.89</v>
      </c>
      <c r="D95" s="22">
        <f>'VIX HISTORIQUE'!G98</f>
        <v>19.84</v>
      </c>
      <c r="E95" s="22">
        <f>'VIX HISTORIQUE'!I98</f>
        <v>20.03</v>
      </c>
      <c r="F95" s="22">
        <f>'VIX HISTORIQUE'!K98</f>
        <v>20.08</v>
      </c>
    </row>
    <row r="96" ht="15.75" customHeight="1">
      <c r="A96" s="25">
        <f>'VIX HISTORIQUE'!A99</f>
        <v>43395.66667</v>
      </c>
      <c r="B96" s="22">
        <f>'VIX HISTORIQUE'!B99</f>
        <v>2755.88</v>
      </c>
      <c r="C96" s="22">
        <f>'VIX HISTORIQUE'!D99</f>
        <v>19.64</v>
      </c>
      <c r="D96" s="22">
        <f>'VIX HISTORIQUE'!G99</f>
        <v>19.82</v>
      </c>
      <c r="E96" s="22">
        <f>'VIX HISTORIQUE'!I99</f>
        <v>20.01</v>
      </c>
      <c r="F96" s="22">
        <f>'VIX HISTORIQUE'!K99</f>
        <v>20.02</v>
      </c>
    </row>
    <row r="97" ht="15.75" customHeight="1">
      <c r="A97" s="25">
        <f>'VIX HISTORIQUE'!A100</f>
        <v>43396.66667</v>
      </c>
      <c r="B97" s="22">
        <f>'VIX HISTORIQUE'!B100</f>
        <v>2740.69</v>
      </c>
      <c r="C97" s="22">
        <f>'VIX HISTORIQUE'!D100</f>
        <v>20.71</v>
      </c>
      <c r="D97" s="22">
        <f>'VIX HISTORIQUE'!G100</f>
        <v>20.28</v>
      </c>
      <c r="E97" s="22">
        <f>'VIX HISTORIQUE'!I100</f>
        <v>20.29</v>
      </c>
      <c r="F97" s="22">
        <f>'VIX HISTORIQUE'!K100</f>
        <v>20.21</v>
      </c>
    </row>
    <row r="98" ht="15.75" customHeight="1">
      <c r="A98" s="25">
        <f>'VIX HISTORIQUE'!A101</f>
        <v>43397.66667</v>
      </c>
      <c r="B98" s="22">
        <f>'VIX HISTORIQUE'!B101</f>
        <v>2656.1</v>
      </c>
      <c r="C98" s="22">
        <f>'VIX HISTORIQUE'!D101</f>
        <v>25.23</v>
      </c>
      <c r="D98" s="22">
        <f>'VIX HISTORIQUE'!G101</f>
        <v>22.62</v>
      </c>
      <c r="E98" s="22">
        <f>'VIX HISTORIQUE'!I101</f>
        <v>22.04</v>
      </c>
      <c r="F98" s="22">
        <f>'VIX HISTORIQUE'!K101</f>
        <v>21.49</v>
      </c>
    </row>
    <row r="99" ht="15.75" customHeight="1">
      <c r="A99" s="25">
        <f>'VIX HISTORIQUE'!A102</f>
        <v>43398.66667</v>
      </c>
      <c r="B99" s="22">
        <f>'VIX HISTORIQUE'!B102</f>
        <v>2705.57</v>
      </c>
      <c r="C99" s="22">
        <f>'VIX HISTORIQUE'!D102</f>
        <v>24.22</v>
      </c>
      <c r="D99" s="22">
        <f>'VIX HISTORIQUE'!G102</f>
        <v>22.44</v>
      </c>
      <c r="E99" s="22">
        <f>'VIX HISTORIQUE'!I102</f>
        <v>21.84</v>
      </c>
      <c r="F99" s="22">
        <f>'VIX HISTORIQUE'!K102</f>
        <v>21.36</v>
      </c>
    </row>
    <row r="100" ht="15.75" customHeight="1">
      <c r="A100" s="25">
        <f>'VIX HISTORIQUE'!A103</f>
        <v>43399.66667</v>
      </c>
      <c r="B100" s="22">
        <f>'VIX HISTORIQUE'!B103</f>
        <v>2658.69</v>
      </c>
      <c r="C100" s="22">
        <f>'VIX HISTORIQUE'!D103</f>
        <v>24.16</v>
      </c>
      <c r="D100" s="22">
        <f>'VIX HISTORIQUE'!G103</f>
        <v>22.48</v>
      </c>
      <c r="E100" s="22">
        <f>'VIX HISTORIQUE'!I103</f>
        <v>21.97</v>
      </c>
      <c r="F100" s="22">
        <f>'VIX HISTORIQUE'!K103</f>
        <v>21.41</v>
      </c>
    </row>
    <row r="101" ht="15.75" customHeight="1">
      <c r="A101" s="25">
        <f>'VIX HISTORIQUE'!A104</f>
        <v>43402.66667</v>
      </c>
      <c r="B101" s="22">
        <f>'VIX HISTORIQUE'!B104</f>
        <v>2641.25</v>
      </c>
      <c r="C101" s="22">
        <f>'VIX HISTORIQUE'!D104</f>
        <v>24.7</v>
      </c>
      <c r="D101" s="22">
        <f>'VIX HISTORIQUE'!G104</f>
        <v>23.06</v>
      </c>
      <c r="E101" s="22">
        <f>'VIX HISTORIQUE'!I104</f>
        <v>22.27</v>
      </c>
      <c r="F101" s="22">
        <f>'VIX HISTORIQUE'!K104</f>
        <v>21.45</v>
      </c>
    </row>
    <row r="102" ht="15.75" customHeight="1">
      <c r="A102" s="25">
        <f>'VIX HISTORIQUE'!A105</f>
        <v>43403.66667</v>
      </c>
      <c r="B102" s="22">
        <f>'VIX HISTORIQUE'!B105</f>
        <v>2682.63</v>
      </c>
      <c r="C102" s="22">
        <f>'VIX HISTORIQUE'!D105</f>
        <v>23.35</v>
      </c>
      <c r="D102" s="22">
        <f>'VIX HISTORIQUE'!G105</f>
        <v>22.23</v>
      </c>
      <c r="E102" s="22">
        <f>'VIX HISTORIQUE'!I105</f>
        <v>21.72</v>
      </c>
      <c r="F102" s="22">
        <f>'VIX HISTORIQUE'!K105</f>
        <v>21.26</v>
      </c>
    </row>
    <row r="103" ht="15.75" customHeight="1">
      <c r="A103" s="25">
        <f>'VIX HISTORIQUE'!A106</f>
        <v>43404.66667</v>
      </c>
      <c r="B103" s="22">
        <f>'VIX HISTORIQUE'!B106</f>
        <v>2711.74</v>
      </c>
      <c r="C103" s="22">
        <f>'VIX HISTORIQUE'!D106</f>
        <v>21.23</v>
      </c>
      <c r="D103" s="22">
        <f>'VIX HISTORIQUE'!G106</f>
        <v>21.15</v>
      </c>
      <c r="E103" s="22">
        <f>'VIX HISTORIQUE'!I106</f>
        <v>21</v>
      </c>
      <c r="F103" s="22">
        <f>'VIX HISTORIQUE'!K106</f>
        <v>20.7</v>
      </c>
    </row>
    <row r="104" ht="15.75" customHeight="1">
      <c r="A104" s="25">
        <f>'VIX HISTORIQUE'!A107</f>
        <v>43405.66667</v>
      </c>
      <c r="B104" s="22">
        <f>'VIX HISTORIQUE'!B107</f>
        <v>2740.37</v>
      </c>
      <c r="C104" s="22">
        <f>'VIX HISTORIQUE'!D107</f>
        <v>19.34</v>
      </c>
      <c r="D104" s="22">
        <f>'VIX HISTORIQUE'!G107</f>
        <v>20.07</v>
      </c>
      <c r="E104" s="22">
        <f>'VIX HISTORIQUE'!I107</f>
        <v>20.23</v>
      </c>
      <c r="F104" s="22">
        <f>'VIX HISTORIQUE'!K107</f>
        <v>20.21</v>
      </c>
    </row>
    <row r="105" ht="15.75" customHeight="1">
      <c r="A105" s="25">
        <f>'VIX HISTORIQUE'!A108</f>
        <v>43406.66667</v>
      </c>
      <c r="B105" s="22">
        <f>'VIX HISTORIQUE'!B108</f>
        <v>2723.06</v>
      </c>
      <c r="C105" s="22">
        <f>'VIX HISTORIQUE'!D108</f>
        <v>19.51</v>
      </c>
      <c r="D105" s="22">
        <f>'VIX HISTORIQUE'!G108</f>
        <v>20.3</v>
      </c>
      <c r="E105" s="22">
        <f>'VIX HISTORIQUE'!I108</f>
        <v>20.45</v>
      </c>
      <c r="F105" s="22">
        <f>'VIX HISTORIQUE'!K108</f>
        <v>20.47</v>
      </c>
    </row>
    <row r="106" ht="15.75" customHeight="1">
      <c r="A106" s="25">
        <f>'VIX HISTORIQUE'!A109</f>
        <v>43409.66667</v>
      </c>
      <c r="B106" s="22">
        <f>'VIX HISTORIQUE'!B109</f>
        <v>2738.31</v>
      </c>
      <c r="C106" s="22">
        <f>'VIX HISTORIQUE'!D109</f>
        <v>19.96</v>
      </c>
      <c r="D106" s="22">
        <f>'VIX HISTORIQUE'!G109</f>
        <v>20.2</v>
      </c>
      <c r="E106" s="22">
        <f>'VIX HISTORIQUE'!I109</f>
        <v>20.25</v>
      </c>
      <c r="F106" s="22">
        <f>'VIX HISTORIQUE'!K109</f>
        <v>20.26</v>
      </c>
    </row>
    <row r="107" ht="15.75" customHeight="1">
      <c r="A107" s="25">
        <f>'VIX HISTORIQUE'!A110</f>
        <v>43410.66667</v>
      </c>
      <c r="B107" s="22">
        <f>'VIX HISTORIQUE'!B110</f>
        <v>2755.45</v>
      </c>
      <c r="C107" s="22">
        <f>'VIX HISTORIQUE'!D110</f>
        <v>19.91</v>
      </c>
      <c r="D107" s="22">
        <f>'VIX HISTORIQUE'!G110</f>
        <v>19.58</v>
      </c>
      <c r="E107" s="22">
        <f>'VIX HISTORIQUE'!I110</f>
        <v>19.7</v>
      </c>
      <c r="F107" s="22">
        <f>'VIX HISTORIQUE'!K110</f>
        <v>19.89</v>
      </c>
    </row>
    <row r="108" ht="15.75" customHeight="1">
      <c r="A108" s="25">
        <f>'VIX HISTORIQUE'!A111</f>
        <v>43411.66667</v>
      </c>
      <c r="B108" s="22">
        <f>'VIX HISTORIQUE'!B111</f>
        <v>2813.89</v>
      </c>
      <c r="C108" s="22">
        <f>'VIX HISTORIQUE'!D111</f>
        <v>16.36</v>
      </c>
      <c r="D108" s="22">
        <f>'VIX HISTORIQUE'!G111</f>
        <v>17.62</v>
      </c>
      <c r="E108" s="22">
        <f>'VIX HISTORIQUE'!I111</f>
        <v>18.29</v>
      </c>
      <c r="F108" s="22">
        <f>'VIX HISTORIQUE'!K111</f>
        <v>18.95</v>
      </c>
    </row>
    <row r="109" ht="15.75" customHeight="1">
      <c r="A109" s="25">
        <f>'VIX HISTORIQUE'!A112</f>
        <v>43412.66667</v>
      </c>
      <c r="B109" s="22">
        <f>'VIX HISTORIQUE'!B112</f>
        <v>2806.83</v>
      </c>
      <c r="C109" s="22">
        <f>'VIX HISTORIQUE'!D112</f>
        <v>16.72</v>
      </c>
      <c r="D109" s="22">
        <f>'VIX HISTORIQUE'!G112</f>
        <v>17.68</v>
      </c>
      <c r="E109" s="22">
        <f>'VIX HISTORIQUE'!I112</f>
        <v>18.24</v>
      </c>
      <c r="F109" s="22">
        <f>'VIX HISTORIQUE'!K112</f>
        <v>18.93</v>
      </c>
    </row>
    <row r="110" ht="15.75" customHeight="1">
      <c r="A110" s="25">
        <f>'VIX HISTORIQUE'!A113</f>
        <v>43413.66667</v>
      </c>
      <c r="B110" s="22">
        <f>'VIX HISTORIQUE'!B113</f>
        <v>2781.01</v>
      </c>
      <c r="C110" s="22">
        <f>'VIX HISTORIQUE'!D113</f>
        <v>17.36</v>
      </c>
      <c r="D110" s="22">
        <f>'VIX HISTORIQUE'!G113</f>
        <v>18.46</v>
      </c>
      <c r="E110" s="22">
        <f>'VIX HISTORIQUE'!I113</f>
        <v>18.94</v>
      </c>
      <c r="F110" s="22">
        <f>'VIX HISTORIQUE'!K113</f>
        <v>19.38</v>
      </c>
    </row>
    <row r="111" ht="15.75" customHeight="1">
      <c r="A111" s="25">
        <f>'VIX HISTORIQUE'!A114</f>
        <v>43416.66667</v>
      </c>
      <c r="B111" s="22">
        <f>'VIX HISTORIQUE'!B114</f>
        <v>2726.22</v>
      </c>
      <c r="C111" s="22">
        <f>'VIX HISTORIQUE'!D114</f>
        <v>20.45</v>
      </c>
      <c r="D111" s="22">
        <f>'VIX HISTORIQUE'!G114</f>
        <v>20.23</v>
      </c>
      <c r="E111" s="22">
        <f>'VIX HISTORIQUE'!I114</f>
        <v>20.16</v>
      </c>
      <c r="F111" s="22">
        <f>'VIX HISTORIQUE'!K114</f>
        <v>20.01</v>
      </c>
    </row>
    <row r="112" ht="15.75" customHeight="1">
      <c r="A112" s="25">
        <f>'VIX HISTORIQUE'!A115</f>
        <v>43417.66667</v>
      </c>
      <c r="B112" s="22">
        <f>'VIX HISTORIQUE'!B115</f>
        <v>2722.18</v>
      </c>
      <c r="C112" s="22">
        <f>'VIX HISTORIQUE'!D115</f>
        <v>20.02</v>
      </c>
      <c r="D112" s="22">
        <f>'VIX HISTORIQUE'!G115</f>
        <v>20.27</v>
      </c>
      <c r="E112" s="22">
        <f>'VIX HISTORIQUE'!I115</f>
        <v>20.29</v>
      </c>
      <c r="F112" s="22">
        <f>'VIX HISTORIQUE'!K115</f>
        <v>20.23</v>
      </c>
    </row>
    <row r="113" ht="15.75" customHeight="1">
      <c r="A113" s="25">
        <f>'VIX HISTORIQUE'!A116</f>
        <v>43418.66667</v>
      </c>
      <c r="B113" s="22">
        <f>'VIX HISTORIQUE'!B116</f>
        <v>2701.58</v>
      </c>
      <c r="C113" s="22">
        <f>'VIX HISTORIQUE'!D116</f>
        <v>21.25</v>
      </c>
      <c r="D113" s="22">
        <f>'VIX HISTORIQUE'!G116</f>
        <v>21.22</v>
      </c>
      <c r="E113" s="22">
        <f>'VIX HISTORIQUE'!I116</f>
        <v>21.04</v>
      </c>
      <c r="F113" s="22">
        <f>'VIX HISTORIQUE'!K116</f>
        <v>20.77</v>
      </c>
    </row>
    <row r="114" ht="15.75" customHeight="1">
      <c r="A114" s="25">
        <f>'VIX HISTORIQUE'!A117</f>
        <v>43419.66667</v>
      </c>
      <c r="B114" s="22">
        <f>'VIX HISTORIQUE'!B117</f>
        <v>2730.2</v>
      </c>
      <c r="C114" s="22">
        <f>'VIX HISTORIQUE'!D117</f>
        <v>19.98</v>
      </c>
      <c r="D114" s="22">
        <f>'VIX HISTORIQUE'!G117</f>
        <v>20.31</v>
      </c>
      <c r="E114" s="22">
        <f>'VIX HISTORIQUE'!I117</f>
        <v>20.48</v>
      </c>
      <c r="F114" s="22">
        <f>'VIX HISTORIQUE'!K117</f>
        <v>20.51</v>
      </c>
    </row>
    <row r="115" ht="15.75" customHeight="1">
      <c r="A115" s="25">
        <f>'VIX HISTORIQUE'!A118</f>
        <v>43420.66667</v>
      </c>
      <c r="B115" s="22">
        <f>'VIX HISTORIQUE'!B118</f>
        <v>2736.27</v>
      </c>
      <c r="C115" s="22">
        <f>'VIX HISTORIQUE'!D118</f>
        <v>18.14</v>
      </c>
      <c r="D115" s="22">
        <f>'VIX HISTORIQUE'!G118</f>
        <v>19.35</v>
      </c>
      <c r="E115" s="22">
        <f>'VIX HISTORIQUE'!I118</f>
        <v>19.82</v>
      </c>
      <c r="F115" s="22">
        <f>'VIX HISTORIQUE'!K118</f>
        <v>20.02</v>
      </c>
    </row>
    <row r="116" ht="15.75" customHeight="1">
      <c r="A116" s="25">
        <f>'VIX HISTORIQUE'!A119</f>
        <v>43423.66667</v>
      </c>
      <c r="B116" s="22">
        <f>'VIX HISTORIQUE'!B119</f>
        <v>2690.73</v>
      </c>
      <c r="C116" s="22">
        <f>'VIX HISTORIQUE'!D119</f>
        <v>20.1</v>
      </c>
      <c r="D116" s="22">
        <f>'VIX HISTORIQUE'!G119</f>
        <v>20.64</v>
      </c>
      <c r="E116" s="22">
        <f>'VIX HISTORIQUE'!I119</f>
        <v>20.79</v>
      </c>
      <c r="F116" s="22">
        <f>'VIX HISTORIQUE'!K119</f>
        <v>20.83</v>
      </c>
    </row>
    <row r="117" ht="15.75" customHeight="1">
      <c r="A117" s="25">
        <f>'VIX HISTORIQUE'!A120</f>
        <v>43424.66667</v>
      </c>
      <c r="B117" s="22">
        <f>'VIX HISTORIQUE'!B120</f>
        <v>2641.89</v>
      </c>
      <c r="C117" s="22">
        <f>'VIX HISTORIQUE'!D120</f>
        <v>22.48</v>
      </c>
      <c r="D117" s="22">
        <f>'VIX HISTORIQUE'!G120</f>
        <v>22.27</v>
      </c>
      <c r="E117" s="22">
        <f>'VIX HISTORIQUE'!I120</f>
        <v>22.09</v>
      </c>
      <c r="F117" s="22">
        <f>'VIX HISTORIQUE'!K120</f>
        <v>21.7</v>
      </c>
    </row>
    <row r="118" ht="15.75" customHeight="1">
      <c r="A118" s="25">
        <f>'VIX HISTORIQUE'!A121</f>
        <v>43425.66667</v>
      </c>
      <c r="B118" s="22">
        <f>'VIX HISTORIQUE'!B121</f>
        <v>2649.93</v>
      </c>
      <c r="C118" s="22">
        <f>'VIX HISTORIQUE'!D121</f>
        <v>20.8</v>
      </c>
      <c r="D118" s="22">
        <f>'VIX HISTORIQUE'!G121</f>
        <v>21.32</v>
      </c>
      <c r="E118" s="22">
        <f>'VIX HISTORIQUE'!I121</f>
        <v>21.47</v>
      </c>
      <c r="F118" s="22">
        <f>'VIX HISTORIQUE'!K121</f>
        <v>21.42</v>
      </c>
    </row>
    <row r="119" ht="15.75" customHeight="1">
      <c r="A119" s="25">
        <f>'VIX HISTORIQUE'!A122</f>
        <v>43427.54167</v>
      </c>
      <c r="B119" s="22">
        <f>'VIX HISTORIQUE'!B122</f>
        <v>2632.56</v>
      </c>
      <c r="C119" s="22">
        <f>'VIX HISTORIQUE'!D122</f>
        <v>21.52</v>
      </c>
      <c r="D119" s="22">
        <f>'VIX HISTORIQUE'!G122</f>
        <v>21.75</v>
      </c>
      <c r="E119" s="22">
        <f>'VIX HISTORIQUE'!I122</f>
        <v>21.79</v>
      </c>
      <c r="F119" s="22">
        <f>'VIX HISTORIQUE'!K122</f>
        <v>21.64</v>
      </c>
    </row>
    <row r="120" ht="15.75" customHeight="1">
      <c r="A120" s="25">
        <f>'VIX HISTORIQUE'!A123</f>
        <v>43430.66667</v>
      </c>
      <c r="B120" s="22">
        <f>'VIX HISTORIQUE'!B123</f>
        <v>2673.45</v>
      </c>
      <c r="C120" s="22">
        <f>'VIX HISTORIQUE'!D123</f>
        <v>18.9</v>
      </c>
      <c r="D120" s="22">
        <f>'VIX HISTORIQUE'!G123</f>
        <v>20.11</v>
      </c>
      <c r="E120" s="22">
        <f>'VIX HISTORIQUE'!I123</f>
        <v>20.55</v>
      </c>
      <c r="F120" s="22">
        <f>'VIX HISTORIQUE'!K123</f>
        <v>20.71</v>
      </c>
    </row>
    <row r="121" ht="15.75" customHeight="1">
      <c r="A121" s="25">
        <f>'VIX HISTORIQUE'!A124</f>
        <v>43431.66667</v>
      </c>
      <c r="B121" s="22">
        <f>'VIX HISTORIQUE'!B124</f>
        <v>2682.17</v>
      </c>
      <c r="C121" s="22">
        <f>'VIX HISTORIQUE'!D124</f>
        <v>19.02</v>
      </c>
      <c r="D121" s="22">
        <f>'VIX HISTORIQUE'!G124</f>
        <v>19.94</v>
      </c>
      <c r="E121" s="22">
        <f>'VIX HISTORIQUE'!I124</f>
        <v>20.4</v>
      </c>
      <c r="F121" s="22">
        <f>'VIX HISTORIQUE'!K124</f>
        <v>21.15</v>
      </c>
    </row>
    <row r="122" ht="15.75" customHeight="1">
      <c r="A122" s="25">
        <f>'VIX HISTORIQUE'!A125</f>
        <v>43432.66667</v>
      </c>
      <c r="B122" s="22">
        <f>'VIX HISTORIQUE'!B125</f>
        <v>2743.79</v>
      </c>
      <c r="C122" s="22">
        <f>'VIX HISTORIQUE'!D125</f>
        <v>18.49</v>
      </c>
      <c r="D122" s="22">
        <f>'VIX HISTORIQUE'!G125</f>
        <v>19.28</v>
      </c>
      <c r="E122" s="22">
        <f>'VIX HISTORIQUE'!I125</f>
        <v>19.79</v>
      </c>
      <c r="F122" s="22">
        <f>'VIX HISTORIQUE'!K125</f>
        <v>20.81</v>
      </c>
    </row>
    <row r="123" ht="15.75" customHeight="1">
      <c r="A123" s="25">
        <f>'VIX HISTORIQUE'!A126</f>
        <v>43433.66667</v>
      </c>
      <c r="B123" s="22">
        <f>'VIX HISTORIQUE'!B126</f>
        <v>2737.76</v>
      </c>
      <c r="C123" s="22">
        <f>'VIX HISTORIQUE'!D126</f>
        <v>18.79</v>
      </c>
      <c r="D123" s="22">
        <f>'VIX HISTORIQUE'!G126</f>
        <v>19.59</v>
      </c>
      <c r="E123" s="22">
        <f>'VIX HISTORIQUE'!I126</f>
        <v>19.92</v>
      </c>
      <c r="F123" s="22">
        <f>'VIX HISTORIQUE'!K126</f>
        <v>20.74</v>
      </c>
    </row>
    <row r="124" ht="15.75" customHeight="1">
      <c r="A124" s="25">
        <f>'VIX HISTORIQUE'!A127</f>
        <v>43434.66667</v>
      </c>
      <c r="B124" s="22">
        <f>'VIX HISTORIQUE'!B127</f>
        <v>2760.17</v>
      </c>
      <c r="C124" s="22">
        <f>'VIX HISTORIQUE'!D127</f>
        <v>18.07</v>
      </c>
      <c r="D124" s="22">
        <f>'VIX HISTORIQUE'!G127</f>
        <v>18.89</v>
      </c>
      <c r="E124" s="22">
        <f>'VIX HISTORIQUE'!I127</f>
        <v>19.49</v>
      </c>
      <c r="F124" s="22">
        <f>'VIX HISTORIQUE'!K127</f>
        <v>20.03</v>
      </c>
    </row>
    <row r="125" ht="15.75" customHeight="1">
      <c r="A125" s="25">
        <f>'VIX HISTORIQUE'!A128</f>
        <v>43437.66667</v>
      </c>
      <c r="B125" s="22">
        <f>'VIX HISTORIQUE'!B128</f>
        <v>2790.37</v>
      </c>
      <c r="C125" s="22">
        <f>'VIX HISTORIQUE'!D128</f>
        <v>16.44</v>
      </c>
      <c r="D125" s="22">
        <f>'VIX HISTORIQUE'!G128</f>
        <v>17.95</v>
      </c>
      <c r="E125" s="22">
        <f>'VIX HISTORIQUE'!I128</f>
        <v>18.66</v>
      </c>
      <c r="F125" s="22">
        <f>'VIX HISTORIQUE'!K128</f>
        <v>19.24</v>
      </c>
    </row>
    <row r="126" ht="15.75" customHeight="1">
      <c r="A126" s="25">
        <f>'VIX HISTORIQUE'!A129</f>
        <v>43438.66667</v>
      </c>
      <c r="B126" s="22">
        <f>'VIX HISTORIQUE'!B129</f>
        <v>2700.06</v>
      </c>
      <c r="C126" s="22">
        <f>'VIX HISTORIQUE'!D129</f>
        <v>20.74</v>
      </c>
      <c r="D126" s="22">
        <f>'VIX HISTORIQUE'!G129</f>
        <v>20.75</v>
      </c>
      <c r="E126" s="22">
        <f>'VIX HISTORIQUE'!I129</f>
        <v>20.6</v>
      </c>
      <c r="F126" s="22">
        <f>'VIX HISTORIQUE'!K129</f>
        <v>20.51</v>
      </c>
    </row>
    <row r="127" ht="15.75" customHeight="1">
      <c r="A127" s="25">
        <f>'VIX HISTORIQUE'!A130</f>
        <v>43440.66667</v>
      </c>
      <c r="B127" s="22">
        <f>'VIX HISTORIQUE'!B130</f>
        <v>2695.95</v>
      </c>
      <c r="C127" s="22">
        <f>'VIX HISTORIQUE'!D130</f>
        <v>21.19</v>
      </c>
      <c r="D127" s="22">
        <f>'VIX HISTORIQUE'!G130</f>
        <v>21.06</v>
      </c>
      <c r="E127" s="22">
        <f>'VIX HISTORIQUE'!I130</f>
        <v>20.83</v>
      </c>
      <c r="F127" s="22">
        <f>'VIX HISTORIQUE'!K130</f>
        <v>20.56</v>
      </c>
    </row>
    <row r="128" ht="15.75" customHeight="1">
      <c r="A128" s="25">
        <f>'VIX HISTORIQUE'!A131</f>
        <v>43441.66667</v>
      </c>
      <c r="B128" s="22">
        <f>'VIX HISTORIQUE'!B131</f>
        <v>2633.08</v>
      </c>
      <c r="C128" s="22">
        <f>'VIX HISTORIQUE'!D131</f>
        <v>23.23</v>
      </c>
      <c r="D128" s="22">
        <f>'VIX HISTORIQUE'!G131</f>
        <v>22.44</v>
      </c>
      <c r="E128" s="22">
        <f>'VIX HISTORIQUE'!I131</f>
        <v>21.89</v>
      </c>
      <c r="F128" s="22">
        <f>'VIX HISTORIQUE'!K131</f>
        <v>21.39</v>
      </c>
    </row>
    <row r="129" ht="15.75" customHeight="1">
      <c r="A129" s="25">
        <f>'VIX HISTORIQUE'!A132</f>
        <v>43444.66667</v>
      </c>
      <c r="B129" s="22">
        <f>'VIX HISTORIQUE'!B132</f>
        <v>2637.72</v>
      </c>
      <c r="C129" s="22">
        <f>'VIX HISTORIQUE'!D132</f>
        <v>22.64</v>
      </c>
      <c r="D129" s="22">
        <f>'VIX HISTORIQUE'!G132</f>
        <v>22.01</v>
      </c>
      <c r="E129" s="22">
        <f>'VIX HISTORIQUE'!I132</f>
        <v>21.68</v>
      </c>
      <c r="F129" s="22">
        <f>'VIX HISTORIQUE'!K132</f>
        <v>21.28</v>
      </c>
    </row>
    <row r="130" ht="15.75" customHeight="1">
      <c r="A130" s="25">
        <f>'VIX HISTORIQUE'!A133</f>
        <v>43445.66667</v>
      </c>
      <c r="B130" s="22">
        <f>'VIX HISTORIQUE'!B133</f>
        <v>2636.78</v>
      </c>
      <c r="C130" s="22">
        <f>'VIX HISTORIQUE'!D133</f>
        <v>21.76</v>
      </c>
      <c r="D130" s="22">
        <f>'VIX HISTORIQUE'!G133</f>
        <v>21.72</v>
      </c>
      <c r="E130" s="22">
        <f>'VIX HISTORIQUE'!I133</f>
        <v>21.57</v>
      </c>
      <c r="F130" s="22">
        <f>'VIX HISTORIQUE'!K133</f>
        <v>21.6</v>
      </c>
    </row>
    <row r="131" ht="15.75" customHeight="1">
      <c r="A131" s="25">
        <f>'VIX HISTORIQUE'!A134</f>
        <v>43446.66667</v>
      </c>
      <c r="B131" s="22">
        <f>'VIX HISTORIQUE'!B134</f>
        <v>2651.07</v>
      </c>
      <c r="C131" s="22">
        <f>'VIX HISTORIQUE'!D134</f>
        <v>21.46</v>
      </c>
      <c r="D131" s="22">
        <f>'VIX HISTORIQUE'!G134</f>
        <v>21.59</v>
      </c>
      <c r="E131" s="22">
        <f>'VIX HISTORIQUE'!I134</f>
        <v>21.57</v>
      </c>
      <c r="F131" s="22">
        <f>'VIX HISTORIQUE'!K134</f>
        <v>21.43</v>
      </c>
    </row>
    <row r="132" ht="15.75" customHeight="1">
      <c r="A132" s="25">
        <f>'VIX HISTORIQUE'!A135</f>
        <v>43447.66667</v>
      </c>
      <c r="B132" s="22">
        <f>'VIX HISTORIQUE'!B135</f>
        <v>2650.54</v>
      </c>
      <c r="C132" s="22">
        <f>'VIX HISTORIQUE'!D135</f>
        <v>20.65</v>
      </c>
      <c r="D132" s="22">
        <f>'VIX HISTORIQUE'!G135</f>
        <v>21.35</v>
      </c>
      <c r="E132" s="22">
        <f>'VIX HISTORIQUE'!I135</f>
        <v>21.61</v>
      </c>
      <c r="F132" s="22">
        <f>'VIX HISTORIQUE'!K135</f>
        <v>22.25</v>
      </c>
    </row>
    <row r="133" ht="15.75" customHeight="1">
      <c r="A133" s="25">
        <f>'VIX HISTORIQUE'!A136</f>
        <v>43448.66667</v>
      </c>
      <c r="B133" s="22">
        <f>'VIX HISTORIQUE'!B136</f>
        <v>2599.95</v>
      </c>
      <c r="C133" s="22">
        <f>'VIX HISTORIQUE'!D136</f>
        <v>21.63</v>
      </c>
      <c r="D133" s="22">
        <f>'VIX HISTORIQUE'!G136</f>
        <v>21.96</v>
      </c>
      <c r="E133" s="22">
        <f>'VIX HISTORIQUE'!I136</f>
        <v>22.02</v>
      </c>
      <c r="F133" s="22">
        <f>'VIX HISTORIQUE'!K136</f>
        <v>22.7</v>
      </c>
    </row>
    <row r="134" ht="15.75" customHeight="1">
      <c r="A134" s="25">
        <f>'VIX HISTORIQUE'!A137</f>
        <v>43451.66667</v>
      </c>
      <c r="B134" s="22">
        <f>'VIX HISTORIQUE'!B137</f>
        <v>2545.94</v>
      </c>
      <c r="C134" s="22">
        <f>'VIX HISTORIQUE'!D137</f>
        <v>24.52</v>
      </c>
      <c r="D134" s="22">
        <f>'VIX HISTORIQUE'!G137</f>
        <v>23.41</v>
      </c>
      <c r="E134" s="22">
        <f>'VIX HISTORIQUE'!I137</f>
        <v>23.05</v>
      </c>
      <c r="F134" s="22">
        <f>'VIX HISTORIQUE'!K137</f>
        <v>23.36</v>
      </c>
    </row>
    <row r="135" ht="15.75" customHeight="1">
      <c r="A135" s="25">
        <f>'VIX HISTORIQUE'!A138</f>
        <v>43452.66667</v>
      </c>
      <c r="B135" s="22">
        <f>'VIX HISTORIQUE'!B138</f>
        <v>2546.16</v>
      </c>
      <c r="C135" s="22">
        <f>'VIX HISTORIQUE'!D138</f>
        <v>25.58</v>
      </c>
      <c r="D135" s="22">
        <f>'VIX HISTORIQUE'!G138</f>
        <v>23.9</v>
      </c>
      <c r="E135" s="22">
        <f>'VIX HISTORIQUE'!I138</f>
        <v>23.39</v>
      </c>
      <c r="F135" s="22">
        <f>'VIX HISTORIQUE'!K138</f>
        <v>22.95</v>
      </c>
    </row>
    <row r="136" ht="15.75" customHeight="1">
      <c r="A136" s="25">
        <f>'VIX HISTORIQUE'!A139</f>
        <v>43453.66667</v>
      </c>
      <c r="B136" s="22">
        <f>'VIX HISTORIQUE'!B139</f>
        <v>2506.96</v>
      </c>
      <c r="C136" s="22">
        <f>'VIX HISTORIQUE'!D139</f>
        <v>25.58</v>
      </c>
      <c r="D136" s="22">
        <f>'VIX HISTORIQUE'!G139</f>
        <v>24.02</v>
      </c>
      <c r="E136" s="22">
        <f>'VIX HISTORIQUE'!I139</f>
        <v>23.62</v>
      </c>
      <c r="F136" s="22">
        <f>'VIX HISTORIQUE'!K139</f>
        <v>23.2</v>
      </c>
    </row>
    <row r="137" ht="15.75" customHeight="1">
      <c r="A137" s="25">
        <f>'VIX HISTORIQUE'!A140</f>
        <v>43454.66667</v>
      </c>
      <c r="B137" s="22">
        <f>'VIX HISTORIQUE'!B140</f>
        <v>2467.42</v>
      </c>
      <c r="C137" s="22">
        <f>'VIX HISTORIQUE'!D140</f>
        <v>28.38</v>
      </c>
      <c r="D137" s="22">
        <f>'VIX HISTORIQUE'!G140</f>
        <v>25.24</v>
      </c>
      <c r="E137" s="22">
        <f>'VIX HISTORIQUE'!I140</f>
        <v>24.33</v>
      </c>
      <c r="F137" s="22">
        <f>'VIX HISTORIQUE'!K140</f>
        <v>23.54</v>
      </c>
    </row>
    <row r="138" ht="15.75" customHeight="1">
      <c r="A138" s="25">
        <f>'VIX HISTORIQUE'!A141</f>
        <v>43455.66667</v>
      </c>
      <c r="B138" s="22">
        <f>'VIX HISTORIQUE'!B141</f>
        <v>2416.62</v>
      </c>
      <c r="C138" s="22">
        <f>'VIX HISTORIQUE'!D141</f>
        <v>30.11</v>
      </c>
      <c r="D138" s="22">
        <f>'VIX HISTORIQUE'!G141</f>
        <v>26.23</v>
      </c>
      <c r="E138" s="22">
        <f>'VIX HISTORIQUE'!I141</f>
        <v>24.86</v>
      </c>
      <c r="F138" s="22">
        <f>'VIX HISTORIQUE'!K141</f>
        <v>24.29</v>
      </c>
    </row>
    <row r="139" ht="15.75" customHeight="1">
      <c r="A139" s="25">
        <f>'VIX HISTORIQUE'!A142</f>
        <v>43458.54167</v>
      </c>
      <c r="B139" s="22">
        <f>'VIX HISTORIQUE'!B142</f>
        <v>2351.1</v>
      </c>
      <c r="C139" s="22">
        <f>'VIX HISTORIQUE'!D142</f>
        <v>36.07</v>
      </c>
      <c r="D139" s="22">
        <f>'VIX HISTORIQUE'!G142</f>
        <v>28.84</v>
      </c>
      <c r="E139" s="22">
        <f>'VIX HISTORIQUE'!I142</f>
        <v>26.36</v>
      </c>
      <c r="F139" s="22">
        <f>'VIX HISTORIQUE'!K142</f>
        <v>25.09</v>
      </c>
    </row>
    <row r="140" ht="15.75" customHeight="1">
      <c r="A140" s="25">
        <f>'VIX HISTORIQUE'!A143</f>
        <v>43460.66667</v>
      </c>
      <c r="B140" s="22">
        <f>'VIX HISTORIQUE'!B143</f>
        <v>2467.7</v>
      </c>
      <c r="C140" s="22">
        <f>'VIX HISTORIQUE'!D143</f>
        <v>30.41</v>
      </c>
      <c r="D140" s="22">
        <f>'VIX HISTORIQUE'!G143</f>
        <v>25.69</v>
      </c>
      <c r="E140" s="22">
        <f>'VIX HISTORIQUE'!I143</f>
        <v>24.37</v>
      </c>
      <c r="F140" s="22">
        <f>'VIX HISTORIQUE'!K143</f>
        <v>22.91</v>
      </c>
    </row>
    <row r="141" ht="15.75" customHeight="1">
      <c r="A141" s="25">
        <f>'VIX HISTORIQUE'!A144</f>
        <v>43461.66667</v>
      </c>
      <c r="B141" s="22">
        <f>'VIX HISTORIQUE'!B144</f>
        <v>2488.83</v>
      </c>
      <c r="C141" s="22">
        <f>'VIX HISTORIQUE'!D144</f>
        <v>29.96</v>
      </c>
      <c r="D141" s="22">
        <f>'VIX HISTORIQUE'!G144</f>
        <v>25.89</v>
      </c>
      <c r="E141" s="22">
        <f>'VIX HISTORIQUE'!I144</f>
        <v>24.23</v>
      </c>
      <c r="F141" s="22">
        <f>'VIX HISTORIQUE'!K144</f>
        <v>23.12</v>
      </c>
    </row>
    <row r="142" ht="15.75" customHeight="1">
      <c r="A142" s="25">
        <f>'VIX HISTORIQUE'!A145</f>
        <v>43462.66667</v>
      </c>
      <c r="B142" s="22">
        <f>'VIX HISTORIQUE'!B145</f>
        <v>2485.74</v>
      </c>
      <c r="C142" s="22">
        <f>'VIX HISTORIQUE'!D145</f>
        <v>28.34</v>
      </c>
      <c r="D142" s="22">
        <f>'VIX HISTORIQUE'!G145</f>
        <v>25.32</v>
      </c>
      <c r="E142" s="22">
        <f>'VIX HISTORIQUE'!I145</f>
        <v>23.95</v>
      </c>
      <c r="F142" s="22">
        <f>'VIX HISTORIQUE'!K145</f>
        <v>22.92</v>
      </c>
    </row>
    <row r="143" ht="15.75" customHeight="1">
      <c r="A143" s="25">
        <f>'VIX HISTORIQUE'!A146</f>
        <v>43465.66667</v>
      </c>
      <c r="B143" s="22">
        <f>'VIX HISTORIQUE'!B146</f>
        <v>2506.85</v>
      </c>
      <c r="C143" s="22">
        <f>'VIX HISTORIQUE'!D146</f>
        <v>25.42</v>
      </c>
      <c r="D143" s="22">
        <f>'VIX HISTORIQUE'!G146</f>
        <v>23.73</v>
      </c>
      <c r="E143" s="22">
        <f>'VIX HISTORIQUE'!I146</f>
        <v>22.93</v>
      </c>
      <c r="F143" s="22">
        <f>'VIX HISTORIQUE'!K146</f>
        <v>22.17</v>
      </c>
    </row>
    <row r="144" ht="15.75" customHeight="1">
      <c r="A144" s="25">
        <f>'VIX HISTORIQUE'!A147</f>
        <v>43467.66667</v>
      </c>
      <c r="B144" s="22">
        <f>'VIX HISTORIQUE'!B147</f>
        <v>2510.03</v>
      </c>
      <c r="C144" s="22">
        <f>'VIX HISTORIQUE'!D147</f>
        <v>23.22</v>
      </c>
      <c r="D144" s="22">
        <f>'VIX HISTORIQUE'!G147</f>
        <v>22.75</v>
      </c>
      <c r="E144" s="22">
        <f>'VIX HISTORIQUE'!I147</f>
        <v>22.31</v>
      </c>
      <c r="F144" s="22">
        <f>'VIX HISTORIQUE'!K147</f>
        <v>22.01</v>
      </c>
    </row>
    <row r="145" ht="15.75" customHeight="1">
      <c r="A145" s="25">
        <f>'VIX HISTORIQUE'!A148</f>
        <v>43468.66667</v>
      </c>
      <c r="B145" s="22">
        <f>'VIX HISTORIQUE'!B148</f>
        <v>2447.89</v>
      </c>
      <c r="C145" s="22">
        <f>'VIX HISTORIQUE'!D148</f>
        <v>25.45</v>
      </c>
      <c r="D145" s="22">
        <f>'VIX HISTORIQUE'!G148</f>
        <v>24.11</v>
      </c>
      <c r="E145" s="22">
        <f>'VIX HISTORIQUE'!I148</f>
        <v>23.36</v>
      </c>
      <c r="F145" s="22">
        <f>'VIX HISTORIQUE'!K148</f>
        <v>22.6</v>
      </c>
    </row>
    <row r="146" ht="15.75" customHeight="1">
      <c r="A146" s="25">
        <f>'VIX HISTORIQUE'!A149</f>
        <v>43469.66667</v>
      </c>
      <c r="B146" s="22">
        <f>'VIX HISTORIQUE'!B149</f>
        <v>2531.94</v>
      </c>
      <c r="C146" s="22">
        <f>'VIX HISTORIQUE'!D149</f>
        <v>21.38</v>
      </c>
      <c r="D146" s="22">
        <f>'VIX HISTORIQUE'!G149</f>
        <v>21.86</v>
      </c>
      <c r="E146" s="22">
        <f>'VIX HISTORIQUE'!I149</f>
        <v>21.76</v>
      </c>
      <c r="F146" s="22">
        <f>'VIX HISTORIQUE'!K149</f>
        <v>21.58</v>
      </c>
    </row>
    <row r="147" ht="15.75" customHeight="1">
      <c r="A147" s="25">
        <f>'VIX HISTORIQUE'!A150</f>
        <v>43472.66667</v>
      </c>
      <c r="B147" s="22">
        <f>'VIX HISTORIQUE'!B150</f>
        <v>2549.69</v>
      </c>
      <c r="C147" s="22">
        <f>'VIX HISTORIQUE'!D150</f>
        <v>21.4</v>
      </c>
      <c r="D147" s="22">
        <f>'VIX HISTORIQUE'!G150</f>
        <v>21.62</v>
      </c>
      <c r="E147" s="22">
        <f>'VIX HISTORIQUE'!I150</f>
        <v>21.53</v>
      </c>
      <c r="F147" s="22">
        <f>'VIX HISTORIQUE'!K150</f>
        <v>21.4</v>
      </c>
    </row>
    <row r="148" ht="15.75" customHeight="1">
      <c r="A148" s="25">
        <f>'VIX HISTORIQUE'!A151</f>
        <v>43473.66667</v>
      </c>
      <c r="B148" s="22">
        <f>'VIX HISTORIQUE'!B151</f>
        <v>2574.41</v>
      </c>
      <c r="C148" s="22">
        <f>'VIX HISTORIQUE'!D151</f>
        <v>20.47</v>
      </c>
      <c r="D148" s="22">
        <f>'VIX HISTORIQUE'!G151</f>
        <v>21.14</v>
      </c>
      <c r="E148" s="22">
        <f>'VIX HISTORIQUE'!I151</f>
        <v>21.17</v>
      </c>
      <c r="F148" s="22">
        <f>'VIX HISTORIQUE'!K151</f>
        <v>21.23</v>
      </c>
    </row>
    <row r="149" ht="15.75" customHeight="1">
      <c r="A149" s="25">
        <f>'VIX HISTORIQUE'!A152</f>
        <v>43474.66667</v>
      </c>
      <c r="B149" s="22">
        <f>'VIX HISTORIQUE'!B152</f>
        <v>2584.96</v>
      </c>
      <c r="C149" s="22">
        <f>'VIX HISTORIQUE'!D152</f>
        <v>19.98</v>
      </c>
      <c r="D149" s="22">
        <f>'VIX HISTORIQUE'!G152</f>
        <v>20.69</v>
      </c>
      <c r="E149" s="22">
        <f>'VIX HISTORIQUE'!I152</f>
        <v>20.9</v>
      </c>
      <c r="F149" s="22">
        <f>'VIX HISTORIQUE'!K152</f>
        <v>21.04</v>
      </c>
    </row>
    <row r="150" ht="15.75" customHeight="1">
      <c r="A150" s="25">
        <f>'VIX HISTORIQUE'!A153</f>
        <v>43475.66667</v>
      </c>
      <c r="B150" s="22">
        <f>'VIX HISTORIQUE'!B153</f>
        <v>2596.64</v>
      </c>
      <c r="C150" s="22">
        <f>'VIX HISTORIQUE'!D153</f>
        <v>19.5</v>
      </c>
      <c r="D150" s="22">
        <f>'VIX HISTORIQUE'!G153</f>
        <v>20.52</v>
      </c>
      <c r="E150" s="22">
        <f>'VIX HISTORIQUE'!I153</f>
        <v>20.86</v>
      </c>
      <c r="F150" s="22">
        <f>'VIX HISTORIQUE'!K153</f>
        <v>20.97</v>
      </c>
    </row>
    <row r="151" ht="15.75" customHeight="1">
      <c r="A151" s="25">
        <f>'VIX HISTORIQUE'!A154</f>
        <v>43476.66667</v>
      </c>
      <c r="B151" s="22">
        <f>'VIX HISTORIQUE'!B154</f>
        <v>2596.26</v>
      </c>
      <c r="C151" s="22">
        <f>'VIX HISTORIQUE'!D154</f>
        <v>18.19</v>
      </c>
      <c r="D151" s="22">
        <f>'VIX HISTORIQUE'!G154</f>
        <v>19.74</v>
      </c>
      <c r="E151" s="22">
        <f>'VIX HISTORIQUE'!I154</f>
        <v>20.35</v>
      </c>
      <c r="F151" s="22">
        <f>'VIX HISTORIQUE'!K154</f>
        <v>20.62</v>
      </c>
    </row>
    <row r="152" ht="15.75" customHeight="1">
      <c r="A152" s="25">
        <f>'VIX HISTORIQUE'!A155</f>
        <v>43479.66667</v>
      </c>
      <c r="B152" s="22">
        <f>'VIX HISTORIQUE'!B155</f>
        <v>2582.61</v>
      </c>
      <c r="C152" s="22">
        <f>'VIX HISTORIQUE'!D155</f>
        <v>19.07</v>
      </c>
      <c r="D152" s="22">
        <f>'VIX HISTORIQUE'!G155</f>
        <v>19.93</v>
      </c>
      <c r="E152" s="22">
        <f>'VIX HISTORIQUE'!I155</f>
        <v>20.39</v>
      </c>
      <c r="F152" s="22">
        <f>'VIX HISTORIQUE'!K155</f>
        <v>20.61</v>
      </c>
    </row>
    <row r="153" ht="15.75" customHeight="1">
      <c r="A153" s="25">
        <f>'VIX HISTORIQUE'!A156</f>
        <v>43480.66667</v>
      </c>
      <c r="B153" s="22">
        <f>'VIX HISTORIQUE'!B156</f>
        <v>2610.3</v>
      </c>
      <c r="C153" s="22">
        <f>'VIX HISTORIQUE'!D156</f>
        <v>18.6</v>
      </c>
      <c r="D153" s="22">
        <f>'VIX HISTORIQUE'!G156</f>
        <v>19.24</v>
      </c>
      <c r="E153" s="22">
        <f>'VIX HISTORIQUE'!I156</f>
        <v>19.73</v>
      </c>
      <c r="F153" s="22">
        <f>'VIX HISTORIQUE'!K156</f>
        <v>20.13</v>
      </c>
    </row>
    <row r="154" ht="15.75" customHeight="1">
      <c r="A154" s="25">
        <f>'VIX HISTORIQUE'!A157</f>
        <v>43481.66667</v>
      </c>
      <c r="B154" s="22">
        <f>'VIX HISTORIQUE'!B157</f>
        <v>2616.1</v>
      </c>
      <c r="C154" s="22">
        <f>'VIX HISTORIQUE'!D157</f>
        <v>19.04</v>
      </c>
      <c r="D154" s="22">
        <f>'VIX HISTORIQUE'!G157</f>
        <v>19.53</v>
      </c>
      <c r="E154" s="22">
        <f>'VIX HISTORIQUE'!I157</f>
        <v>19.84</v>
      </c>
      <c r="F154" s="22">
        <f>'VIX HISTORIQUE'!K157</f>
        <v>20.03</v>
      </c>
    </row>
    <row r="155" ht="15.75" customHeight="1">
      <c r="A155" s="25">
        <f>'VIX HISTORIQUE'!A158</f>
        <v>43482.66667</v>
      </c>
      <c r="B155" s="22">
        <f>'VIX HISTORIQUE'!B158</f>
        <v>2635.96</v>
      </c>
      <c r="C155" s="22">
        <f>'VIX HISTORIQUE'!D158</f>
        <v>18.06</v>
      </c>
      <c r="D155" s="22">
        <f>'VIX HISTORIQUE'!G158</f>
        <v>19.17</v>
      </c>
      <c r="E155" s="22">
        <f>'VIX HISTORIQUE'!I158</f>
        <v>19.62</v>
      </c>
      <c r="F155" s="22">
        <f>'VIX HISTORIQUE'!K158</f>
        <v>19.96</v>
      </c>
    </row>
    <row r="156" ht="15.75" customHeight="1">
      <c r="A156" s="25">
        <f>'VIX HISTORIQUE'!A159</f>
        <v>43483.66667</v>
      </c>
      <c r="B156" s="22">
        <f>'VIX HISTORIQUE'!B159</f>
        <v>2670.71</v>
      </c>
      <c r="C156" s="22">
        <f>'VIX HISTORIQUE'!D159</f>
        <v>17.8</v>
      </c>
      <c r="D156" s="22">
        <f>'VIX HISTORIQUE'!G159</f>
        <v>18.84</v>
      </c>
      <c r="E156" s="22">
        <f>'VIX HISTORIQUE'!I159</f>
        <v>19.27</v>
      </c>
      <c r="F156" s="22">
        <f>'VIX HISTORIQUE'!K159</f>
        <v>19.62</v>
      </c>
    </row>
    <row r="157" ht="15.75" customHeight="1">
      <c r="A157" s="25">
        <f>'VIX HISTORIQUE'!A160</f>
        <v>43487.66667</v>
      </c>
      <c r="B157" s="22">
        <f>'VIX HISTORIQUE'!B160</f>
        <v>2632.9</v>
      </c>
      <c r="C157" s="22">
        <f>'VIX HISTORIQUE'!D160</f>
        <v>20.8</v>
      </c>
      <c r="D157" s="22">
        <f>'VIX HISTORIQUE'!G160</f>
        <v>20.69</v>
      </c>
      <c r="E157" s="22">
        <f>'VIX HISTORIQUE'!I160</f>
        <v>20.55</v>
      </c>
      <c r="F157" s="22">
        <f>'VIX HISTORIQUE'!K160</f>
        <v>20.42</v>
      </c>
    </row>
    <row r="158" ht="15.75" customHeight="1">
      <c r="A158" s="25">
        <f>'VIX HISTORIQUE'!A161</f>
        <v>43488.66667</v>
      </c>
      <c r="B158" s="22">
        <f>'VIX HISTORIQUE'!B161</f>
        <v>2638.7</v>
      </c>
      <c r="C158" s="22">
        <f>'VIX HISTORIQUE'!D161</f>
        <v>19.52</v>
      </c>
      <c r="D158" s="22">
        <f>'VIX HISTORIQUE'!G161</f>
        <v>20.08</v>
      </c>
      <c r="E158" s="22">
        <f>'VIX HISTORIQUE'!I161</f>
        <v>20.09</v>
      </c>
      <c r="F158" s="22">
        <f>'VIX HISTORIQUE'!K161</f>
        <v>20.04</v>
      </c>
    </row>
    <row r="159" ht="15.75" customHeight="1">
      <c r="A159" s="25">
        <f>'VIX HISTORIQUE'!A162</f>
        <v>43489.66667</v>
      </c>
      <c r="B159" s="22">
        <f>'VIX HISTORIQUE'!B162</f>
        <v>2642.33</v>
      </c>
      <c r="C159" s="22">
        <f>'VIX HISTORIQUE'!D162</f>
        <v>18.89</v>
      </c>
      <c r="D159" s="22">
        <f>'VIX HISTORIQUE'!G162</f>
        <v>19.67</v>
      </c>
      <c r="E159" s="22">
        <f>'VIX HISTORIQUE'!I162</f>
        <v>19.85</v>
      </c>
      <c r="F159" s="22">
        <f>'VIX HISTORIQUE'!K162</f>
        <v>19.98</v>
      </c>
    </row>
    <row r="160" ht="15.75" customHeight="1">
      <c r="A160" s="25">
        <f>'VIX HISTORIQUE'!A163</f>
        <v>43490.66667</v>
      </c>
      <c r="B160" s="22">
        <f>'VIX HISTORIQUE'!B163</f>
        <v>2664.76</v>
      </c>
      <c r="C160" s="22">
        <f>'VIX HISTORIQUE'!D163</f>
        <v>17.42</v>
      </c>
      <c r="D160" s="22">
        <f>'VIX HISTORIQUE'!G163</f>
        <v>18.82</v>
      </c>
      <c r="E160" s="22">
        <f>'VIX HISTORIQUE'!I163</f>
        <v>19.3</v>
      </c>
      <c r="F160" s="22">
        <f>'VIX HISTORIQUE'!K163</f>
        <v>19.71</v>
      </c>
    </row>
    <row r="161" ht="15.75" customHeight="1">
      <c r="A161" s="25">
        <f>'VIX HISTORIQUE'!A164</f>
        <v>43493.66667</v>
      </c>
      <c r="B161" s="22">
        <f>'VIX HISTORIQUE'!B164</f>
        <v>2643.85</v>
      </c>
      <c r="C161" s="22">
        <f>'VIX HISTORIQUE'!D164</f>
        <v>18.87</v>
      </c>
      <c r="D161" s="22">
        <f>'VIX HISTORIQUE'!G164</f>
        <v>19.58</v>
      </c>
      <c r="E161" s="22">
        <f>'VIX HISTORIQUE'!I164</f>
        <v>19.68</v>
      </c>
      <c r="F161" s="22">
        <f>'VIX HISTORIQUE'!K164</f>
        <v>19.89</v>
      </c>
    </row>
    <row r="162" ht="15.75" customHeight="1">
      <c r="A162" s="25">
        <f>'VIX HISTORIQUE'!A165</f>
        <v>43494.66667</v>
      </c>
      <c r="B162" s="22">
        <f>'VIX HISTORIQUE'!B165</f>
        <v>2640</v>
      </c>
      <c r="C162" s="22">
        <f>'VIX HISTORIQUE'!D165</f>
        <v>19.13</v>
      </c>
      <c r="D162" s="22">
        <f>'VIX HISTORIQUE'!G165</f>
        <v>19.6</v>
      </c>
      <c r="E162" s="22">
        <f>'VIX HISTORIQUE'!I165</f>
        <v>19.68</v>
      </c>
      <c r="F162" s="22">
        <f>'VIX HISTORIQUE'!K165</f>
        <v>19.84</v>
      </c>
    </row>
    <row r="163" ht="15.75" customHeight="1">
      <c r="A163" s="25">
        <f>'VIX HISTORIQUE'!A166</f>
        <v>43495.66667</v>
      </c>
      <c r="B163" s="22">
        <f>'VIX HISTORIQUE'!B166</f>
        <v>2681.05</v>
      </c>
      <c r="C163" s="22">
        <f>'VIX HISTORIQUE'!D166</f>
        <v>17.66</v>
      </c>
      <c r="D163" s="22">
        <f>'VIX HISTORIQUE'!G166</f>
        <v>18.68</v>
      </c>
      <c r="E163" s="22">
        <f>'VIX HISTORIQUE'!I166</f>
        <v>19.04</v>
      </c>
      <c r="F163" s="22">
        <f>'VIX HISTORIQUE'!K166</f>
        <v>19.35</v>
      </c>
    </row>
    <row r="164" ht="15.75" customHeight="1">
      <c r="A164" s="25">
        <f>'VIX HISTORIQUE'!A167</f>
        <v>43496.66667</v>
      </c>
      <c r="B164" s="22">
        <f>'VIX HISTORIQUE'!B167</f>
        <v>2704.1</v>
      </c>
      <c r="C164" s="22">
        <f>'VIX HISTORIQUE'!D167</f>
        <v>16.57</v>
      </c>
      <c r="D164" s="22">
        <f>'VIX HISTORIQUE'!G167</f>
        <v>17.88</v>
      </c>
      <c r="E164" s="22">
        <f>'VIX HISTORIQUE'!I167</f>
        <v>18.44</v>
      </c>
      <c r="F164" s="22">
        <f>'VIX HISTORIQUE'!K167</f>
        <v>18.89</v>
      </c>
    </row>
    <row r="165" ht="15.75" customHeight="1">
      <c r="A165" s="25">
        <f>'VIX HISTORIQUE'!A168</f>
        <v>43497.66667</v>
      </c>
      <c r="B165" s="22">
        <f>'VIX HISTORIQUE'!B168</f>
        <v>2706.53</v>
      </c>
      <c r="C165" s="22">
        <f>'VIX HISTORIQUE'!D168</f>
        <v>16.14</v>
      </c>
      <c r="D165" s="22">
        <f>'VIX HISTORIQUE'!G168</f>
        <v>17.59</v>
      </c>
      <c r="E165" s="22">
        <f>'VIX HISTORIQUE'!I168</f>
        <v>18.32</v>
      </c>
      <c r="F165" s="22">
        <f>'VIX HISTORIQUE'!K168</f>
        <v>18.85</v>
      </c>
    </row>
    <row r="166" ht="15.75" customHeight="1">
      <c r="A166" s="25">
        <f>'VIX HISTORIQUE'!A169</f>
        <v>43500.66667</v>
      </c>
      <c r="B166" s="22">
        <f>'VIX HISTORIQUE'!B169</f>
        <v>2724.87</v>
      </c>
      <c r="C166" s="22">
        <f>'VIX HISTORIQUE'!D169</f>
        <v>15.73</v>
      </c>
      <c r="D166" s="22">
        <f>'VIX HISTORIQUE'!G169</f>
        <v>17.19</v>
      </c>
      <c r="E166" s="22">
        <f>'VIX HISTORIQUE'!I169</f>
        <v>17.96</v>
      </c>
      <c r="F166" s="22">
        <f>'VIX HISTORIQUE'!K169</f>
        <v>18.59</v>
      </c>
    </row>
    <row r="167" ht="15.75" customHeight="1">
      <c r="A167" s="25">
        <f>'VIX HISTORIQUE'!A170</f>
        <v>43501.66667</v>
      </c>
      <c r="B167" s="22">
        <f>'VIX HISTORIQUE'!B170</f>
        <v>2737.7</v>
      </c>
      <c r="C167" s="22">
        <f>'VIX HISTORIQUE'!D170</f>
        <v>15.57</v>
      </c>
      <c r="D167" s="22">
        <f>'VIX HISTORIQUE'!G170</f>
        <v>17.07</v>
      </c>
      <c r="E167" s="22">
        <f>'VIX HISTORIQUE'!I170</f>
        <v>17.79</v>
      </c>
      <c r="F167" s="22">
        <f>'VIX HISTORIQUE'!K170</f>
        <v>18.37</v>
      </c>
    </row>
    <row r="168" ht="15.75" customHeight="1">
      <c r="A168" s="25">
        <f>'VIX HISTORIQUE'!A171</f>
        <v>43502.66667</v>
      </c>
      <c r="B168" s="22">
        <f>'VIX HISTORIQUE'!B171</f>
        <v>2731.61</v>
      </c>
      <c r="C168" s="22">
        <f>'VIX HISTORIQUE'!D171</f>
        <v>15.38</v>
      </c>
      <c r="D168" s="22">
        <f>'VIX HISTORIQUE'!G171</f>
        <v>16.9</v>
      </c>
      <c r="E168" s="22">
        <f>'VIX HISTORIQUE'!I171</f>
        <v>17.69</v>
      </c>
      <c r="F168" s="22">
        <f>'VIX HISTORIQUE'!K171</f>
        <v>18.36</v>
      </c>
    </row>
    <row r="169" ht="15.75" customHeight="1">
      <c r="A169" s="25">
        <f>'VIX HISTORIQUE'!A172</f>
        <v>43503.66667</v>
      </c>
      <c r="B169" s="22">
        <f>'VIX HISTORIQUE'!B172</f>
        <v>2706.05</v>
      </c>
      <c r="C169" s="22">
        <f>'VIX HISTORIQUE'!D172</f>
        <v>16.37</v>
      </c>
      <c r="D169" s="22">
        <f>'VIX HISTORIQUE'!G172</f>
        <v>17.52</v>
      </c>
      <c r="E169" s="22">
        <f>'VIX HISTORIQUE'!I172</f>
        <v>18.05</v>
      </c>
      <c r="F169" s="22">
        <f>'VIX HISTORIQUE'!K172</f>
        <v>18.63</v>
      </c>
    </row>
    <row r="170" ht="15.75" customHeight="1">
      <c r="A170" s="25">
        <f>'VIX HISTORIQUE'!A173</f>
        <v>43504.66667</v>
      </c>
      <c r="B170" s="22">
        <f>'VIX HISTORIQUE'!B173</f>
        <v>2707.88</v>
      </c>
      <c r="C170" s="22">
        <f>'VIX HISTORIQUE'!D173</f>
        <v>15.72</v>
      </c>
      <c r="D170" s="22">
        <f>'VIX HISTORIQUE'!G173</f>
        <v>17.26</v>
      </c>
      <c r="E170" s="22">
        <f>'VIX HISTORIQUE'!I173</f>
        <v>17.9</v>
      </c>
      <c r="F170" s="22">
        <f>'VIX HISTORIQUE'!K173</f>
        <v>18.53</v>
      </c>
    </row>
    <row r="171" ht="15.75" customHeight="1">
      <c r="A171" s="25">
        <f>'VIX HISTORIQUE'!A174</f>
        <v>43507.66667</v>
      </c>
      <c r="B171" s="22">
        <f>'VIX HISTORIQUE'!B174</f>
        <v>2709.8</v>
      </c>
      <c r="C171" s="22">
        <f>'VIX HISTORIQUE'!D174</f>
        <v>15.97</v>
      </c>
      <c r="D171" s="22">
        <f>'VIX HISTORIQUE'!G174</f>
        <v>17.22</v>
      </c>
      <c r="E171" s="22">
        <f>'VIX HISTORIQUE'!I174</f>
        <v>17.85</v>
      </c>
      <c r="F171" s="22">
        <f>'VIX HISTORIQUE'!K174</f>
        <v>18.5</v>
      </c>
    </row>
    <row r="172" ht="15.75" customHeight="1">
      <c r="A172" s="25">
        <f>'VIX HISTORIQUE'!A175</f>
        <v>43508.66667</v>
      </c>
      <c r="B172" s="22">
        <f>'VIX HISTORIQUE'!B175</f>
        <v>2744.73</v>
      </c>
      <c r="C172" s="22">
        <f>'VIX HISTORIQUE'!D175</f>
        <v>15.43</v>
      </c>
      <c r="D172" s="22">
        <f>'VIX HISTORIQUE'!G175</f>
        <v>16.82</v>
      </c>
      <c r="E172" s="22">
        <f>'VIX HISTORIQUE'!I175</f>
        <v>17.51</v>
      </c>
      <c r="F172" s="22">
        <f>'VIX HISTORIQUE'!K175</f>
        <v>18.19</v>
      </c>
    </row>
    <row r="173" ht="15.75" customHeight="1">
      <c r="A173" s="25">
        <f>'VIX HISTORIQUE'!A176</f>
        <v>43509.66667</v>
      </c>
      <c r="B173" s="22">
        <f>'VIX HISTORIQUE'!B176</f>
        <v>2753.03</v>
      </c>
      <c r="C173" s="22">
        <f>'VIX HISTORIQUE'!D176</f>
        <v>15.65</v>
      </c>
      <c r="D173" s="22">
        <f>'VIX HISTORIQUE'!G176</f>
        <v>16.96</v>
      </c>
      <c r="E173" s="22">
        <f>'VIX HISTORIQUE'!I176</f>
        <v>17.62</v>
      </c>
      <c r="F173" s="22">
        <f>'VIX HISTORIQUE'!K176</f>
        <v>18.28</v>
      </c>
    </row>
    <row r="174" ht="15.75" customHeight="1">
      <c r="A174" s="25">
        <f>'VIX HISTORIQUE'!A177</f>
        <v>43510.66667</v>
      </c>
      <c r="B174" s="22">
        <f>'VIX HISTORIQUE'!B177</f>
        <v>2745.73</v>
      </c>
      <c r="C174" s="22">
        <f>'VIX HISTORIQUE'!D177</f>
        <v>16.22</v>
      </c>
      <c r="D174" s="22">
        <f>'VIX HISTORIQUE'!G177</f>
        <v>17.32</v>
      </c>
      <c r="E174" s="22">
        <f>'VIX HISTORIQUE'!I177</f>
        <v>17.98</v>
      </c>
      <c r="F174" s="22">
        <f>'VIX HISTORIQUE'!K177</f>
        <v>18.59</v>
      </c>
    </row>
    <row r="175" ht="15.75" customHeight="1">
      <c r="A175" s="25">
        <f>'VIX HISTORIQUE'!A178</f>
        <v>43511.66667</v>
      </c>
      <c r="B175" s="22">
        <f>'VIX HISTORIQUE'!B178</f>
        <v>2775.6</v>
      </c>
      <c r="C175" s="22">
        <f>'VIX HISTORIQUE'!D178</f>
        <v>14.91</v>
      </c>
      <c r="D175" s="22">
        <f>'VIX HISTORIQUE'!G178</f>
        <v>16.48</v>
      </c>
      <c r="E175" s="22">
        <f>'VIX HISTORIQUE'!I178</f>
        <v>17.4</v>
      </c>
      <c r="F175" s="22">
        <f>'VIX HISTORIQUE'!K178</f>
        <v>18.22</v>
      </c>
    </row>
    <row r="176" ht="15.75" customHeight="1">
      <c r="A176" s="25">
        <f>'VIX HISTORIQUE'!A179</f>
        <v>43515.66667</v>
      </c>
      <c r="B176" s="22">
        <f>'VIX HISTORIQUE'!B179</f>
        <v>2779.76</v>
      </c>
      <c r="C176" s="22">
        <f>'VIX HISTORIQUE'!D179</f>
        <v>14.88</v>
      </c>
      <c r="D176" s="22">
        <f>'VIX HISTORIQUE'!G179</f>
        <v>16.45</v>
      </c>
      <c r="E176" s="22">
        <f>'VIX HISTORIQUE'!I179</f>
        <v>17.19</v>
      </c>
      <c r="F176" s="22">
        <f>'VIX HISTORIQUE'!K179</f>
        <v>18.04</v>
      </c>
    </row>
    <row r="177" ht="15.75" customHeight="1">
      <c r="A177" s="25">
        <f>'VIX HISTORIQUE'!A180</f>
        <v>43516.66667</v>
      </c>
      <c r="B177" s="22">
        <f>'VIX HISTORIQUE'!B180</f>
        <v>2784.7</v>
      </c>
      <c r="C177" s="22">
        <f>'VIX HISTORIQUE'!D180</f>
        <v>14.02</v>
      </c>
      <c r="D177" s="22">
        <f>'VIX HISTORIQUE'!G180</f>
        <v>15.82</v>
      </c>
      <c r="E177" s="22">
        <f>'VIX HISTORIQUE'!I180</f>
        <v>16.75</v>
      </c>
      <c r="F177" s="22">
        <f>'VIX HISTORIQUE'!K180</f>
        <v>17.73</v>
      </c>
    </row>
    <row r="178" ht="15.75" customHeight="1">
      <c r="A178" s="25">
        <f>'VIX HISTORIQUE'!A181</f>
        <v>43517.66667</v>
      </c>
      <c r="B178" s="22">
        <f>'VIX HISTORIQUE'!B181</f>
        <v>2774.88</v>
      </c>
      <c r="C178" s="22">
        <f>'VIX HISTORIQUE'!D181</f>
        <v>14.46</v>
      </c>
      <c r="D178" s="22">
        <f>'VIX HISTORIQUE'!G181</f>
        <v>16.16</v>
      </c>
      <c r="E178" s="22">
        <f>'VIX HISTORIQUE'!I181</f>
        <v>16.97</v>
      </c>
      <c r="F178" s="22">
        <f>'VIX HISTORIQUE'!K181</f>
        <v>17.85</v>
      </c>
    </row>
    <row r="179" ht="15.75" customHeight="1">
      <c r="A179" s="25">
        <f>'VIX HISTORIQUE'!A182</f>
        <v>43518.66667</v>
      </c>
      <c r="B179" s="22">
        <f>'VIX HISTORIQUE'!B182</f>
        <v>2792.67</v>
      </c>
      <c r="C179" s="22">
        <f>'VIX HISTORIQUE'!D182</f>
        <v>13.51</v>
      </c>
      <c r="D179" s="22">
        <f>'VIX HISTORIQUE'!G182</f>
        <v>15.46</v>
      </c>
      <c r="E179" s="22">
        <f>'VIX HISTORIQUE'!I182</f>
        <v>16.53</v>
      </c>
      <c r="F179" s="22">
        <f>'VIX HISTORIQUE'!K182</f>
        <v>17.56</v>
      </c>
    </row>
    <row r="180" ht="15.75" customHeight="1">
      <c r="A180" s="25">
        <f>'VIX HISTORIQUE'!A183</f>
        <v>43521.66667</v>
      </c>
      <c r="B180" s="22">
        <f>'VIX HISTORIQUE'!B183</f>
        <v>2796.11</v>
      </c>
      <c r="C180" s="22">
        <f>'VIX HISTORIQUE'!D183</f>
        <v>14.85</v>
      </c>
      <c r="D180" s="22">
        <f>'VIX HISTORIQUE'!G183</f>
        <v>16</v>
      </c>
      <c r="E180" s="22">
        <f>'VIX HISTORIQUE'!I183</f>
        <v>16.81</v>
      </c>
      <c r="F180" s="22">
        <f>'VIX HISTORIQUE'!K183</f>
        <v>17.65</v>
      </c>
    </row>
    <row r="181" ht="15.75" customHeight="1">
      <c r="A181" s="25">
        <f>'VIX HISTORIQUE'!A184</f>
        <v>43522.66667</v>
      </c>
      <c r="B181" s="22">
        <f>'VIX HISTORIQUE'!B184</f>
        <v>2793.9</v>
      </c>
      <c r="C181" s="22">
        <f>'VIX HISTORIQUE'!D184</f>
        <v>15.17</v>
      </c>
      <c r="D181" s="22">
        <f>'VIX HISTORIQUE'!G184</f>
        <v>16.3</v>
      </c>
      <c r="E181" s="22">
        <f>'VIX HISTORIQUE'!I184</f>
        <v>17.08</v>
      </c>
      <c r="F181" s="22">
        <f>'VIX HISTORIQUE'!K184</f>
        <v>17.83</v>
      </c>
    </row>
    <row r="182" ht="15.75" customHeight="1">
      <c r="A182" s="25">
        <f>'VIX HISTORIQUE'!A185</f>
        <v>43523.66667</v>
      </c>
      <c r="B182" s="22">
        <f>'VIX HISTORIQUE'!B185</f>
        <v>2792.38</v>
      </c>
      <c r="C182" s="22">
        <f>'VIX HISTORIQUE'!D185</f>
        <v>14.7</v>
      </c>
      <c r="D182" s="22">
        <f>'VIX HISTORIQUE'!G185</f>
        <v>15.99</v>
      </c>
      <c r="E182" s="22">
        <f>'VIX HISTORIQUE'!I185</f>
        <v>16.83</v>
      </c>
      <c r="F182" s="22">
        <f>'VIX HISTORIQUE'!K185</f>
        <v>17.62</v>
      </c>
    </row>
    <row r="183" ht="15.75" customHeight="1">
      <c r="A183" s="25">
        <f>'VIX HISTORIQUE'!A186</f>
        <v>43524.66667</v>
      </c>
      <c r="B183" s="22">
        <f>'VIX HISTORIQUE'!B186</f>
        <v>2784.49</v>
      </c>
      <c r="C183" s="22">
        <f>'VIX HISTORIQUE'!D186</f>
        <v>14.78</v>
      </c>
      <c r="D183" s="22">
        <f>'VIX HISTORIQUE'!G186</f>
        <v>16.1</v>
      </c>
      <c r="E183" s="22">
        <f>'VIX HISTORIQUE'!I186</f>
        <v>16.93</v>
      </c>
      <c r="F183" s="22">
        <f>'VIX HISTORIQUE'!K186</f>
        <v>17.7</v>
      </c>
    </row>
    <row r="184" ht="15.75" customHeight="1">
      <c r="A184" s="25">
        <f>'VIX HISTORIQUE'!A187</f>
        <v>43525.66667</v>
      </c>
      <c r="B184" s="22">
        <f>'VIX HISTORIQUE'!B187</f>
        <v>2803.69</v>
      </c>
      <c r="C184" s="22">
        <f>'VIX HISTORIQUE'!D187</f>
        <v>13.57</v>
      </c>
      <c r="D184" s="22">
        <f>'VIX HISTORIQUE'!G187</f>
        <v>15.38</v>
      </c>
      <c r="E184" s="22">
        <f>'VIX HISTORIQUE'!I187</f>
        <v>16.48</v>
      </c>
      <c r="F184" s="22">
        <f>'VIX HISTORIQUE'!K187</f>
        <v>17.37</v>
      </c>
    </row>
    <row r="185" ht="15.75" customHeight="1">
      <c r="A185" s="25">
        <f>'VIX HISTORIQUE'!A188</f>
        <v>43528.66667</v>
      </c>
      <c r="B185" s="22">
        <f>'VIX HISTORIQUE'!B188</f>
        <v>2792.81</v>
      </c>
      <c r="C185" s="22">
        <f>'VIX HISTORIQUE'!D188</f>
        <v>14.63</v>
      </c>
      <c r="D185" s="22">
        <f>'VIX HISTORIQUE'!G188</f>
        <v>16.03</v>
      </c>
      <c r="E185" s="22">
        <f>'VIX HISTORIQUE'!I188</f>
        <v>16.93</v>
      </c>
      <c r="F185" s="22">
        <f>'VIX HISTORIQUE'!K188</f>
        <v>17.64</v>
      </c>
    </row>
    <row r="186" ht="15.75" customHeight="1">
      <c r="A186" s="25">
        <f>'VIX HISTORIQUE'!A189</f>
        <v>43529.66667</v>
      </c>
      <c r="B186" s="22">
        <f>'VIX HISTORIQUE'!B189</f>
        <v>2789.65</v>
      </c>
      <c r="C186" s="22">
        <f>'VIX HISTORIQUE'!D189</f>
        <v>14.74</v>
      </c>
      <c r="D186" s="22">
        <f>'VIX HISTORIQUE'!G189</f>
        <v>16.15</v>
      </c>
      <c r="E186" s="22">
        <f>'VIX HISTORIQUE'!I189</f>
        <v>16.99</v>
      </c>
      <c r="F186" s="22">
        <f>'VIX HISTORIQUE'!K189</f>
        <v>17.64</v>
      </c>
    </row>
    <row r="187" ht="15.75" customHeight="1">
      <c r="A187" s="25">
        <f>'VIX HISTORIQUE'!A190</f>
        <v>43530.66667</v>
      </c>
      <c r="B187" s="22">
        <f>'VIX HISTORIQUE'!B190</f>
        <v>2771.45</v>
      </c>
      <c r="C187" s="22">
        <f>'VIX HISTORIQUE'!D190</f>
        <v>15.74</v>
      </c>
      <c r="D187" s="22">
        <f>'VIX HISTORIQUE'!G190</f>
        <v>16.74</v>
      </c>
      <c r="E187" s="22">
        <f>'VIX HISTORIQUE'!I190</f>
        <v>17.47</v>
      </c>
      <c r="F187" s="22">
        <f>'VIX HISTORIQUE'!K190</f>
        <v>18.04</v>
      </c>
    </row>
    <row r="188" ht="15.75" customHeight="1">
      <c r="A188" s="25">
        <f>'VIX HISTORIQUE'!A191</f>
        <v>43531.66667</v>
      </c>
      <c r="B188" s="22">
        <f>'VIX HISTORIQUE'!B191</f>
        <v>2748.93</v>
      </c>
      <c r="C188" s="22">
        <f>'VIX HISTORIQUE'!D191</f>
        <v>16.59</v>
      </c>
      <c r="D188" s="22">
        <f>'VIX HISTORIQUE'!G191</f>
        <v>17.3</v>
      </c>
      <c r="E188" s="22">
        <f>'VIX HISTORIQUE'!I191</f>
        <v>17.87</v>
      </c>
      <c r="F188" s="22">
        <f>'VIX HISTORIQUE'!K191</f>
        <v>18.36</v>
      </c>
    </row>
    <row r="189" ht="15.75" customHeight="1">
      <c r="A189" s="25">
        <f>'VIX HISTORIQUE'!A192</f>
        <v>43532.66667</v>
      </c>
      <c r="B189" s="22">
        <f>'VIX HISTORIQUE'!B192</f>
        <v>2743.07</v>
      </c>
      <c r="C189" s="22">
        <f>'VIX HISTORIQUE'!D192</f>
        <v>16.05</v>
      </c>
      <c r="D189" s="22">
        <f>'VIX HISTORIQUE'!G192</f>
        <v>17.11</v>
      </c>
      <c r="E189" s="22">
        <f>'VIX HISTORIQUE'!I192</f>
        <v>17.81</v>
      </c>
      <c r="F189" s="22">
        <f>'VIX HISTORIQUE'!K192</f>
        <v>18.35</v>
      </c>
    </row>
    <row r="190" ht="15.75" customHeight="1">
      <c r="A190" s="25">
        <f>'VIX HISTORIQUE'!A193</f>
        <v>43535.66667</v>
      </c>
      <c r="B190" s="22">
        <f>'VIX HISTORIQUE'!B193</f>
        <v>2783.3</v>
      </c>
      <c r="C190" s="22">
        <f>'VIX HISTORIQUE'!D193</f>
        <v>14.33</v>
      </c>
      <c r="D190" s="22">
        <f>'VIX HISTORIQUE'!G193</f>
        <v>16.01</v>
      </c>
      <c r="E190" s="22">
        <f>'VIX HISTORIQUE'!I193</f>
        <v>17</v>
      </c>
      <c r="F190" s="22">
        <f>'VIX HISTORIQUE'!K193</f>
        <v>17.8</v>
      </c>
    </row>
    <row r="191" ht="15.75" customHeight="1">
      <c r="A191" s="25">
        <f>'VIX HISTORIQUE'!A194</f>
        <v>43536.66667</v>
      </c>
      <c r="B191" s="22">
        <f>'VIX HISTORIQUE'!B194</f>
        <v>2791.52</v>
      </c>
      <c r="C191" s="22">
        <f>'VIX HISTORIQUE'!D194</f>
        <v>13.77</v>
      </c>
      <c r="D191" s="22">
        <f>'VIX HISTORIQUE'!G194</f>
        <v>15.65</v>
      </c>
      <c r="E191" s="22">
        <f>'VIX HISTORIQUE'!I194</f>
        <v>16.74</v>
      </c>
      <c r="F191" s="22">
        <f>'VIX HISTORIQUE'!K194</f>
        <v>17.62</v>
      </c>
    </row>
    <row r="192" ht="15.75" customHeight="1">
      <c r="A192" s="25">
        <f>'VIX HISTORIQUE'!A195</f>
        <v>43537.66667</v>
      </c>
      <c r="B192" s="22">
        <f>'VIX HISTORIQUE'!B195</f>
        <v>2810.92</v>
      </c>
      <c r="C192" s="22">
        <f>'VIX HISTORIQUE'!D195</f>
        <v>13.41</v>
      </c>
      <c r="D192" s="22">
        <f>'VIX HISTORIQUE'!G195</f>
        <v>15.33</v>
      </c>
      <c r="E192" s="22">
        <f>'VIX HISTORIQUE'!I195</f>
        <v>16.46</v>
      </c>
      <c r="F192" s="22">
        <f>'VIX HISTORIQUE'!K195</f>
        <v>17.41</v>
      </c>
    </row>
    <row r="193" ht="15.75" customHeight="1">
      <c r="A193" s="25">
        <f>'VIX HISTORIQUE'!A196</f>
        <v>43538.66667</v>
      </c>
      <c r="B193" s="22">
        <f>'VIX HISTORIQUE'!B196</f>
        <v>2808.48</v>
      </c>
      <c r="C193" s="22">
        <f>'VIX HISTORIQUE'!D196</f>
        <v>13.5</v>
      </c>
      <c r="D193" s="22">
        <f>'VIX HISTORIQUE'!G196</f>
        <v>15.3</v>
      </c>
      <c r="E193" s="22">
        <f>'VIX HISTORIQUE'!I196</f>
        <v>16.45</v>
      </c>
      <c r="F193" s="22">
        <f>'VIX HISTORIQUE'!K196</f>
        <v>17.45</v>
      </c>
    </row>
    <row r="194" ht="15.75" customHeight="1">
      <c r="A194" s="25">
        <f>'VIX HISTORIQUE'!A197</f>
        <v>43539.66667</v>
      </c>
      <c r="B194" s="22">
        <f>'VIX HISTORIQUE'!B197</f>
        <v>2822.48</v>
      </c>
      <c r="C194" s="22">
        <f>'VIX HISTORIQUE'!D197</f>
        <v>12.88</v>
      </c>
      <c r="D194" s="22">
        <f>'VIX HISTORIQUE'!G197</f>
        <v>14.98</v>
      </c>
      <c r="E194" s="22">
        <f>'VIX HISTORIQUE'!I197</f>
        <v>16.24</v>
      </c>
      <c r="F194" s="22">
        <f>'VIX HISTORIQUE'!K197</f>
        <v>17.3</v>
      </c>
    </row>
    <row r="195" ht="15.75" customHeight="1">
      <c r="A195" s="25">
        <f>'VIX HISTORIQUE'!A198</f>
        <v>43542.66667</v>
      </c>
      <c r="B195" s="22">
        <f>'VIX HISTORIQUE'!B198</f>
        <v>2832.94</v>
      </c>
      <c r="C195" s="22">
        <f>'VIX HISTORIQUE'!D198</f>
        <v>13.1</v>
      </c>
      <c r="D195" s="22">
        <f>'VIX HISTORIQUE'!G198</f>
        <v>15.24</v>
      </c>
      <c r="E195" s="22">
        <f>'VIX HISTORIQUE'!I198</f>
        <v>16.36</v>
      </c>
      <c r="F195" s="22">
        <f>'VIX HISTORIQUE'!K198</f>
        <v>17.4</v>
      </c>
    </row>
    <row r="196" ht="15.75" customHeight="1">
      <c r="A196" s="25">
        <f>'VIX HISTORIQUE'!A199</f>
        <v>43543.66667</v>
      </c>
      <c r="B196" s="22">
        <f>'VIX HISTORIQUE'!B199</f>
        <v>2832.57</v>
      </c>
      <c r="C196" s="22">
        <f>'VIX HISTORIQUE'!D199</f>
        <v>13.56</v>
      </c>
      <c r="D196" s="22">
        <f>'VIX HISTORIQUE'!G199</f>
        <v>15.56</v>
      </c>
      <c r="E196" s="22">
        <f>'VIX HISTORIQUE'!I199</f>
        <v>16.61</v>
      </c>
      <c r="F196" s="22">
        <f>'VIX HISTORIQUE'!K199</f>
        <v>17.51</v>
      </c>
    </row>
    <row r="197" ht="15.75" customHeight="1">
      <c r="A197" s="25">
        <f>'VIX HISTORIQUE'!A200</f>
        <v>43544.66667</v>
      </c>
      <c r="B197" s="22">
        <f>'VIX HISTORIQUE'!B200</f>
        <v>2824.23</v>
      </c>
      <c r="C197" s="22">
        <f>'VIX HISTORIQUE'!D200</f>
        <v>13.91</v>
      </c>
      <c r="D197" s="22">
        <f>'VIX HISTORIQUE'!G200</f>
        <v>15.79</v>
      </c>
      <c r="E197" s="22">
        <f>'VIX HISTORIQUE'!I200</f>
        <v>16.78</v>
      </c>
      <c r="F197" s="22">
        <f>'VIX HISTORIQUE'!K200</f>
        <v>17.69</v>
      </c>
    </row>
    <row r="198" ht="15.75" customHeight="1">
      <c r="A198" s="25">
        <f>'VIX HISTORIQUE'!A201</f>
        <v>43545.66667</v>
      </c>
      <c r="B198" s="22">
        <f>'VIX HISTORIQUE'!B201</f>
        <v>2854.88</v>
      </c>
      <c r="C198" s="22">
        <f>'VIX HISTORIQUE'!D201</f>
        <v>13.63</v>
      </c>
      <c r="D198" s="22">
        <f>'VIX HISTORIQUE'!G201</f>
        <v>15.51</v>
      </c>
      <c r="E198" s="22">
        <f>'VIX HISTORIQUE'!I201</f>
        <v>16.5</v>
      </c>
      <c r="F198" s="22">
        <f>'VIX HISTORIQUE'!K201</f>
        <v>17.39</v>
      </c>
    </row>
    <row r="199" ht="15.75" customHeight="1">
      <c r="A199" s="25">
        <f>'VIX HISTORIQUE'!A202</f>
        <v>43546.66667</v>
      </c>
      <c r="B199" s="22">
        <f>'VIX HISTORIQUE'!B202</f>
        <v>2800.71</v>
      </c>
      <c r="C199" s="22">
        <f>'VIX HISTORIQUE'!D202</f>
        <v>16.48</v>
      </c>
      <c r="D199" s="22">
        <f>'VIX HISTORIQUE'!G202</f>
        <v>17.37</v>
      </c>
      <c r="E199" s="22">
        <f>'VIX HISTORIQUE'!I202</f>
        <v>17.78</v>
      </c>
      <c r="F199" s="22">
        <f>'VIX HISTORIQUE'!K202</f>
        <v>18.25</v>
      </c>
    </row>
    <row r="200" ht="15.75" customHeight="1">
      <c r="A200" s="25">
        <f>'VIX HISTORIQUE'!A203</f>
        <v>43549.66667</v>
      </c>
      <c r="B200" s="22">
        <f>'VIX HISTORIQUE'!B203</f>
        <v>2798.36</v>
      </c>
      <c r="C200" s="22">
        <f>'VIX HISTORIQUE'!D203</f>
        <v>16.33</v>
      </c>
      <c r="D200" s="22">
        <f>'VIX HISTORIQUE'!G203</f>
        <v>17.45</v>
      </c>
      <c r="E200" s="22">
        <f>'VIX HISTORIQUE'!I203</f>
        <v>17.83</v>
      </c>
      <c r="F200" s="22">
        <f>'VIX HISTORIQUE'!K203</f>
        <v>18.29</v>
      </c>
    </row>
    <row r="201" ht="15.75" customHeight="1">
      <c r="A201" s="25">
        <f>'VIX HISTORIQUE'!A204</f>
        <v>43550.66667</v>
      </c>
      <c r="B201" s="22">
        <f>'VIX HISTORIQUE'!B204</f>
        <v>2818.46</v>
      </c>
      <c r="C201" s="22">
        <f>'VIX HISTORIQUE'!D204</f>
        <v>14.68</v>
      </c>
      <c r="D201" s="22">
        <f>'VIX HISTORIQUE'!G204</f>
        <v>16.45</v>
      </c>
      <c r="E201" s="22">
        <f>'VIX HISTORIQUE'!I204</f>
        <v>17.28</v>
      </c>
      <c r="F201" s="22">
        <f>'VIX HISTORIQUE'!K204</f>
        <v>17.93</v>
      </c>
    </row>
    <row r="202" ht="15.75" customHeight="1">
      <c r="A202" s="25">
        <f>'VIX HISTORIQUE'!A205</f>
        <v>43551.66667</v>
      </c>
      <c r="B202" s="22">
        <f>'VIX HISTORIQUE'!B205</f>
        <v>2805.37</v>
      </c>
      <c r="C202" s="22">
        <f>'VIX HISTORIQUE'!D205</f>
        <v>15.15</v>
      </c>
      <c r="D202" s="22">
        <f>'VIX HISTORIQUE'!G205</f>
        <v>16.78</v>
      </c>
      <c r="E202" s="22">
        <f>'VIX HISTORIQUE'!I205</f>
        <v>17.56</v>
      </c>
      <c r="F202" s="22">
        <f>'VIX HISTORIQUE'!K205</f>
        <v>18.2</v>
      </c>
    </row>
    <row r="203" ht="15.75" customHeight="1">
      <c r="A203" s="25">
        <f>'VIX HISTORIQUE'!A206</f>
        <v>43552.66667</v>
      </c>
      <c r="B203" s="22">
        <f>'VIX HISTORIQUE'!B206</f>
        <v>2815.44</v>
      </c>
      <c r="C203" s="22">
        <f>'VIX HISTORIQUE'!D206</f>
        <v>14.43</v>
      </c>
      <c r="D203" s="22">
        <f>'VIX HISTORIQUE'!G206</f>
        <v>16.3</v>
      </c>
      <c r="E203" s="22">
        <f>'VIX HISTORIQUE'!I206</f>
        <v>17.25</v>
      </c>
      <c r="F203" s="22">
        <f>'VIX HISTORIQUE'!K206</f>
        <v>18.05</v>
      </c>
    </row>
    <row r="204" ht="15.75" customHeight="1">
      <c r="A204" s="25">
        <f>'VIX HISTORIQUE'!A207</f>
        <v>43553.66667</v>
      </c>
      <c r="B204" s="22">
        <f>'VIX HISTORIQUE'!B207</f>
        <v>2834.4</v>
      </c>
      <c r="C204" s="22">
        <f>'VIX HISTORIQUE'!D207</f>
        <v>13.71</v>
      </c>
      <c r="D204" s="22">
        <f>'VIX HISTORIQUE'!G207</f>
        <v>15.8</v>
      </c>
      <c r="E204" s="22">
        <f>'VIX HISTORIQUE'!I207</f>
        <v>16.89</v>
      </c>
      <c r="F204" s="22">
        <f>'VIX HISTORIQUE'!K207</f>
        <v>17.73</v>
      </c>
    </row>
    <row r="205" ht="15.75" customHeight="1">
      <c r="A205" s="25">
        <f>'VIX HISTORIQUE'!A208</f>
        <v>43556.66667</v>
      </c>
      <c r="B205" s="22">
        <f>'VIX HISTORIQUE'!B208</f>
        <v>2867.19</v>
      </c>
      <c r="C205" s="22">
        <f>'VIX HISTORIQUE'!D208</f>
        <v>13.4</v>
      </c>
      <c r="D205" s="22">
        <f>'VIX HISTORIQUE'!G208</f>
        <v>15.46</v>
      </c>
      <c r="E205" s="22">
        <f>'VIX HISTORIQUE'!I208</f>
        <v>16.53</v>
      </c>
      <c r="F205" s="22">
        <f>'VIX HISTORIQUE'!K208</f>
        <v>17.41</v>
      </c>
    </row>
    <row r="206" ht="15.75" customHeight="1">
      <c r="A206" s="25">
        <f>'VIX HISTORIQUE'!A209</f>
        <v>43557.66667</v>
      </c>
      <c r="B206" s="22">
        <f>'VIX HISTORIQUE'!B209</f>
        <v>2867.24</v>
      </c>
      <c r="C206" s="22">
        <f>'VIX HISTORIQUE'!D209</f>
        <v>13.36</v>
      </c>
      <c r="D206" s="22">
        <f>'VIX HISTORIQUE'!G209</f>
        <v>15.54</v>
      </c>
      <c r="E206" s="22">
        <f>'VIX HISTORIQUE'!I209</f>
        <v>16.63</v>
      </c>
      <c r="F206" s="22">
        <f>'VIX HISTORIQUE'!K209</f>
        <v>17.49</v>
      </c>
    </row>
    <row r="207" ht="15.75" customHeight="1">
      <c r="A207" s="25">
        <f>'VIX HISTORIQUE'!A210</f>
        <v>43558.66667</v>
      </c>
      <c r="B207" s="22">
        <f>'VIX HISTORIQUE'!B210</f>
        <v>2873.4</v>
      </c>
      <c r="C207" s="22">
        <f>'VIX HISTORIQUE'!D210</f>
        <v>13.74</v>
      </c>
      <c r="D207" s="22">
        <f>'VIX HISTORIQUE'!G210</f>
        <v>15.63</v>
      </c>
      <c r="E207" s="22">
        <f>'VIX HISTORIQUE'!I210</f>
        <v>16.6</v>
      </c>
      <c r="F207" s="22">
        <f>'VIX HISTORIQUE'!K210</f>
        <v>17.45</v>
      </c>
    </row>
    <row r="208" ht="15.75" customHeight="1">
      <c r="A208" s="25">
        <f>'VIX HISTORIQUE'!A211</f>
        <v>43559.66667</v>
      </c>
      <c r="B208" s="22">
        <f>'VIX HISTORIQUE'!B211</f>
        <v>2879.39</v>
      </c>
      <c r="C208" s="22">
        <f>'VIX HISTORIQUE'!D211</f>
        <v>13.58</v>
      </c>
      <c r="D208" s="22">
        <f>'VIX HISTORIQUE'!G211</f>
        <v>15.48</v>
      </c>
      <c r="E208" s="22">
        <f>'VIX HISTORIQUE'!I211</f>
        <v>16.56</v>
      </c>
      <c r="F208" s="22">
        <f>'VIX HISTORIQUE'!K211</f>
        <v>17.4</v>
      </c>
    </row>
    <row r="209" ht="15.75" customHeight="1">
      <c r="A209" s="25">
        <f>'VIX HISTORIQUE'!A212</f>
        <v>43560.66667</v>
      </c>
      <c r="B209" s="22">
        <f>'VIX HISTORIQUE'!B212</f>
        <v>2892.74</v>
      </c>
      <c r="C209" s="22">
        <f>'VIX HISTORIQUE'!D212</f>
        <v>12.82</v>
      </c>
      <c r="D209" s="22">
        <f>'VIX HISTORIQUE'!G212</f>
        <v>15.06</v>
      </c>
      <c r="E209" s="22">
        <f>'VIX HISTORIQUE'!I212</f>
        <v>16.28</v>
      </c>
      <c r="F209" s="22">
        <f>'VIX HISTORIQUE'!K212</f>
        <v>17.22</v>
      </c>
    </row>
    <row r="210" ht="15.75" customHeight="1">
      <c r="A210" s="25">
        <f>'VIX HISTORIQUE'!A213</f>
        <v>43563.66667</v>
      </c>
      <c r="B210" s="22">
        <f>'VIX HISTORIQUE'!B213</f>
        <v>2895.77</v>
      </c>
      <c r="C210" s="22">
        <f>'VIX HISTORIQUE'!D213</f>
        <v>13.18</v>
      </c>
      <c r="D210" s="22">
        <f>'VIX HISTORIQUE'!G213</f>
        <v>15.28</v>
      </c>
      <c r="E210" s="22">
        <f>'VIX HISTORIQUE'!I213</f>
        <v>16.38</v>
      </c>
      <c r="F210" s="22">
        <f>'VIX HISTORIQUE'!K213</f>
        <v>17.18</v>
      </c>
    </row>
    <row r="211" ht="15.75" customHeight="1">
      <c r="A211" s="25">
        <f>'VIX HISTORIQUE'!A214</f>
        <v>43564.66667</v>
      </c>
      <c r="B211" s="22">
        <f>'VIX HISTORIQUE'!B214</f>
        <v>2878.2</v>
      </c>
      <c r="C211" s="22">
        <f>'VIX HISTORIQUE'!D214</f>
        <v>14.28</v>
      </c>
      <c r="D211" s="22">
        <f>'VIX HISTORIQUE'!G214</f>
        <v>15.99</v>
      </c>
      <c r="E211" s="22">
        <f>'VIX HISTORIQUE'!I214</f>
        <v>16.9</v>
      </c>
      <c r="F211" s="22">
        <f>'VIX HISTORIQUE'!K214</f>
        <v>17.52</v>
      </c>
    </row>
    <row r="212" ht="15.75" customHeight="1">
      <c r="A212" s="25">
        <f>'VIX HISTORIQUE'!A215</f>
        <v>43565.66667</v>
      </c>
      <c r="B212" s="22">
        <f>'VIX HISTORIQUE'!B215</f>
        <v>2888.21</v>
      </c>
      <c r="C212" s="22">
        <f>'VIX HISTORIQUE'!D215</f>
        <v>13.3</v>
      </c>
      <c r="D212" s="22">
        <f>'VIX HISTORIQUE'!G215</f>
        <v>15.38</v>
      </c>
      <c r="E212" s="22">
        <f>'VIX HISTORIQUE'!I215</f>
        <v>16.49</v>
      </c>
      <c r="F212" s="22">
        <f>'VIX HISTORIQUE'!K215</f>
        <v>17.27</v>
      </c>
    </row>
    <row r="213" ht="15.75" customHeight="1">
      <c r="A213" s="25">
        <f>'VIX HISTORIQUE'!A216</f>
        <v>43566.66667</v>
      </c>
      <c r="B213" s="22">
        <f>'VIX HISTORIQUE'!B216</f>
        <v>2888.32</v>
      </c>
      <c r="C213" s="22">
        <f>'VIX HISTORIQUE'!D216</f>
        <v>13.02</v>
      </c>
      <c r="D213" s="22">
        <f>'VIX HISTORIQUE'!G216</f>
        <v>15.25</v>
      </c>
      <c r="E213" s="22">
        <f>'VIX HISTORIQUE'!I216</f>
        <v>16.43</v>
      </c>
      <c r="F213" s="22">
        <f>'VIX HISTORIQUE'!K216</f>
        <v>17.28</v>
      </c>
    </row>
    <row r="214" ht="15.75" customHeight="1">
      <c r="A214" s="25">
        <f>'VIX HISTORIQUE'!A217</f>
        <v>43567.66667</v>
      </c>
      <c r="B214" s="22">
        <f>'VIX HISTORIQUE'!B217</f>
        <v>2907.41</v>
      </c>
      <c r="C214" s="22">
        <f>'VIX HISTORIQUE'!D217</f>
        <v>12.01</v>
      </c>
      <c r="D214" s="22">
        <f>'VIX HISTORIQUE'!G217</f>
        <v>14.46</v>
      </c>
      <c r="E214" s="22">
        <f>'VIX HISTORIQUE'!I217</f>
        <v>16.04</v>
      </c>
      <c r="F214" s="22">
        <f>'VIX HISTORIQUE'!K217</f>
        <v>17.06</v>
      </c>
    </row>
    <row r="215" ht="15.75" customHeight="1">
      <c r="A215" s="25">
        <f>'VIX HISTORIQUE'!A218</f>
        <v>43570.66667</v>
      </c>
      <c r="B215" s="22">
        <f>'VIX HISTORIQUE'!B218</f>
        <v>2905.58</v>
      </c>
      <c r="C215" s="22">
        <f>'VIX HISTORIQUE'!D218</f>
        <v>12.32</v>
      </c>
      <c r="D215" s="22">
        <f>'VIX HISTORIQUE'!G218</f>
        <v>14.53</v>
      </c>
      <c r="E215" s="22">
        <f>'VIX HISTORIQUE'!I218</f>
        <v>16.09</v>
      </c>
      <c r="F215" s="22">
        <f>'VIX HISTORIQUE'!K218</f>
        <v>17.2</v>
      </c>
    </row>
    <row r="216" ht="15.75" customHeight="1">
      <c r="A216" s="25">
        <f>'VIX HISTORIQUE'!A219</f>
        <v>43571.66667</v>
      </c>
      <c r="B216" s="22">
        <f>'VIX HISTORIQUE'!B219</f>
        <v>2907.06</v>
      </c>
      <c r="C216" s="22">
        <f>'VIX HISTORIQUE'!D219</f>
        <v>12.18</v>
      </c>
      <c r="D216" s="22">
        <f>'VIX HISTORIQUE'!G219</f>
        <v>14.47</v>
      </c>
      <c r="E216" s="22">
        <f>'VIX HISTORIQUE'!I219</f>
        <v>16.06</v>
      </c>
      <c r="F216" s="22">
        <f>'VIX HISTORIQUE'!K219</f>
        <v>17.2</v>
      </c>
    </row>
    <row r="217" ht="15.75" customHeight="1">
      <c r="A217" s="25">
        <f>'VIX HISTORIQUE'!A220</f>
        <v>43572.66667</v>
      </c>
      <c r="B217" s="22">
        <f>'VIX HISTORIQUE'!B220</f>
        <v>2900.45</v>
      </c>
      <c r="C217" s="22">
        <f>'VIX HISTORIQUE'!D220</f>
        <v>12.6</v>
      </c>
      <c r="D217" s="22">
        <f>'VIX HISTORIQUE'!G220</f>
        <v>14.82</v>
      </c>
      <c r="E217" s="22">
        <f>'VIX HISTORIQUE'!I220</f>
        <v>16.29</v>
      </c>
      <c r="F217" s="22">
        <f>'VIX HISTORIQUE'!K220</f>
        <v>17.34</v>
      </c>
    </row>
    <row r="218" ht="15.75" customHeight="1">
      <c r="A218" s="25">
        <f>'VIX HISTORIQUE'!A221</f>
        <v>43573.66667</v>
      </c>
      <c r="B218" s="22">
        <f>'VIX HISTORIQUE'!B221</f>
        <v>2905.03</v>
      </c>
      <c r="C218" s="22">
        <f>'VIX HISTORIQUE'!D221</f>
        <v>12.09</v>
      </c>
      <c r="D218" s="22">
        <f>'VIX HISTORIQUE'!G221</f>
        <v>14.57</v>
      </c>
      <c r="E218" s="22">
        <f>'VIX HISTORIQUE'!I221</f>
        <v>16.14</v>
      </c>
      <c r="F218" s="22">
        <f>'VIX HISTORIQUE'!K221</f>
        <v>17.25</v>
      </c>
    </row>
    <row r="219" ht="15.75" customHeight="1">
      <c r="A219" s="25">
        <f>'VIX HISTORIQUE'!A222</f>
        <v>43577.66667</v>
      </c>
      <c r="B219" s="22">
        <f>'VIX HISTORIQUE'!B222</f>
        <v>2907.97</v>
      </c>
      <c r="C219" s="22">
        <f>'VIX HISTORIQUE'!D222</f>
        <v>12.42</v>
      </c>
      <c r="D219" s="22">
        <f>'VIX HISTORIQUE'!G222</f>
        <v>14.72</v>
      </c>
      <c r="E219" s="22">
        <f>'VIX HISTORIQUE'!I222</f>
        <v>16.19</v>
      </c>
      <c r="F219" s="22">
        <f>'VIX HISTORIQUE'!K222</f>
        <v>17.3</v>
      </c>
    </row>
    <row r="220" ht="15.75" customHeight="1">
      <c r="A220" s="25">
        <f>'VIX HISTORIQUE'!A223</f>
        <v>43578.66667</v>
      </c>
      <c r="B220" s="22">
        <f>'VIX HISTORIQUE'!B223</f>
        <v>2933.68</v>
      </c>
      <c r="C220" s="22">
        <f>'VIX HISTORIQUE'!D223</f>
        <v>12.28</v>
      </c>
      <c r="D220" s="22">
        <f>'VIX HISTORIQUE'!G223</f>
        <v>14.54</v>
      </c>
      <c r="E220" s="22">
        <f>'VIX HISTORIQUE'!I223</f>
        <v>16</v>
      </c>
      <c r="F220" s="22">
        <f>'VIX HISTORIQUE'!K223</f>
        <v>17.13</v>
      </c>
    </row>
    <row r="221" ht="15.75" customHeight="1">
      <c r="A221" s="25">
        <f>'VIX HISTORIQUE'!A224</f>
        <v>43579.66667</v>
      </c>
      <c r="B221" s="22">
        <f>'VIX HISTORIQUE'!B224</f>
        <v>2927.25</v>
      </c>
      <c r="C221" s="22">
        <f>'VIX HISTORIQUE'!D224</f>
        <v>13.14</v>
      </c>
      <c r="D221" s="22">
        <f>'VIX HISTORIQUE'!G224</f>
        <v>15.04</v>
      </c>
      <c r="E221" s="22">
        <f>'VIX HISTORIQUE'!I224</f>
        <v>16.28</v>
      </c>
      <c r="F221" s="22">
        <f>'VIX HISTORIQUE'!K224</f>
        <v>17.39</v>
      </c>
    </row>
    <row r="222" ht="15.75" customHeight="1">
      <c r="A222" s="25">
        <f>'VIX HISTORIQUE'!A225</f>
        <v>43580.66667</v>
      </c>
      <c r="B222" s="22">
        <f>'VIX HISTORIQUE'!B225</f>
        <v>2926.17</v>
      </c>
      <c r="C222" s="22">
        <f>'VIX HISTORIQUE'!D225</f>
        <v>13.25</v>
      </c>
      <c r="D222" s="22">
        <f>'VIX HISTORIQUE'!G225</f>
        <v>15.21</v>
      </c>
      <c r="E222" s="22">
        <f>'VIX HISTORIQUE'!I225</f>
        <v>16.44</v>
      </c>
      <c r="F222" s="22">
        <f>'VIX HISTORIQUE'!K225</f>
        <v>17.49</v>
      </c>
    </row>
    <row r="223" ht="15.75" customHeight="1">
      <c r="A223" s="25">
        <f>'VIX HISTORIQUE'!A226</f>
        <v>43581.66667</v>
      </c>
      <c r="B223" s="22">
        <f>'VIX HISTORIQUE'!B226</f>
        <v>2939.88</v>
      </c>
      <c r="C223" s="22">
        <f>'VIX HISTORIQUE'!D226</f>
        <v>12.73</v>
      </c>
      <c r="D223" s="22">
        <f>'VIX HISTORIQUE'!G226</f>
        <v>14.89</v>
      </c>
      <c r="E223" s="22">
        <f>'VIX HISTORIQUE'!I226</f>
        <v>16.2</v>
      </c>
      <c r="F223" s="22">
        <f>'VIX HISTORIQUE'!K226</f>
        <v>17.29</v>
      </c>
    </row>
    <row r="224" ht="15.75" customHeight="1">
      <c r="A224" s="25">
        <f>'VIX HISTORIQUE'!A227</f>
        <v>43584.66667</v>
      </c>
      <c r="B224" s="22">
        <f>'VIX HISTORIQUE'!B227</f>
        <v>2943.03</v>
      </c>
      <c r="C224" s="22">
        <f>'VIX HISTORIQUE'!D227</f>
        <v>13.11</v>
      </c>
      <c r="D224" s="22">
        <f>'VIX HISTORIQUE'!G227</f>
        <v>15.23</v>
      </c>
      <c r="E224" s="22">
        <f>'VIX HISTORIQUE'!I227</f>
        <v>16.46</v>
      </c>
      <c r="F224" s="22">
        <f>'VIX HISTORIQUE'!K227</f>
        <v>17.52</v>
      </c>
    </row>
    <row r="225" ht="15.75" customHeight="1">
      <c r="A225" s="25">
        <f>'VIX HISTORIQUE'!A228</f>
        <v>43585.66667</v>
      </c>
      <c r="B225" s="22">
        <f>'VIX HISTORIQUE'!B228</f>
        <v>2945.83</v>
      </c>
      <c r="C225" s="22">
        <f>'VIX HISTORIQUE'!D228</f>
        <v>13.12</v>
      </c>
      <c r="D225" s="22">
        <f>'VIX HISTORIQUE'!G228</f>
        <v>15.23</v>
      </c>
      <c r="E225" s="22">
        <f>'VIX HISTORIQUE'!I228</f>
        <v>16.43</v>
      </c>
      <c r="F225" s="22">
        <f>'VIX HISTORIQUE'!K228</f>
        <v>17.53</v>
      </c>
    </row>
    <row r="226" ht="15.75" customHeight="1">
      <c r="A226" s="25">
        <f>'VIX HISTORIQUE'!A229</f>
        <v>43586.66667</v>
      </c>
      <c r="B226" s="22">
        <f>'VIX HISTORIQUE'!B229</f>
        <v>2923.73</v>
      </c>
      <c r="C226" s="22">
        <f>'VIX HISTORIQUE'!D229</f>
        <v>14.8</v>
      </c>
      <c r="D226" s="22">
        <f>'VIX HISTORIQUE'!G229</f>
        <v>16.19</v>
      </c>
      <c r="E226" s="22">
        <f>'VIX HISTORIQUE'!I229</f>
        <v>17.09</v>
      </c>
      <c r="F226" s="22">
        <f>'VIX HISTORIQUE'!K229</f>
        <v>17.95</v>
      </c>
    </row>
    <row r="227" ht="15.75" customHeight="1">
      <c r="A227" s="25">
        <f>'VIX HISTORIQUE'!A230</f>
        <v>43587.66667</v>
      </c>
      <c r="B227" s="22">
        <f>'VIX HISTORIQUE'!B230</f>
        <v>2917.52</v>
      </c>
      <c r="C227" s="22">
        <f>'VIX HISTORIQUE'!D230</f>
        <v>14.42</v>
      </c>
      <c r="D227" s="22">
        <f>'VIX HISTORIQUE'!G230</f>
        <v>16.03</v>
      </c>
      <c r="E227" s="22">
        <f>'VIX HISTORIQUE'!I230</f>
        <v>17</v>
      </c>
      <c r="F227" s="22">
        <f>'VIX HISTORIQUE'!K230</f>
        <v>17.83</v>
      </c>
    </row>
    <row r="228" ht="15.75" customHeight="1">
      <c r="A228" s="25">
        <f>'VIX HISTORIQUE'!A231</f>
        <v>43588.66667</v>
      </c>
      <c r="B228" s="22">
        <f>'VIX HISTORIQUE'!B231</f>
        <v>2945.64</v>
      </c>
      <c r="C228" s="22">
        <f>'VIX HISTORIQUE'!D231</f>
        <v>12.87</v>
      </c>
      <c r="D228" s="22">
        <f>'VIX HISTORIQUE'!G231</f>
        <v>15.07</v>
      </c>
      <c r="E228" s="22">
        <f>'VIX HISTORIQUE'!I231</f>
        <v>16.38</v>
      </c>
      <c r="F228" s="22">
        <f>'VIX HISTORIQUE'!K231</f>
        <v>17.51</v>
      </c>
    </row>
    <row r="229" ht="15.75" customHeight="1">
      <c r="A229" s="25">
        <f>'VIX HISTORIQUE'!A232</f>
        <v>43591.66667</v>
      </c>
      <c r="B229" s="22">
        <f>'VIX HISTORIQUE'!B232</f>
        <v>2932.47</v>
      </c>
      <c r="C229" s="22">
        <f>'VIX HISTORIQUE'!D232</f>
        <v>15.44</v>
      </c>
      <c r="D229" s="22">
        <f>'VIX HISTORIQUE'!G232</f>
        <v>16.4</v>
      </c>
      <c r="E229" s="22">
        <f>'VIX HISTORIQUE'!I232</f>
        <v>17.15</v>
      </c>
      <c r="F229" s="22">
        <f>'VIX HISTORIQUE'!K232</f>
        <v>17.98</v>
      </c>
    </row>
    <row r="230" ht="15.75" customHeight="1">
      <c r="A230" s="25">
        <f>'VIX HISTORIQUE'!A233</f>
        <v>43592.66667</v>
      </c>
      <c r="B230" s="22">
        <f>'VIX HISTORIQUE'!B233</f>
        <v>2884.05</v>
      </c>
      <c r="C230" s="22">
        <f>'VIX HISTORIQUE'!D233</f>
        <v>19.32</v>
      </c>
      <c r="D230" s="22">
        <f>'VIX HISTORIQUE'!G233</f>
        <v>18.78</v>
      </c>
      <c r="E230" s="22">
        <f>'VIX HISTORIQUE'!I233</f>
        <v>18.63</v>
      </c>
      <c r="F230" s="22">
        <f>'VIX HISTORIQUE'!K233</f>
        <v>18.82</v>
      </c>
    </row>
    <row r="231" ht="15.75" customHeight="1">
      <c r="A231" s="25">
        <f>'VIX HISTORIQUE'!A234</f>
        <v>43593.66667</v>
      </c>
      <c r="B231" s="22">
        <f>'VIX HISTORIQUE'!B234</f>
        <v>2879.42</v>
      </c>
      <c r="C231" s="22">
        <f>'VIX HISTORIQUE'!D234</f>
        <v>19.4</v>
      </c>
      <c r="D231" s="22">
        <f>'VIX HISTORIQUE'!G234</f>
        <v>18.75</v>
      </c>
      <c r="E231" s="22">
        <f>'VIX HISTORIQUE'!I234</f>
        <v>18.6</v>
      </c>
      <c r="F231" s="22">
        <f>'VIX HISTORIQUE'!K234</f>
        <v>18.71</v>
      </c>
    </row>
    <row r="232" ht="15.75" customHeight="1">
      <c r="A232" s="25">
        <f>'VIX HISTORIQUE'!A235</f>
        <v>43594.66667</v>
      </c>
      <c r="B232" s="22">
        <f>'VIX HISTORIQUE'!B235</f>
        <v>2870.72</v>
      </c>
      <c r="C232" s="22">
        <f>'VIX HISTORIQUE'!D235</f>
        <v>19.1</v>
      </c>
      <c r="D232" s="22">
        <f>'VIX HISTORIQUE'!G235</f>
        <v>18.44</v>
      </c>
      <c r="E232" s="22">
        <f>'VIX HISTORIQUE'!I235</f>
        <v>18.38</v>
      </c>
      <c r="F232" s="22">
        <f>'VIX HISTORIQUE'!K235</f>
        <v>18.63</v>
      </c>
    </row>
    <row r="233" ht="15.75" customHeight="1">
      <c r="A233" s="25">
        <f>'VIX HISTORIQUE'!A236</f>
        <v>43595.66667</v>
      </c>
      <c r="B233" s="22">
        <f>'VIX HISTORIQUE'!B236</f>
        <v>2881.4</v>
      </c>
      <c r="C233" s="22">
        <f>'VIX HISTORIQUE'!D236</f>
        <v>16.04</v>
      </c>
      <c r="D233" s="22">
        <f>'VIX HISTORIQUE'!G236</f>
        <v>16.9</v>
      </c>
      <c r="E233" s="22">
        <f>'VIX HISTORIQUE'!I236</f>
        <v>17.47</v>
      </c>
      <c r="F233" s="22">
        <f>'VIX HISTORIQUE'!K236</f>
        <v>18.06</v>
      </c>
    </row>
    <row r="234" ht="15.75" customHeight="1">
      <c r="A234" s="25">
        <f>'VIX HISTORIQUE'!A237</f>
        <v>43598.66667</v>
      </c>
      <c r="B234" s="22">
        <f>'VIX HISTORIQUE'!B237</f>
        <v>2811.87</v>
      </c>
      <c r="C234" s="22">
        <f>'VIX HISTORIQUE'!D237</f>
        <v>20.55</v>
      </c>
      <c r="D234" s="22">
        <f>'VIX HISTORIQUE'!G237</f>
        <v>19.79</v>
      </c>
      <c r="E234" s="22">
        <f>'VIX HISTORIQUE'!I237</f>
        <v>19.34</v>
      </c>
      <c r="F234" s="22">
        <f>'VIX HISTORIQUE'!K237</f>
        <v>19.12</v>
      </c>
    </row>
    <row r="235" ht="15.75" customHeight="1">
      <c r="A235" s="25">
        <f>'VIX HISTORIQUE'!A238</f>
        <v>43599.66667</v>
      </c>
      <c r="B235" s="22">
        <f>'VIX HISTORIQUE'!B238</f>
        <v>2834.41</v>
      </c>
      <c r="C235" s="22">
        <f>'VIX HISTORIQUE'!D238</f>
        <v>18.06</v>
      </c>
      <c r="D235" s="22">
        <f>'VIX HISTORIQUE'!G238</f>
        <v>18.29</v>
      </c>
      <c r="E235" s="22">
        <f>'VIX HISTORIQUE'!I238</f>
        <v>18.37</v>
      </c>
      <c r="F235" s="22">
        <f>'VIX HISTORIQUE'!K238</f>
        <v>18.57</v>
      </c>
    </row>
    <row r="236" ht="15.75" customHeight="1">
      <c r="A236" s="25">
        <f>'VIX HISTORIQUE'!A239</f>
        <v>43600.66667</v>
      </c>
      <c r="B236" s="22">
        <f>'VIX HISTORIQUE'!B239</f>
        <v>2850.96</v>
      </c>
      <c r="C236" s="22">
        <f>'VIX HISTORIQUE'!D239</f>
        <v>16.44</v>
      </c>
      <c r="D236" s="22">
        <f>'VIX HISTORIQUE'!G239</f>
        <v>17.49</v>
      </c>
      <c r="E236" s="22">
        <f>'VIX HISTORIQUE'!I239</f>
        <v>17.81</v>
      </c>
      <c r="F236" s="22">
        <f>'VIX HISTORIQUE'!K239</f>
        <v>18.25</v>
      </c>
    </row>
    <row r="237" ht="15.75" customHeight="1">
      <c r="A237" s="25">
        <f>'VIX HISTORIQUE'!A240</f>
        <v>43601.66667</v>
      </c>
      <c r="B237" s="22">
        <f>'VIX HISTORIQUE'!B240</f>
        <v>2876.32</v>
      </c>
      <c r="C237" s="22">
        <f>'VIX HISTORIQUE'!D240</f>
        <v>15.29</v>
      </c>
      <c r="D237" s="22">
        <f>'VIX HISTORIQUE'!G240</f>
        <v>16.74</v>
      </c>
      <c r="E237" s="22">
        <f>'VIX HISTORIQUE'!I240</f>
        <v>17.35</v>
      </c>
      <c r="F237" s="22">
        <f>'VIX HISTORIQUE'!K240</f>
        <v>17.96</v>
      </c>
    </row>
    <row r="238" ht="15.75" customHeight="1">
      <c r="A238" s="25">
        <f>'VIX HISTORIQUE'!A241</f>
        <v>43602.66667</v>
      </c>
      <c r="B238" s="22">
        <f>'VIX HISTORIQUE'!B241</f>
        <v>2859.53</v>
      </c>
      <c r="C238" s="22">
        <f>'VIX HISTORIQUE'!D241</f>
        <v>15.96</v>
      </c>
      <c r="D238" s="22">
        <f>'VIX HISTORIQUE'!G241</f>
        <v>17.06</v>
      </c>
      <c r="E238" s="22">
        <f>'VIX HISTORIQUE'!I241</f>
        <v>17.57</v>
      </c>
      <c r="F238" s="22">
        <f>'VIX HISTORIQUE'!K241</f>
        <v>18.1</v>
      </c>
    </row>
    <row r="239" ht="15.75" customHeight="1">
      <c r="A239" s="25">
        <f>'VIX HISTORIQUE'!A242</f>
        <v>43605.66667</v>
      </c>
      <c r="B239" s="22">
        <f>'VIX HISTORIQUE'!B242</f>
        <v>2840.23</v>
      </c>
      <c r="C239" s="22">
        <f>'VIX HISTORIQUE'!D242</f>
        <v>16.31</v>
      </c>
      <c r="D239" s="22">
        <f>'VIX HISTORIQUE'!G242</f>
        <v>17.29</v>
      </c>
      <c r="E239" s="22">
        <f>'VIX HISTORIQUE'!I242</f>
        <v>17.69</v>
      </c>
      <c r="F239" s="22">
        <f>'VIX HISTORIQUE'!K242</f>
        <v>18.21</v>
      </c>
    </row>
    <row r="240" ht="15.75" customHeight="1">
      <c r="A240" s="25">
        <f>'VIX HISTORIQUE'!A243</f>
        <v>43606.66667</v>
      </c>
      <c r="B240" s="22">
        <f>'VIX HISTORIQUE'!B243</f>
        <v>2864.36</v>
      </c>
      <c r="C240" s="22">
        <f>'VIX HISTORIQUE'!D243</f>
        <v>14.95</v>
      </c>
      <c r="D240" s="22">
        <f>'VIX HISTORIQUE'!G243</f>
        <v>16.42</v>
      </c>
      <c r="E240" s="22">
        <f>'VIX HISTORIQUE'!I243</f>
        <v>17.12</v>
      </c>
      <c r="F240" s="22">
        <f>'VIX HISTORIQUE'!K243</f>
        <v>17.81</v>
      </c>
    </row>
    <row r="241" ht="15.75" customHeight="1">
      <c r="A241" s="25">
        <f>'VIX HISTORIQUE'!A244</f>
        <v>43607.66667</v>
      </c>
      <c r="B241" s="22">
        <f>'VIX HISTORIQUE'!B244</f>
        <v>2856.27</v>
      </c>
      <c r="C241" s="22">
        <f>'VIX HISTORIQUE'!D244</f>
        <v>14.75</v>
      </c>
      <c r="D241" s="22">
        <f>'VIX HISTORIQUE'!G244</f>
        <v>16.42</v>
      </c>
      <c r="E241" s="22">
        <f>'VIX HISTORIQUE'!I244</f>
        <v>17.1</v>
      </c>
      <c r="F241" s="22">
        <f>'VIX HISTORIQUE'!K244</f>
        <v>17.8</v>
      </c>
    </row>
    <row r="242" ht="15.75" customHeight="1">
      <c r="A242" s="25">
        <f>'VIX HISTORIQUE'!A245</f>
        <v>43608.66667</v>
      </c>
      <c r="B242" s="22">
        <f>'VIX HISTORIQUE'!B245</f>
        <v>2822.24</v>
      </c>
      <c r="C242" s="22">
        <f>'VIX HISTORIQUE'!D245</f>
        <v>16.92</v>
      </c>
      <c r="D242" s="22">
        <f>'VIX HISTORIQUE'!G245</f>
        <v>17.69</v>
      </c>
      <c r="E242" s="22">
        <f>'VIX HISTORIQUE'!I245</f>
        <v>18.01</v>
      </c>
      <c r="F242" s="22">
        <f>'VIX HISTORIQUE'!K245</f>
        <v>18.43</v>
      </c>
    </row>
    <row r="243" ht="15.75" customHeight="1">
      <c r="A243" s="25">
        <f>'VIX HISTORIQUE'!A246</f>
        <v>43609.66667</v>
      </c>
      <c r="B243" s="22">
        <f>'VIX HISTORIQUE'!B246</f>
        <v>2826.06</v>
      </c>
      <c r="C243" s="22">
        <f>'VIX HISTORIQUE'!D246</f>
        <v>15.85</v>
      </c>
      <c r="D243" s="22">
        <f>'VIX HISTORIQUE'!G246</f>
        <v>17.09</v>
      </c>
      <c r="E243" s="22">
        <f>'VIX HISTORIQUE'!I246</f>
        <v>17.72</v>
      </c>
      <c r="F243" s="22">
        <f>'VIX HISTORIQUE'!K246</f>
        <v>18.27</v>
      </c>
    </row>
    <row r="244" ht="15.75" customHeight="1">
      <c r="A244" s="25">
        <f>'VIX HISTORIQUE'!A247</f>
        <v>43613.66667</v>
      </c>
      <c r="B244" s="22">
        <f>'VIX HISTORIQUE'!B247</f>
        <v>2802.39</v>
      </c>
      <c r="C244" s="22">
        <f>'VIX HISTORIQUE'!D247</f>
        <v>17.5</v>
      </c>
      <c r="D244" s="22">
        <f>'VIX HISTORIQUE'!G247</f>
        <v>17.9</v>
      </c>
      <c r="E244" s="22">
        <f>'VIX HISTORIQUE'!I247</f>
        <v>18.29</v>
      </c>
      <c r="F244" s="22">
        <f>'VIX HISTORIQUE'!K247</f>
        <v>18.61</v>
      </c>
    </row>
    <row r="245" ht="15.75" customHeight="1">
      <c r="A245" s="25">
        <f>'VIX HISTORIQUE'!A248</f>
        <v>43614.66667</v>
      </c>
      <c r="B245" s="22">
        <f>'VIX HISTORIQUE'!B248</f>
        <v>2783.02</v>
      </c>
      <c r="C245" s="22">
        <f>'VIX HISTORIQUE'!D248</f>
        <v>17.9</v>
      </c>
      <c r="D245" s="22">
        <f>'VIX HISTORIQUE'!G248</f>
        <v>18.24</v>
      </c>
      <c r="E245" s="22">
        <f>'VIX HISTORIQUE'!I248</f>
        <v>18.61</v>
      </c>
      <c r="F245" s="22">
        <f>'VIX HISTORIQUE'!K248</f>
        <v>18.89</v>
      </c>
    </row>
    <row r="246" ht="15.75" customHeight="1">
      <c r="A246" s="25">
        <f>'VIX HISTORIQUE'!A249</f>
        <v>43615.66667</v>
      </c>
      <c r="B246" s="22">
        <f>'VIX HISTORIQUE'!B249</f>
        <v>2788.86</v>
      </c>
      <c r="C246" s="22">
        <f>'VIX HISTORIQUE'!D249</f>
        <v>17.3</v>
      </c>
      <c r="D246" s="22">
        <f>'VIX HISTORIQUE'!G249</f>
        <v>17.96</v>
      </c>
      <c r="E246" s="22">
        <f>'VIX HISTORIQUE'!I249</f>
        <v>18.48</v>
      </c>
      <c r="F246" s="22">
        <f>'VIX HISTORIQUE'!K249</f>
        <v>18.78</v>
      </c>
    </row>
    <row r="247" ht="15.75" customHeight="1">
      <c r="A247" s="25">
        <f>'VIX HISTORIQUE'!A250</f>
        <v>43616.66667</v>
      </c>
      <c r="B247" s="22">
        <f>'VIX HISTORIQUE'!B250</f>
        <v>2752.06</v>
      </c>
      <c r="C247" s="22">
        <f>'VIX HISTORIQUE'!D250</f>
        <v>18.71</v>
      </c>
      <c r="D247" s="22">
        <f>'VIX HISTORIQUE'!G250</f>
        <v>18.83</v>
      </c>
      <c r="E247" s="22">
        <f>'VIX HISTORIQUE'!I250</f>
        <v>19.14</v>
      </c>
      <c r="F247" s="22">
        <f>'VIX HISTORIQUE'!K250</f>
        <v>19.23</v>
      </c>
    </row>
    <row r="248" ht="15.75" customHeight="1">
      <c r="A248" s="25">
        <f>'VIX HISTORIQUE'!A251</f>
        <v>43619.66667</v>
      </c>
      <c r="B248" s="22">
        <f>'VIX HISTORIQUE'!B251</f>
        <v>2744.45</v>
      </c>
      <c r="C248" s="22">
        <f>'VIX HISTORIQUE'!D251</f>
        <v>18.86</v>
      </c>
      <c r="D248" s="22">
        <f>'VIX HISTORIQUE'!G251</f>
        <v>18.77</v>
      </c>
      <c r="E248" s="22">
        <f>'VIX HISTORIQUE'!I251</f>
        <v>19.09</v>
      </c>
      <c r="F248" s="22">
        <f>'VIX HISTORIQUE'!K251</f>
        <v>19.23</v>
      </c>
    </row>
    <row r="249" ht="15.75" customHeight="1">
      <c r="A249" s="25">
        <f>'VIX HISTORIQUE'!A252</f>
        <v>43620.66667</v>
      </c>
      <c r="B249" s="22">
        <f>'VIX HISTORIQUE'!B252</f>
        <v>2803.27</v>
      </c>
      <c r="C249" s="22">
        <f>'VIX HISTORIQUE'!D252</f>
        <v>16.97</v>
      </c>
      <c r="D249" s="22">
        <f>'VIX HISTORIQUE'!G252</f>
        <v>17.59</v>
      </c>
      <c r="E249" s="22">
        <f>'VIX HISTORIQUE'!I252</f>
        <v>18.17</v>
      </c>
      <c r="F249" s="22">
        <f>'VIX HISTORIQUE'!K252</f>
        <v>18.53</v>
      </c>
    </row>
    <row r="250" ht="15.75" customHeight="1">
      <c r="A250" s="25">
        <f>'VIX HISTORIQUE'!A253</f>
        <v>43621.66667</v>
      </c>
      <c r="B250" s="22">
        <f>'VIX HISTORIQUE'!B253</f>
        <v>2826.15</v>
      </c>
      <c r="C250" s="22">
        <f>'VIX HISTORIQUE'!D253</f>
        <v>16.09</v>
      </c>
      <c r="D250" s="22">
        <f>'VIX HISTORIQUE'!G253</f>
        <v>17.13</v>
      </c>
      <c r="E250" s="22">
        <f>'VIX HISTORIQUE'!I253</f>
        <v>17.82</v>
      </c>
      <c r="F250" s="22">
        <f>'VIX HISTORIQUE'!K253</f>
        <v>18.38</v>
      </c>
    </row>
    <row r="251" ht="15.75" customHeight="1">
      <c r="A251" s="25">
        <f>'VIX HISTORIQUE'!A254</f>
        <v>43622.66667</v>
      </c>
      <c r="B251" s="22">
        <f>'VIX HISTORIQUE'!B254</f>
        <v>2843.49</v>
      </c>
      <c r="C251" s="22">
        <f>'VIX HISTORIQUE'!D254</f>
        <v>15.93</v>
      </c>
      <c r="D251" s="22">
        <f>'VIX HISTORIQUE'!G254</f>
        <v>16.92</v>
      </c>
      <c r="E251" s="22">
        <f>'VIX HISTORIQUE'!I254</f>
        <v>17.67</v>
      </c>
      <c r="F251" s="22">
        <f>'VIX HISTORIQUE'!K254</f>
        <v>18.17</v>
      </c>
    </row>
    <row r="252" ht="15.75" customHeight="1">
      <c r="A252" s="25">
        <f>'VIX HISTORIQUE'!A255</f>
        <v>43623.66667</v>
      </c>
      <c r="B252" s="22">
        <f>'VIX HISTORIQUE'!B255</f>
        <v>2873.34</v>
      </c>
      <c r="C252" s="22">
        <f>'VIX HISTORIQUE'!D255</f>
        <v>16.3</v>
      </c>
      <c r="D252" s="22">
        <f>'VIX HISTORIQUE'!G255</f>
        <v>17.15</v>
      </c>
      <c r="E252" s="22">
        <f>'VIX HISTORIQUE'!I255</f>
        <v>17.86</v>
      </c>
      <c r="F252" s="22">
        <f>'VIX HISTORIQUE'!K255</f>
        <v>18.27</v>
      </c>
    </row>
    <row r="253" ht="15.75" customHeight="1">
      <c r="A253" s="25">
        <f>'VIX HISTORIQUE'!A256</f>
        <v>43626.66667</v>
      </c>
      <c r="B253" s="22">
        <f>'VIX HISTORIQUE'!B256</f>
        <v>2886.73</v>
      </c>
      <c r="C253" s="22">
        <f>'VIX HISTORIQUE'!D256</f>
        <v>15.94</v>
      </c>
      <c r="D253" s="22">
        <f>'VIX HISTORIQUE'!G256</f>
        <v>16.88</v>
      </c>
      <c r="E253" s="22">
        <f>'VIX HISTORIQUE'!I256</f>
        <v>17.66</v>
      </c>
      <c r="F253" s="22">
        <f>'VIX HISTORIQUE'!K256</f>
        <v>18.18</v>
      </c>
    </row>
    <row r="254" ht="15.75" customHeight="1">
      <c r="A254" s="25">
        <f>'VIX HISTORIQUE'!A257</f>
        <v>43627.66667</v>
      </c>
      <c r="B254" s="22">
        <f>'VIX HISTORIQUE'!B257</f>
        <v>2885.72</v>
      </c>
      <c r="C254" s="22">
        <f>'VIX HISTORIQUE'!D257</f>
        <v>15.99</v>
      </c>
      <c r="D254" s="22">
        <f>'VIX HISTORIQUE'!G257</f>
        <v>16.99</v>
      </c>
      <c r="E254" s="22">
        <f>'VIX HISTORIQUE'!I257</f>
        <v>17.81</v>
      </c>
      <c r="F254" s="22">
        <f>'VIX HISTORIQUE'!K257</f>
        <v>18.39</v>
      </c>
    </row>
    <row r="255" ht="15.75" customHeight="1">
      <c r="A255" s="25">
        <f>'VIX HISTORIQUE'!A258</f>
        <v>43628.66667</v>
      </c>
      <c r="B255" s="22">
        <f>'VIX HISTORIQUE'!B258</f>
        <v>2879.84</v>
      </c>
      <c r="C255" s="22">
        <f>'VIX HISTORIQUE'!D258</f>
        <v>15.91</v>
      </c>
      <c r="D255" s="22">
        <f>'VIX HISTORIQUE'!G258</f>
        <v>17.05</v>
      </c>
      <c r="E255" s="22">
        <f>'VIX HISTORIQUE'!I258</f>
        <v>17.82</v>
      </c>
      <c r="F255" s="22">
        <f>'VIX HISTORIQUE'!K258</f>
        <v>18.37</v>
      </c>
    </row>
    <row r="256" ht="15.75" customHeight="1">
      <c r="A256" s="25">
        <f>'VIX HISTORIQUE'!A259</f>
        <v>43629.66667</v>
      </c>
      <c r="B256" s="22">
        <f>'VIX HISTORIQUE'!B259</f>
        <v>2891.64</v>
      </c>
      <c r="C256" s="22">
        <f>'VIX HISTORIQUE'!D259</f>
        <v>15.82</v>
      </c>
      <c r="D256" s="22">
        <f>'VIX HISTORIQUE'!G259</f>
        <v>16.86</v>
      </c>
      <c r="E256" s="22">
        <f>'VIX HISTORIQUE'!I259</f>
        <v>17.64</v>
      </c>
      <c r="F256" s="22">
        <f>'VIX HISTORIQUE'!K259</f>
        <v>18.16</v>
      </c>
    </row>
    <row r="257" ht="15.75" customHeight="1">
      <c r="A257" s="25">
        <f>'VIX HISTORIQUE'!A260</f>
        <v>43630.66667</v>
      </c>
      <c r="B257" s="22">
        <f>'VIX HISTORIQUE'!B260</f>
        <v>2886.98</v>
      </c>
      <c r="C257" s="22">
        <f>'VIX HISTORIQUE'!D260</f>
        <v>15.28</v>
      </c>
      <c r="D257" s="22">
        <f>'VIX HISTORIQUE'!G260</f>
        <v>16.6</v>
      </c>
      <c r="E257" s="22">
        <f>'VIX HISTORIQUE'!I260</f>
        <v>17.48</v>
      </c>
      <c r="F257" s="22">
        <f>'VIX HISTORIQUE'!K260</f>
        <v>18.06</v>
      </c>
    </row>
    <row r="258" ht="15.75" customHeight="1">
      <c r="A258" s="25">
        <f>'VIX HISTORIQUE'!A261</f>
        <v>43633.66667</v>
      </c>
      <c r="B258" s="22">
        <f>'VIX HISTORIQUE'!B261</f>
        <v>2889.67</v>
      </c>
      <c r="C258" s="22">
        <f>'VIX HISTORIQUE'!D261</f>
        <v>15.35</v>
      </c>
      <c r="D258" s="22">
        <f>'VIX HISTORIQUE'!G261</f>
        <v>16.61</v>
      </c>
      <c r="E258" s="22">
        <f>'VIX HISTORIQUE'!I261</f>
        <v>17.49</v>
      </c>
      <c r="F258" s="22">
        <f>'VIX HISTORIQUE'!K261</f>
        <v>18.11</v>
      </c>
    </row>
    <row r="259" ht="15.75" customHeight="1">
      <c r="A259" s="25">
        <f>'VIX HISTORIQUE'!A262</f>
        <v>43634.66667</v>
      </c>
      <c r="B259" s="22">
        <f>'VIX HISTORIQUE'!B262</f>
        <v>2917.75</v>
      </c>
      <c r="C259" s="22">
        <f>'VIX HISTORIQUE'!D262</f>
        <v>15.15</v>
      </c>
      <c r="D259" s="22">
        <f>'VIX HISTORIQUE'!G262</f>
        <v>16.5</v>
      </c>
      <c r="E259" s="22">
        <f>'VIX HISTORIQUE'!I262</f>
        <v>17.38</v>
      </c>
      <c r="F259" s="22">
        <f>'VIX HISTORIQUE'!K262</f>
        <v>18.06</v>
      </c>
    </row>
    <row r="260" ht="15.75" customHeight="1">
      <c r="A260" s="25">
        <f>'VIX HISTORIQUE'!A263</f>
        <v>43635.66667</v>
      </c>
      <c r="B260" s="22">
        <f>'VIX HISTORIQUE'!B263</f>
        <v>2926.46</v>
      </c>
      <c r="C260" s="22">
        <f>'VIX HISTORIQUE'!D263</f>
        <v>14.33</v>
      </c>
      <c r="D260" s="22">
        <f>'VIX HISTORIQUE'!G263</f>
        <v>16.1</v>
      </c>
      <c r="E260" s="22">
        <f>'VIX HISTORIQUE'!I263</f>
        <v>17.14</v>
      </c>
      <c r="F260" s="22">
        <f>'VIX HISTORIQUE'!K263</f>
        <v>17.9</v>
      </c>
    </row>
    <row r="261" ht="15.75" customHeight="1">
      <c r="A261" s="25">
        <f>'VIX HISTORIQUE'!A264</f>
        <v>43636.66667</v>
      </c>
      <c r="B261" s="22">
        <f>'VIX HISTORIQUE'!B264</f>
        <v>2954.18</v>
      </c>
      <c r="C261" s="22">
        <f>'VIX HISTORIQUE'!D264</f>
        <v>14.75</v>
      </c>
      <c r="D261" s="22">
        <f>'VIX HISTORIQUE'!G264</f>
        <v>16.14</v>
      </c>
      <c r="E261" s="22">
        <f>'VIX HISTORIQUE'!I264</f>
        <v>17.05</v>
      </c>
      <c r="F261" s="22">
        <f>'VIX HISTORIQUE'!K264</f>
        <v>17.73</v>
      </c>
    </row>
    <row r="262" ht="15.75" customHeight="1">
      <c r="A262" s="25">
        <f>'VIX HISTORIQUE'!A265</f>
        <v>43637.66667</v>
      </c>
      <c r="B262" s="22">
        <f>'VIX HISTORIQUE'!B265</f>
        <v>2950.46</v>
      </c>
      <c r="C262" s="22">
        <f>'VIX HISTORIQUE'!D265</f>
        <v>15.4</v>
      </c>
      <c r="D262" s="22">
        <f>'VIX HISTORIQUE'!G265</f>
        <v>16.67</v>
      </c>
      <c r="E262" s="22">
        <f>'VIX HISTORIQUE'!I265</f>
        <v>17.43</v>
      </c>
      <c r="F262" s="22">
        <f>'VIX HISTORIQUE'!K265</f>
        <v>18.04</v>
      </c>
    </row>
    <row r="263" ht="15.75" customHeight="1">
      <c r="A263" s="25">
        <f>'VIX HISTORIQUE'!A266</f>
        <v>43640.66667</v>
      </c>
      <c r="B263" s="22">
        <f>'VIX HISTORIQUE'!B266</f>
        <v>2945.35</v>
      </c>
      <c r="C263" s="22">
        <f>'VIX HISTORIQUE'!D266</f>
        <v>15.26</v>
      </c>
      <c r="D263" s="22">
        <f>'VIX HISTORIQUE'!G266</f>
        <v>16.47</v>
      </c>
      <c r="E263" s="22">
        <f>'VIX HISTORIQUE'!I266</f>
        <v>17.27</v>
      </c>
      <c r="F263" s="22">
        <f>'VIX HISTORIQUE'!K266</f>
        <v>17.96</v>
      </c>
    </row>
    <row r="264" ht="15.75" customHeight="1">
      <c r="A264" s="25">
        <f>'VIX HISTORIQUE'!A267</f>
        <v>43641.66667</v>
      </c>
      <c r="B264" s="22">
        <f>'VIX HISTORIQUE'!B267</f>
        <v>2917.38</v>
      </c>
      <c r="C264" s="22">
        <f>'VIX HISTORIQUE'!D267</f>
        <v>16.28</v>
      </c>
      <c r="D264" s="22">
        <f>'VIX HISTORIQUE'!G267</f>
        <v>17.12</v>
      </c>
      <c r="E264" s="22">
        <f>'VIX HISTORIQUE'!I267</f>
        <v>17.78</v>
      </c>
      <c r="F264" s="22">
        <f>'VIX HISTORIQUE'!K267</f>
        <v>18.29</v>
      </c>
    </row>
    <row r="265" ht="15.75" customHeight="1">
      <c r="A265" s="25">
        <f>'VIX HISTORIQUE'!A268</f>
        <v>43642.66667</v>
      </c>
      <c r="B265" s="22">
        <f>'VIX HISTORIQUE'!B268</f>
        <v>2913.78</v>
      </c>
      <c r="C265" s="22">
        <f>'VIX HISTORIQUE'!D268</f>
        <v>16.21</v>
      </c>
      <c r="D265" s="22">
        <f>'VIX HISTORIQUE'!G268</f>
        <v>17.05</v>
      </c>
      <c r="E265" s="22">
        <f>'VIX HISTORIQUE'!I268</f>
        <v>17.8</v>
      </c>
      <c r="F265" s="22">
        <f>'VIX HISTORIQUE'!K268</f>
        <v>18.34</v>
      </c>
    </row>
    <row r="266" ht="15.75" customHeight="1">
      <c r="A266" s="25">
        <f>'VIX HISTORIQUE'!A269</f>
        <v>43643.66667</v>
      </c>
      <c r="B266" s="22">
        <f>'VIX HISTORIQUE'!B269</f>
        <v>2924.92</v>
      </c>
      <c r="C266" s="22">
        <f>'VIX HISTORIQUE'!D269</f>
        <v>15.82</v>
      </c>
      <c r="D266" s="22">
        <f>'VIX HISTORIQUE'!G269</f>
        <v>16.76</v>
      </c>
      <c r="E266" s="22">
        <f>'VIX HISTORIQUE'!I269</f>
        <v>17.52</v>
      </c>
      <c r="F266" s="22">
        <f>'VIX HISTORIQUE'!K269</f>
        <v>18.11</v>
      </c>
    </row>
    <row r="267" ht="15.75" customHeight="1">
      <c r="A267" s="25">
        <f>'VIX HISTORIQUE'!A270</f>
        <v>43644.66667</v>
      </c>
      <c r="B267" s="22">
        <f>'VIX HISTORIQUE'!B270</f>
        <v>2941.76</v>
      </c>
      <c r="C267" s="22">
        <f>'VIX HISTORIQUE'!D270</f>
        <v>15.08</v>
      </c>
      <c r="D267" s="22">
        <f>'VIX HISTORIQUE'!G270</f>
        <v>16.06</v>
      </c>
      <c r="E267" s="22">
        <f>'VIX HISTORIQUE'!I270</f>
        <v>16.96</v>
      </c>
      <c r="F267" s="22">
        <f>'VIX HISTORIQUE'!K270</f>
        <v>17.73</v>
      </c>
    </row>
    <row r="268" ht="15.75" customHeight="1">
      <c r="A268" s="25">
        <f>'VIX HISTORIQUE'!A271</f>
        <v>43647.66667</v>
      </c>
      <c r="B268" s="22">
        <f>'VIX HISTORIQUE'!B271</f>
        <v>2964.33</v>
      </c>
      <c r="C268" s="22">
        <f>'VIX HISTORIQUE'!D271</f>
        <v>14.06</v>
      </c>
      <c r="D268" s="22">
        <f>'VIX HISTORIQUE'!G271</f>
        <v>15.43</v>
      </c>
      <c r="E268" s="22">
        <f>'VIX HISTORIQUE'!I271</f>
        <v>16.38</v>
      </c>
      <c r="F268" s="22">
        <f>'VIX HISTORIQUE'!K271</f>
        <v>17.35</v>
      </c>
    </row>
    <row r="269" ht="15.75" customHeight="1">
      <c r="A269" s="25">
        <f>'VIX HISTORIQUE'!A272</f>
        <v>43648.66667</v>
      </c>
      <c r="B269" s="22">
        <f>'VIX HISTORIQUE'!B272</f>
        <v>2973.01</v>
      </c>
      <c r="C269" s="22">
        <f>'VIX HISTORIQUE'!D272</f>
        <v>12.93</v>
      </c>
      <c r="D269" s="22">
        <f>'VIX HISTORIQUE'!G272</f>
        <v>14.72</v>
      </c>
      <c r="E269" s="22">
        <f>'VIX HISTORIQUE'!I272</f>
        <v>15.92</v>
      </c>
      <c r="F269" s="22">
        <f>'VIX HISTORIQUE'!K272</f>
        <v>17.06</v>
      </c>
    </row>
    <row r="270" ht="15.75" customHeight="1">
      <c r="A270" s="25">
        <f>'VIX HISTORIQUE'!A273</f>
        <v>43649.54167</v>
      </c>
      <c r="B270" s="22">
        <f>'VIX HISTORIQUE'!B273</f>
        <v>2995.82</v>
      </c>
      <c r="C270" s="22">
        <f>'VIX HISTORIQUE'!D273</f>
        <v>12.57</v>
      </c>
      <c r="D270" s="22">
        <f>'VIX HISTORIQUE'!G273</f>
        <v>14.53</v>
      </c>
      <c r="E270" s="22">
        <f>'VIX HISTORIQUE'!I273</f>
        <v>15.74</v>
      </c>
      <c r="F270" s="22">
        <f>'VIX HISTORIQUE'!K273</f>
        <v>16.81</v>
      </c>
    </row>
    <row r="271" ht="15.75" customHeight="1">
      <c r="A271" s="25">
        <f>'VIX HISTORIQUE'!A274</f>
        <v>43651.66667</v>
      </c>
      <c r="B271" s="22">
        <f>'VIX HISTORIQUE'!B274</f>
        <v>2990.41</v>
      </c>
      <c r="C271" s="22">
        <f>'VIX HISTORIQUE'!D274</f>
        <v>13.28</v>
      </c>
      <c r="D271" s="22">
        <f>'VIX HISTORIQUE'!G274</f>
        <v>14.98</v>
      </c>
      <c r="E271" s="22">
        <f>'VIX HISTORIQUE'!I274</f>
        <v>15.99</v>
      </c>
      <c r="F271" s="22">
        <f>'VIX HISTORIQUE'!K274</f>
        <v>16.94</v>
      </c>
    </row>
    <row r="272" ht="15.75" customHeight="1">
      <c r="A272" s="25">
        <f>'VIX HISTORIQUE'!A275</f>
        <v>43654.66667</v>
      </c>
      <c r="B272" s="22">
        <f>'VIX HISTORIQUE'!B275</f>
        <v>2975.95</v>
      </c>
      <c r="C272" s="22">
        <f>'VIX HISTORIQUE'!D275</f>
        <v>13.96</v>
      </c>
      <c r="D272" s="22">
        <f>'VIX HISTORIQUE'!G275</f>
        <v>15.48</v>
      </c>
      <c r="E272" s="22">
        <f>'VIX HISTORIQUE'!I275</f>
        <v>16.36</v>
      </c>
      <c r="F272" s="22">
        <f>'VIX HISTORIQUE'!K275</f>
        <v>17.19</v>
      </c>
    </row>
    <row r="273" ht="15.75" customHeight="1">
      <c r="A273" s="25">
        <f>'VIX HISTORIQUE'!A276</f>
        <v>43655.66667</v>
      </c>
      <c r="B273" s="22">
        <f>'VIX HISTORIQUE'!B276</f>
        <v>2979.63</v>
      </c>
      <c r="C273" s="22">
        <f>'VIX HISTORIQUE'!D276</f>
        <v>14.09</v>
      </c>
      <c r="D273" s="22">
        <f>'VIX HISTORIQUE'!G276</f>
        <v>15.57</v>
      </c>
      <c r="E273" s="22">
        <f>'VIX HISTORIQUE'!I276</f>
        <v>16.47</v>
      </c>
      <c r="F273" s="22">
        <f>'VIX HISTORIQUE'!K276</f>
        <v>17.28</v>
      </c>
    </row>
    <row r="274" ht="15.75" customHeight="1">
      <c r="A274" s="25">
        <f>'VIX HISTORIQUE'!A277</f>
        <v>43656.66667</v>
      </c>
      <c r="B274" s="22">
        <f>'VIX HISTORIQUE'!B277</f>
        <v>2993.07</v>
      </c>
      <c r="C274" s="22">
        <f>'VIX HISTORIQUE'!D277</f>
        <v>13.03</v>
      </c>
      <c r="D274" s="22">
        <f>'VIX HISTORIQUE'!G277</f>
        <v>15.19</v>
      </c>
      <c r="E274" s="22">
        <f>'VIX HISTORIQUE'!I277</f>
        <v>16.25</v>
      </c>
      <c r="F274" s="22">
        <f>'VIX HISTORIQUE'!K277</f>
        <v>17.15</v>
      </c>
    </row>
    <row r="275" ht="15.75" customHeight="1">
      <c r="A275" s="25">
        <f>'VIX HISTORIQUE'!A278</f>
        <v>43657.66667</v>
      </c>
      <c r="B275" s="22">
        <f>'VIX HISTORIQUE'!B278</f>
        <v>2999.91</v>
      </c>
      <c r="C275" s="22">
        <f>'VIX HISTORIQUE'!D278</f>
        <v>12.93</v>
      </c>
      <c r="D275" s="22">
        <f>'VIX HISTORIQUE'!G278</f>
        <v>14.98</v>
      </c>
      <c r="E275" s="22">
        <f>'VIX HISTORIQUE'!I278</f>
        <v>16.15</v>
      </c>
      <c r="F275" s="22">
        <f>'VIX HISTORIQUE'!K278</f>
        <v>17.1</v>
      </c>
    </row>
    <row r="276" ht="15.75" customHeight="1">
      <c r="A276" s="25">
        <f>'VIX HISTORIQUE'!A279</f>
        <v>43658.66667</v>
      </c>
      <c r="B276" s="22">
        <f>'VIX HISTORIQUE'!B279</f>
        <v>3013.77</v>
      </c>
      <c r="C276" s="22">
        <f>'VIX HISTORIQUE'!D279</f>
        <v>12.39</v>
      </c>
      <c r="D276" s="22">
        <f>'VIX HISTORIQUE'!G279</f>
        <v>14.8</v>
      </c>
      <c r="E276" s="22">
        <f>'VIX HISTORIQUE'!I279</f>
        <v>16.09</v>
      </c>
      <c r="F276" s="22">
        <f>'VIX HISTORIQUE'!K279</f>
        <v>17.09</v>
      </c>
    </row>
    <row r="277" ht="15.75" customHeight="1">
      <c r="A277" s="25">
        <f>'VIX HISTORIQUE'!A280</f>
        <v>43661.66667</v>
      </c>
      <c r="B277" s="22">
        <f>'VIX HISTORIQUE'!B280</f>
        <v>3014.3</v>
      </c>
      <c r="C277" s="22">
        <f>'VIX HISTORIQUE'!D280</f>
        <v>12.68</v>
      </c>
      <c r="D277" s="22">
        <f>'VIX HISTORIQUE'!G280</f>
        <v>15.04</v>
      </c>
      <c r="E277" s="22">
        <f>'VIX HISTORIQUE'!I280</f>
        <v>16.28</v>
      </c>
      <c r="F277" s="22">
        <f>'VIX HISTORIQUE'!K280</f>
        <v>17.27</v>
      </c>
    </row>
    <row r="278" ht="15.75" customHeight="1">
      <c r="A278" s="25">
        <f>'VIX HISTORIQUE'!A281</f>
        <v>43662.66667</v>
      </c>
      <c r="B278" s="22">
        <f>'VIX HISTORIQUE'!B281</f>
        <v>3004.04</v>
      </c>
      <c r="C278" s="22">
        <f>'VIX HISTORIQUE'!D281</f>
        <v>12.86</v>
      </c>
      <c r="D278" s="22">
        <f>'VIX HISTORIQUE'!G281</f>
        <v>15.22</v>
      </c>
      <c r="E278" s="22">
        <f>'VIX HISTORIQUE'!I281</f>
        <v>16.39</v>
      </c>
      <c r="F278" s="22">
        <f>'VIX HISTORIQUE'!K281</f>
        <v>17.34</v>
      </c>
    </row>
    <row r="279" ht="15.75" customHeight="1">
      <c r="A279" s="25">
        <f>'VIX HISTORIQUE'!A282</f>
        <v>43663.66667</v>
      </c>
      <c r="B279" s="22">
        <f>'VIX HISTORIQUE'!B282</f>
        <v>2984.42</v>
      </c>
      <c r="C279" s="22">
        <f>'VIX HISTORIQUE'!D282</f>
        <v>13.97</v>
      </c>
      <c r="D279" s="22">
        <f>'VIX HISTORIQUE'!G282</f>
        <v>15.82</v>
      </c>
      <c r="E279" s="22">
        <f>'VIX HISTORIQUE'!I282</f>
        <v>16.84</v>
      </c>
      <c r="F279" s="22">
        <f>'VIX HISTORIQUE'!K282</f>
        <v>17.68</v>
      </c>
    </row>
    <row r="280" ht="15.75" customHeight="1">
      <c r="A280" s="25">
        <f>'VIX HISTORIQUE'!A283</f>
        <v>43664.66667</v>
      </c>
      <c r="B280" s="22">
        <f>'VIX HISTORIQUE'!B283</f>
        <v>2995.11</v>
      </c>
      <c r="C280" s="22">
        <f>'VIX HISTORIQUE'!D283</f>
        <v>13.53</v>
      </c>
      <c r="D280" s="22">
        <f>'VIX HISTORIQUE'!G283</f>
        <v>15.54</v>
      </c>
      <c r="E280" s="22">
        <f>'VIX HISTORIQUE'!I283</f>
        <v>16.61</v>
      </c>
      <c r="F280" s="22">
        <f>'VIX HISTORIQUE'!K283</f>
        <v>17.52</v>
      </c>
    </row>
    <row r="281" ht="15.75" customHeight="1">
      <c r="A281" s="25">
        <f>'VIX HISTORIQUE'!A284</f>
        <v>43665.66667</v>
      </c>
      <c r="B281" s="22">
        <f>'VIX HISTORIQUE'!B284</f>
        <v>2976.61</v>
      </c>
      <c r="C281" s="22">
        <f>'VIX HISTORIQUE'!D284</f>
        <v>14.45</v>
      </c>
      <c r="D281" s="22">
        <f>'VIX HISTORIQUE'!G284</f>
        <v>15.93</v>
      </c>
      <c r="E281" s="22">
        <f>'VIX HISTORIQUE'!I284</f>
        <v>16.9</v>
      </c>
      <c r="F281" s="22">
        <f>'VIX HISTORIQUE'!K284</f>
        <v>17.77</v>
      </c>
    </row>
    <row r="282" ht="15.75" customHeight="1">
      <c r="A282" s="25">
        <f>'VIX HISTORIQUE'!A285</f>
        <v>43668.66667</v>
      </c>
      <c r="B282" s="22">
        <f>'VIX HISTORIQUE'!B285</f>
        <v>2985.03</v>
      </c>
      <c r="C282" s="22">
        <f>'VIX HISTORIQUE'!D285</f>
        <v>13.53</v>
      </c>
      <c r="D282" s="22">
        <f>'VIX HISTORIQUE'!G285</f>
        <v>15.47</v>
      </c>
      <c r="E282" s="22">
        <f>'VIX HISTORIQUE'!I285</f>
        <v>16.57</v>
      </c>
      <c r="F282" s="22">
        <f>'VIX HISTORIQUE'!K285</f>
        <v>17.53</v>
      </c>
    </row>
    <row r="283" ht="15.75" customHeight="1">
      <c r="A283" s="25">
        <f>'VIX HISTORIQUE'!A286</f>
        <v>43669.66667</v>
      </c>
      <c r="B283" s="22">
        <f>'VIX HISTORIQUE'!B286</f>
        <v>3005.47</v>
      </c>
      <c r="C283" s="22">
        <f>'VIX HISTORIQUE'!D286</f>
        <v>12.61</v>
      </c>
      <c r="D283" s="22">
        <f>'VIX HISTORIQUE'!G286</f>
        <v>14.93</v>
      </c>
      <c r="E283" s="22">
        <f>'VIX HISTORIQUE'!I286</f>
        <v>16.18</v>
      </c>
      <c r="F283" s="22">
        <f>'VIX HISTORIQUE'!K286</f>
        <v>17.22</v>
      </c>
    </row>
    <row r="284" ht="15.75" customHeight="1">
      <c r="A284" s="25">
        <f>'VIX HISTORIQUE'!A287</f>
        <v>43670.66667</v>
      </c>
      <c r="B284" s="22">
        <f>'VIX HISTORIQUE'!B287</f>
        <v>3019.56</v>
      </c>
      <c r="C284" s="22">
        <f>'VIX HISTORIQUE'!D287</f>
        <v>12.07</v>
      </c>
      <c r="D284" s="22">
        <f>'VIX HISTORIQUE'!G287</f>
        <v>14.56</v>
      </c>
      <c r="E284" s="22">
        <f>'VIX HISTORIQUE'!I287</f>
        <v>15.93</v>
      </c>
      <c r="F284" s="22">
        <f>'VIX HISTORIQUE'!K287</f>
        <v>17.06</v>
      </c>
    </row>
    <row r="285" ht="15.75" customHeight="1">
      <c r="A285" s="25">
        <f>'VIX HISTORIQUE'!A288</f>
        <v>43671.66667</v>
      </c>
      <c r="B285" s="22">
        <f>'VIX HISTORIQUE'!B288</f>
        <v>3003.67</v>
      </c>
      <c r="C285" s="22">
        <f>'VIX HISTORIQUE'!D288</f>
        <v>12.74</v>
      </c>
      <c r="D285" s="22">
        <f>'VIX HISTORIQUE'!G288</f>
        <v>15.05</v>
      </c>
      <c r="E285" s="22">
        <f>'VIX HISTORIQUE'!I288</f>
        <v>16.25</v>
      </c>
      <c r="F285" s="22">
        <f>'VIX HISTORIQUE'!K288</f>
        <v>17.26</v>
      </c>
    </row>
    <row r="286" ht="15.75" customHeight="1">
      <c r="A286" s="25">
        <f>'VIX HISTORIQUE'!A289</f>
        <v>43672.66667</v>
      </c>
      <c r="B286" s="22">
        <f>'VIX HISTORIQUE'!B289</f>
        <v>3025.86</v>
      </c>
      <c r="C286" s="22">
        <f>'VIX HISTORIQUE'!D289</f>
        <v>12.16</v>
      </c>
      <c r="D286" s="22">
        <f>'VIX HISTORIQUE'!G289</f>
        <v>14.69</v>
      </c>
      <c r="E286" s="22">
        <f>'VIX HISTORIQUE'!I289</f>
        <v>15.95</v>
      </c>
      <c r="F286" s="22">
        <f>'VIX HISTORIQUE'!K289</f>
        <v>17.02</v>
      </c>
    </row>
    <row r="287" ht="15.75" customHeight="1">
      <c r="A287" s="25">
        <f>'VIX HISTORIQUE'!A290</f>
        <v>43675.66667</v>
      </c>
      <c r="B287" s="22">
        <f>'VIX HISTORIQUE'!B290</f>
        <v>3020.97</v>
      </c>
      <c r="C287" s="22">
        <f>'VIX HISTORIQUE'!D290</f>
        <v>12.83</v>
      </c>
      <c r="D287" s="22">
        <f>'VIX HISTORIQUE'!G290</f>
        <v>15</v>
      </c>
      <c r="E287" s="22">
        <f>'VIX HISTORIQUE'!I290</f>
        <v>16.16</v>
      </c>
      <c r="F287" s="22">
        <f>'VIX HISTORIQUE'!K290</f>
        <v>17.19</v>
      </c>
    </row>
    <row r="288" ht="15.75" customHeight="1">
      <c r="A288" s="25">
        <f>'VIX HISTORIQUE'!A291</f>
        <v>43676.66667</v>
      </c>
      <c r="B288" s="22">
        <f>'VIX HISTORIQUE'!B291</f>
        <v>3013.18</v>
      </c>
      <c r="C288" s="22">
        <f>'VIX HISTORIQUE'!D291</f>
        <v>13.94</v>
      </c>
      <c r="D288" s="22">
        <f>'VIX HISTORIQUE'!G291</f>
        <v>15.7</v>
      </c>
      <c r="E288" s="22">
        <f>'VIX HISTORIQUE'!I291</f>
        <v>16.61</v>
      </c>
      <c r="F288" s="22">
        <f>'VIX HISTORIQUE'!K291</f>
        <v>17.47</v>
      </c>
    </row>
    <row r="289" ht="15.75" customHeight="1">
      <c r="A289" s="25">
        <f>'VIX HISTORIQUE'!A292</f>
        <v>43677.66667</v>
      </c>
      <c r="B289" s="22">
        <f>'VIX HISTORIQUE'!B292</f>
        <v>2980.38</v>
      </c>
      <c r="C289" s="22">
        <f>'VIX HISTORIQUE'!D292</f>
        <v>16.12</v>
      </c>
      <c r="D289" s="22">
        <f>'VIX HISTORIQUE'!G292</f>
        <v>16.91</v>
      </c>
      <c r="E289" s="22">
        <f>'VIX HISTORIQUE'!I292</f>
        <v>17.47</v>
      </c>
      <c r="F289" s="22">
        <f>'VIX HISTORIQUE'!K292</f>
        <v>18.09</v>
      </c>
    </row>
    <row r="290" ht="15.75" customHeight="1">
      <c r="A290" s="25">
        <f>'VIX HISTORIQUE'!A293</f>
        <v>43678.66667</v>
      </c>
      <c r="B290" s="22">
        <f>'VIX HISTORIQUE'!B293</f>
        <v>2953.56</v>
      </c>
      <c r="C290" s="22">
        <f>'VIX HISTORIQUE'!D293</f>
        <v>17.87</v>
      </c>
      <c r="D290" s="22">
        <f>'VIX HISTORIQUE'!G293</f>
        <v>17.99</v>
      </c>
      <c r="E290" s="22">
        <f>'VIX HISTORIQUE'!I293</f>
        <v>18.17</v>
      </c>
      <c r="F290" s="22">
        <f>'VIX HISTORIQUE'!K293</f>
        <v>18.39</v>
      </c>
    </row>
    <row r="291" ht="15.75" customHeight="1">
      <c r="A291" s="25">
        <f>'VIX HISTORIQUE'!A294</f>
        <v>43679.66667</v>
      </c>
      <c r="B291" s="22">
        <f>'VIX HISTORIQUE'!B294</f>
        <v>2932.05</v>
      </c>
      <c r="C291" s="22">
        <f>'VIX HISTORIQUE'!D294</f>
        <v>17.61</v>
      </c>
      <c r="D291" s="22">
        <f>'VIX HISTORIQUE'!G294</f>
        <v>17.89</v>
      </c>
      <c r="E291" s="22">
        <f>'VIX HISTORIQUE'!I294</f>
        <v>18.11</v>
      </c>
      <c r="F291" s="22">
        <f>'VIX HISTORIQUE'!K294</f>
        <v>18.31</v>
      </c>
    </row>
    <row r="292" ht="15.75" customHeight="1">
      <c r="A292" s="25">
        <f>'VIX HISTORIQUE'!A295</f>
        <v>43682.66667</v>
      </c>
      <c r="B292" s="22">
        <f>'VIX HISTORIQUE'!B295</f>
        <v>2844.74</v>
      </c>
      <c r="C292" s="22">
        <f>'VIX HISTORIQUE'!D295</f>
        <v>24.59</v>
      </c>
      <c r="D292" s="22">
        <f>'VIX HISTORIQUE'!G295</f>
        <v>21.9</v>
      </c>
      <c r="E292" s="22">
        <f>'VIX HISTORIQUE'!I295</f>
        <v>20.81</v>
      </c>
      <c r="F292" s="22">
        <f>'VIX HISTORIQUE'!K295</f>
        <v>19.92</v>
      </c>
    </row>
    <row r="293" ht="15.75" customHeight="1">
      <c r="A293" s="25">
        <f>'VIX HISTORIQUE'!A296</f>
        <v>43683.66667</v>
      </c>
      <c r="B293" s="22">
        <f>'VIX HISTORIQUE'!B296</f>
        <v>2881.77</v>
      </c>
      <c r="C293" s="22">
        <f>'VIX HISTORIQUE'!D296</f>
        <v>20.17</v>
      </c>
      <c r="D293" s="22">
        <f>'VIX HISTORIQUE'!G296</f>
        <v>19.69</v>
      </c>
      <c r="E293" s="22">
        <f>'VIX HISTORIQUE'!I296</f>
        <v>19.41</v>
      </c>
      <c r="F293" s="22">
        <f>'VIX HISTORIQUE'!K296</f>
        <v>19.01</v>
      </c>
    </row>
    <row r="294" ht="15.75" customHeight="1">
      <c r="A294" s="25">
        <f>'VIX HISTORIQUE'!A297</f>
        <v>43684.66667</v>
      </c>
      <c r="B294" s="22">
        <f>'VIX HISTORIQUE'!B297</f>
        <v>2883.98</v>
      </c>
      <c r="C294" s="22">
        <f>'VIX HISTORIQUE'!D297</f>
        <v>19.49</v>
      </c>
      <c r="D294" s="22">
        <f>'VIX HISTORIQUE'!G297</f>
        <v>19.5</v>
      </c>
      <c r="E294" s="22">
        <f>'VIX HISTORIQUE'!I297</f>
        <v>19.26</v>
      </c>
      <c r="F294" s="22">
        <f>'VIX HISTORIQUE'!K297</f>
        <v>18.99</v>
      </c>
    </row>
    <row r="295" ht="15.75" customHeight="1">
      <c r="A295" s="25">
        <f>'VIX HISTORIQUE'!A298</f>
        <v>43685.66667</v>
      </c>
      <c r="B295" s="22">
        <f>'VIX HISTORIQUE'!B298</f>
        <v>2938.09</v>
      </c>
      <c r="C295" s="22">
        <f>'VIX HISTORIQUE'!D298</f>
        <v>16.91</v>
      </c>
      <c r="D295" s="22">
        <f>'VIX HISTORIQUE'!G298</f>
        <v>17.86</v>
      </c>
      <c r="E295" s="22">
        <f>'VIX HISTORIQUE'!I298</f>
        <v>18.05</v>
      </c>
      <c r="F295" s="22">
        <f>'VIX HISTORIQUE'!K298</f>
        <v>18.18</v>
      </c>
    </row>
    <row r="296" ht="15.75" customHeight="1">
      <c r="A296" s="25">
        <f>'VIX HISTORIQUE'!A299</f>
        <v>43686.66667</v>
      </c>
      <c r="B296" s="22">
        <f>'VIX HISTORIQUE'!B299</f>
        <v>2918.65</v>
      </c>
      <c r="C296" s="22">
        <f>'VIX HISTORIQUE'!D299</f>
        <v>17.97</v>
      </c>
      <c r="D296" s="22">
        <f>'VIX HISTORIQUE'!G299</f>
        <v>18.56</v>
      </c>
      <c r="E296" s="22">
        <f>'VIX HISTORIQUE'!I299</f>
        <v>18.56</v>
      </c>
      <c r="F296" s="22">
        <f>'VIX HISTORIQUE'!K299</f>
        <v>18.51</v>
      </c>
    </row>
    <row r="297" ht="15.75" customHeight="1">
      <c r="A297" s="25">
        <f>'VIX HISTORIQUE'!A300</f>
        <v>43689.66667</v>
      </c>
      <c r="B297" s="22">
        <f>'VIX HISTORIQUE'!B300</f>
        <v>2883.09</v>
      </c>
      <c r="C297" s="22">
        <f>'VIX HISTORIQUE'!D300</f>
        <v>21.09</v>
      </c>
      <c r="D297" s="22">
        <f>'VIX HISTORIQUE'!G300</f>
        <v>20.5</v>
      </c>
      <c r="E297" s="22">
        <f>'VIX HISTORIQUE'!I300</f>
        <v>19.87</v>
      </c>
      <c r="F297" s="22">
        <f>'VIX HISTORIQUE'!K300</f>
        <v>19.35</v>
      </c>
    </row>
    <row r="298" ht="15.75" customHeight="1">
      <c r="A298" s="25">
        <f>'VIX HISTORIQUE'!A301</f>
        <v>43690.66667</v>
      </c>
      <c r="B298" s="22">
        <f>'VIX HISTORIQUE'!B301</f>
        <v>2926.32</v>
      </c>
      <c r="C298" s="22">
        <f>'VIX HISTORIQUE'!D301</f>
        <v>17.52</v>
      </c>
      <c r="D298" s="22">
        <f>'VIX HISTORIQUE'!G301</f>
        <v>18.53</v>
      </c>
      <c r="E298" s="22">
        <f>'VIX HISTORIQUE'!I301</f>
        <v>18.69</v>
      </c>
      <c r="F298" s="22">
        <f>'VIX HISTORIQUE'!K301</f>
        <v>18.64</v>
      </c>
    </row>
    <row r="299" ht="15.75" customHeight="1">
      <c r="A299" s="25">
        <f>'VIX HISTORIQUE'!A302</f>
        <v>43691.66667</v>
      </c>
      <c r="B299" s="22">
        <f>'VIX HISTORIQUE'!B302</f>
        <v>2840.6</v>
      </c>
      <c r="C299" s="22">
        <f>'VIX HISTORIQUE'!D302</f>
        <v>22.1</v>
      </c>
      <c r="D299" s="22">
        <f>'VIX HISTORIQUE'!G302</f>
        <v>21.3</v>
      </c>
      <c r="E299" s="22">
        <f>'VIX HISTORIQUE'!I302</f>
        <v>20.73</v>
      </c>
      <c r="F299" s="22">
        <f>'VIX HISTORIQUE'!K302</f>
        <v>19.96</v>
      </c>
    </row>
    <row r="300" ht="15.75" customHeight="1">
      <c r="A300" s="25">
        <f>'VIX HISTORIQUE'!A303</f>
        <v>43692.66667</v>
      </c>
      <c r="B300" s="22">
        <f>'VIX HISTORIQUE'!B303</f>
        <v>2847.6</v>
      </c>
      <c r="C300" s="22">
        <f>'VIX HISTORIQUE'!D303</f>
        <v>21.18</v>
      </c>
      <c r="D300" s="22">
        <f>'VIX HISTORIQUE'!G303</f>
        <v>21.07</v>
      </c>
      <c r="E300" s="22">
        <f>'VIX HISTORIQUE'!I303</f>
        <v>20.58</v>
      </c>
      <c r="F300" s="22">
        <f>'VIX HISTORIQUE'!K303</f>
        <v>19.98</v>
      </c>
    </row>
    <row r="301" ht="15.75" customHeight="1">
      <c r="A301" s="25">
        <f>'VIX HISTORIQUE'!A304</f>
        <v>43693.66667</v>
      </c>
      <c r="B301" s="22">
        <f>'VIX HISTORIQUE'!B304</f>
        <v>2888.68</v>
      </c>
      <c r="C301" s="22">
        <f>'VIX HISTORIQUE'!D304</f>
        <v>18.47</v>
      </c>
      <c r="D301" s="22">
        <f>'VIX HISTORIQUE'!G304</f>
        <v>19.7</v>
      </c>
      <c r="E301" s="22">
        <f>'VIX HISTORIQUE'!I304</f>
        <v>19.64</v>
      </c>
      <c r="F301" s="22">
        <f>'VIX HISTORIQUE'!K304</f>
        <v>19.33</v>
      </c>
    </row>
    <row r="302" ht="15.75" customHeight="1">
      <c r="A302" s="25">
        <f>'VIX HISTORIQUE'!A305</f>
        <v>43696.66667</v>
      </c>
      <c r="B302" s="22">
        <f>'VIX HISTORIQUE'!B305</f>
        <v>2923.65</v>
      </c>
      <c r="C302" s="22">
        <f>'VIX HISTORIQUE'!D305</f>
        <v>16.88</v>
      </c>
      <c r="D302" s="22">
        <f>'VIX HISTORIQUE'!G305</f>
        <v>18.36</v>
      </c>
      <c r="E302" s="22">
        <f>'VIX HISTORIQUE'!I305</f>
        <v>18.82</v>
      </c>
      <c r="F302" s="22">
        <f>'VIX HISTORIQUE'!K305</f>
        <v>18.85</v>
      </c>
    </row>
    <row r="303" ht="15.75" customHeight="1">
      <c r="A303" s="25">
        <f>'VIX HISTORIQUE'!A306</f>
        <v>43697.66667</v>
      </c>
      <c r="B303" s="22">
        <f>'VIX HISTORIQUE'!B306</f>
        <v>2900.51</v>
      </c>
      <c r="C303" s="22">
        <f>'VIX HISTORIQUE'!D306</f>
        <v>17.5</v>
      </c>
      <c r="D303" s="22">
        <f>'VIX HISTORIQUE'!G306</f>
        <v>18.87</v>
      </c>
      <c r="E303" s="22">
        <f>'VIX HISTORIQUE'!I306</f>
        <v>19.15</v>
      </c>
      <c r="F303" s="22">
        <f>'VIX HISTORIQUE'!K306</f>
        <v>19.22</v>
      </c>
    </row>
    <row r="304" ht="15.75" customHeight="1">
      <c r="A304" s="25">
        <f>'VIX HISTORIQUE'!A307</f>
        <v>43698.66667</v>
      </c>
      <c r="B304" s="22">
        <f>'VIX HISTORIQUE'!B307</f>
        <v>2924.43</v>
      </c>
      <c r="C304" s="22">
        <f>'VIX HISTORIQUE'!D307</f>
        <v>15.8</v>
      </c>
      <c r="D304" s="22">
        <f>'VIX HISTORIQUE'!G307</f>
        <v>17.72</v>
      </c>
      <c r="E304" s="22">
        <f>'VIX HISTORIQUE'!I307</f>
        <v>18.37</v>
      </c>
      <c r="F304" s="22">
        <f>'VIX HISTORIQUE'!K307</f>
        <v>18.7</v>
      </c>
    </row>
    <row r="305" ht="15.75" customHeight="1">
      <c r="A305" s="25">
        <f>'VIX HISTORIQUE'!A308</f>
        <v>43699.66667</v>
      </c>
      <c r="B305" s="22">
        <f>'VIX HISTORIQUE'!B308</f>
        <v>2922.95</v>
      </c>
      <c r="C305" s="22">
        <f>'VIX HISTORIQUE'!D308</f>
        <v>16.68</v>
      </c>
      <c r="D305" s="22">
        <f>'VIX HISTORIQUE'!G308</f>
        <v>18.23</v>
      </c>
      <c r="E305" s="22">
        <f>'VIX HISTORIQUE'!I308</f>
        <v>18.75</v>
      </c>
      <c r="F305" s="22">
        <f>'VIX HISTORIQUE'!K308</f>
        <v>18.97</v>
      </c>
    </row>
    <row r="306" ht="15.75" customHeight="1">
      <c r="A306" s="25">
        <f>'VIX HISTORIQUE'!A309</f>
        <v>43700.66667</v>
      </c>
      <c r="B306" s="22">
        <f>'VIX HISTORIQUE'!B309</f>
        <v>2847.11</v>
      </c>
      <c r="C306" s="22">
        <f>'VIX HISTORIQUE'!D309</f>
        <v>19.87</v>
      </c>
      <c r="D306" s="22">
        <f>'VIX HISTORIQUE'!G309</f>
        <v>20.36</v>
      </c>
      <c r="E306" s="22">
        <f>'VIX HISTORIQUE'!I309</f>
        <v>20.22</v>
      </c>
      <c r="F306" s="22">
        <f>'VIX HISTORIQUE'!K309</f>
        <v>20.11</v>
      </c>
    </row>
    <row r="307" ht="15.75" customHeight="1">
      <c r="A307" s="25">
        <f>'VIX HISTORIQUE'!A310</f>
        <v>43703.66667</v>
      </c>
      <c r="B307" s="22">
        <f>'VIX HISTORIQUE'!B310</f>
        <v>2878.38</v>
      </c>
      <c r="C307" s="22">
        <f>'VIX HISTORIQUE'!D310</f>
        <v>19.32</v>
      </c>
      <c r="D307" s="22">
        <f>'VIX HISTORIQUE'!G310</f>
        <v>19.82</v>
      </c>
      <c r="E307" s="22">
        <f>'VIX HISTORIQUE'!I310</f>
        <v>19.88</v>
      </c>
      <c r="F307" s="22">
        <f>'VIX HISTORIQUE'!K310</f>
        <v>19.82</v>
      </c>
    </row>
    <row r="308" ht="15.75" customHeight="1">
      <c r="A308" s="25">
        <f>'VIX HISTORIQUE'!A311</f>
        <v>43704.66667</v>
      </c>
      <c r="B308" s="22">
        <f>'VIX HISTORIQUE'!B311</f>
        <v>2869.16</v>
      </c>
      <c r="C308" s="22">
        <f>'VIX HISTORIQUE'!D311</f>
        <v>20.31</v>
      </c>
      <c r="D308" s="22">
        <f>'VIX HISTORIQUE'!G311</f>
        <v>20.64</v>
      </c>
      <c r="E308" s="22">
        <f>'VIX HISTORIQUE'!I311</f>
        <v>20.56</v>
      </c>
      <c r="F308" s="22">
        <f>'VIX HISTORIQUE'!K311</f>
        <v>20.29</v>
      </c>
    </row>
    <row r="309" ht="15.75" customHeight="1">
      <c r="A309" s="25">
        <f>'VIX HISTORIQUE'!A312</f>
        <v>43705.66667</v>
      </c>
      <c r="B309" s="22">
        <f>'VIX HISTORIQUE'!B312</f>
        <v>2887.94</v>
      </c>
      <c r="C309" s="22">
        <f>'VIX HISTORIQUE'!D312</f>
        <v>19.35</v>
      </c>
      <c r="D309" s="22">
        <f>'VIX HISTORIQUE'!G312</f>
        <v>20.05</v>
      </c>
      <c r="E309" s="22">
        <f>'VIX HISTORIQUE'!I312</f>
        <v>20.16</v>
      </c>
      <c r="F309" s="22">
        <f>'VIX HISTORIQUE'!K312</f>
        <v>20.06</v>
      </c>
    </row>
    <row r="310" ht="15.75" customHeight="1">
      <c r="A310" s="25">
        <f>'VIX HISTORIQUE'!A313</f>
        <v>43706.66667</v>
      </c>
      <c r="B310" s="22">
        <f>'VIX HISTORIQUE'!B313</f>
        <v>2924.58</v>
      </c>
      <c r="C310" s="22">
        <f>'VIX HISTORIQUE'!D313</f>
        <v>17.88</v>
      </c>
      <c r="D310" s="22">
        <f>'VIX HISTORIQUE'!G313</f>
        <v>19.03</v>
      </c>
      <c r="E310" s="22">
        <f>'VIX HISTORIQUE'!I313</f>
        <v>19.45</v>
      </c>
      <c r="F310" s="22">
        <f>'VIX HISTORIQUE'!K313</f>
        <v>19.56</v>
      </c>
    </row>
    <row r="311" ht="15.75" customHeight="1">
      <c r="A311" s="25">
        <f>'VIX HISTORIQUE'!A314</f>
        <v>43707.66667</v>
      </c>
      <c r="B311" s="22">
        <f>'VIX HISTORIQUE'!B314</f>
        <v>2926.46</v>
      </c>
      <c r="C311" s="22">
        <f>'VIX HISTORIQUE'!D314</f>
        <v>18.98</v>
      </c>
      <c r="D311" s="22">
        <f>'VIX HISTORIQUE'!G314</f>
        <v>19.54</v>
      </c>
      <c r="E311" s="22">
        <f>'VIX HISTORIQUE'!I314</f>
        <v>19.85</v>
      </c>
      <c r="F311" s="22">
        <f>'VIX HISTORIQUE'!K314</f>
        <v>19.86</v>
      </c>
    </row>
    <row r="312" ht="15.75" customHeight="1">
      <c r="A312" s="25">
        <f>'VIX HISTORIQUE'!A315</f>
        <v>43711.66667</v>
      </c>
      <c r="B312" s="22">
        <f>'VIX HISTORIQUE'!B315</f>
        <v>2906.27</v>
      </c>
      <c r="C312" s="22">
        <f>'VIX HISTORIQUE'!D315</f>
        <v>19.66</v>
      </c>
      <c r="D312" s="22">
        <f>'VIX HISTORIQUE'!G315</f>
        <v>20.12</v>
      </c>
      <c r="E312" s="22">
        <f>'VIX HISTORIQUE'!I315</f>
        <v>20.36</v>
      </c>
      <c r="F312" s="22">
        <f>'VIX HISTORIQUE'!K315</f>
        <v>20.28</v>
      </c>
    </row>
    <row r="313" ht="15.75" customHeight="1">
      <c r="A313" s="25">
        <f>'VIX HISTORIQUE'!A316</f>
        <v>43712.66667</v>
      </c>
      <c r="B313" s="22">
        <f>'VIX HISTORIQUE'!B316</f>
        <v>2937.78</v>
      </c>
      <c r="C313" s="22">
        <f>'VIX HISTORIQUE'!D316</f>
        <v>17.33</v>
      </c>
      <c r="D313" s="22">
        <f>'VIX HISTORIQUE'!G316</f>
        <v>18.81</v>
      </c>
      <c r="E313" s="22">
        <f>'VIX HISTORIQUE'!I316</f>
        <v>19.43</v>
      </c>
      <c r="F313" s="22">
        <f>'VIX HISTORIQUE'!K316</f>
        <v>19.71</v>
      </c>
    </row>
    <row r="314" ht="15.75" customHeight="1">
      <c r="A314" s="25">
        <f>'VIX HISTORIQUE'!A317</f>
        <v>43713.66667</v>
      </c>
      <c r="B314" s="22">
        <f>'VIX HISTORIQUE'!B317</f>
        <v>2976</v>
      </c>
      <c r="C314" s="22">
        <f>'VIX HISTORIQUE'!D317</f>
        <v>16.27</v>
      </c>
      <c r="D314" s="22">
        <f>'VIX HISTORIQUE'!G317</f>
        <v>18.08</v>
      </c>
      <c r="E314" s="22">
        <f>'VIX HISTORIQUE'!I317</f>
        <v>18.88</v>
      </c>
      <c r="F314" s="22">
        <f>'VIX HISTORIQUE'!K317</f>
        <v>19.26</v>
      </c>
    </row>
    <row r="315" ht="15.75" customHeight="1">
      <c r="A315" s="25">
        <f>'VIX HISTORIQUE'!A318</f>
        <v>43714.66667</v>
      </c>
      <c r="B315" s="22">
        <f>'VIX HISTORIQUE'!B318</f>
        <v>2978.71</v>
      </c>
      <c r="C315" s="22">
        <f>'VIX HISTORIQUE'!D318</f>
        <v>15</v>
      </c>
      <c r="D315" s="22">
        <f>'VIX HISTORIQUE'!G318</f>
        <v>17.46</v>
      </c>
      <c r="E315" s="22">
        <f>'VIX HISTORIQUE'!I318</f>
        <v>18.51</v>
      </c>
      <c r="F315" s="22">
        <f>'VIX HISTORIQUE'!K318</f>
        <v>19.01</v>
      </c>
    </row>
    <row r="316" ht="15.75" customHeight="1">
      <c r="A316" s="25">
        <f>'VIX HISTORIQUE'!A319</f>
        <v>43717.66667</v>
      </c>
      <c r="B316" s="22">
        <f>'VIX HISTORIQUE'!B319</f>
        <v>2978.43</v>
      </c>
      <c r="C316" s="22">
        <f>'VIX HISTORIQUE'!D319</f>
        <v>15.27</v>
      </c>
      <c r="D316" s="22">
        <f>'VIX HISTORIQUE'!G319</f>
        <v>17.55</v>
      </c>
      <c r="E316" s="22">
        <f>'VIX HISTORIQUE'!I319</f>
        <v>18.58</v>
      </c>
      <c r="F316" s="22">
        <f>'VIX HISTORIQUE'!K319</f>
        <v>19.05</v>
      </c>
    </row>
    <row r="317" ht="15.75" customHeight="1">
      <c r="A317" s="25">
        <f>'VIX HISTORIQUE'!A320</f>
        <v>43718.66667</v>
      </c>
      <c r="B317" s="22">
        <f>'VIX HISTORIQUE'!B320</f>
        <v>2979.39</v>
      </c>
      <c r="C317" s="22">
        <f>'VIX HISTORIQUE'!D320</f>
        <v>15.2</v>
      </c>
      <c r="D317" s="22">
        <f>'VIX HISTORIQUE'!G320</f>
        <v>17.41</v>
      </c>
      <c r="E317" s="22">
        <f>'VIX HISTORIQUE'!I320</f>
        <v>18.48</v>
      </c>
      <c r="F317" s="22">
        <f>'VIX HISTORIQUE'!K320</f>
        <v>18.99</v>
      </c>
    </row>
    <row r="318" ht="15.75" customHeight="1">
      <c r="A318" s="25">
        <f>'VIX HISTORIQUE'!A321</f>
        <v>43719.66667</v>
      </c>
      <c r="B318" s="22">
        <f>'VIX HISTORIQUE'!B321</f>
        <v>3000.93</v>
      </c>
      <c r="C318" s="22">
        <f>'VIX HISTORIQUE'!D321</f>
        <v>14.61</v>
      </c>
      <c r="D318" s="22">
        <f>'VIX HISTORIQUE'!G321</f>
        <v>17.1</v>
      </c>
      <c r="E318" s="22">
        <f>'VIX HISTORIQUE'!I321</f>
        <v>18.25</v>
      </c>
      <c r="F318" s="22">
        <f>'VIX HISTORIQUE'!K321</f>
        <v>18.82</v>
      </c>
    </row>
    <row r="319" ht="15.75" customHeight="1">
      <c r="A319" s="25">
        <f>'VIX HISTORIQUE'!A322</f>
        <v>43720.66667</v>
      </c>
      <c r="B319" s="22">
        <f>'VIX HISTORIQUE'!B322</f>
        <v>3009.57</v>
      </c>
      <c r="C319" s="22">
        <f>'VIX HISTORIQUE'!D322</f>
        <v>14.22</v>
      </c>
      <c r="D319" s="22">
        <f>'VIX HISTORIQUE'!G322</f>
        <v>16.81</v>
      </c>
      <c r="E319" s="22">
        <f>'VIX HISTORIQUE'!I322</f>
        <v>18.07</v>
      </c>
      <c r="F319" s="22">
        <f>'VIX HISTORIQUE'!K322</f>
        <v>18.65</v>
      </c>
    </row>
    <row r="320" ht="15.75" customHeight="1">
      <c r="A320" s="25">
        <f>'VIX HISTORIQUE'!A323</f>
        <v>43721.66667</v>
      </c>
      <c r="B320" s="22">
        <f>'VIX HISTORIQUE'!B323</f>
        <v>3007.39</v>
      </c>
      <c r="C320" s="22">
        <f>'VIX HISTORIQUE'!D323</f>
        <v>13.74</v>
      </c>
      <c r="D320" s="22">
        <f>'VIX HISTORIQUE'!G323</f>
        <v>16.67</v>
      </c>
      <c r="E320" s="22">
        <f>'VIX HISTORIQUE'!I323</f>
        <v>18.04</v>
      </c>
      <c r="F320" s="22">
        <f>'VIX HISTORIQUE'!K323</f>
        <v>18.7</v>
      </c>
    </row>
    <row r="321" ht="15.75" customHeight="1">
      <c r="A321" s="25">
        <f>'VIX HISTORIQUE'!A324</f>
        <v>43724.66667</v>
      </c>
      <c r="B321" s="22">
        <f>'VIX HISTORIQUE'!B324</f>
        <v>2997.96</v>
      </c>
      <c r="C321" s="22">
        <f>'VIX HISTORIQUE'!D324</f>
        <v>14.67</v>
      </c>
      <c r="D321" s="22">
        <f>'VIX HISTORIQUE'!G324</f>
        <v>17.2</v>
      </c>
      <c r="E321" s="22">
        <f>'VIX HISTORIQUE'!I324</f>
        <v>18.47</v>
      </c>
      <c r="F321" s="22">
        <f>'VIX HISTORIQUE'!K324</f>
        <v>19.05</v>
      </c>
    </row>
    <row r="322" ht="15.75" customHeight="1">
      <c r="A322" s="25">
        <f>'VIX HISTORIQUE'!A325</f>
        <v>43725.66667</v>
      </c>
      <c r="B322" s="22">
        <f>'VIX HISTORIQUE'!B325</f>
        <v>3005.7</v>
      </c>
      <c r="C322" s="22">
        <f>'VIX HISTORIQUE'!D325</f>
        <v>14.44</v>
      </c>
      <c r="D322" s="22">
        <f>'VIX HISTORIQUE'!G325</f>
        <v>17.23</v>
      </c>
      <c r="E322" s="22">
        <f>'VIX HISTORIQUE'!I325</f>
        <v>18.54</v>
      </c>
      <c r="F322" s="22">
        <f>'VIX HISTORIQUE'!K325</f>
        <v>19.15</v>
      </c>
    </row>
    <row r="323" ht="15.75" customHeight="1">
      <c r="A323" s="25">
        <f>'VIX HISTORIQUE'!A326</f>
        <v>43726.66667</v>
      </c>
      <c r="B323" s="22">
        <f>'VIX HISTORIQUE'!B326</f>
        <v>3006.73</v>
      </c>
      <c r="C323" s="22">
        <f>'VIX HISTORIQUE'!D326</f>
        <v>13.95</v>
      </c>
      <c r="D323" s="22">
        <f>'VIX HISTORIQUE'!G326</f>
        <v>16.86</v>
      </c>
      <c r="E323" s="22">
        <f>'VIX HISTORIQUE'!I326</f>
        <v>18.31</v>
      </c>
      <c r="F323" s="22">
        <f>'VIX HISTORIQUE'!K326</f>
        <v>19</v>
      </c>
    </row>
    <row r="324" ht="15.75" customHeight="1">
      <c r="A324" s="25">
        <f>'VIX HISTORIQUE'!A327</f>
        <v>43727.66667</v>
      </c>
      <c r="B324" s="22">
        <f>'VIX HISTORIQUE'!B327</f>
        <v>3006.79</v>
      </c>
      <c r="C324" s="22">
        <f>'VIX HISTORIQUE'!D327</f>
        <v>14.05</v>
      </c>
      <c r="D324" s="22">
        <f>'VIX HISTORIQUE'!G327</f>
        <v>16.79</v>
      </c>
      <c r="E324" s="22">
        <f>'VIX HISTORIQUE'!I327</f>
        <v>18.26</v>
      </c>
      <c r="F324" s="22">
        <f>'VIX HISTORIQUE'!K327</f>
        <v>18.98</v>
      </c>
    </row>
    <row r="325" ht="15.75" customHeight="1">
      <c r="A325" s="25">
        <f>'VIX HISTORIQUE'!A328</f>
        <v>43728.66667</v>
      </c>
      <c r="B325" s="22">
        <f>'VIX HISTORIQUE'!B328</f>
        <v>2992.07</v>
      </c>
      <c r="C325" s="22">
        <f>'VIX HISTORIQUE'!D328</f>
        <v>15.32</v>
      </c>
      <c r="D325" s="22">
        <f>'VIX HISTORIQUE'!G328</f>
        <v>17.71</v>
      </c>
      <c r="E325" s="22">
        <f>'VIX HISTORIQUE'!I328</f>
        <v>18.96</v>
      </c>
      <c r="F325" s="22">
        <f>'VIX HISTORIQUE'!K328</f>
        <v>19.57</v>
      </c>
    </row>
    <row r="326" ht="15.75" customHeight="1">
      <c r="A326" s="25">
        <f>'VIX HISTORIQUE'!A329</f>
        <v>43731.66667</v>
      </c>
      <c r="B326" s="22">
        <f>'VIX HISTORIQUE'!B329</f>
        <v>2991.78</v>
      </c>
      <c r="C326" s="22">
        <f>'VIX HISTORIQUE'!D329</f>
        <v>14.91</v>
      </c>
      <c r="D326" s="22">
        <f>'VIX HISTORIQUE'!G329</f>
        <v>17.43</v>
      </c>
      <c r="E326" s="22">
        <f>'VIX HISTORIQUE'!I329</f>
        <v>18.7</v>
      </c>
      <c r="F326" s="22">
        <f>'VIX HISTORIQUE'!K329</f>
        <v>19.42</v>
      </c>
    </row>
    <row r="327" ht="15.75" customHeight="1">
      <c r="A327" s="25">
        <f>'VIX HISTORIQUE'!A330</f>
        <v>43732.66667</v>
      </c>
      <c r="B327" s="22">
        <f>'VIX HISTORIQUE'!B330</f>
        <v>2966.6</v>
      </c>
      <c r="C327" s="22">
        <f>'VIX HISTORIQUE'!D330</f>
        <v>17.05</v>
      </c>
      <c r="D327" s="22">
        <f>'VIX HISTORIQUE'!G330</f>
        <v>18.55</v>
      </c>
      <c r="E327" s="22">
        <f>'VIX HISTORIQUE'!I330</f>
        <v>19.44</v>
      </c>
      <c r="F327" s="22">
        <f>'VIX HISTORIQUE'!K330</f>
        <v>19.84</v>
      </c>
    </row>
    <row r="328" ht="15.75" customHeight="1">
      <c r="A328" s="25">
        <f>'VIX HISTORIQUE'!A331</f>
        <v>43733.66667</v>
      </c>
      <c r="B328" s="22">
        <f>'VIX HISTORIQUE'!B331</f>
        <v>2984.87</v>
      </c>
      <c r="C328" s="22">
        <f>'VIX HISTORIQUE'!D331</f>
        <v>15.96</v>
      </c>
      <c r="D328" s="22">
        <f>'VIX HISTORIQUE'!G331</f>
        <v>18</v>
      </c>
      <c r="E328" s="22">
        <f>'VIX HISTORIQUE'!I331</f>
        <v>19.06</v>
      </c>
      <c r="F328" s="22">
        <f>'VIX HISTORIQUE'!K331</f>
        <v>19.67</v>
      </c>
    </row>
    <row r="329" ht="15.75" customHeight="1">
      <c r="A329" s="25">
        <f>'VIX HISTORIQUE'!A332</f>
        <v>43734.66667</v>
      </c>
      <c r="B329" s="22">
        <f>'VIX HISTORIQUE'!B332</f>
        <v>2977.62</v>
      </c>
      <c r="C329" s="22">
        <f>'VIX HISTORIQUE'!D332</f>
        <v>16.07</v>
      </c>
      <c r="D329" s="22">
        <f>'VIX HISTORIQUE'!G332</f>
        <v>18.12</v>
      </c>
      <c r="E329" s="22">
        <f>'VIX HISTORIQUE'!I332</f>
        <v>19.16</v>
      </c>
      <c r="F329" s="22">
        <f>'VIX HISTORIQUE'!K332</f>
        <v>19.74</v>
      </c>
    </row>
    <row r="330" ht="15.75" customHeight="1">
      <c r="A330" s="25">
        <f>'VIX HISTORIQUE'!A333</f>
        <v>43735.66667</v>
      </c>
      <c r="B330" s="22">
        <f>'VIX HISTORIQUE'!B333</f>
        <v>2961.79</v>
      </c>
      <c r="C330" s="22">
        <f>'VIX HISTORIQUE'!D333</f>
        <v>17.22</v>
      </c>
      <c r="D330" s="22">
        <f>'VIX HISTORIQUE'!G333</f>
        <v>18.75</v>
      </c>
      <c r="E330" s="22">
        <f>'VIX HISTORIQUE'!I333</f>
        <v>19.62</v>
      </c>
      <c r="F330" s="22">
        <f>'VIX HISTORIQUE'!K333</f>
        <v>20.03</v>
      </c>
    </row>
    <row r="331" ht="15.75" customHeight="1">
      <c r="A331" s="25">
        <f>'VIX HISTORIQUE'!A334</f>
        <v>43738.66667</v>
      </c>
      <c r="B331" s="22">
        <f>'VIX HISTORIQUE'!B334</f>
        <v>2976.74</v>
      </c>
      <c r="C331" s="22">
        <f>'VIX HISTORIQUE'!D334</f>
        <v>16.24</v>
      </c>
      <c r="D331" s="22">
        <f>'VIX HISTORIQUE'!G334</f>
        <v>17.96</v>
      </c>
      <c r="E331" s="22">
        <f>'VIX HISTORIQUE'!I334</f>
        <v>19.02</v>
      </c>
      <c r="F331" s="22">
        <f>'VIX HISTORIQUE'!K334</f>
        <v>19.6</v>
      </c>
    </row>
    <row r="332" ht="15.75" customHeight="1">
      <c r="A332" s="25">
        <f>'VIX HISTORIQUE'!A335</f>
        <v>43739.66667</v>
      </c>
      <c r="B332" s="22">
        <f>'VIX HISTORIQUE'!B335</f>
        <v>2940.25</v>
      </c>
      <c r="C332" s="22">
        <f>'VIX HISTORIQUE'!D335</f>
        <v>18.56</v>
      </c>
      <c r="D332" s="22">
        <f>'VIX HISTORIQUE'!G335</f>
        <v>19.35</v>
      </c>
      <c r="E332" s="22">
        <f>'VIX HISTORIQUE'!I335</f>
        <v>20.03</v>
      </c>
      <c r="F332" s="22">
        <f>'VIX HISTORIQUE'!K335</f>
        <v>20.27</v>
      </c>
    </row>
    <row r="333" ht="15.75" customHeight="1">
      <c r="A333" s="25">
        <f>'VIX HISTORIQUE'!A336</f>
        <v>43740.66667</v>
      </c>
      <c r="B333" s="22">
        <f>'VIX HISTORIQUE'!B336</f>
        <v>2887.61</v>
      </c>
      <c r="C333" s="22">
        <f>'VIX HISTORIQUE'!D336</f>
        <v>20.56</v>
      </c>
      <c r="D333" s="22">
        <f>'VIX HISTORIQUE'!G336</f>
        <v>20.74</v>
      </c>
      <c r="E333" s="22">
        <f>'VIX HISTORIQUE'!I336</f>
        <v>21</v>
      </c>
      <c r="F333" s="22">
        <f>'VIX HISTORIQUE'!K336</f>
        <v>20.91</v>
      </c>
    </row>
    <row r="334" ht="15.75" customHeight="1">
      <c r="A334" s="25">
        <f>'VIX HISTORIQUE'!A337</f>
        <v>43741.66667</v>
      </c>
      <c r="B334" s="22">
        <f>'VIX HISTORIQUE'!B337</f>
        <v>2910.63</v>
      </c>
      <c r="C334" s="22">
        <f>'VIX HISTORIQUE'!D337</f>
        <v>19.12</v>
      </c>
      <c r="D334" s="22">
        <f>'VIX HISTORIQUE'!G337</f>
        <v>19.78</v>
      </c>
      <c r="E334" s="22">
        <f>'VIX HISTORIQUE'!I337</f>
        <v>20.4</v>
      </c>
      <c r="F334" s="22">
        <f>'VIX HISTORIQUE'!K337</f>
        <v>20.62</v>
      </c>
    </row>
    <row r="335" ht="15.75" customHeight="1">
      <c r="A335" s="25">
        <f>'VIX HISTORIQUE'!A338</f>
        <v>43742.66667</v>
      </c>
      <c r="B335" s="22">
        <f>'VIX HISTORIQUE'!B338</f>
        <v>2952.01</v>
      </c>
      <c r="C335" s="22">
        <f>'VIX HISTORIQUE'!D338</f>
        <v>17.04</v>
      </c>
      <c r="D335" s="22">
        <f>'VIX HISTORIQUE'!G338</f>
        <v>18.59</v>
      </c>
      <c r="E335" s="22">
        <f>'VIX HISTORIQUE'!I338</f>
        <v>19.51</v>
      </c>
      <c r="F335" s="22">
        <f>'VIX HISTORIQUE'!K338</f>
        <v>20</v>
      </c>
    </row>
    <row r="336" ht="15.75" customHeight="1">
      <c r="A336" s="25">
        <f>'VIX HISTORIQUE'!A339</f>
        <v>43745.66667</v>
      </c>
      <c r="B336" s="22">
        <f>'VIX HISTORIQUE'!B339</f>
        <v>2938.79</v>
      </c>
      <c r="C336" s="22">
        <f>'VIX HISTORIQUE'!D339</f>
        <v>17.86</v>
      </c>
      <c r="D336" s="22">
        <f>'VIX HISTORIQUE'!G339</f>
        <v>18.91</v>
      </c>
      <c r="E336" s="22">
        <f>'VIX HISTORIQUE'!I339</f>
        <v>19.76</v>
      </c>
      <c r="F336" s="22">
        <f>'VIX HISTORIQUE'!K339</f>
        <v>20.11</v>
      </c>
    </row>
    <row r="337" ht="15.75" customHeight="1">
      <c r="A337" s="25">
        <f>'VIX HISTORIQUE'!A340</f>
        <v>43746.66667</v>
      </c>
      <c r="B337" s="22">
        <f>'VIX HISTORIQUE'!B340</f>
        <v>2893.06</v>
      </c>
      <c r="C337" s="22">
        <f>'VIX HISTORIQUE'!D340</f>
        <v>20.28</v>
      </c>
      <c r="D337" s="22">
        <f>'VIX HISTORIQUE'!G340</f>
        <v>20.39</v>
      </c>
      <c r="E337" s="22">
        <f>'VIX HISTORIQUE'!I340</f>
        <v>20.82</v>
      </c>
      <c r="F337" s="22">
        <f>'VIX HISTORIQUE'!K340</f>
        <v>20.94</v>
      </c>
    </row>
    <row r="338" ht="15.75" customHeight="1">
      <c r="A338" s="25">
        <f>'VIX HISTORIQUE'!A341</f>
        <v>43747.66667</v>
      </c>
      <c r="B338" s="22">
        <f>'VIX HISTORIQUE'!B341</f>
        <v>2919.4</v>
      </c>
      <c r="C338" s="22">
        <f>'VIX HISTORIQUE'!D341</f>
        <v>18.64</v>
      </c>
      <c r="D338" s="22">
        <f>'VIX HISTORIQUE'!G341</f>
        <v>19.51</v>
      </c>
      <c r="E338" s="22">
        <f>'VIX HISTORIQUE'!I341</f>
        <v>20.26</v>
      </c>
      <c r="F338" s="22">
        <f>'VIX HISTORIQUE'!K341</f>
        <v>20.58</v>
      </c>
    </row>
    <row r="339" ht="15.75" customHeight="1">
      <c r="A339" s="25">
        <f>'VIX HISTORIQUE'!A342</f>
        <v>43748.66667</v>
      </c>
      <c r="B339" s="22">
        <f>'VIX HISTORIQUE'!B342</f>
        <v>2938.13</v>
      </c>
      <c r="C339" s="22">
        <f>'VIX HISTORIQUE'!D342</f>
        <v>17.57</v>
      </c>
      <c r="D339" s="22">
        <f>'VIX HISTORIQUE'!G342</f>
        <v>18.79</v>
      </c>
      <c r="E339" s="22">
        <f>'VIX HISTORIQUE'!I342</f>
        <v>19.74</v>
      </c>
      <c r="F339" s="22">
        <f>'VIX HISTORIQUE'!K342</f>
        <v>20.19</v>
      </c>
    </row>
    <row r="340" ht="15.75" customHeight="1">
      <c r="A340" s="25">
        <f>'VIX HISTORIQUE'!A343</f>
        <v>43749.66667</v>
      </c>
      <c r="B340" s="22">
        <f>'VIX HISTORIQUE'!B343</f>
        <v>2970.27</v>
      </c>
      <c r="C340" s="22">
        <f>'VIX HISTORIQUE'!D343</f>
        <v>15.58</v>
      </c>
      <c r="D340" s="22">
        <f>'VIX HISTORIQUE'!G343</f>
        <v>17.55</v>
      </c>
      <c r="E340" s="22">
        <f>'VIX HISTORIQUE'!I343</f>
        <v>18.86</v>
      </c>
      <c r="F340" s="22">
        <f>'VIX HISTORIQUE'!K343</f>
        <v>19.56</v>
      </c>
    </row>
    <row r="341" ht="15.75" customHeight="1">
      <c r="A341" s="25">
        <f>'VIX HISTORIQUE'!A344</f>
        <v>43752.66667</v>
      </c>
      <c r="B341" s="22">
        <f>'VIX HISTORIQUE'!B344</f>
        <v>2966.15</v>
      </c>
      <c r="C341" s="22">
        <f>'VIX HISTORIQUE'!D344</f>
        <v>14.57</v>
      </c>
      <c r="D341" s="22">
        <f>'VIX HISTORIQUE'!G344</f>
        <v>17.12</v>
      </c>
      <c r="E341" s="22">
        <f>'VIX HISTORIQUE'!I344</f>
        <v>18.58</v>
      </c>
      <c r="F341" s="22">
        <f>'VIX HISTORIQUE'!K344</f>
        <v>19.49</v>
      </c>
    </row>
    <row r="342" ht="15.75" customHeight="1">
      <c r="A342" s="25">
        <f>'VIX HISTORIQUE'!A345</f>
        <v>43753.66667</v>
      </c>
      <c r="B342" s="22">
        <f>'VIX HISTORIQUE'!B345</f>
        <v>2995.68</v>
      </c>
      <c r="C342" s="22">
        <f>'VIX HISTORIQUE'!D345</f>
        <v>13.54</v>
      </c>
      <c r="D342" s="22">
        <f>'VIX HISTORIQUE'!G345</f>
        <v>16.48</v>
      </c>
      <c r="E342" s="22">
        <f>'VIX HISTORIQUE'!I345</f>
        <v>18.1</v>
      </c>
      <c r="F342" s="22">
        <f>'VIX HISTORIQUE'!K345</f>
        <v>19.12</v>
      </c>
    </row>
    <row r="343" ht="15.75" customHeight="1">
      <c r="A343" s="25">
        <f>'VIX HISTORIQUE'!A346</f>
        <v>43754.66667</v>
      </c>
      <c r="B343" s="22">
        <f>'VIX HISTORIQUE'!B346</f>
        <v>2989.69</v>
      </c>
      <c r="C343" s="22">
        <f>'VIX HISTORIQUE'!D346</f>
        <v>13.68</v>
      </c>
      <c r="D343" s="22">
        <f>'VIX HISTORIQUE'!G346</f>
        <v>16.48</v>
      </c>
      <c r="E343" s="22">
        <f>'VIX HISTORIQUE'!I346</f>
        <v>18.12</v>
      </c>
      <c r="F343" s="22">
        <f>'VIX HISTORIQUE'!K346</f>
        <v>19.26</v>
      </c>
    </row>
    <row r="344" ht="15.75" customHeight="1">
      <c r="A344" s="25">
        <f>'VIX HISTORIQUE'!A347</f>
        <v>43755.66667</v>
      </c>
      <c r="B344" s="22">
        <f>'VIX HISTORIQUE'!B347</f>
        <v>2997.95</v>
      </c>
      <c r="C344" s="22">
        <f>'VIX HISTORIQUE'!D347</f>
        <v>13.79</v>
      </c>
      <c r="D344" s="22">
        <f>'VIX HISTORIQUE'!G347</f>
        <v>16.44</v>
      </c>
      <c r="E344" s="22">
        <f>'VIX HISTORIQUE'!I347</f>
        <v>18.01</v>
      </c>
      <c r="F344" s="22">
        <f>'VIX HISTORIQUE'!K347</f>
        <v>19.23</v>
      </c>
    </row>
    <row r="345" ht="15.75" customHeight="1">
      <c r="A345" s="25">
        <f>'VIX HISTORIQUE'!A348</f>
        <v>43756.66667</v>
      </c>
      <c r="B345" s="22">
        <f>'VIX HISTORIQUE'!B348</f>
        <v>2986.2</v>
      </c>
      <c r="C345" s="22">
        <f>'VIX HISTORIQUE'!D348</f>
        <v>14.25</v>
      </c>
      <c r="D345" s="22">
        <f>'VIX HISTORIQUE'!G348</f>
        <v>16.65</v>
      </c>
      <c r="E345" s="22">
        <f>'VIX HISTORIQUE'!I348</f>
        <v>18.21</v>
      </c>
      <c r="F345" s="22">
        <f>'VIX HISTORIQUE'!K348</f>
        <v>19.45</v>
      </c>
    </row>
    <row r="346" ht="15.75" customHeight="1">
      <c r="A346" s="25">
        <f>'VIX HISTORIQUE'!A349</f>
        <v>43759.66667</v>
      </c>
      <c r="B346" s="22">
        <f>'VIX HISTORIQUE'!B349</f>
        <v>3006.72</v>
      </c>
      <c r="C346" s="22">
        <f>'VIX HISTORIQUE'!D349</f>
        <v>14</v>
      </c>
      <c r="D346" s="22">
        <f>'VIX HISTORIQUE'!G349</f>
        <v>16.28</v>
      </c>
      <c r="E346" s="22">
        <f>'VIX HISTORIQUE'!I349</f>
        <v>17.82</v>
      </c>
      <c r="F346" s="22">
        <f>'VIX HISTORIQUE'!K349</f>
        <v>19.22</v>
      </c>
    </row>
    <row r="347" ht="15.75" customHeight="1">
      <c r="A347" s="25">
        <f>'VIX HISTORIQUE'!A350</f>
        <v>43760.66667</v>
      </c>
      <c r="B347" s="22">
        <f>'VIX HISTORIQUE'!B350</f>
        <v>2995.99</v>
      </c>
      <c r="C347" s="22">
        <f>'VIX HISTORIQUE'!D350</f>
        <v>14.46</v>
      </c>
      <c r="D347" s="22">
        <f>'VIX HISTORIQUE'!G350</f>
        <v>16.55</v>
      </c>
      <c r="E347" s="22">
        <f>'VIX HISTORIQUE'!I350</f>
        <v>18.02</v>
      </c>
      <c r="F347" s="22">
        <f>'VIX HISTORIQUE'!K350</f>
        <v>19.34</v>
      </c>
    </row>
    <row r="348" ht="15.75" customHeight="1">
      <c r="A348" s="25">
        <f>'VIX HISTORIQUE'!A351</f>
        <v>43761.66667</v>
      </c>
      <c r="B348" s="22">
        <f>'VIX HISTORIQUE'!B351</f>
        <v>3004.52</v>
      </c>
      <c r="C348" s="22">
        <f>'VIX HISTORIQUE'!D351</f>
        <v>14.01</v>
      </c>
      <c r="D348" s="22">
        <f>'VIX HISTORIQUE'!G351</f>
        <v>16.29</v>
      </c>
      <c r="E348" s="22">
        <f>'VIX HISTORIQUE'!I351</f>
        <v>17.84</v>
      </c>
      <c r="F348" s="22">
        <f>'VIX HISTORIQUE'!K351</f>
        <v>19.3</v>
      </c>
    </row>
    <row r="349" ht="15.75" customHeight="1">
      <c r="A349" s="25">
        <f>'VIX HISTORIQUE'!A352</f>
        <v>43762.66667</v>
      </c>
      <c r="B349" s="22">
        <f>'VIX HISTORIQUE'!B352</f>
        <v>3010.29</v>
      </c>
      <c r="C349" s="22">
        <f>'VIX HISTORIQUE'!D352</f>
        <v>13.71</v>
      </c>
      <c r="D349" s="22">
        <f>'VIX HISTORIQUE'!G352</f>
        <v>16.25</v>
      </c>
      <c r="E349" s="22">
        <f>'VIX HISTORIQUE'!I352</f>
        <v>17.84</v>
      </c>
      <c r="F349" s="22">
        <f>'VIX HISTORIQUE'!K352</f>
        <v>19.3</v>
      </c>
    </row>
    <row r="350" ht="15.75" customHeight="1">
      <c r="A350" s="25">
        <f>'VIX HISTORIQUE'!A353</f>
        <v>43763.66667</v>
      </c>
      <c r="B350" s="22">
        <f>'VIX HISTORIQUE'!B353</f>
        <v>3022.55</v>
      </c>
      <c r="C350" s="22">
        <f>'VIX HISTORIQUE'!D353</f>
        <v>12.65</v>
      </c>
      <c r="D350" s="22">
        <f>'VIX HISTORIQUE'!G353</f>
        <v>15.71</v>
      </c>
      <c r="E350" s="22">
        <f>'VIX HISTORIQUE'!I353</f>
        <v>17.45</v>
      </c>
      <c r="F350" s="22">
        <f>'VIX HISTORIQUE'!K353</f>
        <v>19.01</v>
      </c>
    </row>
    <row r="351" ht="15.75" customHeight="1">
      <c r="A351" s="25">
        <f>'VIX HISTORIQUE'!A354</f>
        <v>43766.66667</v>
      </c>
      <c r="B351" s="22">
        <f>'VIX HISTORIQUE'!B354</f>
        <v>3039.42</v>
      </c>
      <c r="C351" s="22">
        <f>'VIX HISTORIQUE'!D354</f>
        <v>13.11</v>
      </c>
      <c r="D351" s="22">
        <f>'VIX HISTORIQUE'!G354</f>
        <v>15.99</v>
      </c>
      <c r="E351" s="22">
        <f>'VIX HISTORIQUE'!I354</f>
        <v>17.59</v>
      </c>
      <c r="F351" s="22">
        <f>'VIX HISTORIQUE'!K354</f>
        <v>19.11</v>
      </c>
    </row>
    <row r="352" ht="15.75" customHeight="1">
      <c r="A352" s="25">
        <f>'VIX HISTORIQUE'!A355</f>
        <v>43767.66667</v>
      </c>
      <c r="B352" s="22">
        <f>'VIX HISTORIQUE'!B355</f>
        <v>3036.89</v>
      </c>
      <c r="C352" s="22">
        <f>'VIX HISTORIQUE'!D355</f>
        <v>13.2</v>
      </c>
      <c r="D352" s="22">
        <f>'VIX HISTORIQUE'!G355</f>
        <v>16.09</v>
      </c>
      <c r="E352" s="22">
        <f>'VIX HISTORIQUE'!I355</f>
        <v>17.77</v>
      </c>
      <c r="F352" s="22">
        <f>'VIX HISTORIQUE'!K355</f>
        <v>19.18</v>
      </c>
    </row>
    <row r="353" ht="15.75" customHeight="1">
      <c r="A353" s="25">
        <f>'VIX HISTORIQUE'!A356</f>
        <v>43768.66667</v>
      </c>
      <c r="B353" s="22">
        <f>'VIX HISTORIQUE'!B356</f>
        <v>3046.77</v>
      </c>
      <c r="C353" s="22">
        <f>'VIX HISTORIQUE'!D356</f>
        <v>12.33</v>
      </c>
      <c r="D353" s="22">
        <f>'VIX HISTORIQUE'!G356</f>
        <v>15.69</v>
      </c>
      <c r="E353" s="22">
        <f>'VIX HISTORIQUE'!I356</f>
        <v>17.48</v>
      </c>
      <c r="F353" s="22">
        <f>'VIX HISTORIQUE'!K356</f>
        <v>19.02</v>
      </c>
    </row>
    <row r="354" ht="15.75" customHeight="1">
      <c r="A354" s="25">
        <f>'VIX HISTORIQUE'!A357</f>
        <v>43770.66667</v>
      </c>
      <c r="B354" s="22">
        <f>'VIX HISTORIQUE'!B357</f>
        <v>3066.91</v>
      </c>
      <c r="C354" s="22">
        <f>'VIX HISTORIQUE'!D357</f>
        <v>12.3</v>
      </c>
      <c r="D354" s="22">
        <f>'VIX HISTORIQUE'!G357</f>
        <v>15.42</v>
      </c>
      <c r="E354" s="22">
        <f>'VIX HISTORIQUE'!I357</f>
        <v>17.29</v>
      </c>
      <c r="F354" s="22">
        <f>'VIX HISTORIQUE'!K357</f>
        <v>18.83</v>
      </c>
    </row>
    <row r="355" ht="15.75" customHeight="1">
      <c r="A355" s="25">
        <f>'VIX HISTORIQUE'!A358</f>
        <v>43773.66667</v>
      </c>
      <c r="B355" s="22">
        <f>'VIX HISTORIQUE'!B358</f>
        <v>3078.27</v>
      </c>
      <c r="C355" s="22">
        <f>'VIX HISTORIQUE'!D358</f>
        <v>12.83</v>
      </c>
      <c r="D355" s="22">
        <f>'VIX HISTORIQUE'!G358</f>
        <v>15.62</v>
      </c>
      <c r="E355" s="22">
        <f>'VIX HISTORIQUE'!I358</f>
        <v>17.38</v>
      </c>
      <c r="F355" s="22">
        <f>'VIX HISTORIQUE'!K358</f>
        <v>18.86</v>
      </c>
    </row>
    <row r="356" ht="15.75" customHeight="1">
      <c r="A356" s="25">
        <f>'VIX HISTORIQUE'!A359</f>
        <v>43774.66667</v>
      </c>
      <c r="B356" s="22">
        <f>'VIX HISTORIQUE'!B359</f>
        <v>3074.62</v>
      </c>
      <c r="C356" s="22">
        <f>'VIX HISTORIQUE'!D359</f>
        <v>13.1</v>
      </c>
      <c r="D356" s="22">
        <f>'VIX HISTORIQUE'!G359</f>
        <v>15.91</v>
      </c>
      <c r="E356" s="22">
        <f>'VIX HISTORIQUE'!I359</f>
        <v>17.65</v>
      </c>
      <c r="F356" s="22">
        <f>'VIX HISTORIQUE'!K359</f>
        <v>19.09</v>
      </c>
    </row>
    <row r="357" ht="15.75" customHeight="1">
      <c r="A357" s="25">
        <f>'VIX HISTORIQUE'!A360</f>
        <v>43775.66667</v>
      </c>
      <c r="B357" s="22">
        <f>'VIX HISTORIQUE'!B360</f>
        <v>3076.78</v>
      </c>
      <c r="C357" s="22">
        <f>'VIX HISTORIQUE'!D360</f>
        <v>12.62</v>
      </c>
      <c r="D357" s="22">
        <f>'VIX HISTORIQUE'!G360</f>
        <v>15.83</v>
      </c>
      <c r="E357" s="22">
        <f>'VIX HISTORIQUE'!I360</f>
        <v>17.66</v>
      </c>
      <c r="F357" s="22">
        <f>'VIX HISTORIQUE'!K360</f>
        <v>19.14</v>
      </c>
    </row>
    <row r="358" ht="15.75" customHeight="1">
      <c r="A358" s="25">
        <f>'VIX HISTORIQUE'!A361</f>
        <v>43776.66667</v>
      </c>
      <c r="B358" s="22">
        <f>'VIX HISTORIQUE'!B361</f>
        <v>3085.18</v>
      </c>
      <c r="C358" s="22">
        <f>'VIX HISTORIQUE'!D361</f>
        <v>12.73</v>
      </c>
      <c r="D358" s="22">
        <f>'VIX HISTORIQUE'!G361</f>
        <v>15.8</v>
      </c>
      <c r="E358" s="22">
        <f>'VIX HISTORIQUE'!I361</f>
        <v>17.64</v>
      </c>
      <c r="F358" s="22">
        <f>'VIX HISTORIQUE'!K361</f>
        <v>19.14</v>
      </c>
    </row>
    <row r="359" ht="15.75" customHeight="1">
      <c r="A359" s="25">
        <f>'VIX HISTORIQUE'!A362</f>
        <v>43777.66667</v>
      </c>
      <c r="B359" s="22">
        <f>'VIX HISTORIQUE'!B362</f>
        <v>3093.08</v>
      </c>
      <c r="C359" s="22">
        <f>'VIX HISTORIQUE'!D362</f>
        <v>12.07</v>
      </c>
      <c r="D359" s="22">
        <f>'VIX HISTORIQUE'!G362</f>
        <v>15.53</v>
      </c>
      <c r="E359" s="22">
        <f>'VIX HISTORIQUE'!I362</f>
        <v>17.5</v>
      </c>
      <c r="F359" s="22">
        <f>'VIX HISTORIQUE'!K362</f>
        <v>19.07</v>
      </c>
    </row>
    <row r="360" ht="15.75" customHeight="1">
      <c r="A360" s="25">
        <f>'VIX HISTORIQUE'!A363</f>
        <v>43780.66667</v>
      </c>
      <c r="B360" s="22">
        <f>'VIX HISTORIQUE'!B363</f>
        <v>3087.01</v>
      </c>
      <c r="C360" s="22">
        <f>'VIX HISTORIQUE'!D363</f>
        <v>12.69</v>
      </c>
      <c r="D360" s="22">
        <f>'VIX HISTORIQUE'!G363</f>
        <v>15.6</v>
      </c>
      <c r="E360" s="22">
        <f>'VIX HISTORIQUE'!I363</f>
        <v>17.54</v>
      </c>
      <c r="F360" s="22">
        <f>'VIX HISTORIQUE'!K363</f>
        <v>19.1</v>
      </c>
    </row>
    <row r="361" ht="15.75" customHeight="1">
      <c r="A361" s="25">
        <f>'VIX HISTORIQUE'!A364</f>
        <v>43781.66667</v>
      </c>
      <c r="B361" s="22">
        <f>'VIX HISTORIQUE'!B364</f>
        <v>3091.84</v>
      </c>
      <c r="C361" s="22">
        <f>'VIX HISTORIQUE'!D364</f>
        <v>12.68</v>
      </c>
      <c r="D361" s="22">
        <f>'VIX HISTORIQUE'!G364</f>
        <v>15.49</v>
      </c>
      <c r="E361" s="22">
        <f>'VIX HISTORIQUE'!I364</f>
        <v>17.45</v>
      </c>
      <c r="F361" s="22">
        <f>'VIX HISTORIQUE'!K364</f>
        <v>18.99</v>
      </c>
    </row>
    <row r="362" ht="15.75" customHeight="1">
      <c r="A362" s="25">
        <f>'VIX HISTORIQUE'!A365</f>
        <v>43782.66667</v>
      </c>
      <c r="B362" s="22">
        <f>'VIX HISTORIQUE'!B365</f>
        <v>3094.04</v>
      </c>
      <c r="C362" s="22">
        <f>'VIX HISTORIQUE'!D365</f>
        <v>13</v>
      </c>
      <c r="D362" s="22">
        <f>'VIX HISTORIQUE'!G365</f>
        <v>15.62</v>
      </c>
      <c r="E362" s="22">
        <f>'VIX HISTORIQUE'!I365</f>
        <v>17.48</v>
      </c>
      <c r="F362" s="22">
        <f>'VIX HISTORIQUE'!K365</f>
        <v>18.95</v>
      </c>
    </row>
    <row r="363" ht="15.75" customHeight="1">
      <c r="A363" s="25">
        <f>'VIX HISTORIQUE'!A366</f>
        <v>43783.66667</v>
      </c>
      <c r="B363" s="22">
        <f>'VIX HISTORIQUE'!B366</f>
        <v>3096.63</v>
      </c>
      <c r="C363" s="22">
        <f>'VIX HISTORIQUE'!D366</f>
        <v>13.05</v>
      </c>
      <c r="D363" s="22">
        <f>'VIX HISTORIQUE'!G366</f>
        <v>15.6</v>
      </c>
      <c r="E363" s="22">
        <f>'VIX HISTORIQUE'!I366</f>
        <v>17.48</v>
      </c>
      <c r="F363" s="22">
        <f>'VIX HISTORIQUE'!K366</f>
        <v>18.96</v>
      </c>
    </row>
    <row r="364" ht="15.75" customHeight="1">
      <c r="A364" s="25">
        <f>'VIX HISTORIQUE'!A367</f>
        <v>43784.66667</v>
      </c>
      <c r="B364" s="22">
        <f>'VIX HISTORIQUE'!B367</f>
        <v>3120.46</v>
      </c>
      <c r="C364" s="22">
        <f>'VIX HISTORIQUE'!D367</f>
        <v>12.05</v>
      </c>
      <c r="D364" s="22">
        <f>'VIX HISTORIQUE'!G367</f>
        <v>14.99</v>
      </c>
      <c r="E364" s="22">
        <f>'VIX HISTORIQUE'!I367</f>
        <v>17.1</v>
      </c>
      <c r="F364" s="22">
        <f>'VIX HISTORIQUE'!K367</f>
        <v>18.68</v>
      </c>
    </row>
    <row r="365" ht="15.75" customHeight="1">
      <c r="A365" s="25">
        <f>'VIX HISTORIQUE'!A368</f>
        <v>43787.66667</v>
      </c>
      <c r="B365" s="22">
        <f>'VIX HISTORIQUE'!B368</f>
        <v>3122.03</v>
      </c>
      <c r="C365" s="22">
        <f>'VIX HISTORIQUE'!D368</f>
        <v>12.46</v>
      </c>
      <c r="D365" s="22">
        <f>'VIX HISTORIQUE'!G368</f>
        <v>15.17</v>
      </c>
      <c r="E365" s="22">
        <f>'VIX HISTORIQUE'!I368</f>
        <v>17.16</v>
      </c>
      <c r="F365" s="22">
        <f>'VIX HISTORIQUE'!K368</f>
        <v>18.73</v>
      </c>
    </row>
    <row r="366" ht="15.75" customHeight="1">
      <c r="A366" s="25">
        <f>'VIX HISTORIQUE'!A369</f>
        <v>43788.66667</v>
      </c>
      <c r="B366" s="22">
        <f>'VIX HISTORIQUE'!B369</f>
        <v>3120.18</v>
      </c>
      <c r="C366" s="22">
        <f>'VIX HISTORIQUE'!D369</f>
        <v>12.86</v>
      </c>
      <c r="D366" s="22">
        <f>'VIX HISTORIQUE'!G369</f>
        <v>15.5</v>
      </c>
      <c r="E366" s="22">
        <f>'VIX HISTORIQUE'!I369</f>
        <v>17.4</v>
      </c>
      <c r="F366" s="22">
        <f>'VIX HISTORIQUE'!K369</f>
        <v>18.87</v>
      </c>
    </row>
    <row r="367" ht="15.75" customHeight="1">
      <c r="A367" s="25">
        <f>'VIX HISTORIQUE'!A370</f>
        <v>43789.66667</v>
      </c>
      <c r="B367" s="22">
        <f>'VIX HISTORIQUE'!B370</f>
        <v>3108.46</v>
      </c>
      <c r="C367" s="22">
        <f>'VIX HISTORIQUE'!D370</f>
        <v>12.78</v>
      </c>
      <c r="D367" s="22">
        <f>'VIX HISTORIQUE'!G370</f>
        <v>15.64</v>
      </c>
      <c r="E367" s="22">
        <f>'VIX HISTORIQUE'!I370</f>
        <v>17.6</v>
      </c>
      <c r="F367" s="22">
        <f>'VIX HISTORIQUE'!K370</f>
        <v>19.09</v>
      </c>
    </row>
    <row r="368" ht="15.75" customHeight="1">
      <c r="A368" s="25">
        <f>'VIX HISTORIQUE'!A371</f>
        <v>43790.66667</v>
      </c>
      <c r="B368" s="22">
        <f>'VIX HISTORIQUE'!B371</f>
        <v>3103.54</v>
      </c>
      <c r="C368" s="22">
        <f>'VIX HISTORIQUE'!D371</f>
        <v>13.13</v>
      </c>
      <c r="D368" s="22">
        <f>'VIX HISTORIQUE'!G371</f>
        <v>15.82</v>
      </c>
      <c r="E368" s="22">
        <f>'VIX HISTORIQUE'!I371</f>
        <v>17.84</v>
      </c>
      <c r="F368" s="22">
        <f>'VIX HISTORIQUE'!K371</f>
        <v>19.27</v>
      </c>
    </row>
    <row r="369" ht="15.75" customHeight="1">
      <c r="A369" s="25">
        <f>'VIX HISTORIQUE'!A372</f>
        <v>43791.66667</v>
      </c>
      <c r="B369" s="22">
        <f>'VIX HISTORIQUE'!B372</f>
        <v>3110.29</v>
      </c>
      <c r="C369" s="22">
        <f>'VIX HISTORIQUE'!D372</f>
        <v>12.34</v>
      </c>
      <c r="D369" s="22">
        <f>'VIX HISTORIQUE'!G372</f>
        <v>15.4</v>
      </c>
      <c r="E369" s="22">
        <f>'VIX HISTORIQUE'!I372</f>
        <v>17.53</v>
      </c>
      <c r="F369" s="22">
        <f>'VIX HISTORIQUE'!K372</f>
        <v>19.08</v>
      </c>
    </row>
    <row r="370" ht="15.75" customHeight="1">
      <c r="A370" s="25">
        <f>'VIX HISTORIQUE'!A373</f>
        <v>43794.66667</v>
      </c>
      <c r="B370" s="22">
        <f>'VIX HISTORIQUE'!B373</f>
        <v>3133.64</v>
      </c>
      <c r="C370" s="22">
        <f>'VIX HISTORIQUE'!D373</f>
        <v>11.87</v>
      </c>
      <c r="D370" s="22">
        <f>'VIX HISTORIQUE'!G373</f>
        <v>14.99</v>
      </c>
      <c r="E370" s="22">
        <f>'VIX HISTORIQUE'!I373</f>
        <v>17.15</v>
      </c>
      <c r="F370" s="22">
        <f>'VIX HISTORIQUE'!K373</f>
        <v>18.74</v>
      </c>
    </row>
    <row r="371" ht="15.75" customHeight="1">
      <c r="A371" s="25">
        <f>'VIX HISTORIQUE'!A374</f>
        <v>43795.66667</v>
      </c>
      <c r="B371" s="22">
        <f>'VIX HISTORIQUE'!B374</f>
        <v>3140.52</v>
      </c>
      <c r="C371" s="22">
        <f>'VIX HISTORIQUE'!D374</f>
        <v>11.54</v>
      </c>
      <c r="D371" s="22">
        <f>'VIX HISTORIQUE'!G374</f>
        <v>14.85</v>
      </c>
      <c r="E371" s="22">
        <f>'VIX HISTORIQUE'!I374</f>
        <v>17</v>
      </c>
      <c r="F371" s="22">
        <f>'VIX HISTORIQUE'!K374</f>
        <v>18.66</v>
      </c>
    </row>
    <row r="372" ht="15.75" customHeight="1">
      <c r="A372" s="25">
        <f>'VIX HISTORIQUE'!A375</f>
        <v>43798.54167</v>
      </c>
      <c r="B372" s="22">
        <f>'VIX HISTORIQUE'!B375</f>
        <v>3140.98</v>
      </c>
      <c r="C372" s="22">
        <f>'VIX HISTORIQUE'!D375</f>
        <v>12.62</v>
      </c>
      <c r="D372" s="22">
        <f>'VIX HISTORIQUE'!G375</f>
        <v>15.51</v>
      </c>
      <c r="E372" s="22">
        <f>'VIX HISTORIQUE'!I375</f>
        <v>17.41</v>
      </c>
      <c r="F372" s="22">
        <f>'VIX HISTORIQUE'!K375</f>
        <v>18.94</v>
      </c>
    </row>
    <row r="373" ht="15.75" customHeight="1">
      <c r="A373" s="25">
        <f>'VIX HISTORIQUE'!A376</f>
        <v>43801.66667</v>
      </c>
      <c r="B373" s="22">
        <f>'VIX HISTORIQUE'!B376</f>
        <v>3113.87</v>
      </c>
      <c r="C373" s="22">
        <f>'VIX HISTORIQUE'!D376</f>
        <v>14.91</v>
      </c>
      <c r="D373" s="22">
        <f>'VIX HISTORIQUE'!G376</f>
        <v>16.84</v>
      </c>
      <c r="E373" s="22">
        <f>'VIX HISTORIQUE'!I376</f>
        <v>18.2</v>
      </c>
      <c r="F373" s="22">
        <f>'VIX HISTORIQUE'!K376</f>
        <v>19.39</v>
      </c>
    </row>
    <row r="374" ht="15.75" customHeight="1">
      <c r="A374" s="25">
        <f>'VIX HISTORIQUE'!A377</f>
        <v>43802.66667</v>
      </c>
      <c r="B374" s="22">
        <f>'VIX HISTORIQUE'!B377</f>
        <v>3093.2</v>
      </c>
      <c r="C374" s="22">
        <f>'VIX HISTORIQUE'!D377</f>
        <v>15.96</v>
      </c>
      <c r="D374" s="22">
        <f>'VIX HISTORIQUE'!G377</f>
        <v>17.63</v>
      </c>
      <c r="E374" s="22">
        <f>'VIX HISTORIQUE'!I377</f>
        <v>18.84</v>
      </c>
      <c r="F374" s="22">
        <f>'VIX HISTORIQUE'!K377</f>
        <v>19.71</v>
      </c>
    </row>
    <row r="375" ht="15.75" customHeight="1">
      <c r="A375" s="25">
        <f>'VIX HISTORIQUE'!A378</f>
        <v>43803.66667</v>
      </c>
      <c r="B375" s="22">
        <f>'VIX HISTORIQUE'!B378</f>
        <v>3112.76</v>
      </c>
      <c r="C375" s="22">
        <f>'VIX HISTORIQUE'!D378</f>
        <v>14.8</v>
      </c>
      <c r="D375" s="22">
        <f>'VIX HISTORIQUE'!G378</f>
        <v>16.98</v>
      </c>
      <c r="E375" s="22">
        <f>'VIX HISTORIQUE'!I378</f>
        <v>18.27</v>
      </c>
      <c r="F375" s="22">
        <f>'VIX HISTORIQUE'!K378</f>
        <v>19.39</v>
      </c>
    </row>
    <row r="376" ht="15.75" customHeight="1">
      <c r="A376" s="25">
        <f>'VIX HISTORIQUE'!A379</f>
        <v>43804.66667</v>
      </c>
      <c r="B376" s="22">
        <f>'VIX HISTORIQUE'!B379</f>
        <v>3117.43</v>
      </c>
      <c r="C376" s="22">
        <f>'VIX HISTORIQUE'!D379</f>
        <v>14.52</v>
      </c>
      <c r="D376" s="22">
        <f>'VIX HISTORIQUE'!G379</f>
        <v>16.78</v>
      </c>
      <c r="E376" s="22">
        <f>'VIX HISTORIQUE'!I379</f>
        <v>18.13</v>
      </c>
      <c r="F376" s="22">
        <f>'VIX HISTORIQUE'!K379</f>
        <v>19.35</v>
      </c>
    </row>
    <row r="377" ht="15.75" customHeight="1">
      <c r="A377" s="25">
        <f>'VIX HISTORIQUE'!A380</f>
        <v>43805.66667</v>
      </c>
      <c r="B377" s="22">
        <f>'VIX HISTORIQUE'!B380</f>
        <v>3145.91</v>
      </c>
      <c r="C377" s="22">
        <f>'VIX HISTORIQUE'!D380</f>
        <v>13.62</v>
      </c>
      <c r="D377" s="22">
        <f>'VIX HISTORIQUE'!G380</f>
        <v>16.21</v>
      </c>
      <c r="E377" s="22">
        <f>'VIX HISTORIQUE'!I380</f>
        <v>17.74</v>
      </c>
      <c r="F377" s="22">
        <f>'VIX HISTORIQUE'!K380</f>
        <v>19.1</v>
      </c>
    </row>
    <row r="378" ht="15.75" customHeight="1">
      <c r="A378" s="25">
        <f>'VIX HISTORIQUE'!A381</f>
        <v>43808.66667</v>
      </c>
      <c r="B378" s="22">
        <f>'VIX HISTORIQUE'!B381</f>
        <v>3135.96</v>
      </c>
      <c r="C378" s="22">
        <f>'VIX HISTORIQUE'!D381</f>
        <v>15.86</v>
      </c>
      <c r="D378" s="22">
        <f>'VIX HISTORIQUE'!G381</f>
        <v>17.3</v>
      </c>
      <c r="E378" s="22">
        <f>'VIX HISTORIQUE'!I381</f>
        <v>18.43</v>
      </c>
      <c r="F378" s="22">
        <f>'VIX HISTORIQUE'!K381</f>
        <v>19.5</v>
      </c>
    </row>
    <row r="379" ht="15.75" customHeight="1">
      <c r="A379" s="25">
        <f>'VIX HISTORIQUE'!A382</f>
        <v>43809.66667</v>
      </c>
      <c r="B379" s="22">
        <f>'VIX HISTORIQUE'!B382</f>
        <v>3132.52</v>
      </c>
      <c r="C379" s="22">
        <f>'VIX HISTORIQUE'!D382</f>
        <v>15.68</v>
      </c>
      <c r="D379" s="22">
        <f>'VIX HISTORIQUE'!G382</f>
        <v>17.13</v>
      </c>
      <c r="E379" s="22">
        <f>'VIX HISTORIQUE'!I382</f>
        <v>18.37</v>
      </c>
      <c r="F379" s="22">
        <f>'VIX HISTORIQUE'!K382</f>
        <v>19.44</v>
      </c>
    </row>
    <row r="380" ht="15.75" customHeight="1">
      <c r="A380" s="25">
        <f>'VIX HISTORIQUE'!A383</f>
        <v>43810.66667</v>
      </c>
      <c r="B380" s="22">
        <f>'VIX HISTORIQUE'!B383</f>
        <v>3141.63</v>
      </c>
      <c r="C380" s="22">
        <f>'VIX HISTORIQUE'!D383</f>
        <v>14.99</v>
      </c>
      <c r="D380" s="22">
        <f>'VIX HISTORIQUE'!G383</f>
        <v>16.91</v>
      </c>
      <c r="E380" s="22">
        <f>'VIX HISTORIQUE'!I383</f>
        <v>18.18</v>
      </c>
      <c r="F380" s="22">
        <f>'VIX HISTORIQUE'!K383</f>
        <v>19.25</v>
      </c>
    </row>
    <row r="381" ht="15.75" customHeight="1">
      <c r="A381" s="25">
        <f>'VIX HISTORIQUE'!A384</f>
        <v>43811.66667</v>
      </c>
      <c r="B381" s="22">
        <f>'VIX HISTORIQUE'!B384</f>
        <v>3168.57</v>
      </c>
      <c r="C381" s="22">
        <f>'VIX HISTORIQUE'!D384</f>
        <v>13.94</v>
      </c>
      <c r="D381" s="22">
        <f>'VIX HISTORIQUE'!G384</f>
        <v>16.09</v>
      </c>
      <c r="E381" s="22">
        <f>'VIX HISTORIQUE'!I384</f>
        <v>17.61</v>
      </c>
      <c r="F381" s="22">
        <f>'VIX HISTORIQUE'!K384</f>
        <v>18.91</v>
      </c>
    </row>
    <row r="382" ht="15.75" customHeight="1">
      <c r="A382" s="25">
        <f>'VIX HISTORIQUE'!A385</f>
        <v>43812.66667</v>
      </c>
      <c r="B382" s="22">
        <f>'VIX HISTORIQUE'!B385</f>
        <v>3168.8</v>
      </c>
      <c r="C382" s="22">
        <f>'VIX HISTORIQUE'!D385</f>
        <v>12.63</v>
      </c>
      <c r="D382" s="22">
        <f>'VIX HISTORIQUE'!G385</f>
        <v>15.28</v>
      </c>
      <c r="E382" s="22">
        <f>'VIX HISTORIQUE'!I385</f>
        <v>17.05</v>
      </c>
      <c r="F382" s="22">
        <f>'VIX HISTORIQUE'!K385</f>
        <v>18.59</v>
      </c>
    </row>
    <row r="383" ht="15.75" customHeight="1">
      <c r="A383" s="25">
        <f>'VIX HISTORIQUE'!A386</f>
        <v>43815.66667</v>
      </c>
      <c r="B383" s="22">
        <f>'VIX HISTORIQUE'!B386</f>
        <v>3191.45</v>
      </c>
      <c r="C383" s="22">
        <f>'VIX HISTORIQUE'!D386</f>
        <v>12.14</v>
      </c>
      <c r="D383" s="22">
        <f>'VIX HISTORIQUE'!G386</f>
        <v>14.98</v>
      </c>
      <c r="E383" s="22">
        <f>'VIX HISTORIQUE'!I386</f>
        <v>16.68</v>
      </c>
      <c r="F383" s="22">
        <f>'VIX HISTORIQUE'!K386</f>
        <v>18.37</v>
      </c>
    </row>
    <row r="384" ht="15.75" customHeight="1">
      <c r="A384" s="25">
        <f>'VIX HISTORIQUE'!A387</f>
        <v>43816.66667</v>
      </c>
      <c r="B384" s="22">
        <f>'VIX HISTORIQUE'!B387</f>
        <v>3192.52</v>
      </c>
      <c r="C384" s="22">
        <f>'VIX HISTORIQUE'!D387</f>
        <v>12.29</v>
      </c>
      <c r="D384" s="22">
        <f>'VIX HISTORIQUE'!G387</f>
        <v>15.15</v>
      </c>
      <c r="E384" s="22">
        <f>'VIX HISTORIQUE'!I387</f>
        <v>16.89</v>
      </c>
      <c r="F384" s="22">
        <f>'VIX HISTORIQUE'!K387</f>
        <v>18.46</v>
      </c>
    </row>
    <row r="385" ht="15.75" customHeight="1">
      <c r="A385" s="25">
        <f>'VIX HISTORIQUE'!A388</f>
        <v>43817.66667</v>
      </c>
      <c r="B385" s="22">
        <f>'VIX HISTORIQUE'!B388</f>
        <v>3191.14</v>
      </c>
      <c r="C385" s="22">
        <f>'VIX HISTORIQUE'!D388</f>
        <v>12.58</v>
      </c>
      <c r="D385" s="22">
        <f>'VIX HISTORIQUE'!G388</f>
        <v>15.2</v>
      </c>
      <c r="E385" s="22">
        <f>'VIX HISTORIQUE'!I388</f>
        <v>16.91</v>
      </c>
      <c r="F385" s="22">
        <f>'VIX HISTORIQUE'!K388</f>
        <v>18.37</v>
      </c>
    </row>
    <row r="386" ht="15.75" customHeight="1">
      <c r="A386" s="25">
        <f>'VIX HISTORIQUE'!A389</f>
        <v>43818.66667</v>
      </c>
      <c r="B386" s="22">
        <f>'VIX HISTORIQUE'!B389</f>
        <v>3205.37</v>
      </c>
      <c r="C386" s="22">
        <f>'VIX HISTORIQUE'!D389</f>
        <v>12.5</v>
      </c>
      <c r="D386" s="22">
        <f>'VIX HISTORIQUE'!G389</f>
        <v>15.14</v>
      </c>
      <c r="E386" s="22">
        <f>'VIX HISTORIQUE'!I389</f>
        <v>16.77</v>
      </c>
      <c r="F386" s="22">
        <f>'VIX HISTORIQUE'!K389</f>
        <v>18.28</v>
      </c>
    </row>
    <row r="387" ht="15.75" customHeight="1">
      <c r="A387" s="25">
        <f>'VIX HISTORIQUE'!A390</f>
        <v>43819.66667</v>
      </c>
      <c r="B387" s="22">
        <f>'VIX HISTORIQUE'!B390</f>
        <v>3221.22</v>
      </c>
      <c r="C387" s="22">
        <f>'VIX HISTORIQUE'!D390</f>
        <v>12.51</v>
      </c>
      <c r="D387" s="22">
        <f>'VIX HISTORIQUE'!G390</f>
        <v>15.32</v>
      </c>
      <c r="E387" s="22">
        <f>'VIX HISTORIQUE'!I390</f>
        <v>16.85</v>
      </c>
      <c r="F387" s="22">
        <f>'VIX HISTORIQUE'!K390</f>
        <v>18.37</v>
      </c>
    </row>
    <row r="388" ht="15.75" customHeight="1">
      <c r="A388" s="25">
        <f>'VIX HISTORIQUE'!A391</f>
        <v>43822.66667</v>
      </c>
      <c r="B388" s="22">
        <f>'VIX HISTORIQUE'!B391</f>
        <v>3224.01</v>
      </c>
      <c r="C388" s="22">
        <f>'VIX HISTORIQUE'!D391</f>
        <v>12.61</v>
      </c>
      <c r="D388" s="22">
        <f>'VIX HISTORIQUE'!G391</f>
        <v>15.5</v>
      </c>
      <c r="E388" s="22">
        <f>'VIX HISTORIQUE'!I391</f>
        <v>17</v>
      </c>
      <c r="F388" s="22">
        <f>'VIX HISTORIQUE'!K391</f>
        <v>18.38</v>
      </c>
    </row>
    <row r="389" ht="15.75" customHeight="1">
      <c r="A389" s="25">
        <f>'VIX HISTORIQUE'!A392</f>
        <v>43825.66667</v>
      </c>
      <c r="B389" s="22">
        <f>'VIX HISTORIQUE'!B392</f>
        <v>3239.91</v>
      </c>
      <c r="C389" s="22">
        <f>'VIX HISTORIQUE'!D392</f>
        <v>12.65</v>
      </c>
      <c r="D389" s="22">
        <f>'VIX HISTORIQUE'!G392</f>
        <v>15.52</v>
      </c>
      <c r="E389" s="22">
        <f>'VIX HISTORIQUE'!I392</f>
        <v>16.92</v>
      </c>
      <c r="F389" s="22">
        <f>'VIX HISTORIQUE'!K392</f>
        <v>18.34</v>
      </c>
    </row>
    <row r="390" ht="15.75" customHeight="1">
      <c r="A390" s="25">
        <f>'VIX HISTORIQUE'!A393</f>
        <v>43826.66667</v>
      </c>
      <c r="B390" s="22">
        <f>'VIX HISTORIQUE'!B393</f>
        <v>3240.02</v>
      </c>
      <c r="C390" s="22">
        <f>'VIX HISTORIQUE'!D393</f>
        <v>13.43</v>
      </c>
      <c r="D390" s="22">
        <f>'VIX HISTORIQUE'!G393</f>
        <v>15.95</v>
      </c>
      <c r="E390" s="22">
        <f>'VIX HISTORIQUE'!I393</f>
        <v>17.28</v>
      </c>
      <c r="F390" s="22">
        <f>'VIX HISTORIQUE'!K393</f>
        <v>18.51</v>
      </c>
    </row>
    <row r="391" ht="15.75" customHeight="1">
      <c r="A391" s="25">
        <f>'VIX HISTORIQUE'!A394</f>
        <v>43829.66667</v>
      </c>
      <c r="B391" s="22">
        <f>'VIX HISTORIQUE'!B394</f>
        <v>3221.29</v>
      </c>
      <c r="C391" s="22">
        <f>'VIX HISTORIQUE'!D394</f>
        <v>14.82</v>
      </c>
      <c r="D391" s="22">
        <f>'VIX HISTORIQUE'!G394</f>
        <v>16.68</v>
      </c>
      <c r="E391" s="22">
        <f>'VIX HISTORIQUE'!I394</f>
        <v>17.7</v>
      </c>
      <c r="F391" s="22">
        <f>'VIX HISTORIQUE'!K394</f>
        <v>18.78</v>
      </c>
    </row>
    <row r="392" ht="15.75" customHeight="1">
      <c r="A392" s="25">
        <f>'VIX HISTORIQUE'!A395</f>
        <v>43832.66667</v>
      </c>
      <c r="B392" s="22">
        <f>'VIX HISTORIQUE'!B395</f>
        <v>3257.85</v>
      </c>
      <c r="C392" s="22">
        <f>'VIX HISTORIQUE'!D395</f>
        <v>12.47</v>
      </c>
      <c r="D392" s="22">
        <f>'VIX HISTORIQUE'!G395</f>
        <v>15.19</v>
      </c>
      <c r="E392" s="22">
        <f>'VIX HISTORIQUE'!I395</f>
        <v>16.58</v>
      </c>
      <c r="F392" s="22">
        <f>'VIX HISTORIQUE'!K395</f>
        <v>18.06</v>
      </c>
    </row>
    <row r="393" ht="15.75" customHeight="1">
      <c r="A393" s="25">
        <f>'VIX HISTORIQUE'!A396</f>
        <v>43833.66667</v>
      </c>
      <c r="B393" s="22">
        <f>'VIX HISTORIQUE'!B396</f>
        <v>3234.85</v>
      </c>
      <c r="C393" s="22">
        <f>'VIX HISTORIQUE'!D396</f>
        <v>14.02</v>
      </c>
      <c r="D393" s="22">
        <f>'VIX HISTORIQUE'!G396</f>
        <v>16.01</v>
      </c>
      <c r="E393" s="22">
        <f>'VIX HISTORIQUE'!I396</f>
        <v>17.16</v>
      </c>
      <c r="F393" s="22">
        <f>'VIX HISTORIQUE'!K396</f>
        <v>18.44</v>
      </c>
    </row>
    <row r="394" ht="15.75" customHeight="1">
      <c r="A394" s="25">
        <f>'VIX HISTORIQUE'!A397</f>
        <v>43836.66667</v>
      </c>
      <c r="B394" s="22">
        <f>'VIX HISTORIQUE'!B397</f>
        <v>3246.28</v>
      </c>
      <c r="C394" s="22">
        <f>'VIX HISTORIQUE'!D397</f>
        <v>13.85</v>
      </c>
      <c r="D394" s="22">
        <f>'VIX HISTORIQUE'!G397</f>
        <v>15.92</v>
      </c>
      <c r="E394" s="22">
        <f>'VIX HISTORIQUE'!I397</f>
        <v>17.08</v>
      </c>
      <c r="F394" s="22">
        <f>'VIX HISTORIQUE'!K397</f>
        <v>18.29</v>
      </c>
    </row>
    <row r="395" ht="15.75" customHeight="1">
      <c r="A395" s="25">
        <f>'VIX HISTORIQUE'!A398</f>
        <v>43837.66667</v>
      </c>
      <c r="B395" s="22">
        <f>'VIX HISTORIQUE'!B398</f>
        <v>3237.18</v>
      </c>
      <c r="C395" s="22">
        <f>'VIX HISTORIQUE'!D398</f>
        <v>13.79</v>
      </c>
      <c r="D395" s="22">
        <f>'VIX HISTORIQUE'!G398</f>
        <v>15.86</v>
      </c>
      <c r="E395" s="22">
        <f>'VIX HISTORIQUE'!I398</f>
        <v>17.02</v>
      </c>
      <c r="F395" s="22">
        <f>'VIX HISTORIQUE'!K398</f>
        <v>18.2</v>
      </c>
    </row>
    <row r="396" ht="15.75" customHeight="1">
      <c r="A396" s="25">
        <f>'VIX HISTORIQUE'!A399</f>
        <v>43838.66667</v>
      </c>
      <c r="B396" s="22">
        <f>'VIX HISTORIQUE'!B399</f>
        <v>3253.05</v>
      </c>
      <c r="C396" s="22">
        <f>'VIX HISTORIQUE'!D399</f>
        <v>13.45</v>
      </c>
      <c r="D396" s="22">
        <f>'VIX HISTORIQUE'!G399</f>
        <v>15.4</v>
      </c>
      <c r="E396" s="22">
        <f>'VIX HISTORIQUE'!I399</f>
        <v>16.65</v>
      </c>
      <c r="F396" s="22">
        <f>'VIX HISTORIQUE'!K399</f>
        <v>17.89</v>
      </c>
    </row>
    <row r="397" ht="15.75" customHeight="1">
      <c r="A397" s="25">
        <f>'VIX HISTORIQUE'!A400</f>
        <v>43839.66667</v>
      </c>
      <c r="B397" s="22">
        <f>'VIX HISTORIQUE'!B400</f>
        <v>3274.7</v>
      </c>
      <c r="C397" s="22">
        <f>'VIX HISTORIQUE'!D400</f>
        <v>12.54</v>
      </c>
      <c r="D397" s="22">
        <f>'VIX HISTORIQUE'!G400</f>
        <v>14.95</v>
      </c>
      <c r="E397" s="22">
        <f>'VIX HISTORIQUE'!I400</f>
        <v>16.36</v>
      </c>
      <c r="F397" s="22">
        <f>'VIX HISTORIQUE'!K400</f>
        <v>17.6</v>
      </c>
    </row>
    <row r="398" ht="15.75" customHeight="1">
      <c r="A398" s="25">
        <f>'VIX HISTORIQUE'!A401</f>
        <v>43840.66667</v>
      </c>
      <c r="B398" s="22">
        <f>'VIX HISTORIQUE'!B401</f>
        <v>3265.35</v>
      </c>
      <c r="C398" s="22">
        <f>'VIX HISTORIQUE'!D401</f>
        <v>12.56</v>
      </c>
      <c r="D398" s="22">
        <f>'VIX HISTORIQUE'!G401</f>
        <v>14.95</v>
      </c>
      <c r="E398" s="22">
        <f>'VIX HISTORIQUE'!I401</f>
        <v>16.33</v>
      </c>
      <c r="F398" s="22">
        <f>'VIX HISTORIQUE'!K401</f>
        <v>17.65</v>
      </c>
    </row>
    <row r="399" ht="15.75" customHeight="1">
      <c r="A399" s="25">
        <f>'VIX HISTORIQUE'!A402</f>
        <v>43843.66667</v>
      </c>
      <c r="B399" s="22">
        <f>'VIX HISTORIQUE'!B402</f>
        <v>3288.13</v>
      </c>
      <c r="C399" s="22">
        <f>'VIX HISTORIQUE'!D402</f>
        <v>12.32</v>
      </c>
      <c r="D399" s="22">
        <f>'VIX HISTORIQUE'!G402</f>
        <v>14.64</v>
      </c>
      <c r="E399" s="22">
        <f>'VIX HISTORIQUE'!I402</f>
        <v>16.03</v>
      </c>
      <c r="F399" s="22">
        <f>'VIX HISTORIQUE'!K402</f>
        <v>17.41</v>
      </c>
    </row>
    <row r="400" ht="15.75" customHeight="1">
      <c r="A400" s="25">
        <f>'VIX HISTORIQUE'!A403</f>
        <v>43844.66667</v>
      </c>
      <c r="B400" s="22">
        <f>'VIX HISTORIQUE'!B403</f>
        <v>3283.15</v>
      </c>
      <c r="C400" s="22">
        <f>'VIX HISTORIQUE'!D403</f>
        <v>12.39</v>
      </c>
      <c r="D400" s="22">
        <f>'VIX HISTORIQUE'!G403</f>
        <v>14.64</v>
      </c>
      <c r="E400" s="22">
        <f>'VIX HISTORIQUE'!I403</f>
        <v>16.01</v>
      </c>
      <c r="F400" s="22">
        <f>'VIX HISTORIQUE'!K403</f>
        <v>17.36</v>
      </c>
    </row>
    <row r="401" ht="15.75" customHeight="1">
      <c r="A401" s="25">
        <f>'VIX HISTORIQUE'!A404</f>
        <v>43845.66667</v>
      </c>
      <c r="B401" s="22">
        <f>'VIX HISTORIQUE'!B404</f>
        <v>3289.29</v>
      </c>
      <c r="C401" s="22">
        <f>'VIX HISTORIQUE'!D404</f>
        <v>12.42</v>
      </c>
      <c r="D401" s="22">
        <f>'VIX HISTORIQUE'!G404</f>
        <v>14.63</v>
      </c>
      <c r="E401" s="22">
        <f>'VIX HISTORIQUE'!I404</f>
        <v>15.98</v>
      </c>
      <c r="F401" s="22">
        <f>'VIX HISTORIQUE'!K404</f>
        <v>17.35</v>
      </c>
    </row>
    <row r="402" ht="15.75" customHeight="1">
      <c r="A402" s="25">
        <f>'VIX HISTORIQUE'!A405</f>
        <v>43846.66667</v>
      </c>
      <c r="B402" s="22">
        <f>'VIX HISTORIQUE'!B405</f>
        <v>3316.81</v>
      </c>
      <c r="C402" s="22">
        <f>'VIX HISTORIQUE'!D405</f>
        <v>12.32</v>
      </c>
      <c r="D402" s="22">
        <f>'VIX HISTORIQUE'!G405</f>
        <v>14.45</v>
      </c>
      <c r="E402" s="22">
        <f>'VIX HISTORIQUE'!I405</f>
        <v>15.78</v>
      </c>
      <c r="F402" s="22">
        <f>'VIX HISTORIQUE'!K405</f>
        <v>17.18</v>
      </c>
    </row>
    <row r="403" ht="15.75" customHeight="1">
      <c r="A403" s="25">
        <f>'VIX HISTORIQUE'!A406</f>
        <v>43847.66667</v>
      </c>
      <c r="B403" s="22">
        <f>'VIX HISTORIQUE'!B406</f>
        <v>3329.62</v>
      </c>
      <c r="C403" s="22">
        <f>'VIX HISTORIQUE'!D406</f>
        <v>12.1</v>
      </c>
      <c r="D403" s="22">
        <f>'VIX HISTORIQUE'!G406</f>
        <v>14.41</v>
      </c>
      <c r="E403" s="22">
        <f>'VIX HISTORIQUE'!I406</f>
        <v>15.76</v>
      </c>
      <c r="F403" s="22">
        <f>'VIX HISTORIQUE'!K406</f>
        <v>17.08</v>
      </c>
    </row>
    <row r="404" ht="15.75" customHeight="1">
      <c r="A404" s="25">
        <f>'VIX HISTORIQUE'!A407</f>
        <v>43851.66667</v>
      </c>
      <c r="B404" s="22">
        <f>'VIX HISTORIQUE'!B407</f>
        <v>3320.79</v>
      </c>
      <c r="C404" s="22">
        <f>'VIX HISTORIQUE'!D407</f>
        <v>12.85</v>
      </c>
      <c r="D404" s="22">
        <f>'VIX HISTORIQUE'!G407</f>
        <v>14.87</v>
      </c>
      <c r="E404" s="22">
        <f>'VIX HISTORIQUE'!I407</f>
        <v>15.94</v>
      </c>
      <c r="F404" s="22">
        <f>'VIX HISTORIQUE'!K407</f>
        <v>17.22</v>
      </c>
    </row>
    <row r="405" ht="15.75" customHeight="1">
      <c r="A405" s="25">
        <f>'VIX HISTORIQUE'!A408</f>
        <v>43852.66667</v>
      </c>
      <c r="B405" s="22">
        <f>'VIX HISTORIQUE'!B408</f>
        <v>3321.75</v>
      </c>
      <c r="C405" s="22">
        <f>'VIX HISTORIQUE'!D408</f>
        <v>12.91</v>
      </c>
      <c r="D405" s="22">
        <f>'VIX HISTORIQUE'!G408</f>
        <v>14.98</v>
      </c>
      <c r="E405" s="22">
        <f>'VIX HISTORIQUE'!I408</f>
        <v>16.11</v>
      </c>
      <c r="F405" s="22">
        <f>'VIX HISTORIQUE'!K408</f>
        <v>17.29</v>
      </c>
    </row>
    <row r="406" ht="15.75" customHeight="1">
      <c r="A406" s="25">
        <f>'VIX HISTORIQUE'!A409</f>
        <v>43853.66667</v>
      </c>
      <c r="B406" s="22">
        <f>'VIX HISTORIQUE'!B409</f>
        <v>3325.54</v>
      </c>
      <c r="C406" s="22">
        <f>'VIX HISTORIQUE'!D409</f>
        <v>12.98</v>
      </c>
      <c r="D406" s="22">
        <f>'VIX HISTORIQUE'!G409</f>
        <v>14.99</v>
      </c>
      <c r="E406" s="22">
        <f>'VIX HISTORIQUE'!I409</f>
        <v>16.11</v>
      </c>
      <c r="F406" s="22">
        <f>'VIX HISTORIQUE'!K409</f>
        <v>17.21</v>
      </c>
    </row>
    <row r="407" ht="15.75" customHeight="1">
      <c r="A407" s="25">
        <f>'VIX HISTORIQUE'!A410</f>
        <v>43854.66667</v>
      </c>
      <c r="B407" s="22">
        <f>'VIX HISTORIQUE'!B410</f>
        <v>3295.47</v>
      </c>
      <c r="C407" s="22">
        <f>'VIX HISTORIQUE'!D410</f>
        <v>14.56</v>
      </c>
      <c r="D407" s="22">
        <f>'VIX HISTORIQUE'!G410</f>
        <v>16.07</v>
      </c>
      <c r="E407" s="22">
        <f>'VIX HISTORIQUE'!I410</f>
        <v>16.78</v>
      </c>
      <c r="F407" s="22">
        <f>'VIX HISTORIQUE'!K410</f>
        <v>17.75</v>
      </c>
    </row>
    <row r="408" ht="15.75" customHeight="1">
      <c r="A408" s="25">
        <f>'VIX HISTORIQUE'!A411</f>
        <v>43857.66667</v>
      </c>
      <c r="B408" s="22">
        <f>'VIX HISTORIQUE'!B411</f>
        <v>3243.63</v>
      </c>
      <c r="C408" s="22">
        <f>'VIX HISTORIQUE'!D411</f>
        <v>18.23</v>
      </c>
      <c r="D408" s="22">
        <f>'VIX HISTORIQUE'!G411</f>
        <v>18.16</v>
      </c>
      <c r="E408" s="22">
        <f>'VIX HISTORIQUE'!I411</f>
        <v>18.11</v>
      </c>
      <c r="F408" s="22">
        <f>'VIX HISTORIQUE'!K411</f>
        <v>18.52</v>
      </c>
    </row>
    <row r="409" ht="15.75" customHeight="1">
      <c r="A409" s="25">
        <f>'VIX HISTORIQUE'!A412</f>
        <v>43858.66667</v>
      </c>
      <c r="B409" s="22">
        <f>'VIX HISTORIQUE'!B412</f>
        <v>3276.24</v>
      </c>
      <c r="C409" s="22">
        <f>'VIX HISTORIQUE'!D412</f>
        <v>16.28</v>
      </c>
      <c r="D409" s="22">
        <f>'VIX HISTORIQUE'!G412</f>
        <v>17.03</v>
      </c>
      <c r="E409" s="22">
        <f>'VIX HISTORIQUE'!I412</f>
        <v>17.35</v>
      </c>
      <c r="F409" s="22">
        <f>'VIX HISTORIQUE'!K412</f>
        <v>18.05</v>
      </c>
    </row>
    <row r="410" ht="15.75" customHeight="1">
      <c r="A410" s="25">
        <f>'VIX HISTORIQUE'!A413</f>
        <v>43859.66667</v>
      </c>
      <c r="B410" s="22">
        <f>'VIX HISTORIQUE'!B413</f>
        <v>3273.4</v>
      </c>
      <c r="C410" s="22">
        <f>'VIX HISTORIQUE'!D413</f>
        <v>16.39</v>
      </c>
      <c r="D410" s="22">
        <f>'VIX HISTORIQUE'!G413</f>
        <v>17.03</v>
      </c>
      <c r="E410" s="22">
        <f>'VIX HISTORIQUE'!I413</f>
        <v>17.36</v>
      </c>
      <c r="F410" s="22">
        <f>'VIX HISTORIQUE'!K413</f>
        <v>18.03</v>
      </c>
    </row>
    <row r="411" ht="15.75" customHeight="1">
      <c r="A411" s="25">
        <f>'VIX HISTORIQUE'!A414</f>
        <v>43860.66667</v>
      </c>
      <c r="B411" s="22">
        <f>'VIX HISTORIQUE'!B414</f>
        <v>3283.66</v>
      </c>
      <c r="C411" s="22">
        <f>'VIX HISTORIQUE'!D414</f>
        <v>15.49</v>
      </c>
      <c r="D411" s="22">
        <f>'VIX HISTORIQUE'!G414</f>
        <v>16.59</v>
      </c>
      <c r="E411" s="22">
        <f>'VIX HISTORIQUE'!I414</f>
        <v>17.03</v>
      </c>
      <c r="F411" s="22">
        <f>'VIX HISTORIQUE'!K414</f>
        <v>17.84</v>
      </c>
    </row>
    <row r="412" ht="15.75" customHeight="1">
      <c r="A412" s="25">
        <f>'VIX HISTORIQUE'!A415</f>
        <v>43861.66667</v>
      </c>
      <c r="B412" s="22">
        <f>'VIX HISTORIQUE'!B415</f>
        <v>3225.52</v>
      </c>
      <c r="C412" s="22">
        <f>'VIX HISTORIQUE'!D415</f>
        <v>18.84</v>
      </c>
      <c r="D412" s="22">
        <f>'VIX HISTORIQUE'!G415</f>
        <v>18.63</v>
      </c>
      <c r="E412" s="22">
        <f>'VIX HISTORIQUE'!I415</f>
        <v>18.34</v>
      </c>
      <c r="F412" s="22">
        <f>'VIX HISTORIQUE'!K415</f>
        <v>18.57</v>
      </c>
    </row>
    <row r="413" ht="15.75" customHeight="1">
      <c r="A413" s="25">
        <f>'VIX HISTORIQUE'!A416</f>
        <v>43864.66667</v>
      </c>
      <c r="B413" s="22">
        <f>'VIX HISTORIQUE'!B416</f>
        <v>3248.92</v>
      </c>
      <c r="C413" s="22">
        <f>'VIX HISTORIQUE'!D416</f>
        <v>17.97</v>
      </c>
      <c r="D413" s="22">
        <f>'VIX HISTORIQUE'!G416</f>
        <v>18.04</v>
      </c>
      <c r="E413" s="22">
        <f>'VIX HISTORIQUE'!I416</f>
        <v>18.09</v>
      </c>
      <c r="F413" s="22">
        <f>'VIX HISTORIQUE'!K416</f>
        <v>18.38</v>
      </c>
    </row>
    <row r="414" ht="15.75" customHeight="1">
      <c r="A414" s="25">
        <f>'VIX HISTORIQUE'!A417</f>
        <v>43865.66667</v>
      </c>
      <c r="B414" s="22">
        <f>'VIX HISTORIQUE'!B417</f>
        <v>3297.59</v>
      </c>
      <c r="C414" s="22">
        <f>'VIX HISTORIQUE'!D417</f>
        <v>16.05</v>
      </c>
      <c r="D414" s="22">
        <f>'VIX HISTORIQUE'!G417</f>
        <v>16.7</v>
      </c>
      <c r="E414" s="22">
        <f>'VIX HISTORIQUE'!I417</f>
        <v>17.06</v>
      </c>
      <c r="F414" s="22">
        <f>'VIX HISTORIQUE'!K417</f>
        <v>17.83</v>
      </c>
    </row>
    <row r="415" ht="15.75" customHeight="1">
      <c r="A415" s="25">
        <f>'VIX HISTORIQUE'!A418</f>
        <v>43866.66667</v>
      </c>
      <c r="B415" s="22">
        <f>'VIX HISTORIQUE'!B418</f>
        <v>3334.69</v>
      </c>
      <c r="C415" s="22">
        <f>'VIX HISTORIQUE'!D418</f>
        <v>15.15</v>
      </c>
      <c r="D415" s="22">
        <f>'VIX HISTORIQUE'!G418</f>
        <v>16.11</v>
      </c>
      <c r="E415" s="22">
        <f>'VIX HISTORIQUE'!I418</f>
        <v>16.67</v>
      </c>
      <c r="F415" s="22">
        <f>'VIX HISTORIQUE'!K418</f>
        <v>17.53</v>
      </c>
    </row>
    <row r="416" ht="15.75" customHeight="1">
      <c r="A416" s="25">
        <f>'VIX HISTORIQUE'!A419</f>
        <v>43867.66667</v>
      </c>
      <c r="B416" s="22">
        <f>'VIX HISTORIQUE'!B419</f>
        <v>3345.78</v>
      </c>
      <c r="C416" s="22">
        <f>'VIX HISTORIQUE'!D419</f>
        <v>14.96</v>
      </c>
      <c r="D416" s="22">
        <f>'VIX HISTORIQUE'!G419</f>
        <v>15.89</v>
      </c>
      <c r="E416" s="22">
        <f>'VIX HISTORIQUE'!I419</f>
        <v>16.57</v>
      </c>
      <c r="F416" s="22">
        <f>'VIX HISTORIQUE'!K419</f>
        <v>17.46</v>
      </c>
    </row>
    <row r="417" ht="15.75" customHeight="1">
      <c r="A417" s="25">
        <f>'VIX HISTORIQUE'!A420</f>
        <v>43868.66667</v>
      </c>
      <c r="B417" s="22">
        <f>'VIX HISTORIQUE'!B420</f>
        <v>3327.71</v>
      </c>
      <c r="C417" s="22">
        <f>'VIX HISTORIQUE'!D420</f>
        <v>15.47</v>
      </c>
      <c r="D417" s="22">
        <f>'VIX HISTORIQUE'!G420</f>
        <v>16.29</v>
      </c>
      <c r="E417" s="22">
        <f>'VIX HISTORIQUE'!I420</f>
        <v>16.94</v>
      </c>
      <c r="F417" s="22">
        <f>'VIX HISTORIQUE'!K420</f>
        <v>17.73</v>
      </c>
    </row>
    <row r="418" ht="15.75" customHeight="1">
      <c r="A418" s="25">
        <f>'VIX HISTORIQUE'!A421</f>
        <v>43871.66667</v>
      </c>
      <c r="B418" s="22">
        <f>'VIX HISTORIQUE'!B421</f>
        <v>3352.09</v>
      </c>
      <c r="C418" s="22">
        <f>'VIX HISTORIQUE'!D421</f>
        <v>15.04</v>
      </c>
      <c r="D418" s="22">
        <f>'VIX HISTORIQUE'!G421</f>
        <v>16.13</v>
      </c>
      <c r="E418" s="22">
        <f>'VIX HISTORIQUE'!I421</f>
        <v>16.78</v>
      </c>
      <c r="F418" s="22">
        <f>'VIX HISTORIQUE'!K421</f>
        <v>17.57</v>
      </c>
    </row>
    <row r="419" ht="15.75" customHeight="1">
      <c r="A419" s="25">
        <f>'VIX HISTORIQUE'!A422</f>
        <v>43872.66667</v>
      </c>
      <c r="B419" s="22">
        <f>'VIX HISTORIQUE'!B422</f>
        <v>3357.75</v>
      </c>
      <c r="C419" s="22">
        <f>'VIX HISTORIQUE'!D422</f>
        <v>15.18</v>
      </c>
      <c r="D419" s="22">
        <f>'VIX HISTORIQUE'!G422</f>
        <v>16.14</v>
      </c>
      <c r="E419" s="22">
        <f>'VIX HISTORIQUE'!I422</f>
        <v>16.83</v>
      </c>
      <c r="F419" s="22">
        <f>'VIX HISTORIQUE'!K422</f>
        <v>17.61</v>
      </c>
    </row>
    <row r="420" ht="15.75" customHeight="1">
      <c r="A420" s="25">
        <f>'VIX HISTORIQUE'!A423</f>
        <v>43873.66667</v>
      </c>
      <c r="B420" s="22">
        <f>'VIX HISTORIQUE'!B423</f>
        <v>3379.45</v>
      </c>
      <c r="C420" s="22">
        <f>'VIX HISTORIQUE'!D423</f>
        <v>13.74</v>
      </c>
      <c r="D420" s="22">
        <f>'VIX HISTORIQUE'!G423</f>
        <v>15.36</v>
      </c>
      <c r="E420" s="22">
        <f>'VIX HISTORIQUE'!I423</f>
        <v>16.34</v>
      </c>
      <c r="F420" s="22">
        <f>'VIX HISTORIQUE'!K423</f>
        <v>17.32</v>
      </c>
    </row>
    <row r="421" ht="15.75" customHeight="1">
      <c r="A421" s="25">
        <f>'VIX HISTORIQUE'!A424</f>
        <v>43874.66667</v>
      </c>
      <c r="B421" s="22">
        <f>'VIX HISTORIQUE'!B424</f>
        <v>3373.94</v>
      </c>
      <c r="C421" s="22">
        <f>'VIX HISTORIQUE'!D424</f>
        <v>14.15</v>
      </c>
      <c r="D421" s="22">
        <f>'VIX HISTORIQUE'!G424</f>
        <v>15.68</v>
      </c>
      <c r="E421" s="22">
        <f>'VIX HISTORIQUE'!I424</f>
        <v>16.55</v>
      </c>
      <c r="F421" s="22">
        <f>'VIX HISTORIQUE'!K424</f>
        <v>17.46</v>
      </c>
    </row>
    <row r="422" ht="15.75" customHeight="1">
      <c r="A422" s="25">
        <f>'VIX HISTORIQUE'!A425</f>
        <v>43875.66667</v>
      </c>
      <c r="B422" s="22">
        <f>'VIX HISTORIQUE'!B425</f>
        <v>3380.16</v>
      </c>
      <c r="C422" s="22">
        <f>'VIX HISTORIQUE'!D425</f>
        <v>13.68</v>
      </c>
      <c r="D422" s="22">
        <f>'VIX HISTORIQUE'!G425</f>
        <v>15.5</v>
      </c>
      <c r="E422" s="22">
        <f>'VIX HISTORIQUE'!I425</f>
        <v>16.46</v>
      </c>
      <c r="F422" s="22">
        <f>'VIX HISTORIQUE'!K425</f>
        <v>17.37</v>
      </c>
    </row>
    <row r="423" ht="15.75" customHeight="1">
      <c r="A423" s="25">
        <f>'VIX HISTORIQUE'!A426</f>
        <v>43879.66667</v>
      </c>
      <c r="B423" s="22">
        <f>'VIX HISTORIQUE'!B426</f>
        <v>3370.29</v>
      </c>
      <c r="C423" s="22">
        <f>'VIX HISTORIQUE'!D426</f>
        <v>14.83</v>
      </c>
      <c r="D423" s="22">
        <f>'VIX HISTORIQUE'!G426</f>
        <v>16.1</v>
      </c>
      <c r="E423" s="22">
        <f>'VIX HISTORIQUE'!I426</f>
        <v>16.86</v>
      </c>
      <c r="F423" s="22">
        <f>'VIX HISTORIQUE'!K426</f>
        <v>17.59</v>
      </c>
    </row>
    <row r="424" ht="15.75" customHeight="1">
      <c r="A424" s="25">
        <f>'VIX HISTORIQUE'!A427</f>
        <v>43880.66667</v>
      </c>
      <c r="B424" s="22">
        <f>'VIX HISTORIQUE'!B427</f>
        <v>3386.15</v>
      </c>
      <c r="C424" s="22">
        <f>'VIX HISTORIQUE'!D427</f>
        <v>14.38</v>
      </c>
      <c r="D424" s="22">
        <f>'VIX HISTORIQUE'!G427</f>
        <v>15.82</v>
      </c>
      <c r="E424" s="22">
        <f>'VIX HISTORIQUE'!I427</f>
        <v>16.76</v>
      </c>
      <c r="F424" s="22">
        <f>'VIX HISTORIQUE'!K427</f>
        <v>17.56</v>
      </c>
    </row>
    <row r="425" ht="15.75" customHeight="1">
      <c r="A425" s="25">
        <f>'VIX HISTORIQUE'!A428</f>
        <v>43881.66667</v>
      </c>
      <c r="B425" s="22">
        <f>'VIX HISTORIQUE'!B428</f>
        <v>3373.23</v>
      </c>
      <c r="C425" s="22">
        <f>'VIX HISTORIQUE'!D428</f>
        <v>15.56</v>
      </c>
      <c r="D425" s="22">
        <f>'VIX HISTORIQUE'!G428</f>
        <v>16.6</v>
      </c>
      <c r="E425" s="22">
        <f>'VIX HISTORIQUE'!I428</f>
        <v>17.24</v>
      </c>
      <c r="F425" s="22">
        <f>'VIX HISTORIQUE'!K428</f>
        <v>17.86</v>
      </c>
    </row>
    <row r="426" ht="15.75" customHeight="1">
      <c r="A426" s="25">
        <f>'VIX HISTORIQUE'!A429</f>
        <v>43882.66667</v>
      </c>
      <c r="B426" s="22">
        <f>'VIX HISTORIQUE'!B429</f>
        <v>3337.75</v>
      </c>
      <c r="C426" s="22">
        <f>'VIX HISTORIQUE'!D429</f>
        <v>17.08</v>
      </c>
      <c r="D426" s="22">
        <f>'VIX HISTORIQUE'!G429</f>
        <v>17.61</v>
      </c>
      <c r="E426" s="22">
        <f>'VIX HISTORIQUE'!I429</f>
        <v>17.92</v>
      </c>
      <c r="F426" s="22">
        <f>'VIX HISTORIQUE'!K429</f>
        <v>18.33</v>
      </c>
    </row>
    <row r="427" ht="15.75" customHeight="1">
      <c r="A427" s="25">
        <f>'VIX HISTORIQUE'!A430</f>
        <v>43885.66667</v>
      </c>
      <c r="B427" s="22">
        <f>'VIX HISTORIQUE'!B430</f>
        <v>3225.89</v>
      </c>
      <c r="C427" s="22">
        <f>'VIX HISTORIQUE'!D430</f>
        <v>25.03</v>
      </c>
      <c r="D427" s="22">
        <f>'VIX HISTORIQUE'!G430</f>
        <v>21.92</v>
      </c>
      <c r="E427" s="22">
        <f>'VIX HISTORIQUE'!I430</f>
        <v>20.48</v>
      </c>
      <c r="F427" s="22">
        <f>'VIX HISTORIQUE'!K430</f>
        <v>19.9</v>
      </c>
    </row>
    <row r="428" ht="15.75" customHeight="1">
      <c r="A428" s="25">
        <f>'VIX HISTORIQUE'!A431</f>
        <v>43886.66667</v>
      </c>
      <c r="B428" s="22">
        <f>'VIX HISTORIQUE'!B431</f>
        <v>3128.21</v>
      </c>
      <c r="C428" s="22">
        <f>'VIX HISTORIQUE'!D431</f>
        <v>27.85</v>
      </c>
      <c r="D428" s="22">
        <f>'VIX HISTORIQUE'!G431</f>
        <v>23.86</v>
      </c>
      <c r="E428" s="22">
        <f>'VIX HISTORIQUE'!I431</f>
        <v>21.88</v>
      </c>
      <c r="F428" s="22">
        <f>'VIX HISTORIQUE'!K431</f>
        <v>20.86</v>
      </c>
    </row>
    <row r="429" ht="15.75" customHeight="1">
      <c r="A429" s="25">
        <f>'VIX HISTORIQUE'!A432</f>
        <v>43887.66667</v>
      </c>
      <c r="B429" s="22">
        <f>'VIX HISTORIQUE'!B432</f>
        <v>3116.39</v>
      </c>
      <c r="C429" s="22">
        <f>'VIX HISTORIQUE'!D432</f>
        <v>27.56</v>
      </c>
      <c r="D429" s="22">
        <f>'VIX HISTORIQUE'!G432</f>
        <v>23.7</v>
      </c>
      <c r="E429" s="22">
        <f>'VIX HISTORIQUE'!I432</f>
        <v>21.85</v>
      </c>
      <c r="F429" s="22">
        <f>'VIX HISTORIQUE'!K432</f>
        <v>20.79</v>
      </c>
    </row>
    <row r="430" ht="15.75" customHeight="1">
      <c r="A430" s="25">
        <f>'VIX HISTORIQUE'!A433</f>
        <v>43888.66667</v>
      </c>
      <c r="B430" s="22">
        <f>'VIX HISTORIQUE'!B433</f>
        <v>2978.76</v>
      </c>
      <c r="C430" s="22">
        <f>'VIX HISTORIQUE'!D433</f>
        <v>39.16</v>
      </c>
      <c r="D430" s="22">
        <f>'VIX HISTORIQUE'!G433</f>
        <v>29.92</v>
      </c>
      <c r="E430" s="22">
        <f>'VIX HISTORIQUE'!I433</f>
        <v>25.61</v>
      </c>
      <c r="F430" s="22">
        <f>'VIX HISTORIQUE'!K433</f>
        <v>23.11</v>
      </c>
    </row>
    <row r="431" ht="15.75" customHeight="1">
      <c r="A431" s="25">
        <f>'VIX HISTORIQUE'!A434</f>
        <v>43889.66667</v>
      </c>
      <c r="B431" s="22">
        <f>'VIX HISTORIQUE'!B434</f>
        <v>2954.22</v>
      </c>
      <c r="C431" s="22">
        <f>'VIX HISTORIQUE'!D434</f>
        <v>40.11</v>
      </c>
      <c r="D431" s="22">
        <f>'VIX HISTORIQUE'!G434</f>
        <v>29.85</v>
      </c>
      <c r="E431" s="22">
        <f>'VIX HISTORIQUE'!I434</f>
        <v>25.91</v>
      </c>
      <c r="F431" s="22">
        <f>'VIX HISTORIQUE'!K434</f>
        <v>23.14</v>
      </c>
    </row>
    <row r="432" ht="15.75" customHeight="1">
      <c r="A432" s="25">
        <f>'VIX HISTORIQUE'!A435</f>
        <v>43892.66667</v>
      </c>
      <c r="B432" s="22">
        <f>'VIX HISTORIQUE'!B435</f>
        <v>3090.23</v>
      </c>
      <c r="C432" s="22">
        <f>'VIX HISTORIQUE'!D435</f>
        <v>33.42</v>
      </c>
      <c r="D432" s="22">
        <f>'VIX HISTORIQUE'!G435</f>
        <v>27.7</v>
      </c>
      <c r="E432" s="22">
        <f>'VIX HISTORIQUE'!I435</f>
        <v>24.73</v>
      </c>
      <c r="F432" s="22">
        <f>'VIX HISTORIQUE'!K435</f>
        <v>22.31</v>
      </c>
    </row>
    <row r="433" ht="15.75" customHeight="1">
      <c r="A433" s="25">
        <f>'VIX HISTORIQUE'!A436</f>
        <v>43893.66667</v>
      </c>
      <c r="B433" s="22">
        <f>'VIX HISTORIQUE'!B436</f>
        <v>3003.37</v>
      </c>
      <c r="C433" s="22">
        <f>'VIX HISTORIQUE'!D436</f>
        <v>36.82</v>
      </c>
      <c r="D433" s="22">
        <f>'VIX HISTORIQUE'!G436</f>
        <v>30.17</v>
      </c>
      <c r="E433" s="22">
        <f>'VIX HISTORIQUE'!I436</f>
        <v>26.34</v>
      </c>
      <c r="F433" s="22">
        <f>'VIX HISTORIQUE'!K436</f>
        <v>23.5</v>
      </c>
    </row>
    <row r="434" ht="15.75" customHeight="1">
      <c r="A434" s="25">
        <f>'VIX HISTORIQUE'!A437</f>
        <v>43894.66667</v>
      </c>
      <c r="B434" s="22">
        <f>'VIX HISTORIQUE'!B437</f>
        <v>3130.12</v>
      </c>
      <c r="C434" s="22">
        <f>'VIX HISTORIQUE'!D437</f>
        <v>31.99</v>
      </c>
      <c r="D434" s="22">
        <f>'VIX HISTORIQUE'!G437</f>
        <v>27.51</v>
      </c>
      <c r="E434" s="22">
        <f>'VIX HISTORIQUE'!I437</f>
        <v>24.88</v>
      </c>
      <c r="F434" s="22">
        <f>'VIX HISTORIQUE'!K437</f>
        <v>22.79</v>
      </c>
    </row>
    <row r="435" ht="15.75" customHeight="1">
      <c r="A435" s="25">
        <f>'VIX HISTORIQUE'!A438</f>
        <v>43895.66667</v>
      </c>
      <c r="B435" s="22">
        <f>'VIX HISTORIQUE'!B438</f>
        <v>3023.94</v>
      </c>
      <c r="C435" s="22">
        <f>'VIX HISTORIQUE'!D438</f>
        <v>39.62</v>
      </c>
      <c r="D435" s="22">
        <f>'VIX HISTORIQUE'!G438</f>
        <v>32.57</v>
      </c>
      <c r="E435" s="22">
        <f>'VIX HISTORIQUE'!I438</f>
        <v>28.9</v>
      </c>
      <c r="F435" s="22">
        <f>'VIX HISTORIQUE'!K438</f>
        <v>25.55</v>
      </c>
    </row>
    <row r="436" ht="15.75" customHeight="1">
      <c r="A436" s="25">
        <f>'VIX HISTORIQUE'!A439</f>
        <v>43896.66667</v>
      </c>
      <c r="B436" s="22">
        <f>'VIX HISTORIQUE'!B439</f>
        <v>2972.37</v>
      </c>
      <c r="C436" s="22">
        <f>'VIX HISTORIQUE'!D439</f>
        <v>41.94</v>
      </c>
      <c r="D436" s="22">
        <f>'VIX HISTORIQUE'!G439</f>
        <v>35.46</v>
      </c>
      <c r="E436" s="22">
        <f>'VIX HISTORIQUE'!I439</f>
        <v>31.4</v>
      </c>
      <c r="F436" s="22">
        <f>'VIX HISTORIQUE'!K439</f>
        <v>27.73</v>
      </c>
    </row>
    <row r="437" ht="15.75" customHeight="1">
      <c r="A437" s="25">
        <f>'VIX HISTORIQUE'!A440</f>
        <v>43899.66667</v>
      </c>
      <c r="B437" s="22">
        <f>'VIX HISTORIQUE'!B440</f>
        <v>2746.56</v>
      </c>
      <c r="C437" s="22">
        <f>'VIX HISTORIQUE'!D440</f>
        <v>54.46</v>
      </c>
      <c r="D437" s="22">
        <f>'VIX HISTORIQUE'!G440</f>
        <v>43.05</v>
      </c>
      <c r="E437" s="22">
        <f>'VIX HISTORIQUE'!I440</f>
        <v>36.89</v>
      </c>
      <c r="F437" s="22">
        <f>'VIX HISTORIQUE'!K440</f>
        <v>31.16</v>
      </c>
    </row>
    <row r="438" ht="15.75" customHeight="1">
      <c r="A438" s="25">
        <f>'VIX HISTORIQUE'!A441</f>
        <v>43900.66667</v>
      </c>
      <c r="B438" s="22">
        <f>'VIX HISTORIQUE'!B441</f>
        <v>2882.23</v>
      </c>
      <c r="C438" s="22">
        <f>'VIX HISTORIQUE'!D441</f>
        <v>47.3</v>
      </c>
      <c r="D438" s="22">
        <f>'VIX HISTORIQUE'!G441</f>
        <v>39.44</v>
      </c>
      <c r="E438" s="22">
        <f>'VIX HISTORIQUE'!I441</f>
        <v>34.34</v>
      </c>
      <c r="F438" s="22">
        <f>'VIX HISTORIQUE'!K441</f>
        <v>29.9</v>
      </c>
    </row>
    <row r="439" ht="15.75" customHeight="1">
      <c r="A439" s="25">
        <f>'VIX HISTORIQUE'!A442</f>
        <v>43901.66667</v>
      </c>
      <c r="B439" s="22">
        <f>'VIX HISTORIQUE'!B442</f>
        <v>2741.38</v>
      </c>
      <c r="C439" s="22">
        <f>'VIX HISTORIQUE'!D442</f>
        <v>53.9</v>
      </c>
      <c r="D439" s="22">
        <f>'VIX HISTORIQUE'!G442</f>
        <v>44.37</v>
      </c>
      <c r="E439" s="22">
        <f>'VIX HISTORIQUE'!I442</f>
        <v>38.54</v>
      </c>
      <c r="F439" s="22">
        <f>'VIX HISTORIQUE'!K442</f>
        <v>32.29</v>
      </c>
    </row>
    <row r="440" ht="15.75" customHeight="1">
      <c r="A440" s="25">
        <f>'VIX HISTORIQUE'!A443</f>
        <v>43902.66667</v>
      </c>
      <c r="B440" s="22">
        <f>'VIX HISTORIQUE'!B443</f>
        <v>2480.64</v>
      </c>
      <c r="C440" s="22">
        <f>'VIX HISTORIQUE'!D443</f>
        <v>75.47</v>
      </c>
      <c r="D440" s="22">
        <f>'VIX HISTORIQUE'!G443</f>
        <v>57.24</v>
      </c>
      <c r="E440" s="22">
        <f>'VIX HISTORIQUE'!I443</f>
        <v>47.81</v>
      </c>
      <c r="F440" s="22">
        <f>'VIX HISTORIQUE'!K443</f>
        <v>38.38</v>
      </c>
    </row>
    <row r="441" ht="15.75" customHeight="1">
      <c r="A441" s="25">
        <f>'VIX HISTORIQUE'!A444</f>
        <v>43903.66667</v>
      </c>
      <c r="B441" s="22">
        <f>'VIX HISTORIQUE'!B444</f>
        <v>2711.02</v>
      </c>
      <c r="C441" s="22">
        <f>'VIX HISTORIQUE'!D444</f>
        <v>57.83</v>
      </c>
      <c r="D441" s="22">
        <f>'VIX HISTORIQUE'!G444</f>
        <v>48.31</v>
      </c>
      <c r="E441" s="22">
        <f>'VIX HISTORIQUE'!I444</f>
        <v>41.23</v>
      </c>
      <c r="F441" s="22">
        <f>'VIX HISTORIQUE'!K444</f>
        <v>34.04</v>
      </c>
    </row>
    <row r="442" ht="15.75" customHeight="1">
      <c r="A442" s="25">
        <f>'VIX HISTORIQUE'!A445</f>
        <v>43906.66667</v>
      </c>
      <c r="B442" s="22">
        <f>'VIX HISTORIQUE'!B445</f>
        <v>2386.13</v>
      </c>
      <c r="C442" s="22">
        <f>'VIX HISTORIQUE'!D445</f>
        <v>82.69</v>
      </c>
      <c r="D442" s="22">
        <f>'VIX HISTORIQUE'!G445</f>
        <v>67.7</v>
      </c>
      <c r="E442" s="22">
        <f>'VIX HISTORIQUE'!I445</f>
        <v>55.4</v>
      </c>
      <c r="F442" s="22">
        <f>'VIX HISTORIQUE'!K445</f>
        <v>41.47</v>
      </c>
    </row>
    <row r="443" ht="15.75" customHeight="1">
      <c r="A443" s="25">
        <f>'VIX HISTORIQUE'!A446</f>
        <v>43907.66667</v>
      </c>
      <c r="B443" s="22">
        <f>'VIX HISTORIQUE'!B446</f>
        <v>2529.19</v>
      </c>
      <c r="C443" s="22">
        <f>'VIX HISTORIQUE'!D446</f>
        <v>75.91</v>
      </c>
      <c r="D443" s="22">
        <f>'VIX HISTORIQUE'!G446</f>
        <v>65.27</v>
      </c>
      <c r="E443" s="22">
        <f>'VIX HISTORIQUE'!I446</f>
        <v>54.81</v>
      </c>
      <c r="F443" s="22">
        <f>'VIX HISTORIQUE'!K446</f>
        <v>42.01</v>
      </c>
    </row>
    <row r="444" ht="15.75" customHeight="1">
      <c r="A444" s="25">
        <f>'VIX HISTORIQUE'!A447</f>
        <v>43908.66667</v>
      </c>
      <c r="B444" s="22">
        <f>'VIX HISTORIQUE'!B447</f>
        <v>2398.1</v>
      </c>
      <c r="C444" s="22">
        <f>'VIX HISTORIQUE'!D447</f>
        <v>76.45</v>
      </c>
      <c r="D444" s="22">
        <f>'VIX HISTORIQUE'!G447</f>
        <v>72.98</v>
      </c>
      <c r="E444" s="22">
        <f>'VIX HISTORIQUE'!I447</f>
        <v>61.11</v>
      </c>
      <c r="F444" s="22">
        <f>'VIX HISTORIQUE'!K447</f>
        <v>45.86</v>
      </c>
    </row>
    <row r="445" ht="15.75" customHeight="1">
      <c r="A445" s="25">
        <f>'VIX HISTORIQUE'!A448</f>
        <v>43909.66667</v>
      </c>
      <c r="B445" s="22">
        <f>'VIX HISTORIQUE'!B448</f>
        <v>2409.39</v>
      </c>
      <c r="C445" s="22">
        <f>'VIX HISTORIQUE'!D448</f>
        <v>72</v>
      </c>
      <c r="D445" s="22">
        <f>'VIX HISTORIQUE'!G448</f>
        <v>69.47</v>
      </c>
      <c r="E445" s="22">
        <f>'VIX HISTORIQUE'!I448</f>
        <v>56.06</v>
      </c>
      <c r="F445" s="22">
        <f>'VIX HISTORIQUE'!K448</f>
        <v>43.09</v>
      </c>
    </row>
    <row r="446" ht="15.75" customHeight="1">
      <c r="A446" s="25">
        <f>'VIX HISTORIQUE'!A449</f>
        <v>43910.66667</v>
      </c>
      <c r="B446" s="22">
        <f>'VIX HISTORIQUE'!B449</f>
        <v>2304.92</v>
      </c>
      <c r="C446" s="22">
        <f>'VIX HISTORIQUE'!D449</f>
        <v>66.04</v>
      </c>
      <c r="D446" s="22">
        <f>'VIX HISTORIQUE'!G449</f>
        <v>65.59</v>
      </c>
      <c r="E446" s="22">
        <f>'VIX HISTORIQUE'!I449</f>
        <v>53.12</v>
      </c>
      <c r="F446" s="22">
        <f>'VIX HISTORIQUE'!K449</f>
        <v>40.15</v>
      </c>
    </row>
    <row r="447" ht="15.75" customHeight="1">
      <c r="A447" s="25">
        <f>'VIX HISTORIQUE'!A450</f>
        <v>43913.66667</v>
      </c>
      <c r="B447" s="22">
        <f>'VIX HISTORIQUE'!B450</f>
        <v>2237.4</v>
      </c>
      <c r="C447" s="22">
        <f>'VIX HISTORIQUE'!D450</f>
        <v>61.59</v>
      </c>
      <c r="D447" s="22">
        <f>'VIX HISTORIQUE'!G450</f>
        <v>56.64</v>
      </c>
      <c r="E447" s="22">
        <f>'VIX HISTORIQUE'!I450</f>
        <v>46.59</v>
      </c>
      <c r="F447" s="22">
        <f>'VIX HISTORIQUE'!K450</f>
        <v>36.37</v>
      </c>
    </row>
    <row r="448" ht="15.75" customHeight="1">
      <c r="A448" s="25">
        <f>'VIX HISTORIQUE'!A451</f>
        <v>43914.66667</v>
      </c>
      <c r="B448" s="22">
        <f>'VIX HISTORIQUE'!B451</f>
        <v>2447.33</v>
      </c>
      <c r="C448" s="22">
        <f>'VIX HISTORIQUE'!D451</f>
        <v>61.67</v>
      </c>
      <c r="D448" s="22">
        <f>'VIX HISTORIQUE'!G451</f>
        <v>52.11</v>
      </c>
      <c r="E448" s="22">
        <f>'VIX HISTORIQUE'!I451</f>
        <v>41.59</v>
      </c>
      <c r="F448" s="22">
        <f>'VIX HISTORIQUE'!K451</f>
        <v>32.67</v>
      </c>
    </row>
    <row r="449" ht="15.75" customHeight="1">
      <c r="A449" s="25">
        <f>'VIX HISTORIQUE'!A452</f>
        <v>43915.66667</v>
      </c>
      <c r="B449" s="22">
        <f>'VIX HISTORIQUE'!B452</f>
        <v>2475.56</v>
      </c>
      <c r="C449" s="22">
        <f>'VIX HISTORIQUE'!D452</f>
        <v>63.95</v>
      </c>
      <c r="D449" s="22">
        <f>'VIX HISTORIQUE'!G452</f>
        <v>53.85</v>
      </c>
      <c r="E449" s="22">
        <f>'VIX HISTORIQUE'!I452</f>
        <v>44.31</v>
      </c>
      <c r="F449" s="22">
        <f>'VIX HISTORIQUE'!K452</f>
        <v>34.16</v>
      </c>
    </row>
    <row r="450" ht="15.75" customHeight="1">
      <c r="A450" s="25">
        <f>'VIX HISTORIQUE'!A453</f>
        <v>43916.66667</v>
      </c>
      <c r="B450" s="22">
        <f>'VIX HISTORIQUE'!B453</f>
        <v>2630.07</v>
      </c>
      <c r="C450" s="22">
        <f>'VIX HISTORIQUE'!D453</f>
        <v>61</v>
      </c>
      <c r="D450" s="22">
        <f>'VIX HISTORIQUE'!G453</f>
        <v>49.79</v>
      </c>
      <c r="E450" s="22">
        <f>'VIX HISTORIQUE'!I453</f>
        <v>40.85</v>
      </c>
      <c r="F450" s="22">
        <f>'VIX HISTORIQUE'!K453</f>
        <v>32.71</v>
      </c>
    </row>
    <row r="451" ht="15.75" customHeight="1">
      <c r="A451" s="25">
        <f>'VIX HISTORIQUE'!A454</f>
        <v>43917.66667</v>
      </c>
      <c r="B451" s="22">
        <f>'VIX HISTORIQUE'!B454</f>
        <v>2541.47</v>
      </c>
      <c r="C451" s="22">
        <f>'VIX HISTORIQUE'!D454</f>
        <v>65.54</v>
      </c>
      <c r="D451" s="22">
        <f>'VIX HISTORIQUE'!G454</f>
        <v>55.75</v>
      </c>
      <c r="E451" s="22">
        <f>'VIX HISTORIQUE'!I454</f>
        <v>47.71</v>
      </c>
      <c r="F451" s="22">
        <f>'VIX HISTORIQUE'!K454</f>
        <v>35.21</v>
      </c>
    </row>
    <row r="452" ht="15.75" customHeight="1">
      <c r="A452" s="25">
        <f>'VIX HISTORIQUE'!A455</f>
        <v>43920.66667</v>
      </c>
      <c r="B452" s="22">
        <f>'VIX HISTORIQUE'!B455</f>
        <v>2626.65</v>
      </c>
      <c r="C452" s="22">
        <f>'VIX HISTORIQUE'!D455</f>
        <v>57.08</v>
      </c>
      <c r="D452" s="22">
        <f>'VIX HISTORIQUE'!G455</f>
        <v>51.26</v>
      </c>
      <c r="E452" s="22">
        <f>'VIX HISTORIQUE'!I455</f>
        <v>43.89</v>
      </c>
      <c r="F452" s="22">
        <f>'VIX HISTORIQUE'!K455</f>
        <v>34.25</v>
      </c>
    </row>
    <row r="453" ht="15.75" customHeight="1">
      <c r="A453" s="25">
        <f>'VIX HISTORIQUE'!A456</f>
        <v>43921.66667</v>
      </c>
      <c r="B453" s="22">
        <f>'VIX HISTORIQUE'!B456</f>
        <v>2584.59</v>
      </c>
      <c r="C453" s="22">
        <f>'VIX HISTORIQUE'!D456</f>
        <v>53.54</v>
      </c>
      <c r="D453" s="22">
        <f>'VIX HISTORIQUE'!G456</f>
        <v>48.32</v>
      </c>
      <c r="E453" s="22">
        <f>'VIX HISTORIQUE'!I456</f>
        <v>42.47</v>
      </c>
      <c r="F453" s="22">
        <f>'VIX HISTORIQUE'!K456</f>
        <v>34.12</v>
      </c>
    </row>
    <row r="454" ht="15.75" customHeight="1">
      <c r="A454" s="25">
        <f>'VIX HISTORIQUE'!A457</f>
        <v>43922.66667</v>
      </c>
      <c r="B454" s="22">
        <f>'VIX HISTORIQUE'!B457</f>
        <v>2470.5</v>
      </c>
      <c r="C454" s="22">
        <f>'VIX HISTORIQUE'!D457</f>
        <v>57.06</v>
      </c>
      <c r="D454" s="22">
        <f>'VIX HISTORIQUE'!G457</f>
        <v>51.17</v>
      </c>
      <c r="E454" s="22">
        <f>'VIX HISTORIQUE'!I457</f>
        <v>45.18</v>
      </c>
      <c r="F454" s="22">
        <f>'VIX HISTORIQUE'!K457</f>
        <v>36.47</v>
      </c>
    </row>
    <row r="455" ht="15.75" customHeight="1">
      <c r="A455" s="25">
        <f>'VIX HISTORIQUE'!A458</f>
        <v>43923.66667</v>
      </c>
      <c r="B455" s="22">
        <f>'VIX HISTORIQUE'!B458</f>
        <v>2526.9</v>
      </c>
      <c r="C455" s="22">
        <f>'VIX HISTORIQUE'!D458</f>
        <v>50.91</v>
      </c>
      <c r="D455" s="22">
        <f>'VIX HISTORIQUE'!G458</f>
        <v>47.3</v>
      </c>
      <c r="E455" s="22">
        <f>'VIX HISTORIQUE'!I458</f>
        <v>42.67</v>
      </c>
      <c r="F455" s="22">
        <f>'VIX HISTORIQUE'!K458</f>
        <v>34.79</v>
      </c>
    </row>
    <row r="456" ht="15.75" customHeight="1">
      <c r="A456" s="25">
        <f>'VIX HISTORIQUE'!A459</f>
        <v>43924.66667</v>
      </c>
      <c r="B456" s="22">
        <f>'VIX HISTORIQUE'!B459</f>
        <v>2488.65</v>
      </c>
      <c r="C456" s="22">
        <f>'VIX HISTORIQUE'!D459</f>
        <v>46.8</v>
      </c>
      <c r="D456" s="22">
        <f>'VIX HISTORIQUE'!G459</f>
        <v>44.84</v>
      </c>
      <c r="E456" s="22">
        <f>'VIX HISTORIQUE'!I459</f>
        <v>40.84</v>
      </c>
      <c r="F456" s="22">
        <f>'VIX HISTORIQUE'!K459</f>
        <v>33.82</v>
      </c>
    </row>
    <row r="457" ht="15.75" customHeight="1">
      <c r="A457" s="25">
        <f>'VIX HISTORIQUE'!A460</f>
        <v>43927.66667</v>
      </c>
      <c r="B457" s="22">
        <f>'VIX HISTORIQUE'!B460</f>
        <v>2663.68</v>
      </c>
      <c r="C457" s="22">
        <f>'VIX HISTORIQUE'!D460</f>
        <v>45.24</v>
      </c>
      <c r="D457" s="22">
        <f>'VIX HISTORIQUE'!G460</f>
        <v>43.09</v>
      </c>
      <c r="E457" s="22">
        <f>'VIX HISTORIQUE'!I460</f>
        <v>39.15</v>
      </c>
      <c r="F457" s="22">
        <f>'VIX HISTORIQUE'!K460</f>
        <v>32.6</v>
      </c>
    </row>
    <row r="458" ht="15.75" customHeight="1">
      <c r="A458" s="25">
        <f>'VIX HISTORIQUE'!A461</f>
        <v>43928.66667</v>
      </c>
      <c r="B458" s="22">
        <f>'VIX HISTORIQUE'!B461</f>
        <v>2659.41</v>
      </c>
      <c r="C458" s="22">
        <f>'VIX HISTORIQUE'!D461</f>
        <v>46.7</v>
      </c>
      <c r="D458" s="22">
        <f>'VIX HISTORIQUE'!G461</f>
        <v>43.42</v>
      </c>
      <c r="E458" s="22">
        <f>'VIX HISTORIQUE'!I461</f>
        <v>39.54</v>
      </c>
      <c r="F458" s="22">
        <f>'VIX HISTORIQUE'!K461</f>
        <v>33.68</v>
      </c>
    </row>
    <row r="459" ht="15.75" customHeight="1">
      <c r="A459" s="25">
        <f>'VIX HISTORIQUE'!A462</f>
        <v>43929.66667</v>
      </c>
      <c r="B459" s="22">
        <f>'VIX HISTORIQUE'!B462</f>
        <v>2749.98</v>
      </c>
      <c r="C459" s="22">
        <f>'VIX HISTORIQUE'!D462</f>
        <v>43.35</v>
      </c>
      <c r="D459" s="22">
        <f>'VIX HISTORIQUE'!G462</f>
        <v>41.59</v>
      </c>
      <c r="E459" s="22">
        <f>'VIX HISTORIQUE'!I462</f>
        <v>38.32</v>
      </c>
      <c r="F459" s="22">
        <f>'VIX HISTORIQUE'!K462</f>
        <v>32.95</v>
      </c>
    </row>
    <row r="460" ht="15.75" customHeight="1">
      <c r="A460" s="25">
        <f>'VIX HISTORIQUE'!A463</f>
        <v>43930.66667</v>
      </c>
      <c r="B460" s="22">
        <f>'VIX HISTORIQUE'!B463</f>
        <v>2789.82</v>
      </c>
      <c r="C460" s="22">
        <f>'VIX HISTORIQUE'!D463</f>
        <v>41.67</v>
      </c>
      <c r="D460" s="22">
        <f>'VIX HISTORIQUE'!G463</f>
        <v>40.61</v>
      </c>
      <c r="E460" s="22">
        <f>'VIX HISTORIQUE'!I463</f>
        <v>37.42</v>
      </c>
      <c r="F460" s="22">
        <f>'VIX HISTORIQUE'!K463</f>
        <v>32.43</v>
      </c>
    </row>
    <row r="461" ht="15.75" customHeight="1">
      <c r="A461" s="25">
        <f>'VIX HISTORIQUE'!A464</f>
        <v>43934.66667</v>
      </c>
      <c r="B461" s="22">
        <f>'VIX HISTORIQUE'!B464</f>
        <v>2761.63</v>
      </c>
      <c r="C461" s="22">
        <f>'VIX HISTORIQUE'!D464</f>
        <v>41.17</v>
      </c>
      <c r="D461" s="22">
        <f>'VIX HISTORIQUE'!G464</f>
        <v>39.97</v>
      </c>
      <c r="E461" s="22">
        <f>'VIX HISTORIQUE'!I464</f>
        <v>37</v>
      </c>
      <c r="F461" s="22">
        <f>'VIX HISTORIQUE'!K464</f>
        <v>32.37</v>
      </c>
    </row>
    <row r="462" ht="15.75" customHeight="1">
      <c r="A462" s="25">
        <f>'VIX HISTORIQUE'!A465</f>
        <v>43935.66667</v>
      </c>
      <c r="B462" s="22">
        <f>'VIX HISTORIQUE'!B465</f>
        <v>2846.06</v>
      </c>
      <c r="C462" s="22">
        <f>'VIX HISTORIQUE'!D465</f>
        <v>37.76</v>
      </c>
      <c r="D462" s="22">
        <f>'VIX HISTORIQUE'!G465</f>
        <v>36.46</v>
      </c>
      <c r="E462" s="22">
        <f>'VIX HISTORIQUE'!I465</f>
        <v>34.91</v>
      </c>
      <c r="F462" s="22">
        <f>'VIX HISTORIQUE'!K465</f>
        <v>31.11</v>
      </c>
    </row>
    <row r="463" ht="15.75" customHeight="1">
      <c r="A463" s="25">
        <f>'VIX HISTORIQUE'!A466</f>
        <v>43936.66667</v>
      </c>
      <c r="B463" s="22">
        <f>'VIX HISTORIQUE'!B466</f>
        <v>2783.36</v>
      </c>
      <c r="C463" s="22">
        <f>'VIX HISTORIQUE'!D466</f>
        <v>40.84</v>
      </c>
      <c r="D463" s="22">
        <f>'VIX HISTORIQUE'!G466</f>
        <v>39.28</v>
      </c>
      <c r="E463" s="22">
        <f>'VIX HISTORIQUE'!I466</f>
        <v>36.94</v>
      </c>
      <c r="F463" s="22">
        <f>'VIX HISTORIQUE'!K466</f>
        <v>32.74</v>
      </c>
    </row>
    <row r="464" ht="15.75" customHeight="1">
      <c r="A464" s="25">
        <f>'VIX HISTORIQUE'!A467</f>
        <v>43937.66667</v>
      </c>
      <c r="B464" s="22">
        <f>'VIX HISTORIQUE'!B467</f>
        <v>2799.55</v>
      </c>
      <c r="C464" s="22">
        <f>'VIX HISTORIQUE'!D467</f>
        <v>40.11</v>
      </c>
      <c r="D464" s="22">
        <f>'VIX HISTORIQUE'!G467</f>
        <v>39.21</v>
      </c>
      <c r="E464" s="22">
        <f>'VIX HISTORIQUE'!I467</f>
        <v>37.04</v>
      </c>
      <c r="F464" s="22">
        <f>'VIX HISTORIQUE'!K467</f>
        <v>32.95</v>
      </c>
    </row>
    <row r="465" ht="15.75" customHeight="1">
      <c r="A465" s="25">
        <f>'VIX HISTORIQUE'!A468</f>
        <v>43938.66667</v>
      </c>
      <c r="B465" s="22">
        <f>'VIX HISTORIQUE'!B468</f>
        <v>2874.56</v>
      </c>
      <c r="C465" s="22">
        <f>'VIX HISTORIQUE'!D468</f>
        <v>38.15</v>
      </c>
      <c r="D465" s="22">
        <f>'VIX HISTORIQUE'!G468</f>
        <v>37.28</v>
      </c>
      <c r="E465" s="22">
        <f>'VIX HISTORIQUE'!I468</f>
        <v>35.66</v>
      </c>
      <c r="F465" s="22">
        <f>'VIX HISTORIQUE'!K468</f>
        <v>32.43</v>
      </c>
    </row>
    <row r="466" ht="15.75" customHeight="1">
      <c r="A466" s="25">
        <f>'VIX HISTORIQUE'!A469</f>
        <v>43941.66667</v>
      </c>
      <c r="B466" s="22">
        <f>'VIX HISTORIQUE'!B469</f>
        <v>2823.16</v>
      </c>
      <c r="C466" s="22">
        <f>'VIX HISTORIQUE'!D469</f>
        <v>43.83</v>
      </c>
      <c r="D466" s="22">
        <f>'VIX HISTORIQUE'!G469</f>
        <v>40.97</v>
      </c>
      <c r="E466" s="22">
        <f>'VIX HISTORIQUE'!I469</f>
        <v>38.29</v>
      </c>
      <c r="F466" s="22">
        <f>'VIX HISTORIQUE'!K469</f>
        <v>33.59</v>
      </c>
    </row>
    <row r="467" ht="15.75" customHeight="1">
      <c r="A467" s="25">
        <f>'VIX HISTORIQUE'!A470</f>
        <v>43942.66667</v>
      </c>
      <c r="B467" s="22">
        <f>'VIX HISTORIQUE'!B470</f>
        <v>2736.56</v>
      </c>
      <c r="C467" s="22">
        <f>'VIX HISTORIQUE'!D470</f>
        <v>45.41</v>
      </c>
      <c r="D467" s="22">
        <f>'VIX HISTORIQUE'!G470</f>
        <v>43.28</v>
      </c>
      <c r="E467" s="22">
        <f>'VIX HISTORIQUE'!I470</f>
        <v>40.39</v>
      </c>
      <c r="F467" s="22">
        <f>'VIX HISTORIQUE'!K470</f>
        <v>35.35</v>
      </c>
    </row>
    <row r="468" ht="15.75" customHeight="1">
      <c r="A468" s="25">
        <f>'VIX HISTORIQUE'!A471</f>
        <v>43943.66667</v>
      </c>
      <c r="B468" s="22">
        <f>'VIX HISTORIQUE'!B471</f>
        <v>2799.31</v>
      </c>
      <c r="C468" s="22">
        <f>'VIX HISTORIQUE'!D471</f>
        <v>41.98</v>
      </c>
      <c r="D468" s="22">
        <f>'VIX HISTORIQUE'!G471</f>
        <v>40.92</v>
      </c>
      <c r="E468" s="22">
        <f>'VIX HISTORIQUE'!I471</f>
        <v>38.89</v>
      </c>
      <c r="F468" s="22">
        <f>'VIX HISTORIQUE'!K471</f>
        <v>34.49</v>
      </c>
    </row>
    <row r="469" ht="15.75" customHeight="1">
      <c r="A469" s="25">
        <f>'VIX HISTORIQUE'!A472</f>
        <v>43944.66667</v>
      </c>
      <c r="B469" s="22">
        <f>'VIX HISTORIQUE'!B472</f>
        <v>2797.8</v>
      </c>
      <c r="C469" s="22">
        <f>'VIX HISTORIQUE'!D472</f>
        <v>41.38</v>
      </c>
      <c r="D469" s="22">
        <f>'VIX HISTORIQUE'!G472</f>
        <v>40.86</v>
      </c>
      <c r="E469" s="22">
        <f>'VIX HISTORIQUE'!I472</f>
        <v>39.16</v>
      </c>
      <c r="F469" s="22">
        <f>'VIX HISTORIQUE'!K472</f>
        <v>34.8</v>
      </c>
    </row>
    <row r="470" ht="15.75" customHeight="1">
      <c r="A470" s="25">
        <f>'VIX HISTORIQUE'!A473</f>
        <v>43945.66667</v>
      </c>
      <c r="B470" s="22">
        <f>'VIX HISTORIQUE'!B473</f>
        <v>2836.74</v>
      </c>
      <c r="C470" s="22">
        <f>'VIX HISTORIQUE'!D473</f>
        <v>35.93</v>
      </c>
      <c r="D470" s="22">
        <f>'VIX HISTORIQUE'!G473</f>
        <v>37.81</v>
      </c>
      <c r="E470" s="22">
        <f>'VIX HISTORIQUE'!I473</f>
        <v>37.1</v>
      </c>
      <c r="F470" s="22">
        <f>'VIX HISTORIQUE'!K473</f>
        <v>33.52</v>
      </c>
    </row>
    <row r="471" ht="15.75" customHeight="1">
      <c r="A471" s="25">
        <f>'VIX HISTORIQUE'!A474</f>
        <v>43948.66667</v>
      </c>
      <c r="B471" s="22">
        <f>'VIX HISTORIQUE'!B474</f>
        <v>2878.48</v>
      </c>
      <c r="C471" s="22">
        <f>'VIX HISTORIQUE'!D474</f>
        <v>33.29</v>
      </c>
      <c r="D471" s="22">
        <f>'VIX HISTORIQUE'!G474</f>
        <v>35.33</v>
      </c>
      <c r="E471" s="22">
        <f>'VIX HISTORIQUE'!I474</f>
        <v>35.12</v>
      </c>
      <c r="F471" s="22">
        <f>'VIX HISTORIQUE'!K474</f>
        <v>32.11</v>
      </c>
    </row>
    <row r="472" ht="15.75" customHeight="1">
      <c r="A472" s="25">
        <f>'VIX HISTORIQUE'!A475</f>
        <v>43949.66667</v>
      </c>
      <c r="B472" s="22">
        <f>'VIX HISTORIQUE'!B475</f>
        <v>2863.39</v>
      </c>
      <c r="C472" s="22">
        <f>'VIX HISTORIQUE'!D475</f>
        <v>33.57</v>
      </c>
      <c r="D472" s="22">
        <f>'VIX HISTORIQUE'!G475</f>
        <v>35.37</v>
      </c>
      <c r="E472" s="22">
        <f>'VIX HISTORIQUE'!I475</f>
        <v>34.95</v>
      </c>
      <c r="F472" s="22">
        <f>'VIX HISTORIQUE'!K475</f>
        <v>31.79</v>
      </c>
    </row>
    <row r="473" ht="15.75" customHeight="1">
      <c r="A473" s="25">
        <f>'VIX HISTORIQUE'!A476</f>
        <v>43950.66667</v>
      </c>
      <c r="B473" s="22">
        <f>'VIX HISTORIQUE'!B476</f>
        <v>2939.51</v>
      </c>
      <c r="C473" s="22">
        <f>'VIX HISTORIQUE'!D476</f>
        <v>31.23</v>
      </c>
      <c r="D473" s="22">
        <f>'VIX HISTORIQUE'!G476</f>
        <v>33.33</v>
      </c>
      <c r="E473" s="22">
        <f>'VIX HISTORIQUE'!I476</f>
        <v>33.19</v>
      </c>
      <c r="F473" s="22">
        <f>'VIX HISTORIQUE'!K476</f>
        <v>30.68</v>
      </c>
    </row>
    <row r="474" ht="15.75" customHeight="1">
      <c r="A474" s="25">
        <f>'VIX HISTORIQUE'!A477</f>
        <v>43951.66667</v>
      </c>
      <c r="B474" s="22">
        <f>'VIX HISTORIQUE'!B477</f>
        <v>2912.43</v>
      </c>
      <c r="C474" s="22">
        <f>'VIX HISTORIQUE'!D477</f>
        <v>34.15</v>
      </c>
      <c r="D474" s="22">
        <f>'VIX HISTORIQUE'!G477</f>
        <v>35.05</v>
      </c>
      <c r="E474" s="22">
        <f>'VIX HISTORIQUE'!I477</f>
        <v>34.49</v>
      </c>
      <c r="F474" s="22">
        <f>'VIX HISTORIQUE'!K477</f>
        <v>31.61</v>
      </c>
    </row>
    <row r="475" ht="15.75" customHeight="1">
      <c r="A475" s="25">
        <f>'VIX HISTORIQUE'!A478</f>
        <v>43952.66667</v>
      </c>
      <c r="B475" s="22">
        <f>'VIX HISTORIQUE'!B478</f>
        <v>2830.71</v>
      </c>
      <c r="C475" s="22">
        <f>'VIX HISTORIQUE'!D478</f>
        <v>37.19</v>
      </c>
      <c r="D475" s="22">
        <f>'VIX HISTORIQUE'!G478</f>
        <v>37.97</v>
      </c>
      <c r="E475" s="22">
        <f>'VIX HISTORIQUE'!I478</f>
        <v>36.85</v>
      </c>
      <c r="F475" s="22">
        <f>'VIX HISTORIQUE'!K478</f>
        <v>33.29</v>
      </c>
    </row>
    <row r="476" ht="15.75" customHeight="1">
      <c r="A476" s="25">
        <f>'VIX HISTORIQUE'!A479</f>
        <v>43955.66667</v>
      </c>
      <c r="B476" s="22">
        <f>'VIX HISTORIQUE'!B479</f>
        <v>2842.74</v>
      </c>
      <c r="C476" s="22">
        <f>'VIX HISTORIQUE'!D479</f>
        <v>35.97</v>
      </c>
      <c r="D476" s="22">
        <f>'VIX HISTORIQUE'!G479</f>
        <v>37</v>
      </c>
      <c r="E476" s="22">
        <f>'VIX HISTORIQUE'!I479</f>
        <v>36.43</v>
      </c>
      <c r="F476" s="22">
        <f>'VIX HISTORIQUE'!K479</f>
        <v>33.09</v>
      </c>
    </row>
    <row r="477" ht="15.75" customHeight="1">
      <c r="A477" s="25">
        <f>'VIX HISTORIQUE'!A480</f>
        <v>43956.66667</v>
      </c>
      <c r="B477" s="22">
        <f>'VIX HISTORIQUE'!B480</f>
        <v>2868.44</v>
      </c>
      <c r="C477" s="22">
        <f>'VIX HISTORIQUE'!D480</f>
        <v>33.61</v>
      </c>
      <c r="D477" s="22">
        <f>'VIX HISTORIQUE'!G480</f>
        <v>35.52</v>
      </c>
      <c r="E477" s="22">
        <f>'VIX HISTORIQUE'!I480</f>
        <v>35.29</v>
      </c>
      <c r="F477" s="22">
        <f>'VIX HISTORIQUE'!K480</f>
        <v>32.38</v>
      </c>
    </row>
    <row r="478" ht="15.75" customHeight="1">
      <c r="A478" s="25">
        <f>'VIX HISTORIQUE'!A481</f>
        <v>43957.66667</v>
      </c>
      <c r="B478" s="22">
        <f>'VIX HISTORIQUE'!B481</f>
        <v>2848.42</v>
      </c>
      <c r="C478" s="22">
        <f>'VIX HISTORIQUE'!D481</f>
        <v>34.12</v>
      </c>
      <c r="D478" s="22">
        <f>'VIX HISTORIQUE'!G481</f>
        <v>35.68</v>
      </c>
      <c r="E478" s="22">
        <f>'VIX HISTORIQUE'!I481</f>
        <v>35.58</v>
      </c>
      <c r="F478" s="22">
        <f>'VIX HISTORIQUE'!K481</f>
        <v>32.71</v>
      </c>
    </row>
    <row r="479" ht="15.75" customHeight="1">
      <c r="A479" s="25">
        <f>'VIX HISTORIQUE'!A482</f>
        <v>43958.66667</v>
      </c>
      <c r="B479" s="22">
        <f>'VIX HISTORIQUE'!B482</f>
        <v>2881.19</v>
      </c>
      <c r="C479" s="22">
        <f>'VIX HISTORIQUE'!D482</f>
        <v>31.44</v>
      </c>
      <c r="D479" s="22">
        <f>'VIX HISTORIQUE'!G482</f>
        <v>34.01</v>
      </c>
      <c r="E479" s="22">
        <f>'VIX HISTORIQUE'!I482</f>
        <v>34.45</v>
      </c>
      <c r="F479" s="22">
        <f>'VIX HISTORIQUE'!K482</f>
        <v>31.91</v>
      </c>
    </row>
    <row r="480" ht="15.75" customHeight="1">
      <c r="A480" s="25">
        <f>'VIX HISTORIQUE'!A483</f>
        <v>43959.66667</v>
      </c>
      <c r="B480" s="22">
        <f>'VIX HISTORIQUE'!B483</f>
        <v>2929.8</v>
      </c>
      <c r="C480" s="22">
        <f>'VIX HISTORIQUE'!D483</f>
        <v>27.98</v>
      </c>
      <c r="D480" s="22">
        <f>'VIX HISTORIQUE'!G483</f>
        <v>31.64</v>
      </c>
      <c r="E480" s="22">
        <f>'VIX HISTORIQUE'!I483</f>
        <v>32.73</v>
      </c>
      <c r="F480" s="22">
        <f>'VIX HISTORIQUE'!K483</f>
        <v>30.67</v>
      </c>
    </row>
    <row r="481" ht="15.75" customHeight="1">
      <c r="A481" s="25">
        <f>'VIX HISTORIQUE'!A484</f>
        <v>43962.66667</v>
      </c>
      <c r="B481" s="22">
        <f>'VIX HISTORIQUE'!B484</f>
        <v>2930.32</v>
      </c>
      <c r="C481" s="22">
        <f>'VIX HISTORIQUE'!D484</f>
        <v>27.57</v>
      </c>
      <c r="D481" s="22">
        <f>'VIX HISTORIQUE'!G484</f>
        <v>30.39</v>
      </c>
      <c r="E481" s="22">
        <f>'VIX HISTORIQUE'!I484</f>
        <v>32.13</v>
      </c>
      <c r="F481" s="22">
        <f>'VIX HISTORIQUE'!K484</f>
        <v>30.27</v>
      </c>
    </row>
    <row r="482" ht="15.75" customHeight="1">
      <c r="A482" s="25">
        <f>'VIX HISTORIQUE'!A485</f>
        <v>43963.66667</v>
      </c>
      <c r="B482" s="22">
        <f>'VIX HISTORIQUE'!B485</f>
        <v>2870.12</v>
      </c>
      <c r="C482" s="22">
        <f>'VIX HISTORIQUE'!D485</f>
        <v>33.04</v>
      </c>
      <c r="D482" s="22">
        <f>'VIX HISTORIQUE'!G485</f>
        <v>34.26</v>
      </c>
      <c r="E482" s="22">
        <f>'VIX HISTORIQUE'!I485</f>
        <v>34.77</v>
      </c>
      <c r="F482" s="22">
        <f>'VIX HISTORIQUE'!K485</f>
        <v>31.99</v>
      </c>
    </row>
    <row r="483" ht="15.75" customHeight="1">
      <c r="A483" s="25">
        <f>'VIX HISTORIQUE'!A486</f>
        <v>43964.66667</v>
      </c>
      <c r="B483" s="22">
        <f>'VIX HISTORIQUE'!B486</f>
        <v>2820</v>
      </c>
      <c r="C483" s="22">
        <f>'VIX HISTORIQUE'!D486</f>
        <v>35.28</v>
      </c>
      <c r="D483" s="22">
        <f>'VIX HISTORIQUE'!G486</f>
        <v>36.51</v>
      </c>
      <c r="E483" s="22">
        <f>'VIX HISTORIQUE'!I486</f>
        <v>36.72</v>
      </c>
      <c r="F483" s="22">
        <f>'VIX HISTORIQUE'!K486</f>
        <v>33.3</v>
      </c>
    </row>
    <row r="484" ht="15.75" customHeight="1">
      <c r="A484" s="25">
        <f>'VIX HISTORIQUE'!A487</f>
        <v>43965.66667</v>
      </c>
      <c r="B484" s="22">
        <f>'VIX HISTORIQUE'!B487</f>
        <v>2852.5</v>
      </c>
      <c r="C484" s="22">
        <f>'VIX HISTORIQUE'!D487</f>
        <v>32.61</v>
      </c>
      <c r="D484" s="22">
        <f>'VIX HISTORIQUE'!G487</f>
        <v>34.9</v>
      </c>
      <c r="E484" s="22">
        <f>'VIX HISTORIQUE'!I487</f>
        <v>35.66</v>
      </c>
      <c r="F484" s="22">
        <f>'VIX HISTORIQUE'!K487</f>
        <v>32.73</v>
      </c>
    </row>
    <row r="485" ht="15.75" customHeight="1">
      <c r="A485" s="25">
        <f>'VIX HISTORIQUE'!A488</f>
        <v>43966.66667</v>
      </c>
      <c r="B485" s="22">
        <f>'VIX HISTORIQUE'!B488</f>
        <v>2863.7</v>
      </c>
      <c r="C485" s="22">
        <f>'VIX HISTORIQUE'!D488</f>
        <v>31.89</v>
      </c>
      <c r="D485" s="22">
        <f>'VIX HISTORIQUE'!G488</f>
        <v>34.51</v>
      </c>
      <c r="E485" s="22">
        <f>'VIX HISTORIQUE'!I488</f>
        <v>35.57</v>
      </c>
      <c r="F485" s="22">
        <f>'VIX HISTORIQUE'!K488</f>
        <v>32.83</v>
      </c>
    </row>
    <row r="486" ht="15.75" customHeight="1">
      <c r="A486" s="25">
        <f>'VIX HISTORIQUE'!A489</f>
        <v>43969.66667</v>
      </c>
      <c r="B486" s="22">
        <f>'VIX HISTORIQUE'!B489</f>
        <v>2953.91</v>
      </c>
      <c r="C486" s="22">
        <f>'VIX HISTORIQUE'!D489</f>
        <v>29.3</v>
      </c>
      <c r="D486" s="22">
        <f>'VIX HISTORIQUE'!G489</f>
        <v>31.77</v>
      </c>
      <c r="E486" s="22">
        <f>'VIX HISTORIQUE'!I489</f>
        <v>33.14</v>
      </c>
      <c r="F486" s="22">
        <f>'VIX HISTORIQUE'!K489</f>
        <v>30.89</v>
      </c>
    </row>
    <row r="487" ht="15.75" customHeight="1">
      <c r="A487" s="25">
        <f>'VIX HISTORIQUE'!A490</f>
        <v>43970.66667</v>
      </c>
      <c r="B487" s="22">
        <f>'VIX HISTORIQUE'!B490</f>
        <v>2922.94</v>
      </c>
      <c r="C487" s="22">
        <f>'VIX HISTORIQUE'!D490</f>
        <v>30.53</v>
      </c>
      <c r="D487" s="22">
        <f>'VIX HISTORIQUE'!G490</f>
        <v>32.81</v>
      </c>
      <c r="E487" s="22">
        <f>'VIX HISTORIQUE'!I490</f>
        <v>33.59</v>
      </c>
      <c r="F487" s="22">
        <f>'VIX HISTORIQUE'!K490</f>
        <v>31.16</v>
      </c>
    </row>
    <row r="488" ht="15.75" customHeight="1">
      <c r="A488" s="25">
        <f>'VIX HISTORIQUE'!A491</f>
        <v>43971.66667</v>
      </c>
      <c r="B488" s="22">
        <f>'VIX HISTORIQUE'!B491</f>
        <v>2971.61</v>
      </c>
      <c r="C488" s="22">
        <f>'VIX HISTORIQUE'!D491</f>
        <v>27.99</v>
      </c>
      <c r="D488" s="22">
        <f>'VIX HISTORIQUE'!G491</f>
        <v>31.11</v>
      </c>
      <c r="E488" s="22">
        <f>'VIX HISTORIQUE'!I491</f>
        <v>32.45</v>
      </c>
      <c r="F488" s="22">
        <f>'VIX HISTORIQUE'!K491</f>
        <v>30.31</v>
      </c>
    </row>
    <row r="489" ht="15.75" customHeight="1">
      <c r="A489" s="25">
        <f>'VIX HISTORIQUE'!A492</f>
        <v>43972.66667</v>
      </c>
      <c r="B489" s="22">
        <f>'VIX HISTORIQUE'!B492</f>
        <v>2948.51</v>
      </c>
      <c r="C489" s="22">
        <f>'VIX HISTORIQUE'!D492</f>
        <v>29.53</v>
      </c>
      <c r="D489" s="22">
        <f>'VIX HISTORIQUE'!G492</f>
        <v>32.38</v>
      </c>
      <c r="E489" s="22">
        <f>'VIX HISTORIQUE'!I492</f>
        <v>33.59</v>
      </c>
      <c r="F489" s="22">
        <f>'VIX HISTORIQUE'!K492</f>
        <v>31.13</v>
      </c>
    </row>
    <row r="490" ht="15.75" customHeight="1">
      <c r="A490" s="25">
        <f>'VIX HISTORIQUE'!A493</f>
        <v>43973.66667</v>
      </c>
      <c r="B490" s="22">
        <f>'VIX HISTORIQUE'!B493</f>
        <v>2955.45</v>
      </c>
      <c r="C490" s="22">
        <f>'VIX HISTORIQUE'!D493</f>
        <v>28.16</v>
      </c>
      <c r="D490" s="22">
        <f>'VIX HISTORIQUE'!G493</f>
        <v>31.54</v>
      </c>
      <c r="E490" s="22">
        <f>'VIX HISTORIQUE'!I493</f>
        <v>33.16</v>
      </c>
      <c r="F490" s="22">
        <f>'VIX HISTORIQUE'!K493</f>
        <v>30.68</v>
      </c>
    </row>
    <row r="491" ht="15.75" customHeight="1">
      <c r="A491" s="25">
        <f>'VIX HISTORIQUE'!A494</f>
        <v>43977.66667</v>
      </c>
      <c r="B491" s="22">
        <f>'VIX HISTORIQUE'!B494</f>
        <v>2991.77</v>
      </c>
      <c r="C491" s="22">
        <f>'VIX HISTORIQUE'!D494</f>
        <v>28.01</v>
      </c>
      <c r="D491" s="22">
        <f>'VIX HISTORIQUE'!G494</f>
        <v>30.85</v>
      </c>
      <c r="E491" s="22">
        <f>'VIX HISTORIQUE'!I494</f>
        <v>32.55</v>
      </c>
      <c r="F491" s="22">
        <f>'VIX HISTORIQUE'!K494</f>
        <v>29.94</v>
      </c>
    </row>
    <row r="492" ht="15.75" customHeight="1">
      <c r="A492" s="25">
        <f>'VIX HISTORIQUE'!A495</f>
        <v>43978.66667</v>
      </c>
      <c r="B492" s="22">
        <f>'VIX HISTORIQUE'!B495</f>
        <v>3036.13</v>
      </c>
      <c r="C492" s="22">
        <f>'VIX HISTORIQUE'!D495</f>
        <v>27.62</v>
      </c>
      <c r="D492" s="22">
        <f>'VIX HISTORIQUE'!G495</f>
        <v>30.19</v>
      </c>
      <c r="E492" s="22">
        <f>'VIX HISTORIQUE'!I495</f>
        <v>31.85</v>
      </c>
      <c r="F492" s="22">
        <f>'VIX HISTORIQUE'!K495</f>
        <v>29.23</v>
      </c>
    </row>
    <row r="493" ht="15.75" customHeight="1">
      <c r="A493" s="25">
        <f>'VIX HISTORIQUE'!A496</f>
        <v>43979.66667</v>
      </c>
      <c r="B493" s="22">
        <f>'VIX HISTORIQUE'!B496</f>
        <v>3029.73</v>
      </c>
      <c r="C493" s="22">
        <f>'VIX HISTORIQUE'!D496</f>
        <v>28.59</v>
      </c>
      <c r="D493" s="22">
        <f>'VIX HISTORIQUE'!G496</f>
        <v>31.21</v>
      </c>
      <c r="E493" s="22">
        <f>'VIX HISTORIQUE'!I496</f>
        <v>32.59</v>
      </c>
      <c r="F493" s="22">
        <f>'VIX HISTORIQUE'!K496</f>
        <v>29.66</v>
      </c>
    </row>
    <row r="494" ht="15.75" customHeight="1">
      <c r="A494" s="25">
        <f>'VIX HISTORIQUE'!A497</f>
        <v>43980.66667</v>
      </c>
      <c r="B494" s="22">
        <f>'VIX HISTORIQUE'!B497</f>
        <v>3044.31</v>
      </c>
      <c r="C494" s="22">
        <f>'VIX HISTORIQUE'!D497</f>
        <v>27.51</v>
      </c>
      <c r="D494" s="22">
        <f>'VIX HISTORIQUE'!G497</f>
        <v>30.27</v>
      </c>
      <c r="E494" s="22">
        <f>'VIX HISTORIQUE'!I497</f>
        <v>31.96</v>
      </c>
      <c r="F494" s="22">
        <f>'VIX HISTORIQUE'!K497</f>
        <v>29.29</v>
      </c>
    </row>
    <row r="495" ht="15.75" customHeight="1">
      <c r="A495" s="25">
        <f>'VIX HISTORIQUE'!A498</f>
        <v>43983.66667</v>
      </c>
      <c r="B495" s="22">
        <f>'VIX HISTORIQUE'!B498</f>
        <v>3055.73</v>
      </c>
      <c r="C495" s="22">
        <f>'VIX HISTORIQUE'!D498</f>
        <v>28.23</v>
      </c>
      <c r="D495" s="22">
        <f>'VIX HISTORIQUE'!G498</f>
        <v>30.92</v>
      </c>
      <c r="E495" s="22">
        <f>'VIX HISTORIQUE'!I498</f>
        <v>32.41</v>
      </c>
      <c r="F495" s="22">
        <f>'VIX HISTORIQUE'!K498</f>
        <v>29.43</v>
      </c>
    </row>
    <row r="496" ht="15.75" customHeight="1">
      <c r="A496" s="25">
        <f>'VIX HISTORIQUE'!A499</f>
        <v>43984.66667</v>
      </c>
      <c r="B496" s="22">
        <f>'VIX HISTORIQUE'!B499</f>
        <v>3080.82</v>
      </c>
      <c r="C496" s="22">
        <f>'VIX HISTORIQUE'!D499</f>
        <v>26.84</v>
      </c>
      <c r="D496" s="22">
        <f>'VIX HISTORIQUE'!G499</f>
        <v>29.93</v>
      </c>
      <c r="E496" s="22">
        <f>'VIX HISTORIQUE'!I499</f>
        <v>31.78</v>
      </c>
      <c r="F496" s="22">
        <f>'VIX HISTORIQUE'!K499</f>
        <v>28.99</v>
      </c>
    </row>
    <row r="497" ht="15.75" customHeight="1">
      <c r="A497" s="25">
        <f>'VIX HISTORIQUE'!A500</f>
        <v>43985.66667</v>
      </c>
      <c r="B497" s="22">
        <f>'VIX HISTORIQUE'!B500</f>
        <v>3122.87</v>
      </c>
      <c r="C497" s="22">
        <f>'VIX HISTORIQUE'!D500</f>
        <v>25.66</v>
      </c>
      <c r="D497" s="22">
        <f>'VIX HISTORIQUE'!G500</f>
        <v>28.91</v>
      </c>
      <c r="E497" s="22">
        <f>'VIX HISTORIQUE'!I500</f>
        <v>31.07</v>
      </c>
      <c r="F497" s="22">
        <f>'VIX HISTORIQUE'!K500</f>
        <v>28.56</v>
      </c>
    </row>
    <row r="498" ht="15.75" customHeight="1">
      <c r="A498" s="25">
        <f>'VIX HISTORIQUE'!A501</f>
        <v>43986.66667</v>
      </c>
      <c r="B498" s="22">
        <f>'VIX HISTORIQUE'!B501</f>
        <v>3112.35</v>
      </c>
      <c r="C498" s="22">
        <f>'VIX HISTORIQUE'!D501</f>
        <v>25.81</v>
      </c>
      <c r="D498" s="22">
        <f>'VIX HISTORIQUE'!G501</f>
        <v>28.85</v>
      </c>
      <c r="E498" s="22">
        <f>'VIX HISTORIQUE'!I501</f>
        <v>30.99</v>
      </c>
      <c r="F498" s="22">
        <f>'VIX HISTORIQUE'!K501</f>
        <v>28.61</v>
      </c>
    </row>
    <row r="499" ht="15.75" customHeight="1">
      <c r="A499" s="25">
        <f>'VIX HISTORIQUE'!A502</f>
        <v>43987.66667</v>
      </c>
      <c r="B499" s="22">
        <f>'VIX HISTORIQUE'!B502</f>
        <v>3193.93</v>
      </c>
      <c r="C499" s="22">
        <f>'VIX HISTORIQUE'!D502</f>
        <v>24.52</v>
      </c>
      <c r="D499" s="22">
        <f>'VIX HISTORIQUE'!G502</f>
        <v>27.42</v>
      </c>
      <c r="E499" s="22">
        <f>'VIX HISTORIQUE'!I502</f>
        <v>29.68</v>
      </c>
      <c r="F499" s="22">
        <f>'VIX HISTORIQUE'!K502</f>
        <v>27.47</v>
      </c>
    </row>
    <row r="500" ht="15.75" customHeight="1">
      <c r="A500" s="25">
        <f>'VIX HISTORIQUE'!A503</f>
        <v>43990.66667</v>
      </c>
      <c r="B500" s="22">
        <f>'VIX HISTORIQUE'!B503</f>
        <v>3232.39</v>
      </c>
      <c r="C500" s="22">
        <f>'VIX HISTORIQUE'!D503</f>
        <v>25.81</v>
      </c>
      <c r="D500" s="22">
        <f>'VIX HISTORIQUE'!G503</f>
        <v>28.08</v>
      </c>
      <c r="E500" s="22">
        <f>'VIX HISTORIQUE'!I503</f>
        <v>30.04</v>
      </c>
      <c r="F500" s="22">
        <f>'VIX HISTORIQUE'!K503</f>
        <v>27.6</v>
      </c>
    </row>
    <row r="501" ht="15.75" customHeight="1">
      <c r="A501" s="25">
        <f>'VIX HISTORIQUE'!A504</f>
        <v>43991.66667</v>
      </c>
      <c r="B501" s="22">
        <f>'VIX HISTORIQUE'!B504</f>
        <v>3207.18</v>
      </c>
      <c r="C501" s="22">
        <f>'VIX HISTORIQUE'!D504</f>
        <v>27.57</v>
      </c>
      <c r="D501" s="22">
        <f>'VIX HISTORIQUE'!G504</f>
        <v>29.67</v>
      </c>
      <c r="E501" s="22">
        <f>'VIX HISTORIQUE'!I504</f>
        <v>31.24</v>
      </c>
      <c r="F501" s="22">
        <f>'VIX HISTORIQUE'!K504</f>
        <v>28.7</v>
      </c>
    </row>
    <row r="502" ht="15.75" customHeight="1">
      <c r="A502" s="25">
        <f>'VIX HISTORIQUE'!A505</f>
        <v>43992.66667</v>
      </c>
      <c r="B502" s="22">
        <f>'VIX HISTORIQUE'!B505</f>
        <v>3190.14</v>
      </c>
      <c r="C502" s="22">
        <f>'VIX HISTORIQUE'!D505</f>
        <v>27.57</v>
      </c>
      <c r="D502" s="22">
        <f>'VIX HISTORIQUE'!G505</f>
        <v>29.57</v>
      </c>
      <c r="E502" s="22">
        <f>'VIX HISTORIQUE'!I505</f>
        <v>31.23</v>
      </c>
      <c r="F502" s="22">
        <f>'VIX HISTORIQUE'!K505</f>
        <v>28.63</v>
      </c>
    </row>
    <row r="503" ht="15.75" customHeight="1">
      <c r="A503" s="25">
        <f>'VIX HISTORIQUE'!A506</f>
        <v>43993.66667</v>
      </c>
      <c r="B503" s="22">
        <f>'VIX HISTORIQUE'!B506</f>
        <v>3002.1</v>
      </c>
      <c r="C503" s="22">
        <f>'VIX HISTORIQUE'!D506</f>
        <v>40.79</v>
      </c>
      <c r="D503" s="22">
        <f>'VIX HISTORIQUE'!G506</f>
        <v>40.43</v>
      </c>
      <c r="E503" s="22">
        <f>'VIX HISTORIQUE'!I506</f>
        <v>39.68</v>
      </c>
      <c r="F503" s="22">
        <f>'VIX HISTORIQUE'!K506</f>
        <v>33.18</v>
      </c>
    </row>
    <row r="504" ht="15.75" customHeight="1">
      <c r="A504" s="25">
        <f>'VIX HISTORIQUE'!A507</f>
        <v>43994.66667</v>
      </c>
      <c r="B504" s="22">
        <f>'VIX HISTORIQUE'!B507</f>
        <v>3041.31</v>
      </c>
      <c r="C504" s="22">
        <f>'VIX HISTORIQUE'!D507</f>
        <v>36.09</v>
      </c>
      <c r="D504" s="22">
        <f>'VIX HISTORIQUE'!G507</f>
        <v>38.05</v>
      </c>
      <c r="E504" s="22">
        <f>'VIX HISTORIQUE'!I507</f>
        <v>37.79</v>
      </c>
      <c r="F504" s="22">
        <f>'VIX HISTORIQUE'!K507</f>
        <v>32.34</v>
      </c>
    </row>
    <row r="505" ht="15.75" customHeight="1">
      <c r="A505" s="25">
        <f>'VIX HISTORIQUE'!A508</f>
        <v>43997.66667</v>
      </c>
      <c r="B505" s="22">
        <f>'VIX HISTORIQUE'!B508</f>
        <v>3066.59</v>
      </c>
      <c r="C505" s="22">
        <f>'VIX HISTORIQUE'!D508</f>
        <v>34.4</v>
      </c>
      <c r="D505" s="22">
        <f>'VIX HISTORIQUE'!G508</f>
        <v>36.43</v>
      </c>
      <c r="E505" s="22">
        <f>'VIX HISTORIQUE'!I508</f>
        <v>36.66</v>
      </c>
      <c r="F505" s="22">
        <f>'VIX HISTORIQUE'!K508</f>
        <v>31.55</v>
      </c>
    </row>
    <row r="506" ht="15.75" customHeight="1">
      <c r="A506" s="25">
        <f>'VIX HISTORIQUE'!A509</f>
        <v>43998.66667</v>
      </c>
      <c r="B506" s="22">
        <f>'VIX HISTORIQUE'!B509</f>
        <v>3124.74</v>
      </c>
      <c r="C506" s="22">
        <f>'VIX HISTORIQUE'!D509</f>
        <v>33.67</v>
      </c>
      <c r="D506" s="22">
        <f>'VIX HISTORIQUE'!G509</f>
        <v>35.8</v>
      </c>
      <c r="E506" s="22">
        <f>'VIX HISTORIQUE'!I509</f>
        <v>36.26</v>
      </c>
      <c r="F506" s="22">
        <f>'VIX HISTORIQUE'!K509</f>
        <v>31.4</v>
      </c>
    </row>
    <row r="507" ht="15.75" customHeight="1">
      <c r="A507" s="25">
        <f>'VIX HISTORIQUE'!A510</f>
        <v>43999.66667</v>
      </c>
      <c r="B507" s="22">
        <f>'VIX HISTORIQUE'!B510</f>
        <v>3113.49</v>
      </c>
      <c r="C507" s="22">
        <f>'VIX HISTORIQUE'!D510</f>
        <v>33.47</v>
      </c>
      <c r="D507" s="22">
        <f>'VIX HISTORIQUE'!G510</f>
        <v>35.72</v>
      </c>
      <c r="E507" s="22">
        <f>'VIX HISTORIQUE'!I510</f>
        <v>36.59</v>
      </c>
      <c r="F507" s="22">
        <f>'VIX HISTORIQUE'!K510</f>
        <v>31.79</v>
      </c>
    </row>
    <row r="508" ht="15.75" customHeight="1">
      <c r="A508" s="25">
        <f>'VIX HISTORIQUE'!A511</f>
        <v>44000.66667</v>
      </c>
      <c r="B508" s="22">
        <f>'VIX HISTORIQUE'!B511</f>
        <v>3115.34</v>
      </c>
      <c r="C508" s="22">
        <f>'VIX HISTORIQUE'!D511</f>
        <v>32.94</v>
      </c>
      <c r="D508" s="22">
        <f>'VIX HISTORIQUE'!G511</f>
        <v>35.14</v>
      </c>
      <c r="E508" s="22">
        <f>'VIX HISTORIQUE'!I511</f>
        <v>36.11</v>
      </c>
      <c r="F508" s="22">
        <f>'VIX HISTORIQUE'!K511</f>
        <v>31.97</v>
      </c>
    </row>
    <row r="509" ht="15.75" customHeight="1">
      <c r="A509" s="25">
        <f>'VIX HISTORIQUE'!A512</f>
        <v>44001.66667</v>
      </c>
      <c r="B509" s="22">
        <f>'VIX HISTORIQUE'!B512</f>
        <v>3097.74</v>
      </c>
      <c r="C509" s="22">
        <f>'VIX HISTORIQUE'!D512</f>
        <v>35.12</v>
      </c>
      <c r="D509" s="22">
        <f>'VIX HISTORIQUE'!G512</f>
        <v>36.68</v>
      </c>
      <c r="E509" s="22">
        <f>'VIX HISTORIQUE'!I512</f>
        <v>37.74</v>
      </c>
      <c r="F509" s="22">
        <f>'VIX HISTORIQUE'!K512</f>
        <v>32.92</v>
      </c>
    </row>
    <row r="510" ht="15.75" customHeight="1">
      <c r="A510" s="25">
        <f>'VIX HISTORIQUE'!A513</f>
        <v>44004.66667</v>
      </c>
      <c r="B510" s="22">
        <f>'VIX HISTORIQUE'!B513</f>
        <v>3117.86</v>
      </c>
      <c r="C510" s="22">
        <f>'VIX HISTORIQUE'!D513</f>
        <v>31.77</v>
      </c>
      <c r="D510" s="22">
        <f>'VIX HISTORIQUE'!G513</f>
        <v>33.75</v>
      </c>
      <c r="E510" s="22">
        <f>'VIX HISTORIQUE'!I513</f>
        <v>35</v>
      </c>
      <c r="F510" s="22">
        <f>'VIX HISTORIQUE'!K513</f>
        <v>31.31</v>
      </c>
    </row>
    <row r="511" ht="15.75" customHeight="1">
      <c r="A511" s="25">
        <f>'VIX HISTORIQUE'!A514</f>
        <v>44005.66667</v>
      </c>
      <c r="B511" s="22">
        <f>'VIX HISTORIQUE'!B514</f>
        <v>3131.29</v>
      </c>
      <c r="C511" s="22">
        <f>'VIX HISTORIQUE'!D514</f>
        <v>31.37</v>
      </c>
      <c r="D511" s="22">
        <f>'VIX HISTORIQUE'!G514</f>
        <v>33.06</v>
      </c>
      <c r="E511" s="22">
        <f>'VIX HISTORIQUE'!I514</f>
        <v>34.17</v>
      </c>
      <c r="F511" s="22">
        <f>'VIX HISTORIQUE'!K514</f>
        <v>30.94</v>
      </c>
    </row>
    <row r="512" ht="15.75" customHeight="1">
      <c r="A512" s="25">
        <f>'VIX HISTORIQUE'!A515</f>
        <v>44006.66667</v>
      </c>
      <c r="B512" s="22">
        <f>'VIX HISTORIQUE'!B515</f>
        <v>3050.33</v>
      </c>
      <c r="C512" s="22">
        <f>'VIX HISTORIQUE'!D515</f>
        <v>33.84</v>
      </c>
      <c r="D512" s="22">
        <f>'VIX HISTORIQUE'!G515</f>
        <v>35.39</v>
      </c>
      <c r="E512" s="22">
        <f>'VIX HISTORIQUE'!I515</f>
        <v>35.57</v>
      </c>
      <c r="F512" s="22">
        <f>'VIX HISTORIQUE'!K515</f>
        <v>31.99</v>
      </c>
    </row>
    <row r="513" ht="15.75" customHeight="1">
      <c r="A513" s="25">
        <f>'VIX HISTORIQUE'!A516</f>
        <v>44007.66667</v>
      </c>
      <c r="B513" s="22">
        <f>'VIX HISTORIQUE'!B516</f>
        <v>3083.76</v>
      </c>
      <c r="C513" s="22">
        <f>'VIX HISTORIQUE'!D516</f>
        <v>32.22</v>
      </c>
      <c r="D513" s="22">
        <f>'VIX HISTORIQUE'!G516</f>
        <v>34.09</v>
      </c>
      <c r="E513" s="22">
        <f>'VIX HISTORIQUE'!I516</f>
        <v>34.84</v>
      </c>
      <c r="F513" s="22">
        <f>'VIX HISTORIQUE'!K516</f>
        <v>31.41</v>
      </c>
    </row>
    <row r="514" ht="15.75" customHeight="1">
      <c r="A514" s="25">
        <f>'VIX HISTORIQUE'!A517</f>
        <v>44008.66667</v>
      </c>
      <c r="B514" s="22">
        <f>'VIX HISTORIQUE'!B517</f>
        <v>3009.05</v>
      </c>
      <c r="C514" s="22">
        <f>'VIX HISTORIQUE'!D517</f>
        <v>34.73</v>
      </c>
      <c r="D514" s="22">
        <f>'VIX HISTORIQUE'!G517</f>
        <v>35.8</v>
      </c>
      <c r="E514" s="22">
        <f>'VIX HISTORIQUE'!I517</f>
        <v>36.23</v>
      </c>
      <c r="F514" s="22">
        <f>'VIX HISTORIQUE'!K517</f>
        <v>32.34</v>
      </c>
    </row>
    <row r="515" ht="15.75" customHeight="1">
      <c r="A515" s="25">
        <f>'VIX HISTORIQUE'!A518</f>
        <v>44011.66667</v>
      </c>
      <c r="B515" s="22">
        <f>'VIX HISTORIQUE'!B518</f>
        <v>3053.24</v>
      </c>
      <c r="C515" s="22">
        <f>'VIX HISTORIQUE'!D518</f>
        <v>31.78</v>
      </c>
      <c r="D515" s="22">
        <f>'VIX HISTORIQUE'!G518</f>
        <v>33.91</v>
      </c>
      <c r="E515" s="22">
        <f>'VIX HISTORIQUE'!I518</f>
        <v>34.48</v>
      </c>
      <c r="F515" s="22">
        <f>'VIX HISTORIQUE'!K518</f>
        <v>31.18</v>
      </c>
    </row>
    <row r="516" ht="15.75" customHeight="1">
      <c r="A516" s="25">
        <f>'VIX HISTORIQUE'!A519</f>
        <v>44012.66667</v>
      </c>
      <c r="B516" s="22">
        <f>'VIX HISTORIQUE'!B519</f>
        <v>3100.29</v>
      </c>
      <c r="C516" s="22">
        <f>'VIX HISTORIQUE'!D519</f>
        <v>30.43</v>
      </c>
      <c r="D516" s="22">
        <f>'VIX HISTORIQUE'!G519</f>
        <v>32.52</v>
      </c>
      <c r="E516" s="22">
        <f>'VIX HISTORIQUE'!I519</f>
        <v>33.13</v>
      </c>
      <c r="F516" s="22">
        <f>'VIX HISTORIQUE'!K519</f>
        <v>30.27</v>
      </c>
    </row>
    <row r="517" ht="15.75" customHeight="1">
      <c r="A517" s="25">
        <f>'VIX HISTORIQUE'!A520</f>
        <v>44013.66667</v>
      </c>
      <c r="B517" s="22">
        <f>'VIX HISTORIQUE'!B520</f>
        <v>3115.86</v>
      </c>
      <c r="C517" s="22">
        <f>'VIX HISTORIQUE'!D520</f>
        <v>28.62</v>
      </c>
      <c r="D517" s="22">
        <f>'VIX HISTORIQUE'!G520</f>
        <v>31.68</v>
      </c>
      <c r="E517" s="22">
        <f>'VIX HISTORIQUE'!I520</f>
        <v>32.56</v>
      </c>
      <c r="F517" s="22">
        <f>'VIX HISTORIQUE'!K520</f>
        <v>29.88</v>
      </c>
    </row>
    <row r="518" ht="15.75" customHeight="1">
      <c r="A518" s="25">
        <f>'VIX HISTORIQUE'!A521</f>
        <v>44014.66667</v>
      </c>
      <c r="B518" s="22">
        <f>'VIX HISTORIQUE'!B521</f>
        <v>3130.01</v>
      </c>
      <c r="C518" s="22">
        <f>'VIX HISTORIQUE'!D521</f>
        <v>27.68</v>
      </c>
      <c r="D518" s="22">
        <f>'VIX HISTORIQUE'!G521</f>
        <v>30.87</v>
      </c>
      <c r="E518" s="22">
        <f>'VIX HISTORIQUE'!I521</f>
        <v>31.82</v>
      </c>
      <c r="F518" s="22">
        <f>'VIX HISTORIQUE'!K521</f>
        <v>29.29</v>
      </c>
    </row>
    <row r="519" ht="15.75" customHeight="1">
      <c r="A519" s="25">
        <f>'VIX HISTORIQUE'!A522</f>
        <v>44018.66667</v>
      </c>
      <c r="B519" s="22">
        <f>'VIX HISTORIQUE'!B522</f>
        <v>3179.72</v>
      </c>
      <c r="C519" s="22">
        <f>'VIX HISTORIQUE'!D522</f>
        <v>27.94</v>
      </c>
      <c r="D519" s="22">
        <f>'VIX HISTORIQUE'!G522</f>
        <v>30.98</v>
      </c>
      <c r="E519" s="22">
        <f>'VIX HISTORIQUE'!I522</f>
        <v>31.66</v>
      </c>
      <c r="F519" s="22">
        <f>'VIX HISTORIQUE'!K522</f>
        <v>29.05</v>
      </c>
    </row>
    <row r="520" ht="15.75" customHeight="1">
      <c r="A520" s="25">
        <f>'VIX HISTORIQUE'!A523</f>
        <v>44019.66667</v>
      </c>
      <c r="B520" s="22">
        <f>'VIX HISTORIQUE'!B523</f>
        <v>3145.32</v>
      </c>
      <c r="C520" s="22">
        <f>'VIX HISTORIQUE'!D523</f>
        <v>29.43</v>
      </c>
      <c r="D520" s="22">
        <f>'VIX HISTORIQUE'!G523</f>
        <v>32.07</v>
      </c>
      <c r="E520" s="22">
        <f>'VIX HISTORIQUE'!I523</f>
        <v>32.49</v>
      </c>
      <c r="F520" s="22">
        <f>'VIX HISTORIQUE'!K523</f>
        <v>29.8</v>
      </c>
    </row>
    <row r="521" ht="15.75" customHeight="1">
      <c r="A521" s="25">
        <f>'VIX HISTORIQUE'!A524</f>
        <v>44020.66667</v>
      </c>
      <c r="B521" s="22">
        <f>'VIX HISTORIQUE'!B524</f>
        <v>3169.94</v>
      </c>
      <c r="C521" s="22">
        <f>'VIX HISTORIQUE'!D524</f>
        <v>28.08</v>
      </c>
      <c r="D521" s="22">
        <f>'VIX HISTORIQUE'!G524</f>
        <v>31.19</v>
      </c>
      <c r="E521" s="22">
        <f>'VIX HISTORIQUE'!I524</f>
        <v>31.83</v>
      </c>
      <c r="F521" s="22">
        <f>'VIX HISTORIQUE'!K524</f>
        <v>29.36</v>
      </c>
    </row>
    <row r="522" ht="15.75" customHeight="1">
      <c r="A522" s="25">
        <f>'VIX HISTORIQUE'!A525</f>
        <v>44021.66667</v>
      </c>
      <c r="B522" s="22">
        <f>'VIX HISTORIQUE'!B525</f>
        <v>3152.05</v>
      </c>
      <c r="C522" s="22">
        <f>'VIX HISTORIQUE'!D525</f>
        <v>29.26</v>
      </c>
      <c r="D522" s="22">
        <f>'VIX HISTORIQUE'!G525</f>
        <v>32.06</v>
      </c>
      <c r="E522" s="22">
        <f>'VIX HISTORIQUE'!I525</f>
        <v>32.37</v>
      </c>
      <c r="F522" s="22">
        <f>'VIX HISTORIQUE'!K525</f>
        <v>29.75</v>
      </c>
    </row>
    <row r="523" ht="15.75" customHeight="1">
      <c r="A523" s="25">
        <f>'VIX HISTORIQUE'!A526</f>
        <v>44022.66667</v>
      </c>
      <c r="B523" s="22">
        <f>'VIX HISTORIQUE'!B526</f>
        <v>3185.04</v>
      </c>
      <c r="C523" s="22">
        <f>'VIX HISTORIQUE'!D526</f>
        <v>27.29</v>
      </c>
      <c r="D523" s="22">
        <f>'VIX HISTORIQUE'!G526</f>
        <v>31.02</v>
      </c>
      <c r="E523" s="22">
        <f>'VIX HISTORIQUE'!I526</f>
        <v>31.72</v>
      </c>
      <c r="F523" s="22">
        <f>'VIX HISTORIQUE'!K526</f>
        <v>29.23</v>
      </c>
    </row>
    <row r="524" ht="15.75" customHeight="1">
      <c r="A524" s="25">
        <f>'VIX HISTORIQUE'!A527</f>
        <v>44025.66667</v>
      </c>
      <c r="B524" s="22">
        <f>'VIX HISTORIQUE'!B527</f>
        <v>3155.22</v>
      </c>
      <c r="C524" s="22">
        <f>'VIX HISTORIQUE'!D527</f>
        <v>32.19</v>
      </c>
      <c r="D524" s="22">
        <f>'VIX HISTORIQUE'!G527</f>
        <v>34.54</v>
      </c>
      <c r="E524" s="22">
        <f>'VIX HISTORIQUE'!I527</f>
        <v>35.02</v>
      </c>
      <c r="F524" s="22">
        <f>'VIX HISTORIQUE'!K527</f>
        <v>31.51</v>
      </c>
    </row>
    <row r="525" ht="15.75" customHeight="1">
      <c r="A525" s="25">
        <f>'VIX HISTORIQUE'!A528</f>
        <v>44026.66667</v>
      </c>
      <c r="B525" s="22">
        <f>'VIX HISTORIQUE'!B528</f>
        <v>3197.52</v>
      </c>
      <c r="C525" s="22">
        <f>'VIX HISTORIQUE'!D528</f>
        <v>29.52</v>
      </c>
      <c r="D525" s="22">
        <f>'VIX HISTORIQUE'!G528</f>
        <v>32.56</v>
      </c>
      <c r="E525" s="22">
        <f>'VIX HISTORIQUE'!I528</f>
        <v>33.28</v>
      </c>
      <c r="F525" s="22">
        <f>'VIX HISTORIQUE'!K528</f>
        <v>31.85</v>
      </c>
    </row>
    <row r="526" ht="15.75" customHeight="1">
      <c r="A526" s="25">
        <f>'VIX HISTORIQUE'!A529</f>
        <v>44027.66667</v>
      </c>
      <c r="B526" s="22">
        <f>'VIX HISTORIQUE'!B529</f>
        <v>3226.56</v>
      </c>
      <c r="C526" s="22">
        <f>'VIX HISTORIQUE'!D529</f>
        <v>27.76</v>
      </c>
      <c r="D526" s="22">
        <f>'VIX HISTORIQUE'!G529</f>
        <v>31.56</v>
      </c>
      <c r="E526" s="22">
        <f>'VIX HISTORIQUE'!I529</f>
        <v>32.74</v>
      </c>
      <c r="F526" s="22">
        <f>'VIX HISTORIQUE'!K529</f>
        <v>31.76</v>
      </c>
    </row>
    <row r="527" ht="15.75" customHeight="1">
      <c r="A527" s="25">
        <f>'VIX HISTORIQUE'!A530</f>
        <v>44028.66667</v>
      </c>
      <c r="B527" s="22">
        <f>'VIX HISTORIQUE'!B530</f>
        <v>3215.57</v>
      </c>
      <c r="C527" s="22">
        <f>'VIX HISTORIQUE'!D530</f>
        <v>28</v>
      </c>
      <c r="D527" s="22">
        <f>'VIX HISTORIQUE'!G530</f>
        <v>31.55</v>
      </c>
      <c r="E527" s="22">
        <f>'VIX HISTORIQUE'!I530</f>
        <v>32.75</v>
      </c>
      <c r="F527" s="22">
        <f>'VIX HISTORIQUE'!K530</f>
        <v>31.06</v>
      </c>
    </row>
    <row r="528" ht="15.75" customHeight="1">
      <c r="A528" s="25">
        <f>'VIX HISTORIQUE'!A531</f>
        <v>44029.66667</v>
      </c>
      <c r="B528" s="22">
        <f>'VIX HISTORIQUE'!B531</f>
        <v>3224.73</v>
      </c>
      <c r="C528" s="22">
        <f>'VIX HISTORIQUE'!D531</f>
        <v>25.68</v>
      </c>
      <c r="D528" s="22">
        <f>'VIX HISTORIQUE'!G531</f>
        <v>30.37</v>
      </c>
      <c r="E528" s="22">
        <f>'VIX HISTORIQUE'!I531</f>
        <v>31.73</v>
      </c>
      <c r="F528" s="22">
        <f>'VIX HISTORIQUE'!K531</f>
        <v>31</v>
      </c>
    </row>
    <row r="529" ht="15.75" customHeight="1">
      <c r="A529" s="25">
        <f>'VIX HISTORIQUE'!A532</f>
        <v>44032.66667</v>
      </c>
      <c r="B529" s="22">
        <f>'VIX HISTORIQUE'!B532</f>
        <v>3251.84</v>
      </c>
      <c r="C529" s="22">
        <f>'VIX HISTORIQUE'!D532</f>
        <v>24.46</v>
      </c>
      <c r="D529" s="22">
        <f>'VIX HISTORIQUE'!G532</f>
        <v>29.1</v>
      </c>
      <c r="E529" s="22">
        <f>'VIX HISTORIQUE'!I532</f>
        <v>30.43</v>
      </c>
      <c r="F529" s="22">
        <f>'VIX HISTORIQUE'!K532</f>
        <v>30.11</v>
      </c>
    </row>
    <row r="530" ht="15.75" customHeight="1">
      <c r="A530" s="25">
        <f>'VIX HISTORIQUE'!A533</f>
        <v>44033.66667</v>
      </c>
      <c r="B530" s="22">
        <f>'VIX HISTORIQUE'!B533</f>
        <v>3257.3</v>
      </c>
      <c r="C530" s="22">
        <f>'VIX HISTORIQUE'!D533</f>
        <v>24.84</v>
      </c>
      <c r="D530" s="22">
        <f>'VIX HISTORIQUE'!G533</f>
        <v>29.47</v>
      </c>
      <c r="E530" s="22">
        <f>'VIX HISTORIQUE'!I533</f>
        <v>30.7</v>
      </c>
      <c r="F530" s="22">
        <f>'VIX HISTORIQUE'!K533</f>
        <v>30.34</v>
      </c>
    </row>
    <row r="531" ht="15.75" customHeight="1">
      <c r="A531" s="25">
        <f>'VIX HISTORIQUE'!A534</f>
        <v>44034.66667</v>
      </c>
      <c r="B531" s="22">
        <f>'VIX HISTORIQUE'!B534</f>
        <v>3276.02</v>
      </c>
      <c r="C531" s="22">
        <f>'VIX HISTORIQUE'!D534</f>
        <v>24.32</v>
      </c>
      <c r="D531" s="22">
        <f>'VIX HISTORIQUE'!G534</f>
        <v>29.05</v>
      </c>
      <c r="E531" s="22">
        <f>'VIX HISTORIQUE'!I534</f>
        <v>30.43</v>
      </c>
      <c r="F531" s="22">
        <f>'VIX HISTORIQUE'!K534</f>
        <v>30.05</v>
      </c>
    </row>
    <row r="532" ht="15.75" customHeight="1">
      <c r="A532" s="25">
        <f>'VIX HISTORIQUE'!A535</f>
        <v>44035.66667</v>
      </c>
      <c r="B532" s="22">
        <f>'VIX HISTORIQUE'!B535</f>
        <v>3235.66</v>
      </c>
      <c r="C532" s="22">
        <f>'VIX HISTORIQUE'!D535</f>
        <v>26.08</v>
      </c>
      <c r="D532" s="22">
        <f>'VIX HISTORIQUE'!G535</f>
        <v>30.25</v>
      </c>
      <c r="E532" s="22">
        <f>'VIX HISTORIQUE'!I535</f>
        <v>31.94</v>
      </c>
      <c r="F532" s="22">
        <f>'VIX HISTORIQUE'!K535</f>
        <v>30.72</v>
      </c>
    </row>
    <row r="533" ht="15.75" customHeight="1">
      <c r="A533" s="25">
        <f>'VIX HISTORIQUE'!A536</f>
        <v>44036.66667</v>
      </c>
      <c r="B533" s="22">
        <f>'VIX HISTORIQUE'!B536</f>
        <v>3215.63</v>
      </c>
      <c r="C533" s="22">
        <f>'VIX HISTORIQUE'!D536</f>
        <v>25.84</v>
      </c>
      <c r="D533" s="22">
        <f>'VIX HISTORIQUE'!G536</f>
        <v>30.56</v>
      </c>
      <c r="E533" s="22">
        <f>'VIX HISTORIQUE'!I536</f>
        <v>31.65</v>
      </c>
      <c r="F533" s="22">
        <f>'VIX HISTORIQUE'!K536</f>
        <v>30.52</v>
      </c>
    </row>
    <row r="534" ht="15.75" customHeight="1">
      <c r="A534" s="25">
        <f>'VIX HISTORIQUE'!A537</f>
        <v>44039.66667</v>
      </c>
      <c r="B534" s="22">
        <f>'VIX HISTORIQUE'!B537</f>
        <v>3239.41</v>
      </c>
      <c r="C534" s="22">
        <f>'VIX HISTORIQUE'!D537</f>
        <v>24.74</v>
      </c>
      <c r="D534" s="22">
        <f>'VIX HISTORIQUE'!G537</f>
        <v>30</v>
      </c>
      <c r="E534" s="22">
        <f>'VIX HISTORIQUE'!I537</f>
        <v>31.33</v>
      </c>
      <c r="F534" s="22">
        <f>'VIX HISTORIQUE'!K537</f>
        <v>30.25</v>
      </c>
    </row>
    <row r="535" ht="15.75" customHeight="1">
      <c r="A535" s="25">
        <f>'VIX HISTORIQUE'!A538</f>
        <v>44040.66667</v>
      </c>
      <c r="B535" s="22">
        <f>'VIX HISTORIQUE'!B538</f>
        <v>3218.44</v>
      </c>
      <c r="C535" s="22">
        <f>'VIX HISTORIQUE'!D538</f>
        <v>25.44</v>
      </c>
      <c r="D535" s="22">
        <f>'VIX HISTORIQUE'!G538</f>
        <v>30.1</v>
      </c>
      <c r="E535" s="22">
        <f>'VIX HISTORIQUE'!I538</f>
        <v>31.47</v>
      </c>
      <c r="F535" s="22">
        <f>'VIX HISTORIQUE'!K538</f>
        <v>30.93</v>
      </c>
    </row>
    <row r="536" ht="15.75" customHeight="1">
      <c r="A536" s="25">
        <f>'VIX HISTORIQUE'!A539</f>
        <v>44041.66667</v>
      </c>
      <c r="B536" s="22">
        <f>'VIX HISTORIQUE'!B539</f>
        <v>3258.44</v>
      </c>
      <c r="C536" s="22">
        <f>'VIX HISTORIQUE'!D539</f>
        <v>24.1</v>
      </c>
      <c r="D536" s="22">
        <f>'VIX HISTORIQUE'!G539</f>
        <v>29.29</v>
      </c>
      <c r="E536" s="22">
        <f>'VIX HISTORIQUE'!I539</f>
        <v>30.97</v>
      </c>
      <c r="F536" s="22">
        <f>'VIX HISTORIQUE'!K539</f>
        <v>30.59</v>
      </c>
    </row>
    <row r="537" ht="15.75" customHeight="1">
      <c r="A537" s="25">
        <f>'VIX HISTORIQUE'!A540</f>
        <v>44042.66667</v>
      </c>
      <c r="B537" s="22">
        <f>'VIX HISTORIQUE'!B540</f>
        <v>3246.22</v>
      </c>
      <c r="C537" s="22">
        <f>'VIX HISTORIQUE'!D540</f>
        <v>24.76</v>
      </c>
      <c r="D537" s="22">
        <f>'VIX HISTORIQUE'!G540</f>
        <v>29.76</v>
      </c>
      <c r="E537" s="22">
        <f>'VIX HISTORIQUE'!I540</f>
        <v>31.39</v>
      </c>
      <c r="F537" s="22">
        <f>'VIX HISTORIQUE'!K540</f>
        <v>30.04</v>
      </c>
    </row>
    <row r="538" ht="15.75" customHeight="1">
      <c r="A538" s="25">
        <f>'VIX HISTORIQUE'!A541</f>
        <v>44043.66667</v>
      </c>
      <c r="B538" s="22">
        <f>'VIX HISTORIQUE'!B541</f>
        <v>3271.12</v>
      </c>
      <c r="C538" s="22">
        <f>'VIX HISTORIQUE'!D541</f>
        <v>24.46</v>
      </c>
      <c r="D538" s="22">
        <f>'VIX HISTORIQUE'!G541</f>
        <v>29.71</v>
      </c>
      <c r="E538" s="22">
        <f>'VIX HISTORIQUE'!I541</f>
        <v>31.21</v>
      </c>
      <c r="F538" s="22">
        <f>'VIX HISTORIQUE'!K541</f>
        <v>30.53</v>
      </c>
    </row>
    <row r="539" ht="15.75" customHeight="1">
      <c r="A539" s="25">
        <f>'VIX HISTORIQUE'!A542</f>
        <v>44046.66667</v>
      </c>
      <c r="B539" s="22">
        <f>'VIX HISTORIQUE'!B542</f>
        <v>3294.61</v>
      </c>
      <c r="C539" s="22">
        <f>'VIX HISTORIQUE'!D542</f>
        <v>24.28</v>
      </c>
      <c r="D539" s="22">
        <f>'VIX HISTORIQUE'!G542</f>
        <v>29.66</v>
      </c>
      <c r="E539" s="22">
        <f>'VIX HISTORIQUE'!I542</f>
        <v>31.18</v>
      </c>
      <c r="F539" s="22">
        <f>'VIX HISTORIQUE'!K542</f>
        <v>30.65</v>
      </c>
    </row>
    <row r="540" ht="15.75" customHeight="1">
      <c r="A540" s="25">
        <f>'VIX HISTORIQUE'!A543</f>
        <v>44047.66667</v>
      </c>
      <c r="B540" s="22">
        <f>'VIX HISTORIQUE'!B543</f>
        <v>3306.51</v>
      </c>
      <c r="C540" s="22">
        <f>'VIX HISTORIQUE'!D543</f>
        <v>23.76</v>
      </c>
      <c r="D540" s="22">
        <f>'VIX HISTORIQUE'!G543</f>
        <v>29.09</v>
      </c>
      <c r="E540" s="22">
        <f>'VIX HISTORIQUE'!I543</f>
        <v>30.72</v>
      </c>
      <c r="F540" s="22">
        <f>'VIX HISTORIQUE'!K543</f>
        <v>30.01</v>
      </c>
    </row>
    <row r="541" ht="15.75" customHeight="1">
      <c r="A541" s="25">
        <f>'VIX HISTORIQUE'!A544</f>
        <v>44048.66667</v>
      </c>
      <c r="B541" s="22">
        <f>'VIX HISTORIQUE'!B544</f>
        <v>3327.77</v>
      </c>
      <c r="C541" s="22">
        <f>'VIX HISTORIQUE'!D544</f>
        <v>22.99</v>
      </c>
      <c r="D541" s="22">
        <f>'VIX HISTORIQUE'!G544</f>
        <v>28.6</v>
      </c>
      <c r="E541" s="22">
        <f>'VIX HISTORIQUE'!I544</f>
        <v>30.32</v>
      </c>
      <c r="F541" s="22">
        <f>'VIX HISTORIQUE'!K544</f>
        <v>29.67</v>
      </c>
    </row>
    <row r="542" ht="15.75" customHeight="1">
      <c r="A542" s="25">
        <f>'VIX HISTORIQUE'!A545</f>
        <v>44049.66667</v>
      </c>
      <c r="B542" s="22">
        <f>'VIX HISTORIQUE'!B545</f>
        <v>3349.16</v>
      </c>
      <c r="C542" s="22">
        <f>'VIX HISTORIQUE'!D545</f>
        <v>22.65</v>
      </c>
      <c r="D542" s="22">
        <f>'VIX HISTORIQUE'!G545</f>
        <v>28.2</v>
      </c>
      <c r="E542" s="22">
        <f>'VIX HISTORIQUE'!I545</f>
        <v>30.11</v>
      </c>
      <c r="F542" s="22">
        <f>'VIX HISTORIQUE'!K545</f>
        <v>30.09</v>
      </c>
    </row>
    <row r="543" ht="15.75" customHeight="1">
      <c r="A543" s="25">
        <f>'VIX HISTORIQUE'!A546</f>
        <v>44050.66667</v>
      </c>
      <c r="B543" s="22">
        <f>'VIX HISTORIQUE'!B546</f>
        <v>3351.28</v>
      </c>
      <c r="C543" s="22">
        <f>'VIX HISTORIQUE'!D546</f>
        <v>22.21</v>
      </c>
      <c r="D543" s="22">
        <f>'VIX HISTORIQUE'!G546</f>
        <v>28.28</v>
      </c>
      <c r="E543" s="22">
        <f>'VIX HISTORIQUE'!I546</f>
        <v>30.22</v>
      </c>
      <c r="F543" s="22">
        <f>'VIX HISTORIQUE'!K546</f>
        <v>30.27</v>
      </c>
    </row>
    <row r="544" ht="15.75" customHeight="1">
      <c r="A544" s="25">
        <f>'VIX HISTORIQUE'!A547</f>
        <v>44053.66667</v>
      </c>
      <c r="B544" s="22">
        <f>'VIX HISTORIQUE'!B547</f>
        <v>3360.47</v>
      </c>
      <c r="C544" s="22">
        <f>'VIX HISTORIQUE'!D547</f>
        <v>22.13</v>
      </c>
      <c r="D544" s="22">
        <f>'VIX HISTORIQUE'!G547</f>
        <v>28.05</v>
      </c>
      <c r="E544" s="22">
        <f>'VIX HISTORIQUE'!I547</f>
        <v>29.91</v>
      </c>
      <c r="F544" s="22">
        <f>'VIX HISTORIQUE'!K547</f>
        <v>30.2</v>
      </c>
    </row>
    <row r="545" ht="15.75" customHeight="1">
      <c r="A545" s="25">
        <f>'VIX HISTORIQUE'!A548</f>
        <v>44054.66667</v>
      </c>
      <c r="B545" s="22">
        <f>'VIX HISTORIQUE'!B548</f>
        <v>3333.69</v>
      </c>
      <c r="C545" s="22">
        <f>'VIX HISTORIQUE'!D548</f>
        <v>24.03</v>
      </c>
      <c r="D545" s="22">
        <f>'VIX HISTORIQUE'!G548</f>
        <v>29.17</v>
      </c>
      <c r="E545" s="22">
        <f>'VIX HISTORIQUE'!I548</f>
        <v>30.79</v>
      </c>
      <c r="F545" s="22">
        <f>'VIX HISTORIQUE'!K548</f>
        <v>30.81</v>
      </c>
    </row>
    <row r="546" ht="15.75" customHeight="1">
      <c r="A546" s="25">
        <f>'VIX HISTORIQUE'!A549</f>
        <v>44055.66667</v>
      </c>
      <c r="B546" s="22">
        <f>'VIX HISTORIQUE'!B549</f>
        <v>3380.35</v>
      </c>
      <c r="C546" s="22">
        <f>'VIX HISTORIQUE'!D549</f>
        <v>22.28</v>
      </c>
      <c r="D546" s="22">
        <f>'VIX HISTORIQUE'!G549</f>
        <v>28.12</v>
      </c>
      <c r="E546" s="22">
        <f>'VIX HISTORIQUE'!I549</f>
        <v>29.85</v>
      </c>
      <c r="F546" s="22">
        <f>'VIX HISTORIQUE'!K549</f>
        <v>30.06</v>
      </c>
    </row>
    <row r="547" ht="15.75" customHeight="1">
      <c r="A547" s="25">
        <f>'VIX HISTORIQUE'!A550</f>
        <v>44056.66667</v>
      </c>
      <c r="B547" s="22">
        <f>'VIX HISTORIQUE'!B550</f>
        <v>3373.43</v>
      </c>
      <c r="C547" s="22">
        <f>'VIX HISTORIQUE'!D550</f>
        <v>22.13</v>
      </c>
      <c r="D547" s="22">
        <f>'VIX HISTORIQUE'!G550</f>
        <v>28.17</v>
      </c>
      <c r="E547" s="22">
        <f>'VIX HISTORIQUE'!I550</f>
        <v>30.05</v>
      </c>
      <c r="F547" s="22">
        <f>'VIX HISTORIQUE'!K550</f>
        <v>30.11</v>
      </c>
    </row>
    <row r="548" ht="15.75" customHeight="1">
      <c r="A548" s="25">
        <f>'VIX HISTORIQUE'!A551</f>
        <v>44057.66667</v>
      </c>
      <c r="B548" s="22">
        <f>'VIX HISTORIQUE'!B551</f>
        <v>3372.85</v>
      </c>
      <c r="C548" s="22">
        <f>'VIX HISTORIQUE'!D551</f>
        <v>22.05</v>
      </c>
      <c r="D548" s="22">
        <f>'VIX HISTORIQUE'!G551</f>
        <v>28.37</v>
      </c>
      <c r="E548" s="22">
        <f>'VIX HISTORIQUE'!I551</f>
        <v>30.45</v>
      </c>
      <c r="F548" s="22">
        <f>'VIX HISTORIQUE'!K551</f>
        <v>30.95</v>
      </c>
    </row>
    <row r="549" ht="15.75" customHeight="1">
      <c r="A549" s="25">
        <f>'VIX HISTORIQUE'!A552</f>
        <v>44060.66667</v>
      </c>
      <c r="B549" s="22">
        <f>'VIX HISTORIQUE'!B552</f>
        <v>3381.99</v>
      </c>
      <c r="C549" s="22">
        <f>'VIX HISTORIQUE'!D552</f>
        <v>21.35</v>
      </c>
      <c r="D549" s="22">
        <f>'VIX HISTORIQUE'!G552</f>
        <v>27.45</v>
      </c>
      <c r="E549" s="22">
        <f>'VIX HISTORIQUE'!I552</f>
        <v>29.5</v>
      </c>
      <c r="F549" s="22">
        <f>'VIX HISTORIQUE'!K552</f>
        <v>30.21</v>
      </c>
    </row>
    <row r="550" ht="15.75" customHeight="1">
      <c r="A550" s="25">
        <f>'VIX HISTORIQUE'!A553</f>
        <v>44061.66667</v>
      </c>
      <c r="B550" s="22">
        <f>'VIX HISTORIQUE'!B553</f>
        <v>3389.78</v>
      </c>
      <c r="C550" s="22">
        <f>'VIX HISTORIQUE'!D553</f>
        <v>21.51</v>
      </c>
      <c r="D550" s="22">
        <f>'VIX HISTORIQUE'!G553</f>
        <v>27.35</v>
      </c>
      <c r="E550" s="22">
        <f>'VIX HISTORIQUE'!I553</f>
        <v>29.63</v>
      </c>
      <c r="F550" s="22">
        <f>'VIX HISTORIQUE'!K553</f>
        <v>30.14</v>
      </c>
    </row>
    <row r="551" ht="15.75" customHeight="1">
      <c r="A551" s="25">
        <f>'VIX HISTORIQUE'!A554</f>
        <v>44062.66667</v>
      </c>
      <c r="B551" s="22">
        <f>'VIX HISTORIQUE'!B554</f>
        <v>3374.85</v>
      </c>
      <c r="C551" s="22">
        <f>'VIX HISTORIQUE'!D554</f>
        <v>22.54</v>
      </c>
      <c r="D551" s="22">
        <f>'VIX HISTORIQUE'!G554</f>
        <v>28.11</v>
      </c>
      <c r="E551" s="22">
        <f>'VIX HISTORIQUE'!I554</f>
        <v>30.3</v>
      </c>
      <c r="F551" s="22">
        <f>'VIX HISTORIQUE'!K554</f>
        <v>30.27</v>
      </c>
    </row>
    <row r="552" ht="15.75" customHeight="1">
      <c r="A552" s="25">
        <f>'VIX HISTORIQUE'!A555</f>
        <v>44063.66667</v>
      </c>
      <c r="B552" s="22">
        <f>'VIX HISTORIQUE'!B555</f>
        <v>3385.51</v>
      </c>
      <c r="C552" s="22">
        <f>'VIX HISTORIQUE'!D555</f>
        <v>22.72</v>
      </c>
      <c r="D552" s="22">
        <f>'VIX HISTORIQUE'!G555</f>
        <v>28.13</v>
      </c>
      <c r="E552" s="22">
        <f>'VIX HISTORIQUE'!I555</f>
        <v>29.34</v>
      </c>
      <c r="F552" s="22">
        <f>'VIX HISTORIQUE'!K555</f>
        <v>31.68</v>
      </c>
    </row>
    <row r="553" ht="15.75" customHeight="1">
      <c r="A553" s="25">
        <f>'VIX HISTORIQUE'!A556</f>
        <v>44064.66667</v>
      </c>
      <c r="B553" s="22">
        <f>'VIX HISTORIQUE'!B556</f>
        <v>3397.16</v>
      </c>
      <c r="C553" s="22">
        <f>'VIX HISTORIQUE'!D556</f>
        <v>22.54</v>
      </c>
      <c r="D553" s="22">
        <f>'VIX HISTORIQUE'!G556</f>
        <v>28.17</v>
      </c>
      <c r="E553" s="22">
        <f>'VIX HISTORIQUE'!I556</f>
        <v>29.51</v>
      </c>
      <c r="F553" s="22">
        <f>'VIX HISTORIQUE'!K556</f>
        <v>31.79</v>
      </c>
    </row>
    <row r="554" ht="15.75" customHeight="1">
      <c r="A554" s="25">
        <f>'VIX HISTORIQUE'!A557</f>
        <v>44067.66667</v>
      </c>
      <c r="B554" s="22">
        <f>'VIX HISTORIQUE'!B557</f>
        <v>3431.28</v>
      </c>
      <c r="C554" s="22">
        <f>'VIX HISTORIQUE'!D557</f>
        <v>22.37</v>
      </c>
      <c r="D554" s="22">
        <f>'VIX HISTORIQUE'!G557</f>
        <v>28.1</v>
      </c>
      <c r="E554" s="22">
        <f>'VIX HISTORIQUE'!I557</f>
        <v>29.5</v>
      </c>
      <c r="F554" s="22">
        <f>'VIX HISTORIQUE'!K557</f>
        <v>32.57</v>
      </c>
    </row>
    <row r="555" ht="15.75" customHeight="1">
      <c r="A555" s="25">
        <f>'VIX HISTORIQUE'!A558</f>
        <v>44068.66667</v>
      </c>
      <c r="B555" s="22">
        <f>'VIX HISTORIQUE'!B558</f>
        <v>3443.62</v>
      </c>
      <c r="C555" s="22">
        <f>'VIX HISTORIQUE'!D558</f>
        <v>22.03</v>
      </c>
      <c r="D555" s="22">
        <f>'VIX HISTORIQUE'!G558</f>
        <v>27.91</v>
      </c>
      <c r="E555" s="22">
        <f>'VIX HISTORIQUE'!I558</f>
        <v>29.36</v>
      </c>
      <c r="F555" s="22">
        <f>'VIX HISTORIQUE'!K558</f>
        <v>31.38</v>
      </c>
    </row>
    <row r="556" ht="15.75" customHeight="1">
      <c r="A556" s="25">
        <f>'VIX HISTORIQUE'!A559</f>
        <v>44069.66667</v>
      </c>
      <c r="B556" s="22">
        <f>'VIX HISTORIQUE'!B559</f>
        <v>3478.73</v>
      </c>
      <c r="C556" s="22">
        <f>'VIX HISTORIQUE'!D559</f>
        <v>23.27</v>
      </c>
      <c r="D556" s="22">
        <f>'VIX HISTORIQUE'!G559</f>
        <v>28.7</v>
      </c>
      <c r="E556" s="22">
        <f>'VIX HISTORIQUE'!I559</f>
        <v>29.87</v>
      </c>
      <c r="F556" s="22">
        <f>'VIX HISTORIQUE'!K559</f>
        <v>31.66</v>
      </c>
    </row>
    <row r="557" ht="15.75" customHeight="1">
      <c r="A557" s="25">
        <f>'VIX HISTORIQUE'!A560</f>
        <v>44070.66667</v>
      </c>
      <c r="B557" s="22">
        <f>'VIX HISTORIQUE'!B560</f>
        <v>3484.55</v>
      </c>
      <c r="C557" s="22">
        <f>'VIX HISTORIQUE'!D560</f>
        <v>24.47</v>
      </c>
      <c r="D557" s="22">
        <f>'VIX HISTORIQUE'!G560</f>
        <v>29.93</v>
      </c>
      <c r="E557" s="22">
        <f>'VIX HISTORIQUE'!I560</f>
        <v>30.63</v>
      </c>
      <c r="F557" s="22">
        <f>'VIX HISTORIQUE'!K560</f>
        <v>33.92</v>
      </c>
    </row>
    <row r="558" ht="15.75" customHeight="1">
      <c r="A558" s="25">
        <f>'VIX HISTORIQUE'!A561</f>
        <v>44071.66667</v>
      </c>
      <c r="B558" s="22">
        <f>'VIX HISTORIQUE'!B561</f>
        <v>3508.01</v>
      </c>
      <c r="C558" s="22">
        <f>'VIX HISTORIQUE'!D561</f>
        <v>22.96</v>
      </c>
      <c r="D558" s="22">
        <f>'VIX HISTORIQUE'!G561</f>
        <v>29.62</v>
      </c>
      <c r="E558" s="22">
        <f>'VIX HISTORIQUE'!I561</f>
        <v>30.49</v>
      </c>
      <c r="F558" s="22">
        <f>'VIX HISTORIQUE'!K561</f>
        <v>32.52</v>
      </c>
    </row>
    <row r="559" ht="15.75" customHeight="1">
      <c r="A559" s="25">
        <f>'VIX HISTORIQUE'!A562</f>
        <v>44074.66667</v>
      </c>
      <c r="B559" s="22">
        <f>'VIX HISTORIQUE'!B562</f>
        <v>3500.31</v>
      </c>
      <c r="C559" s="22">
        <f>'VIX HISTORIQUE'!D562</f>
        <v>26.41</v>
      </c>
      <c r="D559" s="22">
        <f>'VIX HISTORIQUE'!G562</f>
        <v>31.85</v>
      </c>
      <c r="E559" s="22">
        <f>'VIX HISTORIQUE'!I562</f>
        <v>32.2</v>
      </c>
      <c r="F559" s="22">
        <f>'VIX HISTORIQUE'!K562</f>
        <v>34.46</v>
      </c>
    </row>
    <row r="560" ht="15.75" customHeight="1">
      <c r="A560" s="25">
        <f>'VIX HISTORIQUE'!A563</f>
        <v>44075.66667</v>
      </c>
      <c r="B560" s="22">
        <f>'VIX HISTORIQUE'!B563</f>
        <v>3526.65</v>
      </c>
      <c r="C560" s="22">
        <f>'VIX HISTORIQUE'!D563</f>
        <v>26.12</v>
      </c>
      <c r="D560" s="22">
        <f>'VIX HISTORIQUE'!G563</f>
        <v>32.1</v>
      </c>
      <c r="E560" s="22">
        <f>'VIX HISTORIQUE'!I563</f>
        <v>32.42</v>
      </c>
      <c r="F560" s="22">
        <f>'VIX HISTORIQUE'!K563</f>
        <v>34.02</v>
      </c>
    </row>
    <row r="561" ht="15.75" customHeight="1">
      <c r="A561" s="25">
        <f>'VIX HISTORIQUE'!A564</f>
        <v>44076.66667</v>
      </c>
      <c r="B561" s="22">
        <f>'VIX HISTORIQUE'!B564</f>
        <v>3580.84</v>
      </c>
      <c r="C561" s="22">
        <f>'VIX HISTORIQUE'!D564</f>
        <v>26.57</v>
      </c>
      <c r="D561" s="22">
        <f>'VIX HISTORIQUE'!G564</f>
        <v>32.67</v>
      </c>
      <c r="E561" s="22">
        <f>'VIX HISTORIQUE'!I564</f>
        <v>33.24</v>
      </c>
      <c r="F561" s="22">
        <f>'VIX HISTORIQUE'!K564</f>
        <v>35.77</v>
      </c>
    </row>
    <row r="562" ht="15.75" customHeight="1">
      <c r="A562" s="25">
        <f>'VIX HISTORIQUE'!A565</f>
        <v>44077.66667</v>
      </c>
      <c r="B562" s="22">
        <f>'VIX HISTORIQUE'!B565</f>
        <v>3455.06</v>
      </c>
      <c r="C562" s="22">
        <f>'VIX HISTORIQUE'!D565</f>
        <v>33.6</v>
      </c>
      <c r="D562" s="22">
        <f>'VIX HISTORIQUE'!G565</f>
        <v>37.63</v>
      </c>
      <c r="E562" s="22">
        <f>'VIX HISTORIQUE'!I565</f>
        <v>35.54</v>
      </c>
      <c r="F562" s="22">
        <f>'VIX HISTORIQUE'!K565</f>
        <v>40.86</v>
      </c>
    </row>
    <row r="563" ht="15.75" customHeight="1">
      <c r="A563" s="25">
        <f>'VIX HISTORIQUE'!A566</f>
        <v>44078.66667</v>
      </c>
      <c r="B563" s="22">
        <f>'VIX HISTORIQUE'!B566</f>
        <v>3426.96</v>
      </c>
      <c r="C563" s="22">
        <f>'VIX HISTORIQUE'!D566</f>
        <v>30.75</v>
      </c>
      <c r="D563" s="22">
        <f>'VIX HISTORIQUE'!G566</f>
        <v>34.75</v>
      </c>
      <c r="E563" s="22">
        <f>'VIX HISTORIQUE'!I566</f>
        <v>33.94</v>
      </c>
      <c r="F563" s="22">
        <f>'VIX HISTORIQUE'!K566</f>
        <v>34.33</v>
      </c>
    </row>
    <row r="564" ht="15.75" customHeight="1">
      <c r="A564" s="25">
        <f>'VIX HISTORIQUE'!A567</f>
        <v>44082.66667</v>
      </c>
      <c r="B564" s="22">
        <f>'VIX HISTORIQUE'!B567</f>
        <v>3331.84</v>
      </c>
      <c r="C564" s="22">
        <f>'VIX HISTORIQUE'!D567</f>
        <v>31.46</v>
      </c>
      <c r="D564" s="22">
        <f>'VIX HISTORIQUE'!G567</f>
        <v>34.31</v>
      </c>
      <c r="E564" s="22">
        <f>'VIX HISTORIQUE'!I567</f>
        <v>33.44</v>
      </c>
      <c r="F564" s="22">
        <f>'VIX HISTORIQUE'!K567</f>
        <v>33.89</v>
      </c>
    </row>
    <row r="565" ht="15.75" customHeight="1">
      <c r="A565" s="25">
        <f>'VIX HISTORIQUE'!A568</f>
        <v>44083.66667</v>
      </c>
      <c r="B565" s="22">
        <f>'VIX HISTORIQUE'!B568</f>
        <v>3398.96</v>
      </c>
      <c r="C565" s="22">
        <f>'VIX HISTORIQUE'!D568</f>
        <v>28.81</v>
      </c>
      <c r="D565" s="22">
        <f>'VIX HISTORIQUE'!G568</f>
        <v>32.12</v>
      </c>
      <c r="E565" s="22">
        <f>'VIX HISTORIQUE'!I568</f>
        <v>31.99</v>
      </c>
      <c r="F565" s="22">
        <f>'VIX HISTORIQUE'!K568</f>
        <v>33.12</v>
      </c>
    </row>
    <row r="566" ht="15.75" customHeight="1">
      <c r="A566" s="25">
        <f>'VIX HISTORIQUE'!A569</f>
        <v>44084.66667</v>
      </c>
      <c r="B566" s="22">
        <f>'VIX HISTORIQUE'!B569</f>
        <v>3339.19</v>
      </c>
      <c r="C566" s="22">
        <f>'VIX HISTORIQUE'!D569</f>
        <v>29.71</v>
      </c>
      <c r="D566" s="22">
        <f>'VIX HISTORIQUE'!G569</f>
        <v>32.92</v>
      </c>
      <c r="E566" s="22">
        <f>'VIX HISTORIQUE'!I569</f>
        <v>32.67</v>
      </c>
      <c r="F566" s="22">
        <f>'VIX HISTORIQUE'!K569</f>
        <v>33.4</v>
      </c>
    </row>
    <row r="567" ht="15.75" customHeight="1">
      <c r="A567" s="25">
        <f>'VIX HISTORIQUE'!A570</f>
        <v>44085.66667</v>
      </c>
      <c r="B567" s="22">
        <f>'VIX HISTORIQUE'!B570</f>
        <v>3340.97</v>
      </c>
      <c r="C567" s="22">
        <f>'VIX HISTORIQUE'!D570</f>
        <v>26.87</v>
      </c>
      <c r="D567" s="22">
        <f>'VIX HISTORIQUE'!G570</f>
        <v>31.13</v>
      </c>
      <c r="E567" s="22">
        <f>'VIX HISTORIQUE'!I570</f>
        <v>31.66</v>
      </c>
      <c r="F567" s="22">
        <f>'VIX HISTORIQUE'!K570</f>
        <v>33.07</v>
      </c>
    </row>
    <row r="568" ht="15.75" customHeight="1">
      <c r="A568" s="25">
        <f>'VIX HISTORIQUE'!A571</f>
        <v>44088.66667</v>
      </c>
      <c r="B568" s="22">
        <f>'VIX HISTORIQUE'!B571</f>
        <v>3383.54</v>
      </c>
      <c r="C568" s="22">
        <f>'VIX HISTORIQUE'!D571</f>
        <v>25.85</v>
      </c>
      <c r="D568" s="22">
        <f>'VIX HISTORIQUE'!G571</f>
        <v>30.48</v>
      </c>
      <c r="E568" s="22">
        <f>'VIX HISTORIQUE'!I571</f>
        <v>31.3</v>
      </c>
      <c r="F568" s="22">
        <f>'VIX HISTORIQUE'!K571</f>
        <v>32.66</v>
      </c>
    </row>
    <row r="569" ht="15.75" customHeight="1">
      <c r="A569" s="25">
        <f>'VIX HISTORIQUE'!A572</f>
        <v>44089.66667</v>
      </c>
      <c r="B569" s="22">
        <f>'VIX HISTORIQUE'!B572</f>
        <v>3401.2</v>
      </c>
      <c r="C569" s="22">
        <f>'VIX HISTORIQUE'!D572</f>
        <v>25.59</v>
      </c>
      <c r="D569" s="22">
        <f>'VIX HISTORIQUE'!G572</f>
        <v>30.27</v>
      </c>
      <c r="E569" s="22">
        <f>'VIX HISTORIQUE'!I572</f>
        <v>31.29</v>
      </c>
      <c r="F569" s="22">
        <f>'VIX HISTORIQUE'!K572</f>
        <v>32.33</v>
      </c>
    </row>
    <row r="570" ht="15.75" customHeight="1">
      <c r="A570" s="25">
        <f>'VIX HISTORIQUE'!A573</f>
        <v>44090.66667</v>
      </c>
      <c r="B570" s="22">
        <f>'VIX HISTORIQUE'!B573</f>
        <v>3385.49</v>
      </c>
      <c r="C570" s="22">
        <f>'VIX HISTORIQUE'!D573</f>
        <v>26.04</v>
      </c>
      <c r="D570" s="22">
        <f>'VIX HISTORIQUE'!G573</f>
        <v>30.57</v>
      </c>
      <c r="E570" s="22">
        <f>'VIX HISTORIQUE'!I573</f>
        <v>31.62</v>
      </c>
      <c r="F570" s="22">
        <f>'VIX HISTORIQUE'!K573</f>
        <v>32.57</v>
      </c>
    </row>
    <row r="571" ht="15.75" customHeight="1">
      <c r="A571" s="25">
        <f>'VIX HISTORIQUE'!A574</f>
        <v>44091.66667</v>
      </c>
      <c r="B571" s="22">
        <f>'VIX HISTORIQUE'!B574</f>
        <v>3357.01</v>
      </c>
      <c r="C571" s="22">
        <f>'VIX HISTORIQUE'!D574</f>
        <v>26.46</v>
      </c>
      <c r="D571" s="22">
        <f>'VIX HISTORIQUE'!G574</f>
        <v>30.75</v>
      </c>
      <c r="E571" s="22">
        <f>'VIX HISTORIQUE'!I574</f>
        <v>31.82</v>
      </c>
      <c r="F571" s="22">
        <f>'VIX HISTORIQUE'!K574</f>
        <v>32.74</v>
      </c>
    </row>
    <row r="572" ht="15.75" customHeight="1">
      <c r="A572" s="25">
        <f>'VIX HISTORIQUE'!A575</f>
        <v>44092.66667</v>
      </c>
      <c r="B572" s="22">
        <f>'VIX HISTORIQUE'!B575</f>
        <v>3319.47</v>
      </c>
      <c r="C572" s="22">
        <f>'VIX HISTORIQUE'!D575</f>
        <v>25.83</v>
      </c>
      <c r="D572" s="22">
        <f>'VIX HISTORIQUE'!G575</f>
        <v>30.46</v>
      </c>
      <c r="E572" s="22">
        <f>'VIX HISTORIQUE'!I575</f>
        <v>31.69</v>
      </c>
      <c r="F572" s="22">
        <f>'VIX HISTORIQUE'!K575</f>
        <v>33.66</v>
      </c>
    </row>
    <row r="573" ht="15.75" customHeight="1">
      <c r="A573" s="25">
        <f>'VIX HISTORIQUE'!A576</f>
        <v>44095.66667</v>
      </c>
      <c r="B573" s="22">
        <f>'VIX HISTORIQUE'!B576</f>
        <v>3281.06</v>
      </c>
      <c r="C573" s="22">
        <f>'VIX HISTORIQUE'!D576</f>
        <v>27.78</v>
      </c>
      <c r="D573" s="22">
        <f>'VIX HISTORIQUE'!G576</f>
        <v>31.64</v>
      </c>
      <c r="E573" s="22">
        <f>'VIX HISTORIQUE'!I576</f>
        <v>32.46</v>
      </c>
      <c r="F573" s="22">
        <f>'VIX HISTORIQUE'!K576</f>
        <v>32.76</v>
      </c>
    </row>
    <row r="574" ht="15.75" customHeight="1">
      <c r="A574" s="25">
        <f>'VIX HISTORIQUE'!A577</f>
        <v>44096.66667</v>
      </c>
      <c r="B574" s="22">
        <f>'VIX HISTORIQUE'!B577</f>
        <v>3315.57</v>
      </c>
      <c r="C574" s="22">
        <f>'VIX HISTORIQUE'!D577</f>
        <v>26.86</v>
      </c>
      <c r="D574" s="22">
        <f>'VIX HISTORIQUE'!G577</f>
        <v>31.67</v>
      </c>
      <c r="E574" s="22">
        <f>'VIX HISTORIQUE'!I577</f>
        <v>32.54</v>
      </c>
      <c r="F574" s="22">
        <f>'VIX HISTORIQUE'!K577</f>
        <v>32.67</v>
      </c>
    </row>
    <row r="575" ht="15.75" customHeight="1">
      <c r="A575" s="25">
        <f>'VIX HISTORIQUE'!A578</f>
        <v>44097.66667</v>
      </c>
      <c r="B575" s="22">
        <f>'VIX HISTORIQUE'!B578</f>
        <v>3236.92</v>
      </c>
      <c r="C575" s="22">
        <f>'VIX HISTORIQUE'!D578</f>
        <v>28.58</v>
      </c>
      <c r="D575" s="22">
        <f>'VIX HISTORIQUE'!G578</f>
        <v>33.28</v>
      </c>
      <c r="E575" s="22">
        <f>'VIX HISTORIQUE'!I578</f>
        <v>33.49</v>
      </c>
      <c r="F575" s="22">
        <f>'VIX HISTORIQUE'!K578</f>
        <v>33.26</v>
      </c>
    </row>
    <row r="576" ht="15.75" customHeight="1">
      <c r="A576" s="25">
        <f>'VIX HISTORIQUE'!A579</f>
        <v>44098.66667</v>
      </c>
      <c r="B576" s="22">
        <f>'VIX HISTORIQUE'!B579</f>
        <v>3246.59</v>
      </c>
      <c r="C576" s="22">
        <f>'VIX HISTORIQUE'!D579</f>
        <v>28.51</v>
      </c>
      <c r="D576" s="22">
        <f>'VIX HISTORIQUE'!G579</f>
        <v>33.06</v>
      </c>
      <c r="E576" s="22">
        <f>'VIX HISTORIQUE'!I579</f>
        <v>33.39</v>
      </c>
      <c r="F576" s="22">
        <f>'VIX HISTORIQUE'!K579</f>
        <v>32.87</v>
      </c>
    </row>
    <row r="577" ht="15.75" customHeight="1">
      <c r="A577" s="25">
        <f>'VIX HISTORIQUE'!A580</f>
        <v>44099.66667</v>
      </c>
      <c r="B577" s="22">
        <f>'VIX HISTORIQUE'!B580</f>
        <v>3298.46</v>
      </c>
      <c r="C577" s="22">
        <f>'VIX HISTORIQUE'!D580</f>
        <v>26.38</v>
      </c>
      <c r="D577" s="22">
        <f>'VIX HISTORIQUE'!G580</f>
        <v>32.03</v>
      </c>
      <c r="E577" s="22">
        <f>'VIX HISTORIQUE'!I580</f>
        <v>32.62</v>
      </c>
      <c r="F577" s="22">
        <f>'VIX HISTORIQUE'!K580</f>
        <v>32.28</v>
      </c>
    </row>
    <row r="578" ht="15.75" customHeight="1">
      <c r="A578" s="25">
        <f>'VIX HISTORIQUE'!A581</f>
        <v>44102.66667</v>
      </c>
      <c r="B578" s="22">
        <f>'VIX HISTORIQUE'!B581</f>
        <v>3351.6</v>
      </c>
      <c r="C578" s="22">
        <f>'VIX HISTORIQUE'!D581</f>
        <v>26.19</v>
      </c>
      <c r="D578" s="22">
        <f>'VIX HISTORIQUE'!G581</f>
        <v>31.74</v>
      </c>
      <c r="E578" s="22">
        <f>'VIX HISTORIQUE'!I581</f>
        <v>32.21</v>
      </c>
      <c r="F578" s="22">
        <f>'VIX HISTORIQUE'!K581</f>
        <v>32.23</v>
      </c>
    </row>
    <row r="579" ht="15.75" customHeight="1">
      <c r="A579" s="25">
        <f>'VIX HISTORIQUE'!A582</f>
        <v>44103.66667</v>
      </c>
      <c r="B579" s="22">
        <f>'VIX HISTORIQUE'!B582</f>
        <v>3335.47</v>
      </c>
      <c r="C579" s="22">
        <f>'VIX HISTORIQUE'!D582</f>
        <v>26.27</v>
      </c>
      <c r="D579" s="22">
        <f>'VIX HISTORIQUE'!G582</f>
        <v>31.09</v>
      </c>
      <c r="E579" s="22">
        <f>'VIX HISTORIQUE'!I582</f>
        <v>31.84</v>
      </c>
      <c r="F579" s="22">
        <f>'VIX HISTORIQUE'!K582</f>
        <v>31.73</v>
      </c>
    </row>
    <row r="580" ht="15.75" customHeight="1">
      <c r="A580" s="25">
        <f>'VIX HISTORIQUE'!A583</f>
        <v>44104.66667</v>
      </c>
      <c r="B580" s="22">
        <f>'VIX HISTORIQUE'!B583</f>
        <v>3363</v>
      </c>
      <c r="C580" s="22">
        <f>'VIX HISTORIQUE'!D583</f>
        <v>26.37</v>
      </c>
      <c r="D580" s="22">
        <f>'VIX HISTORIQUE'!G583</f>
        <v>31.64</v>
      </c>
      <c r="E580" s="22">
        <f>'VIX HISTORIQUE'!I583</f>
        <v>32.18</v>
      </c>
      <c r="F580" s="22">
        <f>'VIX HISTORIQUE'!K583</f>
        <v>30.95</v>
      </c>
    </row>
    <row r="581" ht="15.75" customHeight="1">
      <c r="A581" s="25">
        <f>'VIX HISTORIQUE'!A584</f>
        <v>44105.66667</v>
      </c>
      <c r="B581" s="22">
        <f>'VIX HISTORIQUE'!B584</f>
        <v>3380.8</v>
      </c>
      <c r="C581" s="22">
        <f>'VIX HISTORIQUE'!D584</f>
        <v>26.7</v>
      </c>
      <c r="D581" s="22">
        <f>'VIX HISTORIQUE'!G584</f>
        <v>31.72</v>
      </c>
      <c r="E581" s="22">
        <f>'VIX HISTORIQUE'!I584</f>
        <v>32.59</v>
      </c>
      <c r="F581" s="22">
        <f>'VIX HISTORIQUE'!K584</f>
        <v>31.79</v>
      </c>
    </row>
    <row r="582" ht="15.75" customHeight="1">
      <c r="A582" s="25">
        <f>'VIX HISTORIQUE'!A585</f>
        <v>44106.66667</v>
      </c>
      <c r="B582" s="22">
        <f>'VIX HISTORIQUE'!B585</f>
        <v>3348.44</v>
      </c>
      <c r="C582" s="22">
        <f>'VIX HISTORIQUE'!D585</f>
        <v>27.63</v>
      </c>
      <c r="D582" s="22">
        <f>'VIX HISTORIQUE'!G585</f>
        <v>32.39</v>
      </c>
      <c r="E582" s="22">
        <f>'VIX HISTORIQUE'!I585</f>
        <v>33.1</v>
      </c>
      <c r="F582" s="22">
        <f>'VIX HISTORIQUE'!K585</f>
        <v>31.63</v>
      </c>
    </row>
    <row r="583" ht="15.75" customHeight="1">
      <c r="A583" s="25">
        <f>'VIX HISTORIQUE'!A586</f>
        <v>44109.66667</v>
      </c>
      <c r="B583" s="22">
        <f>'VIX HISTORIQUE'!B586</f>
        <v>3408.63</v>
      </c>
      <c r="C583" s="22">
        <f>'VIX HISTORIQUE'!D586</f>
        <v>27.96</v>
      </c>
      <c r="D583" s="22">
        <f>'VIX HISTORIQUE'!G586</f>
        <v>31.28</v>
      </c>
      <c r="E583" s="22">
        <f>'VIX HISTORIQUE'!I586</f>
        <v>32.2</v>
      </c>
      <c r="F583" s="22">
        <f>'VIX HISTORIQUE'!K586</f>
        <v>31.01</v>
      </c>
    </row>
    <row r="584" ht="15.75" customHeight="1">
      <c r="A584" s="25">
        <f>'VIX HISTORIQUE'!A587</f>
        <v>44110.66667</v>
      </c>
      <c r="B584" s="22">
        <f>'VIX HISTORIQUE'!B587</f>
        <v>3360.95</v>
      </c>
      <c r="C584" s="22">
        <f>'VIX HISTORIQUE'!D587</f>
        <v>29.48</v>
      </c>
      <c r="D584" s="22">
        <f>'VIX HISTORIQUE'!G587</f>
        <v>31.88</v>
      </c>
      <c r="E584" s="22">
        <f>'VIX HISTORIQUE'!I587</f>
        <v>32.67</v>
      </c>
      <c r="F584" s="22">
        <f>'VIX HISTORIQUE'!K587</f>
        <v>31.83</v>
      </c>
    </row>
    <row r="585" ht="15.75" customHeight="1">
      <c r="A585" s="25">
        <f>'VIX HISTORIQUE'!A588</f>
        <v>44111.66667</v>
      </c>
      <c r="B585" s="22">
        <f>'VIX HISTORIQUE'!B588</f>
        <v>3419.45</v>
      </c>
      <c r="C585" s="22">
        <f>'VIX HISTORIQUE'!D588</f>
        <v>28.06</v>
      </c>
      <c r="D585" s="22">
        <f>'VIX HISTORIQUE'!G588</f>
        <v>30.7</v>
      </c>
      <c r="E585" s="22">
        <f>'VIX HISTORIQUE'!I588</f>
        <v>31.6</v>
      </c>
      <c r="F585" s="22">
        <f>'VIX HISTORIQUE'!K588</f>
        <v>31.19</v>
      </c>
    </row>
    <row r="586" ht="15.75" customHeight="1">
      <c r="A586" s="25">
        <f>'VIX HISTORIQUE'!A589</f>
        <v>44112.66667</v>
      </c>
      <c r="B586" s="22">
        <f>'VIX HISTORIQUE'!B589</f>
        <v>3446.83</v>
      </c>
      <c r="C586" s="22">
        <f>'VIX HISTORIQUE'!D589</f>
        <v>26.36</v>
      </c>
      <c r="D586" s="22">
        <f>'VIX HISTORIQUE'!G589</f>
        <v>29.49</v>
      </c>
      <c r="E586" s="22">
        <f>'VIX HISTORIQUE'!I589</f>
        <v>30.83</v>
      </c>
      <c r="F586" s="22">
        <f>'VIX HISTORIQUE'!K589</f>
        <v>30.84</v>
      </c>
    </row>
    <row r="587" ht="15.75" customHeight="1">
      <c r="A587" s="25">
        <f>'VIX HISTORIQUE'!A590</f>
        <v>44113.66667</v>
      </c>
      <c r="B587" s="22">
        <f>'VIX HISTORIQUE'!B590</f>
        <v>3477.13</v>
      </c>
      <c r="C587" s="22">
        <f>'VIX HISTORIQUE'!D590</f>
        <v>25</v>
      </c>
      <c r="D587" s="22">
        <f>'VIX HISTORIQUE'!G590</f>
        <v>28.28</v>
      </c>
      <c r="E587" s="22">
        <f>'VIX HISTORIQUE'!I590</f>
        <v>29.59</v>
      </c>
      <c r="F587" s="22">
        <f>'VIX HISTORIQUE'!K590</f>
        <v>29.49</v>
      </c>
    </row>
    <row r="588" ht="15.75" customHeight="1">
      <c r="A588" s="25">
        <f>'VIX HISTORIQUE'!A591</f>
        <v>44116.66667</v>
      </c>
      <c r="B588" s="22">
        <f>'VIX HISTORIQUE'!B591</f>
        <v>3534.22</v>
      </c>
      <c r="C588" s="22">
        <f>'VIX HISTORIQUE'!D591</f>
        <v>25.07</v>
      </c>
      <c r="D588" s="22">
        <f>'VIX HISTORIQUE'!G591</f>
        <v>27.98</v>
      </c>
      <c r="E588" s="22">
        <f>'VIX HISTORIQUE'!I591</f>
        <v>29.28</v>
      </c>
      <c r="F588" s="22">
        <f>'VIX HISTORIQUE'!K591</f>
        <v>29.2</v>
      </c>
    </row>
    <row r="589" ht="15.75" customHeight="1">
      <c r="A589" s="25">
        <f>'VIX HISTORIQUE'!A592</f>
        <v>44117.66667</v>
      </c>
      <c r="B589" s="22">
        <f>'VIX HISTORIQUE'!B592</f>
        <v>3511.93</v>
      </c>
      <c r="C589" s="22">
        <f>'VIX HISTORIQUE'!D592</f>
        <v>26.07</v>
      </c>
      <c r="D589" s="22">
        <f>'VIX HISTORIQUE'!G592</f>
        <v>28.35</v>
      </c>
      <c r="E589" s="22">
        <f>'VIX HISTORIQUE'!I592</f>
        <v>29.45</v>
      </c>
      <c r="F589" s="22">
        <f>'VIX HISTORIQUE'!K592</f>
        <v>29.35</v>
      </c>
    </row>
    <row r="590" ht="15.75" customHeight="1">
      <c r="A590" s="25">
        <f>'VIX HISTORIQUE'!A593</f>
        <v>44118.66667</v>
      </c>
      <c r="B590" s="22">
        <f>'VIX HISTORIQUE'!B593</f>
        <v>3488.67</v>
      </c>
      <c r="C590" s="22">
        <f>'VIX HISTORIQUE'!D593</f>
        <v>26.4</v>
      </c>
      <c r="D590" s="22">
        <f>'VIX HISTORIQUE'!G593</f>
        <v>28.24</v>
      </c>
      <c r="E590" s="22">
        <f>'VIX HISTORIQUE'!I593</f>
        <v>29.29</v>
      </c>
      <c r="F590" s="22">
        <f>'VIX HISTORIQUE'!K593</f>
        <v>29.25</v>
      </c>
    </row>
    <row r="591" ht="15.75" customHeight="1">
      <c r="A591" s="25">
        <f>'VIX HISTORIQUE'!A594</f>
        <v>44119.66667</v>
      </c>
      <c r="B591" s="22">
        <f>'VIX HISTORIQUE'!B594</f>
        <v>3483.34</v>
      </c>
      <c r="C591" s="22">
        <f>'VIX HISTORIQUE'!D594</f>
        <v>26.97</v>
      </c>
      <c r="D591" s="22">
        <f>'VIX HISTORIQUE'!G594</f>
        <v>28.72</v>
      </c>
      <c r="E591" s="22">
        <f>'VIX HISTORIQUE'!I594</f>
        <v>28.82</v>
      </c>
      <c r="F591" s="22">
        <f>'VIX HISTORIQUE'!K594</f>
        <v>29.93</v>
      </c>
    </row>
    <row r="592" ht="15.75" customHeight="1">
      <c r="A592" s="25">
        <f>'VIX HISTORIQUE'!A595</f>
        <v>44120.66667</v>
      </c>
      <c r="B592" s="22">
        <f>'VIX HISTORIQUE'!B595</f>
        <v>3483.81</v>
      </c>
      <c r="C592" s="22">
        <f>'VIX HISTORIQUE'!D595</f>
        <v>27.41</v>
      </c>
      <c r="D592" s="22">
        <f>'VIX HISTORIQUE'!G595</f>
        <v>29.21</v>
      </c>
      <c r="E592" s="22">
        <f>'VIX HISTORIQUE'!I595</f>
        <v>29.25</v>
      </c>
      <c r="F592" s="22">
        <f>'VIX HISTORIQUE'!K595</f>
        <v>30.22</v>
      </c>
    </row>
    <row r="593" ht="15.75" customHeight="1">
      <c r="A593" s="25">
        <f>'VIX HISTORIQUE'!A596</f>
        <v>44123.66667</v>
      </c>
      <c r="B593" s="22">
        <f>'VIX HISTORIQUE'!B596</f>
        <v>3426.92</v>
      </c>
      <c r="C593" s="22">
        <f>'VIX HISTORIQUE'!D596</f>
        <v>29.18</v>
      </c>
      <c r="D593" s="22">
        <f>'VIX HISTORIQUE'!G596</f>
        <v>30.4</v>
      </c>
      <c r="E593" s="22">
        <f>'VIX HISTORIQUE'!I596</f>
        <v>30.18</v>
      </c>
      <c r="F593" s="22">
        <f>'VIX HISTORIQUE'!K596</f>
        <v>30.91</v>
      </c>
    </row>
    <row r="594" ht="15.75" customHeight="1">
      <c r="A594" s="25">
        <f>'VIX HISTORIQUE'!A597</f>
        <v>44124.66667</v>
      </c>
      <c r="B594" s="22">
        <f>'VIX HISTORIQUE'!B597</f>
        <v>3443.12</v>
      </c>
      <c r="C594" s="22">
        <f>'VIX HISTORIQUE'!D597</f>
        <v>29.35</v>
      </c>
      <c r="D594" s="22">
        <f>'VIX HISTORIQUE'!G597</f>
        <v>30.11</v>
      </c>
      <c r="E594" s="22">
        <f>'VIX HISTORIQUE'!I597</f>
        <v>30.12</v>
      </c>
      <c r="F594" s="22">
        <f>'VIX HISTORIQUE'!K597</f>
        <v>30.85</v>
      </c>
    </row>
    <row r="595" ht="15.75" customHeight="1">
      <c r="A595" s="25">
        <f>'VIX HISTORIQUE'!A598</f>
        <v>44125.66667</v>
      </c>
      <c r="B595" s="22">
        <f>'VIX HISTORIQUE'!B598</f>
        <v>3435.56</v>
      </c>
      <c r="C595" s="22">
        <f>'VIX HISTORIQUE'!D598</f>
        <v>28.65</v>
      </c>
      <c r="D595" s="22">
        <f>'VIX HISTORIQUE'!G598</f>
        <v>29.61</v>
      </c>
      <c r="E595" s="22">
        <f>'VIX HISTORIQUE'!I598</f>
        <v>29.61</v>
      </c>
      <c r="F595" s="22">
        <f>'VIX HISTORIQUE'!K598</f>
        <v>30.36</v>
      </c>
    </row>
    <row r="596" ht="15.75" customHeight="1">
      <c r="A596" s="25">
        <f>'VIX HISTORIQUE'!A599</f>
        <v>44126.66667</v>
      </c>
      <c r="B596" s="22">
        <f>'VIX HISTORIQUE'!B599</f>
        <v>3453.49</v>
      </c>
      <c r="C596" s="22">
        <f>'VIX HISTORIQUE'!D599</f>
        <v>28.11</v>
      </c>
      <c r="D596" s="22">
        <f>'VIX HISTORIQUE'!G599</f>
        <v>29.3</v>
      </c>
      <c r="E596" s="22">
        <f>'VIX HISTORIQUE'!I599</f>
        <v>29.37</v>
      </c>
      <c r="F596" s="22">
        <f>'VIX HISTORIQUE'!K599</f>
        <v>30.11</v>
      </c>
    </row>
    <row r="597" ht="15.75" customHeight="1">
      <c r="A597" s="25">
        <f>'VIX HISTORIQUE'!A600</f>
        <v>44127.66667</v>
      </c>
      <c r="B597" s="22">
        <f>'VIX HISTORIQUE'!B600</f>
        <v>3465.39</v>
      </c>
      <c r="C597" s="22">
        <f>'VIX HISTORIQUE'!D600</f>
        <v>27.55</v>
      </c>
      <c r="D597" s="22">
        <f>'VIX HISTORIQUE'!G600</f>
        <v>28.99</v>
      </c>
      <c r="E597" s="22">
        <f>'VIX HISTORIQUE'!I600</f>
        <v>29.14</v>
      </c>
      <c r="F597" s="22">
        <f>'VIX HISTORIQUE'!K600</f>
        <v>29.89</v>
      </c>
    </row>
    <row r="598" ht="15.75" customHeight="1">
      <c r="A598" s="25">
        <f>'VIX HISTORIQUE'!A601</f>
        <v>44130.66667</v>
      </c>
      <c r="B598" s="22">
        <f>'VIX HISTORIQUE'!B601</f>
        <v>3400.97</v>
      </c>
      <c r="C598" s="22">
        <f>'VIX HISTORIQUE'!D601</f>
        <v>32.46</v>
      </c>
      <c r="D598" s="22">
        <f>'VIX HISTORIQUE'!G601</f>
        <v>32.07</v>
      </c>
      <c r="E598" s="22">
        <f>'VIX HISTORIQUE'!I601</f>
        <v>31.23</v>
      </c>
      <c r="F598" s="22">
        <f>'VIX HISTORIQUE'!K601</f>
        <v>31.16</v>
      </c>
    </row>
    <row r="599" ht="15.75" customHeight="1">
      <c r="A599" s="25">
        <f>'VIX HISTORIQUE'!A602</f>
        <v>44131.66667</v>
      </c>
      <c r="B599" s="22">
        <f>'VIX HISTORIQUE'!B602</f>
        <v>3390.68</v>
      </c>
      <c r="C599" s="22">
        <f>'VIX HISTORIQUE'!D602</f>
        <v>33.35</v>
      </c>
      <c r="D599" s="22">
        <f>'VIX HISTORIQUE'!G602</f>
        <v>32.72</v>
      </c>
      <c r="E599" s="22">
        <f>'VIX HISTORIQUE'!I602</f>
        <v>31.66</v>
      </c>
      <c r="F599" s="22">
        <f>'VIX HISTORIQUE'!K602</f>
        <v>31.34</v>
      </c>
    </row>
    <row r="600" ht="15.75" customHeight="1">
      <c r="A600" s="25">
        <f>'VIX HISTORIQUE'!A603</f>
        <v>44132.66667</v>
      </c>
      <c r="B600" s="22">
        <f>'VIX HISTORIQUE'!B603</f>
        <v>3271.03</v>
      </c>
      <c r="C600" s="22">
        <f>'VIX HISTORIQUE'!D603</f>
        <v>40.28</v>
      </c>
      <c r="D600" s="22">
        <f>'VIX HISTORIQUE'!G603</f>
        <v>37.75</v>
      </c>
      <c r="E600" s="22">
        <f>'VIX HISTORIQUE'!I603</f>
        <v>35.23</v>
      </c>
      <c r="F600" s="22">
        <f>'VIX HISTORIQUE'!K603</f>
        <v>33.26</v>
      </c>
    </row>
    <row r="601" ht="15.75" customHeight="1">
      <c r="A601" s="25">
        <f>'VIX HISTORIQUE'!A604</f>
        <v>44133.66667</v>
      </c>
      <c r="B601" s="22">
        <f>'VIX HISTORIQUE'!B604</f>
        <v>3310.11</v>
      </c>
      <c r="C601" s="22">
        <f>'VIX HISTORIQUE'!D604</f>
        <v>37.59</v>
      </c>
      <c r="D601" s="22">
        <f>'VIX HISTORIQUE'!G604</f>
        <v>35.84</v>
      </c>
      <c r="E601" s="22">
        <f>'VIX HISTORIQUE'!I604</f>
        <v>34.03</v>
      </c>
      <c r="F601" s="22">
        <f>'VIX HISTORIQUE'!K604</f>
        <v>32.83</v>
      </c>
    </row>
    <row r="602" ht="15.75" customHeight="1">
      <c r="A602" s="25">
        <f>'VIX HISTORIQUE'!A605</f>
        <v>44134.66667</v>
      </c>
      <c r="B602" s="22">
        <f>'VIX HISTORIQUE'!B605</f>
        <v>3269.96</v>
      </c>
      <c r="C602" s="22">
        <f>'VIX HISTORIQUE'!D605</f>
        <v>38.02</v>
      </c>
      <c r="D602" s="22">
        <f>'VIX HISTORIQUE'!G605</f>
        <v>36.27</v>
      </c>
      <c r="E602" s="22">
        <f>'VIX HISTORIQUE'!I605</f>
        <v>34.3</v>
      </c>
      <c r="F602" s="22">
        <f>'VIX HISTORIQUE'!K605</f>
        <v>32.7</v>
      </c>
    </row>
    <row r="603" ht="15.75" customHeight="1">
      <c r="A603" s="25">
        <f>'VIX HISTORIQUE'!A606</f>
        <v>44137.66667</v>
      </c>
      <c r="B603" s="22">
        <f>'VIX HISTORIQUE'!B606</f>
        <v>3310.24</v>
      </c>
      <c r="C603" s="22">
        <f>'VIX HISTORIQUE'!D606</f>
        <v>37.13</v>
      </c>
      <c r="D603" s="22">
        <f>'VIX HISTORIQUE'!G606</f>
        <v>35.06</v>
      </c>
      <c r="E603" s="22">
        <f>'VIX HISTORIQUE'!I606</f>
        <v>33.44</v>
      </c>
      <c r="F603" s="22">
        <f>'VIX HISTORIQUE'!K606</f>
        <v>32.12</v>
      </c>
    </row>
    <row r="604" ht="15.75" customHeight="1">
      <c r="A604" s="25">
        <f>'VIX HISTORIQUE'!A607</f>
        <v>44138.66667</v>
      </c>
      <c r="B604" s="22">
        <f>'VIX HISTORIQUE'!B607</f>
        <v>3369.02</v>
      </c>
      <c r="C604" s="22">
        <f>'VIX HISTORIQUE'!D607</f>
        <v>35.55</v>
      </c>
      <c r="D604" s="22">
        <f>'VIX HISTORIQUE'!G607</f>
        <v>33.52</v>
      </c>
      <c r="E604" s="22">
        <f>'VIX HISTORIQUE'!I607</f>
        <v>32.18</v>
      </c>
      <c r="F604" s="22">
        <f>'VIX HISTORIQUE'!K607</f>
        <v>31.29</v>
      </c>
    </row>
    <row r="605" ht="15.75" customHeight="1">
      <c r="A605" s="25">
        <f>'VIX HISTORIQUE'!A608</f>
        <v>44139.66667</v>
      </c>
      <c r="B605" s="22">
        <f>'VIX HISTORIQUE'!B608</f>
        <v>3443.44</v>
      </c>
      <c r="C605" s="22">
        <f>'VIX HISTORIQUE'!D608</f>
        <v>29.57</v>
      </c>
      <c r="D605" s="22">
        <f>'VIX HISTORIQUE'!G608</f>
        <v>29.98</v>
      </c>
      <c r="E605" s="22">
        <f>'VIX HISTORIQUE'!I608</f>
        <v>29.93</v>
      </c>
      <c r="F605" s="22">
        <f>'VIX HISTORIQUE'!K608</f>
        <v>29.72</v>
      </c>
    </row>
    <row r="606" ht="15.75" customHeight="1">
      <c r="A606" s="25">
        <f>'VIX HISTORIQUE'!A609</f>
        <v>44140.66667</v>
      </c>
      <c r="B606" s="22">
        <f>'VIX HISTORIQUE'!B609</f>
        <v>3510.45</v>
      </c>
      <c r="C606" s="22">
        <f>'VIX HISTORIQUE'!D609</f>
        <v>27.58</v>
      </c>
      <c r="D606" s="22">
        <f>'VIX HISTORIQUE'!G609</f>
        <v>29.05</v>
      </c>
      <c r="E606" s="22">
        <f>'VIX HISTORIQUE'!I609</f>
        <v>29.36</v>
      </c>
      <c r="F606" s="22">
        <f>'VIX HISTORIQUE'!K609</f>
        <v>29.39</v>
      </c>
    </row>
    <row r="607" ht="15.75" customHeight="1">
      <c r="A607" s="25">
        <f>'VIX HISTORIQUE'!A610</f>
        <v>44141.66667</v>
      </c>
      <c r="B607" s="22">
        <f>'VIX HISTORIQUE'!B610</f>
        <v>3509.44</v>
      </c>
      <c r="C607" s="22">
        <f>'VIX HISTORIQUE'!D610</f>
        <v>24.86</v>
      </c>
      <c r="D607" s="22">
        <f>'VIX HISTORIQUE'!G610</f>
        <v>27.37</v>
      </c>
      <c r="E607" s="22">
        <f>'VIX HISTORIQUE'!I610</f>
        <v>27.91</v>
      </c>
      <c r="F607" s="22">
        <f>'VIX HISTORIQUE'!K610</f>
        <v>28.77</v>
      </c>
    </row>
    <row r="608" ht="15.75" customHeight="1">
      <c r="A608" s="25">
        <f>'VIX HISTORIQUE'!A611</f>
        <v>44144.66667</v>
      </c>
      <c r="B608" s="22">
        <f>'VIX HISTORIQUE'!B611</f>
        <v>3550.5</v>
      </c>
      <c r="C608" s="22">
        <f>'VIX HISTORIQUE'!D611</f>
        <v>25.75</v>
      </c>
      <c r="D608" s="22">
        <f>'VIX HISTORIQUE'!G611</f>
        <v>26.88</v>
      </c>
      <c r="E608" s="22">
        <f>'VIX HISTORIQUE'!I611</f>
        <v>27.13</v>
      </c>
      <c r="F608" s="22">
        <f>'VIX HISTORIQUE'!K611</f>
        <v>27.83</v>
      </c>
    </row>
    <row r="609" ht="15.75" customHeight="1">
      <c r="A609" s="25">
        <f>'VIX HISTORIQUE'!A612</f>
        <v>44145.66667</v>
      </c>
      <c r="B609" s="22">
        <f>'VIX HISTORIQUE'!B612</f>
        <v>3545.53</v>
      </c>
      <c r="C609" s="22">
        <f>'VIX HISTORIQUE'!D612</f>
        <v>24.8</v>
      </c>
      <c r="D609" s="22">
        <f>'VIX HISTORIQUE'!G612</f>
        <v>26.49</v>
      </c>
      <c r="E609" s="22">
        <f>'VIX HISTORIQUE'!I612</f>
        <v>27.05</v>
      </c>
      <c r="F609" s="22">
        <f>'VIX HISTORIQUE'!K612</f>
        <v>28.01</v>
      </c>
    </row>
    <row r="610" ht="15.75" customHeight="1">
      <c r="A610" s="25">
        <f>'VIX HISTORIQUE'!A613</f>
        <v>44146.66667</v>
      </c>
      <c r="B610" s="22">
        <f>'VIX HISTORIQUE'!B613</f>
        <v>3572.66</v>
      </c>
      <c r="C610" s="22">
        <f>'VIX HISTORIQUE'!D613</f>
        <v>23.45</v>
      </c>
      <c r="D610" s="22">
        <f>'VIX HISTORIQUE'!G613</f>
        <v>25.62</v>
      </c>
      <c r="E610" s="22">
        <f>'VIX HISTORIQUE'!I613</f>
        <v>26.54</v>
      </c>
      <c r="F610" s="22">
        <f>'VIX HISTORIQUE'!K613</f>
        <v>27.84</v>
      </c>
    </row>
    <row r="611" ht="15.75" customHeight="1">
      <c r="A611" s="25">
        <f>'VIX HISTORIQUE'!A614</f>
        <v>44147.66667</v>
      </c>
      <c r="B611" s="22">
        <f>'VIX HISTORIQUE'!B614</f>
        <v>3537.01</v>
      </c>
      <c r="C611" s="22">
        <f>'VIX HISTORIQUE'!D614</f>
        <v>25.35</v>
      </c>
      <c r="D611" s="22">
        <f>'VIX HISTORIQUE'!G614</f>
        <v>27.22</v>
      </c>
      <c r="E611" s="22">
        <f>'VIX HISTORIQUE'!I614</f>
        <v>27.64</v>
      </c>
      <c r="F611" s="22">
        <f>'VIX HISTORIQUE'!K614</f>
        <v>28.36</v>
      </c>
    </row>
    <row r="612" ht="15.75" customHeight="1">
      <c r="A612" s="25">
        <f>'VIX HISTORIQUE'!A615</f>
        <v>44148.66667</v>
      </c>
      <c r="B612" s="22">
        <f>'VIX HISTORIQUE'!B615</f>
        <v>3585.15</v>
      </c>
      <c r="C612" s="22">
        <f>'VIX HISTORIQUE'!D615</f>
        <v>23.1</v>
      </c>
      <c r="D612" s="22">
        <f>'VIX HISTORIQUE'!G615</f>
        <v>25.69</v>
      </c>
      <c r="E612" s="22">
        <f>'VIX HISTORIQUE'!I615</f>
        <v>26.82</v>
      </c>
      <c r="F612" s="22">
        <f>'VIX HISTORIQUE'!K615</f>
        <v>27.84</v>
      </c>
    </row>
    <row r="613" ht="15.75" customHeight="1">
      <c r="A613" s="25">
        <f>'VIX HISTORIQUE'!A616</f>
        <v>44151.66667</v>
      </c>
      <c r="B613" s="22">
        <f>'VIX HISTORIQUE'!B616</f>
        <v>3626.91</v>
      </c>
      <c r="C613" s="22">
        <f>'VIX HISTORIQUE'!D616</f>
        <v>22.45</v>
      </c>
      <c r="D613" s="22">
        <f>'VIX HISTORIQUE'!G616</f>
        <v>25.35</v>
      </c>
      <c r="E613" s="22">
        <f>'VIX HISTORIQUE'!I616</f>
        <v>26.61</v>
      </c>
      <c r="F613" s="22">
        <f>'VIX HISTORIQUE'!K616</f>
        <v>27.55</v>
      </c>
    </row>
    <row r="614" ht="15.75" customHeight="1">
      <c r="A614" s="25">
        <f>'VIX HISTORIQUE'!A617</f>
        <v>44152.66667</v>
      </c>
      <c r="B614" s="22">
        <f>'VIX HISTORIQUE'!B617</f>
        <v>3609.53</v>
      </c>
      <c r="C614" s="22">
        <f>'VIX HISTORIQUE'!D617</f>
        <v>22.71</v>
      </c>
      <c r="D614" s="22">
        <f>'VIX HISTORIQUE'!G617</f>
        <v>25.38</v>
      </c>
      <c r="E614" s="22">
        <f>'VIX HISTORIQUE'!I617</f>
        <v>26.73</v>
      </c>
      <c r="F614" s="22">
        <f>'VIX HISTORIQUE'!K617</f>
        <v>27.74</v>
      </c>
    </row>
    <row r="615" ht="15.75" customHeight="1">
      <c r="A615" s="25">
        <f>'VIX HISTORIQUE'!A618</f>
        <v>44153.66667</v>
      </c>
      <c r="B615" s="22">
        <f>'VIX HISTORIQUE'!B618</f>
        <v>3567.79</v>
      </c>
      <c r="C615" s="22">
        <f>'VIX HISTORIQUE'!D618</f>
        <v>23.84</v>
      </c>
      <c r="D615" s="22">
        <f>'VIX HISTORIQUE'!G618</f>
        <v>26.39</v>
      </c>
      <c r="E615" s="22">
        <f>'VIX HISTORIQUE'!I618</f>
        <v>27.61</v>
      </c>
      <c r="F615" s="22">
        <f>'VIX HISTORIQUE'!K618</f>
        <v>28.81</v>
      </c>
    </row>
    <row r="616" ht="15.75" customHeight="1">
      <c r="A616" s="25">
        <f>'VIX HISTORIQUE'!A619</f>
        <v>44154.66667</v>
      </c>
      <c r="B616" s="22">
        <f>'VIX HISTORIQUE'!B619</f>
        <v>3581.87</v>
      </c>
      <c r="C616" s="22">
        <f>'VIX HISTORIQUE'!D619</f>
        <v>23.11</v>
      </c>
      <c r="D616" s="22">
        <f>'VIX HISTORIQUE'!G619</f>
        <v>25.8</v>
      </c>
      <c r="E616" s="22">
        <f>'VIX HISTORIQUE'!I619</f>
        <v>26.82</v>
      </c>
      <c r="F616" s="22">
        <f>'VIX HISTORIQUE'!K619</f>
        <v>27.94</v>
      </c>
    </row>
    <row r="617" ht="15.75" customHeight="1">
      <c r="A617" s="25">
        <f>'VIX HISTORIQUE'!A620</f>
        <v>44155.66667</v>
      </c>
      <c r="B617" s="22">
        <f>'VIX HISTORIQUE'!B620</f>
        <v>3557.54</v>
      </c>
      <c r="C617" s="22">
        <f>'VIX HISTORIQUE'!D620</f>
        <v>23.7</v>
      </c>
      <c r="D617" s="22">
        <f>'VIX HISTORIQUE'!G620</f>
        <v>26.06</v>
      </c>
      <c r="E617" s="22">
        <f>'VIX HISTORIQUE'!I620</f>
        <v>27.07</v>
      </c>
      <c r="F617" s="22">
        <f>'VIX HISTORIQUE'!K620</f>
        <v>27.76</v>
      </c>
    </row>
    <row r="618" ht="15.75" customHeight="1">
      <c r="A618" s="25">
        <f>'VIX HISTORIQUE'!A621</f>
        <v>44158.66667</v>
      </c>
      <c r="B618" s="22">
        <f>'VIX HISTORIQUE'!B621</f>
        <v>3577.59</v>
      </c>
      <c r="C618" s="22">
        <f>'VIX HISTORIQUE'!D621</f>
        <v>22.66</v>
      </c>
      <c r="D618" s="22">
        <f>'VIX HISTORIQUE'!G621</f>
        <v>25.43</v>
      </c>
      <c r="E618" s="22">
        <f>'VIX HISTORIQUE'!I621</f>
        <v>26.65</v>
      </c>
      <c r="F618" s="22">
        <f>'VIX HISTORIQUE'!K621</f>
        <v>27.37</v>
      </c>
    </row>
    <row r="619" ht="15.75" customHeight="1">
      <c r="A619" s="25">
        <f>'VIX HISTORIQUE'!A622</f>
        <v>44159.66667</v>
      </c>
      <c r="B619" s="22">
        <f>'VIX HISTORIQUE'!B622</f>
        <v>3635.41</v>
      </c>
      <c r="C619" s="22">
        <f>'VIX HISTORIQUE'!D622</f>
        <v>21.64</v>
      </c>
      <c r="D619" s="22">
        <f>'VIX HISTORIQUE'!G622</f>
        <v>24.84</v>
      </c>
      <c r="E619" s="22">
        <f>'VIX HISTORIQUE'!I622</f>
        <v>26.3</v>
      </c>
      <c r="F619" s="22">
        <f>'VIX HISTORIQUE'!K622</f>
        <v>27.15</v>
      </c>
    </row>
    <row r="620" ht="15.75" customHeight="1">
      <c r="A620" s="25">
        <f>'VIX HISTORIQUE'!A623</f>
        <v>44160.66667</v>
      </c>
      <c r="B620" s="22">
        <f>'VIX HISTORIQUE'!B623</f>
        <v>3629.65</v>
      </c>
      <c r="C620" s="22">
        <f>'VIX HISTORIQUE'!D623</f>
        <v>21.25</v>
      </c>
      <c r="D620" s="22">
        <f>'VIX HISTORIQUE'!G623</f>
        <v>24.42</v>
      </c>
      <c r="E620" s="22">
        <f>'VIX HISTORIQUE'!I623</f>
        <v>26</v>
      </c>
      <c r="F620" s="22">
        <f>'VIX HISTORIQUE'!K623</f>
        <v>27.11</v>
      </c>
    </row>
    <row r="621" ht="15.75" customHeight="1">
      <c r="A621" s="25">
        <f>'VIX HISTORIQUE'!A624</f>
        <v>44162.54167</v>
      </c>
      <c r="B621" s="22">
        <f>'VIX HISTORIQUE'!B624</f>
        <v>3638.35</v>
      </c>
      <c r="C621" s="22">
        <f>'VIX HISTORIQUE'!D624</f>
        <v>20.84</v>
      </c>
      <c r="D621" s="22">
        <f>'VIX HISTORIQUE'!G624</f>
        <v>24.43</v>
      </c>
      <c r="E621" s="22">
        <f>'VIX HISTORIQUE'!I624</f>
        <v>26.05</v>
      </c>
      <c r="F621" s="22">
        <f>'VIX HISTORIQUE'!K624</f>
        <v>27.03</v>
      </c>
    </row>
    <row r="622" ht="15.75" customHeight="1">
      <c r="A622" s="25">
        <f>'VIX HISTORIQUE'!A625</f>
        <v>44165.66667</v>
      </c>
      <c r="B622" s="22">
        <f>'VIX HISTORIQUE'!B625</f>
        <v>3621.63</v>
      </c>
      <c r="C622" s="22">
        <f>'VIX HISTORIQUE'!D625</f>
        <v>20.57</v>
      </c>
      <c r="D622" s="22">
        <f>'VIX HISTORIQUE'!G625</f>
        <v>24.33</v>
      </c>
      <c r="E622" s="22">
        <f>'VIX HISTORIQUE'!I625</f>
        <v>25.97</v>
      </c>
      <c r="F622" s="22">
        <f>'VIX HISTORIQUE'!K625</f>
        <v>26.78</v>
      </c>
    </row>
    <row r="623" ht="15.75" customHeight="1">
      <c r="A623" s="25">
        <f>'VIX HISTORIQUE'!A626</f>
        <v>44166.66667</v>
      </c>
      <c r="B623" s="22">
        <f>'VIX HISTORIQUE'!B626</f>
        <v>3662.45</v>
      </c>
      <c r="C623" s="22">
        <f>'VIX HISTORIQUE'!D626</f>
        <v>20.77</v>
      </c>
      <c r="D623" s="22">
        <f>'VIX HISTORIQUE'!G626</f>
        <v>24.49</v>
      </c>
      <c r="E623" s="22">
        <f>'VIX HISTORIQUE'!I626</f>
        <v>26.09</v>
      </c>
      <c r="F623" s="22">
        <f>'VIX HISTORIQUE'!K626</f>
        <v>26.95</v>
      </c>
    </row>
    <row r="624" ht="15.75" customHeight="1">
      <c r="A624" s="25">
        <f>'VIX HISTORIQUE'!A627</f>
        <v>44167.66667</v>
      </c>
      <c r="B624" s="22">
        <f>'VIX HISTORIQUE'!B627</f>
        <v>3669.01</v>
      </c>
      <c r="C624" s="22">
        <f>'VIX HISTORIQUE'!D627</f>
        <v>21.17</v>
      </c>
      <c r="D624" s="22">
        <f>'VIX HISTORIQUE'!G627</f>
        <v>24.54</v>
      </c>
      <c r="E624" s="22">
        <f>'VIX HISTORIQUE'!I627</f>
        <v>26.17</v>
      </c>
      <c r="F624" s="22">
        <f>'VIX HISTORIQUE'!K627</f>
        <v>27.23</v>
      </c>
    </row>
    <row r="625" ht="15.75" customHeight="1">
      <c r="A625" s="25">
        <f>'VIX HISTORIQUE'!A628</f>
        <v>44168.66667</v>
      </c>
      <c r="B625" s="22">
        <f>'VIX HISTORIQUE'!B628</f>
        <v>3666.72</v>
      </c>
      <c r="C625" s="22">
        <f>'VIX HISTORIQUE'!D628</f>
        <v>21.28</v>
      </c>
      <c r="D625" s="22">
        <f>'VIX HISTORIQUE'!G628</f>
        <v>24.56</v>
      </c>
      <c r="E625" s="22">
        <f>'VIX HISTORIQUE'!I628</f>
        <v>26.25</v>
      </c>
      <c r="F625" s="22">
        <f>'VIX HISTORIQUE'!K628</f>
        <v>27.06</v>
      </c>
    </row>
    <row r="626" ht="15.75" customHeight="1">
      <c r="A626" s="25">
        <f>'VIX HISTORIQUE'!A629</f>
        <v>44169.66667</v>
      </c>
      <c r="B626" s="22">
        <f>'VIX HISTORIQUE'!B629</f>
        <v>3699.12</v>
      </c>
      <c r="C626" s="22">
        <f>'VIX HISTORIQUE'!D629</f>
        <v>20.79</v>
      </c>
      <c r="D626" s="22">
        <f>'VIX HISTORIQUE'!G629</f>
        <v>24.29</v>
      </c>
      <c r="E626" s="22">
        <f>'VIX HISTORIQUE'!I629</f>
        <v>26.08</v>
      </c>
      <c r="F626" s="22">
        <f>'VIX HISTORIQUE'!K629</f>
        <v>27.07</v>
      </c>
    </row>
    <row r="627" ht="15.75" customHeight="1">
      <c r="A627" s="25">
        <f>'VIX HISTORIQUE'!A630</f>
        <v>44172.66667</v>
      </c>
      <c r="B627" s="22">
        <f>'VIX HISTORIQUE'!B630</f>
        <v>3691.96</v>
      </c>
      <c r="C627" s="22">
        <f>'VIX HISTORIQUE'!D630</f>
        <v>21.3</v>
      </c>
      <c r="D627" s="22">
        <f>'VIX HISTORIQUE'!G630</f>
        <v>24.52</v>
      </c>
      <c r="E627" s="22">
        <f>'VIX HISTORIQUE'!I630</f>
        <v>26.32</v>
      </c>
      <c r="F627" s="22">
        <f>'VIX HISTORIQUE'!K630</f>
        <v>27.18</v>
      </c>
    </row>
    <row r="628" ht="15.75" customHeight="1">
      <c r="A628" s="25">
        <f>'VIX HISTORIQUE'!A631</f>
        <v>44173.66667</v>
      </c>
      <c r="B628" s="22">
        <f>'VIX HISTORIQUE'!B631</f>
        <v>3702.25</v>
      </c>
      <c r="C628" s="22">
        <f>'VIX HISTORIQUE'!D631</f>
        <v>20.68</v>
      </c>
      <c r="D628" s="22">
        <f>'VIX HISTORIQUE'!G631</f>
        <v>23.87</v>
      </c>
      <c r="E628" s="22">
        <f>'VIX HISTORIQUE'!I631</f>
        <v>25.89</v>
      </c>
      <c r="F628" s="22">
        <f>'VIX HISTORIQUE'!K631</f>
        <v>26.88</v>
      </c>
    </row>
    <row r="629" ht="15.75" customHeight="1">
      <c r="A629" s="25">
        <f>'VIX HISTORIQUE'!A632</f>
        <v>44174.66667</v>
      </c>
      <c r="B629" s="22">
        <f>'VIX HISTORIQUE'!B632</f>
        <v>3672.82</v>
      </c>
      <c r="C629" s="22">
        <f>'VIX HISTORIQUE'!D632</f>
        <v>22.27</v>
      </c>
      <c r="D629" s="22">
        <f>'VIX HISTORIQUE'!G632</f>
        <v>24.73</v>
      </c>
      <c r="E629" s="22">
        <f>'VIX HISTORIQUE'!I632</f>
        <v>26.55</v>
      </c>
      <c r="F629" s="22">
        <f>'VIX HISTORIQUE'!K632</f>
        <v>27.29</v>
      </c>
    </row>
    <row r="630" ht="15.75" customHeight="1">
      <c r="A630" s="25">
        <f>'VIX HISTORIQUE'!A633</f>
        <v>44175.66667</v>
      </c>
      <c r="B630" s="22">
        <f>'VIX HISTORIQUE'!B633</f>
        <v>3668.1</v>
      </c>
      <c r="C630" s="22">
        <f>'VIX HISTORIQUE'!D633</f>
        <v>22.52</v>
      </c>
      <c r="D630" s="22">
        <f>'VIX HISTORIQUE'!G633</f>
        <v>25.05</v>
      </c>
      <c r="E630" s="22">
        <f>'VIX HISTORIQUE'!I633</f>
        <v>26.92</v>
      </c>
      <c r="F630" s="22">
        <f>'VIX HISTORIQUE'!K633</f>
        <v>27.54</v>
      </c>
    </row>
    <row r="631" ht="15.75" customHeight="1">
      <c r="A631" s="25">
        <f>'VIX HISTORIQUE'!A634</f>
        <v>44176.66667</v>
      </c>
      <c r="B631" s="22">
        <f>'VIX HISTORIQUE'!B634</f>
        <v>3663.46</v>
      </c>
      <c r="C631" s="22">
        <f>'VIX HISTORIQUE'!D634</f>
        <v>23.31</v>
      </c>
      <c r="D631" s="22">
        <f>'VIX HISTORIQUE'!G634</f>
        <v>26.05</v>
      </c>
      <c r="E631" s="22">
        <f>'VIX HISTORIQUE'!I634</f>
        <v>27.68</v>
      </c>
      <c r="F631" s="22">
        <f>'VIX HISTORIQUE'!K634</f>
        <v>28.03</v>
      </c>
    </row>
    <row r="632" ht="15.75" customHeight="1">
      <c r="A632" s="25">
        <f>'VIX HISTORIQUE'!A635</f>
        <v>44179.66667</v>
      </c>
      <c r="B632" s="22">
        <f>'VIX HISTORIQUE'!B635</f>
        <v>3647.49</v>
      </c>
      <c r="C632" s="22">
        <f>'VIX HISTORIQUE'!D635</f>
        <v>24.72</v>
      </c>
      <c r="D632" s="22">
        <f>'VIX HISTORIQUE'!G635</f>
        <v>27.11</v>
      </c>
      <c r="E632" s="22">
        <f>'VIX HISTORIQUE'!I635</f>
        <v>28.73</v>
      </c>
      <c r="F632" s="22">
        <f>'VIX HISTORIQUE'!K635</f>
        <v>28.56</v>
      </c>
    </row>
    <row r="633" ht="15.75" customHeight="1">
      <c r="A633" s="25">
        <f>'VIX HISTORIQUE'!A636</f>
        <v>44180.66667</v>
      </c>
      <c r="B633" s="22">
        <f>'VIX HISTORIQUE'!B636</f>
        <v>3694.62</v>
      </c>
      <c r="C633" s="22">
        <f>'VIX HISTORIQUE'!D636</f>
        <v>22.89</v>
      </c>
      <c r="D633" s="22">
        <f>'VIX HISTORIQUE'!G636</f>
        <v>25.87</v>
      </c>
      <c r="E633" s="22">
        <f>'VIX HISTORIQUE'!I636</f>
        <v>27.49</v>
      </c>
      <c r="F633" s="22">
        <f>'VIX HISTORIQUE'!K636</f>
        <v>28.1</v>
      </c>
    </row>
    <row r="634" ht="15.75" customHeight="1">
      <c r="A634" s="25">
        <f>'VIX HISTORIQUE'!A637</f>
        <v>44181.66667</v>
      </c>
      <c r="B634" s="22">
        <f>'VIX HISTORIQUE'!B637</f>
        <v>3701.17</v>
      </c>
      <c r="C634" s="22">
        <f>'VIX HISTORIQUE'!D637</f>
        <v>22.5</v>
      </c>
      <c r="D634" s="22">
        <f>'VIX HISTORIQUE'!G637</f>
        <v>25.47</v>
      </c>
      <c r="E634" s="22">
        <f>'VIX HISTORIQUE'!I637</f>
        <v>27.21</v>
      </c>
      <c r="F634" s="22">
        <f>'VIX HISTORIQUE'!K637</f>
        <v>27.86</v>
      </c>
    </row>
    <row r="635" ht="15.75" customHeight="1">
      <c r="A635" s="25">
        <f>'VIX HISTORIQUE'!A638</f>
        <v>44182.66667</v>
      </c>
      <c r="B635" s="22">
        <f>'VIX HISTORIQUE'!B638</f>
        <v>3722.48</v>
      </c>
      <c r="C635" s="22">
        <f>'VIX HISTORIQUE'!D638</f>
        <v>21.93</v>
      </c>
      <c r="D635" s="22">
        <f>'VIX HISTORIQUE'!G638</f>
        <v>25.15</v>
      </c>
      <c r="E635" s="22">
        <f>'VIX HISTORIQUE'!I638</f>
        <v>27.05</v>
      </c>
      <c r="F635" s="22">
        <f>'VIX HISTORIQUE'!K638</f>
        <v>27.81</v>
      </c>
    </row>
    <row r="636" ht="15.75" customHeight="1">
      <c r="A636" s="25">
        <f>'VIX HISTORIQUE'!A639</f>
        <v>44183.66667</v>
      </c>
      <c r="B636" s="22">
        <f>'VIX HISTORIQUE'!B639</f>
        <v>3709.41</v>
      </c>
      <c r="C636" s="22">
        <f>'VIX HISTORIQUE'!D639</f>
        <v>21.57</v>
      </c>
      <c r="D636" s="22">
        <f>'VIX HISTORIQUE'!G639</f>
        <v>25.17</v>
      </c>
      <c r="E636" s="22">
        <f>'VIX HISTORIQUE'!I639</f>
        <v>27.22</v>
      </c>
      <c r="F636" s="22">
        <f>'VIX HISTORIQUE'!K639</f>
        <v>27.88</v>
      </c>
    </row>
    <row r="637" ht="15.75" customHeight="1">
      <c r="A637" s="25">
        <f>'VIX HISTORIQUE'!A640</f>
        <v>44186.66667</v>
      </c>
      <c r="B637" s="22">
        <f>'VIX HISTORIQUE'!B640</f>
        <v>3694.92</v>
      </c>
      <c r="C637" s="22">
        <f>'VIX HISTORIQUE'!D640</f>
        <v>25.16</v>
      </c>
      <c r="D637" s="22">
        <f>'VIX HISTORIQUE'!G640</f>
        <v>27.58</v>
      </c>
      <c r="E637" s="22">
        <f>'VIX HISTORIQUE'!I640</f>
        <v>28.7</v>
      </c>
      <c r="F637" s="22">
        <f>'VIX HISTORIQUE'!K640</f>
        <v>28.81</v>
      </c>
    </row>
    <row r="638" ht="15.75" customHeight="1">
      <c r="A638" s="25">
        <f>'VIX HISTORIQUE'!A641</f>
        <v>44187.66667</v>
      </c>
      <c r="B638" s="22">
        <f>'VIX HISTORIQUE'!B641</f>
        <v>3687.26</v>
      </c>
      <c r="C638" s="22">
        <f>'VIX HISTORIQUE'!D641</f>
        <v>24.23</v>
      </c>
      <c r="D638" s="22">
        <f>'VIX HISTORIQUE'!G641</f>
        <v>27.25</v>
      </c>
      <c r="E638" s="22">
        <f>'VIX HISTORIQUE'!I641</f>
        <v>28.63</v>
      </c>
      <c r="F638" s="22">
        <f>'VIX HISTORIQUE'!K641</f>
        <v>28.72</v>
      </c>
    </row>
    <row r="639" ht="15.75" customHeight="1">
      <c r="A639" s="25">
        <f>'VIX HISTORIQUE'!A642</f>
        <v>44188.66667</v>
      </c>
      <c r="B639" s="22">
        <f>'VIX HISTORIQUE'!B642</f>
        <v>3690.01</v>
      </c>
      <c r="C639" s="22">
        <f>'VIX HISTORIQUE'!D642</f>
        <v>23.31</v>
      </c>
      <c r="D639" s="22">
        <f>'VIX HISTORIQUE'!G642</f>
        <v>26.26</v>
      </c>
      <c r="E639" s="22">
        <f>'VIX HISTORIQUE'!I642</f>
        <v>27.96</v>
      </c>
      <c r="F639" s="22">
        <f>'VIX HISTORIQUE'!K642</f>
        <v>28.28</v>
      </c>
    </row>
    <row r="640" ht="15.75" customHeight="1">
      <c r="A640" s="25">
        <f>'VIX HISTORIQUE'!A643</f>
        <v>44193.66667</v>
      </c>
      <c r="B640" s="22">
        <f>'VIX HISTORIQUE'!B643</f>
        <v>3735.36</v>
      </c>
      <c r="C640" s="22">
        <f>'VIX HISTORIQUE'!D643</f>
        <v>21.7</v>
      </c>
      <c r="D640" s="22">
        <f>'VIX HISTORIQUE'!G643</f>
        <v>25.15</v>
      </c>
      <c r="E640" s="22">
        <f>'VIX HISTORIQUE'!I643</f>
        <v>27.16</v>
      </c>
      <c r="F640" s="22">
        <f>'VIX HISTORIQUE'!K643</f>
        <v>27.56</v>
      </c>
    </row>
    <row r="641" ht="15.75" customHeight="1">
      <c r="A641" s="25">
        <f>'VIX HISTORIQUE'!A644</f>
        <v>44194.66667</v>
      </c>
      <c r="B641" s="22">
        <f>'VIX HISTORIQUE'!B644</f>
        <v>3727.04</v>
      </c>
      <c r="C641" s="22">
        <f>'VIX HISTORIQUE'!D644</f>
        <v>23.08</v>
      </c>
      <c r="D641" s="22">
        <f>'VIX HISTORIQUE'!G644</f>
        <v>26.24</v>
      </c>
      <c r="E641" s="22">
        <f>'VIX HISTORIQUE'!I644</f>
        <v>28.09</v>
      </c>
      <c r="F641" s="22">
        <f>'VIX HISTORIQUE'!K644</f>
        <v>28.19</v>
      </c>
    </row>
    <row r="642" ht="15.75" customHeight="1">
      <c r="A642" s="25">
        <f>'VIX HISTORIQUE'!A645</f>
        <v>44195.66667</v>
      </c>
      <c r="B642" s="22">
        <f>'VIX HISTORIQUE'!B645</f>
        <v>3732.04</v>
      </c>
      <c r="C642" s="22">
        <f>'VIX HISTORIQUE'!D645</f>
        <v>22.77</v>
      </c>
      <c r="D642" s="22">
        <f>'VIX HISTORIQUE'!G645</f>
        <v>25.44</v>
      </c>
      <c r="E642" s="22">
        <f>'VIX HISTORIQUE'!I645</f>
        <v>27.5</v>
      </c>
      <c r="F642" s="22">
        <f>'VIX HISTORIQUE'!K645</f>
        <v>27.93</v>
      </c>
    </row>
    <row r="643" ht="15.75" customHeight="1">
      <c r="A643" s="25">
        <f>'VIX HISTORIQUE'!A646</f>
        <v>44196.66667</v>
      </c>
      <c r="B643" s="22">
        <f>'VIX HISTORIQUE'!B646</f>
        <v>3756.07</v>
      </c>
      <c r="C643" s="22">
        <f>'VIX HISTORIQUE'!D646</f>
        <v>22.75</v>
      </c>
      <c r="D643" s="22">
        <f>'VIX HISTORIQUE'!G646</f>
        <v>25.28</v>
      </c>
      <c r="E643" s="22">
        <f>'VIX HISTORIQUE'!I646</f>
        <v>27.29</v>
      </c>
      <c r="F643" s="22">
        <f>'VIX HISTORIQUE'!K646</f>
        <v>27.62</v>
      </c>
    </row>
    <row r="644" ht="15.75" customHeight="1">
      <c r="A644" s="25">
        <f>'VIX HISTORIQUE'!A647</f>
        <v>44200.66667</v>
      </c>
      <c r="B644" s="22">
        <f>'VIX HISTORIQUE'!B647</f>
        <v>3700.65</v>
      </c>
      <c r="C644" s="22">
        <f>'VIX HISTORIQUE'!D647</f>
        <v>26.97</v>
      </c>
      <c r="D644" s="22">
        <f>'VIX HISTORIQUE'!G647</f>
        <v>28.26</v>
      </c>
      <c r="E644" s="22">
        <f>'VIX HISTORIQUE'!I647</f>
        <v>29.46</v>
      </c>
      <c r="F644" s="22">
        <f>'VIX HISTORIQUE'!K647</f>
        <v>29.19</v>
      </c>
    </row>
    <row r="645" ht="15.75" customHeight="1">
      <c r="A645" s="25">
        <f>'VIX HISTORIQUE'!A648</f>
        <v>44201.66667</v>
      </c>
      <c r="B645" s="22">
        <f>'VIX HISTORIQUE'!B648</f>
        <v>3726.86</v>
      </c>
      <c r="C645" s="22">
        <f>'VIX HISTORIQUE'!D648</f>
        <v>25.34</v>
      </c>
      <c r="D645" s="22">
        <f>'VIX HISTORIQUE'!G648</f>
        <v>27.25</v>
      </c>
      <c r="E645" s="22">
        <f>'VIX HISTORIQUE'!I648</f>
        <v>28.71</v>
      </c>
      <c r="F645" s="22">
        <f>'VIX HISTORIQUE'!K648</f>
        <v>28.74</v>
      </c>
    </row>
    <row r="646" ht="15.75" customHeight="1">
      <c r="A646" s="25">
        <f>'VIX HISTORIQUE'!A649</f>
        <v>44202.66667</v>
      </c>
      <c r="B646" s="22">
        <f>'VIX HISTORIQUE'!B649</f>
        <v>3748.14</v>
      </c>
      <c r="C646" s="22">
        <f>'VIX HISTORIQUE'!D649</f>
        <v>25.07</v>
      </c>
      <c r="D646" s="22">
        <f>'VIX HISTORIQUE'!G649</f>
        <v>26.79</v>
      </c>
      <c r="E646" s="22">
        <f>'VIX HISTORIQUE'!I649</f>
        <v>28.29</v>
      </c>
      <c r="F646" s="22">
        <f>'VIX HISTORIQUE'!K649</f>
        <v>28.29</v>
      </c>
    </row>
    <row r="647" ht="15.75" customHeight="1">
      <c r="A647" s="25">
        <f>'VIX HISTORIQUE'!A650</f>
        <v>44203.66667</v>
      </c>
      <c r="B647" s="22">
        <f>'VIX HISTORIQUE'!B650</f>
        <v>3803.79</v>
      </c>
      <c r="C647" s="22">
        <f>'VIX HISTORIQUE'!D650</f>
        <v>22.37</v>
      </c>
      <c r="D647" s="22">
        <f>'VIX HISTORIQUE'!G650</f>
        <v>25.02</v>
      </c>
      <c r="E647" s="22">
        <f>'VIX HISTORIQUE'!I650</f>
        <v>27.19</v>
      </c>
      <c r="F647" s="22">
        <f>'VIX HISTORIQUE'!K650</f>
        <v>27.41</v>
      </c>
    </row>
    <row r="648" ht="15.75" customHeight="1">
      <c r="A648" s="25">
        <f>'VIX HISTORIQUE'!A651</f>
        <v>44204.66667</v>
      </c>
      <c r="B648" s="22">
        <f>'VIX HISTORIQUE'!B651</f>
        <v>3824.68</v>
      </c>
      <c r="C648" s="22">
        <f>'VIX HISTORIQUE'!D651</f>
        <v>21.56</v>
      </c>
      <c r="D648" s="22">
        <f>'VIX HISTORIQUE'!G651</f>
        <v>24.9</v>
      </c>
      <c r="E648" s="22">
        <f>'VIX HISTORIQUE'!I651</f>
        <v>27.08</v>
      </c>
      <c r="F648" s="22">
        <f>'VIX HISTORIQUE'!K651</f>
        <v>27.27</v>
      </c>
    </row>
    <row r="649" ht="15.75" customHeight="1">
      <c r="A649" s="25">
        <f>'VIX HISTORIQUE'!A652</f>
        <v>44207.66667</v>
      </c>
      <c r="B649" s="22">
        <f>'VIX HISTORIQUE'!B652</f>
        <v>3799.61</v>
      </c>
      <c r="C649" s="22">
        <f>'VIX HISTORIQUE'!D652</f>
        <v>24.08</v>
      </c>
      <c r="D649" s="22">
        <f>'VIX HISTORIQUE'!G652</f>
        <v>26.7</v>
      </c>
      <c r="E649" s="22">
        <f>'VIX HISTORIQUE'!I652</f>
        <v>28.5</v>
      </c>
      <c r="F649" s="22">
        <f>'VIX HISTORIQUE'!K652</f>
        <v>28.15</v>
      </c>
    </row>
    <row r="650" ht="15.75" customHeight="1">
      <c r="A650" s="25">
        <f>'VIX HISTORIQUE'!A653</f>
        <v>44208.66667</v>
      </c>
      <c r="B650" s="22">
        <f>'VIX HISTORIQUE'!B653</f>
        <v>3801.19</v>
      </c>
      <c r="C650" s="22">
        <f>'VIX HISTORIQUE'!D653</f>
        <v>23.33</v>
      </c>
      <c r="D650" s="22">
        <f>'VIX HISTORIQUE'!G653</f>
        <v>26.2</v>
      </c>
      <c r="E650" s="22">
        <f>'VIX HISTORIQUE'!I653</f>
        <v>28.09</v>
      </c>
      <c r="F650" s="22">
        <f>'VIX HISTORIQUE'!K653</f>
        <v>27.88</v>
      </c>
    </row>
    <row r="651" ht="15.75" customHeight="1">
      <c r="A651" s="25">
        <f>'VIX HISTORIQUE'!A654</f>
        <v>44209.66667</v>
      </c>
      <c r="B651" s="22">
        <f>'VIX HISTORIQUE'!B654</f>
        <v>3809.84</v>
      </c>
      <c r="C651" s="22">
        <f>'VIX HISTORIQUE'!D654</f>
        <v>22.21</v>
      </c>
      <c r="D651" s="22">
        <f>'VIX HISTORIQUE'!G654</f>
        <v>25.55</v>
      </c>
      <c r="E651" s="22">
        <f>'VIX HISTORIQUE'!I654</f>
        <v>27.71</v>
      </c>
      <c r="F651" s="22">
        <f>'VIX HISTORIQUE'!K654</f>
        <v>27.65</v>
      </c>
    </row>
    <row r="652" ht="15.75" customHeight="1">
      <c r="A652" s="25">
        <f>'VIX HISTORIQUE'!A655</f>
        <v>44210.66667</v>
      </c>
      <c r="B652" s="22">
        <f>'VIX HISTORIQUE'!B655</f>
        <v>3795.54</v>
      </c>
      <c r="C652" s="22">
        <f>'VIX HISTORIQUE'!D655</f>
        <v>23.25</v>
      </c>
      <c r="D652" s="22">
        <f>'VIX HISTORIQUE'!G655</f>
        <v>26.32</v>
      </c>
      <c r="E652" s="22">
        <f>'VIX HISTORIQUE'!I655</f>
        <v>27.4</v>
      </c>
      <c r="F652" s="22">
        <f>'VIX HISTORIQUE'!K655</f>
        <v>28.11</v>
      </c>
    </row>
    <row r="653" ht="15.75" customHeight="1">
      <c r="A653" s="25">
        <f>'VIX HISTORIQUE'!A656</f>
        <v>44211.66667</v>
      </c>
      <c r="B653" s="22">
        <f>'VIX HISTORIQUE'!B656</f>
        <v>3768.25</v>
      </c>
      <c r="C653" s="22">
        <f>'VIX HISTORIQUE'!D656</f>
        <v>24.34</v>
      </c>
      <c r="D653" s="22">
        <f>'VIX HISTORIQUE'!G656</f>
        <v>27.26</v>
      </c>
      <c r="E653" s="22">
        <f>'VIX HISTORIQUE'!I656</f>
        <v>28.1</v>
      </c>
      <c r="F653" s="22">
        <f>'VIX HISTORIQUE'!K656</f>
        <v>28.6</v>
      </c>
    </row>
    <row r="654" ht="15.75" customHeight="1">
      <c r="A654" s="25">
        <f>'VIX HISTORIQUE'!A657</f>
        <v>44215.66667</v>
      </c>
      <c r="B654" s="22">
        <f>'VIX HISTORIQUE'!B657</f>
        <v>3798.91</v>
      </c>
      <c r="C654" s="22">
        <f>'VIX HISTORIQUE'!D657</f>
        <v>23.24</v>
      </c>
      <c r="D654" s="22">
        <f>'VIX HISTORIQUE'!G657</f>
        <v>26.69</v>
      </c>
      <c r="E654" s="22">
        <f>'VIX HISTORIQUE'!I657</f>
        <v>27.83</v>
      </c>
      <c r="F654" s="22">
        <f>'VIX HISTORIQUE'!K657</f>
        <v>28.2</v>
      </c>
    </row>
    <row r="655" ht="15.75" customHeight="1">
      <c r="A655" s="25">
        <f>'VIX HISTORIQUE'!A658</f>
        <v>44216.66667</v>
      </c>
      <c r="B655" s="22">
        <f>'VIX HISTORIQUE'!B658</f>
        <v>3851.85</v>
      </c>
      <c r="C655" s="22">
        <f>'VIX HISTORIQUE'!D658</f>
        <v>21.58</v>
      </c>
      <c r="D655" s="22">
        <f>'VIX HISTORIQUE'!G658</f>
        <v>25.72</v>
      </c>
      <c r="E655" s="22">
        <f>'VIX HISTORIQUE'!I658</f>
        <v>27.17</v>
      </c>
      <c r="F655" s="22">
        <f>'VIX HISTORIQUE'!K658</f>
        <v>27.66</v>
      </c>
    </row>
    <row r="656" ht="15.75" customHeight="1">
      <c r="A656" s="25">
        <f>'VIX HISTORIQUE'!A659</f>
        <v>44217.66667</v>
      </c>
      <c r="B656" s="22">
        <f>'VIX HISTORIQUE'!B659</f>
        <v>3853.07</v>
      </c>
      <c r="C656" s="22">
        <f>'VIX HISTORIQUE'!D659</f>
        <v>21.32</v>
      </c>
      <c r="D656" s="22">
        <f>'VIX HISTORIQUE'!G659</f>
        <v>25.7</v>
      </c>
      <c r="E656" s="22">
        <f>'VIX HISTORIQUE'!I659</f>
        <v>27.23</v>
      </c>
      <c r="F656" s="22">
        <f>'VIX HISTORIQUE'!K659</f>
        <v>27.8</v>
      </c>
    </row>
    <row r="657" ht="15.75" customHeight="1">
      <c r="A657" s="25">
        <f>'VIX HISTORIQUE'!A660</f>
        <v>44218.66667</v>
      </c>
      <c r="B657" s="22">
        <f>'VIX HISTORIQUE'!B660</f>
        <v>3841.47</v>
      </c>
      <c r="C657" s="22">
        <f>'VIX HISTORIQUE'!D660</f>
        <v>21.91</v>
      </c>
      <c r="D657" s="22">
        <f>'VIX HISTORIQUE'!G660</f>
        <v>25.99</v>
      </c>
      <c r="E657" s="22">
        <f>'VIX HISTORIQUE'!I660</f>
        <v>27.52</v>
      </c>
      <c r="F657" s="22">
        <f>'VIX HISTORIQUE'!K660</f>
        <v>27.98</v>
      </c>
    </row>
    <row r="658" ht="15.75" customHeight="1">
      <c r="A658" s="25">
        <f>'VIX HISTORIQUE'!A661</f>
        <v>44221.66667</v>
      </c>
      <c r="B658" s="22">
        <f>'VIX HISTORIQUE'!B661</f>
        <v>3855.36</v>
      </c>
      <c r="C658" s="22">
        <f>'VIX HISTORIQUE'!D661</f>
        <v>23.19</v>
      </c>
      <c r="D658" s="22">
        <f>'VIX HISTORIQUE'!G661</f>
        <v>26.88</v>
      </c>
      <c r="E658" s="22">
        <f>'VIX HISTORIQUE'!I661</f>
        <v>28.27</v>
      </c>
      <c r="F658" s="22">
        <f>'VIX HISTORIQUE'!K661</f>
        <v>28.57</v>
      </c>
    </row>
    <row r="659" ht="15.75" customHeight="1">
      <c r="A659" s="25">
        <f>'VIX HISTORIQUE'!A662</f>
        <v>44222.66667</v>
      </c>
      <c r="B659" s="22">
        <f>'VIX HISTORIQUE'!B662</f>
        <v>3849.62</v>
      </c>
      <c r="C659" s="22">
        <f>'VIX HISTORIQUE'!D662</f>
        <v>23.02</v>
      </c>
      <c r="D659" s="22">
        <f>'VIX HISTORIQUE'!G662</f>
        <v>26.89</v>
      </c>
      <c r="E659" s="22">
        <f>'VIX HISTORIQUE'!I662</f>
        <v>28.38</v>
      </c>
      <c r="F659" s="22">
        <f>'VIX HISTORIQUE'!K662</f>
        <v>28.39</v>
      </c>
    </row>
    <row r="660" ht="15.75" customHeight="1">
      <c r="A660" s="25">
        <f>'VIX HISTORIQUE'!A663</f>
        <v>44223.66667</v>
      </c>
      <c r="B660" s="22">
        <f>'VIX HISTORIQUE'!B663</f>
        <v>3750.77</v>
      </c>
      <c r="C660" s="22">
        <f>'VIX HISTORIQUE'!D663</f>
        <v>37.21</v>
      </c>
      <c r="D660" s="22">
        <f>'VIX HISTORIQUE'!G663</f>
        <v>35.73</v>
      </c>
      <c r="E660" s="22">
        <f>'VIX HISTORIQUE'!I663</f>
        <v>34.66</v>
      </c>
      <c r="F660" s="22">
        <f>'VIX HISTORIQUE'!K663</f>
        <v>32.97</v>
      </c>
    </row>
    <row r="661" ht="15.75" customHeight="1">
      <c r="A661" s="25">
        <f>'VIX HISTORIQUE'!A664</f>
        <v>44224.66667</v>
      </c>
      <c r="B661" s="22">
        <f>'VIX HISTORIQUE'!B664</f>
        <v>3787.38</v>
      </c>
      <c r="C661" s="22">
        <f>'VIX HISTORIQUE'!D664</f>
        <v>30.21</v>
      </c>
      <c r="D661" s="22">
        <f>'VIX HISTORIQUE'!G664</f>
        <v>31.77</v>
      </c>
      <c r="E661" s="22">
        <f>'VIX HISTORIQUE'!I664</f>
        <v>32.01</v>
      </c>
      <c r="F661" s="22">
        <f>'VIX HISTORIQUE'!K664</f>
        <v>30.95</v>
      </c>
    </row>
    <row r="662" ht="15.75" customHeight="1">
      <c r="A662" s="25">
        <f>'VIX HISTORIQUE'!A665</f>
        <v>44225.66667</v>
      </c>
      <c r="B662" s="22">
        <f>'VIX HISTORIQUE'!B665</f>
        <v>3714.24</v>
      </c>
      <c r="C662" s="22">
        <f>'VIX HISTORIQUE'!D665</f>
        <v>33.09</v>
      </c>
      <c r="D662" s="22">
        <f>'VIX HISTORIQUE'!G665</f>
        <v>33.88</v>
      </c>
      <c r="E662" s="22">
        <f>'VIX HISTORIQUE'!I665</f>
        <v>33.96</v>
      </c>
      <c r="F662" s="22">
        <f>'VIX HISTORIQUE'!K665</f>
        <v>31.92</v>
      </c>
    </row>
    <row r="663" ht="15.75" customHeight="1">
      <c r="A663" s="25">
        <f>'VIX HISTORIQUE'!A666</f>
        <v>44228.66667</v>
      </c>
      <c r="B663" s="22">
        <f>'VIX HISTORIQUE'!B666</f>
        <v>3773.86</v>
      </c>
      <c r="C663" s="22">
        <f>'VIX HISTORIQUE'!D666</f>
        <v>30.24</v>
      </c>
      <c r="D663" s="22">
        <f>'VIX HISTORIQUE'!G666</f>
        <v>32.53</v>
      </c>
      <c r="E663" s="22">
        <f>'VIX HISTORIQUE'!I666</f>
        <v>32.71</v>
      </c>
      <c r="F663" s="22">
        <f>'VIX HISTORIQUE'!K666</f>
        <v>31.04</v>
      </c>
    </row>
    <row r="664" ht="15.75" customHeight="1">
      <c r="A664" s="25">
        <f>'VIX HISTORIQUE'!A667</f>
        <v>44229.66667</v>
      </c>
      <c r="B664" s="22">
        <f>'VIX HISTORIQUE'!B667</f>
        <v>3826.31</v>
      </c>
      <c r="C664" s="22">
        <f>'VIX HISTORIQUE'!D667</f>
        <v>25.56</v>
      </c>
      <c r="D664" s="22">
        <f>'VIX HISTORIQUE'!G667</f>
        <v>29.36</v>
      </c>
      <c r="E664" s="22">
        <f>'VIX HISTORIQUE'!I667</f>
        <v>30.56</v>
      </c>
      <c r="F664" s="22">
        <f>'VIX HISTORIQUE'!K667</f>
        <v>29.7</v>
      </c>
    </row>
    <row r="665" ht="15.75" customHeight="1">
      <c r="A665" s="25">
        <f>'VIX HISTORIQUE'!A668</f>
        <v>44230.66667</v>
      </c>
      <c r="B665" s="22">
        <f>'VIX HISTORIQUE'!B668</f>
        <v>3830.17</v>
      </c>
      <c r="C665" s="22">
        <f>'VIX HISTORIQUE'!D668</f>
        <v>22.91</v>
      </c>
      <c r="D665" s="22">
        <f>'VIX HISTORIQUE'!G668</f>
        <v>27.57</v>
      </c>
      <c r="E665" s="22">
        <f>'VIX HISTORIQUE'!I668</f>
        <v>29.27</v>
      </c>
      <c r="F665" s="22">
        <f>'VIX HISTORIQUE'!K668</f>
        <v>28.8</v>
      </c>
    </row>
    <row r="666" ht="15.75" customHeight="1">
      <c r="A666" s="25">
        <f>'VIX HISTORIQUE'!A669</f>
        <v>44231.66667</v>
      </c>
      <c r="B666" s="22">
        <f>'VIX HISTORIQUE'!B669</f>
        <v>3871.74</v>
      </c>
      <c r="C666" s="22">
        <f>'VIX HISTORIQUE'!D669</f>
        <v>21.77</v>
      </c>
      <c r="D666" s="22">
        <f>'VIX HISTORIQUE'!G669</f>
        <v>26.79</v>
      </c>
      <c r="E666" s="22">
        <f>'VIX HISTORIQUE'!I669</f>
        <v>28.61</v>
      </c>
      <c r="F666" s="22">
        <f>'VIX HISTORIQUE'!K669</f>
        <v>28.35</v>
      </c>
    </row>
    <row r="667" ht="15.75" customHeight="1">
      <c r="A667" s="25">
        <f>'VIX HISTORIQUE'!A670</f>
        <v>44232.66667</v>
      </c>
      <c r="B667" s="22">
        <f>'VIX HISTORIQUE'!B670</f>
        <v>3886.83</v>
      </c>
      <c r="C667" s="22">
        <f>'VIX HISTORIQUE'!D670</f>
        <v>20.87</v>
      </c>
      <c r="D667" s="22">
        <f>'VIX HISTORIQUE'!G670</f>
        <v>26.52</v>
      </c>
      <c r="E667" s="22">
        <f>'VIX HISTORIQUE'!I670</f>
        <v>28.59</v>
      </c>
      <c r="F667" s="22">
        <f>'VIX HISTORIQUE'!K670</f>
        <v>28.41</v>
      </c>
    </row>
    <row r="668" ht="15.75" customHeight="1">
      <c r="A668" s="25">
        <f>'VIX HISTORIQUE'!A671</f>
        <v>44235.66667</v>
      </c>
      <c r="B668" s="22">
        <f>'VIX HISTORIQUE'!B671</f>
        <v>3915.59</v>
      </c>
      <c r="C668" s="22">
        <f>'VIX HISTORIQUE'!D671</f>
        <v>21.24</v>
      </c>
      <c r="D668" s="22">
        <f>'VIX HISTORIQUE'!G671</f>
        <v>26.65</v>
      </c>
      <c r="E668" s="22">
        <f>'VIX HISTORIQUE'!I671</f>
        <v>28.76</v>
      </c>
      <c r="F668" s="22">
        <f>'VIX HISTORIQUE'!K671</f>
        <v>28.41</v>
      </c>
    </row>
    <row r="669" ht="15.75" customHeight="1">
      <c r="A669" s="25">
        <f>'VIX HISTORIQUE'!A672</f>
        <v>44236.66667</v>
      </c>
      <c r="B669" s="22">
        <f>'VIX HISTORIQUE'!B672</f>
        <v>3911.23</v>
      </c>
      <c r="C669" s="22">
        <f>'VIX HISTORIQUE'!D672</f>
        <v>21.63</v>
      </c>
      <c r="D669" s="22">
        <f>'VIX HISTORIQUE'!G672</f>
        <v>27.11</v>
      </c>
      <c r="E669" s="22">
        <f>'VIX HISTORIQUE'!I672</f>
        <v>29.19</v>
      </c>
      <c r="F669" s="22">
        <f>'VIX HISTORIQUE'!K672</f>
        <v>28.63</v>
      </c>
    </row>
    <row r="670" ht="15.75" customHeight="1">
      <c r="A670" s="25">
        <f>'VIX HISTORIQUE'!A673</f>
        <v>44237.66667</v>
      </c>
      <c r="B670" s="22">
        <f>'VIX HISTORIQUE'!B673</f>
        <v>3909.88</v>
      </c>
      <c r="C670" s="22">
        <f>'VIX HISTORIQUE'!D673</f>
        <v>21.99</v>
      </c>
      <c r="D670" s="22">
        <f>'VIX HISTORIQUE'!G673</f>
        <v>27.49</v>
      </c>
      <c r="E670" s="22">
        <f>'VIX HISTORIQUE'!I673</f>
        <v>30</v>
      </c>
      <c r="F670" s="22">
        <f>'VIX HISTORIQUE'!K673</f>
        <v>28.99</v>
      </c>
    </row>
    <row r="671" ht="15.75" customHeight="1">
      <c r="A671" s="25">
        <f>'VIX HISTORIQUE'!A674</f>
        <v>44238.66667</v>
      </c>
      <c r="B671" s="22">
        <f>'VIX HISTORIQUE'!B674</f>
        <v>3916.38</v>
      </c>
      <c r="C671" s="22">
        <f>'VIX HISTORIQUE'!D674</f>
        <v>21.25</v>
      </c>
      <c r="D671" s="22">
        <f>'VIX HISTORIQUE'!G674</f>
        <v>27.22</v>
      </c>
      <c r="E671" s="22">
        <f>'VIX HISTORIQUE'!I674</f>
        <v>29.57</v>
      </c>
      <c r="F671" s="22">
        <f>'VIX HISTORIQUE'!K674</f>
        <v>28.96</v>
      </c>
    </row>
    <row r="672" ht="15.75" customHeight="1">
      <c r="A672" s="25">
        <f>'VIX HISTORIQUE'!A675</f>
        <v>44239.66667</v>
      </c>
      <c r="B672" s="22">
        <f>'VIX HISTORIQUE'!B675</f>
        <v>3934.83</v>
      </c>
      <c r="C672" s="22">
        <f>'VIX HISTORIQUE'!D675</f>
        <v>19.97</v>
      </c>
      <c r="D672" s="22">
        <f>'VIX HISTORIQUE'!G675</f>
        <v>26.5</v>
      </c>
      <c r="E672" s="22">
        <f>'VIX HISTORIQUE'!I675</f>
        <v>29.34</v>
      </c>
      <c r="F672" s="22">
        <f>'VIX HISTORIQUE'!K675</f>
        <v>28.84</v>
      </c>
    </row>
    <row r="673" ht="15.75" customHeight="1">
      <c r="A673" s="25">
        <f>'VIX HISTORIQUE'!A676</f>
        <v>44243.66667</v>
      </c>
      <c r="B673" s="22">
        <f>'VIX HISTORIQUE'!B676</f>
        <v>3932.59</v>
      </c>
      <c r="C673" s="22">
        <f>'VIX HISTORIQUE'!D676</f>
        <v>21.46</v>
      </c>
      <c r="D673" s="22">
        <f>'VIX HISTORIQUE'!G676</f>
        <v>27.55</v>
      </c>
      <c r="E673" s="22">
        <f>'VIX HISTORIQUE'!I676</f>
        <v>30.18</v>
      </c>
      <c r="F673" s="22">
        <f>'VIX HISTORIQUE'!K676</f>
        <v>29.41</v>
      </c>
    </row>
    <row r="674" ht="15.75" customHeight="1">
      <c r="A674" s="25">
        <f>'VIX HISTORIQUE'!A677</f>
        <v>44244.66667</v>
      </c>
      <c r="B674" s="22">
        <f>'VIX HISTORIQUE'!B677</f>
        <v>3931.33</v>
      </c>
      <c r="C674" s="22">
        <f>'VIX HISTORIQUE'!D677</f>
        <v>21.5</v>
      </c>
      <c r="D674" s="22">
        <f>'VIX HISTORIQUE'!G677</f>
        <v>27.52</v>
      </c>
      <c r="E674" s="22">
        <f>'VIX HISTORIQUE'!I677</f>
        <v>30.22</v>
      </c>
      <c r="F674" s="22">
        <f>'VIX HISTORIQUE'!K677</f>
        <v>29.4</v>
      </c>
    </row>
    <row r="675" ht="15.75" customHeight="1">
      <c r="A675" s="25">
        <f>'VIX HISTORIQUE'!A678</f>
        <v>44245.66667</v>
      </c>
      <c r="B675" s="22">
        <f>'VIX HISTORIQUE'!B678</f>
        <v>3913.97</v>
      </c>
      <c r="C675" s="22">
        <f>'VIX HISTORIQUE'!D678</f>
        <v>22.49</v>
      </c>
      <c r="D675" s="22">
        <f>'VIX HISTORIQUE'!G678</f>
        <v>27.86</v>
      </c>
      <c r="E675" s="22">
        <f>'VIX HISTORIQUE'!I678</f>
        <v>29.7</v>
      </c>
      <c r="F675" s="22">
        <f>'VIX HISTORIQUE'!K678</f>
        <v>29.52</v>
      </c>
    </row>
    <row r="676" ht="15.75" customHeight="1">
      <c r="A676" s="25">
        <f>'VIX HISTORIQUE'!A679</f>
        <v>44246.66667</v>
      </c>
      <c r="B676" s="22">
        <f>'VIX HISTORIQUE'!B679</f>
        <v>3906.71</v>
      </c>
      <c r="C676" s="22">
        <f>'VIX HISTORIQUE'!D679</f>
        <v>22.05</v>
      </c>
      <c r="D676" s="22">
        <f>'VIX HISTORIQUE'!G679</f>
        <v>27.09</v>
      </c>
      <c r="E676" s="22">
        <f>'VIX HISTORIQUE'!I679</f>
        <v>29.36</v>
      </c>
      <c r="F676" s="22">
        <f>'VIX HISTORIQUE'!K679</f>
        <v>29.27</v>
      </c>
    </row>
    <row r="677" ht="15.75" customHeight="1">
      <c r="A677" s="25">
        <f>'VIX HISTORIQUE'!A680</f>
        <v>44249.66667</v>
      </c>
      <c r="B677" s="22">
        <f>'VIX HISTORIQUE'!B680</f>
        <v>3876.5</v>
      </c>
      <c r="C677" s="22">
        <f>'VIX HISTORIQUE'!D680</f>
        <v>23.45</v>
      </c>
      <c r="D677" s="22">
        <f>'VIX HISTORIQUE'!G680</f>
        <v>27.81</v>
      </c>
      <c r="E677" s="22">
        <f>'VIX HISTORIQUE'!I680</f>
        <v>29.99</v>
      </c>
      <c r="F677" s="22">
        <f>'VIX HISTORIQUE'!K680</f>
        <v>29.43</v>
      </c>
    </row>
    <row r="678" ht="15.75" customHeight="1">
      <c r="A678" s="25">
        <f>'VIX HISTORIQUE'!A681</f>
        <v>44250.66667</v>
      </c>
      <c r="B678" s="22">
        <f>'VIX HISTORIQUE'!B681</f>
        <v>3881.37</v>
      </c>
      <c r="C678" s="22">
        <f>'VIX HISTORIQUE'!D681</f>
        <v>23.11</v>
      </c>
      <c r="D678" s="22">
        <f>'VIX HISTORIQUE'!G681</f>
        <v>27.12</v>
      </c>
      <c r="E678" s="22">
        <f>'VIX HISTORIQUE'!I681</f>
        <v>29.4</v>
      </c>
      <c r="F678" s="22">
        <f>'VIX HISTORIQUE'!K681</f>
        <v>28.95</v>
      </c>
    </row>
    <row r="679" ht="15.75" customHeight="1">
      <c r="A679" s="25">
        <f>'VIX HISTORIQUE'!A682</f>
        <v>44251.66667</v>
      </c>
      <c r="B679" s="22">
        <f>'VIX HISTORIQUE'!B682</f>
        <v>3925.43</v>
      </c>
      <c r="C679" s="22">
        <f>'VIX HISTORIQUE'!D682</f>
        <v>21.34</v>
      </c>
      <c r="D679" s="22">
        <f>'VIX HISTORIQUE'!G682</f>
        <v>25.89</v>
      </c>
      <c r="E679" s="22">
        <f>'VIX HISTORIQUE'!I682</f>
        <v>28.79</v>
      </c>
      <c r="F679" s="22">
        <f>'VIX HISTORIQUE'!K682</f>
        <v>28.28</v>
      </c>
    </row>
    <row r="680" ht="15.75" customHeight="1">
      <c r="A680" s="25">
        <f>'VIX HISTORIQUE'!A683</f>
        <v>44252.66667</v>
      </c>
      <c r="B680" s="22">
        <f>'VIX HISTORIQUE'!B683</f>
        <v>3829.34</v>
      </c>
      <c r="C680" s="22">
        <f>'VIX HISTORIQUE'!D683</f>
        <v>28.89</v>
      </c>
      <c r="D680" s="22">
        <f>'VIX HISTORIQUE'!G683</f>
        <v>30.24</v>
      </c>
      <c r="E680" s="22">
        <f>'VIX HISTORIQUE'!I683</f>
        <v>31.73</v>
      </c>
      <c r="F680" s="22">
        <f>'VIX HISTORIQUE'!K683</f>
        <v>29.73</v>
      </c>
    </row>
    <row r="681" ht="15.75" customHeight="1">
      <c r="A681" s="25">
        <f>'VIX HISTORIQUE'!A684</f>
        <v>44253.66667</v>
      </c>
      <c r="B681" s="22">
        <f>'VIX HISTORIQUE'!B684</f>
        <v>3811.15</v>
      </c>
      <c r="C681" s="22">
        <f>'VIX HISTORIQUE'!D684</f>
        <v>27.95</v>
      </c>
      <c r="D681" s="22">
        <f>'VIX HISTORIQUE'!G684</f>
        <v>29.6</v>
      </c>
      <c r="E681" s="22">
        <f>'VIX HISTORIQUE'!I684</f>
        <v>31.3</v>
      </c>
      <c r="F681" s="22">
        <f>'VIX HISTORIQUE'!K684</f>
        <v>29.37</v>
      </c>
    </row>
    <row r="682" ht="15.75" customHeight="1">
      <c r="A682" s="25">
        <f>'VIX HISTORIQUE'!A685</f>
        <v>44256.66667</v>
      </c>
      <c r="B682" s="22">
        <f>'VIX HISTORIQUE'!B685</f>
        <v>3901.82</v>
      </c>
      <c r="C682" s="22">
        <f>'VIX HISTORIQUE'!D685</f>
        <v>23.35</v>
      </c>
      <c r="D682" s="22">
        <f>'VIX HISTORIQUE'!G685</f>
        <v>26.78</v>
      </c>
      <c r="E682" s="22">
        <f>'VIX HISTORIQUE'!I685</f>
        <v>28.91</v>
      </c>
      <c r="F682" s="22">
        <f>'VIX HISTORIQUE'!K685</f>
        <v>28.03</v>
      </c>
    </row>
    <row r="683" ht="15.75" customHeight="1">
      <c r="A683" s="25">
        <f>'VIX HISTORIQUE'!A686</f>
        <v>44257.66667</v>
      </c>
      <c r="B683" s="22">
        <f>'VIX HISTORIQUE'!B686</f>
        <v>3870.29</v>
      </c>
      <c r="C683" s="22">
        <f>'VIX HISTORIQUE'!D686</f>
        <v>24.1</v>
      </c>
      <c r="D683" s="22">
        <f>'VIX HISTORIQUE'!G686</f>
        <v>27.16</v>
      </c>
      <c r="E683" s="22">
        <f>'VIX HISTORIQUE'!I686</f>
        <v>29.41</v>
      </c>
      <c r="F683" s="22">
        <f>'VIX HISTORIQUE'!K686</f>
        <v>28.28</v>
      </c>
    </row>
    <row r="684" ht="15.75" customHeight="1">
      <c r="A684" s="25">
        <f>'VIX HISTORIQUE'!A687</f>
        <v>44258.66667</v>
      </c>
      <c r="B684" s="22">
        <f>'VIX HISTORIQUE'!B687</f>
        <v>3819.72</v>
      </c>
      <c r="C684" s="22">
        <f>'VIX HISTORIQUE'!D687</f>
        <v>26.67</v>
      </c>
      <c r="D684" s="22">
        <f>'VIX HISTORIQUE'!G687</f>
        <v>28.79</v>
      </c>
      <c r="E684" s="22">
        <f>'VIX HISTORIQUE'!I687</f>
        <v>30.52</v>
      </c>
      <c r="F684" s="22">
        <f>'VIX HISTORIQUE'!K687</f>
        <v>28.86</v>
      </c>
    </row>
    <row r="685" ht="15.75" customHeight="1">
      <c r="A685" s="25">
        <f>'VIX HISTORIQUE'!A688</f>
        <v>44259.66667</v>
      </c>
      <c r="B685" s="22">
        <f>'VIX HISTORIQUE'!B688</f>
        <v>3768.47</v>
      </c>
      <c r="C685" s="22">
        <f>'VIX HISTORIQUE'!D688</f>
        <v>28.57</v>
      </c>
      <c r="D685" s="22">
        <f>'VIX HISTORIQUE'!G688</f>
        <v>30.08</v>
      </c>
      <c r="E685" s="22">
        <f>'VIX HISTORIQUE'!I688</f>
        <v>31.52</v>
      </c>
      <c r="F685" s="22">
        <f>'VIX HISTORIQUE'!K688</f>
        <v>29.36</v>
      </c>
    </row>
    <row r="686" ht="15.75" customHeight="1">
      <c r="A686" s="25">
        <f>'VIX HISTORIQUE'!A689</f>
        <v>44260.66667</v>
      </c>
      <c r="B686" s="22">
        <f>'VIX HISTORIQUE'!B689</f>
        <v>3841.94</v>
      </c>
      <c r="C686" s="22">
        <f>'VIX HISTORIQUE'!D689</f>
        <v>24.66</v>
      </c>
      <c r="D686" s="22">
        <f>'VIX HISTORIQUE'!G689</f>
        <v>27.89</v>
      </c>
      <c r="E686" s="22">
        <f>'VIX HISTORIQUE'!I689</f>
        <v>29.87</v>
      </c>
      <c r="F686" s="22">
        <f>'VIX HISTORIQUE'!K689</f>
        <v>28.1</v>
      </c>
    </row>
    <row r="687" ht="15.75" customHeight="1">
      <c r="A687" s="25">
        <f>'VIX HISTORIQUE'!A690</f>
        <v>44263.66667</v>
      </c>
      <c r="B687" s="22">
        <f>'VIX HISTORIQUE'!B690</f>
        <v>3821.35</v>
      </c>
      <c r="C687" s="22">
        <f>'VIX HISTORIQUE'!D690</f>
        <v>25.47</v>
      </c>
      <c r="D687" s="22">
        <f>'VIX HISTORIQUE'!G690</f>
        <v>28.13</v>
      </c>
      <c r="E687" s="22">
        <f>'VIX HISTORIQUE'!I690</f>
        <v>29.52</v>
      </c>
      <c r="F687" s="22">
        <f>'VIX HISTORIQUE'!K690</f>
        <v>27.95</v>
      </c>
    </row>
    <row r="688" ht="15.75" customHeight="1">
      <c r="A688" s="25">
        <f>'VIX HISTORIQUE'!A691</f>
        <v>44264.66667</v>
      </c>
      <c r="B688" s="22">
        <f>'VIX HISTORIQUE'!B691</f>
        <v>3875.44</v>
      </c>
      <c r="C688" s="22">
        <f>'VIX HISTORIQUE'!D691</f>
        <v>24.03</v>
      </c>
      <c r="D688" s="22">
        <f>'VIX HISTORIQUE'!G691</f>
        <v>27.28</v>
      </c>
      <c r="E688" s="22">
        <f>'VIX HISTORIQUE'!I691</f>
        <v>29.03</v>
      </c>
      <c r="F688" s="22">
        <f>'VIX HISTORIQUE'!K691</f>
        <v>27.74</v>
      </c>
    </row>
    <row r="689" ht="15.75" customHeight="1">
      <c r="A689" s="25">
        <f>'VIX HISTORIQUE'!A692</f>
        <v>44265.66667</v>
      </c>
      <c r="B689" s="22">
        <f>'VIX HISTORIQUE'!B692</f>
        <v>3898.81</v>
      </c>
      <c r="C689" s="22">
        <f>'VIX HISTORIQUE'!D692</f>
        <v>22.56</v>
      </c>
      <c r="D689" s="22">
        <f>'VIX HISTORIQUE'!G692</f>
        <v>26.68</v>
      </c>
      <c r="E689" s="22">
        <f>'VIX HISTORIQUE'!I692</f>
        <v>28.73</v>
      </c>
      <c r="F689" s="22">
        <f>'VIX HISTORIQUE'!K692</f>
        <v>27.56</v>
      </c>
    </row>
    <row r="690" ht="15.75" customHeight="1">
      <c r="A690" s="25">
        <f>'VIX HISTORIQUE'!A693</f>
        <v>44266.66667</v>
      </c>
      <c r="B690" s="22">
        <f>'VIX HISTORIQUE'!B693</f>
        <v>3939.34</v>
      </c>
      <c r="C690" s="22">
        <f>'VIX HISTORIQUE'!D693</f>
        <v>21.91</v>
      </c>
      <c r="D690" s="22">
        <f>'VIX HISTORIQUE'!G693</f>
        <v>26.09</v>
      </c>
      <c r="E690" s="22">
        <f>'VIX HISTORIQUE'!I693</f>
        <v>28.2</v>
      </c>
      <c r="F690" s="22">
        <f>'VIX HISTORIQUE'!K693</f>
        <v>27.23</v>
      </c>
    </row>
    <row r="691" ht="15.75" customHeight="1">
      <c r="A691" s="25">
        <f>'VIX HISTORIQUE'!A694</f>
        <v>44267.66667</v>
      </c>
      <c r="B691" s="22">
        <f>'VIX HISTORIQUE'!B694</f>
        <v>3943.34</v>
      </c>
      <c r="C691" s="22">
        <f>'VIX HISTORIQUE'!D694</f>
        <v>20.69</v>
      </c>
      <c r="D691" s="22">
        <f>'VIX HISTORIQUE'!G694</f>
        <v>25.74</v>
      </c>
      <c r="E691" s="22">
        <f>'VIX HISTORIQUE'!I694</f>
        <v>28.11</v>
      </c>
      <c r="F691" s="22">
        <f>'VIX HISTORIQUE'!K694</f>
        <v>27.17</v>
      </c>
    </row>
    <row r="692" ht="15.75" customHeight="1">
      <c r="A692" s="25">
        <f>'VIX HISTORIQUE'!A695</f>
        <v>44270.66667</v>
      </c>
      <c r="B692" s="22">
        <f>'VIX HISTORIQUE'!B695</f>
        <v>3968.94</v>
      </c>
      <c r="C692" s="22">
        <f>'VIX HISTORIQUE'!D695</f>
        <v>20.03</v>
      </c>
      <c r="D692" s="22">
        <f>'VIX HISTORIQUE'!G695</f>
        <v>24.89</v>
      </c>
      <c r="E692" s="22">
        <f>'VIX HISTORIQUE'!I695</f>
        <v>27.43</v>
      </c>
      <c r="F692" s="22">
        <f>'VIX HISTORIQUE'!K695</f>
        <v>26.91</v>
      </c>
    </row>
    <row r="693" ht="15.75" customHeight="1">
      <c r="A693" s="25">
        <f>'VIX HISTORIQUE'!A696</f>
        <v>44271.66667</v>
      </c>
      <c r="B693" s="22">
        <f>'VIX HISTORIQUE'!B696</f>
        <v>3962.71</v>
      </c>
      <c r="C693" s="22">
        <f>'VIX HISTORIQUE'!D696</f>
        <v>19.79</v>
      </c>
      <c r="D693" s="22">
        <f>'VIX HISTORIQUE'!G696</f>
        <v>24.71</v>
      </c>
      <c r="E693" s="22">
        <f>'VIX HISTORIQUE'!I696</f>
        <v>27.25</v>
      </c>
      <c r="F693" s="22">
        <f>'VIX HISTORIQUE'!K696</f>
        <v>26.83</v>
      </c>
    </row>
    <row r="694" ht="15.75" customHeight="1">
      <c r="A694" s="25">
        <f>'VIX HISTORIQUE'!A697</f>
        <v>44272.66667</v>
      </c>
      <c r="B694" s="22">
        <f>'VIX HISTORIQUE'!B697</f>
        <v>3974.12</v>
      </c>
      <c r="C694" s="22">
        <f>'VIX HISTORIQUE'!D697</f>
        <v>19.23</v>
      </c>
      <c r="D694" s="22">
        <f>'VIX HISTORIQUE'!G697</f>
        <v>23.88</v>
      </c>
      <c r="E694" s="22">
        <f>'VIX HISTORIQUE'!I697</f>
        <v>26.61</v>
      </c>
      <c r="F694" s="22">
        <f>'VIX HISTORIQUE'!K697</f>
        <v>26.42</v>
      </c>
    </row>
    <row r="695" ht="15.75" customHeight="1">
      <c r="A695" s="25">
        <f>'VIX HISTORIQUE'!A698</f>
        <v>44273.66667</v>
      </c>
      <c r="B695" s="22">
        <f>'VIX HISTORIQUE'!B698</f>
        <v>3915.46</v>
      </c>
      <c r="C695" s="22">
        <f>'VIX HISTORIQUE'!D698</f>
        <v>21.58</v>
      </c>
      <c r="D695" s="22">
        <f>'VIX HISTORIQUE'!G698</f>
        <v>25.28</v>
      </c>
      <c r="E695" s="22">
        <f>'VIX HISTORIQUE'!I698</f>
        <v>27.65</v>
      </c>
      <c r="F695" s="22">
        <f>'VIX HISTORIQUE'!K698</f>
        <v>26.99</v>
      </c>
    </row>
    <row r="696" ht="15.75" customHeight="1">
      <c r="A696" s="25">
        <f>'VIX HISTORIQUE'!A699</f>
        <v>44274.66667</v>
      </c>
      <c r="B696" s="22">
        <f>'VIX HISTORIQUE'!B699</f>
        <v>3913.1</v>
      </c>
      <c r="C696" s="22">
        <f>'VIX HISTORIQUE'!D699</f>
        <v>20.95</v>
      </c>
      <c r="D696" s="22">
        <f>'VIX HISTORIQUE'!G699</f>
        <v>24.99</v>
      </c>
      <c r="E696" s="22">
        <f>'VIX HISTORIQUE'!I699</f>
        <v>27.32</v>
      </c>
      <c r="F696" s="22">
        <f>'VIX HISTORIQUE'!K699</f>
        <v>26.88</v>
      </c>
    </row>
    <row r="697" ht="15.75" customHeight="1">
      <c r="A697" s="25">
        <f>'VIX HISTORIQUE'!A700</f>
        <v>44277.66667</v>
      </c>
      <c r="B697" s="22">
        <f>'VIX HISTORIQUE'!B700</f>
        <v>3940.59</v>
      </c>
      <c r="C697" s="22">
        <f>'VIX HISTORIQUE'!D700</f>
        <v>18.88</v>
      </c>
      <c r="D697" s="22">
        <f>'VIX HISTORIQUE'!G700</f>
        <v>22.94</v>
      </c>
      <c r="E697" s="22">
        <f>'VIX HISTORIQUE'!I700</f>
        <v>25.47</v>
      </c>
      <c r="F697" s="22">
        <f>'VIX HISTORIQUE'!K700</f>
        <v>25.96</v>
      </c>
    </row>
    <row r="698" ht="15.75" customHeight="1">
      <c r="A698" s="25">
        <f>'VIX HISTORIQUE'!A701</f>
        <v>44278.66667</v>
      </c>
      <c r="B698" s="22">
        <f>'VIX HISTORIQUE'!B701</f>
        <v>3910.52</v>
      </c>
      <c r="C698" s="22">
        <f>'VIX HISTORIQUE'!D701</f>
        <v>20.3</v>
      </c>
      <c r="D698" s="22">
        <f>'VIX HISTORIQUE'!G701</f>
        <v>23.8</v>
      </c>
      <c r="E698" s="22">
        <f>'VIX HISTORIQUE'!I701</f>
        <v>25.99</v>
      </c>
      <c r="F698" s="22">
        <f>'VIX HISTORIQUE'!K701</f>
        <v>26.01</v>
      </c>
    </row>
    <row r="699" ht="15.75" customHeight="1">
      <c r="A699" s="25">
        <f>'VIX HISTORIQUE'!A702</f>
        <v>44279.66667</v>
      </c>
      <c r="B699" s="22">
        <f>'VIX HISTORIQUE'!B702</f>
        <v>3889.14</v>
      </c>
      <c r="C699" s="22">
        <f>'VIX HISTORIQUE'!D702</f>
        <v>21.2</v>
      </c>
      <c r="D699" s="22">
        <f>'VIX HISTORIQUE'!G702</f>
        <v>24.4</v>
      </c>
      <c r="E699" s="22">
        <f>'VIX HISTORIQUE'!I702</f>
        <v>26.54</v>
      </c>
      <c r="F699" s="22">
        <f>'VIX HISTORIQUE'!K702</f>
        <v>26.34</v>
      </c>
    </row>
    <row r="700" ht="15.75" customHeight="1">
      <c r="A700" s="25">
        <f>'VIX HISTORIQUE'!A703</f>
        <v>44280.66667</v>
      </c>
      <c r="B700" s="22">
        <f>'VIX HISTORIQUE'!B703</f>
        <v>3909.52</v>
      </c>
      <c r="C700" s="22">
        <f>'VIX HISTORIQUE'!D703</f>
        <v>19.81</v>
      </c>
      <c r="D700" s="22">
        <f>'VIX HISTORIQUE'!G703</f>
        <v>23.37</v>
      </c>
      <c r="E700" s="22">
        <f>'VIX HISTORIQUE'!I703</f>
        <v>25.71</v>
      </c>
      <c r="F700" s="22">
        <f>'VIX HISTORIQUE'!K703</f>
        <v>25.72</v>
      </c>
    </row>
    <row r="701" ht="15.75" customHeight="1">
      <c r="A701" s="25">
        <f>'VIX HISTORIQUE'!A704</f>
        <v>44281.66667</v>
      </c>
      <c r="B701" s="22">
        <f>'VIX HISTORIQUE'!B704</f>
        <v>3974.54</v>
      </c>
      <c r="C701" s="22">
        <f>'VIX HISTORIQUE'!D704</f>
        <v>18.86</v>
      </c>
      <c r="D701" s="22">
        <f>'VIX HISTORIQUE'!G704</f>
        <v>22.32</v>
      </c>
      <c r="E701" s="22">
        <f>'VIX HISTORIQUE'!I704</f>
        <v>24.79</v>
      </c>
      <c r="F701" s="22">
        <f>'VIX HISTORIQUE'!K704</f>
        <v>25.16</v>
      </c>
    </row>
    <row r="702" ht="15.75" customHeight="1">
      <c r="A702" s="25">
        <f>'VIX HISTORIQUE'!A705</f>
        <v>44284.66667</v>
      </c>
      <c r="B702" s="22">
        <f>'VIX HISTORIQUE'!B705</f>
        <v>3971.09</v>
      </c>
      <c r="C702" s="22">
        <f>'VIX HISTORIQUE'!D705</f>
        <v>20.74</v>
      </c>
      <c r="D702" s="22">
        <f>'VIX HISTORIQUE'!G705</f>
        <v>23.2</v>
      </c>
      <c r="E702" s="22">
        <f>'VIX HISTORIQUE'!I705</f>
        <v>25.44</v>
      </c>
      <c r="F702" s="22">
        <f>'VIX HISTORIQUE'!K705</f>
        <v>25.39</v>
      </c>
    </row>
    <row r="703" ht="15.75" customHeight="1">
      <c r="A703" s="25">
        <f>'VIX HISTORIQUE'!A706</f>
        <v>44285.66667</v>
      </c>
      <c r="B703" s="22">
        <f>'VIX HISTORIQUE'!B706</f>
        <v>3958.55</v>
      </c>
      <c r="C703" s="22">
        <f>'VIX HISTORIQUE'!D706</f>
        <v>19.61</v>
      </c>
      <c r="D703" s="22">
        <f>'VIX HISTORIQUE'!G706</f>
        <v>22.31</v>
      </c>
      <c r="E703" s="22">
        <f>'VIX HISTORIQUE'!I706</f>
        <v>24.63</v>
      </c>
      <c r="F703" s="22">
        <f>'VIX HISTORIQUE'!K706</f>
        <v>24.81</v>
      </c>
    </row>
    <row r="704" ht="15.75" customHeight="1">
      <c r="A704" s="25">
        <f>'VIX HISTORIQUE'!A707</f>
        <v>44286.66667</v>
      </c>
      <c r="B704" s="22">
        <f>'VIX HISTORIQUE'!B707</f>
        <v>3972.89</v>
      </c>
      <c r="C704" s="22">
        <f>'VIX HISTORIQUE'!D707</f>
        <v>19.4</v>
      </c>
      <c r="D704" s="22">
        <f>'VIX HISTORIQUE'!G707</f>
        <v>22.15</v>
      </c>
      <c r="E704" s="22">
        <f>'VIX HISTORIQUE'!I707</f>
        <v>24.3</v>
      </c>
      <c r="F704" s="22">
        <f>'VIX HISTORIQUE'!K707</f>
        <v>24.64</v>
      </c>
    </row>
    <row r="705" ht="15.75" customHeight="1">
      <c r="A705" s="25">
        <f>'VIX HISTORIQUE'!A708</f>
        <v>44287.66667</v>
      </c>
      <c r="B705" s="22">
        <f>'VIX HISTORIQUE'!B708</f>
        <v>4019.87</v>
      </c>
      <c r="C705" s="22">
        <f>'VIX HISTORIQUE'!D708</f>
        <v>17.33</v>
      </c>
      <c r="D705" s="22">
        <f>'VIX HISTORIQUE'!G708</f>
        <v>20.97</v>
      </c>
      <c r="E705" s="22">
        <f>'VIX HISTORIQUE'!I708</f>
        <v>23.49</v>
      </c>
      <c r="F705" s="22">
        <f>'VIX HISTORIQUE'!K708</f>
        <v>24.19</v>
      </c>
    </row>
    <row r="706" ht="15.75" customHeight="1">
      <c r="A706" s="25">
        <f>'VIX HISTORIQUE'!A709</f>
        <v>44291.66667</v>
      </c>
      <c r="B706" s="22">
        <f>'VIX HISTORIQUE'!B709</f>
        <v>4077.91</v>
      </c>
      <c r="C706" s="22">
        <f>'VIX HISTORIQUE'!D709</f>
        <v>17.91</v>
      </c>
      <c r="D706" s="22">
        <f>'VIX HISTORIQUE'!G709</f>
        <v>20.96</v>
      </c>
      <c r="E706" s="22">
        <f>'VIX HISTORIQUE'!I709</f>
        <v>23.39</v>
      </c>
      <c r="F706" s="22">
        <f>'VIX HISTORIQUE'!K709</f>
        <v>24.04</v>
      </c>
    </row>
    <row r="707" ht="15.75" customHeight="1">
      <c r="A707" s="25">
        <f>'VIX HISTORIQUE'!A710</f>
        <v>44292.66667</v>
      </c>
      <c r="B707" s="22">
        <f>'VIX HISTORIQUE'!B710</f>
        <v>4073.94</v>
      </c>
      <c r="C707" s="22">
        <f>'VIX HISTORIQUE'!D710</f>
        <v>18.12</v>
      </c>
      <c r="D707" s="22">
        <f>'VIX HISTORIQUE'!G710</f>
        <v>21.16</v>
      </c>
      <c r="E707" s="22">
        <f>'VIX HISTORIQUE'!I710</f>
        <v>23.46</v>
      </c>
      <c r="F707" s="22">
        <f>'VIX HISTORIQUE'!K710</f>
        <v>24.08</v>
      </c>
    </row>
    <row r="708" ht="15.75" customHeight="1">
      <c r="A708" s="25">
        <f>'VIX HISTORIQUE'!A711</f>
        <v>44293.66667</v>
      </c>
      <c r="B708" s="22">
        <f>'VIX HISTORIQUE'!B711</f>
        <v>4079.95</v>
      </c>
      <c r="C708" s="22">
        <f>'VIX HISTORIQUE'!D711</f>
        <v>17.16</v>
      </c>
      <c r="D708" s="22">
        <f>'VIX HISTORIQUE'!G711</f>
        <v>20.66</v>
      </c>
      <c r="E708" s="22">
        <f>'VIX HISTORIQUE'!I711</f>
        <v>23.06</v>
      </c>
      <c r="F708" s="22">
        <f>'VIX HISTORIQUE'!K711</f>
        <v>23.78</v>
      </c>
    </row>
    <row r="709" ht="15.75" customHeight="1">
      <c r="A709" s="25">
        <f>'VIX HISTORIQUE'!A712</f>
        <v>44294.66667</v>
      </c>
      <c r="B709" s="22">
        <f>'VIX HISTORIQUE'!B712</f>
        <v>4097.17</v>
      </c>
      <c r="C709" s="22">
        <f>'VIX HISTORIQUE'!D712</f>
        <v>16.95</v>
      </c>
      <c r="D709" s="22">
        <f>'VIX HISTORIQUE'!G712</f>
        <v>20.59</v>
      </c>
      <c r="E709" s="22">
        <f>'VIX HISTORIQUE'!I712</f>
        <v>23.08</v>
      </c>
      <c r="F709" s="22">
        <f>'VIX HISTORIQUE'!K712</f>
        <v>23.74</v>
      </c>
    </row>
    <row r="710" ht="15.75" customHeight="1">
      <c r="A710" s="25">
        <f>'VIX HISTORIQUE'!A713</f>
        <v>44295.66667</v>
      </c>
      <c r="B710" s="22">
        <f>'VIX HISTORIQUE'!B713</f>
        <v>4128.8</v>
      </c>
      <c r="C710" s="22">
        <f>'VIX HISTORIQUE'!D713</f>
        <v>16.69</v>
      </c>
      <c r="D710" s="22">
        <f>'VIX HISTORIQUE'!G713</f>
        <v>20.74</v>
      </c>
      <c r="E710" s="22">
        <f>'VIX HISTORIQUE'!I713</f>
        <v>23.19</v>
      </c>
      <c r="F710" s="22">
        <f>'VIX HISTORIQUE'!K713</f>
        <v>23.81</v>
      </c>
    </row>
    <row r="711" ht="15.75" customHeight="1">
      <c r="A711" s="25">
        <f>'VIX HISTORIQUE'!A714</f>
        <v>44298.66667</v>
      </c>
      <c r="B711" s="22">
        <f>'VIX HISTORIQUE'!B714</f>
        <v>4127.99</v>
      </c>
      <c r="C711" s="22">
        <f>'VIX HISTORIQUE'!D714</f>
        <v>16.91</v>
      </c>
      <c r="D711" s="22">
        <f>'VIX HISTORIQUE'!G714</f>
        <v>20.82</v>
      </c>
      <c r="E711" s="22">
        <f>'VIX HISTORIQUE'!I714</f>
        <v>23.17</v>
      </c>
      <c r="F711" s="22">
        <f>'VIX HISTORIQUE'!K714</f>
        <v>23.83</v>
      </c>
    </row>
    <row r="712" ht="15.75" customHeight="1">
      <c r="A712" s="25">
        <f>'VIX HISTORIQUE'!A715</f>
        <v>44299.66667</v>
      </c>
      <c r="B712" s="22">
        <f>'VIX HISTORIQUE'!B715</f>
        <v>4141.59</v>
      </c>
      <c r="C712" s="22">
        <f>'VIX HISTORIQUE'!D715</f>
        <v>16.65</v>
      </c>
      <c r="D712" s="22">
        <f>'VIX HISTORIQUE'!G715</f>
        <v>20.78</v>
      </c>
      <c r="E712" s="22">
        <f>'VIX HISTORIQUE'!I715</f>
        <v>23.12</v>
      </c>
      <c r="F712" s="22">
        <f>'VIX HISTORIQUE'!K715</f>
        <v>23.82</v>
      </c>
    </row>
    <row r="713" ht="15.75" customHeight="1">
      <c r="A713" s="25">
        <f>'VIX HISTORIQUE'!A716</f>
        <v>44300.66667</v>
      </c>
      <c r="B713" s="22">
        <f>'VIX HISTORIQUE'!B716</f>
        <v>4124.66</v>
      </c>
      <c r="C713" s="22">
        <f>'VIX HISTORIQUE'!D716</f>
        <v>16.99</v>
      </c>
      <c r="D713" s="22">
        <f>'VIX HISTORIQUE'!G716</f>
        <v>21.06</v>
      </c>
      <c r="E713" s="22">
        <f>'VIX HISTORIQUE'!I716</f>
        <v>23.51</v>
      </c>
      <c r="F713" s="22">
        <f>'VIX HISTORIQUE'!K716</f>
        <v>24.01</v>
      </c>
    </row>
    <row r="714" ht="15.75" customHeight="1">
      <c r="A714" s="25">
        <f>'VIX HISTORIQUE'!A717</f>
        <v>44301.66667</v>
      </c>
      <c r="B714" s="22">
        <f>'VIX HISTORIQUE'!B717</f>
        <v>4170.42</v>
      </c>
      <c r="C714" s="22">
        <f>'VIX HISTORIQUE'!D717</f>
        <v>16.57</v>
      </c>
      <c r="D714" s="22">
        <f>'VIX HISTORIQUE'!G717</f>
        <v>20.76</v>
      </c>
      <c r="E714" s="22">
        <f>'VIX HISTORIQUE'!I717</f>
        <v>23.3</v>
      </c>
      <c r="F714" s="22">
        <f>'VIX HISTORIQUE'!K717</f>
        <v>23.85</v>
      </c>
    </row>
    <row r="715" ht="15.75" customHeight="1">
      <c r="A715" s="25">
        <f>'VIX HISTORIQUE'!A718</f>
        <v>44302.66667</v>
      </c>
      <c r="B715" s="22">
        <f>'VIX HISTORIQUE'!B718</f>
        <v>4185.47</v>
      </c>
      <c r="C715" s="22">
        <f>'VIX HISTORIQUE'!D718</f>
        <v>16.25</v>
      </c>
      <c r="D715" s="22">
        <f>'VIX HISTORIQUE'!G718</f>
        <v>20.53</v>
      </c>
      <c r="E715" s="22">
        <f>'VIX HISTORIQUE'!I718</f>
        <v>23.16</v>
      </c>
      <c r="F715" s="22">
        <f>'VIX HISTORIQUE'!K718</f>
        <v>23.84</v>
      </c>
    </row>
    <row r="716" ht="15.75" customHeight="1">
      <c r="A716" s="25">
        <f>'VIX HISTORIQUE'!A719</f>
        <v>44305.66667</v>
      </c>
      <c r="B716" s="22">
        <f>'VIX HISTORIQUE'!B719</f>
        <v>4163.26</v>
      </c>
      <c r="C716" s="22">
        <f>'VIX HISTORIQUE'!D719</f>
        <v>17.29</v>
      </c>
      <c r="D716" s="22">
        <f>'VIX HISTORIQUE'!G719</f>
        <v>21.37</v>
      </c>
      <c r="E716" s="22">
        <f>'VIX HISTORIQUE'!I719</f>
        <v>23.74</v>
      </c>
      <c r="F716" s="22">
        <f>'VIX HISTORIQUE'!K719</f>
        <v>24.1</v>
      </c>
    </row>
    <row r="717" ht="15.75" customHeight="1">
      <c r="A717" s="25">
        <f>'VIX HISTORIQUE'!A720</f>
        <v>44306.66667</v>
      </c>
      <c r="B717" s="22">
        <f>'VIX HISTORIQUE'!B720</f>
        <v>4134.94</v>
      </c>
      <c r="C717" s="22">
        <f>'VIX HISTORIQUE'!D720</f>
        <v>18.68</v>
      </c>
      <c r="D717" s="22">
        <f>'VIX HISTORIQUE'!G720</f>
        <v>22.35</v>
      </c>
      <c r="E717" s="22">
        <f>'VIX HISTORIQUE'!I720</f>
        <v>24.46</v>
      </c>
      <c r="F717" s="22">
        <f>'VIX HISTORIQUE'!K720</f>
        <v>24.5</v>
      </c>
    </row>
    <row r="718" ht="15.75" customHeight="1">
      <c r="A718" s="25">
        <f>'VIX HISTORIQUE'!A721</f>
        <v>44307.66667</v>
      </c>
      <c r="B718" s="22">
        <f>'VIX HISTORIQUE'!B721</f>
        <v>4173.42</v>
      </c>
      <c r="C718" s="22">
        <f>'VIX HISTORIQUE'!D721</f>
        <v>17.5</v>
      </c>
      <c r="D718" s="22">
        <f>'VIX HISTORIQUE'!G721</f>
        <v>21.49</v>
      </c>
      <c r="E718" s="22">
        <f>'VIX HISTORIQUE'!I721</f>
        <v>23.8</v>
      </c>
      <c r="F718" s="22">
        <f>'VIX HISTORIQUE'!K721</f>
        <v>24.04</v>
      </c>
    </row>
    <row r="719" ht="15.75" customHeight="1">
      <c r="A719" s="25">
        <f>'VIX HISTORIQUE'!A722</f>
        <v>44308.66667</v>
      </c>
      <c r="B719" s="22">
        <f>'VIX HISTORIQUE'!B722</f>
        <v>4134.98</v>
      </c>
      <c r="C719" s="22">
        <f>'VIX HISTORIQUE'!D722</f>
        <v>18.71</v>
      </c>
      <c r="D719" s="22">
        <f>'VIX HISTORIQUE'!G722</f>
        <v>22.52</v>
      </c>
      <c r="E719" s="22">
        <f>'VIX HISTORIQUE'!I722</f>
        <v>24.65</v>
      </c>
      <c r="F719" s="22">
        <f>'VIX HISTORIQUE'!K722</f>
        <v>24.62</v>
      </c>
    </row>
    <row r="720" ht="15.75" customHeight="1">
      <c r="A720" s="25">
        <f>'VIX HISTORIQUE'!A723</f>
        <v>44309.66667</v>
      </c>
      <c r="B720" s="22">
        <f>'VIX HISTORIQUE'!B723</f>
        <v>4180.17</v>
      </c>
      <c r="C720" s="22">
        <f>'VIX HISTORIQUE'!D723</f>
        <v>17.33</v>
      </c>
      <c r="D720" s="22">
        <f>'VIX HISTORIQUE'!G723</f>
        <v>21.57</v>
      </c>
      <c r="E720" s="22">
        <f>'VIX HISTORIQUE'!I723</f>
        <v>23.88</v>
      </c>
      <c r="F720" s="22">
        <f>'VIX HISTORIQUE'!K723</f>
        <v>24.21</v>
      </c>
    </row>
    <row r="721" ht="15.75" customHeight="1">
      <c r="A721" s="25">
        <f>'VIX HISTORIQUE'!A724</f>
        <v>44312.66667</v>
      </c>
      <c r="B721" s="22">
        <f>'VIX HISTORIQUE'!B724</f>
        <v>4187.62</v>
      </c>
      <c r="C721" s="22">
        <f>'VIX HISTORIQUE'!D724</f>
        <v>17.64</v>
      </c>
      <c r="D721" s="22">
        <f>'VIX HISTORIQUE'!G724</f>
        <v>21.54</v>
      </c>
      <c r="E721" s="22">
        <f>'VIX HISTORIQUE'!I724</f>
        <v>23.81</v>
      </c>
      <c r="F721" s="22">
        <f>'VIX HISTORIQUE'!K724</f>
        <v>24.26</v>
      </c>
    </row>
    <row r="722" ht="15.75" customHeight="1">
      <c r="A722" s="25">
        <f>'VIX HISTORIQUE'!A725</f>
        <v>44313.66667</v>
      </c>
      <c r="B722" s="22">
        <f>'VIX HISTORIQUE'!B725</f>
        <v>4186.72</v>
      </c>
      <c r="C722" s="22">
        <f>'VIX HISTORIQUE'!D725</f>
        <v>17.56</v>
      </c>
      <c r="D722" s="22">
        <f>'VIX HISTORIQUE'!G725</f>
        <v>21.32</v>
      </c>
      <c r="E722" s="22">
        <f>'VIX HISTORIQUE'!I725</f>
        <v>23.69</v>
      </c>
      <c r="F722" s="22">
        <f>'VIX HISTORIQUE'!K725</f>
        <v>24.25</v>
      </c>
    </row>
    <row r="723" ht="15.75" customHeight="1">
      <c r="A723" s="25">
        <f>'VIX HISTORIQUE'!A726</f>
        <v>44314.66667</v>
      </c>
      <c r="B723" s="22">
        <f>'VIX HISTORIQUE'!B726</f>
        <v>4183.18</v>
      </c>
      <c r="C723" s="22">
        <f>'VIX HISTORIQUE'!D726</f>
        <v>17.28</v>
      </c>
      <c r="D723" s="22">
        <f>'VIX HISTORIQUE'!G726</f>
        <v>21.13</v>
      </c>
      <c r="E723" s="22">
        <f>'VIX HISTORIQUE'!I726</f>
        <v>23.61</v>
      </c>
      <c r="F723" s="22">
        <f>'VIX HISTORIQUE'!K726</f>
        <v>24.2</v>
      </c>
    </row>
    <row r="724" ht="15.75" customHeight="1">
      <c r="A724" s="25">
        <f>'VIX HISTORIQUE'!A727</f>
        <v>44315.66667</v>
      </c>
      <c r="B724" s="22">
        <f>'VIX HISTORIQUE'!B727</f>
        <v>4211.47</v>
      </c>
      <c r="C724" s="22">
        <f>'VIX HISTORIQUE'!D727</f>
        <v>17.61</v>
      </c>
      <c r="D724" s="22">
        <f>'VIX HISTORIQUE'!G727</f>
        <v>21.31</v>
      </c>
      <c r="E724" s="22">
        <f>'VIX HISTORIQUE'!I727</f>
        <v>23.67</v>
      </c>
      <c r="F724" s="22">
        <f>'VIX HISTORIQUE'!K727</f>
        <v>24.22</v>
      </c>
    </row>
    <row r="725" ht="15.75" customHeight="1">
      <c r="A725" s="25">
        <f>'VIX HISTORIQUE'!A728</f>
        <v>44316.66667</v>
      </c>
      <c r="B725" s="22">
        <f>'VIX HISTORIQUE'!B728</f>
        <v>4181.17</v>
      </c>
      <c r="C725" s="22">
        <f>'VIX HISTORIQUE'!D728</f>
        <v>18.61</v>
      </c>
      <c r="D725" s="22">
        <f>'VIX HISTORIQUE'!G728</f>
        <v>22.07</v>
      </c>
      <c r="E725" s="22">
        <f>'VIX HISTORIQUE'!I728</f>
        <v>24.19</v>
      </c>
      <c r="F725" s="22">
        <f>'VIX HISTORIQUE'!K728</f>
        <v>24.49</v>
      </c>
    </row>
    <row r="726" ht="15.75" customHeight="1">
      <c r="A726" s="25">
        <f>'VIX HISTORIQUE'!A729</f>
        <v>44319.66667</v>
      </c>
      <c r="B726" s="22">
        <f>'VIX HISTORIQUE'!B729</f>
        <v>4192.66</v>
      </c>
      <c r="C726" s="22">
        <f>'VIX HISTORIQUE'!D729</f>
        <v>18.31</v>
      </c>
      <c r="D726" s="22">
        <f>'VIX HISTORIQUE'!G729</f>
        <v>21.74</v>
      </c>
      <c r="E726" s="22">
        <f>'VIX HISTORIQUE'!I729</f>
        <v>23.94</v>
      </c>
      <c r="F726" s="22">
        <f>'VIX HISTORIQUE'!K729</f>
        <v>24.34</v>
      </c>
    </row>
    <row r="727" ht="15.75" customHeight="1">
      <c r="A727" s="25">
        <f>'VIX HISTORIQUE'!A730</f>
        <v>44320.66667</v>
      </c>
      <c r="B727" s="22">
        <f>'VIX HISTORIQUE'!B730</f>
        <v>4164.66</v>
      </c>
      <c r="C727" s="22">
        <f>'VIX HISTORIQUE'!D730</f>
        <v>19.48</v>
      </c>
      <c r="D727" s="22">
        <f>'VIX HISTORIQUE'!G730</f>
        <v>22.67</v>
      </c>
      <c r="E727" s="22">
        <f>'VIX HISTORIQUE'!I730</f>
        <v>24.64</v>
      </c>
      <c r="F727" s="22">
        <f>'VIX HISTORIQUE'!K730</f>
        <v>24.76</v>
      </c>
    </row>
    <row r="728" ht="15.75" customHeight="1">
      <c r="A728" s="25">
        <f>'VIX HISTORIQUE'!A731</f>
        <v>44321.66667</v>
      </c>
      <c r="B728" s="22">
        <f>'VIX HISTORIQUE'!B731</f>
        <v>4167.59</v>
      </c>
      <c r="C728" s="22">
        <f>'VIX HISTORIQUE'!D731</f>
        <v>19.15</v>
      </c>
      <c r="D728" s="22">
        <f>'VIX HISTORIQUE'!G731</f>
        <v>22.26</v>
      </c>
      <c r="E728" s="22">
        <f>'VIX HISTORIQUE'!I731</f>
        <v>24.3</v>
      </c>
      <c r="F728" s="22">
        <f>'VIX HISTORIQUE'!K731</f>
        <v>24.58</v>
      </c>
    </row>
    <row r="729" ht="15.75" customHeight="1">
      <c r="A729" s="25">
        <f>'VIX HISTORIQUE'!A732</f>
        <v>44322.66667</v>
      </c>
      <c r="B729" s="22">
        <f>'VIX HISTORIQUE'!B732</f>
        <v>4201.62</v>
      </c>
      <c r="C729" s="22">
        <f>'VIX HISTORIQUE'!D732</f>
        <v>18.39</v>
      </c>
      <c r="D729" s="22">
        <f>'VIX HISTORIQUE'!G732</f>
        <v>21.88</v>
      </c>
      <c r="E729" s="22">
        <f>'VIX HISTORIQUE'!I732</f>
        <v>23.88</v>
      </c>
      <c r="F729" s="22">
        <f>'VIX HISTORIQUE'!K732</f>
        <v>24.24</v>
      </c>
    </row>
    <row r="730" ht="15.75" customHeight="1">
      <c r="A730" s="25">
        <f>'VIX HISTORIQUE'!A733</f>
        <v>44323.66667</v>
      </c>
      <c r="B730" s="22">
        <f>'VIX HISTORIQUE'!B733</f>
        <v>4232.6</v>
      </c>
      <c r="C730" s="22">
        <f>'VIX HISTORIQUE'!D733</f>
        <v>16.69</v>
      </c>
      <c r="D730" s="22">
        <f>'VIX HISTORIQUE'!G733</f>
        <v>20.79</v>
      </c>
      <c r="E730" s="22">
        <f>'VIX HISTORIQUE'!I733</f>
        <v>23.13</v>
      </c>
      <c r="F730" s="22">
        <f>'VIX HISTORIQUE'!K733</f>
        <v>23.77</v>
      </c>
    </row>
    <row r="731" ht="15.75" customHeight="1">
      <c r="A731" s="25">
        <f>'VIX HISTORIQUE'!A734</f>
        <v>44326.66667</v>
      </c>
      <c r="B731" s="22">
        <f>'VIX HISTORIQUE'!B734</f>
        <v>4188.43</v>
      </c>
      <c r="C731" s="22">
        <f>'VIX HISTORIQUE'!D734</f>
        <v>19.66</v>
      </c>
      <c r="D731" s="22">
        <f>'VIX HISTORIQUE'!G734</f>
        <v>22.4</v>
      </c>
      <c r="E731" s="22">
        <f>'VIX HISTORIQUE'!I734</f>
        <v>24.28</v>
      </c>
      <c r="F731" s="22">
        <f>'VIX HISTORIQUE'!K734</f>
        <v>24.5</v>
      </c>
    </row>
    <row r="732" ht="15.75" customHeight="1">
      <c r="A732" s="25">
        <f>'VIX HISTORIQUE'!A735</f>
        <v>44327.66667</v>
      </c>
      <c r="B732" s="22">
        <f>'VIX HISTORIQUE'!B735</f>
        <v>4152.1</v>
      </c>
      <c r="C732" s="22">
        <f>'VIX HISTORIQUE'!D735</f>
        <v>21.84</v>
      </c>
      <c r="D732" s="22">
        <f>'VIX HISTORIQUE'!G735</f>
        <v>24.23</v>
      </c>
      <c r="E732" s="22">
        <f>'VIX HISTORIQUE'!I735</f>
        <v>25.64</v>
      </c>
      <c r="F732" s="22">
        <f>'VIX HISTORIQUE'!K735</f>
        <v>25.29</v>
      </c>
    </row>
    <row r="733" ht="15.75" customHeight="1">
      <c r="A733" s="25">
        <f>'VIX HISTORIQUE'!A736</f>
        <v>44328.66667</v>
      </c>
      <c r="B733" s="22">
        <f>'VIX HISTORIQUE'!B736</f>
        <v>4063.04</v>
      </c>
      <c r="C733" s="22">
        <f>'VIX HISTORIQUE'!D736</f>
        <v>27.59</v>
      </c>
      <c r="D733" s="22">
        <f>'VIX HISTORIQUE'!G736</f>
        <v>28.18</v>
      </c>
      <c r="E733" s="22">
        <f>'VIX HISTORIQUE'!I736</f>
        <v>28.62</v>
      </c>
      <c r="F733" s="22">
        <f>'VIX HISTORIQUE'!K736</f>
        <v>27.3</v>
      </c>
    </row>
    <row r="734" ht="15.75" customHeight="1">
      <c r="A734" s="25">
        <f>'VIX HISTORIQUE'!A737</f>
        <v>44329.66667</v>
      </c>
      <c r="B734" s="22">
        <f>'VIX HISTORIQUE'!B737</f>
        <v>4112.5</v>
      </c>
      <c r="C734" s="22">
        <f>'VIX HISTORIQUE'!D737</f>
        <v>23.13</v>
      </c>
      <c r="D734" s="22">
        <f>'VIX HISTORIQUE'!G737</f>
        <v>25.26</v>
      </c>
      <c r="E734" s="22">
        <f>'VIX HISTORIQUE'!I737</f>
        <v>26.33</v>
      </c>
      <c r="F734" s="22">
        <f>'VIX HISTORIQUE'!K737</f>
        <v>26.02</v>
      </c>
    </row>
    <row r="735" ht="15.75" customHeight="1">
      <c r="A735" s="25">
        <f>'VIX HISTORIQUE'!A738</f>
        <v>44330.66667</v>
      </c>
      <c r="B735" s="22">
        <f>'VIX HISTORIQUE'!B738</f>
        <v>4173.85</v>
      </c>
      <c r="C735" s="22">
        <f>'VIX HISTORIQUE'!D738</f>
        <v>18.81</v>
      </c>
      <c r="D735" s="22">
        <f>'VIX HISTORIQUE'!G738</f>
        <v>22.26</v>
      </c>
      <c r="E735" s="22">
        <f>'VIX HISTORIQUE'!I738</f>
        <v>24.23</v>
      </c>
      <c r="F735" s="22">
        <f>'VIX HISTORIQUE'!K738</f>
        <v>24.69</v>
      </c>
    </row>
    <row r="736" ht="15.75" customHeight="1">
      <c r="A736" s="25">
        <f>'VIX HISTORIQUE'!A739</f>
        <v>44333.66667</v>
      </c>
      <c r="B736" s="22">
        <f>'VIX HISTORIQUE'!B739</f>
        <v>4163.29</v>
      </c>
      <c r="C736" s="22">
        <f>'VIX HISTORIQUE'!D739</f>
        <v>19.72</v>
      </c>
      <c r="D736" s="22">
        <f>'VIX HISTORIQUE'!G739</f>
        <v>23.14</v>
      </c>
      <c r="E736" s="22">
        <f>'VIX HISTORIQUE'!I739</f>
        <v>25.09</v>
      </c>
      <c r="F736" s="22">
        <f>'VIX HISTORIQUE'!K739</f>
        <v>25.2</v>
      </c>
    </row>
    <row r="737" ht="15.75" customHeight="1">
      <c r="A737" s="25">
        <f>'VIX HISTORIQUE'!A740</f>
        <v>44334.66667</v>
      </c>
      <c r="B737" s="22">
        <f>'VIX HISTORIQUE'!B740</f>
        <v>4127.83</v>
      </c>
      <c r="C737" s="22">
        <f>'VIX HISTORIQUE'!D740</f>
        <v>21.34</v>
      </c>
      <c r="D737" s="22">
        <f>'VIX HISTORIQUE'!G740</f>
        <v>24.22</v>
      </c>
      <c r="E737" s="22">
        <f>'VIX HISTORIQUE'!I740</f>
        <v>26.07</v>
      </c>
      <c r="F737" s="22">
        <f>'VIX HISTORIQUE'!K740</f>
        <v>26.01</v>
      </c>
    </row>
    <row r="738" ht="15.75" customHeight="1">
      <c r="A738" s="25">
        <f>'VIX HISTORIQUE'!A741</f>
        <v>44335.66667</v>
      </c>
      <c r="B738" s="22">
        <f>'VIX HISTORIQUE'!B741</f>
        <v>4115.68</v>
      </c>
      <c r="C738" s="22">
        <f>'VIX HISTORIQUE'!D741</f>
        <v>22.18</v>
      </c>
      <c r="D738" s="22">
        <f>'VIX HISTORIQUE'!G741</f>
        <v>25.27</v>
      </c>
      <c r="E738" s="22">
        <f>'VIX HISTORIQUE'!I741</f>
        <v>26.69</v>
      </c>
      <c r="F738" s="22">
        <f>'VIX HISTORIQUE'!K741</f>
        <v>26.3</v>
      </c>
    </row>
    <row r="739" ht="15.75" customHeight="1">
      <c r="A739" s="25">
        <f>'VIX HISTORIQUE'!A742</f>
        <v>44336.66667</v>
      </c>
      <c r="B739" s="22">
        <f>'VIX HISTORIQUE'!B742</f>
        <v>4159.12</v>
      </c>
      <c r="C739" s="22">
        <f>'VIX HISTORIQUE'!D742</f>
        <v>20.67</v>
      </c>
      <c r="D739" s="22">
        <f>'VIX HISTORIQUE'!G742</f>
        <v>23.81</v>
      </c>
      <c r="E739" s="22">
        <f>'VIX HISTORIQUE'!I742</f>
        <v>25.74</v>
      </c>
      <c r="F739" s="22">
        <f>'VIX HISTORIQUE'!K742</f>
        <v>25.65</v>
      </c>
    </row>
    <row r="740" ht="15.75" customHeight="1">
      <c r="A740" s="25">
        <f>'VIX HISTORIQUE'!A743</f>
        <v>44337.66667</v>
      </c>
      <c r="B740" s="22">
        <f>'VIX HISTORIQUE'!B743</f>
        <v>4155.86</v>
      </c>
      <c r="C740" s="22">
        <f>'VIX HISTORIQUE'!D743</f>
        <v>20.15</v>
      </c>
      <c r="D740" s="22">
        <f>'VIX HISTORIQUE'!G743</f>
        <v>23.49</v>
      </c>
      <c r="E740" s="22">
        <f>'VIX HISTORIQUE'!I743</f>
        <v>25.54</v>
      </c>
      <c r="F740" s="22">
        <f>'VIX HISTORIQUE'!K743</f>
        <v>25.51</v>
      </c>
    </row>
    <row r="741" ht="15.75" customHeight="1">
      <c r="A741" s="25">
        <f>'VIX HISTORIQUE'!A744</f>
        <v>44340.66667</v>
      </c>
      <c r="B741" s="22">
        <f>'VIX HISTORIQUE'!B744</f>
        <v>4197.05</v>
      </c>
      <c r="C741" s="22">
        <f>'VIX HISTORIQUE'!D744</f>
        <v>18.4</v>
      </c>
      <c r="D741" s="22">
        <f>'VIX HISTORIQUE'!G744</f>
        <v>22.23</v>
      </c>
      <c r="E741" s="22">
        <f>'VIX HISTORIQUE'!I744</f>
        <v>24.4</v>
      </c>
      <c r="F741" s="22">
        <f>'VIX HISTORIQUE'!K744</f>
        <v>24.71</v>
      </c>
    </row>
    <row r="742" ht="15.75" customHeight="1">
      <c r="A742" s="25">
        <f>'VIX HISTORIQUE'!A745</f>
        <v>44341.66667</v>
      </c>
      <c r="B742" s="22">
        <f>'VIX HISTORIQUE'!B745</f>
        <v>4188.13</v>
      </c>
      <c r="C742" s="22">
        <f>'VIX HISTORIQUE'!D745</f>
        <v>18.84</v>
      </c>
      <c r="D742" s="22">
        <f>'VIX HISTORIQUE'!G745</f>
        <v>22.4</v>
      </c>
      <c r="E742" s="22">
        <f>'VIX HISTORIQUE'!I745</f>
        <v>24.6</v>
      </c>
      <c r="F742" s="22">
        <f>'VIX HISTORIQUE'!K745</f>
        <v>24.81</v>
      </c>
    </row>
    <row r="743" ht="15.75" customHeight="1">
      <c r="A743" s="25">
        <f>'VIX HISTORIQUE'!A746</f>
        <v>44342.66667</v>
      </c>
      <c r="B743" s="22">
        <f>'VIX HISTORIQUE'!B746</f>
        <v>4195.99</v>
      </c>
      <c r="C743" s="22">
        <f>'VIX HISTORIQUE'!D746</f>
        <v>17.36</v>
      </c>
      <c r="D743" s="22">
        <f>'VIX HISTORIQUE'!G746</f>
        <v>21.3</v>
      </c>
      <c r="E743" s="22">
        <f>'VIX HISTORIQUE'!I746</f>
        <v>23.84</v>
      </c>
      <c r="F743" s="22">
        <f>'VIX HISTORIQUE'!K746</f>
        <v>24.34</v>
      </c>
    </row>
    <row r="744" ht="15.75" customHeight="1">
      <c r="A744" s="25">
        <f>'VIX HISTORIQUE'!A747</f>
        <v>44343.66667</v>
      </c>
      <c r="B744" s="22">
        <f>'VIX HISTORIQUE'!B747</f>
        <v>4200.88</v>
      </c>
      <c r="C744" s="22">
        <f>'VIX HISTORIQUE'!D747</f>
        <v>16.74</v>
      </c>
      <c r="D744" s="22">
        <f>'VIX HISTORIQUE'!G747</f>
        <v>20.31</v>
      </c>
      <c r="E744" s="22">
        <f>'VIX HISTORIQUE'!I747</f>
        <v>23.09</v>
      </c>
      <c r="F744" s="22">
        <f>'VIX HISTORIQUE'!K747</f>
        <v>23.85</v>
      </c>
    </row>
    <row r="745" ht="15.75" customHeight="1">
      <c r="A745" s="25">
        <f>'VIX HISTORIQUE'!A748</f>
        <v>44344.66667</v>
      </c>
      <c r="B745" s="22">
        <f>'VIX HISTORIQUE'!B748</f>
        <v>4204.11</v>
      </c>
      <c r="C745" s="22">
        <f>'VIX HISTORIQUE'!D748</f>
        <v>16.76</v>
      </c>
      <c r="D745" s="22">
        <f>'VIX HISTORIQUE'!G748</f>
        <v>20.48</v>
      </c>
      <c r="E745" s="22">
        <f>'VIX HISTORIQUE'!I748</f>
        <v>23.11</v>
      </c>
      <c r="F745" s="22">
        <f>'VIX HISTORIQUE'!K748</f>
        <v>23.82</v>
      </c>
    </row>
    <row r="746" ht="15.75" customHeight="1">
      <c r="A746" s="25">
        <f>'VIX HISTORIQUE'!A749</f>
        <v>44348.66667</v>
      </c>
      <c r="B746" s="22">
        <f>'VIX HISTORIQUE'!B749</f>
        <v>4202.04</v>
      </c>
      <c r="C746" s="22">
        <f>'VIX HISTORIQUE'!D749</f>
        <v>17.9</v>
      </c>
      <c r="D746" s="22">
        <f>'VIX HISTORIQUE'!G749</f>
        <v>21.34</v>
      </c>
      <c r="E746" s="22">
        <f>'VIX HISTORIQUE'!I749</f>
        <v>23.79</v>
      </c>
      <c r="F746" s="22">
        <f>'VIX HISTORIQUE'!K749</f>
        <v>24.27</v>
      </c>
    </row>
    <row r="747" ht="15.75" customHeight="1">
      <c r="A747" s="25">
        <f>'VIX HISTORIQUE'!A750</f>
        <v>44349.66667</v>
      </c>
      <c r="B747" s="22">
        <f>'VIX HISTORIQUE'!B750</f>
        <v>4208.12</v>
      </c>
      <c r="C747" s="22">
        <f>'VIX HISTORIQUE'!D750</f>
        <v>17.48</v>
      </c>
      <c r="D747" s="22">
        <f>'VIX HISTORIQUE'!G750</f>
        <v>21.42</v>
      </c>
      <c r="E747" s="22">
        <f>'VIX HISTORIQUE'!I750</f>
        <v>23.94</v>
      </c>
      <c r="F747" s="22">
        <f>'VIX HISTORIQUE'!K750</f>
        <v>24.46</v>
      </c>
    </row>
    <row r="748" ht="15.75" customHeight="1">
      <c r="A748" s="25">
        <f>'VIX HISTORIQUE'!A751</f>
        <v>44350.66667</v>
      </c>
      <c r="B748" s="22">
        <f>'VIX HISTORIQUE'!B751</f>
        <v>4192.85</v>
      </c>
      <c r="C748" s="22">
        <f>'VIX HISTORIQUE'!D751</f>
        <v>18.04</v>
      </c>
      <c r="D748" s="22">
        <f>'VIX HISTORIQUE'!G751</f>
        <v>21.82</v>
      </c>
      <c r="E748" s="22">
        <f>'VIX HISTORIQUE'!I751</f>
        <v>24.13</v>
      </c>
      <c r="F748" s="22">
        <f>'VIX HISTORIQUE'!K751</f>
        <v>24.74</v>
      </c>
    </row>
    <row r="749" ht="15.75" customHeight="1">
      <c r="A749" s="25">
        <f>'VIX HISTORIQUE'!A752</f>
        <v>44351.66667</v>
      </c>
      <c r="B749" s="22">
        <f>'VIX HISTORIQUE'!B752</f>
        <v>4229.89</v>
      </c>
      <c r="C749" s="22">
        <f>'VIX HISTORIQUE'!D752</f>
        <v>16.42</v>
      </c>
      <c r="D749" s="22">
        <f>'VIX HISTORIQUE'!G752</f>
        <v>20.62</v>
      </c>
      <c r="E749" s="22">
        <f>'VIX HISTORIQUE'!I752</f>
        <v>23.3</v>
      </c>
      <c r="F749" s="22">
        <f>'VIX HISTORIQUE'!K752</f>
        <v>24.2</v>
      </c>
    </row>
    <row r="750" ht="15.75" customHeight="1">
      <c r="A750" s="25">
        <f>'VIX HISTORIQUE'!A753</f>
        <v>44354.66667</v>
      </c>
      <c r="B750" s="22">
        <f>'VIX HISTORIQUE'!B753</f>
        <v>4226.52</v>
      </c>
      <c r="C750" s="22">
        <f>'VIX HISTORIQUE'!D753</f>
        <v>16.42</v>
      </c>
      <c r="D750" s="22">
        <f>'VIX HISTORIQUE'!G753</f>
        <v>20.55</v>
      </c>
      <c r="E750" s="22">
        <f>'VIX HISTORIQUE'!I753</f>
        <v>23.22</v>
      </c>
      <c r="F750" s="22">
        <f>'VIX HISTORIQUE'!K753</f>
        <v>24.1</v>
      </c>
    </row>
    <row r="751" ht="15.75" customHeight="1">
      <c r="A751" s="25">
        <f>'VIX HISTORIQUE'!A754</f>
        <v>44355.66667</v>
      </c>
      <c r="B751" s="22">
        <f>'VIX HISTORIQUE'!B754</f>
        <v>4227.26</v>
      </c>
      <c r="C751" s="22">
        <f>'VIX HISTORIQUE'!D754</f>
        <v>17.07</v>
      </c>
      <c r="D751" s="22">
        <f>'VIX HISTORIQUE'!G754</f>
        <v>20.85</v>
      </c>
      <c r="E751" s="22">
        <f>'VIX HISTORIQUE'!I754</f>
        <v>23.34</v>
      </c>
      <c r="F751" s="22">
        <f>'VIX HISTORIQUE'!K754</f>
        <v>24.07</v>
      </c>
    </row>
    <row r="752" ht="15.75" customHeight="1">
      <c r="A752" s="25">
        <f>'VIX HISTORIQUE'!A755</f>
        <v>44356.66667</v>
      </c>
      <c r="B752" s="22">
        <f>'VIX HISTORIQUE'!B755</f>
        <v>4219.55</v>
      </c>
      <c r="C752" s="22">
        <f>'VIX HISTORIQUE'!D755</f>
        <v>17.89</v>
      </c>
      <c r="D752" s="22">
        <f>'VIX HISTORIQUE'!G755</f>
        <v>21.28</v>
      </c>
      <c r="E752" s="22">
        <f>'VIX HISTORIQUE'!I755</f>
        <v>23.61</v>
      </c>
      <c r="F752" s="22">
        <f>'VIX HISTORIQUE'!K755</f>
        <v>24.23</v>
      </c>
    </row>
    <row r="753" ht="15.75" customHeight="1">
      <c r="A753" s="25">
        <f>'VIX HISTORIQUE'!A756</f>
        <v>44357.66667</v>
      </c>
      <c r="B753" s="22">
        <f>'VIX HISTORIQUE'!B756</f>
        <v>4239.18</v>
      </c>
      <c r="C753" s="22">
        <f>'VIX HISTORIQUE'!D756</f>
        <v>16.1</v>
      </c>
      <c r="D753" s="22">
        <f>'VIX HISTORIQUE'!G756</f>
        <v>20.08</v>
      </c>
      <c r="E753" s="22">
        <f>'VIX HISTORIQUE'!I756</f>
        <v>22.59</v>
      </c>
      <c r="F753" s="22">
        <f>'VIX HISTORIQUE'!K756</f>
        <v>23.47</v>
      </c>
    </row>
    <row r="754" ht="15.75" customHeight="1">
      <c r="A754" s="25">
        <f>'VIX HISTORIQUE'!A757</f>
        <v>44358.66667</v>
      </c>
      <c r="B754" s="22">
        <f>'VIX HISTORIQUE'!B757</f>
        <v>4247.44</v>
      </c>
      <c r="C754" s="22">
        <f>'VIX HISTORIQUE'!D757</f>
        <v>15.65</v>
      </c>
      <c r="D754" s="22">
        <f>'VIX HISTORIQUE'!G757</f>
        <v>19.64</v>
      </c>
      <c r="E754" s="22">
        <f>'VIX HISTORIQUE'!I757</f>
        <v>22.3</v>
      </c>
      <c r="F754" s="22">
        <f>'VIX HISTORIQUE'!K757</f>
        <v>23.24</v>
      </c>
    </row>
    <row r="755" ht="15.75" customHeight="1">
      <c r="A755" s="25">
        <f>'VIX HISTORIQUE'!A758</f>
        <v>44361.66667</v>
      </c>
      <c r="B755" s="22">
        <f>'VIX HISTORIQUE'!B758</f>
        <v>4255.15</v>
      </c>
      <c r="C755" s="22">
        <f>'VIX HISTORIQUE'!D758</f>
        <v>16.39</v>
      </c>
      <c r="D755" s="22">
        <f>'VIX HISTORIQUE'!G758</f>
        <v>20.14</v>
      </c>
      <c r="E755" s="22">
        <f>'VIX HISTORIQUE'!I758</f>
        <v>22.68</v>
      </c>
      <c r="F755" s="22">
        <f>'VIX HISTORIQUE'!K758</f>
        <v>23.49</v>
      </c>
    </row>
    <row r="756" ht="15.75" customHeight="1">
      <c r="A756" s="25">
        <f>'VIX HISTORIQUE'!A759</f>
        <v>44362.66667</v>
      </c>
      <c r="B756" s="22">
        <f>'VIX HISTORIQUE'!B759</f>
        <v>4246.59</v>
      </c>
      <c r="C756" s="22">
        <f>'VIX HISTORIQUE'!D759</f>
        <v>17.02</v>
      </c>
      <c r="D756" s="22">
        <f>'VIX HISTORIQUE'!G759</f>
        <v>20.68</v>
      </c>
      <c r="E756" s="22">
        <f>'VIX HISTORIQUE'!I759</f>
        <v>23.11</v>
      </c>
      <c r="F756" s="22">
        <f>'VIX HISTORIQUE'!K759</f>
        <v>23.77</v>
      </c>
    </row>
    <row r="757" ht="15.75" customHeight="1">
      <c r="A757" s="25">
        <f>'VIX HISTORIQUE'!A760</f>
        <v>44363.66667</v>
      </c>
      <c r="B757" s="22">
        <f>'VIX HISTORIQUE'!B760</f>
        <v>4223.7</v>
      </c>
      <c r="C757" s="22">
        <f>'VIX HISTORIQUE'!D760</f>
        <v>18.15</v>
      </c>
      <c r="D757" s="22">
        <f>'VIX HISTORIQUE'!G760</f>
        <v>21.26</v>
      </c>
      <c r="E757" s="22">
        <f>'VIX HISTORIQUE'!I760</f>
        <v>23.45</v>
      </c>
      <c r="F757" s="22">
        <f>'VIX HISTORIQUE'!K760</f>
        <v>23.94</v>
      </c>
    </row>
    <row r="758" ht="15.75" customHeight="1">
      <c r="A758" s="25">
        <f>'VIX HISTORIQUE'!A761</f>
        <v>44364.66667</v>
      </c>
      <c r="B758" s="22">
        <f>'VIX HISTORIQUE'!B761</f>
        <v>4221.86</v>
      </c>
      <c r="C758" s="22">
        <f>'VIX HISTORIQUE'!D761</f>
        <v>17.75</v>
      </c>
      <c r="D758" s="22">
        <f>'VIX HISTORIQUE'!G761</f>
        <v>20.98</v>
      </c>
      <c r="E758" s="22">
        <f>'VIX HISTORIQUE'!I761</f>
        <v>23.15</v>
      </c>
      <c r="F758" s="22">
        <f>'VIX HISTORIQUE'!K761</f>
        <v>23.73</v>
      </c>
    </row>
    <row r="759" ht="15.75" customHeight="1">
      <c r="A759" s="25">
        <f>'VIX HISTORIQUE'!A762</f>
        <v>44365.66667</v>
      </c>
      <c r="B759" s="22">
        <f>'VIX HISTORIQUE'!B762</f>
        <v>4166.45</v>
      </c>
      <c r="C759" s="22">
        <f>'VIX HISTORIQUE'!D762</f>
        <v>20.7</v>
      </c>
      <c r="D759" s="22">
        <f>'VIX HISTORIQUE'!G762</f>
        <v>22.93</v>
      </c>
      <c r="E759" s="22">
        <f>'VIX HISTORIQUE'!I762</f>
        <v>24.48</v>
      </c>
      <c r="F759" s="22">
        <f>'VIX HISTORIQUE'!K762</f>
        <v>24.67</v>
      </c>
    </row>
    <row r="760" ht="15.75" customHeight="1">
      <c r="A760" s="25">
        <f>'VIX HISTORIQUE'!A763</f>
        <v>44368.66667</v>
      </c>
      <c r="B760" s="22">
        <f>'VIX HISTORIQUE'!B763</f>
        <v>4224.79</v>
      </c>
      <c r="C760" s="22">
        <f>'VIX HISTORIQUE'!D763</f>
        <v>17.89</v>
      </c>
      <c r="D760" s="22">
        <f>'VIX HISTORIQUE'!G763</f>
        <v>21.12</v>
      </c>
      <c r="E760" s="22">
        <f>'VIX HISTORIQUE'!I763</f>
        <v>23.37</v>
      </c>
      <c r="F760" s="22">
        <f>'VIX HISTORIQUE'!K763</f>
        <v>23.86</v>
      </c>
    </row>
    <row r="761" ht="15.75" customHeight="1">
      <c r="A761" s="25">
        <f>'VIX HISTORIQUE'!A764</f>
        <v>44369.66667</v>
      </c>
      <c r="B761" s="22">
        <f>'VIX HISTORIQUE'!B764</f>
        <v>4246.44</v>
      </c>
      <c r="C761" s="22">
        <f>'VIX HISTORIQUE'!D764</f>
        <v>16.66</v>
      </c>
      <c r="D761" s="22">
        <f>'VIX HISTORIQUE'!G764</f>
        <v>20.07</v>
      </c>
      <c r="E761" s="22">
        <f>'VIX HISTORIQUE'!I764</f>
        <v>22.69</v>
      </c>
      <c r="F761" s="22">
        <f>'VIX HISTORIQUE'!K764</f>
        <v>23.41</v>
      </c>
    </row>
    <row r="762" ht="15.75" customHeight="1">
      <c r="A762" s="25">
        <f>'VIX HISTORIQUE'!A765</f>
        <v>44370.66667</v>
      </c>
      <c r="B762" s="22">
        <f>'VIX HISTORIQUE'!B765</f>
        <v>4241.84</v>
      </c>
      <c r="C762" s="22">
        <f>'VIX HISTORIQUE'!D765</f>
        <v>16.32</v>
      </c>
      <c r="D762" s="22">
        <f>'VIX HISTORIQUE'!G765</f>
        <v>19.7</v>
      </c>
      <c r="E762" s="22">
        <f>'VIX HISTORIQUE'!I765</f>
        <v>22.23</v>
      </c>
      <c r="F762" s="22">
        <f>'VIX HISTORIQUE'!K765</f>
        <v>23.21</v>
      </c>
    </row>
    <row r="763" ht="15.75" customHeight="1">
      <c r="A763" s="25">
        <f>'VIX HISTORIQUE'!A766</f>
        <v>44371.66667</v>
      </c>
      <c r="B763" s="22">
        <f>'VIX HISTORIQUE'!B766</f>
        <v>4266.49</v>
      </c>
      <c r="C763" s="22">
        <f>'VIX HISTORIQUE'!D766</f>
        <v>15.97</v>
      </c>
      <c r="D763" s="22">
        <f>'VIX HISTORIQUE'!G766</f>
        <v>19.26</v>
      </c>
      <c r="E763" s="22">
        <f>'VIX HISTORIQUE'!I766</f>
        <v>21.91</v>
      </c>
      <c r="F763" s="22">
        <f>'VIX HISTORIQUE'!K766</f>
        <v>23.08</v>
      </c>
    </row>
    <row r="764" ht="15.75" customHeight="1">
      <c r="A764" s="25">
        <f>'VIX HISTORIQUE'!A767</f>
        <v>44372.66667</v>
      </c>
      <c r="B764" s="22">
        <f>'VIX HISTORIQUE'!B767</f>
        <v>4280.7</v>
      </c>
      <c r="C764" s="22">
        <f>'VIX HISTORIQUE'!D767</f>
        <v>15.62</v>
      </c>
      <c r="D764" s="22">
        <f>'VIX HISTORIQUE'!G767</f>
        <v>19</v>
      </c>
      <c r="E764" s="22">
        <f>'VIX HISTORIQUE'!I767</f>
        <v>21.83</v>
      </c>
      <c r="F764" s="22">
        <f>'VIX HISTORIQUE'!K767</f>
        <v>23.18</v>
      </c>
    </row>
    <row r="765" ht="15.75" customHeight="1">
      <c r="A765" s="25">
        <f>'VIX HISTORIQUE'!A768</f>
        <v>44375.66667</v>
      </c>
      <c r="B765" s="22">
        <f>'VIX HISTORIQUE'!B768</f>
        <v>4290.61</v>
      </c>
      <c r="C765" s="22">
        <f>'VIX HISTORIQUE'!D768</f>
        <v>15.76</v>
      </c>
      <c r="D765" s="22">
        <f>'VIX HISTORIQUE'!G768</f>
        <v>19.02</v>
      </c>
      <c r="E765" s="22">
        <f>'VIX HISTORIQUE'!I768</f>
        <v>21.84</v>
      </c>
      <c r="F765" s="22">
        <f>'VIX HISTORIQUE'!K768</f>
        <v>23.2</v>
      </c>
    </row>
    <row r="766" ht="15.75" customHeight="1">
      <c r="A766" s="25">
        <f>'VIX HISTORIQUE'!A769</f>
        <v>44376.66667</v>
      </c>
      <c r="B766" s="22">
        <f>'VIX HISTORIQUE'!B769</f>
        <v>4291.8</v>
      </c>
      <c r="C766" s="22">
        <f>'VIX HISTORIQUE'!D769</f>
        <v>16.02</v>
      </c>
      <c r="D766" s="22">
        <f>'VIX HISTORIQUE'!G769</f>
        <v>19.49</v>
      </c>
      <c r="E766" s="22">
        <f>'VIX HISTORIQUE'!I769</f>
        <v>22.14</v>
      </c>
      <c r="F766" s="22">
        <f>'VIX HISTORIQUE'!K769</f>
        <v>23.49</v>
      </c>
    </row>
    <row r="767" ht="15.75" customHeight="1">
      <c r="A767" s="25">
        <f>'VIX HISTORIQUE'!A770</f>
        <v>44377.66667</v>
      </c>
      <c r="B767" s="22">
        <f>'VIX HISTORIQUE'!B770</f>
        <v>4297.5</v>
      </c>
      <c r="C767" s="22">
        <f>'VIX HISTORIQUE'!D770</f>
        <v>15.83</v>
      </c>
      <c r="D767" s="22">
        <f>'VIX HISTORIQUE'!G770</f>
        <v>19.51</v>
      </c>
      <c r="E767" s="22">
        <f>'VIX HISTORIQUE'!I770</f>
        <v>22.29</v>
      </c>
      <c r="F767" s="22">
        <f>'VIX HISTORIQUE'!K770</f>
        <v>23.49</v>
      </c>
    </row>
    <row r="768" ht="15.75" customHeight="1">
      <c r="A768" s="25">
        <f>'VIX HISTORIQUE'!A771</f>
        <v>44378.66667</v>
      </c>
      <c r="B768" s="22">
        <f>'VIX HISTORIQUE'!B771</f>
        <v>4319.94</v>
      </c>
      <c r="C768" s="22">
        <f>'VIX HISTORIQUE'!D771</f>
        <v>15.48</v>
      </c>
      <c r="D768" s="22">
        <f>'VIX HISTORIQUE'!G771</f>
        <v>19.45</v>
      </c>
      <c r="E768" s="22">
        <f>'VIX HISTORIQUE'!I771</f>
        <v>22.24</v>
      </c>
      <c r="F768" s="22">
        <f>'VIX HISTORIQUE'!K771</f>
        <v>23.54</v>
      </c>
    </row>
    <row r="769" ht="15.75" customHeight="1">
      <c r="A769" s="25">
        <f>'VIX HISTORIQUE'!A772</f>
        <v>44379.66667</v>
      </c>
      <c r="B769" s="22">
        <f>'VIX HISTORIQUE'!B772</f>
        <v>4352.34</v>
      </c>
      <c r="C769" s="22">
        <f>'VIX HISTORIQUE'!D772</f>
        <v>15.07</v>
      </c>
      <c r="D769" s="22">
        <f>'VIX HISTORIQUE'!G772</f>
        <v>19.3</v>
      </c>
      <c r="E769" s="22">
        <f>'VIX HISTORIQUE'!I772</f>
        <v>21.94</v>
      </c>
      <c r="F769" s="22">
        <f>'VIX HISTORIQUE'!K772</f>
        <v>23.35</v>
      </c>
    </row>
    <row r="770" ht="15.75" customHeight="1">
      <c r="A770" s="25">
        <f>'VIX HISTORIQUE'!A773</f>
        <v>44383.66667</v>
      </c>
      <c r="B770" s="22">
        <f>'VIX HISTORIQUE'!B773</f>
        <v>4343.54</v>
      </c>
      <c r="C770" s="22">
        <f>'VIX HISTORIQUE'!D773</f>
        <v>16.44</v>
      </c>
      <c r="D770" s="22">
        <f>'VIX HISTORIQUE'!G773</f>
        <v>20.26</v>
      </c>
      <c r="E770" s="22">
        <f>'VIX HISTORIQUE'!I773</f>
        <v>22.51</v>
      </c>
      <c r="F770" s="22">
        <f>'VIX HISTORIQUE'!K773</f>
        <v>23.73</v>
      </c>
    </row>
    <row r="771" ht="15.75" customHeight="1">
      <c r="A771" s="25">
        <f>'VIX HISTORIQUE'!A774</f>
        <v>44384.66667</v>
      </c>
      <c r="B771" s="22">
        <f>'VIX HISTORIQUE'!B774</f>
        <v>4358.13</v>
      </c>
      <c r="C771" s="22">
        <f>'VIX HISTORIQUE'!D774</f>
        <v>16.2</v>
      </c>
      <c r="D771" s="22">
        <f>'VIX HISTORIQUE'!G774</f>
        <v>20.41</v>
      </c>
      <c r="E771" s="22">
        <f>'VIX HISTORIQUE'!I774</f>
        <v>22.65</v>
      </c>
      <c r="F771" s="22">
        <f>'VIX HISTORIQUE'!K774</f>
        <v>23.81</v>
      </c>
    </row>
    <row r="772" ht="15.75" customHeight="1">
      <c r="A772" s="25">
        <f>'VIX HISTORIQUE'!A775</f>
        <v>44385.66667</v>
      </c>
      <c r="B772" s="22">
        <f>'VIX HISTORIQUE'!B775</f>
        <v>4320.82</v>
      </c>
      <c r="C772" s="22">
        <f>'VIX HISTORIQUE'!D775</f>
        <v>19</v>
      </c>
      <c r="D772" s="22">
        <f>'VIX HISTORIQUE'!G775</f>
        <v>21.98</v>
      </c>
      <c r="E772" s="22">
        <f>'VIX HISTORIQUE'!I775</f>
        <v>23.56</v>
      </c>
      <c r="F772" s="22">
        <f>'VIX HISTORIQUE'!K775</f>
        <v>24.29</v>
      </c>
    </row>
    <row r="773" ht="15.75" customHeight="1">
      <c r="A773" s="25">
        <f>'VIX HISTORIQUE'!A776</f>
        <v>44386.66667</v>
      </c>
      <c r="B773" s="22">
        <f>'VIX HISTORIQUE'!B776</f>
        <v>4369.55</v>
      </c>
      <c r="C773" s="22">
        <f>'VIX HISTORIQUE'!D776</f>
        <v>16.18</v>
      </c>
      <c r="D773" s="22">
        <f>'VIX HISTORIQUE'!G776</f>
        <v>20.44</v>
      </c>
      <c r="E773" s="22">
        <f>'VIX HISTORIQUE'!I776</f>
        <v>22.64</v>
      </c>
      <c r="F773" s="22">
        <f>'VIX HISTORIQUE'!K776</f>
        <v>23.99</v>
      </c>
    </row>
    <row r="774" ht="15.75" customHeight="1">
      <c r="A774" s="25">
        <f>'VIX HISTORIQUE'!A777</f>
        <v>44389.66667</v>
      </c>
      <c r="B774" s="22">
        <f>'VIX HISTORIQUE'!B777</f>
        <v>4384.63</v>
      </c>
      <c r="C774" s="22">
        <f>'VIX HISTORIQUE'!D777</f>
        <v>16.17</v>
      </c>
      <c r="D774" s="22">
        <f>'VIX HISTORIQUE'!G777</f>
        <v>20.46</v>
      </c>
      <c r="E774" s="22">
        <f>'VIX HISTORIQUE'!I777</f>
        <v>22.71</v>
      </c>
      <c r="F774" s="22">
        <f>'VIX HISTORIQUE'!K777</f>
        <v>24.02</v>
      </c>
    </row>
    <row r="775" ht="15.75" customHeight="1">
      <c r="A775" s="25">
        <f>'VIX HISTORIQUE'!A778</f>
        <v>44390.66667</v>
      </c>
      <c r="B775" s="22">
        <f>'VIX HISTORIQUE'!B778</f>
        <v>4369.21</v>
      </c>
      <c r="C775" s="22">
        <f>'VIX HISTORIQUE'!D778</f>
        <v>17.12</v>
      </c>
      <c r="D775" s="22">
        <f>'VIX HISTORIQUE'!G778</f>
        <v>21.13</v>
      </c>
      <c r="E775" s="22">
        <f>'VIX HISTORIQUE'!I778</f>
        <v>23.3</v>
      </c>
      <c r="F775" s="22">
        <f>'VIX HISTORIQUE'!K778</f>
        <v>24.37</v>
      </c>
    </row>
    <row r="776" ht="15.75" customHeight="1">
      <c r="A776" s="25">
        <f>'VIX HISTORIQUE'!A779</f>
        <v>44391.66667</v>
      </c>
      <c r="B776" s="22">
        <f>'VIX HISTORIQUE'!B779</f>
        <v>4374.3</v>
      </c>
      <c r="C776" s="22">
        <f>'VIX HISTORIQUE'!D779</f>
        <v>16.33</v>
      </c>
      <c r="D776" s="22">
        <f>'VIX HISTORIQUE'!G779</f>
        <v>20.62</v>
      </c>
      <c r="E776" s="22">
        <f>'VIX HISTORIQUE'!I779</f>
        <v>23.07</v>
      </c>
      <c r="F776" s="22">
        <f>'VIX HISTORIQUE'!K779</f>
        <v>24.49</v>
      </c>
    </row>
    <row r="777" ht="15.75" customHeight="1">
      <c r="A777" s="25">
        <f>'VIX HISTORIQUE'!A780</f>
        <v>44392.66667</v>
      </c>
      <c r="B777" s="22">
        <f>'VIX HISTORIQUE'!B780</f>
        <v>4360.03</v>
      </c>
      <c r="C777" s="22">
        <f>'VIX HISTORIQUE'!D780</f>
        <v>17.01</v>
      </c>
      <c r="D777" s="22">
        <f>'VIX HISTORIQUE'!G780</f>
        <v>21.09</v>
      </c>
      <c r="E777" s="22">
        <f>'VIX HISTORIQUE'!I780</f>
        <v>23.28</v>
      </c>
      <c r="F777" s="22">
        <f>'VIX HISTORIQUE'!K780</f>
        <v>24.56</v>
      </c>
    </row>
    <row r="778" ht="15.75" customHeight="1">
      <c r="A778" s="25">
        <f>'VIX HISTORIQUE'!A781</f>
        <v>44393.66667</v>
      </c>
      <c r="B778" s="22">
        <f>'VIX HISTORIQUE'!B781</f>
        <v>4327.16</v>
      </c>
      <c r="C778" s="22">
        <f>'VIX HISTORIQUE'!D781</f>
        <v>18.45</v>
      </c>
      <c r="D778" s="22">
        <f>'VIX HISTORIQUE'!G781</f>
        <v>22.07</v>
      </c>
      <c r="E778" s="22">
        <f>'VIX HISTORIQUE'!I781</f>
        <v>23.94</v>
      </c>
      <c r="F778" s="22">
        <f>'VIX HISTORIQUE'!K781</f>
        <v>25.04</v>
      </c>
    </row>
    <row r="779" ht="15.75" customHeight="1">
      <c r="A779" s="25">
        <f>'VIX HISTORIQUE'!A782</f>
        <v>44396.66667</v>
      </c>
      <c r="B779" s="22">
        <f>'VIX HISTORIQUE'!B782</f>
        <v>4258.49</v>
      </c>
      <c r="C779" s="22">
        <f>'VIX HISTORIQUE'!D782</f>
        <v>22.5</v>
      </c>
      <c r="D779" s="22">
        <f>'VIX HISTORIQUE'!G782</f>
        <v>24.9</v>
      </c>
      <c r="E779" s="22">
        <f>'VIX HISTORIQUE'!I782</f>
        <v>25.66</v>
      </c>
      <c r="F779" s="22">
        <f>'VIX HISTORIQUE'!K782</f>
        <v>25.95</v>
      </c>
    </row>
    <row r="780" ht="15.75" customHeight="1">
      <c r="A780" s="25">
        <f>'VIX HISTORIQUE'!A783</f>
        <v>44397.66667</v>
      </c>
      <c r="B780" s="22">
        <f>'VIX HISTORIQUE'!B783</f>
        <v>4323.06</v>
      </c>
      <c r="C780" s="22">
        <f>'VIX HISTORIQUE'!D783</f>
        <v>19.73</v>
      </c>
      <c r="D780" s="22">
        <f>'VIX HISTORIQUE'!G783</f>
        <v>23.2</v>
      </c>
      <c r="E780" s="22">
        <f>'VIX HISTORIQUE'!I783</f>
        <v>24.64</v>
      </c>
      <c r="F780" s="22">
        <f>'VIX HISTORIQUE'!K783</f>
        <v>25.37</v>
      </c>
    </row>
    <row r="781" ht="15.75" customHeight="1">
      <c r="A781" s="25">
        <f>'VIX HISTORIQUE'!A784</f>
        <v>44398.66667</v>
      </c>
      <c r="B781" s="22">
        <f>'VIX HISTORIQUE'!B784</f>
        <v>4358.69</v>
      </c>
      <c r="C781" s="22">
        <f>'VIX HISTORIQUE'!D784</f>
        <v>17.91</v>
      </c>
      <c r="D781" s="22">
        <f>'VIX HISTORIQUE'!G784</f>
        <v>21.87</v>
      </c>
      <c r="E781" s="22">
        <f>'VIX HISTORIQUE'!I784</f>
        <v>23.8</v>
      </c>
      <c r="F781" s="22">
        <f>'VIX HISTORIQUE'!K784</f>
        <v>24.87</v>
      </c>
    </row>
    <row r="782" ht="15.75" customHeight="1">
      <c r="A782" s="25">
        <f>'VIX HISTORIQUE'!A785</f>
        <v>44399.66667</v>
      </c>
      <c r="B782" s="22">
        <f>'VIX HISTORIQUE'!B785</f>
        <v>4367.48</v>
      </c>
      <c r="C782" s="22">
        <f>'VIX HISTORIQUE'!D785</f>
        <v>17.69</v>
      </c>
      <c r="D782" s="22">
        <f>'VIX HISTORIQUE'!G785</f>
        <v>21.86</v>
      </c>
      <c r="E782" s="22">
        <f>'VIX HISTORIQUE'!I785</f>
        <v>23.74</v>
      </c>
      <c r="F782" s="22">
        <f>'VIX HISTORIQUE'!K785</f>
        <v>24.84</v>
      </c>
    </row>
    <row r="783" ht="15.75" customHeight="1">
      <c r="A783" s="25">
        <f>'VIX HISTORIQUE'!A786</f>
        <v>44400.66667</v>
      </c>
      <c r="B783" s="22">
        <f>'VIX HISTORIQUE'!B786</f>
        <v>4411.79</v>
      </c>
      <c r="C783" s="22">
        <f>'VIX HISTORIQUE'!D786</f>
        <v>17.2</v>
      </c>
      <c r="D783" s="22">
        <f>'VIX HISTORIQUE'!G786</f>
        <v>21.65</v>
      </c>
      <c r="E783" s="22">
        <f>'VIX HISTORIQUE'!I786</f>
        <v>23.62</v>
      </c>
      <c r="F783" s="22">
        <f>'VIX HISTORIQUE'!K786</f>
        <v>24.8</v>
      </c>
    </row>
    <row r="784" ht="15.75" customHeight="1">
      <c r="A784" s="25">
        <f>'VIX HISTORIQUE'!A787</f>
        <v>44403.66667</v>
      </c>
      <c r="B784" s="22">
        <f>'VIX HISTORIQUE'!B787</f>
        <v>4422.3</v>
      </c>
      <c r="C784" s="22">
        <f>'VIX HISTORIQUE'!D787</f>
        <v>17.58</v>
      </c>
      <c r="D784" s="22">
        <f>'VIX HISTORIQUE'!G787</f>
        <v>21.74</v>
      </c>
      <c r="E784" s="22">
        <f>'VIX HISTORIQUE'!I787</f>
        <v>23.68</v>
      </c>
      <c r="F784" s="22">
        <f>'VIX HISTORIQUE'!K787</f>
        <v>24.99</v>
      </c>
    </row>
    <row r="785" ht="15.75" customHeight="1">
      <c r="A785" s="25">
        <f>'VIX HISTORIQUE'!A788</f>
        <v>44404.66667</v>
      </c>
      <c r="B785" s="22">
        <f>'VIX HISTORIQUE'!B788</f>
        <v>4401.46</v>
      </c>
      <c r="C785" s="22">
        <f>'VIX HISTORIQUE'!D788</f>
        <v>19.36</v>
      </c>
      <c r="D785" s="22">
        <f>'VIX HISTORIQUE'!G788</f>
        <v>23</v>
      </c>
      <c r="E785" s="22">
        <f>'VIX HISTORIQUE'!I788</f>
        <v>24.68</v>
      </c>
      <c r="F785" s="22">
        <f>'VIX HISTORIQUE'!K788</f>
        <v>25.57</v>
      </c>
    </row>
    <row r="786" ht="15.75" customHeight="1">
      <c r="A786" s="25">
        <f>'VIX HISTORIQUE'!A789</f>
        <v>44405.66667</v>
      </c>
      <c r="B786" s="22">
        <f>'VIX HISTORIQUE'!B789</f>
        <v>4400.64</v>
      </c>
      <c r="C786" s="22">
        <f>'VIX HISTORIQUE'!D789</f>
        <v>18.31</v>
      </c>
      <c r="D786" s="22">
        <f>'VIX HISTORIQUE'!G789</f>
        <v>22.35</v>
      </c>
      <c r="E786" s="22">
        <f>'VIX HISTORIQUE'!I789</f>
        <v>24.36</v>
      </c>
      <c r="F786" s="22">
        <f>'VIX HISTORIQUE'!K789</f>
        <v>25.34</v>
      </c>
    </row>
    <row r="787" ht="15.75" customHeight="1">
      <c r="A787" s="25">
        <f>'VIX HISTORIQUE'!A790</f>
        <v>44406.66667</v>
      </c>
      <c r="B787" s="22">
        <f>'VIX HISTORIQUE'!B790</f>
        <v>4419.15</v>
      </c>
      <c r="C787" s="22">
        <f>'VIX HISTORIQUE'!D790</f>
        <v>17.7</v>
      </c>
      <c r="D787" s="22">
        <f>'VIX HISTORIQUE'!G790</f>
        <v>21.88</v>
      </c>
      <c r="E787" s="22">
        <f>'VIX HISTORIQUE'!I790</f>
        <v>24.14</v>
      </c>
      <c r="F787" s="22">
        <f>'VIX HISTORIQUE'!K790</f>
        <v>25.11</v>
      </c>
    </row>
    <row r="788" ht="15.75" customHeight="1">
      <c r="A788" s="25">
        <f>'VIX HISTORIQUE'!A791</f>
        <v>44407.66667</v>
      </c>
      <c r="B788" s="22">
        <f>'VIX HISTORIQUE'!B791</f>
        <v>4395.26</v>
      </c>
      <c r="C788" s="22">
        <f>'VIX HISTORIQUE'!D791</f>
        <v>18.24</v>
      </c>
      <c r="D788" s="22">
        <f>'VIX HISTORIQUE'!G791</f>
        <v>22.18</v>
      </c>
      <c r="E788" s="22">
        <f>'VIX HISTORIQUE'!I791</f>
        <v>24.37</v>
      </c>
      <c r="F788" s="22">
        <f>'VIX HISTORIQUE'!K791</f>
        <v>25.3</v>
      </c>
    </row>
    <row r="789" ht="15.75" customHeight="1">
      <c r="A789" s="25">
        <f>'VIX HISTORIQUE'!A792</f>
        <v>44410.66667</v>
      </c>
      <c r="B789" s="22">
        <f>'VIX HISTORIQUE'!B792</f>
        <v>4387.16</v>
      </c>
      <c r="C789" s="22">
        <f>'VIX HISTORIQUE'!D792</f>
        <v>19.46</v>
      </c>
      <c r="D789" s="22">
        <f>'VIX HISTORIQUE'!G792</f>
        <v>23.05</v>
      </c>
      <c r="E789" s="22">
        <f>'VIX HISTORIQUE'!I792</f>
        <v>24.95</v>
      </c>
      <c r="F789" s="22">
        <f>'VIX HISTORIQUE'!K792</f>
        <v>25.64</v>
      </c>
    </row>
    <row r="790" ht="15.75" customHeight="1">
      <c r="A790" s="25">
        <f>'VIX HISTORIQUE'!A793</f>
        <v>44411.66667</v>
      </c>
      <c r="B790" s="22">
        <f>'VIX HISTORIQUE'!B793</f>
        <v>4423.15</v>
      </c>
      <c r="C790" s="22">
        <f>'VIX HISTORIQUE'!D793</f>
        <v>18.04</v>
      </c>
      <c r="D790" s="22">
        <f>'VIX HISTORIQUE'!G793</f>
        <v>22.18</v>
      </c>
      <c r="E790" s="22">
        <f>'VIX HISTORIQUE'!I793</f>
        <v>24.36</v>
      </c>
      <c r="F790" s="22">
        <f>'VIX HISTORIQUE'!K793</f>
        <v>25.4</v>
      </c>
    </row>
    <row r="791" ht="15.75" customHeight="1">
      <c r="A791" s="25">
        <f>'VIX HISTORIQUE'!A794</f>
        <v>44412.66667</v>
      </c>
      <c r="B791" s="22">
        <f>'VIX HISTORIQUE'!B794</f>
        <v>4402.66</v>
      </c>
      <c r="C791" s="22">
        <f>'VIX HISTORIQUE'!D794</f>
        <v>17.97</v>
      </c>
      <c r="D791" s="22">
        <f>'VIX HISTORIQUE'!G794</f>
        <v>22.17</v>
      </c>
      <c r="E791" s="22">
        <f>'VIX HISTORIQUE'!I794</f>
        <v>24.37</v>
      </c>
      <c r="F791" s="22">
        <f>'VIX HISTORIQUE'!K794</f>
        <v>25.49</v>
      </c>
    </row>
    <row r="792" ht="15.75" customHeight="1">
      <c r="A792" s="25">
        <f>'VIX HISTORIQUE'!A795</f>
        <v>44413.66667</v>
      </c>
      <c r="B792" s="22">
        <f>'VIX HISTORIQUE'!B795</f>
        <v>4429.1</v>
      </c>
      <c r="C792" s="22">
        <f>'VIX HISTORIQUE'!D795</f>
        <v>17.28</v>
      </c>
      <c r="D792" s="22">
        <f>'VIX HISTORIQUE'!G795</f>
        <v>21.52</v>
      </c>
      <c r="E792" s="22">
        <f>'VIX HISTORIQUE'!I795</f>
        <v>23.99</v>
      </c>
      <c r="F792" s="22">
        <f>'VIX HISTORIQUE'!K795</f>
        <v>25.17</v>
      </c>
    </row>
    <row r="793" ht="15.75" customHeight="1">
      <c r="A793" s="25">
        <f>'VIX HISTORIQUE'!A796</f>
        <v>44414.66667</v>
      </c>
      <c r="B793" s="22">
        <f>'VIX HISTORIQUE'!B796</f>
        <v>4436.52</v>
      </c>
      <c r="C793" s="22">
        <f>'VIX HISTORIQUE'!D796</f>
        <v>16.15</v>
      </c>
      <c r="D793" s="22">
        <f>'VIX HISTORIQUE'!G796</f>
        <v>20.87</v>
      </c>
      <c r="E793" s="22">
        <f>'VIX HISTORIQUE'!I796</f>
        <v>23.68</v>
      </c>
      <c r="F793" s="22">
        <f>'VIX HISTORIQUE'!K796</f>
        <v>24.97</v>
      </c>
    </row>
    <row r="794" ht="15.75" customHeight="1">
      <c r="A794" s="25">
        <f>'VIX HISTORIQUE'!A797</f>
        <v>44417.66667</v>
      </c>
      <c r="B794" s="22">
        <f>'VIX HISTORIQUE'!B797</f>
        <v>4432.35</v>
      </c>
      <c r="C794" s="22">
        <f>'VIX HISTORIQUE'!D797</f>
        <v>16.72</v>
      </c>
      <c r="D794" s="22">
        <f>'VIX HISTORIQUE'!G797</f>
        <v>21.27</v>
      </c>
      <c r="E794" s="22">
        <f>'VIX HISTORIQUE'!I797</f>
        <v>24.13</v>
      </c>
      <c r="F794" s="22">
        <f>'VIX HISTORIQUE'!K797</f>
        <v>25.36</v>
      </c>
    </row>
    <row r="795" ht="15.75" customHeight="1">
      <c r="A795" s="25">
        <f>'VIX HISTORIQUE'!A798</f>
        <v>44418.66667</v>
      </c>
      <c r="B795" s="22">
        <f>'VIX HISTORIQUE'!B798</f>
        <v>4436.75</v>
      </c>
      <c r="C795" s="22">
        <f>'VIX HISTORIQUE'!D798</f>
        <v>16.79</v>
      </c>
      <c r="D795" s="22">
        <f>'VIX HISTORIQUE'!G798</f>
        <v>21.21</v>
      </c>
      <c r="E795" s="22">
        <f>'VIX HISTORIQUE'!I798</f>
        <v>24.06</v>
      </c>
      <c r="F795" s="22">
        <f>'VIX HISTORIQUE'!K798</f>
        <v>25.29</v>
      </c>
    </row>
    <row r="796" ht="15.75" customHeight="1">
      <c r="A796" s="25">
        <f>'VIX HISTORIQUE'!A799</f>
        <v>44419.66667</v>
      </c>
      <c r="B796" s="22">
        <f>'VIX HISTORIQUE'!B799</f>
        <v>4447.7</v>
      </c>
      <c r="C796" s="22">
        <f>'VIX HISTORIQUE'!D799</f>
        <v>16.06</v>
      </c>
      <c r="D796" s="22">
        <f>'VIX HISTORIQUE'!G799</f>
        <v>20.67</v>
      </c>
      <c r="E796" s="22">
        <f>'VIX HISTORIQUE'!I799</f>
        <v>23.26</v>
      </c>
      <c r="F796" s="22">
        <f>'VIX HISTORIQUE'!K799</f>
        <v>25.11</v>
      </c>
    </row>
    <row r="797" ht="15.75" customHeight="1">
      <c r="A797" s="25">
        <f>'VIX HISTORIQUE'!A800</f>
        <v>44420.66667</v>
      </c>
      <c r="B797" s="22">
        <f>'VIX HISTORIQUE'!B800</f>
        <v>4460.83</v>
      </c>
      <c r="C797" s="22">
        <f>'VIX HISTORIQUE'!D800</f>
        <v>15.59</v>
      </c>
      <c r="D797" s="22">
        <f>'VIX HISTORIQUE'!G800</f>
        <v>20.25</v>
      </c>
      <c r="E797" s="22">
        <f>'VIX HISTORIQUE'!I800</f>
        <v>22.88</v>
      </c>
      <c r="F797" s="22">
        <f>'VIX HISTORIQUE'!K800</f>
        <v>24.52</v>
      </c>
    </row>
    <row r="798" ht="15.75" customHeight="1">
      <c r="A798" s="25">
        <f>'VIX HISTORIQUE'!A801</f>
        <v>44421.66667</v>
      </c>
      <c r="B798" s="22">
        <f>'VIX HISTORIQUE'!B801</f>
        <v>4468</v>
      </c>
      <c r="C798" s="22">
        <f>'VIX HISTORIQUE'!D801</f>
        <v>15.45</v>
      </c>
      <c r="D798" s="22">
        <f>'VIX HISTORIQUE'!G801</f>
        <v>20.26</v>
      </c>
      <c r="E798" s="22">
        <f>'VIX HISTORIQUE'!I801</f>
        <v>22.92</v>
      </c>
      <c r="F798" s="22">
        <f>'VIX HISTORIQUE'!K801</f>
        <v>24.53</v>
      </c>
    </row>
    <row r="799" ht="15.75" customHeight="1">
      <c r="A799" s="25">
        <f>'VIX HISTORIQUE'!A802</f>
        <v>44424.66667</v>
      </c>
      <c r="B799" s="22">
        <f>'VIX HISTORIQUE'!B802</f>
        <v>4479.71</v>
      </c>
      <c r="C799" s="22">
        <f>'VIX HISTORIQUE'!D802</f>
        <v>16.12</v>
      </c>
      <c r="D799" s="22">
        <f>'VIX HISTORIQUE'!G802</f>
        <v>20.64</v>
      </c>
      <c r="E799" s="22">
        <f>'VIX HISTORIQUE'!I802</f>
        <v>23.13</v>
      </c>
      <c r="F799" s="22">
        <f>'VIX HISTORIQUE'!K802</f>
        <v>24.72</v>
      </c>
    </row>
    <row r="800" ht="15.75" customHeight="1">
      <c r="A800" s="25">
        <f>'VIX HISTORIQUE'!A803</f>
        <v>44425.66667</v>
      </c>
      <c r="B800" s="22">
        <f>'VIX HISTORIQUE'!B803</f>
        <v>4448.08</v>
      </c>
      <c r="C800" s="22">
        <f>'VIX HISTORIQUE'!D803</f>
        <v>17.91</v>
      </c>
      <c r="D800" s="22">
        <f>'VIX HISTORIQUE'!G803</f>
        <v>21.7</v>
      </c>
      <c r="E800" s="22">
        <f>'VIX HISTORIQUE'!I803</f>
        <v>24.2</v>
      </c>
      <c r="F800" s="22">
        <f>'VIX HISTORIQUE'!K803</f>
        <v>25.26</v>
      </c>
    </row>
    <row r="801" ht="15.75" customHeight="1">
      <c r="A801" s="25">
        <f>'VIX HISTORIQUE'!A804</f>
        <v>44426.66667</v>
      </c>
      <c r="B801" s="22">
        <f>'VIX HISTORIQUE'!B804</f>
        <v>4400.27</v>
      </c>
      <c r="C801" s="22">
        <f>'VIX HISTORIQUE'!D804</f>
        <v>21.57</v>
      </c>
      <c r="D801" s="22">
        <f>'VIX HISTORIQUE'!G804</f>
        <v>23.8</v>
      </c>
      <c r="E801" s="22">
        <f>'VIX HISTORIQUE'!I804</f>
        <v>25.65</v>
      </c>
      <c r="F801" s="22">
        <f>'VIX HISTORIQUE'!K804</f>
        <v>26.17</v>
      </c>
    </row>
    <row r="802" ht="15.75" customHeight="1">
      <c r="A802" s="25">
        <f>'VIX HISTORIQUE'!A805</f>
        <v>44427.66667</v>
      </c>
      <c r="B802" s="22">
        <f>'VIX HISTORIQUE'!B805</f>
        <v>4405.8</v>
      </c>
      <c r="C802" s="22">
        <f>'VIX HISTORIQUE'!D805</f>
        <v>21.67</v>
      </c>
      <c r="D802" s="22">
        <f>'VIX HISTORIQUE'!G805</f>
        <v>24.2</v>
      </c>
      <c r="E802" s="22">
        <f>'VIX HISTORIQUE'!I805</f>
        <v>25.84</v>
      </c>
      <c r="F802" s="22">
        <f>'VIX HISTORIQUE'!K805</f>
        <v>26.22</v>
      </c>
    </row>
    <row r="803" ht="15.75" customHeight="1">
      <c r="A803" s="25">
        <f>'VIX HISTORIQUE'!A806</f>
        <v>44428.66667</v>
      </c>
      <c r="B803" s="22">
        <f>'VIX HISTORIQUE'!B806</f>
        <v>4441.67</v>
      </c>
      <c r="C803" s="22">
        <f>'VIX HISTORIQUE'!D806</f>
        <v>18.56</v>
      </c>
      <c r="D803" s="22">
        <f>'VIX HISTORIQUE'!G806</f>
        <v>22.41</v>
      </c>
      <c r="E803" s="22">
        <f>'VIX HISTORIQUE'!I806</f>
        <v>24.64</v>
      </c>
      <c r="F803" s="22">
        <f>'VIX HISTORIQUE'!K806</f>
        <v>25.64</v>
      </c>
    </row>
    <row r="804" ht="15.75" customHeight="1">
      <c r="A804" s="25">
        <f>'VIX HISTORIQUE'!A807</f>
        <v>44431.66667</v>
      </c>
      <c r="B804" s="22">
        <f>'VIX HISTORIQUE'!B807</f>
        <v>4479.53</v>
      </c>
      <c r="C804" s="22">
        <f>'VIX HISTORIQUE'!D807</f>
        <v>17.15</v>
      </c>
      <c r="D804" s="22">
        <f>'VIX HISTORIQUE'!G807</f>
        <v>21.2</v>
      </c>
      <c r="E804" s="22">
        <f>'VIX HISTORIQUE'!I807</f>
        <v>23.89</v>
      </c>
      <c r="F804" s="22">
        <f>'VIX HISTORIQUE'!K807</f>
        <v>25.52</v>
      </c>
    </row>
    <row r="805" ht="15.75" customHeight="1">
      <c r="A805" s="25">
        <f>'VIX HISTORIQUE'!A808</f>
        <v>44432.66667</v>
      </c>
      <c r="B805" s="22">
        <f>'VIX HISTORIQUE'!B808</f>
        <v>4486.23</v>
      </c>
      <c r="C805" s="22">
        <f>'VIX HISTORIQUE'!D808</f>
        <v>17.22</v>
      </c>
      <c r="D805" s="22">
        <f>'VIX HISTORIQUE'!G808</f>
        <v>21.22</v>
      </c>
      <c r="E805" s="22">
        <f>'VIX HISTORIQUE'!I808</f>
        <v>24.01</v>
      </c>
      <c r="F805" s="22">
        <f>'VIX HISTORIQUE'!K808</f>
        <v>25.7</v>
      </c>
    </row>
    <row r="806" ht="15.75" customHeight="1">
      <c r="A806" s="25">
        <f>'VIX HISTORIQUE'!A809</f>
        <v>44433.66667</v>
      </c>
      <c r="B806" s="22">
        <f>'VIX HISTORIQUE'!B809</f>
        <v>4496.19</v>
      </c>
      <c r="C806" s="22">
        <f>'VIX HISTORIQUE'!D809</f>
        <v>16.79</v>
      </c>
      <c r="D806" s="22">
        <f>'VIX HISTORIQUE'!G809</f>
        <v>20.79</v>
      </c>
      <c r="E806" s="22">
        <f>'VIX HISTORIQUE'!I809</f>
        <v>23.64</v>
      </c>
      <c r="F806" s="22">
        <f>'VIX HISTORIQUE'!K809</f>
        <v>25.52</v>
      </c>
    </row>
    <row r="807" ht="15.75" customHeight="1">
      <c r="A807" s="25">
        <f>'VIX HISTORIQUE'!A810</f>
        <v>44434.66667</v>
      </c>
      <c r="B807" s="22">
        <f>'VIX HISTORIQUE'!B810</f>
        <v>4470</v>
      </c>
      <c r="C807" s="22">
        <f>'VIX HISTORIQUE'!D810</f>
        <v>18.84</v>
      </c>
      <c r="D807" s="22">
        <f>'VIX HISTORIQUE'!G810</f>
        <v>21.86</v>
      </c>
      <c r="E807" s="22">
        <f>'VIX HISTORIQUE'!I810</f>
        <v>24.4</v>
      </c>
      <c r="F807" s="22">
        <f>'VIX HISTORIQUE'!K810</f>
        <v>25.98</v>
      </c>
    </row>
    <row r="808" ht="15.75" customHeight="1">
      <c r="A808" s="25">
        <f>'VIX HISTORIQUE'!A811</f>
        <v>44435.66667</v>
      </c>
      <c r="B808" s="22">
        <f>'VIX HISTORIQUE'!B811</f>
        <v>4509.37</v>
      </c>
      <c r="C808" s="22">
        <f>'VIX HISTORIQUE'!D811</f>
        <v>16.39</v>
      </c>
      <c r="D808" s="22">
        <f>'VIX HISTORIQUE'!G811</f>
        <v>20.61</v>
      </c>
      <c r="E808" s="22">
        <f>'VIX HISTORIQUE'!I811</f>
        <v>23.54</v>
      </c>
      <c r="F808" s="22">
        <f>'VIX HISTORIQUE'!K811</f>
        <v>25.32</v>
      </c>
    </row>
    <row r="809" ht="15.75" customHeight="1">
      <c r="A809" s="25">
        <f>'VIX HISTORIQUE'!A812</f>
        <v>44438.66667</v>
      </c>
      <c r="B809" s="22">
        <f>'VIX HISTORIQUE'!B812</f>
        <v>4528.79</v>
      </c>
      <c r="C809" s="22">
        <f>'VIX HISTORIQUE'!D812</f>
        <v>16.19</v>
      </c>
      <c r="D809" s="22">
        <f>'VIX HISTORIQUE'!G812</f>
        <v>20.4</v>
      </c>
      <c r="E809" s="22">
        <f>'VIX HISTORIQUE'!I812</f>
        <v>23.43</v>
      </c>
      <c r="F809" s="22">
        <f>'VIX HISTORIQUE'!K812</f>
        <v>25.3</v>
      </c>
    </row>
    <row r="810" ht="15.75" customHeight="1">
      <c r="A810" s="25">
        <f>'VIX HISTORIQUE'!A813</f>
        <v>44439.66667</v>
      </c>
      <c r="B810" s="22">
        <f>'VIX HISTORIQUE'!B813</f>
        <v>4522.68</v>
      </c>
      <c r="C810" s="22">
        <f>'VIX HISTORIQUE'!D813</f>
        <v>16.48</v>
      </c>
      <c r="D810" s="22">
        <f>'VIX HISTORIQUE'!G813</f>
        <v>20.42</v>
      </c>
      <c r="E810" s="22">
        <f>'VIX HISTORIQUE'!I813</f>
        <v>23.49</v>
      </c>
      <c r="F810" s="22">
        <f>'VIX HISTORIQUE'!K813</f>
        <v>25.32</v>
      </c>
    </row>
    <row r="811" ht="15.75" customHeight="1">
      <c r="A811" s="25">
        <f>'VIX HISTORIQUE'!A814</f>
        <v>44440.66667</v>
      </c>
      <c r="B811" s="22">
        <f>'VIX HISTORIQUE'!B814</f>
        <v>4524.09</v>
      </c>
      <c r="C811" s="22">
        <f>'VIX HISTORIQUE'!D814</f>
        <v>16.11</v>
      </c>
      <c r="D811" s="22">
        <f>'VIX HISTORIQUE'!G814</f>
        <v>20.08</v>
      </c>
      <c r="E811" s="22">
        <f>'VIX HISTORIQUE'!I814</f>
        <v>23.27</v>
      </c>
      <c r="F811" s="22">
        <f>'VIX HISTORIQUE'!K814</f>
        <v>25.22</v>
      </c>
    </row>
    <row r="812" ht="15.75" customHeight="1">
      <c r="A812" s="25">
        <f>'VIX HISTORIQUE'!A815</f>
        <v>44441.66667</v>
      </c>
      <c r="B812" s="22">
        <f>'VIX HISTORIQUE'!B815</f>
        <v>4536.95</v>
      </c>
      <c r="C812" s="22">
        <f>'VIX HISTORIQUE'!D815</f>
        <v>16.41</v>
      </c>
      <c r="D812" s="22">
        <f>'VIX HISTORIQUE'!G815</f>
        <v>20.13</v>
      </c>
      <c r="E812" s="22">
        <f>'VIX HISTORIQUE'!I815</f>
        <v>23.35</v>
      </c>
      <c r="F812" s="22">
        <f>'VIX HISTORIQUE'!K815</f>
        <v>25.12</v>
      </c>
    </row>
    <row r="813" ht="15.75" customHeight="1">
      <c r="A813" s="25">
        <f>'VIX HISTORIQUE'!A816</f>
        <v>44442.66667</v>
      </c>
      <c r="B813" s="22">
        <f>'VIX HISTORIQUE'!B816</f>
        <v>4535.43</v>
      </c>
      <c r="C813" s="22">
        <f>'VIX HISTORIQUE'!D816</f>
        <v>16.41</v>
      </c>
      <c r="D813" s="22">
        <f>'VIX HISTORIQUE'!G816</f>
        <v>20.32</v>
      </c>
      <c r="E813" s="22">
        <f>'VIX HISTORIQUE'!I816</f>
        <v>23.47</v>
      </c>
      <c r="F813" s="22">
        <f>'VIX HISTORIQUE'!K816</f>
        <v>25.49</v>
      </c>
    </row>
    <row r="814" ht="15.75" customHeight="1">
      <c r="A814" s="25">
        <f>'VIX HISTORIQUE'!A817</f>
        <v>44446.66667</v>
      </c>
      <c r="B814" s="22">
        <f>'VIX HISTORIQUE'!B817</f>
        <v>4520.03</v>
      </c>
      <c r="C814" s="22">
        <f>'VIX HISTORIQUE'!D817</f>
        <v>18.14</v>
      </c>
      <c r="D814" s="22">
        <f>'VIX HISTORIQUE'!G817</f>
        <v>21.53</v>
      </c>
      <c r="E814" s="22">
        <f>'VIX HISTORIQUE'!I817</f>
        <v>24.28</v>
      </c>
      <c r="F814" s="22">
        <f>'VIX HISTORIQUE'!K817</f>
        <v>26.09</v>
      </c>
    </row>
    <row r="815" ht="15.75" customHeight="1">
      <c r="A815" s="25">
        <f>'VIX HISTORIQUE'!A818</f>
        <v>44447.66667</v>
      </c>
      <c r="B815" s="22">
        <f>'VIX HISTORIQUE'!B818</f>
        <v>4514.07</v>
      </c>
      <c r="C815" s="22">
        <f>'VIX HISTORIQUE'!D818</f>
        <v>17.96</v>
      </c>
      <c r="D815" s="22">
        <f>'VIX HISTORIQUE'!G818</f>
        <v>21.59</v>
      </c>
      <c r="E815" s="22">
        <f>'VIX HISTORIQUE'!I818</f>
        <v>24.34</v>
      </c>
      <c r="F815" s="22">
        <f>'VIX HISTORIQUE'!K818</f>
        <v>26.22</v>
      </c>
    </row>
    <row r="816" ht="15.75" customHeight="1">
      <c r="A816" s="25">
        <f>'VIX HISTORIQUE'!A819</f>
        <v>44448.66667</v>
      </c>
      <c r="B816" s="22">
        <f>'VIX HISTORIQUE'!B819</f>
        <v>4493.28</v>
      </c>
      <c r="C816" s="22">
        <f>'VIX HISTORIQUE'!D819</f>
        <v>18.8</v>
      </c>
      <c r="D816" s="22">
        <f>'VIX HISTORIQUE'!G819</f>
        <v>22.06</v>
      </c>
      <c r="E816" s="22">
        <f>'VIX HISTORIQUE'!I819</f>
        <v>24.63</v>
      </c>
      <c r="F816" s="22">
        <f>'VIX HISTORIQUE'!K819</f>
        <v>26.46</v>
      </c>
    </row>
    <row r="817" ht="15.75" customHeight="1">
      <c r="A817" s="25">
        <f>'VIX HISTORIQUE'!A820</f>
        <v>44449.66667</v>
      </c>
      <c r="B817" s="22">
        <f>'VIX HISTORIQUE'!B820</f>
        <v>4458.58</v>
      </c>
      <c r="C817" s="22">
        <f>'VIX HISTORIQUE'!D820</f>
        <v>20.95</v>
      </c>
      <c r="D817" s="22">
        <f>'VIX HISTORIQUE'!G820</f>
        <v>23.31</v>
      </c>
      <c r="E817" s="22">
        <f>'VIX HISTORIQUE'!I820</f>
        <v>25.29</v>
      </c>
      <c r="F817" s="22">
        <f>'VIX HISTORIQUE'!K820</f>
        <v>27.08</v>
      </c>
    </row>
    <row r="818" ht="15.75" customHeight="1">
      <c r="A818" s="25">
        <f>'VIX HISTORIQUE'!A821</f>
        <v>44452.66667</v>
      </c>
      <c r="B818" s="22">
        <f>'VIX HISTORIQUE'!B821</f>
        <v>4468.73</v>
      </c>
      <c r="C818" s="22">
        <f>'VIX HISTORIQUE'!D821</f>
        <v>19.37</v>
      </c>
      <c r="D818" s="22">
        <f>'VIX HISTORIQUE'!G821</f>
        <v>22.47</v>
      </c>
      <c r="E818" s="22">
        <f>'VIX HISTORIQUE'!I821</f>
        <v>24.78</v>
      </c>
      <c r="F818" s="22">
        <f>'VIX HISTORIQUE'!K821</f>
        <v>26.62</v>
      </c>
    </row>
    <row r="819" ht="15.75" customHeight="1">
      <c r="A819" s="25">
        <f>'VIX HISTORIQUE'!A822</f>
        <v>44453.66667</v>
      </c>
      <c r="B819" s="22">
        <f>'VIX HISTORIQUE'!B822</f>
        <v>4443.05</v>
      </c>
      <c r="C819" s="22">
        <f>'VIX HISTORIQUE'!D822</f>
        <v>19.46</v>
      </c>
      <c r="D819" s="22">
        <f>'VIX HISTORIQUE'!G822</f>
        <v>22.55</v>
      </c>
      <c r="E819" s="22">
        <f>'VIX HISTORIQUE'!I822</f>
        <v>24.87</v>
      </c>
      <c r="F819" s="22">
        <f>'VIX HISTORIQUE'!K822</f>
        <v>26.67</v>
      </c>
    </row>
    <row r="820" ht="15.75" customHeight="1">
      <c r="A820" s="25">
        <f>'VIX HISTORIQUE'!A823</f>
        <v>44454.66667</v>
      </c>
      <c r="B820" s="22">
        <f>'VIX HISTORIQUE'!B823</f>
        <v>4480.7</v>
      </c>
      <c r="C820" s="22">
        <f>'VIX HISTORIQUE'!D823</f>
        <v>18.18</v>
      </c>
      <c r="D820" s="22">
        <f>'VIX HISTORIQUE'!G823</f>
        <v>21.76</v>
      </c>
      <c r="E820" s="22">
        <f>'VIX HISTORIQUE'!I823</f>
        <v>24.3</v>
      </c>
      <c r="F820" s="22">
        <f>'VIX HISTORIQUE'!K823</f>
        <v>26.28</v>
      </c>
    </row>
    <row r="821" ht="15.75" customHeight="1">
      <c r="A821" s="25">
        <f>'VIX HISTORIQUE'!A824</f>
        <v>44455.66667</v>
      </c>
      <c r="B821" s="22">
        <f>'VIX HISTORIQUE'!B824</f>
        <v>4473.75</v>
      </c>
      <c r="C821" s="22">
        <f>'VIX HISTORIQUE'!D824</f>
        <v>18.69</v>
      </c>
      <c r="D821" s="22">
        <f>'VIX HISTORIQUE'!G824</f>
        <v>21.81</v>
      </c>
      <c r="E821" s="22">
        <f>'VIX HISTORIQUE'!I824</f>
        <v>24.34</v>
      </c>
      <c r="F821" s="22">
        <f>'VIX HISTORIQUE'!K824</f>
        <v>26.3</v>
      </c>
    </row>
    <row r="822" ht="15.75" customHeight="1">
      <c r="A822" s="25">
        <f>'VIX HISTORIQUE'!A825</f>
        <v>44456.66667</v>
      </c>
      <c r="B822" s="22">
        <f>'VIX HISTORIQUE'!B825</f>
        <v>4432.99</v>
      </c>
      <c r="C822" s="22">
        <f>'VIX HISTORIQUE'!D825</f>
        <v>20.81</v>
      </c>
      <c r="D822" s="22">
        <f>'VIX HISTORIQUE'!G825</f>
        <v>23.22</v>
      </c>
      <c r="E822" s="22">
        <f>'VIX HISTORIQUE'!I825</f>
        <v>25.23</v>
      </c>
      <c r="F822" s="22">
        <f>'VIX HISTORIQUE'!K825</f>
        <v>26.88</v>
      </c>
    </row>
    <row r="823" ht="15.75" customHeight="1">
      <c r="A823" s="25">
        <f>'VIX HISTORIQUE'!A826</f>
        <v>44459.66667</v>
      </c>
      <c r="B823" s="22">
        <f>'VIX HISTORIQUE'!B826</f>
        <v>4357.73</v>
      </c>
      <c r="C823" s="22">
        <f>'VIX HISTORIQUE'!D826</f>
        <v>25.71</v>
      </c>
      <c r="D823" s="22">
        <f>'VIX HISTORIQUE'!G826</f>
        <v>26.4</v>
      </c>
      <c r="E823" s="22">
        <f>'VIX HISTORIQUE'!I826</f>
        <v>27.19</v>
      </c>
      <c r="F823" s="22">
        <f>'VIX HISTORIQUE'!K826</f>
        <v>27.46</v>
      </c>
    </row>
    <row r="824" ht="15.75" customHeight="1">
      <c r="A824" s="25">
        <f>'VIX HISTORIQUE'!A827</f>
        <v>44460.66667</v>
      </c>
      <c r="B824" s="22">
        <f>'VIX HISTORIQUE'!B827</f>
        <v>4354.19</v>
      </c>
      <c r="C824" s="22">
        <f>'VIX HISTORIQUE'!D827</f>
        <v>24.36</v>
      </c>
      <c r="D824" s="22">
        <f>'VIX HISTORIQUE'!G827</f>
        <v>25.47</v>
      </c>
      <c r="E824" s="22">
        <f>'VIX HISTORIQUE'!I827</f>
        <v>26.75</v>
      </c>
      <c r="F824" s="22">
        <f>'VIX HISTORIQUE'!K827</f>
        <v>27.14</v>
      </c>
    </row>
    <row r="825" ht="15.75" customHeight="1">
      <c r="A825" s="25">
        <f>'VIX HISTORIQUE'!A828</f>
        <v>44461.66667</v>
      </c>
      <c r="B825" s="22">
        <f>'VIX HISTORIQUE'!B828</f>
        <v>4395.64</v>
      </c>
      <c r="C825" s="22">
        <f>'VIX HISTORIQUE'!D828</f>
        <v>20.87</v>
      </c>
      <c r="D825" s="22">
        <f>'VIX HISTORIQUE'!G828</f>
        <v>23.05</v>
      </c>
      <c r="E825" s="22">
        <f>'VIX HISTORIQUE'!I828</f>
        <v>25.07</v>
      </c>
      <c r="F825" s="22">
        <f>'VIX HISTORIQUE'!K828</f>
        <v>26.2</v>
      </c>
    </row>
    <row r="826" ht="15.75" customHeight="1">
      <c r="A826" s="25">
        <f>'VIX HISTORIQUE'!A829</f>
        <v>44462.66667</v>
      </c>
      <c r="B826" s="22">
        <f>'VIX HISTORIQUE'!B829</f>
        <v>4448.98</v>
      </c>
      <c r="C826" s="22">
        <f>'VIX HISTORIQUE'!D829</f>
        <v>18.63</v>
      </c>
      <c r="D826" s="22">
        <f>'VIX HISTORIQUE'!G829</f>
        <v>21.37</v>
      </c>
      <c r="E826" s="22">
        <f>'VIX HISTORIQUE'!I829</f>
        <v>23.91</v>
      </c>
      <c r="F826" s="22">
        <f>'VIX HISTORIQUE'!K829</f>
        <v>25.49</v>
      </c>
    </row>
    <row r="827" ht="15.75" customHeight="1">
      <c r="A827" s="25">
        <f>'VIX HISTORIQUE'!A830</f>
        <v>44463.66667</v>
      </c>
      <c r="B827" s="22">
        <f>'VIX HISTORIQUE'!B830</f>
        <v>4455.48</v>
      </c>
      <c r="C827" s="22">
        <f>'VIX HISTORIQUE'!D830</f>
        <v>17.75</v>
      </c>
      <c r="D827" s="22">
        <f>'VIX HISTORIQUE'!G830</f>
        <v>20.82</v>
      </c>
      <c r="E827" s="22">
        <f>'VIX HISTORIQUE'!I830</f>
        <v>23.66</v>
      </c>
      <c r="F827" s="22">
        <f>'VIX HISTORIQUE'!K830</f>
        <v>25.38</v>
      </c>
    </row>
    <row r="828" ht="15.75" customHeight="1">
      <c r="A828" s="25">
        <f>'VIX HISTORIQUE'!A831</f>
        <v>44466.66667</v>
      </c>
      <c r="B828" s="22">
        <f>'VIX HISTORIQUE'!B831</f>
        <v>4443.11</v>
      </c>
      <c r="C828" s="22">
        <f>'VIX HISTORIQUE'!D831</f>
        <v>18.76</v>
      </c>
      <c r="D828" s="22">
        <f>'VIX HISTORIQUE'!G831</f>
        <v>21.4</v>
      </c>
      <c r="E828" s="22">
        <f>'VIX HISTORIQUE'!I831</f>
        <v>24.14</v>
      </c>
      <c r="F828" s="22">
        <f>'VIX HISTORIQUE'!K831</f>
        <v>25.81</v>
      </c>
    </row>
    <row r="829" ht="15.75" customHeight="1">
      <c r="A829" s="25">
        <f>'VIX HISTORIQUE'!A832</f>
        <v>44467.66667</v>
      </c>
      <c r="B829" s="22">
        <f>'VIX HISTORIQUE'!B832</f>
        <v>4352.63</v>
      </c>
      <c r="C829" s="22">
        <f>'VIX HISTORIQUE'!D832</f>
        <v>23.25</v>
      </c>
      <c r="D829" s="22">
        <f>'VIX HISTORIQUE'!G832</f>
        <v>24.03</v>
      </c>
      <c r="E829" s="22">
        <f>'VIX HISTORIQUE'!I832</f>
        <v>26.08</v>
      </c>
      <c r="F829" s="22">
        <f>'VIX HISTORIQUE'!K832</f>
        <v>27.04</v>
      </c>
    </row>
    <row r="830" ht="15.75" customHeight="1">
      <c r="A830" s="25">
        <f>'VIX HISTORIQUE'!A833</f>
        <v>44468.66667</v>
      </c>
      <c r="B830" s="22">
        <f>'VIX HISTORIQUE'!B833</f>
        <v>4359.46</v>
      </c>
      <c r="C830" s="22">
        <f>'VIX HISTORIQUE'!D833</f>
        <v>22.56</v>
      </c>
      <c r="D830" s="22">
        <f>'VIX HISTORIQUE'!G833</f>
        <v>23.72</v>
      </c>
      <c r="E830" s="22">
        <f>'VIX HISTORIQUE'!I833</f>
        <v>25.88</v>
      </c>
      <c r="F830" s="22">
        <f>'VIX HISTORIQUE'!K833</f>
        <v>26.8</v>
      </c>
    </row>
    <row r="831" ht="15.75" customHeight="1">
      <c r="A831" s="25">
        <f>'VIX HISTORIQUE'!A834</f>
        <v>44469.66667</v>
      </c>
      <c r="B831" s="22">
        <f>'VIX HISTORIQUE'!B834</f>
        <v>4307.54</v>
      </c>
      <c r="C831" s="22">
        <f>'VIX HISTORIQUE'!D834</f>
        <v>23.14</v>
      </c>
      <c r="D831" s="22">
        <f>'VIX HISTORIQUE'!G834</f>
        <v>23.87</v>
      </c>
      <c r="E831" s="22">
        <f>'VIX HISTORIQUE'!I834</f>
        <v>25.92</v>
      </c>
      <c r="F831" s="22">
        <f>'VIX HISTORIQUE'!K834</f>
        <v>26.86</v>
      </c>
    </row>
    <row r="832" ht="15.75" customHeight="1">
      <c r="A832" s="25">
        <f>'VIX HISTORIQUE'!A835</f>
        <v>44470.66667</v>
      </c>
      <c r="B832" s="22">
        <f>'VIX HISTORIQUE'!B835</f>
        <v>4357.04</v>
      </c>
      <c r="C832" s="22">
        <f>'VIX HISTORIQUE'!D835</f>
        <v>21.15</v>
      </c>
      <c r="D832" s="22">
        <f>'VIX HISTORIQUE'!G835</f>
        <v>23.05</v>
      </c>
      <c r="E832" s="22">
        <f>'VIX HISTORIQUE'!I835</f>
        <v>25.3</v>
      </c>
      <c r="F832" s="22">
        <f>'VIX HISTORIQUE'!K835</f>
        <v>26.82</v>
      </c>
    </row>
    <row r="833" ht="15.75" customHeight="1">
      <c r="A833" s="25">
        <f>'VIX HISTORIQUE'!A836</f>
        <v>44473.66667</v>
      </c>
      <c r="B833" s="22">
        <f>'VIX HISTORIQUE'!B836</f>
        <v>4300.46</v>
      </c>
      <c r="C833" s="22">
        <f>'VIX HISTORIQUE'!D836</f>
        <v>22.96</v>
      </c>
      <c r="D833" s="22">
        <f>'VIX HISTORIQUE'!G836</f>
        <v>24.11</v>
      </c>
      <c r="E833" s="22">
        <f>'VIX HISTORIQUE'!I836</f>
        <v>26.02</v>
      </c>
      <c r="F833" s="22">
        <f>'VIX HISTORIQUE'!K836</f>
        <v>27.2</v>
      </c>
    </row>
    <row r="834" ht="15.75" customHeight="1">
      <c r="A834" s="25">
        <f>'VIX HISTORIQUE'!A837</f>
        <v>44474.66667</v>
      </c>
      <c r="B834" s="22">
        <f>'VIX HISTORIQUE'!B837</f>
        <v>4345.72</v>
      </c>
      <c r="C834" s="22">
        <f>'VIX HISTORIQUE'!D837</f>
        <v>21.3</v>
      </c>
      <c r="D834" s="22">
        <f>'VIX HISTORIQUE'!G837</f>
        <v>23.11</v>
      </c>
      <c r="E834" s="22">
        <f>'VIX HISTORIQUE'!I837</f>
        <v>25.3</v>
      </c>
      <c r="F834" s="22">
        <f>'VIX HISTORIQUE'!K837</f>
        <v>26.57</v>
      </c>
    </row>
    <row r="835" ht="15.75" customHeight="1">
      <c r="A835" s="25">
        <f>'VIX HISTORIQUE'!A838</f>
        <v>44475.66667</v>
      </c>
      <c r="B835" s="22">
        <f>'VIX HISTORIQUE'!B838</f>
        <v>4363.55</v>
      </c>
      <c r="C835" s="22">
        <f>'VIX HISTORIQUE'!D838</f>
        <v>21</v>
      </c>
      <c r="D835" s="22">
        <f>'VIX HISTORIQUE'!G838</f>
        <v>22.84</v>
      </c>
      <c r="E835" s="22">
        <f>'VIX HISTORIQUE'!I838</f>
        <v>25.04</v>
      </c>
      <c r="F835" s="22">
        <f>'VIX HISTORIQUE'!K838</f>
        <v>26.43</v>
      </c>
    </row>
    <row r="836" ht="15.75" customHeight="1">
      <c r="A836" s="25">
        <f>'VIX HISTORIQUE'!A839</f>
        <v>44476.66667</v>
      </c>
      <c r="B836" s="22">
        <f>'VIX HISTORIQUE'!B839</f>
        <v>4399.76</v>
      </c>
      <c r="C836" s="22">
        <f>'VIX HISTORIQUE'!D839</f>
        <v>19.54</v>
      </c>
      <c r="D836" s="22">
        <f>'VIX HISTORIQUE'!G839</f>
        <v>22.12</v>
      </c>
      <c r="E836" s="22">
        <f>'VIX HISTORIQUE'!I839</f>
        <v>24.64</v>
      </c>
      <c r="F836" s="22">
        <f>'VIX HISTORIQUE'!K839</f>
        <v>26.12</v>
      </c>
    </row>
    <row r="837" ht="15.75" customHeight="1">
      <c r="A837" s="25">
        <f>'VIX HISTORIQUE'!A840</f>
        <v>44477.66667</v>
      </c>
      <c r="B837" s="22">
        <f>'VIX HISTORIQUE'!B840</f>
        <v>4391.34</v>
      </c>
      <c r="C837" s="22">
        <f>'VIX HISTORIQUE'!D840</f>
        <v>18.77</v>
      </c>
      <c r="D837" s="22">
        <f>'VIX HISTORIQUE'!G840</f>
        <v>21.88</v>
      </c>
      <c r="E837" s="22">
        <f>'VIX HISTORIQUE'!I840</f>
        <v>24.46</v>
      </c>
      <c r="F837" s="22">
        <f>'VIX HISTORIQUE'!K840</f>
        <v>26.21</v>
      </c>
    </row>
    <row r="838" ht="15.75" customHeight="1">
      <c r="A838" s="25">
        <f>'VIX HISTORIQUE'!A841</f>
        <v>44480.66667</v>
      </c>
      <c r="B838" s="22">
        <f>'VIX HISTORIQUE'!B841</f>
        <v>4361.19</v>
      </c>
      <c r="C838" s="22">
        <f>'VIX HISTORIQUE'!D841</f>
        <v>20</v>
      </c>
      <c r="D838" s="22">
        <f>'VIX HISTORIQUE'!G841</f>
        <v>22.39</v>
      </c>
      <c r="E838" s="22">
        <f>'VIX HISTORIQUE'!I841</f>
        <v>24.76</v>
      </c>
      <c r="F838" s="22">
        <f>'VIX HISTORIQUE'!K841</f>
        <v>26.27</v>
      </c>
    </row>
    <row r="839" ht="15.75" customHeight="1">
      <c r="A839" s="25">
        <f>'VIX HISTORIQUE'!A842</f>
        <v>44481.66667</v>
      </c>
      <c r="B839" s="22">
        <f>'VIX HISTORIQUE'!B842</f>
        <v>4350.65</v>
      </c>
      <c r="C839" s="22">
        <f>'VIX HISTORIQUE'!D842</f>
        <v>19.85</v>
      </c>
      <c r="D839" s="22">
        <f>'VIX HISTORIQUE'!G842</f>
        <v>22.33</v>
      </c>
      <c r="E839" s="22">
        <f>'VIX HISTORIQUE'!I842</f>
        <v>24.65</v>
      </c>
      <c r="F839" s="22">
        <f>'VIX HISTORIQUE'!K842</f>
        <v>26.18</v>
      </c>
    </row>
    <row r="840" ht="15.75" customHeight="1">
      <c r="A840" s="25">
        <f>'VIX HISTORIQUE'!A843</f>
        <v>44482.66667</v>
      </c>
      <c r="B840" s="22">
        <f>'VIX HISTORIQUE'!B843</f>
        <v>4363.8</v>
      </c>
      <c r="C840" s="22">
        <f>'VIX HISTORIQUE'!D843</f>
        <v>18.64</v>
      </c>
      <c r="D840" s="22">
        <f>'VIX HISTORIQUE'!G843</f>
        <v>21.54</v>
      </c>
      <c r="E840" s="22">
        <f>'VIX HISTORIQUE'!I843</f>
        <v>24.07</v>
      </c>
      <c r="F840" s="22">
        <f>'VIX HISTORIQUE'!K843</f>
        <v>25.86</v>
      </c>
    </row>
    <row r="841" ht="15.75" customHeight="1">
      <c r="A841" s="25">
        <f>'VIX HISTORIQUE'!A844</f>
        <v>44483.66667</v>
      </c>
      <c r="B841" s="22">
        <f>'VIX HISTORIQUE'!B844</f>
        <v>4438.26</v>
      </c>
      <c r="C841" s="22">
        <f>'VIX HISTORIQUE'!D844</f>
        <v>16.86</v>
      </c>
      <c r="D841" s="22">
        <f>'VIX HISTORIQUE'!G844</f>
        <v>20.37</v>
      </c>
      <c r="E841" s="22">
        <f>'VIX HISTORIQUE'!I844</f>
        <v>23.27</v>
      </c>
      <c r="F841" s="22">
        <f>'VIX HISTORIQUE'!K844</f>
        <v>25.31</v>
      </c>
    </row>
    <row r="842" ht="15.75" customHeight="1">
      <c r="A842" s="25">
        <f>'VIX HISTORIQUE'!A845</f>
        <v>44484.66667</v>
      </c>
      <c r="B842" s="22">
        <f>'VIX HISTORIQUE'!B845</f>
        <v>4471.37</v>
      </c>
      <c r="C842" s="22">
        <f>'VIX HISTORIQUE'!D845</f>
        <v>16.3</v>
      </c>
      <c r="D842" s="22">
        <f>'VIX HISTORIQUE'!G845</f>
        <v>20.3</v>
      </c>
      <c r="E842" s="22">
        <f>'VIX HISTORIQUE'!I845</f>
        <v>23.43</v>
      </c>
      <c r="F842" s="22">
        <f>'VIX HISTORIQUE'!K845</f>
        <v>25.49</v>
      </c>
    </row>
    <row r="843" ht="15.75" customHeight="1">
      <c r="A843" s="25">
        <f>'VIX HISTORIQUE'!A846</f>
        <v>44487.66667</v>
      </c>
      <c r="B843" s="22">
        <f>'VIX HISTORIQUE'!B846</f>
        <v>4486.46</v>
      </c>
      <c r="C843" s="22">
        <f>'VIX HISTORIQUE'!D846</f>
        <v>16.31</v>
      </c>
      <c r="D843" s="22">
        <f>'VIX HISTORIQUE'!G846</f>
        <v>20.29</v>
      </c>
      <c r="E843" s="22">
        <f>'VIX HISTORIQUE'!I846</f>
        <v>23.64</v>
      </c>
      <c r="F843" s="22">
        <f>'VIX HISTORIQUE'!K846</f>
        <v>25.67</v>
      </c>
    </row>
    <row r="844" ht="15.75" customHeight="1">
      <c r="A844" s="25">
        <f>'VIX HISTORIQUE'!A847</f>
        <v>44488.66667</v>
      </c>
      <c r="B844" s="22">
        <f>'VIX HISTORIQUE'!B847</f>
        <v>4519.63</v>
      </c>
      <c r="C844" s="22">
        <f>'VIX HISTORIQUE'!D847</f>
        <v>15.7</v>
      </c>
      <c r="D844" s="22">
        <f>'VIX HISTORIQUE'!G847</f>
        <v>19.98</v>
      </c>
      <c r="E844" s="22">
        <f>'VIX HISTORIQUE'!I847</f>
        <v>23.23</v>
      </c>
      <c r="F844" s="22">
        <f>'VIX HISTORIQUE'!K847</f>
        <v>25.46</v>
      </c>
    </row>
    <row r="845" ht="15.75" customHeight="1">
      <c r="A845" s="25">
        <f>'VIX HISTORIQUE'!A848</f>
        <v>44489.66667</v>
      </c>
      <c r="B845" s="22">
        <f>'VIX HISTORIQUE'!B848</f>
        <v>4536.19</v>
      </c>
      <c r="C845" s="22">
        <f>'VIX HISTORIQUE'!D848</f>
        <v>15.49</v>
      </c>
      <c r="D845" s="22">
        <f>'VIX HISTORIQUE'!G848</f>
        <v>19.87</v>
      </c>
      <c r="E845" s="22">
        <f>'VIX HISTORIQUE'!I848</f>
        <v>23.06</v>
      </c>
      <c r="F845" s="22">
        <f>'VIX HISTORIQUE'!K848</f>
        <v>25.36</v>
      </c>
    </row>
    <row r="846" ht="15.75" customHeight="1">
      <c r="A846" s="25">
        <f>'VIX HISTORIQUE'!A849</f>
        <v>44490.66667</v>
      </c>
      <c r="B846" s="22">
        <f>'VIX HISTORIQUE'!B849</f>
        <v>4549.78</v>
      </c>
      <c r="C846" s="22">
        <f>'VIX HISTORIQUE'!D849</f>
        <v>15.01</v>
      </c>
      <c r="D846" s="22">
        <f>'VIX HISTORIQUE'!G849</f>
        <v>19.48</v>
      </c>
      <c r="E846" s="22">
        <f>'VIX HISTORIQUE'!I849</f>
        <v>22.83</v>
      </c>
      <c r="F846" s="22">
        <f>'VIX HISTORIQUE'!K849</f>
        <v>25.16</v>
      </c>
    </row>
    <row r="847" ht="15.75" customHeight="1">
      <c r="A847" s="25">
        <f>'VIX HISTORIQUE'!A850</f>
        <v>44491.66667</v>
      </c>
      <c r="B847" s="22">
        <f>'VIX HISTORIQUE'!B850</f>
        <v>4544.9</v>
      </c>
      <c r="C847" s="22">
        <f>'VIX HISTORIQUE'!D850</f>
        <v>15.43</v>
      </c>
      <c r="D847" s="22">
        <f>'VIX HISTORIQUE'!G850</f>
        <v>20.01</v>
      </c>
      <c r="E847" s="22">
        <f>'VIX HISTORIQUE'!I850</f>
        <v>23.22</v>
      </c>
      <c r="F847" s="22">
        <f>'VIX HISTORIQUE'!K850</f>
        <v>25.29</v>
      </c>
    </row>
    <row r="848" ht="15.75" customHeight="1">
      <c r="A848" s="25">
        <f>'VIX HISTORIQUE'!A851</f>
        <v>44494.66667</v>
      </c>
      <c r="B848" s="22">
        <f>'VIX HISTORIQUE'!B851</f>
        <v>4566.48</v>
      </c>
      <c r="C848" s="22">
        <f>'VIX HISTORIQUE'!D851</f>
        <v>15.24</v>
      </c>
      <c r="D848" s="22">
        <f>'VIX HISTORIQUE'!G851</f>
        <v>19.56</v>
      </c>
      <c r="E848" s="22">
        <f>'VIX HISTORIQUE'!I851</f>
        <v>22.76</v>
      </c>
      <c r="F848" s="22">
        <f>'VIX HISTORIQUE'!K851</f>
        <v>24.82</v>
      </c>
    </row>
    <row r="849" ht="15.75" customHeight="1">
      <c r="A849" s="25">
        <f>'VIX HISTORIQUE'!A852</f>
        <v>44495.66667</v>
      </c>
      <c r="B849" s="22">
        <f>'VIX HISTORIQUE'!B852</f>
        <v>4574.79</v>
      </c>
      <c r="C849" s="22">
        <f>'VIX HISTORIQUE'!D852</f>
        <v>15.98</v>
      </c>
      <c r="D849" s="22">
        <f>'VIX HISTORIQUE'!G852</f>
        <v>20.11</v>
      </c>
      <c r="E849" s="22">
        <f>'VIX HISTORIQUE'!I852</f>
        <v>23.03</v>
      </c>
      <c r="F849" s="22">
        <f>'VIX HISTORIQUE'!K852</f>
        <v>25.04</v>
      </c>
    </row>
    <row r="850" ht="15.75" customHeight="1">
      <c r="A850" s="25">
        <f>'VIX HISTORIQUE'!A853</f>
        <v>44496.66667</v>
      </c>
      <c r="B850" s="22">
        <f>'VIX HISTORIQUE'!B853</f>
        <v>4551.68</v>
      </c>
      <c r="C850" s="22">
        <f>'VIX HISTORIQUE'!D853</f>
        <v>16.98</v>
      </c>
      <c r="D850" s="22">
        <f>'VIX HISTORIQUE'!G853</f>
        <v>20.89</v>
      </c>
      <c r="E850" s="22">
        <f>'VIX HISTORIQUE'!I853</f>
        <v>23.7</v>
      </c>
      <c r="F850" s="22">
        <f>'VIX HISTORIQUE'!K853</f>
        <v>25.03</v>
      </c>
    </row>
    <row r="851" ht="15.75" customHeight="1">
      <c r="A851" s="25">
        <f>'VIX HISTORIQUE'!A854</f>
        <v>44497.66667</v>
      </c>
      <c r="B851" s="22">
        <f>'VIX HISTORIQUE'!B854</f>
        <v>4596.42</v>
      </c>
      <c r="C851" s="22">
        <f>'VIX HISTORIQUE'!D854</f>
        <v>16.53</v>
      </c>
      <c r="D851" s="22">
        <f>'VIX HISTORIQUE'!G854</f>
        <v>20.48</v>
      </c>
      <c r="E851" s="22">
        <f>'VIX HISTORIQUE'!I854</f>
        <v>23.43</v>
      </c>
      <c r="F851" s="22">
        <f>'VIX HISTORIQUE'!K854</f>
        <v>24.92</v>
      </c>
    </row>
    <row r="852" ht="15.75" customHeight="1">
      <c r="A852" s="25">
        <f>'VIX HISTORIQUE'!A855</f>
        <v>44498.66667</v>
      </c>
      <c r="B852" s="22">
        <f>'VIX HISTORIQUE'!B855</f>
        <v>4605.38</v>
      </c>
      <c r="C852" s="22">
        <f>'VIX HISTORIQUE'!D855</f>
        <v>16.26</v>
      </c>
      <c r="D852" s="22">
        <f>'VIX HISTORIQUE'!G855</f>
        <v>20.37</v>
      </c>
      <c r="E852" s="22">
        <f>'VIX HISTORIQUE'!I855</f>
        <v>23.35</v>
      </c>
      <c r="F852" s="22">
        <f>'VIX HISTORIQUE'!K855</f>
        <v>24.8</v>
      </c>
    </row>
    <row r="853" ht="15.75" customHeight="1">
      <c r="A853" s="25">
        <f>'VIX HISTORIQUE'!A856</f>
        <v>44501.66667</v>
      </c>
      <c r="B853" s="22">
        <f>'VIX HISTORIQUE'!B856</f>
        <v>4613.67</v>
      </c>
      <c r="C853" s="22">
        <f>'VIX HISTORIQUE'!D856</f>
        <v>16.41</v>
      </c>
      <c r="D853" s="22">
        <f>'VIX HISTORIQUE'!G856</f>
        <v>20.39</v>
      </c>
      <c r="E853" s="22">
        <f>'VIX HISTORIQUE'!I856</f>
        <v>23.33</v>
      </c>
      <c r="F853" s="22">
        <f>'VIX HISTORIQUE'!K856</f>
        <v>24.67</v>
      </c>
    </row>
    <row r="854" ht="15.75" customHeight="1">
      <c r="A854" s="25">
        <f>'VIX HISTORIQUE'!A857</f>
        <v>44502.66667</v>
      </c>
      <c r="B854" s="22">
        <f>'VIX HISTORIQUE'!B857</f>
        <v>4630.65</v>
      </c>
      <c r="C854" s="22">
        <f>'VIX HISTORIQUE'!D857</f>
        <v>16.03</v>
      </c>
      <c r="D854" s="22">
        <f>'VIX HISTORIQUE'!G857</f>
        <v>20.1</v>
      </c>
      <c r="E854" s="22">
        <f>'VIX HISTORIQUE'!I857</f>
        <v>23.13</v>
      </c>
      <c r="F854" s="22">
        <f>'VIX HISTORIQUE'!K857</f>
        <v>24.72</v>
      </c>
    </row>
    <row r="855" ht="15.75" customHeight="1">
      <c r="A855" s="25">
        <f>'VIX HISTORIQUE'!A858</f>
        <v>44503.66667</v>
      </c>
      <c r="B855" s="22">
        <f>'VIX HISTORIQUE'!B858</f>
        <v>4660.57</v>
      </c>
      <c r="C855" s="22">
        <f>'VIX HISTORIQUE'!D858</f>
        <v>15.1</v>
      </c>
      <c r="D855" s="22">
        <f>'VIX HISTORIQUE'!G858</f>
        <v>19.5</v>
      </c>
      <c r="E855" s="22">
        <f>'VIX HISTORIQUE'!I858</f>
        <v>22.7</v>
      </c>
      <c r="F855" s="22">
        <f>'VIX HISTORIQUE'!K858</f>
        <v>24.71</v>
      </c>
    </row>
    <row r="856" ht="15.75" customHeight="1">
      <c r="A856" s="25">
        <f>'VIX HISTORIQUE'!A859</f>
        <v>44504.66667</v>
      </c>
      <c r="B856" s="22">
        <f>'VIX HISTORIQUE'!B859</f>
        <v>4680.06</v>
      </c>
      <c r="C856" s="22">
        <f>'VIX HISTORIQUE'!D859</f>
        <v>15.44</v>
      </c>
      <c r="D856" s="22">
        <f>'VIX HISTORIQUE'!G859</f>
        <v>19.7</v>
      </c>
      <c r="E856" s="22">
        <f>'VIX HISTORIQUE'!I859</f>
        <v>22.87</v>
      </c>
      <c r="F856" s="22">
        <f>'VIX HISTORIQUE'!K859</f>
        <v>24.86</v>
      </c>
    </row>
    <row r="857" ht="15.75" customHeight="1">
      <c r="A857" s="25">
        <f>'VIX HISTORIQUE'!A860</f>
        <v>44505.66667</v>
      </c>
      <c r="B857" s="22">
        <f>'VIX HISTORIQUE'!B860</f>
        <v>4697.53</v>
      </c>
      <c r="C857" s="22">
        <f>'VIX HISTORIQUE'!D860</f>
        <v>16.48</v>
      </c>
      <c r="D857" s="22">
        <f>'VIX HISTORIQUE'!G860</f>
        <v>20.49</v>
      </c>
      <c r="E857" s="22">
        <f>'VIX HISTORIQUE'!I860</f>
        <v>23.49</v>
      </c>
      <c r="F857" s="22">
        <f>'VIX HISTORIQUE'!K860</f>
        <v>25.39</v>
      </c>
    </row>
    <row r="858" ht="15.75" customHeight="1">
      <c r="A858" s="25">
        <f>'VIX HISTORIQUE'!A861</f>
        <v>44508.66667</v>
      </c>
      <c r="B858" s="22">
        <f>'VIX HISTORIQUE'!B861</f>
        <v>4701.7</v>
      </c>
      <c r="C858" s="22">
        <f>'VIX HISTORIQUE'!D861</f>
        <v>17.22</v>
      </c>
      <c r="D858" s="22">
        <f>'VIX HISTORIQUE'!G861</f>
        <v>20.98</v>
      </c>
      <c r="E858" s="22">
        <f>'VIX HISTORIQUE'!I861</f>
        <v>23.8</v>
      </c>
      <c r="F858" s="22">
        <f>'VIX HISTORIQUE'!K861</f>
        <v>25.55</v>
      </c>
    </row>
    <row r="859" ht="15.75" customHeight="1">
      <c r="A859" s="25">
        <f>'VIX HISTORIQUE'!A862</f>
        <v>44509.66667</v>
      </c>
      <c r="B859" s="22">
        <f>'VIX HISTORIQUE'!B862</f>
        <v>4685.25</v>
      </c>
      <c r="C859" s="22">
        <f>'VIX HISTORIQUE'!D862</f>
        <v>17.78</v>
      </c>
      <c r="D859" s="22">
        <f>'VIX HISTORIQUE'!G862</f>
        <v>21.41</v>
      </c>
      <c r="E859" s="22">
        <f>'VIX HISTORIQUE'!I862</f>
        <v>24.12</v>
      </c>
      <c r="F859" s="22">
        <f>'VIX HISTORIQUE'!K862</f>
        <v>25.75</v>
      </c>
    </row>
    <row r="860" ht="15.75" customHeight="1">
      <c r="A860" s="25">
        <f>'VIX HISTORIQUE'!A863</f>
        <v>44510.66667</v>
      </c>
      <c r="B860" s="22">
        <f>'VIX HISTORIQUE'!B863</f>
        <v>4646.71</v>
      </c>
      <c r="C860" s="22">
        <f>'VIX HISTORIQUE'!D863</f>
        <v>18.73</v>
      </c>
      <c r="D860" s="22">
        <f>'VIX HISTORIQUE'!G863</f>
        <v>22</v>
      </c>
      <c r="E860" s="22">
        <f>'VIX HISTORIQUE'!I863</f>
        <v>24.48</v>
      </c>
      <c r="F860" s="22">
        <f>'VIX HISTORIQUE'!K863</f>
        <v>25.88</v>
      </c>
    </row>
    <row r="861" ht="15.75" customHeight="1">
      <c r="A861" s="25">
        <f>'VIX HISTORIQUE'!A864</f>
        <v>44511.66667</v>
      </c>
      <c r="B861" s="22">
        <f>'VIX HISTORIQUE'!B864</f>
        <v>4649.27</v>
      </c>
      <c r="C861" s="22">
        <f>'VIX HISTORIQUE'!D864</f>
        <v>17.66</v>
      </c>
      <c r="D861" s="22">
        <f>'VIX HISTORIQUE'!G864</f>
        <v>21.38</v>
      </c>
      <c r="E861" s="22">
        <f>'VIX HISTORIQUE'!I864</f>
        <v>24.04</v>
      </c>
      <c r="F861" s="22">
        <f>'VIX HISTORIQUE'!K864</f>
        <v>25.63</v>
      </c>
    </row>
    <row r="862" ht="15.75" customHeight="1">
      <c r="A862" s="25">
        <f>'VIX HISTORIQUE'!A865</f>
        <v>44512.66667</v>
      </c>
      <c r="B862" s="22">
        <f>'VIX HISTORIQUE'!B865</f>
        <v>4682.85</v>
      </c>
      <c r="C862" s="22">
        <f>'VIX HISTORIQUE'!D865</f>
        <v>16.29</v>
      </c>
      <c r="D862" s="22">
        <f>'VIX HISTORIQUE'!G865</f>
        <v>20.69</v>
      </c>
      <c r="E862" s="22">
        <f>'VIX HISTORIQUE'!I865</f>
        <v>23.69</v>
      </c>
      <c r="F862" s="22">
        <f>'VIX HISTORIQUE'!K865</f>
        <v>25.4</v>
      </c>
    </row>
    <row r="863" ht="15.75" customHeight="1">
      <c r="A863" s="25">
        <f>'VIX HISTORIQUE'!A866</f>
        <v>44515.66667</v>
      </c>
      <c r="B863" s="22">
        <f>'VIX HISTORIQUE'!B866</f>
        <v>4682.8</v>
      </c>
      <c r="C863" s="22">
        <f>'VIX HISTORIQUE'!D866</f>
        <v>16.49</v>
      </c>
      <c r="D863" s="22">
        <f>'VIX HISTORIQUE'!G866</f>
        <v>20.87</v>
      </c>
      <c r="E863" s="22">
        <f>'VIX HISTORIQUE'!I866</f>
        <v>23.86</v>
      </c>
      <c r="F863" s="22">
        <f>'VIX HISTORIQUE'!K866</f>
        <v>25.53</v>
      </c>
    </row>
    <row r="864" ht="15.75" customHeight="1">
      <c r="A864" s="25">
        <f>'VIX HISTORIQUE'!A867</f>
        <v>44516.66667</v>
      </c>
      <c r="B864" s="22">
        <f>'VIX HISTORIQUE'!B867</f>
        <v>4700.9</v>
      </c>
      <c r="C864" s="22">
        <f>'VIX HISTORIQUE'!D867</f>
        <v>16.37</v>
      </c>
      <c r="D864" s="22">
        <f>'VIX HISTORIQUE'!G867</f>
        <v>20.9</v>
      </c>
      <c r="E864" s="22">
        <f>'VIX HISTORIQUE'!I867</f>
        <v>23.93</v>
      </c>
      <c r="F864" s="22">
        <f>'VIX HISTORIQUE'!K867</f>
        <v>25.86</v>
      </c>
    </row>
    <row r="865" ht="15.75" customHeight="1">
      <c r="A865" s="25">
        <f>'VIX HISTORIQUE'!A868</f>
        <v>44517.66667</v>
      </c>
      <c r="B865" s="22">
        <f>'VIX HISTORIQUE'!B868</f>
        <v>4688.67</v>
      </c>
      <c r="C865" s="22">
        <f>'VIX HISTORIQUE'!D868</f>
        <v>17.11</v>
      </c>
      <c r="D865" s="22">
        <f>'VIX HISTORIQUE'!G868</f>
        <v>21.58</v>
      </c>
      <c r="E865" s="22">
        <f>'VIX HISTORIQUE'!I868</f>
        <v>24.66</v>
      </c>
      <c r="F865" s="22">
        <f>'VIX HISTORIQUE'!K868</f>
        <v>26.51</v>
      </c>
    </row>
    <row r="866" ht="15.75" customHeight="1">
      <c r="A866" s="25">
        <f>'VIX HISTORIQUE'!A869</f>
        <v>44518.66667</v>
      </c>
      <c r="B866" s="22">
        <f>'VIX HISTORIQUE'!B869</f>
        <v>4704.54</v>
      </c>
      <c r="C866" s="22">
        <f>'VIX HISTORIQUE'!D869</f>
        <v>17.59</v>
      </c>
      <c r="D866" s="22">
        <f>'VIX HISTORIQUE'!G869</f>
        <v>21.9</v>
      </c>
      <c r="E866" s="22">
        <f>'VIX HISTORIQUE'!I869</f>
        <v>24.87</v>
      </c>
      <c r="F866" s="22">
        <f>'VIX HISTORIQUE'!K869</f>
        <v>26.62</v>
      </c>
    </row>
    <row r="867" ht="15.75" customHeight="1">
      <c r="A867" s="25">
        <f>'VIX HISTORIQUE'!A870</f>
        <v>44519.66667</v>
      </c>
      <c r="B867" s="22">
        <f>'VIX HISTORIQUE'!B870</f>
        <v>4697.96</v>
      </c>
      <c r="C867" s="22">
        <f>'VIX HISTORIQUE'!D870</f>
        <v>17.91</v>
      </c>
      <c r="D867" s="22">
        <f>'VIX HISTORIQUE'!G870</f>
        <v>21.92</v>
      </c>
      <c r="E867" s="22">
        <f>'VIX HISTORIQUE'!I870</f>
        <v>24.87</v>
      </c>
      <c r="F867" s="22">
        <f>'VIX HISTORIQUE'!K870</f>
        <v>26.63</v>
      </c>
    </row>
    <row r="868" ht="15.75" customHeight="1">
      <c r="A868" s="25">
        <f>'VIX HISTORIQUE'!A871</f>
        <v>44522.66667</v>
      </c>
      <c r="B868" s="22">
        <f>'VIX HISTORIQUE'!B871</f>
        <v>4682.94</v>
      </c>
      <c r="C868" s="22">
        <f>'VIX HISTORIQUE'!D871</f>
        <v>19.17</v>
      </c>
      <c r="D868" s="22">
        <f>'VIX HISTORIQUE'!G871</f>
        <v>22.63</v>
      </c>
      <c r="E868" s="22">
        <f>'VIX HISTORIQUE'!I871</f>
        <v>25.43</v>
      </c>
      <c r="F868" s="22">
        <f>'VIX HISTORIQUE'!K871</f>
        <v>26.91</v>
      </c>
    </row>
    <row r="869" ht="15.75" customHeight="1">
      <c r="A869" s="25">
        <f>'VIX HISTORIQUE'!A872</f>
        <v>44523.66667</v>
      </c>
      <c r="B869" s="22">
        <f>'VIX HISTORIQUE'!B872</f>
        <v>4690.7</v>
      </c>
      <c r="C869" s="22">
        <f>'VIX HISTORIQUE'!D872</f>
        <v>19.38</v>
      </c>
      <c r="D869" s="22">
        <f>'VIX HISTORIQUE'!G872</f>
        <v>22.45</v>
      </c>
      <c r="E869" s="22">
        <f>'VIX HISTORIQUE'!I872</f>
        <v>25.32</v>
      </c>
      <c r="F869" s="22">
        <f>'VIX HISTORIQUE'!K872</f>
        <v>26.83</v>
      </c>
    </row>
    <row r="870" ht="15.75" customHeight="1">
      <c r="A870" s="25">
        <f>'VIX HISTORIQUE'!A873</f>
        <v>44524.66667</v>
      </c>
      <c r="B870" s="22">
        <f>'VIX HISTORIQUE'!B873</f>
        <v>4701.46</v>
      </c>
      <c r="C870" s="22">
        <f>'VIX HISTORIQUE'!D873</f>
        <v>18.58</v>
      </c>
      <c r="D870" s="22">
        <f>'VIX HISTORIQUE'!G873</f>
        <v>21.9</v>
      </c>
      <c r="E870" s="22">
        <f>'VIX HISTORIQUE'!I873</f>
        <v>24.97</v>
      </c>
      <c r="F870" s="22">
        <f>'VIX HISTORIQUE'!K873</f>
        <v>26.56</v>
      </c>
    </row>
    <row r="871" ht="15.75" customHeight="1">
      <c r="A871" s="25">
        <f>'VIX HISTORIQUE'!A874</f>
        <v>44526.54167</v>
      </c>
      <c r="B871" s="22">
        <f>'VIX HISTORIQUE'!B874</f>
        <v>4594.62</v>
      </c>
      <c r="C871" s="22">
        <f>'VIX HISTORIQUE'!D874</f>
        <v>28.62</v>
      </c>
      <c r="D871" s="22">
        <f>'VIX HISTORIQUE'!G874</f>
        <v>29.17</v>
      </c>
      <c r="E871" s="22">
        <f>'VIX HISTORIQUE'!I874</f>
        <v>29.88</v>
      </c>
      <c r="F871" s="22">
        <f>'VIX HISTORIQUE'!K874</f>
        <v>29.66</v>
      </c>
    </row>
    <row r="872" ht="15.75" customHeight="1">
      <c r="A872" s="25">
        <f>'VIX HISTORIQUE'!A875</f>
        <v>44529.66667</v>
      </c>
      <c r="B872" s="22">
        <f>'VIX HISTORIQUE'!B875</f>
        <v>4655.27</v>
      </c>
      <c r="C872" s="22">
        <f>'VIX HISTORIQUE'!D875</f>
        <v>22.96</v>
      </c>
      <c r="D872" s="22">
        <f>'VIX HISTORIQUE'!G875</f>
        <v>25.04</v>
      </c>
      <c r="E872" s="22">
        <f>'VIX HISTORIQUE'!I875</f>
        <v>26.94</v>
      </c>
      <c r="F872" s="22">
        <f>'VIX HISTORIQUE'!K875</f>
        <v>27.84</v>
      </c>
    </row>
    <row r="873" ht="15.75" customHeight="1">
      <c r="A873" s="25">
        <f>'VIX HISTORIQUE'!A876</f>
        <v>44530.66667</v>
      </c>
      <c r="B873" s="22">
        <f>'VIX HISTORIQUE'!B876</f>
        <v>4567</v>
      </c>
      <c r="C873" s="22">
        <f>'VIX HISTORIQUE'!D876</f>
        <v>27.19</v>
      </c>
      <c r="D873" s="22">
        <f>'VIX HISTORIQUE'!G876</f>
        <v>28.13</v>
      </c>
      <c r="E873" s="22">
        <f>'VIX HISTORIQUE'!I876</f>
        <v>29.15</v>
      </c>
      <c r="F873" s="22">
        <f>'VIX HISTORIQUE'!K876</f>
        <v>29.37</v>
      </c>
    </row>
    <row r="874" ht="15.75" customHeight="1">
      <c r="A874" s="25">
        <f>'VIX HISTORIQUE'!A877</f>
        <v>44531.66667</v>
      </c>
      <c r="B874" s="22">
        <f>'VIX HISTORIQUE'!B877</f>
        <v>4513.04</v>
      </c>
      <c r="C874" s="22">
        <f>'VIX HISTORIQUE'!D877</f>
        <v>31.12</v>
      </c>
      <c r="D874" s="22">
        <f>'VIX HISTORIQUE'!G877</f>
        <v>30.79</v>
      </c>
      <c r="E874" s="22">
        <f>'VIX HISTORIQUE'!I877</f>
        <v>31.08</v>
      </c>
      <c r="F874" s="22">
        <f>'VIX HISTORIQUE'!K877</f>
        <v>30.37</v>
      </c>
    </row>
    <row r="875" ht="15.75" customHeight="1">
      <c r="A875" s="25">
        <f>'VIX HISTORIQUE'!A878</f>
        <v>44532.66667</v>
      </c>
      <c r="B875" s="22">
        <f>'VIX HISTORIQUE'!B878</f>
        <v>4577.1</v>
      </c>
      <c r="C875" s="22">
        <f>'VIX HISTORIQUE'!D878</f>
        <v>27.95</v>
      </c>
      <c r="D875" s="22">
        <f>'VIX HISTORIQUE'!G878</f>
        <v>29.15</v>
      </c>
      <c r="E875" s="22">
        <f>'VIX HISTORIQUE'!I878</f>
        <v>29.85</v>
      </c>
      <c r="F875" s="22">
        <f>'VIX HISTORIQUE'!K878</f>
        <v>29.58</v>
      </c>
    </row>
    <row r="876" ht="15.75" customHeight="1">
      <c r="A876" s="25">
        <f>'VIX HISTORIQUE'!A879</f>
        <v>44533.66667</v>
      </c>
      <c r="B876" s="22">
        <f>'VIX HISTORIQUE'!B879</f>
        <v>4538.43</v>
      </c>
      <c r="C876" s="22">
        <f>'VIX HISTORIQUE'!D879</f>
        <v>30.67</v>
      </c>
      <c r="D876" s="22">
        <f>'VIX HISTORIQUE'!G879</f>
        <v>31.78</v>
      </c>
      <c r="E876" s="22">
        <f>'VIX HISTORIQUE'!I879</f>
        <v>31.46</v>
      </c>
      <c r="F876" s="22">
        <f>'VIX HISTORIQUE'!K879</f>
        <v>31.14</v>
      </c>
    </row>
    <row r="877" ht="15.75" customHeight="1">
      <c r="A877" s="25">
        <f>'VIX HISTORIQUE'!A880</f>
        <v>44536.66667</v>
      </c>
      <c r="B877" s="22">
        <f>'VIX HISTORIQUE'!B880</f>
        <v>4591.67</v>
      </c>
      <c r="C877" s="22">
        <f>'VIX HISTORIQUE'!D880</f>
        <v>27.18</v>
      </c>
      <c r="D877" s="22">
        <f>'VIX HISTORIQUE'!G880</f>
        <v>28.88</v>
      </c>
      <c r="E877" s="22">
        <f>'VIX HISTORIQUE'!I880</f>
        <v>29.75</v>
      </c>
      <c r="F877" s="22">
        <f>'VIX HISTORIQUE'!K880</f>
        <v>29.68</v>
      </c>
    </row>
    <row r="878" ht="15.75" customHeight="1">
      <c r="A878" s="25">
        <f>'VIX HISTORIQUE'!A881</f>
        <v>44537.66667</v>
      </c>
      <c r="B878" s="22">
        <f>'VIX HISTORIQUE'!B881</f>
        <v>4686.75</v>
      </c>
      <c r="C878" s="22">
        <f>'VIX HISTORIQUE'!D881</f>
        <v>21.89</v>
      </c>
      <c r="D878" s="22">
        <f>'VIX HISTORIQUE'!G881</f>
        <v>24.96</v>
      </c>
      <c r="E878" s="22">
        <f>'VIX HISTORIQUE'!I881</f>
        <v>26.77</v>
      </c>
      <c r="F878" s="22">
        <f>'VIX HISTORIQUE'!K881</f>
        <v>27.96</v>
      </c>
    </row>
    <row r="879" ht="15.75" customHeight="1">
      <c r="A879" s="25">
        <f>'VIX HISTORIQUE'!A882</f>
        <v>44538.66667</v>
      </c>
      <c r="B879" s="22">
        <f>'VIX HISTORIQUE'!B882</f>
        <v>4701.21</v>
      </c>
      <c r="C879" s="22">
        <f>'VIX HISTORIQUE'!D882</f>
        <v>19.9</v>
      </c>
      <c r="D879" s="22">
        <f>'VIX HISTORIQUE'!G882</f>
        <v>23.63</v>
      </c>
      <c r="E879" s="22">
        <f>'VIX HISTORIQUE'!I882</f>
        <v>26.01</v>
      </c>
      <c r="F879" s="22">
        <f>'VIX HISTORIQUE'!K882</f>
        <v>27.65</v>
      </c>
    </row>
    <row r="880" ht="15.75" customHeight="1">
      <c r="A880" s="25">
        <f>'VIX HISTORIQUE'!A883</f>
        <v>44539.66667</v>
      </c>
      <c r="B880" s="22">
        <f>'VIX HISTORIQUE'!B883</f>
        <v>4667.45</v>
      </c>
      <c r="C880" s="22">
        <f>'VIX HISTORIQUE'!D883</f>
        <v>21.58</v>
      </c>
      <c r="D880" s="22">
        <f>'VIX HISTORIQUE'!G883</f>
        <v>24.66</v>
      </c>
      <c r="E880" s="22">
        <f>'VIX HISTORIQUE'!I883</f>
        <v>26.87</v>
      </c>
      <c r="F880" s="22">
        <f>'VIX HISTORIQUE'!K883</f>
        <v>28.21</v>
      </c>
    </row>
    <row r="881" ht="15.75" customHeight="1">
      <c r="A881" s="25">
        <f>'VIX HISTORIQUE'!A884</f>
        <v>44540.66667</v>
      </c>
      <c r="B881" s="22">
        <f>'VIX HISTORIQUE'!B884</f>
        <v>4712.02</v>
      </c>
      <c r="C881" s="22">
        <f>'VIX HISTORIQUE'!D884</f>
        <v>18.69</v>
      </c>
      <c r="D881" s="22">
        <f>'VIX HISTORIQUE'!G884</f>
        <v>23.18</v>
      </c>
      <c r="E881" s="22">
        <f>'VIX HISTORIQUE'!I884</f>
        <v>26.05</v>
      </c>
      <c r="F881" s="22">
        <f>'VIX HISTORIQUE'!K884</f>
        <v>27.63</v>
      </c>
    </row>
    <row r="882" ht="15.75" customHeight="1">
      <c r="A882" s="25">
        <f>'VIX HISTORIQUE'!A885</f>
        <v>44543.66667</v>
      </c>
      <c r="B882" s="22">
        <f>'VIX HISTORIQUE'!B885</f>
        <v>4668.97</v>
      </c>
      <c r="C882" s="22">
        <f>'VIX HISTORIQUE'!D885</f>
        <v>20.31</v>
      </c>
      <c r="D882" s="22">
        <f>'VIX HISTORIQUE'!G885</f>
        <v>24.32</v>
      </c>
      <c r="E882" s="22">
        <f>'VIX HISTORIQUE'!I885</f>
        <v>26.91</v>
      </c>
      <c r="F882" s="22">
        <f>'VIX HISTORIQUE'!K885</f>
        <v>28.18</v>
      </c>
    </row>
    <row r="883" ht="15.75" customHeight="1">
      <c r="A883" s="25">
        <f>'VIX HISTORIQUE'!A886</f>
        <v>44544.66667</v>
      </c>
      <c r="B883" s="22">
        <f>'VIX HISTORIQUE'!B886</f>
        <v>4634.09</v>
      </c>
      <c r="C883" s="22">
        <f>'VIX HISTORIQUE'!D886</f>
        <v>21.89</v>
      </c>
      <c r="D883" s="22">
        <f>'VIX HISTORIQUE'!G886</f>
        <v>25.35</v>
      </c>
      <c r="E883" s="22">
        <f>'VIX HISTORIQUE'!I886</f>
        <v>27.64</v>
      </c>
      <c r="F883" s="22">
        <f>'VIX HISTORIQUE'!K886</f>
        <v>28.72</v>
      </c>
    </row>
    <row r="884" ht="15.75" customHeight="1">
      <c r="A884" s="25">
        <f>'VIX HISTORIQUE'!A887</f>
        <v>44545.66667</v>
      </c>
      <c r="B884" s="22">
        <f>'VIX HISTORIQUE'!B887</f>
        <v>4709.85</v>
      </c>
      <c r="C884" s="22">
        <f>'VIX HISTORIQUE'!D887</f>
        <v>19.29</v>
      </c>
      <c r="D884" s="22">
        <f>'VIX HISTORIQUE'!G887</f>
        <v>23.3</v>
      </c>
      <c r="E884" s="22">
        <f>'VIX HISTORIQUE'!I887</f>
        <v>26.47</v>
      </c>
      <c r="F884" s="22">
        <f>'VIX HISTORIQUE'!K887</f>
        <v>27.87</v>
      </c>
    </row>
    <row r="885" ht="15.75" customHeight="1">
      <c r="A885" s="25">
        <f>'VIX HISTORIQUE'!A888</f>
        <v>44546.66667</v>
      </c>
      <c r="B885" s="22">
        <f>'VIX HISTORIQUE'!B888</f>
        <v>4668.67</v>
      </c>
      <c r="C885" s="22">
        <f>'VIX HISTORIQUE'!D888</f>
        <v>20.57</v>
      </c>
      <c r="D885" s="22">
        <f>'VIX HISTORIQUE'!G888</f>
        <v>24.37</v>
      </c>
      <c r="E885" s="22">
        <f>'VIX HISTORIQUE'!I888</f>
        <v>27.14</v>
      </c>
      <c r="F885" s="22">
        <f>'VIX HISTORIQUE'!K888</f>
        <v>28.85</v>
      </c>
    </row>
    <row r="886" ht="15.75" customHeight="1">
      <c r="A886" s="25">
        <f>'VIX HISTORIQUE'!A889</f>
        <v>44547.66667</v>
      </c>
      <c r="B886" s="22">
        <f>'VIX HISTORIQUE'!B889</f>
        <v>4620.64</v>
      </c>
      <c r="C886" s="22">
        <f>'VIX HISTORIQUE'!D889</f>
        <v>21.57</v>
      </c>
      <c r="D886" s="22">
        <f>'VIX HISTORIQUE'!G889</f>
        <v>25.38</v>
      </c>
      <c r="E886" s="22">
        <f>'VIX HISTORIQUE'!I889</f>
        <v>27.9</v>
      </c>
      <c r="F886" s="22">
        <f>'VIX HISTORIQUE'!K889</f>
        <v>29.09</v>
      </c>
    </row>
    <row r="887" ht="15.75" customHeight="1">
      <c r="A887" s="25">
        <f>'VIX HISTORIQUE'!A890</f>
        <v>44550.66667</v>
      </c>
      <c r="B887" s="22">
        <f>'VIX HISTORIQUE'!B890</f>
        <v>4568.02</v>
      </c>
      <c r="C887" s="22">
        <f>'VIX HISTORIQUE'!D890</f>
        <v>22.87</v>
      </c>
      <c r="D887" s="22">
        <f>'VIX HISTORIQUE'!G890</f>
        <v>26.31</v>
      </c>
      <c r="E887" s="22">
        <f>'VIX HISTORIQUE'!I890</f>
        <v>28.34</v>
      </c>
      <c r="F887" s="22">
        <f>'VIX HISTORIQUE'!K890</f>
        <v>29.32</v>
      </c>
    </row>
    <row r="888" ht="15.75" customHeight="1">
      <c r="A888" s="25">
        <f>'VIX HISTORIQUE'!A891</f>
        <v>44551.66667</v>
      </c>
      <c r="B888" s="22">
        <f>'VIX HISTORIQUE'!B891</f>
        <v>4649.23</v>
      </c>
      <c r="C888" s="22">
        <f>'VIX HISTORIQUE'!D891</f>
        <v>21.01</v>
      </c>
      <c r="D888" s="22">
        <f>'VIX HISTORIQUE'!G891</f>
        <v>25</v>
      </c>
      <c r="E888" s="22">
        <f>'VIX HISTORIQUE'!I891</f>
        <v>27.5</v>
      </c>
      <c r="F888" s="22">
        <f>'VIX HISTORIQUE'!K891</f>
        <v>28.95</v>
      </c>
    </row>
    <row r="889" ht="15.75" customHeight="1">
      <c r="A889" s="25">
        <f>'VIX HISTORIQUE'!A892</f>
        <v>44552.66667</v>
      </c>
      <c r="B889" s="22">
        <f>'VIX HISTORIQUE'!B892</f>
        <v>4696.56</v>
      </c>
      <c r="C889" s="22">
        <f>'VIX HISTORIQUE'!D892</f>
        <v>18.63</v>
      </c>
      <c r="D889" s="22">
        <f>'VIX HISTORIQUE'!G892</f>
        <v>23.56</v>
      </c>
      <c r="E889" s="22">
        <f>'VIX HISTORIQUE'!I892</f>
        <v>26.65</v>
      </c>
      <c r="F889" s="22">
        <f>'VIX HISTORIQUE'!K892</f>
        <v>28.36</v>
      </c>
    </row>
    <row r="890" ht="15.75" customHeight="1">
      <c r="A890" s="25">
        <f>'VIX HISTORIQUE'!A893</f>
        <v>44553.66667</v>
      </c>
      <c r="B890" s="22">
        <f>'VIX HISTORIQUE'!B893</f>
        <v>4725.79</v>
      </c>
      <c r="C890" s="22">
        <f>'VIX HISTORIQUE'!D893</f>
        <v>17.96</v>
      </c>
      <c r="D890" s="22">
        <f>'VIX HISTORIQUE'!G893</f>
        <v>23.24</v>
      </c>
      <c r="E890" s="22">
        <f>'VIX HISTORIQUE'!I893</f>
        <v>26.48</v>
      </c>
      <c r="F890" s="22">
        <f>'VIX HISTORIQUE'!K893</f>
        <v>28.31</v>
      </c>
    </row>
    <row r="891" ht="15.75" customHeight="1">
      <c r="A891" s="25">
        <f>'VIX HISTORIQUE'!A894</f>
        <v>44557.66667</v>
      </c>
      <c r="B891" s="22">
        <f>'VIX HISTORIQUE'!B894</f>
        <v>4791.19</v>
      </c>
      <c r="C891" s="22">
        <f>'VIX HISTORIQUE'!D894</f>
        <v>17.68</v>
      </c>
      <c r="D891" s="22">
        <f>'VIX HISTORIQUE'!G894</f>
        <v>22.74</v>
      </c>
      <c r="E891" s="22">
        <f>'VIX HISTORIQUE'!I894</f>
        <v>25.99</v>
      </c>
      <c r="F891" s="22">
        <f>'VIX HISTORIQUE'!K894</f>
        <v>27.98</v>
      </c>
    </row>
    <row r="892" ht="15.75" customHeight="1">
      <c r="A892" s="25">
        <f>'VIX HISTORIQUE'!A895</f>
        <v>44558.66667</v>
      </c>
      <c r="B892" s="22">
        <f>'VIX HISTORIQUE'!B895</f>
        <v>4786.35</v>
      </c>
      <c r="C892" s="22">
        <f>'VIX HISTORIQUE'!D895</f>
        <v>17.54</v>
      </c>
      <c r="D892" s="22">
        <f>'VIX HISTORIQUE'!G895</f>
        <v>22.33</v>
      </c>
      <c r="E892" s="22">
        <f>'VIX HISTORIQUE'!I895</f>
        <v>25.78</v>
      </c>
      <c r="F892" s="22">
        <f>'VIX HISTORIQUE'!K895</f>
        <v>28.1</v>
      </c>
    </row>
    <row r="893" ht="15.75" customHeight="1">
      <c r="A893" s="25">
        <f>'VIX HISTORIQUE'!A896</f>
        <v>44559.66667</v>
      </c>
      <c r="B893" s="22">
        <f>'VIX HISTORIQUE'!B896</f>
        <v>4793.06</v>
      </c>
      <c r="C893" s="22">
        <f>'VIX HISTORIQUE'!D896</f>
        <v>16.95</v>
      </c>
      <c r="D893" s="22">
        <f>'VIX HISTORIQUE'!G896</f>
        <v>21.83</v>
      </c>
      <c r="E893" s="22">
        <f>'VIX HISTORIQUE'!I896</f>
        <v>25.42</v>
      </c>
      <c r="F893" s="22">
        <f>'VIX HISTORIQUE'!K896</f>
        <v>27.79</v>
      </c>
    </row>
    <row r="894" ht="15.75" customHeight="1">
      <c r="A894" s="25">
        <f>'VIX HISTORIQUE'!A897</f>
        <v>44560.66667</v>
      </c>
      <c r="B894" s="22">
        <f>'VIX HISTORIQUE'!B897</f>
        <v>4778.73</v>
      </c>
      <c r="C894" s="22">
        <f>'VIX HISTORIQUE'!D897</f>
        <v>17.33</v>
      </c>
      <c r="D894" s="22">
        <f>'VIX HISTORIQUE'!G897</f>
        <v>21.88</v>
      </c>
      <c r="E894" s="22">
        <f>'VIX HISTORIQUE'!I897</f>
        <v>25.39</v>
      </c>
      <c r="F894" s="22">
        <f>'VIX HISTORIQUE'!K897</f>
        <v>27.92</v>
      </c>
    </row>
    <row r="895" ht="15.75" customHeight="1">
      <c r="A895" s="25">
        <f>'VIX HISTORIQUE'!A898</f>
        <v>44561.66667</v>
      </c>
      <c r="B895" s="22">
        <f>'VIX HISTORIQUE'!B898</f>
        <v>4766.18</v>
      </c>
      <c r="C895" s="22">
        <f>'VIX HISTORIQUE'!D898</f>
        <v>17.22</v>
      </c>
      <c r="D895" s="22">
        <f>'VIX HISTORIQUE'!G898</f>
        <v>21.88</v>
      </c>
      <c r="E895" s="22">
        <f>'VIX HISTORIQUE'!I898</f>
        <v>25.1</v>
      </c>
      <c r="F895" s="22">
        <f>'VIX HISTORIQUE'!K898</f>
        <v>27.62</v>
      </c>
    </row>
    <row r="896" ht="15.75" customHeight="1">
      <c r="A896" s="25">
        <f>'VIX HISTORIQUE'!A899</f>
        <v>44564.66667</v>
      </c>
      <c r="B896" s="22">
        <f>'VIX HISTORIQUE'!B899</f>
        <v>4796.56</v>
      </c>
      <c r="C896" s="22">
        <f>'VIX HISTORIQUE'!D899</f>
        <v>16.6</v>
      </c>
      <c r="D896" s="22">
        <f>'VIX HISTORIQUE'!G899</f>
        <v>21.53</v>
      </c>
      <c r="E896" s="22">
        <f>'VIX HISTORIQUE'!I899</f>
        <v>24.74</v>
      </c>
      <c r="F896" s="22">
        <f>'VIX HISTORIQUE'!K899</f>
        <v>27.27</v>
      </c>
    </row>
    <row r="897" ht="15.75" customHeight="1">
      <c r="A897" s="25">
        <f>'VIX HISTORIQUE'!A900</f>
        <v>44565.66667</v>
      </c>
      <c r="B897" s="22">
        <f>'VIX HISTORIQUE'!B900</f>
        <v>4793.54</v>
      </c>
      <c r="C897" s="22">
        <f>'VIX HISTORIQUE'!D900</f>
        <v>16.91</v>
      </c>
      <c r="D897" s="22">
        <f>'VIX HISTORIQUE'!G900</f>
        <v>21.62</v>
      </c>
      <c r="E897" s="22">
        <f>'VIX HISTORIQUE'!I900</f>
        <v>24.86</v>
      </c>
      <c r="F897" s="22">
        <f>'VIX HISTORIQUE'!K900</f>
        <v>27.53</v>
      </c>
    </row>
    <row r="898" ht="15.75" customHeight="1">
      <c r="A898" s="25">
        <f>'VIX HISTORIQUE'!A901</f>
        <v>44566.66667</v>
      </c>
      <c r="B898" s="22">
        <f>'VIX HISTORIQUE'!B901</f>
        <v>4700.58</v>
      </c>
      <c r="C898" s="22">
        <f>'VIX HISTORIQUE'!D901</f>
        <v>19.73</v>
      </c>
      <c r="D898" s="22">
        <f>'VIX HISTORIQUE'!G901</f>
        <v>23.47</v>
      </c>
      <c r="E898" s="22">
        <f>'VIX HISTORIQUE'!I901</f>
        <v>26</v>
      </c>
      <c r="F898" s="22">
        <f>'VIX HISTORIQUE'!K901</f>
        <v>28.24</v>
      </c>
    </row>
    <row r="899" ht="15.75" customHeight="1">
      <c r="A899" s="25">
        <f>'VIX HISTORIQUE'!A902</f>
        <v>44567.66667</v>
      </c>
      <c r="B899" s="22">
        <f>'VIX HISTORIQUE'!B902</f>
        <v>4696.05</v>
      </c>
      <c r="C899" s="22">
        <f>'VIX HISTORIQUE'!D902</f>
        <v>19.61</v>
      </c>
      <c r="D899" s="22">
        <f>'VIX HISTORIQUE'!G902</f>
        <v>23.5</v>
      </c>
      <c r="E899" s="22">
        <f>'VIX HISTORIQUE'!I902</f>
        <v>25.93</v>
      </c>
      <c r="F899" s="22">
        <f>'VIX HISTORIQUE'!K902</f>
        <v>27.91</v>
      </c>
    </row>
    <row r="900" ht="15.75" customHeight="1">
      <c r="A900" s="25">
        <f>'VIX HISTORIQUE'!A903</f>
        <v>44568.66667</v>
      </c>
      <c r="B900" s="22">
        <f>'VIX HISTORIQUE'!B903</f>
        <v>4677.03</v>
      </c>
      <c r="C900" s="22">
        <f>'VIX HISTORIQUE'!D903</f>
        <v>18.76</v>
      </c>
      <c r="D900" s="22">
        <f>'VIX HISTORIQUE'!G903</f>
        <v>22.87</v>
      </c>
      <c r="E900" s="22">
        <f>'VIX HISTORIQUE'!I903</f>
        <v>25.41</v>
      </c>
      <c r="F900" s="22">
        <f>'VIX HISTORIQUE'!K903</f>
        <v>27.55</v>
      </c>
    </row>
    <row r="901" ht="15.75" customHeight="1">
      <c r="A901" s="25">
        <f>'VIX HISTORIQUE'!A904</f>
        <v>44571.66667</v>
      </c>
      <c r="B901" s="22">
        <f>'VIX HISTORIQUE'!B904</f>
        <v>4670.29</v>
      </c>
      <c r="C901" s="22">
        <f>'VIX HISTORIQUE'!D904</f>
        <v>19.4</v>
      </c>
      <c r="D901" s="22">
        <f>'VIX HISTORIQUE'!G904</f>
        <v>22.68</v>
      </c>
      <c r="E901" s="22">
        <f>'VIX HISTORIQUE'!I904</f>
        <v>25.14</v>
      </c>
      <c r="F901" s="22">
        <f>'VIX HISTORIQUE'!K904</f>
        <v>27.68</v>
      </c>
    </row>
    <row r="902" ht="15.75" customHeight="1">
      <c r="A902" s="25">
        <f>'VIX HISTORIQUE'!A905</f>
        <v>44572.66667</v>
      </c>
      <c r="B902" s="22">
        <f>'VIX HISTORIQUE'!B905</f>
        <v>4713.07</v>
      </c>
      <c r="C902" s="22">
        <f>'VIX HISTORIQUE'!D905</f>
        <v>18.41</v>
      </c>
      <c r="D902" s="22">
        <f>'VIX HISTORIQUE'!G905</f>
        <v>21.98</v>
      </c>
      <c r="E902" s="22">
        <f>'VIX HISTORIQUE'!I905</f>
        <v>24.63</v>
      </c>
      <c r="F902" s="22">
        <f>'VIX HISTORIQUE'!K905</f>
        <v>26.93</v>
      </c>
    </row>
    <row r="903" ht="15.75" customHeight="1">
      <c r="A903" s="25">
        <f>'VIX HISTORIQUE'!A906</f>
        <v>44573.66667</v>
      </c>
      <c r="B903" s="22">
        <f>'VIX HISTORIQUE'!B906</f>
        <v>4726.35</v>
      </c>
      <c r="C903" s="22">
        <f>'VIX HISTORIQUE'!D906</f>
        <v>17.62</v>
      </c>
      <c r="D903" s="22">
        <f>'VIX HISTORIQUE'!G906</f>
        <v>21.58</v>
      </c>
      <c r="E903" s="22">
        <f>'VIX HISTORIQUE'!I906</f>
        <v>24.34</v>
      </c>
      <c r="F903" s="22">
        <f>'VIX HISTORIQUE'!K906</f>
        <v>26.36</v>
      </c>
    </row>
    <row r="904" ht="15.75" customHeight="1">
      <c r="A904" s="25">
        <f>'VIX HISTORIQUE'!A907</f>
        <v>44574.66667</v>
      </c>
      <c r="B904" s="22">
        <f>'VIX HISTORIQUE'!B907</f>
        <v>4659.03</v>
      </c>
      <c r="C904" s="22">
        <f>'VIX HISTORIQUE'!D907</f>
        <v>20.31</v>
      </c>
      <c r="D904" s="22">
        <f>'VIX HISTORIQUE'!G907</f>
        <v>23.41</v>
      </c>
      <c r="E904" s="22">
        <f>'VIX HISTORIQUE'!I907</f>
        <v>25.63</v>
      </c>
      <c r="F904" s="22">
        <f>'VIX HISTORIQUE'!K907</f>
        <v>27.02</v>
      </c>
    </row>
    <row r="905" ht="15.75" customHeight="1">
      <c r="A905" s="25">
        <f>'VIX HISTORIQUE'!A908</f>
        <v>44575.66667</v>
      </c>
      <c r="B905" s="22">
        <f>'VIX HISTORIQUE'!B908</f>
        <v>4662.85</v>
      </c>
      <c r="C905" s="22">
        <f>'VIX HISTORIQUE'!D908</f>
        <v>19.19</v>
      </c>
      <c r="D905" s="22">
        <f>'VIX HISTORIQUE'!G908</f>
        <v>22.82</v>
      </c>
      <c r="E905" s="22">
        <f>'VIX HISTORIQUE'!I908</f>
        <v>25.18</v>
      </c>
      <c r="F905" s="22">
        <f>'VIX HISTORIQUE'!K908</f>
        <v>27.12</v>
      </c>
    </row>
    <row r="906" ht="15.75" customHeight="1">
      <c r="A906" s="25">
        <f>'VIX HISTORIQUE'!A909</f>
        <v>44579.66667</v>
      </c>
      <c r="B906" s="22">
        <f>'VIX HISTORIQUE'!B909</f>
        <v>4577.11</v>
      </c>
      <c r="C906" s="22">
        <f>'VIX HISTORIQUE'!D909</f>
        <v>22.79</v>
      </c>
      <c r="D906" s="22">
        <f>'VIX HISTORIQUE'!G909</f>
        <v>25.12</v>
      </c>
      <c r="E906" s="22">
        <f>'VIX HISTORIQUE'!I909</f>
        <v>26.77</v>
      </c>
      <c r="F906" s="22">
        <f>'VIX HISTORIQUE'!K909</f>
        <v>28.01</v>
      </c>
    </row>
    <row r="907" ht="15.75" customHeight="1">
      <c r="A907" s="25">
        <f>'VIX HISTORIQUE'!A910</f>
        <v>44580.66667</v>
      </c>
      <c r="B907" s="22">
        <f>'VIX HISTORIQUE'!B910</f>
        <v>4532.76</v>
      </c>
      <c r="C907" s="22">
        <f>'VIX HISTORIQUE'!D910</f>
        <v>23.85</v>
      </c>
      <c r="D907" s="22">
        <f>'VIX HISTORIQUE'!G910</f>
        <v>25.81</v>
      </c>
      <c r="E907" s="22">
        <f>'VIX HISTORIQUE'!I910</f>
        <v>27.17</v>
      </c>
      <c r="F907" s="22">
        <f>'VIX HISTORIQUE'!K910</f>
        <v>28.14</v>
      </c>
    </row>
    <row r="908" ht="15.75" customHeight="1">
      <c r="A908" s="25">
        <f>'VIX HISTORIQUE'!A911</f>
        <v>44581.66667</v>
      </c>
      <c r="B908" s="22">
        <f>'VIX HISTORIQUE'!B911</f>
        <v>4482.73</v>
      </c>
      <c r="C908" s="22">
        <f>'VIX HISTORIQUE'!D911</f>
        <v>25.59</v>
      </c>
      <c r="D908" s="22">
        <f>'VIX HISTORIQUE'!G911</f>
        <v>27.25</v>
      </c>
      <c r="E908" s="22">
        <f>'VIX HISTORIQUE'!I911</f>
        <v>28.08</v>
      </c>
      <c r="F908" s="22">
        <f>'VIX HISTORIQUE'!K911</f>
        <v>28.45</v>
      </c>
    </row>
    <row r="909" ht="15.75" customHeight="1">
      <c r="A909" s="25">
        <f>'VIX HISTORIQUE'!A912</f>
        <v>44582.66667</v>
      </c>
      <c r="B909" s="22">
        <f>'VIX HISTORIQUE'!B912</f>
        <v>4397.94</v>
      </c>
      <c r="C909" s="22">
        <f>'VIX HISTORIQUE'!D912</f>
        <v>28.85</v>
      </c>
      <c r="D909" s="22">
        <f>'VIX HISTORIQUE'!G912</f>
        <v>29.95</v>
      </c>
      <c r="E909" s="22">
        <f>'VIX HISTORIQUE'!I912</f>
        <v>30.37</v>
      </c>
      <c r="F909" s="22">
        <f>'VIX HISTORIQUE'!K912</f>
        <v>29.67</v>
      </c>
    </row>
    <row r="910" ht="15.75" customHeight="1">
      <c r="A910" s="25">
        <f>'VIX HISTORIQUE'!A913</f>
        <v>44585.66667</v>
      </c>
      <c r="B910" s="22">
        <f>'VIX HISTORIQUE'!B913</f>
        <v>4410.13</v>
      </c>
      <c r="C910" s="22">
        <f>'VIX HISTORIQUE'!D913</f>
        <v>29.9</v>
      </c>
      <c r="D910" s="22">
        <f>'VIX HISTORIQUE'!G913</f>
        <v>30.82</v>
      </c>
      <c r="E910" s="22">
        <f>'VIX HISTORIQUE'!I913</f>
        <v>30.59</v>
      </c>
      <c r="F910" s="22">
        <f>'VIX HISTORIQUE'!K913</f>
        <v>30.36</v>
      </c>
    </row>
    <row r="911" ht="15.75" customHeight="1">
      <c r="A911" s="25">
        <f>'VIX HISTORIQUE'!A914</f>
        <v>44586.66667</v>
      </c>
      <c r="B911" s="22">
        <f>'VIX HISTORIQUE'!B914</f>
        <v>4356.45</v>
      </c>
      <c r="C911" s="22">
        <f>'VIX HISTORIQUE'!D914</f>
        <v>31.16</v>
      </c>
      <c r="D911" s="22">
        <f>'VIX HISTORIQUE'!G914</f>
        <v>31.76</v>
      </c>
      <c r="E911" s="22">
        <f>'VIX HISTORIQUE'!I914</f>
        <v>31.3</v>
      </c>
      <c r="F911" s="22">
        <f>'VIX HISTORIQUE'!K914</f>
        <v>30.47</v>
      </c>
    </row>
    <row r="912" ht="15.75" customHeight="1">
      <c r="A912" s="25">
        <f>'VIX HISTORIQUE'!A915</f>
        <v>44587.66667</v>
      </c>
      <c r="B912" s="22">
        <f>'VIX HISTORIQUE'!B915</f>
        <v>4349.93</v>
      </c>
      <c r="C912" s="22">
        <f>'VIX HISTORIQUE'!D915</f>
        <v>31.96</v>
      </c>
      <c r="D912" s="22">
        <f>'VIX HISTORIQUE'!G915</f>
        <v>31.95</v>
      </c>
      <c r="E912" s="22">
        <f>'VIX HISTORIQUE'!I915</f>
        <v>31.04</v>
      </c>
      <c r="F912" s="22">
        <f>'VIX HISTORIQUE'!K915</f>
        <v>30.38</v>
      </c>
    </row>
    <row r="913" ht="15.75" customHeight="1">
      <c r="A913" s="25">
        <f>'VIX HISTORIQUE'!A916</f>
        <v>44588.66667</v>
      </c>
      <c r="B913" s="22">
        <f>'VIX HISTORIQUE'!B916</f>
        <v>4326.51</v>
      </c>
      <c r="C913" s="22">
        <f>'VIX HISTORIQUE'!D916</f>
        <v>30.49</v>
      </c>
      <c r="D913" s="22">
        <f>'VIX HISTORIQUE'!G916</f>
        <v>30.87</v>
      </c>
      <c r="E913" s="22">
        <f>'VIX HISTORIQUE'!I916</f>
        <v>30.27</v>
      </c>
      <c r="F913" s="22">
        <f>'VIX HISTORIQUE'!K916</f>
        <v>29.89</v>
      </c>
    </row>
    <row r="914" ht="15.75" customHeight="1">
      <c r="A914" s="25">
        <f>'VIX HISTORIQUE'!A917</f>
        <v>44589.66667</v>
      </c>
      <c r="B914" s="22">
        <f>'VIX HISTORIQUE'!B917</f>
        <v>4431.85</v>
      </c>
      <c r="C914" s="22">
        <f>'VIX HISTORIQUE'!D917</f>
        <v>27.66</v>
      </c>
      <c r="D914" s="22">
        <f>'VIX HISTORIQUE'!G917</f>
        <v>28.82</v>
      </c>
      <c r="E914" s="22">
        <f>'VIX HISTORIQUE'!I917</f>
        <v>29.07</v>
      </c>
      <c r="F914" s="22">
        <f>'VIX HISTORIQUE'!K917</f>
        <v>29.05</v>
      </c>
    </row>
    <row r="915" ht="15.75" customHeight="1">
      <c r="A915" s="25">
        <f>'VIX HISTORIQUE'!A918</f>
        <v>44592.66667</v>
      </c>
      <c r="B915" s="22">
        <f>'VIX HISTORIQUE'!B918</f>
        <v>4515.55</v>
      </c>
      <c r="C915" s="22">
        <f>'VIX HISTORIQUE'!D918</f>
        <v>24.83</v>
      </c>
      <c r="D915" s="22">
        <f>'VIX HISTORIQUE'!G918</f>
        <v>26.85</v>
      </c>
      <c r="E915" s="22">
        <f>'VIX HISTORIQUE'!I918</f>
        <v>27.56</v>
      </c>
      <c r="F915" s="22">
        <f>'VIX HISTORIQUE'!K918</f>
        <v>28</v>
      </c>
    </row>
    <row r="916" ht="15.75" customHeight="1">
      <c r="A916" s="25">
        <f>'VIX HISTORIQUE'!A919</f>
        <v>44593.66667</v>
      </c>
      <c r="B916" s="22">
        <f>'VIX HISTORIQUE'!B919</f>
        <v>4546.54</v>
      </c>
      <c r="C916" s="22">
        <f>'VIX HISTORIQUE'!D919</f>
        <v>21.96</v>
      </c>
      <c r="D916" s="22">
        <f>'VIX HISTORIQUE'!G919</f>
        <v>24.76</v>
      </c>
      <c r="E916" s="22">
        <f>'VIX HISTORIQUE'!I919</f>
        <v>26.07</v>
      </c>
      <c r="F916" s="22">
        <f>'VIX HISTORIQUE'!K919</f>
        <v>27.05</v>
      </c>
    </row>
    <row r="917" ht="15.75" customHeight="1">
      <c r="A917" s="25">
        <f>'VIX HISTORIQUE'!A920</f>
        <v>44594.66667</v>
      </c>
      <c r="B917" s="22">
        <f>'VIX HISTORIQUE'!B920</f>
        <v>4589.38</v>
      </c>
      <c r="C917" s="22">
        <f>'VIX HISTORIQUE'!D920</f>
        <v>22.09</v>
      </c>
      <c r="D917" s="22">
        <f>'VIX HISTORIQUE'!G920</f>
        <v>25.14</v>
      </c>
      <c r="E917" s="22">
        <f>'VIX HISTORIQUE'!I920</f>
        <v>26.68</v>
      </c>
      <c r="F917" s="22">
        <f>'VIX HISTORIQUE'!K920</f>
        <v>27.4</v>
      </c>
    </row>
    <row r="918" ht="15.75" customHeight="1">
      <c r="A918" s="25">
        <f>'VIX HISTORIQUE'!A921</f>
        <v>44595.66667</v>
      </c>
      <c r="B918" s="22">
        <f>'VIX HISTORIQUE'!B921</f>
        <v>4477.44</v>
      </c>
      <c r="C918" s="22">
        <f>'VIX HISTORIQUE'!D921</f>
        <v>24.35</v>
      </c>
      <c r="D918" s="22">
        <f>'VIX HISTORIQUE'!G921</f>
        <v>26.67</v>
      </c>
      <c r="E918" s="22">
        <f>'VIX HISTORIQUE'!I921</f>
        <v>27.76</v>
      </c>
      <c r="F918" s="22">
        <f>'VIX HISTORIQUE'!K921</f>
        <v>28.25</v>
      </c>
    </row>
    <row r="919" ht="15.75" customHeight="1">
      <c r="A919" s="25">
        <f>'VIX HISTORIQUE'!A922</f>
        <v>44596.66667</v>
      </c>
      <c r="B919" s="22">
        <f>'VIX HISTORIQUE'!B922</f>
        <v>4500.53</v>
      </c>
      <c r="C919" s="22">
        <f>'VIX HISTORIQUE'!D922</f>
        <v>23.22</v>
      </c>
      <c r="D919" s="22">
        <f>'VIX HISTORIQUE'!G922</f>
        <v>26.25</v>
      </c>
      <c r="E919" s="22">
        <f>'VIX HISTORIQUE'!I922</f>
        <v>27.58</v>
      </c>
      <c r="F919" s="22">
        <f>'VIX HISTORIQUE'!K922</f>
        <v>28.05</v>
      </c>
    </row>
    <row r="920" ht="15.75" customHeight="1">
      <c r="A920" s="25">
        <f>'VIX HISTORIQUE'!A923</f>
        <v>44599.66667</v>
      </c>
      <c r="B920" s="22">
        <f>'VIX HISTORIQUE'!B923</f>
        <v>4483.87</v>
      </c>
      <c r="C920" s="22">
        <f>'VIX HISTORIQUE'!D923</f>
        <v>22.86</v>
      </c>
      <c r="D920" s="22">
        <f>'VIX HISTORIQUE'!G923</f>
        <v>25.69</v>
      </c>
      <c r="E920" s="22">
        <f>'VIX HISTORIQUE'!I923</f>
        <v>27.14</v>
      </c>
      <c r="F920" s="22">
        <f>'VIX HISTORIQUE'!K923</f>
        <v>27.8</v>
      </c>
    </row>
    <row r="921" ht="15.75" customHeight="1">
      <c r="A921" s="25">
        <f>'VIX HISTORIQUE'!A924</f>
        <v>44600.66667</v>
      </c>
      <c r="B921" s="22">
        <f>'VIX HISTORIQUE'!B924</f>
        <v>4521.54</v>
      </c>
      <c r="C921" s="22">
        <f>'VIX HISTORIQUE'!D924</f>
        <v>21.44</v>
      </c>
      <c r="D921" s="22">
        <f>'VIX HISTORIQUE'!G924</f>
        <v>24.54</v>
      </c>
      <c r="E921" s="22">
        <f>'VIX HISTORIQUE'!I924</f>
        <v>26.31</v>
      </c>
      <c r="F921" s="22">
        <f>'VIX HISTORIQUE'!K924</f>
        <v>28.05</v>
      </c>
    </row>
    <row r="922" ht="15.75" customHeight="1">
      <c r="A922" s="25">
        <f>'VIX HISTORIQUE'!A925</f>
        <v>44601.66667</v>
      </c>
      <c r="B922" s="22">
        <f>'VIX HISTORIQUE'!B925</f>
        <v>4587.18</v>
      </c>
      <c r="C922" s="22">
        <f>'VIX HISTORIQUE'!D925</f>
        <v>19.96</v>
      </c>
      <c r="D922" s="22">
        <f>'VIX HISTORIQUE'!G925</f>
        <v>23.49</v>
      </c>
      <c r="E922" s="22">
        <f>'VIX HISTORIQUE'!I925</f>
        <v>25.53</v>
      </c>
      <c r="F922" s="22">
        <f>'VIX HISTORIQUE'!K925</f>
        <v>26.6</v>
      </c>
    </row>
    <row r="923" ht="15.75" customHeight="1">
      <c r="A923" s="25">
        <f>'VIX HISTORIQUE'!A926</f>
        <v>44602.66667</v>
      </c>
      <c r="B923" s="22">
        <f>'VIX HISTORIQUE'!B926</f>
        <v>4504.08</v>
      </c>
      <c r="C923" s="22">
        <f>'VIX HISTORIQUE'!D926</f>
        <v>23.91</v>
      </c>
      <c r="D923" s="22">
        <f>'VIX HISTORIQUE'!G926</f>
        <v>26.07</v>
      </c>
      <c r="E923" s="22">
        <f>'VIX HISTORIQUE'!I926</f>
        <v>27.28</v>
      </c>
      <c r="F923" s="22">
        <f>'VIX HISTORIQUE'!K926</f>
        <v>27.84</v>
      </c>
    </row>
    <row r="924" ht="15.75" customHeight="1">
      <c r="A924" s="25">
        <f>'VIX HISTORIQUE'!A927</f>
        <v>44603.66667</v>
      </c>
      <c r="B924" s="22">
        <f>'VIX HISTORIQUE'!B927</f>
        <v>4418.64</v>
      </c>
      <c r="C924" s="22">
        <f>'VIX HISTORIQUE'!D927</f>
        <v>27.36</v>
      </c>
      <c r="D924" s="22">
        <f>'VIX HISTORIQUE'!G927</f>
        <v>28.83</v>
      </c>
      <c r="E924" s="22">
        <f>'VIX HISTORIQUE'!I927</f>
        <v>29</v>
      </c>
      <c r="F924" s="22">
        <f>'VIX HISTORIQUE'!K927</f>
        <v>28.85</v>
      </c>
    </row>
    <row r="925" ht="15.75" customHeight="1">
      <c r="A925" s="25">
        <f>'VIX HISTORIQUE'!A928</f>
        <v>44606.66667</v>
      </c>
      <c r="B925" s="22">
        <f>'VIX HISTORIQUE'!B928</f>
        <v>4401.67</v>
      </c>
      <c r="C925" s="22">
        <f>'VIX HISTORIQUE'!D928</f>
        <v>28.33</v>
      </c>
      <c r="D925" s="22">
        <f>'VIX HISTORIQUE'!G928</f>
        <v>29.44</v>
      </c>
      <c r="E925" s="22">
        <f>'VIX HISTORIQUE'!I928</f>
        <v>29.47</v>
      </c>
      <c r="F925" s="22">
        <f>'VIX HISTORIQUE'!K928</f>
        <v>28.96</v>
      </c>
    </row>
    <row r="926" ht="15.75" customHeight="1">
      <c r="A926" s="25">
        <f>'VIX HISTORIQUE'!A929</f>
        <v>44607.66667</v>
      </c>
      <c r="B926" s="22">
        <f>'VIX HISTORIQUE'!B929</f>
        <v>4471.07</v>
      </c>
      <c r="C926" s="22">
        <f>'VIX HISTORIQUE'!D929</f>
        <v>25.7</v>
      </c>
      <c r="D926" s="22">
        <f>'VIX HISTORIQUE'!G929</f>
        <v>27.28</v>
      </c>
      <c r="E926" s="22">
        <f>'VIX HISTORIQUE'!I929</f>
        <v>28.1</v>
      </c>
      <c r="F926" s="22">
        <f>'VIX HISTORIQUE'!K929</f>
        <v>28.01</v>
      </c>
    </row>
    <row r="927" ht="15.75" customHeight="1">
      <c r="A927" s="25">
        <f>'VIX HISTORIQUE'!A930</f>
        <v>44608.66667</v>
      </c>
      <c r="B927" s="22">
        <f>'VIX HISTORIQUE'!B930</f>
        <v>4475.01</v>
      </c>
      <c r="C927" s="22">
        <f>'VIX HISTORIQUE'!D930</f>
        <v>24.29</v>
      </c>
      <c r="D927" s="22">
        <f>'VIX HISTORIQUE'!G930</f>
        <v>26.26</v>
      </c>
      <c r="E927" s="22">
        <f>'VIX HISTORIQUE'!I930</f>
        <v>27.24</v>
      </c>
      <c r="F927" s="22">
        <f>'VIX HISTORIQUE'!K930</f>
        <v>27.67</v>
      </c>
    </row>
    <row r="928" ht="15.75" customHeight="1">
      <c r="A928" s="25">
        <f>'VIX HISTORIQUE'!A931</f>
        <v>44609.66667</v>
      </c>
      <c r="B928" s="22">
        <f>'VIX HISTORIQUE'!B931</f>
        <v>4380.26</v>
      </c>
      <c r="C928" s="22">
        <f>'VIX HISTORIQUE'!D931</f>
        <v>28.11</v>
      </c>
      <c r="D928" s="22">
        <f>'VIX HISTORIQUE'!G931</f>
        <v>29.32</v>
      </c>
      <c r="E928" s="22">
        <f>'VIX HISTORIQUE'!I931</f>
        <v>29.43</v>
      </c>
      <c r="F928" s="22">
        <f>'VIX HISTORIQUE'!K931</f>
        <v>28.99</v>
      </c>
    </row>
    <row r="929" ht="15.75" customHeight="1">
      <c r="A929" s="25">
        <f>'VIX HISTORIQUE'!A932</f>
        <v>44610.66667</v>
      </c>
      <c r="B929" s="22">
        <f>'VIX HISTORIQUE'!B932</f>
        <v>4348.87</v>
      </c>
      <c r="C929" s="22">
        <f>'VIX HISTORIQUE'!D932</f>
        <v>27.75</v>
      </c>
      <c r="D929" s="22">
        <f>'VIX HISTORIQUE'!G932</f>
        <v>29.22</v>
      </c>
      <c r="E929" s="22">
        <f>'VIX HISTORIQUE'!I932</f>
        <v>29.39</v>
      </c>
      <c r="F929" s="22">
        <f>'VIX HISTORIQUE'!K932</f>
        <v>29.15</v>
      </c>
    </row>
    <row r="930" ht="15.75" customHeight="1">
      <c r="A930" s="25">
        <f>'VIX HISTORIQUE'!A933</f>
        <v>44614.66667</v>
      </c>
      <c r="B930" s="22">
        <f>'VIX HISTORIQUE'!B933</f>
        <v>4304.76</v>
      </c>
      <c r="C930" s="22">
        <f>'VIX HISTORIQUE'!D933</f>
        <v>28.81</v>
      </c>
      <c r="D930" s="22">
        <f>'VIX HISTORIQUE'!G933</f>
        <v>29.11</v>
      </c>
      <c r="E930" s="22">
        <f>'VIX HISTORIQUE'!I933</f>
        <v>29.21</v>
      </c>
      <c r="F930" s="22">
        <f>'VIX HISTORIQUE'!K933</f>
        <v>28.85</v>
      </c>
    </row>
    <row r="931" ht="15.75" customHeight="1">
      <c r="A931" s="25">
        <f>'VIX HISTORIQUE'!A934</f>
        <v>44615.66667</v>
      </c>
      <c r="B931" s="22">
        <f>'VIX HISTORIQUE'!B934</f>
        <v>4225.5</v>
      </c>
      <c r="C931" s="22">
        <f>'VIX HISTORIQUE'!D934</f>
        <v>31.02</v>
      </c>
      <c r="D931" s="22">
        <f>'VIX HISTORIQUE'!G934</f>
        <v>30.88</v>
      </c>
      <c r="E931" s="22">
        <f>'VIX HISTORIQUE'!I934</f>
        <v>30.75</v>
      </c>
      <c r="F931" s="22">
        <f>'VIX HISTORIQUE'!K934</f>
        <v>29.74</v>
      </c>
    </row>
    <row r="932" ht="15.75" customHeight="1">
      <c r="A932" s="25">
        <f>'VIX HISTORIQUE'!A935</f>
        <v>44616.66667</v>
      </c>
      <c r="B932" s="22">
        <f>'VIX HISTORIQUE'!B935</f>
        <v>4288.7</v>
      </c>
      <c r="C932" s="22">
        <f>'VIX HISTORIQUE'!D935</f>
        <v>30.32</v>
      </c>
      <c r="D932" s="22">
        <f>'VIX HISTORIQUE'!G935</f>
        <v>30.05</v>
      </c>
      <c r="E932" s="22">
        <f>'VIX HISTORIQUE'!I935</f>
        <v>29.98</v>
      </c>
      <c r="F932" s="22">
        <f>'VIX HISTORIQUE'!K935</f>
        <v>29.79</v>
      </c>
    </row>
    <row r="933" ht="15.75" customHeight="1">
      <c r="A933" s="25">
        <f>'VIX HISTORIQUE'!A936</f>
        <v>44617.66667</v>
      </c>
      <c r="B933" s="22">
        <f>'VIX HISTORIQUE'!B936</f>
        <v>4384.65</v>
      </c>
      <c r="C933" s="22">
        <f>'VIX HISTORIQUE'!D936</f>
        <v>27.59</v>
      </c>
      <c r="D933" s="22">
        <f>'VIX HISTORIQUE'!G936</f>
        <v>28.04</v>
      </c>
      <c r="E933" s="22">
        <f>'VIX HISTORIQUE'!I936</f>
        <v>28.67</v>
      </c>
      <c r="F933" s="22">
        <f>'VIX HISTORIQUE'!K936</f>
        <v>28.45</v>
      </c>
    </row>
    <row r="934" ht="15.75" customHeight="1">
      <c r="A934" s="25">
        <f>'VIX HISTORIQUE'!A937</f>
        <v>44620.66667</v>
      </c>
      <c r="B934" s="22">
        <f>'VIX HISTORIQUE'!B937</f>
        <v>4373.94</v>
      </c>
      <c r="C934" s="22">
        <f>'VIX HISTORIQUE'!D937</f>
        <v>30.15</v>
      </c>
      <c r="D934" s="22">
        <f>'VIX HISTORIQUE'!G937</f>
        <v>29.65</v>
      </c>
      <c r="E934" s="22">
        <f>'VIX HISTORIQUE'!I937</f>
        <v>29.88</v>
      </c>
      <c r="F934" s="22">
        <f>'VIX HISTORIQUE'!K937</f>
        <v>29.41</v>
      </c>
    </row>
    <row r="935" ht="15.75" customHeight="1">
      <c r="A935" s="25">
        <f>'VIX HISTORIQUE'!A938</f>
        <v>44621.66667</v>
      </c>
      <c r="B935" s="22">
        <f>'VIX HISTORIQUE'!B938</f>
        <v>4306.26</v>
      </c>
      <c r="C935" s="22">
        <f>'VIX HISTORIQUE'!D938</f>
        <v>33.32</v>
      </c>
      <c r="D935" s="22">
        <f>'VIX HISTORIQUE'!G938</f>
        <v>32.59</v>
      </c>
      <c r="E935" s="22">
        <f>'VIX HISTORIQUE'!I938</f>
        <v>32.13</v>
      </c>
      <c r="F935" s="22">
        <f>'VIX HISTORIQUE'!K938</f>
        <v>30.91</v>
      </c>
    </row>
    <row r="936" ht="15.75" customHeight="1">
      <c r="A936" s="25">
        <f>'VIX HISTORIQUE'!A939</f>
        <v>44622.66667</v>
      </c>
      <c r="B936" s="22">
        <f>'VIX HISTORIQUE'!B939</f>
        <v>4386.54</v>
      </c>
      <c r="C936" s="22">
        <f>'VIX HISTORIQUE'!D939</f>
        <v>30.74</v>
      </c>
      <c r="D936" s="22">
        <f>'VIX HISTORIQUE'!G939</f>
        <v>30.97</v>
      </c>
      <c r="E936" s="22">
        <f>'VIX HISTORIQUE'!I939</f>
        <v>31.04</v>
      </c>
      <c r="F936" s="22">
        <f>'VIX HISTORIQUE'!K939</f>
        <v>29.86</v>
      </c>
    </row>
    <row r="937" ht="15.75" customHeight="1">
      <c r="A937" s="25">
        <f>'VIX HISTORIQUE'!A940</f>
        <v>44623.66667</v>
      </c>
      <c r="B937" s="22">
        <f>'VIX HISTORIQUE'!B940</f>
        <v>4363.49</v>
      </c>
      <c r="C937" s="22">
        <f>'VIX HISTORIQUE'!D940</f>
        <v>30.48</v>
      </c>
      <c r="D937" s="22">
        <f>'VIX HISTORIQUE'!G940</f>
        <v>30.8</v>
      </c>
      <c r="E937" s="22">
        <f>'VIX HISTORIQUE'!I940</f>
        <v>30.92</v>
      </c>
      <c r="F937" s="22">
        <f>'VIX HISTORIQUE'!K940</f>
        <v>29.81</v>
      </c>
    </row>
    <row r="938" ht="15.75" customHeight="1">
      <c r="A938" s="25">
        <f>'VIX HISTORIQUE'!A941</f>
        <v>44624.66667</v>
      </c>
      <c r="B938" s="22">
        <f>'VIX HISTORIQUE'!B941</f>
        <v>4328.87</v>
      </c>
      <c r="C938" s="22">
        <f>'VIX HISTORIQUE'!D941</f>
        <v>31.98</v>
      </c>
      <c r="D938" s="22">
        <f>'VIX HISTORIQUE'!G941</f>
        <v>32.34</v>
      </c>
      <c r="E938" s="22">
        <f>'VIX HISTORIQUE'!I941</f>
        <v>32.08</v>
      </c>
      <c r="F938" s="22">
        <f>'VIX HISTORIQUE'!K941</f>
        <v>30.68</v>
      </c>
    </row>
    <row r="939" ht="15.75" customHeight="1">
      <c r="A939" s="25">
        <f>'VIX HISTORIQUE'!A942</f>
        <v>44627.66667</v>
      </c>
      <c r="B939" s="22">
        <f>'VIX HISTORIQUE'!B942</f>
        <v>4201.09</v>
      </c>
      <c r="C939" s="22">
        <f>'VIX HISTORIQUE'!D942</f>
        <v>36.45</v>
      </c>
      <c r="D939" s="22">
        <f>'VIX HISTORIQUE'!G942</f>
        <v>35.74</v>
      </c>
      <c r="E939" s="22">
        <f>'VIX HISTORIQUE'!I942</f>
        <v>34.53</v>
      </c>
      <c r="F939" s="22">
        <f>'VIX HISTORIQUE'!K942</f>
        <v>32.15</v>
      </c>
    </row>
    <row r="940" ht="15.75" customHeight="1">
      <c r="A940" s="25">
        <f>'VIX HISTORIQUE'!A943</f>
        <v>44628.66667</v>
      </c>
      <c r="B940" s="22">
        <f>'VIX HISTORIQUE'!B943</f>
        <v>4170.7</v>
      </c>
      <c r="C940" s="22">
        <f>'VIX HISTORIQUE'!D943</f>
        <v>35.13</v>
      </c>
      <c r="D940" s="22">
        <f>'VIX HISTORIQUE'!G943</f>
        <v>35</v>
      </c>
      <c r="E940" s="22">
        <f>'VIX HISTORIQUE'!I943</f>
        <v>34.29</v>
      </c>
      <c r="F940" s="22">
        <f>'VIX HISTORIQUE'!K943</f>
        <v>32.05</v>
      </c>
    </row>
    <row r="941" ht="15.75" customHeight="1">
      <c r="A941" s="25">
        <f>'VIX HISTORIQUE'!A944</f>
        <v>44629.66667</v>
      </c>
      <c r="B941" s="22">
        <f>'VIX HISTORIQUE'!B944</f>
        <v>4277.88</v>
      </c>
      <c r="C941" s="22">
        <f>'VIX HISTORIQUE'!D944</f>
        <v>32.45</v>
      </c>
      <c r="D941" s="22">
        <f>'VIX HISTORIQUE'!G944</f>
        <v>33.06</v>
      </c>
      <c r="E941" s="22">
        <f>'VIX HISTORIQUE'!I944</f>
        <v>32.97</v>
      </c>
      <c r="F941" s="22">
        <f>'VIX HISTORIQUE'!K944</f>
        <v>31.28</v>
      </c>
    </row>
    <row r="942" ht="15.75" customHeight="1">
      <c r="A942" s="25">
        <f>'VIX HISTORIQUE'!A945</f>
        <v>44630.66667</v>
      </c>
      <c r="B942" s="22">
        <f>'VIX HISTORIQUE'!B945</f>
        <v>4259.52</v>
      </c>
      <c r="C942" s="22">
        <f>'VIX HISTORIQUE'!D945</f>
        <v>30.23</v>
      </c>
      <c r="D942" s="22">
        <f>'VIX HISTORIQUE'!G945</f>
        <v>31.52</v>
      </c>
      <c r="E942" s="22">
        <f>'VIX HISTORIQUE'!I945</f>
        <v>32.04</v>
      </c>
      <c r="F942" s="22">
        <f>'VIX HISTORIQUE'!K945</f>
        <v>30.92</v>
      </c>
    </row>
    <row r="943" ht="15.75" customHeight="1">
      <c r="A943" s="25">
        <f>'VIX HISTORIQUE'!A946</f>
        <v>44631.66667</v>
      </c>
      <c r="B943" s="22">
        <f>'VIX HISTORIQUE'!B946</f>
        <v>4204.31</v>
      </c>
      <c r="C943" s="22">
        <f>'VIX HISTORIQUE'!D946</f>
        <v>30.75</v>
      </c>
      <c r="D943" s="22">
        <f>'VIX HISTORIQUE'!G946</f>
        <v>32.34</v>
      </c>
      <c r="E943" s="22">
        <f>'VIX HISTORIQUE'!I946</f>
        <v>32.98</v>
      </c>
      <c r="F943" s="22">
        <f>'VIX HISTORIQUE'!K946</f>
        <v>31.71</v>
      </c>
    </row>
    <row r="944" ht="15.75" customHeight="1">
      <c r="A944" s="25">
        <f>'VIX HISTORIQUE'!A947</f>
        <v>44634.66667</v>
      </c>
      <c r="B944" s="22">
        <f>'VIX HISTORIQUE'!B947</f>
        <v>4173.11</v>
      </c>
      <c r="C944" s="22">
        <f>'VIX HISTORIQUE'!D947</f>
        <v>31.77</v>
      </c>
      <c r="D944" s="22">
        <f>'VIX HISTORIQUE'!G947</f>
        <v>33.32</v>
      </c>
      <c r="E944" s="22">
        <f>'VIX HISTORIQUE'!I947</f>
        <v>33.69</v>
      </c>
      <c r="F944" s="22">
        <f>'VIX HISTORIQUE'!K947</f>
        <v>32.52</v>
      </c>
    </row>
    <row r="945" ht="15.75" customHeight="1">
      <c r="A945" s="25">
        <f>'VIX HISTORIQUE'!A948</f>
        <v>44635.66667</v>
      </c>
      <c r="B945" s="22">
        <f>'VIX HISTORIQUE'!B948</f>
        <v>4262.45</v>
      </c>
      <c r="C945" s="22">
        <f>'VIX HISTORIQUE'!D948</f>
        <v>29.83</v>
      </c>
      <c r="D945" s="22">
        <f>'VIX HISTORIQUE'!G948</f>
        <v>31.96</v>
      </c>
      <c r="E945" s="22">
        <f>'VIX HISTORIQUE'!I948</f>
        <v>32.55</v>
      </c>
      <c r="F945" s="22">
        <f>'VIX HISTORIQUE'!K948</f>
        <v>31.61</v>
      </c>
    </row>
    <row r="946" ht="15.75" customHeight="1">
      <c r="A946" s="25">
        <f>'VIX HISTORIQUE'!A949</f>
        <v>44636.66667</v>
      </c>
      <c r="B946" s="22">
        <f>'VIX HISTORIQUE'!B949</f>
        <v>4357.86</v>
      </c>
      <c r="C946" s="22">
        <f>'VIX HISTORIQUE'!D949</f>
        <v>26.67</v>
      </c>
      <c r="D946" s="22">
        <f>'VIX HISTORIQUE'!G949</f>
        <v>28.96</v>
      </c>
      <c r="E946" s="22">
        <f>'VIX HISTORIQUE'!I949</f>
        <v>30.35</v>
      </c>
      <c r="F946" s="22">
        <f>'VIX HISTORIQUE'!K949</f>
        <v>30.26</v>
      </c>
    </row>
    <row r="947" ht="15.75" customHeight="1">
      <c r="A947" s="25">
        <f>'VIX HISTORIQUE'!A950</f>
        <v>44637.66667</v>
      </c>
      <c r="B947" s="22">
        <f>'VIX HISTORIQUE'!B950</f>
        <v>4411.67</v>
      </c>
      <c r="C947" s="22">
        <f>'VIX HISTORIQUE'!D950</f>
        <v>25.67</v>
      </c>
      <c r="D947" s="22">
        <f>'VIX HISTORIQUE'!G950</f>
        <v>28.22</v>
      </c>
      <c r="E947" s="22">
        <f>'VIX HISTORIQUE'!I950</f>
        <v>29.62</v>
      </c>
      <c r="F947" s="22">
        <f>'VIX HISTORIQUE'!K950</f>
        <v>29.59</v>
      </c>
    </row>
    <row r="948" ht="15.75" customHeight="1">
      <c r="A948" s="25">
        <f>'VIX HISTORIQUE'!A951</f>
        <v>44638.66667</v>
      </c>
      <c r="B948" s="22">
        <f>'VIX HISTORIQUE'!B951</f>
        <v>4463.12</v>
      </c>
      <c r="C948" s="22">
        <f>'VIX HISTORIQUE'!D951</f>
        <v>23.87</v>
      </c>
      <c r="D948" s="22">
        <f>'VIX HISTORIQUE'!G951</f>
        <v>26.55</v>
      </c>
      <c r="E948" s="22">
        <f>'VIX HISTORIQUE'!I951</f>
        <v>28.31</v>
      </c>
      <c r="F948" s="22">
        <f>'VIX HISTORIQUE'!K951</f>
        <v>28.43</v>
      </c>
    </row>
    <row r="949" ht="15.75" customHeight="1">
      <c r="A949" s="25">
        <f>'VIX HISTORIQUE'!A952</f>
        <v>44641.66667</v>
      </c>
      <c r="B949" s="22">
        <f>'VIX HISTORIQUE'!B952</f>
        <v>4461.18</v>
      </c>
      <c r="C949" s="22">
        <f>'VIX HISTORIQUE'!D952</f>
        <v>23.53</v>
      </c>
      <c r="D949" s="22">
        <f>'VIX HISTORIQUE'!G952</f>
        <v>26.38</v>
      </c>
      <c r="E949" s="22">
        <f>'VIX HISTORIQUE'!I952</f>
        <v>28.23</v>
      </c>
      <c r="F949" s="22">
        <f>'VIX HISTORIQUE'!K952</f>
        <v>28.72</v>
      </c>
    </row>
    <row r="950" ht="15.75" customHeight="1">
      <c r="A950" s="25">
        <f>'VIX HISTORIQUE'!A953</f>
        <v>44642.66667</v>
      </c>
      <c r="B950" s="22">
        <f>'VIX HISTORIQUE'!B953</f>
        <v>4511.61</v>
      </c>
      <c r="C950" s="22">
        <f>'VIX HISTORIQUE'!D953</f>
        <v>22.94</v>
      </c>
      <c r="D950" s="22">
        <f>'VIX HISTORIQUE'!G953</f>
        <v>25.85</v>
      </c>
      <c r="E950" s="22">
        <f>'VIX HISTORIQUE'!I953</f>
        <v>27.72</v>
      </c>
      <c r="F950" s="22">
        <f>'VIX HISTORIQUE'!K953</f>
        <v>28.48</v>
      </c>
    </row>
    <row r="951" ht="15.75" customHeight="1">
      <c r="A951" s="25">
        <f>'VIX HISTORIQUE'!A954</f>
        <v>44643.66667</v>
      </c>
      <c r="B951" s="22">
        <f>'VIX HISTORIQUE'!B954</f>
        <v>4456.24</v>
      </c>
      <c r="C951" s="22">
        <f>'VIX HISTORIQUE'!D954</f>
        <v>23.57</v>
      </c>
      <c r="D951" s="22">
        <f>'VIX HISTORIQUE'!G954</f>
        <v>26.41</v>
      </c>
      <c r="E951" s="22">
        <f>'VIX HISTORIQUE'!I954</f>
        <v>28.16</v>
      </c>
      <c r="F951" s="22">
        <f>'VIX HISTORIQUE'!K954</f>
        <v>28.73</v>
      </c>
    </row>
    <row r="952" ht="15.75" customHeight="1">
      <c r="A952" s="25">
        <f>'VIX HISTORIQUE'!A955</f>
        <v>44644.66667</v>
      </c>
      <c r="B952" s="22">
        <f>'VIX HISTORIQUE'!B955</f>
        <v>4520.16</v>
      </c>
      <c r="C952" s="22">
        <f>'VIX HISTORIQUE'!D955</f>
        <v>21.67</v>
      </c>
      <c r="D952" s="22">
        <f>'VIX HISTORIQUE'!G955</f>
        <v>25.3</v>
      </c>
      <c r="E952" s="22">
        <f>'VIX HISTORIQUE'!I955</f>
        <v>27.48</v>
      </c>
      <c r="F952" s="22">
        <f>'VIX HISTORIQUE'!K955</f>
        <v>28.41</v>
      </c>
    </row>
    <row r="953" ht="15.75" customHeight="1">
      <c r="A953" s="25">
        <f>'VIX HISTORIQUE'!A956</f>
        <v>44645.66667</v>
      </c>
      <c r="B953" s="22">
        <f>'VIX HISTORIQUE'!B956</f>
        <v>4543.06</v>
      </c>
      <c r="C953" s="22">
        <f>'VIX HISTORIQUE'!D956</f>
        <v>20.81</v>
      </c>
      <c r="D953" s="22">
        <f>'VIX HISTORIQUE'!G956</f>
        <v>24.72</v>
      </c>
      <c r="E953" s="22">
        <f>'VIX HISTORIQUE'!I956</f>
        <v>27.02</v>
      </c>
      <c r="F953" s="22">
        <f>'VIX HISTORIQUE'!K956</f>
        <v>28.06</v>
      </c>
    </row>
    <row r="954" ht="15.75" customHeight="1">
      <c r="A954" s="25">
        <f>'VIX HISTORIQUE'!A957</f>
        <v>44648.66667</v>
      </c>
      <c r="B954" s="22">
        <f>'VIX HISTORIQUE'!B957</f>
        <v>4575.52</v>
      </c>
      <c r="C954" s="22">
        <f>'VIX HISTORIQUE'!D957</f>
        <v>19.63</v>
      </c>
      <c r="D954" s="22">
        <f>'VIX HISTORIQUE'!G957</f>
        <v>24.18</v>
      </c>
      <c r="E954" s="22">
        <f>'VIX HISTORIQUE'!I957</f>
        <v>26.6</v>
      </c>
      <c r="F954" s="22">
        <f>'VIX HISTORIQUE'!K957</f>
        <v>28.01</v>
      </c>
    </row>
    <row r="955" ht="15.75" customHeight="1">
      <c r="A955" s="25">
        <f>'VIX HISTORIQUE'!A958</f>
        <v>44649.66667</v>
      </c>
      <c r="B955" s="22">
        <f>'VIX HISTORIQUE'!B958</f>
        <v>4631.6</v>
      </c>
      <c r="C955" s="22">
        <f>'VIX HISTORIQUE'!D958</f>
        <v>18.9</v>
      </c>
      <c r="D955" s="22">
        <f>'VIX HISTORIQUE'!G958</f>
        <v>23.19</v>
      </c>
      <c r="E955" s="22">
        <f>'VIX HISTORIQUE'!I958</f>
        <v>25.87</v>
      </c>
      <c r="F955" s="22">
        <f>'VIX HISTORIQUE'!K958</f>
        <v>27.56</v>
      </c>
    </row>
    <row r="956" ht="15.75" customHeight="1">
      <c r="A956" s="25">
        <f>'VIX HISTORIQUE'!A959</f>
        <v>44650.66667</v>
      </c>
      <c r="B956" s="22">
        <f>'VIX HISTORIQUE'!B959</f>
        <v>4602.45</v>
      </c>
      <c r="C956" s="22">
        <f>'VIX HISTORIQUE'!D959</f>
        <v>19.33</v>
      </c>
      <c r="D956" s="22">
        <f>'VIX HISTORIQUE'!G959</f>
        <v>23.57</v>
      </c>
      <c r="E956" s="22">
        <f>'VIX HISTORIQUE'!I959</f>
        <v>26.18</v>
      </c>
      <c r="F956" s="22">
        <f>'VIX HISTORIQUE'!K959</f>
        <v>27.8</v>
      </c>
    </row>
    <row r="957" ht="15.75" customHeight="1">
      <c r="A957" s="25">
        <f>'VIX HISTORIQUE'!A960</f>
        <v>44651.66667</v>
      </c>
      <c r="B957" s="22">
        <f>'VIX HISTORIQUE'!B960</f>
        <v>4530.41</v>
      </c>
      <c r="C957" s="22">
        <f>'VIX HISTORIQUE'!D960</f>
        <v>20.56</v>
      </c>
      <c r="D957" s="22">
        <f>'VIX HISTORIQUE'!G960</f>
        <v>24.46</v>
      </c>
      <c r="E957" s="22">
        <f>'VIX HISTORIQUE'!I960</f>
        <v>26.79</v>
      </c>
      <c r="F957" s="22">
        <f>'VIX HISTORIQUE'!K960</f>
        <v>28.27</v>
      </c>
    </row>
    <row r="958" ht="15.75" customHeight="1">
      <c r="A958" s="25">
        <f>'VIX HISTORIQUE'!A961</f>
        <v>44652.66667</v>
      </c>
      <c r="B958" s="22">
        <f>'VIX HISTORIQUE'!B961</f>
        <v>4545.86</v>
      </c>
      <c r="C958" s="22">
        <f>'VIX HISTORIQUE'!D961</f>
        <v>19.63</v>
      </c>
      <c r="D958" s="22">
        <f>'VIX HISTORIQUE'!G961</f>
        <v>24.21</v>
      </c>
      <c r="E958" s="22">
        <f>'VIX HISTORIQUE'!I961</f>
        <v>26.75</v>
      </c>
      <c r="F958" s="22">
        <f>'VIX HISTORIQUE'!K961</f>
        <v>28.14</v>
      </c>
    </row>
    <row r="959" ht="15.75" customHeight="1">
      <c r="A959" s="25">
        <f>'VIX HISTORIQUE'!A962</f>
        <v>44655.66667</v>
      </c>
      <c r="B959" s="22">
        <f>'VIX HISTORIQUE'!B962</f>
        <v>4582.64</v>
      </c>
      <c r="C959" s="22">
        <f>'VIX HISTORIQUE'!D962</f>
        <v>18.57</v>
      </c>
      <c r="D959" s="22">
        <f>'VIX HISTORIQUE'!G962</f>
        <v>23.03</v>
      </c>
      <c r="E959" s="22">
        <f>'VIX HISTORIQUE'!I962</f>
        <v>25.79</v>
      </c>
      <c r="F959" s="22">
        <f>'VIX HISTORIQUE'!K962</f>
        <v>27.6</v>
      </c>
    </row>
    <row r="960" ht="15.75" customHeight="1">
      <c r="A960" s="25">
        <f>'VIX HISTORIQUE'!A963</f>
        <v>44656.66667</v>
      </c>
      <c r="B960" s="22">
        <f>'VIX HISTORIQUE'!B963</f>
        <v>4525.12</v>
      </c>
      <c r="C960" s="22">
        <f>'VIX HISTORIQUE'!D963</f>
        <v>21.03</v>
      </c>
      <c r="D960" s="22">
        <f>'VIX HISTORIQUE'!G963</f>
        <v>24.9</v>
      </c>
      <c r="E960" s="22">
        <f>'VIX HISTORIQUE'!I963</f>
        <v>27.28</v>
      </c>
      <c r="F960" s="22">
        <f>'VIX HISTORIQUE'!K963</f>
        <v>28.51</v>
      </c>
    </row>
    <row r="961" ht="15.75" customHeight="1">
      <c r="A961" s="25">
        <f>'VIX HISTORIQUE'!A964</f>
        <v>44657.66667</v>
      </c>
      <c r="B961" s="22">
        <f>'VIX HISTORIQUE'!B964</f>
        <v>4481.15</v>
      </c>
      <c r="C961" s="22">
        <f>'VIX HISTORIQUE'!D964</f>
        <v>22.1</v>
      </c>
      <c r="D961" s="22">
        <f>'VIX HISTORIQUE'!G964</f>
        <v>25.8</v>
      </c>
      <c r="E961" s="22">
        <f>'VIX HISTORIQUE'!I964</f>
        <v>27.84</v>
      </c>
      <c r="F961" s="22">
        <f>'VIX HISTORIQUE'!K964</f>
        <v>28.92</v>
      </c>
    </row>
    <row r="962" ht="15.75" customHeight="1">
      <c r="A962" s="25">
        <f>'VIX HISTORIQUE'!A965</f>
        <v>44658.66667</v>
      </c>
      <c r="B962" s="22">
        <f>'VIX HISTORIQUE'!B965</f>
        <v>4500.21</v>
      </c>
      <c r="C962" s="22">
        <f>'VIX HISTORIQUE'!D965</f>
        <v>21.55</v>
      </c>
      <c r="D962" s="22">
        <f>'VIX HISTORIQUE'!G965</f>
        <v>25.23</v>
      </c>
      <c r="E962" s="22">
        <f>'VIX HISTORIQUE'!I965</f>
        <v>27.52</v>
      </c>
      <c r="F962" s="22">
        <f>'VIX HISTORIQUE'!K965</f>
        <v>28.61</v>
      </c>
    </row>
    <row r="963" ht="15.75" customHeight="1">
      <c r="A963" s="25">
        <f>'VIX HISTORIQUE'!A966</f>
        <v>44659.66667</v>
      </c>
      <c r="B963" s="22">
        <f>'VIX HISTORIQUE'!B966</f>
        <v>4488.28</v>
      </c>
      <c r="C963" s="22">
        <f>'VIX HISTORIQUE'!D966</f>
        <v>21.16</v>
      </c>
      <c r="D963" s="22">
        <f>'VIX HISTORIQUE'!G966</f>
        <v>25.17</v>
      </c>
      <c r="E963" s="22">
        <f>'VIX HISTORIQUE'!I966</f>
        <v>27.52</v>
      </c>
      <c r="F963" s="22">
        <f>'VIX HISTORIQUE'!K966</f>
        <v>28.63</v>
      </c>
    </row>
    <row r="964" ht="15.75" customHeight="1">
      <c r="A964" s="25">
        <f>'VIX HISTORIQUE'!A967</f>
        <v>44662.66667</v>
      </c>
      <c r="B964" s="22">
        <f>'VIX HISTORIQUE'!B967</f>
        <v>4412.53</v>
      </c>
      <c r="C964" s="22">
        <f>'VIX HISTORIQUE'!D967</f>
        <v>24.37</v>
      </c>
      <c r="D964" s="22">
        <f>'VIX HISTORIQUE'!G967</f>
        <v>27</v>
      </c>
      <c r="E964" s="22">
        <f>'VIX HISTORIQUE'!I967</f>
        <v>28.72</v>
      </c>
      <c r="F964" s="22">
        <f>'VIX HISTORIQUE'!K967</f>
        <v>29.37</v>
      </c>
    </row>
    <row r="965" ht="15.75" customHeight="1">
      <c r="A965" s="25">
        <f>'VIX HISTORIQUE'!A968</f>
        <v>44663.66667</v>
      </c>
      <c r="B965" s="22">
        <f>'VIX HISTORIQUE'!B968</f>
        <v>4397.45</v>
      </c>
      <c r="C965" s="22">
        <f>'VIX HISTORIQUE'!D968</f>
        <v>24.26</v>
      </c>
      <c r="D965" s="22">
        <f>'VIX HISTORIQUE'!G968</f>
        <v>27.17</v>
      </c>
      <c r="E965" s="22">
        <f>'VIX HISTORIQUE'!I968</f>
        <v>28.88</v>
      </c>
      <c r="F965" s="22">
        <f>'VIX HISTORIQUE'!K968</f>
        <v>29.55</v>
      </c>
    </row>
    <row r="966" ht="15.75" customHeight="1">
      <c r="A966" s="25">
        <f>'VIX HISTORIQUE'!A969</f>
        <v>44664.66667</v>
      </c>
      <c r="B966" s="22">
        <f>'VIX HISTORIQUE'!B969</f>
        <v>4446.59</v>
      </c>
      <c r="C966" s="22">
        <f>'VIX HISTORIQUE'!D969</f>
        <v>21.82</v>
      </c>
      <c r="D966" s="22">
        <f>'VIX HISTORIQUE'!G969</f>
        <v>25.54</v>
      </c>
      <c r="E966" s="22">
        <f>'VIX HISTORIQUE'!I969</f>
        <v>27.87</v>
      </c>
      <c r="F966" s="22">
        <f>'VIX HISTORIQUE'!K969</f>
        <v>28.8</v>
      </c>
    </row>
    <row r="967" ht="15.75" customHeight="1">
      <c r="A967" s="25">
        <f>'VIX HISTORIQUE'!A970</f>
        <v>44665.66667</v>
      </c>
      <c r="B967" s="22">
        <f>'VIX HISTORIQUE'!B970</f>
        <v>4392.59</v>
      </c>
      <c r="C967" s="22">
        <f>'VIX HISTORIQUE'!D970</f>
        <v>22.7</v>
      </c>
      <c r="D967" s="22">
        <f>'VIX HISTORIQUE'!G970</f>
        <v>26.03</v>
      </c>
      <c r="E967" s="22">
        <f>'VIX HISTORIQUE'!I970</f>
        <v>28.26</v>
      </c>
      <c r="F967" s="22">
        <f>'VIX HISTORIQUE'!K970</f>
        <v>29.27</v>
      </c>
    </row>
    <row r="968" ht="15.75" customHeight="1">
      <c r="A968" s="25">
        <f>'VIX HISTORIQUE'!A971</f>
        <v>44669.66667</v>
      </c>
      <c r="B968" s="22">
        <f>'VIX HISTORIQUE'!B971</f>
        <v>4391.69</v>
      </c>
      <c r="C968" s="22">
        <f>'VIX HISTORIQUE'!D971</f>
        <v>22.17</v>
      </c>
      <c r="D968" s="22">
        <f>'VIX HISTORIQUE'!G971</f>
        <v>25.75</v>
      </c>
      <c r="E968" s="22">
        <f>'VIX HISTORIQUE'!I971</f>
        <v>27.87</v>
      </c>
      <c r="F968" s="22">
        <f>'VIX HISTORIQUE'!K971</f>
        <v>29.09</v>
      </c>
    </row>
    <row r="969" ht="15.75" customHeight="1">
      <c r="A969" s="25">
        <f>'VIX HISTORIQUE'!A972</f>
        <v>44670.66667</v>
      </c>
      <c r="B969" s="22">
        <f>'VIX HISTORIQUE'!B972</f>
        <v>4462.21</v>
      </c>
      <c r="C969" s="22">
        <f>'VIX HISTORIQUE'!D972</f>
        <v>21.37</v>
      </c>
      <c r="D969" s="22">
        <f>'VIX HISTORIQUE'!G972</f>
        <v>25.06</v>
      </c>
      <c r="E969" s="22">
        <f>'VIX HISTORIQUE'!I972</f>
        <v>27.34</v>
      </c>
      <c r="F969" s="22">
        <f>'VIX HISTORIQUE'!K972</f>
        <v>28.68</v>
      </c>
    </row>
    <row r="970" ht="15.75" customHeight="1">
      <c r="A970" s="25">
        <f>'VIX HISTORIQUE'!A973</f>
        <v>44671.66667</v>
      </c>
      <c r="B970" s="22">
        <f>'VIX HISTORIQUE'!B973</f>
        <v>4459.45</v>
      </c>
      <c r="C970" s="22">
        <f>'VIX HISTORIQUE'!D973</f>
        <v>20.32</v>
      </c>
      <c r="D970" s="22">
        <f>'VIX HISTORIQUE'!G973</f>
        <v>24.15</v>
      </c>
      <c r="E970" s="22">
        <f>'VIX HISTORIQUE'!I973</f>
        <v>26.83</v>
      </c>
      <c r="F970" s="22">
        <f>'VIX HISTORIQUE'!K973</f>
        <v>28.23</v>
      </c>
    </row>
    <row r="971" ht="15.75" customHeight="1">
      <c r="A971" s="25">
        <f>'VIX HISTORIQUE'!A974</f>
        <v>44672.66667</v>
      </c>
      <c r="B971" s="22">
        <f>'VIX HISTORIQUE'!B974</f>
        <v>4393.66</v>
      </c>
      <c r="C971" s="22">
        <f>'VIX HISTORIQUE'!D974</f>
        <v>22.68</v>
      </c>
      <c r="D971" s="22">
        <f>'VIX HISTORIQUE'!G974</f>
        <v>26.11</v>
      </c>
      <c r="E971" s="22">
        <f>'VIX HISTORIQUE'!I974</f>
        <v>28.21</v>
      </c>
      <c r="F971" s="22">
        <f>'VIX HISTORIQUE'!K974</f>
        <v>29.22</v>
      </c>
    </row>
    <row r="972" ht="15.75" customHeight="1">
      <c r="A972" s="25">
        <f>'VIX HISTORIQUE'!A975</f>
        <v>44673.66667</v>
      </c>
      <c r="B972" s="22">
        <f>'VIX HISTORIQUE'!B975</f>
        <v>4271.78</v>
      </c>
      <c r="C972" s="22">
        <f>'VIX HISTORIQUE'!D975</f>
        <v>28.21</v>
      </c>
      <c r="D972" s="22">
        <f>'VIX HISTORIQUE'!G975</f>
        <v>29.87</v>
      </c>
      <c r="E972" s="22">
        <f>'VIX HISTORIQUE'!I975</f>
        <v>30.77</v>
      </c>
      <c r="F972" s="22">
        <f>'VIX HISTORIQUE'!K975</f>
        <v>30.8</v>
      </c>
    </row>
    <row r="973" ht="15.75" customHeight="1">
      <c r="A973" s="25">
        <f>'VIX HISTORIQUE'!A976</f>
        <v>44676.66667</v>
      </c>
      <c r="B973" s="22">
        <f>'VIX HISTORIQUE'!B976</f>
        <v>4296.12</v>
      </c>
      <c r="C973" s="22">
        <f>'VIX HISTORIQUE'!D976</f>
        <v>27.02</v>
      </c>
      <c r="D973" s="22">
        <f>'VIX HISTORIQUE'!G976</f>
        <v>29.07</v>
      </c>
      <c r="E973" s="22">
        <f>'VIX HISTORIQUE'!I976</f>
        <v>30.12</v>
      </c>
      <c r="F973" s="22">
        <f>'VIX HISTORIQUE'!K976</f>
        <v>30.29</v>
      </c>
    </row>
    <row r="974" ht="15.75" customHeight="1">
      <c r="A974" s="25">
        <f>'VIX HISTORIQUE'!A977</f>
        <v>44677.66667</v>
      </c>
      <c r="B974" s="22">
        <f>'VIX HISTORIQUE'!B977</f>
        <v>4175.2</v>
      </c>
      <c r="C974" s="22">
        <f>'VIX HISTORIQUE'!D977</f>
        <v>33.52</v>
      </c>
      <c r="D974" s="22">
        <f>'VIX HISTORIQUE'!G977</f>
        <v>33.14</v>
      </c>
      <c r="E974" s="22">
        <f>'VIX HISTORIQUE'!I977</f>
        <v>32.87</v>
      </c>
      <c r="F974" s="22">
        <f>'VIX HISTORIQUE'!K977</f>
        <v>32.03</v>
      </c>
    </row>
    <row r="975" ht="15.75" customHeight="1">
      <c r="A975" s="25">
        <f>'VIX HISTORIQUE'!A978</f>
        <v>44678.66667</v>
      </c>
      <c r="B975" s="22">
        <f>'VIX HISTORIQUE'!B978</f>
        <v>4183.96</v>
      </c>
      <c r="C975" s="22">
        <f>'VIX HISTORIQUE'!D978</f>
        <v>31.6</v>
      </c>
      <c r="D975" s="22">
        <f>'VIX HISTORIQUE'!G978</f>
        <v>32.2</v>
      </c>
      <c r="E975" s="22">
        <f>'VIX HISTORIQUE'!I978</f>
        <v>32.32</v>
      </c>
      <c r="F975" s="22">
        <f>'VIX HISTORIQUE'!K978</f>
        <v>31.65</v>
      </c>
    </row>
    <row r="976" ht="15.75" customHeight="1">
      <c r="A976" s="25">
        <f>'VIX HISTORIQUE'!A979</f>
        <v>44679.66667</v>
      </c>
      <c r="B976" s="22">
        <f>'VIX HISTORIQUE'!B979</f>
        <v>4287.5</v>
      </c>
      <c r="C976" s="22">
        <f>'VIX HISTORIQUE'!D979</f>
        <v>29.99</v>
      </c>
      <c r="D976" s="22">
        <f>'VIX HISTORIQUE'!G979</f>
        <v>31.15</v>
      </c>
      <c r="E976" s="22">
        <f>'VIX HISTORIQUE'!I979</f>
        <v>31.65</v>
      </c>
      <c r="F976" s="22">
        <f>'VIX HISTORIQUE'!K979</f>
        <v>31.11</v>
      </c>
    </row>
    <row r="977" ht="15.75" customHeight="1">
      <c r="A977" s="25">
        <f>'VIX HISTORIQUE'!A980</f>
        <v>44680.66667</v>
      </c>
      <c r="B977" s="22">
        <f>'VIX HISTORIQUE'!B980</f>
        <v>4131.93</v>
      </c>
      <c r="C977" s="22">
        <f>'VIX HISTORIQUE'!D980</f>
        <v>33.4</v>
      </c>
      <c r="D977" s="22">
        <f>'VIX HISTORIQUE'!G980</f>
        <v>33.18</v>
      </c>
      <c r="E977" s="22">
        <f>'VIX HISTORIQUE'!I980</f>
        <v>33.02</v>
      </c>
      <c r="F977" s="22">
        <f>'VIX HISTORIQUE'!K980</f>
        <v>31.72</v>
      </c>
    </row>
    <row r="978" ht="15.75" customHeight="1">
      <c r="A978" s="25">
        <f>'VIX HISTORIQUE'!A981</f>
        <v>44683.66667</v>
      </c>
      <c r="B978" s="22">
        <f>'VIX HISTORIQUE'!B981</f>
        <v>4155.38</v>
      </c>
      <c r="C978" s="22">
        <f>'VIX HISTORIQUE'!D981</f>
        <v>32.34</v>
      </c>
      <c r="D978" s="22">
        <f>'VIX HISTORIQUE'!G981</f>
        <v>33.01</v>
      </c>
      <c r="E978" s="22">
        <f>'VIX HISTORIQUE'!I981</f>
        <v>33.03</v>
      </c>
      <c r="F978" s="22">
        <f>'VIX HISTORIQUE'!K981</f>
        <v>31.71</v>
      </c>
    </row>
    <row r="979" ht="15.75" customHeight="1">
      <c r="A979" s="25">
        <f>'VIX HISTORIQUE'!A982</f>
        <v>44684.66667</v>
      </c>
      <c r="B979" s="22">
        <f>'VIX HISTORIQUE'!B982</f>
        <v>4175.48</v>
      </c>
      <c r="C979" s="22">
        <f>'VIX HISTORIQUE'!D982</f>
        <v>29.25</v>
      </c>
      <c r="D979" s="22">
        <f>'VIX HISTORIQUE'!G982</f>
        <v>30.81</v>
      </c>
      <c r="E979" s="22">
        <f>'VIX HISTORIQUE'!I982</f>
        <v>31.31</v>
      </c>
      <c r="F979" s="22">
        <f>'VIX HISTORIQUE'!K982</f>
        <v>30.75</v>
      </c>
    </row>
    <row r="980" ht="15.75" customHeight="1">
      <c r="A980" s="25">
        <f>'VIX HISTORIQUE'!A983</f>
        <v>44685.66667</v>
      </c>
      <c r="B980" s="22">
        <f>'VIX HISTORIQUE'!B983</f>
        <v>4300.17</v>
      </c>
      <c r="C980" s="22">
        <f>'VIX HISTORIQUE'!D983</f>
        <v>25.42</v>
      </c>
      <c r="D980" s="22">
        <f>'VIX HISTORIQUE'!G983</f>
        <v>28.09</v>
      </c>
      <c r="E980" s="22">
        <f>'VIX HISTORIQUE'!I983</f>
        <v>29.23</v>
      </c>
      <c r="F980" s="22">
        <f>'VIX HISTORIQUE'!K983</f>
        <v>29.52</v>
      </c>
    </row>
    <row r="981" ht="15.75" customHeight="1">
      <c r="A981" s="25">
        <f>'VIX HISTORIQUE'!A984</f>
        <v>44686.66667</v>
      </c>
      <c r="B981" s="22">
        <f>'VIX HISTORIQUE'!B984</f>
        <v>4146.87</v>
      </c>
      <c r="C981" s="22">
        <f>'VIX HISTORIQUE'!D984</f>
        <v>31.2</v>
      </c>
      <c r="D981" s="22">
        <f>'VIX HISTORIQUE'!G984</f>
        <v>32.68</v>
      </c>
      <c r="E981" s="22">
        <f>'VIX HISTORIQUE'!I984</f>
        <v>32.73</v>
      </c>
      <c r="F981" s="22">
        <f>'VIX HISTORIQUE'!K984</f>
        <v>31.63</v>
      </c>
    </row>
    <row r="982" ht="15.75" customHeight="1">
      <c r="A982" s="25">
        <f>'VIX HISTORIQUE'!A985</f>
        <v>44687.66667</v>
      </c>
      <c r="B982" s="22">
        <f>'VIX HISTORIQUE'!B985</f>
        <v>4123.34</v>
      </c>
      <c r="C982" s="22">
        <f>'VIX HISTORIQUE'!D985</f>
        <v>30.19</v>
      </c>
      <c r="D982" s="22">
        <f>'VIX HISTORIQUE'!G985</f>
        <v>32.31</v>
      </c>
      <c r="E982" s="22">
        <f>'VIX HISTORIQUE'!I985</f>
        <v>32.58</v>
      </c>
      <c r="F982" s="22">
        <f>'VIX HISTORIQUE'!K985</f>
        <v>31.96</v>
      </c>
    </row>
    <row r="983" ht="15.75" customHeight="1">
      <c r="A983" s="25">
        <f>'VIX HISTORIQUE'!A986</f>
        <v>44690.66667</v>
      </c>
      <c r="B983" s="22">
        <f>'VIX HISTORIQUE'!B986</f>
        <v>3991.24</v>
      </c>
      <c r="C983" s="22">
        <f>'VIX HISTORIQUE'!D986</f>
        <v>34.75</v>
      </c>
      <c r="D983" s="22">
        <f>'VIX HISTORIQUE'!G986</f>
        <v>35.05</v>
      </c>
      <c r="E983" s="22">
        <f>'VIX HISTORIQUE'!I986</f>
        <v>34.42</v>
      </c>
      <c r="F983" s="22">
        <f>'VIX HISTORIQUE'!K986</f>
        <v>33.13</v>
      </c>
    </row>
    <row r="984" ht="15.75" customHeight="1">
      <c r="A984" s="25">
        <f>'VIX HISTORIQUE'!A987</f>
        <v>44691.66667</v>
      </c>
      <c r="B984" s="22">
        <f>'VIX HISTORIQUE'!B987</f>
        <v>4001.05</v>
      </c>
      <c r="C984" s="22">
        <f>'VIX HISTORIQUE'!D987</f>
        <v>32.99</v>
      </c>
      <c r="D984" s="22">
        <f>'VIX HISTORIQUE'!G987</f>
        <v>33.97</v>
      </c>
      <c r="E984" s="22">
        <f>'VIX HISTORIQUE'!I987</f>
        <v>33.67</v>
      </c>
      <c r="F984" s="22">
        <f>'VIX HISTORIQUE'!K987</f>
        <v>32.52</v>
      </c>
    </row>
    <row r="985" ht="15.75" customHeight="1">
      <c r="A985" s="25">
        <f>'VIX HISTORIQUE'!A988</f>
        <v>44692.66667</v>
      </c>
      <c r="B985" s="22">
        <f>'VIX HISTORIQUE'!B988</f>
        <v>3935.18</v>
      </c>
      <c r="C985" s="22">
        <f>'VIX HISTORIQUE'!D988</f>
        <v>32.56</v>
      </c>
      <c r="D985" s="22">
        <f>'VIX HISTORIQUE'!G988</f>
        <v>33.63</v>
      </c>
      <c r="E985" s="22">
        <f>'VIX HISTORIQUE'!I988</f>
        <v>33.53</v>
      </c>
      <c r="F985" s="22">
        <f>'VIX HISTORIQUE'!K988</f>
        <v>32.63</v>
      </c>
    </row>
    <row r="986" ht="15.75" customHeight="1">
      <c r="A986" s="25">
        <f>'VIX HISTORIQUE'!A989</f>
        <v>44693.66667</v>
      </c>
      <c r="B986" s="22">
        <f>'VIX HISTORIQUE'!B989</f>
        <v>3930.08</v>
      </c>
      <c r="C986" s="22">
        <f>'VIX HISTORIQUE'!D989</f>
        <v>31.77</v>
      </c>
      <c r="D986" s="22">
        <f>'VIX HISTORIQUE'!G989</f>
        <v>33.08</v>
      </c>
      <c r="E986" s="22">
        <f>'VIX HISTORIQUE'!I989</f>
        <v>33.45</v>
      </c>
      <c r="F986" s="22">
        <f>'VIX HISTORIQUE'!K989</f>
        <v>32.15</v>
      </c>
    </row>
    <row r="987" ht="15.75" customHeight="1">
      <c r="A987" s="25">
        <f>'VIX HISTORIQUE'!A990</f>
        <v>44694.66667</v>
      </c>
      <c r="B987" s="22">
        <f>'VIX HISTORIQUE'!B990</f>
        <v>4023.89</v>
      </c>
      <c r="C987" s="22">
        <f>'VIX HISTORIQUE'!D990</f>
        <v>28.87</v>
      </c>
      <c r="D987" s="22">
        <f>'VIX HISTORIQUE'!G990</f>
        <v>30.7</v>
      </c>
      <c r="E987" s="22">
        <f>'VIX HISTORIQUE'!I990</f>
        <v>31.58</v>
      </c>
      <c r="F987" s="22">
        <f>'VIX HISTORIQUE'!K990</f>
        <v>31.45</v>
      </c>
    </row>
    <row r="988" ht="15.75" customHeight="1">
      <c r="A988" s="25">
        <f>'VIX HISTORIQUE'!A991</f>
        <v>44697.66667</v>
      </c>
      <c r="B988" s="22">
        <f>'VIX HISTORIQUE'!B991</f>
        <v>4008.01</v>
      </c>
      <c r="C988" s="22">
        <f>'VIX HISTORIQUE'!D991</f>
        <v>27.47</v>
      </c>
      <c r="D988" s="22">
        <f>'VIX HISTORIQUE'!G991</f>
        <v>29.51</v>
      </c>
      <c r="E988" s="22">
        <f>'VIX HISTORIQUE'!I991</f>
        <v>31.03</v>
      </c>
      <c r="F988" s="22">
        <f>'VIX HISTORIQUE'!K991</f>
        <v>31.06</v>
      </c>
    </row>
    <row r="989" ht="15.75" customHeight="1">
      <c r="A989" s="25">
        <f>'VIX HISTORIQUE'!A992</f>
        <v>44698.66667</v>
      </c>
      <c r="B989" s="22">
        <f>'VIX HISTORIQUE'!B992</f>
        <v>4088.85</v>
      </c>
      <c r="C989" s="22">
        <f>'VIX HISTORIQUE'!D992</f>
        <v>26.1</v>
      </c>
      <c r="D989" s="22">
        <f>'VIX HISTORIQUE'!G992</f>
        <v>28.37</v>
      </c>
      <c r="E989" s="22">
        <f>'VIX HISTORIQUE'!I992</f>
        <v>30.29</v>
      </c>
      <c r="F989" s="22">
        <f>'VIX HISTORIQUE'!K992</f>
        <v>30.46</v>
      </c>
    </row>
    <row r="990" ht="15.75" customHeight="1">
      <c r="A990" s="25">
        <f>'VIX HISTORIQUE'!A993</f>
        <v>44699.66667</v>
      </c>
      <c r="B990" s="22">
        <f>'VIX HISTORIQUE'!B993</f>
        <v>3923.68</v>
      </c>
      <c r="C990" s="22">
        <f>'VIX HISTORIQUE'!D993</f>
        <v>30.96</v>
      </c>
      <c r="D990" s="22">
        <f>'VIX HISTORIQUE'!G993</f>
        <v>32.8</v>
      </c>
      <c r="E990" s="22">
        <f>'VIX HISTORIQUE'!I993</f>
        <v>33.64</v>
      </c>
      <c r="F990" s="22">
        <f>'VIX HISTORIQUE'!K993</f>
        <v>32.8</v>
      </c>
    </row>
    <row r="991" ht="15.75" customHeight="1">
      <c r="A991" s="25">
        <f>'VIX HISTORIQUE'!A994</f>
        <v>44700.66667</v>
      </c>
      <c r="B991" s="22">
        <f>'VIX HISTORIQUE'!B994</f>
        <v>3900.79</v>
      </c>
      <c r="C991" s="22">
        <f>'VIX HISTORIQUE'!D994</f>
        <v>29.35</v>
      </c>
      <c r="D991" s="22">
        <f>'VIX HISTORIQUE'!G994</f>
        <v>30.79</v>
      </c>
      <c r="E991" s="22">
        <f>'VIX HISTORIQUE'!I994</f>
        <v>32</v>
      </c>
      <c r="F991" s="22">
        <f>'VIX HISTORIQUE'!K994</f>
        <v>31.98</v>
      </c>
    </row>
    <row r="992" ht="15.75" customHeight="1">
      <c r="A992" s="25">
        <f>'VIX HISTORIQUE'!A995</f>
        <v>44701.66667</v>
      </c>
      <c r="B992" s="22">
        <f>'VIX HISTORIQUE'!B995</f>
        <v>3901.36</v>
      </c>
      <c r="C992" s="22">
        <f>'VIX HISTORIQUE'!D995</f>
        <v>29.43</v>
      </c>
      <c r="D992" s="22">
        <f>'VIX HISTORIQUE'!G995</f>
        <v>31.14</v>
      </c>
      <c r="E992" s="22">
        <f>'VIX HISTORIQUE'!I995</f>
        <v>32.21</v>
      </c>
      <c r="F992" s="22">
        <f>'VIX HISTORIQUE'!K995</f>
        <v>31.99</v>
      </c>
    </row>
    <row r="993" ht="15.75" customHeight="1">
      <c r="A993" s="25">
        <f>'VIX HISTORIQUE'!A996</f>
        <v>44704.66667</v>
      </c>
      <c r="B993" s="22">
        <f>'VIX HISTORIQUE'!B996</f>
        <v>3973.75</v>
      </c>
      <c r="C993" s="22">
        <f>'VIX HISTORIQUE'!D996</f>
        <v>28.48</v>
      </c>
      <c r="D993" s="22">
        <f>'VIX HISTORIQUE'!G996</f>
        <v>30.29</v>
      </c>
      <c r="E993" s="22">
        <f>'VIX HISTORIQUE'!I996</f>
        <v>31.61</v>
      </c>
      <c r="F993" s="22">
        <f>'VIX HISTORIQUE'!K996</f>
        <v>31.61</v>
      </c>
    </row>
    <row r="994" ht="15.75" customHeight="1">
      <c r="A994" s="25">
        <f>'VIX HISTORIQUE'!A997</f>
        <v>44705.66667</v>
      </c>
      <c r="B994" s="22">
        <f>'VIX HISTORIQUE'!B997</f>
        <v>3941.48</v>
      </c>
      <c r="C994" s="22">
        <f>'VIX HISTORIQUE'!D997</f>
        <v>29.45</v>
      </c>
      <c r="D994" s="22">
        <f>'VIX HISTORIQUE'!G997</f>
        <v>30.74</v>
      </c>
      <c r="E994" s="22">
        <f>'VIX HISTORIQUE'!I997</f>
        <v>31.98</v>
      </c>
      <c r="F994" s="22">
        <f>'VIX HISTORIQUE'!K997</f>
        <v>31.72</v>
      </c>
    </row>
    <row r="995" ht="15.75" customHeight="1">
      <c r="A995" s="25">
        <f>'VIX HISTORIQUE'!A998</f>
        <v>44706.66667</v>
      </c>
      <c r="B995" s="22">
        <f>'VIX HISTORIQUE'!B998</f>
        <v>3978.73</v>
      </c>
      <c r="C995" s="22">
        <f>'VIX HISTORIQUE'!D998</f>
        <v>28.37</v>
      </c>
      <c r="D995" s="22">
        <f>'VIX HISTORIQUE'!G998</f>
        <v>29.73</v>
      </c>
      <c r="E995" s="22">
        <f>'VIX HISTORIQUE'!I998</f>
        <v>31.12</v>
      </c>
      <c r="F995" s="22">
        <f>'VIX HISTORIQUE'!K998</f>
        <v>31.25</v>
      </c>
    </row>
    <row r="996" ht="15.75" customHeight="1">
      <c r="A996" s="25">
        <f>'VIX HISTORIQUE'!A999</f>
        <v>44707.66667</v>
      </c>
      <c r="B996" s="22">
        <f>'VIX HISTORIQUE'!B999</f>
        <v>4057.84</v>
      </c>
      <c r="C996" s="22">
        <f>'VIX HISTORIQUE'!D999</f>
        <v>27.5</v>
      </c>
      <c r="D996" s="22">
        <f>'VIX HISTORIQUE'!G999</f>
        <v>29.28</v>
      </c>
      <c r="E996" s="22">
        <f>'VIX HISTORIQUE'!I999</f>
        <v>30.83</v>
      </c>
      <c r="F996" s="22">
        <f>'VIX HISTORIQUE'!K999</f>
        <v>30.87</v>
      </c>
    </row>
    <row r="997" ht="15.75" customHeight="1">
      <c r="A997" s="25">
        <f>'VIX HISTORIQUE'!A1000</f>
        <v>44708.66667</v>
      </c>
      <c r="B997" s="22">
        <f>'VIX HISTORIQUE'!B1000</f>
        <v>4158.24</v>
      </c>
      <c r="C997" s="22">
        <f>'VIX HISTORIQUE'!D1000</f>
        <v>25.72</v>
      </c>
      <c r="D997" s="22">
        <f>'VIX HISTORIQUE'!G1000</f>
        <v>28.02</v>
      </c>
      <c r="E997" s="22">
        <f>'VIX HISTORIQUE'!I1000</f>
        <v>29.86</v>
      </c>
      <c r="F997" s="22">
        <f>'VIX HISTORIQUE'!K1000</f>
        <v>30.21</v>
      </c>
    </row>
    <row r="998" ht="15.75" customHeight="1">
      <c r="A998" s="25">
        <f>'VIX HISTORIQUE'!A1001</f>
        <v>44712.66667</v>
      </c>
      <c r="B998" s="22">
        <f>'VIX HISTORIQUE'!B1001</f>
        <v>4132.15</v>
      </c>
      <c r="C998" s="22">
        <f>'VIX HISTORIQUE'!D1001</f>
        <v>26.19</v>
      </c>
      <c r="D998" s="22">
        <f>'VIX HISTORIQUE'!G1001</f>
        <v>27.99</v>
      </c>
      <c r="E998" s="22">
        <f>'VIX HISTORIQUE'!I1001</f>
        <v>29.8</v>
      </c>
      <c r="F998" s="22">
        <f>'VIX HISTORIQUE'!K1001</f>
        <v>30.3</v>
      </c>
    </row>
    <row r="999" ht="15.75" customHeight="1">
      <c r="A999" s="25">
        <f>'VIX HISTORIQUE'!A1002</f>
        <v>44713.66667</v>
      </c>
      <c r="B999" s="22">
        <f>'VIX HISTORIQUE'!B1002</f>
        <v>4101.23</v>
      </c>
      <c r="C999" s="22">
        <f>'VIX HISTORIQUE'!D1002</f>
        <v>25.69</v>
      </c>
      <c r="D999" s="22">
        <f>'VIX HISTORIQUE'!G1002</f>
        <v>27.72</v>
      </c>
      <c r="E999" s="22">
        <f>'VIX HISTORIQUE'!I1002</f>
        <v>29.47</v>
      </c>
      <c r="F999" s="22">
        <f>'VIX HISTORIQUE'!K1002</f>
        <v>30.09</v>
      </c>
    </row>
    <row r="1000" ht="15.75" customHeight="1">
      <c r="A1000" s="25">
        <f>'VIX HISTORIQUE'!A1003</f>
        <v>44714.66667</v>
      </c>
      <c r="B1000" s="22">
        <f>'VIX HISTORIQUE'!B1003</f>
        <v>4176.82</v>
      </c>
      <c r="C1000" s="22">
        <f>'VIX HISTORIQUE'!D1003</f>
        <v>24.72</v>
      </c>
      <c r="D1000" s="22">
        <f>'VIX HISTORIQUE'!G1003</f>
        <v>27.06</v>
      </c>
      <c r="E1000" s="22">
        <f>'VIX HISTORIQUE'!I1003</f>
        <v>28.92</v>
      </c>
      <c r="F1000" s="22">
        <f>'VIX HISTORIQUE'!K1003</f>
        <v>29.43</v>
      </c>
    </row>
    <row r="1001" ht="15.75" customHeight="1">
      <c r="A1001" s="25">
        <f>'VIX HISTORIQUE'!A1004</f>
        <v>44715.66667</v>
      </c>
      <c r="B1001" s="22">
        <f>'VIX HISTORIQUE'!B1004</f>
        <v>4108.54</v>
      </c>
      <c r="C1001" s="22">
        <f>'VIX HISTORIQUE'!D1004</f>
        <v>24.79</v>
      </c>
      <c r="D1001" s="22">
        <f>'VIX HISTORIQUE'!G1004</f>
        <v>27.33</v>
      </c>
      <c r="E1001" s="22">
        <f>'VIX HISTORIQUE'!I1004</f>
        <v>29.15</v>
      </c>
      <c r="F1001" s="22">
        <f>'VIX HISTORIQUE'!K1004</f>
        <v>29.82</v>
      </c>
    </row>
    <row r="1002" ht="15.75" customHeight="1">
      <c r="A1002" s="25">
        <f>'VIX HISTORIQUE'!A1005</f>
        <v>44718.66667</v>
      </c>
      <c r="B1002" s="22">
        <f>'VIX HISTORIQUE'!B1005</f>
        <v>4121.43</v>
      </c>
      <c r="C1002" s="22">
        <f>'VIX HISTORIQUE'!D1005</f>
        <v>25.07</v>
      </c>
      <c r="D1002" s="22">
        <f>'VIX HISTORIQUE'!G1005</f>
        <v>27.22</v>
      </c>
      <c r="E1002" s="22">
        <f>'VIX HISTORIQUE'!I1005</f>
        <v>29.1</v>
      </c>
      <c r="F1002" s="22">
        <f>'VIX HISTORIQUE'!K1005</f>
        <v>29.91</v>
      </c>
    </row>
    <row r="1003" ht="15.75" customHeight="1">
      <c r="A1003" s="25">
        <f>'VIX HISTORIQUE'!A1006</f>
        <v>44719.66667</v>
      </c>
      <c r="B1003" s="22">
        <f>'VIX HISTORIQUE'!B1006</f>
        <v>4160.68</v>
      </c>
      <c r="C1003" s="22">
        <f>'VIX HISTORIQUE'!D1006</f>
        <v>24.02</v>
      </c>
      <c r="D1003" s="22">
        <f>'VIX HISTORIQUE'!G1006</f>
        <v>26.52</v>
      </c>
      <c r="E1003" s="22">
        <f>'VIX HISTORIQUE'!I1006</f>
        <v>28.56</v>
      </c>
      <c r="F1003" s="22">
        <f>'VIX HISTORIQUE'!K1006</f>
        <v>29.53</v>
      </c>
    </row>
    <row r="1004" ht="15.75" customHeight="1">
      <c r="A1004" s="25">
        <f>'VIX HISTORIQUE'!A1007</f>
        <v>44720.66667</v>
      </c>
      <c r="B1004" s="22">
        <f>'VIX HISTORIQUE'!B1007</f>
        <v>4115.77</v>
      </c>
      <c r="C1004" s="22">
        <f>'VIX HISTORIQUE'!D1007</f>
        <v>23.96</v>
      </c>
      <c r="D1004" s="22">
        <f>'VIX HISTORIQUE'!G1007</f>
        <v>26.54</v>
      </c>
      <c r="E1004" s="22">
        <f>'VIX HISTORIQUE'!I1007</f>
        <v>28.41</v>
      </c>
      <c r="F1004" s="22">
        <f>'VIX HISTORIQUE'!K1007</f>
        <v>29.55</v>
      </c>
    </row>
    <row r="1005" ht="15.75" customHeight="1">
      <c r="A1005" s="25">
        <f>'VIX HISTORIQUE'!A1008</f>
        <v>44721.66667</v>
      </c>
      <c r="B1005" s="22">
        <f>'VIX HISTORIQUE'!B1008</f>
        <v>4017.82</v>
      </c>
      <c r="C1005" s="22">
        <f>'VIX HISTORIQUE'!D1008</f>
        <v>26.09</v>
      </c>
      <c r="D1005" s="22">
        <f>'VIX HISTORIQUE'!G1008</f>
        <v>28.01</v>
      </c>
      <c r="E1005" s="22">
        <f>'VIX HISTORIQUE'!I1008</f>
        <v>29.49</v>
      </c>
      <c r="F1005" s="22">
        <f>'VIX HISTORIQUE'!K1008</f>
        <v>30.23</v>
      </c>
    </row>
    <row r="1006" ht="15.75" customHeight="1">
      <c r="A1006" s="25">
        <f>'VIX HISTORIQUE'!A1009</f>
        <v>44722.66667</v>
      </c>
      <c r="B1006" s="22">
        <f>'VIX HISTORIQUE'!B1009</f>
        <v>3900.86</v>
      </c>
      <c r="C1006" s="22">
        <f>'VIX HISTORIQUE'!D1009</f>
        <v>27.75</v>
      </c>
      <c r="D1006" s="22">
        <f>'VIX HISTORIQUE'!G1009</f>
        <v>29.72</v>
      </c>
      <c r="E1006" s="22">
        <f>'VIX HISTORIQUE'!I1009</f>
        <v>30.94</v>
      </c>
      <c r="F1006" s="22">
        <f>'VIX HISTORIQUE'!K1009</f>
        <v>31.06</v>
      </c>
    </row>
    <row r="1007" ht="15.75" customHeight="1">
      <c r="A1007" s="25">
        <f>'VIX HISTORIQUE'!A1010</f>
        <v>44725.66667</v>
      </c>
      <c r="B1007" s="22">
        <f>'VIX HISTORIQUE'!B1010</f>
        <v>3749.63</v>
      </c>
      <c r="C1007" s="22">
        <f>'VIX HISTORIQUE'!D1010</f>
        <v>34.02</v>
      </c>
      <c r="D1007" s="22">
        <f>'VIX HISTORIQUE'!G1010</f>
        <v>34.24</v>
      </c>
      <c r="E1007" s="22">
        <f>'VIX HISTORIQUE'!I1010</f>
        <v>34.16</v>
      </c>
      <c r="F1007" s="22">
        <f>'VIX HISTORIQUE'!K1010</f>
        <v>33.19</v>
      </c>
    </row>
    <row r="1008" ht="15.75" customHeight="1">
      <c r="A1008" s="25">
        <f>'VIX HISTORIQUE'!A1011</f>
        <v>44726.66667</v>
      </c>
      <c r="B1008" s="22">
        <f>'VIX HISTORIQUE'!B1011</f>
        <v>3735.48</v>
      </c>
      <c r="C1008" s="22">
        <f>'VIX HISTORIQUE'!D1011</f>
        <v>32.69</v>
      </c>
      <c r="D1008" s="22">
        <f>'VIX HISTORIQUE'!G1011</f>
        <v>33.28</v>
      </c>
      <c r="E1008" s="22">
        <f>'VIX HISTORIQUE'!I1011</f>
        <v>33.57</v>
      </c>
      <c r="F1008" s="22">
        <f>'VIX HISTORIQUE'!K1011</f>
        <v>32.89</v>
      </c>
    </row>
    <row r="1009" ht="15.75" customHeight="1">
      <c r="A1009" s="25">
        <f>'VIX HISTORIQUE'!A1012</f>
        <v>44727.66667</v>
      </c>
      <c r="B1009" s="22">
        <f>'VIX HISTORIQUE'!B1012</f>
        <v>3789.99</v>
      </c>
      <c r="C1009" s="22">
        <f>'VIX HISTORIQUE'!D1012</f>
        <v>29.62</v>
      </c>
      <c r="D1009" s="22">
        <f>'VIX HISTORIQUE'!G1012</f>
        <v>30.78</v>
      </c>
      <c r="E1009" s="22">
        <f>'VIX HISTORIQUE'!I1012</f>
        <v>31.56</v>
      </c>
      <c r="F1009" s="22">
        <f>'VIX HISTORIQUE'!K1012</f>
        <v>31.71</v>
      </c>
    </row>
    <row r="1010" ht="15.75" customHeight="1">
      <c r="A1010" s="25">
        <f>'VIX HISTORIQUE'!A1013</f>
        <v>44728.66667</v>
      </c>
      <c r="B1010" s="22">
        <f>'VIX HISTORIQUE'!B1013</f>
        <v>3666.77</v>
      </c>
      <c r="C1010" s="22">
        <f>'VIX HISTORIQUE'!D1013</f>
        <v>32.95</v>
      </c>
      <c r="D1010" s="22">
        <f>'VIX HISTORIQUE'!G1013</f>
        <v>33.49</v>
      </c>
      <c r="E1010" s="22">
        <f>'VIX HISTORIQUE'!I1013</f>
        <v>33.92</v>
      </c>
      <c r="F1010" s="22">
        <f>'VIX HISTORIQUE'!K1013</f>
        <v>33.29</v>
      </c>
    </row>
    <row r="1011" ht="15.75" customHeight="1">
      <c r="A1011" s="25">
        <f>'VIX HISTORIQUE'!A1014</f>
        <v>44729.66667</v>
      </c>
      <c r="B1011" s="22">
        <f>'VIX HISTORIQUE'!B1014</f>
        <v>3674.84</v>
      </c>
      <c r="C1011" s="22">
        <f>'VIX HISTORIQUE'!D1014</f>
        <v>31.13</v>
      </c>
      <c r="D1011" s="22">
        <f>'VIX HISTORIQUE'!G1014</f>
        <v>32.36</v>
      </c>
      <c r="E1011" s="22">
        <f>'VIX HISTORIQUE'!I1014</f>
        <v>32.81</v>
      </c>
      <c r="F1011" s="22">
        <f>'VIX HISTORIQUE'!K1014</f>
        <v>32.47</v>
      </c>
    </row>
    <row r="1012" ht="15.75" customHeight="1">
      <c r="A1012" s="25">
        <f>'VIX HISTORIQUE'!A1015</f>
        <v>44733.66667</v>
      </c>
      <c r="B1012" s="22">
        <f>'VIX HISTORIQUE'!B1015</f>
        <v>3764.79</v>
      </c>
      <c r="C1012" s="22">
        <f>'VIX HISTORIQUE'!D1015</f>
        <v>30.19</v>
      </c>
      <c r="D1012" s="22">
        <f>'VIX HISTORIQUE'!G1015</f>
        <v>31.25</v>
      </c>
      <c r="E1012" s="22">
        <f>'VIX HISTORIQUE'!I1015</f>
        <v>31.86</v>
      </c>
      <c r="F1012" s="22">
        <f>'VIX HISTORIQUE'!K1015</f>
        <v>31.59</v>
      </c>
    </row>
    <row r="1013" ht="15.75" customHeight="1">
      <c r="A1013" s="25">
        <f>'VIX HISTORIQUE'!A1016</f>
        <v>44734.66667</v>
      </c>
      <c r="B1013" s="22">
        <f>'VIX HISTORIQUE'!B1016</f>
        <v>3759.89</v>
      </c>
      <c r="C1013" s="22">
        <f>'VIX HISTORIQUE'!D1016</f>
        <v>28.95</v>
      </c>
      <c r="D1013" s="22">
        <f>'VIX HISTORIQUE'!G1016</f>
        <v>30.24</v>
      </c>
      <c r="E1013" s="22">
        <f>'VIX HISTORIQUE'!I1016</f>
        <v>31.18</v>
      </c>
      <c r="F1013" s="22">
        <f>'VIX HISTORIQUE'!K1016</f>
        <v>31.13</v>
      </c>
    </row>
    <row r="1014" ht="15.75" customHeight="1">
      <c r="A1014" s="25">
        <f>'VIX HISTORIQUE'!A1017</f>
        <v>44735.66667</v>
      </c>
      <c r="B1014" s="22">
        <f>'VIX HISTORIQUE'!B1017</f>
        <v>3795.73</v>
      </c>
      <c r="C1014" s="22">
        <f>'VIX HISTORIQUE'!D1017</f>
        <v>29.05</v>
      </c>
      <c r="D1014" s="22">
        <f>'VIX HISTORIQUE'!G1017</f>
        <v>30.19</v>
      </c>
      <c r="E1014" s="22">
        <f>'VIX HISTORIQUE'!I1017</f>
        <v>31.13</v>
      </c>
      <c r="F1014" s="22">
        <f>'VIX HISTORIQUE'!K1017</f>
        <v>31.02</v>
      </c>
    </row>
    <row r="1015" ht="15.75" customHeight="1">
      <c r="A1015" s="25">
        <f>'VIX HISTORIQUE'!A1018</f>
        <v>44736.66667</v>
      </c>
      <c r="B1015" s="22">
        <f>'VIX HISTORIQUE'!B1018</f>
        <v>3911.74</v>
      </c>
      <c r="C1015" s="22">
        <f>'VIX HISTORIQUE'!D1018</f>
        <v>27.23</v>
      </c>
      <c r="D1015" s="22">
        <f>'VIX HISTORIQUE'!G1018</f>
        <v>28.95</v>
      </c>
      <c r="E1015" s="22">
        <f>'VIX HISTORIQUE'!I1018</f>
        <v>30.16</v>
      </c>
      <c r="F1015" s="22">
        <f>'VIX HISTORIQUE'!K1018</f>
        <v>30.56</v>
      </c>
    </row>
    <row r="1016" ht="15.75" customHeight="1">
      <c r="A1016" s="25">
        <f>'VIX HISTORIQUE'!A1019</f>
        <v>44739.66667</v>
      </c>
      <c r="B1016" s="22">
        <f>'VIX HISTORIQUE'!B1019</f>
        <v>3900.11</v>
      </c>
      <c r="C1016" s="22">
        <f>'VIX HISTORIQUE'!D1019</f>
        <v>26.95</v>
      </c>
      <c r="D1016" s="22">
        <f>'VIX HISTORIQUE'!G1019</f>
        <v>28.18</v>
      </c>
      <c r="E1016" s="22">
        <f>'VIX HISTORIQUE'!I1019</f>
        <v>29.61</v>
      </c>
      <c r="F1016" s="22">
        <f>'VIX HISTORIQUE'!K1019</f>
        <v>30.1</v>
      </c>
    </row>
    <row r="1017" ht="15.75" customHeight="1">
      <c r="A1017" s="25">
        <f>'VIX HISTORIQUE'!A1020</f>
        <v>44740.66667</v>
      </c>
      <c r="B1017" s="22">
        <f>'VIX HISTORIQUE'!B1020</f>
        <v>3821.55</v>
      </c>
      <c r="C1017" s="22">
        <f>'VIX HISTORIQUE'!D1020</f>
        <v>28.36</v>
      </c>
      <c r="D1017" s="22">
        <f>'VIX HISTORIQUE'!G1020</f>
        <v>29.15</v>
      </c>
      <c r="E1017" s="22">
        <f>'VIX HISTORIQUE'!I1020</f>
        <v>30.38</v>
      </c>
      <c r="F1017" s="22">
        <f>'VIX HISTORIQUE'!K1020</f>
        <v>30.59</v>
      </c>
    </row>
    <row r="1018" ht="15.75" customHeight="1">
      <c r="A1018" s="25">
        <f>'VIX HISTORIQUE'!A1021</f>
        <v>44741.66667</v>
      </c>
      <c r="B1018" s="22">
        <f>'VIX HISTORIQUE'!B1021</f>
        <v>3818.83</v>
      </c>
      <c r="C1018" s="22">
        <f>'VIX HISTORIQUE'!D1021</f>
        <v>28.16</v>
      </c>
      <c r="D1018" s="22">
        <f>'VIX HISTORIQUE'!G1021</f>
        <v>29</v>
      </c>
      <c r="E1018" s="22">
        <f>'VIX HISTORIQUE'!I1021</f>
        <v>30.27</v>
      </c>
      <c r="F1018" s="22">
        <f>'VIX HISTORIQUE'!K1021</f>
        <v>30.65</v>
      </c>
    </row>
    <row r="1019" ht="15.75" customHeight="1">
      <c r="A1019" s="25">
        <f>'VIX HISTORIQUE'!A1022</f>
        <v>44742.66667</v>
      </c>
      <c r="B1019" s="22">
        <f>'VIX HISTORIQUE'!B1022</f>
        <v>3785.38</v>
      </c>
      <c r="C1019" s="22">
        <f>'VIX HISTORIQUE'!D1022</f>
        <v>28.71</v>
      </c>
      <c r="D1019" s="22">
        <f>'VIX HISTORIQUE'!G1022</f>
        <v>29.71</v>
      </c>
      <c r="E1019" s="22">
        <f>'VIX HISTORIQUE'!I1022</f>
        <v>30.85</v>
      </c>
      <c r="F1019" s="22">
        <f>'VIX HISTORIQUE'!K1022</f>
        <v>31.1</v>
      </c>
    </row>
    <row r="1020" ht="15.75" customHeight="1">
      <c r="A1020" s="25">
        <f>'VIX HISTORIQUE'!A1023</f>
        <v>44743.66667</v>
      </c>
      <c r="B1020" s="22">
        <f>'VIX HISTORIQUE'!B1023</f>
        <v>3825.33</v>
      </c>
      <c r="C1020" s="22">
        <f>'VIX HISTORIQUE'!D1023</f>
        <v>26.7</v>
      </c>
      <c r="D1020" s="22">
        <f>'VIX HISTORIQUE'!G1023</f>
        <v>28.52</v>
      </c>
      <c r="E1020" s="22">
        <f>'VIX HISTORIQUE'!I1023</f>
        <v>29.93</v>
      </c>
      <c r="F1020" s="22">
        <f>'VIX HISTORIQUE'!K1023</f>
        <v>30.41</v>
      </c>
    </row>
    <row r="1021" ht="15.75" customHeight="1">
      <c r="A1021" s="25">
        <f>'VIX HISTORIQUE'!A1024</f>
        <v>44747.66667</v>
      </c>
      <c r="B1021" s="22">
        <f>'VIX HISTORIQUE'!B1024</f>
        <v>3831.39</v>
      </c>
      <c r="C1021" s="22">
        <f>'VIX HISTORIQUE'!D1024</f>
        <v>27.54</v>
      </c>
      <c r="D1021" s="22">
        <f>'VIX HISTORIQUE'!G1024</f>
        <v>28.9</v>
      </c>
      <c r="E1021" s="22">
        <f>'VIX HISTORIQUE'!I1024</f>
        <v>30.01</v>
      </c>
      <c r="F1021" s="22">
        <f>'VIX HISTORIQUE'!K1024</f>
        <v>30.08</v>
      </c>
    </row>
    <row r="1022" ht="15.75" customHeight="1">
      <c r="A1022" s="25">
        <f>'VIX HISTORIQUE'!A1025</f>
        <v>44748.66667</v>
      </c>
      <c r="B1022" s="22">
        <f>'VIX HISTORIQUE'!B1025</f>
        <v>3845.08</v>
      </c>
      <c r="C1022" s="22">
        <f>'VIX HISTORIQUE'!D1025</f>
        <v>26.73</v>
      </c>
      <c r="D1022" s="22">
        <f>'VIX HISTORIQUE'!G1025</f>
        <v>28.39</v>
      </c>
      <c r="E1022" s="22">
        <f>'VIX HISTORIQUE'!I1025</f>
        <v>29.62</v>
      </c>
      <c r="F1022" s="22">
        <f>'VIX HISTORIQUE'!K1025</f>
        <v>29.97</v>
      </c>
    </row>
    <row r="1023" ht="15.75" customHeight="1">
      <c r="A1023" s="25">
        <f>'VIX HISTORIQUE'!A1026</f>
        <v>44749.66667</v>
      </c>
      <c r="B1023" s="22">
        <f>'VIX HISTORIQUE'!B1026</f>
        <v>3902.62</v>
      </c>
      <c r="C1023" s="22">
        <f>'VIX HISTORIQUE'!D1026</f>
        <v>26.08</v>
      </c>
      <c r="D1023" s="22">
        <f>'VIX HISTORIQUE'!G1026</f>
        <v>28.03</v>
      </c>
      <c r="E1023" s="22">
        <f>'VIX HISTORIQUE'!I1026</f>
        <v>29.37</v>
      </c>
      <c r="F1023" s="22">
        <f>'VIX HISTORIQUE'!K1026</f>
        <v>29.8</v>
      </c>
    </row>
    <row r="1024" ht="15.75" customHeight="1">
      <c r="A1024" s="25">
        <f>'VIX HISTORIQUE'!A1027</f>
        <v>44750.66667</v>
      </c>
      <c r="B1024" s="22">
        <f>'VIX HISTORIQUE'!B1027</f>
        <v>3899.38</v>
      </c>
      <c r="C1024" s="22">
        <f>'VIX HISTORIQUE'!D1027</f>
        <v>24.64</v>
      </c>
      <c r="D1024" s="22">
        <f>'VIX HISTORIQUE'!G1027</f>
        <v>27.3</v>
      </c>
      <c r="E1024" s="22">
        <f>'VIX HISTORIQUE'!I1027</f>
        <v>28.89</v>
      </c>
      <c r="F1024" s="22">
        <f>'VIX HISTORIQUE'!K1027</f>
        <v>29.54</v>
      </c>
    </row>
    <row r="1025" ht="15.75" customHeight="1">
      <c r="A1025" s="25">
        <f>'VIX HISTORIQUE'!A1028</f>
        <v>44753.66667</v>
      </c>
      <c r="B1025" s="22">
        <f>'VIX HISTORIQUE'!B1028</f>
        <v>3854.43</v>
      </c>
      <c r="C1025" s="22">
        <f>'VIX HISTORIQUE'!D1028</f>
        <v>26.17</v>
      </c>
      <c r="D1025" s="22">
        <f>'VIX HISTORIQUE'!G1028</f>
        <v>28.25</v>
      </c>
      <c r="E1025" s="22">
        <f>'VIX HISTORIQUE'!I1028</f>
        <v>29.57</v>
      </c>
      <c r="F1025" s="22">
        <f>'VIX HISTORIQUE'!K1028</f>
        <v>30.2</v>
      </c>
    </row>
    <row r="1026" ht="15.75" customHeight="1">
      <c r="A1026" s="25">
        <f>'VIX HISTORIQUE'!A1029</f>
        <v>44754.66667</v>
      </c>
      <c r="B1026" s="22">
        <f>'VIX HISTORIQUE'!B1029</f>
        <v>3818.8</v>
      </c>
      <c r="C1026" s="22">
        <f>'VIX HISTORIQUE'!D1029</f>
        <v>27.29</v>
      </c>
      <c r="D1026" s="22">
        <f>'VIX HISTORIQUE'!G1029</f>
        <v>28.82</v>
      </c>
      <c r="E1026" s="22">
        <f>'VIX HISTORIQUE'!I1029</f>
        <v>30.04</v>
      </c>
      <c r="F1026" s="22">
        <f>'VIX HISTORIQUE'!K1029</f>
        <v>30.66</v>
      </c>
    </row>
    <row r="1027" ht="15.75" customHeight="1">
      <c r="A1027" s="25">
        <f>'VIX HISTORIQUE'!A1030</f>
        <v>44755.66667</v>
      </c>
      <c r="B1027" s="22">
        <f>'VIX HISTORIQUE'!B1030</f>
        <v>3801.78</v>
      </c>
      <c r="C1027" s="22">
        <f>'VIX HISTORIQUE'!D1030</f>
        <v>26.82</v>
      </c>
      <c r="D1027" s="22">
        <f>'VIX HISTORIQUE'!G1030</f>
        <v>28.56</v>
      </c>
      <c r="E1027" s="22">
        <f>'VIX HISTORIQUE'!I1030</f>
        <v>29.98</v>
      </c>
      <c r="F1027" s="22">
        <f>'VIX HISTORIQUE'!K1030</f>
        <v>30.9</v>
      </c>
    </row>
    <row r="1028" ht="15.75" customHeight="1">
      <c r="A1028" s="25">
        <f>'VIX HISTORIQUE'!A1031</f>
        <v>44756.66667</v>
      </c>
      <c r="B1028" s="22">
        <f>'VIX HISTORIQUE'!B1031</f>
        <v>3790.38</v>
      </c>
      <c r="C1028" s="22">
        <f>'VIX HISTORIQUE'!D1031</f>
        <v>26.4</v>
      </c>
      <c r="D1028" s="22">
        <f>'VIX HISTORIQUE'!G1031</f>
        <v>28.61</v>
      </c>
      <c r="E1028" s="22">
        <f>'VIX HISTORIQUE'!I1031</f>
        <v>30.06</v>
      </c>
      <c r="F1028" s="22">
        <f>'VIX HISTORIQUE'!K1031</f>
        <v>31.11</v>
      </c>
    </row>
    <row r="1029" ht="15.75" customHeight="1">
      <c r="A1029" s="25">
        <f>'VIX HISTORIQUE'!A1032</f>
        <v>44757.66667</v>
      </c>
      <c r="B1029" s="22">
        <f>'VIX HISTORIQUE'!B1032</f>
        <v>3863.16</v>
      </c>
      <c r="C1029" s="22">
        <f>'VIX HISTORIQUE'!D1032</f>
        <v>24.23</v>
      </c>
      <c r="D1029" s="22">
        <f>'VIX HISTORIQUE'!G1032</f>
        <v>27.08</v>
      </c>
      <c r="E1029" s="22">
        <f>'VIX HISTORIQUE'!I1032</f>
        <v>28.96</v>
      </c>
      <c r="F1029" s="22">
        <f>'VIX HISTORIQUE'!K1032</f>
        <v>30.53</v>
      </c>
    </row>
    <row r="1030" ht="15.75" customHeight="1">
      <c r="A1030" s="25">
        <f>'VIX HISTORIQUE'!A1033</f>
        <v>44760.66667</v>
      </c>
      <c r="B1030" s="22">
        <f>'VIX HISTORIQUE'!B1033</f>
        <v>3830.85</v>
      </c>
      <c r="C1030" s="22">
        <f>'VIX HISTORIQUE'!D1033</f>
        <v>25.3</v>
      </c>
      <c r="D1030" s="22">
        <f>'VIX HISTORIQUE'!G1033</f>
        <v>27.82</v>
      </c>
      <c r="E1030" s="22">
        <f>'VIX HISTORIQUE'!I1033</f>
        <v>29.53</v>
      </c>
      <c r="F1030" s="22">
        <f>'VIX HISTORIQUE'!K1033</f>
        <v>30.92</v>
      </c>
    </row>
    <row r="1031" ht="15.75" customHeight="1">
      <c r="A1031" s="25">
        <f>'VIX HISTORIQUE'!A1034</f>
        <v>44761.66667</v>
      </c>
      <c r="B1031" s="22">
        <f>'VIX HISTORIQUE'!B1034</f>
        <v>3936.69</v>
      </c>
      <c r="C1031" s="22">
        <f>'VIX HISTORIQUE'!D1034</f>
        <v>24.5</v>
      </c>
      <c r="D1031" s="22">
        <f>'VIX HISTORIQUE'!G1034</f>
        <v>27.31</v>
      </c>
      <c r="E1031" s="22">
        <f>'VIX HISTORIQUE'!I1034</f>
        <v>29.01</v>
      </c>
      <c r="F1031" s="22">
        <f>'VIX HISTORIQUE'!K1034</f>
        <v>30.33</v>
      </c>
    </row>
    <row r="1032" ht="15.75" customHeight="1">
      <c r="A1032" s="25">
        <f>'VIX HISTORIQUE'!A1035</f>
        <v>44762.66667</v>
      </c>
      <c r="B1032" s="22">
        <f>'VIX HISTORIQUE'!B1035</f>
        <v>3959.9</v>
      </c>
      <c r="C1032" s="22">
        <f>'VIX HISTORIQUE'!D1035</f>
        <v>23.88</v>
      </c>
      <c r="D1032" s="22">
        <f>'VIX HISTORIQUE'!G1035</f>
        <v>26.7</v>
      </c>
      <c r="E1032" s="22">
        <f>'VIX HISTORIQUE'!I1035</f>
        <v>28.53</v>
      </c>
      <c r="F1032" s="22">
        <f>'VIX HISTORIQUE'!K1035</f>
        <v>30.08</v>
      </c>
    </row>
    <row r="1033" ht="15.75" customHeight="1">
      <c r="A1033" s="25">
        <f>'VIX HISTORIQUE'!A1036</f>
        <v>44763.66667</v>
      </c>
      <c r="B1033" s="22">
        <f>'VIX HISTORIQUE'!B1036</f>
        <v>3998.95</v>
      </c>
      <c r="C1033" s="22">
        <f>'VIX HISTORIQUE'!D1036</f>
        <v>23.11</v>
      </c>
      <c r="D1033" s="22">
        <f>'VIX HISTORIQUE'!G1036</f>
        <v>26.22</v>
      </c>
      <c r="E1033" s="22">
        <f>'VIX HISTORIQUE'!I1036</f>
        <v>28.1</v>
      </c>
      <c r="F1033" s="22">
        <f>'VIX HISTORIQUE'!K1036</f>
        <v>29.88</v>
      </c>
    </row>
    <row r="1034" ht="15.75" customHeight="1">
      <c r="A1034" s="25">
        <f>'VIX HISTORIQUE'!A1037</f>
        <v>44764.66667</v>
      </c>
      <c r="B1034" s="22">
        <f>'VIX HISTORIQUE'!B1037</f>
        <v>3961.63</v>
      </c>
      <c r="C1034" s="22">
        <f>'VIX HISTORIQUE'!D1037</f>
        <v>23.03</v>
      </c>
      <c r="D1034" s="22">
        <f>'VIX HISTORIQUE'!G1037</f>
        <v>25.97</v>
      </c>
      <c r="E1034" s="22">
        <f>'VIX HISTORIQUE'!I1037</f>
        <v>28.03</v>
      </c>
      <c r="F1034" s="22">
        <f>'VIX HISTORIQUE'!K1037</f>
        <v>29.9</v>
      </c>
    </row>
    <row r="1035" ht="15.75" customHeight="1">
      <c r="A1035" s="25">
        <f>'VIX HISTORIQUE'!A1038</f>
        <v>44767.66667</v>
      </c>
      <c r="B1035" s="22">
        <f>'VIX HISTORIQUE'!B1038</f>
        <v>3966.84</v>
      </c>
      <c r="C1035" s="22">
        <f>'VIX HISTORIQUE'!D1038</f>
        <v>23.36</v>
      </c>
      <c r="D1035" s="22">
        <f>'VIX HISTORIQUE'!G1038</f>
        <v>25.8</v>
      </c>
      <c r="E1035" s="22">
        <f>'VIX HISTORIQUE'!I1038</f>
        <v>27.86</v>
      </c>
      <c r="F1035" s="22">
        <f>'VIX HISTORIQUE'!K1038</f>
        <v>29.74</v>
      </c>
    </row>
    <row r="1036" ht="15.75" customHeight="1">
      <c r="A1036" s="25">
        <f>'VIX HISTORIQUE'!A1039</f>
        <v>44768.66667</v>
      </c>
      <c r="B1036" s="22">
        <f>'VIX HISTORIQUE'!B1039</f>
        <v>3921.05</v>
      </c>
      <c r="C1036" s="22">
        <f>'VIX HISTORIQUE'!D1039</f>
        <v>24.69</v>
      </c>
      <c r="D1036" s="22">
        <f>'VIX HISTORIQUE'!G1039</f>
        <v>26.42</v>
      </c>
      <c r="E1036" s="22">
        <f>'VIX HISTORIQUE'!I1039</f>
        <v>28.31</v>
      </c>
      <c r="F1036" s="22">
        <f>'VIX HISTORIQUE'!K1039</f>
        <v>30.02</v>
      </c>
    </row>
    <row r="1037" ht="15.75" customHeight="1">
      <c r="A1037" s="25">
        <f>'VIX HISTORIQUE'!A1040</f>
        <v>44769.66667</v>
      </c>
      <c r="B1037" s="22">
        <f>'VIX HISTORIQUE'!B1040</f>
        <v>4023.61</v>
      </c>
      <c r="C1037" s="22">
        <f>'VIX HISTORIQUE'!D1040</f>
        <v>23.24</v>
      </c>
      <c r="D1037" s="22">
        <f>'VIX HISTORIQUE'!G1040</f>
        <v>25.31</v>
      </c>
      <c r="E1037" s="22">
        <f>'VIX HISTORIQUE'!I1040</f>
        <v>27.41</v>
      </c>
      <c r="F1037" s="22">
        <f>'VIX HISTORIQUE'!K1040</f>
        <v>29.53</v>
      </c>
    </row>
    <row r="1038" ht="15.75" customHeight="1">
      <c r="A1038" s="25">
        <f>'VIX HISTORIQUE'!A1041</f>
        <v>44770.66667</v>
      </c>
      <c r="B1038" s="22">
        <f>'VIX HISTORIQUE'!B1041</f>
        <v>4072.43</v>
      </c>
      <c r="C1038" s="22">
        <f>'VIX HISTORIQUE'!D1041</f>
        <v>22.33</v>
      </c>
      <c r="D1038" s="22">
        <f>'VIX HISTORIQUE'!G1041</f>
        <v>24.33</v>
      </c>
      <c r="E1038" s="22">
        <f>'VIX HISTORIQUE'!I1041</f>
        <v>26.65</v>
      </c>
      <c r="F1038" s="22">
        <f>'VIX HISTORIQUE'!K1041</f>
        <v>28.79</v>
      </c>
    </row>
    <row r="1039" ht="15.75" customHeight="1">
      <c r="A1039" s="25">
        <f>'VIX HISTORIQUE'!A1042</f>
        <v>44771.66667</v>
      </c>
      <c r="B1039" s="22">
        <f>'VIX HISTORIQUE'!B1042</f>
        <v>4130.29</v>
      </c>
      <c r="C1039" s="22">
        <f>'VIX HISTORIQUE'!D1042</f>
        <v>21.33</v>
      </c>
      <c r="D1039" s="22">
        <f>'VIX HISTORIQUE'!G1042</f>
        <v>23.79</v>
      </c>
      <c r="E1039" s="22">
        <f>'VIX HISTORIQUE'!I1042</f>
        <v>26.22</v>
      </c>
      <c r="F1039" s="22">
        <f>'VIX HISTORIQUE'!K1042</f>
        <v>28.54</v>
      </c>
    </row>
    <row r="1040" ht="15.75" customHeight="1">
      <c r="A1040" s="25">
        <f>'VIX HISTORIQUE'!A1043</f>
        <v>44774.66667</v>
      </c>
      <c r="B1040" s="22">
        <f>'VIX HISTORIQUE'!B1043</f>
        <v>4118.63</v>
      </c>
      <c r="C1040" s="22">
        <f>'VIX HISTORIQUE'!D1043</f>
        <v>22.84</v>
      </c>
      <c r="D1040" s="22">
        <f>'VIX HISTORIQUE'!G1043</f>
        <v>24.86</v>
      </c>
      <c r="E1040" s="22">
        <f>'VIX HISTORIQUE'!I1043</f>
        <v>26.88</v>
      </c>
      <c r="F1040" s="22">
        <f>'VIX HISTORIQUE'!K1043</f>
        <v>28.76</v>
      </c>
    </row>
    <row r="1041" ht="15.75" customHeight="1">
      <c r="A1041" s="25">
        <f>'VIX HISTORIQUE'!A1044</f>
        <v>44775.66667</v>
      </c>
      <c r="B1041" s="22">
        <f>'VIX HISTORIQUE'!B1044</f>
        <v>4091.19</v>
      </c>
      <c r="C1041" s="22">
        <f>'VIX HISTORIQUE'!D1044</f>
        <v>23.93</v>
      </c>
      <c r="D1041" s="22">
        <f>'VIX HISTORIQUE'!G1044</f>
        <v>25.66</v>
      </c>
      <c r="E1041" s="22">
        <f>'VIX HISTORIQUE'!I1044</f>
        <v>27.6</v>
      </c>
      <c r="F1041" s="22">
        <f>'VIX HISTORIQUE'!K1044</f>
        <v>29.19</v>
      </c>
    </row>
    <row r="1042" ht="15.75" customHeight="1">
      <c r="A1042" s="25">
        <f>'VIX HISTORIQUE'!A1045</f>
        <v>44776.66667</v>
      </c>
      <c r="B1042" s="22">
        <f>'VIX HISTORIQUE'!B1045</f>
        <v>4155.17</v>
      </c>
      <c r="C1042" s="22">
        <f>'VIX HISTORIQUE'!D1045</f>
        <v>21.95</v>
      </c>
      <c r="D1042" s="22">
        <f>'VIX HISTORIQUE'!G1045</f>
        <v>24.37</v>
      </c>
      <c r="E1042" s="22">
        <f>'VIX HISTORIQUE'!I1045</f>
        <v>26.55</v>
      </c>
      <c r="F1042" s="22">
        <f>'VIX HISTORIQUE'!K1045</f>
        <v>28.49</v>
      </c>
    </row>
    <row r="1043" ht="15.75" customHeight="1">
      <c r="A1043" s="25">
        <f>'VIX HISTORIQUE'!A1046</f>
        <v>44777.66667</v>
      </c>
      <c r="B1043" s="22">
        <f>'VIX HISTORIQUE'!B1046</f>
        <v>4151.94</v>
      </c>
      <c r="C1043" s="22">
        <f>'VIX HISTORIQUE'!D1046</f>
        <v>21.44</v>
      </c>
      <c r="D1043" s="22">
        <f>'VIX HISTORIQUE'!G1046</f>
        <v>24.32</v>
      </c>
      <c r="E1043" s="22">
        <f>'VIX HISTORIQUE'!I1046</f>
        <v>26.6</v>
      </c>
      <c r="F1043" s="22">
        <f>'VIX HISTORIQUE'!K1046</f>
        <v>28.44</v>
      </c>
    </row>
    <row r="1044" ht="15.75" customHeight="1">
      <c r="A1044" s="25">
        <f>'VIX HISTORIQUE'!A1047</f>
        <v>44778.66667</v>
      </c>
      <c r="B1044" s="22">
        <f>'VIX HISTORIQUE'!B1047</f>
        <v>4145.19</v>
      </c>
      <c r="C1044" s="22">
        <f>'VIX HISTORIQUE'!D1047</f>
        <v>21.15</v>
      </c>
      <c r="D1044" s="22">
        <f>'VIX HISTORIQUE'!G1047</f>
        <v>24.18</v>
      </c>
      <c r="E1044" s="22">
        <f>'VIX HISTORIQUE'!I1047</f>
        <v>26.52</v>
      </c>
      <c r="F1044" s="22">
        <f>'VIX HISTORIQUE'!K1047</f>
        <v>28.45</v>
      </c>
    </row>
    <row r="1045" ht="15.75" customHeight="1">
      <c r="A1045" s="25">
        <f>'VIX HISTORIQUE'!A1048</f>
        <v>44781.66667</v>
      </c>
      <c r="B1045" s="22">
        <f>'VIX HISTORIQUE'!B1048</f>
        <v>4140.06</v>
      </c>
      <c r="C1045" s="22">
        <f>'VIX HISTORIQUE'!D1048</f>
        <v>21.29</v>
      </c>
      <c r="D1045" s="22">
        <f>'VIX HISTORIQUE'!G1048</f>
        <v>24.48</v>
      </c>
      <c r="E1045" s="22">
        <f>'VIX HISTORIQUE'!I1048</f>
        <v>26.75</v>
      </c>
      <c r="F1045" s="22">
        <f>'VIX HISTORIQUE'!K1048</f>
        <v>28.56</v>
      </c>
    </row>
    <row r="1046" ht="15.75" customHeight="1">
      <c r="A1046" s="25">
        <f>'VIX HISTORIQUE'!A1049</f>
        <v>44782.66667</v>
      </c>
      <c r="B1046" s="22">
        <f>'VIX HISTORIQUE'!B1049</f>
        <v>4122.47</v>
      </c>
      <c r="C1046" s="22">
        <f>'VIX HISTORIQUE'!D1049</f>
        <v>21.77</v>
      </c>
      <c r="D1046" s="22">
        <f>'VIX HISTORIQUE'!G1049</f>
        <v>24.69</v>
      </c>
      <c r="E1046" s="22">
        <f>'VIX HISTORIQUE'!I1049</f>
        <v>26.84</v>
      </c>
      <c r="F1046" s="22">
        <f>'VIX HISTORIQUE'!K1049</f>
        <v>28.62</v>
      </c>
    </row>
    <row r="1047" ht="15.75" customHeight="1">
      <c r="A1047" s="25">
        <f>'VIX HISTORIQUE'!A1050</f>
        <v>44783.66667</v>
      </c>
      <c r="B1047" s="22">
        <f>'VIX HISTORIQUE'!B1050</f>
        <v>4210.24</v>
      </c>
      <c r="C1047" s="22">
        <f>'VIX HISTORIQUE'!D1050</f>
        <v>19.74</v>
      </c>
      <c r="D1047" s="22">
        <f>'VIX HISTORIQUE'!G1050</f>
        <v>23.46</v>
      </c>
      <c r="E1047" s="22">
        <f>'VIX HISTORIQUE'!I1050</f>
        <v>25.89</v>
      </c>
      <c r="F1047" s="22">
        <f>'VIX HISTORIQUE'!K1050</f>
        <v>27.82</v>
      </c>
    </row>
    <row r="1048" ht="15.75" customHeight="1">
      <c r="A1048" s="25">
        <f>'VIX HISTORIQUE'!A1051</f>
        <v>44784.66667</v>
      </c>
      <c r="B1048" s="22">
        <f>'VIX HISTORIQUE'!B1051</f>
        <v>4207.27</v>
      </c>
      <c r="C1048" s="22">
        <f>'VIX HISTORIQUE'!D1051</f>
        <v>20.2</v>
      </c>
      <c r="D1048" s="22">
        <f>'VIX HISTORIQUE'!G1051</f>
        <v>23.71</v>
      </c>
      <c r="E1048" s="22">
        <f>'VIX HISTORIQUE'!I1051</f>
        <v>26.09</v>
      </c>
      <c r="F1048" s="22">
        <f>'VIX HISTORIQUE'!K1051</f>
        <v>27.97</v>
      </c>
    </row>
    <row r="1049" ht="15.75" customHeight="1">
      <c r="A1049" s="25">
        <f>'VIX HISTORIQUE'!A1052</f>
        <v>44785.66667</v>
      </c>
      <c r="B1049" s="22">
        <f>'VIX HISTORIQUE'!B1052</f>
        <v>4280.15</v>
      </c>
      <c r="C1049" s="22">
        <f>'VIX HISTORIQUE'!D1052</f>
        <v>19.53</v>
      </c>
      <c r="D1049" s="22">
        <f>'VIX HISTORIQUE'!G1052</f>
        <v>23.31</v>
      </c>
      <c r="E1049" s="22">
        <f>'VIX HISTORIQUE'!I1052</f>
        <v>25.74</v>
      </c>
      <c r="F1049" s="22">
        <f>'VIX HISTORIQUE'!K1052</f>
        <v>27.7</v>
      </c>
    </row>
    <row r="1050" ht="15.75" customHeight="1">
      <c r="A1050" s="25">
        <f>'VIX HISTORIQUE'!A1053</f>
        <v>44788.66667</v>
      </c>
      <c r="B1050" s="22">
        <f>'VIX HISTORIQUE'!B1053</f>
        <v>4297.14</v>
      </c>
      <c r="C1050" s="22">
        <f>'VIX HISTORIQUE'!D1053</f>
        <v>19.95</v>
      </c>
      <c r="D1050" s="22">
        <f>'VIX HISTORIQUE'!G1053</f>
        <v>23.32</v>
      </c>
      <c r="E1050" s="22">
        <f>'VIX HISTORIQUE'!I1053</f>
        <v>25.7</v>
      </c>
      <c r="F1050" s="22">
        <f>'VIX HISTORIQUE'!K1053</f>
        <v>27.64</v>
      </c>
    </row>
    <row r="1051" ht="15.75" customHeight="1">
      <c r="A1051" s="25">
        <f>'VIX HISTORIQUE'!A1054</f>
        <v>44789.66667</v>
      </c>
      <c r="B1051" s="22">
        <f>'VIX HISTORIQUE'!B1054</f>
        <v>4305.2</v>
      </c>
      <c r="C1051" s="22">
        <f>'VIX HISTORIQUE'!D1054</f>
        <v>19.69</v>
      </c>
      <c r="D1051" s="22">
        <f>'VIX HISTORIQUE'!G1054</f>
        <v>23.32</v>
      </c>
      <c r="E1051" s="22">
        <f>'VIX HISTORIQUE'!I1054</f>
        <v>25.61</v>
      </c>
      <c r="F1051" s="22">
        <f>'VIX HISTORIQUE'!K1054</f>
        <v>27.58</v>
      </c>
    </row>
    <row r="1052" ht="15.75" customHeight="1">
      <c r="A1052" s="25">
        <f>'VIX HISTORIQUE'!A1055</f>
        <v>44790.66667</v>
      </c>
      <c r="B1052" s="22">
        <f>'VIX HISTORIQUE'!B1055</f>
        <v>4274.04</v>
      </c>
      <c r="C1052" s="22">
        <f>'VIX HISTORIQUE'!D1055</f>
        <v>19.9</v>
      </c>
      <c r="D1052" s="22">
        <f>'VIX HISTORIQUE'!G1055</f>
        <v>23.6</v>
      </c>
      <c r="E1052" s="22">
        <f>'VIX HISTORIQUE'!I1055</f>
        <v>26.05</v>
      </c>
      <c r="F1052" s="22">
        <f>'VIX HISTORIQUE'!K1055</f>
        <v>27.94</v>
      </c>
    </row>
    <row r="1053" ht="15.75" customHeight="1">
      <c r="A1053" s="25">
        <f>'VIX HISTORIQUE'!A1056</f>
        <v>44791.66667</v>
      </c>
      <c r="B1053" s="22">
        <f>'VIX HISTORIQUE'!B1056</f>
        <v>4283.74</v>
      </c>
      <c r="C1053" s="22">
        <f>'VIX HISTORIQUE'!D1056</f>
        <v>19.56</v>
      </c>
      <c r="D1053" s="22">
        <f>'VIX HISTORIQUE'!G1056</f>
        <v>23.39</v>
      </c>
      <c r="E1053" s="22">
        <f>'VIX HISTORIQUE'!I1056</f>
        <v>25.88</v>
      </c>
      <c r="F1053" s="22">
        <f>'VIX HISTORIQUE'!K1056</f>
        <v>27.84</v>
      </c>
    </row>
    <row r="1054" ht="15.75" customHeight="1">
      <c r="A1054" s="25">
        <f>'VIX HISTORIQUE'!A1057</f>
        <v>44792.66667</v>
      </c>
      <c r="B1054" s="22">
        <f>'VIX HISTORIQUE'!B1057</f>
        <v>4228.48</v>
      </c>
      <c r="C1054" s="22">
        <f>'VIX HISTORIQUE'!D1057</f>
        <v>20.6</v>
      </c>
      <c r="D1054" s="22">
        <f>'VIX HISTORIQUE'!G1057</f>
        <v>24.32</v>
      </c>
      <c r="E1054" s="22">
        <f>'VIX HISTORIQUE'!I1057</f>
        <v>26.67</v>
      </c>
      <c r="F1054" s="22">
        <f>'VIX HISTORIQUE'!K1057</f>
        <v>28.36</v>
      </c>
    </row>
    <row r="1055" ht="15.75" customHeight="1">
      <c r="A1055" s="25">
        <f>'VIX HISTORIQUE'!A1058</f>
        <v>44795.66667</v>
      </c>
      <c r="B1055" s="22">
        <f>'VIX HISTORIQUE'!B1058</f>
        <v>4137.99</v>
      </c>
      <c r="C1055" s="22">
        <f>'VIX HISTORIQUE'!D1058</f>
        <v>23.8</v>
      </c>
      <c r="D1055" s="22">
        <f>'VIX HISTORIQUE'!G1058</f>
        <v>26</v>
      </c>
      <c r="E1055" s="22">
        <f>'VIX HISTORIQUE'!I1058</f>
        <v>27.83</v>
      </c>
      <c r="F1055" s="22">
        <f>'VIX HISTORIQUE'!K1058</f>
        <v>29.08</v>
      </c>
    </row>
    <row r="1056" ht="15.75" customHeight="1">
      <c r="A1056" s="25">
        <f>'VIX HISTORIQUE'!A1059</f>
        <v>44796.66667</v>
      </c>
      <c r="B1056" s="22">
        <f>'VIX HISTORIQUE'!B1059</f>
        <v>4128.73</v>
      </c>
      <c r="C1056" s="22">
        <f>'VIX HISTORIQUE'!D1059</f>
        <v>24.11</v>
      </c>
      <c r="D1056" s="22">
        <f>'VIX HISTORIQUE'!G1059</f>
        <v>25.92</v>
      </c>
      <c r="E1056" s="22">
        <f>'VIX HISTORIQUE'!I1059</f>
        <v>27.81</v>
      </c>
      <c r="F1056" s="22">
        <f>'VIX HISTORIQUE'!K1059</f>
        <v>28.85</v>
      </c>
    </row>
    <row r="1057" ht="15.75" customHeight="1">
      <c r="A1057" s="25">
        <f>'VIX HISTORIQUE'!A1060</f>
        <v>44797.66667</v>
      </c>
      <c r="B1057" s="22">
        <f>'VIX HISTORIQUE'!B1060</f>
        <v>4140.77</v>
      </c>
      <c r="C1057" s="22">
        <f>'VIX HISTORIQUE'!D1060</f>
        <v>22.82</v>
      </c>
      <c r="D1057" s="22">
        <f>'VIX HISTORIQUE'!G1060</f>
        <v>24.89</v>
      </c>
      <c r="E1057" s="22">
        <f>'VIX HISTORIQUE'!I1060</f>
        <v>27.04</v>
      </c>
      <c r="F1057" s="22">
        <f>'VIX HISTORIQUE'!K1060</f>
        <v>28.46</v>
      </c>
    </row>
    <row r="1058" ht="15.75" customHeight="1">
      <c r="A1058" s="25">
        <f>'VIX HISTORIQUE'!A1061</f>
        <v>44798.66667</v>
      </c>
      <c r="B1058" s="22">
        <f>'VIX HISTORIQUE'!B1061</f>
        <v>4199.12</v>
      </c>
      <c r="C1058" s="22">
        <f>'VIX HISTORIQUE'!D1061</f>
        <v>21.78</v>
      </c>
      <c r="D1058" s="22">
        <f>'VIX HISTORIQUE'!G1061</f>
        <v>24.13</v>
      </c>
      <c r="E1058" s="22">
        <f>'VIX HISTORIQUE'!I1061</f>
        <v>26.52</v>
      </c>
      <c r="F1058" s="22">
        <f>'VIX HISTORIQUE'!K1061</f>
        <v>28.21</v>
      </c>
    </row>
    <row r="1059" ht="15.75" customHeight="1">
      <c r="A1059" s="25">
        <f>'VIX HISTORIQUE'!A1062</f>
        <v>44799.66667</v>
      </c>
      <c r="B1059" s="22">
        <f>'VIX HISTORIQUE'!B1062</f>
        <v>4057.66</v>
      </c>
      <c r="C1059" s="22">
        <f>'VIX HISTORIQUE'!D1062</f>
        <v>25.56</v>
      </c>
      <c r="D1059" s="22">
        <f>'VIX HISTORIQUE'!G1062</f>
        <v>26.56</v>
      </c>
      <c r="E1059" s="22">
        <f>'VIX HISTORIQUE'!I1062</f>
        <v>28.28</v>
      </c>
      <c r="F1059" s="22">
        <f>'VIX HISTORIQUE'!K1062</f>
        <v>29.47</v>
      </c>
    </row>
    <row r="1060" ht="15.75" customHeight="1">
      <c r="A1060" s="25">
        <f>'VIX HISTORIQUE'!A1063</f>
        <v>44802.66667</v>
      </c>
      <c r="B1060" s="22">
        <f>'VIX HISTORIQUE'!B1063</f>
        <v>4030.61</v>
      </c>
      <c r="C1060" s="22">
        <f>'VIX HISTORIQUE'!D1063</f>
        <v>26.21</v>
      </c>
      <c r="D1060" s="22">
        <f>'VIX HISTORIQUE'!G1063</f>
        <v>26.82</v>
      </c>
      <c r="E1060" s="22">
        <f>'VIX HISTORIQUE'!I1063</f>
        <v>28.5</v>
      </c>
      <c r="F1060" s="22">
        <f>'VIX HISTORIQUE'!K1063</f>
        <v>29.32</v>
      </c>
    </row>
    <row r="1061" ht="15.75" customHeight="1">
      <c r="A1061" s="25">
        <f>'VIX HISTORIQUE'!A1064</f>
        <v>44803.66667</v>
      </c>
      <c r="B1061" s="22">
        <f>'VIX HISTORIQUE'!B1064</f>
        <v>3986.16</v>
      </c>
      <c r="C1061" s="22">
        <f>'VIX HISTORIQUE'!D1064</f>
        <v>26.21</v>
      </c>
      <c r="D1061" s="22">
        <f>'VIX HISTORIQUE'!G1064</f>
        <v>26.91</v>
      </c>
      <c r="E1061" s="22">
        <f>'VIX HISTORIQUE'!I1064</f>
        <v>28.45</v>
      </c>
      <c r="F1061" s="22">
        <f>'VIX HISTORIQUE'!K1064</f>
        <v>29.31</v>
      </c>
    </row>
    <row r="1062" ht="15.75" customHeight="1">
      <c r="A1062" s="25">
        <f>'VIX HISTORIQUE'!A1065</f>
        <v>44804.66667</v>
      </c>
      <c r="B1062" s="22">
        <f>'VIX HISTORIQUE'!B1065</f>
        <v>3955</v>
      </c>
      <c r="C1062" s="22">
        <f>'VIX HISTORIQUE'!D1065</f>
        <v>25.87</v>
      </c>
      <c r="D1062" s="22">
        <f>'VIX HISTORIQUE'!G1065</f>
        <v>26.65</v>
      </c>
      <c r="E1062" s="22">
        <f>'VIX HISTORIQUE'!I1065</f>
        <v>28.37</v>
      </c>
      <c r="F1062" s="22">
        <f>'VIX HISTORIQUE'!K1065</f>
        <v>29.26</v>
      </c>
    </row>
    <row r="1063" ht="15.75" customHeight="1">
      <c r="A1063" s="25">
        <f>'VIX HISTORIQUE'!A1066</f>
        <v>44805.66667</v>
      </c>
      <c r="B1063" s="22">
        <f>'VIX HISTORIQUE'!B1066</f>
        <v>3966.85</v>
      </c>
      <c r="C1063" s="22">
        <f>'VIX HISTORIQUE'!D1066</f>
        <v>25.56</v>
      </c>
      <c r="D1063" s="22">
        <f>'VIX HISTORIQUE'!G1066</f>
        <v>26.43</v>
      </c>
      <c r="E1063" s="22">
        <f>'VIX HISTORIQUE'!I1066</f>
        <v>28.16</v>
      </c>
      <c r="F1063" s="22">
        <f>'VIX HISTORIQUE'!K1066</f>
        <v>29.17</v>
      </c>
    </row>
    <row r="1064" ht="15.75" customHeight="1">
      <c r="A1064" s="25">
        <f>'VIX HISTORIQUE'!A1067</f>
        <v>44806.66667</v>
      </c>
      <c r="B1064" s="22">
        <f>'VIX HISTORIQUE'!B1067</f>
        <v>3924.26</v>
      </c>
      <c r="C1064" s="22">
        <f>'VIX HISTORIQUE'!D1067</f>
        <v>25.47</v>
      </c>
      <c r="D1064" s="22">
        <f>'VIX HISTORIQUE'!G1067</f>
        <v>26.48</v>
      </c>
      <c r="E1064" s="22">
        <f>'VIX HISTORIQUE'!I1067</f>
        <v>28.11</v>
      </c>
      <c r="F1064" s="22">
        <f>'VIX HISTORIQUE'!K1067</f>
        <v>29.15</v>
      </c>
    </row>
    <row r="1065" ht="15.75" customHeight="1">
      <c r="A1065" s="25">
        <f>'VIX HISTORIQUE'!A1068</f>
        <v>44810.66667</v>
      </c>
      <c r="B1065" s="22">
        <f>'VIX HISTORIQUE'!B1068</f>
        <v>3908.19</v>
      </c>
      <c r="C1065" s="22">
        <f>'VIX HISTORIQUE'!D1068</f>
        <v>26.91</v>
      </c>
      <c r="D1065" s="22">
        <f>'VIX HISTORIQUE'!G1068</f>
        <v>27.59</v>
      </c>
      <c r="E1065" s="22">
        <f>'VIX HISTORIQUE'!I1068</f>
        <v>28.89</v>
      </c>
      <c r="F1065" s="22">
        <f>'VIX HISTORIQUE'!K1068</f>
        <v>29.45</v>
      </c>
    </row>
    <row r="1066" ht="15.75" customHeight="1">
      <c r="A1066" s="25">
        <f>'VIX HISTORIQUE'!A1069</f>
        <v>44811.66667</v>
      </c>
      <c r="B1066" s="22">
        <f>'VIX HISTORIQUE'!B1069</f>
        <v>3979.87</v>
      </c>
      <c r="C1066" s="22">
        <f>'VIX HISTORIQUE'!D1069</f>
        <v>24.64</v>
      </c>
      <c r="D1066" s="22">
        <f>'VIX HISTORIQUE'!G1069</f>
        <v>26.1</v>
      </c>
      <c r="E1066" s="22">
        <f>'VIX HISTORIQUE'!I1069</f>
        <v>27.72</v>
      </c>
      <c r="F1066" s="22">
        <f>'VIX HISTORIQUE'!K1069</f>
        <v>28.75</v>
      </c>
    </row>
    <row r="1067" ht="15.75" customHeight="1">
      <c r="A1067" s="25">
        <f>'VIX HISTORIQUE'!A1070</f>
        <v>44812.66667</v>
      </c>
      <c r="B1067" s="22">
        <f>'VIX HISTORIQUE'!B1070</f>
        <v>4006.18</v>
      </c>
      <c r="C1067" s="22">
        <f>'VIX HISTORIQUE'!D1070</f>
        <v>23.61</v>
      </c>
      <c r="D1067" s="22">
        <f>'VIX HISTORIQUE'!G1070</f>
        <v>25.52</v>
      </c>
      <c r="E1067" s="22">
        <f>'VIX HISTORIQUE'!I1070</f>
        <v>27.29</v>
      </c>
      <c r="F1067" s="22">
        <f>'VIX HISTORIQUE'!K1070</f>
        <v>28.45</v>
      </c>
    </row>
    <row r="1068" ht="15.75" customHeight="1">
      <c r="A1068" s="25">
        <f>'VIX HISTORIQUE'!A1071</f>
        <v>44813.66667</v>
      </c>
      <c r="B1068" s="22">
        <f>'VIX HISTORIQUE'!B1071</f>
        <v>4067.36</v>
      </c>
      <c r="C1068" s="22">
        <f>'VIX HISTORIQUE'!D1071</f>
        <v>22.79</v>
      </c>
      <c r="D1068" s="22">
        <f>'VIX HISTORIQUE'!G1071</f>
        <v>25.14</v>
      </c>
      <c r="E1068" s="22">
        <f>'VIX HISTORIQUE'!I1071</f>
        <v>27.07</v>
      </c>
      <c r="F1068" s="22">
        <f>'VIX HISTORIQUE'!K1071</f>
        <v>28.29</v>
      </c>
    </row>
    <row r="1069" ht="15.75" customHeight="1">
      <c r="A1069" s="25">
        <f>'VIX HISTORIQUE'!A1072</f>
        <v>44816.66667</v>
      </c>
      <c r="B1069" s="22">
        <f>'VIX HISTORIQUE'!B1072</f>
        <v>4110.41</v>
      </c>
      <c r="C1069" s="22">
        <f>'VIX HISTORIQUE'!D1072</f>
        <v>23.87</v>
      </c>
      <c r="D1069" s="22">
        <f>'VIX HISTORIQUE'!G1072</f>
        <v>25.37</v>
      </c>
      <c r="E1069" s="22">
        <f>'VIX HISTORIQUE'!I1072</f>
        <v>26.84</v>
      </c>
      <c r="F1069" s="22">
        <f>'VIX HISTORIQUE'!K1072</f>
        <v>28.08</v>
      </c>
    </row>
    <row r="1070" ht="15.75" customHeight="1">
      <c r="A1070" s="25">
        <f>'VIX HISTORIQUE'!A1073</f>
        <v>44817.66667</v>
      </c>
      <c r="B1070" s="22">
        <f>'VIX HISTORIQUE'!B1073</f>
        <v>3932.69</v>
      </c>
      <c r="C1070" s="22">
        <f>'VIX HISTORIQUE'!D1073</f>
        <v>27.27</v>
      </c>
      <c r="D1070" s="22">
        <f>'VIX HISTORIQUE'!G1073</f>
        <v>27.95</v>
      </c>
      <c r="E1070" s="22">
        <f>'VIX HISTORIQUE'!I1073</f>
        <v>29.04</v>
      </c>
      <c r="F1070" s="22">
        <f>'VIX HISTORIQUE'!K1073</f>
        <v>29.69</v>
      </c>
    </row>
    <row r="1071" ht="15.75" customHeight="1">
      <c r="A1071" s="25">
        <f>'VIX HISTORIQUE'!A1074</f>
        <v>44818.66667</v>
      </c>
      <c r="B1071" s="22">
        <f>'VIX HISTORIQUE'!B1074</f>
        <v>3946.01</v>
      </c>
      <c r="C1071" s="22">
        <f>'VIX HISTORIQUE'!D1074</f>
        <v>26.16</v>
      </c>
      <c r="D1071" s="22">
        <f>'VIX HISTORIQUE'!G1074</f>
        <v>27.46</v>
      </c>
      <c r="E1071" s="22">
        <f>'VIX HISTORIQUE'!I1074</f>
        <v>28.66</v>
      </c>
      <c r="F1071" s="22">
        <f>'VIX HISTORIQUE'!K1074</f>
        <v>29.41</v>
      </c>
    </row>
    <row r="1072" ht="15.75" customHeight="1">
      <c r="A1072" s="25">
        <f>'VIX HISTORIQUE'!A1075</f>
        <v>44819.66667</v>
      </c>
      <c r="B1072" s="22">
        <f>'VIX HISTORIQUE'!B1075</f>
        <v>3901.35</v>
      </c>
      <c r="C1072" s="22">
        <f>'VIX HISTORIQUE'!D1075</f>
        <v>26.27</v>
      </c>
      <c r="D1072" s="22">
        <f>'VIX HISTORIQUE'!G1075</f>
        <v>27.6</v>
      </c>
      <c r="E1072" s="22">
        <f>'VIX HISTORIQUE'!I1075</f>
        <v>28.81</v>
      </c>
      <c r="F1072" s="22">
        <f>'VIX HISTORIQUE'!K1075</f>
        <v>29.47</v>
      </c>
    </row>
    <row r="1073" ht="15.75" customHeight="1">
      <c r="A1073" s="25">
        <f>'VIX HISTORIQUE'!A1076</f>
        <v>44820.66667</v>
      </c>
      <c r="B1073" s="22">
        <f>'VIX HISTORIQUE'!B1076</f>
        <v>3873.33</v>
      </c>
      <c r="C1073" s="22">
        <f>'VIX HISTORIQUE'!D1076</f>
        <v>26.3</v>
      </c>
      <c r="D1073" s="22">
        <f>'VIX HISTORIQUE'!G1076</f>
        <v>27.63</v>
      </c>
      <c r="E1073" s="22">
        <f>'VIX HISTORIQUE'!I1076</f>
        <v>28.85</v>
      </c>
      <c r="F1073" s="22">
        <f>'VIX HISTORIQUE'!K1076</f>
        <v>29.52</v>
      </c>
    </row>
    <row r="1074" ht="15.75" customHeight="1">
      <c r="A1074" s="25">
        <f>'VIX HISTORIQUE'!A1077</f>
        <v>44823.66667</v>
      </c>
      <c r="B1074" s="22">
        <f>'VIX HISTORIQUE'!B1077</f>
        <v>3899.89</v>
      </c>
      <c r="C1074" s="22">
        <f>'VIX HISTORIQUE'!D1077</f>
        <v>25.76</v>
      </c>
      <c r="D1074" s="22">
        <f>'VIX HISTORIQUE'!G1077</f>
        <v>27.01</v>
      </c>
      <c r="E1074" s="22">
        <f>'VIX HISTORIQUE'!I1077</f>
        <v>28.33</v>
      </c>
      <c r="F1074" s="22">
        <f>'VIX HISTORIQUE'!K1077</f>
        <v>29.13</v>
      </c>
    </row>
    <row r="1075" ht="15.75" customHeight="1">
      <c r="A1075" s="25">
        <f>'VIX HISTORIQUE'!A1078</f>
        <v>44824.66667</v>
      </c>
      <c r="B1075" s="22">
        <f>'VIX HISTORIQUE'!B1078</f>
        <v>3855.93</v>
      </c>
      <c r="C1075" s="22">
        <f>'VIX HISTORIQUE'!D1078</f>
        <v>27.16</v>
      </c>
      <c r="D1075" s="22">
        <f>'VIX HISTORIQUE'!G1078</f>
        <v>27.88</v>
      </c>
      <c r="E1075" s="22">
        <f>'VIX HISTORIQUE'!I1078</f>
        <v>28.98</v>
      </c>
      <c r="F1075" s="22">
        <f>'VIX HISTORIQUE'!K1078</f>
        <v>29.57</v>
      </c>
    </row>
    <row r="1076" ht="15.75" customHeight="1">
      <c r="A1076" s="25">
        <f>'VIX HISTORIQUE'!A1079</f>
        <v>44825.66667</v>
      </c>
      <c r="B1076" s="22">
        <f>'VIX HISTORIQUE'!B1079</f>
        <v>3789.93</v>
      </c>
      <c r="C1076" s="22">
        <f>'VIX HISTORIQUE'!D1079</f>
        <v>27.99</v>
      </c>
      <c r="D1076" s="22">
        <f>'VIX HISTORIQUE'!G1079</f>
        <v>28.76</v>
      </c>
      <c r="E1076" s="22">
        <f>'VIX HISTORIQUE'!I1079</f>
        <v>29.66</v>
      </c>
      <c r="F1076" s="22">
        <f>'VIX HISTORIQUE'!K1079</f>
        <v>30</v>
      </c>
    </row>
    <row r="1077" ht="15.75" customHeight="1">
      <c r="A1077" s="25">
        <f>'VIX HISTORIQUE'!A1080</f>
        <v>44826.66667</v>
      </c>
      <c r="B1077" s="22">
        <f>'VIX HISTORIQUE'!B1080</f>
        <v>3757.99</v>
      </c>
      <c r="C1077" s="22">
        <f>'VIX HISTORIQUE'!D1080</f>
        <v>27.35</v>
      </c>
      <c r="D1077" s="22">
        <f>'VIX HISTORIQUE'!G1080</f>
        <v>28.22</v>
      </c>
      <c r="E1077" s="22">
        <f>'VIX HISTORIQUE'!I1080</f>
        <v>29.34</v>
      </c>
      <c r="F1077" s="22">
        <f>'VIX HISTORIQUE'!K1080</f>
        <v>29.75</v>
      </c>
    </row>
    <row r="1078" ht="15.75" customHeight="1">
      <c r="A1078" s="25">
        <f>'VIX HISTORIQUE'!A1081</f>
        <v>44827.66667</v>
      </c>
      <c r="B1078" s="22">
        <f>'VIX HISTORIQUE'!B1081</f>
        <v>3693.23</v>
      </c>
      <c r="C1078" s="22">
        <f>'VIX HISTORIQUE'!D1081</f>
        <v>29.92</v>
      </c>
      <c r="D1078" s="22">
        <f>'VIX HISTORIQUE'!G1081</f>
        <v>30.32</v>
      </c>
      <c r="E1078" s="22">
        <f>'VIX HISTORIQUE'!I1081</f>
        <v>30.92</v>
      </c>
      <c r="F1078" s="22">
        <f>'VIX HISTORIQUE'!K1081</f>
        <v>30.83</v>
      </c>
    </row>
    <row r="1079" ht="15.75" customHeight="1">
      <c r="A1079" s="25">
        <f>'VIX HISTORIQUE'!A1082</f>
        <v>44830.66667</v>
      </c>
      <c r="B1079" s="22">
        <f>'VIX HISTORIQUE'!B1082</f>
        <v>3655.04</v>
      </c>
      <c r="C1079" s="22">
        <f>'VIX HISTORIQUE'!D1082</f>
        <v>32.26</v>
      </c>
      <c r="D1079" s="22">
        <f>'VIX HISTORIQUE'!G1082</f>
        <v>31.77</v>
      </c>
      <c r="E1079" s="22">
        <f>'VIX HISTORIQUE'!I1082</f>
        <v>32.12</v>
      </c>
      <c r="F1079" s="22">
        <f>'VIX HISTORIQUE'!K1082</f>
        <v>31.73</v>
      </c>
    </row>
    <row r="1080" ht="15.75" customHeight="1">
      <c r="A1080" s="25">
        <f>'VIX HISTORIQUE'!A1083</f>
        <v>44831.66667</v>
      </c>
      <c r="B1080" s="22">
        <f>'VIX HISTORIQUE'!B1083</f>
        <v>3647.29</v>
      </c>
      <c r="C1080" s="22">
        <f>'VIX HISTORIQUE'!D1083</f>
        <v>32.6</v>
      </c>
      <c r="D1080" s="22">
        <f>'VIX HISTORIQUE'!G1083</f>
        <v>32.12</v>
      </c>
      <c r="E1080" s="22">
        <f>'VIX HISTORIQUE'!I1083</f>
        <v>32.45</v>
      </c>
      <c r="F1080" s="22">
        <f>'VIX HISTORIQUE'!K1083</f>
        <v>32.22</v>
      </c>
    </row>
    <row r="1081" ht="15.75" customHeight="1">
      <c r="A1081" s="25">
        <f>'VIX HISTORIQUE'!A1084</f>
        <v>44832.66667</v>
      </c>
      <c r="B1081" s="22">
        <f>'VIX HISTORIQUE'!B1084</f>
        <v>3719.04</v>
      </c>
      <c r="C1081" s="22">
        <f>'VIX HISTORIQUE'!D1084</f>
        <v>30.18</v>
      </c>
      <c r="D1081" s="22">
        <f>'VIX HISTORIQUE'!G1084</f>
        <v>30.58</v>
      </c>
      <c r="E1081" s="22">
        <f>'VIX HISTORIQUE'!I1084</f>
        <v>31.45</v>
      </c>
      <c r="F1081" s="22">
        <f>'VIX HISTORIQUE'!K1084</f>
        <v>31.57</v>
      </c>
    </row>
    <row r="1082" ht="15.75" customHeight="1">
      <c r="A1082" s="25">
        <f>'VIX HISTORIQUE'!A1085</f>
        <v>44833.66667</v>
      </c>
      <c r="B1082" s="22">
        <f>'VIX HISTORIQUE'!B1085</f>
        <v>3640.47</v>
      </c>
      <c r="C1082" s="22">
        <f>'VIX HISTORIQUE'!D1085</f>
        <v>31.84</v>
      </c>
      <c r="D1082" s="22">
        <f>'VIX HISTORIQUE'!G1085</f>
        <v>31.74</v>
      </c>
      <c r="E1082" s="22">
        <f>'VIX HISTORIQUE'!I1085</f>
        <v>32.32</v>
      </c>
      <c r="F1082" s="22">
        <f>'VIX HISTORIQUE'!K1085</f>
        <v>32.12</v>
      </c>
    </row>
    <row r="1083" ht="15.75" customHeight="1">
      <c r="A1083" s="25">
        <f>'VIX HISTORIQUE'!A1086</f>
        <v>44834.66667</v>
      </c>
      <c r="B1083" s="22">
        <f>'VIX HISTORIQUE'!B1086</f>
        <v>3585.62</v>
      </c>
      <c r="C1083" s="22">
        <f>'VIX HISTORIQUE'!D1086</f>
        <v>31.62</v>
      </c>
      <c r="D1083" s="22">
        <f>'VIX HISTORIQUE'!G1086</f>
        <v>31.86</v>
      </c>
      <c r="E1083" s="22">
        <f>'VIX HISTORIQUE'!I1086</f>
        <v>32.48</v>
      </c>
      <c r="F1083" s="22">
        <f>'VIX HISTORIQUE'!K1086</f>
        <v>32.08</v>
      </c>
    </row>
    <row r="1084" ht="15.75" customHeight="1">
      <c r="A1084" s="25">
        <f>'VIX HISTORIQUE'!A1087</f>
        <v>44837.66667</v>
      </c>
      <c r="B1084" s="22">
        <f>'VIX HISTORIQUE'!B1087</f>
        <v>3678.43</v>
      </c>
      <c r="C1084" s="22">
        <f>'VIX HISTORIQUE'!D1087</f>
        <v>30.1</v>
      </c>
      <c r="D1084" s="22">
        <f>'VIX HISTORIQUE'!G1087</f>
        <v>30.69</v>
      </c>
      <c r="E1084" s="22">
        <f>'VIX HISTORIQUE'!I1087</f>
        <v>31.46</v>
      </c>
      <c r="F1084" s="22">
        <f>'VIX HISTORIQUE'!K1087</f>
        <v>31.38</v>
      </c>
    </row>
    <row r="1085" ht="15.75" customHeight="1">
      <c r="A1085" s="25">
        <f>'VIX HISTORIQUE'!A1088</f>
        <v>44838.66667</v>
      </c>
      <c r="B1085" s="22">
        <f>'VIX HISTORIQUE'!B1088</f>
        <v>3790.93</v>
      </c>
      <c r="C1085" s="22">
        <f>'VIX HISTORIQUE'!D1088</f>
        <v>29.07</v>
      </c>
      <c r="D1085" s="22">
        <f>'VIX HISTORIQUE'!G1088</f>
        <v>29.67</v>
      </c>
      <c r="E1085" s="22">
        <f>'VIX HISTORIQUE'!I1088</f>
        <v>30.6</v>
      </c>
      <c r="F1085" s="22">
        <f>'VIX HISTORIQUE'!K1088</f>
        <v>30.77</v>
      </c>
    </row>
    <row r="1086" ht="15.75" customHeight="1">
      <c r="A1086" s="25">
        <f>'VIX HISTORIQUE'!A1089</f>
        <v>44839.66667</v>
      </c>
      <c r="B1086" s="22">
        <f>'VIX HISTORIQUE'!B1089</f>
        <v>3783.28</v>
      </c>
      <c r="C1086" s="22">
        <f>'VIX HISTORIQUE'!D1089</f>
        <v>28.55</v>
      </c>
      <c r="D1086" s="22">
        <f>'VIX HISTORIQUE'!G1089</f>
        <v>29.43</v>
      </c>
      <c r="E1086" s="22">
        <f>'VIX HISTORIQUE'!I1089</f>
        <v>30.63</v>
      </c>
      <c r="F1086" s="22">
        <f>'VIX HISTORIQUE'!K1089</f>
        <v>30.89</v>
      </c>
    </row>
    <row r="1087" ht="15.75" customHeight="1">
      <c r="A1087" s="25">
        <f>'VIX HISTORIQUE'!A1090</f>
        <v>44840.66667</v>
      </c>
      <c r="B1087" s="22">
        <f>'VIX HISTORIQUE'!B1090</f>
        <v>3744.52</v>
      </c>
      <c r="C1087" s="22">
        <f>'VIX HISTORIQUE'!D1090</f>
        <v>30.52</v>
      </c>
      <c r="D1087" s="22">
        <f>'VIX HISTORIQUE'!G1090</f>
        <v>30.79</v>
      </c>
      <c r="E1087" s="22">
        <f>'VIX HISTORIQUE'!I1090</f>
        <v>31.66</v>
      </c>
      <c r="F1087" s="22">
        <f>'VIX HISTORIQUE'!K1090</f>
        <v>31.6</v>
      </c>
    </row>
    <row r="1088" ht="15.75" customHeight="1">
      <c r="A1088" s="25">
        <f>'VIX HISTORIQUE'!A1091</f>
        <v>44841.66667</v>
      </c>
      <c r="B1088" s="22">
        <f>'VIX HISTORIQUE'!B1091</f>
        <v>3639.66</v>
      </c>
      <c r="C1088" s="22">
        <f>'VIX HISTORIQUE'!D1091</f>
        <v>31.36</v>
      </c>
      <c r="D1088" s="22">
        <f>'VIX HISTORIQUE'!G1091</f>
        <v>32.1</v>
      </c>
      <c r="E1088" s="22">
        <f>'VIX HISTORIQUE'!I1091</f>
        <v>32.77</v>
      </c>
      <c r="F1088" s="22">
        <f>'VIX HISTORIQUE'!K1091</f>
        <v>32.58</v>
      </c>
    </row>
    <row r="1089" ht="15.75" customHeight="1">
      <c r="A1089" s="25">
        <f>'VIX HISTORIQUE'!A1092</f>
        <v>44844.66667</v>
      </c>
      <c r="B1089" s="22">
        <f>'VIX HISTORIQUE'!B1092</f>
        <v>3612.39</v>
      </c>
      <c r="C1089" s="22">
        <f>'VIX HISTORIQUE'!D1092</f>
        <v>32.45</v>
      </c>
      <c r="D1089" s="22">
        <f>'VIX HISTORIQUE'!G1092</f>
        <v>32.73</v>
      </c>
      <c r="E1089" s="22">
        <f>'VIX HISTORIQUE'!I1092</f>
        <v>33.17</v>
      </c>
      <c r="F1089" s="22">
        <f>'VIX HISTORIQUE'!K1092</f>
        <v>32.81</v>
      </c>
    </row>
    <row r="1090" ht="15.75" customHeight="1">
      <c r="A1090" s="25">
        <f>'VIX HISTORIQUE'!A1093</f>
        <v>44845.66667</v>
      </c>
      <c r="B1090" s="22">
        <f>'VIX HISTORIQUE'!B1093</f>
        <v>3588.84</v>
      </c>
      <c r="C1090" s="22">
        <f>'VIX HISTORIQUE'!D1093</f>
        <v>33.63</v>
      </c>
      <c r="D1090" s="22">
        <f>'VIX HISTORIQUE'!G1093</f>
        <v>33.36</v>
      </c>
      <c r="E1090" s="22">
        <f>'VIX HISTORIQUE'!I1093</f>
        <v>33.76</v>
      </c>
      <c r="F1090" s="22">
        <f>'VIX HISTORIQUE'!K1093</f>
        <v>33.14</v>
      </c>
    </row>
    <row r="1091" ht="15.75" customHeight="1">
      <c r="A1091" s="25">
        <f>'VIX HISTORIQUE'!A1094</f>
        <v>44846.66667</v>
      </c>
      <c r="B1091" s="22">
        <f>'VIX HISTORIQUE'!B1094</f>
        <v>3577.03</v>
      </c>
      <c r="C1091" s="22">
        <f>'VIX HISTORIQUE'!D1094</f>
        <v>33.57</v>
      </c>
      <c r="D1091" s="22">
        <f>'VIX HISTORIQUE'!G1094</f>
        <v>33.13</v>
      </c>
      <c r="E1091" s="22">
        <f>'VIX HISTORIQUE'!I1094</f>
        <v>33.44</v>
      </c>
      <c r="F1091" s="22">
        <f>'VIX HISTORIQUE'!K1094</f>
        <v>33.04</v>
      </c>
    </row>
    <row r="1092" ht="15.75" customHeight="1">
      <c r="A1092" s="25">
        <f>'VIX HISTORIQUE'!A1095</f>
        <v>44847.66667</v>
      </c>
      <c r="B1092" s="22">
        <f>'VIX HISTORIQUE'!B1095</f>
        <v>3669.91</v>
      </c>
      <c r="C1092" s="22">
        <f>'VIX HISTORIQUE'!D1095</f>
        <v>31.94</v>
      </c>
      <c r="D1092" s="22">
        <f>'VIX HISTORIQUE'!G1095</f>
        <v>31.8</v>
      </c>
      <c r="E1092" s="22">
        <f>'VIX HISTORIQUE'!I1095</f>
        <v>32.33</v>
      </c>
      <c r="F1092" s="22">
        <f>'VIX HISTORIQUE'!K1095</f>
        <v>32.24</v>
      </c>
    </row>
    <row r="1093" ht="15.75" customHeight="1">
      <c r="A1093" s="25">
        <f>'VIX HISTORIQUE'!A1096</f>
        <v>44848.66667</v>
      </c>
      <c r="B1093" s="22">
        <f>'VIX HISTORIQUE'!B1096</f>
        <v>3583.07</v>
      </c>
      <c r="C1093" s="22">
        <f>'VIX HISTORIQUE'!D1096</f>
        <v>32.02</v>
      </c>
      <c r="D1093" s="22">
        <f>'VIX HISTORIQUE'!G1096</f>
        <v>32.45</v>
      </c>
      <c r="E1093" s="22">
        <f>'VIX HISTORIQUE'!I1096</f>
        <v>33.09</v>
      </c>
      <c r="F1093" s="22">
        <f>'VIX HISTORIQUE'!K1096</f>
        <v>32.81</v>
      </c>
    </row>
    <row r="1094" ht="15.75" customHeight="1">
      <c r="A1094" s="25">
        <f>'VIX HISTORIQUE'!A1097</f>
        <v>44851.66667</v>
      </c>
      <c r="B1094" s="22">
        <f>'VIX HISTORIQUE'!B1097</f>
        <v>3677.95</v>
      </c>
      <c r="C1094" s="22">
        <f>'VIX HISTORIQUE'!D1097</f>
        <v>31.37</v>
      </c>
      <c r="D1094" s="22">
        <f>'VIX HISTORIQUE'!G1097</f>
        <v>31.74</v>
      </c>
      <c r="E1094" s="22">
        <f>'VIX HISTORIQUE'!I1097</f>
        <v>32.44</v>
      </c>
      <c r="F1094" s="22">
        <f>'VIX HISTORIQUE'!K1097</f>
        <v>32.14</v>
      </c>
    </row>
    <row r="1095" ht="15.75" customHeight="1">
      <c r="A1095" s="25">
        <f>'VIX HISTORIQUE'!A1098</f>
        <v>44852.66667</v>
      </c>
      <c r="B1095" s="22">
        <f>'VIX HISTORIQUE'!B1098</f>
        <v>3719.98</v>
      </c>
      <c r="C1095" s="22">
        <f>'VIX HISTORIQUE'!D1098</f>
        <v>30.5</v>
      </c>
      <c r="D1095" s="22">
        <f>'VIX HISTORIQUE'!G1098</f>
        <v>30.98</v>
      </c>
      <c r="E1095" s="22">
        <f>'VIX HISTORIQUE'!I1098</f>
        <v>31.77</v>
      </c>
      <c r="F1095" s="22">
        <f>'VIX HISTORIQUE'!K1098</f>
        <v>31.79</v>
      </c>
    </row>
    <row r="1096" ht="15.75" customHeight="1">
      <c r="A1096" s="25">
        <f>'VIX HISTORIQUE'!A1099</f>
        <v>44853.66667</v>
      </c>
      <c r="B1096" s="22">
        <f>'VIX HISTORIQUE'!B1099</f>
        <v>3695.16</v>
      </c>
      <c r="C1096" s="22">
        <f>'VIX HISTORIQUE'!D1099</f>
        <v>30.76</v>
      </c>
      <c r="D1096" s="22">
        <f>'VIX HISTORIQUE'!G1099</f>
        <v>31.35</v>
      </c>
      <c r="E1096" s="22">
        <f>'VIX HISTORIQUE'!I1099</f>
        <v>32.13</v>
      </c>
      <c r="F1096" s="22">
        <f>'VIX HISTORIQUE'!K1099</f>
        <v>32.08</v>
      </c>
    </row>
    <row r="1097" ht="15.75" customHeight="1">
      <c r="A1097" s="25">
        <f>'VIX HISTORIQUE'!A1100</f>
        <v>44854.66667</v>
      </c>
      <c r="B1097" s="22">
        <f>'VIX HISTORIQUE'!B1100</f>
        <v>3665.78</v>
      </c>
      <c r="C1097" s="22">
        <f>'VIX HISTORIQUE'!D1100</f>
        <v>29.98</v>
      </c>
      <c r="D1097" s="22">
        <f>'VIX HISTORIQUE'!G1100</f>
        <v>30.81</v>
      </c>
      <c r="E1097" s="22">
        <f>'VIX HISTORIQUE'!I1100</f>
        <v>31.76</v>
      </c>
      <c r="F1097" s="22">
        <f>'VIX HISTORIQUE'!K1100</f>
        <v>31.96</v>
      </c>
    </row>
    <row r="1098" ht="15.75" customHeight="1">
      <c r="A1098" s="25">
        <f>'VIX HISTORIQUE'!A1101</f>
        <v>44855.66667</v>
      </c>
      <c r="B1098" s="22">
        <f>'VIX HISTORIQUE'!B1101</f>
        <v>3752.75</v>
      </c>
      <c r="C1098" s="22">
        <f>'VIX HISTORIQUE'!D1101</f>
        <v>29.69</v>
      </c>
      <c r="D1098" s="22">
        <f>'VIX HISTORIQUE'!G1101</f>
        <v>30.47</v>
      </c>
      <c r="E1098" s="22">
        <f>'VIX HISTORIQUE'!I1101</f>
        <v>31.49</v>
      </c>
      <c r="F1098" s="22">
        <f>'VIX HISTORIQUE'!K1101</f>
        <v>31.71</v>
      </c>
    </row>
    <row r="1099" ht="15.75" customHeight="1">
      <c r="A1099" s="25">
        <f>'VIX HISTORIQUE'!A1102</f>
        <v>44858.66667</v>
      </c>
      <c r="B1099" s="22">
        <f>'VIX HISTORIQUE'!B1102</f>
        <v>3797.34</v>
      </c>
      <c r="C1099" s="22">
        <f>'VIX HISTORIQUE'!D1102</f>
        <v>29.85</v>
      </c>
      <c r="D1099" s="22">
        <f>'VIX HISTORIQUE'!G1102</f>
        <v>30.33</v>
      </c>
      <c r="E1099" s="22">
        <f>'VIX HISTORIQUE'!I1102</f>
        <v>31.33</v>
      </c>
      <c r="F1099" s="22">
        <f>'VIX HISTORIQUE'!K1102</f>
        <v>31.64</v>
      </c>
    </row>
    <row r="1100" ht="15.75" customHeight="1">
      <c r="A1100" s="25">
        <f>'VIX HISTORIQUE'!A1103</f>
        <v>44859.66667</v>
      </c>
      <c r="B1100" s="22">
        <f>'VIX HISTORIQUE'!B1103</f>
        <v>3859.11</v>
      </c>
      <c r="C1100" s="22">
        <f>'VIX HISTORIQUE'!D1103</f>
        <v>28.46</v>
      </c>
      <c r="D1100" s="22">
        <f>'VIX HISTORIQUE'!G1103</f>
        <v>29.29</v>
      </c>
      <c r="E1100" s="22">
        <f>'VIX HISTORIQUE'!I1103</f>
        <v>30.54</v>
      </c>
      <c r="F1100" s="22">
        <f>'VIX HISTORIQUE'!K1103</f>
        <v>31</v>
      </c>
    </row>
    <row r="1101" ht="15.75" customHeight="1">
      <c r="A1101" s="25">
        <f>'VIX HISTORIQUE'!A1104</f>
        <v>44860.66667</v>
      </c>
      <c r="B1101" s="22">
        <f>'VIX HISTORIQUE'!B1104</f>
        <v>3830.6</v>
      </c>
      <c r="C1101" s="22">
        <f>'VIX HISTORIQUE'!D1104</f>
        <v>27.28</v>
      </c>
      <c r="D1101" s="22">
        <f>'VIX HISTORIQUE'!G1104</f>
        <v>28.46</v>
      </c>
      <c r="E1101" s="22">
        <f>'VIX HISTORIQUE'!I1104</f>
        <v>29.96</v>
      </c>
      <c r="F1101" s="22">
        <f>'VIX HISTORIQUE'!K1104</f>
        <v>30.68</v>
      </c>
    </row>
    <row r="1102" ht="15.75" customHeight="1">
      <c r="A1102" s="25">
        <f>'VIX HISTORIQUE'!A1105</f>
        <v>44861.66667</v>
      </c>
      <c r="B1102" s="22">
        <f>'VIX HISTORIQUE'!B1105</f>
        <v>3807.3</v>
      </c>
      <c r="C1102" s="22">
        <f>'VIX HISTORIQUE'!D1105</f>
        <v>27.39</v>
      </c>
      <c r="D1102" s="22">
        <f>'VIX HISTORIQUE'!G1105</f>
        <v>28.28</v>
      </c>
      <c r="E1102" s="22">
        <f>'VIX HISTORIQUE'!I1105</f>
        <v>29.78</v>
      </c>
      <c r="F1102" s="22">
        <f>'VIX HISTORIQUE'!K1105</f>
        <v>30.58</v>
      </c>
    </row>
    <row r="1103" ht="15.75" customHeight="1">
      <c r="A1103" s="25">
        <f>'VIX HISTORIQUE'!A1106</f>
        <v>44862.66667</v>
      </c>
      <c r="B1103" s="22">
        <f>'VIX HISTORIQUE'!B1106</f>
        <v>3901.06</v>
      </c>
      <c r="C1103" s="22">
        <f>'VIX HISTORIQUE'!D1106</f>
        <v>25.75</v>
      </c>
      <c r="D1103" s="22">
        <f>'VIX HISTORIQUE'!G1106</f>
        <v>26.9</v>
      </c>
      <c r="E1103" s="22">
        <f>'VIX HISTORIQUE'!I1106</f>
        <v>28.53</v>
      </c>
      <c r="F1103" s="22">
        <f>'VIX HISTORIQUE'!K1106</f>
        <v>29.57</v>
      </c>
    </row>
    <row r="1104" ht="15.75" customHeight="1">
      <c r="A1104" s="25">
        <f>'VIX HISTORIQUE'!A1107</f>
        <v>44865.66667</v>
      </c>
      <c r="B1104" s="22">
        <f>'VIX HISTORIQUE'!B1107</f>
        <v>3871.98</v>
      </c>
      <c r="C1104" s="22">
        <f>'VIX HISTORIQUE'!D1107</f>
        <v>25.88</v>
      </c>
      <c r="D1104" s="22">
        <f>'VIX HISTORIQUE'!G1107</f>
        <v>26.92</v>
      </c>
      <c r="E1104" s="22">
        <f>'VIX HISTORIQUE'!I1107</f>
        <v>28.58</v>
      </c>
      <c r="F1104" s="22">
        <f>'VIX HISTORIQUE'!K1107</f>
        <v>29.73</v>
      </c>
    </row>
    <row r="1105" ht="15.75" customHeight="1">
      <c r="A1105" s="25">
        <f>'VIX HISTORIQUE'!A1108</f>
        <v>44866.66667</v>
      </c>
      <c r="B1105" s="22">
        <f>'VIX HISTORIQUE'!B1108</f>
        <v>3856.1</v>
      </c>
      <c r="C1105" s="22">
        <f>'VIX HISTORIQUE'!D1108</f>
        <v>25.81</v>
      </c>
      <c r="D1105" s="22">
        <f>'VIX HISTORIQUE'!G1108</f>
        <v>26.69</v>
      </c>
      <c r="E1105" s="22">
        <f>'VIX HISTORIQUE'!I1108</f>
        <v>28.25</v>
      </c>
      <c r="F1105" s="22">
        <f>'VIX HISTORIQUE'!K1108</f>
        <v>29.38</v>
      </c>
    </row>
    <row r="1106" ht="15.75" customHeight="1">
      <c r="A1106" s="25">
        <f>'VIX HISTORIQUE'!A1109</f>
        <v>44867.66667</v>
      </c>
      <c r="B1106" s="22">
        <f>'VIX HISTORIQUE'!B1109</f>
        <v>3759.69</v>
      </c>
      <c r="C1106" s="22">
        <f>'VIX HISTORIQUE'!D1109</f>
        <v>25.86</v>
      </c>
      <c r="D1106" s="22">
        <f>'VIX HISTORIQUE'!G1109</f>
        <v>27.22</v>
      </c>
      <c r="E1106" s="22">
        <f>'VIX HISTORIQUE'!I1109</f>
        <v>28.72</v>
      </c>
      <c r="F1106" s="22">
        <f>'VIX HISTORIQUE'!K1109</f>
        <v>29.74</v>
      </c>
    </row>
    <row r="1107" ht="15.75" customHeight="1">
      <c r="A1107" s="25">
        <f>'VIX HISTORIQUE'!A1110</f>
        <v>44868.66667</v>
      </c>
      <c r="B1107" s="22">
        <f>'VIX HISTORIQUE'!B1110</f>
        <v>3719.89</v>
      </c>
      <c r="C1107" s="22">
        <f>'VIX HISTORIQUE'!D1110</f>
        <v>25.3</v>
      </c>
      <c r="D1107" s="22">
        <f>'VIX HISTORIQUE'!G1110</f>
        <v>26.7</v>
      </c>
      <c r="E1107" s="22">
        <f>'VIX HISTORIQUE'!I1110</f>
        <v>28.22</v>
      </c>
      <c r="F1107" s="22">
        <f>'VIX HISTORIQUE'!K1110</f>
        <v>29.33</v>
      </c>
    </row>
    <row r="1108" ht="15.75" customHeight="1">
      <c r="A1108" s="25">
        <f>'VIX HISTORIQUE'!A1111</f>
        <v>44869.66667</v>
      </c>
      <c r="B1108" s="22">
        <f>'VIX HISTORIQUE'!B1111</f>
        <v>3770.55</v>
      </c>
      <c r="C1108" s="22">
        <f>'VIX HISTORIQUE'!D1111</f>
        <v>24.55</v>
      </c>
      <c r="D1108" s="22">
        <f>'VIX HISTORIQUE'!G1111</f>
        <v>26.39</v>
      </c>
      <c r="E1108" s="22">
        <f>'VIX HISTORIQUE'!I1111</f>
        <v>27.99</v>
      </c>
      <c r="F1108" s="22">
        <f>'VIX HISTORIQUE'!K1111</f>
        <v>29.16</v>
      </c>
    </row>
    <row r="1109" ht="15.75" customHeight="1">
      <c r="A1109" s="25">
        <f>'VIX HISTORIQUE'!A1112</f>
        <v>44872.66667</v>
      </c>
      <c r="B1109" s="22">
        <f>'VIX HISTORIQUE'!B1112</f>
        <v>3806.8</v>
      </c>
      <c r="C1109" s="22">
        <f>'VIX HISTORIQUE'!D1112</f>
        <v>24.35</v>
      </c>
      <c r="D1109" s="22">
        <f>'VIX HISTORIQUE'!G1112</f>
        <v>26.26</v>
      </c>
      <c r="E1109" s="22">
        <f>'VIX HISTORIQUE'!I1112</f>
        <v>27.85</v>
      </c>
      <c r="F1109" s="22">
        <f>'VIX HISTORIQUE'!K1112</f>
        <v>29.03</v>
      </c>
    </row>
    <row r="1110" ht="15.75" customHeight="1">
      <c r="A1110" s="25">
        <f>'VIX HISTORIQUE'!A1113</f>
        <v>44873.66667</v>
      </c>
      <c r="B1110" s="22">
        <f>'VIX HISTORIQUE'!B1113</f>
        <v>3828.11</v>
      </c>
      <c r="C1110" s="22">
        <f>'VIX HISTORIQUE'!D1113</f>
        <v>25.54</v>
      </c>
      <c r="D1110" s="22">
        <f>'VIX HISTORIQUE'!G1113</f>
        <v>27.1</v>
      </c>
      <c r="E1110" s="22">
        <f>'VIX HISTORIQUE'!I1113</f>
        <v>28.48</v>
      </c>
      <c r="F1110" s="22">
        <f>'VIX HISTORIQUE'!K1113</f>
        <v>29.6</v>
      </c>
    </row>
    <row r="1111" ht="15.75" customHeight="1">
      <c r="A1111" s="25">
        <f>'VIX HISTORIQUE'!A1114</f>
        <v>44874.66667</v>
      </c>
      <c r="B1111" s="22">
        <f>'VIX HISTORIQUE'!B1114</f>
        <v>3748.57</v>
      </c>
      <c r="C1111" s="22">
        <f>'VIX HISTORIQUE'!D1114</f>
        <v>26.09</v>
      </c>
      <c r="D1111" s="22">
        <f>'VIX HISTORIQUE'!G1114</f>
        <v>27.91</v>
      </c>
      <c r="E1111" s="22">
        <f>'VIX HISTORIQUE'!I1114</f>
        <v>29.26</v>
      </c>
      <c r="F1111" s="22">
        <f>'VIX HISTORIQUE'!K1114</f>
        <v>30.14</v>
      </c>
    </row>
    <row r="1112" ht="15.75" customHeight="1">
      <c r="A1112" s="25">
        <f>'VIX HISTORIQUE'!A1115</f>
        <v>44875.66667</v>
      </c>
      <c r="B1112" s="22">
        <f>'VIX HISTORIQUE'!B1115</f>
        <v>3956.37</v>
      </c>
      <c r="C1112" s="22">
        <f>'VIX HISTORIQUE'!D1115</f>
        <v>23.53</v>
      </c>
      <c r="D1112" s="22">
        <f>'VIX HISTORIQUE'!G1115</f>
        <v>26.18</v>
      </c>
      <c r="E1112" s="22">
        <f>'VIX HISTORIQUE'!I1115</f>
        <v>27.76</v>
      </c>
      <c r="F1112" s="22">
        <f>'VIX HISTORIQUE'!K1115</f>
        <v>31.29</v>
      </c>
    </row>
    <row r="1113" ht="15.75" customHeight="1">
      <c r="A1113" s="25">
        <f>'VIX HISTORIQUE'!A1116</f>
        <v>44876.66667</v>
      </c>
      <c r="B1113" s="22">
        <f>'VIX HISTORIQUE'!B1116</f>
        <v>3992.93</v>
      </c>
      <c r="C1113" s="22">
        <f>'VIX HISTORIQUE'!D1116</f>
        <v>22.52</v>
      </c>
      <c r="D1113" s="22">
        <f>'VIX HISTORIQUE'!G1116</f>
        <v>25.74</v>
      </c>
      <c r="E1113" s="22">
        <f>'VIX HISTORIQUE'!I1116</f>
        <v>27.74</v>
      </c>
      <c r="F1113" s="22">
        <f>'VIX HISTORIQUE'!K1116</f>
        <v>29.07</v>
      </c>
    </row>
    <row r="1114" ht="15.75" customHeight="1">
      <c r="A1114" s="25">
        <f>'VIX HISTORIQUE'!A1117</f>
        <v>44879.66667</v>
      </c>
      <c r="B1114" s="22">
        <f>'VIX HISTORIQUE'!B1117</f>
        <v>3957.25</v>
      </c>
      <c r="C1114" s="22">
        <f>'VIX HISTORIQUE'!D1117</f>
        <v>23.73</v>
      </c>
      <c r="D1114" s="22">
        <f>'VIX HISTORIQUE'!G1117</f>
        <v>26.13</v>
      </c>
      <c r="E1114" s="22">
        <f>'VIX HISTORIQUE'!I1117</f>
        <v>28.15</v>
      </c>
      <c r="F1114" s="22">
        <f>'VIX HISTORIQUE'!K1117</f>
        <v>29.42</v>
      </c>
    </row>
    <row r="1115" ht="15.75" customHeight="1">
      <c r="A1115" s="25">
        <f>'VIX HISTORIQUE'!A1118</f>
        <v>44880.66667</v>
      </c>
      <c r="B1115" s="22">
        <f>'VIX HISTORIQUE'!B1118</f>
        <v>3991.73</v>
      </c>
      <c r="C1115" s="22">
        <f>'VIX HISTORIQUE'!D1118</f>
        <v>24.54</v>
      </c>
      <c r="D1115" s="22">
        <f>'VIX HISTORIQUE'!G1118</f>
        <v>26.59</v>
      </c>
      <c r="E1115" s="22">
        <f>'VIX HISTORIQUE'!I1118</f>
        <v>28.52</v>
      </c>
      <c r="F1115" s="22">
        <f>'VIX HISTORIQUE'!K1118</f>
        <v>29.42</v>
      </c>
    </row>
    <row r="1116" ht="15.75" customHeight="1">
      <c r="A1116" s="25">
        <f>'VIX HISTORIQUE'!A1119</f>
        <v>44881.66667</v>
      </c>
      <c r="B1116" s="22">
        <f>'VIX HISTORIQUE'!B1119</f>
        <v>3958.79</v>
      </c>
      <c r="C1116" s="22">
        <f>'VIX HISTORIQUE'!D1119</f>
        <v>24.11</v>
      </c>
      <c r="D1116" s="22">
        <f>'VIX HISTORIQUE'!G1119</f>
        <v>26.03</v>
      </c>
      <c r="E1116" s="22">
        <f>'VIX HISTORIQUE'!I1119</f>
        <v>28.06</v>
      </c>
      <c r="F1116" s="22">
        <f>'VIX HISTORIQUE'!K1119</f>
        <v>29.19</v>
      </c>
    </row>
    <row r="1117" ht="15.75" customHeight="1">
      <c r="A1117" s="25">
        <f>'VIX HISTORIQUE'!A1120</f>
        <v>44882.66667</v>
      </c>
      <c r="B1117" s="22">
        <f>'VIX HISTORIQUE'!B1120</f>
        <v>3946.56</v>
      </c>
      <c r="C1117" s="22">
        <f>'VIX HISTORIQUE'!D1120</f>
        <v>23.93</v>
      </c>
      <c r="D1117" s="22">
        <f>'VIX HISTORIQUE'!G1120</f>
        <v>25.83</v>
      </c>
      <c r="E1117" s="22">
        <f>'VIX HISTORIQUE'!I1120</f>
        <v>27.92</v>
      </c>
      <c r="F1117" s="22">
        <f>'VIX HISTORIQUE'!K1120</f>
        <v>29.1</v>
      </c>
    </row>
    <row r="1118" ht="15.75" customHeight="1">
      <c r="A1118" s="25">
        <f>'VIX HISTORIQUE'!A1121</f>
        <v>44883.66667</v>
      </c>
      <c r="B1118" s="22">
        <f>'VIX HISTORIQUE'!B1121</f>
        <v>3965.34</v>
      </c>
      <c r="C1118" s="22">
        <f>'VIX HISTORIQUE'!D1121</f>
        <v>23.12</v>
      </c>
      <c r="D1118" s="22">
        <f>'VIX HISTORIQUE'!G1121</f>
        <v>25.33</v>
      </c>
      <c r="E1118" s="22">
        <f>'VIX HISTORIQUE'!I1121</f>
        <v>27.61</v>
      </c>
      <c r="F1118" s="22">
        <f>'VIX HISTORIQUE'!K1121</f>
        <v>28.88</v>
      </c>
    </row>
    <row r="1119" ht="15.75" customHeight="1">
      <c r="A1119" s="25">
        <f>'VIX HISTORIQUE'!A1122</f>
        <v>44886.66667</v>
      </c>
      <c r="B1119" s="22">
        <f>'VIX HISTORIQUE'!B1122</f>
        <v>3949.94</v>
      </c>
      <c r="C1119" s="22">
        <f>'VIX HISTORIQUE'!D1122</f>
        <v>22.36</v>
      </c>
      <c r="D1119" s="22">
        <f>'VIX HISTORIQUE'!G1122</f>
        <v>24.72</v>
      </c>
      <c r="E1119" s="22">
        <f>'VIX HISTORIQUE'!I1122</f>
        <v>27.16</v>
      </c>
      <c r="F1119" s="22">
        <f>'VIX HISTORIQUE'!K1122</f>
        <v>28.52</v>
      </c>
    </row>
    <row r="1120" ht="15.75" customHeight="1">
      <c r="A1120" s="25">
        <f>'VIX HISTORIQUE'!A1123</f>
        <v>44887.66667</v>
      </c>
      <c r="B1120" s="22">
        <f>'VIX HISTORIQUE'!B1123</f>
        <v>4003.58</v>
      </c>
      <c r="C1120" s="22">
        <f>'VIX HISTORIQUE'!D1123</f>
        <v>21.29</v>
      </c>
      <c r="D1120" s="22">
        <f>'VIX HISTORIQUE'!G1123</f>
        <v>23.83</v>
      </c>
      <c r="E1120" s="22">
        <f>'VIX HISTORIQUE'!I1123</f>
        <v>26.39</v>
      </c>
      <c r="F1120" s="22">
        <f>'VIX HISTORIQUE'!K1123</f>
        <v>27.97</v>
      </c>
    </row>
    <row r="1121" ht="15.75" customHeight="1">
      <c r="A1121" s="25">
        <f>'VIX HISTORIQUE'!A1124</f>
        <v>44890.54167</v>
      </c>
      <c r="B1121" s="22">
        <f>'VIX HISTORIQUE'!B1124</f>
        <v>4026.12</v>
      </c>
      <c r="C1121" s="22">
        <f>'VIX HISTORIQUE'!D1124</f>
        <v>20.5</v>
      </c>
      <c r="D1121" s="22">
        <f>'VIX HISTORIQUE'!G1124</f>
        <v>23.59</v>
      </c>
      <c r="E1121" s="22">
        <f>'VIX HISTORIQUE'!I1124</f>
        <v>26.32</v>
      </c>
      <c r="F1121" s="22">
        <f>'VIX HISTORIQUE'!K1124</f>
        <v>27.92</v>
      </c>
    </row>
    <row r="1122" ht="15.75" customHeight="1">
      <c r="A1122" s="25">
        <f>'VIX HISTORIQUE'!A1125</f>
        <v>44893.66667</v>
      </c>
      <c r="B1122" s="22">
        <f>'VIX HISTORIQUE'!B1125</f>
        <v>3963.94</v>
      </c>
      <c r="C1122" s="22">
        <f>'VIX HISTORIQUE'!D1125</f>
        <v>22.21</v>
      </c>
      <c r="D1122" s="22">
        <f>'VIX HISTORIQUE'!G1125</f>
        <v>24.9</v>
      </c>
      <c r="E1122" s="22">
        <f>'VIX HISTORIQUE'!I1125</f>
        <v>27.39</v>
      </c>
      <c r="F1122" s="22">
        <f>'VIX HISTORIQUE'!K1125</f>
        <v>28.72</v>
      </c>
    </row>
    <row r="1123" ht="15.75" customHeight="1">
      <c r="A1123" s="25">
        <f>'VIX HISTORIQUE'!A1126</f>
        <v>44894.66667</v>
      </c>
      <c r="B1123" s="22">
        <f>'VIX HISTORIQUE'!B1126</f>
        <v>3957.63</v>
      </c>
      <c r="C1123" s="22">
        <f>'VIX HISTORIQUE'!D1126</f>
        <v>21.89</v>
      </c>
      <c r="D1123" s="22">
        <f>'VIX HISTORIQUE'!G1126</f>
        <v>24.65</v>
      </c>
      <c r="E1123" s="22">
        <f>'VIX HISTORIQUE'!I1126</f>
        <v>27.22</v>
      </c>
      <c r="F1123" s="22">
        <f>'VIX HISTORIQUE'!K1126</f>
        <v>28.65</v>
      </c>
    </row>
    <row r="1124" ht="15.75" customHeight="1">
      <c r="A1124" s="25">
        <f>'VIX HISTORIQUE'!A1127</f>
        <v>44895.66667</v>
      </c>
      <c r="B1124" s="22">
        <f>'VIX HISTORIQUE'!B1127</f>
        <v>4080.11</v>
      </c>
      <c r="C1124" s="22">
        <f>'VIX HISTORIQUE'!D1127</f>
        <v>20.58</v>
      </c>
      <c r="D1124" s="22">
        <f>'VIX HISTORIQUE'!G1127</f>
        <v>23.53</v>
      </c>
      <c r="E1124" s="22">
        <f>'VIX HISTORIQUE'!I1127</f>
        <v>26.2</v>
      </c>
      <c r="F1124" s="22">
        <f>'VIX HISTORIQUE'!K1127</f>
        <v>27.69</v>
      </c>
    </row>
    <row r="1125" ht="15.75" customHeight="1">
      <c r="A1125" s="25">
        <f>'VIX HISTORIQUE'!A1128</f>
        <v>44896.66667</v>
      </c>
      <c r="B1125" s="22">
        <f>'VIX HISTORIQUE'!B1128</f>
        <v>4076.57</v>
      </c>
      <c r="C1125" s="22">
        <f>'VIX HISTORIQUE'!D1128</f>
        <v>19.84</v>
      </c>
      <c r="D1125" s="22">
        <f>'VIX HISTORIQUE'!G1128</f>
        <v>23.31</v>
      </c>
      <c r="E1125" s="22">
        <f>'VIX HISTORIQUE'!I1128</f>
        <v>25.97</v>
      </c>
      <c r="F1125" s="22">
        <f>'VIX HISTORIQUE'!K1128</f>
        <v>27.51</v>
      </c>
    </row>
    <row r="1126" ht="15.75" customHeight="1">
      <c r="A1126" s="25">
        <f>'VIX HISTORIQUE'!A1129</f>
        <v>44897.66667</v>
      </c>
      <c r="B1126" s="22">
        <f>'VIX HISTORIQUE'!B1129</f>
        <v>4071.7</v>
      </c>
      <c r="C1126" s="22">
        <f>'VIX HISTORIQUE'!D1129</f>
        <v>19.06</v>
      </c>
      <c r="D1126" s="22">
        <f>'VIX HISTORIQUE'!G1129</f>
        <v>22.96</v>
      </c>
      <c r="E1126" s="22">
        <f>'VIX HISTORIQUE'!I1129</f>
        <v>25.72</v>
      </c>
      <c r="F1126" s="22">
        <f>'VIX HISTORIQUE'!K1129</f>
        <v>27.35</v>
      </c>
    </row>
    <row r="1127" ht="15.75" customHeight="1">
      <c r="A1127" s="25">
        <f>'VIX HISTORIQUE'!A1130</f>
        <v>44900.66667</v>
      </c>
      <c r="B1127" s="22">
        <f>'VIX HISTORIQUE'!B1130</f>
        <v>3998.84</v>
      </c>
      <c r="C1127" s="22">
        <f>'VIX HISTORIQUE'!D1130</f>
        <v>20.75</v>
      </c>
      <c r="D1127" s="22">
        <f>'VIX HISTORIQUE'!G1130</f>
        <v>23.89</v>
      </c>
      <c r="E1127" s="22">
        <f>'VIX HISTORIQUE'!I1130</f>
        <v>26.2</v>
      </c>
      <c r="F1127" s="22">
        <f>'VIX HISTORIQUE'!K1130</f>
        <v>27.33</v>
      </c>
    </row>
    <row r="1128" ht="15.75" customHeight="1">
      <c r="A1128" s="25">
        <f>'VIX HISTORIQUE'!A1131</f>
        <v>44901.66667</v>
      </c>
      <c r="B1128" s="22">
        <f>'VIX HISTORIQUE'!B1131</f>
        <v>3941.26</v>
      </c>
      <c r="C1128" s="22">
        <f>'VIX HISTORIQUE'!D1131</f>
        <v>22.17</v>
      </c>
      <c r="D1128" s="22">
        <f>'VIX HISTORIQUE'!G1131</f>
        <v>24.72</v>
      </c>
      <c r="E1128" s="22">
        <f>'VIX HISTORIQUE'!I1131</f>
        <v>26.74</v>
      </c>
      <c r="F1128" s="22">
        <f>'VIX HISTORIQUE'!K1131</f>
        <v>27.67</v>
      </c>
    </row>
    <row r="1129" ht="15.75" customHeight="1">
      <c r="A1129" s="25">
        <f>'VIX HISTORIQUE'!A1132</f>
        <v>44902.66667</v>
      </c>
      <c r="B1129" s="22">
        <f>'VIX HISTORIQUE'!B1132</f>
        <v>3933.92</v>
      </c>
      <c r="C1129" s="22">
        <f>'VIX HISTORIQUE'!D1132</f>
        <v>22.68</v>
      </c>
      <c r="D1129" s="22">
        <f>'VIX HISTORIQUE'!G1132</f>
        <v>25.18</v>
      </c>
      <c r="E1129" s="22">
        <f>'VIX HISTORIQUE'!I1132</f>
        <v>27.08</v>
      </c>
      <c r="F1129" s="22">
        <f>'VIX HISTORIQUE'!K1132</f>
        <v>27.99</v>
      </c>
    </row>
    <row r="1130" ht="15.75" customHeight="1">
      <c r="A1130" s="25">
        <f>'VIX HISTORIQUE'!A1133</f>
        <v>44903.66667</v>
      </c>
      <c r="B1130" s="22">
        <f>'VIX HISTORIQUE'!B1133</f>
        <v>3963.51</v>
      </c>
      <c r="C1130" s="22">
        <f>'VIX HISTORIQUE'!D1133</f>
        <v>22.29</v>
      </c>
      <c r="D1130" s="22">
        <f>'VIX HISTORIQUE'!G1133</f>
        <v>24.73</v>
      </c>
      <c r="E1130" s="22">
        <f>'VIX HISTORIQUE'!I1133</f>
        <v>26.73</v>
      </c>
      <c r="F1130" s="22">
        <f>'VIX HISTORIQUE'!K1133</f>
        <v>27.71</v>
      </c>
    </row>
    <row r="1131" ht="15.75" customHeight="1">
      <c r="A1131" s="25">
        <f>'VIX HISTORIQUE'!A1134</f>
        <v>44904.66667</v>
      </c>
      <c r="B1131" s="22">
        <f>'VIX HISTORIQUE'!B1134</f>
        <v>3934.38</v>
      </c>
      <c r="C1131" s="22">
        <f>'VIX HISTORIQUE'!D1134</f>
        <v>22.83</v>
      </c>
      <c r="D1131" s="22">
        <f>'VIX HISTORIQUE'!G1134</f>
        <v>25.21</v>
      </c>
      <c r="E1131" s="22">
        <f>'VIX HISTORIQUE'!I1134</f>
        <v>27.08</v>
      </c>
      <c r="F1131" s="22">
        <f>'VIX HISTORIQUE'!K1134</f>
        <v>28</v>
      </c>
    </row>
    <row r="1132" ht="15.75" customHeight="1">
      <c r="A1132" s="25">
        <f>'VIX HISTORIQUE'!A1135</f>
        <v>44907.66667</v>
      </c>
      <c r="B1132" s="22">
        <f>'VIX HISTORIQUE'!B1135</f>
        <v>3990.56</v>
      </c>
      <c r="C1132" s="22">
        <f>'VIX HISTORIQUE'!D1135</f>
        <v>25</v>
      </c>
      <c r="D1132" s="22">
        <f>'VIX HISTORIQUE'!G1135</f>
        <v>25.67</v>
      </c>
      <c r="E1132" s="22">
        <f>'VIX HISTORIQUE'!I1135</f>
        <v>27.2</v>
      </c>
      <c r="F1132" s="22">
        <f>'VIX HISTORIQUE'!K1135</f>
        <v>28.06</v>
      </c>
    </row>
    <row r="1133" ht="15.75" customHeight="1">
      <c r="A1133" s="25">
        <f>'VIX HISTORIQUE'!A1136</f>
        <v>44908.66667</v>
      </c>
      <c r="B1133" s="22">
        <f>'VIX HISTORIQUE'!B1136</f>
        <v>4019.65</v>
      </c>
      <c r="C1133" s="22">
        <f>'VIX HISTORIQUE'!D1136</f>
        <v>22.55</v>
      </c>
      <c r="D1133" s="22">
        <f>'VIX HISTORIQUE'!G1136</f>
        <v>24.29</v>
      </c>
      <c r="E1133" s="22">
        <f>'VIX HISTORIQUE'!I1136</f>
        <v>26.26</v>
      </c>
      <c r="F1133" s="22">
        <f>'VIX HISTORIQUE'!K1136</f>
        <v>27.85</v>
      </c>
    </row>
    <row r="1134" ht="15.75" customHeight="1">
      <c r="A1134" s="25">
        <f>'VIX HISTORIQUE'!A1137</f>
        <v>44909.66667</v>
      </c>
      <c r="B1134" s="22">
        <f>'VIX HISTORIQUE'!B1137</f>
        <v>3995.32</v>
      </c>
      <c r="C1134" s="22">
        <f>'VIX HISTORIQUE'!D1137</f>
        <v>21.14</v>
      </c>
      <c r="D1134" s="22">
        <f>'VIX HISTORIQUE'!G1137</f>
        <v>23.46</v>
      </c>
      <c r="E1134" s="22">
        <f>'VIX HISTORIQUE'!I1137</f>
        <v>25.78</v>
      </c>
      <c r="F1134" s="22">
        <f>'VIX HISTORIQUE'!K1137</f>
        <v>27.51</v>
      </c>
    </row>
    <row r="1135" ht="15.75" customHeight="1">
      <c r="A1135" s="25">
        <f>'VIX HISTORIQUE'!A1138</f>
        <v>44910.66667</v>
      </c>
      <c r="B1135" s="22">
        <f>'VIX HISTORIQUE'!B1138</f>
        <v>3895.75</v>
      </c>
      <c r="C1135" s="22">
        <f>'VIX HISTORIQUE'!D1138</f>
        <v>22.83</v>
      </c>
      <c r="D1135" s="22">
        <f>'VIX HISTORIQUE'!G1138</f>
        <v>25.08</v>
      </c>
      <c r="E1135" s="22">
        <f>'VIX HISTORIQUE'!I1138</f>
        <v>27.22</v>
      </c>
      <c r="F1135" s="22">
        <f>'VIX HISTORIQUE'!K1138</f>
        <v>28.57</v>
      </c>
    </row>
    <row r="1136" ht="15.75" customHeight="1">
      <c r="A1136" s="25">
        <f>'VIX HISTORIQUE'!A1139</f>
        <v>44911.66667</v>
      </c>
      <c r="B1136" s="22">
        <f>'VIX HISTORIQUE'!B1139</f>
        <v>3852.36</v>
      </c>
      <c r="C1136" s="22">
        <f>'VIX HISTORIQUE'!D1139</f>
        <v>22.62</v>
      </c>
      <c r="D1136" s="22">
        <f>'VIX HISTORIQUE'!G1139</f>
        <v>25.15</v>
      </c>
      <c r="E1136" s="22">
        <f>'VIX HISTORIQUE'!I1139</f>
        <v>27.28</v>
      </c>
      <c r="F1136" s="22">
        <f>'VIX HISTORIQUE'!K1139</f>
        <v>28.55</v>
      </c>
    </row>
    <row r="1137" ht="15.75" customHeight="1">
      <c r="A1137" s="25">
        <f>'VIX HISTORIQUE'!A1140</f>
        <v>44914.66667</v>
      </c>
      <c r="B1137" s="22">
        <f>'VIX HISTORIQUE'!B1140</f>
        <v>3817.66</v>
      </c>
      <c r="C1137" s="22">
        <f>'VIX HISTORIQUE'!D1140</f>
        <v>22.42</v>
      </c>
      <c r="D1137" s="22">
        <f>'VIX HISTORIQUE'!G1140</f>
        <v>25.08</v>
      </c>
      <c r="E1137" s="22">
        <f>'VIX HISTORIQUE'!I1140</f>
        <v>27.11</v>
      </c>
      <c r="F1137" s="22">
        <f>'VIX HISTORIQUE'!K1140</f>
        <v>28.38</v>
      </c>
    </row>
    <row r="1138" ht="15.75" customHeight="1">
      <c r="A1138" s="25">
        <f>'VIX HISTORIQUE'!A1141</f>
        <v>44915.66667</v>
      </c>
      <c r="B1138" s="22">
        <f>'VIX HISTORIQUE'!B1141</f>
        <v>3821.62</v>
      </c>
      <c r="C1138" s="22">
        <f>'VIX HISTORIQUE'!D1141</f>
        <v>21.48</v>
      </c>
      <c r="D1138" s="22">
        <f>'VIX HISTORIQUE'!G1141</f>
        <v>24.4</v>
      </c>
      <c r="E1138" s="22">
        <f>'VIX HISTORIQUE'!I1141</f>
        <v>26.69</v>
      </c>
      <c r="F1138" s="22">
        <f>'VIX HISTORIQUE'!K1141</f>
        <v>27.85</v>
      </c>
    </row>
    <row r="1139" ht="15.75" customHeight="1">
      <c r="A1139" s="25">
        <f>'VIX HISTORIQUE'!A1142</f>
        <v>44916.66667</v>
      </c>
      <c r="B1139" s="22">
        <f>'VIX HISTORIQUE'!B1142</f>
        <v>3878.44</v>
      </c>
      <c r="C1139" s="22">
        <f>'VIX HISTORIQUE'!D1142</f>
        <v>20.07</v>
      </c>
      <c r="D1139" s="22">
        <f>'VIX HISTORIQUE'!G1142</f>
        <v>23.35</v>
      </c>
      <c r="E1139" s="22">
        <f>'VIX HISTORIQUE'!I1142</f>
        <v>25.74</v>
      </c>
      <c r="F1139" s="22">
        <f>'VIX HISTORIQUE'!K1142</f>
        <v>27.13</v>
      </c>
    </row>
    <row r="1140" ht="15.75" customHeight="1">
      <c r="A1140" s="25">
        <f>'VIX HISTORIQUE'!A1143</f>
        <v>44917.66667</v>
      </c>
      <c r="B1140" s="22">
        <f>'VIX HISTORIQUE'!B1143</f>
        <v>3822.39</v>
      </c>
      <c r="C1140" s="22">
        <f>'VIX HISTORIQUE'!D1143</f>
        <v>21.97</v>
      </c>
      <c r="D1140" s="22">
        <f>'VIX HISTORIQUE'!G1143</f>
        <v>24.78</v>
      </c>
      <c r="E1140" s="22">
        <f>'VIX HISTORIQUE'!I1143</f>
        <v>26.77</v>
      </c>
      <c r="F1140" s="22">
        <f>'VIX HISTORIQUE'!K1143</f>
        <v>27.83</v>
      </c>
    </row>
    <row r="1141" ht="15.75" customHeight="1">
      <c r="A1141" s="25">
        <f>'VIX HISTORIQUE'!A1144</f>
        <v>44918.66667</v>
      </c>
      <c r="B1141" s="22">
        <f>'VIX HISTORIQUE'!B1144</f>
        <v>3844.82</v>
      </c>
      <c r="C1141" s="22">
        <f>'VIX HISTORIQUE'!D1144</f>
        <v>20.87</v>
      </c>
      <c r="D1141" s="22">
        <f>'VIX HISTORIQUE'!G1144</f>
        <v>24.13</v>
      </c>
      <c r="E1141" s="22">
        <f>'VIX HISTORIQUE'!I1144</f>
        <v>26.16</v>
      </c>
      <c r="F1141" s="22">
        <f>'VIX HISTORIQUE'!K1144</f>
        <v>27.34</v>
      </c>
    </row>
    <row r="1142" ht="15.75" customHeight="1">
      <c r="A1142" s="25">
        <f>'VIX HISTORIQUE'!A1145</f>
        <v>44922.66667</v>
      </c>
      <c r="B1142" s="22">
        <f>'VIX HISTORIQUE'!B1145</f>
        <v>3829.25</v>
      </c>
      <c r="C1142" s="22">
        <f>'VIX HISTORIQUE'!D1145</f>
        <v>21.65</v>
      </c>
      <c r="D1142" s="22">
        <f>'VIX HISTORIQUE'!G1145</f>
        <v>24.43</v>
      </c>
      <c r="E1142" s="22">
        <f>'VIX HISTORIQUE'!I1145</f>
        <v>26.3</v>
      </c>
      <c r="F1142" s="22">
        <f>'VIX HISTORIQUE'!K1145</f>
        <v>27.38</v>
      </c>
    </row>
    <row r="1143" ht="15.75" customHeight="1">
      <c r="A1143" s="25">
        <f>'VIX HISTORIQUE'!A1146</f>
        <v>44923.66667</v>
      </c>
      <c r="B1143" s="22">
        <f>'VIX HISTORIQUE'!B1146</f>
        <v>3783.22</v>
      </c>
      <c r="C1143" s="22">
        <f>'VIX HISTORIQUE'!D1146</f>
        <v>22.14</v>
      </c>
      <c r="D1143" s="22">
        <f>'VIX HISTORIQUE'!G1146</f>
        <v>24.58</v>
      </c>
      <c r="E1143" s="22">
        <f>'VIX HISTORIQUE'!I1146</f>
        <v>26.44</v>
      </c>
      <c r="F1143" s="22">
        <f>'VIX HISTORIQUE'!K1146</f>
        <v>27.5</v>
      </c>
    </row>
    <row r="1144" ht="15.75" customHeight="1">
      <c r="A1144" s="25">
        <f>'VIX HISTORIQUE'!A1147</f>
        <v>44924.66667</v>
      </c>
      <c r="B1144" s="22">
        <f>'VIX HISTORIQUE'!B1147</f>
        <v>3849.28</v>
      </c>
      <c r="C1144" s="22">
        <f>'VIX HISTORIQUE'!D1147</f>
        <v>21.44</v>
      </c>
      <c r="D1144" s="22">
        <f>'VIX HISTORIQUE'!G1147</f>
        <v>23.95</v>
      </c>
      <c r="E1144" s="22">
        <f>'VIX HISTORIQUE'!I1147</f>
        <v>25.99</v>
      </c>
      <c r="F1144" s="22">
        <f>'VIX HISTORIQUE'!K1147</f>
        <v>27.02</v>
      </c>
    </row>
    <row r="1145" ht="15.75" customHeight="1">
      <c r="A1145" s="25">
        <f>'VIX HISTORIQUE'!A1148</f>
        <v>44925.66667</v>
      </c>
      <c r="B1145" s="22">
        <f>'VIX HISTORIQUE'!B1148</f>
        <v>3839.5</v>
      </c>
      <c r="C1145" s="22">
        <f>'VIX HISTORIQUE'!D1148</f>
        <v>21.67</v>
      </c>
      <c r="D1145" s="22">
        <f>'VIX HISTORIQUE'!G1148</f>
        <v>24.29</v>
      </c>
      <c r="E1145" s="22">
        <f>'VIX HISTORIQUE'!I1148</f>
        <v>26.2</v>
      </c>
      <c r="F1145" s="22">
        <f>'VIX HISTORIQUE'!K1148</f>
        <v>27.3</v>
      </c>
    </row>
    <row r="1146" ht="15.75" customHeight="1">
      <c r="A1146" s="25">
        <f>'VIX HISTORIQUE'!A1149</f>
        <v>44929.66667</v>
      </c>
      <c r="B1146" s="22">
        <f>'VIX HISTORIQUE'!B1149</f>
        <v>3824.14</v>
      </c>
      <c r="C1146" s="22">
        <f>'VIX HISTORIQUE'!D1149</f>
        <v>22.9</v>
      </c>
      <c r="D1146" s="22">
        <f>'VIX HISTORIQUE'!G1149</f>
        <v>24.58</v>
      </c>
      <c r="E1146" s="22">
        <f>'VIX HISTORIQUE'!I1149</f>
        <v>26.24</v>
      </c>
      <c r="F1146" s="22">
        <f>'VIX HISTORIQUE'!K1149</f>
        <v>27.53</v>
      </c>
    </row>
    <row r="1147" ht="15.75" customHeight="1">
      <c r="A1147" s="25">
        <f>'VIX HISTORIQUE'!A1150</f>
        <v>44930.66667</v>
      </c>
      <c r="B1147" s="22">
        <f>'VIX HISTORIQUE'!B1150</f>
        <v>3852.97</v>
      </c>
      <c r="C1147" s="22">
        <f>'VIX HISTORIQUE'!D1150</f>
        <v>22.01</v>
      </c>
      <c r="D1147" s="22">
        <f>'VIX HISTORIQUE'!G1150</f>
        <v>23.81</v>
      </c>
      <c r="E1147" s="22">
        <f>'VIX HISTORIQUE'!I1150</f>
        <v>25.55</v>
      </c>
      <c r="F1147" s="22">
        <f>'VIX HISTORIQUE'!K1150</f>
        <v>26.82</v>
      </c>
    </row>
    <row r="1148" ht="15.75" customHeight="1">
      <c r="A1148" s="25">
        <f>'VIX HISTORIQUE'!A1151</f>
        <v>44931.66667</v>
      </c>
      <c r="B1148" s="22">
        <f>'VIX HISTORIQUE'!B1151</f>
        <v>3808.1</v>
      </c>
      <c r="C1148" s="22">
        <f>'VIX HISTORIQUE'!D1151</f>
        <v>22.46</v>
      </c>
      <c r="D1148" s="22">
        <f>'VIX HISTORIQUE'!G1151</f>
        <v>24.07</v>
      </c>
      <c r="E1148" s="22">
        <f>'VIX HISTORIQUE'!I1151</f>
        <v>25.65</v>
      </c>
      <c r="F1148" s="22">
        <f>'VIX HISTORIQUE'!K1151</f>
        <v>26.87</v>
      </c>
    </row>
    <row r="1149" ht="15.75" customHeight="1">
      <c r="A1149" s="25">
        <f>'VIX HISTORIQUE'!A1152</f>
        <v>44932.66667</v>
      </c>
      <c r="B1149" s="22">
        <f>'VIX HISTORIQUE'!B1152</f>
        <v>3895.08</v>
      </c>
      <c r="C1149" s="22">
        <f>'VIX HISTORIQUE'!D1152</f>
        <v>21.13</v>
      </c>
      <c r="D1149" s="22">
        <f>'VIX HISTORIQUE'!G1152</f>
        <v>23.18</v>
      </c>
      <c r="E1149" s="22">
        <f>'VIX HISTORIQUE'!I1152</f>
        <v>24.77</v>
      </c>
      <c r="F1149" s="22">
        <f>'VIX HISTORIQUE'!K1152</f>
        <v>26.16</v>
      </c>
    </row>
    <row r="1150" ht="15.75" customHeight="1">
      <c r="A1150" s="25">
        <f>'VIX HISTORIQUE'!A1153</f>
        <v>44935.66667</v>
      </c>
      <c r="B1150" s="22">
        <f>'VIX HISTORIQUE'!B1153</f>
        <v>3892.09</v>
      </c>
      <c r="C1150" s="22">
        <f>'VIX HISTORIQUE'!D1153</f>
        <v>21.97</v>
      </c>
      <c r="D1150" s="22">
        <f>'VIX HISTORIQUE'!G1153</f>
        <v>23.74</v>
      </c>
      <c r="E1150" s="22">
        <f>'VIX HISTORIQUE'!I1153</f>
        <v>25.12</v>
      </c>
      <c r="F1150" s="22">
        <f>'VIX HISTORIQUE'!K1153</f>
        <v>26.46</v>
      </c>
    </row>
    <row r="1151" ht="15.75" customHeight="1">
      <c r="A1151" s="25">
        <f>'VIX HISTORIQUE'!A1154</f>
        <v>44936.66667</v>
      </c>
      <c r="B1151" s="22">
        <f>'VIX HISTORIQUE'!B1154</f>
        <v>3919.25</v>
      </c>
      <c r="C1151" s="22">
        <f>'VIX HISTORIQUE'!D1154</f>
        <v>20.58</v>
      </c>
      <c r="D1151" s="22">
        <f>'VIX HISTORIQUE'!G1154</f>
        <v>22.74</v>
      </c>
      <c r="E1151" s="22">
        <f>'VIX HISTORIQUE'!I1154</f>
        <v>24.23</v>
      </c>
      <c r="F1151" s="22">
        <f>'VIX HISTORIQUE'!K1154</f>
        <v>25.56</v>
      </c>
    </row>
    <row r="1152" ht="15.75" customHeight="1">
      <c r="A1152" s="25">
        <f>'VIX HISTORIQUE'!A1155</f>
        <v>44937.66667</v>
      </c>
      <c r="B1152" s="22">
        <f>'VIX HISTORIQUE'!B1155</f>
        <v>3969.61</v>
      </c>
      <c r="C1152" s="22">
        <f>'VIX HISTORIQUE'!D1155</f>
        <v>21.09</v>
      </c>
      <c r="D1152" s="22">
        <f>'VIX HISTORIQUE'!G1155</f>
        <v>22.74</v>
      </c>
      <c r="E1152" s="22">
        <f>'VIX HISTORIQUE'!I1155</f>
        <v>24.19</v>
      </c>
      <c r="F1152" s="22">
        <f>'VIX HISTORIQUE'!K1155</f>
        <v>25.42</v>
      </c>
    </row>
    <row r="1153" ht="15.75" customHeight="1">
      <c r="A1153" s="25">
        <f>'VIX HISTORIQUE'!A1156</f>
        <v>44938.66667</v>
      </c>
      <c r="B1153" s="22">
        <f>'VIX HISTORIQUE'!B1156</f>
        <v>3983.17</v>
      </c>
      <c r="C1153" s="22">
        <f>'VIX HISTORIQUE'!D1156</f>
        <v>18.83</v>
      </c>
      <c r="D1153" s="22">
        <f>'VIX HISTORIQUE'!G1156</f>
        <v>21.58</v>
      </c>
      <c r="E1153" s="22">
        <f>'VIX HISTORIQUE'!I1156</f>
        <v>23.49</v>
      </c>
      <c r="F1153" s="22">
        <f>'VIX HISTORIQUE'!K1156</f>
        <v>25.04</v>
      </c>
    </row>
    <row r="1154" ht="15.75" customHeight="1">
      <c r="A1154" s="25">
        <f>'VIX HISTORIQUE'!A1157</f>
        <v>44939.66667</v>
      </c>
      <c r="B1154" s="22">
        <f>'VIX HISTORIQUE'!B1157</f>
        <v>3999.09</v>
      </c>
      <c r="C1154" s="22">
        <f>'VIX HISTORIQUE'!D1157</f>
        <v>18.35</v>
      </c>
      <c r="D1154" s="22">
        <f>'VIX HISTORIQUE'!G1157</f>
        <v>21.14</v>
      </c>
      <c r="E1154" s="22">
        <f>'VIX HISTORIQUE'!I1157</f>
        <v>23.02</v>
      </c>
      <c r="F1154" s="22">
        <f>'VIX HISTORIQUE'!K1157</f>
        <v>24.41</v>
      </c>
    </row>
    <row r="1155" ht="15.75" customHeight="1">
      <c r="A1155" s="25">
        <f>'VIX HISTORIQUE'!A1158</f>
        <v>44943.66667</v>
      </c>
      <c r="B1155" s="22">
        <f>'VIX HISTORIQUE'!B1158</f>
        <v>3990.97</v>
      </c>
      <c r="C1155" s="22">
        <f>'VIX HISTORIQUE'!D1158</f>
        <v>19.36</v>
      </c>
      <c r="D1155" s="22">
        <f>'VIX HISTORIQUE'!G1158</f>
        <v>21.45</v>
      </c>
      <c r="E1155" s="22">
        <f>'VIX HISTORIQUE'!I1158</f>
        <v>23.36</v>
      </c>
      <c r="F1155" s="22">
        <f>'VIX HISTORIQUE'!K1158</f>
        <v>24.81</v>
      </c>
    </row>
    <row r="1156" ht="15.75" customHeight="1">
      <c r="A1156" s="25">
        <f>'VIX HISTORIQUE'!A1159</f>
        <v>44944.66667</v>
      </c>
      <c r="B1156" s="22">
        <f>'VIX HISTORIQUE'!B1159</f>
        <v>3928.86</v>
      </c>
      <c r="C1156" s="22">
        <f>'VIX HISTORIQUE'!D1159</f>
        <v>20.34</v>
      </c>
      <c r="D1156" s="22">
        <f>'VIX HISTORIQUE'!G1159</f>
        <v>22.27</v>
      </c>
      <c r="E1156" s="22">
        <f>'VIX HISTORIQUE'!I1159</f>
        <v>24</v>
      </c>
      <c r="F1156" s="22">
        <f>'VIX HISTORIQUE'!K1159</f>
        <v>25.39</v>
      </c>
    </row>
    <row r="1157" ht="15.75" customHeight="1">
      <c r="A1157" s="25">
        <f>'VIX HISTORIQUE'!A1160</f>
        <v>44945.66667</v>
      </c>
      <c r="B1157" s="22">
        <f>'VIX HISTORIQUE'!B1160</f>
        <v>3898.85</v>
      </c>
      <c r="C1157" s="22">
        <f>'VIX HISTORIQUE'!D1160</f>
        <v>20.52</v>
      </c>
      <c r="D1157" s="22">
        <f>'VIX HISTORIQUE'!G1160</f>
        <v>22.45</v>
      </c>
      <c r="E1157" s="22">
        <f>'VIX HISTORIQUE'!I1160</f>
        <v>24.07</v>
      </c>
      <c r="F1157" s="22">
        <f>'VIX HISTORIQUE'!K1160</f>
        <v>25.3</v>
      </c>
    </row>
    <row r="1158" ht="15.75" customHeight="1">
      <c r="A1158" s="25">
        <f>'VIX HISTORIQUE'!A1161</f>
        <v>44946.66667</v>
      </c>
      <c r="B1158" s="22">
        <f>'VIX HISTORIQUE'!B1161</f>
        <v>3972.61</v>
      </c>
      <c r="C1158" s="22">
        <f>'VIX HISTORIQUE'!D1161</f>
        <v>19.85</v>
      </c>
      <c r="D1158" s="22">
        <f>'VIX HISTORIQUE'!G1161</f>
        <v>21.72</v>
      </c>
      <c r="E1158" s="22">
        <f>'VIX HISTORIQUE'!I1161</f>
        <v>23.39</v>
      </c>
      <c r="F1158" s="22">
        <f>'VIX HISTORIQUE'!K1161</f>
        <v>24.71</v>
      </c>
    </row>
    <row r="1159" ht="15.75" customHeight="1">
      <c r="A1159" s="25">
        <f>'VIX HISTORIQUE'!A1162</f>
        <v>44949.66667</v>
      </c>
      <c r="B1159" s="22">
        <f>'VIX HISTORIQUE'!B1162</f>
        <v>4019.81</v>
      </c>
      <c r="C1159" s="22">
        <f>'VIX HISTORIQUE'!D1162</f>
        <v>19.81</v>
      </c>
      <c r="D1159" s="22">
        <f>'VIX HISTORIQUE'!G1162</f>
        <v>21.6</v>
      </c>
      <c r="E1159" s="22">
        <f>'VIX HISTORIQUE'!I1162</f>
        <v>23.14</v>
      </c>
      <c r="F1159" s="22">
        <f>'VIX HISTORIQUE'!K1162</f>
        <v>24.34</v>
      </c>
    </row>
    <row r="1160" ht="15.75" customHeight="1">
      <c r="A1160" s="25">
        <f>'VIX HISTORIQUE'!A1163</f>
        <v>44950.66667</v>
      </c>
      <c r="B1160" s="22">
        <f>'VIX HISTORIQUE'!B1163</f>
        <v>4016.95</v>
      </c>
      <c r="C1160" s="22">
        <f>'VIX HISTORIQUE'!D1163</f>
        <v>19.2</v>
      </c>
      <c r="D1160" s="22">
        <f>'VIX HISTORIQUE'!G1163</f>
        <v>20.91</v>
      </c>
      <c r="E1160" s="22">
        <f>'VIX HISTORIQUE'!I1163</f>
        <v>22.59</v>
      </c>
      <c r="F1160" s="22">
        <f>'VIX HISTORIQUE'!K1163</f>
        <v>23.8</v>
      </c>
    </row>
    <row r="1161" ht="15.75" customHeight="1">
      <c r="A1161" s="25">
        <f>'VIX HISTORIQUE'!A1164</f>
        <v>44951.66667</v>
      </c>
      <c r="B1161" s="22">
        <f>'VIX HISTORIQUE'!B1164</f>
        <v>4016.22</v>
      </c>
      <c r="C1161" s="22">
        <f>'VIX HISTORIQUE'!D1164</f>
        <v>19.08</v>
      </c>
      <c r="D1161" s="22">
        <f>'VIX HISTORIQUE'!G1164</f>
        <v>20.94</v>
      </c>
      <c r="E1161" s="22">
        <f>'VIX HISTORIQUE'!I1164</f>
        <v>22.52</v>
      </c>
      <c r="F1161" s="22">
        <f>'VIX HISTORIQUE'!K1164</f>
        <v>23.94</v>
      </c>
    </row>
    <row r="1162" ht="15.75" customHeight="1">
      <c r="A1162" s="25">
        <f>'VIX HISTORIQUE'!A1165</f>
        <v>44952.66667</v>
      </c>
      <c r="B1162" s="22">
        <f>'VIX HISTORIQUE'!B1165</f>
        <v>4060.43</v>
      </c>
      <c r="C1162" s="22">
        <f>'VIX HISTORIQUE'!D1165</f>
        <v>18.73</v>
      </c>
      <c r="D1162" s="22">
        <f>'VIX HISTORIQUE'!G1165</f>
        <v>20.7</v>
      </c>
      <c r="E1162" s="22">
        <f>'VIX HISTORIQUE'!I1165</f>
        <v>22.34</v>
      </c>
      <c r="F1162" s="22">
        <f>'VIX HISTORIQUE'!K1165</f>
        <v>23.56</v>
      </c>
    </row>
    <row r="1163" ht="15.75" customHeight="1">
      <c r="A1163" s="25">
        <f>'VIX HISTORIQUE'!A1166</f>
        <v>44953.66667</v>
      </c>
      <c r="B1163" s="22">
        <f>'VIX HISTORIQUE'!B1166</f>
        <v>4070.56</v>
      </c>
      <c r="C1163" s="22">
        <f>'VIX HISTORIQUE'!D1166</f>
        <v>18.51</v>
      </c>
      <c r="D1163" s="22">
        <f>'VIX HISTORIQUE'!G1166</f>
        <v>20.47</v>
      </c>
      <c r="E1163" s="22">
        <f>'VIX HISTORIQUE'!I1166</f>
        <v>22.14</v>
      </c>
      <c r="F1163" s="22">
        <f>'VIX HISTORIQUE'!K1166</f>
        <v>23.29</v>
      </c>
    </row>
    <row r="1164" ht="15.75" customHeight="1">
      <c r="A1164" s="25">
        <f>'VIX HISTORIQUE'!A1167</f>
        <v>44956.66667</v>
      </c>
      <c r="B1164" s="22">
        <f>'VIX HISTORIQUE'!B1167</f>
        <v>4017.77</v>
      </c>
      <c r="C1164" s="22">
        <f>'VIX HISTORIQUE'!D1167</f>
        <v>19.94</v>
      </c>
      <c r="D1164" s="22">
        <f>'VIX HISTORIQUE'!G1167</f>
        <v>21.37</v>
      </c>
      <c r="E1164" s="22">
        <f>'VIX HISTORIQUE'!I1167</f>
        <v>22.71</v>
      </c>
      <c r="F1164" s="22">
        <f>'VIX HISTORIQUE'!K1167</f>
        <v>23.61</v>
      </c>
    </row>
    <row r="1165" ht="15.75" customHeight="1">
      <c r="A1165" s="25">
        <f>'VIX HISTORIQUE'!A1168</f>
        <v>44957.66667</v>
      </c>
      <c r="B1165" s="22">
        <f>'VIX HISTORIQUE'!B1168</f>
        <v>4076.6</v>
      </c>
      <c r="C1165" s="22">
        <f>'VIX HISTORIQUE'!D1168</f>
        <v>19.4</v>
      </c>
      <c r="D1165" s="22">
        <f>'VIX HISTORIQUE'!G1168</f>
        <v>20.81</v>
      </c>
      <c r="E1165" s="22">
        <f>'VIX HISTORIQUE'!I1168</f>
        <v>22.25</v>
      </c>
      <c r="F1165" s="22">
        <f>'VIX HISTORIQUE'!K1168</f>
        <v>23.4</v>
      </c>
    </row>
    <row r="1166" ht="15.75" customHeight="1">
      <c r="A1166" s="25">
        <f>'VIX HISTORIQUE'!A1169</f>
        <v>44958.66667</v>
      </c>
      <c r="B1166" s="22">
        <f>'VIX HISTORIQUE'!B1169</f>
        <v>4119.21</v>
      </c>
      <c r="C1166" s="22">
        <f>'VIX HISTORIQUE'!D1169</f>
        <v>17.87</v>
      </c>
      <c r="D1166" s="22">
        <f>'VIX HISTORIQUE'!G1169</f>
        <v>19.97</v>
      </c>
      <c r="E1166" s="22">
        <f>'VIX HISTORIQUE'!I1169</f>
        <v>21.65</v>
      </c>
      <c r="F1166" s="22">
        <f>'VIX HISTORIQUE'!K1169</f>
        <v>22.99</v>
      </c>
    </row>
    <row r="1167" ht="15.75" customHeight="1">
      <c r="A1167" s="25">
        <f>'VIX HISTORIQUE'!A1170</f>
        <v>44959.66667</v>
      </c>
      <c r="B1167" s="22">
        <f>'VIX HISTORIQUE'!B1170</f>
        <v>4179.76</v>
      </c>
      <c r="C1167" s="22">
        <f>'VIX HISTORIQUE'!D1170</f>
        <v>18.73</v>
      </c>
      <c r="D1167" s="22">
        <f>'VIX HISTORIQUE'!G1170</f>
        <v>20.84</v>
      </c>
      <c r="E1167" s="22">
        <f>'VIX HISTORIQUE'!I1170</f>
        <v>22.34</v>
      </c>
      <c r="F1167" s="22">
        <f>'VIX HISTORIQUE'!K1170</f>
        <v>23.45</v>
      </c>
    </row>
    <row r="1168" ht="15.75" customHeight="1">
      <c r="A1168" s="25">
        <f>'VIX HISTORIQUE'!A1171</f>
        <v>44960.66667</v>
      </c>
      <c r="B1168" s="22">
        <f>'VIX HISTORIQUE'!B1171</f>
        <v>4136.48</v>
      </c>
      <c r="C1168" s="22">
        <f>'VIX HISTORIQUE'!D1171</f>
        <v>18.33</v>
      </c>
      <c r="D1168" s="22">
        <f>'VIX HISTORIQUE'!G1171</f>
        <v>20.78</v>
      </c>
      <c r="E1168" s="22">
        <f>'VIX HISTORIQUE'!I1171</f>
        <v>22.37</v>
      </c>
      <c r="F1168" s="22">
        <f>'VIX HISTORIQUE'!K1171</f>
        <v>23.38</v>
      </c>
    </row>
    <row r="1169" ht="15.75" customHeight="1">
      <c r="A1169" s="25">
        <f>'VIX HISTORIQUE'!A1172</f>
        <v>44963.66667</v>
      </c>
      <c r="B1169" s="22">
        <f>'VIX HISTORIQUE'!B1172</f>
        <v>4111.08</v>
      </c>
      <c r="C1169" s="22">
        <f>'VIX HISTORIQUE'!D1172</f>
        <v>19.43</v>
      </c>
      <c r="D1169" s="22">
        <f>'VIX HISTORIQUE'!G1172</f>
        <v>21.43</v>
      </c>
      <c r="E1169" s="22">
        <f>'VIX HISTORIQUE'!I1172</f>
        <v>22.86</v>
      </c>
      <c r="F1169" s="22">
        <f>'VIX HISTORIQUE'!K1172</f>
        <v>23.82</v>
      </c>
    </row>
    <row r="1170" ht="15.75" customHeight="1">
      <c r="A1170" s="25">
        <f>'VIX HISTORIQUE'!A1173</f>
        <v>44964.66667</v>
      </c>
      <c r="B1170" s="22">
        <f>'VIX HISTORIQUE'!B1173</f>
        <v>4164</v>
      </c>
      <c r="C1170" s="22">
        <f>'VIX HISTORIQUE'!D1173</f>
        <v>18.66</v>
      </c>
      <c r="D1170" s="22">
        <f>'VIX HISTORIQUE'!G1173</f>
        <v>20.78</v>
      </c>
      <c r="E1170" s="22">
        <f>'VIX HISTORIQUE'!I1173</f>
        <v>22.38</v>
      </c>
      <c r="F1170" s="22">
        <f>'VIX HISTORIQUE'!K1173</f>
        <v>23.43</v>
      </c>
    </row>
    <row r="1171" ht="15.75" customHeight="1">
      <c r="A1171" s="25">
        <f>'VIX HISTORIQUE'!A1174</f>
        <v>44965.66667</v>
      </c>
      <c r="B1171" s="22">
        <f>'VIX HISTORIQUE'!B1174</f>
        <v>4117.86</v>
      </c>
      <c r="C1171" s="22">
        <f>'VIX HISTORIQUE'!D1174</f>
        <v>19.63</v>
      </c>
      <c r="D1171" s="22">
        <f>'VIX HISTORIQUE'!G1174</f>
        <v>21.82</v>
      </c>
      <c r="E1171" s="22">
        <f>'VIX HISTORIQUE'!I1174</f>
        <v>23.14</v>
      </c>
      <c r="F1171" s="22">
        <f>'VIX HISTORIQUE'!K1174</f>
        <v>23.75</v>
      </c>
    </row>
    <row r="1172" ht="15.75" customHeight="1">
      <c r="A1172" s="25">
        <f>'VIX HISTORIQUE'!A1175</f>
        <v>44966.66667</v>
      </c>
      <c r="B1172" s="22">
        <f>'VIX HISTORIQUE'!B1175</f>
        <v>4081.5</v>
      </c>
      <c r="C1172" s="22">
        <f>'VIX HISTORIQUE'!D1175</f>
        <v>20.71</v>
      </c>
      <c r="D1172" s="22">
        <f>'VIX HISTORIQUE'!G1175</f>
        <v>22.5</v>
      </c>
      <c r="E1172" s="22">
        <f>'VIX HISTORIQUE'!I1175</f>
        <v>23.66</v>
      </c>
      <c r="F1172" s="22">
        <f>'VIX HISTORIQUE'!K1175</f>
        <v>24.44</v>
      </c>
    </row>
    <row r="1173" ht="15.75" customHeight="1">
      <c r="A1173" s="25">
        <f>'VIX HISTORIQUE'!A1176</f>
        <v>44967.66667</v>
      </c>
      <c r="B1173" s="22">
        <f>'VIX HISTORIQUE'!B1176</f>
        <v>4090.46</v>
      </c>
      <c r="C1173" s="22">
        <f>'VIX HISTORIQUE'!D1176</f>
        <v>20.53</v>
      </c>
      <c r="D1173" s="22">
        <f>'VIX HISTORIQUE'!G1176</f>
        <v>22.55</v>
      </c>
      <c r="E1173" s="22">
        <f>'VIX HISTORIQUE'!I1176</f>
        <v>23.82</v>
      </c>
      <c r="F1173" s="22">
        <f>'VIX HISTORIQUE'!K1176</f>
        <v>24.59</v>
      </c>
    </row>
    <row r="1174" ht="15.75" customHeight="1">
      <c r="A1174" s="25">
        <f>'VIX HISTORIQUE'!A1177</f>
        <v>44970.66667</v>
      </c>
      <c r="B1174" s="22">
        <f>'VIX HISTORIQUE'!B1177</f>
        <v>4137.29</v>
      </c>
      <c r="C1174" s="22">
        <f>'VIX HISTORIQUE'!D1177</f>
        <v>20.34</v>
      </c>
      <c r="D1174" s="22">
        <f>'VIX HISTORIQUE'!G1177</f>
        <v>21.97</v>
      </c>
      <c r="E1174" s="22">
        <f>'VIX HISTORIQUE'!I1177</f>
        <v>23.35</v>
      </c>
      <c r="F1174" s="22">
        <f>'VIX HISTORIQUE'!K1177</f>
        <v>24.16</v>
      </c>
    </row>
    <row r="1175" ht="15.75" customHeight="1">
      <c r="A1175" s="25">
        <f>'VIX HISTORIQUE'!A1178</f>
        <v>44971.66667</v>
      </c>
      <c r="B1175" s="22">
        <f>'VIX HISTORIQUE'!B1178</f>
        <v>4136.13</v>
      </c>
      <c r="C1175" s="22">
        <f>'VIX HISTORIQUE'!D1178</f>
        <v>18.91</v>
      </c>
      <c r="D1175" s="22">
        <f>'VIX HISTORIQUE'!G1178</f>
        <v>21.14</v>
      </c>
      <c r="E1175" s="22">
        <f>'VIX HISTORIQUE'!I1178</f>
        <v>22.68</v>
      </c>
      <c r="F1175" s="22">
        <f>'VIX HISTORIQUE'!K1178</f>
        <v>23.53</v>
      </c>
    </row>
    <row r="1176" ht="15.75" customHeight="1">
      <c r="A1176" s="25">
        <f>'VIX HISTORIQUE'!A1179</f>
        <v>44972.66667</v>
      </c>
      <c r="B1176" s="22">
        <f>'VIX HISTORIQUE'!B1179</f>
        <v>4147.6</v>
      </c>
      <c r="C1176" s="22">
        <f>'VIX HISTORIQUE'!D1179</f>
        <v>18.23</v>
      </c>
      <c r="D1176" s="22">
        <f>'VIX HISTORIQUE'!G1179</f>
        <v>20.68</v>
      </c>
      <c r="E1176" s="22">
        <f>'VIX HISTORIQUE'!I1179</f>
        <v>22.21</v>
      </c>
      <c r="F1176" s="22">
        <f>'VIX HISTORIQUE'!K1179</f>
        <v>23.31</v>
      </c>
    </row>
    <row r="1177" ht="15.75" customHeight="1">
      <c r="A1177" s="25">
        <f>'VIX HISTORIQUE'!A1180</f>
        <v>44973.66667</v>
      </c>
      <c r="B1177" s="22">
        <f>'VIX HISTORIQUE'!B1180</f>
        <v>4090.41</v>
      </c>
      <c r="C1177" s="22">
        <f>'VIX HISTORIQUE'!D1180</f>
        <v>20.17</v>
      </c>
      <c r="D1177" s="22">
        <f>'VIX HISTORIQUE'!G1180</f>
        <v>21.88</v>
      </c>
      <c r="E1177" s="22">
        <f>'VIX HISTORIQUE'!I1180</f>
        <v>23.21</v>
      </c>
      <c r="F1177" s="22">
        <f>'VIX HISTORIQUE'!K1180</f>
        <v>23.96</v>
      </c>
    </row>
    <row r="1178" ht="15.75" customHeight="1">
      <c r="A1178" s="25">
        <f>'VIX HISTORIQUE'!A1181</f>
        <v>44974.66667</v>
      </c>
      <c r="B1178" s="22">
        <f>'VIX HISTORIQUE'!B1181</f>
        <v>4079.09</v>
      </c>
      <c r="C1178" s="22">
        <f>'VIX HISTORIQUE'!D1181</f>
        <v>20.02</v>
      </c>
      <c r="D1178" s="22">
        <f>'VIX HISTORIQUE'!G1181</f>
        <v>21.77</v>
      </c>
      <c r="E1178" s="22">
        <f>'VIX HISTORIQUE'!I1181</f>
        <v>23.19</v>
      </c>
      <c r="F1178" s="22">
        <f>'VIX HISTORIQUE'!K1181</f>
        <v>24.04</v>
      </c>
    </row>
    <row r="1179" ht="15.75" customHeight="1">
      <c r="A1179" s="25">
        <f>'VIX HISTORIQUE'!A1182</f>
        <v>44978.66667</v>
      </c>
      <c r="B1179" s="22">
        <f>'VIX HISTORIQUE'!B1182</f>
        <v>3997.34</v>
      </c>
      <c r="C1179" s="22">
        <f>'VIX HISTORIQUE'!D1182</f>
        <v>22.87</v>
      </c>
      <c r="D1179" s="22">
        <f>'VIX HISTORIQUE'!G1182</f>
        <v>23.38</v>
      </c>
      <c r="E1179" s="22">
        <f>'VIX HISTORIQUE'!I1182</f>
        <v>24.6</v>
      </c>
      <c r="F1179" s="22">
        <f>'VIX HISTORIQUE'!K1182</f>
        <v>25</v>
      </c>
    </row>
    <row r="1180" ht="15.75" customHeight="1">
      <c r="A1180" s="25">
        <f>'VIX HISTORIQUE'!A1183</f>
        <v>44979.66667</v>
      </c>
      <c r="B1180" s="22">
        <f>'VIX HISTORIQUE'!B1183</f>
        <v>3991.05</v>
      </c>
      <c r="C1180" s="22">
        <f>'VIX HISTORIQUE'!D1183</f>
        <v>22.29</v>
      </c>
      <c r="D1180" s="22">
        <f>'VIX HISTORIQUE'!G1183</f>
        <v>22.68</v>
      </c>
      <c r="E1180" s="22">
        <f>'VIX HISTORIQUE'!I1183</f>
        <v>24.06</v>
      </c>
      <c r="F1180" s="22">
        <f>'VIX HISTORIQUE'!K1183</f>
        <v>24.56</v>
      </c>
    </row>
    <row r="1181" ht="15.75" customHeight="1">
      <c r="A1181" s="25">
        <f>'VIX HISTORIQUE'!A1184</f>
        <v>44980.66667</v>
      </c>
      <c r="B1181" s="22">
        <f>'VIX HISTORIQUE'!B1184</f>
        <v>4012.32</v>
      </c>
      <c r="C1181" s="22">
        <f>'VIX HISTORIQUE'!D1184</f>
        <v>21.14</v>
      </c>
      <c r="D1181" s="22">
        <f>'VIX HISTORIQUE'!G1184</f>
        <v>21.74</v>
      </c>
      <c r="E1181" s="22">
        <f>'VIX HISTORIQUE'!I1184</f>
        <v>23.34</v>
      </c>
      <c r="F1181" s="22">
        <f>'VIX HISTORIQUE'!K1184</f>
        <v>24.13</v>
      </c>
    </row>
    <row r="1182" ht="15.75" customHeight="1">
      <c r="A1182" s="25">
        <f>'VIX HISTORIQUE'!A1185</f>
        <v>44981.66667</v>
      </c>
      <c r="B1182" s="22">
        <f>'VIX HISTORIQUE'!B1185</f>
        <v>3970.04</v>
      </c>
      <c r="C1182" s="22">
        <f>'VIX HISTORIQUE'!D1185</f>
        <v>21.67</v>
      </c>
      <c r="D1182" s="22">
        <f>'VIX HISTORIQUE'!G1185</f>
        <v>22.43</v>
      </c>
      <c r="E1182" s="22">
        <f>'VIX HISTORIQUE'!I1185</f>
        <v>23.98</v>
      </c>
      <c r="F1182" s="22">
        <f>'VIX HISTORIQUE'!K1185</f>
        <v>24.54</v>
      </c>
    </row>
    <row r="1183" ht="15.75" customHeight="1">
      <c r="A1183" s="25">
        <f>'VIX HISTORIQUE'!A1186</f>
        <v>44984.66667</v>
      </c>
      <c r="B1183" s="22">
        <f>'VIX HISTORIQUE'!B1186</f>
        <v>3982.24</v>
      </c>
      <c r="C1183" s="22">
        <f>'VIX HISTORIQUE'!D1186</f>
        <v>20.95</v>
      </c>
      <c r="D1183" s="22">
        <f>'VIX HISTORIQUE'!G1186</f>
        <v>21.59</v>
      </c>
      <c r="E1183" s="22">
        <f>'VIX HISTORIQUE'!I1186</f>
        <v>23.37</v>
      </c>
      <c r="F1183" s="22">
        <f>'VIX HISTORIQUE'!K1186</f>
        <v>24.1</v>
      </c>
    </row>
    <row r="1184" ht="15.75" customHeight="1">
      <c r="A1184" s="25">
        <f>'VIX HISTORIQUE'!A1187</f>
        <v>44985.66667</v>
      </c>
      <c r="B1184" s="22">
        <f>'VIX HISTORIQUE'!B1187</f>
        <v>3970.15</v>
      </c>
      <c r="C1184" s="22">
        <f>'VIX HISTORIQUE'!D1187</f>
        <v>20.7</v>
      </c>
      <c r="D1184" s="22">
        <f>'VIX HISTORIQUE'!G1187</f>
        <v>21.32</v>
      </c>
      <c r="E1184" s="22">
        <f>'VIX HISTORIQUE'!I1187</f>
        <v>23.05</v>
      </c>
      <c r="F1184" s="22">
        <f>'VIX HISTORIQUE'!K1187</f>
        <v>23.88</v>
      </c>
    </row>
    <row r="1185" ht="15.75" customHeight="1">
      <c r="A1185" s="25">
        <f>'VIX HISTORIQUE'!A1188</f>
        <v>44986.66667</v>
      </c>
      <c r="B1185" s="22">
        <f>'VIX HISTORIQUE'!B1188</f>
        <v>3951.39</v>
      </c>
      <c r="C1185" s="22">
        <f>'VIX HISTORIQUE'!D1188</f>
        <v>20.58</v>
      </c>
      <c r="D1185" s="22">
        <f>'VIX HISTORIQUE'!G1188</f>
        <v>21.36</v>
      </c>
      <c r="E1185" s="22">
        <f>'VIX HISTORIQUE'!I1188</f>
        <v>23.09</v>
      </c>
      <c r="F1185" s="22">
        <f>'VIX HISTORIQUE'!K1188</f>
        <v>23.98</v>
      </c>
    </row>
    <row r="1186" ht="15.75" customHeight="1">
      <c r="A1186" s="25">
        <f>'VIX HISTORIQUE'!A1189</f>
        <v>44987.66667</v>
      </c>
      <c r="B1186" s="22">
        <f>'VIX HISTORIQUE'!B1189</f>
        <v>3981.35</v>
      </c>
      <c r="C1186" s="22">
        <f>'VIX HISTORIQUE'!D1189</f>
        <v>19.59</v>
      </c>
      <c r="D1186" s="22">
        <f>'VIX HISTORIQUE'!G1189</f>
        <v>20.63</v>
      </c>
      <c r="E1186" s="22">
        <f>'VIX HISTORIQUE'!I1189</f>
        <v>22.39</v>
      </c>
      <c r="F1186" s="22">
        <f>'VIX HISTORIQUE'!K1189</f>
        <v>23.47</v>
      </c>
    </row>
    <row r="1187" ht="15.75" customHeight="1">
      <c r="A1187" s="25">
        <f>'VIX HISTORIQUE'!A1190</f>
        <v>44988.66667</v>
      </c>
      <c r="B1187" s="22">
        <f>'VIX HISTORIQUE'!B1190</f>
        <v>4045.64</v>
      </c>
      <c r="C1187" s="22">
        <f>'VIX HISTORIQUE'!D1190</f>
        <v>18.49</v>
      </c>
      <c r="D1187" s="22">
        <f>'VIX HISTORIQUE'!G1190</f>
        <v>19.98</v>
      </c>
      <c r="E1187" s="22">
        <f>'VIX HISTORIQUE'!I1190</f>
        <v>21.82</v>
      </c>
      <c r="F1187" s="22">
        <f>'VIX HISTORIQUE'!K1190</f>
        <v>23</v>
      </c>
    </row>
    <row r="1188" ht="15.75" customHeight="1">
      <c r="A1188" s="25">
        <f>'VIX HISTORIQUE'!A1191</f>
        <v>44991.66667</v>
      </c>
      <c r="B1188" s="22">
        <f>'VIX HISTORIQUE'!B1191</f>
        <v>4048.42</v>
      </c>
      <c r="C1188" s="22">
        <f>'VIX HISTORIQUE'!D1191</f>
        <v>18.61</v>
      </c>
      <c r="D1188" s="22">
        <f>'VIX HISTORIQUE'!G1191</f>
        <v>19.99</v>
      </c>
      <c r="E1188" s="22">
        <f>'VIX HISTORIQUE'!I1191</f>
        <v>21.79</v>
      </c>
      <c r="F1188" s="22">
        <f>'VIX HISTORIQUE'!K1191</f>
        <v>22.9</v>
      </c>
    </row>
    <row r="1189" ht="15.75" customHeight="1">
      <c r="A1189" s="25">
        <f>'VIX HISTORIQUE'!A1192</f>
        <v>44992.66667</v>
      </c>
      <c r="B1189" s="22">
        <f>'VIX HISTORIQUE'!B1192</f>
        <v>3986.37</v>
      </c>
      <c r="C1189" s="22">
        <f>'VIX HISTORIQUE'!D1192</f>
        <v>19.59</v>
      </c>
      <c r="D1189" s="22">
        <f>'VIX HISTORIQUE'!G1192</f>
        <v>20.59</v>
      </c>
      <c r="E1189" s="22">
        <f>'VIX HISTORIQUE'!I1192</f>
        <v>22.2</v>
      </c>
      <c r="F1189" s="22">
        <f>'VIX HISTORIQUE'!K1192</f>
        <v>23.16</v>
      </c>
    </row>
    <row r="1190" ht="15.75" customHeight="1">
      <c r="A1190" s="25">
        <f>'VIX HISTORIQUE'!A1193</f>
        <v>44993.66667</v>
      </c>
      <c r="B1190" s="22">
        <f>'VIX HISTORIQUE'!B1193</f>
        <v>3992.01</v>
      </c>
      <c r="C1190" s="22">
        <f>'VIX HISTORIQUE'!D1193</f>
        <v>19.11</v>
      </c>
      <c r="D1190" s="22">
        <f>'VIX HISTORIQUE'!G1193</f>
        <v>20.19</v>
      </c>
      <c r="E1190" s="22">
        <f>'VIX HISTORIQUE'!I1193</f>
        <v>21.84</v>
      </c>
      <c r="F1190" s="22">
        <f>'VIX HISTORIQUE'!K1193</f>
        <v>23.2</v>
      </c>
    </row>
    <row r="1191" ht="15.75" customHeight="1">
      <c r="A1191" s="25">
        <f>'VIX HISTORIQUE'!A1194</f>
        <v>44994.66667</v>
      </c>
      <c r="B1191" s="22">
        <f>'VIX HISTORIQUE'!B1194</f>
        <v>3918.32</v>
      </c>
      <c r="C1191" s="22">
        <f>'VIX HISTORIQUE'!D1194</f>
        <v>22.61</v>
      </c>
      <c r="D1191" s="22">
        <f>'VIX HISTORIQUE'!G1194</f>
        <v>22.87</v>
      </c>
      <c r="E1191" s="22">
        <f>'VIX HISTORIQUE'!I1194</f>
        <v>23.87</v>
      </c>
      <c r="F1191" s="22">
        <f>'VIX HISTORIQUE'!K1194</f>
        <v>24.2</v>
      </c>
    </row>
    <row r="1192" ht="15.75" customHeight="1">
      <c r="A1192" s="25">
        <f>'VIX HISTORIQUE'!A1195</f>
        <v>44995.66667</v>
      </c>
      <c r="B1192" s="22">
        <f>'VIX HISTORIQUE'!B1195</f>
        <v>3861.59</v>
      </c>
      <c r="C1192" s="22">
        <f>'VIX HISTORIQUE'!D1195</f>
        <v>24.8</v>
      </c>
      <c r="D1192" s="22">
        <f>'VIX HISTORIQUE'!G1195</f>
        <v>25.39</v>
      </c>
      <c r="E1192" s="22">
        <f>'VIX HISTORIQUE'!I1195</f>
        <v>25.97</v>
      </c>
      <c r="F1192" s="22">
        <f>'VIX HISTORIQUE'!K1195</f>
        <v>25.6</v>
      </c>
    </row>
    <row r="1193" ht="15.75" customHeight="1">
      <c r="A1193" s="25">
        <f>'VIX HISTORIQUE'!A1196</f>
        <v>44998.66667</v>
      </c>
      <c r="B1193" s="22">
        <f>'VIX HISTORIQUE'!B1196</f>
        <v>3855.76</v>
      </c>
      <c r="C1193" s="22">
        <f>'VIX HISTORIQUE'!D1196</f>
        <v>26.52</v>
      </c>
      <c r="D1193" s="22">
        <f>'VIX HISTORIQUE'!G1196</f>
        <v>26.64</v>
      </c>
      <c r="E1193" s="22">
        <f>'VIX HISTORIQUE'!I1196</f>
        <v>27</v>
      </c>
      <c r="F1193" s="22">
        <f>'VIX HISTORIQUE'!K1196</f>
        <v>26.3</v>
      </c>
    </row>
    <row r="1194" ht="15.75" customHeight="1">
      <c r="A1194" s="25">
        <f>'VIX HISTORIQUE'!A1197</f>
        <v>44999.66667</v>
      </c>
      <c r="B1194" s="22">
        <f>'VIX HISTORIQUE'!B1197</f>
        <v>3919.29</v>
      </c>
      <c r="C1194" s="22">
        <f>'VIX HISTORIQUE'!D1197</f>
        <v>23.73</v>
      </c>
      <c r="D1194" s="22">
        <f>'VIX HISTORIQUE'!G1197</f>
        <v>24.87</v>
      </c>
      <c r="E1194" s="22">
        <f>'VIX HISTORIQUE'!I1197</f>
        <v>25.68</v>
      </c>
      <c r="F1194" s="22">
        <f>'VIX HISTORIQUE'!K1197</f>
        <v>25.41</v>
      </c>
    </row>
    <row r="1195" ht="15.75" customHeight="1">
      <c r="A1195" s="25">
        <f>'VIX HISTORIQUE'!A1198</f>
        <v>45000.66667</v>
      </c>
      <c r="B1195" s="22">
        <f>'VIX HISTORIQUE'!B1198</f>
        <v>3891.93</v>
      </c>
      <c r="C1195" s="22">
        <f>'VIX HISTORIQUE'!D1198</f>
        <v>26.14</v>
      </c>
      <c r="D1195" s="22">
        <f>'VIX HISTORIQUE'!G1198</f>
        <v>27.2</v>
      </c>
      <c r="E1195" s="22">
        <f>'VIX HISTORIQUE'!I1198</f>
        <v>27.8</v>
      </c>
      <c r="F1195" s="22">
        <f>'VIX HISTORIQUE'!K1198</f>
        <v>27.57</v>
      </c>
    </row>
    <row r="1196" ht="15.75" customHeight="1">
      <c r="A1196" s="25">
        <f>'VIX HISTORIQUE'!A1199</f>
        <v>45001.66667</v>
      </c>
      <c r="B1196" s="22">
        <f>'VIX HISTORIQUE'!B1199</f>
        <v>3960.28</v>
      </c>
      <c r="C1196" s="22">
        <f>'VIX HISTORIQUE'!D1199</f>
        <v>22.99</v>
      </c>
      <c r="D1196" s="22">
        <f>'VIX HISTORIQUE'!G1199</f>
        <v>24.56</v>
      </c>
      <c r="E1196" s="22">
        <f>'VIX HISTORIQUE'!I1199</f>
        <v>25.72</v>
      </c>
      <c r="F1196" s="22">
        <f>'VIX HISTORIQUE'!K1199</f>
        <v>25.71</v>
      </c>
    </row>
    <row r="1197" ht="15.75" customHeight="1">
      <c r="A1197" s="25">
        <f>'VIX HISTORIQUE'!A1200</f>
        <v>45002.66667</v>
      </c>
      <c r="B1197" s="22">
        <f>'VIX HISTORIQUE'!B1200</f>
        <v>3916.64</v>
      </c>
      <c r="C1197" s="22">
        <f>'VIX HISTORIQUE'!D1200</f>
        <v>25.51</v>
      </c>
      <c r="D1197" s="22">
        <f>'VIX HISTORIQUE'!G1200</f>
        <v>27.42</v>
      </c>
      <c r="E1197" s="22">
        <f>'VIX HISTORIQUE'!I1200</f>
        <v>28.23</v>
      </c>
      <c r="F1197" s="22">
        <f>'VIX HISTORIQUE'!K1200</f>
        <v>27.63</v>
      </c>
    </row>
    <row r="1198" ht="15.75" customHeight="1">
      <c r="A1198" s="25">
        <f>'VIX HISTORIQUE'!A1201</f>
        <v>45005.66667</v>
      </c>
      <c r="B1198" s="22">
        <f>'VIX HISTORIQUE'!B1201</f>
        <v>3951.57</v>
      </c>
      <c r="C1198" s="22">
        <f>'VIX HISTORIQUE'!D1201</f>
        <v>24.15</v>
      </c>
      <c r="D1198" s="22">
        <f>'VIX HISTORIQUE'!G1201</f>
        <v>25.85</v>
      </c>
      <c r="E1198" s="22">
        <f>'VIX HISTORIQUE'!I1201</f>
        <v>26.98</v>
      </c>
      <c r="F1198" s="22">
        <f>'VIX HISTORIQUE'!K1201</f>
        <v>26.69</v>
      </c>
    </row>
    <row r="1199" ht="15.75" customHeight="1">
      <c r="A1199" s="25">
        <f>'VIX HISTORIQUE'!A1202</f>
        <v>45006.66667</v>
      </c>
      <c r="B1199" s="22">
        <f>'VIX HISTORIQUE'!B1202</f>
        <v>4002.87</v>
      </c>
      <c r="C1199" s="22">
        <f>'VIX HISTORIQUE'!D1202</f>
        <v>21.38</v>
      </c>
      <c r="D1199" s="22">
        <f>'VIX HISTORIQUE'!G1202</f>
        <v>23.57</v>
      </c>
      <c r="E1199" s="22">
        <f>'VIX HISTORIQUE'!I1202</f>
        <v>25.14</v>
      </c>
      <c r="F1199" s="22">
        <f>'VIX HISTORIQUE'!K1202</f>
        <v>25.18</v>
      </c>
    </row>
    <row r="1200" ht="15.75" customHeight="1">
      <c r="A1200" s="25">
        <f>'VIX HISTORIQUE'!A1203</f>
        <v>45007.66667</v>
      </c>
      <c r="B1200" s="22">
        <f>'VIX HISTORIQUE'!B1203</f>
        <v>3936.97</v>
      </c>
      <c r="C1200" s="22">
        <f>'VIX HISTORIQUE'!D1203</f>
        <v>22.26</v>
      </c>
      <c r="D1200" s="22">
        <f>'VIX HISTORIQUE'!G1203</f>
        <v>24.38</v>
      </c>
      <c r="E1200" s="22">
        <f>'VIX HISTORIQUE'!I1203</f>
        <v>25.66</v>
      </c>
      <c r="F1200" s="22">
        <f>'VIX HISTORIQUE'!K1203</f>
        <v>25.55</v>
      </c>
    </row>
    <row r="1201" ht="15.75" customHeight="1">
      <c r="A1201" s="25">
        <f>'VIX HISTORIQUE'!A1204</f>
        <v>45008.66667</v>
      </c>
      <c r="B1201" s="22">
        <f>'VIX HISTORIQUE'!B1204</f>
        <v>3948.72</v>
      </c>
      <c r="C1201" s="22">
        <f>'VIX HISTORIQUE'!D1204</f>
        <v>22.61</v>
      </c>
      <c r="D1201" s="22">
        <f>'VIX HISTORIQUE'!G1204</f>
        <v>24.53</v>
      </c>
      <c r="E1201" s="22">
        <f>'VIX HISTORIQUE'!I1204</f>
        <v>25.94</v>
      </c>
      <c r="F1201" s="22">
        <f>'VIX HISTORIQUE'!K1204</f>
        <v>25.99</v>
      </c>
    </row>
    <row r="1202" ht="15.75" customHeight="1">
      <c r="A1202" s="25">
        <f>'VIX HISTORIQUE'!A1205</f>
        <v>45009.66667</v>
      </c>
      <c r="B1202" s="22">
        <f>'VIX HISTORIQUE'!B1205</f>
        <v>3970.99</v>
      </c>
      <c r="C1202" s="22">
        <f>'VIX HISTORIQUE'!D1205</f>
        <v>21.74</v>
      </c>
      <c r="D1202" s="22">
        <f>'VIX HISTORIQUE'!G1205</f>
        <v>23.96</v>
      </c>
      <c r="E1202" s="22">
        <f>'VIX HISTORIQUE'!I1205</f>
        <v>25.54</v>
      </c>
      <c r="F1202" s="22">
        <f>'VIX HISTORIQUE'!K1205</f>
        <v>25.78</v>
      </c>
    </row>
    <row r="1203" ht="15.75" customHeight="1">
      <c r="A1203" s="25">
        <f>'VIX HISTORIQUE'!A1206</f>
        <v>45012.66667</v>
      </c>
      <c r="B1203" s="22">
        <f>'VIX HISTORIQUE'!B1206</f>
        <v>3977.53</v>
      </c>
      <c r="C1203" s="22">
        <f>'VIX HISTORIQUE'!D1206</f>
        <v>20.6</v>
      </c>
      <c r="D1203" s="22">
        <f>'VIX HISTORIQUE'!G1206</f>
        <v>22.87</v>
      </c>
      <c r="E1203" s="22">
        <f>'VIX HISTORIQUE'!I1206</f>
        <v>24.6</v>
      </c>
      <c r="F1203" s="22">
        <f>'VIX HISTORIQUE'!K1206</f>
        <v>25.09</v>
      </c>
    </row>
    <row r="1204" ht="15.75" customHeight="1">
      <c r="A1204" s="25">
        <f>'VIX HISTORIQUE'!A1207</f>
        <v>45013.66667</v>
      </c>
      <c r="B1204" s="22">
        <f>'VIX HISTORIQUE'!B1207</f>
        <v>3971.27</v>
      </c>
      <c r="C1204" s="22">
        <f>'VIX HISTORIQUE'!D1207</f>
        <v>19.97</v>
      </c>
      <c r="D1204" s="22">
        <f>'VIX HISTORIQUE'!G1207</f>
        <v>22.38</v>
      </c>
      <c r="E1204" s="22">
        <f>'VIX HISTORIQUE'!I1207</f>
        <v>24.33</v>
      </c>
      <c r="F1204" s="22">
        <f>'VIX HISTORIQUE'!K1207</f>
        <v>24.78</v>
      </c>
    </row>
    <row r="1205" ht="15.75" customHeight="1">
      <c r="A1205" s="25">
        <f>'VIX HISTORIQUE'!A1208</f>
        <v>45014.66667</v>
      </c>
      <c r="B1205" s="22">
        <f>'VIX HISTORIQUE'!B1208</f>
        <v>4027.81</v>
      </c>
      <c r="C1205" s="22">
        <f>'VIX HISTORIQUE'!D1208</f>
        <v>19.12</v>
      </c>
      <c r="D1205" s="22">
        <f>'VIX HISTORIQUE'!G1208</f>
        <v>21.49</v>
      </c>
      <c r="E1205" s="22">
        <f>'VIX HISTORIQUE'!I1208</f>
        <v>23.57</v>
      </c>
      <c r="F1205" s="22">
        <f>'VIX HISTORIQUE'!K1208</f>
        <v>24.22</v>
      </c>
    </row>
    <row r="1206" ht="15.75" customHeight="1">
      <c r="A1206" s="25">
        <f>'VIX HISTORIQUE'!A1209</f>
        <v>45015.66667</v>
      </c>
      <c r="B1206" s="22">
        <f>'VIX HISTORIQUE'!B1209</f>
        <v>4050.83</v>
      </c>
      <c r="C1206" s="22">
        <f>'VIX HISTORIQUE'!D1209</f>
        <v>19.02</v>
      </c>
      <c r="D1206" s="22">
        <f>'VIX HISTORIQUE'!G1209</f>
        <v>21.45</v>
      </c>
      <c r="E1206" s="22">
        <f>'VIX HISTORIQUE'!I1209</f>
        <v>23.55</v>
      </c>
      <c r="F1206" s="22">
        <f>'VIX HISTORIQUE'!K1209</f>
        <v>24.18</v>
      </c>
    </row>
    <row r="1207" ht="15.75" customHeight="1">
      <c r="A1207" s="25">
        <f>'VIX HISTORIQUE'!A1210</f>
        <v>45016.66667</v>
      </c>
      <c r="B1207" s="22">
        <f>'VIX HISTORIQUE'!B1210</f>
        <v>4109.31</v>
      </c>
      <c r="C1207" s="22">
        <f>'VIX HISTORIQUE'!D1210</f>
        <v>18.7</v>
      </c>
      <c r="D1207" s="22">
        <f>'VIX HISTORIQUE'!G1210</f>
        <v>21.23</v>
      </c>
      <c r="E1207" s="22">
        <f>'VIX HISTORIQUE'!I1210</f>
        <v>23.25</v>
      </c>
      <c r="F1207" s="22">
        <f>'VIX HISTORIQUE'!K1210</f>
        <v>24.12</v>
      </c>
    </row>
    <row r="1208" ht="15.75" customHeight="1">
      <c r="A1208" s="25">
        <f>'VIX HISTORIQUE'!A1211</f>
        <v>45019.66667</v>
      </c>
      <c r="B1208" s="22">
        <f>'VIX HISTORIQUE'!B1211</f>
        <v>4124.51</v>
      </c>
      <c r="C1208" s="22">
        <f>'VIX HISTORIQUE'!D1211</f>
        <v>18.55</v>
      </c>
      <c r="D1208" s="22">
        <f>'VIX HISTORIQUE'!G1211</f>
        <v>20.83</v>
      </c>
      <c r="E1208" s="22">
        <f>'VIX HISTORIQUE'!I1211</f>
        <v>22.98</v>
      </c>
      <c r="F1208" s="22">
        <f>'VIX HISTORIQUE'!K1211</f>
        <v>23.84</v>
      </c>
    </row>
    <row r="1209" ht="15.75" customHeight="1">
      <c r="A1209" s="25">
        <f>'VIX HISTORIQUE'!A1212</f>
        <v>45020.66667</v>
      </c>
      <c r="B1209" s="22">
        <f>'VIX HISTORIQUE'!B1212</f>
        <v>4100.6</v>
      </c>
      <c r="C1209" s="22">
        <f>'VIX HISTORIQUE'!D1212</f>
        <v>19</v>
      </c>
      <c r="D1209" s="22">
        <f>'VIX HISTORIQUE'!G1212</f>
        <v>21.34</v>
      </c>
      <c r="E1209" s="22">
        <f>'VIX HISTORIQUE'!I1212</f>
        <v>23.45</v>
      </c>
      <c r="F1209" s="22">
        <f>'VIX HISTORIQUE'!K1212</f>
        <v>24.33</v>
      </c>
    </row>
    <row r="1210" ht="15.75" customHeight="1">
      <c r="A1210" s="25">
        <f>'VIX HISTORIQUE'!A1213</f>
        <v>45021.66667</v>
      </c>
      <c r="B1210" s="22">
        <f>'VIX HISTORIQUE'!B1213</f>
        <v>4090.38</v>
      </c>
      <c r="C1210" s="22">
        <f>'VIX HISTORIQUE'!D1213</f>
        <v>19.08</v>
      </c>
      <c r="D1210" s="22">
        <f>'VIX HISTORIQUE'!G1213</f>
        <v>21.48</v>
      </c>
      <c r="E1210" s="22">
        <f>'VIX HISTORIQUE'!I1213</f>
        <v>23.76</v>
      </c>
      <c r="F1210" s="22">
        <f>'VIX HISTORIQUE'!K1213</f>
        <v>24.51</v>
      </c>
    </row>
    <row r="1211" ht="15.75" customHeight="1">
      <c r="A1211" s="25">
        <f>'VIX HISTORIQUE'!A1214</f>
        <v>45022.66667</v>
      </c>
      <c r="B1211" s="22">
        <f>'VIX HISTORIQUE'!B1214</f>
        <v>4105.02</v>
      </c>
      <c r="C1211" s="22">
        <f>'VIX HISTORIQUE'!D1214</f>
        <v>18.4</v>
      </c>
      <c r="D1211" s="22">
        <f>'VIX HISTORIQUE'!G1214</f>
        <v>21</v>
      </c>
      <c r="E1211" s="22">
        <f>'VIX HISTORIQUE'!I1214</f>
        <v>23.33</v>
      </c>
      <c r="F1211" s="22">
        <f>'VIX HISTORIQUE'!K1214</f>
        <v>24.34</v>
      </c>
    </row>
    <row r="1212" ht="15.75" customHeight="1">
      <c r="A1212" s="25">
        <f>'VIX HISTORIQUE'!A1215</f>
        <v>45026.66667</v>
      </c>
      <c r="B1212" s="22">
        <f>'VIX HISTORIQUE'!B1215</f>
        <v>4109.11</v>
      </c>
      <c r="C1212" s="22">
        <f>'VIX HISTORIQUE'!D1215</f>
        <v>18.97</v>
      </c>
      <c r="D1212" s="22">
        <f>'VIX HISTORIQUE'!G1215</f>
        <v>21.07</v>
      </c>
      <c r="E1212" s="22">
        <f>'VIX HISTORIQUE'!I1215</f>
        <v>23.21</v>
      </c>
      <c r="F1212" s="22">
        <f>'VIX HISTORIQUE'!K1215</f>
        <v>23.93</v>
      </c>
    </row>
    <row r="1213" ht="15.75" customHeight="1">
      <c r="A1213" s="25">
        <f>'VIX HISTORIQUE'!A1216</f>
        <v>45027.66667</v>
      </c>
      <c r="B1213" s="22">
        <f>'VIX HISTORIQUE'!B1216</f>
        <v>4108.94</v>
      </c>
      <c r="C1213" s="22">
        <f>'VIX HISTORIQUE'!D1216</f>
        <v>19.1</v>
      </c>
      <c r="D1213" s="22">
        <f>'VIX HISTORIQUE'!G1216</f>
        <v>21.01</v>
      </c>
      <c r="E1213" s="22">
        <f>'VIX HISTORIQUE'!I1216</f>
        <v>23.12</v>
      </c>
      <c r="F1213" s="22">
        <f>'VIX HISTORIQUE'!K1216</f>
        <v>23.93</v>
      </c>
    </row>
    <row r="1214" ht="15.75" customHeight="1">
      <c r="A1214" s="25">
        <f>'VIX HISTORIQUE'!A1217</f>
        <v>45028.66667</v>
      </c>
      <c r="B1214" s="22">
        <f>'VIX HISTORIQUE'!B1217</f>
        <v>4091.95</v>
      </c>
      <c r="C1214" s="22">
        <f>'VIX HISTORIQUE'!D1217</f>
        <v>19.09</v>
      </c>
      <c r="D1214" s="22">
        <f>'VIX HISTORIQUE'!G1217</f>
        <v>21.05</v>
      </c>
      <c r="E1214" s="22">
        <f>'VIX HISTORIQUE'!I1217</f>
        <v>23.13</v>
      </c>
      <c r="F1214" s="22">
        <f>'VIX HISTORIQUE'!K1217</f>
        <v>24.16</v>
      </c>
    </row>
    <row r="1215" ht="15.75" customHeight="1">
      <c r="A1215" s="25">
        <f>'VIX HISTORIQUE'!A1218</f>
        <v>45029.66667</v>
      </c>
      <c r="B1215" s="22">
        <f>'VIX HISTORIQUE'!B1218</f>
        <v>4146.22</v>
      </c>
      <c r="C1215" s="22">
        <f>'VIX HISTORIQUE'!D1218</f>
        <v>17.8</v>
      </c>
      <c r="D1215" s="22">
        <f>'VIX HISTORIQUE'!G1218</f>
        <v>20.26</v>
      </c>
      <c r="E1215" s="22">
        <f>'VIX HISTORIQUE'!I1218</f>
        <v>22.59</v>
      </c>
      <c r="F1215" s="22">
        <f>'VIX HISTORIQUE'!K1218</f>
        <v>23.62</v>
      </c>
    </row>
    <row r="1216" ht="15.75" customHeight="1">
      <c r="A1216" s="25">
        <f>'VIX HISTORIQUE'!A1219</f>
        <v>45030.66667</v>
      </c>
      <c r="B1216" s="22">
        <f>'VIX HISTORIQUE'!B1219</f>
        <v>4137.64</v>
      </c>
      <c r="C1216" s="22">
        <f>'VIX HISTORIQUE'!D1219</f>
        <v>17.07</v>
      </c>
      <c r="D1216" s="22">
        <f>'VIX HISTORIQUE'!G1219</f>
        <v>20.03</v>
      </c>
      <c r="E1216" s="22">
        <f>'VIX HISTORIQUE'!I1219</f>
        <v>22.48</v>
      </c>
      <c r="F1216" s="22">
        <f>'VIX HISTORIQUE'!K1219</f>
        <v>23.59</v>
      </c>
    </row>
    <row r="1217" ht="15.75" customHeight="1">
      <c r="A1217" s="25">
        <f>'VIX HISTORIQUE'!A1220</f>
        <v>45033.66667</v>
      </c>
      <c r="B1217" s="22">
        <f>'VIX HISTORIQUE'!B1220</f>
        <v>4151.32</v>
      </c>
      <c r="C1217" s="22">
        <f>'VIX HISTORIQUE'!D1220</f>
        <v>16.95</v>
      </c>
      <c r="D1217" s="22">
        <f>'VIX HISTORIQUE'!G1220</f>
        <v>19.65</v>
      </c>
      <c r="E1217" s="22">
        <f>'VIX HISTORIQUE'!I1220</f>
        <v>22.15</v>
      </c>
      <c r="F1217" s="22">
        <f>'VIX HISTORIQUE'!K1220</f>
        <v>23.31</v>
      </c>
    </row>
    <row r="1218" ht="15.75" customHeight="1">
      <c r="A1218" s="25">
        <f>'VIX HISTORIQUE'!A1221</f>
        <v>45034.66667</v>
      </c>
      <c r="B1218" s="22">
        <f>'VIX HISTORIQUE'!B1221</f>
        <v>4154.87</v>
      </c>
      <c r="C1218" s="22">
        <f>'VIX HISTORIQUE'!D1221</f>
        <v>16.83</v>
      </c>
      <c r="D1218" s="22">
        <f>'VIX HISTORIQUE'!G1221</f>
        <v>19.82</v>
      </c>
      <c r="E1218" s="22">
        <f>'VIX HISTORIQUE'!I1221</f>
        <v>22.34</v>
      </c>
      <c r="F1218" s="22">
        <f>'VIX HISTORIQUE'!K1221</f>
        <v>23.52</v>
      </c>
    </row>
    <row r="1219" ht="15.75" customHeight="1">
      <c r="A1219" s="25">
        <f>'VIX HISTORIQUE'!A1222</f>
        <v>45035.66667</v>
      </c>
      <c r="B1219" s="22">
        <f>'VIX HISTORIQUE'!B1222</f>
        <v>4154.52</v>
      </c>
      <c r="C1219" s="22">
        <f>'VIX HISTORIQUE'!D1222</f>
        <v>16.46</v>
      </c>
      <c r="D1219" s="22">
        <f>'VIX HISTORIQUE'!G1222</f>
        <v>20.02</v>
      </c>
      <c r="E1219" s="22">
        <f>'VIX HISTORIQUE'!I1222</f>
        <v>22.58</v>
      </c>
      <c r="F1219" s="22">
        <f>'VIX HISTORIQUE'!K1222</f>
        <v>23.65</v>
      </c>
    </row>
    <row r="1220" ht="15.75" customHeight="1">
      <c r="A1220" s="25">
        <f>'VIX HISTORIQUE'!A1223</f>
        <v>45036.66667</v>
      </c>
      <c r="B1220" s="22">
        <f>'VIX HISTORIQUE'!B1223</f>
        <v>4129.79</v>
      </c>
      <c r="C1220" s="22">
        <f>'VIX HISTORIQUE'!D1223</f>
        <v>17.17</v>
      </c>
      <c r="D1220" s="22">
        <f>'VIX HISTORIQUE'!G1223</f>
        <v>20.55</v>
      </c>
      <c r="E1220" s="22">
        <f>'VIX HISTORIQUE'!I1223</f>
        <v>23.09</v>
      </c>
      <c r="F1220" s="22">
        <f>'VIX HISTORIQUE'!K1223</f>
        <v>24.12</v>
      </c>
    </row>
    <row r="1221" ht="15.75" customHeight="1">
      <c r="A1221" s="25">
        <f>'VIX HISTORIQUE'!A1224</f>
        <v>45037.66667</v>
      </c>
      <c r="B1221" s="22">
        <f>'VIX HISTORIQUE'!B1224</f>
        <v>4133.52</v>
      </c>
      <c r="C1221" s="22">
        <f>'VIX HISTORIQUE'!D1224</f>
        <v>16.77</v>
      </c>
      <c r="D1221" s="22">
        <f>'VIX HISTORIQUE'!G1224</f>
        <v>20.39</v>
      </c>
      <c r="E1221" s="22">
        <f>'VIX HISTORIQUE'!I1224</f>
        <v>23.09</v>
      </c>
      <c r="F1221" s="22">
        <f>'VIX HISTORIQUE'!K1224</f>
        <v>24.12</v>
      </c>
    </row>
    <row r="1222" ht="15.75" customHeight="1">
      <c r="A1222" s="25">
        <f>'VIX HISTORIQUE'!A1225</f>
        <v>45040.66667</v>
      </c>
      <c r="B1222" s="22">
        <f>'VIX HISTORIQUE'!B1225</f>
        <v>4137.04</v>
      </c>
      <c r="C1222" s="22">
        <f>'VIX HISTORIQUE'!D1225</f>
        <v>16.89</v>
      </c>
      <c r="D1222" s="22">
        <f>'VIX HISTORIQUE'!G1225</f>
        <v>20.4</v>
      </c>
      <c r="E1222" s="22">
        <f>'VIX HISTORIQUE'!I1225</f>
        <v>23.15</v>
      </c>
      <c r="F1222" s="22">
        <f>'VIX HISTORIQUE'!K1225</f>
        <v>24.42</v>
      </c>
    </row>
    <row r="1223" ht="15.75" customHeight="1">
      <c r="A1223" s="25">
        <f>'VIX HISTORIQUE'!A1226</f>
        <v>45041.66667</v>
      </c>
      <c r="B1223" s="22">
        <f>'VIX HISTORIQUE'!B1226</f>
        <v>4071.63</v>
      </c>
      <c r="C1223" s="22">
        <f>'VIX HISTORIQUE'!D1226</f>
        <v>18.76</v>
      </c>
      <c r="D1223" s="22">
        <f>'VIX HISTORIQUE'!G1226</f>
        <v>21.65</v>
      </c>
      <c r="E1223" s="22">
        <f>'VIX HISTORIQUE'!I1226</f>
        <v>24.2</v>
      </c>
      <c r="F1223" s="22">
        <f>'VIX HISTORIQUE'!K1226</f>
        <v>25.03</v>
      </c>
    </row>
    <row r="1224" ht="15.75" customHeight="1">
      <c r="A1224" s="25">
        <f>'VIX HISTORIQUE'!A1227</f>
        <v>45042.66667</v>
      </c>
      <c r="B1224" s="22">
        <f>'VIX HISTORIQUE'!B1227</f>
        <v>4055.99</v>
      </c>
      <c r="C1224" s="22">
        <f>'VIX HISTORIQUE'!D1227</f>
        <v>18.84</v>
      </c>
      <c r="D1224" s="22">
        <f>'VIX HISTORIQUE'!G1227</f>
        <v>21.54</v>
      </c>
      <c r="E1224" s="22">
        <f>'VIX HISTORIQUE'!I1227</f>
        <v>24.13</v>
      </c>
      <c r="F1224" s="22">
        <f>'VIX HISTORIQUE'!K1227</f>
        <v>24.83</v>
      </c>
    </row>
    <row r="1225" ht="15.75" customHeight="1">
      <c r="A1225" s="25">
        <f>'VIX HISTORIQUE'!A1228</f>
        <v>45043.66667</v>
      </c>
      <c r="B1225" s="22">
        <f>'VIX HISTORIQUE'!B1228</f>
        <v>4135.35</v>
      </c>
      <c r="C1225" s="22">
        <f>'VIX HISTORIQUE'!D1228</f>
        <v>17.03</v>
      </c>
      <c r="D1225" s="22">
        <f>'VIX HISTORIQUE'!G1228</f>
        <v>20.37</v>
      </c>
      <c r="E1225" s="22">
        <f>'VIX HISTORIQUE'!I1228</f>
        <v>23.25</v>
      </c>
      <c r="F1225" s="22">
        <f>'VIX HISTORIQUE'!K1228</f>
        <v>24.3</v>
      </c>
    </row>
    <row r="1226" ht="15.75" customHeight="1">
      <c r="A1226" s="25">
        <f>'VIX HISTORIQUE'!A1229</f>
        <v>45044.66667</v>
      </c>
      <c r="B1226" s="22">
        <f>'VIX HISTORIQUE'!B1229</f>
        <v>4169.48</v>
      </c>
      <c r="C1226" s="22">
        <f>'VIX HISTORIQUE'!D1229</f>
        <v>15.78</v>
      </c>
      <c r="D1226" s="22">
        <f>'VIX HISTORIQUE'!G1229</f>
        <v>19.54</v>
      </c>
      <c r="E1226" s="22">
        <f>'VIX HISTORIQUE'!I1229</f>
        <v>22.78</v>
      </c>
      <c r="F1226" s="22">
        <f>'VIX HISTORIQUE'!K1229</f>
        <v>24.15</v>
      </c>
    </row>
    <row r="1227" ht="15.75" customHeight="1">
      <c r="A1227" s="25">
        <f>'VIX HISTORIQUE'!A1230</f>
        <v>45047.66667</v>
      </c>
      <c r="B1227" s="22">
        <f>'VIX HISTORIQUE'!B1230</f>
        <v>4167.87</v>
      </c>
      <c r="C1227" s="22">
        <f>'VIX HISTORIQUE'!D1230</f>
        <v>16.08</v>
      </c>
      <c r="D1227" s="22">
        <f>'VIX HISTORIQUE'!G1230</f>
        <v>19.67</v>
      </c>
      <c r="E1227" s="22">
        <f>'VIX HISTORIQUE'!I1230</f>
        <v>22.63</v>
      </c>
      <c r="F1227" s="22">
        <f>'VIX HISTORIQUE'!K1230</f>
        <v>23.96</v>
      </c>
    </row>
    <row r="1228" ht="15.75" customHeight="1">
      <c r="A1228" s="25">
        <f>'VIX HISTORIQUE'!A1231</f>
        <v>45048.66667</v>
      </c>
      <c r="B1228" s="22">
        <f>'VIX HISTORIQUE'!B1231</f>
        <v>4119.58</v>
      </c>
      <c r="C1228" s="22">
        <f>'VIX HISTORIQUE'!D1231</f>
        <v>17.78</v>
      </c>
      <c r="D1228" s="22">
        <f>'VIX HISTORIQUE'!G1231</f>
        <v>20.75</v>
      </c>
      <c r="E1228" s="22">
        <f>'VIX HISTORIQUE'!I1231</f>
        <v>23.47</v>
      </c>
      <c r="F1228" s="22">
        <f>'VIX HISTORIQUE'!K1231</f>
        <v>24.72</v>
      </c>
    </row>
    <row r="1229" ht="15.75" customHeight="1">
      <c r="A1229" s="25">
        <f>'VIX HISTORIQUE'!A1232</f>
        <v>45049.66667</v>
      </c>
      <c r="B1229" s="22">
        <f>'VIX HISTORIQUE'!B1232</f>
        <v>4090.75</v>
      </c>
      <c r="C1229" s="22">
        <f>'VIX HISTORIQUE'!D1232</f>
        <v>18.34</v>
      </c>
      <c r="D1229" s="22">
        <f>'VIX HISTORIQUE'!G1232</f>
        <v>21.29</v>
      </c>
      <c r="E1229" s="22">
        <f>'VIX HISTORIQUE'!I1232</f>
        <v>23.8</v>
      </c>
      <c r="F1229" s="22">
        <f>'VIX HISTORIQUE'!K1232</f>
        <v>24.42</v>
      </c>
    </row>
    <row r="1230" ht="15.75" customHeight="1">
      <c r="A1230" s="25">
        <f>'VIX HISTORIQUE'!A1233</f>
        <v>45050.66667</v>
      </c>
      <c r="B1230" s="22">
        <f>'VIX HISTORIQUE'!B1233</f>
        <v>4061.22</v>
      </c>
      <c r="C1230" s="22">
        <f>'VIX HISTORIQUE'!D1233</f>
        <v>20.09</v>
      </c>
      <c r="D1230" s="22">
        <f>'VIX HISTORIQUE'!G1233</f>
        <v>22.77</v>
      </c>
      <c r="E1230" s="22">
        <f>'VIX HISTORIQUE'!I1233</f>
        <v>24.92</v>
      </c>
      <c r="F1230" s="22">
        <f>'VIX HISTORIQUE'!K1233</f>
        <v>25.6</v>
      </c>
    </row>
    <row r="1231" ht="15.75" customHeight="1">
      <c r="A1231" s="25">
        <f>'VIX HISTORIQUE'!A1234</f>
        <v>45051.66667</v>
      </c>
      <c r="B1231" s="22">
        <f>'VIX HISTORIQUE'!B1234</f>
        <v>4136.25</v>
      </c>
      <c r="C1231" s="22">
        <f>'VIX HISTORIQUE'!D1234</f>
        <v>17.19</v>
      </c>
      <c r="D1231" s="22">
        <f>'VIX HISTORIQUE'!G1234</f>
        <v>20.78</v>
      </c>
      <c r="E1231" s="22">
        <f>'VIX HISTORIQUE'!I1234</f>
        <v>23.55</v>
      </c>
      <c r="F1231" s="22">
        <f>'VIX HISTORIQUE'!K1234</f>
        <v>24.45</v>
      </c>
    </row>
    <row r="1232" ht="15.75" customHeight="1">
      <c r="A1232" s="25">
        <f>'VIX HISTORIQUE'!A1235</f>
        <v>45054.66667</v>
      </c>
      <c r="B1232" s="22">
        <f>'VIX HISTORIQUE'!B1235</f>
        <v>4138.12</v>
      </c>
      <c r="C1232" s="22">
        <f>'VIX HISTORIQUE'!D1235</f>
        <v>16.98</v>
      </c>
      <c r="D1232" s="22">
        <f>'VIX HISTORIQUE'!G1235</f>
        <v>20.71</v>
      </c>
      <c r="E1232" s="22">
        <f>'VIX HISTORIQUE'!I1235</f>
        <v>23.53</v>
      </c>
      <c r="F1232" s="22">
        <f>'VIX HISTORIQUE'!K1235</f>
        <v>24.66</v>
      </c>
    </row>
    <row r="1233" ht="15.75" customHeight="1">
      <c r="A1233" s="25">
        <f>'VIX HISTORIQUE'!A1236</f>
        <v>45055.66667</v>
      </c>
      <c r="B1233" s="22">
        <f>'VIX HISTORIQUE'!B1236</f>
        <v>4119.17</v>
      </c>
      <c r="C1233" s="22">
        <f>'VIX HISTORIQUE'!D1236</f>
        <v>17.71</v>
      </c>
      <c r="D1233" s="22">
        <f>'VIX HISTORIQUE'!G1236</f>
        <v>21.17</v>
      </c>
      <c r="E1233" s="22">
        <f>'VIX HISTORIQUE'!I1236</f>
        <v>23.81</v>
      </c>
      <c r="F1233" s="22">
        <f>'VIX HISTORIQUE'!K1236</f>
        <v>24.75</v>
      </c>
    </row>
    <row r="1234" ht="15.75" customHeight="1">
      <c r="A1234" s="25">
        <f>'VIX HISTORIQUE'!A1237</f>
        <v>45056.66667</v>
      </c>
      <c r="B1234" s="22">
        <f>'VIX HISTORIQUE'!B1237</f>
        <v>4137.64</v>
      </c>
      <c r="C1234" s="22">
        <f>'VIX HISTORIQUE'!D1237</f>
        <v>16.94</v>
      </c>
      <c r="D1234" s="22">
        <f>'VIX HISTORIQUE'!G1237</f>
        <v>20.69</v>
      </c>
      <c r="E1234" s="22">
        <f>'VIX HISTORIQUE'!I1237</f>
        <v>23.37</v>
      </c>
      <c r="F1234" s="22">
        <f>'VIX HISTORIQUE'!K1237</f>
        <v>24.54</v>
      </c>
    </row>
    <row r="1235" ht="15.75" customHeight="1">
      <c r="A1235" s="25">
        <f>'VIX HISTORIQUE'!A1238</f>
        <v>45057.66667</v>
      </c>
      <c r="B1235" s="22">
        <f>'VIX HISTORIQUE'!B1238</f>
        <v>4130.62</v>
      </c>
      <c r="C1235" s="22">
        <f>'VIX HISTORIQUE'!D1238</f>
        <v>16.93</v>
      </c>
      <c r="D1235" s="22">
        <f>'VIX HISTORIQUE'!G1238</f>
        <v>20.62</v>
      </c>
      <c r="E1235" s="22">
        <f>'VIX HISTORIQUE'!I1238</f>
        <v>23.32</v>
      </c>
      <c r="F1235" s="22">
        <f>'VIX HISTORIQUE'!K1238</f>
        <v>24.48</v>
      </c>
    </row>
    <row r="1236" ht="15.75" customHeight="1">
      <c r="A1236" s="25">
        <f>'VIX HISTORIQUE'!A1239</f>
        <v>45058.66667</v>
      </c>
      <c r="B1236" s="22">
        <f>'VIX HISTORIQUE'!B1239</f>
        <v>4124.08</v>
      </c>
      <c r="C1236" s="22">
        <f>'VIX HISTORIQUE'!D1239</f>
        <v>17.03</v>
      </c>
      <c r="D1236" s="22">
        <f>'VIX HISTORIQUE'!G1239</f>
        <v>20.66</v>
      </c>
      <c r="E1236" s="22">
        <f>'VIX HISTORIQUE'!I1239</f>
        <v>23.37</v>
      </c>
      <c r="F1236" s="22">
        <f>'VIX HISTORIQUE'!K1239</f>
        <v>24.87</v>
      </c>
    </row>
    <row r="1237" ht="15.75" customHeight="1">
      <c r="A1237" s="25">
        <f>'VIX HISTORIQUE'!A1240</f>
        <v>45061.66667</v>
      </c>
      <c r="B1237" s="22">
        <f>'VIX HISTORIQUE'!B1240</f>
        <v>4136.28</v>
      </c>
      <c r="C1237" s="22">
        <f>'VIX HISTORIQUE'!D1240</f>
        <v>17.12</v>
      </c>
      <c r="D1237" s="22">
        <f>'VIX HISTORIQUE'!G1240</f>
        <v>20.31</v>
      </c>
      <c r="E1237" s="22">
        <f>'VIX HISTORIQUE'!I1240</f>
        <v>23.05</v>
      </c>
      <c r="F1237" s="22">
        <f>'VIX HISTORIQUE'!K1240</f>
        <v>24.25</v>
      </c>
    </row>
    <row r="1238" ht="15.75" customHeight="1">
      <c r="A1238" s="25">
        <f>'VIX HISTORIQUE'!A1241</f>
        <v>45062.66667</v>
      </c>
      <c r="B1238" s="22">
        <f>'VIX HISTORIQUE'!B1241</f>
        <v>4109.9</v>
      </c>
      <c r="C1238" s="22">
        <f>'VIX HISTORIQUE'!D1241</f>
        <v>17.99</v>
      </c>
      <c r="D1238" s="22">
        <f>'VIX HISTORIQUE'!G1241</f>
        <v>20.9</v>
      </c>
      <c r="E1238" s="22">
        <f>'VIX HISTORIQUE'!I1241</f>
        <v>23.54</v>
      </c>
      <c r="F1238" s="22">
        <f>'VIX HISTORIQUE'!K1241</f>
        <v>24.88</v>
      </c>
    </row>
    <row r="1239" ht="15.75" customHeight="1">
      <c r="A1239" s="25">
        <f>'VIX HISTORIQUE'!A1242</f>
        <v>45063.66667</v>
      </c>
      <c r="B1239" s="22">
        <f>'VIX HISTORIQUE'!B1242</f>
        <v>4158.77</v>
      </c>
      <c r="C1239" s="22">
        <f>'VIX HISTORIQUE'!D1242</f>
        <v>16.87</v>
      </c>
      <c r="D1239" s="22">
        <f>'VIX HISTORIQUE'!G1242</f>
        <v>20.05</v>
      </c>
      <c r="E1239" s="22">
        <f>'VIX HISTORIQUE'!I1242</f>
        <v>22.86</v>
      </c>
      <c r="F1239" s="22">
        <f>'VIX HISTORIQUE'!K1242</f>
        <v>24.12</v>
      </c>
    </row>
    <row r="1240" ht="15.75" customHeight="1">
      <c r="A1240" s="25">
        <f>'VIX HISTORIQUE'!A1243</f>
        <v>45064.66667</v>
      </c>
      <c r="B1240" s="22">
        <f>'VIX HISTORIQUE'!B1243</f>
        <v>4198.05</v>
      </c>
      <c r="C1240" s="22">
        <f>'VIX HISTORIQUE'!D1243</f>
        <v>16.05</v>
      </c>
      <c r="D1240" s="22">
        <f>'VIX HISTORIQUE'!G1243</f>
        <v>19.33</v>
      </c>
      <c r="E1240" s="22">
        <f>'VIX HISTORIQUE'!I1243</f>
        <v>22.23</v>
      </c>
      <c r="F1240" s="22">
        <f>'VIX HISTORIQUE'!K1243</f>
        <v>23.67</v>
      </c>
    </row>
    <row r="1241" ht="15.75" customHeight="1">
      <c r="A1241" s="25">
        <f>'VIX HISTORIQUE'!A1244</f>
        <v>45065.66667</v>
      </c>
      <c r="B1241" s="22">
        <f>'VIX HISTORIQUE'!B1244</f>
        <v>4191.98</v>
      </c>
      <c r="C1241" s="22">
        <f>'VIX HISTORIQUE'!D1244</f>
        <v>16.81</v>
      </c>
      <c r="D1241" s="22">
        <f>'VIX HISTORIQUE'!G1244</f>
        <v>20.04</v>
      </c>
      <c r="E1241" s="22">
        <f>'VIX HISTORIQUE'!I1244</f>
        <v>22.89</v>
      </c>
      <c r="F1241" s="22">
        <f>'VIX HISTORIQUE'!K1244</f>
        <v>24.37</v>
      </c>
    </row>
    <row r="1242" ht="15.75" customHeight="1">
      <c r="A1242" s="25">
        <f>'VIX HISTORIQUE'!A1245</f>
        <v>45068.66667</v>
      </c>
      <c r="B1242" s="22">
        <f>'VIX HISTORIQUE'!B1245</f>
        <v>4192.63</v>
      </c>
      <c r="C1242" s="22">
        <f>'VIX HISTORIQUE'!D1245</f>
        <v>17.21</v>
      </c>
      <c r="D1242" s="22">
        <f>'VIX HISTORIQUE'!G1245</f>
        <v>20.36</v>
      </c>
      <c r="E1242" s="22">
        <f>'VIX HISTORIQUE'!I1245</f>
        <v>22.9</v>
      </c>
      <c r="F1242" s="22">
        <f>'VIX HISTORIQUE'!K1245</f>
        <v>24.06</v>
      </c>
    </row>
    <row r="1243" ht="15.75" customHeight="1">
      <c r="A1243" s="25">
        <f>'VIX HISTORIQUE'!A1246</f>
        <v>45069.66667</v>
      </c>
      <c r="B1243" s="22">
        <f>'VIX HISTORIQUE'!B1246</f>
        <v>4145.58</v>
      </c>
      <c r="C1243" s="22">
        <f>'VIX HISTORIQUE'!D1246</f>
        <v>18.53</v>
      </c>
      <c r="D1243" s="22">
        <f>'VIX HISTORIQUE'!G1246</f>
        <v>21.06</v>
      </c>
      <c r="E1243" s="22">
        <f>'VIX HISTORIQUE'!I1246</f>
        <v>23.37</v>
      </c>
      <c r="F1243" s="22">
        <f>'VIX HISTORIQUE'!K1246</f>
        <v>24.35</v>
      </c>
    </row>
    <row r="1244" ht="15.75" customHeight="1">
      <c r="A1244" s="25">
        <f>'VIX HISTORIQUE'!A1247</f>
        <v>45070.66667</v>
      </c>
      <c r="B1244" s="22">
        <f>'VIX HISTORIQUE'!B1247</f>
        <v>4115.24</v>
      </c>
      <c r="C1244" s="22">
        <f>'VIX HISTORIQUE'!D1247</f>
        <v>20.03</v>
      </c>
      <c r="D1244" s="22">
        <f>'VIX HISTORIQUE'!G1247</f>
        <v>22.02</v>
      </c>
      <c r="E1244" s="22">
        <f>'VIX HISTORIQUE'!I1247</f>
        <v>23.92</v>
      </c>
      <c r="F1244" s="22">
        <f>'VIX HISTORIQUE'!K1247</f>
        <v>24.71</v>
      </c>
    </row>
    <row r="1245" ht="15.75" customHeight="1">
      <c r="A1245" s="25">
        <f>'VIX HISTORIQUE'!A1248</f>
        <v>45071.66667</v>
      </c>
      <c r="B1245" s="22">
        <f>'VIX HISTORIQUE'!B1248</f>
        <v>4151.28</v>
      </c>
      <c r="C1245" s="22">
        <f>'VIX HISTORIQUE'!D1248</f>
        <v>19.14</v>
      </c>
      <c r="D1245" s="22">
        <f>'VIX HISTORIQUE'!G1248</f>
        <v>21.38</v>
      </c>
      <c r="E1245" s="22">
        <f>'VIX HISTORIQUE'!I1248</f>
        <v>23.47</v>
      </c>
      <c r="F1245" s="22">
        <f>'VIX HISTORIQUE'!K1248</f>
        <v>24.48</v>
      </c>
    </row>
    <row r="1246" ht="15.75" customHeight="1">
      <c r="A1246" s="25">
        <f>'VIX HISTORIQUE'!A1249</f>
        <v>45072.66667</v>
      </c>
      <c r="B1246" s="22">
        <f>'VIX HISTORIQUE'!B1249</f>
        <v>4205.45</v>
      </c>
      <c r="C1246" s="22">
        <f>'VIX HISTORIQUE'!D1249</f>
        <v>17.95</v>
      </c>
      <c r="D1246" s="22">
        <f>'VIX HISTORIQUE'!G1249</f>
        <v>20.44</v>
      </c>
      <c r="E1246" s="22">
        <f>'VIX HISTORIQUE'!I1249</f>
        <v>22.82</v>
      </c>
      <c r="F1246" s="22">
        <f>'VIX HISTORIQUE'!K1249</f>
        <v>23.58</v>
      </c>
    </row>
    <row r="1247" ht="15.75" customHeight="1">
      <c r="A1247" s="25">
        <f>'VIX HISTORIQUE'!A1250</f>
        <v>45076.66667</v>
      </c>
      <c r="B1247" s="22">
        <f>'VIX HISTORIQUE'!B1250</f>
        <v>4205.52</v>
      </c>
      <c r="C1247" s="22">
        <f>'VIX HISTORIQUE'!D1250</f>
        <v>17.46</v>
      </c>
      <c r="D1247" s="22">
        <f>'VIX HISTORIQUE'!G1250</f>
        <v>20.13</v>
      </c>
      <c r="E1247" s="22">
        <f>'VIX HISTORIQUE'!I1250</f>
        <v>22.58</v>
      </c>
      <c r="F1247" s="22">
        <f>'VIX HISTORIQUE'!K1250</f>
        <v>23.64</v>
      </c>
    </row>
    <row r="1248" ht="15.75" customHeight="1">
      <c r="A1248" s="25">
        <f>'VIX HISTORIQUE'!A1251</f>
        <v>45077.66667</v>
      </c>
      <c r="B1248" s="22">
        <f>'VIX HISTORIQUE'!B1251</f>
        <v>4179.83</v>
      </c>
      <c r="C1248" s="22">
        <f>'VIX HISTORIQUE'!D1251</f>
        <v>17.94</v>
      </c>
      <c r="D1248" s="22">
        <f>'VIX HISTORIQUE'!G1251</f>
        <v>20.21</v>
      </c>
      <c r="E1248" s="22">
        <f>'VIX HISTORIQUE'!I1251</f>
        <v>22.55</v>
      </c>
      <c r="F1248" s="22">
        <f>'VIX HISTORIQUE'!K1251</f>
        <v>23.66</v>
      </c>
    </row>
    <row r="1249" ht="15.75" customHeight="1">
      <c r="A1249" s="25">
        <f>'VIX HISTORIQUE'!A1252</f>
        <v>45078.66667</v>
      </c>
      <c r="B1249" s="22">
        <f>'VIX HISTORIQUE'!B1252</f>
        <v>4221.02</v>
      </c>
      <c r="C1249" s="22">
        <f>'VIX HISTORIQUE'!D1252</f>
        <v>15.65</v>
      </c>
      <c r="D1249" s="22">
        <f>'VIX HISTORIQUE'!G1252</f>
        <v>18.75</v>
      </c>
      <c r="E1249" s="22">
        <f>'VIX HISTORIQUE'!I1252</f>
        <v>21.37</v>
      </c>
      <c r="F1249" s="22">
        <f>'VIX HISTORIQUE'!K1252</f>
        <v>23.03</v>
      </c>
    </row>
    <row r="1250" ht="15.75" customHeight="1">
      <c r="A1250" s="25">
        <f>'VIX HISTORIQUE'!A1253</f>
        <v>45079.66667</v>
      </c>
      <c r="B1250" s="22">
        <f>'VIX HISTORIQUE'!B1253</f>
        <v>4282.37</v>
      </c>
      <c r="C1250" s="22">
        <f>'VIX HISTORIQUE'!D1253</f>
        <v>14.6</v>
      </c>
      <c r="D1250" s="22">
        <f>'VIX HISTORIQUE'!G1253</f>
        <v>17.92</v>
      </c>
      <c r="E1250" s="22">
        <f>'VIX HISTORIQUE'!I1253</f>
        <v>20.6</v>
      </c>
      <c r="F1250" s="22">
        <f>'VIX HISTORIQUE'!K1253</f>
        <v>22.37</v>
      </c>
    </row>
    <row r="1251" ht="15.75" customHeight="1">
      <c r="A1251" s="25">
        <f>'VIX HISTORIQUE'!A1254</f>
        <v>45082.66667</v>
      </c>
      <c r="B1251" s="22">
        <f>'VIX HISTORIQUE'!B1254</f>
        <v>4273.79</v>
      </c>
      <c r="C1251" s="22">
        <f>'VIX HISTORIQUE'!D1254</f>
        <v>14.73</v>
      </c>
      <c r="D1251" s="22">
        <f>'VIX HISTORIQUE'!G1254</f>
        <v>17.9</v>
      </c>
      <c r="E1251" s="22">
        <f>'VIX HISTORIQUE'!I1254</f>
        <v>20.52</v>
      </c>
      <c r="F1251" s="22">
        <f>'VIX HISTORIQUE'!K1254</f>
        <v>22.11</v>
      </c>
    </row>
    <row r="1252" ht="15.75" customHeight="1">
      <c r="A1252" s="25">
        <f>'VIX HISTORIQUE'!A1255</f>
        <v>45083.66667</v>
      </c>
      <c r="B1252" s="22">
        <f>'VIX HISTORIQUE'!B1255</f>
        <v>4283.85</v>
      </c>
      <c r="C1252" s="22">
        <f>'VIX HISTORIQUE'!D1255</f>
        <v>13.96</v>
      </c>
      <c r="D1252" s="22">
        <f>'VIX HISTORIQUE'!G1255</f>
        <v>17.04</v>
      </c>
      <c r="E1252" s="22">
        <f>'VIX HISTORIQUE'!I1255</f>
        <v>19.7</v>
      </c>
      <c r="F1252" s="22">
        <f>'VIX HISTORIQUE'!K1255</f>
        <v>21.59</v>
      </c>
    </row>
    <row r="1253" ht="15.75" customHeight="1">
      <c r="A1253" s="25">
        <f>'VIX HISTORIQUE'!A1256</f>
        <v>45084.66667</v>
      </c>
      <c r="B1253" s="22">
        <f>'VIX HISTORIQUE'!B1256</f>
        <v>4267.52</v>
      </c>
      <c r="C1253" s="22">
        <f>'VIX HISTORIQUE'!D1256</f>
        <v>13.94</v>
      </c>
      <c r="D1253" s="22">
        <f>'VIX HISTORIQUE'!G1256</f>
        <v>17.14</v>
      </c>
      <c r="E1253" s="22">
        <f>'VIX HISTORIQUE'!I1256</f>
        <v>19.8</v>
      </c>
      <c r="F1253" s="22">
        <f>'VIX HISTORIQUE'!K1256</f>
        <v>21.6</v>
      </c>
    </row>
    <row r="1254" ht="15.75" customHeight="1">
      <c r="A1254" s="25">
        <f>'VIX HISTORIQUE'!A1257</f>
        <v>45085.66667</v>
      </c>
      <c r="B1254" s="22">
        <f>'VIX HISTORIQUE'!B1257</f>
        <v>4293.93</v>
      </c>
      <c r="C1254" s="22">
        <f>'VIX HISTORIQUE'!D1257</f>
        <v>13.65</v>
      </c>
      <c r="D1254" s="22">
        <f>'VIX HISTORIQUE'!G1257</f>
        <v>16.86</v>
      </c>
      <c r="E1254" s="22">
        <f>'VIX HISTORIQUE'!I1257</f>
        <v>19.47</v>
      </c>
      <c r="F1254" s="22">
        <f>'VIX HISTORIQUE'!K1257</f>
        <v>21.55</v>
      </c>
    </row>
    <row r="1255" ht="15.75" customHeight="1">
      <c r="A1255" s="25">
        <f>'VIX HISTORIQUE'!A1258</f>
        <v>45086.66667</v>
      </c>
      <c r="B1255" s="22">
        <f>'VIX HISTORIQUE'!B1258</f>
        <v>4298.86</v>
      </c>
      <c r="C1255" s="22">
        <f>'VIX HISTORIQUE'!D1258</f>
        <v>13.83</v>
      </c>
      <c r="D1255" s="22">
        <f>'VIX HISTORIQUE'!G1258</f>
        <v>16.96</v>
      </c>
      <c r="E1255" s="22">
        <f>'VIX HISTORIQUE'!I1258</f>
        <v>19.55</v>
      </c>
      <c r="F1255" s="22">
        <f>'VIX HISTORIQUE'!K1258</f>
        <v>21.34</v>
      </c>
    </row>
    <row r="1256" ht="15.75" customHeight="1">
      <c r="A1256" s="25">
        <f>'VIX HISTORIQUE'!A1259</f>
        <v>45089.66667</v>
      </c>
      <c r="B1256" s="22">
        <f>'VIX HISTORIQUE'!B1259</f>
        <v>4338.93</v>
      </c>
      <c r="C1256" s="22">
        <f>'VIX HISTORIQUE'!D1259</f>
        <v>15.01</v>
      </c>
      <c r="D1256" s="22">
        <f>'VIX HISTORIQUE'!G1259</f>
        <v>17.28</v>
      </c>
      <c r="E1256" s="22">
        <f>'VIX HISTORIQUE'!I1259</f>
        <v>19.6</v>
      </c>
      <c r="F1256" s="22">
        <f>'VIX HISTORIQUE'!K1259</f>
        <v>21.27</v>
      </c>
    </row>
    <row r="1257" ht="15.75" customHeight="1">
      <c r="A1257" s="25">
        <f>'VIX HISTORIQUE'!A1260</f>
        <v>45090.66667</v>
      </c>
      <c r="B1257" s="22">
        <f>'VIX HISTORIQUE'!B1260</f>
        <v>4369.01</v>
      </c>
      <c r="C1257" s="22">
        <f>'VIX HISTORIQUE'!D1260</f>
        <v>14.61</v>
      </c>
      <c r="D1257" s="22">
        <f>'VIX HISTORIQUE'!G1260</f>
        <v>17.23</v>
      </c>
      <c r="E1257" s="22">
        <f>'VIX HISTORIQUE'!I1260</f>
        <v>19.62</v>
      </c>
      <c r="F1257" s="22">
        <f>'VIX HISTORIQUE'!K1260</f>
        <v>21.26</v>
      </c>
    </row>
    <row r="1258" ht="15.75" customHeight="1">
      <c r="A1258" s="25">
        <f>'VIX HISTORIQUE'!A1261</f>
        <v>45091.66667</v>
      </c>
      <c r="B1258" s="22">
        <f>'VIX HISTORIQUE'!B1261</f>
        <v>4372.59</v>
      </c>
      <c r="C1258" s="22">
        <f>'VIX HISTORIQUE'!D1261</f>
        <v>13.88</v>
      </c>
      <c r="D1258" s="22">
        <f>'VIX HISTORIQUE'!G1261</f>
        <v>16.86</v>
      </c>
      <c r="E1258" s="22">
        <f>'VIX HISTORIQUE'!I1261</f>
        <v>19.47</v>
      </c>
      <c r="F1258" s="22">
        <f>'VIX HISTORIQUE'!K1261</f>
        <v>21.27</v>
      </c>
    </row>
    <row r="1259" ht="15.75" customHeight="1">
      <c r="A1259" s="25">
        <f>'VIX HISTORIQUE'!A1262</f>
        <v>45092.66667</v>
      </c>
      <c r="B1259" s="22">
        <f>'VIX HISTORIQUE'!B1262</f>
        <v>4425.84</v>
      </c>
      <c r="C1259" s="22">
        <f>'VIX HISTORIQUE'!D1262</f>
        <v>14.5</v>
      </c>
      <c r="D1259" s="22">
        <f>'VIX HISTORIQUE'!G1262</f>
        <v>17.18</v>
      </c>
      <c r="E1259" s="22">
        <f>'VIX HISTORIQUE'!I1262</f>
        <v>19.5</v>
      </c>
      <c r="F1259" s="22">
        <f>'VIX HISTORIQUE'!K1262</f>
        <v>21.27</v>
      </c>
    </row>
    <row r="1260" ht="15.75" customHeight="1">
      <c r="A1260" s="25">
        <f>'VIX HISTORIQUE'!A1263</f>
        <v>45093.66667</v>
      </c>
      <c r="B1260" s="22">
        <f>'VIX HISTORIQUE'!B1263</f>
        <v>4409.59</v>
      </c>
      <c r="C1260" s="22">
        <f>'VIX HISTORIQUE'!D1263</f>
        <v>13.54</v>
      </c>
      <c r="D1260" s="22">
        <f>'VIX HISTORIQUE'!G1263</f>
        <v>16.75</v>
      </c>
      <c r="E1260" s="22">
        <f>'VIX HISTORIQUE'!I1263</f>
        <v>19.3</v>
      </c>
      <c r="F1260" s="22">
        <f>'VIX HISTORIQUE'!K1263</f>
        <v>21.19</v>
      </c>
    </row>
    <row r="1261" ht="15.75" customHeight="1">
      <c r="A1261" s="25">
        <f>'VIX HISTORIQUE'!A1264</f>
        <v>45097.66667</v>
      </c>
      <c r="B1261" s="22">
        <f>'VIX HISTORIQUE'!B1264</f>
        <v>4388.71</v>
      </c>
      <c r="C1261" s="22">
        <f>'VIX HISTORIQUE'!D1264</f>
        <v>13.88</v>
      </c>
      <c r="D1261" s="22">
        <f>'VIX HISTORIQUE'!G1264</f>
        <v>17.3</v>
      </c>
      <c r="E1261" s="22">
        <f>'VIX HISTORIQUE'!I1264</f>
        <v>19.75</v>
      </c>
      <c r="F1261" s="22">
        <f>'VIX HISTORIQUE'!K1264</f>
        <v>21.51</v>
      </c>
    </row>
    <row r="1262" ht="15.75" customHeight="1">
      <c r="A1262" s="25">
        <f>'VIX HISTORIQUE'!A1265</f>
        <v>45098.66667</v>
      </c>
      <c r="B1262" s="22">
        <f>'VIX HISTORIQUE'!B1265</f>
        <v>4365.69</v>
      </c>
      <c r="C1262" s="22">
        <f>'VIX HISTORIQUE'!D1265</f>
        <v>13.2</v>
      </c>
      <c r="D1262" s="22">
        <f>'VIX HISTORIQUE'!G1265</f>
        <v>16.89</v>
      </c>
      <c r="E1262" s="22">
        <f>'VIX HISTORIQUE'!I1265</f>
        <v>19.53</v>
      </c>
      <c r="F1262" s="22">
        <f>'VIX HISTORIQUE'!K1265</f>
        <v>21.38</v>
      </c>
    </row>
    <row r="1263" ht="15.75" customHeight="1">
      <c r="A1263" s="25">
        <f>'VIX HISTORIQUE'!A1266</f>
        <v>45099.66667</v>
      </c>
      <c r="B1263" s="22">
        <f>'VIX HISTORIQUE'!B1266</f>
        <v>4381.89</v>
      </c>
      <c r="C1263" s="22">
        <f>'VIX HISTORIQUE'!D1266</f>
        <v>12.91</v>
      </c>
      <c r="D1263" s="22">
        <f>'VIX HISTORIQUE'!G1266</f>
        <v>16.56</v>
      </c>
      <c r="E1263" s="22">
        <f>'VIX HISTORIQUE'!I1266</f>
        <v>19.27</v>
      </c>
      <c r="F1263" s="22">
        <f>'VIX HISTORIQUE'!K1266</f>
        <v>21.25</v>
      </c>
    </row>
    <row r="1264" ht="15.75" customHeight="1">
      <c r="A1264" s="25">
        <f>'VIX HISTORIQUE'!A1267</f>
        <v>45100.66667</v>
      </c>
      <c r="B1264" s="22">
        <f>'VIX HISTORIQUE'!B1267</f>
        <v>4348.33</v>
      </c>
      <c r="C1264" s="22">
        <f>'VIX HISTORIQUE'!D1267</f>
        <v>13.44</v>
      </c>
      <c r="D1264" s="22">
        <f>'VIX HISTORIQUE'!G1267</f>
        <v>16.87</v>
      </c>
      <c r="E1264" s="22">
        <f>'VIX HISTORIQUE'!I1267</f>
        <v>19.49</v>
      </c>
      <c r="F1264" s="22">
        <f>'VIX HISTORIQUE'!K1267</f>
        <v>21.41</v>
      </c>
    </row>
    <row r="1265" ht="15.75" customHeight="1">
      <c r="A1265" s="25">
        <f>'VIX HISTORIQUE'!A1268</f>
        <v>45103.66667</v>
      </c>
      <c r="B1265" s="22">
        <f>'VIX HISTORIQUE'!B1268</f>
        <v>4328.82</v>
      </c>
      <c r="C1265" s="22">
        <f>'VIX HISTORIQUE'!D1268</f>
        <v>14.25</v>
      </c>
      <c r="D1265" s="22">
        <f>'VIX HISTORIQUE'!G1268</f>
        <v>17.05</v>
      </c>
      <c r="E1265" s="22">
        <f>'VIX HISTORIQUE'!I1268</f>
        <v>19.5</v>
      </c>
      <c r="F1265" s="22">
        <f>'VIX HISTORIQUE'!K1268</f>
        <v>21.44</v>
      </c>
    </row>
    <row r="1266" ht="15.75" customHeight="1">
      <c r="A1266" s="25">
        <f>'VIX HISTORIQUE'!A1269</f>
        <v>45104.66667</v>
      </c>
      <c r="B1266" s="22">
        <f>'VIX HISTORIQUE'!B1269</f>
        <v>4378.41</v>
      </c>
      <c r="C1266" s="22">
        <f>'VIX HISTORIQUE'!D1269</f>
        <v>13.74</v>
      </c>
      <c r="D1266" s="22">
        <f>'VIX HISTORIQUE'!G1269</f>
        <v>16.44</v>
      </c>
      <c r="E1266" s="22">
        <f>'VIX HISTORIQUE'!I1269</f>
        <v>18.88</v>
      </c>
      <c r="F1266" s="22">
        <f>'VIX HISTORIQUE'!K1269</f>
        <v>21</v>
      </c>
    </row>
    <row r="1267" ht="15.75" customHeight="1">
      <c r="A1267" s="25">
        <f>'VIX HISTORIQUE'!A1270</f>
        <v>45105.66667</v>
      </c>
      <c r="B1267" s="22">
        <f>'VIX HISTORIQUE'!B1270</f>
        <v>4376.86</v>
      </c>
      <c r="C1267" s="22">
        <f>'VIX HISTORIQUE'!D1270</f>
        <v>13.43</v>
      </c>
      <c r="D1267" s="22">
        <f>'VIX HISTORIQUE'!G1270</f>
        <v>15.9</v>
      </c>
      <c r="E1267" s="22">
        <f>'VIX HISTORIQUE'!I1270</f>
        <v>18.34</v>
      </c>
      <c r="F1267" s="22">
        <f>'VIX HISTORIQUE'!K1270</f>
        <v>20.55</v>
      </c>
    </row>
    <row r="1268" ht="15.75" customHeight="1">
      <c r="A1268" s="25">
        <f>'VIX HISTORIQUE'!A1271</f>
        <v>45106.66667</v>
      </c>
      <c r="B1268" s="22">
        <f>'VIX HISTORIQUE'!B1271</f>
        <v>4396.44</v>
      </c>
      <c r="C1268" s="22">
        <f>'VIX HISTORIQUE'!D1271</f>
        <v>13.54</v>
      </c>
      <c r="D1268" s="22">
        <f>'VIX HISTORIQUE'!G1271</f>
        <v>16.1</v>
      </c>
      <c r="E1268" s="22">
        <f>'VIX HISTORIQUE'!I1271</f>
        <v>18.49</v>
      </c>
      <c r="F1268" s="22">
        <f>'VIX HISTORIQUE'!K1271</f>
        <v>20.78</v>
      </c>
    </row>
    <row r="1269" ht="15.75" customHeight="1">
      <c r="A1269" s="25">
        <f>'VIX HISTORIQUE'!A1272</f>
        <v>45107.66667</v>
      </c>
      <c r="B1269" s="22">
        <f>'VIX HISTORIQUE'!B1272</f>
        <v>4450.38</v>
      </c>
      <c r="C1269" s="22">
        <f>'VIX HISTORIQUE'!D1272</f>
        <v>13.59</v>
      </c>
      <c r="D1269" s="22">
        <f>'VIX HISTORIQUE'!G1272</f>
        <v>16.02</v>
      </c>
      <c r="E1269" s="22">
        <f>'VIX HISTORIQUE'!I1272</f>
        <v>18.33</v>
      </c>
      <c r="F1269" s="22">
        <f>'VIX HISTORIQUE'!K1272</f>
        <v>20.53</v>
      </c>
    </row>
    <row r="1270" ht="15.75" customHeight="1">
      <c r="A1270" s="25">
        <f>'VIX HISTORIQUE'!A1273</f>
        <v>45110.54167</v>
      </c>
      <c r="B1270" s="22">
        <f>'VIX HISTORIQUE'!B1273</f>
        <v>4455.59</v>
      </c>
      <c r="C1270" s="22">
        <f>'VIX HISTORIQUE'!D1273</f>
        <v>13.57</v>
      </c>
      <c r="D1270" s="22">
        <f>'VIX HISTORIQUE'!G1273</f>
        <v>16.07</v>
      </c>
      <c r="E1270" s="22">
        <f>'VIX HISTORIQUE'!I1273</f>
        <v>18.37</v>
      </c>
      <c r="F1270" s="22">
        <f>'VIX HISTORIQUE'!K1273</f>
        <v>20.21</v>
      </c>
    </row>
    <row r="1271" ht="15.75" customHeight="1">
      <c r="A1271" s="25">
        <f>'VIX HISTORIQUE'!A1274</f>
        <v>45112.66667</v>
      </c>
      <c r="B1271" s="22">
        <f>'VIX HISTORIQUE'!B1274</f>
        <v>4446.82</v>
      </c>
      <c r="C1271" s="22">
        <f>'VIX HISTORIQUE'!D1274</f>
        <v>14.18</v>
      </c>
      <c r="D1271" s="22">
        <f>'VIX HISTORIQUE'!G1274</f>
        <v>16.51</v>
      </c>
      <c r="E1271" s="22">
        <f>'VIX HISTORIQUE'!I1274</f>
        <v>18.71</v>
      </c>
      <c r="F1271" s="22">
        <f>'VIX HISTORIQUE'!K1274</f>
        <v>20.75</v>
      </c>
    </row>
    <row r="1272" ht="15.75" customHeight="1">
      <c r="A1272" s="25">
        <f>'VIX HISTORIQUE'!A1275</f>
        <v>45113.66667</v>
      </c>
      <c r="B1272" s="22">
        <f>'VIX HISTORIQUE'!B1275</f>
        <v>4411.59</v>
      </c>
      <c r="C1272" s="22">
        <f>'VIX HISTORIQUE'!D1275</f>
        <v>15.44</v>
      </c>
      <c r="D1272" s="22">
        <f>'VIX HISTORIQUE'!G1275</f>
        <v>17.52</v>
      </c>
      <c r="E1272" s="22">
        <f>'VIX HISTORIQUE'!I1275</f>
        <v>19.5</v>
      </c>
      <c r="F1272" s="22">
        <f>'VIX HISTORIQUE'!K1275</f>
        <v>21.34</v>
      </c>
    </row>
    <row r="1273" ht="15.75" customHeight="1">
      <c r="A1273" s="25">
        <f>'VIX HISTORIQUE'!A1276</f>
        <v>45114.66667</v>
      </c>
      <c r="B1273" s="22">
        <f>'VIX HISTORIQUE'!B1276</f>
        <v>4398.95</v>
      </c>
      <c r="C1273" s="22">
        <f>'VIX HISTORIQUE'!D1276</f>
        <v>14.83</v>
      </c>
      <c r="D1273" s="22">
        <f>'VIX HISTORIQUE'!G1276</f>
        <v>17.24</v>
      </c>
      <c r="E1273" s="22">
        <f>'VIX HISTORIQUE'!I1276</f>
        <v>19.31</v>
      </c>
      <c r="F1273" s="22">
        <f>'VIX HISTORIQUE'!K1276</f>
        <v>21.23</v>
      </c>
    </row>
    <row r="1274" ht="15.75" customHeight="1">
      <c r="A1274" s="25">
        <f>'VIX HISTORIQUE'!A1277</f>
        <v>45117.66667</v>
      </c>
      <c r="B1274" s="22">
        <f>'VIX HISTORIQUE'!B1277</f>
        <v>4409.53</v>
      </c>
      <c r="C1274" s="22">
        <f>'VIX HISTORIQUE'!D1277</f>
        <v>15.07</v>
      </c>
      <c r="D1274" s="22">
        <f>'VIX HISTORIQUE'!G1277</f>
        <v>17.25</v>
      </c>
      <c r="E1274" s="22">
        <f>'VIX HISTORIQUE'!I1277</f>
        <v>19.21</v>
      </c>
      <c r="F1274" s="22">
        <f>'VIX HISTORIQUE'!K1277</f>
        <v>21.16</v>
      </c>
    </row>
    <row r="1275" ht="15.75" customHeight="1">
      <c r="A1275" s="25">
        <f>'VIX HISTORIQUE'!A1278</f>
        <v>45118.66667</v>
      </c>
      <c r="B1275" s="22">
        <f>'VIX HISTORIQUE'!B1278</f>
        <v>4439.26</v>
      </c>
      <c r="C1275" s="22">
        <f>'VIX HISTORIQUE'!D1278</f>
        <v>14.84</v>
      </c>
      <c r="D1275" s="22">
        <f>'VIX HISTORIQUE'!G1278</f>
        <v>16.97</v>
      </c>
      <c r="E1275" s="22">
        <f>'VIX HISTORIQUE'!I1278</f>
        <v>18.97</v>
      </c>
      <c r="F1275" s="22">
        <f>'VIX HISTORIQUE'!K1278</f>
        <v>20.89</v>
      </c>
    </row>
    <row r="1276" ht="15.75" customHeight="1">
      <c r="A1276" s="25">
        <f>'VIX HISTORIQUE'!A1279</f>
        <v>45119.66667</v>
      </c>
      <c r="B1276" s="22">
        <f>'VIX HISTORIQUE'!B1279</f>
        <v>4472.16</v>
      </c>
      <c r="C1276" s="22">
        <f>'VIX HISTORIQUE'!D1279</f>
        <v>13.54</v>
      </c>
      <c r="D1276" s="22">
        <f>'VIX HISTORIQUE'!G1279</f>
        <v>16.11</v>
      </c>
      <c r="E1276" s="22">
        <f>'VIX HISTORIQUE'!I1279</f>
        <v>18.26</v>
      </c>
      <c r="F1276" s="22">
        <f>'VIX HISTORIQUE'!K1279</f>
        <v>20.41</v>
      </c>
    </row>
    <row r="1277" ht="15.75" customHeight="1">
      <c r="A1277" s="25">
        <f>'VIX HISTORIQUE'!A1280</f>
        <v>45120.66667</v>
      </c>
      <c r="B1277" s="22">
        <f>'VIX HISTORIQUE'!B1280</f>
        <v>4510.04</v>
      </c>
      <c r="C1277" s="22">
        <f>'VIX HISTORIQUE'!D1280</f>
        <v>13.61</v>
      </c>
      <c r="D1277" s="22">
        <f>'VIX HISTORIQUE'!G1280</f>
        <v>16.12</v>
      </c>
      <c r="E1277" s="22">
        <f>'VIX HISTORIQUE'!I1280</f>
        <v>18.24</v>
      </c>
      <c r="F1277" s="22">
        <f>'VIX HISTORIQUE'!K1280</f>
        <v>20.3</v>
      </c>
    </row>
    <row r="1278" ht="15.75" customHeight="1">
      <c r="A1278" s="25">
        <f>'VIX HISTORIQUE'!A1281</f>
        <v>45121.66667</v>
      </c>
      <c r="B1278" s="22">
        <f>'VIX HISTORIQUE'!B1281</f>
        <v>4505.42</v>
      </c>
      <c r="C1278" s="22">
        <f>'VIX HISTORIQUE'!D1281</f>
        <v>13.34</v>
      </c>
      <c r="D1278" s="22">
        <f>'VIX HISTORIQUE'!G1281</f>
        <v>16.04</v>
      </c>
      <c r="E1278" s="22">
        <f>'VIX HISTORIQUE'!I1281</f>
        <v>18.21</v>
      </c>
      <c r="F1278" s="22">
        <f>'VIX HISTORIQUE'!K1281</f>
        <v>20.26</v>
      </c>
    </row>
    <row r="1279" ht="15.75" customHeight="1">
      <c r="A1279" s="25">
        <f>'VIX HISTORIQUE'!A1282</f>
        <v>45124.66667</v>
      </c>
      <c r="B1279" s="22">
        <f>'VIX HISTORIQUE'!B1282</f>
        <v>4522.79</v>
      </c>
      <c r="C1279" s="22">
        <f>'VIX HISTORIQUE'!D1282</f>
        <v>13.48</v>
      </c>
      <c r="D1279" s="22">
        <f>'VIX HISTORIQUE'!G1282</f>
        <v>16.27</v>
      </c>
      <c r="E1279" s="22">
        <f>'VIX HISTORIQUE'!I1282</f>
        <v>18.27</v>
      </c>
      <c r="F1279" s="22">
        <f>'VIX HISTORIQUE'!K1282</f>
        <v>20.59</v>
      </c>
    </row>
    <row r="1280" ht="15.75" customHeight="1">
      <c r="A1280" s="25">
        <f>'VIX HISTORIQUE'!A1283</f>
        <v>45125.66667</v>
      </c>
      <c r="B1280" s="22">
        <f>'VIX HISTORIQUE'!B1283</f>
        <v>4554.98</v>
      </c>
      <c r="C1280" s="22">
        <f>'VIX HISTORIQUE'!D1283</f>
        <v>13.3</v>
      </c>
      <c r="D1280" s="22">
        <f>'VIX HISTORIQUE'!G1283</f>
        <v>16.13</v>
      </c>
      <c r="E1280" s="22">
        <f>'VIX HISTORIQUE'!I1283</f>
        <v>18.15</v>
      </c>
      <c r="F1280" s="22">
        <f>'VIX HISTORIQUE'!K1283</f>
        <v>20.54</v>
      </c>
    </row>
    <row r="1281" ht="15.75" customHeight="1">
      <c r="A1281" s="25">
        <f>'VIX HISTORIQUE'!A1284</f>
        <v>45126.66667</v>
      </c>
      <c r="B1281" s="22">
        <f>'VIX HISTORIQUE'!B1284</f>
        <v>4565.72</v>
      </c>
      <c r="C1281" s="22">
        <f>'VIX HISTORIQUE'!D1284</f>
        <v>13.76</v>
      </c>
      <c r="D1281" s="22">
        <f>'VIX HISTORIQUE'!G1284</f>
        <v>16.56</v>
      </c>
      <c r="E1281" s="22">
        <f>'VIX HISTORIQUE'!I1284</f>
        <v>18.59</v>
      </c>
      <c r="F1281" s="22">
        <f>'VIX HISTORIQUE'!K1284</f>
        <v>20.81</v>
      </c>
    </row>
    <row r="1282" ht="15.75" customHeight="1">
      <c r="A1282" s="25">
        <f>'VIX HISTORIQUE'!A1285</f>
        <v>45127.66667</v>
      </c>
      <c r="B1282" s="22">
        <f>'VIX HISTORIQUE'!B1285</f>
        <v>4534.87</v>
      </c>
      <c r="C1282" s="22">
        <f>'VIX HISTORIQUE'!D1285</f>
        <v>13.99</v>
      </c>
      <c r="D1282" s="22">
        <f>'VIX HISTORIQUE'!G1285</f>
        <v>16.66</v>
      </c>
      <c r="E1282" s="22">
        <f>'VIX HISTORIQUE'!I1285</f>
        <v>18.74</v>
      </c>
      <c r="F1282" s="22">
        <f>'VIX HISTORIQUE'!K1285</f>
        <v>20.84</v>
      </c>
    </row>
    <row r="1283" ht="15.75" customHeight="1">
      <c r="A1283" s="25">
        <f>'VIX HISTORIQUE'!A1286</f>
        <v>45128.66667</v>
      </c>
      <c r="B1283" s="22">
        <f>'VIX HISTORIQUE'!B1286</f>
        <v>4536.34</v>
      </c>
      <c r="C1283" s="22">
        <f>'VIX HISTORIQUE'!D1286</f>
        <v>13.6</v>
      </c>
      <c r="D1283" s="22">
        <f>'VIX HISTORIQUE'!G1286</f>
        <v>16.4</v>
      </c>
      <c r="E1283" s="22">
        <f>'VIX HISTORIQUE'!I1286</f>
        <v>18.52</v>
      </c>
      <c r="F1283" s="22">
        <f>'VIX HISTORIQUE'!K1286</f>
        <v>20.7</v>
      </c>
    </row>
    <row r="1284" ht="15.75" customHeight="1">
      <c r="A1284" s="25">
        <f>'VIX HISTORIQUE'!A1287</f>
        <v>45131.66667</v>
      </c>
      <c r="B1284" s="22">
        <f>'VIX HISTORIQUE'!B1287</f>
        <v>4554.64</v>
      </c>
      <c r="C1284" s="22">
        <f>'VIX HISTORIQUE'!D1287</f>
        <v>13.91</v>
      </c>
      <c r="D1284" s="22">
        <f>'VIX HISTORIQUE'!G1287</f>
        <v>16.26</v>
      </c>
      <c r="E1284" s="22">
        <f>'VIX HISTORIQUE'!I1287</f>
        <v>18.39</v>
      </c>
      <c r="F1284" s="22">
        <f>'VIX HISTORIQUE'!K1287</f>
        <v>20.54</v>
      </c>
    </row>
    <row r="1285" ht="15.75" customHeight="1">
      <c r="A1285" s="25">
        <f>'VIX HISTORIQUE'!A1288</f>
        <v>45132.66667</v>
      </c>
      <c r="B1285" s="22">
        <f>'VIX HISTORIQUE'!B1288</f>
        <v>4567.46</v>
      </c>
      <c r="C1285" s="22">
        <f>'VIX HISTORIQUE'!D1288</f>
        <v>13.86</v>
      </c>
      <c r="D1285" s="22">
        <f>'VIX HISTORIQUE'!G1288</f>
        <v>16.22</v>
      </c>
      <c r="E1285" s="22">
        <f>'VIX HISTORIQUE'!I1288</f>
        <v>18.36</v>
      </c>
      <c r="F1285" s="22">
        <f>'VIX HISTORIQUE'!K1288</f>
        <v>20.54</v>
      </c>
    </row>
    <row r="1286" ht="15.75" customHeight="1">
      <c r="A1286" s="25">
        <f>'VIX HISTORIQUE'!A1289</f>
        <v>45133.66667</v>
      </c>
      <c r="B1286" s="22">
        <f>'VIX HISTORIQUE'!B1289</f>
        <v>4566.75</v>
      </c>
      <c r="C1286" s="22">
        <f>'VIX HISTORIQUE'!D1289</f>
        <v>13.19</v>
      </c>
      <c r="D1286" s="22">
        <f>'VIX HISTORIQUE'!G1289</f>
        <v>15.79</v>
      </c>
      <c r="E1286" s="22">
        <f>'VIX HISTORIQUE'!I1289</f>
        <v>18.12</v>
      </c>
      <c r="F1286" s="22">
        <f>'VIX HISTORIQUE'!K1289</f>
        <v>20.38</v>
      </c>
    </row>
    <row r="1287" ht="15.75" customHeight="1">
      <c r="A1287" s="25">
        <f>'VIX HISTORIQUE'!A1290</f>
        <v>45134.66667</v>
      </c>
      <c r="B1287" s="22">
        <f>'VIX HISTORIQUE'!B1290</f>
        <v>4537.41</v>
      </c>
      <c r="C1287" s="22">
        <f>'VIX HISTORIQUE'!D1290</f>
        <v>14.41</v>
      </c>
      <c r="D1287" s="22">
        <f>'VIX HISTORIQUE'!G1290</f>
        <v>16.63</v>
      </c>
      <c r="E1287" s="22">
        <f>'VIX HISTORIQUE'!I1290</f>
        <v>18.74</v>
      </c>
      <c r="F1287" s="22">
        <f>'VIX HISTORIQUE'!K1290</f>
        <v>20.76</v>
      </c>
    </row>
    <row r="1288" ht="15.75" customHeight="1">
      <c r="A1288" s="25">
        <f>'VIX HISTORIQUE'!A1291</f>
        <v>45135.66667</v>
      </c>
      <c r="B1288" s="22">
        <f>'VIX HISTORIQUE'!B1291</f>
        <v>4582.23</v>
      </c>
      <c r="C1288" s="22">
        <f>'VIX HISTORIQUE'!D1291</f>
        <v>13.33</v>
      </c>
      <c r="D1288" s="22">
        <f>'VIX HISTORIQUE'!G1291</f>
        <v>15.92</v>
      </c>
      <c r="E1288" s="22">
        <f>'VIX HISTORIQUE'!I1291</f>
        <v>18.27</v>
      </c>
      <c r="F1288" s="22">
        <f>'VIX HISTORIQUE'!K1291</f>
        <v>20.47</v>
      </c>
    </row>
    <row r="1289" ht="15.75" customHeight="1">
      <c r="A1289" s="25">
        <f>'VIX HISTORIQUE'!A1292</f>
        <v>45138.66667</v>
      </c>
      <c r="B1289" s="22">
        <f>'VIX HISTORIQUE'!B1292</f>
        <v>4588.96</v>
      </c>
      <c r="C1289" s="22">
        <f>'VIX HISTORIQUE'!D1292</f>
        <v>13.63</v>
      </c>
      <c r="D1289" s="22">
        <f>'VIX HISTORIQUE'!G1292</f>
        <v>16.01</v>
      </c>
      <c r="E1289" s="22">
        <f>'VIX HISTORIQUE'!I1292</f>
        <v>18.42</v>
      </c>
      <c r="F1289" s="22">
        <f>'VIX HISTORIQUE'!K1292</f>
        <v>20.54</v>
      </c>
    </row>
    <row r="1290" ht="15.75" customHeight="1">
      <c r="A1290" s="25">
        <f>'VIX HISTORIQUE'!A1293</f>
        <v>45139.66667</v>
      </c>
      <c r="B1290" s="22">
        <f>'VIX HISTORIQUE'!B1293</f>
        <v>4576.73</v>
      </c>
      <c r="C1290" s="22">
        <f>'VIX HISTORIQUE'!D1293</f>
        <v>13.93</v>
      </c>
      <c r="D1290" s="22">
        <f>'VIX HISTORIQUE'!G1293</f>
        <v>16.34</v>
      </c>
      <c r="E1290" s="22">
        <f>'VIX HISTORIQUE'!I1293</f>
        <v>18.62</v>
      </c>
      <c r="F1290" s="22">
        <f>'VIX HISTORIQUE'!K1293</f>
        <v>20.74</v>
      </c>
    </row>
    <row r="1291" ht="15.75" customHeight="1">
      <c r="A1291" s="25">
        <f>'VIX HISTORIQUE'!A1294</f>
        <v>45140.66667</v>
      </c>
      <c r="B1291" s="22">
        <f>'VIX HISTORIQUE'!B1294</f>
        <v>4513.39</v>
      </c>
      <c r="C1291" s="22">
        <f>'VIX HISTORIQUE'!D1294</f>
        <v>16.09</v>
      </c>
      <c r="D1291" s="22">
        <f>'VIX HISTORIQUE'!G1294</f>
        <v>17.96</v>
      </c>
      <c r="E1291" s="22">
        <f>'VIX HISTORIQUE'!I1294</f>
        <v>19.88</v>
      </c>
      <c r="F1291" s="22">
        <f>'VIX HISTORIQUE'!K1294</f>
        <v>21.63</v>
      </c>
    </row>
    <row r="1292" ht="15.75" customHeight="1">
      <c r="A1292" s="25">
        <f>'VIX HISTORIQUE'!A1295</f>
        <v>45141.66667</v>
      </c>
      <c r="B1292" s="22">
        <f>'VIX HISTORIQUE'!B1295</f>
        <v>4501.89</v>
      </c>
      <c r="C1292" s="22">
        <f>'VIX HISTORIQUE'!D1295</f>
        <v>15.92</v>
      </c>
      <c r="D1292" s="22">
        <f>'VIX HISTORIQUE'!G1295</f>
        <v>17.72</v>
      </c>
      <c r="E1292" s="22">
        <f>'VIX HISTORIQUE'!I1295</f>
        <v>19.68</v>
      </c>
      <c r="F1292" s="22">
        <f>'VIX HISTORIQUE'!K1295</f>
        <v>21.47</v>
      </c>
    </row>
    <row r="1293" ht="15.75" customHeight="1">
      <c r="A1293" s="25">
        <f>'VIX HISTORIQUE'!A1296</f>
        <v>45142.66667</v>
      </c>
      <c r="B1293" s="22">
        <f>'VIX HISTORIQUE'!B1296</f>
        <v>4478.03</v>
      </c>
      <c r="C1293" s="22">
        <f>'VIX HISTORIQUE'!D1296</f>
        <v>17.1</v>
      </c>
      <c r="D1293" s="22">
        <f>'VIX HISTORIQUE'!G1296</f>
        <v>18.61</v>
      </c>
      <c r="E1293" s="22">
        <f>'VIX HISTORIQUE'!I1296</f>
        <v>20.18</v>
      </c>
      <c r="F1293" s="22">
        <f>'VIX HISTORIQUE'!K1296</f>
        <v>21.78</v>
      </c>
    </row>
    <row r="1294" ht="15.75" customHeight="1">
      <c r="A1294" s="25">
        <f>'VIX HISTORIQUE'!A1297</f>
        <v>45145.66667</v>
      </c>
      <c r="B1294" s="22">
        <f>'VIX HISTORIQUE'!B1297</f>
        <v>4518.44</v>
      </c>
      <c r="C1294" s="22">
        <f>'VIX HISTORIQUE'!D1297</f>
        <v>15.77</v>
      </c>
      <c r="D1294" s="22">
        <f>'VIX HISTORIQUE'!G1297</f>
        <v>17.72</v>
      </c>
      <c r="E1294" s="22">
        <f>'VIX HISTORIQUE'!I1297</f>
        <v>19.48</v>
      </c>
      <c r="F1294" s="22">
        <f>'VIX HISTORIQUE'!K1297</f>
        <v>21.44</v>
      </c>
    </row>
    <row r="1295" ht="15.75" customHeight="1">
      <c r="A1295" s="25">
        <f>'VIX HISTORIQUE'!A1298</f>
        <v>45146.66667</v>
      </c>
      <c r="B1295" s="22">
        <f>'VIX HISTORIQUE'!B1298</f>
        <v>4499.38</v>
      </c>
      <c r="C1295" s="22">
        <f>'VIX HISTORIQUE'!D1298</f>
        <v>15.99</v>
      </c>
      <c r="D1295" s="22">
        <f>'VIX HISTORIQUE'!G1298</f>
        <v>18.13</v>
      </c>
      <c r="E1295" s="22">
        <f>'VIX HISTORIQUE'!I1298</f>
        <v>19.9</v>
      </c>
      <c r="F1295" s="22">
        <f>'VIX HISTORIQUE'!K1298</f>
        <v>21.71</v>
      </c>
    </row>
    <row r="1296" ht="15.75" customHeight="1">
      <c r="A1296" s="25">
        <f>'VIX HISTORIQUE'!A1299</f>
        <v>45147.66667</v>
      </c>
      <c r="B1296" s="22">
        <f>'VIX HISTORIQUE'!B1299</f>
        <v>4467.71</v>
      </c>
      <c r="C1296" s="22">
        <f>'VIX HISTORIQUE'!D1299</f>
        <v>15.96</v>
      </c>
      <c r="D1296" s="22">
        <f>'VIX HISTORIQUE'!G1299</f>
        <v>18.05</v>
      </c>
      <c r="E1296" s="22">
        <f>'VIX HISTORIQUE'!I1299</f>
        <v>19.86</v>
      </c>
      <c r="F1296" s="22">
        <f>'VIX HISTORIQUE'!K1299</f>
        <v>21.67</v>
      </c>
    </row>
    <row r="1297" ht="15.75" customHeight="1">
      <c r="A1297" s="25">
        <f>'VIX HISTORIQUE'!A1300</f>
        <v>45148.66667</v>
      </c>
      <c r="B1297" s="22">
        <f>'VIX HISTORIQUE'!B1300</f>
        <v>4468.83</v>
      </c>
      <c r="C1297" s="22">
        <f>'VIX HISTORIQUE'!D1300</f>
        <v>15.85</v>
      </c>
      <c r="D1297" s="22">
        <f>'VIX HISTORIQUE'!G1300</f>
        <v>18.16</v>
      </c>
      <c r="E1297" s="22">
        <f>'VIX HISTORIQUE'!I1300</f>
        <v>19.83</v>
      </c>
      <c r="F1297" s="22">
        <f>'VIX HISTORIQUE'!K1300</f>
        <v>21.27</v>
      </c>
    </row>
    <row r="1298" ht="15.75" customHeight="1">
      <c r="A1298" s="25">
        <f>'VIX HISTORIQUE'!A1301</f>
        <v>45149.66667</v>
      </c>
      <c r="B1298" s="22">
        <f>'VIX HISTORIQUE'!B1301</f>
        <v>4464.05</v>
      </c>
      <c r="C1298" s="22">
        <f>'VIX HISTORIQUE'!D1301</f>
        <v>14.84</v>
      </c>
      <c r="D1298" s="22">
        <f>'VIX HISTORIQUE'!G1301</f>
        <v>17.56</v>
      </c>
      <c r="E1298" s="22">
        <f>'VIX HISTORIQUE'!I1301</f>
        <v>19.58</v>
      </c>
      <c r="F1298" s="22">
        <f>'VIX HISTORIQUE'!K1301</f>
        <v>21.46</v>
      </c>
    </row>
    <row r="1299" ht="15.75" customHeight="1">
      <c r="A1299" s="25">
        <f>'VIX HISTORIQUE'!A1302</f>
        <v>45152.66667</v>
      </c>
      <c r="B1299" s="22">
        <f>'VIX HISTORIQUE'!B1302</f>
        <v>4489.72</v>
      </c>
      <c r="C1299" s="22">
        <f>'VIX HISTORIQUE'!D1302</f>
        <v>14.82</v>
      </c>
      <c r="D1299" s="22">
        <f>'VIX HISTORIQUE'!G1302</f>
        <v>17.41</v>
      </c>
      <c r="E1299" s="22">
        <f>'VIX HISTORIQUE'!I1302</f>
        <v>19.29</v>
      </c>
      <c r="F1299" s="22">
        <f>'VIX HISTORIQUE'!K1302</f>
        <v>21.36</v>
      </c>
    </row>
    <row r="1300" ht="15.75" customHeight="1">
      <c r="A1300" s="25">
        <f>'VIX HISTORIQUE'!A1303</f>
        <v>45153.66667</v>
      </c>
      <c r="B1300" s="22">
        <f>'VIX HISTORIQUE'!B1303</f>
        <v>4437.86</v>
      </c>
      <c r="C1300" s="22">
        <f>'VIX HISTORIQUE'!D1303</f>
        <v>16.46</v>
      </c>
      <c r="D1300" s="22">
        <f>'VIX HISTORIQUE'!G1303</f>
        <v>18.59</v>
      </c>
      <c r="E1300" s="22">
        <f>'VIX HISTORIQUE'!I1303</f>
        <v>20.36</v>
      </c>
      <c r="F1300" s="22">
        <f>'VIX HISTORIQUE'!K1303</f>
        <v>22.07</v>
      </c>
    </row>
    <row r="1301" ht="15.75" customHeight="1">
      <c r="A1301" s="25">
        <f>'VIX HISTORIQUE'!A1304</f>
        <v>45154.66667</v>
      </c>
      <c r="B1301" s="22">
        <f>'VIX HISTORIQUE'!B1304</f>
        <v>4404.33</v>
      </c>
      <c r="C1301" s="22">
        <f>'VIX HISTORIQUE'!D1304</f>
        <v>16.78</v>
      </c>
      <c r="D1301" s="22">
        <f>'VIX HISTORIQUE'!G1304</f>
        <v>18.97</v>
      </c>
      <c r="E1301" s="22">
        <f>'VIX HISTORIQUE'!I1304</f>
        <v>20.7</v>
      </c>
      <c r="F1301" s="22">
        <f>'VIX HISTORIQUE'!K1304</f>
        <v>22.24</v>
      </c>
    </row>
    <row r="1302" ht="15.75" customHeight="1">
      <c r="A1302" s="25">
        <f>'VIX HISTORIQUE'!A1305</f>
        <v>45155.66667</v>
      </c>
      <c r="B1302" s="22">
        <f>'VIX HISTORIQUE'!B1305</f>
        <v>4370.36</v>
      </c>
      <c r="C1302" s="22">
        <f>'VIX HISTORIQUE'!D1305</f>
        <v>17.89</v>
      </c>
      <c r="D1302" s="22">
        <f>'VIX HISTORIQUE'!G1305</f>
        <v>19.83</v>
      </c>
      <c r="E1302" s="22">
        <f>'VIX HISTORIQUE'!I1305</f>
        <v>21.42</v>
      </c>
      <c r="F1302" s="22">
        <f>'VIX HISTORIQUE'!K1305</f>
        <v>22.7</v>
      </c>
    </row>
    <row r="1303" ht="15.75" customHeight="1">
      <c r="A1303" s="25">
        <f>'VIX HISTORIQUE'!A1306</f>
        <v>45156.66667</v>
      </c>
      <c r="B1303" s="22">
        <f>'VIX HISTORIQUE'!B1306</f>
        <v>4369.71</v>
      </c>
      <c r="C1303" s="22">
        <f>'VIX HISTORIQUE'!D1306</f>
        <v>17.3</v>
      </c>
      <c r="D1303" s="22">
        <f>'VIX HISTORIQUE'!G1306</f>
        <v>19.24</v>
      </c>
      <c r="E1303" s="22">
        <f>'VIX HISTORIQUE'!I1306</f>
        <v>21.05</v>
      </c>
      <c r="F1303" s="22">
        <f>'VIX HISTORIQUE'!K1306</f>
        <v>22.44</v>
      </c>
    </row>
    <row r="1304" ht="15.75" customHeight="1">
      <c r="A1304" s="25">
        <f>'VIX HISTORIQUE'!A1307</f>
        <v>45159.66667</v>
      </c>
      <c r="B1304" s="22">
        <f>'VIX HISTORIQUE'!B1307</f>
        <v>4399.77</v>
      </c>
      <c r="C1304" s="22">
        <f>'VIX HISTORIQUE'!D1307</f>
        <v>17.13</v>
      </c>
      <c r="D1304" s="22">
        <f>'VIX HISTORIQUE'!G1307</f>
        <v>18.77</v>
      </c>
      <c r="E1304" s="22">
        <f>'VIX HISTORIQUE'!I1307</f>
        <v>20.63</v>
      </c>
      <c r="F1304" s="22">
        <f>'VIX HISTORIQUE'!K1307</f>
        <v>22.22</v>
      </c>
    </row>
    <row r="1305" ht="15.75" customHeight="1">
      <c r="A1305" s="25">
        <f>'VIX HISTORIQUE'!A1308</f>
        <v>45160.66667</v>
      </c>
      <c r="B1305" s="22">
        <f>'VIX HISTORIQUE'!B1308</f>
        <v>4387.55</v>
      </c>
      <c r="C1305" s="22">
        <f>'VIX HISTORIQUE'!D1308</f>
        <v>16.97</v>
      </c>
      <c r="D1305" s="22">
        <f>'VIX HISTORIQUE'!G1308</f>
        <v>18.72</v>
      </c>
      <c r="E1305" s="22">
        <f>'VIX HISTORIQUE'!I1308</f>
        <v>20.77</v>
      </c>
      <c r="F1305" s="22">
        <f>'VIX HISTORIQUE'!K1308</f>
        <v>22.54</v>
      </c>
    </row>
    <row r="1306" ht="15.75" customHeight="1">
      <c r="A1306" s="25">
        <f>'VIX HISTORIQUE'!A1309</f>
        <v>45161.66667</v>
      </c>
      <c r="B1306" s="22">
        <f>'VIX HISTORIQUE'!B1309</f>
        <v>4436.01</v>
      </c>
      <c r="C1306" s="22">
        <f>'VIX HISTORIQUE'!D1309</f>
        <v>15.98</v>
      </c>
      <c r="D1306" s="22">
        <f>'VIX HISTORIQUE'!G1309</f>
        <v>17.94</v>
      </c>
      <c r="E1306" s="22">
        <f>'VIX HISTORIQUE'!I1309</f>
        <v>20.06</v>
      </c>
      <c r="F1306" s="22">
        <f>'VIX HISTORIQUE'!K1309</f>
        <v>21.79</v>
      </c>
    </row>
    <row r="1307" ht="15.75" customHeight="1">
      <c r="A1307" s="25">
        <f>'VIX HISTORIQUE'!A1310</f>
        <v>45162.66667</v>
      </c>
      <c r="B1307" s="22">
        <f>'VIX HISTORIQUE'!B1310</f>
        <v>4376.31</v>
      </c>
      <c r="C1307" s="22">
        <f>'VIX HISTORIQUE'!D1310</f>
        <v>17.2</v>
      </c>
      <c r="D1307" s="22">
        <f>'VIX HISTORIQUE'!G1310</f>
        <v>18.75</v>
      </c>
      <c r="E1307" s="22">
        <f>'VIX HISTORIQUE'!I1310</f>
        <v>20.61</v>
      </c>
      <c r="F1307" s="22">
        <f>'VIX HISTORIQUE'!K1310</f>
        <v>22.09</v>
      </c>
    </row>
    <row r="1308" ht="15.75" customHeight="1">
      <c r="A1308" s="25">
        <f>'VIX HISTORIQUE'!A1311</f>
        <v>45163.66667</v>
      </c>
      <c r="B1308" s="22">
        <f>'VIX HISTORIQUE'!B1311</f>
        <v>4405.71</v>
      </c>
      <c r="C1308" s="22">
        <f>'VIX HISTORIQUE'!D1311</f>
        <v>15.68</v>
      </c>
      <c r="D1308" s="22">
        <f>'VIX HISTORIQUE'!G1311</f>
        <v>17.72</v>
      </c>
      <c r="E1308" s="22">
        <f>'VIX HISTORIQUE'!I1311</f>
        <v>19.76</v>
      </c>
      <c r="F1308" s="22">
        <f>'VIX HISTORIQUE'!K1311</f>
        <v>21.5</v>
      </c>
    </row>
    <row r="1309" ht="15.75" customHeight="1">
      <c r="A1309" s="25">
        <f>'VIX HISTORIQUE'!A1312</f>
        <v>45166.66667</v>
      </c>
      <c r="B1309" s="22">
        <f>'VIX HISTORIQUE'!B1312</f>
        <v>4433.31</v>
      </c>
      <c r="C1309" s="22">
        <f>'VIX HISTORIQUE'!D1312</f>
        <v>15.08</v>
      </c>
      <c r="D1309" s="22">
        <f>'VIX HISTORIQUE'!G1312</f>
        <v>17.12</v>
      </c>
      <c r="E1309" s="22">
        <f>'VIX HISTORIQUE'!I1312</f>
        <v>19.31</v>
      </c>
      <c r="F1309" s="22">
        <f>'VIX HISTORIQUE'!K1312</f>
        <v>21.19</v>
      </c>
    </row>
    <row r="1310" ht="15.75" customHeight="1">
      <c r="A1310" s="25">
        <f>'VIX HISTORIQUE'!A1313</f>
        <v>45167.66667</v>
      </c>
      <c r="B1310" s="22">
        <f>'VIX HISTORIQUE'!B1313</f>
        <v>4497.63</v>
      </c>
      <c r="C1310" s="22">
        <f>'VIX HISTORIQUE'!D1313</f>
        <v>14.45</v>
      </c>
      <c r="D1310" s="22">
        <f>'VIX HISTORIQUE'!G1313</f>
        <v>16.56</v>
      </c>
      <c r="E1310" s="22">
        <f>'VIX HISTORIQUE'!I1313</f>
        <v>18.71</v>
      </c>
      <c r="F1310" s="22">
        <f>'VIX HISTORIQUE'!K1313</f>
        <v>20.72</v>
      </c>
    </row>
    <row r="1311" ht="15.75" customHeight="1">
      <c r="A1311" s="25">
        <f>'VIX HISTORIQUE'!A1314</f>
        <v>45168.66667</v>
      </c>
      <c r="B1311" s="22">
        <f>'VIX HISTORIQUE'!B1314</f>
        <v>4514.87</v>
      </c>
      <c r="C1311" s="22">
        <f>'VIX HISTORIQUE'!D1314</f>
        <v>13.88</v>
      </c>
      <c r="D1311" s="22">
        <f>'VIX HISTORIQUE'!G1314</f>
        <v>16.18</v>
      </c>
      <c r="E1311" s="22">
        <f>'VIX HISTORIQUE'!I1314</f>
        <v>18.55</v>
      </c>
      <c r="F1311" s="22">
        <f>'VIX HISTORIQUE'!K1314</f>
        <v>20.21</v>
      </c>
    </row>
    <row r="1312" ht="15.75" customHeight="1">
      <c r="A1312" s="25">
        <f>'VIX HISTORIQUE'!A1315</f>
        <v>45169.66667</v>
      </c>
      <c r="B1312" s="22">
        <f>'VIX HISTORIQUE'!B1315</f>
        <v>4507.66</v>
      </c>
      <c r="C1312" s="22">
        <f>'VIX HISTORIQUE'!D1315</f>
        <v>13.57</v>
      </c>
      <c r="D1312" s="22">
        <f>'VIX HISTORIQUE'!G1315</f>
        <v>15.92</v>
      </c>
      <c r="E1312" s="22">
        <f>'VIX HISTORIQUE'!I1315</f>
        <v>18.29</v>
      </c>
      <c r="F1312" s="22">
        <f>'VIX HISTORIQUE'!K1315</f>
        <v>20.08</v>
      </c>
    </row>
    <row r="1313" ht="15.75" customHeight="1">
      <c r="A1313" s="25">
        <f>'VIX HISTORIQUE'!A1316</f>
        <v>45170.66667</v>
      </c>
      <c r="B1313" s="22">
        <f>'VIX HISTORIQUE'!B1316</f>
        <v>4515.77</v>
      </c>
      <c r="C1313" s="22">
        <f>'VIX HISTORIQUE'!D1316</f>
        <v>13.09</v>
      </c>
      <c r="D1313" s="22">
        <f>'VIX HISTORIQUE'!G1316</f>
        <v>15.74</v>
      </c>
      <c r="E1313" s="22">
        <f>'VIX HISTORIQUE'!I1316</f>
        <v>18.15</v>
      </c>
      <c r="F1313" s="22">
        <f>'VIX HISTORIQUE'!K1316</f>
        <v>20.25</v>
      </c>
    </row>
    <row r="1314" ht="15.75" customHeight="1">
      <c r="A1314" s="25">
        <f>'VIX HISTORIQUE'!A1317</f>
        <v>45174.66667</v>
      </c>
      <c r="B1314" s="22">
        <f>'VIX HISTORIQUE'!B1317</f>
        <v>4496.83</v>
      </c>
      <c r="C1314" s="22">
        <f>'VIX HISTORIQUE'!D1317</f>
        <v>14.01</v>
      </c>
      <c r="D1314" s="22">
        <f>'VIX HISTORIQUE'!G1317</f>
        <v>16.24</v>
      </c>
      <c r="E1314" s="22">
        <f>'VIX HISTORIQUE'!I1317</f>
        <v>18.32</v>
      </c>
      <c r="F1314" s="22">
        <f>'VIX HISTORIQUE'!K1317</f>
        <v>20.48</v>
      </c>
    </row>
    <row r="1315" ht="15.75" customHeight="1">
      <c r="A1315" s="25">
        <f>'VIX HISTORIQUE'!A1318</f>
        <v>45175.66667</v>
      </c>
      <c r="B1315" s="22">
        <f>'VIX HISTORIQUE'!B1318</f>
        <v>4465.48</v>
      </c>
      <c r="C1315" s="22">
        <f>'VIX HISTORIQUE'!D1318</f>
        <v>14.45</v>
      </c>
      <c r="D1315" s="22">
        <f>'VIX HISTORIQUE'!G1318</f>
        <v>16.61</v>
      </c>
      <c r="E1315" s="22">
        <f>'VIX HISTORIQUE'!I1318</f>
        <v>18.62</v>
      </c>
      <c r="F1315" s="22">
        <f>'VIX HISTORIQUE'!K1318</f>
        <v>20.8</v>
      </c>
    </row>
    <row r="1316" ht="15.75" customHeight="1">
      <c r="A1316" s="25">
        <f>'VIX HISTORIQUE'!A1319</f>
        <v>45176.66667</v>
      </c>
      <c r="B1316" s="22">
        <f>'VIX HISTORIQUE'!B1319</f>
        <v>4451.14</v>
      </c>
      <c r="C1316" s="22">
        <f>'VIX HISTORIQUE'!D1319</f>
        <v>14.4</v>
      </c>
      <c r="D1316" s="22">
        <f>'VIX HISTORIQUE'!G1319</f>
        <v>16.58</v>
      </c>
      <c r="E1316" s="22">
        <f>'VIX HISTORIQUE'!I1319</f>
        <v>18.61</v>
      </c>
      <c r="F1316" s="22">
        <f>'VIX HISTORIQUE'!K1319</f>
        <v>20.58</v>
      </c>
    </row>
    <row r="1317" ht="15.75" customHeight="1">
      <c r="A1317" s="25">
        <f>'VIX HISTORIQUE'!A1320</f>
        <v>45177.66667</v>
      </c>
      <c r="B1317" s="22">
        <f>'VIX HISTORIQUE'!B1320</f>
        <v>4457.49</v>
      </c>
      <c r="C1317" s="22">
        <f>'VIX HISTORIQUE'!D1320</f>
        <v>13.84</v>
      </c>
      <c r="D1317" s="22">
        <f>'VIX HISTORIQUE'!G1320</f>
        <v>16.14</v>
      </c>
      <c r="E1317" s="22">
        <f>'VIX HISTORIQUE'!I1320</f>
        <v>18.27</v>
      </c>
      <c r="F1317" s="22">
        <f>'VIX HISTORIQUE'!K1320</f>
        <v>20.32</v>
      </c>
    </row>
    <row r="1318" ht="15.75" customHeight="1">
      <c r="A1318" s="25">
        <f>'VIX HISTORIQUE'!A1321</f>
        <v>45180.66667</v>
      </c>
      <c r="B1318" s="22">
        <f>'VIX HISTORIQUE'!B1321</f>
        <v>4487.46</v>
      </c>
      <c r="C1318" s="22">
        <f>'VIX HISTORIQUE'!D1321</f>
        <v>13.8</v>
      </c>
      <c r="D1318" s="22">
        <f>'VIX HISTORIQUE'!G1321</f>
        <v>16.02</v>
      </c>
      <c r="E1318" s="22">
        <f>'VIX HISTORIQUE'!I1321</f>
        <v>18.05</v>
      </c>
      <c r="F1318" s="22">
        <f>'VIX HISTORIQUE'!K1321</f>
        <v>20.15</v>
      </c>
    </row>
    <row r="1319" ht="15.75" customHeight="1">
      <c r="A1319" s="25">
        <f>'VIX HISTORIQUE'!A1322</f>
        <v>45181.66667</v>
      </c>
      <c r="B1319" s="22">
        <f>'VIX HISTORIQUE'!B1322</f>
        <v>4461.9</v>
      </c>
      <c r="C1319" s="22">
        <f>'VIX HISTORIQUE'!D1322</f>
        <v>14.23</v>
      </c>
      <c r="D1319" s="22">
        <f>'VIX HISTORIQUE'!G1322</f>
        <v>16.25</v>
      </c>
      <c r="E1319" s="22">
        <f>'VIX HISTORIQUE'!I1322</f>
        <v>18.21</v>
      </c>
      <c r="F1319" s="22">
        <f>'VIX HISTORIQUE'!K1322</f>
        <v>20.26</v>
      </c>
    </row>
    <row r="1320" ht="15.75" customHeight="1">
      <c r="A1320" s="25">
        <f>'VIX HISTORIQUE'!A1323</f>
        <v>45182.66667</v>
      </c>
      <c r="B1320" s="22">
        <f>'VIX HISTORIQUE'!B1323</f>
        <v>4467.44</v>
      </c>
      <c r="C1320" s="22">
        <f>'VIX HISTORIQUE'!D1323</f>
        <v>13.48</v>
      </c>
      <c r="D1320" s="22">
        <f>'VIX HISTORIQUE'!G1323</f>
        <v>15.92</v>
      </c>
      <c r="E1320" s="22">
        <f>'VIX HISTORIQUE'!I1323</f>
        <v>18.01</v>
      </c>
      <c r="F1320" s="22">
        <f>'VIX HISTORIQUE'!K1323</f>
        <v>20.21</v>
      </c>
    </row>
    <row r="1321" ht="15.75" customHeight="1">
      <c r="A1321" s="25">
        <f>'VIX HISTORIQUE'!A1324</f>
        <v>45183.66667</v>
      </c>
      <c r="B1321" s="22">
        <f>'VIX HISTORIQUE'!B1324</f>
        <v>4505.1</v>
      </c>
      <c r="C1321" s="22">
        <f>'VIX HISTORIQUE'!D1324</f>
        <v>12.82</v>
      </c>
      <c r="D1321" s="22">
        <f>'VIX HISTORIQUE'!G1324</f>
        <v>15.34</v>
      </c>
      <c r="E1321" s="22">
        <f>'VIX HISTORIQUE'!I1324</f>
        <v>17.68</v>
      </c>
      <c r="F1321" s="22">
        <f>'VIX HISTORIQUE'!K1324</f>
        <v>19.78</v>
      </c>
    </row>
    <row r="1322" ht="15.75" customHeight="1">
      <c r="A1322" s="25">
        <f>'VIX HISTORIQUE'!A1325</f>
        <v>45184.66667</v>
      </c>
      <c r="B1322" s="22">
        <f>'VIX HISTORIQUE'!B1325</f>
        <v>4450.32</v>
      </c>
      <c r="C1322" s="22">
        <f>'VIX HISTORIQUE'!D1325</f>
        <v>13.79</v>
      </c>
      <c r="D1322" s="22">
        <f>'VIX HISTORIQUE'!G1325</f>
        <v>16.02</v>
      </c>
      <c r="E1322" s="22">
        <f>'VIX HISTORIQUE'!I1325</f>
        <v>18.15</v>
      </c>
      <c r="F1322" s="22">
        <f>'VIX HISTORIQUE'!K1325</f>
        <v>20.44</v>
      </c>
    </row>
    <row r="1323" ht="15.75" customHeight="1">
      <c r="A1323" s="25">
        <f>'VIX HISTORIQUE'!A1326</f>
        <v>45187.66667</v>
      </c>
      <c r="B1323" s="22">
        <f>'VIX HISTORIQUE'!B1326</f>
        <v>4453.53</v>
      </c>
      <c r="C1323" s="22">
        <f>'VIX HISTORIQUE'!D1326</f>
        <v>14</v>
      </c>
      <c r="D1323" s="22">
        <f>'VIX HISTORIQUE'!G1326</f>
        <v>16.13</v>
      </c>
      <c r="E1323" s="22">
        <f>'VIX HISTORIQUE'!I1326</f>
        <v>18.19</v>
      </c>
      <c r="F1323" s="22">
        <f>'VIX HISTORIQUE'!K1326</f>
        <v>20.19</v>
      </c>
    </row>
    <row r="1324" ht="15.75" customHeight="1">
      <c r="A1324" s="25">
        <f>'VIX HISTORIQUE'!A1327</f>
        <v>45188.66667</v>
      </c>
      <c r="B1324" s="22">
        <f>'VIX HISTORIQUE'!B1327</f>
        <v>4443.95</v>
      </c>
      <c r="C1324" s="22">
        <f>'VIX HISTORIQUE'!D1327</f>
        <v>14.11</v>
      </c>
      <c r="D1324" s="22">
        <f>'VIX HISTORIQUE'!G1327</f>
        <v>16.13</v>
      </c>
      <c r="E1324" s="22">
        <f>'VIX HISTORIQUE'!I1327</f>
        <v>18.17</v>
      </c>
      <c r="F1324" s="22">
        <f>'VIX HISTORIQUE'!K1327</f>
        <v>20.19</v>
      </c>
    </row>
    <row r="1325" ht="15.75" customHeight="1">
      <c r="A1325" s="25">
        <f>'VIX HISTORIQUE'!A1328</f>
        <v>45189.66667</v>
      </c>
      <c r="B1325" s="22">
        <f>'VIX HISTORIQUE'!B1328</f>
        <v>4402.2</v>
      </c>
      <c r="C1325" s="22">
        <f>'VIX HISTORIQUE'!D1328</f>
        <v>15.14</v>
      </c>
      <c r="D1325" s="22">
        <f>'VIX HISTORIQUE'!G1328</f>
        <v>16.81</v>
      </c>
      <c r="E1325" s="22">
        <f>'VIX HISTORIQUE'!I1328</f>
        <v>18.61</v>
      </c>
      <c r="F1325" s="22">
        <f>'VIX HISTORIQUE'!K1328</f>
        <v>20.45</v>
      </c>
    </row>
    <row r="1326" ht="15.75" customHeight="1">
      <c r="A1326" s="25">
        <f>'VIX HISTORIQUE'!A1329</f>
        <v>45190.66667</v>
      </c>
      <c r="B1326" s="22">
        <f>'VIX HISTORIQUE'!B1329</f>
        <v>4330</v>
      </c>
      <c r="C1326" s="22">
        <f>'VIX HISTORIQUE'!D1329</f>
        <v>17.54</v>
      </c>
      <c r="D1326" s="22">
        <f>'VIX HISTORIQUE'!G1329</f>
        <v>18.24</v>
      </c>
      <c r="E1326" s="22">
        <f>'VIX HISTORIQUE'!I1329</f>
        <v>19.58</v>
      </c>
      <c r="F1326" s="22">
        <f>'VIX HISTORIQUE'!K1329</f>
        <v>21.08</v>
      </c>
    </row>
    <row r="1327" ht="15.75" customHeight="1">
      <c r="A1327" s="25">
        <f>'VIX HISTORIQUE'!A1330</f>
        <v>45191.66667</v>
      </c>
      <c r="B1327" s="22">
        <f>'VIX HISTORIQUE'!B1330</f>
        <v>4320.06</v>
      </c>
      <c r="C1327" s="22">
        <f>'VIX HISTORIQUE'!D1330</f>
        <v>17.2</v>
      </c>
      <c r="D1327" s="22">
        <f>'VIX HISTORIQUE'!G1330</f>
        <v>18.09</v>
      </c>
      <c r="E1327" s="22">
        <f>'VIX HISTORIQUE'!I1330</f>
        <v>19.6</v>
      </c>
      <c r="F1327" s="22">
        <f>'VIX HISTORIQUE'!K1330</f>
        <v>21.24</v>
      </c>
    </row>
    <row r="1328" ht="15.75" customHeight="1">
      <c r="A1328" s="25">
        <f>'VIX HISTORIQUE'!A1331</f>
        <v>45194.66667</v>
      </c>
      <c r="B1328" s="22">
        <f>'VIX HISTORIQUE'!B1331</f>
        <v>4337.44</v>
      </c>
      <c r="C1328" s="22">
        <f>'VIX HISTORIQUE'!D1331</f>
        <v>16.9</v>
      </c>
      <c r="D1328" s="22">
        <f>'VIX HISTORIQUE'!G1331</f>
        <v>18.02</v>
      </c>
      <c r="E1328" s="22">
        <f>'VIX HISTORIQUE'!I1331</f>
        <v>19.63</v>
      </c>
      <c r="F1328" s="22">
        <f>'VIX HISTORIQUE'!K1331</f>
        <v>21.36</v>
      </c>
    </row>
    <row r="1329" ht="15.75" customHeight="1">
      <c r="A1329" s="25">
        <f>'VIX HISTORIQUE'!A1332</f>
        <v>45195.66667</v>
      </c>
      <c r="B1329" s="22">
        <f>'VIX HISTORIQUE'!B1332</f>
        <v>4273.53</v>
      </c>
      <c r="C1329" s="22">
        <f>'VIX HISTORIQUE'!D1332</f>
        <v>18.94</v>
      </c>
      <c r="D1329" s="22">
        <f>'VIX HISTORIQUE'!G1332</f>
        <v>19.72</v>
      </c>
      <c r="E1329" s="22">
        <f>'VIX HISTORIQUE'!I1332</f>
        <v>21.01</v>
      </c>
      <c r="F1329" s="22">
        <f>'VIX HISTORIQUE'!K1332</f>
        <v>22.37</v>
      </c>
    </row>
    <row r="1330" ht="15.75" customHeight="1">
      <c r="A1330" s="25">
        <f>'VIX HISTORIQUE'!A1333</f>
        <v>45196.66667</v>
      </c>
      <c r="B1330" s="22">
        <f>'VIX HISTORIQUE'!B1333</f>
        <v>4274.51</v>
      </c>
      <c r="C1330" s="22">
        <f>'VIX HISTORIQUE'!D1333</f>
        <v>18.22</v>
      </c>
      <c r="D1330" s="22">
        <f>'VIX HISTORIQUE'!G1333</f>
        <v>19.11</v>
      </c>
      <c r="E1330" s="22">
        <f>'VIX HISTORIQUE'!I1333</f>
        <v>20.7</v>
      </c>
      <c r="F1330" s="22">
        <f>'VIX HISTORIQUE'!K1333</f>
        <v>22.13</v>
      </c>
    </row>
    <row r="1331" ht="15.75" customHeight="1">
      <c r="A1331" s="25">
        <f>'VIX HISTORIQUE'!A1334</f>
        <v>45197.66667</v>
      </c>
      <c r="B1331" s="22">
        <f>'VIX HISTORIQUE'!B1334</f>
        <v>4299.7</v>
      </c>
      <c r="C1331" s="22">
        <f>'VIX HISTORIQUE'!D1334</f>
        <v>17.34</v>
      </c>
      <c r="D1331" s="22">
        <f>'VIX HISTORIQUE'!G1334</f>
        <v>18.38</v>
      </c>
      <c r="E1331" s="22">
        <f>'VIX HISTORIQUE'!I1334</f>
        <v>20.09</v>
      </c>
      <c r="F1331" s="22">
        <f>'VIX HISTORIQUE'!K1334</f>
        <v>22</v>
      </c>
    </row>
    <row r="1332" ht="15.75" customHeight="1">
      <c r="A1332" s="25">
        <f>'VIX HISTORIQUE'!A1335</f>
        <v>45198.66667</v>
      </c>
      <c r="B1332" s="22">
        <f>'VIX HISTORIQUE'!B1335</f>
        <v>4288.05</v>
      </c>
      <c r="C1332" s="22">
        <f>'VIX HISTORIQUE'!D1335</f>
        <v>17.52</v>
      </c>
      <c r="D1332" s="22">
        <f>'VIX HISTORIQUE'!G1335</f>
        <v>18.51</v>
      </c>
      <c r="E1332" s="22">
        <f>'VIX HISTORIQUE'!I1335</f>
        <v>20.18</v>
      </c>
      <c r="F1332" s="22">
        <f>'VIX HISTORIQUE'!K1335</f>
        <v>21.85</v>
      </c>
    </row>
    <row r="1333" ht="15.75" customHeight="1">
      <c r="A1333" s="25">
        <f>'VIX HISTORIQUE'!A1336</f>
        <v>45201.66667</v>
      </c>
      <c r="B1333" s="22">
        <f>'VIX HISTORIQUE'!B1336</f>
        <v>4288.39</v>
      </c>
      <c r="C1333" s="22">
        <f>'VIX HISTORIQUE'!D1336</f>
        <v>17.61</v>
      </c>
      <c r="D1333" s="22">
        <f>'VIX HISTORIQUE'!G1336</f>
        <v>18.62</v>
      </c>
      <c r="E1333" s="22">
        <f>'VIX HISTORIQUE'!I1336</f>
        <v>20.27</v>
      </c>
      <c r="F1333" s="22">
        <f>'VIX HISTORIQUE'!K1336</f>
        <v>22.13</v>
      </c>
    </row>
    <row r="1334" ht="15.75" customHeight="1">
      <c r="A1334" s="25">
        <f>'VIX HISTORIQUE'!A1337</f>
        <v>45202.66667</v>
      </c>
      <c r="B1334" s="22">
        <f>'VIX HISTORIQUE'!B1337</f>
        <v>4229.45</v>
      </c>
      <c r="C1334" s="22">
        <f>'VIX HISTORIQUE'!D1337</f>
        <v>19.78</v>
      </c>
      <c r="D1334" s="22">
        <f>'VIX HISTORIQUE'!G1337</f>
        <v>20.41</v>
      </c>
      <c r="E1334" s="22">
        <f>'VIX HISTORIQUE'!I1337</f>
        <v>21.65</v>
      </c>
      <c r="F1334" s="22">
        <f>'VIX HISTORIQUE'!K1337</f>
        <v>23.03</v>
      </c>
    </row>
    <row r="1335" ht="15.75" customHeight="1">
      <c r="A1335" s="25">
        <f>'VIX HISTORIQUE'!A1338</f>
        <v>45203.66667</v>
      </c>
      <c r="B1335" s="22">
        <f>'VIX HISTORIQUE'!B1338</f>
        <v>4263.75</v>
      </c>
      <c r="C1335" s="22">
        <f>'VIX HISTORIQUE'!D1338</f>
        <v>18.58</v>
      </c>
      <c r="D1335" s="22">
        <f>'VIX HISTORIQUE'!G1338</f>
        <v>19.52</v>
      </c>
      <c r="E1335" s="22">
        <f>'VIX HISTORIQUE'!I1338</f>
        <v>21.08</v>
      </c>
      <c r="F1335" s="22">
        <f>'VIX HISTORIQUE'!K1338</f>
        <v>22.74</v>
      </c>
    </row>
    <row r="1336" ht="15.75" customHeight="1">
      <c r="A1336" s="25">
        <f>'VIX HISTORIQUE'!A1339</f>
        <v>45204.66667</v>
      </c>
      <c r="B1336" s="22">
        <f>'VIX HISTORIQUE'!B1339</f>
        <v>4258.19</v>
      </c>
      <c r="C1336" s="22">
        <f>'VIX HISTORIQUE'!D1339</f>
        <v>18.49</v>
      </c>
      <c r="D1336" s="22">
        <f>'VIX HISTORIQUE'!G1339</f>
        <v>19.5</v>
      </c>
      <c r="E1336" s="22">
        <f>'VIX HISTORIQUE'!I1339</f>
        <v>21.14</v>
      </c>
      <c r="F1336" s="22">
        <f>'VIX HISTORIQUE'!K1339</f>
        <v>22.76</v>
      </c>
    </row>
    <row r="1337" ht="15.75" customHeight="1">
      <c r="A1337" s="25">
        <f>'VIX HISTORIQUE'!A1340</f>
        <v>45205.66667</v>
      </c>
      <c r="B1337" s="22">
        <f>'VIX HISTORIQUE'!B1340</f>
        <v>4308.5</v>
      </c>
      <c r="C1337" s="22">
        <f>'VIX HISTORIQUE'!D1340</f>
        <v>17.45</v>
      </c>
      <c r="D1337" s="22">
        <f>'VIX HISTORIQUE'!G1340</f>
        <v>18.73</v>
      </c>
      <c r="E1337" s="22">
        <f>'VIX HISTORIQUE'!I1340</f>
        <v>20.49</v>
      </c>
      <c r="F1337" s="22">
        <f>'VIX HISTORIQUE'!K1340</f>
        <v>22.25</v>
      </c>
    </row>
    <row r="1338" ht="15.75" customHeight="1">
      <c r="A1338" s="25">
        <f>'VIX HISTORIQUE'!A1341</f>
        <v>45208.66667</v>
      </c>
      <c r="B1338" s="22">
        <f>'VIX HISTORIQUE'!B1341</f>
        <v>4335.66</v>
      </c>
      <c r="C1338" s="22">
        <f>'VIX HISTORIQUE'!D1341</f>
        <v>17.7</v>
      </c>
      <c r="D1338" s="22">
        <f>'VIX HISTORIQUE'!G1341</f>
        <v>18.81</v>
      </c>
      <c r="E1338" s="22">
        <f>'VIX HISTORIQUE'!I1341</f>
        <v>20.56</v>
      </c>
      <c r="F1338" s="22">
        <f>'VIX HISTORIQUE'!K1341</f>
        <v>22.42</v>
      </c>
    </row>
    <row r="1339" ht="15.75" customHeight="1">
      <c r="A1339" s="25">
        <f>'VIX HISTORIQUE'!A1342</f>
        <v>45209.66667</v>
      </c>
      <c r="B1339" s="22">
        <f>'VIX HISTORIQUE'!B1342</f>
        <v>4358.24</v>
      </c>
      <c r="C1339" s="22">
        <f>'VIX HISTORIQUE'!D1342</f>
        <v>17.03</v>
      </c>
      <c r="D1339" s="22">
        <f>'VIX HISTORIQUE'!G1342</f>
        <v>18.27</v>
      </c>
      <c r="E1339" s="22">
        <f>'VIX HISTORIQUE'!I1342</f>
        <v>20.13</v>
      </c>
      <c r="F1339" s="22">
        <f>'VIX HISTORIQUE'!K1342</f>
        <v>22.18</v>
      </c>
    </row>
    <row r="1340" ht="15.75" customHeight="1">
      <c r="A1340" s="25">
        <f>'VIX HISTORIQUE'!A1343</f>
        <v>45210.66667</v>
      </c>
      <c r="B1340" s="22">
        <f>'VIX HISTORIQUE'!B1343</f>
        <v>4376.95</v>
      </c>
      <c r="C1340" s="22">
        <f>'VIX HISTORIQUE'!D1343</f>
        <v>16.09</v>
      </c>
      <c r="D1340" s="22">
        <f>'VIX HISTORIQUE'!G1343</f>
        <v>17.63</v>
      </c>
      <c r="E1340" s="22">
        <f>'VIX HISTORIQUE'!I1343</f>
        <v>19.63</v>
      </c>
      <c r="F1340" s="22">
        <f>'VIX HISTORIQUE'!K1343</f>
        <v>21.86</v>
      </c>
    </row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>
      <c r="A1349" s="25">
        <f>'VIX HISTORIQUE'!A1344</f>
        <v>45211.66667</v>
      </c>
      <c r="B1349" s="22">
        <f>'VIX HISTORIQUE'!B1344</f>
        <v>4349.61</v>
      </c>
      <c r="C1349" s="22">
        <f>'VIX HISTORIQUE'!D1344</f>
        <v>16.69</v>
      </c>
      <c r="D1349" s="22">
        <f>'VIX HISTORIQUE'!G1344</f>
        <v>18.09</v>
      </c>
      <c r="E1349" s="22">
        <f>'VIX HISTORIQUE'!I1344</f>
        <v>19.98</v>
      </c>
      <c r="F1349" s="22">
        <f>'VIX HISTORIQUE'!K1344</f>
        <v>22.08</v>
      </c>
    </row>
    <row r="1350" ht="15.75" customHeight="1">
      <c r="A1350" s="25">
        <f>'VIX HISTORIQUE'!A1345</f>
        <v>45212.66667</v>
      </c>
      <c r="B1350" s="22">
        <f>'VIX HISTORIQUE'!B1345</f>
        <v>4327.78</v>
      </c>
      <c r="C1350" s="22">
        <f>'VIX HISTORIQUE'!D1345</f>
        <v>19.32</v>
      </c>
      <c r="D1350" s="22">
        <f>'VIX HISTORIQUE'!G1345</f>
        <v>20.57</v>
      </c>
      <c r="E1350" s="22">
        <f>'VIX HISTORIQUE'!I1345</f>
        <v>21.81</v>
      </c>
      <c r="F1350" s="22">
        <f>'VIX HISTORIQUE'!K1345</f>
        <v>23.25</v>
      </c>
    </row>
    <row r="1351" ht="15.75" customHeight="1">
      <c r="A1351" s="25">
        <f>'VIX HISTORIQUE'!A1346</f>
        <v>45215.66667</v>
      </c>
      <c r="B1351" s="22">
        <f>'VIX HISTORIQUE'!B1346</f>
        <v>4373.63</v>
      </c>
      <c r="C1351" s="22">
        <f>'VIX HISTORIQUE'!D1346</f>
        <v>17.21</v>
      </c>
      <c r="D1351" s="22">
        <f>'VIX HISTORIQUE'!G1346</f>
        <v>18.79</v>
      </c>
      <c r="E1351" s="22">
        <f>'VIX HISTORIQUE'!I1346</f>
        <v>20.64</v>
      </c>
      <c r="F1351" s="22">
        <f>'VIX HISTORIQUE'!K1346</f>
        <v>22.62</v>
      </c>
    </row>
    <row r="1352" ht="15.75" customHeight="1">
      <c r="A1352" s="25">
        <f>'VIX HISTORIQUE'!A1347</f>
        <v>45216.66667</v>
      </c>
      <c r="B1352" s="22">
        <f>'VIX HISTORIQUE'!B1347</f>
        <v>4373.2</v>
      </c>
      <c r="C1352" s="22">
        <f>'VIX HISTORIQUE'!D1347</f>
        <v>17.88</v>
      </c>
      <c r="D1352" s="22">
        <f>'VIX HISTORIQUE'!G1347</f>
        <v>19.26</v>
      </c>
      <c r="E1352" s="22">
        <f>'VIX HISTORIQUE'!I1347</f>
        <v>21.06</v>
      </c>
      <c r="F1352" s="22">
        <f>'VIX HISTORIQUE'!K1347</f>
        <v>22.93</v>
      </c>
    </row>
    <row r="1353" ht="15.75" customHeight="1">
      <c r="A1353" s="25">
        <f>'VIX HISTORIQUE'!A1348</f>
        <v>45217.66667</v>
      </c>
      <c r="B1353" s="22">
        <f>'VIX HISTORIQUE'!B1348</f>
        <v>4314.6</v>
      </c>
      <c r="C1353" s="22">
        <f>'VIX HISTORIQUE'!D1348</f>
        <v>19.22</v>
      </c>
      <c r="D1353" s="22">
        <f>'VIX HISTORIQUE'!G1348</f>
        <v>20.47</v>
      </c>
      <c r="E1353" s="22">
        <f>'VIX HISTORIQUE'!I1348</f>
        <v>21.96</v>
      </c>
      <c r="F1353" s="22">
        <f>'VIX HISTORIQUE'!K1348</f>
        <v>23.55</v>
      </c>
    </row>
    <row r="1354" ht="15.75" customHeight="1">
      <c r="A1354" s="25">
        <f>'VIX HISTORIQUE'!A1349</f>
        <v>45218.66667</v>
      </c>
      <c r="B1354" s="22">
        <f>'VIX HISTORIQUE'!B1349</f>
        <v>4278</v>
      </c>
      <c r="C1354" s="22">
        <f>'VIX HISTORIQUE'!D1349</f>
        <v>21.4</v>
      </c>
      <c r="D1354" s="22">
        <f>'VIX HISTORIQUE'!G1349</f>
        <v>22.19</v>
      </c>
      <c r="E1354" s="22">
        <f>'VIX HISTORIQUE'!I1349</f>
        <v>23.21</v>
      </c>
      <c r="F1354" s="22">
        <f>'VIX HISTORIQUE'!K1349</f>
        <v>24.39</v>
      </c>
    </row>
    <row r="1355" ht="15.75" customHeight="1">
      <c r="A1355" s="25">
        <f>'VIX HISTORIQUE'!A1350</f>
        <v>45219.66667</v>
      </c>
      <c r="B1355" s="22">
        <f>'VIX HISTORIQUE'!B1350</f>
        <v>4224.16</v>
      </c>
      <c r="C1355" s="22">
        <f>'VIX HISTORIQUE'!D1350</f>
        <v>21.71</v>
      </c>
      <c r="D1355" s="22">
        <f>'VIX HISTORIQUE'!G1350</f>
        <v>22.44</v>
      </c>
      <c r="E1355" s="22">
        <f>'VIX HISTORIQUE'!I1350</f>
        <v>23.6</v>
      </c>
      <c r="F1355" s="22">
        <f>'VIX HISTORIQUE'!K1350</f>
        <v>24.61</v>
      </c>
    </row>
    <row r="1356" ht="15.75" customHeight="1">
      <c r="A1356" s="25">
        <f>'VIX HISTORIQUE'!A1351</f>
        <v>45222.66667</v>
      </c>
      <c r="B1356" s="22">
        <f>'VIX HISTORIQUE'!B1351</f>
        <v>4217.04</v>
      </c>
      <c r="C1356" s="22">
        <f>'VIX HISTORIQUE'!D1351</f>
        <v>20.37</v>
      </c>
      <c r="D1356" s="22">
        <f>'VIX HISTORIQUE'!G1351</f>
        <v>21.33</v>
      </c>
      <c r="E1356" s="22">
        <f>'VIX HISTORIQUE'!I1351</f>
        <v>22.67</v>
      </c>
      <c r="F1356" s="22">
        <f>'VIX HISTORIQUE'!K1351</f>
        <v>24.03</v>
      </c>
    </row>
    <row r="1357" ht="15.75" customHeight="1">
      <c r="A1357" s="25">
        <f>'VIX HISTORIQUE'!A1352</f>
        <v>45223.66667</v>
      </c>
      <c r="B1357" s="22">
        <f>'VIX HISTORIQUE'!B1352</f>
        <v>4247.68</v>
      </c>
      <c r="C1357" s="22">
        <f>'VIX HISTORIQUE'!D1352</f>
        <v>18.97</v>
      </c>
      <c r="D1357" s="22">
        <f>'VIX HISTORIQUE'!G1352</f>
        <v>20.21</v>
      </c>
      <c r="E1357" s="22">
        <f>'VIX HISTORIQUE'!I1352</f>
        <v>21.85</v>
      </c>
      <c r="F1357" s="22">
        <f>'VIX HISTORIQUE'!K1352</f>
        <v>23.47</v>
      </c>
    </row>
    <row r="1358" ht="15.75" customHeight="1">
      <c r="A1358" s="25">
        <f>'VIX HISTORIQUE'!A1353</f>
        <v>45224.66667</v>
      </c>
      <c r="B1358" s="22">
        <f>'VIX HISTORIQUE'!B1353</f>
        <v>4186.77</v>
      </c>
      <c r="C1358" s="22">
        <f>'VIX HISTORIQUE'!D1353</f>
        <v>20.19</v>
      </c>
      <c r="D1358" s="22">
        <f>'VIX HISTORIQUE'!G1353</f>
        <v>21.33</v>
      </c>
      <c r="E1358" s="22">
        <f>'VIX HISTORIQUE'!I1353</f>
        <v>22.69</v>
      </c>
      <c r="F1358" s="22">
        <f>'VIX HISTORIQUE'!K1353</f>
        <v>24.04</v>
      </c>
    </row>
    <row r="1359" ht="15.75" customHeight="1">
      <c r="A1359" s="25">
        <f>'VIX HISTORIQUE'!A1354</f>
        <v>45225.66667</v>
      </c>
      <c r="B1359" s="22">
        <f>'VIX HISTORIQUE'!B1354</f>
        <v>4137.23</v>
      </c>
      <c r="C1359" s="22">
        <f>'VIX HISTORIQUE'!D1354</f>
        <v>20.68</v>
      </c>
      <c r="D1359" s="22">
        <f>'VIX HISTORIQUE'!G1354</f>
        <v>21.57</v>
      </c>
      <c r="E1359" s="22">
        <f>'VIX HISTORIQUE'!I1354</f>
        <v>23.02</v>
      </c>
      <c r="F1359" s="22">
        <f>'VIX HISTORIQUE'!K1354</f>
        <v>24.31</v>
      </c>
    </row>
    <row r="1360" ht="15.75" customHeight="1">
      <c r="A1360" s="25">
        <f>'VIX HISTORIQUE'!A1355</f>
        <v>45226.66667</v>
      </c>
      <c r="B1360" s="22">
        <f>'VIX HISTORIQUE'!B1355</f>
        <v>4117.37</v>
      </c>
      <c r="C1360" s="22">
        <f>'VIX HISTORIQUE'!D1355</f>
        <v>21.27</v>
      </c>
      <c r="D1360" s="22">
        <f>'VIX HISTORIQUE'!G1355</f>
        <v>22.27</v>
      </c>
      <c r="E1360" s="22">
        <f>'VIX HISTORIQUE'!I1355</f>
        <v>23.65</v>
      </c>
      <c r="F1360" s="22">
        <f>'VIX HISTORIQUE'!K1355</f>
        <v>24.48</v>
      </c>
    </row>
    <row r="1361" ht="15.75" customHeight="1">
      <c r="A1361" s="25">
        <f>'VIX HISTORIQUE'!A1356</f>
        <v>45229.66667</v>
      </c>
      <c r="B1361" s="22">
        <f>'VIX HISTORIQUE'!B1356</f>
        <v>4166.82</v>
      </c>
      <c r="C1361" s="22">
        <f>'VIX HISTORIQUE'!D1356</f>
        <v>19.75</v>
      </c>
      <c r="D1361" s="22">
        <f>'VIX HISTORIQUE'!G1356</f>
        <v>20.8</v>
      </c>
      <c r="E1361" s="22">
        <f>'VIX HISTORIQUE'!I1356</f>
        <v>22.46</v>
      </c>
      <c r="F1361" s="22">
        <f>'VIX HISTORIQUE'!K1356</f>
        <v>23.71</v>
      </c>
    </row>
    <row r="1362" ht="15.75" customHeight="1">
      <c r="A1362" s="25">
        <f>'VIX HISTORIQUE'!A1357</f>
        <v>45230.66667</v>
      </c>
      <c r="B1362" s="22">
        <f>'VIX HISTORIQUE'!B1357</f>
        <v>4193.8</v>
      </c>
      <c r="C1362" s="22">
        <f>'VIX HISTORIQUE'!D1357</f>
        <v>18.14</v>
      </c>
      <c r="D1362" s="22">
        <f>'VIX HISTORIQUE'!G1357</f>
        <v>19.49</v>
      </c>
      <c r="E1362" s="22">
        <f>'VIX HISTORIQUE'!I1357</f>
        <v>21.34</v>
      </c>
      <c r="F1362" s="22">
        <f>'VIX HISTORIQUE'!K1357</f>
        <v>23.03</v>
      </c>
    </row>
    <row r="1363" ht="15.75" customHeight="1">
      <c r="A1363" s="25">
        <f>'VIX HISTORIQUE'!A1358</f>
        <v>45231.66667</v>
      </c>
      <c r="B1363" s="22">
        <f>'VIX HISTORIQUE'!B1358</f>
        <v>4237.86</v>
      </c>
      <c r="C1363" s="22">
        <f>'VIX HISTORIQUE'!D1358</f>
        <v>16.87</v>
      </c>
      <c r="D1363" s="22">
        <f>'VIX HISTORIQUE'!G1358</f>
        <v>18.55</v>
      </c>
      <c r="E1363" s="22">
        <f>'VIX HISTORIQUE'!I1358</f>
        <v>20.43</v>
      </c>
      <c r="F1363" s="22">
        <f>'VIX HISTORIQUE'!K1358</f>
        <v>22.36</v>
      </c>
    </row>
    <row r="1364" ht="15.75" customHeight="1">
      <c r="A1364" s="25">
        <f>'VIX HISTORIQUE'!A1359</f>
        <v>45232.66667</v>
      </c>
      <c r="B1364" s="22">
        <f>'VIX HISTORIQUE'!B1359</f>
        <v>4317.78</v>
      </c>
      <c r="C1364" s="22">
        <f>'VIX HISTORIQUE'!D1359</f>
        <v>15.66</v>
      </c>
      <c r="D1364" s="22">
        <f>'VIX HISTORIQUE'!G1359</f>
        <v>17.8</v>
      </c>
      <c r="E1364" s="22">
        <f>'VIX HISTORIQUE'!I1359</f>
        <v>19.82</v>
      </c>
      <c r="F1364" s="22">
        <f>'VIX HISTORIQUE'!K1359</f>
        <v>21.93</v>
      </c>
    </row>
    <row r="1365" ht="15.75" customHeight="1">
      <c r="A1365" s="25">
        <f>'VIX HISTORIQUE'!A1360</f>
        <v>45233.66667</v>
      </c>
      <c r="B1365" s="22">
        <f>'VIX HISTORIQUE'!B1360</f>
        <v>4358.34</v>
      </c>
      <c r="C1365" s="22">
        <f>'VIX HISTORIQUE'!D1360</f>
        <v>14.91</v>
      </c>
      <c r="D1365" s="22">
        <f>'VIX HISTORIQUE'!G1360</f>
        <v>17.22</v>
      </c>
      <c r="E1365" s="22">
        <f>'VIX HISTORIQUE'!I1360</f>
        <v>19.36</v>
      </c>
      <c r="F1365" s="22">
        <f>'VIX HISTORIQUE'!K1360</f>
        <v>21.58</v>
      </c>
    </row>
    <row r="1366" ht="15.75" customHeight="1">
      <c r="A1366" s="25">
        <f>'VIX HISTORIQUE'!A1361</f>
        <v>45236.66667</v>
      </c>
      <c r="B1366" s="22">
        <f>'VIX HISTORIQUE'!B1361</f>
        <v>4365.98</v>
      </c>
      <c r="C1366" s="22">
        <f>'VIX HISTORIQUE'!D1361</f>
        <v>14.89</v>
      </c>
      <c r="D1366" s="22">
        <f>'VIX HISTORIQUE'!G1361</f>
        <v>17.03</v>
      </c>
      <c r="E1366" s="22">
        <f>'VIX HISTORIQUE'!I1361</f>
        <v>19.13</v>
      </c>
      <c r="F1366" s="22">
        <f>'VIX HISTORIQUE'!K1361</f>
        <v>21.44</v>
      </c>
    </row>
    <row r="1367" ht="15.75" customHeight="1">
      <c r="A1367" s="25">
        <f>'VIX HISTORIQUE'!A1362</f>
        <v>45237.66667</v>
      </c>
      <c r="B1367" s="22">
        <f>'VIX HISTORIQUE'!B1362</f>
        <v>4378.38</v>
      </c>
      <c r="C1367" s="22">
        <f>'VIX HISTORIQUE'!D1362</f>
        <v>14.81</v>
      </c>
      <c r="D1367" s="22">
        <f>'VIX HISTORIQUE'!G1362</f>
        <v>16.92</v>
      </c>
      <c r="E1367" s="22">
        <f>'VIX HISTORIQUE'!I1362</f>
        <v>19.18</v>
      </c>
      <c r="F1367" s="22">
        <f>'VIX HISTORIQUE'!K1362</f>
        <v>21.44</v>
      </c>
    </row>
    <row r="1368" ht="15.75" customHeight="1">
      <c r="A1368" s="25">
        <f>'VIX HISTORIQUE'!A1363</f>
        <v>45238.66667</v>
      </c>
      <c r="B1368" s="22">
        <f>'VIX HISTORIQUE'!B1363</f>
        <v>4382.78</v>
      </c>
      <c r="C1368" s="22">
        <f>'VIX HISTORIQUE'!D1363</f>
        <v>14.45</v>
      </c>
      <c r="D1368" s="22">
        <f>'VIX HISTORIQUE'!G1363</f>
        <v>16.64</v>
      </c>
      <c r="E1368" s="22">
        <f>'VIX HISTORIQUE'!I1363</f>
        <v>18.89</v>
      </c>
      <c r="F1368" s="22">
        <f>'VIX HISTORIQUE'!K1363</f>
        <v>21.21</v>
      </c>
    </row>
    <row r="1369" ht="15.75" customHeight="1">
      <c r="A1369" s="25">
        <f>'VIX HISTORIQUE'!A1364</f>
        <v>45239.66667</v>
      </c>
      <c r="B1369" s="22">
        <f>'VIX HISTORIQUE'!B1364</f>
        <v>4347.35</v>
      </c>
      <c r="C1369" s="22">
        <f>'VIX HISTORIQUE'!D1364</f>
        <v>15.29</v>
      </c>
      <c r="D1369" s="22">
        <f>'VIX HISTORIQUE'!G1364</f>
        <v>17.3</v>
      </c>
      <c r="E1369" s="22">
        <f>'VIX HISTORIQUE'!I1364</f>
        <v>19.37</v>
      </c>
      <c r="F1369" s="22">
        <f>'VIX HISTORIQUE'!K1364</f>
        <v>21.55</v>
      </c>
    </row>
    <row r="1370" ht="15.75" customHeight="1">
      <c r="A1370" s="25">
        <f>'VIX HISTORIQUE'!A1365</f>
        <v>45240.66667</v>
      </c>
      <c r="B1370" s="22">
        <f>'VIX HISTORIQUE'!B1365</f>
        <v>4415.24</v>
      </c>
      <c r="C1370" s="22">
        <f>'VIX HISTORIQUE'!D1365</f>
        <v>14.17</v>
      </c>
      <c r="D1370" s="22">
        <f>'VIX HISTORIQUE'!G1365</f>
        <v>16.52</v>
      </c>
      <c r="E1370" s="22">
        <f>'VIX HISTORIQUE'!I1365</f>
        <v>18.69</v>
      </c>
      <c r="F1370" s="22">
        <f>'VIX HISTORIQUE'!K1365</f>
        <v>21</v>
      </c>
    </row>
    <row r="1371" ht="15.75" customHeight="1">
      <c r="A1371" s="25">
        <f>'VIX HISTORIQUE'!A1366</f>
        <v>45243.66667</v>
      </c>
      <c r="B1371" s="22">
        <f>'VIX HISTORIQUE'!B1366</f>
        <v>4411.55</v>
      </c>
      <c r="C1371" s="22">
        <f>'VIX HISTORIQUE'!D1366</f>
        <v>14.76</v>
      </c>
      <c r="D1371" s="22">
        <f>'VIX HISTORIQUE'!G1366</f>
        <v>16.61</v>
      </c>
      <c r="E1371" s="22">
        <f>'VIX HISTORIQUE'!I1366</f>
        <v>18.82</v>
      </c>
      <c r="F1371" s="22">
        <f>'VIX HISTORIQUE'!K1366</f>
        <v>21.07</v>
      </c>
    </row>
    <row r="1372" ht="15.75" customHeight="1">
      <c r="A1372" s="25">
        <f>'VIX HISTORIQUE'!A1367</f>
        <v>45244.66667</v>
      </c>
      <c r="B1372" s="22">
        <f>'VIX HISTORIQUE'!B1367</f>
        <v>4495.7</v>
      </c>
      <c r="C1372" s="22">
        <f>'VIX HISTORIQUE'!D1367</f>
        <v>14.16</v>
      </c>
      <c r="D1372" s="22">
        <f>'VIX HISTORIQUE'!G1367</f>
        <v>16.29</v>
      </c>
      <c r="E1372" s="22">
        <f>'VIX HISTORIQUE'!I1367</f>
        <v>18.51</v>
      </c>
      <c r="F1372" s="22">
        <f>'VIX HISTORIQUE'!K1367</f>
        <v>20.82</v>
      </c>
    </row>
    <row r="1373" ht="15.75" customHeight="1">
      <c r="A1373" s="25">
        <f>'VIX HISTORIQUE'!A1368</f>
        <v>45245.66667</v>
      </c>
      <c r="B1373" s="22">
        <f>'VIX HISTORIQUE'!B1368</f>
        <v>4502.88</v>
      </c>
      <c r="C1373" s="22">
        <f>'VIX HISTORIQUE'!D1368</f>
        <v>14.18</v>
      </c>
      <c r="D1373" s="22">
        <f>'VIX HISTORIQUE'!G1368</f>
        <v>16.28</v>
      </c>
      <c r="E1373" s="22">
        <f>'VIX HISTORIQUE'!I1368</f>
        <v>18.58</v>
      </c>
      <c r="F1373" s="22">
        <f>'VIX HISTORIQUE'!K1368</f>
        <v>20.96</v>
      </c>
    </row>
    <row r="1374" ht="15.75" customHeight="1">
      <c r="A1374" s="25">
        <f>'VIX HISTORIQUE'!A1369</f>
        <v>45246.66667</v>
      </c>
      <c r="B1374" s="22">
        <f>'VIX HISTORIQUE'!B1369</f>
        <v>4508.24</v>
      </c>
      <c r="C1374" s="22">
        <f>'VIX HISTORIQUE'!D1369</f>
        <v>14.32</v>
      </c>
      <c r="D1374" s="22">
        <f>'VIX HISTORIQUE'!G1369</f>
        <v>16.14</v>
      </c>
      <c r="E1374" s="22">
        <f>'VIX HISTORIQUE'!I1369</f>
        <v>18.46</v>
      </c>
      <c r="F1374" s="22">
        <f>'VIX HISTORIQUE'!K1369</f>
        <v>20.83</v>
      </c>
    </row>
    <row r="1375" ht="15.75" customHeight="1">
      <c r="A1375" s="25">
        <f>'VIX HISTORIQUE'!A1370</f>
        <v>45247.66667</v>
      </c>
      <c r="B1375" s="22">
        <f>'VIX HISTORIQUE'!B1370</f>
        <v>4514.02</v>
      </c>
      <c r="C1375" s="22">
        <f>'VIX HISTORIQUE'!D1370</f>
        <v>13.8</v>
      </c>
      <c r="D1375" s="22">
        <f>'VIX HISTORIQUE'!G1370</f>
        <v>15.85</v>
      </c>
      <c r="E1375" s="22">
        <f>'VIX HISTORIQUE'!I1370</f>
        <v>18.31</v>
      </c>
      <c r="F1375" s="22">
        <f>'VIX HISTORIQUE'!K1370</f>
        <v>20.73</v>
      </c>
    </row>
    <row r="1376" ht="15.75" customHeight="1">
      <c r="A1376" s="25">
        <f>'VIX HISTORIQUE'!A1371</f>
        <v>45250.66667</v>
      </c>
      <c r="B1376" s="22">
        <f>'VIX HISTORIQUE'!B1371</f>
        <v>4547.38</v>
      </c>
      <c r="C1376" s="22">
        <f>'VIX HISTORIQUE'!D1371</f>
        <v>13.41</v>
      </c>
      <c r="D1376" s="22">
        <f>'VIX HISTORIQUE'!G1371</f>
        <v>15.69</v>
      </c>
      <c r="E1376" s="22">
        <f>'VIX HISTORIQUE'!I1371</f>
        <v>18.21</v>
      </c>
      <c r="F1376" s="22">
        <f>'VIX HISTORIQUE'!K1371</f>
        <v>20.6</v>
      </c>
    </row>
    <row r="1377" ht="15.75" customHeight="1">
      <c r="A1377" s="25">
        <f>'VIX HISTORIQUE'!A1372</f>
        <v>45251.66667</v>
      </c>
      <c r="B1377" s="22">
        <f>'VIX HISTORIQUE'!B1372</f>
        <v>4538.19</v>
      </c>
      <c r="C1377" s="22">
        <f>'VIX HISTORIQUE'!D1372</f>
        <v>13.35</v>
      </c>
      <c r="D1377" s="22">
        <f>'VIX HISTORIQUE'!G1372</f>
        <v>15.5</v>
      </c>
      <c r="E1377" s="22">
        <f>'VIX HISTORIQUE'!I1372</f>
        <v>18.03</v>
      </c>
      <c r="F1377" s="22">
        <f>'VIX HISTORIQUE'!K1372</f>
        <v>20.52</v>
      </c>
    </row>
    <row r="1378" ht="15.75" customHeight="1">
      <c r="A1378" s="25">
        <f>'VIX HISTORIQUE'!A1373</f>
        <v>45252.66667</v>
      </c>
      <c r="B1378" s="22">
        <f>'VIX HISTORIQUE'!B1373</f>
        <v>4556.62</v>
      </c>
      <c r="C1378" s="22">
        <f>'VIX HISTORIQUE'!D1373</f>
        <v>12.85</v>
      </c>
      <c r="D1378" s="22">
        <f>'VIX HISTORIQUE'!G1373</f>
        <v>15.48</v>
      </c>
      <c r="E1378" s="22">
        <f>'VIX HISTORIQUE'!I1373</f>
        <v>18.05</v>
      </c>
      <c r="F1378" s="22">
        <f>'VIX HISTORIQUE'!K1373</f>
        <v>20.45</v>
      </c>
    </row>
    <row r="1379" ht="15.75" customHeight="1">
      <c r="A1379" s="25">
        <f>'VIX HISTORIQUE'!A1374</f>
        <v>45254.54167</v>
      </c>
      <c r="B1379" s="22">
        <f>'VIX HISTORIQUE'!B1374</f>
        <v>4559.34</v>
      </c>
      <c r="C1379" s="22">
        <f>'VIX HISTORIQUE'!D1374</f>
        <v>12.46</v>
      </c>
      <c r="D1379" s="22">
        <f>'VIX HISTORIQUE'!G1374</f>
        <v>15.12</v>
      </c>
      <c r="E1379" s="22">
        <f>'VIX HISTORIQUE'!I1374</f>
        <v>17.81</v>
      </c>
      <c r="F1379" s="22">
        <f>'VIX HISTORIQUE'!K1374</f>
        <v>20.36</v>
      </c>
    </row>
    <row r="1380" ht="15.75" customHeight="1">
      <c r="A1380" s="25">
        <f>'VIX HISTORIQUE'!A1375</f>
        <v>45257.66667</v>
      </c>
      <c r="B1380" s="22">
        <f>'VIX HISTORIQUE'!B1375</f>
        <v>4550.43</v>
      </c>
      <c r="C1380" s="22">
        <f>'VIX HISTORIQUE'!D1375</f>
        <v>12.69</v>
      </c>
      <c r="D1380" s="22">
        <f>'VIX HISTORIQUE'!G1375</f>
        <v>15.34</v>
      </c>
      <c r="E1380" s="22">
        <f>'VIX HISTORIQUE'!I1375</f>
        <v>17.89</v>
      </c>
      <c r="F1380" s="22">
        <f>'VIX HISTORIQUE'!K1375</f>
        <v>20.38</v>
      </c>
    </row>
    <row r="1381" ht="15.75" customHeight="1">
      <c r="A1381" s="25">
        <f>'VIX HISTORIQUE'!A1376</f>
        <v>45258.66667</v>
      </c>
      <c r="B1381" s="22">
        <f>'VIX HISTORIQUE'!B1376</f>
        <v>4554.89</v>
      </c>
      <c r="C1381" s="22">
        <f>'VIX HISTORIQUE'!D1376</f>
        <v>12.69</v>
      </c>
      <c r="D1381" s="22">
        <f>'VIX HISTORIQUE'!G1376</f>
        <v>15.24</v>
      </c>
      <c r="E1381" s="22">
        <f>'VIX HISTORIQUE'!I1376</f>
        <v>17.81</v>
      </c>
      <c r="F1381" s="22">
        <f>'VIX HISTORIQUE'!K1376</f>
        <v>20.33</v>
      </c>
    </row>
    <row r="1382" ht="15.75" customHeight="1">
      <c r="A1382" s="25">
        <f>'VIX HISTORIQUE'!A1377</f>
        <v>45259.66667</v>
      </c>
      <c r="B1382" s="22">
        <f>'VIX HISTORIQUE'!B1377</f>
        <v>4550.58</v>
      </c>
      <c r="C1382" s="22">
        <f>'VIX HISTORIQUE'!D1377</f>
        <v>12.98</v>
      </c>
      <c r="D1382" s="22">
        <f>'VIX HISTORIQUE'!G1377</f>
        <v>15.51</v>
      </c>
      <c r="E1382" s="22">
        <f>'VIX HISTORIQUE'!I1377</f>
        <v>18.03</v>
      </c>
      <c r="F1382" s="22">
        <f>'VIX HISTORIQUE'!K1377</f>
        <v>20.5</v>
      </c>
    </row>
    <row r="1383" ht="15.75" customHeight="1">
      <c r="A1383" s="25">
        <f>'VIX HISTORIQUE'!A1378</f>
        <v>45260.66667</v>
      </c>
      <c r="B1383" s="22">
        <f>'VIX HISTORIQUE'!B1378</f>
        <v>4567.8</v>
      </c>
      <c r="C1383" s="22">
        <f>'VIX HISTORIQUE'!D1378</f>
        <v>12.92</v>
      </c>
      <c r="D1383" s="22">
        <f>'VIX HISTORIQUE'!G1378</f>
        <v>15.44</v>
      </c>
      <c r="E1383" s="22">
        <f>'VIX HISTORIQUE'!I1378</f>
        <v>17.91</v>
      </c>
      <c r="F1383" s="22">
        <f>'VIX HISTORIQUE'!K1378</f>
        <v>20.44</v>
      </c>
    </row>
    <row r="1384" ht="15.75" customHeight="1">
      <c r="A1384" s="25">
        <f>'VIX HISTORIQUE'!A1379</f>
        <v>45261.66667</v>
      </c>
      <c r="B1384" s="22">
        <f>'VIX HISTORIQUE'!B1379</f>
        <v>4594.63</v>
      </c>
      <c r="C1384" s="22">
        <f>'VIX HISTORIQUE'!D1379</f>
        <v>12.63</v>
      </c>
      <c r="D1384" s="22">
        <f>'VIX HISTORIQUE'!G1379</f>
        <v>15.36</v>
      </c>
      <c r="E1384" s="22">
        <f>'VIX HISTORIQUE'!I1379</f>
        <v>17.83</v>
      </c>
      <c r="F1384" s="22">
        <f>'VIX HISTORIQUE'!K1379</f>
        <v>20.39</v>
      </c>
    </row>
    <row r="1385" ht="15.75" customHeight="1">
      <c r="A1385" s="25">
        <f>'VIX HISTORIQUE'!A1380</f>
        <v>45264.66667</v>
      </c>
      <c r="B1385" s="22">
        <f>'VIX HISTORIQUE'!B1380</f>
        <v>4569.78</v>
      </c>
      <c r="C1385" s="22">
        <f>'VIX HISTORIQUE'!D1380</f>
        <v>13.08</v>
      </c>
      <c r="D1385" s="22">
        <f>'VIX HISTORIQUE'!G1380</f>
        <v>15.68</v>
      </c>
      <c r="E1385" s="22">
        <f>'VIX HISTORIQUE'!I1380</f>
        <v>18.12</v>
      </c>
      <c r="F1385" s="22">
        <f>'VIX HISTORIQUE'!K1380</f>
        <v>20.62</v>
      </c>
    </row>
    <row r="1386" ht="15.75" customHeight="1">
      <c r="A1386" s="25">
        <f>'VIX HISTORIQUE'!A1381</f>
        <v>45265.66667</v>
      </c>
      <c r="B1386" s="22">
        <f>'VIX HISTORIQUE'!B1381</f>
        <v>4567.18</v>
      </c>
      <c r="C1386" s="22">
        <f>'VIX HISTORIQUE'!D1381</f>
        <v>12.85</v>
      </c>
      <c r="D1386" s="22">
        <f>'VIX HISTORIQUE'!G1381</f>
        <v>15.57</v>
      </c>
      <c r="E1386" s="22">
        <f>'VIX HISTORIQUE'!I1381</f>
        <v>17.99</v>
      </c>
      <c r="F1386" s="22">
        <f>'VIX HISTORIQUE'!K1381</f>
        <v>20.54</v>
      </c>
    </row>
    <row r="1387" ht="15.75" customHeight="1">
      <c r="A1387" s="25">
        <f>'VIX HISTORIQUE'!A1382</f>
        <v>45266.66667</v>
      </c>
      <c r="B1387" s="22">
        <f>'VIX HISTORIQUE'!B1382</f>
        <v>4549.34</v>
      </c>
      <c r="C1387" s="22">
        <f>'VIX HISTORIQUE'!D1382</f>
        <v>12.97</v>
      </c>
      <c r="D1387" s="22">
        <f>'VIX HISTORIQUE'!G1382</f>
        <v>15.74</v>
      </c>
      <c r="E1387" s="22">
        <f>'VIX HISTORIQUE'!I1382</f>
        <v>18.15</v>
      </c>
      <c r="F1387" s="22">
        <f>'VIX HISTORIQUE'!K1382</f>
        <v>20.6</v>
      </c>
    </row>
    <row r="1388" ht="15.75" customHeight="1">
      <c r="A1388" s="25">
        <f>'VIX HISTORIQUE'!A1383</f>
        <v>45267.66667</v>
      </c>
      <c r="B1388" s="22">
        <f>'VIX HISTORIQUE'!B1383</f>
        <v>4585.59</v>
      </c>
      <c r="C1388" s="22">
        <f>'VIX HISTORIQUE'!D1383</f>
        <v>13.06</v>
      </c>
      <c r="D1388" s="22">
        <f>'VIX HISTORIQUE'!G1383</f>
        <v>15.65</v>
      </c>
      <c r="E1388" s="22">
        <f>'VIX HISTORIQUE'!I1383</f>
        <v>17.95</v>
      </c>
      <c r="F1388" s="22">
        <f>'VIX HISTORIQUE'!K1383</f>
        <v>20.37</v>
      </c>
    </row>
    <row r="1389" ht="15.75" customHeight="1">
      <c r="A1389" s="25">
        <f>'VIX HISTORIQUE'!A1384</f>
        <v>45268.66667</v>
      </c>
      <c r="B1389" s="22">
        <f>'VIX HISTORIQUE'!B1384</f>
        <v>4604.37</v>
      </c>
      <c r="C1389" s="22">
        <f>'VIX HISTORIQUE'!D1384</f>
        <v>12.35</v>
      </c>
      <c r="D1389" s="22">
        <f>'VIX HISTORIQUE'!G1384</f>
        <v>15.16</v>
      </c>
      <c r="E1389" s="22">
        <f>'VIX HISTORIQUE'!I1384</f>
        <v>17.61</v>
      </c>
      <c r="F1389" s="22">
        <f>'VIX HISTORIQUE'!K1384</f>
        <v>20.22</v>
      </c>
    </row>
    <row r="1390" ht="15.75" customHeight="1">
      <c r="A1390" s="25">
        <f>'VIX HISTORIQUE'!A1385</f>
        <v>45271.66667</v>
      </c>
      <c r="B1390" s="22">
        <f>'VIX HISTORIQUE'!B1385</f>
        <v>4622.44</v>
      </c>
      <c r="C1390" s="22">
        <f>'VIX HISTORIQUE'!D1385</f>
        <v>12.63</v>
      </c>
      <c r="D1390" s="22">
        <f>'VIX HISTORIQUE'!G1385</f>
        <v>15.19</v>
      </c>
      <c r="E1390" s="22">
        <f>'VIX HISTORIQUE'!I1385</f>
        <v>17.54</v>
      </c>
      <c r="F1390" s="22">
        <f>'VIX HISTORIQUE'!K1385</f>
        <v>20.14</v>
      </c>
    </row>
    <row r="1391" ht="15.75" customHeight="1">
      <c r="A1391" s="25">
        <f>'VIX HISTORIQUE'!A1386</f>
        <v>45272.66667</v>
      </c>
      <c r="B1391" s="22">
        <f>'VIX HISTORIQUE'!B1386</f>
        <v>4643.7</v>
      </c>
      <c r="C1391" s="22">
        <f>'VIX HISTORIQUE'!D1386</f>
        <v>12.07</v>
      </c>
      <c r="D1391" s="22">
        <f>'VIX HISTORIQUE'!G1386</f>
        <v>14.83</v>
      </c>
      <c r="E1391" s="22">
        <f>'VIX HISTORIQUE'!I1386</f>
        <v>17.2</v>
      </c>
      <c r="F1391" s="22">
        <f>'VIX HISTORIQUE'!K1386</f>
        <v>19.69</v>
      </c>
    </row>
    <row r="1392" ht="15.75" customHeight="1">
      <c r="A1392" s="25">
        <f>'VIX HISTORIQUE'!A1387</f>
        <v>45273.66667</v>
      </c>
      <c r="B1392" s="22">
        <f>'VIX HISTORIQUE'!B1387</f>
        <v>4707.09</v>
      </c>
      <c r="C1392" s="22">
        <f>'VIX HISTORIQUE'!D1387</f>
        <v>12.19</v>
      </c>
      <c r="D1392" s="22">
        <f>'VIX HISTORIQUE'!G1387</f>
        <v>14.66</v>
      </c>
      <c r="E1392" s="22">
        <f>'VIX HISTORIQUE'!I1387</f>
        <v>16.99</v>
      </c>
      <c r="F1392" s="22">
        <f>'VIX HISTORIQUE'!K1387</f>
        <v>19.68</v>
      </c>
    </row>
    <row r="1393" ht="15.75" customHeight="1">
      <c r="A1393" s="25">
        <f>'VIX HISTORIQUE'!A1388</f>
        <v>45274.66667</v>
      </c>
      <c r="B1393" s="22">
        <f>'VIX HISTORIQUE'!B1388</f>
        <v>4719.55</v>
      </c>
      <c r="C1393" s="22">
        <f>'VIX HISTORIQUE'!D1388</f>
        <v>12.48</v>
      </c>
      <c r="D1393" s="22">
        <f>'VIX HISTORIQUE'!G1388</f>
        <v>14.79</v>
      </c>
      <c r="E1393" s="22">
        <f>'VIX HISTORIQUE'!I1388</f>
        <v>16.99</v>
      </c>
      <c r="F1393" s="22">
        <f>'VIX HISTORIQUE'!K1388</f>
        <v>19.48</v>
      </c>
    </row>
    <row r="1394" ht="15.75" customHeight="1">
      <c r="A1394" s="25">
        <f>'VIX HISTORIQUE'!A1389</f>
        <v>45275.66667</v>
      </c>
      <c r="B1394" s="22">
        <f>'VIX HISTORIQUE'!B1389</f>
        <v>4719.19</v>
      </c>
      <c r="C1394" s="22">
        <f>'VIX HISTORIQUE'!D1389</f>
        <v>12.28</v>
      </c>
      <c r="D1394" s="22">
        <f>'VIX HISTORIQUE'!G1389</f>
        <v>15.13</v>
      </c>
      <c r="E1394" s="22">
        <f>'VIX HISTORIQUE'!I1389</f>
        <v>17.32</v>
      </c>
      <c r="F1394" s="22">
        <f>'VIX HISTORIQUE'!K1389</f>
        <v>19.89</v>
      </c>
    </row>
    <row r="1395" ht="15.75" customHeight="1">
      <c r="A1395" s="25">
        <f>'VIX HISTORIQUE'!A1390</f>
        <v>45278.66667</v>
      </c>
      <c r="B1395" s="22">
        <f>'VIX HISTORIQUE'!B1390</f>
        <v>4740.56</v>
      </c>
      <c r="C1395" s="22">
        <f>'VIX HISTORIQUE'!D1390</f>
        <v>12.56</v>
      </c>
      <c r="D1395" s="22">
        <f>'VIX HISTORIQUE'!G1390</f>
        <v>15.47</v>
      </c>
      <c r="E1395" s="22">
        <f>'VIX HISTORIQUE'!I1390</f>
        <v>17.59</v>
      </c>
      <c r="F1395" s="22">
        <f>'VIX HISTORIQUE'!K1390</f>
        <v>20.03</v>
      </c>
    </row>
    <row r="1396" ht="15.75" customHeight="1">
      <c r="A1396" s="25">
        <f>'VIX HISTORIQUE'!A1391</f>
        <v>45279.66667</v>
      </c>
      <c r="B1396" s="22">
        <f>'VIX HISTORIQUE'!B1391</f>
        <v>4768.37</v>
      </c>
      <c r="C1396" s="22">
        <f>'VIX HISTORIQUE'!D1391</f>
        <v>12.53</v>
      </c>
      <c r="D1396" s="22">
        <f>'VIX HISTORIQUE'!G1391</f>
        <v>15.64</v>
      </c>
      <c r="E1396" s="22">
        <f>'VIX HISTORIQUE'!I1391</f>
        <v>17.81</v>
      </c>
      <c r="F1396" s="22">
        <f>'VIX HISTORIQUE'!K1391</f>
        <v>20.24</v>
      </c>
    </row>
    <row r="1397" ht="15.75" customHeight="1">
      <c r="A1397" s="25">
        <f>'VIX HISTORIQUE'!A1392</f>
        <v>45280.66667</v>
      </c>
      <c r="B1397" s="22">
        <f>'VIX HISTORIQUE'!B1392</f>
        <v>4698.35</v>
      </c>
      <c r="C1397" s="22">
        <f>'VIX HISTORIQUE'!D1392</f>
        <v>13.67</v>
      </c>
      <c r="D1397" s="22">
        <f>'VIX HISTORIQUE'!G1392</f>
        <v>16.58</v>
      </c>
      <c r="E1397" s="22">
        <f>'VIX HISTORIQUE'!I1392</f>
        <v>18.64</v>
      </c>
      <c r="F1397" s="22">
        <f>'VIX HISTORIQUE'!K1392</f>
        <v>20.77</v>
      </c>
    </row>
    <row r="1398" ht="15.75" customHeight="1">
      <c r="A1398" s="25">
        <f>'VIX HISTORIQUE'!A1393</f>
        <v>45281.66667</v>
      </c>
      <c r="B1398" s="22">
        <f>'VIX HISTORIQUE'!B1393</f>
        <v>4746.75</v>
      </c>
      <c r="C1398" s="22">
        <f>'VIX HISTORIQUE'!D1393</f>
        <v>13.65</v>
      </c>
      <c r="D1398" s="22">
        <f>'VIX HISTORIQUE'!G1393</f>
        <v>16.3</v>
      </c>
      <c r="E1398" s="22">
        <f>'VIX HISTORIQUE'!I1393</f>
        <v>18.4</v>
      </c>
      <c r="F1398" s="22">
        <f>'VIX HISTORIQUE'!K1393</f>
        <v>20.55</v>
      </c>
    </row>
    <row r="1399" ht="15.75" customHeight="1">
      <c r="A1399" s="25">
        <f>'VIX HISTORIQUE'!A1394</f>
        <v>45282.66667</v>
      </c>
      <c r="B1399" s="22">
        <f>'VIX HISTORIQUE'!B1394</f>
        <v>4754.63</v>
      </c>
      <c r="C1399" s="22">
        <f>'VIX HISTORIQUE'!D1394</f>
        <v>13.03</v>
      </c>
      <c r="D1399" s="22">
        <f>'VIX HISTORIQUE'!G1394</f>
        <v>15.99</v>
      </c>
      <c r="E1399" s="22">
        <f>'VIX HISTORIQUE'!I1394</f>
        <v>18.19</v>
      </c>
      <c r="F1399" s="22">
        <f>'VIX HISTORIQUE'!K1394</f>
        <v>20.72</v>
      </c>
    </row>
    <row r="1400" ht="15.75" customHeight="1">
      <c r="A1400" s="25">
        <f>'VIX HISTORIQUE'!A1395</f>
        <v>45286.66667</v>
      </c>
      <c r="B1400" s="22">
        <f>'VIX HISTORIQUE'!B1395</f>
        <v>4774.75</v>
      </c>
      <c r="C1400" s="22">
        <f>'VIX HISTORIQUE'!D1395</f>
        <v>12.99</v>
      </c>
      <c r="D1400" s="22">
        <f>'VIX HISTORIQUE'!G1395</f>
        <v>15.88</v>
      </c>
      <c r="E1400" s="22">
        <f>'VIX HISTORIQUE'!I1395</f>
        <v>18.06</v>
      </c>
      <c r="F1400" s="22">
        <f>'VIX HISTORIQUE'!K1395</f>
        <v>20.38</v>
      </c>
    </row>
    <row r="1401" ht="15.75" customHeight="1">
      <c r="A1401" s="25">
        <f>'VIX HISTORIQUE'!A1396</f>
        <v>45287.66667</v>
      </c>
      <c r="B1401" s="22">
        <f>'VIX HISTORIQUE'!B1396</f>
        <v>4781.58</v>
      </c>
      <c r="C1401" s="22">
        <f>'VIX HISTORIQUE'!D1396</f>
        <v>12.43</v>
      </c>
      <c r="D1401" s="22">
        <f>'VIX HISTORIQUE'!G1396</f>
        <v>15.27</v>
      </c>
      <c r="E1401" s="22">
        <f>'VIX HISTORIQUE'!I1396</f>
        <v>17.52</v>
      </c>
      <c r="F1401" s="22">
        <f>'VIX HISTORIQUE'!K1396</f>
        <v>20.05</v>
      </c>
    </row>
    <row r="1402" ht="15.75" customHeight="1">
      <c r="A1402" s="25">
        <f>'VIX HISTORIQUE'!A1397</f>
        <v>45288.66667</v>
      </c>
      <c r="B1402" s="22">
        <f>'VIX HISTORIQUE'!B1397</f>
        <v>4783.35</v>
      </c>
      <c r="C1402" s="22">
        <f>'VIX HISTORIQUE'!D1397</f>
        <v>12.47</v>
      </c>
      <c r="D1402" s="22">
        <f>'VIX HISTORIQUE'!G1397</f>
        <v>15.23</v>
      </c>
      <c r="E1402" s="22">
        <f>'VIX HISTORIQUE'!I1397</f>
        <v>17.51</v>
      </c>
      <c r="F1402" s="22">
        <f>'VIX HISTORIQUE'!K1397</f>
        <v>20.04</v>
      </c>
    </row>
    <row r="1403" ht="15.75" customHeight="1">
      <c r="A1403" s="25">
        <f>'VIX HISTORIQUE'!A1398</f>
        <v>45289.66667</v>
      </c>
      <c r="B1403" s="22">
        <f>'VIX HISTORIQUE'!B1398</f>
        <v>4769.83</v>
      </c>
      <c r="C1403" s="22">
        <f>'VIX HISTORIQUE'!D1398</f>
        <v>12.45</v>
      </c>
      <c r="D1403" s="22">
        <f>'VIX HISTORIQUE'!G1398</f>
        <v>15.26</v>
      </c>
      <c r="E1403" s="22">
        <f>'VIX HISTORIQUE'!I1398</f>
        <v>17.53</v>
      </c>
      <c r="F1403" s="22">
        <f>'VIX HISTORIQUE'!K1398</f>
        <v>20.07</v>
      </c>
    </row>
    <row r="1404" ht="15.75" customHeight="1">
      <c r="A1404" s="25">
        <f>'VIX HISTORIQUE'!A1399</f>
        <v>45293.66667</v>
      </c>
      <c r="B1404" s="22">
        <f>'VIX HISTORIQUE'!B1399</f>
        <v>4742.83</v>
      </c>
      <c r="C1404" s="22">
        <f>'VIX HISTORIQUE'!D1399</f>
        <v>13.2</v>
      </c>
      <c r="D1404" s="22">
        <f>'VIX HISTORIQUE'!G1399</f>
        <v>15.48</v>
      </c>
      <c r="E1404" s="22">
        <f>'VIX HISTORIQUE'!I1399</f>
        <v>17.68</v>
      </c>
      <c r="F1404" s="22">
        <f>'VIX HISTORIQUE'!K1399</f>
        <v>20.19</v>
      </c>
    </row>
    <row r="1405" ht="15.75" customHeight="1">
      <c r="A1405" s="25">
        <f>'VIX HISTORIQUE'!A1400</f>
        <v>45294.66667</v>
      </c>
      <c r="B1405" s="22">
        <f>'VIX HISTORIQUE'!B1400</f>
        <v>4704.81</v>
      </c>
      <c r="C1405" s="22">
        <f>'VIX HISTORIQUE'!D1400</f>
        <v>14.04</v>
      </c>
      <c r="D1405" s="22">
        <f>'VIX HISTORIQUE'!G1400</f>
        <v>16.04</v>
      </c>
      <c r="E1405" s="22">
        <f>'VIX HISTORIQUE'!I1400</f>
        <v>18.08</v>
      </c>
      <c r="F1405" s="22">
        <f>'VIX HISTORIQUE'!K1400</f>
        <v>20.51</v>
      </c>
    </row>
    <row r="1406" ht="15.75" customHeight="1">
      <c r="A1406" s="25">
        <f>'VIX HISTORIQUE'!A1401</f>
        <v>45295.66667</v>
      </c>
      <c r="B1406" s="22">
        <f>'VIX HISTORIQUE'!B1401</f>
        <v>4688.68</v>
      </c>
      <c r="C1406" s="22">
        <f>'VIX HISTORIQUE'!D1401</f>
        <v>14.13</v>
      </c>
      <c r="D1406" s="22">
        <f>'VIX HISTORIQUE'!G1401</f>
        <v>16.04</v>
      </c>
      <c r="E1406" s="22">
        <f>'VIX HISTORIQUE'!I1401</f>
        <v>18.02</v>
      </c>
      <c r="F1406" s="22">
        <f>'VIX HISTORIQUE'!K1401</f>
        <v>20.28</v>
      </c>
    </row>
    <row r="1407" ht="15.75" customHeight="1">
      <c r="A1407" s="25">
        <f>'VIX HISTORIQUE'!A1402</f>
        <v>45296.66667</v>
      </c>
      <c r="B1407" s="22">
        <f>'VIX HISTORIQUE'!B1402</f>
        <v>4697.24</v>
      </c>
      <c r="C1407" s="22">
        <f>'VIX HISTORIQUE'!D1402</f>
        <v>13.35</v>
      </c>
      <c r="D1407" s="22">
        <f>'VIX HISTORIQUE'!G1402</f>
        <v>15.51</v>
      </c>
      <c r="E1407" s="22">
        <f>'VIX HISTORIQUE'!I1402</f>
        <v>17.56</v>
      </c>
      <c r="F1407" s="22">
        <f>'VIX HISTORIQUE'!K1402</f>
        <v>20.05</v>
      </c>
    </row>
    <row r="1408" ht="15.75" customHeight="1">
      <c r="A1408" s="25">
        <f>'VIX HISTORIQUE'!A1403</f>
        <v>45299.66667</v>
      </c>
      <c r="B1408" s="22">
        <f>'VIX HISTORIQUE'!B1403</f>
        <v>4763.54</v>
      </c>
      <c r="C1408" s="22">
        <f>'VIX HISTORIQUE'!D1403</f>
        <v>13.08</v>
      </c>
      <c r="D1408" s="22">
        <f>'VIX HISTORIQUE'!G1403</f>
        <v>15.14</v>
      </c>
      <c r="E1408" s="22">
        <f>'VIX HISTORIQUE'!I1403</f>
        <v>17.09</v>
      </c>
      <c r="F1408" s="22">
        <f>'VIX HISTORIQUE'!K1403</f>
        <v>19.61</v>
      </c>
    </row>
    <row r="1409" ht="15.75" customHeight="1">
      <c r="A1409" s="25">
        <f>'VIX HISTORIQUE'!A1404</f>
        <v>45300.66667</v>
      </c>
      <c r="B1409" s="22">
        <f>'VIX HISTORIQUE'!B1404</f>
        <v>4756.5</v>
      </c>
      <c r="C1409" s="22">
        <f>'VIX HISTORIQUE'!D1404</f>
        <v>12.76</v>
      </c>
      <c r="D1409" s="22">
        <f>'VIX HISTORIQUE'!G1404</f>
        <v>14.9</v>
      </c>
      <c r="E1409" s="22">
        <f>'VIX HISTORIQUE'!I1404</f>
        <v>16.96</v>
      </c>
      <c r="F1409" s="22">
        <f>'VIX HISTORIQUE'!K1404</f>
        <v>19.66</v>
      </c>
    </row>
    <row r="1410" ht="15.75" customHeight="1">
      <c r="A1410" s="25">
        <f>'VIX HISTORIQUE'!A1405</f>
        <v>45301.66667</v>
      </c>
      <c r="B1410" s="22">
        <f>'VIX HISTORIQUE'!B1405</f>
        <v>4783.45</v>
      </c>
      <c r="C1410" s="22">
        <f>'VIX HISTORIQUE'!D1405</f>
        <v>12.69</v>
      </c>
      <c r="D1410" s="22">
        <f>'VIX HISTORIQUE'!G1405</f>
        <v>14.73</v>
      </c>
      <c r="E1410" s="22">
        <f>'VIX HISTORIQUE'!I1405</f>
        <v>16.75</v>
      </c>
      <c r="F1410" s="22">
        <f>'VIX HISTORIQUE'!K1405</f>
        <v>19.25</v>
      </c>
    </row>
    <row r="1411" ht="15.75" customHeight="1">
      <c r="A1411" s="25">
        <f>'VIX HISTORIQUE'!A1406</f>
        <v>45302.66667</v>
      </c>
      <c r="B1411" s="22">
        <f>'VIX HISTORIQUE'!B1406</f>
        <v>4780.24</v>
      </c>
      <c r="C1411" s="22">
        <f>'VIX HISTORIQUE'!D1406</f>
        <v>12.44</v>
      </c>
      <c r="D1411" s="22">
        <f>'VIX HISTORIQUE'!G1406</f>
        <v>14.56</v>
      </c>
      <c r="E1411" s="22">
        <f>'VIX HISTORIQUE'!I1406</f>
        <v>16.68</v>
      </c>
      <c r="F1411" s="22">
        <f>'VIX HISTORIQUE'!K1406</f>
        <v>19.17</v>
      </c>
    </row>
    <row r="1412" ht="15.75" customHeight="1">
      <c r="A1412" s="25">
        <f>'VIX HISTORIQUE'!A1407</f>
        <v>45303.66667</v>
      </c>
      <c r="B1412" s="22">
        <f>'VIX HISTORIQUE'!B1407</f>
        <v>4783.83</v>
      </c>
      <c r="C1412" s="22">
        <f>'VIX HISTORIQUE'!D1407</f>
        <v>12.7</v>
      </c>
      <c r="D1412" s="22">
        <f>'VIX HISTORIQUE'!G1407</f>
        <v>14.94</v>
      </c>
      <c r="E1412" s="22">
        <f>'VIX HISTORIQUE'!I1407</f>
        <v>16.85</v>
      </c>
      <c r="F1412" s="22">
        <f>'VIX HISTORIQUE'!K1407</f>
        <v>19.47</v>
      </c>
    </row>
    <row r="1413" ht="15.75" customHeight="1">
      <c r="A1413" s="25">
        <f>'VIX HISTORIQUE'!A1408</f>
        <v>45307.66667</v>
      </c>
      <c r="B1413" s="22">
        <f>'VIX HISTORIQUE'!B1408</f>
        <v>4765.98</v>
      </c>
      <c r="C1413" s="22">
        <f>'VIX HISTORIQUE'!D1408</f>
        <v>13.84</v>
      </c>
      <c r="D1413" s="22">
        <f>'VIX HISTORIQUE'!G1408</f>
        <v>15.74</v>
      </c>
      <c r="E1413" s="22">
        <f>'VIX HISTORIQUE'!I1408</f>
        <v>17.44</v>
      </c>
      <c r="F1413" s="22">
        <f>'VIX HISTORIQUE'!K1408</f>
        <v>19.75</v>
      </c>
    </row>
    <row r="1414" ht="15.75" customHeight="1">
      <c r="A1414" s="25">
        <f>'VIX HISTORIQUE'!A1409</f>
        <v>45308.66667</v>
      </c>
      <c r="B1414" s="22">
        <f>'VIX HISTORIQUE'!B1409</f>
        <v>4739.21</v>
      </c>
      <c r="C1414" s="22">
        <f>'VIX HISTORIQUE'!D1409</f>
        <v>14.79</v>
      </c>
      <c r="D1414" s="22">
        <f>'VIX HISTORIQUE'!G1409</f>
        <v>16.38</v>
      </c>
      <c r="E1414" s="22">
        <f>'VIX HISTORIQUE'!I1409</f>
        <v>17.9</v>
      </c>
      <c r="F1414" s="22">
        <f>'VIX HISTORIQUE'!K1409</f>
        <v>20.03</v>
      </c>
    </row>
    <row r="1415" ht="15.75" customHeight="1">
      <c r="A1415" s="25">
        <f>'VIX HISTORIQUE'!A1410</f>
        <v>45309.66667</v>
      </c>
      <c r="B1415" s="22">
        <f>'VIX HISTORIQUE'!B1410</f>
        <v>4780.94</v>
      </c>
      <c r="C1415" s="22">
        <f>'VIX HISTORIQUE'!D1410</f>
        <v>14.13</v>
      </c>
      <c r="D1415" s="22">
        <f>'VIX HISTORIQUE'!G1410</f>
        <v>15.84</v>
      </c>
      <c r="E1415" s="22">
        <f>'VIX HISTORIQUE'!I1410</f>
        <v>17.45</v>
      </c>
      <c r="F1415" s="22">
        <f>'VIX HISTORIQUE'!K1410</f>
        <v>19.55</v>
      </c>
    </row>
    <row r="1416" ht="15.75" customHeight="1">
      <c r="A1416" s="25">
        <f>'VIX HISTORIQUE'!A1411</f>
        <v>45310.66667</v>
      </c>
      <c r="B1416" s="22">
        <f>'VIX HISTORIQUE'!B1411</f>
        <v>4839.81</v>
      </c>
      <c r="C1416" s="22">
        <f>'VIX HISTORIQUE'!D1411</f>
        <v>13.3</v>
      </c>
      <c r="D1416" s="22">
        <f>'VIX HISTORIQUE'!G1411</f>
        <v>15.26</v>
      </c>
      <c r="E1416" s="22">
        <f>'VIX HISTORIQUE'!I1411</f>
        <v>16.94</v>
      </c>
      <c r="F1416" s="22">
        <f>'VIX HISTORIQUE'!K1411</f>
        <v>19.18</v>
      </c>
    </row>
    <row r="1417" ht="15.75" customHeight="1">
      <c r="A1417" s="25">
        <f>'VIX HISTORIQUE'!A1412</f>
        <v>45313.66667</v>
      </c>
      <c r="B1417" s="22">
        <f>'VIX HISTORIQUE'!B1412</f>
        <v>4850.43</v>
      </c>
      <c r="C1417" s="22">
        <f>'VIX HISTORIQUE'!D1412</f>
        <v>13.19</v>
      </c>
      <c r="D1417" s="22">
        <f>'VIX HISTORIQUE'!G1412</f>
        <v>14.97</v>
      </c>
      <c r="E1417" s="22">
        <f>'VIX HISTORIQUE'!I1412</f>
        <v>16.75</v>
      </c>
      <c r="F1417" s="22">
        <f>'VIX HISTORIQUE'!K1412</f>
        <v>18.94</v>
      </c>
    </row>
    <row r="1418" ht="15.75" customHeight="1">
      <c r="A1418" s="25">
        <f>'VIX HISTORIQUE'!A1413</f>
        <v>45314.66667</v>
      </c>
      <c r="B1418" s="22">
        <f>'VIX HISTORIQUE'!B1413</f>
        <v>4864.6</v>
      </c>
      <c r="C1418" s="22">
        <f>'VIX HISTORIQUE'!D1413</f>
        <v>12.55</v>
      </c>
      <c r="D1418" s="22">
        <f>'VIX HISTORIQUE'!G1413</f>
        <v>14.52</v>
      </c>
      <c r="E1418" s="22">
        <f>'VIX HISTORIQUE'!I1413</f>
        <v>16.36</v>
      </c>
      <c r="F1418" s="22">
        <f>'VIX HISTORIQUE'!K1413</f>
        <v>18.68</v>
      </c>
    </row>
    <row r="1419" ht="15.75" customHeight="1">
      <c r="A1419" s="25">
        <f>'VIX HISTORIQUE'!A1414</f>
        <v>45315.66667</v>
      </c>
      <c r="B1419" s="22">
        <f>'VIX HISTORIQUE'!B1414</f>
        <v>4868.55</v>
      </c>
      <c r="C1419" s="22">
        <f>'VIX HISTORIQUE'!D1414</f>
        <v>13.14</v>
      </c>
      <c r="D1419" s="22">
        <f>'VIX HISTORIQUE'!G1414</f>
        <v>14.97</v>
      </c>
      <c r="E1419" s="22">
        <f>'VIX HISTORIQUE'!I1414</f>
        <v>16.73</v>
      </c>
      <c r="F1419" s="22">
        <f>'VIX HISTORIQUE'!K1414</f>
        <v>18.91</v>
      </c>
    </row>
    <row r="1420" ht="15.75" customHeight="1">
      <c r="A1420" s="25">
        <f>'VIX HISTORIQUE'!A1415</f>
        <v>45316.66667</v>
      </c>
      <c r="B1420" s="22">
        <f>'VIX HISTORIQUE'!B1415</f>
        <v>4894.16</v>
      </c>
      <c r="C1420" s="22">
        <f>'VIX HISTORIQUE'!D1415</f>
        <v>13.45</v>
      </c>
      <c r="D1420" s="22">
        <f>'VIX HISTORIQUE'!G1415</f>
        <v>15.1</v>
      </c>
      <c r="E1420" s="22">
        <f>'VIX HISTORIQUE'!I1415</f>
        <v>16.83</v>
      </c>
      <c r="F1420" s="22">
        <f>'VIX HISTORIQUE'!K1415</f>
        <v>19.19</v>
      </c>
    </row>
    <row r="1421" ht="15.75" customHeight="1">
      <c r="A1421" s="25">
        <f>'VIX HISTORIQUE'!A1416</f>
        <v>45317.66667</v>
      </c>
      <c r="B1421" s="22">
        <f>'VIX HISTORIQUE'!B1416</f>
        <v>4890.97</v>
      </c>
      <c r="C1421" s="22">
        <f>'VIX HISTORIQUE'!D1416</f>
        <v>13.26</v>
      </c>
      <c r="D1421" s="22">
        <f>'VIX HISTORIQUE'!G1416</f>
        <v>15.03</v>
      </c>
      <c r="E1421" s="22">
        <f>'VIX HISTORIQUE'!I1416</f>
        <v>16.86</v>
      </c>
      <c r="F1421" s="22">
        <f>'VIX HISTORIQUE'!K1416</f>
        <v>19.05</v>
      </c>
    </row>
    <row r="1422" ht="15.75" customHeight="1">
      <c r="A1422" s="25">
        <f>'VIX HISTORIQUE'!A1417</f>
        <v>45320.66667</v>
      </c>
      <c r="B1422" s="22">
        <f>'VIX HISTORIQUE'!B1417</f>
        <v>4927.93</v>
      </c>
      <c r="C1422" s="22">
        <f>'VIX HISTORIQUE'!D1417</f>
        <v>13.6</v>
      </c>
      <c r="D1422" s="22">
        <f>'VIX HISTORIQUE'!G1417</f>
        <v>15.22</v>
      </c>
      <c r="E1422" s="22">
        <f>'VIX HISTORIQUE'!I1417</f>
        <v>16.97</v>
      </c>
      <c r="F1422" s="22">
        <f>'VIX HISTORIQUE'!K1417</f>
        <v>19.12</v>
      </c>
    </row>
    <row r="1423" ht="15.75" customHeight="1">
      <c r="A1423" s="25">
        <f>'VIX HISTORIQUE'!A1418</f>
        <v>45321.66667</v>
      </c>
      <c r="B1423" s="22">
        <f>'VIX HISTORIQUE'!B1418</f>
        <v>4924.97</v>
      </c>
      <c r="C1423" s="22">
        <f>'VIX HISTORIQUE'!D1418</f>
        <v>13.31</v>
      </c>
      <c r="D1423" s="22">
        <f>'VIX HISTORIQUE'!G1418</f>
        <v>15.14</v>
      </c>
      <c r="E1423" s="22">
        <f>'VIX HISTORIQUE'!I1418</f>
        <v>16.93</v>
      </c>
      <c r="F1423" s="22">
        <f>'VIX HISTORIQUE'!K1418</f>
        <v>20.55</v>
      </c>
    </row>
    <row r="1424" ht="15.75" customHeight="1">
      <c r="A1424" s="25">
        <f>'VIX HISTORIQUE'!A1419</f>
        <v>45322.66667</v>
      </c>
      <c r="B1424" s="22">
        <f>'VIX HISTORIQUE'!B1419</f>
        <v>4845.65</v>
      </c>
      <c r="C1424" s="22">
        <f>'VIX HISTORIQUE'!D1419</f>
        <v>14.35</v>
      </c>
      <c r="D1424" s="22">
        <f>'VIX HISTORIQUE'!G1419</f>
        <v>15.96</v>
      </c>
      <c r="E1424" s="22">
        <f>'VIX HISTORIQUE'!I1419</f>
        <v>17.58</v>
      </c>
      <c r="F1424" s="22">
        <f>'VIX HISTORIQUE'!K1419</f>
        <v>19.76</v>
      </c>
    </row>
    <row r="1425" ht="15.75" customHeight="1">
      <c r="A1425" s="25">
        <f>'VIX HISTORIQUE'!A1420</f>
        <v>45323.66667</v>
      </c>
      <c r="B1425" s="22">
        <f>'VIX HISTORIQUE'!B1420</f>
        <v>4906.19</v>
      </c>
      <c r="C1425" s="22">
        <f>'VIX HISTORIQUE'!D1420</f>
        <v>13.88</v>
      </c>
      <c r="D1425" s="22">
        <f>'VIX HISTORIQUE'!G1420</f>
        <v>15.5</v>
      </c>
      <c r="E1425" s="22">
        <f>'VIX HISTORIQUE'!I1420</f>
        <v>17.22</v>
      </c>
      <c r="F1425" s="22">
        <f>'VIX HISTORIQUE'!K1420</f>
        <v>19.52</v>
      </c>
    </row>
    <row r="1426" ht="15.75" customHeight="1">
      <c r="A1426" s="25">
        <f>'VIX HISTORIQUE'!A1421</f>
        <v>45324.66667</v>
      </c>
      <c r="B1426" s="22">
        <f>'VIX HISTORIQUE'!B1421</f>
        <v>4958.61</v>
      </c>
      <c r="C1426" s="22">
        <f>'VIX HISTORIQUE'!D1421</f>
        <v>13.85</v>
      </c>
      <c r="D1426" s="22">
        <f>'VIX HISTORIQUE'!G1421</f>
        <v>15.61</v>
      </c>
      <c r="E1426" s="22">
        <f>'VIX HISTORIQUE'!I1421</f>
        <v>17.27</v>
      </c>
      <c r="F1426" s="22">
        <f>'VIX HISTORIQUE'!K1421</f>
        <v>19.53</v>
      </c>
    </row>
    <row r="1427" ht="15.75" customHeight="1">
      <c r="A1427" s="25">
        <f>'VIX HISTORIQUE'!A1422</f>
        <v>45327.66667</v>
      </c>
      <c r="B1427" s="22">
        <f>'VIX HISTORIQUE'!B1422</f>
        <v>4942.81</v>
      </c>
      <c r="C1427" s="22">
        <f>'VIX HISTORIQUE'!D1422</f>
        <v>13.67</v>
      </c>
      <c r="D1427" s="22">
        <f>'VIX HISTORIQUE'!G1422</f>
        <v>15.33</v>
      </c>
      <c r="E1427" s="22">
        <f>'VIX HISTORIQUE'!I1422</f>
        <v>17.06</v>
      </c>
      <c r="F1427" s="22">
        <f>'VIX HISTORIQUE'!K1422</f>
        <v>19.26</v>
      </c>
    </row>
    <row r="1428" ht="15.75" customHeight="1">
      <c r="A1428" s="25">
        <f>'VIX HISTORIQUE'!A1423</f>
        <v>45328.66667</v>
      </c>
      <c r="B1428" s="22">
        <f>'VIX HISTORIQUE'!B1423</f>
        <v>4954.23</v>
      </c>
      <c r="C1428" s="22">
        <f>'VIX HISTORIQUE'!D1423</f>
        <v>13.06</v>
      </c>
      <c r="D1428" s="22">
        <f>'VIX HISTORIQUE'!G1423</f>
        <v>14.99</v>
      </c>
      <c r="E1428" s="22">
        <f>'VIX HISTORIQUE'!I1423</f>
        <v>16.82</v>
      </c>
      <c r="F1428" s="22">
        <f>'VIX HISTORIQUE'!K1423</f>
        <v>19.09</v>
      </c>
    </row>
    <row r="1429" ht="15.75" customHeight="1">
      <c r="A1429" s="25">
        <f>'VIX HISTORIQUE'!A1424</f>
        <v>45329.66667</v>
      </c>
      <c r="B1429" s="22">
        <f>'VIX HISTORIQUE'!B1424</f>
        <v>4995.06</v>
      </c>
      <c r="C1429" s="22">
        <f>'VIX HISTORIQUE'!D1424</f>
        <v>12.83</v>
      </c>
      <c r="D1429" s="22">
        <f>'VIX HISTORIQUE'!G1424</f>
        <v>14.85</v>
      </c>
      <c r="E1429" s="22">
        <f>'VIX HISTORIQUE'!I1424</f>
        <v>16.69</v>
      </c>
      <c r="F1429" s="22">
        <f>'VIX HISTORIQUE'!K1424</f>
        <v>18.97</v>
      </c>
    </row>
    <row r="1430" ht="15.75" customHeight="1">
      <c r="A1430" s="25">
        <f>'VIX HISTORIQUE'!A1425</f>
        <v>45330.66667</v>
      </c>
      <c r="B1430" s="22">
        <f>'VIX HISTORIQUE'!B1425</f>
        <v>4997.91</v>
      </c>
      <c r="C1430" s="22">
        <f>'VIX HISTORIQUE'!D1425</f>
        <v>12.79</v>
      </c>
      <c r="D1430" s="22">
        <f>'VIX HISTORIQUE'!G1425</f>
        <v>14.93</v>
      </c>
      <c r="E1430" s="22">
        <f>'VIX HISTORIQUE'!I1425</f>
        <v>16.73</v>
      </c>
      <c r="F1430" s="22">
        <f>'VIX HISTORIQUE'!K1425</f>
        <v>18.94</v>
      </c>
    </row>
    <row r="1431" ht="15.75" customHeight="1">
      <c r="A1431" s="25">
        <f>'VIX HISTORIQUE'!A1426</f>
        <v>45331.66667</v>
      </c>
      <c r="B1431" s="22">
        <f>'VIX HISTORIQUE'!B1426</f>
        <v>5026.61</v>
      </c>
      <c r="C1431" s="22">
        <f>'VIX HISTORIQUE'!D1426</f>
        <v>12.93</v>
      </c>
      <c r="D1431" s="22">
        <f>'VIX HISTORIQUE'!G1426</f>
        <v>15.08</v>
      </c>
      <c r="E1431" s="22">
        <f>'VIX HISTORIQUE'!I1426</f>
        <v>16.94</v>
      </c>
      <c r="F1431" s="22">
        <f>'VIX HISTORIQUE'!K1426</f>
        <v>19.07</v>
      </c>
    </row>
    <row r="1432" ht="15.75" customHeight="1">
      <c r="A1432" s="25">
        <f>'VIX HISTORIQUE'!A1427</f>
        <v>45334.66667</v>
      </c>
      <c r="B1432" s="22">
        <f>'VIX HISTORIQUE'!B1427</f>
        <v>5021.84</v>
      </c>
      <c r="C1432" s="22">
        <f>'VIX HISTORIQUE'!D1427</f>
        <v>13.93</v>
      </c>
      <c r="D1432" s="22">
        <f>'VIX HISTORIQUE'!G1427</f>
        <v>15.67</v>
      </c>
      <c r="E1432" s="22">
        <f>'VIX HISTORIQUE'!I1427</f>
        <v>17.37</v>
      </c>
      <c r="F1432" s="22">
        <f>'VIX HISTORIQUE'!K1427</f>
        <v>19.4</v>
      </c>
    </row>
    <row r="1433" ht="15.75" customHeight="1">
      <c r="A1433" s="25">
        <f>'VIX HISTORIQUE'!A1428</f>
        <v>45335.66667</v>
      </c>
      <c r="B1433" s="22">
        <f>'VIX HISTORIQUE'!B1428</f>
        <v>4953.17</v>
      </c>
      <c r="C1433" s="22">
        <f>'VIX HISTORIQUE'!D1428</f>
        <v>15.85</v>
      </c>
      <c r="D1433" s="22">
        <f>'VIX HISTORIQUE'!G1428</f>
        <v>16.82</v>
      </c>
      <c r="E1433" s="22">
        <f>'VIX HISTORIQUE'!I1428</f>
        <v>18.19</v>
      </c>
      <c r="F1433" s="22">
        <f>'VIX HISTORIQUE'!K1428</f>
        <v>19.8</v>
      </c>
    </row>
    <row r="1434" ht="15.75" customHeight="1">
      <c r="A1434" s="25">
        <f>'VIX HISTORIQUE'!A1429</f>
        <v>45336.66667</v>
      </c>
      <c r="B1434" s="22">
        <f>'VIX HISTORIQUE'!B1429</f>
        <v>5000.62</v>
      </c>
      <c r="C1434" s="22">
        <f>'VIX HISTORIQUE'!D1429</f>
        <v>14.38</v>
      </c>
      <c r="D1434" s="22">
        <f>'VIX HISTORIQUE'!G1429</f>
        <v>15.93</v>
      </c>
      <c r="E1434" s="22">
        <f>'VIX HISTORIQUE'!I1429</f>
        <v>17.62</v>
      </c>
      <c r="F1434" s="22">
        <f>'VIX HISTORIQUE'!K1429</f>
        <v>19.48</v>
      </c>
    </row>
    <row r="1435" ht="15.75" customHeight="1">
      <c r="A1435" s="25">
        <f>'VIX HISTORIQUE'!A1430</f>
        <v>45337.66667</v>
      </c>
      <c r="B1435" s="22">
        <f>'VIX HISTORIQUE'!B1430</f>
        <v>5029.73</v>
      </c>
      <c r="C1435" s="22">
        <f>'VIX HISTORIQUE'!D1430</f>
        <v>14.01</v>
      </c>
      <c r="D1435" s="22">
        <f>'VIX HISTORIQUE'!G1430</f>
        <v>15.76</v>
      </c>
      <c r="E1435" s="22">
        <f>'VIX HISTORIQUE'!I1430</f>
        <v>17.53</v>
      </c>
      <c r="F1435" s="22">
        <f>'VIX HISTORIQUE'!K1430</f>
        <v>19.77</v>
      </c>
    </row>
    <row r="1436" ht="15.75" customHeight="1">
      <c r="A1436" s="25">
        <f>'VIX HISTORIQUE'!A1431</f>
        <v>45338.66667</v>
      </c>
      <c r="B1436" s="22">
        <f>'VIX HISTORIQUE'!B1431</f>
        <v>5005.57</v>
      </c>
      <c r="C1436" s="22">
        <f>'VIX HISTORIQUE'!D1431</f>
        <v>14.24</v>
      </c>
      <c r="D1436" s="22">
        <f>'VIX HISTORIQUE'!G1431</f>
        <v>15.86</v>
      </c>
      <c r="E1436" s="22">
        <f>'VIX HISTORIQUE'!I1431</f>
        <v>17.62</v>
      </c>
      <c r="F1436" s="22">
        <f>'VIX HISTORIQUE'!K1431</f>
        <v>19.89</v>
      </c>
    </row>
    <row r="1437" ht="15.75" customHeight="1">
      <c r="A1437" s="25">
        <f>'VIX HISTORIQUE'!A1432</f>
        <v>45342.66667</v>
      </c>
      <c r="B1437" s="22">
        <f>'VIX HISTORIQUE'!B1432</f>
        <v>4975.51</v>
      </c>
      <c r="C1437" s="22">
        <f>'VIX HISTORIQUE'!D1432</f>
        <v>15.42</v>
      </c>
      <c r="D1437" s="22">
        <f>'VIX HISTORIQUE'!G1432</f>
        <v>16.41</v>
      </c>
      <c r="E1437" s="22">
        <f>'VIX HISTORIQUE'!I1432</f>
        <v>18</v>
      </c>
      <c r="F1437" s="22">
        <f>'VIX HISTORIQUE'!K1432</f>
        <v>20.2</v>
      </c>
    </row>
    <row r="1438" ht="15.75" customHeight="1">
      <c r="A1438" s="25">
        <f>'VIX HISTORIQUE'!A1433</f>
        <v>45343.66667</v>
      </c>
      <c r="B1438" s="22">
        <f>'VIX HISTORIQUE'!B1433</f>
        <v>4981.8</v>
      </c>
      <c r="C1438" s="22">
        <f>'VIX HISTORIQUE'!D1433</f>
        <v>15.34</v>
      </c>
      <c r="D1438" s="22">
        <f>'VIX HISTORIQUE'!G1433</f>
        <v>16.23</v>
      </c>
      <c r="E1438" s="22">
        <f>'VIX HISTORIQUE'!I1433</f>
        <v>17.78</v>
      </c>
      <c r="F1438" s="22">
        <f>'VIX HISTORIQUE'!K1433</f>
        <v>19.87</v>
      </c>
    </row>
    <row r="1439" ht="15.75" customHeight="1">
      <c r="A1439" s="25">
        <f>'VIX HISTORIQUE'!A1434</f>
        <v>45344.66667</v>
      </c>
      <c r="B1439" s="22">
        <f>'VIX HISTORIQUE'!B1434</f>
        <v>5087.03</v>
      </c>
      <c r="C1439" s="22">
        <f>'VIX HISTORIQUE'!D1434</f>
        <v>14.54</v>
      </c>
      <c r="D1439" s="22">
        <f>'VIX HISTORIQUE'!G1434</f>
        <v>15.77</v>
      </c>
      <c r="E1439" s="22">
        <f>'VIX HISTORIQUE'!I1434</f>
        <v>17.39</v>
      </c>
      <c r="F1439" s="22">
        <f>'VIX HISTORIQUE'!K1434</f>
        <v>19.51</v>
      </c>
    </row>
    <row r="1440" ht="15.75" customHeight="1">
      <c r="A1440" s="25">
        <f>'VIX HISTORIQUE'!A1435</f>
        <v>45345.66667</v>
      </c>
      <c r="B1440" s="22">
        <f>'VIX HISTORIQUE'!B1435</f>
        <v>5088.8</v>
      </c>
      <c r="C1440" s="22">
        <f>'VIX HISTORIQUE'!D1435</f>
        <v>13.75</v>
      </c>
      <c r="D1440" s="22">
        <f>'VIX HISTORIQUE'!G1435</f>
        <v>15.25</v>
      </c>
      <c r="E1440" s="22">
        <f>'VIX HISTORIQUE'!I1435</f>
        <v>17.09</v>
      </c>
      <c r="F1440" s="22">
        <f>'VIX HISTORIQUE'!K1435</f>
        <v>19.38</v>
      </c>
    </row>
    <row r="1441" ht="15.75" customHeight="1">
      <c r="A1441" s="25">
        <f>'VIX HISTORIQUE'!A1436</f>
        <v>45348.66667</v>
      </c>
      <c r="B1441" s="22">
        <f>'VIX HISTORIQUE'!B1436</f>
        <v>5069.53</v>
      </c>
      <c r="C1441" s="22">
        <f>'VIX HISTORIQUE'!D1436</f>
        <v>13.74</v>
      </c>
      <c r="D1441" s="22">
        <f>'VIX HISTORIQUE'!G1436</f>
        <v>15.22</v>
      </c>
      <c r="E1441" s="22">
        <f>'VIX HISTORIQUE'!I1436</f>
        <v>17.04</v>
      </c>
      <c r="F1441" s="22">
        <f>'VIX HISTORIQUE'!K1436</f>
        <v>19.35</v>
      </c>
    </row>
    <row r="1442" ht="15.75" customHeight="1">
      <c r="A1442" s="25">
        <f>'VIX HISTORIQUE'!A1437</f>
        <v>45349.66667</v>
      </c>
      <c r="B1442" s="22">
        <f>'VIX HISTORIQUE'!B1437</f>
        <v>5078.18</v>
      </c>
      <c r="C1442" s="22">
        <f>'VIX HISTORIQUE'!D1437</f>
        <v>13.43</v>
      </c>
      <c r="D1442" s="22">
        <f>'VIX HISTORIQUE'!G1437</f>
        <v>14.89</v>
      </c>
      <c r="E1442" s="22">
        <f>'VIX HISTORIQUE'!I1437</f>
        <v>16.78</v>
      </c>
      <c r="F1442" s="22">
        <f>'VIX HISTORIQUE'!K1437</f>
        <v>19.18</v>
      </c>
    </row>
    <row r="1443" ht="15.75" customHeight="1">
      <c r="A1443" s="25">
        <f>'VIX HISTORIQUE'!A1438</f>
        <v>45350.66667</v>
      </c>
      <c r="B1443" s="22">
        <f>'VIX HISTORIQUE'!B1438</f>
        <v>5069.76</v>
      </c>
      <c r="C1443" s="22">
        <f>'VIX HISTORIQUE'!D1438</f>
        <v>13.84</v>
      </c>
      <c r="D1443" s="22">
        <f>'VIX HISTORIQUE'!G1438</f>
        <v>15.22</v>
      </c>
      <c r="E1443" s="22">
        <f>'VIX HISTORIQUE'!I1438</f>
        <v>17.03</v>
      </c>
      <c r="F1443" s="22">
        <f>'VIX HISTORIQUE'!K1438</f>
        <v>19.43</v>
      </c>
    </row>
    <row r="1444" ht="15.75" customHeight="1">
      <c r="A1444" s="25">
        <f>'VIX HISTORIQUE'!A1439</f>
        <v>45351.66667</v>
      </c>
      <c r="B1444" s="22">
        <f>'VIX HISTORIQUE'!B1439</f>
        <v>5096.27</v>
      </c>
      <c r="C1444" s="22">
        <f>'VIX HISTORIQUE'!D1439</f>
        <v>13.4</v>
      </c>
      <c r="D1444" s="22">
        <f>'VIX HISTORIQUE'!G1439</f>
        <v>14.93</v>
      </c>
      <c r="E1444" s="22">
        <f>'VIX HISTORIQUE'!I1439</f>
        <v>16.86</v>
      </c>
      <c r="F1444" s="22">
        <f>'VIX HISTORIQUE'!K1439</f>
        <v>19.32</v>
      </c>
    </row>
    <row r="1445" ht="15.75" customHeight="1">
      <c r="A1445" s="25">
        <f>'VIX HISTORIQUE'!A1440</f>
        <v>45352.66667</v>
      </c>
      <c r="B1445" s="22">
        <f>'VIX HISTORIQUE'!B1440</f>
        <v>5137.08</v>
      </c>
      <c r="C1445" s="22">
        <f>'VIX HISTORIQUE'!D1440</f>
        <v>13.11</v>
      </c>
      <c r="D1445" s="22">
        <f>'VIX HISTORIQUE'!G1440</f>
        <v>14.93</v>
      </c>
      <c r="E1445" s="22">
        <f>'VIX HISTORIQUE'!I1440</f>
        <v>16.86</v>
      </c>
      <c r="F1445" s="22">
        <f>'VIX HISTORIQUE'!K1440</f>
        <v>19.4</v>
      </c>
    </row>
    <row r="1446" ht="15.75" customHeight="1">
      <c r="A1446" s="25">
        <f>'VIX HISTORIQUE'!A1441</f>
        <v>45355.66667</v>
      </c>
      <c r="B1446" s="22">
        <f>'VIX HISTORIQUE'!B1441</f>
        <v>5130.95</v>
      </c>
      <c r="C1446" s="22">
        <f>'VIX HISTORIQUE'!D1441</f>
        <v>13.49</v>
      </c>
      <c r="D1446" s="22">
        <f>'VIX HISTORIQUE'!G1441</f>
        <v>15.23</v>
      </c>
      <c r="E1446" s="22">
        <f>'VIX HISTORIQUE'!I1441</f>
        <v>17.12</v>
      </c>
      <c r="F1446" s="22">
        <f>'VIX HISTORIQUE'!K1441</f>
        <v>19.7</v>
      </c>
    </row>
    <row r="1447" ht="15.75" customHeight="1">
      <c r="A1447" s="25">
        <f>'VIX HISTORIQUE'!A1442</f>
        <v>45356.66667</v>
      </c>
      <c r="B1447" s="22">
        <f>'VIX HISTORIQUE'!B1442</f>
        <v>5078.65</v>
      </c>
      <c r="C1447" s="22">
        <f>'VIX HISTORIQUE'!D1442</f>
        <v>14.46</v>
      </c>
      <c r="D1447" s="22">
        <f>'VIX HISTORIQUE'!G1442</f>
        <v>15.91</v>
      </c>
      <c r="E1447" s="22">
        <f>'VIX HISTORIQUE'!I1442</f>
        <v>17.62</v>
      </c>
      <c r="F1447" s="22">
        <f>'VIX HISTORIQUE'!K1442</f>
        <v>20.08</v>
      </c>
    </row>
    <row r="1448" ht="15.75" customHeight="1">
      <c r="A1448" s="25">
        <f>'VIX HISTORIQUE'!A1443</f>
        <v>45357.66667</v>
      </c>
      <c r="B1448" s="22">
        <f>'VIX HISTORIQUE'!B1443</f>
        <v>5104.76</v>
      </c>
      <c r="C1448" s="22">
        <f>'VIX HISTORIQUE'!D1443</f>
        <v>14.5</v>
      </c>
      <c r="D1448" s="22">
        <f>'VIX HISTORIQUE'!G1443</f>
        <v>15.97</v>
      </c>
      <c r="E1448" s="22">
        <f>'VIX HISTORIQUE'!I1443</f>
        <v>17.67</v>
      </c>
      <c r="F1448" s="22">
        <f>'VIX HISTORIQUE'!K1443</f>
        <v>20.14</v>
      </c>
    </row>
    <row r="1449" ht="15.75" customHeight="1">
      <c r="A1449" s="25">
        <f>'VIX HISTORIQUE'!A1444</f>
        <v>45358.66667</v>
      </c>
      <c r="B1449" s="22">
        <f>'VIX HISTORIQUE'!B1444</f>
        <v>5157.36</v>
      </c>
      <c r="C1449" s="22">
        <f>'VIX HISTORIQUE'!D1444</f>
        <v>14.44</v>
      </c>
      <c r="D1449" s="22">
        <f>'VIX HISTORIQUE'!G1444</f>
        <v>15.91</v>
      </c>
      <c r="E1449" s="22">
        <f>'VIX HISTORIQUE'!I1444</f>
        <v>17.57</v>
      </c>
      <c r="F1449" s="22">
        <f>'VIX HISTORIQUE'!K1444</f>
        <v>20.06</v>
      </c>
    </row>
    <row r="1450" ht="15.75" customHeight="1">
      <c r="A1450" s="25">
        <f>'VIX HISTORIQUE'!A1445</f>
        <v>45359.66667</v>
      </c>
      <c r="B1450" s="22">
        <f>'VIX HISTORIQUE'!B1445</f>
        <v>5123.69</v>
      </c>
      <c r="C1450" s="22">
        <f>'VIX HISTORIQUE'!D1445</f>
        <v>14.74</v>
      </c>
      <c r="D1450" s="22">
        <f>'VIX HISTORIQUE'!G1445</f>
        <v>16.3</v>
      </c>
      <c r="E1450" s="22">
        <f>'VIX HISTORIQUE'!I1445</f>
        <v>17.96</v>
      </c>
      <c r="F1450" s="22">
        <f>'VIX HISTORIQUE'!K1445</f>
        <v>20.27</v>
      </c>
    </row>
    <row r="1451" ht="15.75" customHeight="1">
      <c r="A1451" s="25">
        <f>'VIX HISTORIQUE'!A1446</f>
        <v>45362.66667</v>
      </c>
      <c r="B1451" s="22">
        <f>'VIX HISTORIQUE'!B1446</f>
        <v>5117.94</v>
      </c>
      <c r="C1451" s="22">
        <f>'VIX HISTORIQUE'!D1446</f>
        <v>15.22</v>
      </c>
      <c r="D1451" s="22">
        <f>'VIX HISTORIQUE'!G1446</f>
        <v>16.46</v>
      </c>
      <c r="E1451" s="22">
        <f>'VIX HISTORIQUE'!I1446</f>
        <v>18.11</v>
      </c>
      <c r="F1451" s="22">
        <f>'VIX HISTORIQUE'!K1446</f>
        <v>20.45</v>
      </c>
    </row>
    <row r="1452" ht="15.75" customHeight="1">
      <c r="A1452" s="25">
        <f>'VIX HISTORIQUE'!A1447</f>
        <v>45363.66667</v>
      </c>
      <c r="B1452" s="22">
        <f>'VIX HISTORIQUE'!B1447</f>
        <v>5175.27</v>
      </c>
      <c r="C1452" s="22">
        <f>'VIX HISTORIQUE'!D1447</f>
        <v>13.84</v>
      </c>
      <c r="D1452" s="22">
        <f>'VIX HISTORIQUE'!G1447</f>
        <v>15.66</v>
      </c>
      <c r="E1452" s="22">
        <f>'VIX HISTORIQUE'!I1447</f>
        <v>17.58</v>
      </c>
      <c r="F1452" s="22">
        <f>'VIX HISTORIQUE'!K1447</f>
        <v>20.11</v>
      </c>
    </row>
    <row r="1453" ht="15.75" customHeight="1">
      <c r="A1453" s="25">
        <f>'VIX HISTORIQUE'!A1448</f>
        <v>45364.66667</v>
      </c>
      <c r="B1453" s="22">
        <f>'VIX HISTORIQUE'!B1448</f>
        <v>5165.31</v>
      </c>
      <c r="C1453" s="22">
        <f>'VIX HISTORIQUE'!D1448</f>
        <v>13.75</v>
      </c>
      <c r="D1453" s="22">
        <f>'VIX HISTORIQUE'!G1448</f>
        <v>15.6</v>
      </c>
      <c r="E1453" s="22">
        <f>'VIX HISTORIQUE'!I1448</f>
        <v>17.56</v>
      </c>
      <c r="F1453" s="22">
        <f>'VIX HISTORIQUE'!K1448</f>
        <v>20.2</v>
      </c>
    </row>
    <row r="1454" ht="15.75" customHeight="1">
      <c r="A1454" s="25">
        <f>'VIX HISTORIQUE'!A1449</f>
        <v>45365.66667</v>
      </c>
      <c r="B1454" s="22">
        <f>'VIX HISTORIQUE'!B1449</f>
        <v>5150.48</v>
      </c>
      <c r="C1454" s="22">
        <f>'VIX HISTORIQUE'!D1449</f>
        <v>14.4</v>
      </c>
      <c r="D1454" s="22">
        <f>'VIX HISTORIQUE'!G1449</f>
        <v>16.12</v>
      </c>
      <c r="E1454" s="22">
        <f>'VIX HISTORIQUE'!I1449</f>
        <v>17.93</v>
      </c>
      <c r="F1454" s="22">
        <f>'VIX HISTORIQUE'!K1449</f>
        <v>20.48</v>
      </c>
    </row>
    <row r="1455" ht="15.75" customHeight="1">
      <c r="A1455" s="25">
        <f>'VIX HISTORIQUE'!A1450</f>
        <v>45366.66667</v>
      </c>
      <c r="B1455" s="22">
        <f>'VIX HISTORIQUE'!B1450</f>
        <v>5117.09</v>
      </c>
      <c r="C1455" s="22">
        <f>'VIX HISTORIQUE'!D1450</f>
        <v>14.41</v>
      </c>
      <c r="D1455" s="22">
        <f>'VIX HISTORIQUE'!G1450</f>
        <v>16.41</v>
      </c>
      <c r="E1455" s="22">
        <f>'VIX HISTORIQUE'!I1450</f>
        <v>18.17</v>
      </c>
      <c r="F1455" s="22">
        <f>'VIX HISTORIQUE'!K1450</f>
        <v>20.65</v>
      </c>
    </row>
    <row r="1456" ht="15.75" customHeight="1">
      <c r="A1456" s="25">
        <f>'VIX HISTORIQUE'!A1451</f>
        <v>45369.66667</v>
      </c>
      <c r="B1456" s="22">
        <f>'VIX HISTORIQUE'!B1451</f>
        <v>5149.42</v>
      </c>
      <c r="C1456" s="22">
        <f>'VIX HISTORIQUE'!D1451</f>
        <v>14.33</v>
      </c>
      <c r="D1456" s="22">
        <f>'VIX HISTORIQUE'!G1451</f>
        <v>16.22</v>
      </c>
      <c r="E1456" s="22">
        <f>'VIX HISTORIQUE'!I1451</f>
        <v>18</v>
      </c>
      <c r="F1456" s="22">
        <f>'VIX HISTORIQUE'!K1451</f>
        <v>20.51</v>
      </c>
    </row>
    <row r="1457" ht="15.75" customHeight="1">
      <c r="A1457" s="25">
        <f>'VIX HISTORIQUE'!A1452</f>
        <v>45370.66667</v>
      </c>
      <c r="B1457" s="22">
        <f>'VIX HISTORIQUE'!B1452</f>
        <v>5178.51</v>
      </c>
      <c r="C1457" s="22">
        <f>'VIX HISTORIQUE'!D1452</f>
        <v>13.82</v>
      </c>
      <c r="D1457" s="22">
        <f>'VIX HISTORIQUE'!G1452</f>
        <v>15.77</v>
      </c>
      <c r="E1457" s="22">
        <f>'VIX HISTORIQUE'!I1452</f>
        <v>17.64</v>
      </c>
      <c r="F1457" s="22">
        <f>'VIX HISTORIQUE'!K1452</f>
        <v>20.27</v>
      </c>
    </row>
    <row r="1458" ht="15.75" customHeight="1">
      <c r="A1458" s="25">
        <f>'VIX HISTORIQUE'!A1453</f>
        <v>45371.66667</v>
      </c>
      <c r="B1458" s="22">
        <f>'VIX HISTORIQUE'!B1453</f>
        <v>5224.62</v>
      </c>
      <c r="C1458" s="22">
        <f>'VIX HISTORIQUE'!D1453</f>
        <v>13.04</v>
      </c>
      <c r="D1458" s="22">
        <f>'VIX HISTORIQUE'!G1453</f>
        <v>15.28</v>
      </c>
      <c r="E1458" s="22">
        <f>'VIX HISTORIQUE'!I1453</f>
        <v>17.27</v>
      </c>
      <c r="F1458" s="22">
        <f>'VIX HISTORIQUE'!K1453</f>
        <v>19.99</v>
      </c>
    </row>
    <row r="1459" ht="15.75" customHeight="1">
      <c r="A1459" s="25">
        <f>'VIX HISTORIQUE'!A1454</f>
        <v>45372.66667</v>
      </c>
      <c r="B1459" s="22">
        <f>'VIX HISTORIQUE'!B1454</f>
        <v>5241.53</v>
      </c>
      <c r="C1459" s="22">
        <f>'VIX HISTORIQUE'!D1454</f>
        <v>12.92</v>
      </c>
      <c r="D1459" s="22">
        <f>'VIX HISTORIQUE'!G1454</f>
        <v>15.18</v>
      </c>
      <c r="E1459" s="22">
        <f>'VIX HISTORIQUE'!I1454</f>
        <v>17.25</v>
      </c>
      <c r="F1459" s="22">
        <f>'VIX HISTORIQUE'!K1454</f>
        <v>19.97</v>
      </c>
    </row>
    <row r="1460" ht="15.75" customHeight="1">
      <c r="A1460" s="25">
        <f>'VIX HISTORIQUE'!A1455</f>
        <v>45373.66667</v>
      </c>
      <c r="B1460" s="22">
        <f>'VIX HISTORIQUE'!B1455</f>
        <v>5234.18</v>
      </c>
      <c r="C1460" s="22">
        <f>'VIX HISTORIQUE'!D1455</f>
        <v>13.06</v>
      </c>
      <c r="D1460" s="22">
        <f>'VIX HISTORIQUE'!G1455</f>
        <v>15.3</v>
      </c>
      <c r="E1460" s="22">
        <f>'VIX HISTORIQUE'!I1455</f>
        <v>17.34</v>
      </c>
      <c r="F1460" s="22">
        <f>'VIX HISTORIQUE'!K1455</f>
        <v>20.14</v>
      </c>
    </row>
    <row r="1461" ht="15.75" customHeight="1">
      <c r="A1461" s="25">
        <f>'VIX HISTORIQUE'!A1456</f>
        <v>45376.66667</v>
      </c>
      <c r="B1461" s="22">
        <f>'VIX HISTORIQUE'!B1456</f>
        <v>5218.19</v>
      </c>
      <c r="C1461" s="22">
        <f>'VIX HISTORIQUE'!D1456</f>
        <v>13.19</v>
      </c>
      <c r="D1461" s="22">
        <f>'VIX HISTORIQUE'!G1456</f>
        <v>15.38</v>
      </c>
      <c r="E1461" s="22">
        <f>'VIX HISTORIQUE'!I1456</f>
        <v>17.46</v>
      </c>
      <c r="F1461" s="22">
        <f>'VIX HISTORIQUE'!K1456</f>
        <v>20.23</v>
      </c>
    </row>
    <row r="1462" ht="15.75" customHeight="1">
      <c r="A1462" s="25">
        <f>'VIX HISTORIQUE'!A1457</f>
        <v>45377.66667</v>
      </c>
      <c r="B1462" s="22">
        <f>'VIX HISTORIQUE'!B1457</f>
        <v>5203.58</v>
      </c>
      <c r="C1462" s="22">
        <f>'VIX HISTORIQUE'!D1457</f>
        <v>13.24</v>
      </c>
      <c r="D1462" s="22">
        <f>'VIX HISTORIQUE'!G1457</f>
        <v>15.29</v>
      </c>
      <c r="E1462" s="22">
        <f>'VIX HISTORIQUE'!I1457</f>
        <v>17.34</v>
      </c>
      <c r="F1462" s="22">
        <f>'VIX HISTORIQUE'!K1457</f>
        <v>20.1</v>
      </c>
    </row>
    <row r="1463" ht="15.75" customHeight="1">
      <c r="A1463" s="25">
        <f>'VIX HISTORIQUE'!A1458</f>
        <v>45378.66667</v>
      </c>
      <c r="B1463" s="22">
        <f>'VIX HISTORIQUE'!B1458</f>
        <v>5248.49</v>
      </c>
      <c r="C1463" s="22">
        <f>'VIX HISTORIQUE'!D1458</f>
        <v>12.78</v>
      </c>
      <c r="D1463" s="22">
        <f>'VIX HISTORIQUE'!G1458</f>
        <v>15.01</v>
      </c>
      <c r="E1463" s="22">
        <f>'VIX HISTORIQUE'!I1458</f>
        <v>17.07</v>
      </c>
      <c r="F1463" s="22">
        <f>'VIX HISTORIQUE'!K1458</f>
        <v>19.88</v>
      </c>
    </row>
    <row r="1464" ht="15.75" customHeight="1">
      <c r="A1464" s="25">
        <f>'VIX HISTORIQUE'!A1459</f>
        <v>45379.66667</v>
      </c>
      <c r="B1464" s="22">
        <f>'VIX HISTORIQUE'!B1459</f>
        <v>5254.35</v>
      </c>
      <c r="C1464" s="22">
        <f>'VIX HISTORIQUE'!D1459</f>
        <v>13.01</v>
      </c>
      <c r="D1464" s="22">
        <f>'VIX HISTORIQUE'!G1459</f>
        <v>15.19</v>
      </c>
      <c r="E1464" s="22">
        <f>'VIX HISTORIQUE'!I1459</f>
        <v>17.19</v>
      </c>
      <c r="F1464" s="22">
        <f>'VIX HISTORIQUE'!K1459</f>
        <v>20.03</v>
      </c>
    </row>
    <row r="1465" ht="15.75" customHeight="1">
      <c r="A1465" s="25">
        <f>'VIX HISTORIQUE'!A1460</f>
        <v>45383.66667</v>
      </c>
      <c r="B1465" s="22">
        <f>'VIX HISTORIQUE'!B1460</f>
        <v>5243.77</v>
      </c>
      <c r="C1465" s="22">
        <f>'VIX HISTORIQUE'!D1460</f>
        <v>13.65</v>
      </c>
      <c r="D1465" s="22">
        <f>'VIX HISTORIQUE'!G1460</f>
        <v>15.52</v>
      </c>
      <c r="E1465" s="22">
        <f>'VIX HISTORIQUE'!I1460</f>
        <v>17.42</v>
      </c>
      <c r="F1465" s="22">
        <f>'VIX HISTORIQUE'!K1460</f>
        <v>19.93</v>
      </c>
    </row>
    <row r="1466" ht="15.75" customHeight="1">
      <c r="A1466" s="25">
        <f>'VIX HISTORIQUE'!A1461</f>
        <v>45384.66667</v>
      </c>
      <c r="B1466" s="22">
        <f>'VIX HISTORIQUE'!B1461</f>
        <v>5205.81</v>
      </c>
      <c r="C1466" s="22">
        <f>'VIX HISTORIQUE'!D1461</f>
        <v>14.61</v>
      </c>
      <c r="D1466" s="22">
        <f>'VIX HISTORIQUE'!G1461</f>
        <v>16.09</v>
      </c>
      <c r="E1466" s="22">
        <f>'VIX HISTORIQUE'!I1461</f>
        <v>17.84</v>
      </c>
      <c r="F1466" s="22">
        <f>'VIX HISTORIQUE'!K1461</f>
        <v>20.24</v>
      </c>
    </row>
    <row r="1467" ht="15.75" customHeight="1">
      <c r="A1467" s="25">
        <f>'VIX HISTORIQUE'!A1462</f>
        <v>45385.66667</v>
      </c>
      <c r="B1467" s="22">
        <f>'VIX HISTORIQUE'!B1462</f>
        <v>5211.49</v>
      </c>
      <c r="C1467" s="22">
        <f>'VIX HISTORIQUE'!D1462</f>
        <v>14.33</v>
      </c>
      <c r="D1467" s="22">
        <f>'VIX HISTORIQUE'!G1462</f>
        <v>15.91</v>
      </c>
      <c r="E1467" s="22">
        <f>'VIX HISTORIQUE'!I1462</f>
        <v>17.74</v>
      </c>
      <c r="F1467" s="22">
        <f>'VIX HISTORIQUE'!K1462</f>
        <v>20.21</v>
      </c>
    </row>
    <row r="1468" ht="15.75" customHeight="1">
      <c r="A1468" s="25">
        <f>'VIX HISTORIQUE'!A1463</f>
        <v>45386.66667</v>
      </c>
      <c r="B1468" s="22">
        <f>'VIX HISTORIQUE'!B1463</f>
        <v>5147.21</v>
      </c>
      <c r="C1468" s="22">
        <f>'VIX HISTORIQUE'!D1463</f>
        <v>16.35</v>
      </c>
      <c r="D1468" s="22">
        <f>'VIX HISTORIQUE'!G1463</f>
        <v>17.16</v>
      </c>
      <c r="E1468" s="22">
        <f>'VIX HISTORIQUE'!I1463</f>
        <v>18.65</v>
      </c>
      <c r="F1468" s="22">
        <f>'VIX HISTORIQUE'!K1463</f>
        <v>20.78</v>
      </c>
    </row>
    <row r="1469" ht="15.75" customHeight="1">
      <c r="A1469" s="25">
        <f>'VIX HISTORIQUE'!A1464</f>
        <v>45387.66667</v>
      </c>
      <c r="B1469" s="22">
        <f>'VIX HISTORIQUE'!B1464</f>
        <v>5204.34</v>
      </c>
      <c r="C1469" s="22">
        <f>'VIX HISTORIQUE'!D1464</f>
        <v>16.03</v>
      </c>
      <c r="D1469" s="22">
        <f>'VIX HISTORIQUE'!G1464</f>
        <v>17.18</v>
      </c>
      <c r="E1469" s="22">
        <f>'VIX HISTORIQUE'!I1464</f>
        <v>18.68</v>
      </c>
      <c r="F1469" s="22">
        <f>'VIX HISTORIQUE'!K1464</f>
        <v>20.83</v>
      </c>
    </row>
    <row r="1470" ht="15.75" customHeight="1">
      <c r="A1470" s="25">
        <f>'VIX HISTORIQUE'!A1465</f>
        <v>45390.66667</v>
      </c>
      <c r="B1470" s="22">
        <f>'VIX HISTORIQUE'!B1465</f>
        <v>5202.39</v>
      </c>
      <c r="C1470" s="22">
        <f>'VIX HISTORIQUE'!D1465</f>
        <v>15.19</v>
      </c>
      <c r="D1470" s="22">
        <f>'VIX HISTORIQUE'!G1465</f>
        <v>16.56</v>
      </c>
      <c r="E1470" s="22">
        <f>'VIX HISTORIQUE'!I1465</f>
        <v>18.16</v>
      </c>
      <c r="F1470" s="22">
        <f>'VIX HISTORIQUE'!K1465</f>
        <v>20.47</v>
      </c>
    </row>
    <row r="1471" ht="15.75" customHeight="1">
      <c r="A1471" s="25">
        <f>'VIX HISTORIQUE'!A1466</f>
        <v>45391.66667</v>
      </c>
      <c r="B1471" s="22">
        <f>'VIX HISTORIQUE'!B1466</f>
        <v>5209.91</v>
      </c>
      <c r="C1471" s="22">
        <f>'VIX HISTORIQUE'!D1466</f>
        <v>14.98</v>
      </c>
      <c r="D1471" s="22">
        <f>'VIX HISTORIQUE'!G1466</f>
        <v>16.42</v>
      </c>
      <c r="E1471" s="22">
        <f>'VIX HISTORIQUE'!I1466</f>
        <v>18.07</v>
      </c>
      <c r="F1471" s="22">
        <f>'VIX HISTORIQUE'!K1466</f>
        <v>20.38</v>
      </c>
    </row>
    <row r="1472" ht="15.75" customHeight="1">
      <c r="A1472" s="25">
        <f>'VIX HISTORIQUE'!A1467</f>
        <v>45392.66667</v>
      </c>
      <c r="B1472" s="22">
        <f>'VIX HISTORIQUE'!B1467</f>
        <v>5160.64</v>
      </c>
      <c r="C1472" s="22">
        <f>'VIX HISTORIQUE'!D1467</f>
        <v>15.8</v>
      </c>
      <c r="D1472" s="22">
        <f>'VIX HISTORIQUE'!G1467</f>
        <v>17.04</v>
      </c>
      <c r="E1472" s="22">
        <f>'VIX HISTORIQUE'!I1467</f>
        <v>18.54</v>
      </c>
      <c r="F1472" s="22">
        <f>'VIX HISTORIQUE'!K1467</f>
        <v>20.7</v>
      </c>
    </row>
    <row r="1473" ht="15.75" customHeight="1">
      <c r="A1473" s="25">
        <f>'VIX HISTORIQUE'!A1468</f>
        <v>45393.66667</v>
      </c>
      <c r="B1473" s="22">
        <f>'VIX HISTORIQUE'!B1468</f>
        <v>5199.06</v>
      </c>
      <c r="C1473" s="22">
        <f>'VIX HISTORIQUE'!D1468</f>
        <v>14.91</v>
      </c>
      <c r="D1473" s="22">
        <f>'VIX HISTORIQUE'!G1468</f>
        <v>16.49</v>
      </c>
      <c r="E1473" s="22">
        <f>'VIX HISTORIQUE'!I1468</f>
        <v>18.15</v>
      </c>
      <c r="F1473" s="22">
        <f>'VIX HISTORIQUE'!K1468</f>
        <v>20.45</v>
      </c>
    </row>
    <row r="1474" ht="15.75" customHeight="1">
      <c r="A1474" s="25">
        <f>'VIX HISTORIQUE'!A1469</f>
        <v>45394.66667</v>
      </c>
      <c r="B1474" s="22">
        <f>'VIX HISTORIQUE'!B1469</f>
        <v>5123.41</v>
      </c>
      <c r="C1474" s="22">
        <f>'VIX HISTORIQUE'!D1469</f>
        <v>17.31</v>
      </c>
      <c r="D1474" s="22">
        <f>'VIX HISTORIQUE'!G1469</f>
        <v>18.2</v>
      </c>
      <c r="E1474" s="22">
        <f>'VIX HISTORIQUE'!I1469</f>
        <v>19.38</v>
      </c>
      <c r="F1474" s="22">
        <f>'VIX HISTORIQUE'!K1469</f>
        <v>21.29</v>
      </c>
    </row>
    <row r="1475" ht="15.75" customHeight="1">
      <c r="A1475" s="25">
        <f>'VIX HISTORIQUE'!A1470</f>
        <v>45397.66667</v>
      </c>
      <c r="B1475" s="22">
        <f>'VIX HISTORIQUE'!B1470</f>
        <v>5061.82</v>
      </c>
      <c r="C1475" s="22">
        <f>'VIX HISTORIQUE'!D1470</f>
        <v>19.23</v>
      </c>
      <c r="D1475" s="22">
        <f>'VIX HISTORIQUE'!G1470</f>
        <v>19.55</v>
      </c>
      <c r="E1475" s="22">
        <f>'VIX HISTORIQUE'!I1470</f>
        <v>20.41</v>
      </c>
      <c r="F1475" s="22">
        <f>'VIX HISTORIQUE'!K1470</f>
        <v>22</v>
      </c>
    </row>
    <row r="1476" ht="15.75" customHeight="1">
      <c r="A1476" s="25">
        <f>'VIX HISTORIQUE'!A1471</f>
        <v>45398.66667</v>
      </c>
      <c r="B1476" s="22">
        <f>'VIX HISTORIQUE'!B1471</f>
        <v>5051.41</v>
      </c>
      <c r="C1476" s="22">
        <f>'VIX HISTORIQUE'!D1471</f>
        <v>18.4</v>
      </c>
      <c r="D1476" s="22">
        <f>'VIX HISTORIQUE'!G1471</f>
        <v>18.84</v>
      </c>
      <c r="E1476" s="22">
        <f>'VIX HISTORIQUE'!I1471</f>
        <v>19.9</v>
      </c>
      <c r="F1476" s="22">
        <f>'VIX HISTORIQUE'!K1471</f>
        <v>21.57</v>
      </c>
    </row>
    <row r="1477" ht="15.75" customHeight="1">
      <c r="A1477" s="25">
        <f>'VIX HISTORIQUE'!A1472</f>
        <v>45399.66667</v>
      </c>
      <c r="B1477" s="22">
        <f>'VIX HISTORIQUE'!B1472</f>
        <v>5022.21</v>
      </c>
      <c r="C1477" s="22">
        <f>'VIX HISTORIQUE'!D1472</f>
        <v>18.21</v>
      </c>
      <c r="D1477" s="22">
        <f>'VIX HISTORIQUE'!G1472</f>
        <v>18.77</v>
      </c>
      <c r="E1477" s="22">
        <f>'VIX HISTORIQUE'!I1472</f>
        <v>19.87</v>
      </c>
      <c r="F1477" s="22">
        <f>'VIX HISTORIQUE'!K1472</f>
        <v>21.52</v>
      </c>
    </row>
    <row r="1478" ht="15.75" customHeight="1">
      <c r="A1478" s="25">
        <f>'VIX HISTORIQUE'!A1473</f>
        <v>45400.66667</v>
      </c>
      <c r="B1478" s="22">
        <f>'VIX HISTORIQUE'!B1473</f>
        <v>5011.12</v>
      </c>
      <c r="C1478" s="22">
        <f>'VIX HISTORIQUE'!D1473</f>
        <v>18</v>
      </c>
      <c r="D1478" s="22">
        <f>'VIX HISTORIQUE'!G1473</f>
        <v>18.66</v>
      </c>
      <c r="E1478" s="22">
        <f>'VIX HISTORIQUE'!I1473</f>
        <v>19.77</v>
      </c>
      <c r="F1478" s="22">
        <f>'VIX HISTORIQUE'!K1473</f>
        <v>21.41</v>
      </c>
    </row>
    <row r="1479" ht="15.75" customHeight="1">
      <c r="A1479" s="25">
        <f>'VIX HISTORIQUE'!A1474</f>
        <v>45401.66667</v>
      </c>
      <c r="B1479" s="22">
        <f>'VIX HISTORIQUE'!B1474</f>
        <v>4967.23</v>
      </c>
      <c r="C1479" s="22">
        <f>'VIX HISTORIQUE'!D1474</f>
        <v>18.71</v>
      </c>
      <c r="D1479" s="22">
        <f>'VIX HISTORIQUE'!G1474</f>
        <v>19.25</v>
      </c>
      <c r="E1479" s="22">
        <f>'VIX HISTORIQUE'!I1474</f>
        <v>20.17</v>
      </c>
      <c r="F1479" s="22">
        <f>'VIX HISTORIQUE'!K1474</f>
        <v>21.59</v>
      </c>
    </row>
    <row r="1480" ht="15.75" customHeight="1">
      <c r="A1480" s="25">
        <f>'VIX HISTORIQUE'!A1475</f>
        <v>45404.66667</v>
      </c>
      <c r="B1480" s="22">
        <f>'VIX HISTORIQUE'!B1475</f>
        <v>5010.6</v>
      </c>
      <c r="C1480" s="22">
        <f>'VIX HISTORIQUE'!D1475</f>
        <v>16.94</v>
      </c>
      <c r="D1480" s="22">
        <f>'VIX HISTORIQUE'!G1475</f>
        <v>17.63</v>
      </c>
      <c r="E1480" s="22">
        <f>'VIX HISTORIQUE'!I1475</f>
        <v>18.86</v>
      </c>
      <c r="F1480" s="22">
        <f>'VIX HISTORIQUE'!K1475</f>
        <v>20.5</v>
      </c>
    </row>
    <row r="1481" ht="15.75" customHeight="1">
      <c r="A1481" s="25">
        <f>'VIX HISTORIQUE'!A1476</f>
        <v>45405.66667</v>
      </c>
      <c r="B1481" s="22">
        <f>'VIX HISTORIQUE'!B1476</f>
        <v>5070.55</v>
      </c>
      <c r="C1481" s="22">
        <f>'VIX HISTORIQUE'!D1476</f>
        <v>15.69</v>
      </c>
      <c r="D1481" s="22">
        <f>'VIX HISTORIQUE'!G1476</f>
        <v>16.68</v>
      </c>
      <c r="E1481" s="22">
        <f>'VIX HISTORIQUE'!I1476</f>
        <v>18.17</v>
      </c>
      <c r="F1481" s="22">
        <f>'VIX HISTORIQUE'!K1476</f>
        <v>20</v>
      </c>
    </row>
    <row r="1482" ht="15.75" customHeight="1">
      <c r="A1482" s="25">
        <f>'VIX HISTORIQUE'!A1477</f>
        <v>45406.66667</v>
      </c>
      <c r="B1482" s="22">
        <f>'VIX HISTORIQUE'!B1477</f>
        <v>5071.63</v>
      </c>
      <c r="C1482" s="22">
        <f>'VIX HISTORIQUE'!D1477</f>
        <v>15.97</v>
      </c>
      <c r="D1482" s="22">
        <f>'VIX HISTORIQUE'!G1477</f>
        <v>16.84</v>
      </c>
      <c r="E1482" s="22">
        <f>'VIX HISTORIQUE'!I1477</f>
        <v>18.31</v>
      </c>
      <c r="F1482" s="22">
        <f>'VIX HISTORIQUE'!K1477</f>
        <v>20.04</v>
      </c>
    </row>
    <row r="1483" ht="15.75" customHeight="1">
      <c r="A1483" s="25">
        <f>'VIX HISTORIQUE'!A1478</f>
        <v>45407.66667</v>
      </c>
      <c r="B1483" s="22">
        <f>'VIX HISTORIQUE'!B1478</f>
        <v>5048.42</v>
      </c>
      <c r="C1483" s="22">
        <f>'VIX HISTORIQUE'!D1478</f>
        <v>15.37</v>
      </c>
      <c r="D1483" s="22">
        <f>'VIX HISTORIQUE'!G1478</f>
        <v>16.37</v>
      </c>
      <c r="E1483" s="22">
        <f>'VIX HISTORIQUE'!I1478</f>
        <v>17.88</v>
      </c>
      <c r="F1483" s="22">
        <f>'VIX HISTORIQUE'!K1478</f>
        <v>19.6</v>
      </c>
    </row>
    <row r="1484" ht="15.75" customHeight="1">
      <c r="A1484" s="25">
        <f>'VIX HISTORIQUE'!A1479</f>
        <v>45408.66667</v>
      </c>
      <c r="B1484" s="22">
        <f>'VIX HISTORIQUE'!B1479</f>
        <v>5099.96</v>
      </c>
      <c r="C1484" s="22">
        <f>'VIX HISTORIQUE'!D1479</f>
        <v>15.03</v>
      </c>
      <c r="D1484" s="22">
        <f>'VIX HISTORIQUE'!G1479</f>
        <v>16.27</v>
      </c>
      <c r="E1484" s="22">
        <f>'VIX HISTORIQUE'!I1479</f>
        <v>17.83</v>
      </c>
      <c r="F1484" s="22">
        <f>'VIX HISTORIQUE'!K1479</f>
        <v>19.6</v>
      </c>
    </row>
    <row r="1485" ht="15.75" customHeight="1">
      <c r="A1485" s="25">
        <f>'VIX HISTORIQUE'!A1480</f>
        <v>45411.66667</v>
      </c>
      <c r="B1485" s="22">
        <f>'VIX HISTORIQUE'!B1480</f>
        <v>5116.17</v>
      </c>
      <c r="C1485" s="22">
        <f>'VIX HISTORIQUE'!D1480</f>
        <v>14.67</v>
      </c>
      <c r="D1485" s="22">
        <f>'VIX HISTORIQUE'!G1480</f>
        <v>16</v>
      </c>
      <c r="E1485" s="22">
        <f>'VIX HISTORIQUE'!I1480</f>
        <v>17.63</v>
      </c>
      <c r="F1485" s="22">
        <f>'VIX HISTORIQUE'!K1480</f>
        <v>19.44</v>
      </c>
    </row>
    <row r="1486" ht="15.75" customHeight="1">
      <c r="A1486" s="25">
        <f>'VIX HISTORIQUE'!A1481</f>
        <v>45412.66667</v>
      </c>
      <c r="B1486" s="22">
        <f>'VIX HISTORIQUE'!B1481</f>
        <v>5035.69</v>
      </c>
      <c r="C1486" s="22">
        <f>'VIX HISTORIQUE'!D1481</f>
        <v>15.65</v>
      </c>
      <c r="D1486" s="22">
        <f>'VIX HISTORIQUE'!G1481</f>
        <v>16.59</v>
      </c>
      <c r="E1486" s="22">
        <f>'VIX HISTORIQUE'!I1481</f>
        <v>17.94</v>
      </c>
      <c r="F1486" s="22">
        <f>'VIX HISTORIQUE'!K1481</f>
        <v>19.65</v>
      </c>
    </row>
    <row r="1487" ht="15.75" customHeight="1">
      <c r="A1487" s="25">
        <f>'VIX HISTORIQUE'!A1482</f>
        <v>45413.66667</v>
      </c>
      <c r="B1487" s="22">
        <f>'VIX HISTORIQUE'!B1482</f>
        <v>5018.39</v>
      </c>
      <c r="C1487" s="22">
        <f>'VIX HISTORIQUE'!D1482</f>
        <v>15.39</v>
      </c>
      <c r="D1487" s="22">
        <f>'VIX HISTORIQUE'!G1482</f>
        <v>16.57</v>
      </c>
      <c r="E1487" s="22">
        <f>'VIX HISTORIQUE'!I1482</f>
        <v>18.16</v>
      </c>
      <c r="F1487" s="22">
        <f>'VIX HISTORIQUE'!K1482</f>
        <v>19.72</v>
      </c>
    </row>
    <row r="1488" ht="15.75" customHeight="1">
      <c r="A1488" s="25">
        <f>'VIX HISTORIQUE'!A1483</f>
        <v>45414.66667</v>
      </c>
      <c r="B1488" s="22">
        <f>'VIX HISTORIQUE'!B1483</f>
        <v>5064.2</v>
      </c>
      <c r="C1488" s="22">
        <f>'VIX HISTORIQUE'!D1483</f>
        <v>14.68</v>
      </c>
      <c r="D1488" s="22">
        <f>'VIX HISTORIQUE'!G1483</f>
        <v>16.05</v>
      </c>
      <c r="E1488" s="22">
        <f>'VIX HISTORIQUE'!I1483</f>
        <v>17.71</v>
      </c>
      <c r="F1488" s="22">
        <f>'VIX HISTORIQUE'!K1483</f>
        <v>19.4</v>
      </c>
    </row>
    <row r="1489" ht="15.75" customHeight="1">
      <c r="A1489" s="25">
        <f>'VIX HISTORIQUE'!A1484</f>
        <v>45415.66667</v>
      </c>
      <c r="B1489" s="22">
        <f>'VIX HISTORIQUE'!B1484</f>
        <v>5127.79</v>
      </c>
      <c r="C1489" s="22">
        <f>'VIX HISTORIQUE'!D1484</f>
        <v>13.49</v>
      </c>
      <c r="D1489" s="22">
        <f>'VIX HISTORIQUE'!G1484</f>
        <v>15.27</v>
      </c>
      <c r="E1489" s="22">
        <f>'VIX HISTORIQUE'!I1484</f>
        <v>17.13</v>
      </c>
      <c r="F1489" s="22">
        <f>'VIX HISTORIQUE'!K1484</f>
        <v>18.98</v>
      </c>
    </row>
    <row r="1490" ht="15.75" customHeight="1">
      <c r="A1490" s="25">
        <f>'VIX HISTORIQUE'!A1485</f>
        <v>45418.66667</v>
      </c>
      <c r="B1490" s="22">
        <f>'VIX HISTORIQUE'!B1485</f>
        <v>5180.74</v>
      </c>
      <c r="C1490" s="22">
        <f>'VIX HISTORIQUE'!D1485</f>
        <v>13.49</v>
      </c>
      <c r="D1490" s="22">
        <f>'VIX HISTORIQUE'!G1485</f>
        <v>15.02</v>
      </c>
      <c r="E1490" s="22">
        <f>'VIX HISTORIQUE'!I1485</f>
        <v>16.94</v>
      </c>
      <c r="F1490" s="22">
        <f>'VIX HISTORIQUE'!K1485</f>
        <v>18.88</v>
      </c>
    </row>
    <row r="1491" ht="15.75" customHeight="1">
      <c r="A1491" s="25">
        <f>'VIX HISTORIQUE'!A1486</f>
        <v>45419.66667</v>
      </c>
      <c r="B1491" s="22">
        <f>'VIX HISTORIQUE'!B1486</f>
        <v>5187.7</v>
      </c>
      <c r="C1491" s="22">
        <f>'VIX HISTORIQUE'!D1486</f>
        <v>13.23</v>
      </c>
      <c r="D1491" s="22">
        <f>'VIX HISTORIQUE'!G1486</f>
        <v>14.95</v>
      </c>
      <c r="E1491" s="22">
        <f>'VIX HISTORIQUE'!I1486</f>
        <v>16.9</v>
      </c>
      <c r="F1491" s="22">
        <f>'VIX HISTORIQUE'!K1486</f>
        <v>18.87</v>
      </c>
    </row>
    <row r="1492" ht="15.75" customHeight="1">
      <c r="A1492" s="25">
        <f>'VIX HISTORIQUE'!A1487</f>
        <v>45420.66667</v>
      </c>
      <c r="B1492" s="22">
        <f>'VIX HISTORIQUE'!B1487</f>
        <v>5187.67</v>
      </c>
      <c r="C1492" s="22">
        <f>'VIX HISTORIQUE'!D1487</f>
        <v>13</v>
      </c>
      <c r="D1492" s="22">
        <f>'VIX HISTORIQUE'!G1487</f>
        <v>14.9</v>
      </c>
      <c r="E1492" s="22">
        <f>'VIX HISTORIQUE'!I1487</f>
        <v>16.89</v>
      </c>
      <c r="F1492" s="22">
        <f>'VIX HISTORIQUE'!K1487</f>
        <v>18.69</v>
      </c>
    </row>
    <row r="1493" ht="15.75" customHeight="1">
      <c r="A1493" s="25">
        <f>'VIX HISTORIQUE'!A1488</f>
        <v>45421.66667</v>
      </c>
      <c r="B1493" s="22">
        <f>'VIX HISTORIQUE'!B1488</f>
        <v>5214.08</v>
      </c>
      <c r="C1493" s="22">
        <f>'VIX HISTORIQUE'!D1488</f>
        <v>12.69</v>
      </c>
      <c r="D1493" s="22">
        <f>'VIX HISTORIQUE'!G1488</f>
        <v>14.71</v>
      </c>
      <c r="E1493" s="22">
        <f>'VIX HISTORIQUE'!I1488</f>
        <v>16.68</v>
      </c>
      <c r="F1493" s="22">
        <f>'VIX HISTORIQUE'!K1488</f>
        <v>18.55</v>
      </c>
    </row>
    <row r="1494" ht="15.75" customHeight="1">
      <c r="A1494" s="25">
        <f>'VIX HISTORIQUE'!A1489</f>
        <v>45422.66667</v>
      </c>
      <c r="B1494" s="22">
        <f>'VIX HISTORIQUE'!B1489</f>
        <v>5222.68</v>
      </c>
      <c r="C1494" s="22">
        <f>'VIX HISTORIQUE'!D1489</f>
        <v>12.55</v>
      </c>
      <c r="D1494" s="22">
        <f>'VIX HISTORIQUE'!G1489</f>
        <v>14.66</v>
      </c>
      <c r="E1494" s="22">
        <f>'VIX HISTORIQUE'!I1489</f>
        <v>16.67</v>
      </c>
      <c r="F1494" s="22">
        <f>'VIX HISTORIQUE'!K1489</f>
        <v>18.68</v>
      </c>
    </row>
    <row r="1495" ht="15.75" customHeight="1">
      <c r="A1495" s="25">
        <f>'VIX HISTORIQUE'!A1490</f>
        <v>45425.66667</v>
      </c>
      <c r="B1495" s="22">
        <f>'VIX HISTORIQUE'!B1490</f>
        <v>5221.42</v>
      </c>
      <c r="C1495" s="22">
        <f>'VIX HISTORIQUE'!D1490</f>
        <v>13.6</v>
      </c>
      <c r="D1495" s="22">
        <f>'VIX HISTORIQUE'!G1490</f>
        <v>14.89</v>
      </c>
      <c r="E1495" s="22">
        <f>'VIX HISTORIQUE'!I1490</f>
        <v>16.86</v>
      </c>
      <c r="F1495" s="22">
        <f>'VIX HISTORIQUE'!K1490</f>
        <v>18.65</v>
      </c>
    </row>
    <row r="1496" ht="15.75" customHeight="1">
      <c r="A1496" s="25">
        <f>'VIX HISTORIQUE'!A1491</f>
        <v>45426.66667</v>
      </c>
      <c r="B1496" s="22">
        <f>'VIX HISTORIQUE'!B1491</f>
        <v>5246.68</v>
      </c>
      <c r="C1496" s="22">
        <f>'VIX HISTORIQUE'!D1491</f>
        <v>13.42</v>
      </c>
      <c r="D1496" s="22">
        <f>'VIX HISTORIQUE'!G1491</f>
        <v>14.7</v>
      </c>
      <c r="E1496" s="22">
        <f>'VIX HISTORIQUE'!I1491</f>
        <v>16.76</v>
      </c>
      <c r="F1496" s="22">
        <f>'VIX HISTORIQUE'!K1491</f>
        <v>18.72</v>
      </c>
    </row>
    <row r="1497" ht="15.75" customHeight="1">
      <c r="A1497" s="25">
        <f>'VIX HISTORIQUE'!A1492</f>
        <v>45427.66667</v>
      </c>
      <c r="B1497" s="22">
        <f>'VIX HISTORIQUE'!B1492</f>
        <v>5308.15</v>
      </c>
      <c r="C1497" s="22">
        <f>'VIX HISTORIQUE'!D1492</f>
        <v>12.45</v>
      </c>
      <c r="D1497" s="22">
        <f>'VIX HISTORIQUE'!G1492</f>
        <v>14.08</v>
      </c>
      <c r="E1497" s="22">
        <f>'VIX HISTORIQUE'!I1492</f>
        <v>16.33</v>
      </c>
      <c r="F1497" s="22">
        <f>'VIX HISTORIQUE'!K1492</f>
        <v>18.28</v>
      </c>
    </row>
    <row r="1498" ht="15.75" customHeight="1">
      <c r="A1498" s="25">
        <f>'VIX HISTORIQUE'!A1493</f>
        <v>45428.66667</v>
      </c>
      <c r="B1498" s="22">
        <f>'VIX HISTORIQUE'!B1493</f>
        <v>5297.1</v>
      </c>
      <c r="C1498" s="22">
        <f>'VIX HISTORIQUE'!D1493</f>
        <v>12.42</v>
      </c>
      <c r="D1498" s="22">
        <f>'VIX HISTORIQUE'!G1493</f>
        <v>14.22</v>
      </c>
      <c r="E1498" s="22">
        <f>'VIX HISTORIQUE'!I1493</f>
        <v>16.46</v>
      </c>
      <c r="F1498" s="22">
        <f>'VIX HISTORIQUE'!K1493</f>
        <v>18.37</v>
      </c>
    </row>
    <row r="1499" ht="15.75" customHeight="1">
      <c r="A1499" s="25">
        <f>'VIX HISTORIQUE'!A1494</f>
        <v>45429.66667</v>
      </c>
      <c r="B1499" s="22">
        <f>'VIX HISTORIQUE'!B1494</f>
        <v>5303.27</v>
      </c>
      <c r="C1499" s="22">
        <f>'VIX HISTORIQUE'!D1494</f>
        <v>11.99</v>
      </c>
      <c r="D1499" s="22">
        <f>'VIX HISTORIQUE'!G1494</f>
        <v>13.99</v>
      </c>
      <c r="E1499" s="22">
        <f>'VIX HISTORIQUE'!I1494</f>
        <v>16.29</v>
      </c>
      <c r="F1499" s="22">
        <f>'VIX HISTORIQUE'!K1494</f>
        <v>18.31</v>
      </c>
    </row>
    <row r="1500" ht="15.75" customHeight="1">
      <c r="A1500" s="25">
        <f>'VIX HISTORIQUE'!A1495</f>
        <v>45432.66667</v>
      </c>
      <c r="B1500" s="22">
        <f>'VIX HISTORIQUE'!B1495</f>
        <v>5308.13</v>
      </c>
      <c r="C1500" s="22">
        <f>'VIX HISTORIQUE'!D1495</f>
        <v>12.15</v>
      </c>
      <c r="D1500" s="22">
        <f>'VIX HISTORIQUE'!G1495</f>
        <v>14.11</v>
      </c>
      <c r="E1500" s="22">
        <f>'VIX HISTORIQUE'!I1495</f>
        <v>16.34</v>
      </c>
      <c r="F1500" s="22">
        <f>'VIX HISTORIQUE'!K1495</f>
        <v>18.33</v>
      </c>
    </row>
    <row r="1501" ht="15.75" customHeight="1">
      <c r="A1501" s="25">
        <f>'VIX HISTORIQUE'!A1496</f>
        <v>45433.66667</v>
      </c>
      <c r="B1501" s="22">
        <f>'VIX HISTORIQUE'!B1496</f>
        <v>5321.41</v>
      </c>
      <c r="C1501" s="22">
        <f>'VIX HISTORIQUE'!D1496</f>
        <v>11.86</v>
      </c>
      <c r="D1501" s="22">
        <f>'VIX HISTORIQUE'!G1496</f>
        <v>13.95</v>
      </c>
      <c r="E1501" s="22">
        <f>'VIX HISTORIQUE'!I1496</f>
        <v>16.2</v>
      </c>
      <c r="F1501" s="22">
        <f>'VIX HISTORIQUE'!K1496</f>
        <v>18.27</v>
      </c>
    </row>
    <row r="1502" ht="15.75" customHeight="1">
      <c r="A1502" s="25">
        <f>'VIX HISTORIQUE'!A1497</f>
        <v>45434.66667</v>
      </c>
      <c r="B1502" s="22">
        <f>'VIX HISTORIQUE'!B1497</f>
        <v>5307.01</v>
      </c>
      <c r="C1502" s="22">
        <f>'VIX HISTORIQUE'!D1497</f>
        <v>12.29</v>
      </c>
      <c r="D1502" s="22">
        <f>'VIX HISTORIQUE'!G1497</f>
        <v>14.31</v>
      </c>
      <c r="E1502" s="22">
        <f>'VIX HISTORIQUE'!I1497</f>
        <v>16.51</v>
      </c>
      <c r="F1502" s="22">
        <f>'VIX HISTORIQUE'!K1497</f>
        <v>18.47</v>
      </c>
    </row>
    <row r="1503" ht="15.75" customHeight="1">
      <c r="A1503" s="25">
        <f>'VIX HISTORIQUE'!A1498</f>
        <v>45435.66667</v>
      </c>
      <c r="B1503" s="22">
        <f>'VIX HISTORIQUE'!B1498</f>
        <v>5267.84</v>
      </c>
      <c r="C1503" s="22">
        <f>'VIX HISTORIQUE'!D1498</f>
        <v>12.77</v>
      </c>
      <c r="D1503" s="22">
        <f>'VIX HISTORIQUE'!G1498</f>
        <v>14.67</v>
      </c>
      <c r="E1503" s="22">
        <f>'VIX HISTORIQUE'!I1498</f>
        <v>16.7</v>
      </c>
      <c r="F1503" s="22">
        <f>'VIX HISTORIQUE'!K1498</f>
        <v>18.66</v>
      </c>
    </row>
    <row r="1504" ht="15.75" customHeight="1">
      <c r="A1504" s="25">
        <f>'VIX HISTORIQUE'!A1499</f>
        <v>45436.66667</v>
      </c>
      <c r="B1504" s="22">
        <f>'VIX HISTORIQUE'!B1499</f>
        <v>5304.72</v>
      </c>
      <c r="C1504" s="22">
        <f>'VIX HISTORIQUE'!D1499</f>
        <v>11.93</v>
      </c>
      <c r="D1504" s="22">
        <f>'VIX HISTORIQUE'!G1499</f>
        <v>14.17</v>
      </c>
      <c r="E1504" s="22">
        <f>'VIX HISTORIQUE'!I1499</f>
        <v>16.36</v>
      </c>
      <c r="F1504" s="22">
        <f>'VIX HISTORIQUE'!K1499</f>
        <v>18.44</v>
      </c>
    </row>
    <row r="1505" ht="15.75" customHeight="1">
      <c r="A1505" s="25">
        <f>'VIX HISTORIQUE'!A1500</f>
        <v>45440.66667</v>
      </c>
      <c r="B1505" s="22">
        <f>'VIX HISTORIQUE'!B1500</f>
        <v>5306.04</v>
      </c>
      <c r="C1505" s="22">
        <f>'VIX HISTORIQUE'!D1500</f>
        <v>12.92</v>
      </c>
      <c r="D1505" s="22">
        <f>'VIX HISTORIQUE'!G1500</f>
        <v>14.72</v>
      </c>
      <c r="E1505" s="22">
        <f>'VIX HISTORIQUE'!I1500</f>
        <v>16.71</v>
      </c>
      <c r="F1505" s="22">
        <f>'VIX HISTORIQUE'!K1500</f>
        <v>18.56</v>
      </c>
    </row>
    <row r="1506" ht="15.75" customHeight="1">
      <c r="A1506" s="25">
        <f>'VIX HISTORIQUE'!A1501</f>
        <v>45441.66667</v>
      </c>
      <c r="B1506" s="22">
        <f>'VIX HISTORIQUE'!B1501</f>
        <v>5266.95</v>
      </c>
      <c r="C1506" s="22">
        <f>'VIX HISTORIQUE'!D1501</f>
        <v>14.28</v>
      </c>
      <c r="D1506" s="22">
        <f>'VIX HISTORIQUE'!G1501</f>
        <v>15.45</v>
      </c>
      <c r="E1506" s="22">
        <f>'VIX HISTORIQUE'!I1501</f>
        <v>17.21</v>
      </c>
      <c r="F1506" s="22">
        <f>'VIX HISTORIQUE'!K1501</f>
        <v>18.89</v>
      </c>
    </row>
    <row r="1507" ht="15.75" customHeight="1">
      <c r="A1507" s="25">
        <f>'VIX HISTORIQUE'!A1502</f>
        <v>45442.66667</v>
      </c>
      <c r="B1507" s="22">
        <f>'VIX HISTORIQUE'!B1502</f>
        <v>5235.48</v>
      </c>
      <c r="C1507" s="22">
        <f>'VIX HISTORIQUE'!D1502</f>
        <v>14.47</v>
      </c>
      <c r="D1507" s="22">
        <f>'VIX HISTORIQUE'!G1502</f>
        <v>15.59</v>
      </c>
      <c r="E1507" s="22">
        <f>'VIX HISTORIQUE'!I1502</f>
        <v>17.3</v>
      </c>
      <c r="F1507" s="22">
        <f>'VIX HISTORIQUE'!K1502</f>
        <v>18.9</v>
      </c>
    </row>
    <row r="1508" ht="15.75" customHeight="1">
      <c r="A1508" s="25">
        <f>'VIX HISTORIQUE'!A1503</f>
        <v>45443.66667</v>
      </c>
      <c r="B1508" s="22">
        <f>'VIX HISTORIQUE'!B1503</f>
        <v>5277.51</v>
      </c>
      <c r="C1508" s="22">
        <f>'VIX HISTORIQUE'!D1503</f>
        <v>12.92</v>
      </c>
      <c r="D1508" s="22">
        <f>'VIX HISTORIQUE'!G1503</f>
        <v>14.66</v>
      </c>
      <c r="E1508" s="22">
        <f>'VIX HISTORIQUE'!I1503</f>
        <v>16.61</v>
      </c>
      <c r="F1508" s="22">
        <f>'VIX HISTORIQUE'!K1503</f>
        <v>18.4</v>
      </c>
    </row>
    <row r="1509" ht="15.75" customHeight="1">
      <c r="A1509" s="25">
        <f>'VIX HISTORIQUE'!A1504</f>
        <v>45446.66667</v>
      </c>
      <c r="B1509" s="22">
        <f>'VIX HISTORIQUE'!B1504</f>
        <v>5283.4</v>
      </c>
      <c r="C1509" s="22">
        <f>'VIX HISTORIQUE'!D1504</f>
        <v>13.11</v>
      </c>
      <c r="D1509" s="22">
        <f>'VIX HISTORIQUE'!G1504</f>
        <v>14.8</v>
      </c>
      <c r="E1509" s="22">
        <f>'VIX HISTORIQUE'!I1504</f>
        <v>16.74</v>
      </c>
      <c r="F1509" s="22">
        <f>'VIX HISTORIQUE'!K1504</f>
        <v>18.5</v>
      </c>
    </row>
    <row r="1510" ht="15.75" customHeight="1">
      <c r="A1510" s="25">
        <f>'VIX HISTORIQUE'!A1505</f>
        <v>45447.66667</v>
      </c>
      <c r="B1510" s="22">
        <f>'VIX HISTORIQUE'!B1505</f>
        <v>5291.34</v>
      </c>
      <c r="C1510" s="22">
        <f>'VIX HISTORIQUE'!D1505</f>
        <v>13.16</v>
      </c>
      <c r="D1510" s="22">
        <f>'VIX HISTORIQUE'!G1505</f>
        <v>14.88</v>
      </c>
      <c r="E1510" s="22">
        <f>'VIX HISTORIQUE'!I1505</f>
        <v>16.84</v>
      </c>
      <c r="F1510" s="22">
        <f>'VIX HISTORIQUE'!K1505</f>
        <v>18.61</v>
      </c>
    </row>
    <row r="1511" ht="15.75" customHeight="1">
      <c r="A1511" s="25">
        <f>'VIX HISTORIQUE'!A1506</f>
        <v>45448.66667</v>
      </c>
      <c r="B1511" s="22">
        <f>'VIX HISTORIQUE'!B1506</f>
        <v>5354.03</v>
      </c>
      <c r="C1511" s="22">
        <f>'VIX HISTORIQUE'!D1506</f>
        <v>12.63</v>
      </c>
      <c r="D1511" s="22">
        <f>'VIX HISTORIQUE'!G1506</f>
        <v>14.54</v>
      </c>
      <c r="E1511" s="22">
        <f>'VIX HISTORIQUE'!I1506</f>
        <v>16.61</v>
      </c>
      <c r="F1511" s="22">
        <f>'VIX HISTORIQUE'!K1506</f>
        <v>18.37</v>
      </c>
    </row>
    <row r="1512" ht="15.75" customHeight="1">
      <c r="A1512" s="25">
        <f>'VIX HISTORIQUE'!A1507</f>
        <v>45449.66667</v>
      </c>
      <c r="B1512" s="22">
        <f>'VIX HISTORIQUE'!B1507</f>
        <v>5352.96</v>
      </c>
      <c r="C1512" s="22">
        <f>'VIX HISTORIQUE'!D1507</f>
        <v>12.58</v>
      </c>
      <c r="D1512" s="22">
        <f>'VIX HISTORIQUE'!G1507</f>
        <v>14.54</v>
      </c>
      <c r="E1512" s="22">
        <f>'VIX HISTORIQUE'!I1507</f>
        <v>16.62</v>
      </c>
      <c r="F1512" s="22">
        <f>'VIX HISTORIQUE'!K1507</f>
        <v>18.35</v>
      </c>
    </row>
    <row r="1513" ht="15.75" customHeight="1">
      <c r="A1513" s="25">
        <f>'VIX HISTORIQUE'!A1508</f>
        <v>45450.66667</v>
      </c>
      <c r="B1513" s="22">
        <f>'VIX HISTORIQUE'!B1508</f>
        <v>5346.99</v>
      </c>
      <c r="C1513" s="22">
        <f>'VIX HISTORIQUE'!D1508</f>
        <v>12.22</v>
      </c>
      <c r="D1513" s="22">
        <f>'VIX HISTORIQUE'!G1508</f>
        <v>14.41</v>
      </c>
      <c r="E1513" s="22">
        <f>'VIX HISTORIQUE'!I1508</f>
        <v>16.54</v>
      </c>
      <c r="F1513" s="22">
        <f>'VIX HISTORIQUE'!K1508</f>
        <v>18.25</v>
      </c>
    </row>
    <row r="1514" ht="15.75" customHeight="1">
      <c r="A1514" s="25">
        <f>'VIX HISTORIQUE'!A1509</f>
        <v>45453.66667</v>
      </c>
      <c r="B1514" s="22">
        <f>'VIX HISTORIQUE'!B1509</f>
        <v>5360.79</v>
      </c>
      <c r="C1514" s="22">
        <f>'VIX HISTORIQUE'!D1509</f>
        <v>12.74</v>
      </c>
      <c r="D1514" s="22">
        <f>'VIX HISTORIQUE'!G1509</f>
        <v>14.6</v>
      </c>
      <c r="E1514" s="22">
        <f>'VIX HISTORIQUE'!I1509</f>
        <v>16.67</v>
      </c>
      <c r="F1514" s="22">
        <f>'VIX HISTORIQUE'!K1509</f>
        <v>18.32</v>
      </c>
    </row>
    <row r="1515" ht="15.75" customHeight="1">
      <c r="A1515" s="25">
        <f>'VIX HISTORIQUE'!A1510</f>
        <v>45454.66667</v>
      </c>
      <c r="B1515" s="22">
        <f>'VIX HISTORIQUE'!B1510</f>
        <v>5375.32</v>
      </c>
      <c r="C1515" s="22">
        <f>'VIX HISTORIQUE'!D1510</f>
        <v>12.85</v>
      </c>
      <c r="D1515" s="22">
        <f>'VIX HISTORIQUE'!G1510</f>
        <v>14.49</v>
      </c>
      <c r="E1515" s="22">
        <f>'VIX HISTORIQUE'!I1510</f>
        <v>16.59</v>
      </c>
      <c r="F1515" s="22">
        <f>'VIX HISTORIQUE'!K1510</f>
        <v>18.25</v>
      </c>
    </row>
    <row r="1516" ht="15.75" customHeight="1">
      <c r="A1516" s="25">
        <f>'VIX HISTORIQUE'!A1511</f>
        <v>45455.66667</v>
      </c>
      <c r="B1516" s="22">
        <f>'VIX HISTORIQUE'!B1511</f>
        <v>5421.03</v>
      </c>
      <c r="C1516" s="22">
        <f>'VIX HISTORIQUE'!D1511</f>
        <v>12.04</v>
      </c>
      <c r="D1516" s="22">
        <f>'VIX HISTORIQUE'!G1511</f>
        <v>14.12</v>
      </c>
      <c r="E1516" s="22">
        <f>'VIX HISTORIQUE'!I1511</f>
        <v>16.38</v>
      </c>
      <c r="F1516" s="22">
        <f>'VIX HISTORIQUE'!K1511</f>
        <v>18.21</v>
      </c>
    </row>
    <row r="1517" ht="15.75" customHeight="1">
      <c r="A1517" s="25">
        <f>'VIX HISTORIQUE'!A1512</f>
        <v>45456.66667</v>
      </c>
      <c r="B1517" s="22">
        <f>'VIX HISTORIQUE'!B1512</f>
        <v>5433.74</v>
      </c>
      <c r="C1517" s="22">
        <f>'VIX HISTORIQUE'!D1512</f>
        <v>11.94</v>
      </c>
      <c r="D1517" s="22">
        <f>'VIX HISTORIQUE'!G1512</f>
        <v>14.17</v>
      </c>
      <c r="E1517" s="22">
        <f>'VIX HISTORIQUE'!I1512</f>
        <v>16.49</v>
      </c>
      <c r="F1517" s="22">
        <f>'VIX HISTORIQUE'!K1512</f>
        <v>18.25</v>
      </c>
    </row>
    <row r="1518" ht="15.75" customHeight="1">
      <c r="A1518" s="25">
        <f>'VIX HISTORIQUE'!A1513</f>
        <v>45457.66667</v>
      </c>
      <c r="B1518" s="22">
        <f>'VIX HISTORIQUE'!B1513</f>
        <v>5431.6</v>
      </c>
      <c r="C1518" s="22">
        <f>'VIX HISTORIQUE'!D1513</f>
        <v>12.66</v>
      </c>
      <c r="D1518" s="22">
        <f>'VIX HISTORIQUE'!G1513</f>
        <v>14.84</v>
      </c>
      <c r="E1518" s="22">
        <f>'VIX HISTORIQUE'!I1513</f>
        <v>17.03</v>
      </c>
      <c r="F1518" s="22">
        <f>'VIX HISTORIQUE'!K1513</f>
        <v>18.59</v>
      </c>
    </row>
    <row r="1519" ht="15.75" customHeight="1">
      <c r="A1519" s="25">
        <f>'VIX HISTORIQUE'!A1514</f>
        <v>45460.66667</v>
      </c>
      <c r="B1519" s="22">
        <f>'VIX HISTORIQUE'!B1514</f>
        <v>5473.23</v>
      </c>
      <c r="C1519" s="22">
        <f>'VIX HISTORIQUE'!D1514</f>
        <v>12.75</v>
      </c>
      <c r="D1519" s="22">
        <f>'VIX HISTORIQUE'!G1514</f>
        <v>14.79</v>
      </c>
      <c r="E1519" s="22">
        <f>'VIX HISTORIQUE'!I1514</f>
        <v>17</v>
      </c>
      <c r="F1519" s="22">
        <f>'VIX HISTORIQUE'!K1514</f>
        <v>18.56</v>
      </c>
    </row>
    <row r="1520" ht="15.75" customHeight="1">
      <c r="A1520" s="25">
        <f>'VIX HISTORIQUE'!A1515</f>
        <v>45461.66667</v>
      </c>
      <c r="B1520" s="22">
        <f>'VIX HISTORIQUE'!B1515</f>
        <v>5487.03</v>
      </c>
      <c r="C1520" s="22">
        <f>'VIX HISTORIQUE'!D1515</f>
        <v>12.3</v>
      </c>
      <c r="D1520" s="22">
        <f>'VIX HISTORIQUE'!G1515</f>
        <v>14.69</v>
      </c>
      <c r="E1520" s="22">
        <f>'VIX HISTORIQUE'!I1515</f>
        <v>16.99</v>
      </c>
      <c r="F1520" s="22">
        <f>'VIX HISTORIQUE'!K1515</f>
        <v>18.59</v>
      </c>
    </row>
    <row r="1521" ht="15.75" customHeight="1">
      <c r="A1521" s="25">
        <f>'VIX HISTORIQUE'!A1516</f>
        <v>45463.66667</v>
      </c>
      <c r="B1521" s="22">
        <f>'VIX HISTORIQUE'!B1516</f>
        <v>5473.17</v>
      </c>
      <c r="C1521" s="22">
        <f>'VIX HISTORIQUE'!D1516</f>
        <v>13.28</v>
      </c>
      <c r="D1521" s="22">
        <f>'VIX HISTORIQUE'!G1516</f>
        <v>15.41</v>
      </c>
      <c r="E1521" s="22">
        <f>'VIX HISTORIQUE'!I1516</f>
        <v>17.62</v>
      </c>
      <c r="F1521" s="22">
        <f>'VIX HISTORIQUE'!K1516</f>
        <v>19.09</v>
      </c>
    </row>
    <row r="1522" ht="15.75" customHeight="1">
      <c r="A1522" s="25">
        <f>'VIX HISTORIQUE'!A1517</f>
        <v>45464.66667</v>
      </c>
      <c r="B1522" s="22">
        <f>'VIX HISTORIQUE'!B1517</f>
        <v>5464.62</v>
      </c>
      <c r="C1522" s="22">
        <f>'VIX HISTORIQUE'!D1517</f>
        <v>13.2</v>
      </c>
      <c r="D1522" s="22">
        <f>'VIX HISTORIQUE'!G1517</f>
        <v>15.17</v>
      </c>
      <c r="E1522" s="22">
        <f>'VIX HISTORIQUE'!I1517</f>
        <v>17.46</v>
      </c>
      <c r="F1522" s="22">
        <f>'VIX HISTORIQUE'!K1517</f>
        <v>19.13</v>
      </c>
    </row>
    <row r="1523" ht="15.75" customHeight="1">
      <c r="A1523" s="25">
        <f>'VIX HISTORIQUE'!A1518</f>
        <v>45467.66667</v>
      </c>
      <c r="B1523" s="22">
        <f>'VIX HISTORIQUE'!B1518</f>
        <v>5447.87</v>
      </c>
      <c r="C1523" s="22">
        <f>'VIX HISTORIQUE'!D1518</f>
        <v>13.33</v>
      </c>
      <c r="D1523" s="22">
        <f>'VIX HISTORIQUE'!G1518</f>
        <v>15.23</v>
      </c>
      <c r="E1523" s="22">
        <f>'VIX HISTORIQUE'!I1518</f>
        <v>17.56</v>
      </c>
      <c r="F1523" s="22">
        <f>'VIX HISTORIQUE'!K1518</f>
        <v>19.25</v>
      </c>
    </row>
    <row r="1524" ht="15.75" customHeight="1">
      <c r="A1524" s="25">
        <f>'VIX HISTORIQUE'!A1519</f>
        <v>45468.66667</v>
      </c>
      <c r="B1524" s="22">
        <f>'VIX HISTORIQUE'!B1519</f>
        <v>5469.3</v>
      </c>
      <c r="C1524" s="22">
        <f>'VIX HISTORIQUE'!D1519</f>
        <v>12.84</v>
      </c>
      <c r="D1524" s="22">
        <f>'VIX HISTORIQUE'!G1519</f>
        <v>14.86</v>
      </c>
      <c r="E1524" s="22">
        <f>'VIX HISTORIQUE'!I1519</f>
        <v>17.24</v>
      </c>
      <c r="F1524" s="22">
        <f>'VIX HISTORIQUE'!K1519</f>
        <v>18.9</v>
      </c>
    </row>
    <row r="1525" ht="15.75" customHeight="1">
      <c r="A1525" s="25">
        <f>'VIX HISTORIQUE'!A1520</f>
        <v>45469.66667</v>
      </c>
      <c r="B1525" s="22">
        <f>'VIX HISTORIQUE'!B1520</f>
        <v>5477.9</v>
      </c>
      <c r="C1525" s="22">
        <f>'VIX HISTORIQUE'!D1520</f>
        <v>12.55</v>
      </c>
      <c r="D1525" s="22">
        <f>'VIX HISTORIQUE'!G1520</f>
        <v>14.71</v>
      </c>
      <c r="E1525" s="22">
        <f>'VIX HISTORIQUE'!I1520</f>
        <v>17.18</v>
      </c>
      <c r="F1525" s="22">
        <f>'VIX HISTORIQUE'!K1520</f>
        <v>18.89</v>
      </c>
    </row>
    <row r="1526" ht="15.75" customHeight="1">
      <c r="A1526" s="25">
        <f>'VIX HISTORIQUE'!A1521</f>
        <v>45470.66667</v>
      </c>
      <c r="B1526" s="22">
        <f>'VIX HISTORIQUE'!B1521</f>
        <v>5482.87</v>
      </c>
      <c r="C1526" s="22">
        <f>'VIX HISTORIQUE'!D1521</f>
        <v>12.24</v>
      </c>
      <c r="D1526" s="22">
        <f>'VIX HISTORIQUE'!G1521</f>
        <v>14.42</v>
      </c>
      <c r="E1526" s="22">
        <f>'VIX HISTORIQUE'!I1521</f>
        <v>16.92</v>
      </c>
      <c r="F1526" s="22">
        <f>'VIX HISTORIQUE'!K1521</f>
        <v>18.66</v>
      </c>
    </row>
    <row r="1527" ht="15.75" customHeight="1">
      <c r="A1527" s="25">
        <f>'VIX HISTORIQUE'!A1522</f>
        <v>45471.66667</v>
      </c>
      <c r="B1527" s="22">
        <f>'VIX HISTORIQUE'!B1522</f>
        <v>5460.48</v>
      </c>
      <c r="C1527" s="22">
        <f>'VIX HISTORIQUE'!D1522</f>
        <v>12.44</v>
      </c>
      <c r="D1527" s="22">
        <f>'VIX HISTORIQUE'!G1522</f>
        <v>14.52</v>
      </c>
      <c r="E1527" s="22">
        <f>'VIX HISTORIQUE'!I1522</f>
        <v>16.95</v>
      </c>
      <c r="F1527" s="22">
        <f>'VIX HISTORIQUE'!K1522</f>
        <v>18.73</v>
      </c>
    </row>
    <row r="1528" ht="15.75" customHeight="1">
      <c r="A1528" s="25">
        <f>'VIX HISTORIQUE'!A1523</f>
        <v>45474.66667</v>
      </c>
      <c r="B1528" s="22">
        <f>'VIX HISTORIQUE'!B1523</f>
        <v>5475.09</v>
      </c>
      <c r="C1528" s="22">
        <f>'VIX HISTORIQUE'!D1523</f>
        <v>12.22</v>
      </c>
      <c r="D1528" s="22">
        <f>'VIX HISTORIQUE'!G1523</f>
        <v>14.19</v>
      </c>
      <c r="E1528" s="22">
        <f>'VIX HISTORIQUE'!I1523</f>
        <v>16.68</v>
      </c>
      <c r="F1528" s="22">
        <f>'VIX HISTORIQUE'!K1523</f>
        <v>18.48</v>
      </c>
    </row>
    <row r="1529" ht="15.75" customHeight="1">
      <c r="A1529" s="25">
        <f>'VIX HISTORIQUE'!A1524</f>
        <v>45475.66667</v>
      </c>
      <c r="B1529" s="22">
        <f>'VIX HISTORIQUE'!B1524</f>
        <v>5509.01</v>
      </c>
      <c r="C1529" s="22">
        <f>'VIX HISTORIQUE'!D1524</f>
        <v>12.03</v>
      </c>
      <c r="D1529" s="22">
        <f>'VIX HISTORIQUE'!G1524</f>
        <v>14.01</v>
      </c>
      <c r="E1529" s="22">
        <f>'VIX HISTORIQUE'!I1524</f>
        <v>16.53</v>
      </c>
      <c r="F1529" s="22">
        <f>'VIX HISTORIQUE'!K1524</f>
        <v>18.38</v>
      </c>
    </row>
    <row r="1530" ht="15.75" customHeight="1">
      <c r="A1530" s="25">
        <f>'VIX HISTORIQUE'!A1525</f>
        <v>45476.54167</v>
      </c>
      <c r="B1530" s="22">
        <f>'VIX HISTORIQUE'!B1525</f>
        <v>5537.02</v>
      </c>
      <c r="C1530" s="22">
        <f>'VIX HISTORIQUE'!D1525</f>
        <v>12.09</v>
      </c>
      <c r="D1530" s="22">
        <f>'VIX HISTORIQUE'!G1525</f>
        <v>14.02</v>
      </c>
      <c r="E1530" s="22">
        <f>'VIX HISTORIQUE'!I1525</f>
        <v>16.55</v>
      </c>
      <c r="F1530" s="22">
        <f>'VIX HISTORIQUE'!K1525</f>
        <v>18.4</v>
      </c>
    </row>
    <row r="1531" ht="15.75" customHeight="1">
      <c r="A1531" s="25">
        <f>'VIX HISTORIQUE'!A1526</f>
        <v>45478.66667</v>
      </c>
      <c r="B1531" s="22">
        <f>'VIX HISTORIQUE'!B1526</f>
        <v>5567.19</v>
      </c>
      <c r="C1531" s="22">
        <f>'VIX HISTORIQUE'!D1526</f>
        <v>12.48</v>
      </c>
      <c r="D1531" s="22">
        <f>'VIX HISTORIQUE'!G1526</f>
        <v>14.35</v>
      </c>
      <c r="E1531" s="22">
        <f>'VIX HISTORIQUE'!I1526</f>
        <v>16.71</v>
      </c>
      <c r="F1531" s="22">
        <f>'VIX HISTORIQUE'!K1526</f>
        <v>18.44</v>
      </c>
    </row>
    <row r="1532" ht="15.75" customHeight="1">
      <c r="A1532" s="25">
        <f>'VIX HISTORIQUE'!A1527</f>
        <v>45481.66667</v>
      </c>
      <c r="B1532" s="22">
        <f>'VIX HISTORIQUE'!B1527</f>
        <v>5572.85</v>
      </c>
      <c r="C1532" s="22">
        <f>'VIX HISTORIQUE'!D1527</f>
        <v>12.37</v>
      </c>
      <c r="D1532" s="22">
        <f>'VIX HISTORIQUE'!G1527</f>
        <v>14.29</v>
      </c>
      <c r="E1532" s="22">
        <f>'VIX HISTORIQUE'!I1527</f>
        <v>16.65</v>
      </c>
      <c r="F1532" s="22">
        <f>'VIX HISTORIQUE'!K1527</f>
        <v>18.38</v>
      </c>
    </row>
    <row r="1533" ht="15.75" customHeight="1">
      <c r="A1533" s="25">
        <f>'VIX HISTORIQUE'!A1528</f>
        <v>45482.66667</v>
      </c>
      <c r="B1533" s="22">
        <f>'VIX HISTORIQUE'!B1528</f>
        <v>5576.98</v>
      </c>
      <c r="C1533" s="22">
        <f>'VIX HISTORIQUE'!D1528</f>
        <v>12.51</v>
      </c>
      <c r="D1533" s="22">
        <f>'VIX HISTORIQUE'!G1528</f>
        <v>14.39</v>
      </c>
      <c r="E1533" s="22">
        <f>'VIX HISTORIQUE'!I1528</f>
        <v>16.77</v>
      </c>
      <c r="F1533" s="22">
        <f>'VIX HISTORIQUE'!K1528</f>
        <v>18.48</v>
      </c>
    </row>
    <row r="1534" ht="15.75" customHeight="1">
      <c r="A1534" s="25">
        <f>'VIX HISTORIQUE'!A1529</f>
        <v>45483.66667</v>
      </c>
      <c r="B1534" s="22">
        <f>'VIX HISTORIQUE'!B1529</f>
        <v>5633.91</v>
      </c>
      <c r="C1534" s="22">
        <f>'VIX HISTORIQUE'!D1529</f>
        <v>12.85</v>
      </c>
      <c r="D1534" s="22">
        <f>'VIX HISTORIQUE'!G1529</f>
        <v>14.5</v>
      </c>
      <c r="E1534" s="22">
        <f>'VIX HISTORIQUE'!I1529</f>
        <v>16.8</v>
      </c>
      <c r="F1534" s="22">
        <f>'VIX HISTORIQUE'!K1529</f>
        <v>18.5</v>
      </c>
    </row>
    <row r="1535" ht="15.75" customHeight="1">
      <c r="A1535" s="25">
        <f>'VIX HISTORIQUE'!A1530</f>
        <v>45484.66667</v>
      </c>
      <c r="B1535" s="22">
        <f>'VIX HISTORIQUE'!B1530</f>
        <v>5584.54</v>
      </c>
      <c r="C1535" s="22">
        <f>'VIX HISTORIQUE'!D1530</f>
        <v>12.92</v>
      </c>
      <c r="D1535" s="22">
        <f>'VIX HISTORIQUE'!G1530</f>
        <v>14.67</v>
      </c>
      <c r="E1535" s="22">
        <f>'VIX HISTORIQUE'!I1530</f>
        <v>16.99</v>
      </c>
      <c r="F1535" s="22">
        <f>'VIX HISTORIQUE'!K1530</f>
        <v>18.8</v>
      </c>
    </row>
    <row r="1536" ht="15.75" customHeight="1">
      <c r="A1536" s="25">
        <f>'VIX HISTORIQUE'!A1531</f>
        <v>45485.66667</v>
      </c>
      <c r="B1536" s="22">
        <f>'VIX HISTORIQUE'!B1531</f>
        <v>5615.35</v>
      </c>
      <c r="C1536" s="22">
        <f>'VIX HISTORIQUE'!D1531</f>
        <v>12.46</v>
      </c>
      <c r="D1536" s="22">
        <f>'VIX HISTORIQUE'!G1531</f>
        <v>14.37</v>
      </c>
      <c r="E1536" s="22">
        <f>'VIX HISTORIQUE'!I1531</f>
        <v>16.8</v>
      </c>
      <c r="F1536" s="22">
        <f>'VIX HISTORIQUE'!K1531</f>
        <v>18.61</v>
      </c>
    </row>
    <row r="1537" ht="15.75" customHeight="1">
      <c r="A1537" s="25">
        <f>'VIX HISTORIQUE'!A1532</f>
        <v>45488.66667</v>
      </c>
      <c r="B1537" s="22">
        <f>'VIX HISTORIQUE'!B1532</f>
        <v>5631.22</v>
      </c>
      <c r="C1537" s="22">
        <f>'VIX HISTORIQUE'!D1532</f>
        <v>13.12</v>
      </c>
      <c r="D1537" s="22">
        <f>'VIX HISTORIQUE'!G1532</f>
        <v>14.87</v>
      </c>
      <c r="E1537" s="22">
        <f>'VIX HISTORIQUE'!I1532</f>
        <v>17.07</v>
      </c>
      <c r="F1537" s="22">
        <f>'VIX HISTORIQUE'!K1532</f>
        <v>18.86</v>
      </c>
    </row>
    <row r="1538" ht="15.75" customHeight="1">
      <c r="A1538" s="25">
        <f>'VIX HISTORIQUE'!A1533</f>
        <v>45489.66667</v>
      </c>
      <c r="B1538" s="22">
        <f>'VIX HISTORIQUE'!B1533</f>
        <v>5667.2</v>
      </c>
      <c r="C1538" s="22">
        <f>'VIX HISTORIQUE'!D1533</f>
        <v>13.19</v>
      </c>
      <c r="D1538" s="22">
        <f>'VIX HISTORIQUE'!G1533</f>
        <v>14.91</v>
      </c>
      <c r="E1538" s="22">
        <f>'VIX HISTORIQUE'!I1533</f>
        <v>17.15</v>
      </c>
      <c r="F1538" s="22">
        <f>'VIX HISTORIQUE'!K1533</f>
        <v>18.86</v>
      </c>
    </row>
    <row r="1539" ht="15.75" customHeight="1">
      <c r="A1539" s="25">
        <f>'VIX HISTORIQUE'!A1534</f>
        <v>45490.66667</v>
      </c>
      <c r="B1539" s="22">
        <f>'VIX HISTORIQUE'!B1534</f>
        <v>5588.27</v>
      </c>
      <c r="C1539" s="22">
        <f>'VIX HISTORIQUE'!D1534</f>
        <v>14.48</v>
      </c>
      <c r="D1539" s="22">
        <f>'VIX HISTORIQUE'!G1534</f>
        <v>15.79</v>
      </c>
      <c r="E1539" s="22">
        <f>'VIX HISTORIQUE'!I1534</f>
        <v>17.73</v>
      </c>
      <c r="F1539" s="22">
        <f>'VIX HISTORIQUE'!K1534</f>
        <v>19.28</v>
      </c>
    </row>
    <row r="1540" ht="15.75" customHeight="1">
      <c r="A1540" s="25">
        <f>'VIX HISTORIQUE'!A1535</f>
        <v>45491.66667</v>
      </c>
      <c r="B1540" s="22">
        <f>'VIX HISTORIQUE'!B1535</f>
        <v>5544.59</v>
      </c>
      <c r="C1540" s="22">
        <f>'VIX HISTORIQUE'!D1535</f>
        <v>15.93</v>
      </c>
      <c r="D1540" s="22">
        <f>'VIX HISTORIQUE'!G1535</f>
        <v>16.56</v>
      </c>
      <c r="E1540" s="22">
        <f>'VIX HISTORIQUE'!I1535</f>
        <v>18.2</v>
      </c>
      <c r="F1540" s="22">
        <f>'VIX HISTORIQUE'!K1535</f>
        <v>19.55</v>
      </c>
    </row>
    <row r="1541" ht="15.75" customHeight="1">
      <c r="A1541" s="25">
        <f>'VIX HISTORIQUE'!A1536</f>
        <v>45492.66667</v>
      </c>
      <c r="B1541" s="22">
        <f>'VIX HISTORIQUE'!B1536</f>
        <v>5505</v>
      </c>
      <c r="C1541" s="22">
        <f>'VIX HISTORIQUE'!D1536</f>
        <v>16.52</v>
      </c>
      <c r="D1541" s="22">
        <f>'VIX HISTORIQUE'!G1536</f>
        <v>17.16</v>
      </c>
      <c r="E1541" s="22">
        <f>'VIX HISTORIQUE'!I1536</f>
        <v>18.64</v>
      </c>
      <c r="F1541" s="22">
        <f>'VIX HISTORIQUE'!K1536</f>
        <v>19.83</v>
      </c>
    </row>
    <row r="1542" ht="15.75" customHeight="1">
      <c r="A1542" s="25">
        <f>'VIX HISTORIQUE'!A1537</f>
        <v>45495.66667</v>
      </c>
      <c r="B1542" s="22">
        <f>'VIX HISTORIQUE'!B1537</f>
        <v>5564.41</v>
      </c>
      <c r="C1542" s="22">
        <f>'VIX HISTORIQUE'!D1537</f>
        <v>14.91</v>
      </c>
      <c r="D1542" s="22">
        <f>'VIX HISTORIQUE'!G1537</f>
        <v>16.09</v>
      </c>
      <c r="E1542" s="22">
        <f>'VIX HISTORIQUE'!I1537</f>
        <v>17.93</v>
      </c>
      <c r="F1542" s="22">
        <f>'VIX HISTORIQUE'!K1537</f>
        <v>19.35</v>
      </c>
    </row>
    <row r="1543" ht="15.75" customHeight="1">
      <c r="A1543" s="25">
        <f>'VIX HISTORIQUE'!A1538</f>
        <v>45496.66667</v>
      </c>
      <c r="B1543" s="22">
        <f>'VIX HISTORIQUE'!B1538</f>
        <v>5555.74</v>
      </c>
      <c r="C1543" s="22">
        <f>'VIX HISTORIQUE'!D1538</f>
        <v>14.72</v>
      </c>
      <c r="D1543" s="22">
        <f>'VIX HISTORIQUE'!G1538</f>
        <v>16.01</v>
      </c>
      <c r="E1543" s="22">
        <f>'VIX HISTORIQUE'!I1538</f>
        <v>17.92</v>
      </c>
      <c r="F1543" s="22">
        <f>'VIX HISTORIQUE'!K1538</f>
        <v>19.37</v>
      </c>
    </row>
    <row r="1544" ht="15.75" customHeight="1">
      <c r="A1544" s="25">
        <f>'VIX HISTORIQUE'!A1539</f>
        <v>45497.66667</v>
      </c>
      <c r="B1544" s="22">
        <f>'VIX HISTORIQUE'!B1539</f>
        <v>5427.13</v>
      </c>
      <c r="C1544" s="22">
        <f>'VIX HISTORIQUE'!D1539</f>
        <v>18.04</v>
      </c>
      <c r="D1544" s="22">
        <f>'VIX HISTORIQUE'!G1539</f>
        <v>18.43</v>
      </c>
      <c r="E1544" s="22">
        <f>'VIX HISTORIQUE'!I1539</f>
        <v>19.62</v>
      </c>
      <c r="F1544" s="22">
        <f>'VIX HISTORIQUE'!K1539</f>
        <v>20.41</v>
      </c>
    </row>
    <row r="1545" ht="15.75" customHeight="1">
      <c r="A1545" s="25">
        <f>'VIX HISTORIQUE'!A1540</f>
        <v>45498.66667</v>
      </c>
      <c r="B1545" s="22">
        <f>'VIX HISTORIQUE'!B1540</f>
        <v>5399.22</v>
      </c>
      <c r="C1545" s="22">
        <f>'VIX HISTORIQUE'!D1540</f>
        <v>18.46</v>
      </c>
      <c r="D1545" s="22">
        <f>'VIX HISTORIQUE'!G1540</f>
        <v>18.69</v>
      </c>
      <c r="E1545" s="22">
        <f>'VIX HISTORIQUE'!I1540</f>
        <v>19.8</v>
      </c>
      <c r="F1545" s="22">
        <f>'VIX HISTORIQUE'!K1540</f>
        <v>20.56</v>
      </c>
    </row>
    <row r="1546" ht="15.75" customHeight="1">
      <c r="A1546" s="25">
        <f>'VIX HISTORIQUE'!A1541</f>
        <v>45499.66667</v>
      </c>
      <c r="B1546" s="22">
        <f>'VIX HISTORIQUE'!B1541</f>
        <v>5459.1</v>
      </c>
      <c r="C1546" s="22">
        <f>'VIX HISTORIQUE'!D1541</f>
        <v>16.39</v>
      </c>
      <c r="D1546" s="22">
        <f>'VIX HISTORIQUE'!G1541</f>
        <v>17.24</v>
      </c>
      <c r="E1546" s="22">
        <f>'VIX HISTORIQUE'!I1541</f>
        <v>18.75</v>
      </c>
      <c r="F1546" s="22">
        <f>'VIX HISTORIQUE'!K1541</f>
        <v>19.63</v>
      </c>
    </row>
    <row r="1547" ht="15.75" customHeight="1">
      <c r="A1547" s="25">
        <f>'VIX HISTORIQUE'!A1542</f>
        <v>45502.66667</v>
      </c>
      <c r="B1547" s="22">
        <f>'VIX HISTORIQUE'!B1542</f>
        <v>5463.54</v>
      </c>
      <c r="C1547" s="22">
        <f>'VIX HISTORIQUE'!D1542</f>
        <v>16.6</v>
      </c>
      <c r="D1547" s="22">
        <f>'VIX HISTORIQUE'!G1542</f>
        <v>17.16</v>
      </c>
      <c r="E1547" s="22">
        <f>'VIX HISTORIQUE'!I1542</f>
        <v>18.64</v>
      </c>
      <c r="F1547" s="22">
        <f>'VIX HISTORIQUE'!K1542</f>
        <v>19.51</v>
      </c>
    </row>
    <row r="1548" ht="15.75" customHeight="1">
      <c r="A1548" s="25">
        <f>'VIX HISTORIQUE'!A1543</f>
        <v>45503.66667</v>
      </c>
      <c r="B1548" s="22">
        <f>'VIX HISTORIQUE'!B1543</f>
        <v>5436.44</v>
      </c>
      <c r="C1548" s="22">
        <f>'VIX HISTORIQUE'!D1543</f>
        <v>17.69</v>
      </c>
      <c r="D1548" s="22">
        <f>'VIX HISTORIQUE'!G1543</f>
        <v>18.01</v>
      </c>
      <c r="E1548" s="22">
        <f>'VIX HISTORIQUE'!I1543</f>
        <v>19.24</v>
      </c>
      <c r="F1548" s="22">
        <f>'VIX HISTORIQUE'!K1543</f>
        <v>19.93</v>
      </c>
    </row>
    <row r="1549" ht="15.75" customHeight="1">
      <c r="A1549" s="25">
        <f>'VIX HISTORIQUE'!A1544</f>
        <v>45504.66667</v>
      </c>
      <c r="B1549" s="22">
        <f>'VIX HISTORIQUE'!B1544</f>
        <v>5522.3</v>
      </c>
      <c r="C1549" s="22">
        <f>'VIX HISTORIQUE'!D1544</f>
        <v>16.36</v>
      </c>
      <c r="D1549" s="22">
        <f>'VIX HISTORIQUE'!G1544</f>
        <v>16.97</v>
      </c>
      <c r="E1549" s="22">
        <f>'VIX HISTORIQUE'!I1544</f>
        <v>18.32</v>
      </c>
      <c r="F1549" s="22">
        <f>'VIX HISTORIQUE'!K1544</f>
        <v>19.25</v>
      </c>
    </row>
    <row r="1550" ht="15.75" customHeight="1">
      <c r="A1550" s="25">
        <f>'VIX HISTORIQUE'!A1545</f>
        <v>45505.66667</v>
      </c>
      <c r="B1550" s="22">
        <f>'VIX HISTORIQUE'!B1545</f>
        <v>5446.68</v>
      </c>
      <c r="C1550" s="22">
        <f>'VIX HISTORIQUE'!D1545</f>
        <v>18.59</v>
      </c>
      <c r="D1550" s="22">
        <f>'VIX HISTORIQUE'!G1545</f>
        <v>19.14</v>
      </c>
      <c r="E1550" s="22">
        <f>'VIX HISTORIQUE'!I1545</f>
        <v>19.94</v>
      </c>
      <c r="F1550" s="22">
        <f>'VIX HISTORIQUE'!K1545</f>
        <v>20.43</v>
      </c>
    </row>
    <row r="1551" ht="15.75" customHeight="1">
      <c r="A1551" s="25">
        <f>'VIX HISTORIQUE'!A1546</f>
        <v>45506.66667</v>
      </c>
      <c r="B1551" s="22">
        <f>'VIX HISTORIQUE'!B1546</f>
        <v>5346.56</v>
      </c>
      <c r="C1551" s="22">
        <f>'VIX HISTORIQUE'!D1546</f>
        <v>23.39</v>
      </c>
      <c r="D1551" s="22">
        <f>'VIX HISTORIQUE'!G1546</f>
        <v>23.34</v>
      </c>
      <c r="E1551" s="22">
        <f>'VIX HISTORIQUE'!I1546</f>
        <v>22.98</v>
      </c>
      <c r="F1551" s="22">
        <f>'VIX HISTORIQUE'!K1546</f>
        <v>22.43</v>
      </c>
    </row>
    <row r="1552" ht="15.75" customHeight="1">
      <c r="A1552" s="25">
        <f>'VIX HISTORIQUE'!A1547</f>
        <v>45509.66667</v>
      </c>
      <c r="B1552" s="22">
        <f>'VIX HISTORIQUE'!B1547</f>
        <v>5186.33</v>
      </c>
      <c r="C1552" s="22">
        <f>'VIX HISTORIQUE'!D1547</f>
        <v>38.57</v>
      </c>
      <c r="D1552" s="22">
        <f>'VIX HISTORIQUE'!G1547</f>
        <v>33.71</v>
      </c>
      <c r="E1552" s="22">
        <f>'VIX HISTORIQUE'!I1547</f>
        <v>30.28</v>
      </c>
      <c r="F1552" s="22">
        <f>'VIX HISTORIQUE'!K1547</f>
        <v>26.38</v>
      </c>
    </row>
    <row r="1553" ht="15.75" customHeight="1">
      <c r="A1553" s="25">
        <f>'VIX HISTORIQUE'!A1548</f>
        <v>45510.66667</v>
      </c>
      <c r="B1553" s="22">
        <f>'VIX HISTORIQUE'!B1548</f>
        <v>5240.03</v>
      </c>
      <c r="C1553" s="22">
        <f>'VIX HISTORIQUE'!D1548</f>
        <v>27.71</v>
      </c>
      <c r="D1553" s="22">
        <f>'VIX HISTORIQUE'!G1548</f>
        <v>26.76</v>
      </c>
      <c r="E1553" s="22">
        <f>'VIX HISTORIQUE'!I1548</f>
        <v>25.56</v>
      </c>
      <c r="F1553" s="22">
        <f>'VIX HISTORIQUE'!K1548</f>
        <v>23.96</v>
      </c>
    </row>
    <row r="1554" ht="15.75" customHeight="1">
      <c r="A1554" s="25">
        <f>'VIX HISTORIQUE'!A1549</f>
        <v>45511.66667</v>
      </c>
      <c r="B1554" s="22">
        <f>'VIX HISTORIQUE'!B1549</f>
        <v>5199.5</v>
      </c>
      <c r="C1554" s="22">
        <f>'VIX HISTORIQUE'!D1549</f>
        <v>27.85</v>
      </c>
      <c r="D1554" s="22">
        <f>'VIX HISTORIQUE'!G1549</f>
        <v>27.01</v>
      </c>
      <c r="E1554" s="22">
        <f>'VIX HISTORIQUE'!I1549</f>
        <v>25.75</v>
      </c>
      <c r="F1554" s="22">
        <f>'VIX HISTORIQUE'!K1549</f>
        <v>24.09</v>
      </c>
    </row>
    <row r="1555" ht="15.75" customHeight="1">
      <c r="A1555" s="25">
        <f>'VIX HISTORIQUE'!A1550</f>
        <v>45512.66667</v>
      </c>
      <c r="B1555" s="22">
        <f>'VIX HISTORIQUE'!B1550</f>
        <v>5319.31</v>
      </c>
      <c r="C1555" s="22">
        <f>'VIX HISTORIQUE'!D1550</f>
        <v>23.79</v>
      </c>
      <c r="D1555" s="22">
        <f>'VIX HISTORIQUE'!G1550</f>
        <v>24.13</v>
      </c>
      <c r="E1555" s="22">
        <f>'VIX HISTORIQUE'!I1550</f>
        <v>23.5</v>
      </c>
      <c r="F1555" s="22">
        <f>'VIX HISTORIQUE'!K1550</f>
        <v>23.3</v>
      </c>
    </row>
    <row r="1556" ht="15.75" customHeight="1">
      <c r="A1556" s="25">
        <f>'VIX HISTORIQUE'!A1551</f>
        <v>45513.66667</v>
      </c>
      <c r="B1556" s="22">
        <f>'VIX HISTORIQUE'!B1551</f>
        <v>5344.16</v>
      </c>
      <c r="C1556" s="22">
        <f>'VIX HISTORIQUE'!D1551</f>
        <v>20.37</v>
      </c>
      <c r="D1556" s="22">
        <f>'VIX HISTORIQUE'!G1551</f>
        <v>21.18</v>
      </c>
      <c r="E1556" s="22">
        <f>'VIX HISTORIQUE'!I1551</f>
        <v>21.43</v>
      </c>
      <c r="F1556" s="22">
        <f>'VIX HISTORIQUE'!K1551</f>
        <v>21.86</v>
      </c>
    </row>
    <row r="1557" ht="15.75" customHeight="1">
      <c r="A1557" s="25">
        <f>'VIX HISTORIQUE'!A1552</f>
        <v>45516.66667</v>
      </c>
      <c r="B1557" s="22">
        <f>'VIX HISTORIQUE'!B1552</f>
        <v>5344.39</v>
      </c>
      <c r="C1557" s="22">
        <f>'VIX HISTORIQUE'!D1552</f>
        <v>20.71</v>
      </c>
      <c r="D1557" s="22">
        <f>'VIX HISTORIQUE'!G1552</f>
        <v>21.63</v>
      </c>
      <c r="E1557" s="22">
        <f>'VIX HISTORIQUE'!I1552</f>
        <v>21.63</v>
      </c>
      <c r="F1557" s="22">
        <f>'VIX HISTORIQUE'!K1552</f>
        <v>21.91</v>
      </c>
    </row>
    <row r="1558" ht="15.75" customHeight="1">
      <c r="A1558" s="25">
        <f>'VIX HISTORIQUE'!A1553</f>
        <v>45517.66667</v>
      </c>
      <c r="B1558" s="22">
        <f>'VIX HISTORIQUE'!B1553</f>
        <v>5434.43</v>
      </c>
      <c r="C1558" s="22">
        <f>'VIX HISTORIQUE'!D1553</f>
        <v>18.12</v>
      </c>
      <c r="D1558" s="22">
        <f>'VIX HISTORIQUE'!G1553</f>
        <v>19.86</v>
      </c>
      <c r="E1558" s="22">
        <f>'VIX HISTORIQUE'!I1553</f>
        <v>20.23</v>
      </c>
      <c r="F1558" s="22">
        <f>'VIX HISTORIQUE'!K1553</f>
        <v>21.06</v>
      </c>
    </row>
    <row r="1559" ht="15.75" customHeight="1">
      <c r="A1559" s="25">
        <f>'VIX HISTORIQUE'!A1554</f>
        <v>45518.66667</v>
      </c>
      <c r="B1559" s="22">
        <f>'VIX HISTORIQUE'!B1554</f>
        <v>5455.21</v>
      </c>
      <c r="C1559" s="22">
        <f>'VIX HISTORIQUE'!D1554</f>
        <v>16.19</v>
      </c>
      <c r="D1559" s="22">
        <f>'VIX HISTORIQUE'!G1554</f>
        <v>18.45</v>
      </c>
      <c r="E1559" s="22">
        <f>'VIX HISTORIQUE'!I1554</f>
        <v>19.2</v>
      </c>
      <c r="F1559" s="22">
        <f>'VIX HISTORIQUE'!K1554</f>
        <v>20.72</v>
      </c>
    </row>
    <row r="1560" ht="15.75" customHeight="1">
      <c r="A1560" s="25">
        <f>'VIX HISTORIQUE'!A1555</f>
        <v>45519.66667</v>
      </c>
      <c r="B1560" s="22">
        <f>'VIX HISTORIQUE'!B1555</f>
        <v>5543.22</v>
      </c>
      <c r="C1560" s="22">
        <f>'VIX HISTORIQUE'!D1555</f>
        <v>15.23</v>
      </c>
      <c r="D1560" s="22">
        <f>'VIX HISTORIQUE'!G1555</f>
        <v>17.88</v>
      </c>
      <c r="E1560" s="22">
        <f>'VIX HISTORIQUE'!I1555</f>
        <v>18.77</v>
      </c>
      <c r="F1560" s="22">
        <f>'VIX HISTORIQUE'!K1555</f>
        <v>19.99</v>
      </c>
    </row>
    <row r="1561" ht="15.75" customHeight="1">
      <c r="A1561" s="25">
        <f>'VIX HISTORIQUE'!A1556</f>
        <v>45520.66667</v>
      </c>
      <c r="B1561" s="22">
        <f>'VIX HISTORIQUE'!B1556</f>
        <v>5554.25</v>
      </c>
      <c r="C1561" s="22">
        <f>'VIX HISTORIQUE'!D1556</f>
        <v>14.8</v>
      </c>
      <c r="D1561" s="22">
        <f>'VIX HISTORIQUE'!G1556</f>
        <v>17.81</v>
      </c>
      <c r="E1561" s="22">
        <f>'VIX HISTORIQUE'!I1556</f>
        <v>18.78</v>
      </c>
      <c r="F1561" s="22">
        <f>'VIX HISTORIQUE'!K1556</f>
        <v>20.08</v>
      </c>
    </row>
    <row r="1562" ht="15.75" customHeight="1">
      <c r="A1562" s="25">
        <f>'VIX HISTORIQUE'!A1557</f>
        <v>45523.66667</v>
      </c>
      <c r="B1562" s="22">
        <f>'VIX HISTORIQUE'!B1557</f>
        <v>5608.25</v>
      </c>
      <c r="C1562" s="22">
        <f>'VIX HISTORIQUE'!D1557</f>
        <v>14.65</v>
      </c>
      <c r="D1562" s="22">
        <f>'VIX HISTORIQUE'!G1557</f>
        <v>17.59</v>
      </c>
      <c r="E1562" s="22">
        <f>'VIX HISTORIQUE'!I1557</f>
        <v>18.62</v>
      </c>
      <c r="F1562" s="22">
        <f>'VIX HISTORIQUE'!K1557</f>
        <v>20.04</v>
      </c>
    </row>
    <row r="1563" ht="15.75" customHeight="1">
      <c r="A1563" s="25">
        <f>'VIX HISTORIQUE'!A1558</f>
        <v>45524.66667</v>
      </c>
      <c r="B1563" s="22">
        <f>'VIX HISTORIQUE'!B1558</f>
        <v>5597.12</v>
      </c>
      <c r="C1563" s="22">
        <f>'VIX HISTORIQUE'!D1558</f>
        <v>15.88</v>
      </c>
      <c r="D1563" s="22">
        <f>'VIX HISTORIQUE'!G1558</f>
        <v>18.28</v>
      </c>
      <c r="E1563" s="22">
        <f>'VIX HISTORIQUE'!I1558</f>
        <v>19.3</v>
      </c>
      <c r="F1563" s="22">
        <f>'VIX HISTORIQUE'!K1558</f>
        <v>20.66</v>
      </c>
    </row>
    <row r="1564" ht="15.75" customHeight="1">
      <c r="A1564" s="25">
        <f>'VIX HISTORIQUE'!A1559</f>
        <v>45525.66667</v>
      </c>
      <c r="B1564" s="22">
        <f>'VIX HISTORIQUE'!B1559</f>
        <v>5620.85</v>
      </c>
      <c r="C1564" s="22">
        <f>'VIX HISTORIQUE'!D1559</f>
        <v>16.27</v>
      </c>
      <c r="D1564" s="22">
        <f>'VIX HISTORIQUE'!G1559</f>
        <v>18.58</v>
      </c>
      <c r="E1564" s="22">
        <f>'VIX HISTORIQUE'!I1559</f>
        <v>19.54</v>
      </c>
      <c r="F1564" s="22">
        <f>'VIX HISTORIQUE'!K1559</f>
        <v>21.44</v>
      </c>
    </row>
    <row r="1565" ht="15.75" customHeight="1">
      <c r="A1565" s="25">
        <f>'VIX HISTORIQUE'!A1560</f>
        <v>45526.66667</v>
      </c>
      <c r="B1565" s="22">
        <f>'VIX HISTORIQUE'!B1560</f>
        <v>5570.64</v>
      </c>
      <c r="C1565" s="22">
        <f>'VIX HISTORIQUE'!D1560</f>
        <v>17.55</v>
      </c>
      <c r="D1565" s="22">
        <f>'VIX HISTORIQUE'!G1560</f>
        <v>19.36</v>
      </c>
      <c r="E1565" s="22">
        <f>'VIX HISTORIQUE'!I1560</f>
        <v>20.09</v>
      </c>
      <c r="F1565" s="22">
        <f>'VIX HISTORIQUE'!K1560</f>
        <v>21.65</v>
      </c>
    </row>
    <row r="1566" ht="15.75" customHeight="1">
      <c r="A1566" s="25">
        <f>'VIX HISTORIQUE'!A1561</f>
        <v>45527.66667</v>
      </c>
      <c r="B1566" s="22">
        <f>'VIX HISTORIQUE'!B1561</f>
        <v>5634.61</v>
      </c>
      <c r="C1566" s="22">
        <f>'VIX HISTORIQUE'!D1561</f>
        <v>15.86</v>
      </c>
      <c r="D1566" s="22">
        <f>'VIX HISTORIQUE'!G1561</f>
        <v>18.19</v>
      </c>
      <c r="E1566" s="22">
        <f>'VIX HISTORIQUE'!I1561</f>
        <v>19.35</v>
      </c>
      <c r="F1566" s="22">
        <f>'VIX HISTORIQUE'!K1561</f>
        <v>21.24</v>
      </c>
    </row>
    <row r="1567" ht="15.75" customHeight="1">
      <c r="A1567" s="25">
        <f>'VIX HISTORIQUE'!A1562</f>
        <v>45530.66667</v>
      </c>
      <c r="B1567" s="22">
        <f>'VIX HISTORIQUE'!B1562</f>
        <v>5616.84</v>
      </c>
      <c r="C1567" s="22">
        <f>'VIX HISTORIQUE'!D1562</f>
        <v>16.15</v>
      </c>
      <c r="D1567" s="22">
        <f>'VIX HISTORIQUE'!G1562</f>
        <v>18.25</v>
      </c>
      <c r="E1567" s="22">
        <f>'VIX HISTORIQUE'!I1562</f>
        <v>19.36</v>
      </c>
      <c r="F1567" s="22">
        <f>'VIX HISTORIQUE'!K1562</f>
        <v>20.27</v>
      </c>
    </row>
    <row r="1568" ht="15.75" customHeight="1">
      <c r="A1568" s="25">
        <f>'VIX HISTORIQUE'!A1563</f>
        <v>45531.66667</v>
      </c>
      <c r="B1568" s="22">
        <f>'VIX HISTORIQUE'!B1563</f>
        <v>5625.8</v>
      </c>
      <c r="C1568" s="22">
        <f>'VIX HISTORIQUE'!D1563</f>
        <v>15.43</v>
      </c>
      <c r="D1568" s="22">
        <f>'VIX HISTORIQUE'!G1563</f>
        <v>17.73</v>
      </c>
      <c r="E1568" s="22">
        <f>'VIX HISTORIQUE'!I1563</f>
        <v>19</v>
      </c>
      <c r="F1568" s="22">
        <f>'VIX HISTORIQUE'!K1563</f>
        <v>20.04</v>
      </c>
    </row>
    <row r="1569" ht="15.75" customHeight="1">
      <c r="A1569" s="25">
        <f>'VIX HISTORIQUE'!A1564</f>
        <v>45532.66667</v>
      </c>
      <c r="B1569" s="22">
        <f>'VIX HISTORIQUE'!B1564</f>
        <v>5592.18</v>
      </c>
      <c r="C1569" s="22">
        <f>'VIX HISTORIQUE'!D1564</f>
        <v>17.11</v>
      </c>
      <c r="D1569" s="22">
        <f>'VIX HISTORIQUE'!G1564</f>
        <v>18.9</v>
      </c>
      <c r="E1569" s="22">
        <f>'VIX HISTORIQUE'!I1564</f>
        <v>19.83</v>
      </c>
      <c r="F1569" s="22">
        <f>'VIX HISTORIQUE'!K1564</f>
        <v>20.81</v>
      </c>
    </row>
    <row r="1570" ht="15.75" customHeight="1">
      <c r="A1570" s="25">
        <f>'VIX HISTORIQUE'!A1565</f>
        <v>45533.66667</v>
      </c>
      <c r="B1570" s="22">
        <f>'VIX HISTORIQUE'!B1565</f>
        <v>5591.96</v>
      </c>
      <c r="C1570" s="22">
        <f>'VIX HISTORIQUE'!D1565</f>
        <v>15.65</v>
      </c>
      <c r="D1570" s="22">
        <f>'VIX HISTORIQUE'!G1565</f>
        <v>18</v>
      </c>
      <c r="E1570" s="22">
        <f>'VIX HISTORIQUE'!I1565</f>
        <v>19.31</v>
      </c>
      <c r="F1570" s="22">
        <f>'VIX HISTORIQUE'!K1565</f>
        <v>20.18</v>
      </c>
    </row>
    <row r="1571" ht="15.75" customHeight="1">
      <c r="A1571" s="25">
        <f>'VIX HISTORIQUE'!A1566</f>
        <v>45534.66667</v>
      </c>
      <c r="B1571" s="22">
        <f>'VIX HISTORIQUE'!B1566</f>
        <v>5648.4</v>
      </c>
      <c r="C1571" s="22">
        <f>'VIX HISTORIQUE'!D1566</f>
        <v>15</v>
      </c>
      <c r="D1571" s="22">
        <f>'VIX HISTORIQUE'!G1566</f>
        <v>17.43</v>
      </c>
      <c r="E1571" s="22">
        <f>'VIX HISTORIQUE'!I1566</f>
        <v>18.88</v>
      </c>
      <c r="F1571" s="22">
        <f>'VIX HISTORIQUE'!K1566</f>
        <v>20.29</v>
      </c>
    </row>
    <row r="1572" ht="15.75" customHeight="1">
      <c r="A1572" s="25">
        <f>'VIX HISTORIQUE'!A1567</f>
        <v>45538.66667</v>
      </c>
      <c r="B1572" s="22">
        <f>'VIX HISTORIQUE'!B1567</f>
        <v>5528.93</v>
      </c>
      <c r="C1572" s="22">
        <f>'VIX HISTORIQUE'!D1567</f>
        <v>20.72</v>
      </c>
      <c r="D1572" s="22">
        <f>'VIX HISTORIQUE'!G1567</f>
        <v>21.7</v>
      </c>
      <c r="E1572" s="22">
        <f>'VIX HISTORIQUE'!I1567</f>
        <v>21.93</v>
      </c>
      <c r="F1572" s="22">
        <f>'VIX HISTORIQUE'!K1567</f>
        <v>22.01</v>
      </c>
    </row>
    <row r="1573" ht="15.75" customHeight="1">
      <c r="A1573" s="25">
        <f>'VIX HISTORIQUE'!A1568</f>
        <v>45539.66667</v>
      </c>
      <c r="B1573" s="22">
        <f>'VIX HISTORIQUE'!B1568</f>
        <v>5520.07</v>
      </c>
      <c r="C1573" s="22">
        <f>'VIX HISTORIQUE'!D1568</f>
        <v>21.32</v>
      </c>
      <c r="D1573" s="22">
        <f>'VIX HISTORIQUE'!G1568</f>
        <v>22.07</v>
      </c>
      <c r="E1573" s="22">
        <f>'VIX HISTORIQUE'!I1568</f>
        <v>22.27</v>
      </c>
      <c r="F1573" s="22">
        <f>'VIX HISTORIQUE'!K1568</f>
        <v>22.76</v>
      </c>
    </row>
    <row r="1574" ht="15.75" customHeight="1">
      <c r="A1574" s="25">
        <f>'VIX HISTORIQUE'!A1569</f>
        <v>45540.66667</v>
      </c>
      <c r="B1574" s="22">
        <f>'VIX HISTORIQUE'!B1569</f>
        <v>5503.41</v>
      </c>
      <c r="C1574" s="22">
        <f>'VIX HISTORIQUE'!D1569</f>
        <v>19.9</v>
      </c>
      <c r="D1574" s="22">
        <f>'VIX HISTORIQUE'!G1569</f>
        <v>20.93</v>
      </c>
      <c r="E1574" s="22">
        <f>'VIX HISTORIQUE'!I1569</f>
        <v>21.45</v>
      </c>
      <c r="F1574" s="22">
        <f>'VIX HISTORIQUE'!K1569</f>
        <v>22.43</v>
      </c>
    </row>
    <row r="1575" ht="15.75" customHeight="1">
      <c r="A1575" s="25">
        <f>'VIX HISTORIQUE'!A1570</f>
        <v>45541.66667</v>
      </c>
      <c r="B1575" s="22">
        <f>'VIX HISTORIQUE'!B1570</f>
        <v>5408.42</v>
      </c>
      <c r="C1575" s="22">
        <f>'VIX HISTORIQUE'!D1570</f>
        <v>22.38</v>
      </c>
      <c r="D1575" s="22">
        <f>'VIX HISTORIQUE'!G1570</f>
        <v>22.74</v>
      </c>
      <c r="E1575" s="22">
        <f>'VIX HISTORIQUE'!I1570</f>
        <v>22.79</v>
      </c>
      <c r="F1575" s="22">
        <f>'VIX HISTORIQUE'!K1570</f>
        <v>23.38</v>
      </c>
    </row>
    <row r="1576" ht="15.75" customHeight="1">
      <c r="A1576" s="25">
        <f>'VIX HISTORIQUE'!A1571</f>
        <v>45544.66667</v>
      </c>
      <c r="B1576" s="22">
        <f>'VIX HISTORIQUE'!B1571</f>
        <v>5471.05</v>
      </c>
      <c r="C1576" s="22">
        <f>'VIX HISTORIQUE'!D1571</f>
        <v>19.45</v>
      </c>
      <c r="D1576" s="22">
        <f>'VIX HISTORIQUE'!G1571</f>
        <v>20.88</v>
      </c>
      <c r="E1576" s="22">
        <f>'VIX HISTORIQUE'!I1571</f>
        <v>21.4</v>
      </c>
      <c r="F1576" s="22">
        <f>'VIX HISTORIQUE'!K1571</f>
        <v>22.27</v>
      </c>
    </row>
    <row r="1577" ht="15.75" customHeight="1">
      <c r="A1577" s="25">
        <f>'VIX HISTORIQUE'!A1572</f>
        <v>45545.66667</v>
      </c>
      <c r="B1577" s="22">
        <f>'VIX HISTORIQUE'!B1572</f>
        <v>5495.52</v>
      </c>
      <c r="C1577" s="22">
        <f>'VIX HISTORIQUE'!D1572</f>
        <v>19.08</v>
      </c>
      <c r="D1577" s="22">
        <f>'VIX HISTORIQUE'!G1572</f>
        <v>20.55</v>
      </c>
      <c r="E1577" s="22">
        <f>'VIX HISTORIQUE'!I1572</f>
        <v>21.23</v>
      </c>
      <c r="F1577" s="22">
        <f>'VIX HISTORIQUE'!K1572</f>
        <v>22.19</v>
      </c>
    </row>
    <row r="1578" ht="15.75" customHeight="1">
      <c r="A1578" s="25">
        <f>'VIX HISTORIQUE'!A1573</f>
        <v>45546.66667</v>
      </c>
      <c r="B1578" s="22">
        <f>'VIX HISTORIQUE'!B1573</f>
        <v>5554.13</v>
      </c>
      <c r="C1578" s="22">
        <f>'VIX HISTORIQUE'!D1573</f>
        <v>17.69</v>
      </c>
      <c r="D1578" s="22">
        <f>'VIX HISTORIQUE'!G1573</f>
        <v>19.59</v>
      </c>
      <c r="E1578" s="22">
        <f>'VIX HISTORIQUE'!I1573</f>
        <v>20.37</v>
      </c>
      <c r="F1578" s="22">
        <f>'VIX HISTORIQUE'!K1573</f>
        <v>21.63</v>
      </c>
    </row>
    <row r="1579" ht="15.75" customHeight="1">
      <c r="A1579" s="25">
        <f>'VIX HISTORIQUE'!A1574</f>
        <v>45547.66667</v>
      </c>
      <c r="B1579" s="22">
        <f>'VIX HISTORIQUE'!B1574</f>
        <v>5595.76</v>
      </c>
      <c r="C1579" s="22">
        <f>'VIX HISTORIQUE'!D1574</f>
        <v>17.07</v>
      </c>
      <c r="D1579" s="22">
        <f>'VIX HISTORIQUE'!G1574</f>
        <v>19.48</v>
      </c>
      <c r="E1579" s="22">
        <f>'VIX HISTORIQUE'!I1574</f>
        <v>20.4</v>
      </c>
      <c r="F1579" s="22">
        <f>'VIX HISTORIQUE'!K1574</f>
        <v>21.91</v>
      </c>
    </row>
    <row r="1580" ht="15.75" customHeight="1">
      <c r="A1580" s="25">
        <f>'VIX HISTORIQUE'!A1575</f>
        <v>45548.66667</v>
      </c>
      <c r="B1580" s="22">
        <f>'VIX HISTORIQUE'!B1575</f>
        <v>5626.02</v>
      </c>
      <c r="C1580" s="22">
        <f>'VIX HISTORIQUE'!D1575</f>
        <v>16.56</v>
      </c>
      <c r="D1580" s="22">
        <f>'VIX HISTORIQUE'!G1575</f>
        <v>19.28</v>
      </c>
      <c r="E1580" s="22">
        <f>'VIX HISTORIQUE'!I1575</f>
        <v>20.28</v>
      </c>
      <c r="F1580" s="22">
        <f>'VIX HISTORIQUE'!K1575</f>
        <v>21.65</v>
      </c>
    </row>
    <row r="1581" ht="15.75" customHeight="1">
      <c r="A1581" s="25">
        <f>'VIX HISTORIQUE'!A1576</f>
        <v>45551.66667</v>
      </c>
      <c r="B1581" s="22">
        <f>'VIX HISTORIQUE'!B1576</f>
        <v>5633.09</v>
      </c>
      <c r="C1581" s="22">
        <f>'VIX HISTORIQUE'!D1576</f>
        <v>17.14</v>
      </c>
      <c r="D1581" s="22">
        <f>'VIX HISTORIQUE'!G1576</f>
        <v>19.81</v>
      </c>
      <c r="E1581" s="22">
        <f>'VIX HISTORIQUE'!I1576</f>
        <v>20.58</v>
      </c>
      <c r="F1581" s="22">
        <f>'VIX HISTORIQUE'!K1576</f>
        <v>21.83</v>
      </c>
    </row>
    <row r="1582" ht="15.75" customHeight="1">
      <c r="A1582" s="25">
        <f>'VIX HISTORIQUE'!A1577</f>
        <v>45552.66667</v>
      </c>
      <c r="B1582" s="22">
        <f>'VIX HISTORIQUE'!B1577</f>
        <v>5634.58</v>
      </c>
      <c r="C1582" s="22">
        <f>'VIX HISTORIQUE'!D1577</f>
        <v>17.61</v>
      </c>
      <c r="D1582" s="22">
        <f>'VIX HISTORIQUE'!G1577</f>
        <v>20.13</v>
      </c>
      <c r="E1582" s="22">
        <f>'VIX HISTORIQUE'!I1577</f>
        <v>20.88</v>
      </c>
      <c r="F1582" s="22">
        <f>'VIX HISTORIQUE'!K1577</f>
        <v>22.08</v>
      </c>
    </row>
    <row r="1583" ht="15.75" customHeight="1">
      <c r="A1583" s="25">
        <f>'VIX HISTORIQUE'!A1578</f>
        <v>45553.66667</v>
      </c>
      <c r="B1583" s="22">
        <f>'VIX HISTORIQUE'!B1578</f>
        <v>5618.26</v>
      </c>
      <c r="C1583" s="22">
        <f>'VIX HISTORIQUE'!D1578</f>
        <v>18.23</v>
      </c>
      <c r="D1583" s="22">
        <f>'VIX HISTORIQUE'!G1578</f>
        <v>20.35</v>
      </c>
      <c r="E1583" s="22">
        <f>'VIX HISTORIQUE'!I1578</f>
        <v>20.98</v>
      </c>
      <c r="F1583" s="22">
        <f>'VIX HISTORIQUE'!K1578</f>
        <v>22.25</v>
      </c>
    </row>
    <row r="1584" ht="15.75" customHeight="1">
      <c r="A1584" s="25">
        <f>'VIX HISTORIQUE'!A1579</f>
        <v>45554.66667</v>
      </c>
      <c r="B1584" s="22">
        <f>'VIX HISTORIQUE'!B1579</f>
        <v>5713.64</v>
      </c>
      <c r="C1584" s="22">
        <f>'VIX HISTORIQUE'!D1579</f>
        <v>16.33</v>
      </c>
      <c r="D1584" s="22">
        <f>'VIX HISTORIQUE'!G1579</f>
        <v>19.07</v>
      </c>
      <c r="E1584" s="22">
        <f>'VIX HISTORIQUE'!I1579</f>
        <v>20.04</v>
      </c>
      <c r="F1584" s="22">
        <f>'VIX HISTORIQUE'!K1579</f>
        <v>21.52</v>
      </c>
    </row>
    <row r="1585" ht="15.75" customHeight="1">
      <c r="A1585" s="25">
        <f>'VIX HISTORIQUE'!A1580</f>
        <v>45555.66667</v>
      </c>
      <c r="B1585" s="22">
        <f>'VIX HISTORIQUE'!B1580</f>
        <v>5702.55</v>
      </c>
      <c r="C1585" s="22">
        <f>'VIX HISTORIQUE'!D1580</f>
        <v>16.15</v>
      </c>
      <c r="D1585" s="22">
        <f>'VIX HISTORIQUE'!G1580</f>
        <v>18.94</v>
      </c>
      <c r="E1585" s="22">
        <f>'VIX HISTORIQUE'!I1580</f>
        <v>20.12</v>
      </c>
      <c r="F1585" s="22">
        <f>'VIX HISTORIQUE'!K1580</f>
        <v>21.47</v>
      </c>
    </row>
    <row r="1586" ht="15.75" customHeight="1">
      <c r="A1586" s="25">
        <f>'VIX HISTORIQUE'!A1581</f>
        <v>45558.66667</v>
      </c>
      <c r="B1586" s="22">
        <f>'VIX HISTORIQUE'!B1581</f>
        <v>5718.57</v>
      </c>
      <c r="C1586" s="22">
        <f>'VIX HISTORIQUE'!D1581</f>
        <v>15.89</v>
      </c>
      <c r="D1586" s="22">
        <f>'VIX HISTORIQUE'!G1581</f>
        <v>18.7</v>
      </c>
      <c r="E1586" s="22">
        <f>'VIX HISTORIQUE'!I1581</f>
        <v>20.05</v>
      </c>
      <c r="F1586" s="22">
        <f>'VIX HISTORIQUE'!K1581</f>
        <v>21.41</v>
      </c>
    </row>
    <row r="1587" ht="15.75" customHeight="1">
      <c r="A1587" s="25">
        <f>'VIX HISTORIQUE'!A1582</f>
        <v>45559.66667</v>
      </c>
      <c r="B1587" s="22">
        <f>'VIX HISTORIQUE'!B1582</f>
        <v>5732.93</v>
      </c>
      <c r="C1587" s="22">
        <f>'VIX HISTORIQUE'!D1582</f>
        <v>15.39</v>
      </c>
      <c r="D1587" s="22">
        <f>'VIX HISTORIQUE'!G1582</f>
        <v>18.47</v>
      </c>
      <c r="E1587" s="22">
        <f>'VIX HISTORIQUE'!I1582</f>
        <v>19.87</v>
      </c>
      <c r="F1587" s="22">
        <f>'VIX HISTORIQUE'!K1582</f>
        <v>21.29</v>
      </c>
    </row>
    <row r="1588" ht="15.75" customHeight="1">
      <c r="A1588" s="25">
        <f>'VIX HISTORIQUE'!A1583</f>
        <v>45560.66667</v>
      </c>
      <c r="B1588" s="22">
        <f>'VIX HISTORIQUE'!B1583</f>
        <v>5722.26</v>
      </c>
      <c r="C1588" s="22">
        <f>'VIX HISTORIQUE'!D1583</f>
        <v>15.41</v>
      </c>
      <c r="D1588" s="22">
        <f>'VIX HISTORIQUE'!G1583</f>
        <v>18.57</v>
      </c>
      <c r="E1588" s="22">
        <f>'VIX HISTORIQUE'!I1583</f>
        <v>20</v>
      </c>
      <c r="F1588" s="22">
        <f>'VIX HISTORIQUE'!K1583</f>
        <v>21.49</v>
      </c>
    </row>
    <row r="1589" ht="15.75" customHeight="1">
      <c r="A1589" s="25">
        <f>'VIX HISTORIQUE'!A1584</f>
        <v>45561.66667</v>
      </c>
      <c r="B1589" s="22">
        <f>'VIX HISTORIQUE'!B1584</f>
        <v>5745.37</v>
      </c>
      <c r="C1589" s="22">
        <f>'VIX HISTORIQUE'!D1584</f>
        <v>15.37</v>
      </c>
      <c r="D1589" s="22">
        <f>'VIX HISTORIQUE'!G1584</f>
        <v>18.45</v>
      </c>
      <c r="E1589" s="22">
        <f>'VIX HISTORIQUE'!I1584</f>
        <v>19.99</v>
      </c>
      <c r="F1589" s="22">
        <f>'VIX HISTORIQUE'!K1584</f>
        <v>21.6</v>
      </c>
    </row>
    <row r="1590" ht="15.75" customHeight="1">
      <c r="A1590" s="25">
        <f>'VIX HISTORIQUE'!A1585</f>
        <v>45562.66667</v>
      </c>
      <c r="B1590" s="22">
        <f>'VIX HISTORIQUE'!B1585</f>
        <v>5738.17</v>
      </c>
      <c r="C1590" s="22">
        <f>'VIX HISTORIQUE'!D1585</f>
        <v>16.96</v>
      </c>
      <c r="D1590" s="22">
        <f>'VIX HISTORIQUE'!G1585</f>
        <v>19.54</v>
      </c>
      <c r="E1590" s="22">
        <f>'VIX HISTORIQUE'!I1585</f>
        <v>20.92</v>
      </c>
      <c r="F1590" s="22">
        <f>'VIX HISTORIQUE'!K1585</f>
        <v>22.23</v>
      </c>
    </row>
    <row r="1591" ht="15.75" customHeight="1">
      <c r="A1591" s="25">
        <f>'VIX HISTORIQUE'!A1586</f>
        <v>45565.66667</v>
      </c>
      <c r="B1591" s="22">
        <f>'VIX HISTORIQUE'!B1586</f>
        <v>5762.48</v>
      </c>
      <c r="C1591" s="22">
        <f>'VIX HISTORIQUE'!D1586</f>
        <v>16.73</v>
      </c>
      <c r="D1591" s="22">
        <f>'VIX HISTORIQUE'!G1586</f>
        <v>19.22</v>
      </c>
      <c r="E1591" s="22">
        <f>'VIX HISTORIQUE'!I1586</f>
        <v>20.62</v>
      </c>
      <c r="F1591" s="22">
        <f>'VIX HISTORIQUE'!K1586</f>
        <v>21.85</v>
      </c>
    </row>
    <row r="1592" ht="15.75" customHeight="1">
      <c r="A1592" s="25">
        <f>'VIX HISTORIQUE'!A1587</f>
        <v>45566.66667</v>
      </c>
      <c r="B1592" s="22">
        <f>'VIX HISTORIQUE'!B1587</f>
        <v>5708.75</v>
      </c>
      <c r="C1592" s="22">
        <f>'VIX HISTORIQUE'!D1587</f>
        <v>19.26</v>
      </c>
      <c r="D1592" s="22">
        <f>'VIX HISTORIQUE'!G1587</f>
        <v>20.89</v>
      </c>
      <c r="E1592" s="22">
        <f>'VIX HISTORIQUE'!I1587</f>
        <v>21.83</v>
      </c>
      <c r="F1592" s="22">
        <f>'VIX HISTORIQUE'!K1587</f>
        <v>22.66</v>
      </c>
    </row>
    <row r="1593" ht="15.75" customHeight="1">
      <c r="A1593" s="25">
        <f>'VIX HISTORIQUE'!A1588</f>
        <v>45567.66667</v>
      </c>
      <c r="B1593" s="22">
        <f>'VIX HISTORIQUE'!B1588</f>
        <v>5709.54</v>
      </c>
      <c r="C1593" s="22">
        <f>'VIX HISTORIQUE'!D1588</f>
        <v>18.9</v>
      </c>
      <c r="D1593" s="22">
        <f>'VIX HISTORIQUE'!G1588</f>
        <v>20.59</v>
      </c>
      <c r="E1593" s="22">
        <f>'VIX HISTORIQUE'!I1588</f>
        <v>21.62</v>
      </c>
      <c r="F1593" s="22">
        <f>'VIX HISTORIQUE'!K1588</f>
        <v>22.43</v>
      </c>
    </row>
    <row r="1594" ht="15.75" customHeight="1">
      <c r="A1594" s="25">
        <f>'VIX HISTORIQUE'!A1589</f>
        <v>45568.66667</v>
      </c>
      <c r="B1594" s="22">
        <f>'VIX HISTORIQUE'!B1589</f>
        <v>5699.94</v>
      </c>
      <c r="C1594" s="22">
        <f>'VIX HISTORIQUE'!D1589</f>
        <v>20.49</v>
      </c>
      <c r="D1594" s="22">
        <f>'VIX HISTORIQUE'!G1589</f>
        <v>21.63</v>
      </c>
      <c r="E1594" s="22">
        <f>'VIX HISTORIQUE'!I1589</f>
        <v>22.28</v>
      </c>
      <c r="F1594" s="22">
        <f>'VIX HISTORIQUE'!K1589</f>
        <v>22.86</v>
      </c>
    </row>
    <row r="1595" ht="15.75" customHeight="1">
      <c r="A1595" s="25">
        <f>'VIX HISTORIQUE'!A1590</f>
        <v>45569.66667</v>
      </c>
      <c r="B1595" s="22">
        <f>'VIX HISTORIQUE'!B1590</f>
        <v>5751.07</v>
      </c>
      <c r="C1595" s="22">
        <f>'VIX HISTORIQUE'!D1590</f>
        <v>19.21</v>
      </c>
      <c r="D1595" s="22">
        <f>'VIX HISTORIQUE'!G1590</f>
        <v>20.65</v>
      </c>
      <c r="E1595" s="22">
        <f>'VIX HISTORIQUE'!I1590</f>
        <v>21.6</v>
      </c>
      <c r="F1595" s="22">
        <f>'VIX HISTORIQUE'!K1590</f>
        <v>22.32</v>
      </c>
    </row>
    <row r="1596" ht="15.75" customHeight="1">
      <c r="A1596" s="25">
        <f>'VIX HISTORIQUE'!A1591</f>
        <v>45572.66667</v>
      </c>
      <c r="B1596" s="22">
        <f>'VIX HISTORIQUE'!B1591</f>
        <v>5695.94</v>
      </c>
      <c r="C1596" s="22">
        <f>'VIX HISTORIQUE'!D1591</f>
        <v>22.64</v>
      </c>
      <c r="D1596" s="22">
        <f>'VIX HISTORIQUE'!G1591</f>
        <v>22.59</v>
      </c>
      <c r="E1596" s="22">
        <f>'VIX HISTORIQUE'!I1591</f>
        <v>23.02</v>
      </c>
      <c r="F1596" s="22">
        <f>'VIX HISTORIQUE'!K1591</f>
        <v>23.2</v>
      </c>
    </row>
    <row r="1597" ht="15.75" customHeight="1">
      <c r="A1597" s="25">
        <f>'VIX HISTORIQUE'!A1592</f>
        <v>45573.66667</v>
      </c>
      <c r="B1597" s="22">
        <f>'VIX HISTORIQUE'!B1592</f>
        <v>5751.13</v>
      </c>
      <c r="C1597" s="22">
        <f>'VIX HISTORIQUE'!D1592</f>
        <v>21.42</v>
      </c>
      <c r="D1597" s="22">
        <f>'VIX HISTORIQUE'!G1592</f>
        <v>21.52</v>
      </c>
      <c r="E1597" s="22">
        <f>'VIX HISTORIQUE'!I1592</f>
        <v>22.45</v>
      </c>
      <c r="F1597" s="22">
        <f>'VIX HISTORIQUE'!K1592</f>
        <v>22.8</v>
      </c>
    </row>
    <row r="1598" ht="15.75" customHeight="1">
      <c r="A1598" s="25">
        <f>'VIX HISTORIQUE'!A1593</f>
        <v>45574.66667</v>
      </c>
      <c r="B1598" s="22">
        <f>'VIX HISTORIQUE'!B1593</f>
        <v>5792.04</v>
      </c>
      <c r="C1598" s="22">
        <f>'VIX HISTORIQUE'!D1593</f>
        <v>20.86</v>
      </c>
      <c r="D1598" s="22">
        <f>'VIX HISTORIQUE'!G1593</f>
        <v>20.91</v>
      </c>
      <c r="E1598" s="22">
        <f>'VIX HISTORIQUE'!I1593</f>
        <v>21.85</v>
      </c>
      <c r="F1598" s="22">
        <f>'VIX HISTORIQUE'!K1593</f>
        <v>22.55</v>
      </c>
    </row>
    <row r="1599" ht="15.75" customHeight="1">
      <c r="A1599" s="25">
        <f>'VIX HISTORIQUE'!A1594</f>
        <v>45575.66667</v>
      </c>
      <c r="B1599" s="22">
        <f>'VIX HISTORIQUE'!B1594</f>
        <v>5780.05</v>
      </c>
      <c r="C1599" s="22">
        <f>'VIX HISTORIQUE'!D1594</f>
        <v>20.93</v>
      </c>
      <c r="D1599" s="22">
        <f>'VIX HISTORIQUE'!G1594</f>
        <v>21.02</v>
      </c>
      <c r="E1599" s="22">
        <f>'VIX HISTORIQUE'!I1594</f>
        <v>21.96</v>
      </c>
      <c r="F1599" s="22">
        <f>'VIX HISTORIQUE'!K1594</f>
        <v>22.54</v>
      </c>
    </row>
    <row r="1600" ht="15.75" customHeight="1">
      <c r="A1600" s="25">
        <f>'VIX HISTORIQUE'!A1595</f>
        <v>45576.66667</v>
      </c>
      <c r="B1600" s="22">
        <f>'VIX HISTORIQUE'!B1595</f>
        <v>5815.03</v>
      </c>
      <c r="C1600" s="22">
        <f>'VIX HISTORIQUE'!D1595</f>
        <v>20.46</v>
      </c>
      <c r="D1600" s="22">
        <f>'VIX HISTORIQUE'!G1595</f>
        <v>20.77</v>
      </c>
      <c r="E1600" s="22">
        <f>'VIX HISTORIQUE'!I1595</f>
        <v>21.14</v>
      </c>
      <c r="F1600" s="22">
        <f>'VIX HISTORIQUE'!K1595</f>
        <v>22.47</v>
      </c>
    </row>
    <row r="1601" ht="15.75" customHeight="1">
      <c r="A1601" s="25">
        <f>'VIX HISTORIQUE'!A1596</f>
        <v>45579.66667</v>
      </c>
      <c r="B1601" s="22">
        <f>'VIX HISTORIQUE'!B1596</f>
        <v>5859.85</v>
      </c>
      <c r="C1601" s="22">
        <f>'VIX HISTORIQUE'!D1596</f>
        <v>19.7</v>
      </c>
      <c r="D1601" s="22">
        <f>'VIX HISTORIQUE'!G1596</f>
        <v>20.12</v>
      </c>
      <c r="E1601" s="22">
        <f>'VIX HISTORIQUE'!I1596</f>
        <v>21.52</v>
      </c>
      <c r="F1601" s="22">
        <f>'VIX HISTORIQUE'!K1596</f>
        <v>21.95</v>
      </c>
    </row>
    <row r="1602" ht="15.75" customHeight="1">
      <c r="A1602" s="25">
        <f>'VIX HISTORIQUE'!A1597</f>
        <v>45580.66667</v>
      </c>
      <c r="B1602" s="22">
        <f>'VIX HISTORIQUE'!B1597</f>
        <v>5815.26</v>
      </c>
      <c r="C1602" s="22">
        <f>'VIX HISTORIQUE'!D1597</f>
        <v>20.64</v>
      </c>
      <c r="D1602" s="22">
        <f>'VIX HISTORIQUE'!G1597</f>
        <v>20.8</v>
      </c>
      <c r="E1602" s="22">
        <f>'VIX HISTORIQUE'!I1597</f>
        <v>21.14</v>
      </c>
      <c r="F1602" s="22">
        <f>'VIX HISTORIQUE'!K1597</f>
        <v>22.14</v>
      </c>
    </row>
    <row r="1603" ht="15.75" customHeight="1">
      <c r="A1603" s="25" t="str">
        <f>'VIX HISTORIQUE'!A2119</f>
        <v/>
      </c>
      <c r="B1603" s="22" t="str">
        <f>'VIX HISTORIQUE'!B2119</f>
        <v/>
      </c>
      <c r="C1603" s="22" t="str">
        <f>'VIX HISTORIQUE'!D2119</f>
        <v/>
      </c>
      <c r="D1603" s="22" t="str">
        <f>'VIX HISTORIQUE'!G2119</f>
        <v/>
      </c>
      <c r="E1603" s="22" t="str">
        <f>'VIX HISTORIQUE'!I2119</f>
        <v/>
      </c>
      <c r="F1603" s="22" t="str">
        <f>'VIX HISTORIQUE'!K2119</f>
        <v/>
      </c>
    </row>
    <row r="1604" ht="15.75" customHeight="1">
      <c r="A1604" s="25" t="str">
        <f>'VIX HISTORIQUE'!A2120</f>
        <v/>
      </c>
      <c r="B1604" s="22" t="str">
        <f>'VIX HISTORIQUE'!B2120</f>
        <v/>
      </c>
      <c r="C1604" s="22" t="str">
        <f>'VIX HISTORIQUE'!D2120</f>
        <v/>
      </c>
      <c r="D1604" s="22" t="str">
        <f>'VIX HISTORIQUE'!G2120</f>
        <v/>
      </c>
      <c r="E1604" s="22" t="str">
        <f>'VIX HISTORIQUE'!I2120</f>
        <v/>
      </c>
      <c r="F1604" s="22" t="str">
        <f>'VIX HISTORIQUE'!K2120</f>
        <v/>
      </c>
    </row>
    <row r="1605" ht="15.75" customHeight="1">
      <c r="A1605" s="25" t="str">
        <f>'VIX HISTORIQUE'!A2121</f>
        <v/>
      </c>
      <c r="B1605" s="22" t="str">
        <f>'VIX HISTORIQUE'!B2121</f>
        <v/>
      </c>
      <c r="C1605" s="22" t="str">
        <f>'VIX HISTORIQUE'!D2121</f>
        <v/>
      </c>
      <c r="D1605" s="22" t="str">
        <f>'VIX HISTORIQUE'!G2121</f>
        <v/>
      </c>
      <c r="E1605" s="22" t="str">
        <f>'VIX HISTORIQUE'!I2121</f>
        <v/>
      </c>
      <c r="F1605" s="22" t="str">
        <f>'VIX HISTORIQUE'!K2121</f>
        <v/>
      </c>
    </row>
    <row r="1606" ht="15.75" customHeight="1">
      <c r="A1606" s="25" t="str">
        <f>'VIX HISTORIQUE'!A2122</f>
        <v/>
      </c>
      <c r="B1606" s="22" t="str">
        <f>'VIX HISTORIQUE'!B2122</f>
        <v/>
      </c>
      <c r="C1606" s="22" t="str">
        <f>'VIX HISTORIQUE'!D2122</f>
        <v/>
      </c>
      <c r="D1606" s="22" t="str">
        <f>'VIX HISTORIQUE'!G2122</f>
        <v/>
      </c>
      <c r="E1606" s="22" t="str">
        <f>'VIX HISTORIQUE'!I2122</f>
        <v/>
      </c>
      <c r="F1606" s="22" t="str">
        <f>'VIX HISTORIQUE'!K2122</f>
        <v/>
      </c>
    </row>
    <row r="1607" ht="15.75" customHeight="1">
      <c r="A1607" s="25" t="str">
        <f>'VIX HISTORIQUE'!A2123</f>
        <v/>
      </c>
      <c r="B1607" s="22" t="str">
        <f>'VIX HISTORIQUE'!B2123</f>
        <v/>
      </c>
      <c r="C1607" s="22" t="str">
        <f>'VIX HISTORIQUE'!D2123</f>
        <v/>
      </c>
      <c r="D1607" s="22" t="str">
        <f>'VIX HISTORIQUE'!G2123</f>
        <v/>
      </c>
      <c r="E1607" s="22" t="str">
        <f>'VIX HISTORIQUE'!I2123</f>
        <v/>
      </c>
      <c r="F1607" s="22" t="str">
        <f>'VIX HISTORIQUE'!K2123</f>
        <v/>
      </c>
    </row>
    <row r="1608" ht="15.75" customHeight="1">
      <c r="A1608" s="25" t="str">
        <f>'VIX HISTORIQUE'!A2124</f>
        <v/>
      </c>
      <c r="B1608" s="22" t="str">
        <f>'VIX HISTORIQUE'!B2124</f>
        <v/>
      </c>
      <c r="C1608" s="22" t="str">
        <f>'VIX HISTORIQUE'!D2124</f>
        <v/>
      </c>
      <c r="D1608" s="22" t="str">
        <f>'VIX HISTORIQUE'!G2124</f>
        <v/>
      </c>
      <c r="E1608" s="22" t="str">
        <f>'VIX HISTORIQUE'!I2124</f>
        <v/>
      </c>
      <c r="F1608" s="22" t="str">
        <f>'VIX HISTORIQUE'!K2124</f>
        <v/>
      </c>
    </row>
    <row r="1609" ht="15.75" customHeight="1">
      <c r="A1609" s="25" t="str">
        <f>'VIX HISTORIQUE'!A2125</f>
        <v/>
      </c>
      <c r="B1609" s="22" t="str">
        <f>'VIX HISTORIQUE'!B2125</f>
        <v/>
      </c>
      <c r="C1609" s="22" t="str">
        <f>'VIX HISTORIQUE'!D2125</f>
        <v/>
      </c>
      <c r="D1609" s="22" t="str">
        <f>'VIX HISTORIQUE'!G2125</f>
        <v/>
      </c>
      <c r="E1609" s="22" t="str">
        <f>'VIX HISTORIQUE'!I2125</f>
        <v/>
      </c>
      <c r="F1609" s="22" t="str">
        <f>'VIX HISTORIQUE'!K2125</f>
        <v/>
      </c>
    </row>
    <row r="1610" ht="15.75" customHeight="1">
      <c r="A1610" s="25" t="str">
        <f>'VIX HISTORIQUE'!A2126</f>
        <v/>
      </c>
      <c r="B1610" s="22" t="str">
        <f>'VIX HISTORIQUE'!B2126</f>
        <v/>
      </c>
      <c r="C1610" s="22" t="str">
        <f>'VIX HISTORIQUE'!D2126</f>
        <v/>
      </c>
      <c r="D1610" s="22" t="str">
        <f>'VIX HISTORIQUE'!G2126</f>
        <v/>
      </c>
      <c r="E1610" s="22" t="str">
        <f>'VIX HISTORIQUE'!I2126</f>
        <v/>
      </c>
      <c r="F1610" s="22" t="str">
        <f>'VIX HISTORIQUE'!K2126</f>
        <v/>
      </c>
    </row>
    <row r="1611" ht="15.75" customHeight="1">
      <c r="A1611" s="25" t="str">
        <f>'VIX HISTORIQUE'!A2127</f>
        <v/>
      </c>
      <c r="B1611" s="22" t="str">
        <f>'VIX HISTORIQUE'!B2127</f>
        <v/>
      </c>
      <c r="C1611" s="22" t="str">
        <f>'VIX HISTORIQUE'!D2127</f>
        <v/>
      </c>
      <c r="D1611" s="22" t="str">
        <f>'VIX HISTORIQUE'!G2127</f>
        <v/>
      </c>
      <c r="E1611" s="22" t="str">
        <f>'VIX HISTORIQUE'!I2127</f>
        <v/>
      </c>
      <c r="F1611" s="22" t="str">
        <f>'VIX HISTORIQUE'!K2127</f>
        <v/>
      </c>
    </row>
    <row r="1612" ht="15.75" customHeight="1">
      <c r="A1612" s="25" t="str">
        <f>'VIX HISTORIQUE'!A2128</f>
        <v/>
      </c>
      <c r="B1612" s="22" t="str">
        <f>'VIX HISTORIQUE'!B2128</f>
        <v/>
      </c>
      <c r="C1612" s="22" t="str">
        <f>'VIX HISTORIQUE'!D2128</f>
        <v/>
      </c>
      <c r="D1612" s="22" t="str">
        <f>'VIX HISTORIQUE'!G2128</f>
        <v/>
      </c>
      <c r="E1612" s="22" t="str">
        <f>'VIX HISTORIQUE'!I2128</f>
        <v/>
      </c>
      <c r="F1612" s="22" t="str">
        <f>'VIX HISTORIQUE'!K2128</f>
        <v/>
      </c>
    </row>
    <row r="1613" ht="15.75" customHeight="1">
      <c r="A1613" s="25" t="str">
        <f>'VIX HISTORIQUE'!A2129</f>
        <v/>
      </c>
      <c r="B1613" s="22" t="str">
        <f>'VIX HISTORIQUE'!B2129</f>
        <v/>
      </c>
      <c r="C1613" s="22" t="str">
        <f>'VIX HISTORIQUE'!D2129</f>
        <v/>
      </c>
      <c r="D1613" s="22" t="str">
        <f>'VIX HISTORIQUE'!G2129</f>
        <v/>
      </c>
      <c r="E1613" s="22" t="str">
        <f>'VIX HISTORIQUE'!I2129</f>
        <v/>
      </c>
      <c r="F1613" s="22" t="str">
        <f>'VIX HISTORIQUE'!K2129</f>
        <v/>
      </c>
    </row>
    <row r="1614" ht="15.75" customHeight="1">
      <c r="A1614" s="25" t="str">
        <f>'VIX HISTORIQUE'!A2130</f>
        <v/>
      </c>
      <c r="B1614" s="22" t="str">
        <f>'VIX HISTORIQUE'!B2130</f>
        <v/>
      </c>
      <c r="C1614" s="22" t="str">
        <f>'VIX HISTORIQUE'!D2130</f>
        <v/>
      </c>
      <c r="D1614" s="22" t="str">
        <f>'VIX HISTORIQUE'!G2130</f>
        <v/>
      </c>
      <c r="E1614" s="22" t="str">
        <f>'VIX HISTORIQUE'!I2130</f>
        <v/>
      </c>
      <c r="F1614" s="22" t="str">
        <f>'VIX HISTORIQUE'!K2130</f>
        <v/>
      </c>
    </row>
    <row r="1615" ht="15.75" customHeight="1">
      <c r="A1615" s="25" t="str">
        <f>'VIX HISTORIQUE'!A2131</f>
        <v/>
      </c>
      <c r="B1615" s="22" t="str">
        <f>'VIX HISTORIQUE'!B2131</f>
        <v/>
      </c>
      <c r="C1615" s="22" t="str">
        <f>'VIX HISTORIQUE'!D2131</f>
        <v/>
      </c>
      <c r="D1615" s="22" t="str">
        <f>'VIX HISTORIQUE'!G2131</f>
        <v/>
      </c>
      <c r="E1615" s="22" t="str">
        <f>'VIX HISTORIQUE'!I2131</f>
        <v/>
      </c>
      <c r="F1615" s="22" t="str">
        <f>'VIX HISTORIQUE'!K2131</f>
        <v/>
      </c>
    </row>
    <row r="1616" ht="15.75" customHeight="1">
      <c r="A1616" s="25" t="str">
        <f>'VIX HISTORIQUE'!A2132</f>
        <v/>
      </c>
      <c r="B1616" s="22" t="str">
        <f>'VIX HISTORIQUE'!B2132</f>
        <v/>
      </c>
      <c r="C1616" s="22" t="str">
        <f>'VIX HISTORIQUE'!D2132</f>
        <v/>
      </c>
      <c r="D1616" s="22" t="str">
        <f>'VIX HISTORIQUE'!G2132</f>
        <v/>
      </c>
      <c r="E1616" s="22" t="str">
        <f>'VIX HISTORIQUE'!I2132</f>
        <v/>
      </c>
      <c r="F1616" s="22" t="str">
        <f>'VIX HISTORIQUE'!K2132</f>
        <v/>
      </c>
    </row>
    <row r="1617" ht="15.75" customHeight="1">
      <c r="A1617" s="25" t="str">
        <f>'VIX HISTORIQUE'!A2133</f>
        <v/>
      </c>
      <c r="B1617" s="22" t="str">
        <f>'VIX HISTORIQUE'!B2133</f>
        <v/>
      </c>
      <c r="C1617" s="22" t="str">
        <f>'VIX HISTORIQUE'!D2133</f>
        <v/>
      </c>
      <c r="D1617" s="22" t="str">
        <f>'VIX HISTORIQUE'!G2133</f>
        <v/>
      </c>
      <c r="E1617" s="22" t="str">
        <f>'VIX HISTORIQUE'!I2133</f>
        <v/>
      </c>
      <c r="F1617" s="22" t="str">
        <f>'VIX HISTORIQUE'!K2133</f>
        <v/>
      </c>
    </row>
    <row r="1618" ht="15.75" customHeight="1">
      <c r="A1618" s="25" t="str">
        <f>'VIX HISTORIQUE'!A2134</f>
        <v/>
      </c>
      <c r="B1618" s="22" t="str">
        <f>'VIX HISTORIQUE'!B2134</f>
        <v/>
      </c>
      <c r="C1618" s="22" t="str">
        <f>'VIX HISTORIQUE'!D2134</f>
        <v/>
      </c>
      <c r="D1618" s="22" t="str">
        <f>'VIX HISTORIQUE'!G2134</f>
        <v/>
      </c>
      <c r="E1618" s="22" t="str">
        <f>'VIX HISTORIQUE'!I2134</f>
        <v/>
      </c>
      <c r="F1618" s="22" t="str">
        <f>'VIX HISTORIQUE'!K2134</f>
        <v/>
      </c>
    </row>
    <row r="1619" ht="15.75" customHeight="1">
      <c r="A1619" s="25" t="str">
        <f>'VIX HISTORIQUE'!A2135</f>
        <v/>
      </c>
      <c r="B1619" s="22" t="str">
        <f>'VIX HISTORIQUE'!B2135</f>
        <v/>
      </c>
      <c r="C1619" s="22" t="str">
        <f>'VIX HISTORIQUE'!D2135</f>
        <v/>
      </c>
      <c r="D1619" s="22" t="str">
        <f>'VIX HISTORIQUE'!G2135</f>
        <v/>
      </c>
      <c r="E1619" s="22" t="str">
        <f>'VIX HISTORIQUE'!I2135</f>
        <v/>
      </c>
      <c r="F1619" s="22" t="str">
        <f>'VIX HISTORIQUE'!K2135</f>
        <v/>
      </c>
    </row>
    <row r="1620" ht="15.75" customHeight="1">
      <c r="A1620" s="25" t="str">
        <f>'VIX HISTORIQUE'!A2136</f>
        <v/>
      </c>
      <c r="B1620" s="22" t="str">
        <f>'VIX HISTORIQUE'!B2136</f>
        <v/>
      </c>
      <c r="C1620" s="22" t="str">
        <f>'VIX HISTORIQUE'!D2136</f>
        <v/>
      </c>
      <c r="D1620" s="22" t="str">
        <f>'VIX HISTORIQUE'!G2136</f>
        <v/>
      </c>
      <c r="E1620" s="22" t="str">
        <f>'VIX HISTORIQUE'!I2136</f>
        <v/>
      </c>
      <c r="F1620" s="22" t="str">
        <f>'VIX HISTORIQUE'!K2136</f>
        <v/>
      </c>
    </row>
    <row r="1621" ht="15.75" customHeight="1">
      <c r="A1621" s="25" t="str">
        <f>'VIX HISTORIQUE'!A2137</f>
        <v/>
      </c>
      <c r="B1621" s="22" t="str">
        <f>'VIX HISTORIQUE'!B2137</f>
        <v/>
      </c>
      <c r="C1621" s="22" t="str">
        <f>'VIX HISTORIQUE'!D2137</f>
        <v/>
      </c>
      <c r="D1621" s="22" t="str">
        <f>'VIX HISTORIQUE'!G2137</f>
        <v/>
      </c>
      <c r="E1621" s="22" t="str">
        <f>'VIX HISTORIQUE'!I2137</f>
        <v/>
      </c>
      <c r="F1621" s="22" t="str">
        <f>'VIX HISTORIQUE'!K2137</f>
        <v/>
      </c>
    </row>
    <row r="1622" ht="15.75" customHeight="1">
      <c r="A1622" s="25" t="str">
        <f>'VIX HISTORIQUE'!A2138</f>
        <v/>
      </c>
      <c r="B1622" s="22" t="str">
        <f>'VIX HISTORIQUE'!B2138</f>
        <v/>
      </c>
      <c r="C1622" s="22" t="str">
        <f>'VIX HISTORIQUE'!D2138</f>
        <v/>
      </c>
      <c r="D1622" s="22" t="str">
        <f>'VIX HISTORIQUE'!G2138</f>
        <v/>
      </c>
      <c r="E1622" s="22" t="str">
        <f>'VIX HISTORIQUE'!I2138</f>
        <v/>
      </c>
      <c r="F1622" s="22" t="str">
        <f>'VIX HISTORIQUE'!K2138</f>
        <v/>
      </c>
    </row>
    <row r="1623" ht="15.75" customHeight="1">
      <c r="A1623" s="25" t="str">
        <f>'VIX HISTORIQUE'!A2139</f>
        <v/>
      </c>
      <c r="B1623" s="22" t="str">
        <f>'VIX HISTORIQUE'!B2139</f>
        <v/>
      </c>
      <c r="C1623" s="22" t="str">
        <f>'VIX HISTORIQUE'!D2139</f>
        <v/>
      </c>
      <c r="D1623" s="22" t="str">
        <f>'VIX HISTORIQUE'!G2139</f>
        <v/>
      </c>
      <c r="E1623" s="22" t="str">
        <f>'VIX HISTORIQUE'!I2139</f>
        <v/>
      </c>
      <c r="F1623" s="22" t="str">
        <f>'VIX HISTORIQUE'!K2139</f>
        <v/>
      </c>
    </row>
    <row r="1624" ht="15.75" customHeight="1">
      <c r="A1624" s="25" t="str">
        <f>'VIX HISTORIQUE'!A2140</f>
        <v/>
      </c>
      <c r="B1624" s="22" t="str">
        <f>'VIX HISTORIQUE'!B2140</f>
        <v/>
      </c>
      <c r="C1624" s="22" t="str">
        <f>'VIX HISTORIQUE'!D2140</f>
        <v/>
      </c>
      <c r="D1624" s="22" t="str">
        <f>'VIX HISTORIQUE'!G2140</f>
        <v/>
      </c>
      <c r="E1624" s="22" t="str">
        <f>'VIX HISTORIQUE'!I2140</f>
        <v/>
      </c>
      <c r="F1624" s="22" t="str">
        <f>'VIX HISTORIQUE'!K2140</f>
        <v/>
      </c>
    </row>
    <row r="1625" ht="15.75" customHeight="1">
      <c r="A1625" s="25"/>
    </row>
    <row r="1626" ht="15.75" customHeight="1">
      <c r="A1626" s="25"/>
    </row>
    <row r="1627" ht="15.75" customHeight="1">
      <c r="A1627" s="25"/>
    </row>
    <row r="1628" ht="15.75" customHeight="1">
      <c r="A1628" s="25"/>
    </row>
    <row r="1629" ht="15.75" customHeight="1">
      <c r="A1629" s="25"/>
    </row>
    <row r="1630" ht="15.75" customHeight="1">
      <c r="A1630" s="25"/>
    </row>
    <row r="1631" ht="15.75" customHeight="1">
      <c r="A1631" s="25"/>
    </row>
    <row r="1632" ht="15.75" customHeight="1">
      <c r="A1632" s="25"/>
    </row>
    <row r="1633" ht="15.75" customHeight="1">
      <c r="A1633" s="25"/>
    </row>
    <row r="1634" ht="15.75" customHeight="1">
      <c r="A1634" s="25"/>
    </row>
    <row r="1635" ht="15.75" customHeight="1">
      <c r="A1635" s="25"/>
    </row>
    <row r="1636" ht="15.75" customHeight="1">
      <c r="A1636" s="25"/>
    </row>
    <row r="1637" ht="15.75" customHeight="1">
      <c r="A1637" s="25"/>
    </row>
    <row r="1638" ht="15.75" customHeight="1">
      <c r="A1638" s="25"/>
    </row>
    <row r="1639" ht="15.75" customHeight="1">
      <c r="A1639" s="25"/>
    </row>
    <row r="1640" ht="15.75" customHeight="1">
      <c r="A1640" s="25"/>
    </row>
    <row r="1641" ht="15.75" customHeight="1">
      <c r="A1641" s="25"/>
    </row>
    <row r="1642" ht="15.75" customHeight="1">
      <c r="A1642" s="25"/>
    </row>
    <row r="1643" ht="15.75" customHeight="1">
      <c r="A1643" s="25"/>
    </row>
    <row r="1644" ht="15.75" customHeight="1">
      <c r="A1644" s="25"/>
    </row>
    <row r="1645" ht="15.75" customHeight="1">
      <c r="A1645" s="25"/>
    </row>
    <row r="1646" ht="15.75" customHeight="1">
      <c r="A1646" s="25"/>
    </row>
    <row r="1647" ht="15.75" customHeight="1">
      <c r="A1647" s="25"/>
    </row>
    <row r="1648" ht="15.75" customHeight="1">
      <c r="A1648" s="25"/>
    </row>
    <row r="1649" ht="15.75" customHeight="1">
      <c r="A1649" s="25"/>
    </row>
    <row r="1650" ht="15.75" customHeight="1">
      <c r="A1650" s="25"/>
    </row>
    <row r="1651" ht="15.75" customHeight="1">
      <c r="A1651" s="25"/>
    </row>
    <row r="1652" ht="15.75" customHeight="1">
      <c r="A1652" s="25"/>
    </row>
    <row r="1653" ht="15.75" customHeight="1">
      <c r="A1653" s="25"/>
    </row>
    <row r="1654" ht="15.75" customHeight="1">
      <c r="A1654" s="25"/>
    </row>
    <row r="1655" ht="15.75" customHeight="1">
      <c r="A1655" s="25"/>
    </row>
    <row r="1656" ht="15.75" customHeight="1">
      <c r="A1656" s="25"/>
    </row>
    <row r="1657" ht="15.75" customHeight="1">
      <c r="A1657" s="25"/>
    </row>
    <row r="1658" ht="15.75" customHeight="1">
      <c r="A1658" s="25"/>
    </row>
    <row r="1659" ht="15.75" customHeight="1">
      <c r="A1659" s="25"/>
    </row>
    <row r="1660" ht="15.75" customHeight="1">
      <c r="A1660" s="25"/>
    </row>
    <row r="1661" ht="15.75" customHeight="1">
      <c r="A1661" s="25"/>
    </row>
    <row r="1662" ht="15.75" customHeight="1">
      <c r="A1662" s="25"/>
    </row>
    <row r="1663" ht="15.75" customHeight="1">
      <c r="A1663" s="25"/>
    </row>
    <row r="1664" ht="15.75" customHeight="1">
      <c r="A1664" s="25"/>
    </row>
    <row r="1665" ht="15.75" customHeight="1">
      <c r="A1665" s="25"/>
    </row>
    <row r="1666" ht="15.75" customHeight="1">
      <c r="A1666" s="25"/>
    </row>
    <row r="1667" ht="15.75" customHeight="1">
      <c r="A1667" s="25"/>
    </row>
    <row r="1668" ht="15.75" customHeight="1">
      <c r="A1668" s="25"/>
    </row>
    <row r="1669" ht="15.75" customHeight="1">
      <c r="A1669" s="25"/>
    </row>
    <row r="1670" ht="15.75" customHeight="1">
      <c r="A1670" s="25"/>
    </row>
    <row r="1671" ht="15.75" customHeight="1">
      <c r="A1671" s="25"/>
    </row>
    <row r="1672" ht="15.75" customHeight="1">
      <c r="A1672" s="25"/>
    </row>
    <row r="1673" ht="15.75" customHeight="1">
      <c r="A1673" s="25"/>
    </row>
    <row r="1674" ht="15.75" customHeight="1">
      <c r="A1674" s="25"/>
    </row>
    <row r="1675" ht="15.75" customHeight="1">
      <c r="A1675" s="25"/>
    </row>
    <row r="1676" ht="15.75" customHeight="1">
      <c r="A1676" s="25"/>
    </row>
    <row r="1677" ht="15.75" customHeight="1">
      <c r="A1677" s="25"/>
    </row>
    <row r="1678" ht="15.75" customHeight="1">
      <c r="A1678" s="25"/>
    </row>
    <row r="1679" ht="15.75" customHeight="1">
      <c r="A1679" s="25"/>
    </row>
    <row r="1680" ht="15.75" customHeight="1">
      <c r="A1680" s="25"/>
    </row>
    <row r="1681" ht="15.75" customHeight="1">
      <c r="A1681" s="25"/>
    </row>
    <row r="1682" ht="15.75" customHeight="1">
      <c r="A1682" s="25"/>
    </row>
    <row r="1683" ht="15.75" customHeight="1">
      <c r="A1683" s="25"/>
    </row>
    <row r="1684" ht="15.75" customHeight="1">
      <c r="A1684" s="25"/>
    </row>
    <row r="1685" ht="15.75" customHeight="1">
      <c r="A1685" s="25"/>
    </row>
    <row r="1686" ht="15.75" customHeight="1">
      <c r="A1686" s="25"/>
    </row>
    <row r="1687" ht="15.75" customHeight="1">
      <c r="A1687" s="25"/>
    </row>
    <row r="1688" ht="15.75" customHeight="1">
      <c r="A1688" s="25"/>
    </row>
    <row r="1689" ht="15.75" customHeight="1">
      <c r="A1689" s="25"/>
    </row>
    <row r="1690" ht="15.75" customHeight="1">
      <c r="A1690" s="25"/>
    </row>
    <row r="1691" ht="15.75" customHeight="1">
      <c r="A1691" s="25"/>
    </row>
    <row r="1692" ht="15.75" customHeight="1">
      <c r="A1692" s="25"/>
    </row>
    <row r="1693" ht="15.75" customHeight="1">
      <c r="A1693" s="25"/>
    </row>
    <row r="1694" ht="15.75" customHeight="1">
      <c r="A1694" s="25"/>
    </row>
    <row r="1695" ht="15.75" customHeight="1">
      <c r="A1695" s="25"/>
    </row>
    <row r="1696" ht="15.75" customHeight="1">
      <c r="A1696" s="25"/>
    </row>
    <row r="1697" ht="15.75" customHeight="1">
      <c r="A1697" s="25"/>
    </row>
    <row r="1698" ht="15.75" customHeight="1">
      <c r="A1698" s="25"/>
    </row>
    <row r="1699" ht="15.75" customHeight="1">
      <c r="A1699" s="25"/>
    </row>
    <row r="1700" ht="15.75" customHeight="1">
      <c r="A1700" s="25"/>
    </row>
    <row r="1701" ht="15.75" customHeight="1">
      <c r="A1701" s="25"/>
    </row>
    <row r="1702" ht="15.75" customHeight="1">
      <c r="A1702" s="25"/>
    </row>
    <row r="1703" ht="15.75" customHeight="1">
      <c r="A1703" s="25"/>
    </row>
    <row r="1704" ht="15.75" customHeight="1">
      <c r="A1704" s="25"/>
    </row>
    <row r="1705" ht="15.75" customHeight="1">
      <c r="A1705" s="25"/>
    </row>
    <row r="1706" ht="15.75" customHeight="1">
      <c r="A1706" s="25"/>
    </row>
    <row r="1707" ht="15.75" customHeight="1">
      <c r="A1707" s="25"/>
    </row>
    <row r="1708" ht="15.75" customHeight="1">
      <c r="A1708" s="25"/>
    </row>
    <row r="1709" ht="15.75" customHeight="1">
      <c r="A1709" s="25"/>
    </row>
    <row r="1710" ht="15.75" customHeight="1">
      <c r="A1710" s="25"/>
    </row>
    <row r="1711" ht="15.75" customHeight="1">
      <c r="A1711" s="25"/>
    </row>
    <row r="1712" ht="15.75" customHeight="1">
      <c r="A1712" s="25"/>
    </row>
    <row r="1713" ht="15.75" customHeight="1">
      <c r="A1713" s="25"/>
    </row>
    <row r="1714" ht="15.75" customHeight="1">
      <c r="A1714" s="25"/>
    </row>
    <row r="1715" ht="15.75" customHeight="1">
      <c r="A1715" s="25"/>
    </row>
    <row r="1716" ht="15.75" customHeight="1">
      <c r="A1716" s="25"/>
    </row>
    <row r="1717" ht="15.75" customHeight="1">
      <c r="A1717" s="25"/>
    </row>
    <row r="1718" ht="15.75" customHeight="1">
      <c r="A1718" s="25"/>
    </row>
    <row r="1719" ht="15.75" customHeight="1">
      <c r="A1719" s="25"/>
    </row>
    <row r="1720" ht="15.75" customHeight="1">
      <c r="A1720" s="25"/>
    </row>
    <row r="1721" ht="15.75" customHeight="1">
      <c r="A1721" s="25"/>
    </row>
    <row r="1722" ht="15.75" customHeight="1">
      <c r="A1722" s="25"/>
    </row>
    <row r="1723" ht="15.75" customHeight="1">
      <c r="A1723" s="25"/>
    </row>
    <row r="1724" ht="15.75" customHeight="1">
      <c r="A1724" s="25"/>
    </row>
    <row r="1725" ht="15.75" customHeight="1">
      <c r="A1725" s="25"/>
    </row>
    <row r="1726" ht="15.75" customHeight="1">
      <c r="A1726" s="25"/>
    </row>
    <row r="1727" ht="15.75" customHeight="1">
      <c r="A1727" s="25"/>
    </row>
    <row r="1728" ht="15.75" customHeight="1">
      <c r="A1728" s="25"/>
    </row>
    <row r="1729" ht="15.75" customHeight="1">
      <c r="A1729" s="25"/>
    </row>
    <row r="1730" ht="15.75" customHeight="1">
      <c r="A1730" s="25"/>
    </row>
    <row r="1731" ht="15.75" customHeight="1">
      <c r="A1731" s="25"/>
    </row>
    <row r="1732" ht="15.75" customHeight="1">
      <c r="A1732" s="25"/>
    </row>
    <row r="1733" ht="15.75" customHeight="1">
      <c r="A1733" s="25"/>
    </row>
    <row r="1734" ht="15.75" customHeight="1">
      <c r="A1734" s="25"/>
    </row>
    <row r="1735" ht="15.75" customHeight="1">
      <c r="A1735" s="25"/>
    </row>
    <row r="1736" ht="15.75" customHeight="1">
      <c r="A1736" s="25"/>
    </row>
    <row r="1737" ht="15.75" customHeight="1">
      <c r="A1737" s="25"/>
    </row>
    <row r="1738" ht="15.75" customHeight="1">
      <c r="A1738" s="25"/>
    </row>
    <row r="1739" ht="15.75" customHeight="1">
      <c r="A1739" s="25"/>
    </row>
    <row r="1740" ht="15.75" customHeight="1">
      <c r="A1740" s="25"/>
    </row>
    <row r="1741" ht="15.75" customHeight="1">
      <c r="A1741" s="25"/>
    </row>
    <row r="1742" ht="15.75" customHeight="1">
      <c r="A1742" s="25"/>
    </row>
    <row r="1743" ht="15.75" customHeight="1">
      <c r="A1743" s="25"/>
    </row>
    <row r="1744" ht="15.75" customHeight="1">
      <c r="A1744" s="25"/>
    </row>
    <row r="1745" ht="15.75" customHeight="1">
      <c r="A1745" s="25"/>
    </row>
    <row r="1746" ht="15.75" customHeight="1">
      <c r="A1746" s="25"/>
    </row>
    <row r="1747" ht="15.75" customHeight="1">
      <c r="A1747" s="25"/>
    </row>
    <row r="1748" ht="15.75" customHeight="1">
      <c r="A1748" s="25"/>
    </row>
    <row r="1749" ht="15.75" customHeight="1">
      <c r="A1749" s="25"/>
    </row>
    <row r="1750" ht="15.75" customHeight="1">
      <c r="A1750" s="25"/>
    </row>
    <row r="1751" ht="15.75" customHeight="1">
      <c r="A1751" s="25"/>
    </row>
    <row r="1752" ht="15.75" customHeight="1">
      <c r="A1752" s="25"/>
    </row>
    <row r="1753" ht="15.75" customHeight="1">
      <c r="A1753" s="25"/>
    </row>
    <row r="1754" ht="15.75" customHeight="1">
      <c r="A1754" s="25"/>
    </row>
    <row r="1755" ht="15.75" customHeight="1">
      <c r="A1755" s="25"/>
    </row>
    <row r="1756" ht="15.75" customHeight="1">
      <c r="A1756" s="25"/>
    </row>
    <row r="1757" ht="15.75" customHeight="1">
      <c r="A1757" s="25"/>
    </row>
    <row r="1758" ht="15.75" customHeight="1">
      <c r="A1758" s="25"/>
    </row>
    <row r="1759" ht="15.75" customHeight="1">
      <c r="A1759" s="25"/>
    </row>
    <row r="1760" ht="15.75" customHeight="1">
      <c r="A1760" s="25"/>
    </row>
    <row r="1761" ht="15.75" customHeight="1">
      <c r="A1761" s="25"/>
    </row>
    <row r="1762" ht="15.75" customHeight="1">
      <c r="A1762" s="25"/>
    </row>
    <row r="1763" ht="15.75" customHeight="1">
      <c r="A1763" s="25"/>
    </row>
    <row r="1764" ht="15.75" customHeight="1">
      <c r="A1764" s="25"/>
    </row>
    <row r="1765" ht="15.75" customHeight="1">
      <c r="A1765" s="25"/>
    </row>
    <row r="1766" ht="15.75" customHeight="1">
      <c r="A1766" s="25"/>
    </row>
    <row r="1767" ht="15.75" customHeight="1">
      <c r="A1767" s="25"/>
    </row>
    <row r="1768" ht="15.75" customHeight="1">
      <c r="A1768" s="25"/>
    </row>
    <row r="1769" ht="15.75" customHeight="1">
      <c r="A1769" s="25"/>
    </row>
    <row r="1770" ht="15.75" customHeight="1">
      <c r="A1770" s="25"/>
    </row>
    <row r="1771" ht="15.75" customHeight="1">
      <c r="A1771" s="25"/>
    </row>
    <row r="1772" ht="15.75" customHeight="1">
      <c r="A1772" s="25"/>
    </row>
    <row r="1773" ht="15.75" customHeight="1">
      <c r="A1773" s="25"/>
    </row>
    <row r="1774" ht="15.75" customHeight="1">
      <c r="A1774" s="25"/>
    </row>
    <row r="1775" ht="15.75" customHeight="1">
      <c r="A1775" s="25"/>
    </row>
    <row r="1776" ht="15.75" customHeight="1">
      <c r="A1776" s="25"/>
    </row>
    <row r="1777" ht="15.75" customHeight="1">
      <c r="A1777" s="25"/>
    </row>
    <row r="1778" ht="15.75" customHeight="1">
      <c r="A1778" s="25"/>
    </row>
    <row r="1779" ht="15.75" customHeight="1">
      <c r="A1779" s="25"/>
    </row>
    <row r="1780" ht="15.75" customHeight="1">
      <c r="A1780" s="25"/>
    </row>
    <row r="1781" ht="15.75" customHeight="1">
      <c r="A1781" s="25"/>
    </row>
    <row r="1782" ht="15.75" customHeight="1">
      <c r="A1782" s="25"/>
    </row>
    <row r="1783" ht="15.75" customHeight="1">
      <c r="A1783" s="25"/>
    </row>
    <row r="1784" ht="15.75" customHeight="1">
      <c r="A1784" s="25"/>
    </row>
    <row r="1785" ht="15.75" customHeight="1">
      <c r="A1785" s="25"/>
    </row>
    <row r="1786" ht="15.75" customHeight="1">
      <c r="A1786" s="25"/>
    </row>
    <row r="1787" ht="15.75" customHeight="1">
      <c r="A1787" s="25"/>
    </row>
    <row r="1788" ht="15.75" customHeight="1">
      <c r="A1788" s="25"/>
    </row>
    <row r="1789" ht="15.75" customHeight="1">
      <c r="A1789" s="25"/>
    </row>
    <row r="1790" ht="15.75" customHeight="1">
      <c r="A1790" s="25"/>
    </row>
    <row r="1791" ht="15.75" customHeight="1">
      <c r="A1791" s="25"/>
    </row>
    <row r="1792" ht="15.75" customHeight="1">
      <c r="A1792" s="25"/>
    </row>
    <row r="1793" ht="15.75" customHeight="1">
      <c r="A1793" s="25"/>
    </row>
    <row r="1794" ht="15.75" customHeight="1">
      <c r="A1794" s="25"/>
    </row>
    <row r="1795" ht="15.75" customHeight="1">
      <c r="A1795" s="25"/>
    </row>
    <row r="1796" ht="15.75" customHeight="1">
      <c r="A1796" s="25"/>
    </row>
    <row r="1797" ht="15.75" customHeight="1">
      <c r="A1797" s="25"/>
    </row>
    <row r="1798" ht="15.75" customHeight="1">
      <c r="A1798" s="25"/>
    </row>
    <row r="1799" ht="15.75" customHeight="1">
      <c r="A1799" s="25"/>
    </row>
    <row r="1800" ht="15.75" customHeight="1">
      <c r="A1800" s="25"/>
    </row>
    <row r="1801" ht="15.75" customHeight="1">
      <c r="A1801" s="25"/>
    </row>
    <row r="1802" ht="15.75" customHeight="1">
      <c r="A1802" s="25"/>
    </row>
    <row r="1803" ht="15.75" customHeight="1">
      <c r="A1803" s="25"/>
    </row>
    <row r="1804" ht="15.75" customHeight="1">
      <c r="A1804" s="25"/>
    </row>
    <row r="1805" ht="15.75" customHeight="1">
      <c r="A1805" s="25"/>
    </row>
    <row r="1806" ht="15.75" customHeight="1">
      <c r="A1806" s="25"/>
    </row>
    <row r="1807" ht="15.75" customHeight="1">
      <c r="A1807" s="25"/>
    </row>
    <row r="1808" ht="15.75" customHeight="1">
      <c r="A1808" s="25"/>
    </row>
    <row r="1809" ht="15.75" customHeight="1">
      <c r="A1809" s="25"/>
    </row>
    <row r="1810" ht="15.75" customHeight="1">
      <c r="A1810" s="25"/>
    </row>
    <row r="1811" ht="15.75" customHeight="1">
      <c r="A1811" s="25"/>
    </row>
    <row r="1812" ht="15.75" customHeight="1">
      <c r="A1812" s="25"/>
    </row>
    <row r="1813" ht="15.75" customHeight="1">
      <c r="A1813" s="25"/>
    </row>
    <row r="1814" ht="15.75" customHeight="1">
      <c r="A1814" s="25"/>
    </row>
    <row r="1815" ht="15.75" customHeight="1">
      <c r="A1815" s="25"/>
    </row>
    <row r="1816" ht="15.75" customHeight="1">
      <c r="A1816" s="25"/>
    </row>
    <row r="1817" ht="15.75" customHeight="1">
      <c r="A1817" s="25"/>
    </row>
    <row r="1818" ht="15.75" customHeight="1">
      <c r="A1818" s="25"/>
    </row>
    <row r="1819" ht="15.75" customHeight="1">
      <c r="A1819" s="25"/>
    </row>
    <row r="1820" ht="15.75" customHeight="1">
      <c r="A1820" s="25"/>
    </row>
    <row r="1821" ht="15.75" customHeight="1">
      <c r="A1821" s="25"/>
    </row>
    <row r="1822" ht="15.75" customHeight="1">
      <c r="A1822" s="25"/>
    </row>
    <row r="1823" ht="15.75" customHeight="1">
      <c r="A1823" s="25"/>
    </row>
    <row r="1824" ht="15.75" customHeight="1">
      <c r="A1824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4" width="17.25"/>
    <col customWidth="1" min="5" max="5" width="32.5"/>
    <col customWidth="1" min="6" max="8" width="27.13"/>
    <col customWidth="1" min="16" max="16" width="14.63"/>
    <col customWidth="1" min="17" max="17" width="18.13"/>
  </cols>
  <sheetData>
    <row r="1" ht="15.75" customHeight="1">
      <c r="A1" s="1" t="s">
        <v>0</v>
      </c>
      <c r="B1" s="1" t="s">
        <v>109</v>
      </c>
      <c r="C1" s="1" t="s">
        <v>110</v>
      </c>
      <c r="D1" s="1" t="s">
        <v>1</v>
      </c>
      <c r="E1" s="4" t="s">
        <v>111</v>
      </c>
      <c r="F1" s="4" t="s">
        <v>112</v>
      </c>
      <c r="G1" s="4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3" t="s">
        <v>6</v>
      </c>
      <c r="M1" s="2" t="s">
        <v>118</v>
      </c>
      <c r="N1" s="2" t="s">
        <v>119</v>
      </c>
      <c r="O1" s="2" t="s">
        <v>120</v>
      </c>
      <c r="P1" s="4" t="s">
        <v>10</v>
      </c>
      <c r="Q1" s="2" t="s">
        <v>121</v>
      </c>
      <c r="R1" s="5" t="s">
        <v>12</v>
      </c>
    </row>
    <row r="2" ht="15.75" customHeight="1">
      <c r="A2" s="6" t="s">
        <v>13</v>
      </c>
      <c r="B2" s="6" t="s">
        <v>122</v>
      </c>
      <c r="C2" s="6" t="s">
        <v>123</v>
      </c>
      <c r="D2" s="6" t="s">
        <v>14</v>
      </c>
      <c r="E2" s="22" t="s">
        <v>124</v>
      </c>
      <c r="F2" s="27">
        <v>45654.0</v>
      </c>
      <c r="G2" s="14">
        <v>4.5</v>
      </c>
      <c r="H2" s="7" t="s">
        <v>125</v>
      </c>
      <c r="I2" s="8" t="s">
        <v>16</v>
      </c>
      <c r="J2" s="8" t="s">
        <v>17</v>
      </c>
      <c r="K2" s="9" t="s">
        <v>18</v>
      </c>
      <c r="L2" s="8" t="s">
        <v>19</v>
      </c>
      <c r="M2" s="10">
        <v>993746.0</v>
      </c>
      <c r="N2" s="11">
        <v>45361.0</v>
      </c>
      <c r="O2" s="8" t="s">
        <v>20</v>
      </c>
      <c r="P2" s="8" t="s">
        <v>21</v>
      </c>
      <c r="Q2" s="12" t="s">
        <v>22</v>
      </c>
      <c r="R2" s="13">
        <v>9.496416061512175</v>
      </c>
    </row>
    <row r="3" ht="15.75" customHeight="1">
      <c r="A3" s="6" t="s">
        <v>13</v>
      </c>
      <c r="B3" s="6" t="s">
        <v>122</v>
      </c>
      <c r="C3" s="6" t="s">
        <v>126</v>
      </c>
      <c r="D3" s="14" t="s">
        <v>23</v>
      </c>
      <c r="E3" s="14" t="s">
        <v>127</v>
      </c>
      <c r="F3" s="27">
        <v>45653.0</v>
      </c>
      <c r="G3" s="14">
        <v>3.1</v>
      </c>
      <c r="H3" s="15" t="s">
        <v>24</v>
      </c>
      <c r="I3" s="8" t="s">
        <v>25</v>
      </c>
      <c r="J3" s="8" t="s">
        <v>26</v>
      </c>
      <c r="K3" s="9" t="s">
        <v>27</v>
      </c>
      <c r="L3" s="8" t="s">
        <v>28</v>
      </c>
      <c r="M3" s="10">
        <v>53822.0</v>
      </c>
      <c r="N3" s="11">
        <v>45361.0</v>
      </c>
      <c r="O3" s="8" t="s">
        <v>29</v>
      </c>
      <c r="P3" s="8" t="s">
        <v>30</v>
      </c>
      <c r="Q3" s="12" t="s">
        <v>31</v>
      </c>
      <c r="R3" s="13">
        <v>4.783801794105083</v>
      </c>
    </row>
    <row r="4" ht="15.75" customHeight="1">
      <c r="A4" s="6" t="s">
        <v>13</v>
      </c>
      <c r="B4" s="6" t="s">
        <v>122</v>
      </c>
      <c r="C4" s="6" t="s">
        <v>128</v>
      </c>
      <c r="D4" s="14" t="s">
        <v>32</v>
      </c>
      <c r="E4" s="14" t="s">
        <v>129</v>
      </c>
      <c r="F4" s="27">
        <v>45652.0</v>
      </c>
      <c r="G4" s="14">
        <v>4.5</v>
      </c>
      <c r="H4" s="15" t="s">
        <v>33</v>
      </c>
      <c r="I4" s="8" t="s">
        <v>34</v>
      </c>
      <c r="J4" s="10">
        <v>9794870.0</v>
      </c>
      <c r="K4" s="9" t="s">
        <v>35</v>
      </c>
      <c r="L4" s="8" t="s">
        <v>36</v>
      </c>
      <c r="M4" s="10">
        <v>9789836.0</v>
      </c>
      <c r="N4" s="11">
        <v>45361.0</v>
      </c>
      <c r="O4" s="8" t="s">
        <v>37</v>
      </c>
      <c r="P4" s="8" t="s">
        <v>38</v>
      </c>
      <c r="Q4" s="16" t="s">
        <v>39</v>
      </c>
      <c r="R4" s="13">
        <v>18.807744553609574</v>
      </c>
    </row>
    <row r="5" ht="15.75" customHeight="1">
      <c r="A5" s="6" t="s">
        <v>13</v>
      </c>
      <c r="B5" s="6" t="s">
        <v>122</v>
      </c>
      <c r="C5" s="6" t="s">
        <v>130</v>
      </c>
      <c r="D5" s="14" t="s">
        <v>40</v>
      </c>
      <c r="E5" s="14" t="s">
        <v>127</v>
      </c>
      <c r="F5" s="27">
        <v>45651.0</v>
      </c>
      <c r="G5" s="14">
        <v>3.5</v>
      </c>
      <c r="H5" s="15" t="s">
        <v>41</v>
      </c>
      <c r="I5" s="8" t="s">
        <v>42</v>
      </c>
      <c r="J5" s="10">
        <v>5205.0</v>
      </c>
      <c r="K5" s="9" t="s">
        <v>27</v>
      </c>
      <c r="L5" s="8" t="s">
        <v>43</v>
      </c>
      <c r="M5" s="10">
        <v>52234.0</v>
      </c>
      <c r="N5" s="11">
        <v>45361.0</v>
      </c>
      <c r="O5" s="8" t="s">
        <v>44</v>
      </c>
      <c r="P5" s="8" t="s">
        <v>45</v>
      </c>
      <c r="Q5" s="12" t="s">
        <v>46</v>
      </c>
      <c r="R5" s="13">
        <v>9.45370354549338</v>
      </c>
    </row>
    <row r="6" ht="15.75" customHeight="1">
      <c r="A6" s="6" t="s">
        <v>13</v>
      </c>
      <c r="B6" s="6" t="s">
        <v>122</v>
      </c>
      <c r="C6" s="6" t="s">
        <v>131</v>
      </c>
      <c r="D6" s="14" t="s">
        <v>47</v>
      </c>
      <c r="E6" s="14" t="s">
        <v>132</v>
      </c>
      <c r="F6" s="27">
        <v>45652.0</v>
      </c>
      <c r="G6" s="14">
        <v>3.2</v>
      </c>
      <c r="H6" s="7" t="s">
        <v>133</v>
      </c>
      <c r="I6" s="8" t="s">
        <v>49</v>
      </c>
      <c r="J6" s="10">
        <v>52508.0</v>
      </c>
      <c r="K6" s="9" t="s">
        <v>18</v>
      </c>
      <c r="L6" s="8" t="s">
        <v>50</v>
      </c>
      <c r="M6" s="10">
        <v>5313.0</v>
      </c>
      <c r="N6" s="11">
        <v>45361.0</v>
      </c>
      <c r="O6" s="8" t="s">
        <v>51</v>
      </c>
      <c r="P6" s="8" t="s">
        <v>52</v>
      </c>
      <c r="Q6" s="12" t="s">
        <v>53</v>
      </c>
      <c r="R6" s="13">
        <v>9.83811618966254</v>
      </c>
    </row>
    <row r="7" ht="15.75" customHeight="1">
      <c r="A7" s="6" t="s">
        <v>13</v>
      </c>
      <c r="B7" s="6" t="s">
        <v>134</v>
      </c>
      <c r="C7" s="6" t="s">
        <v>135</v>
      </c>
      <c r="D7" s="14" t="s">
        <v>54</v>
      </c>
      <c r="E7" s="14" t="s">
        <v>136</v>
      </c>
      <c r="F7" s="27">
        <v>45653.0</v>
      </c>
      <c r="G7" s="14">
        <v>4.5</v>
      </c>
      <c r="H7" s="7" t="s">
        <v>137</v>
      </c>
      <c r="I7" s="8" t="s">
        <v>16</v>
      </c>
      <c r="J7" s="8" t="s">
        <v>56</v>
      </c>
      <c r="K7" s="9" t="s">
        <v>18</v>
      </c>
      <c r="L7" s="8" t="s">
        <v>57</v>
      </c>
      <c r="M7" s="10">
        <v>991209.0</v>
      </c>
      <c r="N7" s="11">
        <v>45361.0</v>
      </c>
      <c r="O7" s="8" t="s">
        <v>58</v>
      </c>
      <c r="P7" s="8" t="s">
        <v>59</v>
      </c>
      <c r="Q7" s="12" t="s">
        <v>60</v>
      </c>
      <c r="R7" s="13">
        <v>9.482178556172576</v>
      </c>
    </row>
    <row r="8" ht="15.75" customHeight="1">
      <c r="A8" s="6" t="s">
        <v>13</v>
      </c>
      <c r="B8" s="6" t="s">
        <v>134</v>
      </c>
      <c r="C8" s="6" t="s">
        <v>138</v>
      </c>
      <c r="D8" s="14" t="s">
        <v>61</v>
      </c>
      <c r="E8" s="14" t="s">
        <v>127</v>
      </c>
      <c r="F8" s="27">
        <v>45654.0</v>
      </c>
      <c r="G8" s="14">
        <v>3.2</v>
      </c>
      <c r="H8" s="7" t="s">
        <v>139</v>
      </c>
      <c r="I8" s="8" t="s">
        <v>63</v>
      </c>
      <c r="J8" s="10">
        <v>53343.0</v>
      </c>
      <c r="K8" s="9" t="s">
        <v>18</v>
      </c>
      <c r="L8" s="8" t="s">
        <v>64</v>
      </c>
      <c r="M8" s="10">
        <v>5432.0</v>
      </c>
      <c r="N8" s="11">
        <v>45361.0</v>
      </c>
      <c r="O8" s="8" t="s">
        <v>65</v>
      </c>
      <c r="P8" s="8" t="s">
        <v>66</v>
      </c>
      <c r="Q8" s="12" t="s">
        <v>67</v>
      </c>
      <c r="R8" s="13">
        <v>4.7980392994446825</v>
      </c>
    </row>
    <row r="9" ht="15.75" customHeight="1">
      <c r="A9" s="22" t="s">
        <v>84</v>
      </c>
      <c r="B9" s="6" t="s">
        <v>134</v>
      </c>
      <c r="C9" s="6" t="s">
        <v>140</v>
      </c>
      <c r="D9" s="22" t="s">
        <v>85</v>
      </c>
      <c r="E9" s="14" t="s">
        <v>141</v>
      </c>
      <c r="F9" s="14"/>
      <c r="G9" s="14"/>
      <c r="H9" s="15" t="s">
        <v>86</v>
      </c>
      <c r="I9" s="23">
        <v>1400.0</v>
      </c>
      <c r="J9" s="24">
        <v>5.3444571E7</v>
      </c>
      <c r="K9" s="19" t="s">
        <v>27</v>
      </c>
      <c r="L9" s="18" t="s">
        <v>87</v>
      </c>
      <c r="M9" s="18" t="s">
        <v>88</v>
      </c>
      <c r="N9" s="20">
        <v>45361.0</v>
      </c>
      <c r="O9" s="23" t="s">
        <v>89</v>
      </c>
      <c r="P9" s="23" t="s">
        <v>90</v>
      </c>
      <c r="Q9" s="21" t="s">
        <v>91</v>
      </c>
      <c r="R9" s="13">
        <v>33.333333333333336</v>
      </c>
    </row>
    <row r="10" ht="15.75" customHeight="1">
      <c r="A10" s="22" t="s">
        <v>13</v>
      </c>
      <c r="B10" s="6" t="s">
        <v>134</v>
      </c>
      <c r="C10" s="22" t="s">
        <v>142</v>
      </c>
      <c r="D10" s="22" t="s">
        <v>143</v>
      </c>
      <c r="E10" s="22" t="s">
        <v>144</v>
      </c>
      <c r="F10" s="22" t="s">
        <v>145</v>
      </c>
      <c r="G10" s="22">
        <v>6.85</v>
      </c>
    </row>
    <row r="11" ht="15.75" customHeight="1">
      <c r="A11" s="6" t="s">
        <v>13</v>
      </c>
      <c r="B11" s="6" t="s">
        <v>134</v>
      </c>
      <c r="C11" s="28" t="s">
        <v>146</v>
      </c>
      <c r="D11" s="22" t="s">
        <v>147</v>
      </c>
      <c r="E11" s="22" t="s">
        <v>148</v>
      </c>
      <c r="F11" s="29">
        <v>45656.0</v>
      </c>
      <c r="G11" s="22">
        <v>4.6</v>
      </c>
    </row>
    <row r="12" ht="15.75" customHeight="1"/>
    <row r="13" ht="15.75" customHeight="1"/>
    <row r="14" ht="15.75" customHeight="1"/>
    <row r="15" ht="15.75" customHeight="1">
      <c r="L15" s="30">
        <v>1.0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hyperlinks>
    <hyperlink r:id="rId1" ref="H1"/>
    <hyperlink r:id="rId2" ref="I1"/>
    <hyperlink r:id="rId3" ref="J1"/>
    <hyperlink r:id="rId4" ref="K1"/>
    <hyperlink r:id="rId5" ref="M1"/>
    <hyperlink r:id="rId6" ref="N1"/>
    <hyperlink r:id="rId7" ref="O1"/>
    <hyperlink r:id="rId8" ref="Q1"/>
    <hyperlink r:id="rId9" ref="H2"/>
    <hyperlink r:id="rId10" ref="H6"/>
    <hyperlink r:id="rId11" ref="H7"/>
    <hyperlink r:id="rId12" ref="H8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22" t="s">
        <v>92</v>
      </c>
      <c r="D1" s="22" t="s">
        <v>93</v>
      </c>
      <c r="E1" s="22">
        <v>2023.0</v>
      </c>
      <c r="F1" s="22">
        <v>9.0</v>
      </c>
      <c r="G1" s="22">
        <v>15.0</v>
      </c>
      <c r="I1" s="22" t="s">
        <v>94</v>
      </c>
      <c r="J1" s="22" t="s">
        <v>95</v>
      </c>
    </row>
    <row r="2" ht="15.75" customHeight="1">
      <c r="B2" s="22" t="s">
        <v>14</v>
      </c>
      <c r="D2" s="22" t="s">
        <v>23</v>
      </c>
      <c r="F2" s="22" t="s">
        <v>32</v>
      </c>
      <c r="H2" s="14" t="s">
        <v>40</v>
      </c>
      <c r="I2" s="14"/>
      <c r="J2" s="14" t="s">
        <v>47</v>
      </c>
      <c r="K2" s="14"/>
      <c r="L2" s="14" t="s">
        <v>54</v>
      </c>
      <c r="M2" s="14"/>
      <c r="N2" s="14" t="s">
        <v>61</v>
      </c>
      <c r="O2" s="22"/>
      <c r="P2" s="22" t="s">
        <v>85</v>
      </c>
      <c r="T2" s="22" t="s">
        <v>149</v>
      </c>
      <c r="V2" s="22"/>
    </row>
    <row r="3" ht="15.75" customHeight="1">
      <c r="B3" s="22" t="s">
        <v>123</v>
      </c>
      <c r="D3" s="22" t="s">
        <v>126</v>
      </c>
      <c r="F3" s="22" t="s">
        <v>128</v>
      </c>
      <c r="H3" s="22" t="s">
        <v>130</v>
      </c>
      <c r="J3" s="22" t="s">
        <v>131</v>
      </c>
      <c r="L3" s="22" t="s">
        <v>135</v>
      </c>
      <c r="N3" s="22" t="s">
        <v>138</v>
      </c>
      <c r="P3" s="22" t="s">
        <v>140</v>
      </c>
      <c r="R3" s="22" t="s">
        <v>150</v>
      </c>
      <c r="T3" s="22" t="s">
        <v>142</v>
      </c>
      <c r="V3" s="22" t="s">
        <v>151</v>
      </c>
    </row>
    <row r="4" ht="15.75" customHeight="1">
      <c r="A4" s="22" t="str">
        <f>IFERROR(__xludf.DUMMYFUNCTION("GOOGLEFINANCE(B$3, ""price"", DATE($E$1, $F$1, $G$1), TODAY(), $J$1)"),"Date")</f>
        <v>Date</v>
      </c>
      <c r="B4" s="22" t="str">
        <f>IFERROR(__xludf.DUMMYFUNCTION("""COMPUTED_VALUE"""),"Close")</f>
        <v>Close</v>
      </c>
      <c r="C4" s="22" t="str">
        <f>IFERROR(__xludf.DUMMYFUNCTION("GOOGLEFINANCE(D$3, ""price"", DATE($E$1, $F$1, $G$1), TODAY(), $J$1)"),"Date")</f>
        <v>Date</v>
      </c>
      <c r="D4" s="22" t="str">
        <f>IFERROR(__xludf.DUMMYFUNCTION("""COMPUTED_VALUE"""),"Close")</f>
        <v>Close</v>
      </c>
      <c r="E4" s="22" t="str">
        <f>IFERROR(__xludf.DUMMYFUNCTION("GOOGLEFINANCE(F$3, ""price"", DATE($E$1, $F$1, $G$1), TODAY(), $J$1)"),"Date")</f>
        <v>Date</v>
      </c>
      <c r="F4" s="22" t="str">
        <f>IFERROR(__xludf.DUMMYFUNCTION("""COMPUTED_VALUE"""),"Close")</f>
        <v>Close</v>
      </c>
      <c r="G4" s="22" t="str">
        <f>IFERROR(__xludf.DUMMYFUNCTION("GOOGLEFINANCE(H$3, ""price"", DATE($E$1, $F$1, $G$1), TODAY(), $J$1)"),"Date")</f>
        <v>Date</v>
      </c>
      <c r="H4" s="22" t="str">
        <f>IFERROR(__xludf.DUMMYFUNCTION("""COMPUTED_VALUE"""),"Close")</f>
        <v>Close</v>
      </c>
      <c r="I4" s="22" t="str">
        <f>IFERROR(__xludf.DUMMYFUNCTION("GOOGLEFINANCE(J$3, ""price"", DATE($E$1, $F$1, $G$1), TODAY(), $J$1)"),"Date")</f>
        <v>Date</v>
      </c>
      <c r="J4" s="31" t="str">
        <f>IFERROR(__xludf.DUMMYFUNCTION("""COMPUTED_VALUE"""),"Close")</f>
        <v>Close</v>
      </c>
      <c r="K4" s="22" t="str">
        <f>IFERROR(__xludf.DUMMYFUNCTION("GOOGLEFINANCE(L$3, ""price"", DATE($E$1, $F$1, $G$1), TODAY(), $J$1)"),"Date")</f>
        <v>Date</v>
      </c>
      <c r="L4" s="22" t="str">
        <f>IFERROR(__xludf.DUMMYFUNCTION("""COMPUTED_VALUE"""),"Close")</f>
        <v>Close</v>
      </c>
      <c r="M4" s="22" t="str">
        <f>IFERROR(__xludf.DUMMYFUNCTION("GOOGLEFINANCE(N$3, ""price"", DATE($E$1, $F$1, $G$1), TODAY(), $J$1)"),"Date")</f>
        <v>Date</v>
      </c>
      <c r="N4" s="22" t="str">
        <f>IFERROR(__xludf.DUMMYFUNCTION("""COMPUTED_VALUE"""),"Close")</f>
        <v>Close</v>
      </c>
      <c r="O4" s="22" t="str">
        <f>IFERROR(__xludf.DUMMYFUNCTION("GOOGLEFINANCE(P$3, ""price"", DATE($E$1, $F$1, $G$1), TODAY(), $J$1)"),"Date")</f>
        <v>Date</v>
      </c>
      <c r="P4" s="22" t="str">
        <f>IFERROR(__xludf.DUMMYFUNCTION("""COMPUTED_VALUE"""),"Close")</f>
        <v>Close</v>
      </c>
      <c r="Q4" s="32" t="str">
        <f>IFERROR(__xludf.DUMMYFUNCTION("GOOGLEFINANCE(R$3, ""price"", DATE($E$1, $F$1, $G$1), TODAY(), $J$1)"),"Date")</f>
        <v>Date</v>
      </c>
      <c r="R4" s="22" t="str">
        <f>IFERROR(__xludf.DUMMYFUNCTION("""COMPUTED_VALUE"""),"Close")</f>
        <v>Close</v>
      </c>
      <c r="S4" s="22" t="str">
        <f>IFERROR(__xludf.DUMMYFUNCTION("GOOGLEFINANCE(T$3, ""price"", DATE($E$1, $F$1, $G$1), TODAY(), $J$1)"),"Date")</f>
        <v>Date</v>
      </c>
      <c r="T4" s="22" t="str">
        <f>IFERROR(__xludf.DUMMYFUNCTION("""COMPUTED_VALUE"""),"Close")</f>
        <v>Close</v>
      </c>
      <c r="U4" s="22" t="str">
        <f>IFERROR(__xludf.DUMMYFUNCTION("GOOGLEFINANCE(V$3, ""price"", DATE($E$1, $F$1, $G$1), TODAY(), $J$1)"),"Date")</f>
        <v>Date</v>
      </c>
      <c r="V4" s="22" t="str">
        <f>IFERROR(__xludf.DUMMYFUNCTION("""COMPUTED_VALUE"""),"Close")</f>
        <v>Close</v>
      </c>
    </row>
    <row r="5" ht="15.75" customHeight="1">
      <c r="A5" s="32">
        <f>IFERROR(__xludf.DUMMYFUNCTION("""COMPUTED_VALUE"""),45184.73611111111)</f>
        <v>45184.73611</v>
      </c>
      <c r="B5" s="22">
        <f>IFERROR(__xludf.DUMMYFUNCTION("""COMPUTED_VALUE"""),93.05)</f>
        <v>93.05</v>
      </c>
      <c r="C5" s="32">
        <f>IFERROR(__xludf.DUMMYFUNCTION("""COMPUTED_VALUE"""),45184.726388888885)</f>
        <v>45184.72639</v>
      </c>
      <c r="D5" s="22">
        <f>IFERROR(__xludf.DUMMYFUNCTION("""COMPUTED_VALUE"""),5.02)</f>
        <v>5.02</v>
      </c>
      <c r="E5" s="32">
        <f>IFERROR(__xludf.DUMMYFUNCTION("""COMPUTED_VALUE"""),45184.73611111111)</f>
        <v>45184.73611</v>
      </c>
      <c r="F5" s="22">
        <f>IFERROR(__xludf.DUMMYFUNCTION("""COMPUTED_VALUE"""),93.43)</f>
        <v>93.43</v>
      </c>
      <c r="G5" s="32">
        <f>IFERROR(__xludf.DUMMYFUNCTION("""COMPUTED_VALUE"""),45184.726388888885)</f>
        <v>45184.72639</v>
      </c>
      <c r="H5" s="22">
        <f>IFERROR(__xludf.DUMMYFUNCTION("""COMPUTED_VALUE"""),5.02)</f>
        <v>5.02</v>
      </c>
      <c r="I5" s="32">
        <f>IFERROR(__xludf.DUMMYFUNCTION("""COMPUTED_VALUE"""),45184.726388888885)</f>
        <v>45184.72639</v>
      </c>
      <c r="J5" s="31">
        <f>IFERROR(__xludf.DUMMYFUNCTION("""COMPUTED_VALUE"""),5.02)</f>
        <v>5.02</v>
      </c>
      <c r="K5" s="32">
        <f>IFERROR(__xludf.DUMMYFUNCTION("""COMPUTED_VALUE"""),45184.73611111111)</f>
        <v>45184.73611</v>
      </c>
      <c r="L5" s="22">
        <f>IFERROR(__xludf.DUMMYFUNCTION("""COMPUTED_VALUE"""),93.7)</f>
        <v>93.7</v>
      </c>
      <c r="M5" s="32">
        <f>IFERROR(__xludf.DUMMYFUNCTION("""COMPUTED_VALUE"""),45184.726388888885)</f>
        <v>45184.72639</v>
      </c>
      <c r="N5" s="22">
        <f>IFERROR(__xludf.DUMMYFUNCTION("""COMPUTED_VALUE"""),5.02)</f>
        <v>5.02</v>
      </c>
      <c r="O5" s="32">
        <f>IFERROR(__xludf.DUMMYFUNCTION("""COMPUTED_VALUE"""),45184.6875)</f>
        <v>45184.6875</v>
      </c>
      <c r="P5" s="22">
        <f>IFERROR(__xludf.DUMMYFUNCTION("""COMPUTED_VALUE"""),466.41)</f>
        <v>466.41</v>
      </c>
      <c r="Q5" s="32">
        <f>IFERROR(__xludf.DUMMYFUNCTION("""COMPUTED_VALUE"""),45184.66666666667)</f>
        <v>45184.66667</v>
      </c>
      <c r="R5" s="22">
        <f>IFERROR(__xludf.DUMMYFUNCTION("""COMPUTED_VALUE"""),22.1)</f>
        <v>22.1</v>
      </c>
      <c r="S5" s="32">
        <f>IFERROR(__xludf.DUMMYFUNCTION("""COMPUTED_VALUE"""),45184.6875)</f>
        <v>45184.6875</v>
      </c>
      <c r="T5" s="22">
        <f>IFERROR(__xludf.DUMMYFUNCTION("""COMPUTED_VALUE"""),5.96)</f>
        <v>5.96</v>
      </c>
      <c r="U5" s="32">
        <f>IFERROR(__xludf.DUMMYFUNCTION("""COMPUTED_VALUE"""),45184.99861111111)</f>
        <v>45184.99861</v>
      </c>
      <c r="V5" s="33">
        <f>IFERROR(__xludf.DUMMYFUNCTION("""COMPUTED_VALUE"""),1.0672)</f>
        <v>1.0672</v>
      </c>
    </row>
    <row r="6" ht="15.75" customHeight="1">
      <c r="A6" s="32">
        <f>IFERROR(__xludf.DUMMYFUNCTION("""COMPUTED_VALUE"""),45187.73611111111)</f>
        <v>45187.73611</v>
      </c>
      <c r="B6" s="22">
        <f>IFERROR(__xludf.DUMMYFUNCTION("""COMPUTED_VALUE"""),93.04)</f>
        <v>93.04</v>
      </c>
      <c r="C6" s="32">
        <f>IFERROR(__xludf.DUMMYFUNCTION("""COMPUTED_VALUE"""),45187.726388888885)</f>
        <v>45187.72639</v>
      </c>
      <c r="D6" s="22">
        <f>IFERROR(__xludf.DUMMYFUNCTION("""COMPUTED_VALUE"""),5.02)</f>
        <v>5.02</v>
      </c>
      <c r="E6" s="32">
        <f>IFERROR(__xludf.DUMMYFUNCTION("""COMPUTED_VALUE"""),45187.73611111111)</f>
        <v>45187.73611</v>
      </c>
      <c r="F6" s="22">
        <f>IFERROR(__xludf.DUMMYFUNCTION("""COMPUTED_VALUE"""),93.35)</f>
        <v>93.35</v>
      </c>
      <c r="G6" s="32">
        <f>IFERROR(__xludf.DUMMYFUNCTION("""COMPUTED_VALUE"""),45187.726388888885)</f>
        <v>45187.72639</v>
      </c>
      <c r="H6" s="22">
        <f>IFERROR(__xludf.DUMMYFUNCTION("""COMPUTED_VALUE"""),5.02)</f>
        <v>5.02</v>
      </c>
      <c r="I6" s="32">
        <f>IFERROR(__xludf.DUMMYFUNCTION("""COMPUTED_VALUE"""),45187.726388888885)</f>
        <v>45187.72639</v>
      </c>
      <c r="J6" s="31">
        <f>IFERROR(__xludf.DUMMYFUNCTION("""COMPUTED_VALUE"""),5.01)</f>
        <v>5.01</v>
      </c>
      <c r="K6" s="32">
        <f>IFERROR(__xludf.DUMMYFUNCTION("""COMPUTED_VALUE"""),45187.73611111111)</f>
        <v>45187.73611</v>
      </c>
      <c r="L6" s="22">
        <f>IFERROR(__xludf.DUMMYFUNCTION("""COMPUTED_VALUE"""),93.65)</f>
        <v>93.65</v>
      </c>
      <c r="M6" s="32">
        <f>IFERROR(__xludf.DUMMYFUNCTION("""COMPUTED_VALUE"""),45187.726388888885)</f>
        <v>45187.72639</v>
      </c>
      <c r="N6" s="22">
        <f>IFERROR(__xludf.DUMMYFUNCTION("""COMPUTED_VALUE"""),5.0)</f>
        <v>5</v>
      </c>
      <c r="O6" s="32">
        <f>IFERROR(__xludf.DUMMYFUNCTION("""COMPUTED_VALUE"""),45187.6875)</f>
        <v>45187.6875</v>
      </c>
      <c r="P6" s="22">
        <f>IFERROR(__xludf.DUMMYFUNCTION("""COMPUTED_VALUE"""),466.14)</f>
        <v>466.14</v>
      </c>
      <c r="Q6" s="32">
        <f>IFERROR(__xludf.DUMMYFUNCTION("""COMPUTED_VALUE"""),45187.66666666667)</f>
        <v>45187.66667</v>
      </c>
      <c r="R6" s="22">
        <f>IFERROR(__xludf.DUMMYFUNCTION("""COMPUTED_VALUE"""),22.08)</f>
        <v>22.08</v>
      </c>
      <c r="S6" s="32">
        <f>IFERROR(__xludf.DUMMYFUNCTION("""COMPUTED_VALUE"""),45187.6875)</f>
        <v>45187.6875</v>
      </c>
      <c r="T6" s="22">
        <f>IFERROR(__xludf.DUMMYFUNCTION("""COMPUTED_VALUE"""),5.96)</f>
        <v>5.96</v>
      </c>
      <c r="U6" s="32">
        <f>IFERROR(__xludf.DUMMYFUNCTION("""COMPUTED_VALUE"""),45185.99861111111)</f>
        <v>45185.99861</v>
      </c>
      <c r="V6" s="33">
        <f>IFERROR(__xludf.DUMMYFUNCTION("""COMPUTED_VALUE"""),1.0672)</f>
        <v>1.0672</v>
      </c>
    </row>
    <row r="7" ht="15.75" customHeight="1">
      <c r="A7" s="32">
        <f>IFERROR(__xludf.DUMMYFUNCTION("""COMPUTED_VALUE"""),45188.73611111111)</f>
        <v>45188.73611</v>
      </c>
      <c r="B7" s="22">
        <f>IFERROR(__xludf.DUMMYFUNCTION("""COMPUTED_VALUE"""),92.79)</f>
        <v>92.79</v>
      </c>
      <c r="C7" s="32">
        <f>IFERROR(__xludf.DUMMYFUNCTION("""COMPUTED_VALUE"""),45188.726388888885)</f>
        <v>45188.72639</v>
      </c>
      <c r="D7" s="22">
        <f>IFERROR(__xludf.DUMMYFUNCTION("""COMPUTED_VALUE"""),5.01)</f>
        <v>5.01</v>
      </c>
      <c r="E7" s="32">
        <f>IFERROR(__xludf.DUMMYFUNCTION("""COMPUTED_VALUE"""),45188.73611111111)</f>
        <v>45188.73611</v>
      </c>
      <c r="F7" s="22">
        <f>IFERROR(__xludf.DUMMYFUNCTION("""COMPUTED_VALUE"""),93.23)</f>
        <v>93.23</v>
      </c>
      <c r="G7" s="32">
        <f>IFERROR(__xludf.DUMMYFUNCTION("""COMPUTED_VALUE"""),45188.726388888885)</f>
        <v>45188.72639</v>
      </c>
      <c r="H7" s="22">
        <f>IFERROR(__xludf.DUMMYFUNCTION("""COMPUTED_VALUE"""),5.01)</f>
        <v>5.01</v>
      </c>
      <c r="I7" s="32">
        <f>IFERROR(__xludf.DUMMYFUNCTION("""COMPUTED_VALUE"""),45188.726388888885)</f>
        <v>45188.72639</v>
      </c>
      <c r="J7" s="31">
        <f>IFERROR(__xludf.DUMMYFUNCTION("""COMPUTED_VALUE"""),5.01)</f>
        <v>5.01</v>
      </c>
      <c r="K7" s="32">
        <f>IFERROR(__xludf.DUMMYFUNCTION("""COMPUTED_VALUE"""),45188.73611111111)</f>
        <v>45188.73611</v>
      </c>
      <c r="L7" s="22">
        <f>IFERROR(__xludf.DUMMYFUNCTION("""COMPUTED_VALUE"""),93.45)</f>
        <v>93.45</v>
      </c>
      <c r="M7" s="32">
        <f>IFERROR(__xludf.DUMMYFUNCTION("""COMPUTED_VALUE"""),45188.726388888885)</f>
        <v>45188.72639</v>
      </c>
      <c r="N7" s="22">
        <f>IFERROR(__xludf.DUMMYFUNCTION("""COMPUTED_VALUE"""),5.0)</f>
        <v>5</v>
      </c>
      <c r="O7" s="32">
        <f>IFERROR(__xludf.DUMMYFUNCTION("""COMPUTED_VALUE"""),45188.6875)</f>
        <v>45188.6875</v>
      </c>
      <c r="P7" s="22">
        <f>IFERROR(__xludf.DUMMYFUNCTION("""COMPUTED_VALUE"""),462.58)</f>
        <v>462.58</v>
      </c>
      <c r="Q7" s="32">
        <f>IFERROR(__xludf.DUMMYFUNCTION("""COMPUTED_VALUE"""),45188.66666666667)</f>
        <v>45188.66667</v>
      </c>
      <c r="R7" s="22">
        <f>IFERROR(__xludf.DUMMYFUNCTION("""COMPUTED_VALUE"""),22.02)</f>
        <v>22.02</v>
      </c>
      <c r="S7" s="32">
        <f>IFERROR(__xludf.DUMMYFUNCTION("""COMPUTED_VALUE"""),45188.6875)</f>
        <v>45188.6875</v>
      </c>
      <c r="T7" s="22">
        <f>IFERROR(__xludf.DUMMYFUNCTION("""COMPUTED_VALUE"""),5.95)</f>
        <v>5.95</v>
      </c>
      <c r="U7" s="32">
        <f>IFERROR(__xludf.DUMMYFUNCTION("""COMPUTED_VALUE"""),45186.99861111111)</f>
        <v>45186.99861</v>
      </c>
      <c r="V7" s="33">
        <f>IFERROR(__xludf.DUMMYFUNCTION("""COMPUTED_VALUE"""),1.06677)</f>
        <v>1.06677</v>
      </c>
    </row>
    <row r="8" ht="15.75" customHeight="1">
      <c r="A8" s="32">
        <f>IFERROR(__xludf.DUMMYFUNCTION("""COMPUTED_VALUE"""),45189.73611111111)</f>
        <v>45189.73611</v>
      </c>
      <c r="B8" s="22">
        <f>IFERROR(__xludf.DUMMYFUNCTION("""COMPUTED_VALUE"""),92.63)</f>
        <v>92.63</v>
      </c>
      <c r="C8" s="32">
        <f>IFERROR(__xludf.DUMMYFUNCTION("""COMPUTED_VALUE"""),45189.726388888885)</f>
        <v>45189.72639</v>
      </c>
      <c r="D8" s="22">
        <f>IFERROR(__xludf.DUMMYFUNCTION("""COMPUTED_VALUE"""),5.01)</f>
        <v>5.01</v>
      </c>
      <c r="E8" s="32">
        <f>IFERROR(__xludf.DUMMYFUNCTION("""COMPUTED_VALUE"""),45189.73611111111)</f>
        <v>45189.73611</v>
      </c>
      <c r="F8" s="22">
        <f>IFERROR(__xludf.DUMMYFUNCTION("""COMPUTED_VALUE"""),93.09)</f>
        <v>93.09</v>
      </c>
      <c r="G8" s="32">
        <f>IFERROR(__xludf.DUMMYFUNCTION("""COMPUTED_VALUE"""),45189.726388888885)</f>
        <v>45189.72639</v>
      </c>
      <c r="H8" s="22">
        <f>IFERROR(__xludf.DUMMYFUNCTION("""COMPUTED_VALUE"""),5.01)</f>
        <v>5.01</v>
      </c>
      <c r="I8" s="32">
        <f>IFERROR(__xludf.DUMMYFUNCTION("""COMPUTED_VALUE"""),45189.726388888885)</f>
        <v>45189.72639</v>
      </c>
      <c r="J8" s="31">
        <f>IFERROR(__xludf.DUMMYFUNCTION("""COMPUTED_VALUE"""),5.01)</f>
        <v>5.01</v>
      </c>
      <c r="K8" s="32">
        <f>IFERROR(__xludf.DUMMYFUNCTION("""COMPUTED_VALUE"""),45189.73611111111)</f>
        <v>45189.73611</v>
      </c>
      <c r="L8" s="22">
        <f>IFERROR(__xludf.DUMMYFUNCTION("""COMPUTED_VALUE"""),93.28)</f>
        <v>93.28</v>
      </c>
      <c r="M8" s="32">
        <f>IFERROR(__xludf.DUMMYFUNCTION("""COMPUTED_VALUE"""),45189.726388888885)</f>
        <v>45189.72639</v>
      </c>
      <c r="N8" s="22">
        <f>IFERROR(__xludf.DUMMYFUNCTION("""COMPUTED_VALUE"""),5.0)</f>
        <v>5</v>
      </c>
      <c r="O8" s="32">
        <f>IFERROR(__xludf.DUMMYFUNCTION("""COMPUTED_VALUE"""),45189.6875)</f>
        <v>45189.6875</v>
      </c>
      <c r="P8" s="22">
        <f>IFERROR(__xludf.DUMMYFUNCTION("""COMPUTED_VALUE"""),465.21)</f>
        <v>465.21</v>
      </c>
      <c r="Q8" s="32">
        <f>IFERROR(__xludf.DUMMYFUNCTION("""COMPUTED_VALUE"""),45189.66666666667)</f>
        <v>45189.66667</v>
      </c>
      <c r="R8" s="22">
        <f>IFERROR(__xludf.DUMMYFUNCTION("""COMPUTED_VALUE"""),22.01)</f>
        <v>22.01</v>
      </c>
      <c r="S8" s="32">
        <f>IFERROR(__xludf.DUMMYFUNCTION("""COMPUTED_VALUE"""),45189.6875)</f>
        <v>45189.6875</v>
      </c>
      <c r="T8" s="22">
        <f>IFERROR(__xludf.DUMMYFUNCTION("""COMPUTED_VALUE"""),5.96)</f>
        <v>5.96</v>
      </c>
      <c r="U8" s="32">
        <f>IFERROR(__xludf.DUMMYFUNCTION("""COMPUTED_VALUE"""),45187.99861111111)</f>
        <v>45187.99861</v>
      </c>
      <c r="V8" s="33">
        <f>IFERROR(__xludf.DUMMYFUNCTION("""COMPUTED_VALUE"""),1.06919)</f>
        <v>1.06919</v>
      </c>
    </row>
    <row r="9" ht="15.75" customHeight="1">
      <c r="A9" s="32">
        <f>IFERROR(__xludf.DUMMYFUNCTION("""COMPUTED_VALUE"""),45190.73611111111)</f>
        <v>45190.73611</v>
      </c>
      <c r="B9" s="22">
        <f>IFERROR(__xludf.DUMMYFUNCTION("""COMPUTED_VALUE"""),92.45)</f>
        <v>92.45</v>
      </c>
      <c r="C9" s="32">
        <f>IFERROR(__xludf.DUMMYFUNCTION("""COMPUTED_VALUE"""),45190.726388888885)</f>
        <v>45190.72639</v>
      </c>
      <c r="D9" s="22">
        <f>IFERROR(__xludf.DUMMYFUNCTION("""COMPUTED_VALUE"""),5.0)</f>
        <v>5</v>
      </c>
      <c r="E9" s="32">
        <f>IFERROR(__xludf.DUMMYFUNCTION("""COMPUTED_VALUE"""),45190.73611111111)</f>
        <v>45190.73611</v>
      </c>
      <c r="F9" s="22">
        <f>IFERROR(__xludf.DUMMYFUNCTION("""COMPUTED_VALUE"""),93.33)</f>
        <v>93.33</v>
      </c>
      <c r="G9" s="32">
        <f>IFERROR(__xludf.DUMMYFUNCTION("""COMPUTED_VALUE"""),45190.726388888885)</f>
        <v>45190.72639</v>
      </c>
      <c r="H9" s="22">
        <f>IFERROR(__xludf.DUMMYFUNCTION("""COMPUTED_VALUE"""),5.01)</f>
        <v>5.01</v>
      </c>
      <c r="I9" s="32">
        <f>IFERROR(__xludf.DUMMYFUNCTION("""COMPUTED_VALUE"""),45190.726388888885)</f>
        <v>45190.72639</v>
      </c>
      <c r="J9" s="31">
        <f>IFERROR(__xludf.DUMMYFUNCTION("""COMPUTED_VALUE"""),5.01)</f>
        <v>5.01</v>
      </c>
      <c r="K9" s="32">
        <f>IFERROR(__xludf.DUMMYFUNCTION("""COMPUTED_VALUE"""),45191.73611111111)</f>
        <v>45191.73611</v>
      </c>
      <c r="L9" s="22">
        <f>IFERROR(__xludf.DUMMYFUNCTION("""COMPUTED_VALUE"""),93.54)</f>
        <v>93.54</v>
      </c>
      <c r="M9" s="32">
        <f>IFERROR(__xludf.DUMMYFUNCTION("""COMPUTED_VALUE"""),45190.726388888885)</f>
        <v>45190.72639</v>
      </c>
      <c r="N9" s="22">
        <f>IFERROR(__xludf.DUMMYFUNCTION("""COMPUTED_VALUE"""),5.0)</f>
        <v>5</v>
      </c>
      <c r="O9" s="32">
        <f>IFERROR(__xludf.DUMMYFUNCTION("""COMPUTED_VALUE"""),45190.6875)</f>
        <v>45190.6875</v>
      </c>
      <c r="P9" s="22">
        <f>IFERROR(__xludf.DUMMYFUNCTION("""COMPUTED_VALUE"""),455.54)</f>
        <v>455.54</v>
      </c>
      <c r="Q9" s="32">
        <f>IFERROR(__xludf.DUMMYFUNCTION("""COMPUTED_VALUE"""),45190.66666666667)</f>
        <v>45190.66667</v>
      </c>
      <c r="R9" s="22">
        <f>IFERROR(__xludf.DUMMYFUNCTION("""COMPUTED_VALUE"""),21.85)</f>
        <v>21.85</v>
      </c>
      <c r="S9" s="32">
        <f>IFERROR(__xludf.DUMMYFUNCTION("""COMPUTED_VALUE"""),45190.6875)</f>
        <v>45190.6875</v>
      </c>
      <c r="T9" s="22">
        <f>IFERROR(__xludf.DUMMYFUNCTION("""COMPUTED_VALUE"""),5.91)</f>
        <v>5.91</v>
      </c>
      <c r="U9" s="32">
        <f>IFERROR(__xludf.DUMMYFUNCTION("""COMPUTED_VALUE"""),45188.99861111111)</f>
        <v>45188.99861</v>
      </c>
      <c r="V9" s="33">
        <f>IFERROR(__xludf.DUMMYFUNCTION("""COMPUTED_VALUE"""),1.06814)</f>
        <v>1.06814</v>
      </c>
    </row>
    <row r="10" ht="15.75" customHeight="1">
      <c r="A10" s="32">
        <f>IFERROR(__xludf.DUMMYFUNCTION("""COMPUTED_VALUE"""),45191.73611111111)</f>
        <v>45191.73611</v>
      </c>
      <c r="B10" s="22">
        <f>IFERROR(__xludf.DUMMYFUNCTION("""COMPUTED_VALUE"""),92.85)</f>
        <v>92.85</v>
      </c>
      <c r="C10" s="32">
        <f>IFERROR(__xludf.DUMMYFUNCTION("""COMPUTED_VALUE"""),45194.726388888885)</f>
        <v>45194.72639</v>
      </c>
      <c r="D10" s="22">
        <f>IFERROR(__xludf.DUMMYFUNCTION("""COMPUTED_VALUE"""),5.0)</f>
        <v>5</v>
      </c>
      <c r="E10" s="32">
        <f>IFERROR(__xludf.DUMMYFUNCTION("""COMPUTED_VALUE"""),45191.73611111111)</f>
        <v>45191.73611</v>
      </c>
      <c r="F10" s="22">
        <f>IFERROR(__xludf.DUMMYFUNCTION("""COMPUTED_VALUE"""),93.49)</f>
        <v>93.49</v>
      </c>
      <c r="G10" s="32">
        <f>IFERROR(__xludf.DUMMYFUNCTION("""COMPUTED_VALUE"""),45191.726388888885)</f>
        <v>45191.72639</v>
      </c>
      <c r="H10" s="22">
        <f>IFERROR(__xludf.DUMMYFUNCTION("""COMPUTED_VALUE"""),5.01)</f>
        <v>5.01</v>
      </c>
      <c r="I10" s="32">
        <f>IFERROR(__xludf.DUMMYFUNCTION("""COMPUTED_VALUE"""),45191.726388888885)</f>
        <v>45191.72639</v>
      </c>
      <c r="J10" s="31">
        <f>IFERROR(__xludf.DUMMYFUNCTION("""COMPUTED_VALUE"""),5.0)</f>
        <v>5</v>
      </c>
      <c r="K10" s="32">
        <f>IFERROR(__xludf.DUMMYFUNCTION("""COMPUTED_VALUE"""),45194.73611111111)</f>
        <v>45194.73611</v>
      </c>
      <c r="L10" s="22">
        <f>IFERROR(__xludf.DUMMYFUNCTION("""COMPUTED_VALUE"""),94.14)</f>
        <v>94.14</v>
      </c>
      <c r="M10" s="32">
        <f>IFERROR(__xludf.DUMMYFUNCTION("""COMPUTED_VALUE"""),45191.726388888885)</f>
        <v>45191.72639</v>
      </c>
      <c r="N10" s="22">
        <f>IFERROR(__xludf.DUMMYFUNCTION("""COMPUTED_VALUE"""),5.0)</f>
        <v>5</v>
      </c>
      <c r="O10" s="32">
        <f>IFERROR(__xludf.DUMMYFUNCTION("""COMPUTED_VALUE"""),45191.6875)</f>
        <v>45191.6875</v>
      </c>
      <c r="P10" s="22">
        <f>IFERROR(__xludf.DUMMYFUNCTION("""COMPUTED_VALUE"""),455.12)</f>
        <v>455.12</v>
      </c>
      <c r="Q10" s="32">
        <f>IFERROR(__xludf.DUMMYFUNCTION("""COMPUTED_VALUE"""),45191.66666666667)</f>
        <v>45191.66667</v>
      </c>
      <c r="R10" s="22">
        <f>IFERROR(__xludf.DUMMYFUNCTION("""COMPUTED_VALUE"""),21.88)</f>
        <v>21.88</v>
      </c>
      <c r="S10" s="32">
        <f>IFERROR(__xludf.DUMMYFUNCTION("""COMPUTED_VALUE"""),45191.6875)</f>
        <v>45191.6875</v>
      </c>
      <c r="T10" s="22">
        <f>IFERROR(__xludf.DUMMYFUNCTION("""COMPUTED_VALUE"""),5.93)</f>
        <v>5.93</v>
      </c>
      <c r="U10" s="32">
        <f>IFERROR(__xludf.DUMMYFUNCTION("""COMPUTED_VALUE"""),45189.99861111111)</f>
        <v>45189.99861</v>
      </c>
      <c r="V10" s="33">
        <f>IFERROR(__xludf.DUMMYFUNCTION("""COMPUTED_VALUE"""),1.06513)</f>
        <v>1.06513</v>
      </c>
    </row>
    <row r="11" ht="15.75" customHeight="1">
      <c r="A11" s="32">
        <f>IFERROR(__xludf.DUMMYFUNCTION("""COMPUTED_VALUE"""),45194.73611111111)</f>
        <v>45194.73611</v>
      </c>
      <c r="B11" s="22">
        <f>IFERROR(__xludf.DUMMYFUNCTION("""COMPUTED_VALUE"""),93.29)</f>
        <v>93.29</v>
      </c>
      <c r="C11" s="32">
        <f>IFERROR(__xludf.DUMMYFUNCTION("""COMPUTED_VALUE"""),45195.726388888885)</f>
        <v>45195.72639</v>
      </c>
      <c r="D11" s="22">
        <f>IFERROR(__xludf.DUMMYFUNCTION("""COMPUTED_VALUE"""),5.0)</f>
        <v>5</v>
      </c>
      <c r="E11" s="32">
        <f>IFERROR(__xludf.DUMMYFUNCTION("""COMPUTED_VALUE"""),45194.73611111111)</f>
        <v>45194.73611</v>
      </c>
      <c r="F11" s="22">
        <f>IFERROR(__xludf.DUMMYFUNCTION("""COMPUTED_VALUE"""),94.16)</f>
        <v>94.16</v>
      </c>
      <c r="G11" s="32">
        <f>IFERROR(__xludf.DUMMYFUNCTION("""COMPUTED_VALUE"""),45194.726388888885)</f>
        <v>45194.72639</v>
      </c>
      <c r="H11" s="22">
        <f>IFERROR(__xludf.DUMMYFUNCTION("""COMPUTED_VALUE"""),5.01)</f>
        <v>5.01</v>
      </c>
      <c r="I11" s="32">
        <f>IFERROR(__xludf.DUMMYFUNCTION("""COMPUTED_VALUE"""),45194.726388888885)</f>
        <v>45194.72639</v>
      </c>
      <c r="J11" s="31">
        <f>IFERROR(__xludf.DUMMYFUNCTION("""COMPUTED_VALUE"""),5.01)</f>
        <v>5.01</v>
      </c>
      <c r="K11" s="32">
        <f>IFERROR(__xludf.DUMMYFUNCTION("""COMPUTED_VALUE"""),45195.73611111111)</f>
        <v>45195.73611</v>
      </c>
      <c r="L11" s="22">
        <f>IFERROR(__xludf.DUMMYFUNCTION("""COMPUTED_VALUE"""),94.06)</f>
        <v>94.06</v>
      </c>
      <c r="M11" s="32">
        <f>IFERROR(__xludf.DUMMYFUNCTION("""COMPUTED_VALUE"""),45194.726388888885)</f>
        <v>45194.72639</v>
      </c>
      <c r="N11" s="22">
        <f>IFERROR(__xludf.DUMMYFUNCTION("""COMPUTED_VALUE"""),4.99)</f>
        <v>4.99</v>
      </c>
      <c r="O11" s="32">
        <f>IFERROR(__xludf.DUMMYFUNCTION("""COMPUTED_VALUE"""),45194.6875)</f>
        <v>45194.6875</v>
      </c>
      <c r="P11" s="22">
        <f>IFERROR(__xludf.DUMMYFUNCTION("""COMPUTED_VALUE"""),452.21)</f>
        <v>452.21</v>
      </c>
      <c r="Q11" s="32">
        <f>IFERROR(__xludf.DUMMYFUNCTION("""COMPUTED_VALUE"""),45194.66666666667)</f>
        <v>45194.66667</v>
      </c>
      <c r="R11" s="22">
        <f>IFERROR(__xludf.DUMMYFUNCTION("""COMPUTED_VALUE"""),21.82)</f>
        <v>21.82</v>
      </c>
      <c r="S11" s="32">
        <f>IFERROR(__xludf.DUMMYFUNCTION("""COMPUTED_VALUE"""),45194.6875)</f>
        <v>45194.6875</v>
      </c>
      <c r="T11" s="22">
        <f>IFERROR(__xludf.DUMMYFUNCTION("""COMPUTED_VALUE"""),5.9)</f>
        <v>5.9</v>
      </c>
      <c r="U11" s="32">
        <f>IFERROR(__xludf.DUMMYFUNCTION("""COMPUTED_VALUE"""),45190.99861111111)</f>
        <v>45190.99861</v>
      </c>
      <c r="V11" s="33">
        <f>IFERROR(__xludf.DUMMYFUNCTION("""COMPUTED_VALUE"""),1.06606)</f>
        <v>1.06606</v>
      </c>
    </row>
    <row r="12" ht="15.75" customHeight="1">
      <c r="A12" s="32">
        <f>IFERROR(__xludf.DUMMYFUNCTION("""COMPUTED_VALUE"""),45195.73611111111)</f>
        <v>45195.73611</v>
      </c>
      <c r="B12" s="22">
        <f>IFERROR(__xludf.DUMMYFUNCTION("""COMPUTED_VALUE"""),93.17)</f>
        <v>93.17</v>
      </c>
      <c r="C12" s="32">
        <f>IFERROR(__xludf.DUMMYFUNCTION("""COMPUTED_VALUE"""),45196.726388888885)</f>
        <v>45196.72639</v>
      </c>
      <c r="D12" s="22">
        <f>IFERROR(__xludf.DUMMYFUNCTION("""COMPUTED_VALUE"""),4.99)</f>
        <v>4.99</v>
      </c>
      <c r="E12" s="32">
        <f>IFERROR(__xludf.DUMMYFUNCTION("""COMPUTED_VALUE"""),45195.73611111111)</f>
        <v>45195.73611</v>
      </c>
      <c r="F12" s="22">
        <f>IFERROR(__xludf.DUMMYFUNCTION("""COMPUTED_VALUE"""),94.09)</f>
        <v>94.09</v>
      </c>
      <c r="G12" s="32">
        <f>IFERROR(__xludf.DUMMYFUNCTION("""COMPUTED_VALUE"""),45195.726388888885)</f>
        <v>45195.72639</v>
      </c>
      <c r="H12" s="22">
        <f>IFERROR(__xludf.DUMMYFUNCTION("""COMPUTED_VALUE"""),5.02)</f>
        <v>5.02</v>
      </c>
      <c r="I12" s="32">
        <f>IFERROR(__xludf.DUMMYFUNCTION("""COMPUTED_VALUE"""),45195.726388888885)</f>
        <v>45195.72639</v>
      </c>
      <c r="J12" s="31">
        <f>IFERROR(__xludf.DUMMYFUNCTION("""COMPUTED_VALUE"""),5.01)</f>
        <v>5.01</v>
      </c>
      <c r="K12" s="32">
        <f>IFERROR(__xludf.DUMMYFUNCTION("""COMPUTED_VALUE"""),45196.73611111111)</f>
        <v>45196.73611</v>
      </c>
      <c r="L12" s="22">
        <f>IFERROR(__xludf.DUMMYFUNCTION("""COMPUTED_VALUE"""),94.58)</f>
        <v>94.58</v>
      </c>
      <c r="M12" s="32">
        <f>IFERROR(__xludf.DUMMYFUNCTION("""COMPUTED_VALUE"""),45195.726388888885)</f>
        <v>45195.72639</v>
      </c>
      <c r="N12" s="22">
        <f>IFERROR(__xludf.DUMMYFUNCTION("""COMPUTED_VALUE"""),4.99)</f>
        <v>4.99</v>
      </c>
      <c r="O12" s="32">
        <f>IFERROR(__xludf.DUMMYFUNCTION("""COMPUTED_VALUE"""),45195.6875)</f>
        <v>45195.6875</v>
      </c>
      <c r="P12" s="22">
        <f>IFERROR(__xludf.DUMMYFUNCTION("""COMPUTED_VALUE"""),447.97)</f>
        <v>447.97</v>
      </c>
      <c r="Q12" s="32">
        <f>IFERROR(__xludf.DUMMYFUNCTION("""COMPUTED_VALUE"""),45195.66666666667)</f>
        <v>45195.66667</v>
      </c>
      <c r="R12" s="22">
        <f>IFERROR(__xludf.DUMMYFUNCTION("""COMPUTED_VALUE"""),21.71)</f>
        <v>21.71</v>
      </c>
      <c r="S12" s="32">
        <f>IFERROR(__xludf.DUMMYFUNCTION("""COMPUTED_VALUE"""),45195.6875)</f>
        <v>45195.6875</v>
      </c>
      <c r="T12" s="22">
        <f>IFERROR(__xludf.DUMMYFUNCTION("""COMPUTED_VALUE"""),5.89)</f>
        <v>5.89</v>
      </c>
      <c r="U12" s="32">
        <f>IFERROR(__xludf.DUMMYFUNCTION("""COMPUTED_VALUE"""),45191.99861111111)</f>
        <v>45191.99861</v>
      </c>
      <c r="V12" s="33">
        <f>IFERROR(__xludf.DUMMYFUNCTION("""COMPUTED_VALUE"""),1.0671)</f>
        <v>1.0671</v>
      </c>
    </row>
    <row r="13" ht="15.75" customHeight="1">
      <c r="A13" s="32">
        <f>IFERROR(__xludf.DUMMYFUNCTION("""COMPUTED_VALUE"""),45196.73611111111)</f>
        <v>45196.73611</v>
      </c>
      <c r="B13" s="22">
        <f>IFERROR(__xludf.DUMMYFUNCTION("""COMPUTED_VALUE"""),93.69)</f>
        <v>93.69</v>
      </c>
      <c r="C13" s="32">
        <f>IFERROR(__xludf.DUMMYFUNCTION("""COMPUTED_VALUE"""),45197.726388888885)</f>
        <v>45197.72639</v>
      </c>
      <c r="D13" s="22">
        <f>IFERROR(__xludf.DUMMYFUNCTION("""COMPUTED_VALUE"""),4.98)</f>
        <v>4.98</v>
      </c>
      <c r="E13" s="32">
        <f>IFERROR(__xludf.DUMMYFUNCTION("""COMPUTED_VALUE"""),45196.73611111111)</f>
        <v>45196.73611</v>
      </c>
      <c r="F13" s="22">
        <f>IFERROR(__xludf.DUMMYFUNCTION("""COMPUTED_VALUE"""),94.61)</f>
        <v>94.61</v>
      </c>
      <c r="G13" s="32">
        <f>IFERROR(__xludf.DUMMYFUNCTION("""COMPUTED_VALUE"""),45196.726388888885)</f>
        <v>45196.72639</v>
      </c>
      <c r="H13" s="22">
        <f>IFERROR(__xludf.DUMMYFUNCTION("""COMPUTED_VALUE"""),5.01)</f>
        <v>5.01</v>
      </c>
      <c r="I13" s="32">
        <f>IFERROR(__xludf.DUMMYFUNCTION("""COMPUTED_VALUE"""),45196.726388888885)</f>
        <v>45196.72639</v>
      </c>
      <c r="J13" s="31">
        <f>IFERROR(__xludf.DUMMYFUNCTION("""COMPUTED_VALUE"""),5.01)</f>
        <v>5.01</v>
      </c>
      <c r="K13" s="32">
        <f>IFERROR(__xludf.DUMMYFUNCTION("""COMPUTED_VALUE"""),45197.73611111111)</f>
        <v>45197.73611</v>
      </c>
      <c r="L13" s="22">
        <f>IFERROR(__xludf.DUMMYFUNCTION("""COMPUTED_VALUE"""),94.01)</f>
        <v>94.01</v>
      </c>
      <c r="M13" s="32">
        <f>IFERROR(__xludf.DUMMYFUNCTION("""COMPUTED_VALUE"""),45196.726388888885)</f>
        <v>45196.72639</v>
      </c>
      <c r="N13" s="22">
        <f>IFERROR(__xludf.DUMMYFUNCTION("""COMPUTED_VALUE"""),4.97)</f>
        <v>4.97</v>
      </c>
      <c r="O13" s="32">
        <f>IFERROR(__xludf.DUMMYFUNCTION("""COMPUTED_VALUE"""),45196.6875)</f>
        <v>45196.6875</v>
      </c>
      <c r="P13" s="22">
        <f>IFERROR(__xludf.DUMMYFUNCTION("""COMPUTED_VALUE"""),446.76)</f>
        <v>446.76</v>
      </c>
      <c r="Q13" s="32">
        <f>IFERROR(__xludf.DUMMYFUNCTION("""COMPUTED_VALUE"""),45196.66666666667)</f>
        <v>45196.66667</v>
      </c>
      <c r="R13" s="22">
        <f>IFERROR(__xludf.DUMMYFUNCTION("""COMPUTED_VALUE"""),21.7)</f>
        <v>21.7</v>
      </c>
      <c r="S13" s="32">
        <f>IFERROR(__xludf.DUMMYFUNCTION("""COMPUTED_VALUE"""),45196.6875)</f>
        <v>45196.6875</v>
      </c>
      <c r="T13" s="22">
        <f>IFERROR(__xludf.DUMMYFUNCTION("""COMPUTED_VALUE"""),5.89)</f>
        <v>5.89</v>
      </c>
      <c r="U13" s="32">
        <f>IFERROR(__xludf.DUMMYFUNCTION("""COMPUTED_VALUE"""),45192.99861111111)</f>
        <v>45192.99861</v>
      </c>
      <c r="V13" s="33">
        <f>IFERROR(__xludf.DUMMYFUNCTION("""COMPUTED_VALUE"""),1.0671)</f>
        <v>1.0671</v>
      </c>
    </row>
    <row r="14" ht="15.75" customHeight="1">
      <c r="A14" s="32">
        <f>IFERROR(__xludf.DUMMYFUNCTION("""COMPUTED_VALUE"""),45197.73611111111)</f>
        <v>45197.73611</v>
      </c>
      <c r="B14" s="22">
        <f>IFERROR(__xludf.DUMMYFUNCTION("""COMPUTED_VALUE"""),92.91)</f>
        <v>92.91</v>
      </c>
      <c r="C14" s="32">
        <f>IFERROR(__xludf.DUMMYFUNCTION("""COMPUTED_VALUE"""),45198.726388888885)</f>
        <v>45198.72639</v>
      </c>
      <c r="D14" s="22">
        <f>IFERROR(__xludf.DUMMYFUNCTION("""COMPUTED_VALUE"""),5.0)</f>
        <v>5</v>
      </c>
      <c r="E14" s="32">
        <f>IFERROR(__xludf.DUMMYFUNCTION("""COMPUTED_VALUE"""),45197.73611111111)</f>
        <v>45197.73611</v>
      </c>
      <c r="F14" s="22">
        <f>IFERROR(__xludf.DUMMYFUNCTION("""COMPUTED_VALUE"""),94.2)</f>
        <v>94.2</v>
      </c>
      <c r="G14" s="32">
        <f>IFERROR(__xludf.DUMMYFUNCTION("""COMPUTED_VALUE"""),45197.726388888885)</f>
        <v>45197.72639</v>
      </c>
      <c r="H14" s="22">
        <f>IFERROR(__xludf.DUMMYFUNCTION("""COMPUTED_VALUE"""),5.01)</f>
        <v>5.01</v>
      </c>
      <c r="I14" s="32">
        <f>IFERROR(__xludf.DUMMYFUNCTION("""COMPUTED_VALUE"""),45197.726388888885)</f>
        <v>45197.72639</v>
      </c>
      <c r="J14" s="31">
        <f>IFERROR(__xludf.DUMMYFUNCTION("""COMPUTED_VALUE"""),4.99)</f>
        <v>4.99</v>
      </c>
      <c r="K14" s="32">
        <f>IFERROR(__xludf.DUMMYFUNCTION("""COMPUTED_VALUE"""),45198.73611111111)</f>
        <v>45198.73611</v>
      </c>
      <c r="L14" s="22">
        <f>IFERROR(__xludf.DUMMYFUNCTION("""COMPUTED_VALUE"""),94.15)</f>
        <v>94.15</v>
      </c>
      <c r="M14" s="32">
        <f>IFERROR(__xludf.DUMMYFUNCTION("""COMPUTED_VALUE"""),45197.726388888885)</f>
        <v>45197.72639</v>
      </c>
      <c r="N14" s="22">
        <f>IFERROR(__xludf.DUMMYFUNCTION("""COMPUTED_VALUE"""),4.95)</f>
        <v>4.95</v>
      </c>
      <c r="O14" s="32">
        <f>IFERROR(__xludf.DUMMYFUNCTION("""COMPUTED_VALUE"""),45197.6875)</f>
        <v>45197.6875</v>
      </c>
      <c r="P14" s="22">
        <f>IFERROR(__xludf.DUMMYFUNCTION("""COMPUTED_VALUE"""),449.56)</f>
        <v>449.56</v>
      </c>
      <c r="Q14" s="32">
        <f>IFERROR(__xludf.DUMMYFUNCTION("""COMPUTED_VALUE"""),45197.66666666667)</f>
        <v>45197.66667</v>
      </c>
      <c r="R14" s="22">
        <f>IFERROR(__xludf.DUMMYFUNCTION("""COMPUTED_VALUE"""),21.85)</f>
        <v>21.85</v>
      </c>
      <c r="S14" s="32">
        <f>IFERROR(__xludf.DUMMYFUNCTION("""COMPUTED_VALUE"""),45197.6875)</f>
        <v>45197.6875</v>
      </c>
      <c r="T14" s="22">
        <f>IFERROR(__xludf.DUMMYFUNCTION("""COMPUTED_VALUE"""),5.88)</f>
        <v>5.88</v>
      </c>
      <c r="U14" s="32">
        <f>IFERROR(__xludf.DUMMYFUNCTION("""COMPUTED_VALUE"""),45193.99861111111)</f>
        <v>45193.99861</v>
      </c>
      <c r="V14" s="33">
        <f>IFERROR(__xludf.DUMMYFUNCTION("""COMPUTED_VALUE"""),1.0646)</f>
        <v>1.0646</v>
      </c>
    </row>
    <row r="15" ht="15.75" customHeight="1">
      <c r="A15" s="32">
        <f>IFERROR(__xludf.DUMMYFUNCTION("""COMPUTED_VALUE"""),45198.73611111111)</f>
        <v>45198.73611</v>
      </c>
      <c r="B15" s="22">
        <f>IFERROR(__xludf.DUMMYFUNCTION("""COMPUTED_VALUE"""),93.31)</f>
        <v>93.31</v>
      </c>
      <c r="C15" s="32">
        <f>IFERROR(__xludf.DUMMYFUNCTION("""COMPUTED_VALUE"""),45201.726388888885)</f>
        <v>45201.72639</v>
      </c>
      <c r="D15" s="22">
        <f>IFERROR(__xludf.DUMMYFUNCTION("""COMPUTED_VALUE"""),5.0)</f>
        <v>5</v>
      </c>
      <c r="E15" s="32">
        <f>IFERROR(__xludf.DUMMYFUNCTION("""COMPUTED_VALUE"""),45198.73611111111)</f>
        <v>45198.73611</v>
      </c>
      <c r="F15" s="22">
        <f>IFERROR(__xludf.DUMMYFUNCTION("""COMPUTED_VALUE"""),94.26)</f>
        <v>94.26</v>
      </c>
      <c r="G15" s="32">
        <f>IFERROR(__xludf.DUMMYFUNCTION("""COMPUTED_VALUE"""),45198.726388888885)</f>
        <v>45198.72639</v>
      </c>
      <c r="H15" s="22">
        <f>IFERROR(__xludf.DUMMYFUNCTION("""COMPUTED_VALUE"""),5.02)</f>
        <v>5.02</v>
      </c>
      <c r="I15" s="32">
        <f>IFERROR(__xludf.DUMMYFUNCTION("""COMPUTED_VALUE"""),45198.726388888885)</f>
        <v>45198.72639</v>
      </c>
      <c r="J15" s="31">
        <f>IFERROR(__xludf.DUMMYFUNCTION("""COMPUTED_VALUE"""),5.01)</f>
        <v>5.01</v>
      </c>
      <c r="K15" s="32">
        <f>IFERROR(__xludf.DUMMYFUNCTION("""COMPUTED_VALUE"""),45201.73611111111)</f>
        <v>45201.73611</v>
      </c>
      <c r="L15" s="22">
        <f>IFERROR(__xludf.DUMMYFUNCTION("""COMPUTED_VALUE"""),94.4)</f>
        <v>94.4</v>
      </c>
      <c r="M15" s="32">
        <f>IFERROR(__xludf.DUMMYFUNCTION("""COMPUTED_VALUE"""),45198.726388888885)</f>
        <v>45198.72639</v>
      </c>
      <c r="N15" s="22">
        <f>IFERROR(__xludf.DUMMYFUNCTION("""COMPUTED_VALUE"""),4.99)</f>
        <v>4.99</v>
      </c>
      <c r="O15" s="32">
        <f>IFERROR(__xludf.DUMMYFUNCTION("""COMPUTED_VALUE"""),45198.6875)</f>
        <v>45198.6875</v>
      </c>
      <c r="P15" s="22">
        <f>IFERROR(__xludf.DUMMYFUNCTION("""COMPUTED_VALUE"""),450.75)</f>
        <v>450.75</v>
      </c>
      <c r="Q15" s="32">
        <f>IFERROR(__xludf.DUMMYFUNCTION("""COMPUTED_VALUE"""),45198.66666666667)</f>
        <v>45198.66667</v>
      </c>
      <c r="R15" s="22">
        <f>IFERROR(__xludf.DUMMYFUNCTION("""COMPUTED_VALUE"""),21.8)</f>
        <v>21.8</v>
      </c>
      <c r="S15" s="32">
        <f>IFERROR(__xludf.DUMMYFUNCTION("""COMPUTED_VALUE"""),45198.6875)</f>
        <v>45198.6875</v>
      </c>
      <c r="T15" s="22">
        <f>IFERROR(__xludf.DUMMYFUNCTION("""COMPUTED_VALUE"""),5.91)</f>
        <v>5.91</v>
      </c>
      <c r="U15" s="32">
        <f>IFERROR(__xludf.DUMMYFUNCTION("""COMPUTED_VALUE"""),45194.99861111111)</f>
        <v>45194.99861</v>
      </c>
      <c r="V15" s="33">
        <f>IFERROR(__xludf.DUMMYFUNCTION("""COMPUTED_VALUE"""),1.05913)</f>
        <v>1.05913</v>
      </c>
    </row>
    <row r="16" ht="15.75" customHeight="1">
      <c r="A16" s="32">
        <f>IFERROR(__xludf.DUMMYFUNCTION("""COMPUTED_VALUE"""),45201.73611111111)</f>
        <v>45201.73611</v>
      </c>
      <c r="B16" s="22">
        <f>IFERROR(__xludf.DUMMYFUNCTION("""COMPUTED_VALUE"""),93.46)</f>
        <v>93.46</v>
      </c>
      <c r="C16" s="32">
        <f>IFERROR(__xludf.DUMMYFUNCTION("""COMPUTED_VALUE"""),45202.726388888885)</f>
        <v>45202.72639</v>
      </c>
      <c r="D16" s="22">
        <f>IFERROR(__xludf.DUMMYFUNCTION("""COMPUTED_VALUE"""),5.0)</f>
        <v>5</v>
      </c>
      <c r="E16" s="32">
        <f>IFERROR(__xludf.DUMMYFUNCTION("""COMPUTED_VALUE"""),45201.73611111111)</f>
        <v>45201.73611</v>
      </c>
      <c r="F16" s="22">
        <f>IFERROR(__xludf.DUMMYFUNCTION("""COMPUTED_VALUE"""),94.69)</f>
        <v>94.69</v>
      </c>
      <c r="G16" s="32">
        <f>IFERROR(__xludf.DUMMYFUNCTION("""COMPUTED_VALUE"""),45201.726388888885)</f>
        <v>45201.72639</v>
      </c>
      <c r="H16" s="22">
        <f>IFERROR(__xludf.DUMMYFUNCTION("""COMPUTED_VALUE"""),5.01)</f>
        <v>5.01</v>
      </c>
      <c r="I16" s="32">
        <f>IFERROR(__xludf.DUMMYFUNCTION("""COMPUTED_VALUE"""),45201.726388888885)</f>
        <v>45201.72639</v>
      </c>
      <c r="J16" s="31">
        <f>IFERROR(__xludf.DUMMYFUNCTION("""COMPUTED_VALUE"""),5.0)</f>
        <v>5</v>
      </c>
      <c r="K16" s="32">
        <f>IFERROR(__xludf.DUMMYFUNCTION("""COMPUTED_VALUE"""),45202.73611111111)</f>
        <v>45202.73611</v>
      </c>
      <c r="L16" s="22">
        <f>IFERROR(__xludf.DUMMYFUNCTION("""COMPUTED_VALUE"""),94.44)</f>
        <v>94.44</v>
      </c>
      <c r="M16" s="32">
        <f>IFERROR(__xludf.DUMMYFUNCTION("""COMPUTED_VALUE"""),45201.726388888885)</f>
        <v>45201.72639</v>
      </c>
      <c r="N16" s="22">
        <f>IFERROR(__xludf.DUMMYFUNCTION("""COMPUTED_VALUE"""),4.97)</f>
        <v>4.97</v>
      </c>
      <c r="O16" s="32">
        <f>IFERROR(__xludf.DUMMYFUNCTION("""COMPUTED_VALUE"""),45201.6875)</f>
        <v>45201.6875</v>
      </c>
      <c r="P16" s="22">
        <f>IFERROR(__xludf.DUMMYFUNCTION("""COMPUTED_VALUE"""),449.02)</f>
        <v>449.02</v>
      </c>
      <c r="Q16" s="32">
        <f>IFERROR(__xludf.DUMMYFUNCTION("""COMPUTED_VALUE"""),45201.66666666667)</f>
        <v>45201.66667</v>
      </c>
      <c r="R16" s="22">
        <f>IFERROR(__xludf.DUMMYFUNCTION("""COMPUTED_VALUE"""),21.56)</f>
        <v>21.56</v>
      </c>
      <c r="S16" s="32">
        <f>IFERROR(__xludf.DUMMYFUNCTION("""COMPUTED_VALUE"""),45201.6875)</f>
        <v>45201.6875</v>
      </c>
      <c r="T16" s="22">
        <f>IFERROR(__xludf.DUMMYFUNCTION("""COMPUTED_VALUE"""),5.87)</f>
        <v>5.87</v>
      </c>
      <c r="U16" s="32">
        <f>IFERROR(__xludf.DUMMYFUNCTION("""COMPUTED_VALUE"""),45195.99861111111)</f>
        <v>45195.99861</v>
      </c>
      <c r="V16" s="33">
        <f>IFERROR(__xludf.DUMMYFUNCTION("""COMPUTED_VALUE"""),1.05692)</f>
        <v>1.05692</v>
      </c>
    </row>
    <row r="17" ht="15.75" customHeight="1">
      <c r="A17" s="32">
        <f>IFERROR(__xludf.DUMMYFUNCTION("""COMPUTED_VALUE"""),45202.73611111111)</f>
        <v>45202.73611</v>
      </c>
      <c r="B17" s="22">
        <f>IFERROR(__xludf.DUMMYFUNCTION("""COMPUTED_VALUE"""),93.4)</f>
        <v>93.4</v>
      </c>
      <c r="C17" s="32">
        <f>IFERROR(__xludf.DUMMYFUNCTION("""COMPUTED_VALUE"""),45203.726388888885)</f>
        <v>45203.72639</v>
      </c>
      <c r="D17" s="22">
        <f>IFERROR(__xludf.DUMMYFUNCTION("""COMPUTED_VALUE"""),4.99)</f>
        <v>4.99</v>
      </c>
      <c r="E17" s="32">
        <f>IFERROR(__xludf.DUMMYFUNCTION("""COMPUTED_VALUE"""),45202.73611111111)</f>
        <v>45202.73611</v>
      </c>
      <c r="F17" s="22">
        <f>IFERROR(__xludf.DUMMYFUNCTION("""COMPUTED_VALUE"""),94.76)</f>
        <v>94.76</v>
      </c>
      <c r="G17" s="32">
        <f>IFERROR(__xludf.DUMMYFUNCTION("""COMPUTED_VALUE"""),45202.726388888885)</f>
        <v>45202.72639</v>
      </c>
      <c r="H17" s="22">
        <f>IFERROR(__xludf.DUMMYFUNCTION("""COMPUTED_VALUE"""),5.02)</f>
        <v>5.02</v>
      </c>
      <c r="I17" s="32">
        <f>IFERROR(__xludf.DUMMYFUNCTION("""COMPUTED_VALUE"""),45202.726388888885)</f>
        <v>45202.72639</v>
      </c>
      <c r="J17" s="31">
        <f>IFERROR(__xludf.DUMMYFUNCTION("""COMPUTED_VALUE"""),5.0)</f>
        <v>5</v>
      </c>
      <c r="K17" s="32">
        <f>IFERROR(__xludf.DUMMYFUNCTION("""COMPUTED_VALUE"""),45203.73611111111)</f>
        <v>45203.73611</v>
      </c>
      <c r="L17" s="22">
        <f>IFERROR(__xludf.DUMMYFUNCTION("""COMPUTED_VALUE"""),94.17)</f>
        <v>94.17</v>
      </c>
      <c r="M17" s="32">
        <f>IFERROR(__xludf.DUMMYFUNCTION("""COMPUTED_VALUE"""),45202.726388888885)</f>
        <v>45202.72639</v>
      </c>
      <c r="N17" s="22">
        <f>IFERROR(__xludf.DUMMYFUNCTION("""COMPUTED_VALUE"""),4.97)</f>
        <v>4.97</v>
      </c>
      <c r="O17" s="32">
        <f>IFERROR(__xludf.DUMMYFUNCTION("""COMPUTED_VALUE"""),45202.6875)</f>
        <v>45202.6875</v>
      </c>
      <c r="P17" s="22">
        <f>IFERROR(__xludf.DUMMYFUNCTION("""COMPUTED_VALUE"""),441.6)</f>
        <v>441.6</v>
      </c>
      <c r="Q17" s="32">
        <f>IFERROR(__xludf.DUMMYFUNCTION("""COMPUTED_VALUE"""),45202.66666666667)</f>
        <v>45202.66667</v>
      </c>
      <c r="R17" s="22">
        <f>IFERROR(__xludf.DUMMYFUNCTION("""COMPUTED_VALUE"""),21.28)</f>
        <v>21.28</v>
      </c>
      <c r="S17" s="32">
        <f>IFERROR(__xludf.DUMMYFUNCTION("""COMPUTED_VALUE"""),45202.6875)</f>
        <v>45202.6875</v>
      </c>
      <c r="T17" s="22">
        <f>IFERROR(__xludf.DUMMYFUNCTION("""COMPUTED_VALUE"""),5.82)</f>
        <v>5.82</v>
      </c>
      <c r="U17" s="32">
        <f>IFERROR(__xludf.DUMMYFUNCTION("""COMPUTED_VALUE"""),45196.99861111111)</f>
        <v>45196.99861</v>
      </c>
      <c r="V17" s="33">
        <f>IFERROR(__xludf.DUMMYFUNCTION("""COMPUTED_VALUE"""),1.0505)</f>
        <v>1.0505</v>
      </c>
    </row>
    <row r="18" ht="15.75" customHeight="1">
      <c r="A18" s="32">
        <f>IFERROR(__xludf.DUMMYFUNCTION("""COMPUTED_VALUE"""),45204.73611111111)</f>
        <v>45204.73611</v>
      </c>
      <c r="B18" s="22">
        <f>IFERROR(__xludf.DUMMYFUNCTION("""COMPUTED_VALUE"""),93.19)</f>
        <v>93.19</v>
      </c>
      <c r="C18" s="32">
        <f>IFERROR(__xludf.DUMMYFUNCTION("""COMPUTED_VALUE"""),45204.726388888885)</f>
        <v>45204.72639</v>
      </c>
      <c r="D18" s="22">
        <f>IFERROR(__xludf.DUMMYFUNCTION("""COMPUTED_VALUE"""),5.0)</f>
        <v>5</v>
      </c>
      <c r="E18" s="32">
        <f>IFERROR(__xludf.DUMMYFUNCTION("""COMPUTED_VALUE"""),45204.73611111111)</f>
        <v>45204.73611</v>
      </c>
      <c r="F18" s="22">
        <f>IFERROR(__xludf.DUMMYFUNCTION("""COMPUTED_VALUE"""),94.59)</f>
        <v>94.59</v>
      </c>
      <c r="G18" s="32">
        <f>IFERROR(__xludf.DUMMYFUNCTION("""COMPUTED_VALUE"""),45203.726388888885)</f>
        <v>45203.72639</v>
      </c>
      <c r="H18" s="22">
        <f>IFERROR(__xludf.DUMMYFUNCTION("""COMPUTED_VALUE"""),5.02)</f>
        <v>5.02</v>
      </c>
      <c r="I18" s="32">
        <f>IFERROR(__xludf.DUMMYFUNCTION("""COMPUTED_VALUE"""),45203.726388888885)</f>
        <v>45203.72639</v>
      </c>
      <c r="J18" s="31">
        <f>IFERROR(__xludf.DUMMYFUNCTION("""COMPUTED_VALUE"""),4.99)</f>
        <v>4.99</v>
      </c>
      <c r="K18" s="32">
        <f>IFERROR(__xludf.DUMMYFUNCTION("""COMPUTED_VALUE"""),45204.73611111111)</f>
        <v>45204.73611</v>
      </c>
      <c r="L18" s="22">
        <f>IFERROR(__xludf.DUMMYFUNCTION("""COMPUTED_VALUE"""),94.17)</f>
        <v>94.17</v>
      </c>
      <c r="M18" s="32">
        <f>IFERROR(__xludf.DUMMYFUNCTION("""COMPUTED_VALUE"""),45203.726388888885)</f>
        <v>45203.72639</v>
      </c>
      <c r="N18" s="22">
        <f>IFERROR(__xludf.DUMMYFUNCTION("""COMPUTED_VALUE"""),4.96)</f>
        <v>4.96</v>
      </c>
      <c r="O18" s="32">
        <f>IFERROR(__xludf.DUMMYFUNCTION("""COMPUTED_VALUE"""),45203.6875)</f>
        <v>45203.6875</v>
      </c>
      <c r="P18" s="22">
        <f>IFERROR(__xludf.DUMMYFUNCTION("""COMPUTED_VALUE"""),443.3)</f>
        <v>443.3</v>
      </c>
      <c r="Q18" s="32">
        <f>IFERROR(__xludf.DUMMYFUNCTION("""COMPUTED_VALUE"""),45203.66666666667)</f>
        <v>45203.66667</v>
      </c>
      <c r="R18" s="22">
        <f>IFERROR(__xludf.DUMMYFUNCTION("""COMPUTED_VALUE"""),21.38)</f>
        <v>21.38</v>
      </c>
      <c r="S18" s="32">
        <f>IFERROR(__xludf.DUMMYFUNCTION("""COMPUTED_VALUE"""),45203.6875)</f>
        <v>45203.6875</v>
      </c>
      <c r="T18" s="22">
        <f>IFERROR(__xludf.DUMMYFUNCTION("""COMPUTED_VALUE"""),5.81)</f>
        <v>5.81</v>
      </c>
      <c r="U18" s="32">
        <f>IFERROR(__xludf.DUMMYFUNCTION("""COMPUTED_VALUE"""),45197.99861111111)</f>
        <v>45197.99861</v>
      </c>
      <c r="V18" s="33">
        <f>IFERROR(__xludf.DUMMYFUNCTION("""COMPUTED_VALUE"""),1.05621)</f>
        <v>1.05621</v>
      </c>
    </row>
    <row r="19" ht="15.75" customHeight="1">
      <c r="A19" s="32">
        <f>IFERROR(__xludf.DUMMYFUNCTION("""COMPUTED_VALUE"""),45205.73611111111)</f>
        <v>45205.73611</v>
      </c>
      <c r="B19" s="22">
        <f>IFERROR(__xludf.DUMMYFUNCTION("""COMPUTED_VALUE"""),92.61)</f>
        <v>92.61</v>
      </c>
      <c r="C19" s="32">
        <f>IFERROR(__xludf.DUMMYFUNCTION("""COMPUTED_VALUE"""),45205.726388888885)</f>
        <v>45205.72639</v>
      </c>
      <c r="D19" s="22">
        <f>IFERROR(__xludf.DUMMYFUNCTION("""COMPUTED_VALUE"""),5.0)</f>
        <v>5</v>
      </c>
      <c r="E19" s="32">
        <f>IFERROR(__xludf.DUMMYFUNCTION("""COMPUTED_VALUE"""),45205.73611111111)</f>
        <v>45205.73611</v>
      </c>
      <c r="F19" s="22">
        <f>IFERROR(__xludf.DUMMYFUNCTION("""COMPUTED_VALUE"""),94.07)</f>
        <v>94.07</v>
      </c>
      <c r="G19" s="32">
        <f>IFERROR(__xludf.DUMMYFUNCTION("""COMPUTED_VALUE"""),45204.726388888885)</f>
        <v>45204.72639</v>
      </c>
      <c r="H19" s="22">
        <f>IFERROR(__xludf.DUMMYFUNCTION("""COMPUTED_VALUE"""),5.01)</f>
        <v>5.01</v>
      </c>
      <c r="I19" s="32">
        <f>IFERROR(__xludf.DUMMYFUNCTION("""COMPUTED_VALUE"""),45204.726388888885)</f>
        <v>45204.72639</v>
      </c>
      <c r="J19" s="31">
        <f>IFERROR(__xludf.DUMMYFUNCTION("""COMPUTED_VALUE"""),5.0)</f>
        <v>5</v>
      </c>
      <c r="K19" s="32">
        <f>IFERROR(__xludf.DUMMYFUNCTION("""COMPUTED_VALUE"""),45205.73611111111)</f>
        <v>45205.73611</v>
      </c>
      <c r="L19" s="22">
        <f>IFERROR(__xludf.DUMMYFUNCTION("""COMPUTED_VALUE"""),93.56)</f>
        <v>93.56</v>
      </c>
      <c r="M19" s="32">
        <f>IFERROR(__xludf.DUMMYFUNCTION("""COMPUTED_VALUE"""),45204.726388888885)</f>
        <v>45204.72639</v>
      </c>
      <c r="N19" s="22">
        <f>IFERROR(__xludf.DUMMYFUNCTION("""COMPUTED_VALUE"""),4.97)</f>
        <v>4.97</v>
      </c>
      <c r="O19" s="32">
        <f>IFERROR(__xludf.DUMMYFUNCTION("""COMPUTED_VALUE"""),45204.6875)</f>
        <v>45204.6875</v>
      </c>
      <c r="P19" s="22">
        <f>IFERROR(__xludf.DUMMYFUNCTION("""COMPUTED_VALUE"""),442.39)</f>
        <v>442.39</v>
      </c>
      <c r="Q19" s="32">
        <f>IFERROR(__xludf.DUMMYFUNCTION("""COMPUTED_VALUE"""),45204.66666666667)</f>
        <v>45204.66667</v>
      </c>
      <c r="R19" s="22">
        <f>IFERROR(__xludf.DUMMYFUNCTION("""COMPUTED_VALUE"""),21.42)</f>
        <v>21.42</v>
      </c>
      <c r="S19" s="32">
        <f>IFERROR(__xludf.DUMMYFUNCTION("""COMPUTED_VALUE"""),45204.6875)</f>
        <v>45204.6875</v>
      </c>
      <c r="T19" s="22">
        <f>IFERROR(__xludf.DUMMYFUNCTION("""COMPUTED_VALUE"""),5.82)</f>
        <v>5.82</v>
      </c>
      <c r="U19" s="32">
        <f>IFERROR(__xludf.DUMMYFUNCTION("""COMPUTED_VALUE"""),45198.99861111111)</f>
        <v>45198.99861</v>
      </c>
      <c r="V19" s="33">
        <f>IFERROR(__xludf.DUMMYFUNCTION("""COMPUTED_VALUE"""),1.0585)</f>
        <v>1.0585</v>
      </c>
    </row>
    <row r="20" ht="15.75" customHeight="1">
      <c r="A20" s="32">
        <f>IFERROR(__xludf.DUMMYFUNCTION("""COMPUTED_VALUE"""),45208.73611111111)</f>
        <v>45208.73611</v>
      </c>
      <c r="B20" s="22">
        <f>IFERROR(__xludf.DUMMYFUNCTION("""COMPUTED_VALUE"""),93.33)</f>
        <v>93.33</v>
      </c>
      <c r="C20" s="32">
        <f>IFERROR(__xludf.DUMMYFUNCTION("""COMPUTED_VALUE"""),45208.726388888885)</f>
        <v>45208.72639</v>
      </c>
      <c r="D20" s="22">
        <f>IFERROR(__xludf.DUMMYFUNCTION("""COMPUTED_VALUE"""),5.01)</f>
        <v>5.01</v>
      </c>
      <c r="E20" s="32">
        <f>IFERROR(__xludf.DUMMYFUNCTION("""COMPUTED_VALUE"""),45208.73611111111)</f>
        <v>45208.73611</v>
      </c>
      <c r="F20" s="22">
        <f>IFERROR(__xludf.DUMMYFUNCTION("""COMPUTED_VALUE"""),94.59)</f>
        <v>94.59</v>
      </c>
      <c r="G20" s="32">
        <f>IFERROR(__xludf.DUMMYFUNCTION("""COMPUTED_VALUE"""),45205.726388888885)</f>
        <v>45205.72639</v>
      </c>
      <c r="H20" s="22">
        <f>IFERROR(__xludf.DUMMYFUNCTION("""COMPUTED_VALUE"""),5.02)</f>
        <v>5.02</v>
      </c>
      <c r="I20" s="32">
        <f>IFERROR(__xludf.DUMMYFUNCTION("""COMPUTED_VALUE"""),45205.726388888885)</f>
        <v>45205.72639</v>
      </c>
      <c r="J20" s="31">
        <f>IFERROR(__xludf.DUMMYFUNCTION("""COMPUTED_VALUE"""),5.0)</f>
        <v>5</v>
      </c>
      <c r="K20" s="32">
        <f>IFERROR(__xludf.DUMMYFUNCTION("""COMPUTED_VALUE"""),45208.73611111111)</f>
        <v>45208.73611</v>
      </c>
      <c r="L20" s="22">
        <f>IFERROR(__xludf.DUMMYFUNCTION("""COMPUTED_VALUE"""),94.12)</f>
        <v>94.12</v>
      </c>
      <c r="M20" s="32">
        <f>IFERROR(__xludf.DUMMYFUNCTION("""COMPUTED_VALUE"""),45205.726388888885)</f>
        <v>45205.72639</v>
      </c>
      <c r="N20" s="22">
        <f>IFERROR(__xludf.DUMMYFUNCTION("""COMPUTED_VALUE"""),4.97)</f>
        <v>4.97</v>
      </c>
      <c r="O20" s="32">
        <f>IFERROR(__xludf.DUMMYFUNCTION("""COMPUTED_VALUE"""),45205.6875)</f>
        <v>45205.6875</v>
      </c>
      <c r="P20" s="22">
        <f>IFERROR(__xludf.DUMMYFUNCTION("""COMPUTED_VALUE"""),447.46)</f>
        <v>447.46</v>
      </c>
      <c r="Q20" s="32">
        <f>IFERROR(__xludf.DUMMYFUNCTION("""COMPUTED_VALUE"""),45205.66666666667)</f>
        <v>45205.66667</v>
      </c>
      <c r="R20" s="22">
        <f>IFERROR(__xludf.DUMMYFUNCTION("""COMPUTED_VALUE"""),21.47)</f>
        <v>21.47</v>
      </c>
      <c r="S20" s="32">
        <f>IFERROR(__xludf.DUMMYFUNCTION("""COMPUTED_VALUE"""),45205.6875)</f>
        <v>45205.6875</v>
      </c>
      <c r="T20" s="22">
        <f>IFERROR(__xludf.DUMMYFUNCTION("""COMPUTED_VALUE"""),5.84)</f>
        <v>5.84</v>
      </c>
      <c r="U20" s="32">
        <f>IFERROR(__xludf.DUMMYFUNCTION("""COMPUTED_VALUE"""),45199.99861111111)</f>
        <v>45199.99861</v>
      </c>
      <c r="V20" s="33">
        <f>IFERROR(__xludf.DUMMYFUNCTION("""COMPUTED_VALUE"""),1.0585)</f>
        <v>1.0585</v>
      </c>
    </row>
    <row r="21" ht="15.75" customHeight="1">
      <c r="A21" s="32">
        <f>IFERROR(__xludf.DUMMYFUNCTION("""COMPUTED_VALUE"""),45209.73611111111)</f>
        <v>45209.73611</v>
      </c>
      <c r="B21" s="22">
        <f>IFERROR(__xludf.DUMMYFUNCTION("""COMPUTED_VALUE"""),93.04)</f>
        <v>93.04</v>
      </c>
      <c r="C21" s="32">
        <f>IFERROR(__xludf.DUMMYFUNCTION("""COMPUTED_VALUE"""),45209.726388888885)</f>
        <v>45209.72639</v>
      </c>
      <c r="D21" s="22">
        <f>IFERROR(__xludf.DUMMYFUNCTION("""COMPUTED_VALUE"""),5.01)</f>
        <v>5.01</v>
      </c>
      <c r="E21" s="32">
        <f>IFERROR(__xludf.DUMMYFUNCTION("""COMPUTED_VALUE"""),45209.73611111111)</f>
        <v>45209.73611</v>
      </c>
      <c r="F21" s="22">
        <f>IFERROR(__xludf.DUMMYFUNCTION("""COMPUTED_VALUE"""),94.22)</f>
        <v>94.22</v>
      </c>
      <c r="G21" s="32">
        <f>IFERROR(__xludf.DUMMYFUNCTION("""COMPUTED_VALUE"""),45208.726388888885)</f>
        <v>45208.72639</v>
      </c>
      <c r="H21" s="22">
        <f>IFERROR(__xludf.DUMMYFUNCTION("""COMPUTED_VALUE"""),5.02)</f>
        <v>5.02</v>
      </c>
      <c r="I21" s="32">
        <f>IFERROR(__xludf.DUMMYFUNCTION("""COMPUTED_VALUE"""),45208.726388888885)</f>
        <v>45208.72639</v>
      </c>
      <c r="J21" s="31">
        <f>IFERROR(__xludf.DUMMYFUNCTION("""COMPUTED_VALUE"""),5.01)</f>
        <v>5.01</v>
      </c>
      <c r="K21" s="32">
        <f>IFERROR(__xludf.DUMMYFUNCTION("""COMPUTED_VALUE"""),45209.73611111111)</f>
        <v>45209.73611</v>
      </c>
      <c r="L21" s="22">
        <f>IFERROR(__xludf.DUMMYFUNCTION("""COMPUTED_VALUE"""),93.91)</f>
        <v>93.91</v>
      </c>
      <c r="M21" s="32">
        <f>IFERROR(__xludf.DUMMYFUNCTION("""COMPUTED_VALUE"""),45208.726388888885)</f>
        <v>45208.72639</v>
      </c>
      <c r="N21" s="22">
        <f>IFERROR(__xludf.DUMMYFUNCTION("""COMPUTED_VALUE"""),4.99)</f>
        <v>4.99</v>
      </c>
      <c r="O21" s="32">
        <f>IFERROR(__xludf.DUMMYFUNCTION("""COMPUTED_VALUE"""),45208.6875)</f>
        <v>45208.6875</v>
      </c>
      <c r="P21" s="22">
        <f>IFERROR(__xludf.DUMMYFUNCTION("""COMPUTED_VALUE"""),449.71)</f>
        <v>449.71</v>
      </c>
      <c r="Q21" s="32">
        <f>IFERROR(__xludf.DUMMYFUNCTION("""COMPUTED_VALUE"""),45208.66666666667)</f>
        <v>45208.66667</v>
      </c>
      <c r="R21" s="22">
        <f>IFERROR(__xludf.DUMMYFUNCTION("""COMPUTED_VALUE"""),21.65)</f>
        <v>21.65</v>
      </c>
      <c r="S21" s="32">
        <f>IFERROR(__xludf.DUMMYFUNCTION("""COMPUTED_VALUE"""),45208.6875)</f>
        <v>45208.6875</v>
      </c>
      <c r="T21" s="22">
        <f>IFERROR(__xludf.DUMMYFUNCTION("""COMPUTED_VALUE"""),5.86)</f>
        <v>5.86</v>
      </c>
      <c r="U21" s="32">
        <f>IFERROR(__xludf.DUMMYFUNCTION("""COMPUTED_VALUE"""),45200.99861111111)</f>
        <v>45200.99861</v>
      </c>
      <c r="V21" s="33">
        <f>IFERROR(__xludf.DUMMYFUNCTION("""COMPUTED_VALUE"""),1.0563)</f>
        <v>1.0563</v>
      </c>
    </row>
    <row r="22" ht="15.75" customHeight="1">
      <c r="A22" s="32">
        <f>IFERROR(__xludf.DUMMYFUNCTION("""COMPUTED_VALUE"""),45210.73611111111)</f>
        <v>45210.73611</v>
      </c>
      <c r="B22" s="22">
        <f>IFERROR(__xludf.DUMMYFUNCTION("""COMPUTED_VALUE"""),93.09)</f>
        <v>93.09</v>
      </c>
      <c r="C22" s="32">
        <f>IFERROR(__xludf.DUMMYFUNCTION("""COMPUTED_VALUE"""),45210.726388888885)</f>
        <v>45210.72639</v>
      </c>
      <c r="D22" s="22">
        <f>IFERROR(__xludf.DUMMYFUNCTION("""COMPUTED_VALUE"""),5.01)</f>
        <v>5.01</v>
      </c>
      <c r="E22" s="32">
        <f>IFERROR(__xludf.DUMMYFUNCTION("""COMPUTED_VALUE"""),45210.73611111111)</f>
        <v>45210.73611</v>
      </c>
      <c r="F22" s="22">
        <f>IFERROR(__xludf.DUMMYFUNCTION("""COMPUTED_VALUE"""),94.05)</f>
        <v>94.05</v>
      </c>
      <c r="G22" s="32">
        <f>IFERROR(__xludf.DUMMYFUNCTION("""COMPUTED_VALUE"""),45209.726388888885)</f>
        <v>45209.72639</v>
      </c>
      <c r="H22" s="22">
        <f>IFERROR(__xludf.DUMMYFUNCTION("""COMPUTED_VALUE"""),5.03)</f>
        <v>5.03</v>
      </c>
      <c r="I22" s="32">
        <f>IFERROR(__xludf.DUMMYFUNCTION("""COMPUTED_VALUE"""),45209.726388888885)</f>
        <v>45209.72639</v>
      </c>
      <c r="J22" s="31">
        <f>IFERROR(__xludf.DUMMYFUNCTION("""COMPUTED_VALUE"""),5.02)</f>
        <v>5.02</v>
      </c>
      <c r="K22" s="32">
        <f>IFERROR(__xludf.DUMMYFUNCTION("""COMPUTED_VALUE"""),45210.73611111111)</f>
        <v>45210.73611</v>
      </c>
      <c r="L22" s="22">
        <f>IFERROR(__xludf.DUMMYFUNCTION("""COMPUTED_VALUE"""),93.86)</f>
        <v>93.86</v>
      </c>
      <c r="M22" s="32">
        <f>IFERROR(__xludf.DUMMYFUNCTION("""COMPUTED_VALUE"""),45209.726388888885)</f>
        <v>45209.72639</v>
      </c>
      <c r="N22" s="22">
        <f>IFERROR(__xludf.DUMMYFUNCTION("""COMPUTED_VALUE"""),5.0)</f>
        <v>5</v>
      </c>
      <c r="O22" s="32">
        <f>IFERROR(__xludf.DUMMYFUNCTION("""COMPUTED_VALUE"""),45209.6875)</f>
        <v>45209.6875</v>
      </c>
      <c r="P22" s="22">
        <f>IFERROR(__xludf.DUMMYFUNCTION("""COMPUTED_VALUE"""),457.82)</f>
        <v>457.82</v>
      </c>
      <c r="Q22" s="32">
        <f>IFERROR(__xludf.DUMMYFUNCTION("""COMPUTED_VALUE"""),45209.66666666667)</f>
        <v>45209.66667</v>
      </c>
      <c r="R22" s="22">
        <f>IFERROR(__xludf.DUMMYFUNCTION("""COMPUTED_VALUE"""),21.62)</f>
        <v>21.62</v>
      </c>
      <c r="S22" s="32">
        <f>IFERROR(__xludf.DUMMYFUNCTION("""COMPUTED_VALUE"""),45209.6875)</f>
        <v>45209.6875</v>
      </c>
      <c r="T22" s="22">
        <f>IFERROR(__xludf.DUMMYFUNCTION("""COMPUTED_VALUE"""),5.88)</f>
        <v>5.88</v>
      </c>
      <c r="U22" s="32">
        <f>IFERROR(__xludf.DUMMYFUNCTION("""COMPUTED_VALUE"""),45201.99861111111)</f>
        <v>45201.99861</v>
      </c>
      <c r="V22" s="33">
        <f>IFERROR(__xludf.DUMMYFUNCTION("""COMPUTED_VALUE"""),1.04803)</f>
        <v>1.04803</v>
      </c>
    </row>
    <row r="23" ht="15.75" customHeight="1">
      <c r="A23" s="32">
        <f>IFERROR(__xludf.DUMMYFUNCTION("""COMPUTED_VALUE"""),45211.73611111111)</f>
        <v>45211.73611</v>
      </c>
      <c r="B23" s="22">
        <f>IFERROR(__xludf.DUMMYFUNCTION("""COMPUTED_VALUE"""),93.36)</f>
        <v>93.36</v>
      </c>
      <c r="C23" s="32">
        <f>IFERROR(__xludf.DUMMYFUNCTION("""COMPUTED_VALUE"""),45211.726388888885)</f>
        <v>45211.72639</v>
      </c>
      <c r="D23" s="22">
        <f>IFERROR(__xludf.DUMMYFUNCTION("""COMPUTED_VALUE"""),5.01)</f>
        <v>5.01</v>
      </c>
      <c r="E23" s="32">
        <f>IFERROR(__xludf.DUMMYFUNCTION("""COMPUTED_VALUE"""),45211.73611111111)</f>
        <v>45211.73611</v>
      </c>
      <c r="F23" s="22">
        <f>IFERROR(__xludf.DUMMYFUNCTION("""COMPUTED_VALUE"""),94.48)</f>
        <v>94.48</v>
      </c>
      <c r="G23" s="32">
        <f>IFERROR(__xludf.DUMMYFUNCTION("""COMPUTED_VALUE"""),45210.726388888885)</f>
        <v>45210.72639</v>
      </c>
      <c r="H23" s="22">
        <f>IFERROR(__xludf.DUMMYFUNCTION("""COMPUTED_VALUE"""),5.03)</f>
        <v>5.03</v>
      </c>
      <c r="I23" s="32">
        <f>IFERROR(__xludf.DUMMYFUNCTION("""COMPUTED_VALUE"""),45210.726388888885)</f>
        <v>45210.72639</v>
      </c>
      <c r="J23" s="31">
        <f>IFERROR(__xludf.DUMMYFUNCTION("""COMPUTED_VALUE"""),5.01)</f>
        <v>5.01</v>
      </c>
      <c r="K23" s="32">
        <f>IFERROR(__xludf.DUMMYFUNCTION("""COMPUTED_VALUE"""),45211.73611111111)</f>
        <v>45211.73611</v>
      </c>
      <c r="L23" s="22">
        <f>IFERROR(__xludf.DUMMYFUNCTION("""COMPUTED_VALUE"""),94.17)</f>
        <v>94.17</v>
      </c>
      <c r="M23" s="32">
        <f>IFERROR(__xludf.DUMMYFUNCTION("""COMPUTED_VALUE"""),45210.726388888885)</f>
        <v>45210.72639</v>
      </c>
      <c r="N23" s="22">
        <f>IFERROR(__xludf.DUMMYFUNCTION("""COMPUTED_VALUE"""),5.0)</f>
        <v>5</v>
      </c>
      <c r="O23" s="32">
        <f>IFERROR(__xludf.DUMMYFUNCTION("""COMPUTED_VALUE"""),45210.6875)</f>
        <v>45210.6875</v>
      </c>
      <c r="P23" s="22">
        <f>IFERROR(__xludf.DUMMYFUNCTION("""COMPUTED_VALUE"""),455.74)</f>
        <v>455.74</v>
      </c>
      <c r="Q23" s="32">
        <f>IFERROR(__xludf.DUMMYFUNCTION("""COMPUTED_VALUE"""),45210.66666666667)</f>
        <v>45210.66667</v>
      </c>
      <c r="R23" s="22">
        <f>IFERROR(__xludf.DUMMYFUNCTION("""COMPUTED_VALUE"""),21.55)</f>
        <v>21.55</v>
      </c>
      <c r="S23" s="32">
        <f>IFERROR(__xludf.DUMMYFUNCTION("""COMPUTED_VALUE"""),45210.6875)</f>
        <v>45210.6875</v>
      </c>
      <c r="T23" s="22">
        <f>IFERROR(__xludf.DUMMYFUNCTION("""COMPUTED_VALUE"""),5.88)</f>
        <v>5.88</v>
      </c>
      <c r="U23" s="32">
        <f>IFERROR(__xludf.DUMMYFUNCTION("""COMPUTED_VALUE"""),45202.99861111111)</f>
        <v>45202.99861</v>
      </c>
      <c r="V23" s="22">
        <f>IFERROR(__xludf.DUMMYFUNCTION("""COMPUTED_VALUE"""),1.0469)</f>
        <v>1.0469</v>
      </c>
    </row>
    <row r="24" ht="15.75" customHeight="1">
      <c r="A24" s="32">
        <f>IFERROR(__xludf.DUMMYFUNCTION("""COMPUTED_VALUE"""),45212.73611111111)</f>
        <v>45212.73611</v>
      </c>
      <c r="B24" s="22">
        <f>IFERROR(__xludf.DUMMYFUNCTION("""COMPUTED_VALUE"""),93.8)</f>
        <v>93.8</v>
      </c>
      <c r="C24" s="32">
        <f>IFERROR(__xludf.DUMMYFUNCTION("""COMPUTED_VALUE"""),45212.726388888885)</f>
        <v>45212.72639</v>
      </c>
      <c r="D24" s="22">
        <f>IFERROR(__xludf.DUMMYFUNCTION("""COMPUTED_VALUE"""),5.01)</f>
        <v>5.01</v>
      </c>
      <c r="E24" s="32">
        <f>IFERROR(__xludf.DUMMYFUNCTION("""COMPUTED_VALUE"""),45212.73611111111)</f>
        <v>45212.73611</v>
      </c>
      <c r="F24" s="22">
        <f>IFERROR(__xludf.DUMMYFUNCTION("""COMPUTED_VALUE"""),94.86)</f>
        <v>94.86</v>
      </c>
      <c r="G24" s="32">
        <f>IFERROR(__xludf.DUMMYFUNCTION("""COMPUTED_VALUE"""),45211.726388888885)</f>
        <v>45211.72639</v>
      </c>
      <c r="H24" s="22">
        <f>IFERROR(__xludf.DUMMYFUNCTION("""COMPUTED_VALUE"""),5.03)</f>
        <v>5.03</v>
      </c>
      <c r="I24" s="32">
        <f>IFERROR(__xludf.DUMMYFUNCTION("""COMPUTED_VALUE"""),45211.726388888885)</f>
        <v>45211.72639</v>
      </c>
      <c r="J24" s="31">
        <f>IFERROR(__xludf.DUMMYFUNCTION("""COMPUTED_VALUE"""),5.01)</f>
        <v>5.01</v>
      </c>
      <c r="K24" s="32">
        <f>IFERROR(__xludf.DUMMYFUNCTION("""COMPUTED_VALUE"""),45212.73611111111)</f>
        <v>45212.73611</v>
      </c>
      <c r="L24" s="22">
        <f>IFERROR(__xludf.DUMMYFUNCTION("""COMPUTED_VALUE"""),94.78)</f>
        <v>94.78</v>
      </c>
      <c r="M24" s="32">
        <f>IFERROR(__xludf.DUMMYFUNCTION("""COMPUTED_VALUE"""),45211.726388888885)</f>
        <v>45211.72639</v>
      </c>
      <c r="N24" s="22">
        <f>IFERROR(__xludf.DUMMYFUNCTION("""COMPUTED_VALUE"""),4.99)</f>
        <v>4.99</v>
      </c>
      <c r="O24" s="32">
        <f>IFERROR(__xludf.DUMMYFUNCTION("""COMPUTED_VALUE"""),45211.6875)</f>
        <v>45211.6875</v>
      </c>
      <c r="P24" s="22">
        <f>IFERROR(__xludf.DUMMYFUNCTION("""COMPUTED_VALUE"""),457.46)</f>
        <v>457.46</v>
      </c>
      <c r="Q24" s="32">
        <f>IFERROR(__xludf.DUMMYFUNCTION("""COMPUTED_VALUE"""),45211.66666666667)</f>
        <v>45211.66667</v>
      </c>
      <c r="R24" s="22">
        <f>IFERROR(__xludf.DUMMYFUNCTION("""COMPUTED_VALUE"""),21.46)</f>
        <v>21.46</v>
      </c>
      <c r="S24" s="32">
        <f>IFERROR(__xludf.DUMMYFUNCTION("""COMPUTED_VALUE"""),45211.6875)</f>
        <v>45211.6875</v>
      </c>
      <c r="T24" s="22">
        <f>IFERROR(__xludf.DUMMYFUNCTION("""COMPUTED_VALUE"""),5.86)</f>
        <v>5.86</v>
      </c>
      <c r="U24" s="32">
        <f>IFERROR(__xludf.DUMMYFUNCTION("""COMPUTED_VALUE"""),45203.99861111111)</f>
        <v>45203.99861</v>
      </c>
      <c r="V24" s="31">
        <f>IFERROR(__xludf.DUMMYFUNCTION("""COMPUTED_VALUE"""),1.05063)</f>
        <v>1.05063</v>
      </c>
    </row>
    <row r="25" ht="15.75" customHeight="1">
      <c r="A25" s="32">
        <f>IFERROR(__xludf.DUMMYFUNCTION("""COMPUTED_VALUE"""),45215.73611111111)</f>
        <v>45215.73611</v>
      </c>
      <c r="B25" s="22">
        <f>IFERROR(__xludf.DUMMYFUNCTION("""COMPUTED_VALUE"""),93.24)</f>
        <v>93.24</v>
      </c>
      <c r="C25" s="32">
        <f>IFERROR(__xludf.DUMMYFUNCTION("""COMPUTED_VALUE"""),45215.726388888885)</f>
        <v>45215.72639</v>
      </c>
      <c r="D25" s="22">
        <f>IFERROR(__xludf.DUMMYFUNCTION("""COMPUTED_VALUE"""),5.01)</f>
        <v>5.01</v>
      </c>
      <c r="E25" s="32">
        <f>IFERROR(__xludf.DUMMYFUNCTION("""COMPUTED_VALUE"""),45215.73611111111)</f>
        <v>45215.73611</v>
      </c>
      <c r="F25" s="22">
        <f>IFERROR(__xludf.DUMMYFUNCTION("""COMPUTED_VALUE"""),94.55)</f>
        <v>94.55</v>
      </c>
      <c r="G25" s="32">
        <f>IFERROR(__xludf.DUMMYFUNCTION("""COMPUTED_VALUE"""),45212.726388888885)</f>
        <v>45212.72639</v>
      </c>
      <c r="H25" s="22">
        <f>IFERROR(__xludf.DUMMYFUNCTION("""COMPUTED_VALUE"""),5.02)</f>
        <v>5.02</v>
      </c>
      <c r="I25" s="32">
        <f>IFERROR(__xludf.DUMMYFUNCTION("""COMPUTED_VALUE"""),45212.726388888885)</f>
        <v>45212.72639</v>
      </c>
      <c r="J25" s="31">
        <f>IFERROR(__xludf.DUMMYFUNCTION("""COMPUTED_VALUE"""),5.01)</f>
        <v>5.01</v>
      </c>
      <c r="K25" s="32">
        <f>IFERROR(__xludf.DUMMYFUNCTION("""COMPUTED_VALUE"""),45216.73611111111)</f>
        <v>45216.73611</v>
      </c>
      <c r="L25" s="22">
        <f>IFERROR(__xludf.DUMMYFUNCTION("""COMPUTED_VALUE"""),93.45)</f>
        <v>93.45</v>
      </c>
      <c r="M25" s="32">
        <f>IFERROR(__xludf.DUMMYFUNCTION("""COMPUTED_VALUE"""),45212.726388888885)</f>
        <v>45212.72639</v>
      </c>
      <c r="N25" s="22">
        <f>IFERROR(__xludf.DUMMYFUNCTION("""COMPUTED_VALUE"""),5.0)</f>
        <v>5</v>
      </c>
      <c r="O25" s="32">
        <f>IFERROR(__xludf.DUMMYFUNCTION("""COMPUTED_VALUE"""),45212.6875)</f>
        <v>45212.6875</v>
      </c>
      <c r="P25" s="22">
        <f>IFERROR(__xludf.DUMMYFUNCTION("""COMPUTED_VALUE"""),453.45)</f>
        <v>453.45</v>
      </c>
      <c r="Q25" s="32">
        <f>IFERROR(__xludf.DUMMYFUNCTION("""COMPUTED_VALUE"""),45212.66666666667)</f>
        <v>45212.66667</v>
      </c>
      <c r="R25" s="22">
        <f>IFERROR(__xludf.DUMMYFUNCTION("""COMPUTED_VALUE"""),21.45)</f>
        <v>21.45</v>
      </c>
      <c r="S25" s="32">
        <f>IFERROR(__xludf.DUMMYFUNCTION("""COMPUTED_VALUE"""),45212.6875)</f>
        <v>45212.6875</v>
      </c>
      <c r="T25" s="22">
        <f>IFERROR(__xludf.DUMMYFUNCTION("""COMPUTED_VALUE"""),5.86)</f>
        <v>5.86</v>
      </c>
      <c r="U25" s="32">
        <f>IFERROR(__xludf.DUMMYFUNCTION("""COMPUTED_VALUE"""),45204.99861111111)</f>
        <v>45204.99861</v>
      </c>
      <c r="V25" s="31">
        <f>IFERROR(__xludf.DUMMYFUNCTION("""COMPUTED_VALUE"""),1.0546)</f>
        <v>1.0546</v>
      </c>
    </row>
    <row r="26" ht="15.75" customHeight="1">
      <c r="A26" s="32">
        <f>IFERROR(__xludf.DUMMYFUNCTION("""COMPUTED_VALUE"""),45216.73611111111)</f>
        <v>45216.73611</v>
      </c>
      <c r="B26" s="22">
        <f>IFERROR(__xludf.DUMMYFUNCTION("""COMPUTED_VALUE"""),92.57)</f>
        <v>92.57</v>
      </c>
      <c r="C26" s="32">
        <f>IFERROR(__xludf.DUMMYFUNCTION("""COMPUTED_VALUE"""),45216.726388888885)</f>
        <v>45216.72639</v>
      </c>
      <c r="D26" s="22">
        <f>IFERROR(__xludf.DUMMYFUNCTION("""COMPUTED_VALUE"""),4.99)</f>
        <v>4.99</v>
      </c>
      <c r="E26" s="32">
        <f>IFERROR(__xludf.DUMMYFUNCTION("""COMPUTED_VALUE"""),45216.73611111111)</f>
        <v>45216.73611</v>
      </c>
      <c r="F26" s="22">
        <f>IFERROR(__xludf.DUMMYFUNCTION("""COMPUTED_VALUE"""),93.89)</f>
        <v>93.89</v>
      </c>
      <c r="G26" s="32">
        <f>IFERROR(__xludf.DUMMYFUNCTION("""COMPUTED_VALUE"""),45215.726388888885)</f>
        <v>45215.72639</v>
      </c>
      <c r="H26" s="22">
        <f>IFERROR(__xludf.DUMMYFUNCTION("""COMPUTED_VALUE"""),5.02)</f>
        <v>5.02</v>
      </c>
      <c r="I26" s="32">
        <f>IFERROR(__xludf.DUMMYFUNCTION("""COMPUTED_VALUE"""),45215.726388888885)</f>
        <v>45215.72639</v>
      </c>
      <c r="J26" s="31">
        <f>IFERROR(__xludf.DUMMYFUNCTION("""COMPUTED_VALUE"""),5.01)</f>
        <v>5.01</v>
      </c>
      <c r="K26" s="32">
        <f>IFERROR(__xludf.DUMMYFUNCTION("""COMPUTED_VALUE"""),45217.73611111111)</f>
        <v>45217.73611</v>
      </c>
      <c r="L26" s="22">
        <f>IFERROR(__xludf.DUMMYFUNCTION("""COMPUTED_VALUE"""),93.55)</f>
        <v>93.55</v>
      </c>
      <c r="M26" s="32">
        <f>IFERROR(__xludf.DUMMYFUNCTION("""COMPUTED_VALUE"""),45215.726388888885)</f>
        <v>45215.72639</v>
      </c>
      <c r="N26" s="22">
        <f>IFERROR(__xludf.DUMMYFUNCTION("""COMPUTED_VALUE"""),4.99)</f>
        <v>4.99</v>
      </c>
      <c r="O26" s="32">
        <f>IFERROR(__xludf.DUMMYFUNCTION("""COMPUTED_VALUE"""),45215.6875)</f>
        <v>45215.6875</v>
      </c>
      <c r="P26" s="22">
        <f>IFERROR(__xludf.DUMMYFUNCTION("""COMPUTED_VALUE"""),457.55)</f>
        <v>457.55</v>
      </c>
      <c r="Q26" s="32">
        <f>IFERROR(__xludf.DUMMYFUNCTION("""COMPUTED_VALUE"""),45215.66666666667)</f>
        <v>45215.66667</v>
      </c>
      <c r="R26" s="22">
        <f>IFERROR(__xludf.DUMMYFUNCTION("""COMPUTED_VALUE"""),21.45)</f>
        <v>21.45</v>
      </c>
      <c r="S26" s="32">
        <f>IFERROR(__xludf.DUMMYFUNCTION("""COMPUTED_VALUE"""),45215.6875)</f>
        <v>45215.6875</v>
      </c>
      <c r="T26" s="22">
        <f>IFERROR(__xludf.DUMMYFUNCTION("""COMPUTED_VALUE"""),5.86)</f>
        <v>5.86</v>
      </c>
      <c r="U26" s="32">
        <f>IFERROR(__xludf.DUMMYFUNCTION("""COMPUTED_VALUE"""),45205.99861111111)</f>
        <v>45205.99861</v>
      </c>
      <c r="V26" s="31">
        <f>IFERROR(__xludf.DUMMYFUNCTION("""COMPUTED_VALUE"""),1.06)</f>
        <v>1.06</v>
      </c>
    </row>
    <row r="27" ht="15.75" customHeight="1">
      <c r="A27" s="32">
        <f>IFERROR(__xludf.DUMMYFUNCTION("""COMPUTED_VALUE"""),45217.73611111111)</f>
        <v>45217.73611</v>
      </c>
      <c r="B27" s="22">
        <f>IFERROR(__xludf.DUMMYFUNCTION("""COMPUTED_VALUE"""),92.37)</f>
        <v>92.37</v>
      </c>
      <c r="C27" s="32">
        <f>IFERROR(__xludf.DUMMYFUNCTION("""COMPUTED_VALUE"""),45217.726388888885)</f>
        <v>45217.72639</v>
      </c>
      <c r="D27" s="22">
        <f>IFERROR(__xludf.DUMMYFUNCTION("""COMPUTED_VALUE"""),4.99)</f>
        <v>4.99</v>
      </c>
      <c r="E27" s="32">
        <f>IFERROR(__xludf.DUMMYFUNCTION("""COMPUTED_VALUE"""),45217.73611111111)</f>
        <v>45217.73611</v>
      </c>
      <c r="F27" s="22">
        <f>IFERROR(__xludf.DUMMYFUNCTION("""COMPUTED_VALUE"""),94.04)</f>
        <v>94.04</v>
      </c>
      <c r="G27" s="32">
        <f>IFERROR(__xludf.DUMMYFUNCTION("""COMPUTED_VALUE"""),45216.726388888885)</f>
        <v>45216.72639</v>
      </c>
      <c r="H27" s="22">
        <f>IFERROR(__xludf.DUMMYFUNCTION("""COMPUTED_VALUE"""),5.02)</f>
        <v>5.02</v>
      </c>
      <c r="I27" s="32">
        <f>IFERROR(__xludf.DUMMYFUNCTION("""COMPUTED_VALUE"""),45216.726388888885)</f>
        <v>45216.72639</v>
      </c>
      <c r="J27" s="31">
        <f>IFERROR(__xludf.DUMMYFUNCTION("""COMPUTED_VALUE"""),5.0)</f>
        <v>5</v>
      </c>
      <c r="K27" s="32">
        <f>IFERROR(__xludf.DUMMYFUNCTION("""COMPUTED_VALUE"""),45218.73611111111)</f>
        <v>45218.73611</v>
      </c>
      <c r="L27" s="22">
        <f>IFERROR(__xludf.DUMMYFUNCTION("""COMPUTED_VALUE"""),93.15)</f>
        <v>93.15</v>
      </c>
      <c r="M27" s="32">
        <f>IFERROR(__xludf.DUMMYFUNCTION("""COMPUTED_VALUE"""),45216.726388888885)</f>
        <v>45216.72639</v>
      </c>
      <c r="N27" s="22">
        <f>IFERROR(__xludf.DUMMYFUNCTION("""COMPUTED_VALUE"""),4.97)</f>
        <v>4.97</v>
      </c>
      <c r="O27" s="32">
        <f>IFERROR(__xludf.DUMMYFUNCTION("""COMPUTED_VALUE"""),45216.6875)</f>
        <v>45216.6875</v>
      </c>
      <c r="P27" s="22">
        <f>IFERROR(__xludf.DUMMYFUNCTION("""COMPUTED_VALUE"""),457.74)</f>
        <v>457.74</v>
      </c>
      <c r="Q27" s="32">
        <f>IFERROR(__xludf.DUMMYFUNCTION("""COMPUTED_VALUE"""),45216.66666666667)</f>
        <v>45216.66667</v>
      </c>
      <c r="R27" s="22">
        <f>IFERROR(__xludf.DUMMYFUNCTION("""COMPUTED_VALUE"""),21.36)</f>
        <v>21.36</v>
      </c>
      <c r="S27" s="32">
        <f>IFERROR(__xludf.DUMMYFUNCTION("""COMPUTED_VALUE"""),45216.6875)</f>
        <v>45216.6875</v>
      </c>
      <c r="T27" s="22">
        <f>IFERROR(__xludf.DUMMYFUNCTION("""COMPUTED_VALUE"""),5.84)</f>
        <v>5.84</v>
      </c>
      <c r="U27" s="32">
        <f>IFERROR(__xludf.DUMMYFUNCTION("""COMPUTED_VALUE"""),45206.99861111111)</f>
        <v>45206.99861</v>
      </c>
      <c r="V27" s="31">
        <f>IFERROR(__xludf.DUMMYFUNCTION("""COMPUTED_VALUE"""),1.06)</f>
        <v>1.06</v>
      </c>
    </row>
    <row r="28" ht="15.75" customHeight="1">
      <c r="A28" s="32">
        <f>IFERROR(__xludf.DUMMYFUNCTION("""COMPUTED_VALUE"""),45218.73611111111)</f>
        <v>45218.73611</v>
      </c>
      <c r="B28" s="22">
        <f>IFERROR(__xludf.DUMMYFUNCTION("""COMPUTED_VALUE"""),91.98)</f>
        <v>91.98</v>
      </c>
      <c r="C28" s="32">
        <f>IFERROR(__xludf.DUMMYFUNCTION("""COMPUTED_VALUE"""),45218.726388888885)</f>
        <v>45218.72639</v>
      </c>
      <c r="D28" s="22">
        <f>IFERROR(__xludf.DUMMYFUNCTION("""COMPUTED_VALUE"""),4.98)</f>
        <v>4.98</v>
      </c>
      <c r="E28" s="32">
        <f>IFERROR(__xludf.DUMMYFUNCTION("""COMPUTED_VALUE"""),45218.73611111111)</f>
        <v>45218.73611</v>
      </c>
      <c r="F28" s="22">
        <f>IFERROR(__xludf.DUMMYFUNCTION("""COMPUTED_VALUE"""),93.7)</f>
        <v>93.7</v>
      </c>
      <c r="G28" s="32">
        <f>IFERROR(__xludf.DUMMYFUNCTION("""COMPUTED_VALUE"""),45217.726388888885)</f>
        <v>45217.72639</v>
      </c>
      <c r="H28" s="22">
        <f>IFERROR(__xludf.DUMMYFUNCTION("""COMPUTED_VALUE"""),5.02)</f>
        <v>5.02</v>
      </c>
      <c r="I28" s="32">
        <f>IFERROR(__xludf.DUMMYFUNCTION("""COMPUTED_VALUE"""),45217.726388888885)</f>
        <v>45217.72639</v>
      </c>
      <c r="J28" s="31">
        <f>IFERROR(__xludf.DUMMYFUNCTION("""COMPUTED_VALUE"""),4.99)</f>
        <v>4.99</v>
      </c>
      <c r="K28" s="32">
        <f>IFERROR(__xludf.DUMMYFUNCTION("""COMPUTED_VALUE"""),45219.73611111111)</f>
        <v>45219.73611</v>
      </c>
      <c r="L28" s="22">
        <f>IFERROR(__xludf.DUMMYFUNCTION("""COMPUTED_VALUE"""),93.23)</f>
        <v>93.23</v>
      </c>
      <c r="M28" s="32">
        <f>IFERROR(__xludf.DUMMYFUNCTION("""COMPUTED_VALUE"""),45217.726388888885)</f>
        <v>45217.72639</v>
      </c>
      <c r="N28" s="22">
        <f>IFERROR(__xludf.DUMMYFUNCTION("""COMPUTED_VALUE"""),4.96)</f>
        <v>4.96</v>
      </c>
      <c r="O28" s="32">
        <f>IFERROR(__xludf.DUMMYFUNCTION("""COMPUTED_VALUE"""),45217.6875)</f>
        <v>45217.6875</v>
      </c>
      <c r="P28" s="22">
        <f>IFERROR(__xludf.DUMMYFUNCTION("""COMPUTED_VALUE"""),454.05)</f>
        <v>454.05</v>
      </c>
      <c r="Q28" s="32">
        <f>IFERROR(__xludf.DUMMYFUNCTION("""COMPUTED_VALUE"""),45217.66666666667)</f>
        <v>45217.66667</v>
      </c>
      <c r="R28" s="22">
        <f>IFERROR(__xludf.DUMMYFUNCTION("""COMPUTED_VALUE"""),21.24)</f>
        <v>21.24</v>
      </c>
      <c r="S28" s="32">
        <f>IFERROR(__xludf.DUMMYFUNCTION("""COMPUTED_VALUE"""),45217.6875)</f>
        <v>45217.6875</v>
      </c>
      <c r="T28" s="22">
        <f>IFERROR(__xludf.DUMMYFUNCTION("""COMPUTED_VALUE"""),5.81)</f>
        <v>5.81</v>
      </c>
      <c r="U28" s="32">
        <f>IFERROR(__xludf.DUMMYFUNCTION("""COMPUTED_VALUE"""),45207.99861111111)</f>
        <v>45207.99861</v>
      </c>
      <c r="V28" s="31">
        <f>IFERROR(__xludf.DUMMYFUNCTION("""COMPUTED_VALUE"""),1.0568)</f>
        <v>1.0568</v>
      </c>
    </row>
    <row r="29" ht="15.75" customHeight="1">
      <c r="A29" s="32">
        <f>IFERROR(__xludf.DUMMYFUNCTION("""COMPUTED_VALUE"""),45219.73611111111)</f>
        <v>45219.73611</v>
      </c>
      <c r="B29" s="22">
        <f>IFERROR(__xludf.DUMMYFUNCTION("""COMPUTED_VALUE"""),92.07)</f>
        <v>92.07</v>
      </c>
      <c r="C29" s="32">
        <f>IFERROR(__xludf.DUMMYFUNCTION("""COMPUTED_VALUE"""),45222.726388888885)</f>
        <v>45222.72639</v>
      </c>
      <c r="D29" s="22">
        <f>IFERROR(__xludf.DUMMYFUNCTION("""COMPUTED_VALUE"""),4.99)</f>
        <v>4.99</v>
      </c>
      <c r="E29" s="32">
        <f>IFERROR(__xludf.DUMMYFUNCTION("""COMPUTED_VALUE"""),45219.73611111111)</f>
        <v>45219.73611</v>
      </c>
      <c r="F29" s="22">
        <f>IFERROR(__xludf.DUMMYFUNCTION("""COMPUTED_VALUE"""),93.78)</f>
        <v>93.78</v>
      </c>
      <c r="G29" s="32">
        <f>IFERROR(__xludf.DUMMYFUNCTION("""COMPUTED_VALUE"""),45218.726388888885)</f>
        <v>45218.72639</v>
      </c>
      <c r="H29" s="22">
        <f>IFERROR(__xludf.DUMMYFUNCTION("""COMPUTED_VALUE"""),5.02)</f>
        <v>5.02</v>
      </c>
      <c r="I29" s="32">
        <f>IFERROR(__xludf.DUMMYFUNCTION("""COMPUTED_VALUE"""),45218.726388888885)</f>
        <v>45218.72639</v>
      </c>
      <c r="J29" s="31">
        <f>IFERROR(__xludf.DUMMYFUNCTION("""COMPUTED_VALUE"""),4.99)</f>
        <v>4.99</v>
      </c>
      <c r="K29" s="32">
        <f>IFERROR(__xludf.DUMMYFUNCTION("""COMPUTED_VALUE"""),45222.73611111111)</f>
        <v>45222.73611</v>
      </c>
      <c r="L29" s="22">
        <f>IFERROR(__xludf.DUMMYFUNCTION("""COMPUTED_VALUE"""),93.04)</f>
        <v>93.04</v>
      </c>
      <c r="M29" s="32">
        <f>IFERROR(__xludf.DUMMYFUNCTION("""COMPUTED_VALUE"""),45218.726388888885)</f>
        <v>45218.72639</v>
      </c>
      <c r="N29" s="22">
        <f>IFERROR(__xludf.DUMMYFUNCTION("""COMPUTED_VALUE"""),4.96)</f>
        <v>4.96</v>
      </c>
      <c r="O29" s="32">
        <f>IFERROR(__xludf.DUMMYFUNCTION("""COMPUTED_VALUE"""),45218.6875)</f>
        <v>45218.6875</v>
      </c>
      <c r="P29" s="22">
        <f>IFERROR(__xludf.DUMMYFUNCTION("""COMPUTED_VALUE"""),451.5)</f>
        <v>451.5</v>
      </c>
      <c r="Q29" s="32">
        <f>IFERROR(__xludf.DUMMYFUNCTION("""COMPUTED_VALUE"""),45218.66666666667)</f>
        <v>45218.66667</v>
      </c>
      <c r="R29" s="22">
        <f>IFERROR(__xludf.DUMMYFUNCTION("""COMPUTED_VALUE"""),21.16)</f>
        <v>21.16</v>
      </c>
      <c r="S29" s="32">
        <f>IFERROR(__xludf.DUMMYFUNCTION("""COMPUTED_VALUE"""),45218.6875)</f>
        <v>45218.6875</v>
      </c>
      <c r="T29" s="22">
        <f>IFERROR(__xludf.DUMMYFUNCTION("""COMPUTED_VALUE"""),5.8)</f>
        <v>5.8</v>
      </c>
      <c r="U29" s="32">
        <f>IFERROR(__xludf.DUMMYFUNCTION("""COMPUTED_VALUE"""),45208.99861111111)</f>
        <v>45208.99861</v>
      </c>
      <c r="V29" s="31">
        <f>IFERROR(__xludf.DUMMYFUNCTION("""COMPUTED_VALUE"""),1.0577)</f>
        <v>1.0577</v>
      </c>
    </row>
    <row r="30" ht="15.75" customHeight="1">
      <c r="A30" s="32">
        <f>IFERROR(__xludf.DUMMYFUNCTION("""COMPUTED_VALUE"""),45222.73611111111)</f>
        <v>45222.73611</v>
      </c>
      <c r="B30" s="22">
        <f>IFERROR(__xludf.DUMMYFUNCTION("""COMPUTED_VALUE"""),91.98)</f>
        <v>91.98</v>
      </c>
      <c r="C30" s="32">
        <f>IFERROR(__xludf.DUMMYFUNCTION("""COMPUTED_VALUE"""),45223.726388888885)</f>
        <v>45223.72639</v>
      </c>
      <c r="D30" s="22">
        <f>IFERROR(__xludf.DUMMYFUNCTION("""COMPUTED_VALUE"""),5.0)</f>
        <v>5</v>
      </c>
      <c r="E30" s="32">
        <f>IFERROR(__xludf.DUMMYFUNCTION("""COMPUTED_VALUE"""),45222.73611111111)</f>
        <v>45222.73611</v>
      </c>
      <c r="F30" s="22">
        <f>IFERROR(__xludf.DUMMYFUNCTION("""COMPUTED_VALUE"""),93.65)</f>
        <v>93.65</v>
      </c>
      <c r="G30" s="32">
        <f>IFERROR(__xludf.DUMMYFUNCTION("""COMPUTED_VALUE"""),45219.726388888885)</f>
        <v>45219.72639</v>
      </c>
      <c r="H30" s="22">
        <f>IFERROR(__xludf.DUMMYFUNCTION("""COMPUTED_VALUE"""),5.02)</f>
        <v>5.02</v>
      </c>
      <c r="I30" s="32">
        <f>IFERROR(__xludf.DUMMYFUNCTION("""COMPUTED_VALUE"""),45219.726388888885)</f>
        <v>45219.72639</v>
      </c>
      <c r="J30" s="31">
        <f>IFERROR(__xludf.DUMMYFUNCTION("""COMPUTED_VALUE"""),5.0)</f>
        <v>5</v>
      </c>
      <c r="K30" s="32">
        <f>IFERROR(__xludf.DUMMYFUNCTION("""COMPUTED_VALUE"""),45223.73611111111)</f>
        <v>45223.73611</v>
      </c>
      <c r="L30" s="22">
        <f>IFERROR(__xludf.DUMMYFUNCTION("""COMPUTED_VALUE"""),93.5)</f>
        <v>93.5</v>
      </c>
      <c r="M30" s="32">
        <f>IFERROR(__xludf.DUMMYFUNCTION("""COMPUTED_VALUE"""),45219.726388888885)</f>
        <v>45219.72639</v>
      </c>
      <c r="N30" s="22">
        <f>IFERROR(__xludf.DUMMYFUNCTION("""COMPUTED_VALUE"""),4.97)</f>
        <v>4.97</v>
      </c>
      <c r="O30" s="32">
        <f>IFERROR(__xludf.DUMMYFUNCTION("""COMPUTED_VALUE"""),45219.6875)</f>
        <v>45219.6875</v>
      </c>
      <c r="P30" s="22">
        <f>IFERROR(__xludf.DUMMYFUNCTION("""COMPUTED_VALUE"""),442.8)</f>
        <v>442.8</v>
      </c>
      <c r="Q30" s="32">
        <f>IFERROR(__xludf.DUMMYFUNCTION("""COMPUTED_VALUE"""),45219.66666666667)</f>
        <v>45219.66667</v>
      </c>
      <c r="R30" s="22">
        <f>IFERROR(__xludf.DUMMYFUNCTION("""COMPUTED_VALUE"""),21.21)</f>
        <v>21.21</v>
      </c>
      <c r="S30" s="32">
        <f>IFERROR(__xludf.DUMMYFUNCTION("""COMPUTED_VALUE"""),45219.6875)</f>
        <v>45219.6875</v>
      </c>
      <c r="T30" s="22">
        <f>IFERROR(__xludf.DUMMYFUNCTION("""COMPUTED_VALUE"""),5.78)</f>
        <v>5.78</v>
      </c>
      <c r="U30" s="32">
        <f>IFERROR(__xludf.DUMMYFUNCTION("""COMPUTED_VALUE"""),45209.99861111111)</f>
        <v>45209.99861</v>
      </c>
      <c r="V30" s="31">
        <f>IFERROR(__xludf.DUMMYFUNCTION("""COMPUTED_VALUE"""),1.06042)</f>
        <v>1.06042</v>
      </c>
    </row>
    <row r="31" ht="15.75" customHeight="1">
      <c r="A31" s="32">
        <f>IFERROR(__xludf.DUMMYFUNCTION("""COMPUTED_VALUE"""),45223.73611111111)</f>
        <v>45223.73611</v>
      </c>
      <c r="B31" s="22">
        <f>IFERROR(__xludf.DUMMYFUNCTION("""COMPUTED_VALUE"""),92.52)</f>
        <v>92.52</v>
      </c>
      <c r="C31" s="32">
        <f>IFERROR(__xludf.DUMMYFUNCTION("""COMPUTED_VALUE"""),45224.726388888885)</f>
        <v>45224.72639</v>
      </c>
      <c r="D31" s="22">
        <f>IFERROR(__xludf.DUMMYFUNCTION("""COMPUTED_VALUE"""),5.0)</f>
        <v>5</v>
      </c>
      <c r="E31" s="32">
        <f>IFERROR(__xludf.DUMMYFUNCTION("""COMPUTED_VALUE"""),45223.73611111111)</f>
        <v>45223.73611</v>
      </c>
      <c r="F31" s="22">
        <f>IFERROR(__xludf.DUMMYFUNCTION("""COMPUTED_VALUE"""),93.94)</f>
        <v>93.94</v>
      </c>
      <c r="G31" s="32">
        <f>IFERROR(__xludf.DUMMYFUNCTION("""COMPUTED_VALUE"""),45222.726388888885)</f>
        <v>45222.72639</v>
      </c>
      <c r="H31" s="22">
        <f>IFERROR(__xludf.DUMMYFUNCTION("""COMPUTED_VALUE"""),5.02)</f>
        <v>5.02</v>
      </c>
      <c r="I31" s="32">
        <f>IFERROR(__xludf.DUMMYFUNCTION("""COMPUTED_VALUE"""),45222.726388888885)</f>
        <v>45222.72639</v>
      </c>
      <c r="J31" s="31">
        <f>IFERROR(__xludf.DUMMYFUNCTION("""COMPUTED_VALUE"""),5.0)</f>
        <v>5</v>
      </c>
      <c r="K31" s="32">
        <f>IFERROR(__xludf.DUMMYFUNCTION("""COMPUTED_VALUE"""),45224.73611111111)</f>
        <v>45224.73611</v>
      </c>
      <c r="L31" s="22">
        <f>IFERROR(__xludf.DUMMYFUNCTION("""COMPUTED_VALUE"""),93.45)</f>
        <v>93.45</v>
      </c>
      <c r="M31" s="32">
        <f>IFERROR(__xludf.DUMMYFUNCTION("""COMPUTED_VALUE"""),45222.726388888885)</f>
        <v>45222.72639</v>
      </c>
      <c r="N31" s="22">
        <f>IFERROR(__xludf.DUMMYFUNCTION("""COMPUTED_VALUE"""),4.98)</f>
        <v>4.98</v>
      </c>
      <c r="O31" s="32">
        <f>IFERROR(__xludf.DUMMYFUNCTION("""COMPUTED_VALUE"""),45222.6875)</f>
        <v>45222.6875</v>
      </c>
      <c r="P31" s="22">
        <f>IFERROR(__xludf.DUMMYFUNCTION("""COMPUTED_VALUE"""),443.1)</f>
        <v>443.1</v>
      </c>
      <c r="Q31" s="32">
        <f>IFERROR(__xludf.DUMMYFUNCTION("""COMPUTED_VALUE"""),45222.66666666667)</f>
        <v>45222.66667</v>
      </c>
      <c r="R31" s="22">
        <f>IFERROR(__xludf.DUMMYFUNCTION("""COMPUTED_VALUE"""),21.35)</f>
        <v>21.35</v>
      </c>
      <c r="S31" s="32">
        <f>IFERROR(__xludf.DUMMYFUNCTION("""COMPUTED_VALUE"""),45222.6875)</f>
        <v>45222.6875</v>
      </c>
      <c r="T31" s="22">
        <f>IFERROR(__xludf.DUMMYFUNCTION("""COMPUTED_VALUE"""),5.81)</f>
        <v>5.81</v>
      </c>
      <c r="U31" s="32">
        <f>IFERROR(__xludf.DUMMYFUNCTION("""COMPUTED_VALUE"""),45210.99861111111)</f>
        <v>45210.99861</v>
      </c>
      <c r="V31" s="31">
        <f>IFERROR(__xludf.DUMMYFUNCTION("""COMPUTED_VALUE"""),1.06239)</f>
        <v>1.06239</v>
      </c>
    </row>
    <row r="32" ht="15.75" customHeight="1">
      <c r="A32" s="32">
        <f>IFERROR(__xludf.DUMMYFUNCTION("""COMPUTED_VALUE"""),45224.73611111111)</f>
        <v>45224.73611</v>
      </c>
      <c r="B32" s="22">
        <f>IFERROR(__xludf.DUMMYFUNCTION("""COMPUTED_VALUE"""),92.32)</f>
        <v>92.32</v>
      </c>
      <c r="C32" s="32">
        <f>IFERROR(__xludf.DUMMYFUNCTION("""COMPUTED_VALUE"""),45225.726388888885)</f>
        <v>45225.72639</v>
      </c>
      <c r="D32" s="22">
        <f>IFERROR(__xludf.DUMMYFUNCTION("""COMPUTED_VALUE"""),5.01)</f>
        <v>5.01</v>
      </c>
      <c r="E32" s="32">
        <f>IFERROR(__xludf.DUMMYFUNCTION("""COMPUTED_VALUE"""),45224.73611111111)</f>
        <v>45224.73611</v>
      </c>
      <c r="F32" s="22">
        <f>IFERROR(__xludf.DUMMYFUNCTION("""COMPUTED_VALUE"""),94.02)</f>
        <v>94.02</v>
      </c>
      <c r="G32" s="32">
        <f>IFERROR(__xludf.DUMMYFUNCTION("""COMPUTED_VALUE"""),45223.726388888885)</f>
        <v>45223.72639</v>
      </c>
      <c r="H32" s="22">
        <f>IFERROR(__xludf.DUMMYFUNCTION("""COMPUTED_VALUE"""),5.03)</f>
        <v>5.03</v>
      </c>
      <c r="I32" s="32">
        <f>IFERROR(__xludf.DUMMYFUNCTION("""COMPUTED_VALUE"""),45223.726388888885)</f>
        <v>45223.72639</v>
      </c>
      <c r="J32" s="31">
        <f>IFERROR(__xludf.DUMMYFUNCTION("""COMPUTED_VALUE"""),5.01)</f>
        <v>5.01</v>
      </c>
      <c r="K32" s="32">
        <f>IFERROR(__xludf.DUMMYFUNCTION("""COMPUTED_VALUE"""),45225.73611111111)</f>
        <v>45225.73611</v>
      </c>
      <c r="L32" s="22">
        <f>IFERROR(__xludf.DUMMYFUNCTION("""COMPUTED_VALUE"""),94.02)</f>
        <v>94.02</v>
      </c>
      <c r="M32" s="32">
        <f>IFERROR(__xludf.DUMMYFUNCTION("""COMPUTED_VALUE"""),45223.726388888885)</f>
        <v>45223.72639</v>
      </c>
      <c r="N32" s="22">
        <f>IFERROR(__xludf.DUMMYFUNCTION("""COMPUTED_VALUE"""),4.99)</f>
        <v>4.99</v>
      </c>
      <c r="O32" s="32">
        <f>IFERROR(__xludf.DUMMYFUNCTION("""COMPUTED_VALUE"""),45223.6875)</f>
        <v>45223.6875</v>
      </c>
      <c r="P32" s="22">
        <f>IFERROR(__xludf.DUMMYFUNCTION("""COMPUTED_VALUE"""),443.63)</f>
        <v>443.63</v>
      </c>
      <c r="Q32" s="32">
        <f>IFERROR(__xludf.DUMMYFUNCTION("""COMPUTED_VALUE"""),45223.66666666667)</f>
        <v>45223.66667</v>
      </c>
      <c r="R32" s="22">
        <f>IFERROR(__xludf.DUMMYFUNCTION("""COMPUTED_VALUE"""),21.41)</f>
        <v>21.41</v>
      </c>
      <c r="S32" s="32">
        <f>IFERROR(__xludf.DUMMYFUNCTION("""COMPUTED_VALUE"""),45223.6875)</f>
        <v>45223.6875</v>
      </c>
      <c r="T32" s="22">
        <f>IFERROR(__xludf.DUMMYFUNCTION("""COMPUTED_VALUE"""),5.83)</f>
        <v>5.83</v>
      </c>
      <c r="U32" s="32">
        <f>IFERROR(__xludf.DUMMYFUNCTION("""COMPUTED_VALUE"""),45211.99861111111)</f>
        <v>45211.99861</v>
      </c>
      <c r="V32" s="31">
        <f>IFERROR(__xludf.DUMMYFUNCTION("""COMPUTED_VALUE"""),1.05362)</f>
        <v>1.05362</v>
      </c>
    </row>
    <row r="33" ht="15.75" customHeight="1">
      <c r="A33" s="32">
        <f>IFERROR(__xludf.DUMMYFUNCTION("""COMPUTED_VALUE"""),45225.73611111111)</f>
        <v>45225.73611</v>
      </c>
      <c r="B33" s="22">
        <f>IFERROR(__xludf.DUMMYFUNCTION("""COMPUTED_VALUE"""),92.89)</f>
        <v>92.89</v>
      </c>
      <c r="C33" s="32">
        <f>IFERROR(__xludf.DUMMYFUNCTION("""COMPUTED_VALUE"""),45226.726388888885)</f>
        <v>45226.72639</v>
      </c>
      <c r="D33" s="22">
        <f>IFERROR(__xludf.DUMMYFUNCTION("""COMPUTED_VALUE"""),5.01)</f>
        <v>5.01</v>
      </c>
      <c r="E33" s="32">
        <f>IFERROR(__xludf.DUMMYFUNCTION("""COMPUTED_VALUE"""),45225.73611111111)</f>
        <v>45225.73611</v>
      </c>
      <c r="F33" s="22">
        <f>IFERROR(__xludf.DUMMYFUNCTION("""COMPUTED_VALUE"""),94.54)</f>
        <v>94.54</v>
      </c>
      <c r="G33" s="32">
        <f>IFERROR(__xludf.DUMMYFUNCTION("""COMPUTED_VALUE"""),45224.726388888885)</f>
        <v>45224.72639</v>
      </c>
      <c r="H33" s="22">
        <f>IFERROR(__xludf.DUMMYFUNCTION("""COMPUTED_VALUE"""),5.03)</f>
        <v>5.03</v>
      </c>
      <c r="I33" s="32">
        <f>IFERROR(__xludf.DUMMYFUNCTION("""COMPUTED_VALUE"""),45224.726388888885)</f>
        <v>45224.72639</v>
      </c>
      <c r="J33" s="31">
        <f>IFERROR(__xludf.DUMMYFUNCTION("""COMPUTED_VALUE"""),5.01)</f>
        <v>5.01</v>
      </c>
      <c r="K33" s="32">
        <f>IFERROR(__xludf.DUMMYFUNCTION("""COMPUTED_VALUE"""),45226.73611111111)</f>
        <v>45226.73611</v>
      </c>
      <c r="L33" s="22">
        <f>IFERROR(__xludf.DUMMYFUNCTION("""COMPUTED_VALUE"""),93.75)</f>
        <v>93.75</v>
      </c>
      <c r="M33" s="32">
        <f>IFERROR(__xludf.DUMMYFUNCTION("""COMPUTED_VALUE"""),45224.726388888885)</f>
        <v>45224.72639</v>
      </c>
      <c r="N33" s="22">
        <f>IFERROR(__xludf.DUMMYFUNCTION("""COMPUTED_VALUE"""),4.98)</f>
        <v>4.98</v>
      </c>
      <c r="O33" s="32">
        <f>IFERROR(__xludf.DUMMYFUNCTION("""COMPUTED_VALUE"""),45224.6875)</f>
        <v>45224.6875</v>
      </c>
      <c r="P33" s="22">
        <f>IFERROR(__xludf.DUMMYFUNCTION("""COMPUTED_VALUE"""),441.11)</f>
        <v>441.11</v>
      </c>
      <c r="Q33" s="32">
        <f>IFERROR(__xludf.DUMMYFUNCTION("""COMPUTED_VALUE"""),45224.66666666667)</f>
        <v>45224.66667</v>
      </c>
      <c r="R33" s="22">
        <f>IFERROR(__xludf.DUMMYFUNCTION("""COMPUTED_VALUE"""),21.3)</f>
        <v>21.3</v>
      </c>
      <c r="S33" s="32">
        <f>IFERROR(__xludf.DUMMYFUNCTION("""COMPUTED_VALUE"""),45224.6875)</f>
        <v>45224.6875</v>
      </c>
      <c r="T33" s="22">
        <f>IFERROR(__xludf.DUMMYFUNCTION("""COMPUTED_VALUE"""),5.83)</f>
        <v>5.83</v>
      </c>
      <c r="U33" s="32">
        <f>IFERROR(__xludf.DUMMYFUNCTION("""COMPUTED_VALUE"""),45212.99861111111)</f>
        <v>45212.99861</v>
      </c>
      <c r="V33" s="31">
        <f>IFERROR(__xludf.DUMMYFUNCTION("""COMPUTED_VALUE"""),1.0511)</f>
        <v>1.0511</v>
      </c>
    </row>
    <row r="34" ht="15.75" customHeight="1">
      <c r="A34" s="32">
        <f>IFERROR(__xludf.DUMMYFUNCTION("""COMPUTED_VALUE"""),45226.73611111111)</f>
        <v>45226.73611</v>
      </c>
      <c r="B34" s="22">
        <f>IFERROR(__xludf.DUMMYFUNCTION("""COMPUTED_VALUE"""),92.63)</f>
        <v>92.63</v>
      </c>
      <c r="C34" s="32">
        <f>IFERROR(__xludf.DUMMYFUNCTION("""COMPUTED_VALUE"""),45229.726388888885)</f>
        <v>45229.72639</v>
      </c>
      <c r="D34" s="22">
        <f>IFERROR(__xludf.DUMMYFUNCTION("""COMPUTED_VALUE"""),5.01)</f>
        <v>5.01</v>
      </c>
      <c r="E34" s="32">
        <f>IFERROR(__xludf.DUMMYFUNCTION("""COMPUTED_VALUE"""),45226.73611111111)</f>
        <v>45226.73611</v>
      </c>
      <c r="F34" s="22">
        <f>IFERROR(__xludf.DUMMYFUNCTION("""COMPUTED_VALUE"""),94.28)</f>
        <v>94.28</v>
      </c>
      <c r="G34" s="32">
        <f>IFERROR(__xludf.DUMMYFUNCTION("""COMPUTED_VALUE"""),45225.726388888885)</f>
        <v>45225.72639</v>
      </c>
      <c r="H34" s="22">
        <f>IFERROR(__xludf.DUMMYFUNCTION("""COMPUTED_VALUE"""),5.03)</f>
        <v>5.03</v>
      </c>
      <c r="I34" s="32">
        <f>IFERROR(__xludf.DUMMYFUNCTION("""COMPUTED_VALUE"""),45225.726388888885)</f>
        <v>45225.72639</v>
      </c>
      <c r="J34" s="31">
        <f>IFERROR(__xludf.DUMMYFUNCTION("""COMPUTED_VALUE"""),5.01)</f>
        <v>5.01</v>
      </c>
      <c r="K34" s="32">
        <f>IFERROR(__xludf.DUMMYFUNCTION("""COMPUTED_VALUE"""),45229.73611111111)</f>
        <v>45229.73611</v>
      </c>
      <c r="L34" s="22">
        <f>IFERROR(__xludf.DUMMYFUNCTION("""COMPUTED_VALUE"""),93.41)</f>
        <v>93.41</v>
      </c>
      <c r="M34" s="32">
        <f>IFERROR(__xludf.DUMMYFUNCTION("""COMPUTED_VALUE"""),45225.726388888885)</f>
        <v>45225.72639</v>
      </c>
      <c r="N34" s="22">
        <f>IFERROR(__xludf.DUMMYFUNCTION("""COMPUTED_VALUE"""),4.99)</f>
        <v>4.99</v>
      </c>
      <c r="O34" s="32">
        <f>IFERROR(__xludf.DUMMYFUNCTION("""COMPUTED_VALUE"""),45225.6875)</f>
        <v>45225.6875</v>
      </c>
      <c r="P34" s="22">
        <f>IFERROR(__xludf.DUMMYFUNCTION("""COMPUTED_VALUE"""),434.81)</f>
        <v>434.81</v>
      </c>
      <c r="Q34" s="32">
        <f>IFERROR(__xludf.DUMMYFUNCTION("""COMPUTED_VALUE"""),45225.66666666667)</f>
        <v>45225.66667</v>
      </c>
      <c r="R34" s="22">
        <f>IFERROR(__xludf.DUMMYFUNCTION("""COMPUTED_VALUE"""),21.32)</f>
        <v>21.32</v>
      </c>
      <c r="S34" s="32">
        <f>IFERROR(__xludf.DUMMYFUNCTION("""COMPUTED_VALUE"""),45225.6875)</f>
        <v>45225.6875</v>
      </c>
      <c r="T34" s="22">
        <f>IFERROR(__xludf.DUMMYFUNCTION("""COMPUTED_VALUE"""),5.82)</f>
        <v>5.82</v>
      </c>
      <c r="U34" s="32">
        <f>IFERROR(__xludf.DUMMYFUNCTION("""COMPUTED_VALUE"""),45213.99861111111)</f>
        <v>45213.99861</v>
      </c>
      <c r="V34" s="31">
        <f>IFERROR(__xludf.DUMMYFUNCTION("""COMPUTED_VALUE"""),1.0511)</f>
        <v>1.0511</v>
      </c>
    </row>
    <row r="35" ht="15.75" customHeight="1">
      <c r="A35" s="32">
        <f>IFERROR(__xludf.DUMMYFUNCTION("""COMPUTED_VALUE"""),45229.73611111111)</f>
        <v>45229.73611</v>
      </c>
      <c r="B35" s="22">
        <f>IFERROR(__xludf.DUMMYFUNCTION("""COMPUTED_VALUE"""),92.32)</f>
        <v>92.32</v>
      </c>
      <c r="C35" s="32">
        <f>IFERROR(__xludf.DUMMYFUNCTION("""COMPUTED_VALUE"""),45230.726388888885)</f>
        <v>45230.72639</v>
      </c>
      <c r="D35" s="22">
        <f>IFERROR(__xludf.DUMMYFUNCTION("""COMPUTED_VALUE"""),5.02)</f>
        <v>5.02</v>
      </c>
      <c r="E35" s="32">
        <f>IFERROR(__xludf.DUMMYFUNCTION("""COMPUTED_VALUE"""),45229.73611111111)</f>
        <v>45229.73611</v>
      </c>
      <c r="F35" s="22">
        <f>IFERROR(__xludf.DUMMYFUNCTION("""COMPUTED_VALUE"""),93.89)</f>
        <v>93.89</v>
      </c>
      <c r="G35" s="32">
        <f>IFERROR(__xludf.DUMMYFUNCTION("""COMPUTED_VALUE"""),45226.726388888885)</f>
        <v>45226.72639</v>
      </c>
      <c r="H35" s="22">
        <f>IFERROR(__xludf.DUMMYFUNCTION("""COMPUTED_VALUE"""),5.03)</f>
        <v>5.03</v>
      </c>
      <c r="I35" s="32">
        <f>IFERROR(__xludf.DUMMYFUNCTION("""COMPUTED_VALUE"""),45226.726388888885)</f>
        <v>45226.72639</v>
      </c>
      <c r="J35" s="31">
        <f>IFERROR(__xludf.DUMMYFUNCTION("""COMPUTED_VALUE"""),5.02)</f>
        <v>5.02</v>
      </c>
      <c r="K35" s="32">
        <f>IFERROR(__xludf.DUMMYFUNCTION("""COMPUTED_VALUE"""),45230.73611111111)</f>
        <v>45230.73611</v>
      </c>
      <c r="L35" s="22">
        <f>IFERROR(__xludf.DUMMYFUNCTION("""COMPUTED_VALUE"""),93.83)</f>
        <v>93.83</v>
      </c>
      <c r="M35" s="32">
        <f>IFERROR(__xludf.DUMMYFUNCTION("""COMPUTED_VALUE"""),45226.726388888885)</f>
        <v>45226.72639</v>
      </c>
      <c r="N35" s="22">
        <f>IFERROR(__xludf.DUMMYFUNCTION("""COMPUTED_VALUE"""),5.0)</f>
        <v>5</v>
      </c>
      <c r="O35" s="32">
        <f>IFERROR(__xludf.DUMMYFUNCTION("""COMPUTED_VALUE"""),45226.6875)</f>
        <v>45226.6875</v>
      </c>
      <c r="P35" s="22">
        <f>IFERROR(__xludf.DUMMYFUNCTION("""COMPUTED_VALUE"""),433.51)</f>
        <v>433.51</v>
      </c>
      <c r="Q35" s="32">
        <f>IFERROR(__xludf.DUMMYFUNCTION("""COMPUTED_VALUE"""),45226.66666666667)</f>
        <v>45226.66667</v>
      </c>
      <c r="R35" s="22">
        <f>IFERROR(__xludf.DUMMYFUNCTION("""COMPUTED_VALUE"""),21.34)</f>
        <v>21.34</v>
      </c>
      <c r="S35" s="32">
        <f>IFERROR(__xludf.DUMMYFUNCTION("""COMPUTED_VALUE"""),45226.6875)</f>
        <v>45226.6875</v>
      </c>
      <c r="T35" s="22">
        <f>IFERROR(__xludf.DUMMYFUNCTION("""COMPUTED_VALUE"""),5.84)</f>
        <v>5.84</v>
      </c>
      <c r="U35" s="32">
        <f>IFERROR(__xludf.DUMMYFUNCTION("""COMPUTED_VALUE"""),45214.99861111111)</f>
        <v>45214.99861</v>
      </c>
      <c r="V35" s="31">
        <f>IFERROR(__xludf.DUMMYFUNCTION("""COMPUTED_VALUE"""),1.052)</f>
        <v>1.052</v>
      </c>
    </row>
    <row r="36" ht="15.75" customHeight="1">
      <c r="A36" s="32">
        <f>IFERROR(__xludf.DUMMYFUNCTION("""COMPUTED_VALUE"""),45230.73611111111)</f>
        <v>45230.73611</v>
      </c>
      <c r="B36" s="22">
        <f>IFERROR(__xludf.DUMMYFUNCTION("""COMPUTED_VALUE"""),92.92)</f>
        <v>92.92</v>
      </c>
      <c r="C36" s="32">
        <f>IFERROR(__xludf.DUMMYFUNCTION("""COMPUTED_VALUE"""),45231.726388888885)</f>
        <v>45231.72639</v>
      </c>
      <c r="D36" s="22">
        <f>IFERROR(__xludf.DUMMYFUNCTION("""COMPUTED_VALUE"""),5.03)</f>
        <v>5.03</v>
      </c>
      <c r="E36" s="32">
        <f>IFERROR(__xludf.DUMMYFUNCTION("""COMPUTED_VALUE"""),45230.73611111111)</f>
        <v>45230.73611</v>
      </c>
      <c r="F36" s="22">
        <f>IFERROR(__xludf.DUMMYFUNCTION("""COMPUTED_VALUE"""),94.3)</f>
        <v>94.3</v>
      </c>
      <c r="G36" s="32">
        <f>IFERROR(__xludf.DUMMYFUNCTION("""COMPUTED_VALUE"""),45229.726388888885)</f>
        <v>45229.72639</v>
      </c>
      <c r="H36" s="22">
        <f>IFERROR(__xludf.DUMMYFUNCTION("""COMPUTED_VALUE"""),5.03)</f>
        <v>5.03</v>
      </c>
      <c r="I36" s="32">
        <f>IFERROR(__xludf.DUMMYFUNCTION("""COMPUTED_VALUE"""),45229.726388888885)</f>
        <v>45229.72639</v>
      </c>
      <c r="J36" s="31">
        <f>IFERROR(__xludf.DUMMYFUNCTION("""COMPUTED_VALUE"""),5.02)</f>
        <v>5.02</v>
      </c>
      <c r="K36" s="32">
        <f>IFERROR(__xludf.DUMMYFUNCTION("""COMPUTED_VALUE"""),45231.73611111111)</f>
        <v>45231.73611</v>
      </c>
      <c r="L36" s="22">
        <f>IFERROR(__xludf.DUMMYFUNCTION("""COMPUTED_VALUE"""),94.34)</f>
        <v>94.34</v>
      </c>
      <c r="M36" s="32">
        <f>IFERROR(__xludf.DUMMYFUNCTION("""COMPUTED_VALUE"""),45229.726388888885)</f>
        <v>45229.72639</v>
      </c>
      <c r="N36" s="22">
        <f>IFERROR(__xludf.DUMMYFUNCTION("""COMPUTED_VALUE"""),5.0)</f>
        <v>5</v>
      </c>
      <c r="O36" s="32">
        <f>IFERROR(__xludf.DUMMYFUNCTION("""COMPUTED_VALUE"""),45229.6875)</f>
        <v>45229.6875</v>
      </c>
      <c r="P36" s="22">
        <f>IFERROR(__xludf.DUMMYFUNCTION("""COMPUTED_VALUE"""),433.97)</f>
        <v>433.97</v>
      </c>
      <c r="Q36" s="32">
        <f>IFERROR(__xludf.DUMMYFUNCTION("""COMPUTED_VALUE"""),45229.66666666667)</f>
        <v>45229.66667</v>
      </c>
      <c r="R36" s="22">
        <f>IFERROR(__xludf.DUMMYFUNCTION("""COMPUTED_VALUE"""),21.39)</f>
        <v>21.39</v>
      </c>
      <c r="S36" s="32">
        <f>IFERROR(__xludf.DUMMYFUNCTION("""COMPUTED_VALUE"""),45229.6875)</f>
        <v>45229.6875</v>
      </c>
      <c r="T36" s="22">
        <f>IFERROR(__xludf.DUMMYFUNCTION("""COMPUTED_VALUE"""),5.83)</f>
        <v>5.83</v>
      </c>
      <c r="U36" s="32">
        <f>IFERROR(__xludf.DUMMYFUNCTION("""COMPUTED_VALUE"""),45215.99861111111)</f>
        <v>45215.99861</v>
      </c>
      <c r="V36" s="31">
        <f>IFERROR(__xludf.DUMMYFUNCTION("""COMPUTED_VALUE"""),1.05537)</f>
        <v>1.05537</v>
      </c>
    </row>
    <row r="37" ht="15.75" customHeight="1">
      <c r="A37" s="32">
        <f>IFERROR(__xludf.DUMMYFUNCTION("""COMPUTED_VALUE"""),45231.73611111111)</f>
        <v>45231.73611</v>
      </c>
      <c r="B37" s="22">
        <f>IFERROR(__xludf.DUMMYFUNCTION("""COMPUTED_VALUE"""),93.37)</f>
        <v>93.37</v>
      </c>
      <c r="C37" s="32">
        <f>IFERROR(__xludf.DUMMYFUNCTION("""COMPUTED_VALUE"""),45232.726388888885)</f>
        <v>45232.72639</v>
      </c>
      <c r="D37" s="22">
        <f>IFERROR(__xludf.DUMMYFUNCTION("""COMPUTED_VALUE"""),5.04)</f>
        <v>5.04</v>
      </c>
      <c r="E37" s="32">
        <f>IFERROR(__xludf.DUMMYFUNCTION("""COMPUTED_VALUE"""),45231.73611111111)</f>
        <v>45231.73611</v>
      </c>
      <c r="F37" s="22">
        <f>IFERROR(__xludf.DUMMYFUNCTION("""COMPUTED_VALUE"""),94.64)</f>
        <v>94.64</v>
      </c>
      <c r="G37" s="32">
        <f>IFERROR(__xludf.DUMMYFUNCTION("""COMPUTED_VALUE"""),45230.726388888885)</f>
        <v>45230.72639</v>
      </c>
      <c r="H37" s="22">
        <f>IFERROR(__xludf.DUMMYFUNCTION("""COMPUTED_VALUE"""),5.04)</f>
        <v>5.04</v>
      </c>
      <c r="I37" s="32">
        <f>IFERROR(__xludf.DUMMYFUNCTION("""COMPUTED_VALUE"""),45230.726388888885)</f>
        <v>45230.72639</v>
      </c>
      <c r="J37" s="31">
        <f>IFERROR(__xludf.DUMMYFUNCTION("""COMPUTED_VALUE"""),5.03)</f>
        <v>5.03</v>
      </c>
      <c r="K37" s="32">
        <f>IFERROR(__xludf.DUMMYFUNCTION("""COMPUTED_VALUE"""),45232.73611111111)</f>
        <v>45232.73611</v>
      </c>
      <c r="L37" s="22">
        <f>IFERROR(__xludf.DUMMYFUNCTION("""COMPUTED_VALUE"""),94.11)</f>
        <v>94.11</v>
      </c>
      <c r="M37" s="32">
        <f>IFERROR(__xludf.DUMMYFUNCTION("""COMPUTED_VALUE"""),45230.726388888885)</f>
        <v>45230.72639</v>
      </c>
      <c r="N37" s="22">
        <f>IFERROR(__xludf.DUMMYFUNCTION("""COMPUTED_VALUE"""),5.02)</f>
        <v>5.02</v>
      </c>
      <c r="O37" s="32">
        <f>IFERROR(__xludf.DUMMYFUNCTION("""COMPUTED_VALUE"""),45230.6875)</f>
        <v>45230.6875</v>
      </c>
      <c r="P37" s="22">
        <f>IFERROR(__xludf.DUMMYFUNCTION("""COMPUTED_VALUE"""),436.42)</f>
        <v>436.42</v>
      </c>
      <c r="Q37" s="32">
        <f>IFERROR(__xludf.DUMMYFUNCTION("""COMPUTED_VALUE"""),45230.66666666667)</f>
        <v>45230.66667</v>
      </c>
      <c r="R37" s="22">
        <f>IFERROR(__xludf.DUMMYFUNCTION("""COMPUTED_VALUE"""),21.5)</f>
        <v>21.5</v>
      </c>
      <c r="S37" s="32">
        <f>IFERROR(__xludf.DUMMYFUNCTION("""COMPUTED_VALUE"""),45230.6875)</f>
        <v>45230.6875</v>
      </c>
      <c r="T37" s="22">
        <f>IFERROR(__xludf.DUMMYFUNCTION("""COMPUTED_VALUE"""),5.85)</f>
        <v>5.85</v>
      </c>
      <c r="U37" s="32">
        <f>IFERROR(__xludf.DUMMYFUNCTION("""COMPUTED_VALUE"""),45216.99861111111)</f>
        <v>45216.99861</v>
      </c>
      <c r="V37" s="31">
        <f>IFERROR(__xludf.DUMMYFUNCTION("""COMPUTED_VALUE"""),1.05724)</f>
        <v>1.05724</v>
      </c>
    </row>
    <row r="38" ht="15.75" customHeight="1">
      <c r="A38" s="32">
        <f>IFERROR(__xludf.DUMMYFUNCTION("""COMPUTED_VALUE"""),45232.73611111111)</f>
        <v>45232.73611</v>
      </c>
      <c r="B38" s="22">
        <f>IFERROR(__xludf.DUMMYFUNCTION("""COMPUTED_VALUE"""),93.27)</f>
        <v>93.27</v>
      </c>
      <c r="C38" s="32">
        <f>IFERROR(__xludf.DUMMYFUNCTION("""COMPUTED_VALUE"""),45233.726388888885)</f>
        <v>45233.72639</v>
      </c>
      <c r="D38" s="22">
        <f>IFERROR(__xludf.DUMMYFUNCTION("""COMPUTED_VALUE"""),5.05)</f>
        <v>5.05</v>
      </c>
      <c r="E38" s="32">
        <f>IFERROR(__xludf.DUMMYFUNCTION("""COMPUTED_VALUE"""),45232.73611111111)</f>
        <v>45232.73611</v>
      </c>
      <c r="F38" s="22">
        <f>IFERROR(__xludf.DUMMYFUNCTION("""COMPUTED_VALUE"""),94.34)</f>
        <v>94.34</v>
      </c>
      <c r="G38" s="32">
        <f>IFERROR(__xludf.DUMMYFUNCTION("""COMPUTED_VALUE"""),45231.726388888885)</f>
        <v>45231.72639</v>
      </c>
      <c r="H38" s="22">
        <f>IFERROR(__xludf.DUMMYFUNCTION("""COMPUTED_VALUE"""),5.04)</f>
        <v>5.04</v>
      </c>
      <c r="I38" s="32">
        <f>IFERROR(__xludf.DUMMYFUNCTION("""COMPUTED_VALUE"""),45231.726388888885)</f>
        <v>45231.72639</v>
      </c>
      <c r="J38" s="31">
        <f>IFERROR(__xludf.DUMMYFUNCTION("""COMPUTED_VALUE"""),5.04)</f>
        <v>5.04</v>
      </c>
      <c r="K38" s="32">
        <f>IFERROR(__xludf.DUMMYFUNCTION("""COMPUTED_VALUE"""),45233.73611111111)</f>
        <v>45233.73611</v>
      </c>
      <c r="L38" s="22">
        <f>IFERROR(__xludf.DUMMYFUNCTION("""COMPUTED_VALUE"""),93.57)</f>
        <v>93.57</v>
      </c>
      <c r="M38" s="32">
        <f>IFERROR(__xludf.DUMMYFUNCTION("""COMPUTED_VALUE"""),45231.726388888885)</f>
        <v>45231.72639</v>
      </c>
      <c r="N38" s="22">
        <f>IFERROR(__xludf.DUMMYFUNCTION("""COMPUTED_VALUE"""),5.03)</f>
        <v>5.03</v>
      </c>
      <c r="O38" s="32">
        <f>IFERROR(__xludf.DUMMYFUNCTION("""COMPUTED_VALUE"""),45231.6875)</f>
        <v>45231.6875</v>
      </c>
      <c r="P38" s="22">
        <f>IFERROR(__xludf.DUMMYFUNCTION("""COMPUTED_VALUE"""),440.65)</f>
        <v>440.65</v>
      </c>
      <c r="Q38" s="32">
        <f>IFERROR(__xludf.DUMMYFUNCTION("""COMPUTED_VALUE"""),45231.66666666667)</f>
        <v>45231.66667</v>
      </c>
      <c r="R38" s="22">
        <f>IFERROR(__xludf.DUMMYFUNCTION("""COMPUTED_VALUE"""),21.55)</f>
        <v>21.55</v>
      </c>
      <c r="S38" s="32">
        <f>IFERROR(__xludf.DUMMYFUNCTION("""COMPUTED_VALUE"""),45231.6875)</f>
        <v>45231.6875</v>
      </c>
      <c r="T38" s="22">
        <f>IFERROR(__xludf.DUMMYFUNCTION("""COMPUTED_VALUE"""),5.88)</f>
        <v>5.88</v>
      </c>
      <c r="U38" s="32">
        <f>IFERROR(__xludf.DUMMYFUNCTION("""COMPUTED_VALUE"""),45217.99861111111)</f>
        <v>45217.99861</v>
      </c>
      <c r="V38" s="31">
        <f>IFERROR(__xludf.DUMMYFUNCTION("""COMPUTED_VALUE"""),1.05379)</f>
        <v>1.05379</v>
      </c>
    </row>
    <row r="39" ht="15.75" customHeight="1">
      <c r="A39" s="32">
        <f>IFERROR(__xludf.DUMMYFUNCTION("""COMPUTED_VALUE"""),45233.73611111111)</f>
        <v>45233.73611</v>
      </c>
      <c r="B39" s="22">
        <f>IFERROR(__xludf.DUMMYFUNCTION("""COMPUTED_VALUE"""),92.87)</f>
        <v>92.87</v>
      </c>
      <c r="C39" s="32">
        <f>IFERROR(__xludf.DUMMYFUNCTION("""COMPUTED_VALUE"""),45236.726388888885)</f>
        <v>45236.72639</v>
      </c>
      <c r="D39" s="22">
        <f>IFERROR(__xludf.DUMMYFUNCTION("""COMPUTED_VALUE"""),5.04)</f>
        <v>5.04</v>
      </c>
      <c r="E39" s="32">
        <f>IFERROR(__xludf.DUMMYFUNCTION("""COMPUTED_VALUE"""),45233.73611111111)</f>
        <v>45233.73611</v>
      </c>
      <c r="F39" s="22">
        <f>IFERROR(__xludf.DUMMYFUNCTION("""COMPUTED_VALUE"""),93.58)</f>
        <v>93.58</v>
      </c>
      <c r="G39" s="32">
        <f>IFERROR(__xludf.DUMMYFUNCTION("""COMPUTED_VALUE"""),45232.726388888885)</f>
        <v>45232.72639</v>
      </c>
      <c r="H39" s="22">
        <f>IFERROR(__xludf.DUMMYFUNCTION("""COMPUTED_VALUE"""),5.04)</f>
        <v>5.04</v>
      </c>
      <c r="I39" s="32">
        <f>IFERROR(__xludf.DUMMYFUNCTION("""COMPUTED_VALUE"""),45232.726388888885)</f>
        <v>45232.72639</v>
      </c>
      <c r="J39" s="31">
        <f>IFERROR(__xludf.DUMMYFUNCTION("""COMPUTED_VALUE"""),5.04)</f>
        <v>5.04</v>
      </c>
      <c r="K39" s="32">
        <f>IFERROR(__xludf.DUMMYFUNCTION("""COMPUTED_VALUE"""),45236.73611111111)</f>
        <v>45236.73611</v>
      </c>
      <c r="L39" s="22">
        <f>IFERROR(__xludf.DUMMYFUNCTION("""COMPUTED_VALUE"""),93.31)</f>
        <v>93.31</v>
      </c>
      <c r="M39" s="32">
        <f>IFERROR(__xludf.DUMMYFUNCTION("""COMPUTED_VALUE"""),45232.726388888885)</f>
        <v>45232.72639</v>
      </c>
      <c r="N39" s="22">
        <f>IFERROR(__xludf.DUMMYFUNCTION("""COMPUTED_VALUE"""),5.05)</f>
        <v>5.05</v>
      </c>
      <c r="O39" s="32">
        <f>IFERROR(__xludf.DUMMYFUNCTION("""COMPUTED_VALUE"""),45232.6875)</f>
        <v>45232.6875</v>
      </c>
      <c r="P39" s="22">
        <f>IFERROR(__xludf.DUMMYFUNCTION("""COMPUTED_VALUE"""),450.05)</f>
        <v>450.05</v>
      </c>
      <c r="Q39" s="32">
        <f>IFERROR(__xludf.DUMMYFUNCTION("""COMPUTED_VALUE"""),45232.66666666667)</f>
        <v>45232.66667</v>
      </c>
      <c r="R39" s="22">
        <f>IFERROR(__xludf.DUMMYFUNCTION("""COMPUTED_VALUE"""),21.84)</f>
        <v>21.84</v>
      </c>
      <c r="S39" s="32">
        <f>IFERROR(__xludf.DUMMYFUNCTION("""COMPUTED_VALUE"""),45232.6875)</f>
        <v>45232.6875</v>
      </c>
      <c r="T39" s="22">
        <f>IFERROR(__xludf.DUMMYFUNCTION("""COMPUTED_VALUE"""),5.96)</f>
        <v>5.96</v>
      </c>
      <c r="U39" s="32">
        <f>IFERROR(__xludf.DUMMYFUNCTION("""COMPUTED_VALUE"""),45218.99861111111)</f>
        <v>45218.99861</v>
      </c>
      <c r="V39" s="31">
        <f>IFERROR(__xludf.DUMMYFUNCTION("""COMPUTED_VALUE"""),1.05848)</f>
        <v>1.05848</v>
      </c>
    </row>
    <row r="40" ht="15.75" customHeight="1">
      <c r="A40" s="32">
        <f>IFERROR(__xludf.DUMMYFUNCTION("""COMPUTED_VALUE"""),45236.73611111111)</f>
        <v>45236.73611</v>
      </c>
      <c r="B40" s="22">
        <f>IFERROR(__xludf.DUMMYFUNCTION("""COMPUTED_VALUE"""),92.37)</f>
        <v>92.37</v>
      </c>
      <c r="C40" s="32">
        <f>IFERROR(__xludf.DUMMYFUNCTION("""COMPUTED_VALUE"""),45237.726388888885)</f>
        <v>45237.72639</v>
      </c>
      <c r="D40" s="22">
        <f>IFERROR(__xludf.DUMMYFUNCTION("""COMPUTED_VALUE"""),5.04)</f>
        <v>5.04</v>
      </c>
      <c r="E40" s="32">
        <f>IFERROR(__xludf.DUMMYFUNCTION("""COMPUTED_VALUE"""),45236.73611111111)</f>
        <v>45236.73611</v>
      </c>
      <c r="F40" s="22">
        <f>IFERROR(__xludf.DUMMYFUNCTION("""COMPUTED_VALUE"""),93.34)</f>
        <v>93.34</v>
      </c>
      <c r="G40" s="32">
        <f>IFERROR(__xludf.DUMMYFUNCTION("""COMPUTED_VALUE"""),45233.726388888885)</f>
        <v>45233.72639</v>
      </c>
      <c r="H40" s="22">
        <f>IFERROR(__xludf.DUMMYFUNCTION("""COMPUTED_VALUE"""),5.04)</f>
        <v>5.04</v>
      </c>
      <c r="I40" s="32">
        <f>IFERROR(__xludf.DUMMYFUNCTION("""COMPUTED_VALUE"""),45233.726388888885)</f>
        <v>45233.72639</v>
      </c>
      <c r="J40" s="31">
        <f>IFERROR(__xludf.DUMMYFUNCTION("""COMPUTED_VALUE"""),5.05)</f>
        <v>5.05</v>
      </c>
      <c r="K40" s="32">
        <f>IFERROR(__xludf.DUMMYFUNCTION("""COMPUTED_VALUE"""),45237.73611111111)</f>
        <v>45237.73611</v>
      </c>
      <c r="L40" s="22">
        <f>IFERROR(__xludf.DUMMYFUNCTION("""COMPUTED_VALUE"""),93.81)</f>
        <v>93.81</v>
      </c>
      <c r="M40" s="32">
        <f>IFERROR(__xludf.DUMMYFUNCTION("""COMPUTED_VALUE"""),45233.726388888885)</f>
        <v>45233.72639</v>
      </c>
      <c r="N40" s="22">
        <f>IFERROR(__xludf.DUMMYFUNCTION("""COMPUTED_VALUE"""),5.06)</f>
        <v>5.06</v>
      </c>
      <c r="O40" s="32">
        <f>IFERROR(__xludf.DUMMYFUNCTION("""COMPUTED_VALUE"""),45233.6875)</f>
        <v>45233.6875</v>
      </c>
      <c r="P40" s="22">
        <f>IFERROR(__xludf.DUMMYFUNCTION("""COMPUTED_VALUE"""),456.94)</f>
        <v>456.94</v>
      </c>
      <c r="Q40" s="32">
        <f>IFERROR(__xludf.DUMMYFUNCTION("""COMPUTED_VALUE"""),45233.66666666667)</f>
        <v>45233.66667</v>
      </c>
      <c r="R40" s="22">
        <f>IFERROR(__xludf.DUMMYFUNCTION("""COMPUTED_VALUE"""),22.09)</f>
        <v>22.09</v>
      </c>
      <c r="S40" s="32">
        <f>IFERROR(__xludf.DUMMYFUNCTION("""COMPUTED_VALUE"""),45233.6875)</f>
        <v>45233.6875</v>
      </c>
      <c r="T40" s="22">
        <f>IFERROR(__xludf.DUMMYFUNCTION("""COMPUTED_VALUE"""),6.02)</f>
        <v>6.02</v>
      </c>
      <c r="U40" s="32">
        <f>IFERROR(__xludf.DUMMYFUNCTION("""COMPUTED_VALUE"""),45219.99861111111)</f>
        <v>45219.99861</v>
      </c>
      <c r="V40" s="31">
        <f>IFERROR(__xludf.DUMMYFUNCTION("""COMPUTED_VALUE"""),1.0603)</f>
        <v>1.0603</v>
      </c>
    </row>
    <row r="41" ht="15.75" customHeight="1">
      <c r="A41" s="32">
        <f>IFERROR(__xludf.DUMMYFUNCTION("""COMPUTED_VALUE"""),45237.73611111111)</f>
        <v>45237.73611</v>
      </c>
      <c r="B41" s="22">
        <f>IFERROR(__xludf.DUMMYFUNCTION("""COMPUTED_VALUE"""),92.96)</f>
        <v>92.96</v>
      </c>
      <c r="C41" s="32">
        <f>IFERROR(__xludf.DUMMYFUNCTION("""COMPUTED_VALUE"""),45238.726388888885)</f>
        <v>45238.72639</v>
      </c>
      <c r="D41" s="22">
        <f>IFERROR(__xludf.DUMMYFUNCTION("""COMPUTED_VALUE"""),5.05)</f>
        <v>5.05</v>
      </c>
      <c r="E41" s="32">
        <f>IFERROR(__xludf.DUMMYFUNCTION("""COMPUTED_VALUE"""),45237.73611111111)</f>
        <v>45237.73611</v>
      </c>
      <c r="F41" s="22">
        <f>IFERROR(__xludf.DUMMYFUNCTION("""COMPUTED_VALUE"""),93.82)</f>
        <v>93.82</v>
      </c>
      <c r="G41" s="32">
        <f>IFERROR(__xludf.DUMMYFUNCTION("""COMPUTED_VALUE"""),45236.726388888885)</f>
        <v>45236.72639</v>
      </c>
      <c r="H41" s="22">
        <f>IFERROR(__xludf.DUMMYFUNCTION("""COMPUTED_VALUE"""),5.04)</f>
        <v>5.04</v>
      </c>
      <c r="I41" s="32">
        <f>IFERROR(__xludf.DUMMYFUNCTION("""COMPUTED_VALUE"""),45236.726388888885)</f>
        <v>45236.72639</v>
      </c>
      <c r="J41" s="31">
        <f>IFERROR(__xludf.DUMMYFUNCTION("""COMPUTED_VALUE"""),5.04)</f>
        <v>5.04</v>
      </c>
      <c r="K41" s="32">
        <f>IFERROR(__xludf.DUMMYFUNCTION("""COMPUTED_VALUE"""),45238.73611111111)</f>
        <v>45238.73611</v>
      </c>
      <c r="L41" s="22">
        <f>IFERROR(__xludf.DUMMYFUNCTION("""COMPUTED_VALUE"""),93.79)</f>
        <v>93.79</v>
      </c>
      <c r="M41" s="32">
        <f>IFERROR(__xludf.DUMMYFUNCTION("""COMPUTED_VALUE"""),45236.726388888885)</f>
        <v>45236.72639</v>
      </c>
      <c r="N41" s="22">
        <f>IFERROR(__xludf.DUMMYFUNCTION("""COMPUTED_VALUE"""),5.04)</f>
        <v>5.04</v>
      </c>
      <c r="O41" s="32">
        <f>IFERROR(__xludf.DUMMYFUNCTION("""COMPUTED_VALUE"""),45236.6875)</f>
        <v>45236.6875</v>
      </c>
      <c r="P41" s="22">
        <f>IFERROR(__xludf.DUMMYFUNCTION("""COMPUTED_VALUE"""),456.62)</f>
        <v>456.62</v>
      </c>
      <c r="Q41" s="32">
        <f>IFERROR(__xludf.DUMMYFUNCTION("""COMPUTED_VALUE"""),45236.66666666667)</f>
        <v>45236.66667</v>
      </c>
      <c r="R41" s="22">
        <f>IFERROR(__xludf.DUMMYFUNCTION("""COMPUTED_VALUE"""),22.1)</f>
        <v>22.1</v>
      </c>
      <c r="S41" s="32">
        <f>IFERROR(__xludf.DUMMYFUNCTION("""COMPUTED_VALUE"""),45236.6875)</f>
        <v>45236.6875</v>
      </c>
      <c r="T41" s="22">
        <f>IFERROR(__xludf.DUMMYFUNCTION("""COMPUTED_VALUE"""),6.03)</f>
        <v>6.03</v>
      </c>
      <c r="U41" s="32">
        <f>IFERROR(__xludf.DUMMYFUNCTION("""COMPUTED_VALUE"""),45220.99861111111)</f>
        <v>45220.99861</v>
      </c>
      <c r="V41" s="31">
        <f>IFERROR(__xludf.DUMMYFUNCTION("""COMPUTED_VALUE"""),1.0603)</f>
        <v>1.0603</v>
      </c>
    </row>
    <row r="42" ht="15.75" customHeight="1">
      <c r="A42" s="32">
        <f>IFERROR(__xludf.DUMMYFUNCTION("""COMPUTED_VALUE"""),45238.73611111111)</f>
        <v>45238.73611</v>
      </c>
      <c r="B42" s="22">
        <f>IFERROR(__xludf.DUMMYFUNCTION("""COMPUTED_VALUE"""),92.93)</f>
        <v>92.93</v>
      </c>
      <c r="C42" s="32">
        <f>IFERROR(__xludf.DUMMYFUNCTION("""COMPUTED_VALUE"""),45239.726388888885)</f>
        <v>45239.72639</v>
      </c>
      <c r="D42" s="22">
        <f>IFERROR(__xludf.DUMMYFUNCTION("""COMPUTED_VALUE"""),5.05)</f>
        <v>5.05</v>
      </c>
      <c r="E42" s="32">
        <f>IFERROR(__xludf.DUMMYFUNCTION("""COMPUTED_VALUE"""),45238.73611111111)</f>
        <v>45238.73611</v>
      </c>
      <c r="F42" s="22">
        <f>IFERROR(__xludf.DUMMYFUNCTION("""COMPUTED_VALUE"""),93.79)</f>
        <v>93.79</v>
      </c>
      <c r="G42" s="32">
        <f>IFERROR(__xludf.DUMMYFUNCTION("""COMPUTED_VALUE"""),45237.726388888885)</f>
        <v>45237.72639</v>
      </c>
      <c r="H42" s="22">
        <f>IFERROR(__xludf.DUMMYFUNCTION("""COMPUTED_VALUE"""),5.04)</f>
        <v>5.04</v>
      </c>
      <c r="I42" s="32">
        <f>IFERROR(__xludf.DUMMYFUNCTION("""COMPUTED_VALUE"""),45237.726388888885)</f>
        <v>45237.72639</v>
      </c>
      <c r="J42" s="31">
        <f>IFERROR(__xludf.DUMMYFUNCTION("""COMPUTED_VALUE"""),5.04)</f>
        <v>5.04</v>
      </c>
      <c r="K42" s="32">
        <f>IFERROR(__xludf.DUMMYFUNCTION("""COMPUTED_VALUE"""),45239.73611111111)</f>
        <v>45239.73611</v>
      </c>
      <c r="L42" s="22">
        <f>IFERROR(__xludf.DUMMYFUNCTION("""COMPUTED_VALUE"""),93.59)</f>
        <v>93.59</v>
      </c>
      <c r="M42" s="32">
        <f>IFERROR(__xludf.DUMMYFUNCTION("""COMPUTED_VALUE"""),45237.726388888885)</f>
        <v>45237.72639</v>
      </c>
      <c r="N42" s="22">
        <f>IFERROR(__xludf.DUMMYFUNCTION("""COMPUTED_VALUE"""),5.04)</f>
        <v>5.04</v>
      </c>
      <c r="O42" s="32">
        <f>IFERROR(__xludf.DUMMYFUNCTION("""COMPUTED_VALUE"""),45237.6875)</f>
        <v>45237.6875</v>
      </c>
      <c r="P42" s="22">
        <f>IFERROR(__xludf.DUMMYFUNCTION("""COMPUTED_VALUE"""),458.62)</f>
        <v>458.62</v>
      </c>
      <c r="Q42" s="32">
        <f>IFERROR(__xludf.DUMMYFUNCTION("""COMPUTED_VALUE"""),45237.66666666667)</f>
        <v>45237.66667</v>
      </c>
      <c r="R42" s="22">
        <f>IFERROR(__xludf.DUMMYFUNCTION("""COMPUTED_VALUE"""),22.05)</f>
        <v>22.05</v>
      </c>
      <c r="S42" s="32">
        <f>IFERROR(__xludf.DUMMYFUNCTION("""COMPUTED_VALUE"""),45237.6875)</f>
        <v>45237.6875</v>
      </c>
      <c r="T42" s="22">
        <f>IFERROR(__xludf.DUMMYFUNCTION("""COMPUTED_VALUE"""),6.0)</f>
        <v>6</v>
      </c>
      <c r="U42" s="32">
        <f>IFERROR(__xludf.DUMMYFUNCTION("""COMPUTED_VALUE"""),45221.99861111111)</f>
        <v>45221.99861</v>
      </c>
      <c r="V42" s="31">
        <f>IFERROR(__xludf.DUMMYFUNCTION("""COMPUTED_VALUE"""),1.059)</f>
        <v>1.059</v>
      </c>
    </row>
    <row r="43" ht="15.75" customHeight="1">
      <c r="A43" s="32">
        <f>IFERROR(__xludf.DUMMYFUNCTION("""COMPUTED_VALUE"""),45239.73611111111)</f>
        <v>45239.73611</v>
      </c>
      <c r="B43" s="22">
        <f>IFERROR(__xludf.DUMMYFUNCTION("""COMPUTED_VALUE"""),92.65)</f>
        <v>92.65</v>
      </c>
      <c r="C43" s="32">
        <f>IFERROR(__xludf.DUMMYFUNCTION("""COMPUTED_VALUE"""),45240.726388888885)</f>
        <v>45240.72639</v>
      </c>
      <c r="D43" s="22">
        <f>IFERROR(__xludf.DUMMYFUNCTION("""COMPUTED_VALUE"""),5.04)</f>
        <v>5.04</v>
      </c>
      <c r="E43" s="32">
        <f>IFERROR(__xludf.DUMMYFUNCTION("""COMPUTED_VALUE"""),45239.73611111111)</f>
        <v>45239.73611</v>
      </c>
      <c r="F43" s="22">
        <f>IFERROR(__xludf.DUMMYFUNCTION("""COMPUTED_VALUE"""),93.58)</f>
        <v>93.58</v>
      </c>
      <c r="G43" s="32">
        <f>IFERROR(__xludf.DUMMYFUNCTION("""COMPUTED_VALUE"""),45238.726388888885)</f>
        <v>45238.72639</v>
      </c>
      <c r="H43" s="22">
        <f>IFERROR(__xludf.DUMMYFUNCTION("""COMPUTED_VALUE"""),5.04)</f>
        <v>5.04</v>
      </c>
      <c r="I43" s="32">
        <f>IFERROR(__xludf.DUMMYFUNCTION("""COMPUTED_VALUE"""),45238.726388888885)</f>
        <v>45238.72639</v>
      </c>
      <c r="J43" s="31">
        <f>IFERROR(__xludf.DUMMYFUNCTION("""COMPUTED_VALUE"""),5.04)</f>
        <v>5.04</v>
      </c>
      <c r="K43" s="32">
        <f>IFERROR(__xludf.DUMMYFUNCTION("""COMPUTED_VALUE"""),45240.73611111111)</f>
        <v>45240.73611</v>
      </c>
      <c r="L43" s="22">
        <f>IFERROR(__xludf.DUMMYFUNCTION("""COMPUTED_VALUE"""),93.86)</f>
        <v>93.86</v>
      </c>
      <c r="M43" s="32">
        <f>IFERROR(__xludf.DUMMYFUNCTION("""COMPUTED_VALUE"""),45238.726388888885)</f>
        <v>45238.72639</v>
      </c>
      <c r="N43" s="22">
        <f>IFERROR(__xludf.DUMMYFUNCTION("""COMPUTED_VALUE"""),5.05)</f>
        <v>5.05</v>
      </c>
      <c r="O43" s="32">
        <f>IFERROR(__xludf.DUMMYFUNCTION("""COMPUTED_VALUE"""),45238.6875)</f>
        <v>45238.6875</v>
      </c>
      <c r="P43" s="22">
        <f>IFERROR(__xludf.DUMMYFUNCTION("""COMPUTED_VALUE"""),457.92)</f>
        <v>457.92</v>
      </c>
      <c r="Q43" s="32">
        <f>IFERROR(__xludf.DUMMYFUNCTION("""COMPUTED_VALUE"""),45238.66666666667)</f>
        <v>45238.66667</v>
      </c>
      <c r="R43" s="22">
        <f>IFERROR(__xludf.DUMMYFUNCTION("""COMPUTED_VALUE"""),22.04)</f>
        <v>22.04</v>
      </c>
      <c r="S43" s="32">
        <f>IFERROR(__xludf.DUMMYFUNCTION("""COMPUTED_VALUE"""),45238.6875)</f>
        <v>45238.6875</v>
      </c>
      <c r="T43" s="22">
        <f>IFERROR(__xludf.DUMMYFUNCTION("""COMPUTED_VALUE"""),6.01)</f>
        <v>6.01</v>
      </c>
      <c r="U43" s="32">
        <f>IFERROR(__xludf.DUMMYFUNCTION("""COMPUTED_VALUE"""),45222.99861111111)</f>
        <v>45222.99861</v>
      </c>
      <c r="V43" s="31">
        <f>IFERROR(__xludf.DUMMYFUNCTION("""COMPUTED_VALUE"""),1.06692)</f>
        <v>1.06692</v>
      </c>
    </row>
    <row r="44" ht="15.75" customHeight="1">
      <c r="A44" s="32">
        <f>IFERROR(__xludf.DUMMYFUNCTION("""COMPUTED_VALUE"""),45240.73611111111)</f>
        <v>45240.73611</v>
      </c>
      <c r="B44" s="22">
        <f>IFERROR(__xludf.DUMMYFUNCTION("""COMPUTED_VALUE"""),92.97)</f>
        <v>92.97</v>
      </c>
      <c r="C44" s="32">
        <f>IFERROR(__xludf.DUMMYFUNCTION("""COMPUTED_VALUE"""),45243.726388888885)</f>
        <v>45243.72639</v>
      </c>
      <c r="D44" s="22">
        <f>IFERROR(__xludf.DUMMYFUNCTION("""COMPUTED_VALUE"""),5.04)</f>
        <v>5.04</v>
      </c>
      <c r="E44" s="32">
        <f>IFERROR(__xludf.DUMMYFUNCTION("""COMPUTED_VALUE"""),45240.73611111111)</f>
        <v>45240.73611</v>
      </c>
      <c r="F44" s="22">
        <f>IFERROR(__xludf.DUMMYFUNCTION("""COMPUTED_VALUE"""),93.87)</f>
        <v>93.87</v>
      </c>
      <c r="G44" s="32">
        <f>IFERROR(__xludf.DUMMYFUNCTION("""COMPUTED_VALUE"""),45239.726388888885)</f>
        <v>45239.72639</v>
      </c>
      <c r="H44" s="22">
        <f>IFERROR(__xludf.DUMMYFUNCTION("""COMPUTED_VALUE"""),5.04)</f>
        <v>5.04</v>
      </c>
      <c r="I44" s="32">
        <f>IFERROR(__xludf.DUMMYFUNCTION("""COMPUTED_VALUE"""),45239.726388888885)</f>
        <v>45239.72639</v>
      </c>
      <c r="J44" s="31">
        <f>IFERROR(__xludf.DUMMYFUNCTION("""COMPUTED_VALUE"""),5.05)</f>
        <v>5.05</v>
      </c>
      <c r="K44" s="32">
        <f>IFERROR(__xludf.DUMMYFUNCTION("""COMPUTED_VALUE"""),45243.73611111111)</f>
        <v>45243.73611</v>
      </c>
      <c r="L44" s="22">
        <f>IFERROR(__xludf.DUMMYFUNCTION("""COMPUTED_VALUE"""),93.6)</f>
        <v>93.6</v>
      </c>
      <c r="M44" s="32">
        <f>IFERROR(__xludf.DUMMYFUNCTION("""COMPUTED_VALUE"""),45239.726388888885)</f>
        <v>45239.72639</v>
      </c>
      <c r="N44" s="22">
        <f>IFERROR(__xludf.DUMMYFUNCTION("""COMPUTED_VALUE"""),5.06)</f>
        <v>5.06</v>
      </c>
      <c r="O44" s="32">
        <f>IFERROR(__xludf.DUMMYFUNCTION("""COMPUTED_VALUE"""),45239.6875)</f>
        <v>45239.6875</v>
      </c>
      <c r="P44" s="22">
        <f>IFERROR(__xludf.DUMMYFUNCTION("""COMPUTED_VALUE"""),459.04)</f>
        <v>459.04</v>
      </c>
      <c r="Q44" s="32">
        <f>IFERROR(__xludf.DUMMYFUNCTION("""COMPUTED_VALUE"""),45239.66666666667)</f>
        <v>45239.66667</v>
      </c>
      <c r="R44" s="22">
        <f>IFERROR(__xludf.DUMMYFUNCTION("""COMPUTED_VALUE"""),21.97)</f>
        <v>21.97</v>
      </c>
      <c r="S44" s="32">
        <f>IFERROR(__xludf.DUMMYFUNCTION("""COMPUTED_VALUE"""),45239.6875)</f>
        <v>45239.6875</v>
      </c>
      <c r="T44" s="22">
        <f>IFERROR(__xludf.DUMMYFUNCTION("""COMPUTED_VALUE"""),6.0)</f>
        <v>6</v>
      </c>
      <c r="U44" s="32">
        <f>IFERROR(__xludf.DUMMYFUNCTION("""COMPUTED_VALUE"""),45223.99861111111)</f>
        <v>45223.99861</v>
      </c>
      <c r="V44" s="31">
        <f>IFERROR(__xludf.DUMMYFUNCTION("""COMPUTED_VALUE"""),1.05948)</f>
        <v>1.05948</v>
      </c>
    </row>
    <row r="45" ht="15.75" customHeight="1">
      <c r="A45" s="32">
        <f>IFERROR(__xludf.DUMMYFUNCTION("""COMPUTED_VALUE"""),45243.73611111111)</f>
        <v>45243.73611</v>
      </c>
      <c r="B45" s="22">
        <f>IFERROR(__xludf.DUMMYFUNCTION("""COMPUTED_VALUE"""),92.65)</f>
        <v>92.65</v>
      </c>
      <c r="C45" s="32">
        <f>IFERROR(__xludf.DUMMYFUNCTION("""COMPUTED_VALUE"""),45244.726388888885)</f>
        <v>45244.72639</v>
      </c>
      <c r="D45" s="22">
        <f>IFERROR(__xludf.DUMMYFUNCTION("""COMPUTED_VALUE"""),5.07)</f>
        <v>5.07</v>
      </c>
      <c r="E45" s="32">
        <f>IFERROR(__xludf.DUMMYFUNCTION("""COMPUTED_VALUE"""),45243.73611111111)</f>
        <v>45243.73611</v>
      </c>
      <c r="F45" s="22">
        <f>IFERROR(__xludf.DUMMYFUNCTION("""COMPUTED_VALUE"""),93.62)</f>
        <v>93.62</v>
      </c>
      <c r="G45" s="32">
        <f>IFERROR(__xludf.DUMMYFUNCTION("""COMPUTED_VALUE"""),45240.726388888885)</f>
        <v>45240.72639</v>
      </c>
      <c r="H45" s="22">
        <f>IFERROR(__xludf.DUMMYFUNCTION("""COMPUTED_VALUE"""),5.04)</f>
        <v>5.04</v>
      </c>
      <c r="I45" s="32">
        <f>IFERROR(__xludf.DUMMYFUNCTION("""COMPUTED_VALUE"""),45240.726388888885)</f>
        <v>45240.72639</v>
      </c>
      <c r="J45" s="31">
        <f>IFERROR(__xludf.DUMMYFUNCTION("""COMPUTED_VALUE"""),5.04)</f>
        <v>5.04</v>
      </c>
      <c r="K45" s="32">
        <f>IFERROR(__xludf.DUMMYFUNCTION("""COMPUTED_VALUE"""),45244.73611111111)</f>
        <v>45244.73611</v>
      </c>
      <c r="L45" s="22">
        <f>IFERROR(__xludf.DUMMYFUNCTION("""COMPUTED_VALUE"""),92.91)</f>
        <v>92.91</v>
      </c>
      <c r="M45" s="32">
        <f>IFERROR(__xludf.DUMMYFUNCTION("""COMPUTED_VALUE"""),45240.726388888885)</f>
        <v>45240.72639</v>
      </c>
      <c r="N45" s="22">
        <f>IFERROR(__xludf.DUMMYFUNCTION("""COMPUTED_VALUE"""),5.04)</f>
        <v>5.04</v>
      </c>
      <c r="O45" s="32">
        <f>IFERROR(__xludf.DUMMYFUNCTION("""COMPUTED_VALUE"""),45240.6875)</f>
        <v>45240.6875</v>
      </c>
      <c r="P45" s="22">
        <f>IFERROR(__xludf.DUMMYFUNCTION("""COMPUTED_VALUE"""),457.81)</f>
        <v>457.81</v>
      </c>
      <c r="Q45" s="32">
        <f>IFERROR(__xludf.DUMMYFUNCTION("""COMPUTED_VALUE"""),45240.66666666667)</f>
        <v>45240.66667</v>
      </c>
      <c r="R45" s="22">
        <f>IFERROR(__xludf.DUMMYFUNCTION("""COMPUTED_VALUE"""),21.99)</f>
        <v>21.99</v>
      </c>
      <c r="S45" s="32">
        <f>IFERROR(__xludf.DUMMYFUNCTION("""COMPUTED_VALUE"""),45240.6875)</f>
        <v>45240.6875</v>
      </c>
      <c r="T45" s="22">
        <f>IFERROR(__xludf.DUMMYFUNCTION("""COMPUTED_VALUE"""),5.99)</f>
        <v>5.99</v>
      </c>
      <c r="U45" s="32">
        <f>IFERROR(__xludf.DUMMYFUNCTION("""COMPUTED_VALUE"""),45224.99861111111)</f>
        <v>45224.99861</v>
      </c>
      <c r="V45" s="31">
        <f>IFERROR(__xludf.DUMMYFUNCTION("""COMPUTED_VALUE"""),1.05666)</f>
        <v>1.05666</v>
      </c>
    </row>
    <row r="46" ht="15.75" customHeight="1">
      <c r="A46" s="32">
        <f>IFERROR(__xludf.DUMMYFUNCTION("""COMPUTED_VALUE"""),45244.73611111111)</f>
        <v>45244.73611</v>
      </c>
      <c r="B46" s="22">
        <f>IFERROR(__xludf.DUMMYFUNCTION("""COMPUTED_VALUE"""),92.23)</f>
        <v>92.23</v>
      </c>
      <c r="C46" s="32">
        <f>IFERROR(__xludf.DUMMYFUNCTION("""COMPUTED_VALUE"""),45245.726388888885)</f>
        <v>45245.72639</v>
      </c>
      <c r="D46" s="22">
        <f>IFERROR(__xludf.DUMMYFUNCTION("""COMPUTED_VALUE"""),5.06)</f>
        <v>5.06</v>
      </c>
      <c r="E46" s="32">
        <f>IFERROR(__xludf.DUMMYFUNCTION("""COMPUTED_VALUE"""),45244.73611111111)</f>
        <v>45244.73611</v>
      </c>
      <c r="F46" s="22">
        <f>IFERROR(__xludf.DUMMYFUNCTION("""COMPUTED_VALUE"""),92.91)</f>
        <v>92.91</v>
      </c>
      <c r="G46" s="32">
        <f>IFERROR(__xludf.DUMMYFUNCTION("""COMPUTED_VALUE"""),45243.726388888885)</f>
        <v>45243.72639</v>
      </c>
      <c r="H46" s="22">
        <f>IFERROR(__xludf.DUMMYFUNCTION("""COMPUTED_VALUE"""),5.05)</f>
        <v>5.05</v>
      </c>
      <c r="I46" s="32">
        <f>IFERROR(__xludf.DUMMYFUNCTION("""COMPUTED_VALUE"""),45243.726388888885)</f>
        <v>45243.72639</v>
      </c>
      <c r="J46" s="31">
        <f>IFERROR(__xludf.DUMMYFUNCTION("""COMPUTED_VALUE"""),5.04)</f>
        <v>5.04</v>
      </c>
      <c r="K46" s="32">
        <f>IFERROR(__xludf.DUMMYFUNCTION("""COMPUTED_VALUE"""),45245.73611111111)</f>
        <v>45245.73611</v>
      </c>
      <c r="L46" s="22">
        <f>IFERROR(__xludf.DUMMYFUNCTION("""COMPUTED_VALUE"""),92.71)</f>
        <v>92.71</v>
      </c>
      <c r="M46" s="32">
        <f>IFERROR(__xludf.DUMMYFUNCTION("""COMPUTED_VALUE"""),45243.726388888885)</f>
        <v>45243.72639</v>
      </c>
      <c r="N46" s="22">
        <f>IFERROR(__xludf.DUMMYFUNCTION("""COMPUTED_VALUE"""),5.04)</f>
        <v>5.04</v>
      </c>
      <c r="O46" s="32">
        <f>IFERROR(__xludf.DUMMYFUNCTION("""COMPUTED_VALUE"""),45243.6875)</f>
        <v>45243.6875</v>
      </c>
      <c r="P46" s="22">
        <f>IFERROR(__xludf.DUMMYFUNCTION("""COMPUTED_VALUE"""),462.01)</f>
        <v>462.01</v>
      </c>
      <c r="Q46" s="32">
        <f>IFERROR(__xludf.DUMMYFUNCTION("""COMPUTED_VALUE"""),45243.66666666667)</f>
        <v>45243.66667</v>
      </c>
      <c r="R46" s="22">
        <f>IFERROR(__xludf.DUMMYFUNCTION("""COMPUTED_VALUE"""),21.95)</f>
        <v>21.95</v>
      </c>
      <c r="S46" s="32">
        <f>IFERROR(__xludf.DUMMYFUNCTION("""COMPUTED_VALUE"""),45243.6875)</f>
        <v>45243.6875</v>
      </c>
      <c r="T46" s="22">
        <f>IFERROR(__xludf.DUMMYFUNCTION("""COMPUTED_VALUE"""),6.0)</f>
        <v>6</v>
      </c>
      <c r="U46" s="32">
        <f>IFERROR(__xludf.DUMMYFUNCTION("""COMPUTED_VALUE"""),45225.99861111111)</f>
        <v>45225.99861</v>
      </c>
      <c r="V46" s="31">
        <f>IFERROR(__xludf.DUMMYFUNCTION("""COMPUTED_VALUE"""),1.0564)</f>
        <v>1.0564</v>
      </c>
    </row>
    <row r="47" ht="15.75" customHeight="1">
      <c r="A47" s="32">
        <f>IFERROR(__xludf.DUMMYFUNCTION("""COMPUTED_VALUE"""),45245.73611111111)</f>
        <v>45245.73611</v>
      </c>
      <c r="B47" s="22">
        <f>IFERROR(__xludf.DUMMYFUNCTION("""COMPUTED_VALUE"""),91.93)</f>
        <v>91.93</v>
      </c>
      <c r="C47" s="32">
        <f>IFERROR(__xludf.DUMMYFUNCTION("""COMPUTED_VALUE"""),45246.726388888885)</f>
        <v>45246.72639</v>
      </c>
      <c r="D47" s="22">
        <f>IFERROR(__xludf.DUMMYFUNCTION("""COMPUTED_VALUE"""),5.07)</f>
        <v>5.07</v>
      </c>
      <c r="E47" s="32">
        <f>IFERROR(__xludf.DUMMYFUNCTION("""COMPUTED_VALUE"""),45245.73611111111)</f>
        <v>45245.73611</v>
      </c>
      <c r="F47" s="22">
        <f>IFERROR(__xludf.DUMMYFUNCTION("""COMPUTED_VALUE"""),92.62)</f>
        <v>92.62</v>
      </c>
      <c r="G47" s="32">
        <f>IFERROR(__xludf.DUMMYFUNCTION("""COMPUTED_VALUE"""),45244.726388888885)</f>
        <v>45244.72639</v>
      </c>
      <c r="H47" s="22">
        <f>IFERROR(__xludf.DUMMYFUNCTION("""COMPUTED_VALUE"""),5.05)</f>
        <v>5.05</v>
      </c>
      <c r="I47" s="32">
        <f>IFERROR(__xludf.DUMMYFUNCTION("""COMPUTED_VALUE"""),45244.726388888885)</f>
        <v>45244.72639</v>
      </c>
      <c r="J47" s="31">
        <f>IFERROR(__xludf.DUMMYFUNCTION("""COMPUTED_VALUE"""),5.06)</f>
        <v>5.06</v>
      </c>
      <c r="K47" s="32">
        <f>IFERROR(__xludf.DUMMYFUNCTION("""COMPUTED_VALUE"""),45246.73611111111)</f>
        <v>45246.73611</v>
      </c>
      <c r="L47" s="22">
        <f>IFERROR(__xludf.DUMMYFUNCTION("""COMPUTED_VALUE"""),92.93)</f>
        <v>92.93</v>
      </c>
      <c r="M47" s="32">
        <f>IFERROR(__xludf.DUMMYFUNCTION("""COMPUTED_VALUE"""),45244.726388888885)</f>
        <v>45244.72639</v>
      </c>
      <c r="N47" s="22">
        <f>IFERROR(__xludf.DUMMYFUNCTION("""COMPUTED_VALUE"""),5.07)</f>
        <v>5.07</v>
      </c>
      <c r="O47" s="32">
        <f>IFERROR(__xludf.DUMMYFUNCTION("""COMPUTED_VALUE"""),45244.6875)</f>
        <v>45244.6875</v>
      </c>
      <c r="P47" s="22">
        <f>IFERROR(__xludf.DUMMYFUNCTION("""COMPUTED_VALUE"""),471.2)</f>
        <v>471.2</v>
      </c>
      <c r="Q47" s="32">
        <f>IFERROR(__xludf.DUMMYFUNCTION("""COMPUTED_VALUE"""),45244.66666666667)</f>
        <v>45244.66667</v>
      </c>
      <c r="R47" s="22">
        <f>IFERROR(__xludf.DUMMYFUNCTION("""COMPUTED_VALUE"""),22.14)</f>
        <v>22.14</v>
      </c>
      <c r="S47" s="32">
        <f>IFERROR(__xludf.DUMMYFUNCTION("""COMPUTED_VALUE"""),45244.6875)</f>
        <v>45244.6875</v>
      </c>
      <c r="T47" s="22">
        <f>IFERROR(__xludf.DUMMYFUNCTION("""COMPUTED_VALUE"""),6.06)</f>
        <v>6.06</v>
      </c>
      <c r="U47" s="32">
        <f>IFERROR(__xludf.DUMMYFUNCTION("""COMPUTED_VALUE"""),45226.99861111111)</f>
        <v>45226.99861</v>
      </c>
      <c r="V47" s="31">
        <f>IFERROR(__xludf.DUMMYFUNCTION("""COMPUTED_VALUE"""),1.0578)</f>
        <v>1.0578</v>
      </c>
    </row>
    <row r="48" ht="15.75" customHeight="1">
      <c r="A48" s="32">
        <f>IFERROR(__xludf.DUMMYFUNCTION("""COMPUTED_VALUE"""),45246.73611111111)</f>
        <v>45246.73611</v>
      </c>
      <c r="B48" s="22">
        <f>IFERROR(__xludf.DUMMYFUNCTION("""COMPUTED_VALUE"""),92.19)</f>
        <v>92.19</v>
      </c>
      <c r="C48" s="32">
        <f>IFERROR(__xludf.DUMMYFUNCTION("""COMPUTED_VALUE"""),45247.726388888885)</f>
        <v>45247.72639</v>
      </c>
      <c r="D48" s="22">
        <f>IFERROR(__xludf.DUMMYFUNCTION("""COMPUTED_VALUE"""),5.07)</f>
        <v>5.07</v>
      </c>
      <c r="E48" s="32">
        <f>IFERROR(__xludf.DUMMYFUNCTION("""COMPUTED_VALUE"""),45246.73611111111)</f>
        <v>45246.73611</v>
      </c>
      <c r="F48" s="22">
        <f>IFERROR(__xludf.DUMMYFUNCTION("""COMPUTED_VALUE"""),92.81)</f>
        <v>92.81</v>
      </c>
      <c r="G48" s="32">
        <f>IFERROR(__xludf.DUMMYFUNCTION("""COMPUTED_VALUE"""),45245.726388888885)</f>
        <v>45245.72639</v>
      </c>
      <c r="H48" s="22">
        <f>IFERROR(__xludf.DUMMYFUNCTION("""COMPUTED_VALUE"""),5.05)</f>
        <v>5.05</v>
      </c>
      <c r="I48" s="32">
        <f>IFERROR(__xludf.DUMMYFUNCTION("""COMPUTED_VALUE"""),45245.726388888885)</f>
        <v>45245.72639</v>
      </c>
      <c r="J48" s="31">
        <f>IFERROR(__xludf.DUMMYFUNCTION("""COMPUTED_VALUE"""),5.05)</f>
        <v>5.05</v>
      </c>
      <c r="K48" s="32">
        <f>IFERROR(__xludf.DUMMYFUNCTION("""COMPUTED_VALUE"""),45247.73611111111)</f>
        <v>45247.73611</v>
      </c>
      <c r="L48" s="22">
        <f>IFERROR(__xludf.DUMMYFUNCTION("""COMPUTED_VALUE"""),92.85)</f>
        <v>92.85</v>
      </c>
      <c r="M48" s="32">
        <f>IFERROR(__xludf.DUMMYFUNCTION("""COMPUTED_VALUE"""),45245.726388888885)</f>
        <v>45245.72639</v>
      </c>
      <c r="N48" s="22">
        <f>IFERROR(__xludf.DUMMYFUNCTION("""COMPUTED_VALUE"""),5.07)</f>
        <v>5.07</v>
      </c>
      <c r="O48" s="32">
        <f>IFERROR(__xludf.DUMMYFUNCTION("""COMPUTED_VALUE"""),45245.6875)</f>
        <v>45245.6875</v>
      </c>
      <c r="P48" s="22">
        <f>IFERROR(__xludf.DUMMYFUNCTION("""COMPUTED_VALUE"""),472.6)</f>
        <v>472.6</v>
      </c>
      <c r="Q48" s="32">
        <f>IFERROR(__xludf.DUMMYFUNCTION("""COMPUTED_VALUE"""),45245.66666666667)</f>
        <v>45245.66667</v>
      </c>
      <c r="R48" s="22">
        <f>IFERROR(__xludf.DUMMYFUNCTION("""COMPUTED_VALUE"""),22.15)</f>
        <v>22.15</v>
      </c>
      <c r="S48" s="32">
        <f>IFERROR(__xludf.DUMMYFUNCTION("""COMPUTED_VALUE"""),45245.6875)</f>
        <v>45245.6875</v>
      </c>
      <c r="T48" s="22">
        <f>IFERROR(__xludf.DUMMYFUNCTION("""COMPUTED_VALUE"""),6.03)</f>
        <v>6.03</v>
      </c>
      <c r="U48" s="32">
        <f>IFERROR(__xludf.DUMMYFUNCTION("""COMPUTED_VALUE"""),45227.99861111111)</f>
        <v>45227.99861</v>
      </c>
      <c r="V48" s="31">
        <f>IFERROR(__xludf.DUMMYFUNCTION("""COMPUTED_VALUE"""),1.0578)</f>
        <v>1.0578</v>
      </c>
    </row>
    <row r="49" ht="15.75" customHeight="1">
      <c r="A49" s="32">
        <f>IFERROR(__xludf.DUMMYFUNCTION("""COMPUTED_VALUE"""),45247.73611111111)</f>
        <v>45247.73611</v>
      </c>
      <c r="B49" s="22">
        <f>IFERROR(__xludf.DUMMYFUNCTION("""COMPUTED_VALUE"""),92.08)</f>
        <v>92.08</v>
      </c>
      <c r="C49" s="32">
        <f>IFERROR(__xludf.DUMMYFUNCTION("""COMPUTED_VALUE"""),45250.726388888885)</f>
        <v>45250.72639</v>
      </c>
      <c r="D49" s="22">
        <f>IFERROR(__xludf.DUMMYFUNCTION("""COMPUTED_VALUE"""),5.07)</f>
        <v>5.07</v>
      </c>
      <c r="E49" s="32">
        <f>IFERROR(__xludf.DUMMYFUNCTION("""COMPUTED_VALUE"""),45247.73611111111)</f>
        <v>45247.73611</v>
      </c>
      <c r="F49" s="22">
        <f>IFERROR(__xludf.DUMMYFUNCTION("""COMPUTED_VALUE"""),92.65)</f>
        <v>92.65</v>
      </c>
      <c r="G49" s="32">
        <f>IFERROR(__xludf.DUMMYFUNCTION("""COMPUTED_VALUE"""),45246.726388888885)</f>
        <v>45246.72639</v>
      </c>
      <c r="H49" s="22">
        <f>IFERROR(__xludf.DUMMYFUNCTION("""COMPUTED_VALUE"""),5.05)</f>
        <v>5.05</v>
      </c>
      <c r="I49" s="32">
        <f>IFERROR(__xludf.DUMMYFUNCTION("""COMPUTED_VALUE"""),45246.726388888885)</f>
        <v>45246.72639</v>
      </c>
      <c r="J49" s="31">
        <f>IFERROR(__xludf.DUMMYFUNCTION("""COMPUTED_VALUE"""),5.06)</f>
        <v>5.06</v>
      </c>
      <c r="K49" s="32">
        <f>IFERROR(__xludf.DUMMYFUNCTION("""COMPUTED_VALUE"""),45250.73611111111)</f>
        <v>45250.73611</v>
      </c>
      <c r="L49" s="22">
        <f>IFERROR(__xludf.DUMMYFUNCTION("""COMPUTED_VALUE"""),92.32)</f>
        <v>92.32</v>
      </c>
      <c r="M49" s="32">
        <f>IFERROR(__xludf.DUMMYFUNCTION("""COMPUTED_VALUE"""),45246.726388888885)</f>
        <v>45246.72639</v>
      </c>
      <c r="N49" s="22">
        <f>IFERROR(__xludf.DUMMYFUNCTION("""COMPUTED_VALUE"""),5.07)</f>
        <v>5.07</v>
      </c>
      <c r="O49" s="32">
        <f>IFERROR(__xludf.DUMMYFUNCTION("""COMPUTED_VALUE"""),45246.6875)</f>
        <v>45246.6875</v>
      </c>
      <c r="P49" s="22">
        <f>IFERROR(__xludf.DUMMYFUNCTION("""COMPUTED_VALUE"""),470.12)</f>
        <v>470.12</v>
      </c>
      <c r="Q49" s="32">
        <f>IFERROR(__xludf.DUMMYFUNCTION("""COMPUTED_VALUE"""),45246.66666666667)</f>
        <v>45246.66667</v>
      </c>
      <c r="R49" s="22">
        <f>IFERROR(__xludf.DUMMYFUNCTION("""COMPUTED_VALUE"""),22.18)</f>
        <v>22.18</v>
      </c>
      <c r="S49" s="32">
        <f>IFERROR(__xludf.DUMMYFUNCTION("""COMPUTED_VALUE"""),45246.6875)</f>
        <v>45246.6875</v>
      </c>
      <c r="T49" s="22">
        <f>IFERROR(__xludf.DUMMYFUNCTION("""COMPUTED_VALUE"""),6.03)</f>
        <v>6.03</v>
      </c>
      <c r="U49" s="32">
        <f>IFERROR(__xludf.DUMMYFUNCTION("""COMPUTED_VALUE"""),45228.99861111111)</f>
        <v>45228.99861</v>
      </c>
      <c r="V49" s="31">
        <f>IFERROR(__xludf.DUMMYFUNCTION("""COMPUTED_VALUE"""),1.05616)</f>
        <v>1.05616</v>
      </c>
    </row>
    <row r="50" ht="15.75" customHeight="1">
      <c r="A50" s="32">
        <f>IFERROR(__xludf.DUMMYFUNCTION("""COMPUTED_VALUE"""),45250.73611111111)</f>
        <v>45250.73611</v>
      </c>
      <c r="B50" s="22">
        <f>IFERROR(__xludf.DUMMYFUNCTION("""COMPUTED_VALUE"""),91.5)</f>
        <v>91.5</v>
      </c>
      <c r="C50" s="32">
        <f>IFERROR(__xludf.DUMMYFUNCTION("""COMPUTED_VALUE"""),45251.726388888885)</f>
        <v>45251.72639</v>
      </c>
      <c r="D50" s="22">
        <f>IFERROR(__xludf.DUMMYFUNCTION("""COMPUTED_VALUE"""),5.07)</f>
        <v>5.07</v>
      </c>
      <c r="E50" s="32">
        <f>IFERROR(__xludf.DUMMYFUNCTION("""COMPUTED_VALUE"""),45250.73611111111)</f>
        <v>45250.73611</v>
      </c>
      <c r="F50" s="22">
        <f>IFERROR(__xludf.DUMMYFUNCTION("""COMPUTED_VALUE"""),92.13)</f>
        <v>92.13</v>
      </c>
      <c r="G50" s="32">
        <f>IFERROR(__xludf.DUMMYFUNCTION("""COMPUTED_VALUE"""),45247.726388888885)</f>
        <v>45247.72639</v>
      </c>
      <c r="H50" s="22">
        <f>IFERROR(__xludf.DUMMYFUNCTION("""COMPUTED_VALUE"""),5.06)</f>
        <v>5.06</v>
      </c>
      <c r="I50" s="32">
        <f>IFERROR(__xludf.DUMMYFUNCTION("""COMPUTED_VALUE"""),45247.726388888885)</f>
        <v>45247.72639</v>
      </c>
      <c r="J50" s="31">
        <f>IFERROR(__xludf.DUMMYFUNCTION("""COMPUTED_VALUE"""),5.06)</f>
        <v>5.06</v>
      </c>
      <c r="K50" s="32">
        <f>IFERROR(__xludf.DUMMYFUNCTION("""COMPUTED_VALUE"""),45251.73611111111)</f>
        <v>45251.73611</v>
      </c>
      <c r="L50" s="22">
        <f>IFERROR(__xludf.DUMMYFUNCTION("""COMPUTED_VALUE"""),92.67)</f>
        <v>92.67</v>
      </c>
      <c r="M50" s="32">
        <f>IFERROR(__xludf.DUMMYFUNCTION("""COMPUTED_VALUE"""),45247.726388888885)</f>
        <v>45247.72639</v>
      </c>
      <c r="N50" s="22">
        <f>IFERROR(__xludf.DUMMYFUNCTION("""COMPUTED_VALUE"""),5.07)</f>
        <v>5.07</v>
      </c>
      <c r="O50" s="32">
        <f>IFERROR(__xludf.DUMMYFUNCTION("""COMPUTED_VALUE"""),45247.6875)</f>
        <v>45247.6875</v>
      </c>
      <c r="P50" s="22">
        <f>IFERROR(__xludf.DUMMYFUNCTION("""COMPUTED_VALUE"""),471.82)</f>
        <v>471.82</v>
      </c>
      <c r="Q50" s="32">
        <f>IFERROR(__xludf.DUMMYFUNCTION("""COMPUTED_VALUE"""),45247.66666666667)</f>
        <v>45247.66667</v>
      </c>
      <c r="R50" s="22">
        <f>IFERROR(__xludf.DUMMYFUNCTION("""COMPUTED_VALUE"""),22.21)</f>
        <v>22.21</v>
      </c>
      <c r="S50" s="32">
        <f>IFERROR(__xludf.DUMMYFUNCTION("""COMPUTED_VALUE"""),45247.6875)</f>
        <v>45247.6875</v>
      </c>
      <c r="T50" s="22">
        <f>IFERROR(__xludf.DUMMYFUNCTION("""COMPUTED_VALUE"""),6.04)</f>
        <v>6.04</v>
      </c>
      <c r="U50" s="32">
        <f>IFERROR(__xludf.DUMMYFUNCTION("""COMPUTED_VALUE"""),45229.99861111111)</f>
        <v>45229.99861</v>
      </c>
      <c r="V50" s="31">
        <f>IFERROR(__xludf.DUMMYFUNCTION("""COMPUTED_VALUE"""),1.0614)</f>
        <v>1.0614</v>
      </c>
    </row>
    <row r="51" ht="15.75" customHeight="1">
      <c r="A51" s="32">
        <f>IFERROR(__xludf.DUMMYFUNCTION("""COMPUTED_VALUE"""),45251.73611111111)</f>
        <v>45251.73611</v>
      </c>
      <c r="B51" s="22">
        <f>IFERROR(__xludf.DUMMYFUNCTION("""COMPUTED_VALUE"""),91.95)</f>
        <v>91.95</v>
      </c>
      <c r="C51" s="32">
        <f>IFERROR(__xludf.DUMMYFUNCTION("""COMPUTED_VALUE"""),45252.726388888885)</f>
        <v>45252.72639</v>
      </c>
      <c r="D51" s="22">
        <f>IFERROR(__xludf.DUMMYFUNCTION("""COMPUTED_VALUE"""),5.07)</f>
        <v>5.07</v>
      </c>
      <c r="E51" s="32">
        <f>IFERROR(__xludf.DUMMYFUNCTION("""COMPUTED_VALUE"""),45251.73611111111)</f>
        <v>45251.73611</v>
      </c>
      <c r="F51" s="22">
        <f>IFERROR(__xludf.DUMMYFUNCTION("""COMPUTED_VALUE"""),92.4)</f>
        <v>92.4</v>
      </c>
      <c r="G51" s="32">
        <f>IFERROR(__xludf.DUMMYFUNCTION("""COMPUTED_VALUE"""),45250.726388888885)</f>
        <v>45250.72639</v>
      </c>
      <c r="H51" s="22">
        <f>IFERROR(__xludf.DUMMYFUNCTION("""COMPUTED_VALUE"""),5.05)</f>
        <v>5.05</v>
      </c>
      <c r="I51" s="32">
        <f>IFERROR(__xludf.DUMMYFUNCTION("""COMPUTED_VALUE"""),45250.726388888885)</f>
        <v>45250.72639</v>
      </c>
      <c r="J51" s="31">
        <f>IFERROR(__xludf.DUMMYFUNCTION("""COMPUTED_VALUE"""),5.06)</f>
        <v>5.06</v>
      </c>
      <c r="K51" s="32">
        <f>IFERROR(__xludf.DUMMYFUNCTION("""COMPUTED_VALUE"""),45252.73611111111)</f>
        <v>45252.73611</v>
      </c>
      <c r="L51" s="22">
        <f>IFERROR(__xludf.DUMMYFUNCTION("""COMPUTED_VALUE"""),93.18)</f>
        <v>93.18</v>
      </c>
      <c r="M51" s="32">
        <f>IFERROR(__xludf.DUMMYFUNCTION("""COMPUTED_VALUE"""),45250.726388888885)</f>
        <v>45250.72639</v>
      </c>
      <c r="N51" s="22">
        <f>IFERROR(__xludf.DUMMYFUNCTION("""COMPUTED_VALUE"""),5.07)</f>
        <v>5.07</v>
      </c>
      <c r="O51" s="32">
        <f>IFERROR(__xludf.DUMMYFUNCTION("""COMPUTED_VALUE"""),45250.6875)</f>
        <v>45250.6875</v>
      </c>
      <c r="P51" s="22">
        <f>IFERROR(__xludf.DUMMYFUNCTION("""COMPUTED_VALUE"""),474.79)</f>
        <v>474.79</v>
      </c>
      <c r="Q51" s="32">
        <f>IFERROR(__xludf.DUMMYFUNCTION("""COMPUTED_VALUE"""),45250.66666666667)</f>
        <v>45250.66667</v>
      </c>
      <c r="R51" s="22">
        <f>IFERROR(__xludf.DUMMYFUNCTION("""COMPUTED_VALUE"""),22.19)</f>
        <v>22.19</v>
      </c>
      <c r="S51" s="32">
        <f>IFERROR(__xludf.DUMMYFUNCTION("""COMPUTED_VALUE"""),45250.6875)</f>
        <v>45250.6875</v>
      </c>
      <c r="T51" s="22">
        <f>IFERROR(__xludf.DUMMYFUNCTION("""COMPUTED_VALUE"""),6.05)</f>
        <v>6.05</v>
      </c>
      <c r="U51" s="32">
        <f>IFERROR(__xludf.DUMMYFUNCTION("""COMPUTED_VALUE"""),45230.99861111111)</f>
        <v>45230.99861</v>
      </c>
      <c r="V51" s="31">
        <f>IFERROR(__xludf.DUMMYFUNCTION("""COMPUTED_VALUE"""),1.0578)</f>
        <v>1.0578</v>
      </c>
    </row>
    <row r="52" ht="15.75" customHeight="1">
      <c r="A52" s="32">
        <f>IFERROR(__xludf.DUMMYFUNCTION("""COMPUTED_VALUE"""),45252.73611111111)</f>
        <v>45252.73611</v>
      </c>
      <c r="B52" s="22">
        <f>IFERROR(__xludf.DUMMYFUNCTION("""COMPUTED_VALUE"""),92.54)</f>
        <v>92.54</v>
      </c>
      <c r="C52" s="32">
        <f>IFERROR(__xludf.DUMMYFUNCTION("""COMPUTED_VALUE"""),45253.726388888885)</f>
        <v>45253.72639</v>
      </c>
      <c r="D52" s="22">
        <f>IFERROR(__xludf.DUMMYFUNCTION("""COMPUTED_VALUE"""),5.06)</f>
        <v>5.06</v>
      </c>
      <c r="E52" s="32">
        <f>IFERROR(__xludf.DUMMYFUNCTION("""COMPUTED_VALUE"""),45252.73611111111)</f>
        <v>45252.73611</v>
      </c>
      <c r="F52" s="22">
        <f>IFERROR(__xludf.DUMMYFUNCTION("""COMPUTED_VALUE"""),92.9)</f>
        <v>92.9</v>
      </c>
      <c r="G52" s="32">
        <f>IFERROR(__xludf.DUMMYFUNCTION("""COMPUTED_VALUE"""),45251.726388888885)</f>
        <v>45251.72639</v>
      </c>
      <c r="H52" s="22">
        <f>IFERROR(__xludf.DUMMYFUNCTION("""COMPUTED_VALUE"""),5.06)</f>
        <v>5.06</v>
      </c>
      <c r="I52" s="32">
        <f>IFERROR(__xludf.DUMMYFUNCTION("""COMPUTED_VALUE"""),45251.726388888885)</f>
        <v>45251.72639</v>
      </c>
      <c r="J52" s="31">
        <f>IFERROR(__xludf.DUMMYFUNCTION("""COMPUTED_VALUE"""),5.06)</f>
        <v>5.06</v>
      </c>
      <c r="K52" s="32">
        <f>IFERROR(__xludf.DUMMYFUNCTION("""COMPUTED_VALUE"""),45253.73611111111)</f>
        <v>45253.73611</v>
      </c>
      <c r="L52" s="22">
        <f>IFERROR(__xludf.DUMMYFUNCTION("""COMPUTED_VALUE"""),92.88)</f>
        <v>92.88</v>
      </c>
      <c r="M52" s="32">
        <f>IFERROR(__xludf.DUMMYFUNCTION("""COMPUTED_VALUE"""),45251.726388888885)</f>
        <v>45251.72639</v>
      </c>
      <c r="N52" s="22">
        <f>IFERROR(__xludf.DUMMYFUNCTION("""COMPUTED_VALUE"""),5.08)</f>
        <v>5.08</v>
      </c>
      <c r="O52" s="32">
        <f>IFERROR(__xludf.DUMMYFUNCTION("""COMPUTED_VALUE"""),45251.6875)</f>
        <v>45251.6875</v>
      </c>
      <c r="P52" s="22">
        <f>IFERROR(__xludf.DUMMYFUNCTION("""COMPUTED_VALUE"""),474.65)</f>
        <v>474.65</v>
      </c>
      <c r="Q52" s="32">
        <f>IFERROR(__xludf.DUMMYFUNCTION("""COMPUTED_VALUE"""),45251.66666666667)</f>
        <v>45251.66667</v>
      </c>
      <c r="R52" s="22">
        <f>IFERROR(__xludf.DUMMYFUNCTION("""COMPUTED_VALUE"""),22.3)</f>
        <v>22.3</v>
      </c>
      <c r="S52" s="32">
        <f>IFERROR(__xludf.DUMMYFUNCTION("""COMPUTED_VALUE"""),45251.6875)</f>
        <v>45251.6875</v>
      </c>
      <c r="T52" s="22">
        <f>IFERROR(__xludf.DUMMYFUNCTION("""COMPUTED_VALUE"""),6.06)</f>
        <v>6.06</v>
      </c>
      <c r="U52" s="32">
        <f>IFERROR(__xludf.DUMMYFUNCTION("""COMPUTED_VALUE"""),45231.99861111111)</f>
        <v>45231.99861</v>
      </c>
      <c r="V52" s="31">
        <f>IFERROR(__xludf.DUMMYFUNCTION("""COMPUTED_VALUE"""),1.05865)</f>
        <v>1.05865</v>
      </c>
    </row>
    <row r="53" ht="15.75" customHeight="1">
      <c r="A53" s="32">
        <f>IFERROR(__xludf.DUMMYFUNCTION("""COMPUTED_VALUE"""),45253.73611111111)</f>
        <v>45253.73611</v>
      </c>
      <c r="B53" s="22">
        <f>IFERROR(__xludf.DUMMYFUNCTION("""COMPUTED_VALUE"""),92.27)</f>
        <v>92.27</v>
      </c>
      <c r="C53" s="32">
        <f>IFERROR(__xludf.DUMMYFUNCTION("""COMPUTED_VALUE"""),45254.726388888885)</f>
        <v>45254.72639</v>
      </c>
      <c r="D53" s="22">
        <f>IFERROR(__xludf.DUMMYFUNCTION("""COMPUTED_VALUE"""),5.06)</f>
        <v>5.06</v>
      </c>
      <c r="E53" s="32">
        <f>IFERROR(__xludf.DUMMYFUNCTION("""COMPUTED_VALUE"""),45253.73611111111)</f>
        <v>45253.73611</v>
      </c>
      <c r="F53" s="22">
        <f>IFERROR(__xludf.DUMMYFUNCTION("""COMPUTED_VALUE"""),92.59)</f>
        <v>92.59</v>
      </c>
      <c r="G53" s="32">
        <f>IFERROR(__xludf.DUMMYFUNCTION("""COMPUTED_VALUE"""),45252.726388888885)</f>
        <v>45252.72639</v>
      </c>
      <c r="H53" s="22">
        <f>IFERROR(__xludf.DUMMYFUNCTION("""COMPUTED_VALUE"""),5.06)</f>
        <v>5.06</v>
      </c>
      <c r="I53" s="32">
        <f>IFERROR(__xludf.DUMMYFUNCTION("""COMPUTED_VALUE"""),45252.726388888885)</f>
        <v>45252.72639</v>
      </c>
      <c r="J53" s="31">
        <f>IFERROR(__xludf.DUMMYFUNCTION("""COMPUTED_VALUE"""),5.06)</f>
        <v>5.06</v>
      </c>
      <c r="K53" s="32">
        <f>IFERROR(__xludf.DUMMYFUNCTION("""COMPUTED_VALUE"""),45254.73611111111)</f>
        <v>45254.73611</v>
      </c>
      <c r="L53" s="22">
        <f>IFERROR(__xludf.DUMMYFUNCTION("""COMPUTED_VALUE"""),92.54)</f>
        <v>92.54</v>
      </c>
      <c r="M53" s="32">
        <f>IFERROR(__xludf.DUMMYFUNCTION("""COMPUTED_VALUE"""),45252.726388888885)</f>
        <v>45252.72639</v>
      </c>
      <c r="N53" s="22">
        <f>IFERROR(__xludf.DUMMYFUNCTION("""COMPUTED_VALUE"""),5.08)</f>
        <v>5.08</v>
      </c>
      <c r="O53" s="32">
        <f>IFERROR(__xludf.DUMMYFUNCTION("""COMPUTED_VALUE"""),45252.6875)</f>
        <v>45252.6875</v>
      </c>
      <c r="P53" s="22">
        <f>IFERROR(__xludf.DUMMYFUNCTION("""COMPUTED_VALUE"""),476.9)</f>
        <v>476.9</v>
      </c>
      <c r="Q53" s="32">
        <f>IFERROR(__xludf.DUMMYFUNCTION("""COMPUTED_VALUE"""),45252.66666666667)</f>
        <v>45252.66667</v>
      </c>
      <c r="R53" s="22">
        <f>IFERROR(__xludf.DUMMYFUNCTION("""COMPUTED_VALUE"""),22.32)</f>
        <v>22.32</v>
      </c>
      <c r="S53" s="32">
        <f>IFERROR(__xludf.DUMMYFUNCTION("""COMPUTED_VALUE"""),45252.6875)</f>
        <v>45252.6875</v>
      </c>
      <c r="T53" s="22">
        <f>IFERROR(__xludf.DUMMYFUNCTION("""COMPUTED_VALUE"""),6.07)</f>
        <v>6.07</v>
      </c>
      <c r="U53" s="32">
        <f>IFERROR(__xludf.DUMMYFUNCTION("""COMPUTED_VALUE"""),45232.99861111111)</f>
        <v>45232.99861</v>
      </c>
      <c r="V53" s="31">
        <f>IFERROR(__xludf.DUMMYFUNCTION("""COMPUTED_VALUE"""),1.06154)</f>
        <v>1.06154</v>
      </c>
    </row>
    <row r="54" ht="15.75" customHeight="1">
      <c r="A54" s="32">
        <f>IFERROR(__xludf.DUMMYFUNCTION("""COMPUTED_VALUE"""),45254.73611111111)</f>
        <v>45254.73611</v>
      </c>
      <c r="B54" s="22">
        <f>IFERROR(__xludf.DUMMYFUNCTION("""COMPUTED_VALUE"""),91.9)</f>
        <v>91.9</v>
      </c>
      <c r="C54" s="32">
        <f>IFERROR(__xludf.DUMMYFUNCTION("""COMPUTED_VALUE"""),45257.726388888885)</f>
        <v>45257.72639</v>
      </c>
      <c r="D54" s="22">
        <f>IFERROR(__xludf.DUMMYFUNCTION("""COMPUTED_VALUE"""),5.08)</f>
        <v>5.08</v>
      </c>
      <c r="E54" s="32">
        <f>IFERROR(__xludf.DUMMYFUNCTION("""COMPUTED_VALUE"""),45254.73611111111)</f>
        <v>45254.73611</v>
      </c>
      <c r="F54" s="22">
        <f>IFERROR(__xludf.DUMMYFUNCTION("""COMPUTED_VALUE"""),92.3)</f>
        <v>92.3</v>
      </c>
      <c r="G54" s="32">
        <f>IFERROR(__xludf.DUMMYFUNCTION("""COMPUTED_VALUE"""),45253.726388888885)</f>
        <v>45253.72639</v>
      </c>
      <c r="H54" s="22">
        <f>IFERROR(__xludf.DUMMYFUNCTION("""COMPUTED_VALUE"""),5.06)</f>
        <v>5.06</v>
      </c>
      <c r="I54" s="32">
        <f>IFERROR(__xludf.DUMMYFUNCTION("""COMPUTED_VALUE"""),45253.726388888885)</f>
        <v>45253.72639</v>
      </c>
      <c r="J54" s="31">
        <f>IFERROR(__xludf.DUMMYFUNCTION("""COMPUTED_VALUE"""),5.05)</f>
        <v>5.05</v>
      </c>
      <c r="K54" s="32">
        <f>IFERROR(__xludf.DUMMYFUNCTION("""COMPUTED_VALUE"""),45257.73611111111)</f>
        <v>45257.73611</v>
      </c>
      <c r="L54" s="22">
        <f>IFERROR(__xludf.DUMMYFUNCTION("""COMPUTED_VALUE"""),92.7)</f>
        <v>92.7</v>
      </c>
      <c r="M54" s="32">
        <f>IFERROR(__xludf.DUMMYFUNCTION("""COMPUTED_VALUE"""),45253.726388888885)</f>
        <v>45253.72639</v>
      </c>
      <c r="N54" s="22">
        <f>IFERROR(__xludf.DUMMYFUNCTION("""COMPUTED_VALUE"""),5.07)</f>
        <v>5.07</v>
      </c>
      <c r="O54" s="32">
        <f>IFERROR(__xludf.DUMMYFUNCTION("""COMPUTED_VALUE"""),45253.6875)</f>
        <v>45253.6875</v>
      </c>
      <c r="P54" s="22">
        <f>IFERROR(__xludf.DUMMYFUNCTION("""COMPUTED_VALUE"""),477.72)</f>
        <v>477.72</v>
      </c>
      <c r="Q54" s="32">
        <f>IFERROR(__xludf.DUMMYFUNCTION("""COMPUTED_VALUE"""),45254.66666666667)</f>
        <v>45254.66667</v>
      </c>
      <c r="R54" s="22">
        <f>IFERROR(__xludf.DUMMYFUNCTION("""COMPUTED_VALUE"""),22.33)</f>
        <v>22.33</v>
      </c>
      <c r="S54" s="32">
        <f>IFERROR(__xludf.DUMMYFUNCTION("""COMPUTED_VALUE"""),45253.6875)</f>
        <v>45253.6875</v>
      </c>
      <c r="T54" s="22">
        <f>IFERROR(__xludf.DUMMYFUNCTION("""COMPUTED_VALUE"""),6.07)</f>
        <v>6.07</v>
      </c>
      <c r="U54" s="32">
        <f>IFERROR(__xludf.DUMMYFUNCTION("""COMPUTED_VALUE"""),45233.99861111111)</f>
        <v>45233.99861</v>
      </c>
      <c r="V54" s="31">
        <f>IFERROR(__xludf.DUMMYFUNCTION("""COMPUTED_VALUE"""),1.0735)</f>
        <v>1.0735</v>
      </c>
    </row>
    <row r="55" ht="15.75" customHeight="1">
      <c r="A55" s="32">
        <f>IFERROR(__xludf.DUMMYFUNCTION("""COMPUTED_VALUE"""),45257.73611111111)</f>
        <v>45257.73611</v>
      </c>
      <c r="B55" s="22">
        <f>IFERROR(__xludf.DUMMYFUNCTION("""COMPUTED_VALUE"""),92.08)</f>
        <v>92.08</v>
      </c>
      <c r="C55" s="32">
        <f>IFERROR(__xludf.DUMMYFUNCTION("""COMPUTED_VALUE"""),45258.726388888885)</f>
        <v>45258.72639</v>
      </c>
      <c r="D55" s="22">
        <f>IFERROR(__xludf.DUMMYFUNCTION("""COMPUTED_VALUE"""),5.1)</f>
        <v>5.1</v>
      </c>
      <c r="E55" s="32">
        <f>IFERROR(__xludf.DUMMYFUNCTION("""COMPUTED_VALUE"""),45257.73611111111)</f>
        <v>45257.73611</v>
      </c>
      <c r="F55" s="22">
        <f>IFERROR(__xludf.DUMMYFUNCTION("""COMPUTED_VALUE"""),92.43)</f>
        <v>92.43</v>
      </c>
      <c r="G55" s="32">
        <f>IFERROR(__xludf.DUMMYFUNCTION("""COMPUTED_VALUE"""),45254.726388888885)</f>
        <v>45254.72639</v>
      </c>
      <c r="H55" s="22">
        <f>IFERROR(__xludf.DUMMYFUNCTION("""COMPUTED_VALUE"""),5.06)</f>
        <v>5.06</v>
      </c>
      <c r="I55" s="32">
        <f>IFERROR(__xludf.DUMMYFUNCTION("""COMPUTED_VALUE"""),45254.726388888885)</f>
        <v>45254.72639</v>
      </c>
      <c r="J55" s="31">
        <f>IFERROR(__xludf.DUMMYFUNCTION("""COMPUTED_VALUE"""),5.05)</f>
        <v>5.05</v>
      </c>
      <c r="K55" s="32">
        <f>IFERROR(__xludf.DUMMYFUNCTION("""COMPUTED_VALUE"""),45258.73611111111)</f>
        <v>45258.73611</v>
      </c>
      <c r="L55" s="22">
        <f>IFERROR(__xludf.DUMMYFUNCTION("""COMPUTED_VALUE"""),92.56)</f>
        <v>92.56</v>
      </c>
      <c r="M55" s="32">
        <f>IFERROR(__xludf.DUMMYFUNCTION("""COMPUTED_VALUE"""),45254.726388888885)</f>
        <v>45254.72639</v>
      </c>
      <c r="N55" s="22">
        <f>IFERROR(__xludf.DUMMYFUNCTION("""COMPUTED_VALUE"""),5.06)</f>
        <v>5.06</v>
      </c>
      <c r="O55" s="32">
        <f>IFERROR(__xludf.DUMMYFUNCTION("""COMPUTED_VALUE"""),45254.6875)</f>
        <v>45254.6875</v>
      </c>
      <c r="P55" s="22">
        <f>IFERROR(__xludf.DUMMYFUNCTION("""COMPUTED_VALUE"""),477.0)</f>
        <v>477</v>
      </c>
      <c r="Q55" s="32">
        <f>IFERROR(__xludf.DUMMYFUNCTION("""COMPUTED_VALUE"""),45257.66666666667)</f>
        <v>45257.66667</v>
      </c>
      <c r="R55" s="22">
        <f>IFERROR(__xludf.DUMMYFUNCTION("""COMPUTED_VALUE"""),22.31)</f>
        <v>22.31</v>
      </c>
      <c r="S55" s="32">
        <f>IFERROR(__xludf.DUMMYFUNCTION("""COMPUTED_VALUE"""),45254.6875)</f>
        <v>45254.6875</v>
      </c>
      <c r="T55" s="22">
        <f>IFERROR(__xludf.DUMMYFUNCTION("""COMPUTED_VALUE"""),6.07)</f>
        <v>6.07</v>
      </c>
      <c r="U55" s="32">
        <f>IFERROR(__xludf.DUMMYFUNCTION("""COMPUTED_VALUE"""),45234.99861111111)</f>
        <v>45234.99861</v>
      </c>
      <c r="V55" s="31">
        <f>IFERROR(__xludf.DUMMYFUNCTION("""COMPUTED_VALUE"""),1.0735)</f>
        <v>1.0735</v>
      </c>
    </row>
    <row r="56" ht="15.75" customHeight="1">
      <c r="A56" s="32">
        <f>IFERROR(__xludf.DUMMYFUNCTION("""COMPUTED_VALUE"""),45258.73611111111)</f>
        <v>45258.73611</v>
      </c>
      <c r="B56" s="22">
        <f>IFERROR(__xludf.DUMMYFUNCTION("""COMPUTED_VALUE"""),91.89)</f>
        <v>91.89</v>
      </c>
      <c r="C56" s="32">
        <f>IFERROR(__xludf.DUMMYFUNCTION("""COMPUTED_VALUE"""),45259.726388888885)</f>
        <v>45259.72639</v>
      </c>
      <c r="D56" s="22">
        <f>IFERROR(__xludf.DUMMYFUNCTION("""COMPUTED_VALUE"""),5.11)</f>
        <v>5.11</v>
      </c>
      <c r="E56" s="32">
        <f>IFERROR(__xludf.DUMMYFUNCTION("""COMPUTED_VALUE"""),45258.73611111111)</f>
        <v>45258.73611</v>
      </c>
      <c r="F56" s="22">
        <f>IFERROR(__xludf.DUMMYFUNCTION("""COMPUTED_VALUE"""),92.24)</f>
        <v>92.24</v>
      </c>
      <c r="G56" s="32">
        <f>IFERROR(__xludf.DUMMYFUNCTION("""COMPUTED_VALUE"""),45257.726388888885)</f>
        <v>45257.72639</v>
      </c>
      <c r="H56" s="22">
        <f>IFERROR(__xludf.DUMMYFUNCTION("""COMPUTED_VALUE"""),5.06)</f>
        <v>5.06</v>
      </c>
      <c r="I56" s="32">
        <f>IFERROR(__xludf.DUMMYFUNCTION("""COMPUTED_VALUE"""),45257.726388888885)</f>
        <v>45257.72639</v>
      </c>
      <c r="J56" s="31">
        <f>IFERROR(__xludf.DUMMYFUNCTION("""COMPUTED_VALUE"""),5.06)</f>
        <v>5.06</v>
      </c>
      <c r="K56" s="32">
        <f>IFERROR(__xludf.DUMMYFUNCTION("""COMPUTED_VALUE"""),45259.73611111111)</f>
        <v>45259.73611</v>
      </c>
      <c r="L56" s="22">
        <f>IFERROR(__xludf.DUMMYFUNCTION("""COMPUTED_VALUE"""),93.18)</f>
        <v>93.18</v>
      </c>
      <c r="M56" s="32">
        <f>IFERROR(__xludf.DUMMYFUNCTION("""COMPUTED_VALUE"""),45257.726388888885)</f>
        <v>45257.72639</v>
      </c>
      <c r="N56" s="22">
        <f>IFERROR(__xludf.DUMMYFUNCTION("""COMPUTED_VALUE"""),5.09)</f>
        <v>5.09</v>
      </c>
      <c r="O56" s="32">
        <f>IFERROR(__xludf.DUMMYFUNCTION("""COMPUTED_VALUE"""),45257.6875)</f>
        <v>45257.6875</v>
      </c>
      <c r="P56" s="22">
        <f>IFERROR(__xludf.DUMMYFUNCTION("""COMPUTED_VALUE"""),476.88)</f>
        <v>476.88</v>
      </c>
      <c r="Q56" s="32">
        <f>IFERROR(__xludf.DUMMYFUNCTION("""COMPUTED_VALUE"""),45258.66666666667)</f>
        <v>45258.66667</v>
      </c>
      <c r="R56" s="22">
        <f>IFERROR(__xludf.DUMMYFUNCTION("""COMPUTED_VALUE"""),22.47)</f>
        <v>22.47</v>
      </c>
      <c r="S56" s="32">
        <f>IFERROR(__xludf.DUMMYFUNCTION("""COMPUTED_VALUE"""),45257.6875)</f>
        <v>45257.6875</v>
      </c>
      <c r="T56" s="22">
        <f>IFERROR(__xludf.DUMMYFUNCTION("""COMPUTED_VALUE"""),6.07)</f>
        <v>6.07</v>
      </c>
      <c r="U56" s="32">
        <f>IFERROR(__xludf.DUMMYFUNCTION("""COMPUTED_VALUE"""),45235.99861111111)</f>
        <v>45235.99861</v>
      </c>
      <c r="V56" s="31">
        <f>IFERROR(__xludf.DUMMYFUNCTION("""COMPUTED_VALUE"""),1.07311)</f>
        <v>1.07311</v>
      </c>
    </row>
    <row r="57" ht="15.75" customHeight="1">
      <c r="A57" s="32">
        <f>IFERROR(__xludf.DUMMYFUNCTION("""COMPUTED_VALUE"""),45259.73611111111)</f>
        <v>45259.73611</v>
      </c>
      <c r="B57" s="22">
        <f>IFERROR(__xludf.DUMMYFUNCTION("""COMPUTED_VALUE"""),92.65)</f>
        <v>92.65</v>
      </c>
      <c r="C57" s="32">
        <f>IFERROR(__xludf.DUMMYFUNCTION("""COMPUTED_VALUE"""),45260.726388888885)</f>
        <v>45260.72639</v>
      </c>
      <c r="D57" s="22">
        <f>IFERROR(__xludf.DUMMYFUNCTION("""COMPUTED_VALUE"""),5.11)</f>
        <v>5.11</v>
      </c>
      <c r="E57" s="32">
        <f>IFERROR(__xludf.DUMMYFUNCTION("""COMPUTED_VALUE"""),45259.73611111111)</f>
        <v>45259.73611</v>
      </c>
      <c r="F57" s="22">
        <f>IFERROR(__xludf.DUMMYFUNCTION("""COMPUTED_VALUE"""),92.73)</f>
        <v>92.73</v>
      </c>
      <c r="G57" s="32">
        <f>IFERROR(__xludf.DUMMYFUNCTION("""COMPUTED_VALUE"""),45258.726388888885)</f>
        <v>45258.72639</v>
      </c>
      <c r="H57" s="22">
        <f>IFERROR(__xludf.DUMMYFUNCTION("""COMPUTED_VALUE"""),5.06)</f>
        <v>5.06</v>
      </c>
      <c r="I57" s="32">
        <f>IFERROR(__xludf.DUMMYFUNCTION("""COMPUTED_VALUE"""),45258.726388888885)</f>
        <v>45258.72639</v>
      </c>
      <c r="J57" s="31">
        <f>IFERROR(__xludf.DUMMYFUNCTION("""COMPUTED_VALUE"""),5.07)</f>
        <v>5.07</v>
      </c>
      <c r="K57" s="32">
        <f>IFERROR(__xludf.DUMMYFUNCTION("""COMPUTED_VALUE"""),45260.73611111111)</f>
        <v>45260.73611</v>
      </c>
      <c r="L57" s="22">
        <f>IFERROR(__xludf.DUMMYFUNCTION("""COMPUTED_VALUE"""),93.64)</f>
        <v>93.64</v>
      </c>
      <c r="M57" s="32">
        <f>IFERROR(__xludf.DUMMYFUNCTION("""COMPUTED_VALUE"""),45258.726388888885)</f>
        <v>45258.72639</v>
      </c>
      <c r="N57" s="22">
        <f>IFERROR(__xludf.DUMMYFUNCTION("""COMPUTED_VALUE"""),5.11)</f>
        <v>5.11</v>
      </c>
      <c r="O57" s="32">
        <f>IFERROR(__xludf.DUMMYFUNCTION("""COMPUTED_VALUE"""),45258.6875)</f>
        <v>45258.6875</v>
      </c>
      <c r="P57" s="22">
        <f>IFERROR(__xludf.DUMMYFUNCTION("""COMPUTED_VALUE"""),478.38)</f>
        <v>478.38</v>
      </c>
      <c r="Q57" s="32">
        <f>IFERROR(__xludf.DUMMYFUNCTION("""COMPUTED_VALUE"""),45259.66666666667)</f>
        <v>45259.66667</v>
      </c>
      <c r="R57" s="22">
        <f>IFERROR(__xludf.DUMMYFUNCTION("""COMPUTED_VALUE"""),22.56)</f>
        <v>22.56</v>
      </c>
      <c r="S57" s="32">
        <f>IFERROR(__xludf.DUMMYFUNCTION("""COMPUTED_VALUE"""),45258.6875)</f>
        <v>45258.6875</v>
      </c>
      <c r="T57" s="22">
        <f>IFERROR(__xludf.DUMMYFUNCTION("""COMPUTED_VALUE"""),6.09)</f>
        <v>6.09</v>
      </c>
      <c r="U57" s="32">
        <f>IFERROR(__xludf.DUMMYFUNCTION("""COMPUTED_VALUE"""),45236.99861111111)</f>
        <v>45236.99861</v>
      </c>
      <c r="V57" s="31">
        <f>IFERROR(__xludf.DUMMYFUNCTION("""COMPUTED_VALUE"""),1.07183)</f>
        <v>1.07183</v>
      </c>
    </row>
    <row r="58" ht="15.75" customHeight="1">
      <c r="A58" s="32">
        <f>IFERROR(__xludf.DUMMYFUNCTION("""COMPUTED_VALUE"""),45260.73611111111)</f>
        <v>45260.73611</v>
      </c>
      <c r="B58" s="22">
        <f>IFERROR(__xludf.DUMMYFUNCTION("""COMPUTED_VALUE"""),93.1)</f>
        <v>93.1</v>
      </c>
      <c r="C58" s="32">
        <f>IFERROR(__xludf.DUMMYFUNCTION("""COMPUTED_VALUE"""),45261.726388888885)</f>
        <v>45261.72639</v>
      </c>
      <c r="D58" s="22">
        <f>IFERROR(__xludf.DUMMYFUNCTION("""COMPUTED_VALUE"""),5.15)</f>
        <v>5.15</v>
      </c>
      <c r="E58" s="32">
        <f>IFERROR(__xludf.DUMMYFUNCTION("""COMPUTED_VALUE"""),45260.73611111111)</f>
        <v>45260.73611</v>
      </c>
      <c r="F58" s="22">
        <f>IFERROR(__xludf.DUMMYFUNCTION("""COMPUTED_VALUE"""),93.23)</f>
        <v>93.23</v>
      </c>
      <c r="G58" s="32">
        <f>IFERROR(__xludf.DUMMYFUNCTION("""COMPUTED_VALUE"""),45259.726388888885)</f>
        <v>45259.72639</v>
      </c>
      <c r="H58" s="22">
        <f>IFERROR(__xludf.DUMMYFUNCTION("""COMPUTED_VALUE"""),5.07)</f>
        <v>5.07</v>
      </c>
      <c r="I58" s="32">
        <f>IFERROR(__xludf.DUMMYFUNCTION("""COMPUTED_VALUE"""),45259.726388888885)</f>
        <v>45259.72639</v>
      </c>
      <c r="J58" s="31">
        <f>IFERROR(__xludf.DUMMYFUNCTION("""COMPUTED_VALUE"""),5.08)</f>
        <v>5.08</v>
      </c>
      <c r="K58" s="32">
        <f>IFERROR(__xludf.DUMMYFUNCTION("""COMPUTED_VALUE"""),45261.73611111111)</f>
        <v>45261.73611</v>
      </c>
      <c r="L58" s="22">
        <f>IFERROR(__xludf.DUMMYFUNCTION("""COMPUTED_VALUE"""),94.3)</f>
        <v>94.3</v>
      </c>
      <c r="M58" s="32">
        <f>IFERROR(__xludf.DUMMYFUNCTION("""COMPUTED_VALUE"""),45259.726388888885)</f>
        <v>45259.72639</v>
      </c>
      <c r="N58" s="22">
        <f>IFERROR(__xludf.DUMMYFUNCTION("""COMPUTED_VALUE"""),5.13)</f>
        <v>5.13</v>
      </c>
      <c r="O58" s="32">
        <f>IFERROR(__xludf.DUMMYFUNCTION("""COMPUTED_VALUE"""),45259.6875)</f>
        <v>45259.6875</v>
      </c>
      <c r="P58" s="22">
        <f>IFERROR(__xludf.DUMMYFUNCTION("""COMPUTED_VALUE"""),477.3)</f>
        <v>477.3</v>
      </c>
      <c r="Q58" s="32">
        <f>IFERROR(__xludf.DUMMYFUNCTION("""COMPUTED_VALUE"""),45260.66666666667)</f>
        <v>45260.66667</v>
      </c>
      <c r="R58" s="22">
        <f>IFERROR(__xludf.DUMMYFUNCTION("""COMPUTED_VALUE"""),22.44)</f>
        <v>22.44</v>
      </c>
      <c r="S58" s="32">
        <f>IFERROR(__xludf.DUMMYFUNCTION("""COMPUTED_VALUE"""),45259.6875)</f>
        <v>45259.6875</v>
      </c>
      <c r="T58" s="22">
        <f>IFERROR(__xludf.DUMMYFUNCTION("""COMPUTED_VALUE"""),6.12)</f>
        <v>6.12</v>
      </c>
      <c r="U58" s="32">
        <f>IFERROR(__xludf.DUMMYFUNCTION("""COMPUTED_VALUE"""),45237.99861111111)</f>
        <v>45237.99861</v>
      </c>
      <c r="V58" s="31">
        <f>IFERROR(__xludf.DUMMYFUNCTION("""COMPUTED_VALUE"""),1.06957)</f>
        <v>1.06957</v>
      </c>
    </row>
    <row r="59" ht="15.75" customHeight="1">
      <c r="A59" s="32">
        <f>IFERROR(__xludf.DUMMYFUNCTION("""COMPUTED_VALUE"""),45261.73611111111)</f>
        <v>45261.73611</v>
      </c>
      <c r="B59" s="22">
        <f>IFERROR(__xludf.DUMMYFUNCTION("""COMPUTED_VALUE"""),93.83)</f>
        <v>93.83</v>
      </c>
      <c r="C59" s="32">
        <f>IFERROR(__xludf.DUMMYFUNCTION("""COMPUTED_VALUE"""),45264.726388888885)</f>
        <v>45264.72639</v>
      </c>
      <c r="D59" s="22">
        <f>IFERROR(__xludf.DUMMYFUNCTION("""COMPUTED_VALUE"""),5.14)</f>
        <v>5.14</v>
      </c>
      <c r="E59" s="32">
        <f>IFERROR(__xludf.DUMMYFUNCTION("""COMPUTED_VALUE"""),45261.73611111111)</f>
        <v>45261.73611</v>
      </c>
      <c r="F59" s="22">
        <f>IFERROR(__xludf.DUMMYFUNCTION("""COMPUTED_VALUE"""),93.88)</f>
        <v>93.88</v>
      </c>
      <c r="G59" s="32">
        <f>IFERROR(__xludf.DUMMYFUNCTION("""COMPUTED_VALUE"""),45260.726388888885)</f>
        <v>45260.72639</v>
      </c>
      <c r="H59" s="22">
        <f>IFERROR(__xludf.DUMMYFUNCTION("""COMPUTED_VALUE"""),5.07)</f>
        <v>5.07</v>
      </c>
      <c r="I59" s="32">
        <f>IFERROR(__xludf.DUMMYFUNCTION("""COMPUTED_VALUE"""),45260.726388888885)</f>
        <v>45260.72639</v>
      </c>
      <c r="J59" s="31">
        <f>IFERROR(__xludf.DUMMYFUNCTION("""COMPUTED_VALUE"""),5.09)</f>
        <v>5.09</v>
      </c>
      <c r="K59" s="32">
        <f>IFERROR(__xludf.DUMMYFUNCTION("""COMPUTED_VALUE"""),45264.73611111111)</f>
        <v>45264.73611</v>
      </c>
      <c r="L59" s="22">
        <f>IFERROR(__xludf.DUMMYFUNCTION("""COMPUTED_VALUE"""),94.63)</f>
        <v>94.63</v>
      </c>
      <c r="M59" s="32">
        <f>IFERROR(__xludf.DUMMYFUNCTION("""COMPUTED_VALUE"""),45260.726388888885)</f>
        <v>45260.72639</v>
      </c>
      <c r="N59" s="22">
        <f>IFERROR(__xludf.DUMMYFUNCTION("""COMPUTED_VALUE"""),5.13)</f>
        <v>5.13</v>
      </c>
      <c r="O59" s="32">
        <f>IFERROR(__xludf.DUMMYFUNCTION("""COMPUTED_VALUE"""),45260.6875)</f>
        <v>45260.6875</v>
      </c>
      <c r="P59" s="22">
        <f>IFERROR(__xludf.DUMMYFUNCTION("""COMPUTED_VALUE"""),476.33)</f>
        <v>476.33</v>
      </c>
      <c r="Q59" s="32">
        <f>IFERROR(__xludf.DUMMYFUNCTION("""COMPUTED_VALUE"""),45261.66666666667)</f>
        <v>45261.66667</v>
      </c>
      <c r="R59" s="22">
        <f>IFERROR(__xludf.DUMMYFUNCTION("""COMPUTED_VALUE"""),22.61)</f>
        <v>22.61</v>
      </c>
      <c r="S59" s="32">
        <f>IFERROR(__xludf.DUMMYFUNCTION("""COMPUTED_VALUE"""),45260.6875)</f>
        <v>45260.6875</v>
      </c>
      <c r="T59" s="22">
        <f>IFERROR(__xludf.DUMMYFUNCTION("""COMPUTED_VALUE"""),6.11)</f>
        <v>6.11</v>
      </c>
      <c r="U59" s="32">
        <f>IFERROR(__xludf.DUMMYFUNCTION("""COMPUTED_VALUE"""),45238.99861111111)</f>
        <v>45238.99861</v>
      </c>
      <c r="V59" s="31">
        <f>IFERROR(__xludf.DUMMYFUNCTION("""COMPUTED_VALUE"""),1.071)</f>
        <v>1.071</v>
      </c>
    </row>
    <row r="60" ht="15.75" customHeight="1">
      <c r="A60" s="32">
        <f>IFERROR(__xludf.DUMMYFUNCTION("""COMPUTED_VALUE"""),45264.73611111111)</f>
        <v>45264.73611</v>
      </c>
      <c r="B60" s="22">
        <f>IFERROR(__xludf.DUMMYFUNCTION("""COMPUTED_VALUE"""),94.2)</f>
        <v>94.2</v>
      </c>
      <c r="C60" s="32">
        <f>IFERROR(__xludf.DUMMYFUNCTION("""COMPUTED_VALUE"""),45265.726388888885)</f>
        <v>45265.72639</v>
      </c>
      <c r="D60" s="22">
        <f>IFERROR(__xludf.DUMMYFUNCTION("""COMPUTED_VALUE"""),5.16)</f>
        <v>5.16</v>
      </c>
      <c r="E60" s="32">
        <f>IFERROR(__xludf.DUMMYFUNCTION("""COMPUTED_VALUE"""),45264.73611111111)</f>
        <v>45264.73611</v>
      </c>
      <c r="F60" s="22">
        <f>IFERROR(__xludf.DUMMYFUNCTION("""COMPUTED_VALUE"""),94.18)</f>
        <v>94.18</v>
      </c>
      <c r="G60" s="32">
        <f>IFERROR(__xludf.DUMMYFUNCTION("""COMPUTED_VALUE"""),45261.726388888885)</f>
        <v>45261.72639</v>
      </c>
      <c r="H60" s="22">
        <f>IFERROR(__xludf.DUMMYFUNCTION("""COMPUTED_VALUE"""),5.08)</f>
        <v>5.08</v>
      </c>
      <c r="I60" s="32">
        <f>IFERROR(__xludf.DUMMYFUNCTION("""COMPUTED_VALUE"""),45261.726388888885)</f>
        <v>45261.72639</v>
      </c>
      <c r="J60" s="31">
        <f>IFERROR(__xludf.DUMMYFUNCTION("""COMPUTED_VALUE"""),5.11)</f>
        <v>5.11</v>
      </c>
      <c r="K60" s="32">
        <f>IFERROR(__xludf.DUMMYFUNCTION("""COMPUTED_VALUE"""),45265.73611111111)</f>
        <v>45265.73611</v>
      </c>
      <c r="L60" s="22">
        <f>IFERROR(__xludf.DUMMYFUNCTION("""COMPUTED_VALUE"""),94.99)</f>
        <v>94.99</v>
      </c>
      <c r="M60" s="32">
        <f>IFERROR(__xludf.DUMMYFUNCTION("""COMPUTED_VALUE"""),45261.726388888885)</f>
        <v>45261.72639</v>
      </c>
      <c r="N60" s="22">
        <f>IFERROR(__xludf.DUMMYFUNCTION("""COMPUTED_VALUE"""),5.17)</f>
        <v>5.17</v>
      </c>
      <c r="O60" s="32">
        <f>IFERROR(__xludf.DUMMYFUNCTION("""COMPUTED_VALUE"""),45261.6875)</f>
        <v>45261.6875</v>
      </c>
      <c r="P60" s="22">
        <f>IFERROR(__xludf.DUMMYFUNCTION("""COMPUTED_VALUE"""),479.95)</f>
        <v>479.95</v>
      </c>
      <c r="Q60" s="32">
        <f>IFERROR(__xludf.DUMMYFUNCTION("""COMPUTED_VALUE"""),45264.66666666667)</f>
        <v>45264.66667</v>
      </c>
      <c r="R60" s="22">
        <f>IFERROR(__xludf.DUMMYFUNCTION("""COMPUTED_VALUE"""),22.52)</f>
        <v>22.52</v>
      </c>
      <c r="S60" s="32">
        <f>IFERROR(__xludf.DUMMYFUNCTION("""COMPUTED_VALUE"""),45261.6875)</f>
        <v>45261.6875</v>
      </c>
      <c r="T60" s="22">
        <f>IFERROR(__xludf.DUMMYFUNCTION("""COMPUTED_VALUE"""),6.15)</f>
        <v>6.15</v>
      </c>
      <c r="U60" s="32">
        <f>IFERROR(__xludf.DUMMYFUNCTION("""COMPUTED_VALUE"""),45239.99861111111)</f>
        <v>45239.99861</v>
      </c>
      <c r="V60" s="31">
        <f>IFERROR(__xludf.DUMMYFUNCTION("""COMPUTED_VALUE"""),1.0667)</f>
        <v>1.0667</v>
      </c>
    </row>
    <row r="61" ht="15.75" customHeight="1">
      <c r="A61" s="32">
        <f>IFERROR(__xludf.DUMMYFUNCTION("""COMPUTED_VALUE"""),45265.73611111111)</f>
        <v>45265.73611</v>
      </c>
      <c r="B61" s="22">
        <f>IFERROR(__xludf.DUMMYFUNCTION("""COMPUTED_VALUE"""),94.74)</f>
        <v>94.74</v>
      </c>
      <c r="C61" s="32">
        <f>IFERROR(__xludf.DUMMYFUNCTION("""COMPUTED_VALUE"""),45266.726388888885)</f>
        <v>45266.72639</v>
      </c>
      <c r="D61" s="22">
        <f>IFERROR(__xludf.DUMMYFUNCTION("""COMPUTED_VALUE"""),5.16)</f>
        <v>5.16</v>
      </c>
      <c r="E61" s="32">
        <f>IFERROR(__xludf.DUMMYFUNCTION("""COMPUTED_VALUE"""),45265.73611111111)</f>
        <v>45265.73611</v>
      </c>
      <c r="F61" s="22">
        <f>IFERROR(__xludf.DUMMYFUNCTION("""COMPUTED_VALUE"""),94.41)</f>
        <v>94.41</v>
      </c>
      <c r="G61" s="32">
        <f>IFERROR(__xludf.DUMMYFUNCTION("""COMPUTED_VALUE"""),45264.726388888885)</f>
        <v>45264.72639</v>
      </c>
      <c r="H61" s="22">
        <f>IFERROR(__xludf.DUMMYFUNCTION("""COMPUTED_VALUE"""),5.09)</f>
        <v>5.09</v>
      </c>
      <c r="I61" s="32">
        <f>IFERROR(__xludf.DUMMYFUNCTION("""COMPUTED_VALUE"""),45264.726388888885)</f>
        <v>45264.72639</v>
      </c>
      <c r="J61" s="31">
        <f>IFERROR(__xludf.DUMMYFUNCTION("""COMPUTED_VALUE"""),5.11)</f>
        <v>5.11</v>
      </c>
      <c r="K61" s="32">
        <f>IFERROR(__xludf.DUMMYFUNCTION("""COMPUTED_VALUE"""),45266.73611111111)</f>
        <v>45266.73611</v>
      </c>
      <c r="L61" s="22">
        <f>IFERROR(__xludf.DUMMYFUNCTION("""COMPUTED_VALUE"""),95.14)</f>
        <v>95.14</v>
      </c>
      <c r="M61" s="32">
        <f>IFERROR(__xludf.DUMMYFUNCTION("""COMPUTED_VALUE"""),45264.726388888885)</f>
        <v>45264.72639</v>
      </c>
      <c r="N61" s="22">
        <f>IFERROR(__xludf.DUMMYFUNCTION("""COMPUTED_VALUE"""),5.16)</f>
        <v>5.16</v>
      </c>
      <c r="O61" s="32">
        <f>IFERROR(__xludf.DUMMYFUNCTION("""COMPUTED_VALUE"""),45264.6875)</f>
        <v>45264.6875</v>
      </c>
      <c r="P61" s="22">
        <f>IFERROR(__xludf.DUMMYFUNCTION("""COMPUTED_VALUE"""),477.06)</f>
        <v>477.06</v>
      </c>
      <c r="Q61" s="32">
        <f>IFERROR(__xludf.DUMMYFUNCTION("""COMPUTED_VALUE"""),45265.66666666667)</f>
        <v>45265.66667</v>
      </c>
      <c r="R61" s="22">
        <f>IFERROR(__xludf.DUMMYFUNCTION("""COMPUTED_VALUE"""),22.57)</f>
        <v>22.57</v>
      </c>
      <c r="S61" s="32">
        <f>IFERROR(__xludf.DUMMYFUNCTION("""COMPUTED_VALUE"""),45264.6875)</f>
        <v>45264.6875</v>
      </c>
      <c r="T61" s="22">
        <f>IFERROR(__xludf.DUMMYFUNCTION("""COMPUTED_VALUE"""),6.14)</f>
        <v>6.14</v>
      </c>
      <c r="U61" s="32">
        <f>IFERROR(__xludf.DUMMYFUNCTION("""COMPUTED_VALUE"""),45240.99861111111)</f>
        <v>45240.99861</v>
      </c>
      <c r="V61" s="31">
        <f>IFERROR(__xludf.DUMMYFUNCTION("""COMPUTED_VALUE"""),1.0714)</f>
        <v>1.0714</v>
      </c>
    </row>
    <row r="62" ht="15.75" customHeight="1">
      <c r="A62" s="32">
        <f>IFERROR(__xludf.DUMMYFUNCTION("""COMPUTED_VALUE"""),45266.73611111111)</f>
        <v>45266.73611</v>
      </c>
      <c r="B62" s="31">
        <f>IFERROR(__xludf.DUMMYFUNCTION("""COMPUTED_VALUE"""),94.73)</f>
        <v>94.73</v>
      </c>
      <c r="C62" s="32">
        <f>IFERROR(__xludf.DUMMYFUNCTION("""COMPUTED_VALUE"""),45267.726388888885)</f>
        <v>45267.72639</v>
      </c>
      <c r="D62" s="31">
        <f>IFERROR(__xludf.DUMMYFUNCTION("""COMPUTED_VALUE"""),5.16)</f>
        <v>5.16</v>
      </c>
      <c r="E62" s="32">
        <f>IFERROR(__xludf.DUMMYFUNCTION("""COMPUTED_VALUE"""),45266.73611111111)</f>
        <v>45266.73611</v>
      </c>
      <c r="F62" s="31">
        <f>IFERROR(__xludf.DUMMYFUNCTION("""COMPUTED_VALUE"""),94.46)</f>
        <v>94.46</v>
      </c>
      <c r="G62" s="32">
        <f>IFERROR(__xludf.DUMMYFUNCTION("""COMPUTED_VALUE"""),45265.726388888885)</f>
        <v>45265.72639</v>
      </c>
      <c r="H62" s="31">
        <f>IFERROR(__xludf.DUMMYFUNCTION("""COMPUTED_VALUE"""),5.09)</f>
        <v>5.09</v>
      </c>
      <c r="I62" s="32">
        <f>IFERROR(__xludf.DUMMYFUNCTION("""COMPUTED_VALUE"""),45265.726388888885)</f>
        <v>45265.72639</v>
      </c>
      <c r="J62" s="31">
        <f>IFERROR(__xludf.DUMMYFUNCTION("""COMPUTED_VALUE"""),5.11)</f>
        <v>5.11</v>
      </c>
      <c r="K62" s="32">
        <f>IFERROR(__xludf.DUMMYFUNCTION("""COMPUTED_VALUE"""),45267.73611111111)</f>
        <v>45267.73611</v>
      </c>
      <c r="L62" s="31">
        <f>IFERROR(__xludf.DUMMYFUNCTION("""COMPUTED_VALUE"""),95.11)</f>
        <v>95.11</v>
      </c>
      <c r="M62" s="32">
        <f>IFERROR(__xludf.DUMMYFUNCTION("""COMPUTED_VALUE"""),45265.726388888885)</f>
        <v>45265.72639</v>
      </c>
      <c r="N62" s="31">
        <f>IFERROR(__xludf.DUMMYFUNCTION("""COMPUTED_VALUE"""),5.17)</f>
        <v>5.17</v>
      </c>
      <c r="O62" s="32">
        <f>IFERROR(__xludf.DUMMYFUNCTION("""COMPUTED_VALUE"""),45265.6875)</f>
        <v>45265.6875</v>
      </c>
      <c r="P62" s="31">
        <f>IFERROR(__xludf.DUMMYFUNCTION("""COMPUTED_VALUE"""),478.86)</f>
        <v>478.86</v>
      </c>
      <c r="Q62" s="32">
        <f>IFERROR(__xludf.DUMMYFUNCTION("""COMPUTED_VALUE"""),45266.66666666667)</f>
        <v>45266.66667</v>
      </c>
      <c r="R62" s="31">
        <f>IFERROR(__xludf.DUMMYFUNCTION("""COMPUTED_VALUE"""),22.58)</f>
        <v>22.58</v>
      </c>
      <c r="S62" s="32">
        <f>IFERROR(__xludf.DUMMYFUNCTION("""COMPUTED_VALUE"""),45265.6875)</f>
        <v>45265.6875</v>
      </c>
      <c r="T62" s="22">
        <f>IFERROR(__xludf.DUMMYFUNCTION("""COMPUTED_VALUE"""),6.16)</f>
        <v>6.16</v>
      </c>
      <c r="U62" s="32">
        <f>IFERROR(__xludf.DUMMYFUNCTION("""COMPUTED_VALUE"""),45241.99861111111)</f>
        <v>45241.99861</v>
      </c>
      <c r="V62" s="31">
        <f>IFERROR(__xludf.DUMMYFUNCTION("""COMPUTED_VALUE"""),1.0714)</f>
        <v>1.0714</v>
      </c>
    </row>
    <row r="63" ht="15.75" customHeight="1">
      <c r="A63" s="32">
        <f>IFERROR(__xludf.DUMMYFUNCTION("""COMPUTED_VALUE"""),45267.73611111111)</f>
        <v>45267.73611</v>
      </c>
      <c r="B63" s="31">
        <f>IFERROR(__xludf.DUMMYFUNCTION("""COMPUTED_VALUE"""),94.82)</f>
        <v>94.82</v>
      </c>
      <c r="C63" s="32">
        <f>IFERROR(__xludf.DUMMYFUNCTION("""COMPUTED_VALUE"""),45268.726388888885)</f>
        <v>45268.72639</v>
      </c>
      <c r="D63" s="31">
        <f>IFERROR(__xludf.DUMMYFUNCTION("""COMPUTED_VALUE"""),5.14)</f>
        <v>5.14</v>
      </c>
      <c r="E63" s="32">
        <f>IFERROR(__xludf.DUMMYFUNCTION("""COMPUTED_VALUE"""),45267.73611111111)</f>
        <v>45267.73611</v>
      </c>
      <c r="F63" s="31">
        <f>IFERROR(__xludf.DUMMYFUNCTION("""COMPUTED_VALUE"""),94.51)</f>
        <v>94.51</v>
      </c>
      <c r="G63" s="32">
        <f>IFERROR(__xludf.DUMMYFUNCTION("""COMPUTED_VALUE"""),45266.726388888885)</f>
        <v>45266.72639</v>
      </c>
      <c r="H63" s="31">
        <f>IFERROR(__xludf.DUMMYFUNCTION("""COMPUTED_VALUE"""),5.09)</f>
        <v>5.09</v>
      </c>
      <c r="I63" s="32">
        <f>IFERROR(__xludf.DUMMYFUNCTION("""COMPUTED_VALUE"""),45266.726388888885)</f>
        <v>45266.72639</v>
      </c>
      <c r="J63" s="31">
        <f>IFERROR(__xludf.DUMMYFUNCTION("""COMPUTED_VALUE"""),5.12)</f>
        <v>5.12</v>
      </c>
      <c r="K63" s="32">
        <f>IFERROR(__xludf.DUMMYFUNCTION("""COMPUTED_VALUE"""),45268.73611111111)</f>
        <v>45268.73611</v>
      </c>
      <c r="L63" s="31">
        <f>IFERROR(__xludf.DUMMYFUNCTION("""COMPUTED_VALUE"""),95.12)</f>
        <v>95.12</v>
      </c>
      <c r="M63" s="32">
        <f>IFERROR(__xludf.DUMMYFUNCTION("""COMPUTED_VALUE"""),45266.726388888885)</f>
        <v>45266.72639</v>
      </c>
      <c r="N63" s="31">
        <f>IFERROR(__xludf.DUMMYFUNCTION("""COMPUTED_VALUE"""),5.18)</f>
        <v>5.18</v>
      </c>
      <c r="O63" s="32">
        <f>IFERROR(__xludf.DUMMYFUNCTION("""COMPUTED_VALUE"""),45266.6875)</f>
        <v>45266.6875</v>
      </c>
      <c r="P63" s="31">
        <f>IFERROR(__xludf.DUMMYFUNCTION("""COMPUTED_VALUE"""),478.1)</f>
        <v>478.1</v>
      </c>
      <c r="Q63" s="32">
        <f>IFERROR(__xludf.DUMMYFUNCTION("""COMPUTED_VALUE"""),45267.66666666667)</f>
        <v>45267.66667</v>
      </c>
      <c r="R63" s="31">
        <f>IFERROR(__xludf.DUMMYFUNCTION("""COMPUTED_VALUE"""),22.64)</f>
        <v>22.64</v>
      </c>
      <c r="S63" s="32">
        <f>IFERROR(__xludf.DUMMYFUNCTION("""COMPUTED_VALUE"""),45266.6875)</f>
        <v>45266.6875</v>
      </c>
      <c r="T63" s="22">
        <f>IFERROR(__xludf.DUMMYFUNCTION("""COMPUTED_VALUE"""),6.16)</f>
        <v>6.16</v>
      </c>
      <c r="U63" s="32">
        <f>IFERROR(__xludf.DUMMYFUNCTION("""COMPUTED_VALUE"""),45242.99861111111)</f>
        <v>45242.99861</v>
      </c>
      <c r="V63" s="31">
        <f>IFERROR(__xludf.DUMMYFUNCTION("""COMPUTED_VALUE"""),1.06891)</f>
        <v>1.06891</v>
      </c>
    </row>
    <row r="64" ht="15.75" customHeight="1">
      <c r="A64" s="32">
        <f>IFERROR(__xludf.DUMMYFUNCTION("""COMPUTED_VALUE"""),45268.73611111111)</f>
        <v>45268.73611</v>
      </c>
      <c r="B64" s="31">
        <f>IFERROR(__xludf.DUMMYFUNCTION("""COMPUTED_VALUE"""),94.81)</f>
        <v>94.81</v>
      </c>
      <c r="C64" s="32">
        <f>IFERROR(__xludf.DUMMYFUNCTION("""COMPUTED_VALUE"""),45271.726388888885)</f>
        <v>45271.72639</v>
      </c>
      <c r="D64" s="31">
        <f>IFERROR(__xludf.DUMMYFUNCTION("""COMPUTED_VALUE"""),5.15)</f>
        <v>5.15</v>
      </c>
      <c r="E64" s="32">
        <f>IFERROR(__xludf.DUMMYFUNCTION("""COMPUTED_VALUE"""),45268.73611111111)</f>
        <v>45268.73611</v>
      </c>
      <c r="F64" s="31">
        <f>IFERROR(__xludf.DUMMYFUNCTION("""COMPUTED_VALUE"""),94.59)</f>
        <v>94.59</v>
      </c>
      <c r="G64" s="32">
        <f>IFERROR(__xludf.DUMMYFUNCTION("""COMPUTED_VALUE"""),45267.726388888885)</f>
        <v>45267.72639</v>
      </c>
      <c r="H64" s="31">
        <f>IFERROR(__xludf.DUMMYFUNCTION("""COMPUTED_VALUE"""),5.09)</f>
        <v>5.09</v>
      </c>
      <c r="I64" s="32">
        <f>IFERROR(__xludf.DUMMYFUNCTION("""COMPUTED_VALUE"""),45267.726388888885)</f>
        <v>45267.72639</v>
      </c>
      <c r="J64" s="31">
        <f>IFERROR(__xludf.DUMMYFUNCTION("""COMPUTED_VALUE"""),5.12)</f>
        <v>5.12</v>
      </c>
      <c r="K64" s="32">
        <f>IFERROR(__xludf.DUMMYFUNCTION("""COMPUTED_VALUE"""),45271.73611111111)</f>
        <v>45271.73611</v>
      </c>
      <c r="L64" s="31">
        <f>IFERROR(__xludf.DUMMYFUNCTION("""COMPUTED_VALUE"""),95.16)</f>
        <v>95.16</v>
      </c>
      <c r="M64" s="32">
        <f>IFERROR(__xludf.DUMMYFUNCTION("""COMPUTED_VALUE"""),45267.726388888885)</f>
        <v>45267.72639</v>
      </c>
      <c r="N64" s="31">
        <f>IFERROR(__xludf.DUMMYFUNCTION("""COMPUTED_VALUE"""),5.18)</f>
        <v>5.18</v>
      </c>
      <c r="O64" s="32">
        <f>IFERROR(__xludf.DUMMYFUNCTION("""COMPUTED_VALUE"""),45267.6875)</f>
        <v>45267.6875</v>
      </c>
      <c r="P64" s="31">
        <f>IFERROR(__xludf.DUMMYFUNCTION("""COMPUTED_VALUE"""),479.81)</f>
        <v>479.81</v>
      </c>
      <c r="Q64" s="32">
        <f>IFERROR(__xludf.DUMMYFUNCTION("""COMPUTED_VALUE"""),45268.66666666667)</f>
        <v>45268.66667</v>
      </c>
      <c r="R64" s="31">
        <f>IFERROR(__xludf.DUMMYFUNCTION("""COMPUTED_VALUE"""),22.57)</f>
        <v>22.57</v>
      </c>
      <c r="S64" s="32">
        <f>IFERROR(__xludf.DUMMYFUNCTION("""COMPUTED_VALUE"""),45267.6875)</f>
        <v>45267.6875</v>
      </c>
      <c r="T64" s="22">
        <f>IFERROR(__xludf.DUMMYFUNCTION("""COMPUTED_VALUE"""),6.16)</f>
        <v>6.16</v>
      </c>
      <c r="U64" s="32">
        <f>IFERROR(__xludf.DUMMYFUNCTION("""COMPUTED_VALUE"""),45243.99861111111)</f>
        <v>45243.99861</v>
      </c>
      <c r="V64" s="31">
        <f>IFERROR(__xludf.DUMMYFUNCTION("""COMPUTED_VALUE"""),1.07003)</f>
        <v>1.07003</v>
      </c>
    </row>
    <row r="65" ht="15.75" customHeight="1">
      <c r="A65" s="32">
        <f>IFERROR(__xludf.DUMMYFUNCTION("""COMPUTED_VALUE"""),45271.73611111111)</f>
        <v>45271.73611</v>
      </c>
      <c r="B65" s="31">
        <f>IFERROR(__xludf.DUMMYFUNCTION("""COMPUTED_VALUE"""),94.75)</f>
        <v>94.75</v>
      </c>
      <c r="C65" s="32">
        <f>IFERROR(__xludf.DUMMYFUNCTION("""COMPUTED_VALUE"""),45272.726388888885)</f>
        <v>45272.72639</v>
      </c>
      <c r="D65" s="31">
        <f>IFERROR(__xludf.DUMMYFUNCTION("""COMPUTED_VALUE"""),5.15)</f>
        <v>5.15</v>
      </c>
      <c r="E65" s="32">
        <f>IFERROR(__xludf.DUMMYFUNCTION("""COMPUTED_VALUE"""),45271.73611111111)</f>
        <v>45271.73611</v>
      </c>
      <c r="F65" s="31">
        <f>IFERROR(__xludf.DUMMYFUNCTION("""COMPUTED_VALUE"""),94.62)</f>
        <v>94.62</v>
      </c>
      <c r="G65" s="32">
        <f>IFERROR(__xludf.DUMMYFUNCTION("""COMPUTED_VALUE"""),45268.726388888885)</f>
        <v>45268.72639</v>
      </c>
      <c r="H65" s="31">
        <f>IFERROR(__xludf.DUMMYFUNCTION("""COMPUTED_VALUE"""),5.08)</f>
        <v>5.08</v>
      </c>
      <c r="I65" s="32">
        <f>IFERROR(__xludf.DUMMYFUNCTION("""COMPUTED_VALUE"""),45268.726388888885)</f>
        <v>45268.72639</v>
      </c>
      <c r="J65" s="31">
        <f>IFERROR(__xludf.DUMMYFUNCTION("""COMPUTED_VALUE"""),5.11)</f>
        <v>5.11</v>
      </c>
      <c r="K65" s="32">
        <f>IFERROR(__xludf.DUMMYFUNCTION("""COMPUTED_VALUE"""),45272.73611111111)</f>
        <v>45272.73611</v>
      </c>
      <c r="L65" s="31">
        <f>IFERROR(__xludf.DUMMYFUNCTION("""COMPUTED_VALUE"""),94.9)</f>
        <v>94.9</v>
      </c>
      <c r="M65" s="32">
        <f>IFERROR(__xludf.DUMMYFUNCTION("""COMPUTED_VALUE"""),45268.726388888885)</f>
        <v>45268.72639</v>
      </c>
      <c r="N65" s="31">
        <f>IFERROR(__xludf.DUMMYFUNCTION("""COMPUTED_VALUE"""),5.17)</f>
        <v>5.17</v>
      </c>
      <c r="O65" s="32">
        <f>IFERROR(__xludf.DUMMYFUNCTION("""COMPUTED_VALUE"""),45268.6875)</f>
        <v>45268.6875</v>
      </c>
      <c r="P65" s="31">
        <f>IFERROR(__xludf.DUMMYFUNCTION("""COMPUTED_VALUE"""),481.01)</f>
        <v>481.01</v>
      </c>
      <c r="Q65" s="32">
        <f>IFERROR(__xludf.DUMMYFUNCTION("""COMPUTED_VALUE"""),45271.66666666667)</f>
        <v>45271.66667</v>
      </c>
      <c r="R65" s="31">
        <f>IFERROR(__xludf.DUMMYFUNCTION("""COMPUTED_VALUE"""),22.54)</f>
        <v>22.54</v>
      </c>
      <c r="S65" s="32">
        <f>IFERROR(__xludf.DUMMYFUNCTION("""COMPUTED_VALUE"""),45268.6875)</f>
        <v>45268.6875</v>
      </c>
      <c r="T65" s="22">
        <f>IFERROR(__xludf.DUMMYFUNCTION("""COMPUTED_VALUE"""),6.14)</f>
        <v>6.14</v>
      </c>
      <c r="U65" s="32">
        <f>IFERROR(__xludf.DUMMYFUNCTION("""COMPUTED_VALUE"""),45244.99861111111)</f>
        <v>45244.99861</v>
      </c>
      <c r="V65" s="31">
        <f>IFERROR(__xludf.DUMMYFUNCTION("""COMPUTED_VALUE"""),1.08774)</f>
        <v>1.08774</v>
      </c>
    </row>
    <row r="66" ht="15.75" customHeight="1">
      <c r="A66" s="32">
        <f>IFERROR(__xludf.DUMMYFUNCTION("""COMPUTED_VALUE"""),45272.73611111111)</f>
        <v>45272.73611</v>
      </c>
      <c r="B66" s="31">
        <f>IFERROR(__xludf.DUMMYFUNCTION("""COMPUTED_VALUE"""),94.42)</f>
        <v>94.42</v>
      </c>
      <c r="C66" s="32">
        <f>IFERROR(__xludf.DUMMYFUNCTION("""COMPUTED_VALUE"""),45273.726388888885)</f>
        <v>45273.72639</v>
      </c>
      <c r="D66" s="31">
        <f>IFERROR(__xludf.DUMMYFUNCTION("""COMPUTED_VALUE"""),5.16)</f>
        <v>5.16</v>
      </c>
      <c r="E66" s="32">
        <f>IFERROR(__xludf.DUMMYFUNCTION("""COMPUTED_VALUE"""),45273.73611111111)</f>
        <v>45273.73611</v>
      </c>
      <c r="F66" s="31">
        <f>IFERROR(__xludf.DUMMYFUNCTION("""COMPUTED_VALUE"""),94.46)</f>
        <v>94.46</v>
      </c>
      <c r="G66" s="32">
        <f>IFERROR(__xludf.DUMMYFUNCTION("""COMPUTED_VALUE"""),45271.726388888885)</f>
        <v>45271.72639</v>
      </c>
      <c r="H66" s="31">
        <f>IFERROR(__xludf.DUMMYFUNCTION("""COMPUTED_VALUE"""),5.08)</f>
        <v>5.08</v>
      </c>
      <c r="I66" s="32">
        <f>IFERROR(__xludf.DUMMYFUNCTION("""COMPUTED_VALUE"""),45271.726388888885)</f>
        <v>45271.72639</v>
      </c>
      <c r="J66" s="31">
        <f>IFERROR(__xludf.DUMMYFUNCTION("""COMPUTED_VALUE"""),5.11)</f>
        <v>5.11</v>
      </c>
      <c r="K66" s="32">
        <f>IFERROR(__xludf.DUMMYFUNCTION("""COMPUTED_VALUE"""),45273.73611111111)</f>
        <v>45273.73611</v>
      </c>
      <c r="L66" s="31">
        <f>IFERROR(__xludf.DUMMYFUNCTION("""COMPUTED_VALUE"""),95.19)</f>
        <v>95.19</v>
      </c>
      <c r="M66" s="32">
        <f>IFERROR(__xludf.DUMMYFUNCTION("""COMPUTED_VALUE"""),45271.726388888885)</f>
        <v>45271.72639</v>
      </c>
      <c r="N66" s="31">
        <f>IFERROR(__xludf.DUMMYFUNCTION("""COMPUTED_VALUE"""),5.17)</f>
        <v>5.17</v>
      </c>
      <c r="O66" s="32">
        <f>IFERROR(__xludf.DUMMYFUNCTION("""COMPUTED_VALUE"""),45271.6875)</f>
        <v>45271.6875</v>
      </c>
      <c r="P66" s="31">
        <f>IFERROR(__xludf.DUMMYFUNCTION("""COMPUTED_VALUE"""),482.44)</f>
        <v>482.44</v>
      </c>
      <c r="Q66" s="32">
        <f>IFERROR(__xludf.DUMMYFUNCTION("""COMPUTED_VALUE"""),45272.66666666667)</f>
        <v>45272.66667</v>
      </c>
      <c r="R66" s="31">
        <f>IFERROR(__xludf.DUMMYFUNCTION("""COMPUTED_VALUE"""),22.57)</f>
        <v>22.57</v>
      </c>
      <c r="S66" s="32">
        <f>IFERROR(__xludf.DUMMYFUNCTION("""COMPUTED_VALUE"""),45271.6875)</f>
        <v>45271.6875</v>
      </c>
      <c r="T66" s="22">
        <f>IFERROR(__xludf.DUMMYFUNCTION("""COMPUTED_VALUE"""),6.13)</f>
        <v>6.13</v>
      </c>
      <c r="U66" s="32">
        <f>IFERROR(__xludf.DUMMYFUNCTION("""COMPUTED_VALUE"""),45245.99861111111)</f>
        <v>45245.99861</v>
      </c>
      <c r="V66" s="31">
        <f>IFERROR(__xludf.DUMMYFUNCTION("""COMPUTED_VALUE"""),1.08543)</f>
        <v>1.08543</v>
      </c>
    </row>
    <row r="67" ht="15.75" customHeight="1">
      <c r="A67" s="32">
        <f>IFERROR(__xludf.DUMMYFUNCTION("""COMPUTED_VALUE"""),45273.73611111111)</f>
        <v>45273.73611</v>
      </c>
      <c r="B67" s="31">
        <f>IFERROR(__xludf.DUMMYFUNCTION("""COMPUTED_VALUE"""),94.83)</f>
        <v>94.83</v>
      </c>
      <c r="C67" s="32">
        <f>IFERROR(__xludf.DUMMYFUNCTION("""COMPUTED_VALUE"""),45274.726388888885)</f>
        <v>45274.72639</v>
      </c>
      <c r="D67" s="31">
        <f>IFERROR(__xludf.DUMMYFUNCTION("""COMPUTED_VALUE"""),5.19)</f>
        <v>5.19</v>
      </c>
      <c r="E67" s="32">
        <f>IFERROR(__xludf.DUMMYFUNCTION("""COMPUTED_VALUE"""),45274.73611111111)</f>
        <v>45274.73611</v>
      </c>
      <c r="F67" s="31">
        <f>IFERROR(__xludf.DUMMYFUNCTION("""COMPUTED_VALUE"""),93.66)</f>
        <v>93.66</v>
      </c>
      <c r="G67" s="32">
        <f>IFERROR(__xludf.DUMMYFUNCTION("""COMPUTED_VALUE"""),45272.726388888885)</f>
        <v>45272.72639</v>
      </c>
      <c r="H67" s="31">
        <f>IFERROR(__xludf.DUMMYFUNCTION("""COMPUTED_VALUE"""),5.08)</f>
        <v>5.08</v>
      </c>
      <c r="I67" s="32">
        <f>IFERROR(__xludf.DUMMYFUNCTION("""COMPUTED_VALUE"""),45272.726388888885)</f>
        <v>45272.72639</v>
      </c>
      <c r="J67" s="31">
        <f>IFERROR(__xludf.DUMMYFUNCTION("""COMPUTED_VALUE"""),5.11)</f>
        <v>5.11</v>
      </c>
      <c r="K67" s="32">
        <f>IFERROR(__xludf.DUMMYFUNCTION("""COMPUTED_VALUE"""),45274.73611111111)</f>
        <v>45274.73611</v>
      </c>
      <c r="L67" s="31">
        <f>IFERROR(__xludf.DUMMYFUNCTION("""COMPUTED_VALUE"""),94.48)</f>
        <v>94.48</v>
      </c>
      <c r="M67" s="32">
        <f>IFERROR(__xludf.DUMMYFUNCTION("""COMPUTED_VALUE"""),45272.726388888885)</f>
        <v>45272.72639</v>
      </c>
      <c r="N67" s="31">
        <f>IFERROR(__xludf.DUMMYFUNCTION("""COMPUTED_VALUE"""),5.17)</f>
        <v>5.17</v>
      </c>
      <c r="O67" s="32">
        <f>IFERROR(__xludf.DUMMYFUNCTION("""COMPUTED_VALUE"""),45272.6875)</f>
        <v>45272.6875</v>
      </c>
      <c r="P67" s="31">
        <f>IFERROR(__xludf.DUMMYFUNCTION("""COMPUTED_VALUE"""),485.08)</f>
        <v>485.08</v>
      </c>
      <c r="Q67" s="32">
        <f>IFERROR(__xludf.DUMMYFUNCTION("""COMPUTED_VALUE"""),45273.66666666667)</f>
        <v>45273.66667</v>
      </c>
      <c r="R67" s="31">
        <f>IFERROR(__xludf.DUMMYFUNCTION("""COMPUTED_VALUE"""),23.01)</f>
        <v>23.01</v>
      </c>
      <c r="S67" s="32">
        <f>IFERROR(__xludf.DUMMYFUNCTION("""COMPUTED_VALUE"""),45272.6875)</f>
        <v>45272.6875</v>
      </c>
      <c r="T67" s="22">
        <f>IFERROR(__xludf.DUMMYFUNCTION("""COMPUTED_VALUE"""),6.14)</f>
        <v>6.14</v>
      </c>
      <c r="U67" s="32">
        <f>IFERROR(__xludf.DUMMYFUNCTION("""COMPUTED_VALUE"""),45246.99861111111)</f>
        <v>45246.99861</v>
      </c>
      <c r="V67" s="31">
        <f>IFERROR(__xludf.DUMMYFUNCTION("""COMPUTED_VALUE"""),1.08526)</f>
        <v>1.08526</v>
      </c>
    </row>
    <row r="68" ht="15.75" customHeight="1">
      <c r="A68" s="32">
        <f>IFERROR(__xludf.DUMMYFUNCTION("""COMPUTED_VALUE"""),45274.73611111111)</f>
        <v>45274.73611</v>
      </c>
      <c r="B68" s="31">
        <f>IFERROR(__xludf.DUMMYFUNCTION("""COMPUTED_VALUE"""),94.52)</f>
        <v>94.52</v>
      </c>
      <c r="C68" s="32">
        <f>IFERROR(__xludf.DUMMYFUNCTION("""COMPUTED_VALUE"""),45275.726388888885)</f>
        <v>45275.72639</v>
      </c>
      <c r="D68" s="31">
        <f>IFERROR(__xludf.DUMMYFUNCTION("""COMPUTED_VALUE"""),5.21)</f>
        <v>5.21</v>
      </c>
      <c r="E68" s="32">
        <f>IFERROR(__xludf.DUMMYFUNCTION("""COMPUTED_VALUE"""),45275.73611111111)</f>
        <v>45275.73611</v>
      </c>
      <c r="F68" s="31">
        <f>IFERROR(__xludf.DUMMYFUNCTION("""COMPUTED_VALUE"""),94.13)</f>
        <v>94.13</v>
      </c>
      <c r="G68" s="32">
        <f>IFERROR(__xludf.DUMMYFUNCTION("""COMPUTED_VALUE"""),45273.726388888885)</f>
        <v>45273.72639</v>
      </c>
      <c r="H68" s="31">
        <f>IFERROR(__xludf.DUMMYFUNCTION("""COMPUTED_VALUE"""),5.09)</f>
        <v>5.09</v>
      </c>
      <c r="I68" s="32">
        <f>IFERROR(__xludf.DUMMYFUNCTION("""COMPUTED_VALUE"""),45273.726388888885)</f>
        <v>45273.72639</v>
      </c>
      <c r="J68" s="31">
        <f>IFERROR(__xludf.DUMMYFUNCTION("""COMPUTED_VALUE"""),5.12)</f>
        <v>5.12</v>
      </c>
      <c r="K68" s="32">
        <f>IFERROR(__xludf.DUMMYFUNCTION("""COMPUTED_VALUE"""),45275.73611111111)</f>
        <v>45275.73611</v>
      </c>
      <c r="L68" s="31">
        <f>IFERROR(__xludf.DUMMYFUNCTION("""COMPUTED_VALUE"""),95.05)</f>
        <v>95.05</v>
      </c>
      <c r="M68" s="32">
        <f>IFERROR(__xludf.DUMMYFUNCTION("""COMPUTED_VALUE"""),45273.726388888885)</f>
        <v>45273.72639</v>
      </c>
      <c r="N68" s="31">
        <f>IFERROR(__xludf.DUMMYFUNCTION("""COMPUTED_VALUE"""),5.19)</f>
        <v>5.19</v>
      </c>
      <c r="O68" s="32">
        <f>IFERROR(__xludf.DUMMYFUNCTION("""COMPUTED_VALUE"""),45273.6875)</f>
        <v>45273.6875</v>
      </c>
      <c r="P68" s="31">
        <f>IFERROR(__xludf.DUMMYFUNCTION("""COMPUTED_VALUE"""),487.51)</f>
        <v>487.51</v>
      </c>
      <c r="Q68" s="32">
        <f>IFERROR(__xludf.DUMMYFUNCTION("""COMPUTED_VALUE"""),45274.66666666667)</f>
        <v>45274.66667</v>
      </c>
      <c r="R68" s="31">
        <f>IFERROR(__xludf.DUMMYFUNCTION("""COMPUTED_VALUE"""),22.96)</f>
        <v>22.96</v>
      </c>
      <c r="S68" s="32">
        <f>IFERROR(__xludf.DUMMYFUNCTION("""COMPUTED_VALUE"""),45273.6875)</f>
        <v>45273.6875</v>
      </c>
      <c r="T68" s="22">
        <f>IFERROR(__xludf.DUMMYFUNCTION("""COMPUTED_VALUE"""),6.17)</f>
        <v>6.17</v>
      </c>
      <c r="U68" s="32">
        <f>IFERROR(__xludf.DUMMYFUNCTION("""COMPUTED_VALUE"""),45247.99861111111)</f>
        <v>45247.99861</v>
      </c>
      <c r="V68" s="31">
        <f>IFERROR(__xludf.DUMMYFUNCTION("""COMPUTED_VALUE"""),1.0916)</f>
        <v>1.0916</v>
      </c>
    </row>
    <row r="69" ht="15.75" customHeight="1">
      <c r="A69" s="32">
        <f>IFERROR(__xludf.DUMMYFUNCTION("""COMPUTED_VALUE"""),45275.73611111111)</f>
        <v>45275.73611</v>
      </c>
      <c r="B69" s="31">
        <f>IFERROR(__xludf.DUMMYFUNCTION("""COMPUTED_VALUE"""),94.95)</f>
        <v>94.95</v>
      </c>
      <c r="C69" s="32">
        <f>IFERROR(__xludf.DUMMYFUNCTION("""COMPUTED_VALUE"""),45278.726388888885)</f>
        <v>45278.72639</v>
      </c>
      <c r="D69" s="31">
        <f>IFERROR(__xludf.DUMMYFUNCTION("""COMPUTED_VALUE"""),5.19)</f>
        <v>5.19</v>
      </c>
      <c r="E69" s="32">
        <f>IFERROR(__xludf.DUMMYFUNCTION("""COMPUTED_VALUE"""),45278.73611111111)</f>
        <v>45278.73611</v>
      </c>
      <c r="F69" s="31">
        <f>IFERROR(__xludf.DUMMYFUNCTION("""COMPUTED_VALUE"""),94.03)</f>
        <v>94.03</v>
      </c>
      <c r="G69" s="32">
        <f>IFERROR(__xludf.DUMMYFUNCTION("""COMPUTED_VALUE"""),45274.726388888885)</f>
        <v>45274.72639</v>
      </c>
      <c r="H69" s="31">
        <f>IFERROR(__xludf.DUMMYFUNCTION("""COMPUTED_VALUE"""),5.11)</f>
        <v>5.11</v>
      </c>
      <c r="I69" s="32">
        <f>IFERROR(__xludf.DUMMYFUNCTION("""COMPUTED_VALUE"""),45274.726388888885)</f>
        <v>45274.72639</v>
      </c>
      <c r="J69" s="31">
        <f>IFERROR(__xludf.DUMMYFUNCTION("""COMPUTED_VALUE"""),5.14)</f>
        <v>5.14</v>
      </c>
      <c r="K69" s="32">
        <f>IFERROR(__xludf.DUMMYFUNCTION("""COMPUTED_VALUE"""),45278.73611111111)</f>
        <v>45278.73611</v>
      </c>
      <c r="L69" s="31">
        <f>IFERROR(__xludf.DUMMYFUNCTION("""COMPUTED_VALUE"""),94.88)</f>
        <v>94.88</v>
      </c>
      <c r="M69" s="32">
        <f>IFERROR(__xludf.DUMMYFUNCTION("""COMPUTED_VALUE"""),45274.726388888885)</f>
        <v>45274.72639</v>
      </c>
      <c r="N69" s="31">
        <f>IFERROR(__xludf.DUMMYFUNCTION("""COMPUTED_VALUE"""),5.22)</f>
        <v>5.22</v>
      </c>
      <c r="O69" s="32">
        <f>IFERROR(__xludf.DUMMYFUNCTION("""COMPUTED_VALUE"""),45274.6875)</f>
        <v>45274.6875</v>
      </c>
      <c r="P69" s="31">
        <f>IFERROR(__xludf.DUMMYFUNCTION("""COMPUTED_VALUE"""),494.75)</f>
        <v>494.75</v>
      </c>
      <c r="Q69" s="32">
        <f>IFERROR(__xludf.DUMMYFUNCTION("""COMPUTED_VALUE"""),45275.66666666667)</f>
        <v>45275.66667</v>
      </c>
      <c r="R69" s="31">
        <f>IFERROR(__xludf.DUMMYFUNCTION("""COMPUTED_VALUE"""),22.93)</f>
        <v>22.93</v>
      </c>
      <c r="S69" s="32">
        <f>IFERROR(__xludf.DUMMYFUNCTION("""COMPUTED_VALUE"""),45274.6875)</f>
        <v>45274.6875</v>
      </c>
      <c r="T69" s="22">
        <f>IFERROR(__xludf.DUMMYFUNCTION("""COMPUTED_VALUE"""),6.3)</f>
        <v>6.3</v>
      </c>
      <c r="U69" s="32">
        <f>IFERROR(__xludf.DUMMYFUNCTION("""COMPUTED_VALUE"""),45248.99861111111)</f>
        <v>45248.99861</v>
      </c>
      <c r="V69" s="31">
        <f>IFERROR(__xludf.DUMMYFUNCTION("""COMPUTED_VALUE"""),1.0916)</f>
        <v>1.0916</v>
      </c>
    </row>
    <row r="70" ht="15.75" customHeight="1">
      <c r="A70" s="32">
        <f>IFERROR(__xludf.DUMMYFUNCTION("""COMPUTED_VALUE"""),45278.73611111111)</f>
        <v>45278.73611</v>
      </c>
      <c r="B70" s="31">
        <f>IFERROR(__xludf.DUMMYFUNCTION("""COMPUTED_VALUE"""),94.72)</f>
        <v>94.72</v>
      </c>
      <c r="C70" s="32">
        <f>IFERROR(__xludf.DUMMYFUNCTION("""COMPUTED_VALUE"""),45279.726388888885)</f>
        <v>45279.72639</v>
      </c>
      <c r="D70" s="31">
        <f>IFERROR(__xludf.DUMMYFUNCTION("""COMPUTED_VALUE"""),5.19)</f>
        <v>5.19</v>
      </c>
      <c r="E70" s="32">
        <f>IFERROR(__xludf.DUMMYFUNCTION("""COMPUTED_VALUE"""),45279.73611111111)</f>
        <v>45279.73611</v>
      </c>
      <c r="F70" s="31">
        <f>IFERROR(__xludf.DUMMYFUNCTION("""COMPUTED_VALUE"""),93.55)</f>
        <v>93.55</v>
      </c>
      <c r="G70" s="32">
        <f>IFERROR(__xludf.DUMMYFUNCTION("""COMPUTED_VALUE"""),45275.726388888885)</f>
        <v>45275.72639</v>
      </c>
      <c r="H70" s="31">
        <f>IFERROR(__xludf.DUMMYFUNCTION("""COMPUTED_VALUE"""),5.1)</f>
        <v>5.1</v>
      </c>
      <c r="I70" s="32">
        <f>IFERROR(__xludf.DUMMYFUNCTION("""COMPUTED_VALUE"""),45275.726388888885)</f>
        <v>45275.72639</v>
      </c>
      <c r="J70" s="31">
        <f>IFERROR(__xludf.DUMMYFUNCTION("""COMPUTED_VALUE"""),5.15)</f>
        <v>5.15</v>
      </c>
      <c r="K70" s="32">
        <f>IFERROR(__xludf.DUMMYFUNCTION("""COMPUTED_VALUE"""),45279.73611111111)</f>
        <v>45279.73611</v>
      </c>
      <c r="L70" s="31">
        <f>IFERROR(__xludf.DUMMYFUNCTION("""COMPUTED_VALUE"""),94.46)</f>
        <v>94.46</v>
      </c>
      <c r="M70" s="32">
        <f>IFERROR(__xludf.DUMMYFUNCTION("""COMPUTED_VALUE"""),45275.726388888885)</f>
        <v>45275.72639</v>
      </c>
      <c r="N70" s="31">
        <f>IFERROR(__xludf.DUMMYFUNCTION("""COMPUTED_VALUE"""),5.25)</f>
        <v>5.25</v>
      </c>
      <c r="O70" s="32">
        <f>IFERROR(__xludf.DUMMYFUNCTION("""COMPUTED_VALUE"""),45275.6875)</f>
        <v>45275.6875</v>
      </c>
      <c r="P70" s="31">
        <f>IFERROR(__xludf.DUMMYFUNCTION("""COMPUTED_VALUE"""),495.11)</f>
        <v>495.11</v>
      </c>
      <c r="Q70" s="32">
        <f>IFERROR(__xludf.DUMMYFUNCTION("""COMPUTED_VALUE"""),45278.66666666667)</f>
        <v>45278.66667</v>
      </c>
      <c r="R70" s="31">
        <f>IFERROR(__xludf.DUMMYFUNCTION("""COMPUTED_VALUE"""),22.97)</f>
        <v>22.97</v>
      </c>
      <c r="S70" s="32">
        <f>IFERROR(__xludf.DUMMYFUNCTION("""COMPUTED_VALUE"""),45275.6875)</f>
        <v>45275.6875</v>
      </c>
      <c r="T70" s="22">
        <f>IFERROR(__xludf.DUMMYFUNCTION("""COMPUTED_VALUE"""),6.28)</f>
        <v>6.28</v>
      </c>
      <c r="U70" s="32">
        <f>IFERROR(__xludf.DUMMYFUNCTION("""COMPUTED_VALUE"""),45249.99861111111)</f>
        <v>45249.99861</v>
      </c>
      <c r="V70" s="31">
        <f>IFERROR(__xludf.DUMMYFUNCTION("""COMPUTED_VALUE"""),1.09063)</f>
        <v>1.09063</v>
      </c>
    </row>
    <row r="71" ht="15.75" customHeight="1">
      <c r="A71" s="32">
        <f>IFERROR(__xludf.DUMMYFUNCTION("""COMPUTED_VALUE"""),45279.73611111111)</f>
        <v>45279.73611</v>
      </c>
      <c r="B71" s="31">
        <f>IFERROR(__xludf.DUMMYFUNCTION("""COMPUTED_VALUE"""),94.39)</f>
        <v>94.39</v>
      </c>
      <c r="C71" s="32">
        <f>IFERROR(__xludf.DUMMYFUNCTION("""COMPUTED_VALUE"""),45280.726388888885)</f>
        <v>45280.72639</v>
      </c>
      <c r="D71" s="31">
        <f>IFERROR(__xludf.DUMMYFUNCTION("""COMPUTED_VALUE"""),5.21)</f>
        <v>5.21</v>
      </c>
      <c r="E71" s="32">
        <f>IFERROR(__xludf.DUMMYFUNCTION("""COMPUTED_VALUE"""),45280.73611111111)</f>
        <v>45280.73611</v>
      </c>
      <c r="F71" s="31">
        <f>IFERROR(__xludf.DUMMYFUNCTION("""COMPUTED_VALUE"""),93.68)</f>
        <v>93.68</v>
      </c>
      <c r="G71" s="32">
        <f>IFERROR(__xludf.DUMMYFUNCTION("""COMPUTED_VALUE"""),45278.726388888885)</f>
        <v>45278.72639</v>
      </c>
      <c r="H71" s="31">
        <f>IFERROR(__xludf.DUMMYFUNCTION("""COMPUTED_VALUE"""),5.1)</f>
        <v>5.1</v>
      </c>
      <c r="I71" s="32">
        <f>IFERROR(__xludf.DUMMYFUNCTION("""COMPUTED_VALUE"""),45278.726388888885)</f>
        <v>45278.72639</v>
      </c>
      <c r="J71" s="31">
        <f>IFERROR(__xludf.DUMMYFUNCTION("""COMPUTED_VALUE"""),5.14)</f>
        <v>5.14</v>
      </c>
      <c r="K71" s="32">
        <f>IFERROR(__xludf.DUMMYFUNCTION("""COMPUTED_VALUE"""),45280.73611111111)</f>
        <v>45280.73611</v>
      </c>
      <c r="L71" s="31">
        <f>IFERROR(__xludf.DUMMYFUNCTION("""COMPUTED_VALUE"""),94.51)</f>
        <v>94.51</v>
      </c>
      <c r="M71" s="32">
        <f>IFERROR(__xludf.DUMMYFUNCTION("""COMPUTED_VALUE"""),45278.726388888885)</f>
        <v>45278.72639</v>
      </c>
      <c r="N71" s="31">
        <f>IFERROR(__xludf.DUMMYFUNCTION("""COMPUTED_VALUE"""),5.23)</f>
        <v>5.23</v>
      </c>
      <c r="O71" s="32">
        <f>IFERROR(__xludf.DUMMYFUNCTION("""COMPUTED_VALUE"""),45278.6875)</f>
        <v>45278.6875</v>
      </c>
      <c r="P71" s="31">
        <f>IFERROR(__xludf.DUMMYFUNCTION("""COMPUTED_VALUE"""),496.99)</f>
        <v>496.99</v>
      </c>
      <c r="Q71" s="32">
        <f>IFERROR(__xludf.DUMMYFUNCTION("""COMPUTED_VALUE"""),45279.66666666667)</f>
        <v>45279.66667</v>
      </c>
      <c r="R71" s="31">
        <f>IFERROR(__xludf.DUMMYFUNCTION("""COMPUTED_VALUE"""),23.07)</f>
        <v>23.07</v>
      </c>
      <c r="S71" s="32">
        <f>IFERROR(__xludf.DUMMYFUNCTION("""COMPUTED_VALUE"""),45278.6875)</f>
        <v>45278.6875</v>
      </c>
      <c r="T71" s="22">
        <f>IFERROR(__xludf.DUMMYFUNCTION("""COMPUTED_VALUE"""),6.25)</f>
        <v>6.25</v>
      </c>
      <c r="U71" s="32">
        <f>IFERROR(__xludf.DUMMYFUNCTION("""COMPUTED_VALUE"""),45250.99861111111)</f>
        <v>45250.99861</v>
      </c>
      <c r="V71" s="31">
        <f>IFERROR(__xludf.DUMMYFUNCTION("""COMPUTED_VALUE"""),1.09452)</f>
        <v>1.09452</v>
      </c>
    </row>
    <row r="72" ht="15.75" customHeight="1">
      <c r="A72" s="32">
        <f>IFERROR(__xludf.DUMMYFUNCTION("""COMPUTED_VALUE"""),45280.73611111111)</f>
        <v>45280.73611</v>
      </c>
      <c r="B72" s="31">
        <f>IFERROR(__xludf.DUMMYFUNCTION("""COMPUTED_VALUE"""),94.4)</f>
        <v>94.4</v>
      </c>
      <c r="C72" s="32">
        <f>IFERROR(__xludf.DUMMYFUNCTION("""COMPUTED_VALUE"""),45281.726388888885)</f>
        <v>45281.72639</v>
      </c>
      <c r="D72" s="31">
        <f>IFERROR(__xludf.DUMMYFUNCTION("""COMPUTED_VALUE"""),5.21)</f>
        <v>5.21</v>
      </c>
      <c r="E72" s="32">
        <f>IFERROR(__xludf.DUMMYFUNCTION("""COMPUTED_VALUE"""),45281.73611111111)</f>
        <v>45281.73611</v>
      </c>
      <c r="F72" s="31">
        <f>IFERROR(__xludf.DUMMYFUNCTION("""COMPUTED_VALUE"""),93.71)</f>
        <v>93.71</v>
      </c>
      <c r="G72" s="32">
        <f>IFERROR(__xludf.DUMMYFUNCTION("""COMPUTED_VALUE"""),45279.726388888885)</f>
        <v>45279.72639</v>
      </c>
      <c r="H72" s="31">
        <f>IFERROR(__xludf.DUMMYFUNCTION("""COMPUTED_VALUE"""),5.1)</f>
        <v>5.1</v>
      </c>
      <c r="I72" s="32">
        <f>IFERROR(__xludf.DUMMYFUNCTION("""COMPUTED_VALUE"""),45279.726388888885)</f>
        <v>45279.72639</v>
      </c>
      <c r="J72" s="31">
        <f>IFERROR(__xludf.DUMMYFUNCTION("""COMPUTED_VALUE"""),5.14)</f>
        <v>5.14</v>
      </c>
      <c r="K72" s="32">
        <f>IFERROR(__xludf.DUMMYFUNCTION("""COMPUTED_VALUE"""),45281.73611111111)</f>
        <v>45281.73611</v>
      </c>
      <c r="L72" s="31">
        <f>IFERROR(__xludf.DUMMYFUNCTION("""COMPUTED_VALUE"""),94.53)</f>
        <v>94.53</v>
      </c>
      <c r="M72" s="32">
        <f>IFERROR(__xludf.DUMMYFUNCTION("""COMPUTED_VALUE"""),45279.726388888885)</f>
        <v>45279.72639</v>
      </c>
      <c r="N72" s="31">
        <f>IFERROR(__xludf.DUMMYFUNCTION("""COMPUTED_VALUE"""),5.24)</f>
        <v>5.24</v>
      </c>
      <c r="O72" s="32">
        <f>IFERROR(__xludf.DUMMYFUNCTION("""COMPUTED_VALUE"""),45279.6875)</f>
        <v>45279.6875</v>
      </c>
      <c r="P72" s="31">
        <f>IFERROR(__xludf.DUMMYFUNCTION("""COMPUTED_VALUE"""),499.11)</f>
        <v>499.11</v>
      </c>
      <c r="Q72" s="32">
        <f>IFERROR(__xludf.DUMMYFUNCTION("""COMPUTED_VALUE"""),45280.66666666667)</f>
        <v>45280.66667</v>
      </c>
      <c r="R72" s="31">
        <f>IFERROR(__xludf.DUMMYFUNCTION("""COMPUTED_VALUE"""),23.13)</f>
        <v>23.13</v>
      </c>
      <c r="S72" s="32">
        <f>IFERROR(__xludf.DUMMYFUNCTION("""COMPUTED_VALUE"""),45279.6875)</f>
        <v>45279.6875</v>
      </c>
      <c r="T72" s="22">
        <f>IFERROR(__xludf.DUMMYFUNCTION("""COMPUTED_VALUE"""),6.29)</f>
        <v>6.29</v>
      </c>
      <c r="U72" s="32">
        <f>IFERROR(__xludf.DUMMYFUNCTION("""COMPUTED_VALUE"""),45251.99861111111)</f>
        <v>45251.99861</v>
      </c>
      <c r="V72" s="31">
        <f>IFERROR(__xludf.DUMMYFUNCTION("""COMPUTED_VALUE"""),1.0915)</f>
        <v>1.0915</v>
      </c>
    </row>
    <row r="73" ht="15.75" customHeight="1">
      <c r="A73" s="32">
        <f>IFERROR(__xludf.DUMMYFUNCTION("""COMPUTED_VALUE"""),45281.73611111111)</f>
        <v>45281.73611</v>
      </c>
      <c r="B73" s="31">
        <f>IFERROR(__xludf.DUMMYFUNCTION("""COMPUTED_VALUE"""),94.56)</f>
        <v>94.56</v>
      </c>
      <c r="C73" s="32">
        <f>IFERROR(__xludf.DUMMYFUNCTION("""COMPUTED_VALUE"""),45282.726388888885)</f>
        <v>45282.72639</v>
      </c>
      <c r="D73" s="31">
        <f>IFERROR(__xludf.DUMMYFUNCTION("""COMPUTED_VALUE"""),5.22)</f>
        <v>5.22</v>
      </c>
      <c r="E73" s="32">
        <f>IFERROR(__xludf.DUMMYFUNCTION("""COMPUTED_VALUE"""),45282.73611111111)</f>
        <v>45282.73611</v>
      </c>
      <c r="F73" s="31">
        <f>IFERROR(__xludf.DUMMYFUNCTION("""COMPUTED_VALUE"""),93.52)</f>
        <v>93.52</v>
      </c>
      <c r="G73" s="32">
        <f>IFERROR(__xludf.DUMMYFUNCTION("""COMPUTED_VALUE"""),45280.726388888885)</f>
        <v>45280.72639</v>
      </c>
      <c r="H73" s="31">
        <f>IFERROR(__xludf.DUMMYFUNCTION("""COMPUTED_VALUE"""),5.1)</f>
        <v>5.1</v>
      </c>
      <c r="I73" s="32">
        <f>IFERROR(__xludf.DUMMYFUNCTION("""COMPUTED_VALUE"""),45280.726388888885)</f>
        <v>45280.72639</v>
      </c>
      <c r="J73" s="31">
        <f>IFERROR(__xludf.DUMMYFUNCTION("""COMPUTED_VALUE"""),5.15)</f>
        <v>5.15</v>
      </c>
      <c r="K73" s="32">
        <f>IFERROR(__xludf.DUMMYFUNCTION("""COMPUTED_VALUE"""),45282.73611111111)</f>
        <v>45282.73611</v>
      </c>
      <c r="L73" s="31">
        <f>IFERROR(__xludf.DUMMYFUNCTION("""COMPUTED_VALUE"""),94.35)</f>
        <v>94.35</v>
      </c>
      <c r="M73" s="32">
        <f>IFERROR(__xludf.DUMMYFUNCTION("""COMPUTED_VALUE"""),45280.726388888885)</f>
        <v>45280.72639</v>
      </c>
      <c r="N73" s="31">
        <f>IFERROR(__xludf.DUMMYFUNCTION("""COMPUTED_VALUE"""),5.25)</f>
        <v>5.25</v>
      </c>
      <c r="O73" s="32">
        <f>IFERROR(__xludf.DUMMYFUNCTION("""COMPUTED_VALUE"""),45280.6875)</f>
        <v>45280.6875</v>
      </c>
      <c r="P73" s="31">
        <f>IFERROR(__xludf.DUMMYFUNCTION("""COMPUTED_VALUE"""),499.79)</f>
        <v>499.79</v>
      </c>
      <c r="Q73" s="32">
        <f>IFERROR(__xludf.DUMMYFUNCTION("""COMPUTED_VALUE"""),45281.66666666667)</f>
        <v>45281.66667</v>
      </c>
      <c r="R73" s="31">
        <f>IFERROR(__xludf.DUMMYFUNCTION("""COMPUTED_VALUE"""),23.18)</f>
        <v>23.18</v>
      </c>
      <c r="S73" s="32">
        <f>IFERROR(__xludf.DUMMYFUNCTION("""COMPUTED_VALUE"""),45280.6875)</f>
        <v>45280.6875</v>
      </c>
      <c r="T73" s="22">
        <f>IFERROR(__xludf.DUMMYFUNCTION("""COMPUTED_VALUE"""),6.29)</f>
        <v>6.29</v>
      </c>
      <c r="U73" s="32">
        <f>IFERROR(__xludf.DUMMYFUNCTION("""COMPUTED_VALUE"""),45252.99861111111)</f>
        <v>45252.99861</v>
      </c>
      <c r="V73" s="31">
        <f>IFERROR(__xludf.DUMMYFUNCTION("""COMPUTED_VALUE"""),1.08878)</f>
        <v>1.08878</v>
      </c>
    </row>
    <row r="74" ht="15.75" customHeight="1">
      <c r="A74" s="32">
        <f>IFERROR(__xludf.DUMMYFUNCTION("""COMPUTED_VALUE"""),45282.73611111111)</f>
        <v>45282.73611</v>
      </c>
      <c r="B74" s="31">
        <f>IFERROR(__xludf.DUMMYFUNCTION("""COMPUTED_VALUE"""),94.29)</f>
        <v>94.29</v>
      </c>
      <c r="C74" s="32">
        <f>IFERROR(__xludf.DUMMYFUNCTION("""COMPUTED_VALUE"""),45287.726388888885)</f>
        <v>45287.72639</v>
      </c>
      <c r="D74" s="31">
        <f>IFERROR(__xludf.DUMMYFUNCTION("""COMPUTED_VALUE"""),5.23)</f>
        <v>5.23</v>
      </c>
      <c r="E74" s="32">
        <f>IFERROR(__xludf.DUMMYFUNCTION("""COMPUTED_VALUE"""),45287.73611111111)</f>
        <v>45287.73611</v>
      </c>
      <c r="F74" s="31">
        <f>IFERROR(__xludf.DUMMYFUNCTION("""COMPUTED_VALUE"""),92.83)</f>
        <v>92.83</v>
      </c>
      <c r="G74" s="32">
        <f>IFERROR(__xludf.DUMMYFUNCTION("""COMPUTED_VALUE"""),45281.726388888885)</f>
        <v>45281.72639</v>
      </c>
      <c r="H74" s="31">
        <f>IFERROR(__xludf.DUMMYFUNCTION("""COMPUTED_VALUE"""),5.11)</f>
        <v>5.11</v>
      </c>
      <c r="I74" s="32">
        <f>IFERROR(__xludf.DUMMYFUNCTION("""COMPUTED_VALUE"""),45281.726388888885)</f>
        <v>45281.72639</v>
      </c>
      <c r="J74" s="31">
        <f>IFERROR(__xludf.DUMMYFUNCTION("""COMPUTED_VALUE"""),5.16)</f>
        <v>5.16</v>
      </c>
      <c r="K74" s="32">
        <f>IFERROR(__xludf.DUMMYFUNCTION("""COMPUTED_VALUE"""),45287.73611111111)</f>
        <v>45287.73611</v>
      </c>
      <c r="L74" s="31">
        <f>IFERROR(__xludf.DUMMYFUNCTION("""COMPUTED_VALUE"""),93.87)</f>
        <v>93.87</v>
      </c>
      <c r="M74" s="32">
        <f>IFERROR(__xludf.DUMMYFUNCTION("""COMPUTED_VALUE"""),45281.726388888885)</f>
        <v>45281.72639</v>
      </c>
      <c r="N74" s="31">
        <f>IFERROR(__xludf.DUMMYFUNCTION("""COMPUTED_VALUE"""),5.26)</f>
        <v>5.26</v>
      </c>
      <c r="O74" s="32">
        <f>IFERROR(__xludf.DUMMYFUNCTION("""COMPUTED_VALUE"""),45281.6875)</f>
        <v>45281.6875</v>
      </c>
      <c r="P74" s="31">
        <f>IFERROR(__xludf.DUMMYFUNCTION("""COMPUTED_VALUE"""),496.38)</f>
        <v>496.38</v>
      </c>
      <c r="Q74" s="32">
        <f>IFERROR(__xludf.DUMMYFUNCTION("""COMPUTED_VALUE"""),45282.66666666667)</f>
        <v>45282.66667</v>
      </c>
      <c r="R74" s="31">
        <f>IFERROR(__xludf.DUMMYFUNCTION("""COMPUTED_VALUE"""),23.23)</f>
        <v>23.23</v>
      </c>
      <c r="S74" s="32">
        <f>IFERROR(__xludf.DUMMYFUNCTION("""COMPUTED_VALUE"""),45281.6875)</f>
        <v>45281.6875</v>
      </c>
      <c r="T74" s="22">
        <f>IFERROR(__xludf.DUMMYFUNCTION("""COMPUTED_VALUE"""),6.3)</f>
        <v>6.3</v>
      </c>
      <c r="U74" s="32">
        <f>IFERROR(__xludf.DUMMYFUNCTION("""COMPUTED_VALUE"""),45253.99861111111)</f>
        <v>45253.99861</v>
      </c>
      <c r="V74" s="31">
        <f>IFERROR(__xludf.DUMMYFUNCTION("""COMPUTED_VALUE"""),1.09036)</f>
        <v>1.09036</v>
      </c>
    </row>
    <row r="75" ht="15.75" customHeight="1">
      <c r="A75" s="32">
        <f>IFERROR(__xludf.DUMMYFUNCTION("""COMPUTED_VALUE"""),45287.73611111111)</f>
        <v>45287.73611</v>
      </c>
      <c r="B75" s="31">
        <f>IFERROR(__xludf.DUMMYFUNCTION("""COMPUTED_VALUE"""),93.75)</f>
        <v>93.75</v>
      </c>
      <c r="C75" s="32">
        <f>IFERROR(__xludf.DUMMYFUNCTION("""COMPUTED_VALUE"""),45288.726388888885)</f>
        <v>45288.72639</v>
      </c>
      <c r="D75" s="31">
        <f>IFERROR(__xludf.DUMMYFUNCTION("""COMPUTED_VALUE"""),5.22)</f>
        <v>5.22</v>
      </c>
      <c r="E75" s="32">
        <f>IFERROR(__xludf.DUMMYFUNCTION("""COMPUTED_VALUE"""),45288.73611111111)</f>
        <v>45288.73611</v>
      </c>
      <c r="F75" s="31">
        <f>IFERROR(__xludf.DUMMYFUNCTION("""COMPUTED_VALUE"""),93.09)</f>
        <v>93.09</v>
      </c>
      <c r="G75" s="32">
        <f>IFERROR(__xludf.DUMMYFUNCTION("""COMPUTED_VALUE"""),45282.726388888885)</f>
        <v>45282.72639</v>
      </c>
      <c r="H75" s="31">
        <f>IFERROR(__xludf.DUMMYFUNCTION("""COMPUTED_VALUE"""),5.12)</f>
        <v>5.12</v>
      </c>
      <c r="I75" s="32">
        <f>IFERROR(__xludf.DUMMYFUNCTION("""COMPUTED_VALUE"""),45282.726388888885)</f>
        <v>45282.72639</v>
      </c>
      <c r="J75" s="31">
        <f>IFERROR(__xludf.DUMMYFUNCTION("""COMPUTED_VALUE"""),5.16)</f>
        <v>5.16</v>
      </c>
      <c r="K75" s="32">
        <f>IFERROR(__xludf.DUMMYFUNCTION("""COMPUTED_VALUE"""),45288.73611111111)</f>
        <v>45288.73611</v>
      </c>
      <c r="L75" s="31">
        <f>IFERROR(__xludf.DUMMYFUNCTION("""COMPUTED_VALUE"""),94.14)</f>
        <v>94.14</v>
      </c>
      <c r="M75" s="32">
        <f>IFERROR(__xludf.DUMMYFUNCTION("""COMPUTED_VALUE"""),45282.726388888885)</f>
        <v>45282.72639</v>
      </c>
      <c r="N75" s="31">
        <f>IFERROR(__xludf.DUMMYFUNCTION("""COMPUTED_VALUE"""),5.27)</f>
        <v>5.27</v>
      </c>
      <c r="O75" s="32">
        <f>IFERROR(__xludf.DUMMYFUNCTION("""COMPUTED_VALUE"""),45282.52083333333)</f>
        <v>45282.52083</v>
      </c>
      <c r="P75" s="31">
        <f>IFERROR(__xludf.DUMMYFUNCTION("""COMPUTED_VALUE"""),497.94)</f>
        <v>497.94</v>
      </c>
      <c r="Q75" s="32">
        <f>IFERROR(__xludf.DUMMYFUNCTION("""COMPUTED_VALUE"""),45286.66666666667)</f>
        <v>45286.66667</v>
      </c>
      <c r="R75" s="31">
        <f>IFERROR(__xludf.DUMMYFUNCTION("""COMPUTED_VALUE"""),23.13)</f>
        <v>23.13</v>
      </c>
      <c r="S75" s="32">
        <f>IFERROR(__xludf.DUMMYFUNCTION("""COMPUTED_VALUE"""),45282.52083333333)</f>
        <v>45282.52083</v>
      </c>
      <c r="T75" s="22">
        <f>IFERROR(__xludf.DUMMYFUNCTION("""COMPUTED_VALUE"""),6.32)</f>
        <v>6.32</v>
      </c>
      <c r="U75" s="32">
        <f>IFERROR(__xludf.DUMMYFUNCTION("""COMPUTED_VALUE"""),45254.99861111111)</f>
        <v>45254.99861</v>
      </c>
      <c r="V75" s="31">
        <f>IFERROR(__xludf.DUMMYFUNCTION("""COMPUTED_VALUE"""),1.0948)</f>
        <v>1.0948</v>
      </c>
    </row>
    <row r="76" ht="15.75" customHeight="1">
      <c r="A76" s="32">
        <f>IFERROR(__xludf.DUMMYFUNCTION("""COMPUTED_VALUE"""),45288.73611111111)</f>
        <v>45288.73611</v>
      </c>
      <c r="B76" s="31">
        <f>IFERROR(__xludf.DUMMYFUNCTION("""COMPUTED_VALUE"""),94.2)</f>
        <v>94.2</v>
      </c>
      <c r="C76" s="32">
        <f>IFERROR(__xludf.DUMMYFUNCTION("""COMPUTED_VALUE"""),45289.726388888885)</f>
        <v>45289.72639</v>
      </c>
      <c r="D76" s="31">
        <f>IFERROR(__xludf.DUMMYFUNCTION("""COMPUTED_VALUE"""),5.22)</f>
        <v>5.22</v>
      </c>
      <c r="E76" s="32">
        <f>IFERROR(__xludf.DUMMYFUNCTION("""COMPUTED_VALUE"""),45289.73611111111)</f>
        <v>45289.73611</v>
      </c>
      <c r="F76" s="31">
        <f>IFERROR(__xludf.DUMMYFUNCTION("""COMPUTED_VALUE"""),93.42)</f>
        <v>93.42</v>
      </c>
      <c r="G76" s="32">
        <f>IFERROR(__xludf.DUMMYFUNCTION("""COMPUTED_VALUE"""),45287.726388888885)</f>
        <v>45287.72639</v>
      </c>
      <c r="H76" s="31">
        <f>IFERROR(__xludf.DUMMYFUNCTION("""COMPUTED_VALUE"""),5.12)</f>
        <v>5.12</v>
      </c>
      <c r="I76" s="32">
        <f>IFERROR(__xludf.DUMMYFUNCTION("""COMPUTED_VALUE"""),45287.726388888885)</f>
        <v>45287.72639</v>
      </c>
      <c r="J76" s="31">
        <f>IFERROR(__xludf.DUMMYFUNCTION("""COMPUTED_VALUE"""),5.17)</f>
        <v>5.17</v>
      </c>
      <c r="K76" s="32">
        <f>IFERROR(__xludf.DUMMYFUNCTION("""COMPUTED_VALUE"""),45289.73611111111)</f>
        <v>45289.73611</v>
      </c>
      <c r="L76" s="31">
        <f>IFERROR(__xludf.DUMMYFUNCTION("""COMPUTED_VALUE"""),94.39)</f>
        <v>94.39</v>
      </c>
      <c r="M76" s="32">
        <f>IFERROR(__xludf.DUMMYFUNCTION("""COMPUTED_VALUE"""),45287.726388888885)</f>
        <v>45287.72639</v>
      </c>
      <c r="N76" s="31">
        <f>IFERROR(__xludf.DUMMYFUNCTION("""COMPUTED_VALUE"""),5.28)</f>
        <v>5.28</v>
      </c>
      <c r="O76" s="32">
        <f>IFERROR(__xludf.DUMMYFUNCTION("""COMPUTED_VALUE"""),45287.6875)</f>
        <v>45287.6875</v>
      </c>
      <c r="P76" s="31">
        <f>IFERROR(__xludf.DUMMYFUNCTION("""COMPUTED_VALUE"""),500.74)</f>
        <v>500.74</v>
      </c>
      <c r="Q76" s="32">
        <f>IFERROR(__xludf.DUMMYFUNCTION("""COMPUTED_VALUE"""),45287.66666666667)</f>
        <v>45287.66667</v>
      </c>
      <c r="R76" s="31">
        <f>IFERROR(__xludf.DUMMYFUNCTION("""COMPUTED_VALUE"""),23.27)</f>
        <v>23.27</v>
      </c>
      <c r="S76" s="32">
        <f>IFERROR(__xludf.DUMMYFUNCTION("""COMPUTED_VALUE"""),45287.6875)</f>
        <v>45287.6875</v>
      </c>
      <c r="T76" s="22">
        <f>IFERROR(__xludf.DUMMYFUNCTION("""COMPUTED_VALUE"""),6.32)</f>
        <v>6.32</v>
      </c>
      <c r="U76" s="32">
        <f>IFERROR(__xludf.DUMMYFUNCTION("""COMPUTED_VALUE"""),45255.99861111111)</f>
        <v>45255.99861</v>
      </c>
      <c r="V76" s="31">
        <f>IFERROR(__xludf.DUMMYFUNCTION("""COMPUTED_VALUE"""),1.0948)</f>
        <v>1.0948</v>
      </c>
    </row>
    <row r="77" ht="15.75" customHeight="1">
      <c r="A77" s="32">
        <f>IFERROR(__xludf.DUMMYFUNCTION("""COMPUTED_VALUE"""),45289.73611111111)</f>
        <v>45289.73611</v>
      </c>
      <c r="B77" s="31">
        <f>IFERROR(__xludf.DUMMYFUNCTION("""COMPUTED_VALUE"""),94.45)</f>
        <v>94.45</v>
      </c>
      <c r="C77" s="32">
        <f>IFERROR(__xludf.DUMMYFUNCTION("""COMPUTED_VALUE"""),45293.726388888885)</f>
        <v>45293.72639</v>
      </c>
      <c r="D77" s="31">
        <f>IFERROR(__xludf.DUMMYFUNCTION("""COMPUTED_VALUE"""),5.2)</f>
        <v>5.2</v>
      </c>
      <c r="E77" s="32">
        <f>IFERROR(__xludf.DUMMYFUNCTION("""COMPUTED_VALUE"""),45293.73611111111)</f>
        <v>45293.73611</v>
      </c>
      <c r="F77" s="31">
        <f>IFERROR(__xludf.DUMMYFUNCTION("""COMPUTED_VALUE"""),94.03)</f>
        <v>94.03</v>
      </c>
      <c r="G77" s="32">
        <f>IFERROR(__xludf.DUMMYFUNCTION("""COMPUTED_VALUE"""),45288.726388888885)</f>
        <v>45288.72639</v>
      </c>
      <c r="H77" s="31">
        <f>IFERROR(__xludf.DUMMYFUNCTION("""COMPUTED_VALUE"""),5.12)</f>
        <v>5.12</v>
      </c>
      <c r="I77" s="32">
        <f>IFERROR(__xludf.DUMMYFUNCTION("""COMPUTED_VALUE"""),45288.726388888885)</f>
        <v>45288.72639</v>
      </c>
      <c r="J77" s="31">
        <f>IFERROR(__xludf.DUMMYFUNCTION("""COMPUTED_VALUE"""),5.17)</f>
        <v>5.17</v>
      </c>
      <c r="K77" s="32">
        <f>IFERROR(__xludf.DUMMYFUNCTION("""COMPUTED_VALUE"""),45293.73611111111)</f>
        <v>45293.73611</v>
      </c>
      <c r="L77" s="31">
        <f>IFERROR(__xludf.DUMMYFUNCTION("""COMPUTED_VALUE"""),94.96)</f>
        <v>94.96</v>
      </c>
      <c r="M77" s="32">
        <f>IFERROR(__xludf.DUMMYFUNCTION("""COMPUTED_VALUE"""),45288.726388888885)</f>
        <v>45288.72639</v>
      </c>
      <c r="N77" s="31">
        <f>IFERROR(__xludf.DUMMYFUNCTION("""COMPUTED_VALUE"""),5.27)</f>
        <v>5.27</v>
      </c>
      <c r="O77" s="32">
        <f>IFERROR(__xludf.DUMMYFUNCTION("""COMPUTED_VALUE"""),45288.6875)</f>
        <v>45288.6875</v>
      </c>
      <c r="P77" s="31">
        <f>IFERROR(__xludf.DUMMYFUNCTION("""COMPUTED_VALUE"""),501.96)</f>
        <v>501.96</v>
      </c>
      <c r="Q77" s="32">
        <f>IFERROR(__xludf.DUMMYFUNCTION("""COMPUTED_VALUE"""),45288.66666666667)</f>
        <v>45288.66667</v>
      </c>
      <c r="R77" s="31">
        <f>IFERROR(__xludf.DUMMYFUNCTION("""COMPUTED_VALUE"""),23.21)</f>
        <v>23.21</v>
      </c>
      <c r="S77" s="32">
        <f>IFERROR(__xludf.DUMMYFUNCTION("""COMPUTED_VALUE"""),45288.6875)</f>
        <v>45288.6875</v>
      </c>
      <c r="T77" s="22">
        <f>IFERROR(__xludf.DUMMYFUNCTION("""COMPUTED_VALUE"""),6.31)</f>
        <v>6.31</v>
      </c>
      <c r="U77" s="32">
        <f>IFERROR(__xludf.DUMMYFUNCTION("""COMPUTED_VALUE"""),45256.99861111111)</f>
        <v>45256.99861</v>
      </c>
      <c r="V77" s="31">
        <f>IFERROR(__xludf.DUMMYFUNCTION("""COMPUTED_VALUE"""),1.09396)</f>
        <v>1.09396</v>
      </c>
    </row>
    <row r="78" ht="15.75" customHeight="1">
      <c r="A78" s="32">
        <f>IFERROR(__xludf.DUMMYFUNCTION("""COMPUTED_VALUE"""),45293.73611111111)</f>
        <v>45293.73611</v>
      </c>
      <c r="B78" s="31">
        <f>IFERROR(__xludf.DUMMYFUNCTION("""COMPUTED_VALUE"""),94.87)</f>
        <v>94.87</v>
      </c>
      <c r="C78" s="32">
        <f>IFERROR(__xludf.DUMMYFUNCTION("""COMPUTED_VALUE"""),45294.726388888885)</f>
        <v>45294.72639</v>
      </c>
      <c r="D78" s="31">
        <f>IFERROR(__xludf.DUMMYFUNCTION("""COMPUTED_VALUE"""),5.21)</f>
        <v>5.21</v>
      </c>
      <c r="E78" s="32">
        <f>IFERROR(__xludf.DUMMYFUNCTION("""COMPUTED_VALUE"""),45294.73611111111)</f>
        <v>45294.73611</v>
      </c>
      <c r="F78" s="31">
        <f>IFERROR(__xludf.DUMMYFUNCTION("""COMPUTED_VALUE"""),94.28)</f>
        <v>94.28</v>
      </c>
      <c r="G78" s="32">
        <f>IFERROR(__xludf.DUMMYFUNCTION("""COMPUTED_VALUE"""),45289.726388888885)</f>
        <v>45289.72639</v>
      </c>
      <c r="H78" s="31">
        <f>IFERROR(__xludf.DUMMYFUNCTION("""COMPUTED_VALUE"""),5.12)</f>
        <v>5.12</v>
      </c>
      <c r="I78" s="32">
        <f>IFERROR(__xludf.DUMMYFUNCTION("""COMPUTED_VALUE"""),45289.726388888885)</f>
        <v>45289.72639</v>
      </c>
      <c r="J78" s="31">
        <f>IFERROR(__xludf.DUMMYFUNCTION("""COMPUTED_VALUE"""),5.17)</f>
        <v>5.17</v>
      </c>
      <c r="K78" s="32">
        <f>IFERROR(__xludf.DUMMYFUNCTION("""COMPUTED_VALUE"""),45294.73611111111)</f>
        <v>45294.73611</v>
      </c>
      <c r="L78" s="31">
        <f>IFERROR(__xludf.DUMMYFUNCTION("""COMPUTED_VALUE"""),95.07)</f>
        <v>95.07</v>
      </c>
      <c r="M78" s="32">
        <f>IFERROR(__xludf.DUMMYFUNCTION("""COMPUTED_VALUE"""),45289.726388888885)</f>
        <v>45289.72639</v>
      </c>
      <c r="N78" s="31">
        <f>IFERROR(__xludf.DUMMYFUNCTION("""COMPUTED_VALUE"""),5.26)</f>
        <v>5.26</v>
      </c>
      <c r="O78" s="32">
        <f>IFERROR(__xludf.DUMMYFUNCTION("""COMPUTED_VALUE"""),45289.52083333333)</f>
        <v>45289.52083</v>
      </c>
      <c r="P78" s="31">
        <f>IFERROR(__xludf.DUMMYFUNCTION("""COMPUTED_VALUE"""),502.0)</f>
        <v>502</v>
      </c>
      <c r="Q78" s="32">
        <f>IFERROR(__xludf.DUMMYFUNCTION("""COMPUTED_VALUE"""),45289.66666666667)</f>
        <v>45289.66667</v>
      </c>
      <c r="R78" s="31">
        <f>IFERROR(__xludf.DUMMYFUNCTION("""COMPUTED_VALUE"""),23.14)</f>
        <v>23.14</v>
      </c>
      <c r="S78" s="32">
        <f>IFERROR(__xludf.DUMMYFUNCTION("""COMPUTED_VALUE"""),45289.52083333333)</f>
        <v>45289.52083</v>
      </c>
      <c r="T78" s="22">
        <f>IFERROR(__xludf.DUMMYFUNCTION("""COMPUTED_VALUE"""),6.3)</f>
        <v>6.3</v>
      </c>
      <c r="U78" s="32">
        <f>IFERROR(__xludf.DUMMYFUNCTION("""COMPUTED_VALUE"""),45257.99861111111)</f>
        <v>45257.99861</v>
      </c>
      <c r="V78" s="31">
        <f>IFERROR(__xludf.DUMMYFUNCTION("""COMPUTED_VALUE"""),1.09579)</f>
        <v>1.09579</v>
      </c>
    </row>
    <row r="79" ht="15.75" customHeight="1">
      <c r="A79" s="32">
        <f>IFERROR(__xludf.DUMMYFUNCTION("""COMPUTED_VALUE"""),45294.73611111111)</f>
        <v>45294.73611</v>
      </c>
      <c r="B79" s="31">
        <f>IFERROR(__xludf.DUMMYFUNCTION("""COMPUTED_VALUE"""),94.98)</f>
        <v>94.98</v>
      </c>
      <c r="C79" s="32">
        <f>IFERROR(__xludf.DUMMYFUNCTION("""COMPUTED_VALUE"""),45295.726388888885)</f>
        <v>45295.72639</v>
      </c>
      <c r="D79" s="31">
        <f>IFERROR(__xludf.DUMMYFUNCTION("""COMPUTED_VALUE"""),5.19)</f>
        <v>5.19</v>
      </c>
      <c r="E79" s="32">
        <f>IFERROR(__xludf.DUMMYFUNCTION("""COMPUTED_VALUE"""),45295.73611111111)</f>
        <v>45295.73611</v>
      </c>
      <c r="F79" s="31">
        <f>IFERROR(__xludf.DUMMYFUNCTION("""COMPUTED_VALUE"""),93.84)</f>
        <v>93.84</v>
      </c>
      <c r="G79" s="32">
        <f>IFERROR(__xludf.DUMMYFUNCTION("""COMPUTED_VALUE"""),45293.726388888885)</f>
        <v>45293.72639</v>
      </c>
      <c r="H79" s="31">
        <f>IFERROR(__xludf.DUMMYFUNCTION("""COMPUTED_VALUE"""),5.11)</f>
        <v>5.11</v>
      </c>
      <c r="I79" s="32">
        <f>IFERROR(__xludf.DUMMYFUNCTION("""COMPUTED_VALUE"""),45293.726388888885)</f>
        <v>45293.72639</v>
      </c>
      <c r="J79" s="31">
        <f>IFERROR(__xludf.DUMMYFUNCTION("""COMPUTED_VALUE"""),5.15)</f>
        <v>5.15</v>
      </c>
      <c r="K79" s="32">
        <f>IFERROR(__xludf.DUMMYFUNCTION("""COMPUTED_VALUE"""),45295.73611111111)</f>
        <v>45295.73611</v>
      </c>
      <c r="L79" s="31">
        <f>IFERROR(__xludf.DUMMYFUNCTION("""COMPUTED_VALUE"""),94.67)</f>
        <v>94.67</v>
      </c>
      <c r="M79" s="32">
        <f>IFERROR(__xludf.DUMMYFUNCTION("""COMPUTED_VALUE"""),45293.726388888885)</f>
        <v>45293.72639</v>
      </c>
      <c r="N79" s="31">
        <f>IFERROR(__xludf.DUMMYFUNCTION("""COMPUTED_VALUE"""),5.24)</f>
        <v>5.24</v>
      </c>
      <c r="O79" s="32">
        <f>IFERROR(__xludf.DUMMYFUNCTION("""COMPUTED_VALUE"""),45293.6875)</f>
        <v>45293.6875</v>
      </c>
      <c r="P79" s="31">
        <f>IFERROR(__xludf.DUMMYFUNCTION("""COMPUTED_VALUE"""),497.59)</f>
        <v>497.59</v>
      </c>
      <c r="Q79" s="32">
        <f>IFERROR(__xludf.DUMMYFUNCTION("""COMPUTED_VALUE"""),45293.66666666667)</f>
        <v>45293.66667</v>
      </c>
      <c r="R79" s="31">
        <f>IFERROR(__xludf.DUMMYFUNCTION("""COMPUTED_VALUE"""),22.95)</f>
        <v>22.95</v>
      </c>
      <c r="S79" s="32">
        <f>IFERROR(__xludf.DUMMYFUNCTION("""COMPUTED_VALUE"""),45293.6875)</f>
        <v>45293.6875</v>
      </c>
      <c r="T79" s="22">
        <f>IFERROR(__xludf.DUMMYFUNCTION("""COMPUTED_VALUE"""),6.27)</f>
        <v>6.27</v>
      </c>
      <c r="U79" s="32">
        <f>IFERROR(__xludf.DUMMYFUNCTION("""COMPUTED_VALUE"""),45258.99861111111)</f>
        <v>45258.99861</v>
      </c>
      <c r="V79" s="31">
        <f>IFERROR(__xludf.DUMMYFUNCTION("""COMPUTED_VALUE"""),1.1004)</f>
        <v>1.1004</v>
      </c>
    </row>
    <row r="80" ht="15.75" customHeight="1">
      <c r="A80" s="32">
        <f>IFERROR(__xludf.DUMMYFUNCTION("""COMPUTED_VALUE"""),45295.73611111111)</f>
        <v>45295.73611</v>
      </c>
      <c r="B80" s="31">
        <f>IFERROR(__xludf.DUMMYFUNCTION("""COMPUTED_VALUE"""),94.52)</f>
        <v>94.52</v>
      </c>
      <c r="C80" s="32">
        <f>IFERROR(__xludf.DUMMYFUNCTION("""COMPUTED_VALUE"""),45296.726388888885)</f>
        <v>45296.72639</v>
      </c>
      <c r="D80" s="31">
        <f>IFERROR(__xludf.DUMMYFUNCTION("""COMPUTED_VALUE"""),5.19)</f>
        <v>5.19</v>
      </c>
      <c r="E80" s="32">
        <f>IFERROR(__xludf.DUMMYFUNCTION("""COMPUTED_VALUE"""),45296.73611111111)</f>
        <v>45296.73611</v>
      </c>
      <c r="F80" s="31">
        <f>IFERROR(__xludf.DUMMYFUNCTION("""COMPUTED_VALUE"""),93.99)</f>
        <v>93.99</v>
      </c>
      <c r="G80" s="32">
        <f>IFERROR(__xludf.DUMMYFUNCTION("""COMPUTED_VALUE"""),45294.726388888885)</f>
        <v>45294.72639</v>
      </c>
      <c r="H80" s="31">
        <f>IFERROR(__xludf.DUMMYFUNCTION("""COMPUTED_VALUE"""),5.11)</f>
        <v>5.11</v>
      </c>
      <c r="I80" s="32">
        <f>IFERROR(__xludf.DUMMYFUNCTION("""COMPUTED_VALUE"""),45294.726388888885)</f>
        <v>45294.72639</v>
      </c>
      <c r="J80" s="31">
        <f>IFERROR(__xludf.DUMMYFUNCTION("""COMPUTED_VALUE"""),5.15)</f>
        <v>5.15</v>
      </c>
      <c r="K80" s="32">
        <f>IFERROR(__xludf.DUMMYFUNCTION("""COMPUTED_VALUE"""),45296.73611111111)</f>
        <v>45296.73611</v>
      </c>
      <c r="L80" s="31">
        <f>IFERROR(__xludf.DUMMYFUNCTION("""COMPUTED_VALUE"""),94.76)</f>
        <v>94.76</v>
      </c>
      <c r="M80" s="32">
        <f>IFERROR(__xludf.DUMMYFUNCTION("""COMPUTED_VALUE"""),45294.726388888885)</f>
        <v>45294.72639</v>
      </c>
      <c r="N80" s="31">
        <f>IFERROR(__xludf.DUMMYFUNCTION("""COMPUTED_VALUE"""),5.24)</f>
        <v>5.24</v>
      </c>
      <c r="O80" s="32">
        <f>IFERROR(__xludf.DUMMYFUNCTION("""COMPUTED_VALUE"""),45294.6875)</f>
        <v>45294.6875</v>
      </c>
      <c r="P80" s="31">
        <f>IFERROR(__xludf.DUMMYFUNCTION("""COMPUTED_VALUE"""),494.65)</f>
        <v>494.65</v>
      </c>
      <c r="Q80" s="32">
        <f>IFERROR(__xludf.DUMMYFUNCTION("""COMPUTED_VALUE"""),45294.66666666667)</f>
        <v>45294.66667</v>
      </c>
      <c r="R80" s="31">
        <f>IFERROR(__xludf.DUMMYFUNCTION("""COMPUTED_VALUE"""),23.05)</f>
        <v>23.05</v>
      </c>
      <c r="S80" s="32">
        <f>IFERROR(__xludf.DUMMYFUNCTION("""COMPUTED_VALUE"""),45294.6875)</f>
        <v>45294.6875</v>
      </c>
      <c r="T80" s="22">
        <f>IFERROR(__xludf.DUMMYFUNCTION("""COMPUTED_VALUE"""),6.24)</f>
        <v>6.24</v>
      </c>
      <c r="U80" s="32">
        <f>IFERROR(__xludf.DUMMYFUNCTION("""COMPUTED_VALUE"""),45259.99861111111)</f>
        <v>45259.99861</v>
      </c>
      <c r="V80" s="31">
        <f>IFERROR(__xludf.DUMMYFUNCTION("""COMPUTED_VALUE"""),1.0971)</f>
        <v>1.0971</v>
      </c>
    </row>
    <row r="81" ht="15.75" customHeight="1">
      <c r="A81" s="32">
        <f>IFERROR(__xludf.DUMMYFUNCTION("""COMPUTED_VALUE"""),45296.73611111111)</f>
        <v>45296.73611</v>
      </c>
      <c r="B81" s="31">
        <f>IFERROR(__xludf.DUMMYFUNCTION("""COMPUTED_VALUE"""),94.61)</f>
        <v>94.61</v>
      </c>
      <c r="C81" s="32">
        <f>IFERROR(__xludf.DUMMYFUNCTION("""COMPUTED_VALUE"""),45299.726388888885)</f>
        <v>45299.72639</v>
      </c>
      <c r="D81" s="31">
        <f>IFERROR(__xludf.DUMMYFUNCTION("""COMPUTED_VALUE"""),5.19)</f>
        <v>5.19</v>
      </c>
      <c r="E81" s="32">
        <f>IFERROR(__xludf.DUMMYFUNCTION("""COMPUTED_VALUE"""),45299.73611111111)</f>
        <v>45299.73611</v>
      </c>
      <c r="F81" s="31">
        <f>IFERROR(__xludf.DUMMYFUNCTION("""COMPUTED_VALUE"""),93.96)</f>
        <v>93.96</v>
      </c>
      <c r="G81" s="32">
        <f>IFERROR(__xludf.DUMMYFUNCTION("""COMPUTED_VALUE"""),45295.726388888885)</f>
        <v>45295.72639</v>
      </c>
      <c r="H81" s="31">
        <f>IFERROR(__xludf.DUMMYFUNCTION("""COMPUTED_VALUE"""),5.11)</f>
        <v>5.11</v>
      </c>
      <c r="I81" s="32">
        <f>IFERROR(__xludf.DUMMYFUNCTION("""COMPUTED_VALUE"""),45295.726388888885)</f>
        <v>45295.72639</v>
      </c>
      <c r="J81" s="31">
        <f>IFERROR(__xludf.DUMMYFUNCTION("""COMPUTED_VALUE"""),5.15)</f>
        <v>5.15</v>
      </c>
      <c r="K81" s="32">
        <f>IFERROR(__xludf.DUMMYFUNCTION("""COMPUTED_VALUE"""),45299.73611111111)</f>
        <v>45299.73611</v>
      </c>
      <c r="L81" s="31">
        <f>IFERROR(__xludf.DUMMYFUNCTION("""COMPUTED_VALUE"""),94.79)</f>
        <v>94.79</v>
      </c>
      <c r="M81" s="32">
        <f>IFERROR(__xludf.DUMMYFUNCTION("""COMPUTED_VALUE"""),45295.726388888885)</f>
        <v>45295.72639</v>
      </c>
      <c r="N81" s="31">
        <f>IFERROR(__xludf.DUMMYFUNCTION("""COMPUTED_VALUE"""),5.22)</f>
        <v>5.22</v>
      </c>
      <c r="O81" s="32">
        <f>IFERROR(__xludf.DUMMYFUNCTION("""COMPUTED_VALUE"""),45295.6875)</f>
        <v>45295.6875</v>
      </c>
      <c r="P81" s="31">
        <f>IFERROR(__xludf.DUMMYFUNCTION("""COMPUTED_VALUE"""),495.3)</f>
        <v>495.3</v>
      </c>
      <c r="Q81" s="32">
        <f>IFERROR(__xludf.DUMMYFUNCTION("""COMPUTED_VALUE"""),45295.66666666667)</f>
        <v>45295.66667</v>
      </c>
      <c r="R81" s="31">
        <f>IFERROR(__xludf.DUMMYFUNCTION("""COMPUTED_VALUE"""),22.9)</f>
        <v>22.9</v>
      </c>
      <c r="S81" s="32">
        <f>IFERROR(__xludf.DUMMYFUNCTION("""COMPUTED_VALUE"""),45295.6875)</f>
        <v>45295.6875</v>
      </c>
      <c r="T81" s="22">
        <f>IFERROR(__xludf.DUMMYFUNCTION("""COMPUTED_VALUE"""),6.26)</f>
        <v>6.26</v>
      </c>
      <c r="U81" s="32">
        <f>IFERROR(__xludf.DUMMYFUNCTION("""COMPUTED_VALUE"""),45260.99861111111)</f>
        <v>45260.99861</v>
      </c>
      <c r="V81" s="31">
        <f>IFERROR(__xludf.DUMMYFUNCTION("""COMPUTED_VALUE"""),1.08917)</f>
        <v>1.08917</v>
      </c>
    </row>
    <row r="82" ht="15.75" customHeight="1">
      <c r="A82" s="32">
        <f>IFERROR(__xludf.DUMMYFUNCTION("""COMPUTED_VALUE"""),45299.73611111111)</f>
        <v>45299.73611</v>
      </c>
      <c r="B82" s="31">
        <f>IFERROR(__xludf.DUMMYFUNCTION("""COMPUTED_VALUE"""),94.66)</f>
        <v>94.66</v>
      </c>
      <c r="C82" s="32">
        <f>IFERROR(__xludf.DUMMYFUNCTION("""COMPUTED_VALUE"""),45300.726388888885)</f>
        <v>45300.72639</v>
      </c>
      <c r="D82" s="31">
        <f>IFERROR(__xludf.DUMMYFUNCTION("""COMPUTED_VALUE"""),5.18)</f>
        <v>5.18</v>
      </c>
      <c r="E82" s="32">
        <f>IFERROR(__xludf.DUMMYFUNCTION("""COMPUTED_VALUE"""),45300.73611111111)</f>
        <v>45300.73611</v>
      </c>
      <c r="F82" s="31">
        <f>IFERROR(__xludf.DUMMYFUNCTION("""COMPUTED_VALUE"""),94.3)</f>
        <v>94.3</v>
      </c>
      <c r="G82" s="32">
        <f>IFERROR(__xludf.DUMMYFUNCTION("""COMPUTED_VALUE"""),45296.726388888885)</f>
        <v>45296.72639</v>
      </c>
      <c r="H82" s="31">
        <f>IFERROR(__xludf.DUMMYFUNCTION("""COMPUTED_VALUE"""),5.1)</f>
        <v>5.1</v>
      </c>
      <c r="I82" s="32">
        <f>IFERROR(__xludf.DUMMYFUNCTION("""COMPUTED_VALUE"""),45296.726388888885)</f>
        <v>45296.72639</v>
      </c>
      <c r="J82" s="31">
        <f>IFERROR(__xludf.DUMMYFUNCTION("""COMPUTED_VALUE"""),5.14)</f>
        <v>5.14</v>
      </c>
      <c r="K82" s="32">
        <f>IFERROR(__xludf.DUMMYFUNCTION("""COMPUTED_VALUE"""),45300.73611111111)</f>
        <v>45300.73611</v>
      </c>
      <c r="L82" s="31">
        <f>IFERROR(__xludf.DUMMYFUNCTION("""COMPUTED_VALUE"""),95.08)</f>
        <v>95.08</v>
      </c>
      <c r="M82" s="32">
        <f>IFERROR(__xludf.DUMMYFUNCTION("""COMPUTED_VALUE"""),45296.726388888885)</f>
        <v>45296.72639</v>
      </c>
      <c r="N82" s="31">
        <f>IFERROR(__xludf.DUMMYFUNCTION("""COMPUTED_VALUE"""),5.21)</f>
        <v>5.21</v>
      </c>
      <c r="O82" s="32">
        <f>IFERROR(__xludf.DUMMYFUNCTION("""COMPUTED_VALUE"""),45296.6875)</f>
        <v>45296.6875</v>
      </c>
      <c r="P82" s="31">
        <f>IFERROR(__xludf.DUMMYFUNCTION("""COMPUTED_VALUE"""),494.1)</f>
        <v>494.1</v>
      </c>
      <c r="Q82" s="32">
        <f>IFERROR(__xludf.DUMMYFUNCTION("""COMPUTED_VALUE"""),45296.66666666667)</f>
        <v>45296.66667</v>
      </c>
      <c r="R82" s="31">
        <f>IFERROR(__xludf.DUMMYFUNCTION("""COMPUTED_VALUE"""),22.87)</f>
        <v>22.87</v>
      </c>
      <c r="S82" s="32">
        <f>IFERROR(__xludf.DUMMYFUNCTION("""COMPUTED_VALUE"""),45296.6875)</f>
        <v>45296.6875</v>
      </c>
      <c r="T82" s="22">
        <f>IFERROR(__xludf.DUMMYFUNCTION("""COMPUTED_VALUE"""),6.26)</f>
        <v>6.26</v>
      </c>
      <c r="U82" s="32">
        <f>IFERROR(__xludf.DUMMYFUNCTION("""COMPUTED_VALUE"""),45261.99861111111)</f>
        <v>45261.99861</v>
      </c>
      <c r="V82" s="31">
        <f>IFERROR(__xludf.DUMMYFUNCTION("""COMPUTED_VALUE"""),1.0891)</f>
        <v>1.0891</v>
      </c>
    </row>
    <row r="83" ht="15.75" customHeight="1">
      <c r="A83" s="32">
        <f>IFERROR(__xludf.DUMMYFUNCTION("""COMPUTED_VALUE"""),45300.73611111111)</f>
        <v>45300.73611</v>
      </c>
      <c r="B83" s="31">
        <f>IFERROR(__xludf.DUMMYFUNCTION("""COMPUTED_VALUE"""),94.92)</f>
        <v>94.92</v>
      </c>
      <c r="C83" s="32">
        <f>IFERROR(__xludf.DUMMYFUNCTION("""COMPUTED_VALUE"""),45301.726388888885)</f>
        <v>45301.72639</v>
      </c>
      <c r="D83" s="31">
        <f>IFERROR(__xludf.DUMMYFUNCTION("""COMPUTED_VALUE"""),5.18)</f>
        <v>5.18</v>
      </c>
      <c r="E83" s="32">
        <f>IFERROR(__xludf.DUMMYFUNCTION("""COMPUTED_VALUE"""),45301.73611111111)</f>
        <v>45301.73611</v>
      </c>
      <c r="F83" s="31">
        <f>IFERROR(__xludf.DUMMYFUNCTION("""COMPUTED_VALUE"""),94.1)</f>
        <v>94.1</v>
      </c>
      <c r="G83" s="32">
        <f>IFERROR(__xludf.DUMMYFUNCTION("""COMPUTED_VALUE"""),45299.726388888885)</f>
        <v>45299.72639</v>
      </c>
      <c r="H83" s="31">
        <f>IFERROR(__xludf.DUMMYFUNCTION("""COMPUTED_VALUE"""),5.11)</f>
        <v>5.11</v>
      </c>
      <c r="I83" s="32">
        <f>IFERROR(__xludf.DUMMYFUNCTION("""COMPUTED_VALUE"""),45299.726388888885)</f>
        <v>45299.72639</v>
      </c>
      <c r="J83" s="31">
        <f>IFERROR(__xludf.DUMMYFUNCTION("""COMPUTED_VALUE"""),5.14)</f>
        <v>5.14</v>
      </c>
      <c r="K83" s="32">
        <f>IFERROR(__xludf.DUMMYFUNCTION("""COMPUTED_VALUE"""),45301.73611111111)</f>
        <v>45301.73611</v>
      </c>
      <c r="L83" s="31">
        <f>IFERROR(__xludf.DUMMYFUNCTION("""COMPUTED_VALUE"""),94.89)</f>
        <v>94.89</v>
      </c>
      <c r="M83" s="32">
        <f>IFERROR(__xludf.DUMMYFUNCTION("""COMPUTED_VALUE"""),45299.726388888885)</f>
        <v>45299.72639</v>
      </c>
      <c r="N83" s="31">
        <f>IFERROR(__xludf.DUMMYFUNCTION("""COMPUTED_VALUE"""),5.22)</f>
        <v>5.22</v>
      </c>
      <c r="O83" s="32">
        <f>IFERROR(__xludf.DUMMYFUNCTION("""COMPUTED_VALUE"""),45299.6875)</f>
        <v>45299.6875</v>
      </c>
      <c r="P83" s="31">
        <f>IFERROR(__xludf.DUMMYFUNCTION("""COMPUTED_VALUE"""),495.3)</f>
        <v>495.3</v>
      </c>
      <c r="Q83" s="32">
        <f>IFERROR(__xludf.DUMMYFUNCTION("""COMPUTED_VALUE"""),45299.66666666667)</f>
        <v>45299.66667</v>
      </c>
      <c r="R83" s="31">
        <f>IFERROR(__xludf.DUMMYFUNCTION("""COMPUTED_VALUE"""),23.03)</f>
        <v>23.03</v>
      </c>
      <c r="S83" s="32">
        <f>IFERROR(__xludf.DUMMYFUNCTION("""COMPUTED_VALUE"""),45299.6875)</f>
        <v>45299.6875</v>
      </c>
      <c r="T83" s="22">
        <f>IFERROR(__xludf.DUMMYFUNCTION("""COMPUTED_VALUE"""),6.25)</f>
        <v>6.25</v>
      </c>
      <c r="U83" s="32">
        <f>IFERROR(__xludf.DUMMYFUNCTION("""COMPUTED_VALUE"""),45262.99861111111)</f>
        <v>45262.99861</v>
      </c>
      <c r="V83" s="31">
        <f>IFERROR(__xludf.DUMMYFUNCTION("""COMPUTED_VALUE"""),1.0891)</f>
        <v>1.0891</v>
      </c>
    </row>
    <row r="84" ht="15.75" customHeight="1">
      <c r="A84" s="32">
        <f>IFERROR(__xludf.DUMMYFUNCTION("""COMPUTED_VALUE"""),45301.73611111111)</f>
        <v>45301.73611</v>
      </c>
      <c r="B84" s="31">
        <f>IFERROR(__xludf.DUMMYFUNCTION("""COMPUTED_VALUE"""),94.77)</f>
        <v>94.77</v>
      </c>
      <c r="C84" s="32">
        <f>IFERROR(__xludf.DUMMYFUNCTION("""COMPUTED_VALUE"""),45302.726388888885)</f>
        <v>45302.72639</v>
      </c>
      <c r="D84" s="31">
        <f>IFERROR(__xludf.DUMMYFUNCTION("""COMPUTED_VALUE"""),5.18)</f>
        <v>5.18</v>
      </c>
      <c r="E84" s="32">
        <f>IFERROR(__xludf.DUMMYFUNCTION("""COMPUTED_VALUE"""),45302.73611111111)</f>
        <v>45302.73611</v>
      </c>
      <c r="F84" s="31">
        <f>IFERROR(__xludf.DUMMYFUNCTION("""COMPUTED_VALUE"""),94.25)</f>
        <v>94.25</v>
      </c>
      <c r="G84" s="32">
        <f>IFERROR(__xludf.DUMMYFUNCTION("""COMPUTED_VALUE"""),45300.726388888885)</f>
        <v>45300.72639</v>
      </c>
      <c r="H84" s="31">
        <f>IFERROR(__xludf.DUMMYFUNCTION("""COMPUTED_VALUE"""),5.1)</f>
        <v>5.1</v>
      </c>
      <c r="I84" s="32">
        <f>IFERROR(__xludf.DUMMYFUNCTION("""COMPUTED_VALUE"""),45300.726388888885)</f>
        <v>45300.72639</v>
      </c>
      <c r="J84" s="31">
        <f>IFERROR(__xludf.DUMMYFUNCTION("""COMPUTED_VALUE"""),5.14)</f>
        <v>5.14</v>
      </c>
      <c r="K84" s="32">
        <f>IFERROR(__xludf.DUMMYFUNCTION("""COMPUTED_VALUE"""),45302.73611111111)</f>
        <v>45302.73611</v>
      </c>
      <c r="L84" s="31">
        <f>IFERROR(__xludf.DUMMYFUNCTION("""COMPUTED_VALUE"""),95.02)</f>
        <v>95.02</v>
      </c>
      <c r="M84" s="32">
        <f>IFERROR(__xludf.DUMMYFUNCTION("""COMPUTED_VALUE"""),45300.726388888885)</f>
        <v>45300.72639</v>
      </c>
      <c r="N84" s="31">
        <f>IFERROR(__xludf.DUMMYFUNCTION("""COMPUTED_VALUE"""),5.21)</f>
        <v>5.21</v>
      </c>
      <c r="O84" s="32">
        <f>IFERROR(__xludf.DUMMYFUNCTION("""COMPUTED_VALUE"""),45300.6875)</f>
        <v>45300.6875</v>
      </c>
      <c r="P84" s="31">
        <f>IFERROR(__xludf.DUMMYFUNCTION("""COMPUTED_VALUE"""),498.26)</f>
        <v>498.26</v>
      </c>
      <c r="Q84" s="32">
        <f>IFERROR(__xludf.DUMMYFUNCTION("""COMPUTED_VALUE"""),45300.66666666667)</f>
        <v>45300.66667</v>
      </c>
      <c r="R84" s="31">
        <f>IFERROR(__xludf.DUMMYFUNCTION("""COMPUTED_VALUE"""),22.98)</f>
        <v>22.98</v>
      </c>
      <c r="S84" s="32">
        <f>IFERROR(__xludf.DUMMYFUNCTION("""COMPUTED_VALUE"""),45300.6875)</f>
        <v>45300.6875</v>
      </c>
      <c r="T84" s="22">
        <f>IFERROR(__xludf.DUMMYFUNCTION("""COMPUTED_VALUE"""),6.27)</f>
        <v>6.27</v>
      </c>
      <c r="U84" s="32">
        <f>IFERROR(__xludf.DUMMYFUNCTION("""COMPUTED_VALUE"""),45263.99861111111)</f>
        <v>45263.99861</v>
      </c>
      <c r="V84" s="31">
        <f>IFERROR(__xludf.DUMMYFUNCTION("""COMPUTED_VALUE"""),1.08873)</f>
        <v>1.08873</v>
      </c>
    </row>
    <row r="85" ht="15.75" customHeight="1">
      <c r="A85" s="32">
        <f>IFERROR(__xludf.DUMMYFUNCTION("""COMPUTED_VALUE"""),45302.73611111111)</f>
        <v>45302.73611</v>
      </c>
      <c r="B85" s="31">
        <f>IFERROR(__xludf.DUMMYFUNCTION("""COMPUTED_VALUE"""),94.86)</f>
        <v>94.86</v>
      </c>
      <c r="C85" s="32">
        <f>IFERROR(__xludf.DUMMYFUNCTION("""COMPUTED_VALUE"""),45303.726388888885)</f>
        <v>45303.72639</v>
      </c>
      <c r="D85" s="31">
        <f>IFERROR(__xludf.DUMMYFUNCTION("""COMPUTED_VALUE"""),5.2)</f>
        <v>5.2</v>
      </c>
      <c r="E85" s="32">
        <f>IFERROR(__xludf.DUMMYFUNCTION("""COMPUTED_VALUE"""),45303.73611111111)</f>
        <v>45303.73611</v>
      </c>
      <c r="F85" s="31">
        <f>IFERROR(__xludf.DUMMYFUNCTION("""COMPUTED_VALUE"""),94.43)</f>
        <v>94.43</v>
      </c>
      <c r="G85" s="32">
        <f>IFERROR(__xludf.DUMMYFUNCTION("""COMPUTED_VALUE"""),45301.726388888885)</f>
        <v>45301.72639</v>
      </c>
      <c r="H85" s="31">
        <f>IFERROR(__xludf.DUMMYFUNCTION("""COMPUTED_VALUE"""),5.1)</f>
        <v>5.1</v>
      </c>
      <c r="I85" s="32">
        <f>IFERROR(__xludf.DUMMYFUNCTION("""COMPUTED_VALUE"""),45301.726388888885)</f>
        <v>45301.72639</v>
      </c>
      <c r="J85" s="31">
        <f>IFERROR(__xludf.DUMMYFUNCTION("""COMPUTED_VALUE"""),5.14)</f>
        <v>5.14</v>
      </c>
      <c r="K85" s="32">
        <f>IFERROR(__xludf.DUMMYFUNCTION("""COMPUTED_VALUE"""),45303.73611111111)</f>
        <v>45303.73611</v>
      </c>
      <c r="L85" s="31">
        <f>IFERROR(__xludf.DUMMYFUNCTION("""COMPUTED_VALUE"""),95.39)</f>
        <v>95.39</v>
      </c>
      <c r="M85" s="32">
        <f>IFERROR(__xludf.DUMMYFUNCTION("""COMPUTED_VALUE"""),45301.726388888885)</f>
        <v>45301.72639</v>
      </c>
      <c r="N85" s="31">
        <f>IFERROR(__xludf.DUMMYFUNCTION("""COMPUTED_VALUE"""),5.2)</f>
        <v>5.2</v>
      </c>
      <c r="O85" s="32">
        <f>IFERROR(__xludf.DUMMYFUNCTION("""COMPUTED_VALUE"""),45301.6875)</f>
        <v>45301.6875</v>
      </c>
      <c r="P85" s="31">
        <f>IFERROR(__xludf.DUMMYFUNCTION("""COMPUTED_VALUE"""),499.57)</f>
        <v>499.57</v>
      </c>
      <c r="Q85" s="32">
        <f>IFERROR(__xludf.DUMMYFUNCTION("""COMPUTED_VALUE"""),45301.66666666667)</f>
        <v>45301.66667</v>
      </c>
      <c r="R85" s="31">
        <f>IFERROR(__xludf.DUMMYFUNCTION("""COMPUTED_VALUE"""),23.13)</f>
        <v>23.13</v>
      </c>
      <c r="S85" s="32">
        <f>IFERROR(__xludf.DUMMYFUNCTION("""COMPUTED_VALUE"""),45301.6875)</f>
        <v>45301.6875</v>
      </c>
      <c r="T85" s="22">
        <f>IFERROR(__xludf.DUMMYFUNCTION("""COMPUTED_VALUE"""),6.29)</f>
        <v>6.29</v>
      </c>
      <c r="U85" s="32">
        <f>IFERROR(__xludf.DUMMYFUNCTION("""COMPUTED_VALUE"""),45264.99861111111)</f>
        <v>45264.99861</v>
      </c>
      <c r="V85" s="31">
        <f>IFERROR(__xludf.DUMMYFUNCTION("""COMPUTED_VALUE"""),1.08369)</f>
        <v>1.08369</v>
      </c>
    </row>
    <row r="86" ht="15.75" customHeight="1">
      <c r="A86" s="32">
        <f>IFERROR(__xludf.DUMMYFUNCTION("""COMPUTED_VALUE"""),45303.73611111111)</f>
        <v>45303.73611</v>
      </c>
      <c r="B86" s="31">
        <f>IFERROR(__xludf.DUMMYFUNCTION("""COMPUTED_VALUE"""),95.28)</f>
        <v>95.28</v>
      </c>
      <c r="C86" s="32">
        <f>IFERROR(__xludf.DUMMYFUNCTION("""COMPUTED_VALUE"""),45306.726388888885)</f>
        <v>45306.72639</v>
      </c>
      <c r="D86" s="31">
        <f>IFERROR(__xludf.DUMMYFUNCTION("""COMPUTED_VALUE"""),5.2)</f>
        <v>5.2</v>
      </c>
      <c r="E86" s="32">
        <f>IFERROR(__xludf.DUMMYFUNCTION("""COMPUTED_VALUE"""),45306.73611111111)</f>
        <v>45306.73611</v>
      </c>
      <c r="F86" s="31">
        <f>IFERROR(__xludf.DUMMYFUNCTION("""COMPUTED_VALUE"""),94.68)</f>
        <v>94.68</v>
      </c>
      <c r="G86" s="32">
        <f>IFERROR(__xludf.DUMMYFUNCTION("""COMPUTED_VALUE"""),45302.726388888885)</f>
        <v>45302.72639</v>
      </c>
      <c r="H86" s="31">
        <f>IFERROR(__xludf.DUMMYFUNCTION("""COMPUTED_VALUE"""),5.1)</f>
        <v>5.1</v>
      </c>
      <c r="I86" s="32">
        <f>IFERROR(__xludf.DUMMYFUNCTION("""COMPUTED_VALUE"""),45302.726388888885)</f>
        <v>45302.72639</v>
      </c>
      <c r="J86" s="31">
        <f>IFERROR(__xludf.DUMMYFUNCTION("""COMPUTED_VALUE"""),5.14)</f>
        <v>5.14</v>
      </c>
      <c r="K86" s="32">
        <f>IFERROR(__xludf.DUMMYFUNCTION("""COMPUTED_VALUE"""),45306.73611111111)</f>
        <v>45306.73611</v>
      </c>
      <c r="L86" s="31">
        <f>IFERROR(__xludf.DUMMYFUNCTION("""COMPUTED_VALUE"""),95.56)</f>
        <v>95.56</v>
      </c>
      <c r="M86" s="32">
        <f>IFERROR(__xludf.DUMMYFUNCTION("""COMPUTED_VALUE"""),45302.726388888885)</f>
        <v>45302.72639</v>
      </c>
      <c r="N86" s="31">
        <f>IFERROR(__xludf.DUMMYFUNCTION("""COMPUTED_VALUE"""),5.2)</f>
        <v>5.2</v>
      </c>
      <c r="O86" s="32">
        <f>IFERROR(__xludf.DUMMYFUNCTION("""COMPUTED_VALUE"""),45302.6875)</f>
        <v>45302.6875</v>
      </c>
      <c r="P86" s="31">
        <f>IFERROR(__xludf.DUMMYFUNCTION("""COMPUTED_VALUE"""),497.75)</f>
        <v>497.75</v>
      </c>
      <c r="Q86" s="32">
        <f>IFERROR(__xludf.DUMMYFUNCTION("""COMPUTED_VALUE"""),45302.66666666667)</f>
        <v>45302.66667</v>
      </c>
      <c r="R86" s="31">
        <f>IFERROR(__xludf.DUMMYFUNCTION("""COMPUTED_VALUE"""),23.21)</f>
        <v>23.21</v>
      </c>
      <c r="S86" s="32">
        <f>IFERROR(__xludf.DUMMYFUNCTION("""COMPUTED_VALUE"""),45302.6875)</f>
        <v>45302.6875</v>
      </c>
      <c r="T86" s="22">
        <f>IFERROR(__xludf.DUMMYFUNCTION("""COMPUTED_VALUE"""),6.28)</f>
        <v>6.28</v>
      </c>
      <c r="U86" s="32">
        <f>IFERROR(__xludf.DUMMYFUNCTION("""COMPUTED_VALUE"""),45265.99861111111)</f>
        <v>45265.99861</v>
      </c>
      <c r="V86" s="31">
        <f>IFERROR(__xludf.DUMMYFUNCTION("""COMPUTED_VALUE"""),1.0793)</f>
        <v>1.0793</v>
      </c>
    </row>
    <row r="87" ht="15.75" customHeight="1">
      <c r="A87" s="32">
        <f>IFERROR(__xludf.DUMMYFUNCTION("""COMPUTED_VALUE"""),45306.73611111111)</f>
        <v>45306.73611</v>
      </c>
      <c r="B87" s="31">
        <f>IFERROR(__xludf.DUMMYFUNCTION("""COMPUTED_VALUE"""),95.49)</f>
        <v>95.49</v>
      </c>
      <c r="C87" s="32">
        <f>IFERROR(__xludf.DUMMYFUNCTION("""COMPUTED_VALUE"""),45307.726388888885)</f>
        <v>45307.72639</v>
      </c>
      <c r="D87" s="31">
        <f>IFERROR(__xludf.DUMMYFUNCTION("""COMPUTED_VALUE"""),5.19)</f>
        <v>5.19</v>
      </c>
      <c r="E87" s="32">
        <f>IFERROR(__xludf.DUMMYFUNCTION("""COMPUTED_VALUE"""),45307.73611111111)</f>
        <v>45307.73611</v>
      </c>
      <c r="F87" s="31">
        <f>IFERROR(__xludf.DUMMYFUNCTION("""COMPUTED_VALUE"""),95.03)</f>
        <v>95.03</v>
      </c>
      <c r="G87" s="32">
        <f>IFERROR(__xludf.DUMMYFUNCTION("""COMPUTED_VALUE"""),45303.726388888885)</f>
        <v>45303.72639</v>
      </c>
      <c r="H87" s="31">
        <f>IFERROR(__xludf.DUMMYFUNCTION("""COMPUTED_VALUE"""),5.11)</f>
        <v>5.11</v>
      </c>
      <c r="I87" s="32">
        <f>IFERROR(__xludf.DUMMYFUNCTION("""COMPUTED_VALUE"""),45303.726388888885)</f>
        <v>45303.72639</v>
      </c>
      <c r="J87" s="31">
        <f>IFERROR(__xludf.DUMMYFUNCTION("""COMPUTED_VALUE"""),5.15)</f>
        <v>5.15</v>
      </c>
      <c r="K87" s="32">
        <f>IFERROR(__xludf.DUMMYFUNCTION("""COMPUTED_VALUE"""),45307.73611111111)</f>
        <v>45307.73611</v>
      </c>
      <c r="L87" s="31">
        <f>IFERROR(__xludf.DUMMYFUNCTION("""COMPUTED_VALUE"""),95.91)</f>
        <v>95.91</v>
      </c>
      <c r="M87" s="32">
        <f>IFERROR(__xludf.DUMMYFUNCTION("""COMPUTED_VALUE"""),45303.726388888885)</f>
        <v>45303.72639</v>
      </c>
      <c r="N87" s="31">
        <f>IFERROR(__xludf.DUMMYFUNCTION("""COMPUTED_VALUE"""),5.23)</f>
        <v>5.23</v>
      </c>
      <c r="O87" s="32">
        <f>IFERROR(__xludf.DUMMYFUNCTION("""COMPUTED_VALUE"""),45303.6875)</f>
        <v>45303.6875</v>
      </c>
      <c r="P87" s="31">
        <f>IFERROR(__xludf.DUMMYFUNCTION("""COMPUTED_VALUE"""),501.69)</f>
        <v>501.69</v>
      </c>
      <c r="Q87" s="32">
        <f>IFERROR(__xludf.DUMMYFUNCTION("""COMPUTED_VALUE"""),45303.66666666667)</f>
        <v>45303.66667</v>
      </c>
      <c r="R87" s="31">
        <f>IFERROR(__xludf.DUMMYFUNCTION("""COMPUTED_VALUE"""),23.26)</f>
        <v>23.26</v>
      </c>
      <c r="S87" s="32">
        <f>IFERROR(__xludf.DUMMYFUNCTION("""COMPUTED_VALUE"""),45303.6875)</f>
        <v>45303.6875</v>
      </c>
      <c r="T87" s="22">
        <f>IFERROR(__xludf.DUMMYFUNCTION("""COMPUTED_VALUE"""),6.3)</f>
        <v>6.3</v>
      </c>
      <c r="U87" s="32">
        <f>IFERROR(__xludf.DUMMYFUNCTION("""COMPUTED_VALUE"""),45266.99861111111)</f>
        <v>45266.99861</v>
      </c>
      <c r="V87" s="31">
        <f>IFERROR(__xludf.DUMMYFUNCTION("""COMPUTED_VALUE"""),1.07663)</f>
        <v>1.07663</v>
      </c>
    </row>
    <row r="88" ht="15.75" customHeight="1">
      <c r="A88" s="32">
        <f>IFERROR(__xludf.DUMMYFUNCTION("""COMPUTED_VALUE"""),45307.73611111111)</f>
        <v>45307.73611</v>
      </c>
      <c r="B88" s="31">
        <f>IFERROR(__xludf.DUMMYFUNCTION("""COMPUTED_VALUE"""),95.76)</f>
        <v>95.76</v>
      </c>
      <c r="C88" s="32">
        <f>IFERROR(__xludf.DUMMYFUNCTION("""COMPUTED_VALUE"""),45308.726388888885)</f>
        <v>45308.72639</v>
      </c>
      <c r="D88" s="31">
        <f>IFERROR(__xludf.DUMMYFUNCTION("""COMPUTED_VALUE"""),5.17)</f>
        <v>5.17</v>
      </c>
      <c r="E88" s="32">
        <f>IFERROR(__xludf.DUMMYFUNCTION("""COMPUTED_VALUE"""),45308.73611111111)</f>
        <v>45308.73611</v>
      </c>
      <c r="F88" s="31">
        <f>IFERROR(__xludf.DUMMYFUNCTION("""COMPUTED_VALUE"""),94.99)</f>
        <v>94.99</v>
      </c>
      <c r="G88" s="32">
        <f>IFERROR(__xludf.DUMMYFUNCTION("""COMPUTED_VALUE"""),45306.726388888885)</f>
        <v>45306.72639</v>
      </c>
      <c r="H88" s="31">
        <f>IFERROR(__xludf.DUMMYFUNCTION("""COMPUTED_VALUE"""),5.11)</f>
        <v>5.11</v>
      </c>
      <c r="I88" s="32">
        <f>IFERROR(__xludf.DUMMYFUNCTION("""COMPUTED_VALUE"""),45306.726388888885)</f>
        <v>45306.72639</v>
      </c>
      <c r="J88" s="31">
        <f>IFERROR(__xludf.DUMMYFUNCTION("""COMPUTED_VALUE"""),5.14)</f>
        <v>5.14</v>
      </c>
      <c r="K88" s="32">
        <f>IFERROR(__xludf.DUMMYFUNCTION("""COMPUTED_VALUE"""),45308.73611111111)</f>
        <v>45308.73611</v>
      </c>
      <c r="L88" s="31">
        <f>IFERROR(__xludf.DUMMYFUNCTION("""COMPUTED_VALUE"""),95.79)</f>
        <v>95.79</v>
      </c>
      <c r="M88" s="32">
        <f>IFERROR(__xludf.DUMMYFUNCTION("""COMPUTED_VALUE"""),45306.726388888885)</f>
        <v>45306.72639</v>
      </c>
      <c r="N88" s="31">
        <f>IFERROR(__xludf.DUMMYFUNCTION("""COMPUTED_VALUE"""),5.22)</f>
        <v>5.22</v>
      </c>
      <c r="O88" s="32">
        <f>IFERROR(__xludf.DUMMYFUNCTION("""COMPUTED_VALUE"""),45306.6875)</f>
        <v>45306.6875</v>
      </c>
      <c r="P88" s="31">
        <f>IFERROR(__xludf.DUMMYFUNCTION("""COMPUTED_VALUE"""),501.61)</f>
        <v>501.61</v>
      </c>
      <c r="Q88" s="32">
        <f>IFERROR(__xludf.DUMMYFUNCTION("""COMPUTED_VALUE"""),45307.66666666667)</f>
        <v>45307.66667</v>
      </c>
      <c r="R88" s="31">
        <f>IFERROR(__xludf.DUMMYFUNCTION("""COMPUTED_VALUE"""),23.13)</f>
        <v>23.13</v>
      </c>
      <c r="S88" s="32">
        <f>IFERROR(__xludf.DUMMYFUNCTION("""COMPUTED_VALUE"""),45306.6875)</f>
        <v>45306.6875</v>
      </c>
      <c r="T88" s="22">
        <f>IFERROR(__xludf.DUMMYFUNCTION("""COMPUTED_VALUE"""),6.3)</f>
        <v>6.3</v>
      </c>
      <c r="U88" s="32">
        <f>IFERROR(__xludf.DUMMYFUNCTION("""COMPUTED_VALUE"""),45267.99861111111)</f>
        <v>45267.99861</v>
      </c>
      <c r="V88" s="31">
        <f>IFERROR(__xludf.DUMMYFUNCTION("""COMPUTED_VALUE"""),1.07901)</f>
        <v>1.07901</v>
      </c>
    </row>
    <row r="89" ht="15.75" customHeight="1">
      <c r="A89" s="32">
        <f>IFERROR(__xludf.DUMMYFUNCTION("""COMPUTED_VALUE"""),45308.73611111111)</f>
        <v>45308.73611</v>
      </c>
      <c r="B89" s="31">
        <f>IFERROR(__xludf.DUMMYFUNCTION("""COMPUTED_VALUE"""),95.56)</f>
        <v>95.56</v>
      </c>
      <c r="C89" s="32">
        <f>IFERROR(__xludf.DUMMYFUNCTION("""COMPUTED_VALUE"""),45309.726388888885)</f>
        <v>45309.72639</v>
      </c>
      <c r="D89" s="31">
        <f>IFERROR(__xludf.DUMMYFUNCTION("""COMPUTED_VALUE"""),5.18)</f>
        <v>5.18</v>
      </c>
      <c r="E89" s="32">
        <f>IFERROR(__xludf.DUMMYFUNCTION("""COMPUTED_VALUE"""),45309.73611111111)</f>
        <v>45309.73611</v>
      </c>
      <c r="F89" s="31">
        <f>IFERROR(__xludf.DUMMYFUNCTION("""COMPUTED_VALUE"""),95.14)</f>
        <v>95.14</v>
      </c>
      <c r="G89" s="32">
        <f>IFERROR(__xludf.DUMMYFUNCTION("""COMPUTED_VALUE"""),45307.726388888885)</f>
        <v>45307.72639</v>
      </c>
      <c r="H89" s="31">
        <f>IFERROR(__xludf.DUMMYFUNCTION("""COMPUTED_VALUE"""),5.11)</f>
        <v>5.11</v>
      </c>
      <c r="I89" s="32">
        <f>IFERROR(__xludf.DUMMYFUNCTION("""COMPUTED_VALUE"""),45307.726388888885)</f>
        <v>45307.72639</v>
      </c>
      <c r="J89" s="31">
        <f>IFERROR(__xludf.DUMMYFUNCTION("""COMPUTED_VALUE"""),5.15)</f>
        <v>5.15</v>
      </c>
      <c r="K89" s="32">
        <f>IFERROR(__xludf.DUMMYFUNCTION("""COMPUTED_VALUE"""),45309.73611111111)</f>
        <v>45309.73611</v>
      </c>
      <c r="L89" s="31">
        <f>IFERROR(__xludf.DUMMYFUNCTION("""COMPUTED_VALUE"""),95.75)</f>
        <v>95.75</v>
      </c>
      <c r="M89" s="32">
        <f>IFERROR(__xludf.DUMMYFUNCTION("""COMPUTED_VALUE"""),45307.726388888885)</f>
        <v>45307.72639</v>
      </c>
      <c r="N89" s="31">
        <f>IFERROR(__xludf.DUMMYFUNCTION("""COMPUTED_VALUE"""),5.22)</f>
        <v>5.22</v>
      </c>
      <c r="O89" s="32">
        <f>IFERROR(__xludf.DUMMYFUNCTION("""COMPUTED_VALUE"""),45307.6875)</f>
        <v>45307.6875</v>
      </c>
      <c r="P89" s="31">
        <f>IFERROR(__xludf.DUMMYFUNCTION("""COMPUTED_VALUE"""),501.42)</f>
        <v>501.42</v>
      </c>
      <c r="Q89" s="32">
        <f>IFERROR(__xludf.DUMMYFUNCTION("""COMPUTED_VALUE"""),45308.66666666667)</f>
        <v>45308.66667</v>
      </c>
      <c r="R89" s="31">
        <f>IFERROR(__xludf.DUMMYFUNCTION("""COMPUTED_VALUE"""),23.05)</f>
        <v>23.05</v>
      </c>
      <c r="S89" s="32">
        <f>IFERROR(__xludf.DUMMYFUNCTION("""COMPUTED_VALUE"""),45307.6875)</f>
        <v>45307.6875</v>
      </c>
      <c r="T89" s="22">
        <f>IFERROR(__xludf.DUMMYFUNCTION("""COMPUTED_VALUE"""),6.28)</f>
        <v>6.28</v>
      </c>
      <c r="U89" s="32">
        <f>IFERROR(__xludf.DUMMYFUNCTION("""COMPUTED_VALUE"""),45268.99861111111)</f>
        <v>45268.99861</v>
      </c>
      <c r="V89" s="31">
        <f>IFERROR(__xludf.DUMMYFUNCTION("""COMPUTED_VALUE"""),1.0772)</f>
        <v>1.0772</v>
      </c>
    </row>
    <row r="90" ht="15.75" customHeight="1">
      <c r="A90" s="32">
        <f>IFERROR(__xludf.DUMMYFUNCTION("""COMPUTED_VALUE"""),45309.73611111111)</f>
        <v>45309.73611</v>
      </c>
      <c r="B90" s="31">
        <f>IFERROR(__xludf.DUMMYFUNCTION("""COMPUTED_VALUE"""),95.65)</f>
        <v>95.65</v>
      </c>
      <c r="C90" s="32">
        <f>IFERROR(__xludf.DUMMYFUNCTION("""COMPUTED_VALUE"""),45310.726388888885)</f>
        <v>45310.72639</v>
      </c>
      <c r="D90" s="31">
        <f>IFERROR(__xludf.DUMMYFUNCTION("""COMPUTED_VALUE"""),5.18)</f>
        <v>5.18</v>
      </c>
      <c r="E90" s="32">
        <f>IFERROR(__xludf.DUMMYFUNCTION("""COMPUTED_VALUE"""),45310.73611111111)</f>
        <v>45310.73611</v>
      </c>
      <c r="F90" s="31">
        <f>IFERROR(__xludf.DUMMYFUNCTION("""COMPUTED_VALUE"""),94.8)</f>
        <v>94.8</v>
      </c>
      <c r="G90" s="32">
        <f>IFERROR(__xludf.DUMMYFUNCTION("""COMPUTED_VALUE"""),45308.726388888885)</f>
        <v>45308.72639</v>
      </c>
      <c r="H90" s="31">
        <f>IFERROR(__xludf.DUMMYFUNCTION("""COMPUTED_VALUE"""),5.1)</f>
        <v>5.1</v>
      </c>
      <c r="I90" s="32">
        <f>IFERROR(__xludf.DUMMYFUNCTION("""COMPUTED_VALUE"""),45308.726388888885)</f>
        <v>45308.72639</v>
      </c>
      <c r="J90" s="31">
        <f>IFERROR(__xludf.DUMMYFUNCTION("""COMPUTED_VALUE"""),5.14)</f>
        <v>5.14</v>
      </c>
      <c r="K90" s="32">
        <f>IFERROR(__xludf.DUMMYFUNCTION("""COMPUTED_VALUE"""),45310.73611111111)</f>
        <v>45310.73611</v>
      </c>
      <c r="L90" s="31">
        <f>IFERROR(__xludf.DUMMYFUNCTION("""COMPUTED_VALUE"""),95.53)</f>
        <v>95.53</v>
      </c>
      <c r="M90" s="32">
        <f>IFERROR(__xludf.DUMMYFUNCTION("""COMPUTED_VALUE"""),45308.726388888885)</f>
        <v>45308.72639</v>
      </c>
      <c r="N90" s="31">
        <f>IFERROR(__xludf.DUMMYFUNCTION("""COMPUTED_VALUE"""),5.19)</f>
        <v>5.19</v>
      </c>
      <c r="O90" s="32">
        <f>IFERROR(__xludf.DUMMYFUNCTION("""COMPUTED_VALUE"""),45308.6875)</f>
        <v>45308.6875</v>
      </c>
      <c r="P90" s="31">
        <f>IFERROR(__xludf.DUMMYFUNCTION("""COMPUTED_VALUE"""),497.68)</f>
        <v>497.68</v>
      </c>
      <c r="Q90" s="32">
        <f>IFERROR(__xludf.DUMMYFUNCTION("""COMPUTED_VALUE"""),45309.66666666667)</f>
        <v>45309.66667</v>
      </c>
      <c r="R90" s="31">
        <f>IFERROR(__xludf.DUMMYFUNCTION("""COMPUTED_VALUE"""),23.1)</f>
        <v>23.1</v>
      </c>
      <c r="S90" s="32">
        <f>IFERROR(__xludf.DUMMYFUNCTION("""COMPUTED_VALUE"""),45308.6875)</f>
        <v>45308.6875</v>
      </c>
      <c r="T90" s="22">
        <f>IFERROR(__xludf.DUMMYFUNCTION("""COMPUTED_VALUE"""),6.24)</f>
        <v>6.24</v>
      </c>
      <c r="U90" s="32">
        <f>IFERROR(__xludf.DUMMYFUNCTION("""COMPUTED_VALUE"""),45269.99861111111)</f>
        <v>45269.99861</v>
      </c>
      <c r="V90" s="31">
        <f>IFERROR(__xludf.DUMMYFUNCTION("""COMPUTED_VALUE"""),1.0772)</f>
        <v>1.0772</v>
      </c>
    </row>
    <row r="91" ht="15.75" customHeight="1">
      <c r="A91" s="32">
        <f>IFERROR(__xludf.DUMMYFUNCTION("""COMPUTED_VALUE"""),45310.73611111111)</f>
        <v>45310.73611</v>
      </c>
      <c r="B91" s="31">
        <f>IFERROR(__xludf.DUMMYFUNCTION("""COMPUTED_VALUE"""),95.22)</f>
        <v>95.22</v>
      </c>
      <c r="C91" s="32">
        <f>IFERROR(__xludf.DUMMYFUNCTION("""COMPUTED_VALUE"""),45313.726388888885)</f>
        <v>45313.72639</v>
      </c>
      <c r="D91" s="31">
        <f>IFERROR(__xludf.DUMMYFUNCTION("""COMPUTED_VALUE"""),5.19)</f>
        <v>5.19</v>
      </c>
      <c r="E91" s="32">
        <f>IFERROR(__xludf.DUMMYFUNCTION("""COMPUTED_VALUE"""),45313.73611111111)</f>
        <v>45313.73611</v>
      </c>
      <c r="F91" s="31">
        <f>IFERROR(__xludf.DUMMYFUNCTION("""COMPUTED_VALUE"""),94.89)</f>
        <v>94.89</v>
      </c>
      <c r="G91" s="32">
        <f>IFERROR(__xludf.DUMMYFUNCTION("""COMPUTED_VALUE"""),45309.726388888885)</f>
        <v>45309.72639</v>
      </c>
      <c r="H91" s="31">
        <f>IFERROR(__xludf.DUMMYFUNCTION("""COMPUTED_VALUE"""),5.11)</f>
        <v>5.11</v>
      </c>
      <c r="I91" s="32">
        <f>IFERROR(__xludf.DUMMYFUNCTION("""COMPUTED_VALUE"""),45309.726388888885)</f>
        <v>45309.72639</v>
      </c>
      <c r="J91" s="31">
        <f>IFERROR(__xludf.DUMMYFUNCTION("""COMPUTED_VALUE"""),5.14)</f>
        <v>5.14</v>
      </c>
      <c r="K91" s="32">
        <f>IFERROR(__xludf.DUMMYFUNCTION("""COMPUTED_VALUE"""),45313.73611111111)</f>
        <v>45313.73611</v>
      </c>
      <c r="L91" s="31">
        <f>IFERROR(__xludf.DUMMYFUNCTION("""COMPUTED_VALUE"""),95.68)</f>
        <v>95.68</v>
      </c>
      <c r="M91" s="32">
        <f>IFERROR(__xludf.DUMMYFUNCTION("""COMPUTED_VALUE"""),45309.726388888885)</f>
        <v>45309.72639</v>
      </c>
      <c r="N91" s="31">
        <f>IFERROR(__xludf.DUMMYFUNCTION("""COMPUTED_VALUE"""),5.2)</f>
        <v>5.2</v>
      </c>
      <c r="O91" s="32">
        <f>IFERROR(__xludf.DUMMYFUNCTION("""COMPUTED_VALUE"""),45309.6875)</f>
        <v>45309.6875</v>
      </c>
      <c r="P91" s="31">
        <f>IFERROR(__xludf.DUMMYFUNCTION("""COMPUTED_VALUE"""),499.86)</f>
        <v>499.86</v>
      </c>
      <c r="Q91" s="32">
        <f>IFERROR(__xludf.DUMMYFUNCTION("""COMPUTED_VALUE"""),45310.66666666667)</f>
        <v>45310.66667</v>
      </c>
      <c r="R91" s="31">
        <f>IFERROR(__xludf.DUMMYFUNCTION("""COMPUTED_VALUE"""),23.06)</f>
        <v>23.06</v>
      </c>
      <c r="S91" s="32">
        <f>IFERROR(__xludf.DUMMYFUNCTION("""COMPUTED_VALUE"""),45309.6875)</f>
        <v>45309.6875</v>
      </c>
      <c r="T91" s="22">
        <f>IFERROR(__xludf.DUMMYFUNCTION("""COMPUTED_VALUE"""),6.25)</f>
        <v>6.25</v>
      </c>
      <c r="U91" s="32">
        <f>IFERROR(__xludf.DUMMYFUNCTION("""COMPUTED_VALUE"""),45270.99861111111)</f>
        <v>45270.99861</v>
      </c>
      <c r="V91" s="31">
        <f>IFERROR(__xludf.DUMMYFUNCTION("""COMPUTED_VALUE"""),1.07647)</f>
        <v>1.07647</v>
      </c>
    </row>
    <row r="92" ht="15.75" customHeight="1">
      <c r="A92" s="32">
        <f>IFERROR(__xludf.DUMMYFUNCTION("""COMPUTED_VALUE"""),45313.73611111111)</f>
        <v>45313.73611</v>
      </c>
      <c r="B92" s="31">
        <f>IFERROR(__xludf.DUMMYFUNCTION("""COMPUTED_VALUE"""),95.49)</f>
        <v>95.49</v>
      </c>
      <c r="C92" s="32">
        <f>IFERROR(__xludf.DUMMYFUNCTION("""COMPUTED_VALUE"""),45314.726388888885)</f>
        <v>45314.72639</v>
      </c>
      <c r="D92" s="31">
        <f>IFERROR(__xludf.DUMMYFUNCTION("""COMPUTED_VALUE"""),5.18)</f>
        <v>5.18</v>
      </c>
      <c r="E92" s="32">
        <f>IFERROR(__xludf.DUMMYFUNCTION("""COMPUTED_VALUE"""),45314.73611111111)</f>
        <v>45314.73611</v>
      </c>
      <c r="F92" s="31">
        <f>IFERROR(__xludf.DUMMYFUNCTION("""COMPUTED_VALUE"""),95.21)</f>
        <v>95.21</v>
      </c>
      <c r="G92" s="32">
        <f>IFERROR(__xludf.DUMMYFUNCTION("""COMPUTED_VALUE"""),45310.726388888885)</f>
        <v>45310.72639</v>
      </c>
      <c r="H92" s="31">
        <f>IFERROR(__xludf.DUMMYFUNCTION("""COMPUTED_VALUE"""),5.11)</f>
        <v>5.11</v>
      </c>
      <c r="I92" s="32">
        <f>IFERROR(__xludf.DUMMYFUNCTION("""COMPUTED_VALUE"""),45310.726388888885)</f>
        <v>45310.72639</v>
      </c>
      <c r="J92" s="31">
        <f>IFERROR(__xludf.DUMMYFUNCTION("""COMPUTED_VALUE"""),5.14)</f>
        <v>5.14</v>
      </c>
      <c r="K92" s="32">
        <f>IFERROR(__xludf.DUMMYFUNCTION("""COMPUTED_VALUE"""),45314.73611111111)</f>
        <v>45314.73611</v>
      </c>
      <c r="L92" s="31">
        <f>IFERROR(__xludf.DUMMYFUNCTION("""COMPUTED_VALUE"""),95.93)</f>
        <v>95.93</v>
      </c>
      <c r="M92" s="32">
        <f>IFERROR(__xludf.DUMMYFUNCTION("""COMPUTED_VALUE"""),45310.726388888885)</f>
        <v>45310.72639</v>
      </c>
      <c r="N92" s="31">
        <f>IFERROR(__xludf.DUMMYFUNCTION("""COMPUTED_VALUE"""),5.2)</f>
        <v>5.2</v>
      </c>
      <c r="O92" s="32">
        <f>IFERROR(__xludf.DUMMYFUNCTION("""COMPUTED_VALUE"""),45310.6875)</f>
        <v>45310.6875</v>
      </c>
      <c r="P92" s="31">
        <f>IFERROR(__xludf.DUMMYFUNCTION("""COMPUTED_VALUE"""),503.81)</f>
        <v>503.81</v>
      </c>
      <c r="Q92" s="32">
        <f>IFERROR(__xludf.DUMMYFUNCTION("""COMPUTED_VALUE"""),45313.66666666667)</f>
        <v>45313.66667</v>
      </c>
      <c r="R92" s="31">
        <f>IFERROR(__xludf.DUMMYFUNCTION("""COMPUTED_VALUE"""),23.11)</f>
        <v>23.11</v>
      </c>
      <c r="S92" s="32">
        <f>IFERROR(__xludf.DUMMYFUNCTION("""COMPUTED_VALUE"""),45310.6875)</f>
        <v>45310.6875</v>
      </c>
      <c r="T92" s="22">
        <f>IFERROR(__xludf.DUMMYFUNCTION("""COMPUTED_VALUE"""),6.24)</f>
        <v>6.24</v>
      </c>
      <c r="U92" s="32">
        <f>IFERROR(__xludf.DUMMYFUNCTION("""COMPUTED_VALUE"""),45271.99861111111)</f>
        <v>45271.99861</v>
      </c>
      <c r="V92" s="31">
        <f>IFERROR(__xludf.DUMMYFUNCTION("""COMPUTED_VALUE"""),1.0765)</f>
        <v>1.0765</v>
      </c>
    </row>
    <row r="93" ht="15.75" customHeight="1">
      <c r="A93" s="32">
        <f>IFERROR(__xludf.DUMMYFUNCTION("""COMPUTED_VALUE"""),45314.73611111111)</f>
        <v>45314.73611</v>
      </c>
      <c r="B93" s="31">
        <f>IFERROR(__xludf.DUMMYFUNCTION("""COMPUTED_VALUE"""),95.79)</f>
        <v>95.79</v>
      </c>
      <c r="C93" s="32">
        <f>IFERROR(__xludf.DUMMYFUNCTION("""COMPUTED_VALUE"""),45315.726388888885)</f>
        <v>45315.72639</v>
      </c>
      <c r="D93" s="31">
        <f>IFERROR(__xludf.DUMMYFUNCTION("""COMPUTED_VALUE"""),5.19)</f>
        <v>5.19</v>
      </c>
      <c r="E93" s="32">
        <f>IFERROR(__xludf.DUMMYFUNCTION("""COMPUTED_VALUE"""),45315.73611111111)</f>
        <v>45315.73611</v>
      </c>
      <c r="F93" s="31">
        <f>IFERROR(__xludf.DUMMYFUNCTION("""COMPUTED_VALUE"""),94.8)</f>
        <v>94.8</v>
      </c>
      <c r="G93" s="32">
        <f>IFERROR(__xludf.DUMMYFUNCTION("""COMPUTED_VALUE"""),45313.726388888885)</f>
        <v>45313.72639</v>
      </c>
      <c r="H93" s="31">
        <f>IFERROR(__xludf.DUMMYFUNCTION("""COMPUTED_VALUE"""),5.11)</f>
        <v>5.11</v>
      </c>
      <c r="I93" s="32">
        <f>IFERROR(__xludf.DUMMYFUNCTION("""COMPUTED_VALUE"""),45313.726388888885)</f>
        <v>45313.72639</v>
      </c>
      <c r="J93" s="31">
        <f>IFERROR(__xludf.DUMMYFUNCTION("""COMPUTED_VALUE"""),5.15)</f>
        <v>5.15</v>
      </c>
      <c r="K93" s="32">
        <f>IFERROR(__xludf.DUMMYFUNCTION("""COMPUTED_VALUE"""),45315.73611111111)</f>
        <v>45315.73611</v>
      </c>
      <c r="L93" s="31">
        <f>IFERROR(__xludf.DUMMYFUNCTION("""COMPUTED_VALUE"""),95.46)</f>
        <v>95.46</v>
      </c>
      <c r="M93" s="32">
        <f>IFERROR(__xludf.DUMMYFUNCTION("""COMPUTED_VALUE"""),45313.726388888885)</f>
        <v>45313.72639</v>
      </c>
      <c r="N93" s="31">
        <f>IFERROR(__xludf.DUMMYFUNCTION("""COMPUTED_VALUE"""),5.21)</f>
        <v>5.21</v>
      </c>
      <c r="O93" s="32">
        <f>IFERROR(__xludf.DUMMYFUNCTION("""COMPUTED_VALUE"""),45313.6875)</f>
        <v>45313.6875</v>
      </c>
      <c r="P93" s="31">
        <f>IFERROR(__xludf.DUMMYFUNCTION("""COMPUTED_VALUE"""),509.31)</f>
        <v>509.31</v>
      </c>
      <c r="Q93" s="32">
        <f>IFERROR(__xludf.DUMMYFUNCTION("""COMPUTED_VALUE"""),45314.66666666667)</f>
        <v>45314.66667</v>
      </c>
      <c r="R93" s="31">
        <f>IFERROR(__xludf.DUMMYFUNCTION("""COMPUTED_VALUE"""),23.11)</f>
        <v>23.11</v>
      </c>
      <c r="S93" s="32">
        <f>IFERROR(__xludf.DUMMYFUNCTION("""COMPUTED_VALUE"""),45313.6875)</f>
        <v>45313.6875</v>
      </c>
      <c r="T93" s="22">
        <f>IFERROR(__xludf.DUMMYFUNCTION("""COMPUTED_VALUE"""),6.27)</f>
        <v>6.27</v>
      </c>
      <c r="U93" s="32">
        <f>IFERROR(__xludf.DUMMYFUNCTION("""COMPUTED_VALUE"""),45272.99861111111)</f>
        <v>45272.99861</v>
      </c>
      <c r="V93" s="31">
        <f>IFERROR(__xludf.DUMMYFUNCTION("""COMPUTED_VALUE"""),1.07978)</f>
        <v>1.07978</v>
      </c>
    </row>
    <row r="94" ht="15.75" customHeight="1">
      <c r="A94" s="32">
        <f>IFERROR(__xludf.DUMMYFUNCTION("""COMPUTED_VALUE"""),45315.73611111111)</f>
        <v>45315.73611</v>
      </c>
      <c r="B94" s="31">
        <f>IFERROR(__xludf.DUMMYFUNCTION("""COMPUTED_VALUE"""),95.22)</f>
        <v>95.22</v>
      </c>
      <c r="C94" s="32">
        <f>IFERROR(__xludf.DUMMYFUNCTION("""COMPUTED_VALUE"""),45316.726388888885)</f>
        <v>45316.72639</v>
      </c>
      <c r="D94" s="31">
        <f>IFERROR(__xludf.DUMMYFUNCTION("""COMPUTED_VALUE"""),5.2)</f>
        <v>5.2</v>
      </c>
      <c r="E94" s="32">
        <f>IFERROR(__xludf.DUMMYFUNCTION("""COMPUTED_VALUE"""),45316.73611111111)</f>
        <v>45316.73611</v>
      </c>
      <c r="F94" s="31">
        <f>IFERROR(__xludf.DUMMYFUNCTION("""COMPUTED_VALUE"""),95.45)</f>
        <v>95.45</v>
      </c>
      <c r="G94" s="32">
        <f>IFERROR(__xludf.DUMMYFUNCTION("""COMPUTED_VALUE"""),45314.726388888885)</f>
        <v>45314.72639</v>
      </c>
      <c r="H94" s="31">
        <f>IFERROR(__xludf.DUMMYFUNCTION("""COMPUTED_VALUE"""),5.11)</f>
        <v>5.11</v>
      </c>
      <c r="I94" s="32">
        <f>IFERROR(__xludf.DUMMYFUNCTION("""COMPUTED_VALUE"""),45314.726388888885)</f>
        <v>45314.72639</v>
      </c>
      <c r="J94" s="31">
        <f>IFERROR(__xludf.DUMMYFUNCTION("""COMPUTED_VALUE"""),5.14)</f>
        <v>5.14</v>
      </c>
      <c r="K94" s="32">
        <f>IFERROR(__xludf.DUMMYFUNCTION("""COMPUTED_VALUE"""),45316.73611111111)</f>
        <v>45316.73611</v>
      </c>
      <c r="L94" s="31">
        <f>IFERROR(__xludf.DUMMYFUNCTION("""COMPUTED_VALUE"""),96.25)</f>
        <v>96.25</v>
      </c>
      <c r="M94" s="32">
        <f>IFERROR(__xludf.DUMMYFUNCTION("""COMPUTED_VALUE"""),45314.726388888885)</f>
        <v>45314.72639</v>
      </c>
      <c r="N94" s="31">
        <f>IFERROR(__xludf.DUMMYFUNCTION("""COMPUTED_VALUE"""),5.2)</f>
        <v>5.2</v>
      </c>
      <c r="O94" s="32">
        <f>IFERROR(__xludf.DUMMYFUNCTION("""COMPUTED_VALUE"""),45314.6875)</f>
        <v>45314.6875</v>
      </c>
      <c r="P94" s="31">
        <f>IFERROR(__xludf.DUMMYFUNCTION("""COMPUTED_VALUE"""),508.41)</f>
        <v>508.41</v>
      </c>
      <c r="Q94" s="32">
        <f>IFERROR(__xludf.DUMMYFUNCTION("""COMPUTED_VALUE"""),45315.66666666667)</f>
        <v>45315.66667</v>
      </c>
      <c r="R94" s="31">
        <f>IFERROR(__xludf.DUMMYFUNCTION("""COMPUTED_VALUE"""),23.14)</f>
        <v>23.14</v>
      </c>
      <c r="S94" s="32">
        <f>IFERROR(__xludf.DUMMYFUNCTION("""COMPUTED_VALUE"""),45314.6875)</f>
        <v>45314.6875</v>
      </c>
      <c r="T94" s="22">
        <f>IFERROR(__xludf.DUMMYFUNCTION("""COMPUTED_VALUE"""),6.25)</f>
        <v>6.25</v>
      </c>
      <c r="U94" s="32">
        <f>IFERROR(__xludf.DUMMYFUNCTION("""COMPUTED_VALUE"""),45273.99861111111)</f>
        <v>45273.99861</v>
      </c>
      <c r="V94" s="31">
        <f>IFERROR(__xludf.DUMMYFUNCTION("""COMPUTED_VALUE"""),1.08827)</f>
        <v>1.08827</v>
      </c>
    </row>
    <row r="95" ht="15.75" customHeight="1">
      <c r="A95" s="32">
        <f>IFERROR(__xludf.DUMMYFUNCTION("""COMPUTED_VALUE"""),45316.73611111111)</f>
        <v>45316.73611</v>
      </c>
      <c r="B95" s="31">
        <f>IFERROR(__xludf.DUMMYFUNCTION("""COMPUTED_VALUE"""),95.95)</f>
        <v>95.95</v>
      </c>
      <c r="C95" s="32">
        <f>IFERROR(__xludf.DUMMYFUNCTION("""COMPUTED_VALUE"""),45317.726388888885)</f>
        <v>45317.72639</v>
      </c>
      <c r="D95" s="31">
        <f>IFERROR(__xludf.DUMMYFUNCTION("""COMPUTED_VALUE"""),5.2)</f>
        <v>5.2</v>
      </c>
      <c r="E95" s="32">
        <f>IFERROR(__xludf.DUMMYFUNCTION("""COMPUTED_VALUE"""),45317.73611111111)</f>
        <v>45317.73611</v>
      </c>
      <c r="F95" s="31">
        <f>IFERROR(__xludf.DUMMYFUNCTION("""COMPUTED_VALUE"""),95.17)</f>
        <v>95.17</v>
      </c>
      <c r="G95" s="32">
        <f>IFERROR(__xludf.DUMMYFUNCTION("""COMPUTED_VALUE"""),45315.726388888885)</f>
        <v>45315.72639</v>
      </c>
      <c r="H95" s="31">
        <f>IFERROR(__xludf.DUMMYFUNCTION("""COMPUTED_VALUE"""),5.11)</f>
        <v>5.11</v>
      </c>
      <c r="I95" s="32">
        <f>IFERROR(__xludf.DUMMYFUNCTION("""COMPUTED_VALUE"""),45315.726388888885)</f>
        <v>45315.72639</v>
      </c>
      <c r="J95" s="31">
        <f>IFERROR(__xludf.DUMMYFUNCTION("""COMPUTED_VALUE"""),5.15)</f>
        <v>5.15</v>
      </c>
      <c r="K95" s="32">
        <f>IFERROR(__xludf.DUMMYFUNCTION("""COMPUTED_VALUE"""),45317.73611111111)</f>
        <v>45317.73611</v>
      </c>
      <c r="L95" s="31">
        <f>IFERROR(__xludf.DUMMYFUNCTION("""COMPUTED_VALUE"""),95.98)</f>
        <v>95.98</v>
      </c>
      <c r="M95" s="32">
        <f>IFERROR(__xludf.DUMMYFUNCTION("""COMPUTED_VALUE"""),45315.726388888885)</f>
        <v>45315.72639</v>
      </c>
      <c r="N95" s="31">
        <f>IFERROR(__xludf.DUMMYFUNCTION("""COMPUTED_VALUE"""),5.2)</f>
        <v>5.2</v>
      </c>
      <c r="O95" s="32">
        <f>IFERROR(__xludf.DUMMYFUNCTION("""COMPUTED_VALUE"""),45315.6875)</f>
        <v>45315.6875</v>
      </c>
      <c r="P95" s="31">
        <f>IFERROR(__xludf.DUMMYFUNCTION("""COMPUTED_VALUE"""),513.5)</f>
        <v>513.5</v>
      </c>
      <c r="Q95" s="32">
        <f>IFERROR(__xludf.DUMMYFUNCTION("""COMPUTED_VALUE"""),45316.66666666667)</f>
        <v>45316.66667</v>
      </c>
      <c r="R95" s="31">
        <f>IFERROR(__xludf.DUMMYFUNCTION("""COMPUTED_VALUE"""),23.27)</f>
        <v>23.27</v>
      </c>
      <c r="S95" s="32">
        <f>IFERROR(__xludf.DUMMYFUNCTION("""COMPUTED_VALUE"""),45315.6875)</f>
        <v>45315.6875</v>
      </c>
      <c r="T95" s="22">
        <f>IFERROR(__xludf.DUMMYFUNCTION("""COMPUTED_VALUE"""),6.27)</f>
        <v>6.27</v>
      </c>
      <c r="U95" s="32">
        <f>IFERROR(__xludf.DUMMYFUNCTION("""COMPUTED_VALUE"""),45274.99861111111)</f>
        <v>45274.99861</v>
      </c>
      <c r="V95" s="31">
        <f>IFERROR(__xludf.DUMMYFUNCTION("""COMPUTED_VALUE"""),1.09931)</f>
        <v>1.09931</v>
      </c>
    </row>
    <row r="96" ht="15.75" customHeight="1">
      <c r="A96" s="32">
        <f>IFERROR(__xludf.DUMMYFUNCTION("""COMPUTED_VALUE"""),45317.73611111111)</f>
        <v>45317.73611</v>
      </c>
      <c r="B96" s="31">
        <f>IFERROR(__xludf.DUMMYFUNCTION("""COMPUTED_VALUE"""),95.67)</f>
        <v>95.67</v>
      </c>
      <c r="C96" s="32">
        <f>IFERROR(__xludf.DUMMYFUNCTION("""COMPUTED_VALUE"""),45320.726388888885)</f>
        <v>45320.72639</v>
      </c>
      <c r="D96" s="31">
        <f>IFERROR(__xludf.DUMMYFUNCTION("""COMPUTED_VALUE"""),5.21)</f>
        <v>5.21</v>
      </c>
      <c r="E96" s="32">
        <f>IFERROR(__xludf.DUMMYFUNCTION("""COMPUTED_VALUE"""),45320.73611111111)</f>
        <v>45320.73611</v>
      </c>
      <c r="F96" s="31">
        <f>IFERROR(__xludf.DUMMYFUNCTION("""COMPUTED_VALUE"""),95.73)</f>
        <v>95.73</v>
      </c>
      <c r="G96" s="32">
        <f>IFERROR(__xludf.DUMMYFUNCTION("""COMPUTED_VALUE"""),45316.726388888885)</f>
        <v>45316.72639</v>
      </c>
      <c r="H96" s="31">
        <f>IFERROR(__xludf.DUMMYFUNCTION("""COMPUTED_VALUE"""),5.12)</f>
        <v>5.12</v>
      </c>
      <c r="I96" s="32">
        <f>IFERROR(__xludf.DUMMYFUNCTION("""COMPUTED_VALUE"""),45316.726388888885)</f>
        <v>45316.72639</v>
      </c>
      <c r="J96" s="31">
        <f>IFERROR(__xludf.DUMMYFUNCTION("""COMPUTED_VALUE"""),5.15)</f>
        <v>5.15</v>
      </c>
      <c r="K96" s="32">
        <f>IFERROR(__xludf.DUMMYFUNCTION("""COMPUTED_VALUE"""),45320.73611111111)</f>
        <v>45320.73611</v>
      </c>
      <c r="L96" s="31">
        <f>IFERROR(__xludf.DUMMYFUNCTION("""COMPUTED_VALUE"""),96.56)</f>
        <v>96.56</v>
      </c>
      <c r="M96" s="32">
        <f>IFERROR(__xludf.DUMMYFUNCTION("""COMPUTED_VALUE"""),45316.726388888885)</f>
        <v>45316.72639</v>
      </c>
      <c r="N96" s="31">
        <f>IFERROR(__xludf.DUMMYFUNCTION("""COMPUTED_VALUE"""),5.23)</f>
        <v>5.23</v>
      </c>
      <c r="O96" s="32">
        <f>IFERROR(__xludf.DUMMYFUNCTION("""COMPUTED_VALUE"""),45316.6875)</f>
        <v>45316.6875</v>
      </c>
      <c r="P96" s="31">
        <f>IFERROR(__xludf.DUMMYFUNCTION("""COMPUTED_VALUE"""),513.46)</f>
        <v>513.46</v>
      </c>
      <c r="Q96" s="32">
        <f>IFERROR(__xludf.DUMMYFUNCTION("""COMPUTED_VALUE"""),45317.66666666667)</f>
        <v>45317.66667</v>
      </c>
      <c r="R96" s="31">
        <f>IFERROR(__xludf.DUMMYFUNCTION("""COMPUTED_VALUE"""),23.26)</f>
        <v>23.26</v>
      </c>
      <c r="S96" s="32">
        <f>IFERROR(__xludf.DUMMYFUNCTION("""COMPUTED_VALUE"""),45316.6875)</f>
        <v>45316.6875</v>
      </c>
      <c r="T96" s="22">
        <f>IFERROR(__xludf.DUMMYFUNCTION("""COMPUTED_VALUE"""),6.28)</f>
        <v>6.28</v>
      </c>
      <c r="U96" s="32">
        <f>IFERROR(__xludf.DUMMYFUNCTION("""COMPUTED_VALUE"""),45275.99861111111)</f>
        <v>45275.99861</v>
      </c>
      <c r="V96" s="31">
        <f>IFERROR(__xludf.DUMMYFUNCTION("""COMPUTED_VALUE"""),1.0907)</f>
        <v>1.0907</v>
      </c>
    </row>
    <row r="97" ht="15.75" customHeight="1">
      <c r="A97" s="32">
        <f>IFERROR(__xludf.DUMMYFUNCTION("""COMPUTED_VALUE"""),45320.73611111111)</f>
        <v>45320.73611</v>
      </c>
      <c r="B97" s="31">
        <f>IFERROR(__xludf.DUMMYFUNCTION("""COMPUTED_VALUE"""),96.32)</f>
        <v>96.32</v>
      </c>
      <c r="C97" s="32">
        <f>IFERROR(__xludf.DUMMYFUNCTION("""COMPUTED_VALUE"""),45321.726388888885)</f>
        <v>45321.72639</v>
      </c>
      <c r="D97" s="31">
        <f>IFERROR(__xludf.DUMMYFUNCTION("""COMPUTED_VALUE"""),5.2)</f>
        <v>5.2</v>
      </c>
      <c r="E97" s="32">
        <f>IFERROR(__xludf.DUMMYFUNCTION("""COMPUTED_VALUE"""),45321.73611111111)</f>
        <v>45321.73611</v>
      </c>
      <c r="F97" s="31">
        <f>IFERROR(__xludf.DUMMYFUNCTION("""COMPUTED_VALUE"""),95.32)</f>
        <v>95.32</v>
      </c>
      <c r="G97" s="32">
        <f>IFERROR(__xludf.DUMMYFUNCTION("""COMPUTED_VALUE"""),45317.726388888885)</f>
        <v>45317.72639</v>
      </c>
      <c r="H97" s="31">
        <f>IFERROR(__xludf.DUMMYFUNCTION("""COMPUTED_VALUE"""),5.12)</f>
        <v>5.12</v>
      </c>
      <c r="I97" s="32">
        <f>IFERROR(__xludf.DUMMYFUNCTION("""COMPUTED_VALUE"""),45317.726388888885)</f>
        <v>45317.72639</v>
      </c>
      <c r="J97" s="31">
        <f>IFERROR(__xludf.DUMMYFUNCTION("""COMPUTED_VALUE"""),5.16)</f>
        <v>5.16</v>
      </c>
      <c r="K97" s="32">
        <f>IFERROR(__xludf.DUMMYFUNCTION("""COMPUTED_VALUE"""),45321.73611111111)</f>
        <v>45321.73611</v>
      </c>
      <c r="L97" s="31">
        <f>IFERROR(__xludf.DUMMYFUNCTION("""COMPUTED_VALUE"""),96.17)</f>
        <v>96.17</v>
      </c>
      <c r="M97" s="32">
        <f>IFERROR(__xludf.DUMMYFUNCTION("""COMPUTED_VALUE"""),45317.726388888885)</f>
        <v>45317.72639</v>
      </c>
      <c r="N97" s="31">
        <f>IFERROR(__xludf.DUMMYFUNCTION("""COMPUTED_VALUE"""),5.23)</f>
        <v>5.23</v>
      </c>
      <c r="O97" s="32">
        <f>IFERROR(__xludf.DUMMYFUNCTION("""COMPUTED_VALUE"""),45317.6875)</f>
        <v>45317.6875</v>
      </c>
      <c r="P97" s="31">
        <f>IFERROR(__xludf.DUMMYFUNCTION("""COMPUTED_VALUE"""),515.12)</f>
        <v>515.12</v>
      </c>
      <c r="Q97" s="32">
        <f>IFERROR(__xludf.DUMMYFUNCTION("""COMPUTED_VALUE"""),45320.66666666667)</f>
        <v>45320.66667</v>
      </c>
      <c r="R97" s="31">
        <f>IFERROR(__xludf.DUMMYFUNCTION("""COMPUTED_VALUE"""),23.27)</f>
        <v>23.27</v>
      </c>
      <c r="S97" s="32">
        <f>IFERROR(__xludf.DUMMYFUNCTION("""COMPUTED_VALUE"""),45317.6875)</f>
        <v>45317.6875</v>
      </c>
      <c r="T97" s="22">
        <f>IFERROR(__xludf.DUMMYFUNCTION("""COMPUTED_VALUE"""),6.3)</f>
        <v>6.3</v>
      </c>
      <c r="U97" s="32">
        <f>IFERROR(__xludf.DUMMYFUNCTION("""COMPUTED_VALUE"""),45276.99861111111)</f>
        <v>45276.99861</v>
      </c>
      <c r="V97" s="31">
        <f>IFERROR(__xludf.DUMMYFUNCTION("""COMPUTED_VALUE"""),1.0907)</f>
        <v>1.0907</v>
      </c>
    </row>
    <row r="98" ht="15.75" customHeight="1">
      <c r="A98" s="32">
        <f>IFERROR(__xludf.DUMMYFUNCTION("""COMPUTED_VALUE"""),45321.73611111111)</f>
        <v>45321.73611</v>
      </c>
      <c r="B98" s="31">
        <f>IFERROR(__xludf.DUMMYFUNCTION("""COMPUTED_VALUE"""),95.86)</f>
        <v>95.86</v>
      </c>
      <c r="C98" s="32">
        <f>IFERROR(__xludf.DUMMYFUNCTION("""COMPUTED_VALUE"""),45322.726388888885)</f>
        <v>45322.72639</v>
      </c>
      <c r="D98" s="31">
        <f>IFERROR(__xludf.DUMMYFUNCTION("""COMPUTED_VALUE"""),5.22)</f>
        <v>5.22</v>
      </c>
      <c r="E98" s="32">
        <f>IFERROR(__xludf.DUMMYFUNCTION("""COMPUTED_VALUE"""),45322.73611111111)</f>
        <v>45322.73611</v>
      </c>
      <c r="F98" s="31">
        <f>IFERROR(__xludf.DUMMYFUNCTION("""COMPUTED_VALUE"""),95.47)</f>
        <v>95.47</v>
      </c>
      <c r="G98" s="32">
        <f>IFERROR(__xludf.DUMMYFUNCTION("""COMPUTED_VALUE"""),45320.726388888885)</f>
        <v>45320.72639</v>
      </c>
      <c r="H98" s="31">
        <f>IFERROR(__xludf.DUMMYFUNCTION("""COMPUTED_VALUE"""),5.12)</f>
        <v>5.12</v>
      </c>
      <c r="I98" s="32">
        <f>IFERROR(__xludf.DUMMYFUNCTION("""COMPUTED_VALUE"""),45320.726388888885)</f>
        <v>45320.72639</v>
      </c>
      <c r="J98" s="31">
        <f>IFERROR(__xludf.DUMMYFUNCTION("""COMPUTED_VALUE"""),5.16)</f>
        <v>5.16</v>
      </c>
      <c r="K98" s="32">
        <f>IFERROR(__xludf.DUMMYFUNCTION("""COMPUTED_VALUE"""),45322.73611111111)</f>
        <v>45322.73611</v>
      </c>
      <c r="L98" s="31">
        <f>IFERROR(__xludf.DUMMYFUNCTION("""COMPUTED_VALUE"""),96.37)</f>
        <v>96.37</v>
      </c>
      <c r="M98" s="32">
        <f>IFERROR(__xludf.DUMMYFUNCTION("""COMPUTED_VALUE"""),45320.726388888885)</f>
        <v>45320.72639</v>
      </c>
      <c r="N98" s="31">
        <f>IFERROR(__xludf.DUMMYFUNCTION("""COMPUTED_VALUE"""),5.25)</f>
        <v>5.25</v>
      </c>
      <c r="O98" s="32">
        <f>IFERROR(__xludf.DUMMYFUNCTION("""COMPUTED_VALUE"""),45320.6875)</f>
        <v>45320.6875</v>
      </c>
      <c r="P98" s="31">
        <f>IFERROR(__xludf.DUMMYFUNCTION("""COMPUTED_VALUE"""),513.55)</f>
        <v>513.55</v>
      </c>
      <c r="Q98" s="32">
        <f>IFERROR(__xludf.DUMMYFUNCTION("""COMPUTED_VALUE"""),45321.66666666667)</f>
        <v>45321.66667</v>
      </c>
      <c r="R98" s="31">
        <f>IFERROR(__xludf.DUMMYFUNCTION("""COMPUTED_VALUE"""),23.3)</f>
        <v>23.3</v>
      </c>
      <c r="S98" s="32">
        <f>IFERROR(__xludf.DUMMYFUNCTION("""COMPUTED_VALUE"""),45320.6875)</f>
        <v>45320.6875</v>
      </c>
      <c r="T98" s="22">
        <f>IFERROR(__xludf.DUMMYFUNCTION("""COMPUTED_VALUE"""),6.29)</f>
        <v>6.29</v>
      </c>
      <c r="U98" s="32">
        <f>IFERROR(__xludf.DUMMYFUNCTION("""COMPUTED_VALUE"""),45277.99861111111)</f>
        <v>45277.99861</v>
      </c>
      <c r="V98" s="31">
        <f>IFERROR(__xludf.DUMMYFUNCTION("""COMPUTED_VALUE"""),1.08947)</f>
        <v>1.08947</v>
      </c>
    </row>
    <row r="99" ht="15.75" customHeight="1">
      <c r="A99" s="32">
        <f>IFERROR(__xludf.DUMMYFUNCTION("""COMPUTED_VALUE"""),45322.73611111111)</f>
        <v>45322.73611</v>
      </c>
      <c r="B99" s="31">
        <f>IFERROR(__xludf.DUMMYFUNCTION("""COMPUTED_VALUE"""),96.18)</f>
        <v>96.18</v>
      </c>
      <c r="C99" s="32">
        <f>IFERROR(__xludf.DUMMYFUNCTION("""COMPUTED_VALUE"""),45323.726388888885)</f>
        <v>45323.72639</v>
      </c>
      <c r="D99" s="31">
        <f>IFERROR(__xludf.DUMMYFUNCTION("""COMPUTED_VALUE"""),5.23)</f>
        <v>5.23</v>
      </c>
      <c r="E99" s="32">
        <f>IFERROR(__xludf.DUMMYFUNCTION("""COMPUTED_VALUE"""),45323.73611111111)</f>
        <v>45323.73611</v>
      </c>
      <c r="F99" s="31">
        <f>IFERROR(__xludf.DUMMYFUNCTION("""COMPUTED_VALUE"""),95.7)</f>
        <v>95.7</v>
      </c>
      <c r="G99" s="32">
        <f>IFERROR(__xludf.DUMMYFUNCTION("""COMPUTED_VALUE"""),45321.726388888885)</f>
        <v>45321.72639</v>
      </c>
      <c r="H99" s="31">
        <f>IFERROR(__xludf.DUMMYFUNCTION("""COMPUTED_VALUE"""),5.12)</f>
        <v>5.12</v>
      </c>
      <c r="I99" s="32">
        <f>IFERROR(__xludf.DUMMYFUNCTION("""COMPUTED_VALUE"""),45321.726388888885)</f>
        <v>45321.72639</v>
      </c>
      <c r="J99" s="31">
        <f>IFERROR(__xludf.DUMMYFUNCTION("""COMPUTED_VALUE"""),5.16)</f>
        <v>5.16</v>
      </c>
      <c r="K99" s="32">
        <f>IFERROR(__xludf.DUMMYFUNCTION("""COMPUTED_VALUE"""),45323.73611111111)</f>
        <v>45323.73611</v>
      </c>
      <c r="L99" s="31">
        <f>IFERROR(__xludf.DUMMYFUNCTION("""COMPUTED_VALUE"""),96.64)</f>
        <v>96.64</v>
      </c>
      <c r="M99" s="32">
        <f>IFERROR(__xludf.DUMMYFUNCTION("""COMPUTED_VALUE"""),45321.726388888885)</f>
        <v>45321.72639</v>
      </c>
      <c r="N99" s="31">
        <f>IFERROR(__xludf.DUMMYFUNCTION("""COMPUTED_VALUE"""),5.23)</f>
        <v>5.23</v>
      </c>
      <c r="O99" s="32">
        <f>IFERROR(__xludf.DUMMYFUNCTION("""COMPUTED_VALUE"""),45321.6875)</f>
        <v>45321.6875</v>
      </c>
      <c r="P99" s="31">
        <f>IFERROR(__xludf.DUMMYFUNCTION("""COMPUTED_VALUE"""),517.01)</f>
        <v>517.01</v>
      </c>
      <c r="Q99" s="32">
        <f>IFERROR(__xludf.DUMMYFUNCTION("""COMPUTED_VALUE"""),45322.66666666667)</f>
        <v>45322.66667</v>
      </c>
      <c r="R99" s="31">
        <f>IFERROR(__xludf.DUMMYFUNCTION("""COMPUTED_VALUE"""),23.24)</f>
        <v>23.24</v>
      </c>
      <c r="S99" s="32">
        <f>IFERROR(__xludf.DUMMYFUNCTION("""COMPUTED_VALUE"""),45321.6875)</f>
        <v>45321.6875</v>
      </c>
      <c r="T99" s="22">
        <f>IFERROR(__xludf.DUMMYFUNCTION("""COMPUTED_VALUE"""),6.29)</f>
        <v>6.29</v>
      </c>
      <c r="U99" s="32">
        <f>IFERROR(__xludf.DUMMYFUNCTION("""COMPUTED_VALUE"""),45278.99861111111)</f>
        <v>45278.99861</v>
      </c>
      <c r="V99" s="31">
        <f>IFERROR(__xludf.DUMMYFUNCTION("""COMPUTED_VALUE"""),1.09233)</f>
        <v>1.09233</v>
      </c>
    </row>
    <row r="100" ht="15.75" customHeight="1">
      <c r="A100" s="32">
        <f>IFERROR(__xludf.DUMMYFUNCTION("""COMPUTED_VALUE"""),45323.73611111111)</f>
        <v>45323.73611</v>
      </c>
      <c r="B100" s="31">
        <f>IFERROR(__xludf.DUMMYFUNCTION("""COMPUTED_VALUE"""),96.68)</f>
        <v>96.68</v>
      </c>
      <c r="C100" s="32">
        <f>IFERROR(__xludf.DUMMYFUNCTION("""COMPUTED_VALUE"""),45324.726388888885)</f>
        <v>45324.72639</v>
      </c>
      <c r="D100" s="31">
        <f>IFERROR(__xludf.DUMMYFUNCTION("""COMPUTED_VALUE"""),5.2)</f>
        <v>5.2</v>
      </c>
      <c r="E100" s="32">
        <f>IFERROR(__xludf.DUMMYFUNCTION("""COMPUTED_VALUE"""),45324.73611111111)</f>
        <v>45324.73611</v>
      </c>
      <c r="F100" s="31">
        <f>IFERROR(__xludf.DUMMYFUNCTION("""COMPUTED_VALUE"""),95.74)</f>
        <v>95.74</v>
      </c>
      <c r="G100" s="32">
        <f>IFERROR(__xludf.DUMMYFUNCTION("""COMPUTED_VALUE"""),45322.726388888885)</f>
        <v>45322.72639</v>
      </c>
      <c r="H100" s="31">
        <f>IFERROR(__xludf.DUMMYFUNCTION("""COMPUTED_VALUE"""),5.12)</f>
        <v>5.12</v>
      </c>
      <c r="I100" s="32">
        <f>IFERROR(__xludf.DUMMYFUNCTION("""COMPUTED_VALUE"""),45322.726388888885)</f>
        <v>45322.72639</v>
      </c>
      <c r="J100" s="31">
        <f>IFERROR(__xludf.DUMMYFUNCTION("""COMPUTED_VALUE"""),5.17)</f>
        <v>5.17</v>
      </c>
      <c r="K100" s="32">
        <f>IFERROR(__xludf.DUMMYFUNCTION("""COMPUTED_VALUE"""),45324.73611111111)</f>
        <v>45324.73611</v>
      </c>
      <c r="L100" s="31">
        <f>IFERROR(__xludf.DUMMYFUNCTION("""COMPUTED_VALUE"""),96.63)</f>
        <v>96.63</v>
      </c>
      <c r="M100" s="32">
        <f>IFERROR(__xludf.DUMMYFUNCTION("""COMPUTED_VALUE"""),45322.726388888885)</f>
        <v>45322.72639</v>
      </c>
      <c r="N100" s="31">
        <f>IFERROR(__xludf.DUMMYFUNCTION("""COMPUTED_VALUE"""),5.26)</f>
        <v>5.26</v>
      </c>
      <c r="O100" s="32">
        <f>IFERROR(__xludf.DUMMYFUNCTION("""COMPUTED_VALUE"""),45322.6875)</f>
        <v>45322.6875</v>
      </c>
      <c r="P100" s="31">
        <f>IFERROR(__xludf.DUMMYFUNCTION("""COMPUTED_VALUE"""),512.58)</f>
        <v>512.58</v>
      </c>
      <c r="Q100" s="32">
        <f>IFERROR(__xludf.DUMMYFUNCTION("""COMPUTED_VALUE"""),45323.66666666667)</f>
        <v>45323.66667</v>
      </c>
      <c r="R100" s="31">
        <f>IFERROR(__xludf.DUMMYFUNCTION("""COMPUTED_VALUE"""),23.25)</f>
        <v>23.25</v>
      </c>
      <c r="S100" s="32">
        <f>IFERROR(__xludf.DUMMYFUNCTION("""COMPUTED_VALUE"""),45322.6875)</f>
        <v>45322.6875</v>
      </c>
      <c r="T100" s="22">
        <f>IFERROR(__xludf.DUMMYFUNCTION("""COMPUTED_VALUE"""),6.29)</f>
        <v>6.29</v>
      </c>
      <c r="U100" s="32">
        <f>IFERROR(__xludf.DUMMYFUNCTION("""COMPUTED_VALUE"""),45279.99861111111)</f>
        <v>45279.99861</v>
      </c>
      <c r="V100" s="31">
        <f>IFERROR(__xludf.DUMMYFUNCTION("""COMPUTED_VALUE"""),1.09804)</f>
        <v>1.09804</v>
      </c>
    </row>
    <row r="101" ht="15.75" customHeight="1">
      <c r="A101" s="32">
        <f>IFERROR(__xludf.DUMMYFUNCTION("""COMPUTED_VALUE"""),45324.73611111111)</f>
        <v>45324.73611</v>
      </c>
      <c r="B101" s="31">
        <f>IFERROR(__xludf.DUMMYFUNCTION("""COMPUTED_VALUE"""),96.49)</f>
        <v>96.49</v>
      </c>
      <c r="C101" s="32">
        <f>IFERROR(__xludf.DUMMYFUNCTION("""COMPUTED_VALUE"""),45327.726388888885)</f>
        <v>45327.72639</v>
      </c>
      <c r="D101" s="31">
        <f>IFERROR(__xludf.DUMMYFUNCTION("""COMPUTED_VALUE"""),5.19)</f>
        <v>5.19</v>
      </c>
      <c r="E101" s="32">
        <f>IFERROR(__xludf.DUMMYFUNCTION("""COMPUTED_VALUE"""),45327.73611111111)</f>
        <v>45327.73611</v>
      </c>
      <c r="F101" s="31">
        <f>IFERROR(__xludf.DUMMYFUNCTION("""COMPUTED_VALUE"""),96.25)</f>
        <v>96.25</v>
      </c>
      <c r="G101" s="32">
        <f>IFERROR(__xludf.DUMMYFUNCTION("""COMPUTED_VALUE"""),45323.726388888885)</f>
        <v>45323.72639</v>
      </c>
      <c r="H101" s="31">
        <f>IFERROR(__xludf.DUMMYFUNCTION("""COMPUTED_VALUE"""),5.12)</f>
        <v>5.12</v>
      </c>
      <c r="I101" s="32">
        <f>IFERROR(__xludf.DUMMYFUNCTION("""COMPUTED_VALUE"""),45323.726388888885)</f>
        <v>45323.72639</v>
      </c>
      <c r="J101" s="31">
        <f>IFERROR(__xludf.DUMMYFUNCTION("""COMPUTED_VALUE"""),5.17)</f>
        <v>5.17</v>
      </c>
      <c r="K101" s="32">
        <f>IFERROR(__xludf.DUMMYFUNCTION("""COMPUTED_VALUE"""),45327.73611111111)</f>
        <v>45327.73611</v>
      </c>
      <c r="L101" s="31">
        <f>IFERROR(__xludf.DUMMYFUNCTION("""COMPUTED_VALUE"""),96.91)</f>
        <v>96.91</v>
      </c>
      <c r="M101" s="32">
        <f>IFERROR(__xludf.DUMMYFUNCTION("""COMPUTED_VALUE"""),45323.726388888885)</f>
        <v>45323.72639</v>
      </c>
      <c r="N101" s="31">
        <f>IFERROR(__xludf.DUMMYFUNCTION("""COMPUTED_VALUE"""),5.26)</f>
        <v>5.26</v>
      </c>
      <c r="O101" s="32">
        <f>IFERROR(__xludf.DUMMYFUNCTION("""COMPUTED_VALUE"""),45323.6875)</f>
        <v>45323.6875</v>
      </c>
      <c r="P101" s="31">
        <f>IFERROR(__xludf.DUMMYFUNCTION("""COMPUTED_VALUE"""),511.13)</f>
        <v>511.13</v>
      </c>
      <c r="Q101" s="32">
        <f>IFERROR(__xludf.DUMMYFUNCTION("""COMPUTED_VALUE"""),45324.66666666667)</f>
        <v>45324.66667</v>
      </c>
      <c r="R101" s="31">
        <f>IFERROR(__xludf.DUMMYFUNCTION("""COMPUTED_VALUE"""),23.11)</f>
        <v>23.11</v>
      </c>
      <c r="S101" s="32">
        <f>IFERROR(__xludf.DUMMYFUNCTION("""COMPUTED_VALUE"""),45323.6875)</f>
        <v>45323.6875</v>
      </c>
      <c r="T101" s="22">
        <f>IFERROR(__xludf.DUMMYFUNCTION("""COMPUTED_VALUE"""),6.31)</f>
        <v>6.31</v>
      </c>
      <c r="U101" s="32">
        <f>IFERROR(__xludf.DUMMYFUNCTION("""COMPUTED_VALUE"""),45280.99861111111)</f>
        <v>45280.99861</v>
      </c>
      <c r="V101" s="31">
        <f>IFERROR(__xludf.DUMMYFUNCTION("""COMPUTED_VALUE"""),1.0943)</f>
        <v>1.0943</v>
      </c>
    </row>
    <row r="102" ht="15.75" customHeight="1">
      <c r="A102" s="32">
        <f>IFERROR(__xludf.DUMMYFUNCTION("""COMPUTED_VALUE"""),45327.73611111111)</f>
        <v>45327.73611</v>
      </c>
      <c r="B102" s="31">
        <f>IFERROR(__xludf.DUMMYFUNCTION("""COMPUTED_VALUE"""),96.66)</f>
        <v>96.66</v>
      </c>
      <c r="C102" s="32">
        <f>IFERROR(__xludf.DUMMYFUNCTION("""COMPUTED_VALUE"""),45328.726388888885)</f>
        <v>45328.72639</v>
      </c>
      <c r="D102" s="31">
        <f>IFERROR(__xludf.DUMMYFUNCTION("""COMPUTED_VALUE"""),5.2)</f>
        <v>5.2</v>
      </c>
      <c r="E102" s="32">
        <f>IFERROR(__xludf.DUMMYFUNCTION("""COMPUTED_VALUE"""),45328.73611111111)</f>
        <v>45328.73611</v>
      </c>
      <c r="F102" s="31">
        <f>IFERROR(__xludf.DUMMYFUNCTION("""COMPUTED_VALUE"""),96.27)</f>
        <v>96.27</v>
      </c>
      <c r="G102" s="32">
        <f>IFERROR(__xludf.DUMMYFUNCTION("""COMPUTED_VALUE"""),45324.726388888885)</f>
        <v>45324.72639</v>
      </c>
      <c r="H102" s="31">
        <f>IFERROR(__xludf.DUMMYFUNCTION("""COMPUTED_VALUE"""),5.12)</f>
        <v>5.12</v>
      </c>
      <c r="I102" s="32">
        <f>IFERROR(__xludf.DUMMYFUNCTION("""COMPUTED_VALUE"""),45324.726388888885)</f>
        <v>45324.72639</v>
      </c>
      <c r="J102" s="31">
        <f>IFERROR(__xludf.DUMMYFUNCTION("""COMPUTED_VALUE"""),5.16)</f>
        <v>5.16</v>
      </c>
      <c r="K102" s="32">
        <f>IFERROR(__xludf.DUMMYFUNCTION("""COMPUTED_VALUE"""),45328.73611111111)</f>
        <v>45328.73611</v>
      </c>
      <c r="L102" s="31">
        <f>IFERROR(__xludf.DUMMYFUNCTION("""COMPUTED_VALUE"""),96.97)</f>
        <v>96.97</v>
      </c>
      <c r="M102" s="32">
        <f>IFERROR(__xludf.DUMMYFUNCTION("""COMPUTED_VALUE"""),45324.726388888885)</f>
        <v>45324.72639</v>
      </c>
      <c r="N102" s="31">
        <f>IFERROR(__xludf.DUMMYFUNCTION("""COMPUTED_VALUE"""),5.23)</f>
        <v>5.23</v>
      </c>
      <c r="O102" s="32">
        <f>IFERROR(__xludf.DUMMYFUNCTION("""COMPUTED_VALUE"""),45324.6875)</f>
        <v>45324.6875</v>
      </c>
      <c r="P102" s="31">
        <f>IFERROR(__xludf.DUMMYFUNCTION("""COMPUTED_VALUE"""),519.14)</f>
        <v>519.14</v>
      </c>
      <c r="Q102" s="32">
        <f>IFERROR(__xludf.DUMMYFUNCTION("""COMPUTED_VALUE"""),45327.66666666667)</f>
        <v>45327.66667</v>
      </c>
      <c r="R102" s="31">
        <f>IFERROR(__xludf.DUMMYFUNCTION("""COMPUTED_VALUE"""),23.01)</f>
        <v>23.01</v>
      </c>
      <c r="S102" s="32">
        <f>IFERROR(__xludf.DUMMYFUNCTION("""COMPUTED_VALUE"""),45324.6875)</f>
        <v>45324.6875</v>
      </c>
      <c r="T102" s="22">
        <f>IFERROR(__xludf.DUMMYFUNCTION("""COMPUTED_VALUE"""),6.28)</f>
        <v>6.28</v>
      </c>
      <c r="U102" s="32">
        <f>IFERROR(__xludf.DUMMYFUNCTION("""COMPUTED_VALUE"""),45281.99861111111)</f>
        <v>45281.99861</v>
      </c>
      <c r="V102" s="31">
        <f>IFERROR(__xludf.DUMMYFUNCTION("""COMPUTED_VALUE"""),1.10056)</f>
        <v>1.10056</v>
      </c>
    </row>
    <row r="103" ht="15.75" customHeight="1">
      <c r="A103" s="32">
        <f>IFERROR(__xludf.DUMMYFUNCTION("""COMPUTED_VALUE"""),45328.73611111111)</f>
        <v>45328.73611</v>
      </c>
      <c r="B103" s="31">
        <f>IFERROR(__xludf.DUMMYFUNCTION("""COMPUTED_VALUE"""),96.76)</f>
        <v>96.76</v>
      </c>
      <c r="C103" s="32">
        <f>IFERROR(__xludf.DUMMYFUNCTION("""COMPUTED_VALUE"""),45329.726388888885)</f>
        <v>45329.72639</v>
      </c>
      <c r="D103" s="31">
        <f>IFERROR(__xludf.DUMMYFUNCTION("""COMPUTED_VALUE"""),5.19)</f>
        <v>5.19</v>
      </c>
      <c r="E103" s="32">
        <f>IFERROR(__xludf.DUMMYFUNCTION("""COMPUTED_VALUE"""),45329.73611111111)</f>
        <v>45329.73611</v>
      </c>
      <c r="F103" s="31">
        <f>IFERROR(__xludf.DUMMYFUNCTION("""COMPUTED_VALUE"""),96.15)</f>
        <v>96.15</v>
      </c>
      <c r="G103" s="32">
        <f>IFERROR(__xludf.DUMMYFUNCTION("""COMPUTED_VALUE"""),45327.726388888885)</f>
        <v>45327.72639</v>
      </c>
      <c r="H103" s="31">
        <f>IFERROR(__xludf.DUMMYFUNCTION("""COMPUTED_VALUE"""),5.11)</f>
        <v>5.11</v>
      </c>
      <c r="I103" s="32">
        <f>IFERROR(__xludf.DUMMYFUNCTION("""COMPUTED_VALUE"""),45327.726388888885)</f>
        <v>45327.72639</v>
      </c>
      <c r="J103" s="31">
        <f>IFERROR(__xludf.DUMMYFUNCTION("""COMPUTED_VALUE"""),5.15)</f>
        <v>5.15</v>
      </c>
      <c r="K103" s="32">
        <f>IFERROR(__xludf.DUMMYFUNCTION("""COMPUTED_VALUE"""),45329.73611111111)</f>
        <v>45329.73611</v>
      </c>
      <c r="L103" s="31">
        <f>IFERROR(__xludf.DUMMYFUNCTION("""COMPUTED_VALUE"""),96.91)</f>
        <v>96.91</v>
      </c>
      <c r="M103" s="32">
        <f>IFERROR(__xludf.DUMMYFUNCTION("""COMPUTED_VALUE"""),45327.726388888885)</f>
        <v>45327.72639</v>
      </c>
      <c r="N103" s="31">
        <f>IFERROR(__xludf.DUMMYFUNCTION("""COMPUTED_VALUE"""),5.21)</f>
        <v>5.21</v>
      </c>
      <c r="O103" s="32">
        <f>IFERROR(__xludf.DUMMYFUNCTION("""COMPUTED_VALUE"""),45327.6875)</f>
        <v>45327.6875</v>
      </c>
      <c r="P103" s="31">
        <f>IFERROR(__xludf.DUMMYFUNCTION("""COMPUTED_VALUE"""),517.67)</f>
        <v>517.67</v>
      </c>
      <c r="Q103" s="32">
        <f>IFERROR(__xludf.DUMMYFUNCTION("""COMPUTED_VALUE"""),45328.66666666667)</f>
        <v>45328.66667</v>
      </c>
      <c r="R103" s="31">
        <f>IFERROR(__xludf.DUMMYFUNCTION("""COMPUTED_VALUE"""),23.09)</f>
        <v>23.09</v>
      </c>
      <c r="S103" s="32">
        <f>IFERROR(__xludf.DUMMYFUNCTION("""COMPUTED_VALUE"""),45327.6875)</f>
        <v>45327.6875</v>
      </c>
      <c r="T103" s="22">
        <f>IFERROR(__xludf.DUMMYFUNCTION("""COMPUTED_VALUE"""),6.26)</f>
        <v>6.26</v>
      </c>
      <c r="U103" s="32">
        <f>IFERROR(__xludf.DUMMYFUNCTION("""COMPUTED_VALUE"""),45282.99861111111)</f>
        <v>45282.99861</v>
      </c>
      <c r="V103" s="31">
        <f>IFERROR(__xludf.DUMMYFUNCTION("""COMPUTED_VALUE"""),1.1026)</f>
        <v>1.1026</v>
      </c>
    </row>
    <row r="104" ht="15.75" customHeight="1">
      <c r="A104" s="32">
        <f>IFERROR(__xludf.DUMMYFUNCTION("""COMPUTED_VALUE"""),45329.73611111111)</f>
        <v>45329.73611</v>
      </c>
      <c r="B104" s="31">
        <f>IFERROR(__xludf.DUMMYFUNCTION("""COMPUTED_VALUE"""),96.64)</f>
        <v>96.64</v>
      </c>
      <c r="C104" s="32">
        <f>IFERROR(__xludf.DUMMYFUNCTION("""COMPUTED_VALUE"""),45330.726388888885)</f>
        <v>45330.72639</v>
      </c>
      <c r="D104" s="31">
        <f>IFERROR(__xludf.DUMMYFUNCTION("""COMPUTED_VALUE"""),5.18)</f>
        <v>5.18</v>
      </c>
      <c r="E104" s="32">
        <f>IFERROR(__xludf.DUMMYFUNCTION("""COMPUTED_VALUE"""),45330.73611111111)</f>
        <v>45330.73611</v>
      </c>
      <c r="F104" s="31">
        <f>IFERROR(__xludf.DUMMYFUNCTION("""COMPUTED_VALUE"""),96.1)</f>
        <v>96.1</v>
      </c>
      <c r="G104" s="32">
        <f>IFERROR(__xludf.DUMMYFUNCTION("""COMPUTED_VALUE"""),45328.726388888885)</f>
        <v>45328.72639</v>
      </c>
      <c r="H104" s="31">
        <f>IFERROR(__xludf.DUMMYFUNCTION("""COMPUTED_VALUE"""),5.12)</f>
        <v>5.12</v>
      </c>
      <c r="I104" s="32">
        <f>IFERROR(__xludf.DUMMYFUNCTION("""COMPUTED_VALUE"""),45328.726388888885)</f>
        <v>45328.72639</v>
      </c>
      <c r="J104" s="31">
        <f>IFERROR(__xludf.DUMMYFUNCTION("""COMPUTED_VALUE"""),5.16)</f>
        <v>5.16</v>
      </c>
      <c r="K104" s="32">
        <f>IFERROR(__xludf.DUMMYFUNCTION("""COMPUTED_VALUE"""),45330.73611111111)</f>
        <v>45330.73611</v>
      </c>
      <c r="L104" s="31">
        <f>IFERROR(__xludf.DUMMYFUNCTION("""COMPUTED_VALUE"""),96.76)</f>
        <v>96.76</v>
      </c>
      <c r="M104" s="32">
        <f>IFERROR(__xludf.DUMMYFUNCTION("""COMPUTED_VALUE"""),45328.726388888885)</f>
        <v>45328.72639</v>
      </c>
      <c r="N104" s="31">
        <f>IFERROR(__xludf.DUMMYFUNCTION("""COMPUTED_VALUE"""),5.22)</f>
        <v>5.22</v>
      </c>
      <c r="O104" s="32">
        <f>IFERROR(__xludf.DUMMYFUNCTION("""COMPUTED_VALUE"""),45328.6875)</f>
        <v>45328.6875</v>
      </c>
      <c r="P104" s="31">
        <f>IFERROR(__xludf.DUMMYFUNCTION("""COMPUTED_VALUE"""),519.26)</f>
        <v>519.26</v>
      </c>
      <c r="Q104" s="32">
        <f>IFERROR(__xludf.DUMMYFUNCTION("""COMPUTED_VALUE"""),45329.66666666667)</f>
        <v>45329.66667</v>
      </c>
      <c r="R104" s="31">
        <f>IFERROR(__xludf.DUMMYFUNCTION("""COMPUTED_VALUE"""),23.12)</f>
        <v>23.12</v>
      </c>
      <c r="S104" s="32">
        <f>IFERROR(__xludf.DUMMYFUNCTION("""COMPUTED_VALUE"""),45328.6875)</f>
        <v>45328.6875</v>
      </c>
      <c r="T104" s="22">
        <f>IFERROR(__xludf.DUMMYFUNCTION("""COMPUTED_VALUE"""),6.28)</f>
        <v>6.28</v>
      </c>
      <c r="U104" s="32">
        <f>IFERROR(__xludf.DUMMYFUNCTION("""COMPUTED_VALUE"""),45283.99861111111)</f>
        <v>45283.99861</v>
      </c>
      <c r="V104" s="31">
        <f>IFERROR(__xludf.DUMMYFUNCTION("""COMPUTED_VALUE"""),1.1025)</f>
        <v>1.1025</v>
      </c>
    </row>
    <row r="105" ht="15.75" customHeight="1">
      <c r="A105" s="32">
        <f>IFERROR(__xludf.DUMMYFUNCTION("""COMPUTED_VALUE"""),45330.73611111111)</f>
        <v>45330.73611</v>
      </c>
      <c r="B105" s="31">
        <f>IFERROR(__xludf.DUMMYFUNCTION("""COMPUTED_VALUE"""),96.51)</f>
        <v>96.51</v>
      </c>
      <c r="C105" s="32">
        <f>IFERROR(__xludf.DUMMYFUNCTION("""COMPUTED_VALUE"""),45331.726388888885)</f>
        <v>45331.72639</v>
      </c>
      <c r="D105" s="31">
        <f>IFERROR(__xludf.DUMMYFUNCTION("""COMPUTED_VALUE"""),5.17)</f>
        <v>5.17</v>
      </c>
      <c r="E105" s="32">
        <f>IFERROR(__xludf.DUMMYFUNCTION("""COMPUTED_VALUE"""),45331.73611111111)</f>
        <v>45331.73611</v>
      </c>
      <c r="F105" s="31">
        <f>IFERROR(__xludf.DUMMYFUNCTION("""COMPUTED_VALUE"""),95.83)</f>
        <v>95.83</v>
      </c>
      <c r="G105" s="32">
        <f>IFERROR(__xludf.DUMMYFUNCTION("""COMPUTED_VALUE"""),45329.726388888885)</f>
        <v>45329.72639</v>
      </c>
      <c r="H105" s="31">
        <f>IFERROR(__xludf.DUMMYFUNCTION("""COMPUTED_VALUE"""),5.12)</f>
        <v>5.12</v>
      </c>
      <c r="I105" s="32">
        <f>IFERROR(__xludf.DUMMYFUNCTION("""COMPUTED_VALUE"""),45329.726388888885)</f>
        <v>45329.72639</v>
      </c>
      <c r="J105" s="31">
        <f>IFERROR(__xludf.DUMMYFUNCTION("""COMPUTED_VALUE"""),5.15)</f>
        <v>5.15</v>
      </c>
      <c r="K105" s="32">
        <f>IFERROR(__xludf.DUMMYFUNCTION("""COMPUTED_VALUE"""),45331.73611111111)</f>
        <v>45331.73611</v>
      </c>
      <c r="L105" s="31">
        <f>IFERROR(__xludf.DUMMYFUNCTION("""COMPUTED_VALUE"""),96.45)</f>
        <v>96.45</v>
      </c>
      <c r="M105" s="32">
        <f>IFERROR(__xludf.DUMMYFUNCTION("""COMPUTED_VALUE"""),45329.726388888885)</f>
        <v>45329.72639</v>
      </c>
      <c r="N105" s="31">
        <f>IFERROR(__xludf.DUMMYFUNCTION("""COMPUTED_VALUE"""),5.22)</f>
        <v>5.22</v>
      </c>
      <c r="O105" s="32">
        <f>IFERROR(__xludf.DUMMYFUNCTION("""COMPUTED_VALUE"""),45329.6875)</f>
        <v>45329.6875</v>
      </c>
      <c r="P105" s="31">
        <f>IFERROR(__xludf.DUMMYFUNCTION("""COMPUTED_VALUE"""),523.08)</f>
        <v>523.08</v>
      </c>
      <c r="Q105" s="32">
        <f>IFERROR(__xludf.DUMMYFUNCTION("""COMPUTED_VALUE"""),45330.66666666667)</f>
        <v>45330.66667</v>
      </c>
      <c r="R105" s="31">
        <f>IFERROR(__xludf.DUMMYFUNCTION("""COMPUTED_VALUE"""),23.13)</f>
        <v>23.13</v>
      </c>
      <c r="S105" s="32">
        <f>IFERROR(__xludf.DUMMYFUNCTION("""COMPUTED_VALUE"""),45329.6875)</f>
        <v>45329.6875</v>
      </c>
      <c r="T105" s="22">
        <f>IFERROR(__xludf.DUMMYFUNCTION("""COMPUTED_VALUE"""),6.28)</f>
        <v>6.28</v>
      </c>
      <c r="U105" s="32">
        <f>IFERROR(__xludf.DUMMYFUNCTION("""COMPUTED_VALUE"""),45284.99861111111)</f>
        <v>45284.99861</v>
      </c>
      <c r="V105" s="31">
        <f>IFERROR(__xludf.DUMMYFUNCTION("""COMPUTED_VALUE"""),1.10118)</f>
        <v>1.10118</v>
      </c>
    </row>
    <row r="106" ht="15.75" customHeight="1">
      <c r="A106" s="32">
        <f>IFERROR(__xludf.DUMMYFUNCTION("""COMPUTED_VALUE"""),45331.73611111111)</f>
        <v>45331.73611</v>
      </c>
      <c r="B106" s="31">
        <f>IFERROR(__xludf.DUMMYFUNCTION("""COMPUTED_VALUE"""),96.16)</f>
        <v>96.16</v>
      </c>
      <c r="C106" s="32">
        <f>IFERROR(__xludf.DUMMYFUNCTION("""COMPUTED_VALUE"""),45334.726388888885)</f>
        <v>45334.72639</v>
      </c>
      <c r="D106" s="31">
        <f>IFERROR(__xludf.DUMMYFUNCTION("""COMPUTED_VALUE"""),5.18)</f>
        <v>5.18</v>
      </c>
      <c r="E106" s="32">
        <f>IFERROR(__xludf.DUMMYFUNCTION("""COMPUTED_VALUE"""),45334.73611111111)</f>
        <v>45334.73611</v>
      </c>
      <c r="F106" s="31">
        <f>IFERROR(__xludf.DUMMYFUNCTION("""COMPUTED_VALUE"""),95.96)</f>
        <v>95.96</v>
      </c>
      <c r="G106" s="32">
        <f>IFERROR(__xludf.DUMMYFUNCTION("""COMPUTED_VALUE"""),45330.726388888885)</f>
        <v>45330.72639</v>
      </c>
      <c r="H106" s="31">
        <f>IFERROR(__xludf.DUMMYFUNCTION("""COMPUTED_VALUE"""),5.12)</f>
        <v>5.12</v>
      </c>
      <c r="I106" s="32">
        <f>IFERROR(__xludf.DUMMYFUNCTION("""COMPUTED_VALUE"""),45330.726388888885)</f>
        <v>45330.72639</v>
      </c>
      <c r="J106" s="31">
        <f>IFERROR(__xludf.DUMMYFUNCTION("""COMPUTED_VALUE"""),5.14)</f>
        <v>5.14</v>
      </c>
      <c r="K106" s="32">
        <f>IFERROR(__xludf.DUMMYFUNCTION("""COMPUTED_VALUE"""),45334.73611111111)</f>
        <v>45334.73611</v>
      </c>
      <c r="L106" s="31">
        <f>IFERROR(__xludf.DUMMYFUNCTION("""COMPUTED_VALUE"""),96.57)</f>
        <v>96.57</v>
      </c>
      <c r="M106" s="32">
        <f>IFERROR(__xludf.DUMMYFUNCTION("""COMPUTED_VALUE"""),45330.726388888885)</f>
        <v>45330.72639</v>
      </c>
      <c r="N106" s="31">
        <f>IFERROR(__xludf.DUMMYFUNCTION("""COMPUTED_VALUE"""),5.2)</f>
        <v>5.2</v>
      </c>
      <c r="O106" s="32">
        <f>IFERROR(__xludf.DUMMYFUNCTION("""COMPUTED_VALUE"""),45330.6875)</f>
        <v>45330.6875</v>
      </c>
      <c r="P106" s="31">
        <f>IFERROR(__xludf.DUMMYFUNCTION("""COMPUTED_VALUE"""),523.83)</f>
        <v>523.83</v>
      </c>
      <c r="Q106" s="32">
        <f>IFERROR(__xludf.DUMMYFUNCTION("""COMPUTED_VALUE"""),45331.66666666667)</f>
        <v>45331.66667</v>
      </c>
      <c r="R106" s="31">
        <f>IFERROR(__xludf.DUMMYFUNCTION("""COMPUTED_VALUE"""),23.19)</f>
        <v>23.19</v>
      </c>
      <c r="S106" s="32">
        <f>IFERROR(__xludf.DUMMYFUNCTION("""COMPUTED_VALUE"""),45330.6875)</f>
        <v>45330.6875</v>
      </c>
      <c r="T106" s="22">
        <f>IFERROR(__xludf.DUMMYFUNCTION("""COMPUTED_VALUE"""),6.29)</f>
        <v>6.29</v>
      </c>
      <c r="U106" s="32">
        <f>IFERROR(__xludf.DUMMYFUNCTION("""COMPUTED_VALUE"""),45285.99861111111)</f>
        <v>45285.99861</v>
      </c>
      <c r="V106" s="31">
        <f>IFERROR(__xludf.DUMMYFUNCTION("""COMPUTED_VALUE"""),1.1019)</f>
        <v>1.1019</v>
      </c>
    </row>
    <row r="107" ht="15.75" customHeight="1">
      <c r="A107" s="32">
        <f>IFERROR(__xludf.DUMMYFUNCTION("""COMPUTED_VALUE"""),45334.73611111111)</f>
        <v>45334.73611</v>
      </c>
      <c r="B107" s="31">
        <f>IFERROR(__xludf.DUMMYFUNCTION("""COMPUTED_VALUE"""),96.19)</f>
        <v>96.19</v>
      </c>
      <c r="C107" s="32">
        <f>IFERROR(__xludf.DUMMYFUNCTION("""COMPUTED_VALUE"""),45335.726388888885)</f>
        <v>45335.72639</v>
      </c>
      <c r="D107" s="31">
        <f>IFERROR(__xludf.DUMMYFUNCTION("""COMPUTED_VALUE"""),5.17)</f>
        <v>5.17</v>
      </c>
      <c r="E107" s="32">
        <f>IFERROR(__xludf.DUMMYFUNCTION("""COMPUTED_VALUE"""),45335.73611111111)</f>
        <v>45335.73611</v>
      </c>
      <c r="F107" s="31">
        <f>IFERROR(__xludf.DUMMYFUNCTION("""COMPUTED_VALUE"""),96.12)</f>
        <v>96.12</v>
      </c>
      <c r="G107" s="32">
        <f>IFERROR(__xludf.DUMMYFUNCTION("""COMPUTED_VALUE"""),45331.726388888885)</f>
        <v>45331.72639</v>
      </c>
      <c r="H107" s="31">
        <f>IFERROR(__xludf.DUMMYFUNCTION("""COMPUTED_VALUE"""),5.12)</f>
        <v>5.12</v>
      </c>
      <c r="I107" s="32">
        <f>IFERROR(__xludf.DUMMYFUNCTION("""COMPUTED_VALUE"""),45331.726388888885)</f>
        <v>45331.72639</v>
      </c>
      <c r="J107" s="31">
        <f>IFERROR(__xludf.DUMMYFUNCTION("""COMPUTED_VALUE"""),5.14)</f>
        <v>5.14</v>
      </c>
      <c r="K107" s="32">
        <f>IFERROR(__xludf.DUMMYFUNCTION("""COMPUTED_VALUE"""),45335.73611111111)</f>
        <v>45335.73611</v>
      </c>
      <c r="L107" s="31">
        <f>IFERROR(__xludf.DUMMYFUNCTION("""COMPUTED_VALUE"""),96.66)</f>
        <v>96.66</v>
      </c>
      <c r="M107" s="32">
        <f>IFERROR(__xludf.DUMMYFUNCTION("""COMPUTED_VALUE"""),45331.726388888885)</f>
        <v>45331.72639</v>
      </c>
      <c r="N107" s="31">
        <f>IFERROR(__xludf.DUMMYFUNCTION("""COMPUTED_VALUE"""),5.2)</f>
        <v>5.2</v>
      </c>
      <c r="O107" s="32">
        <f>IFERROR(__xludf.DUMMYFUNCTION("""COMPUTED_VALUE"""),45331.6875)</f>
        <v>45331.6875</v>
      </c>
      <c r="P107" s="31">
        <f>IFERROR(__xludf.DUMMYFUNCTION("""COMPUTED_VALUE"""),525.94)</f>
        <v>525.94</v>
      </c>
      <c r="Q107" s="32">
        <f>IFERROR(__xludf.DUMMYFUNCTION("""COMPUTED_VALUE"""),45334.66666666667)</f>
        <v>45334.66667</v>
      </c>
      <c r="R107" s="31">
        <f>IFERROR(__xludf.DUMMYFUNCTION("""COMPUTED_VALUE"""),23.14)</f>
        <v>23.14</v>
      </c>
      <c r="S107" s="32">
        <f>IFERROR(__xludf.DUMMYFUNCTION("""COMPUTED_VALUE"""),45331.6875)</f>
        <v>45331.6875</v>
      </c>
      <c r="T107" s="22">
        <f>IFERROR(__xludf.DUMMYFUNCTION("""COMPUTED_VALUE"""),6.3)</f>
        <v>6.3</v>
      </c>
      <c r="U107" s="32">
        <f>IFERROR(__xludf.DUMMYFUNCTION("""COMPUTED_VALUE"""),45286.99861111111)</f>
        <v>45286.99861</v>
      </c>
      <c r="V107" s="31">
        <f>IFERROR(__xludf.DUMMYFUNCTION("""COMPUTED_VALUE"""),1.10419)</f>
        <v>1.10419</v>
      </c>
    </row>
    <row r="108" ht="15.75" customHeight="1">
      <c r="A108" s="32">
        <f>IFERROR(__xludf.DUMMYFUNCTION("""COMPUTED_VALUE"""),45335.73611111111)</f>
        <v>45335.73611</v>
      </c>
      <c r="B108" s="31">
        <f>IFERROR(__xludf.DUMMYFUNCTION("""COMPUTED_VALUE"""),96.32)</f>
        <v>96.32</v>
      </c>
      <c r="C108" s="32">
        <f>IFERROR(__xludf.DUMMYFUNCTION("""COMPUTED_VALUE"""),45336.726388888885)</f>
        <v>45336.72639</v>
      </c>
      <c r="D108" s="31">
        <f>IFERROR(__xludf.DUMMYFUNCTION("""COMPUTED_VALUE"""),5.18)</f>
        <v>5.18</v>
      </c>
      <c r="E108" s="32">
        <f>IFERROR(__xludf.DUMMYFUNCTION("""COMPUTED_VALUE"""),45336.73611111111)</f>
        <v>45336.73611</v>
      </c>
      <c r="F108" s="31">
        <f>IFERROR(__xludf.DUMMYFUNCTION("""COMPUTED_VALUE"""),96.21)</f>
        <v>96.21</v>
      </c>
      <c r="G108" s="32">
        <f>IFERROR(__xludf.DUMMYFUNCTION("""COMPUTED_VALUE"""),45334.726388888885)</f>
        <v>45334.72639</v>
      </c>
      <c r="H108" s="31">
        <f>IFERROR(__xludf.DUMMYFUNCTION("""COMPUTED_VALUE"""),5.12)</f>
        <v>5.12</v>
      </c>
      <c r="I108" s="32">
        <f>IFERROR(__xludf.DUMMYFUNCTION("""COMPUTED_VALUE"""),45334.726388888885)</f>
        <v>45334.72639</v>
      </c>
      <c r="J108" s="31">
        <f>IFERROR(__xludf.DUMMYFUNCTION("""COMPUTED_VALUE"""),5.15)</f>
        <v>5.15</v>
      </c>
      <c r="K108" s="32">
        <f>IFERROR(__xludf.DUMMYFUNCTION("""COMPUTED_VALUE"""),45336.73611111111)</f>
        <v>45336.73611</v>
      </c>
      <c r="L108" s="31">
        <f>IFERROR(__xludf.DUMMYFUNCTION("""COMPUTED_VALUE"""),96.8)</f>
        <v>96.8</v>
      </c>
      <c r="M108" s="32">
        <f>IFERROR(__xludf.DUMMYFUNCTION("""COMPUTED_VALUE"""),45334.726388888885)</f>
        <v>45334.72639</v>
      </c>
      <c r="N108" s="31">
        <f>IFERROR(__xludf.DUMMYFUNCTION("""COMPUTED_VALUE"""),5.2)</f>
        <v>5.2</v>
      </c>
      <c r="O108" s="32">
        <f>IFERROR(__xludf.DUMMYFUNCTION("""COMPUTED_VALUE"""),45334.6875)</f>
        <v>45334.6875</v>
      </c>
      <c r="P108" s="31">
        <f>IFERROR(__xludf.DUMMYFUNCTION("""COMPUTED_VALUE"""),530.0)</f>
        <v>530</v>
      </c>
      <c r="Q108" s="32">
        <f>IFERROR(__xludf.DUMMYFUNCTION("""COMPUTED_VALUE"""),45335.66666666667)</f>
        <v>45335.66667</v>
      </c>
      <c r="R108" s="31">
        <f>IFERROR(__xludf.DUMMYFUNCTION("""COMPUTED_VALUE"""),22.93)</f>
        <v>22.93</v>
      </c>
      <c r="S108" s="32">
        <f>IFERROR(__xludf.DUMMYFUNCTION("""COMPUTED_VALUE"""),45334.6875)</f>
        <v>45334.6875</v>
      </c>
      <c r="T108" s="22">
        <f>IFERROR(__xludf.DUMMYFUNCTION("""COMPUTED_VALUE"""),6.31)</f>
        <v>6.31</v>
      </c>
      <c r="U108" s="32">
        <f>IFERROR(__xludf.DUMMYFUNCTION("""COMPUTED_VALUE"""),45287.99861111111)</f>
        <v>45287.99861</v>
      </c>
      <c r="V108" s="31">
        <f>IFERROR(__xludf.DUMMYFUNCTION("""COMPUTED_VALUE"""),1.1108)</f>
        <v>1.1108</v>
      </c>
    </row>
    <row r="109" ht="15.75" customHeight="1">
      <c r="A109" s="32">
        <f>IFERROR(__xludf.DUMMYFUNCTION("""COMPUTED_VALUE"""),45336.73611111111)</f>
        <v>45336.73611</v>
      </c>
      <c r="B109" s="31">
        <f>IFERROR(__xludf.DUMMYFUNCTION("""COMPUTED_VALUE"""),96.4)</f>
        <v>96.4</v>
      </c>
      <c r="C109" s="32">
        <f>IFERROR(__xludf.DUMMYFUNCTION("""COMPUTED_VALUE"""),45337.726388888885)</f>
        <v>45337.72639</v>
      </c>
      <c r="D109" s="31">
        <f>IFERROR(__xludf.DUMMYFUNCTION("""COMPUTED_VALUE"""),5.18)</f>
        <v>5.18</v>
      </c>
      <c r="E109" s="32">
        <f>IFERROR(__xludf.DUMMYFUNCTION("""COMPUTED_VALUE"""),45337.73611111111)</f>
        <v>45337.73611</v>
      </c>
      <c r="F109" s="31">
        <f>IFERROR(__xludf.DUMMYFUNCTION("""COMPUTED_VALUE"""),96.01)</f>
        <v>96.01</v>
      </c>
      <c r="G109" s="32">
        <f>IFERROR(__xludf.DUMMYFUNCTION("""COMPUTED_VALUE"""),45335.726388888885)</f>
        <v>45335.72639</v>
      </c>
      <c r="H109" s="31">
        <f>IFERROR(__xludf.DUMMYFUNCTION("""COMPUTED_VALUE"""),5.11)</f>
        <v>5.11</v>
      </c>
      <c r="I109" s="32">
        <f>IFERROR(__xludf.DUMMYFUNCTION("""COMPUTED_VALUE"""),45335.726388888885)</f>
        <v>45335.72639</v>
      </c>
      <c r="J109" s="31">
        <f>IFERROR(__xludf.DUMMYFUNCTION("""COMPUTED_VALUE"""),5.13)</f>
        <v>5.13</v>
      </c>
      <c r="K109" s="32">
        <f>IFERROR(__xludf.DUMMYFUNCTION("""COMPUTED_VALUE"""),45337.73611111111)</f>
        <v>45337.73611</v>
      </c>
      <c r="L109" s="31">
        <f>IFERROR(__xludf.DUMMYFUNCTION("""COMPUTED_VALUE"""),96.54)</f>
        <v>96.54</v>
      </c>
      <c r="M109" s="32">
        <f>IFERROR(__xludf.DUMMYFUNCTION("""COMPUTED_VALUE"""),45335.726388888885)</f>
        <v>45335.72639</v>
      </c>
      <c r="N109" s="31">
        <f>IFERROR(__xludf.DUMMYFUNCTION("""COMPUTED_VALUE"""),5.19)</f>
        <v>5.19</v>
      </c>
      <c r="O109" s="32">
        <f>IFERROR(__xludf.DUMMYFUNCTION("""COMPUTED_VALUE"""),45335.6875)</f>
        <v>45335.6875</v>
      </c>
      <c r="P109" s="31">
        <f>IFERROR(__xludf.DUMMYFUNCTION("""COMPUTED_VALUE"""),521.57)</f>
        <v>521.57</v>
      </c>
      <c r="Q109" s="32">
        <f>IFERROR(__xludf.DUMMYFUNCTION("""COMPUTED_VALUE"""),45336.66666666667)</f>
        <v>45336.66667</v>
      </c>
      <c r="R109" s="31">
        <f>IFERROR(__xludf.DUMMYFUNCTION("""COMPUTED_VALUE"""),23.03)</f>
        <v>23.03</v>
      </c>
      <c r="S109" s="32">
        <f>IFERROR(__xludf.DUMMYFUNCTION("""COMPUTED_VALUE"""),45335.6875)</f>
        <v>45335.6875</v>
      </c>
      <c r="T109" s="22">
        <f>IFERROR(__xludf.DUMMYFUNCTION("""COMPUTED_VALUE"""),6.26)</f>
        <v>6.26</v>
      </c>
      <c r="U109" s="32">
        <f>IFERROR(__xludf.DUMMYFUNCTION("""COMPUTED_VALUE"""),45288.99861111111)</f>
        <v>45288.99861</v>
      </c>
      <c r="V109" s="31">
        <f>IFERROR(__xludf.DUMMYFUNCTION("""COMPUTED_VALUE"""),1.1066)</f>
        <v>1.1066</v>
      </c>
    </row>
    <row r="110" ht="15.75" customHeight="1">
      <c r="A110" s="32">
        <f>IFERROR(__xludf.DUMMYFUNCTION("""COMPUTED_VALUE"""),45337.73611111111)</f>
        <v>45337.73611</v>
      </c>
      <c r="B110" s="31">
        <f>IFERROR(__xludf.DUMMYFUNCTION("""COMPUTED_VALUE"""),96.39)</f>
        <v>96.39</v>
      </c>
      <c r="C110" s="32">
        <f>IFERROR(__xludf.DUMMYFUNCTION("""COMPUTED_VALUE"""),45338.726388888885)</f>
        <v>45338.72639</v>
      </c>
      <c r="D110" s="31">
        <f>IFERROR(__xludf.DUMMYFUNCTION("""COMPUTED_VALUE"""),5.17)</f>
        <v>5.17</v>
      </c>
      <c r="E110" s="32">
        <f>IFERROR(__xludf.DUMMYFUNCTION("""COMPUTED_VALUE"""),45338.73611111111)</f>
        <v>45338.73611</v>
      </c>
      <c r="F110" s="31">
        <f>IFERROR(__xludf.DUMMYFUNCTION("""COMPUTED_VALUE"""),95.72)</f>
        <v>95.72</v>
      </c>
      <c r="G110" s="32">
        <f>IFERROR(__xludf.DUMMYFUNCTION("""COMPUTED_VALUE"""),45336.726388888885)</f>
        <v>45336.72639</v>
      </c>
      <c r="H110" s="31">
        <f>IFERROR(__xludf.DUMMYFUNCTION("""COMPUTED_VALUE"""),5.11)</f>
        <v>5.11</v>
      </c>
      <c r="I110" s="32">
        <f>IFERROR(__xludf.DUMMYFUNCTION("""COMPUTED_VALUE"""),45336.726388888885)</f>
        <v>45336.72639</v>
      </c>
      <c r="J110" s="31">
        <f>IFERROR(__xludf.DUMMYFUNCTION("""COMPUTED_VALUE"""),5.14)</f>
        <v>5.14</v>
      </c>
      <c r="K110" s="32">
        <f>IFERROR(__xludf.DUMMYFUNCTION("""COMPUTED_VALUE"""),45338.73611111111)</f>
        <v>45338.73611</v>
      </c>
      <c r="L110" s="31">
        <f>IFERROR(__xludf.DUMMYFUNCTION("""COMPUTED_VALUE"""),96.29)</f>
        <v>96.29</v>
      </c>
      <c r="M110" s="32">
        <f>IFERROR(__xludf.DUMMYFUNCTION("""COMPUTED_VALUE"""),45336.726388888885)</f>
        <v>45336.72639</v>
      </c>
      <c r="N110" s="31">
        <f>IFERROR(__xludf.DUMMYFUNCTION("""COMPUTED_VALUE"""),5.21)</f>
        <v>5.21</v>
      </c>
      <c r="O110" s="32">
        <f>IFERROR(__xludf.DUMMYFUNCTION("""COMPUTED_VALUE"""),45336.6875)</f>
        <v>45336.6875</v>
      </c>
      <c r="P110" s="31">
        <f>IFERROR(__xludf.DUMMYFUNCTION("""COMPUTED_VALUE"""),522.34)</f>
        <v>522.34</v>
      </c>
      <c r="Q110" s="32">
        <f>IFERROR(__xludf.DUMMYFUNCTION("""COMPUTED_VALUE"""),45337.66666666667)</f>
        <v>45337.66667</v>
      </c>
      <c r="R110" s="31">
        <f>IFERROR(__xludf.DUMMYFUNCTION("""COMPUTED_VALUE"""),23.11)</f>
        <v>23.11</v>
      </c>
      <c r="S110" s="32">
        <f>IFERROR(__xludf.DUMMYFUNCTION("""COMPUTED_VALUE"""),45336.6875)</f>
        <v>45336.6875</v>
      </c>
      <c r="T110" s="22">
        <f>IFERROR(__xludf.DUMMYFUNCTION("""COMPUTED_VALUE"""),6.27)</f>
        <v>6.27</v>
      </c>
      <c r="U110" s="32">
        <f>IFERROR(__xludf.DUMMYFUNCTION("""COMPUTED_VALUE"""),45289.99861111111)</f>
        <v>45289.99861</v>
      </c>
      <c r="V110" s="31">
        <f>IFERROR(__xludf.DUMMYFUNCTION("""COMPUTED_VALUE"""),1.1054)</f>
        <v>1.1054</v>
      </c>
    </row>
    <row r="111" ht="15.75" customHeight="1">
      <c r="A111" s="32">
        <f>IFERROR(__xludf.DUMMYFUNCTION("""COMPUTED_VALUE"""),45338.73611111111)</f>
        <v>45338.73611</v>
      </c>
      <c r="B111" s="31">
        <f>IFERROR(__xludf.DUMMYFUNCTION("""COMPUTED_VALUE"""),95.99)</f>
        <v>95.99</v>
      </c>
      <c r="C111" s="32">
        <f>IFERROR(__xludf.DUMMYFUNCTION("""COMPUTED_VALUE"""),45341.726388888885)</f>
        <v>45341.72639</v>
      </c>
      <c r="D111" s="31">
        <f>IFERROR(__xludf.DUMMYFUNCTION("""COMPUTED_VALUE"""),5.17)</f>
        <v>5.17</v>
      </c>
      <c r="E111" s="32">
        <f>IFERROR(__xludf.DUMMYFUNCTION("""COMPUTED_VALUE"""),45341.73611111111)</f>
        <v>45341.73611</v>
      </c>
      <c r="F111" s="31">
        <f>IFERROR(__xludf.DUMMYFUNCTION("""COMPUTED_VALUE"""),95.81)</f>
        <v>95.81</v>
      </c>
      <c r="G111" s="32">
        <f>IFERROR(__xludf.DUMMYFUNCTION("""COMPUTED_VALUE"""),45337.726388888885)</f>
        <v>45337.72639</v>
      </c>
      <c r="H111" s="31">
        <f>IFERROR(__xludf.DUMMYFUNCTION("""COMPUTED_VALUE"""),5.12)</f>
        <v>5.12</v>
      </c>
      <c r="I111" s="32">
        <f>IFERROR(__xludf.DUMMYFUNCTION("""COMPUTED_VALUE"""),45337.726388888885)</f>
        <v>45337.72639</v>
      </c>
      <c r="J111" s="31">
        <f>IFERROR(__xludf.DUMMYFUNCTION("""COMPUTED_VALUE"""),5.14)</f>
        <v>5.14</v>
      </c>
      <c r="K111" s="32">
        <f>IFERROR(__xludf.DUMMYFUNCTION("""COMPUTED_VALUE"""),45341.73611111111)</f>
        <v>45341.73611</v>
      </c>
      <c r="L111" s="31">
        <f>IFERROR(__xludf.DUMMYFUNCTION("""COMPUTED_VALUE"""),96.39)</f>
        <v>96.39</v>
      </c>
      <c r="M111" s="32">
        <f>IFERROR(__xludf.DUMMYFUNCTION("""COMPUTED_VALUE"""),45337.726388888885)</f>
        <v>45337.72639</v>
      </c>
      <c r="N111" s="31">
        <f>IFERROR(__xludf.DUMMYFUNCTION("""COMPUTED_VALUE"""),5.21)</f>
        <v>5.21</v>
      </c>
      <c r="O111" s="32">
        <f>IFERROR(__xludf.DUMMYFUNCTION("""COMPUTED_VALUE"""),45337.6875)</f>
        <v>45337.6875</v>
      </c>
      <c r="P111" s="31">
        <f>IFERROR(__xludf.DUMMYFUNCTION("""COMPUTED_VALUE"""),525.66)</f>
        <v>525.66</v>
      </c>
      <c r="Q111" s="32">
        <f>IFERROR(__xludf.DUMMYFUNCTION("""COMPUTED_VALUE"""),45338.66666666667)</f>
        <v>45338.66667</v>
      </c>
      <c r="R111" s="31">
        <f>IFERROR(__xludf.DUMMYFUNCTION("""COMPUTED_VALUE"""),23.03)</f>
        <v>23.03</v>
      </c>
      <c r="S111" s="32">
        <f>IFERROR(__xludf.DUMMYFUNCTION("""COMPUTED_VALUE"""),45337.6875)</f>
        <v>45337.6875</v>
      </c>
      <c r="T111" s="22">
        <f>IFERROR(__xludf.DUMMYFUNCTION("""COMPUTED_VALUE"""),6.27)</f>
        <v>6.27</v>
      </c>
      <c r="U111" s="32">
        <f>IFERROR(__xludf.DUMMYFUNCTION("""COMPUTED_VALUE"""),45290.99861111111)</f>
        <v>45290.99861</v>
      </c>
      <c r="V111" s="31">
        <f>IFERROR(__xludf.DUMMYFUNCTION("""COMPUTED_VALUE"""),1.1054)</f>
        <v>1.1054</v>
      </c>
    </row>
    <row r="112" ht="15.75" customHeight="1">
      <c r="A112" s="32">
        <f>IFERROR(__xludf.DUMMYFUNCTION("""COMPUTED_VALUE"""),45341.73611111111)</f>
        <v>45341.73611</v>
      </c>
      <c r="B112" s="31">
        <f>IFERROR(__xludf.DUMMYFUNCTION("""COMPUTED_VALUE"""),96.16)</f>
        <v>96.16</v>
      </c>
      <c r="C112" s="32">
        <f>IFERROR(__xludf.DUMMYFUNCTION("""COMPUTED_VALUE"""),45342.726388888885)</f>
        <v>45342.72639</v>
      </c>
      <c r="D112" s="31">
        <f>IFERROR(__xludf.DUMMYFUNCTION("""COMPUTED_VALUE"""),5.18)</f>
        <v>5.18</v>
      </c>
      <c r="E112" s="32">
        <f>IFERROR(__xludf.DUMMYFUNCTION("""COMPUTED_VALUE"""),45342.73611111111)</f>
        <v>45342.73611</v>
      </c>
      <c r="F112" s="31">
        <f>IFERROR(__xludf.DUMMYFUNCTION("""COMPUTED_VALUE"""),95.52)</f>
        <v>95.52</v>
      </c>
      <c r="G112" s="32">
        <f>IFERROR(__xludf.DUMMYFUNCTION("""COMPUTED_VALUE"""),45338.726388888885)</f>
        <v>45338.72639</v>
      </c>
      <c r="H112" s="31">
        <f>IFERROR(__xludf.DUMMYFUNCTION("""COMPUTED_VALUE"""),5.12)</f>
        <v>5.12</v>
      </c>
      <c r="I112" s="32">
        <f>IFERROR(__xludf.DUMMYFUNCTION("""COMPUTED_VALUE"""),45338.726388888885)</f>
        <v>45338.72639</v>
      </c>
      <c r="J112" s="31">
        <f>IFERROR(__xludf.DUMMYFUNCTION("""COMPUTED_VALUE"""),5.14)</f>
        <v>5.14</v>
      </c>
      <c r="K112" s="32">
        <f>IFERROR(__xludf.DUMMYFUNCTION("""COMPUTED_VALUE"""),45342.73611111111)</f>
        <v>45342.73611</v>
      </c>
      <c r="L112" s="31">
        <f>IFERROR(__xludf.DUMMYFUNCTION("""COMPUTED_VALUE"""),96.23)</f>
        <v>96.23</v>
      </c>
      <c r="M112" s="32">
        <f>IFERROR(__xludf.DUMMYFUNCTION("""COMPUTED_VALUE"""),45338.726388888885)</f>
        <v>45338.72639</v>
      </c>
      <c r="N112" s="31">
        <f>IFERROR(__xludf.DUMMYFUNCTION("""COMPUTED_VALUE"""),5.2)</f>
        <v>5.2</v>
      </c>
      <c r="O112" s="32">
        <f>IFERROR(__xludf.DUMMYFUNCTION("""COMPUTED_VALUE"""),45338.6875)</f>
        <v>45338.6875</v>
      </c>
      <c r="P112" s="31">
        <f>IFERROR(__xludf.DUMMYFUNCTION("""COMPUTED_VALUE"""),528.23)</f>
        <v>528.23</v>
      </c>
      <c r="Q112" s="32">
        <f>IFERROR(__xludf.DUMMYFUNCTION("""COMPUTED_VALUE"""),45342.66666666667)</f>
        <v>45342.66667</v>
      </c>
      <c r="R112" s="31">
        <f>IFERROR(__xludf.DUMMYFUNCTION("""COMPUTED_VALUE"""),23.07)</f>
        <v>23.07</v>
      </c>
      <c r="S112" s="32">
        <f>IFERROR(__xludf.DUMMYFUNCTION("""COMPUTED_VALUE"""),45338.6875)</f>
        <v>45338.6875</v>
      </c>
      <c r="T112" s="22">
        <f>IFERROR(__xludf.DUMMYFUNCTION("""COMPUTED_VALUE"""),6.26)</f>
        <v>6.26</v>
      </c>
      <c r="U112" s="32">
        <f>IFERROR(__xludf.DUMMYFUNCTION("""COMPUTED_VALUE"""),45291.99861111111)</f>
        <v>45291.99861</v>
      </c>
      <c r="V112" s="31">
        <f>IFERROR(__xludf.DUMMYFUNCTION("""COMPUTED_VALUE"""),1.10353)</f>
        <v>1.10353</v>
      </c>
    </row>
    <row r="113" ht="15.75" customHeight="1">
      <c r="A113" s="32">
        <f>IFERROR(__xludf.DUMMYFUNCTION("""COMPUTED_VALUE"""),45342.73611111111)</f>
        <v>45342.73611</v>
      </c>
      <c r="B113" s="31">
        <f>IFERROR(__xludf.DUMMYFUNCTION("""COMPUTED_VALUE"""),95.83)</f>
        <v>95.83</v>
      </c>
      <c r="C113" s="32">
        <f>IFERROR(__xludf.DUMMYFUNCTION("""COMPUTED_VALUE"""),45343.726388888885)</f>
        <v>45343.72639</v>
      </c>
      <c r="D113" s="31">
        <f>IFERROR(__xludf.DUMMYFUNCTION("""COMPUTED_VALUE"""),5.17)</f>
        <v>5.17</v>
      </c>
      <c r="E113" s="32">
        <f>IFERROR(__xludf.DUMMYFUNCTION("""COMPUTED_VALUE"""),45343.73611111111)</f>
        <v>45343.73611</v>
      </c>
      <c r="F113" s="31">
        <f>IFERROR(__xludf.DUMMYFUNCTION("""COMPUTED_VALUE"""),95.56)</f>
        <v>95.56</v>
      </c>
      <c r="G113" s="32">
        <f>IFERROR(__xludf.DUMMYFUNCTION("""COMPUTED_VALUE"""),45341.726388888885)</f>
        <v>45341.72639</v>
      </c>
      <c r="H113" s="31">
        <f>IFERROR(__xludf.DUMMYFUNCTION("""COMPUTED_VALUE"""),5.12)</f>
        <v>5.12</v>
      </c>
      <c r="I113" s="32">
        <f>IFERROR(__xludf.DUMMYFUNCTION("""COMPUTED_VALUE"""),45341.726388888885)</f>
        <v>45341.72639</v>
      </c>
      <c r="J113" s="31">
        <f>IFERROR(__xludf.DUMMYFUNCTION("""COMPUTED_VALUE"""),5.14)</f>
        <v>5.14</v>
      </c>
      <c r="K113" s="32">
        <f>IFERROR(__xludf.DUMMYFUNCTION("""COMPUTED_VALUE"""),45343.73611111111)</f>
        <v>45343.73611</v>
      </c>
      <c r="L113" s="31">
        <f>IFERROR(__xludf.DUMMYFUNCTION("""COMPUTED_VALUE"""),96.11)</f>
        <v>96.11</v>
      </c>
      <c r="M113" s="32">
        <f>IFERROR(__xludf.DUMMYFUNCTION("""COMPUTED_VALUE"""),45341.726388888885)</f>
        <v>45341.72639</v>
      </c>
      <c r="N113" s="31">
        <f>IFERROR(__xludf.DUMMYFUNCTION("""COMPUTED_VALUE"""),5.2)</f>
        <v>5.2</v>
      </c>
      <c r="O113" s="32">
        <f>IFERROR(__xludf.DUMMYFUNCTION("""COMPUTED_VALUE"""),45341.6875)</f>
        <v>45341.6875</v>
      </c>
      <c r="P113" s="31">
        <f>IFERROR(__xludf.DUMMYFUNCTION("""COMPUTED_VALUE"""),526.15)</f>
        <v>526.15</v>
      </c>
      <c r="Q113" s="32">
        <f>IFERROR(__xludf.DUMMYFUNCTION("""COMPUTED_VALUE"""),45343.66666666667)</f>
        <v>45343.66667</v>
      </c>
      <c r="R113" s="31">
        <f>IFERROR(__xludf.DUMMYFUNCTION("""COMPUTED_VALUE"""),23.07)</f>
        <v>23.07</v>
      </c>
      <c r="S113" s="32">
        <f>IFERROR(__xludf.DUMMYFUNCTION("""COMPUTED_VALUE"""),45341.6875)</f>
        <v>45341.6875</v>
      </c>
      <c r="T113" s="22">
        <f>IFERROR(__xludf.DUMMYFUNCTION("""COMPUTED_VALUE"""),6.26)</f>
        <v>6.26</v>
      </c>
      <c r="U113" s="32">
        <f>IFERROR(__xludf.DUMMYFUNCTION("""COMPUTED_VALUE"""),45292.99861111111)</f>
        <v>45292.99861</v>
      </c>
      <c r="V113" s="31">
        <f>IFERROR(__xludf.DUMMYFUNCTION("""COMPUTED_VALUE"""),1.10363)</f>
        <v>1.10363</v>
      </c>
    </row>
    <row r="114" ht="15.75" customHeight="1">
      <c r="A114" s="32">
        <f>IFERROR(__xludf.DUMMYFUNCTION("""COMPUTED_VALUE"""),45343.73611111111)</f>
        <v>45343.73611</v>
      </c>
      <c r="B114" s="31">
        <f>IFERROR(__xludf.DUMMYFUNCTION("""COMPUTED_VALUE"""),95.84)</f>
        <v>95.84</v>
      </c>
      <c r="C114" s="32">
        <f>IFERROR(__xludf.DUMMYFUNCTION("""COMPUTED_VALUE"""),45344.726388888885)</f>
        <v>45344.72639</v>
      </c>
      <c r="D114" s="31">
        <f>IFERROR(__xludf.DUMMYFUNCTION("""COMPUTED_VALUE"""),5.17)</f>
        <v>5.17</v>
      </c>
      <c r="E114" s="32">
        <f>IFERROR(__xludf.DUMMYFUNCTION("""COMPUTED_VALUE"""),45344.73611111111)</f>
        <v>45344.73611</v>
      </c>
      <c r="F114" s="31">
        <f>IFERROR(__xludf.DUMMYFUNCTION("""COMPUTED_VALUE"""),95.43)</f>
        <v>95.43</v>
      </c>
      <c r="G114" s="32">
        <f>IFERROR(__xludf.DUMMYFUNCTION("""COMPUTED_VALUE"""),45342.726388888885)</f>
        <v>45342.72639</v>
      </c>
      <c r="H114" s="31">
        <f>IFERROR(__xludf.DUMMYFUNCTION("""COMPUTED_VALUE"""),5.12)</f>
        <v>5.12</v>
      </c>
      <c r="I114" s="32">
        <f>IFERROR(__xludf.DUMMYFUNCTION("""COMPUTED_VALUE"""),45342.726388888885)</f>
        <v>45342.72639</v>
      </c>
      <c r="J114" s="31">
        <f>IFERROR(__xludf.DUMMYFUNCTION("""COMPUTED_VALUE"""),5.14)</f>
        <v>5.14</v>
      </c>
      <c r="K114" s="32">
        <f>IFERROR(__xludf.DUMMYFUNCTION("""COMPUTED_VALUE"""),45344.73611111111)</f>
        <v>45344.73611</v>
      </c>
      <c r="L114" s="31">
        <f>IFERROR(__xludf.DUMMYFUNCTION("""COMPUTED_VALUE"""),95.85)</f>
        <v>95.85</v>
      </c>
      <c r="M114" s="32">
        <f>IFERROR(__xludf.DUMMYFUNCTION("""COMPUTED_VALUE"""),45342.726388888885)</f>
        <v>45342.72639</v>
      </c>
      <c r="N114" s="31">
        <f>IFERROR(__xludf.DUMMYFUNCTION("""COMPUTED_VALUE"""),5.21)</f>
        <v>5.21</v>
      </c>
      <c r="O114" s="32">
        <f>IFERROR(__xludf.DUMMYFUNCTION("""COMPUTED_VALUE"""),45342.6875)</f>
        <v>45342.6875</v>
      </c>
      <c r="P114" s="31">
        <f>IFERROR(__xludf.DUMMYFUNCTION("""COMPUTED_VALUE"""),522.15)</f>
        <v>522.15</v>
      </c>
      <c r="Q114" s="32">
        <f>IFERROR(__xludf.DUMMYFUNCTION("""COMPUTED_VALUE"""),45344.66666666667)</f>
        <v>45344.66667</v>
      </c>
      <c r="R114" s="31">
        <f>IFERROR(__xludf.DUMMYFUNCTION("""COMPUTED_VALUE"""),23.08)</f>
        <v>23.08</v>
      </c>
      <c r="S114" s="32">
        <f>IFERROR(__xludf.DUMMYFUNCTION("""COMPUTED_VALUE"""),45342.6875)</f>
        <v>45342.6875</v>
      </c>
      <c r="T114" s="22">
        <f>IFERROR(__xludf.DUMMYFUNCTION("""COMPUTED_VALUE"""),6.28)</f>
        <v>6.28</v>
      </c>
      <c r="U114" s="32">
        <f>IFERROR(__xludf.DUMMYFUNCTION("""COMPUTED_VALUE"""),45293.99861111111)</f>
        <v>45293.99861</v>
      </c>
      <c r="V114" s="31">
        <f>IFERROR(__xludf.DUMMYFUNCTION("""COMPUTED_VALUE"""),1.09411)</f>
        <v>1.09411</v>
      </c>
    </row>
    <row r="115" ht="15.75" customHeight="1">
      <c r="A115" s="32">
        <f>IFERROR(__xludf.DUMMYFUNCTION("""COMPUTED_VALUE"""),45344.73611111111)</f>
        <v>45344.73611</v>
      </c>
      <c r="B115" s="31">
        <f>IFERROR(__xludf.DUMMYFUNCTION("""COMPUTED_VALUE"""),95.69)</f>
        <v>95.69</v>
      </c>
      <c r="C115" s="32">
        <f>IFERROR(__xludf.DUMMYFUNCTION("""COMPUTED_VALUE"""),45345.726388888885)</f>
        <v>45345.72639</v>
      </c>
      <c r="D115" s="31">
        <f>IFERROR(__xludf.DUMMYFUNCTION("""COMPUTED_VALUE"""),5.18)</f>
        <v>5.18</v>
      </c>
      <c r="E115" s="32">
        <f>IFERROR(__xludf.DUMMYFUNCTION("""COMPUTED_VALUE"""),45345.73611111111)</f>
        <v>45345.73611</v>
      </c>
      <c r="F115" s="31">
        <f>IFERROR(__xludf.DUMMYFUNCTION("""COMPUTED_VALUE"""),95.36)</f>
        <v>95.36</v>
      </c>
      <c r="G115" s="32">
        <f>IFERROR(__xludf.DUMMYFUNCTION("""COMPUTED_VALUE"""),45343.726388888885)</f>
        <v>45343.72639</v>
      </c>
      <c r="H115" s="31">
        <f>IFERROR(__xludf.DUMMYFUNCTION("""COMPUTED_VALUE"""),5.12)</f>
        <v>5.12</v>
      </c>
      <c r="I115" s="32">
        <f>IFERROR(__xludf.DUMMYFUNCTION("""COMPUTED_VALUE"""),45343.726388888885)</f>
        <v>45343.72639</v>
      </c>
      <c r="J115" s="31">
        <f>IFERROR(__xludf.DUMMYFUNCTION("""COMPUTED_VALUE"""),5.14)</f>
        <v>5.14</v>
      </c>
      <c r="K115" s="32">
        <f>IFERROR(__xludf.DUMMYFUNCTION("""COMPUTED_VALUE"""),45345.73611111111)</f>
        <v>45345.73611</v>
      </c>
      <c r="L115" s="31">
        <f>IFERROR(__xludf.DUMMYFUNCTION("""COMPUTED_VALUE"""),95.89)</f>
        <v>95.89</v>
      </c>
      <c r="M115" s="32">
        <f>IFERROR(__xludf.DUMMYFUNCTION("""COMPUTED_VALUE"""),45343.726388888885)</f>
        <v>45343.72639</v>
      </c>
      <c r="N115" s="31">
        <f>IFERROR(__xludf.DUMMYFUNCTION("""COMPUTED_VALUE"""),5.19)</f>
        <v>5.19</v>
      </c>
      <c r="O115" s="32">
        <f>IFERROR(__xludf.DUMMYFUNCTION("""COMPUTED_VALUE"""),45343.6875)</f>
        <v>45343.6875</v>
      </c>
      <c r="P115" s="31">
        <f>IFERROR(__xludf.DUMMYFUNCTION("""COMPUTED_VALUE"""),521.84)</f>
        <v>521.84</v>
      </c>
      <c r="Q115" s="32">
        <f>IFERROR(__xludf.DUMMYFUNCTION("""COMPUTED_VALUE"""),45345.66666666667)</f>
        <v>45345.66667</v>
      </c>
      <c r="R115" s="31">
        <f>IFERROR(__xludf.DUMMYFUNCTION("""COMPUTED_VALUE"""),23.1)</f>
        <v>23.1</v>
      </c>
      <c r="S115" s="32">
        <f>IFERROR(__xludf.DUMMYFUNCTION("""COMPUTED_VALUE"""),45343.6875)</f>
        <v>45343.6875</v>
      </c>
      <c r="T115" s="22">
        <f>IFERROR(__xludf.DUMMYFUNCTION("""COMPUTED_VALUE"""),6.27)</f>
        <v>6.27</v>
      </c>
      <c r="U115" s="32">
        <f>IFERROR(__xludf.DUMMYFUNCTION("""COMPUTED_VALUE"""),45294.99861111111)</f>
        <v>45294.99861</v>
      </c>
      <c r="V115" s="31">
        <f>IFERROR(__xludf.DUMMYFUNCTION("""COMPUTED_VALUE"""),1.09256)</f>
        <v>1.09256</v>
      </c>
    </row>
    <row r="116" ht="15.75" customHeight="1">
      <c r="A116" s="32">
        <f>IFERROR(__xludf.DUMMYFUNCTION("""COMPUTED_VALUE"""),45345.73611111111)</f>
        <v>45345.73611</v>
      </c>
      <c r="B116" s="31">
        <f>IFERROR(__xludf.DUMMYFUNCTION("""COMPUTED_VALUE"""),95.63)</f>
        <v>95.63</v>
      </c>
      <c r="C116" s="32">
        <f>IFERROR(__xludf.DUMMYFUNCTION("""COMPUTED_VALUE"""),45348.726388888885)</f>
        <v>45348.72639</v>
      </c>
      <c r="D116" s="31">
        <f>IFERROR(__xludf.DUMMYFUNCTION("""COMPUTED_VALUE"""),5.17)</f>
        <v>5.17</v>
      </c>
      <c r="E116" s="32">
        <f>IFERROR(__xludf.DUMMYFUNCTION("""COMPUTED_VALUE"""),45348.73611111111)</f>
        <v>45348.73611</v>
      </c>
      <c r="F116" s="31">
        <f>IFERROR(__xludf.DUMMYFUNCTION("""COMPUTED_VALUE"""),95.06)</f>
        <v>95.06</v>
      </c>
      <c r="G116" s="32">
        <f>IFERROR(__xludf.DUMMYFUNCTION("""COMPUTED_VALUE"""),45344.726388888885)</f>
        <v>45344.72639</v>
      </c>
      <c r="H116" s="31">
        <f>IFERROR(__xludf.DUMMYFUNCTION("""COMPUTED_VALUE"""),5.12)</f>
        <v>5.12</v>
      </c>
      <c r="I116" s="32">
        <f>IFERROR(__xludf.DUMMYFUNCTION("""COMPUTED_VALUE"""),45344.726388888885)</f>
        <v>45344.72639</v>
      </c>
      <c r="J116" s="31">
        <f>IFERROR(__xludf.DUMMYFUNCTION("""COMPUTED_VALUE"""),5.14)</f>
        <v>5.14</v>
      </c>
      <c r="K116" s="32">
        <f>IFERROR(__xludf.DUMMYFUNCTION("""COMPUTED_VALUE"""),45348.73611111111)</f>
        <v>45348.73611</v>
      </c>
      <c r="L116" s="31">
        <f>IFERROR(__xludf.DUMMYFUNCTION("""COMPUTED_VALUE"""),95.5)</f>
        <v>95.5</v>
      </c>
      <c r="M116" s="32">
        <f>IFERROR(__xludf.DUMMYFUNCTION("""COMPUTED_VALUE"""),45344.726388888885)</f>
        <v>45344.72639</v>
      </c>
      <c r="N116" s="31">
        <f>IFERROR(__xludf.DUMMYFUNCTION("""COMPUTED_VALUE"""),5.2)</f>
        <v>5.2</v>
      </c>
      <c r="O116" s="32">
        <f>IFERROR(__xludf.DUMMYFUNCTION("""COMPUTED_VALUE"""),45344.6875)</f>
        <v>45344.6875</v>
      </c>
      <c r="P116" s="31">
        <f>IFERROR(__xludf.DUMMYFUNCTION("""COMPUTED_VALUE"""),532.41)</f>
        <v>532.41</v>
      </c>
      <c r="Q116" s="32">
        <f>IFERROR(__xludf.DUMMYFUNCTION("""COMPUTED_VALUE"""),45348.66666666667)</f>
        <v>45348.66667</v>
      </c>
      <c r="R116" s="31">
        <f>IFERROR(__xludf.DUMMYFUNCTION("""COMPUTED_VALUE"""),22.98)</f>
        <v>22.98</v>
      </c>
      <c r="S116" s="32">
        <f>IFERROR(__xludf.DUMMYFUNCTION("""COMPUTED_VALUE"""),45344.6875)</f>
        <v>45344.6875</v>
      </c>
      <c r="T116" s="22">
        <f>IFERROR(__xludf.DUMMYFUNCTION("""COMPUTED_VALUE"""),6.28)</f>
        <v>6.28</v>
      </c>
      <c r="U116" s="32">
        <f>IFERROR(__xludf.DUMMYFUNCTION("""COMPUTED_VALUE"""),45295.99861111111)</f>
        <v>45295.99861</v>
      </c>
      <c r="V116" s="31">
        <f>IFERROR(__xludf.DUMMYFUNCTION("""COMPUTED_VALUE"""),1.0947)</f>
        <v>1.0947</v>
      </c>
    </row>
    <row r="117" ht="15.75" customHeight="1">
      <c r="A117" s="32">
        <f>IFERROR(__xludf.DUMMYFUNCTION("""COMPUTED_VALUE"""),45348.73611111111)</f>
        <v>45348.73611</v>
      </c>
      <c r="B117" s="31">
        <f>IFERROR(__xludf.DUMMYFUNCTION("""COMPUTED_VALUE"""),95.32)</f>
        <v>95.32</v>
      </c>
      <c r="C117" s="32">
        <f>IFERROR(__xludf.DUMMYFUNCTION("""COMPUTED_VALUE"""),45349.726388888885)</f>
        <v>45349.72639</v>
      </c>
      <c r="D117" s="31">
        <f>IFERROR(__xludf.DUMMYFUNCTION("""COMPUTED_VALUE"""),5.16)</f>
        <v>5.16</v>
      </c>
      <c r="E117" s="32">
        <f>IFERROR(__xludf.DUMMYFUNCTION("""COMPUTED_VALUE"""),45349.73611111111)</f>
        <v>45349.73611</v>
      </c>
      <c r="F117" s="31">
        <f>IFERROR(__xludf.DUMMYFUNCTION("""COMPUTED_VALUE"""),95.09)</f>
        <v>95.09</v>
      </c>
      <c r="G117" s="32">
        <f>IFERROR(__xludf.DUMMYFUNCTION("""COMPUTED_VALUE"""),45345.726388888885)</f>
        <v>45345.72639</v>
      </c>
      <c r="H117" s="31">
        <f>IFERROR(__xludf.DUMMYFUNCTION("""COMPUTED_VALUE"""),5.12)</f>
        <v>5.12</v>
      </c>
      <c r="I117" s="32">
        <f>IFERROR(__xludf.DUMMYFUNCTION("""COMPUTED_VALUE"""),45345.726388888885)</f>
        <v>45345.72639</v>
      </c>
      <c r="J117" s="31">
        <f>IFERROR(__xludf.DUMMYFUNCTION("""COMPUTED_VALUE"""),5.14)</f>
        <v>5.14</v>
      </c>
      <c r="K117" s="32">
        <f>IFERROR(__xludf.DUMMYFUNCTION("""COMPUTED_VALUE"""),45349.73611111111)</f>
        <v>45349.73611</v>
      </c>
      <c r="L117" s="31">
        <f>IFERROR(__xludf.DUMMYFUNCTION("""COMPUTED_VALUE"""),95.48)</f>
        <v>95.48</v>
      </c>
      <c r="M117" s="32">
        <f>IFERROR(__xludf.DUMMYFUNCTION("""COMPUTED_VALUE"""),45345.726388888885)</f>
        <v>45345.72639</v>
      </c>
      <c r="N117" s="31">
        <f>IFERROR(__xludf.DUMMYFUNCTION("""COMPUTED_VALUE"""),5.21)</f>
        <v>5.21</v>
      </c>
      <c r="O117" s="32">
        <f>IFERROR(__xludf.DUMMYFUNCTION("""COMPUTED_VALUE"""),45345.6875)</f>
        <v>45345.6875</v>
      </c>
      <c r="P117" s="31">
        <f>IFERROR(__xludf.DUMMYFUNCTION("""COMPUTED_VALUE"""),534.85)</f>
        <v>534.85</v>
      </c>
      <c r="Q117" s="32">
        <f>IFERROR(__xludf.DUMMYFUNCTION("""COMPUTED_VALUE"""),45349.66666666667)</f>
        <v>45349.66667</v>
      </c>
      <c r="R117" s="31">
        <f>IFERROR(__xludf.DUMMYFUNCTION("""COMPUTED_VALUE"""),23.1)</f>
        <v>23.1</v>
      </c>
      <c r="S117" s="32">
        <f>IFERROR(__xludf.DUMMYFUNCTION("""COMPUTED_VALUE"""),45345.6875)</f>
        <v>45345.6875</v>
      </c>
      <c r="T117" s="22">
        <f>IFERROR(__xludf.DUMMYFUNCTION("""COMPUTED_VALUE"""),6.29)</f>
        <v>6.29</v>
      </c>
      <c r="U117" s="32">
        <f>IFERROR(__xludf.DUMMYFUNCTION("""COMPUTED_VALUE"""),45296.99861111111)</f>
        <v>45296.99861</v>
      </c>
      <c r="V117" s="31">
        <f>IFERROR(__xludf.DUMMYFUNCTION("""COMPUTED_VALUE"""),1.0956)</f>
        <v>1.0956</v>
      </c>
    </row>
    <row r="118" ht="15.75" customHeight="1">
      <c r="A118" s="32">
        <f>IFERROR(__xludf.DUMMYFUNCTION("""COMPUTED_VALUE"""),45349.73611111111)</f>
        <v>45349.73611</v>
      </c>
      <c r="B118" s="31">
        <f>IFERROR(__xludf.DUMMYFUNCTION("""COMPUTED_VALUE"""),95.32)</f>
        <v>95.32</v>
      </c>
      <c r="C118" s="32">
        <f>IFERROR(__xludf.DUMMYFUNCTION("""COMPUTED_VALUE"""),45350.726388888885)</f>
        <v>45350.72639</v>
      </c>
      <c r="D118" s="31">
        <f>IFERROR(__xludf.DUMMYFUNCTION("""COMPUTED_VALUE"""),5.16)</f>
        <v>5.16</v>
      </c>
      <c r="E118" s="32">
        <f>IFERROR(__xludf.DUMMYFUNCTION("""COMPUTED_VALUE"""),45350.73611111111)</f>
        <v>45350.73611</v>
      </c>
      <c r="F118" s="31">
        <f>IFERROR(__xludf.DUMMYFUNCTION("""COMPUTED_VALUE"""),95.21)</f>
        <v>95.21</v>
      </c>
      <c r="G118" s="32">
        <f>IFERROR(__xludf.DUMMYFUNCTION("""COMPUTED_VALUE"""),45348.726388888885)</f>
        <v>45348.72639</v>
      </c>
      <c r="H118" s="31">
        <f>IFERROR(__xludf.DUMMYFUNCTION("""COMPUTED_VALUE"""),5.12)</f>
        <v>5.12</v>
      </c>
      <c r="I118" s="32">
        <f>IFERROR(__xludf.DUMMYFUNCTION("""COMPUTED_VALUE"""),45348.726388888885)</f>
        <v>45348.72639</v>
      </c>
      <c r="J118" s="31">
        <f>IFERROR(__xludf.DUMMYFUNCTION("""COMPUTED_VALUE"""),5.14)</f>
        <v>5.14</v>
      </c>
      <c r="K118" s="32">
        <f>IFERROR(__xludf.DUMMYFUNCTION("""COMPUTED_VALUE"""),45350.73611111111)</f>
        <v>45350.73611</v>
      </c>
      <c r="L118" s="31">
        <f>IFERROR(__xludf.DUMMYFUNCTION("""COMPUTED_VALUE"""),95.76)</f>
        <v>95.76</v>
      </c>
      <c r="M118" s="32">
        <f>IFERROR(__xludf.DUMMYFUNCTION("""COMPUTED_VALUE"""),45348.726388888885)</f>
        <v>45348.72639</v>
      </c>
      <c r="N118" s="31">
        <f>IFERROR(__xludf.DUMMYFUNCTION("""COMPUTED_VALUE"""),5.2)</f>
        <v>5.2</v>
      </c>
      <c r="O118" s="32">
        <f>IFERROR(__xludf.DUMMYFUNCTION("""COMPUTED_VALUE"""),45348.6875)</f>
        <v>45348.6875</v>
      </c>
      <c r="P118" s="31">
        <f>IFERROR(__xludf.DUMMYFUNCTION("""COMPUTED_VALUE"""),533.96)</f>
        <v>533.96</v>
      </c>
      <c r="Q118" s="32">
        <f>IFERROR(__xludf.DUMMYFUNCTION("""COMPUTED_VALUE"""),45350.66666666667)</f>
        <v>45350.66667</v>
      </c>
      <c r="R118" s="31">
        <f>IFERROR(__xludf.DUMMYFUNCTION("""COMPUTED_VALUE"""),23.02)</f>
        <v>23.02</v>
      </c>
      <c r="S118" s="32">
        <f>IFERROR(__xludf.DUMMYFUNCTION("""COMPUTED_VALUE"""),45348.6875)</f>
        <v>45348.6875</v>
      </c>
      <c r="T118" s="22">
        <f>IFERROR(__xludf.DUMMYFUNCTION("""COMPUTED_VALUE"""),6.28)</f>
        <v>6.28</v>
      </c>
      <c r="U118" s="32">
        <f>IFERROR(__xludf.DUMMYFUNCTION("""COMPUTED_VALUE"""),45297.99861111111)</f>
        <v>45297.99861</v>
      </c>
      <c r="V118" s="31">
        <f>IFERROR(__xludf.DUMMYFUNCTION("""COMPUTED_VALUE"""),1.0956)</f>
        <v>1.0956</v>
      </c>
    </row>
    <row r="119" ht="15.75" customHeight="1">
      <c r="A119" s="32">
        <f>IFERROR(__xludf.DUMMYFUNCTION("""COMPUTED_VALUE"""),45350.73611111111)</f>
        <v>45350.73611</v>
      </c>
      <c r="B119" s="31">
        <f>IFERROR(__xludf.DUMMYFUNCTION("""COMPUTED_VALUE"""),95.52)</f>
        <v>95.52</v>
      </c>
      <c r="C119" s="32">
        <f>IFERROR(__xludf.DUMMYFUNCTION("""COMPUTED_VALUE"""),45351.726388888885)</f>
        <v>45351.72639</v>
      </c>
      <c r="D119" s="31">
        <f>IFERROR(__xludf.DUMMYFUNCTION("""COMPUTED_VALUE"""),5.17)</f>
        <v>5.17</v>
      </c>
      <c r="E119" s="32">
        <f>IFERROR(__xludf.DUMMYFUNCTION("""COMPUTED_VALUE"""),45351.73611111111)</f>
        <v>45351.73611</v>
      </c>
      <c r="F119" s="31">
        <f>IFERROR(__xludf.DUMMYFUNCTION("""COMPUTED_VALUE"""),95.51)</f>
        <v>95.51</v>
      </c>
      <c r="G119" s="32">
        <f>IFERROR(__xludf.DUMMYFUNCTION("""COMPUTED_VALUE"""),45349.726388888885)</f>
        <v>45349.72639</v>
      </c>
      <c r="H119" s="31">
        <f>IFERROR(__xludf.DUMMYFUNCTION("""COMPUTED_VALUE"""),5.12)</f>
        <v>5.12</v>
      </c>
      <c r="I119" s="32">
        <f>IFERROR(__xludf.DUMMYFUNCTION("""COMPUTED_VALUE"""),45349.726388888885)</f>
        <v>45349.72639</v>
      </c>
      <c r="J119" s="31">
        <f>IFERROR(__xludf.DUMMYFUNCTION("""COMPUTED_VALUE"""),5.13)</f>
        <v>5.13</v>
      </c>
      <c r="K119" s="32">
        <f>IFERROR(__xludf.DUMMYFUNCTION("""COMPUTED_VALUE"""),45351.73611111111)</f>
        <v>45351.73611</v>
      </c>
      <c r="L119" s="31">
        <f>IFERROR(__xludf.DUMMYFUNCTION("""COMPUTED_VALUE"""),96.02)</f>
        <v>96.02</v>
      </c>
      <c r="M119" s="32">
        <f>IFERROR(__xludf.DUMMYFUNCTION("""COMPUTED_VALUE"""),45349.726388888885)</f>
        <v>45349.72639</v>
      </c>
      <c r="N119" s="31">
        <f>IFERROR(__xludf.DUMMYFUNCTION("""COMPUTED_VALUE"""),5.19)</f>
        <v>5.19</v>
      </c>
      <c r="O119" s="32">
        <f>IFERROR(__xludf.DUMMYFUNCTION("""COMPUTED_VALUE"""),45349.6875)</f>
        <v>45349.6875</v>
      </c>
      <c r="P119" s="31">
        <f>IFERROR(__xludf.DUMMYFUNCTION("""COMPUTED_VALUE"""),532.51)</f>
        <v>532.51</v>
      </c>
      <c r="Q119" s="32">
        <f>IFERROR(__xludf.DUMMYFUNCTION("""COMPUTED_VALUE"""),45351.66666666667)</f>
        <v>45351.66667</v>
      </c>
      <c r="R119" s="31">
        <f>IFERROR(__xludf.DUMMYFUNCTION("""COMPUTED_VALUE"""),23.04)</f>
        <v>23.04</v>
      </c>
      <c r="S119" s="32">
        <f>IFERROR(__xludf.DUMMYFUNCTION("""COMPUTED_VALUE"""),45349.6875)</f>
        <v>45349.6875</v>
      </c>
      <c r="T119" s="22">
        <f>IFERROR(__xludf.DUMMYFUNCTION("""COMPUTED_VALUE"""),6.27)</f>
        <v>6.27</v>
      </c>
      <c r="U119" s="32">
        <f>IFERROR(__xludf.DUMMYFUNCTION("""COMPUTED_VALUE"""),45298.99861111111)</f>
        <v>45298.99861</v>
      </c>
      <c r="V119" s="31">
        <f>IFERROR(__xludf.DUMMYFUNCTION("""COMPUTED_VALUE"""),1.09411)</f>
        <v>1.09411</v>
      </c>
    </row>
    <row r="120" ht="15.75" customHeight="1">
      <c r="A120" s="32">
        <f>IFERROR(__xludf.DUMMYFUNCTION("""COMPUTED_VALUE"""),45351.73611111111)</f>
        <v>45351.73611</v>
      </c>
      <c r="B120" s="31">
        <f>IFERROR(__xludf.DUMMYFUNCTION("""COMPUTED_VALUE"""),95.81)</f>
        <v>95.81</v>
      </c>
      <c r="C120" s="32">
        <f>IFERROR(__xludf.DUMMYFUNCTION("""COMPUTED_VALUE"""),45352.726388888885)</f>
        <v>45352.72639</v>
      </c>
      <c r="D120" s="31">
        <f>IFERROR(__xludf.DUMMYFUNCTION("""COMPUTED_VALUE"""),5.18)</f>
        <v>5.18</v>
      </c>
      <c r="E120" s="32">
        <f>IFERROR(__xludf.DUMMYFUNCTION("""COMPUTED_VALUE"""),45352.73611111111)</f>
        <v>45352.73611</v>
      </c>
      <c r="F120" s="31">
        <f>IFERROR(__xludf.DUMMYFUNCTION("""COMPUTED_VALUE"""),95.51)</f>
        <v>95.51</v>
      </c>
      <c r="G120" s="32">
        <f>IFERROR(__xludf.DUMMYFUNCTION("""COMPUTED_VALUE"""),45350.726388888885)</f>
        <v>45350.72639</v>
      </c>
      <c r="H120" s="31">
        <f>IFERROR(__xludf.DUMMYFUNCTION("""COMPUTED_VALUE"""),5.12)</f>
        <v>5.12</v>
      </c>
      <c r="I120" s="32">
        <f>IFERROR(__xludf.DUMMYFUNCTION("""COMPUTED_VALUE"""),45350.726388888885)</f>
        <v>45350.72639</v>
      </c>
      <c r="J120" s="31">
        <f>IFERROR(__xludf.DUMMYFUNCTION("""COMPUTED_VALUE"""),5.13)</f>
        <v>5.13</v>
      </c>
      <c r="K120" s="32">
        <f>IFERROR(__xludf.DUMMYFUNCTION("""COMPUTED_VALUE"""),45352.73611111111)</f>
        <v>45352.73611</v>
      </c>
      <c r="L120" s="31">
        <f>IFERROR(__xludf.DUMMYFUNCTION("""COMPUTED_VALUE"""),96.03)</f>
        <v>96.03</v>
      </c>
      <c r="M120" s="32">
        <f>IFERROR(__xludf.DUMMYFUNCTION("""COMPUTED_VALUE"""),45350.726388888885)</f>
        <v>45350.72639</v>
      </c>
      <c r="N120" s="31">
        <f>IFERROR(__xludf.DUMMYFUNCTION("""COMPUTED_VALUE"""),5.19)</f>
        <v>5.19</v>
      </c>
      <c r="O120" s="32">
        <f>IFERROR(__xludf.DUMMYFUNCTION("""COMPUTED_VALUE"""),45350.6875)</f>
        <v>45350.6875</v>
      </c>
      <c r="P120" s="31">
        <f>IFERROR(__xludf.DUMMYFUNCTION("""COMPUTED_VALUE"""),532.95)</f>
        <v>532.95</v>
      </c>
      <c r="Q120" s="32">
        <f>IFERROR(__xludf.DUMMYFUNCTION("""COMPUTED_VALUE"""),45352.66666666667)</f>
        <v>45352.66667</v>
      </c>
      <c r="R120" s="31">
        <f>IFERROR(__xludf.DUMMYFUNCTION("""COMPUTED_VALUE"""),23.09)</f>
        <v>23.09</v>
      </c>
      <c r="S120" s="32">
        <f>IFERROR(__xludf.DUMMYFUNCTION("""COMPUTED_VALUE"""),45350.6875)</f>
        <v>45350.6875</v>
      </c>
      <c r="T120" s="22">
        <f>IFERROR(__xludf.DUMMYFUNCTION("""COMPUTED_VALUE"""),6.28)</f>
        <v>6.28</v>
      </c>
      <c r="U120" s="32">
        <f>IFERROR(__xludf.DUMMYFUNCTION("""COMPUTED_VALUE"""),45299.99861111111)</f>
        <v>45299.99861</v>
      </c>
      <c r="V120" s="31">
        <f>IFERROR(__xludf.DUMMYFUNCTION("""COMPUTED_VALUE"""),1.09499)</f>
        <v>1.09499</v>
      </c>
    </row>
    <row r="121" ht="15.75" customHeight="1">
      <c r="A121" s="32">
        <f>IFERROR(__xludf.DUMMYFUNCTION("""COMPUTED_VALUE"""),45352.73611111111)</f>
        <v>45352.73611</v>
      </c>
      <c r="B121" s="31">
        <f>IFERROR(__xludf.DUMMYFUNCTION("""COMPUTED_VALUE"""),95.78)</f>
        <v>95.78</v>
      </c>
      <c r="C121" s="32">
        <f>IFERROR(__xludf.DUMMYFUNCTION("""COMPUTED_VALUE"""),45355.726388888885)</f>
        <v>45355.72639</v>
      </c>
      <c r="D121" s="31">
        <f>IFERROR(__xludf.DUMMYFUNCTION("""COMPUTED_VALUE"""),5.17)</f>
        <v>5.17</v>
      </c>
      <c r="E121" s="32">
        <f>IFERROR(__xludf.DUMMYFUNCTION("""COMPUTED_VALUE"""),45355.73611111111)</f>
        <v>45355.73611</v>
      </c>
      <c r="F121" s="31">
        <f>IFERROR(__xludf.DUMMYFUNCTION("""COMPUTED_VALUE"""),95.22)</f>
        <v>95.22</v>
      </c>
      <c r="G121" s="32">
        <f>IFERROR(__xludf.DUMMYFUNCTION("""COMPUTED_VALUE"""),45351.726388888885)</f>
        <v>45351.72639</v>
      </c>
      <c r="H121" s="31">
        <f>IFERROR(__xludf.DUMMYFUNCTION("""COMPUTED_VALUE"""),5.12)</f>
        <v>5.12</v>
      </c>
      <c r="I121" s="32">
        <f>IFERROR(__xludf.DUMMYFUNCTION("""COMPUTED_VALUE"""),45351.726388888885)</f>
        <v>45351.72639</v>
      </c>
      <c r="J121" s="31">
        <f>IFERROR(__xludf.DUMMYFUNCTION("""COMPUTED_VALUE"""),5.14)</f>
        <v>5.14</v>
      </c>
      <c r="K121" s="32">
        <f>IFERROR(__xludf.DUMMYFUNCTION("""COMPUTED_VALUE"""),45355.73611111111)</f>
        <v>45355.73611</v>
      </c>
      <c r="L121" s="31">
        <f>IFERROR(__xludf.DUMMYFUNCTION("""COMPUTED_VALUE"""),95.82)</f>
        <v>95.82</v>
      </c>
      <c r="M121" s="32">
        <f>IFERROR(__xludf.DUMMYFUNCTION("""COMPUTED_VALUE"""),45351.726388888885)</f>
        <v>45351.72639</v>
      </c>
      <c r="N121" s="31">
        <f>IFERROR(__xludf.DUMMYFUNCTION("""COMPUTED_VALUE"""),5.2)</f>
        <v>5.2</v>
      </c>
      <c r="O121" s="32">
        <f>IFERROR(__xludf.DUMMYFUNCTION("""COMPUTED_VALUE"""),45351.6875)</f>
        <v>45351.6875</v>
      </c>
      <c r="P121" s="31">
        <f>IFERROR(__xludf.DUMMYFUNCTION("""COMPUTED_VALUE"""),533.39)</f>
        <v>533.39</v>
      </c>
      <c r="Q121" s="32">
        <f>IFERROR(__xludf.DUMMYFUNCTION("""COMPUTED_VALUE"""),45355.66666666667)</f>
        <v>45355.66667</v>
      </c>
      <c r="R121" s="31">
        <f>IFERROR(__xludf.DUMMYFUNCTION("""COMPUTED_VALUE"""),22.98)</f>
        <v>22.98</v>
      </c>
      <c r="S121" s="32">
        <f>IFERROR(__xludf.DUMMYFUNCTION("""COMPUTED_VALUE"""),45351.6875)</f>
        <v>45351.6875</v>
      </c>
      <c r="T121" s="22">
        <f>IFERROR(__xludf.DUMMYFUNCTION("""COMPUTED_VALUE"""),6.29)</f>
        <v>6.29</v>
      </c>
      <c r="U121" s="32">
        <f>IFERROR(__xludf.DUMMYFUNCTION("""COMPUTED_VALUE"""),45300.99861111111)</f>
        <v>45300.99861</v>
      </c>
      <c r="V121" s="31">
        <f>IFERROR(__xludf.DUMMYFUNCTION("""COMPUTED_VALUE"""),1.09319)</f>
        <v>1.09319</v>
      </c>
    </row>
    <row r="122" ht="15.75" customHeight="1">
      <c r="A122" s="32">
        <f>IFERROR(__xludf.DUMMYFUNCTION("""COMPUTED_VALUE"""),45355.73611111111)</f>
        <v>45355.73611</v>
      </c>
      <c r="B122" s="31">
        <f>IFERROR(__xludf.DUMMYFUNCTION("""COMPUTED_VALUE"""),95.56)</f>
        <v>95.56</v>
      </c>
      <c r="C122" s="32">
        <f>IFERROR(__xludf.DUMMYFUNCTION("""COMPUTED_VALUE"""),45356.726388888885)</f>
        <v>45356.72639</v>
      </c>
      <c r="D122" s="31">
        <f>IFERROR(__xludf.DUMMYFUNCTION("""COMPUTED_VALUE"""),5.18)</f>
        <v>5.18</v>
      </c>
      <c r="E122" s="32">
        <f>IFERROR(__xludf.DUMMYFUNCTION("""COMPUTED_VALUE"""),45356.73611111111)</f>
        <v>45356.73611</v>
      </c>
      <c r="F122" s="31">
        <f>IFERROR(__xludf.DUMMYFUNCTION("""COMPUTED_VALUE"""),95.27)</f>
        <v>95.27</v>
      </c>
      <c r="G122" s="32">
        <f>IFERROR(__xludf.DUMMYFUNCTION("""COMPUTED_VALUE"""),45352.726388888885)</f>
        <v>45352.72639</v>
      </c>
      <c r="H122" s="31">
        <f>IFERROR(__xludf.DUMMYFUNCTION("""COMPUTED_VALUE"""),5.12)</f>
        <v>5.12</v>
      </c>
      <c r="I122" s="32">
        <f>IFERROR(__xludf.DUMMYFUNCTION("""COMPUTED_VALUE"""),45352.726388888885)</f>
        <v>45352.72639</v>
      </c>
      <c r="J122" s="31">
        <f>IFERROR(__xludf.DUMMYFUNCTION("""COMPUTED_VALUE"""),5.14)</f>
        <v>5.14</v>
      </c>
      <c r="K122" s="32">
        <f>IFERROR(__xludf.DUMMYFUNCTION("""COMPUTED_VALUE"""),45356.73611111111)</f>
        <v>45356.73611</v>
      </c>
      <c r="L122" s="31">
        <f>IFERROR(__xludf.DUMMYFUNCTION("""COMPUTED_VALUE"""),95.76)</f>
        <v>95.76</v>
      </c>
      <c r="M122" s="32">
        <f>IFERROR(__xludf.DUMMYFUNCTION("""COMPUTED_VALUE"""),45352.726388888885)</f>
        <v>45352.72639</v>
      </c>
      <c r="N122" s="31">
        <f>IFERROR(__xludf.DUMMYFUNCTION("""COMPUTED_VALUE"""),5.2)</f>
        <v>5.2</v>
      </c>
      <c r="O122" s="32">
        <f>IFERROR(__xludf.DUMMYFUNCTION("""COMPUTED_VALUE"""),45352.6875)</f>
        <v>45352.6875</v>
      </c>
      <c r="P122" s="31">
        <f>IFERROR(__xludf.DUMMYFUNCTION("""COMPUTED_VALUE"""),537.3)</f>
        <v>537.3</v>
      </c>
      <c r="Q122" s="32">
        <f>IFERROR(__xludf.DUMMYFUNCTION("""COMPUTED_VALUE"""),45356.66666666667)</f>
        <v>45356.66667</v>
      </c>
      <c r="R122" s="31">
        <f>IFERROR(__xludf.DUMMYFUNCTION("""COMPUTED_VALUE"""),23.11)</f>
        <v>23.11</v>
      </c>
      <c r="S122" s="32">
        <f>IFERROR(__xludf.DUMMYFUNCTION("""COMPUTED_VALUE"""),45352.6875)</f>
        <v>45352.6875</v>
      </c>
      <c r="T122" s="22">
        <f>IFERROR(__xludf.DUMMYFUNCTION("""COMPUTED_VALUE"""),6.3)</f>
        <v>6.3</v>
      </c>
      <c r="U122" s="32">
        <f>IFERROR(__xludf.DUMMYFUNCTION("""COMPUTED_VALUE"""),45301.99861111111)</f>
        <v>45301.99861</v>
      </c>
      <c r="V122" s="31">
        <f>IFERROR(__xludf.DUMMYFUNCTION("""COMPUTED_VALUE"""),1.09741)</f>
        <v>1.09741</v>
      </c>
    </row>
    <row r="123" ht="15.75" customHeight="1">
      <c r="A123" s="32">
        <f>IFERROR(__xludf.DUMMYFUNCTION("""COMPUTED_VALUE"""),45356.73611111111)</f>
        <v>45356.73611</v>
      </c>
      <c r="B123" s="31">
        <f>IFERROR(__xludf.DUMMYFUNCTION("""COMPUTED_VALUE"""),95.7)</f>
        <v>95.7</v>
      </c>
      <c r="C123" s="32">
        <f>IFERROR(__xludf.DUMMYFUNCTION("""COMPUTED_VALUE"""),45357.726388888885)</f>
        <v>45357.72639</v>
      </c>
      <c r="D123" s="31">
        <f>IFERROR(__xludf.DUMMYFUNCTION("""COMPUTED_VALUE"""),5.18)</f>
        <v>5.18</v>
      </c>
      <c r="E123" s="32">
        <f>IFERROR(__xludf.DUMMYFUNCTION("""COMPUTED_VALUE"""),45357.73611111111)</f>
        <v>45357.73611</v>
      </c>
      <c r="F123" s="31">
        <f>IFERROR(__xludf.DUMMYFUNCTION("""COMPUTED_VALUE"""),95.03)</f>
        <v>95.03</v>
      </c>
      <c r="G123" s="32">
        <f>IFERROR(__xludf.DUMMYFUNCTION("""COMPUTED_VALUE"""),45355.726388888885)</f>
        <v>45355.72639</v>
      </c>
      <c r="H123" s="31">
        <f>IFERROR(__xludf.DUMMYFUNCTION("""COMPUTED_VALUE"""),5.12)</f>
        <v>5.12</v>
      </c>
      <c r="I123" s="32">
        <f>IFERROR(__xludf.DUMMYFUNCTION("""COMPUTED_VALUE"""),45355.726388888885)</f>
        <v>45355.72639</v>
      </c>
      <c r="J123" s="31">
        <f>IFERROR(__xludf.DUMMYFUNCTION("""COMPUTED_VALUE"""),5.14)</f>
        <v>5.14</v>
      </c>
      <c r="K123" s="32">
        <f>IFERROR(__xludf.DUMMYFUNCTION("""COMPUTED_VALUE"""),45357.73611111111)</f>
        <v>45357.73611</v>
      </c>
      <c r="L123" s="31">
        <f>IFERROR(__xludf.DUMMYFUNCTION("""COMPUTED_VALUE"""),95.49)</f>
        <v>95.49</v>
      </c>
      <c r="M123" s="32">
        <f>IFERROR(__xludf.DUMMYFUNCTION("""COMPUTED_VALUE"""),45355.726388888885)</f>
        <v>45355.72639</v>
      </c>
      <c r="N123" s="31">
        <f>IFERROR(__xludf.DUMMYFUNCTION("""COMPUTED_VALUE"""),5.21)</f>
        <v>5.21</v>
      </c>
      <c r="O123" s="32">
        <f>IFERROR(__xludf.DUMMYFUNCTION("""COMPUTED_VALUE"""),45355.6875)</f>
        <v>45355.6875</v>
      </c>
      <c r="P123" s="31">
        <f>IFERROR(__xludf.DUMMYFUNCTION("""COMPUTED_VALUE"""),539.26)</f>
        <v>539.26</v>
      </c>
      <c r="Q123" s="32">
        <f>IFERROR(__xludf.DUMMYFUNCTION("""COMPUTED_VALUE"""),45357.66666666667)</f>
        <v>45357.66667</v>
      </c>
      <c r="R123" s="31">
        <f>IFERROR(__xludf.DUMMYFUNCTION("""COMPUTED_VALUE"""),23.14)</f>
        <v>23.14</v>
      </c>
      <c r="S123" s="32">
        <f>IFERROR(__xludf.DUMMYFUNCTION("""COMPUTED_VALUE"""),45355.6875)</f>
        <v>45355.6875</v>
      </c>
      <c r="T123" s="22">
        <f>IFERROR(__xludf.DUMMYFUNCTION("""COMPUTED_VALUE"""),6.3)</f>
        <v>6.3</v>
      </c>
      <c r="U123" s="32">
        <f>IFERROR(__xludf.DUMMYFUNCTION("""COMPUTED_VALUE"""),45302.99861111111)</f>
        <v>45302.99861</v>
      </c>
      <c r="V123" s="31">
        <f>IFERROR(__xludf.DUMMYFUNCTION("""COMPUTED_VALUE"""),1.09807)</f>
        <v>1.09807</v>
      </c>
    </row>
    <row r="124" ht="15.75" customHeight="1">
      <c r="A124" s="32">
        <f>IFERROR(__xludf.DUMMYFUNCTION("""COMPUTED_VALUE"""),45357.73611111111)</f>
        <v>45357.73611</v>
      </c>
      <c r="B124" s="31">
        <f>IFERROR(__xludf.DUMMYFUNCTION("""COMPUTED_VALUE"""),95.59)</f>
        <v>95.59</v>
      </c>
      <c r="C124" s="32">
        <f>IFERROR(__xludf.DUMMYFUNCTION("""COMPUTED_VALUE"""),45358.726388888885)</f>
        <v>45358.72639</v>
      </c>
      <c r="D124" s="31">
        <f>IFERROR(__xludf.DUMMYFUNCTION("""COMPUTED_VALUE"""),5.19)</f>
        <v>5.19</v>
      </c>
      <c r="E124" s="32">
        <f>IFERROR(__xludf.DUMMYFUNCTION("""COMPUTED_VALUE"""),45358.73611111111)</f>
        <v>45358.73611</v>
      </c>
      <c r="F124" s="31">
        <f>IFERROR(__xludf.DUMMYFUNCTION("""COMPUTED_VALUE"""),94.8)</f>
        <v>94.8</v>
      </c>
      <c r="G124" s="32">
        <f>IFERROR(__xludf.DUMMYFUNCTION("""COMPUTED_VALUE"""),45356.726388888885)</f>
        <v>45356.72639</v>
      </c>
      <c r="H124" s="31">
        <f>IFERROR(__xludf.DUMMYFUNCTION("""COMPUTED_VALUE"""),5.12)</f>
        <v>5.12</v>
      </c>
      <c r="I124" s="32">
        <f>IFERROR(__xludf.DUMMYFUNCTION("""COMPUTED_VALUE"""),45356.726388888885)</f>
        <v>45356.72639</v>
      </c>
      <c r="J124" s="31">
        <f>IFERROR(__xludf.DUMMYFUNCTION("""COMPUTED_VALUE"""),5.14)</f>
        <v>5.14</v>
      </c>
      <c r="K124" s="32">
        <f>IFERROR(__xludf.DUMMYFUNCTION("""COMPUTED_VALUE"""),45358.73611111111)</f>
        <v>45358.73611</v>
      </c>
      <c r="L124" s="31">
        <f>IFERROR(__xludf.DUMMYFUNCTION("""COMPUTED_VALUE"""),95.34)</f>
        <v>95.34</v>
      </c>
      <c r="M124" s="32">
        <f>IFERROR(__xludf.DUMMYFUNCTION("""COMPUTED_VALUE"""),45356.726388888885)</f>
        <v>45356.72639</v>
      </c>
      <c r="N124" s="31">
        <f>IFERROR(__xludf.DUMMYFUNCTION("""COMPUTED_VALUE"""),5.22)</f>
        <v>5.22</v>
      </c>
      <c r="O124" s="32">
        <f>IFERROR(__xludf.DUMMYFUNCTION("""COMPUTED_VALUE"""),45356.6875)</f>
        <v>45356.6875</v>
      </c>
      <c r="P124" s="31">
        <f>IFERROR(__xludf.DUMMYFUNCTION("""COMPUTED_VALUE"""),534.76)</f>
        <v>534.76</v>
      </c>
      <c r="Q124" s="32">
        <f>IFERROR(__xludf.DUMMYFUNCTION("""COMPUTED_VALUE"""),45358.66666666667)</f>
        <v>45358.66667</v>
      </c>
      <c r="R124" s="31">
        <f>IFERROR(__xludf.DUMMYFUNCTION("""COMPUTED_VALUE"""),23.14)</f>
        <v>23.14</v>
      </c>
      <c r="S124" s="32">
        <f>IFERROR(__xludf.DUMMYFUNCTION("""COMPUTED_VALUE"""),45356.6875)</f>
        <v>45356.6875</v>
      </c>
      <c r="T124" s="22">
        <f>IFERROR(__xludf.DUMMYFUNCTION("""COMPUTED_VALUE"""),6.32)</f>
        <v>6.32</v>
      </c>
      <c r="U124" s="32">
        <f>IFERROR(__xludf.DUMMYFUNCTION("""COMPUTED_VALUE"""),45303.99861111111)</f>
        <v>45303.99861</v>
      </c>
      <c r="V124" s="31">
        <f>IFERROR(__xludf.DUMMYFUNCTION("""COMPUTED_VALUE"""),1.0964)</f>
        <v>1.0964</v>
      </c>
    </row>
    <row r="125" ht="15.75" customHeight="1">
      <c r="A125" s="32">
        <f>IFERROR(__xludf.DUMMYFUNCTION("""COMPUTED_VALUE"""),45358.73611111111)</f>
        <v>45358.73611</v>
      </c>
      <c r="B125" s="31">
        <f>IFERROR(__xludf.DUMMYFUNCTION("""COMPUTED_VALUE"""),95.37)</f>
        <v>95.37</v>
      </c>
      <c r="C125" s="32">
        <f>IFERROR(__xludf.DUMMYFUNCTION("""COMPUTED_VALUE"""),45359.726388888885)</f>
        <v>45359.72639</v>
      </c>
      <c r="D125" s="31">
        <f>IFERROR(__xludf.DUMMYFUNCTION("""COMPUTED_VALUE"""),5.21)</f>
        <v>5.21</v>
      </c>
      <c r="E125" s="32">
        <f>IFERROR(__xludf.DUMMYFUNCTION("""COMPUTED_VALUE"""),45359.73611111111)</f>
        <v>45359.73611</v>
      </c>
      <c r="F125" s="31">
        <f>IFERROR(__xludf.DUMMYFUNCTION("""COMPUTED_VALUE"""),94.94)</f>
        <v>94.94</v>
      </c>
      <c r="G125" s="32">
        <f>IFERROR(__xludf.DUMMYFUNCTION("""COMPUTED_VALUE"""),45357.726388888885)</f>
        <v>45357.72639</v>
      </c>
      <c r="H125" s="31">
        <f>IFERROR(__xludf.DUMMYFUNCTION("""COMPUTED_VALUE"""),5.12)</f>
        <v>5.12</v>
      </c>
      <c r="I125" s="32">
        <f>IFERROR(__xludf.DUMMYFUNCTION("""COMPUTED_VALUE"""),45357.726388888885)</f>
        <v>45357.72639</v>
      </c>
      <c r="J125" s="31">
        <f>IFERROR(__xludf.DUMMYFUNCTION("""COMPUTED_VALUE"""),5.14)</f>
        <v>5.14</v>
      </c>
      <c r="K125" s="32">
        <f>IFERROR(__xludf.DUMMYFUNCTION("""COMPUTED_VALUE"""),45359.73611111111)</f>
        <v>45359.73611</v>
      </c>
      <c r="L125" s="31">
        <f>IFERROR(__xludf.DUMMYFUNCTION("""COMPUTED_VALUE"""),95.36)</f>
        <v>95.36</v>
      </c>
      <c r="M125" s="32">
        <f>IFERROR(__xludf.DUMMYFUNCTION("""COMPUTED_VALUE"""),45357.726388888885)</f>
        <v>45357.72639</v>
      </c>
      <c r="N125" s="31">
        <f>IFERROR(__xludf.DUMMYFUNCTION("""COMPUTED_VALUE"""),5.22)</f>
        <v>5.22</v>
      </c>
      <c r="O125" s="32">
        <f>IFERROR(__xludf.DUMMYFUNCTION("""COMPUTED_VALUE"""),45357.6875)</f>
        <v>45357.6875</v>
      </c>
      <c r="P125" s="31">
        <f>IFERROR(__xludf.DUMMYFUNCTION("""COMPUTED_VALUE"""),537.51)</f>
        <v>537.51</v>
      </c>
      <c r="Q125" s="32">
        <f>IFERROR(__xludf.DUMMYFUNCTION("""COMPUTED_VALUE"""),45359.66666666667)</f>
        <v>45359.66667</v>
      </c>
      <c r="R125" s="31">
        <f>IFERROR(__xludf.DUMMYFUNCTION("""COMPUTED_VALUE"""),23.16)</f>
        <v>23.16</v>
      </c>
      <c r="S125" s="32">
        <f>IFERROR(__xludf.DUMMYFUNCTION("""COMPUTED_VALUE"""),45357.6875)</f>
        <v>45357.6875</v>
      </c>
      <c r="T125" s="22">
        <f>IFERROR(__xludf.DUMMYFUNCTION("""COMPUTED_VALUE"""),6.32)</f>
        <v>6.32</v>
      </c>
      <c r="U125" s="32">
        <f>IFERROR(__xludf.DUMMYFUNCTION("""COMPUTED_VALUE"""),45304.99861111111)</f>
        <v>45304.99861</v>
      </c>
      <c r="V125" s="31">
        <f>IFERROR(__xludf.DUMMYFUNCTION("""COMPUTED_VALUE"""),1.0964)</f>
        <v>1.0964</v>
      </c>
    </row>
    <row r="126" ht="15.75" customHeight="1">
      <c r="A126" s="32">
        <f>IFERROR(__xludf.DUMMYFUNCTION("""COMPUTED_VALUE"""),45359.73611111111)</f>
        <v>45359.73611</v>
      </c>
      <c r="B126" s="31">
        <f>IFERROR(__xludf.DUMMYFUNCTION("""COMPUTED_VALUE"""),95.39)</f>
        <v>95.39</v>
      </c>
      <c r="C126" s="32">
        <f>IFERROR(__xludf.DUMMYFUNCTION("""COMPUTED_VALUE"""),45362.726388888885)</f>
        <v>45362.72639</v>
      </c>
      <c r="D126" s="31">
        <f>IFERROR(__xludf.DUMMYFUNCTION("""COMPUTED_VALUE"""),5.2)</f>
        <v>5.2</v>
      </c>
      <c r="E126" s="32">
        <f>IFERROR(__xludf.DUMMYFUNCTION("""COMPUTED_VALUE"""),45362.73611111111)</f>
        <v>45362.73611</v>
      </c>
      <c r="F126" s="31">
        <f>IFERROR(__xludf.DUMMYFUNCTION("""COMPUTED_VALUE"""),94.99)</f>
        <v>94.99</v>
      </c>
      <c r="G126" s="32">
        <f>IFERROR(__xludf.DUMMYFUNCTION("""COMPUTED_VALUE"""),45358.726388888885)</f>
        <v>45358.72639</v>
      </c>
      <c r="H126" s="31">
        <f>IFERROR(__xludf.DUMMYFUNCTION("""COMPUTED_VALUE"""),5.13)</f>
        <v>5.13</v>
      </c>
      <c r="I126" s="32">
        <f>IFERROR(__xludf.DUMMYFUNCTION("""COMPUTED_VALUE"""),45358.726388888885)</f>
        <v>45358.72639</v>
      </c>
      <c r="J126" s="31">
        <f>IFERROR(__xludf.DUMMYFUNCTION("""COMPUTED_VALUE"""),5.16)</f>
        <v>5.16</v>
      </c>
      <c r="K126" s="32">
        <f>IFERROR(__xludf.DUMMYFUNCTION("""COMPUTED_VALUE"""),45362.73611111111)</f>
        <v>45362.73611</v>
      </c>
      <c r="L126" s="31">
        <f>IFERROR(__xludf.DUMMYFUNCTION("""COMPUTED_VALUE"""),95.62)</f>
        <v>95.62</v>
      </c>
      <c r="M126" s="32">
        <f>IFERROR(__xludf.DUMMYFUNCTION("""COMPUTED_VALUE"""),45358.726388888885)</f>
        <v>45358.72639</v>
      </c>
      <c r="N126" s="31">
        <f>IFERROR(__xludf.DUMMYFUNCTION("""COMPUTED_VALUE"""),5.23)</f>
        <v>5.23</v>
      </c>
      <c r="O126" s="32">
        <f>IFERROR(__xludf.DUMMYFUNCTION("""COMPUTED_VALUE"""),45358.6875)</f>
        <v>45358.6875</v>
      </c>
      <c r="P126" s="31">
        <f>IFERROR(__xludf.DUMMYFUNCTION("""COMPUTED_VALUE"""),540.99)</f>
        <v>540.99</v>
      </c>
      <c r="Q126" s="32">
        <f>IFERROR(__xludf.DUMMYFUNCTION("""COMPUTED_VALUE"""),45362.66666666667)</f>
        <v>45362.66667</v>
      </c>
      <c r="R126" s="31">
        <f>IFERROR(__xludf.DUMMYFUNCTION("""COMPUTED_VALUE"""),23.13)</f>
        <v>23.13</v>
      </c>
      <c r="S126" s="32">
        <f>IFERROR(__xludf.DUMMYFUNCTION("""COMPUTED_VALUE"""),45358.6875)</f>
        <v>45358.6875</v>
      </c>
      <c r="T126" s="22">
        <f>IFERROR(__xludf.DUMMYFUNCTION("""COMPUTED_VALUE"""),6.33)</f>
        <v>6.33</v>
      </c>
      <c r="U126" s="32">
        <f>IFERROR(__xludf.DUMMYFUNCTION("""COMPUTED_VALUE"""),45305.99861111111)</f>
        <v>45305.99861</v>
      </c>
      <c r="V126" s="31">
        <f>IFERROR(__xludf.DUMMYFUNCTION("""COMPUTED_VALUE"""),1.09446)</f>
        <v>1.09446</v>
      </c>
    </row>
    <row r="127" ht="15.75" customHeight="1">
      <c r="A127" s="32">
        <f>IFERROR(__xludf.DUMMYFUNCTION("""COMPUTED_VALUE"""),45362.73611111111)</f>
        <v>45362.73611</v>
      </c>
      <c r="B127" s="31">
        <f>IFERROR(__xludf.DUMMYFUNCTION("""COMPUTED_VALUE"""),95.59)</f>
        <v>95.59</v>
      </c>
      <c r="C127" s="32">
        <f>IFERROR(__xludf.DUMMYFUNCTION("""COMPUTED_VALUE"""),45363.726388888885)</f>
        <v>45363.72639</v>
      </c>
      <c r="D127" s="31">
        <f>IFERROR(__xludf.DUMMYFUNCTION("""COMPUTED_VALUE"""),5.2)</f>
        <v>5.2</v>
      </c>
      <c r="E127" s="32">
        <f>IFERROR(__xludf.DUMMYFUNCTION("""COMPUTED_VALUE"""),45363.73611111111)</f>
        <v>45363.73611</v>
      </c>
      <c r="F127" s="31">
        <f>IFERROR(__xludf.DUMMYFUNCTION("""COMPUTED_VALUE"""),94.96)</f>
        <v>94.96</v>
      </c>
      <c r="G127" s="32">
        <f>IFERROR(__xludf.DUMMYFUNCTION("""COMPUTED_VALUE"""),45359.726388888885)</f>
        <v>45359.72639</v>
      </c>
      <c r="H127" s="31">
        <f>IFERROR(__xludf.DUMMYFUNCTION("""COMPUTED_VALUE"""),5.13)</f>
        <v>5.13</v>
      </c>
      <c r="I127" s="32">
        <f>IFERROR(__xludf.DUMMYFUNCTION("""COMPUTED_VALUE"""),45359.726388888885)</f>
        <v>45359.72639</v>
      </c>
      <c r="J127" s="31">
        <f>IFERROR(__xludf.DUMMYFUNCTION("""COMPUTED_VALUE"""),5.16)</f>
        <v>5.16</v>
      </c>
      <c r="K127" s="32">
        <f>IFERROR(__xludf.DUMMYFUNCTION("""COMPUTED_VALUE"""),45363.73611111111)</f>
        <v>45363.73611</v>
      </c>
      <c r="L127" s="31">
        <f>IFERROR(__xludf.DUMMYFUNCTION("""COMPUTED_VALUE"""),95.5)</f>
        <v>95.5</v>
      </c>
      <c r="M127" s="32">
        <f>IFERROR(__xludf.DUMMYFUNCTION("""COMPUTED_VALUE"""),45359.726388888885)</f>
        <v>45359.72639</v>
      </c>
      <c r="N127" s="31">
        <f>IFERROR(__xludf.DUMMYFUNCTION("""COMPUTED_VALUE"""),5.24)</f>
        <v>5.24</v>
      </c>
      <c r="O127" s="32">
        <f>IFERROR(__xludf.DUMMYFUNCTION("""COMPUTED_VALUE"""),45359.6875)</f>
        <v>45359.6875</v>
      </c>
      <c r="P127" s="31">
        <f>IFERROR(__xludf.DUMMYFUNCTION("""COMPUTED_VALUE"""),541.79)</f>
        <v>541.79</v>
      </c>
      <c r="Q127" s="32">
        <f>IFERROR(__xludf.DUMMYFUNCTION("""COMPUTED_VALUE"""),45363.66666666667)</f>
        <v>45363.66667</v>
      </c>
      <c r="R127" s="31">
        <f>IFERROR(__xludf.DUMMYFUNCTION("""COMPUTED_VALUE"""),23.2)</f>
        <v>23.2</v>
      </c>
      <c r="S127" s="32">
        <f>IFERROR(__xludf.DUMMYFUNCTION("""COMPUTED_VALUE"""),45359.6875)</f>
        <v>45359.6875</v>
      </c>
      <c r="T127" s="22">
        <f>IFERROR(__xludf.DUMMYFUNCTION("""COMPUTED_VALUE"""),6.34)</f>
        <v>6.34</v>
      </c>
      <c r="U127" s="32">
        <f>IFERROR(__xludf.DUMMYFUNCTION("""COMPUTED_VALUE"""),45306.99861111111)</f>
        <v>45306.99861</v>
      </c>
      <c r="V127" s="31">
        <f>IFERROR(__xludf.DUMMYFUNCTION("""COMPUTED_VALUE"""),1.09448)</f>
        <v>1.09448</v>
      </c>
    </row>
    <row r="128" ht="15.75" customHeight="1">
      <c r="A128" s="32">
        <f>IFERROR(__xludf.DUMMYFUNCTION("""COMPUTED_VALUE"""),45363.73611111111)</f>
        <v>45363.73611</v>
      </c>
      <c r="B128" s="31">
        <f>IFERROR(__xludf.DUMMYFUNCTION("""COMPUTED_VALUE"""),95.45)</f>
        <v>95.45</v>
      </c>
      <c r="C128" s="32">
        <f>IFERROR(__xludf.DUMMYFUNCTION("""COMPUTED_VALUE"""),45364.726388888885)</f>
        <v>45364.72639</v>
      </c>
      <c r="D128" s="31">
        <f>IFERROR(__xludf.DUMMYFUNCTION("""COMPUTED_VALUE"""),5.2)</f>
        <v>5.2</v>
      </c>
      <c r="E128" s="32">
        <f>IFERROR(__xludf.DUMMYFUNCTION("""COMPUTED_VALUE"""),45364.73611111111)</f>
        <v>45364.73611</v>
      </c>
      <c r="F128" s="31">
        <f>IFERROR(__xludf.DUMMYFUNCTION("""COMPUTED_VALUE"""),94.62)</f>
        <v>94.62</v>
      </c>
      <c r="G128" s="32">
        <f>IFERROR(__xludf.DUMMYFUNCTION("""COMPUTED_VALUE"""),45362.726388888885)</f>
        <v>45362.72639</v>
      </c>
      <c r="H128" s="31">
        <f>IFERROR(__xludf.DUMMYFUNCTION("""COMPUTED_VALUE"""),5.13)</f>
        <v>5.13</v>
      </c>
      <c r="I128" s="32">
        <f>IFERROR(__xludf.DUMMYFUNCTION("""COMPUTED_VALUE"""),45362.726388888885)</f>
        <v>45362.72639</v>
      </c>
      <c r="J128" s="31">
        <f>IFERROR(__xludf.DUMMYFUNCTION("""COMPUTED_VALUE"""),5.16)</f>
        <v>5.16</v>
      </c>
      <c r="K128" s="32">
        <f>IFERROR(__xludf.DUMMYFUNCTION("""COMPUTED_VALUE"""),45364.73611111111)</f>
        <v>45364.73611</v>
      </c>
      <c r="L128" s="31">
        <f>IFERROR(__xludf.DUMMYFUNCTION("""COMPUTED_VALUE"""),95.21)</f>
        <v>95.21</v>
      </c>
      <c r="M128" s="32">
        <f>IFERROR(__xludf.DUMMYFUNCTION("""COMPUTED_VALUE"""),45362.726388888885)</f>
        <v>45362.72639</v>
      </c>
      <c r="N128" s="31">
        <f>IFERROR(__xludf.DUMMYFUNCTION("""COMPUTED_VALUE"""),5.24)</f>
        <v>5.24</v>
      </c>
      <c r="O128" s="32">
        <f>IFERROR(__xludf.DUMMYFUNCTION("""COMPUTED_VALUE"""),45362.6875)</f>
        <v>45362.6875</v>
      </c>
      <c r="P128" s="31">
        <f>IFERROR(__xludf.DUMMYFUNCTION("""COMPUTED_VALUE"""),537.59)</f>
        <v>537.59</v>
      </c>
      <c r="Q128" s="32">
        <f>IFERROR(__xludf.DUMMYFUNCTION("""COMPUTED_VALUE"""),45364.66666666667)</f>
        <v>45364.66667</v>
      </c>
      <c r="R128" s="31">
        <f>IFERROR(__xludf.DUMMYFUNCTION("""COMPUTED_VALUE"""),23.2)</f>
        <v>23.2</v>
      </c>
      <c r="S128" s="32">
        <f>IFERROR(__xludf.DUMMYFUNCTION("""COMPUTED_VALUE"""),45362.6875)</f>
        <v>45362.6875</v>
      </c>
      <c r="T128" s="22">
        <f>IFERROR(__xludf.DUMMYFUNCTION("""COMPUTED_VALUE"""),6.33)</f>
        <v>6.33</v>
      </c>
      <c r="U128" s="32">
        <f>IFERROR(__xludf.DUMMYFUNCTION("""COMPUTED_VALUE"""),45307.99861111111)</f>
        <v>45307.99861</v>
      </c>
      <c r="V128" s="31">
        <f>IFERROR(__xludf.DUMMYFUNCTION("""COMPUTED_VALUE"""),1.08779)</f>
        <v>1.08779</v>
      </c>
    </row>
    <row r="129" ht="15.75" customHeight="1">
      <c r="A129" s="32">
        <f>IFERROR(__xludf.DUMMYFUNCTION("""COMPUTED_VALUE"""),45364.73611111111)</f>
        <v>45364.73611</v>
      </c>
      <c r="B129" s="31">
        <f>IFERROR(__xludf.DUMMYFUNCTION("""COMPUTED_VALUE"""),95.17)</f>
        <v>95.17</v>
      </c>
      <c r="C129" s="32">
        <f>IFERROR(__xludf.DUMMYFUNCTION("""COMPUTED_VALUE"""),45365.726388888885)</f>
        <v>45365.72639</v>
      </c>
      <c r="D129" s="31">
        <f>IFERROR(__xludf.DUMMYFUNCTION("""COMPUTED_VALUE"""),5.19)</f>
        <v>5.19</v>
      </c>
      <c r="E129" s="32">
        <f>IFERROR(__xludf.DUMMYFUNCTION("""COMPUTED_VALUE"""),45365.73611111111)</f>
        <v>45365.73611</v>
      </c>
      <c r="F129" s="31">
        <f>IFERROR(__xludf.DUMMYFUNCTION("""COMPUTED_VALUE"""),94.92)</f>
        <v>94.92</v>
      </c>
      <c r="G129" s="32">
        <f>IFERROR(__xludf.DUMMYFUNCTION("""COMPUTED_VALUE"""),45363.726388888885)</f>
        <v>45363.72639</v>
      </c>
      <c r="H129" s="31">
        <f>IFERROR(__xludf.DUMMYFUNCTION("""COMPUTED_VALUE"""),5.13)</f>
        <v>5.13</v>
      </c>
      <c r="I129" s="32">
        <f>IFERROR(__xludf.DUMMYFUNCTION("""COMPUTED_VALUE"""),45363.726388888885)</f>
        <v>45363.72639</v>
      </c>
      <c r="J129" s="31">
        <f>IFERROR(__xludf.DUMMYFUNCTION("""COMPUTED_VALUE"""),5.16)</f>
        <v>5.16</v>
      </c>
      <c r="K129" s="32">
        <f>IFERROR(__xludf.DUMMYFUNCTION("""COMPUTED_VALUE"""),45365.73611111111)</f>
        <v>45365.73611</v>
      </c>
      <c r="L129" s="31">
        <f>IFERROR(__xludf.DUMMYFUNCTION("""COMPUTED_VALUE"""),95.37)</f>
        <v>95.37</v>
      </c>
      <c r="M129" s="32">
        <f>IFERROR(__xludf.DUMMYFUNCTION("""COMPUTED_VALUE"""),45363.726388888885)</f>
        <v>45363.72639</v>
      </c>
      <c r="N129" s="31">
        <f>IFERROR(__xludf.DUMMYFUNCTION("""COMPUTED_VALUE"""),5.23)</f>
        <v>5.23</v>
      </c>
      <c r="O129" s="32">
        <f>IFERROR(__xludf.DUMMYFUNCTION("""COMPUTED_VALUE"""),45363.6875)</f>
        <v>45363.6875</v>
      </c>
      <c r="P129" s="31">
        <f>IFERROR(__xludf.DUMMYFUNCTION("""COMPUTED_VALUE"""),542.06)</f>
        <v>542.06</v>
      </c>
      <c r="Q129" s="32">
        <f>IFERROR(__xludf.DUMMYFUNCTION("""COMPUTED_VALUE"""),45365.66666666667)</f>
        <v>45365.66667</v>
      </c>
      <c r="R129" s="31">
        <f>IFERROR(__xludf.DUMMYFUNCTION("""COMPUTED_VALUE"""),23.12)</f>
        <v>23.12</v>
      </c>
      <c r="S129" s="32">
        <f>IFERROR(__xludf.DUMMYFUNCTION("""COMPUTED_VALUE"""),45363.6875)</f>
        <v>45363.6875</v>
      </c>
      <c r="T129" s="22">
        <f>IFERROR(__xludf.DUMMYFUNCTION("""COMPUTED_VALUE"""),6.33)</f>
        <v>6.33</v>
      </c>
      <c r="U129" s="32">
        <f>IFERROR(__xludf.DUMMYFUNCTION("""COMPUTED_VALUE"""),45308.99861111111)</f>
        <v>45308.99861</v>
      </c>
      <c r="V129" s="31">
        <f>IFERROR(__xludf.DUMMYFUNCTION("""COMPUTED_VALUE"""),1.08851)</f>
        <v>1.08851</v>
      </c>
    </row>
    <row r="130" ht="15.75" customHeight="1">
      <c r="A130" s="32">
        <f>IFERROR(__xludf.DUMMYFUNCTION("""COMPUTED_VALUE"""),45365.73611111111)</f>
        <v>45365.73611</v>
      </c>
      <c r="B130" s="31">
        <f>IFERROR(__xludf.DUMMYFUNCTION("""COMPUTED_VALUE"""),95.32)</f>
        <v>95.32</v>
      </c>
      <c r="C130" s="32">
        <f>IFERROR(__xludf.DUMMYFUNCTION("""COMPUTED_VALUE"""),45366.726388888885)</f>
        <v>45366.72639</v>
      </c>
      <c r="D130" s="31">
        <f>IFERROR(__xludf.DUMMYFUNCTION("""COMPUTED_VALUE"""),5.19)</f>
        <v>5.19</v>
      </c>
      <c r="E130" s="32">
        <f>IFERROR(__xludf.DUMMYFUNCTION("""COMPUTED_VALUE"""),45366.73611111111)</f>
        <v>45366.73611</v>
      </c>
      <c r="F130" s="31">
        <f>IFERROR(__xludf.DUMMYFUNCTION("""COMPUTED_VALUE"""),94.98)</f>
        <v>94.98</v>
      </c>
      <c r="G130" s="32">
        <f>IFERROR(__xludf.DUMMYFUNCTION("""COMPUTED_VALUE"""),45364.726388888885)</f>
        <v>45364.72639</v>
      </c>
      <c r="H130" s="31">
        <f>IFERROR(__xludf.DUMMYFUNCTION("""COMPUTED_VALUE"""),5.13)</f>
        <v>5.13</v>
      </c>
      <c r="I130" s="32">
        <f>IFERROR(__xludf.DUMMYFUNCTION("""COMPUTED_VALUE"""),45364.726388888885)</f>
        <v>45364.72639</v>
      </c>
      <c r="J130" s="31">
        <f>IFERROR(__xludf.DUMMYFUNCTION("""COMPUTED_VALUE"""),5.16)</f>
        <v>5.16</v>
      </c>
      <c r="K130" s="32">
        <f>IFERROR(__xludf.DUMMYFUNCTION("""COMPUTED_VALUE"""),45366.73611111111)</f>
        <v>45366.73611</v>
      </c>
      <c r="L130" s="31">
        <f>IFERROR(__xludf.DUMMYFUNCTION("""COMPUTED_VALUE"""),95.36)</f>
        <v>95.36</v>
      </c>
      <c r="M130" s="32">
        <f>IFERROR(__xludf.DUMMYFUNCTION("""COMPUTED_VALUE"""),45364.726388888885)</f>
        <v>45364.72639</v>
      </c>
      <c r="N130" s="31">
        <f>IFERROR(__xludf.DUMMYFUNCTION("""COMPUTED_VALUE"""),5.23)</f>
        <v>5.23</v>
      </c>
      <c r="O130" s="32">
        <f>IFERROR(__xludf.DUMMYFUNCTION("""COMPUTED_VALUE"""),45364.6875)</f>
        <v>45364.6875</v>
      </c>
      <c r="P130" s="31">
        <f>IFERROR(__xludf.DUMMYFUNCTION("""COMPUTED_VALUE"""),543.3)</f>
        <v>543.3</v>
      </c>
      <c r="Q130" s="32">
        <f>IFERROR(__xludf.DUMMYFUNCTION("""COMPUTED_VALUE"""),45366.66666666667)</f>
        <v>45366.66667</v>
      </c>
      <c r="R130" s="31">
        <f>IFERROR(__xludf.DUMMYFUNCTION("""COMPUTED_VALUE"""),23.11)</f>
        <v>23.11</v>
      </c>
      <c r="S130" s="32">
        <f>IFERROR(__xludf.DUMMYFUNCTION("""COMPUTED_VALUE"""),45364.6875)</f>
        <v>45364.6875</v>
      </c>
      <c r="T130" s="22">
        <f>IFERROR(__xludf.DUMMYFUNCTION("""COMPUTED_VALUE"""),6.34)</f>
        <v>6.34</v>
      </c>
      <c r="U130" s="32">
        <f>IFERROR(__xludf.DUMMYFUNCTION("""COMPUTED_VALUE"""),45309.99861111111)</f>
        <v>45309.99861</v>
      </c>
      <c r="V130" s="31">
        <f>IFERROR(__xludf.DUMMYFUNCTION("""COMPUTED_VALUE"""),1.08787)</f>
        <v>1.08787</v>
      </c>
    </row>
    <row r="131" ht="15.75" customHeight="1">
      <c r="A131" s="32">
        <f>IFERROR(__xludf.DUMMYFUNCTION("""COMPUTED_VALUE"""),45366.73611111111)</f>
        <v>45366.73611</v>
      </c>
      <c r="B131" s="31">
        <f>IFERROR(__xludf.DUMMYFUNCTION("""COMPUTED_VALUE"""),95.25)</f>
        <v>95.25</v>
      </c>
      <c r="C131" s="32">
        <f>IFERROR(__xludf.DUMMYFUNCTION("""COMPUTED_VALUE"""),45369.726388888885)</f>
        <v>45369.72639</v>
      </c>
      <c r="D131" s="31">
        <f>IFERROR(__xludf.DUMMYFUNCTION("""COMPUTED_VALUE"""),5.19)</f>
        <v>5.19</v>
      </c>
      <c r="E131" s="32">
        <f>IFERROR(__xludf.DUMMYFUNCTION("""COMPUTED_VALUE"""),45369.73611111111)</f>
        <v>45369.73611</v>
      </c>
      <c r="F131" s="31">
        <f>IFERROR(__xludf.DUMMYFUNCTION("""COMPUTED_VALUE"""),95.07)</f>
        <v>95.07</v>
      </c>
      <c r="G131" s="32">
        <f>IFERROR(__xludf.DUMMYFUNCTION("""COMPUTED_VALUE"""),45365.726388888885)</f>
        <v>45365.72639</v>
      </c>
      <c r="H131" s="31">
        <f>IFERROR(__xludf.DUMMYFUNCTION("""COMPUTED_VALUE"""),5.13)</f>
        <v>5.13</v>
      </c>
      <c r="I131" s="32">
        <f>IFERROR(__xludf.DUMMYFUNCTION("""COMPUTED_VALUE"""),45365.726388888885)</f>
        <v>45365.72639</v>
      </c>
      <c r="J131" s="31">
        <f>IFERROR(__xludf.DUMMYFUNCTION("""COMPUTED_VALUE"""),5.15)</f>
        <v>5.15</v>
      </c>
      <c r="K131" s="32">
        <f>IFERROR(__xludf.DUMMYFUNCTION("""COMPUTED_VALUE"""),45369.73611111111)</f>
        <v>45369.73611</v>
      </c>
      <c r="L131" s="31">
        <f>IFERROR(__xludf.DUMMYFUNCTION("""COMPUTED_VALUE"""),95.56)</f>
        <v>95.56</v>
      </c>
      <c r="M131" s="32">
        <f>IFERROR(__xludf.DUMMYFUNCTION("""COMPUTED_VALUE"""),45365.726388888885)</f>
        <v>45365.72639</v>
      </c>
      <c r="N131" s="31">
        <f>IFERROR(__xludf.DUMMYFUNCTION("""COMPUTED_VALUE"""),5.23)</f>
        <v>5.23</v>
      </c>
      <c r="O131" s="32">
        <f>IFERROR(__xludf.DUMMYFUNCTION("""COMPUTED_VALUE"""),45365.6875)</f>
        <v>45365.6875</v>
      </c>
      <c r="P131" s="31">
        <f>IFERROR(__xludf.DUMMYFUNCTION("""COMPUTED_VALUE"""),541.84)</f>
        <v>541.84</v>
      </c>
      <c r="Q131" s="32">
        <f>IFERROR(__xludf.DUMMYFUNCTION("""COMPUTED_VALUE"""),45369.66666666667)</f>
        <v>45369.66667</v>
      </c>
      <c r="R131" s="31">
        <f>IFERROR(__xludf.DUMMYFUNCTION("""COMPUTED_VALUE"""),23.19)</f>
        <v>23.19</v>
      </c>
      <c r="S131" s="32">
        <f>IFERROR(__xludf.DUMMYFUNCTION("""COMPUTED_VALUE"""),45365.6875)</f>
        <v>45365.6875</v>
      </c>
      <c r="T131" s="22">
        <f>IFERROR(__xludf.DUMMYFUNCTION("""COMPUTED_VALUE"""),6.31)</f>
        <v>6.31</v>
      </c>
      <c r="U131" s="32">
        <f>IFERROR(__xludf.DUMMYFUNCTION("""COMPUTED_VALUE"""),45310.99861111111)</f>
        <v>45310.99861</v>
      </c>
      <c r="V131" s="31">
        <f>IFERROR(__xludf.DUMMYFUNCTION("""COMPUTED_VALUE"""),1.0913)</f>
        <v>1.0913</v>
      </c>
    </row>
    <row r="132" ht="15.75" customHeight="1">
      <c r="A132" s="32">
        <f>IFERROR(__xludf.DUMMYFUNCTION("""COMPUTED_VALUE"""),45369.73611111111)</f>
        <v>45369.73611</v>
      </c>
      <c r="B132" s="31">
        <f>IFERROR(__xludf.DUMMYFUNCTION("""COMPUTED_VALUE"""),95.25)</f>
        <v>95.25</v>
      </c>
      <c r="C132" s="32">
        <f>IFERROR(__xludf.DUMMYFUNCTION("""COMPUTED_VALUE"""),45370.726388888885)</f>
        <v>45370.72639</v>
      </c>
      <c r="D132" s="31">
        <f>IFERROR(__xludf.DUMMYFUNCTION("""COMPUTED_VALUE"""),5.19)</f>
        <v>5.19</v>
      </c>
      <c r="E132" s="32">
        <f>IFERROR(__xludf.DUMMYFUNCTION("""COMPUTED_VALUE"""),45370.73611111111)</f>
        <v>45370.73611</v>
      </c>
      <c r="F132" s="31">
        <f>IFERROR(__xludf.DUMMYFUNCTION("""COMPUTED_VALUE"""),95.33)</f>
        <v>95.33</v>
      </c>
      <c r="G132" s="32">
        <f>IFERROR(__xludf.DUMMYFUNCTION("""COMPUTED_VALUE"""),45366.726388888885)</f>
        <v>45366.72639</v>
      </c>
      <c r="H132" s="31">
        <f>IFERROR(__xludf.DUMMYFUNCTION("""COMPUTED_VALUE"""),5.13)</f>
        <v>5.13</v>
      </c>
      <c r="I132" s="32">
        <f>IFERROR(__xludf.DUMMYFUNCTION("""COMPUTED_VALUE"""),45366.726388888885)</f>
        <v>45366.72639</v>
      </c>
      <c r="J132" s="31">
        <f>IFERROR(__xludf.DUMMYFUNCTION("""COMPUTED_VALUE"""),5.15)</f>
        <v>5.15</v>
      </c>
      <c r="K132" s="32">
        <f>IFERROR(__xludf.DUMMYFUNCTION("""COMPUTED_VALUE"""),45370.73611111111)</f>
        <v>45370.73611</v>
      </c>
      <c r="L132" s="31">
        <f>IFERROR(__xludf.DUMMYFUNCTION("""COMPUTED_VALUE"""),95.83)</f>
        <v>95.83</v>
      </c>
      <c r="M132" s="32">
        <f>IFERROR(__xludf.DUMMYFUNCTION("""COMPUTED_VALUE"""),45366.726388888885)</f>
        <v>45366.72639</v>
      </c>
      <c r="N132" s="31">
        <f>IFERROR(__xludf.DUMMYFUNCTION("""COMPUTED_VALUE"""),5.22)</f>
        <v>5.22</v>
      </c>
      <c r="O132" s="32">
        <f>IFERROR(__xludf.DUMMYFUNCTION("""COMPUTED_VALUE"""),45366.6875)</f>
        <v>45366.6875</v>
      </c>
      <c r="P132" s="31">
        <f>IFERROR(__xludf.DUMMYFUNCTION("""COMPUTED_VALUE"""),537.54)</f>
        <v>537.54</v>
      </c>
      <c r="Q132" s="32">
        <f>IFERROR(__xludf.DUMMYFUNCTION("""COMPUTED_VALUE"""),45370.66666666667)</f>
        <v>45370.66667</v>
      </c>
      <c r="R132" s="31">
        <f>IFERROR(__xludf.DUMMYFUNCTION("""COMPUTED_VALUE"""),23.28)</f>
        <v>23.28</v>
      </c>
      <c r="S132" s="32">
        <f>IFERROR(__xludf.DUMMYFUNCTION("""COMPUTED_VALUE"""),45366.6875)</f>
        <v>45366.6875</v>
      </c>
      <c r="T132" s="22">
        <f>IFERROR(__xludf.DUMMYFUNCTION("""COMPUTED_VALUE"""),6.31)</f>
        <v>6.31</v>
      </c>
      <c r="U132" s="32">
        <f>IFERROR(__xludf.DUMMYFUNCTION("""COMPUTED_VALUE"""),45311.99861111111)</f>
        <v>45311.99861</v>
      </c>
      <c r="V132" s="31">
        <f>IFERROR(__xludf.DUMMYFUNCTION("""COMPUTED_VALUE"""),1.0913)</f>
        <v>1.0913</v>
      </c>
    </row>
    <row r="133" ht="15.75" customHeight="1">
      <c r="A133" s="32">
        <f>IFERROR(__xludf.DUMMYFUNCTION("""COMPUTED_VALUE"""),45370.73611111111)</f>
        <v>45370.73611</v>
      </c>
      <c r="B133" s="31">
        <f>IFERROR(__xludf.DUMMYFUNCTION("""COMPUTED_VALUE"""),95.5)</f>
        <v>95.5</v>
      </c>
      <c r="C133" s="32">
        <f>IFERROR(__xludf.DUMMYFUNCTION("""COMPUTED_VALUE"""),45371.726388888885)</f>
        <v>45371.72639</v>
      </c>
      <c r="D133" s="31">
        <f>IFERROR(__xludf.DUMMYFUNCTION("""COMPUTED_VALUE"""),5.19)</f>
        <v>5.19</v>
      </c>
      <c r="E133" s="32">
        <f>IFERROR(__xludf.DUMMYFUNCTION("""COMPUTED_VALUE"""),45371.73611111111)</f>
        <v>45371.73611</v>
      </c>
      <c r="F133" s="31">
        <f>IFERROR(__xludf.DUMMYFUNCTION("""COMPUTED_VALUE"""),95.38)</f>
        <v>95.38</v>
      </c>
      <c r="G133" s="32">
        <f>IFERROR(__xludf.DUMMYFUNCTION("""COMPUTED_VALUE"""),45369.726388888885)</f>
        <v>45369.72639</v>
      </c>
      <c r="H133" s="31">
        <f>IFERROR(__xludf.DUMMYFUNCTION("""COMPUTED_VALUE"""),5.13)</f>
        <v>5.13</v>
      </c>
      <c r="I133" s="32">
        <f>IFERROR(__xludf.DUMMYFUNCTION("""COMPUTED_VALUE"""),45369.726388888885)</f>
        <v>45369.72639</v>
      </c>
      <c r="J133" s="31">
        <f>IFERROR(__xludf.DUMMYFUNCTION("""COMPUTED_VALUE"""),5.15)</f>
        <v>5.15</v>
      </c>
      <c r="K133" s="32">
        <f>IFERROR(__xludf.DUMMYFUNCTION("""COMPUTED_VALUE"""),45371.73611111111)</f>
        <v>45371.73611</v>
      </c>
      <c r="L133" s="31">
        <f>IFERROR(__xludf.DUMMYFUNCTION("""COMPUTED_VALUE"""),95.9)</f>
        <v>95.9</v>
      </c>
      <c r="M133" s="32">
        <f>IFERROR(__xludf.DUMMYFUNCTION("""COMPUTED_VALUE"""),45369.726388888885)</f>
        <v>45369.72639</v>
      </c>
      <c r="N133" s="31">
        <f>IFERROR(__xludf.DUMMYFUNCTION("""COMPUTED_VALUE"""),5.22)</f>
        <v>5.22</v>
      </c>
      <c r="O133" s="32">
        <f>IFERROR(__xludf.DUMMYFUNCTION("""COMPUTED_VALUE"""),45369.6875)</f>
        <v>45369.6875</v>
      </c>
      <c r="P133" s="31">
        <f>IFERROR(__xludf.DUMMYFUNCTION("""COMPUTED_VALUE"""),542.63)</f>
        <v>542.63</v>
      </c>
      <c r="Q133" s="32">
        <f>IFERROR(__xludf.DUMMYFUNCTION("""COMPUTED_VALUE"""),45371.66666666667)</f>
        <v>45371.66667</v>
      </c>
      <c r="R133" s="31">
        <f>IFERROR(__xludf.DUMMYFUNCTION("""COMPUTED_VALUE"""),23.35)</f>
        <v>23.35</v>
      </c>
      <c r="S133" s="32">
        <f>IFERROR(__xludf.DUMMYFUNCTION("""COMPUTED_VALUE"""),45369.6875)</f>
        <v>45369.6875</v>
      </c>
      <c r="T133" s="22">
        <f>IFERROR(__xludf.DUMMYFUNCTION("""COMPUTED_VALUE"""),6.31)</f>
        <v>6.31</v>
      </c>
      <c r="U133" s="32">
        <f>IFERROR(__xludf.DUMMYFUNCTION("""COMPUTED_VALUE"""),45312.99861111111)</f>
        <v>45312.99861</v>
      </c>
      <c r="V133" s="31">
        <f>IFERROR(__xludf.DUMMYFUNCTION("""COMPUTED_VALUE"""),1.08909)</f>
        <v>1.08909</v>
      </c>
    </row>
    <row r="134" ht="15.75" customHeight="1">
      <c r="A134" s="32">
        <f>IFERROR(__xludf.DUMMYFUNCTION("""COMPUTED_VALUE"""),45371.73611111111)</f>
        <v>45371.73611</v>
      </c>
      <c r="B134" s="31">
        <f>IFERROR(__xludf.DUMMYFUNCTION("""COMPUTED_VALUE"""),95.67)</f>
        <v>95.67</v>
      </c>
      <c r="C134" s="32">
        <f>IFERROR(__xludf.DUMMYFUNCTION("""COMPUTED_VALUE"""),45372.726388888885)</f>
        <v>45372.72639</v>
      </c>
      <c r="D134" s="31">
        <f>IFERROR(__xludf.DUMMYFUNCTION("""COMPUTED_VALUE"""),5.2)</f>
        <v>5.2</v>
      </c>
      <c r="E134" s="32">
        <f>IFERROR(__xludf.DUMMYFUNCTION("""COMPUTED_VALUE"""),45372.73611111111)</f>
        <v>45372.73611</v>
      </c>
      <c r="F134" s="31">
        <f>IFERROR(__xludf.DUMMYFUNCTION("""COMPUTED_VALUE"""),95.51)</f>
        <v>95.51</v>
      </c>
      <c r="G134" s="32">
        <f>IFERROR(__xludf.DUMMYFUNCTION("""COMPUTED_VALUE"""),45370.726388888885)</f>
        <v>45370.72639</v>
      </c>
      <c r="H134" s="31">
        <f>IFERROR(__xludf.DUMMYFUNCTION("""COMPUTED_VALUE"""),5.13)</f>
        <v>5.13</v>
      </c>
      <c r="I134" s="32">
        <f>IFERROR(__xludf.DUMMYFUNCTION("""COMPUTED_VALUE"""),45370.726388888885)</f>
        <v>45370.72639</v>
      </c>
      <c r="J134" s="31">
        <f>IFERROR(__xludf.DUMMYFUNCTION("""COMPUTED_VALUE"""),5.15)</f>
        <v>5.15</v>
      </c>
      <c r="K134" s="32">
        <f>IFERROR(__xludf.DUMMYFUNCTION("""COMPUTED_VALUE"""),45372.73611111111)</f>
        <v>45372.73611</v>
      </c>
      <c r="L134" s="31">
        <f>IFERROR(__xludf.DUMMYFUNCTION("""COMPUTED_VALUE"""),96.1)</f>
        <v>96.1</v>
      </c>
      <c r="M134" s="32">
        <f>IFERROR(__xludf.DUMMYFUNCTION("""COMPUTED_VALUE"""),45370.726388888885)</f>
        <v>45370.72639</v>
      </c>
      <c r="N134" s="31">
        <f>IFERROR(__xludf.DUMMYFUNCTION("""COMPUTED_VALUE"""),5.23)</f>
        <v>5.23</v>
      </c>
      <c r="O134" s="32">
        <f>IFERROR(__xludf.DUMMYFUNCTION("""COMPUTED_VALUE"""),45370.6875)</f>
        <v>45370.6875</v>
      </c>
      <c r="P134" s="31">
        <f>IFERROR(__xludf.DUMMYFUNCTION("""COMPUTED_VALUE"""),543.01)</f>
        <v>543.01</v>
      </c>
      <c r="Q134" s="32">
        <f>IFERROR(__xludf.DUMMYFUNCTION("""COMPUTED_VALUE"""),45372.66666666667)</f>
        <v>45372.66667</v>
      </c>
      <c r="R134" s="31">
        <f>IFERROR(__xludf.DUMMYFUNCTION("""COMPUTED_VALUE"""),23.23)</f>
        <v>23.23</v>
      </c>
      <c r="S134" s="32">
        <f>IFERROR(__xludf.DUMMYFUNCTION("""COMPUTED_VALUE"""),45370.6875)</f>
        <v>45370.6875</v>
      </c>
      <c r="T134" s="22">
        <f>IFERROR(__xludf.DUMMYFUNCTION("""COMPUTED_VALUE"""),6.33)</f>
        <v>6.33</v>
      </c>
      <c r="U134" s="32">
        <f>IFERROR(__xludf.DUMMYFUNCTION("""COMPUTED_VALUE"""),45313.99861111111)</f>
        <v>45313.99861</v>
      </c>
      <c r="V134" s="31">
        <f>IFERROR(__xludf.DUMMYFUNCTION("""COMPUTED_VALUE"""),1.0877)</f>
        <v>1.0877</v>
      </c>
    </row>
    <row r="135" ht="15.75" customHeight="1">
      <c r="A135" s="32">
        <f>IFERROR(__xludf.DUMMYFUNCTION("""COMPUTED_VALUE"""),45372.73611111111)</f>
        <v>45372.73611</v>
      </c>
      <c r="B135" s="31">
        <f>IFERROR(__xludf.DUMMYFUNCTION("""COMPUTED_VALUE"""),95.89)</f>
        <v>95.89</v>
      </c>
      <c r="C135" s="32">
        <f>IFERROR(__xludf.DUMMYFUNCTION("""COMPUTED_VALUE"""),45373.726388888885)</f>
        <v>45373.72639</v>
      </c>
      <c r="D135" s="31">
        <f>IFERROR(__xludf.DUMMYFUNCTION("""COMPUTED_VALUE"""),5.21)</f>
        <v>5.21</v>
      </c>
      <c r="E135" s="32">
        <f>IFERROR(__xludf.DUMMYFUNCTION("""COMPUTED_VALUE"""),45373.73611111111)</f>
        <v>45373.73611</v>
      </c>
      <c r="F135" s="31">
        <f>IFERROR(__xludf.DUMMYFUNCTION("""COMPUTED_VALUE"""),95.96)</f>
        <v>95.96</v>
      </c>
      <c r="G135" s="32">
        <f>IFERROR(__xludf.DUMMYFUNCTION("""COMPUTED_VALUE"""),45371.726388888885)</f>
        <v>45371.72639</v>
      </c>
      <c r="H135" s="31">
        <f>IFERROR(__xludf.DUMMYFUNCTION("""COMPUTED_VALUE"""),5.13)</f>
        <v>5.13</v>
      </c>
      <c r="I135" s="32">
        <f>IFERROR(__xludf.DUMMYFUNCTION("""COMPUTED_VALUE"""),45371.726388888885)</f>
        <v>45371.72639</v>
      </c>
      <c r="J135" s="31">
        <f>IFERROR(__xludf.DUMMYFUNCTION("""COMPUTED_VALUE"""),5.15)</f>
        <v>5.15</v>
      </c>
      <c r="K135" s="32">
        <f>IFERROR(__xludf.DUMMYFUNCTION("""COMPUTED_VALUE"""),45373.73611111111)</f>
        <v>45373.73611</v>
      </c>
      <c r="L135" s="31">
        <f>IFERROR(__xludf.DUMMYFUNCTION("""COMPUTED_VALUE"""),96.6)</f>
        <v>96.6</v>
      </c>
      <c r="M135" s="32">
        <f>IFERROR(__xludf.DUMMYFUNCTION("""COMPUTED_VALUE"""),45371.726388888885)</f>
        <v>45371.72639</v>
      </c>
      <c r="N135" s="31">
        <f>IFERROR(__xludf.DUMMYFUNCTION("""COMPUTED_VALUE"""),5.22)</f>
        <v>5.22</v>
      </c>
      <c r="O135" s="32">
        <f>IFERROR(__xludf.DUMMYFUNCTION("""COMPUTED_VALUE"""),45371.6875)</f>
        <v>45371.6875</v>
      </c>
      <c r="P135" s="31">
        <f>IFERROR(__xludf.DUMMYFUNCTION("""COMPUTED_VALUE"""),544.45)</f>
        <v>544.45</v>
      </c>
      <c r="Q135" s="32">
        <f>IFERROR(__xludf.DUMMYFUNCTION("""COMPUTED_VALUE"""),45373.66666666667)</f>
        <v>45373.66667</v>
      </c>
      <c r="R135" s="31">
        <f>IFERROR(__xludf.DUMMYFUNCTION("""COMPUTED_VALUE"""),23.2)</f>
        <v>23.2</v>
      </c>
      <c r="S135" s="32">
        <f>IFERROR(__xludf.DUMMYFUNCTION("""COMPUTED_VALUE"""),45371.6875)</f>
        <v>45371.6875</v>
      </c>
      <c r="T135" s="22">
        <f>IFERROR(__xludf.DUMMYFUNCTION("""COMPUTED_VALUE"""),6.34)</f>
        <v>6.34</v>
      </c>
      <c r="U135" s="32">
        <f>IFERROR(__xludf.DUMMYFUNCTION("""COMPUTED_VALUE"""),45314.99861111111)</f>
        <v>45314.99861</v>
      </c>
      <c r="V135" s="31">
        <f>IFERROR(__xludf.DUMMYFUNCTION("""COMPUTED_VALUE"""),1.08572)</f>
        <v>1.08572</v>
      </c>
    </row>
    <row r="136" ht="15.75" customHeight="1">
      <c r="A136" s="32">
        <f>IFERROR(__xludf.DUMMYFUNCTION("""COMPUTED_VALUE"""),45373.73611111111)</f>
        <v>45373.73611</v>
      </c>
      <c r="B136" s="31">
        <f>IFERROR(__xludf.DUMMYFUNCTION("""COMPUTED_VALUE"""),96.55)</f>
        <v>96.55</v>
      </c>
      <c r="C136" s="32">
        <f>IFERROR(__xludf.DUMMYFUNCTION("""COMPUTED_VALUE"""),45376.726388888885)</f>
        <v>45376.72639</v>
      </c>
      <c r="D136" s="31">
        <f>IFERROR(__xludf.DUMMYFUNCTION("""COMPUTED_VALUE"""),5.2)</f>
        <v>5.2</v>
      </c>
      <c r="E136" s="32">
        <f>IFERROR(__xludf.DUMMYFUNCTION("""COMPUTED_VALUE"""),45376.73611111111)</f>
        <v>45376.73611</v>
      </c>
      <c r="F136" s="31">
        <f>IFERROR(__xludf.DUMMYFUNCTION("""COMPUTED_VALUE"""),95.67)</f>
        <v>95.67</v>
      </c>
      <c r="G136" s="32">
        <f>IFERROR(__xludf.DUMMYFUNCTION("""COMPUTED_VALUE"""),45372.726388888885)</f>
        <v>45372.72639</v>
      </c>
      <c r="H136" s="31">
        <f>IFERROR(__xludf.DUMMYFUNCTION("""COMPUTED_VALUE"""),5.13)</f>
        <v>5.13</v>
      </c>
      <c r="I136" s="32">
        <f>IFERROR(__xludf.DUMMYFUNCTION("""COMPUTED_VALUE"""),45372.726388888885)</f>
        <v>45372.72639</v>
      </c>
      <c r="J136" s="31">
        <f>IFERROR(__xludf.DUMMYFUNCTION("""COMPUTED_VALUE"""),5.16)</f>
        <v>5.16</v>
      </c>
      <c r="K136" s="32">
        <f>IFERROR(__xludf.DUMMYFUNCTION("""COMPUTED_VALUE"""),45376.73611111111)</f>
        <v>45376.73611</v>
      </c>
      <c r="L136" s="31">
        <f>IFERROR(__xludf.DUMMYFUNCTION("""COMPUTED_VALUE"""),96.26)</f>
        <v>96.26</v>
      </c>
      <c r="M136" s="32">
        <f>IFERROR(__xludf.DUMMYFUNCTION("""COMPUTED_VALUE"""),45372.726388888885)</f>
        <v>45372.72639</v>
      </c>
      <c r="N136" s="31">
        <f>IFERROR(__xludf.DUMMYFUNCTION("""COMPUTED_VALUE"""),5.23)</f>
        <v>5.23</v>
      </c>
      <c r="O136" s="32">
        <f>IFERROR(__xludf.DUMMYFUNCTION("""COMPUTED_VALUE"""),45372.6875)</f>
        <v>45372.6875</v>
      </c>
      <c r="P136" s="31">
        <f>IFERROR(__xludf.DUMMYFUNCTION("""COMPUTED_VALUE"""),552.89)</f>
        <v>552.89</v>
      </c>
      <c r="Q136" s="32">
        <f>IFERROR(__xludf.DUMMYFUNCTION("""COMPUTED_VALUE"""),45376.66666666667)</f>
        <v>45376.66667</v>
      </c>
      <c r="R136" s="31">
        <f>IFERROR(__xludf.DUMMYFUNCTION("""COMPUTED_VALUE"""),23.3)</f>
        <v>23.3</v>
      </c>
      <c r="S136" s="32">
        <f>IFERROR(__xludf.DUMMYFUNCTION("""COMPUTED_VALUE"""),45372.6875)</f>
        <v>45372.6875</v>
      </c>
      <c r="T136" s="22">
        <f>IFERROR(__xludf.DUMMYFUNCTION("""COMPUTED_VALUE"""),6.37)</f>
        <v>6.37</v>
      </c>
      <c r="U136" s="32">
        <f>IFERROR(__xludf.DUMMYFUNCTION("""COMPUTED_VALUE"""),45315.99861111111)</f>
        <v>45315.99861</v>
      </c>
      <c r="V136" s="31">
        <f>IFERROR(__xludf.DUMMYFUNCTION("""COMPUTED_VALUE"""),1.08807)</f>
        <v>1.08807</v>
      </c>
    </row>
    <row r="137" ht="15.75" customHeight="1">
      <c r="A137" s="32">
        <f>IFERROR(__xludf.DUMMYFUNCTION("""COMPUTED_VALUE"""),45376.73611111111)</f>
        <v>45376.73611</v>
      </c>
      <c r="B137" s="31">
        <f>IFERROR(__xludf.DUMMYFUNCTION("""COMPUTED_VALUE"""),96.15)</f>
        <v>96.15</v>
      </c>
      <c r="C137" s="32">
        <f>IFERROR(__xludf.DUMMYFUNCTION("""COMPUTED_VALUE"""),45377.726388888885)</f>
        <v>45377.72639</v>
      </c>
      <c r="D137" s="31">
        <f>IFERROR(__xludf.DUMMYFUNCTION("""COMPUTED_VALUE"""),5.2)</f>
        <v>5.2</v>
      </c>
      <c r="E137" s="32">
        <f>IFERROR(__xludf.DUMMYFUNCTION("""COMPUTED_VALUE"""),45377.73611111111)</f>
        <v>45377.73611</v>
      </c>
      <c r="F137" s="31">
        <f>IFERROR(__xludf.DUMMYFUNCTION("""COMPUTED_VALUE"""),95.86)</f>
        <v>95.86</v>
      </c>
      <c r="G137" s="32">
        <f>IFERROR(__xludf.DUMMYFUNCTION("""COMPUTED_VALUE"""),45373.726388888885)</f>
        <v>45373.72639</v>
      </c>
      <c r="H137" s="31">
        <f>IFERROR(__xludf.DUMMYFUNCTION("""COMPUTED_VALUE"""),5.14)</f>
        <v>5.14</v>
      </c>
      <c r="I137" s="32">
        <f>IFERROR(__xludf.DUMMYFUNCTION("""COMPUTED_VALUE"""),45373.726388888885)</f>
        <v>45373.72639</v>
      </c>
      <c r="J137" s="31">
        <f>IFERROR(__xludf.DUMMYFUNCTION("""COMPUTED_VALUE"""),5.17)</f>
        <v>5.17</v>
      </c>
      <c r="K137" s="32">
        <f>IFERROR(__xludf.DUMMYFUNCTION("""COMPUTED_VALUE"""),45377.73611111111)</f>
        <v>45377.73611</v>
      </c>
      <c r="L137" s="31">
        <f>IFERROR(__xludf.DUMMYFUNCTION("""COMPUTED_VALUE"""),96.4)</f>
        <v>96.4</v>
      </c>
      <c r="M137" s="32">
        <f>IFERROR(__xludf.DUMMYFUNCTION("""COMPUTED_VALUE"""),45373.726388888885)</f>
        <v>45373.72639</v>
      </c>
      <c r="N137" s="31">
        <f>IFERROR(__xludf.DUMMYFUNCTION("""COMPUTED_VALUE"""),5.25)</f>
        <v>5.25</v>
      </c>
      <c r="O137" s="32">
        <f>IFERROR(__xludf.DUMMYFUNCTION("""COMPUTED_VALUE"""),45373.6875)</f>
        <v>45373.6875</v>
      </c>
      <c r="P137" s="31">
        <f>IFERROR(__xludf.DUMMYFUNCTION("""COMPUTED_VALUE"""),550.04)</f>
        <v>550.04</v>
      </c>
      <c r="Q137" s="32">
        <f>IFERROR(__xludf.DUMMYFUNCTION("""COMPUTED_VALUE"""),45377.66666666667)</f>
        <v>45377.66667</v>
      </c>
      <c r="R137" s="31">
        <f>IFERROR(__xludf.DUMMYFUNCTION("""COMPUTED_VALUE"""),23.26)</f>
        <v>23.26</v>
      </c>
      <c r="S137" s="32">
        <f>IFERROR(__xludf.DUMMYFUNCTION("""COMPUTED_VALUE"""),45373.6875)</f>
        <v>45373.6875</v>
      </c>
      <c r="T137" s="22">
        <f>IFERROR(__xludf.DUMMYFUNCTION("""COMPUTED_VALUE"""),6.38)</f>
        <v>6.38</v>
      </c>
      <c r="U137" s="32">
        <f>IFERROR(__xludf.DUMMYFUNCTION("""COMPUTED_VALUE"""),45316.99861111111)</f>
        <v>45316.99861</v>
      </c>
      <c r="V137" s="31">
        <f>IFERROR(__xludf.DUMMYFUNCTION("""COMPUTED_VALUE"""),1.08461)</f>
        <v>1.08461</v>
      </c>
    </row>
    <row r="138" ht="15.75" customHeight="1">
      <c r="A138" s="32">
        <f>IFERROR(__xludf.DUMMYFUNCTION("""COMPUTED_VALUE"""),45377.73611111111)</f>
        <v>45377.73611</v>
      </c>
      <c r="B138" s="31">
        <f>IFERROR(__xludf.DUMMYFUNCTION("""COMPUTED_VALUE"""),96.17)</f>
        <v>96.17</v>
      </c>
      <c r="C138" s="32">
        <f>IFERROR(__xludf.DUMMYFUNCTION("""COMPUTED_VALUE"""),45378.726388888885)</f>
        <v>45378.72639</v>
      </c>
      <c r="D138" s="31">
        <f>IFERROR(__xludf.DUMMYFUNCTION("""COMPUTED_VALUE"""),5.22)</f>
        <v>5.22</v>
      </c>
      <c r="E138" s="32">
        <f>IFERROR(__xludf.DUMMYFUNCTION("""COMPUTED_VALUE"""),45378.73611111111)</f>
        <v>45378.73611</v>
      </c>
      <c r="F138" s="31">
        <f>IFERROR(__xludf.DUMMYFUNCTION("""COMPUTED_VALUE"""),96.0)</f>
        <v>96</v>
      </c>
      <c r="G138" s="32">
        <f>IFERROR(__xludf.DUMMYFUNCTION("""COMPUTED_VALUE"""),45376.726388888885)</f>
        <v>45376.72639</v>
      </c>
      <c r="H138" s="31">
        <f>IFERROR(__xludf.DUMMYFUNCTION("""COMPUTED_VALUE"""),5.13)</f>
        <v>5.13</v>
      </c>
      <c r="I138" s="32">
        <f>IFERROR(__xludf.DUMMYFUNCTION("""COMPUTED_VALUE"""),45376.726388888885)</f>
        <v>45376.72639</v>
      </c>
      <c r="J138" s="31">
        <f>IFERROR(__xludf.DUMMYFUNCTION("""COMPUTED_VALUE"""),5.16)</f>
        <v>5.16</v>
      </c>
      <c r="K138" s="32">
        <f>IFERROR(__xludf.DUMMYFUNCTION("""COMPUTED_VALUE"""),45378.73611111111)</f>
        <v>45378.73611</v>
      </c>
      <c r="L138" s="31">
        <f>IFERROR(__xludf.DUMMYFUNCTION("""COMPUTED_VALUE"""),96.76)</f>
        <v>96.76</v>
      </c>
      <c r="M138" s="32">
        <f>IFERROR(__xludf.DUMMYFUNCTION("""COMPUTED_VALUE"""),45376.726388888885)</f>
        <v>45376.72639</v>
      </c>
      <c r="N138" s="31">
        <f>IFERROR(__xludf.DUMMYFUNCTION("""COMPUTED_VALUE"""),5.23)</f>
        <v>5.23</v>
      </c>
      <c r="O138" s="32">
        <f>IFERROR(__xludf.DUMMYFUNCTION("""COMPUTED_VALUE"""),45376.6875)</f>
        <v>45376.6875</v>
      </c>
      <c r="P138" s="31">
        <f>IFERROR(__xludf.DUMMYFUNCTION("""COMPUTED_VALUE"""),549.47)</f>
        <v>549.47</v>
      </c>
      <c r="Q138" s="32">
        <f>IFERROR(__xludf.DUMMYFUNCTION("""COMPUTED_VALUE"""),45378.66666666667)</f>
        <v>45378.66667</v>
      </c>
      <c r="R138" s="31">
        <f>IFERROR(__xludf.DUMMYFUNCTION("""COMPUTED_VALUE"""),23.37)</f>
        <v>23.37</v>
      </c>
      <c r="S138" s="32">
        <f>IFERROR(__xludf.DUMMYFUNCTION("""COMPUTED_VALUE"""),45376.6875)</f>
        <v>45376.6875</v>
      </c>
      <c r="T138" s="22">
        <f>IFERROR(__xludf.DUMMYFUNCTION("""COMPUTED_VALUE"""),6.36)</f>
        <v>6.36</v>
      </c>
      <c r="U138" s="32">
        <f>IFERROR(__xludf.DUMMYFUNCTION("""COMPUTED_VALUE"""),45317.99861111111)</f>
        <v>45317.99861</v>
      </c>
      <c r="V138" s="31">
        <f>IFERROR(__xludf.DUMMYFUNCTION("""COMPUTED_VALUE"""),1.0862)</f>
        <v>1.0862</v>
      </c>
    </row>
    <row r="139" ht="15.75" customHeight="1">
      <c r="A139" s="32">
        <f>IFERROR(__xludf.DUMMYFUNCTION("""COMPUTED_VALUE"""),45378.73611111111)</f>
        <v>45378.73611</v>
      </c>
      <c r="B139" s="31">
        <f>IFERROR(__xludf.DUMMYFUNCTION("""COMPUTED_VALUE"""),96.48)</f>
        <v>96.48</v>
      </c>
      <c r="C139" s="32">
        <f>IFERROR(__xludf.DUMMYFUNCTION("""COMPUTED_VALUE"""),45379.726388888885)</f>
        <v>45379.72639</v>
      </c>
      <c r="D139" s="31">
        <f>IFERROR(__xludf.DUMMYFUNCTION("""COMPUTED_VALUE"""),5.22)</f>
        <v>5.22</v>
      </c>
      <c r="E139" s="32">
        <f>IFERROR(__xludf.DUMMYFUNCTION("""COMPUTED_VALUE"""),45379.73611111111)</f>
        <v>45379.73611</v>
      </c>
      <c r="F139" s="31">
        <f>IFERROR(__xludf.DUMMYFUNCTION("""COMPUTED_VALUE"""),96.17)</f>
        <v>96.17</v>
      </c>
      <c r="G139" s="32">
        <f>IFERROR(__xludf.DUMMYFUNCTION("""COMPUTED_VALUE"""),45377.726388888885)</f>
        <v>45377.72639</v>
      </c>
      <c r="H139" s="31">
        <f>IFERROR(__xludf.DUMMYFUNCTION("""COMPUTED_VALUE"""),5.13)</f>
        <v>5.13</v>
      </c>
      <c r="I139" s="32">
        <f>IFERROR(__xludf.DUMMYFUNCTION("""COMPUTED_VALUE"""),45377.726388888885)</f>
        <v>45377.72639</v>
      </c>
      <c r="J139" s="31">
        <f>IFERROR(__xludf.DUMMYFUNCTION("""COMPUTED_VALUE"""),5.16)</f>
        <v>5.16</v>
      </c>
      <c r="K139" s="32">
        <f>IFERROR(__xludf.DUMMYFUNCTION("""COMPUTED_VALUE"""),45379.73611111111)</f>
        <v>45379.73611</v>
      </c>
      <c r="L139" s="31">
        <f>IFERROR(__xludf.DUMMYFUNCTION("""COMPUTED_VALUE"""),96.85)</f>
        <v>96.85</v>
      </c>
      <c r="M139" s="32">
        <f>IFERROR(__xludf.DUMMYFUNCTION("""COMPUTED_VALUE"""),45377.726388888885)</f>
        <v>45377.72639</v>
      </c>
      <c r="N139" s="31">
        <f>IFERROR(__xludf.DUMMYFUNCTION("""COMPUTED_VALUE"""),5.24)</f>
        <v>5.24</v>
      </c>
      <c r="O139" s="32">
        <f>IFERROR(__xludf.DUMMYFUNCTION("""COMPUTED_VALUE"""),45377.6875)</f>
        <v>45377.6875</v>
      </c>
      <c r="P139" s="31">
        <f>IFERROR(__xludf.DUMMYFUNCTION("""COMPUTED_VALUE"""),549.74)</f>
        <v>549.74</v>
      </c>
      <c r="Q139" s="32">
        <f>IFERROR(__xludf.DUMMYFUNCTION("""COMPUTED_VALUE"""),45379.66666666667)</f>
        <v>45379.66667</v>
      </c>
      <c r="R139" s="31">
        <f>IFERROR(__xludf.DUMMYFUNCTION("""COMPUTED_VALUE"""),23.37)</f>
        <v>23.37</v>
      </c>
      <c r="S139" s="32">
        <f>IFERROR(__xludf.DUMMYFUNCTION("""COMPUTED_VALUE"""),45377.6875)</f>
        <v>45377.6875</v>
      </c>
      <c r="T139" s="22">
        <f>IFERROR(__xludf.DUMMYFUNCTION("""COMPUTED_VALUE"""),6.35)</f>
        <v>6.35</v>
      </c>
      <c r="U139" s="32">
        <f>IFERROR(__xludf.DUMMYFUNCTION("""COMPUTED_VALUE"""),45318.99861111111)</f>
        <v>45318.99861</v>
      </c>
      <c r="V139" s="31">
        <f>IFERROR(__xludf.DUMMYFUNCTION("""COMPUTED_VALUE"""),1.0862)</f>
        <v>1.0862</v>
      </c>
    </row>
    <row r="140" ht="15.75" customHeight="1">
      <c r="A140" s="32">
        <f>IFERROR(__xludf.DUMMYFUNCTION("""COMPUTED_VALUE"""),45379.73611111111)</f>
        <v>45379.73611</v>
      </c>
      <c r="B140" s="31">
        <f>IFERROR(__xludf.DUMMYFUNCTION("""COMPUTED_VALUE"""),96.8)</f>
        <v>96.8</v>
      </c>
      <c r="C140" s="32">
        <f>IFERROR(__xludf.DUMMYFUNCTION("""COMPUTED_VALUE"""),45384.726388888885)</f>
        <v>45384.72639</v>
      </c>
      <c r="D140" s="31">
        <f>IFERROR(__xludf.DUMMYFUNCTION("""COMPUTED_VALUE"""),5.22)</f>
        <v>5.22</v>
      </c>
      <c r="E140" s="32">
        <f>IFERROR(__xludf.DUMMYFUNCTION("""COMPUTED_VALUE"""),45384.73611111111)</f>
        <v>45384.73611</v>
      </c>
      <c r="F140" s="31">
        <f>IFERROR(__xludf.DUMMYFUNCTION("""COMPUTED_VALUE"""),96.22)</f>
        <v>96.22</v>
      </c>
      <c r="G140" s="32">
        <f>IFERROR(__xludf.DUMMYFUNCTION("""COMPUTED_VALUE"""),45378.726388888885)</f>
        <v>45378.72639</v>
      </c>
      <c r="H140" s="31">
        <f>IFERROR(__xludf.DUMMYFUNCTION("""COMPUTED_VALUE"""),5.14)</f>
        <v>5.14</v>
      </c>
      <c r="I140" s="32">
        <f>IFERROR(__xludf.DUMMYFUNCTION("""COMPUTED_VALUE"""),45378.726388888885)</f>
        <v>45378.72639</v>
      </c>
      <c r="J140" s="31">
        <f>IFERROR(__xludf.DUMMYFUNCTION("""COMPUTED_VALUE"""),5.17)</f>
        <v>5.17</v>
      </c>
      <c r="K140" s="32">
        <f>IFERROR(__xludf.DUMMYFUNCTION("""COMPUTED_VALUE"""),45384.73611111111)</f>
        <v>45384.73611</v>
      </c>
      <c r="L140" s="31">
        <f>IFERROR(__xludf.DUMMYFUNCTION("""COMPUTED_VALUE"""),96.74)</f>
        <v>96.74</v>
      </c>
      <c r="M140" s="32">
        <f>IFERROR(__xludf.DUMMYFUNCTION("""COMPUTED_VALUE"""),45378.726388888885)</f>
        <v>45378.72639</v>
      </c>
      <c r="N140" s="31">
        <f>IFERROR(__xludf.DUMMYFUNCTION("""COMPUTED_VALUE"""),5.25)</f>
        <v>5.25</v>
      </c>
      <c r="O140" s="32">
        <f>IFERROR(__xludf.DUMMYFUNCTION("""COMPUTED_VALUE"""),45378.6875)</f>
        <v>45378.6875</v>
      </c>
      <c r="P140" s="31">
        <f>IFERROR(__xludf.DUMMYFUNCTION("""COMPUTED_VALUE"""),549.06)</f>
        <v>549.06</v>
      </c>
      <c r="Q140" s="32">
        <f>IFERROR(__xludf.DUMMYFUNCTION("""COMPUTED_VALUE"""),45383.66666666667)</f>
        <v>45383.66667</v>
      </c>
      <c r="R140" s="31">
        <f>IFERROR(__xludf.DUMMYFUNCTION("""COMPUTED_VALUE"""),23.1)</f>
        <v>23.1</v>
      </c>
      <c r="S140" s="32">
        <f>IFERROR(__xludf.DUMMYFUNCTION("""COMPUTED_VALUE"""),45378.6875)</f>
        <v>45378.6875</v>
      </c>
      <c r="T140" s="22">
        <f>IFERROR(__xludf.DUMMYFUNCTION("""COMPUTED_VALUE"""),6.36)</f>
        <v>6.36</v>
      </c>
      <c r="U140" s="32">
        <f>IFERROR(__xludf.DUMMYFUNCTION("""COMPUTED_VALUE"""),45319.99861111111)</f>
        <v>45319.99861</v>
      </c>
      <c r="V140" s="31">
        <f>IFERROR(__xludf.DUMMYFUNCTION("""COMPUTED_VALUE"""),1.08424)</f>
        <v>1.08424</v>
      </c>
    </row>
    <row r="141" ht="15.75" customHeight="1">
      <c r="A141" s="32">
        <f>IFERROR(__xludf.DUMMYFUNCTION("""COMPUTED_VALUE"""),45384.73611111111)</f>
        <v>45384.73611</v>
      </c>
      <c r="B141" s="31">
        <f>IFERROR(__xludf.DUMMYFUNCTION("""COMPUTED_VALUE"""),96.43)</f>
        <v>96.43</v>
      </c>
      <c r="C141" s="32">
        <f>IFERROR(__xludf.DUMMYFUNCTION("""COMPUTED_VALUE"""),45385.726388888885)</f>
        <v>45385.72639</v>
      </c>
      <c r="D141" s="31">
        <f>IFERROR(__xludf.DUMMYFUNCTION("""COMPUTED_VALUE"""),5.22)</f>
        <v>5.22</v>
      </c>
      <c r="E141" s="32">
        <f>IFERROR(__xludf.DUMMYFUNCTION("""COMPUTED_VALUE"""),45385.73611111111)</f>
        <v>45385.73611</v>
      </c>
      <c r="F141" s="31">
        <f>IFERROR(__xludf.DUMMYFUNCTION("""COMPUTED_VALUE"""),95.79)</f>
        <v>95.79</v>
      </c>
      <c r="G141" s="32">
        <f>IFERROR(__xludf.DUMMYFUNCTION("""COMPUTED_VALUE"""),45379.726388888885)</f>
        <v>45379.72639</v>
      </c>
      <c r="H141" s="31">
        <f>IFERROR(__xludf.DUMMYFUNCTION("""COMPUTED_VALUE"""),5.14)</f>
        <v>5.14</v>
      </c>
      <c r="I141" s="32">
        <f>IFERROR(__xludf.DUMMYFUNCTION("""COMPUTED_VALUE"""),45379.726388888885)</f>
        <v>45379.72639</v>
      </c>
      <c r="J141" s="31">
        <f>IFERROR(__xludf.DUMMYFUNCTION("""COMPUTED_VALUE"""),5.17)</f>
        <v>5.17</v>
      </c>
      <c r="K141" s="32">
        <f>IFERROR(__xludf.DUMMYFUNCTION("""COMPUTED_VALUE"""),45385.73611111111)</f>
        <v>45385.73611</v>
      </c>
      <c r="L141" s="31">
        <f>IFERROR(__xludf.DUMMYFUNCTION("""COMPUTED_VALUE"""),96.28)</f>
        <v>96.28</v>
      </c>
      <c r="M141" s="32">
        <f>IFERROR(__xludf.DUMMYFUNCTION("""COMPUTED_VALUE"""),45379.726388888885)</f>
        <v>45379.72639</v>
      </c>
      <c r="N141" s="31">
        <f>IFERROR(__xludf.DUMMYFUNCTION("""COMPUTED_VALUE"""),5.25)</f>
        <v>5.25</v>
      </c>
      <c r="O141" s="32">
        <f>IFERROR(__xludf.DUMMYFUNCTION("""COMPUTED_VALUE"""),45379.6875)</f>
        <v>45379.6875</v>
      </c>
      <c r="P141" s="31">
        <f>IFERROR(__xludf.DUMMYFUNCTION("""COMPUTED_VALUE"""),552.49)</f>
        <v>552.49</v>
      </c>
      <c r="Q141" s="32">
        <f>IFERROR(__xludf.DUMMYFUNCTION("""COMPUTED_VALUE"""),45384.66666666667)</f>
        <v>45384.66667</v>
      </c>
      <c r="R141" s="31">
        <f>IFERROR(__xludf.DUMMYFUNCTION("""COMPUTED_VALUE"""),23.03)</f>
        <v>23.03</v>
      </c>
      <c r="S141" s="32">
        <f>IFERROR(__xludf.DUMMYFUNCTION("""COMPUTED_VALUE"""),45379.6875)</f>
        <v>45379.6875</v>
      </c>
      <c r="T141" s="31">
        <f>IFERROR(__xludf.DUMMYFUNCTION("""COMPUTED_VALUE"""),6.38)</f>
        <v>6.38</v>
      </c>
      <c r="U141" s="32">
        <f>IFERROR(__xludf.DUMMYFUNCTION("""COMPUTED_VALUE"""),45320.99861111111)</f>
        <v>45320.99861</v>
      </c>
      <c r="V141" s="31">
        <f>IFERROR(__xludf.DUMMYFUNCTION("""COMPUTED_VALUE"""),1.08335)</f>
        <v>1.08335</v>
      </c>
    </row>
    <row r="142" ht="15.75" customHeight="1">
      <c r="A142" s="32">
        <f>IFERROR(__xludf.DUMMYFUNCTION("""COMPUTED_VALUE"""),45385.73611111111)</f>
        <v>45385.73611</v>
      </c>
      <c r="B142" s="31">
        <f>IFERROR(__xludf.DUMMYFUNCTION("""COMPUTED_VALUE"""),96.04)</f>
        <v>96.04</v>
      </c>
      <c r="C142" s="32">
        <f>IFERROR(__xludf.DUMMYFUNCTION("""COMPUTED_VALUE"""),45386.726388888885)</f>
        <v>45386.72639</v>
      </c>
      <c r="D142" s="31">
        <f>IFERROR(__xludf.DUMMYFUNCTION("""COMPUTED_VALUE"""),5.22)</f>
        <v>5.22</v>
      </c>
      <c r="E142" s="32">
        <f>IFERROR(__xludf.DUMMYFUNCTION("""COMPUTED_VALUE"""),45386.73611111111)</f>
        <v>45386.73611</v>
      </c>
      <c r="F142" s="31">
        <f>IFERROR(__xludf.DUMMYFUNCTION("""COMPUTED_VALUE"""),95.5)</f>
        <v>95.5</v>
      </c>
      <c r="G142" s="32">
        <f>IFERROR(__xludf.DUMMYFUNCTION("""COMPUTED_VALUE"""),45384.726388888885)</f>
        <v>45384.72639</v>
      </c>
      <c r="H142" s="31">
        <f>IFERROR(__xludf.DUMMYFUNCTION("""COMPUTED_VALUE"""),5.14)</f>
        <v>5.14</v>
      </c>
      <c r="I142" s="32">
        <f>IFERROR(__xludf.DUMMYFUNCTION("""COMPUTED_VALUE"""),45384.726388888885)</f>
        <v>45384.72639</v>
      </c>
      <c r="J142" s="31">
        <f>IFERROR(__xludf.DUMMYFUNCTION("""COMPUTED_VALUE"""),5.17)</f>
        <v>5.17</v>
      </c>
      <c r="K142" s="32">
        <f>IFERROR(__xludf.DUMMYFUNCTION("""COMPUTED_VALUE"""),45386.73611111111)</f>
        <v>45386.73611</v>
      </c>
      <c r="L142" s="31">
        <f>IFERROR(__xludf.DUMMYFUNCTION("""COMPUTED_VALUE"""),96.15)</f>
        <v>96.15</v>
      </c>
      <c r="M142" s="32">
        <f>IFERROR(__xludf.DUMMYFUNCTION("""COMPUTED_VALUE"""),45384.726388888885)</f>
        <v>45384.72639</v>
      </c>
      <c r="N142" s="31">
        <f>IFERROR(__xludf.DUMMYFUNCTION("""COMPUTED_VALUE"""),5.25)</f>
        <v>5.25</v>
      </c>
      <c r="O142" s="32">
        <f>IFERROR(__xludf.DUMMYFUNCTION("""COMPUTED_VALUE"""),45384.6875)</f>
        <v>45384.6875</v>
      </c>
      <c r="P142" s="31">
        <f>IFERROR(__xludf.DUMMYFUNCTION("""COMPUTED_VALUE"""),546.64)</f>
        <v>546.64</v>
      </c>
      <c r="Q142" s="32">
        <f>IFERROR(__xludf.DUMMYFUNCTION("""COMPUTED_VALUE"""),45385.66666666667)</f>
        <v>45385.66667</v>
      </c>
      <c r="R142" s="31">
        <f>IFERROR(__xludf.DUMMYFUNCTION("""COMPUTED_VALUE"""),23.04)</f>
        <v>23.04</v>
      </c>
      <c r="S142" s="32">
        <f>IFERROR(__xludf.DUMMYFUNCTION("""COMPUTED_VALUE"""),45384.6875)</f>
        <v>45384.6875</v>
      </c>
      <c r="T142" s="31">
        <f>IFERROR(__xludf.DUMMYFUNCTION("""COMPUTED_VALUE"""),6.34)</f>
        <v>6.34</v>
      </c>
      <c r="U142" s="32">
        <f>IFERROR(__xludf.DUMMYFUNCTION("""COMPUTED_VALUE"""),45321.99861111111)</f>
        <v>45321.99861</v>
      </c>
      <c r="V142" s="31">
        <f>IFERROR(__xludf.DUMMYFUNCTION("""COMPUTED_VALUE"""),1.0843)</f>
        <v>1.0843</v>
      </c>
    </row>
    <row r="143" ht="15.75" customHeight="1">
      <c r="A143" s="32">
        <f>IFERROR(__xludf.DUMMYFUNCTION("""COMPUTED_VALUE"""),45386.73611111111)</f>
        <v>45386.73611</v>
      </c>
      <c r="B143" s="31">
        <f>IFERROR(__xludf.DUMMYFUNCTION("""COMPUTED_VALUE"""),95.75)</f>
        <v>95.75</v>
      </c>
      <c r="C143" s="32">
        <f>IFERROR(__xludf.DUMMYFUNCTION("""COMPUTED_VALUE"""),45387.726388888885)</f>
        <v>45387.72639</v>
      </c>
      <c r="D143" s="31">
        <f>IFERROR(__xludf.DUMMYFUNCTION("""COMPUTED_VALUE"""),5.22)</f>
        <v>5.22</v>
      </c>
      <c r="E143" s="32">
        <f>IFERROR(__xludf.DUMMYFUNCTION("""COMPUTED_VALUE"""),45387.73611111111)</f>
        <v>45387.73611</v>
      </c>
      <c r="F143" s="31">
        <f>IFERROR(__xludf.DUMMYFUNCTION("""COMPUTED_VALUE"""),95.8)</f>
        <v>95.8</v>
      </c>
      <c r="G143" s="32">
        <f>IFERROR(__xludf.DUMMYFUNCTION("""COMPUTED_VALUE"""),45385.726388888885)</f>
        <v>45385.72639</v>
      </c>
      <c r="H143" s="31">
        <f>IFERROR(__xludf.DUMMYFUNCTION("""COMPUTED_VALUE"""),5.14)</f>
        <v>5.14</v>
      </c>
      <c r="I143" s="32">
        <f>IFERROR(__xludf.DUMMYFUNCTION("""COMPUTED_VALUE"""),45385.726388888885)</f>
        <v>45385.72639</v>
      </c>
      <c r="J143" s="31">
        <f>IFERROR(__xludf.DUMMYFUNCTION("""COMPUTED_VALUE"""),5.17)</f>
        <v>5.17</v>
      </c>
      <c r="K143" s="32">
        <f>IFERROR(__xludf.DUMMYFUNCTION("""COMPUTED_VALUE"""),45387.73611111111)</f>
        <v>45387.73611</v>
      </c>
      <c r="L143" s="31">
        <f>IFERROR(__xludf.DUMMYFUNCTION("""COMPUTED_VALUE"""),96.31)</f>
        <v>96.31</v>
      </c>
      <c r="M143" s="32">
        <f>IFERROR(__xludf.DUMMYFUNCTION("""COMPUTED_VALUE"""),45385.726388888885)</f>
        <v>45385.72639</v>
      </c>
      <c r="N143" s="31">
        <f>IFERROR(__xludf.DUMMYFUNCTION("""COMPUTED_VALUE"""),5.25)</f>
        <v>5.25</v>
      </c>
      <c r="O143" s="32">
        <f>IFERROR(__xludf.DUMMYFUNCTION("""COMPUTED_VALUE"""),45385.6875)</f>
        <v>45385.6875</v>
      </c>
      <c r="P143" s="31">
        <f>IFERROR(__xludf.DUMMYFUNCTION("""COMPUTED_VALUE"""),549.75)</f>
        <v>549.75</v>
      </c>
      <c r="Q143" s="32">
        <f>IFERROR(__xludf.DUMMYFUNCTION("""COMPUTED_VALUE"""),45386.66666666667)</f>
        <v>45386.66667</v>
      </c>
      <c r="R143" s="31">
        <f>IFERROR(__xludf.DUMMYFUNCTION("""COMPUTED_VALUE"""),23.03)</f>
        <v>23.03</v>
      </c>
      <c r="S143" s="32">
        <f>IFERROR(__xludf.DUMMYFUNCTION("""COMPUTED_VALUE"""),45385.6875)</f>
        <v>45385.6875</v>
      </c>
      <c r="T143" s="31">
        <f>IFERROR(__xludf.DUMMYFUNCTION("""COMPUTED_VALUE"""),6.34)</f>
        <v>6.34</v>
      </c>
      <c r="U143" s="32">
        <f>IFERROR(__xludf.DUMMYFUNCTION("""COMPUTED_VALUE"""),45322.99861111111)</f>
        <v>45322.99861</v>
      </c>
      <c r="V143" s="31">
        <f>IFERROR(__xludf.DUMMYFUNCTION("""COMPUTED_VALUE"""),1.0803)</f>
        <v>1.0803</v>
      </c>
    </row>
    <row r="144" ht="15.75" customHeight="1">
      <c r="A144" s="32">
        <f>IFERROR(__xludf.DUMMYFUNCTION("""COMPUTED_VALUE"""),45387.73611111111)</f>
        <v>45387.73611</v>
      </c>
      <c r="B144" s="31">
        <f>IFERROR(__xludf.DUMMYFUNCTION("""COMPUTED_VALUE"""),96.01)</f>
        <v>96.01</v>
      </c>
      <c r="C144" s="32">
        <f>IFERROR(__xludf.DUMMYFUNCTION("""COMPUTED_VALUE"""),45390.726388888885)</f>
        <v>45390.72639</v>
      </c>
      <c r="D144" s="31">
        <f>IFERROR(__xludf.DUMMYFUNCTION("""COMPUTED_VALUE"""),5.21)</f>
        <v>5.21</v>
      </c>
      <c r="E144" s="32">
        <f>IFERROR(__xludf.DUMMYFUNCTION("""COMPUTED_VALUE"""),45390.73611111111)</f>
        <v>45390.73611</v>
      </c>
      <c r="F144" s="31">
        <f>IFERROR(__xludf.DUMMYFUNCTION("""COMPUTED_VALUE"""),95.53)</f>
        <v>95.53</v>
      </c>
      <c r="G144" s="32">
        <f>IFERROR(__xludf.DUMMYFUNCTION("""COMPUTED_VALUE"""),45386.726388888885)</f>
        <v>45386.72639</v>
      </c>
      <c r="H144" s="31">
        <f>IFERROR(__xludf.DUMMYFUNCTION("""COMPUTED_VALUE"""),5.15)</f>
        <v>5.15</v>
      </c>
      <c r="I144" s="32">
        <f>IFERROR(__xludf.DUMMYFUNCTION("""COMPUTED_VALUE"""),45386.726388888885)</f>
        <v>45386.72639</v>
      </c>
      <c r="J144" s="31">
        <f>IFERROR(__xludf.DUMMYFUNCTION("""COMPUTED_VALUE"""),5.18)</f>
        <v>5.18</v>
      </c>
      <c r="K144" s="32">
        <f>IFERROR(__xludf.DUMMYFUNCTION("""COMPUTED_VALUE"""),45390.73611111111)</f>
        <v>45390.73611</v>
      </c>
      <c r="L144" s="31">
        <f>IFERROR(__xludf.DUMMYFUNCTION("""COMPUTED_VALUE"""),95.99)</f>
        <v>95.99</v>
      </c>
      <c r="M144" s="32">
        <f>IFERROR(__xludf.DUMMYFUNCTION("""COMPUTED_VALUE"""),45386.726388888885)</f>
        <v>45386.72639</v>
      </c>
      <c r="N144" s="31">
        <f>IFERROR(__xludf.DUMMYFUNCTION("""COMPUTED_VALUE"""),5.26)</f>
        <v>5.26</v>
      </c>
      <c r="O144" s="32">
        <f>IFERROR(__xludf.DUMMYFUNCTION("""COMPUTED_VALUE"""),45386.6875)</f>
        <v>45386.6875</v>
      </c>
      <c r="P144" s="31">
        <f>IFERROR(__xludf.DUMMYFUNCTION("""COMPUTED_VALUE"""),551.7)</f>
        <v>551.7</v>
      </c>
      <c r="Q144" s="32">
        <f>IFERROR(__xludf.DUMMYFUNCTION("""COMPUTED_VALUE"""),45387.66666666667)</f>
        <v>45387.66667</v>
      </c>
      <c r="R144" s="31">
        <f>IFERROR(__xludf.DUMMYFUNCTION("""COMPUTED_VALUE"""),23.01)</f>
        <v>23.01</v>
      </c>
      <c r="S144" s="32">
        <f>IFERROR(__xludf.DUMMYFUNCTION("""COMPUTED_VALUE"""),45386.6875)</f>
        <v>45386.6875</v>
      </c>
      <c r="T144" s="31">
        <f>IFERROR(__xludf.DUMMYFUNCTION("""COMPUTED_VALUE"""),6.36)</f>
        <v>6.36</v>
      </c>
      <c r="U144" s="32">
        <f>IFERROR(__xludf.DUMMYFUNCTION("""COMPUTED_VALUE"""),45323.99861111111)</f>
        <v>45323.99861</v>
      </c>
      <c r="V144" s="31">
        <f>IFERROR(__xludf.DUMMYFUNCTION("""COMPUTED_VALUE"""),1.08742)</f>
        <v>1.08742</v>
      </c>
    </row>
    <row r="145" ht="15.75" customHeight="1">
      <c r="A145" s="32">
        <f>IFERROR(__xludf.DUMMYFUNCTION("""COMPUTED_VALUE"""),45390.73611111111)</f>
        <v>45390.73611</v>
      </c>
      <c r="B145" s="31">
        <f>IFERROR(__xludf.DUMMYFUNCTION("""COMPUTED_VALUE"""),95.63)</f>
        <v>95.63</v>
      </c>
      <c r="C145" s="32">
        <f>IFERROR(__xludf.DUMMYFUNCTION("""COMPUTED_VALUE"""),45391.726388888885)</f>
        <v>45391.72639</v>
      </c>
      <c r="D145" s="31">
        <f>IFERROR(__xludf.DUMMYFUNCTION("""COMPUTED_VALUE"""),5.22)</f>
        <v>5.22</v>
      </c>
      <c r="E145" s="32">
        <f>IFERROR(__xludf.DUMMYFUNCTION("""COMPUTED_VALUE"""),45391.73611111111)</f>
        <v>45391.73611</v>
      </c>
      <c r="F145" s="31">
        <f>IFERROR(__xludf.DUMMYFUNCTION("""COMPUTED_VALUE"""),95.53)</f>
        <v>95.53</v>
      </c>
      <c r="G145" s="32">
        <f>IFERROR(__xludf.DUMMYFUNCTION("""COMPUTED_VALUE"""),45387.726388888885)</f>
        <v>45387.72639</v>
      </c>
      <c r="H145" s="31">
        <f>IFERROR(__xludf.DUMMYFUNCTION("""COMPUTED_VALUE"""),5.14)</f>
        <v>5.14</v>
      </c>
      <c r="I145" s="32">
        <f>IFERROR(__xludf.DUMMYFUNCTION("""COMPUTED_VALUE"""),45387.726388888885)</f>
        <v>45387.72639</v>
      </c>
      <c r="J145" s="31">
        <f>IFERROR(__xludf.DUMMYFUNCTION("""COMPUTED_VALUE"""),5.17)</f>
        <v>5.17</v>
      </c>
      <c r="K145" s="32">
        <f>IFERROR(__xludf.DUMMYFUNCTION("""COMPUTED_VALUE"""),45391.73611111111)</f>
        <v>45391.73611</v>
      </c>
      <c r="L145" s="31">
        <f>IFERROR(__xludf.DUMMYFUNCTION("""COMPUTED_VALUE"""),95.95)</f>
        <v>95.95</v>
      </c>
      <c r="M145" s="32">
        <f>IFERROR(__xludf.DUMMYFUNCTION("""COMPUTED_VALUE"""),45387.726388888885)</f>
        <v>45387.72639</v>
      </c>
      <c r="N145" s="31">
        <f>IFERROR(__xludf.DUMMYFUNCTION("""COMPUTED_VALUE"""),5.25)</f>
        <v>5.25</v>
      </c>
      <c r="O145" s="32">
        <f>IFERROR(__xludf.DUMMYFUNCTION("""COMPUTED_VALUE"""),45387.6875)</f>
        <v>45387.6875</v>
      </c>
      <c r="P145" s="31">
        <f>IFERROR(__xludf.DUMMYFUNCTION("""COMPUTED_VALUE"""),546.41)</f>
        <v>546.41</v>
      </c>
      <c r="Q145" s="32">
        <f>IFERROR(__xludf.DUMMYFUNCTION("""COMPUTED_VALUE"""),45390.66666666667)</f>
        <v>45390.66667</v>
      </c>
      <c r="R145" s="31">
        <f>IFERROR(__xludf.DUMMYFUNCTION("""COMPUTED_VALUE"""),23.05)</f>
        <v>23.05</v>
      </c>
      <c r="S145" s="32">
        <f>IFERROR(__xludf.DUMMYFUNCTION("""COMPUTED_VALUE"""),45387.6875)</f>
        <v>45387.6875</v>
      </c>
      <c r="T145" s="31">
        <f>IFERROR(__xludf.DUMMYFUNCTION("""COMPUTED_VALUE"""),6.34)</f>
        <v>6.34</v>
      </c>
      <c r="U145" s="32">
        <f>IFERROR(__xludf.DUMMYFUNCTION("""COMPUTED_VALUE"""),45324.99861111111)</f>
        <v>45324.99861</v>
      </c>
      <c r="V145" s="31">
        <f>IFERROR(__xludf.DUMMYFUNCTION("""COMPUTED_VALUE"""),1.0805)</f>
        <v>1.0805</v>
      </c>
    </row>
    <row r="146" ht="15.75" customHeight="1">
      <c r="A146" s="32">
        <f>IFERROR(__xludf.DUMMYFUNCTION("""COMPUTED_VALUE"""),45391.73611111111)</f>
        <v>45391.73611</v>
      </c>
      <c r="B146" s="31">
        <f>IFERROR(__xludf.DUMMYFUNCTION("""COMPUTED_VALUE"""),95.78)</f>
        <v>95.78</v>
      </c>
      <c r="C146" s="32">
        <f>IFERROR(__xludf.DUMMYFUNCTION("""COMPUTED_VALUE"""),45392.726388888885)</f>
        <v>45392.72639</v>
      </c>
      <c r="D146" s="31">
        <f>IFERROR(__xludf.DUMMYFUNCTION("""COMPUTED_VALUE"""),5.21)</f>
        <v>5.21</v>
      </c>
      <c r="E146" s="32">
        <f>IFERROR(__xludf.DUMMYFUNCTION("""COMPUTED_VALUE"""),45392.73611111111)</f>
        <v>45392.73611</v>
      </c>
      <c r="F146" s="31">
        <f>IFERROR(__xludf.DUMMYFUNCTION("""COMPUTED_VALUE"""),96.11)</f>
        <v>96.11</v>
      </c>
      <c r="G146" s="32">
        <f>IFERROR(__xludf.DUMMYFUNCTION("""COMPUTED_VALUE"""),45390.726388888885)</f>
        <v>45390.72639</v>
      </c>
      <c r="H146" s="31">
        <f>IFERROR(__xludf.DUMMYFUNCTION("""COMPUTED_VALUE"""),5.14)</f>
        <v>5.14</v>
      </c>
      <c r="I146" s="32">
        <f>IFERROR(__xludf.DUMMYFUNCTION("""COMPUTED_VALUE"""),45390.726388888885)</f>
        <v>45390.72639</v>
      </c>
      <c r="J146" s="31">
        <f>IFERROR(__xludf.DUMMYFUNCTION("""COMPUTED_VALUE"""),5.17)</f>
        <v>5.17</v>
      </c>
      <c r="K146" s="32">
        <f>IFERROR(__xludf.DUMMYFUNCTION("""COMPUTED_VALUE"""),45392.73611111111)</f>
        <v>45392.73611</v>
      </c>
      <c r="L146" s="31">
        <f>IFERROR(__xludf.DUMMYFUNCTION("""COMPUTED_VALUE"""),96.44)</f>
        <v>96.44</v>
      </c>
      <c r="M146" s="32">
        <f>IFERROR(__xludf.DUMMYFUNCTION("""COMPUTED_VALUE"""),45390.726388888885)</f>
        <v>45390.72639</v>
      </c>
      <c r="N146" s="31">
        <f>IFERROR(__xludf.DUMMYFUNCTION("""COMPUTED_VALUE"""),5.25)</f>
        <v>5.25</v>
      </c>
      <c r="O146" s="32">
        <f>IFERROR(__xludf.DUMMYFUNCTION("""COMPUTED_VALUE"""),45390.6875)</f>
        <v>45390.6875</v>
      </c>
      <c r="P146" s="31">
        <f>IFERROR(__xludf.DUMMYFUNCTION("""COMPUTED_VALUE"""),548.09)</f>
        <v>548.09</v>
      </c>
      <c r="Q146" s="32">
        <f>IFERROR(__xludf.DUMMYFUNCTION("""COMPUTED_VALUE"""),45391.66666666667)</f>
        <v>45391.66667</v>
      </c>
      <c r="R146" s="31">
        <f>IFERROR(__xludf.DUMMYFUNCTION("""COMPUTED_VALUE"""),23.12)</f>
        <v>23.12</v>
      </c>
      <c r="S146" s="32">
        <f>IFERROR(__xludf.DUMMYFUNCTION("""COMPUTED_VALUE"""),45390.6875)</f>
        <v>45390.6875</v>
      </c>
      <c r="T146" s="31">
        <f>IFERROR(__xludf.DUMMYFUNCTION("""COMPUTED_VALUE"""),6.35)</f>
        <v>6.35</v>
      </c>
      <c r="U146" s="32">
        <f>IFERROR(__xludf.DUMMYFUNCTION("""COMPUTED_VALUE"""),45325.99861111111)</f>
        <v>45325.99861</v>
      </c>
      <c r="V146" s="31">
        <f>IFERROR(__xludf.DUMMYFUNCTION("""COMPUTED_VALUE"""),1.0805)</f>
        <v>1.0805</v>
      </c>
    </row>
    <row r="147" ht="15.75" customHeight="1">
      <c r="A147" s="32">
        <f>IFERROR(__xludf.DUMMYFUNCTION("""COMPUTED_VALUE"""),45392.73611111111)</f>
        <v>45392.73611</v>
      </c>
      <c r="B147" s="31">
        <f>IFERROR(__xludf.DUMMYFUNCTION("""COMPUTED_VALUE"""),96.12)</f>
        <v>96.12</v>
      </c>
      <c r="C147" s="32">
        <f>IFERROR(__xludf.DUMMYFUNCTION("""COMPUTED_VALUE"""),45393.726388888885)</f>
        <v>45393.72639</v>
      </c>
      <c r="D147" s="31">
        <f>IFERROR(__xludf.DUMMYFUNCTION("""COMPUTED_VALUE"""),5.2)</f>
        <v>5.2</v>
      </c>
      <c r="E147" s="32">
        <f>IFERROR(__xludf.DUMMYFUNCTION("""COMPUTED_VALUE"""),45393.73611111111)</f>
        <v>45393.73611</v>
      </c>
      <c r="F147" s="31">
        <f>IFERROR(__xludf.DUMMYFUNCTION("""COMPUTED_VALUE"""),96.44)</f>
        <v>96.44</v>
      </c>
      <c r="G147" s="32">
        <f>IFERROR(__xludf.DUMMYFUNCTION("""COMPUTED_VALUE"""),45391.726388888885)</f>
        <v>45391.72639</v>
      </c>
      <c r="H147" s="31">
        <f>IFERROR(__xludf.DUMMYFUNCTION("""COMPUTED_VALUE"""),5.14)</f>
        <v>5.14</v>
      </c>
      <c r="I147" s="32">
        <f>IFERROR(__xludf.DUMMYFUNCTION("""COMPUTED_VALUE"""),45391.726388888885)</f>
        <v>45391.72639</v>
      </c>
      <c r="J147" s="31">
        <f>IFERROR(__xludf.DUMMYFUNCTION("""COMPUTED_VALUE"""),5.17)</f>
        <v>5.17</v>
      </c>
      <c r="K147" s="32">
        <f>IFERROR(__xludf.DUMMYFUNCTION("""COMPUTED_VALUE"""),45393.73611111111)</f>
        <v>45393.73611</v>
      </c>
      <c r="L147" s="31">
        <f>IFERROR(__xludf.DUMMYFUNCTION("""COMPUTED_VALUE"""),96.64)</f>
        <v>96.64</v>
      </c>
      <c r="M147" s="32">
        <f>IFERROR(__xludf.DUMMYFUNCTION("""COMPUTED_VALUE"""),45391.726388888885)</f>
        <v>45391.72639</v>
      </c>
      <c r="N147" s="31">
        <f>IFERROR(__xludf.DUMMYFUNCTION("""COMPUTED_VALUE"""),5.25)</f>
        <v>5.25</v>
      </c>
      <c r="O147" s="32">
        <f>IFERROR(__xludf.DUMMYFUNCTION("""COMPUTED_VALUE"""),45391.6875)</f>
        <v>45391.6875</v>
      </c>
      <c r="P147" s="31">
        <f>IFERROR(__xludf.DUMMYFUNCTION("""COMPUTED_VALUE"""),544.61)</f>
        <v>544.61</v>
      </c>
      <c r="Q147" s="32">
        <f>IFERROR(__xludf.DUMMYFUNCTION("""COMPUTED_VALUE"""),45392.66666666667)</f>
        <v>45392.66667</v>
      </c>
      <c r="R147" s="31">
        <f>IFERROR(__xludf.DUMMYFUNCTION("""COMPUTED_VALUE"""),22.87)</f>
        <v>22.87</v>
      </c>
      <c r="S147" s="32">
        <f>IFERROR(__xludf.DUMMYFUNCTION("""COMPUTED_VALUE"""),45391.6875)</f>
        <v>45391.6875</v>
      </c>
      <c r="T147" s="31">
        <f>IFERROR(__xludf.DUMMYFUNCTION("""COMPUTED_VALUE"""),6.36)</f>
        <v>6.36</v>
      </c>
      <c r="U147" s="32">
        <f>IFERROR(__xludf.DUMMYFUNCTION("""COMPUTED_VALUE"""),45326.99861111111)</f>
        <v>45326.99861</v>
      </c>
      <c r="V147" s="31">
        <f>IFERROR(__xludf.DUMMYFUNCTION("""COMPUTED_VALUE"""),1.07794)</f>
        <v>1.07794</v>
      </c>
    </row>
    <row r="148" ht="15.75" customHeight="1">
      <c r="A148" s="32">
        <f>IFERROR(__xludf.DUMMYFUNCTION("""COMPUTED_VALUE"""),45393.73611111111)</f>
        <v>45393.73611</v>
      </c>
      <c r="B148" s="31">
        <f>IFERROR(__xludf.DUMMYFUNCTION("""COMPUTED_VALUE"""),96.19)</f>
        <v>96.19</v>
      </c>
      <c r="C148" s="32">
        <f>IFERROR(__xludf.DUMMYFUNCTION("""COMPUTED_VALUE"""),45394.726388888885)</f>
        <v>45394.72639</v>
      </c>
      <c r="D148" s="31">
        <f>IFERROR(__xludf.DUMMYFUNCTION("""COMPUTED_VALUE"""),5.21)</f>
        <v>5.21</v>
      </c>
      <c r="E148" s="32">
        <f>IFERROR(__xludf.DUMMYFUNCTION("""COMPUTED_VALUE"""),45394.73611111111)</f>
        <v>45394.73611</v>
      </c>
      <c r="F148" s="31">
        <f>IFERROR(__xludf.DUMMYFUNCTION("""COMPUTED_VALUE"""),97.34)</f>
        <v>97.34</v>
      </c>
      <c r="G148" s="32">
        <f>IFERROR(__xludf.DUMMYFUNCTION("""COMPUTED_VALUE"""),45392.726388888885)</f>
        <v>45392.72639</v>
      </c>
      <c r="H148" s="31">
        <f>IFERROR(__xludf.DUMMYFUNCTION("""COMPUTED_VALUE"""),5.14)</f>
        <v>5.14</v>
      </c>
      <c r="I148" s="32">
        <f>IFERROR(__xludf.DUMMYFUNCTION("""COMPUTED_VALUE"""),45392.726388888885)</f>
        <v>45392.72639</v>
      </c>
      <c r="J148" s="31">
        <f>IFERROR(__xludf.DUMMYFUNCTION("""COMPUTED_VALUE"""),5.17)</f>
        <v>5.17</v>
      </c>
      <c r="K148" s="32">
        <f>IFERROR(__xludf.DUMMYFUNCTION("""COMPUTED_VALUE"""),45394.73611111111)</f>
        <v>45394.73611</v>
      </c>
      <c r="L148" s="31">
        <f>IFERROR(__xludf.DUMMYFUNCTION("""COMPUTED_VALUE"""),97.52)</f>
        <v>97.52</v>
      </c>
      <c r="M148" s="32">
        <f>IFERROR(__xludf.DUMMYFUNCTION("""COMPUTED_VALUE"""),45392.726388888885)</f>
        <v>45392.72639</v>
      </c>
      <c r="N148" s="31">
        <f>IFERROR(__xludf.DUMMYFUNCTION("""COMPUTED_VALUE"""),5.24)</f>
        <v>5.24</v>
      </c>
      <c r="O148" s="32">
        <f>IFERROR(__xludf.DUMMYFUNCTION("""COMPUTED_VALUE"""),45392.6875)</f>
        <v>45392.6875</v>
      </c>
      <c r="P148" s="31">
        <f>IFERROR(__xludf.DUMMYFUNCTION("""COMPUTED_VALUE"""),542.51)</f>
        <v>542.51</v>
      </c>
      <c r="Q148" s="32">
        <f>IFERROR(__xludf.DUMMYFUNCTION("""COMPUTED_VALUE"""),45393.66666666667)</f>
        <v>45393.66667</v>
      </c>
      <c r="R148" s="31">
        <f>IFERROR(__xludf.DUMMYFUNCTION("""COMPUTED_VALUE"""),22.86)</f>
        <v>22.86</v>
      </c>
      <c r="S148" s="32">
        <f>IFERROR(__xludf.DUMMYFUNCTION("""COMPUTED_VALUE"""),45392.6875)</f>
        <v>45392.6875</v>
      </c>
      <c r="T148" s="31">
        <f>IFERROR(__xludf.DUMMYFUNCTION("""COMPUTED_VALUE"""),6.31)</f>
        <v>6.31</v>
      </c>
      <c r="U148" s="32">
        <f>IFERROR(__xludf.DUMMYFUNCTION("""COMPUTED_VALUE"""),45327.99861111111)</f>
        <v>45327.99861</v>
      </c>
      <c r="V148" s="31">
        <f>IFERROR(__xludf.DUMMYFUNCTION("""COMPUTED_VALUE"""),1.0739)</f>
        <v>1.0739</v>
      </c>
    </row>
    <row r="149" ht="15.75" customHeight="1">
      <c r="A149" s="32">
        <f>IFERROR(__xludf.DUMMYFUNCTION("""COMPUTED_VALUE"""),45394.73611111111)</f>
        <v>45394.73611</v>
      </c>
      <c r="B149" s="31">
        <f>IFERROR(__xludf.DUMMYFUNCTION("""COMPUTED_VALUE"""),97.15)</f>
        <v>97.15</v>
      </c>
      <c r="C149" s="32">
        <f>IFERROR(__xludf.DUMMYFUNCTION("""COMPUTED_VALUE"""),45397.726388888885)</f>
        <v>45397.72639</v>
      </c>
      <c r="D149" s="31">
        <f>IFERROR(__xludf.DUMMYFUNCTION("""COMPUTED_VALUE"""),5.21)</f>
        <v>5.21</v>
      </c>
      <c r="E149" s="32">
        <f>IFERROR(__xludf.DUMMYFUNCTION("""COMPUTED_VALUE"""),45397.73611111111)</f>
        <v>45397.73611</v>
      </c>
      <c r="F149" s="31">
        <f>IFERROR(__xludf.DUMMYFUNCTION("""COMPUTED_VALUE"""),97.18)</f>
        <v>97.18</v>
      </c>
      <c r="G149" s="32">
        <f>IFERROR(__xludf.DUMMYFUNCTION("""COMPUTED_VALUE"""),45393.726388888885)</f>
        <v>45393.72639</v>
      </c>
      <c r="H149" s="31">
        <f>IFERROR(__xludf.DUMMYFUNCTION("""COMPUTED_VALUE"""),5.14)</f>
        <v>5.14</v>
      </c>
      <c r="I149" s="32">
        <f>IFERROR(__xludf.DUMMYFUNCTION("""COMPUTED_VALUE"""),45393.726388888885)</f>
        <v>45393.72639</v>
      </c>
      <c r="J149" s="31">
        <f>IFERROR(__xludf.DUMMYFUNCTION("""COMPUTED_VALUE"""),5.16)</f>
        <v>5.16</v>
      </c>
      <c r="K149" s="32">
        <f>IFERROR(__xludf.DUMMYFUNCTION("""COMPUTED_VALUE"""),45397.73611111111)</f>
        <v>45397.73611</v>
      </c>
      <c r="L149" s="31">
        <f>IFERROR(__xludf.DUMMYFUNCTION("""COMPUTED_VALUE"""),97.26)</f>
        <v>97.26</v>
      </c>
      <c r="M149" s="32">
        <f>IFERROR(__xludf.DUMMYFUNCTION("""COMPUTED_VALUE"""),45393.726388888885)</f>
        <v>45393.72639</v>
      </c>
      <c r="N149" s="31">
        <f>IFERROR(__xludf.DUMMYFUNCTION("""COMPUTED_VALUE"""),5.23)</f>
        <v>5.23</v>
      </c>
      <c r="O149" s="32">
        <f>IFERROR(__xludf.DUMMYFUNCTION("""COMPUTED_VALUE"""),45393.6875)</f>
        <v>45393.6875</v>
      </c>
      <c r="P149" s="31">
        <f>IFERROR(__xludf.DUMMYFUNCTION("""COMPUTED_VALUE"""),542.23)</f>
        <v>542.23</v>
      </c>
      <c r="Q149" s="32">
        <f>IFERROR(__xludf.DUMMYFUNCTION("""COMPUTED_VALUE"""),45394.66666666667)</f>
        <v>45394.66667</v>
      </c>
      <c r="R149" s="31">
        <f>IFERROR(__xludf.DUMMYFUNCTION("""COMPUTED_VALUE"""),22.89)</f>
        <v>22.89</v>
      </c>
      <c r="S149" s="32">
        <f>IFERROR(__xludf.DUMMYFUNCTION("""COMPUTED_VALUE"""),45393.6875)</f>
        <v>45393.6875</v>
      </c>
      <c r="T149" s="31">
        <f>IFERROR(__xludf.DUMMYFUNCTION("""COMPUTED_VALUE"""),6.29)</f>
        <v>6.29</v>
      </c>
      <c r="U149" s="32">
        <f>IFERROR(__xludf.DUMMYFUNCTION("""COMPUTED_VALUE"""),45328.99861111111)</f>
        <v>45328.99861</v>
      </c>
      <c r="V149" s="31">
        <f>IFERROR(__xludf.DUMMYFUNCTION("""COMPUTED_VALUE"""),1.0757)</f>
        <v>1.0757</v>
      </c>
    </row>
    <row r="150" ht="15.75" customHeight="1">
      <c r="A150" s="32">
        <f>IFERROR(__xludf.DUMMYFUNCTION("""COMPUTED_VALUE"""),45397.73611111111)</f>
        <v>45397.73611</v>
      </c>
      <c r="B150" s="31">
        <f>IFERROR(__xludf.DUMMYFUNCTION("""COMPUTED_VALUE"""),96.76)</f>
        <v>96.76</v>
      </c>
      <c r="C150" s="32">
        <f>IFERROR(__xludf.DUMMYFUNCTION("""COMPUTED_VALUE"""),45398.726388888885)</f>
        <v>45398.72639</v>
      </c>
      <c r="D150" s="31">
        <f>IFERROR(__xludf.DUMMYFUNCTION("""COMPUTED_VALUE"""),5.2)</f>
        <v>5.2</v>
      </c>
      <c r="E150" s="32">
        <f>IFERROR(__xludf.DUMMYFUNCTION("""COMPUTED_VALUE"""),45398.73611111111)</f>
        <v>45398.73611</v>
      </c>
      <c r="F150" s="31">
        <f>IFERROR(__xludf.DUMMYFUNCTION("""COMPUTED_VALUE"""),97.14)</f>
        <v>97.14</v>
      </c>
      <c r="G150" s="32">
        <f>IFERROR(__xludf.DUMMYFUNCTION("""COMPUTED_VALUE"""),45394.726388888885)</f>
        <v>45394.72639</v>
      </c>
      <c r="H150" s="31">
        <f>IFERROR(__xludf.DUMMYFUNCTION("""COMPUTED_VALUE"""),5.15)</f>
        <v>5.15</v>
      </c>
      <c r="I150" s="32">
        <f>IFERROR(__xludf.DUMMYFUNCTION("""COMPUTED_VALUE"""),45394.726388888885)</f>
        <v>45394.72639</v>
      </c>
      <c r="J150" s="31">
        <f>IFERROR(__xludf.DUMMYFUNCTION("""COMPUTED_VALUE"""),5.17)</f>
        <v>5.17</v>
      </c>
      <c r="K150" s="32">
        <f>IFERROR(__xludf.DUMMYFUNCTION("""COMPUTED_VALUE"""),45398.73611111111)</f>
        <v>45398.73611</v>
      </c>
      <c r="L150" s="31">
        <f>IFERROR(__xludf.DUMMYFUNCTION("""COMPUTED_VALUE"""),97.24)</f>
        <v>97.24</v>
      </c>
      <c r="M150" s="32">
        <f>IFERROR(__xludf.DUMMYFUNCTION("""COMPUTED_VALUE"""),45394.726388888885)</f>
        <v>45394.72639</v>
      </c>
      <c r="N150" s="31">
        <f>IFERROR(__xludf.DUMMYFUNCTION("""COMPUTED_VALUE"""),5.25)</f>
        <v>5.25</v>
      </c>
      <c r="O150" s="32">
        <f>IFERROR(__xludf.DUMMYFUNCTION("""COMPUTED_VALUE"""),45394.6875)</f>
        <v>45394.6875</v>
      </c>
      <c r="P150" s="31">
        <f>IFERROR(__xludf.DUMMYFUNCTION("""COMPUTED_VALUE"""),542.33)</f>
        <v>542.33</v>
      </c>
      <c r="Q150" s="32">
        <f>IFERROR(__xludf.DUMMYFUNCTION("""COMPUTED_VALUE"""),45397.66666666667)</f>
        <v>45397.66667</v>
      </c>
      <c r="R150" s="31">
        <f>IFERROR(__xludf.DUMMYFUNCTION("""COMPUTED_VALUE"""),22.72)</f>
        <v>22.72</v>
      </c>
      <c r="S150" s="32">
        <f>IFERROR(__xludf.DUMMYFUNCTION("""COMPUTED_VALUE"""),45394.6875)</f>
        <v>45394.6875</v>
      </c>
      <c r="T150" s="31">
        <f>IFERROR(__xludf.DUMMYFUNCTION("""COMPUTED_VALUE"""),6.29)</f>
        <v>6.29</v>
      </c>
      <c r="U150" s="32">
        <f>IFERROR(__xludf.DUMMYFUNCTION("""COMPUTED_VALUE"""),45329.99861111111)</f>
        <v>45329.99861</v>
      </c>
      <c r="V150" s="31">
        <f>IFERROR(__xludf.DUMMYFUNCTION("""COMPUTED_VALUE"""),1.0774)</f>
        <v>1.0774</v>
      </c>
    </row>
    <row r="151" ht="15.75" customHeight="1">
      <c r="A151" s="32">
        <f>IFERROR(__xludf.DUMMYFUNCTION("""COMPUTED_VALUE"""),45398.73611111111)</f>
        <v>45398.73611</v>
      </c>
      <c r="B151" s="31">
        <f>IFERROR(__xludf.DUMMYFUNCTION("""COMPUTED_VALUE"""),96.65)</f>
        <v>96.65</v>
      </c>
      <c r="C151" s="32">
        <f>IFERROR(__xludf.DUMMYFUNCTION("""COMPUTED_VALUE"""),45399.726388888885)</f>
        <v>45399.72639</v>
      </c>
      <c r="D151" s="31">
        <f>IFERROR(__xludf.DUMMYFUNCTION("""COMPUTED_VALUE"""),5.2)</f>
        <v>5.2</v>
      </c>
      <c r="E151" s="32">
        <f>IFERROR(__xludf.DUMMYFUNCTION("""COMPUTED_VALUE"""),45399.73611111111)</f>
        <v>45399.73611</v>
      </c>
      <c r="F151" s="31">
        <f>IFERROR(__xludf.DUMMYFUNCTION("""COMPUTED_VALUE"""),97.14)</f>
        <v>97.14</v>
      </c>
      <c r="G151" s="32">
        <f>IFERROR(__xludf.DUMMYFUNCTION("""COMPUTED_VALUE"""),45397.726388888885)</f>
        <v>45397.72639</v>
      </c>
      <c r="H151" s="31">
        <f>IFERROR(__xludf.DUMMYFUNCTION("""COMPUTED_VALUE"""),5.14)</f>
        <v>5.14</v>
      </c>
      <c r="I151" s="32">
        <f>IFERROR(__xludf.DUMMYFUNCTION("""COMPUTED_VALUE"""),45397.726388888885)</f>
        <v>45397.72639</v>
      </c>
      <c r="J151" s="31">
        <f>IFERROR(__xludf.DUMMYFUNCTION("""COMPUTED_VALUE"""),5.16)</f>
        <v>5.16</v>
      </c>
      <c r="K151" s="32">
        <f>IFERROR(__xludf.DUMMYFUNCTION("""COMPUTED_VALUE"""),45399.73611111111)</f>
        <v>45399.73611</v>
      </c>
      <c r="L151" s="31">
        <f>IFERROR(__xludf.DUMMYFUNCTION("""COMPUTED_VALUE"""),97.26)</f>
        <v>97.26</v>
      </c>
      <c r="M151" s="32">
        <f>IFERROR(__xludf.DUMMYFUNCTION("""COMPUTED_VALUE"""),45397.726388888885)</f>
        <v>45397.72639</v>
      </c>
      <c r="N151" s="31">
        <f>IFERROR(__xludf.DUMMYFUNCTION("""COMPUTED_VALUE"""),5.24)</f>
        <v>5.24</v>
      </c>
      <c r="O151" s="32">
        <f>IFERROR(__xludf.DUMMYFUNCTION("""COMPUTED_VALUE"""),45397.6875)</f>
        <v>45397.6875</v>
      </c>
      <c r="P151" s="31">
        <f>IFERROR(__xludf.DUMMYFUNCTION("""COMPUTED_VALUE"""),540.52)</f>
        <v>540.52</v>
      </c>
      <c r="Q151" s="32">
        <f>IFERROR(__xludf.DUMMYFUNCTION("""COMPUTED_VALUE"""),45398.66666666667)</f>
        <v>45398.66667</v>
      </c>
      <c r="R151" s="31">
        <f>IFERROR(__xludf.DUMMYFUNCTION("""COMPUTED_VALUE"""),22.68)</f>
        <v>22.68</v>
      </c>
      <c r="S151" s="32">
        <f>IFERROR(__xludf.DUMMYFUNCTION("""COMPUTED_VALUE"""),45397.6875)</f>
        <v>45397.6875</v>
      </c>
      <c r="T151" s="31">
        <f>IFERROR(__xludf.DUMMYFUNCTION("""COMPUTED_VALUE"""),6.28)</f>
        <v>6.28</v>
      </c>
      <c r="U151" s="32">
        <f>IFERROR(__xludf.DUMMYFUNCTION("""COMPUTED_VALUE"""),45330.99861111111)</f>
        <v>45330.99861</v>
      </c>
      <c r="V151" s="31">
        <f>IFERROR(__xludf.DUMMYFUNCTION("""COMPUTED_VALUE"""),1.07761)</f>
        <v>1.07761</v>
      </c>
    </row>
    <row r="152" ht="15.75" customHeight="1">
      <c r="A152" s="32">
        <f>IFERROR(__xludf.DUMMYFUNCTION("""COMPUTED_VALUE"""),45399.73611111111)</f>
        <v>45399.73611</v>
      </c>
      <c r="B152" s="31">
        <f>IFERROR(__xludf.DUMMYFUNCTION("""COMPUTED_VALUE"""),96.68)</f>
        <v>96.68</v>
      </c>
      <c r="C152" s="32">
        <f>IFERROR(__xludf.DUMMYFUNCTION("""COMPUTED_VALUE"""),45400.726388888885)</f>
        <v>45400.72639</v>
      </c>
      <c r="D152" s="31">
        <f>IFERROR(__xludf.DUMMYFUNCTION("""COMPUTED_VALUE"""),5.2)</f>
        <v>5.2</v>
      </c>
      <c r="E152" s="32">
        <f>IFERROR(__xludf.DUMMYFUNCTION("""COMPUTED_VALUE"""),45400.73611111111)</f>
        <v>45400.73611</v>
      </c>
      <c r="F152" s="31">
        <f>IFERROR(__xludf.DUMMYFUNCTION("""COMPUTED_VALUE"""),96.86)</f>
        <v>96.86</v>
      </c>
      <c r="G152" s="32">
        <f>IFERROR(__xludf.DUMMYFUNCTION("""COMPUTED_VALUE"""),45398.726388888885)</f>
        <v>45398.72639</v>
      </c>
      <c r="H152" s="31">
        <f>IFERROR(__xludf.DUMMYFUNCTION("""COMPUTED_VALUE"""),5.14)</f>
        <v>5.14</v>
      </c>
      <c r="I152" s="32">
        <f>IFERROR(__xludf.DUMMYFUNCTION("""COMPUTED_VALUE"""),45398.726388888885)</f>
        <v>45398.72639</v>
      </c>
      <c r="J152" s="31">
        <f>IFERROR(__xludf.DUMMYFUNCTION("""COMPUTED_VALUE"""),5.16)</f>
        <v>5.16</v>
      </c>
      <c r="K152" s="32">
        <f>IFERROR(__xludf.DUMMYFUNCTION("""COMPUTED_VALUE"""),45400.73611111111)</f>
        <v>45400.73611</v>
      </c>
      <c r="L152" s="31">
        <f>IFERROR(__xludf.DUMMYFUNCTION("""COMPUTED_VALUE"""),96.92)</f>
        <v>96.92</v>
      </c>
      <c r="M152" s="32">
        <f>IFERROR(__xludf.DUMMYFUNCTION("""COMPUTED_VALUE"""),45398.726388888885)</f>
        <v>45398.72639</v>
      </c>
      <c r="N152" s="31">
        <f>IFERROR(__xludf.DUMMYFUNCTION("""COMPUTED_VALUE"""),5.22)</f>
        <v>5.22</v>
      </c>
      <c r="O152" s="32">
        <f>IFERROR(__xludf.DUMMYFUNCTION("""COMPUTED_VALUE"""),45398.6875)</f>
        <v>45398.6875</v>
      </c>
      <c r="P152" s="31">
        <f>IFERROR(__xludf.DUMMYFUNCTION("""COMPUTED_VALUE"""),532.12)</f>
        <v>532.12</v>
      </c>
      <c r="Q152" s="32">
        <f>IFERROR(__xludf.DUMMYFUNCTION("""COMPUTED_VALUE"""),45399.66666666667)</f>
        <v>45399.66667</v>
      </c>
      <c r="R152" s="31">
        <f>IFERROR(__xludf.DUMMYFUNCTION("""COMPUTED_VALUE"""),22.71)</f>
        <v>22.71</v>
      </c>
      <c r="S152" s="32">
        <f>IFERROR(__xludf.DUMMYFUNCTION("""COMPUTED_VALUE"""),45398.6875)</f>
        <v>45398.6875</v>
      </c>
      <c r="T152" s="31">
        <f>IFERROR(__xludf.DUMMYFUNCTION("""COMPUTED_VALUE"""),6.24)</f>
        <v>6.24</v>
      </c>
      <c r="U152" s="32">
        <f>IFERROR(__xludf.DUMMYFUNCTION("""COMPUTED_VALUE"""),45331.99861111111)</f>
        <v>45331.99861</v>
      </c>
      <c r="V152" s="31">
        <f>IFERROR(__xludf.DUMMYFUNCTION("""COMPUTED_VALUE"""),1.0759)</f>
        <v>1.0759</v>
      </c>
    </row>
    <row r="153" ht="15.75" customHeight="1">
      <c r="A153" s="32">
        <f>IFERROR(__xludf.DUMMYFUNCTION("""COMPUTED_VALUE"""),45400.73611111111)</f>
        <v>45400.73611</v>
      </c>
      <c r="B153" s="31">
        <f>IFERROR(__xludf.DUMMYFUNCTION("""COMPUTED_VALUE"""),96.42)</f>
        <v>96.42</v>
      </c>
      <c r="C153" s="32">
        <f>IFERROR(__xludf.DUMMYFUNCTION("""COMPUTED_VALUE"""),45401.726388888885)</f>
        <v>45401.72639</v>
      </c>
      <c r="D153" s="31">
        <f>IFERROR(__xludf.DUMMYFUNCTION("""COMPUTED_VALUE"""),5.19)</f>
        <v>5.19</v>
      </c>
      <c r="E153" s="32">
        <f>IFERROR(__xludf.DUMMYFUNCTION("""COMPUTED_VALUE"""),45401.73611111111)</f>
        <v>45401.73611</v>
      </c>
      <c r="F153" s="31">
        <f>IFERROR(__xludf.DUMMYFUNCTION("""COMPUTED_VALUE"""),96.87)</f>
        <v>96.87</v>
      </c>
      <c r="G153" s="32">
        <f>IFERROR(__xludf.DUMMYFUNCTION("""COMPUTED_VALUE"""),45399.726388888885)</f>
        <v>45399.72639</v>
      </c>
      <c r="H153" s="31">
        <f>IFERROR(__xludf.DUMMYFUNCTION("""COMPUTED_VALUE"""),5.14)</f>
        <v>5.14</v>
      </c>
      <c r="I153" s="32">
        <f>IFERROR(__xludf.DUMMYFUNCTION("""COMPUTED_VALUE"""),45399.726388888885)</f>
        <v>45399.72639</v>
      </c>
      <c r="J153" s="31">
        <f>IFERROR(__xludf.DUMMYFUNCTION("""COMPUTED_VALUE"""),5.17)</f>
        <v>5.17</v>
      </c>
      <c r="K153" s="32">
        <f>IFERROR(__xludf.DUMMYFUNCTION("""COMPUTED_VALUE"""),45401.73611111111)</f>
        <v>45401.73611</v>
      </c>
      <c r="L153" s="31">
        <f>IFERROR(__xludf.DUMMYFUNCTION("""COMPUTED_VALUE"""),97.09)</f>
        <v>97.09</v>
      </c>
      <c r="M153" s="32">
        <f>IFERROR(__xludf.DUMMYFUNCTION("""COMPUTED_VALUE"""),45399.726388888885)</f>
        <v>45399.72639</v>
      </c>
      <c r="N153" s="31">
        <f>IFERROR(__xludf.DUMMYFUNCTION("""COMPUTED_VALUE"""),5.22)</f>
        <v>5.22</v>
      </c>
      <c r="O153" s="32">
        <f>IFERROR(__xludf.DUMMYFUNCTION("""COMPUTED_VALUE"""),45399.6875)</f>
        <v>45399.6875</v>
      </c>
      <c r="P153" s="31">
        <f>IFERROR(__xludf.DUMMYFUNCTION("""COMPUTED_VALUE"""),529.37)</f>
        <v>529.37</v>
      </c>
      <c r="Q153" s="32">
        <f>IFERROR(__xludf.DUMMYFUNCTION("""COMPUTED_VALUE"""),45400.66666666667)</f>
        <v>45400.66667</v>
      </c>
      <c r="R153" s="31">
        <f>IFERROR(__xludf.DUMMYFUNCTION("""COMPUTED_VALUE"""),22.65)</f>
        <v>22.65</v>
      </c>
      <c r="S153" s="32">
        <f>IFERROR(__xludf.DUMMYFUNCTION("""COMPUTED_VALUE"""),45399.6875)</f>
        <v>45399.6875</v>
      </c>
      <c r="T153" s="31">
        <f>IFERROR(__xludf.DUMMYFUNCTION("""COMPUTED_VALUE"""),6.25)</f>
        <v>6.25</v>
      </c>
      <c r="U153" s="32">
        <f>IFERROR(__xludf.DUMMYFUNCTION("""COMPUTED_VALUE"""),45332.99861111111)</f>
        <v>45332.99861</v>
      </c>
      <c r="V153" s="31">
        <f>IFERROR(__xludf.DUMMYFUNCTION("""COMPUTED_VALUE"""),1.0759)</f>
        <v>1.0759</v>
      </c>
    </row>
    <row r="154" ht="15.75" customHeight="1">
      <c r="A154" s="32">
        <f>IFERROR(__xludf.DUMMYFUNCTION("""COMPUTED_VALUE"""),45401.73611111111)</f>
        <v>45401.73611</v>
      </c>
      <c r="B154" s="31">
        <f>IFERROR(__xludf.DUMMYFUNCTION("""COMPUTED_VALUE"""),96.47)</f>
        <v>96.47</v>
      </c>
      <c r="C154" s="32">
        <f>IFERROR(__xludf.DUMMYFUNCTION("""COMPUTED_VALUE"""),45404.726388888885)</f>
        <v>45404.72639</v>
      </c>
      <c r="D154" s="31">
        <f>IFERROR(__xludf.DUMMYFUNCTION("""COMPUTED_VALUE"""),5.21)</f>
        <v>5.21</v>
      </c>
      <c r="E154" s="32">
        <f>IFERROR(__xludf.DUMMYFUNCTION("""COMPUTED_VALUE"""),45404.73611111111)</f>
        <v>45404.73611</v>
      </c>
      <c r="F154" s="31">
        <f>IFERROR(__xludf.DUMMYFUNCTION("""COMPUTED_VALUE"""),97.06)</f>
        <v>97.06</v>
      </c>
      <c r="G154" s="32">
        <f>IFERROR(__xludf.DUMMYFUNCTION("""COMPUTED_VALUE"""),45400.726388888885)</f>
        <v>45400.72639</v>
      </c>
      <c r="H154" s="31">
        <f>IFERROR(__xludf.DUMMYFUNCTION("""COMPUTED_VALUE"""),5.14)</f>
        <v>5.14</v>
      </c>
      <c r="I154" s="32">
        <f>IFERROR(__xludf.DUMMYFUNCTION("""COMPUTED_VALUE"""),45400.726388888885)</f>
        <v>45400.72639</v>
      </c>
      <c r="J154" s="31">
        <f>IFERROR(__xludf.DUMMYFUNCTION("""COMPUTED_VALUE"""),5.16)</f>
        <v>5.16</v>
      </c>
      <c r="K154" s="32">
        <f>IFERROR(__xludf.DUMMYFUNCTION("""COMPUTED_VALUE"""),45404.73611111111)</f>
        <v>45404.73611</v>
      </c>
      <c r="L154" s="31">
        <f>IFERROR(__xludf.DUMMYFUNCTION("""COMPUTED_VALUE"""),97.35)</f>
        <v>97.35</v>
      </c>
      <c r="M154" s="32">
        <f>IFERROR(__xludf.DUMMYFUNCTION("""COMPUTED_VALUE"""),45400.726388888885)</f>
        <v>45400.72639</v>
      </c>
      <c r="N154" s="31">
        <f>IFERROR(__xludf.DUMMYFUNCTION("""COMPUTED_VALUE"""),5.22)</f>
        <v>5.22</v>
      </c>
      <c r="O154" s="32">
        <f>IFERROR(__xludf.DUMMYFUNCTION("""COMPUTED_VALUE"""),45400.6875)</f>
        <v>45400.6875</v>
      </c>
      <c r="P154" s="31">
        <f>IFERROR(__xludf.DUMMYFUNCTION("""COMPUTED_VALUE"""),531.29)</f>
        <v>531.29</v>
      </c>
      <c r="Q154" s="32">
        <f>IFERROR(__xludf.DUMMYFUNCTION("""COMPUTED_VALUE"""),45401.66666666667)</f>
        <v>45401.66667</v>
      </c>
      <c r="R154" s="31">
        <f>IFERROR(__xludf.DUMMYFUNCTION("""COMPUTED_VALUE"""),22.73)</f>
        <v>22.73</v>
      </c>
      <c r="S154" s="32">
        <f>IFERROR(__xludf.DUMMYFUNCTION("""COMPUTED_VALUE"""),45400.6875)</f>
        <v>45400.6875</v>
      </c>
      <c r="T154" s="31">
        <f>IFERROR(__xludf.DUMMYFUNCTION("""COMPUTED_VALUE"""),6.26)</f>
        <v>6.26</v>
      </c>
      <c r="U154" s="32">
        <f>IFERROR(__xludf.DUMMYFUNCTION("""COMPUTED_VALUE"""),45333.99861111111)</f>
        <v>45333.99861</v>
      </c>
      <c r="V154" s="31">
        <f>IFERROR(__xludf.DUMMYFUNCTION("""COMPUTED_VALUE"""),1.07976)</f>
        <v>1.07976</v>
      </c>
    </row>
    <row r="155" ht="15.75" customHeight="1">
      <c r="A155" s="32">
        <f>IFERROR(__xludf.DUMMYFUNCTION("""COMPUTED_VALUE"""),45404.73611111111)</f>
        <v>45404.73611</v>
      </c>
      <c r="B155" s="31">
        <f>IFERROR(__xludf.DUMMYFUNCTION("""COMPUTED_VALUE"""),96.73)</f>
        <v>96.73</v>
      </c>
      <c r="C155" s="32">
        <f>IFERROR(__xludf.DUMMYFUNCTION("""COMPUTED_VALUE"""),45405.726388888885)</f>
        <v>45405.72639</v>
      </c>
      <c r="D155" s="31">
        <f>IFERROR(__xludf.DUMMYFUNCTION("""COMPUTED_VALUE"""),5.2)</f>
        <v>5.2</v>
      </c>
      <c r="E155" s="32">
        <f>IFERROR(__xludf.DUMMYFUNCTION("""COMPUTED_VALUE"""),45405.73611111111)</f>
        <v>45405.73611</v>
      </c>
      <c r="F155" s="31">
        <f>IFERROR(__xludf.DUMMYFUNCTION("""COMPUTED_VALUE"""),96.7)</f>
        <v>96.7</v>
      </c>
      <c r="G155" s="32">
        <f>IFERROR(__xludf.DUMMYFUNCTION("""COMPUTED_VALUE"""),45401.726388888885)</f>
        <v>45401.72639</v>
      </c>
      <c r="H155" s="31">
        <f>IFERROR(__xludf.DUMMYFUNCTION("""COMPUTED_VALUE"""),5.15)</f>
        <v>5.15</v>
      </c>
      <c r="I155" s="32">
        <f>IFERROR(__xludf.DUMMYFUNCTION("""COMPUTED_VALUE"""),45401.726388888885)</f>
        <v>45401.72639</v>
      </c>
      <c r="J155" s="31">
        <f>IFERROR(__xludf.DUMMYFUNCTION("""COMPUTED_VALUE"""),5.16)</f>
        <v>5.16</v>
      </c>
      <c r="K155" s="32">
        <f>IFERROR(__xludf.DUMMYFUNCTION("""COMPUTED_VALUE"""),45405.73611111111)</f>
        <v>45405.73611</v>
      </c>
      <c r="L155" s="31">
        <f>IFERROR(__xludf.DUMMYFUNCTION("""COMPUTED_VALUE"""),97.01)</f>
        <v>97.01</v>
      </c>
      <c r="M155" s="32">
        <f>IFERROR(__xludf.DUMMYFUNCTION("""COMPUTED_VALUE"""),45401.726388888885)</f>
        <v>45401.72639</v>
      </c>
      <c r="N155" s="31">
        <f>IFERROR(__xludf.DUMMYFUNCTION("""COMPUTED_VALUE"""),5.22)</f>
        <v>5.22</v>
      </c>
      <c r="O155" s="32">
        <f>IFERROR(__xludf.DUMMYFUNCTION("""COMPUTED_VALUE"""),45401.6875)</f>
        <v>45401.6875</v>
      </c>
      <c r="P155" s="31">
        <f>IFERROR(__xludf.DUMMYFUNCTION("""COMPUTED_VALUE"""),525.23)</f>
        <v>525.23</v>
      </c>
      <c r="Q155" s="32">
        <f>IFERROR(__xludf.DUMMYFUNCTION("""COMPUTED_VALUE"""),45404.66666666667)</f>
        <v>45404.66667</v>
      </c>
      <c r="R155" s="31">
        <f>IFERROR(__xludf.DUMMYFUNCTION("""COMPUTED_VALUE"""),22.82)</f>
        <v>22.82</v>
      </c>
      <c r="S155" s="32">
        <f>IFERROR(__xludf.DUMMYFUNCTION("""COMPUTED_VALUE"""),45401.6875)</f>
        <v>45401.6875</v>
      </c>
      <c r="T155" s="31">
        <f>IFERROR(__xludf.DUMMYFUNCTION("""COMPUTED_VALUE"""),6.27)</f>
        <v>6.27</v>
      </c>
      <c r="U155" s="32">
        <f>IFERROR(__xludf.DUMMYFUNCTION("""COMPUTED_VALUE"""),45334.99861111111)</f>
        <v>45334.99861</v>
      </c>
      <c r="V155" s="31">
        <f>IFERROR(__xludf.DUMMYFUNCTION("""COMPUTED_VALUE"""),1.07712)</f>
        <v>1.07712</v>
      </c>
    </row>
    <row r="156" ht="15.75" customHeight="1">
      <c r="A156" s="32">
        <f>IFERROR(__xludf.DUMMYFUNCTION("""COMPUTED_VALUE"""),45405.73611111111)</f>
        <v>45405.73611</v>
      </c>
      <c r="B156" s="31">
        <f>IFERROR(__xludf.DUMMYFUNCTION("""COMPUTED_VALUE"""),96.41)</f>
        <v>96.41</v>
      </c>
      <c r="C156" s="32">
        <f>IFERROR(__xludf.DUMMYFUNCTION("""COMPUTED_VALUE"""),45406.726388888885)</f>
        <v>45406.72639</v>
      </c>
      <c r="D156" s="31">
        <f>IFERROR(__xludf.DUMMYFUNCTION("""COMPUTED_VALUE"""),5.19)</f>
        <v>5.19</v>
      </c>
      <c r="E156" s="32">
        <f>IFERROR(__xludf.DUMMYFUNCTION("""COMPUTED_VALUE"""),45406.73611111111)</f>
        <v>45406.73611</v>
      </c>
      <c r="F156" s="31">
        <f>IFERROR(__xludf.DUMMYFUNCTION("""COMPUTED_VALUE"""),96.75)</f>
        <v>96.75</v>
      </c>
      <c r="G156" s="32">
        <f>IFERROR(__xludf.DUMMYFUNCTION("""COMPUTED_VALUE"""),45404.726388888885)</f>
        <v>45404.72639</v>
      </c>
      <c r="H156" s="31">
        <f>IFERROR(__xludf.DUMMYFUNCTION("""COMPUTED_VALUE"""),5.15)</f>
        <v>5.15</v>
      </c>
      <c r="I156" s="32">
        <f>IFERROR(__xludf.DUMMYFUNCTION("""COMPUTED_VALUE"""),45404.726388888885)</f>
        <v>45404.72639</v>
      </c>
      <c r="J156" s="31">
        <f>IFERROR(__xludf.DUMMYFUNCTION("""COMPUTED_VALUE"""),5.17)</f>
        <v>5.17</v>
      </c>
      <c r="K156" s="32">
        <f>IFERROR(__xludf.DUMMYFUNCTION("""COMPUTED_VALUE"""),45406.73611111111)</f>
        <v>45406.73611</v>
      </c>
      <c r="L156" s="31">
        <f>IFERROR(__xludf.DUMMYFUNCTION("""COMPUTED_VALUE"""),96.99)</f>
        <v>96.99</v>
      </c>
      <c r="M156" s="32">
        <f>IFERROR(__xludf.DUMMYFUNCTION("""COMPUTED_VALUE"""),45404.726388888885)</f>
        <v>45404.72639</v>
      </c>
      <c r="N156" s="31">
        <f>IFERROR(__xludf.DUMMYFUNCTION("""COMPUTED_VALUE"""),5.23)</f>
        <v>5.23</v>
      </c>
      <c r="O156" s="32">
        <f>IFERROR(__xludf.DUMMYFUNCTION("""COMPUTED_VALUE"""),45404.6875)</f>
        <v>45404.6875</v>
      </c>
      <c r="P156" s="31">
        <f>IFERROR(__xludf.DUMMYFUNCTION("""COMPUTED_VALUE"""),524.17)</f>
        <v>524.17</v>
      </c>
      <c r="Q156" s="32">
        <f>IFERROR(__xludf.DUMMYFUNCTION("""COMPUTED_VALUE"""),45405.66666666667)</f>
        <v>45405.66667</v>
      </c>
      <c r="R156" s="31">
        <f>IFERROR(__xludf.DUMMYFUNCTION("""COMPUTED_VALUE"""),22.94)</f>
        <v>22.94</v>
      </c>
      <c r="S156" s="32">
        <f>IFERROR(__xludf.DUMMYFUNCTION("""COMPUTED_VALUE"""),45404.6875)</f>
        <v>45404.6875</v>
      </c>
      <c r="T156" s="31">
        <f>IFERROR(__xludf.DUMMYFUNCTION("""COMPUTED_VALUE"""),6.28)</f>
        <v>6.28</v>
      </c>
      <c r="U156" s="32">
        <f>IFERROR(__xludf.DUMMYFUNCTION("""COMPUTED_VALUE"""),45335.99861111111)</f>
        <v>45335.99861</v>
      </c>
      <c r="V156" s="31">
        <f>IFERROR(__xludf.DUMMYFUNCTION("""COMPUTED_VALUE"""),1.07084)</f>
        <v>1.07084</v>
      </c>
    </row>
    <row r="157" ht="15.75" customHeight="1">
      <c r="A157" s="32">
        <f>IFERROR(__xludf.DUMMYFUNCTION("""COMPUTED_VALUE"""),45406.73611111111)</f>
        <v>45406.73611</v>
      </c>
      <c r="B157" s="31">
        <f>IFERROR(__xludf.DUMMYFUNCTION("""COMPUTED_VALUE"""),96.31)</f>
        <v>96.31</v>
      </c>
      <c r="C157" s="32">
        <f>IFERROR(__xludf.DUMMYFUNCTION("""COMPUTED_VALUE"""),45407.726388888885)</f>
        <v>45407.72639</v>
      </c>
      <c r="D157" s="31">
        <f>IFERROR(__xludf.DUMMYFUNCTION("""COMPUTED_VALUE"""),5.18)</f>
        <v>5.18</v>
      </c>
      <c r="E157" s="32">
        <f>IFERROR(__xludf.DUMMYFUNCTION("""COMPUTED_VALUE"""),45407.73611111111)</f>
        <v>45407.73611</v>
      </c>
      <c r="F157" s="31">
        <f>IFERROR(__xludf.DUMMYFUNCTION("""COMPUTED_VALUE"""),96.41)</f>
        <v>96.41</v>
      </c>
      <c r="G157" s="32">
        <f>IFERROR(__xludf.DUMMYFUNCTION("""COMPUTED_VALUE"""),45405.726388888885)</f>
        <v>45405.72639</v>
      </c>
      <c r="H157" s="31">
        <f>IFERROR(__xludf.DUMMYFUNCTION("""COMPUTED_VALUE"""),5.15)</f>
        <v>5.15</v>
      </c>
      <c r="I157" s="32">
        <f>IFERROR(__xludf.DUMMYFUNCTION("""COMPUTED_VALUE"""),45405.726388888885)</f>
        <v>45405.72639</v>
      </c>
      <c r="J157" s="31">
        <f>IFERROR(__xludf.DUMMYFUNCTION("""COMPUTED_VALUE"""),5.17)</f>
        <v>5.17</v>
      </c>
      <c r="K157" s="32">
        <f>IFERROR(__xludf.DUMMYFUNCTION("""COMPUTED_VALUE"""),45407.73611111111)</f>
        <v>45407.73611</v>
      </c>
      <c r="L157" s="31">
        <f>IFERROR(__xludf.DUMMYFUNCTION("""COMPUTED_VALUE"""),96.69)</f>
        <v>96.69</v>
      </c>
      <c r="M157" s="32">
        <f>IFERROR(__xludf.DUMMYFUNCTION("""COMPUTED_VALUE"""),45405.726388888885)</f>
        <v>45405.72639</v>
      </c>
      <c r="N157" s="31">
        <f>IFERROR(__xludf.DUMMYFUNCTION("""COMPUTED_VALUE"""),5.23)</f>
        <v>5.23</v>
      </c>
      <c r="O157" s="32">
        <f>IFERROR(__xludf.DUMMYFUNCTION("""COMPUTED_VALUE"""),45405.6875)</f>
        <v>45405.6875</v>
      </c>
      <c r="P157" s="31">
        <f>IFERROR(__xludf.DUMMYFUNCTION("""COMPUTED_VALUE"""),532.83)</f>
        <v>532.83</v>
      </c>
      <c r="Q157" s="32">
        <f>IFERROR(__xludf.DUMMYFUNCTION("""COMPUTED_VALUE"""),45406.66666666667)</f>
        <v>45406.66667</v>
      </c>
      <c r="R157" s="31">
        <f>IFERROR(__xludf.DUMMYFUNCTION("""COMPUTED_VALUE"""),22.9)</f>
        <v>22.9</v>
      </c>
      <c r="S157" s="32">
        <f>IFERROR(__xludf.DUMMYFUNCTION("""COMPUTED_VALUE"""),45405.6875)</f>
        <v>45405.6875</v>
      </c>
      <c r="T157" s="31">
        <f>IFERROR(__xludf.DUMMYFUNCTION("""COMPUTED_VALUE"""),6.31)</f>
        <v>6.31</v>
      </c>
      <c r="U157" s="32">
        <f>IFERROR(__xludf.DUMMYFUNCTION("""COMPUTED_VALUE"""),45336.99861111111)</f>
        <v>45336.99861</v>
      </c>
      <c r="V157" s="31">
        <f>IFERROR(__xludf.DUMMYFUNCTION("""COMPUTED_VALUE"""),1.07316)</f>
        <v>1.07316</v>
      </c>
    </row>
    <row r="158" ht="15.75" customHeight="1">
      <c r="A158" s="32">
        <f>IFERROR(__xludf.DUMMYFUNCTION("""COMPUTED_VALUE"""),45407.73611111111)</f>
        <v>45407.73611</v>
      </c>
      <c r="B158" s="31">
        <f>IFERROR(__xludf.DUMMYFUNCTION("""COMPUTED_VALUE"""),95.88)</f>
        <v>95.88</v>
      </c>
      <c r="C158" s="32">
        <f>IFERROR(__xludf.DUMMYFUNCTION("""COMPUTED_VALUE"""),45408.726388888885)</f>
        <v>45408.72639</v>
      </c>
      <c r="D158" s="31">
        <f>IFERROR(__xludf.DUMMYFUNCTION("""COMPUTED_VALUE"""),5.19)</f>
        <v>5.19</v>
      </c>
      <c r="E158" s="32">
        <f>IFERROR(__xludf.DUMMYFUNCTION("""COMPUTED_VALUE"""),45408.73611111111)</f>
        <v>45408.73611</v>
      </c>
      <c r="F158" s="31">
        <f>IFERROR(__xludf.DUMMYFUNCTION("""COMPUTED_VALUE"""),96.97)</f>
        <v>96.97</v>
      </c>
      <c r="G158" s="32">
        <f>IFERROR(__xludf.DUMMYFUNCTION("""COMPUTED_VALUE"""),45406.726388888885)</f>
        <v>45406.72639</v>
      </c>
      <c r="H158" s="31">
        <f>IFERROR(__xludf.DUMMYFUNCTION("""COMPUTED_VALUE"""),5.14)</f>
        <v>5.14</v>
      </c>
      <c r="I158" s="32">
        <f>IFERROR(__xludf.DUMMYFUNCTION("""COMPUTED_VALUE"""),45406.726388888885)</f>
        <v>45406.72639</v>
      </c>
      <c r="J158" s="31">
        <f>IFERROR(__xludf.DUMMYFUNCTION("""COMPUTED_VALUE"""),5.16)</f>
        <v>5.16</v>
      </c>
      <c r="K158" s="32">
        <f>IFERROR(__xludf.DUMMYFUNCTION("""COMPUTED_VALUE"""),45408.73611111111)</f>
        <v>45408.73611</v>
      </c>
      <c r="L158" s="31">
        <f>IFERROR(__xludf.DUMMYFUNCTION("""COMPUTED_VALUE"""),97.2)</f>
        <v>97.2</v>
      </c>
      <c r="M158" s="32">
        <f>IFERROR(__xludf.DUMMYFUNCTION("""COMPUTED_VALUE"""),45406.726388888885)</f>
        <v>45406.72639</v>
      </c>
      <c r="N158" s="31">
        <f>IFERROR(__xludf.DUMMYFUNCTION("""COMPUTED_VALUE"""),5.21)</f>
        <v>5.21</v>
      </c>
      <c r="O158" s="32">
        <f>IFERROR(__xludf.DUMMYFUNCTION("""COMPUTED_VALUE"""),45406.6875)</f>
        <v>45406.6875</v>
      </c>
      <c r="P158" s="31">
        <f>IFERROR(__xludf.DUMMYFUNCTION("""COMPUTED_VALUE"""),533.17)</f>
        <v>533.17</v>
      </c>
      <c r="Q158" s="32">
        <f>IFERROR(__xludf.DUMMYFUNCTION("""COMPUTED_VALUE"""),45407.66666666667)</f>
        <v>45407.66667</v>
      </c>
      <c r="R158" s="31">
        <f>IFERROR(__xludf.DUMMYFUNCTION("""COMPUTED_VALUE"""),22.84)</f>
        <v>22.84</v>
      </c>
      <c r="S158" s="32">
        <f>IFERROR(__xludf.DUMMYFUNCTION("""COMPUTED_VALUE"""),45406.6875)</f>
        <v>45406.6875</v>
      </c>
      <c r="T158" s="31">
        <f>IFERROR(__xludf.DUMMYFUNCTION("""COMPUTED_VALUE"""),6.3)</f>
        <v>6.3</v>
      </c>
      <c r="U158" s="32">
        <f>IFERROR(__xludf.DUMMYFUNCTION("""COMPUTED_VALUE"""),45337.99861111111)</f>
        <v>45337.99861</v>
      </c>
      <c r="V158" s="31">
        <f>IFERROR(__xludf.DUMMYFUNCTION("""COMPUTED_VALUE"""),1.07733)</f>
        <v>1.07733</v>
      </c>
    </row>
    <row r="159" ht="15.75" customHeight="1">
      <c r="A159" s="32">
        <f>IFERROR(__xludf.DUMMYFUNCTION("""COMPUTED_VALUE"""),45408.73611111111)</f>
        <v>45408.73611</v>
      </c>
      <c r="B159" s="31">
        <f>IFERROR(__xludf.DUMMYFUNCTION("""COMPUTED_VALUE"""),96.49)</f>
        <v>96.49</v>
      </c>
      <c r="C159" s="32">
        <f>IFERROR(__xludf.DUMMYFUNCTION("""COMPUTED_VALUE"""),45411.726388888885)</f>
        <v>45411.72639</v>
      </c>
      <c r="D159" s="31">
        <f>IFERROR(__xludf.DUMMYFUNCTION("""COMPUTED_VALUE"""),5.2)</f>
        <v>5.2</v>
      </c>
      <c r="E159" s="32">
        <f>IFERROR(__xludf.DUMMYFUNCTION("""COMPUTED_VALUE"""),45411.73611111111)</f>
        <v>45411.73611</v>
      </c>
      <c r="F159" s="31">
        <f>IFERROR(__xludf.DUMMYFUNCTION("""COMPUTED_VALUE"""),96.63)</f>
        <v>96.63</v>
      </c>
      <c r="G159" s="32">
        <f>IFERROR(__xludf.DUMMYFUNCTION("""COMPUTED_VALUE"""),45407.726388888885)</f>
        <v>45407.72639</v>
      </c>
      <c r="H159" s="31">
        <f>IFERROR(__xludf.DUMMYFUNCTION("""COMPUTED_VALUE"""),5.14)</f>
        <v>5.14</v>
      </c>
      <c r="I159" s="32">
        <f>IFERROR(__xludf.DUMMYFUNCTION("""COMPUTED_VALUE"""),45407.726388888885)</f>
        <v>45407.72639</v>
      </c>
      <c r="J159" s="31">
        <f>IFERROR(__xludf.DUMMYFUNCTION("""COMPUTED_VALUE"""),5.16)</f>
        <v>5.16</v>
      </c>
      <c r="K159" s="32">
        <f>IFERROR(__xludf.DUMMYFUNCTION("""COMPUTED_VALUE"""),45411.73611111111)</f>
        <v>45411.73611</v>
      </c>
      <c r="L159" s="31">
        <f>IFERROR(__xludf.DUMMYFUNCTION("""COMPUTED_VALUE"""),96.84)</f>
        <v>96.84</v>
      </c>
      <c r="M159" s="32">
        <f>IFERROR(__xludf.DUMMYFUNCTION("""COMPUTED_VALUE"""),45407.726388888885)</f>
        <v>45407.72639</v>
      </c>
      <c r="N159" s="31">
        <f>IFERROR(__xludf.DUMMYFUNCTION("""COMPUTED_VALUE"""),5.2)</f>
        <v>5.2</v>
      </c>
      <c r="O159" s="32">
        <f>IFERROR(__xludf.DUMMYFUNCTION("""COMPUTED_VALUE"""),45407.6875)</f>
        <v>45407.6875</v>
      </c>
      <c r="P159" s="31">
        <f>IFERROR(__xludf.DUMMYFUNCTION("""COMPUTED_VALUE"""),527.23)</f>
        <v>527.23</v>
      </c>
      <c r="Q159" s="32">
        <f>IFERROR(__xludf.DUMMYFUNCTION("""COMPUTED_VALUE"""),45408.66666666667)</f>
        <v>45408.66667</v>
      </c>
      <c r="R159" s="31">
        <f>IFERROR(__xludf.DUMMYFUNCTION("""COMPUTED_VALUE"""),22.89)</f>
        <v>22.89</v>
      </c>
      <c r="S159" s="32">
        <f>IFERROR(__xludf.DUMMYFUNCTION("""COMPUTED_VALUE"""),45407.6875)</f>
        <v>45407.6875</v>
      </c>
      <c r="T159" s="31">
        <f>IFERROR(__xludf.DUMMYFUNCTION("""COMPUTED_VALUE"""),6.27)</f>
        <v>6.27</v>
      </c>
      <c r="U159" s="32">
        <f>IFERROR(__xludf.DUMMYFUNCTION("""COMPUTED_VALUE"""),45338.99861111111)</f>
        <v>45338.99861</v>
      </c>
      <c r="V159" s="31">
        <f>IFERROR(__xludf.DUMMYFUNCTION("""COMPUTED_VALUE"""),1.07734)</f>
        <v>1.07734</v>
      </c>
    </row>
    <row r="160" ht="15.75" customHeight="1">
      <c r="A160" s="32">
        <f>IFERROR(__xludf.DUMMYFUNCTION("""COMPUTED_VALUE"""),45411.73611111111)</f>
        <v>45411.73611</v>
      </c>
      <c r="B160" s="31">
        <f>IFERROR(__xludf.DUMMYFUNCTION("""COMPUTED_VALUE"""),96.31)</f>
        <v>96.31</v>
      </c>
      <c r="C160" s="32">
        <f>IFERROR(__xludf.DUMMYFUNCTION("""COMPUTED_VALUE"""),45412.726388888885)</f>
        <v>45412.72639</v>
      </c>
      <c r="D160" s="31">
        <f>IFERROR(__xludf.DUMMYFUNCTION("""COMPUTED_VALUE"""),5.19)</f>
        <v>5.19</v>
      </c>
      <c r="E160" s="32">
        <f>IFERROR(__xludf.DUMMYFUNCTION("""COMPUTED_VALUE"""),45412.73611111111)</f>
        <v>45412.73611</v>
      </c>
      <c r="F160" s="31">
        <f>IFERROR(__xludf.DUMMYFUNCTION("""COMPUTED_VALUE"""),96.74)</f>
        <v>96.74</v>
      </c>
      <c r="G160" s="32">
        <f>IFERROR(__xludf.DUMMYFUNCTION("""COMPUTED_VALUE"""),45408.726388888885)</f>
        <v>45408.72639</v>
      </c>
      <c r="H160" s="31">
        <f>IFERROR(__xludf.DUMMYFUNCTION("""COMPUTED_VALUE"""),5.15)</f>
        <v>5.15</v>
      </c>
      <c r="I160" s="32">
        <f>IFERROR(__xludf.DUMMYFUNCTION("""COMPUTED_VALUE"""),45408.726388888885)</f>
        <v>45408.72639</v>
      </c>
      <c r="J160" s="31">
        <f>IFERROR(__xludf.DUMMYFUNCTION("""COMPUTED_VALUE"""),5.17)</f>
        <v>5.17</v>
      </c>
      <c r="K160" s="32">
        <f>IFERROR(__xludf.DUMMYFUNCTION("""COMPUTED_VALUE"""),45412.73611111111)</f>
        <v>45412.73611</v>
      </c>
      <c r="L160" s="31">
        <f>IFERROR(__xludf.DUMMYFUNCTION("""COMPUTED_VALUE"""),97.04)</f>
        <v>97.04</v>
      </c>
      <c r="M160" s="32">
        <f>IFERROR(__xludf.DUMMYFUNCTION("""COMPUTED_VALUE"""),45408.726388888885)</f>
        <v>45408.72639</v>
      </c>
      <c r="N160" s="31">
        <f>IFERROR(__xludf.DUMMYFUNCTION("""COMPUTED_VALUE"""),5.22)</f>
        <v>5.22</v>
      </c>
      <c r="O160" s="32">
        <f>IFERROR(__xludf.DUMMYFUNCTION("""COMPUTED_VALUE"""),45408.6875)</f>
        <v>45408.6875</v>
      </c>
      <c r="P160" s="31">
        <f>IFERROR(__xludf.DUMMYFUNCTION("""COMPUTED_VALUE"""),536.3)</f>
        <v>536.3</v>
      </c>
      <c r="Q160" s="32">
        <f>IFERROR(__xludf.DUMMYFUNCTION("""COMPUTED_VALUE"""),45411.66666666667)</f>
        <v>45411.66667</v>
      </c>
      <c r="R160" s="31">
        <f>IFERROR(__xludf.DUMMYFUNCTION("""COMPUTED_VALUE"""),22.95)</f>
        <v>22.95</v>
      </c>
      <c r="S160" s="32">
        <f>IFERROR(__xludf.DUMMYFUNCTION("""COMPUTED_VALUE"""),45408.6875)</f>
        <v>45408.6875</v>
      </c>
      <c r="T160" s="31">
        <f>IFERROR(__xludf.DUMMYFUNCTION("""COMPUTED_VALUE"""),6.31)</f>
        <v>6.31</v>
      </c>
      <c r="U160" s="32">
        <f>IFERROR(__xludf.DUMMYFUNCTION("""COMPUTED_VALUE"""),45339.99861111111)</f>
        <v>45339.99861</v>
      </c>
      <c r="V160" s="31">
        <f>IFERROR(__xludf.DUMMYFUNCTION("""COMPUTED_VALUE"""),1.07734)</f>
        <v>1.07734</v>
      </c>
    </row>
    <row r="161" ht="15.75" customHeight="1">
      <c r="A161" s="32">
        <f>IFERROR(__xludf.DUMMYFUNCTION("""COMPUTED_VALUE"""),45412.73611111111)</f>
        <v>45412.73611</v>
      </c>
      <c r="B161" s="31">
        <f>IFERROR(__xludf.DUMMYFUNCTION("""COMPUTED_VALUE"""),96.5)</f>
        <v>96.5</v>
      </c>
      <c r="C161" s="32">
        <f>IFERROR(__xludf.DUMMYFUNCTION("""COMPUTED_VALUE"""),45414.726388888885)</f>
        <v>45414.72639</v>
      </c>
      <c r="D161" s="31">
        <f>IFERROR(__xludf.DUMMYFUNCTION("""COMPUTED_VALUE"""),5.2)</f>
        <v>5.2</v>
      </c>
      <c r="E161" s="32">
        <f>IFERROR(__xludf.DUMMYFUNCTION("""COMPUTED_VALUE"""),45414.73611111111)</f>
        <v>45414.73611</v>
      </c>
      <c r="F161" s="31">
        <f>IFERROR(__xludf.DUMMYFUNCTION("""COMPUTED_VALUE"""),97.0)</f>
        <v>97</v>
      </c>
      <c r="G161" s="32">
        <f>IFERROR(__xludf.DUMMYFUNCTION("""COMPUTED_VALUE"""),45411.726388888885)</f>
        <v>45411.72639</v>
      </c>
      <c r="H161" s="31">
        <f>IFERROR(__xludf.DUMMYFUNCTION("""COMPUTED_VALUE"""),5.15)</f>
        <v>5.15</v>
      </c>
      <c r="I161" s="32">
        <f>IFERROR(__xludf.DUMMYFUNCTION("""COMPUTED_VALUE"""),45411.726388888885)</f>
        <v>45411.72639</v>
      </c>
      <c r="J161" s="31">
        <f>IFERROR(__xludf.DUMMYFUNCTION("""COMPUTED_VALUE"""),5.17)</f>
        <v>5.17</v>
      </c>
      <c r="K161" s="32">
        <f>IFERROR(__xludf.DUMMYFUNCTION("""COMPUTED_VALUE"""),45414.73611111111)</f>
        <v>45414.73611</v>
      </c>
      <c r="L161" s="31">
        <f>IFERROR(__xludf.DUMMYFUNCTION("""COMPUTED_VALUE"""),97.19)</f>
        <v>97.19</v>
      </c>
      <c r="M161" s="32">
        <f>IFERROR(__xludf.DUMMYFUNCTION("""COMPUTED_VALUE"""),45411.726388888885)</f>
        <v>45411.72639</v>
      </c>
      <c r="N161" s="31">
        <f>IFERROR(__xludf.DUMMYFUNCTION("""COMPUTED_VALUE"""),5.23)</f>
        <v>5.23</v>
      </c>
      <c r="O161" s="32">
        <f>IFERROR(__xludf.DUMMYFUNCTION("""COMPUTED_VALUE"""),45411.6875)</f>
        <v>45411.6875</v>
      </c>
      <c r="P161" s="31">
        <f>IFERROR(__xludf.DUMMYFUNCTION("""COMPUTED_VALUE"""),537.4)</f>
        <v>537.4</v>
      </c>
      <c r="Q161" s="32">
        <f>IFERROR(__xludf.DUMMYFUNCTION("""COMPUTED_VALUE"""),45412.66666666667)</f>
        <v>45412.66667</v>
      </c>
      <c r="R161" s="31">
        <f>IFERROR(__xludf.DUMMYFUNCTION("""COMPUTED_VALUE"""),22.82)</f>
        <v>22.82</v>
      </c>
      <c r="S161" s="32">
        <f>IFERROR(__xludf.DUMMYFUNCTION("""COMPUTED_VALUE"""),45411.6875)</f>
        <v>45411.6875</v>
      </c>
      <c r="T161" s="31">
        <f>IFERROR(__xludf.DUMMYFUNCTION("""COMPUTED_VALUE"""),6.32)</f>
        <v>6.32</v>
      </c>
      <c r="U161" s="32">
        <f>IFERROR(__xludf.DUMMYFUNCTION("""COMPUTED_VALUE"""),45340.99861111111)</f>
        <v>45340.99861</v>
      </c>
      <c r="V161" s="31">
        <f>IFERROR(__xludf.DUMMYFUNCTION("""COMPUTED_VALUE"""),1.07842)</f>
        <v>1.07842</v>
      </c>
    </row>
    <row r="162" ht="15.75" customHeight="1">
      <c r="A162" s="32">
        <f>IFERROR(__xludf.DUMMYFUNCTION("""COMPUTED_VALUE"""),45414.73611111111)</f>
        <v>45414.73611</v>
      </c>
      <c r="B162" s="31">
        <f>IFERROR(__xludf.DUMMYFUNCTION("""COMPUTED_VALUE"""),96.77)</f>
        <v>96.77</v>
      </c>
      <c r="C162" s="32">
        <f>IFERROR(__xludf.DUMMYFUNCTION("""COMPUTED_VALUE"""),45415.726388888885)</f>
        <v>45415.72639</v>
      </c>
      <c r="D162" s="31">
        <f>IFERROR(__xludf.DUMMYFUNCTION("""COMPUTED_VALUE"""),5.21)</f>
        <v>5.21</v>
      </c>
      <c r="E162" s="32">
        <f>IFERROR(__xludf.DUMMYFUNCTION("""COMPUTED_VALUE"""),45415.73611111111)</f>
        <v>45415.73611</v>
      </c>
      <c r="F162" s="31">
        <f>IFERROR(__xludf.DUMMYFUNCTION("""COMPUTED_VALUE"""),96.62)</f>
        <v>96.62</v>
      </c>
      <c r="G162" s="32">
        <f>IFERROR(__xludf.DUMMYFUNCTION("""COMPUTED_VALUE"""),45412.726388888885)</f>
        <v>45412.72639</v>
      </c>
      <c r="H162" s="31">
        <f>IFERROR(__xludf.DUMMYFUNCTION("""COMPUTED_VALUE"""),5.15)</f>
        <v>5.15</v>
      </c>
      <c r="I162" s="32">
        <f>IFERROR(__xludf.DUMMYFUNCTION("""COMPUTED_VALUE"""),45412.726388888885)</f>
        <v>45412.72639</v>
      </c>
      <c r="J162" s="31">
        <f>IFERROR(__xludf.DUMMYFUNCTION("""COMPUTED_VALUE"""),5.16)</f>
        <v>5.16</v>
      </c>
      <c r="K162" s="32">
        <f>IFERROR(__xludf.DUMMYFUNCTION("""COMPUTED_VALUE"""),45415.73611111111)</f>
        <v>45415.73611</v>
      </c>
      <c r="L162" s="31">
        <f>IFERROR(__xludf.DUMMYFUNCTION("""COMPUTED_VALUE"""),97.03)</f>
        <v>97.03</v>
      </c>
      <c r="M162" s="32">
        <f>IFERROR(__xludf.DUMMYFUNCTION("""COMPUTED_VALUE"""),45412.726388888885)</f>
        <v>45412.72639</v>
      </c>
      <c r="N162" s="31">
        <f>IFERROR(__xludf.DUMMYFUNCTION("""COMPUTED_VALUE"""),5.21)</f>
        <v>5.21</v>
      </c>
      <c r="O162" s="32">
        <f>IFERROR(__xludf.DUMMYFUNCTION("""COMPUTED_VALUE"""),45412.6875)</f>
        <v>45412.6875</v>
      </c>
      <c r="P162" s="31">
        <f>IFERROR(__xludf.DUMMYFUNCTION("""COMPUTED_VALUE"""),534.48)</f>
        <v>534.48</v>
      </c>
      <c r="Q162" s="32">
        <f>IFERROR(__xludf.DUMMYFUNCTION("""COMPUTED_VALUE"""),45413.66666666667)</f>
        <v>45413.66667</v>
      </c>
      <c r="R162" s="31">
        <f>IFERROR(__xludf.DUMMYFUNCTION("""COMPUTED_VALUE"""),22.8)</f>
        <v>22.8</v>
      </c>
      <c r="S162" s="32">
        <f>IFERROR(__xludf.DUMMYFUNCTION("""COMPUTED_VALUE"""),45412.6875)</f>
        <v>45412.6875</v>
      </c>
      <c r="T162" s="31">
        <f>IFERROR(__xludf.DUMMYFUNCTION("""COMPUTED_VALUE"""),6.3)</f>
        <v>6.3</v>
      </c>
      <c r="U162" s="32">
        <f>IFERROR(__xludf.DUMMYFUNCTION("""COMPUTED_VALUE"""),45341.99861111111)</f>
        <v>45341.99861</v>
      </c>
      <c r="V162" s="31">
        <f>IFERROR(__xludf.DUMMYFUNCTION("""COMPUTED_VALUE"""),1.07746)</f>
        <v>1.07746</v>
      </c>
    </row>
    <row r="163" ht="15.75" customHeight="1">
      <c r="A163" s="32">
        <f>IFERROR(__xludf.DUMMYFUNCTION("""COMPUTED_VALUE"""),45415.73611111111)</f>
        <v>45415.73611</v>
      </c>
      <c r="B163" s="31">
        <f>IFERROR(__xludf.DUMMYFUNCTION("""COMPUTED_VALUE"""),96.56)</f>
        <v>96.56</v>
      </c>
      <c r="C163" s="32">
        <f>IFERROR(__xludf.DUMMYFUNCTION("""COMPUTED_VALUE"""),45418.726388888885)</f>
        <v>45418.72639</v>
      </c>
      <c r="D163" s="31">
        <f>IFERROR(__xludf.DUMMYFUNCTION("""COMPUTED_VALUE"""),5.21)</f>
        <v>5.21</v>
      </c>
      <c r="E163" s="32">
        <f>IFERROR(__xludf.DUMMYFUNCTION("""COMPUTED_VALUE"""),45418.73611111111)</f>
        <v>45418.73611</v>
      </c>
      <c r="F163" s="31">
        <f>IFERROR(__xludf.DUMMYFUNCTION("""COMPUTED_VALUE"""),96.57)</f>
        <v>96.57</v>
      </c>
      <c r="G163" s="32">
        <f>IFERROR(__xludf.DUMMYFUNCTION("""COMPUTED_VALUE"""),45414.726388888885)</f>
        <v>45414.72639</v>
      </c>
      <c r="H163" s="31">
        <f>IFERROR(__xludf.DUMMYFUNCTION("""COMPUTED_VALUE"""),5.15)</f>
        <v>5.15</v>
      </c>
      <c r="I163" s="32">
        <f>IFERROR(__xludf.DUMMYFUNCTION("""COMPUTED_VALUE"""),45414.726388888885)</f>
        <v>45414.72639</v>
      </c>
      <c r="J163" s="31">
        <f>IFERROR(__xludf.DUMMYFUNCTION("""COMPUTED_VALUE"""),5.17)</f>
        <v>5.17</v>
      </c>
      <c r="K163" s="32">
        <f>IFERROR(__xludf.DUMMYFUNCTION("""COMPUTED_VALUE"""),45418.73611111111)</f>
        <v>45418.73611</v>
      </c>
      <c r="L163" s="31">
        <f>IFERROR(__xludf.DUMMYFUNCTION("""COMPUTED_VALUE"""),96.98)</f>
        <v>96.98</v>
      </c>
      <c r="M163" s="32">
        <f>IFERROR(__xludf.DUMMYFUNCTION("""COMPUTED_VALUE"""),45414.726388888885)</f>
        <v>45414.72639</v>
      </c>
      <c r="N163" s="31">
        <f>IFERROR(__xludf.DUMMYFUNCTION("""COMPUTED_VALUE"""),5.22)</f>
        <v>5.22</v>
      </c>
      <c r="O163" s="32">
        <f>IFERROR(__xludf.DUMMYFUNCTION("""COMPUTED_VALUE"""),45413.6875)</f>
        <v>45413.6875</v>
      </c>
      <c r="P163" s="31">
        <f>IFERROR(__xludf.DUMMYFUNCTION("""COMPUTED_VALUE"""),528.75)</f>
        <v>528.75</v>
      </c>
      <c r="Q163" s="32">
        <f>IFERROR(__xludf.DUMMYFUNCTION("""COMPUTED_VALUE"""),45414.66666666667)</f>
        <v>45414.66667</v>
      </c>
      <c r="R163" s="31">
        <f>IFERROR(__xludf.DUMMYFUNCTION("""COMPUTED_VALUE"""),22.91)</f>
        <v>22.91</v>
      </c>
      <c r="S163" s="32">
        <f>IFERROR(__xludf.DUMMYFUNCTION("""COMPUTED_VALUE"""),45413.6875)</f>
        <v>45413.6875</v>
      </c>
      <c r="T163" s="31">
        <f>IFERROR(__xludf.DUMMYFUNCTION("""COMPUTED_VALUE"""),6.3)</f>
        <v>6.3</v>
      </c>
      <c r="U163" s="32">
        <f>IFERROR(__xludf.DUMMYFUNCTION("""COMPUTED_VALUE"""),45342.99861111111)</f>
        <v>45342.99861</v>
      </c>
      <c r="V163" s="31">
        <f>IFERROR(__xludf.DUMMYFUNCTION("""COMPUTED_VALUE"""),1.08106)</f>
        <v>1.08106</v>
      </c>
    </row>
    <row r="164" ht="15.75" customHeight="1">
      <c r="A164" s="32">
        <f>IFERROR(__xludf.DUMMYFUNCTION("""COMPUTED_VALUE"""),45418.73611111111)</f>
        <v>45418.73611</v>
      </c>
      <c r="B164" s="31">
        <f>IFERROR(__xludf.DUMMYFUNCTION("""COMPUTED_VALUE"""),96.56)</f>
        <v>96.56</v>
      </c>
      <c r="C164" s="32">
        <f>IFERROR(__xludf.DUMMYFUNCTION("""COMPUTED_VALUE"""),45419.726388888885)</f>
        <v>45419.72639</v>
      </c>
      <c r="D164" s="31">
        <f>IFERROR(__xludf.DUMMYFUNCTION("""COMPUTED_VALUE"""),5.22)</f>
        <v>5.22</v>
      </c>
      <c r="E164" s="32">
        <f>IFERROR(__xludf.DUMMYFUNCTION("""COMPUTED_VALUE"""),45419.73611111111)</f>
        <v>45419.73611</v>
      </c>
      <c r="F164" s="31">
        <f>IFERROR(__xludf.DUMMYFUNCTION("""COMPUTED_VALUE"""),96.57)</f>
        <v>96.57</v>
      </c>
      <c r="G164" s="32">
        <f>IFERROR(__xludf.DUMMYFUNCTION("""COMPUTED_VALUE"""),45415.726388888885)</f>
        <v>45415.72639</v>
      </c>
      <c r="H164" s="31">
        <f>IFERROR(__xludf.DUMMYFUNCTION("""COMPUTED_VALUE"""),5.15)</f>
        <v>5.15</v>
      </c>
      <c r="I164" s="32">
        <f>IFERROR(__xludf.DUMMYFUNCTION("""COMPUTED_VALUE"""),45415.726388888885)</f>
        <v>45415.72639</v>
      </c>
      <c r="J164" s="31">
        <f>IFERROR(__xludf.DUMMYFUNCTION("""COMPUTED_VALUE"""),5.18)</f>
        <v>5.18</v>
      </c>
      <c r="K164" s="32">
        <f>IFERROR(__xludf.DUMMYFUNCTION("""COMPUTED_VALUE"""),45419.73611111111)</f>
        <v>45419.73611</v>
      </c>
      <c r="L164" s="31">
        <f>IFERROR(__xludf.DUMMYFUNCTION("""COMPUTED_VALUE"""),97.16)</f>
        <v>97.16</v>
      </c>
      <c r="M164" s="32">
        <f>IFERROR(__xludf.DUMMYFUNCTION("""COMPUTED_VALUE"""),45415.726388888885)</f>
        <v>45415.72639</v>
      </c>
      <c r="N164" s="31">
        <f>IFERROR(__xludf.DUMMYFUNCTION("""COMPUTED_VALUE"""),5.23)</f>
        <v>5.23</v>
      </c>
      <c r="O164" s="32">
        <f>IFERROR(__xludf.DUMMYFUNCTION("""COMPUTED_VALUE"""),45414.6875)</f>
        <v>45414.6875</v>
      </c>
      <c r="P164" s="31">
        <f>IFERROR(__xludf.DUMMYFUNCTION("""COMPUTED_VALUE"""),529.58)</f>
        <v>529.58</v>
      </c>
      <c r="Q164" s="32">
        <f>IFERROR(__xludf.DUMMYFUNCTION("""COMPUTED_VALUE"""),45415.66666666667)</f>
        <v>45415.66667</v>
      </c>
      <c r="R164" s="31">
        <f>IFERROR(__xludf.DUMMYFUNCTION("""COMPUTED_VALUE"""),23.01)</f>
        <v>23.01</v>
      </c>
      <c r="S164" s="32">
        <f>IFERROR(__xludf.DUMMYFUNCTION("""COMPUTED_VALUE"""),45414.6875)</f>
        <v>45414.6875</v>
      </c>
      <c r="T164" s="31">
        <f>IFERROR(__xludf.DUMMYFUNCTION("""COMPUTED_VALUE"""),6.34)</f>
        <v>6.34</v>
      </c>
      <c r="U164" s="32">
        <f>IFERROR(__xludf.DUMMYFUNCTION("""COMPUTED_VALUE"""),45343.99861111111)</f>
        <v>45343.99861</v>
      </c>
      <c r="V164" s="31">
        <f>IFERROR(__xludf.DUMMYFUNCTION("""COMPUTED_VALUE"""),1.08199)</f>
        <v>1.08199</v>
      </c>
    </row>
    <row r="165" ht="15.75" customHeight="1">
      <c r="A165" s="32">
        <f>IFERROR(__xludf.DUMMYFUNCTION("""COMPUTED_VALUE"""),45419.73611111111)</f>
        <v>45419.73611</v>
      </c>
      <c r="B165" s="31">
        <f>IFERROR(__xludf.DUMMYFUNCTION("""COMPUTED_VALUE"""),96.76)</f>
        <v>96.76</v>
      </c>
      <c r="C165" s="32">
        <f>IFERROR(__xludf.DUMMYFUNCTION("""COMPUTED_VALUE"""),45420.726388888885)</f>
        <v>45420.72639</v>
      </c>
      <c r="D165" s="31">
        <f>IFERROR(__xludf.DUMMYFUNCTION("""COMPUTED_VALUE"""),5.21)</f>
        <v>5.21</v>
      </c>
      <c r="E165" s="32">
        <f>IFERROR(__xludf.DUMMYFUNCTION("""COMPUTED_VALUE"""),45420.73611111111)</f>
        <v>45420.73611</v>
      </c>
      <c r="F165" s="31">
        <f>IFERROR(__xludf.DUMMYFUNCTION("""COMPUTED_VALUE"""),96.81)</f>
        <v>96.81</v>
      </c>
      <c r="G165" s="32">
        <f>IFERROR(__xludf.DUMMYFUNCTION("""COMPUTED_VALUE"""),45418.726388888885)</f>
        <v>45418.72639</v>
      </c>
      <c r="H165" s="31">
        <f>IFERROR(__xludf.DUMMYFUNCTION("""COMPUTED_VALUE"""),5.15)</f>
        <v>5.15</v>
      </c>
      <c r="I165" s="32">
        <f>IFERROR(__xludf.DUMMYFUNCTION("""COMPUTED_VALUE"""),45418.726388888885)</f>
        <v>45418.72639</v>
      </c>
      <c r="J165" s="31">
        <f>IFERROR(__xludf.DUMMYFUNCTION("""COMPUTED_VALUE"""),5.18)</f>
        <v>5.18</v>
      </c>
      <c r="K165" s="32">
        <f>IFERROR(__xludf.DUMMYFUNCTION("""COMPUTED_VALUE"""),45420.73611111111)</f>
        <v>45420.73611</v>
      </c>
      <c r="L165" s="31">
        <f>IFERROR(__xludf.DUMMYFUNCTION("""COMPUTED_VALUE"""),97.28)</f>
        <v>97.28</v>
      </c>
      <c r="M165" s="32">
        <f>IFERROR(__xludf.DUMMYFUNCTION("""COMPUTED_VALUE"""),45418.726388888885)</f>
        <v>45418.72639</v>
      </c>
      <c r="N165" s="31">
        <f>IFERROR(__xludf.DUMMYFUNCTION("""COMPUTED_VALUE"""),5.24)</f>
        <v>5.24</v>
      </c>
      <c r="O165" s="32">
        <f>IFERROR(__xludf.DUMMYFUNCTION("""COMPUTED_VALUE"""),45415.6875)</f>
        <v>45415.6875</v>
      </c>
      <c r="P165" s="31">
        <f>IFERROR(__xludf.DUMMYFUNCTION("""COMPUTED_VALUE"""),538.71)</f>
        <v>538.71</v>
      </c>
      <c r="Q165" s="32">
        <f>IFERROR(__xludf.DUMMYFUNCTION("""COMPUTED_VALUE"""),45418.66666666667)</f>
        <v>45418.66667</v>
      </c>
      <c r="R165" s="31">
        <f>IFERROR(__xludf.DUMMYFUNCTION("""COMPUTED_VALUE"""),23.07)</f>
        <v>23.07</v>
      </c>
      <c r="S165" s="32">
        <f>IFERROR(__xludf.DUMMYFUNCTION("""COMPUTED_VALUE"""),45415.6875)</f>
        <v>45415.6875</v>
      </c>
      <c r="T165" s="31">
        <f>IFERROR(__xludf.DUMMYFUNCTION("""COMPUTED_VALUE"""),6.38)</f>
        <v>6.38</v>
      </c>
      <c r="U165" s="32">
        <f>IFERROR(__xludf.DUMMYFUNCTION("""COMPUTED_VALUE"""),45344.99861111111)</f>
        <v>45344.99861</v>
      </c>
      <c r="V165" s="31">
        <f>IFERROR(__xludf.DUMMYFUNCTION("""COMPUTED_VALUE"""),1.0824)</f>
        <v>1.0824</v>
      </c>
    </row>
    <row r="166" ht="15.75" customHeight="1">
      <c r="A166" s="32">
        <f>IFERROR(__xludf.DUMMYFUNCTION("""COMPUTED_VALUE"""),45420.73611111111)</f>
        <v>45420.73611</v>
      </c>
      <c r="B166" s="31">
        <f>IFERROR(__xludf.DUMMYFUNCTION("""COMPUTED_VALUE"""),96.82)</f>
        <v>96.82</v>
      </c>
      <c r="C166" s="32">
        <f>IFERROR(__xludf.DUMMYFUNCTION("""COMPUTED_VALUE"""),45421.726388888885)</f>
        <v>45421.72639</v>
      </c>
      <c r="D166" s="31">
        <f>IFERROR(__xludf.DUMMYFUNCTION("""COMPUTED_VALUE"""),5.21)</f>
        <v>5.21</v>
      </c>
      <c r="E166" s="32">
        <f>IFERROR(__xludf.DUMMYFUNCTION("""COMPUTED_VALUE"""),45421.73611111111)</f>
        <v>45421.73611</v>
      </c>
      <c r="F166" s="31">
        <f>IFERROR(__xludf.DUMMYFUNCTION("""COMPUTED_VALUE"""),96.57)</f>
        <v>96.57</v>
      </c>
      <c r="G166" s="32">
        <f>IFERROR(__xludf.DUMMYFUNCTION("""COMPUTED_VALUE"""),45419.726388888885)</f>
        <v>45419.72639</v>
      </c>
      <c r="H166" s="31">
        <f>IFERROR(__xludf.DUMMYFUNCTION("""COMPUTED_VALUE"""),5.16)</f>
        <v>5.16</v>
      </c>
      <c r="I166" s="32">
        <f>IFERROR(__xludf.DUMMYFUNCTION("""COMPUTED_VALUE"""),45419.726388888885)</f>
        <v>45419.72639</v>
      </c>
      <c r="J166" s="31">
        <f>IFERROR(__xludf.DUMMYFUNCTION("""COMPUTED_VALUE"""),5.18)</f>
        <v>5.18</v>
      </c>
      <c r="K166" s="32">
        <f>IFERROR(__xludf.DUMMYFUNCTION("""COMPUTED_VALUE"""),45421.73611111111)</f>
        <v>45421.73611</v>
      </c>
      <c r="L166" s="31">
        <f>IFERROR(__xludf.DUMMYFUNCTION("""COMPUTED_VALUE"""),97.08)</f>
        <v>97.08</v>
      </c>
      <c r="M166" s="32">
        <f>IFERROR(__xludf.DUMMYFUNCTION("""COMPUTED_VALUE"""),45419.726388888885)</f>
        <v>45419.72639</v>
      </c>
      <c r="N166" s="31">
        <f>IFERROR(__xludf.DUMMYFUNCTION("""COMPUTED_VALUE"""),5.25)</f>
        <v>5.25</v>
      </c>
      <c r="O166" s="32">
        <f>IFERROR(__xludf.DUMMYFUNCTION("""COMPUTED_VALUE"""),45419.6875)</f>
        <v>45419.6875</v>
      </c>
      <c r="P166" s="31">
        <f>IFERROR(__xludf.DUMMYFUNCTION("""COMPUTED_VALUE"""),546.58)</f>
        <v>546.58</v>
      </c>
      <c r="Q166" s="32">
        <f>IFERROR(__xludf.DUMMYFUNCTION("""COMPUTED_VALUE"""),45419.66666666667)</f>
        <v>45419.66667</v>
      </c>
      <c r="R166" s="31">
        <f>IFERROR(__xludf.DUMMYFUNCTION("""COMPUTED_VALUE"""),23.07)</f>
        <v>23.07</v>
      </c>
      <c r="S166" s="32">
        <f>IFERROR(__xludf.DUMMYFUNCTION("""COMPUTED_VALUE"""),45419.6875)</f>
        <v>45419.6875</v>
      </c>
      <c r="T166" s="31">
        <f>IFERROR(__xludf.DUMMYFUNCTION("""COMPUTED_VALUE"""),6.4)</f>
        <v>6.4</v>
      </c>
      <c r="U166" s="32">
        <f>IFERROR(__xludf.DUMMYFUNCTION("""COMPUTED_VALUE"""),45345.99861111111)</f>
        <v>45345.99861</v>
      </c>
      <c r="V166" s="31">
        <f>IFERROR(__xludf.DUMMYFUNCTION("""COMPUTED_VALUE"""),1.0835)</f>
        <v>1.0835</v>
      </c>
    </row>
    <row r="167" ht="15.75" customHeight="1">
      <c r="A167" s="32">
        <f>IFERROR(__xludf.DUMMYFUNCTION("""COMPUTED_VALUE"""),45421.73611111111)</f>
        <v>45421.73611</v>
      </c>
      <c r="B167" s="31">
        <f>IFERROR(__xludf.DUMMYFUNCTION("""COMPUTED_VALUE"""),96.59)</f>
        <v>96.59</v>
      </c>
      <c r="C167" s="32">
        <f>IFERROR(__xludf.DUMMYFUNCTION("""COMPUTED_VALUE"""),45422.726388888885)</f>
        <v>45422.72639</v>
      </c>
      <c r="D167" s="31">
        <f>IFERROR(__xludf.DUMMYFUNCTION("""COMPUTED_VALUE"""),5.2)</f>
        <v>5.2</v>
      </c>
      <c r="E167" s="32">
        <f>IFERROR(__xludf.DUMMYFUNCTION("""COMPUTED_VALUE"""),45422.73611111111)</f>
        <v>45422.73611</v>
      </c>
      <c r="F167" s="31">
        <f>IFERROR(__xludf.DUMMYFUNCTION("""COMPUTED_VALUE"""),96.56)</f>
        <v>96.56</v>
      </c>
      <c r="G167" s="32">
        <f>IFERROR(__xludf.DUMMYFUNCTION("""COMPUTED_VALUE"""),45420.726388888885)</f>
        <v>45420.72639</v>
      </c>
      <c r="H167" s="31">
        <f>IFERROR(__xludf.DUMMYFUNCTION("""COMPUTED_VALUE"""),5.15)</f>
        <v>5.15</v>
      </c>
      <c r="I167" s="32">
        <f>IFERROR(__xludf.DUMMYFUNCTION("""COMPUTED_VALUE"""),45420.726388888885)</f>
        <v>45420.72639</v>
      </c>
      <c r="J167" s="31">
        <f>IFERROR(__xludf.DUMMYFUNCTION("""COMPUTED_VALUE"""),5.17)</f>
        <v>5.17</v>
      </c>
      <c r="K167" s="32">
        <f>IFERROR(__xludf.DUMMYFUNCTION("""COMPUTED_VALUE"""),45422.73611111111)</f>
        <v>45422.73611</v>
      </c>
      <c r="L167" s="31">
        <f>IFERROR(__xludf.DUMMYFUNCTION("""COMPUTED_VALUE"""),96.97)</f>
        <v>96.97</v>
      </c>
      <c r="M167" s="32">
        <f>IFERROR(__xludf.DUMMYFUNCTION("""COMPUTED_VALUE"""),45420.726388888885)</f>
        <v>45420.72639</v>
      </c>
      <c r="N167" s="31">
        <f>IFERROR(__xludf.DUMMYFUNCTION("""COMPUTED_VALUE"""),5.24)</f>
        <v>5.24</v>
      </c>
      <c r="O167" s="32">
        <f>IFERROR(__xludf.DUMMYFUNCTION("""COMPUTED_VALUE"""),45420.6875)</f>
        <v>45420.6875</v>
      </c>
      <c r="P167" s="31">
        <f>IFERROR(__xludf.DUMMYFUNCTION("""COMPUTED_VALUE"""),545.77)</f>
        <v>545.77</v>
      </c>
      <c r="Q167" s="32">
        <f>IFERROR(__xludf.DUMMYFUNCTION("""COMPUTED_VALUE"""),45420.66666666667)</f>
        <v>45420.66667</v>
      </c>
      <c r="R167" s="31">
        <f>IFERROR(__xludf.DUMMYFUNCTION("""COMPUTED_VALUE"""),23.05)</f>
        <v>23.05</v>
      </c>
      <c r="S167" s="32">
        <f>IFERROR(__xludf.DUMMYFUNCTION("""COMPUTED_VALUE"""),45420.6875)</f>
        <v>45420.6875</v>
      </c>
      <c r="T167" s="31">
        <f>IFERROR(__xludf.DUMMYFUNCTION("""COMPUTED_VALUE"""),6.38)</f>
        <v>6.38</v>
      </c>
      <c r="U167" s="32">
        <f>IFERROR(__xludf.DUMMYFUNCTION("""COMPUTED_VALUE"""),45346.99861111111)</f>
        <v>45346.99861</v>
      </c>
      <c r="V167" s="31">
        <f>IFERROR(__xludf.DUMMYFUNCTION("""COMPUTED_VALUE"""),1.0835)</f>
        <v>1.0835</v>
      </c>
    </row>
    <row r="168" ht="15.75" customHeight="1">
      <c r="A168" s="32">
        <f>IFERROR(__xludf.DUMMYFUNCTION("""COMPUTED_VALUE"""),45422.73611111111)</f>
        <v>45422.73611</v>
      </c>
      <c r="B168" s="31">
        <f>IFERROR(__xludf.DUMMYFUNCTION("""COMPUTED_VALUE"""),96.6)</f>
        <v>96.6</v>
      </c>
      <c r="C168" s="32">
        <f>IFERROR(__xludf.DUMMYFUNCTION("""COMPUTED_VALUE"""),45425.726388888885)</f>
        <v>45425.72639</v>
      </c>
      <c r="D168" s="31">
        <f>IFERROR(__xludf.DUMMYFUNCTION("""COMPUTED_VALUE"""),5.21)</f>
        <v>5.21</v>
      </c>
      <c r="E168" s="32">
        <f>IFERROR(__xludf.DUMMYFUNCTION("""COMPUTED_VALUE"""),45425.73611111111)</f>
        <v>45425.73611</v>
      </c>
      <c r="F168" s="31">
        <f>IFERROR(__xludf.DUMMYFUNCTION("""COMPUTED_VALUE"""),96.37)</f>
        <v>96.37</v>
      </c>
      <c r="G168" s="32">
        <f>IFERROR(__xludf.DUMMYFUNCTION("""COMPUTED_VALUE"""),45421.726388888885)</f>
        <v>45421.72639</v>
      </c>
      <c r="H168" s="31">
        <f>IFERROR(__xludf.DUMMYFUNCTION("""COMPUTED_VALUE"""),5.16)</f>
        <v>5.16</v>
      </c>
      <c r="I168" s="32">
        <f>IFERROR(__xludf.DUMMYFUNCTION("""COMPUTED_VALUE"""),45421.726388888885)</f>
        <v>45421.72639</v>
      </c>
      <c r="J168" s="31">
        <f>IFERROR(__xludf.DUMMYFUNCTION("""COMPUTED_VALUE"""),5.17)</f>
        <v>5.17</v>
      </c>
      <c r="K168" s="32">
        <f>IFERROR(__xludf.DUMMYFUNCTION("""COMPUTED_VALUE"""),45425.73611111111)</f>
        <v>45425.73611</v>
      </c>
      <c r="L168" s="31">
        <f>IFERROR(__xludf.DUMMYFUNCTION("""COMPUTED_VALUE"""),96.77)</f>
        <v>96.77</v>
      </c>
      <c r="M168" s="32">
        <f>IFERROR(__xludf.DUMMYFUNCTION("""COMPUTED_VALUE"""),45421.726388888885)</f>
        <v>45421.72639</v>
      </c>
      <c r="N168" s="31">
        <f>IFERROR(__xludf.DUMMYFUNCTION("""COMPUTED_VALUE"""),5.24)</f>
        <v>5.24</v>
      </c>
      <c r="O168" s="32">
        <f>IFERROR(__xludf.DUMMYFUNCTION("""COMPUTED_VALUE"""),45421.6875)</f>
        <v>45421.6875</v>
      </c>
      <c r="P168" s="31">
        <f>IFERROR(__xludf.DUMMYFUNCTION("""COMPUTED_VALUE"""),548.09)</f>
        <v>548.09</v>
      </c>
      <c r="Q168" s="32">
        <f>IFERROR(__xludf.DUMMYFUNCTION("""COMPUTED_VALUE"""),45421.66666666667)</f>
        <v>45421.66667</v>
      </c>
      <c r="R168" s="31">
        <f>IFERROR(__xludf.DUMMYFUNCTION("""COMPUTED_VALUE"""),23.06)</f>
        <v>23.06</v>
      </c>
      <c r="S168" s="32">
        <f>IFERROR(__xludf.DUMMYFUNCTION("""COMPUTED_VALUE"""),45421.6875)</f>
        <v>45421.6875</v>
      </c>
      <c r="T168" s="31">
        <f>IFERROR(__xludf.DUMMYFUNCTION("""COMPUTED_VALUE"""),6.37)</f>
        <v>6.37</v>
      </c>
      <c r="U168" s="32">
        <f>IFERROR(__xludf.DUMMYFUNCTION("""COMPUTED_VALUE"""),45347.99861111111)</f>
        <v>45347.99861</v>
      </c>
      <c r="V168" s="31">
        <f>IFERROR(__xludf.DUMMYFUNCTION("""COMPUTED_VALUE"""),1.08192)</f>
        <v>1.08192</v>
      </c>
    </row>
    <row r="169" ht="15.75" customHeight="1">
      <c r="A169" s="32">
        <f>IFERROR(__xludf.DUMMYFUNCTION("""COMPUTED_VALUE"""),45425.73611111111)</f>
        <v>45425.73611</v>
      </c>
      <c r="B169" s="31">
        <f>IFERROR(__xludf.DUMMYFUNCTION("""COMPUTED_VALUE"""),96.31)</f>
        <v>96.31</v>
      </c>
      <c r="C169" s="32">
        <f>IFERROR(__xludf.DUMMYFUNCTION("""COMPUTED_VALUE"""),45426.726388888885)</f>
        <v>45426.72639</v>
      </c>
      <c r="D169" s="31">
        <f>IFERROR(__xludf.DUMMYFUNCTION("""COMPUTED_VALUE"""),5.2)</f>
        <v>5.2</v>
      </c>
      <c r="E169" s="32">
        <f>IFERROR(__xludf.DUMMYFUNCTION("""COMPUTED_VALUE"""),45426.73611111111)</f>
        <v>45426.73611</v>
      </c>
      <c r="F169" s="31">
        <f>IFERROR(__xludf.DUMMYFUNCTION("""COMPUTED_VALUE"""),96.18)</f>
        <v>96.18</v>
      </c>
      <c r="G169" s="32">
        <f>IFERROR(__xludf.DUMMYFUNCTION("""COMPUTED_VALUE"""),45422.726388888885)</f>
        <v>45422.72639</v>
      </c>
      <c r="H169" s="31">
        <f>IFERROR(__xludf.DUMMYFUNCTION("""COMPUTED_VALUE"""),5.15)</f>
        <v>5.15</v>
      </c>
      <c r="I169" s="32">
        <f>IFERROR(__xludf.DUMMYFUNCTION("""COMPUTED_VALUE"""),45422.726388888885)</f>
        <v>45422.72639</v>
      </c>
      <c r="J169" s="31">
        <f>IFERROR(__xludf.DUMMYFUNCTION("""COMPUTED_VALUE"""),5.17)</f>
        <v>5.17</v>
      </c>
      <c r="K169" s="32">
        <f>IFERROR(__xludf.DUMMYFUNCTION("""COMPUTED_VALUE"""),45426.73611111111)</f>
        <v>45426.73611</v>
      </c>
      <c r="L169" s="31">
        <f>IFERROR(__xludf.DUMMYFUNCTION("""COMPUTED_VALUE"""),96.5)</f>
        <v>96.5</v>
      </c>
      <c r="M169" s="32">
        <f>IFERROR(__xludf.DUMMYFUNCTION("""COMPUTED_VALUE"""),45422.726388888885)</f>
        <v>45422.72639</v>
      </c>
      <c r="N169" s="31">
        <f>IFERROR(__xludf.DUMMYFUNCTION("""COMPUTED_VALUE"""),5.23)</f>
        <v>5.23</v>
      </c>
      <c r="O169" s="32">
        <f>IFERROR(__xludf.DUMMYFUNCTION("""COMPUTED_VALUE"""),45422.6875)</f>
        <v>45422.6875</v>
      </c>
      <c r="P169" s="31">
        <f>IFERROR(__xludf.DUMMYFUNCTION("""COMPUTED_VALUE"""),549.3)</f>
        <v>549.3</v>
      </c>
      <c r="Q169" s="32">
        <f>IFERROR(__xludf.DUMMYFUNCTION("""COMPUTED_VALUE"""),45422.66666666667)</f>
        <v>45422.66667</v>
      </c>
      <c r="R169" s="31">
        <f>IFERROR(__xludf.DUMMYFUNCTION("""COMPUTED_VALUE"""),22.99)</f>
        <v>22.99</v>
      </c>
      <c r="S169" s="32">
        <f>IFERROR(__xludf.DUMMYFUNCTION("""COMPUTED_VALUE"""),45422.6875)</f>
        <v>45422.6875</v>
      </c>
      <c r="T169" s="31">
        <f>IFERROR(__xludf.DUMMYFUNCTION("""COMPUTED_VALUE"""),6.36)</f>
        <v>6.36</v>
      </c>
      <c r="U169" s="32">
        <f>IFERROR(__xludf.DUMMYFUNCTION("""COMPUTED_VALUE"""),45348.99861111111)</f>
        <v>45348.99861</v>
      </c>
      <c r="V169" s="31">
        <f>IFERROR(__xludf.DUMMYFUNCTION("""COMPUTED_VALUE"""),1.08501)</f>
        <v>1.08501</v>
      </c>
    </row>
    <row r="170" ht="15.75" customHeight="1">
      <c r="A170" s="32">
        <f>IFERROR(__xludf.DUMMYFUNCTION("""COMPUTED_VALUE"""),45426.73611111111)</f>
        <v>45426.73611</v>
      </c>
      <c r="B170" s="31">
        <f>IFERROR(__xludf.DUMMYFUNCTION("""COMPUTED_VALUE"""),96.27)</f>
        <v>96.27</v>
      </c>
      <c r="C170" s="32">
        <f>IFERROR(__xludf.DUMMYFUNCTION("""COMPUTED_VALUE"""),45427.726388888885)</f>
        <v>45427.72639</v>
      </c>
      <c r="D170" s="31">
        <f>IFERROR(__xludf.DUMMYFUNCTION("""COMPUTED_VALUE"""),5.23)</f>
        <v>5.23</v>
      </c>
      <c r="E170" s="32">
        <f>IFERROR(__xludf.DUMMYFUNCTION("""COMPUTED_VALUE"""),45427.73611111111)</f>
        <v>45427.73611</v>
      </c>
      <c r="F170" s="31">
        <f>IFERROR(__xludf.DUMMYFUNCTION("""COMPUTED_VALUE"""),95.92)</f>
        <v>95.92</v>
      </c>
      <c r="G170" s="32">
        <f>IFERROR(__xludf.DUMMYFUNCTION("""COMPUTED_VALUE"""),45425.726388888885)</f>
        <v>45425.72639</v>
      </c>
      <c r="H170" s="31">
        <f>IFERROR(__xludf.DUMMYFUNCTION("""COMPUTED_VALUE"""),5.16)</f>
        <v>5.16</v>
      </c>
      <c r="I170" s="32">
        <f>IFERROR(__xludf.DUMMYFUNCTION("""COMPUTED_VALUE"""),45425.726388888885)</f>
        <v>45425.72639</v>
      </c>
      <c r="J170" s="31">
        <f>IFERROR(__xludf.DUMMYFUNCTION("""COMPUTED_VALUE"""),5.17)</f>
        <v>5.17</v>
      </c>
      <c r="K170" s="32">
        <f>IFERROR(__xludf.DUMMYFUNCTION("""COMPUTED_VALUE"""),45427.73611111111)</f>
        <v>45427.73611</v>
      </c>
      <c r="L170" s="31">
        <f>IFERROR(__xludf.DUMMYFUNCTION("""COMPUTED_VALUE"""),96.48)</f>
        <v>96.48</v>
      </c>
      <c r="M170" s="32">
        <f>IFERROR(__xludf.DUMMYFUNCTION("""COMPUTED_VALUE"""),45425.726388888885)</f>
        <v>45425.72639</v>
      </c>
      <c r="N170" s="31">
        <f>IFERROR(__xludf.DUMMYFUNCTION("""COMPUTED_VALUE"""),5.23)</f>
        <v>5.23</v>
      </c>
      <c r="O170" s="32">
        <f>IFERROR(__xludf.DUMMYFUNCTION("""COMPUTED_VALUE"""),45425.6875)</f>
        <v>45425.6875</v>
      </c>
      <c r="P170" s="31">
        <f>IFERROR(__xludf.DUMMYFUNCTION("""COMPUTED_VALUE"""),549.75)</f>
        <v>549.75</v>
      </c>
      <c r="Q170" s="32">
        <f>IFERROR(__xludf.DUMMYFUNCTION("""COMPUTED_VALUE"""),45425.66666666667)</f>
        <v>45425.66667</v>
      </c>
      <c r="R170" s="31">
        <f>IFERROR(__xludf.DUMMYFUNCTION("""COMPUTED_VALUE"""),23.04)</f>
        <v>23.04</v>
      </c>
      <c r="S170" s="32">
        <f>IFERROR(__xludf.DUMMYFUNCTION("""COMPUTED_VALUE"""),45425.6875)</f>
        <v>45425.6875</v>
      </c>
      <c r="T170" s="31">
        <f>IFERROR(__xludf.DUMMYFUNCTION("""COMPUTED_VALUE"""),6.36)</f>
        <v>6.36</v>
      </c>
      <c r="U170" s="32">
        <f>IFERROR(__xludf.DUMMYFUNCTION("""COMPUTED_VALUE"""),45349.99861111111)</f>
        <v>45349.99861</v>
      </c>
      <c r="V170" s="31">
        <f>IFERROR(__xludf.DUMMYFUNCTION("""COMPUTED_VALUE"""),1.08416)</f>
        <v>1.08416</v>
      </c>
    </row>
    <row r="171" ht="15.75" customHeight="1">
      <c r="A171" s="32">
        <f>IFERROR(__xludf.DUMMYFUNCTION("""COMPUTED_VALUE"""),45427.73611111111)</f>
        <v>45427.73611</v>
      </c>
      <c r="B171" s="31">
        <f>IFERROR(__xludf.DUMMYFUNCTION("""COMPUTED_VALUE"""),96.09)</f>
        <v>96.09</v>
      </c>
      <c r="C171" s="32">
        <f>IFERROR(__xludf.DUMMYFUNCTION("""COMPUTED_VALUE"""),45428.726388888885)</f>
        <v>45428.72639</v>
      </c>
      <c r="D171" s="31">
        <f>IFERROR(__xludf.DUMMYFUNCTION("""COMPUTED_VALUE"""),5.22)</f>
        <v>5.22</v>
      </c>
      <c r="E171" s="32">
        <f>IFERROR(__xludf.DUMMYFUNCTION("""COMPUTED_VALUE"""),45428.73611111111)</f>
        <v>45428.73611</v>
      </c>
      <c r="F171" s="31">
        <f>IFERROR(__xludf.DUMMYFUNCTION("""COMPUTED_VALUE"""),95.87)</f>
        <v>95.87</v>
      </c>
      <c r="G171" s="32">
        <f>IFERROR(__xludf.DUMMYFUNCTION("""COMPUTED_VALUE"""),45426.726388888885)</f>
        <v>45426.72639</v>
      </c>
      <c r="H171" s="31">
        <f>IFERROR(__xludf.DUMMYFUNCTION("""COMPUTED_VALUE"""),5.16)</f>
        <v>5.16</v>
      </c>
      <c r="I171" s="32">
        <f>IFERROR(__xludf.DUMMYFUNCTION("""COMPUTED_VALUE"""),45426.726388888885)</f>
        <v>45426.72639</v>
      </c>
      <c r="J171" s="31">
        <f>IFERROR(__xludf.DUMMYFUNCTION("""COMPUTED_VALUE"""),5.17)</f>
        <v>5.17</v>
      </c>
      <c r="K171" s="32">
        <f>IFERROR(__xludf.DUMMYFUNCTION("""COMPUTED_VALUE"""),45428.73611111111)</f>
        <v>45428.73611</v>
      </c>
      <c r="L171" s="31">
        <f>IFERROR(__xludf.DUMMYFUNCTION("""COMPUTED_VALUE"""),96.46)</f>
        <v>96.46</v>
      </c>
      <c r="M171" s="32">
        <f>IFERROR(__xludf.DUMMYFUNCTION("""COMPUTED_VALUE"""),45426.726388888885)</f>
        <v>45426.72639</v>
      </c>
      <c r="N171" s="31">
        <f>IFERROR(__xludf.DUMMYFUNCTION("""COMPUTED_VALUE"""),5.23)</f>
        <v>5.23</v>
      </c>
      <c r="O171" s="32">
        <f>IFERROR(__xludf.DUMMYFUNCTION("""COMPUTED_VALUE"""),45426.6875)</f>
        <v>45426.6875</v>
      </c>
      <c r="P171" s="31">
        <f>IFERROR(__xludf.DUMMYFUNCTION("""COMPUTED_VALUE"""),550.24)</f>
        <v>550.24</v>
      </c>
      <c r="Q171" s="32">
        <f>IFERROR(__xludf.DUMMYFUNCTION("""COMPUTED_VALUE"""),45426.66666666667)</f>
        <v>45426.66667</v>
      </c>
      <c r="R171" s="31">
        <f>IFERROR(__xludf.DUMMYFUNCTION("""COMPUTED_VALUE"""),23.03)</f>
        <v>23.03</v>
      </c>
      <c r="S171" s="32">
        <f>IFERROR(__xludf.DUMMYFUNCTION("""COMPUTED_VALUE"""),45426.6875)</f>
        <v>45426.6875</v>
      </c>
      <c r="T171" s="31">
        <f>IFERROR(__xludf.DUMMYFUNCTION("""COMPUTED_VALUE"""),6.36)</f>
        <v>6.36</v>
      </c>
      <c r="U171" s="32">
        <f>IFERROR(__xludf.DUMMYFUNCTION("""COMPUTED_VALUE"""),45350.99861111111)</f>
        <v>45350.99861</v>
      </c>
      <c r="V171" s="31">
        <f>IFERROR(__xludf.DUMMYFUNCTION("""COMPUTED_VALUE"""),1.08376)</f>
        <v>1.08376</v>
      </c>
    </row>
    <row r="172" ht="15.75" customHeight="1">
      <c r="A172" s="32">
        <f>IFERROR(__xludf.DUMMYFUNCTION("""COMPUTED_VALUE"""),45428.73611111111)</f>
        <v>45428.73611</v>
      </c>
      <c r="B172" s="31">
        <f>IFERROR(__xludf.DUMMYFUNCTION("""COMPUTED_VALUE"""),96.2)</f>
        <v>96.2</v>
      </c>
      <c r="C172" s="32">
        <f>IFERROR(__xludf.DUMMYFUNCTION("""COMPUTED_VALUE"""),45429.726388888885)</f>
        <v>45429.72639</v>
      </c>
      <c r="D172" s="31">
        <f>IFERROR(__xludf.DUMMYFUNCTION("""COMPUTED_VALUE"""),5.21)</f>
        <v>5.21</v>
      </c>
      <c r="E172" s="32">
        <f>IFERROR(__xludf.DUMMYFUNCTION("""COMPUTED_VALUE"""),45429.73611111111)</f>
        <v>45429.73611</v>
      </c>
      <c r="F172" s="31">
        <f>IFERROR(__xludf.DUMMYFUNCTION("""COMPUTED_VALUE"""),95.88)</f>
        <v>95.88</v>
      </c>
      <c r="G172" s="32">
        <f>IFERROR(__xludf.DUMMYFUNCTION("""COMPUTED_VALUE"""),45427.726388888885)</f>
        <v>45427.72639</v>
      </c>
      <c r="H172" s="31">
        <f>IFERROR(__xludf.DUMMYFUNCTION("""COMPUTED_VALUE"""),5.16)</f>
        <v>5.16</v>
      </c>
      <c r="I172" s="32">
        <f>IFERROR(__xludf.DUMMYFUNCTION("""COMPUTED_VALUE"""),45427.726388888885)</f>
        <v>45427.72639</v>
      </c>
      <c r="J172" s="31">
        <f>IFERROR(__xludf.DUMMYFUNCTION("""COMPUTED_VALUE"""),5.18)</f>
        <v>5.18</v>
      </c>
      <c r="K172" s="32">
        <f>IFERROR(__xludf.DUMMYFUNCTION("""COMPUTED_VALUE"""),45429.73611111111)</f>
        <v>45429.73611</v>
      </c>
      <c r="L172" s="31">
        <f>IFERROR(__xludf.DUMMYFUNCTION("""COMPUTED_VALUE"""),96.35)</f>
        <v>96.35</v>
      </c>
      <c r="M172" s="32">
        <f>IFERROR(__xludf.DUMMYFUNCTION("""COMPUTED_VALUE"""),45427.726388888885)</f>
        <v>45427.72639</v>
      </c>
      <c r="N172" s="31">
        <f>IFERROR(__xludf.DUMMYFUNCTION("""COMPUTED_VALUE"""),5.26)</f>
        <v>5.26</v>
      </c>
      <c r="O172" s="32">
        <f>IFERROR(__xludf.DUMMYFUNCTION("""COMPUTED_VALUE"""),45427.6875)</f>
        <v>45427.6875</v>
      </c>
      <c r="P172" s="31">
        <f>IFERROR(__xludf.DUMMYFUNCTION("""COMPUTED_VALUE"""),557.21)</f>
        <v>557.21</v>
      </c>
      <c r="Q172" s="32">
        <f>IFERROR(__xludf.DUMMYFUNCTION("""COMPUTED_VALUE"""),45427.66666666667)</f>
        <v>45427.66667</v>
      </c>
      <c r="R172" s="31">
        <f>IFERROR(__xludf.DUMMYFUNCTION("""COMPUTED_VALUE"""),23.22)</f>
        <v>23.22</v>
      </c>
      <c r="S172" s="32">
        <f>IFERROR(__xludf.DUMMYFUNCTION("""COMPUTED_VALUE"""),45427.6875)</f>
        <v>45427.6875</v>
      </c>
      <c r="T172" s="31">
        <f>IFERROR(__xludf.DUMMYFUNCTION("""COMPUTED_VALUE"""),6.4)</f>
        <v>6.4</v>
      </c>
      <c r="U172" s="32">
        <f>IFERROR(__xludf.DUMMYFUNCTION("""COMPUTED_VALUE"""),45351.99861111111)</f>
        <v>45351.99861</v>
      </c>
      <c r="V172" s="31">
        <f>IFERROR(__xludf.DUMMYFUNCTION("""COMPUTED_VALUE"""),1.08039)</f>
        <v>1.08039</v>
      </c>
    </row>
    <row r="173" ht="15.75" customHeight="1">
      <c r="A173" s="32">
        <f>IFERROR(__xludf.DUMMYFUNCTION("""COMPUTED_VALUE"""),45432.73611111111)</f>
        <v>45432.73611</v>
      </c>
      <c r="B173" s="31">
        <f>IFERROR(__xludf.DUMMYFUNCTION("""COMPUTED_VALUE"""),96.05)</f>
        <v>96.05</v>
      </c>
      <c r="C173" s="32">
        <f>IFERROR(__xludf.DUMMYFUNCTION("""COMPUTED_VALUE"""),45432.726388888885)</f>
        <v>45432.72639</v>
      </c>
      <c r="D173" s="31">
        <f>IFERROR(__xludf.DUMMYFUNCTION("""COMPUTED_VALUE"""),5.21)</f>
        <v>5.21</v>
      </c>
      <c r="E173" s="32">
        <f>IFERROR(__xludf.DUMMYFUNCTION("""COMPUTED_VALUE"""),45432.73611111111)</f>
        <v>45432.73611</v>
      </c>
      <c r="F173" s="31">
        <f>IFERROR(__xludf.DUMMYFUNCTION("""COMPUTED_VALUE"""),95.88)</f>
        <v>95.88</v>
      </c>
      <c r="G173" s="32">
        <f>IFERROR(__xludf.DUMMYFUNCTION("""COMPUTED_VALUE"""),45428.726388888885)</f>
        <v>45428.72639</v>
      </c>
      <c r="H173" s="31">
        <f>IFERROR(__xludf.DUMMYFUNCTION("""COMPUTED_VALUE"""),5.16)</f>
        <v>5.16</v>
      </c>
      <c r="I173" s="32">
        <f>IFERROR(__xludf.DUMMYFUNCTION("""COMPUTED_VALUE"""),45428.726388888885)</f>
        <v>45428.72639</v>
      </c>
      <c r="J173" s="31">
        <f>IFERROR(__xludf.DUMMYFUNCTION("""COMPUTED_VALUE"""),5.18)</f>
        <v>5.18</v>
      </c>
      <c r="K173" s="32">
        <f>IFERROR(__xludf.DUMMYFUNCTION("""COMPUTED_VALUE"""),45432.73611111111)</f>
        <v>45432.73611</v>
      </c>
      <c r="L173" s="31">
        <f>IFERROR(__xludf.DUMMYFUNCTION("""COMPUTED_VALUE"""),96.37)</f>
        <v>96.37</v>
      </c>
      <c r="M173" s="32">
        <f>IFERROR(__xludf.DUMMYFUNCTION("""COMPUTED_VALUE"""),45428.726388888885)</f>
        <v>45428.72639</v>
      </c>
      <c r="N173" s="31">
        <f>IFERROR(__xludf.DUMMYFUNCTION("""COMPUTED_VALUE"""),5.24)</f>
        <v>5.24</v>
      </c>
      <c r="O173" s="32">
        <f>IFERROR(__xludf.DUMMYFUNCTION("""COMPUTED_VALUE"""),45428.6875)</f>
        <v>45428.6875</v>
      </c>
      <c r="P173" s="31">
        <f>IFERROR(__xludf.DUMMYFUNCTION("""COMPUTED_VALUE"""),560.81)</f>
        <v>560.81</v>
      </c>
      <c r="Q173" s="32">
        <f>IFERROR(__xludf.DUMMYFUNCTION("""COMPUTED_VALUE"""),45428.66666666667)</f>
        <v>45428.66667</v>
      </c>
      <c r="R173" s="31">
        <f>IFERROR(__xludf.DUMMYFUNCTION("""COMPUTED_VALUE"""),23.18)</f>
        <v>23.18</v>
      </c>
      <c r="S173" s="32">
        <f>IFERROR(__xludf.DUMMYFUNCTION("""COMPUTED_VALUE"""),45428.6875)</f>
        <v>45428.6875</v>
      </c>
      <c r="T173" s="31">
        <f>IFERROR(__xludf.DUMMYFUNCTION("""COMPUTED_VALUE"""),6.4)</f>
        <v>6.4</v>
      </c>
      <c r="U173" s="32">
        <f>IFERROR(__xludf.DUMMYFUNCTION("""COMPUTED_VALUE"""),45352.99861111111)</f>
        <v>45352.99861</v>
      </c>
      <c r="V173" s="31">
        <f>IFERROR(__xludf.DUMMYFUNCTION("""COMPUTED_VALUE"""),1.0853)</f>
        <v>1.0853</v>
      </c>
    </row>
    <row r="174" ht="15.75" customHeight="1">
      <c r="A174" s="32">
        <f>IFERROR(__xludf.DUMMYFUNCTION("""COMPUTED_VALUE"""),45433.73611111111)</f>
        <v>45433.73611</v>
      </c>
      <c r="B174" s="31">
        <f>IFERROR(__xludf.DUMMYFUNCTION("""COMPUTED_VALUE"""),96.27)</f>
        <v>96.27</v>
      </c>
      <c r="C174" s="32">
        <f>IFERROR(__xludf.DUMMYFUNCTION("""COMPUTED_VALUE"""),45433.726388888885)</f>
        <v>45433.72639</v>
      </c>
      <c r="D174" s="31">
        <f>IFERROR(__xludf.DUMMYFUNCTION("""COMPUTED_VALUE"""),5.22)</f>
        <v>5.22</v>
      </c>
      <c r="E174" s="32">
        <f>IFERROR(__xludf.DUMMYFUNCTION("""COMPUTED_VALUE"""),45433.73611111111)</f>
        <v>45433.73611</v>
      </c>
      <c r="F174" s="31">
        <f>IFERROR(__xludf.DUMMYFUNCTION("""COMPUTED_VALUE"""),95.99)</f>
        <v>95.99</v>
      </c>
      <c r="G174" s="32">
        <f>IFERROR(__xludf.DUMMYFUNCTION("""COMPUTED_VALUE"""),45429.726388888885)</f>
        <v>45429.72639</v>
      </c>
      <c r="H174" s="31">
        <f>IFERROR(__xludf.DUMMYFUNCTION("""COMPUTED_VALUE"""),5.16)</f>
        <v>5.16</v>
      </c>
      <c r="I174" s="32">
        <f>IFERROR(__xludf.DUMMYFUNCTION("""COMPUTED_VALUE"""),45429.726388888885)</f>
        <v>45429.72639</v>
      </c>
      <c r="J174" s="31">
        <f>IFERROR(__xludf.DUMMYFUNCTION("""COMPUTED_VALUE"""),5.18)</f>
        <v>5.18</v>
      </c>
      <c r="K174" s="32">
        <f>IFERROR(__xludf.DUMMYFUNCTION("""COMPUTED_VALUE"""),45433.73611111111)</f>
        <v>45433.73611</v>
      </c>
      <c r="L174" s="31">
        <f>IFERROR(__xludf.DUMMYFUNCTION("""COMPUTED_VALUE"""),96.55)</f>
        <v>96.55</v>
      </c>
      <c r="M174" s="32">
        <f>IFERROR(__xludf.DUMMYFUNCTION("""COMPUTED_VALUE"""),45429.726388888885)</f>
        <v>45429.72639</v>
      </c>
      <c r="N174" s="31">
        <f>IFERROR(__xludf.DUMMYFUNCTION("""COMPUTED_VALUE"""),5.23)</f>
        <v>5.23</v>
      </c>
      <c r="O174" s="32">
        <f>IFERROR(__xludf.DUMMYFUNCTION("""COMPUTED_VALUE"""),45429.6875)</f>
        <v>45429.6875</v>
      </c>
      <c r="P174" s="31">
        <f>IFERROR(__xludf.DUMMYFUNCTION("""COMPUTED_VALUE"""),557.98)</f>
        <v>557.98</v>
      </c>
      <c r="Q174" s="32">
        <f>IFERROR(__xludf.DUMMYFUNCTION("""COMPUTED_VALUE"""),45429.66666666667)</f>
        <v>45429.66667</v>
      </c>
      <c r="R174" s="31">
        <f>IFERROR(__xludf.DUMMYFUNCTION("""COMPUTED_VALUE"""),23.13)</f>
        <v>23.13</v>
      </c>
      <c r="S174" s="32">
        <f>IFERROR(__xludf.DUMMYFUNCTION("""COMPUTED_VALUE"""),45429.6875)</f>
        <v>45429.6875</v>
      </c>
      <c r="T174" s="31">
        <f>IFERROR(__xludf.DUMMYFUNCTION("""COMPUTED_VALUE"""),6.39)</f>
        <v>6.39</v>
      </c>
      <c r="U174" s="32">
        <f>IFERROR(__xludf.DUMMYFUNCTION("""COMPUTED_VALUE"""),45353.99861111111)</f>
        <v>45353.99861</v>
      </c>
      <c r="V174" s="31">
        <f>IFERROR(__xludf.DUMMYFUNCTION("""COMPUTED_VALUE"""),1.0853)</f>
        <v>1.0853</v>
      </c>
    </row>
    <row r="175" ht="15.75" customHeight="1">
      <c r="A175" s="32">
        <f>IFERROR(__xludf.DUMMYFUNCTION("""COMPUTED_VALUE"""),45434.73611111111)</f>
        <v>45434.73611</v>
      </c>
      <c r="B175" s="31">
        <f>IFERROR(__xludf.DUMMYFUNCTION("""COMPUTED_VALUE"""),96.33)</f>
        <v>96.33</v>
      </c>
      <c r="C175" s="32">
        <f>IFERROR(__xludf.DUMMYFUNCTION("""COMPUTED_VALUE"""),45434.726388888885)</f>
        <v>45434.72639</v>
      </c>
      <c r="D175" s="31">
        <f>IFERROR(__xludf.DUMMYFUNCTION("""COMPUTED_VALUE"""),5.21)</f>
        <v>5.21</v>
      </c>
      <c r="E175" s="32">
        <f>IFERROR(__xludf.DUMMYFUNCTION("""COMPUTED_VALUE"""),45434.73611111111)</f>
        <v>45434.73611</v>
      </c>
      <c r="F175" s="31">
        <f>IFERROR(__xludf.DUMMYFUNCTION("""COMPUTED_VALUE"""),96.12)</f>
        <v>96.12</v>
      </c>
      <c r="G175" s="32">
        <f>IFERROR(__xludf.DUMMYFUNCTION("""COMPUTED_VALUE"""),45432.726388888885)</f>
        <v>45432.72639</v>
      </c>
      <c r="H175" s="31">
        <f>IFERROR(__xludf.DUMMYFUNCTION("""COMPUTED_VALUE"""),5.16)</f>
        <v>5.16</v>
      </c>
      <c r="I175" s="32">
        <f>IFERROR(__xludf.DUMMYFUNCTION("""COMPUTED_VALUE"""),45432.726388888885)</f>
        <v>45432.72639</v>
      </c>
      <c r="J175" s="31">
        <f>IFERROR(__xludf.DUMMYFUNCTION("""COMPUTED_VALUE"""),5.18)</f>
        <v>5.18</v>
      </c>
      <c r="K175" s="32">
        <f>IFERROR(__xludf.DUMMYFUNCTION("""COMPUTED_VALUE"""),45434.73611111111)</f>
        <v>45434.73611</v>
      </c>
      <c r="L175" s="31">
        <f>IFERROR(__xludf.DUMMYFUNCTION("""COMPUTED_VALUE"""),96.56)</f>
        <v>96.56</v>
      </c>
      <c r="M175" s="32">
        <f>IFERROR(__xludf.DUMMYFUNCTION("""COMPUTED_VALUE"""),45432.726388888885)</f>
        <v>45432.72639</v>
      </c>
      <c r="N175" s="31">
        <f>IFERROR(__xludf.DUMMYFUNCTION("""COMPUTED_VALUE"""),5.23)</f>
        <v>5.23</v>
      </c>
      <c r="O175" s="32">
        <f>IFERROR(__xludf.DUMMYFUNCTION("""COMPUTED_VALUE"""),45432.6875)</f>
        <v>45432.6875</v>
      </c>
      <c r="P175" s="31">
        <f>IFERROR(__xludf.DUMMYFUNCTION("""COMPUTED_VALUE"""),561.04)</f>
        <v>561.04</v>
      </c>
      <c r="Q175" s="32">
        <f>IFERROR(__xludf.DUMMYFUNCTION("""COMPUTED_VALUE"""),45432.66666666667)</f>
        <v>45432.66667</v>
      </c>
      <c r="R175" s="31">
        <f>IFERROR(__xludf.DUMMYFUNCTION("""COMPUTED_VALUE"""),23.14)</f>
        <v>23.14</v>
      </c>
      <c r="S175" s="32">
        <f>IFERROR(__xludf.DUMMYFUNCTION("""COMPUTED_VALUE"""),45432.6875)</f>
        <v>45432.6875</v>
      </c>
      <c r="T175" s="31">
        <f>IFERROR(__xludf.DUMMYFUNCTION("""COMPUTED_VALUE"""),6.39)</f>
        <v>6.39</v>
      </c>
      <c r="U175" s="32">
        <f>IFERROR(__xludf.DUMMYFUNCTION("""COMPUTED_VALUE"""),45354.99861111111)</f>
        <v>45354.99861</v>
      </c>
      <c r="V175" s="31">
        <f>IFERROR(__xludf.DUMMYFUNCTION("""COMPUTED_VALUE"""),1.08418)</f>
        <v>1.08418</v>
      </c>
    </row>
    <row r="176" ht="15.75" customHeight="1">
      <c r="A176" s="32">
        <f>IFERROR(__xludf.DUMMYFUNCTION("""COMPUTED_VALUE"""),45435.73611111111)</f>
        <v>45435.73611</v>
      </c>
      <c r="B176" s="31">
        <f>IFERROR(__xludf.DUMMYFUNCTION("""COMPUTED_VALUE"""),96.07)</f>
        <v>96.07</v>
      </c>
      <c r="C176" s="32">
        <f>IFERROR(__xludf.DUMMYFUNCTION("""COMPUTED_VALUE"""),45435.726388888885)</f>
        <v>45435.72639</v>
      </c>
      <c r="D176" s="31">
        <f>IFERROR(__xludf.DUMMYFUNCTION("""COMPUTED_VALUE"""),5.2)</f>
        <v>5.2</v>
      </c>
      <c r="E176" s="32">
        <f>IFERROR(__xludf.DUMMYFUNCTION("""COMPUTED_VALUE"""),45435.73611111111)</f>
        <v>45435.73611</v>
      </c>
      <c r="F176" s="31">
        <f>IFERROR(__xludf.DUMMYFUNCTION("""COMPUTED_VALUE"""),96.04)</f>
        <v>96.04</v>
      </c>
      <c r="G176" s="32">
        <f>IFERROR(__xludf.DUMMYFUNCTION("""COMPUTED_VALUE"""),45433.726388888885)</f>
        <v>45433.72639</v>
      </c>
      <c r="H176" s="31">
        <f>IFERROR(__xludf.DUMMYFUNCTION("""COMPUTED_VALUE"""),5.16)</f>
        <v>5.16</v>
      </c>
      <c r="I176" s="32">
        <f>IFERROR(__xludf.DUMMYFUNCTION("""COMPUTED_VALUE"""),45433.726388888885)</f>
        <v>45433.72639</v>
      </c>
      <c r="J176" s="31">
        <f>IFERROR(__xludf.DUMMYFUNCTION("""COMPUTED_VALUE"""),5.18)</f>
        <v>5.18</v>
      </c>
      <c r="K176" s="32">
        <f>IFERROR(__xludf.DUMMYFUNCTION("""COMPUTED_VALUE"""),45435.73611111111)</f>
        <v>45435.73611</v>
      </c>
      <c r="L176" s="31">
        <f>IFERROR(__xludf.DUMMYFUNCTION("""COMPUTED_VALUE"""),96.47)</f>
        <v>96.47</v>
      </c>
      <c r="M176" s="32">
        <f>IFERROR(__xludf.DUMMYFUNCTION("""COMPUTED_VALUE"""),45433.726388888885)</f>
        <v>45433.72639</v>
      </c>
      <c r="N176" s="31">
        <f>IFERROR(__xludf.DUMMYFUNCTION("""COMPUTED_VALUE"""),5.24)</f>
        <v>5.24</v>
      </c>
      <c r="O176" s="32">
        <f>IFERROR(__xludf.DUMMYFUNCTION("""COMPUTED_VALUE"""),45433.6875)</f>
        <v>45433.6875</v>
      </c>
      <c r="P176" s="31">
        <f>IFERROR(__xludf.DUMMYFUNCTION("""COMPUTED_VALUE"""),559.67)</f>
        <v>559.67</v>
      </c>
      <c r="Q176" s="32">
        <f>IFERROR(__xludf.DUMMYFUNCTION("""COMPUTED_VALUE"""),45433.66666666667)</f>
        <v>45433.66667</v>
      </c>
      <c r="R176" s="31">
        <f>IFERROR(__xludf.DUMMYFUNCTION("""COMPUTED_VALUE"""),23.14)</f>
        <v>23.14</v>
      </c>
      <c r="S176" s="32">
        <f>IFERROR(__xludf.DUMMYFUNCTION("""COMPUTED_VALUE"""),45433.6875)</f>
        <v>45433.6875</v>
      </c>
      <c r="T176" s="31">
        <f>IFERROR(__xludf.DUMMYFUNCTION("""COMPUTED_VALUE"""),6.39)</f>
        <v>6.39</v>
      </c>
      <c r="U176" s="32">
        <f>IFERROR(__xludf.DUMMYFUNCTION("""COMPUTED_VALUE"""),45355.99861111111)</f>
        <v>45355.99861</v>
      </c>
      <c r="V176" s="31">
        <f>IFERROR(__xludf.DUMMYFUNCTION("""COMPUTED_VALUE"""),1.0854)</f>
        <v>1.0854</v>
      </c>
    </row>
    <row r="177" ht="15.75" customHeight="1">
      <c r="A177" s="32">
        <f>IFERROR(__xludf.DUMMYFUNCTION("""COMPUTED_VALUE"""),45436.73611111111)</f>
        <v>45436.73611</v>
      </c>
      <c r="B177" s="31">
        <f>IFERROR(__xludf.DUMMYFUNCTION("""COMPUTED_VALUE"""),95.94)</f>
        <v>95.94</v>
      </c>
      <c r="C177" s="32">
        <f>IFERROR(__xludf.DUMMYFUNCTION("""COMPUTED_VALUE"""),45436.726388888885)</f>
        <v>45436.72639</v>
      </c>
      <c r="D177" s="31">
        <f>IFERROR(__xludf.DUMMYFUNCTION("""COMPUTED_VALUE"""),5.2)</f>
        <v>5.2</v>
      </c>
      <c r="E177" s="32">
        <f>IFERROR(__xludf.DUMMYFUNCTION("""COMPUTED_VALUE"""),45436.73611111111)</f>
        <v>45436.73611</v>
      </c>
      <c r="F177" s="31">
        <f>IFERROR(__xludf.DUMMYFUNCTION("""COMPUTED_VALUE"""),95.93)</f>
        <v>95.93</v>
      </c>
      <c r="G177" s="32">
        <f>IFERROR(__xludf.DUMMYFUNCTION("""COMPUTED_VALUE"""),45434.726388888885)</f>
        <v>45434.72639</v>
      </c>
      <c r="H177" s="31">
        <f>IFERROR(__xludf.DUMMYFUNCTION("""COMPUTED_VALUE"""),5.16)</f>
        <v>5.16</v>
      </c>
      <c r="I177" s="32">
        <f>IFERROR(__xludf.DUMMYFUNCTION("""COMPUTED_VALUE"""),45434.726388888885)</f>
        <v>45434.72639</v>
      </c>
      <c r="J177" s="31">
        <f>IFERROR(__xludf.DUMMYFUNCTION("""COMPUTED_VALUE"""),5.18)</f>
        <v>5.18</v>
      </c>
      <c r="K177" s="32">
        <f>IFERROR(__xludf.DUMMYFUNCTION("""COMPUTED_VALUE"""),45436.73611111111)</f>
        <v>45436.73611</v>
      </c>
      <c r="L177" s="31">
        <f>IFERROR(__xludf.DUMMYFUNCTION("""COMPUTED_VALUE"""),96.3)</f>
        <v>96.3</v>
      </c>
      <c r="M177" s="32">
        <f>IFERROR(__xludf.DUMMYFUNCTION("""COMPUTED_VALUE"""),45434.726388888885)</f>
        <v>45434.72639</v>
      </c>
      <c r="N177" s="31">
        <f>IFERROR(__xludf.DUMMYFUNCTION("""COMPUTED_VALUE"""),5.23)</f>
        <v>5.23</v>
      </c>
      <c r="O177" s="32">
        <f>IFERROR(__xludf.DUMMYFUNCTION("""COMPUTED_VALUE"""),45434.6875)</f>
        <v>45434.6875</v>
      </c>
      <c r="P177" s="31">
        <f>IFERROR(__xludf.DUMMYFUNCTION("""COMPUTED_VALUE"""),560.41)</f>
        <v>560.41</v>
      </c>
      <c r="Q177" s="32">
        <f>IFERROR(__xludf.DUMMYFUNCTION("""COMPUTED_VALUE"""),45434.66666666667)</f>
        <v>45434.66667</v>
      </c>
      <c r="R177" s="31">
        <f>IFERROR(__xludf.DUMMYFUNCTION("""COMPUTED_VALUE"""),23.08)</f>
        <v>23.08</v>
      </c>
      <c r="S177" s="32">
        <f>IFERROR(__xludf.DUMMYFUNCTION("""COMPUTED_VALUE"""),45434.6875)</f>
        <v>45434.6875</v>
      </c>
      <c r="T177" s="31">
        <f>IFERROR(__xludf.DUMMYFUNCTION("""COMPUTED_VALUE"""),6.37)</f>
        <v>6.37</v>
      </c>
      <c r="U177" s="32">
        <f>IFERROR(__xludf.DUMMYFUNCTION("""COMPUTED_VALUE"""),45356.99861111111)</f>
        <v>45356.99861</v>
      </c>
      <c r="V177" s="31">
        <f>IFERROR(__xludf.DUMMYFUNCTION("""COMPUTED_VALUE"""),1.08556)</f>
        <v>1.08556</v>
      </c>
    </row>
    <row r="178" ht="15.75" customHeight="1">
      <c r="A178" s="32">
        <f>IFERROR(__xludf.DUMMYFUNCTION("""COMPUTED_VALUE"""),45439.73611111111)</f>
        <v>45439.73611</v>
      </c>
      <c r="B178" s="31">
        <f>IFERROR(__xludf.DUMMYFUNCTION("""COMPUTED_VALUE"""),95.97)</f>
        <v>95.97</v>
      </c>
      <c r="C178" s="32">
        <f>IFERROR(__xludf.DUMMYFUNCTION("""COMPUTED_VALUE"""),45439.726388888885)</f>
        <v>45439.72639</v>
      </c>
      <c r="D178" s="31">
        <f>IFERROR(__xludf.DUMMYFUNCTION("""COMPUTED_VALUE"""),5.21)</f>
        <v>5.21</v>
      </c>
      <c r="E178" s="32">
        <f>IFERROR(__xludf.DUMMYFUNCTION("""COMPUTED_VALUE"""),45439.73611111111)</f>
        <v>45439.73611</v>
      </c>
      <c r="F178" s="31">
        <f>IFERROR(__xludf.DUMMYFUNCTION("""COMPUTED_VALUE"""),95.89)</f>
        <v>95.89</v>
      </c>
      <c r="G178" s="32">
        <f>IFERROR(__xludf.DUMMYFUNCTION("""COMPUTED_VALUE"""),45435.726388888885)</f>
        <v>45435.72639</v>
      </c>
      <c r="H178" s="31">
        <f>IFERROR(__xludf.DUMMYFUNCTION("""COMPUTED_VALUE"""),5.16)</f>
        <v>5.16</v>
      </c>
      <c r="I178" s="32">
        <f>IFERROR(__xludf.DUMMYFUNCTION("""COMPUTED_VALUE"""),45435.726388888885)</f>
        <v>45435.72639</v>
      </c>
      <c r="J178" s="31">
        <f>IFERROR(__xludf.DUMMYFUNCTION("""COMPUTED_VALUE"""),5.17)</f>
        <v>5.17</v>
      </c>
      <c r="K178" s="32">
        <f>IFERROR(__xludf.DUMMYFUNCTION("""COMPUTED_VALUE"""),45439.73611111111)</f>
        <v>45439.73611</v>
      </c>
      <c r="L178" s="31">
        <f>IFERROR(__xludf.DUMMYFUNCTION("""COMPUTED_VALUE"""),96.27)</f>
        <v>96.27</v>
      </c>
      <c r="M178" s="32">
        <f>IFERROR(__xludf.DUMMYFUNCTION("""COMPUTED_VALUE"""),45435.726388888885)</f>
        <v>45435.72639</v>
      </c>
      <c r="N178" s="31">
        <f>IFERROR(__xludf.DUMMYFUNCTION("""COMPUTED_VALUE"""),5.22)</f>
        <v>5.22</v>
      </c>
      <c r="O178" s="32">
        <f>IFERROR(__xludf.DUMMYFUNCTION("""COMPUTED_VALUE"""),45435.6875)</f>
        <v>45435.6875</v>
      </c>
      <c r="P178" s="31">
        <f>IFERROR(__xludf.DUMMYFUNCTION("""COMPUTED_VALUE"""),560.1)</f>
        <v>560.1</v>
      </c>
      <c r="Q178" s="32">
        <f>IFERROR(__xludf.DUMMYFUNCTION("""COMPUTED_VALUE"""),45435.66666666667)</f>
        <v>45435.66667</v>
      </c>
      <c r="R178" s="31">
        <f>IFERROR(__xludf.DUMMYFUNCTION("""COMPUTED_VALUE"""),23.02)</f>
        <v>23.02</v>
      </c>
      <c r="S178" s="32">
        <f>IFERROR(__xludf.DUMMYFUNCTION("""COMPUTED_VALUE"""),45435.6875)</f>
        <v>45435.6875</v>
      </c>
      <c r="T178" s="31">
        <f>IFERROR(__xludf.DUMMYFUNCTION("""COMPUTED_VALUE"""),6.36)</f>
        <v>6.36</v>
      </c>
      <c r="U178" s="32">
        <f>IFERROR(__xludf.DUMMYFUNCTION("""COMPUTED_VALUE"""),45357.99861111111)</f>
        <v>45357.99861</v>
      </c>
      <c r="V178" s="31">
        <f>IFERROR(__xludf.DUMMYFUNCTION("""COMPUTED_VALUE"""),1.0898)</f>
        <v>1.0898</v>
      </c>
    </row>
    <row r="179" ht="15.75" customHeight="1">
      <c r="A179" s="32">
        <f>IFERROR(__xludf.DUMMYFUNCTION("""COMPUTED_VALUE"""),45440.73611111111)</f>
        <v>45440.73611</v>
      </c>
      <c r="B179" s="31">
        <f>IFERROR(__xludf.DUMMYFUNCTION("""COMPUTED_VALUE"""),95.79)</f>
        <v>95.79</v>
      </c>
      <c r="C179" s="32">
        <f>IFERROR(__xludf.DUMMYFUNCTION("""COMPUTED_VALUE"""),45440.726388888885)</f>
        <v>45440.72639</v>
      </c>
      <c r="D179" s="31">
        <f>IFERROR(__xludf.DUMMYFUNCTION("""COMPUTED_VALUE"""),5.2)</f>
        <v>5.2</v>
      </c>
      <c r="E179" s="32">
        <f>IFERROR(__xludf.DUMMYFUNCTION("""COMPUTED_VALUE"""),45440.73611111111)</f>
        <v>45440.73611</v>
      </c>
      <c r="F179" s="31">
        <f>IFERROR(__xludf.DUMMYFUNCTION("""COMPUTED_VALUE"""),95.71)</f>
        <v>95.71</v>
      </c>
      <c r="G179" s="32">
        <f>IFERROR(__xludf.DUMMYFUNCTION("""COMPUTED_VALUE"""),45436.726388888885)</f>
        <v>45436.72639</v>
      </c>
      <c r="H179" s="31">
        <f>IFERROR(__xludf.DUMMYFUNCTION("""COMPUTED_VALUE"""),5.16)</f>
        <v>5.16</v>
      </c>
      <c r="I179" s="32">
        <f>IFERROR(__xludf.DUMMYFUNCTION("""COMPUTED_VALUE"""),45436.726388888885)</f>
        <v>45436.72639</v>
      </c>
      <c r="J179" s="31">
        <f>IFERROR(__xludf.DUMMYFUNCTION("""COMPUTED_VALUE"""),5.17)</f>
        <v>5.17</v>
      </c>
      <c r="K179" s="32">
        <f>IFERROR(__xludf.DUMMYFUNCTION("""COMPUTED_VALUE"""),45440.73611111111)</f>
        <v>45440.73611</v>
      </c>
      <c r="L179" s="31">
        <f>IFERROR(__xludf.DUMMYFUNCTION("""COMPUTED_VALUE"""),96.17)</f>
        <v>96.17</v>
      </c>
      <c r="M179" s="32">
        <f>IFERROR(__xludf.DUMMYFUNCTION("""COMPUTED_VALUE"""),45436.726388888885)</f>
        <v>45436.72639</v>
      </c>
      <c r="N179" s="31">
        <f>IFERROR(__xludf.DUMMYFUNCTION("""COMPUTED_VALUE"""),5.22)</f>
        <v>5.22</v>
      </c>
      <c r="O179" s="32">
        <f>IFERROR(__xludf.DUMMYFUNCTION("""COMPUTED_VALUE"""),45436.6875)</f>
        <v>45436.6875</v>
      </c>
      <c r="P179" s="31">
        <f>IFERROR(__xludf.DUMMYFUNCTION("""COMPUTED_VALUE"""),559.37)</f>
        <v>559.37</v>
      </c>
      <c r="Q179" s="32">
        <f>IFERROR(__xludf.DUMMYFUNCTION("""COMPUTED_VALUE"""),45436.66666666667)</f>
        <v>45436.66667</v>
      </c>
      <c r="R179" s="31">
        <f>IFERROR(__xludf.DUMMYFUNCTION("""COMPUTED_VALUE"""),23.11)</f>
        <v>23.11</v>
      </c>
      <c r="S179" s="32">
        <f>IFERROR(__xludf.DUMMYFUNCTION("""COMPUTED_VALUE"""),45436.6875)</f>
        <v>45436.6875</v>
      </c>
      <c r="T179" s="31">
        <f>IFERROR(__xludf.DUMMYFUNCTION("""COMPUTED_VALUE"""),6.36)</f>
        <v>6.36</v>
      </c>
      <c r="U179" s="32">
        <f>IFERROR(__xludf.DUMMYFUNCTION("""COMPUTED_VALUE"""),45358.99861111111)</f>
        <v>45358.99861</v>
      </c>
      <c r="V179" s="31">
        <f>IFERROR(__xludf.DUMMYFUNCTION("""COMPUTED_VALUE"""),1.09496)</f>
        <v>1.09496</v>
      </c>
    </row>
    <row r="180" ht="15.75" customHeight="1">
      <c r="A180" s="32">
        <f>IFERROR(__xludf.DUMMYFUNCTION("""COMPUTED_VALUE"""),45441.73611111111)</f>
        <v>45441.73611</v>
      </c>
      <c r="B180" s="31">
        <f>IFERROR(__xludf.DUMMYFUNCTION("""COMPUTED_VALUE"""),95.91)</f>
        <v>95.91</v>
      </c>
      <c r="C180" s="32">
        <f>IFERROR(__xludf.DUMMYFUNCTION("""COMPUTED_VALUE"""),45441.726388888885)</f>
        <v>45441.72639</v>
      </c>
      <c r="D180" s="31">
        <f>IFERROR(__xludf.DUMMYFUNCTION("""COMPUTED_VALUE"""),5.2)</f>
        <v>5.2</v>
      </c>
      <c r="E180" s="32">
        <f>IFERROR(__xludf.DUMMYFUNCTION("""COMPUTED_VALUE"""),45441.73611111111)</f>
        <v>45441.73611</v>
      </c>
      <c r="F180" s="31">
        <f>IFERROR(__xludf.DUMMYFUNCTION("""COMPUTED_VALUE"""),96.13)</f>
        <v>96.13</v>
      </c>
      <c r="G180" s="32">
        <f>IFERROR(__xludf.DUMMYFUNCTION("""COMPUTED_VALUE"""),45439.726388888885)</f>
        <v>45439.72639</v>
      </c>
      <c r="H180" s="31">
        <f>IFERROR(__xludf.DUMMYFUNCTION("""COMPUTED_VALUE"""),5.16)</f>
        <v>5.16</v>
      </c>
      <c r="I180" s="32">
        <f>IFERROR(__xludf.DUMMYFUNCTION("""COMPUTED_VALUE"""),45439.726388888885)</f>
        <v>45439.72639</v>
      </c>
      <c r="J180" s="31">
        <f>IFERROR(__xludf.DUMMYFUNCTION("""COMPUTED_VALUE"""),5.18)</f>
        <v>5.18</v>
      </c>
      <c r="K180" s="32">
        <f>IFERROR(__xludf.DUMMYFUNCTION("""COMPUTED_VALUE"""),45441.73611111111)</f>
        <v>45441.73611</v>
      </c>
      <c r="L180" s="31">
        <f>IFERROR(__xludf.DUMMYFUNCTION("""COMPUTED_VALUE"""),96.54)</f>
        <v>96.54</v>
      </c>
      <c r="M180" s="32">
        <f>IFERROR(__xludf.DUMMYFUNCTION("""COMPUTED_VALUE"""),45439.726388888885)</f>
        <v>45439.72639</v>
      </c>
      <c r="N180" s="31">
        <f>IFERROR(__xludf.DUMMYFUNCTION("""COMPUTED_VALUE"""),5.23)</f>
        <v>5.23</v>
      </c>
      <c r="O180" s="32">
        <f>IFERROR(__xludf.DUMMYFUNCTION("""COMPUTED_VALUE"""),45440.6875)</f>
        <v>45440.6875</v>
      </c>
      <c r="P180" s="31">
        <f>IFERROR(__xludf.DUMMYFUNCTION("""COMPUTED_VALUE"""),559.14)</f>
        <v>559.14</v>
      </c>
      <c r="Q180" s="32">
        <f>IFERROR(__xludf.DUMMYFUNCTION("""COMPUTED_VALUE"""),45440.66666666667)</f>
        <v>45440.66667</v>
      </c>
      <c r="R180" s="31">
        <f>IFERROR(__xludf.DUMMYFUNCTION("""COMPUTED_VALUE"""),23.01)</f>
        <v>23.01</v>
      </c>
      <c r="S180" s="32">
        <f>IFERROR(__xludf.DUMMYFUNCTION("""COMPUTED_VALUE"""),45440.6875)</f>
        <v>45440.6875</v>
      </c>
      <c r="T180" s="31">
        <f>IFERROR(__xludf.DUMMYFUNCTION("""COMPUTED_VALUE"""),6.36)</f>
        <v>6.36</v>
      </c>
      <c r="U180" s="32">
        <f>IFERROR(__xludf.DUMMYFUNCTION("""COMPUTED_VALUE"""),45359.99861111111)</f>
        <v>45359.99861</v>
      </c>
      <c r="V180" s="31">
        <f>IFERROR(__xludf.DUMMYFUNCTION("""COMPUTED_VALUE"""),1.0942)</f>
        <v>1.0942</v>
      </c>
    </row>
    <row r="181" ht="15.75" customHeight="1">
      <c r="A181" s="32">
        <f>IFERROR(__xludf.DUMMYFUNCTION("""COMPUTED_VALUE"""),45442.73611111111)</f>
        <v>45442.73611</v>
      </c>
      <c r="B181" s="31">
        <f>IFERROR(__xludf.DUMMYFUNCTION("""COMPUTED_VALUE"""),95.95)</f>
        <v>95.95</v>
      </c>
      <c r="C181" s="32">
        <f>IFERROR(__xludf.DUMMYFUNCTION("""COMPUTED_VALUE"""),45442.726388888885)</f>
        <v>45442.72639</v>
      </c>
      <c r="D181" s="31">
        <f>IFERROR(__xludf.DUMMYFUNCTION("""COMPUTED_VALUE"""),5.21)</f>
        <v>5.21</v>
      </c>
      <c r="E181" s="32">
        <f>IFERROR(__xludf.DUMMYFUNCTION("""COMPUTED_VALUE"""),45442.73611111111)</f>
        <v>45442.73611</v>
      </c>
      <c r="F181" s="31">
        <f>IFERROR(__xludf.DUMMYFUNCTION("""COMPUTED_VALUE"""),96.06)</f>
        <v>96.06</v>
      </c>
      <c r="G181" s="32">
        <f>IFERROR(__xludf.DUMMYFUNCTION("""COMPUTED_VALUE"""),45440.726388888885)</f>
        <v>45440.72639</v>
      </c>
      <c r="H181" s="31">
        <f>IFERROR(__xludf.DUMMYFUNCTION("""COMPUTED_VALUE"""),5.16)</f>
        <v>5.16</v>
      </c>
      <c r="I181" s="32">
        <f>IFERROR(__xludf.DUMMYFUNCTION("""COMPUTED_VALUE"""),45440.726388888885)</f>
        <v>45440.72639</v>
      </c>
      <c r="J181" s="31">
        <f>IFERROR(__xludf.DUMMYFUNCTION("""COMPUTED_VALUE"""),5.18)</f>
        <v>5.18</v>
      </c>
      <c r="K181" s="32">
        <f>IFERROR(__xludf.DUMMYFUNCTION("""COMPUTED_VALUE"""),45442.73611111111)</f>
        <v>45442.73611</v>
      </c>
      <c r="L181" s="31">
        <f>IFERROR(__xludf.DUMMYFUNCTION("""COMPUTED_VALUE"""),96.49)</f>
        <v>96.49</v>
      </c>
      <c r="M181" s="32">
        <f>IFERROR(__xludf.DUMMYFUNCTION("""COMPUTED_VALUE"""),45440.726388888885)</f>
        <v>45440.72639</v>
      </c>
      <c r="N181" s="31">
        <f>IFERROR(__xludf.DUMMYFUNCTION("""COMPUTED_VALUE"""),5.23)</f>
        <v>5.23</v>
      </c>
      <c r="O181" s="32">
        <f>IFERROR(__xludf.DUMMYFUNCTION("""COMPUTED_VALUE"""),45441.6875)</f>
        <v>45441.6875</v>
      </c>
      <c r="P181" s="31">
        <f>IFERROR(__xludf.DUMMYFUNCTION("""COMPUTED_VALUE"""),555.73)</f>
        <v>555.73</v>
      </c>
      <c r="Q181" s="32">
        <f>IFERROR(__xludf.DUMMYFUNCTION("""COMPUTED_VALUE"""),45441.66666666667)</f>
        <v>45441.66667</v>
      </c>
      <c r="R181" s="31">
        <f>IFERROR(__xludf.DUMMYFUNCTION("""COMPUTED_VALUE"""),22.96)</f>
        <v>22.96</v>
      </c>
      <c r="S181" s="32">
        <f>IFERROR(__xludf.DUMMYFUNCTION("""COMPUTED_VALUE"""),45441.6875)</f>
        <v>45441.6875</v>
      </c>
      <c r="T181" s="31">
        <f>IFERROR(__xludf.DUMMYFUNCTION("""COMPUTED_VALUE"""),6.33)</f>
        <v>6.33</v>
      </c>
      <c r="U181" s="32">
        <f>IFERROR(__xludf.DUMMYFUNCTION("""COMPUTED_VALUE"""),45360.99861111111)</f>
        <v>45360.99861</v>
      </c>
      <c r="V181" s="31">
        <f>IFERROR(__xludf.DUMMYFUNCTION("""COMPUTED_VALUE"""),1.0942)</f>
        <v>1.0942</v>
      </c>
    </row>
    <row r="182" ht="15.75" customHeight="1">
      <c r="A182" s="32">
        <f>IFERROR(__xludf.DUMMYFUNCTION("""COMPUTED_VALUE"""),45443.73611111111)</f>
        <v>45443.73611</v>
      </c>
      <c r="B182" s="31">
        <f>IFERROR(__xludf.DUMMYFUNCTION("""COMPUTED_VALUE"""),96.15)</f>
        <v>96.15</v>
      </c>
      <c r="C182" s="32">
        <f>IFERROR(__xludf.DUMMYFUNCTION("""COMPUTED_VALUE"""),45443.726388888885)</f>
        <v>45443.72639</v>
      </c>
      <c r="D182" s="31">
        <f>IFERROR(__xludf.DUMMYFUNCTION("""COMPUTED_VALUE"""),5.2)</f>
        <v>5.2</v>
      </c>
      <c r="E182" s="32">
        <f>IFERROR(__xludf.DUMMYFUNCTION("""COMPUTED_VALUE"""),45446.73611111111)</f>
        <v>45446.73611</v>
      </c>
      <c r="F182" s="31">
        <f>IFERROR(__xludf.DUMMYFUNCTION("""COMPUTED_VALUE"""),95.9)</f>
        <v>95.9</v>
      </c>
      <c r="G182" s="32">
        <f>IFERROR(__xludf.DUMMYFUNCTION("""COMPUTED_VALUE"""),45441.726388888885)</f>
        <v>45441.72639</v>
      </c>
      <c r="H182" s="31">
        <f>IFERROR(__xludf.DUMMYFUNCTION("""COMPUTED_VALUE"""),5.17)</f>
        <v>5.17</v>
      </c>
      <c r="I182" s="32">
        <f>IFERROR(__xludf.DUMMYFUNCTION("""COMPUTED_VALUE"""),45441.726388888885)</f>
        <v>45441.72639</v>
      </c>
      <c r="J182" s="31">
        <f>IFERROR(__xludf.DUMMYFUNCTION("""COMPUTED_VALUE"""),5.17)</f>
        <v>5.17</v>
      </c>
      <c r="K182" s="32">
        <f>IFERROR(__xludf.DUMMYFUNCTION("""COMPUTED_VALUE"""),45443.73611111111)</f>
        <v>45443.73611</v>
      </c>
      <c r="L182" s="31">
        <f>IFERROR(__xludf.DUMMYFUNCTION("""COMPUTED_VALUE"""),96.54)</f>
        <v>96.54</v>
      </c>
      <c r="M182" s="32">
        <f>IFERROR(__xludf.DUMMYFUNCTION("""COMPUTED_VALUE"""),45441.726388888885)</f>
        <v>45441.72639</v>
      </c>
      <c r="N182" s="31">
        <f>IFERROR(__xludf.DUMMYFUNCTION("""COMPUTED_VALUE"""),5.21)</f>
        <v>5.21</v>
      </c>
      <c r="O182" s="32">
        <f>IFERROR(__xludf.DUMMYFUNCTION("""COMPUTED_VALUE"""),45442.6875)</f>
        <v>45442.6875</v>
      </c>
      <c r="P182" s="31">
        <f>IFERROR(__xludf.DUMMYFUNCTION("""COMPUTED_VALUE"""),553.59)</f>
        <v>553.59</v>
      </c>
      <c r="Q182" s="32">
        <f>IFERROR(__xludf.DUMMYFUNCTION("""COMPUTED_VALUE"""),45442.66666666667)</f>
        <v>45442.66667</v>
      </c>
      <c r="R182" s="31">
        <f>IFERROR(__xludf.DUMMYFUNCTION("""COMPUTED_VALUE"""),23.02)</f>
        <v>23.02</v>
      </c>
      <c r="S182" s="32">
        <f>IFERROR(__xludf.DUMMYFUNCTION("""COMPUTED_VALUE"""),45442.6875)</f>
        <v>45442.6875</v>
      </c>
      <c r="T182" s="31">
        <f>IFERROR(__xludf.DUMMYFUNCTION("""COMPUTED_VALUE"""),6.34)</f>
        <v>6.34</v>
      </c>
      <c r="U182" s="32">
        <f>IFERROR(__xludf.DUMMYFUNCTION("""COMPUTED_VALUE"""),45361.99861111111)</f>
        <v>45361.99861</v>
      </c>
      <c r="V182" s="31">
        <f>IFERROR(__xludf.DUMMYFUNCTION("""COMPUTED_VALUE"""),1.09424)</f>
        <v>1.09424</v>
      </c>
    </row>
    <row r="183" ht="15.75" customHeight="1">
      <c r="A183" s="32">
        <f>IFERROR(__xludf.DUMMYFUNCTION("""COMPUTED_VALUE"""),45446.73611111111)</f>
        <v>45446.73611</v>
      </c>
      <c r="B183" s="31">
        <f>IFERROR(__xludf.DUMMYFUNCTION("""COMPUTED_VALUE"""),96.12)</f>
        <v>96.12</v>
      </c>
      <c r="C183" s="32">
        <f>IFERROR(__xludf.DUMMYFUNCTION("""COMPUTED_VALUE"""),45446.726388888885)</f>
        <v>45446.72639</v>
      </c>
      <c r="D183" s="31">
        <f>IFERROR(__xludf.DUMMYFUNCTION("""COMPUTED_VALUE"""),5.22)</f>
        <v>5.22</v>
      </c>
      <c r="E183" s="32">
        <f>IFERROR(__xludf.DUMMYFUNCTION("""COMPUTED_VALUE"""),45447.73611111111)</f>
        <v>45447.73611</v>
      </c>
      <c r="F183" s="31">
        <f>IFERROR(__xludf.DUMMYFUNCTION("""COMPUTED_VALUE"""),96.01)</f>
        <v>96.01</v>
      </c>
      <c r="G183" s="32">
        <f>IFERROR(__xludf.DUMMYFUNCTION("""COMPUTED_VALUE"""),45442.726388888885)</f>
        <v>45442.72639</v>
      </c>
      <c r="H183" s="31">
        <f>IFERROR(__xludf.DUMMYFUNCTION("""COMPUTED_VALUE"""),5.16)</f>
        <v>5.16</v>
      </c>
      <c r="I183" s="32">
        <f>IFERROR(__xludf.DUMMYFUNCTION("""COMPUTED_VALUE"""),45442.726388888885)</f>
        <v>45442.72639</v>
      </c>
      <c r="J183" s="31">
        <f>IFERROR(__xludf.DUMMYFUNCTION("""COMPUTED_VALUE"""),5.18)</f>
        <v>5.18</v>
      </c>
      <c r="K183" s="32">
        <f>IFERROR(__xludf.DUMMYFUNCTION("""COMPUTED_VALUE"""),45446.73611111111)</f>
        <v>45446.73611</v>
      </c>
      <c r="L183" s="31">
        <f>IFERROR(__xludf.DUMMYFUNCTION("""COMPUTED_VALUE"""),96.38)</f>
        <v>96.38</v>
      </c>
      <c r="M183" s="32">
        <f>IFERROR(__xludf.DUMMYFUNCTION("""COMPUTED_VALUE"""),45442.726388888885)</f>
        <v>45442.72639</v>
      </c>
      <c r="N183" s="31">
        <f>IFERROR(__xludf.DUMMYFUNCTION("""COMPUTED_VALUE"""),5.22)</f>
        <v>5.22</v>
      </c>
      <c r="O183" s="32">
        <f>IFERROR(__xludf.DUMMYFUNCTION("""COMPUTED_VALUE"""),45443.6875)</f>
        <v>45443.6875</v>
      </c>
      <c r="P183" s="31">
        <f>IFERROR(__xludf.DUMMYFUNCTION("""COMPUTED_VALUE"""),548.97)</f>
        <v>548.97</v>
      </c>
      <c r="Q183" s="32">
        <f>IFERROR(__xludf.DUMMYFUNCTION("""COMPUTED_VALUE"""),45443.66666666667)</f>
        <v>45443.66667</v>
      </c>
      <c r="R183" s="31">
        <f>IFERROR(__xludf.DUMMYFUNCTION("""COMPUTED_VALUE"""),23.07)</f>
        <v>23.07</v>
      </c>
      <c r="S183" s="32">
        <f>IFERROR(__xludf.DUMMYFUNCTION("""COMPUTED_VALUE"""),45443.6875)</f>
        <v>45443.6875</v>
      </c>
      <c r="T183" s="31">
        <f>IFERROR(__xludf.DUMMYFUNCTION("""COMPUTED_VALUE"""),6.37)</f>
        <v>6.37</v>
      </c>
      <c r="U183" s="32">
        <f>IFERROR(__xludf.DUMMYFUNCTION("""COMPUTED_VALUE"""),45362.99861111111)</f>
        <v>45362.99861</v>
      </c>
      <c r="V183" s="31">
        <f>IFERROR(__xludf.DUMMYFUNCTION("""COMPUTED_VALUE"""),1.09305)</f>
        <v>1.09305</v>
      </c>
    </row>
    <row r="184" ht="15.75" customHeight="1">
      <c r="A184" s="32">
        <f>IFERROR(__xludf.DUMMYFUNCTION("""COMPUTED_VALUE"""),45447.73611111111)</f>
        <v>45447.73611</v>
      </c>
      <c r="B184" s="31">
        <f>IFERROR(__xludf.DUMMYFUNCTION("""COMPUTED_VALUE"""),96.31)</f>
        <v>96.31</v>
      </c>
      <c r="C184" s="32">
        <f>IFERROR(__xludf.DUMMYFUNCTION("""COMPUTED_VALUE"""),45447.726388888885)</f>
        <v>45447.72639</v>
      </c>
      <c r="D184" s="31">
        <f>IFERROR(__xludf.DUMMYFUNCTION("""COMPUTED_VALUE"""),5.22)</f>
        <v>5.22</v>
      </c>
      <c r="E184" s="32">
        <f>IFERROR(__xludf.DUMMYFUNCTION("""COMPUTED_VALUE"""),45448.73611111111)</f>
        <v>45448.73611</v>
      </c>
      <c r="F184" s="31">
        <f>IFERROR(__xludf.DUMMYFUNCTION("""COMPUTED_VALUE"""),96.18)</f>
        <v>96.18</v>
      </c>
      <c r="G184" s="32">
        <f>IFERROR(__xludf.DUMMYFUNCTION("""COMPUTED_VALUE"""),45443.726388888885)</f>
        <v>45443.72639</v>
      </c>
      <c r="H184" s="31">
        <f>IFERROR(__xludf.DUMMYFUNCTION("""COMPUTED_VALUE"""),5.16)</f>
        <v>5.16</v>
      </c>
      <c r="I184" s="32">
        <f>IFERROR(__xludf.DUMMYFUNCTION("""COMPUTED_VALUE"""),45443.726388888885)</f>
        <v>45443.72639</v>
      </c>
      <c r="J184" s="31">
        <f>IFERROR(__xludf.DUMMYFUNCTION("""COMPUTED_VALUE"""),5.18)</f>
        <v>5.18</v>
      </c>
      <c r="K184" s="32">
        <f>IFERROR(__xludf.DUMMYFUNCTION("""COMPUTED_VALUE"""),45447.73611111111)</f>
        <v>45447.73611</v>
      </c>
      <c r="L184" s="31">
        <f>IFERROR(__xludf.DUMMYFUNCTION("""COMPUTED_VALUE"""),96.56)</f>
        <v>96.56</v>
      </c>
      <c r="M184" s="32">
        <f>IFERROR(__xludf.DUMMYFUNCTION("""COMPUTED_VALUE"""),45443.726388888885)</f>
        <v>45443.72639</v>
      </c>
      <c r="N184" s="31">
        <f>IFERROR(__xludf.DUMMYFUNCTION("""COMPUTED_VALUE"""),5.22)</f>
        <v>5.22</v>
      </c>
      <c r="O184" s="32">
        <f>IFERROR(__xludf.DUMMYFUNCTION("""COMPUTED_VALUE"""),45446.6875)</f>
        <v>45446.6875</v>
      </c>
      <c r="P184" s="31">
        <f>IFERROR(__xludf.DUMMYFUNCTION("""COMPUTED_VALUE"""),555.25)</f>
        <v>555.25</v>
      </c>
      <c r="Q184" s="32">
        <f>IFERROR(__xludf.DUMMYFUNCTION("""COMPUTED_VALUE"""),45446.66666666667)</f>
        <v>45446.66667</v>
      </c>
      <c r="R184" s="31">
        <f>IFERROR(__xludf.DUMMYFUNCTION("""COMPUTED_VALUE"""),23.04)</f>
        <v>23.04</v>
      </c>
      <c r="S184" s="32">
        <f>IFERROR(__xludf.DUMMYFUNCTION("""COMPUTED_VALUE"""),45446.6875)</f>
        <v>45446.6875</v>
      </c>
      <c r="T184" s="31">
        <f>IFERROR(__xludf.DUMMYFUNCTION("""COMPUTED_VALUE"""),6.38)</f>
        <v>6.38</v>
      </c>
      <c r="U184" s="32">
        <f>IFERROR(__xludf.DUMMYFUNCTION("""COMPUTED_VALUE"""),45363.99861111111)</f>
        <v>45363.99861</v>
      </c>
      <c r="V184" s="31">
        <f>IFERROR(__xludf.DUMMYFUNCTION("""COMPUTED_VALUE"""),1.09267)</f>
        <v>1.09267</v>
      </c>
    </row>
    <row r="185" ht="15.75" customHeight="1">
      <c r="A185" s="32">
        <f>IFERROR(__xludf.DUMMYFUNCTION("""COMPUTED_VALUE"""),45448.73611111111)</f>
        <v>45448.73611</v>
      </c>
      <c r="B185" s="31">
        <f>IFERROR(__xludf.DUMMYFUNCTION("""COMPUTED_VALUE"""),96.52)</f>
        <v>96.52</v>
      </c>
      <c r="C185" s="32">
        <f>IFERROR(__xludf.DUMMYFUNCTION("""COMPUTED_VALUE"""),45448.726388888885)</f>
        <v>45448.72639</v>
      </c>
      <c r="D185" s="31">
        <f>IFERROR(__xludf.DUMMYFUNCTION("""COMPUTED_VALUE"""),5.22)</f>
        <v>5.22</v>
      </c>
      <c r="E185" s="32">
        <f>IFERROR(__xludf.DUMMYFUNCTION("""COMPUTED_VALUE"""),45449.73611111111)</f>
        <v>45449.73611</v>
      </c>
      <c r="F185" s="31">
        <f>IFERROR(__xludf.DUMMYFUNCTION("""COMPUTED_VALUE"""),96.12)</f>
        <v>96.12</v>
      </c>
      <c r="G185" s="32">
        <f>IFERROR(__xludf.DUMMYFUNCTION("""COMPUTED_VALUE"""),45446.726388888885)</f>
        <v>45446.72639</v>
      </c>
      <c r="H185" s="31">
        <f>IFERROR(__xludf.DUMMYFUNCTION("""COMPUTED_VALUE"""),5.17)</f>
        <v>5.17</v>
      </c>
      <c r="I185" s="32">
        <f>IFERROR(__xludf.DUMMYFUNCTION("""COMPUTED_VALUE"""),45446.726388888885)</f>
        <v>45446.72639</v>
      </c>
      <c r="J185" s="31">
        <f>IFERROR(__xludf.DUMMYFUNCTION("""COMPUTED_VALUE"""),5.18)</f>
        <v>5.18</v>
      </c>
      <c r="K185" s="32">
        <f>IFERROR(__xludf.DUMMYFUNCTION("""COMPUTED_VALUE"""),45448.73611111111)</f>
        <v>45448.73611</v>
      </c>
      <c r="L185" s="31">
        <f>IFERROR(__xludf.DUMMYFUNCTION("""COMPUTED_VALUE"""),96.7)</f>
        <v>96.7</v>
      </c>
      <c r="M185" s="32">
        <f>IFERROR(__xludf.DUMMYFUNCTION("""COMPUTED_VALUE"""),45446.726388888885)</f>
        <v>45446.72639</v>
      </c>
      <c r="N185" s="31">
        <f>IFERROR(__xludf.DUMMYFUNCTION("""COMPUTED_VALUE"""),5.24)</f>
        <v>5.24</v>
      </c>
      <c r="O185" s="32">
        <f>IFERROR(__xludf.DUMMYFUNCTION("""COMPUTED_VALUE"""),45447.6875)</f>
        <v>45447.6875</v>
      </c>
      <c r="P185" s="31">
        <f>IFERROR(__xludf.DUMMYFUNCTION("""COMPUTED_VALUE"""),554.62)</f>
        <v>554.62</v>
      </c>
      <c r="Q185" s="32">
        <f>IFERROR(__xludf.DUMMYFUNCTION("""COMPUTED_VALUE"""),45447.66666666667)</f>
        <v>45447.66667</v>
      </c>
      <c r="R185" s="31">
        <f>IFERROR(__xludf.DUMMYFUNCTION("""COMPUTED_VALUE"""),23.03)</f>
        <v>23.03</v>
      </c>
      <c r="S185" s="32">
        <f>IFERROR(__xludf.DUMMYFUNCTION("""COMPUTED_VALUE"""),45447.6875)</f>
        <v>45447.6875</v>
      </c>
      <c r="T185" s="31">
        <f>IFERROR(__xludf.DUMMYFUNCTION("""COMPUTED_VALUE"""),6.39)</f>
        <v>6.39</v>
      </c>
      <c r="U185" s="32">
        <f>IFERROR(__xludf.DUMMYFUNCTION("""COMPUTED_VALUE"""),45364.99861111111)</f>
        <v>45364.99861</v>
      </c>
      <c r="V185" s="31">
        <f>IFERROR(__xludf.DUMMYFUNCTION("""COMPUTED_VALUE"""),1.09526)</f>
        <v>1.09526</v>
      </c>
    </row>
    <row r="186" ht="15.75" customHeight="1">
      <c r="A186" s="32">
        <f>IFERROR(__xludf.DUMMYFUNCTION("""COMPUTED_VALUE"""),45449.73611111111)</f>
        <v>45449.73611</v>
      </c>
      <c r="B186" s="31">
        <f>IFERROR(__xludf.DUMMYFUNCTION("""COMPUTED_VALUE"""),96.48)</f>
        <v>96.48</v>
      </c>
      <c r="C186" s="32">
        <f>IFERROR(__xludf.DUMMYFUNCTION("""COMPUTED_VALUE"""),45449.726388888885)</f>
        <v>45449.72639</v>
      </c>
      <c r="D186" s="31">
        <f>IFERROR(__xludf.DUMMYFUNCTION("""COMPUTED_VALUE"""),5.21)</f>
        <v>5.21</v>
      </c>
      <c r="E186" s="32">
        <f>IFERROR(__xludf.DUMMYFUNCTION("""COMPUTED_VALUE"""),45450.73611111111)</f>
        <v>45450.73611</v>
      </c>
      <c r="F186" s="31">
        <f>IFERROR(__xludf.DUMMYFUNCTION("""COMPUTED_VALUE"""),96.54)</f>
        <v>96.54</v>
      </c>
      <c r="G186" s="32">
        <f>IFERROR(__xludf.DUMMYFUNCTION("""COMPUTED_VALUE"""),45447.726388888885)</f>
        <v>45447.72639</v>
      </c>
      <c r="H186" s="31">
        <f>IFERROR(__xludf.DUMMYFUNCTION("""COMPUTED_VALUE"""),5.17)</f>
        <v>5.17</v>
      </c>
      <c r="I186" s="32">
        <f>IFERROR(__xludf.DUMMYFUNCTION("""COMPUTED_VALUE"""),45447.726388888885)</f>
        <v>45447.72639</v>
      </c>
      <c r="J186" s="31">
        <f>IFERROR(__xludf.DUMMYFUNCTION("""COMPUTED_VALUE"""),5.19)</f>
        <v>5.19</v>
      </c>
      <c r="K186" s="32">
        <f>IFERROR(__xludf.DUMMYFUNCTION("""COMPUTED_VALUE"""),45449.73611111111)</f>
        <v>45449.73611</v>
      </c>
      <c r="L186" s="31">
        <f>IFERROR(__xludf.DUMMYFUNCTION("""COMPUTED_VALUE"""),96.64)</f>
        <v>96.64</v>
      </c>
      <c r="M186" s="32">
        <f>IFERROR(__xludf.DUMMYFUNCTION("""COMPUTED_VALUE"""),45447.726388888885)</f>
        <v>45447.72639</v>
      </c>
      <c r="N186" s="31">
        <f>IFERROR(__xludf.DUMMYFUNCTION("""COMPUTED_VALUE"""),5.24)</f>
        <v>5.24</v>
      </c>
      <c r="O186" s="32">
        <f>IFERROR(__xludf.DUMMYFUNCTION("""COMPUTED_VALUE"""),45448.6875)</f>
        <v>45448.6875</v>
      </c>
      <c r="P186" s="31">
        <f>IFERROR(__xludf.DUMMYFUNCTION("""COMPUTED_VALUE"""),561.68)</f>
        <v>561.68</v>
      </c>
      <c r="Q186" s="32">
        <f>IFERROR(__xludf.DUMMYFUNCTION("""COMPUTED_VALUE"""),45448.66666666667)</f>
        <v>45448.66667</v>
      </c>
      <c r="R186" s="31">
        <f>IFERROR(__xludf.DUMMYFUNCTION("""COMPUTED_VALUE"""),23.13)</f>
        <v>23.13</v>
      </c>
      <c r="S186" s="32">
        <f>IFERROR(__xludf.DUMMYFUNCTION("""COMPUTED_VALUE"""),45448.6875)</f>
        <v>45448.6875</v>
      </c>
      <c r="T186" s="31">
        <f>IFERROR(__xludf.DUMMYFUNCTION("""COMPUTED_VALUE"""),6.4)</f>
        <v>6.4</v>
      </c>
      <c r="U186" s="32">
        <f>IFERROR(__xludf.DUMMYFUNCTION("""COMPUTED_VALUE"""),45365.99861111111)</f>
        <v>45365.99861</v>
      </c>
      <c r="V186" s="31">
        <f>IFERROR(__xludf.DUMMYFUNCTION("""COMPUTED_VALUE"""),1.0881)</f>
        <v>1.0881</v>
      </c>
    </row>
    <row r="187" ht="15.75" customHeight="1">
      <c r="A187" s="32">
        <f>IFERROR(__xludf.DUMMYFUNCTION("""COMPUTED_VALUE"""),45450.73611111111)</f>
        <v>45450.73611</v>
      </c>
      <c r="B187" s="31">
        <f>IFERROR(__xludf.DUMMYFUNCTION("""COMPUTED_VALUE"""),96.91)</f>
        <v>96.91</v>
      </c>
      <c r="C187" s="32">
        <f>IFERROR(__xludf.DUMMYFUNCTION("""COMPUTED_VALUE"""),45450.726388888885)</f>
        <v>45450.72639</v>
      </c>
      <c r="D187" s="31">
        <f>IFERROR(__xludf.DUMMYFUNCTION("""COMPUTED_VALUE"""),5.2)</f>
        <v>5.2</v>
      </c>
      <c r="E187" s="32">
        <f>IFERROR(__xludf.DUMMYFUNCTION("""COMPUTED_VALUE"""),45453.73611111111)</f>
        <v>45453.73611</v>
      </c>
      <c r="F187" s="31">
        <f>IFERROR(__xludf.DUMMYFUNCTION("""COMPUTED_VALUE"""),97.11)</f>
        <v>97.11</v>
      </c>
      <c r="G187" s="32">
        <f>IFERROR(__xludf.DUMMYFUNCTION("""COMPUTED_VALUE"""),45448.726388888885)</f>
        <v>45448.72639</v>
      </c>
      <c r="H187" s="31">
        <f>IFERROR(__xludf.DUMMYFUNCTION("""COMPUTED_VALUE"""),5.18)</f>
        <v>5.18</v>
      </c>
      <c r="I187" s="32">
        <f>IFERROR(__xludf.DUMMYFUNCTION("""COMPUTED_VALUE"""),45448.726388888885)</f>
        <v>45448.72639</v>
      </c>
      <c r="J187" s="31">
        <f>IFERROR(__xludf.DUMMYFUNCTION("""COMPUTED_VALUE"""),5.19)</f>
        <v>5.19</v>
      </c>
      <c r="K187" s="32">
        <f>IFERROR(__xludf.DUMMYFUNCTION("""COMPUTED_VALUE"""),45450.73611111111)</f>
        <v>45450.73611</v>
      </c>
      <c r="L187" s="31">
        <f>IFERROR(__xludf.DUMMYFUNCTION("""COMPUTED_VALUE"""),97.12)</f>
        <v>97.12</v>
      </c>
      <c r="M187" s="32">
        <f>IFERROR(__xludf.DUMMYFUNCTION("""COMPUTED_VALUE"""),45448.726388888885)</f>
        <v>45448.72639</v>
      </c>
      <c r="N187" s="31">
        <f>IFERROR(__xludf.DUMMYFUNCTION("""COMPUTED_VALUE"""),5.25)</f>
        <v>5.25</v>
      </c>
      <c r="O187" s="32">
        <f>IFERROR(__xludf.DUMMYFUNCTION("""COMPUTED_VALUE"""),45449.6875)</f>
        <v>45449.6875</v>
      </c>
      <c r="P187" s="31">
        <f>IFERROR(__xludf.DUMMYFUNCTION("""COMPUTED_VALUE"""),564.03)</f>
        <v>564.03</v>
      </c>
      <c r="Q187" s="32">
        <f>IFERROR(__xludf.DUMMYFUNCTION("""COMPUTED_VALUE"""),45449.66666666667)</f>
        <v>45449.66667</v>
      </c>
      <c r="R187" s="31">
        <f>IFERROR(__xludf.DUMMYFUNCTION("""COMPUTED_VALUE"""),23.07)</f>
        <v>23.07</v>
      </c>
      <c r="S187" s="32">
        <f>IFERROR(__xludf.DUMMYFUNCTION("""COMPUTED_VALUE"""),45449.6875)</f>
        <v>45449.6875</v>
      </c>
      <c r="T187" s="31">
        <f>IFERROR(__xludf.DUMMYFUNCTION("""COMPUTED_VALUE"""),6.41)</f>
        <v>6.41</v>
      </c>
      <c r="U187" s="32">
        <f>IFERROR(__xludf.DUMMYFUNCTION("""COMPUTED_VALUE"""),45366.99861111111)</f>
        <v>45366.99861</v>
      </c>
      <c r="V187" s="31">
        <f>IFERROR(__xludf.DUMMYFUNCTION("""COMPUTED_VALUE"""),1.0896)</f>
        <v>1.0896</v>
      </c>
    </row>
    <row r="188" ht="15.75" customHeight="1">
      <c r="A188" s="32">
        <f>IFERROR(__xludf.DUMMYFUNCTION("""COMPUTED_VALUE"""),45453.73611111111)</f>
        <v>45453.73611</v>
      </c>
      <c r="B188" s="31">
        <f>IFERROR(__xludf.DUMMYFUNCTION("""COMPUTED_VALUE"""),97.24)</f>
        <v>97.24</v>
      </c>
      <c r="C188" s="32">
        <f>IFERROR(__xludf.DUMMYFUNCTION("""COMPUTED_VALUE"""),45453.726388888885)</f>
        <v>45453.72639</v>
      </c>
      <c r="D188" s="31">
        <f>IFERROR(__xludf.DUMMYFUNCTION("""COMPUTED_VALUE"""),5.2)</f>
        <v>5.2</v>
      </c>
      <c r="E188" s="32">
        <f>IFERROR(__xludf.DUMMYFUNCTION("""COMPUTED_VALUE"""),45454.73611111111)</f>
        <v>45454.73611</v>
      </c>
      <c r="F188" s="31">
        <f>IFERROR(__xludf.DUMMYFUNCTION("""COMPUTED_VALUE"""),97.29)</f>
        <v>97.29</v>
      </c>
      <c r="G188" s="32">
        <f>IFERROR(__xludf.DUMMYFUNCTION("""COMPUTED_VALUE"""),45449.726388888885)</f>
        <v>45449.72639</v>
      </c>
      <c r="H188" s="31">
        <f>IFERROR(__xludf.DUMMYFUNCTION("""COMPUTED_VALUE"""),5.17)</f>
        <v>5.17</v>
      </c>
      <c r="I188" s="32">
        <f>IFERROR(__xludf.DUMMYFUNCTION("""COMPUTED_VALUE"""),45449.726388888885)</f>
        <v>45449.72639</v>
      </c>
      <c r="J188" s="31">
        <f>IFERROR(__xludf.DUMMYFUNCTION("""COMPUTED_VALUE"""),5.18)</f>
        <v>5.18</v>
      </c>
      <c r="K188" s="32">
        <f>IFERROR(__xludf.DUMMYFUNCTION("""COMPUTED_VALUE"""),45453.73611111111)</f>
        <v>45453.73611</v>
      </c>
      <c r="L188" s="31">
        <f>IFERROR(__xludf.DUMMYFUNCTION("""COMPUTED_VALUE"""),97.41)</f>
        <v>97.41</v>
      </c>
      <c r="M188" s="32">
        <f>IFERROR(__xludf.DUMMYFUNCTION("""COMPUTED_VALUE"""),45449.726388888885)</f>
        <v>45449.72639</v>
      </c>
      <c r="N188" s="31">
        <f>IFERROR(__xludf.DUMMYFUNCTION("""COMPUTED_VALUE"""),5.24)</f>
        <v>5.24</v>
      </c>
      <c r="O188" s="32">
        <f>IFERROR(__xludf.DUMMYFUNCTION("""COMPUTED_VALUE"""),45450.6875)</f>
        <v>45450.6875</v>
      </c>
      <c r="P188" s="31">
        <f>IFERROR(__xludf.DUMMYFUNCTION("""COMPUTED_VALUE"""),564.99)</f>
        <v>564.99</v>
      </c>
      <c r="Q188" s="32">
        <f>IFERROR(__xludf.DUMMYFUNCTION("""COMPUTED_VALUE"""),45450.66666666667)</f>
        <v>45450.66667</v>
      </c>
      <c r="R188" s="31">
        <f>IFERROR(__xludf.DUMMYFUNCTION("""COMPUTED_VALUE"""),23.04)</f>
        <v>23.04</v>
      </c>
      <c r="S188" s="32">
        <f>IFERROR(__xludf.DUMMYFUNCTION("""COMPUTED_VALUE"""),45450.6875)</f>
        <v>45450.6875</v>
      </c>
      <c r="T188" s="31">
        <f>IFERROR(__xludf.DUMMYFUNCTION("""COMPUTED_VALUE"""),6.38)</f>
        <v>6.38</v>
      </c>
      <c r="U188" s="32">
        <f>IFERROR(__xludf.DUMMYFUNCTION("""COMPUTED_VALUE"""),45367.99861111111)</f>
        <v>45367.99861</v>
      </c>
      <c r="V188" s="31">
        <f>IFERROR(__xludf.DUMMYFUNCTION("""COMPUTED_VALUE"""),1.0896)</f>
        <v>1.0896</v>
      </c>
    </row>
    <row r="189" ht="15.75" customHeight="1">
      <c r="A189" s="32">
        <f>IFERROR(__xludf.DUMMYFUNCTION("""COMPUTED_VALUE"""),45454.73611111111)</f>
        <v>45454.73611</v>
      </c>
      <c r="B189" s="31">
        <f>IFERROR(__xludf.DUMMYFUNCTION("""COMPUTED_VALUE"""),97.45)</f>
        <v>97.45</v>
      </c>
      <c r="C189" s="32">
        <f>IFERROR(__xludf.DUMMYFUNCTION("""COMPUTED_VALUE"""),45454.726388888885)</f>
        <v>45454.72639</v>
      </c>
      <c r="D189" s="31">
        <f>IFERROR(__xludf.DUMMYFUNCTION("""COMPUTED_VALUE"""),5.21)</f>
        <v>5.21</v>
      </c>
      <c r="E189" s="32">
        <f>IFERROR(__xludf.DUMMYFUNCTION("""COMPUTED_VALUE"""),45455.73611111111)</f>
        <v>45455.73611</v>
      </c>
      <c r="F189" s="31">
        <f>IFERROR(__xludf.DUMMYFUNCTION("""COMPUTED_VALUE"""),96.58)</f>
        <v>96.58</v>
      </c>
      <c r="G189" s="32">
        <f>IFERROR(__xludf.DUMMYFUNCTION("""COMPUTED_VALUE"""),45450.726388888885)</f>
        <v>45450.72639</v>
      </c>
      <c r="H189" s="31">
        <f>IFERROR(__xludf.DUMMYFUNCTION("""COMPUTED_VALUE"""),5.17)</f>
        <v>5.17</v>
      </c>
      <c r="I189" s="32">
        <f>IFERROR(__xludf.DUMMYFUNCTION("""COMPUTED_VALUE"""),45450.726388888885)</f>
        <v>45450.72639</v>
      </c>
      <c r="J189" s="31">
        <f>IFERROR(__xludf.DUMMYFUNCTION("""COMPUTED_VALUE"""),5.18)</f>
        <v>5.18</v>
      </c>
      <c r="K189" s="32">
        <f>IFERROR(__xludf.DUMMYFUNCTION("""COMPUTED_VALUE"""),45454.73611111111)</f>
        <v>45454.73611</v>
      </c>
      <c r="L189" s="31">
        <f>IFERROR(__xludf.DUMMYFUNCTION("""COMPUTED_VALUE"""),97.82)</f>
        <v>97.82</v>
      </c>
      <c r="M189" s="32">
        <f>IFERROR(__xludf.DUMMYFUNCTION("""COMPUTED_VALUE"""),45450.726388888885)</f>
        <v>45450.72639</v>
      </c>
      <c r="N189" s="31">
        <f>IFERROR(__xludf.DUMMYFUNCTION("""COMPUTED_VALUE"""),5.23)</f>
        <v>5.23</v>
      </c>
      <c r="O189" s="32">
        <f>IFERROR(__xludf.DUMMYFUNCTION("""COMPUTED_VALUE"""),45453.6875)</f>
        <v>45453.6875</v>
      </c>
      <c r="P189" s="31">
        <f>IFERROR(__xludf.DUMMYFUNCTION("""COMPUTED_VALUE"""),564.27)</f>
        <v>564.27</v>
      </c>
      <c r="Q189" s="32">
        <f>IFERROR(__xludf.DUMMYFUNCTION("""COMPUTED_VALUE"""),45453.66666666667)</f>
        <v>45453.66667</v>
      </c>
      <c r="R189" s="31">
        <f>IFERROR(__xludf.DUMMYFUNCTION("""COMPUTED_VALUE"""),23.06)</f>
        <v>23.06</v>
      </c>
      <c r="S189" s="32">
        <f>IFERROR(__xludf.DUMMYFUNCTION("""COMPUTED_VALUE"""),45453.6875)</f>
        <v>45453.6875</v>
      </c>
      <c r="T189" s="31">
        <f>IFERROR(__xludf.DUMMYFUNCTION("""COMPUTED_VALUE"""),6.38)</f>
        <v>6.38</v>
      </c>
      <c r="U189" s="32">
        <f>IFERROR(__xludf.DUMMYFUNCTION("""COMPUTED_VALUE"""),45368.99861111111)</f>
        <v>45368.99861</v>
      </c>
      <c r="V189" s="31">
        <f>IFERROR(__xludf.DUMMYFUNCTION("""COMPUTED_VALUE"""),1.08821)</f>
        <v>1.08821</v>
      </c>
    </row>
    <row r="190" ht="15.75" customHeight="1">
      <c r="A190" s="32">
        <f>IFERROR(__xludf.DUMMYFUNCTION("""COMPUTED_VALUE"""),45455.73611111111)</f>
        <v>45455.73611</v>
      </c>
      <c r="B190" s="31">
        <f>IFERROR(__xludf.DUMMYFUNCTION("""COMPUTED_VALUE"""),97.17)</f>
        <v>97.17</v>
      </c>
      <c r="C190" s="32">
        <f>IFERROR(__xludf.DUMMYFUNCTION("""COMPUTED_VALUE"""),45455.726388888885)</f>
        <v>45455.72639</v>
      </c>
      <c r="D190" s="31">
        <f>IFERROR(__xludf.DUMMYFUNCTION("""COMPUTED_VALUE"""),5.23)</f>
        <v>5.23</v>
      </c>
      <c r="E190" s="32">
        <f>IFERROR(__xludf.DUMMYFUNCTION("""COMPUTED_VALUE"""),45456.73611111111)</f>
        <v>45456.73611</v>
      </c>
      <c r="F190" s="31">
        <f>IFERROR(__xludf.DUMMYFUNCTION("""COMPUTED_VALUE"""),97.3)</f>
        <v>97.3</v>
      </c>
      <c r="G190" s="32">
        <f>IFERROR(__xludf.DUMMYFUNCTION("""COMPUTED_VALUE"""),45453.726388888885)</f>
        <v>45453.72639</v>
      </c>
      <c r="H190" s="31">
        <f>IFERROR(__xludf.DUMMYFUNCTION("""COMPUTED_VALUE"""),5.17)</f>
        <v>5.17</v>
      </c>
      <c r="I190" s="32">
        <f>IFERROR(__xludf.DUMMYFUNCTION("""COMPUTED_VALUE"""),45453.726388888885)</f>
        <v>45453.72639</v>
      </c>
      <c r="J190" s="31">
        <f>IFERROR(__xludf.DUMMYFUNCTION("""COMPUTED_VALUE"""),5.18)</f>
        <v>5.18</v>
      </c>
      <c r="K190" s="32">
        <f>IFERROR(__xludf.DUMMYFUNCTION("""COMPUTED_VALUE"""),45455.73611111111)</f>
        <v>45455.73611</v>
      </c>
      <c r="L190" s="31">
        <f>IFERROR(__xludf.DUMMYFUNCTION("""COMPUTED_VALUE"""),97.16)</f>
        <v>97.16</v>
      </c>
      <c r="M190" s="32">
        <f>IFERROR(__xludf.DUMMYFUNCTION("""COMPUTED_VALUE"""),45453.726388888885)</f>
        <v>45453.72639</v>
      </c>
      <c r="N190" s="31">
        <f>IFERROR(__xludf.DUMMYFUNCTION("""COMPUTED_VALUE"""),5.22)</f>
        <v>5.22</v>
      </c>
      <c r="O190" s="32">
        <f>IFERROR(__xludf.DUMMYFUNCTION("""COMPUTED_VALUE"""),45454.6875)</f>
        <v>45454.6875</v>
      </c>
      <c r="P190" s="31">
        <f>IFERROR(__xludf.DUMMYFUNCTION("""COMPUTED_VALUE"""),564.41)</f>
        <v>564.41</v>
      </c>
      <c r="Q190" s="32">
        <f>IFERROR(__xludf.DUMMYFUNCTION("""COMPUTED_VALUE"""),45454.66666666667)</f>
        <v>45454.66667</v>
      </c>
      <c r="R190" s="31">
        <f>IFERROR(__xludf.DUMMYFUNCTION("""COMPUTED_VALUE"""),23.1)</f>
        <v>23.1</v>
      </c>
      <c r="S190" s="32">
        <f>IFERROR(__xludf.DUMMYFUNCTION("""COMPUTED_VALUE"""),45454.6875)</f>
        <v>45454.6875</v>
      </c>
      <c r="T190" s="31">
        <f>IFERROR(__xludf.DUMMYFUNCTION("""COMPUTED_VALUE"""),6.4)</f>
        <v>6.4</v>
      </c>
      <c r="U190" s="32">
        <f>IFERROR(__xludf.DUMMYFUNCTION("""COMPUTED_VALUE"""),45369.99861111111)</f>
        <v>45369.99861</v>
      </c>
      <c r="V190" s="31">
        <f>IFERROR(__xludf.DUMMYFUNCTION("""COMPUTED_VALUE"""),1.0873)</f>
        <v>1.0873</v>
      </c>
    </row>
    <row r="191" ht="15.75" customHeight="1">
      <c r="A191" s="32">
        <f>IFERROR(__xludf.DUMMYFUNCTION("""COMPUTED_VALUE"""),45456.73611111111)</f>
        <v>45456.73611</v>
      </c>
      <c r="B191" s="31">
        <f>IFERROR(__xludf.DUMMYFUNCTION("""COMPUTED_VALUE"""),97.87)</f>
        <v>97.87</v>
      </c>
      <c r="C191" s="32">
        <f>IFERROR(__xludf.DUMMYFUNCTION("""COMPUTED_VALUE"""),45456.726388888885)</f>
        <v>45456.72639</v>
      </c>
      <c r="D191" s="31">
        <f>IFERROR(__xludf.DUMMYFUNCTION("""COMPUTED_VALUE"""),5.23)</f>
        <v>5.23</v>
      </c>
      <c r="E191" s="32">
        <f>IFERROR(__xludf.DUMMYFUNCTION("""COMPUTED_VALUE"""),45457.73611111111)</f>
        <v>45457.73611</v>
      </c>
      <c r="F191" s="31">
        <f>IFERROR(__xludf.DUMMYFUNCTION("""COMPUTED_VALUE"""),97.88)</f>
        <v>97.88</v>
      </c>
      <c r="G191" s="32">
        <f>IFERROR(__xludf.DUMMYFUNCTION("""COMPUTED_VALUE"""),45454.726388888885)</f>
        <v>45454.72639</v>
      </c>
      <c r="H191" s="31">
        <f>IFERROR(__xludf.DUMMYFUNCTION("""COMPUTED_VALUE"""),5.17)</f>
        <v>5.17</v>
      </c>
      <c r="I191" s="32">
        <f>IFERROR(__xludf.DUMMYFUNCTION("""COMPUTED_VALUE"""),45454.726388888885)</f>
        <v>45454.72639</v>
      </c>
      <c r="J191" s="31">
        <f>IFERROR(__xludf.DUMMYFUNCTION("""COMPUTED_VALUE"""),5.18)</f>
        <v>5.18</v>
      </c>
      <c r="K191" s="32">
        <f>IFERROR(__xludf.DUMMYFUNCTION("""COMPUTED_VALUE"""),45456.73611111111)</f>
        <v>45456.73611</v>
      </c>
      <c r="L191" s="31">
        <f>IFERROR(__xludf.DUMMYFUNCTION("""COMPUTED_VALUE"""),97.92)</f>
        <v>97.92</v>
      </c>
      <c r="M191" s="32">
        <f>IFERROR(__xludf.DUMMYFUNCTION("""COMPUTED_VALUE"""),45454.726388888885)</f>
        <v>45454.72639</v>
      </c>
      <c r="N191" s="31">
        <f>IFERROR(__xludf.DUMMYFUNCTION("""COMPUTED_VALUE"""),5.23)</f>
        <v>5.23</v>
      </c>
      <c r="O191" s="32">
        <f>IFERROR(__xludf.DUMMYFUNCTION("""COMPUTED_VALUE"""),45455.6875)</f>
        <v>45455.6875</v>
      </c>
      <c r="P191" s="31">
        <f>IFERROR(__xludf.DUMMYFUNCTION("""COMPUTED_VALUE"""),573.33)</f>
        <v>573.33</v>
      </c>
      <c r="Q191" s="32">
        <f>IFERROR(__xludf.DUMMYFUNCTION("""COMPUTED_VALUE"""),45455.66666666667)</f>
        <v>45455.66667</v>
      </c>
      <c r="R191" s="31">
        <f>IFERROR(__xludf.DUMMYFUNCTION("""COMPUTED_VALUE"""),23.19)</f>
        <v>23.19</v>
      </c>
      <c r="S191" s="32">
        <f>IFERROR(__xludf.DUMMYFUNCTION("""COMPUTED_VALUE"""),45455.6875)</f>
        <v>45455.6875</v>
      </c>
      <c r="T191" s="31">
        <f>IFERROR(__xludf.DUMMYFUNCTION("""COMPUTED_VALUE"""),6.42)</f>
        <v>6.42</v>
      </c>
      <c r="U191" s="32">
        <f>IFERROR(__xludf.DUMMYFUNCTION("""COMPUTED_VALUE"""),45370.99861111111)</f>
        <v>45370.99861</v>
      </c>
      <c r="V191" s="31">
        <f>IFERROR(__xludf.DUMMYFUNCTION("""COMPUTED_VALUE"""),1.08627)</f>
        <v>1.08627</v>
      </c>
    </row>
    <row r="192" ht="15.75" customHeight="1">
      <c r="A192" s="32">
        <f>IFERROR(__xludf.DUMMYFUNCTION("""COMPUTED_VALUE"""),45457.73611111111)</f>
        <v>45457.73611</v>
      </c>
      <c r="B192" s="31">
        <f>IFERROR(__xludf.DUMMYFUNCTION("""COMPUTED_VALUE"""),98.49)</f>
        <v>98.49</v>
      </c>
      <c r="C192" s="32">
        <f>IFERROR(__xludf.DUMMYFUNCTION("""COMPUTED_VALUE"""),45457.726388888885)</f>
        <v>45457.72639</v>
      </c>
      <c r="D192" s="31">
        <f>IFERROR(__xludf.DUMMYFUNCTION("""COMPUTED_VALUE"""),5.23)</f>
        <v>5.23</v>
      </c>
      <c r="E192" s="32">
        <f>IFERROR(__xludf.DUMMYFUNCTION("""COMPUTED_VALUE"""),45460.73611111111)</f>
        <v>45460.73611</v>
      </c>
      <c r="F192" s="31">
        <f>IFERROR(__xludf.DUMMYFUNCTION("""COMPUTED_VALUE"""),97.54)</f>
        <v>97.54</v>
      </c>
      <c r="G192" s="32">
        <f>IFERROR(__xludf.DUMMYFUNCTION("""COMPUTED_VALUE"""),45455.726388888885)</f>
        <v>45455.72639</v>
      </c>
      <c r="H192" s="31">
        <f>IFERROR(__xludf.DUMMYFUNCTION("""COMPUTED_VALUE"""),5.18)</f>
        <v>5.18</v>
      </c>
      <c r="I192" s="32">
        <f>IFERROR(__xludf.DUMMYFUNCTION("""COMPUTED_VALUE"""),45455.726388888885)</f>
        <v>45455.72639</v>
      </c>
      <c r="J192" s="31">
        <f>IFERROR(__xludf.DUMMYFUNCTION("""COMPUTED_VALUE"""),5.2)</f>
        <v>5.2</v>
      </c>
      <c r="K192" s="32">
        <f>IFERROR(__xludf.DUMMYFUNCTION("""COMPUTED_VALUE"""),45457.73611111111)</f>
        <v>45457.73611</v>
      </c>
      <c r="L192" s="31">
        <f>IFERROR(__xludf.DUMMYFUNCTION("""COMPUTED_VALUE"""),98.5)</f>
        <v>98.5</v>
      </c>
      <c r="M192" s="32">
        <f>IFERROR(__xludf.DUMMYFUNCTION("""COMPUTED_VALUE"""),45455.726388888885)</f>
        <v>45455.72639</v>
      </c>
      <c r="N192" s="31">
        <f>IFERROR(__xludf.DUMMYFUNCTION("""COMPUTED_VALUE"""),5.25)</f>
        <v>5.25</v>
      </c>
      <c r="O192" s="32">
        <f>IFERROR(__xludf.DUMMYFUNCTION("""COMPUTED_VALUE"""),45456.6875)</f>
        <v>45456.6875</v>
      </c>
      <c r="P192" s="31">
        <f>IFERROR(__xludf.DUMMYFUNCTION("""COMPUTED_VALUE"""),571.49)</f>
        <v>571.49</v>
      </c>
      <c r="Q192" s="32">
        <f>IFERROR(__xludf.DUMMYFUNCTION("""COMPUTED_VALUE"""),45456.66666666667)</f>
        <v>45456.66667</v>
      </c>
      <c r="R192" s="31">
        <f>IFERROR(__xludf.DUMMYFUNCTION("""COMPUTED_VALUE"""),23.18)</f>
        <v>23.18</v>
      </c>
      <c r="S192" s="32">
        <f>IFERROR(__xludf.DUMMYFUNCTION("""COMPUTED_VALUE"""),45456.6875)</f>
        <v>45456.6875</v>
      </c>
      <c r="T192" s="31">
        <f>IFERROR(__xludf.DUMMYFUNCTION("""COMPUTED_VALUE"""),6.42)</f>
        <v>6.42</v>
      </c>
      <c r="U192" s="32">
        <f>IFERROR(__xludf.DUMMYFUNCTION("""COMPUTED_VALUE"""),45371.99861111111)</f>
        <v>45371.99861</v>
      </c>
      <c r="V192" s="31">
        <f>IFERROR(__xludf.DUMMYFUNCTION("""COMPUTED_VALUE"""),1.09366)</f>
        <v>1.09366</v>
      </c>
    </row>
    <row r="193" ht="15.75" customHeight="1">
      <c r="A193" s="32">
        <f>IFERROR(__xludf.DUMMYFUNCTION("""COMPUTED_VALUE"""),45460.73611111111)</f>
        <v>45460.73611</v>
      </c>
      <c r="B193" s="31">
        <f>IFERROR(__xludf.DUMMYFUNCTION("""COMPUTED_VALUE"""),97.96)</f>
        <v>97.96</v>
      </c>
      <c r="C193" s="32">
        <f>IFERROR(__xludf.DUMMYFUNCTION("""COMPUTED_VALUE"""),45460.726388888885)</f>
        <v>45460.72639</v>
      </c>
      <c r="D193" s="31">
        <f>IFERROR(__xludf.DUMMYFUNCTION("""COMPUTED_VALUE"""),5.23)</f>
        <v>5.23</v>
      </c>
      <c r="E193" s="32">
        <f>IFERROR(__xludf.DUMMYFUNCTION("""COMPUTED_VALUE"""),45461.73611111111)</f>
        <v>45461.73611</v>
      </c>
      <c r="F193" s="31">
        <f>IFERROR(__xludf.DUMMYFUNCTION("""COMPUTED_VALUE"""),97.46)</f>
        <v>97.46</v>
      </c>
      <c r="G193" s="32">
        <f>IFERROR(__xludf.DUMMYFUNCTION("""COMPUTED_VALUE"""),45456.726388888885)</f>
        <v>45456.72639</v>
      </c>
      <c r="H193" s="31">
        <f>IFERROR(__xludf.DUMMYFUNCTION("""COMPUTED_VALUE"""),5.17)</f>
        <v>5.17</v>
      </c>
      <c r="I193" s="32">
        <f>IFERROR(__xludf.DUMMYFUNCTION("""COMPUTED_VALUE"""),45456.726388888885)</f>
        <v>45456.72639</v>
      </c>
      <c r="J193" s="31">
        <f>IFERROR(__xludf.DUMMYFUNCTION("""COMPUTED_VALUE"""),5.19)</f>
        <v>5.19</v>
      </c>
      <c r="K193" s="32">
        <f>IFERROR(__xludf.DUMMYFUNCTION("""COMPUTED_VALUE"""),45460.73611111111)</f>
        <v>45460.73611</v>
      </c>
      <c r="L193" s="31">
        <f>IFERROR(__xludf.DUMMYFUNCTION("""COMPUTED_VALUE"""),98.13)</f>
        <v>98.13</v>
      </c>
      <c r="M193" s="32">
        <f>IFERROR(__xludf.DUMMYFUNCTION("""COMPUTED_VALUE"""),45456.726388888885)</f>
        <v>45456.72639</v>
      </c>
      <c r="N193" s="31">
        <f>IFERROR(__xludf.DUMMYFUNCTION("""COMPUTED_VALUE"""),5.25)</f>
        <v>5.25</v>
      </c>
      <c r="O193" s="32">
        <f>IFERROR(__xludf.DUMMYFUNCTION("""COMPUTED_VALUE"""),45457.6875)</f>
        <v>45457.6875</v>
      </c>
      <c r="P193" s="31">
        <f>IFERROR(__xludf.DUMMYFUNCTION("""COMPUTED_VALUE"""),571.56)</f>
        <v>571.56</v>
      </c>
      <c r="Q193" s="32">
        <f>IFERROR(__xludf.DUMMYFUNCTION("""COMPUTED_VALUE"""),45457.66666666667)</f>
        <v>45457.66667</v>
      </c>
      <c r="R193" s="31">
        <f>IFERROR(__xludf.DUMMYFUNCTION("""COMPUTED_VALUE"""),23.08)</f>
        <v>23.08</v>
      </c>
      <c r="S193" s="32">
        <f>IFERROR(__xludf.DUMMYFUNCTION("""COMPUTED_VALUE"""),45457.6875)</f>
        <v>45457.6875</v>
      </c>
      <c r="T193" s="31">
        <f>IFERROR(__xludf.DUMMYFUNCTION("""COMPUTED_VALUE"""),6.4)</f>
        <v>6.4</v>
      </c>
      <c r="U193" s="32">
        <f>IFERROR(__xludf.DUMMYFUNCTION("""COMPUTED_VALUE"""),45372.99861111111)</f>
        <v>45372.99861</v>
      </c>
      <c r="V193" s="31">
        <f>IFERROR(__xludf.DUMMYFUNCTION("""COMPUTED_VALUE"""),1.086)</f>
        <v>1.086</v>
      </c>
    </row>
    <row r="194" ht="15.75" customHeight="1">
      <c r="A194" s="32">
        <f>IFERROR(__xludf.DUMMYFUNCTION("""COMPUTED_VALUE"""),45461.73611111111)</f>
        <v>45461.73611</v>
      </c>
      <c r="B194" s="31">
        <f>IFERROR(__xludf.DUMMYFUNCTION("""COMPUTED_VALUE"""),98.0)</f>
        <v>98</v>
      </c>
      <c r="C194" s="32">
        <f>IFERROR(__xludf.DUMMYFUNCTION("""COMPUTED_VALUE"""),45461.726388888885)</f>
        <v>45461.72639</v>
      </c>
      <c r="D194" s="31">
        <f>IFERROR(__xludf.DUMMYFUNCTION("""COMPUTED_VALUE"""),5.23)</f>
        <v>5.23</v>
      </c>
      <c r="E194" s="32">
        <f>IFERROR(__xludf.DUMMYFUNCTION("""COMPUTED_VALUE"""),45462.73611111111)</f>
        <v>45462.73611</v>
      </c>
      <c r="F194" s="31">
        <f>IFERROR(__xludf.DUMMYFUNCTION("""COMPUTED_VALUE"""),97.37)</f>
        <v>97.37</v>
      </c>
      <c r="G194" s="32">
        <f>IFERROR(__xludf.DUMMYFUNCTION("""COMPUTED_VALUE"""),45457.726388888885)</f>
        <v>45457.72639</v>
      </c>
      <c r="H194" s="31">
        <f>IFERROR(__xludf.DUMMYFUNCTION("""COMPUTED_VALUE"""),5.17)</f>
        <v>5.17</v>
      </c>
      <c r="I194" s="32">
        <f>IFERROR(__xludf.DUMMYFUNCTION("""COMPUTED_VALUE"""),45457.726388888885)</f>
        <v>45457.72639</v>
      </c>
      <c r="J194" s="31">
        <f>IFERROR(__xludf.DUMMYFUNCTION("""COMPUTED_VALUE"""),5.2)</f>
        <v>5.2</v>
      </c>
      <c r="K194" s="32">
        <f>IFERROR(__xludf.DUMMYFUNCTION("""COMPUTED_VALUE"""),45461.73611111111)</f>
        <v>45461.73611</v>
      </c>
      <c r="L194" s="31">
        <f>IFERROR(__xludf.DUMMYFUNCTION("""COMPUTED_VALUE"""),98.21)</f>
        <v>98.21</v>
      </c>
      <c r="M194" s="32">
        <f>IFERROR(__xludf.DUMMYFUNCTION("""COMPUTED_VALUE"""),45457.726388888885)</f>
        <v>45457.72639</v>
      </c>
      <c r="N194" s="31">
        <f>IFERROR(__xludf.DUMMYFUNCTION("""COMPUTED_VALUE"""),5.26)</f>
        <v>5.26</v>
      </c>
      <c r="O194" s="32">
        <f>IFERROR(__xludf.DUMMYFUNCTION("""COMPUTED_VALUE"""),45460.6875)</f>
        <v>45460.6875</v>
      </c>
      <c r="P194" s="31">
        <f>IFERROR(__xludf.DUMMYFUNCTION("""COMPUTED_VALUE"""),574.03)</f>
        <v>574.03</v>
      </c>
      <c r="Q194" s="32">
        <f>IFERROR(__xludf.DUMMYFUNCTION("""COMPUTED_VALUE"""),45460.66666666667)</f>
        <v>45460.66667</v>
      </c>
      <c r="R194" s="31">
        <f>IFERROR(__xludf.DUMMYFUNCTION("""COMPUTED_VALUE"""),23.13)</f>
        <v>23.13</v>
      </c>
      <c r="S194" s="32">
        <f>IFERROR(__xludf.DUMMYFUNCTION("""COMPUTED_VALUE"""),45460.6875)</f>
        <v>45460.6875</v>
      </c>
      <c r="T194" s="31">
        <f>IFERROR(__xludf.DUMMYFUNCTION("""COMPUTED_VALUE"""),6.4)</f>
        <v>6.4</v>
      </c>
      <c r="U194" s="32">
        <f>IFERROR(__xludf.DUMMYFUNCTION("""COMPUTED_VALUE"""),45373.99861111111)</f>
        <v>45373.99861</v>
      </c>
      <c r="V194" s="31">
        <f>IFERROR(__xludf.DUMMYFUNCTION("""COMPUTED_VALUE"""),1.0861)</f>
        <v>1.0861</v>
      </c>
    </row>
    <row r="195" ht="15.75" customHeight="1">
      <c r="A195" s="32">
        <f>IFERROR(__xludf.DUMMYFUNCTION("""COMPUTED_VALUE"""),45462.73611111111)</f>
        <v>45462.73611</v>
      </c>
      <c r="B195" s="31">
        <f>IFERROR(__xludf.DUMMYFUNCTION("""COMPUTED_VALUE"""),98.06)</f>
        <v>98.06</v>
      </c>
      <c r="C195" s="32">
        <f>IFERROR(__xludf.DUMMYFUNCTION("""COMPUTED_VALUE"""),45462.726388888885)</f>
        <v>45462.72639</v>
      </c>
      <c r="D195" s="31">
        <f>IFERROR(__xludf.DUMMYFUNCTION("""COMPUTED_VALUE"""),5.23)</f>
        <v>5.23</v>
      </c>
      <c r="E195" s="32">
        <f>IFERROR(__xludf.DUMMYFUNCTION("""COMPUTED_VALUE"""),45463.73611111111)</f>
        <v>45463.73611</v>
      </c>
      <c r="F195" s="31">
        <f>IFERROR(__xludf.DUMMYFUNCTION("""COMPUTED_VALUE"""),97.64)</f>
        <v>97.64</v>
      </c>
      <c r="G195" s="32">
        <f>IFERROR(__xludf.DUMMYFUNCTION("""COMPUTED_VALUE"""),45460.726388888885)</f>
        <v>45460.72639</v>
      </c>
      <c r="H195" s="31">
        <f>IFERROR(__xludf.DUMMYFUNCTION("""COMPUTED_VALUE"""),5.17)</f>
        <v>5.17</v>
      </c>
      <c r="I195" s="32">
        <f>IFERROR(__xludf.DUMMYFUNCTION("""COMPUTED_VALUE"""),45460.726388888885)</f>
        <v>45460.72639</v>
      </c>
      <c r="J195" s="31">
        <f>IFERROR(__xludf.DUMMYFUNCTION("""COMPUTED_VALUE"""),5.19)</f>
        <v>5.19</v>
      </c>
      <c r="K195" s="32">
        <f>IFERROR(__xludf.DUMMYFUNCTION("""COMPUTED_VALUE"""),45462.73611111111)</f>
        <v>45462.73611</v>
      </c>
      <c r="L195" s="31">
        <f>IFERROR(__xludf.DUMMYFUNCTION("""COMPUTED_VALUE"""),98.15)</f>
        <v>98.15</v>
      </c>
      <c r="M195" s="32">
        <f>IFERROR(__xludf.DUMMYFUNCTION("""COMPUTED_VALUE"""),45460.726388888885)</f>
        <v>45460.72639</v>
      </c>
      <c r="N195" s="31">
        <f>IFERROR(__xludf.DUMMYFUNCTION("""COMPUTED_VALUE"""),5.26)</f>
        <v>5.26</v>
      </c>
      <c r="O195" s="32">
        <f>IFERROR(__xludf.DUMMYFUNCTION("""COMPUTED_VALUE"""),45461.6875)</f>
        <v>45461.6875</v>
      </c>
      <c r="P195" s="31">
        <f>IFERROR(__xludf.DUMMYFUNCTION("""COMPUTED_VALUE"""),577.53)</f>
        <v>577.53</v>
      </c>
      <c r="Q195" s="32">
        <f>IFERROR(__xludf.DUMMYFUNCTION("""COMPUTED_VALUE"""),45461.66666666667)</f>
        <v>45461.66667</v>
      </c>
      <c r="R195" s="31">
        <f>IFERROR(__xludf.DUMMYFUNCTION("""COMPUTED_VALUE"""),23.19)</f>
        <v>23.19</v>
      </c>
      <c r="S195" s="32">
        <f>IFERROR(__xludf.DUMMYFUNCTION("""COMPUTED_VALUE"""),45461.6875)</f>
        <v>45461.6875</v>
      </c>
      <c r="T195" s="31">
        <f>IFERROR(__xludf.DUMMYFUNCTION("""COMPUTED_VALUE"""),6.42)</f>
        <v>6.42</v>
      </c>
      <c r="U195" s="32">
        <f>IFERROR(__xludf.DUMMYFUNCTION("""COMPUTED_VALUE"""),45374.99861111111)</f>
        <v>45374.99861</v>
      </c>
      <c r="V195" s="31">
        <f>IFERROR(__xludf.DUMMYFUNCTION("""COMPUTED_VALUE"""),1.0861)</f>
        <v>1.0861</v>
      </c>
    </row>
    <row r="196" ht="15.75" customHeight="1">
      <c r="A196" s="32">
        <f>IFERROR(__xludf.DUMMYFUNCTION("""COMPUTED_VALUE"""),45463.73611111111)</f>
        <v>45463.73611</v>
      </c>
      <c r="B196" s="31">
        <f>IFERROR(__xludf.DUMMYFUNCTION("""COMPUTED_VALUE"""),98.15)</f>
        <v>98.15</v>
      </c>
      <c r="C196" s="32">
        <f>IFERROR(__xludf.DUMMYFUNCTION("""COMPUTED_VALUE"""),45463.726388888885)</f>
        <v>45463.72639</v>
      </c>
      <c r="D196" s="31">
        <f>IFERROR(__xludf.DUMMYFUNCTION("""COMPUTED_VALUE"""),5.23)</f>
        <v>5.23</v>
      </c>
      <c r="E196" s="32">
        <f>IFERROR(__xludf.DUMMYFUNCTION("""COMPUTED_VALUE"""),45464.73611111111)</f>
        <v>45464.73611</v>
      </c>
      <c r="F196" s="31">
        <f>IFERROR(__xludf.DUMMYFUNCTION("""COMPUTED_VALUE"""),97.94)</f>
        <v>97.94</v>
      </c>
      <c r="G196" s="32">
        <f>IFERROR(__xludf.DUMMYFUNCTION("""COMPUTED_VALUE"""),45461.726388888885)</f>
        <v>45461.72639</v>
      </c>
      <c r="H196" s="31">
        <f>IFERROR(__xludf.DUMMYFUNCTION("""COMPUTED_VALUE"""),5.18)</f>
        <v>5.18</v>
      </c>
      <c r="I196" s="32">
        <f>IFERROR(__xludf.DUMMYFUNCTION("""COMPUTED_VALUE"""),45461.726388888885)</f>
        <v>45461.72639</v>
      </c>
      <c r="J196" s="31">
        <f>IFERROR(__xludf.DUMMYFUNCTION("""COMPUTED_VALUE"""),5.2)</f>
        <v>5.2</v>
      </c>
      <c r="K196" s="32">
        <f>IFERROR(__xludf.DUMMYFUNCTION("""COMPUTED_VALUE"""),45463.73611111111)</f>
        <v>45463.73611</v>
      </c>
      <c r="L196" s="31">
        <f>IFERROR(__xludf.DUMMYFUNCTION("""COMPUTED_VALUE"""),98.34)</f>
        <v>98.34</v>
      </c>
      <c r="M196" s="32">
        <f>IFERROR(__xludf.DUMMYFUNCTION("""COMPUTED_VALUE"""),45461.726388888885)</f>
        <v>45461.72639</v>
      </c>
      <c r="N196" s="31">
        <f>IFERROR(__xludf.DUMMYFUNCTION("""COMPUTED_VALUE"""),5.26)</f>
        <v>5.26</v>
      </c>
      <c r="O196" s="32">
        <f>IFERROR(__xludf.DUMMYFUNCTION("""COMPUTED_VALUE"""),45462.6875)</f>
        <v>45462.6875</v>
      </c>
      <c r="P196" s="31">
        <f>IFERROR(__xludf.DUMMYFUNCTION("""COMPUTED_VALUE"""),579.28)</f>
        <v>579.28</v>
      </c>
      <c r="Q196" s="32">
        <f>IFERROR(__xludf.DUMMYFUNCTION("""COMPUTED_VALUE"""),45463.66666666667)</f>
        <v>45463.66667</v>
      </c>
      <c r="R196" s="31">
        <f>IFERROR(__xludf.DUMMYFUNCTION("""COMPUTED_VALUE"""),23.12)</f>
        <v>23.12</v>
      </c>
      <c r="S196" s="32">
        <f>IFERROR(__xludf.DUMMYFUNCTION("""COMPUTED_VALUE"""),45462.6875)</f>
        <v>45462.6875</v>
      </c>
      <c r="T196" s="31">
        <f>IFERROR(__xludf.DUMMYFUNCTION("""COMPUTED_VALUE"""),6.42)</f>
        <v>6.42</v>
      </c>
      <c r="U196" s="32">
        <f>IFERROR(__xludf.DUMMYFUNCTION("""COMPUTED_VALUE"""),45375.99861111111)</f>
        <v>45375.99861</v>
      </c>
      <c r="V196" s="31">
        <f>IFERROR(__xludf.DUMMYFUNCTION("""COMPUTED_VALUE"""),1.0807)</f>
        <v>1.0807</v>
      </c>
    </row>
    <row r="197" ht="15.75" customHeight="1">
      <c r="A197" s="32">
        <f>IFERROR(__xludf.DUMMYFUNCTION("""COMPUTED_VALUE"""),45464.73611111111)</f>
        <v>45464.73611</v>
      </c>
      <c r="B197" s="31">
        <f>IFERROR(__xludf.DUMMYFUNCTION("""COMPUTED_VALUE"""),98.4)</f>
        <v>98.4</v>
      </c>
      <c r="C197" s="32">
        <f>IFERROR(__xludf.DUMMYFUNCTION("""COMPUTED_VALUE"""),45464.726388888885)</f>
        <v>45464.72639</v>
      </c>
      <c r="D197" s="31">
        <f>IFERROR(__xludf.DUMMYFUNCTION("""COMPUTED_VALUE"""),5.24)</f>
        <v>5.24</v>
      </c>
      <c r="E197" s="32">
        <f>IFERROR(__xludf.DUMMYFUNCTION("""COMPUTED_VALUE"""),45467.73611111111)</f>
        <v>45467.73611</v>
      </c>
      <c r="F197" s="31">
        <f>IFERROR(__xludf.DUMMYFUNCTION("""COMPUTED_VALUE"""),97.61)</f>
        <v>97.61</v>
      </c>
      <c r="G197" s="32">
        <f>IFERROR(__xludf.DUMMYFUNCTION("""COMPUTED_VALUE"""),45462.726388888885)</f>
        <v>45462.72639</v>
      </c>
      <c r="H197" s="31">
        <f>IFERROR(__xludf.DUMMYFUNCTION("""COMPUTED_VALUE"""),5.18)</f>
        <v>5.18</v>
      </c>
      <c r="I197" s="32">
        <f>IFERROR(__xludf.DUMMYFUNCTION("""COMPUTED_VALUE"""),45462.726388888885)</f>
        <v>45462.72639</v>
      </c>
      <c r="J197" s="31">
        <f>IFERROR(__xludf.DUMMYFUNCTION("""COMPUTED_VALUE"""),5.2)</f>
        <v>5.2</v>
      </c>
      <c r="K197" s="32">
        <f>IFERROR(__xludf.DUMMYFUNCTION("""COMPUTED_VALUE"""),45464.73611111111)</f>
        <v>45464.73611</v>
      </c>
      <c r="L197" s="31">
        <f>IFERROR(__xludf.DUMMYFUNCTION("""COMPUTED_VALUE"""),98.66)</f>
        <v>98.66</v>
      </c>
      <c r="M197" s="32">
        <f>IFERROR(__xludf.DUMMYFUNCTION("""COMPUTED_VALUE"""),45462.726388888885)</f>
        <v>45462.72639</v>
      </c>
      <c r="N197" s="31">
        <f>IFERROR(__xludf.DUMMYFUNCTION("""COMPUTED_VALUE"""),5.26)</f>
        <v>5.26</v>
      </c>
      <c r="O197" s="32">
        <f>IFERROR(__xludf.DUMMYFUNCTION("""COMPUTED_VALUE"""),45463.6875)</f>
        <v>45463.6875</v>
      </c>
      <c r="P197" s="31">
        <f>IFERROR(__xludf.DUMMYFUNCTION("""COMPUTED_VALUE"""),579.75)</f>
        <v>579.75</v>
      </c>
      <c r="Q197" s="32">
        <f>IFERROR(__xludf.DUMMYFUNCTION("""COMPUTED_VALUE"""),45464.66666666667)</f>
        <v>45464.66667</v>
      </c>
      <c r="R197" s="31">
        <f>IFERROR(__xludf.DUMMYFUNCTION("""COMPUTED_VALUE"""),23.16)</f>
        <v>23.16</v>
      </c>
      <c r="S197" s="32">
        <f>IFERROR(__xludf.DUMMYFUNCTION("""COMPUTED_VALUE"""),45463.6875)</f>
        <v>45463.6875</v>
      </c>
      <c r="T197" s="31">
        <f>IFERROR(__xludf.DUMMYFUNCTION("""COMPUTED_VALUE"""),6.41)</f>
        <v>6.41</v>
      </c>
      <c r="U197" s="32">
        <f>IFERROR(__xludf.DUMMYFUNCTION("""COMPUTED_VALUE"""),45376.99861111111)</f>
        <v>45376.99861</v>
      </c>
      <c r="V197" s="31">
        <f>IFERROR(__xludf.DUMMYFUNCTION("""COMPUTED_VALUE"""),1.08377)</f>
        <v>1.08377</v>
      </c>
    </row>
    <row r="198" ht="15.75" customHeight="1">
      <c r="A198" s="32">
        <f>IFERROR(__xludf.DUMMYFUNCTION("""COMPUTED_VALUE"""),45467.73611111111)</f>
        <v>45467.73611</v>
      </c>
      <c r="B198" s="31">
        <f>IFERROR(__xludf.DUMMYFUNCTION("""COMPUTED_VALUE"""),98.11)</f>
        <v>98.11</v>
      </c>
      <c r="C198" s="32">
        <f>IFERROR(__xludf.DUMMYFUNCTION("""COMPUTED_VALUE"""),45467.726388888885)</f>
        <v>45467.72639</v>
      </c>
      <c r="D198" s="31">
        <f>IFERROR(__xludf.DUMMYFUNCTION("""COMPUTED_VALUE"""),5.24)</f>
        <v>5.24</v>
      </c>
      <c r="E198" s="32">
        <f>IFERROR(__xludf.DUMMYFUNCTION("""COMPUTED_VALUE"""),45468.73611111111)</f>
        <v>45468.73611</v>
      </c>
      <c r="F198" s="31">
        <f>IFERROR(__xludf.DUMMYFUNCTION("""COMPUTED_VALUE"""),97.79)</f>
        <v>97.79</v>
      </c>
      <c r="G198" s="32">
        <f>IFERROR(__xludf.DUMMYFUNCTION("""COMPUTED_VALUE"""),45463.726388888885)</f>
        <v>45463.72639</v>
      </c>
      <c r="H198" s="31">
        <f>IFERROR(__xludf.DUMMYFUNCTION("""COMPUTED_VALUE"""),5.18)</f>
        <v>5.18</v>
      </c>
      <c r="I198" s="32">
        <f>IFERROR(__xludf.DUMMYFUNCTION("""COMPUTED_VALUE"""),45463.726388888885)</f>
        <v>45463.72639</v>
      </c>
      <c r="J198" s="31">
        <f>IFERROR(__xludf.DUMMYFUNCTION("""COMPUTED_VALUE"""),5.2)</f>
        <v>5.2</v>
      </c>
      <c r="K198" s="32">
        <f>IFERROR(__xludf.DUMMYFUNCTION("""COMPUTED_VALUE"""),45467.73611111111)</f>
        <v>45467.73611</v>
      </c>
      <c r="L198" s="31">
        <f>IFERROR(__xludf.DUMMYFUNCTION("""COMPUTED_VALUE"""),98.23)</f>
        <v>98.23</v>
      </c>
      <c r="M198" s="32">
        <f>IFERROR(__xludf.DUMMYFUNCTION("""COMPUTED_VALUE"""),45463.726388888885)</f>
        <v>45463.72639</v>
      </c>
      <c r="N198" s="31">
        <f>IFERROR(__xludf.DUMMYFUNCTION("""COMPUTED_VALUE"""),5.26)</f>
        <v>5.26</v>
      </c>
      <c r="O198" s="32">
        <f>IFERROR(__xludf.DUMMYFUNCTION("""COMPUTED_VALUE"""),45464.6875)</f>
        <v>45464.6875</v>
      </c>
      <c r="P198" s="31">
        <f>IFERROR(__xludf.DUMMYFUNCTION("""COMPUTED_VALUE"""),576.23)</f>
        <v>576.23</v>
      </c>
      <c r="Q198" s="32">
        <f>IFERROR(__xludf.DUMMYFUNCTION("""COMPUTED_VALUE"""),45467.66666666667)</f>
        <v>45467.66667</v>
      </c>
      <c r="R198" s="31">
        <f>IFERROR(__xludf.DUMMYFUNCTION("""COMPUTED_VALUE"""),23.16)</f>
        <v>23.16</v>
      </c>
      <c r="S198" s="32">
        <f>IFERROR(__xludf.DUMMYFUNCTION("""COMPUTED_VALUE"""),45464.6875)</f>
        <v>45464.6875</v>
      </c>
      <c r="T198" s="31">
        <f>IFERROR(__xludf.DUMMYFUNCTION("""COMPUTED_VALUE"""),6.42)</f>
        <v>6.42</v>
      </c>
      <c r="U198" s="32">
        <f>IFERROR(__xludf.DUMMYFUNCTION("""COMPUTED_VALUE"""),45377.99861111111)</f>
        <v>45377.99861</v>
      </c>
      <c r="V198" s="31">
        <f>IFERROR(__xludf.DUMMYFUNCTION("""COMPUTED_VALUE"""),1.08318)</f>
        <v>1.08318</v>
      </c>
    </row>
    <row r="199" ht="15.75" customHeight="1">
      <c r="A199" s="32">
        <f>IFERROR(__xludf.DUMMYFUNCTION("""COMPUTED_VALUE"""),45468.73611111111)</f>
        <v>45468.73611</v>
      </c>
      <c r="B199" s="31">
        <f>IFERROR(__xludf.DUMMYFUNCTION("""COMPUTED_VALUE"""),98.25)</f>
        <v>98.25</v>
      </c>
      <c r="C199" s="32">
        <f>IFERROR(__xludf.DUMMYFUNCTION("""COMPUTED_VALUE"""),45468.726388888885)</f>
        <v>45468.72639</v>
      </c>
      <c r="D199" s="31">
        <f>IFERROR(__xludf.DUMMYFUNCTION("""COMPUTED_VALUE"""),5.24)</f>
        <v>5.24</v>
      </c>
      <c r="E199" s="32">
        <f>IFERROR(__xludf.DUMMYFUNCTION("""COMPUTED_VALUE"""),45469.73611111111)</f>
        <v>45469.73611</v>
      </c>
      <c r="F199" s="31">
        <f>IFERROR(__xludf.DUMMYFUNCTION("""COMPUTED_VALUE"""),97.9)</f>
        <v>97.9</v>
      </c>
      <c r="G199" s="32">
        <f>IFERROR(__xludf.DUMMYFUNCTION("""COMPUTED_VALUE"""),45464.726388888885)</f>
        <v>45464.72639</v>
      </c>
      <c r="H199" s="31">
        <f>IFERROR(__xludf.DUMMYFUNCTION("""COMPUTED_VALUE"""),5.18)</f>
        <v>5.18</v>
      </c>
      <c r="I199" s="32">
        <f>IFERROR(__xludf.DUMMYFUNCTION("""COMPUTED_VALUE"""),45464.726388888885)</f>
        <v>45464.72639</v>
      </c>
      <c r="J199" s="31">
        <f>IFERROR(__xludf.DUMMYFUNCTION("""COMPUTED_VALUE"""),5.2)</f>
        <v>5.2</v>
      </c>
      <c r="K199" s="32">
        <f>IFERROR(__xludf.DUMMYFUNCTION("""COMPUTED_VALUE"""),45468.73611111111)</f>
        <v>45468.73611</v>
      </c>
      <c r="L199" s="31">
        <f>IFERROR(__xludf.DUMMYFUNCTION("""COMPUTED_VALUE"""),98.36)</f>
        <v>98.36</v>
      </c>
      <c r="M199" s="32">
        <f>IFERROR(__xludf.DUMMYFUNCTION("""COMPUTED_VALUE"""),45464.726388888885)</f>
        <v>45464.72639</v>
      </c>
      <c r="N199" s="31">
        <f>IFERROR(__xludf.DUMMYFUNCTION("""COMPUTED_VALUE"""),5.26)</f>
        <v>5.26</v>
      </c>
      <c r="O199" s="32">
        <f>IFERROR(__xludf.DUMMYFUNCTION("""COMPUTED_VALUE"""),45467.6875)</f>
        <v>45467.6875</v>
      </c>
      <c r="P199" s="31">
        <f>IFERROR(__xludf.DUMMYFUNCTION("""COMPUTED_VALUE"""),578.38)</f>
        <v>578.38</v>
      </c>
      <c r="Q199" s="32">
        <f>IFERROR(__xludf.DUMMYFUNCTION("""COMPUTED_VALUE"""),45468.66666666667)</f>
        <v>45468.66667</v>
      </c>
      <c r="R199" s="31">
        <f>IFERROR(__xludf.DUMMYFUNCTION("""COMPUTED_VALUE"""),23.19)</f>
        <v>23.19</v>
      </c>
      <c r="S199" s="32">
        <f>IFERROR(__xludf.DUMMYFUNCTION("""COMPUTED_VALUE"""),45467.6875)</f>
        <v>45467.6875</v>
      </c>
      <c r="T199" s="31">
        <f>IFERROR(__xludf.DUMMYFUNCTION("""COMPUTED_VALUE"""),6.42)</f>
        <v>6.42</v>
      </c>
      <c r="U199" s="32">
        <f>IFERROR(__xludf.DUMMYFUNCTION("""COMPUTED_VALUE"""),45378.99861111111)</f>
        <v>45378.99861</v>
      </c>
      <c r="V199" s="31">
        <f>IFERROR(__xludf.DUMMYFUNCTION("""COMPUTED_VALUE"""),1.0812)</f>
        <v>1.0812</v>
      </c>
    </row>
    <row r="200" ht="15.75" customHeight="1">
      <c r="A200" s="32">
        <f>IFERROR(__xludf.DUMMYFUNCTION("""COMPUTED_VALUE"""),45469.73611111111)</f>
        <v>45469.73611</v>
      </c>
      <c r="B200" s="31">
        <f>IFERROR(__xludf.DUMMYFUNCTION("""COMPUTED_VALUE"""),98.26)</f>
        <v>98.26</v>
      </c>
      <c r="C200" s="32">
        <f>IFERROR(__xludf.DUMMYFUNCTION("""COMPUTED_VALUE"""),45469.726388888885)</f>
        <v>45469.72639</v>
      </c>
      <c r="D200" s="31">
        <f>IFERROR(__xludf.DUMMYFUNCTION("""COMPUTED_VALUE"""),5.24)</f>
        <v>5.24</v>
      </c>
      <c r="E200" s="32">
        <f>IFERROR(__xludf.DUMMYFUNCTION("""COMPUTED_VALUE"""),45470.73611111111)</f>
        <v>45470.73611</v>
      </c>
      <c r="F200" s="31">
        <f>IFERROR(__xludf.DUMMYFUNCTION("""COMPUTED_VALUE"""),97.8)</f>
        <v>97.8</v>
      </c>
      <c r="G200" s="32">
        <f>IFERROR(__xludf.DUMMYFUNCTION("""COMPUTED_VALUE"""),45467.726388888885)</f>
        <v>45467.72639</v>
      </c>
      <c r="H200" s="31">
        <f>IFERROR(__xludf.DUMMYFUNCTION("""COMPUTED_VALUE"""),5.18)</f>
        <v>5.18</v>
      </c>
      <c r="I200" s="32">
        <f>IFERROR(__xludf.DUMMYFUNCTION("""COMPUTED_VALUE"""),45467.726388888885)</f>
        <v>45467.72639</v>
      </c>
      <c r="J200" s="31">
        <f>IFERROR(__xludf.DUMMYFUNCTION("""COMPUTED_VALUE"""),5.21)</f>
        <v>5.21</v>
      </c>
      <c r="K200" s="32">
        <f>IFERROR(__xludf.DUMMYFUNCTION("""COMPUTED_VALUE"""),45469.73611111111)</f>
        <v>45469.73611</v>
      </c>
      <c r="L200" s="31">
        <f>IFERROR(__xludf.DUMMYFUNCTION("""COMPUTED_VALUE"""),98.4)</f>
        <v>98.4</v>
      </c>
      <c r="M200" s="32">
        <f>IFERROR(__xludf.DUMMYFUNCTION("""COMPUTED_VALUE"""),45467.726388888885)</f>
        <v>45467.72639</v>
      </c>
      <c r="N200" s="31">
        <f>IFERROR(__xludf.DUMMYFUNCTION("""COMPUTED_VALUE"""),5.26)</f>
        <v>5.26</v>
      </c>
      <c r="O200" s="32">
        <f>IFERROR(__xludf.DUMMYFUNCTION("""COMPUTED_VALUE"""),45468.6875)</f>
        <v>45468.6875</v>
      </c>
      <c r="P200" s="31">
        <f>IFERROR(__xludf.DUMMYFUNCTION("""COMPUTED_VALUE"""),576.44)</f>
        <v>576.44</v>
      </c>
      <c r="Q200" s="32">
        <f>IFERROR(__xludf.DUMMYFUNCTION("""COMPUTED_VALUE"""),45469.66666666667)</f>
        <v>45469.66667</v>
      </c>
      <c r="R200" s="31">
        <f>IFERROR(__xludf.DUMMYFUNCTION("""COMPUTED_VALUE"""),23.15)</f>
        <v>23.15</v>
      </c>
      <c r="S200" s="32">
        <f>IFERROR(__xludf.DUMMYFUNCTION("""COMPUTED_VALUE"""),45468.6875)</f>
        <v>45468.6875</v>
      </c>
      <c r="T200" s="31">
        <f>IFERROR(__xludf.DUMMYFUNCTION("""COMPUTED_VALUE"""),6.41)</f>
        <v>6.41</v>
      </c>
      <c r="U200" s="32">
        <f>IFERROR(__xludf.DUMMYFUNCTION("""COMPUTED_VALUE"""),45379.99861111111)</f>
        <v>45379.99861</v>
      </c>
      <c r="V200" s="31">
        <f>IFERROR(__xludf.DUMMYFUNCTION("""COMPUTED_VALUE"""),1.07911)</f>
        <v>1.07911</v>
      </c>
    </row>
    <row r="201" ht="15.75" customHeight="1">
      <c r="A201" s="32">
        <f>IFERROR(__xludf.DUMMYFUNCTION("""COMPUTED_VALUE"""),45470.73611111111)</f>
        <v>45470.73611</v>
      </c>
      <c r="B201" s="31">
        <f>IFERROR(__xludf.DUMMYFUNCTION("""COMPUTED_VALUE"""),98.24)</f>
        <v>98.24</v>
      </c>
      <c r="C201" s="32">
        <f>IFERROR(__xludf.DUMMYFUNCTION("""COMPUTED_VALUE"""),45470.726388888885)</f>
        <v>45470.72639</v>
      </c>
      <c r="D201" s="31">
        <f>IFERROR(__xludf.DUMMYFUNCTION("""COMPUTED_VALUE"""),5.24)</f>
        <v>5.24</v>
      </c>
      <c r="E201" s="32">
        <f>IFERROR(__xludf.DUMMYFUNCTION("""COMPUTED_VALUE"""),45471.73611111111)</f>
        <v>45471.73611</v>
      </c>
      <c r="F201" s="31">
        <f>IFERROR(__xludf.DUMMYFUNCTION("""COMPUTED_VALUE"""),97.75)</f>
        <v>97.75</v>
      </c>
      <c r="G201" s="32">
        <f>IFERROR(__xludf.DUMMYFUNCTION("""COMPUTED_VALUE"""),45468.726388888885)</f>
        <v>45468.72639</v>
      </c>
      <c r="H201" s="31">
        <f>IFERROR(__xludf.DUMMYFUNCTION("""COMPUTED_VALUE"""),5.18)</f>
        <v>5.18</v>
      </c>
      <c r="I201" s="32">
        <f>IFERROR(__xludf.DUMMYFUNCTION("""COMPUTED_VALUE"""),45468.726388888885)</f>
        <v>45468.72639</v>
      </c>
      <c r="J201" s="31">
        <f>IFERROR(__xludf.DUMMYFUNCTION("""COMPUTED_VALUE"""),5.21)</f>
        <v>5.21</v>
      </c>
      <c r="K201" s="32">
        <f>IFERROR(__xludf.DUMMYFUNCTION("""COMPUTED_VALUE"""),45470.73611111111)</f>
        <v>45470.73611</v>
      </c>
      <c r="L201" s="31">
        <f>IFERROR(__xludf.DUMMYFUNCTION("""COMPUTED_VALUE"""),98.4)</f>
        <v>98.4</v>
      </c>
      <c r="M201" s="32">
        <f>IFERROR(__xludf.DUMMYFUNCTION("""COMPUTED_VALUE"""),45468.726388888885)</f>
        <v>45468.72639</v>
      </c>
      <c r="N201" s="31">
        <f>IFERROR(__xludf.DUMMYFUNCTION("""COMPUTED_VALUE"""),5.27)</f>
        <v>5.27</v>
      </c>
      <c r="O201" s="32">
        <f>IFERROR(__xludf.DUMMYFUNCTION("""COMPUTED_VALUE"""),45469.6875)</f>
        <v>45469.6875</v>
      </c>
      <c r="P201" s="31">
        <f>IFERROR(__xludf.DUMMYFUNCTION("""COMPUTED_VALUE"""),575.8)</f>
        <v>575.8</v>
      </c>
      <c r="Q201" s="32">
        <f>IFERROR(__xludf.DUMMYFUNCTION("""COMPUTED_VALUE"""),45470.66666666667)</f>
        <v>45470.66667</v>
      </c>
      <c r="R201" s="31">
        <f>IFERROR(__xludf.DUMMYFUNCTION("""COMPUTED_VALUE"""),23.16)</f>
        <v>23.16</v>
      </c>
      <c r="S201" s="32">
        <f>IFERROR(__xludf.DUMMYFUNCTION("""COMPUTED_VALUE"""),45469.6875)</f>
        <v>45469.6875</v>
      </c>
      <c r="T201" s="31">
        <f>IFERROR(__xludf.DUMMYFUNCTION("""COMPUTED_VALUE"""),6.4)</f>
        <v>6.4</v>
      </c>
      <c r="U201" s="32">
        <f>IFERROR(__xludf.DUMMYFUNCTION("""COMPUTED_VALUE"""),45380.99861111111)</f>
        <v>45380.99861</v>
      </c>
      <c r="V201" s="31">
        <f>IFERROR(__xludf.DUMMYFUNCTION("""COMPUTED_VALUE"""),1.0799)</f>
        <v>1.0799</v>
      </c>
    </row>
    <row r="202" ht="15.75" customHeight="1">
      <c r="A202" s="32">
        <f>IFERROR(__xludf.DUMMYFUNCTION("""COMPUTED_VALUE"""),45471.73611111111)</f>
        <v>45471.73611</v>
      </c>
      <c r="B202" s="31">
        <f>IFERROR(__xludf.DUMMYFUNCTION("""COMPUTED_VALUE"""),98.1)</f>
        <v>98.1</v>
      </c>
      <c r="C202" s="32">
        <f>IFERROR(__xludf.DUMMYFUNCTION("""COMPUTED_VALUE"""),45471.726388888885)</f>
        <v>45471.72639</v>
      </c>
      <c r="D202" s="31">
        <f>IFERROR(__xludf.DUMMYFUNCTION("""COMPUTED_VALUE"""),5.24)</f>
        <v>5.24</v>
      </c>
      <c r="E202" s="32">
        <f>IFERROR(__xludf.DUMMYFUNCTION("""COMPUTED_VALUE"""),45474.73611111111)</f>
        <v>45474.73611</v>
      </c>
      <c r="F202" s="31">
        <f>IFERROR(__xludf.DUMMYFUNCTION("""COMPUTED_VALUE"""),97.58)</f>
        <v>97.58</v>
      </c>
      <c r="G202" s="32">
        <f>IFERROR(__xludf.DUMMYFUNCTION("""COMPUTED_VALUE"""),45469.726388888885)</f>
        <v>45469.72639</v>
      </c>
      <c r="H202" s="31">
        <f>IFERROR(__xludf.DUMMYFUNCTION("""COMPUTED_VALUE"""),5.18)</f>
        <v>5.18</v>
      </c>
      <c r="I202" s="32">
        <f>IFERROR(__xludf.DUMMYFUNCTION("""COMPUTED_VALUE"""),45469.726388888885)</f>
        <v>45469.72639</v>
      </c>
      <c r="J202" s="31">
        <f>IFERROR(__xludf.DUMMYFUNCTION("""COMPUTED_VALUE"""),5.21)</f>
        <v>5.21</v>
      </c>
      <c r="K202" s="32">
        <f>IFERROR(__xludf.DUMMYFUNCTION("""COMPUTED_VALUE"""),45471.73611111111)</f>
        <v>45471.73611</v>
      </c>
      <c r="L202" s="31">
        <f>IFERROR(__xludf.DUMMYFUNCTION("""COMPUTED_VALUE"""),98.34)</f>
        <v>98.34</v>
      </c>
      <c r="M202" s="32">
        <f>IFERROR(__xludf.DUMMYFUNCTION("""COMPUTED_VALUE"""),45469.726388888885)</f>
        <v>45469.72639</v>
      </c>
      <c r="N202" s="31">
        <f>IFERROR(__xludf.DUMMYFUNCTION("""COMPUTED_VALUE"""),5.26)</f>
        <v>5.26</v>
      </c>
      <c r="O202" s="32">
        <f>IFERROR(__xludf.DUMMYFUNCTION("""COMPUTED_VALUE"""),45470.6875)</f>
        <v>45470.6875</v>
      </c>
      <c r="P202" s="31">
        <f>IFERROR(__xludf.DUMMYFUNCTION("""COMPUTED_VALUE"""),577.35)</f>
        <v>577.35</v>
      </c>
      <c r="Q202" s="32">
        <f>IFERROR(__xludf.DUMMYFUNCTION("""COMPUTED_VALUE"""),45471.66666666667)</f>
        <v>45471.66667</v>
      </c>
      <c r="R202" s="31">
        <f>IFERROR(__xludf.DUMMYFUNCTION("""COMPUTED_VALUE"""),23.13)</f>
        <v>23.13</v>
      </c>
      <c r="S202" s="32">
        <f>IFERROR(__xludf.DUMMYFUNCTION("""COMPUTED_VALUE"""),45470.6875)</f>
        <v>45470.6875</v>
      </c>
      <c r="T202" s="31">
        <f>IFERROR(__xludf.DUMMYFUNCTION("""COMPUTED_VALUE"""),6.4)</f>
        <v>6.4</v>
      </c>
      <c r="U202" s="32">
        <f>IFERROR(__xludf.DUMMYFUNCTION("""COMPUTED_VALUE"""),45381.99861111111)</f>
        <v>45381.99861</v>
      </c>
      <c r="V202" s="31">
        <f>IFERROR(__xludf.DUMMYFUNCTION("""COMPUTED_VALUE"""),1.0799)</f>
        <v>1.0799</v>
      </c>
    </row>
    <row r="203" ht="15.75" customHeight="1">
      <c r="A203" s="32">
        <f>IFERROR(__xludf.DUMMYFUNCTION("""COMPUTED_VALUE"""),45474.73611111111)</f>
        <v>45474.73611</v>
      </c>
      <c r="B203" s="31">
        <f>IFERROR(__xludf.DUMMYFUNCTION("""COMPUTED_VALUE"""),97.74)</f>
        <v>97.74</v>
      </c>
      <c r="C203" s="32">
        <f>IFERROR(__xludf.DUMMYFUNCTION("""COMPUTED_VALUE"""),45474.726388888885)</f>
        <v>45474.72639</v>
      </c>
      <c r="D203" s="31">
        <f>IFERROR(__xludf.DUMMYFUNCTION("""COMPUTED_VALUE"""),5.24)</f>
        <v>5.24</v>
      </c>
      <c r="E203" s="32">
        <f>IFERROR(__xludf.DUMMYFUNCTION("""COMPUTED_VALUE"""),45475.73611111111)</f>
        <v>45475.73611</v>
      </c>
      <c r="F203" s="31">
        <f>IFERROR(__xludf.DUMMYFUNCTION("""COMPUTED_VALUE"""),97.68)</f>
        <v>97.68</v>
      </c>
      <c r="G203" s="32">
        <f>IFERROR(__xludf.DUMMYFUNCTION("""COMPUTED_VALUE"""),45470.726388888885)</f>
        <v>45470.72639</v>
      </c>
      <c r="H203" s="31">
        <f>IFERROR(__xludf.DUMMYFUNCTION("""COMPUTED_VALUE"""),5.18)</f>
        <v>5.18</v>
      </c>
      <c r="I203" s="32">
        <f>IFERROR(__xludf.DUMMYFUNCTION("""COMPUTED_VALUE"""),45470.726388888885)</f>
        <v>45470.72639</v>
      </c>
      <c r="J203" s="31">
        <f>IFERROR(__xludf.DUMMYFUNCTION("""COMPUTED_VALUE"""),5.21)</f>
        <v>5.21</v>
      </c>
      <c r="K203" s="32">
        <f>IFERROR(__xludf.DUMMYFUNCTION("""COMPUTED_VALUE"""),45474.73611111111)</f>
        <v>45474.73611</v>
      </c>
      <c r="L203" s="31">
        <f>IFERROR(__xludf.DUMMYFUNCTION("""COMPUTED_VALUE"""),97.91)</f>
        <v>97.91</v>
      </c>
      <c r="M203" s="32">
        <f>IFERROR(__xludf.DUMMYFUNCTION("""COMPUTED_VALUE"""),45470.726388888885)</f>
        <v>45470.72639</v>
      </c>
      <c r="N203" s="31">
        <f>IFERROR(__xludf.DUMMYFUNCTION("""COMPUTED_VALUE"""),5.27)</f>
        <v>5.27</v>
      </c>
      <c r="O203" s="32">
        <f>IFERROR(__xludf.DUMMYFUNCTION("""COMPUTED_VALUE"""),45471.6875)</f>
        <v>45471.6875</v>
      </c>
      <c r="P203" s="31">
        <f>IFERROR(__xludf.DUMMYFUNCTION("""COMPUTED_VALUE"""),580.42)</f>
        <v>580.42</v>
      </c>
      <c r="Q203" s="32">
        <f>IFERROR(__xludf.DUMMYFUNCTION("""COMPUTED_VALUE"""),45474.66666666667)</f>
        <v>45474.66667</v>
      </c>
      <c r="R203" s="31">
        <f>IFERROR(__xludf.DUMMYFUNCTION("""COMPUTED_VALUE"""),22.97)</f>
        <v>22.97</v>
      </c>
      <c r="S203" s="32">
        <f>IFERROR(__xludf.DUMMYFUNCTION("""COMPUTED_VALUE"""),45471.6875)</f>
        <v>45471.6875</v>
      </c>
      <c r="T203" s="31">
        <f>IFERROR(__xludf.DUMMYFUNCTION("""COMPUTED_VALUE"""),6.42)</f>
        <v>6.42</v>
      </c>
      <c r="U203" s="32">
        <f>IFERROR(__xludf.DUMMYFUNCTION("""COMPUTED_VALUE"""),45382.99861111111)</f>
        <v>45382.99861</v>
      </c>
      <c r="V203" s="31">
        <f>IFERROR(__xludf.DUMMYFUNCTION("""COMPUTED_VALUE"""),1.07922)</f>
        <v>1.07922</v>
      </c>
    </row>
    <row r="204" ht="15.75" customHeight="1">
      <c r="A204" s="32">
        <f>IFERROR(__xludf.DUMMYFUNCTION("""COMPUTED_VALUE"""),45475.73611111111)</f>
        <v>45475.73611</v>
      </c>
      <c r="B204" s="31">
        <f>IFERROR(__xludf.DUMMYFUNCTION("""COMPUTED_VALUE"""),97.8)</f>
        <v>97.8</v>
      </c>
      <c r="C204" s="32">
        <f>IFERROR(__xludf.DUMMYFUNCTION("""COMPUTED_VALUE"""),45475.726388888885)</f>
        <v>45475.72639</v>
      </c>
      <c r="D204" s="31">
        <f>IFERROR(__xludf.DUMMYFUNCTION("""COMPUTED_VALUE"""),5.24)</f>
        <v>5.24</v>
      </c>
      <c r="E204" s="32">
        <f>IFERROR(__xludf.DUMMYFUNCTION("""COMPUTED_VALUE"""),45476.73611111111)</f>
        <v>45476.73611</v>
      </c>
      <c r="F204" s="31">
        <f>IFERROR(__xludf.DUMMYFUNCTION("""COMPUTED_VALUE"""),97.15)</f>
        <v>97.15</v>
      </c>
      <c r="G204" s="32">
        <f>IFERROR(__xludf.DUMMYFUNCTION("""COMPUTED_VALUE"""),45471.726388888885)</f>
        <v>45471.72639</v>
      </c>
      <c r="H204" s="31">
        <f>IFERROR(__xludf.DUMMYFUNCTION("""COMPUTED_VALUE"""),5.18)</f>
        <v>5.18</v>
      </c>
      <c r="I204" s="32">
        <f>IFERROR(__xludf.DUMMYFUNCTION("""COMPUTED_VALUE"""),45471.726388888885)</f>
        <v>45471.72639</v>
      </c>
      <c r="J204" s="31">
        <f>IFERROR(__xludf.DUMMYFUNCTION("""COMPUTED_VALUE"""),5.21)</f>
        <v>5.21</v>
      </c>
      <c r="K204" s="32">
        <f>IFERROR(__xludf.DUMMYFUNCTION("""COMPUTED_VALUE"""),45475.73611111111)</f>
        <v>45475.73611</v>
      </c>
      <c r="L204" s="31">
        <f>IFERROR(__xludf.DUMMYFUNCTION("""COMPUTED_VALUE"""),98.06)</f>
        <v>98.06</v>
      </c>
      <c r="M204" s="32">
        <f>IFERROR(__xludf.DUMMYFUNCTION("""COMPUTED_VALUE"""),45471.726388888885)</f>
        <v>45471.72639</v>
      </c>
      <c r="N204" s="31">
        <f>IFERROR(__xludf.DUMMYFUNCTION("""COMPUTED_VALUE"""),5.26)</f>
        <v>5.26</v>
      </c>
      <c r="O204" s="32">
        <f>IFERROR(__xludf.DUMMYFUNCTION("""COMPUTED_VALUE"""),45474.6875)</f>
        <v>45474.6875</v>
      </c>
      <c r="P204" s="31">
        <f>IFERROR(__xludf.DUMMYFUNCTION("""COMPUTED_VALUE"""),576.38)</f>
        <v>576.38</v>
      </c>
      <c r="Q204" s="32">
        <f>IFERROR(__xludf.DUMMYFUNCTION("""COMPUTED_VALUE"""),45475.66666666667)</f>
        <v>45475.66667</v>
      </c>
      <c r="R204" s="31">
        <f>IFERROR(__xludf.DUMMYFUNCTION("""COMPUTED_VALUE"""),23.05)</f>
        <v>23.05</v>
      </c>
      <c r="S204" s="32">
        <f>IFERROR(__xludf.DUMMYFUNCTION("""COMPUTED_VALUE"""),45474.6875)</f>
        <v>45474.6875</v>
      </c>
      <c r="T204" s="31">
        <f>IFERROR(__xludf.DUMMYFUNCTION("""COMPUTED_VALUE"""),6.41)</f>
        <v>6.41</v>
      </c>
      <c r="U204" s="32">
        <f>IFERROR(__xludf.DUMMYFUNCTION("""COMPUTED_VALUE"""),45383.99861111111)</f>
        <v>45383.99861</v>
      </c>
      <c r="V204" s="31">
        <f>IFERROR(__xludf.DUMMYFUNCTION("""COMPUTED_VALUE"""),1.07366)</f>
        <v>1.07366</v>
      </c>
    </row>
    <row r="205" ht="15.75" customHeight="1">
      <c r="A205" s="32">
        <f>IFERROR(__xludf.DUMMYFUNCTION("""COMPUTED_VALUE"""),45476.73611111111)</f>
        <v>45476.73611</v>
      </c>
      <c r="B205" s="31">
        <f>IFERROR(__xludf.DUMMYFUNCTION("""COMPUTED_VALUE"""),97.57)</f>
        <v>97.57</v>
      </c>
      <c r="C205" s="32">
        <f>IFERROR(__xludf.DUMMYFUNCTION("""COMPUTED_VALUE"""),45476.726388888885)</f>
        <v>45476.72639</v>
      </c>
      <c r="D205" s="31">
        <f>IFERROR(__xludf.DUMMYFUNCTION("""COMPUTED_VALUE"""),5.24)</f>
        <v>5.24</v>
      </c>
      <c r="E205" s="32">
        <f>IFERROR(__xludf.DUMMYFUNCTION("""COMPUTED_VALUE"""),45477.73611111111)</f>
        <v>45477.73611</v>
      </c>
      <c r="F205" s="31">
        <f>IFERROR(__xludf.DUMMYFUNCTION("""COMPUTED_VALUE"""),97.13)</f>
        <v>97.13</v>
      </c>
      <c r="G205" s="32">
        <f>IFERROR(__xludf.DUMMYFUNCTION("""COMPUTED_VALUE"""),45474.726388888885)</f>
        <v>45474.72639</v>
      </c>
      <c r="H205" s="31">
        <f>IFERROR(__xludf.DUMMYFUNCTION("""COMPUTED_VALUE"""),5.19)</f>
        <v>5.19</v>
      </c>
      <c r="I205" s="32">
        <f>IFERROR(__xludf.DUMMYFUNCTION("""COMPUTED_VALUE"""),45474.726388888885)</f>
        <v>45474.72639</v>
      </c>
      <c r="J205" s="31">
        <f>IFERROR(__xludf.DUMMYFUNCTION("""COMPUTED_VALUE"""),5.21)</f>
        <v>5.21</v>
      </c>
      <c r="K205" s="32">
        <f>IFERROR(__xludf.DUMMYFUNCTION("""COMPUTED_VALUE"""),45476.73611111111)</f>
        <v>45476.73611</v>
      </c>
      <c r="L205" s="31">
        <f>IFERROR(__xludf.DUMMYFUNCTION("""COMPUTED_VALUE"""),97.69)</f>
        <v>97.69</v>
      </c>
      <c r="M205" s="32">
        <f>IFERROR(__xludf.DUMMYFUNCTION("""COMPUTED_VALUE"""),45474.726388888885)</f>
        <v>45474.72639</v>
      </c>
      <c r="N205" s="31">
        <f>IFERROR(__xludf.DUMMYFUNCTION("""COMPUTED_VALUE"""),5.26)</f>
        <v>5.26</v>
      </c>
      <c r="O205" s="32">
        <f>IFERROR(__xludf.DUMMYFUNCTION("""COMPUTED_VALUE"""),45475.6875)</f>
        <v>45475.6875</v>
      </c>
      <c r="P205" s="31">
        <f>IFERROR(__xludf.DUMMYFUNCTION("""COMPUTED_VALUE"""),578.35)</f>
        <v>578.35</v>
      </c>
      <c r="Q205" s="32">
        <f>IFERROR(__xludf.DUMMYFUNCTION("""COMPUTED_VALUE"""),45476.5)</f>
        <v>45476.5</v>
      </c>
      <c r="R205" s="31">
        <f>IFERROR(__xludf.DUMMYFUNCTION("""COMPUTED_VALUE"""),23.13)</f>
        <v>23.13</v>
      </c>
      <c r="S205" s="32">
        <f>IFERROR(__xludf.DUMMYFUNCTION("""COMPUTED_VALUE"""),45475.6875)</f>
        <v>45475.6875</v>
      </c>
      <c r="T205" s="31">
        <f>IFERROR(__xludf.DUMMYFUNCTION("""COMPUTED_VALUE"""),6.41)</f>
        <v>6.41</v>
      </c>
      <c r="U205" s="32">
        <f>IFERROR(__xludf.DUMMYFUNCTION("""COMPUTED_VALUE"""),45384.99861111111)</f>
        <v>45384.99861</v>
      </c>
      <c r="V205" s="31">
        <f>IFERROR(__xludf.DUMMYFUNCTION("""COMPUTED_VALUE"""),1.07678)</f>
        <v>1.07678</v>
      </c>
    </row>
    <row r="206" ht="15.75" customHeight="1">
      <c r="A206" s="32">
        <f>IFERROR(__xludf.DUMMYFUNCTION("""COMPUTED_VALUE"""),45477.73611111111)</f>
        <v>45477.73611</v>
      </c>
      <c r="B206" s="31">
        <f>IFERROR(__xludf.DUMMYFUNCTION("""COMPUTED_VALUE"""),97.57)</f>
        <v>97.57</v>
      </c>
      <c r="C206" s="32">
        <f>IFERROR(__xludf.DUMMYFUNCTION("""COMPUTED_VALUE"""),45477.726388888885)</f>
        <v>45477.72639</v>
      </c>
      <c r="D206" s="31">
        <f>IFERROR(__xludf.DUMMYFUNCTION("""COMPUTED_VALUE"""),5.25)</f>
        <v>5.25</v>
      </c>
      <c r="E206" s="32">
        <f>IFERROR(__xludf.DUMMYFUNCTION("""COMPUTED_VALUE"""),45478.73611111111)</f>
        <v>45478.73611</v>
      </c>
      <c r="F206" s="31">
        <f>IFERROR(__xludf.DUMMYFUNCTION("""COMPUTED_VALUE"""),97.14)</f>
        <v>97.14</v>
      </c>
      <c r="G206" s="32">
        <f>IFERROR(__xludf.DUMMYFUNCTION("""COMPUTED_VALUE"""),45475.726388888885)</f>
        <v>45475.72639</v>
      </c>
      <c r="H206" s="31">
        <f>IFERROR(__xludf.DUMMYFUNCTION("""COMPUTED_VALUE"""),5.19)</f>
        <v>5.19</v>
      </c>
      <c r="I206" s="32">
        <f>IFERROR(__xludf.DUMMYFUNCTION("""COMPUTED_VALUE"""),45475.726388888885)</f>
        <v>45475.72639</v>
      </c>
      <c r="J206" s="31">
        <f>IFERROR(__xludf.DUMMYFUNCTION("""COMPUTED_VALUE"""),5.21)</f>
        <v>5.21</v>
      </c>
      <c r="K206" s="32">
        <f>IFERROR(__xludf.DUMMYFUNCTION("""COMPUTED_VALUE"""),45477.73611111111)</f>
        <v>45477.73611</v>
      </c>
      <c r="L206" s="31">
        <f>IFERROR(__xludf.DUMMYFUNCTION("""COMPUTED_VALUE"""),97.61)</f>
        <v>97.61</v>
      </c>
      <c r="M206" s="32">
        <f>IFERROR(__xludf.DUMMYFUNCTION("""COMPUTED_VALUE"""),45475.726388888885)</f>
        <v>45475.72639</v>
      </c>
      <c r="N206" s="31">
        <f>IFERROR(__xludf.DUMMYFUNCTION("""COMPUTED_VALUE"""),5.26)</f>
        <v>5.26</v>
      </c>
      <c r="O206" s="32">
        <f>IFERROR(__xludf.DUMMYFUNCTION("""COMPUTED_VALUE"""),45476.6875)</f>
        <v>45476.6875</v>
      </c>
      <c r="P206" s="31">
        <f>IFERROR(__xludf.DUMMYFUNCTION("""COMPUTED_VALUE"""),582.62)</f>
        <v>582.62</v>
      </c>
      <c r="Q206" s="32">
        <f>IFERROR(__xludf.DUMMYFUNCTION("""COMPUTED_VALUE"""),45478.66666666667)</f>
        <v>45478.66667</v>
      </c>
      <c r="R206" s="31">
        <f>IFERROR(__xludf.DUMMYFUNCTION("""COMPUTED_VALUE"""),23.15)</f>
        <v>23.15</v>
      </c>
      <c r="S206" s="32">
        <f>IFERROR(__xludf.DUMMYFUNCTION("""COMPUTED_VALUE"""),45476.6875)</f>
        <v>45476.6875</v>
      </c>
      <c r="T206" s="31">
        <f>IFERROR(__xludf.DUMMYFUNCTION("""COMPUTED_VALUE"""),6.43)</f>
        <v>6.43</v>
      </c>
      <c r="U206" s="32">
        <f>IFERROR(__xludf.DUMMYFUNCTION("""COMPUTED_VALUE"""),45385.99861111111)</f>
        <v>45385.99861</v>
      </c>
      <c r="V206" s="31">
        <f>IFERROR(__xludf.DUMMYFUNCTION("""COMPUTED_VALUE"""),1.08378)</f>
        <v>1.08378</v>
      </c>
    </row>
    <row r="207" ht="15.75" customHeight="1">
      <c r="A207" s="32">
        <f>IFERROR(__xludf.DUMMYFUNCTION("""COMPUTED_VALUE"""),45478.73611111111)</f>
        <v>45478.73611</v>
      </c>
      <c r="B207" s="31">
        <f>IFERROR(__xludf.DUMMYFUNCTION("""COMPUTED_VALUE"""),97.66)</f>
        <v>97.66</v>
      </c>
      <c r="C207" s="32">
        <f>IFERROR(__xludf.DUMMYFUNCTION("""COMPUTED_VALUE"""),45478.726388888885)</f>
        <v>45478.72639</v>
      </c>
      <c r="D207" s="31">
        <f>IFERROR(__xludf.DUMMYFUNCTION("""COMPUTED_VALUE"""),5.25)</f>
        <v>5.25</v>
      </c>
      <c r="E207" s="32">
        <f>IFERROR(__xludf.DUMMYFUNCTION("""COMPUTED_VALUE"""),45481.73611111111)</f>
        <v>45481.73611</v>
      </c>
      <c r="F207" s="31">
        <f>IFERROR(__xludf.DUMMYFUNCTION("""COMPUTED_VALUE"""),97.07)</f>
        <v>97.07</v>
      </c>
      <c r="G207" s="32">
        <f>IFERROR(__xludf.DUMMYFUNCTION("""COMPUTED_VALUE"""),45476.726388888885)</f>
        <v>45476.72639</v>
      </c>
      <c r="H207" s="31">
        <f>IFERROR(__xludf.DUMMYFUNCTION("""COMPUTED_VALUE"""),5.19)</f>
        <v>5.19</v>
      </c>
      <c r="I207" s="32">
        <f>IFERROR(__xludf.DUMMYFUNCTION("""COMPUTED_VALUE"""),45476.726388888885)</f>
        <v>45476.72639</v>
      </c>
      <c r="J207" s="31">
        <f>IFERROR(__xludf.DUMMYFUNCTION("""COMPUTED_VALUE"""),5.21)</f>
        <v>5.21</v>
      </c>
      <c r="K207" s="32">
        <f>IFERROR(__xludf.DUMMYFUNCTION("""COMPUTED_VALUE"""),45478.73611111111)</f>
        <v>45478.73611</v>
      </c>
      <c r="L207" s="31">
        <f>IFERROR(__xludf.DUMMYFUNCTION("""COMPUTED_VALUE"""),97.68)</f>
        <v>97.68</v>
      </c>
      <c r="M207" s="32">
        <f>IFERROR(__xludf.DUMMYFUNCTION("""COMPUTED_VALUE"""),45476.726388888885)</f>
        <v>45476.72639</v>
      </c>
      <c r="N207" s="31">
        <f>IFERROR(__xludf.DUMMYFUNCTION("""COMPUTED_VALUE"""),5.27)</f>
        <v>5.27</v>
      </c>
      <c r="O207" s="32">
        <f>IFERROR(__xludf.DUMMYFUNCTION("""COMPUTED_VALUE"""),45477.6875)</f>
        <v>45477.6875</v>
      </c>
      <c r="P207" s="31">
        <f>IFERROR(__xludf.DUMMYFUNCTION("""COMPUTED_VALUE"""),583.68)</f>
        <v>583.68</v>
      </c>
      <c r="Q207" s="32">
        <f>IFERROR(__xludf.DUMMYFUNCTION("""COMPUTED_VALUE"""),45481.66666666667)</f>
        <v>45481.66667</v>
      </c>
      <c r="R207" s="31">
        <f>IFERROR(__xludf.DUMMYFUNCTION("""COMPUTED_VALUE"""),23.15)</f>
        <v>23.15</v>
      </c>
      <c r="S207" s="32">
        <f>IFERROR(__xludf.DUMMYFUNCTION("""COMPUTED_VALUE"""),45477.6875)</f>
        <v>45477.6875</v>
      </c>
      <c r="T207" s="31">
        <f>IFERROR(__xludf.DUMMYFUNCTION("""COMPUTED_VALUE"""),6.43)</f>
        <v>6.43</v>
      </c>
      <c r="U207" s="32">
        <f>IFERROR(__xludf.DUMMYFUNCTION("""COMPUTED_VALUE"""),45386.99861111111)</f>
        <v>45386.99861</v>
      </c>
      <c r="V207" s="31">
        <f>IFERROR(__xludf.DUMMYFUNCTION("""COMPUTED_VALUE"""),1.08361)</f>
        <v>1.08361</v>
      </c>
    </row>
    <row r="208" ht="15.75" customHeight="1">
      <c r="A208" s="32">
        <f>IFERROR(__xludf.DUMMYFUNCTION("""COMPUTED_VALUE"""),45481.73611111111)</f>
        <v>45481.73611</v>
      </c>
      <c r="B208" s="31">
        <f>IFERROR(__xludf.DUMMYFUNCTION("""COMPUTED_VALUE"""),97.62)</f>
        <v>97.62</v>
      </c>
      <c r="C208" s="32">
        <f>IFERROR(__xludf.DUMMYFUNCTION("""COMPUTED_VALUE"""),45481.726388888885)</f>
        <v>45481.72639</v>
      </c>
      <c r="D208" s="31">
        <f>IFERROR(__xludf.DUMMYFUNCTION("""COMPUTED_VALUE"""),5.25)</f>
        <v>5.25</v>
      </c>
      <c r="E208" s="32">
        <f>IFERROR(__xludf.DUMMYFUNCTION("""COMPUTED_VALUE"""),45482.73611111111)</f>
        <v>45482.73611</v>
      </c>
      <c r="F208" s="31">
        <f>IFERROR(__xludf.DUMMYFUNCTION("""COMPUTED_VALUE"""),97.23)</f>
        <v>97.23</v>
      </c>
      <c r="G208" s="32">
        <f>IFERROR(__xludf.DUMMYFUNCTION("""COMPUTED_VALUE"""),45477.726388888885)</f>
        <v>45477.72639</v>
      </c>
      <c r="H208" s="31">
        <f>IFERROR(__xludf.DUMMYFUNCTION("""COMPUTED_VALUE"""),5.19)</f>
        <v>5.19</v>
      </c>
      <c r="I208" s="32">
        <f>IFERROR(__xludf.DUMMYFUNCTION("""COMPUTED_VALUE"""),45477.726388888885)</f>
        <v>45477.72639</v>
      </c>
      <c r="J208" s="31">
        <f>IFERROR(__xludf.DUMMYFUNCTION("""COMPUTED_VALUE"""),5.21)</f>
        <v>5.21</v>
      </c>
      <c r="K208" s="32">
        <f>IFERROR(__xludf.DUMMYFUNCTION("""COMPUTED_VALUE"""),45481.73611111111)</f>
        <v>45481.73611</v>
      </c>
      <c r="L208" s="31">
        <f>IFERROR(__xludf.DUMMYFUNCTION("""COMPUTED_VALUE"""),97.62)</f>
        <v>97.62</v>
      </c>
      <c r="M208" s="32">
        <f>IFERROR(__xludf.DUMMYFUNCTION("""COMPUTED_VALUE"""),45477.726388888885)</f>
        <v>45477.72639</v>
      </c>
      <c r="N208" s="31">
        <f>IFERROR(__xludf.DUMMYFUNCTION("""COMPUTED_VALUE"""),5.27)</f>
        <v>5.27</v>
      </c>
      <c r="O208" s="32">
        <f>IFERROR(__xludf.DUMMYFUNCTION("""COMPUTED_VALUE"""),45478.6875)</f>
        <v>45478.6875</v>
      </c>
      <c r="P208" s="31">
        <f>IFERROR(__xludf.DUMMYFUNCTION("""COMPUTED_VALUE"""),585.72)</f>
        <v>585.72</v>
      </c>
      <c r="Q208" s="32">
        <f>IFERROR(__xludf.DUMMYFUNCTION("""COMPUTED_VALUE"""),45482.66666666667)</f>
        <v>45482.66667</v>
      </c>
      <c r="R208" s="31">
        <f>IFERROR(__xludf.DUMMYFUNCTION("""COMPUTED_VALUE"""),23.14)</f>
        <v>23.14</v>
      </c>
      <c r="S208" s="32">
        <f>IFERROR(__xludf.DUMMYFUNCTION("""COMPUTED_VALUE"""),45478.6875)</f>
        <v>45478.6875</v>
      </c>
      <c r="T208" s="31">
        <f>IFERROR(__xludf.DUMMYFUNCTION("""COMPUTED_VALUE"""),6.46)</f>
        <v>6.46</v>
      </c>
      <c r="U208" s="32">
        <f>IFERROR(__xludf.DUMMYFUNCTION("""COMPUTED_VALUE"""),45387.99861111111)</f>
        <v>45387.99861</v>
      </c>
      <c r="V208" s="31">
        <f>IFERROR(__xludf.DUMMYFUNCTION("""COMPUTED_VALUE"""),1.0848)</f>
        <v>1.0848</v>
      </c>
    </row>
    <row r="209" ht="15.75" customHeight="1">
      <c r="A209" s="32">
        <f>IFERROR(__xludf.DUMMYFUNCTION("""COMPUTED_VALUE"""),45482.73611111111)</f>
        <v>45482.73611</v>
      </c>
      <c r="B209" s="31">
        <f>IFERROR(__xludf.DUMMYFUNCTION("""COMPUTED_VALUE"""),97.65)</f>
        <v>97.65</v>
      </c>
      <c r="C209" s="32">
        <f>IFERROR(__xludf.DUMMYFUNCTION("""COMPUTED_VALUE"""),45482.726388888885)</f>
        <v>45482.72639</v>
      </c>
      <c r="D209" s="31">
        <f>IFERROR(__xludf.DUMMYFUNCTION("""COMPUTED_VALUE"""),5.25)</f>
        <v>5.25</v>
      </c>
      <c r="E209" s="32">
        <f>IFERROR(__xludf.DUMMYFUNCTION("""COMPUTED_VALUE"""),45483.73611111111)</f>
        <v>45483.73611</v>
      </c>
      <c r="F209" s="31">
        <f>IFERROR(__xludf.DUMMYFUNCTION("""COMPUTED_VALUE"""),97.16)</f>
        <v>97.16</v>
      </c>
      <c r="G209" s="32">
        <f>IFERROR(__xludf.DUMMYFUNCTION("""COMPUTED_VALUE"""),45478.726388888885)</f>
        <v>45478.72639</v>
      </c>
      <c r="H209" s="31">
        <f>IFERROR(__xludf.DUMMYFUNCTION("""COMPUTED_VALUE"""),5.19)</f>
        <v>5.19</v>
      </c>
      <c r="I209" s="32">
        <f>IFERROR(__xludf.DUMMYFUNCTION("""COMPUTED_VALUE"""),45478.726388888885)</f>
        <v>45478.72639</v>
      </c>
      <c r="J209" s="31">
        <f>IFERROR(__xludf.DUMMYFUNCTION("""COMPUTED_VALUE"""),5.22)</f>
        <v>5.22</v>
      </c>
      <c r="K209" s="32">
        <f>IFERROR(__xludf.DUMMYFUNCTION("""COMPUTED_VALUE"""),45482.73611111111)</f>
        <v>45482.73611</v>
      </c>
      <c r="L209" s="31">
        <f>IFERROR(__xludf.DUMMYFUNCTION("""COMPUTED_VALUE"""),97.77)</f>
        <v>97.77</v>
      </c>
      <c r="M209" s="32">
        <f>IFERROR(__xludf.DUMMYFUNCTION("""COMPUTED_VALUE"""),45478.726388888885)</f>
        <v>45478.72639</v>
      </c>
      <c r="N209" s="31">
        <f>IFERROR(__xludf.DUMMYFUNCTION("""COMPUTED_VALUE"""),5.28)</f>
        <v>5.28</v>
      </c>
      <c r="O209" s="32">
        <f>IFERROR(__xludf.DUMMYFUNCTION("""COMPUTED_VALUE"""),45481.6875)</f>
        <v>45481.6875</v>
      </c>
      <c r="P209" s="31">
        <f>IFERROR(__xludf.DUMMYFUNCTION("""COMPUTED_VALUE"""),587.64)</f>
        <v>587.64</v>
      </c>
      <c r="Q209" s="32">
        <f>IFERROR(__xludf.DUMMYFUNCTION("""COMPUTED_VALUE"""),45483.66666666667)</f>
        <v>45483.66667</v>
      </c>
      <c r="R209" s="31">
        <f>IFERROR(__xludf.DUMMYFUNCTION("""COMPUTED_VALUE"""),23.18)</f>
        <v>23.18</v>
      </c>
      <c r="S209" s="32">
        <f>IFERROR(__xludf.DUMMYFUNCTION("""COMPUTED_VALUE"""),45481.6875)</f>
        <v>45481.6875</v>
      </c>
      <c r="T209" s="31">
        <f>IFERROR(__xludf.DUMMYFUNCTION("""COMPUTED_VALUE"""),6.45)</f>
        <v>6.45</v>
      </c>
      <c r="U209" s="32">
        <f>IFERROR(__xludf.DUMMYFUNCTION("""COMPUTED_VALUE"""),45388.99861111111)</f>
        <v>45388.99861</v>
      </c>
      <c r="V209" s="31">
        <f>IFERROR(__xludf.DUMMYFUNCTION("""COMPUTED_VALUE"""),1.0848)</f>
        <v>1.0848</v>
      </c>
    </row>
    <row r="210" ht="15.75" customHeight="1">
      <c r="A210" s="32">
        <f>IFERROR(__xludf.DUMMYFUNCTION("""COMPUTED_VALUE"""),45483.73611111111)</f>
        <v>45483.73611</v>
      </c>
      <c r="B210" s="31">
        <f>IFERROR(__xludf.DUMMYFUNCTION("""COMPUTED_VALUE"""),97.63)</f>
        <v>97.63</v>
      </c>
      <c r="C210" s="32">
        <f>IFERROR(__xludf.DUMMYFUNCTION("""COMPUTED_VALUE"""),45483.726388888885)</f>
        <v>45483.72639</v>
      </c>
      <c r="D210" s="31">
        <f>IFERROR(__xludf.DUMMYFUNCTION("""COMPUTED_VALUE"""),5.25)</f>
        <v>5.25</v>
      </c>
      <c r="E210" s="32">
        <f>IFERROR(__xludf.DUMMYFUNCTION("""COMPUTED_VALUE"""),45484.73611111111)</f>
        <v>45484.73611</v>
      </c>
      <c r="F210" s="31">
        <f>IFERROR(__xludf.DUMMYFUNCTION("""COMPUTED_VALUE"""),97.06)</f>
        <v>97.06</v>
      </c>
      <c r="G210" s="32">
        <f>IFERROR(__xludf.DUMMYFUNCTION("""COMPUTED_VALUE"""),45481.726388888885)</f>
        <v>45481.72639</v>
      </c>
      <c r="H210" s="31">
        <f>IFERROR(__xludf.DUMMYFUNCTION("""COMPUTED_VALUE"""),5.19)</f>
        <v>5.19</v>
      </c>
      <c r="I210" s="32">
        <f>IFERROR(__xludf.DUMMYFUNCTION("""COMPUTED_VALUE"""),45481.726388888885)</f>
        <v>45481.72639</v>
      </c>
      <c r="J210" s="31">
        <f>IFERROR(__xludf.DUMMYFUNCTION("""COMPUTED_VALUE"""),5.22)</f>
        <v>5.22</v>
      </c>
      <c r="K210" s="32">
        <f>IFERROR(__xludf.DUMMYFUNCTION("""COMPUTED_VALUE"""),45483.73611111111)</f>
        <v>45483.73611</v>
      </c>
      <c r="L210" s="31">
        <f>IFERROR(__xludf.DUMMYFUNCTION("""COMPUTED_VALUE"""),97.73)</f>
        <v>97.73</v>
      </c>
      <c r="M210" s="32">
        <f>IFERROR(__xludf.DUMMYFUNCTION("""COMPUTED_VALUE"""),45481.726388888885)</f>
        <v>45481.72639</v>
      </c>
      <c r="N210" s="31">
        <f>IFERROR(__xludf.DUMMYFUNCTION("""COMPUTED_VALUE"""),5.28)</f>
        <v>5.28</v>
      </c>
      <c r="O210" s="32">
        <f>IFERROR(__xludf.DUMMYFUNCTION("""COMPUTED_VALUE"""),45482.6875)</f>
        <v>45482.6875</v>
      </c>
      <c r="P210" s="31">
        <f>IFERROR(__xludf.DUMMYFUNCTION("""COMPUTED_VALUE"""),588.9)</f>
        <v>588.9</v>
      </c>
      <c r="Q210" s="32">
        <f>IFERROR(__xludf.DUMMYFUNCTION("""COMPUTED_VALUE"""),45484.66666666667)</f>
        <v>45484.66667</v>
      </c>
      <c r="R210" s="31">
        <f>IFERROR(__xludf.DUMMYFUNCTION("""COMPUTED_VALUE"""),23.27)</f>
        <v>23.27</v>
      </c>
      <c r="S210" s="32">
        <f>IFERROR(__xludf.DUMMYFUNCTION("""COMPUTED_VALUE"""),45482.6875)</f>
        <v>45482.6875</v>
      </c>
      <c r="T210" s="31">
        <f>IFERROR(__xludf.DUMMYFUNCTION("""COMPUTED_VALUE"""),6.45)</f>
        <v>6.45</v>
      </c>
      <c r="U210" s="32">
        <f>IFERROR(__xludf.DUMMYFUNCTION("""COMPUTED_VALUE"""),45389.99861111111)</f>
        <v>45389.99861</v>
      </c>
      <c r="V210" s="31">
        <f>IFERROR(__xludf.DUMMYFUNCTION("""COMPUTED_VALUE"""),1.083)</f>
        <v>1.083</v>
      </c>
    </row>
    <row r="211" ht="15.75" customHeight="1">
      <c r="A211" s="32">
        <f>IFERROR(__xludf.DUMMYFUNCTION("""COMPUTED_VALUE"""),45484.73611111111)</f>
        <v>45484.73611</v>
      </c>
      <c r="B211" s="31">
        <f>IFERROR(__xludf.DUMMYFUNCTION("""COMPUTED_VALUE"""),97.73)</f>
        <v>97.73</v>
      </c>
      <c r="C211" s="32">
        <f>IFERROR(__xludf.DUMMYFUNCTION("""COMPUTED_VALUE"""),45484.726388888885)</f>
        <v>45484.72639</v>
      </c>
      <c r="D211" s="31">
        <f>IFERROR(__xludf.DUMMYFUNCTION("""COMPUTED_VALUE"""),5.27)</f>
        <v>5.27</v>
      </c>
      <c r="E211" s="32">
        <f>IFERROR(__xludf.DUMMYFUNCTION("""COMPUTED_VALUE"""),45485.73611111111)</f>
        <v>45485.73611</v>
      </c>
      <c r="F211" s="31">
        <f>IFERROR(__xludf.DUMMYFUNCTION("""COMPUTED_VALUE"""),96.74)</f>
        <v>96.74</v>
      </c>
      <c r="G211" s="32">
        <f>IFERROR(__xludf.DUMMYFUNCTION("""COMPUTED_VALUE"""),45482.726388888885)</f>
        <v>45482.72639</v>
      </c>
      <c r="H211" s="31">
        <f>IFERROR(__xludf.DUMMYFUNCTION("""COMPUTED_VALUE"""),5.18)</f>
        <v>5.18</v>
      </c>
      <c r="I211" s="32">
        <f>IFERROR(__xludf.DUMMYFUNCTION("""COMPUTED_VALUE"""),45482.726388888885)</f>
        <v>45482.72639</v>
      </c>
      <c r="J211" s="31">
        <f>IFERROR(__xludf.DUMMYFUNCTION("""COMPUTED_VALUE"""),5.21)</f>
        <v>5.21</v>
      </c>
      <c r="K211" s="32">
        <f>IFERROR(__xludf.DUMMYFUNCTION("""COMPUTED_VALUE"""),45484.73611111111)</f>
        <v>45484.73611</v>
      </c>
      <c r="L211" s="31">
        <f>IFERROR(__xludf.DUMMYFUNCTION("""COMPUTED_VALUE"""),97.69)</f>
        <v>97.69</v>
      </c>
      <c r="M211" s="32">
        <f>IFERROR(__xludf.DUMMYFUNCTION("""COMPUTED_VALUE"""),45482.726388888885)</f>
        <v>45482.72639</v>
      </c>
      <c r="N211" s="31">
        <f>IFERROR(__xludf.DUMMYFUNCTION("""COMPUTED_VALUE"""),5.27)</f>
        <v>5.27</v>
      </c>
      <c r="O211" s="32">
        <f>IFERROR(__xludf.DUMMYFUNCTION("""COMPUTED_VALUE"""),45483.6875)</f>
        <v>45483.6875</v>
      </c>
      <c r="P211" s="31">
        <f>IFERROR(__xludf.DUMMYFUNCTION("""COMPUTED_VALUE"""),590.56)</f>
        <v>590.56</v>
      </c>
      <c r="Q211" s="32">
        <f>IFERROR(__xludf.DUMMYFUNCTION("""COMPUTED_VALUE"""),45485.66666666667)</f>
        <v>45485.66667</v>
      </c>
      <c r="R211" s="31">
        <f>IFERROR(__xludf.DUMMYFUNCTION("""COMPUTED_VALUE"""),23.32)</f>
        <v>23.32</v>
      </c>
      <c r="S211" s="32">
        <f>IFERROR(__xludf.DUMMYFUNCTION("""COMPUTED_VALUE"""),45483.6875)</f>
        <v>45483.6875</v>
      </c>
      <c r="T211" s="31">
        <f>IFERROR(__xludf.DUMMYFUNCTION("""COMPUTED_VALUE"""),6.46)</f>
        <v>6.46</v>
      </c>
      <c r="U211" s="32">
        <f>IFERROR(__xludf.DUMMYFUNCTION("""COMPUTED_VALUE"""),45390.99861111111)</f>
        <v>45390.99861</v>
      </c>
      <c r="V211" s="31">
        <f>IFERROR(__xludf.DUMMYFUNCTION("""COMPUTED_VALUE"""),1.08617)</f>
        <v>1.08617</v>
      </c>
    </row>
    <row r="212" ht="15.75" customHeight="1">
      <c r="A212" s="32">
        <f>IFERROR(__xludf.DUMMYFUNCTION("""COMPUTED_VALUE"""),45485.73611111111)</f>
        <v>45485.73611</v>
      </c>
      <c r="B212" s="31">
        <f>IFERROR(__xludf.DUMMYFUNCTION("""COMPUTED_VALUE"""),97.55)</f>
        <v>97.55</v>
      </c>
      <c r="C212" s="32">
        <f>IFERROR(__xludf.DUMMYFUNCTION("""COMPUTED_VALUE"""),45485.726388888885)</f>
        <v>45485.72639</v>
      </c>
      <c r="D212" s="31">
        <f>IFERROR(__xludf.DUMMYFUNCTION("""COMPUTED_VALUE"""),5.27)</f>
        <v>5.27</v>
      </c>
      <c r="E212" s="32">
        <f>IFERROR(__xludf.DUMMYFUNCTION("""COMPUTED_VALUE"""),45489.73611111111)</f>
        <v>45489.73611</v>
      </c>
      <c r="F212" s="31">
        <f>IFERROR(__xludf.DUMMYFUNCTION("""COMPUTED_VALUE"""),96.96)</f>
        <v>96.96</v>
      </c>
      <c r="G212" s="32">
        <f>IFERROR(__xludf.DUMMYFUNCTION("""COMPUTED_VALUE"""),45483.726388888885)</f>
        <v>45483.72639</v>
      </c>
      <c r="H212" s="31">
        <f>IFERROR(__xludf.DUMMYFUNCTION("""COMPUTED_VALUE"""),5.19)</f>
        <v>5.19</v>
      </c>
      <c r="I212" s="32">
        <f>IFERROR(__xludf.DUMMYFUNCTION("""COMPUTED_VALUE"""),45483.726388888885)</f>
        <v>45483.72639</v>
      </c>
      <c r="J212" s="31">
        <f>IFERROR(__xludf.DUMMYFUNCTION("""COMPUTED_VALUE"""),5.22)</f>
        <v>5.22</v>
      </c>
      <c r="K212" s="32">
        <f>IFERROR(__xludf.DUMMYFUNCTION("""COMPUTED_VALUE"""),45485.73611111111)</f>
        <v>45485.73611</v>
      </c>
      <c r="L212" s="31">
        <f>IFERROR(__xludf.DUMMYFUNCTION("""COMPUTED_VALUE"""),97.41)</f>
        <v>97.41</v>
      </c>
      <c r="M212" s="32">
        <f>IFERROR(__xludf.DUMMYFUNCTION("""COMPUTED_VALUE"""),45483.726388888885)</f>
        <v>45483.72639</v>
      </c>
      <c r="N212" s="31">
        <f>IFERROR(__xludf.DUMMYFUNCTION("""COMPUTED_VALUE"""),5.28)</f>
        <v>5.28</v>
      </c>
      <c r="O212" s="32">
        <f>IFERROR(__xludf.DUMMYFUNCTION("""COMPUTED_VALUE"""),45484.6875)</f>
        <v>45484.6875</v>
      </c>
      <c r="P212" s="31">
        <f>IFERROR(__xludf.DUMMYFUNCTION("""COMPUTED_VALUE"""),590.2)</f>
        <v>590.2</v>
      </c>
      <c r="Q212" s="32">
        <f>IFERROR(__xludf.DUMMYFUNCTION("""COMPUTED_VALUE"""),45488.66666666667)</f>
        <v>45488.66667</v>
      </c>
      <c r="R212" s="31">
        <f>IFERROR(__xludf.DUMMYFUNCTION("""COMPUTED_VALUE"""),23.35)</f>
        <v>23.35</v>
      </c>
      <c r="S212" s="32">
        <f>IFERROR(__xludf.DUMMYFUNCTION("""COMPUTED_VALUE"""),45484.6875)</f>
        <v>45484.6875</v>
      </c>
      <c r="T212" s="31">
        <f>IFERROR(__xludf.DUMMYFUNCTION("""COMPUTED_VALUE"""),6.48)</f>
        <v>6.48</v>
      </c>
      <c r="U212" s="32">
        <f>IFERROR(__xludf.DUMMYFUNCTION("""COMPUTED_VALUE"""),45391.99861111111)</f>
        <v>45391.99861</v>
      </c>
      <c r="V212" s="31">
        <f>IFERROR(__xludf.DUMMYFUNCTION("""COMPUTED_VALUE"""),1.08587)</f>
        <v>1.08587</v>
      </c>
    </row>
    <row r="213" ht="15.75" customHeight="1">
      <c r="A213" s="32">
        <f>IFERROR(__xludf.DUMMYFUNCTION("""COMPUTED_VALUE"""),45488.73611111111)</f>
        <v>45488.73611</v>
      </c>
      <c r="B213" s="31">
        <f>IFERROR(__xludf.DUMMYFUNCTION("""COMPUTED_VALUE"""),97.31)</f>
        <v>97.31</v>
      </c>
      <c r="C213" s="32">
        <f>IFERROR(__xludf.DUMMYFUNCTION("""COMPUTED_VALUE"""),45488.726388888885)</f>
        <v>45488.72639</v>
      </c>
      <c r="D213" s="31">
        <f>IFERROR(__xludf.DUMMYFUNCTION("""COMPUTED_VALUE"""),5.27)</f>
        <v>5.27</v>
      </c>
      <c r="E213" s="32">
        <f>IFERROR(__xludf.DUMMYFUNCTION("""COMPUTED_VALUE"""),45490.73611111111)</f>
        <v>45490.73611</v>
      </c>
      <c r="F213" s="31">
        <f>IFERROR(__xludf.DUMMYFUNCTION("""COMPUTED_VALUE"""),96.55)</f>
        <v>96.55</v>
      </c>
      <c r="G213" s="32">
        <f>IFERROR(__xludf.DUMMYFUNCTION("""COMPUTED_VALUE"""),45484.726388888885)</f>
        <v>45484.72639</v>
      </c>
      <c r="H213" s="31">
        <f>IFERROR(__xludf.DUMMYFUNCTION("""COMPUTED_VALUE"""),5.19)</f>
        <v>5.19</v>
      </c>
      <c r="I213" s="32">
        <f>IFERROR(__xludf.DUMMYFUNCTION("""COMPUTED_VALUE"""),45484.726388888885)</f>
        <v>45484.72639</v>
      </c>
      <c r="J213" s="31">
        <f>IFERROR(__xludf.DUMMYFUNCTION("""COMPUTED_VALUE"""),5.23)</f>
        <v>5.23</v>
      </c>
      <c r="K213" s="32">
        <f>IFERROR(__xludf.DUMMYFUNCTION("""COMPUTED_VALUE"""),45488.73611111111)</f>
        <v>45488.73611</v>
      </c>
      <c r="L213" s="31">
        <f>IFERROR(__xludf.DUMMYFUNCTION("""COMPUTED_VALUE"""),97.45)</f>
        <v>97.45</v>
      </c>
      <c r="M213" s="32">
        <f>IFERROR(__xludf.DUMMYFUNCTION("""COMPUTED_VALUE"""),45484.726388888885)</f>
        <v>45484.72639</v>
      </c>
      <c r="N213" s="31">
        <f>IFERROR(__xludf.DUMMYFUNCTION("""COMPUTED_VALUE"""),5.29)</f>
        <v>5.29</v>
      </c>
      <c r="O213" s="32">
        <f>IFERROR(__xludf.DUMMYFUNCTION("""COMPUTED_VALUE"""),45485.6875)</f>
        <v>45485.6875</v>
      </c>
      <c r="P213" s="31">
        <f>IFERROR(__xludf.DUMMYFUNCTION("""COMPUTED_VALUE"""),594.52)</f>
        <v>594.52</v>
      </c>
      <c r="Q213" s="32">
        <f>IFERROR(__xludf.DUMMYFUNCTION("""COMPUTED_VALUE"""),45489.66666666667)</f>
        <v>45489.66667</v>
      </c>
      <c r="R213" s="31">
        <f>IFERROR(__xludf.DUMMYFUNCTION("""COMPUTED_VALUE"""),23.45)</f>
        <v>23.45</v>
      </c>
      <c r="S213" s="32">
        <f>IFERROR(__xludf.DUMMYFUNCTION("""COMPUTED_VALUE"""),45485.6875)</f>
        <v>45485.6875</v>
      </c>
      <c r="T213" s="31">
        <f>IFERROR(__xludf.DUMMYFUNCTION("""COMPUTED_VALUE"""),6.49)</f>
        <v>6.49</v>
      </c>
      <c r="U213" s="32">
        <f>IFERROR(__xludf.DUMMYFUNCTION("""COMPUTED_VALUE"""),45392.99861111111)</f>
        <v>45392.99861</v>
      </c>
      <c r="V213" s="31">
        <f>IFERROR(__xludf.DUMMYFUNCTION("""COMPUTED_VALUE"""),1.0741)</f>
        <v>1.0741</v>
      </c>
    </row>
    <row r="214" ht="15.75" customHeight="1">
      <c r="A214" s="32">
        <f>IFERROR(__xludf.DUMMYFUNCTION("""COMPUTED_VALUE"""),45489.73611111111)</f>
        <v>45489.73611</v>
      </c>
      <c r="B214" s="31">
        <f>IFERROR(__xludf.DUMMYFUNCTION("""COMPUTED_VALUE"""),97.63)</f>
        <v>97.63</v>
      </c>
      <c r="C214" s="32">
        <f>IFERROR(__xludf.DUMMYFUNCTION("""COMPUTED_VALUE"""),45489.726388888885)</f>
        <v>45489.72639</v>
      </c>
      <c r="D214" s="31">
        <f>IFERROR(__xludf.DUMMYFUNCTION("""COMPUTED_VALUE"""),5.27)</f>
        <v>5.27</v>
      </c>
      <c r="E214" s="32">
        <f>IFERROR(__xludf.DUMMYFUNCTION("""COMPUTED_VALUE"""),45495.73611111111)</f>
        <v>45495.73611</v>
      </c>
      <c r="F214" s="31">
        <f>IFERROR(__xludf.DUMMYFUNCTION("""COMPUTED_VALUE"""),96.96)</f>
        <v>96.96</v>
      </c>
      <c r="G214" s="32">
        <f>IFERROR(__xludf.DUMMYFUNCTION("""COMPUTED_VALUE"""),45485.726388888885)</f>
        <v>45485.72639</v>
      </c>
      <c r="H214" s="31">
        <f>IFERROR(__xludf.DUMMYFUNCTION("""COMPUTED_VALUE"""),5.2)</f>
        <v>5.2</v>
      </c>
      <c r="I214" s="32">
        <f>IFERROR(__xludf.DUMMYFUNCTION("""COMPUTED_VALUE"""),45485.726388888885)</f>
        <v>45485.72639</v>
      </c>
      <c r="J214" s="31">
        <f>IFERROR(__xludf.DUMMYFUNCTION("""COMPUTED_VALUE"""),5.23)</f>
        <v>5.23</v>
      </c>
      <c r="K214" s="32">
        <f>IFERROR(__xludf.DUMMYFUNCTION("""COMPUTED_VALUE"""),45489.73611111111)</f>
        <v>45489.73611</v>
      </c>
      <c r="L214" s="31">
        <f>IFERROR(__xludf.DUMMYFUNCTION("""COMPUTED_VALUE"""),97.73)</f>
        <v>97.73</v>
      </c>
      <c r="M214" s="32">
        <f>IFERROR(__xludf.DUMMYFUNCTION("""COMPUTED_VALUE"""),45485.726388888885)</f>
        <v>45485.72639</v>
      </c>
      <c r="N214" s="31">
        <f>IFERROR(__xludf.DUMMYFUNCTION("""COMPUTED_VALUE"""),5.29)</f>
        <v>5.29</v>
      </c>
      <c r="O214" s="32">
        <f>IFERROR(__xludf.DUMMYFUNCTION("""COMPUTED_VALUE"""),45488.6875)</f>
        <v>45488.6875</v>
      </c>
      <c r="P214" s="31">
        <f>IFERROR(__xludf.DUMMYFUNCTION("""COMPUTED_VALUE"""),596.64)</f>
        <v>596.64</v>
      </c>
      <c r="Q214" s="32">
        <f>IFERROR(__xludf.DUMMYFUNCTION("""COMPUTED_VALUE"""),45490.66666666667)</f>
        <v>45490.66667</v>
      </c>
      <c r="R214" s="31">
        <f>IFERROR(__xludf.DUMMYFUNCTION("""COMPUTED_VALUE"""),23.41)</f>
        <v>23.41</v>
      </c>
      <c r="S214" s="32">
        <f>IFERROR(__xludf.DUMMYFUNCTION("""COMPUTED_VALUE"""),45488.6875)</f>
        <v>45488.6875</v>
      </c>
      <c r="T214" s="31">
        <f>IFERROR(__xludf.DUMMYFUNCTION("""COMPUTED_VALUE"""),6.5)</f>
        <v>6.5</v>
      </c>
      <c r="U214" s="32">
        <f>IFERROR(__xludf.DUMMYFUNCTION("""COMPUTED_VALUE"""),45393.99861111111)</f>
        <v>45393.99861</v>
      </c>
      <c r="V214" s="31">
        <f>IFERROR(__xludf.DUMMYFUNCTION("""COMPUTED_VALUE"""),1.07264)</f>
        <v>1.07264</v>
      </c>
    </row>
    <row r="215" ht="15.75" customHeight="1">
      <c r="A215" s="32">
        <f>IFERROR(__xludf.DUMMYFUNCTION("""COMPUTED_VALUE"""),45490.73611111111)</f>
        <v>45490.73611</v>
      </c>
      <c r="B215" s="31">
        <f>IFERROR(__xludf.DUMMYFUNCTION("""COMPUTED_VALUE"""),97.16)</f>
        <v>97.16</v>
      </c>
      <c r="C215" s="32">
        <f>IFERROR(__xludf.DUMMYFUNCTION("""COMPUTED_VALUE"""),45490.726388888885)</f>
        <v>45490.72639</v>
      </c>
      <c r="D215" s="31">
        <f>IFERROR(__xludf.DUMMYFUNCTION("""COMPUTED_VALUE"""),5.27)</f>
        <v>5.27</v>
      </c>
      <c r="E215" s="32">
        <f>IFERROR(__xludf.DUMMYFUNCTION("""COMPUTED_VALUE"""),45496.73611111111)</f>
        <v>45496.73611</v>
      </c>
      <c r="F215" s="31">
        <f>IFERROR(__xludf.DUMMYFUNCTION("""COMPUTED_VALUE"""),97.29)</f>
        <v>97.29</v>
      </c>
      <c r="G215" s="32">
        <f>IFERROR(__xludf.DUMMYFUNCTION("""COMPUTED_VALUE"""),45488.726388888885)</f>
        <v>45488.72639</v>
      </c>
      <c r="H215" s="31">
        <f>IFERROR(__xludf.DUMMYFUNCTION("""COMPUTED_VALUE"""),5.2)</f>
        <v>5.2</v>
      </c>
      <c r="I215" s="32">
        <f>IFERROR(__xludf.DUMMYFUNCTION("""COMPUTED_VALUE"""),45488.726388888885)</f>
        <v>45488.72639</v>
      </c>
      <c r="J215" s="31">
        <f>IFERROR(__xludf.DUMMYFUNCTION("""COMPUTED_VALUE"""),5.23)</f>
        <v>5.23</v>
      </c>
      <c r="K215" s="32">
        <f>IFERROR(__xludf.DUMMYFUNCTION("""COMPUTED_VALUE"""),45490.73611111111)</f>
        <v>45490.73611</v>
      </c>
      <c r="L215" s="31">
        <f>IFERROR(__xludf.DUMMYFUNCTION("""COMPUTED_VALUE"""),97.28)</f>
        <v>97.28</v>
      </c>
      <c r="M215" s="32">
        <f>IFERROR(__xludf.DUMMYFUNCTION("""COMPUTED_VALUE"""),45488.726388888885)</f>
        <v>45488.72639</v>
      </c>
      <c r="N215" s="31">
        <f>IFERROR(__xludf.DUMMYFUNCTION("""COMPUTED_VALUE"""),5.3)</f>
        <v>5.3</v>
      </c>
      <c r="O215" s="32">
        <f>IFERROR(__xludf.DUMMYFUNCTION("""COMPUTED_VALUE"""),45489.6875)</f>
        <v>45489.6875</v>
      </c>
      <c r="P215" s="31">
        <f>IFERROR(__xludf.DUMMYFUNCTION("""COMPUTED_VALUE"""),596.12)</f>
        <v>596.12</v>
      </c>
      <c r="Q215" s="32">
        <f>IFERROR(__xludf.DUMMYFUNCTION("""COMPUTED_VALUE"""),45491.66666666667)</f>
        <v>45491.66667</v>
      </c>
      <c r="R215" s="31">
        <f>IFERROR(__xludf.DUMMYFUNCTION("""COMPUTED_VALUE"""),23.34)</f>
        <v>23.34</v>
      </c>
      <c r="S215" s="32">
        <f>IFERROR(__xludf.DUMMYFUNCTION("""COMPUTED_VALUE"""),45489.6875)</f>
        <v>45489.6875</v>
      </c>
      <c r="T215" s="31">
        <f>IFERROR(__xludf.DUMMYFUNCTION("""COMPUTED_VALUE"""),6.51)</f>
        <v>6.51</v>
      </c>
      <c r="U215" s="32">
        <f>IFERROR(__xludf.DUMMYFUNCTION("""COMPUTED_VALUE"""),45394.99861111111)</f>
        <v>45394.99861</v>
      </c>
      <c r="V215" s="31">
        <f>IFERROR(__xludf.DUMMYFUNCTION("""COMPUTED_VALUE"""),1.067)</f>
        <v>1.067</v>
      </c>
    </row>
    <row r="216" ht="15.75" customHeight="1">
      <c r="A216" s="32">
        <f>IFERROR(__xludf.DUMMYFUNCTION("""COMPUTED_VALUE"""),45495.73611111111)</f>
        <v>45495.73611</v>
      </c>
      <c r="B216" s="31">
        <f>IFERROR(__xludf.DUMMYFUNCTION("""COMPUTED_VALUE"""),97.52)</f>
        <v>97.52</v>
      </c>
      <c r="C216" s="32">
        <f>IFERROR(__xludf.DUMMYFUNCTION("""COMPUTED_VALUE"""),45491.726388888885)</f>
        <v>45491.72639</v>
      </c>
      <c r="D216" s="31">
        <f>IFERROR(__xludf.DUMMYFUNCTION("""COMPUTED_VALUE"""),5.28)</f>
        <v>5.28</v>
      </c>
      <c r="E216" s="32">
        <f>IFERROR(__xludf.DUMMYFUNCTION("""COMPUTED_VALUE"""),45497.73611111111)</f>
        <v>45497.73611</v>
      </c>
      <c r="F216" s="31">
        <f>IFERROR(__xludf.DUMMYFUNCTION("""COMPUTED_VALUE"""),97.4)</f>
        <v>97.4</v>
      </c>
      <c r="G216" s="32">
        <f>IFERROR(__xludf.DUMMYFUNCTION("""COMPUTED_VALUE"""),45489.726388888885)</f>
        <v>45489.72639</v>
      </c>
      <c r="H216" s="31">
        <f>IFERROR(__xludf.DUMMYFUNCTION("""COMPUTED_VALUE"""),5.2)</f>
        <v>5.2</v>
      </c>
      <c r="I216" s="32">
        <f>IFERROR(__xludf.DUMMYFUNCTION("""COMPUTED_VALUE"""),45489.726388888885)</f>
        <v>45489.72639</v>
      </c>
      <c r="J216" s="31">
        <f>IFERROR(__xludf.DUMMYFUNCTION("""COMPUTED_VALUE"""),5.23)</f>
        <v>5.23</v>
      </c>
      <c r="K216" s="32">
        <f>IFERROR(__xludf.DUMMYFUNCTION("""COMPUTED_VALUE"""),45492.73611111111)</f>
        <v>45492.73611</v>
      </c>
      <c r="L216" s="31">
        <f>IFERROR(__xludf.DUMMYFUNCTION("""COMPUTED_VALUE"""),97.71)</f>
        <v>97.71</v>
      </c>
      <c r="M216" s="32">
        <f>IFERROR(__xludf.DUMMYFUNCTION("""COMPUTED_VALUE"""),45489.726388888885)</f>
        <v>45489.72639</v>
      </c>
      <c r="N216" s="31">
        <f>IFERROR(__xludf.DUMMYFUNCTION("""COMPUTED_VALUE"""),5.3)</f>
        <v>5.3</v>
      </c>
      <c r="O216" s="32">
        <f>IFERROR(__xludf.DUMMYFUNCTION("""COMPUTED_VALUE"""),45490.6875)</f>
        <v>45490.6875</v>
      </c>
      <c r="P216" s="31">
        <f>IFERROR(__xludf.DUMMYFUNCTION("""COMPUTED_VALUE"""),591.24)</f>
        <v>591.24</v>
      </c>
      <c r="Q216" s="32">
        <f>IFERROR(__xludf.DUMMYFUNCTION("""COMPUTED_VALUE"""),45492.66666666667)</f>
        <v>45492.66667</v>
      </c>
      <c r="R216" s="31">
        <f>IFERROR(__xludf.DUMMYFUNCTION("""COMPUTED_VALUE"""),23.34)</f>
        <v>23.34</v>
      </c>
      <c r="S216" s="32">
        <f>IFERROR(__xludf.DUMMYFUNCTION("""COMPUTED_VALUE"""),45490.6875)</f>
        <v>45490.6875</v>
      </c>
      <c r="T216" s="31">
        <f>IFERROR(__xludf.DUMMYFUNCTION("""COMPUTED_VALUE"""),6.52)</f>
        <v>6.52</v>
      </c>
      <c r="U216" s="32">
        <f>IFERROR(__xludf.DUMMYFUNCTION("""COMPUTED_VALUE"""),45395.99861111111)</f>
        <v>45395.99861</v>
      </c>
      <c r="V216" s="31">
        <f>IFERROR(__xludf.DUMMYFUNCTION("""COMPUTED_VALUE"""),1.067)</f>
        <v>1.067</v>
      </c>
    </row>
    <row r="217" ht="15.75" customHeight="1">
      <c r="A217" s="32">
        <f>IFERROR(__xludf.DUMMYFUNCTION("""COMPUTED_VALUE"""),45496.73611111111)</f>
        <v>45496.73611</v>
      </c>
      <c r="B217" s="31">
        <f>IFERROR(__xludf.DUMMYFUNCTION("""COMPUTED_VALUE"""),97.94)</f>
        <v>97.94</v>
      </c>
      <c r="C217" s="32">
        <f>IFERROR(__xludf.DUMMYFUNCTION("""COMPUTED_VALUE"""),45492.726388888885)</f>
        <v>45492.72639</v>
      </c>
      <c r="D217" s="31">
        <f>IFERROR(__xludf.DUMMYFUNCTION("""COMPUTED_VALUE"""),5.27)</f>
        <v>5.27</v>
      </c>
      <c r="E217" s="32">
        <f>IFERROR(__xludf.DUMMYFUNCTION("""COMPUTED_VALUE"""),45503.73611111111)</f>
        <v>45503.73611</v>
      </c>
      <c r="F217" s="31">
        <f>IFERROR(__xludf.DUMMYFUNCTION("""COMPUTED_VALUE"""),98.0)</f>
        <v>98</v>
      </c>
      <c r="G217" s="32">
        <f>IFERROR(__xludf.DUMMYFUNCTION("""COMPUTED_VALUE"""),45490.726388888885)</f>
        <v>45490.72639</v>
      </c>
      <c r="H217" s="31">
        <f>IFERROR(__xludf.DUMMYFUNCTION("""COMPUTED_VALUE"""),5.2)</f>
        <v>5.2</v>
      </c>
      <c r="I217" s="32">
        <f>IFERROR(__xludf.DUMMYFUNCTION("""COMPUTED_VALUE"""),45490.726388888885)</f>
        <v>45490.72639</v>
      </c>
      <c r="J217" s="31">
        <f>IFERROR(__xludf.DUMMYFUNCTION("""COMPUTED_VALUE"""),5.23)</f>
        <v>5.23</v>
      </c>
      <c r="K217" s="32">
        <f>IFERROR(__xludf.DUMMYFUNCTION("""COMPUTED_VALUE"""),45496.73611111111)</f>
        <v>45496.73611</v>
      </c>
      <c r="L217" s="31">
        <f>IFERROR(__xludf.DUMMYFUNCTION("""COMPUTED_VALUE"""),98.04)</f>
        <v>98.04</v>
      </c>
      <c r="M217" s="32">
        <f>IFERROR(__xludf.DUMMYFUNCTION("""COMPUTED_VALUE"""),45490.726388888885)</f>
        <v>45490.72639</v>
      </c>
      <c r="N217" s="31">
        <f>IFERROR(__xludf.DUMMYFUNCTION("""COMPUTED_VALUE"""),5.31)</f>
        <v>5.31</v>
      </c>
      <c r="O217" s="32">
        <f>IFERROR(__xludf.DUMMYFUNCTION("""COMPUTED_VALUE"""),45491.6875)</f>
        <v>45491.6875</v>
      </c>
      <c r="P217" s="31">
        <f>IFERROR(__xludf.DUMMYFUNCTION("""COMPUTED_VALUE"""),586.45)</f>
        <v>586.45</v>
      </c>
      <c r="Q217" s="32">
        <f>IFERROR(__xludf.DUMMYFUNCTION("""COMPUTED_VALUE"""),45495.66666666667)</f>
        <v>45495.66667</v>
      </c>
      <c r="R217" s="31">
        <f>IFERROR(__xludf.DUMMYFUNCTION("""COMPUTED_VALUE"""),23.44)</f>
        <v>23.44</v>
      </c>
      <c r="S217" s="32">
        <f>IFERROR(__xludf.DUMMYFUNCTION("""COMPUTED_VALUE"""),45491.6875)</f>
        <v>45491.6875</v>
      </c>
      <c r="T217" s="31">
        <f>IFERROR(__xludf.DUMMYFUNCTION("""COMPUTED_VALUE"""),6.5)</f>
        <v>6.5</v>
      </c>
      <c r="U217" s="32">
        <f>IFERROR(__xludf.DUMMYFUNCTION("""COMPUTED_VALUE"""),45396.99861111111)</f>
        <v>45396.99861</v>
      </c>
      <c r="V217" s="31">
        <f>IFERROR(__xludf.DUMMYFUNCTION("""COMPUTED_VALUE"""),1.06474)</f>
        <v>1.06474</v>
      </c>
    </row>
    <row r="218" ht="15.75" customHeight="1">
      <c r="A218" s="32">
        <f>IFERROR(__xludf.DUMMYFUNCTION("""COMPUTED_VALUE"""),45497.73611111111)</f>
        <v>45497.73611</v>
      </c>
      <c r="B218" s="31">
        <f>IFERROR(__xludf.DUMMYFUNCTION("""COMPUTED_VALUE"""),97.95)</f>
        <v>97.95</v>
      </c>
      <c r="C218" s="32">
        <f>IFERROR(__xludf.DUMMYFUNCTION("""COMPUTED_VALUE"""),45495.726388888885)</f>
        <v>45495.72639</v>
      </c>
      <c r="D218" s="31">
        <f>IFERROR(__xludf.DUMMYFUNCTION("""COMPUTED_VALUE"""),5.27)</f>
        <v>5.27</v>
      </c>
      <c r="E218" s="32">
        <f>IFERROR(__xludf.DUMMYFUNCTION("""COMPUTED_VALUE"""),45505.73611111111)</f>
        <v>45505.73611</v>
      </c>
      <c r="F218" s="31">
        <f>IFERROR(__xludf.DUMMYFUNCTION("""COMPUTED_VALUE"""),98.46)</f>
        <v>98.46</v>
      </c>
      <c r="G218" s="32">
        <f>IFERROR(__xludf.DUMMYFUNCTION("""COMPUTED_VALUE"""),45491.726388888885)</f>
        <v>45491.72639</v>
      </c>
      <c r="H218" s="31">
        <f>IFERROR(__xludf.DUMMYFUNCTION("""COMPUTED_VALUE"""),5.2)</f>
        <v>5.2</v>
      </c>
      <c r="I218" s="32">
        <f>IFERROR(__xludf.DUMMYFUNCTION("""COMPUTED_VALUE"""),45491.726388888885)</f>
        <v>45491.72639</v>
      </c>
      <c r="J218" s="31">
        <f>IFERROR(__xludf.DUMMYFUNCTION("""COMPUTED_VALUE"""),5.23)</f>
        <v>5.23</v>
      </c>
      <c r="K218" s="32">
        <f>IFERROR(__xludf.DUMMYFUNCTION("""COMPUTED_VALUE"""),45498.73611111111)</f>
        <v>45498.73611</v>
      </c>
      <c r="L218" s="31">
        <f>IFERROR(__xludf.DUMMYFUNCTION("""COMPUTED_VALUE"""),98.08)</f>
        <v>98.08</v>
      </c>
      <c r="M218" s="32">
        <f>IFERROR(__xludf.DUMMYFUNCTION("""COMPUTED_VALUE"""),45491.726388888885)</f>
        <v>45491.72639</v>
      </c>
      <c r="N218" s="31">
        <f>IFERROR(__xludf.DUMMYFUNCTION("""COMPUTED_VALUE"""),5.31)</f>
        <v>5.31</v>
      </c>
      <c r="O218" s="32">
        <f>IFERROR(__xludf.DUMMYFUNCTION("""COMPUTED_VALUE"""),45492.6875)</f>
        <v>45492.6875</v>
      </c>
      <c r="P218" s="31">
        <f>IFERROR(__xludf.DUMMYFUNCTION("""COMPUTED_VALUE"""),582.07)</f>
        <v>582.07</v>
      </c>
      <c r="Q218" s="32">
        <f>IFERROR(__xludf.DUMMYFUNCTION("""COMPUTED_VALUE"""),45496.66666666667)</f>
        <v>45496.66667</v>
      </c>
      <c r="R218" s="31">
        <f>IFERROR(__xludf.DUMMYFUNCTION("""COMPUTED_VALUE"""),23.46)</f>
        <v>23.46</v>
      </c>
      <c r="S218" s="32">
        <f>IFERROR(__xludf.DUMMYFUNCTION("""COMPUTED_VALUE"""),45492.6875)</f>
        <v>45492.6875</v>
      </c>
      <c r="T218" s="31">
        <f>IFERROR(__xludf.DUMMYFUNCTION("""COMPUTED_VALUE"""),6.49)</f>
        <v>6.49</v>
      </c>
      <c r="U218" s="32">
        <f>IFERROR(__xludf.DUMMYFUNCTION("""COMPUTED_VALUE"""),45397.99861111111)</f>
        <v>45397.99861</v>
      </c>
      <c r="V218" s="31">
        <f>IFERROR(__xludf.DUMMYFUNCTION("""COMPUTED_VALUE"""),1.0625)</f>
        <v>1.0625</v>
      </c>
    </row>
    <row r="219" ht="15.75" customHeight="1">
      <c r="A219" s="32">
        <f>IFERROR(__xludf.DUMMYFUNCTION("""COMPUTED_VALUE"""),45498.73611111111)</f>
        <v>45498.73611</v>
      </c>
      <c r="B219" s="31">
        <f>IFERROR(__xludf.DUMMYFUNCTION("""COMPUTED_VALUE"""),97.8)</f>
        <v>97.8</v>
      </c>
      <c r="C219" s="32">
        <f>IFERROR(__xludf.DUMMYFUNCTION("""COMPUTED_VALUE"""),45496.726388888885)</f>
        <v>45496.72639</v>
      </c>
      <c r="D219" s="31">
        <f>IFERROR(__xludf.DUMMYFUNCTION("""COMPUTED_VALUE"""),5.28)</f>
        <v>5.28</v>
      </c>
      <c r="E219" s="32">
        <f>IFERROR(__xludf.DUMMYFUNCTION("""COMPUTED_VALUE"""),45506.73611111111)</f>
        <v>45506.73611</v>
      </c>
      <c r="F219" s="31">
        <f>IFERROR(__xludf.DUMMYFUNCTION("""COMPUTED_VALUE"""),97.65)</f>
        <v>97.65</v>
      </c>
      <c r="G219" s="32">
        <f>IFERROR(__xludf.DUMMYFUNCTION("""COMPUTED_VALUE"""),45492.726388888885)</f>
        <v>45492.72639</v>
      </c>
      <c r="H219" s="31">
        <f>IFERROR(__xludf.DUMMYFUNCTION("""COMPUTED_VALUE"""),5.2)</f>
        <v>5.2</v>
      </c>
      <c r="I219" s="32">
        <f>IFERROR(__xludf.DUMMYFUNCTION("""COMPUTED_VALUE"""),45492.726388888885)</f>
        <v>45492.72639</v>
      </c>
      <c r="J219" s="31">
        <f>IFERROR(__xludf.DUMMYFUNCTION("""COMPUTED_VALUE"""),5.23)</f>
        <v>5.23</v>
      </c>
      <c r="K219" s="32">
        <f>IFERROR(__xludf.DUMMYFUNCTION("""COMPUTED_VALUE"""),45503.73611111111)</f>
        <v>45503.73611</v>
      </c>
      <c r="L219" s="31">
        <f>IFERROR(__xludf.DUMMYFUNCTION("""COMPUTED_VALUE"""),98.71)</f>
        <v>98.71</v>
      </c>
      <c r="M219" s="32">
        <f>IFERROR(__xludf.DUMMYFUNCTION("""COMPUTED_VALUE"""),45492.726388888885)</f>
        <v>45492.72639</v>
      </c>
      <c r="N219" s="31">
        <f>IFERROR(__xludf.DUMMYFUNCTION("""COMPUTED_VALUE"""),5.3)</f>
        <v>5.3</v>
      </c>
      <c r="O219" s="32">
        <f>IFERROR(__xludf.DUMMYFUNCTION("""COMPUTED_VALUE"""),45495.6875)</f>
        <v>45495.6875</v>
      </c>
      <c r="P219" s="31">
        <f>IFERROR(__xludf.DUMMYFUNCTION("""COMPUTED_VALUE"""),584.0)</f>
        <v>584</v>
      </c>
      <c r="Q219" s="32">
        <f>IFERROR(__xludf.DUMMYFUNCTION("""COMPUTED_VALUE"""),45497.66666666667)</f>
        <v>45497.66667</v>
      </c>
      <c r="R219" s="31">
        <f>IFERROR(__xludf.DUMMYFUNCTION("""COMPUTED_VALUE"""),23.37)</f>
        <v>23.37</v>
      </c>
      <c r="S219" s="32">
        <f>IFERROR(__xludf.DUMMYFUNCTION("""COMPUTED_VALUE"""),45495.6875)</f>
        <v>45495.6875</v>
      </c>
      <c r="T219" s="31">
        <f>IFERROR(__xludf.DUMMYFUNCTION("""COMPUTED_VALUE"""),6.51)</f>
        <v>6.51</v>
      </c>
      <c r="U219" s="32">
        <f>IFERROR(__xludf.DUMMYFUNCTION("""COMPUTED_VALUE"""),45398.99861111111)</f>
        <v>45398.99861</v>
      </c>
      <c r="V219" s="31">
        <f>IFERROR(__xludf.DUMMYFUNCTION("""COMPUTED_VALUE"""),1.06207)</f>
        <v>1.06207</v>
      </c>
    </row>
    <row r="220" ht="15.75" customHeight="1">
      <c r="A220" s="32">
        <f>IFERROR(__xludf.DUMMYFUNCTION("""COMPUTED_VALUE"""),45499.73611111111)</f>
        <v>45499.73611</v>
      </c>
      <c r="B220" s="31">
        <f>IFERROR(__xludf.DUMMYFUNCTION("""COMPUTED_VALUE"""),97.99)</f>
        <v>97.99</v>
      </c>
      <c r="C220" s="32">
        <f>IFERROR(__xludf.DUMMYFUNCTION("""COMPUTED_VALUE"""),45497.726388888885)</f>
        <v>45497.72639</v>
      </c>
      <c r="D220" s="31">
        <f>IFERROR(__xludf.DUMMYFUNCTION("""COMPUTED_VALUE"""),5.28)</f>
        <v>5.28</v>
      </c>
      <c r="E220" s="32">
        <f>IFERROR(__xludf.DUMMYFUNCTION("""COMPUTED_VALUE"""),45509.73611111111)</f>
        <v>45509.73611</v>
      </c>
      <c r="F220" s="31">
        <f>IFERROR(__xludf.DUMMYFUNCTION("""COMPUTED_VALUE"""),97.15)</f>
        <v>97.15</v>
      </c>
      <c r="G220" s="32">
        <f>IFERROR(__xludf.DUMMYFUNCTION("""COMPUTED_VALUE"""),45495.726388888885)</f>
        <v>45495.72639</v>
      </c>
      <c r="H220" s="31">
        <f>IFERROR(__xludf.DUMMYFUNCTION("""COMPUTED_VALUE"""),5.2)</f>
        <v>5.2</v>
      </c>
      <c r="I220" s="32">
        <f>IFERROR(__xludf.DUMMYFUNCTION("""COMPUTED_VALUE"""),45495.726388888885)</f>
        <v>45495.72639</v>
      </c>
      <c r="J220" s="31">
        <f>IFERROR(__xludf.DUMMYFUNCTION("""COMPUTED_VALUE"""),5.23)</f>
        <v>5.23</v>
      </c>
      <c r="K220" s="32">
        <f>IFERROR(__xludf.DUMMYFUNCTION("""COMPUTED_VALUE"""),45506.73611111111)</f>
        <v>45506.73611</v>
      </c>
      <c r="L220" s="31">
        <f>IFERROR(__xludf.DUMMYFUNCTION("""COMPUTED_VALUE"""),98.7)</f>
        <v>98.7</v>
      </c>
      <c r="M220" s="32">
        <f>IFERROR(__xludf.DUMMYFUNCTION("""COMPUTED_VALUE"""),45495.726388888885)</f>
        <v>45495.72639</v>
      </c>
      <c r="N220" s="31">
        <f>IFERROR(__xludf.DUMMYFUNCTION("""COMPUTED_VALUE"""),5.3)</f>
        <v>5.3</v>
      </c>
      <c r="O220" s="32">
        <f>IFERROR(__xludf.DUMMYFUNCTION("""COMPUTED_VALUE"""),45496.6875)</f>
        <v>45496.6875</v>
      </c>
      <c r="P220" s="31">
        <f>IFERROR(__xludf.DUMMYFUNCTION("""COMPUTED_VALUE"""),589.44)</f>
        <v>589.44</v>
      </c>
      <c r="Q220" s="32">
        <f>IFERROR(__xludf.DUMMYFUNCTION("""COMPUTED_VALUE"""),45498.66666666667)</f>
        <v>45498.66667</v>
      </c>
      <c r="R220" s="31">
        <f>IFERROR(__xludf.DUMMYFUNCTION("""COMPUTED_VALUE"""),23.4)</f>
        <v>23.4</v>
      </c>
      <c r="S220" s="32">
        <f>IFERROR(__xludf.DUMMYFUNCTION("""COMPUTED_VALUE"""),45496.6875)</f>
        <v>45496.6875</v>
      </c>
      <c r="T220" s="31">
        <f>IFERROR(__xludf.DUMMYFUNCTION("""COMPUTED_VALUE"""),6.52)</f>
        <v>6.52</v>
      </c>
      <c r="U220" s="32">
        <f>IFERROR(__xludf.DUMMYFUNCTION("""COMPUTED_VALUE"""),45399.99861111111)</f>
        <v>45399.99861</v>
      </c>
      <c r="V220" s="31">
        <f>IFERROR(__xludf.DUMMYFUNCTION("""COMPUTED_VALUE"""),1.06688)</f>
        <v>1.06688</v>
      </c>
    </row>
    <row r="221" ht="15.75" customHeight="1">
      <c r="A221" s="32">
        <f>IFERROR(__xludf.DUMMYFUNCTION("""COMPUTED_VALUE"""),45502.73611111111)</f>
        <v>45502.73611</v>
      </c>
      <c r="B221" s="31">
        <f>IFERROR(__xludf.DUMMYFUNCTION("""COMPUTED_VALUE"""),98.51)</f>
        <v>98.51</v>
      </c>
      <c r="C221" s="32">
        <f>IFERROR(__xludf.DUMMYFUNCTION("""COMPUTED_VALUE"""),45498.726388888885)</f>
        <v>45498.72639</v>
      </c>
      <c r="D221" s="31">
        <f>IFERROR(__xludf.DUMMYFUNCTION("""COMPUTED_VALUE"""),5.29)</f>
        <v>5.29</v>
      </c>
      <c r="E221" s="32">
        <f>IFERROR(__xludf.DUMMYFUNCTION("""COMPUTED_VALUE"""),45510.73611111111)</f>
        <v>45510.73611</v>
      </c>
      <c r="F221" s="31">
        <f>IFERROR(__xludf.DUMMYFUNCTION("""COMPUTED_VALUE"""),97.41)</f>
        <v>97.41</v>
      </c>
      <c r="G221" s="32">
        <f>IFERROR(__xludf.DUMMYFUNCTION("""COMPUTED_VALUE"""),45496.726388888885)</f>
        <v>45496.72639</v>
      </c>
      <c r="H221" s="31">
        <f>IFERROR(__xludf.DUMMYFUNCTION("""COMPUTED_VALUE"""),5.2)</f>
        <v>5.2</v>
      </c>
      <c r="I221" s="32">
        <f>IFERROR(__xludf.DUMMYFUNCTION("""COMPUTED_VALUE"""),45496.726388888885)</f>
        <v>45496.72639</v>
      </c>
      <c r="J221" s="31">
        <f>IFERROR(__xludf.DUMMYFUNCTION("""COMPUTED_VALUE"""),5.24)</f>
        <v>5.24</v>
      </c>
      <c r="K221" s="32">
        <f>IFERROR(__xludf.DUMMYFUNCTION("""COMPUTED_VALUE"""),45509.73611111111)</f>
        <v>45509.73611</v>
      </c>
      <c r="L221" s="31">
        <f>IFERROR(__xludf.DUMMYFUNCTION("""COMPUTED_VALUE"""),98.12)</f>
        <v>98.12</v>
      </c>
      <c r="M221" s="32">
        <f>IFERROR(__xludf.DUMMYFUNCTION("""COMPUTED_VALUE"""),45496.726388888885)</f>
        <v>45496.72639</v>
      </c>
      <c r="N221" s="31">
        <f>IFERROR(__xludf.DUMMYFUNCTION("""COMPUTED_VALUE"""),5.31)</f>
        <v>5.31</v>
      </c>
      <c r="O221" s="32">
        <f>IFERROR(__xludf.DUMMYFUNCTION("""COMPUTED_VALUE"""),45497.6875)</f>
        <v>45497.6875</v>
      </c>
      <c r="P221" s="31">
        <f>IFERROR(__xludf.DUMMYFUNCTION("""COMPUTED_VALUE"""),577.17)</f>
        <v>577.17</v>
      </c>
      <c r="Q221" s="32">
        <f>IFERROR(__xludf.DUMMYFUNCTION("""COMPUTED_VALUE"""),45499.66666666667)</f>
        <v>45499.66667</v>
      </c>
      <c r="R221" s="31">
        <f>IFERROR(__xludf.DUMMYFUNCTION("""COMPUTED_VALUE"""),23.43)</f>
        <v>23.43</v>
      </c>
      <c r="S221" s="32">
        <f>IFERROR(__xludf.DUMMYFUNCTION("""COMPUTED_VALUE"""),45497.6875)</f>
        <v>45497.6875</v>
      </c>
      <c r="T221" s="31">
        <f>IFERROR(__xludf.DUMMYFUNCTION("""COMPUTED_VALUE"""),6.52)</f>
        <v>6.52</v>
      </c>
      <c r="U221" s="32">
        <f>IFERROR(__xludf.DUMMYFUNCTION("""COMPUTED_VALUE"""),45400.99861111111)</f>
        <v>45400.99861</v>
      </c>
      <c r="V221" s="31">
        <f>IFERROR(__xludf.DUMMYFUNCTION("""COMPUTED_VALUE"""),1.06435)</f>
        <v>1.06435</v>
      </c>
    </row>
    <row r="222" ht="15.75" customHeight="1">
      <c r="A222" s="32">
        <f>IFERROR(__xludf.DUMMYFUNCTION("""COMPUTED_VALUE"""),45503.73611111111)</f>
        <v>45503.73611</v>
      </c>
      <c r="B222" s="31">
        <f>IFERROR(__xludf.DUMMYFUNCTION("""COMPUTED_VALUE"""),98.57)</f>
        <v>98.57</v>
      </c>
      <c r="C222" s="32">
        <f>IFERROR(__xludf.DUMMYFUNCTION("""COMPUTED_VALUE"""),45499.726388888885)</f>
        <v>45499.72639</v>
      </c>
      <c r="D222" s="31">
        <f>IFERROR(__xludf.DUMMYFUNCTION("""COMPUTED_VALUE"""),5.29)</f>
        <v>5.29</v>
      </c>
      <c r="E222" s="32">
        <f>IFERROR(__xludf.DUMMYFUNCTION("""COMPUTED_VALUE"""),45519.73611111111)</f>
        <v>45519.73611</v>
      </c>
      <c r="F222" s="31">
        <f>IFERROR(__xludf.DUMMYFUNCTION("""COMPUTED_VALUE"""),96.95)</f>
        <v>96.95</v>
      </c>
      <c r="G222" s="32">
        <f>IFERROR(__xludf.DUMMYFUNCTION("""COMPUTED_VALUE"""),45497.726388888885)</f>
        <v>45497.72639</v>
      </c>
      <c r="H222" s="31">
        <f>IFERROR(__xludf.DUMMYFUNCTION("""COMPUTED_VALUE"""),5.2)</f>
        <v>5.2</v>
      </c>
      <c r="I222" s="32">
        <f>IFERROR(__xludf.DUMMYFUNCTION("""COMPUTED_VALUE"""),45497.726388888885)</f>
        <v>45497.72639</v>
      </c>
      <c r="J222" s="31">
        <f>IFERROR(__xludf.DUMMYFUNCTION("""COMPUTED_VALUE"""),5.24)</f>
        <v>5.24</v>
      </c>
      <c r="K222" s="32">
        <f>IFERROR(__xludf.DUMMYFUNCTION("""COMPUTED_VALUE"""),45510.73611111111)</f>
        <v>45510.73611</v>
      </c>
      <c r="L222" s="31">
        <f>IFERROR(__xludf.DUMMYFUNCTION("""COMPUTED_VALUE"""),98.42)</f>
        <v>98.42</v>
      </c>
      <c r="M222" s="32">
        <f>IFERROR(__xludf.DUMMYFUNCTION("""COMPUTED_VALUE"""),45497.726388888885)</f>
        <v>45497.72639</v>
      </c>
      <c r="N222" s="31">
        <f>IFERROR(__xludf.DUMMYFUNCTION("""COMPUTED_VALUE"""),5.31)</f>
        <v>5.31</v>
      </c>
      <c r="O222" s="32">
        <f>IFERROR(__xludf.DUMMYFUNCTION("""COMPUTED_VALUE"""),45498.6875)</f>
        <v>45498.6875</v>
      </c>
      <c r="P222" s="31">
        <f>IFERROR(__xludf.DUMMYFUNCTION("""COMPUTED_VALUE"""),575.38)</f>
        <v>575.38</v>
      </c>
      <c r="Q222" s="32">
        <f>IFERROR(__xludf.DUMMYFUNCTION("""COMPUTED_VALUE"""),45502.66666666667)</f>
        <v>45502.66667</v>
      </c>
      <c r="R222" s="31">
        <f>IFERROR(__xludf.DUMMYFUNCTION("""COMPUTED_VALUE"""),23.4)</f>
        <v>23.4</v>
      </c>
      <c r="S222" s="32">
        <f>IFERROR(__xludf.DUMMYFUNCTION("""COMPUTED_VALUE"""),45498.6875)</f>
        <v>45498.6875</v>
      </c>
      <c r="T222" s="31">
        <f>IFERROR(__xludf.DUMMYFUNCTION("""COMPUTED_VALUE"""),6.52)</f>
        <v>6.52</v>
      </c>
      <c r="U222" s="32">
        <f>IFERROR(__xludf.DUMMYFUNCTION("""COMPUTED_VALUE"""),45401.99861111111)</f>
        <v>45401.99861</v>
      </c>
      <c r="V222" s="31">
        <f>IFERROR(__xludf.DUMMYFUNCTION("""COMPUTED_VALUE"""),1.0669)</f>
        <v>1.0669</v>
      </c>
    </row>
    <row r="223" ht="15.75" customHeight="1">
      <c r="A223" s="32">
        <f>IFERROR(__xludf.DUMMYFUNCTION("""COMPUTED_VALUE"""),45504.73611111111)</f>
        <v>45504.73611</v>
      </c>
      <c r="B223" s="31">
        <f>IFERROR(__xludf.DUMMYFUNCTION("""COMPUTED_VALUE"""),98.64)</f>
        <v>98.64</v>
      </c>
      <c r="C223" s="32">
        <f>IFERROR(__xludf.DUMMYFUNCTION("""COMPUTED_VALUE"""),45502.726388888885)</f>
        <v>45502.72639</v>
      </c>
      <c r="D223" s="31">
        <f>IFERROR(__xludf.DUMMYFUNCTION("""COMPUTED_VALUE"""),5.3)</f>
        <v>5.3</v>
      </c>
      <c r="E223" s="32">
        <f>IFERROR(__xludf.DUMMYFUNCTION("""COMPUTED_VALUE"""),45524.73611111111)</f>
        <v>45524.73611</v>
      </c>
      <c r="F223" s="31">
        <f>IFERROR(__xludf.DUMMYFUNCTION("""COMPUTED_VALUE"""),96.13)</f>
        <v>96.13</v>
      </c>
      <c r="G223" s="32">
        <f>IFERROR(__xludf.DUMMYFUNCTION("""COMPUTED_VALUE"""),45498.726388888885)</f>
        <v>45498.72639</v>
      </c>
      <c r="H223" s="31">
        <f>IFERROR(__xludf.DUMMYFUNCTION("""COMPUTED_VALUE"""),5.2)</f>
        <v>5.2</v>
      </c>
      <c r="I223" s="32">
        <f>IFERROR(__xludf.DUMMYFUNCTION("""COMPUTED_VALUE"""),45498.726388888885)</f>
        <v>45498.72639</v>
      </c>
      <c r="J223" s="31">
        <f>IFERROR(__xludf.DUMMYFUNCTION("""COMPUTED_VALUE"""),5.24)</f>
        <v>5.24</v>
      </c>
      <c r="K223" s="32">
        <f>IFERROR(__xludf.DUMMYFUNCTION("""COMPUTED_VALUE"""),45511.73611111111)</f>
        <v>45511.73611</v>
      </c>
      <c r="L223" s="31">
        <f>IFERROR(__xludf.DUMMYFUNCTION("""COMPUTED_VALUE"""),98.19)</f>
        <v>98.19</v>
      </c>
      <c r="M223" s="32">
        <f>IFERROR(__xludf.DUMMYFUNCTION("""COMPUTED_VALUE"""),45498.726388888885)</f>
        <v>45498.72639</v>
      </c>
      <c r="N223" s="31">
        <f>IFERROR(__xludf.DUMMYFUNCTION("""COMPUTED_VALUE"""),5.32)</f>
        <v>5.32</v>
      </c>
      <c r="O223" s="32">
        <f>IFERROR(__xludf.DUMMYFUNCTION("""COMPUTED_VALUE"""),45499.6875)</f>
        <v>45499.6875</v>
      </c>
      <c r="P223" s="31">
        <f>IFERROR(__xludf.DUMMYFUNCTION("""COMPUTED_VALUE"""),575.15)</f>
        <v>575.15</v>
      </c>
      <c r="Q223" s="32">
        <f>IFERROR(__xludf.DUMMYFUNCTION("""COMPUTED_VALUE"""),45503.66666666667)</f>
        <v>45503.66667</v>
      </c>
      <c r="R223" s="31">
        <f>IFERROR(__xludf.DUMMYFUNCTION("""COMPUTED_VALUE"""),23.43)</f>
        <v>23.43</v>
      </c>
      <c r="S223" s="32">
        <f>IFERROR(__xludf.DUMMYFUNCTION("""COMPUTED_VALUE"""),45499.6875)</f>
        <v>45499.6875</v>
      </c>
      <c r="T223" s="31">
        <f>IFERROR(__xludf.DUMMYFUNCTION("""COMPUTED_VALUE"""),6.52)</f>
        <v>6.52</v>
      </c>
      <c r="U223" s="32">
        <f>IFERROR(__xludf.DUMMYFUNCTION("""COMPUTED_VALUE"""),45402.99861111111)</f>
        <v>45402.99861</v>
      </c>
      <c r="V223" s="31">
        <f>IFERROR(__xludf.DUMMYFUNCTION("""COMPUTED_VALUE"""),1.0669)</f>
        <v>1.0669</v>
      </c>
    </row>
    <row r="224" ht="15.75" customHeight="1">
      <c r="A224" s="32">
        <f>IFERROR(__xludf.DUMMYFUNCTION("""COMPUTED_VALUE"""),45505.73611111111)</f>
        <v>45505.73611</v>
      </c>
      <c r="B224" s="31">
        <f>IFERROR(__xludf.DUMMYFUNCTION("""COMPUTED_VALUE"""),99.35)</f>
        <v>99.35</v>
      </c>
      <c r="C224" s="32">
        <f>IFERROR(__xludf.DUMMYFUNCTION("""COMPUTED_VALUE"""),45503.726388888885)</f>
        <v>45503.72639</v>
      </c>
      <c r="D224" s="31">
        <f>IFERROR(__xludf.DUMMYFUNCTION("""COMPUTED_VALUE"""),5.3)</f>
        <v>5.3</v>
      </c>
      <c r="E224" s="32">
        <f>IFERROR(__xludf.DUMMYFUNCTION("""COMPUTED_VALUE"""),45525.73611111111)</f>
        <v>45525.73611</v>
      </c>
      <c r="F224" s="31">
        <f>IFERROR(__xludf.DUMMYFUNCTION("""COMPUTED_VALUE"""),95.96)</f>
        <v>95.96</v>
      </c>
      <c r="G224" s="32">
        <f>IFERROR(__xludf.DUMMYFUNCTION("""COMPUTED_VALUE"""),45499.726388888885)</f>
        <v>45499.72639</v>
      </c>
      <c r="H224" s="31">
        <f>IFERROR(__xludf.DUMMYFUNCTION("""COMPUTED_VALUE"""),5.21)</f>
        <v>5.21</v>
      </c>
      <c r="I224" s="32">
        <f>IFERROR(__xludf.DUMMYFUNCTION("""COMPUTED_VALUE"""),45499.726388888885)</f>
        <v>45499.72639</v>
      </c>
      <c r="J224" s="31">
        <f>IFERROR(__xludf.DUMMYFUNCTION("""COMPUTED_VALUE"""),5.24)</f>
        <v>5.24</v>
      </c>
      <c r="K224" s="32">
        <f>IFERROR(__xludf.DUMMYFUNCTION("""COMPUTED_VALUE"""),45513.73611111111)</f>
        <v>45513.73611</v>
      </c>
      <c r="L224" s="31">
        <f>IFERROR(__xludf.DUMMYFUNCTION("""COMPUTED_VALUE"""),98.38)</f>
        <v>98.38</v>
      </c>
      <c r="M224" s="32">
        <f>IFERROR(__xludf.DUMMYFUNCTION("""COMPUTED_VALUE"""),45499.726388888885)</f>
        <v>45499.72639</v>
      </c>
      <c r="N224" s="31">
        <f>IFERROR(__xludf.DUMMYFUNCTION("""COMPUTED_VALUE"""),5.33)</f>
        <v>5.33</v>
      </c>
      <c r="O224" s="32">
        <f>IFERROR(__xludf.DUMMYFUNCTION("""COMPUTED_VALUE"""),45502.6875)</f>
        <v>45502.6875</v>
      </c>
      <c r="P224" s="31">
        <f>IFERROR(__xludf.DUMMYFUNCTION("""COMPUTED_VALUE"""),575.1)</f>
        <v>575.1</v>
      </c>
      <c r="Q224" s="32">
        <f>IFERROR(__xludf.DUMMYFUNCTION("""COMPUTED_VALUE"""),45504.66666666667)</f>
        <v>45504.66667</v>
      </c>
      <c r="R224" s="31">
        <f>IFERROR(__xludf.DUMMYFUNCTION("""COMPUTED_VALUE"""),23.52)</f>
        <v>23.52</v>
      </c>
      <c r="S224" s="32">
        <f>IFERROR(__xludf.DUMMYFUNCTION("""COMPUTED_VALUE"""),45502.6875)</f>
        <v>45502.6875</v>
      </c>
      <c r="T224" s="31">
        <f>IFERROR(__xludf.DUMMYFUNCTION("""COMPUTED_VALUE"""),6.51)</f>
        <v>6.51</v>
      </c>
      <c r="U224" s="32">
        <f>IFERROR(__xludf.DUMMYFUNCTION("""COMPUTED_VALUE"""),45403.99861111111)</f>
        <v>45403.99861</v>
      </c>
      <c r="V224" s="31">
        <f>IFERROR(__xludf.DUMMYFUNCTION("""COMPUTED_VALUE"""),1.06576)</f>
        <v>1.06576</v>
      </c>
    </row>
    <row r="225" ht="15.75" customHeight="1">
      <c r="A225" s="32">
        <f>IFERROR(__xludf.DUMMYFUNCTION("""COMPUTED_VALUE"""),45506.73611111111)</f>
        <v>45506.73611</v>
      </c>
      <c r="B225" s="31">
        <f>IFERROR(__xludf.DUMMYFUNCTION("""COMPUTED_VALUE"""),98.72)</f>
        <v>98.72</v>
      </c>
      <c r="C225" s="32">
        <f>IFERROR(__xludf.DUMMYFUNCTION("""COMPUTED_VALUE"""),45504.726388888885)</f>
        <v>45504.72639</v>
      </c>
      <c r="D225" s="31">
        <f>IFERROR(__xludf.DUMMYFUNCTION("""COMPUTED_VALUE"""),5.31)</f>
        <v>5.31</v>
      </c>
      <c r="E225" s="32">
        <f>IFERROR(__xludf.DUMMYFUNCTION("""COMPUTED_VALUE"""),45527.73611111111)</f>
        <v>45527.73611</v>
      </c>
      <c r="F225" s="31">
        <f>IFERROR(__xludf.DUMMYFUNCTION("""COMPUTED_VALUE"""),95.62)</f>
        <v>95.62</v>
      </c>
      <c r="G225" s="32">
        <f>IFERROR(__xludf.DUMMYFUNCTION("""COMPUTED_VALUE"""),45502.726388888885)</f>
        <v>45502.72639</v>
      </c>
      <c r="H225" s="31">
        <f>IFERROR(__xludf.DUMMYFUNCTION("""COMPUTED_VALUE"""),5.2)</f>
        <v>5.2</v>
      </c>
      <c r="I225" s="32">
        <f>IFERROR(__xludf.DUMMYFUNCTION("""COMPUTED_VALUE"""),45502.726388888885)</f>
        <v>45502.72639</v>
      </c>
      <c r="J225" s="31">
        <f>IFERROR(__xludf.DUMMYFUNCTION("""COMPUTED_VALUE"""),5.24)</f>
        <v>5.24</v>
      </c>
      <c r="K225" s="32">
        <f>IFERROR(__xludf.DUMMYFUNCTION("""COMPUTED_VALUE"""),45517.73611111111)</f>
        <v>45517.73611</v>
      </c>
      <c r="L225" s="31">
        <f>IFERROR(__xludf.DUMMYFUNCTION("""COMPUTED_VALUE"""),98.39)</f>
        <v>98.39</v>
      </c>
      <c r="M225" s="32">
        <f>IFERROR(__xludf.DUMMYFUNCTION("""COMPUTED_VALUE"""),45502.726388888885)</f>
        <v>45502.72639</v>
      </c>
      <c r="N225" s="31">
        <f>IFERROR(__xludf.DUMMYFUNCTION("""COMPUTED_VALUE"""),5.33)</f>
        <v>5.33</v>
      </c>
      <c r="O225" s="32">
        <f>IFERROR(__xludf.DUMMYFUNCTION("""COMPUTED_VALUE"""),45503.6875)</f>
        <v>45503.6875</v>
      </c>
      <c r="P225" s="31">
        <f>IFERROR(__xludf.DUMMYFUNCTION("""COMPUTED_VALUE"""),574.03)</f>
        <v>574.03</v>
      </c>
      <c r="Q225" s="32">
        <f>IFERROR(__xludf.DUMMYFUNCTION("""COMPUTED_VALUE"""),45505.66666666667)</f>
        <v>45505.66667</v>
      </c>
      <c r="R225" s="31">
        <f>IFERROR(__xludf.DUMMYFUNCTION("""COMPUTED_VALUE"""),23.32)</f>
        <v>23.32</v>
      </c>
      <c r="S225" s="32">
        <f>IFERROR(__xludf.DUMMYFUNCTION("""COMPUTED_VALUE"""),45503.6875)</f>
        <v>45503.6875</v>
      </c>
      <c r="T225" s="31">
        <f>IFERROR(__xludf.DUMMYFUNCTION("""COMPUTED_VALUE"""),6.51)</f>
        <v>6.51</v>
      </c>
      <c r="U225" s="32">
        <f>IFERROR(__xludf.DUMMYFUNCTION("""COMPUTED_VALUE"""),45404.99861111111)</f>
        <v>45404.99861</v>
      </c>
      <c r="V225" s="31">
        <f>IFERROR(__xludf.DUMMYFUNCTION("""COMPUTED_VALUE"""),1.06536)</f>
        <v>1.06536</v>
      </c>
    </row>
    <row r="226" ht="15.75" customHeight="1">
      <c r="A226" s="32">
        <f>IFERROR(__xludf.DUMMYFUNCTION("""COMPUTED_VALUE"""),45509.73611111111)</f>
        <v>45509.73611</v>
      </c>
      <c r="B226" s="31">
        <f>IFERROR(__xludf.DUMMYFUNCTION("""COMPUTED_VALUE"""),98.14)</f>
        <v>98.14</v>
      </c>
      <c r="C226" s="32">
        <f>IFERROR(__xludf.DUMMYFUNCTION("""COMPUTED_VALUE"""),45505.726388888885)</f>
        <v>45505.72639</v>
      </c>
      <c r="D226" s="31">
        <f>IFERROR(__xludf.DUMMYFUNCTION("""COMPUTED_VALUE"""),5.32)</f>
        <v>5.32</v>
      </c>
      <c r="E226" s="32">
        <f>IFERROR(__xludf.DUMMYFUNCTION("""COMPUTED_VALUE"""),45530.73611111111)</f>
        <v>45530.73611</v>
      </c>
      <c r="F226" s="31">
        <f>IFERROR(__xludf.DUMMYFUNCTION("""COMPUTED_VALUE"""),95.83)</f>
        <v>95.83</v>
      </c>
      <c r="G226" s="32">
        <f>IFERROR(__xludf.DUMMYFUNCTION("""COMPUTED_VALUE"""),45503.726388888885)</f>
        <v>45503.72639</v>
      </c>
      <c r="H226" s="31">
        <f>IFERROR(__xludf.DUMMYFUNCTION("""COMPUTED_VALUE"""),5.21)</f>
        <v>5.21</v>
      </c>
      <c r="I226" s="32">
        <f>IFERROR(__xludf.DUMMYFUNCTION("""COMPUTED_VALUE"""),45503.726388888885)</f>
        <v>45503.72639</v>
      </c>
      <c r="J226" s="31">
        <f>IFERROR(__xludf.DUMMYFUNCTION("""COMPUTED_VALUE"""),5.25)</f>
        <v>5.25</v>
      </c>
      <c r="K226" s="32">
        <f>IFERROR(__xludf.DUMMYFUNCTION("""COMPUTED_VALUE"""),45518.73611111111)</f>
        <v>45518.73611</v>
      </c>
      <c r="L226" s="31">
        <f>IFERROR(__xludf.DUMMYFUNCTION("""COMPUTED_VALUE"""),97.86)</f>
        <v>97.86</v>
      </c>
      <c r="M226" s="32">
        <f>IFERROR(__xludf.DUMMYFUNCTION("""COMPUTED_VALUE"""),45503.726388888885)</f>
        <v>45503.72639</v>
      </c>
      <c r="N226" s="31">
        <f>IFERROR(__xludf.DUMMYFUNCTION("""COMPUTED_VALUE"""),5.34)</f>
        <v>5.34</v>
      </c>
      <c r="O226" s="32">
        <f>IFERROR(__xludf.DUMMYFUNCTION("""COMPUTED_VALUE"""),45504.6875)</f>
        <v>45504.6875</v>
      </c>
      <c r="P226" s="31">
        <f>IFERROR(__xludf.DUMMYFUNCTION("""COMPUTED_VALUE"""),583.84)</f>
        <v>583.84</v>
      </c>
      <c r="Q226" s="32">
        <f>IFERROR(__xludf.DUMMYFUNCTION("""COMPUTED_VALUE"""),45506.66666666667)</f>
        <v>45506.66667</v>
      </c>
      <c r="R226" s="31">
        <f>IFERROR(__xludf.DUMMYFUNCTION("""COMPUTED_VALUE"""),23.26)</f>
        <v>23.26</v>
      </c>
      <c r="S226" s="32">
        <f>IFERROR(__xludf.DUMMYFUNCTION("""COMPUTED_VALUE"""),45504.6875)</f>
        <v>45504.6875</v>
      </c>
      <c r="T226" s="31">
        <f>IFERROR(__xludf.DUMMYFUNCTION("""COMPUTED_VALUE"""),6.53)</f>
        <v>6.53</v>
      </c>
      <c r="U226" s="32">
        <f>IFERROR(__xludf.DUMMYFUNCTION("""COMPUTED_VALUE"""),45405.99861111111)</f>
        <v>45405.99861</v>
      </c>
      <c r="V226" s="31">
        <f>IFERROR(__xludf.DUMMYFUNCTION("""COMPUTED_VALUE"""),1.07028)</f>
        <v>1.07028</v>
      </c>
    </row>
    <row r="227" ht="15.75" customHeight="1">
      <c r="A227" s="32">
        <f>IFERROR(__xludf.DUMMYFUNCTION("""COMPUTED_VALUE"""),45510.73611111111)</f>
        <v>45510.73611</v>
      </c>
      <c r="B227" s="31">
        <f>IFERROR(__xludf.DUMMYFUNCTION("""COMPUTED_VALUE"""),98.44)</f>
        <v>98.44</v>
      </c>
      <c r="C227" s="32">
        <f>IFERROR(__xludf.DUMMYFUNCTION("""COMPUTED_VALUE"""),45506.726388888885)</f>
        <v>45506.72639</v>
      </c>
      <c r="D227" s="31">
        <f>IFERROR(__xludf.DUMMYFUNCTION("""COMPUTED_VALUE"""),5.31)</f>
        <v>5.31</v>
      </c>
      <c r="E227" s="32">
        <f>IFERROR(__xludf.DUMMYFUNCTION("""COMPUTED_VALUE"""),45531.73611111111)</f>
        <v>45531.73611</v>
      </c>
      <c r="F227" s="31">
        <f>IFERROR(__xludf.DUMMYFUNCTION("""COMPUTED_VALUE"""),95.88)</f>
        <v>95.88</v>
      </c>
      <c r="G227" s="32">
        <f>IFERROR(__xludf.DUMMYFUNCTION("""COMPUTED_VALUE"""),45504.726388888885)</f>
        <v>45504.72639</v>
      </c>
      <c r="H227" s="31">
        <f>IFERROR(__xludf.DUMMYFUNCTION("""COMPUTED_VALUE"""),5.2)</f>
        <v>5.2</v>
      </c>
      <c r="I227" s="32">
        <f>IFERROR(__xludf.DUMMYFUNCTION("""COMPUTED_VALUE"""),45504.726388888885)</f>
        <v>45504.72639</v>
      </c>
      <c r="J227" s="31">
        <f>IFERROR(__xludf.DUMMYFUNCTION("""COMPUTED_VALUE"""),5.25)</f>
        <v>5.25</v>
      </c>
      <c r="K227" s="32">
        <f>IFERROR(__xludf.DUMMYFUNCTION("""COMPUTED_VALUE"""),45519.73611111111)</f>
        <v>45519.73611</v>
      </c>
      <c r="L227" s="31">
        <f>IFERROR(__xludf.DUMMYFUNCTION("""COMPUTED_VALUE"""),98.02)</f>
        <v>98.02</v>
      </c>
      <c r="M227" s="32">
        <f>IFERROR(__xludf.DUMMYFUNCTION("""COMPUTED_VALUE"""),45504.726388888885)</f>
        <v>45504.72639</v>
      </c>
      <c r="N227" s="31">
        <f>IFERROR(__xludf.DUMMYFUNCTION("""COMPUTED_VALUE"""),5.34)</f>
        <v>5.34</v>
      </c>
      <c r="O227" s="32">
        <f>IFERROR(__xludf.DUMMYFUNCTION("""COMPUTED_VALUE"""),45505.6875)</f>
        <v>45505.6875</v>
      </c>
      <c r="P227" s="31">
        <f>IFERROR(__xludf.DUMMYFUNCTION("""COMPUTED_VALUE"""),578.09)</f>
        <v>578.09</v>
      </c>
      <c r="Q227" s="32">
        <f>IFERROR(__xludf.DUMMYFUNCTION("""COMPUTED_VALUE"""),45509.66666666667)</f>
        <v>45509.66667</v>
      </c>
      <c r="R227" s="31">
        <f>IFERROR(__xludf.DUMMYFUNCTION("""COMPUTED_VALUE"""),23.09)</f>
        <v>23.09</v>
      </c>
      <c r="S227" s="32">
        <f>IFERROR(__xludf.DUMMYFUNCTION("""COMPUTED_VALUE"""),45505.6875)</f>
        <v>45505.6875</v>
      </c>
      <c r="T227" s="31">
        <f>IFERROR(__xludf.DUMMYFUNCTION("""COMPUTED_VALUE"""),6.53)</f>
        <v>6.53</v>
      </c>
      <c r="U227" s="32">
        <f>IFERROR(__xludf.DUMMYFUNCTION("""COMPUTED_VALUE"""),45406.99861111111)</f>
        <v>45406.99861</v>
      </c>
      <c r="V227" s="31">
        <f>IFERROR(__xludf.DUMMYFUNCTION("""COMPUTED_VALUE"""),1.06991)</f>
        <v>1.06991</v>
      </c>
    </row>
    <row r="228" ht="15.75" customHeight="1">
      <c r="A228" s="32">
        <f>IFERROR(__xludf.DUMMYFUNCTION("""COMPUTED_VALUE"""),45511.73611111111)</f>
        <v>45511.73611</v>
      </c>
      <c r="B228" s="31">
        <f>IFERROR(__xludf.DUMMYFUNCTION("""COMPUTED_VALUE"""),98.24)</f>
        <v>98.24</v>
      </c>
      <c r="C228" s="32">
        <f>IFERROR(__xludf.DUMMYFUNCTION("""COMPUTED_VALUE"""),45509.726388888885)</f>
        <v>45509.72639</v>
      </c>
      <c r="D228" s="31">
        <f>IFERROR(__xludf.DUMMYFUNCTION("""COMPUTED_VALUE"""),5.31)</f>
        <v>5.31</v>
      </c>
      <c r="E228" s="32">
        <f>IFERROR(__xludf.DUMMYFUNCTION("""COMPUTED_VALUE"""),45537.73611111111)</f>
        <v>45537.73611</v>
      </c>
      <c r="F228" s="31">
        <f>IFERROR(__xludf.DUMMYFUNCTION("""COMPUTED_VALUE"""),96.74)</f>
        <v>96.74</v>
      </c>
      <c r="G228" s="32">
        <f>IFERROR(__xludf.DUMMYFUNCTION("""COMPUTED_VALUE"""),45505.726388888885)</f>
        <v>45505.72639</v>
      </c>
      <c r="H228" s="31">
        <f>IFERROR(__xludf.DUMMYFUNCTION("""COMPUTED_VALUE"""),5.21)</f>
        <v>5.21</v>
      </c>
      <c r="I228" s="32">
        <f>IFERROR(__xludf.DUMMYFUNCTION("""COMPUTED_VALUE"""),45505.726388888885)</f>
        <v>45505.72639</v>
      </c>
      <c r="J228" s="31">
        <f>IFERROR(__xludf.DUMMYFUNCTION("""COMPUTED_VALUE"""),5.26)</f>
        <v>5.26</v>
      </c>
      <c r="K228" s="32">
        <f>IFERROR(__xludf.DUMMYFUNCTION("""COMPUTED_VALUE"""),45520.73611111111)</f>
        <v>45520.73611</v>
      </c>
      <c r="L228" s="31">
        <f>IFERROR(__xludf.DUMMYFUNCTION("""COMPUTED_VALUE"""),97.86)</f>
        <v>97.86</v>
      </c>
      <c r="M228" s="32">
        <f>IFERROR(__xludf.DUMMYFUNCTION("""COMPUTED_VALUE"""),45505.726388888885)</f>
        <v>45505.72639</v>
      </c>
      <c r="N228" s="31">
        <f>IFERROR(__xludf.DUMMYFUNCTION("""COMPUTED_VALUE"""),5.36)</f>
        <v>5.36</v>
      </c>
      <c r="O228" s="32">
        <f>IFERROR(__xludf.DUMMYFUNCTION("""COMPUTED_VALUE"""),45506.6875)</f>
        <v>45506.6875</v>
      </c>
      <c r="P228" s="31">
        <f>IFERROR(__xludf.DUMMYFUNCTION("""COMPUTED_VALUE"""),561.15)</f>
        <v>561.15</v>
      </c>
      <c r="Q228" s="32">
        <f>IFERROR(__xludf.DUMMYFUNCTION("""COMPUTED_VALUE"""),45510.66666666667)</f>
        <v>45510.66667</v>
      </c>
      <c r="R228" s="31">
        <f>IFERROR(__xludf.DUMMYFUNCTION("""COMPUTED_VALUE"""),23.22)</f>
        <v>23.22</v>
      </c>
      <c r="S228" s="32">
        <f>IFERROR(__xludf.DUMMYFUNCTION("""COMPUTED_VALUE"""),45506.6875)</f>
        <v>45506.6875</v>
      </c>
      <c r="T228" s="31">
        <f>IFERROR(__xludf.DUMMYFUNCTION("""COMPUTED_VALUE"""),6.51)</f>
        <v>6.51</v>
      </c>
      <c r="U228" s="32">
        <f>IFERROR(__xludf.DUMMYFUNCTION("""COMPUTED_VALUE"""),45407.99861111111)</f>
        <v>45407.99861</v>
      </c>
      <c r="V228" s="31">
        <f>IFERROR(__xludf.DUMMYFUNCTION("""COMPUTED_VALUE"""),1.07276)</f>
        <v>1.07276</v>
      </c>
    </row>
    <row r="229" ht="15.75" customHeight="1">
      <c r="A229" s="32">
        <f>IFERROR(__xludf.DUMMYFUNCTION("""COMPUTED_VALUE"""),45512.73611111111)</f>
        <v>45512.73611</v>
      </c>
      <c r="B229" s="31">
        <f>IFERROR(__xludf.DUMMYFUNCTION("""COMPUTED_VALUE"""),98.31)</f>
        <v>98.31</v>
      </c>
      <c r="C229" s="32">
        <f>IFERROR(__xludf.DUMMYFUNCTION("""COMPUTED_VALUE"""),45510.726388888885)</f>
        <v>45510.72639</v>
      </c>
      <c r="D229" s="31">
        <f>IFERROR(__xludf.DUMMYFUNCTION("""COMPUTED_VALUE"""),5.31)</f>
        <v>5.31</v>
      </c>
      <c r="E229" s="32">
        <f>IFERROR(__xludf.DUMMYFUNCTION("""COMPUTED_VALUE"""),45539.73611111111)</f>
        <v>45539.73611</v>
      </c>
      <c r="F229" s="31">
        <f>IFERROR(__xludf.DUMMYFUNCTION("""COMPUTED_VALUE"""),96.8)</f>
        <v>96.8</v>
      </c>
      <c r="G229" s="32">
        <f>IFERROR(__xludf.DUMMYFUNCTION("""COMPUTED_VALUE"""),45506.726388888885)</f>
        <v>45506.72639</v>
      </c>
      <c r="H229" s="31">
        <f>IFERROR(__xludf.DUMMYFUNCTION("""COMPUTED_VALUE"""),5.21)</f>
        <v>5.21</v>
      </c>
      <c r="I229" s="32">
        <f>IFERROR(__xludf.DUMMYFUNCTION("""COMPUTED_VALUE"""),45506.726388888885)</f>
        <v>45506.72639</v>
      </c>
      <c r="J229" s="31">
        <f>IFERROR(__xludf.DUMMYFUNCTION("""COMPUTED_VALUE"""),5.26)</f>
        <v>5.26</v>
      </c>
      <c r="K229" s="32">
        <f>IFERROR(__xludf.DUMMYFUNCTION("""COMPUTED_VALUE"""),45524.73611111111)</f>
        <v>45524.73611</v>
      </c>
      <c r="L229" s="31">
        <f>IFERROR(__xludf.DUMMYFUNCTION("""COMPUTED_VALUE"""),97.08)</f>
        <v>97.08</v>
      </c>
      <c r="M229" s="32">
        <f>IFERROR(__xludf.DUMMYFUNCTION("""COMPUTED_VALUE"""),45506.726388888885)</f>
        <v>45506.72639</v>
      </c>
      <c r="N229" s="31">
        <f>IFERROR(__xludf.DUMMYFUNCTION("""COMPUTED_VALUE"""),5.35)</f>
        <v>5.35</v>
      </c>
      <c r="O229" s="32">
        <f>IFERROR(__xludf.DUMMYFUNCTION("""COMPUTED_VALUE"""),45509.6875)</f>
        <v>45509.6875</v>
      </c>
      <c r="P229" s="31">
        <f>IFERROR(__xludf.DUMMYFUNCTION("""COMPUTED_VALUE"""),550.96)</f>
        <v>550.96</v>
      </c>
      <c r="Q229" s="32">
        <f>IFERROR(__xludf.DUMMYFUNCTION("""COMPUTED_VALUE"""),45511.66666666667)</f>
        <v>45511.66667</v>
      </c>
      <c r="R229" s="31">
        <f>IFERROR(__xludf.DUMMYFUNCTION("""COMPUTED_VALUE"""),23.19)</f>
        <v>23.19</v>
      </c>
      <c r="S229" s="32">
        <f>IFERROR(__xludf.DUMMYFUNCTION("""COMPUTED_VALUE"""),45509.6875)</f>
        <v>45509.6875</v>
      </c>
      <c r="T229" s="31">
        <f>IFERROR(__xludf.DUMMYFUNCTION("""COMPUTED_VALUE"""),6.47)</f>
        <v>6.47</v>
      </c>
      <c r="U229" s="32">
        <f>IFERROR(__xludf.DUMMYFUNCTION("""COMPUTED_VALUE"""),45408.99861111111)</f>
        <v>45408.99861</v>
      </c>
      <c r="V229" s="31">
        <f>IFERROR(__xludf.DUMMYFUNCTION("""COMPUTED_VALUE"""),1.0699)</f>
        <v>1.0699</v>
      </c>
    </row>
    <row r="230" ht="15.75" customHeight="1">
      <c r="A230" s="32">
        <f>IFERROR(__xludf.DUMMYFUNCTION("""COMPUTED_VALUE"""),45513.73611111111)</f>
        <v>45513.73611</v>
      </c>
      <c r="B230" s="31">
        <f>IFERROR(__xludf.DUMMYFUNCTION("""COMPUTED_VALUE"""),98.28)</f>
        <v>98.28</v>
      </c>
      <c r="C230" s="32">
        <f>IFERROR(__xludf.DUMMYFUNCTION("""COMPUTED_VALUE"""),45511.726388888885)</f>
        <v>45511.72639</v>
      </c>
      <c r="D230" s="31">
        <f>IFERROR(__xludf.DUMMYFUNCTION("""COMPUTED_VALUE"""),5.31)</f>
        <v>5.31</v>
      </c>
      <c r="E230" s="32">
        <f>IFERROR(__xludf.DUMMYFUNCTION("""COMPUTED_VALUE"""),45541.73611111111)</f>
        <v>45541.73611</v>
      </c>
      <c r="F230" s="31">
        <f>IFERROR(__xludf.DUMMYFUNCTION("""COMPUTED_VALUE"""),96.99)</f>
        <v>96.99</v>
      </c>
      <c r="G230" s="32">
        <f>IFERROR(__xludf.DUMMYFUNCTION("""COMPUTED_VALUE"""),45509.726388888885)</f>
        <v>45509.72639</v>
      </c>
      <c r="H230" s="31">
        <f>IFERROR(__xludf.DUMMYFUNCTION("""COMPUTED_VALUE"""),5.21)</f>
        <v>5.21</v>
      </c>
      <c r="I230" s="32">
        <f>IFERROR(__xludf.DUMMYFUNCTION("""COMPUTED_VALUE"""),45509.726388888885)</f>
        <v>45509.72639</v>
      </c>
      <c r="J230" s="31">
        <f>IFERROR(__xludf.DUMMYFUNCTION("""COMPUTED_VALUE"""),5.26)</f>
        <v>5.26</v>
      </c>
      <c r="K230" s="32">
        <f>IFERROR(__xludf.DUMMYFUNCTION("""COMPUTED_VALUE"""),45531.73611111111)</f>
        <v>45531.73611</v>
      </c>
      <c r="L230" s="31">
        <f>IFERROR(__xludf.DUMMYFUNCTION("""COMPUTED_VALUE"""),97.01)</f>
        <v>97.01</v>
      </c>
      <c r="M230" s="32">
        <f>IFERROR(__xludf.DUMMYFUNCTION("""COMPUTED_VALUE"""),45509.726388888885)</f>
        <v>45509.72639</v>
      </c>
      <c r="N230" s="31">
        <f>IFERROR(__xludf.DUMMYFUNCTION("""COMPUTED_VALUE"""),5.35)</f>
        <v>5.35</v>
      </c>
      <c r="O230" s="32">
        <f>IFERROR(__xludf.DUMMYFUNCTION("""COMPUTED_VALUE"""),45510.6875)</f>
        <v>45510.6875</v>
      </c>
      <c r="P230" s="31">
        <f>IFERROR(__xludf.DUMMYFUNCTION("""COMPUTED_VALUE"""),554.21)</f>
        <v>554.21</v>
      </c>
      <c r="Q230" s="32">
        <f>IFERROR(__xludf.DUMMYFUNCTION("""COMPUTED_VALUE"""),45512.66666666667)</f>
        <v>45512.66667</v>
      </c>
      <c r="R230" s="31">
        <f>IFERROR(__xludf.DUMMYFUNCTION("""COMPUTED_VALUE"""),23.29)</f>
        <v>23.29</v>
      </c>
      <c r="S230" s="32">
        <f>IFERROR(__xludf.DUMMYFUNCTION("""COMPUTED_VALUE"""),45510.6875)</f>
        <v>45510.6875</v>
      </c>
      <c r="T230" s="31">
        <f>IFERROR(__xludf.DUMMYFUNCTION("""COMPUTED_VALUE"""),6.49)</f>
        <v>6.49</v>
      </c>
      <c r="U230" s="32">
        <f>IFERROR(__xludf.DUMMYFUNCTION("""COMPUTED_VALUE"""),45409.99861111111)</f>
        <v>45409.99861</v>
      </c>
      <c r="V230" s="31">
        <f>IFERROR(__xludf.DUMMYFUNCTION("""COMPUTED_VALUE"""),1.0695)</f>
        <v>1.0695</v>
      </c>
    </row>
    <row r="231" ht="15.75" customHeight="1">
      <c r="A231" s="32">
        <f>IFERROR(__xludf.DUMMYFUNCTION("""COMPUTED_VALUE"""),45516.73611111111)</f>
        <v>45516.73611</v>
      </c>
      <c r="B231" s="31">
        <f>IFERROR(__xludf.DUMMYFUNCTION("""COMPUTED_VALUE"""),98.22)</f>
        <v>98.22</v>
      </c>
      <c r="C231" s="32">
        <f>IFERROR(__xludf.DUMMYFUNCTION("""COMPUTED_VALUE"""),45512.726388888885)</f>
        <v>45512.72639</v>
      </c>
      <c r="D231" s="31">
        <f>IFERROR(__xludf.DUMMYFUNCTION("""COMPUTED_VALUE"""),5.31)</f>
        <v>5.31</v>
      </c>
      <c r="E231" s="32">
        <f>IFERROR(__xludf.DUMMYFUNCTION("""COMPUTED_VALUE"""),45551.73611111111)</f>
        <v>45551.73611</v>
      </c>
      <c r="F231" s="31">
        <f>IFERROR(__xludf.DUMMYFUNCTION("""COMPUTED_VALUE"""),96.97)</f>
        <v>96.97</v>
      </c>
      <c r="G231" s="32">
        <f>IFERROR(__xludf.DUMMYFUNCTION("""COMPUTED_VALUE"""),45510.726388888885)</f>
        <v>45510.72639</v>
      </c>
      <c r="H231" s="31">
        <f>IFERROR(__xludf.DUMMYFUNCTION("""COMPUTED_VALUE"""),5.2)</f>
        <v>5.2</v>
      </c>
      <c r="I231" s="32">
        <f>IFERROR(__xludf.DUMMYFUNCTION("""COMPUTED_VALUE"""),45510.726388888885)</f>
        <v>45510.72639</v>
      </c>
      <c r="J231" s="31">
        <f>IFERROR(__xludf.DUMMYFUNCTION("""COMPUTED_VALUE"""),5.26)</f>
        <v>5.26</v>
      </c>
      <c r="K231" s="32">
        <f>IFERROR(__xludf.DUMMYFUNCTION("""COMPUTED_VALUE"""),45532.73611111111)</f>
        <v>45532.73611</v>
      </c>
      <c r="L231" s="31">
        <f>IFERROR(__xludf.DUMMYFUNCTION("""COMPUTED_VALUE"""),97.31)</f>
        <v>97.31</v>
      </c>
      <c r="M231" s="32">
        <f>IFERROR(__xludf.DUMMYFUNCTION("""COMPUTED_VALUE"""),45510.726388888885)</f>
        <v>45510.72639</v>
      </c>
      <c r="N231" s="31">
        <f>IFERROR(__xludf.DUMMYFUNCTION("""COMPUTED_VALUE"""),5.35)</f>
        <v>5.35</v>
      </c>
      <c r="O231" s="32">
        <f>IFERROR(__xludf.DUMMYFUNCTION("""COMPUTED_VALUE"""),45511.6875)</f>
        <v>45511.6875</v>
      </c>
      <c r="P231" s="31">
        <f>IFERROR(__xludf.DUMMYFUNCTION("""COMPUTED_VALUE"""),560.75)</f>
        <v>560.75</v>
      </c>
      <c r="Q231" s="32">
        <f>IFERROR(__xludf.DUMMYFUNCTION("""COMPUTED_VALUE"""),45513.66666666667)</f>
        <v>45513.66667</v>
      </c>
      <c r="R231" s="31">
        <f>IFERROR(__xludf.DUMMYFUNCTION("""COMPUTED_VALUE"""),23.27)</f>
        <v>23.27</v>
      </c>
      <c r="S231" s="32">
        <f>IFERROR(__xludf.DUMMYFUNCTION("""COMPUTED_VALUE"""),45511.6875)</f>
        <v>45511.6875</v>
      </c>
      <c r="T231" s="31">
        <f>IFERROR(__xludf.DUMMYFUNCTION("""COMPUTED_VALUE"""),6.52)</f>
        <v>6.52</v>
      </c>
      <c r="U231" s="32">
        <f>IFERROR(__xludf.DUMMYFUNCTION("""COMPUTED_VALUE"""),45410.99861111111)</f>
        <v>45410.99861</v>
      </c>
      <c r="V231" s="31">
        <f>IFERROR(__xludf.DUMMYFUNCTION("""COMPUTED_VALUE"""),1.07063)</f>
        <v>1.07063</v>
      </c>
    </row>
    <row r="232" ht="15.75" customHeight="1">
      <c r="A232" s="32">
        <f>IFERROR(__xludf.DUMMYFUNCTION("""COMPUTED_VALUE"""),45517.73611111111)</f>
        <v>45517.73611</v>
      </c>
      <c r="B232" s="31">
        <f>IFERROR(__xludf.DUMMYFUNCTION("""COMPUTED_VALUE"""),98.41)</f>
        <v>98.41</v>
      </c>
      <c r="C232" s="32">
        <f>IFERROR(__xludf.DUMMYFUNCTION("""COMPUTED_VALUE"""),45513.726388888885)</f>
        <v>45513.72639</v>
      </c>
      <c r="D232" s="31">
        <f>IFERROR(__xludf.DUMMYFUNCTION("""COMPUTED_VALUE"""),5.32)</f>
        <v>5.32</v>
      </c>
      <c r="E232" s="32">
        <f>IFERROR(__xludf.DUMMYFUNCTION("""COMPUTED_VALUE"""),45553.73611111111)</f>
        <v>45553.73611</v>
      </c>
      <c r="F232" s="31">
        <f>IFERROR(__xludf.DUMMYFUNCTION("""COMPUTED_VALUE"""),96.93)</f>
        <v>96.93</v>
      </c>
      <c r="G232" s="32">
        <f>IFERROR(__xludf.DUMMYFUNCTION("""COMPUTED_VALUE"""),45511.726388888885)</f>
        <v>45511.72639</v>
      </c>
      <c r="H232" s="31">
        <f>IFERROR(__xludf.DUMMYFUNCTION("""COMPUTED_VALUE"""),5.21)</f>
        <v>5.21</v>
      </c>
      <c r="I232" s="32">
        <f>IFERROR(__xludf.DUMMYFUNCTION("""COMPUTED_VALUE"""),45511.726388888885)</f>
        <v>45511.72639</v>
      </c>
      <c r="J232" s="31">
        <f>IFERROR(__xludf.DUMMYFUNCTION("""COMPUTED_VALUE"""),5.26)</f>
        <v>5.26</v>
      </c>
      <c r="K232" s="32">
        <f>IFERROR(__xludf.DUMMYFUNCTION("""COMPUTED_VALUE"""),45534.73611111111)</f>
        <v>45534.73611</v>
      </c>
      <c r="L232" s="31">
        <f>IFERROR(__xludf.DUMMYFUNCTION("""COMPUTED_VALUE"""),97.84)</f>
        <v>97.84</v>
      </c>
      <c r="M232" s="32">
        <f>IFERROR(__xludf.DUMMYFUNCTION("""COMPUTED_VALUE"""),45511.726388888885)</f>
        <v>45511.72639</v>
      </c>
      <c r="N232" s="31">
        <f>IFERROR(__xludf.DUMMYFUNCTION("""COMPUTED_VALUE"""),5.34)</f>
        <v>5.34</v>
      </c>
      <c r="O232" s="32">
        <f>IFERROR(__xludf.DUMMYFUNCTION("""COMPUTED_VALUE"""),45512.6875)</f>
        <v>45512.6875</v>
      </c>
      <c r="P232" s="31">
        <f>IFERROR(__xludf.DUMMYFUNCTION("""COMPUTED_VALUE"""),559.05)</f>
        <v>559.05</v>
      </c>
      <c r="Q232" s="32">
        <f>IFERROR(__xludf.DUMMYFUNCTION("""COMPUTED_VALUE"""),45516.66666666667)</f>
        <v>45516.66667</v>
      </c>
      <c r="R232" s="31">
        <f>IFERROR(__xludf.DUMMYFUNCTION("""COMPUTED_VALUE"""),23.28)</f>
        <v>23.28</v>
      </c>
      <c r="S232" s="32">
        <f>IFERROR(__xludf.DUMMYFUNCTION("""COMPUTED_VALUE"""),45512.6875)</f>
        <v>45512.6875</v>
      </c>
      <c r="T232" s="31">
        <f>IFERROR(__xludf.DUMMYFUNCTION("""COMPUTED_VALUE"""),6.51)</f>
        <v>6.51</v>
      </c>
      <c r="U232" s="32">
        <f>IFERROR(__xludf.DUMMYFUNCTION("""COMPUTED_VALUE"""),45411.99861111111)</f>
        <v>45411.99861</v>
      </c>
      <c r="V232" s="31">
        <f>IFERROR(__xludf.DUMMYFUNCTION("""COMPUTED_VALUE"""),1.07153)</f>
        <v>1.07153</v>
      </c>
    </row>
    <row r="233" ht="15.75" customHeight="1">
      <c r="A233" s="32">
        <f>IFERROR(__xludf.DUMMYFUNCTION("""COMPUTED_VALUE"""),45518.73611111111)</f>
        <v>45518.73611</v>
      </c>
      <c r="B233" s="31">
        <f>IFERROR(__xludf.DUMMYFUNCTION("""COMPUTED_VALUE"""),98.02)</f>
        <v>98.02</v>
      </c>
      <c r="C233" s="32">
        <f>IFERROR(__xludf.DUMMYFUNCTION("""COMPUTED_VALUE"""),45516.726388888885)</f>
        <v>45516.72639</v>
      </c>
      <c r="D233" s="31">
        <f>IFERROR(__xludf.DUMMYFUNCTION("""COMPUTED_VALUE"""),5.31)</f>
        <v>5.31</v>
      </c>
      <c r="E233" s="32">
        <f>IFERROR(__xludf.DUMMYFUNCTION("""COMPUTED_VALUE"""),45555.73611111111)</f>
        <v>45555.73611</v>
      </c>
      <c r="F233" s="31">
        <f>IFERROR(__xludf.DUMMYFUNCTION("""COMPUTED_VALUE"""),96.78)</f>
        <v>96.78</v>
      </c>
      <c r="G233" s="32">
        <f>IFERROR(__xludf.DUMMYFUNCTION("""COMPUTED_VALUE"""),45512.726388888885)</f>
        <v>45512.72639</v>
      </c>
      <c r="H233" s="31">
        <f>IFERROR(__xludf.DUMMYFUNCTION("""COMPUTED_VALUE"""),5.21)</f>
        <v>5.21</v>
      </c>
      <c r="I233" s="32">
        <f>IFERROR(__xludf.DUMMYFUNCTION("""COMPUTED_VALUE"""),45512.726388888885)</f>
        <v>45512.72639</v>
      </c>
      <c r="J233" s="31">
        <f>IFERROR(__xludf.DUMMYFUNCTION("""COMPUTED_VALUE"""),5.26)</f>
        <v>5.26</v>
      </c>
      <c r="K233" s="32">
        <f>IFERROR(__xludf.DUMMYFUNCTION("""COMPUTED_VALUE"""),45540.73611111111)</f>
        <v>45540.73611</v>
      </c>
      <c r="L233" s="31">
        <f>IFERROR(__xludf.DUMMYFUNCTION("""COMPUTED_VALUE"""),98.03)</f>
        <v>98.03</v>
      </c>
      <c r="M233" s="32">
        <f>IFERROR(__xludf.DUMMYFUNCTION("""COMPUTED_VALUE"""),45512.726388888885)</f>
        <v>45512.72639</v>
      </c>
      <c r="N233" s="31">
        <f>IFERROR(__xludf.DUMMYFUNCTION("""COMPUTED_VALUE"""),5.35)</f>
        <v>5.35</v>
      </c>
      <c r="O233" s="32">
        <f>IFERROR(__xludf.DUMMYFUNCTION("""COMPUTED_VALUE"""),45513.6875)</f>
        <v>45513.6875</v>
      </c>
      <c r="P233" s="31">
        <f>IFERROR(__xludf.DUMMYFUNCTION("""COMPUTED_VALUE"""),562.44)</f>
        <v>562.44</v>
      </c>
      <c r="Q233" s="32">
        <f>IFERROR(__xludf.DUMMYFUNCTION("""COMPUTED_VALUE"""),45517.66666666667)</f>
        <v>45517.66667</v>
      </c>
      <c r="R233" s="31">
        <f>IFERROR(__xludf.DUMMYFUNCTION("""COMPUTED_VALUE"""),23.39)</f>
        <v>23.39</v>
      </c>
      <c r="S233" s="32">
        <f>IFERROR(__xludf.DUMMYFUNCTION("""COMPUTED_VALUE"""),45513.6875)</f>
        <v>45513.6875</v>
      </c>
      <c r="T233" s="31">
        <f>IFERROR(__xludf.DUMMYFUNCTION("""COMPUTED_VALUE"""),6.52)</f>
        <v>6.52</v>
      </c>
      <c r="U233" s="32">
        <f>IFERROR(__xludf.DUMMYFUNCTION("""COMPUTED_VALUE"""),45412.99861111111)</f>
        <v>45412.99861</v>
      </c>
      <c r="V233" s="31">
        <f>IFERROR(__xludf.DUMMYFUNCTION("""COMPUTED_VALUE"""),1.06662)</f>
        <v>1.06662</v>
      </c>
    </row>
    <row r="234" ht="15.75" customHeight="1">
      <c r="A234" s="32">
        <f>IFERROR(__xludf.DUMMYFUNCTION("""COMPUTED_VALUE"""),45519.73611111111)</f>
        <v>45519.73611</v>
      </c>
      <c r="B234" s="31">
        <f>IFERROR(__xludf.DUMMYFUNCTION("""COMPUTED_VALUE"""),98.05)</f>
        <v>98.05</v>
      </c>
      <c r="C234" s="32">
        <f>IFERROR(__xludf.DUMMYFUNCTION("""COMPUTED_VALUE"""),45517.726388888885)</f>
        <v>45517.72639</v>
      </c>
      <c r="D234" s="31">
        <f>IFERROR(__xludf.DUMMYFUNCTION("""COMPUTED_VALUE"""),5.32)</f>
        <v>5.32</v>
      </c>
      <c r="E234" s="32">
        <f>IFERROR(__xludf.DUMMYFUNCTION("""COMPUTED_VALUE"""),45559.73611111111)</f>
        <v>45559.73611</v>
      </c>
      <c r="F234" s="31">
        <f>IFERROR(__xludf.DUMMYFUNCTION("""COMPUTED_VALUE"""),96.87)</f>
        <v>96.87</v>
      </c>
      <c r="G234" s="32">
        <f>IFERROR(__xludf.DUMMYFUNCTION("""COMPUTED_VALUE"""),45513.726388888885)</f>
        <v>45513.72639</v>
      </c>
      <c r="H234" s="31">
        <f>IFERROR(__xludf.DUMMYFUNCTION("""COMPUTED_VALUE"""),5.21)</f>
        <v>5.21</v>
      </c>
      <c r="I234" s="32">
        <f>IFERROR(__xludf.DUMMYFUNCTION("""COMPUTED_VALUE"""),45513.726388888885)</f>
        <v>45513.72639</v>
      </c>
      <c r="J234" s="31">
        <f>IFERROR(__xludf.DUMMYFUNCTION("""COMPUTED_VALUE"""),5.26)</f>
        <v>5.26</v>
      </c>
      <c r="K234" s="32">
        <f>IFERROR(__xludf.DUMMYFUNCTION("""COMPUTED_VALUE"""),45545.73611111111)</f>
        <v>45545.73611</v>
      </c>
      <c r="L234" s="31">
        <f>IFERROR(__xludf.DUMMYFUNCTION("""COMPUTED_VALUE"""),98.92)</f>
        <v>98.92</v>
      </c>
      <c r="M234" s="32">
        <f>IFERROR(__xludf.DUMMYFUNCTION("""COMPUTED_VALUE"""),45513.726388888885)</f>
        <v>45513.72639</v>
      </c>
      <c r="N234" s="31">
        <f>IFERROR(__xludf.DUMMYFUNCTION("""COMPUTED_VALUE"""),5.35)</f>
        <v>5.35</v>
      </c>
      <c r="O234" s="32">
        <f>IFERROR(__xludf.DUMMYFUNCTION("""COMPUTED_VALUE"""),45516.6875)</f>
        <v>45516.6875</v>
      </c>
      <c r="P234" s="31">
        <f>IFERROR(__xludf.DUMMYFUNCTION("""COMPUTED_VALUE"""),564.13)</f>
        <v>564.13</v>
      </c>
      <c r="Q234" s="32">
        <f>IFERROR(__xludf.DUMMYFUNCTION("""COMPUTED_VALUE"""),45518.66666666667)</f>
        <v>45518.66667</v>
      </c>
      <c r="R234" s="31">
        <f>IFERROR(__xludf.DUMMYFUNCTION("""COMPUTED_VALUE"""),23.43)</f>
        <v>23.43</v>
      </c>
      <c r="S234" s="32">
        <f>IFERROR(__xludf.DUMMYFUNCTION("""COMPUTED_VALUE"""),45516.6875)</f>
        <v>45516.6875</v>
      </c>
      <c r="T234" s="31">
        <f>IFERROR(__xludf.DUMMYFUNCTION("""COMPUTED_VALUE"""),6.53)</f>
        <v>6.53</v>
      </c>
      <c r="U234" s="32">
        <f>IFERROR(__xludf.DUMMYFUNCTION("""COMPUTED_VALUE"""),45413.99861111111)</f>
        <v>45413.99861</v>
      </c>
      <c r="V234" s="31">
        <f>IFERROR(__xludf.DUMMYFUNCTION("""COMPUTED_VALUE"""),1.07174)</f>
        <v>1.07174</v>
      </c>
    </row>
    <row r="235" ht="15.75" customHeight="1">
      <c r="A235" s="32">
        <f>IFERROR(__xludf.DUMMYFUNCTION("""COMPUTED_VALUE"""),45520.73611111111)</f>
        <v>45520.73611</v>
      </c>
      <c r="B235" s="31">
        <f>IFERROR(__xludf.DUMMYFUNCTION("""COMPUTED_VALUE"""),97.89)</f>
        <v>97.89</v>
      </c>
      <c r="C235" s="32">
        <f>IFERROR(__xludf.DUMMYFUNCTION("""COMPUTED_VALUE"""),45518.726388888885)</f>
        <v>45518.72639</v>
      </c>
      <c r="D235" s="31">
        <f>IFERROR(__xludf.DUMMYFUNCTION("""COMPUTED_VALUE"""),5.32)</f>
        <v>5.32</v>
      </c>
      <c r="E235" s="32">
        <f>IFERROR(__xludf.DUMMYFUNCTION("""COMPUTED_VALUE"""),45560.73611111111)</f>
        <v>45560.73611</v>
      </c>
      <c r="F235" s="31">
        <f>IFERROR(__xludf.DUMMYFUNCTION("""COMPUTED_VALUE"""),96.82)</f>
        <v>96.82</v>
      </c>
      <c r="G235" s="32">
        <f>IFERROR(__xludf.DUMMYFUNCTION("""COMPUTED_VALUE"""),45516.726388888885)</f>
        <v>45516.72639</v>
      </c>
      <c r="H235" s="31">
        <f>IFERROR(__xludf.DUMMYFUNCTION("""COMPUTED_VALUE"""),5.21)</f>
        <v>5.21</v>
      </c>
      <c r="I235" s="32">
        <f>IFERROR(__xludf.DUMMYFUNCTION("""COMPUTED_VALUE"""),45516.726388888885)</f>
        <v>45516.72639</v>
      </c>
      <c r="J235" s="31">
        <f>IFERROR(__xludf.DUMMYFUNCTION("""COMPUTED_VALUE"""),5.26)</f>
        <v>5.26</v>
      </c>
      <c r="K235" s="32">
        <f>IFERROR(__xludf.DUMMYFUNCTION("""COMPUTED_VALUE"""),45546.73611111111)</f>
        <v>45546.73611</v>
      </c>
      <c r="L235" s="31">
        <f>IFERROR(__xludf.DUMMYFUNCTION("""COMPUTED_VALUE"""),99.01)</f>
        <v>99.01</v>
      </c>
      <c r="M235" s="32">
        <f>IFERROR(__xludf.DUMMYFUNCTION("""COMPUTED_VALUE"""),45516.726388888885)</f>
        <v>45516.72639</v>
      </c>
      <c r="N235" s="31">
        <f>IFERROR(__xludf.DUMMYFUNCTION("""COMPUTED_VALUE"""),5.35)</f>
        <v>5.35</v>
      </c>
      <c r="O235" s="32">
        <f>IFERROR(__xludf.DUMMYFUNCTION("""COMPUTED_VALUE"""),45517.6875)</f>
        <v>45517.6875</v>
      </c>
      <c r="P235" s="31">
        <f>IFERROR(__xludf.DUMMYFUNCTION("""COMPUTED_VALUE"""),570.29)</f>
        <v>570.29</v>
      </c>
      <c r="Q235" s="32">
        <f>IFERROR(__xludf.DUMMYFUNCTION("""COMPUTED_VALUE"""),45519.66666666667)</f>
        <v>45519.66667</v>
      </c>
      <c r="R235" s="31">
        <f>IFERROR(__xludf.DUMMYFUNCTION("""COMPUTED_VALUE"""),23.47)</f>
        <v>23.47</v>
      </c>
      <c r="S235" s="32">
        <f>IFERROR(__xludf.DUMMYFUNCTION("""COMPUTED_VALUE"""),45517.6875)</f>
        <v>45517.6875</v>
      </c>
      <c r="T235" s="31">
        <f>IFERROR(__xludf.DUMMYFUNCTION("""COMPUTED_VALUE"""),6.54)</f>
        <v>6.54</v>
      </c>
      <c r="U235" s="32">
        <f>IFERROR(__xludf.DUMMYFUNCTION("""COMPUTED_VALUE"""),45414.99861111111)</f>
        <v>45414.99861</v>
      </c>
      <c r="V235" s="31">
        <f>IFERROR(__xludf.DUMMYFUNCTION("""COMPUTED_VALUE"""),1.07296)</f>
        <v>1.07296</v>
      </c>
    </row>
    <row r="236" ht="15.75" customHeight="1">
      <c r="A236" s="32">
        <f>IFERROR(__xludf.DUMMYFUNCTION("""COMPUTED_VALUE"""),45523.73611111111)</f>
        <v>45523.73611</v>
      </c>
      <c r="B236" s="31">
        <f>IFERROR(__xludf.DUMMYFUNCTION("""COMPUTED_VALUE"""),97.56)</f>
        <v>97.56</v>
      </c>
      <c r="C236" s="32">
        <f>IFERROR(__xludf.DUMMYFUNCTION("""COMPUTED_VALUE"""),45520.726388888885)</f>
        <v>45520.72639</v>
      </c>
      <c r="D236" s="31">
        <f>IFERROR(__xludf.DUMMYFUNCTION("""COMPUTED_VALUE"""),5.32)</f>
        <v>5.32</v>
      </c>
      <c r="E236" s="32">
        <f>IFERROR(__xludf.DUMMYFUNCTION("""COMPUTED_VALUE"""),45561.73611111111)</f>
        <v>45561.73611</v>
      </c>
      <c r="F236" s="31">
        <f>IFERROR(__xludf.DUMMYFUNCTION("""COMPUTED_VALUE"""),96.62)</f>
        <v>96.62</v>
      </c>
      <c r="G236" s="32">
        <f>IFERROR(__xludf.DUMMYFUNCTION("""COMPUTED_VALUE"""),45517.726388888885)</f>
        <v>45517.72639</v>
      </c>
      <c r="H236" s="31">
        <f>IFERROR(__xludf.DUMMYFUNCTION("""COMPUTED_VALUE"""),5.22)</f>
        <v>5.22</v>
      </c>
      <c r="I236" s="32">
        <f>IFERROR(__xludf.DUMMYFUNCTION("""COMPUTED_VALUE"""),45517.726388888885)</f>
        <v>45517.72639</v>
      </c>
      <c r="J236" s="31">
        <f>IFERROR(__xludf.DUMMYFUNCTION("""COMPUTED_VALUE"""),5.27)</f>
        <v>5.27</v>
      </c>
      <c r="K236" s="32">
        <f>IFERROR(__xludf.DUMMYFUNCTION("""COMPUTED_VALUE"""),45547.73611111111)</f>
        <v>45547.73611</v>
      </c>
      <c r="L236" s="31">
        <f>IFERROR(__xludf.DUMMYFUNCTION("""COMPUTED_VALUE"""),98.78)</f>
        <v>98.78</v>
      </c>
      <c r="M236" s="32">
        <f>IFERROR(__xludf.DUMMYFUNCTION("""COMPUTED_VALUE"""),45517.726388888885)</f>
        <v>45517.72639</v>
      </c>
      <c r="N236" s="31">
        <f>IFERROR(__xludf.DUMMYFUNCTION("""COMPUTED_VALUE"""),5.35)</f>
        <v>5.35</v>
      </c>
      <c r="O236" s="32">
        <f>IFERROR(__xludf.DUMMYFUNCTION("""COMPUTED_VALUE"""),45518.6875)</f>
        <v>45518.6875</v>
      </c>
      <c r="P236" s="31">
        <f>IFERROR(__xludf.DUMMYFUNCTION("""COMPUTED_VALUE"""),575.62)</f>
        <v>575.62</v>
      </c>
      <c r="Q236" s="32">
        <f>IFERROR(__xludf.DUMMYFUNCTION("""COMPUTED_VALUE"""),45520.66666666667)</f>
        <v>45520.66667</v>
      </c>
      <c r="R236" s="31">
        <f>IFERROR(__xludf.DUMMYFUNCTION("""COMPUTED_VALUE"""),23.56)</f>
        <v>23.56</v>
      </c>
      <c r="S236" s="32">
        <f>IFERROR(__xludf.DUMMYFUNCTION("""COMPUTED_VALUE"""),45518.6875)</f>
        <v>45518.6875</v>
      </c>
      <c r="T236" s="31">
        <f>IFERROR(__xludf.DUMMYFUNCTION("""COMPUTED_VALUE"""),6.57)</f>
        <v>6.57</v>
      </c>
      <c r="U236" s="32">
        <f>IFERROR(__xludf.DUMMYFUNCTION("""COMPUTED_VALUE"""),45415.99861111111)</f>
        <v>45415.99861</v>
      </c>
      <c r="V236" s="31">
        <f>IFERROR(__xludf.DUMMYFUNCTION("""COMPUTED_VALUE"""),1.0772)</f>
        <v>1.0772</v>
      </c>
    </row>
    <row r="237" ht="15.75" customHeight="1">
      <c r="A237" s="32">
        <f>IFERROR(__xludf.DUMMYFUNCTION("""COMPUTED_VALUE"""),45524.73611111111)</f>
        <v>45524.73611</v>
      </c>
      <c r="B237" s="31">
        <f>IFERROR(__xludf.DUMMYFUNCTION("""COMPUTED_VALUE"""),97.29)</f>
        <v>97.29</v>
      </c>
      <c r="C237" s="32">
        <f>IFERROR(__xludf.DUMMYFUNCTION("""COMPUTED_VALUE"""),45523.726388888885)</f>
        <v>45523.72639</v>
      </c>
      <c r="D237" s="31">
        <f>IFERROR(__xludf.DUMMYFUNCTION("""COMPUTED_VALUE"""),5.32)</f>
        <v>5.32</v>
      </c>
      <c r="E237" s="32">
        <f>IFERROR(__xludf.DUMMYFUNCTION("""COMPUTED_VALUE"""),45566.73611111111)</f>
        <v>45566.73611</v>
      </c>
      <c r="F237" s="31">
        <f>IFERROR(__xludf.DUMMYFUNCTION("""COMPUTED_VALUE"""),97.61)</f>
        <v>97.61</v>
      </c>
      <c r="G237" s="32">
        <f>IFERROR(__xludf.DUMMYFUNCTION("""COMPUTED_VALUE"""),45518.726388888885)</f>
        <v>45518.72639</v>
      </c>
      <c r="H237" s="31">
        <f>IFERROR(__xludf.DUMMYFUNCTION("""COMPUTED_VALUE"""),5.22)</f>
        <v>5.22</v>
      </c>
      <c r="I237" s="32">
        <f>IFERROR(__xludf.DUMMYFUNCTION("""COMPUTED_VALUE"""),45518.726388888885)</f>
        <v>45518.72639</v>
      </c>
      <c r="J237" s="31">
        <f>IFERROR(__xludf.DUMMYFUNCTION("""COMPUTED_VALUE"""),5.27)</f>
        <v>5.27</v>
      </c>
      <c r="K237" s="32">
        <f>IFERROR(__xludf.DUMMYFUNCTION("""COMPUTED_VALUE"""),45551.73611111111)</f>
        <v>45551.73611</v>
      </c>
      <c r="L237" s="31">
        <f>IFERROR(__xludf.DUMMYFUNCTION("""COMPUTED_VALUE"""),98.26)</f>
        <v>98.26</v>
      </c>
      <c r="M237" s="32">
        <f>IFERROR(__xludf.DUMMYFUNCTION("""COMPUTED_VALUE"""),45518.726388888885)</f>
        <v>45518.72639</v>
      </c>
      <c r="N237" s="31">
        <f>IFERROR(__xludf.DUMMYFUNCTION("""COMPUTED_VALUE"""),5.36)</f>
        <v>5.36</v>
      </c>
      <c r="O237" s="32">
        <f>IFERROR(__xludf.DUMMYFUNCTION("""COMPUTED_VALUE"""),45519.6875)</f>
        <v>45519.6875</v>
      </c>
      <c r="P237" s="31">
        <f>IFERROR(__xludf.DUMMYFUNCTION("""COMPUTED_VALUE"""),583.82)</f>
        <v>583.82</v>
      </c>
      <c r="Q237" s="32">
        <f>IFERROR(__xludf.DUMMYFUNCTION("""COMPUTED_VALUE"""),45523.66666666667)</f>
        <v>45523.66667</v>
      </c>
      <c r="R237" s="31">
        <f>IFERROR(__xludf.DUMMYFUNCTION("""COMPUTED_VALUE"""),23.58)</f>
        <v>23.58</v>
      </c>
      <c r="S237" s="32">
        <f>IFERROR(__xludf.DUMMYFUNCTION("""COMPUTED_VALUE"""),45519.6875)</f>
        <v>45519.6875</v>
      </c>
      <c r="T237" s="31">
        <f>IFERROR(__xludf.DUMMYFUNCTION("""COMPUTED_VALUE"""),6.58)</f>
        <v>6.58</v>
      </c>
      <c r="U237" s="32">
        <f>IFERROR(__xludf.DUMMYFUNCTION("""COMPUTED_VALUE"""),45416.99861111111)</f>
        <v>45416.99861</v>
      </c>
      <c r="V237" s="31">
        <f>IFERROR(__xludf.DUMMYFUNCTION("""COMPUTED_VALUE"""),1.0771)</f>
        <v>1.0771</v>
      </c>
    </row>
    <row r="238" ht="15.75" customHeight="1">
      <c r="A238" s="32">
        <f>IFERROR(__xludf.DUMMYFUNCTION("""COMPUTED_VALUE"""),45525.73611111111)</f>
        <v>45525.73611</v>
      </c>
      <c r="B238" s="31">
        <f>IFERROR(__xludf.DUMMYFUNCTION("""COMPUTED_VALUE"""),97.11)</f>
        <v>97.11</v>
      </c>
      <c r="C238" s="32">
        <f>IFERROR(__xludf.DUMMYFUNCTION("""COMPUTED_VALUE"""),45524.726388888885)</f>
        <v>45524.72639</v>
      </c>
      <c r="D238" s="31">
        <f>IFERROR(__xludf.DUMMYFUNCTION("""COMPUTED_VALUE"""),5.32)</f>
        <v>5.32</v>
      </c>
      <c r="E238" s="32">
        <f>IFERROR(__xludf.DUMMYFUNCTION("""COMPUTED_VALUE"""),45567.73611111111)</f>
        <v>45567.73611</v>
      </c>
      <c r="F238" s="31">
        <f>IFERROR(__xludf.DUMMYFUNCTION("""COMPUTED_VALUE"""),97.86)</f>
        <v>97.86</v>
      </c>
      <c r="G238" s="32">
        <f>IFERROR(__xludf.DUMMYFUNCTION("""COMPUTED_VALUE"""),45520.726388888885)</f>
        <v>45520.72639</v>
      </c>
      <c r="H238" s="31">
        <f>IFERROR(__xludf.DUMMYFUNCTION("""COMPUTED_VALUE"""),5.22)</f>
        <v>5.22</v>
      </c>
      <c r="I238" s="32">
        <f>IFERROR(__xludf.DUMMYFUNCTION("""COMPUTED_VALUE"""),45520.726388888885)</f>
        <v>45520.72639</v>
      </c>
      <c r="J238" s="31">
        <f>IFERROR(__xludf.DUMMYFUNCTION("""COMPUTED_VALUE"""),5.26)</f>
        <v>5.26</v>
      </c>
      <c r="K238" s="32">
        <f>IFERROR(__xludf.DUMMYFUNCTION("""COMPUTED_VALUE"""),45555.73611111111)</f>
        <v>45555.73611</v>
      </c>
      <c r="L238" s="31">
        <f>IFERROR(__xludf.DUMMYFUNCTION("""COMPUTED_VALUE"""),98.06)</f>
        <v>98.06</v>
      </c>
      <c r="M238" s="32">
        <f>IFERROR(__xludf.DUMMYFUNCTION("""COMPUTED_VALUE"""),45520.726388888885)</f>
        <v>45520.72639</v>
      </c>
      <c r="N238" s="31">
        <f>IFERROR(__xludf.DUMMYFUNCTION("""COMPUTED_VALUE"""),5.36)</f>
        <v>5.36</v>
      </c>
      <c r="O238" s="32">
        <f>IFERROR(__xludf.DUMMYFUNCTION("""COMPUTED_VALUE"""),45520.6875)</f>
        <v>45520.6875</v>
      </c>
      <c r="P238" s="31">
        <f>IFERROR(__xludf.DUMMYFUNCTION("""COMPUTED_VALUE"""),584.93)</f>
        <v>584.93</v>
      </c>
      <c r="Q238" s="32">
        <f>IFERROR(__xludf.DUMMYFUNCTION("""COMPUTED_VALUE"""),45524.66666666667)</f>
        <v>45524.66667</v>
      </c>
      <c r="R238" s="31">
        <f>IFERROR(__xludf.DUMMYFUNCTION("""COMPUTED_VALUE"""),23.57)</f>
        <v>23.57</v>
      </c>
      <c r="S238" s="32">
        <f>IFERROR(__xludf.DUMMYFUNCTION("""COMPUTED_VALUE"""),45520.6875)</f>
        <v>45520.6875</v>
      </c>
      <c r="T238" s="31">
        <f>IFERROR(__xludf.DUMMYFUNCTION("""COMPUTED_VALUE"""),6.59)</f>
        <v>6.59</v>
      </c>
      <c r="U238" s="32">
        <f>IFERROR(__xludf.DUMMYFUNCTION("""COMPUTED_VALUE"""),45417.99861111111)</f>
        <v>45417.99861</v>
      </c>
      <c r="V238" s="31">
        <f>IFERROR(__xludf.DUMMYFUNCTION("""COMPUTED_VALUE"""),1.07575)</f>
        <v>1.07575</v>
      </c>
    </row>
    <row r="239" ht="15.75" customHeight="1">
      <c r="A239" s="32">
        <f>IFERROR(__xludf.DUMMYFUNCTION("""COMPUTED_VALUE"""),45526.73611111111)</f>
        <v>45526.73611</v>
      </c>
      <c r="B239" s="31">
        <f>IFERROR(__xludf.DUMMYFUNCTION("""COMPUTED_VALUE"""),97.31)</f>
        <v>97.31</v>
      </c>
      <c r="C239" s="32">
        <f>IFERROR(__xludf.DUMMYFUNCTION("""COMPUTED_VALUE"""),45525.726388888885)</f>
        <v>45525.72639</v>
      </c>
      <c r="D239" s="31">
        <f>IFERROR(__xludf.DUMMYFUNCTION("""COMPUTED_VALUE"""),5.33)</f>
        <v>5.33</v>
      </c>
      <c r="E239" s="32">
        <f>IFERROR(__xludf.DUMMYFUNCTION("""COMPUTED_VALUE"""),45569.73611111111)</f>
        <v>45569.73611</v>
      </c>
      <c r="F239" s="31">
        <f>IFERROR(__xludf.DUMMYFUNCTION("""COMPUTED_VALUE"""),98.19)</f>
        <v>98.19</v>
      </c>
      <c r="G239" s="32">
        <f>IFERROR(__xludf.DUMMYFUNCTION("""COMPUTED_VALUE"""),45523.726388888885)</f>
        <v>45523.72639</v>
      </c>
      <c r="H239" s="31">
        <f>IFERROR(__xludf.DUMMYFUNCTION("""COMPUTED_VALUE"""),5.22)</f>
        <v>5.22</v>
      </c>
      <c r="I239" s="32">
        <f>IFERROR(__xludf.DUMMYFUNCTION("""COMPUTED_VALUE"""),45523.726388888885)</f>
        <v>45523.72639</v>
      </c>
      <c r="J239" s="31">
        <f>IFERROR(__xludf.DUMMYFUNCTION("""COMPUTED_VALUE"""),5.27)</f>
        <v>5.27</v>
      </c>
      <c r="K239" s="32">
        <f>IFERROR(__xludf.DUMMYFUNCTION("""COMPUTED_VALUE"""),45558.73611111111)</f>
        <v>45558.73611</v>
      </c>
      <c r="L239" s="31">
        <f>IFERROR(__xludf.DUMMYFUNCTION("""COMPUTED_VALUE"""),98.24)</f>
        <v>98.24</v>
      </c>
      <c r="M239" s="32">
        <f>IFERROR(__xludf.DUMMYFUNCTION("""COMPUTED_VALUE"""),45523.726388888885)</f>
        <v>45523.72639</v>
      </c>
      <c r="N239" s="31">
        <f>IFERROR(__xludf.DUMMYFUNCTION("""COMPUTED_VALUE"""),5.36)</f>
        <v>5.36</v>
      </c>
      <c r="O239" s="32">
        <f>IFERROR(__xludf.DUMMYFUNCTION("""COMPUTED_VALUE"""),45523.6875)</f>
        <v>45523.6875</v>
      </c>
      <c r="P239" s="31">
        <f>IFERROR(__xludf.DUMMYFUNCTION("""COMPUTED_VALUE"""),589.52)</f>
        <v>589.52</v>
      </c>
      <c r="Q239" s="32">
        <f>IFERROR(__xludf.DUMMYFUNCTION("""COMPUTED_VALUE"""),45525.66666666667)</f>
        <v>45525.66667</v>
      </c>
      <c r="R239" s="31">
        <f>IFERROR(__xludf.DUMMYFUNCTION("""COMPUTED_VALUE"""),23.63)</f>
        <v>23.63</v>
      </c>
      <c r="S239" s="32">
        <f>IFERROR(__xludf.DUMMYFUNCTION("""COMPUTED_VALUE"""),45523.6875)</f>
        <v>45523.6875</v>
      </c>
      <c r="T239" s="31">
        <f>IFERROR(__xludf.DUMMYFUNCTION("""COMPUTED_VALUE"""),6.6)</f>
        <v>6.6</v>
      </c>
      <c r="U239" s="32">
        <f>IFERROR(__xludf.DUMMYFUNCTION("""COMPUTED_VALUE"""),45418.99861111111)</f>
        <v>45418.99861</v>
      </c>
      <c r="V239" s="31">
        <f>IFERROR(__xludf.DUMMYFUNCTION("""COMPUTED_VALUE"""),1.0767)</f>
        <v>1.0767</v>
      </c>
    </row>
    <row r="240" ht="15.75" customHeight="1">
      <c r="A240" s="32">
        <f>IFERROR(__xludf.DUMMYFUNCTION("""COMPUTED_VALUE"""),45527.73611111111)</f>
        <v>45527.73611</v>
      </c>
      <c r="B240" s="31">
        <f>IFERROR(__xludf.DUMMYFUNCTION("""COMPUTED_VALUE"""),97.04)</f>
        <v>97.04</v>
      </c>
      <c r="C240" s="32">
        <f>IFERROR(__xludf.DUMMYFUNCTION("""COMPUTED_VALUE"""),45526.726388888885)</f>
        <v>45526.72639</v>
      </c>
      <c r="D240" s="31">
        <f>IFERROR(__xludf.DUMMYFUNCTION("""COMPUTED_VALUE"""),5.32)</f>
        <v>5.32</v>
      </c>
      <c r="E240" s="32">
        <f>IFERROR(__xludf.DUMMYFUNCTION("""COMPUTED_VALUE"""),45572.73611111111)</f>
        <v>45572.73611</v>
      </c>
      <c r="F240" s="31">
        <f>IFERROR(__xludf.DUMMYFUNCTION("""COMPUTED_VALUE"""),98.01)</f>
        <v>98.01</v>
      </c>
      <c r="G240" s="32">
        <f>IFERROR(__xludf.DUMMYFUNCTION("""COMPUTED_VALUE"""),45524.726388888885)</f>
        <v>45524.72639</v>
      </c>
      <c r="H240" s="31">
        <f>IFERROR(__xludf.DUMMYFUNCTION("""COMPUTED_VALUE"""),5.22)</f>
        <v>5.22</v>
      </c>
      <c r="I240" s="32">
        <f>IFERROR(__xludf.DUMMYFUNCTION("""COMPUTED_VALUE"""),45524.726388888885)</f>
        <v>45524.72639</v>
      </c>
      <c r="J240" s="31">
        <f>IFERROR(__xludf.DUMMYFUNCTION("""COMPUTED_VALUE"""),5.27)</f>
        <v>5.27</v>
      </c>
      <c r="K240" s="32">
        <f>IFERROR(__xludf.DUMMYFUNCTION("""COMPUTED_VALUE"""),45559.73611111111)</f>
        <v>45559.73611</v>
      </c>
      <c r="L240" s="31">
        <f>IFERROR(__xludf.DUMMYFUNCTION("""COMPUTED_VALUE"""),98.15)</f>
        <v>98.15</v>
      </c>
      <c r="M240" s="32">
        <f>IFERROR(__xludf.DUMMYFUNCTION("""COMPUTED_VALUE"""),45524.726388888885)</f>
        <v>45524.72639</v>
      </c>
      <c r="N240" s="31">
        <f>IFERROR(__xludf.DUMMYFUNCTION("""COMPUTED_VALUE"""),5.36)</f>
        <v>5.36</v>
      </c>
      <c r="O240" s="32">
        <f>IFERROR(__xludf.DUMMYFUNCTION("""COMPUTED_VALUE"""),45524.6875)</f>
        <v>45524.6875</v>
      </c>
      <c r="P240" s="31">
        <f>IFERROR(__xludf.DUMMYFUNCTION("""COMPUTED_VALUE"""),591.04)</f>
        <v>591.04</v>
      </c>
      <c r="Q240" s="32">
        <f>IFERROR(__xludf.DUMMYFUNCTION("""COMPUTED_VALUE"""),45526.66666666667)</f>
        <v>45526.66667</v>
      </c>
      <c r="R240" s="31">
        <f>IFERROR(__xludf.DUMMYFUNCTION("""COMPUTED_VALUE"""),23.59)</f>
        <v>23.59</v>
      </c>
      <c r="S240" s="32">
        <f>IFERROR(__xludf.DUMMYFUNCTION("""COMPUTED_VALUE"""),45524.6875)</f>
        <v>45524.6875</v>
      </c>
      <c r="T240" s="31">
        <f>IFERROR(__xludf.DUMMYFUNCTION("""COMPUTED_VALUE"""),6.6)</f>
        <v>6.6</v>
      </c>
      <c r="U240" s="32">
        <f>IFERROR(__xludf.DUMMYFUNCTION("""COMPUTED_VALUE"""),45419.99861111111)</f>
        <v>45419.99861</v>
      </c>
      <c r="V240" s="31">
        <f>IFERROR(__xludf.DUMMYFUNCTION("""COMPUTED_VALUE"""),1.075)</f>
        <v>1.075</v>
      </c>
    </row>
    <row r="241" ht="15.75" customHeight="1">
      <c r="A241" s="32">
        <f>IFERROR(__xludf.DUMMYFUNCTION("""COMPUTED_VALUE"""),45531.73611111111)</f>
        <v>45531.73611</v>
      </c>
      <c r="B241" s="31">
        <f>IFERROR(__xludf.DUMMYFUNCTION("""COMPUTED_VALUE"""),97.11)</f>
        <v>97.11</v>
      </c>
      <c r="C241" s="32">
        <f>IFERROR(__xludf.DUMMYFUNCTION("""COMPUTED_VALUE"""),45527.726388888885)</f>
        <v>45527.72639</v>
      </c>
      <c r="D241" s="31">
        <f>IFERROR(__xludf.DUMMYFUNCTION("""COMPUTED_VALUE"""),5.33)</f>
        <v>5.33</v>
      </c>
      <c r="E241" s="32">
        <f>IFERROR(__xludf.DUMMYFUNCTION("""COMPUTED_VALUE"""),45573.73611111111)</f>
        <v>45573.73611</v>
      </c>
      <c r="F241" s="31">
        <f>IFERROR(__xludf.DUMMYFUNCTION("""COMPUTED_VALUE"""),98.07)</f>
        <v>98.07</v>
      </c>
      <c r="G241" s="32">
        <f>IFERROR(__xludf.DUMMYFUNCTION("""COMPUTED_VALUE"""),45525.726388888885)</f>
        <v>45525.72639</v>
      </c>
      <c r="H241" s="31">
        <f>IFERROR(__xludf.DUMMYFUNCTION("""COMPUTED_VALUE"""),5.22)</f>
        <v>5.22</v>
      </c>
      <c r="I241" s="32">
        <f>IFERROR(__xludf.DUMMYFUNCTION("""COMPUTED_VALUE"""),45525.726388888885)</f>
        <v>45525.72639</v>
      </c>
      <c r="J241" s="31">
        <f>IFERROR(__xludf.DUMMYFUNCTION("""COMPUTED_VALUE"""),5.27)</f>
        <v>5.27</v>
      </c>
      <c r="K241" s="32">
        <f>IFERROR(__xludf.DUMMYFUNCTION("""COMPUTED_VALUE"""),45561.73611111111)</f>
        <v>45561.73611</v>
      </c>
      <c r="L241" s="31">
        <f>IFERROR(__xludf.DUMMYFUNCTION("""COMPUTED_VALUE"""),97.81)</f>
        <v>97.81</v>
      </c>
      <c r="M241" s="32">
        <f>IFERROR(__xludf.DUMMYFUNCTION("""COMPUTED_VALUE"""),45525.726388888885)</f>
        <v>45525.72639</v>
      </c>
      <c r="N241" s="31">
        <f>IFERROR(__xludf.DUMMYFUNCTION("""COMPUTED_VALUE"""),5.37)</f>
        <v>5.37</v>
      </c>
      <c r="O241" s="32">
        <f>IFERROR(__xludf.DUMMYFUNCTION("""COMPUTED_VALUE"""),45525.6875)</f>
        <v>45525.6875</v>
      </c>
      <c r="P241" s="31">
        <f>IFERROR(__xludf.DUMMYFUNCTION("""COMPUTED_VALUE"""),592.55)</f>
        <v>592.55</v>
      </c>
      <c r="Q241" s="32">
        <f>IFERROR(__xludf.DUMMYFUNCTION("""COMPUTED_VALUE"""),45527.66666666667)</f>
        <v>45527.66667</v>
      </c>
      <c r="R241" s="31">
        <f>IFERROR(__xludf.DUMMYFUNCTION("""COMPUTED_VALUE"""),23.74)</f>
        <v>23.74</v>
      </c>
      <c r="S241" s="32">
        <f>IFERROR(__xludf.DUMMYFUNCTION("""COMPUTED_VALUE"""),45525.6875)</f>
        <v>45525.6875</v>
      </c>
      <c r="T241" s="31">
        <f>IFERROR(__xludf.DUMMYFUNCTION("""COMPUTED_VALUE"""),6.62)</f>
        <v>6.62</v>
      </c>
      <c r="U241" s="32">
        <f>IFERROR(__xludf.DUMMYFUNCTION("""COMPUTED_VALUE"""),45420.99861111111)</f>
        <v>45420.99861</v>
      </c>
      <c r="V241" s="31">
        <f>IFERROR(__xludf.DUMMYFUNCTION("""COMPUTED_VALUE"""),1.07463)</f>
        <v>1.07463</v>
      </c>
    </row>
    <row r="242" ht="15.75" customHeight="1">
      <c r="A242" s="32">
        <f>IFERROR(__xludf.DUMMYFUNCTION("""COMPUTED_VALUE"""),45532.73611111111)</f>
        <v>45532.73611</v>
      </c>
      <c r="B242" s="31">
        <f>IFERROR(__xludf.DUMMYFUNCTION("""COMPUTED_VALUE"""),97.52)</f>
        <v>97.52</v>
      </c>
      <c r="C242" s="32">
        <f>IFERROR(__xludf.DUMMYFUNCTION("""COMPUTED_VALUE"""),45530.726388888885)</f>
        <v>45530.72639</v>
      </c>
      <c r="D242" s="31">
        <f>IFERROR(__xludf.DUMMYFUNCTION("""COMPUTED_VALUE"""),5.32)</f>
        <v>5.32</v>
      </c>
      <c r="E242" s="32">
        <f>IFERROR(__xludf.DUMMYFUNCTION("""COMPUTED_VALUE"""),45576.73611111111)</f>
        <v>45576.73611</v>
      </c>
      <c r="F242" s="31">
        <f>IFERROR(__xludf.DUMMYFUNCTION("""COMPUTED_VALUE"""),98.44)</f>
        <v>98.44</v>
      </c>
      <c r="G242" s="32">
        <f>IFERROR(__xludf.DUMMYFUNCTION("""COMPUTED_VALUE"""),45526.726388888885)</f>
        <v>45526.72639</v>
      </c>
      <c r="H242" s="31">
        <f>IFERROR(__xludf.DUMMYFUNCTION("""COMPUTED_VALUE"""),5.22)</f>
        <v>5.22</v>
      </c>
      <c r="I242" s="32">
        <f>IFERROR(__xludf.DUMMYFUNCTION("""COMPUTED_VALUE"""),45526.726388888885)</f>
        <v>45526.72639</v>
      </c>
      <c r="J242" s="31">
        <f>IFERROR(__xludf.DUMMYFUNCTION("""COMPUTED_VALUE"""),5.27)</f>
        <v>5.27</v>
      </c>
      <c r="K242" s="32">
        <f>IFERROR(__xludf.DUMMYFUNCTION("""COMPUTED_VALUE"""),45565.73611111111)</f>
        <v>45565.73611</v>
      </c>
      <c r="L242" s="31">
        <f>IFERROR(__xludf.DUMMYFUNCTION("""COMPUTED_VALUE"""),98.05)</f>
        <v>98.05</v>
      </c>
      <c r="M242" s="32">
        <f>IFERROR(__xludf.DUMMYFUNCTION("""COMPUTED_VALUE"""),45526.726388888885)</f>
        <v>45526.72639</v>
      </c>
      <c r="N242" s="31">
        <f>IFERROR(__xludf.DUMMYFUNCTION("""COMPUTED_VALUE"""),5.36)</f>
        <v>5.36</v>
      </c>
      <c r="O242" s="32">
        <f>IFERROR(__xludf.DUMMYFUNCTION("""COMPUTED_VALUE"""),45526.6875)</f>
        <v>45526.6875</v>
      </c>
      <c r="P242" s="31">
        <f>IFERROR(__xludf.DUMMYFUNCTION("""COMPUTED_VALUE"""),592.09)</f>
        <v>592.09</v>
      </c>
      <c r="Q242" s="32">
        <f>IFERROR(__xludf.DUMMYFUNCTION("""COMPUTED_VALUE"""),45530.66666666667)</f>
        <v>45530.66667</v>
      </c>
      <c r="R242" s="31">
        <f>IFERROR(__xludf.DUMMYFUNCTION("""COMPUTED_VALUE"""),23.72)</f>
        <v>23.72</v>
      </c>
      <c r="S242" s="32">
        <f>IFERROR(__xludf.DUMMYFUNCTION("""COMPUTED_VALUE"""),45526.6875)</f>
        <v>45526.6875</v>
      </c>
      <c r="T242" s="31">
        <f>IFERROR(__xludf.DUMMYFUNCTION("""COMPUTED_VALUE"""),6.61)</f>
        <v>6.61</v>
      </c>
      <c r="U242" s="32">
        <f>IFERROR(__xludf.DUMMYFUNCTION("""COMPUTED_VALUE"""),45421.99861111111)</f>
        <v>45421.99861</v>
      </c>
      <c r="V242" s="31">
        <f>IFERROR(__xludf.DUMMYFUNCTION("""COMPUTED_VALUE"""),1.078)</f>
        <v>1.078</v>
      </c>
    </row>
    <row r="243" ht="15.75" customHeight="1">
      <c r="A243" s="32">
        <f>IFERROR(__xludf.DUMMYFUNCTION("""COMPUTED_VALUE"""),45533.73611111111)</f>
        <v>45533.73611</v>
      </c>
      <c r="B243" s="31">
        <f>IFERROR(__xludf.DUMMYFUNCTION("""COMPUTED_VALUE"""),97.86)</f>
        <v>97.86</v>
      </c>
      <c r="C243" s="32">
        <f>IFERROR(__xludf.DUMMYFUNCTION("""COMPUTED_VALUE"""),45531.726388888885)</f>
        <v>45531.72639</v>
      </c>
      <c r="D243" s="31">
        <f>IFERROR(__xludf.DUMMYFUNCTION("""COMPUTED_VALUE"""),5.33)</f>
        <v>5.33</v>
      </c>
      <c r="E243" s="32">
        <f>IFERROR(__xludf.DUMMYFUNCTION("""COMPUTED_VALUE"""),45580.73611111111)</f>
        <v>45580.73611</v>
      </c>
      <c r="F243" s="31">
        <f>IFERROR(__xludf.DUMMYFUNCTION("""COMPUTED_VALUE"""),98.81)</f>
        <v>98.81</v>
      </c>
      <c r="G243" s="32">
        <f>IFERROR(__xludf.DUMMYFUNCTION("""COMPUTED_VALUE"""),45527.726388888885)</f>
        <v>45527.72639</v>
      </c>
      <c r="H243" s="31">
        <f>IFERROR(__xludf.DUMMYFUNCTION("""COMPUTED_VALUE"""),5.22)</f>
        <v>5.22</v>
      </c>
      <c r="I243" s="32">
        <f>IFERROR(__xludf.DUMMYFUNCTION("""COMPUTED_VALUE"""),45527.726388888885)</f>
        <v>45527.72639</v>
      </c>
      <c r="J243" s="31">
        <f>IFERROR(__xludf.DUMMYFUNCTION("""COMPUTED_VALUE"""),5.28)</f>
        <v>5.28</v>
      </c>
      <c r="K243" s="32">
        <f>IFERROR(__xludf.DUMMYFUNCTION("""COMPUTED_VALUE"""),45569.73611111111)</f>
        <v>45569.73611</v>
      </c>
      <c r="L243" s="31">
        <f>IFERROR(__xludf.DUMMYFUNCTION("""COMPUTED_VALUE"""),99.3)</f>
        <v>99.3</v>
      </c>
      <c r="M243" s="32">
        <f>IFERROR(__xludf.DUMMYFUNCTION("""COMPUTED_VALUE"""),45527.726388888885)</f>
        <v>45527.72639</v>
      </c>
      <c r="N243" s="31">
        <f>IFERROR(__xludf.DUMMYFUNCTION("""COMPUTED_VALUE"""),5.37)</f>
        <v>5.37</v>
      </c>
      <c r="O243" s="32">
        <f>IFERROR(__xludf.DUMMYFUNCTION("""COMPUTED_VALUE"""),45527.6875)</f>
        <v>45527.6875</v>
      </c>
      <c r="P243" s="31">
        <f>IFERROR(__xludf.DUMMYFUNCTION("""COMPUTED_VALUE"""),594.79)</f>
        <v>594.79</v>
      </c>
      <c r="Q243" s="32">
        <f>IFERROR(__xludf.DUMMYFUNCTION("""COMPUTED_VALUE"""),45531.66666666667)</f>
        <v>45531.66667</v>
      </c>
      <c r="R243" s="31">
        <f>IFERROR(__xludf.DUMMYFUNCTION("""COMPUTED_VALUE"""),23.74)</f>
        <v>23.74</v>
      </c>
      <c r="S243" s="32">
        <f>IFERROR(__xludf.DUMMYFUNCTION("""COMPUTED_VALUE"""),45527.6875)</f>
        <v>45527.6875</v>
      </c>
      <c r="T243" s="31">
        <f>IFERROR(__xludf.DUMMYFUNCTION("""COMPUTED_VALUE"""),6.63)</f>
        <v>6.63</v>
      </c>
      <c r="U243" s="32">
        <f>IFERROR(__xludf.DUMMYFUNCTION("""COMPUTED_VALUE"""),45422.99861111111)</f>
        <v>45422.99861</v>
      </c>
      <c r="V243" s="31">
        <f>IFERROR(__xludf.DUMMYFUNCTION("""COMPUTED_VALUE"""),1.0787)</f>
        <v>1.0787</v>
      </c>
    </row>
    <row r="244" ht="15.75" customHeight="1">
      <c r="A244" s="32">
        <f>IFERROR(__xludf.DUMMYFUNCTION("""COMPUTED_VALUE"""),45534.73611111111)</f>
        <v>45534.73611</v>
      </c>
      <c r="B244" s="31">
        <f>IFERROR(__xludf.DUMMYFUNCTION("""COMPUTED_VALUE"""),98.16)</f>
        <v>98.16</v>
      </c>
      <c r="C244" s="32">
        <f>IFERROR(__xludf.DUMMYFUNCTION("""COMPUTED_VALUE"""),45532.726388888885)</f>
        <v>45532.72639</v>
      </c>
      <c r="D244" s="31">
        <f>IFERROR(__xludf.DUMMYFUNCTION("""COMPUTED_VALUE"""),5.33)</f>
        <v>5.33</v>
      </c>
      <c r="E244" s="32">
        <f>IFERROR(__xludf.DUMMYFUNCTION("""COMPUTED_VALUE"""),45583.73611111111)</f>
        <v>45583.73611</v>
      </c>
      <c r="F244" s="31">
        <f>IFERROR(__xludf.DUMMYFUNCTION("""COMPUTED_VALUE"""),99.38)</f>
        <v>99.38</v>
      </c>
      <c r="G244" s="32">
        <f>IFERROR(__xludf.DUMMYFUNCTION("""COMPUTED_VALUE"""),45530.726388888885)</f>
        <v>45530.72639</v>
      </c>
      <c r="H244" s="31">
        <f>IFERROR(__xludf.DUMMYFUNCTION("""COMPUTED_VALUE"""),5.23)</f>
        <v>5.23</v>
      </c>
      <c r="I244" s="32">
        <f>IFERROR(__xludf.DUMMYFUNCTION("""COMPUTED_VALUE"""),45530.726388888885)</f>
        <v>45530.72639</v>
      </c>
      <c r="J244" s="31">
        <f>IFERROR(__xludf.DUMMYFUNCTION("""COMPUTED_VALUE"""),5.28)</f>
        <v>5.28</v>
      </c>
      <c r="K244" s="32">
        <f>IFERROR(__xludf.DUMMYFUNCTION("""COMPUTED_VALUE"""),45572.73611111111)</f>
        <v>45572.73611</v>
      </c>
      <c r="L244" s="31">
        <f>IFERROR(__xludf.DUMMYFUNCTION("""COMPUTED_VALUE"""),98.98)</f>
        <v>98.98</v>
      </c>
      <c r="M244" s="32">
        <f>IFERROR(__xludf.DUMMYFUNCTION("""COMPUTED_VALUE"""),45530.726388888885)</f>
        <v>45530.72639</v>
      </c>
      <c r="N244" s="31">
        <f>IFERROR(__xludf.DUMMYFUNCTION("""COMPUTED_VALUE"""),5.36)</f>
        <v>5.36</v>
      </c>
      <c r="O244" s="32">
        <f>IFERROR(__xludf.DUMMYFUNCTION("""COMPUTED_VALUE"""),45531.6875)</f>
        <v>45531.6875</v>
      </c>
      <c r="P244" s="31">
        <f>IFERROR(__xludf.DUMMYFUNCTION("""COMPUTED_VALUE"""),593.14)</f>
        <v>593.14</v>
      </c>
      <c r="Q244" s="32">
        <f>IFERROR(__xludf.DUMMYFUNCTION("""COMPUTED_VALUE"""),45532.66666666667)</f>
        <v>45532.66667</v>
      </c>
      <c r="R244" s="31">
        <f>IFERROR(__xludf.DUMMYFUNCTION("""COMPUTED_VALUE"""),23.64)</f>
        <v>23.64</v>
      </c>
      <c r="S244" s="32">
        <f>IFERROR(__xludf.DUMMYFUNCTION("""COMPUTED_VALUE"""),45531.6875)</f>
        <v>45531.6875</v>
      </c>
      <c r="T244" s="31">
        <f>IFERROR(__xludf.DUMMYFUNCTION("""COMPUTED_VALUE"""),6.63)</f>
        <v>6.63</v>
      </c>
      <c r="U244" s="32">
        <f>IFERROR(__xludf.DUMMYFUNCTION("""COMPUTED_VALUE"""),45423.99861111111)</f>
        <v>45423.99861</v>
      </c>
      <c r="V244" s="31">
        <f>IFERROR(__xludf.DUMMYFUNCTION("""COMPUTED_VALUE"""),1.0786)</f>
        <v>1.0786</v>
      </c>
    </row>
    <row r="245" ht="15.75" customHeight="1">
      <c r="A245" s="32">
        <f>IFERROR(__xludf.DUMMYFUNCTION("""COMPUTED_VALUE"""),45537.73611111111)</f>
        <v>45537.73611</v>
      </c>
      <c r="B245" s="31">
        <f>IFERROR(__xludf.DUMMYFUNCTION("""COMPUTED_VALUE"""),97.98)</f>
        <v>97.98</v>
      </c>
      <c r="C245" s="32">
        <f>IFERROR(__xludf.DUMMYFUNCTION("""COMPUTED_VALUE"""),45533.726388888885)</f>
        <v>45533.72639</v>
      </c>
      <c r="D245" s="31">
        <f>IFERROR(__xludf.DUMMYFUNCTION("""COMPUTED_VALUE"""),5.33)</f>
        <v>5.33</v>
      </c>
      <c r="E245" s="32">
        <f>IFERROR(__xludf.DUMMYFUNCTION("""COMPUTED_VALUE"""),45587.73611111111)</f>
        <v>45587.73611</v>
      </c>
      <c r="F245" s="31">
        <f>IFERROR(__xludf.DUMMYFUNCTION("""COMPUTED_VALUE"""),99.6)</f>
        <v>99.6</v>
      </c>
      <c r="G245" s="32">
        <f>IFERROR(__xludf.DUMMYFUNCTION("""COMPUTED_VALUE"""),45531.726388888885)</f>
        <v>45531.72639</v>
      </c>
      <c r="H245" s="31">
        <f>IFERROR(__xludf.DUMMYFUNCTION("""COMPUTED_VALUE"""),5.23)</f>
        <v>5.23</v>
      </c>
      <c r="I245" s="32">
        <f>IFERROR(__xludf.DUMMYFUNCTION("""COMPUTED_VALUE"""),45531.726388888885)</f>
        <v>45531.72639</v>
      </c>
      <c r="J245" s="31">
        <f>IFERROR(__xludf.DUMMYFUNCTION("""COMPUTED_VALUE"""),5.28)</f>
        <v>5.28</v>
      </c>
      <c r="K245" s="32">
        <f>IFERROR(__xludf.DUMMYFUNCTION("""COMPUTED_VALUE"""),45573.73611111111)</f>
        <v>45573.73611</v>
      </c>
      <c r="L245" s="31">
        <f>IFERROR(__xludf.DUMMYFUNCTION("""COMPUTED_VALUE"""),99.05)</f>
        <v>99.05</v>
      </c>
      <c r="M245" s="32">
        <f>IFERROR(__xludf.DUMMYFUNCTION("""COMPUTED_VALUE"""),45531.726388888885)</f>
        <v>45531.72639</v>
      </c>
      <c r="N245" s="31">
        <f>IFERROR(__xludf.DUMMYFUNCTION("""COMPUTED_VALUE"""),5.36)</f>
        <v>5.36</v>
      </c>
      <c r="O245" s="32">
        <f>IFERROR(__xludf.DUMMYFUNCTION("""COMPUTED_VALUE"""),45532.6875)</f>
        <v>45532.6875</v>
      </c>
      <c r="P245" s="31">
        <f>IFERROR(__xludf.DUMMYFUNCTION("""COMPUTED_VALUE"""),590.78)</f>
        <v>590.78</v>
      </c>
      <c r="Q245" s="32">
        <f>IFERROR(__xludf.DUMMYFUNCTION("""COMPUTED_VALUE"""),45533.66666666667)</f>
        <v>45533.66667</v>
      </c>
      <c r="R245" s="31">
        <f>IFERROR(__xludf.DUMMYFUNCTION("""COMPUTED_VALUE"""),23.7)</f>
        <v>23.7</v>
      </c>
      <c r="S245" s="32">
        <f>IFERROR(__xludf.DUMMYFUNCTION("""COMPUTED_VALUE"""),45532.6875)</f>
        <v>45532.6875</v>
      </c>
      <c r="T245" s="31">
        <f>IFERROR(__xludf.DUMMYFUNCTION("""COMPUTED_VALUE"""),6.63)</f>
        <v>6.63</v>
      </c>
      <c r="U245" s="32">
        <f>IFERROR(__xludf.DUMMYFUNCTION("""COMPUTED_VALUE"""),45424.99861111111)</f>
        <v>45424.99861</v>
      </c>
      <c r="V245" s="31">
        <f>IFERROR(__xludf.DUMMYFUNCTION("""COMPUTED_VALUE"""),1.07699)</f>
        <v>1.07699</v>
      </c>
    </row>
    <row r="246" ht="15.75" customHeight="1">
      <c r="A246" s="32">
        <f>IFERROR(__xludf.DUMMYFUNCTION("""COMPUTED_VALUE"""),45538.73611111111)</f>
        <v>45538.73611</v>
      </c>
      <c r="B246" s="31">
        <f>IFERROR(__xludf.DUMMYFUNCTION("""COMPUTED_VALUE"""),98.27)</f>
        <v>98.27</v>
      </c>
      <c r="C246" s="32">
        <f>IFERROR(__xludf.DUMMYFUNCTION("""COMPUTED_VALUE"""),45534.726388888885)</f>
        <v>45534.72639</v>
      </c>
      <c r="D246" s="31">
        <f>IFERROR(__xludf.DUMMYFUNCTION("""COMPUTED_VALUE"""),5.33)</f>
        <v>5.33</v>
      </c>
      <c r="E246" s="32">
        <f>IFERROR(__xludf.DUMMYFUNCTION("""COMPUTED_VALUE"""),45588.73611111111)</f>
        <v>45588.73611</v>
      </c>
      <c r="F246" s="31">
        <f>IFERROR(__xludf.DUMMYFUNCTION("""COMPUTED_VALUE"""),99.8)</f>
        <v>99.8</v>
      </c>
      <c r="G246" s="32">
        <f>IFERROR(__xludf.DUMMYFUNCTION("""COMPUTED_VALUE"""),45532.726388888885)</f>
        <v>45532.72639</v>
      </c>
      <c r="H246" s="31">
        <f>IFERROR(__xludf.DUMMYFUNCTION("""COMPUTED_VALUE"""),5.22)</f>
        <v>5.22</v>
      </c>
      <c r="I246" s="32">
        <f>IFERROR(__xludf.DUMMYFUNCTION("""COMPUTED_VALUE"""),45532.726388888885)</f>
        <v>45532.72639</v>
      </c>
      <c r="J246" s="31">
        <f>IFERROR(__xludf.DUMMYFUNCTION("""COMPUTED_VALUE"""),5.27)</f>
        <v>5.27</v>
      </c>
      <c r="K246" s="32">
        <f>IFERROR(__xludf.DUMMYFUNCTION("""COMPUTED_VALUE"""),45574.73611111111)</f>
        <v>45574.73611</v>
      </c>
      <c r="L246" s="31">
        <f>IFERROR(__xludf.DUMMYFUNCTION("""COMPUTED_VALUE"""),99.25)</f>
        <v>99.25</v>
      </c>
      <c r="M246" s="32">
        <f>IFERROR(__xludf.DUMMYFUNCTION("""COMPUTED_VALUE"""),45532.726388888885)</f>
        <v>45532.72639</v>
      </c>
      <c r="N246" s="31">
        <f>IFERROR(__xludf.DUMMYFUNCTION("""COMPUTED_VALUE"""),5.37)</f>
        <v>5.37</v>
      </c>
      <c r="O246" s="32">
        <f>IFERROR(__xludf.DUMMYFUNCTION("""COMPUTED_VALUE"""),45533.6875)</f>
        <v>45533.6875</v>
      </c>
      <c r="P246" s="31">
        <f>IFERROR(__xludf.DUMMYFUNCTION("""COMPUTED_VALUE"""),595.24)</f>
        <v>595.24</v>
      </c>
      <c r="Q246" s="32">
        <f>IFERROR(__xludf.DUMMYFUNCTION("""COMPUTED_VALUE"""),45534.66666666667)</f>
        <v>45534.66667</v>
      </c>
      <c r="R246" s="31">
        <f>IFERROR(__xludf.DUMMYFUNCTION("""COMPUTED_VALUE"""),23.75)</f>
        <v>23.75</v>
      </c>
      <c r="S246" s="32">
        <f>IFERROR(__xludf.DUMMYFUNCTION("""COMPUTED_VALUE"""),45533.6875)</f>
        <v>45533.6875</v>
      </c>
      <c r="T246" s="31">
        <f>IFERROR(__xludf.DUMMYFUNCTION("""COMPUTED_VALUE"""),6.64)</f>
        <v>6.64</v>
      </c>
      <c r="U246" s="32">
        <f>IFERROR(__xludf.DUMMYFUNCTION("""COMPUTED_VALUE"""),45425.99861111111)</f>
        <v>45425.99861</v>
      </c>
      <c r="V246" s="31">
        <f>IFERROR(__xludf.DUMMYFUNCTION("""COMPUTED_VALUE"""),1.0793)</f>
        <v>1.0793</v>
      </c>
    </row>
    <row r="247" ht="15.75" customHeight="1">
      <c r="A247" s="32">
        <f>IFERROR(__xludf.DUMMYFUNCTION("""COMPUTED_VALUE"""),45539.73611111111)</f>
        <v>45539.73611</v>
      </c>
      <c r="B247" s="31">
        <f>IFERROR(__xludf.DUMMYFUNCTION("""COMPUTED_VALUE"""),98.25)</f>
        <v>98.25</v>
      </c>
      <c r="C247" s="32">
        <f>IFERROR(__xludf.DUMMYFUNCTION("""COMPUTED_VALUE"""),45537.726388888885)</f>
        <v>45537.72639</v>
      </c>
      <c r="D247" s="31">
        <f>IFERROR(__xludf.DUMMYFUNCTION("""COMPUTED_VALUE"""),5.33)</f>
        <v>5.33</v>
      </c>
      <c r="E247" s="32">
        <f>IFERROR(__xludf.DUMMYFUNCTION("""COMPUTED_VALUE"""),45590.73611111111)</f>
        <v>45590.73611</v>
      </c>
      <c r="F247" s="31">
        <f>IFERROR(__xludf.DUMMYFUNCTION("""COMPUTED_VALUE"""),99.49)</f>
        <v>99.49</v>
      </c>
      <c r="G247" s="32">
        <f>IFERROR(__xludf.DUMMYFUNCTION("""COMPUTED_VALUE"""),45533.726388888885)</f>
        <v>45533.72639</v>
      </c>
      <c r="H247" s="31">
        <f>IFERROR(__xludf.DUMMYFUNCTION("""COMPUTED_VALUE"""),5.22)</f>
        <v>5.22</v>
      </c>
      <c r="I247" s="32">
        <f>IFERROR(__xludf.DUMMYFUNCTION("""COMPUTED_VALUE"""),45533.726388888885)</f>
        <v>45533.72639</v>
      </c>
      <c r="J247" s="31">
        <f>IFERROR(__xludf.DUMMYFUNCTION("""COMPUTED_VALUE"""),5.27)</f>
        <v>5.27</v>
      </c>
      <c r="K247" s="32">
        <f>IFERROR(__xludf.DUMMYFUNCTION("""COMPUTED_VALUE"""),45575.73611111111)</f>
        <v>45575.73611</v>
      </c>
      <c r="L247" s="31">
        <f>IFERROR(__xludf.DUMMYFUNCTION("""COMPUTED_VALUE"""),99.53)</f>
        <v>99.53</v>
      </c>
      <c r="M247" s="32">
        <f>IFERROR(__xludf.DUMMYFUNCTION("""COMPUTED_VALUE"""),45533.726388888885)</f>
        <v>45533.72639</v>
      </c>
      <c r="N247" s="31">
        <f>IFERROR(__xludf.DUMMYFUNCTION("""COMPUTED_VALUE"""),5.36)</f>
        <v>5.36</v>
      </c>
      <c r="O247" s="32">
        <f>IFERROR(__xludf.DUMMYFUNCTION("""COMPUTED_VALUE"""),45534.6875)</f>
        <v>45534.6875</v>
      </c>
      <c r="P247" s="31">
        <f>IFERROR(__xludf.DUMMYFUNCTION("""COMPUTED_VALUE"""),591.59)</f>
        <v>591.59</v>
      </c>
      <c r="Q247" s="32">
        <f>IFERROR(__xludf.DUMMYFUNCTION("""COMPUTED_VALUE"""),45538.66666666667)</f>
        <v>45538.66667</v>
      </c>
      <c r="R247" s="31">
        <f>IFERROR(__xludf.DUMMYFUNCTION("""COMPUTED_VALUE"""),23.54)</f>
        <v>23.54</v>
      </c>
      <c r="S247" s="32">
        <f>IFERROR(__xludf.DUMMYFUNCTION("""COMPUTED_VALUE"""),45534.6875)</f>
        <v>45534.6875</v>
      </c>
      <c r="T247" s="31">
        <f>IFERROR(__xludf.DUMMYFUNCTION("""COMPUTED_VALUE"""),6.64)</f>
        <v>6.64</v>
      </c>
      <c r="U247" s="32">
        <f>IFERROR(__xludf.DUMMYFUNCTION("""COMPUTED_VALUE"""),45426.99861111111)</f>
        <v>45426.99861</v>
      </c>
      <c r="V247" s="31">
        <f>IFERROR(__xludf.DUMMYFUNCTION("""COMPUTED_VALUE"""),1.08141)</f>
        <v>1.08141</v>
      </c>
    </row>
    <row r="248" ht="15.75" customHeight="1">
      <c r="A248" s="32">
        <f>IFERROR(__xludf.DUMMYFUNCTION("""COMPUTED_VALUE"""),45540.73611111111)</f>
        <v>45540.73611</v>
      </c>
      <c r="B248" s="31">
        <f>IFERROR(__xludf.DUMMYFUNCTION("""COMPUTED_VALUE"""),98.15)</f>
        <v>98.15</v>
      </c>
      <c r="C248" s="32">
        <f>IFERROR(__xludf.DUMMYFUNCTION("""COMPUTED_VALUE"""),45538.726388888885)</f>
        <v>45538.72639</v>
      </c>
      <c r="D248" s="31">
        <f>IFERROR(__xludf.DUMMYFUNCTION("""COMPUTED_VALUE"""),5.33)</f>
        <v>5.33</v>
      </c>
      <c r="E248" s="32">
        <f>IFERROR(__xludf.DUMMYFUNCTION("""COMPUTED_VALUE"""),45593.73611111111)</f>
        <v>45593.73611</v>
      </c>
      <c r="F248" s="31">
        <f>IFERROR(__xludf.DUMMYFUNCTION("""COMPUTED_VALUE"""),99.44)</f>
        <v>99.44</v>
      </c>
      <c r="G248" s="32">
        <f>IFERROR(__xludf.DUMMYFUNCTION("""COMPUTED_VALUE"""),45534.726388888885)</f>
        <v>45534.72639</v>
      </c>
      <c r="H248" s="31">
        <f>IFERROR(__xludf.DUMMYFUNCTION("""COMPUTED_VALUE"""),5.23)</f>
        <v>5.23</v>
      </c>
      <c r="I248" s="32">
        <f>IFERROR(__xludf.DUMMYFUNCTION("""COMPUTED_VALUE"""),45534.726388888885)</f>
        <v>45534.72639</v>
      </c>
      <c r="J248" s="31">
        <f>IFERROR(__xludf.DUMMYFUNCTION("""COMPUTED_VALUE"""),5.28)</f>
        <v>5.28</v>
      </c>
      <c r="K248" s="32">
        <f>IFERROR(__xludf.DUMMYFUNCTION("""COMPUTED_VALUE"""),45576.73611111111)</f>
        <v>45576.73611</v>
      </c>
      <c r="L248" s="31">
        <f>IFERROR(__xludf.DUMMYFUNCTION("""COMPUTED_VALUE"""),99.45)</f>
        <v>99.45</v>
      </c>
      <c r="M248" s="32">
        <f>IFERROR(__xludf.DUMMYFUNCTION("""COMPUTED_VALUE"""),45534.726388888885)</f>
        <v>45534.72639</v>
      </c>
      <c r="N248" s="31">
        <f>IFERROR(__xludf.DUMMYFUNCTION("""COMPUTED_VALUE"""),5.36)</f>
        <v>5.36</v>
      </c>
      <c r="O248" s="32">
        <f>IFERROR(__xludf.DUMMYFUNCTION("""COMPUTED_VALUE"""),45537.6875)</f>
        <v>45537.6875</v>
      </c>
      <c r="P248" s="31">
        <f>IFERROR(__xludf.DUMMYFUNCTION("""COMPUTED_VALUE"""),596.96)</f>
        <v>596.96</v>
      </c>
      <c r="Q248" s="32">
        <f>IFERROR(__xludf.DUMMYFUNCTION("""COMPUTED_VALUE"""),45539.66666666667)</f>
        <v>45539.66667</v>
      </c>
      <c r="R248" s="31">
        <f>IFERROR(__xludf.DUMMYFUNCTION("""COMPUTED_VALUE"""),23.59)</f>
        <v>23.59</v>
      </c>
      <c r="S248" s="32">
        <f>IFERROR(__xludf.DUMMYFUNCTION("""COMPUTED_VALUE"""),45537.6875)</f>
        <v>45537.6875</v>
      </c>
      <c r="T248" s="31">
        <f>IFERROR(__xludf.DUMMYFUNCTION("""COMPUTED_VALUE"""),6.64)</f>
        <v>6.64</v>
      </c>
      <c r="U248" s="32">
        <f>IFERROR(__xludf.DUMMYFUNCTION("""COMPUTED_VALUE"""),45427.99861111111)</f>
        <v>45427.99861</v>
      </c>
      <c r="V248" s="31">
        <f>IFERROR(__xludf.DUMMYFUNCTION("""COMPUTED_VALUE"""),1.08891)</f>
        <v>1.08891</v>
      </c>
    </row>
    <row r="249" ht="15.75" customHeight="1">
      <c r="A249" s="32">
        <f>IFERROR(__xludf.DUMMYFUNCTION("""COMPUTED_VALUE"""),45541.73611111111)</f>
        <v>45541.73611</v>
      </c>
      <c r="B249" s="31">
        <f>IFERROR(__xludf.DUMMYFUNCTION("""COMPUTED_VALUE"""),98.5)</f>
        <v>98.5</v>
      </c>
      <c r="C249" s="32">
        <f>IFERROR(__xludf.DUMMYFUNCTION("""COMPUTED_VALUE"""),45539.726388888885)</f>
        <v>45539.72639</v>
      </c>
      <c r="D249" s="31">
        <f>IFERROR(__xludf.DUMMYFUNCTION("""COMPUTED_VALUE"""),5.34)</f>
        <v>5.34</v>
      </c>
      <c r="E249" s="32">
        <f>IFERROR(__xludf.DUMMYFUNCTION("""COMPUTED_VALUE"""),45594.73611111111)</f>
        <v>45594.73611</v>
      </c>
      <c r="F249" s="31">
        <f>IFERROR(__xludf.DUMMYFUNCTION("""COMPUTED_VALUE"""),99.58)</f>
        <v>99.58</v>
      </c>
      <c r="G249" s="32">
        <f>IFERROR(__xludf.DUMMYFUNCTION("""COMPUTED_VALUE"""),45537.726388888885)</f>
        <v>45537.72639</v>
      </c>
      <c r="H249" s="31">
        <f>IFERROR(__xludf.DUMMYFUNCTION("""COMPUTED_VALUE"""),5.23)</f>
        <v>5.23</v>
      </c>
      <c r="I249" s="32">
        <f>IFERROR(__xludf.DUMMYFUNCTION("""COMPUTED_VALUE"""),45537.726388888885)</f>
        <v>45537.72639</v>
      </c>
      <c r="J249" s="31">
        <f>IFERROR(__xludf.DUMMYFUNCTION("""COMPUTED_VALUE"""),5.27)</f>
        <v>5.27</v>
      </c>
      <c r="K249" s="32">
        <f>IFERROR(__xludf.DUMMYFUNCTION("""COMPUTED_VALUE"""),45579.73611111111)</f>
        <v>45579.73611</v>
      </c>
      <c r="L249" s="31">
        <f>IFERROR(__xludf.DUMMYFUNCTION("""COMPUTED_VALUE"""),99.85)</f>
        <v>99.85</v>
      </c>
      <c r="M249" s="32">
        <f>IFERROR(__xludf.DUMMYFUNCTION("""COMPUTED_VALUE"""),45537.726388888885)</f>
        <v>45537.72639</v>
      </c>
      <c r="N249" s="31">
        <f>IFERROR(__xludf.DUMMYFUNCTION("""COMPUTED_VALUE"""),5.36)</f>
        <v>5.36</v>
      </c>
      <c r="O249" s="32">
        <f>IFERROR(__xludf.DUMMYFUNCTION("""COMPUTED_VALUE"""),45538.6875)</f>
        <v>45538.6875</v>
      </c>
      <c r="P249" s="31">
        <f>IFERROR(__xludf.DUMMYFUNCTION("""COMPUTED_VALUE"""),589.02)</f>
        <v>589.02</v>
      </c>
      <c r="Q249" s="32">
        <f>IFERROR(__xludf.DUMMYFUNCTION("""COMPUTED_VALUE"""),45540.66666666667)</f>
        <v>45540.66667</v>
      </c>
      <c r="R249" s="31">
        <f>IFERROR(__xludf.DUMMYFUNCTION("""COMPUTED_VALUE"""),23.68)</f>
        <v>23.68</v>
      </c>
      <c r="S249" s="32">
        <f>IFERROR(__xludf.DUMMYFUNCTION("""COMPUTED_VALUE"""),45538.6875)</f>
        <v>45538.6875</v>
      </c>
      <c r="T249" s="31">
        <f>IFERROR(__xludf.DUMMYFUNCTION("""COMPUTED_VALUE"""),6.63)</f>
        <v>6.63</v>
      </c>
      <c r="U249" s="32">
        <f>IFERROR(__xludf.DUMMYFUNCTION("""COMPUTED_VALUE"""),45428.99861111111)</f>
        <v>45428.99861</v>
      </c>
      <c r="V249" s="31">
        <f>IFERROR(__xludf.DUMMYFUNCTION("""COMPUTED_VALUE"""),1.08674)</f>
        <v>1.08674</v>
      </c>
    </row>
    <row r="250" ht="15.75" customHeight="1">
      <c r="A250" s="32">
        <f>IFERROR(__xludf.DUMMYFUNCTION("""COMPUTED_VALUE"""),45544.73611111111)</f>
        <v>45544.73611</v>
      </c>
      <c r="B250" s="31">
        <f>IFERROR(__xludf.DUMMYFUNCTION("""COMPUTED_VALUE"""),98.92)</f>
        <v>98.92</v>
      </c>
      <c r="C250" s="32">
        <f>IFERROR(__xludf.DUMMYFUNCTION("""COMPUTED_VALUE"""),45540.726388888885)</f>
        <v>45540.72639</v>
      </c>
      <c r="D250" s="31">
        <f>IFERROR(__xludf.DUMMYFUNCTION("""COMPUTED_VALUE"""),5.34)</f>
        <v>5.34</v>
      </c>
      <c r="E250" s="32">
        <f>IFERROR(__xludf.DUMMYFUNCTION("""COMPUTED_VALUE"""),45595.73611111111)</f>
        <v>45595.73611</v>
      </c>
      <c r="F250" s="31">
        <f>IFERROR(__xludf.DUMMYFUNCTION("""COMPUTED_VALUE"""),99.1)</f>
        <v>99.1</v>
      </c>
      <c r="G250" s="32">
        <f>IFERROR(__xludf.DUMMYFUNCTION("""COMPUTED_VALUE"""),45538.726388888885)</f>
        <v>45538.72639</v>
      </c>
      <c r="H250" s="31">
        <f>IFERROR(__xludf.DUMMYFUNCTION("""COMPUTED_VALUE"""),5.23)</f>
        <v>5.23</v>
      </c>
      <c r="I250" s="32">
        <f>IFERROR(__xludf.DUMMYFUNCTION("""COMPUTED_VALUE"""),45538.726388888885)</f>
        <v>45538.72639</v>
      </c>
      <c r="J250" s="31">
        <f>IFERROR(__xludf.DUMMYFUNCTION("""COMPUTED_VALUE"""),5.28)</f>
        <v>5.28</v>
      </c>
      <c r="K250" s="32">
        <f>IFERROR(__xludf.DUMMYFUNCTION("""COMPUTED_VALUE"""),45580.73611111111)</f>
        <v>45580.73611</v>
      </c>
      <c r="L250" s="31">
        <f>IFERROR(__xludf.DUMMYFUNCTION("""COMPUTED_VALUE"""),99.86)</f>
        <v>99.86</v>
      </c>
      <c r="M250" s="32">
        <f>IFERROR(__xludf.DUMMYFUNCTION("""COMPUTED_VALUE"""),45538.726388888885)</f>
        <v>45538.72639</v>
      </c>
      <c r="N250" s="31">
        <f>IFERROR(__xludf.DUMMYFUNCTION("""COMPUTED_VALUE"""),5.37)</f>
        <v>5.37</v>
      </c>
      <c r="O250" s="32">
        <f>IFERROR(__xludf.DUMMYFUNCTION("""COMPUTED_VALUE"""),45539.6875)</f>
        <v>45539.6875</v>
      </c>
      <c r="P250" s="31">
        <f>IFERROR(__xludf.DUMMYFUNCTION("""COMPUTED_VALUE"""),584.54)</f>
        <v>584.54</v>
      </c>
      <c r="Q250" s="32">
        <f>IFERROR(__xludf.DUMMYFUNCTION("""COMPUTED_VALUE"""),45541.66666666667)</f>
        <v>45541.66667</v>
      </c>
      <c r="R250" s="31">
        <f>IFERROR(__xludf.DUMMYFUNCTION("""COMPUTED_VALUE"""),23.61)</f>
        <v>23.61</v>
      </c>
      <c r="S250" s="32">
        <f>IFERROR(__xludf.DUMMYFUNCTION("""COMPUTED_VALUE"""),45539.6875)</f>
        <v>45539.6875</v>
      </c>
      <c r="T250" s="31">
        <f>IFERROR(__xludf.DUMMYFUNCTION("""COMPUTED_VALUE"""),6.65)</f>
        <v>6.65</v>
      </c>
      <c r="U250" s="32">
        <f>IFERROR(__xludf.DUMMYFUNCTION("""COMPUTED_VALUE"""),45429.99861111111)</f>
        <v>45429.99861</v>
      </c>
      <c r="V250" s="31">
        <f>IFERROR(__xludf.DUMMYFUNCTION("""COMPUTED_VALUE"""),1.0894)</f>
        <v>1.0894</v>
      </c>
    </row>
    <row r="251" ht="15.75" customHeight="1">
      <c r="A251" s="32">
        <f>IFERROR(__xludf.DUMMYFUNCTION("""COMPUTED_VALUE"""),45545.73611111111)</f>
        <v>45545.73611</v>
      </c>
      <c r="B251" s="31">
        <f>IFERROR(__xludf.DUMMYFUNCTION("""COMPUTED_VALUE"""),99.19)</f>
        <v>99.19</v>
      </c>
      <c r="C251" s="32">
        <f>IFERROR(__xludf.DUMMYFUNCTION("""COMPUTED_VALUE"""),45541.726388888885)</f>
        <v>45541.72639</v>
      </c>
      <c r="D251" s="31">
        <f>IFERROR(__xludf.DUMMYFUNCTION("""COMPUTED_VALUE"""),5.35)</f>
        <v>5.35</v>
      </c>
      <c r="E251" s="32">
        <f>IFERROR(__xludf.DUMMYFUNCTION("""COMPUTED_VALUE"""),45596.73611111111)</f>
        <v>45596.73611</v>
      </c>
      <c r="F251" s="31">
        <f>IFERROR(__xludf.DUMMYFUNCTION("""COMPUTED_VALUE"""),99.05)</f>
        <v>99.05</v>
      </c>
      <c r="G251" s="32">
        <f>IFERROR(__xludf.DUMMYFUNCTION("""COMPUTED_VALUE"""),45539.726388888885)</f>
        <v>45539.72639</v>
      </c>
      <c r="H251" s="31">
        <f>IFERROR(__xludf.DUMMYFUNCTION("""COMPUTED_VALUE"""),5.23)</f>
        <v>5.23</v>
      </c>
      <c r="I251" s="32">
        <f>IFERROR(__xludf.DUMMYFUNCTION("""COMPUTED_VALUE"""),45539.726388888885)</f>
        <v>45539.72639</v>
      </c>
      <c r="J251" s="31">
        <f>IFERROR(__xludf.DUMMYFUNCTION("""COMPUTED_VALUE"""),5.28)</f>
        <v>5.28</v>
      </c>
      <c r="K251" s="32">
        <f>IFERROR(__xludf.DUMMYFUNCTION("""COMPUTED_VALUE"""),45582.73611111111)</f>
        <v>45582.73611</v>
      </c>
      <c r="L251" s="31">
        <f>IFERROR(__xludf.DUMMYFUNCTION("""COMPUTED_VALUE"""),100.58)</f>
        <v>100.58</v>
      </c>
      <c r="M251" s="32">
        <f>IFERROR(__xludf.DUMMYFUNCTION("""COMPUTED_VALUE"""),45539.726388888885)</f>
        <v>45539.72639</v>
      </c>
      <c r="N251" s="31">
        <f>IFERROR(__xludf.DUMMYFUNCTION("""COMPUTED_VALUE"""),5.38)</f>
        <v>5.38</v>
      </c>
      <c r="O251" s="32">
        <f>IFERROR(__xludf.DUMMYFUNCTION("""COMPUTED_VALUE"""),45540.6875)</f>
        <v>45540.6875</v>
      </c>
      <c r="P251" s="31">
        <f>IFERROR(__xludf.DUMMYFUNCTION("""COMPUTED_VALUE"""),580.2)</f>
        <v>580.2</v>
      </c>
      <c r="Q251" s="32">
        <f>IFERROR(__xludf.DUMMYFUNCTION("""COMPUTED_VALUE"""),45544.66666666667)</f>
        <v>45544.66667</v>
      </c>
      <c r="R251" s="31">
        <f>IFERROR(__xludf.DUMMYFUNCTION("""COMPUTED_VALUE"""),23.67)</f>
        <v>23.67</v>
      </c>
      <c r="S251" s="32">
        <f>IFERROR(__xludf.DUMMYFUNCTION("""COMPUTED_VALUE"""),45540.6875)</f>
        <v>45540.6875</v>
      </c>
      <c r="T251" s="31">
        <f>IFERROR(__xludf.DUMMYFUNCTION("""COMPUTED_VALUE"""),6.65)</f>
        <v>6.65</v>
      </c>
      <c r="U251" s="32">
        <f>IFERROR(__xludf.DUMMYFUNCTION("""COMPUTED_VALUE"""),45430.99861111111)</f>
        <v>45430.99861</v>
      </c>
      <c r="V251" s="31">
        <f>IFERROR(__xludf.DUMMYFUNCTION("""COMPUTED_VALUE"""),1.0889)</f>
        <v>1.0889</v>
      </c>
    </row>
    <row r="252" ht="15.75" customHeight="1">
      <c r="A252" s="32">
        <f>IFERROR(__xludf.DUMMYFUNCTION("""COMPUTED_VALUE"""),45546.73611111111)</f>
        <v>45546.73611</v>
      </c>
      <c r="B252" s="31">
        <f>IFERROR(__xludf.DUMMYFUNCTION("""COMPUTED_VALUE"""),99.31)</f>
        <v>99.31</v>
      </c>
      <c r="C252" s="32">
        <f>IFERROR(__xludf.DUMMYFUNCTION("""COMPUTED_VALUE"""),45544.726388888885)</f>
        <v>45544.72639</v>
      </c>
      <c r="D252" s="31">
        <f>IFERROR(__xludf.DUMMYFUNCTION("""COMPUTED_VALUE"""),5.35)</f>
        <v>5.35</v>
      </c>
      <c r="E252" s="32">
        <f>IFERROR(__xludf.DUMMYFUNCTION("""COMPUTED_VALUE"""),45597.73611111111)</f>
        <v>45597.73611</v>
      </c>
      <c r="F252" s="31">
        <f>IFERROR(__xludf.DUMMYFUNCTION("""COMPUTED_VALUE"""),99.13)</f>
        <v>99.13</v>
      </c>
      <c r="G252" s="32">
        <f>IFERROR(__xludf.DUMMYFUNCTION("""COMPUTED_VALUE"""),45540.726388888885)</f>
        <v>45540.72639</v>
      </c>
      <c r="H252" s="31">
        <f>IFERROR(__xludf.DUMMYFUNCTION("""COMPUTED_VALUE"""),5.23)</f>
        <v>5.23</v>
      </c>
      <c r="I252" s="32">
        <f>IFERROR(__xludf.DUMMYFUNCTION("""COMPUTED_VALUE"""),45540.726388888885)</f>
        <v>45540.72639</v>
      </c>
      <c r="J252" s="31">
        <f>IFERROR(__xludf.DUMMYFUNCTION("""COMPUTED_VALUE"""),5.28)</f>
        <v>5.28</v>
      </c>
      <c r="K252" s="32">
        <f>IFERROR(__xludf.DUMMYFUNCTION("""COMPUTED_VALUE"""),45586.73611111111)</f>
        <v>45586.73611</v>
      </c>
      <c r="L252" s="31">
        <f>IFERROR(__xludf.DUMMYFUNCTION("""COMPUTED_VALUE"""),100.41)</f>
        <v>100.41</v>
      </c>
      <c r="M252" s="32">
        <f>IFERROR(__xludf.DUMMYFUNCTION("""COMPUTED_VALUE"""),45540.726388888885)</f>
        <v>45540.72639</v>
      </c>
      <c r="N252" s="31">
        <f>IFERROR(__xludf.DUMMYFUNCTION("""COMPUTED_VALUE"""),5.38)</f>
        <v>5.38</v>
      </c>
      <c r="O252" s="32">
        <f>IFERROR(__xludf.DUMMYFUNCTION("""COMPUTED_VALUE"""),45541.6875)</f>
        <v>45541.6875</v>
      </c>
      <c r="P252" s="31">
        <f>IFERROR(__xludf.DUMMYFUNCTION("""COMPUTED_VALUE"""),573.88)</f>
        <v>573.88</v>
      </c>
      <c r="Q252" s="32">
        <f>IFERROR(__xludf.DUMMYFUNCTION("""COMPUTED_VALUE"""),45545.66666666667)</f>
        <v>45545.66667</v>
      </c>
      <c r="R252" s="31">
        <f>IFERROR(__xludf.DUMMYFUNCTION("""COMPUTED_VALUE"""),23.62)</f>
        <v>23.62</v>
      </c>
      <c r="S252" s="32">
        <f>IFERROR(__xludf.DUMMYFUNCTION("""COMPUTED_VALUE"""),45541.6875)</f>
        <v>45541.6875</v>
      </c>
      <c r="T252" s="31">
        <f>IFERROR(__xludf.DUMMYFUNCTION("""COMPUTED_VALUE"""),6.66)</f>
        <v>6.66</v>
      </c>
      <c r="U252" s="32">
        <f>IFERROR(__xludf.DUMMYFUNCTION("""COMPUTED_VALUE"""),45431.99861111111)</f>
        <v>45431.99861</v>
      </c>
      <c r="V252" s="31">
        <f>IFERROR(__xludf.DUMMYFUNCTION("""COMPUTED_VALUE"""),1.0873)</f>
        <v>1.0873</v>
      </c>
    </row>
    <row r="253" ht="15.75" customHeight="1">
      <c r="A253" s="32">
        <f>IFERROR(__xludf.DUMMYFUNCTION("""COMPUTED_VALUE"""),45547.73611111111)</f>
        <v>45547.73611</v>
      </c>
      <c r="B253" s="31">
        <f>IFERROR(__xludf.DUMMYFUNCTION("""COMPUTED_VALUE"""),99.05)</f>
        <v>99.05</v>
      </c>
      <c r="C253" s="32">
        <f>IFERROR(__xludf.DUMMYFUNCTION("""COMPUTED_VALUE"""),45545.726388888885)</f>
        <v>45545.72639</v>
      </c>
      <c r="D253" s="31">
        <f>IFERROR(__xludf.DUMMYFUNCTION("""COMPUTED_VALUE"""),5.35)</f>
        <v>5.35</v>
      </c>
      <c r="E253" s="32">
        <f>IFERROR(__xludf.DUMMYFUNCTION("""COMPUTED_VALUE"""),45601.73611111111)</f>
        <v>45601.73611</v>
      </c>
      <c r="F253" s="31">
        <f>IFERROR(__xludf.DUMMYFUNCTION("""COMPUTED_VALUE"""),98.52)</f>
        <v>98.52</v>
      </c>
      <c r="G253" s="32">
        <f>IFERROR(__xludf.DUMMYFUNCTION("""COMPUTED_VALUE"""),45541.726388888885)</f>
        <v>45541.72639</v>
      </c>
      <c r="H253" s="31">
        <f>IFERROR(__xludf.DUMMYFUNCTION("""COMPUTED_VALUE"""),5.23)</f>
        <v>5.23</v>
      </c>
      <c r="I253" s="32">
        <f>IFERROR(__xludf.DUMMYFUNCTION("""COMPUTED_VALUE"""),45541.726388888885)</f>
        <v>45541.72639</v>
      </c>
      <c r="J253" s="31">
        <f>IFERROR(__xludf.DUMMYFUNCTION("""COMPUTED_VALUE"""),5.29)</f>
        <v>5.29</v>
      </c>
      <c r="K253" s="32">
        <f>IFERROR(__xludf.DUMMYFUNCTION("""COMPUTED_VALUE"""),45587.73611111111)</f>
        <v>45587.73611</v>
      </c>
      <c r="L253" s="31">
        <f>IFERROR(__xludf.DUMMYFUNCTION("""COMPUTED_VALUE"""),100.47)</f>
        <v>100.47</v>
      </c>
      <c r="M253" s="32">
        <f>IFERROR(__xludf.DUMMYFUNCTION("""COMPUTED_VALUE"""),45541.726388888885)</f>
        <v>45541.72639</v>
      </c>
      <c r="N253" s="31">
        <f>IFERROR(__xludf.DUMMYFUNCTION("""COMPUTED_VALUE"""),5.39)</f>
        <v>5.39</v>
      </c>
      <c r="O253" s="32">
        <f>IFERROR(__xludf.DUMMYFUNCTION("""COMPUTED_VALUE"""),45544.6875)</f>
        <v>45544.6875</v>
      </c>
      <c r="P253" s="31">
        <f>IFERROR(__xludf.DUMMYFUNCTION("""COMPUTED_VALUE"""),576.82)</f>
        <v>576.82</v>
      </c>
      <c r="Q253" s="32">
        <f>IFERROR(__xludf.DUMMYFUNCTION("""COMPUTED_VALUE"""),45546.66666666667)</f>
        <v>45546.66667</v>
      </c>
      <c r="R253" s="31">
        <f>IFERROR(__xludf.DUMMYFUNCTION("""COMPUTED_VALUE"""),23.66)</f>
        <v>23.66</v>
      </c>
      <c r="S253" s="32">
        <f>IFERROR(__xludf.DUMMYFUNCTION("""COMPUTED_VALUE"""),45544.6875)</f>
        <v>45544.6875</v>
      </c>
      <c r="T253" s="31">
        <f>IFERROR(__xludf.DUMMYFUNCTION("""COMPUTED_VALUE"""),6.67)</f>
        <v>6.67</v>
      </c>
      <c r="U253" s="32">
        <f>IFERROR(__xludf.DUMMYFUNCTION("""COMPUTED_VALUE"""),45432.99861111111)</f>
        <v>45432.99861</v>
      </c>
      <c r="V253" s="31">
        <f>IFERROR(__xludf.DUMMYFUNCTION("""COMPUTED_VALUE"""),1.086)</f>
        <v>1.086</v>
      </c>
    </row>
    <row r="254" ht="15.75" customHeight="1">
      <c r="A254" s="32">
        <f>IFERROR(__xludf.DUMMYFUNCTION("""COMPUTED_VALUE"""),45548.73611111111)</f>
        <v>45548.73611</v>
      </c>
      <c r="B254" s="31">
        <f>IFERROR(__xludf.DUMMYFUNCTION("""COMPUTED_VALUE"""),98.78)</f>
        <v>98.78</v>
      </c>
      <c r="C254" s="32">
        <f>IFERROR(__xludf.DUMMYFUNCTION("""COMPUTED_VALUE"""),45546.726388888885)</f>
        <v>45546.72639</v>
      </c>
      <c r="D254" s="31">
        <f>IFERROR(__xludf.DUMMYFUNCTION("""COMPUTED_VALUE"""),5.36)</f>
        <v>5.36</v>
      </c>
      <c r="E254" s="32">
        <f>IFERROR(__xludf.DUMMYFUNCTION("""COMPUTED_VALUE"""),45602.73611111111)</f>
        <v>45602.73611</v>
      </c>
      <c r="F254" s="31">
        <f>IFERROR(__xludf.DUMMYFUNCTION("""COMPUTED_VALUE"""),100.22)</f>
        <v>100.22</v>
      </c>
      <c r="G254" s="32">
        <f>IFERROR(__xludf.DUMMYFUNCTION("""COMPUTED_VALUE"""),45544.726388888885)</f>
        <v>45544.72639</v>
      </c>
      <c r="H254" s="31">
        <f>IFERROR(__xludf.DUMMYFUNCTION("""COMPUTED_VALUE"""),5.23)</f>
        <v>5.23</v>
      </c>
      <c r="I254" s="32">
        <f>IFERROR(__xludf.DUMMYFUNCTION("""COMPUTED_VALUE"""),45544.726388888885)</f>
        <v>45544.72639</v>
      </c>
      <c r="J254" s="31">
        <f>IFERROR(__xludf.DUMMYFUNCTION("""COMPUTED_VALUE"""),5.29)</f>
        <v>5.29</v>
      </c>
      <c r="K254" s="32">
        <f>IFERROR(__xludf.DUMMYFUNCTION("""COMPUTED_VALUE"""),45590.73611111111)</f>
        <v>45590.73611</v>
      </c>
      <c r="L254" s="31">
        <f>IFERROR(__xludf.DUMMYFUNCTION("""COMPUTED_VALUE"""),100.46)</f>
        <v>100.46</v>
      </c>
      <c r="M254" s="32">
        <f>IFERROR(__xludf.DUMMYFUNCTION("""COMPUTED_VALUE"""),45544.726388888885)</f>
        <v>45544.72639</v>
      </c>
      <c r="N254" s="31">
        <f>IFERROR(__xludf.DUMMYFUNCTION("""COMPUTED_VALUE"""),5.39)</f>
        <v>5.39</v>
      </c>
      <c r="O254" s="32">
        <f>IFERROR(__xludf.DUMMYFUNCTION("""COMPUTED_VALUE"""),45545.6875)</f>
        <v>45545.6875</v>
      </c>
      <c r="P254" s="31">
        <f>IFERROR(__xludf.DUMMYFUNCTION("""COMPUTED_VALUE"""),579.2)</f>
        <v>579.2</v>
      </c>
      <c r="Q254" s="32">
        <f>IFERROR(__xludf.DUMMYFUNCTION("""COMPUTED_VALUE"""),45547.66666666667)</f>
        <v>45547.66667</v>
      </c>
      <c r="R254" s="31">
        <f>IFERROR(__xludf.DUMMYFUNCTION("""COMPUTED_VALUE"""),23.68)</f>
        <v>23.68</v>
      </c>
      <c r="S254" s="32">
        <f>IFERROR(__xludf.DUMMYFUNCTION("""COMPUTED_VALUE"""),45545.6875)</f>
        <v>45545.6875</v>
      </c>
      <c r="T254" s="31">
        <f>IFERROR(__xludf.DUMMYFUNCTION("""COMPUTED_VALUE"""),6.66)</f>
        <v>6.66</v>
      </c>
      <c r="U254" s="32">
        <f>IFERROR(__xludf.DUMMYFUNCTION("""COMPUTED_VALUE"""),45433.99861111111)</f>
        <v>45433.99861</v>
      </c>
      <c r="V254" s="31">
        <f>IFERROR(__xludf.DUMMYFUNCTION("""COMPUTED_VALUE"""),1.08546)</f>
        <v>1.08546</v>
      </c>
    </row>
    <row r="255" ht="15.75" customHeight="1">
      <c r="A255" s="32">
        <f>IFERROR(__xludf.DUMMYFUNCTION("""COMPUTED_VALUE"""),45551.73611111111)</f>
        <v>45551.73611</v>
      </c>
      <c r="B255" s="31">
        <f>IFERROR(__xludf.DUMMYFUNCTION("""COMPUTED_VALUE"""),98.63)</f>
        <v>98.63</v>
      </c>
      <c r="C255" s="32">
        <f>IFERROR(__xludf.DUMMYFUNCTION("""COMPUTED_VALUE"""),45547.726388888885)</f>
        <v>45547.72639</v>
      </c>
      <c r="D255" s="31">
        <f>IFERROR(__xludf.DUMMYFUNCTION("""COMPUTED_VALUE"""),5.35)</f>
        <v>5.35</v>
      </c>
      <c r="E255" s="32">
        <f>IFERROR(__xludf.DUMMYFUNCTION("""COMPUTED_VALUE"""),45603.73611111111)</f>
        <v>45603.73611</v>
      </c>
      <c r="F255" s="31">
        <f>IFERROR(__xludf.DUMMYFUNCTION("""COMPUTED_VALUE"""),99.84)</f>
        <v>99.84</v>
      </c>
      <c r="G255" s="32">
        <f>IFERROR(__xludf.DUMMYFUNCTION("""COMPUTED_VALUE"""),45545.726388888885)</f>
        <v>45545.72639</v>
      </c>
      <c r="H255" s="31">
        <f>IFERROR(__xludf.DUMMYFUNCTION("""COMPUTED_VALUE"""),5.23)</f>
        <v>5.23</v>
      </c>
      <c r="I255" s="32">
        <f>IFERROR(__xludf.DUMMYFUNCTION("""COMPUTED_VALUE"""),45545.726388888885)</f>
        <v>45545.72639</v>
      </c>
      <c r="J255" s="31">
        <f>IFERROR(__xludf.DUMMYFUNCTION("""COMPUTED_VALUE"""),5.29)</f>
        <v>5.29</v>
      </c>
      <c r="K255" s="32">
        <f>IFERROR(__xludf.DUMMYFUNCTION("""COMPUTED_VALUE"""),45594.73611111111)</f>
        <v>45594.73611</v>
      </c>
      <c r="L255" s="31">
        <f>IFERROR(__xludf.DUMMYFUNCTION("""COMPUTED_VALUE"""),100.33)</f>
        <v>100.33</v>
      </c>
      <c r="M255" s="32">
        <f>IFERROR(__xludf.DUMMYFUNCTION("""COMPUTED_VALUE"""),45545.726388888885)</f>
        <v>45545.72639</v>
      </c>
      <c r="N255" s="31">
        <f>IFERROR(__xludf.DUMMYFUNCTION("""COMPUTED_VALUE"""),5.39)</f>
        <v>5.39</v>
      </c>
      <c r="O255" s="32">
        <f>IFERROR(__xludf.DUMMYFUNCTION("""COMPUTED_VALUE"""),45546.6875)</f>
        <v>45546.6875</v>
      </c>
      <c r="P255" s="31">
        <f>IFERROR(__xludf.DUMMYFUNCTION("""COMPUTED_VALUE"""),574.6)</f>
        <v>574.6</v>
      </c>
      <c r="Q255" s="32">
        <f>IFERROR(__xludf.DUMMYFUNCTION("""COMPUTED_VALUE"""),45548.66666666667)</f>
        <v>45548.66667</v>
      </c>
      <c r="R255" s="31">
        <f>IFERROR(__xludf.DUMMYFUNCTION("""COMPUTED_VALUE"""),23.72)</f>
        <v>23.72</v>
      </c>
      <c r="S255" s="32">
        <f>IFERROR(__xludf.DUMMYFUNCTION("""COMPUTED_VALUE"""),45546.6875)</f>
        <v>45546.6875</v>
      </c>
      <c r="T255" s="31">
        <f>IFERROR(__xludf.DUMMYFUNCTION("""COMPUTED_VALUE"""),6.66)</f>
        <v>6.66</v>
      </c>
      <c r="U255" s="32">
        <f>IFERROR(__xludf.DUMMYFUNCTION("""COMPUTED_VALUE"""),45434.99861111111)</f>
        <v>45434.99861</v>
      </c>
      <c r="V255" s="31">
        <f>IFERROR(__xludf.DUMMYFUNCTION("""COMPUTED_VALUE"""),1.08247)</f>
        <v>1.08247</v>
      </c>
    </row>
    <row r="256" ht="15.75" customHeight="1">
      <c r="A256" s="32">
        <f>IFERROR(__xludf.DUMMYFUNCTION("""COMPUTED_VALUE"""),45552.73611111111)</f>
        <v>45552.73611</v>
      </c>
      <c r="B256" s="31">
        <f>IFERROR(__xludf.DUMMYFUNCTION("""COMPUTED_VALUE"""),98.55)</f>
        <v>98.55</v>
      </c>
      <c r="C256" s="32">
        <f>IFERROR(__xludf.DUMMYFUNCTION("""COMPUTED_VALUE"""),45548.726388888885)</f>
        <v>45548.72639</v>
      </c>
      <c r="D256" s="31">
        <f>IFERROR(__xludf.DUMMYFUNCTION("""COMPUTED_VALUE"""),5.35)</f>
        <v>5.35</v>
      </c>
      <c r="E256" s="32">
        <f>IFERROR(__xludf.DUMMYFUNCTION("""COMPUTED_VALUE"""),45604.73611111111)</f>
        <v>45604.73611</v>
      </c>
      <c r="F256" s="31">
        <f>IFERROR(__xludf.DUMMYFUNCTION("""COMPUTED_VALUE"""),100.34)</f>
        <v>100.34</v>
      </c>
      <c r="G256" s="32">
        <f>IFERROR(__xludf.DUMMYFUNCTION("""COMPUTED_VALUE"""),45546.726388888885)</f>
        <v>45546.72639</v>
      </c>
      <c r="H256" s="31">
        <f>IFERROR(__xludf.DUMMYFUNCTION("""COMPUTED_VALUE"""),5.23)</f>
        <v>5.23</v>
      </c>
      <c r="I256" s="32">
        <f>IFERROR(__xludf.DUMMYFUNCTION("""COMPUTED_VALUE"""),45546.726388888885)</f>
        <v>45546.72639</v>
      </c>
      <c r="J256" s="31">
        <f>IFERROR(__xludf.DUMMYFUNCTION("""COMPUTED_VALUE"""),5.29)</f>
        <v>5.29</v>
      </c>
      <c r="K256" s="32">
        <f>IFERROR(__xludf.DUMMYFUNCTION("""COMPUTED_VALUE"""),45596.73611111111)</f>
        <v>45596.73611</v>
      </c>
      <c r="L256" s="31">
        <f>IFERROR(__xludf.DUMMYFUNCTION("""COMPUTED_VALUE"""),99.96)</f>
        <v>99.96</v>
      </c>
      <c r="M256" s="32">
        <f>IFERROR(__xludf.DUMMYFUNCTION("""COMPUTED_VALUE"""),45546.726388888885)</f>
        <v>45546.72639</v>
      </c>
      <c r="N256" s="31">
        <f>IFERROR(__xludf.DUMMYFUNCTION("""COMPUTED_VALUE"""),5.39)</f>
        <v>5.39</v>
      </c>
      <c r="O256" s="32">
        <f>IFERROR(__xludf.DUMMYFUNCTION("""COMPUTED_VALUE"""),45547.6875)</f>
        <v>45547.6875</v>
      </c>
      <c r="P256" s="31">
        <f>IFERROR(__xludf.DUMMYFUNCTION("""COMPUTED_VALUE"""),587.76)</f>
        <v>587.76</v>
      </c>
      <c r="Q256" s="32">
        <f>IFERROR(__xludf.DUMMYFUNCTION("""COMPUTED_VALUE"""),45551.66666666667)</f>
        <v>45551.66667</v>
      </c>
      <c r="R256" s="31">
        <f>IFERROR(__xludf.DUMMYFUNCTION("""COMPUTED_VALUE"""),23.77)</f>
        <v>23.77</v>
      </c>
      <c r="S256" s="32">
        <f>IFERROR(__xludf.DUMMYFUNCTION("""COMPUTED_VALUE"""),45547.6875)</f>
        <v>45547.6875</v>
      </c>
      <c r="T256" s="31">
        <f>IFERROR(__xludf.DUMMYFUNCTION("""COMPUTED_VALUE"""),6.66)</f>
        <v>6.66</v>
      </c>
      <c r="U256" s="32">
        <f>IFERROR(__xludf.DUMMYFUNCTION("""COMPUTED_VALUE"""),45435.99861111111)</f>
        <v>45435.99861</v>
      </c>
      <c r="V256" s="31">
        <f>IFERROR(__xludf.DUMMYFUNCTION("""COMPUTED_VALUE"""),1.08123)</f>
        <v>1.08123</v>
      </c>
    </row>
    <row r="257" ht="15.75" customHeight="1">
      <c r="A257" s="32">
        <f>IFERROR(__xludf.DUMMYFUNCTION("""COMPUTED_VALUE"""),45553.73611111111)</f>
        <v>45553.73611</v>
      </c>
      <c r="B257" s="31">
        <f>IFERROR(__xludf.DUMMYFUNCTION("""COMPUTED_VALUE"""),98.59)</f>
        <v>98.59</v>
      </c>
      <c r="C257" s="32">
        <f>IFERROR(__xludf.DUMMYFUNCTION("""COMPUTED_VALUE"""),45551.726388888885)</f>
        <v>45551.72639</v>
      </c>
      <c r="D257" s="31">
        <f>IFERROR(__xludf.DUMMYFUNCTION("""COMPUTED_VALUE"""),5.36)</f>
        <v>5.36</v>
      </c>
      <c r="E257" s="32">
        <f>IFERROR(__xludf.DUMMYFUNCTION("""COMPUTED_VALUE"""),45607.73611111111)</f>
        <v>45607.73611</v>
      </c>
      <c r="F257" s="31">
        <f>IFERROR(__xludf.DUMMYFUNCTION("""COMPUTED_VALUE"""),101.14)</f>
        <v>101.14</v>
      </c>
      <c r="G257" s="32">
        <f>IFERROR(__xludf.DUMMYFUNCTION("""COMPUTED_VALUE"""),45547.726388888885)</f>
        <v>45547.72639</v>
      </c>
      <c r="H257" s="31">
        <f>IFERROR(__xludf.DUMMYFUNCTION("""COMPUTED_VALUE"""),5.23)</f>
        <v>5.23</v>
      </c>
      <c r="I257" s="32">
        <f>IFERROR(__xludf.DUMMYFUNCTION("""COMPUTED_VALUE"""),45547.726388888885)</f>
        <v>45547.72639</v>
      </c>
      <c r="J257" s="31">
        <f>IFERROR(__xludf.DUMMYFUNCTION("""COMPUTED_VALUE"""),5.29)</f>
        <v>5.29</v>
      </c>
      <c r="K257" s="32">
        <f>IFERROR(__xludf.DUMMYFUNCTION("""COMPUTED_VALUE"""),45597.73611111111)</f>
        <v>45597.73611</v>
      </c>
      <c r="L257" s="31">
        <f>IFERROR(__xludf.DUMMYFUNCTION("""COMPUTED_VALUE"""),99.99)</f>
        <v>99.99</v>
      </c>
      <c r="M257" s="32">
        <f>IFERROR(__xludf.DUMMYFUNCTION("""COMPUTED_VALUE"""),45547.726388888885)</f>
        <v>45547.72639</v>
      </c>
      <c r="N257" s="31">
        <f>IFERROR(__xludf.DUMMYFUNCTION("""COMPUTED_VALUE"""),5.39)</f>
        <v>5.39</v>
      </c>
      <c r="O257" s="32">
        <f>IFERROR(__xludf.DUMMYFUNCTION("""COMPUTED_VALUE"""),45548.6875)</f>
        <v>45548.6875</v>
      </c>
      <c r="P257" s="31">
        <f>IFERROR(__xludf.DUMMYFUNCTION("""COMPUTED_VALUE"""),595.09)</f>
        <v>595.09</v>
      </c>
      <c r="Q257" s="32">
        <f>IFERROR(__xludf.DUMMYFUNCTION("""COMPUTED_VALUE"""),45552.66666666667)</f>
        <v>45552.66667</v>
      </c>
      <c r="R257" s="31">
        <f>IFERROR(__xludf.DUMMYFUNCTION("""COMPUTED_VALUE"""),23.78)</f>
        <v>23.78</v>
      </c>
      <c r="S257" s="32">
        <f>IFERROR(__xludf.DUMMYFUNCTION("""COMPUTED_VALUE"""),45548.6875)</f>
        <v>45548.6875</v>
      </c>
      <c r="T257" s="31">
        <f>IFERROR(__xludf.DUMMYFUNCTION("""COMPUTED_VALUE"""),6.7)</f>
        <v>6.7</v>
      </c>
      <c r="U257" s="32">
        <f>IFERROR(__xludf.DUMMYFUNCTION("""COMPUTED_VALUE"""),45436.99861111111)</f>
        <v>45436.99861</v>
      </c>
      <c r="V257" s="31">
        <f>IFERROR(__xludf.DUMMYFUNCTION("""COMPUTED_VALUE"""),1.0852)</f>
        <v>1.0852</v>
      </c>
    </row>
    <row r="258" ht="15.75" customHeight="1">
      <c r="A258" s="32">
        <f>IFERROR(__xludf.DUMMYFUNCTION("""COMPUTED_VALUE"""),45554.73611111111)</f>
        <v>45554.73611</v>
      </c>
      <c r="B258" s="31">
        <f>IFERROR(__xludf.DUMMYFUNCTION("""COMPUTED_VALUE"""),98.52)</f>
        <v>98.52</v>
      </c>
      <c r="C258" s="32">
        <f>IFERROR(__xludf.DUMMYFUNCTION("""COMPUTED_VALUE"""),45552.726388888885)</f>
        <v>45552.72639</v>
      </c>
      <c r="D258" s="31">
        <f>IFERROR(__xludf.DUMMYFUNCTION("""COMPUTED_VALUE"""),5.36)</f>
        <v>5.36</v>
      </c>
      <c r="E258" s="32">
        <f>IFERROR(__xludf.DUMMYFUNCTION("""COMPUTED_VALUE"""),45608.73611111111)</f>
        <v>45608.73611</v>
      </c>
      <c r="F258" s="31">
        <f>IFERROR(__xludf.DUMMYFUNCTION("""COMPUTED_VALUE"""),101.4)</f>
        <v>101.4</v>
      </c>
      <c r="G258" s="32">
        <f>IFERROR(__xludf.DUMMYFUNCTION("""COMPUTED_VALUE"""),45548.726388888885)</f>
        <v>45548.72639</v>
      </c>
      <c r="H258" s="31">
        <f>IFERROR(__xludf.DUMMYFUNCTION("""COMPUTED_VALUE"""),5.23)</f>
        <v>5.23</v>
      </c>
      <c r="I258" s="32">
        <f>IFERROR(__xludf.DUMMYFUNCTION("""COMPUTED_VALUE"""),45548.726388888885)</f>
        <v>45548.72639</v>
      </c>
      <c r="J258" s="31">
        <f>IFERROR(__xludf.DUMMYFUNCTION("""COMPUTED_VALUE"""),5.29)</f>
        <v>5.29</v>
      </c>
      <c r="K258" s="32">
        <f>IFERROR(__xludf.DUMMYFUNCTION("""COMPUTED_VALUE"""),45600.73611111111)</f>
        <v>45600.73611</v>
      </c>
      <c r="L258" s="31">
        <f>IFERROR(__xludf.DUMMYFUNCTION("""COMPUTED_VALUE"""),99.54)</f>
        <v>99.54</v>
      </c>
      <c r="M258" s="32">
        <f>IFERROR(__xludf.DUMMYFUNCTION("""COMPUTED_VALUE"""),45548.726388888885)</f>
        <v>45548.72639</v>
      </c>
      <c r="N258" s="31">
        <f>IFERROR(__xludf.DUMMYFUNCTION("""COMPUTED_VALUE"""),5.4)</f>
        <v>5.4</v>
      </c>
      <c r="O258" s="32">
        <f>IFERROR(__xludf.DUMMYFUNCTION("""COMPUTED_VALUE"""),45551.6875)</f>
        <v>45551.6875</v>
      </c>
      <c r="P258" s="31">
        <f>IFERROR(__xludf.DUMMYFUNCTION("""COMPUTED_VALUE"""),594.0)</f>
        <v>594</v>
      </c>
      <c r="Q258" s="32">
        <f>IFERROR(__xludf.DUMMYFUNCTION("""COMPUTED_VALUE"""),45553.66666666667)</f>
        <v>45553.66667</v>
      </c>
      <c r="R258" s="31">
        <f>IFERROR(__xludf.DUMMYFUNCTION("""COMPUTED_VALUE"""),23.8)</f>
        <v>23.8</v>
      </c>
      <c r="S258" s="32">
        <f>IFERROR(__xludf.DUMMYFUNCTION("""COMPUTED_VALUE"""),45551.6875)</f>
        <v>45551.6875</v>
      </c>
      <c r="T258" s="31">
        <f>IFERROR(__xludf.DUMMYFUNCTION("""COMPUTED_VALUE"""),6.72)</f>
        <v>6.72</v>
      </c>
      <c r="U258" s="32">
        <f>IFERROR(__xludf.DUMMYFUNCTION("""COMPUTED_VALUE"""),45437.99861111111)</f>
        <v>45437.99861</v>
      </c>
      <c r="V258" s="31">
        <f>IFERROR(__xludf.DUMMYFUNCTION("""COMPUTED_VALUE"""),1.0847)</f>
        <v>1.0847</v>
      </c>
    </row>
    <row r="259" ht="15.75" customHeight="1">
      <c r="A259" s="32">
        <f>IFERROR(__xludf.DUMMYFUNCTION("""COMPUTED_VALUE"""),45558.73611111111)</f>
        <v>45558.73611</v>
      </c>
      <c r="B259" s="31">
        <f>IFERROR(__xludf.DUMMYFUNCTION("""COMPUTED_VALUE"""),98.49)</f>
        <v>98.49</v>
      </c>
      <c r="C259" s="32">
        <f>IFERROR(__xludf.DUMMYFUNCTION("""COMPUTED_VALUE"""),45553.726388888885)</f>
        <v>45553.72639</v>
      </c>
      <c r="D259" s="31">
        <f>IFERROR(__xludf.DUMMYFUNCTION("""COMPUTED_VALUE"""),5.35)</f>
        <v>5.35</v>
      </c>
      <c r="E259" s="32">
        <f>IFERROR(__xludf.DUMMYFUNCTION("""COMPUTED_VALUE"""),45609.73611111111)</f>
        <v>45609.73611</v>
      </c>
      <c r="F259" s="31">
        <f>IFERROR(__xludf.DUMMYFUNCTION("""COMPUTED_VALUE"""),101.88)</f>
        <v>101.88</v>
      </c>
      <c r="G259" s="32">
        <f>IFERROR(__xludf.DUMMYFUNCTION("""COMPUTED_VALUE"""),45551.726388888885)</f>
        <v>45551.72639</v>
      </c>
      <c r="H259" s="31">
        <f>IFERROR(__xludf.DUMMYFUNCTION("""COMPUTED_VALUE"""),5.24)</f>
        <v>5.24</v>
      </c>
      <c r="I259" s="32">
        <f>IFERROR(__xludf.DUMMYFUNCTION("""COMPUTED_VALUE"""),45551.726388888885)</f>
        <v>45551.72639</v>
      </c>
      <c r="J259" s="31">
        <f>IFERROR(__xludf.DUMMYFUNCTION("""COMPUTED_VALUE"""),5.3)</f>
        <v>5.3</v>
      </c>
      <c r="K259" s="32">
        <f>IFERROR(__xludf.DUMMYFUNCTION("""COMPUTED_VALUE"""),45601.73611111111)</f>
        <v>45601.73611</v>
      </c>
      <c r="L259" s="31">
        <f>IFERROR(__xludf.DUMMYFUNCTION("""COMPUTED_VALUE"""),99.22)</f>
        <v>99.22</v>
      </c>
      <c r="M259" s="32">
        <f>IFERROR(__xludf.DUMMYFUNCTION("""COMPUTED_VALUE"""),45551.726388888885)</f>
        <v>45551.72639</v>
      </c>
      <c r="N259" s="31">
        <f>IFERROR(__xludf.DUMMYFUNCTION("""COMPUTED_VALUE"""),5.41)</f>
        <v>5.41</v>
      </c>
      <c r="O259" s="32">
        <f>IFERROR(__xludf.DUMMYFUNCTION("""COMPUTED_VALUE"""),45552.6875)</f>
        <v>45552.6875</v>
      </c>
      <c r="P259" s="31">
        <f>IFERROR(__xludf.DUMMYFUNCTION("""COMPUTED_VALUE"""),598.21)</f>
        <v>598.21</v>
      </c>
      <c r="Q259" s="32">
        <f>IFERROR(__xludf.DUMMYFUNCTION("""COMPUTED_VALUE"""),45554.66666666667)</f>
        <v>45554.66667</v>
      </c>
      <c r="R259" s="31">
        <f>IFERROR(__xludf.DUMMYFUNCTION("""COMPUTED_VALUE"""),23.92)</f>
        <v>23.92</v>
      </c>
      <c r="S259" s="32">
        <f>IFERROR(__xludf.DUMMYFUNCTION("""COMPUTED_VALUE"""),45552.6875)</f>
        <v>45552.6875</v>
      </c>
      <c r="T259" s="31">
        <f>IFERROR(__xludf.DUMMYFUNCTION("""COMPUTED_VALUE"""),6.73)</f>
        <v>6.73</v>
      </c>
      <c r="U259" s="32">
        <f>IFERROR(__xludf.DUMMYFUNCTION("""COMPUTED_VALUE"""),45438.99861111111)</f>
        <v>45438.99861</v>
      </c>
      <c r="V259" s="31">
        <f>IFERROR(__xludf.DUMMYFUNCTION("""COMPUTED_VALUE"""),1.08471)</f>
        <v>1.08471</v>
      </c>
    </row>
    <row r="260" ht="15.75" customHeight="1">
      <c r="A260" s="32">
        <f>IFERROR(__xludf.DUMMYFUNCTION("""COMPUTED_VALUE"""),45559.73611111111)</f>
        <v>45559.73611</v>
      </c>
      <c r="B260" s="31">
        <f>IFERROR(__xludf.DUMMYFUNCTION("""COMPUTED_VALUE"""),98.37)</f>
        <v>98.37</v>
      </c>
      <c r="C260" s="32">
        <f>IFERROR(__xludf.DUMMYFUNCTION("""COMPUTED_VALUE"""),45554.726388888885)</f>
        <v>45554.72639</v>
      </c>
      <c r="D260" s="31">
        <f>IFERROR(__xludf.DUMMYFUNCTION("""COMPUTED_VALUE"""),5.36)</f>
        <v>5.36</v>
      </c>
      <c r="E260" s="32">
        <f>IFERROR(__xludf.DUMMYFUNCTION("""COMPUTED_VALUE"""),45610.73611111111)</f>
        <v>45610.73611</v>
      </c>
      <c r="F260" s="31">
        <f>IFERROR(__xludf.DUMMYFUNCTION("""COMPUTED_VALUE"""),101.93)</f>
        <v>101.93</v>
      </c>
      <c r="G260" s="32">
        <f>IFERROR(__xludf.DUMMYFUNCTION("""COMPUTED_VALUE"""),45552.726388888885)</f>
        <v>45552.72639</v>
      </c>
      <c r="H260" s="31">
        <f>IFERROR(__xludf.DUMMYFUNCTION("""COMPUTED_VALUE"""),5.24)</f>
        <v>5.24</v>
      </c>
      <c r="I260" s="32">
        <f>IFERROR(__xludf.DUMMYFUNCTION("""COMPUTED_VALUE"""),45552.726388888885)</f>
        <v>45552.72639</v>
      </c>
      <c r="J260" s="31">
        <f>IFERROR(__xludf.DUMMYFUNCTION("""COMPUTED_VALUE"""),5.3)</f>
        <v>5.3</v>
      </c>
      <c r="K260" s="32">
        <f>IFERROR(__xludf.DUMMYFUNCTION("""COMPUTED_VALUE"""),45602.73611111111)</f>
        <v>45602.73611</v>
      </c>
      <c r="L260" s="31">
        <f>IFERROR(__xludf.DUMMYFUNCTION("""COMPUTED_VALUE"""),100.94)</f>
        <v>100.94</v>
      </c>
      <c r="M260" s="32">
        <f>IFERROR(__xludf.DUMMYFUNCTION("""COMPUTED_VALUE"""),45552.726388888885)</f>
        <v>45552.72639</v>
      </c>
      <c r="N260" s="31">
        <f>IFERROR(__xludf.DUMMYFUNCTION("""COMPUTED_VALUE"""),5.4)</f>
        <v>5.4</v>
      </c>
      <c r="O260" s="32">
        <f>IFERROR(__xludf.DUMMYFUNCTION("""COMPUTED_VALUE"""),45553.6875)</f>
        <v>45553.6875</v>
      </c>
      <c r="P260" s="31">
        <f>IFERROR(__xludf.DUMMYFUNCTION("""COMPUTED_VALUE"""),595.16)</f>
        <v>595.16</v>
      </c>
      <c r="Q260" s="32">
        <f>IFERROR(__xludf.DUMMYFUNCTION("""COMPUTED_VALUE"""),45555.66666666667)</f>
        <v>45555.66667</v>
      </c>
      <c r="R260" s="31">
        <f>IFERROR(__xludf.DUMMYFUNCTION("""COMPUTED_VALUE"""),23.99)</f>
        <v>23.99</v>
      </c>
      <c r="S260" s="32">
        <f>IFERROR(__xludf.DUMMYFUNCTION("""COMPUTED_VALUE"""),45553.6875)</f>
        <v>45553.6875</v>
      </c>
      <c r="T260" s="31">
        <f>IFERROR(__xludf.DUMMYFUNCTION("""COMPUTED_VALUE"""),6.72)</f>
        <v>6.72</v>
      </c>
      <c r="U260" s="32">
        <f>IFERROR(__xludf.DUMMYFUNCTION("""COMPUTED_VALUE"""),45439.99861111111)</f>
        <v>45439.99861</v>
      </c>
      <c r="V260" s="31">
        <f>IFERROR(__xludf.DUMMYFUNCTION("""COMPUTED_VALUE"""),1.08613)</f>
        <v>1.08613</v>
      </c>
    </row>
    <row r="261" ht="15.75" customHeight="1">
      <c r="A261" s="32">
        <f>IFERROR(__xludf.DUMMYFUNCTION("""COMPUTED_VALUE"""),45560.73611111111)</f>
        <v>45560.73611</v>
      </c>
      <c r="B261" s="31">
        <f>IFERROR(__xludf.DUMMYFUNCTION("""COMPUTED_VALUE"""),98.2)</f>
        <v>98.2</v>
      </c>
      <c r="C261" s="32">
        <f>IFERROR(__xludf.DUMMYFUNCTION("""COMPUTED_VALUE"""),45555.726388888885)</f>
        <v>45555.72639</v>
      </c>
      <c r="D261" s="31">
        <f>IFERROR(__xludf.DUMMYFUNCTION("""COMPUTED_VALUE"""),5.35)</f>
        <v>5.35</v>
      </c>
      <c r="E261" s="32">
        <f>IFERROR(__xludf.DUMMYFUNCTION("""COMPUTED_VALUE"""),45611.73611111111)</f>
        <v>45611.73611</v>
      </c>
      <c r="F261" s="31">
        <f>IFERROR(__xludf.DUMMYFUNCTION("""COMPUTED_VALUE"""),102.09)</f>
        <v>102.09</v>
      </c>
      <c r="G261" s="32">
        <f>IFERROR(__xludf.DUMMYFUNCTION("""COMPUTED_VALUE"""),45553.726388888885)</f>
        <v>45553.72639</v>
      </c>
      <c r="H261" s="31">
        <f>IFERROR(__xludf.DUMMYFUNCTION("""COMPUTED_VALUE"""),5.24)</f>
        <v>5.24</v>
      </c>
      <c r="I261" s="32">
        <f>IFERROR(__xludf.DUMMYFUNCTION("""COMPUTED_VALUE"""),45553.726388888885)</f>
        <v>45553.72639</v>
      </c>
      <c r="J261" s="31">
        <f>IFERROR(__xludf.DUMMYFUNCTION("""COMPUTED_VALUE"""),5.29)</f>
        <v>5.29</v>
      </c>
      <c r="K261" s="32">
        <f>IFERROR(__xludf.DUMMYFUNCTION("""COMPUTED_VALUE"""),45603.73611111111)</f>
        <v>45603.73611</v>
      </c>
      <c r="L261" s="31">
        <f>IFERROR(__xludf.DUMMYFUNCTION("""COMPUTED_VALUE"""),100.69)</f>
        <v>100.69</v>
      </c>
      <c r="M261" s="32">
        <f>IFERROR(__xludf.DUMMYFUNCTION("""COMPUTED_VALUE"""),45553.726388888885)</f>
        <v>45553.72639</v>
      </c>
      <c r="N261" s="31">
        <f>IFERROR(__xludf.DUMMYFUNCTION("""COMPUTED_VALUE"""),5.39)</f>
        <v>5.39</v>
      </c>
      <c r="O261" s="32">
        <f>IFERROR(__xludf.DUMMYFUNCTION("""COMPUTED_VALUE"""),45554.6875)</f>
        <v>45554.6875</v>
      </c>
      <c r="P261" s="31">
        <f>IFERROR(__xludf.DUMMYFUNCTION("""COMPUTED_VALUE"""),604.31)</f>
        <v>604.31</v>
      </c>
      <c r="Q261" s="32">
        <f>IFERROR(__xludf.DUMMYFUNCTION("""COMPUTED_VALUE"""),45558.66666666667)</f>
        <v>45558.66667</v>
      </c>
      <c r="R261" s="31">
        <f>IFERROR(__xludf.DUMMYFUNCTION("""COMPUTED_VALUE"""),23.95)</f>
        <v>23.95</v>
      </c>
      <c r="S261" s="32">
        <f>IFERROR(__xludf.DUMMYFUNCTION("""COMPUTED_VALUE"""),45554.6875)</f>
        <v>45554.6875</v>
      </c>
      <c r="T261" s="31">
        <f>IFERROR(__xludf.DUMMYFUNCTION("""COMPUTED_VALUE"""),6.76)</f>
        <v>6.76</v>
      </c>
      <c r="U261" s="32">
        <f>IFERROR(__xludf.DUMMYFUNCTION("""COMPUTED_VALUE"""),45440.99861111111)</f>
        <v>45440.99861</v>
      </c>
      <c r="V261" s="31">
        <f>IFERROR(__xludf.DUMMYFUNCTION("""COMPUTED_VALUE"""),1.0852)</f>
        <v>1.0852</v>
      </c>
    </row>
    <row r="262" ht="15.75" customHeight="1">
      <c r="A262" s="32">
        <f>IFERROR(__xludf.DUMMYFUNCTION("""COMPUTED_VALUE"""),45561.73611111111)</f>
        <v>45561.73611</v>
      </c>
      <c r="B262" s="31">
        <f>IFERROR(__xludf.DUMMYFUNCTION("""COMPUTED_VALUE"""),97.95)</f>
        <v>97.95</v>
      </c>
      <c r="C262" s="32">
        <f>IFERROR(__xludf.DUMMYFUNCTION("""COMPUTED_VALUE"""),45558.726388888885)</f>
        <v>45558.72639</v>
      </c>
      <c r="D262" s="31">
        <f>IFERROR(__xludf.DUMMYFUNCTION("""COMPUTED_VALUE"""),5.37)</f>
        <v>5.37</v>
      </c>
      <c r="E262" s="32">
        <f>IFERROR(__xludf.DUMMYFUNCTION("""COMPUTED_VALUE"""),45614.73611111111)</f>
        <v>45614.73611</v>
      </c>
      <c r="F262" s="31">
        <f>IFERROR(__xludf.DUMMYFUNCTION("""COMPUTED_VALUE"""),101.98)</f>
        <v>101.98</v>
      </c>
      <c r="G262" s="32">
        <f>IFERROR(__xludf.DUMMYFUNCTION("""COMPUTED_VALUE"""),45554.726388888885)</f>
        <v>45554.72639</v>
      </c>
      <c r="H262" s="31">
        <f>IFERROR(__xludf.DUMMYFUNCTION("""COMPUTED_VALUE"""),5.24)</f>
        <v>5.24</v>
      </c>
      <c r="I262" s="32">
        <f>IFERROR(__xludf.DUMMYFUNCTION("""COMPUTED_VALUE"""),45554.726388888885)</f>
        <v>45554.72639</v>
      </c>
      <c r="J262" s="31">
        <f>IFERROR(__xludf.DUMMYFUNCTION("""COMPUTED_VALUE"""),5.3)</f>
        <v>5.3</v>
      </c>
      <c r="K262" s="32">
        <f>IFERROR(__xludf.DUMMYFUNCTION("""COMPUTED_VALUE"""),45604.73611111111)</f>
        <v>45604.73611</v>
      </c>
      <c r="L262" s="31">
        <f>IFERROR(__xludf.DUMMYFUNCTION("""COMPUTED_VALUE"""),101.26)</f>
        <v>101.26</v>
      </c>
      <c r="M262" s="32">
        <f>IFERROR(__xludf.DUMMYFUNCTION("""COMPUTED_VALUE"""),45554.726388888885)</f>
        <v>45554.72639</v>
      </c>
      <c r="N262" s="31">
        <f>IFERROR(__xludf.DUMMYFUNCTION("""COMPUTED_VALUE"""),5.4)</f>
        <v>5.4</v>
      </c>
      <c r="O262" s="32">
        <f>IFERROR(__xludf.DUMMYFUNCTION("""COMPUTED_VALUE"""),45555.6875)</f>
        <v>45555.6875</v>
      </c>
      <c r="P262" s="31">
        <f>IFERROR(__xludf.DUMMYFUNCTION("""COMPUTED_VALUE"""),601.82)</f>
        <v>601.82</v>
      </c>
      <c r="Q262" s="32">
        <f>IFERROR(__xludf.DUMMYFUNCTION("""COMPUTED_VALUE"""),45559.66666666667)</f>
        <v>45559.66667</v>
      </c>
      <c r="R262" s="31">
        <f>IFERROR(__xludf.DUMMYFUNCTION("""COMPUTED_VALUE"""),23.96)</f>
        <v>23.96</v>
      </c>
      <c r="S262" s="32">
        <f>IFERROR(__xludf.DUMMYFUNCTION("""COMPUTED_VALUE"""),45555.6875)</f>
        <v>45555.6875</v>
      </c>
      <c r="T262" s="31">
        <f>IFERROR(__xludf.DUMMYFUNCTION("""COMPUTED_VALUE"""),6.74)</f>
        <v>6.74</v>
      </c>
      <c r="U262" s="32">
        <f>IFERROR(__xludf.DUMMYFUNCTION("""COMPUTED_VALUE"""),45441.99861111111)</f>
        <v>45441.99861</v>
      </c>
      <c r="V262" s="31">
        <f>IFERROR(__xludf.DUMMYFUNCTION("""COMPUTED_VALUE"""),1.08012)</f>
        <v>1.08012</v>
      </c>
    </row>
    <row r="263" ht="15.75" customHeight="1">
      <c r="A263" s="32">
        <f>IFERROR(__xludf.DUMMYFUNCTION("""COMPUTED_VALUE"""),45562.73611111111)</f>
        <v>45562.73611</v>
      </c>
      <c r="B263" s="31">
        <f>IFERROR(__xludf.DUMMYFUNCTION("""COMPUTED_VALUE"""),98.19)</f>
        <v>98.19</v>
      </c>
      <c r="C263" s="32">
        <f>IFERROR(__xludf.DUMMYFUNCTION("""COMPUTED_VALUE"""),45559.726388888885)</f>
        <v>45559.72639</v>
      </c>
      <c r="D263" s="31">
        <f>IFERROR(__xludf.DUMMYFUNCTION("""COMPUTED_VALUE"""),5.37)</f>
        <v>5.37</v>
      </c>
      <c r="E263" s="32">
        <f>IFERROR(__xludf.DUMMYFUNCTION("""COMPUTED_VALUE"""),45616.73611111111)</f>
        <v>45616.73611</v>
      </c>
      <c r="F263" s="31">
        <f>IFERROR(__xludf.DUMMYFUNCTION("""COMPUTED_VALUE"""),102.49)</f>
        <v>102.49</v>
      </c>
      <c r="G263" s="32">
        <f>IFERROR(__xludf.DUMMYFUNCTION("""COMPUTED_VALUE"""),45555.726388888885)</f>
        <v>45555.72639</v>
      </c>
      <c r="H263" s="31">
        <f>IFERROR(__xludf.DUMMYFUNCTION("""COMPUTED_VALUE"""),5.24)</f>
        <v>5.24</v>
      </c>
      <c r="I263" s="32">
        <f>IFERROR(__xludf.DUMMYFUNCTION("""COMPUTED_VALUE"""),45555.726388888885)</f>
        <v>45555.72639</v>
      </c>
      <c r="J263" s="31">
        <f>IFERROR(__xludf.DUMMYFUNCTION("""COMPUTED_VALUE"""),5.3)</f>
        <v>5.3</v>
      </c>
      <c r="K263" s="32">
        <f>IFERROR(__xludf.DUMMYFUNCTION("""COMPUTED_VALUE"""),45607.73611111111)</f>
        <v>45607.73611</v>
      </c>
      <c r="L263" s="31">
        <f>IFERROR(__xludf.DUMMYFUNCTION("""COMPUTED_VALUE"""),101.97)</f>
        <v>101.97</v>
      </c>
      <c r="M263" s="32">
        <f>IFERROR(__xludf.DUMMYFUNCTION("""COMPUTED_VALUE"""),45555.726388888885)</f>
        <v>45555.72639</v>
      </c>
      <c r="N263" s="31">
        <f>IFERROR(__xludf.DUMMYFUNCTION("""COMPUTED_VALUE"""),5.39)</f>
        <v>5.39</v>
      </c>
      <c r="O263" s="32">
        <f>IFERROR(__xludf.DUMMYFUNCTION("""COMPUTED_VALUE"""),45558.6875)</f>
        <v>45558.6875</v>
      </c>
      <c r="P263" s="31">
        <f>IFERROR(__xludf.DUMMYFUNCTION("""COMPUTED_VALUE"""),605.07)</f>
        <v>605.07</v>
      </c>
      <c r="Q263" s="32">
        <f>IFERROR(__xludf.DUMMYFUNCTION("""COMPUTED_VALUE"""),45560.66666666667)</f>
        <v>45560.66667</v>
      </c>
      <c r="R263" s="31">
        <f>IFERROR(__xludf.DUMMYFUNCTION("""COMPUTED_VALUE"""),23.88)</f>
        <v>23.88</v>
      </c>
      <c r="S263" s="32">
        <f>IFERROR(__xludf.DUMMYFUNCTION("""COMPUTED_VALUE"""),45558.6875)</f>
        <v>45558.6875</v>
      </c>
      <c r="T263" s="31">
        <f>IFERROR(__xludf.DUMMYFUNCTION("""COMPUTED_VALUE"""),6.74)</f>
        <v>6.74</v>
      </c>
      <c r="U263" s="32">
        <f>IFERROR(__xludf.DUMMYFUNCTION("""COMPUTED_VALUE"""),45442.99861111111)</f>
        <v>45442.99861</v>
      </c>
      <c r="V263" s="31">
        <f>IFERROR(__xludf.DUMMYFUNCTION("""COMPUTED_VALUE"""),1.08312)</f>
        <v>1.08312</v>
      </c>
    </row>
    <row r="264" ht="15.75" customHeight="1">
      <c r="A264" s="32">
        <f>IFERROR(__xludf.DUMMYFUNCTION("""COMPUTED_VALUE"""),45565.73611111111)</f>
        <v>45565.73611</v>
      </c>
      <c r="B264" s="31">
        <f>IFERROR(__xludf.DUMMYFUNCTION("""COMPUTED_VALUE"""),98.29)</f>
        <v>98.29</v>
      </c>
      <c r="C264" s="32">
        <f>IFERROR(__xludf.DUMMYFUNCTION("""COMPUTED_VALUE"""),45560.726388888885)</f>
        <v>45560.72639</v>
      </c>
      <c r="D264" s="31">
        <f>IFERROR(__xludf.DUMMYFUNCTION("""COMPUTED_VALUE"""),5.37)</f>
        <v>5.37</v>
      </c>
      <c r="E264" s="32"/>
      <c r="G264" s="32">
        <f>IFERROR(__xludf.DUMMYFUNCTION("""COMPUTED_VALUE"""),45558.726388888885)</f>
        <v>45558.72639</v>
      </c>
      <c r="H264" s="31">
        <f>IFERROR(__xludf.DUMMYFUNCTION("""COMPUTED_VALUE"""),5.24)</f>
        <v>5.24</v>
      </c>
      <c r="I264" s="32">
        <f>IFERROR(__xludf.DUMMYFUNCTION("""COMPUTED_VALUE"""),45558.726388888885)</f>
        <v>45558.72639</v>
      </c>
      <c r="J264" s="31">
        <f>IFERROR(__xludf.DUMMYFUNCTION("""COMPUTED_VALUE"""),5.31)</f>
        <v>5.31</v>
      </c>
      <c r="K264" s="32">
        <f>IFERROR(__xludf.DUMMYFUNCTION("""COMPUTED_VALUE"""),45608.73611111111)</f>
        <v>45608.73611</v>
      </c>
      <c r="L264" s="31">
        <f>IFERROR(__xludf.DUMMYFUNCTION("""COMPUTED_VALUE"""),102.15)</f>
        <v>102.15</v>
      </c>
      <c r="M264" s="32">
        <f>IFERROR(__xludf.DUMMYFUNCTION("""COMPUTED_VALUE"""),45558.726388888885)</f>
        <v>45558.72639</v>
      </c>
      <c r="N264" s="31">
        <f>IFERROR(__xludf.DUMMYFUNCTION("""COMPUTED_VALUE"""),5.41)</f>
        <v>5.41</v>
      </c>
      <c r="O264" s="32">
        <f>IFERROR(__xludf.DUMMYFUNCTION("""COMPUTED_VALUE"""),45559.6875)</f>
        <v>45559.6875</v>
      </c>
      <c r="P264" s="31">
        <f>IFERROR(__xludf.DUMMYFUNCTION("""COMPUTED_VALUE"""),605.29)</f>
        <v>605.29</v>
      </c>
      <c r="Q264" s="32">
        <f>IFERROR(__xludf.DUMMYFUNCTION("""COMPUTED_VALUE"""),45561.66666666667)</f>
        <v>45561.66667</v>
      </c>
      <c r="R264" s="31">
        <f>IFERROR(__xludf.DUMMYFUNCTION("""COMPUTED_VALUE"""),23.87)</f>
        <v>23.87</v>
      </c>
      <c r="S264" s="32">
        <f>IFERROR(__xludf.DUMMYFUNCTION("""COMPUTED_VALUE"""),45559.6875)</f>
        <v>45559.6875</v>
      </c>
      <c r="T264" s="31">
        <f>IFERROR(__xludf.DUMMYFUNCTION("""COMPUTED_VALUE"""),6.74)</f>
        <v>6.74</v>
      </c>
      <c r="U264" s="32">
        <f>IFERROR(__xludf.DUMMYFUNCTION("""COMPUTED_VALUE"""),45443.99861111111)</f>
        <v>45443.99861</v>
      </c>
      <c r="V264" s="31">
        <f>IFERROR(__xludf.DUMMYFUNCTION("""COMPUTED_VALUE"""),1.0856)</f>
        <v>1.0856</v>
      </c>
    </row>
    <row r="265" ht="15.75" customHeight="1">
      <c r="A265" s="32">
        <f>IFERROR(__xludf.DUMMYFUNCTION("""COMPUTED_VALUE"""),45566.73611111111)</f>
        <v>45566.73611</v>
      </c>
      <c r="B265" s="31">
        <f>IFERROR(__xludf.DUMMYFUNCTION("""COMPUTED_VALUE"""),99.11)</f>
        <v>99.11</v>
      </c>
      <c r="C265" s="32">
        <f>IFERROR(__xludf.DUMMYFUNCTION("""COMPUTED_VALUE"""),45561.726388888885)</f>
        <v>45561.72639</v>
      </c>
      <c r="D265" s="31">
        <f>IFERROR(__xludf.DUMMYFUNCTION("""COMPUTED_VALUE"""),5.37)</f>
        <v>5.37</v>
      </c>
      <c r="E265" s="32"/>
      <c r="G265" s="32">
        <f>IFERROR(__xludf.DUMMYFUNCTION("""COMPUTED_VALUE"""),45559.726388888885)</f>
        <v>45559.72639</v>
      </c>
      <c r="H265" s="31">
        <f>IFERROR(__xludf.DUMMYFUNCTION("""COMPUTED_VALUE"""),5.25)</f>
        <v>5.25</v>
      </c>
      <c r="I265" s="32">
        <f>IFERROR(__xludf.DUMMYFUNCTION("""COMPUTED_VALUE"""),45559.726388888885)</f>
        <v>45559.72639</v>
      </c>
      <c r="J265" s="31">
        <f>IFERROR(__xludf.DUMMYFUNCTION("""COMPUTED_VALUE"""),5.31)</f>
        <v>5.31</v>
      </c>
      <c r="K265" s="32">
        <f>IFERROR(__xludf.DUMMYFUNCTION("""COMPUTED_VALUE"""),45609.73611111111)</f>
        <v>45609.73611</v>
      </c>
      <c r="L265" s="31">
        <f>IFERROR(__xludf.DUMMYFUNCTION("""COMPUTED_VALUE"""),102.55)</f>
        <v>102.55</v>
      </c>
      <c r="M265" s="32">
        <f>IFERROR(__xludf.DUMMYFUNCTION("""COMPUTED_VALUE"""),45559.726388888885)</f>
        <v>45559.72639</v>
      </c>
      <c r="N265" s="31">
        <f>IFERROR(__xludf.DUMMYFUNCTION("""COMPUTED_VALUE"""),5.42)</f>
        <v>5.42</v>
      </c>
      <c r="O265" s="32">
        <f>IFERROR(__xludf.DUMMYFUNCTION("""COMPUTED_VALUE"""),45560.6875)</f>
        <v>45560.6875</v>
      </c>
      <c r="P265" s="31">
        <f>IFERROR(__xludf.DUMMYFUNCTION("""COMPUTED_VALUE"""),606.02)</f>
        <v>606.02</v>
      </c>
      <c r="Q265" s="32">
        <f>IFERROR(__xludf.DUMMYFUNCTION("""COMPUTED_VALUE"""),45562.66666666667)</f>
        <v>45562.66667</v>
      </c>
      <c r="R265" s="31">
        <f>IFERROR(__xludf.DUMMYFUNCTION("""COMPUTED_VALUE"""),23.89)</f>
        <v>23.89</v>
      </c>
      <c r="S265" s="32">
        <f>IFERROR(__xludf.DUMMYFUNCTION("""COMPUTED_VALUE"""),45560.6875)</f>
        <v>45560.6875</v>
      </c>
      <c r="T265" s="31">
        <f>IFERROR(__xludf.DUMMYFUNCTION("""COMPUTED_VALUE"""),6.73)</f>
        <v>6.73</v>
      </c>
      <c r="U265" s="32">
        <f>IFERROR(__xludf.DUMMYFUNCTION("""COMPUTED_VALUE"""),45444.99861111111)</f>
        <v>45444.99861</v>
      </c>
      <c r="V265" s="31">
        <f>IFERROR(__xludf.DUMMYFUNCTION("""COMPUTED_VALUE"""),1.0855)</f>
        <v>1.0855</v>
      </c>
    </row>
    <row r="266" ht="15.75" customHeight="1">
      <c r="A266" s="32">
        <f>IFERROR(__xludf.DUMMYFUNCTION("""COMPUTED_VALUE"""),45567.73611111111)</f>
        <v>45567.73611</v>
      </c>
      <c r="B266" s="31">
        <f>IFERROR(__xludf.DUMMYFUNCTION("""COMPUTED_VALUE"""),99.38)</f>
        <v>99.38</v>
      </c>
      <c r="C266" s="32">
        <f>IFERROR(__xludf.DUMMYFUNCTION("""COMPUTED_VALUE"""),45562.726388888885)</f>
        <v>45562.72639</v>
      </c>
      <c r="D266" s="31">
        <f>IFERROR(__xludf.DUMMYFUNCTION("""COMPUTED_VALUE"""),5.38)</f>
        <v>5.38</v>
      </c>
      <c r="E266" s="32"/>
      <c r="G266" s="32">
        <f>IFERROR(__xludf.DUMMYFUNCTION("""COMPUTED_VALUE"""),45560.726388888885)</f>
        <v>45560.72639</v>
      </c>
      <c r="H266" s="31">
        <f>IFERROR(__xludf.DUMMYFUNCTION("""COMPUTED_VALUE"""),5.24)</f>
        <v>5.24</v>
      </c>
      <c r="I266" s="32">
        <f>IFERROR(__xludf.DUMMYFUNCTION("""COMPUTED_VALUE"""),45560.726388888885)</f>
        <v>45560.72639</v>
      </c>
      <c r="J266" s="31">
        <f>IFERROR(__xludf.DUMMYFUNCTION("""COMPUTED_VALUE"""),5.31)</f>
        <v>5.31</v>
      </c>
      <c r="K266" s="32">
        <f>IFERROR(__xludf.DUMMYFUNCTION("""COMPUTED_VALUE"""),45610.73611111111)</f>
        <v>45610.73611</v>
      </c>
      <c r="L266" s="31">
        <f>IFERROR(__xludf.DUMMYFUNCTION("""COMPUTED_VALUE"""),102.55)</f>
        <v>102.55</v>
      </c>
      <c r="M266" s="32">
        <f>IFERROR(__xludf.DUMMYFUNCTION("""COMPUTED_VALUE"""),45560.726388888885)</f>
        <v>45560.72639</v>
      </c>
      <c r="N266" s="31">
        <f>IFERROR(__xludf.DUMMYFUNCTION("""COMPUTED_VALUE"""),5.41)</f>
        <v>5.41</v>
      </c>
      <c r="O266" s="32">
        <f>IFERROR(__xludf.DUMMYFUNCTION("""COMPUTED_VALUE"""),45561.6875)</f>
        <v>45561.6875</v>
      </c>
      <c r="P266" s="31">
        <f>IFERROR(__xludf.DUMMYFUNCTION("""COMPUTED_VALUE"""),606.52)</f>
        <v>606.52</v>
      </c>
      <c r="Q266" s="32">
        <f>IFERROR(__xludf.DUMMYFUNCTION("""COMPUTED_VALUE"""),45565.66666666667)</f>
        <v>45565.66667</v>
      </c>
      <c r="R266" s="31">
        <f>IFERROR(__xludf.DUMMYFUNCTION("""COMPUTED_VALUE"""),23.92)</f>
        <v>23.92</v>
      </c>
      <c r="S266" s="32">
        <f>IFERROR(__xludf.DUMMYFUNCTION("""COMPUTED_VALUE"""),45561.6875)</f>
        <v>45561.6875</v>
      </c>
      <c r="T266" s="31">
        <f>IFERROR(__xludf.DUMMYFUNCTION("""COMPUTED_VALUE"""),6.74)</f>
        <v>6.74</v>
      </c>
      <c r="U266" s="32">
        <f>IFERROR(__xludf.DUMMYFUNCTION("""COMPUTED_VALUE"""),45445.99861111111)</f>
        <v>45445.99861</v>
      </c>
      <c r="V266" s="31">
        <f>IFERROR(__xludf.DUMMYFUNCTION("""COMPUTED_VALUE"""),1.08524)</f>
        <v>1.08524</v>
      </c>
    </row>
    <row r="267" ht="15.75" customHeight="1">
      <c r="A267" s="32">
        <f>IFERROR(__xludf.DUMMYFUNCTION("""COMPUTED_VALUE"""),45568.73611111111)</f>
        <v>45568.73611</v>
      </c>
      <c r="B267" s="31">
        <f>IFERROR(__xludf.DUMMYFUNCTION("""COMPUTED_VALUE"""),99.45)</f>
        <v>99.45</v>
      </c>
      <c r="C267" s="32">
        <f>IFERROR(__xludf.DUMMYFUNCTION("""COMPUTED_VALUE"""),45565.726388888885)</f>
        <v>45565.72639</v>
      </c>
      <c r="D267" s="31">
        <f>IFERROR(__xludf.DUMMYFUNCTION("""COMPUTED_VALUE"""),5.38)</f>
        <v>5.38</v>
      </c>
      <c r="E267" s="32"/>
      <c r="G267" s="32">
        <f>IFERROR(__xludf.DUMMYFUNCTION("""COMPUTED_VALUE"""),45561.726388888885)</f>
        <v>45561.72639</v>
      </c>
      <c r="H267" s="31">
        <f>IFERROR(__xludf.DUMMYFUNCTION("""COMPUTED_VALUE"""),5.25)</f>
        <v>5.25</v>
      </c>
      <c r="I267" s="32">
        <f>IFERROR(__xludf.DUMMYFUNCTION("""COMPUTED_VALUE"""),45561.726388888885)</f>
        <v>45561.72639</v>
      </c>
      <c r="J267" s="31">
        <f>IFERROR(__xludf.DUMMYFUNCTION("""COMPUTED_VALUE"""),5.31)</f>
        <v>5.31</v>
      </c>
      <c r="K267" s="32">
        <f>IFERROR(__xludf.DUMMYFUNCTION("""COMPUTED_VALUE"""),45611.73611111111)</f>
        <v>45611.73611</v>
      </c>
      <c r="L267" s="31">
        <f>IFERROR(__xludf.DUMMYFUNCTION("""COMPUTED_VALUE"""),102.68)</f>
        <v>102.68</v>
      </c>
      <c r="M267" s="32">
        <f>IFERROR(__xludf.DUMMYFUNCTION("""COMPUTED_VALUE"""),45561.726388888885)</f>
        <v>45561.72639</v>
      </c>
      <c r="N267" s="31">
        <f>IFERROR(__xludf.DUMMYFUNCTION("""COMPUTED_VALUE"""),5.41)</f>
        <v>5.41</v>
      </c>
      <c r="O267" s="32">
        <f>IFERROR(__xludf.DUMMYFUNCTION("""COMPUTED_VALUE"""),45562.6875)</f>
        <v>45562.6875</v>
      </c>
      <c r="P267" s="31">
        <f>IFERROR(__xludf.DUMMYFUNCTION("""COMPUTED_VALUE"""),608.25)</f>
        <v>608.25</v>
      </c>
      <c r="Q267" s="32">
        <f>IFERROR(__xludf.DUMMYFUNCTION("""COMPUTED_VALUE"""),45566.66666666667)</f>
        <v>45566.66667</v>
      </c>
      <c r="R267" s="31">
        <f>IFERROR(__xludf.DUMMYFUNCTION("""COMPUTED_VALUE"""),23.76)</f>
        <v>23.76</v>
      </c>
      <c r="S267" s="32">
        <f>IFERROR(__xludf.DUMMYFUNCTION("""COMPUTED_VALUE"""),45562.6875)</f>
        <v>45562.6875</v>
      </c>
      <c r="T267" s="31">
        <f>IFERROR(__xludf.DUMMYFUNCTION("""COMPUTED_VALUE"""),6.77)</f>
        <v>6.77</v>
      </c>
      <c r="U267" s="32">
        <f>IFERROR(__xludf.DUMMYFUNCTION("""COMPUTED_VALUE"""),45446.99861111111)</f>
        <v>45446.99861</v>
      </c>
      <c r="V267" s="31">
        <f>IFERROR(__xludf.DUMMYFUNCTION("""COMPUTED_VALUE"""),1.0905)</f>
        <v>1.0905</v>
      </c>
    </row>
    <row r="268" ht="15.75" customHeight="1">
      <c r="A268" s="32">
        <f>IFERROR(__xludf.DUMMYFUNCTION("""COMPUTED_VALUE"""),45569.73611111111)</f>
        <v>45569.73611</v>
      </c>
      <c r="B268" s="31">
        <f>IFERROR(__xludf.DUMMYFUNCTION("""COMPUTED_VALUE"""),99.24)</f>
        <v>99.24</v>
      </c>
      <c r="C268" s="32">
        <f>IFERROR(__xludf.DUMMYFUNCTION("""COMPUTED_VALUE"""),45566.726388888885)</f>
        <v>45566.72639</v>
      </c>
      <c r="D268" s="31">
        <f>IFERROR(__xludf.DUMMYFUNCTION("""COMPUTED_VALUE"""),5.39)</f>
        <v>5.39</v>
      </c>
      <c r="E268" s="32"/>
      <c r="G268" s="32">
        <f>IFERROR(__xludf.DUMMYFUNCTION("""COMPUTED_VALUE"""),45562.726388888885)</f>
        <v>45562.72639</v>
      </c>
      <c r="H268" s="31">
        <f>IFERROR(__xludf.DUMMYFUNCTION("""COMPUTED_VALUE"""),5.26)</f>
        <v>5.26</v>
      </c>
      <c r="I268" s="32">
        <f>IFERROR(__xludf.DUMMYFUNCTION("""COMPUTED_VALUE"""),45562.726388888885)</f>
        <v>45562.72639</v>
      </c>
      <c r="J268" s="31">
        <f>IFERROR(__xludf.DUMMYFUNCTION("""COMPUTED_VALUE"""),5.31)</f>
        <v>5.31</v>
      </c>
      <c r="K268" s="32">
        <f>IFERROR(__xludf.DUMMYFUNCTION("""COMPUTED_VALUE"""),45615.73611111111)</f>
        <v>45615.73611</v>
      </c>
      <c r="L268" s="31">
        <f>IFERROR(__xludf.DUMMYFUNCTION("""COMPUTED_VALUE"""),102.54)</f>
        <v>102.54</v>
      </c>
      <c r="M268" s="32">
        <f>IFERROR(__xludf.DUMMYFUNCTION("""COMPUTED_VALUE"""),45562.726388888885)</f>
        <v>45562.72639</v>
      </c>
      <c r="N268" s="31">
        <f>IFERROR(__xludf.DUMMYFUNCTION("""COMPUTED_VALUE"""),5.42)</f>
        <v>5.42</v>
      </c>
      <c r="O268" s="32">
        <f>IFERROR(__xludf.DUMMYFUNCTION("""COMPUTED_VALUE"""),45565.6875)</f>
        <v>45565.6875</v>
      </c>
      <c r="P268" s="31">
        <f>IFERROR(__xludf.DUMMYFUNCTION("""COMPUTED_VALUE"""),607.18)</f>
        <v>607.18</v>
      </c>
      <c r="Q268" s="32">
        <f>IFERROR(__xludf.DUMMYFUNCTION("""COMPUTED_VALUE"""),45567.66666666667)</f>
        <v>45567.66667</v>
      </c>
      <c r="R268" s="31">
        <f>IFERROR(__xludf.DUMMYFUNCTION("""COMPUTED_VALUE"""),23.76)</f>
        <v>23.76</v>
      </c>
      <c r="S268" s="32">
        <f>IFERROR(__xludf.DUMMYFUNCTION("""COMPUTED_VALUE"""),45565.6875)</f>
        <v>45565.6875</v>
      </c>
      <c r="T268" s="31">
        <f>IFERROR(__xludf.DUMMYFUNCTION("""COMPUTED_VALUE"""),6.77)</f>
        <v>6.77</v>
      </c>
      <c r="U268" s="32">
        <f>IFERROR(__xludf.DUMMYFUNCTION("""COMPUTED_VALUE"""),45447.99861111111)</f>
        <v>45447.99861</v>
      </c>
      <c r="V268" s="31">
        <f>IFERROR(__xludf.DUMMYFUNCTION("""COMPUTED_VALUE"""),1.08813)</f>
        <v>1.08813</v>
      </c>
    </row>
    <row r="269" ht="15.75" customHeight="1">
      <c r="A269" s="32">
        <f>IFERROR(__xludf.DUMMYFUNCTION("""COMPUTED_VALUE"""),45572.73611111111)</f>
        <v>45572.73611</v>
      </c>
      <c r="B269" s="31">
        <f>IFERROR(__xludf.DUMMYFUNCTION("""COMPUTED_VALUE"""),99.14)</f>
        <v>99.14</v>
      </c>
      <c r="C269" s="32">
        <f>IFERROR(__xludf.DUMMYFUNCTION("""COMPUTED_VALUE"""),45567.726388888885)</f>
        <v>45567.72639</v>
      </c>
      <c r="D269" s="31">
        <f>IFERROR(__xludf.DUMMYFUNCTION("""COMPUTED_VALUE"""),5.39)</f>
        <v>5.39</v>
      </c>
      <c r="E269" s="32"/>
      <c r="G269" s="32">
        <f>IFERROR(__xludf.DUMMYFUNCTION("""COMPUTED_VALUE"""),45565.726388888885)</f>
        <v>45565.72639</v>
      </c>
      <c r="H269" s="31">
        <f>IFERROR(__xludf.DUMMYFUNCTION("""COMPUTED_VALUE"""),5.24)</f>
        <v>5.24</v>
      </c>
      <c r="I269" s="32">
        <f>IFERROR(__xludf.DUMMYFUNCTION("""COMPUTED_VALUE"""),45565.726388888885)</f>
        <v>45565.72639</v>
      </c>
      <c r="J269" s="31">
        <f>IFERROR(__xludf.DUMMYFUNCTION("""COMPUTED_VALUE"""),5.32)</f>
        <v>5.32</v>
      </c>
      <c r="K269" s="32">
        <f>IFERROR(__xludf.DUMMYFUNCTION("""COMPUTED_VALUE"""),45616.73611111111)</f>
        <v>45616.73611</v>
      </c>
      <c r="L269" s="31">
        <f>IFERROR(__xludf.DUMMYFUNCTION("""COMPUTED_VALUE"""),103.14)</f>
        <v>103.14</v>
      </c>
      <c r="M269" s="32">
        <f>IFERROR(__xludf.DUMMYFUNCTION("""COMPUTED_VALUE"""),45565.726388888885)</f>
        <v>45565.72639</v>
      </c>
      <c r="N269" s="31">
        <f>IFERROR(__xludf.DUMMYFUNCTION("""COMPUTED_VALUE"""),5.43)</f>
        <v>5.43</v>
      </c>
      <c r="O269" s="32">
        <f>IFERROR(__xludf.DUMMYFUNCTION("""COMPUTED_VALUE"""),45566.6875)</f>
        <v>45566.6875</v>
      </c>
      <c r="P269" s="31">
        <f>IFERROR(__xludf.DUMMYFUNCTION("""COMPUTED_VALUE"""),603.51)</f>
        <v>603.51</v>
      </c>
      <c r="Q269" s="32">
        <f>IFERROR(__xludf.DUMMYFUNCTION("""COMPUTED_VALUE"""),45568.66666666667)</f>
        <v>45568.66667</v>
      </c>
      <c r="R269" s="31">
        <f>IFERROR(__xludf.DUMMYFUNCTION("""COMPUTED_VALUE"""),23.75)</f>
        <v>23.75</v>
      </c>
      <c r="S269" s="32">
        <f>IFERROR(__xludf.DUMMYFUNCTION("""COMPUTED_VALUE"""),45566.6875)</f>
        <v>45566.6875</v>
      </c>
      <c r="T269" s="31">
        <f>IFERROR(__xludf.DUMMYFUNCTION("""COMPUTED_VALUE"""),6.78)</f>
        <v>6.78</v>
      </c>
      <c r="U269" s="32">
        <f>IFERROR(__xludf.DUMMYFUNCTION("""COMPUTED_VALUE"""),45448.99861111111)</f>
        <v>45448.99861</v>
      </c>
      <c r="V269" s="31">
        <f>IFERROR(__xludf.DUMMYFUNCTION("""COMPUTED_VALUE"""),1.0874)</f>
        <v>1.0874</v>
      </c>
    </row>
    <row r="270" ht="15.75" customHeight="1">
      <c r="A270" s="32">
        <f>IFERROR(__xludf.DUMMYFUNCTION("""COMPUTED_VALUE"""),45573.73611111111)</f>
        <v>45573.73611</v>
      </c>
      <c r="B270" s="31">
        <f>IFERROR(__xludf.DUMMYFUNCTION("""COMPUTED_VALUE"""),99.11)</f>
        <v>99.11</v>
      </c>
      <c r="C270" s="32">
        <f>IFERROR(__xludf.DUMMYFUNCTION("""COMPUTED_VALUE"""),45568.726388888885)</f>
        <v>45568.72639</v>
      </c>
      <c r="D270" s="31">
        <f>IFERROR(__xludf.DUMMYFUNCTION("""COMPUTED_VALUE"""),5.39)</f>
        <v>5.39</v>
      </c>
      <c r="E270" s="32"/>
      <c r="G270" s="32">
        <f>IFERROR(__xludf.DUMMYFUNCTION("""COMPUTED_VALUE"""),45566.726388888885)</f>
        <v>45566.72639</v>
      </c>
      <c r="H270" s="31">
        <f>IFERROR(__xludf.DUMMYFUNCTION("""COMPUTED_VALUE"""),5.25)</f>
        <v>5.25</v>
      </c>
      <c r="I270" s="32">
        <f>IFERROR(__xludf.DUMMYFUNCTION("""COMPUTED_VALUE"""),45566.726388888885)</f>
        <v>45566.72639</v>
      </c>
      <c r="J270" s="31">
        <f>IFERROR(__xludf.DUMMYFUNCTION("""COMPUTED_VALUE"""),5.32)</f>
        <v>5.32</v>
      </c>
      <c r="K270" s="32"/>
      <c r="M270" s="32">
        <f>IFERROR(__xludf.DUMMYFUNCTION("""COMPUTED_VALUE"""),45566.726388888885)</f>
        <v>45566.72639</v>
      </c>
      <c r="N270" s="31">
        <f>IFERROR(__xludf.DUMMYFUNCTION("""COMPUTED_VALUE"""),5.44)</f>
        <v>5.44</v>
      </c>
      <c r="O270" s="32">
        <f>IFERROR(__xludf.DUMMYFUNCTION("""COMPUTED_VALUE"""),45567.6875)</f>
        <v>45567.6875</v>
      </c>
      <c r="P270" s="31">
        <f>IFERROR(__xludf.DUMMYFUNCTION("""COMPUTED_VALUE"""),604.76)</f>
        <v>604.76</v>
      </c>
      <c r="Q270" s="32">
        <f>IFERROR(__xludf.DUMMYFUNCTION("""COMPUTED_VALUE"""),45569.66666666667)</f>
        <v>45569.66667</v>
      </c>
      <c r="R270" s="31">
        <f>IFERROR(__xludf.DUMMYFUNCTION("""COMPUTED_VALUE"""),23.72)</f>
        <v>23.72</v>
      </c>
      <c r="S270" s="32">
        <f>IFERROR(__xludf.DUMMYFUNCTION("""COMPUTED_VALUE"""),45567.6875)</f>
        <v>45567.6875</v>
      </c>
      <c r="T270" s="31">
        <f>IFERROR(__xludf.DUMMYFUNCTION("""COMPUTED_VALUE"""),6.77)</f>
        <v>6.77</v>
      </c>
      <c r="U270" s="32">
        <f>IFERROR(__xludf.DUMMYFUNCTION("""COMPUTED_VALUE"""),45449.99861111111)</f>
        <v>45449.99861</v>
      </c>
      <c r="V270" s="31">
        <f>IFERROR(__xludf.DUMMYFUNCTION("""COMPUTED_VALUE"""),1.0889)</f>
        <v>1.0889</v>
      </c>
    </row>
    <row r="271" ht="15.75" customHeight="1">
      <c r="A271" s="32">
        <f>IFERROR(__xludf.DUMMYFUNCTION("""COMPUTED_VALUE"""),45575.73611111111)</f>
        <v>45575.73611</v>
      </c>
      <c r="B271" s="31">
        <f>IFERROR(__xludf.DUMMYFUNCTION("""COMPUTED_VALUE"""),99.51)</f>
        <v>99.51</v>
      </c>
      <c r="C271" s="32">
        <f>IFERROR(__xludf.DUMMYFUNCTION("""COMPUTED_VALUE"""),45569.726388888885)</f>
        <v>45569.72639</v>
      </c>
      <c r="D271" s="31">
        <f>IFERROR(__xludf.DUMMYFUNCTION("""COMPUTED_VALUE"""),5.37)</f>
        <v>5.37</v>
      </c>
      <c r="E271" s="32"/>
      <c r="G271" s="32">
        <f>IFERROR(__xludf.DUMMYFUNCTION("""COMPUTED_VALUE"""),45567.726388888885)</f>
        <v>45567.72639</v>
      </c>
      <c r="H271" s="31">
        <f>IFERROR(__xludf.DUMMYFUNCTION("""COMPUTED_VALUE"""),5.26)</f>
        <v>5.26</v>
      </c>
      <c r="I271" s="32">
        <f>IFERROR(__xludf.DUMMYFUNCTION("""COMPUTED_VALUE"""),45567.726388888885)</f>
        <v>45567.72639</v>
      </c>
      <c r="J271" s="31">
        <f>IFERROR(__xludf.DUMMYFUNCTION("""COMPUTED_VALUE"""),5.32)</f>
        <v>5.32</v>
      </c>
      <c r="K271" s="32"/>
      <c r="M271" s="32">
        <f>IFERROR(__xludf.DUMMYFUNCTION("""COMPUTED_VALUE"""),45567.726388888885)</f>
        <v>45567.72639</v>
      </c>
      <c r="N271" s="31">
        <f>IFERROR(__xludf.DUMMYFUNCTION("""COMPUTED_VALUE"""),5.43)</f>
        <v>5.43</v>
      </c>
      <c r="O271" s="32">
        <f>IFERROR(__xludf.DUMMYFUNCTION("""COMPUTED_VALUE"""),45568.6875)</f>
        <v>45568.6875</v>
      </c>
      <c r="P271" s="31">
        <f>IFERROR(__xludf.DUMMYFUNCTION("""COMPUTED_VALUE"""),603.28)</f>
        <v>603.28</v>
      </c>
      <c r="Q271" s="32">
        <f>IFERROR(__xludf.DUMMYFUNCTION("""COMPUTED_VALUE"""),45572.66666666667)</f>
        <v>45572.66667</v>
      </c>
      <c r="R271" s="31">
        <f>IFERROR(__xludf.DUMMYFUNCTION("""COMPUTED_VALUE"""),23.62)</f>
        <v>23.62</v>
      </c>
      <c r="S271" s="32">
        <f>IFERROR(__xludf.DUMMYFUNCTION("""COMPUTED_VALUE"""),45568.6875)</f>
        <v>45568.6875</v>
      </c>
      <c r="T271" s="31">
        <f>IFERROR(__xludf.DUMMYFUNCTION("""COMPUTED_VALUE"""),6.76)</f>
        <v>6.76</v>
      </c>
      <c r="U271" s="32">
        <f>IFERROR(__xludf.DUMMYFUNCTION("""COMPUTED_VALUE"""),45450.99861111111)</f>
        <v>45450.99861</v>
      </c>
      <c r="V271" s="31">
        <f>IFERROR(__xludf.DUMMYFUNCTION("""COMPUTED_VALUE"""),1.0816)</f>
        <v>1.0816</v>
      </c>
    </row>
    <row r="272" ht="15.75" customHeight="1">
      <c r="A272" s="32">
        <f>IFERROR(__xludf.DUMMYFUNCTION("""COMPUTED_VALUE"""),45576.73611111111)</f>
        <v>45576.73611</v>
      </c>
      <c r="B272" s="31">
        <f>IFERROR(__xludf.DUMMYFUNCTION("""COMPUTED_VALUE"""),99.47)</f>
        <v>99.47</v>
      </c>
      <c r="C272" s="32">
        <f>IFERROR(__xludf.DUMMYFUNCTION("""COMPUTED_VALUE"""),45572.726388888885)</f>
        <v>45572.72639</v>
      </c>
      <c r="D272" s="31">
        <f>IFERROR(__xludf.DUMMYFUNCTION("""COMPUTED_VALUE"""),5.37)</f>
        <v>5.37</v>
      </c>
      <c r="E272" s="32"/>
      <c r="G272" s="32">
        <f>IFERROR(__xludf.DUMMYFUNCTION("""COMPUTED_VALUE"""),45568.726388888885)</f>
        <v>45568.72639</v>
      </c>
      <c r="H272" s="31">
        <f>IFERROR(__xludf.DUMMYFUNCTION("""COMPUTED_VALUE"""),5.26)</f>
        <v>5.26</v>
      </c>
      <c r="I272" s="32">
        <f>IFERROR(__xludf.DUMMYFUNCTION("""COMPUTED_VALUE"""),45568.726388888885)</f>
        <v>45568.72639</v>
      </c>
      <c r="J272" s="31">
        <f>IFERROR(__xludf.DUMMYFUNCTION("""COMPUTED_VALUE"""),5.32)</f>
        <v>5.32</v>
      </c>
      <c r="K272" s="32"/>
      <c r="M272" s="32">
        <f>IFERROR(__xludf.DUMMYFUNCTION("""COMPUTED_VALUE"""),45568.726388888885)</f>
        <v>45568.72639</v>
      </c>
      <c r="N272" s="31">
        <f>IFERROR(__xludf.DUMMYFUNCTION("""COMPUTED_VALUE"""),5.43)</f>
        <v>5.43</v>
      </c>
      <c r="O272" s="32">
        <f>IFERROR(__xludf.DUMMYFUNCTION("""COMPUTED_VALUE"""),45569.6875)</f>
        <v>45569.6875</v>
      </c>
      <c r="P272" s="31">
        <f>IFERROR(__xludf.DUMMYFUNCTION("""COMPUTED_VALUE"""),604.03)</f>
        <v>604.03</v>
      </c>
      <c r="Q272" s="32">
        <f>IFERROR(__xludf.DUMMYFUNCTION("""COMPUTED_VALUE"""),45573.66666666667)</f>
        <v>45573.66667</v>
      </c>
      <c r="R272" s="31">
        <f>IFERROR(__xludf.DUMMYFUNCTION("""COMPUTED_VALUE"""),23.7)</f>
        <v>23.7</v>
      </c>
      <c r="S272" s="32">
        <f>IFERROR(__xludf.DUMMYFUNCTION("""COMPUTED_VALUE"""),45569.6875)</f>
        <v>45569.6875</v>
      </c>
      <c r="T272" s="31">
        <f>IFERROR(__xludf.DUMMYFUNCTION("""COMPUTED_VALUE"""),6.75)</f>
        <v>6.75</v>
      </c>
      <c r="U272" s="32">
        <f>IFERROR(__xludf.DUMMYFUNCTION("""COMPUTED_VALUE"""),45451.99861111111)</f>
        <v>45451.99861</v>
      </c>
      <c r="V272" s="31">
        <f>IFERROR(__xludf.DUMMYFUNCTION("""COMPUTED_VALUE"""),1.0805)</f>
        <v>1.0805</v>
      </c>
    </row>
    <row r="273" ht="15.75" customHeight="1">
      <c r="A273" s="32">
        <f>IFERROR(__xludf.DUMMYFUNCTION("""COMPUTED_VALUE"""),45579.73611111111)</f>
        <v>45579.73611</v>
      </c>
      <c r="B273" s="31">
        <f>IFERROR(__xludf.DUMMYFUNCTION("""COMPUTED_VALUE"""),99.56)</f>
        <v>99.56</v>
      </c>
      <c r="C273" s="32">
        <f>IFERROR(__xludf.DUMMYFUNCTION("""COMPUTED_VALUE"""),45573.726388888885)</f>
        <v>45573.72639</v>
      </c>
      <c r="D273" s="31">
        <f>IFERROR(__xludf.DUMMYFUNCTION("""COMPUTED_VALUE"""),5.37)</f>
        <v>5.37</v>
      </c>
      <c r="E273" s="32"/>
      <c r="G273" s="32">
        <f>IFERROR(__xludf.DUMMYFUNCTION("""COMPUTED_VALUE"""),45569.726388888885)</f>
        <v>45569.72639</v>
      </c>
      <c r="H273" s="31">
        <f>IFERROR(__xludf.DUMMYFUNCTION("""COMPUTED_VALUE"""),5.26)</f>
        <v>5.26</v>
      </c>
      <c r="I273" s="32">
        <f>IFERROR(__xludf.DUMMYFUNCTION("""COMPUTED_VALUE"""),45569.726388888885)</f>
        <v>45569.72639</v>
      </c>
      <c r="J273" s="31">
        <f>IFERROR(__xludf.DUMMYFUNCTION("""COMPUTED_VALUE"""),5.31)</f>
        <v>5.31</v>
      </c>
      <c r="K273" s="32"/>
      <c r="M273" s="32">
        <f>IFERROR(__xludf.DUMMYFUNCTION("""COMPUTED_VALUE"""),45569.726388888885)</f>
        <v>45569.72639</v>
      </c>
      <c r="N273" s="31">
        <f>IFERROR(__xludf.DUMMYFUNCTION("""COMPUTED_VALUE"""),5.42)</f>
        <v>5.42</v>
      </c>
      <c r="O273" s="32">
        <f>IFERROR(__xludf.DUMMYFUNCTION("""COMPUTED_VALUE"""),45572.6875)</f>
        <v>45572.6875</v>
      </c>
      <c r="P273" s="31">
        <f>IFERROR(__xludf.DUMMYFUNCTION("""COMPUTED_VALUE"""),607.1)</f>
        <v>607.1</v>
      </c>
      <c r="Q273" s="32">
        <f>IFERROR(__xludf.DUMMYFUNCTION("""COMPUTED_VALUE"""),45574.66666666667)</f>
        <v>45574.66667</v>
      </c>
      <c r="R273" s="31">
        <f>IFERROR(__xludf.DUMMYFUNCTION("""COMPUTED_VALUE"""),23.65)</f>
        <v>23.65</v>
      </c>
      <c r="S273" s="32">
        <f>IFERROR(__xludf.DUMMYFUNCTION("""COMPUTED_VALUE"""),45572.6875)</f>
        <v>45572.6875</v>
      </c>
      <c r="T273" s="31">
        <f>IFERROR(__xludf.DUMMYFUNCTION("""COMPUTED_VALUE"""),6.73)</f>
        <v>6.73</v>
      </c>
      <c r="U273" s="32">
        <f>IFERROR(__xludf.DUMMYFUNCTION("""COMPUTED_VALUE"""),45452.99861111111)</f>
        <v>45452.99861</v>
      </c>
      <c r="V273" s="31">
        <f>IFERROR(__xludf.DUMMYFUNCTION("""COMPUTED_VALUE"""),1.07781)</f>
        <v>1.07781</v>
      </c>
    </row>
    <row r="274" ht="15.75" customHeight="1">
      <c r="A274" s="32">
        <f>IFERROR(__xludf.DUMMYFUNCTION("""COMPUTED_VALUE"""),45580.73611111111)</f>
        <v>45580.73611</v>
      </c>
      <c r="B274" s="31">
        <f>IFERROR(__xludf.DUMMYFUNCTION("""COMPUTED_VALUE"""),99.89)</f>
        <v>99.89</v>
      </c>
      <c r="C274" s="32">
        <f>IFERROR(__xludf.DUMMYFUNCTION("""COMPUTED_VALUE"""),45574.726388888885)</f>
        <v>45574.72639</v>
      </c>
      <c r="D274" s="31">
        <f>IFERROR(__xludf.DUMMYFUNCTION("""COMPUTED_VALUE"""),5.37)</f>
        <v>5.37</v>
      </c>
      <c r="E274" s="32"/>
      <c r="G274" s="32">
        <f>IFERROR(__xludf.DUMMYFUNCTION("""COMPUTED_VALUE"""),45572.726388888885)</f>
        <v>45572.72639</v>
      </c>
      <c r="H274" s="31">
        <f>IFERROR(__xludf.DUMMYFUNCTION("""COMPUTED_VALUE"""),5.25)</f>
        <v>5.25</v>
      </c>
      <c r="I274" s="32">
        <f>IFERROR(__xludf.DUMMYFUNCTION("""COMPUTED_VALUE"""),45572.726388888885)</f>
        <v>45572.72639</v>
      </c>
      <c r="J274" s="31">
        <f>IFERROR(__xludf.DUMMYFUNCTION("""COMPUTED_VALUE"""),5.31)</f>
        <v>5.31</v>
      </c>
      <c r="K274" s="32"/>
      <c r="M274" s="32">
        <f>IFERROR(__xludf.DUMMYFUNCTION("""COMPUTED_VALUE"""),45572.726388888885)</f>
        <v>45572.72639</v>
      </c>
      <c r="N274" s="31">
        <f>IFERROR(__xludf.DUMMYFUNCTION("""COMPUTED_VALUE"""),5.42)</f>
        <v>5.42</v>
      </c>
      <c r="O274" s="32">
        <f>IFERROR(__xludf.DUMMYFUNCTION("""COMPUTED_VALUE"""),45573.6875)</f>
        <v>45573.6875</v>
      </c>
      <c r="P274" s="31">
        <f>IFERROR(__xludf.DUMMYFUNCTION("""COMPUTED_VALUE"""),607.1)</f>
        <v>607.1</v>
      </c>
      <c r="Q274" s="32">
        <f>IFERROR(__xludf.DUMMYFUNCTION("""COMPUTED_VALUE"""),45575.66666666667)</f>
        <v>45575.66667</v>
      </c>
      <c r="R274" s="31">
        <f>IFERROR(__xludf.DUMMYFUNCTION("""COMPUTED_VALUE"""),23.69)</f>
        <v>23.69</v>
      </c>
      <c r="S274" s="32">
        <f>IFERROR(__xludf.DUMMYFUNCTION("""COMPUTED_VALUE"""),45573.6875)</f>
        <v>45573.6875</v>
      </c>
      <c r="T274" s="31">
        <f>IFERROR(__xludf.DUMMYFUNCTION("""COMPUTED_VALUE"""),6.72)</f>
        <v>6.72</v>
      </c>
      <c r="U274" s="32">
        <f>IFERROR(__xludf.DUMMYFUNCTION("""COMPUTED_VALUE"""),45453.99861111111)</f>
        <v>45453.99861</v>
      </c>
      <c r="V274" s="31">
        <f>IFERROR(__xludf.DUMMYFUNCTION("""COMPUTED_VALUE"""),1.07633)</f>
        <v>1.07633</v>
      </c>
    </row>
    <row r="275" ht="15.75" customHeight="1">
      <c r="A275" s="32">
        <f>IFERROR(__xludf.DUMMYFUNCTION("""COMPUTED_VALUE"""),45582.73611111111)</f>
        <v>45582.73611</v>
      </c>
      <c r="B275" s="31">
        <f>IFERROR(__xludf.DUMMYFUNCTION("""COMPUTED_VALUE"""),100.47)</f>
        <v>100.47</v>
      </c>
      <c r="C275" s="32">
        <f>IFERROR(__xludf.DUMMYFUNCTION("""COMPUTED_VALUE"""),45575.726388888885)</f>
        <v>45575.72639</v>
      </c>
      <c r="D275" s="31">
        <f>IFERROR(__xludf.DUMMYFUNCTION("""COMPUTED_VALUE"""),5.37)</f>
        <v>5.37</v>
      </c>
      <c r="E275" s="32"/>
      <c r="G275" s="32">
        <f>IFERROR(__xludf.DUMMYFUNCTION("""COMPUTED_VALUE"""),45573.726388888885)</f>
        <v>45573.72639</v>
      </c>
      <c r="H275" s="31">
        <f>IFERROR(__xludf.DUMMYFUNCTION("""COMPUTED_VALUE"""),5.26)</f>
        <v>5.26</v>
      </c>
      <c r="I275" s="32">
        <f>IFERROR(__xludf.DUMMYFUNCTION("""COMPUTED_VALUE"""),45573.726388888885)</f>
        <v>45573.72639</v>
      </c>
      <c r="J275" s="31">
        <f>IFERROR(__xludf.DUMMYFUNCTION("""COMPUTED_VALUE"""),5.31)</f>
        <v>5.31</v>
      </c>
      <c r="K275" s="32"/>
      <c r="M275" s="32">
        <f>IFERROR(__xludf.DUMMYFUNCTION("""COMPUTED_VALUE"""),45573.726388888885)</f>
        <v>45573.72639</v>
      </c>
      <c r="N275" s="31">
        <f>IFERROR(__xludf.DUMMYFUNCTION("""COMPUTED_VALUE"""),5.42)</f>
        <v>5.42</v>
      </c>
      <c r="O275" s="32">
        <f>IFERROR(__xludf.DUMMYFUNCTION("""COMPUTED_VALUE"""),45574.6875)</f>
        <v>45574.6875</v>
      </c>
      <c r="P275" s="31">
        <f>IFERROR(__xludf.DUMMYFUNCTION("""COMPUTED_VALUE"""),611.53)</f>
        <v>611.53</v>
      </c>
      <c r="Q275" s="32">
        <f>IFERROR(__xludf.DUMMYFUNCTION("""COMPUTED_VALUE"""),45576.66666666667)</f>
        <v>45576.66667</v>
      </c>
      <c r="R275" s="31">
        <f>IFERROR(__xludf.DUMMYFUNCTION("""COMPUTED_VALUE"""),23.72)</f>
        <v>23.72</v>
      </c>
      <c r="S275" s="32">
        <f>IFERROR(__xludf.DUMMYFUNCTION("""COMPUTED_VALUE"""),45574.6875)</f>
        <v>45574.6875</v>
      </c>
      <c r="T275" s="31">
        <f>IFERROR(__xludf.DUMMYFUNCTION("""COMPUTED_VALUE"""),6.74)</f>
        <v>6.74</v>
      </c>
      <c r="U275" s="32">
        <f>IFERROR(__xludf.DUMMYFUNCTION("""COMPUTED_VALUE"""),45454.99861111111)</f>
        <v>45454.99861</v>
      </c>
      <c r="V275" s="31">
        <f>IFERROR(__xludf.DUMMYFUNCTION("""COMPUTED_VALUE"""),1.07398)</f>
        <v>1.07398</v>
      </c>
    </row>
    <row r="276" ht="15.75" customHeight="1">
      <c r="A276" s="32">
        <f>IFERROR(__xludf.DUMMYFUNCTION("""COMPUTED_VALUE"""),45583.73611111111)</f>
        <v>45583.73611</v>
      </c>
      <c r="B276" s="31">
        <f>IFERROR(__xludf.DUMMYFUNCTION("""COMPUTED_VALUE"""),100.38)</f>
        <v>100.38</v>
      </c>
      <c r="C276" s="32">
        <f>IFERROR(__xludf.DUMMYFUNCTION("""COMPUTED_VALUE"""),45576.726388888885)</f>
        <v>45576.72639</v>
      </c>
      <c r="D276" s="31">
        <f>IFERROR(__xludf.DUMMYFUNCTION("""COMPUTED_VALUE"""),5.37)</f>
        <v>5.37</v>
      </c>
      <c r="E276" s="32"/>
      <c r="G276" s="32">
        <f>IFERROR(__xludf.DUMMYFUNCTION("""COMPUTED_VALUE"""),45574.726388888885)</f>
        <v>45574.72639</v>
      </c>
      <c r="H276" s="31">
        <f>IFERROR(__xludf.DUMMYFUNCTION("""COMPUTED_VALUE"""),5.25)</f>
        <v>5.25</v>
      </c>
      <c r="I276" s="32">
        <f>IFERROR(__xludf.DUMMYFUNCTION("""COMPUTED_VALUE"""),45574.726388888885)</f>
        <v>45574.72639</v>
      </c>
      <c r="J276" s="31">
        <f>IFERROR(__xludf.DUMMYFUNCTION("""COMPUTED_VALUE"""),5.31)</f>
        <v>5.31</v>
      </c>
      <c r="K276" s="32"/>
      <c r="M276" s="32">
        <f>IFERROR(__xludf.DUMMYFUNCTION("""COMPUTED_VALUE"""),45574.726388888885)</f>
        <v>45574.72639</v>
      </c>
      <c r="N276" s="31">
        <f>IFERROR(__xludf.DUMMYFUNCTION("""COMPUTED_VALUE"""),5.41)</f>
        <v>5.41</v>
      </c>
      <c r="O276" s="32">
        <f>IFERROR(__xludf.DUMMYFUNCTION("""COMPUTED_VALUE"""),45575.6875)</f>
        <v>45575.6875</v>
      </c>
      <c r="P276" s="31">
        <f>IFERROR(__xludf.DUMMYFUNCTION("""COMPUTED_VALUE"""),612.16)</f>
        <v>612.16</v>
      </c>
      <c r="Q276" s="32">
        <f>IFERROR(__xludf.DUMMYFUNCTION("""COMPUTED_VALUE"""),45579.66666666667)</f>
        <v>45579.66667</v>
      </c>
      <c r="R276" s="31">
        <f>IFERROR(__xludf.DUMMYFUNCTION("""COMPUTED_VALUE"""),23.69)</f>
        <v>23.69</v>
      </c>
      <c r="S276" s="32">
        <f>IFERROR(__xludf.DUMMYFUNCTION("""COMPUTED_VALUE"""),45575.6875)</f>
        <v>45575.6875</v>
      </c>
      <c r="T276" s="31">
        <f>IFERROR(__xludf.DUMMYFUNCTION("""COMPUTED_VALUE"""),6.73)</f>
        <v>6.73</v>
      </c>
      <c r="U276" s="32">
        <f>IFERROR(__xludf.DUMMYFUNCTION("""COMPUTED_VALUE"""),45455.99861111111)</f>
        <v>45455.99861</v>
      </c>
      <c r="V276" s="31">
        <f>IFERROR(__xludf.DUMMYFUNCTION("""COMPUTED_VALUE"""),1.0811)</f>
        <v>1.0811</v>
      </c>
    </row>
    <row r="277" ht="15.75" customHeight="1">
      <c r="A277" s="32">
        <f>IFERROR(__xludf.DUMMYFUNCTION("""COMPUTED_VALUE"""),45586.73611111111)</f>
        <v>45586.73611</v>
      </c>
      <c r="B277" s="31">
        <f>IFERROR(__xludf.DUMMYFUNCTION("""COMPUTED_VALUE"""),100.25)</f>
        <v>100.25</v>
      </c>
      <c r="C277" s="32">
        <f>IFERROR(__xludf.DUMMYFUNCTION("""COMPUTED_VALUE"""),45579.726388888885)</f>
        <v>45579.72639</v>
      </c>
      <c r="D277" s="31">
        <f>IFERROR(__xludf.DUMMYFUNCTION("""COMPUTED_VALUE"""),5.37)</f>
        <v>5.37</v>
      </c>
      <c r="E277" s="32"/>
      <c r="G277" s="32">
        <f>IFERROR(__xludf.DUMMYFUNCTION("""COMPUTED_VALUE"""),45575.726388888885)</f>
        <v>45575.72639</v>
      </c>
      <c r="H277" s="31">
        <f>IFERROR(__xludf.DUMMYFUNCTION("""COMPUTED_VALUE"""),5.26)</f>
        <v>5.26</v>
      </c>
      <c r="I277" s="32">
        <f>IFERROR(__xludf.DUMMYFUNCTION("""COMPUTED_VALUE"""),45575.726388888885)</f>
        <v>45575.72639</v>
      </c>
      <c r="J277" s="31">
        <f>IFERROR(__xludf.DUMMYFUNCTION("""COMPUTED_VALUE"""),5.31)</f>
        <v>5.31</v>
      </c>
      <c r="K277" s="32"/>
      <c r="M277" s="32">
        <f>IFERROR(__xludf.DUMMYFUNCTION("""COMPUTED_VALUE"""),45575.726388888885)</f>
        <v>45575.72639</v>
      </c>
      <c r="N277" s="31">
        <f>IFERROR(__xludf.DUMMYFUNCTION("""COMPUTED_VALUE"""),5.41)</f>
        <v>5.41</v>
      </c>
      <c r="O277" s="32">
        <f>IFERROR(__xludf.DUMMYFUNCTION("""COMPUTED_VALUE"""),45576.6875)</f>
        <v>45576.6875</v>
      </c>
      <c r="P277" s="31">
        <f>IFERROR(__xludf.DUMMYFUNCTION("""COMPUTED_VALUE"""),615.27)</f>
        <v>615.27</v>
      </c>
      <c r="Q277" s="32">
        <f>IFERROR(__xludf.DUMMYFUNCTION("""COMPUTED_VALUE"""),45580.66666666667)</f>
        <v>45580.66667</v>
      </c>
      <c r="R277" s="31">
        <f>IFERROR(__xludf.DUMMYFUNCTION("""COMPUTED_VALUE"""),23.7)</f>
        <v>23.7</v>
      </c>
      <c r="S277" s="32">
        <f>IFERROR(__xludf.DUMMYFUNCTION("""COMPUTED_VALUE"""),45576.6875)</f>
        <v>45576.6875</v>
      </c>
      <c r="T277" s="31">
        <f>IFERROR(__xludf.DUMMYFUNCTION("""COMPUTED_VALUE"""),6.74)</f>
        <v>6.74</v>
      </c>
      <c r="U277" s="32">
        <f>IFERROR(__xludf.DUMMYFUNCTION("""COMPUTED_VALUE"""),45456.99861111111)</f>
        <v>45456.99861</v>
      </c>
      <c r="V277" s="31">
        <f>IFERROR(__xludf.DUMMYFUNCTION("""COMPUTED_VALUE"""),1.07382)</f>
        <v>1.07382</v>
      </c>
    </row>
    <row r="278" ht="15.75" customHeight="1">
      <c r="A278" s="32">
        <f>IFERROR(__xludf.DUMMYFUNCTION("""COMPUTED_VALUE"""),45587.73611111111)</f>
        <v>45587.73611</v>
      </c>
      <c r="B278" s="31">
        <f>IFERROR(__xludf.DUMMYFUNCTION("""COMPUTED_VALUE"""),100.25)</f>
        <v>100.25</v>
      </c>
      <c r="C278" s="32">
        <f>IFERROR(__xludf.DUMMYFUNCTION("""COMPUTED_VALUE"""),45580.726388888885)</f>
        <v>45580.72639</v>
      </c>
      <c r="D278" s="31">
        <f>IFERROR(__xludf.DUMMYFUNCTION("""COMPUTED_VALUE"""),5.38)</f>
        <v>5.38</v>
      </c>
      <c r="E278" s="32"/>
      <c r="G278" s="32">
        <f>IFERROR(__xludf.DUMMYFUNCTION("""COMPUTED_VALUE"""),45576.726388888885)</f>
        <v>45576.72639</v>
      </c>
      <c r="H278" s="31">
        <f>IFERROR(__xludf.DUMMYFUNCTION("""COMPUTED_VALUE"""),5.25)</f>
        <v>5.25</v>
      </c>
      <c r="I278" s="32">
        <f>IFERROR(__xludf.DUMMYFUNCTION("""COMPUTED_VALUE"""),45576.726388888885)</f>
        <v>45576.72639</v>
      </c>
      <c r="J278" s="31">
        <f>IFERROR(__xludf.DUMMYFUNCTION("""COMPUTED_VALUE"""),5.31)</f>
        <v>5.31</v>
      </c>
      <c r="K278" s="32"/>
      <c r="M278" s="32">
        <f>IFERROR(__xludf.DUMMYFUNCTION("""COMPUTED_VALUE"""),45576.726388888885)</f>
        <v>45576.72639</v>
      </c>
      <c r="N278" s="31">
        <f>IFERROR(__xludf.DUMMYFUNCTION("""COMPUTED_VALUE"""),5.42)</f>
        <v>5.42</v>
      </c>
      <c r="O278" s="32">
        <f>IFERROR(__xludf.DUMMYFUNCTION("""COMPUTED_VALUE"""),45579.6875)</f>
        <v>45579.6875</v>
      </c>
      <c r="P278" s="31">
        <f>IFERROR(__xludf.DUMMYFUNCTION("""COMPUTED_VALUE"""),619.0)</f>
        <v>619</v>
      </c>
      <c r="Q278" s="32">
        <f>IFERROR(__xludf.DUMMYFUNCTION("""COMPUTED_VALUE"""),45581.66666666667)</f>
        <v>45581.66667</v>
      </c>
      <c r="R278" s="31">
        <f>IFERROR(__xludf.DUMMYFUNCTION("""COMPUTED_VALUE"""),23.78)</f>
        <v>23.78</v>
      </c>
      <c r="S278" s="32">
        <f>IFERROR(__xludf.DUMMYFUNCTION("""COMPUTED_VALUE"""),45579.6875)</f>
        <v>45579.6875</v>
      </c>
      <c r="T278" s="31">
        <f>IFERROR(__xludf.DUMMYFUNCTION("""COMPUTED_VALUE"""),6.72)</f>
        <v>6.72</v>
      </c>
      <c r="U278" s="32">
        <f>IFERROR(__xludf.DUMMYFUNCTION("""COMPUTED_VALUE"""),45457.99861111111)</f>
        <v>45457.99861</v>
      </c>
      <c r="V278" s="31">
        <f>IFERROR(__xludf.DUMMYFUNCTION("""COMPUTED_VALUE"""),1.0721)</f>
        <v>1.0721</v>
      </c>
    </row>
    <row r="279" ht="15.75" customHeight="1">
      <c r="A279" s="32">
        <f>IFERROR(__xludf.DUMMYFUNCTION("""COMPUTED_VALUE"""),45588.73611111111)</f>
        <v>45588.73611</v>
      </c>
      <c r="B279" s="31">
        <f>IFERROR(__xludf.DUMMYFUNCTION("""COMPUTED_VALUE"""),100.44)</f>
        <v>100.44</v>
      </c>
      <c r="C279" s="32">
        <f>IFERROR(__xludf.DUMMYFUNCTION("""COMPUTED_VALUE"""),45581.726388888885)</f>
        <v>45581.72639</v>
      </c>
      <c r="D279" s="31">
        <f>IFERROR(__xludf.DUMMYFUNCTION("""COMPUTED_VALUE"""),5.39)</f>
        <v>5.39</v>
      </c>
      <c r="E279" s="32"/>
      <c r="G279" s="32">
        <f>IFERROR(__xludf.DUMMYFUNCTION("""COMPUTED_VALUE"""),45579.726388888885)</f>
        <v>45579.72639</v>
      </c>
      <c r="H279" s="31">
        <f>IFERROR(__xludf.DUMMYFUNCTION("""COMPUTED_VALUE"""),5.26)</f>
        <v>5.26</v>
      </c>
      <c r="I279" s="32">
        <f>IFERROR(__xludf.DUMMYFUNCTION("""COMPUTED_VALUE"""),45579.726388888885)</f>
        <v>45579.72639</v>
      </c>
      <c r="J279" s="31">
        <f>IFERROR(__xludf.DUMMYFUNCTION("""COMPUTED_VALUE"""),5.31)</f>
        <v>5.31</v>
      </c>
      <c r="K279" s="32"/>
      <c r="M279" s="32">
        <f>IFERROR(__xludf.DUMMYFUNCTION("""COMPUTED_VALUE"""),45579.726388888885)</f>
        <v>45579.72639</v>
      </c>
      <c r="N279" s="31">
        <f>IFERROR(__xludf.DUMMYFUNCTION("""COMPUTED_VALUE"""),5.42)</f>
        <v>5.42</v>
      </c>
      <c r="O279" s="32">
        <f>IFERROR(__xludf.DUMMYFUNCTION("""COMPUTED_VALUE"""),45580.6875)</f>
        <v>45580.6875</v>
      </c>
      <c r="P279" s="31">
        <f>IFERROR(__xludf.DUMMYFUNCTION("""COMPUTED_VALUE"""),618.6)</f>
        <v>618.6</v>
      </c>
      <c r="Q279" s="32">
        <f>IFERROR(__xludf.DUMMYFUNCTION("""COMPUTED_VALUE"""),45582.66666666667)</f>
        <v>45582.66667</v>
      </c>
      <c r="R279" s="31">
        <f>IFERROR(__xludf.DUMMYFUNCTION("""COMPUTED_VALUE"""),23.72)</f>
        <v>23.72</v>
      </c>
      <c r="S279" s="32">
        <f>IFERROR(__xludf.DUMMYFUNCTION("""COMPUTED_VALUE"""),45580.6875)</f>
        <v>45580.6875</v>
      </c>
      <c r="T279" s="31">
        <f>IFERROR(__xludf.DUMMYFUNCTION("""COMPUTED_VALUE"""),6.74)</f>
        <v>6.74</v>
      </c>
      <c r="U279" s="32">
        <f>IFERROR(__xludf.DUMMYFUNCTION("""COMPUTED_VALUE"""),45458.99861111111)</f>
        <v>45458.99861</v>
      </c>
      <c r="V279" s="31">
        <f>IFERROR(__xludf.DUMMYFUNCTION("""COMPUTED_VALUE"""),1.0716)</f>
        <v>1.0716</v>
      </c>
    </row>
    <row r="280" ht="15.75" customHeight="1">
      <c r="A280" s="32">
        <f>IFERROR(__xludf.DUMMYFUNCTION("""COMPUTED_VALUE"""),45589.73611111111)</f>
        <v>45589.73611</v>
      </c>
      <c r="B280" s="31">
        <f>IFERROR(__xludf.DUMMYFUNCTION("""COMPUTED_VALUE"""),100.39)</f>
        <v>100.39</v>
      </c>
      <c r="C280" s="32">
        <f>IFERROR(__xludf.DUMMYFUNCTION("""COMPUTED_VALUE"""),45582.726388888885)</f>
        <v>45582.72639</v>
      </c>
      <c r="D280" s="31">
        <f>IFERROR(__xludf.DUMMYFUNCTION("""COMPUTED_VALUE"""),5.39)</f>
        <v>5.39</v>
      </c>
      <c r="E280" s="32"/>
      <c r="G280" s="32">
        <f>IFERROR(__xludf.DUMMYFUNCTION("""COMPUTED_VALUE"""),45580.726388888885)</f>
        <v>45580.72639</v>
      </c>
      <c r="H280" s="31">
        <f>IFERROR(__xludf.DUMMYFUNCTION("""COMPUTED_VALUE"""),5.26)</f>
        <v>5.26</v>
      </c>
      <c r="I280" s="32">
        <f>IFERROR(__xludf.DUMMYFUNCTION("""COMPUTED_VALUE"""),45580.726388888885)</f>
        <v>45580.72639</v>
      </c>
      <c r="J280" s="31">
        <f>IFERROR(__xludf.DUMMYFUNCTION("""COMPUTED_VALUE"""),5.32)</f>
        <v>5.32</v>
      </c>
      <c r="K280" s="32"/>
      <c r="M280" s="32">
        <f>IFERROR(__xludf.DUMMYFUNCTION("""COMPUTED_VALUE"""),45580.726388888885)</f>
        <v>45580.72639</v>
      </c>
      <c r="N280" s="31">
        <f>IFERROR(__xludf.DUMMYFUNCTION("""COMPUTED_VALUE"""),5.43)</f>
        <v>5.43</v>
      </c>
      <c r="O280" s="32">
        <f>IFERROR(__xludf.DUMMYFUNCTION("""COMPUTED_VALUE"""),45581.6875)</f>
        <v>45581.6875</v>
      </c>
      <c r="P280" s="31">
        <f>IFERROR(__xludf.DUMMYFUNCTION("""COMPUTED_VALUE"""),616.41)</f>
        <v>616.41</v>
      </c>
      <c r="Q280" s="32">
        <f>IFERROR(__xludf.DUMMYFUNCTION("""COMPUTED_VALUE"""),45583.66666666667)</f>
        <v>45583.66667</v>
      </c>
      <c r="R280" s="31">
        <f>IFERROR(__xludf.DUMMYFUNCTION("""COMPUTED_VALUE"""),23.78)</f>
        <v>23.78</v>
      </c>
      <c r="S280" s="32">
        <f>IFERROR(__xludf.DUMMYFUNCTION("""COMPUTED_VALUE"""),45581.6875)</f>
        <v>45581.6875</v>
      </c>
      <c r="T280" s="31">
        <f>IFERROR(__xludf.DUMMYFUNCTION("""COMPUTED_VALUE"""),6.76)</f>
        <v>6.76</v>
      </c>
      <c r="U280" s="32">
        <f>IFERROR(__xludf.DUMMYFUNCTION("""COMPUTED_VALUE"""),45459.99861111111)</f>
        <v>45459.99861</v>
      </c>
      <c r="V280" s="31">
        <f>IFERROR(__xludf.DUMMYFUNCTION("""COMPUTED_VALUE"""),1.07016)</f>
        <v>1.07016</v>
      </c>
    </row>
    <row r="281" ht="15.75" customHeight="1">
      <c r="A281" s="32">
        <f>IFERROR(__xludf.DUMMYFUNCTION("""COMPUTED_VALUE"""),45590.73611111111)</f>
        <v>45590.73611</v>
      </c>
      <c r="B281" s="31">
        <f>IFERROR(__xludf.DUMMYFUNCTION("""COMPUTED_VALUE"""),100.24)</f>
        <v>100.24</v>
      </c>
      <c r="C281" s="32">
        <f>IFERROR(__xludf.DUMMYFUNCTION("""COMPUTED_VALUE"""),45583.726388888885)</f>
        <v>45583.72639</v>
      </c>
      <c r="D281" s="31">
        <f>IFERROR(__xludf.DUMMYFUNCTION("""COMPUTED_VALUE"""),5.4)</f>
        <v>5.4</v>
      </c>
      <c r="E281" s="32"/>
      <c r="G281" s="32">
        <f>IFERROR(__xludf.DUMMYFUNCTION("""COMPUTED_VALUE"""),45581.726388888885)</f>
        <v>45581.72639</v>
      </c>
      <c r="H281" s="31">
        <f>IFERROR(__xludf.DUMMYFUNCTION("""COMPUTED_VALUE"""),5.27)</f>
        <v>5.27</v>
      </c>
      <c r="I281" s="32">
        <f>IFERROR(__xludf.DUMMYFUNCTION("""COMPUTED_VALUE"""),45581.726388888885)</f>
        <v>45581.72639</v>
      </c>
      <c r="J281" s="31">
        <f>IFERROR(__xludf.DUMMYFUNCTION("""COMPUTED_VALUE"""),5.32)</f>
        <v>5.32</v>
      </c>
      <c r="K281" s="32"/>
      <c r="M281" s="32">
        <f>IFERROR(__xludf.DUMMYFUNCTION("""COMPUTED_VALUE"""),45581.726388888885)</f>
        <v>45581.72639</v>
      </c>
      <c r="N281" s="31">
        <f>IFERROR(__xludf.DUMMYFUNCTION("""COMPUTED_VALUE"""),5.43)</f>
        <v>5.43</v>
      </c>
      <c r="O281" s="32">
        <f>IFERROR(__xludf.DUMMYFUNCTION("""COMPUTED_VALUE"""),45582.6875)</f>
        <v>45582.6875</v>
      </c>
      <c r="P281" s="31">
        <f>IFERROR(__xludf.DUMMYFUNCTION("""COMPUTED_VALUE"""),620.49)</f>
        <v>620.49</v>
      </c>
      <c r="Q281" s="32">
        <f>IFERROR(__xludf.DUMMYFUNCTION("""COMPUTED_VALUE"""),45586.66666666667)</f>
        <v>45586.66667</v>
      </c>
      <c r="R281" s="31">
        <f>IFERROR(__xludf.DUMMYFUNCTION("""COMPUTED_VALUE"""),23.7)</f>
        <v>23.7</v>
      </c>
      <c r="S281" s="32">
        <f>IFERROR(__xludf.DUMMYFUNCTION("""COMPUTED_VALUE"""),45582.6875)</f>
        <v>45582.6875</v>
      </c>
      <c r="T281" s="31">
        <f>IFERROR(__xludf.DUMMYFUNCTION("""COMPUTED_VALUE"""),6.74)</f>
        <v>6.74</v>
      </c>
      <c r="U281" s="32">
        <f>IFERROR(__xludf.DUMMYFUNCTION("""COMPUTED_VALUE"""),45460.99861111111)</f>
        <v>45460.99861</v>
      </c>
      <c r="V281" s="31">
        <f>IFERROR(__xludf.DUMMYFUNCTION("""COMPUTED_VALUE"""),1.07403)</f>
        <v>1.07403</v>
      </c>
    </row>
    <row r="282" ht="15.75" customHeight="1">
      <c r="A282" s="32">
        <f>IFERROR(__xludf.DUMMYFUNCTION("""COMPUTED_VALUE"""),45593.73611111111)</f>
        <v>45593.73611</v>
      </c>
      <c r="B282" s="31">
        <f>IFERROR(__xludf.DUMMYFUNCTION("""COMPUTED_VALUE"""),100.02)</f>
        <v>100.02</v>
      </c>
      <c r="C282" s="32">
        <f>IFERROR(__xludf.DUMMYFUNCTION("""COMPUTED_VALUE"""),45586.726388888885)</f>
        <v>45586.72639</v>
      </c>
      <c r="D282" s="31">
        <f>IFERROR(__xludf.DUMMYFUNCTION("""COMPUTED_VALUE"""),5.38)</f>
        <v>5.38</v>
      </c>
      <c r="E282" s="32"/>
      <c r="G282" s="32">
        <f>IFERROR(__xludf.DUMMYFUNCTION("""COMPUTED_VALUE"""),45582.726388888885)</f>
        <v>45582.72639</v>
      </c>
      <c r="H282" s="31">
        <f>IFERROR(__xludf.DUMMYFUNCTION("""COMPUTED_VALUE"""),5.27)</f>
        <v>5.27</v>
      </c>
      <c r="I282" s="32">
        <f>IFERROR(__xludf.DUMMYFUNCTION("""COMPUTED_VALUE"""),45582.726388888885)</f>
        <v>45582.72639</v>
      </c>
      <c r="J282" s="31">
        <f>IFERROR(__xludf.DUMMYFUNCTION("""COMPUTED_VALUE"""),5.32)</f>
        <v>5.32</v>
      </c>
      <c r="K282" s="32"/>
      <c r="M282" s="32">
        <f>IFERROR(__xludf.DUMMYFUNCTION("""COMPUTED_VALUE"""),45582.726388888885)</f>
        <v>45582.72639</v>
      </c>
      <c r="N282" s="31">
        <f>IFERROR(__xludf.DUMMYFUNCTION("""COMPUTED_VALUE"""),5.44)</f>
        <v>5.44</v>
      </c>
      <c r="O282" s="32">
        <f>IFERROR(__xludf.DUMMYFUNCTION("""COMPUTED_VALUE"""),45583.6875)</f>
        <v>45583.6875</v>
      </c>
      <c r="P282" s="31">
        <f>IFERROR(__xludf.DUMMYFUNCTION("""COMPUTED_VALUE"""),620.12)</f>
        <v>620.12</v>
      </c>
      <c r="Q282" s="32">
        <f>IFERROR(__xludf.DUMMYFUNCTION("""COMPUTED_VALUE"""),45587.66666666667)</f>
        <v>45587.66667</v>
      </c>
      <c r="R282" s="31">
        <f>IFERROR(__xludf.DUMMYFUNCTION("""COMPUTED_VALUE"""),23.65)</f>
        <v>23.65</v>
      </c>
      <c r="S282" s="32">
        <f>IFERROR(__xludf.DUMMYFUNCTION("""COMPUTED_VALUE"""),45583.6875)</f>
        <v>45583.6875</v>
      </c>
      <c r="T282" s="31">
        <f>IFERROR(__xludf.DUMMYFUNCTION("""COMPUTED_VALUE"""),6.75)</f>
        <v>6.75</v>
      </c>
      <c r="U282" s="32">
        <f>IFERROR(__xludf.DUMMYFUNCTION("""COMPUTED_VALUE"""),45461.99861111111)</f>
        <v>45461.99861</v>
      </c>
      <c r="V282" s="31">
        <f>IFERROR(__xludf.DUMMYFUNCTION("""COMPUTED_VALUE"""),1.07395)</f>
        <v>1.07395</v>
      </c>
    </row>
    <row r="283" ht="15.75" customHeight="1">
      <c r="A283" s="32">
        <f>IFERROR(__xludf.DUMMYFUNCTION("""COMPUTED_VALUE"""),45594.73611111111)</f>
        <v>45594.73611</v>
      </c>
      <c r="B283" s="31">
        <f>IFERROR(__xludf.DUMMYFUNCTION("""COMPUTED_VALUE"""),100.03)</f>
        <v>100.03</v>
      </c>
      <c r="C283" s="32">
        <f>IFERROR(__xludf.DUMMYFUNCTION("""COMPUTED_VALUE"""),45587.726388888885)</f>
        <v>45587.72639</v>
      </c>
      <c r="D283" s="31">
        <f>IFERROR(__xludf.DUMMYFUNCTION("""COMPUTED_VALUE"""),5.38)</f>
        <v>5.38</v>
      </c>
      <c r="E283" s="32"/>
      <c r="G283" s="32">
        <f>IFERROR(__xludf.DUMMYFUNCTION("""COMPUTED_VALUE"""),45583.726388888885)</f>
        <v>45583.72639</v>
      </c>
      <c r="H283" s="31">
        <f>IFERROR(__xludf.DUMMYFUNCTION("""COMPUTED_VALUE"""),5.26)</f>
        <v>5.26</v>
      </c>
      <c r="I283" s="32">
        <f>IFERROR(__xludf.DUMMYFUNCTION("""COMPUTED_VALUE"""),45583.726388888885)</f>
        <v>45583.72639</v>
      </c>
      <c r="J283" s="31">
        <f>IFERROR(__xludf.DUMMYFUNCTION("""COMPUTED_VALUE"""),5.33)</f>
        <v>5.33</v>
      </c>
      <c r="K283" s="32"/>
      <c r="M283" s="32">
        <f>IFERROR(__xludf.DUMMYFUNCTION("""COMPUTED_VALUE"""),45583.726388888885)</f>
        <v>45583.72639</v>
      </c>
      <c r="N283" s="31">
        <f>IFERROR(__xludf.DUMMYFUNCTION("""COMPUTED_VALUE"""),5.45)</f>
        <v>5.45</v>
      </c>
      <c r="O283" s="32">
        <f>IFERROR(__xludf.DUMMYFUNCTION("""COMPUTED_VALUE"""),45586.6875)</f>
        <v>45586.6875</v>
      </c>
      <c r="P283" s="31">
        <f>IFERROR(__xludf.DUMMYFUNCTION("""COMPUTED_VALUE"""),616.9)</f>
        <v>616.9</v>
      </c>
      <c r="Q283" s="32">
        <f>IFERROR(__xludf.DUMMYFUNCTION("""COMPUTED_VALUE"""),45588.66666666667)</f>
        <v>45588.66667</v>
      </c>
      <c r="R283" s="31">
        <f>IFERROR(__xludf.DUMMYFUNCTION("""COMPUTED_VALUE"""),23.6)</f>
        <v>23.6</v>
      </c>
      <c r="S283" s="32">
        <f>IFERROR(__xludf.DUMMYFUNCTION("""COMPUTED_VALUE"""),45586.6875)</f>
        <v>45586.6875</v>
      </c>
      <c r="T283" s="31">
        <f>IFERROR(__xludf.DUMMYFUNCTION("""COMPUTED_VALUE"""),6.72)</f>
        <v>6.72</v>
      </c>
      <c r="U283" s="32">
        <f>IFERROR(__xludf.DUMMYFUNCTION("""COMPUTED_VALUE"""),45462.99861111111)</f>
        <v>45462.99861</v>
      </c>
      <c r="V283" s="31">
        <f>IFERROR(__xludf.DUMMYFUNCTION("""COMPUTED_VALUE"""),1.0746)</f>
        <v>1.0746</v>
      </c>
    </row>
    <row r="284" ht="15.75" customHeight="1">
      <c r="A284" s="32">
        <f>IFERROR(__xludf.DUMMYFUNCTION("""COMPUTED_VALUE"""),45595.73611111111)</f>
        <v>45595.73611</v>
      </c>
      <c r="B284" s="31">
        <f>IFERROR(__xludf.DUMMYFUNCTION("""COMPUTED_VALUE"""),99.58)</f>
        <v>99.58</v>
      </c>
      <c r="C284" s="32">
        <f>IFERROR(__xludf.DUMMYFUNCTION("""COMPUTED_VALUE"""),45588.726388888885)</f>
        <v>45588.72639</v>
      </c>
      <c r="D284" s="31">
        <f>IFERROR(__xludf.DUMMYFUNCTION("""COMPUTED_VALUE"""),5.39)</f>
        <v>5.39</v>
      </c>
      <c r="E284" s="32"/>
      <c r="G284" s="32">
        <f>IFERROR(__xludf.DUMMYFUNCTION("""COMPUTED_VALUE"""),45586.726388888885)</f>
        <v>45586.72639</v>
      </c>
      <c r="H284" s="31">
        <f>IFERROR(__xludf.DUMMYFUNCTION("""COMPUTED_VALUE"""),5.25)</f>
        <v>5.25</v>
      </c>
      <c r="I284" s="32">
        <f>IFERROR(__xludf.DUMMYFUNCTION("""COMPUTED_VALUE"""),45586.726388888885)</f>
        <v>45586.72639</v>
      </c>
      <c r="J284" s="31">
        <f>IFERROR(__xludf.DUMMYFUNCTION("""COMPUTED_VALUE"""),5.32)</f>
        <v>5.32</v>
      </c>
      <c r="K284" s="32"/>
      <c r="M284" s="32">
        <f>IFERROR(__xludf.DUMMYFUNCTION("""COMPUTED_VALUE"""),45586.726388888885)</f>
        <v>45586.72639</v>
      </c>
      <c r="N284" s="31">
        <f>IFERROR(__xludf.DUMMYFUNCTION("""COMPUTED_VALUE"""),5.43)</f>
        <v>5.43</v>
      </c>
      <c r="O284" s="32">
        <f>IFERROR(__xludf.DUMMYFUNCTION("""COMPUTED_VALUE"""),45587.6875)</f>
        <v>45587.6875</v>
      </c>
      <c r="P284" s="31">
        <f>IFERROR(__xludf.DUMMYFUNCTION("""COMPUTED_VALUE"""),618.16)</f>
        <v>618.16</v>
      </c>
      <c r="Q284" s="32">
        <f>IFERROR(__xludf.DUMMYFUNCTION("""COMPUTED_VALUE"""),45589.66666666667)</f>
        <v>45589.66667</v>
      </c>
      <c r="R284" s="31">
        <f>IFERROR(__xludf.DUMMYFUNCTION("""COMPUTED_VALUE"""),23.67)</f>
        <v>23.67</v>
      </c>
      <c r="S284" s="32">
        <f>IFERROR(__xludf.DUMMYFUNCTION("""COMPUTED_VALUE"""),45587.6875)</f>
        <v>45587.6875</v>
      </c>
      <c r="T284" s="31">
        <f>IFERROR(__xludf.DUMMYFUNCTION("""COMPUTED_VALUE"""),6.73)</f>
        <v>6.73</v>
      </c>
      <c r="U284" s="32">
        <f>IFERROR(__xludf.DUMMYFUNCTION("""COMPUTED_VALUE"""),45463.99861111111)</f>
        <v>45463.99861</v>
      </c>
      <c r="V284" s="31">
        <f>IFERROR(__xludf.DUMMYFUNCTION("""COMPUTED_VALUE"""),1.07058)</f>
        <v>1.07058</v>
      </c>
    </row>
    <row r="285" ht="15.75" customHeight="1">
      <c r="A285" s="32">
        <f>IFERROR(__xludf.DUMMYFUNCTION("""COMPUTED_VALUE"""),45596.73611111111)</f>
        <v>45596.73611</v>
      </c>
      <c r="B285" s="31">
        <f>IFERROR(__xludf.DUMMYFUNCTION("""COMPUTED_VALUE"""),99.54)</f>
        <v>99.54</v>
      </c>
      <c r="C285" s="32">
        <f>IFERROR(__xludf.DUMMYFUNCTION("""COMPUTED_VALUE"""),45589.726388888885)</f>
        <v>45589.72639</v>
      </c>
      <c r="D285" s="31">
        <f>IFERROR(__xludf.DUMMYFUNCTION("""COMPUTED_VALUE"""),5.4)</f>
        <v>5.4</v>
      </c>
      <c r="E285" s="32"/>
      <c r="G285" s="32">
        <f>IFERROR(__xludf.DUMMYFUNCTION("""COMPUTED_VALUE"""),45587.726388888885)</f>
        <v>45587.72639</v>
      </c>
      <c r="H285" s="31">
        <f>IFERROR(__xludf.DUMMYFUNCTION("""COMPUTED_VALUE"""),5.26)</f>
        <v>5.26</v>
      </c>
      <c r="I285" s="32">
        <f>IFERROR(__xludf.DUMMYFUNCTION("""COMPUTED_VALUE"""),45587.726388888885)</f>
        <v>45587.72639</v>
      </c>
      <c r="J285" s="31">
        <f>IFERROR(__xludf.DUMMYFUNCTION("""COMPUTED_VALUE"""),5.32)</f>
        <v>5.32</v>
      </c>
      <c r="K285" s="32"/>
      <c r="M285" s="32">
        <f>IFERROR(__xludf.DUMMYFUNCTION("""COMPUTED_VALUE"""),45587.726388888885)</f>
        <v>45587.72639</v>
      </c>
      <c r="N285" s="31">
        <f>IFERROR(__xludf.DUMMYFUNCTION("""COMPUTED_VALUE"""),5.43)</f>
        <v>5.43</v>
      </c>
      <c r="O285" s="32">
        <f>IFERROR(__xludf.DUMMYFUNCTION("""COMPUTED_VALUE"""),45588.6875)</f>
        <v>45588.6875</v>
      </c>
      <c r="P285" s="31">
        <f>IFERROR(__xludf.DUMMYFUNCTION("""COMPUTED_VALUE"""),614.63)</f>
        <v>614.63</v>
      </c>
      <c r="Q285" s="32">
        <f>IFERROR(__xludf.DUMMYFUNCTION("""COMPUTED_VALUE"""),45590.66666666667)</f>
        <v>45590.66667</v>
      </c>
      <c r="R285" s="31">
        <f>IFERROR(__xludf.DUMMYFUNCTION("""COMPUTED_VALUE"""),23.64)</f>
        <v>23.64</v>
      </c>
      <c r="S285" s="32">
        <f>IFERROR(__xludf.DUMMYFUNCTION("""COMPUTED_VALUE"""),45588.6875)</f>
        <v>45588.6875</v>
      </c>
      <c r="T285" s="31">
        <f>IFERROR(__xludf.DUMMYFUNCTION("""COMPUTED_VALUE"""),6.7)</f>
        <v>6.7</v>
      </c>
      <c r="U285" s="32">
        <f>IFERROR(__xludf.DUMMYFUNCTION("""COMPUTED_VALUE"""),45464.99861111111)</f>
        <v>45464.99861</v>
      </c>
      <c r="V285" s="31">
        <f>IFERROR(__xludf.DUMMYFUNCTION("""COMPUTED_VALUE"""),1.0701)</f>
        <v>1.0701</v>
      </c>
    </row>
    <row r="286" ht="15.75" customHeight="1">
      <c r="A286" s="32">
        <f>IFERROR(__xludf.DUMMYFUNCTION("""COMPUTED_VALUE"""),45597.73611111111)</f>
        <v>45597.73611</v>
      </c>
      <c r="B286" s="31">
        <f>IFERROR(__xludf.DUMMYFUNCTION("""COMPUTED_VALUE"""),99.55)</f>
        <v>99.55</v>
      </c>
      <c r="C286" s="32">
        <f>IFERROR(__xludf.DUMMYFUNCTION("""COMPUTED_VALUE"""),45590.726388888885)</f>
        <v>45590.72639</v>
      </c>
      <c r="D286" s="31">
        <f>IFERROR(__xludf.DUMMYFUNCTION("""COMPUTED_VALUE"""),5.39)</f>
        <v>5.39</v>
      </c>
      <c r="E286" s="32"/>
      <c r="G286" s="32">
        <f>IFERROR(__xludf.DUMMYFUNCTION("""COMPUTED_VALUE"""),45588.726388888885)</f>
        <v>45588.72639</v>
      </c>
      <c r="H286" s="31">
        <f>IFERROR(__xludf.DUMMYFUNCTION("""COMPUTED_VALUE"""),5.27)</f>
        <v>5.27</v>
      </c>
      <c r="I286" s="32">
        <f>IFERROR(__xludf.DUMMYFUNCTION("""COMPUTED_VALUE"""),45588.726388888885)</f>
        <v>45588.72639</v>
      </c>
      <c r="J286" s="31">
        <f>IFERROR(__xludf.DUMMYFUNCTION("""COMPUTED_VALUE"""),5.33)</f>
        <v>5.33</v>
      </c>
      <c r="K286" s="32"/>
      <c r="M286" s="32">
        <f>IFERROR(__xludf.DUMMYFUNCTION("""COMPUTED_VALUE"""),45588.726388888885)</f>
        <v>45588.72639</v>
      </c>
      <c r="N286" s="31">
        <f>IFERROR(__xludf.DUMMYFUNCTION("""COMPUTED_VALUE"""),5.44)</f>
        <v>5.44</v>
      </c>
      <c r="O286" s="32">
        <f>IFERROR(__xludf.DUMMYFUNCTION("""COMPUTED_VALUE"""),45589.6875)</f>
        <v>45589.6875</v>
      </c>
      <c r="P286" s="31">
        <f>IFERROR(__xludf.DUMMYFUNCTION("""COMPUTED_VALUE"""),614.58)</f>
        <v>614.58</v>
      </c>
      <c r="Q286" s="32">
        <f>IFERROR(__xludf.DUMMYFUNCTION("""COMPUTED_VALUE"""),45593.66666666667)</f>
        <v>45593.66667</v>
      </c>
      <c r="R286" s="31">
        <f>IFERROR(__xludf.DUMMYFUNCTION("""COMPUTED_VALUE"""),23.71)</f>
        <v>23.71</v>
      </c>
      <c r="S286" s="32">
        <f>IFERROR(__xludf.DUMMYFUNCTION("""COMPUTED_VALUE"""),45589.6875)</f>
        <v>45589.6875</v>
      </c>
      <c r="T286" s="31">
        <f>IFERROR(__xludf.DUMMYFUNCTION("""COMPUTED_VALUE"""),6.72)</f>
        <v>6.72</v>
      </c>
      <c r="U286" s="32">
        <f>IFERROR(__xludf.DUMMYFUNCTION("""COMPUTED_VALUE"""),45465.99861111111)</f>
        <v>45465.99861</v>
      </c>
      <c r="V286" s="31">
        <f>IFERROR(__xludf.DUMMYFUNCTION("""COMPUTED_VALUE"""),1.0691)</f>
        <v>1.0691</v>
      </c>
    </row>
    <row r="287" ht="15.75" customHeight="1">
      <c r="A287" s="32">
        <f>IFERROR(__xludf.DUMMYFUNCTION("""COMPUTED_VALUE"""),45600.73611111111)</f>
        <v>45600.73611</v>
      </c>
      <c r="B287" s="31">
        <f>IFERROR(__xludf.DUMMYFUNCTION("""COMPUTED_VALUE"""),99.3)</f>
        <v>99.3</v>
      </c>
      <c r="C287" s="32">
        <f>IFERROR(__xludf.DUMMYFUNCTION("""COMPUTED_VALUE"""),45593.726388888885)</f>
        <v>45593.72639</v>
      </c>
      <c r="D287" s="31">
        <f>IFERROR(__xludf.DUMMYFUNCTION("""COMPUTED_VALUE"""),5.4)</f>
        <v>5.4</v>
      </c>
      <c r="E287" s="32"/>
      <c r="G287" s="32">
        <f>IFERROR(__xludf.DUMMYFUNCTION("""COMPUTED_VALUE"""),45589.726388888885)</f>
        <v>45589.72639</v>
      </c>
      <c r="H287" s="31">
        <f>IFERROR(__xludf.DUMMYFUNCTION("""COMPUTED_VALUE"""),5.27)</f>
        <v>5.27</v>
      </c>
      <c r="I287" s="32">
        <f>IFERROR(__xludf.DUMMYFUNCTION("""COMPUTED_VALUE"""),45589.726388888885)</f>
        <v>45589.72639</v>
      </c>
      <c r="J287" s="31">
        <f>IFERROR(__xludf.DUMMYFUNCTION("""COMPUTED_VALUE"""),5.33)</f>
        <v>5.33</v>
      </c>
      <c r="K287" s="32"/>
      <c r="M287" s="32">
        <f>IFERROR(__xludf.DUMMYFUNCTION("""COMPUTED_VALUE"""),45589.726388888885)</f>
        <v>45589.72639</v>
      </c>
      <c r="N287" s="31">
        <f>IFERROR(__xludf.DUMMYFUNCTION("""COMPUTED_VALUE"""),5.44)</f>
        <v>5.44</v>
      </c>
      <c r="O287" s="32">
        <f>IFERROR(__xludf.DUMMYFUNCTION("""COMPUTED_VALUE"""),45590.6875)</f>
        <v>45590.6875</v>
      </c>
      <c r="P287" s="31">
        <f>IFERROR(__xludf.DUMMYFUNCTION("""COMPUTED_VALUE"""),618.5)</f>
        <v>618.5</v>
      </c>
      <c r="Q287" s="32">
        <f>IFERROR(__xludf.DUMMYFUNCTION("""COMPUTED_VALUE"""),45594.66666666667)</f>
        <v>45594.66667</v>
      </c>
      <c r="R287" s="31">
        <f>IFERROR(__xludf.DUMMYFUNCTION("""COMPUTED_VALUE"""),23.7)</f>
        <v>23.7</v>
      </c>
      <c r="S287" s="32">
        <f>IFERROR(__xludf.DUMMYFUNCTION("""COMPUTED_VALUE"""),45590.6875)</f>
        <v>45590.6875</v>
      </c>
      <c r="T287" s="31">
        <f>IFERROR(__xludf.DUMMYFUNCTION("""COMPUTED_VALUE"""),6.73)</f>
        <v>6.73</v>
      </c>
      <c r="U287" s="32">
        <f>IFERROR(__xludf.DUMMYFUNCTION("""COMPUTED_VALUE"""),45466.99861111111)</f>
        <v>45466.99861</v>
      </c>
      <c r="V287" s="31">
        <f>IFERROR(__xludf.DUMMYFUNCTION("""COMPUTED_VALUE"""),1.06872)</f>
        <v>1.06872</v>
      </c>
    </row>
    <row r="288" ht="15.75" customHeight="1">
      <c r="A288" s="32">
        <f>IFERROR(__xludf.DUMMYFUNCTION("""COMPUTED_VALUE"""),45601.73611111111)</f>
        <v>45601.73611</v>
      </c>
      <c r="B288" s="31">
        <f>IFERROR(__xludf.DUMMYFUNCTION("""COMPUTED_VALUE"""),99.01)</f>
        <v>99.01</v>
      </c>
      <c r="C288" s="32">
        <f>IFERROR(__xludf.DUMMYFUNCTION("""COMPUTED_VALUE"""),45594.726388888885)</f>
        <v>45594.72639</v>
      </c>
      <c r="D288" s="31">
        <f>IFERROR(__xludf.DUMMYFUNCTION("""COMPUTED_VALUE"""),5.39)</f>
        <v>5.39</v>
      </c>
      <c r="E288" s="32"/>
      <c r="G288" s="32">
        <f>IFERROR(__xludf.DUMMYFUNCTION("""COMPUTED_VALUE"""),45590.726388888885)</f>
        <v>45590.72639</v>
      </c>
      <c r="H288" s="31">
        <f>IFERROR(__xludf.DUMMYFUNCTION("""COMPUTED_VALUE"""),5.27)</f>
        <v>5.27</v>
      </c>
      <c r="I288" s="32">
        <f>IFERROR(__xludf.DUMMYFUNCTION("""COMPUTED_VALUE"""),45590.726388888885)</f>
        <v>45590.72639</v>
      </c>
      <c r="J288" s="31">
        <f>IFERROR(__xludf.DUMMYFUNCTION("""COMPUTED_VALUE"""),5.33)</f>
        <v>5.33</v>
      </c>
      <c r="K288" s="32"/>
      <c r="M288" s="32">
        <f>IFERROR(__xludf.DUMMYFUNCTION("""COMPUTED_VALUE"""),45590.726388888885)</f>
        <v>45590.72639</v>
      </c>
      <c r="N288" s="31">
        <f>IFERROR(__xludf.DUMMYFUNCTION("""COMPUTED_VALUE"""),5.44)</f>
        <v>5.44</v>
      </c>
      <c r="O288" s="32">
        <f>IFERROR(__xludf.DUMMYFUNCTION("""COMPUTED_VALUE"""),45593.6875)</f>
        <v>45593.6875</v>
      </c>
      <c r="P288" s="31">
        <f>IFERROR(__xludf.DUMMYFUNCTION("""COMPUTED_VALUE"""),616.95)</f>
        <v>616.95</v>
      </c>
      <c r="Q288" s="32">
        <f>IFERROR(__xludf.DUMMYFUNCTION("""COMPUTED_VALUE"""),45595.66666666667)</f>
        <v>45595.66667</v>
      </c>
      <c r="R288" s="31">
        <f>IFERROR(__xludf.DUMMYFUNCTION("""COMPUTED_VALUE"""),23.71)</f>
        <v>23.71</v>
      </c>
      <c r="S288" s="32">
        <f>IFERROR(__xludf.DUMMYFUNCTION("""COMPUTED_VALUE"""),45593.6875)</f>
        <v>45593.6875</v>
      </c>
      <c r="T288" s="31">
        <f>IFERROR(__xludf.DUMMYFUNCTION("""COMPUTED_VALUE"""),6.72)</f>
        <v>6.72</v>
      </c>
      <c r="U288" s="32">
        <f>IFERROR(__xludf.DUMMYFUNCTION("""COMPUTED_VALUE"""),45467.99861111111)</f>
        <v>45467.99861</v>
      </c>
      <c r="V288" s="31">
        <f>IFERROR(__xludf.DUMMYFUNCTION("""COMPUTED_VALUE"""),1.07322)</f>
        <v>1.07322</v>
      </c>
    </row>
    <row r="289" ht="15.75" customHeight="1">
      <c r="A289" s="32">
        <f>IFERROR(__xludf.DUMMYFUNCTION("""COMPUTED_VALUE"""),45602.73611111111)</f>
        <v>45602.73611</v>
      </c>
      <c r="B289" s="31">
        <f>IFERROR(__xludf.DUMMYFUNCTION("""COMPUTED_VALUE"""),100.62)</f>
        <v>100.62</v>
      </c>
      <c r="C289" s="32">
        <f>IFERROR(__xludf.DUMMYFUNCTION("""COMPUTED_VALUE"""),45595.726388888885)</f>
        <v>45595.72639</v>
      </c>
      <c r="D289" s="31">
        <f>IFERROR(__xludf.DUMMYFUNCTION("""COMPUTED_VALUE"""),5.37)</f>
        <v>5.37</v>
      </c>
      <c r="E289" s="32"/>
      <c r="G289" s="32">
        <f>IFERROR(__xludf.DUMMYFUNCTION("""COMPUTED_VALUE"""),45593.726388888885)</f>
        <v>45593.72639</v>
      </c>
      <c r="H289" s="31">
        <f>IFERROR(__xludf.DUMMYFUNCTION("""COMPUTED_VALUE"""),5.27)</f>
        <v>5.27</v>
      </c>
      <c r="I289" s="32">
        <f>IFERROR(__xludf.DUMMYFUNCTION("""COMPUTED_VALUE"""),45593.726388888885)</f>
        <v>45593.72639</v>
      </c>
      <c r="J289" s="31">
        <f>IFERROR(__xludf.DUMMYFUNCTION("""COMPUTED_VALUE"""),5.33)</f>
        <v>5.33</v>
      </c>
      <c r="K289" s="32"/>
      <c r="M289" s="32">
        <f>IFERROR(__xludf.DUMMYFUNCTION("""COMPUTED_VALUE"""),45593.726388888885)</f>
        <v>45593.72639</v>
      </c>
      <c r="N289" s="31">
        <f>IFERROR(__xludf.DUMMYFUNCTION("""COMPUTED_VALUE"""),5.44)</f>
        <v>5.44</v>
      </c>
      <c r="O289" s="32">
        <f>IFERROR(__xludf.DUMMYFUNCTION("""COMPUTED_VALUE"""),45594.6875)</f>
        <v>45594.6875</v>
      </c>
      <c r="P289" s="31">
        <f>IFERROR(__xludf.DUMMYFUNCTION("""COMPUTED_VALUE"""),616.91)</f>
        <v>616.91</v>
      </c>
      <c r="Q289" s="32">
        <f>IFERROR(__xludf.DUMMYFUNCTION("""COMPUTED_VALUE"""),45596.66666666667)</f>
        <v>45596.66667</v>
      </c>
      <c r="R289" s="31">
        <f>IFERROR(__xludf.DUMMYFUNCTION("""COMPUTED_VALUE"""),23.63)</f>
        <v>23.63</v>
      </c>
      <c r="S289" s="32">
        <f>IFERROR(__xludf.DUMMYFUNCTION("""COMPUTED_VALUE"""),45594.6875)</f>
        <v>45594.6875</v>
      </c>
      <c r="T289" s="31">
        <f>IFERROR(__xludf.DUMMYFUNCTION("""COMPUTED_VALUE"""),6.72)</f>
        <v>6.72</v>
      </c>
      <c r="U289" s="32">
        <f>IFERROR(__xludf.DUMMYFUNCTION("""COMPUTED_VALUE"""),45469.99861111111)</f>
        <v>45469.99861</v>
      </c>
      <c r="V289" s="31">
        <f>IFERROR(__xludf.DUMMYFUNCTION("""COMPUTED_VALUE"""),1.06797)</f>
        <v>1.06797</v>
      </c>
    </row>
    <row r="290" ht="15.75" customHeight="1">
      <c r="A290" s="32">
        <f>IFERROR(__xludf.DUMMYFUNCTION("""COMPUTED_VALUE"""),45604.73611111111)</f>
        <v>45604.73611</v>
      </c>
      <c r="B290" s="31">
        <f>IFERROR(__xludf.DUMMYFUNCTION("""COMPUTED_VALUE"""),100.98)</f>
        <v>100.98</v>
      </c>
      <c r="C290" s="32">
        <f>IFERROR(__xludf.DUMMYFUNCTION("""COMPUTED_VALUE"""),45596.726388888885)</f>
        <v>45596.72639</v>
      </c>
      <c r="D290" s="31">
        <f>IFERROR(__xludf.DUMMYFUNCTION("""COMPUTED_VALUE"""),5.37)</f>
        <v>5.37</v>
      </c>
      <c r="E290" s="32"/>
      <c r="G290" s="32">
        <f>IFERROR(__xludf.DUMMYFUNCTION("""COMPUTED_VALUE"""),45594.726388888885)</f>
        <v>45594.72639</v>
      </c>
      <c r="H290" s="31">
        <f>IFERROR(__xludf.DUMMYFUNCTION("""COMPUTED_VALUE"""),5.27)</f>
        <v>5.27</v>
      </c>
      <c r="I290" s="32">
        <f>IFERROR(__xludf.DUMMYFUNCTION("""COMPUTED_VALUE"""),45594.726388888885)</f>
        <v>45594.72639</v>
      </c>
      <c r="J290" s="31">
        <f>IFERROR(__xludf.DUMMYFUNCTION("""COMPUTED_VALUE"""),5.33)</f>
        <v>5.33</v>
      </c>
      <c r="K290" s="32"/>
      <c r="M290" s="32">
        <f>IFERROR(__xludf.DUMMYFUNCTION("""COMPUTED_VALUE"""),45594.726388888885)</f>
        <v>45594.72639</v>
      </c>
      <c r="N290" s="31">
        <f>IFERROR(__xludf.DUMMYFUNCTION("""COMPUTED_VALUE"""),5.43)</f>
        <v>5.43</v>
      </c>
      <c r="O290" s="32">
        <f>IFERROR(__xludf.DUMMYFUNCTION("""COMPUTED_VALUE"""),45595.6875)</f>
        <v>45595.6875</v>
      </c>
      <c r="P290" s="31">
        <f>IFERROR(__xludf.DUMMYFUNCTION("""COMPUTED_VALUE"""),618.46)</f>
        <v>618.46</v>
      </c>
      <c r="Q290" s="32">
        <f>IFERROR(__xludf.DUMMYFUNCTION("""COMPUTED_VALUE"""),45597.66666666667)</f>
        <v>45597.66667</v>
      </c>
      <c r="R290" s="31">
        <f>IFERROR(__xludf.DUMMYFUNCTION("""COMPUTED_VALUE"""),23.45)</f>
        <v>23.45</v>
      </c>
      <c r="S290" s="32">
        <f>IFERROR(__xludf.DUMMYFUNCTION("""COMPUTED_VALUE"""),45595.6875)</f>
        <v>45595.6875</v>
      </c>
      <c r="T290" s="31">
        <f>IFERROR(__xludf.DUMMYFUNCTION("""COMPUTED_VALUE"""),6.72)</f>
        <v>6.72</v>
      </c>
      <c r="U290" s="32">
        <f>IFERROR(__xludf.DUMMYFUNCTION("""COMPUTED_VALUE"""),45470.99861111111)</f>
        <v>45470.99861</v>
      </c>
      <c r="V290" s="31">
        <f>IFERROR(__xludf.DUMMYFUNCTION("""COMPUTED_VALUE"""),1.07081)</f>
        <v>1.07081</v>
      </c>
    </row>
    <row r="291" ht="15.75" customHeight="1">
      <c r="A291" s="32">
        <f>IFERROR(__xludf.DUMMYFUNCTION("""COMPUTED_VALUE"""),45607.73611111111)</f>
        <v>45607.73611</v>
      </c>
      <c r="B291" s="31">
        <f>IFERROR(__xludf.DUMMYFUNCTION("""COMPUTED_VALUE"""),101.71)</f>
        <v>101.71</v>
      </c>
      <c r="C291" s="32">
        <f>IFERROR(__xludf.DUMMYFUNCTION("""COMPUTED_VALUE"""),45597.726388888885)</f>
        <v>45597.72639</v>
      </c>
      <c r="D291" s="31">
        <f>IFERROR(__xludf.DUMMYFUNCTION("""COMPUTED_VALUE"""),5.38)</f>
        <v>5.38</v>
      </c>
      <c r="E291" s="32"/>
      <c r="G291" s="32">
        <f>IFERROR(__xludf.DUMMYFUNCTION("""COMPUTED_VALUE"""),45595.726388888885)</f>
        <v>45595.72639</v>
      </c>
      <c r="H291" s="31">
        <f>IFERROR(__xludf.DUMMYFUNCTION("""COMPUTED_VALUE"""),5.27)</f>
        <v>5.27</v>
      </c>
      <c r="I291" s="32">
        <f>IFERROR(__xludf.DUMMYFUNCTION("""COMPUTED_VALUE"""),45595.726388888885)</f>
        <v>45595.72639</v>
      </c>
      <c r="J291" s="31">
        <f>IFERROR(__xludf.DUMMYFUNCTION("""COMPUTED_VALUE"""),5.32)</f>
        <v>5.32</v>
      </c>
      <c r="K291" s="32"/>
      <c r="M291" s="32">
        <f>IFERROR(__xludf.DUMMYFUNCTION("""COMPUTED_VALUE"""),45595.726388888885)</f>
        <v>45595.72639</v>
      </c>
      <c r="N291" s="31">
        <f>IFERROR(__xludf.DUMMYFUNCTION("""COMPUTED_VALUE"""),5.41)</f>
        <v>5.41</v>
      </c>
      <c r="O291" s="32">
        <f>IFERROR(__xludf.DUMMYFUNCTION("""COMPUTED_VALUE"""),45596.6875)</f>
        <v>45596.6875</v>
      </c>
      <c r="P291" s="31">
        <f>IFERROR(__xludf.DUMMYFUNCTION("""COMPUTED_VALUE"""),606.45)</f>
        <v>606.45</v>
      </c>
      <c r="Q291" s="32">
        <f>IFERROR(__xludf.DUMMYFUNCTION("""COMPUTED_VALUE"""),45600.66666666667)</f>
        <v>45600.66667</v>
      </c>
      <c r="R291" s="31">
        <f>IFERROR(__xludf.DUMMYFUNCTION("""COMPUTED_VALUE"""),23.5)</f>
        <v>23.5</v>
      </c>
      <c r="S291" s="32">
        <f>IFERROR(__xludf.DUMMYFUNCTION("""COMPUTED_VALUE"""),45596.6875)</f>
        <v>45596.6875</v>
      </c>
      <c r="T291" s="31">
        <f>IFERROR(__xludf.DUMMYFUNCTION("""COMPUTED_VALUE"""),6.71)</f>
        <v>6.71</v>
      </c>
      <c r="U291" s="32">
        <f>IFERROR(__xludf.DUMMYFUNCTION("""COMPUTED_VALUE"""),45471.99861111111)</f>
        <v>45471.99861</v>
      </c>
      <c r="V291" s="31">
        <f>IFERROR(__xludf.DUMMYFUNCTION("""COMPUTED_VALUE"""),1.0719)</f>
        <v>1.0719</v>
      </c>
    </row>
    <row r="292" ht="15.75" customHeight="1">
      <c r="A292" s="32">
        <f>IFERROR(__xludf.DUMMYFUNCTION("""COMPUTED_VALUE"""),45608.73611111111)</f>
        <v>45608.73611</v>
      </c>
      <c r="B292" s="31">
        <f>IFERROR(__xludf.DUMMYFUNCTION("""COMPUTED_VALUE"""),101.95)</f>
        <v>101.95</v>
      </c>
      <c r="C292" s="32">
        <f>IFERROR(__xludf.DUMMYFUNCTION("""COMPUTED_VALUE"""),45600.726388888885)</f>
        <v>45600.72639</v>
      </c>
      <c r="D292" s="31">
        <f>IFERROR(__xludf.DUMMYFUNCTION("""COMPUTED_VALUE"""),5.38)</f>
        <v>5.38</v>
      </c>
      <c r="E292" s="32"/>
      <c r="G292" s="32">
        <f>IFERROR(__xludf.DUMMYFUNCTION("""COMPUTED_VALUE"""),45596.726388888885)</f>
        <v>45596.72639</v>
      </c>
      <c r="H292" s="31">
        <f>IFERROR(__xludf.DUMMYFUNCTION("""COMPUTED_VALUE"""),5.27)</f>
        <v>5.27</v>
      </c>
      <c r="I292" s="32">
        <f>IFERROR(__xludf.DUMMYFUNCTION("""COMPUTED_VALUE"""),45596.726388888885)</f>
        <v>45596.72639</v>
      </c>
      <c r="J292" s="31">
        <f>IFERROR(__xludf.DUMMYFUNCTION("""COMPUTED_VALUE"""),5.31)</f>
        <v>5.31</v>
      </c>
      <c r="K292" s="32"/>
      <c r="M292" s="32">
        <f>IFERROR(__xludf.DUMMYFUNCTION("""COMPUTED_VALUE"""),45596.726388888885)</f>
        <v>45596.72639</v>
      </c>
      <c r="N292" s="31">
        <f>IFERROR(__xludf.DUMMYFUNCTION("""COMPUTED_VALUE"""),5.41)</f>
        <v>5.41</v>
      </c>
      <c r="O292" s="32">
        <f>IFERROR(__xludf.DUMMYFUNCTION("""COMPUTED_VALUE"""),45597.6875)</f>
        <v>45597.6875</v>
      </c>
      <c r="P292" s="31">
        <f>IFERROR(__xludf.DUMMYFUNCTION("""COMPUTED_VALUE"""),609.47)</f>
        <v>609.47</v>
      </c>
      <c r="Q292" s="32">
        <f>IFERROR(__xludf.DUMMYFUNCTION("""COMPUTED_VALUE"""),45601.66666666667)</f>
        <v>45601.66667</v>
      </c>
      <c r="R292" s="31">
        <f>IFERROR(__xludf.DUMMYFUNCTION("""COMPUTED_VALUE"""),23.6)</f>
        <v>23.6</v>
      </c>
      <c r="S292" s="32">
        <f>IFERROR(__xludf.DUMMYFUNCTION("""COMPUTED_VALUE"""),45597.6875)</f>
        <v>45597.6875</v>
      </c>
      <c r="T292" s="31">
        <f>IFERROR(__xludf.DUMMYFUNCTION("""COMPUTED_VALUE"""),6.7)</f>
        <v>6.7</v>
      </c>
      <c r="U292" s="32">
        <f>IFERROR(__xludf.DUMMYFUNCTION("""COMPUTED_VALUE"""),45472.99861111111)</f>
        <v>45472.99861</v>
      </c>
      <c r="V292" s="31">
        <f>IFERROR(__xludf.DUMMYFUNCTION("""COMPUTED_VALUE"""),1.0719)</f>
        <v>1.0719</v>
      </c>
    </row>
    <row r="293" ht="15.75" customHeight="1">
      <c r="A293" s="32">
        <f>IFERROR(__xludf.DUMMYFUNCTION("""COMPUTED_VALUE"""),45609.73611111111)</f>
        <v>45609.73611</v>
      </c>
      <c r="B293" s="31">
        <f>IFERROR(__xludf.DUMMYFUNCTION("""COMPUTED_VALUE"""),102.17)</f>
        <v>102.17</v>
      </c>
      <c r="C293" s="32">
        <f>IFERROR(__xludf.DUMMYFUNCTION("""COMPUTED_VALUE"""),45601.726388888885)</f>
        <v>45601.72639</v>
      </c>
      <c r="D293" s="31">
        <f>IFERROR(__xludf.DUMMYFUNCTION("""COMPUTED_VALUE"""),5.38)</f>
        <v>5.38</v>
      </c>
      <c r="E293" s="32"/>
      <c r="G293" s="32">
        <f>IFERROR(__xludf.DUMMYFUNCTION("""COMPUTED_VALUE"""),45597.726388888885)</f>
        <v>45597.72639</v>
      </c>
      <c r="H293" s="31">
        <f>IFERROR(__xludf.DUMMYFUNCTION("""COMPUTED_VALUE"""),5.27)</f>
        <v>5.27</v>
      </c>
      <c r="I293" s="32">
        <f>IFERROR(__xludf.DUMMYFUNCTION("""COMPUTED_VALUE"""),45597.726388888885)</f>
        <v>45597.72639</v>
      </c>
      <c r="J293" s="31">
        <f>IFERROR(__xludf.DUMMYFUNCTION("""COMPUTED_VALUE"""),5.32)</f>
        <v>5.32</v>
      </c>
      <c r="K293" s="32"/>
      <c r="M293" s="32">
        <f>IFERROR(__xludf.DUMMYFUNCTION("""COMPUTED_VALUE"""),45597.726388888885)</f>
        <v>45597.72639</v>
      </c>
      <c r="N293" s="31">
        <f>IFERROR(__xludf.DUMMYFUNCTION("""COMPUTED_VALUE"""),5.42)</f>
        <v>5.42</v>
      </c>
      <c r="O293" s="32">
        <f>IFERROR(__xludf.DUMMYFUNCTION("""COMPUTED_VALUE"""),45600.6875)</f>
        <v>45600.6875</v>
      </c>
      <c r="P293" s="31">
        <f>IFERROR(__xludf.DUMMYFUNCTION("""COMPUTED_VALUE"""),605.71)</f>
        <v>605.71</v>
      </c>
      <c r="Q293" s="32">
        <f>IFERROR(__xludf.DUMMYFUNCTION("""COMPUTED_VALUE"""),45602.66666666667)</f>
        <v>45602.66667</v>
      </c>
      <c r="R293" s="31">
        <f>IFERROR(__xludf.DUMMYFUNCTION("""COMPUTED_VALUE"""),23.67)</f>
        <v>23.67</v>
      </c>
      <c r="S293" s="32">
        <f>IFERROR(__xludf.DUMMYFUNCTION("""COMPUTED_VALUE"""),45600.6875)</f>
        <v>45600.6875</v>
      </c>
      <c r="T293" s="31">
        <f>IFERROR(__xludf.DUMMYFUNCTION("""COMPUTED_VALUE"""),6.71)</f>
        <v>6.71</v>
      </c>
      <c r="U293" s="32">
        <f>IFERROR(__xludf.DUMMYFUNCTION("""COMPUTED_VALUE"""),45473.99861111111)</f>
        <v>45473.99861</v>
      </c>
      <c r="V293" s="31">
        <f>IFERROR(__xludf.DUMMYFUNCTION("""COMPUTED_VALUE"""),1.0734)</f>
        <v>1.0734</v>
      </c>
    </row>
    <row r="294" ht="15.75" customHeight="1">
      <c r="A294" s="32">
        <f>IFERROR(__xludf.DUMMYFUNCTION("""COMPUTED_VALUE"""),45610.73611111111)</f>
        <v>45610.73611</v>
      </c>
      <c r="B294" s="31">
        <f>IFERROR(__xludf.DUMMYFUNCTION("""COMPUTED_VALUE"""),102.29)</f>
        <v>102.29</v>
      </c>
      <c r="C294" s="32">
        <f>IFERROR(__xludf.DUMMYFUNCTION("""COMPUTED_VALUE"""),45602.726388888885)</f>
        <v>45602.72639</v>
      </c>
      <c r="D294" s="31">
        <f>IFERROR(__xludf.DUMMYFUNCTION("""COMPUTED_VALUE"""),5.39)</f>
        <v>5.39</v>
      </c>
      <c r="E294" s="32"/>
      <c r="G294" s="32">
        <f>IFERROR(__xludf.DUMMYFUNCTION("""COMPUTED_VALUE"""),45600.726388888885)</f>
        <v>45600.72639</v>
      </c>
      <c r="H294" s="31">
        <f>IFERROR(__xludf.DUMMYFUNCTION("""COMPUTED_VALUE"""),5.27)</f>
        <v>5.27</v>
      </c>
      <c r="I294" s="32">
        <f>IFERROR(__xludf.DUMMYFUNCTION("""COMPUTED_VALUE"""),45600.726388888885)</f>
        <v>45600.72639</v>
      </c>
      <c r="J294" s="31">
        <f>IFERROR(__xludf.DUMMYFUNCTION("""COMPUTED_VALUE"""),5.32)</f>
        <v>5.32</v>
      </c>
      <c r="K294" s="32"/>
      <c r="M294" s="32">
        <f>IFERROR(__xludf.DUMMYFUNCTION("""COMPUTED_VALUE"""),45600.726388888885)</f>
        <v>45600.72639</v>
      </c>
      <c r="N294" s="31">
        <f>IFERROR(__xludf.DUMMYFUNCTION("""COMPUTED_VALUE"""),5.42)</f>
        <v>5.42</v>
      </c>
      <c r="O294" s="32">
        <f>IFERROR(__xludf.DUMMYFUNCTION("""COMPUTED_VALUE"""),45601.6875)</f>
        <v>45601.6875</v>
      </c>
      <c r="P294" s="31">
        <f>IFERROR(__xludf.DUMMYFUNCTION("""COMPUTED_VALUE"""),610.67)</f>
        <v>610.67</v>
      </c>
      <c r="Q294" s="32">
        <f>IFERROR(__xludf.DUMMYFUNCTION("""COMPUTED_VALUE"""),45603.66666666667)</f>
        <v>45603.66667</v>
      </c>
      <c r="R294" s="31">
        <f>IFERROR(__xludf.DUMMYFUNCTION("""COMPUTED_VALUE"""),23.75)</f>
        <v>23.75</v>
      </c>
      <c r="S294" s="32">
        <f>IFERROR(__xludf.DUMMYFUNCTION("""COMPUTED_VALUE"""),45601.6875)</f>
        <v>45601.6875</v>
      </c>
      <c r="T294" s="31">
        <f>IFERROR(__xludf.DUMMYFUNCTION("""COMPUTED_VALUE"""),6.71)</f>
        <v>6.71</v>
      </c>
      <c r="U294" s="32">
        <f>IFERROR(__xludf.DUMMYFUNCTION("""COMPUTED_VALUE"""),45474.99861111111)</f>
        <v>45474.99861</v>
      </c>
      <c r="V294" s="31">
        <f>IFERROR(__xludf.DUMMYFUNCTION("""COMPUTED_VALUE"""),1.07363)</f>
        <v>1.07363</v>
      </c>
    </row>
    <row r="295" ht="15.75" customHeight="1">
      <c r="A295" s="32">
        <f>IFERROR(__xludf.DUMMYFUNCTION("""COMPUTED_VALUE"""),45611.73611111111)</f>
        <v>45611.73611</v>
      </c>
      <c r="B295" s="31">
        <f>IFERROR(__xludf.DUMMYFUNCTION("""COMPUTED_VALUE"""),102.3)</f>
        <v>102.3</v>
      </c>
      <c r="C295" s="32">
        <f>IFERROR(__xludf.DUMMYFUNCTION("""COMPUTED_VALUE"""),45603.726388888885)</f>
        <v>45603.72639</v>
      </c>
      <c r="D295" s="31">
        <f>IFERROR(__xludf.DUMMYFUNCTION("""COMPUTED_VALUE"""),5.39)</f>
        <v>5.39</v>
      </c>
      <c r="E295" s="32"/>
      <c r="G295" s="32">
        <f>IFERROR(__xludf.DUMMYFUNCTION("""COMPUTED_VALUE"""),45601.726388888885)</f>
        <v>45601.72639</v>
      </c>
      <c r="H295" s="31">
        <f>IFERROR(__xludf.DUMMYFUNCTION("""COMPUTED_VALUE"""),5.28)</f>
        <v>5.28</v>
      </c>
      <c r="I295" s="32">
        <f>IFERROR(__xludf.DUMMYFUNCTION("""COMPUTED_VALUE"""),45601.726388888885)</f>
        <v>45601.72639</v>
      </c>
      <c r="J295" s="31">
        <f>IFERROR(__xludf.DUMMYFUNCTION("""COMPUTED_VALUE"""),5.32)</f>
        <v>5.32</v>
      </c>
      <c r="K295" s="32"/>
      <c r="M295" s="32">
        <f>IFERROR(__xludf.DUMMYFUNCTION("""COMPUTED_VALUE"""),45601.726388888885)</f>
        <v>45601.72639</v>
      </c>
      <c r="N295" s="31">
        <f>IFERROR(__xludf.DUMMYFUNCTION("""COMPUTED_VALUE"""),5.41)</f>
        <v>5.41</v>
      </c>
      <c r="O295" s="32">
        <f>IFERROR(__xludf.DUMMYFUNCTION("""COMPUTED_VALUE"""),45602.6875)</f>
        <v>45602.6875</v>
      </c>
      <c r="P295" s="31">
        <f>IFERROR(__xludf.DUMMYFUNCTION("""COMPUTED_VALUE"""),624.62)</f>
        <v>624.62</v>
      </c>
      <c r="Q295" s="32">
        <f>IFERROR(__xludf.DUMMYFUNCTION("""COMPUTED_VALUE"""),45604.66666666667)</f>
        <v>45604.66667</v>
      </c>
      <c r="R295" s="31">
        <f>IFERROR(__xludf.DUMMYFUNCTION("""COMPUTED_VALUE"""),23.78)</f>
        <v>23.78</v>
      </c>
      <c r="S295" s="32">
        <f>IFERROR(__xludf.DUMMYFUNCTION("""COMPUTED_VALUE"""),45602.6875)</f>
        <v>45602.6875</v>
      </c>
      <c r="T295" s="31">
        <f>IFERROR(__xludf.DUMMYFUNCTION("""COMPUTED_VALUE"""),6.73)</f>
        <v>6.73</v>
      </c>
      <c r="U295" s="32">
        <f>IFERROR(__xludf.DUMMYFUNCTION("""COMPUTED_VALUE"""),45475.99861111111)</f>
        <v>45475.99861</v>
      </c>
      <c r="V295" s="31">
        <f>IFERROR(__xludf.DUMMYFUNCTION("""COMPUTED_VALUE"""),1.07479)</f>
        <v>1.07479</v>
      </c>
    </row>
    <row r="296" ht="15.75" customHeight="1">
      <c r="A296" s="32">
        <f>IFERROR(__xludf.DUMMYFUNCTION("""COMPUTED_VALUE"""),45614.73611111111)</f>
        <v>45614.73611</v>
      </c>
      <c r="B296" s="31">
        <f>IFERROR(__xludf.DUMMYFUNCTION("""COMPUTED_VALUE"""),102.31)</f>
        <v>102.31</v>
      </c>
      <c r="C296" s="32">
        <f>IFERROR(__xludf.DUMMYFUNCTION("""COMPUTED_VALUE"""),45604.726388888885)</f>
        <v>45604.72639</v>
      </c>
      <c r="D296" s="31">
        <f>IFERROR(__xludf.DUMMYFUNCTION("""COMPUTED_VALUE"""),5.4)</f>
        <v>5.4</v>
      </c>
      <c r="E296" s="32"/>
      <c r="G296" s="32">
        <f>IFERROR(__xludf.DUMMYFUNCTION("""COMPUTED_VALUE"""),45602.726388888885)</f>
        <v>45602.72639</v>
      </c>
      <c r="H296" s="31">
        <f>IFERROR(__xludf.DUMMYFUNCTION("""COMPUTED_VALUE"""),5.27)</f>
        <v>5.27</v>
      </c>
      <c r="I296" s="32">
        <f>IFERROR(__xludf.DUMMYFUNCTION("""COMPUTED_VALUE"""),45602.726388888885)</f>
        <v>45602.72639</v>
      </c>
      <c r="J296" s="31">
        <f>IFERROR(__xludf.DUMMYFUNCTION("""COMPUTED_VALUE"""),5.33)</f>
        <v>5.33</v>
      </c>
      <c r="K296" s="32"/>
      <c r="M296" s="32">
        <f>IFERROR(__xludf.DUMMYFUNCTION("""COMPUTED_VALUE"""),45602.726388888885)</f>
        <v>45602.72639</v>
      </c>
      <c r="N296" s="31">
        <f>IFERROR(__xludf.DUMMYFUNCTION("""COMPUTED_VALUE"""),5.43)</f>
        <v>5.43</v>
      </c>
      <c r="O296" s="32">
        <f>IFERROR(__xludf.DUMMYFUNCTION("""COMPUTED_VALUE"""),45603.6875)</f>
        <v>45603.6875</v>
      </c>
      <c r="P296" s="31">
        <f>IFERROR(__xludf.DUMMYFUNCTION("""COMPUTED_VALUE"""),631.86)</f>
        <v>631.86</v>
      </c>
      <c r="Q296" s="32">
        <f>IFERROR(__xludf.DUMMYFUNCTION("""COMPUTED_VALUE"""),45607.66666666667)</f>
        <v>45607.66667</v>
      </c>
      <c r="R296" s="31">
        <f>IFERROR(__xludf.DUMMYFUNCTION("""COMPUTED_VALUE"""),23.82)</f>
        <v>23.82</v>
      </c>
      <c r="S296" s="32">
        <f>IFERROR(__xludf.DUMMYFUNCTION("""COMPUTED_VALUE"""),45603.6875)</f>
        <v>45603.6875</v>
      </c>
      <c r="T296" s="31">
        <f>IFERROR(__xludf.DUMMYFUNCTION("""COMPUTED_VALUE"""),6.76)</f>
        <v>6.76</v>
      </c>
      <c r="U296" s="32">
        <f>IFERROR(__xludf.DUMMYFUNCTION("""COMPUTED_VALUE"""),45476.99861111111)</f>
        <v>45476.99861</v>
      </c>
      <c r="V296" s="31">
        <f>IFERROR(__xludf.DUMMYFUNCTION("""COMPUTED_VALUE"""),1.07908)</f>
        <v>1.07908</v>
      </c>
    </row>
    <row r="297" ht="15.75" customHeight="1">
      <c r="A297" s="32">
        <f>IFERROR(__xludf.DUMMYFUNCTION("""COMPUTED_VALUE"""),45615.73611111111)</f>
        <v>45615.73611</v>
      </c>
      <c r="B297" s="31">
        <f>IFERROR(__xludf.DUMMYFUNCTION("""COMPUTED_VALUE"""),102.19)</f>
        <v>102.19</v>
      </c>
      <c r="C297" s="32">
        <f>IFERROR(__xludf.DUMMYFUNCTION("""COMPUTED_VALUE"""),45607.726388888885)</f>
        <v>45607.72639</v>
      </c>
      <c r="D297" s="31">
        <f>IFERROR(__xludf.DUMMYFUNCTION("""COMPUTED_VALUE"""),5.4)</f>
        <v>5.4</v>
      </c>
      <c r="E297" s="32"/>
      <c r="G297" s="32">
        <f>IFERROR(__xludf.DUMMYFUNCTION("""COMPUTED_VALUE"""),45603.726388888885)</f>
        <v>45603.72639</v>
      </c>
      <c r="H297" s="31">
        <f>IFERROR(__xludf.DUMMYFUNCTION("""COMPUTED_VALUE"""),5.28)</f>
        <v>5.28</v>
      </c>
      <c r="I297" s="32">
        <f>IFERROR(__xludf.DUMMYFUNCTION("""COMPUTED_VALUE"""),45603.726388888885)</f>
        <v>45603.72639</v>
      </c>
      <c r="J297" s="31">
        <f>IFERROR(__xludf.DUMMYFUNCTION("""COMPUTED_VALUE"""),5.33)</f>
        <v>5.33</v>
      </c>
      <c r="K297" s="32"/>
      <c r="M297" s="32">
        <f>IFERROR(__xludf.DUMMYFUNCTION("""COMPUTED_VALUE"""),45603.726388888885)</f>
        <v>45603.72639</v>
      </c>
      <c r="N297" s="31">
        <f>IFERROR(__xludf.DUMMYFUNCTION("""COMPUTED_VALUE"""),5.43)</f>
        <v>5.43</v>
      </c>
      <c r="O297" s="32">
        <f>IFERROR(__xludf.DUMMYFUNCTION("""COMPUTED_VALUE"""),45604.6875)</f>
        <v>45604.6875</v>
      </c>
      <c r="P297" s="31">
        <f>IFERROR(__xludf.DUMMYFUNCTION("""COMPUTED_VALUE"""),634.8)</f>
        <v>634.8</v>
      </c>
      <c r="Q297" s="32">
        <f>IFERROR(__xludf.DUMMYFUNCTION("""COMPUTED_VALUE"""),45608.66666666667)</f>
        <v>45608.66667</v>
      </c>
      <c r="R297" s="31">
        <f>IFERROR(__xludf.DUMMYFUNCTION("""COMPUTED_VALUE"""),23.62)</f>
        <v>23.62</v>
      </c>
      <c r="S297" s="32">
        <f>IFERROR(__xludf.DUMMYFUNCTION("""COMPUTED_VALUE"""),45604.6875)</f>
        <v>45604.6875</v>
      </c>
      <c r="T297" s="31">
        <f>IFERROR(__xludf.DUMMYFUNCTION("""COMPUTED_VALUE"""),6.78)</f>
        <v>6.78</v>
      </c>
      <c r="U297" s="32">
        <f>IFERROR(__xludf.DUMMYFUNCTION("""COMPUTED_VALUE"""),45477.99861111111)</f>
        <v>45477.99861</v>
      </c>
      <c r="V297" s="31">
        <f>IFERROR(__xludf.DUMMYFUNCTION("""COMPUTED_VALUE"""),1.08104)</f>
        <v>1.08104</v>
      </c>
    </row>
    <row r="298" ht="15.75" customHeight="1">
      <c r="A298" s="32">
        <f>IFERROR(__xludf.DUMMYFUNCTION("""COMPUTED_VALUE"""),45616.73611111111)</f>
        <v>45616.73611</v>
      </c>
      <c r="B298" s="31">
        <f>IFERROR(__xludf.DUMMYFUNCTION("""COMPUTED_VALUE"""),102.95)</f>
        <v>102.95</v>
      </c>
      <c r="C298" s="32">
        <f>IFERROR(__xludf.DUMMYFUNCTION("""COMPUTED_VALUE"""),45608.726388888885)</f>
        <v>45608.72639</v>
      </c>
      <c r="D298" s="31">
        <f>IFERROR(__xludf.DUMMYFUNCTION("""COMPUTED_VALUE"""),5.4)</f>
        <v>5.4</v>
      </c>
      <c r="E298" s="32"/>
      <c r="G298" s="32">
        <f>IFERROR(__xludf.DUMMYFUNCTION("""COMPUTED_VALUE"""),45604.726388888885)</f>
        <v>45604.72639</v>
      </c>
      <c r="H298" s="31">
        <f>IFERROR(__xludf.DUMMYFUNCTION("""COMPUTED_VALUE"""),5.27)</f>
        <v>5.27</v>
      </c>
      <c r="I298" s="32">
        <f>IFERROR(__xludf.DUMMYFUNCTION("""COMPUTED_VALUE"""),45604.726388888885)</f>
        <v>45604.72639</v>
      </c>
      <c r="J298" s="31">
        <f>IFERROR(__xludf.DUMMYFUNCTION("""COMPUTED_VALUE"""),5.33)</f>
        <v>5.33</v>
      </c>
      <c r="K298" s="32"/>
      <c r="M298" s="32">
        <f>IFERROR(__xludf.DUMMYFUNCTION("""COMPUTED_VALUE"""),45604.726388888885)</f>
        <v>45604.72639</v>
      </c>
      <c r="N298" s="31">
        <f>IFERROR(__xludf.DUMMYFUNCTION("""COMPUTED_VALUE"""),5.44)</f>
        <v>5.44</v>
      </c>
      <c r="O298" s="32">
        <f>IFERROR(__xludf.DUMMYFUNCTION("""COMPUTED_VALUE"""),45607.6875)</f>
        <v>45607.6875</v>
      </c>
      <c r="P298" s="31">
        <f>IFERROR(__xludf.DUMMYFUNCTION("""COMPUTED_VALUE"""),636.41)</f>
        <v>636.41</v>
      </c>
      <c r="Q298" s="32">
        <f>IFERROR(__xludf.DUMMYFUNCTION("""COMPUTED_VALUE"""),45609.66666666667)</f>
        <v>45609.66667</v>
      </c>
      <c r="R298" s="31">
        <f>IFERROR(__xludf.DUMMYFUNCTION("""COMPUTED_VALUE"""),23.67)</f>
        <v>23.67</v>
      </c>
      <c r="S298" s="32">
        <f>IFERROR(__xludf.DUMMYFUNCTION("""COMPUTED_VALUE"""),45607.6875)</f>
        <v>45607.6875</v>
      </c>
      <c r="T298" s="31">
        <f>IFERROR(__xludf.DUMMYFUNCTION("""COMPUTED_VALUE"""),6.78)</f>
        <v>6.78</v>
      </c>
      <c r="U298" s="32">
        <f>IFERROR(__xludf.DUMMYFUNCTION("""COMPUTED_VALUE"""),45478.99861111111)</f>
        <v>45478.99861</v>
      </c>
      <c r="V298" s="31">
        <f>IFERROR(__xludf.DUMMYFUNCTION("""COMPUTED_VALUE"""),1.0849)</f>
        <v>1.0849</v>
      </c>
    </row>
    <row r="299" ht="15.75" customHeight="1">
      <c r="A299" s="32">
        <f>IFERROR(__xludf.DUMMYFUNCTION("""COMPUTED_VALUE"""),45617.73611111111)</f>
        <v>45617.73611</v>
      </c>
      <c r="B299" s="31">
        <f>IFERROR(__xludf.DUMMYFUNCTION("""COMPUTED_VALUE"""),103.19)</f>
        <v>103.19</v>
      </c>
      <c r="C299" s="32">
        <f>IFERROR(__xludf.DUMMYFUNCTION("""COMPUTED_VALUE"""),45609.726388888885)</f>
        <v>45609.72639</v>
      </c>
      <c r="D299" s="31">
        <f>IFERROR(__xludf.DUMMYFUNCTION("""COMPUTED_VALUE"""),5.4)</f>
        <v>5.4</v>
      </c>
      <c r="E299" s="32"/>
      <c r="G299" s="32">
        <f>IFERROR(__xludf.DUMMYFUNCTION("""COMPUTED_VALUE"""),45607.726388888885)</f>
        <v>45607.72639</v>
      </c>
      <c r="H299" s="31">
        <f>IFERROR(__xludf.DUMMYFUNCTION("""COMPUTED_VALUE"""),5.28)</f>
        <v>5.28</v>
      </c>
      <c r="I299" s="32">
        <f>IFERROR(__xludf.DUMMYFUNCTION("""COMPUTED_VALUE"""),45607.726388888885)</f>
        <v>45607.72639</v>
      </c>
      <c r="J299" s="31">
        <f>IFERROR(__xludf.DUMMYFUNCTION("""COMPUTED_VALUE"""),5.34)</f>
        <v>5.34</v>
      </c>
      <c r="K299" s="32"/>
      <c r="M299" s="32">
        <f>IFERROR(__xludf.DUMMYFUNCTION("""COMPUTED_VALUE"""),45607.726388888885)</f>
        <v>45607.72639</v>
      </c>
      <c r="N299" s="31">
        <f>IFERROR(__xludf.DUMMYFUNCTION("""COMPUTED_VALUE"""),5.45)</f>
        <v>5.45</v>
      </c>
      <c r="O299" s="32">
        <f>IFERROR(__xludf.DUMMYFUNCTION("""COMPUTED_VALUE"""),45608.6875)</f>
        <v>45608.6875</v>
      </c>
      <c r="P299" s="31">
        <f>IFERROR(__xludf.DUMMYFUNCTION("""COMPUTED_VALUE"""),634.03)</f>
        <v>634.03</v>
      </c>
      <c r="Q299" s="32">
        <f>IFERROR(__xludf.DUMMYFUNCTION("""COMPUTED_VALUE"""),45610.66666666667)</f>
        <v>45610.66667</v>
      </c>
      <c r="R299" s="31">
        <f>IFERROR(__xludf.DUMMYFUNCTION("""COMPUTED_VALUE"""),23.65)</f>
        <v>23.65</v>
      </c>
      <c r="S299" s="32">
        <f>IFERROR(__xludf.DUMMYFUNCTION("""COMPUTED_VALUE"""),45608.6875)</f>
        <v>45608.6875</v>
      </c>
      <c r="T299" s="31">
        <f>IFERROR(__xludf.DUMMYFUNCTION("""COMPUTED_VALUE"""),6.75)</f>
        <v>6.75</v>
      </c>
      <c r="U299" s="32">
        <f>IFERROR(__xludf.DUMMYFUNCTION("""COMPUTED_VALUE"""),45479.99861111111)</f>
        <v>45479.99861</v>
      </c>
      <c r="V299" s="31">
        <f>IFERROR(__xludf.DUMMYFUNCTION("""COMPUTED_VALUE"""),1.0839)</f>
        <v>1.0839</v>
      </c>
    </row>
    <row r="300" ht="15.75" customHeight="1">
      <c r="A300" s="32"/>
      <c r="C300" s="32">
        <f>IFERROR(__xludf.DUMMYFUNCTION("""COMPUTED_VALUE"""),45610.726388888885)</f>
        <v>45610.72639</v>
      </c>
      <c r="D300" s="31">
        <f>IFERROR(__xludf.DUMMYFUNCTION("""COMPUTED_VALUE"""),5.41)</f>
        <v>5.41</v>
      </c>
      <c r="E300" s="32"/>
      <c r="G300" s="32">
        <f>IFERROR(__xludf.DUMMYFUNCTION("""COMPUTED_VALUE"""),45608.726388888885)</f>
        <v>45608.72639</v>
      </c>
      <c r="H300" s="31">
        <f>IFERROR(__xludf.DUMMYFUNCTION("""COMPUTED_VALUE"""),5.27)</f>
        <v>5.27</v>
      </c>
      <c r="I300" s="32">
        <f>IFERROR(__xludf.DUMMYFUNCTION("""COMPUTED_VALUE"""),45608.726388888885)</f>
        <v>45608.72639</v>
      </c>
      <c r="J300" s="31">
        <f>IFERROR(__xludf.DUMMYFUNCTION("""COMPUTED_VALUE"""),5.34)</f>
        <v>5.34</v>
      </c>
      <c r="K300" s="32"/>
      <c r="M300" s="32">
        <f>IFERROR(__xludf.DUMMYFUNCTION("""COMPUTED_VALUE"""),45608.726388888885)</f>
        <v>45608.72639</v>
      </c>
      <c r="N300" s="31">
        <f>IFERROR(__xludf.DUMMYFUNCTION("""COMPUTED_VALUE"""),5.44)</f>
        <v>5.44</v>
      </c>
      <c r="O300" s="32">
        <f>IFERROR(__xludf.DUMMYFUNCTION("""COMPUTED_VALUE"""),45609.6875)</f>
        <v>45609.6875</v>
      </c>
      <c r="P300" s="31">
        <f>IFERROR(__xludf.DUMMYFUNCTION("""COMPUTED_VALUE"""),634.97)</f>
        <v>634.97</v>
      </c>
      <c r="Q300" s="32">
        <f>IFERROR(__xludf.DUMMYFUNCTION("""COMPUTED_VALUE"""),45611.66666666667)</f>
        <v>45611.66667</v>
      </c>
      <c r="R300" s="31">
        <f>IFERROR(__xludf.DUMMYFUNCTION("""COMPUTED_VALUE"""),23.61)</f>
        <v>23.61</v>
      </c>
      <c r="S300" s="32">
        <f>IFERROR(__xludf.DUMMYFUNCTION("""COMPUTED_VALUE"""),45609.6875)</f>
        <v>45609.6875</v>
      </c>
      <c r="T300" s="31">
        <f>IFERROR(__xludf.DUMMYFUNCTION("""COMPUTED_VALUE"""),6.75)</f>
        <v>6.75</v>
      </c>
      <c r="U300" s="32">
        <f>IFERROR(__xludf.DUMMYFUNCTION("""COMPUTED_VALUE"""),45480.99861111111)</f>
        <v>45480.99861</v>
      </c>
      <c r="V300" s="31">
        <f>IFERROR(__xludf.DUMMYFUNCTION("""COMPUTED_VALUE"""),1.0825)</f>
        <v>1.0825</v>
      </c>
    </row>
    <row r="301" ht="15.75" customHeight="1">
      <c r="A301" s="32"/>
      <c r="C301" s="32">
        <f>IFERROR(__xludf.DUMMYFUNCTION("""COMPUTED_VALUE"""),45611.726388888885)</f>
        <v>45611.72639</v>
      </c>
      <c r="D301" s="31">
        <f>IFERROR(__xludf.DUMMYFUNCTION("""COMPUTED_VALUE"""),5.41)</f>
        <v>5.41</v>
      </c>
      <c r="E301" s="32"/>
      <c r="G301" s="32">
        <f>IFERROR(__xludf.DUMMYFUNCTION("""COMPUTED_VALUE"""),45609.726388888885)</f>
        <v>45609.72639</v>
      </c>
      <c r="H301" s="31">
        <f>IFERROR(__xludf.DUMMYFUNCTION("""COMPUTED_VALUE"""),5.28)</f>
        <v>5.28</v>
      </c>
      <c r="I301" s="32">
        <f>IFERROR(__xludf.DUMMYFUNCTION("""COMPUTED_VALUE"""),45609.726388888885)</f>
        <v>45609.72639</v>
      </c>
      <c r="J301" s="31">
        <f>IFERROR(__xludf.DUMMYFUNCTION("""COMPUTED_VALUE"""),5.33)</f>
        <v>5.33</v>
      </c>
      <c r="K301" s="32"/>
      <c r="M301" s="32">
        <f>IFERROR(__xludf.DUMMYFUNCTION("""COMPUTED_VALUE"""),45609.726388888885)</f>
        <v>45609.72639</v>
      </c>
      <c r="N301" s="31">
        <f>IFERROR(__xludf.DUMMYFUNCTION("""COMPUTED_VALUE"""),5.44)</f>
        <v>5.44</v>
      </c>
      <c r="O301" s="32">
        <f>IFERROR(__xludf.DUMMYFUNCTION("""COMPUTED_VALUE"""),45610.6875)</f>
        <v>45610.6875</v>
      </c>
      <c r="P301" s="31">
        <f>IFERROR(__xludf.DUMMYFUNCTION("""COMPUTED_VALUE"""),633.34)</f>
        <v>633.34</v>
      </c>
      <c r="Q301" s="32">
        <f>IFERROR(__xludf.DUMMYFUNCTION("""COMPUTED_VALUE"""),45614.66666666667)</f>
        <v>45614.66667</v>
      </c>
      <c r="R301" s="31">
        <f>IFERROR(__xludf.DUMMYFUNCTION("""COMPUTED_VALUE"""),23.66)</f>
        <v>23.66</v>
      </c>
      <c r="S301" s="32">
        <f>IFERROR(__xludf.DUMMYFUNCTION("""COMPUTED_VALUE"""),45610.6875)</f>
        <v>45610.6875</v>
      </c>
      <c r="T301" s="31">
        <f>IFERROR(__xludf.DUMMYFUNCTION("""COMPUTED_VALUE"""),6.75)</f>
        <v>6.75</v>
      </c>
      <c r="U301" s="32">
        <f>IFERROR(__xludf.DUMMYFUNCTION("""COMPUTED_VALUE"""),45481.99861111111)</f>
        <v>45481.99861</v>
      </c>
      <c r="V301" s="31">
        <f>IFERROR(__xludf.DUMMYFUNCTION("""COMPUTED_VALUE"""),1.08303)</f>
        <v>1.08303</v>
      </c>
    </row>
    <row r="302" ht="15.75" customHeight="1">
      <c r="A302" s="32"/>
      <c r="C302" s="32">
        <f>IFERROR(__xludf.DUMMYFUNCTION("""COMPUTED_VALUE"""),45614.726388888885)</f>
        <v>45614.72639</v>
      </c>
      <c r="D302" s="31">
        <f>IFERROR(__xludf.DUMMYFUNCTION("""COMPUTED_VALUE"""),5.4)</f>
        <v>5.4</v>
      </c>
      <c r="E302" s="32"/>
      <c r="G302" s="32">
        <f>IFERROR(__xludf.DUMMYFUNCTION("""COMPUTED_VALUE"""),45610.726388888885)</f>
        <v>45610.72639</v>
      </c>
      <c r="H302" s="31">
        <f>IFERROR(__xludf.DUMMYFUNCTION("""COMPUTED_VALUE"""),5.29)</f>
        <v>5.29</v>
      </c>
      <c r="I302" s="32">
        <f>IFERROR(__xludf.DUMMYFUNCTION("""COMPUTED_VALUE"""),45610.726388888885)</f>
        <v>45610.72639</v>
      </c>
      <c r="J302" s="31">
        <f>IFERROR(__xludf.DUMMYFUNCTION("""COMPUTED_VALUE"""),5.34)</f>
        <v>5.34</v>
      </c>
      <c r="K302" s="32"/>
      <c r="M302" s="32">
        <f>IFERROR(__xludf.DUMMYFUNCTION("""COMPUTED_VALUE"""),45610.726388888885)</f>
        <v>45610.72639</v>
      </c>
      <c r="N302" s="31">
        <f>IFERROR(__xludf.DUMMYFUNCTION("""COMPUTED_VALUE"""),5.45)</f>
        <v>5.45</v>
      </c>
      <c r="O302" s="32">
        <f>IFERROR(__xludf.DUMMYFUNCTION("""COMPUTED_VALUE"""),45611.6875)</f>
        <v>45611.6875</v>
      </c>
      <c r="P302" s="31">
        <f>IFERROR(__xludf.DUMMYFUNCTION("""COMPUTED_VALUE"""),622.84)</f>
        <v>622.84</v>
      </c>
      <c r="Q302" s="32">
        <f>IFERROR(__xludf.DUMMYFUNCTION("""COMPUTED_VALUE"""),45615.66666666667)</f>
        <v>45615.66667</v>
      </c>
      <c r="R302" s="31">
        <f>IFERROR(__xludf.DUMMYFUNCTION("""COMPUTED_VALUE"""),23.71)</f>
        <v>23.71</v>
      </c>
      <c r="S302" s="32">
        <f>IFERROR(__xludf.DUMMYFUNCTION("""COMPUTED_VALUE"""),45611.6875)</f>
        <v>45611.6875</v>
      </c>
      <c r="T302" s="31">
        <f>IFERROR(__xludf.DUMMYFUNCTION("""COMPUTED_VALUE"""),6.72)</f>
        <v>6.72</v>
      </c>
      <c r="U302" s="32">
        <f>IFERROR(__xludf.DUMMYFUNCTION("""COMPUTED_VALUE"""),45482.99861111111)</f>
        <v>45482.99861</v>
      </c>
      <c r="V302" s="31">
        <f>IFERROR(__xludf.DUMMYFUNCTION("""COMPUTED_VALUE"""),1.08144)</f>
        <v>1.08144</v>
      </c>
    </row>
    <row r="303" ht="15.75" customHeight="1">
      <c r="A303" s="32"/>
      <c r="C303" s="32">
        <f>IFERROR(__xludf.DUMMYFUNCTION("""COMPUTED_VALUE"""),45615.726388888885)</f>
        <v>45615.72639</v>
      </c>
      <c r="D303" s="31">
        <f>IFERROR(__xludf.DUMMYFUNCTION("""COMPUTED_VALUE"""),5.4)</f>
        <v>5.4</v>
      </c>
      <c r="E303" s="32"/>
      <c r="G303" s="32">
        <f>IFERROR(__xludf.DUMMYFUNCTION("""COMPUTED_VALUE"""),45611.726388888885)</f>
        <v>45611.72639</v>
      </c>
      <c r="H303" s="31">
        <f>IFERROR(__xludf.DUMMYFUNCTION("""COMPUTED_VALUE"""),5.28)</f>
        <v>5.28</v>
      </c>
      <c r="I303" s="32">
        <f>IFERROR(__xludf.DUMMYFUNCTION("""COMPUTED_VALUE"""),45611.726388888885)</f>
        <v>45611.72639</v>
      </c>
      <c r="J303" s="31">
        <f>IFERROR(__xludf.DUMMYFUNCTION("""COMPUTED_VALUE"""),5.34)</f>
        <v>5.34</v>
      </c>
      <c r="K303" s="32"/>
      <c r="M303" s="32">
        <f>IFERROR(__xludf.DUMMYFUNCTION("""COMPUTED_VALUE"""),45611.726388888885)</f>
        <v>45611.72639</v>
      </c>
      <c r="N303" s="31">
        <f>IFERROR(__xludf.DUMMYFUNCTION("""COMPUTED_VALUE"""),5.45)</f>
        <v>5.45</v>
      </c>
      <c r="O303" s="32">
        <f>IFERROR(__xludf.DUMMYFUNCTION("""COMPUTED_VALUE"""),45614.6875)</f>
        <v>45614.6875</v>
      </c>
      <c r="P303" s="31">
        <f>IFERROR(__xludf.DUMMYFUNCTION("""COMPUTED_VALUE"""),625.37)</f>
        <v>625.37</v>
      </c>
      <c r="Q303" s="32">
        <f>IFERROR(__xludf.DUMMYFUNCTION("""COMPUTED_VALUE"""),45616.66666666667)</f>
        <v>45616.66667</v>
      </c>
      <c r="R303" s="31">
        <f>IFERROR(__xludf.DUMMYFUNCTION("""COMPUTED_VALUE"""),23.68)</f>
        <v>23.68</v>
      </c>
      <c r="S303" s="32">
        <f>IFERROR(__xludf.DUMMYFUNCTION("""COMPUTED_VALUE"""),45614.6875)</f>
        <v>45614.6875</v>
      </c>
      <c r="T303" s="31">
        <f>IFERROR(__xludf.DUMMYFUNCTION("""COMPUTED_VALUE"""),6.74)</f>
        <v>6.74</v>
      </c>
      <c r="U303" s="32">
        <f>IFERROR(__xludf.DUMMYFUNCTION("""COMPUTED_VALUE"""),45483.99861111111)</f>
        <v>45483.99861</v>
      </c>
      <c r="V303" s="31">
        <f>IFERROR(__xludf.DUMMYFUNCTION("""COMPUTED_VALUE"""),1.08328)</f>
        <v>1.08328</v>
      </c>
    </row>
    <row r="304" ht="15.75" customHeight="1">
      <c r="A304" s="32"/>
      <c r="C304" s="32">
        <f>IFERROR(__xludf.DUMMYFUNCTION("""COMPUTED_VALUE"""),45616.726388888885)</f>
        <v>45616.72639</v>
      </c>
      <c r="D304" s="31">
        <f>IFERROR(__xludf.DUMMYFUNCTION("""COMPUTED_VALUE"""),5.4)</f>
        <v>5.4</v>
      </c>
      <c r="E304" s="32"/>
      <c r="G304" s="32">
        <f>IFERROR(__xludf.DUMMYFUNCTION("""COMPUTED_VALUE"""),45614.726388888885)</f>
        <v>45614.72639</v>
      </c>
      <c r="H304" s="31">
        <f>IFERROR(__xludf.DUMMYFUNCTION("""COMPUTED_VALUE"""),5.28)</f>
        <v>5.28</v>
      </c>
      <c r="I304" s="32">
        <f>IFERROR(__xludf.DUMMYFUNCTION("""COMPUTED_VALUE"""),45614.726388888885)</f>
        <v>45614.72639</v>
      </c>
      <c r="J304" s="31">
        <f>IFERROR(__xludf.DUMMYFUNCTION("""COMPUTED_VALUE"""),5.34)</f>
        <v>5.34</v>
      </c>
      <c r="K304" s="32"/>
      <c r="M304" s="32">
        <f>IFERROR(__xludf.DUMMYFUNCTION("""COMPUTED_VALUE"""),45614.726388888885)</f>
        <v>45614.72639</v>
      </c>
      <c r="N304" s="31">
        <f>IFERROR(__xludf.DUMMYFUNCTION("""COMPUTED_VALUE"""),5.44)</f>
        <v>5.44</v>
      </c>
      <c r="O304" s="32">
        <f>IFERROR(__xludf.DUMMYFUNCTION("""COMPUTED_VALUE"""),45615.6875)</f>
        <v>45615.6875</v>
      </c>
      <c r="P304" s="31">
        <f>IFERROR(__xludf.DUMMYFUNCTION("""COMPUTED_VALUE"""),625.26)</f>
        <v>625.26</v>
      </c>
      <c r="Q304" s="32">
        <f>IFERROR(__xludf.DUMMYFUNCTION("""COMPUTED_VALUE"""),45617.66666666667)</f>
        <v>45617.66667</v>
      </c>
      <c r="R304" s="31">
        <f>IFERROR(__xludf.DUMMYFUNCTION("""COMPUTED_VALUE"""),23.71)</f>
        <v>23.71</v>
      </c>
      <c r="S304" s="32">
        <f>IFERROR(__xludf.DUMMYFUNCTION("""COMPUTED_VALUE"""),45615.6875)</f>
        <v>45615.6875</v>
      </c>
      <c r="T304" s="31">
        <f>IFERROR(__xludf.DUMMYFUNCTION("""COMPUTED_VALUE"""),6.76)</f>
        <v>6.76</v>
      </c>
      <c r="U304" s="32">
        <f>IFERROR(__xludf.DUMMYFUNCTION("""COMPUTED_VALUE"""),45484.99861111111)</f>
        <v>45484.99861</v>
      </c>
      <c r="V304" s="31">
        <f>IFERROR(__xludf.DUMMYFUNCTION("""COMPUTED_VALUE"""),1.08721)</f>
        <v>1.08721</v>
      </c>
    </row>
    <row r="305" ht="15.75" customHeight="1">
      <c r="C305" s="31">
        <f>IFERROR(__xludf.DUMMYFUNCTION("""COMPUTED_VALUE"""),45617.726388888885)</f>
        <v>45617.72639</v>
      </c>
      <c r="D305" s="31">
        <f>IFERROR(__xludf.DUMMYFUNCTION("""COMPUTED_VALUE"""),5.4)</f>
        <v>5.4</v>
      </c>
      <c r="G305" s="32">
        <f>IFERROR(__xludf.DUMMYFUNCTION("""COMPUTED_VALUE"""),45615.726388888885)</f>
        <v>45615.72639</v>
      </c>
      <c r="H305" s="31">
        <f>IFERROR(__xludf.DUMMYFUNCTION("""COMPUTED_VALUE"""),5.28)</f>
        <v>5.28</v>
      </c>
      <c r="I305" s="32">
        <f>IFERROR(__xludf.DUMMYFUNCTION("""COMPUTED_VALUE"""),45615.726388888885)</f>
        <v>45615.72639</v>
      </c>
      <c r="J305" s="31">
        <f>IFERROR(__xludf.DUMMYFUNCTION("""COMPUTED_VALUE"""),5.33)</f>
        <v>5.33</v>
      </c>
      <c r="K305" s="32"/>
      <c r="M305" s="32">
        <f>IFERROR(__xludf.DUMMYFUNCTION("""COMPUTED_VALUE"""),45615.726388888885)</f>
        <v>45615.72639</v>
      </c>
      <c r="N305" s="31">
        <f>IFERROR(__xludf.DUMMYFUNCTION("""COMPUTED_VALUE"""),5.44)</f>
        <v>5.44</v>
      </c>
      <c r="O305" s="32">
        <f>IFERROR(__xludf.DUMMYFUNCTION("""COMPUTED_VALUE"""),45616.6875)</f>
        <v>45616.6875</v>
      </c>
      <c r="P305" s="31">
        <f>IFERROR(__xludf.DUMMYFUNCTION("""COMPUTED_VALUE"""),622.08)</f>
        <v>622.08</v>
      </c>
      <c r="Q305" s="32"/>
      <c r="S305" s="32">
        <f>IFERROR(__xludf.DUMMYFUNCTION("""COMPUTED_VALUE"""),45616.6875)</f>
        <v>45616.6875</v>
      </c>
      <c r="T305" s="31">
        <f>IFERROR(__xludf.DUMMYFUNCTION("""COMPUTED_VALUE"""),6.75)</f>
        <v>6.75</v>
      </c>
      <c r="U305" s="32">
        <f>IFERROR(__xludf.DUMMYFUNCTION("""COMPUTED_VALUE"""),45485.99861111111)</f>
        <v>45485.99861</v>
      </c>
      <c r="V305" s="31">
        <f>IFERROR(__xludf.DUMMYFUNCTION("""COMPUTED_VALUE"""),1.092)</f>
        <v>1.092</v>
      </c>
    </row>
    <row r="306" ht="15.75" customHeight="1">
      <c r="G306" s="32">
        <f>IFERROR(__xludf.DUMMYFUNCTION("""COMPUTED_VALUE"""),45616.726388888885)</f>
        <v>45616.72639</v>
      </c>
      <c r="H306" s="31">
        <f>IFERROR(__xludf.DUMMYFUNCTION("""COMPUTED_VALUE"""),5.27)</f>
        <v>5.27</v>
      </c>
      <c r="I306" s="32">
        <f>IFERROR(__xludf.DUMMYFUNCTION("""COMPUTED_VALUE"""),45616.726388888885)</f>
        <v>45616.72639</v>
      </c>
      <c r="J306" s="31">
        <f>IFERROR(__xludf.DUMMYFUNCTION("""COMPUTED_VALUE"""),5.33)</f>
        <v>5.33</v>
      </c>
      <c r="K306" s="32"/>
      <c r="M306" s="32">
        <f>IFERROR(__xludf.DUMMYFUNCTION("""COMPUTED_VALUE"""),45616.726388888885)</f>
        <v>45616.72639</v>
      </c>
      <c r="N306" s="31">
        <f>IFERROR(__xludf.DUMMYFUNCTION("""COMPUTED_VALUE"""),5.43)</f>
        <v>5.43</v>
      </c>
      <c r="O306" s="32">
        <f>IFERROR(__xludf.DUMMYFUNCTION("""COMPUTED_VALUE"""),45617.6875)</f>
        <v>45617.6875</v>
      </c>
      <c r="P306" s="31">
        <f>IFERROR(__xludf.DUMMYFUNCTION("""COMPUTED_VALUE"""),629.67)</f>
        <v>629.67</v>
      </c>
      <c r="Q306" s="32"/>
      <c r="S306" s="32">
        <f>IFERROR(__xludf.DUMMYFUNCTION("""COMPUTED_VALUE"""),45617.6875)</f>
        <v>45617.6875</v>
      </c>
      <c r="T306" s="31">
        <f>IFERROR(__xludf.DUMMYFUNCTION("""COMPUTED_VALUE"""),6.76)</f>
        <v>6.76</v>
      </c>
      <c r="U306" s="32">
        <f>IFERROR(__xludf.DUMMYFUNCTION("""COMPUTED_VALUE"""),45486.99861111111)</f>
        <v>45486.99861</v>
      </c>
      <c r="V306" s="31">
        <f>IFERROR(__xludf.DUMMYFUNCTION("""COMPUTED_VALUE"""),1.0919)</f>
        <v>1.0919</v>
      </c>
    </row>
    <row r="307" ht="15.75" customHeight="1">
      <c r="G307" s="32">
        <f>IFERROR(__xludf.DUMMYFUNCTION("""COMPUTED_VALUE"""),45617.726388888885)</f>
        <v>45617.72639</v>
      </c>
      <c r="H307" s="31">
        <f>IFERROR(__xludf.DUMMYFUNCTION("""COMPUTED_VALUE"""),5.28)</f>
        <v>5.28</v>
      </c>
      <c r="I307" s="32">
        <f>IFERROR(__xludf.DUMMYFUNCTION("""COMPUTED_VALUE"""),45617.726388888885)</f>
        <v>45617.72639</v>
      </c>
      <c r="J307" s="31">
        <f>IFERROR(__xludf.DUMMYFUNCTION("""COMPUTED_VALUE"""),5.34)</f>
        <v>5.34</v>
      </c>
      <c r="K307" s="32"/>
      <c r="M307" s="32">
        <f>IFERROR(__xludf.DUMMYFUNCTION("""COMPUTED_VALUE"""),45617.726388888885)</f>
        <v>45617.72639</v>
      </c>
      <c r="N307" s="31">
        <f>IFERROR(__xludf.DUMMYFUNCTION("""COMPUTED_VALUE"""),5.44)</f>
        <v>5.44</v>
      </c>
      <c r="O307" s="32"/>
      <c r="Q307" s="32"/>
      <c r="S307" s="32"/>
      <c r="U307" s="32">
        <f>IFERROR(__xludf.DUMMYFUNCTION("""COMPUTED_VALUE"""),45487.99861111111)</f>
        <v>45487.99861</v>
      </c>
      <c r="V307" s="31">
        <f>IFERROR(__xludf.DUMMYFUNCTION("""COMPUTED_VALUE"""),1.0885)</f>
        <v>1.0885</v>
      </c>
    </row>
    <row r="308" ht="15.75" customHeight="1">
      <c r="G308" s="32"/>
      <c r="I308" s="32"/>
      <c r="K308" s="32"/>
      <c r="M308" s="32"/>
      <c r="O308" s="32"/>
      <c r="Q308" s="32"/>
      <c r="S308" s="32"/>
      <c r="U308" s="32">
        <f>IFERROR(__xludf.DUMMYFUNCTION("""COMPUTED_VALUE"""),45488.99861111111)</f>
        <v>45488.99861</v>
      </c>
      <c r="V308" s="31">
        <f>IFERROR(__xludf.DUMMYFUNCTION("""COMPUTED_VALUE"""),1.0898)</f>
        <v>1.0898</v>
      </c>
    </row>
    <row r="309" ht="15.75" customHeight="1">
      <c r="G309" s="32"/>
      <c r="I309" s="32"/>
      <c r="K309" s="32"/>
      <c r="M309" s="32"/>
      <c r="O309" s="32"/>
      <c r="Q309" s="32"/>
      <c r="S309" s="32"/>
      <c r="U309" s="32">
        <f>IFERROR(__xludf.DUMMYFUNCTION("""COMPUTED_VALUE"""),45489.99861111111)</f>
        <v>45489.99861</v>
      </c>
      <c r="V309" s="31">
        <f>IFERROR(__xludf.DUMMYFUNCTION("""COMPUTED_VALUE"""),1.09017)</f>
        <v>1.09017</v>
      </c>
    </row>
    <row r="310" ht="15.75" customHeight="1">
      <c r="G310" s="32"/>
      <c r="I310" s="32"/>
      <c r="K310" s="32"/>
      <c r="M310" s="32"/>
      <c r="O310" s="32"/>
      <c r="Q310" s="32"/>
      <c r="S310" s="32"/>
      <c r="U310" s="32">
        <f>IFERROR(__xludf.DUMMYFUNCTION("""COMPUTED_VALUE"""),45490.99861111111)</f>
        <v>45490.99861</v>
      </c>
      <c r="V310" s="31">
        <f>IFERROR(__xludf.DUMMYFUNCTION("""COMPUTED_VALUE"""),1.09387)</f>
        <v>1.09387</v>
      </c>
    </row>
    <row r="311" ht="15.75" customHeight="1">
      <c r="G311" s="32"/>
      <c r="I311" s="32"/>
      <c r="K311" s="32"/>
      <c r="M311" s="32"/>
      <c r="O311" s="32"/>
      <c r="Q311" s="32"/>
      <c r="S311" s="32"/>
      <c r="U311" s="32">
        <f>IFERROR(__xludf.DUMMYFUNCTION("""COMPUTED_VALUE"""),45491.99861111111)</f>
        <v>45491.99861</v>
      </c>
      <c r="V311" s="31">
        <f>IFERROR(__xludf.DUMMYFUNCTION("""COMPUTED_VALUE"""),1.0901)</f>
        <v>1.0901</v>
      </c>
    </row>
    <row r="312" ht="15.75" customHeight="1">
      <c r="G312" s="32"/>
      <c r="I312" s="32"/>
      <c r="K312" s="32"/>
      <c r="M312" s="32"/>
      <c r="O312" s="32"/>
      <c r="Q312" s="32"/>
      <c r="S312" s="32"/>
      <c r="U312" s="32">
        <f>IFERROR(__xludf.DUMMYFUNCTION("""COMPUTED_VALUE"""),45492.99861111111)</f>
        <v>45492.99861</v>
      </c>
      <c r="V312" s="31">
        <f>IFERROR(__xludf.DUMMYFUNCTION("""COMPUTED_VALUE"""),1.0891)</f>
        <v>1.0891</v>
      </c>
    </row>
    <row r="313" ht="15.75" customHeight="1">
      <c r="G313" s="32"/>
      <c r="I313" s="32"/>
      <c r="K313" s="32"/>
      <c r="M313" s="32"/>
      <c r="O313" s="32"/>
      <c r="Q313" s="32"/>
      <c r="S313" s="32"/>
      <c r="U313" s="32">
        <f>IFERROR(__xludf.DUMMYFUNCTION("""COMPUTED_VALUE"""),45493.99861111111)</f>
        <v>45493.99861</v>
      </c>
      <c r="V313" s="31">
        <f>IFERROR(__xludf.DUMMYFUNCTION("""COMPUTED_VALUE"""),1.089)</f>
        <v>1.089</v>
      </c>
    </row>
    <row r="314" ht="15.75" customHeight="1">
      <c r="G314" s="32"/>
      <c r="I314" s="32"/>
      <c r="K314" s="32"/>
      <c r="M314" s="32"/>
      <c r="O314" s="32"/>
      <c r="Q314" s="32"/>
      <c r="S314" s="32"/>
      <c r="U314" s="32">
        <f>IFERROR(__xludf.DUMMYFUNCTION("""COMPUTED_VALUE"""),45494.99861111111)</f>
        <v>45494.99861</v>
      </c>
      <c r="V314" s="31">
        <f>IFERROR(__xludf.DUMMYFUNCTION("""COMPUTED_VALUE"""),1.08986)</f>
        <v>1.08986</v>
      </c>
    </row>
    <row r="315" ht="15.75" customHeight="1">
      <c r="G315" s="32"/>
      <c r="I315" s="32"/>
      <c r="K315" s="32"/>
      <c r="M315" s="32"/>
      <c r="O315" s="32"/>
      <c r="Q315" s="32"/>
      <c r="S315" s="32"/>
      <c r="U315" s="32">
        <f>IFERROR(__xludf.DUMMYFUNCTION("""COMPUTED_VALUE"""),45495.99861111111)</f>
        <v>45495.99861</v>
      </c>
      <c r="V315" s="31">
        <f>IFERROR(__xludf.DUMMYFUNCTION("""COMPUTED_VALUE"""),1.08894)</f>
        <v>1.08894</v>
      </c>
    </row>
    <row r="316" ht="15.75" customHeight="1">
      <c r="G316" s="32"/>
      <c r="I316" s="32"/>
      <c r="K316" s="32"/>
      <c r="M316" s="32"/>
      <c r="O316" s="32"/>
      <c r="Q316" s="32"/>
      <c r="S316" s="32"/>
      <c r="U316" s="32">
        <f>IFERROR(__xludf.DUMMYFUNCTION("""COMPUTED_VALUE"""),45496.99861111111)</f>
        <v>45496.99861</v>
      </c>
      <c r="V316" s="31">
        <f>IFERROR(__xludf.DUMMYFUNCTION("""COMPUTED_VALUE"""),1.08491)</f>
        <v>1.08491</v>
      </c>
    </row>
    <row r="317" ht="15.75" customHeight="1">
      <c r="G317" s="32"/>
      <c r="I317" s="32"/>
      <c r="K317" s="32"/>
      <c r="M317" s="32"/>
      <c r="O317" s="32"/>
      <c r="Q317" s="32"/>
      <c r="S317" s="32"/>
      <c r="U317" s="32">
        <f>IFERROR(__xludf.DUMMYFUNCTION("""COMPUTED_VALUE"""),45497.99861111111)</f>
        <v>45497.99861</v>
      </c>
      <c r="V317" s="31">
        <f>IFERROR(__xludf.DUMMYFUNCTION("""COMPUTED_VALUE"""),1.08389)</f>
        <v>1.08389</v>
      </c>
    </row>
    <row r="318" ht="15.75" customHeight="1">
      <c r="G318" s="32"/>
      <c r="I318" s="32"/>
      <c r="K318" s="32"/>
      <c r="M318" s="32"/>
      <c r="O318" s="32"/>
      <c r="Q318" s="32"/>
      <c r="S318" s="32"/>
      <c r="U318" s="32">
        <f>IFERROR(__xludf.DUMMYFUNCTION("""COMPUTED_VALUE"""),45498.99861111111)</f>
        <v>45498.99861</v>
      </c>
      <c r="V318" s="31">
        <f>IFERROR(__xludf.DUMMYFUNCTION("""COMPUTED_VALUE"""),1.08509)</f>
        <v>1.08509</v>
      </c>
    </row>
    <row r="319" ht="15.75" customHeight="1">
      <c r="G319" s="32"/>
      <c r="I319" s="32"/>
      <c r="K319" s="32"/>
      <c r="M319" s="32"/>
      <c r="O319" s="32"/>
      <c r="Q319" s="32"/>
      <c r="S319" s="32"/>
      <c r="U319" s="32">
        <f>IFERROR(__xludf.DUMMYFUNCTION("""COMPUTED_VALUE"""),45499.99861111111)</f>
        <v>45499.99861</v>
      </c>
      <c r="V319" s="31">
        <f>IFERROR(__xludf.DUMMYFUNCTION("""COMPUTED_VALUE"""),1.0871)</f>
        <v>1.0871</v>
      </c>
    </row>
    <row r="320" ht="15.75" customHeight="1">
      <c r="G320" s="32"/>
      <c r="I320" s="32"/>
      <c r="K320" s="32"/>
      <c r="M320" s="32"/>
      <c r="O320" s="32"/>
      <c r="Q320" s="32"/>
      <c r="S320" s="32"/>
      <c r="U320" s="32">
        <f>IFERROR(__xludf.DUMMYFUNCTION("""COMPUTED_VALUE"""),45500.99861111111)</f>
        <v>45500.99861</v>
      </c>
      <c r="V320" s="31">
        <f>IFERROR(__xludf.DUMMYFUNCTION("""COMPUTED_VALUE"""),1.087)</f>
        <v>1.087</v>
      </c>
    </row>
    <row r="321" ht="15.75" customHeight="1">
      <c r="G321" s="32"/>
      <c r="I321" s="32"/>
      <c r="K321" s="32"/>
      <c r="M321" s="32"/>
      <c r="O321" s="32"/>
      <c r="Q321" s="32"/>
      <c r="S321" s="32"/>
      <c r="U321" s="32">
        <f>IFERROR(__xludf.DUMMYFUNCTION("""COMPUTED_VALUE"""),45501.99861111111)</f>
        <v>45501.99861</v>
      </c>
      <c r="V321" s="31">
        <f>IFERROR(__xludf.DUMMYFUNCTION("""COMPUTED_VALUE"""),1.08529)</f>
        <v>1.08529</v>
      </c>
    </row>
    <row r="322" ht="15.75" customHeight="1">
      <c r="G322" s="32"/>
      <c r="I322" s="32"/>
      <c r="K322" s="32"/>
      <c r="M322" s="32"/>
      <c r="O322" s="32"/>
      <c r="Q322" s="32"/>
      <c r="S322" s="32"/>
      <c r="U322" s="32">
        <f>IFERROR(__xludf.DUMMYFUNCTION("""COMPUTED_VALUE"""),45502.99861111111)</f>
        <v>45502.99861</v>
      </c>
      <c r="V322" s="31">
        <f>IFERROR(__xludf.DUMMYFUNCTION("""COMPUTED_VALUE"""),1.08188)</f>
        <v>1.08188</v>
      </c>
    </row>
    <row r="323" ht="15.75" customHeight="1">
      <c r="G323" s="32"/>
      <c r="I323" s="32"/>
      <c r="K323" s="32"/>
      <c r="M323" s="32"/>
      <c r="O323" s="32"/>
      <c r="Q323" s="32"/>
      <c r="S323" s="32"/>
      <c r="U323" s="32">
        <f>IFERROR(__xludf.DUMMYFUNCTION("""COMPUTED_VALUE"""),45503.99861111111)</f>
        <v>45503.99861</v>
      </c>
      <c r="V323" s="31">
        <f>IFERROR(__xludf.DUMMYFUNCTION("""COMPUTED_VALUE"""),1.0816)</f>
        <v>1.0816</v>
      </c>
    </row>
    <row r="324" ht="15.75" customHeight="1">
      <c r="G324" s="32"/>
      <c r="I324" s="32"/>
      <c r="K324" s="32"/>
      <c r="M324" s="32"/>
      <c r="O324" s="32"/>
      <c r="Q324" s="32"/>
      <c r="S324" s="32"/>
      <c r="U324" s="32">
        <f>IFERROR(__xludf.DUMMYFUNCTION("""COMPUTED_VALUE"""),45504.99861111111)</f>
        <v>45504.99861</v>
      </c>
      <c r="V324" s="31">
        <f>IFERROR(__xludf.DUMMYFUNCTION("""COMPUTED_VALUE"""),1.0823)</f>
        <v>1.0823</v>
      </c>
    </row>
    <row r="325" ht="15.75" customHeight="1">
      <c r="G325" s="32"/>
      <c r="I325" s="32"/>
      <c r="K325" s="32"/>
      <c r="M325" s="32"/>
      <c r="O325" s="32"/>
      <c r="Q325" s="32"/>
      <c r="S325" s="32"/>
      <c r="U325" s="32">
        <f>IFERROR(__xludf.DUMMYFUNCTION("""COMPUTED_VALUE"""),45505.99861111111)</f>
        <v>45505.99861</v>
      </c>
      <c r="V325" s="31">
        <f>IFERROR(__xludf.DUMMYFUNCTION("""COMPUTED_VALUE"""),1.0787)</f>
        <v>1.0787</v>
      </c>
    </row>
    <row r="326" ht="15.75" customHeight="1">
      <c r="G326" s="32"/>
      <c r="I326" s="32"/>
      <c r="K326" s="32"/>
      <c r="M326" s="32"/>
      <c r="O326" s="32"/>
      <c r="Q326" s="32"/>
      <c r="S326" s="32"/>
      <c r="U326" s="32">
        <f>IFERROR(__xludf.DUMMYFUNCTION("""COMPUTED_VALUE"""),45506.99861111111)</f>
        <v>45506.99861</v>
      </c>
      <c r="V326" s="31">
        <f>IFERROR(__xludf.DUMMYFUNCTION("""COMPUTED_VALUE"""),1.0919)</f>
        <v>1.0919</v>
      </c>
    </row>
    <row r="327" ht="15.75" customHeight="1">
      <c r="G327" s="32"/>
      <c r="I327" s="32"/>
      <c r="K327" s="32"/>
      <c r="M327" s="32"/>
      <c r="O327" s="32"/>
      <c r="Q327" s="32"/>
      <c r="S327" s="32"/>
      <c r="U327" s="32">
        <f>IFERROR(__xludf.DUMMYFUNCTION("""COMPUTED_VALUE"""),45507.99861111111)</f>
        <v>45507.99861</v>
      </c>
      <c r="V327" s="31">
        <f>IFERROR(__xludf.DUMMYFUNCTION("""COMPUTED_VALUE"""),1.0915)</f>
        <v>1.0915</v>
      </c>
    </row>
    <row r="328" ht="15.75" customHeight="1">
      <c r="G328" s="32"/>
      <c r="I328" s="32"/>
      <c r="K328" s="32"/>
      <c r="M328" s="32"/>
      <c r="O328" s="32"/>
      <c r="Q328" s="32"/>
      <c r="S328" s="32"/>
      <c r="U328" s="32">
        <f>IFERROR(__xludf.DUMMYFUNCTION("""COMPUTED_VALUE"""),45508.99861111111)</f>
        <v>45508.99861</v>
      </c>
      <c r="V328" s="31">
        <f>IFERROR(__xludf.DUMMYFUNCTION("""COMPUTED_VALUE"""),1.09099)</f>
        <v>1.09099</v>
      </c>
    </row>
    <row r="329" ht="15.75" customHeight="1">
      <c r="G329" s="32"/>
      <c r="I329" s="32"/>
      <c r="K329" s="32"/>
      <c r="M329" s="32"/>
      <c r="O329" s="32"/>
      <c r="Q329" s="32"/>
      <c r="S329" s="32"/>
      <c r="U329" s="32">
        <f>IFERROR(__xludf.DUMMYFUNCTION("""COMPUTED_VALUE"""),45509.99861111111)</f>
        <v>45509.99861</v>
      </c>
      <c r="V329" s="31">
        <f>IFERROR(__xludf.DUMMYFUNCTION("""COMPUTED_VALUE"""),1.09506)</f>
        <v>1.09506</v>
      </c>
    </row>
    <row r="330" ht="15.75" customHeight="1">
      <c r="G330" s="32"/>
      <c r="I330" s="32"/>
      <c r="K330" s="32"/>
      <c r="M330" s="32"/>
      <c r="O330" s="32"/>
      <c r="Q330" s="32"/>
      <c r="S330" s="32"/>
      <c r="U330" s="32">
        <f>IFERROR(__xludf.DUMMYFUNCTION("""COMPUTED_VALUE"""),45510.99861111111)</f>
        <v>45510.99861</v>
      </c>
      <c r="V330" s="31">
        <f>IFERROR(__xludf.DUMMYFUNCTION("""COMPUTED_VALUE"""),1.09252)</f>
        <v>1.09252</v>
      </c>
    </row>
    <row r="331" ht="15.75" customHeight="1">
      <c r="G331" s="32"/>
      <c r="I331" s="32"/>
      <c r="K331" s="32"/>
      <c r="M331" s="32"/>
      <c r="O331" s="32"/>
      <c r="Q331" s="32"/>
      <c r="S331" s="32"/>
      <c r="U331" s="32">
        <f>IFERROR(__xludf.DUMMYFUNCTION("""COMPUTED_VALUE"""),45511.99861111111)</f>
        <v>45511.99861</v>
      </c>
      <c r="V331" s="31">
        <f>IFERROR(__xludf.DUMMYFUNCTION("""COMPUTED_VALUE"""),1.09275)</f>
        <v>1.09275</v>
      </c>
    </row>
    <row r="332" ht="15.75" customHeight="1">
      <c r="G332" s="32"/>
      <c r="I332" s="32"/>
      <c r="K332" s="32"/>
      <c r="M332" s="32"/>
      <c r="O332" s="32"/>
      <c r="Q332" s="32"/>
      <c r="S332" s="32"/>
      <c r="U332" s="32">
        <f>IFERROR(__xludf.DUMMYFUNCTION("""COMPUTED_VALUE"""),45512.99861111111)</f>
        <v>45512.99861</v>
      </c>
      <c r="V332" s="31">
        <f>IFERROR(__xludf.DUMMYFUNCTION("""COMPUTED_VALUE"""),1.09152)</f>
        <v>1.09152</v>
      </c>
    </row>
    <row r="333" ht="15.75" customHeight="1">
      <c r="G333" s="32"/>
      <c r="I333" s="32"/>
      <c r="K333" s="32"/>
      <c r="M333" s="32"/>
      <c r="O333" s="32"/>
      <c r="Q333" s="32"/>
      <c r="S333" s="32"/>
      <c r="U333" s="32">
        <f>IFERROR(__xludf.DUMMYFUNCTION("""COMPUTED_VALUE"""),45513.99861111111)</f>
        <v>45513.99861</v>
      </c>
      <c r="V333" s="31">
        <f>IFERROR(__xludf.DUMMYFUNCTION("""COMPUTED_VALUE"""),1.0925)</f>
        <v>1.0925</v>
      </c>
    </row>
    <row r="334" ht="15.75" customHeight="1">
      <c r="G334" s="32"/>
      <c r="I334" s="32"/>
      <c r="K334" s="32"/>
      <c r="M334" s="32"/>
      <c r="O334" s="32"/>
      <c r="Q334" s="32"/>
      <c r="S334" s="32"/>
      <c r="U334" s="32">
        <f>IFERROR(__xludf.DUMMYFUNCTION("""COMPUTED_VALUE"""),45514.99861111111)</f>
        <v>45514.99861</v>
      </c>
      <c r="V334" s="31">
        <f>IFERROR(__xludf.DUMMYFUNCTION("""COMPUTED_VALUE"""),1.0924)</f>
        <v>1.0924</v>
      </c>
    </row>
    <row r="335" ht="15.75" customHeight="1">
      <c r="G335" s="32"/>
      <c r="I335" s="32"/>
      <c r="K335" s="32"/>
      <c r="M335" s="32"/>
      <c r="O335" s="32"/>
      <c r="Q335" s="32"/>
      <c r="S335" s="32"/>
      <c r="U335" s="32">
        <f>IFERROR(__xludf.DUMMYFUNCTION("""COMPUTED_VALUE"""),45515.99861111111)</f>
        <v>45515.99861</v>
      </c>
      <c r="V335" s="31">
        <f>IFERROR(__xludf.DUMMYFUNCTION("""COMPUTED_VALUE"""),1.0913)</f>
        <v>1.0913</v>
      </c>
    </row>
    <row r="336" ht="15.75" customHeight="1">
      <c r="G336" s="32"/>
      <c r="I336" s="32"/>
      <c r="K336" s="32"/>
      <c r="M336" s="32"/>
      <c r="O336" s="32"/>
      <c r="S336" s="32"/>
      <c r="U336" s="32">
        <f>IFERROR(__xludf.DUMMYFUNCTION("""COMPUTED_VALUE"""),45516.99861111111)</f>
        <v>45516.99861</v>
      </c>
      <c r="V336" s="31">
        <f>IFERROR(__xludf.DUMMYFUNCTION("""COMPUTED_VALUE"""),1.09352)</f>
        <v>1.09352</v>
      </c>
    </row>
    <row r="337" ht="15.75" customHeight="1">
      <c r="U337" s="32">
        <f>IFERROR(__xludf.DUMMYFUNCTION("""COMPUTED_VALUE"""),45517.99861111111)</f>
        <v>45517.99861</v>
      </c>
      <c r="V337" s="31">
        <f>IFERROR(__xludf.DUMMYFUNCTION("""COMPUTED_VALUE"""),1.09956)</f>
        <v>1.09956</v>
      </c>
    </row>
    <row r="338" ht="15.75" customHeight="1">
      <c r="U338" s="32">
        <f>IFERROR(__xludf.DUMMYFUNCTION("""COMPUTED_VALUE"""),45518.99861111111)</f>
        <v>45518.99861</v>
      </c>
      <c r="V338" s="31">
        <f>IFERROR(__xludf.DUMMYFUNCTION("""COMPUTED_VALUE"""),1.10118)</f>
        <v>1.10118</v>
      </c>
    </row>
    <row r="339" ht="15.75" customHeight="1">
      <c r="U339" s="32">
        <f>IFERROR(__xludf.DUMMYFUNCTION("""COMPUTED_VALUE"""),45519.99861111111)</f>
        <v>45519.99861</v>
      </c>
      <c r="V339" s="31">
        <f>IFERROR(__xludf.DUMMYFUNCTION("""COMPUTED_VALUE"""),1.09722)</f>
        <v>1.09722</v>
      </c>
    </row>
    <row r="340" ht="15.75" customHeight="1">
      <c r="U340" s="32">
        <f>IFERROR(__xludf.DUMMYFUNCTION("""COMPUTED_VALUE"""),45520.99861111111)</f>
        <v>45520.99861</v>
      </c>
      <c r="V340" s="31">
        <f>IFERROR(__xludf.DUMMYFUNCTION("""COMPUTED_VALUE"""),1.103)</f>
        <v>1.103</v>
      </c>
    </row>
    <row r="341" ht="15.75" customHeight="1">
      <c r="U341" s="32">
        <f>IFERROR(__xludf.DUMMYFUNCTION("""COMPUTED_VALUE"""),45521.99861111111)</f>
        <v>45521.99861</v>
      </c>
      <c r="V341" s="31">
        <f>IFERROR(__xludf.DUMMYFUNCTION("""COMPUTED_VALUE"""),1.103)</f>
        <v>1.103</v>
      </c>
    </row>
    <row r="342" ht="15.75" customHeight="1">
      <c r="U342" s="32">
        <f>IFERROR(__xludf.DUMMYFUNCTION("""COMPUTED_VALUE"""),45522.99861111111)</f>
        <v>45522.99861</v>
      </c>
      <c r="V342" s="31">
        <f>IFERROR(__xludf.DUMMYFUNCTION("""COMPUTED_VALUE"""),1.10244)</f>
        <v>1.10244</v>
      </c>
    </row>
    <row r="343" ht="15.75" customHeight="1">
      <c r="U343" s="32">
        <f>IFERROR(__xludf.DUMMYFUNCTION("""COMPUTED_VALUE"""),45523.99861111111)</f>
        <v>45523.99861</v>
      </c>
      <c r="V343" s="31">
        <f>IFERROR(__xludf.DUMMYFUNCTION("""COMPUTED_VALUE"""),1.10856)</f>
        <v>1.10856</v>
      </c>
    </row>
    <row r="344" ht="15.75" customHeight="1">
      <c r="U344" s="32">
        <f>IFERROR(__xludf.DUMMYFUNCTION("""COMPUTED_VALUE"""),45524.99861111111)</f>
        <v>45524.99861</v>
      </c>
      <c r="V344" s="31">
        <f>IFERROR(__xludf.DUMMYFUNCTION("""COMPUTED_VALUE"""),1.11273)</f>
        <v>1.11273</v>
      </c>
    </row>
    <row r="345" ht="15.75" customHeight="1">
      <c r="U345" s="32">
        <f>IFERROR(__xludf.DUMMYFUNCTION("""COMPUTED_VALUE"""),45525.99861111111)</f>
        <v>45525.99861</v>
      </c>
      <c r="V345" s="31">
        <f>IFERROR(__xludf.DUMMYFUNCTION("""COMPUTED_VALUE"""),1.11548)</f>
        <v>1.11548</v>
      </c>
    </row>
    <row r="346" ht="15.75" customHeight="1">
      <c r="U346" s="32">
        <f>IFERROR(__xludf.DUMMYFUNCTION("""COMPUTED_VALUE"""),45526.99861111111)</f>
        <v>45526.99861</v>
      </c>
      <c r="V346" s="31">
        <f>IFERROR(__xludf.DUMMYFUNCTION("""COMPUTED_VALUE"""),1.11163)</f>
        <v>1.11163</v>
      </c>
    </row>
    <row r="347" ht="15.75" customHeight="1">
      <c r="U347" s="32">
        <f>IFERROR(__xludf.DUMMYFUNCTION("""COMPUTED_VALUE"""),45527.99861111111)</f>
        <v>45527.99861</v>
      </c>
      <c r="V347" s="31">
        <f>IFERROR(__xludf.DUMMYFUNCTION("""COMPUTED_VALUE"""),1.1207)</f>
        <v>1.1207</v>
      </c>
    </row>
    <row r="348" ht="15.75" customHeight="1">
      <c r="U348" s="32">
        <f>IFERROR(__xludf.DUMMYFUNCTION("""COMPUTED_VALUE"""),45528.99861111111)</f>
        <v>45528.99861</v>
      </c>
      <c r="V348" s="31">
        <f>IFERROR(__xludf.DUMMYFUNCTION("""COMPUTED_VALUE"""),1.1192)</f>
        <v>1.1192</v>
      </c>
    </row>
    <row r="349" ht="15.75" customHeight="1">
      <c r="U349" s="32">
        <f>IFERROR(__xludf.DUMMYFUNCTION("""COMPUTED_VALUE"""),45529.99861111111)</f>
        <v>45529.99861</v>
      </c>
      <c r="V349" s="31">
        <f>IFERROR(__xludf.DUMMYFUNCTION("""COMPUTED_VALUE"""),1.1187)</f>
        <v>1.1187</v>
      </c>
    </row>
    <row r="350" ht="15.75" customHeight="1">
      <c r="U350" s="32">
        <f>IFERROR(__xludf.DUMMYFUNCTION("""COMPUTED_VALUE"""),45530.99861111111)</f>
        <v>45530.99861</v>
      </c>
      <c r="V350" s="31">
        <f>IFERROR(__xludf.DUMMYFUNCTION("""COMPUTED_VALUE"""),1.11644)</f>
        <v>1.11644</v>
      </c>
    </row>
    <row r="351" ht="15.75" customHeight="1">
      <c r="U351" s="32">
        <f>IFERROR(__xludf.DUMMYFUNCTION("""COMPUTED_VALUE"""),45531.99861111111)</f>
        <v>45531.99861</v>
      </c>
      <c r="V351" s="31">
        <f>IFERROR(__xludf.DUMMYFUNCTION("""COMPUTED_VALUE"""),1.11771)</f>
        <v>1.11771</v>
      </c>
    </row>
    <row r="352" ht="15.75" customHeight="1">
      <c r="U352" s="32">
        <f>IFERROR(__xludf.DUMMYFUNCTION("""COMPUTED_VALUE"""),45532.99861111111)</f>
        <v>45532.99861</v>
      </c>
      <c r="V352" s="31">
        <f>IFERROR(__xludf.DUMMYFUNCTION("""COMPUTED_VALUE"""),1.11244)</f>
        <v>1.11244</v>
      </c>
    </row>
    <row r="353" ht="15.75" customHeight="1">
      <c r="U353" s="32">
        <f>IFERROR(__xludf.DUMMYFUNCTION("""COMPUTED_VALUE"""),45533.99861111111)</f>
        <v>45533.99861</v>
      </c>
      <c r="V353" s="31">
        <f>IFERROR(__xludf.DUMMYFUNCTION("""COMPUTED_VALUE"""),1.108)</f>
        <v>1.108</v>
      </c>
    </row>
    <row r="354" ht="15.75" customHeight="1">
      <c r="U354" s="32">
        <f>IFERROR(__xludf.DUMMYFUNCTION("""COMPUTED_VALUE"""),45534.99861111111)</f>
        <v>45534.99861</v>
      </c>
      <c r="V354" s="31">
        <f>IFERROR(__xludf.DUMMYFUNCTION("""COMPUTED_VALUE"""),1.106)</f>
        <v>1.106</v>
      </c>
    </row>
    <row r="355" ht="15.75" customHeight="1">
      <c r="U355" s="32">
        <f>IFERROR(__xludf.DUMMYFUNCTION("""COMPUTED_VALUE"""),45535.99861111111)</f>
        <v>45535.99861</v>
      </c>
      <c r="V355" s="31">
        <f>IFERROR(__xludf.DUMMYFUNCTION("""COMPUTED_VALUE"""),1.1059)</f>
        <v>1.1059</v>
      </c>
    </row>
    <row r="356" ht="15.75" customHeight="1">
      <c r="U356" s="32">
        <f>IFERROR(__xludf.DUMMYFUNCTION("""COMPUTED_VALUE"""),45536.99861111111)</f>
        <v>45536.99861</v>
      </c>
      <c r="V356" s="31">
        <f>IFERROR(__xludf.DUMMYFUNCTION("""COMPUTED_VALUE"""),1.10444)</f>
        <v>1.10444</v>
      </c>
    </row>
    <row r="357" ht="15.75" customHeight="1">
      <c r="U357" s="32">
        <f>IFERROR(__xludf.DUMMYFUNCTION("""COMPUTED_VALUE"""),45537.99861111111)</f>
        <v>45537.99861</v>
      </c>
      <c r="V357" s="31">
        <f>IFERROR(__xludf.DUMMYFUNCTION("""COMPUTED_VALUE"""),1.10671)</f>
        <v>1.10671</v>
      </c>
    </row>
    <row r="358" ht="15.75" customHeight="1">
      <c r="U358" s="32">
        <f>IFERROR(__xludf.DUMMYFUNCTION("""COMPUTED_VALUE"""),45538.99861111111)</f>
        <v>45538.99861</v>
      </c>
      <c r="V358" s="31">
        <f>IFERROR(__xludf.DUMMYFUNCTION("""COMPUTED_VALUE"""),1.10485)</f>
        <v>1.10485</v>
      </c>
    </row>
    <row r="359" ht="15.75" customHeight="1">
      <c r="U359" s="32">
        <f>IFERROR(__xludf.DUMMYFUNCTION("""COMPUTED_VALUE"""),45539.99861111111)</f>
        <v>45539.99861</v>
      </c>
      <c r="V359" s="31">
        <f>IFERROR(__xludf.DUMMYFUNCTION("""COMPUTED_VALUE"""),1.10794)</f>
        <v>1.10794</v>
      </c>
    </row>
    <row r="360" ht="15.75" customHeight="1">
      <c r="U360" s="32">
        <f>IFERROR(__xludf.DUMMYFUNCTION("""COMPUTED_VALUE"""),45540.99861111111)</f>
        <v>45540.99861</v>
      </c>
      <c r="V360" s="31">
        <f>IFERROR(__xludf.DUMMYFUNCTION("""COMPUTED_VALUE"""),1.11105)</f>
        <v>1.11105</v>
      </c>
    </row>
    <row r="361" ht="15.75" customHeight="1">
      <c r="U361" s="32">
        <f>IFERROR(__xludf.DUMMYFUNCTION("""COMPUTED_VALUE"""),45541.99861111111)</f>
        <v>45541.99861</v>
      </c>
      <c r="V361" s="31">
        <f>IFERROR(__xludf.DUMMYFUNCTION("""COMPUTED_VALUE"""),1.1093)</f>
        <v>1.1093</v>
      </c>
    </row>
    <row r="362" ht="15.75" customHeight="1">
      <c r="U362" s="32">
        <f>IFERROR(__xludf.DUMMYFUNCTION("""COMPUTED_VALUE"""),45542.99861111111)</f>
        <v>45542.99861</v>
      </c>
      <c r="V362" s="31">
        <f>IFERROR(__xludf.DUMMYFUNCTION("""COMPUTED_VALUE"""),1.1088)</f>
        <v>1.1088</v>
      </c>
    </row>
    <row r="363" ht="15.75" customHeight="1">
      <c r="U363" s="32">
        <f>IFERROR(__xludf.DUMMYFUNCTION("""COMPUTED_VALUE"""),45543.99861111111)</f>
        <v>45543.99861</v>
      </c>
      <c r="V363" s="31">
        <f>IFERROR(__xludf.DUMMYFUNCTION("""COMPUTED_VALUE"""),1.10866)</f>
        <v>1.10866</v>
      </c>
    </row>
    <row r="364" ht="15.75" customHeight="1">
      <c r="U364" s="32">
        <f>IFERROR(__xludf.DUMMYFUNCTION("""COMPUTED_VALUE"""),45544.99861111111)</f>
        <v>45544.99861</v>
      </c>
      <c r="V364" s="31">
        <f>IFERROR(__xludf.DUMMYFUNCTION("""COMPUTED_VALUE"""),1.10351)</f>
        <v>1.10351</v>
      </c>
    </row>
    <row r="365" ht="15.75" customHeight="1">
      <c r="U365" s="32">
        <f>IFERROR(__xludf.DUMMYFUNCTION("""COMPUTED_VALUE"""),45545.99861111111)</f>
        <v>45545.99861</v>
      </c>
      <c r="V365" s="31">
        <f>IFERROR(__xludf.DUMMYFUNCTION("""COMPUTED_VALUE"""),1.10201)</f>
        <v>1.10201</v>
      </c>
    </row>
    <row r="366" ht="15.75" customHeight="1">
      <c r="U366" s="32">
        <f>IFERROR(__xludf.DUMMYFUNCTION("""COMPUTED_VALUE"""),45546.99861111111)</f>
        <v>45546.99861</v>
      </c>
      <c r="V366" s="31">
        <f>IFERROR(__xludf.DUMMYFUNCTION("""COMPUTED_VALUE"""),1.10106)</f>
        <v>1.10106</v>
      </c>
    </row>
    <row r="367" ht="15.75" customHeight="1">
      <c r="U367" s="32">
        <f>IFERROR(__xludf.DUMMYFUNCTION("""COMPUTED_VALUE"""),45547.99861111111)</f>
        <v>45547.99861</v>
      </c>
      <c r="V367" s="31">
        <f>IFERROR(__xludf.DUMMYFUNCTION("""COMPUTED_VALUE"""),1.10778)</f>
        <v>1.10778</v>
      </c>
    </row>
    <row r="368" ht="15.75" customHeight="1">
      <c r="U368" s="32">
        <f>IFERROR(__xludf.DUMMYFUNCTION("""COMPUTED_VALUE"""),45548.99861111111)</f>
        <v>45548.99861</v>
      </c>
      <c r="V368" s="31">
        <f>IFERROR(__xludf.DUMMYFUNCTION("""COMPUTED_VALUE"""),1.1086)</f>
        <v>1.1086</v>
      </c>
    </row>
    <row r="369" ht="15.75" customHeight="1">
      <c r="U369" s="32">
        <f>IFERROR(__xludf.DUMMYFUNCTION("""COMPUTED_VALUE"""),45549.99861111111)</f>
        <v>45549.99861</v>
      </c>
      <c r="V369" s="31">
        <f>IFERROR(__xludf.DUMMYFUNCTION("""COMPUTED_VALUE"""),1.1081)</f>
        <v>1.1081</v>
      </c>
    </row>
    <row r="370" ht="15.75" customHeight="1">
      <c r="U370" s="32">
        <f>IFERROR(__xludf.DUMMYFUNCTION("""COMPUTED_VALUE"""),45550.99861111111)</f>
        <v>45550.99861</v>
      </c>
      <c r="V370" s="31">
        <f>IFERROR(__xludf.DUMMYFUNCTION("""COMPUTED_VALUE"""),1.10879)</f>
        <v>1.10879</v>
      </c>
    </row>
    <row r="371" ht="15.75" customHeight="1">
      <c r="U371" s="32">
        <f>IFERROR(__xludf.DUMMYFUNCTION("""COMPUTED_VALUE"""),45551.99861111111)</f>
        <v>45551.99861</v>
      </c>
      <c r="V371" s="31">
        <f>IFERROR(__xludf.DUMMYFUNCTION("""COMPUTED_VALUE"""),1.11291)</f>
        <v>1.11291</v>
      </c>
    </row>
    <row r="372" ht="15.75" customHeight="1">
      <c r="U372" s="32">
        <f>IFERROR(__xludf.DUMMYFUNCTION("""COMPUTED_VALUE"""),45552.99861111111)</f>
        <v>45552.99861</v>
      </c>
      <c r="V372" s="31">
        <f>IFERROR(__xludf.DUMMYFUNCTION("""COMPUTED_VALUE"""),1.11224)</f>
        <v>1.11224</v>
      </c>
    </row>
    <row r="373" ht="15.75" customHeight="1">
      <c r="U373" s="32">
        <f>IFERROR(__xludf.DUMMYFUNCTION("""COMPUTED_VALUE"""),45553.99861111111)</f>
        <v>45553.99861</v>
      </c>
      <c r="V373" s="31">
        <f>IFERROR(__xludf.DUMMYFUNCTION("""COMPUTED_VALUE"""),1.11127)</f>
        <v>1.11127</v>
      </c>
    </row>
    <row r="374" ht="15.75" customHeight="1">
      <c r="U374" s="32">
        <f>IFERROR(__xludf.DUMMYFUNCTION("""COMPUTED_VALUE"""),45554.99861111111)</f>
        <v>45554.99861</v>
      </c>
      <c r="V374" s="31">
        <f>IFERROR(__xludf.DUMMYFUNCTION("""COMPUTED_VALUE"""),1.11593)</f>
        <v>1.11593</v>
      </c>
    </row>
    <row r="375" ht="15.75" customHeight="1">
      <c r="U375" s="32">
        <f>IFERROR(__xludf.DUMMYFUNCTION("""COMPUTED_VALUE"""),45555.99861111111)</f>
        <v>45555.99861</v>
      </c>
      <c r="V375" s="31">
        <f>IFERROR(__xludf.DUMMYFUNCTION("""COMPUTED_VALUE"""),1.1174)</f>
        <v>1.1174</v>
      </c>
    </row>
    <row r="376" ht="15.75" customHeight="1">
      <c r="U376" s="32">
        <f>IFERROR(__xludf.DUMMYFUNCTION("""COMPUTED_VALUE"""),45556.99861111111)</f>
        <v>45556.99861</v>
      </c>
      <c r="V376" s="31">
        <f>IFERROR(__xludf.DUMMYFUNCTION("""COMPUTED_VALUE"""),1.1169)</f>
        <v>1.1169</v>
      </c>
    </row>
    <row r="377" ht="15.75" customHeight="1">
      <c r="U377" s="32">
        <f>IFERROR(__xludf.DUMMYFUNCTION("""COMPUTED_VALUE"""),45557.99861111111)</f>
        <v>45557.99861</v>
      </c>
      <c r="V377" s="31">
        <f>IFERROR(__xludf.DUMMYFUNCTION("""COMPUTED_VALUE"""),1.11598)</f>
        <v>1.11598</v>
      </c>
    </row>
    <row r="378" ht="15.75" customHeight="1">
      <c r="U378" s="32">
        <f>IFERROR(__xludf.DUMMYFUNCTION("""COMPUTED_VALUE"""),45558.99861111111)</f>
        <v>45558.99861</v>
      </c>
      <c r="V378" s="31">
        <f>IFERROR(__xludf.DUMMYFUNCTION("""COMPUTED_VALUE"""),1.11112)</f>
        <v>1.11112</v>
      </c>
    </row>
    <row r="379" ht="15.75" customHeight="1">
      <c r="U379" s="32">
        <f>IFERROR(__xludf.DUMMYFUNCTION("""COMPUTED_VALUE"""),45559.99861111111)</f>
        <v>45559.99861</v>
      </c>
      <c r="V379" s="31">
        <f>IFERROR(__xludf.DUMMYFUNCTION("""COMPUTED_VALUE"""),1.11907)</f>
        <v>1.11907</v>
      </c>
    </row>
    <row r="380" ht="15.75" customHeight="1">
      <c r="U380" s="32">
        <f>IFERROR(__xludf.DUMMYFUNCTION("""COMPUTED_VALUE"""),45560.99861111111)</f>
        <v>45560.99861</v>
      </c>
      <c r="V380" s="31">
        <f>IFERROR(__xludf.DUMMYFUNCTION("""COMPUTED_VALUE"""),1.1131)</f>
        <v>1.1131</v>
      </c>
    </row>
    <row r="381" ht="15.75" customHeight="1">
      <c r="U381" s="32">
        <f>IFERROR(__xludf.DUMMYFUNCTION("""COMPUTED_VALUE"""),45561.99861111111)</f>
        <v>45561.99861</v>
      </c>
      <c r="V381" s="31">
        <f>IFERROR(__xludf.DUMMYFUNCTION("""COMPUTED_VALUE"""),1.11768)</f>
        <v>1.11768</v>
      </c>
    </row>
    <row r="382" ht="15.75" customHeight="1">
      <c r="U382" s="32">
        <f>IFERROR(__xludf.DUMMYFUNCTION("""COMPUTED_VALUE"""),45562.99861111111)</f>
        <v>45562.99861</v>
      </c>
      <c r="V382" s="31">
        <f>IFERROR(__xludf.DUMMYFUNCTION("""COMPUTED_VALUE"""),1.117)</f>
        <v>1.117</v>
      </c>
    </row>
    <row r="383" ht="15.75" customHeight="1">
      <c r="U383" s="32">
        <f>IFERROR(__xludf.DUMMYFUNCTION("""COMPUTED_VALUE"""),45563.99861111111)</f>
        <v>45563.99861</v>
      </c>
      <c r="V383" s="31">
        <f>IFERROR(__xludf.DUMMYFUNCTION("""COMPUTED_VALUE"""),1.117)</f>
        <v>1.117</v>
      </c>
    </row>
    <row r="384" ht="15.75" customHeight="1">
      <c r="U384" s="32">
        <f>IFERROR(__xludf.DUMMYFUNCTION("""COMPUTED_VALUE"""),45564.99861111111)</f>
        <v>45564.99861</v>
      </c>
      <c r="V384" s="31">
        <f>IFERROR(__xludf.DUMMYFUNCTION("""COMPUTED_VALUE"""),1.1169)</f>
        <v>1.1169</v>
      </c>
    </row>
    <row r="385" ht="15.75" customHeight="1">
      <c r="U385" s="32">
        <f>IFERROR(__xludf.DUMMYFUNCTION("""COMPUTED_VALUE"""),45565.99861111111)</f>
        <v>45565.99861</v>
      </c>
      <c r="V385" s="31">
        <f>IFERROR(__xludf.DUMMYFUNCTION("""COMPUTED_VALUE"""),1.11361)</f>
        <v>1.11361</v>
      </c>
    </row>
    <row r="386" ht="15.75" customHeight="1">
      <c r="U386" s="32">
        <f>IFERROR(__xludf.DUMMYFUNCTION("""COMPUTED_VALUE"""),45566.99861111111)</f>
        <v>45566.99861</v>
      </c>
      <c r="V386" s="31">
        <f>IFERROR(__xludf.DUMMYFUNCTION("""COMPUTED_VALUE"""),1.10633)</f>
        <v>1.10633</v>
      </c>
    </row>
    <row r="387" ht="15.75" customHeight="1">
      <c r="U387" s="32">
        <f>IFERROR(__xludf.DUMMYFUNCTION("""COMPUTED_VALUE"""),45567.99861111111)</f>
        <v>45567.99861</v>
      </c>
      <c r="V387" s="31">
        <f>IFERROR(__xludf.DUMMYFUNCTION("""COMPUTED_VALUE"""),1.10465)</f>
        <v>1.10465</v>
      </c>
    </row>
    <row r="388" ht="15.75" customHeight="1">
      <c r="U388" s="32">
        <f>IFERROR(__xludf.DUMMYFUNCTION("""COMPUTED_VALUE"""),45568.99861111111)</f>
        <v>45568.99861</v>
      </c>
      <c r="V388" s="31">
        <f>IFERROR(__xludf.DUMMYFUNCTION("""COMPUTED_VALUE"""),1.10351)</f>
        <v>1.10351</v>
      </c>
    </row>
    <row r="389" ht="15.75" customHeight="1">
      <c r="U389" s="32">
        <f>IFERROR(__xludf.DUMMYFUNCTION("""COMPUTED_VALUE"""),45569.99861111111)</f>
        <v>45569.99861</v>
      </c>
      <c r="V389" s="31">
        <f>IFERROR(__xludf.DUMMYFUNCTION("""COMPUTED_VALUE"""),1.0979)</f>
        <v>1.0979</v>
      </c>
    </row>
    <row r="390" ht="15.75" customHeight="1">
      <c r="U390" s="32">
        <f>IFERROR(__xludf.DUMMYFUNCTION("""COMPUTED_VALUE"""),45570.99861111111)</f>
        <v>45570.99861</v>
      </c>
      <c r="V390" s="31">
        <f>IFERROR(__xludf.DUMMYFUNCTION("""COMPUTED_VALUE"""),1.0981)</f>
        <v>1.0981</v>
      </c>
    </row>
    <row r="391" ht="15.75" customHeight="1">
      <c r="U391" s="32">
        <f>IFERROR(__xludf.DUMMYFUNCTION("""COMPUTED_VALUE"""),45571.99861111111)</f>
        <v>45571.99861</v>
      </c>
      <c r="V391" s="31">
        <f>IFERROR(__xludf.DUMMYFUNCTION("""COMPUTED_VALUE"""),1.09712)</f>
        <v>1.09712</v>
      </c>
    </row>
    <row r="392" ht="15.75" customHeight="1">
      <c r="U392" s="32">
        <f>IFERROR(__xludf.DUMMYFUNCTION("""COMPUTED_VALUE"""),45572.99861111111)</f>
        <v>45572.99861</v>
      </c>
      <c r="V392" s="31">
        <f>IFERROR(__xludf.DUMMYFUNCTION("""COMPUTED_VALUE"""),1.09742)</f>
        <v>1.09742</v>
      </c>
    </row>
    <row r="393" ht="15.75" customHeight="1">
      <c r="U393" s="32">
        <f>IFERROR(__xludf.DUMMYFUNCTION("""COMPUTED_VALUE"""),45573.99861111111)</f>
        <v>45573.99861</v>
      </c>
      <c r="V393" s="31">
        <f>IFERROR(__xludf.DUMMYFUNCTION("""COMPUTED_VALUE"""),1.09751)</f>
        <v>1.09751</v>
      </c>
    </row>
    <row r="394" ht="15.75" customHeight="1">
      <c r="U394" s="32">
        <f>IFERROR(__xludf.DUMMYFUNCTION("""COMPUTED_VALUE"""),45574.99861111111)</f>
        <v>45574.99861</v>
      </c>
      <c r="V394" s="31">
        <f>IFERROR(__xludf.DUMMYFUNCTION("""COMPUTED_VALUE"""),1.09413)</f>
        <v>1.09413</v>
      </c>
    </row>
    <row r="395" ht="15.75" customHeight="1">
      <c r="U395" s="32">
        <f>IFERROR(__xludf.DUMMYFUNCTION("""COMPUTED_VALUE"""),45575.99861111111)</f>
        <v>45575.99861</v>
      </c>
      <c r="V395" s="31">
        <f>IFERROR(__xludf.DUMMYFUNCTION("""COMPUTED_VALUE"""),1.09334)</f>
        <v>1.09334</v>
      </c>
    </row>
    <row r="396" ht="15.75" customHeight="1">
      <c r="U396" s="32">
        <f>IFERROR(__xludf.DUMMYFUNCTION("""COMPUTED_VALUE"""),45576.99861111111)</f>
        <v>45576.99861</v>
      </c>
      <c r="V396" s="31">
        <f>IFERROR(__xludf.DUMMYFUNCTION("""COMPUTED_VALUE"""),1.0948)</f>
        <v>1.0948</v>
      </c>
    </row>
    <row r="397" ht="15.75" customHeight="1">
      <c r="U397" s="32">
        <f>IFERROR(__xludf.DUMMYFUNCTION("""COMPUTED_VALUE"""),45577.99861111111)</f>
        <v>45577.99861</v>
      </c>
      <c r="V397" s="31">
        <f>IFERROR(__xludf.DUMMYFUNCTION("""COMPUTED_VALUE"""),1.0943)</f>
        <v>1.0943</v>
      </c>
    </row>
    <row r="398" ht="15.75" customHeight="1">
      <c r="U398" s="32">
        <f>IFERROR(__xludf.DUMMYFUNCTION("""COMPUTED_VALUE"""),45578.99861111111)</f>
        <v>45578.99861</v>
      </c>
      <c r="V398" s="31">
        <f>IFERROR(__xludf.DUMMYFUNCTION("""COMPUTED_VALUE"""),1.09229)</f>
        <v>1.09229</v>
      </c>
    </row>
    <row r="399" ht="15.75" customHeight="1">
      <c r="U399" s="32">
        <f>IFERROR(__xludf.DUMMYFUNCTION("""COMPUTED_VALUE"""),45579.99861111111)</f>
        <v>45579.99861</v>
      </c>
      <c r="V399" s="31">
        <f>IFERROR(__xludf.DUMMYFUNCTION("""COMPUTED_VALUE"""),1.09086)</f>
        <v>1.09086</v>
      </c>
    </row>
    <row r="400" ht="15.75" customHeight="1">
      <c r="U400" s="32">
        <f>IFERROR(__xludf.DUMMYFUNCTION("""COMPUTED_VALUE"""),45580.99861111111)</f>
        <v>45580.99861</v>
      </c>
      <c r="V400" s="31">
        <f>IFERROR(__xludf.DUMMYFUNCTION("""COMPUTED_VALUE"""),1.08836)</f>
        <v>1.08836</v>
      </c>
    </row>
    <row r="401" ht="15.75" customHeight="1">
      <c r="U401" s="32">
        <f>IFERROR(__xludf.DUMMYFUNCTION("""COMPUTED_VALUE"""),45581.99861111111)</f>
        <v>45581.99861</v>
      </c>
      <c r="V401" s="31">
        <f>IFERROR(__xludf.DUMMYFUNCTION("""COMPUTED_VALUE"""),1.08583)</f>
        <v>1.08583</v>
      </c>
    </row>
    <row r="402" ht="15.75" customHeight="1">
      <c r="U402" s="32">
        <f>IFERROR(__xludf.DUMMYFUNCTION("""COMPUTED_VALUE"""),45582.99861111111)</f>
        <v>45582.99861</v>
      </c>
      <c r="V402" s="31">
        <f>IFERROR(__xludf.DUMMYFUNCTION("""COMPUTED_VALUE"""),1.08286)</f>
        <v>1.08286</v>
      </c>
    </row>
    <row r="403" ht="15.75" customHeight="1">
      <c r="U403" s="32">
        <f>IFERROR(__xludf.DUMMYFUNCTION("""COMPUTED_VALUE"""),45583.99861111111)</f>
        <v>45583.99861</v>
      </c>
      <c r="V403" s="31">
        <f>IFERROR(__xludf.DUMMYFUNCTION("""COMPUTED_VALUE"""),1.0875)</f>
        <v>1.0875</v>
      </c>
    </row>
    <row r="404" ht="15.75" customHeight="1">
      <c r="U404" s="32">
        <f>IFERROR(__xludf.DUMMYFUNCTION("""COMPUTED_VALUE"""),45584.99861111111)</f>
        <v>45584.99861</v>
      </c>
      <c r="V404" s="31">
        <f>IFERROR(__xludf.DUMMYFUNCTION("""COMPUTED_VALUE"""),1.087)</f>
        <v>1.087</v>
      </c>
    </row>
    <row r="405" ht="15.75" customHeight="1">
      <c r="U405" s="32">
        <f>IFERROR(__xludf.DUMMYFUNCTION("""COMPUTED_VALUE"""),45585.99861111111)</f>
        <v>45585.99861</v>
      </c>
      <c r="V405" s="31">
        <f>IFERROR(__xludf.DUMMYFUNCTION("""COMPUTED_VALUE"""),1.08679)</f>
        <v>1.08679</v>
      </c>
    </row>
    <row r="406" ht="15.75" customHeight="1">
      <c r="U406" s="32">
        <f>IFERROR(__xludf.DUMMYFUNCTION("""COMPUTED_VALUE"""),45586.99861111111)</f>
        <v>45586.99861</v>
      </c>
      <c r="V406" s="31">
        <f>IFERROR(__xludf.DUMMYFUNCTION("""COMPUTED_VALUE"""),1.08152)</f>
        <v>1.08152</v>
      </c>
    </row>
    <row r="407" ht="15.75" customHeight="1">
      <c r="U407" s="32">
        <f>IFERROR(__xludf.DUMMYFUNCTION("""COMPUTED_VALUE"""),45587.99861111111)</f>
        <v>45587.99861</v>
      </c>
      <c r="V407" s="31">
        <f>IFERROR(__xludf.DUMMYFUNCTION("""COMPUTED_VALUE"""),1.07967)</f>
        <v>1.07967</v>
      </c>
    </row>
    <row r="408" ht="15.75" customHeight="1">
      <c r="U408" s="32">
        <f>IFERROR(__xludf.DUMMYFUNCTION("""COMPUTED_VALUE"""),45588.99861111111)</f>
        <v>45588.99861</v>
      </c>
      <c r="V408" s="31">
        <f>IFERROR(__xludf.DUMMYFUNCTION("""COMPUTED_VALUE"""),1.078)</f>
        <v>1.078</v>
      </c>
    </row>
    <row r="409" ht="15.75" customHeight="1">
      <c r="U409" s="32">
        <f>IFERROR(__xludf.DUMMYFUNCTION("""COMPUTED_VALUE"""),45589.99861111111)</f>
        <v>45589.99861</v>
      </c>
      <c r="V409" s="31">
        <f>IFERROR(__xludf.DUMMYFUNCTION("""COMPUTED_VALUE"""),1.08235)</f>
        <v>1.08235</v>
      </c>
    </row>
    <row r="410" ht="15.75" customHeight="1">
      <c r="U410" s="32">
        <f>IFERROR(__xludf.DUMMYFUNCTION("""COMPUTED_VALUE"""),45590.99861111111)</f>
        <v>45590.99861</v>
      </c>
      <c r="V410" s="31">
        <f>IFERROR(__xludf.DUMMYFUNCTION("""COMPUTED_VALUE"""),1.0801)</f>
        <v>1.0801</v>
      </c>
    </row>
    <row r="411" ht="15.75" customHeight="1">
      <c r="U411" s="32">
        <f>IFERROR(__xludf.DUMMYFUNCTION("""COMPUTED_VALUE"""),45591.99861111111)</f>
        <v>45591.99861</v>
      </c>
      <c r="V411" s="31">
        <f>IFERROR(__xludf.DUMMYFUNCTION("""COMPUTED_VALUE"""),1.0801)</f>
        <v>1.0801</v>
      </c>
    </row>
    <row r="412" ht="15.75" customHeight="1">
      <c r="U412" s="32">
        <f>IFERROR(__xludf.DUMMYFUNCTION("""COMPUTED_VALUE"""),45592.99861111111)</f>
        <v>45592.99861</v>
      </c>
      <c r="V412" s="31">
        <f>IFERROR(__xludf.DUMMYFUNCTION("""COMPUTED_VALUE"""),1.07957)</f>
        <v>1.07957</v>
      </c>
    </row>
    <row r="413" ht="15.75" customHeight="1">
      <c r="U413" s="32">
        <f>IFERROR(__xludf.DUMMYFUNCTION("""COMPUTED_VALUE"""),45593.99861111111)</f>
        <v>45593.99861</v>
      </c>
      <c r="V413" s="31">
        <f>IFERROR(__xludf.DUMMYFUNCTION("""COMPUTED_VALUE"""),1.0816)</f>
        <v>1.0816</v>
      </c>
    </row>
    <row r="414" ht="15.75" customHeight="1">
      <c r="U414" s="32">
        <f>IFERROR(__xludf.DUMMYFUNCTION("""COMPUTED_VALUE"""),45594.99861111111)</f>
        <v>45594.99861</v>
      </c>
      <c r="V414" s="31">
        <f>IFERROR(__xludf.DUMMYFUNCTION("""COMPUTED_VALUE"""),1.08202)</f>
        <v>1.08202</v>
      </c>
    </row>
    <row r="415" ht="15.75" customHeight="1">
      <c r="U415" s="32">
        <f>IFERROR(__xludf.DUMMYFUNCTION("""COMPUTED_VALUE"""),45595.99861111111)</f>
        <v>45595.99861</v>
      </c>
      <c r="V415" s="31">
        <f>IFERROR(__xludf.DUMMYFUNCTION("""COMPUTED_VALUE"""),1.08585)</f>
        <v>1.08585</v>
      </c>
    </row>
    <row r="416" ht="15.75" customHeight="1">
      <c r="U416" s="32">
        <f>IFERROR(__xludf.DUMMYFUNCTION("""COMPUTED_VALUE"""),45596.99861111111)</f>
        <v>45596.99861</v>
      </c>
      <c r="V416" s="31">
        <f>IFERROR(__xludf.DUMMYFUNCTION("""COMPUTED_VALUE"""),1.0884)</f>
        <v>1.0884</v>
      </c>
    </row>
    <row r="417" ht="15.75" customHeight="1">
      <c r="U417" s="32">
        <f>IFERROR(__xludf.DUMMYFUNCTION("""COMPUTED_VALUE"""),45597.99861111111)</f>
        <v>45597.99861</v>
      </c>
      <c r="V417" s="31">
        <f>IFERROR(__xludf.DUMMYFUNCTION("""COMPUTED_VALUE"""),1.0878)</f>
        <v>1.0878</v>
      </c>
    </row>
    <row r="418" ht="15.75" customHeight="1">
      <c r="U418" s="32">
        <f>IFERROR(__xludf.DUMMYFUNCTION("""COMPUTED_VALUE"""),45598.99861111111)</f>
        <v>45598.99861</v>
      </c>
      <c r="V418" s="31">
        <f>IFERROR(__xludf.DUMMYFUNCTION("""COMPUTED_VALUE"""),1.0873)</f>
        <v>1.0873</v>
      </c>
    </row>
    <row r="419" ht="15.75" customHeight="1">
      <c r="U419" s="32">
        <f>IFERROR(__xludf.DUMMYFUNCTION("""COMPUTED_VALUE"""),45599.99861111111)</f>
        <v>45599.99861</v>
      </c>
      <c r="V419" s="31">
        <f>IFERROR(__xludf.DUMMYFUNCTION("""COMPUTED_VALUE"""),1.08735)</f>
        <v>1.08735</v>
      </c>
    </row>
    <row r="420" ht="15.75" customHeight="1">
      <c r="U420" s="32">
        <f>IFERROR(__xludf.DUMMYFUNCTION("""COMPUTED_VALUE"""),45600.99861111111)</f>
        <v>45600.99861</v>
      </c>
      <c r="V420" s="31">
        <f>IFERROR(__xludf.DUMMYFUNCTION("""COMPUTED_VALUE"""),1.08737)</f>
        <v>1.08737</v>
      </c>
    </row>
    <row r="421" ht="15.75" customHeight="1">
      <c r="U421" s="32">
        <f>IFERROR(__xludf.DUMMYFUNCTION("""COMPUTED_VALUE"""),45601.99861111111)</f>
        <v>45601.99861</v>
      </c>
      <c r="V421" s="31">
        <f>IFERROR(__xludf.DUMMYFUNCTION("""COMPUTED_VALUE"""),1.09332)</f>
        <v>1.09332</v>
      </c>
    </row>
    <row r="422" ht="15.75" customHeight="1">
      <c r="U422" s="32">
        <f>IFERROR(__xludf.DUMMYFUNCTION("""COMPUTED_VALUE"""),45602.99861111111)</f>
        <v>45602.99861</v>
      </c>
      <c r="V422" s="31">
        <f>IFERROR(__xludf.DUMMYFUNCTION("""COMPUTED_VALUE"""),1.07314)</f>
        <v>1.07314</v>
      </c>
    </row>
    <row r="423" ht="15.75" customHeight="1">
      <c r="U423" s="32">
        <f>IFERROR(__xludf.DUMMYFUNCTION("""COMPUTED_VALUE"""),45603.99861111111)</f>
        <v>45603.99861</v>
      </c>
      <c r="V423" s="31">
        <f>IFERROR(__xludf.DUMMYFUNCTION("""COMPUTED_VALUE"""),1.07945)</f>
        <v>1.07945</v>
      </c>
    </row>
    <row r="424" ht="15.75" customHeight="1">
      <c r="U424" s="32">
        <f>IFERROR(__xludf.DUMMYFUNCTION("""COMPUTED_VALUE"""),45604.99861111111)</f>
        <v>45604.99861</v>
      </c>
      <c r="V424" s="31">
        <f>IFERROR(__xludf.DUMMYFUNCTION("""COMPUTED_VALUE"""),1.0722)</f>
        <v>1.0722</v>
      </c>
    </row>
    <row r="425" ht="15.75" customHeight="1">
      <c r="U425" s="32">
        <f>IFERROR(__xludf.DUMMYFUNCTION("""COMPUTED_VALUE"""),45605.99861111111)</f>
        <v>45605.99861</v>
      </c>
      <c r="V425" s="31">
        <f>IFERROR(__xludf.DUMMYFUNCTION("""COMPUTED_VALUE"""),1.0717)</f>
        <v>1.0717</v>
      </c>
    </row>
    <row r="426" ht="15.75" customHeight="1">
      <c r="U426" s="32">
        <f>IFERROR(__xludf.DUMMYFUNCTION("""COMPUTED_VALUE"""),45606.99861111111)</f>
        <v>45606.99861</v>
      </c>
      <c r="V426" s="31">
        <f>IFERROR(__xludf.DUMMYFUNCTION("""COMPUTED_VALUE"""),1.07142)</f>
        <v>1.07142</v>
      </c>
    </row>
    <row r="427" ht="15.75" customHeight="1">
      <c r="U427" s="32">
        <f>IFERROR(__xludf.DUMMYFUNCTION("""COMPUTED_VALUE"""),45607.99861111111)</f>
        <v>45607.99861</v>
      </c>
      <c r="V427" s="31">
        <f>IFERROR(__xludf.DUMMYFUNCTION("""COMPUTED_VALUE"""),1.066)</f>
        <v>1.066</v>
      </c>
    </row>
    <row r="428" ht="15.75" customHeight="1">
      <c r="U428" s="32">
        <f>IFERROR(__xludf.DUMMYFUNCTION("""COMPUTED_VALUE"""),45608.99861111111)</f>
        <v>45608.99861</v>
      </c>
      <c r="V428" s="31">
        <f>IFERROR(__xludf.DUMMYFUNCTION("""COMPUTED_VALUE"""),1.06163)</f>
        <v>1.06163</v>
      </c>
    </row>
    <row r="429" ht="15.75" customHeight="1">
      <c r="U429" s="32">
        <f>IFERROR(__xludf.DUMMYFUNCTION("""COMPUTED_VALUE"""),45609.99861111111)</f>
        <v>45609.99861</v>
      </c>
      <c r="V429" s="31">
        <f>IFERROR(__xludf.DUMMYFUNCTION("""COMPUTED_VALUE"""),1.05638)</f>
        <v>1.05638</v>
      </c>
    </row>
    <row r="430" ht="15.75" customHeight="1">
      <c r="U430" s="32">
        <f>IFERROR(__xludf.DUMMYFUNCTION("""COMPUTED_VALUE"""),45610.99861111111)</f>
        <v>45610.99861</v>
      </c>
      <c r="V430" s="31">
        <f>IFERROR(__xludf.DUMMYFUNCTION("""COMPUTED_VALUE"""),1.05292)</f>
        <v>1.05292</v>
      </c>
    </row>
    <row r="431" ht="15.75" customHeight="1">
      <c r="U431" s="32">
        <f>IFERROR(__xludf.DUMMYFUNCTION("""COMPUTED_VALUE"""),45611.99861111111)</f>
        <v>45611.99861</v>
      </c>
      <c r="V431" s="31">
        <f>IFERROR(__xludf.DUMMYFUNCTION("""COMPUTED_VALUE"""),1.0544)</f>
        <v>1.0544</v>
      </c>
    </row>
    <row r="432" ht="15.75" customHeight="1">
      <c r="U432" s="32">
        <f>IFERROR(__xludf.DUMMYFUNCTION("""COMPUTED_VALUE"""),45612.99861111111)</f>
        <v>45612.99861</v>
      </c>
      <c r="V432" s="31">
        <f>IFERROR(__xludf.DUMMYFUNCTION("""COMPUTED_VALUE"""),1.0543)</f>
        <v>1.0543</v>
      </c>
    </row>
    <row r="433" ht="15.75" customHeight="1">
      <c r="U433" s="32">
        <f>IFERROR(__xludf.DUMMYFUNCTION("""COMPUTED_VALUE"""),45613.99861111111)</f>
        <v>45613.99861</v>
      </c>
      <c r="V433" s="31">
        <f>IFERROR(__xludf.DUMMYFUNCTION("""COMPUTED_VALUE"""),1.05332)</f>
        <v>1.05332</v>
      </c>
    </row>
    <row r="434" ht="15.75" customHeight="1">
      <c r="U434" s="32">
        <f>IFERROR(__xludf.DUMMYFUNCTION("""COMPUTED_VALUE"""),45614.99861111111)</f>
        <v>45614.99861</v>
      </c>
      <c r="V434" s="31">
        <f>IFERROR(__xludf.DUMMYFUNCTION("""COMPUTED_VALUE"""),1.05945)</f>
        <v>1.05945</v>
      </c>
    </row>
    <row r="435" ht="15.75" customHeight="1">
      <c r="U435" s="32">
        <f>IFERROR(__xludf.DUMMYFUNCTION("""COMPUTED_VALUE"""),45615.99861111111)</f>
        <v>45615.99861</v>
      </c>
      <c r="V435" s="31">
        <f>IFERROR(__xludf.DUMMYFUNCTION("""COMPUTED_VALUE"""),1.06068)</f>
        <v>1.06068</v>
      </c>
    </row>
    <row r="436" ht="15.75" customHeight="1">
      <c r="U436" s="32">
        <f>IFERROR(__xludf.DUMMYFUNCTION("""COMPUTED_VALUE"""),45616.99861111111)</f>
        <v>45616.99861</v>
      </c>
      <c r="V436" s="31">
        <f>IFERROR(__xludf.DUMMYFUNCTION("""COMPUTED_VALUE"""),1.054575)</f>
        <v>1.054575</v>
      </c>
    </row>
    <row r="437" ht="15.75" customHeight="1">
      <c r="U437" s="32"/>
    </row>
    <row r="438" ht="15.75" customHeight="1">
      <c r="U438" s="32"/>
    </row>
    <row r="439" ht="15.75" customHeight="1">
      <c r="U439" s="32"/>
    </row>
    <row r="440" ht="15.75" customHeight="1">
      <c r="U440" s="32"/>
    </row>
    <row r="441" ht="15.75" customHeight="1">
      <c r="U441" s="32"/>
    </row>
    <row r="442" ht="15.75" customHeight="1">
      <c r="U442" s="32"/>
    </row>
    <row r="443" ht="15.75" customHeight="1">
      <c r="U443" s="32"/>
    </row>
    <row r="444" ht="15.75" customHeight="1">
      <c r="U444" s="32"/>
    </row>
    <row r="445" ht="15.75" customHeight="1">
      <c r="U445" s="32"/>
    </row>
    <row r="446" ht="15.75" customHeight="1">
      <c r="U446" s="32"/>
    </row>
    <row r="447" ht="15.75" customHeight="1">
      <c r="U447" s="32"/>
    </row>
    <row r="448" ht="15.75" customHeight="1">
      <c r="U448" s="32"/>
    </row>
    <row r="449" ht="15.75" customHeight="1">
      <c r="U449" s="32"/>
    </row>
    <row r="450" ht="15.75" customHeight="1">
      <c r="U450" s="32"/>
    </row>
    <row r="451" ht="15.75" customHeight="1">
      <c r="U451" s="32"/>
    </row>
    <row r="452" ht="15.75" customHeight="1">
      <c r="U452" s="32"/>
    </row>
    <row r="453" ht="15.75" customHeight="1">
      <c r="U453" s="32"/>
    </row>
    <row r="454" ht="15.75" customHeight="1">
      <c r="U454" s="32"/>
    </row>
    <row r="455" ht="15.75" customHeight="1">
      <c r="U455" s="32"/>
    </row>
    <row r="456" ht="15.75" customHeight="1">
      <c r="U456" s="32"/>
    </row>
    <row r="457" ht="15.75" customHeight="1">
      <c r="U457" s="32"/>
    </row>
    <row r="458" ht="15.75" customHeight="1">
      <c r="U458" s="32"/>
    </row>
    <row r="459" ht="15.75" customHeight="1">
      <c r="U459" s="32"/>
    </row>
    <row r="460" ht="15.75" customHeight="1">
      <c r="U460" s="32"/>
    </row>
    <row r="461" ht="15.75" customHeight="1">
      <c r="U461" s="32"/>
    </row>
    <row r="462" ht="15.75" customHeight="1">
      <c r="U462" s="32"/>
    </row>
    <row r="463" ht="15.75" customHeight="1">
      <c r="U463" s="32"/>
    </row>
    <row r="464" ht="15.75" customHeight="1">
      <c r="U464" s="32"/>
    </row>
    <row r="465" ht="15.75" customHeight="1">
      <c r="U465" s="32"/>
    </row>
    <row r="466" ht="15.75" customHeight="1">
      <c r="U466" s="32"/>
    </row>
    <row r="467" ht="15.75" customHeight="1">
      <c r="U467" s="32"/>
    </row>
    <row r="468" ht="15.75" customHeight="1">
      <c r="U468" s="32"/>
    </row>
    <row r="469" ht="15.75" customHeight="1">
      <c r="U469" s="32"/>
    </row>
    <row r="470" ht="15.75" customHeight="1">
      <c r="U470" s="32"/>
    </row>
    <row r="471" ht="15.75" customHeight="1">
      <c r="U471" s="32"/>
    </row>
    <row r="472" ht="15.75" customHeight="1">
      <c r="U472" s="32"/>
    </row>
    <row r="473" ht="15.75" customHeight="1">
      <c r="U473" s="32"/>
    </row>
    <row r="474" ht="15.75" customHeight="1">
      <c r="U474" s="32"/>
    </row>
    <row r="475" ht="15.75" customHeight="1">
      <c r="U475" s="32"/>
    </row>
    <row r="476" ht="15.75" customHeight="1">
      <c r="U476" s="32"/>
    </row>
    <row r="477" ht="15.75" customHeight="1">
      <c r="U477" s="32"/>
    </row>
    <row r="478" ht="15.75" customHeight="1">
      <c r="U478" s="32"/>
    </row>
    <row r="479" ht="15.75" customHeight="1">
      <c r="U479" s="32"/>
    </row>
    <row r="480" ht="15.75" customHeight="1">
      <c r="U480" s="32"/>
    </row>
    <row r="481" ht="15.75" customHeight="1">
      <c r="U481" s="32"/>
    </row>
    <row r="482" ht="15.75" customHeight="1">
      <c r="U482" s="32"/>
    </row>
    <row r="483" ht="15.75" customHeight="1">
      <c r="U483" s="32"/>
    </row>
    <row r="484" ht="15.75" customHeight="1">
      <c r="U484" s="32"/>
    </row>
    <row r="485" ht="15.75" customHeight="1">
      <c r="U485" s="32"/>
    </row>
    <row r="486" ht="15.75" customHeight="1">
      <c r="U486" s="32"/>
    </row>
    <row r="487" ht="15.75" customHeight="1">
      <c r="U487" s="32"/>
    </row>
    <row r="488" ht="15.75" customHeight="1">
      <c r="U488" s="32"/>
    </row>
    <row r="489" ht="15.75" customHeight="1">
      <c r="U489" s="32"/>
    </row>
    <row r="490" ht="15.75" customHeight="1">
      <c r="U490" s="32"/>
    </row>
    <row r="491" ht="15.75" customHeight="1">
      <c r="U491" s="32"/>
    </row>
    <row r="492" ht="15.75" customHeight="1">
      <c r="U492" s="32"/>
    </row>
    <row r="493" ht="15.75" customHeight="1">
      <c r="U493" s="32"/>
    </row>
    <row r="494" ht="15.75" customHeight="1">
      <c r="U494" s="32"/>
    </row>
    <row r="495" ht="15.75" customHeight="1">
      <c r="U495" s="32"/>
    </row>
    <row r="496" ht="15.75" customHeight="1">
      <c r="U496" s="32"/>
    </row>
    <row r="497" ht="15.75" customHeight="1">
      <c r="U497" s="32"/>
    </row>
    <row r="498" ht="15.75" customHeight="1">
      <c r="U498" s="32"/>
    </row>
    <row r="499" ht="15.75" customHeight="1">
      <c r="U499" s="32"/>
    </row>
    <row r="500" ht="15.75" customHeight="1">
      <c r="U500" s="32"/>
    </row>
    <row r="501" ht="15.75" customHeight="1">
      <c r="U501" s="32"/>
    </row>
    <row r="502" ht="15.75" customHeight="1">
      <c r="U502" s="32"/>
    </row>
    <row r="503" ht="15.75" customHeight="1">
      <c r="U503" s="32"/>
    </row>
    <row r="504" ht="15.75" customHeight="1">
      <c r="U504" s="32"/>
    </row>
    <row r="505" ht="15.75" customHeight="1">
      <c r="U505" s="32"/>
    </row>
    <row r="506" ht="15.75" customHeight="1">
      <c r="U506" s="32"/>
    </row>
    <row r="507" ht="15.75" customHeight="1">
      <c r="U507" s="32"/>
    </row>
    <row r="508" ht="15.75" customHeight="1">
      <c r="U508" s="32"/>
    </row>
    <row r="509" ht="15.75" customHeight="1">
      <c r="U509" s="32"/>
    </row>
    <row r="510" ht="15.75" customHeight="1">
      <c r="U510" s="32"/>
    </row>
    <row r="511" ht="15.75" customHeight="1">
      <c r="U511" s="32"/>
    </row>
    <row r="512" ht="15.75" customHeight="1">
      <c r="U512" s="32"/>
    </row>
    <row r="513" ht="15.75" customHeight="1">
      <c r="U513" s="32"/>
    </row>
    <row r="514" ht="15.75" customHeight="1">
      <c r="U514" s="32"/>
    </row>
    <row r="515" ht="15.75" customHeight="1">
      <c r="U515" s="32"/>
    </row>
    <row r="516" ht="15.75" customHeight="1">
      <c r="U516" s="32"/>
    </row>
    <row r="517" ht="15.75" customHeight="1">
      <c r="U517" s="32"/>
    </row>
    <row r="518" ht="15.75" customHeight="1">
      <c r="U518" s="32"/>
    </row>
    <row r="519" ht="15.75" customHeight="1">
      <c r="U519" s="32"/>
    </row>
    <row r="520" ht="15.75" customHeight="1">
      <c r="U520" s="32"/>
    </row>
    <row r="521" ht="15.75" customHeight="1">
      <c r="U521" s="32"/>
    </row>
    <row r="522" ht="15.75" customHeight="1">
      <c r="U522" s="32"/>
    </row>
    <row r="523" ht="15.75" customHeight="1">
      <c r="U523" s="32"/>
    </row>
    <row r="524" ht="15.75" customHeight="1">
      <c r="U524" s="32"/>
    </row>
    <row r="525" ht="15.75" customHeight="1">
      <c r="U525" s="32"/>
    </row>
    <row r="526" ht="15.75" customHeight="1">
      <c r="U526" s="32"/>
    </row>
    <row r="527" ht="15.75" customHeight="1">
      <c r="U527" s="32"/>
    </row>
    <row r="528" ht="15.75" customHeight="1">
      <c r="U528" s="32"/>
    </row>
    <row r="529" ht="15.75" customHeight="1">
      <c r="U529" s="32"/>
    </row>
    <row r="530" ht="15.75" customHeight="1">
      <c r="U530" s="32"/>
    </row>
    <row r="531" ht="15.75" customHeight="1">
      <c r="U531" s="32"/>
    </row>
    <row r="532" ht="15.75" customHeight="1">
      <c r="U532" s="32"/>
    </row>
    <row r="533" ht="15.75" customHeight="1">
      <c r="U533" s="32"/>
    </row>
    <row r="534" ht="15.75" customHeight="1">
      <c r="U534" s="32"/>
    </row>
    <row r="535" ht="15.75" customHeight="1">
      <c r="U535" s="32"/>
    </row>
    <row r="536" ht="15.75" customHeight="1">
      <c r="U536" s="32"/>
    </row>
    <row r="537" ht="15.75" customHeight="1">
      <c r="U537" s="32"/>
    </row>
    <row r="538" ht="15.75" customHeight="1">
      <c r="U538" s="32"/>
    </row>
    <row r="539" ht="15.75" customHeight="1">
      <c r="U539" s="32"/>
    </row>
    <row r="540" ht="15.75" customHeight="1">
      <c r="U540" s="32"/>
    </row>
    <row r="541" ht="15.75" customHeight="1">
      <c r="U541" s="32"/>
    </row>
    <row r="542" ht="15.75" customHeight="1">
      <c r="U542" s="32"/>
    </row>
    <row r="543" ht="15.75" customHeight="1">
      <c r="U543" s="32"/>
    </row>
    <row r="544" ht="15.75" customHeight="1">
      <c r="U544" s="32"/>
    </row>
    <row r="545" ht="15.75" customHeight="1">
      <c r="U545" s="32"/>
    </row>
    <row r="546" ht="15.75" customHeight="1">
      <c r="U546" s="32"/>
    </row>
    <row r="547" ht="15.75" customHeight="1">
      <c r="U547" s="32"/>
    </row>
    <row r="548" ht="15.75" customHeight="1">
      <c r="U548" s="32"/>
    </row>
    <row r="549" ht="15.75" customHeight="1">
      <c r="U549" s="32"/>
    </row>
    <row r="550" ht="15.75" customHeight="1">
      <c r="U550" s="32"/>
    </row>
    <row r="551" ht="15.75" customHeight="1">
      <c r="U551" s="32"/>
    </row>
    <row r="552" ht="15.75" customHeight="1">
      <c r="U552" s="32"/>
    </row>
    <row r="553" ht="15.75" customHeight="1">
      <c r="U553" s="32"/>
    </row>
    <row r="554" ht="15.75" customHeight="1">
      <c r="U554" s="32"/>
    </row>
    <row r="555" ht="15.75" customHeight="1">
      <c r="U555" s="32"/>
    </row>
    <row r="556" ht="15.75" customHeight="1">
      <c r="U556" s="32"/>
    </row>
    <row r="557" ht="15.75" customHeight="1">
      <c r="U557" s="32"/>
    </row>
    <row r="558" ht="15.75" customHeight="1">
      <c r="U558" s="32"/>
    </row>
    <row r="559" ht="15.75" customHeight="1">
      <c r="U559" s="32"/>
    </row>
    <row r="560" ht="15.75" customHeight="1">
      <c r="U560" s="32"/>
    </row>
    <row r="561" ht="15.75" customHeight="1">
      <c r="U561" s="32"/>
    </row>
    <row r="562" ht="15.75" customHeight="1">
      <c r="U562" s="32"/>
    </row>
    <row r="563" ht="15.75" customHeight="1">
      <c r="U563" s="32"/>
    </row>
    <row r="564" ht="15.75" customHeight="1">
      <c r="U564" s="32"/>
    </row>
    <row r="565" ht="15.75" customHeight="1">
      <c r="U565" s="32"/>
    </row>
    <row r="566" ht="15.75" customHeight="1">
      <c r="U566" s="32"/>
    </row>
    <row r="567" ht="15.75" customHeight="1">
      <c r="U567" s="32"/>
    </row>
    <row r="568" ht="15.75" customHeight="1">
      <c r="U568" s="32"/>
    </row>
    <row r="569" ht="15.75" customHeight="1">
      <c r="U569" s="32"/>
    </row>
    <row r="570" ht="15.75" customHeight="1">
      <c r="U570" s="32"/>
    </row>
    <row r="571" ht="15.75" customHeight="1">
      <c r="U571" s="32"/>
    </row>
    <row r="572" ht="15.75" customHeight="1">
      <c r="U572" s="32"/>
    </row>
    <row r="573" ht="15.75" customHeight="1">
      <c r="U573" s="32"/>
    </row>
    <row r="574" ht="15.75" customHeight="1">
      <c r="U574" s="32"/>
    </row>
    <row r="575" ht="15.75" customHeight="1">
      <c r="U575" s="32"/>
    </row>
    <row r="576" ht="15.75" customHeight="1">
      <c r="U576" s="32"/>
    </row>
    <row r="577" ht="15.75" customHeight="1">
      <c r="U577" s="32"/>
    </row>
    <row r="578" ht="15.75" customHeight="1">
      <c r="U578" s="32"/>
    </row>
    <row r="579" ht="15.75" customHeight="1">
      <c r="U579" s="32"/>
    </row>
    <row r="580" ht="15.75" customHeight="1">
      <c r="U580" s="32"/>
    </row>
    <row r="581" ht="15.75" customHeight="1">
      <c r="U581" s="32"/>
    </row>
    <row r="582" ht="15.75" customHeight="1">
      <c r="U582" s="32"/>
    </row>
    <row r="583" ht="15.75" customHeight="1">
      <c r="U583" s="32"/>
    </row>
    <row r="584" ht="15.75" customHeight="1">
      <c r="U584" s="32"/>
    </row>
    <row r="585" ht="15.75" customHeight="1">
      <c r="U585" s="32"/>
    </row>
    <row r="586" ht="15.75" customHeight="1">
      <c r="U586" s="32"/>
    </row>
    <row r="587" ht="15.75" customHeight="1">
      <c r="U587" s="32"/>
    </row>
    <row r="588" ht="15.75" customHeight="1">
      <c r="U588" s="32"/>
    </row>
    <row r="589" ht="15.75" customHeight="1">
      <c r="U589" s="32"/>
    </row>
    <row r="590" ht="15.75" customHeight="1">
      <c r="U590" s="32"/>
    </row>
    <row r="591" ht="15.75" customHeight="1">
      <c r="U591" s="32"/>
    </row>
    <row r="592" ht="15.75" customHeight="1">
      <c r="U592" s="32"/>
    </row>
    <row r="593" ht="15.75" customHeight="1">
      <c r="U593" s="32"/>
    </row>
    <row r="594" ht="15.75" customHeight="1">
      <c r="U594" s="32"/>
    </row>
    <row r="595" ht="15.75" customHeight="1">
      <c r="U595" s="32"/>
    </row>
    <row r="596" ht="15.75" customHeight="1">
      <c r="U596" s="32"/>
    </row>
    <row r="597" ht="15.75" customHeight="1">
      <c r="U597" s="32"/>
    </row>
    <row r="598" ht="15.75" customHeight="1">
      <c r="U598" s="32"/>
    </row>
    <row r="599" ht="15.75" customHeight="1">
      <c r="U599" s="32"/>
    </row>
    <row r="600" ht="15.75" customHeight="1">
      <c r="U600" s="32"/>
    </row>
    <row r="601" ht="15.75" customHeight="1">
      <c r="U601" s="32"/>
    </row>
    <row r="602" ht="15.75" customHeight="1">
      <c r="U602" s="32"/>
    </row>
    <row r="603" ht="15.75" customHeight="1">
      <c r="U603" s="32"/>
    </row>
    <row r="604" ht="15.75" customHeight="1">
      <c r="U604" s="32"/>
    </row>
    <row r="605" ht="15.75" customHeight="1">
      <c r="U605" s="32"/>
    </row>
    <row r="606" ht="15.75" customHeight="1">
      <c r="U606" s="32"/>
    </row>
    <row r="607" ht="15.75" customHeight="1">
      <c r="U607" s="32"/>
    </row>
    <row r="608" ht="15.75" customHeight="1">
      <c r="U608" s="32"/>
    </row>
    <row r="609" ht="15.75" customHeight="1">
      <c r="U609" s="32"/>
    </row>
    <row r="610" ht="15.75" customHeight="1">
      <c r="U610" s="32"/>
    </row>
    <row r="611" ht="15.75" customHeight="1">
      <c r="U611" s="32"/>
    </row>
    <row r="612" ht="15.75" customHeight="1">
      <c r="U612" s="32"/>
    </row>
    <row r="613" ht="15.75" customHeight="1">
      <c r="U613" s="32"/>
    </row>
    <row r="614" ht="15.75" customHeight="1">
      <c r="U614" s="32"/>
    </row>
    <row r="615" ht="15.75" customHeight="1">
      <c r="U615" s="32"/>
    </row>
    <row r="616" ht="15.75" customHeight="1">
      <c r="U616" s="32"/>
    </row>
    <row r="617" ht="15.75" customHeight="1">
      <c r="U617" s="32"/>
    </row>
    <row r="618" ht="15.75" customHeight="1">
      <c r="U618" s="32"/>
    </row>
    <row r="619" ht="15.75" customHeight="1">
      <c r="U619" s="32"/>
    </row>
    <row r="620" ht="15.75" customHeight="1">
      <c r="U620" s="32"/>
    </row>
    <row r="621" ht="15.75" customHeight="1">
      <c r="U621" s="32"/>
    </row>
    <row r="622" ht="15.75" customHeight="1">
      <c r="U622" s="32"/>
    </row>
    <row r="623" ht="15.75" customHeight="1">
      <c r="U623" s="32"/>
    </row>
    <row r="624" ht="15.75" customHeight="1">
      <c r="U624" s="32"/>
    </row>
    <row r="625" ht="15.75" customHeight="1">
      <c r="U625" s="32"/>
    </row>
    <row r="626" ht="15.75" customHeight="1">
      <c r="U626" s="32"/>
    </row>
    <row r="627" ht="15.75" customHeight="1">
      <c r="U627" s="32"/>
    </row>
    <row r="628" ht="15.75" customHeight="1">
      <c r="U628" s="32"/>
    </row>
    <row r="629" ht="15.75" customHeight="1">
      <c r="U629" s="32"/>
    </row>
    <row r="630" ht="15.75" customHeight="1">
      <c r="U630" s="32"/>
    </row>
    <row r="631" ht="15.75" customHeight="1">
      <c r="U631" s="32"/>
    </row>
    <row r="632" ht="15.75" customHeight="1">
      <c r="U632" s="32"/>
    </row>
    <row r="633" ht="15.75" customHeight="1">
      <c r="U633" s="32"/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3" max="3" width="16.38"/>
    <col customWidth="1" min="9" max="9" width="17.88"/>
    <col customWidth="1" min="10" max="10" width="19.88"/>
  </cols>
  <sheetData>
    <row r="1" ht="15.75" customHeight="1">
      <c r="B1" s="22" t="s">
        <v>92</v>
      </c>
      <c r="D1" s="22" t="s">
        <v>93</v>
      </c>
      <c r="E1" s="22">
        <v>1999.0</v>
      </c>
      <c r="F1" s="22">
        <v>1.0</v>
      </c>
      <c r="G1" s="22">
        <v>1.0</v>
      </c>
      <c r="I1" s="22" t="s">
        <v>94</v>
      </c>
      <c r="J1" s="34" t="s">
        <v>152</v>
      </c>
      <c r="M1" s="26">
        <v>0.025</v>
      </c>
    </row>
    <row r="2" ht="15.75" customHeight="1">
      <c r="B2" s="22" t="s">
        <v>85</v>
      </c>
      <c r="C2" s="22"/>
      <c r="D2" s="22"/>
      <c r="E2" s="22"/>
      <c r="F2" s="22"/>
      <c r="G2" s="22" t="s">
        <v>85</v>
      </c>
      <c r="K2" s="14"/>
      <c r="L2" s="14"/>
      <c r="M2" s="14">
        <f>1.5^5</f>
        <v>7.59375</v>
      </c>
      <c r="N2" s="14"/>
      <c r="O2" s="14"/>
      <c r="R2" s="22" t="s">
        <v>153</v>
      </c>
    </row>
    <row r="3" ht="15.75" customHeight="1">
      <c r="B3" s="22" t="s">
        <v>99</v>
      </c>
      <c r="C3" s="22" t="s">
        <v>154</v>
      </c>
      <c r="E3" s="22" t="s">
        <v>155</v>
      </c>
      <c r="F3" s="22"/>
      <c r="G3" s="22" t="s">
        <v>156</v>
      </c>
      <c r="H3" s="22" t="s">
        <v>157</v>
      </c>
      <c r="I3" s="22" t="s">
        <v>158</v>
      </c>
      <c r="J3" s="26">
        <v>0.02</v>
      </c>
      <c r="L3" s="22">
        <f>MEDIAN($G162:$G1348)</f>
        <v>40.6859757</v>
      </c>
      <c r="M3" s="22">
        <f>MEDIAN($H266:$H1345)</f>
        <v>75.92463454</v>
      </c>
      <c r="O3" s="22" t="s">
        <v>159</v>
      </c>
      <c r="P3" s="22" t="s">
        <v>160</v>
      </c>
      <c r="Q3" s="22" t="s">
        <v>161</v>
      </c>
      <c r="R3" s="22" t="s">
        <v>160</v>
      </c>
      <c r="S3" s="22" t="s">
        <v>161</v>
      </c>
    </row>
    <row r="4" ht="15.75" customHeight="1">
      <c r="A4" s="22" t="str">
        <f>IFERROR(__xludf.DUMMYFUNCTION("GOOGLEFINANCE(B$3, ""price"", DATE($E1, $F1, $G1), TODAY(), $J$1)"),"Date")</f>
        <v>Date</v>
      </c>
      <c r="B4" s="22" t="str">
        <f>IFERROR(__xludf.DUMMYFUNCTION("""COMPUTED_VALUE"""),"Close")</f>
        <v>Close</v>
      </c>
      <c r="D4" s="22" t="str">
        <f>IFERROR(__xludf.DUMMYFUNCTION("GOOGLEFINANCE(E$3, ""price"", DATE($E1, $F1, $G1), TODAY(), $J$1)"),"Date")</f>
        <v>Date</v>
      </c>
      <c r="E4" s="22" t="str">
        <f>IFERROR(__xludf.DUMMYFUNCTION("""COMPUTED_VALUE"""),"Close")</f>
        <v>Close</v>
      </c>
      <c r="F4" s="22" t="s">
        <v>162</v>
      </c>
      <c r="I4" s="22" t="s">
        <v>163</v>
      </c>
      <c r="J4" s="22">
        <f t="shared" ref="J4:K4" si="1">B526/B5-1</f>
        <v>-0.290060192</v>
      </c>
      <c r="K4" s="22">
        <f t="shared" si="1"/>
        <v>-0.132400159</v>
      </c>
      <c r="O4" s="22">
        <v>-60.0</v>
      </c>
      <c r="P4" s="22">
        <f t="array" ref="P4:P29">FREQUENCY(G162:G1348, $O$4:$O$28)</f>
        <v>0</v>
      </c>
      <c r="Q4" s="22">
        <f>IFERROR(__xludf.DUMMYFUNCTION("FREQUENCY(FILTER(H6:H10000, H6:H10000&lt;&gt;0, H6:H10000&lt;&gt;""""), $O$4:$O$28)"),0.0)</f>
        <v>0</v>
      </c>
      <c r="R4" s="33">
        <f t="shared" ref="R4:S4" si="2">100*P4/P$30</f>
        <v>0</v>
      </c>
      <c r="S4" s="33">
        <f t="shared" si="2"/>
        <v>0</v>
      </c>
    </row>
    <row r="5" ht="15.75" customHeight="1">
      <c r="A5" s="32">
        <f>IFERROR(__xludf.DUMMYFUNCTION("""COMPUTED_VALUE"""),36160.666666666664)</f>
        <v>36160.66667</v>
      </c>
      <c r="B5" s="22">
        <f>IFERROR(__xludf.DUMMYFUNCTION("""COMPUTED_VALUE"""),1229.4)</f>
        <v>1229.4</v>
      </c>
      <c r="C5" s="22">
        <f>B5</f>
        <v>1229.4</v>
      </c>
      <c r="D5" s="25">
        <f>IFERROR(__xludf.DUMMYFUNCTION("""COMPUTED_VALUE"""),36161.99861111111)</f>
        <v>36161.99861</v>
      </c>
      <c r="E5" s="22">
        <f>IFERROR(__xludf.DUMMYFUNCTION("""COMPUTED_VALUE"""),1.168)</f>
        <v>1.168</v>
      </c>
      <c r="F5" s="22">
        <v>100.0</v>
      </c>
      <c r="O5" s="22">
        <f t="shared" ref="O5:O28" si="6">O4+10</f>
        <v>-50</v>
      </c>
      <c r="P5" s="22">
        <v>0.0</v>
      </c>
      <c r="Q5" s="22">
        <f>IFERROR(__xludf.DUMMYFUNCTION("""COMPUTED_VALUE"""),0.0)</f>
        <v>0</v>
      </c>
      <c r="R5" s="33">
        <f t="shared" ref="R5:S5" si="3">100*P5/P$30</f>
        <v>0</v>
      </c>
      <c r="S5" s="33">
        <f t="shared" si="3"/>
        <v>0</v>
      </c>
      <c r="T5" s="33">
        <f t="shared" ref="T5:U5" si="4">R5+R4</f>
        <v>0</v>
      </c>
      <c r="U5" s="33">
        <f t="shared" si="4"/>
        <v>0</v>
      </c>
      <c r="V5" s="33">
        <f t="shared" ref="V5:W5" si="5">100-T5</f>
        <v>100</v>
      </c>
      <c r="W5" s="33">
        <f t="shared" si="5"/>
        <v>100</v>
      </c>
    </row>
    <row r="6" ht="15.75" customHeight="1">
      <c r="A6" s="32">
        <f>IFERROR(__xludf.DUMMYFUNCTION("""COMPUTED_VALUE"""),36168.666666666664)</f>
        <v>36168.66667</v>
      </c>
      <c r="B6" s="22">
        <f>IFERROR(__xludf.DUMMYFUNCTION("""COMPUTED_VALUE"""),1275.09)</f>
        <v>1275.09</v>
      </c>
      <c r="C6" s="22">
        <f t="shared" ref="C6:C1385" si="10">IF(ISBLANK(B6), "", C5 * (1 + (B6 - B5) / B5 + $J$3 / 52))
</f>
        <v>1275.562846</v>
      </c>
      <c r="D6" s="25">
        <f>IFERROR(__xludf.DUMMYFUNCTION("""COMPUTED_VALUE"""),36168.99861111111)</f>
        <v>36168.99861</v>
      </c>
      <c r="E6" s="22">
        <f>IFERROR(__xludf.DUMMYFUNCTION("""COMPUTED_VALUE"""),1.158)</f>
        <v>1.158</v>
      </c>
      <c r="F6" s="22">
        <f t="shared" ref="F6:F1346" si="11">IF(OR(ISBLANK(B6),B6=0),"",F5*((E5/E6)*(C6/C5)))</f>
        <v>104.6508923</v>
      </c>
      <c r="I6" s="22">
        <f>AVERAGEIF($H$6:$H$10000, "&lt;&gt;0")</f>
        <v>58.27159504</v>
      </c>
      <c r="O6" s="22">
        <f t="shared" si="6"/>
        <v>-40</v>
      </c>
      <c r="P6" s="22">
        <v>45.0</v>
      </c>
      <c r="Q6" s="22">
        <f>IFERROR(__xludf.DUMMYFUNCTION("""COMPUTED_VALUE"""),0.0)</f>
        <v>0</v>
      </c>
      <c r="R6" s="33">
        <f t="shared" ref="R6:S6" si="7">100*P6/P$30</f>
        <v>3.791069924</v>
      </c>
      <c r="S6" s="33">
        <f t="shared" si="7"/>
        <v>0</v>
      </c>
      <c r="T6" s="33">
        <f t="shared" ref="T6:U6" si="8">R6+T5</f>
        <v>3.791069924</v>
      </c>
      <c r="U6" s="33">
        <f t="shared" si="8"/>
        <v>0</v>
      </c>
      <c r="V6" s="33">
        <f t="shared" ref="V6:W6" si="9">100-T6</f>
        <v>96.20893008</v>
      </c>
      <c r="W6" s="33">
        <f t="shared" si="9"/>
        <v>100</v>
      </c>
    </row>
    <row r="7" ht="15.75" customHeight="1">
      <c r="A7" s="32">
        <f>IFERROR(__xludf.DUMMYFUNCTION("""COMPUTED_VALUE"""),36174.666666666664)</f>
        <v>36174.66667</v>
      </c>
      <c r="B7" s="22">
        <f>IFERROR(__xludf.DUMMYFUNCTION("""COMPUTED_VALUE"""),1212.19)</f>
        <v>1212.19</v>
      </c>
      <c r="C7" s="22">
        <f t="shared" si="10"/>
        <v>1213.130122</v>
      </c>
      <c r="D7" s="25">
        <f>IFERROR(__xludf.DUMMYFUNCTION("""COMPUTED_VALUE"""),36175.99861111111)</f>
        <v>36175.99861</v>
      </c>
      <c r="E7" s="22">
        <f>IFERROR(__xludf.DUMMYFUNCTION("""COMPUTED_VALUE"""),1.156)</f>
        <v>1.156</v>
      </c>
      <c r="F7" s="22">
        <f t="shared" si="11"/>
        <v>99.70092468</v>
      </c>
      <c r="I7" s="22">
        <f>IFERROR(__xludf.DUMMYFUNCTION("MEDIAN(FILTER(H6:H10000, H6:H10000&lt;&gt;0))"),77.10292405697324)</f>
        <v>77.10292406</v>
      </c>
      <c r="O7" s="22">
        <f t="shared" si="6"/>
        <v>-30</v>
      </c>
      <c r="P7" s="22">
        <v>68.0</v>
      </c>
      <c r="Q7" s="22">
        <f>IFERROR(__xludf.DUMMYFUNCTION("""COMPUTED_VALUE"""),36.0)</f>
        <v>36</v>
      </c>
      <c r="R7" s="33">
        <f t="shared" ref="R7:S7" si="12">100*P7/P$30</f>
        <v>5.728727885</v>
      </c>
      <c r="S7" s="33">
        <f t="shared" si="12"/>
        <v>3.311867525</v>
      </c>
      <c r="T7" s="33">
        <f t="shared" ref="T7:U7" si="13">R7+T6</f>
        <v>9.51979781</v>
      </c>
      <c r="U7" s="33">
        <f t="shared" si="13"/>
        <v>3.311867525</v>
      </c>
      <c r="V7" s="33">
        <f t="shared" ref="V7:W7" si="14">100-T7</f>
        <v>90.48020219</v>
      </c>
      <c r="W7" s="33">
        <f t="shared" si="14"/>
        <v>96.68813247</v>
      </c>
    </row>
    <row r="8" ht="15.75" customHeight="1">
      <c r="A8" s="32">
        <f>IFERROR(__xludf.DUMMYFUNCTION("""COMPUTED_VALUE"""),36182.666666666664)</f>
        <v>36182.66667</v>
      </c>
      <c r="B8" s="22">
        <f>IFERROR(__xludf.DUMMYFUNCTION("""COMPUTED_VALUE"""),1225.19)</f>
        <v>1225.19</v>
      </c>
      <c r="C8" s="22">
        <f t="shared" si="10"/>
        <v>1226.606793</v>
      </c>
      <c r="D8" s="25">
        <f>IFERROR(__xludf.DUMMYFUNCTION("""COMPUTED_VALUE"""),36182.99861111111)</f>
        <v>36182.99861</v>
      </c>
      <c r="E8" s="22">
        <f>IFERROR(__xludf.DUMMYFUNCTION("""COMPUTED_VALUE"""),1.1585)</f>
        <v>1.1585</v>
      </c>
      <c r="F8" s="22">
        <f t="shared" si="11"/>
        <v>100.5909619</v>
      </c>
      <c r="O8" s="22">
        <f t="shared" si="6"/>
        <v>-20</v>
      </c>
      <c r="P8" s="22">
        <v>102.0</v>
      </c>
      <c r="Q8" s="22">
        <f>IFERROR(__xludf.DUMMYFUNCTION("""COMPUTED_VALUE"""),75.0)</f>
        <v>75</v>
      </c>
      <c r="R8" s="33">
        <f t="shared" ref="R8:S8" si="15">100*P8/P$30</f>
        <v>8.593091828</v>
      </c>
      <c r="S8" s="33">
        <f t="shared" si="15"/>
        <v>6.899724011</v>
      </c>
      <c r="T8" s="33">
        <f t="shared" ref="T8:U8" si="16">R8+T7</f>
        <v>18.11288964</v>
      </c>
      <c r="U8" s="33">
        <f t="shared" si="16"/>
        <v>10.21159154</v>
      </c>
      <c r="V8" s="33">
        <f t="shared" ref="V8:W8" si="17">100-T8</f>
        <v>81.88711036</v>
      </c>
      <c r="W8" s="33">
        <f t="shared" si="17"/>
        <v>89.78840846</v>
      </c>
    </row>
    <row r="9" ht="15.75" customHeight="1">
      <c r="A9" s="32">
        <f>IFERROR(__xludf.DUMMYFUNCTION("""COMPUTED_VALUE"""),36189.666666666664)</f>
        <v>36189.66667</v>
      </c>
      <c r="B9" s="22">
        <f>IFERROR(__xludf.DUMMYFUNCTION("""COMPUTED_VALUE"""),1279.64)</f>
        <v>1279.64</v>
      </c>
      <c r="C9" s="22">
        <f t="shared" si="10"/>
        <v>1281.59153</v>
      </c>
      <c r="D9" s="25">
        <f>IFERROR(__xludf.DUMMYFUNCTION("""COMPUTED_VALUE"""),36189.99861111111)</f>
        <v>36189.99861</v>
      </c>
      <c r="E9" s="22">
        <f>IFERROR(__xludf.DUMMYFUNCTION("""COMPUTED_VALUE"""),1.1365)</f>
        <v>1.1365</v>
      </c>
      <c r="F9" s="22">
        <f t="shared" si="11"/>
        <v>107.1346172</v>
      </c>
      <c r="I9" s="22">
        <f>1.05^5</f>
        <v>1.276281563</v>
      </c>
      <c r="O9" s="22">
        <f t="shared" si="6"/>
        <v>-10</v>
      </c>
      <c r="P9" s="22">
        <v>55.0</v>
      </c>
      <c r="Q9" s="22">
        <f>IFERROR(__xludf.DUMMYFUNCTION("""COMPUTED_VALUE"""),85.0)</f>
        <v>85</v>
      </c>
      <c r="R9" s="33">
        <f t="shared" ref="R9:S9" si="18">100*P9/P$30</f>
        <v>4.633529907</v>
      </c>
      <c r="S9" s="33">
        <f t="shared" si="18"/>
        <v>7.819687213</v>
      </c>
      <c r="T9" s="33">
        <f t="shared" ref="T9:U9" si="19">R9+T8</f>
        <v>22.74641955</v>
      </c>
      <c r="U9" s="33">
        <f t="shared" si="19"/>
        <v>18.03127875</v>
      </c>
      <c r="V9" s="33">
        <f t="shared" ref="V9:W9" si="20">100-T9</f>
        <v>77.25358045</v>
      </c>
      <c r="W9" s="33">
        <f t="shared" si="20"/>
        <v>81.96872125</v>
      </c>
    </row>
    <row r="10" ht="15.75" customHeight="1">
      <c r="A10" s="32">
        <f>IFERROR(__xludf.DUMMYFUNCTION("""COMPUTED_VALUE"""),36196.666666666664)</f>
        <v>36196.66667</v>
      </c>
      <c r="B10" s="22">
        <f>IFERROR(__xludf.DUMMYFUNCTION("""COMPUTED_VALUE"""),1239.4)</f>
        <v>1239.4</v>
      </c>
      <c r="C10" s="22">
        <f t="shared" si="10"/>
        <v>1241.783081</v>
      </c>
      <c r="D10" s="25">
        <f>IFERROR(__xludf.DUMMYFUNCTION("""COMPUTED_VALUE"""),36196.99861111111)</f>
        <v>36196.99861</v>
      </c>
      <c r="E10" s="22">
        <f>IFERROR(__xludf.DUMMYFUNCTION("""COMPUTED_VALUE"""),1.1257)</f>
        <v>1.1257</v>
      </c>
      <c r="F10" s="22">
        <f t="shared" si="11"/>
        <v>104.8027567</v>
      </c>
      <c r="O10" s="22">
        <f t="shared" si="6"/>
        <v>0</v>
      </c>
      <c r="P10" s="22">
        <v>32.0</v>
      </c>
      <c r="Q10" s="22">
        <f>IFERROR(__xludf.DUMMYFUNCTION("""COMPUTED_VALUE"""),119.0)</f>
        <v>119</v>
      </c>
      <c r="R10" s="33">
        <f t="shared" ref="R10:S10" si="21">100*P10/P$30</f>
        <v>2.695871946</v>
      </c>
      <c r="S10" s="33">
        <f t="shared" si="21"/>
        <v>10.9475621</v>
      </c>
      <c r="T10" s="33">
        <f t="shared" ref="T10:U10" si="22">R10+T9</f>
        <v>25.44229149</v>
      </c>
      <c r="U10" s="33">
        <f t="shared" si="22"/>
        <v>28.97884085</v>
      </c>
      <c r="V10" s="33">
        <f t="shared" ref="V10:W10" si="23">100-T10</f>
        <v>74.55770851</v>
      </c>
      <c r="W10" s="33">
        <f t="shared" si="23"/>
        <v>71.02115915</v>
      </c>
    </row>
    <row r="11" ht="15.75" customHeight="1">
      <c r="A11" s="32">
        <f>IFERROR(__xludf.DUMMYFUNCTION("""COMPUTED_VALUE"""),36203.666666666664)</f>
        <v>36203.66667</v>
      </c>
      <c r="B11" s="22">
        <f>IFERROR(__xludf.DUMMYFUNCTION("""COMPUTED_VALUE"""),1230.14)</f>
        <v>1230.14</v>
      </c>
      <c r="C11" s="22">
        <f t="shared" si="10"/>
        <v>1232.982885</v>
      </c>
      <c r="D11" s="25">
        <f>IFERROR(__xludf.DUMMYFUNCTION("""COMPUTED_VALUE"""),36203.99861111111)</f>
        <v>36203.99861</v>
      </c>
      <c r="E11" s="22">
        <f>IFERROR(__xludf.DUMMYFUNCTION("""COMPUTED_VALUE"""),1.1303)</f>
        <v>1.1303</v>
      </c>
      <c r="F11" s="22">
        <f t="shared" si="11"/>
        <v>103.6365518</v>
      </c>
      <c r="O11" s="22">
        <f t="shared" si="6"/>
        <v>10</v>
      </c>
      <c r="P11" s="22">
        <v>43.0</v>
      </c>
      <c r="Q11" s="22">
        <f>IFERROR(__xludf.DUMMYFUNCTION("""COMPUTED_VALUE"""),71.0)</f>
        <v>71</v>
      </c>
      <c r="R11" s="33">
        <f t="shared" ref="R11:S11" si="24">100*P11/P$30</f>
        <v>3.622577928</v>
      </c>
      <c r="S11" s="33">
        <f t="shared" si="24"/>
        <v>6.53173873</v>
      </c>
      <c r="T11" s="33">
        <f t="shared" ref="T11:U11" si="25">R11+T10</f>
        <v>29.06486942</v>
      </c>
      <c r="U11" s="33">
        <f t="shared" si="25"/>
        <v>35.51057958</v>
      </c>
      <c r="V11" s="33">
        <f t="shared" ref="V11:W11" si="26">100-T11</f>
        <v>70.93513058</v>
      </c>
      <c r="W11" s="33">
        <f t="shared" si="26"/>
        <v>64.48942042</v>
      </c>
    </row>
    <row r="12" ht="15.75" customHeight="1">
      <c r="A12" s="32">
        <f>IFERROR(__xludf.DUMMYFUNCTION("""COMPUTED_VALUE"""),36210.666666666664)</f>
        <v>36210.66667</v>
      </c>
      <c r="B12" s="22">
        <f>IFERROR(__xludf.DUMMYFUNCTION("""COMPUTED_VALUE"""),1239.16)</f>
        <v>1239.16</v>
      </c>
      <c r="C12" s="22">
        <f t="shared" si="10"/>
        <v>1242.497955</v>
      </c>
      <c r="D12" s="25">
        <f>IFERROR(__xludf.DUMMYFUNCTION("""COMPUTED_VALUE"""),36210.99861111111)</f>
        <v>36210.99861</v>
      </c>
      <c r="E12" s="22">
        <f>IFERROR(__xludf.DUMMYFUNCTION("""COMPUTED_VALUE"""),1.1055)</f>
        <v>1.1055</v>
      </c>
      <c r="F12" s="22">
        <f t="shared" si="11"/>
        <v>106.7791771</v>
      </c>
      <c r="O12" s="22">
        <f t="shared" si="6"/>
        <v>20</v>
      </c>
      <c r="P12" s="22">
        <v>57.0</v>
      </c>
      <c r="Q12" s="22">
        <f>IFERROR(__xludf.DUMMYFUNCTION("""COMPUTED_VALUE"""),39.0)</f>
        <v>39</v>
      </c>
      <c r="R12" s="33">
        <f t="shared" ref="R12:S12" si="27">100*P12/P$30</f>
        <v>4.802021904</v>
      </c>
      <c r="S12" s="33">
        <f t="shared" si="27"/>
        <v>3.587856486</v>
      </c>
      <c r="T12" s="33">
        <f t="shared" ref="T12:U12" si="28">R12+T11</f>
        <v>33.86689132</v>
      </c>
      <c r="U12" s="33">
        <f t="shared" si="28"/>
        <v>39.09843606</v>
      </c>
      <c r="V12" s="33">
        <f t="shared" ref="V12:W12" si="29">100-T12</f>
        <v>66.13310868</v>
      </c>
      <c r="W12" s="33">
        <f t="shared" si="29"/>
        <v>60.90156394</v>
      </c>
    </row>
    <row r="13" ht="15.75" customHeight="1">
      <c r="A13" s="32">
        <f>IFERROR(__xludf.DUMMYFUNCTION("""COMPUTED_VALUE"""),36217.666666666664)</f>
        <v>36217.66667</v>
      </c>
      <c r="B13" s="22">
        <f>IFERROR(__xludf.DUMMYFUNCTION("""COMPUTED_VALUE"""),1238.33)</f>
        <v>1238.33</v>
      </c>
      <c r="C13" s="22">
        <f t="shared" si="10"/>
        <v>1242.143603</v>
      </c>
      <c r="D13" s="25">
        <f>IFERROR(__xludf.DUMMYFUNCTION("""COMPUTED_VALUE"""),36217.99861111111)</f>
        <v>36217.99861</v>
      </c>
      <c r="E13" s="22">
        <f>IFERROR(__xludf.DUMMYFUNCTION("""COMPUTED_VALUE"""),1.1022)</f>
        <v>1.1022</v>
      </c>
      <c r="F13" s="22">
        <f t="shared" si="11"/>
        <v>107.0683313</v>
      </c>
      <c r="O13" s="22">
        <f t="shared" si="6"/>
        <v>30</v>
      </c>
      <c r="P13" s="22">
        <v>101.0</v>
      </c>
      <c r="Q13" s="22">
        <f>IFERROR(__xludf.DUMMYFUNCTION("""COMPUTED_VALUE"""),32.0)</f>
        <v>32</v>
      </c>
      <c r="R13" s="33">
        <f t="shared" ref="R13:S13" si="30">100*P13/P$30</f>
        <v>8.50884583</v>
      </c>
      <c r="S13" s="33">
        <f t="shared" si="30"/>
        <v>2.943882245</v>
      </c>
      <c r="T13" s="33">
        <f t="shared" ref="T13:U13" si="31">R13+T12</f>
        <v>42.37573715</v>
      </c>
      <c r="U13" s="33">
        <f t="shared" si="31"/>
        <v>42.04231831</v>
      </c>
      <c r="V13" s="33">
        <f t="shared" ref="V13:W13" si="32">100-T13</f>
        <v>57.62426285</v>
      </c>
      <c r="W13" s="33">
        <f t="shared" si="32"/>
        <v>57.95768169</v>
      </c>
    </row>
    <row r="14" ht="15.75" customHeight="1">
      <c r="A14" s="32">
        <f>IFERROR(__xludf.DUMMYFUNCTION("""COMPUTED_VALUE"""),36224.666666666664)</f>
        <v>36224.66667</v>
      </c>
      <c r="B14" s="22">
        <f>IFERROR(__xludf.DUMMYFUNCTION("""COMPUTED_VALUE"""),1275.46)</f>
        <v>1275.46</v>
      </c>
      <c r="C14" s="22">
        <f t="shared" si="10"/>
        <v>1279.865697</v>
      </c>
      <c r="D14" s="25">
        <f>IFERROR(__xludf.DUMMYFUNCTION("""COMPUTED_VALUE"""),36224.99861111111)</f>
        <v>36224.99861</v>
      </c>
      <c r="E14" s="22">
        <f>IFERROR(__xludf.DUMMYFUNCTION("""COMPUTED_VALUE"""),1.0815)</f>
        <v>1.0815</v>
      </c>
      <c r="F14" s="22">
        <f t="shared" si="11"/>
        <v>112.4313718</v>
      </c>
      <c r="O14" s="22">
        <f t="shared" si="6"/>
        <v>40</v>
      </c>
      <c r="P14" s="22">
        <v>83.0</v>
      </c>
      <c r="Q14" s="22">
        <f>IFERROR(__xludf.DUMMYFUNCTION("""COMPUTED_VALUE"""),17.0)</f>
        <v>17</v>
      </c>
      <c r="R14" s="33">
        <f t="shared" ref="R14:S14" si="33">100*P14/P$30</f>
        <v>6.99241786</v>
      </c>
      <c r="S14" s="33">
        <f t="shared" si="33"/>
        <v>1.563937443</v>
      </c>
      <c r="T14" s="33">
        <f t="shared" ref="T14:U14" si="34">R14+T13</f>
        <v>49.36815501</v>
      </c>
      <c r="U14" s="33">
        <f t="shared" si="34"/>
        <v>43.60625575</v>
      </c>
      <c r="V14" s="33">
        <f t="shared" ref="V14:W14" si="35">100-T14</f>
        <v>50.63184499</v>
      </c>
      <c r="W14" s="33">
        <f t="shared" si="35"/>
        <v>56.39374425</v>
      </c>
    </row>
    <row r="15" ht="15.75" customHeight="1">
      <c r="A15" s="32">
        <f>IFERROR(__xludf.DUMMYFUNCTION("""COMPUTED_VALUE"""),36231.666666666664)</f>
        <v>36231.66667</v>
      </c>
      <c r="B15" s="22">
        <f>IFERROR(__xludf.DUMMYFUNCTION("""COMPUTED_VALUE"""),1294.59)</f>
        <v>1294.59</v>
      </c>
      <c r="C15" s="22">
        <f t="shared" si="10"/>
        <v>1299.554032</v>
      </c>
      <c r="D15" s="25">
        <f>IFERROR(__xludf.DUMMYFUNCTION("""COMPUTED_VALUE"""),36231.99861111111)</f>
        <v>36231.99861</v>
      </c>
      <c r="E15" s="22">
        <f>IFERROR(__xludf.DUMMYFUNCTION("""COMPUTED_VALUE"""),1.09)</f>
        <v>1.09</v>
      </c>
      <c r="F15" s="22">
        <f t="shared" si="11"/>
        <v>113.270672</v>
      </c>
      <c r="O15" s="22">
        <f t="shared" si="6"/>
        <v>50</v>
      </c>
      <c r="P15" s="22">
        <v>184.0</v>
      </c>
      <c r="Q15" s="22">
        <f>IFERROR(__xludf.DUMMYFUNCTION("""COMPUTED_VALUE"""),12.0)</f>
        <v>12</v>
      </c>
      <c r="R15" s="33">
        <f t="shared" ref="R15:S15" si="36">100*P15/P$30</f>
        <v>15.50126369</v>
      </c>
      <c r="S15" s="33">
        <f t="shared" si="36"/>
        <v>1.103955842</v>
      </c>
      <c r="T15" s="33">
        <f t="shared" ref="T15:U15" si="37">R15+T14</f>
        <v>64.8694187</v>
      </c>
      <c r="U15" s="33">
        <f t="shared" si="37"/>
        <v>44.71021159</v>
      </c>
      <c r="V15" s="33">
        <f t="shared" ref="V15:W15" si="38">100-T15</f>
        <v>35.1305813</v>
      </c>
      <c r="W15" s="33">
        <f t="shared" si="38"/>
        <v>55.28978841</v>
      </c>
    </row>
    <row r="16" ht="15.75" customHeight="1">
      <c r="A16" s="32">
        <f>IFERROR(__xludf.DUMMYFUNCTION("""COMPUTED_VALUE"""),36238.666666666664)</f>
        <v>36238.66667</v>
      </c>
      <c r="B16" s="22">
        <f>IFERROR(__xludf.DUMMYFUNCTION("""COMPUTED_VALUE"""),1299.29)</f>
        <v>1299.29</v>
      </c>
      <c r="C16" s="22">
        <f t="shared" si="10"/>
        <v>1304.771882</v>
      </c>
      <c r="D16" s="25">
        <f>IFERROR(__xludf.DUMMYFUNCTION("""COMPUTED_VALUE"""),36238.99861111111)</f>
        <v>36238.99861</v>
      </c>
      <c r="E16" s="22">
        <f>IFERROR(__xludf.DUMMYFUNCTION("""COMPUTED_VALUE"""),1.0887)</f>
        <v>1.0887</v>
      </c>
      <c r="F16" s="22">
        <f t="shared" si="11"/>
        <v>113.8612639</v>
      </c>
      <c r="O16" s="22">
        <f t="shared" si="6"/>
        <v>60</v>
      </c>
      <c r="P16" s="22">
        <v>158.0</v>
      </c>
      <c r="Q16" s="22">
        <f>IFERROR(__xludf.DUMMYFUNCTION("""COMPUTED_VALUE"""),18.0)</f>
        <v>18</v>
      </c>
      <c r="R16" s="33">
        <f t="shared" ref="R16:S16" si="39">100*P16/P$30</f>
        <v>13.31086773</v>
      </c>
      <c r="S16" s="33">
        <f t="shared" si="39"/>
        <v>1.655933763</v>
      </c>
      <c r="T16" s="33">
        <f t="shared" ref="T16:U16" si="40">R16+T15</f>
        <v>78.18028644</v>
      </c>
      <c r="U16" s="33">
        <f t="shared" si="40"/>
        <v>46.36614535</v>
      </c>
      <c r="V16" s="33">
        <f t="shared" ref="V16:W16" si="41">100-T16</f>
        <v>21.81971356</v>
      </c>
      <c r="W16" s="33">
        <f t="shared" si="41"/>
        <v>53.63385465</v>
      </c>
    </row>
    <row r="17" ht="15.75" customHeight="1">
      <c r="A17" s="32">
        <f>IFERROR(__xludf.DUMMYFUNCTION("""COMPUTED_VALUE"""),36245.666666666664)</f>
        <v>36245.66667</v>
      </c>
      <c r="B17" s="22">
        <f>IFERROR(__xludf.DUMMYFUNCTION("""COMPUTED_VALUE"""),1282.8)</f>
        <v>1282.8</v>
      </c>
      <c r="C17" s="22">
        <f t="shared" si="10"/>
        <v>1288.714144</v>
      </c>
      <c r="D17" s="25">
        <f>IFERROR(__xludf.DUMMYFUNCTION("""COMPUTED_VALUE"""),36245.99861111111)</f>
        <v>36245.99861</v>
      </c>
      <c r="E17" s="22">
        <f>IFERROR(__xludf.DUMMYFUNCTION("""COMPUTED_VALUE"""),1.0762)</f>
        <v>1.0762</v>
      </c>
      <c r="F17" s="22">
        <f t="shared" si="11"/>
        <v>113.7661972</v>
      </c>
      <c r="O17" s="22">
        <f t="shared" si="6"/>
        <v>70</v>
      </c>
      <c r="P17" s="22">
        <v>120.0</v>
      </c>
      <c r="Q17" s="22">
        <f>IFERROR(__xludf.DUMMYFUNCTION("""COMPUTED_VALUE"""),21.0)</f>
        <v>21</v>
      </c>
      <c r="R17" s="33">
        <f t="shared" ref="R17:S17" si="42">100*P17/P$30</f>
        <v>10.1095198</v>
      </c>
      <c r="S17" s="33">
        <f t="shared" si="42"/>
        <v>1.931922723</v>
      </c>
      <c r="T17" s="33">
        <f t="shared" ref="T17:U17" si="43">R17+T16</f>
        <v>88.28980623</v>
      </c>
      <c r="U17" s="33">
        <f t="shared" si="43"/>
        <v>48.29806808</v>
      </c>
      <c r="V17" s="33">
        <f t="shared" ref="V17:W17" si="44">100-T17</f>
        <v>11.71019377</v>
      </c>
      <c r="W17" s="33">
        <f t="shared" si="44"/>
        <v>51.70193192</v>
      </c>
    </row>
    <row r="18" ht="15.75" customHeight="1">
      <c r="A18" s="32">
        <f>IFERROR(__xludf.DUMMYFUNCTION("""COMPUTED_VALUE"""),36251.666666666664)</f>
        <v>36251.66667</v>
      </c>
      <c r="B18" s="22">
        <f>IFERROR(__xludf.DUMMYFUNCTION("""COMPUTED_VALUE"""),1293.77)</f>
        <v>1293.77</v>
      </c>
      <c r="C18" s="22">
        <f t="shared" si="10"/>
        <v>1300.230379</v>
      </c>
      <c r="D18" s="25">
        <f>IFERROR(__xludf.DUMMYFUNCTION("""COMPUTED_VALUE"""),36252.99861111111)</f>
        <v>36252.99861</v>
      </c>
      <c r="E18" s="22">
        <f>IFERROR(__xludf.DUMMYFUNCTION("""COMPUTED_VALUE"""),1.0784)</f>
        <v>1.0784</v>
      </c>
      <c r="F18" s="22">
        <f t="shared" si="11"/>
        <v>114.5486733</v>
      </c>
      <c r="O18" s="22">
        <f t="shared" si="6"/>
        <v>80</v>
      </c>
      <c r="P18" s="22">
        <v>65.0</v>
      </c>
      <c r="Q18" s="22">
        <f>IFERROR(__xludf.DUMMYFUNCTION("""COMPUTED_VALUE"""),33.0)</f>
        <v>33</v>
      </c>
      <c r="R18" s="33">
        <f t="shared" ref="R18:S18" si="45">100*P18/P$30</f>
        <v>5.47598989</v>
      </c>
      <c r="S18" s="33">
        <f t="shared" si="45"/>
        <v>3.035878565</v>
      </c>
      <c r="T18" s="33">
        <f t="shared" ref="T18:U18" si="46">R18+T17</f>
        <v>93.76579612</v>
      </c>
      <c r="U18" s="33">
        <f t="shared" si="46"/>
        <v>51.33394664</v>
      </c>
      <c r="V18" s="33">
        <f t="shared" ref="V18:W18" si="47">100-T18</f>
        <v>6.234203875</v>
      </c>
      <c r="W18" s="33">
        <f t="shared" si="47"/>
        <v>48.66605336</v>
      </c>
    </row>
    <row r="19" ht="15.75" customHeight="1">
      <c r="A19" s="32">
        <f>IFERROR(__xludf.DUMMYFUNCTION("""COMPUTED_VALUE"""),36259.666666666664)</f>
        <v>36259.66667</v>
      </c>
      <c r="B19" s="22">
        <f>IFERROR(__xludf.DUMMYFUNCTION("""COMPUTED_VALUE"""),1348.35)</f>
        <v>1348.35</v>
      </c>
      <c r="C19" s="22">
        <f t="shared" si="10"/>
        <v>1355.58301</v>
      </c>
      <c r="D19" s="25">
        <f>IFERROR(__xludf.DUMMYFUNCTION("""COMPUTED_VALUE"""),36259.99861111111)</f>
        <v>36259.99861</v>
      </c>
      <c r="E19" s="22">
        <f>IFERROR(__xludf.DUMMYFUNCTION("""COMPUTED_VALUE"""),1.0792)</f>
        <v>1.0792</v>
      </c>
      <c r="F19" s="22">
        <f t="shared" si="11"/>
        <v>119.3366423</v>
      </c>
      <c r="O19" s="22">
        <f t="shared" si="6"/>
        <v>90</v>
      </c>
      <c r="P19" s="22">
        <v>35.0</v>
      </c>
      <c r="Q19" s="22">
        <f>IFERROR(__xludf.DUMMYFUNCTION("""COMPUTED_VALUE"""),60.0)</f>
        <v>60</v>
      </c>
      <c r="R19" s="33">
        <f t="shared" ref="R19:S19" si="48">100*P19/P$30</f>
        <v>2.948609941</v>
      </c>
      <c r="S19" s="33">
        <f t="shared" si="48"/>
        <v>5.519779209</v>
      </c>
      <c r="T19" s="33">
        <f t="shared" ref="T19:U19" si="49">R19+T18</f>
        <v>96.71440607</v>
      </c>
      <c r="U19" s="33">
        <f t="shared" si="49"/>
        <v>56.85372585</v>
      </c>
      <c r="V19" s="33">
        <f t="shared" ref="V19:W19" si="50">100-T19</f>
        <v>3.285593934</v>
      </c>
      <c r="W19" s="33">
        <f t="shared" si="50"/>
        <v>43.14627415</v>
      </c>
    </row>
    <row r="20" ht="15.75" customHeight="1">
      <c r="A20" s="32">
        <f>IFERROR(__xludf.DUMMYFUNCTION("""COMPUTED_VALUE"""),36266.666666666664)</f>
        <v>36266.66667</v>
      </c>
      <c r="B20" s="22">
        <f>IFERROR(__xludf.DUMMYFUNCTION("""COMPUTED_VALUE"""),1318.77)</f>
        <v>1318.77</v>
      </c>
      <c r="C20" s="22">
        <f t="shared" si="10"/>
        <v>1326.365711</v>
      </c>
      <c r="D20" s="25">
        <f>IFERROR(__xludf.DUMMYFUNCTION("""COMPUTED_VALUE"""),36266.99861111111)</f>
        <v>36266.99861</v>
      </c>
      <c r="E20" s="22">
        <f>IFERROR(__xludf.DUMMYFUNCTION("""COMPUTED_VALUE"""),1.0696)</f>
        <v>1.0696</v>
      </c>
      <c r="F20" s="22">
        <f t="shared" si="11"/>
        <v>117.8125417</v>
      </c>
      <c r="O20" s="22">
        <f t="shared" si="6"/>
        <v>100</v>
      </c>
      <c r="P20" s="22">
        <v>34.0</v>
      </c>
      <c r="Q20" s="22">
        <f>IFERROR(__xludf.DUMMYFUNCTION("""COMPUTED_VALUE"""),88.0)</f>
        <v>88</v>
      </c>
      <c r="R20" s="33">
        <f t="shared" ref="R20:S20" si="51">100*P20/P$30</f>
        <v>2.864363943</v>
      </c>
      <c r="S20" s="33">
        <f t="shared" si="51"/>
        <v>8.095676173</v>
      </c>
      <c r="T20" s="33">
        <f t="shared" ref="T20:U20" si="52">R20+T19</f>
        <v>99.57877001</v>
      </c>
      <c r="U20" s="33">
        <f t="shared" si="52"/>
        <v>64.94940202</v>
      </c>
      <c r="V20" s="33">
        <f t="shared" ref="V20:W20" si="53">100-T20</f>
        <v>0.4212299916</v>
      </c>
      <c r="W20" s="33">
        <f t="shared" si="53"/>
        <v>35.05059798</v>
      </c>
    </row>
    <row r="21" ht="15.75" customHeight="1">
      <c r="A21" s="32">
        <f>IFERROR(__xludf.DUMMYFUNCTION("""COMPUTED_VALUE"""),36273.666666666664)</f>
        <v>36273.66667</v>
      </c>
      <c r="B21" s="22">
        <f>IFERROR(__xludf.DUMMYFUNCTION("""COMPUTED_VALUE"""),1356.8)</f>
        <v>1356.8</v>
      </c>
      <c r="C21" s="22">
        <f t="shared" si="10"/>
        <v>1365.124893</v>
      </c>
      <c r="D21" s="25">
        <f>IFERROR(__xludf.DUMMYFUNCTION("""COMPUTED_VALUE"""),36273.99861111111)</f>
        <v>36273.99861</v>
      </c>
      <c r="E21" s="22">
        <f>IFERROR(__xludf.DUMMYFUNCTION("""COMPUTED_VALUE"""),1.0605)</f>
        <v>1.0605</v>
      </c>
      <c r="F21" s="22">
        <f t="shared" si="11"/>
        <v>122.295745</v>
      </c>
      <c r="O21" s="22">
        <f t="shared" si="6"/>
        <v>110</v>
      </c>
      <c r="P21" s="22">
        <v>5.0</v>
      </c>
      <c r="Q21" s="22">
        <f>IFERROR(__xludf.DUMMYFUNCTION("""COMPUTED_VALUE"""),102.0)</f>
        <v>102</v>
      </c>
      <c r="R21" s="33">
        <f t="shared" ref="R21:S21" si="54">100*P21/P$30</f>
        <v>0.4212299916</v>
      </c>
      <c r="S21" s="33">
        <f t="shared" si="54"/>
        <v>9.383624655</v>
      </c>
      <c r="T21" s="33">
        <f t="shared" ref="T21:U21" si="55">R21+T20</f>
        <v>100</v>
      </c>
      <c r="U21" s="33">
        <f t="shared" si="55"/>
        <v>74.33302668</v>
      </c>
      <c r="V21" s="33">
        <f t="shared" ref="V21:W21" si="56">100-T21</f>
        <v>0</v>
      </c>
      <c r="W21" s="33">
        <f t="shared" si="56"/>
        <v>25.66697332</v>
      </c>
    </row>
    <row r="22" ht="15.75" customHeight="1">
      <c r="A22" s="32">
        <f>IFERROR(__xludf.DUMMYFUNCTION("""COMPUTED_VALUE"""),36280.666666666664)</f>
        <v>36280.66667</v>
      </c>
      <c r="B22" s="22">
        <f>IFERROR(__xludf.DUMMYFUNCTION("""COMPUTED_VALUE"""),1335.18)</f>
        <v>1335.18</v>
      </c>
      <c r="C22" s="22">
        <f t="shared" si="10"/>
        <v>1343.897287</v>
      </c>
      <c r="D22" s="25">
        <f>IFERROR(__xludf.DUMMYFUNCTION("""COMPUTED_VALUE"""),36280.99861111111)</f>
        <v>36280.99861</v>
      </c>
      <c r="E22" s="22">
        <f>IFERROR(__xludf.DUMMYFUNCTION("""COMPUTED_VALUE"""),1.0569)</f>
        <v>1.0569</v>
      </c>
      <c r="F22" s="22">
        <f t="shared" si="11"/>
        <v>120.8041387</v>
      </c>
      <c r="O22" s="22">
        <f t="shared" si="6"/>
        <v>120</v>
      </c>
      <c r="P22" s="22">
        <v>0.0</v>
      </c>
      <c r="Q22" s="22">
        <f>IFERROR(__xludf.DUMMYFUNCTION("""COMPUTED_VALUE"""),83.0)</f>
        <v>83</v>
      </c>
      <c r="R22" s="33">
        <f t="shared" ref="R22:S22" si="57">100*P22/P$30</f>
        <v>0</v>
      </c>
      <c r="S22" s="33">
        <f t="shared" si="57"/>
        <v>7.635694572</v>
      </c>
      <c r="T22" s="33">
        <f t="shared" ref="T22:U22" si="58">R22+T21</f>
        <v>100</v>
      </c>
      <c r="U22" s="33">
        <f t="shared" si="58"/>
        <v>81.96872125</v>
      </c>
      <c r="V22" s="33">
        <f t="shared" ref="V22:W22" si="59">100-T22</f>
        <v>0</v>
      </c>
      <c r="W22" s="33">
        <f t="shared" si="59"/>
        <v>18.03127875</v>
      </c>
    </row>
    <row r="23" ht="15.75" customHeight="1">
      <c r="A23" s="32">
        <f>IFERROR(__xludf.DUMMYFUNCTION("""COMPUTED_VALUE"""),36287.666666666664)</f>
        <v>36287.66667</v>
      </c>
      <c r="B23" s="22">
        <f>IFERROR(__xludf.DUMMYFUNCTION("""COMPUTED_VALUE"""),1345.0)</f>
        <v>1345</v>
      </c>
      <c r="C23" s="22">
        <f t="shared" si="10"/>
        <v>1354.298285</v>
      </c>
      <c r="D23" s="25">
        <f>IFERROR(__xludf.DUMMYFUNCTION("""COMPUTED_VALUE"""),36287.99861111111)</f>
        <v>36287.99861</v>
      </c>
      <c r="E23" s="22">
        <f>IFERROR(__xludf.DUMMYFUNCTION("""COMPUTED_VALUE"""),1.0755)</f>
        <v>1.0755</v>
      </c>
      <c r="F23" s="22">
        <f t="shared" si="11"/>
        <v>119.6337036</v>
      </c>
      <c r="O23" s="22">
        <f t="shared" si="6"/>
        <v>130</v>
      </c>
      <c r="P23" s="22">
        <v>0.0</v>
      </c>
      <c r="Q23" s="22">
        <f>IFERROR(__xludf.DUMMYFUNCTION("""COMPUTED_VALUE"""),59.0)</f>
        <v>59</v>
      </c>
      <c r="R23" s="33">
        <f t="shared" ref="R23:S23" si="60">100*P23/P$30</f>
        <v>0</v>
      </c>
      <c r="S23" s="33">
        <f t="shared" si="60"/>
        <v>5.427782889</v>
      </c>
      <c r="T23" s="33">
        <f t="shared" ref="T23:U23" si="61">R23+T22</f>
        <v>100</v>
      </c>
      <c r="U23" s="33">
        <f t="shared" si="61"/>
        <v>87.39650414</v>
      </c>
      <c r="V23" s="33">
        <f t="shared" ref="V23:W23" si="62">100-T23</f>
        <v>0</v>
      </c>
      <c r="W23" s="33">
        <f t="shared" si="62"/>
        <v>12.60349586</v>
      </c>
    </row>
    <row r="24" ht="15.75" customHeight="1">
      <c r="A24" s="32">
        <f>IFERROR(__xludf.DUMMYFUNCTION("""COMPUTED_VALUE"""),36294.666666666664)</f>
        <v>36294.66667</v>
      </c>
      <c r="B24" s="22">
        <f>IFERROR(__xludf.DUMMYFUNCTION("""COMPUTED_VALUE"""),1337.8)</f>
        <v>1337.8</v>
      </c>
      <c r="C24" s="22">
        <f t="shared" si="10"/>
        <v>1347.569394</v>
      </c>
      <c r="D24" s="25">
        <f>IFERROR(__xludf.DUMMYFUNCTION("""COMPUTED_VALUE"""),36294.99861111111)</f>
        <v>36294.99861</v>
      </c>
      <c r="E24" s="22">
        <f>IFERROR(__xludf.DUMMYFUNCTION("""COMPUTED_VALUE"""),1.0655)</f>
        <v>1.0655</v>
      </c>
      <c r="F24" s="22">
        <f t="shared" si="11"/>
        <v>120.1565136</v>
      </c>
      <c r="O24" s="22">
        <f t="shared" si="6"/>
        <v>140</v>
      </c>
      <c r="P24" s="22">
        <v>0.0</v>
      </c>
      <c r="Q24" s="22">
        <f>IFERROR(__xludf.DUMMYFUNCTION("""COMPUTED_VALUE"""),68.0)</f>
        <v>68</v>
      </c>
      <c r="R24" s="33">
        <f t="shared" ref="R24:S24" si="63">100*P24/P$30</f>
        <v>0</v>
      </c>
      <c r="S24" s="33">
        <f t="shared" si="63"/>
        <v>6.25574977</v>
      </c>
      <c r="T24" s="33">
        <f t="shared" ref="T24:U24" si="64">R24+T23</f>
        <v>100</v>
      </c>
      <c r="U24" s="33">
        <f t="shared" si="64"/>
        <v>93.65225391</v>
      </c>
      <c r="V24" s="33">
        <f t="shared" ref="V24:W24" si="65">100-T24</f>
        <v>0</v>
      </c>
      <c r="W24" s="33">
        <f t="shared" si="65"/>
        <v>6.34774609</v>
      </c>
    </row>
    <row r="25" ht="15.75" customHeight="1">
      <c r="A25" s="32">
        <f>IFERROR(__xludf.DUMMYFUNCTION("""COMPUTED_VALUE"""),36301.666666666664)</f>
        <v>36301.66667</v>
      </c>
      <c r="B25" s="22">
        <f>IFERROR(__xludf.DUMMYFUNCTION("""COMPUTED_VALUE"""),1330.29)</f>
        <v>1330.29</v>
      </c>
      <c r="C25" s="22">
        <f t="shared" si="10"/>
        <v>1340.522847</v>
      </c>
      <c r="D25" s="25">
        <f>IFERROR(__xludf.DUMMYFUNCTION("""COMPUTED_VALUE"""),36301.99861111111)</f>
        <v>36301.99861</v>
      </c>
      <c r="E25" s="22">
        <f>IFERROR(__xludf.DUMMYFUNCTION("""COMPUTED_VALUE"""),1.0588)</f>
        <v>1.0588</v>
      </c>
      <c r="F25" s="22">
        <f t="shared" si="11"/>
        <v>120.2845705</v>
      </c>
      <c r="O25" s="22">
        <f t="shared" si="6"/>
        <v>150</v>
      </c>
      <c r="P25" s="22">
        <v>0.0</v>
      </c>
      <c r="Q25" s="22">
        <f>IFERROR(__xludf.DUMMYFUNCTION("""COMPUTED_VALUE"""),43.0)</f>
        <v>43</v>
      </c>
      <c r="R25" s="33">
        <f t="shared" ref="R25:S25" si="66">100*P25/P$30</f>
        <v>0</v>
      </c>
      <c r="S25" s="33">
        <f t="shared" si="66"/>
        <v>3.955841766</v>
      </c>
      <c r="T25" s="33">
        <f t="shared" ref="T25:U25" si="67">R25+T24</f>
        <v>100</v>
      </c>
      <c r="U25" s="33">
        <f t="shared" si="67"/>
        <v>97.60809568</v>
      </c>
      <c r="V25" s="33">
        <f t="shared" ref="V25:W25" si="68">100-T25</f>
        <v>0</v>
      </c>
      <c r="W25" s="33">
        <f t="shared" si="68"/>
        <v>2.391904324</v>
      </c>
    </row>
    <row r="26" ht="15.75" customHeight="1">
      <c r="A26" s="32">
        <f>IFERROR(__xludf.DUMMYFUNCTION("""COMPUTED_VALUE"""),36308.666666666664)</f>
        <v>36308.66667</v>
      </c>
      <c r="B26" s="22">
        <f>IFERROR(__xludf.DUMMYFUNCTION("""COMPUTED_VALUE"""),1301.85)</f>
        <v>1301.85</v>
      </c>
      <c r="C26" s="22">
        <f t="shared" si="10"/>
        <v>1312.379667</v>
      </c>
      <c r="D26" s="25">
        <f>IFERROR(__xludf.DUMMYFUNCTION("""COMPUTED_VALUE"""),36308.99861111111)</f>
        <v>36308.99861</v>
      </c>
      <c r="E26" s="22">
        <f>IFERROR(__xludf.DUMMYFUNCTION("""COMPUTED_VALUE"""),1.0428)</f>
        <v>1.0428</v>
      </c>
      <c r="F26" s="22">
        <f t="shared" si="11"/>
        <v>119.5661113</v>
      </c>
      <c r="O26" s="22">
        <f t="shared" si="6"/>
        <v>160</v>
      </c>
      <c r="P26" s="22">
        <v>0.0</v>
      </c>
      <c r="Q26" s="22">
        <f>IFERROR(__xludf.DUMMYFUNCTION("""COMPUTED_VALUE"""),18.0)</f>
        <v>18</v>
      </c>
      <c r="R26" s="33">
        <f t="shared" ref="R26:S26" si="69">100*P26/P$30</f>
        <v>0</v>
      </c>
      <c r="S26" s="33">
        <f t="shared" si="69"/>
        <v>1.655933763</v>
      </c>
      <c r="T26" s="33">
        <f t="shared" ref="T26:U26" si="70">R26+T25</f>
        <v>100</v>
      </c>
      <c r="U26" s="33">
        <f t="shared" si="70"/>
        <v>99.26402944</v>
      </c>
      <c r="V26" s="33">
        <f t="shared" ref="V26:W26" si="71">100-T26</f>
        <v>0</v>
      </c>
      <c r="W26" s="33">
        <f t="shared" si="71"/>
        <v>0.7359705612</v>
      </c>
    </row>
    <row r="27" ht="15.75" customHeight="1">
      <c r="A27" s="32">
        <f>IFERROR(__xludf.DUMMYFUNCTION("""COMPUTED_VALUE"""),36315.666666666664)</f>
        <v>36315.66667</v>
      </c>
      <c r="B27" s="22">
        <f>IFERROR(__xludf.DUMMYFUNCTION("""COMPUTED_VALUE"""),1327.4)</f>
        <v>1327.4</v>
      </c>
      <c r="C27" s="22">
        <f t="shared" si="10"/>
        <v>1338.641083</v>
      </c>
      <c r="D27" s="25">
        <f>IFERROR(__xludf.DUMMYFUNCTION("""COMPUTED_VALUE"""),36315.99861111111)</f>
        <v>36315.99861</v>
      </c>
      <c r="E27" s="22">
        <f>IFERROR(__xludf.DUMMYFUNCTION("""COMPUTED_VALUE"""),1.0373)</f>
        <v>1.0373</v>
      </c>
      <c r="F27" s="22">
        <f t="shared" si="11"/>
        <v>122.6053455</v>
      </c>
      <c r="I27" s="22">
        <f>1.05^5</f>
        <v>1.276281563</v>
      </c>
      <c r="O27" s="22">
        <f t="shared" si="6"/>
        <v>170</v>
      </c>
      <c r="P27" s="22">
        <v>0.0</v>
      </c>
      <c r="Q27" s="22">
        <f>IFERROR(__xludf.DUMMYFUNCTION("""COMPUTED_VALUE"""),6.0)</f>
        <v>6</v>
      </c>
      <c r="R27" s="33">
        <f t="shared" ref="R27:S27" si="72">100*P27/P$30</f>
        <v>0</v>
      </c>
      <c r="S27" s="33">
        <f t="shared" si="72"/>
        <v>0.5519779209</v>
      </c>
      <c r="T27" s="33">
        <f t="shared" ref="T27:U27" si="73">R27+T26</f>
        <v>100</v>
      </c>
      <c r="U27" s="33">
        <f t="shared" si="73"/>
        <v>99.81600736</v>
      </c>
      <c r="V27" s="33">
        <f t="shared" ref="V27:W27" si="74">100-T27</f>
        <v>0</v>
      </c>
      <c r="W27" s="33">
        <f t="shared" si="74"/>
        <v>0.1839926403</v>
      </c>
    </row>
    <row r="28" ht="15.75" customHeight="1">
      <c r="A28" s="32">
        <f>IFERROR(__xludf.DUMMYFUNCTION("""COMPUTED_VALUE"""),36322.666666666664)</f>
        <v>36322.66667</v>
      </c>
      <c r="B28" s="22">
        <f>IFERROR(__xludf.DUMMYFUNCTION("""COMPUTED_VALUE"""),1293.67)</f>
        <v>1293.67</v>
      </c>
      <c r="C28" s="22">
        <f t="shared" si="10"/>
        <v>1305.140302</v>
      </c>
      <c r="D28" s="25">
        <f>IFERROR(__xludf.DUMMYFUNCTION("""COMPUTED_VALUE"""),36322.99861111111)</f>
        <v>36322.99861</v>
      </c>
      <c r="E28" s="22">
        <f>IFERROR(__xludf.DUMMYFUNCTION("""COMPUTED_VALUE"""),1.0508)</f>
        <v>1.0508</v>
      </c>
      <c r="F28" s="22">
        <f t="shared" si="11"/>
        <v>118.0012942</v>
      </c>
      <c r="I28" s="22">
        <f>18+33</f>
        <v>51</v>
      </c>
      <c r="O28" s="22">
        <f t="shared" si="6"/>
        <v>180</v>
      </c>
      <c r="P28" s="22">
        <v>0.0</v>
      </c>
      <c r="Q28" s="22">
        <f>IFERROR(__xludf.DUMMYFUNCTION("""COMPUTED_VALUE"""),2.0)</f>
        <v>2</v>
      </c>
      <c r="R28" s="33">
        <f t="shared" ref="R28:S28" si="75">100*P28/P$30</f>
        <v>0</v>
      </c>
      <c r="S28" s="33">
        <f t="shared" si="75"/>
        <v>0.1839926403</v>
      </c>
      <c r="T28" s="33">
        <f t="shared" ref="T28:U28" si="76">R28+T27</f>
        <v>100</v>
      </c>
      <c r="U28" s="33">
        <f t="shared" si="76"/>
        <v>100</v>
      </c>
      <c r="V28" s="33">
        <f t="shared" ref="V28:W28" si="77">100-T28</f>
        <v>0</v>
      </c>
      <c r="W28" s="33">
        <f t="shared" si="77"/>
        <v>0</v>
      </c>
    </row>
    <row r="29" ht="15.75" customHeight="1">
      <c r="A29" s="32">
        <f>IFERROR(__xludf.DUMMYFUNCTION("""COMPUTED_VALUE"""),36329.666666666664)</f>
        <v>36329.66667</v>
      </c>
      <c r="B29" s="22">
        <f>IFERROR(__xludf.DUMMYFUNCTION("""COMPUTED_VALUE"""),1342.84)</f>
        <v>1342.84</v>
      </c>
      <c r="C29" s="22">
        <f t="shared" si="10"/>
        <v>1355.248244</v>
      </c>
      <c r="D29" s="25">
        <f>IFERROR(__xludf.DUMMYFUNCTION("""COMPUTED_VALUE"""),36329.99861111111)</f>
        <v>36329.99861</v>
      </c>
      <c r="E29" s="22">
        <f>IFERROR(__xludf.DUMMYFUNCTION("""COMPUTED_VALUE"""),1.0395)</f>
        <v>1.0395</v>
      </c>
      <c r="F29" s="22">
        <f t="shared" si="11"/>
        <v>123.8636842</v>
      </c>
      <c r="P29" s="22">
        <v>0.0</v>
      </c>
      <c r="Q29" s="22">
        <f>IFERROR(__xludf.DUMMYFUNCTION("""COMPUTED_VALUE"""),0.0)</f>
        <v>0</v>
      </c>
      <c r="T29" s="33">
        <f>R29+R28</f>
        <v>0</v>
      </c>
    </row>
    <row r="30" ht="15.75" customHeight="1">
      <c r="A30" s="32">
        <f>IFERROR(__xludf.DUMMYFUNCTION("""COMPUTED_VALUE"""),36336.666666666664)</f>
        <v>36336.66667</v>
      </c>
      <c r="B30" s="22">
        <f>IFERROR(__xludf.DUMMYFUNCTION("""COMPUTED_VALUE"""),1315.31)</f>
        <v>1315.31</v>
      </c>
      <c r="C30" s="22">
        <f t="shared" si="10"/>
        <v>1327.985108</v>
      </c>
      <c r="D30" s="25">
        <f>IFERROR(__xludf.DUMMYFUNCTION("""COMPUTED_VALUE"""),36336.99861111111)</f>
        <v>36336.99861</v>
      </c>
      <c r="E30" s="22">
        <f>IFERROR(__xludf.DUMMYFUNCTION("""COMPUTED_VALUE"""),1.0428)</f>
        <v>1.0428</v>
      </c>
      <c r="F30" s="22">
        <f t="shared" si="11"/>
        <v>120.9878659</v>
      </c>
      <c r="P30" s="22">
        <f t="shared" ref="P30:Q30" si="78">SUM(P5:P29)</f>
        <v>1187</v>
      </c>
      <c r="Q30" s="22">
        <f t="shared" si="78"/>
        <v>1087</v>
      </c>
      <c r="S30" s="22">
        <f>1.05^5</f>
        <v>1.276281563</v>
      </c>
      <c r="T30" s="22">
        <f>2/3*27+1/3*50</f>
        <v>34.66666667</v>
      </c>
      <c r="U30" s="22">
        <f>(100+T30)/100</f>
        <v>1.346666667</v>
      </c>
    </row>
    <row r="31" ht="15.75" customHeight="1">
      <c r="A31" s="32">
        <f>IFERROR(__xludf.DUMMYFUNCTION("""COMPUTED_VALUE"""),36343.666666666664)</f>
        <v>36343.66667</v>
      </c>
      <c r="B31" s="22">
        <f>IFERROR(__xludf.DUMMYFUNCTION("""COMPUTED_VALUE"""),1391.22)</f>
        <v>1391.22</v>
      </c>
      <c r="C31" s="22">
        <f t="shared" si="10"/>
        <v>1405.137385</v>
      </c>
      <c r="D31" s="25">
        <f>IFERROR(__xludf.DUMMYFUNCTION("""COMPUTED_VALUE"""),36343.99861111111)</f>
        <v>36343.99861</v>
      </c>
      <c r="E31" s="22">
        <f>IFERROR(__xludf.DUMMYFUNCTION("""COMPUTED_VALUE"""),1.0244)</f>
        <v>1.0244</v>
      </c>
      <c r="F31" s="22">
        <f t="shared" si="11"/>
        <v>130.3163337</v>
      </c>
      <c r="T31" s="22">
        <f>T30^0.2</f>
        <v>2.032274729</v>
      </c>
      <c r="U31" s="22">
        <f>U30^0.2-1</f>
        <v>0.06133386543</v>
      </c>
    </row>
    <row r="32" ht="15.75" customHeight="1">
      <c r="A32" s="32">
        <f>IFERROR(__xludf.DUMMYFUNCTION("""COMPUTED_VALUE"""),36350.666666666664)</f>
        <v>36350.66667</v>
      </c>
      <c r="B32" s="22">
        <f>IFERROR(__xludf.DUMMYFUNCTION("""COMPUTED_VALUE"""),1403.28)</f>
        <v>1403.28</v>
      </c>
      <c r="C32" s="22">
        <f t="shared" si="10"/>
        <v>1417.858468</v>
      </c>
      <c r="D32" s="25">
        <f>IFERROR(__xludf.DUMMYFUNCTION("""COMPUTED_VALUE"""),36350.99861111111)</f>
        <v>36350.99861</v>
      </c>
      <c r="E32" s="22">
        <f>IFERROR(__xludf.DUMMYFUNCTION("""COMPUTED_VALUE"""),1.0195)</f>
        <v>1.0195</v>
      </c>
      <c r="F32" s="22">
        <f t="shared" si="11"/>
        <v>132.128129</v>
      </c>
      <c r="U32" s="22">
        <f>1.07^5</f>
        <v>1.402551731</v>
      </c>
    </row>
    <row r="33" ht="15.75" customHeight="1">
      <c r="A33" s="32">
        <f>IFERROR(__xludf.DUMMYFUNCTION("""COMPUTED_VALUE"""),36357.666666666664)</f>
        <v>36357.66667</v>
      </c>
      <c r="B33" s="22">
        <f>IFERROR(__xludf.DUMMYFUNCTION("""COMPUTED_VALUE"""),1418.78)</f>
        <v>1418.78</v>
      </c>
      <c r="C33" s="22">
        <f t="shared" si="10"/>
        <v>1434.064825</v>
      </c>
      <c r="D33" s="25">
        <f>IFERROR(__xludf.DUMMYFUNCTION("""COMPUTED_VALUE"""),36357.99861111111)</f>
        <v>36357.99861</v>
      </c>
      <c r="E33" s="22">
        <f>IFERROR(__xludf.DUMMYFUNCTION("""COMPUTED_VALUE"""),1.0194)</f>
        <v>1.0194</v>
      </c>
      <c r="F33" s="22">
        <f t="shared" si="11"/>
        <v>133.6514849</v>
      </c>
    </row>
    <row r="34" ht="15.75" customHeight="1">
      <c r="A34" s="32">
        <f>IFERROR(__xludf.DUMMYFUNCTION("""COMPUTED_VALUE"""),36364.666666666664)</f>
        <v>36364.66667</v>
      </c>
      <c r="B34" s="22">
        <f>IFERROR(__xludf.DUMMYFUNCTION("""COMPUTED_VALUE"""),1356.94)</f>
        <v>1356.94</v>
      </c>
      <c r="C34" s="22">
        <f t="shared" si="10"/>
        <v>1372.110173</v>
      </c>
      <c r="D34" s="25">
        <f>IFERROR(__xludf.DUMMYFUNCTION("""COMPUTED_VALUE"""),36364.99861111111)</f>
        <v>36364.99861</v>
      </c>
      <c r="E34" s="22">
        <f>IFERROR(__xludf.DUMMYFUNCTION("""COMPUTED_VALUE"""),1.0522)</f>
        <v>1.0522</v>
      </c>
      <c r="F34" s="22">
        <f t="shared" si="11"/>
        <v>123.8911604</v>
      </c>
    </row>
    <row r="35" ht="15.75" customHeight="1">
      <c r="A35" s="32">
        <f>IFERROR(__xludf.DUMMYFUNCTION("""COMPUTED_VALUE"""),36371.666666666664)</f>
        <v>36371.66667</v>
      </c>
      <c r="B35" s="22">
        <f>IFERROR(__xludf.DUMMYFUNCTION("""COMPUTED_VALUE"""),1328.72)</f>
        <v>1328.72</v>
      </c>
      <c r="C35" s="22">
        <f t="shared" si="10"/>
        <v>1344.102417</v>
      </c>
      <c r="D35" s="25">
        <f>IFERROR(__xludf.DUMMYFUNCTION("""COMPUTED_VALUE"""),36371.99861111111)</f>
        <v>36371.99861</v>
      </c>
      <c r="E35" s="22">
        <f>IFERROR(__xludf.DUMMYFUNCTION("""COMPUTED_VALUE"""),1.0705)</f>
        <v>1.0705</v>
      </c>
      <c r="F35" s="22">
        <f t="shared" si="11"/>
        <v>119.2876064</v>
      </c>
    </row>
    <row r="36" ht="15.75" customHeight="1">
      <c r="A36" s="32">
        <f>IFERROR(__xludf.DUMMYFUNCTION("""COMPUTED_VALUE"""),36378.666666666664)</f>
        <v>36378.66667</v>
      </c>
      <c r="B36" s="22">
        <f>IFERROR(__xludf.DUMMYFUNCTION("""COMPUTED_VALUE"""),1300.33)</f>
        <v>1300.33</v>
      </c>
      <c r="C36" s="22">
        <f t="shared" si="10"/>
        <v>1315.900712</v>
      </c>
      <c r="D36" s="25">
        <f>IFERROR(__xludf.DUMMYFUNCTION("""COMPUTED_VALUE"""),36378.99861111111)</f>
        <v>36378.99861</v>
      </c>
      <c r="E36" s="22">
        <f>IFERROR(__xludf.DUMMYFUNCTION("""COMPUTED_VALUE"""),1.0729)</f>
        <v>1.0729</v>
      </c>
      <c r="F36" s="22">
        <f t="shared" si="11"/>
        <v>116.5234972</v>
      </c>
    </row>
    <row r="37" ht="15.75" customHeight="1">
      <c r="A37" s="32">
        <f>IFERROR(__xludf.DUMMYFUNCTION("""COMPUTED_VALUE"""),36385.666666666664)</f>
        <v>36385.66667</v>
      </c>
      <c r="B37" s="22">
        <f>IFERROR(__xludf.DUMMYFUNCTION("""COMPUTED_VALUE"""),1327.68)</f>
        <v>1327.68</v>
      </c>
      <c r="C37" s="22">
        <f t="shared" si="10"/>
        <v>1344.084328</v>
      </c>
      <c r="D37" s="25">
        <f>IFERROR(__xludf.DUMMYFUNCTION("""COMPUTED_VALUE"""),36385.99861111111)</f>
        <v>36385.99861</v>
      </c>
      <c r="E37" s="22">
        <f>IFERROR(__xludf.DUMMYFUNCTION("""COMPUTED_VALUE"""),1.0569)</f>
        <v>1.0569</v>
      </c>
      <c r="F37" s="22">
        <f t="shared" si="11"/>
        <v>120.820952</v>
      </c>
    </row>
    <row r="38" ht="15.75" customHeight="1">
      <c r="A38" s="32">
        <f>IFERROR(__xludf.DUMMYFUNCTION("""COMPUTED_VALUE"""),36392.666666666664)</f>
        <v>36392.66667</v>
      </c>
      <c r="B38" s="22">
        <f>IFERROR(__xludf.DUMMYFUNCTION("""COMPUTED_VALUE"""),1336.61)</f>
        <v>1336.61</v>
      </c>
      <c r="C38" s="22">
        <f t="shared" si="10"/>
        <v>1353.641619</v>
      </c>
      <c r="D38" s="25">
        <f>IFERROR(__xludf.DUMMYFUNCTION("""COMPUTED_VALUE"""),36392.99861111111)</f>
        <v>36392.99861</v>
      </c>
      <c r="E38" s="22">
        <f>IFERROR(__xludf.DUMMYFUNCTION("""COMPUTED_VALUE"""),1.0674)</f>
        <v>1.0674</v>
      </c>
      <c r="F38" s="22">
        <f t="shared" si="11"/>
        <v>120.4831003</v>
      </c>
      <c r="R38" s="22">
        <f>1.05^5*2/3+1/3*50</f>
        <v>17.51752104</v>
      </c>
    </row>
    <row r="39" ht="15.75" customHeight="1">
      <c r="A39" s="32">
        <f>IFERROR(__xludf.DUMMYFUNCTION("""COMPUTED_VALUE"""),36399.666666666664)</f>
        <v>36399.66667</v>
      </c>
      <c r="B39" s="22">
        <f>IFERROR(__xludf.DUMMYFUNCTION("""COMPUTED_VALUE"""),1348.27)</f>
        <v>1348.27</v>
      </c>
      <c r="C39" s="22">
        <f t="shared" si="10"/>
        <v>1365.970827</v>
      </c>
      <c r="D39" s="25">
        <f>IFERROR(__xludf.DUMMYFUNCTION("""COMPUTED_VALUE"""),36399.99861111111)</f>
        <v>36399.99861</v>
      </c>
      <c r="E39" s="22">
        <f>IFERROR(__xludf.DUMMYFUNCTION("""COMPUTED_VALUE"""),1.0463)</f>
        <v>1.0463</v>
      </c>
      <c r="F39" s="22">
        <f t="shared" si="11"/>
        <v>124.0323102</v>
      </c>
    </row>
    <row r="40" ht="15.75" customHeight="1">
      <c r="A40" s="32">
        <f>IFERROR(__xludf.DUMMYFUNCTION("""COMPUTED_VALUE"""),36406.666666666664)</f>
        <v>36406.66667</v>
      </c>
      <c r="B40" s="22">
        <f>IFERROR(__xludf.DUMMYFUNCTION("""COMPUTED_VALUE"""),1357.24)</f>
        <v>1357.24</v>
      </c>
      <c r="C40" s="22">
        <f t="shared" si="10"/>
        <v>1375.583964</v>
      </c>
      <c r="D40" s="25">
        <f>IFERROR(__xludf.DUMMYFUNCTION("""COMPUTED_VALUE"""),36406.99861111111)</f>
        <v>36406.99861</v>
      </c>
      <c r="E40" s="22">
        <f>IFERROR(__xludf.DUMMYFUNCTION("""COMPUTED_VALUE"""),1.0608)</f>
        <v>1.0608</v>
      </c>
      <c r="F40" s="22">
        <f t="shared" si="11"/>
        <v>123.1978779</v>
      </c>
      <c r="R40" s="22">
        <f>1.05^5</f>
        <v>1.276281563</v>
      </c>
      <c r="S40" s="22">
        <f>2/3*27+1/3*50</f>
        <v>34.66666667</v>
      </c>
    </row>
    <row r="41" ht="15.75" customHeight="1">
      <c r="A41" s="32">
        <f>IFERROR(__xludf.DUMMYFUNCTION("""COMPUTED_VALUE"""),36413.666666666664)</f>
        <v>36413.66667</v>
      </c>
      <c r="B41" s="22">
        <f>IFERROR(__xludf.DUMMYFUNCTION("""COMPUTED_VALUE"""),1351.66)</f>
        <v>1351.66</v>
      </c>
      <c r="C41" s="22">
        <f t="shared" si="10"/>
        <v>1370.457617</v>
      </c>
      <c r="D41" s="25">
        <f>IFERROR(__xludf.DUMMYFUNCTION("""COMPUTED_VALUE"""),36413.99861111111)</f>
        <v>36413.99861</v>
      </c>
      <c r="E41" s="22">
        <f>IFERROR(__xludf.DUMMYFUNCTION("""COMPUTED_VALUE"""),1.0363)</f>
        <v>1.0363</v>
      </c>
      <c r="F41" s="22">
        <f t="shared" si="11"/>
        <v>125.6405257</v>
      </c>
    </row>
    <row r="42" ht="15.75" customHeight="1">
      <c r="A42" s="32">
        <f>IFERROR(__xludf.DUMMYFUNCTION("""COMPUTED_VALUE"""),36420.666666666664)</f>
        <v>36420.66667</v>
      </c>
      <c r="B42" s="22">
        <f>IFERROR(__xludf.DUMMYFUNCTION("""COMPUTED_VALUE"""),1335.42)</f>
        <v>1335.42</v>
      </c>
      <c r="C42" s="22">
        <f t="shared" si="10"/>
        <v>1354.518866</v>
      </c>
      <c r="D42" s="25">
        <f>IFERROR(__xludf.DUMMYFUNCTION("""COMPUTED_VALUE"""),36420.99861111111)</f>
        <v>36420.99861</v>
      </c>
      <c r="E42" s="22">
        <f>IFERROR(__xludf.DUMMYFUNCTION("""COMPUTED_VALUE"""),1.042)</f>
        <v>1.042</v>
      </c>
      <c r="F42" s="22">
        <f t="shared" si="11"/>
        <v>123.5000045</v>
      </c>
    </row>
    <row r="43" ht="15.75" customHeight="1">
      <c r="A43" s="32">
        <f>IFERROR(__xludf.DUMMYFUNCTION("""COMPUTED_VALUE"""),36427.666666666664)</f>
        <v>36427.66667</v>
      </c>
      <c r="B43" s="22">
        <f>IFERROR(__xludf.DUMMYFUNCTION("""COMPUTED_VALUE"""),1277.36)</f>
        <v>1277.36</v>
      </c>
      <c r="C43" s="22">
        <f t="shared" si="10"/>
        <v>1296.149474</v>
      </c>
      <c r="D43" s="25">
        <f>IFERROR(__xludf.DUMMYFUNCTION("""COMPUTED_VALUE"""),36427.99861111111)</f>
        <v>36427.99861</v>
      </c>
      <c r="E43" s="22">
        <f>IFERROR(__xludf.DUMMYFUNCTION("""COMPUTED_VALUE"""),1.043)</f>
        <v>1.043</v>
      </c>
      <c r="F43" s="22">
        <f t="shared" si="11"/>
        <v>118.0647939</v>
      </c>
    </row>
    <row r="44" ht="15.75" customHeight="1">
      <c r="A44" s="32">
        <f>IFERROR(__xludf.DUMMYFUNCTION("""COMPUTED_VALUE"""),36434.666666666664)</f>
        <v>36434.66667</v>
      </c>
      <c r="B44" s="22">
        <f>IFERROR(__xludf.DUMMYFUNCTION("""COMPUTED_VALUE"""),1282.81)</f>
        <v>1282.81</v>
      </c>
      <c r="C44" s="22">
        <f t="shared" si="10"/>
        <v>1302.17816</v>
      </c>
      <c r="D44" s="25">
        <f>IFERROR(__xludf.DUMMYFUNCTION("""COMPUTED_VALUE"""),36434.99861111111)</f>
        <v>36434.99861</v>
      </c>
      <c r="E44" s="22">
        <f>IFERROR(__xludf.DUMMYFUNCTION("""COMPUTED_VALUE"""),1.0729)</f>
        <v>1.0729</v>
      </c>
      <c r="F44" s="22">
        <f t="shared" si="11"/>
        <v>115.3083602</v>
      </c>
    </row>
    <row r="45" ht="15.75" customHeight="1">
      <c r="A45" s="32">
        <f>IFERROR(__xludf.DUMMYFUNCTION("""COMPUTED_VALUE"""),36441.666666666664)</f>
        <v>36441.66667</v>
      </c>
      <c r="B45" s="22">
        <f>IFERROR(__xludf.DUMMYFUNCTION("""COMPUTED_VALUE"""),1336.02)</f>
        <v>1336.02</v>
      </c>
      <c r="C45" s="22">
        <f t="shared" si="10"/>
        <v>1356.692375</v>
      </c>
      <c r="D45" s="25">
        <f>IFERROR(__xludf.DUMMYFUNCTION("""COMPUTED_VALUE"""),36441.99861111111)</f>
        <v>36441.99861</v>
      </c>
      <c r="E45" s="22">
        <f>IFERROR(__xludf.DUMMYFUNCTION("""COMPUTED_VALUE"""),1.0626)</f>
        <v>1.0626</v>
      </c>
      <c r="F45" s="22">
        <f t="shared" si="11"/>
        <v>121.3001133</v>
      </c>
    </row>
    <row r="46" ht="15.75" customHeight="1">
      <c r="A46" s="32">
        <f>IFERROR(__xludf.DUMMYFUNCTION("""COMPUTED_VALUE"""),36448.666666666664)</f>
        <v>36448.66667</v>
      </c>
      <c r="B46" s="22">
        <f>IFERROR(__xludf.DUMMYFUNCTION("""COMPUTED_VALUE"""),1247.41)</f>
        <v>1247.41</v>
      </c>
      <c r="C46" s="22">
        <f t="shared" si="10"/>
        <v>1267.233108</v>
      </c>
      <c r="D46" s="25">
        <f>IFERROR(__xludf.DUMMYFUNCTION("""COMPUTED_VALUE"""),36448.99861111111)</f>
        <v>36448.99861</v>
      </c>
      <c r="E46" s="22">
        <f>IFERROR(__xludf.DUMMYFUNCTION("""COMPUTED_VALUE"""),1.0856)</f>
        <v>1.0856</v>
      </c>
      <c r="F46" s="22">
        <f t="shared" si="11"/>
        <v>110.9012165</v>
      </c>
    </row>
    <row r="47" ht="15.75" customHeight="1">
      <c r="A47" s="32">
        <f>IFERROR(__xludf.DUMMYFUNCTION("""COMPUTED_VALUE"""),36455.666666666664)</f>
        <v>36455.66667</v>
      </c>
      <c r="B47" s="22">
        <f>IFERROR(__xludf.DUMMYFUNCTION("""COMPUTED_VALUE"""),1301.65)</f>
        <v>1301.65</v>
      </c>
      <c r="C47" s="22">
        <f t="shared" si="10"/>
        <v>1322.822456</v>
      </c>
      <c r="D47" s="25">
        <f>IFERROR(__xludf.DUMMYFUNCTION("""COMPUTED_VALUE"""),36455.99861111111)</f>
        <v>36455.99861</v>
      </c>
      <c r="E47" s="22">
        <f>IFERROR(__xludf.DUMMYFUNCTION("""COMPUTED_VALUE"""),1.0698)</f>
        <v>1.0698</v>
      </c>
      <c r="F47" s="22">
        <f t="shared" si="11"/>
        <v>117.4758508</v>
      </c>
    </row>
    <row r="48" ht="15.75" customHeight="1">
      <c r="A48" s="32">
        <f>IFERROR(__xludf.DUMMYFUNCTION("""COMPUTED_VALUE"""),36462.666666666664)</f>
        <v>36462.66667</v>
      </c>
      <c r="B48" s="22">
        <f>IFERROR(__xludf.DUMMYFUNCTION("""COMPUTED_VALUE"""),1362.93)</f>
        <v>1362.93</v>
      </c>
      <c r="C48" s="22">
        <f t="shared" si="10"/>
        <v>1385.608005</v>
      </c>
      <c r="D48" s="25">
        <f>IFERROR(__xludf.DUMMYFUNCTION("""COMPUTED_VALUE"""),36462.99861111111)</f>
        <v>36462.99861</v>
      </c>
      <c r="E48" s="22">
        <f>IFERROR(__xludf.DUMMYFUNCTION("""COMPUTED_VALUE"""),1.0532)</f>
        <v>1.0532</v>
      </c>
      <c r="F48" s="22">
        <f t="shared" si="11"/>
        <v>124.9911222</v>
      </c>
    </row>
    <row r="49" ht="15.75" customHeight="1">
      <c r="A49" s="32">
        <f>IFERROR(__xludf.DUMMYFUNCTION("""COMPUTED_VALUE"""),36469.666666666664)</f>
        <v>36469.66667</v>
      </c>
      <c r="B49" s="22">
        <f>IFERROR(__xludf.DUMMYFUNCTION("""COMPUTED_VALUE"""),1370.22)</f>
        <v>1370.22</v>
      </c>
      <c r="C49" s="22">
        <f t="shared" si="10"/>
        <v>1393.552231</v>
      </c>
      <c r="D49" s="25">
        <f>IFERROR(__xludf.DUMMYFUNCTION("""COMPUTED_VALUE"""),36469.99861111111)</f>
        <v>36469.99861</v>
      </c>
      <c r="E49" s="22">
        <f>IFERROR(__xludf.DUMMYFUNCTION("""COMPUTED_VALUE"""),1.0442)</f>
        <v>1.0442</v>
      </c>
      <c r="F49" s="22">
        <f t="shared" si="11"/>
        <v>126.7912245</v>
      </c>
    </row>
    <row r="50" ht="15.75" customHeight="1">
      <c r="A50" s="32">
        <f>IFERROR(__xludf.DUMMYFUNCTION("""COMPUTED_VALUE"""),36476.666666666664)</f>
        <v>36476.66667</v>
      </c>
      <c r="B50" s="22">
        <f>IFERROR(__xludf.DUMMYFUNCTION("""COMPUTED_VALUE"""),1396.04)</f>
        <v>1396.04</v>
      </c>
      <c r="C50" s="22">
        <f t="shared" si="10"/>
        <v>1420.347878</v>
      </c>
      <c r="D50" s="25">
        <f>IFERROR(__xludf.DUMMYFUNCTION("""COMPUTED_VALUE"""),36476.99861111111)</f>
        <v>36476.99861</v>
      </c>
      <c r="E50" s="22">
        <f>IFERROR(__xludf.DUMMYFUNCTION("""COMPUTED_VALUE"""),1.0317)</f>
        <v>1.0317</v>
      </c>
      <c r="F50" s="22">
        <f t="shared" si="11"/>
        <v>130.7949361</v>
      </c>
    </row>
    <row r="51" ht="15.75" customHeight="1">
      <c r="A51" s="32">
        <f>IFERROR(__xludf.DUMMYFUNCTION("""COMPUTED_VALUE"""),36482.666666666664)</f>
        <v>36482.66667</v>
      </c>
      <c r="B51" s="22">
        <f>IFERROR(__xludf.DUMMYFUNCTION("""COMPUTED_VALUE"""),1424.93)</f>
        <v>1424.93</v>
      </c>
      <c r="C51" s="22">
        <f t="shared" si="10"/>
        <v>1450.287199</v>
      </c>
      <c r="D51" s="25">
        <f>IFERROR(__xludf.DUMMYFUNCTION("""COMPUTED_VALUE"""),36483.99861111111)</f>
        <v>36483.99861</v>
      </c>
      <c r="E51" s="22">
        <f>IFERROR(__xludf.DUMMYFUNCTION("""COMPUTED_VALUE"""),1.0296)</f>
        <v>1.0296</v>
      </c>
      <c r="F51" s="22">
        <f t="shared" si="11"/>
        <v>133.8243411</v>
      </c>
    </row>
    <row r="52" ht="15.75" customHeight="1">
      <c r="A52" s="32">
        <f>IFERROR(__xludf.DUMMYFUNCTION("""COMPUTED_VALUE"""),36490.666666666664)</f>
        <v>36490.66667</v>
      </c>
      <c r="B52" s="22">
        <f>IFERROR(__xludf.DUMMYFUNCTION("""COMPUTED_VALUE"""),1416.62)</f>
        <v>1416.62</v>
      </c>
      <c r="C52" s="22">
        <f t="shared" si="10"/>
        <v>1442.387122</v>
      </c>
      <c r="D52" s="25">
        <f>IFERROR(__xludf.DUMMYFUNCTION("""COMPUTED_VALUE"""),36490.99861111111)</f>
        <v>36490.99861</v>
      </c>
      <c r="E52" s="22">
        <f>IFERROR(__xludf.DUMMYFUNCTION("""COMPUTED_VALUE"""),1.017)</f>
        <v>1.017</v>
      </c>
      <c r="F52" s="22">
        <f t="shared" si="11"/>
        <v>134.7443356</v>
      </c>
    </row>
    <row r="53" ht="15.75" customHeight="1">
      <c r="A53" s="32">
        <f>IFERROR(__xludf.DUMMYFUNCTION("""COMPUTED_VALUE"""),36497.666666666664)</f>
        <v>36497.66667</v>
      </c>
      <c r="B53" s="22">
        <f>IFERROR(__xludf.DUMMYFUNCTION("""COMPUTED_VALUE"""),1433.3)</f>
        <v>1433.3</v>
      </c>
      <c r="C53" s="22">
        <f t="shared" si="10"/>
        <v>1459.925281</v>
      </c>
      <c r="D53" s="25">
        <f>IFERROR(__xludf.DUMMYFUNCTION("""COMPUTED_VALUE"""),36497.99861111111)</f>
        <v>36497.99861</v>
      </c>
      <c r="E53" s="22">
        <f>IFERROR(__xludf.DUMMYFUNCTION("""COMPUTED_VALUE"""),1.0029)</f>
        <v>1.0029</v>
      </c>
      <c r="F53" s="22">
        <f t="shared" si="11"/>
        <v>138.3001439</v>
      </c>
    </row>
    <row r="54" ht="15.75" customHeight="1">
      <c r="A54" s="32">
        <f>IFERROR(__xludf.DUMMYFUNCTION("""COMPUTED_VALUE"""),36504.666666666664)</f>
        <v>36504.66667</v>
      </c>
      <c r="B54" s="22">
        <f>IFERROR(__xludf.DUMMYFUNCTION("""COMPUTED_VALUE"""),1417.04)</f>
        <v>1417.04</v>
      </c>
      <c r="C54" s="22">
        <f t="shared" si="10"/>
        <v>1443.924742</v>
      </c>
      <c r="D54" s="25">
        <f>IFERROR(__xludf.DUMMYFUNCTION("""COMPUTED_VALUE"""),36504.99861111111)</f>
        <v>36504.99861</v>
      </c>
      <c r="E54" s="22">
        <f>IFERROR(__xludf.DUMMYFUNCTION("""COMPUTED_VALUE"""),1.013)</f>
        <v>1.013</v>
      </c>
      <c r="F54" s="22">
        <f t="shared" si="11"/>
        <v>135.4206041</v>
      </c>
    </row>
    <row r="55" ht="15.75" customHeight="1">
      <c r="A55" s="32">
        <f>IFERROR(__xludf.DUMMYFUNCTION("""COMPUTED_VALUE"""),36511.666666666664)</f>
        <v>36511.66667</v>
      </c>
      <c r="B55" s="22">
        <f>IFERROR(__xludf.DUMMYFUNCTION("""COMPUTED_VALUE"""),1421.06)</f>
        <v>1421.06</v>
      </c>
      <c r="C55" s="22">
        <f t="shared" si="10"/>
        <v>1448.576367</v>
      </c>
      <c r="D55" s="25">
        <f>IFERROR(__xludf.DUMMYFUNCTION("""COMPUTED_VALUE"""),36511.99861111111)</f>
        <v>36511.99861</v>
      </c>
      <c r="E55" s="22">
        <f>IFERROR(__xludf.DUMMYFUNCTION("""COMPUTED_VALUE"""),1.0072)</f>
        <v>1.0072</v>
      </c>
      <c r="F55" s="22">
        <f t="shared" si="11"/>
        <v>136.6392005</v>
      </c>
    </row>
    <row r="56" ht="15.75" customHeight="1">
      <c r="A56" s="32">
        <f>IFERROR(__xludf.DUMMYFUNCTION("""COMPUTED_VALUE"""),36517.666666666664)</f>
        <v>36517.66667</v>
      </c>
      <c r="B56" s="22">
        <f>IFERROR(__xludf.DUMMYFUNCTION("""COMPUTED_VALUE"""),1458.34)</f>
        <v>1458.34</v>
      </c>
      <c r="C56" s="22">
        <f t="shared" si="10"/>
        <v>1487.135374</v>
      </c>
      <c r="D56" s="25">
        <f>IFERROR(__xludf.DUMMYFUNCTION("""COMPUTED_VALUE"""),36518.99861111111)</f>
        <v>36518.99861</v>
      </c>
      <c r="E56" s="22">
        <f>IFERROR(__xludf.DUMMYFUNCTION("""COMPUTED_VALUE"""),1.0132)</f>
        <v>1.0132</v>
      </c>
      <c r="F56" s="22">
        <f t="shared" si="11"/>
        <v>139.4456455</v>
      </c>
    </row>
    <row r="57" ht="15.75" customHeight="1">
      <c r="A57" s="32">
        <f>IFERROR(__xludf.DUMMYFUNCTION("""COMPUTED_VALUE"""),36525.666666666664)</f>
        <v>36525.66667</v>
      </c>
      <c r="B57" s="22">
        <f>IFERROR(__xludf.DUMMYFUNCTION("""COMPUTED_VALUE"""),1469.25)</f>
        <v>1469.25</v>
      </c>
      <c r="C57" s="22">
        <f t="shared" si="10"/>
        <v>1498.832771</v>
      </c>
      <c r="D57" s="25">
        <f>IFERROR(__xludf.DUMMYFUNCTION("""COMPUTED_VALUE"""),36525.99861111111)</f>
        <v>36525.99861</v>
      </c>
      <c r="E57" s="22">
        <f>IFERROR(__xludf.DUMMYFUNCTION("""COMPUTED_VALUE"""),1.0051)</f>
        <v>1.0051</v>
      </c>
      <c r="F57" s="22">
        <f t="shared" si="11"/>
        <v>141.6751043</v>
      </c>
    </row>
    <row r="58" ht="15.75" customHeight="1">
      <c r="A58" s="32">
        <f>IFERROR(__xludf.DUMMYFUNCTION("""COMPUTED_VALUE"""),36532.666666666664)</f>
        <v>36532.66667</v>
      </c>
      <c r="B58" s="22">
        <f>IFERROR(__xludf.DUMMYFUNCTION("""COMPUTED_VALUE"""),1441.46)</f>
        <v>1441.46</v>
      </c>
      <c r="C58" s="22">
        <f t="shared" si="10"/>
        <v>1471.059704</v>
      </c>
      <c r="D58" s="25">
        <f>IFERROR(__xludf.DUMMYFUNCTION("""COMPUTED_VALUE"""),36532.99861111111)</f>
        <v>36532.99861</v>
      </c>
      <c r="E58" s="22">
        <f>IFERROR(__xludf.DUMMYFUNCTION("""COMPUTED_VALUE"""),1.0296)</f>
        <v>1.0296</v>
      </c>
      <c r="F58" s="22">
        <f t="shared" si="11"/>
        <v>135.741111</v>
      </c>
    </row>
    <row r="59" ht="15.75" customHeight="1">
      <c r="A59" s="32">
        <f>IFERROR(__xludf.DUMMYFUNCTION("""COMPUTED_VALUE"""),36539.666666666664)</f>
        <v>36539.66667</v>
      </c>
      <c r="B59" s="22">
        <f>IFERROR(__xludf.DUMMYFUNCTION("""COMPUTED_VALUE"""),1465.16)</f>
        <v>1465.16</v>
      </c>
      <c r="C59" s="22">
        <f t="shared" si="10"/>
        <v>1495.812165</v>
      </c>
      <c r="D59" s="25">
        <f>IFERROR(__xludf.DUMMYFUNCTION("""COMPUTED_VALUE"""),36539.99861111111)</f>
        <v>36539.99861</v>
      </c>
      <c r="E59" s="22">
        <f>IFERROR(__xludf.DUMMYFUNCTION("""COMPUTED_VALUE"""),1.012)</f>
        <v>1.012</v>
      </c>
      <c r="F59" s="22">
        <f t="shared" si="11"/>
        <v>140.4255657</v>
      </c>
    </row>
    <row r="60" ht="15.75" customHeight="1">
      <c r="A60" s="32">
        <f>IFERROR(__xludf.DUMMYFUNCTION("""COMPUTED_VALUE"""),36546.666666666664)</f>
        <v>36546.66667</v>
      </c>
      <c r="B60" s="22">
        <f>IFERROR(__xludf.DUMMYFUNCTION("""COMPUTED_VALUE"""),1441.35)</f>
        <v>1441.35</v>
      </c>
      <c r="C60" s="22">
        <f t="shared" si="10"/>
        <v>1472.079355</v>
      </c>
      <c r="D60" s="25">
        <f>IFERROR(__xludf.DUMMYFUNCTION("""COMPUTED_VALUE"""),36546.99861111111)</f>
        <v>36546.99861</v>
      </c>
      <c r="E60" s="22">
        <f>IFERROR(__xludf.DUMMYFUNCTION("""COMPUTED_VALUE"""),1.0085)</f>
        <v>1.0085</v>
      </c>
      <c r="F60" s="22">
        <f t="shared" si="11"/>
        <v>138.6771646</v>
      </c>
    </row>
    <row r="61" ht="15.75" customHeight="1">
      <c r="A61" s="32">
        <f>IFERROR(__xludf.DUMMYFUNCTION("""COMPUTED_VALUE"""),36553.666666666664)</f>
        <v>36553.66667</v>
      </c>
      <c r="B61" s="22">
        <f>IFERROR(__xludf.DUMMYFUNCTION("""COMPUTED_VALUE"""),1360.15)</f>
        <v>1360.15</v>
      </c>
      <c r="C61" s="22">
        <f t="shared" si="10"/>
        <v>1389.714368</v>
      </c>
      <c r="D61" s="25">
        <f>IFERROR(__xludf.DUMMYFUNCTION("""COMPUTED_VALUE"""),36553.99861111111)</f>
        <v>36553.99861</v>
      </c>
      <c r="E61" s="22">
        <f>IFERROR(__xludf.DUMMYFUNCTION("""COMPUTED_VALUE"""),0.9755)</f>
        <v>0.9755</v>
      </c>
      <c r="F61" s="22">
        <f t="shared" si="11"/>
        <v>135.3467737</v>
      </c>
    </row>
    <row r="62" ht="15.75" customHeight="1">
      <c r="A62" s="32">
        <f>IFERROR(__xludf.DUMMYFUNCTION("""COMPUTED_VALUE"""),36560.666666666664)</f>
        <v>36560.66667</v>
      </c>
      <c r="B62" s="22">
        <f>IFERROR(__xludf.DUMMYFUNCTION("""COMPUTED_VALUE"""),1424.37)</f>
        <v>1424.37</v>
      </c>
      <c r="C62" s="22">
        <f t="shared" si="10"/>
        <v>1455.864767</v>
      </c>
      <c r="D62" s="25">
        <f>IFERROR(__xludf.DUMMYFUNCTION("""COMPUTED_VALUE"""),36560.99861111111)</f>
        <v>36560.99861</v>
      </c>
      <c r="E62" s="22">
        <f>IFERROR(__xludf.DUMMYFUNCTION("""COMPUTED_VALUE"""),0.9822)</f>
        <v>0.9822</v>
      </c>
      <c r="F62" s="22">
        <f t="shared" si="11"/>
        <v>140.8220752</v>
      </c>
    </row>
    <row r="63" ht="15.75" customHeight="1">
      <c r="A63" s="32">
        <f>IFERROR(__xludf.DUMMYFUNCTION("""COMPUTED_VALUE"""),36567.666666666664)</f>
        <v>36567.66667</v>
      </c>
      <c r="B63" s="22">
        <f>IFERROR(__xludf.DUMMYFUNCTION("""COMPUTED_VALUE"""),1387.11)</f>
        <v>1387.11</v>
      </c>
      <c r="C63" s="22">
        <f t="shared" si="10"/>
        <v>1418.340845</v>
      </c>
      <c r="D63" s="25">
        <f>IFERROR(__xludf.DUMMYFUNCTION("""COMPUTED_VALUE"""),36567.99861111111)</f>
        <v>36567.99861</v>
      </c>
      <c r="E63" s="22">
        <f>IFERROR(__xludf.DUMMYFUNCTION("""COMPUTED_VALUE"""),0.9879)</f>
        <v>0.9879</v>
      </c>
      <c r="F63" s="22">
        <f t="shared" si="11"/>
        <v>136.4009071</v>
      </c>
    </row>
    <row r="64" ht="15.75" customHeight="1">
      <c r="A64" s="32">
        <f>IFERROR(__xludf.DUMMYFUNCTION("""COMPUTED_VALUE"""),36574.666666666664)</f>
        <v>36574.66667</v>
      </c>
      <c r="B64" s="22">
        <f>IFERROR(__xludf.DUMMYFUNCTION("""COMPUTED_VALUE"""),1346.07)</f>
        <v>1346.07</v>
      </c>
      <c r="C64" s="22">
        <f t="shared" si="10"/>
        <v>1376.922343</v>
      </c>
      <c r="D64" s="25">
        <f>IFERROR(__xludf.DUMMYFUNCTION("""COMPUTED_VALUE"""),36574.99861111111)</f>
        <v>36574.99861</v>
      </c>
      <c r="E64" s="22">
        <f>IFERROR(__xludf.DUMMYFUNCTION("""COMPUTED_VALUE"""),0.9853)</f>
        <v>0.9853</v>
      </c>
      <c r="F64" s="22">
        <f t="shared" si="11"/>
        <v>132.7671395</v>
      </c>
    </row>
    <row r="65" ht="15.75" customHeight="1">
      <c r="A65" s="32">
        <f>IFERROR(__xludf.DUMMYFUNCTION("""COMPUTED_VALUE"""),36581.666666666664)</f>
        <v>36581.66667</v>
      </c>
      <c r="B65" s="22">
        <f>IFERROR(__xludf.DUMMYFUNCTION("""COMPUTED_VALUE"""),1333.36)</f>
        <v>1333.36</v>
      </c>
      <c r="C65" s="22">
        <f t="shared" si="10"/>
        <v>1364.450612</v>
      </c>
      <c r="D65" s="25">
        <f>IFERROR(__xludf.DUMMYFUNCTION("""COMPUTED_VALUE"""),36581.99861111111)</f>
        <v>36581.99861</v>
      </c>
      <c r="E65" s="22">
        <f>IFERROR(__xludf.DUMMYFUNCTION("""COMPUTED_VALUE"""),0.9744)</f>
        <v>0.9744</v>
      </c>
      <c r="F65" s="22">
        <f t="shared" si="11"/>
        <v>133.0363065</v>
      </c>
    </row>
    <row r="66" ht="15.75" customHeight="1">
      <c r="A66" s="32">
        <f>IFERROR(__xludf.DUMMYFUNCTION("""COMPUTED_VALUE"""),36588.666666666664)</f>
        <v>36588.66667</v>
      </c>
      <c r="B66" s="22">
        <f>IFERROR(__xludf.DUMMYFUNCTION("""COMPUTED_VALUE"""),1409.17)</f>
        <v>1409.17</v>
      </c>
      <c r="C66" s="22">
        <f t="shared" si="10"/>
        <v>1442.5531</v>
      </c>
      <c r="D66" s="25">
        <f>IFERROR(__xludf.DUMMYFUNCTION("""COMPUTED_VALUE"""),36588.99861111111)</f>
        <v>36588.99861</v>
      </c>
      <c r="E66" s="22">
        <f>IFERROR(__xludf.DUMMYFUNCTION("""COMPUTED_VALUE"""),0.9618)</f>
        <v>0.9618</v>
      </c>
      <c r="F66" s="22">
        <f t="shared" si="11"/>
        <v>142.4940301</v>
      </c>
    </row>
    <row r="67" ht="15.75" customHeight="1">
      <c r="A67" s="32">
        <f>IFERROR(__xludf.DUMMYFUNCTION("""COMPUTED_VALUE"""),36595.666666666664)</f>
        <v>36595.66667</v>
      </c>
      <c r="B67" s="22">
        <f>IFERROR(__xludf.DUMMYFUNCTION("""COMPUTED_VALUE"""),1395.07)</f>
        <v>1395.07</v>
      </c>
      <c r="C67" s="22">
        <f t="shared" si="10"/>
        <v>1428.6739</v>
      </c>
      <c r="D67" s="25">
        <f>IFERROR(__xludf.DUMMYFUNCTION("""COMPUTED_VALUE"""),36595.99861111111)</f>
        <v>36595.99861</v>
      </c>
      <c r="E67" s="22">
        <f>IFERROR(__xludf.DUMMYFUNCTION("""COMPUTED_VALUE"""),0.9638)</f>
        <v>0.9638</v>
      </c>
      <c r="F67" s="22">
        <f t="shared" si="11"/>
        <v>140.8302087</v>
      </c>
    </row>
    <row r="68" ht="15.75" customHeight="1">
      <c r="A68" s="32">
        <f>IFERROR(__xludf.DUMMYFUNCTION("""COMPUTED_VALUE"""),36602.666666666664)</f>
        <v>36602.66667</v>
      </c>
      <c r="B68" s="22">
        <f>IFERROR(__xludf.DUMMYFUNCTION("""COMPUTED_VALUE"""),1464.47)</f>
        <v>1464.47</v>
      </c>
      <c r="C68" s="22">
        <f t="shared" si="10"/>
        <v>1500.29507</v>
      </c>
      <c r="D68" s="25">
        <f>IFERROR(__xludf.DUMMYFUNCTION("""COMPUTED_VALUE"""),36602.99861111111)</f>
        <v>36602.99861</v>
      </c>
      <c r="E68" s="22">
        <f>IFERROR(__xludf.DUMMYFUNCTION("""COMPUTED_VALUE"""),0.9707)</f>
        <v>0.9707</v>
      </c>
      <c r="F68" s="22">
        <f t="shared" si="11"/>
        <v>146.8389555</v>
      </c>
    </row>
    <row r="69" ht="15.75" customHeight="1">
      <c r="A69" s="32">
        <f>IFERROR(__xludf.DUMMYFUNCTION("""COMPUTED_VALUE"""),36609.666666666664)</f>
        <v>36609.66667</v>
      </c>
      <c r="B69" s="22">
        <f>IFERROR(__xludf.DUMMYFUNCTION("""COMPUTED_VALUE"""),1527.54)</f>
        <v>1527.54</v>
      </c>
      <c r="C69" s="22">
        <f t="shared" si="10"/>
        <v>1565.484977</v>
      </c>
      <c r="D69" s="25">
        <f>IFERROR(__xludf.DUMMYFUNCTION("""COMPUTED_VALUE"""),36609.99861111111)</f>
        <v>36609.99861</v>
      </c>
      <c r="E69" s="22">
        <f>IFERROR(__xludf.DUMMYFUNCTION("""COMPUTED_VALUE"""),0.977)</f>
        <v>0.977</v>
      </c>
      <c r="F69" s="22">
        <f t="shared" si="11"/>
        <v>152.2313065</v>
      </c>
    </row>
    <row r="70" ht="15.75" customHeight="1">
      <c r="A70" s="32">
        <f>IFERROR(__xludf.DUMMYFUNCTION("""COMPUTED_VALUE"""),36616.666666666664)</f>
        <v>36616.66667</v>
      </c>
      <c r="B70" s="22">
        <f>IFERROR(__xludf.DUMMYFUNCTION("""COMPUTED_VALUE"""),1498.58)</f>
        <v>1498.58</v>
      </c>
      <c r="C70" s="22">
        <f t="shared" si="10"/>
        <v>1536.407703</v>
      </c>
      <c r="D70" s="25">
        <f>IFERROR(__xludf.DUMMYFUNCTION("""COMPUTED_VALUE"""),36616.99861111111)</f>
        <v>36616.99861</v>
      </c>
      <c r="E70" s="22">
        <f>IFERROR(__xludf.DUMMYFUNCTION("""COMPUTED_VALUE"""),0.9559)</f>
        <v>0.9559</v>
      </c>
      <c r="F70" s="22">
        <f t="shared" si="11"/>
        <v>152.7016214</v>
      </c>
    </row>
    <row r="71" ht="15.75" customHeight="1">
      <c r="A71" s="32">
        <f>IFERROR(__xludf.DUMMYFUNCTION("""COMPUTED_VALUE"""),36623.666666666664)</f>
        <v>36623.66667</v>
      </c>
      <c r="B71" s="22">
        <f>IFERROR(__xludf.DUMMYFUNCTION("""COMPUTED_VALUE"""),1516.35)</f>
        <v>1516.35</v>
      </c>
      <c r="C71" s="22">
        <f t="shared" si="10"/>
        <v>1555.217186</v>
      </c>
      <c r="D71" s="25">
        <f>IFERROR(__xludf.DUMMYFUNCTION("""COMPUTED_VALUE"""),36623.99861111111)</f>
        <v>36623.99861</v>
      </c>
      <c r="E71" s="22">
        <f>IFERROR(__xludf.DUMMYFUNCTION("""COMPUTED_VALUE"""),0.9547)</f>
        <v>0.9547</v>
      </c>
      <c r="F71" s="22">
        <f t="shared" si="11"/>
        <v>154.7653586</v>
      </c>
    </row>
    <row r="72" ht="15.75" customHeight="1">
      <c r="A72" s="32">
        <f>IFERROR(__xludf.DUMMYFUNCTION("""COMPUTED_VALUE"""),36630.666666666664)</f>
        <v>36630.66667</v>
      </c>
      <c r="B72" s="22">
        <f>IFERROR(__xludf.DUMMYFUNCTION("""COMPUTED_VALUE"""),1357.52)</f>
        <v>1357.52</v>
      </c>
      <c r="C72" s="22">
        <f t="shared" si="10"/>
        <v>1392.914205</v>
      </c>
      <c r="D72" s="25">
        <f>IFERROR(__xludf.DUMMYFUNCTION("""COMPUTED_VALUE"""),36630.99861111111)</f>
        <v>36630.99861</v>
      </c>
      <c r="E72" s="22">
        <f>IFERROR(__xludf.DUMMYFUNCTION("""COMPUTED_VALUE"""),0.9605)</f>
        <v>0.9605</v>
      </c>
      <c r="F72" s="22">
        <f t="shared" si="11"/>
        <v>137.7769709</v>
      </c>
    </row>
    <row r="73" ht="15.75" customHeight="1">
      <c r="A73" s="32">
        <f>IFERROR(__xludf.DUMMYFUNCTION("""COMPUTED_VALUE"""),36636.666666666664)</f>
        <v>36636.66667</v>
      </c>
      <c r="B73" s="22">
        <f>IFERROR(__xludf.DUMMYFUNCTION("""COMPUTED_VALUE"""),1434.55)</f>
        <v>1434.55</v>
      </c>
      <c r="C73" s="22">
        <f t="shared" si="10"/>
        <v>1472.488321</v>
      </c>
      <c r="D73" s="25">
        <f>IFERROR(__xludf.DUMMYFUNCTION("""COMPUTED_VALUE"""),36637.99861111111)</f>
        <v>36637.99861</v>
      </c>
      <c r="E73" s="22">
        <f>IFERROR(__xludf.DUMMYFUNCTION("""COMPUTED_VALUE"""),0.9375)</f>
        <v>0.9375</v>
      </c>
      <c r="F73" s="22">
        <f t="shared" si="11"/>
        <v>149.2210929</v>
      </c>
    </row>
    <row r="74" ht="15.75" customHeight="1">
      <c r="A74" s="32">
        <f>IFERROR(__xludf.DUMMYFUNCTION("""COMPUTED_VALUE"""),36644.666666666664)</f>
        <v>36644.66667</v>
      </c>
      <c r="B74" s="22">
        <f>IFERROR(__xludf.DUMMYFUNCTION("""COMPUTED_VALUE"""),1452.43)</f>
        <v>1452.43</v>
      </c>
      <c r="C74" s="22">
        <f t="shared" si="10"/>
        <v>1491.40752</v>
      </c>
      <c r="D74" s="25">
        <f>IFERROR(__xludf.DUMMYFUNCTION("""COMPUTED_VALUE"""),36644.99861111111)</f>
        <v>36644.99861</v>
      </c>
      <c r="E74" s="22">
        <f>IFERROR(__xludf.DUMMYFUNCTION("""COMPUTED_VALUE"""),0.9112)</f>
        <v>0.9112</v>
      </c>
      <c r="F74" s="22">
        <f t="shared" si="11"/>
        <v>155.5006653</v>
      </c>
    </row>
    <row r="75" ht="15.75" customHeight="1">
      <c r="A75" s="32">
        <f>IFERROR(__xludf.DUMMYFUNCTION("""COMPUTED_VALUE"""),36651.666666666664)</f>
        <v>36651.66667</v>
      </c>
      <c r="B75" s="22">
        <f>IFERROR(__xludf.DUMMYFUNCTION("""COMPUTED_VALUE"""),1432.63)</f>
        <v>1432.63</v>
      </c>
      <c r="C75" s="22">
        <f t="shared" si="10"/>
        <v>1471.649784</v>
      </c>
      <c r="D75" s="25">
        <f>IFERROR(__xludf.DUMMYFUNCTION("""COMPUTED_VALUE"""),36651.99861111111)</f>
        <v>36651.99861</v>
      </c>
      <c r="E75" s="22">
        <f>IFERROR(__xludf.DUMMYFUNCTION("""COMPUTED_VALUE"""),0.898)</f>
        <v>0.898</v>
      </c>
      <c r="F75" s="22">
        <f t="shared" si="11"/>
        <v>155.6961123</v>
      </c>
    </row>
    <row r="76" ht="15.75" customHeight="1">
      <c r="A76" s="32">
        <f>IFERROR(__xludf.DUMMYFUNCTION("""COMPUTED_VALUE"""),36658.666666666664)</f>
        <v>36658.66667</v>
      </c>
      <c r="B76" s="22">
        <f>IFERROR(__xludf.DUMMYFUNCTION("""COMPUTED_VALUE"""),1420.96)</f>
        <v>1420.96</v>
      </c>
      <c r="C76" s="22">
        <f t="shared" si="10"/>
        <v>1460.227954</v>
      </c>
      <c r="D76" s="25">
        <f>IFERROR(__xludf.DUMMYFUNCTION("""COMPUTED_VALUE"""),36658.99861111111)</f>
        <v>36658.99861</v>
      </c>
      <c r="E76" s="22">
        <f>IFERROR(__xludf.DUMMYFUNCTION("""COMPUTED_VALUE"""),0.9192)</f>
        <v>0.9192</v>
      </c>
      <c r="F76" s="22">
        <f t="shared" si="11"/>
        <v>150.9246844</v>
      </c>
    </row>
    <row r="77" ht="15.75" customHeight="1">
      <c r="A77" s="32">
        <f>IFERROR(__xludf.DUMMYFUNCTION("""COMPUTED_VALUE"""),36665.666666666664)</f>
        <v>36665.66667</v>
      </c>
      <c r="B77" s="22">
        <f>IFERROR(__xludf.DUMMYFUNCTION("""COMPUTED_VALUE"""),1406.95)</f>
        <v>1406.95</v>
      </c>
      <c r="C77" s="22">
        <f t="shared" si="10"/>
        <v>1446.392416</v>
      </c>
      <c r="D77" s="25">
        <f>IFERROR(__xludf.DUMMYFUNCTION("""COMPUTED_VALUE"""),36665.99861111111)</f>
        <v>36665.99861</v>
      </c>
      <c r="E77" s="22">
        <f>IFERROR(__xludf.DUMMYFUNCTION("""COMPUTED_VALUE"""),0.896)</f>
        <v>0.896</v>
      </c>
      <c r="F77" s="22">
        <f t="shared" si="11"/>
        <v>153.3655302</v>
      </c>
    </row>
    <row r="78" ht="15.75" customHeight="1">
      <c r="A78" s="32">
        <f>IFERROR(__xludf.DUMMYFUNCTION("""COMPUTED_VALUE"""),36672.666666666664)</f>
        <v>36672.66667</v>
      </c>
      <c r="B78" s="22">
        <f>IFERROR(__xludf.DUMMYFUNCTION("""COMPUTED_VALUE"""),1378.02)</f>
        <v>1378.02</v>
      </c>
      <c r="C78" s="22">
        <f t="shared" si="10"/>
        <v>1417.207698</v>
      </c>
      <c r="D78" s="25">
        <f>IFERROR(__xludf.DUMMYFUNCTION("""COMPUTED_VALUE"""),36672.99861111111)</f>
        <v>36672.99861</v>
      </c>
      <c r="E78" s="22">
        <f>IFERROR(__xludf.DUMMYFUNCTION("""COMPUTED_VALUE"""),0.9335)</f>
        <v>0.9335</v>
      </c>
      <c r="F78" s="22">
        <f t="shared" si="11"/>
        <v>144.2343874</v>
      </c>
    </row>
    <row r="79" ht="15.75" customHeight="1">
      <c r="A79" s="32">
        <f>IFERROR(__xludf.DUMMYFUNCTION("""COMPUTED_VALUE"""),36679.666666666664)</f>
        <v>36679.66667</v>
      </c>
      <c r="B79" s="22">
        <f>IFERROR(__xludf.DUMMYFUNCTION("""COMPUTED_VALUE"""),1477.26)</f>
        <v>1477.26</v>
      </c>
      <c r="C79" s="22">
        <f t="shared" si="10"/>
        <v>1519.814933</v>
      </c>
      <c r="D79" s="25">
        <f>IFERROR(__xludf.DUMMYFUNCTION("""COMPUTED_VALUE"""),36679.99861111111)</f>
        <v>36679.99861</v>
      </c>
      <c r="E79" s="22">
        <f>IFERROR(__xludf.DUMMYFUNCTION("""COMPUTED_VALUE"""),0.9437)</f>
        <v>0.9437</v>
      </c>
      <c r="F79" s="22">
        <f t="shared" si="11"/>
        <v>153.0052689</v>
      </c>
    </row>
    <row r="80" ht="15.75" customHeight="1">
      <c r="A80" s="32">
        <f>IFERROR(__xludf.DUMMYFUNCTION("""COMPUTED_VALUE"""),36686.666666666664)</f>
        <v>36686.66667</v>
      </c>
      <c r="B80" s="22">
        <f>IFERROR(__xludf.DUMMYFUNCTION("""COMPUTED_VALUE"""),1456.95)</f>
        <v>1456.95</v>
      </c>
      <c r="C80" s="22">
        <f t="shared" si="10"/>
        <v>1499.504414</v>
      </c>
      <c r="D80" s="25">
        <f>IFERROR(__xludf.DUMMYFUNCTION("""COMPUTED_VALUE"""),36686.99861111111)</f>
        <v>36686.99861</v>
      </c>
      <c r="E80" s="22">
        <f>IFERROR(__xludf.DUMMYFUNCTION("""COMPUTED_VALUE"""),0.9526)</f>
        <v>0.9526</v>
      </c>
      <c r="F80" s="22">
        <f t="shared" si="11"/>
        <v>149.5501336</v>
      </c>
    </row>
    <row r="81" ht="15.75" customHeight="1">
      <c r="A81" s="32">
        <f>IFERROR(__xludf.DUMMYFUNCTION("""COMPUTED_VALUE"""),36693.666666666664)</f>
        <v>36693.66667</v>
      </c>
      <c r="B81" s="22">
        <f>IFERROR(__xludf.DUMMYFUNCTION("""COMPUTED_VALUE"""),1464.47)</f>
        <v>1464.47</v>
      </c>
      <c r="C81" s="22">
        <f t="shared" si="10"/>
        <v>1507.82079</v>
      </c>
      <c r="D81" s="25">
        <f>IFERROR(__xludf.DUMMYFUNCTION("""COMPUTED_VALUE"""),36693.99861111111)</f>
        <v>36693.99861</v>
      </c>
      <c r="E81" s="22">
        <f>IFERROR(__xludf.DUMMYFUNCTION("""COMPUTED_VALUE"""),0.9636)</f>
        <v>0.9636</v>
      </c>
      <c r="F81" s="22">
        <f t="shared" si="11"/>
        <v>148.6628895</v>
      </c>
    </row>
    <row r="82" ht="15.75" customHeight="1">
      <c r="A82" s="32">
        <f>IFERROR(__xludf.DUMMYFUNCTION("""COMPUTED_VALUE"""),36700.666666666664)</f>
        <v>36700.66667</v>
      </c>
      <c r="B82" s="22">
        <f>IFERROR(__xludf.DUMMYFUNCTION("""COMPUTED_VALUE"""),1441.54)</f>
        <v>1441.54</v>
      </c>
      <c r="C82" s="22">
        <f t="shared" si="10"/>
        <v>1484.791954</v>
      </c>
      <c r="D82" s="25">
        <f>IFERROR(__xludf.DUMMYFUNCTION("""COMPUTED_VALUE"""),36700.99861111111)</f>
        <v>36700.99861</v>
      </c>
      <c r="E82" s="22">
        <f>IFERROR(__xludf.DUMMYFUNCTION("""COMPUTED_VALUE"""),0.9364)</f>
        <v>0.9364</v>
      </c>
      <c r="F82" s="22">
        <f t="shared" si="11"/>
        <v>150.6446922</v>
      </c>
    </row>
    <row r="83" ht="15.75" customHeight="1">
      <c r="A83" s="32">
        <f>IFERROR(__xludf.DUMMYFUNCTION("""COMPUTED_VALUE"""),36707.666666666664)</f>
        <v>36707.66667</v>
      </c>
      <c r="B83" s="22">
        <f>IFERROR(__xludf.DUMMYFUNCTION("""COMPUTED_VALUE"""),1454.6)</f>
        <v>1454.6</v>
      </c>
      <c r="C83" s="22">
        <f t="shared" si="10"/>
        <v>1498.81488</v>
      </c>
      <c r="D83" s="25">
        <f>IFERROR(__xludf.DUMMYFUNCTION("""COMPUTED_VALUE"""),36707.99861111111)</f>
        <v>36707.99861</v>
      </c>
      <c r="E83" s="22">
        <f>IFERROR(__xludf.DUMMYFUNCTION("""COMPUTED_VALUE"""),0.9548)</f>
        <v>0.9548</v>
      </c>
      <c r="F83" s="22">
        <f t="shared" si="11"/>
        <v>149.1369372</v>
      </c>
    </row>
    <row r="84" ht="15.75" customHeight="1">
      <c r="A84" s="32">
        <f>IFERROR(__xludf.DUMMYFUNCTION("""COMPUTED_VALUE"""),36714.666666666664)</f>
        <v>36714.66667</v>
      </c>
      <c r="B84" s="22">
        <f>IFERROR(__xludf.DUMMYFUNCTION("""COMPUTED_VALUE"""),1478.9)</f>
        <v>1478.9</v>
      </c>
      <c r="C84" s="22">
        <f t="shared" si="10"/>
        <v>1524.429985</v>
      </c>
      <c r="D84" s="25">
        <f>IFERROR(__xludf.DUMMYFUNCTION("""COMPUTED_VALUE"""),36714.99861111111)</f>
        <v>36714.99861</v>
      </c>
      <c r="E84" s="22">
        <f>IFERROR(__xludf.DUMMYFUNCTION("""COMPUTED_VALUE"""),0.9471)</f>
        <v>0.9471</v>
      </c>
      <c r="F84" s="22">
        <f t="shared" si="11"/>
        <v>152.9189403</v>
      </c>
    </row>
    <row r="85" ht="15.75" customHeight="1">
      <c r="A85" s="32">
        <f>IFERROR(__xludf.DUMMYFUNCTION("""COMPUTED_VALUE"""),36721.666666666664)</f>
        <v>36721.66667</v>
      </c>
      <c r="B85" s="22">
        <f>IFERROR(__xludf.DUMMYFUNCTION("""COMPUTED_VALUE"""),1509.9)</f>
        <v>1509.9</v>
      </c>
      <c r="C85" s="22">
        <f t="shared" si="10"/>
        <v>1556.970682</v>
      </c>
      <c r="D85" s="25">
        <f>IFERROR(__xludf.DUMMYFUNCTION("""COMPUTED_VALUE"""),36721.99861111111)</f>
        <v>36721.99861</v>
      </c>
      <c r="E85" s="22">
        <f>IFERROR(__xludf.DUMMYFUNCTION("""COMPUTED_VALUE"""),0.9377)</f>
        <v>0.9377</v>
      </c>
      <c r="F85" s="22">
        <f t="shared" si="11"/>
        <v>157.7488321</v>
      </c>
    </row>
    <row r="86" ht="15.75" customHeight="1">
      <c r="A86" s="32">
        <f>IFERROR(__xludf.DUMMYFUNCTION("""COMPUTED_VALUE"""),36728.666666666664)</f>
        <v>36728.66667</v>
      </c>
      <c r="B86" s="22">
        <f>IFERROR(__xludf.DUMMYFUNCTION("""COMPUTED_VALUE"""),1480.11)</f>
        <v>1480.11</v>
      </c>
      <c r="C86" s="22">
        <f t="shared" si="10"/>
        <v>1526.850822</v>
      </c>
      <c r="D86" s="25">
        <f>IFERROR(__xludf.DUMMYFUNCTION("""COMPUTED_VALUE"""),36728.99861111111)</f>
        <v>36728.99861</v>
      </c>
      <c r="E86" s="22">
        <f>IFERROR(__xludf.DUMMYFUNCTION("""COMPUTED_VALUE"""),0.9372)</f>
        <v>0.9372</v>
      </c>
      <c r="F86" s="22">
        <f t="shared" si="11"/>
        <v>154.779686</v>
      </c>
    </row>
    <row r="87" ht="15.75" customHeight="1">
      <c r="A87" s="32">
        <f>IFERROR(__xludf.DUMMYFUNCTION("""COMPUTED_VALUE"""),36735.666666666664)</f>
        <v>36735.66667</v>
      </c>
      <c r="B87" s="22">
        <f>IFERROR(__xludf.DUMMYFUNCTION("""COMPUTED_VALUE"""),1419.89)</f>
        <v>1419.89</v>
      </c>
      <c r="C87" s="22">
        <f t="shared" si="10"/>
        <v>1465.316368</v>
      </c>
      <c r="D87" s="25">
        <f>IFERROR(__xludf.DUMMYFUNCTION("""COMPUTED_VALUE"""),36735.99861111111)</f>
        <v>36735.99861</v>
      </c>
      <c r="E87" s="22">
        <f>IFERROR(__xludf.DUMMYFUNCTION("""COMPUTED_VALUE"""),0.9232)</f>
        <v>0.9232</v>
      </c>
      <c r="F87" s="22">
        <f t="shared" si="11"/>
        <v>150.7944088</v>
      </c>
    </row>
    <row r="88" ht="15.75" customHeight="1">
      <c r="A88" s="32">
        <f>IFERROR(__xludf.DUMMYFUNCTION("""COMPUTED_VALUE"""),36742.666666666664)</f>
        <v>36742.66667</v>
      </c>
      <c r="B88" s="22">
        <f>IFERROR(__xludf.DUMMYFUNCTION("""COMPUTED_VALUE"""),1462.93)</f>
        <v>1462.93</v>
      </c>
      <c r="C88" s="22">
        <f t="shared" si="10"/>
        <v>1510.296924</v>
      </c>
      <c r="D88" s="25">
        <f>IFERROR(__xludf.DUMMYFUNCTION("""COMPUTED_VALUE"""),36742.99861111111)</f>
        <v>36742.99861</v>
      </c>
      <c r="E88" s="22">
        <f>IFERROR(__xludf.DUMMYFUNCTION("""COMPUTED_VALUE"""),0.9074)</f>
        <v>0.9074</v>
      </c>
      <c r="F88" s="22">
        <f t="shared" si="11"/>
        <v>158.129609</v>
      </c>
    </row>
    <row r="89" ht="15.75" customHeight="1">
      <c r="A89" s="32">
        <f>IFERROR(__xludf.DUMMYFUNCTION("""COMPUTED_VALUE"""),36749.666666666664)</f>
        <v>36749.66667</v>
      </c>
      <c r="B89" s="22">
        <f>IFERROR(__xludf.DUMMYFUNCTION("""COMPUTED_VALUE"""),1471.84)</f>
        <v>1471.84</v>
      </c>
      <c r="C89" s="22">
        <f t="shared" si="10"/>
        <v>1520.076297</v>
      </c>
      <c r="D89" s="25">
        <f>IFERROR(__xludf.DUMMYFUNCTION("""COMPUTED_VALUE"""),36749.99861111111)</f>
        <v>36749.99861</v>
      </c>
      <c r="E89" s="22">
        <f>IFERROR(__xludf.DUMMYFUNCTION("""COMPUTED_VALUE"""),0.9024)</f>
        <v>0.9024</v>
      </c>
      <c r="F89" s="22">
        <f t="shared" si="11"/>
        <v>160.0353538</v>
      </c>
    </row>
    <row r="90" ht="15.75" customHeight="1">
      <c r="A90" s="32">
        <f>IFERROR(__xludf.DUMMYFUNCTION("""COMPUTED_VALUE"""),36756.666666666664)</f>
        <v>36756.66667</v>
      </c>
      <c r="B90" s="22">
        <f>IFERROR(__xludf.DUMMYFUNCTION("""COMPUTED_VALUE"""),1491.7)</f>
        <v>1491.7</v>
      </c>
      <c r="C90" s="22">
        <f t="shared" si="10"/>
        <v>1541.171809</v>
      </c>
      <c r="D90" s="25">
        <f>IFERROR(__xludf.DUMMYFUNCTION("""COMPUTED_VALUE"""),36756.99861111111)</f>
        <v>36756.99861</v>
      </c>
      <c r="E90" s="22">
        <f>IFERROR(__xludf.DUMMYFUNCTION("""COMPUTED_VALUE"""),0.906)</f>
        <v>0.906</v>
      </c>
      <c r="F90" s="22">
        <f t="shared" si="11"/>
        <v>161.6115861</v>
      </c>
    </row>
    <row r="91" ht="15.75" customHeight="1">
      <c r="A91" s="32">
        <f>IFERROR(__xludf.DUMMYFUNCTION("""COMPUTED_VALUE"""),36763.666666666664)</f>
        <v>36763.66667</v>
      </c>
      <c r="B91" s="22">
        <f>IFERROR(__xludf.DUMMYFUNCTION("""COMPUTED_VALUE"""),1506.46)</f>
        <v>1506.46</v>
      </c>
      <c r="C91" s="22">
        <f t="shared" si="10"/>
        <v>1557.014079</v>
      </c>
      <c r="D91" s="25">
        <f>IFERROR(__xludf.DUMMYFUNCTION("""COMPUTED_VALUE"""),36763.99861111111)</f>
        <v>36763.99861</v>
      </c>
      <c r="E91" s="22">
        <f>IFERROR(__xludf.DUMMYFUNCTION("""COMPUTED_VALUE"""),0.902)</f>
        <v>0.902</v>
      </c>
      <c r="F91" s="22">
        <f t="shared" si="11"/>
        <v>163.996899</v>
      </c>
    </row>
    <row r="92" ht="15.75" customHeight="1">
      <c r="A92" s="32">
        <f>IFERROR(__xludf.DUMMYFUNCTION("""COMPUTED_VALUE"""),36770.666666666664)</f>
        <v>36770.66667</v>
      </c>
      <c r="B92" s="22">
        <f>IFERROR(__xludf.DUMMYFUNCTION("""COMPUTED_VALUE"""),1520.77)</f>
        <v>1520.77</v>
      </c>
      <c r="C92" s="22">
        <f t="shared" si="10"/>
        <v>1572.403148</v>
      </c>
      <c r="D92" s="25">
        <f>IFERROR(__xludf.DUMMYFUNCTION("""COMPUTED_VALUE"""),36770.99861111111)</f>
        <v>36770.99861</v>
      </c>
      <c r="E92" s="22">
        <f>IFERROR(__xludf.DUMMYFUNCTION("""COMPUTED_VALUE"""),0.8994)</f>
        <v>0.8994</v>
      </c>
      <c r="F92" s="22">
        <f t="shared" si="11"/>
        <v>166.0965667</v>
      </c>
    </row>
    <row r="93" ht="15.75" customHeight="1">
      <c r="A93" s="32">
        <f>IFERROR(__xludf.DUMMYFUNCTION("""COMPUTED_VALUE"""),36777.666666666664)</f>
        <v>36777.66667</v>
      </c>
      <c r="B93" s="22">
        <f>IFERROR(__xludf.DUMMYFUNCTION("""COMPUTED_VALUE"""),1494.64)</f>
        <v>1494.64</v>
      </c>
      <c r="C93" s="22">
        <f t="shared" si="10"/>
        <v>1545.990753</v>
      </c>
      <c r="D93" s="25">
        <f>IFERROR(__xludf.DUMMYFUNCTION("""COMPUTED_VALUE"""),36777.99861111111)</f>
        <v>36777.99861</v>
      </c>
      <c r="E93" s="22">
        <f>IFERROR(__xludf.DUMMYFUNCTION("""COMPUTED_VALUE"""),0.8694)</f>
        <v>0.8694</v>
      </c>
      <c r="F93" s="22">
        <f t="shared" si="11"/>
        <v>168.9417117</v>
      </c>
    </row>
    <row r="94" ht="15.75" customHeight="1">
      <c r="A94" s="32">
        <f>IFERROR(__xludf.DUMMYFUNCTION("""COMPUTED_VALUE"""),36784.666666666664)</f>
        <v>36784.66667</v>
      </c>
      <c r="B94" s="22">
        <f>IFERROR(__xludf.DUMMYFUNCTION("""COMPUTED_VALUE"""),1465.79)</f>
        <v>1465.79</v>
      </c>
      <c r="C94" s="22">
        <f t="shared" si="10"/>
        <v>1516.744177</v>
      </c>
      <c r="D94" s="25">
        <f>IFERROR(__xludf.DUMMYFUNCTION("""COMPUTED_VALUE"""),36784.99861111111)</f>
        <v>36784.99861</v>
      </c>
      <c r="E94" s="22">
        <f>IFERROR(__xludf.DUMMYFUNCTION("""COMPUTED_VALUE"""),0.8539)</f>
        <v>0.8539</v>
      </c>
      <c r="F94" s="22">
        <f t="shared" si="11"/>
        <v>168.7543423</v>
      </c>
    </row>
    <row r="95" ht="15.75" customHeight="1">
      <c r="A95" s="32">
        <f>IFERROR(__xludf.DUMMYFUNCTION("""COMPUTED_VALUE"""),36791.666666666664)</f>
        <v>36791.66667</v>
      </c>
      <c r="B95" s="22">
        <f>IFERROR(__xludf.DUMMYFUNCTION("""COMPUTED_VALUE"""),1448.71)</f>
        <v>1448.71</v>
      </c>
      <c r="C95" s="22">
        <f t="shared" si="10"/>
        <v>1499.653801</v>
      </c>
      <c r="D95" s="25">
        <f>IFERROR(__xludf.DUMMYFUNCTION("""COMPUTED_VALUE"""),36791.99861111111)</f>
        <v>36791.99861</v>
      </c>
      <c r="E95" s="22">
        <f>IFERROR(__xludf.DUMMYFUNCTION("""COMPUTED_VALUE"""),0.8764)</f>
        <v>0.8764</v>
      </c>
      <c r="F95" s="22">
        <f t="shared" si="11"/>
        <v>162.5692034</v>
      </c>
    </row>
    <row r="96" ht="15.75" customHeight="1">
      <c r="A96" s="32">
        <f>IFERROR(__xludf.DUMMYFUNCTION("""COMPUTED_VALUE"""),36798.666666666664)</f>
        <v>36798.66667</v>
      </c>
      <c r="B96" s="22">
        <f>IFERROR(__xludf.DUMMYFUNCTION("""COMPUTED_VALUE"""),1436.51)</f>
        <v>1436.51</v>
      </c>
      <c r="C96" s="22">
        <f t="shared" si="10"/>
        <v>1487.601579</v>
      </c>
      <c r="D96" s="25">
        <f>IFERROR(__xludf.DUMMYFUNCTION("""COMPUTED_VALUE"""),36798.99861111111)</f>
        <v>36798.99861</v>
      </c>
      <c r="E96" s="22">
        <f>IFERROR(__xludf.DUMMYFUNCTION("""COMPUTED_VALUE"""),0.8841)</f>
        <v>0.8841</v>
      </c>
      <c r="F96" s="22">
        <f t="shared" si="11"/>
        <v>159.8581836</v>
      </c>
    </row>
    <row r="97" ht="15.75" customHeight="1">
      <c r="A97" s="32">
        <f>IFERROR(__xludf.DUMMYFUNCTION("""COMPUTED_VALUE"""),36805.666666666664)</f>
        <v>36805.66667</v>
      </c>
      <c r="B97" s="22">
        <f>IFERROR(__xludf.DUMMYFUNCTION("""COMPUTED_VALUE"""),1408.99)</f>
        <v>1408.99</v>
      </c>
      <c r="C97" s="22">
        <f t="shared" si="10"/>
        <v>1459.674944</v>
      </c>
      <c r="D97" s="25">
        <f>IFERROR(__xludf.DUMMYFUNCTION("""COMPUTED_VALUE"""),36805.99861111111)</f>
        <v>36805.99861</v>
      </c>
      <c r="E97" s="22">
        <f>IFERROR(__xludf.DUMMYFUNCTION("""COMPUTED_VALUE"""),0.8682)</f>
        <v>0.8682</v>
      </c>
      <c r="F97" s="22">
        <f t="shared" si="11"/>
        <v>159.7298213</v>
      </c>
    </row>
    <row r="98" ht="15.75" customHeight="1">
      <c r="A98" s="32">
        <f>IFERROR(__xludf.DUMMYFUNCTION("""COMPUTED_VALUE"""),36812.666666666664)</f>
        <v>36812.66667</v>
      </c>
      <c r="B98" s="22">
        <f>IFERROR(__xludf.DUMMYFUNCTION("""COMPUTED_VALUE"""),1374.12)</f>
        <v>1374.12</v>
      </c>
      <c r="C98" s="22">
        <f t="shared" si="10"/>
        <v>1424.111995</v>
      </c>
      <c r="D98" s="25">
        <f>IFERROR(__xludf.DUMMYFUNCTION("""COMPUTED_VALUE"""),36812.99861111111)</f>
        <v>36812.99861</v>
      </c>
      <c r="E98" s="22">
        <f>IFERROR(__xludf.DUMMYFUNCTION("""COMPUTED_VALUE"""),0.8562)</f>
        <v>0.8562</v>
      </c>
      <c r="F98" s="22">
        <f t="shared" si="11"/>
        <v>158.0223642</v>
      </c>
    </row>
    <row r="99" ht="15.75" customHeight="1">
      <c r="A99" s="32">
        <f>IFERROR(__xludf.DUMMYFUNCTION("""COMPUTED_VALUE"""),36819.666666666664)</f>
        <v>36819.66667</v>
      </c>
      <c r="B99" s="22">
        <f>IFERROR(__xludf.DUMMYFUNCTION("""COMPUTED_VALUE"""),1396.9)</f>
        <v>1396.9</v>
      </c>
      <c r="C99" s="22">
        <f t="shared" si="10"/>
        <v>1448.268492</v>
      </c>
      <c r="D99" s="25">
        <f>IFERROR(__xludf.DUMMYFUNCTION("""COMPUTED_VALUE"""),36819.99861111111)</f>
        <v>36819.99861</v>
      </c>
      <c r="E99" s="22">
        <f>IFERROR(__xludf.DUMMYFUNCTION("""COMPUTED_VALUE"""),0.842)</f>
        <v>0.842</v>
      </c>
      <c r="F99" s="22">
        <f t="shared" si="11"/>
        <v>163.4130082</v>
      </c>
    </row>
    <row r="100" ht="15.75" customHeight="1">
      <c r="A100" s="32">
        <f>IFERROR(__xludf.DUMMYFUNCTION("""COMPUTED_VALUE"""),36826.666666666664)</f>
        <v>36826.66667</v>
      </c>
      <c r="B100" s="22">
        <f>IFERROR(__xludf.DUMMYFUNCTION("""COMPUTED_VALUE"""),1379.56)</f>
        <v>1379.56</v>
      </c>
      <c r="C100" s="22">
        <f t="shared" si="10"/>
        <v>1430.847871</v>
      </c>
      <c r="D100" s="25">
        <f>IFERROR(__xludf.DUMMYFUNCTION("""COMPUTED_VALUE"""),36826.99861111111)</f>
        <v>36826.99861</v>
      </c>
      <c r="E100" s="22">
        <f>IFERROR(__xludf.DUMMYFUNCTION("""COMPUTED_VALUE"""),0.838)</f>
        <v>0.838</v>
      </c>
      <c r="F100" s="22">
        <f t="shared" si="11"/>
        <v>162.2180128</v>
      </c>
    </row>
    <row r="101" ht="15.75" customHeight="1">
      <c r="A101" s="32">
        <f>IFERROR(__xludf.DUMMYFUNCTION("""COMPUTED_VALUE"""),36833.666666666664)</f>
        <v>36833.66667</v>
      </c>
      <c r="B101" s="22">
        <f>IFERROR(__xludf.DUMMYFUNCTION("""COMPUTED_VALUE"""),1426.69)</f>
        <v>1426.69</v>
      </c>
      <c r="C101" s="22">
        <f t="shared" si="10"/>
        <v>1480.280348</v>
      </c>
      <c r="D101" s="25">
        <f>IFERROR(__xludf.DUMMYFUNCTION("""COMPUTED_VALUE"""),36833.99861111111)</f>
        <v>36833.99861</v>
      </c>
      <c r="E101" s="22">
        <f>IFERROR(__xludf.DUMMYFUNCTION("""COMPUTED_VALUE"""),0.8667)</f>
        <v>0.8667</v>
      </c>
      <c r="F101" s="22">
        <f t="shared" si="11"/>
        <v>162.2649839</v>
      </c>
    </row>
    <row r="102" ht="15.75" customHeight="1">
      <c r="A102" s="32">
        <f>IFERROR(__xludf.DUMMYFUNCTION("""COMPUTED_VALUE"""),36840.666666666664)</f>
        <v>36840.66667</v>
      </c>
      <c r="B102" s="22">
        <f>IFERROR(__xludf.DUMMYFUNCTION("""COMPUTED_VALUE"""),1365.97)</f>
        <v>1365.97</v>
      </c>
      <c r="C102" s="22">
        <f t="shared" si="10"/>
        <v>1417.848878</v>
      </c>
      <c r="D102" s="25">
        <f>IFERROR(__xludf.DUMMYFUNCTION("""COMPUTED_VALUE"""),36840.99861111111)</f>
        <v>36840.99861</v>
      </c>
      <c r="E102" s="22">
        <f>IFERROR(__xludf.DUMMYFUNCTION("""COMPUTED_VALUE"""),0.8599)</f>
        <v>0.8599</v>
      </c>
      <c r="F102" s="22">
        <f t="shared" si="11"/>
        <v>156.6504436</v>
      </c>
    </row>
    <row r="103" ht="15.75" customHeight="1">
      <c r="A103" s="32">
        <f>IFERROR(__xludf.DUMMYFUNCTION("""COMPUTED_VALUE"""),36847.666666666664)</f>
        <v>36847.66667</v>
      </c>
      <c r="B103" s="22">
        <f>IFERROR(__xludf.DUMMYFUNCTION("""COMPUTED_VALUE"""),1367.72)</f>
        <v>1367.72</v>
      </c>
      <c r="C103" s="22">
        <f t="shared" si="10"/>
        <v>1420.210669</v>
      </c>
      <c r="D103" s="25">
        <f>IFERROR(__xludf.DUMMYFUNCTION("""COMPUTED_VALUE"""),36847.99861111111)</f>
        <v>36847.99861</v>
      </c>
      <c r="E103" s="22">
        <f>IFERROR(__xludf.DUMMYFUNCTION("""COMPUTED_VALUE"""),0.8517)</f>
        <v>0.8517</v>
      </c>
      <c r="F103" s="22">
        <f t="shared" si="11"/>
        <v>158.422097</v>
      </c>
    </row>
    <row r="104" ht="15.75" customHeight="1">
      <c r="A104" s="32">
        <f>IFERROR(__xludf.DUMMYFUNCTION("""COMPUTED_VALUE"""),36854.666666666664)</f>
        <v>36854.66667</v>
      </c>
      <c r="B104" s="22">
        <f>IFERROR(__xludf.DUMMYFUNCTION("""COMPUTED_VALUE"""),1341.77)</f>
        <v>1341.77</v>
      </c>
      <c r="C104" s="22">
        <f t="shared" si="10"/>
        <v>1393.810989</v>
      </c>
      <c r="D104" s="25">
        <f>IFERROR(__xludf.DUMMYFUNCTION("""COMPUTED_VALUE"""),36854.99861111111)</f>
        <v>36854.99861</v>
      </c>
      <c r="E104" s="22">
        <f>IFERROR(__xludf.DUMMYFUNCTION("""COMPUTED_VALUE"""),0.8372)</f>
        <v>0.8372</v>
      </c>
      <c r="F104" s="22">
        <f t="shared" si="11"/>
        <v>158.170067</v>
      </c>
    </row>
    <row r="105" ht="15.75" customHeight="1">
      <c r="A105" s="32">
        <f>IFERROR(__xludf.DUMMYFUNCTION("""COMPUTED_VALUE"""),36861.666666666664)</f>
        <v>36861.66667</v>
      </c>
      <c r="B105" s="22">
        <f>IFERROR(__xludf.DUMMYFUNCTION("""COMPUTED_VALUE"""),1315.18)</f>
        <v>1315.18</v>
      </c>
      <c r="C105" s="22">
        <f t="shared" si="10"/>
        <v>1366.725768</v>
      </c>
      <c r="D105" s="25">
        <f>IFERROR(__xludf.DUMMYFUNCTION("""COMPUTED_VALUE"""),36861.99861111111)</f>
        <v>36861.99861</v>
      </c>
      <c r="E105" s="22">
        <f>IFERROR(__xludf.DUMMYFUNCTION("""COMPUTED_VALUE"""),0.8787)</f>
        <v>0.8787</v>
      </c>
      <c r="F105" s="22">
        <f t="shared" si="11"/>
        <v>147.7714008</v>
      </c>
    </row>
    <row r="106" ht="15.75" customHeight="1">
      <c r="A106" s="32">
        <f>IFERROR(__xludf.DUMMYFUNCTION("""COMPUTED_VALUE"""),36868.666666666664)</f>
        <v>36868.66667</v>
      </c>
      <c r="B106" s="22">
        <f>IFERROR(__xludf.DUMMYFUNCTION("""COMPUTED_VALUE"""),1369.73)</f>
        <v>1369.73</v>
      </c>
      <c r="C106" s="22">
        <f t="shared" si="10"/>
        <v>1423.939407</v>
      </c>
      <c r="D106" s="25">
        <f>IFERROR(__xludf.DUMMYFUNCTION("""COMPUTED_VALUE"""),36868.99861111111)</f>
        <v>36868.99861</v>
      </c>
      <c r="E106" s="22">
        <f>IFERROR(__xludf.DUMMYFUNCTION("""COMPUTED_VALUE"""),0.8875)</f>
        <v>0.8875</v>
      </c>
      <c r="F106" s="22">
        <f t="shared" si="11"/>
        <v>152.4308184</v>
      </c>
    </row>
    <row r="107" ht="15.75" customHeight="1">
      <c r="A107" s="32">
        <f>IFERROR(__xludf.DUMMYFUNCTION("""COMPUTED_VALUE"""),36875.666666666664)</f>
        <v>36875.66667</v>
      </c>
      <c r="B107" s="22">
        <f>IFERROR(__xludf.DUMMYFUNCTION("""COMPUTED_VALUE"""),1312.1)</f>
        <v>1312.1</v>
      </c>
      <c r="C107" s="22">
        <f t="shared" si="10"/>
        <v>1364.57627</v>
      </c>
      <c r="D107" s="25">
        <f>IFERROR(__xludf.DUMMYFUNCTION("""COMPUTED_VALUE"""),36875.99861111111)</f>
        <v>36875.99861</v>
      </c>
      <c r="E107" s="22">
        <f>IFERROR(__xludf.DUMMYFUNCTION("""COMPUTED_VALUE"""),0.8955)</f>
        <v>0.8955</v>
      </c>
      <c r="F107" s="22">
        <f t="shared" si="11"/>
        <v>144.7710947</v>
      </c>
    </row>
    <row r="108" ht="15.75" customHeight="1">
      <c r="A108" s="32">
        <f>IFERROR(__xludf.DUMMYFUNCTION("""COMPUTED_VALUE"""),36882.666666666664)</f>
        <v>36882.66667</v>
      </c>
      <c r="B108" s="22">
        <f>IFERROR(__xludf.DUMMYFUNCTION("""COMPUTED_VALUE"""),1305.9)</f>
        <v>1305.9</v>
      </c>
      <c r="C108" s="22">
        <f t="shared" si="10"/>
        <v>1358.653144</v>
      </c>
      <c r="D108" s="25">
        <f>IFERROR(__xludf.DUMMYFUNCTION("""COMPUTED_VALUE"""),36882.99861111111)</f>
        <v>36882.99861</v>
      </c>
      <c r="E108" s="22">
        <f>IFERROR(__xludf.DUMMYFUNCTION("""COMPUTED_VALUE"""),0.9238)</f>
        <v>0.9238</v>
      </c>
      <c r="F108" s="22">
        <f t="shared" si="11"/>
        <v>139.7269805</v>
      </c>
    </row>
    <row r="109" ht="15.75" customHeight="1">
      <c r="A109" s="32">
        <f>IFERROR(__xludf.DUMMYFUNCTION("""COMPUTED_VALUE"""),36889.666666666664)</f>
        <v>36889.66667</v>
      </c>
      <c r="B109" s="22">
        <f>IFERROR(__xludf.DUMMYFUNCTION("""COMPUTED_VALUE"""),1320.41)</f>
        <v>1320.41</v>
      </c>
      <c r="C109" s="22">
        <f t="shared" si="10"/>
        <v>1374.271849</v>
      </c>
      <c r="D109" s="25">
        <f>IFERROR(__xludf.DUMMYFUNCTION("""COMPUTED_VALUE"""),36889.99861111111)</f>
        <v>36889.99861</v>
      </c>
      <c r="E109" s="22">
        <f>IFERROR(__xludf.DUMMYFUNCTION("""COMPUTED_VALUE"""),0.9411)</f>
        <v>0.9411</v>
      </c>
      <c r="F109" s="22">
        <f t="shared" si="11"/>
        <v>138.7351509</v>
      </c>
    </row>
    <row r="110" ht="15.75" customHeight="1">
      <c r="A110" s="32">
        <f>IFERROR(__xludf.DUMMYFUNCTION("""COMPUTED_VALUE"""),36896.666666666664)</f>
        <v>36896.66667</v>
      </c>
      <c r="B110" s="22">
        <f>IFERROR(__xludf.DUMMYFUNCTION("""COMPUTED_VALUE"""),1298.34)</f>
        <v>1298.34</v>
      </c>
      <c r="C110" s="22">
        <f t="shared" si="10"/>
        <v>1351.83014</v>
      </c>
      <c r="D110" s="25">
        <f>IFERROR(__xludf.DUMMYFUNCTION("""COMPUTED_VALUE"""),36896.99861111111)</f>
        <v>36896.99861</v>
      </c>
      <c r="E110" s="22">
        <f>IFERROR(__xludf.DUMMYFUNCTION("""COMPUTED_VALUE"""),0.9558)</f>
        <v>0.9558</v>
      </c>
      <c r="F110" s="22">
        <f t="shared" si="11"/>
        <v>134.3707475</v>
      </c>
    </row>
    <row r="111" ht="15.75" customHeight="1">
      <c r="A111" s="32">
        <f>IFERROR(__xludf.DUMMYFUNCTION("""COMPUTED_VALUE"""),36903.666666666664)</f>
        <v>36903.66667</v>
      </c>
      <c r="B111" s="22">
        <f>IFERROR(__xludf.DUMMYFUNCTION("""COMPUTED_VALUE"""),1318.55)</f>
        <v>1318.55</v>
      </c>
      <c r="C111" s="22">
        <f t="shared" si="10"/>
        <v>1373.392704</v>
      </c>
      <c r="D111" s="25">
        <f>IFERROR(__xludf.DUMMYFUNCTION("""COMPUTED_VALUE"""),36903.99861111111)</f>
        <v>36903.99861</v>
      </c>
      <c r="E111" s="22">
        <f>IFERROR(__xludf.DUMMYFUNCTION("""COMPUTED_VALUE"""),0.9539)</f>
        <v>0.9539</v>
      </c>
      <c r="F111" s="22">
        <f t="shared" si="11"/>
        <v>136.7859595</v>
      </c>
    </row>
    <row r="112" ht="15.75" customHeight="1">
      <c r="A112" s="32">
        <f>IFERROR(__xludf.DUMMYFUNCTION("""COMPUTED_VALUE"""),36910.666666666664)</f>
        <v>36910.66667</v>
      </c>
      <c r="B112" s="22">
        <f>IFERROR(__xludf.DUMMYFUNCTION("""COMPUTED_VALUE"""),1342.55)</f>
        <v>1342.55</v>
      </c>
      <c r="C112" s="22">
        <f t="shared" si="10"/>
        <v>1398.919169</v>
      </c>
      <c r="D112" s="25">
        <f>IFERROR(__xludf.DUMMYFUNCTION("""COMPUTED_VALUE"""),36910.99861111111)</f>
        <v>36910.99861</v>
      </c>
      <c r="E112" s="22">
        <f>IFERROR(__xludf.DUMMYFUNCTION("""COMPUTED_VALUE"""),0.935)</f>
        <v>0.935</v>
      </c>
      <c r="F112" s="22">
        <f t="shared" si="11"/>
        <v>142.1446912</v>
      </c>
    </row>
    <row r="113" ht="15.75" customHeight="1">
      <c r="A113" s="32">
        <f>IFERROR(__xludf.DUMMYFUNCTION("""COMPUTED_VALUE"""),36917.666666666664)</f>
        <v>36917.66667</v>
      </c>
      <c r="B113" s="22">
        <f>IFERROR(__xludf.DUMMYFUNCTION("""COMPUTED_VALUE"""),1354.94)</f>
        <v>1354.94</v>
      </c>
      <c r="C113" s="22">
        <f t="shared" si="10"/>
        <v>1412.367429</v>
      </c>
      <c r="D113" s="25">
        <f>IFERROR(__xludf.DUMMYFUNCTION("""COMPUTED_VALUE"""),36917.99861111111)</f>
        <v>36917.99861</v>
      </c>
      <c r="E113" s="22">
        <f>IFERROR(__xludf.DUMMYFUNCTION("""COMPUTED_VALUE"""),0.9241)</f>
        <v>0.9241</v>
      </c>
      <c r="F113" s="22">
        <f t="shared" si="11"/>
        <v>145.2039255</v>
      </c>
    </row>
    <row r="114" ht="15.75" customHeight="1">
      <c r="A114" s="32">
        <f>IFERROR(__xludf.DUMMYFUNCTION("""COMPUTED_VALUE"""),36924.666666666664)</f>
        <v>36924.66667</v>
      </c>
      <c r="B114" s="22">
        <f>IFERROR(__xludf.DUMMYFUNCTION("""COMPUTED_VALUE"""),1349.47)</f>
        <v>1349.47</v>
      </c>
      <c r="C114" s="22">
        <f t="shared" si="10"/>
        <v>1407.208808</v>
      </c>
      <c r="D114" s="25">
        <f>IFERROR(__xludf.DUMMYFUNCTION("""COMPUTED_VALUE"""),36924.99861111111)</f>
        <v>36924.99861</v>
      </c>
      <c r="E114" s="22">
        <f>IFERROR(__xludf.DUMMYFUNCTION("""COMPUTED_VALUE"""),0.9355)</f>
        <v>0.9355</v>
      </c>
      <c r="F114" s="22">
        <f t="shared" si="11"/>
        <v>142.9105817</v>
      </c>
    </row>
    <row r="115" ht="15.75" customHeight="1">
      <c r="A115" s="32">
        <f>IFERROR(__xludf.DUMMYFUNCTION("""COMPUTED_VALUE"""),36931.666666666664)</f>
        <v>36931.66667</v>
      </c>
      <c r="B115" s="22">
        <f>IFERROR(__xludf.DUMMYFUNCTION("""COMPUTED_VALUE"""),1314.76)</f>
        <v>1314.76</v>
      </c>
      <c r="C115" s="22">
        <f t="shared" si="10"/>
        <v>1371.554931</v>
      </c>
      <c r="D115" s="25">
        <f>IFERROR(__xludf.DUMMYFUNCTION("""COMPUTED_VALUE"""),36931.99861111111)</f>
        <v>36931.99861</v>
      </c>
      <c r="E115" s="22">
        <f>IFERROR(__xludf.DUMMYFUNCTION("""COMPUTED_VALUE"""),0.9243)</f>
        <v>0.9243</v>
      </c>
      <c r="F115" s="22">
        <f t="shared" si="11"/>
        <v>140.9775266</v>
      </c>
    </row>
    <row r="116" ht="15.75" customHeight="1">
      <c r="A116" s="32">
        <f>IFERROR(__xludf.DUMMYFUNCTION("""COMPUTED_VALUE"""),36938.666666666664)</f>
        <v>36938.66667</v>
      </c>
      <c r="B116" s="22">
        <f>IFERROR(__xludf.DUMMYFUNCTION("""COMPUTED_VALUE"""),1301.47)</f>
        <v>1301.47</v>
      </c>
      <c r="C116" s="22">
        <f t="shared" si="10"/>
        <v>1358.218351</v>
      </c>
      <c r="D116" s="25">
        <f>IFERROR(__xludf.DUMMYFUNCTION("""COMPUTED_VALUE"""),36938.99861111111)</f>
        <v>36938.99861</v>
      </c>
      <c r="E116" s="22">
        <f>IFERROR(__xludf.DUMMYFUNCTION("""COMPUTED_VALUE"""),0.9137)</f>
        <v>0.9137</v>
      </c>
      <c r="F116" s="22">
        <f t="shared" si="11"/>
        <v>141.2263071</v>
      </c>
    </row>
    <row r="117" ht="15.75" customHeight="1">
      <c r="A117" s="32">
        <f>IFERROR(__xludf.DUMMYFUNCTION("""COMPUTED_VALUE"""),36945.666666666664)</f>
        <v>36945.66667</v>
      </c>
      <c r="B117" s="22">
        <f>IFERROR(__xludf.DUMMYFUNCTION("""COMPUTED_VALUE"""),1245.47)</f>
        <v>1245.47</v>
      </c>
      <c r="C117" s="22">
        <f t="shared" si="10"/>
        <v>1300.298959</v>
      </c>
      <c r="D117" s="25">
        <f>IFERROR(__xludf.DUMMYFUNCTION("""COMPUTED_VALUE"""),36945.99861111111)</f>
        <v>36945.99861</v>
      </c>
      <c r="E117" s="22">
        <f>IFERROR(__xludf.DUMMYFUNCTION("""COMPUTED_VALUE"""),0.919)</f>
        <v>0.919</v>
      </c>
      <c r="F117" s="22">
        <f t="shared" si="11"/>
        <v>134.424162</v>
      </c>
    </row>
    <row r="118" ht="15.75" customHeight="1">
      <c r="A118" s="32">
        <f>IFERROR(__xludf.DUMMYFUNCTION("""COMPUTED_VALUE"""),36952.666666666664)</f>
        <v>36952.66667</v>
      </c>
      <c r="B118" s="22">
        <f>IFERROR(__xludf.DUMMYFUNCTION("""COMPUTED_VALUE"""),1234.18)</f>
        <v>1234.18</v>
      </c>
      <c r="C118" s="22">
        <f t="shared" si="10"/>
        <v>1289.012058</v>
      </c>
      <c r="D118" s="25">
        <f>IFERROR(__xludf.DUMMYFUNCTION("""COMPUTED_VALUE"""),36952.99861111111)</f>
        <v>36952.99861</v>
      </c>
      <c r="E118" s="22">
        <f>IFERROR(__xludf.DUMMYFUNCTION("""COMPUTED_VALUE"""),0.9354)</f>
        <v>0.9354</v>
      </c>
      <c r="F118" s="22">
        <f t="shared" si="11"/>
        <v>130.9209803</v>
      </c>
    </row>
    <row r="119" ht="15.75" customHeight="1">
      <c r="A119" s="32">
        <f>IFERROR(__xludf.DUMMYFUNCTION("""COMPUTED_VALUE"""),36959.666666666664)</f>
        <v>36959.66667</v>
      </c>
      <c r="B119" s="22">
        <f>IFERROR(__xludf.DUMMYFUNCTION("""COMPUTED_VALUE"""),1233.42)</f>
        <v>1233.42</v>
      </c>
      <c r="C119" s="22">
        <f t="shared" si="10"/>
        <v>1288.714067</v>
      </c>
      <c r="D119" s="25">
        <f>IFERROR(__xludf.DUMMYFUNCTION("""COMPUTED_VALUE"""),36959.99861111111)</f>
        <v>36959.99861</v>
      </c>
      <c r="E119" s="22">
        <f>IFERROR(__xludf.DUMMYFUNCTION("""COMPUTED_VALUE"""),0.9332)</f>
        <v>0.9332</v>
      </c>
      <c r="F119" s="22">
        <f t="shared" si="11"/>
        <v>131.1992864</v>
      </c>
    </row>
    <row r="120" ht="15.75" customHeight="1">
      <c r="A120" s="32">
        <f>IFERROR(__xludf.DUMMYFUNCTION("""COMPUTED_VALUE"""),36966.666666666664)</f>
        <v>36966.66667</v>
      </c>
      <c r="B120" s="22">
        <f>IFERROR(__xludf.DUMMYFUNCTION("""COMPUTED_VALUE"""),1150.55)</f>
        <v>1150.55</v>
      </c>
      <c r="C120" s="22">
        <f t="shared" si="10"/>
        <v>1202.624674</v>
      </c>
      <c r="D120" s="25">
        <f>IFERROR(__xludf.DUMMYFUNCTION("""COMPUTED_VALUE"""),36966.99861111111)</f>
        <v>36966.99861</v>
      </c>
      <c r="E120" s="22">
        <f>IFERROR(__xludf.DUMMYFUNCTION("""COMPUTED_VALUE"""),0.8965)</f>
        <v>0.8965</v>
      </c>
      <c r="F120" s="22">
        <f t="shared" si="11"/>
        <v>127.446951</v>
      </c>
    </row>
    <row r="121" ht="15.75" customHeight="1">
      <c r="A121" s="32">
        <f>IFERROR(__xludf.DUMMYFUNCTION("""COMPUTED_VALUE"""),36973.666666666664)</f>
        <v>36973.66667</v>
      </c>
      <c r="B121" s="22">
        <f>IFERROR(__xludf.DUMMYFUNCTION("""COMPUTED_VALUE"""),1139.85)</f>
        <v>1139.85</v>
      </c>
      <c r="C121" s="22">
        <f t="shared" si="10"/>
        <v>1191.902933</v>
      </c>
      <c r="D121" s="25">
        <f>IFERROR(__xludf.DUMMYFUNCTION("""COMPUTED_VALUE"""),36973.99861111111)</f>
        <v>36973.99861</v>
      </c>
      <c r="E121" s="22">
        <f>IFERROR(__xludf.DUMMYFUNCTION("""COMPUTED_VALUE"""),0.8895)</f>
        <v>0.8895</v>
      </c>
      <c r="F121" s="22">
        <f t="shared" si="11"/>
        <v>127.3047387</v>
      </c>
    </row>
    <row r="122" ht="15.75" customHeight="1">
      <c r="A122" s="32">
        <f>IFERROR(__xludf.DUMMYFUNCTION("""COMPUTED_VALUE"""),36980.666666666664)</f>
        <v>36980.66667</v>
      </c>
      <c r="B122" s="22">
        <f>IFERROR(__xludf.DUMMYFUNCTION("""COMPUTED_VALUE"""),1160.33)</f>
        <v>1160.33</v>
      </c>
      <c r="C122" s="22">
        <f t="shared" si="10"/>
        <v>1213.776606</v>
      </c>
      <c r="D122" s="25">
        <f>IFERROR(__xludf.DUMMYFUNCTION("""COMPUTED_VALUE"""),36980.99861111111)</f>
        <v>36980.99861</v>
      </c>
      <c r="E122" s="22">
        <f>IFERROR(__xludf.DUMMYFUNCTION("""COMPUTED_VALUE"""),0.8753)</f>
        <v>0.8753</v>
      </c>
      <c r="F122" s="22">
        <f t="shared" si="11"/>
        <v>131.744189</v>
      </c>
    </row>
    <row r="123" ht="15.75" customHeight="1">
      <c r="A123" s="32">
        <f>IFERROR(__xludf.DUMMYFUNCTION("""COMPUTED_VALUE"""),36987.666666666664)</f>
        <v>36987.66667</v>
      </c>
      <c r="B123" s="22">
        <f>IFERROR(__xludf.DUMMYFUNCTION("""COMPUTED_VALUE"""),1128.43)</f>
        <v>1128.43</v>
      </c>
      <c r="C123" s="22">
        <f t="shared" si="10"/>
        <v>1180.87408</v>
      </c>
      <c r="D123" s="25">
        <f>IFERROR(__xludf.DUMMYFUNCTION("""COMPUTED_VALUE"""),36987.99861111111)</f>
        <v>36987.99861</v>
      </c>
      <c r="E123" s="22">
        <f>IFERROR(__xludf.DUMMYFUNCTION("""COMPUTED_VALUE"""),0.904)</f>
        <v>0.904</v>
      </c>
      <c r="F123" s="22">
        <f t="shared" si="11"/>
        <v>124.1037182</v>
      </c>
    </row>
    <row r="124" ht="15.75" customHeight="1">
      <c r="A124" s="32">
        <f>IFERROR(__xludf.DUMMYFUNCTION("""COMPUTED_VALUE"""),36993.666666666664)</f>
        <v>36993.66667</v>
      </c>
      <c r="B124" s="22">
        <f>IFERROR(__xludf.DUMMYFUNCTION("""COMPUTED_VALUE"""),1183.5)</f>
        <v>1183.5</v>
      </c>
      <c r="C124" s="22">
        <f t="shared" si="10"/>
        <v>1238.957655</v>
      </c>
      <c r="D124" s="25">
        <f>IFERROR(__xludf.DUMMYFUNCTION("""COMPUTED_VALUE"""),36994.99861111111)</f>
        <v>36994.99861</v>
      </c>
      <c r="E124" s="22">
        <f>IFERROR(__xludf.DUMMYFUNCTION("""COMPUTED_VALUE"""),0.888)</f>
        <v>0.888</v>
      </c>
      <c r="F124" s="22">
        <f t="shared" si="11"/>
        <v>132.5540897</v>
      </c>
    </row>
    <row r="125" ht="15.75" customHeight="1">
      <c r="A125" s="32">
        <f>IFERROR(__xludf.DUMMYFUNCTION("""COMPUTED_VALUE"""),37001.666666666664)</f>
        <v>37001.66667</v>
      </c>
      <c r="B125" s="22">
        <f>IFERROR(__xludf.DUMMYFUNCTION("""COMPUTED_VALUE"""),1242.95)</f>
        <v>1242.95</v>
      </c>
      <c r="C125" s="22">
        <f t="shared" si="10"/>
        <v>1301.669946</v>
      </c>
      <c r="D125" s="25">
        <f>IFERROR(__xludf.DUMMYFUNCTION("""COMPUTED_VALUE"""),37001.99861111111)</f>
        <v>37001.99861</v>
      </c>
      <c r="E125" s="22">
        <f>IFERROR(__xludf.DUMMYFUNCTION("""COMPUTED_VALUE"""),0.9013)</f>
        <v>0.9013</v>
      </c>
      <c r="F125" s="22">
        <f t="shared" si="11"/>
        <v>137.2085392</v>
      </c>
    </row>
    <row r="126" ht="15.75" customHeight="1">
      <c r="A126" s="32">
        <f>IFERROR(__xludf.DUMMYFUNCTION("""COMPUTED_VALUE"""),37008.666666666664)</f>
        <v>37008.66667</v>
      </c>
      <c r="B126" s="22">
        <f>IFERROR(__xludf.DUMMYFUNCTION("""COMPUTED_VALUE"""),1253.07)</f>
        <v>1253.07</v>
      </c>
      <c r="C126" s="22">
        <f t="shared" si="10"/>
        <v>1312.768681</v>
      </c>
      <c r="D126" s="25">
        <f>IFERROR(__xludf.DUMMYFUNCTION("""COMPUTED_VALUE"""),37008.99861111111)</f>
        <v>37008.99861</v>
      </c>
      <c r="E126" s="22">
        <f>IFERROR(__xludf.DUMMYFUNCTION("""COMPUTED_VALUE"""),0.8898)</f>
        <v>0.8898</v>
      </c>
      <c r="F126" s="22">
        <f t="shared" si="11"/>
        <v>140.1668908</v>
      </c>
    </row>
    <row r="127" ht="15.75" customHeight="1">
      <c r="A127" s="32">
        <f>IFERROR(__xludf.DUMMYFUNCTION("""COMPUTED_VALUE"""),37015.666666666664)</f>
        <v>37015.66667</v>
      </c>
      <c r="B127" s="22">
        <f>IFERROR(__xludf.DUMMYFUNCTION("""COMPUTED_VALUE"""),1266.59)</f>
        <v>1266.59</v>
      </c>
      <c r="C127" s="22">
        <f t="shared" si="10"/>
        <v>1327.437711</v>
      </c>
      <c r="D127" s="25">
        <f>IFERROR(__xludf.DUMMYFUNCTION("""COMPUTED_VALUE"""),37015.99861111111)</f>
        <v>37015.99861</v>
      </c>
      <c r="E127" s="22">
        <f>IFERROR(__xludf.DUMMYFUNCTION("""COMPUTED_VALUE"""),0.892)</f>
        <v>0.892</v>
      </c>
      <c r="F127" s="22">
        <f t="shared" si="11"/>
        <v>141.3835659</v>
      </c>
    </row>
    <row r="128" ht="15.75" customHeight="1">
      <c r="A128" s="32">
        <f>IFERROR(__xludf.DUMMYFUNCTION("""COMPUTED_VALUE"""),37022.666666666664)</f>
        <v>37022.66667</v>
      </c>
      <c r="B128" s="22">
        <f>IFERROR(__xludf.DUMMYFUNCTION("""COMPUTED_VALUE"""),1245.65)</f>
        <v>1245.65</v>
      </c>
      <c r="C128" s="22">
        <f t="shared" si="10"/>
        <v>1306.002295</v>
      </c>
      <c r="D128" s="25">
        <f>IFERROR(__xludf.DUMMYFUNCTION("""COMPUTED_VALUE"""),37022.99861111111)</f>
        <v>37022.99861</v>
      </c>
      <c r="E128" s="22">
        <f>IFERROR(__xludf.DUMMYFUNCTION("""COMPUTED_VALUE"""),0.8746)</f>
        <v>0.8746</v>
      </c>
      <c r="F128" s="22">
        <f t="shared" si="11"/>
        <v>141.8678872</v>
      </c>
    </row>
    <row r="129" ht="15.75" customHeight="1">
      <c r="A129" s="32">
        <f>IFERROR(__xludf.DUMMYFUNCTION("""COMPUTED_VALUE"""),37029.666666666664)</f>
        <v>37029.66667</v>
      </c>
      <c r="B129" s="22">
        <f>IFERROR(__xludf.DUMMYFUNCTION("""COMPUTED_VALUE"""),1291.96)</f>
        <v>1291.96</v>
      </c>
      <c r="C129" s="22">
        <f t="shared" si="10"/>
        <v>1355.058343</v>
      </c>
      <c r="D129" s="25">
        <f>IFERROR(__xludf.DUMMYFUNCTION("""COMPUTED_VALUE"""),37029.99861111111)</f>
        <v>37029.99861</v>
      </c>
      <c r="E129" s="22">
        <f>IFERROR(__xludf.DUMMYFUNCTION("""COMPUTED_VALUE"""),0.878)</f>
        <v>0.878</v>
      </c>
      <c r="F129" s="22">
        <f t="shared" si="11"/>
        <v>146.6267177</v>
      </c>
    </row>
    <row r="130" ht="15.75" customHeight="1">
      <c r="A130" s="32">
        <f>IFERROR(__xludf.DUMMYFUNCTION("""COMPUTED_VALUE"""),37036.666666666664)</f>
        <v>37036.66667</v>
      </c>
      <c r="B130" s="22">
        <f>IFERROR(__xludf.DUMMYFUNCTION("""COMPUTED_VALUE"""),1277.89)</f>
        <v>1277.89</v>
      </c>
      <c r="C130" s="22">
        <f t="shared" si="10"/>
        <v>1340.822352</v>
      </c>
      <c r="D130" s="25">
        <f>IFERROR(__xludf.DUMMYFUNCTION("""COMPUTED_VALUE"""),37036.99861111111)</f>
        <v>37036.99861</v>
      </c>
      <c r="E130" s="22">
        <f>IFERROR(__xludf.DUMMYFUNCTION("""COMPUTED_VALUE"""),0.8607)</f>
        <v>0.8607</v>
      </c>
      <c r="F130" s="22">
        <f t="shared" si="11"/>
        <v>148.0025071</v>
      </c>
    </row>
    <row r="131" ht="15.75" customHeight="1">
      <c r="A131" s="32">
        <f>IFERROR(__xludf.DUMMYFUNCTION("""COMPUTED_VALUE"""),37043.666666666664)</f>
        <v>37043.66667</v>
      </c>
      <c r="B131" s="22">
        <f>IFERROR(__xludf.DUMMYFUNCTION("""COMPUTED_VALUE"""),1260.67)</f>
        <v>1260.67</v>
      </c>
      <c r="C131" s="22">
        <f t="shared" si="10"/>
        <v>1323.270018</v>
      </c>
      <c r="D131" s="25">
        <f>IFERROR(__xludf.DUMMYFUNCTION("""COMPUTED_VALUE"""),37043.99861111111)</f>
        <v>37043.99861</v>
      </c>
      <c r="E131" s="22">
        <f>IFERROR(__xludf.DUMMYFUNCTION("""COMPUTED_VALUE"""),0.8475)</f>
        <v>0.8475</v>
      </c>
      <c r="F131" s="22">
        <f t="shared" si="11"/>
        <v>148.3400427</v>
      </c>
    </row>
    <row r="132" ht="15.75" customHeight="1">
      <c r="A132" s="32">
        <f>IFERROR(__xludf.DUMMYFUNCTION("""COMPUTED_VALUE"""),37050.666666666664)</f>
        <v>37050.66667</v>
      </c>
      <c r="B132" s="22">
        <f>IFERROR(__xludf.DUMMYFUNCTION("""COMPUTED_VALUE"""),1264.97)</f>
        <v>1264.97</v>
      </c>
      <c r="C132" s="22">
        <f t="shared" si="10"/>
        <v>1328.292489</v>
      </c>
      <c r="D132" s="25">
        <f>IFERROR(__xludf.DUMMYFUNCTION("""COMPUTED_VALUE"""),37050.99861111111)</f>
        <v>37050.99861</v>
      </c>
      <c r="E132" s="22">
        <f>IFERROR(__xludf.DUMMYFUNCTION("""COMPUTED_VALUE"""),0.851)</f>
        <v>0.851</v>
      </c>
      <c r="F132" s="22">
        <f t="shared" si="11"/>
        <v>148.2906575</v>
      </c>
    </row>
    <row r="133" ht="15.75" customHeight="1">
      <c r="A133" s="32">
        <f>IFERROR(__xludf.DUMMYFUNCTION("""COMPUTED_VALUE"""),37057.666666666664)</f>
        <v>37057.66667</v>
      </c>
      <c r="B133" s="22">
        <f>IFERROR(__xludf.DUMMYFUNCTION("""COMPUTED_VALUE"""),1214.36)</f>
        <v>1214.36</v>
      </c>
      <c r="C133" s="22">
        <f t="shared" si="10"/>
        <v>1275.659911</v>
      </c>
      <c r="D133" s="25">
        <f>IFERROR(__xludf.DUMMYFUNCTION("""COMPUTED_VALUE"""),37057.99861111111)</f>
        <v>37057.99861</v>
      </c>
      <c r="E133" s="22">
        <f>IFERROR(__xludf.DUMMYFUNCTION("""COMPUTED_VALUE"""),0.8618)</f>
        <v>0.8618</v>
      </c>
      <c r="F133" s="22">
        <f t="shared" si="11"/>
        <v>140.6300243</v>
      </c>
    </row>
    <row r="134" ht="15.75" customHeight="1">
      <c r="A134" s="32">
        <f>IFERROR(__xludf.DUMMYFUNCTION("""COMPUTED_VALUE"""),37064.666666666664)</f>
        <v>37064.66667</v>
      </c>
      <c r="B134" s="22">
        <f>IFERROR(__xludf.DUMMYFUNCTION("""COMPUTED_VALUE"""),1225.35)</f>
        <v>1225.35</v>
      </c>
      <c r="C134" s="22">
        <f t="shared" si="10"/>
        <v>1287.695315</v>
      </c>
      <c r="D134" s="25">
        <f>IFERROR(__xludf.DUMMYFUNCTION("""COMPUTED_VALUE"""),37064.99861111111)</f>
        <v>37064.99861</v>
      </c>
      <c r="E134" s="22">
        <f>IFERROR(__xludf.DUMMYFUNCTION("""COMPUTED_VALUE"""),0.8569)</f>
        <v>0.8569</v>
      </c>
      <c r="F134" s="22">
        <f t="shared" si="11"/>
        <v>142.7685691</v>
      </c>
    </row>
    <row r="135" ht="15.75" customHeight="1">
      <c r="A135" s="32">
        <f>IFERROR(__xludf.DUMMYFUNCTION("""COMPUTED_VALUE"""),37071.666666666664)</f>
        <v>37071.66667</v>
      </c>
      <c r="B135" s="22">
        <f>IFERROR(__xludf.DUMMYFUNCTION("""COMPUTED_VALUE"""),1226.99)</f>
        <v>1226.99</v>
      </c>
      <c r="C135" s="22">
        <f t="shared" si="10"/>
        <v>1289.914025</v>
      </c>
      <c r="D135" s="25">
        <f>IFERROR(__xludf.DUMMYFUNCTION("""COMPUTED_VALUE"""),37071.99861111111)</f>
        <v>37071.99861</v>
      </c>
      <c r="E135" s="22">
        <f>IFERROR(__xludf.DUMMYFUNCTION("""COMPUTED_VALUE"""),0.849)</f>
        <v>0.849</v>
      </c>
      <c r="F135" s="22">
        <f t="shared" si="11"/>
        <v>144.3453203</v>
      </c>
    </row>
    <row r="136" ht="15.75" customHeight="1">
      <c r="A136" s="32">
        <f>IFERROR(__xludf.DUMMYFUNCTION("""COMPUTED_VALUE"""),37078.666666666664)</f>
        <v>37078.66667</v>
      </c>
      <c r="B136" s="22">
        <f>IFERROR(__xludf.DUMMYFUNCTION("""COMPUTED_VALUE"""),1190.59)</f>
        <v>1190.59</v>
      </c>
      <c r="C136" s="22">
        <f t="shared" si="10"/>
        <v>1252.143436</v>
      </c>
      <c r="D136" s="25">
        <f>IFERROR(__xludf.DUMMYFUNCTION("""COMPUTED_VALUE"""),37078.99861111111)</f>
        <v>37078.99861</v>
      </c>
      <c r="E136" s="22">
        <f>IFERROR(__xludf.DUMMYFUNCTION("""COMPUTED_VALUE"""),0.8473)</f>
        <v>0.8473</v>
      </c>
      <c r="F136" s="22">
        <f t="shared" si="11"/>
        <v>140.3998064</v>
      </c>
    </row>
    <row r="137" ht="15.75" customHeight="1">
      <c r="A137" s="32">
        <f>IFERROR(__xludf.DUMMYFUNCTION("""COMPUTED_VALUE"""),37085.666666666664)</f>
        <v>37085.66667</v>
      </c>
      <c r="B137" s="22">
        <f>IFERROR(__xludf.DUMMYFUNCTION("""COMPUTED_VALUE"""),1215.68)</f>
        <v>1215.68</v>
      </c>
      <c r="C137" s="22">
        <f t="shared" si="10"/>
        <v>1279.012181</v>
      </c>
      <c r="D137" s="25">
        <f>IFERROR(__xludf.DUMMYFUNCTION("""COMPUTED_VALUE"""),37085.99861111111)</f>
        <v>37085.99861</v>
      </c>
      <c r="E137" s="22">
        <f>IFERROR(__xludf.DUMMYFUNCTION("""COMPUTED_VALUE"""),0.8541)</f>
        <v>0.8541</v>
      </c>
      <c r="F137" s="22">
        <f t="shared" si="11"/>
        <v>142.2707408</v>
      </c>
    </row>
    <row r="138" ht="15.75" customHeight="1">
      <c r="A138" s="32">
        <f>IFERROR(__xludf.DUMMYFUNCTION("""COMPUTED_VALUE"""),37092.666666666664)</f>
        <v>37092.66667</v>
      </c>
      <c r="B138" s="22">
        <f>IFERROR(__xludf.DUMMYFUNCTION("""COMPUTED_VALUE"""),1210.85)</f>
        <v>1210.85</v>
      </c>
      <c r="C138" s="22">
        <f t="shared" si="10"/>
        <v>1274.422485</v>
      </c>
      <c r="D138" s="25">
        <f>IFERROR(__xludf.DUMMYFUNCTION("""COMPUTED_VALUE"""),37092.99861111111)</f>
        <v>37092.99861</v>
      </c>
      <c r="E138" s="22">
        <f>IFERROR(__xludf.DUMMYFUNCTION("""COMPUTED_VALUE"""),0.8712)</f>
        <v>0.8712</v>
      </c>
      <c r="F138" s="22">
        <f t="shared" si="11"/>
        <v>138.9777232</v>
      </c>
    </row>
    <row r="139" ht="15.75" customHeight="1">
      <c r="A139" s="32">
        <f>IFERROR(__xludf.DUMMYFUNCTION("""COMPUTED_VALUE"""),37099.666666666664)</f>
        <v>37099.66667</v>
      </c>
      <c r="B139" s="22">
        <f>IFERROR(__xludf.DUMMYFUNCTION("""COMPUTED_VALUE"""),1205.82)</f>
        <v>1205.82</v>
      </c>
      <c r="C139" s="22">
        <f t="shared" si="10"/>
        <v>1269.618561</v>
      </c>
      <c r="D139" s="25">
        <f>IFERROR(__xludf.DUMMYFUNCTION("""COMPUTED_VALUE"""),37099.99861111111)</f>
        <v>37099.99861</v>
      </c>
      <c r="E139" s="22">
        <f>IFERROR(__xludf.DUMMYFUNCTION("""COMPUTED_VALUE"""),0.877)</f>
        <v>0.877</v>
      </c>
      <c r="F139" s="22">
        <f t="shared" si="11"/>
        <v>137.5381896</v>
      </c>
    </row>
    <row r="140" ht="15.75" customHeight="1">
      <c r="A140" s="32">
        <f>IFERROR(__xludf.DUMMYFUNCTION("""COMPUTED_VALUE"""),37106.666666666664)</f>
        <v>37106.66667</v>
      </c>
      <c r="B140" s="22">
        <f>IFERROR(__xludf.DUMMYFUNCTION("""COMPUTED_VALUE"""),1214.35)</f>
        <v>1214.35</v>
      </c>
      <c r="C140" s="22">
        <f t="shared" si="10"/>
        <v>1279.088188</v>
      </c>
      <c r="D140" s="25">
        <f>IFERROR(__xludf.DUMMYFUNCTION("""COMPUTED_VALUE"""),37106.99861111111)</f>
        <v>37106.99861</v>
      </c>
      <c r="E140" s="22">
        <f>IFERROR(__xludf.DUMMYFUNCTION("""COMPUTED_VALUE"""),0.8838)</f>
        <v>0.8838</v>
      </c>
      <c r="F140" s="22">
        <f t="shared" si="11"/>
        <v>137.497919</v>
      </c>
    </row>
    <row r="141" ht="15.75" customHeight="1">
      <c r="A141" s="32">
        <f>IFERROR(__xludf.DUMMYFUNCTION("""COMPUTED_VALUE"""),37113.666666666664)</f>
        <v>37113.66667</v>
      </c>
      <c r="B141" s="22">
        <f>IFERROR(__xludf.DUMMYFUNCTION("""COMPUTED_VALUE"""),1190.16)</f>
        <v>1190.16</v>
      </c>
      <c r="C141" s="22">
        <f t="shared" si="10"/>
        <v>1254.100552</v>
      </c>
      <c r="D141" s="25">
        <f>IFERROR(__xludf.DUMMYFUNCTION("""COMPUTED_VALUE"""),37113.99861111111)</f>
        <v>37113.99861</v>
      </c>
      <c r="E141" s="22">
        <f>IFERROR(__xludf.DUMMYFUNCTION("""COMPUTED_VALUE"""),0.8927)</f>
        <v>0.8927</v>
      </c>
      <c r="F141" s="22">
        <f t="shared" si="11"/>
        <v>133.4677866</v>
      </c>
    </row>
    <row r="142" ht="15.75" customHeight="1">
      <c r="A142" s="32">
        <f>IFERROR(__xludf.DUMMYFUNCTION("""COMPUTED_VALUE"""),37120.666666666664)</f>
        <v>37120.66667</v>
      </c>
      <c r="B142" s="22">
        <f>IFERROR(__xludf.DUMMYFUNCTION("""COMPUTED_VALUE"""),1161.97)</f>
        <v>1161.97</v>
      </c>
      <c r="C142" s="22">
        <f t="shared" si="10"/>
        <v>1224.87841</v>
      </c>
      <c r="D142" s="25">
        <f>IFERROR(__xludf.DUMMYFUNCTION("""COMPUTED_VALUE"""),37120.99861111111)</f>
        <v>37120.99861</v>
      </c>
      <c r="E142" s="22">
        <f>IFERROR(__xludf.DUMMYFUNCTION("""COMPUTED_VALUE"""),0.9173)</f>
        <v>0.9173</v>
      </c>
      <c r="F142" s="22">
        <f t="shared" si="11"/>
        <v>126.8619025</v>
      </c>
    </row>
    <row r="143" ht="15.75" customHeight="1">
      <c r="A143" s="32">
        <f>IFERROR(__xludf.DUMMYFUNCTION("""COMPUTED_VALUE"""),37127.666666666664)</f>
        <v>37127.66667</v>
      </c>
      <c r="B143" s="22">
        <f>IFERROR(__xludf.DUMMYFUNCTION("""COMPUTED_VALUE"""),1184.93)</f>
        <v>1184.93</v>
      </c>
      <c r="C143" s="22">
        <f t="shared" si="10"/>
        <v>1249.552559</v>
      </c>
      <c r="D143" s="25">
        <f>IFERROR(__xludf.DUMMYFUNCTION("""COMPUTED_VALUE"""),37127.99861111111)</f>
        <v>37127.99861</v>
      </c>
      <c r="E143" s="22">
        <f>IFERROR(__xludf.DUMMYFUNCTION("""COMPUTED_VALUE"""),0.9133)</f>
        <v>0.9133</v>
      </c>
      <c r="F143" s="22">
        <f t="shared" si="11"/>
        <v>129.9842416</v>
      </c>
    </row>
    <row r="144" ht="15.75" customHeight="1">
      <c r="A144" s="32">
        <f>IFERROR(__xludf.DUMMYFUNCTION("""COMPUTED_VALUE"""),37134.666666666664)</f>
        <v>37134.66667</v>
      </c>
      <c r="B144" s="22">
        <f>IFERROR(__xludf.DUMMYFUNCTION("""COMPUTED_VALUE"""),1133.58)</f>
        <v>1133.58</v>
      </c>
      <c r="C144" s="22">
        <f t="shared" si="10"/>
        <v>1195.882679</v>
      </c>
      <c r="D144" s="25">
        <f>IFERROR(__xludf.DUMMYFUNCTION("""COMPUTED_VALUE"""),37134.99861111111)</f>
        <v>37134.99861</v>
      </c>
      <c r="E144" s="22">
        <f>IFERROR(__xludf.DUMMYFUNCTION("""COMPUTED_VALUE"""),0.9122)</f>
        <v>0.9122</v>
      </c>
      <c r="F144" s="22">
        <f t="shared" si="11"/>
        <v>124.5512647</v>
      </c>
    </row>
    <row r="145" ht="15.75" customHeight="1">
      <c r="A145" s="32">
        <f>IFERROR(__xludf.DUMMYFUNCTION("""COMPUTED_VALUE"""),37141.666666666664)</f>
        <v>37141.66667</v>
      </c>
      <c r="B145" s="22">
        <f>IFERROR(__xludf.DUMMYFUNCTION("""COMPUTED_VALUE"""),1085.78)</f>
        <v>1085.78</v>
      </c>
      <c r="C145" s="22">
        <f t="shared" si="10"/>
        <v>1145.915499</v>
      </c>
      <c r="D145" s="25">
        <f>IFERROR(__xludf.DUMMYFUNCTION("""COMPUTED_VALUE"""),37141.99861111111)</f>
        <v>37141.99861</v>
      </c>
      <c r="E145" s="22">
        <f>IFERROR(__xludf.DUMMYFUNCTION("""COMPUTED_VALUE"""),0.9039)</f>
        <v>0.9039</v>
      </c>
      <c r="F145" s="22">
        <f t="shared" si="11"/>
        <v>120.4430767</v>
      </c>
    </row>
    <row r="146" ht="15.75" customHeight="1">
      <c r="A146" s="32">
        <f>IFERROR(__xludf.DUMMYFUNCTION("""COMPUTED_VALUE"""),37145.666666666664)</f>
        <v>37145.66667</v>
      </c>
      <c r="B146" s="22">
        <f>IFERROR(__xludf.DUMMYFUNCTION("""COMPUTED_VALUE"""),1092.54)</f>
        <v>1092.54</v>
      </c>
      <c r="C146" s="22">
        <f t="shared" si="10"/>
        <v>1153.490636</v>
      </c>
      <c r="D146" s="25">
        <f>IFERROR(__xludf.DUMMYFUNCTION("""COMPUTED_VALUE"""),37148.99861111111)</f>
        <v>37148.99861</v>
      </c>
      <c r="E146" s="22">
        <f>IFERROR(__xludf.DUMMYFUNCTION("""COMPUTED_VALUE"""),0.92)</f>
        <v>0.92</v>
      </c>
      <c r="F146" s="22">
        <f t="shared" si="11"/>
        <v>119.117585</v>
      </c>
    </row>
    <row r="147" ht="15.75" customHeight="1">
      <c r="A147" s="32">
        <f>IFERROR(__xludf.DUMMYFUNCTION("""COMPUTED_VALUE"""),37155.666666666664)</f>
        <v>37155.66667</v>
      </c>
      <c r="B147" s="22">
        <f>IFERROR(__xludf.DUMMYFUNCTION("""COMPUTED_VALUE"""),965.8)</f>
        <v>965.8</v>
      </c>
      <c r="C147" s="22">
        <f t="shared" si="10"/>
        <v>1020.123713</v>
      </c>
      <c r="D147" s="25">
        <f>IFERROR(__xludf.DUMMYFUNCTION("""COMPUTED_VALUE"""),37155.99861111111)</f>
        <v>37155.99861</v>
      </c>
      <c r="E147" s="22">
        <f>IFERROR(__xludf.DUMMYFUNCTION("""COMPUTED_VALUE"""),0.9139)</f>
        <v>0.9139</v>
      </c>
      <c r="F147" s="22">
        <f t="shared" si="11"/>
        <v>106.0483217</v>
      </c>
    </row>
    <row r="148" ht="15.75" customHeight="1">
      <c r="A148" s="32">
        <f>IFERROR(__xludf.DUMMYFUNCTION("""COMPUTED_VALUE"""),37162.666666666664)</f>
        <v>37162.66667</v>
      </c>
      <c r="B148" s="22">
        <f>IFERROR(__xludf.DUMMYFUNCTION("""COMPUTED_VALUE"""),1040.94)</f>
        <v>1040.94</v>
      </c>
      <c r="C148" s="22">
        <f t="shared" si="10"/>
        <v>1099.882496</v>
      </c>
      <c r="D148" s="25">
        <f>IFERROR(__xludf.DUMMYFUNCTION("""COMPUTED_VALUE"""),37162.99861111111)</f>
        <v>37162.99861</v>
      </c>
      <c r="E148" s="22">
        <f>IFERROR(__xludf.DUMMYFUNCTION("""COMPUTED_VALUE"""),0.9109)</f>
        <v>0.9109</v>
      </c>
      <c r="F148" s="22">
        <f t="shared" si="11"/>
        <v>114.7163242</v>
      </c>
    </row>
    <row r="149" ht="15.75" customHeight="1">
      <c r="A149" s="32">
        <f>IFERROR(__xludf.DUMMYFUNCTION("""COMPUTED_VALUE"""),37169.666666666664)</f>
        <v>37169.66667</v>
      </c>
      <c r="B149" s="22">
        <f>IFERROR(__xludf.DUMMYFUNCTION("""COMPUTED_VALUE"""),1071.38)</f>
        <v>1071.38</v>
      </c>
      <c r="C149" s="22">
        <f t="shared" si="10"/>
        <v>1132.469171</v>
      </c>
      <c r="D149" s="25">
        <f>IFERROR(__xludf.DUMMYFUNCTION("""COMPUTED_VALUE"""),37169.99861111111)</f>
        <v>37169.99861</v>
      </c>
      <c r="E149" s="22">
        <f>IFERROR(__xludf.DUMMYFUNCTION("""COMPUTED_VALUE"""),0.9178)</f>
        <v>0.9178</v>
      </c>
      <c r="F149" s="22">
        <f t="shared" si="11"/>
        <v>117.2270858</v>
      </c>
    </row>
    <row r="150" ht="15.75" customHeight="1">
      <c r="A150" s="32">
        <f>IFERROR(__xludf.DUMMYFUNCTION("""COMPUTED_VALUE"""),37176.666666666664)</f>
        <v>37176.66667</v>
      </c>
      <c r="B150" s="22">
        <f>IFERROR(__xludf.DUMMYFUNCTION("""COMPUTED_VALUE"""),1091.65)</f>
        <v>1091.65</v>
      </c>
      <c r="C150" s="22">
        <f t="shared" si="10"/>
        <v>1154.330515</v>
      </c>
      <c r="D150" s="25">
        <f>IFERROR(__xludf.DUMMYFUNCTION("""COMPUTED_VALUE"""),37176.99861111111)</f>
        <v>37176.99861</v>
      </c>
      <c r="E150" s="22">
        <f>IFERROR(__xludf.DUMMYFUNCTION("""COMPUTED_VALUE"""),0.9107)</f>
        <v>0.9107</v>
      </c>
      <c r="F150" s="22">
        <f t="shared" si="11"/>
        <v>120.4216223</v>
      </c>
    </row>
    <row r="151" ht="15.75" customHeight="1">
      <c r="A151" s="32">
        <f>IFERROR(__xludf.DUMMYFUNCTION("""COMPUTED_VALUE"""),37183.666666666664)</f>
        <v>37183.66667</v>
      </c>
      <c r="B151" s="22">
        <f>IFERROR(__xludf.DUMMYFUNCTION("""COMPUTED_VALUE"""),1073.48)</f>
        <v>1073.48</v>
      </c>
      <c r="C151" s="22">
        <f t="shared" si="10"/>
        <v>1135.5612</v>
      </c>
      <c r="D151" s="25">
        <f>IFERROR(__xludf.DUMMYFUNCTION("""COMPUTED_VALUE"""),37183.99861111111)</f>
        <v>37183.99861</v>
      </c>
      <c r="E151" s="22">
        <f>IFERROR(__xludf.DUMMYFUNCTION("""COMPUTED_VALUE"""),0.8983)</f>
        <v>0.8983</v>
      </c>
      <c r="F151" s="22">
        <f t="shared" si="11"/>
        <v>120.0988308</v>
      </c>
    </row>
    <row r="152" ht="15.75" customHeight="1">
      <c r="A152" s="32">
        <f>IFERROR(__xludf.DUMMYFUNCTION("""COMPUTED_VALUE"""),37190.666666666664)</f>
        <v>37190.66667</v>
      </c>
      <c r="B152" s="22">
        <f>IFERROR(__xludf.DUMMYFUNCTION("""COMPUTED_VALUE"""),1104.61)</f>
        <v>1104.61</v>
      </c>
      <c r="C152" s="22">
        <f t="shared" si="10"/>
        <v>1168.928256</v>
      </c>
      <c r="D152" s="25">
        <f>IFERROR(__xludf.DUMMYFUNCTION("""COMPUTED_VALUE"""),37190.99861111111)</f>
        <v>37190.99861</v>
      </c>
      <c r="E152" s="22">
        <f>IFERROR(__xludf.DUMMYFUNCTION("""COMPUTED_VALUE"""),0.893)</f>
        <v>0.893</v>
      </c>
      <c r="F152" s="22">
        <f t="shared" si="11"/>
        <v>124.361523</v>
      </c>
    </row>
    <row r="153" ht="15.75" customHeight="1">
      <c r="A153" s="32">
        <f>IFERROR(__xludf.DUMMYFUNCTION("""COMPUTED_VALUE"""),37197.666666666664)</f>
        <v>37197.66667</v>
      </c>
      <c r="B153" s="22">
        <f>IFERROR(__xludf.DUMMYFUNCTION("""COMPUTED_VALUE"""),1087.2)</f>
        <v>1087.2</v>
      </c>
      <c r="C153" s="22">
        <f t="shared" si="10"/>
        <v>1150.95411</v>
      </c>
      <c r="D153" s="25">
        <f>IFERROR(__xludf.DUMMYFUNCTION("""COMPUTED_VALUE"""),37197.99861111111)</f>
        <v>37197.99861</v>
      </c>
      <c r="E153" s="22">
        <f>IFERROR(__xludf.DUMMYFUNCTION("""COMPUTED_VALUE"""),0.9035)</f>
        <v>0.9035</v>
      </c>
      <c r="F153" s="22">
        <f t="shared" si="11"/>
        <v>121.0262244</v>
      </c>
    </row>
    <row r="154" ht="15.75" customHeight="1">
      <c r="A154" s="32">
        <f>IFERROR(__xludf.DUMMYFUNCTION("""COMPUTED_VALUE"""),37204.666666666664)</f>
        <v>37204.66667</v>
      </c>
      <c r="B154" s="22">
        <f>IFERROR(__xludf.DUMMYFUNCTION("""COMPUTED_VALUE"""),1120.31)</f>
        <v>1120.31</v>
      </c>
      <c r="C154" s="22">
        <f t="shared" si="10"/>
        <v>1186.448376</v>
      </c>
      <c r="D154" s="25">
        <f>IFERROR(__xludf.DUMMYFUNCTION("""COMPUTED_VALUE"""),37204.99861111111)</f>
        <v>37204.99861</v>
      </c>
      <c r="E154" s="22">
        <f>IFERROR(__xludf.DUMMYFUNCTION("""COMPUTED_VALUE"""),0.894)</f>
        <v>0.894</v>
      </c>
      <c r="F154" s="22">
        <f t="shared" si="11"/>
        <v>126.0842854</v>
      </c>
    </row>
    <row r="155" ht="15.75" customHeight="1">
      <c r="A155" s="32">
        <f>IFERROR(__xludf.DUMMYFUNCTION("""COMPUTED_VALUE"""),37211.666666666664)</f>
        <v>37211.66667</v>
      </c>
      <c r="B155" s="22">
        <f>IFERROR(__xludf.DUMMYFUNCTION("""COMPUTED_VALUE"""),1138.65)</f>
        <v>1138.65</v>
      </c>
      <c r="C155" s="22">
        <f t="shared" si="10"/>
        <v>1206.327419</v>
      </c>
      <c r="D155" s="25">
        <f>IFERROR(__xludf.DUMMYFUNCTION("""COMPUTED_VALUE"""),37211.99861111111)</f>
        <v>37211.99861</v>
      </c>
      <c r="E155" s="22">
        <f>IFERROR(__xludf.DUMMYFUNCTION("""COMPUTED_VALUE"""),0.8838)</f>
        <v>0.8838</v>
      </c>
      <c r="F155" s="22">
        <f t="shared" si="11"/>
        <v>129.6763673</v>
      </c>
    </row>
    <row r="156" ht="15.75" customHeight="1">
      <c r="A156" s="32">
        <f>IFERROR(__xludf.DUMMYFUNCTION("""COMPUTED_VALUE"""),37218.666666666664)</f>
        <v>37218.66667</v>
      </c>
      <c r="B156" s="22">
        <f>IFERROR(__xludf.DUMMYFUNCTION("""COMPUTED_VALUE"""),1150.34)</f>
        <v>1150.34</v>
      </c>
      <c r="C156" s="22">
        <f t="shared" si="10"/>
        <v>1219.176204</v>
      </c>
      <c r="D156" s="25">
        <f>IFERROR(__xludf.DUMMYFUNCTION("""COMPUTED_VALUE"""),37218.99861111111)</f>
        <v>37218.99861</v>
      </c>
      <c r="E156" s="22">
        <f>IFERROR(__xludf.DUMMYFUNCTION("""COMPUTED_VALUE"""),0.878)</f>
        <v>0.878</v>
      </c>
      <c r="F156" s="22">
        <f t="shared" si="11"/>
        <v>131.9233271</v>
      </c>
    </row>
    <row r="157" ht="15.75" customHeight="1">
      <c r="A157" s="32">
        <f>IFERROR(__xludf.DUMMYFUNCTION("""COMPUTED_VALUE"""),37225.666666666664)</f>
        <v>37225.66667</v>
      </c>
      <c r="B157" s="22">
        <f>IFERROR(__xludf.DUMMYFUNCTION("""COMPUTED_VALUE"""),1139.45)</f>
        <v>1139.45</v>
      </c>
      <c r="C157" s="22">
        <f t="shared" si="10"/>
        <v>1208.103462</v>
      </c>
      <c r="D157" s="25">
        <f>IFERROR(__xludf.DUMMYFUNCTION("""COMPUTED_VALUE"""),37225.99861111111)</f>
        <v>37225.99861</v>
      </c>
      <c r="E157" s="22">
        <f>IFERROR(__xludf.DUMMYFUNCTION("""COMPUTED_VALUE"""),0.8963)</f>
        <v>0.8963</v>
      </c>
      <c r="F157" s="22">
        <f t="shared" si="11"/>
        <v>128.0561281</v>
      </c>
    </row>
    <row r="158" ht="15.75" customHeight="1">
      <c r="A158" s="32">
        <f>IFERROR(__xludf.DUMMYFUNCTION("""COMPUTED_VALUE"""),37232.666666666664)</f>
        <v>37232.66667</v>
      </c>
      <c r="B158" s="22">
        <f>IFERROR(__xludf.DUMMYFUNCTION("""COMPUTED_VALUE"""),1158.31)</f>
        <v>1158.31</v>
      </c>
      <c r="C158" s="22">
        <f t="shared" si="10"/>
        <v>1228.564458</v>
      </c>
      <c r="D158" s="25">
        <f>IFERROR(__xludf.DUMMYFUNCTION("""COMPUTED_VALUE"""),37232.99861111111)</f>
        <v>37232.99861</v>
      </c>
      <c r="E158" s="22">
        <f>IFERROR(__xludf.DUMMYFUNCTION("""COMPUTED_VALUE"""),0.8899)</f>
        <v>0.8899</v>
      </c>
      <c r="F158" s="22">
        <f t="shared" si="11"/>
        <v>131.1614999</v>
      </c>
    </row>
    <row r="159" ht="15.75" customHeight="1">
      <c r="A159" s="32">
        <f>IFERROR(__xludf.DUMMYFUNCTION("""COMPUTED_VALUE"""),37239.666666666664)</f>
        <v>37239.66667</v>
      </c>
      <c r="B159" s="22">
        <f>IFERROR(__xludf.DUMMYFUNCTION("""COMPUTED_VALUE"""),1123.07)</f>
        <v>1123.07</v>
      </c>
      <c r="C159" s="22">
        <f t="shared" si="10"/>
        <v>1191.659587</v>
      </c>
      <c r="D159" s="25">
        <f>IFERROR(__xludf.DUMMYFUNCTION("""COMPUTED_VALUE"""),37239.99861111111)</f>
        <v>37239.99861</v>
      </c>
      <c r="E159" s="22">
        <f>IFERROR(__xludf.DUMMYFUNCTION("""COMPUTED_VALUE"""),0.9021)</f>
        <v>0.9021</v>
      </c>
      <c r="F159" s="22">
        <f t="shared" si="11"/>
        <v>125.5009931</v>
      </c>
    </row>
    <row r="160" ht="15.75" customHeight="1">
      <c r="A160" s="32">
        <f>IFERROR(__xludf.DUMMYFUNCTION("""COMPUTED_VALUE"""),37246.666666666664)</f>
        <v>37246.66667</v>
      </c>
      <c r="B160" s="22">
        <f>IFERROR(__xludf.DUMMYFUNCTION("""COMPUTED_VALUE"""),1144.89)</f>
        <v>1144.89</v>
      </c>
      <c r="C160" s="22">
        <f t="shared" si="10"/>
        <v>1215.270537</v>
      </c>
      <c r="D160" s="25">
        <f>IFERROR(__xludf.DUMMYFUNCTION("""COMPUTED_VALUE"""),37246.99861111111)</f>
        <v>37246.99861</v>
      </c>
      <c r="E160" s="22">
        <f>IFERROR(__xludf.DUMMYFUNCTION("""COMPUTED_VALUE"""),0.8885)</f>
        <v>0.8885</v>
      </c>
      <c r="F160" s="22">
        <f t="shared" si="11"/>
        <v>129.9466748</v>
      </c>
    </row>
    <row r="161" ht="15.75" customHeight="1">
      <c r="A161" s="32">
        <f>IFERROR(__xludf.DUMMYFUNCTION("""COMPUTED_VALUE"""),37253.666666666664)</f>
        <v>37253.66667</v>
      </c>
      <c r="B161" s="22">
        <f>IFERROR(__xludf.DUMMYFUNCTION("""COMPUTED_VALUE"""),1161.02)</f>
        <v>1161.02</v>
      </c>
      <c r="C161" s="22">
        <f t="shared" si="10"/>
        <v>1232.859518</v>
      </c>
      <c r="D161" s="25">
        <f>IFERROR(__xludf.DUMMYFUNCTION("""COMPUTED_VALUE"""),37253.99861111111)</f>
        <v>37253.99861</v>
      </c>
      <c r="E161" s="22">
        <f>IFERROR(__xludf.DUMMYFUNCTION("""COMPUTED_VALUE"""),0.8848)</f>
        <v>0.8848</v>
      </c>
      <c r="F161" s="22">
        <f t="shared" si="11"/>
        <v>132.3787002</v>
      </c>
    </row>
    <row r="162" ht="15.75" customHeight="1">
      <c r="A162" s="32">
        <f>IFERROR(__xludf.DUMMYFUNCTION("""COMPUTED_VALUE"""),37260.666666666664)</f>
        <v>37260.66667</v>
      </c>
      <c r="B162" s="22">
        <f>IFERROR(__xludf.DUMMYFUNCTION("""COMPUTED_VALUE"""),1172.51)</f>
        <v>1172.51</v>
      </c>
      <c r="C162" s="22">
        <f t="shared" si="10"/>
        <v>1245.534653</v>
      </c>
      <c r="D162" s="25">
        <f>IFERROR(__xludf.DUMMYFUNCTION("""COMPUTED_VALUE"""),37260.99861111111)</f>
        <v>37260.99861</v>
      </c>
      <c r="E162" s="22">
        <f>IFERROR(__xludf.DUMMYFUNCTION("""COMPUTED_VALUE"""),0.8942)</f>
        <v>0.8942</v>
      </c>
      <c r="F162" s="22">
        <f t="shared" si="11"/>
        <v>132.3337999</v>
      </c>
      <c r="G162" s="22">
        <f t="shared" ref="G162:G1668" si="79">IF(ISBLANK(B162),"",100*(F162/F6-1))</f>
        <v>26.45262459</v>
      </c>
    </row>
    <row r="163" ht="15.75" customHeight="1">
      <c r="A163" s="32">
        <f>IFERROR(__xludf.DUMMYFUNCTION("""COMPUTED_VALUE"""),37267.666666666664)</f>
        <v>37267.66667</v>
      </c>
      <c r="B163" s="22">
        <f>IFERROR(__xludf.DUMMYFUNCTION("""COMPUTED_VALUE"""),1145.6)</f>
        <v>1145.6</v>
      </c>
      <c r="C163" s="22">
        <f t="shared" si="10"/>
        <v>1217.427733</v>
      </c>
      <c r="D163" s="25">
        <f>IFERROR(__xludf.DUMMYFUNCTION("""COMPUTED_VALUE"""),37267.99861111111)</f>
        <v>37267.99861</v>
      </c>
      <c r="E163" s="22">
        <f>IFERROR(__xludf.DUMMYFUNCTION("""COMPUTED_VALUE"""),0.8919)</f>
        <v>0.8919</v>
      </c>
      <c r="F163" s="22">
        <f t="shared" si="11"/>
        <v>129.6810926</v>
      </c>
      <c r="G163" s="22">
        <f t="shared" si="79"/>
        <v>30.07010013</v>
      </c>
    </row>
    <row r="164" ht="15.75" customHeight="1">
      <c r="A164" s="32">
        <f>IFERROR(__xludf.DUMMYFUNCTION("""COMPUTED_VALUE"""),37274.666666666664)</f>
        <v>37274.66667</v>
      </c>
      <c r="B164" s="22">
        <f>IFERROR(__xludf.DUMMYFUNCTION("""COMPUTED_VALUE"""),1127.58)</f>
        <v>1127.58</v>
      </c>
      <c r="C164" s="22">
        <f t="shared" si="10"/>
        <v>1198.746142</v>
      </c>
      <c r="D164" s="25">
        <f>IFERROR(__xludf.DUMMYFUNCTION("""COMPUTED_VALUE"""),37274.99861111111)</f>
        <v>37274.99861</v>
      </c>
      <c r="E164" s="22">
        <f>IFERROR(__xludf.DUMMYFUNCTION("""COMPUTED_VALUE"""),0.884)</f>
        <v>0.884</v>
      </c>
      <c r="F164" s="22">
        <f t="shared" si="11"/>
        <v>128.83225</v>
      </c>
      <c r="G164" s="22">
        <f t="shared" si="79"/>
        <v>28.07537328</v>
      </c>
    </row>
    <row r="165" ht="15.75" customHeight="1">
      <c r="A165" s="32">
        <f>IFERROR(__xludf.DUMMYFUNCTION("""COMPUTED_VALUE"""),37281.666666666664)</f>
        <v>37281.66667</v>
      </c>
      <c r="B165" s="22">
        <f>IFERROR(__xludf.DUMMYFUNCTION("""COMPUTED_VALUE"""),1133.28)</f>
        <v>1133.28</v>
      </c>
      <c r="C165" s="22">
        <f t="shared" si="10"/>
        <v>1205.266949</v>
      </c>
      <c r="D165" s="25">
        <f>IFERROR(__xludf.DUMMYFUNCTION("""COMPUTED_VALUE"""),37281.99861111111)</f>
        <v>37281.99861</v>
      </c>
      <c r="E165" s="22">
        <f>IFERROR(__xludf.DUMMYFUNCTION("""COMPUTED_VALUE"""),0.8642)</f>
        <v>0.8642</v>
      </c>
      <c r="F165" s="22">
        <f t="shared" si="11"/>
        <v>132.5008363</v>
      </c>
      <c r="G165" s="22">
        <f t="shared" si="79"/>
        <v>23.67695866</v>
      </c>
    </row>
    <row r="166" ht="15.75" customHeight="1">
      <c r="A166" s="32">
        <f>IFERROR(__xludf.DUMMYFUNCTION("""COMPUTED_VALUE"""),37288.666666666664)</f>
        <v>37288.66667</v>
      </c>
      <c r="B166" s="22">
        <f>IFERROR(__xludf.DUMMYFUNCTION("""COMPUTED_VALUE"""),1122.2)</f>
        <v>1122.2</v>
      </c>
      <c r="C166" s="22">
        <f t="shared" si="10"/>
        <v>1193.946701</v>
      </c>
      <c r="D166" s="25">
        <f>IFERROR(__xludf.DUMMYFUNCTION("""COMPUTED_VALUE"""),37288.99861111111)</f>
        <v>37288.99861</v>
      </c>
      <c r="E166" s="22">
        <f>IFERROR(__xludf.DUMMYFUNCTION("""COMPUTED_VALUE"""),0.8617)</f>
        <v>0.8617</v>
      </c>
      <c r="F166" s="22">
        <f t="shared" si="11"/>
        <v>131.637153</v>
      </c>
      <c r="G166" s="22">
        <f t="shared" si="79"/>
        <v>25.60466651</v>
      </c>
    </row>
    <row r="167" ht="15.75" customHeight="1">
      <c r="A167" s="32">
        <f>IFERROR(__xludf.DUMMYFUNCTION("""COMPUTED_VALUE"""),37295.666666666664)</f>
        <v>37295.66667</v>
      </c>
      <c r="B167" s="22">
        <f>IFERROR(__xludf.DUMMYFUNCTION("""COMPUTED_VALUE"""),1096.22)</f>
        <v>1096.22</v>
      </c>
      <c r="C167" s="22">
        <f t="shared" si="10"/>
        <v>1166.764907</v>
      </c>
      <c r="D167" s="25">
        <f>IFERROR(__xludf.DUMMYFUNCTION("""COMPUTED_VALUE"""),37295.99861111111)</f>
        <v>37295.99861</v>
      </c>
      <c r="E167" s="22">
        <f>IFERROR(__xludf.DUMMYFUNCTION("""COMPUTED_VALUE"""),0.8714)</f>
        <v>0.8714</v>
      </c>
      <c r="F167" s="22">
        <f t="shared" si="11"/>
        <v>127.2082965</v>
      </c>
      <c r="G167" s="22">
        <f t="shared" si="79"/>
        <v>22.74462463</v>
      </c>
    </row>
    <row r="168" ht="15.75" customHeight="1">
      <c r="A168" s="32">
        <f>IFERROR(__xludf.DUMMYFUNCTION("""COMPUTED_VALUE"""),37302.666666666664)</f>
        <v>37302.66667</v>
      </c>
      <c r="B168" s="22">
        <f>IFERROR(__xludf.DUMMYFUNCTION("""COMPUTED_VALUE"""),1104.18)</f>
        <v>1104.18</v>
      </c>
      <c r="C168" s="22">
        <f t="shared" si="10"/>
        <v>1175.685912</v>
      </c>
      <c r="D168" s="25">
        <f>IFERROR(__xludf.DUMMYFUNCTION("""COMPUTED_VALUE"""),37302.99861111111)</f>
        <v>37302.99861</v>
      </c>
      <c r="E168" s="22">
        <f>IFERROR(__xludf.DUMMYFUNCTION("""COMPUTED_VALUE"""),0.873)</f>
        <v>0.873</v>
      </c>
      <c r="F168" s="22">
        <f t="shared" si="11"/>
        <v>127.9459974</v>
      </c>
      <c r="G168" s="22">
        <f t="shared" si="79"/>
        <v>19.8229851</v>
      </c>
    </row>
    <row r="169" ht="15.75" customHeight="1">
      <c r="A169" s="32">
        <f>IFERROR(__xludf.DUMMYFUNCTION("""COMPUTED_VALUE"""),37309.666666666664)</f>
        <v>37309.66667</v>
      </c>
      <c r="B169" s="22">
        <f>IFERROR(__xludf.DUMMYFUNCTION("""COMPUTED_VALUE"""),1089.84)</f>
        <v>1089.84</v>
      </c>
      <c r="C169" s="22">
        <f t="shared" si="10"/>
        <v>1160.86945</v>
      </c>
      <c r="D169" s="25">
        <f>IFERROR(__xludf.DUMMYFUNCTION("""COMPUTED_VALUE"""),37309.99861111111)</f>
        <v>37309.99861</v>
      </c>
      <c r="E169" s="22">
        <f>IFERROR(__xludf.DUMMYFUNCTION("""COMPUTED_VALUE"""),0.8747)</f>
        <v>0.8747</v>
      </c>
      <c r="F169" s="22">
        <f t="shared" si="11"/>
        <v>126.0880388</v>
      </c>
      <c r="G169" s="22">
        <f t="shared" si="79"/>
        <v>17.76408324</v>
      </c>
    </row>
    <row r="170" ht="15.75" customHeight="1">
      <c r="A170" s="32">
        <f>IFERROR(__xludf.DUMMYFUNCTION("""COMPUTED_VALUE"""),37316.666666666664)</f>
        <v>37316.66667</v>
      </c>
      <c r="B170" s="22">
        <f>IFERROR(__xludf.DUMMYFUNCTION("""COMPUTED_VALUE"""),1131.78)</f>
        <v>1131.78</v>
      </c>
      <c r="C170" s="22">
        <f t="shared" si="10"/>
        <v>1205.989345</v>
      </c>
      <c r="D170" s="25">
        <f>IFERROR(__xludf.DUMMYFUNCTION("""COMPUTED_VALUE"""),37316.99861111111)</f>
        <v>37316.99861</v>
      </c>
      <c r="E170" s="22">
        <f>IFERROR(__xludf.DUMMYFUNCTION("""COMPUTED_VALUE"""),0.8649)</f>
        <v>0.8649</v>
      </c>
      <c r="F170" s="22">
        <f t="shared" si="11"/>
        <v>132.47295</v>
      </c>
      <c r="G170" s="22">
        <f t="shared" si="79"/>
        <v>17.82561033</v>
      </c>
    </row>
    <row r="171" ht="15.75" customHeight="1">
      <c r="A171" s="32">
        <f>IFERROR(__xludf.DUMMYFUNCTION("""COMPUTED_VALUE"""),37323.666666666664)</f>
        <v>37323.66667</v>
      </c>
      <c r="B171" s="22">
        <f>IFERROR(__xludf.DUMMYFUNCTION("""COMPUTED_VALUE"""),1164.31)</f>
        <v>1164.31</v>
      </c>
      <c r="C171" s="22">
        <f t="shared" si="10"/>
        <v>1241.116136</v>
      </c>
      <c r="D171" s="25">
        <f>IFERROR(__xludf.DUMMYFUNCTION("""COMPUTED_VALUE"""),37323.99861111111)</f>
        <v>37323.99861</v>
      </c>
      <c r="E171" s="22">
        <f>IFERROR(__xludf.DUMMYFUNCTION("""COMPUTED_VALUE"""),0.874)</f>
        <v>0.874</v>
      </c>
      <c r="F171" s="22">
        <f t="shared" si="11"/>
        <v>134.9120134</v>
      </c>
      <c r="G171" s="22">
        <f t="shared" si="79"/>
        <v>19.10586472</v>
      </c>
    </row>
    <row r="172" ht="15.75" customHeight="1">
      <c r="A172" s="32">
        <f>IFERROR(__xludf.DUMMYFUNCTION("""COMPUTED_VALUE"""),37330.666666666664)</f>
        <v>37330.66667</v>
      </c>
      <c r="B172" s="22">
        <f>IFERROR(__xludf.DUMMYFUNCTION("""COMPUTED_VALUE"""),1166.16)</f>
        <v>1166.16</v>
      </c>
      <c r="C172" s="22">
        <f t="shared" si="10"/>
        <v>1243.565528</v>
      </c>
      <c r="D172" s="25">
        <f>IFERROR(__xludf.DUMMYFUNCTION("""COMPUTED_VALUE"""),37330.99861111111)</f>
        <v>37330.99861</v>
      </c>
      <c r="E172" s="22">
        <f>IFERROR(__xludf.DUMMYFUNCTION("""COMPUTED_VALUE"""),0.882)</f>
        <v>0.882</v>
      </c>
      <c r="F172" s="22">
        <f t="shared" si="11"/>
        <v>133.9521608</v>
      </c>
      <c r="G172" s="22">
        <f t="shared" si="79"/>
        <v>17.64506754</v>
      </c>
    </row>
    <row r="173" ht="15.75" customHeight="1">
      <c r="A173" s="32">
        <f>IFERROR(__xludf.DUMMYFUNCTION("""COMPUTED_VALUE"""),37337.666666666664)</f>
        <v>37337.66667</v>
      </c>
      <c r="B173" s="22">
        <f>IFERROR(__xludf.DUMMYFUNCTION("""COMPUTED_VALUE"""),1148.7)</f>
        <v>1148.7</v>
      </c>
      <c r="C173" s="22">
        <f t="shared" si="10"/>
        <v>1225.42489</v>
      </c>
      <c r="D173" s="25">
        <f>IFERROR(__xludf.DUMMYFUNCTION("""COMPUTED_VALUE"""),37337.99861111111)</f>
        <v>37337.99861</v>
      </c>
      <c r="E173" s="22">
        <f>IFERROR(__xludf.DUMMYFUNCTION("""COMPUTED_VALUE"""),0.8775)</f>
        <v>0.8775</v>
      </c>
      <c r="F173" s="22">
        <f t="shared" si="11"/>
        <v>132.6750335</v>
      </c>
      <c r="G173" s="22">
        <f t="shared" si="79"/>
        <v>16.62078615</v>
      </c>
    </row>
    <row r="174" ht="15.75" customHeight="1">
      <c r="A174" s="32">
        <f>IFERROR(__xludf.DUMMYFUNCTION("""COMPUTED_VALUE"""),37343.666666666664)</f>
        <v>37343.66667</v>
      </c>
      <c r="B174" s="22">
        <f>IFERROR(__xludf.DUMMYFUNCTION("""COMPUTED_VALUE"""),1147.39)</f>
        <v>1147.39</v>
      </c>
      <c r="C174" s="22">
        <f t="shared" si="10"/>
        <v>1224.498709</v>
      </c>
      <c r="D174" s="25">
        <f>IFERROR(__xludf.DUMMYFUNCTION("""COMPUTED_VALUE"""),37344.99861111111)</f>
        <v>37344.99861</v>
      </c>
      <c r="E174" s="22">
        <f>IFERROR(__xludf.DUMMYFUNCTION("""COMPUTED_VALUE"""),0.8703)</f>
        <v>0.8703</v>
      </c>
      <c r="F174" s="22">
        <f t="shared" si="11"/>
        <v>133.6715494</v>
      </c>
      <c r="G174" s="22">
        <f t="shared" si="79"/>
        <v>16.69410525</v>
      </c>
    </row>
    <row r="175" ht="15.75" customHeight="1">
      <c r="A175" s="32">
        <f>IFERROR(__xludf.DUMMYFUNCTION("""COMPUTED_VALUE"""),37351.666666666664)</f>
        <v>37351.66667</v>
      </c>
      <c r="B175" s="22">
        <f>IFERROR(__xludf.DUMMYFUNCTION("""COMPUTED_VALUE"""),1122.73)</f>
        <v>1122.73</v>
      </c>
      <c r="C175" s="22">
        <f t="shared" si="10"/>
        <v>1198.65243</v>
      </c>
      <c r="D175" s="25">
        <f>IFERROR(__xludf.DUMMYFUNCTION("""COMPUTED_VALUE"""),37351.99861111111)</f>
        <v>37351.99861</v>
      </c>
      <c r="E175" s="22">
        <f>IFERROR(__xludf.DUMMYFUNCTION("""COMPUTED_VALUE"""),0.8785)</f>
        <v>0.8785</v>
      </c>
      <c r="F175" s="22">
        <f t="shared" si="11"/>
        <v>129.6286918</v>
      </c>
      <c r="G175" s="22">
        <f t="shared" si="79"/>
        <v>8.624383302</v>
      </c>
    </row>
    <row r="176" ht="15.75" customHeight="1">
      <c r="A176" s="32">
        <f>IFERROR(__xludf.DUMMYFUNCTION("""COMPUTED_VALUE"""),37358.666666666664)</f>
        <v>37358.66667</v>
      </c>
      <c r="B176" s="22">
        <f>IFERROR(__xludf.DUMMYFUNCTION("""COMPUTED_VALUE"""),1111.01)</f>
        <v>1111.01</v>
      </c>
      <c r="C176" s="22">
        <f t="shared" si="10"/>
        <v>1186.600908</v>
      </c>
      <c r="D176" s="25">
        <f>IFERROR(__xludf.DUMMYFUNCTION("""COMPUTED_VALUE"""),37358.99861111111)</f>
        <v>37358.99861</v>
      </c>
      <c r="E176" s="22">
        <f>IFERROR(__xludf.DUMMYFUNCTION("""COMPUTED_VALUE"""),0.8806)</f>
        <v>0.8806</v>
      </c>
      <c r="F176" s="22">
        <f t="shared" si="11"/>
        <v>128.0193533</v>
      </c>
      <c r="G176" s="22">
        <f t="shared" si="79"/>
        <v>8.663603583</v>
      </c>
    </row>
    <row r="177" ht="15.75" customHeight="1">
      <c r="A177" s="32">
        <f>IFERROR(__xludf.DUMMYFUNCTION("""COMPUTED_VALUE"""),37365.666666666664)</f>
        <v>37365.66667</v>
      </c>
      <c r="B177" s="22">
        <f>IFERROR(__xludf.DUMMYFUNCTION("""COMPUTED_VALUE"""),1125.17)</f>
        <v>1125.17</v>
      </c>
      <c r="C177" s="22">
        <f t="shared" si="10"/>
        <v>1202.180711</v>
      </c>
      <c r="D177" s="25">
        <f>IFERROR(__xludf.DUMMYFUNCTION("""COMPUTED_VALUE"""),37365.99861111111)</f>
        <v>37365.99861</v>
      </c>
      <c r="E177" s="22">
        <f>IFERROR(__xludf.DUMMYFUNCTION("""COMPUTED_VALUE"""),0.8917)</f>
        <v>0.8917</v>
      </c>
      <c r="F177" s="22">
        <f t="shared" si="11"/>
        <v>128.0856931</v>
      </c>
      <c r="G177" s="22">
        <f t="shared" si="79"/>
        <v>4.734382281</v>
      </c>
    </row>
    <row r="178" ht="15.75" customHeight="1">
      <c r="A178" s="32">
        <f>IFERROR(__xludf.DUMMYFUNCTION("""COMPUTED_VALUE"""),37372.666666666664)</f>
        <v>37372.66667</v>
      </c>
      <c r="B178" s="22">
        <f>IFERROR(__xludf.DUMMYFUNCTION("""COMPUTED_VALUE"""),1076.32)</f>
        <v>1076.32</v>
      </c>
      <c r="C178" s="22">
        <f t="shared" si="10"/>
        <v>1150.449617</v>
      </c>
      <c r="D178" s="25">
        <f>IFERROR(__xludf.DUMMYFUNCTION("""COMPUTED_VALUE"""),37372.99861111111)</f>
        <v>37372.99861</v>
      </c>
      <c r="E178" s="22">
        <f>IFERROR(__xludf.DUMMYFUNCTION("""COMPUTED_VALUE"""),0.9015)</f>
        <v>0.9015</v>
      </c>
      <c r="F178" s="22">
        <f t="shared" si="11"/>
        <v>121.2415575</v>
      </c>
      <c r="G178" s="22">
        <f t="shared" si="79"/>
        <v>0.3620892302</v>
      </c>
    </row>
    <row r="179" ht="15.75" customHeight="1">
      <c r="A179" s="32">
        <f>IFERROR(__xludf.DUMMYFUNCTION("""COMPUTED_VALUE"""),37379.666666666664)</f>
        <v>37379.66667</v>
      </c>
      <c r="B179" s="22">
        <f>IFERROR(__xludf.DUMMYFUNCTION("""COMPUTED_VALUE"""),1073.43)</f>
        <v>1073.43</v>
      </c>
      <c r="C179" s="22">
        <f t="shared" si="10"/>
        <v>1147.803054</v>
      </c>
      <c r="D179" s="25">
        <f>IFERROR(__xludf.DUMMYFUNCTION("""COMPUTED_VALUE"""),37379.99861111111)</f>
        <v>37379.99861</v>
      </c>
      <c r="E179" s="22">
        <f>IFERROR(__xludf.DUMMYFUNCTION("""COMPUTED_VALUE"""),0.9171)</f>
        <v>0.9171</v>
      </c>
      <c r="F179" s="22">
        <f t="shared" si="11"/>
        <v>118.9050546</v>
      </c>
      <c r="G179" s="22">
        <f t="shared" si="79"/>
        <v>-0.6090666838</v>
      </c>
    </row>
    <row r="180" ht="15.75" customHeight="1">
      <c r="A180" s="32">
        <f>IFERROR(__xludf.DUMMYFUNCTION("""COMPUTED_VALUE"""),37386.666666666664)</f>
        <v>37386.66667</v>
      </c>
      <c r="B180" s="22">
        <f>IFERROR(__xludf.DUMMYFUNCTION("""COMPUTED_VALUE"""),1054.99)</f>
        <v>1054.99</v>
      </c>
      <c r="C180" s="22">
        <f t="shared" si="10"/>
        <v>1128.526894</v>
      </c>
      <c r="D180" s="25">
        <f>IFERROR(__xludf.DUMMYFUNCTION("""COMPUTED_VALUE"""),37386.99861111111)</f>
        <v>37386.99861</v>
      </c>
      <c r="E180" s="22">
        <f>IFERROR(__xludf.DUMMYFUNCTION("""COMPUTED_VALUE"""),0.9139)</f>
        <v>0.9139</v>
      </c>
      <c r="F180" s="22">
        <f t="shared" si="11"/>
        <v>117.3175189</v>
      </c>
      <c r="G180" s="22">
        <f t="shared" si="79"/>
        <v>-2.362747217</v>
      </c>
    </row>
    <row r="181" ht="15.75" customHeight="1">
      <c r="A181" s="32">
        <f>IFERROR(__xludf.DUMMYFUNCTION("""COMPUTED_VALUE"""),37393.666666666664)</f>
        <v>37393.66667</v>
      </c>
      <c r="B181" s="22">
        <f>IFERROR(__xludf.DUMMYFUNCTION("""COMPUTED_VALUE"""),1106.59)</f>
        <v>1106.59</v>
      </c>
      <c r="C181" s="22">
        <f t="shared" si="10"/>
        <v>1184.157662</v>
      </c>
      <c r="D181" s="25">
        <f>IFERROR(__xludf.DUMMYFUNCTION("""COMPUTED_VALUE"""),37393.99861111111)</f>
        <v>37393.99861</v>
      </c>
      <c r="E181" s="22">
        <f>IFERROR(__xludf.DUMMYFUNCTION("""COMPUTED_VALUE"""),0.9206)</f>
        <v>0.9206</v>
      </c>
      <c r="F181" s="22">
        <f t="shared" si="11"/>
        <v>122.2047798</v>
      </c>
      <c r="G181" s="22">
        <f t="shared" si="79"/>
        <v>1.596388787</v>
      </c>
    </row>
    <row r="182" ht="15.75" customHeight="1">
      <c r="A182" s="32">
        <f>IFERROR(__xludf.DUMMYFUNCTION("""COMPUTED_VALUE"""),37400.666666666664)</f>
        <v>37400.66667</v>
      </c>
      <c r="B182" s="22">
        <f>IFERROR(__xludf.DUMMYFUNCTION("""COMPUTED_VALUE"""),1083.82)</f>
        <v>1083.82</v>
      </c>
      <c r="C182" s="22">
        <f t="shared" si="10"/>
        <v>1160.247019</v>
      </c>
      <c r="D182" s="25">
        <f>IFERROR(__xludf.DUMMYFUNCTION("""COMPUTED_VALUE"""),37400.99861111111)</f>
        <v>37400.99861</v>
      </c>
      <c r="E182" s="22">
        <f>IFERROR(__xludf.DUMMYFUNCTION("""COMPUTED_VALUE"""),0.9199)</f>
        <v>0.9199</v>
      </c>
      <c r="F182" s="22">
        <f t="shared" si="11"/>
        <v>119.8283216</v>
      </c>
      <c r="G182" s="22">
        <f t="shared" si="79"/>
        <v>0.219301574</v>
      </c>
    </row>
    <row r="183" ht="15.75" customHeight="1">
      <c r="A183" s="32">
        <f>IFERROR(__xludf.DUMMYFUNCTION("""COMPUTED_VALUE"""),37407.666666666664)</f>
        <v>37407.66667</v>
      </c>
      <c r="B183" s="22">
        <f>IFERROR(__xludf.DUMMYFUNCTION("""COMPUTED_VALUE"""),1067.14)</f>
        <v>1067.14</v>
      </c>
      <c r="C183" s="22">
        <f t="shared" si="10"/>
        <v>1142.837055</v>
      </c>
      <c r="D183" s="25">
        <f>IFERROR(__xludf.DUMMYFUNCTION("""COMPUTED_VALUE"""),37407.99861111111)</f>
        <v>37407.99861</v>
      </c>
      <c r="E183" s="22">
        <f>IFERROR(__xludf.DUMMYFUNCTION("""COMPUTED_VALUE"""),0.9334)</f>
        <v>0.9334</v>
      </c>
      <c r="F183" s="22">
        <f t="shared" si="11"/>
        <v>116.3231491</v>
      </c>
      <c r="G183" s="22">
        <f t="shared" si="79"/>
        <v>-5.123917172</v>
      </c>
    </row>
    <row r="184" ht="15.75" customHeight="1">
      <c r="A184" s="32">
        <f>IFERROR(__xludf.DUMMYFUNCTION("""COMPUTED_VALUE"""),37414.666666666664)</f>
        <v>37414.66667</v>
      </c>
      <c r="B184" s="22">
        <f>IFERROR(__xludf.DUMMYFUNCTION("""COMPUTED_VALUE"""),1027.53)</f>
        <v>1027.53</v>
      </c>
      <c r="C184" s="22">
        <f t="shared" si="10"/>
        <v>1100.856892</v>
      </c>
      <c r="D184" s="25">
        <f>IFERROR(__xludf.DUMMYFUNCTION("""COMPUTED_VALUE"""),37414.99861111111)</f>
        <v>37414.99861</v>
      </c>
      <c r="E184" s="22">
        <f>IFERROR(__xludf.DUMMYFUNCTION("""COMPUTED_VALUE"""),0.942)</f>
        <v>0.942</v>
      </c>
      <c r="F184" s="22">
        <f t="shared" si="11"/>
        <v>111.0272535</v>
      </c>
      <c r="G184" s="22">
        <f t="shared" si="79"/>
        <v>-5.910139134</v>
      </c>
    </row>
    <row r="185" ht="15.75" customHeight="1">
      <c r="A185" s="32">
        <f>IFERROR(__xludf.DUMMYFUNCTION("""COMPUTED_VALUE"""),37421.666666666664)</f>
        <v>37421.66667</v>
      </c>
      <c r="B185" s="22">
        <f>IFERROR(__xludf.DUMMYFUNCTION("""COMPUTED_VALUE"""),1007.27)</f>
        <v>1007.27</v>
      </c>
      <c r="C185" s="22">
        <f t="shared" si="10"/>
        <v>1079.574499</v>
      </c>
      <c r="D185" s="25">
        <f>IFERROR(__xludf.DUMMYFUNCTION("""COMPUTED_VALUE"""),37421.99861111111)</f>
        <v>37421.99861</v>
      </c>
      <c r="E185" s="22">
        <f>IFERROR(__xludf.DUMMYFUNCTION("""COMPUTED_VALUE"""),0.9455)</f>
        <v>0.9455</v>
      </c>
      <c r="F185" s="22">
        <f t="shared" si="11"/>
        <v>108.4777623</v>
      </c>
      <c r="G185" s="22">
        <f t="shared" si="79"/>
        <v>-12.42165692</v>
      </c>
    </row>
    <row r="186" ht="15.75" customHeight="1">
      <c r="A186" s="32">
        <f>IFERROR(__xludf.DUMMYFUNCTION("""COMPUTED_VALUE"""),37428.666666666664)</f>
        <v>37428.66667</v>
      </c>
      <c r="B186" s="22">
        <f>IFERROR(__xludf.DUMMYFUNCTION("""COMPUTED_VALUE"""),989.14)</f>
        <v>989.14</v>
      </c>
      <c r="C186" s="22">
        <f t="shared" si="10"/>
        <v>1060.5583</v>
      </c>
      <c r="D186" s="25">
        <f>IFERROR(__xludf.DUMMYFUNCTION("""COMPUTED_VALUE"""),37428.99861111111)</f>
        <v>37428.99861</v>
      </c>
      <c r="E186" s="22">
        <f>IFERROR(__xludf.DUMMYFUNCTION("""COMPUTED_VALUE"""),0.9696)</f>
        <v>0.9696</v>
      </c>
      <c r="F186" s="22">
        <f t="shared" si="11"/>
        <v>103.9181902</v>
      </c>
      <c r="G186" s="22">
        <f t="shared" si="79"/>
        <v>-14.10858489</v>
      </c>
    </row>
    <row r="187" ht="15.75" customHeight="1">
      <c r="A187" s="32">
        <f>IFERROR(__xludf.DUMMYFUNCTION("""COMPUTED_VALUE"""),37435.666666666664)</f>
        <v>37435.66667</v>
      </c>
      <c r="B187" s="22">
        <f>IFERROR(__xludf.DUMMYFUNCTION("""COMPUTED_VALUE"""),989.6)</f>
        <v>989.6</v>
      </c>
      <c r="C187" s="22">
        <f t="shared" si="10"/>
        <v>1061.45942</v>
      </c>
      <c r="D187" s="25">
        <f>IFERROR(__xludf.DUMMYFUNCTION("""COMPUTED_VALUE"""),37435.99861111111)</f>
        <v>37435.99861</v>
      </c>
      <c r="E187" s="22">
        <f>IFERROR(__xludf.DUMMYFUNCTION("""COMPUTED_VALUE"""),0.9906)</f>
        <v>0.9906</v>
      </c>
      <c r="F187" s="22">
        <f t="shared" si="11"/>
        <v>101.801624</v>
      </c>
      <c r="G187" s="22">
        <f t="shared" si="79"/>
        <v>-21.88114789</v>
      </c>
    </row>
    <row r="188" ht="15.75" customHeight="1">
      <c r="A188" s="32">
        <f>IFERROR(__xludf.DUMMYFUNCTION("""COMPUTED_VALUE"""),37442.666666666664)</f>
        <v>37442.66667</v>
      </c>
      <c r="B188" s="22">
        <f>IFERROR(__xludf.DUMMYFUNCTION("""COMPUTED_VALUE"""),989.03)</f>
        <v>989.03</v>
      </c>
      <c r="C188" s="22">
        <f t="shared" si="10"/>
        <v>1061.256284</v>
      </c>
      <c r="D188" s="25">
        <f>IFERROR(__xludf.DUMMYFUNCTION("""COMPUTED_VALUE"""),37442.99861111111)</f>
        <v>37442.99861</v>
      </c>
      <c r="E188" s="22">
        <f>IFERROR(__xludf.DUMMYFUNCTION("""COMPUTED_VALUE"""),0.9736)</f>
        <v>0.9736</v>
      </c>
      <c r="F188" s="22">
        <f t="shared" si="11"/>
        <v>103.5593566</v>
      </c>
      <c r="G188" s="22">
        <f t="shared" si="79"/>
        <v>-21.62202145</v>
      </c>
    </row>
    <row r="189" ht="15.75" customHeight="1">
      <c r="A189" s="32">
        <f>IFERROR(__xludf.DUMMYFUNCTION("""COMPUTED_VALUE"""),37449.666666666664)</f>
        <v>37449.66667</v>
      </c>
      <c r="B189" s="22">
        <f>IFERROR(__xludf.DUMMYFUNCTION("""COMPUTED_VALUE"""),921.4)</f>
        <v>921.4</v>
      </c>
      <c r="C189" s="22">
        <f t="shared" si="10"/>
        <v>989.0956166</v>
      </c>
      <c r="D189" s="25">
        <f>IFERROR(__xludf.DUMMYFUNCTION("""COMPUTED_VALUE"""),37449.99861111111)</f>
        <v>37449.99861</v>
      </c>
      <c r="E189" s="22">
        <f>IFERROR(__xludf.DUMMYFUNCTION("""COMPUTED_VALUE"""),0.9913)</f>
        <v>0.9913</v>
      </c>
      <c r="F189" s="22">
        <f t="shared" si="11"/>
        <v>94.79442684</v>
      </c>
      <c r="G189" s="22">
        <f t="shared" si="79"/>
        <v>-29.0734204</v>
      </c>
    </row>
    <row r="190" ht="15.75" customHeight="1">
      <c r="A190" s="32">
        <f>IFERROR(__xludf.DUMMYFUNCTION("""COMPUTED_VALUE"""),37456.666666666664)</f>
        <v>37456.66667</v>
      </c>
      <c r="B190" s="22">
        <f>IFERROR(__xludf.DUMMYFUNCTION("""COMPUTED_VALUE"""),847.5)</f>
        <v>847.5</v>
      </c>
      <c r="C190" s="22">
        <f t="shared" si="10"/>
        <v>910.1465762</v>
      </c>
      <c r="D190" s="25">
        <f>IFERROR(__xludf.DUMMYFUNCTION("""COMPUTED_VALUE"""),37456.99861111111)</f>
        <v>37456.99861</v>
      </c>
      <c r="E190" s="22">
        <f>IFERROR(__xludf.DUMMYFUNCTION("""COMPUTED_VALUE"""),1.0091)</f>
        <v>1.0091</v>
      </c>
      <c r="F190" s="22">
        <f t="shared" si="11"/>
        <v>85.68933403</v>
      </c>
      <c r="G190" s="22">
        <f t="shared" si="79"/>
        <v>-30.83498957</v>
      </c>
    </row>
    <row r="191" ht="15.75" customHeight="1">
      <c r="A191" s="32">
        <f>IFERROR(__xludf.DUMMYFUNCTION("""COMPUTED_VALUE"""),37463.666666666664)</f>
        <v>37463.66667</v>
      </c>
      <c r="B191" s="22">
        <f>IFERROR(__xludf.DUMMYFUNCTION("""COMPUTED_VALUE"""),852.83)</f>
        <v>852.83</v>
      </c>
      <c r="C191" s="22">
        <f t="shared" si="10"/>
        <v>916.2206223</v>
      </c>
      <c r="D191" s="25">
        <f>IFERROR(__xludf.DUMMYFUNCTION("""COMPUTED_VALUE"""),37463.99861111111)</f>
        <v>37463.99861</v>
      </c>
      <c r="E191" s="22">
        <f>IFERROR(__xludf.DUMMYFUNCTION("""COMPUTED_VALUE"""),0.9858)</f>
        <v>0.9858</v>
      </c>
      <c r="F191" s="22">
        <f t="shared" si="11"/>
        <v>88.30003644</v>
      </c>
      <c r="G191" s="22">
        <f t="shared" si="79"/>
        <v>-25.97719152</v>
      </c>
    </row>
    <row r="192" ht="15.75" customHeight="1">
      <c r="A192" s="32">
        <f>IFERROR(__xludf.DUMMYFUNCTION("""COMPUTED_VALUE"""),37470.666666666664)</f>
        <v>37470.66667</v>
      </c>
      <c r="B192" s="22">
        <f>IFERROR(__xludf.DUMMYFUNCTION("""COMPUTED_VALUE"""),864.24)</f>
        <v>864.24</v>
      </c>
      <c r="C192" s="22">
        <f t="shared" si="10"/>
        <v>928.831117</v>
      </c>
      <c r="D192" s="25">
        <f>IFERROR(__xludf.DUMMYFUNCTION("""COMPUTED_VALUE"""),37470.99861111111)</f>
        <v>37470.99861</v>
      </c>
      <c r="E192" s="22">
        <f>IFERROR(__xludf.DUMMYFUNCTION("""COMPUTED_VALUE"""),0.985)</f>
        <v>0.985</v>
      </c>
      <c r="F192" s="22">
        <f t="shared" si="11"/>
        <v>89.58806571</v>
      </c>
      <c r="G192" s="22">
        <f t="shared" si="79"/>
        <v>-23.11587974</v>
      </c>
    </row>
    <row r="193" ht="15.75" customHeight="1">
      <c r="A193" s="32">
        <f>IFERROR(__xludf.DUMMYFUNCTION("""COMPUTED_VALUE"""),37477.666666666664)</f>
        <v>37477.66667</v>
      </c>
      <c r="B193" s="22">
        <f>IFERROR(__xludf.DUMMYFUNCTION("""COMPUTED_VALUE"""),908.6)</f>
        <v>908.6</v>
      </c>
      <c r="C193" s="22">
        <f t="shared" si="10"/>
        <v>976.8637142</v>
      </c>
      <c r="D193" s="25">
        <f>IFERROR(__xludf.DUMMYFUNCTION("""COMPUTED_VALUE"""),37477.99861111111)</f>
        <v>37477.99861</v>
      </c>
      <c r="E193" s="22">
        <f>IFERROR(__xludf.DUMMYFUNCTION("""COMPUTED_VALUE"""),0.9691)</f>
        <v>0.9691</v>
      </c>
      <c r="F193" s="22">
        <f t="shared" si="11"/>
        <v>95.76680936</v>
      </c>
      <c r="G193" s="22">
        <f t="shared" si="79"/>
        <v>-20.73658767</v>
      </c>
    </row>
    <row r="194" ht="15.75" customHeight="1">
      <c r="A194" s="32">
        <f>IFERROR(__xludf.DUMMYFUNCTION("""COMPUTED_VALUE"""),37484.666666666664)</f>
        <v>37484.66667</v>
      </c>
      <c r="B194" s="22">
        <f>IFERROR(__xludf.DUMMYFUNCTION("""COMPUTED_VALUE"""),928.76)</f>
        <v>928.76</v>
      </c>
      <c r="C194" s="22">
        <f t="shared" si="10"/>
        <v>998.9140651</v>
      </c>
      <c r="D194" s="25">
        <f>IFERROR(__xludf.DUMMYFUNCTION("""COMPUTED_VALUE"""),37484.99861111111)</f>
        <v>37484.99861</v>
      </c>
      <c r="E194" s="22">
        <f>IFERROR(__xludf.DUMMYFUNCTION("""COMPUTED_VALUE"""),0.9874)</f>
        <v>0.9874</v>
      </c>
      <c r="F194" s="22">
        <f t="shared" si="11"/>
        <v>96.11355462</v>
      </c>
      <c r="G194" s="22">
        <f t="shared" si="79"/>
        <v>-20.22652606</v>
      </c>
    </row>
    <row r="195" ht="15.75" customHeight="1">
      <c r="A195" s="32">
        <f>IFERROR(__xludf.DUMMYFUNCTION("""COMPUTED_VALUE"""),37491.666666666664)</f>
        <v>37491.66667</v>
      </c>
      <c r="B195" s="22">
        <f>IFERROR(__xludf.DUMMYFUNCTION("""COMPUTED_VALUE"""),940.87)</f>
        <v>940.87</v>
      </c>
      <c r="C195" s="22">
        <f t="shared" si="10"/>
        <v>1012.322994</v>
      </c>
      <c r="D195" s="25">
        <f>IFERROR(__xludf.DUMMYFUNCTION("""COMPUTED_VALUE"""),37491.99861111111)</f>
        <v>37491.99861</v>
      </c>
      <c r="E195" s="22">
        <f>IFERROR(__xludf.DUMMYFUNCTION("""COMPUTED_VALUE"""),0.972)</f>
        <v>0.972</v>
      </c>
      <c r="F195" s="22">
        <f t="shared" si="11"/>
        <v>98.9469634</v>
      </c>
      <c r="G195" s="22">
        <f t="shared" si="79"/>
        <v>-20.2248485</v>
      </c>
    </row>
    <row r="196" ht="15.75" customHeight="1">
      <c r="A196" s="32">
        <f>IFERROR(__xludf.DUMMYFUNCTION("""COMPUTED_VALUE"""),37498.666666666664)</f>
        <v>37498.66667</v>
      </c>
      <c r="B196" s="22">
        <f>IFERROR(__xludf.DUMMYFUNCTION("""COMPUTED_VALUE"""),916.07)</f>
        <v>916.07</v>
      </c>
      <c r="C196" s="22">
        <f t="shared" si="10"/>
        <v>986.0289493</v>
      </c>
      <c r="D196" s="25">
        <f>IFERROR(__xludf.DUMMYFUNCTION("""COMPUTED_VALUE"""),37498.99861111111)</f>
        <v>37498.99861</v>
      </c>
      <c r="E196" s="22">
        <f>IFERROR(__xludf.DUMMYFUNCTION("""COMPUTED_VALUE"""),0.9803)</f>
        <v>0.9803</v>
      </c>
      <c r="F196" s="22">
        <f t="shared" si="11"/>
        <v>95.56091448</v>
      </c>
      <c r="G196" s="22">
        <f t="shared" si="79"/>
        <v>-22.43298659</v>
      </c>
    </row>
    <row r="197" ht="15.75" customHeight="1">
      <c r="A197" s="32">
        <f>IFERROR(__xludf.DUMMYFUNCTION("""COMPUTED_VALUE"""),37505.666666666664)</f>
        <v>37505.66667</v>
      </c>
      <c r="B197" s="22">
        <f>IFERROR(__xludf.DUMMYFUNCTION("""COMPUTED_VALUE"""),893.91)</f>
        <v>893.91</v>
      </c>
      <c r="C197" s="22">
        <f t="shared" si="10"/>
        <v>962.5558638</v>
      </c>
      <c r="D197" s="25">
        <f>IFERROR(__xludf.DUMMYFUNCTION("""COMPUTED_VALUE"""),37505.99861111111)</f>
        <v>37505.99861</v>
      </c>
      <c r="E197" s="22">
        <f>IFERROR(__xludf.DUMMYFUNCTION("""COMPUTED_VALUE"""),0.9805)</f>
        <v>0.9805</v>
      </c>
      <c r="F197" s="22">
        <f t="shared" si="11"/>
        <v>93.26699408</v>
      </c>
      <c r="G197" s="22">
        <f t="shared" si="79"/>
        <v>-25.76679096</v>
      </c>
    </row>
    <row r="198" ht="15.75" customHeight="1">
      <c r="A198" s="32">
        <f>IFERROR(__xludf.DUMMYFUNCTION("""COMPUTED_VALUE"""),37512.666666666664)</f>
        <v>37512.66667</v>
      </c>
      <c r="B198" s="22">
        <f>IFERROR(__xludf.DUMMYFUNCTION("""COMPUTED_VALUE"""),889.79)</f>
        <v>889.79</v>
      </c>
      <c r="C198" s="22">
        <f t="shared" si="10"/>
        <v>958.4896913</v>
      </c>
      <c r="D198" s="25">
        <f>IFERROR(__xludf.DUMMYFUNCTION("""COMPUTED_VALUE"""),37512.99861111111)</f>
        <v>37512.99861</v>
      </c>
      <c r="E198" s="22">
        <f>IFERROR(__xludf.DUMMYFUNCTION("""COMPUTED_VALUE"""),0.9706)</f>
        <v>0.9706</v>
      </c>
      <c r="F198" s="22">
        <f t="shared" si="11"/>
        <v>93.82029482</v>
      </c>
      <c r="G198" s="22">
        <f t="shared" si="79"/>
        <v>-24.03215268</v>
      </c>
    </row>
    <row r="199" ht="15.75" customHeight="1">
      <c r="A199" s="32">
        <f>IFERROR(__xludf.DUMMYFUNCTION("""COMPUTED_VALUE"""),37519.666666666664)</f>
        <v>37519.66667</v>
      </c>
      <c r="B199" s="22">
        <f>IFERROR(__xludf.DUMMYFUNCTION("""COMPUTED_VALUE"""),845.39)</f>
        <v>845.39</v>
      </c>
      <c r="C199" s="22">
        <f t="shared" si="10"/>
        <v>911.0302668</v>
      </c>
      <c r="D199" s="25">
        <f>IFERROR(__xludf.DUMMYFUNCTION("""COMPUTED_VALUE"""),37519.99861111111)</f>
        <v>37519.99861</v>
      </c>
      <c r="E199" s="22">
        <f>IFERROR(__xludf.DUMMYFUNCTION("""COMPUTED_VALUE"""),0.9822)</f>
        <v>0.9822</v>
      </c>
      <c r="F199" s="22">
        <f t="shared" si="11"/>
        <v>88.12162757</v>
      </c>
      <c r="G199" s="22">
        <f t="shared" si="79"/>
        <v>-25.36163861</v>
      </c>
    </row>
    <row r="200" ht="15.75" customHeight="1">
      <c r="A200" s="32">
        <f>IFERROR(__xludf.DUMMYFUNCTION("""COMPUTED_VALUE"""),37526.666666666664)</f>
        <v>37526.66667</v>
      </c>
      <c r="B200" s="22">
        <f>IFERROR(__xludf.DUMMYFUNCTION("""COMPUTED_VALUE"""),827.36)</f>
        <v>827.36</v>
      </c>
      <c r="C200" s="22">
        <f t="shared" si="10"/>
        <v>891.9507245</v>
      </c>
      <c r="D200" s="25">
        <f>IFERROR(__xludf.DUMMYFUNCTION("""COMPUTED_VALUE"""),37526.99861111111)</f>
        <v>37526.99861</v>
      </c>
      <c r="E200" s="22">
        <f>IFERROR(__xludf.DUMMYFUNCTION("""COMPUTED_VALUE"""),0.9788)</f>
        <v>0.9788</v>
      </c>
      <c r="F200" s="22">
        <f t="shared" si="11"/>
        <v>86.5758045</v>
      </c>
      <c r="G200" s="22">
        <f t="shared" si="79"/>
        <v>-24.91801601</v>
      </c>
    </row>
    <row r="201" ht="15.75" customHeight="1">
      <c r="A201" s="32">
        <f>IFERROR(__xludf.DUMMYFUNCTION("""COMPUTED_VALUE"""),37533.666666666664)</f>
        <v>37533.66667</v>
      </c>
      <c r="B201" s="22">
        <f>IFERROR(__xludf.DUMMYFUNCTION("""COMPUTED_VALUE"""),800.62)</f>
        <v>800.62</v>
      </c>
      <c r="C201" s="22">
        <f t="shared" si="10"/>
        <v>863.4662318</v>
      </c>
      <c r="D201" s="25">
        <f>IFERROR(__xludf.DUMMYFUNCTION("""COMPUTED_VALUE"""),37533.99861111111)</f>
        <v>37533.99861</v>
      </c>
      <c r="E201" s="22">
        <f>IFERROR(__xludf.DUMMYFUNCTION("""COMPUTED_VALUE"""),0.9789)</f>
        <v>0.9789</v>
      </c>
      <c r="F201" s="22">
        <f t="shared" si="11"/>
        <v>83.80243993</v>
      </c>
      <c r="G201" s="22">
        <f t="shared" si="79"/>
        <v>-30.9131396</v>
      </c>
    </row>
    <row r="202" ht="15.75" customHeight="1">
      <c r="A202" s="32">
        <f>IFERROR(__xludf.DUMMYFUNCTION("""COMPUTED_VALUE"""),37540.666666666664)</f>
        <v>37540.66667</v>
      </c>
      <c r="B202" s="22">
        <f>IFERROR(__xludf.DUMMYFUNCTION("""COMPUTED_VALUE"""),835.32)</f>
        <v>835.32</v>
      </c>
      <c r="C202" s="22">
        <f t="shared" si="10"/>
        <v>901.2221785</v>
      </c>
      <c r="D202" s="25">
        <f>IFERROR(__xludf.DUMMYFUNCTION("""COMPUTED_VALUE"""),37540.99861111111)</f>
        <v>37540.99861</v>
      </c>
      <c r="E202" s="22">
        <f>IFERROR(__xludf.DUMMYFUNCTION("""COMPUTED_VALUE"""),0.987)</f>
        <v>0.987</v>
      </c>
      <c r="F202" s="22">
        <f t="shared" si="11"/>
        <v>86.74897504</v>
      </c>
      <c r="G202" s="22">
        <f t="shared" si="79"/>
        <v>-21.7781574</v>
      </c>
    </row>
    <row r="203" ht="15.75" customHeight="1">
      <c r="A203" s="32">
        <f>IFERROR(__xludf.DUMMYFUNCTION("""COMPUTED_VALUE"""),37547.666666666664)</f>
        <v>37547.66667</v>
      </c>
      <c r="B203" s="22">
        <f>IFERROR(__xludf.DUMMYFUNCTION("""COMPUTED_VALUE"""),884.38)</f>
        <v>884.38</v>
      </c>
      <c r="C203" s="22">
        <f t="shared" si="10"/>
        <v>954.499368</v>
      </c>
      <c r="D203" s="25">
        <f>IFERROR(__xludf.DUMMYFUNCTION("""COMPUTED_VALUE"""),37547.99861111111)</f>
        <v>37547.99861</v>
      </c>
      <c r="E203" s="22">
        <f>IFERROR(__xludf.DUMMYFUNCTION("""COMPUTED_VALUE"""),0.9715)</f>
        <v>0.9715</v>
      </c>
      <c r="F203" s="22">
        <f t="shared" si="11"/>
        <v>93.34315463</v>
      </c>
      <c r="G203" s="22">
        <f t="shared" si="79"/>
        <v>-20.54268688</v>
      </c>
    </row>
    <row r="204" ht="15.75" customHeight="1">
      <c r="A204" s="32">
        <f>IFERROR(__xludf.DUMMYFUNCTION("""COMPUTED_VALUE"""),37554.666666666664)</f>
        <v>37554.66667</v>
      </c>
      <c r="B204" s="22">
        <f>IFERROR(__xludf.DUMMYFUNCTION("""COMPUTED_VALUE"""),897.65)</f>
        <v>897.65</v>
      </c>
      <c r="C204" s="22">
        <f t="shared" si="10"/>
        <v>969.1886146</v>
      </c>
      <c r="D204" s="25">
        <f>IFERROR(__xludf.DUMMYFUNCTION("""COMPUTED_VALUE"""),37554.99861111111)</f>
        <v>37554.99861</v>
      </c>
      <c r="E204" s="22">
        <f>IFERROR(__xludf.DUMMYFUNCTION("""COMPUTED_VALUE"""),0.9765)</f>
        <v>0.9765</v>
      </c>
      <c r="F204" s="22">
        <f t="shared" si="11"/>
        <v>94.29435411</v>
      </c>
      <c r="G204" s="22">
        <f t="shared" si="79"/>
        <v>-24.55915873</v>
      </c>
    </row>
    <row r="205" ht="15.75" customHeight="1">
      <c r="A205" s="32">
        <f>IFERROR(__xludf.DUMMYFUNCTION("""COMPUTED_VALUE"""),37561.666666666664)</f>
        <v>37561.66667</v>
      </c>
      <c r="B205" s="22">
        <f>IFERROR(__xludf.DUMMYFUNCTION("""COMPUTED_VALUE"""),900.96)</f>
        <v>900.96</v>
      </c>
      <c r="C205" s="22">
        <f t="shared" si="10"/>
        <v>973.1351714</v>
      </c>
      <c r="D205" s="25">
        <f>IFERROR(__xludf.DUMMYFUNCTION("""COMPUTED_VALUE"""),37561.99861111111)</f>
        <v>37561.99861</v>
      </c>
      <c r="E205" s="22">
        <f>IFERROR(__xludf.DUMMYFUNCTION("""COMPUTED_VALUE"""),0.996)</f>
        <v>0.996</v>
      </c>
      <c r="F205" s="22">
        <f t="shared" si="11"/>
        <v>92.82468088</v>
      </c>
      <c r="G205" s="22">
        <f t="shared" si="79"/>
        <v>-26.78934897</v>
      </c>
    </row>
    <row r="206" ht="15.75" customHeight="1">
      <c r="A206" s="32">
        <f>IFERROR(__xludf.DUMMYFUNCTION("""COMPUTED_VALUE"""),37568.666666666664)</f>
        <v>37568.66667</v>
      </c>
      <c r="B206" s="22">
        <f>IFERROR(__xludf.DUMMYFUNCTION("""COMPUTED_VALUE"""),894.73)</f>
        <v>894.73</v>
      </c>
      <c r="C206" s="22">
        <f t="shared" si="10"/>
        <v>966.7803739</v>
      </c>
      <c r="D206" s="25">
        <f>IFERROR(__xludf.DUMMYFUNCTION("""COMPUTED_VALUE"""),37568.99861111111)</f>
        <v>37568.99861</v>
      </c>
      <c r="E206" s="22">
        <f>IFERROR(__xludf.DUMMYFUNCTION("""COMPUTED_VALUE"""),1.0163)</f>
        <v>1.0163</v>
      </c>
      <c r="F206" s="22">
        <f t="shared" si="11"/>
        <v>90.37650321</v>
      </c>
      <c r="G206" s="22">
        <f t="shared" si="79"/>
        <v>-30.90213897</v>
      </c>
    </row>
    <row r="207" ht="15.75" customHeight="1">
      <c r="A207" s="32">
        <f>IFERROR(__xludf.DUMMYFUNCTION("""COMPUTED_VALUE"""),37575.666666666664)</f>
        <v>37575.66667</v>
      </c>
      <c r="B207" s="22">
        <f>IFERROR(__xludf.DUMMYFUNCTION("""COMPUTED_VALUE"""),909.74)</f>
        <v>909.74</v>
      </c>
      <c r="C207" s="22">
        <f t="shared" si="10"/>
        <v>983.3709304</v>
      </c>
      <c r="D207" s="25">
        <f>IFERROR(__xludf.DUMMYFUNCTION("""COMPUTED_VALUE"""),37575.99861111111)</f>
        <v>37575.99861</v>
      </c>
      <c r="E207" s="22">
        <f>IFERROR(__xludf.DUMMYFUNCTION("""COMPUTED_VALUE"""),1.0095)</f>
        <v>1.0095</v>
      </c>
      <c r="F207" s="22">
        <f t="shared" si="11"/>
        <v>92.54664441</v>
      </c>
      <c r="G207" s="22">
        <f t="shared" si="79"/>
        <v>-30.84468515</v>
      </c>
    </row>
    <row r="208" ht="15.75" customHeight="1">
      <c r="A208" s="32">
        <f>IFERROR(__xludf.DUMMYFUNCTION("""COMPUTED_VALUE"""),37582.666666666664)</f>
        <v>37582.66667</v>
      </c>
      <c r="B208" s="22">
        <f>IFERROR(__xludf.DUMMYFUNCTION("""COMPUTED_VALUE"""),930.55)</f>
        <v>930.55</v>
      </c>
      <c r="C208" s="22">
        <f t="shared" si="10"/>
        <v>1006.243433</v>
      </c>
      <c r="D208" s="25">
        <f>IFERROR(__xludf.DUMMYFUNCTION("""COMPUTED_VALUE"""),37582.99861111111)</f>
        <v>37582.99861</v>
      </c>
      <c r="E208" s="22">
        <f>IFERROR(__xludf.DUMMYFUNCTION("""COMPUTED_VALUE"""),0.9967)</f>
        <v>0.9967</v>
      </c>
      <c r="F208" s="22">
        <f t="shared" si="11"/>
        <v>95.91537626</v>
      </c>
      <c r="G208" s="22">
        <f t="shared" si="79"/>
        <v>-28.81676558</v>
      </c>
    </row>
    <row r="209" ht="15.75" customHeight="1">
      <c r="A209" s="32">
        <f>IFERROR(__xludf.DUMMYFUNCTION("""COMPUTED_VALUE"""),37589.666666666664)</f>
        <v>37589.66667</v>
      </c>
      <c r="B209" s="22">
        <f>IFERROR(__xludf.DUMMYFUNCTION("""COMPUTED_VALUE"""),936.31)</f>
        <v>936.31</v>
      </c>
      <c r="C209" s="22">
        <f t="shared" si="10"/>
        <v>1012.858984</v>
      </c>
      <c r="D209" s="25">
        <f>IFERROR(__xludf.DUMMYFUNCTION("""COMPUTED_VALUE"""),37589.99861111111)</f>
        <v>37589.99861</v>
      </c>
      <c r="E209" s="22">
        <f>IFERROR(__xludf.DUMMYFUNCTION("""COMPUTED_VALUE"""),0.9938)</f>
        <v>0.9938</v>
      </c>
      <c r="F209" s="22">
        <f t="shared" si="11"/>
        <v>96.82770224</v>
      </c>
      <c r="G209" s="22">
        <f t="shared" si="79"/>
        <v>-29.98727294</v>
      </c>
    </row>
    <row r="210" ht="15.75" customHeight="1">
      <c r="A210" s="32">
        <f>IFERROR(__xludf.DUMMYFUNCTION("""COMPUTED_VALUE"""),37596.666666666664)</f>
        <v>37596.66667</v>
      </c>
      <c r="B210" s="22">
        <f>IFERROR(__xludf.DUMMYFUNCTION("""COMPUTED_VALUE"""),912.23)</f>
        <v>912.23</v>
      </c>
      <c r="C210" s="22">
        <f t="shared" si="10"/>
        <v>987.1998596</v>
      </c>
      <c r="D210" s="25">
        <f>IFERROR(__xludf.DUMMYFUNCTION("""COMPUTED_VALUE"""),37596.99861111111)</f>
        <v>37596.99861</v>
      </c>
      <c r="E210" s="22">
        <f>IFERROR(__xludf.DUMMYFUNCTION("""COMPUTED_VALUE"""),1.0091)</f>
        <v>1.0091</v>
      </c>
      <c r="F210" s="22">
        <f t="shared" si="11"/>
        <v>92.94381887</v>
      </c>
      <c r="G210" s="22">
        <f t="shared" si="79"/>
        <v>-31.36656013</v>
      </c>
    </row>
    <row r="211" ht="15.75" customHeight="1">
      <c r="A211" s="32">
        <f>IFERROR(__xludf.DUMMYFUNCTION("""COMPUTED_VALUE"""),37603.666666666664)</f>
        <v>37603.66667</v>
      </c>
      <c r="B211" s="22">
        <f>IFERROR(__xludf.DUMMYFUNCTION("""COMPUTED_VALUE"""),889.48)</f>
        <v>889.48</v>
      </c>
      <c r="C211" s="22">
        <f t="shared" si="10"/>
        <v>962.9598871</v>
      </c>
      <c r="D211" s="25">
        <f>IFERROR(__xludf.DUMMYFUNCTION("""COMPUTED_VALUE"""),37603.99861111111)</f>
        <v>37603.99861</v>
      </c>
      <c r="E211" s="22">
        <f>IFERROR(__xludf.DUMMYFUNCTION("""COMPUTED_VALUE"""),1.0238)</f>
        <v>1.0238</v>
      </c>
      <c r="F211" s="22">
        <f t="shared" si="11"/>
        <v>89.35990643</v>
      </c>
      <c r="G211" s="22">
        <f t="shared" si="79"/>
        <v>-34.60155938</v>
      </c>
    </row>
    <row r="212" ht="15.75" customHeight="1">
      <c r="A212" s="32">
        <f>IFERROR(__xludf.DUMMYFUNCTION("""COMPUTED_VALUE"""),37610.666666666664)</f>
        <v>37610.66667</v>
      </c>
      <c r="B212" s="22">
        <f>IFERROR(__xludf.DUMMYFUNCTION("""COMPUTED_VALUE"""),895.76)</f>
        <v>895.76</v>
      </c>
      <c r="C212" s="22">
        <f t="shared" si="10"/>
        <v>970.1290467</v>
      </c>
      <c r="D212" s="25">
        <f>IFERROR(__xludf.DUMMYFUNCTION("""COMPUTED_VALUE"""),37610.99861111111)</f>
        <v>37610.99861</v>
      </c>
      <c r="E212" s="22">
        <f>IFERROR(__xludf.DUMMYFUNCTION("""COMPUTED_VALUE"""),1.026)</f>
        <v>1.026</v>
      </c>
      <c r="F212" s="22">
        <f t="shared" si="11"/>
        <v>89.83214736</v>
      </c>
      <c r="G212" s="22">
        <f t="shared" si="79"/>
        <v>-35.57909462</v>
      </c>
    </row>
    <row r="213" ht="15.75" customHeight="1">
      <c r="A213" s="32">
        <f>IFERROR(__xludf.DUMMYFUNCTION("""COMPUTED_VALUE"""),37617.666666666664)</f>
        <v>37617.66667</v>
      </c>
      <c r="B213" s="22">
        <f>IFERROR(__xludf.DUMMYFUNCTION("""COMPUTED_VALUE"""),875.4)</f>
        <v>875.4</v>
      </c>
      <c r="C213" s="22">
        <f t="shared" si="10"/>
        <v>948.4518167</v>
      </c>
      <c r="D213" s="25">
        <f>IFERROR(__xludf.DUMMYFUNCTION("""COMPUTED_VALUE"""),37617.99861111111)</f>
        <v>37617.99861</v>
      </c>
      <c r="E213" s="22">
        <f>IFERROR(__xludf.DUMMYFUNCTION("""COMPUTED_VALUE"""),1.0442)</f>
        <v>1.0442</v>
      </c>
      <c r="F213" s="22">
        <f t="shared" si="11"/>
        <v>86.29412269</v>
      </c>
      <c r="G213" s="22">
        <f t="shared" si="79"/>
        <v>-39.0901294</v>
      </c>
    </row>
    <row r="214" ht="15.75" customHeight="1">
      <c r="A214" s="32">
        <f>IFERROR(__xludf.DUMMYFUNCTION("""COMPUTED_VALUE"""),37624.666666666664)</f>
        <v>37624.66667</v>
      </c>
      <c r="B214" s="22">
        <f>IFERROR(__xludf.DUMMYFUNCTION("""COMPUTED_VALUE"""),908.59)</f>
        <v>908.59</v>
      </c>
      <c r="C214" s="22">
        <f t="shared" si="10"/>
        <v>984.7762995</v>
      </c>
      <c r="D214" s="25">
        <f>IFERROR(__xludf.DUMMYFUNCTION("""COMPUTED_VALUE"""),37624.99861111111)</f>
        <v>37624.99861</v>
      </c>
      <c r="E214" s="22">
        <f>IFERROR(__xludf.DUMMYFUNCTION("""COMPUTED_VALUE"""),1.0423)</f>
        <v>1.0423</v>
      </c>
      <c r="F214" s="22">
        <f t="shared" si="11"/>
        <v>89.76240584</v>
      </c>
      <c r="G214" s="22">
        <f t="shared" si="79"/>
        <v>-33.87235068</v>
      </c>
    </row>
    <row r="215" ht="15.75" customHeight="1">
      <c r="A215" s="32">
        <f>IFERROR(__xludf.DUMMYFUNCTION("""COMPUTED_VALUE"""),37631.666666666664)</f>
        <v>37631.66667</v>
      </c>
      <c r="B215" s="22">
        <f>IFERROR(__xludf.DUMMYFUNCTION("""COMPUTED_VALUE"""),927.57)</f>
        <v>927.57</v>
      </c>
      <c r="C215" s="22">
        <f t="shared" si="10"/>
        <v>1005.726554</v>
      </c>
      <c r="D215" s="25">
        <f>IFERROR(__xludf.DUMMYFUNCTION("""COMPUTED_VALUE"""),37631.99861111111)</f>
        <v>37631.99861</v>
      </c>
      <c r="E215" s="22">
        <f>IFERROR(__xludf.DUMMYFUNCTION("""COMPUTED_VALUE"""),1.0571)</f>
        <v>1.0571</v>
      </c>
      <c r="F215" s="22">
        <f t="shared" si="11"/>
        <v>90.38856218</v>
      </c>
      <c r="G215" s="22">
        <f t="shared" si="79"/>
        <v>-35.63240305</v>
      </c>
    </row>
    <row r="216" ht="15.75" customHeight="1">
      <c r="A216" s="32">
        <f>IFERROR(__xludf.DUMMYFUNCTION("""COMPUTED_VALUE"""),37638.666666666664)</f>
        <v>37638.66667</v>
      </c>
      <c r="B216" s="22">
        <f>IFERROR(__xludf.DUMMYFUNCTION("""COMPUTED_VALUE"""),901.78)</f>
        <v>901.78</v>
      </c>
      <c r="C216" s="22">
        <f t="shared" si="10"/>
        <v>978.1503203</v>
      </c>
      <c r="D216" s="25">
        <f>IFERROR(__xludf.DUMMYFUNCTION("""COMPUTED_VALUE"""),37638.99861111111)</f>
        <v>37638.99861</v>
      </c>
      <c r="E216" s="22">
        <f>IFERROR(__xludf.DUMMYFUNCTION("""COMPUTED_VALUE"""),1.067)</f>
        <v>1.067</v>
      </c>
      <c r="F216" s="22">
        <f t="shared" si="11"/>
        <v>87.0945172</v>
      </c>
      <c r="G216" s="22">
        <f t="shared" si="79"/>
        <v>-37.19620859</v>
      </c>
    </row>
    <row r="217" ht="15.75" customHeight="1">
      <c r="A217" s="32">
        <f>IFERROR(__xludf.DUMMYFUNCTION("""COMPUTED_VALUE"""),37645.666666666664)</f>
        <v>37645.66667</v>
      </c>
      <c r="B217" s="22">
        <f>IFERROR(__xludf.DUMMYFUNCTION("""COMPUTED_VALUE"""),861.4)</f>
        <v>861.4</v>
      </c>
      <c r="C217" s="22">
        <f t="shared" si="10"/>
        <v>934.7268137</v>
      </c>
      <c r="D217" s="25">
        <f>IFERROR(__xludf.DUMMYFUNCTION("""COMPUTED_VALUE"""),37645.99861111111)</f>
        <v>37645.99861</v>
      </c>
      <c r="E217" s="22">
        <f>IFERROR(__xludf.DUMMYFUNCTION("""COMPUTED_VALUE"""),1.0826)</f>
        <v>1.0826</v>
      </c>
      <c r="F217" s="22">
        <f t="shared" si="11"/>
        <v>82.02879132</v>
      </c>
      <c r="G217" s="22">
        <f t="shared" si="79"/>
        <v>-39.39361165</v>
      </c>
    </row>
    <row r="218" ht="15.75" customHeight="1">
      <c r="A218" s="32">
        <f>IFERROR(__xludf.DUMMYFUNCTION("""COMPUTED_VALUE"""),37652.666666666664)</f>
        <v>37652.66667</v>
      </c>
      <c r="B218" s="22">
        <f>IFERROR(__xludf.DUMMYFUNCTION("""COMPUTED_VALUE"""),855.7)</f>
        <v>855.7</v>
      </c>
      <c r="C218" s="22">
        <f t="shared" si="10"/>
        <v>928.9011106</v>
      </c>
      <c r="D218" s="25">
        <f>IFERROR(__xludf.DUMMYFUNCTION("""COMPUTED_VALUE"""),37652.99861111111)</f>
        <v>37652.99861</v>
      </c>
      <c r="E218" s="22">
        <f>IFERROR(__xludf.DUMMYFUNCTION("""COMPUTED_VALUE"""),1.0769)</f>
        <v>1.0769</v>
      </c>
      <c r="F218" s="22">
        <f t="shared" si="11"/>
        <v>81.94901524</v>
      </c>
      <c r="G218" s="22">
        <f t="shared" si="79"/>
        <v>-41.8066982</v>
      </c>
    </row>
    <row r="219" ht="15.75" customHeight="1">
      <c r="A219" s="32">
        <f>IFERROR(__xludf.DUMMYFUNCTION("""COMPUTED_VALUE"""),37659.666666666664)</f>
        <v>37659.66667</v>
      </c>
      <c r="B219" s="22">
        <f>IFERROR(__xludf.DUMMYFUNCTION("""COMPUTED_VALUE"""),829.69)</f>
        <v>829.69</v>
      </c>
      <c r="C219" s="22">
        <f t="shared" si="10"/>
        <v>901.0233471</v>
      </c>
      <c r="D219" s="25">
        <f>IFERROR(__xludf.DUMMYFUNCTION("""COMPUTED_VALUE"""),37659.99861111111)</f>
        <v>37659.99861</v>
      </c>
      <c r="E219" s="22">
        <f>IFERROR(__xludf.DUMMYFUNCTION("""COMPUTED_VALUE"""),1.0816)</f>
        <v>1.0816</v>
      </c>
      <c r="F219" s="22">
        <f t="shared" si="11"/>
        <v>79.14418292</v>
      </c>
      <c r="G219" s="22">
        <f t="shared" si="79"/>
        <v>-41.97679134</v>
      </c>
    </row>
    <row r="220" ht="15.75" customHeight="1">
      <c r="A220" s="32">
        <f>IFERROR(__xludf.DUMMYFUNCTION("""COMPUTED_VALUE"""),37666.666666666664)</f>
        <v>37666.66667</v>
      </c>
      <c r="B220" s="22">
        <f>IFERROR(__xludf.DUMMYFUNCTION("""COMPUTED_VALUE"""),834.89)</f>
        <v>834.89</v>
      </c>
      <c r="C220" s="22">
        <f t="shared" si="10"/>
        <v>907.0169692</v>
      </c>
      <c r="D220" s="25">
        <f>IFERROR(__xludf.DUMMYFUNCTION("""COMPUTED_VALUE"""),37666.99861111111)</f>
        <v>37666.99861</v>
      </c>
      <c r="E220" s="22">
        <f>IFERROR(__xludf.DUMMYFUNCTION("""COMPUTED_VALUE"""),1.079)</f>
        <v>1.079</v>
      </c>
      <c r="F220" s="22">
        <f t="shared" si="11"/>
        <v>79.8626288</v>
      </c>
      <c r="G220" s="22">
        <f t="shared" si="79"/>
        <v>-39.84759401</v>
      </c>
    </row>
    <row r="221" ht="15.75" customHeight="1">
      <c r="A221" s="32">
        <f>IFERROR(__xludf.DUMMYFUNCTION("""COMPUTED_VALUE"""),37673.666666666664)</f>
        <v>37673.66667</v>
      </c>
      <c r="B221" s="22">
        <f>IFERROR(__xludf.DUMMYFUNCTION("""COMPUTED_VALUE"""),848.17)</f>
        <v>848.17</v>
      </c>
      <c r="C221" s="22">
        <f t="shared" si="10"/>
        <v>921.7930942</v>
      </c>
      <c r="D221" s="25">
        <f>IFERROR(__xludf.DUMMYFUNCTION("""COMPUTED_VALUE"""),37673.99861111111)</f>
        <v>37673.99861</v>
      </c>
      <c r="E221" s="22">
        <f>IFERROR(__xludf.DUMMYFUNCTION("""COMPUTED_VALUE"""),1.076)</f>
        <v>1.076</v>
      </c>
      <c r="F221" s="22">
        <f t="shared" si="11"/>
        <v>81.38995584</v>
      </c>
      <c r="G221" s="22">
        <f t="shared" si="79"/>
        <v>-38.82124514</v>
      </c>
    </row>
    <row r="222" ht="15.75" customHeight="1">
      <c r="A222" s="32">
        <f>IFERROR(__xludf.DUMMYFUNCTION("""COMPUTED_VALUE"""),37680.666666666664)</f>
        <v>37680.66667</v>
      </c>
      <c r="B222" s="22">
        <f>IFERROR(__xludf.DUMMYFUNCTION("""COMPUTED_VALUE"""),841.15)</f>
        <v>841.15</v>
      </c>
      <c r="C222" s="22">
        <f t="shared" si="10"/>
        <v>914.5182779</v>
      </c>
      <c r="D222" s="25">
        <f>IFERROR(__xludf.DUMMYFUNCTION("""COMPUTED_VALUE"""),37680.99861111111)</f>
        <v>37680.99861</v>
      </c>
      <c r="E222" s="22">
        <f>IFERROR(__xludf.DUMMYFUNCTION("""COMPUTED_VALUE"""),1.0804)</f>
        <v>1.0804</v>
      </c>
      <c r="F222" s="22">
        <f t="shared" si="11"/>
        <v>80.41877408</v>
      </c>
      <c r="G222" s="22">
        <f t="shared" si="79"/>
        <v>-43.5634082</v>
      </c>
    </row>
    <row r="223" ht="15.75" customHeight="1">
      <c r="A223" s="32">
        <f>IFERROR(__xludf.DUMMYFUNCTION("""COMPUTED_VALUE"""),37687.666666666664)</f>
        <v>37687.66667</v>
      </c>
      <c r="B223" s="22">
        <f>IFERROR(__xludf.DUMMYFUNCTION("""COMPUTED_VALUE"""),828.89)</f>
        <v>828.89</v>
      </c>
      <c r="C223" s="22">
        <f t="shared" si="10"/>
        <v>901.5406523</v>
      </c>
      <c r="D223" s="25">
        <f>IFERROR(__xludf.DUMMYFUNCTION("""COMPUTED_VALUE"""),37687.99861111111)</f>
        <v>37687.99861</v>
      </c>
      <c r="E223" s="22">
        <f>IFERROR(__xludf.DUMMYFUNCTION("""COMPUTED_VALUE"""),1.1008)</f>
        <v>1.1008</v>
      </c>
      <c r="F223" s="22">
        <f t="shared" si="11"/>
        <v>77.80840769</v>
      </c>
      <c r="G223" s="22">
        <f t="shared" si="79"/>
        <v>-44.75020068</v>
      </c>
    </row>
    <row r="224" ht="15.75" customHeight="1">
      <c r="A224" s="32">
        <f>IFERROR(__xludf.DUMMYFUNCTION("""COMPUTED_VALUE"""),37694.666666666664)</f>
        <v>37694.66667</v>
      </c>
      <c r="B224" s="22">
        <f>IFERROR(__xludf.DUMMYFUNCTION("""COMPUTED_VALUE"""),833.27)</f>
        <v>833.27</v>
      </c>
      <c r="C224" s="22">
        <f t="shared" si="10"/>
        <v>906.6512974</v>
      </c>
      <c r="D224" s="25">
        <f>IFERROR(__xludf.DUMMYFUNCTION("""COMPUTED_VALUE"""),37694.99861111111)</f>
        <v>37694.99861</v>
      </c>
      <c r="E224" s="22">
        <f>IFERROR(__xludf.DUMMYFUNCTION("""COMPUTED_VALUE"""),1.074)</f>
        <v>1.074</v>
      </c>
      <c r="F224" s="22">
        <f t="shared" si="11"/>
        <v>80.20208155</v>
      </c>
      <c r="G224" s="22">
        <f t="shared" si="79"/>
        <v>-45.38092342</v>
      </c>
    </row>
    <row r="225" ht="15.75" customHeight="1">
      <c r="A225" s="32">
        <f>IFERROR(__xludf.DUMMYFUNCTION("""COMPUTED_VALUE"""),37701.666666666664)</f>
        <v>37701.66667</v>
      </c>
      <c r="B225" s="22">
        <f>IFERROR(__xludf.DUMMYFUNCTION("""COMPUTED_VALUE"""),895.9)</f>
        <v>895.9</v>
      </c>
      <c r="C225" s="22">
        <f t="shared" si="10"/>
        <v>975.1454734</v>
      </c>
      <c r="D225" s="25">
        <f>IFERROR(__xludf.DUMMYFUNCTION("""COMPUTED_VALUE"""),37701.99861111111)</f>
        <v>37701.99861</v>
      </c>
      <c r="E225" s="22">
        <f>IFERROR(__xludf.DUMMYFUNCTION("""COMPUTED_VALUE"""),1.052)</f>
        <v>1.052</v>
      </c>
      <c r="F225" s="22">
        <f t="shared" si="11"/>
        <v>88.06499268</v>
      </c>
      <c r="G225" s="22">
        <f t="shared" si="79"/>
        <v>-42.15053742</v>
      </c>
    </row>
    <row r="226" ht="15.75" customHeight="1">
      <c r="A226" s="32">
        <f>IFERROR(__xludf.DUMMYFUNCTION("""COMPUTED_VALUE"""),37708.666666666664)</f>
        <v>37708.66667</v>
      </c>
      <c r="B226" s="22">
        <f>IFERROR(__xludf.DUMMYFUNCTION("""COMPUTED_VALUE"""),863.5)</f>
        <v>863.5</v>
      </c>
      <c r="C226" s="22">
        <f t="shared" si="10"/>
        <v>940.2546366</v>
      </c>
      <c r="D226" s="25">
        <f>IFERROR(__xludf.DUMMYFUNCTION("""COMPUTED_VALUE"""),37708.99861111111)</f>
        <v>37708.99861</v>
      </c>
      <c r="E226" s="22">
        <f>IFERROR(__xludf.DUMMYFUNCTION("""COMPUTED_VALUE"""),1.0776)</f>
        <v>1.0776</v>
      </c>
      <c r="F226" s="22">
        <f t="shared" si="11"/>
        <v>82.89675588</v>
      </c>
      <c r="G226" s="22">
        <f t="shared" si="79"/>
        <v>-45.71324447</v>
      </c>
    </row>
    <row r="227" ht="15.75" customHeight="1">
      <c r="A227" s="32">
        <f>IFERROR(__xludf.DUMMYFUNCTION("""COMPUTED_VALUE"""),37715.666666666664)</f>
        <v>37715.66667</v>
      </c>
      <c r="B227" s="22">
        <f>IFERROR(__xludf.DUMMYFUNCTION("""COMPUTED_VALUE"""),878.85)</f>
        <v>878.85</v>
      </c>
      <c r="C227" s="22">
        <f t="shared" si="10"/>
        <v>957.3307011</v>
      </c>
      <c r="D227" s="25">
        <f>IFERROR(__xludf.DUMMYFUNCTION("""COMPUTED_VALUE"""),37715.99861111111)</f>
        <v>37715.99861</v>
      </c>
      <c r="E227" s="22">
        <f>IFERROR(__xludf.DUMMYFUNCTION("""COMPUTED_VALUE"""),1.0732)</f>
        <v>1.0732</v>
      </c>
      <c r="F227" s="22">
        <f t="shared" si="11"/>
        <v>84.74829248</v>
      </c>
      <c r="G227" s="22">
        <f t="shared" si="79"/>
        <v>-45.24078692</v>
      </c>
    </row>
    <row r="228" ht="15.75" customHeight="1">
      <c r="A228" s="32">
        <f>IFERROR(__xludf.DUMMYFUNCTION("""COMPUTED_VALUE"""),37722.666666666664)</f>
        <v>37722.66667</v>
      </c>
      <c r="B228" s="22">
        <f>IFERROR(__xludf.DUMMYFUNCTION("""COMPUTED_VALUE"""),868.3)</f>
        <v>868.3</v>
      </c>
      <c r="C228" s="22">
        <f t="shared" si="10"/>
        <v>946.2067975</v>
      </c>
      <c r="D228" s="25">
        <f>IFERROR(__xludf.DUMMYFUNCTION("""COMPUTED_VALUE"""),37722.99861111111)</f>
        <v>37722.99861</v>
      </c>
      <c r="E228" s="22">
        <f>IFERROR(__xludf.DUMMYFUNCTION("""COMPUTED_VALUE"""),1.0753)</f>
        <v>1.0753</v>
      </c>
      <c r="F228" s="22">
        <f t="shared" si="11"/>
        <v>83.59995658</v>
      </c>
      <c r="G228" s="22">
        <f t="shared" si="79"/>
        <v>-39.3222568</v>
      </c>
    </row>
    <row r="229" ht="15.75" customHeight="1">
      <c r="A229" s="32">
        <f>IFERROR(__xludf.DUMMYFUNCTION("""COMPUTED_VALUE"""),37728.666666666664)</f>
        <v>37728.66667</v>
      </c>
      <c r="B229" s="22">
        <f>IFERROR(__xludf.DUMMYFUNCTION("""COMPUTED_VALUE"""),893.58)</f>
        <v>893.58</v>
      </c>
      <c r="C229" s="22">
        <f t="shared" si="10"/>
        <v>974.1189298</v>
      </c>
      <c r="D229" s="25">
        <f>IFERROR(__xludf.DUMMYFUNCTION("""COMPUTED_VALUE"""),37729.99861111111)</f>
        <v>37729.99861</v>
      </c>
      <c r="E229" s="22">
        <f>IFERROR(__xludf.DUMMYFUNCTION("""COMPUTED_VALUE"""),1.0885)</f>
        <v>1.0885</v>
      </c>
      <c r="F229" s="22">
        <f t="shared" si="11"/>
        <v>85.02236546</v>
      </c>
      <c r="G229" s="22">
        <f t="shared" si="79"/>
        <v>-43.02255546</v>
      </c>
    </row>
    <row r="230" ht="15.75" customHeight="1">
      <c r="A230" s="32">
        <f>IFERROR(__xludf.DUMMYFUNCTION("""COMPUTED_VALUE"""),37736.666666666664)</f>
        <v>37736.66667</v>
      </c>
      <c r="B230" s="22">
        <f>IFERROR(__xludf.DUMMYFUNCTION("""COMPUTED_VALUE"""),898.81)</f>
        <v>898.81</v>
      </c>
      <c r="C230" s="22">
        <f t="shared" si="10"/>
        <v>980.1949742</v>
      </c>
      <c r="D230" s="25">
        <f>IFERROR(__xludf.DUMMYFUNCTION("""COMPUTED_VALUE"""),37736.99861111111)</f>
        <v>37736.99861</v>
      </c>
      <c r="E230" s="22">
        <f>IFERROR(__xludf.DUMMYFUNCTION("""COMPUTED_VALUE"""),1.1036)</f>
        <v>1.1036</v>
      </c>
      <c r="F230" s="22">
        <f t="shared" si="11"/>
        <v>84.38211636</v>
      </c>
      <c r="G230" s="22">
        <f t="shared" si="79"/>
        <v>-45.73520558</v>
      </c>
    </row>
    <row r="231" ht="15.75" customHeight="1">
      <c r="A231" s="32">
        <f>IFERROR(__xludf.DUMMYFUNCTION("""COMPUTED_VALUE"""),37743.666666666664)</f>
        <v>37743.66667</v>
      </c>
      <c r="B231" s="22">
        <f>IFERROR(__xludf.DUMMYFUNCTION("""COMPUTED_VALUE"""),930.08)</f>
        <v>930.08</v>
      </c>
      <c r="C231" s="22">
        <f t="shared" si="10"/>
        <v>1014.673392</v>
      </c>
      <c r="D231" s="25">
        <f>IFERROR(__xludf.DUMMYFUNCTION("""COMPUTED_VALUE"""),37743.99861111111)</f>
        <v>37743.99861</v>
      </c>
      <c r="E231" s="22">
        <f>IFERROR(__xludf.DUMMYFUNCTION("""COMPUTED_VALUE"""),1.1228)</f>
        <v>1.1228</v>
      </c>
      <c r="F231" s="22">
        <f t="shared" si="11"/>
        <v>85.85656359</v>
      </c>
      <c r="G231" s="22">
        <f t="shared" si="79"/>
        <v>-44.8563215</v>
      </c>
    </row>
    <row r="232" ht="15.75" customHeight="1">
      <c r="A232" s="32">
        <f>IFERROR(__xludf.DUMMYFUNCTION("""COMPUTED_VALUE"""),37750.666666666664)</f>
        <v>37750.66667</v>
      </c>
      <c r="B232" s="22">
        <f>IFERROR(__xludf.DUMMYFUNCTION("""COMPUTED_VALUE"""),933.41)</f>
        <v>933.41</v>
      </c>
      <c r="C232" s="22">
        <f t="shared" si="10"/>
        <v>1018.696524</v>
      </c>
      <c r="D232" s="25">
        <f>IFERROR(__xludf.DUMMYFUNCTION("""COMPUTED_VALUE"""),37750.99861111111)</f>
        <v>37750.99861</v>
      </c>
      <c r="E232" s="22">
        <f>IFERROR(__xludf.DUMMYFUNCTION("""COMPUTED_VALUE"""),1.1487)</f>
        <v>1.1487</v>
      </c>
      <c r="F232" s="22">
        <f t="shared" si="11"/>
        <v>84.25347787</v>
      </c>
      <c r="G232" s="22">
        <f t="shared" si="79"/>
        <v>-44.17515053</v>
      </c>
    </row>
    <row r="233" ht="15.75" customHeight="1">
      <c r="A233" s="32">
        <f>IFERROR(__xludf.DUMMYFUNCTION("""COMPUTED_VALUE"""),37757.666666666664)</f>
        <v>37757.66667</v>
      </c>
      <c r="B233" s="22">
        <f>IFERROR(__xludf.DUMMYFUNCTION("""COMPUTED_VALUE"""),944.3)</f>
        <v>944.3</v>
      </c>
      <c r="C233" s="22">
        <f t="shared" si="10"/>
        <v>1030.973359</v>
      </c>
      <c r="D233" s="25">
        <f>IFERROR(__xludf.DUMMYFUNCTION("""COMPUTED_VALUE"""),37757.99861111111)</f>
        <v>37757.99861</v>
      </c>
      <c r="E233" s="22">
        <f>IFERROR(__xludf.DUMMYFUNCTION("""COMPUTED_VALUE"""),1.1595)</f>
        <v>1.1595</v>
      </c>
      <c r="F233" s="22">
        <f t="shared" si="11"/>
        <v>84.47463503</v>
      </c>
      <c r="G233" s="22">
        <f t="shared" si="79"/>
        <v>-44.91941252</v>
      </c>
    </row>
    <row r="234" ht="15.75" customHeight="1">
      <c r="A234" s="32">
        <f>IFERROR(__xludf.DUMMYFUNCTION("""COMPUTED_VALUE"""),37764.666666666664)</f>
        <v>37764.66667</v>
      </c>
      <c r="B234" s="22">
        <f>IFERROR(__xludf.DUMMYFUNCTION("""COMPUTED_VALUE"""),933.22)</f>
        <v>933.22</v>
      </c>
      <c r="C234" s="22">
        <f t="shared" si="10"/>
        <v>1019.2729</v>
      </c>
      <c r="D234" s="25">
        <f>IFERROR(__xludf.DUMMYFUNCTION("""COMPUTED_VALUE"""),37764.99861111111)</f>
        <v>37764.99861</v>
      </c>
      <c r="E234" s="22">
        <f>IFERROR(__xludf.DUMMYFUNCTION("""COMPUTED_VALUE"""),1.1839)</f>
        <v>1.1839</v>
      </c>
      <c r="F234" s="22">
        <f t="shared" si="11"/>
        <v>81.7946863</v>
      </c>
      <c r="G234" s="22">
        <f t="shared" si="79"/>
        <v>-43.29044011</v>
      </c>
    </row>
    <row r="235" ht="15.75" customHeight="1">
      <c r="A235" s="32">
        <f>IFERROR(__xludf.DUMMYFUNCTION("""COMPUTED_VALUE"""),37771.666666666664)</f>
        <v>37771.66667</v>
      </c>
      <c r="B235" s="22">
        <f>IFERROR(__xludf.DUMMYFUNCTION("""COMPUTED_VALUE"""),963.59)</f>
        <v>963.59</v>
      </c>
      <c r="C235" s="22">
        <f t="shared" si="10"/>
        <v>1052.835368</v>
      </c>
      <c r="D235" s="25">
        <f>IFERROR(__xludf.DUMMYFUNCTION("""COMPUTED_VALUE"""),37771.99861111111)</f>
        <v>37771.99861</v>
      </c>
      <c r="E235" s="22">
        <f>IFERROR(__xludf.DUMMYFUNCTION("""COMPUTED_VALUE"""),1.1783)</f>
        <v>1.1783</v>
      </c>
      <c r="F235" s="22">
        <f t="shared" si="11"/>
        <v>84.88954822</v>
      </c>
      <c r="G235" s="22">
        <f t="shared" si="79"/>
        <v>-44.51854577</v>
      </c>
    </row>
    <row r="236" ht="15.75" customHeight="1">
      <c r="A236" s="32">
        <f>IFERROR(__xludf.DUMMYFUNCTION("""COMPUTED_VALUE"""),37778.666666666664)</f>
        <v>37778.66667</v>
      </c>
      <c r="B236" s="22">
        <f>IFERROR(__xludf.DUMMYFUNCTION("""COMPUTED_VALUE"""),987.76)</f>
        <v>987.76</v>
      </c>
      <c r="C236" s="22">
        <f t="shared" si="10"/>
        <v>1079.648872</v>
      </c>
      <c r="D236" s="25">
        <f>IFERROR(__xludf.DUMMYFUNCTION("""COMPUTED_VALUE"""),37778.99861111111)</f>
        <v>37778.99861</v>
      </c>
      <c r="E236" s="22">
        <f>IFERROR(__xludf.DUMMYFUNCTION("""COMPUTED_VALUE"""),1.1698)</f>
        <v>1.1698</v>
      </c>
      <c r="F236" s="22">
        <f t="shared" si="11"/>
        <v>87.68404015</v>
      </c>
      <c r="G236" s="22">
        <f t="shared" si="79"/>
        <v>-41.36812985</v>
      </c>
    </row>
    <row r="237" ht="15.75" customHeight="1">
      <c r="A237" s="32">
        <f>IFERROR(__xludf.DUMMYFUNCTION("""COMPUTED_VALUE"""),37785.666666666664)</f>
        <v>37785.66667</v>
      </c>
      <c r="B237" s="22">
        <f>IFERROR(__xludf.DUMMYFUNCTION("""COMPUTED_VALUE"""),988.61)</f>
        <v>988.61</v>
      </c>
      <c r="C237" s="22">
        <f t="shared" si="10"/>
        <v>1080.993195</v>
      </c>
      <c r="D237" s="25">
        <f>IFERROR(__xludf.DUMMYFUNCTION("""COMPUTED_VALUE"""),37785.99861111111)</f>
        <v>37785.99861</v>
      </c>
      <c r="E237" s="22">
        <f>IFERROR(__xludf.DUMMYFUNCTION("""COMPUTED_VALUE"""),1.1867)</f>
        <v>1.1867</v>
      </c>
      <c r="F237" s="22">
        <f t="shared" si="11"/>
        <v>86.54294135</v>
      </c>
      <c r="G237" s="22">
        <f t="shared" si="79"/>
        <v>-41.78578013</v>
      </c>
    </row>
    <row r="238" ht="15.75" customHeight="1">
      <c r="A238" s="32">
        <f>IFERROR(__xludf.DUMMYFUNCTION("""COMPUTED_VALUE"""),37792.666666666664)</f>
        <v>37792.66667</v>
      </c>
      <c r="B238" s="22">
        <f>IFERROR(__xludf.DUMMYFUNCTION("""COMPUTED_VALUE"""),995.69)</f>
        <v>995.69</v>
      </c>
      <c r="C238" s="22">
        <f t="shared" si="10"/>
        <v>1089.15057</v>
      </c>
      <c r="D238" s="25">
        <f>IFERROR(__xludf.DUMMYFUNCTION("""COMPUTED_VALUE"""),37792.99861111111)</f>
        <v>37792.99861</v>
      </c>
      <c r="E238" s="22">
        <f>IFERROR(__xludf.DUMMYFUNCTION("""COMPUTED_VALUE"""),1.1603)</f>
        <v>1.1603</v>
      </c>
      <c r="F238" s="22">
        <f t="shared" si="11"/>
        <v>89.17995829</v>
      </c>
      <c r="G238" s="22">
        <f t="shared" si="79"/>
        <v>-40.80112815</v>
      </c>
    </row>
    <row r="239" ht="15.75" customHeight="1">
      <c r="A239" s="32">
        <f>IFERROR(__xludf.DUMMYFUNCTION("""COMPUTED_VALUE"""),37799.666666666664)</f>
        <v>37799.66667</v>
      </c>
      <c r="B239" s="22">
        <f>IFERROR(__xludf.DUMMYFUNCTION("""COMPUTED_VALUE"""),976.22)</f>
        <v>976.22</v>
      </c>
      <c r="C239" s="22">
        <f t="shared" si="10"/>
        <v>1068.27192</v>
      </c>
      <c r="D239" s="25">
        <f>IFERROR(__xludf.DUMMYFUNCTION("""COMPUTED_VALUE"""),37799.99861111111)</f>
        <v>37799.99861</v>
      </c>
      <c r="E239" s="22">
        <f>IFERROR(__xludf.DUMMYFUNCTION("""COMPUTED_VALUE"""),1.143)</f>
        <v>1.143</v>
      </c>
      <c r="F239" s="22">
        <f t="shared" si="11"/>
        <v>88.79432632</v>
      </c>
      <c r="G239" s="22">
        <f t="shared" si="79"/>
        <v>-40.46121102</v>
      </c>
    </row>
    <row r="240" ht="15.75" customHeight="1">
      <c r="A240" s="32">
        <f>IFERROR(__xludf.DUMMYFUNCTION("""COMPUTED_VALUE"""),37805.666666666664)</f>
        <v>37805.66667</v>
      </c>
      <c r="B240" s="22">
        <f>IFERROR(__xludf.DUMMYFUNCTION("""COMPUTED_VALUE"""),985.7)</f>
        <v>985.7</v>
      </c>
      <c r="C240" s="22">
        <f t="shared" si="10"/>
        <v>1079.056703</v>
      </c>
      <c r="D240" s="25">
        <f>IFERROR(__xludf.DUMMYFUNCTION("""COMPUTED_VALUE"""),37806.99861111111)</f>
        <v>37806.99861</v>
      </c>
      <c r="E240" s="22">
        <f>IFERROR(__xludf.DUMMYFUNCTION("""COMPUTED_VALUE"""),1.1492)</f>
        <v>1.1492</v>
      </c>
      <c r="F240" s="22">
        <f t="shared" si="11"/>
        <v>89.20686633</v>
      </c>
      <c r="G240" s="22">
        <f t="shared" si="79"/>
        <v>-41.66395206</v>
      </c>
    </row>
    <row r="241" ht="15.75" customHeight="1">
      <c r="A241" s="32">
        <f>IFERROR(__xludf.DUMMYFUNCTION("""COMPUTED_VALUE"""),37813.666666666664)</f>
        <v>37813.66667</v>
      </c>
      <c r="B241" s="22">
        <f>IFERROR(__xludf.DUMMYFUNCTION("""COMPUTED_VALUE"""),998.13)</f>
        <v>998.13</v>
      </c>
      <c r="C241" s="22">
        <f t="shared" si="10"/>
        <v>1093.078984</v>
      </c>
      <c r="D241" s="25">
        <f>IFERROR(__xludf.DUMMYFUNCTION("""COMPUTED_VALUE"""),37813.99861111111)</f>
        <v>37813.99861</v>
      </c>
      <c r="E241" s="22">
        <f>IFERROR(__xludf.DUMMYFUNCTION("""COMPUTED_VALUE"""),1.1278)</f>
        <v>1.1278</v>
      </c>
      <c r="F241" s="22">
        <f t="shared" si="11"/>
        <v>92.08080091</v>
      </c>
      <c r="G241" s="22">
        <f t="shared" si="79"/>
        <v>-41.62822021</v>
      </c>
    </row>
    <row r="242" ht="15.75" customHeight="1">
      <c r="A242" s="32">
        <f>IFERROR(__xludf.DUMMYFUNCTION("""COMPUTED_VALUE"""),37820.666666666664)</f>
        <v>37820.66667</v>
      </c>
      <c r="B242" s="22">
        <f>IFERROR(__xludf.DUMMYFUNCTION("""COMPUTED_VALUE"""),993.32)</f>
        <v>993.32</v>
      </c>
      <c r="C242" s="22">
        <f t="shared" si="10"/>
        <v>1088.231839</v>
      </c>
      <c r="D242" s="25">
        <f>IFERROR(__xludf.DUMMYFUNCTION("""COMPUTED_VALUE"""),37820.99861111111)</f>
        <v>37820.99861</v>
      </c>
      <c r="E242" s="22">
        <f>IFERROR(__xludf.DUMMYFUNCTION("""COMPUTED_VALUE"""),1.1261)</f>
        <v>1.1261</v>
      </c>
      <c r="F242" s="22">
        <f t="shared" si="11"/>
        <v>91.81087015</v>
      </c>
      <c r="G242" s="22">
        <f t="shared" si="79"/>
        <v>-40.68286834</v>
      </c>
    </row>
    <row r="243" ht="15.75" customHeight="1">
      <c r="A243" s="32">
        <f>IFERROR(__xludf.DUMMYFUNCTION("""COMPUTED_VALUE"""),37827.666666666664)</f>
        <v>37827.66667</v>
      </c>
      <c r="B243" s="22">
        <f>IFERROR(__xludf.DUMMYFUNCTION("""COMPUTED_VALUE"""),998.68)</f>
        <v>998.68</v>
      </c>
      <c r="C243" s="22">
        <f t="shared" si="10"/>
        <v>1094.522538</v>
      </c>
      <c r="D243" s="25">
        <f>IFERROR(__xludf.DUMMYFUNCTION("""COMPUTED_VALUE"""),37827.99861111111)</f>
        <v>37827.99861</v>
      </c>
      <c r="E243" s="22">
        <f>IFERROR(__xludf.DUMMYFUNCTION("""COMPUTED_VALUE"""),1.151)</f>
        <v>1.151</v>
      </c>
      <c r="F243" s="22">
        <f t="shared" si="11"/>
        <v>90.34393842</v>
      </c>
      <c r="G243" s="22">
        <f t="shared" si="79"/>
        <v>-40.08800516</v>
      </c>
    </row>
    <row r="244" ht="15.75" customHeight="1">
      <c r="A244" s="32">
        <f>IFERROR(__xludf.DUMMYFUNCTION("""COMPUTED_VALUE"""),37834.666666666664)</f>
        <v>37834.66667</v>
      </c>
      <c r="B244" s="22">
        <f>IFERROR(__xludf.DUMMYFUNCTION("""COMPUTED_VALUE"""),980.15)</f>
        <v>980.15</v>
      </c>
      <c r="C244" s="22">
        <f t="shared" si="10"/>
        <v>1074.635198</v>
      </c>
      <c r="D244" s="25">
        <f>IFERROR(__xludf.DUMMYFUNCTION("""COMPUTED_VALUE"""),37834.99861111111)</f>
        <v>37834.99861</v>
      </c>
      <c r="E244" s="22">
        <f>IFERROR(__xludf.DUMMYFUNCTION("""COMPUTED_VALUE"""),1.128)</f>
        <v>1.128</v>
      </c>
      <c r="F244" s="22">
        <f t="shared" si="11"/>
        <v>90.51104845</v>
      </c>
      <c r="G244" s="22">
        <f t="shared" si="79"/>
        <v>-42.76147963</v>
      </c>
    </row>
    <row r="245" ht="15.75" customHeight="1">
      <c r="A245" s="32">
        <f>IFERROR(__xludf.DUMMYFUNCTION("""COMPUTED_VALUE"""),37841.666666666664)</f>
        <v>37841.66667</v>
      </c>
      <c r="B245" s="22">
        <f>IFERROR(__xludf.DUMMYFUNCTION("""COMPUTED_VALUE"""),977.59)</f>
        <v>977.59</v>
      </c>
      <c r="C245" s="22">
        <f t="shared" si="10"/>
        <v>1072.241739</v>
      </c>
      <c r="D245" s="25">
        <f>IFERROR(__xludf.DUMMYFUNCTION("""COMPUTED_VALUE"""),37841.99861111111)</f>
        <v>37841.99861</v>
      </c>
      <c r="E245" s="22">
        <f>IFERROR(__xludf.DUMMYFUNCTION("""COMPUTED_VALUE"""),1.1308)</f>
        <v>1.1308</v>
      </c>
      <c r="F245" s="22">
        <f t="shared" si="11"/>
        <v>90.08584221</v>
      </c>
      <c r="G245" s="22">
        <f t="shared" si="79"/>
        <v>-43.70878679</v>
      </c>
    </row>
    <row r="246" ht="15.75" customHeight="1">
      <c r="A246" s="32">
        <f>IFERROR(__xludf.DUMMYFUNCTION("""COMPUTED_VALUE"""),37848.666666666664)</f>
        <v>37848.66667</v>
      </c>
      <c r="B246" s="22">
        <f>IFERROR(__xludf.DUMMYFUNCTION("""COMPUTED_VALUE"""),990.68)</f>
        <v>990.68</v>
      </c>
      <c r="C246" s="22">
        <f t="shared" si="10"/>
        <v>1087.011533</v>
      </c>
      <c r="D246" s="25">
        <f>IFERROR(__xludf.DUMMYFUNCTION("""COMPUTED_VALUE"""),37848.99861111111)</f>
        <v>37848.99861</v>
      </c>
      <c r="E246" s="22">
        <f>IFERROR(__xludf.DUMMYFUNCTION("""COMPUTED_VALUE"""),1.1261)</f>
        <v>1.1261</v>
      </c>
      <c r="F246" s="22">
        <f t="shared" si="11"/>
        <v>91.70791663</v>
      </c>
      <c r="G246" s="22">
        <f t="shared" si="79"/>
        <v>-43.25412007</v>
      </c>
    </row>
    <row r="247" ht="15.75" customHeight="1">
      <c r="A247" s="32">
        <f>IFERROR(__xludf.DUMMYFUNCTION("""COMPUTED_VALUE"""),37855.666666666664)</f>
        <v>37855.66667</v>
      </c>
      <c r="B247" s="22">
        <f>IFERROR(__xludf.DUMMYFUNCTION("""COMPUTED_VALUE"""),993.05)</f>
        <v>993.05</v>
      </c>
      <c r="C247" s="22">
        <f t="shared" si="10"/>
        <v>1090.030068</v>
      </c>
      <c r="D247" s="25">
        <f>IFERROR(__xludf.DUMMYFUNCTION("""COMPUTED_VALUE"""),37855.99861111111)</f>
        <v>37855.99861</v>
      </c>
      <c r="E247" s="22">
        <f>IFERROR(__xludf.DUMMYFUNCTION("""COMPUTED_VALUE"""),1.0877)</f>
        <v>1.0877</v>
      </c>
      <c r="F247" s="22">
        <f t="shared" si="11"/>
        <v>95.20921479</v>
      </c>
      <c r="G247" s="22">
        <f t="shared" si="79"/>
        <v>-41.94450298</v>
      </c>
    </row>
    <row r="248" ht="15.75" customHeight="1">
      <c r="A248" s="32">
        <f>IFERROR(__xludf.DUMMYFUNCTION("""COMPUTED_VALUE"""),37862.666666666664)</f>
        <v>37862.66667</v>
      </c>
      <c r="B248" s="22">
        <f>IFERROR(__xludf.DUMMYFUNCTION("""COMPUTED_VALUE"""),1008.02)</f>
        <v>1008.02</v>
      </c>
      <c r="C248" s="22">
        <f t="shared" si="10"/>
        <v>1106.881263</v>
      </c>
      <c r="D248" s="25">
        <f>IFERROR(__xludf.DUMMYFUNCTION("""COMPUTED_VALUE"""),37862.99861111111)</f>
        <v>37862.99861</v>
      </c>
      <c r="E248" s="22">
        <f>IFERROR(__xludf.DUMMYFUNCTION("""COMPUTED_VALUE"""),1.0977)</f>
        <v>1.0977</v>
      </c>
      <c r="F248" s="22">
        <f t="shared" si="11"/>
        <v>95.8003301</v>
      </c>
      <c r="G248" s="22">
        <f t="shared" si="79"/>
        <v>-42.32251032</v>
      </c>
    </row>
    <row r="249" ht="15.75" customHeight="1">
      <c r="A249" s="32">
        <f>IFERROR(__xludf.DUMMYFUNCTION("""COMPUTED_VALUE"""),37869.666666666664)</f>
        <v>37869.66667</v>
      </c>
      <c r="B249" s="22">
        <f>IFERROR(__xludf.DUMMYFUNCTION("""COMPUTED_VALUE"""),1021.37)</f>
        <v>1021.37</v>
      </c>
      <c r="C249" s="22">
        <f t="shared" si="10"/>
        <v>1121.966284</v>
      </c>
      <c r="D249" s="25">
        <f>IFERROR(__xludf.DUMMYFUNCTION("""COMPUTED_VALUE"""),37869.99861111111)</f>
        <v>37869.99861</v>
      </c>
      <c r="E249" s="22">
        <f>IFERROR(__xludf.DUMMYFUNCTION("""COMPUTED_VALUE"""),1.1108)</f>
        <v>1.1108</v>
      </c>
      <c r="F249" s="22">
        <f t="shared" si="11"/>
        <v>95.96073571</v>
      </c>
      <c r="G249" s="22">
        <f t="shared" si="79"/>
        <v>-43.19890883</v>
      </c>
    </row>
    <row r="250" ht="15.75" customHeight="1">
      <c r="A250" s="32">
        <f>IFERROR(__xludf.DUMMYFUNCTION("""COMPUTED_VALUE"""),37876.666666666664)</f>
        <v>37876.66667</v>
      </c>
      <c r="B250" s="22">
        <f>IFERROR(__xludf.DUMMYFUNCTION("""COMPUTED_VALUE"""),1018.63)</f>
        <v>1018.63</v>
      </c>
      <c r="C250" s="22">
        <f t="shared" si="10"/>
        <v>1119.387942</v>
      </c>
      <c r="D250" s="25">
        <f>IFERROR(__xludf.DUMMYFUNCTION("""COMPUTED_VALUE"""),37876.99861111111)</f>
        <v>37876.99861</v>
      </c>
      <c r="E250" s="22">
        <f>IFERROR(__xludf.DUMMYFUNCTION("""COMPUTED_VALUE"""),1.1289)</f>
        <v>1.1289</v>
      </c>
      <c r="F250" s="22">
        <f t="shared" si="11"/>
        <v>94.20518037</v>
      </c>
      <c r="G250" s="22">
        <f t="shared" si="79"/>
        <v>-44.17614441</v>
      </c>
    </row>
    <row r="251" ht="15.75" customHeight="1">
      <c r="A251" s="32">
        <f>IFERROR(__xludf.DUMMYFUNCTION("""COMPUTED_VALUE"""),37883.666666666664)</f>
        <v>37883.66667</v>
      </c>
      <c r="B251" s="22">
        <f>IFERROR(__xludf.DUMMYFUNCTION("""COMPUTED_VALUE"""),1036.3)</f>
        <v>1036.3</v>
      </c>
      <c r="C251" s="22">
        <f t="shared" si="10"/>
        <v>1139.236307</v>
      </c>
      <c r="D251" s="25">
        <f>IFERROR(__xludf.DUMMYFUNCTION("""COMPUTED_VALUE"""),37883.99861111111)</f>
        <v>37883.99861</v>
      </c>
      <c r="E251" s="22">
        <f>IFERROR(__xludf.DUMMYFUNCTION("""COMPUTED_VALUE"""),1.1375)</f>
        <v>1.1375</v>
      </c>
      <c r="F251" s="22">
        <f t="shared" si="11"/>
        <v>95.15071276</v>
      </c>
      <c r="G251" s="22">
        <f t="shared" si="79"/>
        <v>-41.47064095</v>
      </c>
    </row>
    <row r="252" ht="15.75" customHeight="1">
      <c r="A252" s="32">
        <f>IFERROR(__xludf.DUMMYFUNCTION("""COMPUTED_VALUE"""),37890.666666666664)</f>
        <v>37890.66667</v>
      </c>
      <c r="B252" s="22">
        <f>IFERROR(__xludf.DUMMYFUNCTION("""COMPUTED_VALUE"""),996.85)</f>
        <v>996.85</v>
      </c>
      <c r="C252" s="22">
        <f t="shared" si="10"/>
        <v>1096.305882</v>
      </c>
      <c r="D252" s="25">
        <f>IFERROR(__xludf.DUMMYFUNCTION("""COMPUTED_VALUE"""),37890.99861111111)</f>
        <v>37890.99861</v>
      </c>
      <c r="E252" s="22">
        <f>IFERROR(__xludf.DUMMYFUNCTION("""COMPUTED_VALUE"""),1.146)</f>
        <v>1.146</v>
      </c>
      <c r="F252" s="22">
        <f t="shared" si="11"/>
        <v>90.885952</v>
      </c>
      <c r="G252" s="22">
        <f t="shared" si="79"/>
        <v>-43.14588721</v>
      </c>
    </row>
    <row r="253" ht="15.75" customHeight="1">
      <c r="A253" s="32">
        <f>IFERROR(__xludf.DUMMYFUNCTION("""COMPUTED_VALUE"""),37897.666666666664)</f>
        <v>37897.66667</v>
      </c>
      <c r="B253" s="22">
        <f>IFERROR(__xludf.DUMMYFUNCTION("""COMPUTED_VALUE"""),1029.85)</f>
        <v>1029.85</v>
      </c>
      <c r="C253" s="22">
        <f t="shared" si="10"/>
        <v>1133.019954</v>
      </c>
      <c r="D253" s="25">
        <f>IFERROR(__xludf.DUMMYFUNCTION("""COMPUTED_VALUE"""),37897.99861111111)</f>
        <v>37897.99861</v>
      </c>
      <c r="E253" s="22">
        <f>IFERROR(__xludf.DUMMYFUNCTION("""COMPUTED_VALUE"""),1.1576)</f>
        <v>1.1576</v>
      </c>
      <c r="F253" s="22">
        <f t="shared" si="11"/>
        <v>92.98837838</v>
      </c>
      <c r="G253" s="22">
        <f t="shared" si="79"/>
        <v>-41.78395891</v>
      </c>
    </row>
    <row r="254" ht="15.75" customHeight="1">
      <c r="A254" s="32">
        <f>IFERROR(__xludf.DUMMYFUNCTION("""COMPUTED_VALUE"""),37904.666666666664)</f>
        <v>37904.66667</v>
      </c>
      <c r="B254" s="22">
        <f>IFERROR(__xludf.DUMMYFUNCTION("""COMPUTED_VALUE"""),1038.06)</f>
        <v>1038.06</v>
      </c>
      <c r="C254" s="22">
        <f t="shared" si="10"/>
        <v>1142.488205</v>
      </c>
      <c r="D254" s="25">
        <f>IFERROR(__xludf.DUMMYFUNCTION("""COMPUTED_VALUE"""),37904.99861111111)</f>
        <v>37904.99861</v>
      </c>
      <c r="E254" s="22">
        <f>IFERROR(__xludf.DUMMYFUNCTION("""COMPUTED_VALUE"""),1.1803)</f>
        <v>1.1803</v>
      </c>
      <c r="F254" s="22">
        <f t="shared" si="11"/>
        <v>91.96211523</v>
      </c>
      <c r="G254" s="22">
        <f t="shared" si="79"/>
        <v>-41.80436692</v>
      </c>
    </row>
    <row r="255" ht="15.75" customHeight="1">
      <c r="A255" s="32">
        <f>IFERROR(__xludf.DUMMYFUNCTION("""COMPUTED_VALUE"""),37911.666666666664)</f>
        <v>37911.66667</v>
      </c>
      <c r="B255" s="22">
        <f>IFERROR(__xludf.DUMMYFUNCTION("""COMPUTED_VALUE"""),1039.32)</f>
        <v>1039.32</v>
      </c>
      <c r="C255" s="22">
        <f t="shared" si="10"/>
        <v>1144.314379</v>
      </c>
      <c r="D255" s="25">
        <f>IFERROR(__xludf.DUMMYFUNCTION("""COMPUTED_VALUE"""),37911.99861111111)</f>
        <v>37911.99861</v>
      </c>
      <c r="E255" s="22">
        <f>IFERROR(__xludf.DUMMYFUNCTION("""COMPUTED_VALUE"""),1.1678)</f>
        <v>1.1678</v>
      </c>
      <c r="F255" s="22">
        <f t="shared" si="11"/>
        <v>93.09503469</v>
      </c>
      <c r="G255" s="22">
        <f t="shared" si="79"/>
        <v>-43.03082986</v>
      </c>
    </row>
    <row r="256" ht="15.75" customHeight="1">
      <c r="A256" s="32">
        <f>IFERROR(__xludf.DUMMYFUNCTION("""COMPUTED_VALUE"""),37918.666666666664)</f>
        <v>37918.66667</v>
      </c>
      <c r="B256" s="22">
        <f>IFERROR(__xludf.DUMMYFUNCTION("""COMPUTED_VALUE"""),1028.91)</f>
        <v>1028.91</v>
      </c>
      <c r="C256" s="22">
        <f t="shared" si="10"/>
        <v>1133.292859</v>
      </c>
      <c r="D256" s="25">
        <f>IFERROR(__xludf.DUMMYFUNCTION("""COMPUTED_VALUE"""),37918.99861111111)</f>
        <v>37918.99861</v>
      </c>
      <c r="E256" s="22">
        <f>IFERROR(__xludf.DUMMYFUNCTION("""COMPUTED_VALUE"""),1.1777)</f>
        <v>1.1777</v>
      </c>
      <c r="F256" s="22">
        <f t="shared" si="11"/>
        <v>91.4233458</v>
      </c>
      <c r="G256" s="22">
        <f t="shared" si="79"/>
        <v>-43.64168059</v>
      </c>
    </row>
    <row r="257" ht="15.75" customHeight="1">
      <c r="A257" s="32">
        <f>IFERROR(__xludf.DUMMYFUNCTION("""COMPUTED_VALUE"""),37925.666666666664)</f>
        <v>37925.66667</v>
      </c>
      <c r="B257" s="22">
        <f>IFERROR(__xludf.DUMMYFUNCTION("""COMPUTED_VALUE"""),1050.71)</f>
        <v>1050.71</v>
      </c>
      <c r="C257" s="22">
        <f t="shared" si="10"/>
        <v>1157.740349</v>
      </c>
      <c r="D257" s="25">
        <f>IFERROR(__xludf.DUMMYFUNCTION("""COMPUTED_VALUE"""),37925.99861111111)</f>
        <v>37925.99861</v>
      </c>
      <c r="E257" s="22">
        <f>IFERROR(__xludf.DUMMYFUNCTION("""COMPUTED_VALUE"""),1.158)</f>
        <v>1.158</v>
      </c>
      <c r="F257" s="22">
        <f t="shared" si="11"/>
        <v>94.98439133</v>
      </c>
      <c r="G257" s="22">
        <f t="shared" si="79"/>
        <v>-41.46340815</v>
      </c>
    </row>
    <row r="258" ht="15.75" customHeight="1">
      <c r="A258" s="32">
        <f>IFERROR(__xludf.DUMMYFUNCTION("""COMPUTED_VALUE"""),37932.666666666664)</f>
        <v>37932.66667</v>
      </c>
      <c r="B258" s="22">
        <f>IFERROR(__xludf.DUMMYFUNCTION("""COMPUTED_VALUE"""),1053.21)</f>
        <v>1053.21</v>
      </c>
      <c r="C258" s="22">
        <f t="shared" si="10"/>
        <v>1160.940296</v>
      </c>
      <c r="D258" s="25">
        <f>IFERROR(__xludf.DUMMYFUNCTION("""COMPUTED_VALUE"""),37932.99861111111)</f>
        <v>37932.99861</v>
      </c>
      <c r="E258" s="22">
        <f>IFERROR(__xludf.DUMMYFUNCTION("""COMPUTED_VALUE"""),1.1518)</f>
        <v>1.1518</v>
      </c>
      <c r="F258" s="22">
        <f t="shared" si="11"/>
        <v>95.75962695</v>
      </c>
      <c r="G258" s="22">
        <f t="shared" si="79"/>
        <v>-38.87050381</v>
      </c>
    </row>
    <row r="259" ht="15.75" customHeight="1">
      <c r="A259" s="32">
        <f>IFERROR(__xludf.DUMMYFUNCTION("""COMPUTED_VALUE"""),37939.666666666664)</f>
        <v>37939.66667</v>
      </c>
      <c r="B259" s="22">
        <f>IFERROR(__xludf.DUMMYFUNCTION("""COMPUTED_VALUE"""),1050.35)</f>
        <v>1050.35</v>
      </c>
      <c r="C259" s="22">
        <f t="shared" si="10"/>
        <v>1158.234269</v>
      </c>
      <c r="D259" s="25">
        <f>IFERROR(__xludf.DUMMYFUNCTION("""COMPUTED_VALUE"""),37939.99861111111)</f>
        <v>37939.99861</v>
      </c>
      <c r="E259" s="22">
        <f>IFERROR(__xludf.DUMMYFUNCTION("""COMPUTED_VALUE"""),1.1775)</f>
        <v>1.1775</v>
      </c>
      <c r="F259" s="22">
        <f t="shared" si="11"/>
        <v>93.45125295</v>
      </c>
      <c r="G259" s="22">
        <f t="shared" si="79"/>
        <v>-41.01122588</v>
      </c>
    </row>
    <row r="260" ht="15.75" customHeight="1">
      <c r="A260" s="32">
        <f>IFERROR(__xludf.DUMMYFUNCTION("""COMPUTED_VALUE"""),37946.666666666664)</f>
        <v>37946.66667</v>
      </c>
      <c r="B260" s="22">
        <f>IFERROR(__xludf.DUMMYFUNCTION("""COMPUTED_VALUE"""),1035.28)</f>
        <v>1035.28</v>
      </c>
      <c r="C260" s="22">
        <f t="shared" si="10"/>
        <v>1142.061864</v>
      </c>
      <c r="D260" s="25">
        <f>IFERROR(__xludf.DUMMYFUNCTION("""COMPUTED_VALUE"""),37946.99861111111)</f>
        <v>37946.99861</v>
      </c>
      <c r="E260" s="22">
        <f>IFERROR(__xludf.DUMMYFUNCTION("""COMPUTED_VALUE"""),1.1917)</f>
        <v>1.1917</v>
      </c>
      <c r="F260" s="22">
        <f t="shared" si="11"/>
        <v>91.04840123</v>
      </c>
      <c r="G260" s="22">
        <f t="shared" si="79"/>
        <v>-42.43638954</v>
      </c>
    </row>
    <row r="261" ht="15.75" customHeight="1">
      <c r="A261" s="32">
        <f>IFERROR(__xludf.DUMMYFUNCTION("""COMPUTED_VALUE"""),37953.666666666664)</f>
        <v>37953.66667</v>
      </c>
      <c r="B261" s="22">
        <f>IFERROR(__xludf.DUMMYFUNCTION("""COMPUTED_VALUE"""),1058.2)</f>
        <v>1058.2</v>
      </c>
      <c r="C261" s="22">
        <f t="shared" si="10"/>
        <v>1167.785155</v>
      </c>
      <c r="D261" s="25">
        <f>IFERROR(__xludf.DUMMYFUNCTION("""COMPUTED_VALUE"""),37953.99861111111)</f>
        <v>37953.99861</v>
      </c>
      <c r="E261" s="22">
        <f>IFERROR(__xludf.DUMMYFUNCTION("""COMPUTED_VALUE"""),1.1987)</f>
        <v>1.1987</v>
      </c>
      <c r="F261" s="22">
        <f t="shared" si="11"/>
        <v>92.55546752</v>
      </c>
      <c r="G261" s="22">
        <f t="shared" si="79"/>
        <v>-37.36577781</v>
      </c>
    </row>
    <row r="262" ht="15.75" customHeight="1">
      <c r="A262" s="32">
        <f>IFERROR(__xludf.DUMMYFUNCTION("""COMPUTED_VALUE"""),37960.666666666664)</f>
        <v>37960.66667</v>
      </c>
      <c r="B262" s="22">
        <f>IFERROR(__xludf.DUMMYFUNCTION("""COMPUTED_VALUE"""),1061.5)</f>
        <v>1061.5</v>
      </c>
      <c r="C262" s="22">
        <f t="shared" si="10"/>
        <v>1171.876045</v>
      </c>
      <c r="D262" s="25">
        <f>IFERROR(__xludf.DUMMYFUNCTION("""COMPUTED_VALUE"""),37960.99861111111)</f>
        <v>37960.99861</v>
      </c>
      <c r="E262" s="22">
        <f>IFERROR(__xludf.DUMMYFUNCTION("""COMPUTED_VALUE"""),1.2182)</f>
        <v>1.2182</v>
      </c>
      <c r="F262" s="22">
        <f t="shared" si="11"/>
        <v>91.39295414</v>
      </c>
      <c r="G262" s="22">
        <f t="shared" si="79"/>
        <v>-40.04299451</v>
      </c>
    </row>
    <row r="263" ht="15.75" customHeight="1">
      <c r="A263" s="32">
        <f>IFERROR(__xludf.DUMMYFUNCTION("""COMPUTED_VALUE"""),37967.666666666664)</f>
        <v>37967.66667</v>
      </c>
      <c r="B263" s="22">
        <f>IFERROR(__xludf.DUMMYFUNCTION("""COMPUTED_VALUE"""),1074.14)</f>
        <v>1074.14</v>
      </c>
      <c r="C263" s="22">
        <f t="shared" si="10"/>
        <v>1186.281089</v>
      </c>
      <c r="D263" s="25">
        <f>IFERROR(__xludf.DUMMYFUNCTION("""COMPUTED_VALUE"""),37967.99861111111)</f>
        <v>37967.99861</v>
      </c>
      <c r="E263" s="22">
        <f>IFERROR(__xludf.DUMMYFUNCTION("""COMPUTED_VALUE"""),1.2276)</f>
        <v>1.2276</v>
      </c>
      <c r="F263" s="22">
        <f t="shared" si="11"/>
        <v>91.80796508</v>
      </c>
      <c r="G263" s="22">
        <f t="shared" si="79"/>
        <v>-36.58404997</v>
      </c>
    </row>
    <row r="264" ht="15.75" customHeight="1">
      <c r="A264" s="32">
        <f>IFERROR(__xludf.DUMMYFUNCTION("""COMPUTED_VALUE"""),37974.666666666664)</f>
        <v>37974.66667</v>
      </c>
      <c r="B264" s="22">
        <f>IFERROR(__xludf.DUMMYFUNCTION("""COMPUTED_VALUE"""),1088.67)</f>
        <v>1088.67</v>
      </c>
      <c r="C264" s="22">
        <f t="shared" si="10"/>
        <v>1202.784295</v>
      </c>
      <c r="D264" s="25">
        <f>IFERROR(__xludf.DUMMYFUNCTION("""COMPUTED_VALUE"""),37974.99861111111)</f>
        <v>37974.99861</v>
      </c>
      <c r="E264" s="22">
        <f>IFERROR(__xludf.DUMMYFUNCTION("""COMPUTED_VALUE"""),1.2379)</f>
        <v>1.2379</v>
      </c>
      <c r="F264" s="22">
        <f t="shared" si="11"/>
        <v>92.31065227</v>
      </c>
      <c r="G264" s="22">
        <f t="shared" si="79"/>
        <v>-33.93498382</v>
      </c>
    </row>
    <row r="265" ht="15.75" customHeight="1">
      <c r="A265" s="32">
        <f>IFERROR(__xludf.DUMMYFUNCTION("""COMPUTED_VALUE"""),37981.666666666664)</f>
        <v>37981.66667</v>
      </c>
      <c r="B265" s="22">
        <f>IFERROR(__xludf.DUMMYFUNCTION("""COMPUTED_VALUE"""),1095.89)</f>
        <v>1095.89</v>
      </c>
      <c r="C265" s="22">
        <f t="shared" si="10"/>
        <v>1211.223704</v>
      </c>
      <c r="D265" s="25">
        <f>IFERROR(__xludf.DUMMYFUNCTION("""COMPUTED_VALUE"""),37981.99861111111)</f>
        <v>37981.99861</v>
      </c>
      <c r="E265" s="22">
        <f>IFERROR(__xludf.DUMMYFUNCTION("""COMPUTED_VALUE"""),1.242)</f>
        <v>1.242</v>
      </c>
      <c r="F265" s="22">
        <f t="shared" si="11"/>
        <v>92.65148822</v>
      </c>
      <c r="G265" s="22">
        <f t="shared" si="79"/>
        <v>-33.21700547</v>
      </c>
    </row>
    <row r="266" ht="15.75" customHeight="1">
      <c r="A266" s="32">
        <f>IFERROR(__xludf.DUMMYFUNCTION("""COMPUTED_VALUE"""),37988.666666666664)</f>
        <v>37988.66667</v>
      </c>
      <c r="B266" s="22">
        <f>IFERROR(__xludf.DUMMYFUNCTION("""COMPUTED_VALUE"""),1108.49)</f>
        <v>1108.49</v>
      </c>
      <c r="C266" s="22">
        <f t="shared" si="10"/>
        <v>1225.615609</v>
      </c>
      <c r="D266" s="25">
        <f>IFERROR(__xludf.DUMMYFUNCTION("""COMPUTED_VALUE"""),37988.99861111111)</f>
        <v>37988.99861</v>
      </c>
      <c r="E266" s="22">
        <f>IFERROR(__xludf.DUMMYFUNCTION("""COMPUTED_VALUE"""),1.2589)</f>
        <v>1.2589</v>
      </c>
      <c r="F266" s="22">
        <f t="shared" si="11"/>
        <v>92.49381308</v>
      </c>
      <c r="G266" s="22">
        <f t="shared" si="79"/>
        <v>-31.16521652</v>
      </c>
      <c r="H266" s="22">
        <f t="shared" ref="H266:H2117" si="80">IF(ISBLANK(B266),"",100*($F266/$F6-1))</f>
        <v>-11.61679457</v>
      </c>
    </row>
    <row r="267" ht="15.75" customHeight="1">
      <c r="A267" s="32">
        <f>IFERROR(__xludf.DUMMYFUNCTION("""COMPUTED_VALUE"""),37995.666666666664)</f>
        <v>37995.66667</v>
      </c>
      <c r="B267" s="22">
        <f>IFERROR(__xludf.DUMMYFUNCTION("""COMPUTED_VALUE"""),1121.86)</f>
        <v>1121.86</v>
      </c>
      <c r="C267" s="22">
        <f t="shared" si="10"/>
        <v>1240.869704</v>
      </c>
      <c r="D267" s="25">
        <f>IFERROR(__xludf.DUMMYFUNCTION("""COMPUTED_VALUE"""),37995.99861111111)</f>
        <v>37995.99861</v>
      </c>
      <c r="E267" s="22">
        <f>IFERROR(__xludf.DUMMYFUNCTION("""COMPUTED_VALUE"""),1.2815)</f>
        <v>1.2815</v>
      </c>
      <c r="F267" s="22">
        <f t="shared" si="11"/>
        <v>91.99351325</v>
      </c>
      <c r="G267" s="22">
        <f t="shared" si="79"/>
        <v>-32.7463772</v>
      </c>
      <c r="H267" s="22">
        <f t="shared" si="80"/>
        <v>-7.730531547</v>
      </c>
    </row>
    <row r="268" ht="15.75" customHeight="1">
      <c r="A268" s="32">
        <f>IFERROR(__xludf.DUMMYFUNCTION("""COMPUTED_VALUE"""),38002.666666666664)</f>
        <v>38002.66667</v>
      </c>
      <c r="B268" s="22">
        <f>IFERROR(__xludf.DUMMYFUNCTION("""COMPUTED_VALUE"""),1139.82)</f>
        <v>1139.82</v>
      </c>
      <c r="C268" s="22">
        <f t="shared" si="10"/>
        <v>1261.212204</v>
      </c>
      <c r="D268" s="25">
        <f>IFERROR(__xludf.DUMMYFUNCTION("""COMPUTED_VALUE"""),38002.99861111111)</f>
        <v>38002.99861</v>
      </c>
      <c r="E268" s="22">
        <f>IFERROR(__xludf.DUMMYFUNCTION("""COMPUTED_VALUE"""),1.2392)</f>
        <v>1.2392</v>
      </c>
      <c r="F268" s="22">
        <f t="shared" si="11"/>
        <v>96.69330251</v>
      </c>
      <c r="G268" s="22">
        <f t="shared" si="79"/>
        <v>-31.97543875</v>
      </c>
      <c r="H268" s="22">
        <f t="shared" si="80"/>
        <v>-3.87476105</v>
      </c>
    </row>
    <row r="269" ht="15.75" customHeight="1">
      <c r="A269" s="32">
        <f>IFERROR(__xludf.DUMMYFUNCTION("""COMPUTED_VALUE"""),38009.666666666664)</f>
        <v>38009.66667</v>
      </c>
      <c r="B269" s="22">
        <f>IFERROR(__xludf.DUMMYFUNCTION("""COMPUTED_VALUE"""),1141.55)</f>
        <v>1141.55</v>
      </c>
      <c r="C269" s="22">
        <f t="shared" si="10"/>
        <v>1263.611532</v>
      </c>
      <c r="D269" s="25">
        <f>IFERROR(__xludf.DUMMYFUNCTION("""COMPUTED_VALUE"""),38009.99861111111)</f>
        <v>38009.99861</v>
      </c>
      <c r="E269" s="22">
        <f>IFERROR(__xludf.DUMMYFUNCTION("""COMPUTED_VALUE"""),1.2579)</f>
        <v>1.2579</v>
      </c>
      <c r="F269" s="22">
        <f t="shared" si="11"/>
        <v>95.43707001</v>
      </c>
      <c r="G269" s="22">
        <f t="shared" si="79"/>
        <v>-34.27376727</v>
      </c>
      <c r="H269" s="22">
        <f t="shared" si="80"/>
        <v>-10.91855044</v>
      </c>
    </row>
    <row r="270" ht="15.75" customHeight="1">
      <c r="A270" s="32">
        <f>IFERROR(__xludf.DUMMYFUNCTION("""COMPUTED_VALUE"""),38016.666666666664)</f>
        <v>38016.66667</v>
      </c>
      <c r="B270" s="22">
        <f>IFERROR(__xludf.DUMMYFUNCTION("""COMPUTED_VALUE"""),1131.12)</f>
        <v>1131.12</v>
      </c>
      <c r="C270" s="22">
        <f t="shared" si="10"/>
        <v>1252.552297</v>
      </c>
      <c r="D270" s="25">
        <f>IFERROR(__xludf.DUMMYFUNCTION("""COMPUTED_VALUE"""),38016.99861111111)</f>
        <v>38016.99861</v>
      </c>
      <c r="E270" s="22">
        <f>IFERROR(__xludf.DUMMYFUNCTION("""COMPUTED_VALUE"""),1.2471)</f>
        <v>1.2471</v>
      </c>
      <c r="F270" s="22">
        <f t="shared" si="11"/>
        <v>95.42105689</v>
      </c>
      <c r="G270" s="22">
        <f t="shared" si="79"/>
        <v>-33.23023688</v>
      </c>
      <c r="H270" s="22">
        <f t="shared" si="80"/>
        <v>-8.951768149</v>
      </c>
    </row>
    <row r="271" ht="15.75" customHeight="1">
      <c r="A271" s="32">
        <f>IFERROR(__xludf.DUMMYFUNCTION("""COMPUTED_VALUE"""),38023.666666666664)</f>
        <v>38023.66667</v>
      </c>
      <c r="B271" s="22">
        <f>IFERROR(__xludf.DUMMYFUNCTION("""COMPUTED_VALUE"""),1142.76)</f>
        <v>1142.76</v>
      </c>
      <c r="C271" s="22">
        <f t="shared" si="10"/>
        <v>1265.92367</v>
      </c>
      <c r="D271" s="25">
        <f>IFERROR(__xludf.DUMMYFUNCTION("""COMPUTED_VALUE"""),38023.99861111111)</f>
        <v>38023.99861</v>
      </c>
      <c r="E271" s="22">
        <f>IFERROR(__xludf.DUMMYFUNCTION("""COMPUTED_VALUE"""),1.2705)</f>
        <v>1.2705</v>
      </c>
      <c r="F271" s="22">
        <f t="shared" si="11"/>
        <v>94.66348411</v>
      </c>
      <c r="G271" s="22">
        <f t="shared" si="79"/>
        <v>-32.85207479</v>
      </c>
      <c r="H271" s="22">
        <f t="shared" si="80"/>
        <v>-8.658207467</v>
      </c>
    </row>
    <row r="272" ht="15.75" customHeight="1">
      <c r="A272" s="32">
        <f>IFERROR(__xludf.DUMMYFUNCTION("""COMPUTED_VALUE"""),38030.666666666664)</f>
        <v>38030.66667</v>
      </c>
      <c r="B272" s="22">
        <f>IFERROR(__xludf.DUMMYFUNCTION("""COMPUTED_VALUE"""),1145.81)</f>
        <v>1145.81</v>
      </c>
      <c r="C272" s="22">
        <f t="shared" si="10"/>
        <v>1269.789284</v>
      </c>
      <c r="D272" s="25">
        <f>IFERROR(__xludf.DUMMYFUNCTION("""COMPUTED_VALUE"""),38030.99861111111)</f>
        <v>38030.99861</v>
      </c>
      <c r="E272" s="22">
        <f>IFERROR(__xludf.DUMMYFUNCTION("""COMPUTED_VALUE"""),1.2723)</f>
        <v>1.2723</v>
      </c>
      <c r="F272" s="22">
        <f t="shared" si="11"/>
        <v>94.81821266</v>
      </c>
      <c r="G272" s="22">
        <f t="shared" si="79"/>
        <v>-32.86080009</v>
      </c>
      <c r="H272" s="22">
        <f t="shared" si="80"/>
        <v>-11.20158887</v>
      </c>
    </row>
    <row r="273" ht="15.75" customHeight="1">
      <c r="A273" s="32">
        <f>IFERROR(__xludf.DUMMYFUNCTION("""COMPUTED_VALUE"""),38037.666666666664)</f>
        <v>38037.66667</v>
      </c>
      <c r="B273" s="22">
        <f>IFERROR(__xludf.DUMMYFUNCTION("""COMPUTED_VALUE"""),1144.11)</f>
        <v>1144.11</v>
      </c>
      <c r="C273" s="22">
        <f t="shared" si="10"/>
        <v>1268.393721</v>
      </c>
      <c r="D273" s="25">
        <f>IFERROR(__xludf.DUMMYFUNCTION("""COMPUTED_VALUE"""),38037.99861111111)</f>
        <v>38037.99861</v>
      </c>
      <c r="E273" s="22">
        <f>IFERROR(__xludf.DUMMYFUNCTION("""COMPUTED_VALUE"""),1.2538)</f>
        <v>1.2538</v>
      </c>
      <c r="F273" s="22">
        <f t="shared" si="11"/>
        <v>96.11152138</v>
      </c>
      <c r="G273" s="22">
        <f t="shared" si="79"/>
        <v>-28.50130514</v>
      </c>
      <c r="H273" s="22">
        <f t="shared" si="80"/>
        <v>-10.23347411</v>
      </c>
    </row>
    <row r="274" ht="15.75" customHeight="1">
      <c r="A274" s="32">
        <f>IFERROR(__xludf.DUMMYFUNCTION("""COMPUTED_VALUE"""),38044.666666666664)</f>
        <v>38044.66667</v>
      </c>
      <c r="B274" s="22">
        <f>IFERROR(__xludf.DUMMYFUNCTION("""COMPUTED_VALUE"""),1144.94)</f>
        <v>1144.94</v>
      </c>
      <c r="C274" s="22">
        <f t="shared" si="10"/>
        <v>1269.801727</v>
      </c>
      <c r="D274" s="25">
        <f>IFERROR(__xludf.DUMMYFUNCTION("""COMPUTED_VALUE"""),38044.99861111111)</f>
        <v>38044.99861</v>
      </c>
      <c r="E274" s="22">
        <f>IFERROR(__xludf.DUMMYFUNCTION("""COMPUTED_VALUE"""),1.2489)</f>
        <v>1.2489</v>
      </c>
      <c r="F274" s="22">
        <f t="shared" si="11"/>
        <v>96.5957195</v>
      </c>
      <c r="G274" s="22">
        <f t="shared" si="79"/>
        <v>-26.21830412</v>
      </c>
      <c r="H274" s="22">
        <f t="shared" si="80"/>
        <v>-14.08472743</v>
      </c>
    </row>
    <row r="275" ht="15.75" customHeight="1">
      <c r="A275" s="32">
        <f>IFERROR(__xludf.DUMMYFUNCTION("""COMPUTED_VALUE"""),38051.666666666664)</f>
        <v>38051.66667</v>
      </c>
      <c r="B275" s="22">
        <f>IFERROR(__xludf.DUMMYFUNCTION("""COMPUTED_VALUE"""),1156.86)</f>
        <v>1156.86</v>
      </c>
      <c r="C275" s="22">
        <f t="shared" si="10"/>
        <v>1283.510051</v>
      </c>
      <c r="D275" s="25">
        <f>IFERROR(__xludf.DUMMYFUNCTION("""COMPUTED_VALUE"""),38051.99861111111)</f>
        <v>38051.99861</v>
      </c>
      <c r="E275" s="22">
        <f>IFERROR(__xludf.DUMMYFUNCTION("""COMPUTED_VALUE"""),1.2363)</f>
        <v>1.2363</v>
      </c>
      <c r="F275" s="22">
        <f t="shared" si="11"/>
        <v>98.63363497</v>
      </c>
      <c r="G275" s="22">
        <f t="shared" si="79"/>
        <v>-24.82151567</v>
      </c>
      <c r="H275" s="22">
        <f t="shared" si="80"/>
        <v>-12.92217727</v>
      </c>
    </row>
    <row r="276" ht="15.75" customHeight="1">
      <c r="A276" s="32">
        <f>IFERROR(__xludf.DUMMYFUNCTION("""COMPUTED_VALUE"""),38058.666666666664)</f>
        <v>38058.66667</v>
      </c>
      <c r="B276" s="22">
        <f>IFERROR(__xludf.DUMMYFUNCTION("""COMPUTED_VALUE"""),1120.6)</f>
        <v>1120.6</v>
      </c>
      <c r="C276" s="22">
        <f t="shared" si="10"/>
        <v>1243.774057</v>
      </c>
      <c r="D276" s="25">
        <f>IFERROR(__xludf.DUMMYFUNCTION("""COMPUTED_VALUE"""),38058.99861111111)</f>
        <v>38058.99861</v>
      </c>
      <c r="E276" s="22">
        <f>IFERROR(__xludf.DUMMYFUNCTION("""COMPUTED_VALUE"""),1.2219)</f>
        <v>1.2219</v>
      </c>
      <c r="F276" s="22">
        <f t="shared" si="11"/>
        <v>96.70645492</v>
      </c>
      <c r="G276" s="22">
        <f t="shared" si="79"/>
        <v>-24.12022873</v>
      </c>
      <c r="H276" s="22">
        <f t="shared" si="80"/>
        <v>-15.0664136</v>
      </c>
    </row>
    <row r="277" ht="15.75" customHeight="1">
      <c r="A277" s="32">
        <f>IFERROR(__xludf.DUMMYFUNCTION("""COMPUTED_VALUE"""),38065.666666666664)</f>
        <v>38065.66667</v>
      </c>
      <c r="B277" s="22">
        <f>IFERROR(__xludf.DUMMYFUNCTION("""COMPUTED_VALUE"""),1109.74)</f>
        <v>1109.74</v>
      </c>
      <c r="C277" s="22">
        <f t="shared" si="10"/>
        <v>1232.198723</v>
      </c>
      <c r="D277" s="25">
        <f>IFERROR(__xludf.DUMMYFUNCTION("""COMPUTED_VALUE"""),38065.99861111111)</f>
        <v>38065.99861</v>
      </c>
      <c r="E277" s="22">
        <f>IFERROR(__xludf.DUMMYFUNCTION("""COMPUTED_VALUE"""),1.2281)</f>
        <v>1.2281</v>
      </c>
      <c r="F277" s="22">
        <f t="shared" si="11"/>
        <v>95.32277062</v>
      </c>
      <c r="G277" s="22">
        <f t="shared" si="79"/>
        <v>-25.12237049</v>
      </c>
      <c r="H277" s="22">
        <f t="shared" si="80"/>
        <v>-16.21169295</v>
      </c>
    </row>
    <row r="278" ht="15.75" customHeight="1">
      <c r="A278" s="32">
        <f>IFERROR(__xludf.DUMMYFUNCTION("""COMPUTED_VALUE"""),38072.666666666664)</f>
        <v>38072.66667</v>
      </c>
      <c r="B278" s="22">
        <f>IFERROR(__xludf.DUMMYFUNCTION("""COMPUTED_VALUE"""),1108.02)</f>
        <v>1108.02</v>
      </c>
      <c r="C278" s="22">
        <f t="shared" si="10"/>
        <v>1230.762845</v>
      </c>
      <c r="D278" s="25">
        <f>IFERROR(__xludf.DUMMYFUNCTION("""COMPUTED_VALUE"""),38072.99861111111)</f>
        <v>38072.99861</v>
      </c>
      <c r="E278" s="22">
        <f>IFERROR(__xludf.DUMMYFUNCTION("""COMPUTED_VALUE"""),1.2115)</f>
        <v>1.2115</v>
      </c>
      <c r="F278" s="22">
        <f t="shared" si="11"/>
        <v>96.51628398</v>
      </c>
      <c r="G278" s="22">
        <f t="shared" si="79"/>
        <v>-26.73962723</v>
      </c>
      <c r="H278" s="22">
        <f t="shared" si="80"/>
        <v>-15.74211975</v>
      </c>
    </row>
    <row r="279" ht="15.75" customHeight="1">
      <c r="A279" s="32">
        <f>IFERROR(__xludf.DUMMYFUNCTION("""COMPUTED_VALUE"""),38079.666666666664)</f>
        <v>38079.66667</v>
      </c>
      <c r="B279" s="22">
        <f>IFERROR(__xludf.DUMMYFUNCTION("""COMPUTED_VALUE"""),1141.8)</f>
        <v>1141.8</v>
      </c>
      <c r="C279" s="22">
        <f t="shared" si="10"/>
        <v>1268.758254</v>
      </c>
      <c r="D279" s="25">
        <f>IFERROR(__xludf.DUMMYFUNCTION("""COMPUTED_VALUE"""),38079.99861111111)</f>
        <v>38079.99861</v>
      </c>
      <c r="E279" s="22">
        <f>IFERROR(__xludf.DUMMYFUNCTION("""COMPUTED_VALUE"""),1.2121)</f>
        <v>1.2121</v>
      </c>
      <c r="F279" s="22">
        <f t="shared" si="11"/>
        <v>99.44662833</v>
      </c>
      <c r="G279" s="22">
        <f t="shared" si="79"/>
        <v>-19.86813148</v>
      </c>
      <c r="H279" s="22">
        <f t="shared" si="80"/>
        <v>-16.66714734</v>
      </c>
    </row>
    <row r="280" ht="15.75" customHeight="1">
      <c r="A280" s="32">
        <f>IFERROR(__xludf.DUMMYFUNCTION("""COMPUTED_VALUE"""),38085.666666666664)</f>
        <v>38085.66667</v>
      </c>
      <c r="B280" s="22">
        <f>IFERROR(__xludf.DUMMYFUNCTION("""COMPUTED_VALUE"""),1139.33)</f>
        <v>1139.33</v>
      </c>
      <c r="C280" s="22">
        <f t="shared" si="10"/>
        <v>1266.501595</v>
      </c>
      <c r="D280" s="25">
        <f>IFERROR(__xludf.DUMMYFUNCTION("""COMPUTED_VALUE"""),38086.99861111111)</f>
        <v>38086.99861</v>
      </c>
      <c r="E280" s="22">
        <f>IFERROR(__xludf.DUMMYFUNCTION("""COMPUTED_VALUE"""),1.2097)</f>
        <v>1.2097</v>
      </c>
      <c r="F280" s="22">
        <f t="shared" si="11"/>
        <v>99.46669652</v>
      </c>
      <c r="G280" s="22">
        <f t="shared" si="79"/>
        <v>-24.96142762</v>
      </c>
      <c r="H280" s="22">
        <f t="shared" si="80"/>
        <v>-15.57206469</v>
      </c>
    </row>
    <row r="281" ht="15.75" customHeight="1">
      <c r="A281" s="32">
        <f>IFERROR(__xludf.DUMMYFUNCTION("""COMPUTED_VALUE"""),38093.666666666664)</f>
        <v>38093.66667</v>
      </c>
      <c r="B281" s="22">
        <f>IFERROR(__xludf.DUMMYFUNCTION("""COMPUTED_VALUE"""),1134.56)</f>
        <v>1134.56</v>
      </c>
      <c r="C281" s="22">
        <f t="shared" si="10"/>
        <v>1261.686285</v>
      </c>
      <c r="D281" s="25">
        <f>IFERROR(__xludf.DUMMYFUNCTION("""COMPUTED_VALUE"""),38093.99861111111)</f>
        <v>38093.99861</v>
      </c>
      <c r="E281" s="22">
        <f>IFERROR(__xludf.DUMMYFUNCTION("""COMPUTED_VALUE"""),1.198)</f>
        <v>1.198</v>
      </c>
      <c r="F281" s="22">
        <f t="shared" si="11"/>
        <v>100.0562445</v>
      </c>
      <c r="G281" s="22">
        <f t="shared" si="79"/>
        <v>-27.0772467</v>
      </c>
      <c r="H281" s="22">
        <f t="shared" si="80"/>
        <v>-18.18501575</v>
      </c>
    </row>
    <row r="282" ht="15.75" customHeight="1">
      <c r="A282" s="32">
        <f>IFERROR(__xludf.DUMMYFUNCTION("""COMPUTED_VALUE"""),38100.666666666664)</f>
        <v>38100.66667</v>
      </c>
      <c r="B282" s="22">
        <f>IFERROR(__xludf.DUMMYFUNCTION("""COMPUTED_VALUE"""),1140.6)</f>
        <v>1140.6</v>
      </c>
      <c r="C282" s="22">
        <f t="shared" si="10"/>
        <v>1268.888325</v>
      </c>
      <c r="D282" s="25">
        <f>IFERROR(__xludf.DUMMYFUNCTION("""COMPUTED_VALUE"""),38100.99861111111)</f>
        <v>38100.99861</v>
      </c>
      <c r="E282" s="22">
        <f>IFERROR(__xludf.DUMMYFUNCTION("""COMPUTED_VALUE"""),1.1842)</f>
        <v>1.1842</v>
      </c>
      <c r="F282" s="22">
        <f t="shared" si="11"/>
        <v>101.8000471</v>
      </c>
      <c r="G282" s="22">
        <f t="shared" si="79"/>
        <v>-27.37225854</v>
      </c>
      <c r="H282" s="22">
        <f t="shared" si="80"/>
        <v>-15.73132499</v>
      </c>
    </row>
    <row r="283" ht="15.75" customHeight="1">
      <c r="A283" s="32">
        <f>IFERROR(__xludf.DUMMYFUNCTION("""COMPUTED_VALUE"""),38107.666666666664)</f>
        <v>38107.66667</v>
      </c>
      <c r="B283" s="22">
        <f>IFERROR(__xludf.DUMMYFUNCTION("""COMPUTED_VALUE"""),1107.24)</f>
        <v>1107.24</v>
      </c>
      <c r="C283" s="22">
        <f t="shared" si="10"/>
        <v>1232.264212</v>
      </c>
      <c r="D283" s="25">
        <f>IFERROR(__xludf.DUMMYFUNCTION("""COMPUTED_VALUE"""),38107.99861111111)</f>
        <v>38107.99861</v>
      </c>
      <c r="E283" s="22">
        <f>IFERROR(__xludf.DUMMYFUNCTION("""COMPUTED_VALUE"""),1.198)</f>
        <v>1.198</v>
      </c>
      <c r="F283" s="22">
        <f t="shared" si="11"/>
        <v>97.72296869</v>
      </c>
      <c r="G283" s="22">
        <f t="shared" si="79"/>
        <v>-30.88095632</v>
      </c>
      <c r="H283" s="22">
        <f t="shared" si="80"/>
        <v>-18.31485129</v>
      </c>
    </row>
    <row r="284" ht="15.75" customHeight="1">
      <c r="A284" s="32">
        <f>IFERROR(__xludf.DUMMYFUNCTION("""COMPUTED_VALUE"""),38114.666666666664)</f>
        <v>38114.66667</v>
      </c>
      <c r="B284" s="22">
        <f>IFERROR(__xludf.DUMMYFUNCTION("""COMPUTED_VALUE"""),1098.7)</f>
        <v>1098.7</v>
      </c>
      <c r="C284" s="22">
        <f t="shared" si="10"/>
        <v>1223.233865</v>
      </c>
      <c r="D284" s="25">
        <f>IFERROR(__xludf.DUMMYFUNCTION("""COMPUTED_VALUE"""),38114.99861111111)</f>
        <v>38114.99861</v>
      </c>
      <c r="E284" s="22">
        <f>IFERROR(__xludf.DUMMYFUNCTION("""COMPUTED_VALUE"""),1.1875)</f>
        <v>1.1875</v>
      </c>
      <c r="F284" s="22">
        <f t="shared" si="11"/>
        <v>97.86457433</v>
      </c>
      <c r="G284" s="22">
        <f t="shared" si="79"/>
        <v>-31.01710595</v>
      </c>
      <c r="H284" s="22">
        <f t="shared" si="80"/>
        <v>-18.5524185</v>
      </c>
    </row>
    <row r="285" ht="15.75" customHeight="1">
      <c r="A285" s="32">
        <f>IFERROR(__xludf.DUMMYFUNCTION("""COMPUTED_VALUE"""),38121.666666666664)</f>
        <v>38121.66667</v>
      </c>
      <c r="B285" s="22">
        <f>IFERROR(__xludf.DUMMYFUNCTION("""COMPUTED_VALUE"""),1095.7)</f>
        <v>1095.7</v>
      </c>
      <c r="C285" s="22">
        <f t="shared" si="10"/>
        <v>1220.364299</v>
      </c>
      <c r="D285" s="25">
        <f>IFERROR(__xludf.DUMMYFUNCTION("""COMPUTED_VALUE"""),38121.99861111111)</f>
        <v>38121.99861</v>
      </c>
      <c r="E285" s="22">
        <f>IFERROR(__xludf.DUMMYFUNCTION("""COMPUTED_VALUE"""),1.1888)</f>
        <v>1.1888</v>
      </c>
      <c r="F285" s="22">
        <f t="shared" si="11"/>
        <v>97.52822762</v>
      </c>
      <c r="G285" s="22">
        <f t="shared" si="79"/>
        <v>-33.48536394</v>
      </c>
      <c r="H285" s="22">
        <f t="shared" si="80"/>
        <v>-18.9187547</v>
      </c>
    </row>
    <row r="286" ht="15.75" customHeight="1">
      <c r="A286" s="32">
        <f>IFERROR(__xludf.DUMMYFUNCTION("""COMPUTED_VALUE"""),38128.666666666664)</f>
        <v>38128.66667</v>
      </c>
      <c r="B286" s="22">
        <f>IFERROR(__xludf.DUMMYFUNCTION("""COMPUTED_VALUE"""),1093.56)</f>
        <v>1093.56</v>
      </c>
      <c r="C286" s="22">
        <f t="shared" si="10"/>
        <v>1218.45019</v>
      </c>
      <c r="D286" s="25">
        <f>IFERROR(__xludf.DUMMYFUNCTION("""COMPUTED_VALUE"""),38128.99861111111)</f>
        <v>38128.99861</v>
      </c>
      <c r="E286" s="22">
        <f>IFERROR(__xludf.DUMMYFUNCTION("""COMPUTED_VALUE"""),1.202)</f>
        <v>1.202</v>
      </c>
      <c r="F286" s="22">
        <f t="shared" si="11"/>
        <v>96.30591155</v>
      </c>
      <c r="G286" s="22">
        <f t="shared" si="79"/>
        <v>-34.92954041</v>
      </c>
      <c r="H286" s="22">
        <f t="shared" si="80"/>
        <v>-19.45383978</v>
      </c>
    </row>
    <row r="287" ht="15.75" customHeight="1">
      <c r="A287" s="32">
        <f>IFERROR(__xludf.DUMMYFUNCTION("""COMPUTED_VALUE"""),38135.666666666664)</f>
        <v>38135.66667</v>
      </c>
      <c r="B287" s="22">
        <f>IFERROR(__xludf.DUMMYFUNCTION("""COMPUTED_VALUE"""),1120.68)</f>
        <v>1120.68</v>
      </c>
      <c r="C287" s="22">
        <f t="shared" si="10"/>
        <v>1249.136068</v>
      </c>
      <c r="D287" s="25">
        <f>IFERROR(__xludf.DUMMYFUNCTION("""COMPUTED_VALUE"""),38135.99861111111)</f>
        <v>38135.99861</v>
      </c>
      <c r="E287" s="22">
        <f>IFERROR(__xludf.DUMMYFUNCTION("""COMPUTED_VALUE"""),1.2212)</f>
        <v>1.2212</v>
      </c>
      <c r="F287" s="22">
        <f t="shared" si="11"/>
        <v>97.17903608</v>
      </c>
      <c r="G287" s="22">
        <f t="shared" si="79"/>
        <v>-34.48900626</v>
      </c>
      <c r="H287" s="22">
        <f t="shared" si="80"/>
        <v>-20.73833673</v>
      </c>
    </row>
    <row r="288" ht="15.75" customHeight="1">
      <c r="A288" s="32">
        <f>IFERROR(__xludf.DUMMYFUNCTION("""COMPUTED_VALUE"""),38142.666666666664)</f>
        <v>38142.66667</v>
      </c>
      <c r="B288" s="22">
        <f>IFERROR(__xludf.DUMMYFUNCTION("""COMPUTED_VALUE"""),1122.5)</f>
        <v>1122.5</v>
      </c>
      <c r="C288" s="22">
        <f t="shared" si="10"/>
        <v>1251.64512</v>
      </c>
      <c r="D288" s="25">
        <f>IFERROR(__xludf.DUMMYFUNCTION("""COMPUTED_VALUE"""),38142.99861111111)</f>
        <v>38142.99861</v>
      </c>
      <c r="E288" s="22">
        <f>IFERROR(__xludf.DUMMYFUNCTION("""COMPUTED_VALUE"""),1.2268)</f>
        <v>1.2268</v>
      </c>
      <c r="F288" s="22">
        <f t="shared" si="11"/>
        <v>96.92974652</v>
      </c>
      <c r="G288" s="22">
        <f t="shared" si="79"/>
        <v>-34.63529791</v>
      </c>
      <c r="H288" s="22">
        <f t="shared" si="80"/>
        <v>-17.85704796</v>
      </c>
    </row>
    <row r="289" ht="15.75" customHeight="1">
      <c r="A289" s="32">
        <f>IFERROR(__xludf.DUMMYFUNCTION("""COMPUTED_VALUE"""),38148.666666666664)</f>
        <v>38148.66667</v>
      </c>
      <c r="B289" s="22">
        <f>IFERROR(__xludf.DUMMYFUNCTION("""COMPUTED_VALUE"""),1136.47)</f>
        <v>1136.47</v>
      </c>
      <c r="C289" s="22">
        <f t="shared" si="10"/>
        <v>1267.703789</v>
      </c>
      <c r="D289" s="25">
        <f>IFERROR(__xludf.DUMMYFUNCTION("""COMPUTED_VALUE"""),38149.99861111111)</f>
        <v>38149.99861</v>
      </c>
      <c r="E289" s="22">
        <f>IFERROR(__xludf.DUMMYFUNCTION("""COMPUTED_VALUE"""),1.2003)</f>
        <v>1.2003</v>
      </c>
      <c r="F289" s="22">
        <f t="shared" si="11"/>
        <v>100.3408132</v>
      </c>
      <c r="G289" s="22">
        <f t="shared" si="79"/>
        <v>-28.64908211</v>
      </c>
      <c r="H289" s="22">
        <f t="shared" si="80"/>
        <v>-18.99093445</v>
      </c>
    </row>
    <row r="290" ht="15.75" customHeight="1">
      <c r="A290" s="32">
        <f>IFERROR(__xludf.DUMMYFUNCTION("""COMPUTED_VALUE"""),38156.666666666664)</f>
        <v>38156.66667</v>
      </c>
      <c r="B290" s="22">
        <f>IFERROR(__xludf.DUMMYFUNCTION("""COMPUTED_VALUE"""),1136.85)</f>
        <v>1136.85</v>
      </c>
      <c r="C290" s="22">
        <f t="shared" si="10"/>
        <v>1268.615248</v>
      </c>
      <c r="D290" s="25">
        <f>IFERROR(__xludf.DUMMYFUNCTION("""COMPUTED_VALUE"""),38156.99861111111)</f>
        <v>38156.99861</v>
      </c>
      <c r="E290" s="22">
        <f>IFERROR(__xludf.DUMMYFUNCTION("""COMPUTED_VALUE"""),1.214)</f>
        <v>1.214</v>
      </c>
      <c r="F290" s="22">
        <f t="shared" si="11"/>
        <v>99.27979556</v>
      </c>
      <c r="G290" s="22">
        <f t="shared" si="79"/>
        <v>-30.46102783</v>
      </c>
      <c r="H290" s="22">
        <f t="shared" si="80"/>
        <v>-17.94235331</v>
      </c>
    </row>
    <row r="291" ht="15.75" customHeight="1">
      <c r="A291" s="32">
        <f>IFERROR(__xludf.DUMMYFUNCTION("""COMPUTED_VALUE"""),38163.666666666664)</f>
        <v>38163.66667</v>
      </c>
      <c r="B291" s="22">
        <f>IFERROR(__xludf.DUMMYFUNCTION("""COMPUTED_VALUE"""),1134.43)</f>
        <v>1134.43</v>
      </c>
      <c r="C291" s="22">
        <f t="shared" si="10"/>
        <v>1266.402689</v>
      </c>
      <c r="D291" s="25">
        <f>IFERROR(__xludf.DUMMYFUNCTION("""COMPUTED_VALUE"""),38163.99861111111)</f>
        <v>38163.99861</v>
      </c>
      <c r="E291" s="22">
        <f>IFERROR(__xludf.DUMMYFUNCTION("""COMPUTED_VALUE"""),1.2195)</f>
        <v>1.2195</v>
      </c>
      <c r="F291" s="22">
        <f t="shared" si="11"/>
        <v>98.65966886</v>
      </c>
      <c r="G291" s="22">
        <f t="shared" si="79"/>
        <v>-31.65024774</v>
      </c>
      <c r="H291" s="22">
        <f t="shared" si="80"/>
        <v>-24.29216963</v>
      </c>
    </row>
    <row r="292" ht="15.75" customHeight="1">
      <c r="A292" s="32">
        <f>IFERROR(__xludf.DUMMYFUNCTION("""COMPUTED_VALUE"""),38170.666666666664)</f>
        <v>38170.66667</v>
      </c>
      <c r="B292" s="22">
        <f>IFERROR(__xludf.DUMMYFUNCTION("""COMPUTED_VALUE"""),1125.38)</f>
        <v>1125.38</v>
      </c>
      <c r="C292" s="22">
        <f t="shared" si="10"/>
        <v>1256.786945</v>
      </c>
      <c r="D292" s="25">
        <f>IFERROR(__xludf.DUMMYFUNCTION("""COMPUTED_VALUE"""),38170.99861111111)</f>
        <v>38170.99861</v>
      </c>
      <c r="E292" s="22">
        <f>IFERROR(__xludf.DUMMYFUNCTION("""COMPUTED_VALUE"""),1.2311)</f>
        <v>1.2311</v>
      </c>
      <c r="F292" s="22">
        <f t="shared" si="11"/>
        <v>96.98799102</v>
      </c>
      <c r="G292" s="22">
        <f t="shared" si="79"/>
        <v>-30.92013905</v>
      </c>
      <c r="H292" s="22">
        <f t="shared" si="80"/>
        <v>-26.59550107</v>
      </c>
    </row>
    <row r="293" ht="15.75" customHeight="1">
      <c r="A293" s="32">
        <f>IFERROR(__xludf.DUMMYFUNCTION("""COMPUTED_VALUE"""),38177.666666666664)</f>
        <v>38177.66667</v>
      </c>
      <c r="B293" s="22">
        <f>IFERROR(__xludf.DUMMYFUNCTION("""COMPUTED_VALUE"""),1112.81)</f>
        <v>1112.81</v>
      </c>
      <c r="C293" s="22">
        <f t="shared" si="10"/>
        <v>1243.232567</v>
      </c>
      <c r="D293" s="25">
        <f>IFERROR(__xludf.DUMMYFUNCTION("""COMPUTED_VALUE"""),38177.99861111111)</f>
        <v>38177.99861</v>
      </c>
      <c r="E293" s="22">
        <f>IFERROR(__xludf.DUMMYFUNCTION("""COMPUTED_VALUE"""),1.2413)</f>
        <v>1.2413</v>
      </c>
      <c r="F293" s="22">
        <f t="shared" si="11"/>
        <v>95.15360721</v>
      </c>
      <c r="G293" s="22">
        <f t="shared" si="79"/>
        <v>-33.1179365</v>
      </c>
      <c r="H293" s="22">
        <f t="shared" si="80"/>
        <v>-28.80467638</v>
      </c>
    </row>
    <row r="294" ht="15.75" customHeight="1">
      <c r="A294" s="32">
        <f>IFERROR(__xludf.DUMMYFUNCTION("""COMPUTED_VALUE"""),38184.666666666664)</f>
        <v>38184.66667</v>
      </c>
      <c r="B294" s="22">
        <f>IFERROR(__xludf.DUMMYFUNCTION("""COMPUTED_VALUE"""),1101.39)</f>
        <v>1101.39</v>
      </c>
      <c r="C294" s="22">
        <f t="shared" si="10"/>
        <v>1230.952297</v>
      </c>
      <c r="D294" s="25">
        <f>IFERROR(__xludf.DUMMYFUNCTION("""COMPUTED_VALUE"""),38184.99861111111)</f>
        <v>38184.99861</v>
      </c>
      <c r="E294" s="22">
        <f>IFERROR(__xludf.DUMMYFUNCTION("""COMPUTED_VALUE"""),1.2452)</f>
        <v>1.2452</v>
      </c>
      <c r="F294" s="22">
        <f t="shared" si="11"/>
        <v>93.91862916</v>
      </c>
      <c r="G294" s="22">
        <f t="shared" si="79"/>
        <v>-32.42181048</v>
      </c>
      <c r="H294" s="22">
        <f t="shared" si="80"/>
        <v>-24.19263098</v>
      </c>
    </row>
    <row r="295" ht="15.75" customHeight="1">
      <c r="A295" s="32">
        <f>IFERROR(__xludf.DUMMYFUNCTION("""COMPUTED_VALUE"""),38191.666666666664)</f>
        <v>38191.66667</v>
      </c>
      <c r="B295" s="22">
        <f>IFERROR(__xludf.DUMMYFUNCTION("""COMPUTED_VALUE"""),1086.2)</f>
        <v>1086.2</v>
      </c>
      <c r="C295" s="22">
        <f t="shared" si="10"/>
        <v>1214.44886</v>
      </c>
      <c r="D295" s="25">
        <f>IFERROR(__xludf.DUMMYFUNCTION("""COMPUTED_VALUE"""),38191.99861111111)</f>
        <v>38191.99861</v>
      </c>
      <c r="E295" s="22">
        <f>IFERROR(__xludf.DUMMYFUNCTION("""COMPUTED_VALUE"""),1.2103)</f>
        <v>1.2103</v>
      </c>
      <c r="F295" s="22">
        <f t="shared" si="11"/>
        <v>95.33136958</v>
      </c>
      <c r="G295" s="22">
        <f t="shared" si="79"/>
        <v>-30.68734591</v>
      </c>
      <c r="H295" s="22">
        <f t="shared" si="80"/>
        <v>-20.08275424</v>
      </c>
    </row>
    <row r="296" ht="15.75" customHeight="1">
      <c r="A296" s="32">
        <f>IFERROR(__xludf.DUMMYFUNCTION("""COMPUTED_VALUE"""),38198.666666666664)</f>
        <v>38198.66667</v>
      </c>
      <c r="B296" s="22">
        <f>IFERROR(__xludf.DUMMYFUNCTION("""COMPUTED_VALUE"""),1101.72)</f>
        <v>1101.72</v>
      </c>
      <c r="C296" s="22">
        <f t="shared" si="10"/>
        <v>1232.26842</v>
      </c>
      <c r="D296" s="25">
        <f>IFERROR(__xludf.DUMMYFUNCTION("""COMPUTED_VALUE"""),38198.99861111111)</f>
        <v>38198.99861</v>
      </c>
      <c r="E296" s="22">
        <f>IFERROR(__xludf.DUMMYFUNCTION("""COMPUTED_VALUE"""),1.2011)</f>
        <v>1.2011</v>
      </c>
      <c r="F296" s="22">
        <f t="shared" si="11"/>
        <v>97.47108171</v>
      </c>
      <c r="G296" s="22">
        <f t="shared" si="79"/>
        <v>-29.11086769</v>
      </c>
      <c r="H296" s="22">
        <f t="shared" si="80"/>
        <v>-16.35070689</v>
      </c>
    </row>
    <row r="297" ht="15.75" customHeight="1">
      <c r="A297" s="32">
        <f>IFERROR(__xludf.DUMMYFUNCTION("""COMPUTED_VALUE"""),38205.666666666664)</f>
        <v>38205.66667</v>
      </c>
      <c r="B297" s="22">
        <f>IFERROR(__xludf.DUMMYFUNCTION("""COMPUTED_VALUE"""),1063.97)</f>
        <v>1063.97</v>
      </c>
      <c r="C297" s="22">
        <f t="shared" si="10"/>
        <v>1190.519179</v>
      </c>
      <c r="D297" s="25">
        <f>IFERROR(__xludf.DUMMYFUNCTION("""COMPUTED_VALUE"""),38205.99861111111)</f>
        <v>38205.99861</v>
      </c>
      <c r="E297" s="22">
        <f>IFERROR(__xludf.DUMMYFUNCTION("""COMPUTED_VALUE"""),1.2301)</f>
        <v>1.2301</v>
      </c>
      <c r="F297" s="22">
        <f t="shared" si="11"/>
        <v>91.9487039</v>
      </c>
      <c r="G297" s="22">
        <f t="shared" si="79"/>
        <v>-31.10794281</v>
      </c>
      <c r="H297" s="22">
        <f t="shared" si="80"/>
        <v>-23.89672289</v>
      </c>
    </row>
    <row r="298" ht="15.75" customHeight="1">
      <c r="A298" s="32">
        <f>IFERROR(__xludf.DUMMYFUNCTION("""COMPUTED_VALUE"""),38212.666666666664)</f>
        <v>38212.66667</v>
      </c>
      <c r="B298" s="22">
        <f>IFERROR(__xludf.DUMMYFUNCTION("""COMPUTED_VALUE"""),1064.8)</f>
        <v>1064.8</v>
      </c>
      <c r="C298" s="22">
        <f t="shared" si="10"/>
        <v>1191.905792</v>
      </c>
      <c r="D298" s="25">
        <f>IFERROR(__xludf.DUMMYFUNCTION("""COMPUTED_VALUE"""),38212.99861111111)</f>
        <v>38212.99861</v>
      </c>
      <c r="E298" s="22">
        <f>IFERROR(__xludf.DUMMYFUNCTION("""COMPUTED_VALUE"""),1.2372)</f>
        <v>1.2372</v>
      </c>
      <c r="F298" s="22">
        <f t="shared" si="11"/>
        <v>91.52751113</v>
      </c>
      <c r="G298" s="22">
        <f t="shared" si="79"/>
        <v>-27.85264189</v>
      </c>
      <c r="H298" s="22">
        <f t="shared" si="80"/>
        <v>-24.03290511</v>
      </c>
    </row>
    <row r="299" ht="15.75" customHeight="1">
      <c r="A299" s="32">
        <f>IFERROR(__xludf.DUMMYFUNCTION("""COMPUTED_VALUE"""),38219.666666666664)</f>
        <v>38219.66667</v>
      </c>
      <c r="B299" s="22">
        <f>IFERROR(__xludf.DUMMYFUNCTION("""COMPUTED_VALUE"""),1098.35)</f>
        <v>1098.35</v>
      </c>
      <c r="C299" s="22">
        <f t="shared" si="10"/>
        <v>1229.9191</v>
      </c>
      <c r="D299" s="25">
        <f>IFERROR(__xludf.DUMMYFUNCTION("""COMPUTED_VALUE"""),38219.99861111111)</f>
        <v>38219.99861</v>
      </c>
      <c r="E299" s="22">
        <f>IFERROR(__xludf.DUMMYFUNCTION("""COMPUTED_VALUE"""),1.2314)</f>
        <v>1.2314</v>
      </c>
      <c r="F299" s="22">
        <f t="shared" si="11"/>
        <v>94.8914386</v>
      </c>
      <c r="G299" s="22">
        <f t="shared" si="79"/>
        <v>-26.99773645</v>
      </c>
      <c r="H299" s="22">
        <f t="shared" si="80"/>
        <v>-23.49458103</v>
      </c>
    </row>
    <row r="300" ht="15.75" customHeight="1">
      <c r="A300" s="32">
        <f>IFERROR(__xludf.DUMMYFUNCTION("""COMPUTED_VALUE"""),38226.666666666664)</f>
        <v>38226.66667</v>
      </c>
      <c r="B300" s="22">
        <f>IFERROR(__xludf.DUMMYFUNCTION("""COMPUTED_VALUE"""),1107.77)</f>
        <v>1107.77</v>
      </c>
      <c r="C300" s="22">
        <f t="shared" si="10"/>
        <v>1240.940549</v>
      </c>
      <c r="D300" s="25">
        <f>IFERROR(__xludf.DUMMYFUNCTION("""COMPUTED_VALUE"""),38226.99861111111)</f>
        <v>38226.99861</v>
      </c>
      <c r="E300" s="22">
        <f>IFERROR(__xludf.DUMMYFUNCTION("""COMPUTED_VALUE"""),1.2012)</f>
        <v>1.2012</v>
      </c>
      <c r="F300" s="22">
        <f t="shared" si="11"/>
        <v>98.148866</v>
      </c>
      <c r="G300" s="22">
        <f t="shared" si="79"/>
        <v>-21.19801738</v>
      </c>
      <c r="H300" s="22">
        <f t="shared" si="80"/>
        <v>-20.33234042</v>
      </c>
    </row>
    <row r="301" ht="15.75" customHeight="1">
      <c r="A301" s="32">
        <f>IFERROR(__xludf.DUMMYFUNCTION("""COMPUTED_VALUE"""),38233.666666666664)</f>
        <v>38233.66667</v>
      </c>
      <c r="B301" s="22">
        <f>IFERROR(__xludf.DUMMYFUNCTION("""COMPUTED_VALUE"""),1113.63)</f>
        <v>1113.63</v>
      </c>
      <c r="C301" s="22">
        <f t="shared" si="10"/>
        <v>1247.982293</v>
      </c>
      <c r="D301" s="25">
        <f>IFERROR(__xludf.DUMMYFUNCTION("""COMPUTED_VALUE"""),38233.99861111111)</f>
        <v>38233.99861</v>
      </c>
      <c r="E301" s="22">
        <f>IFERROR(__xludf.DUMMYFUNCTION("""COMPUTED_VALUE"""),1.2051)</f>
        <v>1.2051</v>
      </c>
      <c r="F301" s="22">
        <f t="shared" si="11"/>
        <v>98.38637762</v>
      </c>
      <c r="G301" s="22">
        <f t="shared" si="79"/>
        <v>-18.31296552</v>
      </c>
      <c r="H301" s="22">
        <f t="shared" si="80"/>
        <v>-21.69216337</v>
      </c>
    </row>
    <row r="302" ht="15.75" customHeight="1">
      <c r="A302" s="32">
        <f>IFERROR(__xludf.DUMMYFUNCTION("""COMPUTED_VALUE"""),38240.666666666664)</f>
        <v>38240.66667</v>
      </c>
      <c r="B302" s="22">
        <f>IFERROR(__xludf.DUMMYFUNCTION("""COMPUTED_VALUE"""),1123.92)</f>
        <v>1123.92</v>
      </c>
      <c r="C302" s="22">
        <f t="shared" si="10"/>
        <v>1259.993709</v>
      </c>
      <c r="D302" s="25">
        <f>IFERROR(__xludf.DUMMYFUNCTION("""COMPUTED_VALUE"""),38240.99861111111)</f>
        <v>38240.99861</v>
      </c>
      <c r="E302" s="22">
        <f>IFERROR(__xludf.DUMMYFUNCTION("""COMPUTED_VALUE"""),1.2265)</f>
        <v>1.2265</v>
      </c>
      <c r="F302" s="22">
        <f t="shared" si="11"/>
        <v>97.60014393</v>
      </c>
      <c r="G302" s="22">
        <f t="shared" si="79"/>
        <v>-18.06403399</v>
      </c>
      <c r="H302" s="22">
        <f t="shared" si="80"/>
        <v>-20.97154623</v>
      </c>
    </row>
    <row r="303" ht="15.75" customHeight="1">
      <c r="A303" s="32">
        <f>IFERROR(__xludf.DUMMYFUNCTION("""COMPUTED_VALUE"""),38247.666666666664)</f>
        <v>38247.66667</v>
      </c>
      <c r="B303" s="22">
        <f>IFERROR(__xludf.DUMMYFUNCTION("""COMPUTED_VALUE"""),1128.55)</f>
        <v>1128.55</v>
      </c>
      <c r="C303" s="22">
        <f t="shared" si="10"/>
        <v>1265.668879</v>
      </c>
      <c r="D303" s="25">
        <f>IFERROR(__xludf.DUMMYFUNCTION("""COMPUTED_VALUE"""),38247.99861111111)</f>
        <v>38247.99861</v>
      </c>
      <c r="E303" s="22">
        <f>IFERROR(__xludf.DUMMYFUNCTION("""COMPUTED_VALUE"""),1.2183)</f>
        <v>1.2183</v>
      </c>
      <c r="F303" s="22">
        <f t="shared" si="11"/>
        <v>98.69962242</v>
      </c>
      <c r="G303" s="22">
        <f t="shared" si="79"/>
        <v>-6.929576184</v>
      </c>
      <c r="H303" s="22">
        <f t="shared" si="80"/>
        <v>-16.40215586</v>
      </c>
    </row>
    <row r="304" ht="15.75" customHeight="1">
      <c r="A304" s="32">
        <f>IFERROR(__xludf.DUMMYFUNCTION("""COMPUTED_VALUE"""),38254.666666666664)</f>
        <v>38254.66667</v>
      </c>
      <c r="B304" s="22">
        <f>IFERROR(__xludf.DUMMYFUNCTION("""COMPUTED_VALUE"""),1110.11)</f>
        <v>1110.11</v>
      </c>
      <c r="C304" s="22">
        <f t="shared" si="10"/>
        <v>1245.475214</v>
      </c>
      <c r="D304" s="25">
        <f>IFERROR(__xludf.DUMMYFUNCTION("""COMPUTED_VALUE"""),38254.99861111111)</f>
        <v>38254.99861</v>
      </c>
      <c r="E304" s="22">
        <f>IFERROR(__xludf.DUMMYFUNCTION("""COMPUTED_VALUE"""),1.227)</f>
        <v>1.227</v>
      </c>
      <c r="F304" s="22">
        <f t="shared" si="11"/>
        <v>96.43621583</v>
      </c>
      <c r="G304" s="22">
        <f t="shared" si="79"/>
        <v>-15.93505411</v>
      </c>
      <c r="H304" s="22">
        <f t="shared" si="80"/>
        <v>-16.3666748</v>
      </c>
    </row>
    <row r="305" ht="15.75" customHeight="1">
      <c r="A305" s="32">
        <f>IFERROR(__xludf.DUMMYFUNCTION("""COMPUTED_VALUE"""),38261.666666666664)</f>
        <v>38261.66667</v>
      </c>
      <c r="B305" s="22">
        <f>IFERROR(__xludf.DUMMYFUNCTION("""COMPUTED_VALUE"""),1131.5)</f>
        <v>1131.5</v>
      </c>
      <c r="C305" s="22">
        <f t="shared" si="10"/>
        <v>1269.952508</v>
      </c>
      <c r="D305" s="25">
        <f>IFERROR(__xludf.DUMMYFUNCTION("""COMPUTED_VALUE"""),38261.99861111111)</f>
        <v>38261.99861</v>
      </c>
      <c r="E305" s="22">
        <f>IFERROR(__xludf.DUMMYFUNCTION("""COMPUTED_VALUE"""),1.2393)</f>
        <v>1.2393</v>
      </c>
      <c r="F305" s="22">
        <f t="shared" si="11"/>
        <v>97.35553876</v>
      </c>
      <c r="G305" s="22">
        <f t="shared" si="79"/>
        <v>-16.95132735</v>
      </c>
      <c r="H305" s="22">
        <f t="shared" si="80"/>
        <v>-19.73994408</v>
      </c>
    </row>
    <row r="306" ht="15.75" customHeight="1">
      <c r="A306" s="32">
        <f>IFERROR(__xludf.DUMMYFUNCTION("""COMPUTED_VALUE"""),38268.666666666664)</f>
        <v>38268.66667</v>
      </c>
      <c r="B306" s="22">
        <f>IFERROR(__xludf.DUMMYFUNCTION("""COMPUTED_VALUE"""),1122.14)</f>
        <v>1122.14</v>
      </c>
      <c r="C306" s="22">
        <f t="shared" si="10"/>
        <v>1259.935644</v>
      </c>
      <c r="D306" s="25">
        <f>IFERROR(__xludf.DUMMYFUNCTION("""COMPUTED_VALUE"""),38268.99861111111)</f>
        <v>38268.99861</v>
      </c>
      <c r="E306" s="22">
        <f>IFERROR(__xludf.DUMMYFUNCTION("""COMPUTED_VALUE"""),1.2401)</f>
        <v>1.2401</v>
      </c>
      <c r="F306" s="22">
        <f t="shared" si="11"/>
        <v>96.52532864</v>
      </c>
      <c r="G306" s="22">
        <f t="shared" si="79"/>
        <v>-19.84385629</v>
      </c>
      <c r="H306" s="22">
        <f t="shared" si="80"/>
        <v>-12.96278647</v>
      </c>
    </row>
    <row r="307" ht="15.75" customHeight="1">
      <c r="A307" s="32">
        <f>IFERROR(__xludf.DUMMYFUNCTION("""COMPUTED_VALUE"""),38275.666666666664)</f>
        <v>38275.66667</v>
      </c>
      <c r="B307" s="22">
        <f>IFERROR(__xludf.DUMMYFUNCTION("""COMPUTED_VALUE"""),1108.2)</f>
        <v>1108.2</v>
      </c>
      <c r="C307" s="22">
        <f t="shared" si="10"/>
        <v>1244.768442</v>
      </c>
      <c r="D307" s="25">
        <f>IFERROR(__xludf.DUMMYFUNCTION("""COMPUTED_VALUE"""),38275.99861111111)</f>
        <v>38275.99861</v>
      </c>
      <c r="E307" s="22">
        <f>IFERROR(__xludf.DUMMYFUNCTION("""COMPUTED_VALUE"""),1.2475)</f>
        <v>1.2475</v>
      </c>
      <c r="F307" s="22">
        <f t="shared" si="11"/>
        <v>94.79766691</v>
      </c>
      <c r="G307" s="22">
        <f t="shared" si="79"/>
        <v>-21.06695271</v>
      </c>
      <c r="H307" s="22">
        <f t="shared" si="80"/>
        <v>-19.30454961</v>
      </c>
    </row>
    <row r="308" ht="15.75" customHeight="1">
      <c r="A308" s="32">
        <f>IFERROR(__xludf.DUMMYFUNCTION("""COMPUTED_VALUE"""),38282.666666666664)</f>
        <v>38282.66667</v>
      </c>
      <c r="B308" s="22">
        <f>IFERROR(__xludf.DUMMYFUNCTION("""COMPUTED_VALUE"""),1095.74)</f>
        <v>1095.74</v>
      </c>
      <c r="C308" s="22">
        <f t="shared" si="10"/>
        <v>1231.251697</v>
      </c>
      <c r="D308" s="25">
        <f>IFERROR(__xludf.DUMMYFUNCTION("""COMPUTED_VALUE"""),38282.99861111111)</f>
        <v>38282.99861</v>
      </c>
      <c r="E308" s="22">
        <f>IFERROR(__xludf.DUMMYFUNCTION("""COMPUTED_VALUE"""),1.2686)</f>
        <v>1.2686</v>
      </c>
      <c r="F308" s="22">
        <f t="shared" si="11"/>
        <v>92.20867239</v>
      </c>
      <c r="G308" s="22">
        <f t="shared" si="79"/>
        <v>-25.85433968</v>
      </c>
      <c r="H308" s="22">
        <f t="shared" si="80"/>
        <v>-26.22782262</v>
      </c>
    </row>
    <row r="309" ht="15.75" customHeight="1">
      <c r="A309" s="32">
        <f>IFERROR(__xludf.DUMMYFUNCTION("""COMPUTED_VALUE"""),38289.666666666664)</f>
        <v>38289.66667</v>
      </c>
      <c r="B309" s="22">
        <f>IFERROR(__xludf.DUMMYFUNCTION("""COMPUTED_VALUE"""),1130.2)</f>
        <v>1130.2</v>
      </c>
      <c r="C309" s="22">
        <f t="shared" si="10"/>
        <v>1270.446972</v>
      </c>
      <c r="D309" s="25">
        <f>IFERROR(__xludf.DUMMYFUNCTION("""COMPUTED_VALUE"""),38289.99861111111)</f>
        <v>38289.99861</v>
      </c>
      <c r="E309" s="22">
        <f>IFERROR(__xludf.DUMMYFUNCTION("""COMPUTED_VALUE"""),1.2793)</f>
        <v>1.2793</v>
      </c>
      <c r="F309" s="22">
        <f t="shared" si="11"/>
        <v>94.34823424</v>
      </c>
      <c r="G309" s="22">
        <f t="shared" si="79"/>
        <v>-22.04314834</v>
      </c>
      <c r="H309" s="22">
        <f t="shared" si="80"/>
        <v>-25.5877253</v>
      </c>
    </row>
    <row r="310" ht="15.75" customHeight="1">
      <c r="A310" s="32">
        <f>IFERROR(__xludf.DUMMYFUNCTION("""COMPUTED_VALUE"""),38296.666666666664)</f>
        <v>38296.66667</v>
      </c>
      <c r="B310" s="22">
        <f>IFERROR(__xludf.DUMMYFUNCTION("""COMPUTED_VALUE"""),1166.17)</f>
        <v>1166.17</v>
      </c>
      <c r="C310" s="22">
        <f t="shared" si="10"/>
        <v>1311.369137</v>
      </c>
      <c r="D310" s="25">
        <f>IFERROR(__xludf.DUMMYFUNCTION("""COMPUTED_VALUE"""),38296.99861111111)</f>
        <v>38296.99861</v>
      </c>
      <c r="E310" s="22">
        <f>IFERROR(__xludf.DUMMYFUNCTION("""COMPUTED_VALUE"""),1.2963)</f>
        <v>1.2963</v>
      </c>
      <c r="F310" s="22">
        <f t="shared" si="11"/>
        <v>96.11010936</v>
      </c>
      <c r="G310" s="22">
        <f t="shared" si="79"/>
        <v>-23.77312603</v>
      </c>
      <c r="H310" s="22">
        <f t="shared" si="80"/>
        <v>-26.51847832</v>
      </c>
    </row>
    <row r="311" ht="15.75" customHeight="1">
      <c r="A311" s="32">
        <f>IFERROR(__xludf.DUMMYFUNCTION("""COMPUTED_VALUE"""),38303.666666666664)</f>
        <v>38303.66667</v>
      </c>
      <c r="B311" s="22">
        <f>IFERROR(__xludf.DUMMYFUNCTION("""COMPUTED_VALUE"""),1184.17)</f>
        <v>1184.17</v>
      </c>
      <c r="C311" s="22">
        <f t="shared" si="10"/>
        <v>1332.114679</v>
      </c>
      <c r="D311" s="25">
        <f>IFERROR(__xludf.DUMMYFUNCTION("""COMPUTED_VALUE"""),38303.99861111111)</f>
        <v>38303.99861</v>
      </c>
      <c r="E311" s="22">
        <f>IFERROR(__xludf.DUMMYFUNCTION("""COMPUTED_VALUE"""),1.2956)</f>
        <v>1.2956</v>
      </c>
      <c r="F311" s="22">
        <f t="shared" si="11"/>
        <v>97.68329684</v>
      </c>
      <c r="G311" s="22">
        <f t="shared" si="79"/>
        <v>-24.67147339</v>
      </c>
      <c r="H311" s="22">
        <f t="shared" si="80"/>
        <v>-27.0063308</v>
      </c>
    </row>
    <row r="312" ht="15.75" customHeight="1">
      <c r="A312" s="32">
        <f>IFERROR(__xludf.DUMMYFUNCTION("""COMPUTED_VALUE"""),38310.666666666664)</f>
        <v>38310.66667</v>
      </c>
      <c r="B312" s="22">
        <f>IFERROR(__xludf.DUMMYFUNCTION("""COMPUTED_VALUE"""),1170.34)</f>
        <v>1170.34</v>
      </c>
      <c r="C312" s="22">
        <f t="shared" si="10"/>
        <v>1317.069175</v>
      </c>
      <c r="D312" s="25">
        <f>IFERROR(__xludf.DUMMYFUNCTION("""COMPUTED_VALUE"""),38310.99861111111)</f>
        <v>38310.99861</v>
      </c>
      <c r="E312" s="22">
        <f>IFERROR(__xludf.DUMMYFUNCTION("""COMPUTED_VALUE"""),1.3034)</f>
        <v>1.3034</v>
      </c>
      <c r="F312" s="22">
        <f t="shared" si="11"/>
        <v>96.00204913</v>
      </c>
      <c r="G312" s="22">
        <f t="shared" si="79"/>
        <v>-27.2289054</v>
      </c>
      <c r="H312" s="22">
        <f t="shared" si="80"/>
        <v>-28.75244163</v>
      </c>
    </row>
    <row r="313" ht="15.75" customHeight="1">
      <c r="A313" s="32">
        <f>IFERROR(__xludf.DUMMYFUNCTION("""COMPUTED_VALUE"""),38317.666666666664)</f>
        <v>38317.66667</v>
      </c>
      <c r="B313" s="22">
        <f>IFERROR(__xludf.DUMMYFUNCTION("""COMPUTED_VALUE"""),1182.65)</f>
        <v>1182.65</v>
      </c>
      <c r="C313" s="22">
        <f t="shared" si="10"/>
        <v>1331.429084</v>
      </c>
      <c r="D313" s="25">
        <f>IFERROR(__xludf.DUMMYFUNCTION("""COMPUTED_VALUE"""),38317.99861111111)</f>
        <v>38317.99861</v>
      </c>
      <c r="E313" s="22">
        <f>IFERROR(__xludf.DUMMYFUNCTION("""COMPUTED_VALUE"""),1.3289)</f>
        <v>1.3289</v>
      </c>
      <c r="F313" s="22">
        <f t="shared" si="11"/>
        <v>95.18650303</v>
      </c>
      <c r="G313" s="22">
        <f t="shared" si="79"/>
        <v>-25.66813907</v>
      </c>
      <c r="H313" s="22">
        <f t="shared" si="80"/>
        <v>-31.17396673</v>
      </c>
    </row>
    <row r="314" ht="15.75" customHeight="1">
      <c r="A314" s="32">
        <f>IFERROR(__xludf.DUMMYFUNCTION("""COMPUTED_VALUE"""),38324.666666666664)</f>
        <v>38324.66667</v>
      </c>
      <c r="B314" s="22">
        <f>IFERROR(__xludf.DUMMYFUNCTION("""COMPUTED_VALUE"""),1191.17)</f>
        <v>1191.17</v>
      </c>
      <c r="C314" s="22">
        <f t="shared" si="10"/>
        <v>1341.533</v>
      </c>
      <c r="D314" s="25">
        <f>IFERROR(__xludf.DUMMYFUNCTION("""COMPUTED_VALUE"""),38324.99861111111)</f>
        <v>38324.99861</v>
      </c>
      <c r="E314" s="22">
        <f>IFERROR(__xludf.DUMMYFUNCTION("""COMPUTED_VALUE"""),1.346)</f>
        <v>1.346</v>
      </c>
      <c r="F314" s="22">
        <f t="shared" si="11"/>
        <v>94.69039634</v>
      </c>
      <c r="G314" s="22">
        <f t="shared" si="79"/>
        <v>-27.80625687</v>
      </c>
      <c r="H314" s="22">
        <f t="shared" si="80"/>
        <v>-30.07681734</v>
      </c>
    </row>
    <row r="315" ht="15.75" customHeight="1">
      <c r="A315" s="32">
        <f>IFERROR(__xludf.DUMMYFUNCTION("""COMPUTED_VALUE"""),38331.666666666664)</f>
        <v>38331.66667</v>
      </c>
      <c r="B315" s="22">
        <f>IFERROR(__xludf.DUMMYFUNCTION("""COMPUTED_VALUE"""),1188.0)</f>
        <v>1188</v>
      </c>
      <c r="C315" s="22">
        <f t="shared" si="10"/>
        <v>1338.478821</v>
      </c>
      <c r="D315" s="25">
        <f>IFERROR(__xludf.DUMMYFUNCTION("""COMPUTED_VALUE"""),38331.99861111111)</f>
        <v>38331.99861</v>
      </c>
      <c r="E315" s="22">
        <f>IFERROR(__xludf.DUMMYFUNCTION("""COMPUTED_VALUE"""),1.3215)</f>
        <v>1.3215</v>
      </c>
      <c r="F315" s="22">
        <f t="shared" si="11"/>
        <v>96.22634057</v>
      </c>
      <c r="G315" s="22">
        <f t="shared" si="79"/>
        <v>-23.32623178</v>
      </c>
      <c r="H315" s="22">
        <f t="shared" si="80"/>
        <v>-29.57632935</v>
      </c>
    </row>
    <row r="316" ht="15.75" customHeight="1">
      <c r="A316" s="32">
        <f>IFERROR(__xludf.DUMMYFUNCTION("""COMPUTED_VALUE"""),38338.666666666664)</f>
        <v>38338.66667</v>
      </c>
      <c r="B316" s="22">
        <f>IFERROR(__xludf.DUMMYFUNCTION("""COMPUTED_VALUE"""),1194.22)</f>
        <v>1194.22</v>
      </c>
      <c r="C316" s="22">
        <f t="shared" si="10"/>
        <v>1346.001481</v>
      </c>
      <c r="D316" s="25">
        <f>IFERROR(__xludf.DUMMYFUNCTION("""COMPUTED_VALUE"""),38338.99861111111)</f>
        <v>38338.99861</v>
      </c>
      <c r="E316" s="22">
        <f>IFERROR(__xludf.DUMMYFUNCTION("""COMPUTED_VALUE"""),1.3311)</f>
        <v>1.3311</v>
      </c>
      <c r="F316" s="22">
        <f t="shared" si="11"/>
        <v>96.06926948</v>
      </c>
      <c r="G316" s="22">
        <f t="shared" si="79"/>
        <v>-26.07023641</v>
      </c>
      <c r="H316" s="22">
        <f t="shared" si="80"/>
        <v>-31.10629656</v>
      </c>
    </row>
    <row r="317" ht="15.75" customHeight="1">
      <c r="A317" s="32">
        <f>IFERROR(__xludf.DUMMYFUNCTION("""COMPUTED_VALUE"""),38344.666666666664)</f>
        <v>38344.66667</v>
      </c>
      <c r="B317" s="22">
        <f>IFERROR(__xludf.DUMMYFUNCTION("""COMPUTED_VALUE"""),1210.13)</f>
        <v>1210.13</v>
      </c>
      <c r="C317" s="22">
        <f t="shared" si="10"/>
        <v>1364.451283</v>
      </c>
      <c r="D317" s="25">
        <f>IFERROR(__xludf.DUMMYFUNCTION("""COMPUTED_VALUE"""),38345.99861111111)</f>
        <v>38345.99861</v>
      </c>
      <c r="E317" s="22">
        <f>IFERROR(__xludf.DUMMYFUNCTION("""COMPUTED_VALUE"""),1.3527)</f>
        <v>1.3527</v>
      </c>
      <c r="F317" s="22">
        <f t="shared" si="11"/>
        <v>95.83103486</v>
      </c>
      <c r="G317" s="22">
        <f t="shared" si="79"/>
        <v>-27.60841834</v>
      </c>
      <c r="H317" s="22">
        <f t="shared" si="80"/>
        <v>-32.35859232</v>
      </c>
    </row>
    <row r="318" ht="15.75" customHeight="1">
      <c r="A318" s="32">
        <f>IFERROR(__xludf.DUMMYFUNCTION("""COMPUTED_VALUE"""),38352.666666666664)</f>
        <v>38352.66667</v>
      </c>
      <c r="B318" s="22">
        <f>IFERROR(__xludf.DUMMYFUNCTION("""COMPUTED_VALUE"""),1211.92)</f>
        <v>1211.92</v>
      </c>
      <c r="C318" s="22">
        <f t="shared" si="10"/>
        <v>1366.994341</v>
      </c>
      <c r="D318" s="25">
        <f>IFERROR(__xludf.DUMMYFUNCTION("""COMPUTED_VALUE"""),38352.99861111111)</f>
        <v>38352.99861</v>
      </c>
      <c r="E318" s="22">
        <f>IFERROR(__xludf.DUMMYFUNCTION("""COMPUTED_VALUE"""),1.3563)</f>
        <v>1.3563</v>
      </c>
      <c r="F318" s="22">
        <f t="shared" si="11"/>
        <v>95.75480781</v>
      </c>
      <c r="G318" s="22">
        <f t="shared" si="79"/>
        <v>-27.64145828</v>
      </c>
      <c r="H318" s="22">
        <f t="shared" si="80"/>
        <v>-29.45776918</v>
      </c>
    </row>
    <row r="319" ht="15.75" customHeight="1">
      <c r="A319" s="32">
        <f>IFERROR(__xludf.DUMMYFUNCTION("""COMPUTED_VALUE"""),38359.666666666664)</f>
        <v>38359.66667</v>
      </c>
      <c r="B319" s="22">
        <f>IFERROR(__xludf.DUMMYFUNCTION("""COMPUTED_VALUE"""),1186.19)</f>
        <v>1186.19</v>
      </c>
      <c r="C319" s="22">
        <f t="shared" si="10"/>
        <v>1338.49776</v>
      </c>
      <c r="D319" s="25">
        <f>IFERROR(__xludf.DUMMYFUNCTION("""COMPUTED_VALUE"""),38359.99861111111)</f>
        <v>38359.99861</v>
      </c>
      <c r="E319" s="22">
        <f>IFERROR(__xludf.DUMMYFUNCTION("""COMPUTED_VALUE"""),1.3073)</f>
        <v>1.3073</v>
      </c>
      <c r="F319" s="22">
        <f t="shared" si="11"/>
        <v>97.27293533</v>
      </c>
      <c r="G319" s="22">
        <f t="shared" si="79"/>
        <v>-24.99065716</v>
      </c>
      <c r="H319" s="22">
        <f t="shared" si="80"/>
        <v>-30.72989607</v>
      </c>
    </row>
    <row r="320" ht="15.75" customHeight="1">
      <c r="A320" s="32">
        <f>IFERROR(__xludf.DUMMYFUNCTION("""COMPUTED_VALUE"""),38366.666666666664)</f>
        <v>38366.66667</v>
      </c>
      <c r="B320" s="22">
        <f>IFERROR(__xludf.DUMMYFUNCTION("""COMPUTED_VALUE"""),1184.51)</f>
        <v>1184.51</v>
      </c>
      <c r="C320" s="22">
        <f t="shared" si="10"/>
        <v>1337.116853</v>
      </c>
      <c r="D320" s="25">
        <f>IFERROR(__xludf.DUMMYFUNCTION("""COMPUTED_VALUE"""),38366.99861111111)</f>
        <v>38366.99861</v>
      </c>
      <c r="E320" s="22">
        <f>IFERROR(__xludf.DUMMYFUNCTION("""COMPUTED_VALUE"""),1.3098)</f>
        <v>1.3098</v>
      </c>
      <c r="F320" s="22">
        <f t="shared" si="11"/>
        <v>96.98710824</v>
      </c>
      <c r="G320" s="22">
        <f t="shared" si="79"/>
        <v>-24.71829975</v>
      </c>
      <c r="H320" s="22">
        <f t="shared" si="80"/>
        <v>-30.06266856</v>
      </c>
    </row>
    <row r="321" ht="15.75" customHeight="1">
      <c r="A321" s="32">
        <f>IFERROR(__xludf.DUMMYFUNCTION("""COMPUTED_VALUE"""),38373.666666666664)</f>
        <v>38373.66667</v>
      </c>
      <c r="B321" s="22">
        <f>IFERROR(__xludf.DUMMYFUNCTION("""COMPUTED_VALUE"""),1167.87)</f>
        <v>1167.87</v>
      </c>
      <c r="C321" s="22">
        <f t="shared" si="10"/>
        <v>1318.847307</v>
      </c>
      <c r="D321" s="25">
        <f>IFERROR(__xludf.DUMMYFUNCTION("""COMPUTED_VALUE"""),38373.99861111111)</f>
        <v>38373.99861</v>
      </c>
      <c r="E321" s="22">
        <f>IFERROR(__xludf.DUMMYFUNCTION("""COMPUTED_VALUE"""),1.2994)</f>
        <v>1.2994</v>
      </c>
      <c r="F321" s="22">
        <f t="shared" si="11"/>
        <v>96.42758465</v>
      </c>
      <c r="G321" s="22">
        <f t="shared" si="79"/>
        <v>-27.22492373</v>
      </c>
      <c r="H321" s="22">
        <f t="shared" si="80"/>
        <v>-28.75516572</v>
      </c>
    </row>
    <row r="322" ht="15.75" customHeight="1">
      <c r="A322" s="32">
        <f>IFERROR(__xludf.DUMMYFUNCTION("""COMPUTED_VALUE"""),38380.666666666664)</f>
        <v>38380.66667</v>
      </c>
      <c r="B322" s="22">
        <f>IFERROR(__xludf.DUMMYFUNCTION("""COMPUTED_VALUE"""),1171.36)</f>
        <v>1171.36</v>
      </c>
      <c r="C322" s="22">
        <f t="shared" si="10"/>
        <v>1323.295729</v>
      </c>
      <c r="D322" s="25">
        <f>IFERROR(__xludf.DUMMYFUNCTION("""COMPUTED_VALUE"""),38380.99861111111)</f>
        <v>38380.99861</v>
      </c>
      <c r="E322" s="22">
        <f>IFERROR(__xludf.DUMMYFUNCTION("""COMPUTED_VALUE"""),1.3041)</f>
        <v>1.3041</v>
      </c>
      <c r="F322" s="22">
        <f t="shared" si="11"/>
        <v>96.40413225</v>
      </c>
      <c r="G322" s="22">
        <f t="shared" si="79"/>
        <v>-26.76525583</v>
      </c>
      <c r="H322" s="22">
        <f t="shared" si="80"/>
        <v>-31.54188923</v>
      </c>
    </row>
    <row r="323" ht="15.75" customHeight="1">
      <c r="A323" s="32">
        <f>IFERROR(__xludf.DUMMYFUNCTION("""COMPUTED_VALUE"""),38387.666666666664)</f>
        <v>38387.66667</v>
      </c>
      <c r="B323" s="22">
        <f>IFERROR(__xludf.DUMMYFUNCTION("""COMPUTED_VALUE"""),1203.03)</f>
        <v>1203.03</v>
      </c>
      <c r="C323" s="22">
        <f t="shared" si="10"/>
        <v>1359.582567</v>
      </c>
      <c r="D323" s="25">
        <f>IFERROR(__xludf.DUMMYFUNCTION("""COMPUTED_VALUE"""),38387.99861111111)</f>
        <v>38387.99861</v>
      </c>
      <c r="E323" s="22">
        <f>IFERROR(__xludf.DUMMYFUNCTION("""COMPUTED_VALUE"""),1.2854)</f>
        <v>1.2854</v>
      </c>
      <c r="F323" s="22">
        <f t="shared" si="11"/>
        <v>100.4886301</v>
      </c>
      <c r="G323" s="22">
        <f t="shared" si="79"/>
        <v>-21.00465702</v>
      </c>
      <c r="H323" s="22">
        <f t="shared" si="80"/>
        <v>-26.32847372</v>
      </c>
    </row>
    <row r="324" ht="15.75" customHeight="1">
      <c r="A324" s="32">
        <f>IFERROR(__xludf.DUMMYFUNCTION("""COMPUTED_VALUE"""),38394.666666666664)</f>
        <v>38394.66667</v>
      </c>
      <c r="B324" s="22">
        <f>IFERROR(__xludf.DUMMYFUNCTION("""COMPUTED_VALUE"""),1205.3)</f>
        <v>1205.3</v>
      </c>
      <c r="C324" s="22">
        <f t="shared" si="10"/>
        <v>1362.670883</v>
      </c>
      <c r="D324" s="25">
        <f>IFERROR(__xludf.DUMMYFUNCTION("""COMPUTED_VALUE"""),38394.99861111111)</f>
        <v>38394.99861</v>
      </c>
      <c r="E324" s="22">
        <f>IFERROR(__xludf.DUMMYFUNCTION("""COMPUTED_VALUE"""),1.2852)</f>
        <v>1.2852</v>
      </c>
      <c r="F324" s="22">
        <f t="shared" si="11"/>
        <v>100.7325651</v>
      </c>
      <c r="G324" s="22">
        <f t="shared" si="79"/>
        <v>-21.26946748</v>
      </c>
      <c r="H324" s="22">
        <f t="shared" si="80"/>
        <v>-24.1283909</v>
      </c>
    </row>
    <row r="325" ht="15.75" customHeight="1">
      <c r="A325" s="32">
        <f>IFERROR(__xludf.DUMMYFUNCTION("""COMPUTED_VALUE"""),38401.666666666664)</f>
        <v>38401.66667</v>
      </c>
      <c r="B325" s="22">
        <f>IFERROR(__xludf.DUMMYFUNCTION("""COMPUTED_VALUE"""),1201.59)</f>
        <v>1201.59</v>
      </c>
      <c r="C325" s="22">
        <f t="shared" si="10"/>
        <v>1359.000588</v>
      </c>
      <c r="D325" s="25">
        <f>IFERROR(__xludf.DUMMYFUNCTION("""COMPUTED_VALUE"""),38401.99861111111)</f>
        <v>38401.99861</v>
      </c>
      <c r="E325" s="22">
        <f>IFERROR(__xludf.DUMMYFUNCTION("""COMPUTED_VALUE"""),1.3016)</f>
        <v>1.3016</v>
      </c>
      <c r="F325" s="22">
        <f t="shared" si="11"/>
        <v>99.195447</v>
      </c>
      <c r="G325" s="22">
        <f t="shared" si="79"/>
        <v>-21.32842425</v>
      </c>
      <c r="H325" s="22">
        <f t="shared" si="80"/>
        <v>-25.43731137</v>
      </c>
    </row>
    <row r="326" ht="15.75" customHeight="1">
      <c r="A326" s="32">
        <f>IFERROR(__xludf.DUMMYFUNCTION("""COMPUTED_VALUE"""),38408.666666666664)</f>
        <v>38408.66667</v>
      </c>
      <c r="B326" s="22">
        <f>IFERROR(__xludf.DUMMYFUNCTION("""COMPUTED_VALUE"""),1211.37)</f>
        <v>1211.37</v>
      </c>
      <c r="C326" s="22">
        <f t="shared" si="10"/>
        <v>1370.584479</v>
      </c>
      <c r="D326" s="25">
        <f>IFERROR(__xludf.DUMMYFUNCTION("""COMPUTED_VALUE"""),38408.99861111111)</f>
        <v>38408.99861</v>
      </c>
      <c r="E326" s="22">
        <f>IFERROR(__xludf.DUMMYFUNCTION("""COMPUTED_VALUE"""),1.324)</f>
        <v>1.324</v>
      </c>
      <c r="F326" s="22">
        <f t="shared" si="11"/>
        <v>98.34843613</v>
      </c>
      <c r="G326" s="22">
        <f t="shared" si="79"/>
        <v>-25.75960893</v>
      </c>
      <c r="H326" s="22">
        <f t="shared" si="80"/>
        <v>-30.98066208</v>
      </c>
    </row>
    <row r="327" ht="15.75" customHeight="1">
      <c r="A327" s="32">
        <f>IFERROR(__xludf.DUMMYFUNCTION("""COMPUTED_VALUE"""),38415.666666666664)</f>
        <v>38415.66667</v>
      </c>
      <c r="B327" s="22">
        <f>IFERROR(__xludf.DUMMYFUNCTION("""COMPUTED_VALUE"""),1222.12)</f>
        <v>1222.12</v>
      </c>
      <c r="C327" s="22">
        <f t="shared" si="10"/>
        <v>1383.274536</v>
      </c>
      <c r="D327" s="25">
        <f>IFERROR(__xludf.DUMMYFUNCTION("""COMPUTED_VALUE"""),38415.99861111111)</f>
        <v>38415.99861</v>
      </c>
      <c r="E327" s="22">
        <f>IFERROR(__xludf.DUMMYFUNCTION("""COMPUTED_VALUE"""),1.3242)</f>
        <v>1.3242</v>
      </c>
      <c r="F327" s="22">
        <f t="shared" si="11"/>
        <v>99.24403949</v>
      </c>
      <c r="G327" s="22">
        <f t="shared" si="79"/>
        <v>-26.43795239</v>
      </c>
      <c r="H327" s="22">
        <f t="shared" si="80"/>
        <v>-29.52929601</v>
      </c>
    </row>
    <row r="328" ht="15.75" customHeight="1">
      <c r="A328" s="32">
        <f>IFERROR(__xludf.DUMMYFUNCTION("""COMPUTED_VALUE"""),38422.666666666664)</f>
        <v>38422.66667</v>
      </c>
      <c r="B328" s="22">
        <f>IFERROR(__xludf.DUMMYFUNCTION("""COMPUTED_VALUE"""),1200.08)</f>
        <v>1200.08</v>
      </c>
      <c r="C328" s="22">
        <f t="shared" si="10"/>
        <v>1358.860266</v>
      </c>
      <c r="D328" s="25">
        <f>IFERROR(__xludf.DUMMYFUNCTION("""COMPUTED_VALUE"""),38422.99861111111)</f>
        <v>38422.99861</v>
      </c>
      <c r="E328" s="22">
        <f>IFERROR(__xludf.DUMMYFUNCTION("""COMPUTED_VALUE"""),1.3466)</f>
        <v>1.3466</v>
      </c>
      <c r="F328" s="22">
        <f t="shared" si="11"/>
        <v>95.87068351</v>
      </c>
      <c r="G328" s="22">
        <f t="shared" si="79"/>
        <v>-28.42916236</v>
      </c>
      <c r="H328" s="22">
        <f t="shared" si="80"/>
        <v>-34.71032044</v>
      </c>
    </row>
    <row r="329" ht="15.75" customHeight="1">
      <c r="A329" s="32">
        <f>IFERROR(__xludf.DUMMYFUNCTION("""COMPUTED_VALUE"""),38429.666666666664)</f>
        <v>38429.66667</v>
      </c>
      <c r="B329" s="22">
        <f>IFERROR(__xludf.DUMMYFUNCTION("""COMPUTED_VALUE"""),1189.65)</f>
        <v>1189.65</v>
      </c>
      <c r="C329" s="22">
        <f t="shared" si="10"/>
        <v>1347.572932</v>
      </c>
      <c r="D329" s="25">
        <f>IFERROR(__xludf.DUMMYFUNCTION("""COMPUTED_VALUE"""),38429.99861111111)</f>
        <v>38429.99861</v>
      </c>
      <c r="E329" s="22">
        <f>IFERROR(__xludf.DUMMYFUNCTION("""COMPUTED_VALUE"""),1.3315)</f>
        <v>1.3315</v>
      </c>
      <c r="F329" s="22">
        <f t="shared" si="11"/>
        <v>96.15253576</v>
      </c>
      <c r="G329" s="22">
        <f t="shared" si="79"/>
        <v>-27.52778484</v>
      </c>
      <c r="H329" s="22">
        <f t="shared" si="80"/>
        <v>-36.83786995</v>
      </c>
    </row>
    <row r="330" ht="15.75" customHeight="1">
      <c r="A330" s="32">
        <f>IFERROR(__xludf.DUMMYFUNCTION("""COMPUTED_VALUE"""),38435.666666666664)</f>
        <v>38435.66667</v>
      </c>
      <c r="B330" s="22">
        <f>IFERROR(__xludf.DUMMYFUNCTION("""COMPUTED_VALUE"""),1171.42)</f>
        <v>1171.42</v>
      </c>
      <c r="C330" s="22">
        <f t="shared" si="10"/>
        <v>1327.441244</v>
      </c>
      <c r="D330" s="25">
        <f>IFERROR(__xludf.DUMMYFUNCTION("""COMPUTED_VALUE"""),38436.99861111111)</f>
        <v>38436.99861</v>
      </c>
      <c r="E330" s="22">
        <f>IFERROR(__xludf.DUMMYFUNCTION("""COMPUTED_VALUE"""),1.2951)</f>
        <v>1.2951</v>
      </c>
      <c r="F330" s="22">
        <f t="shared" si="11"/>
        <v>97.37817652</v>
      </c>
      <c r="G330" s="22">
        <f t="shared" si="79"/>
        <v>-27.15115746</v>
      </c>
      <c r="H330" s="22">
        <f t="shared" si="80"/>
        <v>-36.22976911</v>
      </c>
    </row>
    <row r="331" ht="15.75" customHeight="1">
      <c r="A331" s="32">
        <f>IFERROR(__xludf.DUMMYFUNCTION("""COMPUTED_VALUE"""),38443.666666666664)</f>
        <v>38443.66667</v>
      </c>
      <c r="B331" s="22">
        <f>IFERROR(__xludf.DUMMYFUNCTION("""COMPUTED_VALUE"""),1172.92)</f>
        <v>1172.92</v>
      </c>
      <c r="C331" s="22">
        <f t="shared" si="10"/>
        <v>1329.651583</v>
      </c>
      <c r="D331" s="25">
        <f>IFERROR(__xludf.DUMMYFUNCTION("""COMPUTED_VALUE"""),38443.99861111111)</f>
        <v>38443.99861</v>
      </c>
      <c r="E331" s="22">
        <f>IFERROR(__xludf.DUMMYFUNCTION("""COMPUTED_VALUE"""),1.2908)</f>
        <v>1.2908</v>
      </c>
      <c r="F331" s="22">
        <f t="shared" si="11"/>
        <v>97.86525504</v>
      </c>
      <c r="G331" s="22">
        <f t="shared" si="79"/>
        <v>-24.50339991</v>
      </c>
      <c r="H331" s="22">
        <f t="shared" si="80"/>
        <v>-36.76540025</v>
      </c>
    </row>
    <row r="332" ht="15.75" customHeight="1">
      <c r="A332" s="32">
        <f>IFERROR(__xludf.DUMMYFUNCTION("""COMPUTED_VALUE"""),38450.666666666664)</f>
        <v>38450.66667</v>
      </c>
      <c r="B332" s="22">
        <f>IFERROR(__xludf.DUMMYFUNCTION("""COMPUTED_VALUE"""),1181.2)</f>
        <v>1181.2</v>
      </c>
      <c r="C332" s="22">
        <f t="shared" si="10"/>
        <v>1339.549404</v>
      </c>
      <c r="D332" s="25">
        <f>IFERROR(__xludf.DUMMYFUNCTION("""COMPUTED_VALUE"""),38450.99861111111)</f>
        <v>38450.99861</v>
      </c>
      <c r="E332" s="22">
        <f>IFERROR(__xludf.DUMMYFUNCTION("""COMPUTED_VALUE"""),1.2875)</f>
        <v>1.2875</v>
      </c>
      <c r="F332" s="22">
        <f t="shared" si="11"/>
        <v>98.84646254</v>
      </c>
      <c r="G332" s="22">
        <f t="shared" si="79"/>
        <v>-22.78787545</v>
      </c>
      <c r="H332" s="22">
        <f t="shared" si="80"/>
        <v>-28.2561796</v>
      </c>
    </row>
    <row r="333" ht="15.75" customHeight="1">
      <c r="A333" s="32">
        <f>IFERROR(__xludf.DUMMYFUNCTION("""COMPUTED_VALUE"""),38457.666666666664)</f>
        <v>38457.66667</v>
      </c>
      <c r="B333" s="22">
        <f>IFERROR(__xludf.DUMMYFUNCTION("""COMPUTED_VALUE"""),1142.62)</f>
        <v>1142.62</v>
      </c>
      <c r="C333" s="22">
        <f t="shared" si="10"/>
        <v>1296.312654</v>
      </c>
      <c r="D333" s="25">
        <f>IFERROR(__xludf.DUMMYFUNCTION("""COMPUTED_VALUE"""),38457.99861111111)</f>
        <v>38457.99861</v>
      </c>
      <c r="E333" s="22">
        <f>IFERROR(__xludf.DUMMYFUNCTION("""COMPUTED_VALUE"""),1.2865)</f>
        <v>1.2865</v>
      </c>
      <c r="F333" s="22">
        <f t="shared" si="11"/>
        <v>95.73034057</v>
      </c>
      <c r="G333" s="22">
        <f t="shared" si="79"/>
        <v>-25.2607077</v>
      </c>
      <c r="H333" s="22">
        <f t="shared" si="80"/>
        <v>-35.84664293</v>
      </c>
    </row>
    <row r="334" ht="15.75" customHeight="1">
      <c r="A334" s="32">
        <f>IFERROR(__xludf.DUMMYFUNCTION("""COMPUTED_VALUE"""),38464.666666666664)</f>
        <v>38464.66667</v>
      </c>
      <c r="B334" s="22">
        <f>IFERROR(__xludf.DUMMYFUNCTION("""COMPUTED_VALUE"""),1152.12)</f>
        <v>1152.12</v>
      </c>
      <c r="C334" s="22">
        <f t="shared" si="10"/>
        <v>1307.589071</v>
      </c>
      <c r="D334" s="25">
        <f>IFERROR(__xludf.DUMMYFUNCTION("""COMPUTED_VALUE"""),38464.99861111111)</f>
        <v>38464.99861</v>
      </c>
      <c r="E334" s="22">
        <f>IFERROR(__xludf.DUMMYFUNCTION("""COMPUTED_VALUE"""),1.3055)</f>
        <v>1.3055</v>
      </c>
      <c r="F334" s="22">
        <f t="shared" si="11"/>
        <v>95.15772269</v>
      </c>
      <c r="G334" s="22">
        <f t="shared" si="79"/>
        <v>-21.51393907</v>
      </c>
      <c r="H334" s="22">
        <f t="shared" si="80"/>
        <v>-38.80558485</v>
      </c>
    </row>
    <row r="335" ht="15.75" customHeight="1">
      <c r="A335" s="32">
        <f>IFERROR(__xludf.DUMMYFUNCTION("""COMPUTED_VALUE"""),38471.666666666664)</f>
        <v>38471.66667</v>
      </c>
      <c r="B335" s="22">
        <f>IFERROR(__xludf.DUMMYFUNCTION("""COMPUTED_VALUE"""),1156.85)</f>
        <v>1156.85</v>
      </c>
      <c r="C335" s="22">
        <f t="shared" si="10"/>
        <v>1313.460265</v>
      </c>
      <c r="D335" s="25">
        <f>IFERROR(__xludf.DUMMYFUNCTION("""COMPUTED_VALUE"""),38471.99861111111)</f>
        <v>38471.99861</v>
      </c>
      <c r="E335" s="22">
        <f>IFERROR(__xludf.DUMMYFUNCTION("""COMPUTED_VALUE"""),1.2869)</f>
        <v>1.2869</v>
      </c>
      <c r="F335" s="22">
        <f t="shared" si="11"/>
        <v>96.96651159</v>
      </c>
      <c r="G335" s="22">
        <f t="shared" si="79"/>
        <v>-18.4504713</v>
      </c>
      <c r="H335" s="22">
        <f t="shared" si="80"/>
        <v>-37.7206597</v>
      </c>
    </row>
    <row r="336" ht="15.75" customHeight="1">
      <c r="A336" s="32">
        <f>IFERROR(__xludf.DUMMYFUNCTION("""COMPUTED_VALUE"""),38478.666666666664)</f>
        <v>38478.66667</v>
      </c>
      <c r="B336" s="22">
        <f>IFERROR(__xludf.DUMMYFUNCTION("""COMPUTED_VALUE"""),1171.35)</f>
        <v>1171.35</v>
      </c>
      <c r="C336" s="22">
        <f t="shared" si="10"/>
        <v>1330.4284</v>
      </c>
      <c r="D336" s="25">
        <f>IFERROR(__xludf.DUMMYFUNCTION("""COMPUTED_VALUE"""),38478.99861111111)</f>
        <v>38478.99861</v>
      </c>
      <c r="E336" s="22">
        <f>IFERROR(__xludf.DUMMYFUNCTION("""COMPUTED_VALUE"""),1.281)</f>
        <v>1.281</v>
      </c>
      <c r="F336" s="22">
        <f t="shared" si="11"/>
        <v>98.67156384</v>
      </c>
      <c r="G336" s="22">
        <f t="shared" si="79"/>
        <v>-15.89358115</v>
      </c>
      <c r="H336" s="22">
        <f t="shared" si="80"/>
        <v>-34.62198431</v>
      </c>
    </row>
    <row r="337" ht="15.75" customHeight="1">
      <c r="A337" s="32">
        <f>IFERROR(__xludf.DUMMYFUNCTION("""COMPUTED_VALUE"""),38485.666666666664)</f>
        <v>38485.66667</v>
      </c>
      <c r="B337" s="22">
        <f>IFERROR(__xludf.DUMMYFUNCTION("""COMPUTED_VALUE"""),1154.05)</f>
        <v>1154.05</v>
      </c>
      <c r="C337" s="22">
        <f t="shared" si="10"/>
        <v>1311.29063</v>
      </c>
      <c r="D337" s="25">
        <f>IFERROR(__xludf.DUMMYFUNCTION("""COMPUTED_VALUE"""),38485.99861111111)</f>
        <v>38485.99861</v>
      </c>
      <c r="E337" s="22">
        <f>IFERROR(__xludf.DUMMYFUNCTION("""COMPUTED_VALUE"""),1.2614)</f>
        <v>1.2614</v>
      </c>
      <c r="F337" s="22">
        <f t="shared" si="11"/>
        <v>98.76333922</v>
      </c>
      <c r="G337" s="22">
        <f t="shared" si="79"/>
        <v>-19.182098</v>
      </c>
      <c r="H337" s="22">
        <f t="shared" si="80"/>
        <v>-35.60264872</v>
      </c>
    </row>
    <row r="338" ht="15.75" customHeight="1">
      <c r="A338" s="32">
        <f>IFERROR(__xludf.DUMMYFUNCTION("""COMPUTED_VALUE"""),38492.666666666664)</f>
        <v>38492.66667</v>
      </c>
      <c r="B338" s="22">
        <f>IFERROR(__xludf.DUMMYFUNCTION("""COMPUTED_VALUE"""),1189.28)</f>
        <v>1189.28</v>
      </c>
      <c r="C338" s="22">
        <f t="shared" si="10"/>
        <v>1351.8251</v>
      </c>
      <c r="D338" s="25">
        <f>IFERROR(__xludf.DUMMYFUNCTION("""COMPUTED_VALUE"""),38492.99861111111)</f>
        <v>38492.99861</v>
      </c>
      <c r="E338" s="22">
        <f>IFERROR(__xludf.DUMMYFUNCTION("""COMPUTED_VALUE"""),1.255)</f>
        <v>1.255</v>
      </c>
      <c r="F338" s="22">
        <f t="shared" si="11"/>
        <v>102.3355232</v>
      </c>
      <c r="G338" s="22">
        <f t="shared" si="79"/>
        <v>-14.59821705</v>
      </c>
      <c r="H338" s="22">
        <f t="shared" si="80"/>
        <v>-29.04915048</v>
      </c>
    </row>
    <row r="339" ht="15.75" customHeight="1">
      <c r="A339" s="32">
        <f>IFERROR(__xludf.DUMMYFUNCTION("""COMPUTED_VALUE"""),38499.666666666664)</f>
        <v>38499.66667</v>
      </c>
      <c r="B339" s="22">
        <f>IFERROR(__xludf.DUMMYFUNCTION("""COMPUTED_VALUE"""),1198.78)</f>
        <v>1198.78</v>
      </c>
      <c r="C339" s="22">
        <f t="shared" si="10"/>
        <v>1363.143447</v>
      </c>
      <c r="D339" s="25">
        <f>IFERROR(__xludf.DUMMYFUNCTION("""COMPUTED_VALUE"""),38499.99861111111)</f>
        <v>38499.99861</v>
      </c>
      <c r="E339" s="22">
        <f>IFERROR(__xludf.DUMMYFUNCTION("""COMPUTED_VALUE"""),1.2577)</f>
        <v>1.2577</v>
      </c>
      <c r="F339" s="22">
        <f t="shared" si="11"/>
        <v>102.970811</v>
      </c>
      <c r="G339" s="22">
        <f t="shared" si="79"/>
        <v>-11.47865942</v>
      </c>
      <c r="H339" s="22">
        <f t="shared" si="80"/>
        <v>-32.70113392</v>
      </c>
    </row>
    <row r="340" ht="15.75" customHeight="1">
      <c r="A340" s="32">
        <f>IFERROR(__xludf.DUMMYFUNCTION("""COMPUTED_VALUE"""),38506.666666666664)</f>
        <v>38506.66667</v>
      </c>
      <c r="B340" s="22">
        <f>IFERROR(__xludf.DUMMYFUNCTION("""COMPUTED_VALUE"""),1196.02)</f>
        <v>1196.02</v>
      </c>
      <c r="C340" s="22">
        <f t="shared" si="10"/>
        <v>1360.529312</v>
      </c>
      <c r="D340" s="25">
        <f>IFERROR(__xludf.DUMMYFUNCTION("""COMPUTED_VALUE"""),38506.99861111111)</f>
        <v>38506.99861</v>
      </c>
      <c r="E340" s="22">
        <f>IFERROR(__xludf.DUMMYFUNCTION("""COMPUTED_VALUE"""),1.2225)</f>
        <v>1.2225</v>
      </c>
      <c r="F340" s="22">
        <f t="shared" si="11"/>
        <v>105.732541</v>
      </c>
      <c r="G340" s="22">
        <f t="shared" si="79"/>
        <v>-4.768840468</v>
      </c>
      <c r="H340" s="22">
        <f t="shared" si="80"/>
        <v>-29.29960114</v>
      </c>
    </row>
    <row r="341" ht="15.75" customHeight="1">
      <c r="A341" s="32">
        <f>IFERROR(__xludf.DUMMYFUNCTION("""COMPUTED_VALUE"""),38513.666666666664)</f>
        <v>38513.66667</v>
      </c>
      <c r="B341" s="22">
        <f>IFERROR(__xludf.DUMMYFUNCTION("""COMPUTED_VALUE"""),1198.11)</f>
        <v>1198.11</v>
      </c>
      <c r="C341" s="22">
        <f t="shared" si="10"/>
        <v>1363.430067</v>
      </c>
      <c r="D341" s="25">
        <f>IFERROR(__xludf.DUMMYFUNCTION("""COMPUTED_VALUE"""),38513.99861111111)</f>
        <v>38513.99861</v>
      </c>
      <c r="E341" s="22">
        <f>IFERROR(__xludf.DUMMYFUNCTION("""COMPUTED_VALUE"""),1.213)</f>
        <v>1.213</v>
      </c>
      <c r="F341" s="22">
        <f t="shared" si="11"/>
        <v>106.7878149</v>
      </c>
      <c r="G341" s="22">
        <f t="shared" si="79"/>
        <v>-1.557874518</v>
      </c>
      <c r="H341" s="22">
        <f t="shared" si="80"/>
        <v>-28.16780618</v>
      </c>
    </row>
    <row r="342" ht="15.75" customHeight="1">
      <c r="A342" s="32">
        <f>IFERROR(__xludf.DUMMYFUNCTION("""COMPUTED_VALUE"""),38520.666666666664)</f>
        <v>38520.66667</v>
      </c>
      <c r="B342" s="22">
        <f>IFERROR(__xludf.DUMMYFUNCTION("""COMPUTED_VALUE"""),1216.96)</f>
        <v>1216.96</v>
      </c>
      <c r="C342" s="22">
        <f t="shared" si="10"/>
        <v>1385.405462</v>
      </c>
      <c r="D342" s="25">
        <f>IFERROR(__xludf.DUMMYFUNCTION("""COMPUTED_VALUE"""),38520.99861111111)</f>
        <v>38520.99861</v>
      </c>
      <c r="E342" s="22">
        <f>IFERROR(__xludf.DUMMYFUNCTION("""COMPUTED_VALUE"""),1.2272)</f>
        <v>1.2272</v>
      </c>
      <c r="F342" s="22">
        <f t="shared" si="11"/>
        <v>107.2534283</v>
      </c>
      <c r="G342" s="22">
        <f t="shared" si="79"/>
        <v>3.209484424</v>
      </c>
      <c r="H342" s="22">
        <f t="shared" si="80"/>
        <v>-28.80371243</v>
      </c>
    </row>
    <row r="343" ht="15.75" customHeight="1">
      <c r="A343" s="32">
        <f>IFERROR(__xludf.DUMMYFUNCTION("""COMPUTED_VALUE"""),38527.666666666664)</f>
        <v>38527.66667</v>
      </c>
      <c r="B343" s="22">
        <f>IFERROR(__xludf.DUMMYFUNCTION("""COMPUTED_VALUE"""),1191.57)</f>
        <v>1191.57</v>
      </c>
      <c r="C343" s="22">
        <f t="shared" si="10"/>
        <v>1357.033955</v>
      </c>
      <c r="D343" s="25">
        <f>IFERROR(__xludf.DUMMYFUNCTION("""COMPUTED_VALUE"""),38527.99861111111)</f>
        <v>38527.99861</v>
      </c>
      <c r="E343" s="22">
        <f>IFERROR(__xludf.DUMMYFUNCTION("""COMPUTED_VALUE"""),1.2091)</f>
        <v>1.2091</v>
      </c>
      <c r="F343" s="22">
        <f t="shared" si="11"/>
        <v>106.6296853</v>
      </c>
      <c r="G343" s="22">
        <f t="shared" si="79"/>
        <v>4.74261714</v>
      </c>
      <c r="H343" s="22">
        <f t="shared" si="80"/>
        <v>-28.50216233</v>
      </c>
    </row>
    <row r="344" ht="15.75" customHeight="1">
      <c r="A344" s="32">
        <f>IFERROR(__xludf.DUMMYFUNCTION("""COMPUTED_VALUE"""),38534.666666666664)</f>
        <v>38534.66667</v>
      </c>
      <c r="B344" s="22">
        <f>IFERROR(__xludf.DUMMYFUNCTION("""COMPUTED_VALUE"""),1194.44)</f>
        <v>1194.44</v>
      </c>
      <c r="C344" s="22">
        <f t="shared" si="10"/>
        <v>1360.824425</v>
      </c>
      <c r="D344" s="25">
        <f>IFERROR(__xludf.DUMMYFUNCTION("""COMPUTED_VALUE"""),38534.99861111111)</f>
        <v>38534.99861</v>
      </c>
      <c r="E344" s="22">
        <f>IFERROR(__xludf.DUMMYFUNCTION("""COMPUTED_VALUE"""),1.1931)</f>
        <v>1.1931</v>
      </c>
      <c r="F344" s="22">
        <f t="shared" si="11"/>
        <v>108.361469</v>
      </c>
      <c r="G344" s="22">
        <f t="shared" si="79"/>
        <v>4.637062851</v>
      </c>
      <c r="H344" s="22">
        <f t="shared" si="80"/>
        <v>-29.1379676</v>
      </c>
    </row>
    <row r="345" ht="15.75" customHeight="1">
      <c r="A345" s="32">
        <f>IFERROR(__xludf.DUMMYFUNCTION("""COMPUTED_VALUE"""),38541.666666666664)</f>
        <v>38541.66667</v>
      </c>
      <c r="B345" s="22">
        <f>IFERROR(__xludf.DUMMYFUNCTION("""COMPUTED_VALUE"""),1211.86)</f>
        <v>1211.86</v>
      </c>
      <c r="C345" s="22">
        <f t="shared" si="10"/>
        <v>1381.19441</v>
      </c>
      <c r="D345" s="25">
        <f>IFERROR(__xludf.DUMMYFUNCTION("""COMPUTED_VALUE"""),38541.99861111111)</f>
        <v>38541.99861</v>
      </c>
      <c r="E345" s="22">
        <f>IFERROR(__xludf.DUMMYFUNCTION("""COMPUTED_VALUE"""),1.1975)</f>
        <v>1.1975</v>
      </c>
      <c r="F345" s="22">
        <f t="shared" si="11"/>
        <v>109.5794014</v>
      </c>
      <c r="G345" s="22">
        <f t="shared" si="79"/>
        <v>15.59688169</v>
      </c>
      <c r="H345" s="22">
        <f t="shared" si="80"/>
        <v>-30.53552286</v>
      </c>
    </row>
    <row r="346" ht="15.75" customHeight="1">
      <c r="A346" s="32">
        <f>IFERROR(__xludf.DUMMYFUNCTION("""COMPUTED_VALUE"""),38548.666666666664)</f>
        <v>38548.66667</v>
      </c>
      <c r="B346" s="22">
        <f>IFERROR(__xludf.DUMMYFUNCTION("""COMPUTED_VALUE"""),1227.92)</f>
        <v>1227.92</v>
      </c>
      <c r="C346" s="22">
        <f t="shared" si="10"/>
        <v>1400.029718</v>
      </c>
      <c r="D346" s="25">
        <f>IFERROR(__xludf.DUMMYFUNCTION("""COMPUTED_VALUE"""),38548.99861111111)</f>
        <v>38548.99861</v>
      </c>
      <c r="E346" s="22">
        <f>IFERROR(__xludf.DUMMYFUNCTION("""COMPUTED_VALUE"""),1.2039)</f>
        <v>1.2039</v>
      </c>
      <c r="F346" s="22">
        <f t="shared" si="11"/>
        <v>110.4832584</v>
      </c>
      <c r="G346" s="22">
        <f t="shared" si="79"/>
        <v>28.93466806</v>
      </c>
      <c r="H346" s="22">
        <f t="shared" si="80"/>
        <v>-28.61901893</v>
      </c>
    </row>
    <row r="347" ht="15.75" customHeight="1">
      <c r="A347" s="32">
        <f>IFERROR(__xludf.DUMMYFUNCTION("""COMPUTED_VALUE"""),38555.666666666664)</f>
        <v>38555.66667</v>
      </c>
      <c r="B347" s="22">
        <f>IFERROR(__xludf.DUMMYFUNCTION("""COMPUTED_VALUE"""),1233.68)</f>
        <v>1233.68</v>
      </c>
      <c r="C347" s="22">
        <f t="shared" si="10"/>
        <v>1407.135534</v>
      </c>
      <c r="D347" s="25">
        <f>IFERROR(__xludf.DUMMYFUNCTION("""COMPUTED_VALUE"""),38555.99861111111)</f>
        <v>38555.99861</v>
      </c>
      <c r="E347" s="22">
        <f>IFERROR(__xludf.DUMMYFUNCTION("""COMPUTED_VALUE"""),1.2054)</f>
        <v>1.2054</v>
      </c>
      <c r="F347" s="22">
        <f t="shared" si="11"/>
        <v>110.9058302</v>
      </c>
      <c r="G347" s="22">
        <f t="shared" si="79"/>
        <v>25.60111485</v>
      </c>
      <c r="H347" s="22">
        <f t="shared" si="80"/>
        <v>-26.45229285</v>
      </c>
    </row>
    <row r="348" ht="15.75" customHeight="1">
      <c r="A348" s="32">
        <f>IFERROR(__xludf.DUMMYFUNCTION("""COMPUTED_VALUE"""),38562.666666666664)</f>
        <v>38562.66667</v>
      </c>
      <c r="B348" s="22">
        <f>IFERROR(__xludf.DUMMYFUNCTION("""COMPUTED_VALUE"""),1234.18)</f>
        <v>1234.18</v>
      </c>
      <c r="C348" s="22">
        <f t="shared" si="10"/>
        <v>1408.24704</v>
      </c>
      <c r="D348" s="25">
        <f>IFERROR(__xludf.DUMMYFUNCTION("""COMPUTED_VALUE"""),38562.99861111111)</f>
        <v>38562.99861</v>
      </c>
      <c r="E348" s="22">
        <f>IFERROR(__xludf.DUMMYFUNCTION("""COMPUTED_VALUE"""),1.2123)</f>
        <v>1.2123</v>
      </c>
      <c r="F348" s="22">
        <f t="shared" si="11"/>
        <v>110.3616985</v>
      </c>
      <c r="G348" s="22">
        <f t="shared" si="79"/>
        <v>23.18794655</v>
      </c>
      <c r="H348" s="22">
        <f t="shared" si="80"/>
        <v>-30.20807475</v>
      </c>
    </row>
    <row r="349" ht="15.75" customHeight="1">
      <c r="A349" s="32">
        <f>IFERROR(__xludf.DUMMYFUNCTION("""COMPUTED_VALUE"""),38569.666666666664)</f>
        <v>38569.66667</v>
      </c>
      <c r="B349" s="22">
        <f>IFERROR(__xludf.DUMMYFUNCTION("""COMPUTED_VALUE"""),1226.42)</f>
        <v>1226.42</v>
      </c>
      <c r="C349" s="22">
        <f t="shared" si="10"/>
        <v>1399.934214</v>
      </c>
      <c r="D349" s="25">
        <f>IFERROR(__xludf.DUMMYFUNCTION("""COMPUTED_VALUE"""),38569.99861111111)</f>
        <v>38569.99861</v>
      </c>
      <c r="E349" s="22">
        <f>IFERROR(__xludf.DUMMYFUNCTION("""COMPUTED_VALUE"""),1.2468)</f>
        <v>1.2468</v>
      </c>
      <c r="F349" s="22">
        <f t="shared" si="11"/>
        <v>106.6744637</v>
      </c>
      <c r="G349" s="22">
        <f t="shared" si="79"/>
        <v>11.38980651</v>
      </c>
      <c r="H349" s="22">
        <f t="shared" si="80"/>
        <v>-33.34318879</v>
      </c>
    </row>
    <row r="350" ht="15.75" customHeight="1">
      <c r="A350" s="32">
        <f>IFERROR(__xludf.DUMMYFUNCTION("""COMPUTED_VALUE"""),38576.666666666664)</f>
        <v>38576.66667</v>
      </c>
      <c r="B350" s="22">
        <f>IFERROR(__xludf.DUMMYFUNCTION("""COMPUTED_VALUE"""),1230.39)</f>
        <v>1230.39</v>
      </c>
      <c r="C350" s="22">
        <f t="shared" si="10"/>
        <v>1405.004326</v>
      </c>
      <c r="D350" s="25">
        <f>IFERROR(__xludf.DUMMYFUNCTION("""COMPUTED_VALUE"""),38576.99861111111)</f>
        <v>38576.99861</v>
      </c>
      <c r="E350" s="22">
        <f>IFERROR(__xludf.DUMMYFUNCTION("""COMPUTED_VALUE"""),1.2437)</f>
        <v>1.2437</v>
      </c>
      <c r="F350" s="22">
        <f t="shared" si="11"/>
        <v>107.3276601</v>
      </c>
      <c r="G350" s="22">
        <f t="shared" si="79"/>
        <v>11.66755878</v>
      </c>
      <c r="H350" s="22">
        <f t="shared" si="80"/>
        <v>-33.58913017</v>
      </c>
    </row>
    <row r="351" ht="15.75" customHeight="1">
      <c r="A351" s="32">
        <f>IFERROR(__xludf.DUMMYFUNCTION("""COMPUTED_VALUE"""),38583.666666666664)</f>
        <v>38583.66667</v>
      </c>
      <c r="B351" s="22">
        <f>IFERROR(__xludf.DUMMYFUNCTION("""COMPUTED_VALUE"""),1219.71)</f>
        <v>1219.71</v>
      </c>
      <c r="C351" s="22">
        <f t="shared" si="10"/>
        <v>1393.34903</v>
      </c>
      <c r="D351" s="25">
        <f>IFERROR(__xludf.DUMMYFUNCTION("""COMPUTED_VALUE"""),38583.99861111111)</f>
        <v>38583.99861</v>
      </c>
      <c r="E351" s="22">
        <f>IFERROR(__xludf.DUMMYFUNCTION("""COMPUTED_VALUE"""),1.2146)</f>
        <v>1.2146</v>
      </c>
      <c r="F351" s="22">
        <f t="shared" si="11"/>
        <v>108.9873961</v>
      </c>
      <c r="G351" s="22">
        <f t="shared" si="79"/>
        <v>10.14728737</v>
      </c>
      <c r="H351" s="22">
        <f t="shared" si="80"/>
        <v>-33.54301403</v>
      </c>
    </row>
    <row r="352" ht="15.75" customHeight="1">
      <c r="A352" s="32">
        <f>IFERROR(__xludf.DUMMYFUNCTION("""COMPUTED_VALUE"""),38590.666666666664)</f>
        <v>38590.66667</v>
      </c>
      <c r="B352" s="22">
        <f>IFERROR(__xludf.DUMMYFUNCTION("""COMPUTED_VALUE"""),1205.1)</f>
        <v>1205.1</v>
      </c>
      <c r="C352" s="22">
        <f t="shared" si="10"/>
        <v>1377.19504</v>
      </c>
      <c r="D352" s="25">
        <f>IFERROR(__xludf.DUMMYFUNCTION("""COMPUTED_VALUE"""),38590.99861111111)</f>
        <v>38590.99861</v>
      </c>
      <c r="E352" s="22">
        <f>IFERROR(__xludf.DUMMYFUNCTION("""COMPUTED_VALUE"""),1.2288)</f>
        <v>1.2288</v>
      </c>
      <c r="F352" s="22">
        <f t="shared" si="11"/>
        <v>106.4789798</v>
      </c>
      <c r="G352" s="22">
        <f t="shared" si="79"/>
        <v>11.42524154</v>
      </c>
      <c r="H352" s="22">
        <f t="shared" si="80"/>
        <v>-35.89332886</v>
      </c>
    </row>
    <row r="353" ht="15.75" customHeight="1">
      <c r="A353" s="32">
        <f>IFERROR(__xludf.DUMMYFUNCTION("""COMPUTED_VALUE"""),38597.666666666664)</f>
        <v>38597.66667</v>
      </c>
      <c r="B353" s="22">
        <f>IFERROR(__xludf.DUMMYFUNCTION("""COMPUTED_VALUE"""),1218.02)</f>
        <v>1218.02</v>
      </c>
      <c r="C353" s="22">
        <f t="shared" si="10"/>
        <v>1392.489779</v>
      </c>
      <c r="D353" s="25">
        <f>IFERROR(__xludf.DUMMYFUNCTION("""COMPUTED_VALUE"""),38597.99861111111)</f>
        <v>38597.99861</v>
      </c>
      <c r="E353" s="22">
        <f>IFERROR(__xludf.DUMMYFUNCTION("""COMPUTED_VALUE"""),1.2524)</f>
        <v>1.2524</v>
      </c>
      <c r="F353" s="22">
        <f t="shared" si="11"/>
        <v>105.6327512</v>
      </c>
      <c r="G353" s="22">
        <f t="shared" si="79"/>
        <v>13.25844932</v>
      </c>
      <c r="H353" s="22">
        <f t="shared" si="80"/>
        <v>-37.47384815</v>
      </c>
    </row>
    <row r="354" ht="15.75" customHeight="1">
      <c r="A354" s="32">
        <f>IFERROR(__xludf.DUMMYFUNCTION("""COMPUTED_VALUE"""),38604.666666666664)</f>
        <v>38604.66667</v>
      </c>
      <c r="B354" s="22">
        <f>IFERROR(__xludf.DUMMYFUNCTION("""COMPUTED_VALUE"""),1241.48)</f>
        <v>1241.48</v>
      </c>
      <c r="C354" s="22">
        <f t="shared" si="10"/>
        <v>1419.845774</v>
      </c>
      <c r="D354" s="25">
        <f>IFERROR(__xludf.DUMMYFUNCTION("""COMPUTED_VALUE"""),38604.99861111111)</f>
        <v>38604.99861</v>
      </c>
      <c r="E354" s="22">
        <f>IFERROR(__xludf.DUMMYFUNCTION("""COMPUTED_VALUE"""),1.239)</f>
        <v>1.239</v>
      </c>
      <c r="F354" s="22">
        <f t="shared" si="11"/>
        <v>108.8728272</v>
      </c>
      <c r="G354" s="22">
        <f t="shared" si="79"/>
        <v>16.04400457</v>
      </c>
      <c r="H354" s="22">
        <f t="shared" si="80"/>
        <v>-35.4844292</v>
      </c>
    </row>
    <row r="355" ht="15.75" customHeight="1">
      <c r="A355" s="32">
        <f>IFERROR(__xludf.DUMMYFUNCTION("""COMPUTED_VALUE"""),38611.666666666664)</f>
        <v>38611.66667</v>
      </c>
      <c r="B355" s="22">
        <f>IFERROR(__xludf.DUMMYFUNCTION("""COMPUTED_VALUE"""),1237.91)</f>
        <v>1237.91</v>
      </c>
      <c r="C355" s="22">
        <f t="shared" si="10"/>
        <v>1416.30896</v>
      </c>
      <c r="D355" s="25">
        <f>IFERROR(__xludf.DUMMYFUNCTION("""COMPUTED_VALUE"""),38611.99861111111)</f>
        <v>38611.99861</v>
      </c>
      <c r="E355" s="22">
        <f>IFERROR(__xludf.DUMMYFUNCTION("""COMPUTED_VALUE"""),1.2233)</f>
        <v>1.2233</v>
      </c>
      <c r="F355" s="22">
        <f t="shared" si="11"/>
        <v>109.9954348</v>
      </c>
      <c r="G355" s="22">
        <f t="shared" si="79"/>
        <v>24.82229149</v>
      </c>
      <c r="H355" s="22">
        <f t="shared" si="80"/>
        <v>-32.3393161</v>
      </c>
    </row>
    <row r="356" ht="15.75" customHeight="1">
      <c r="A356" s="32">
        <f>IFERROR(__xludf.DUMMYFUNCTION("""COMPUTED_VALUE"""),38618.666666666664)</f>
        <v>38618.66667</v>
      </c>
      <c r="B356" s="22">
        <f>IFERROR(__xludf.DUMMYFUNCTION("""COMPUTED_VALUE"""),1215.29)</f>
        <v>1215.29</v>
      </c>
      <c r="C356" s="22">
        <f t="shared" si="10"/>
        <v>1390.973857</v>
      </c>
      <c r="D356" s="25">
        <f>IFERROR(__xludf.DUMMYFUNCTION("""COMPUTED_VALUE"""),38618.99861111111)</f>
        <v>38618.99861</v>
      </c>
      <c r="E356" s="22">
        <f>IFERROR(__xludf.DUMMYFUNCTION("""COMPUTED_VALUE"""),1.2036)</f>
        <v>1.2036</v>
      </c>
      <c r="F356" s="22">
        <f t="shared" si="11"/>
        <v>109.7959758</v>
      </c>
      <c r="G356" s="22">
        <f t="shared" si="79"/>
        <v>26.8206243</v>
      </c>
      <c r="H356" s="22">
        <f t="shared" si="80"/>
        <v>-31.31663747</v>
      </c>
    </row>
    <row r="357" ht="15.75" customHeight="1">
      <c r="A357" s="32">
        <f>IFERROR(__xludf.DUMMYFUNCTION("""COMPUTED_VALUE"""),38625.666666666664)</f>
        <v>38625.66667</v>
      </c>
      <c r="B357" s="22">
        <f>IFERROR(__xludf.DUMMYFUNCTION("""COMPUTED_VALUE"""),1228.81)</f>
        <v>1228.81</v>
      </c>
      <c r="C357" s="22">
        <f t="shared" si="10"/>
        <v>1406.983316</v>
      </c>
      <c r="D357" s="25">
        <f>IFERROR(__xludf.DUMMYFUNCTION("""COMPUTED_VALUE"""),38625.99861111111)</f>
        <v>38625.99861</v>
      </c>
      <c r="E357" s="22">
        <f>IFERROR(__xludf.DUMMYFUNCTION("""COMPUTED_VALUE"""),1.2025)</f>
        <v>1.2025</v>
      </c>
      <c r="F357" s="22">
        <f t="shared" si="11"/>
        <v>111.1612691</v>
      </c>
      <c r="G357" s="22">
        <f t="shared" si="79"/>
        <v>32.64681698</v>
      </c>
      <c r="H357" s="22">
        <f t="shared" si="80"/>
        <v>-30.40669035</v>
      </c>
    </row>
    <row r="358" ht="15.75" customHeight="1">
      <c r="A358" s="32">
        <f>IFERROR(__xludf.DUMMYFUNCTION("""COMPUTED_VALUE"""),38632.666666666664)</f>
        <v>38632.66667</v>
      </c>
      <c r="B358" s="22">
        <f>IFERROR(__xludf.DUMMYFUNCTION("""COMPUTED_VALUE"""),1195.9)</f>
        <v>1195.9</v>
      </c>
      <c r="C358" s="22">
        <f t="shared" si="10"/>
        <v>1369.842624</v>
      </c>
      <c r="D358" s="25">
        <f>IFERROR(__xludf.DUMMYFUNCTION("""COMPUTED_VALUE"""),38632.99861111111)</f>
        <v>38632.99861</v>
      </c>
      <c r="E358" s="22">
        <f>IFERROR(__xludf.DUMMYFUNCTION("""COMPUTED_VALUE"""),1.2127)</f>
        <v>1.2127</v>
      </c>
      <c r="F358" s="22">
        <f t="shared" si="11"/>
        <v>107.3166067</v>
      </c>
      <c r="G358" s="22">
        <f t="shared" si="79"/>
        <v>23.70936559</v>
      </c>
      <c r="H358" s="22">
        <f t="shared" si="80"/>
        <v>-32.0877097</v>
      </c>
    </row>
    <row r="359" ht="15.75" customHeight="1">
      <c r="A359" s="32">
        <f>IFERROR(__xludf.DUMMYFUNCTION("""COMPUTED_VALUE"""),38639.666666666664)</f>
        <v>38639.66667</v>
      </c>
      <c r="B359" s="22">
        <f>IFERROR(__xludf.DUMMYFUNCTION("""COMPUTED_VALUE"""),1186.57)</f>
        <v>1186.57</v>
      </c>
      <c r="C359" s="22">
        <f t="shared" si="10"/>
        <v>1359.682446</v>
      </c>
      <c r="D359" s="25">
        <f>IFERROR(__xludf.DUMMYFUNCTION("""COMPUTED_VALUE"""),38639.99861111111)</f>
        <v>38639.99861</v>
      </c>
      <c r="E359" s="22">
        <f>IFERROR(__xludf.DUMMYFUNCTION("""COMPUTED_VALUE"""),1.2074)</f>
        <v>1.2074</v>
      </c>
      <c r="F359" s="22">
        <f t="shared" si="11"/>
        <v>106.9882178</v>
      </c>
      <c r="G359" s="22">
        <f t="shared" si="79"/>
        <v>14.6181723</v>
      </c>
      <c r="H359" s="22">
        <f t="shared" si="80"/>
        <v>-34.52894665</v>
      </c>
    </row>
    <row r="360" ht="15.75" customHeight="1">
      <c r="A360" s="32">
        <f>IFERROR(__xludf.DUMMYFUNCTION("""COMPUTED_VALUE"""),38646.666666666664)</f>
        <v>38646.66667</v>
      </c>
      <c r="B360" s="22">
        <f>IFERROR(__xludf.DUMMYFUNCTION("""COMPUTED_VALUE"""),1179.59)</f>
        <v>1179.59</v>
      </c>
      <c r="C360" s="22">
        <f t="shared" si="10"/>
        <v>1352.207066</v>
      </c>
      <c r="D360" s="25">
        <f>IFERROR(__xludf.DUMMYFUNCTION("""COMPUTED_VALUE"""),38646.99861111111)</f>
        <v>38646.99861</v>
      </c>
      <c r="E360" s="22">
        <f>IFERROR(__xludf.DUMMYFUNCTION("""COMPUTED_VALUE"""),1.1966)</f>
        <v>1.1966</v>
      </c>
      <c r="F360" s="22">
        <f t="shared" si="11"/>
        <v>107.3603297</v>
      </c>
      <c r="G360" s="22">
        <f t="shared" si="79"/>
        <v>13.85658319</v>
      </c>
      <c r="H360" s="22">
        <f t="shared" si="80"/>
        <v>-33.81725748</v>
      </c>
    </row>
    <row r="361" ht="15.75" customHeight="1">
      <c r="A361" s="32">
        <f>IFERROR(__xludf.DUMMYFUNCTION("""COMPUTED_VALUE"""),38653.666666666664)</f>
        <v>38653.66667</v>
      </c>
      <c r="B361" s="22">
        <f>IFERROR(__xludf.DUMMYFUNCTION("""COMPUTED_VALUE"""),1198.41)</f>
        <v>1198.41</v>
      </c>
      <c r="C361" s="22">
        <f t="shared" si="10"/>
        <v>1374.301199</v>
      </c>
      <c r="D361" s="25">
        <f>IFERROR(__xludf.DUMMYFUNCTION("""COMPUTED_VALUE"""),38653.99861111111)</f>
        <v>38653.99861</v>
      </c>
      <c r="E361" s="22">
        <f>IFERROR(__xludf.DUMMYFUNCTION("""COMPUTED_VALUE"""),1.2062)</f>
        <v>1.2062</v>
      </c>
      <c r="F361" s="22">
        <f t="shared" si="11"/>
        <v>108.2460943</v>
      </c>
      <c r="G361" s="22">
        <f t="shared" si="79"/>
        <v>16.61348391</v>
      </c>
      <c r="H361" s="22">
        <f t="shared" si="80"/>
        <v>-33.29054013</v>
      </c>
    </row>
    <row r="362" ht="15.75" customHeight="1">
      <c r="A362" s="32">
        <f>IFERROR(__xludf.DUMMYFUNCTION("""COMPUTED_VALUE"""),38660.666666666664)</f>
        <v>38660.66667</v>
      </c>
      <c r="B362" s="22">
        <f>IFERROR(__xludf.DUMMYFUNCTION("""COMPUTED_VALUE"""),1220.14)</f>
        <v>1220.14</v>
      </c>
      <c r="C362" s="22">
        <f t="shared" si="10"/>
        <v>1399.749099</v>
      </c>
      <c r="D362" s="25">
        <f>IFERROR(__xludf.DUMMYFUNCTION("""COMPUTED_VALUE"""),38660.99861111111)</f>
        <v>38660.99861</v>
      </c>
      <c r="E362" s="22">
        <f>IFERROR(__xludf.DUMMYFUNCTION("""COMPUTED_VALUE"""),1.1812)</f>
        <v>1.1812</v>
      </c>
      <c r="F362" s="22">
        <f t="shared" si="11"/>
        <v>112.5839268</v>
      </c>
      <c r="G362" s="22">
        <f t="shared" si="79"/>
        <v>24.57212083</v>
      </c>
      <c r="H362" s="22">
        <f t="shared" si="80"/>
        <v>-28.13047688</v>
      </c>
    </row>
    <row r="363" ht="15.75" customHeight="1">
      <c r="A363" s="32">
        <f>IFERROR(__xludf.DUMMYFUNCTION("""COMPUTED_VALUE"""),38667.666666666664)</f>
        <v>38667.66667</v>
      </c>
      <c r="B363" s="22">
        <f>IFERROR(__xludf.DUMMYFUNCTION("""COMPUTED_VALUE"""),1234.72)</f>
        <v>1234.72</v>
      </c>
      <c r="C363" s="22">
        <f t="shared" si="10"/>
        <v>1417.013693</v>
      </c>
      <c r="D363" s="25">
        <f>IFERROR(__xludf.DUMMYFUNCTION("""COMPUTED_VALUE"""),38667.99861111111)</f>
        <v>38667.99861</v>
      </c>
      <c r="E363" s="22">
        <f>IFERROR(__xludf.DUMMYFUNCTION("""COMPUTED_VALUE"""),1.1735)</f>
        <v>1.1735</v>
      </c>
      <c r="F363" s="22">
        <f t="shared" si="11"/>
        <v>114.7203827</v>
      </c>
      <c r="G363" s="22">
        <f t="shared" si="79"/>
        <v>23.95952704</v>
      </c>
      <c r="H363" s="22">
        <f t="shared" si="80"/>
        <v>-27.58561786</v>
      </c>
    </row>
    <row r="364" ht="15.75" customHeight="1">
      <c r="A364" s="32">
        <f>IFERROR(__xludf.DUMMYFUNCTION("""COMPUTED_VALUE"""),38674.666666666664)</f>
        <v>38674.66667</v>
      </c>
      <c r="B364" s="22">
        <f>IFERROR(__xludf.DUMMYFUNCTION("""COMPUTED_VALUE"""),1248.27)</f>
        <v>1248.27</v>
      </c>
      <c r="C364" s="22">
        <f t="shared" si="10"/>
        <v>1433.109217</v>
      </c>
      <c r="D364" s="25">
        <f>IFERROR(__xludf.DUMMYFUNCTION("""COMPUTED_VALUE"""),38674.99861111111)</f>
        <v>38674.99861</v>
      </c>
      <c r="E364" s="22">
        <f>IFERROR(__xludf.DUMMYFUNCTION("""COMPUTED_VALUE"""),1.1774)</f>
        <v>1.1774</v>
      </c>
      <c r="F364" s="22">
        <f t="shared" si="11"/>
        <v>115.6391502</v>
      </c>
      <c r="G364" s="22">
        <f t="shared" si="79"/>
        <v>20.56372474</v>
      </c>
      <c r="H364" s="22">
        <f t="shared" si="80"/>
        <v>-26.88935877</v>
      </c>
    </row>
    <row r="365" ht="15.75" customHeight="1">
      <c r="A365" s="32">
        <f>IFERROR(__xludf.DUMMYFUNCTION("""COMPUTED_VALUE"""),38681.666666666664)</f>
        <v>38681.66667</v>
      </c>
      <c r="B365" s="22">
        <f>IFERROR(__xludf.DUMMYFUNCTION("""COMPUTED_VALUE"""),1268.25)</f>
        <v>1268.25</v>
      </c>
      <c r="C365" s="22">
        <f t="shared" si="10"/>
        <v>1456.598977</v>
      </c>
      <c r="D365" s="25">
        <f>IFERROR(__xludf.DUMMYFUNCTION("""COMPUTED_VALUE"""),38681.99861111111)</f>
        <v>38681.99861</v>
      </c>
      <c r="E365" s="22">
        <f>IFERROR(__xludf.DUMMYFUNCTION("""COMPUTED_VALUE"""),1.172)</f>
        <v>1.172</v>
      </c>
      <c r="F365" s="22">
        <f t="shared" si="11"/>
        <v>118.0761062</v>
      </c>
      <c r="G365" s="22">
        <f t="shared" si="79"/>
        <v>21.94455043</v>
      </c>
      <c r="H365" s="22">
        <f t="shared" si="80"/>
        <v>-20.09542743</v>
      </c>
    </row>
    <row r="366" ht="15.75" customHeight="1">
      <c r="A366" s="32">
        <f>IFERROR(__xludf.DUMMYFUNCTION("""COMPUTED_VALUE"""),38688.666666666664)</f>
        <v>38688.66667</v>
      </c>
      <c r="B366" s="22">
        <f>IFERROR(__xludf.DUMMYFUNCTION("""COMPUTED_VALUE"""),1265.08)</f>
        <v>1265.08</v>
      </c>
      <c r="C366" s="22">
        <f t="shared" si="10"/>
        <v>1453.518428</v>
      </c>
      <c r="D366" s="25">
        <f>IFERROR(__xludf.DUMMYFUNCTION("""COMPUTED_VALUE"""),38688.99861111111)</f>
        <v>38688.99861</v>
      </c>
      <c r="E366" s="22">
        <f>IFERROR(__xludf.DUMMYFUNCTION("""COMPUTED_VALUE"""),1.1709)</f>
        <v>1.1709</v>
      </c>
      <c r="F366" s="22">
        <f t="shared" si="11"/>
        <v>117.9370798</v>
      </c>
      <c r="G366" s="22">
        <f t="shared" si="79"/>
        <v>26.89071876</v>
      </c>
      <c r="H366" s="22">
        <f t="shared" si="80"/>
        <v>-22.62911067</v>
      </c>
    </row>
    <row r="367" ht="15.75" customHeight="1">
      <c r="A367" s="32">
        <f>IFERROR(__xludf.DUMMYFUNCTION("""COMPUTED_VALUE"""),38695.666666666664)</f>
        <v>38695.66667</v>
      </c>
      <c r="B367" s="22">
        <f>IFERROR(__xludf.DUMMYFUNCTION("""COMPUTED_VALUE"""),1259.37)</f>
        <v>1259.37</v>
      </c>
      <c r="C367" s="22">
        <f t="shared" si="10"/>
        <v>1447.516947</v>
      </c>
      <c r="D367" s="25">
        <f>IFERROR(__xludf.DUMMYFUNCTION("""COMPUTED_VALUE"""),38695.99861111111)</f>
        <v>38695.99861</v>
      </c>
      <c r="E367" s="22">
        <f>IFERROR(__xludf.DUMMYFUNCTION("""COMPUTED_VALUE"""),1.1814)</f>
        <v>1.1814</v>
      </c>
      <c r="F367" s="22">
        <f t="shared" si="11"/>
        <v>116.4062569</v>
      </c>
      <c r="G367" s="22">
        <f t="shared" si="79"/>
        <v>30.26676232</v>
      </c>
      <c r="H367" s="22">
        <f t="shared" si="80"/>
        <v>-19.59288755</v>
      </c>
    </row>
    <row r="368" ht="15.75" customHeight="1">
      <c r="A368" s="32">
        <f>IFERROR(__xludf.DUMMYFUNCTION("""COMPUTED_VALUE"""),38702.666666666664)</f>
        <v>38702.66667</v>
      </c>
      <c r="B368" s="22">
        <f>IFERROR(__xludf.DUMMYFUNCTION("""COMPUTED_VALUE"""),1267.32)</f>
        <v>1267.32</v>
      </c>
      <c r="C368" s="22">
        <f t="shared" si="10"/>
        <v>1457.211396</v>
      </c>
      <c r="D368" s="25">
        <f>IFERROR(__xludf.DUMMYFUNCTION("""COMPUTED_VALUE"""),38702.99861111111)</f>
        <v>38702.99861</v>
      </c>
      <c r="E368" s="22">
        <f>IFERROR(__xludf.DUMMYFUNCTION("""COMPUTED_VALUE"""),1.2011)</f>
        <v>1.2011</v>
      </c>
      <c r="F368" s="22">
        <f t="shared" si="11"/>
        <v>115.2638246</v>
      </c>
      <c r="G368" s="22">
        <f t="shared" si="79"/>
        <v>28.31021858</v>
      </c>
      <c r="H368" s="22">
        <f t="shared" si="80"/>
        <v>-17.50782546</v>
      </c>
    </row>
    <row r="369" ht="15.75" customHeight="1">
      <c r="A369" s="32">
        <f>IFERROR(__xludf.DUMMYFUNCTION("""COMPUTED_VALUE"""),38709.666666666664)</f>
        <v>38709.66667</v>
      </c>
      <c r="B369" s="22">
        <f>IFERROR(__xludf.DUMMYFUNCTION("""COMPUTED_VALUE"""),1268.66)</f>
        <v>1268.66</v>
      </c>
      <c r="C369" s="22">
        <f t="shared" si="10"/>
        <v>1459.312644</v>
      </c>
      <c r="D369" s="25">
        <f>IFERROR(__xludf.DUMMYFUNCTION("""COMPUTED_VALUE"""),38709.99861111111)</f>
        <v>38709.99861</v>
      </c>
      <c r="E369" s="22">
        <f>IFERROR(__xludf.DUMMYFUNCTION("""COMPUTED_VALUE"""),1.1871)</f>
        <v>1.1871</v>
      </c>
      <c r="F369" s="22">
        <f t="shared" si="11"/>
        <v>116.7913489</v>
      </c>
      <c r="G369" s="22">
        <f t="shared" si="79"/>
        <v>35.34102349</v>
      </c>
      <c r="H369" s="22">
        <f t="shared" si="80"/>
        <v>-15.81704555</v>
      </c>
    </row>
    <row r="370" ht="15.75" customHeight="1">
      <c r="A370" s="32">
        <f>IFERROR(__xludf.DUMMYFUNCTION("""COMPUTED_VALUE"""),38716.666666666664)</f>
        <v>38716.66667</v>
      </c>
      <c r="B370" s="22">
        <f>IFERROR(__xludf.DUMMYFUNCTION("""COMPUTED_VALUE"""),1248.29)</f>
        <v>1248.29</v>
      </c>
      <c r="C370" s="22">
        <f t="shared" si="10"/>
        <v>1436.44274</v>
      </c>
      <c r="D370" s="25">
        <f>IFERROR(__xludf.DUMMYFUNCTION("""COMPUTED_VALUE"""),38716.99861111111)</f>
        <v>38716.99861</v>
      </c>
      <c r="E370" s="22">
        <f>IFERROR(__xludf.DUMMYFUNCTION("""COMPUTED_VALUE"""),1.1824)</f>
        <v>1.1824</v>
      </c>
      <c r="F370" s="22">
        <f t="shared" si="11"/>
        <v>115.4179966</v>
      </c>
      <c r="G370" s="22">
        <f t="shared" si="79"/>
        <v>28.58166566</v>
      </c>
      <c r="H370" s="22">
        <f t="shared" si="80"/>
        <v>-14.10481915</v>
      </c>
    </row>
    <row r="371" ht="15.75" customHeight="1">
      <c r="A371" s="32">
        <f>IFERROR(__xludf.DUMMYFUNCTION("""COMPUTED_VALUE"""),38723.666666666664)</f>
        <v>38723.66667</v>
      </c>
      <c r="B371" s="22">
        <f>IFERROR(__xludf.DUMMYFUNCTION("""COMPUTED_VALUE"""),1285.45)</f>
        <v>1285.45</v>
      </c>
      <c r="C371" s="22">
        <f t="shared" si="10"/>
        <v>1479.756284</v>
      </c>
      <c r="D371" s="25">
        <f>IFERROR(__xludf.DUMMYFUNCTION("""COMPUTED_VALUE"""),38723.99861111111)</f>
        <v>38723.99861</v>
      </c>
      <c r="E371" s="22">
        <f>IFERROR(__xludf.DUMMYFUNCTION("""COMPUTED_VALUE"""),1.2152)</f>
        <v>1.2152</v>
      </c>
      <c r="F371" s="22">
        <f t="shared" si="11"/>
        <v>115.6889998</v>
      </c>
      <c r="G371" s="22">
        <f t="shared" si="79"/>
        <v>27.99075124</v>
      </c>
      <c r="H371" s="22">
        <f t="shared" si="80"/>
        <v>-15.42333718</v>
      </c>
    </row>
    <row r="372" ht="15.75" customHeight="1">
      <c r="A372" s="32">
        <f>IFERROR(__xludf.DUMMYFUNCTION("""COMPUTED_VALUE"""),38730.666666666664)</f>
        <v>38730.66667</v>
      </c>
      <c r="B372" s="22">
        <f>IFERROR(__xludf.DUMMYFUNCTION("""COMPUTED_VALUE"""),1287.61)</f>
        <v>1287.61</v>
      </c>
      <c r="C372" s="22">
        <f t="shared" si="10"/>
        <v>1482.811923</v>
      </c>
      <c r="D372" s="25">
        <f>IFERROR(__xludf.DUMMYFUNCTION("""COMPUTED_VALUE"""),38730.99861111111)</f>
        <v>38730.99861</v>
      </c>
      <c r="E372" s="22">
        <f>IFERROR(__xludf.DUMMYFUNCTION("""COMPUTED_VALUE"""),1.2117)</f>
        <v>1.2117</v>
      </c>
      <c r="F372" s="22">
        <f t="shared" si="11"/>
        <v>116.2627512</v>
      </c>
      <c r="G372" s="22">
        <f t="shared" si="79"/>
        <v>33.49032166</v>
      </c>
      <c r="H372" s="22">
        <f t="shared" si="80"/>
        <v>-18.20816508</v>
      </c>
    </row>
    <row r="373" ht="15.75" customHeight="1">
      <c r="A373" s="32">
        <f>IFERROR(__xludf.DUMMYFUNCTION("""COMPUTED_VALUE"""),38737.666666666664)</f>
        <v>38737.66667</v>
      </c>
      <c r="B373" s="22">
        <f>IFERROR(__xludf.DUMMYFUNCTION("""COMPUTED_VALUE"""),1261.49)</f>
        <v>1261.49</v>
      </c>
      <c r="C373" s="22">
        <f t="shared" si="10"/>
        <v>1453.302438</v>
      </c>
      <c r="D373" s="25">
        <f>IFERROR(__xludf.DUMMYFUNCTION("""COMPUTED_VALUE"""),38737.99861111111)</f>
        <v>38737.99861</v>
      </c>
      <c r="E373" s="22">
        <f>IFERROR(__xludf.DUMMYFUNCTION("""COMPUTED_VALUE"""),1.2136)</f>
        <v>1.2136</v>
      </c>
      <c r="F373" s="22">
        <f t="shared" si="11"/>
        <v>113.7706052</v>
      </c>
      <c r="G373" s="22">
        <f t="shared" si="79"/>
        <v>38.6959425</v>
      </c>
      <c r="H373" s="22">
        <f t="shared" si="80"/>
        <v>-21.64770695</v>
      </c>
    </row>
    <row r="374" ht="15.75" customHeight="1">
      <c r="A374" s="32">
        <f>IFERROR(__xludf.DUMMYFUNCTION("""COMPUTED_VALUE"""),38744.666666666664)</f>
        <v>38744.66667</v>
      </c>
      <c r="B374" s="22">
        <f>IFERROR(__xludf.DUMMYFUNCTION("""COMPUTED_VALUE"""),1283.72)</f>
        <v>1283.72</v>
      </c>
      <c r="C374" s="22">
        <f t="shared" si="10"/>
        <v>1479.471523</v>
      </c>
      <c r="D374" s="25">
        <f>IFERROR(__xludf.DUMMYFUNCTION("""COMPUTED_VALUE"""),38744.99861111111)</f>
        <v>38744.99861</v>
      </c>
      <c r="E374" s="22">
        <f>IFERROR(__xludf.DUMMYFUNCTION("""COMPUTED_VALUE"""),1.2096)</f>
        <v>1.2096</v>
      </c>
      <c r="F374" s="22">
        <f t="shared" si="11"/>
        <v>116.202231</v>
      </c>
      <c r="G374" s="22">
        <f t="shared" si="79"/>
        <v>41.79820297</v>
      </c>
      <c r="H374" s="22">
        <f t="shared" si="80"/>
        <v>-18.68885456</v>
      </c>
    </row>
    <row r="375" ht="15.75" customHeight="1">
      <c r="A375" s="32">
        <f>IFERROR(__xludf.DUMMYFUNCTION("""COMPUTED_VALUE"""),38751.666666666664)</f>
        <v>38751.66667</v>
      </c>
      <c r="B375" s="22">
        <f>IFERROR(__xludf.DUMMYFUNCTION("""COMPUTED_VALUE"""),1264.03)</f>
        <v>1264.03</v>
      </c>
      <c r="C375" s="22">
        <f t="shared" si="10"/>
        <v>1457.348068</v>
      </c>
      <c r="D375" s="25">
        <f>IFERROR(__xludf.DUMMYFUNCTION("""COMPUTED_VALUE"""),38751.99861111111)</f>
        <v>38751.99861</v>
      </c>
      <c r="E375" s="22">
        <f>IFERROR(__xludf.DUMMYFUNCTION("""COMPUTED_VALUE"""),1.2024)</f>
        <v>1.2024</v>
      </c>
      <c r="F375" s="22">
        <f t="shared" si="11"/>
        <v>115.1500036</v>
      </c>
      <c r="G375" s="22">
        <f t="shared" si="79"/>
        <v>45.49395717</v>
      </c>
      <c r="H375" s="22">
        <f t="shared" si="80"/>
        <v>-18.32031218</v>
      </c>
    </row>
    <row r="376" ht="15.75" customHeight="1">
      <c r="A376" s="32">
        <f>IFERROR(__xludf.DUMMYFUNCTION("""COMPUTED_VALUE"""),38758.666666666664)</f>
        <v>38758.66667</v>
      </c>
      <c r="B376" s="22">
        <f>IFERROR(__xludf.DUMMYFUNCTION("""COMPUTED_VALUE"""),1266.99)</f>
        <v>1266.99</v>
      </c>
      <c r="C376" s="22">
        <f t="shared" si="10"/>
        <v>1461.321282</v>
      </c>
      <c r="D376" s="25">
        <f>IFERROR(__xludf.DUMMYFUNCTION("""COMPUTED_VALUE"""),38758.99861111111)</f>
        <v>38758.99861</v>
      </c>
      <c r="E376" s="22">
        <f>IFERROR(__xludf.DUMMYFUNCTION("""COMPUTED_VALUE"""),1.2064)</f>
        <v>1.2064</v>
      </c>
      <c r="F376" s="22">
        <f t="shared" si="11"/>
        <v>115.0811027</v>
      </c>
      <c r="G376" s="22">
        <f t="shared" si="79"/>
        <v>44.09881626</v>
      </c>
      <c r="H376" s="22">
        <f t="shared" si="80"/>
        <v>-18.51298453</v>
      </c>
    </row>
    <row r="377" ht="15.75" customHeight="1">
      <c r="A377" s="32">
        <f>IFERROR(__xludf.DUMMYFUNCTION("""COMPUTED_VALUE"""),38765.666666666664)</f>
        <v>38765.66667</v>
      </c>
      <c r="B377" s="22">
        <f>IFERROR(__xludf.DUMMYFUNCTION("""COMPUTED_VALUE"""),1287.24)</f>
        <v>1287.24</v>
      </c>
      <c r="C377" s="22">
        <f t="shared" si="10"/>
        <v>1485.23928</v>
      </c>
      <c r="D377" s="25">
        <f>IFERROR(__xludf.DUMMYFUNCTION("""COMPUTED_VALUE"""),38765.99861111111)</f>
        <v>38765.99861</v>
      </c>
      <c r="E377" s="22">
        <f>IFERROR(__xludf.DUMMYFUNCTION("""COMPUTED_VALUE"""),1.1925)</f>
        <v>1.1925</v>
      </c>
      <c r="F377" s="22">
        <f t="shared" si="11"/>
        <v>118.3280405</v>
      </c>
      <c r="G377" s="22">
        <f t="shared" si="79"/>
        <v>45.38408242</v>
      </c>
      <c r="H377" s="22">
        <f t="shared" si="80"/>
        <v>-11.97412819</v>
      </c>
    </row>
    <row r="378" ht="15.75" customHeight="1">
      <c r="A378" s="32">
        <f>IFERROR(__xludf.DUMMYFUNCTION("""COMPUTED_VALUE"""),38772.666666666664)</f>
        <v>38772.66667</v>
      </c>
      <c r="B378" s="22">
        <f>IFERROR(__xludf.DUMMYFUNCTION("""COMPUTED_VALUE"""),1289.43)</f>
        <v>1289.43</v>
      </c>
      <c r="C378" s="22">
        <f t="shared" si="10"/>
        <v>1488.337385</v>
      </c>
      <c r="D378" s="25">
        <f>IFERROR(__xludf.DUMMYFUNCTION("""COMPUTED_VALUE"""),38772.99861111111)</f>
        <v>38772.99861</v>
      </c>
      <c r="E378" s="22">
        <f>IFERROR(__xludf.DUMMYFUNCTION("""COMPUTED_VALUE"""),1.1873)</f>
        <v>1.1873</v>
      </c>
      <c r="F378" s="22">
        <f t="shared" si="11"/>
        <v>119.094185</v>
      </c>
      <c r="G378" s="22">
        <f t="shared" si="79"/>
        <v>48.09251494</v>
      </c>
      <c r="H378" s="22">
        <f t="shared" si="80"/>
        <v>-9.033537033</v>
      </c>
    </row>
    <row r="379" ht="15.75" customHeight="1">
      <c r="A379" s="32">
        <f>IFERROR(__xludf.DUMMYFUNCTION("""COMPUTED_VALUE"""),38779.666666666664)</f>
        <v>38779.66667</v>
      </c>
      <c r="B379" s="22">
        <f>IFERROR(__xludf.DUMMYFUNCTION("""COMPUTED_VALUE"""),1287.23)</f>
        <v>1287.23</v>
      </c>
      <c r="C379" s="22">
        <f t="shared" si="10"/>
        <v>1486.37045</v>
      </c>
      <c r="D379" s="25">
        <f>IFERROR(__xludf.DUMMYFUNCTION("""COMPUTED_VALUE"""),38779.99861111111)</f>
        <v>38779.99861</v>
      </c>
      <c r="E379" s="22">
        <f>IFERROR(__xludf.DUMMYFUNCTION("""COMPUTED_VALUE"""),1.2038)</f>
        <v>1.2038</v>
      </c>
      <c r="F379" s="22">
        <f t="shared" si="11"/>
        <v>117.3065758</v>
      </c>
      <c r="G379" s="22">
        <f t="shared" si="79"/>
        <v>50.76336768</v>
      </c>
      <c r="H379" s="22">
        <f t="shared" si="80"/>
        <v>-10.58901386</v>
      </c>
    </row>
    <row r="380" ht="15.75" customHeight="1">
      <c r="A380" s="32">
        <f>IFERROR(__xludf.DUMMYFUNCTION("""COMPUTED_VALUE"""),38786.666666666664)</f>
        <v>38786.66667</v>
      </c>
      <c r="B380" s="22">
        <f>IFERROR(__xludf.DUMMYFUNCTION("""COMPUTED_VALUE"""),1281.58)</f>
        <v>1281.58</v>
      </c>
      <c r="C380" s="22">
        <f t="shared" si="10"/>
        <v>1480.41805</v>
      </c>
      <c r="D380" s="25">
        <f>IFERROR(__xludf.DUMMYFUNCTION("""COMPUTED_VALUE"""),38786.99861111111)</f>
        <v>38786.99861</v>
      </c>
      <c r="E380" s="22">
        <f>IFERROR(__xludf.DUMMYFUNCTION("""COMPUTED_VALUE"""),1.1907)</f>
        <v>1.1907</v>
      </c>
      <c r="F380" s="22">
        <f t="shared" si="11"/>
        <v>118.122234</v>
      </c>
      <c r="G380" s="22">
        <f t="shared" si="79"/>
        <v>47.28075843</v>
      </c>
      <c r="H380" s="22">
        <f t="shared" si="80"/>
        <v>-7.316547755</v>
      </c>
    </row>
    <row r="381" ht="15.75" customHeight="1">
      <c r="A381" s="32">
        <f>IFERROR(__xludf.DUMMYFUNCTION("""COMPUTED_VALUE"""),38793.666666666664)</f>
        <v>38793.66667</v>
      </c>
      <c r="B381" s="22">
        <f>IFERROR(__xludf.DUMMYFUNCTION("""COMPUTED_VALUE"""),1307.25)</f>
        <v>1307.25</v>
      </c>
      <c r="C381" s="22">
        <f t="shared" si="10"/>
        <v>1510.64016</v>
      </c>
      <c r="D381" s="25">
        <f>IFERROR(__xludf.DUMMYFUNCTION("""COMPUTED_VALUE"""),38793.99861111111)</f>
        <v>38793.99861</v>
      </c>
      <c r="E381" s="22">
        <f>IFERROR(__xludf.DUMMYFUNCTION("""COMPUTED_VALUE"""),1.2189)</f>
        <v>1.2189</v>
      </c>
      <c r="F381" s="22">
        <f t="shared" si="11"/>
        <v>117.7450296</v>
      </c>
      <c r="G381" s="22">
        <f t="shared" si="79"/>
        <v>33.70242364</v>
      </c>
      <c r="H381" s="22">
        <f t="shared" si="80"/>
        <v>-7.509311319</v>
      </c>
    </row>
    <row r="382" ht="15.75" customHeight="1">
      <c r="A382" s="32">
        <f>IFERROR(__xludf.DUMMYFUNCTION("""COMPUTED_VALUE"""),38800.666666666664)</f>
        <v>38800.66667</v>
      </c>
      <c r="B382" s="22">
        <f>IFERROR(__xludf.DUMMYFUNCTION("""COMPUTED_VALUE"""),1302.95)</f>
        <v>1302.95</v>
      </c>
      <c r="C382" s="22">
        <f t="shared" si="10"/>
        <v>1506.252155</v>
      </c>
      <c r="D382" s="25">
        <f>IFERROR(__xludf.DUMMYFUNCTION("""COMPUTED_VALUE"""),38800.99861111111)</f>
        <v>38800.99861</v>
      </c>
      <c r="E382" s="22">
        <f>IFERROR(__xludf.DUMMYFUNCTION("""COMPUTED_VALUE"""),1.2032)</f>
        <v>1.2032</v>
      </c>
      <c r="F382" s="22">
        <f t="shared" si="11"/>
        <v>118.9349493</v>
      </c>
      <c r="G382" s="22">
        <f t="shared" si="79"/>
        <v>43.47358722</v>
      </c>
      <c r="H382" s="22">
        <f t="shared" si="80"/>
        <v>-9.722811893</v>
      </c>
    </row>
    <row r="383" ht="15.75" customHeight="1">
      <c r="A383" s="32">
        <f>IFERROR(__xludf.DUMMYFUNCTION("""COMPUTED_VALUE"""),38807.666666666664)</f>
        <v>38807.66667</v>
      </c>
      <c r="B383" s="22">
        <f>IFERROR(__xludf.DUMMYFUNCTION("""COMPUTED_VALUE"""),1294.83)</f>
        <v>1294.83</v>
      </c>
      <c r="C383" s="22">
        <f t="shared" si="10"/>
        <v>1497.444501</v>
      </c>
      <c r="D383" s="25">
        <f>IFERROR(__xludf.DUMMYFUNCTION("""COMPUTED_VALUE"""),38807.99861111111)</f>
        <v>38807.99861</v>
      </c>
      <c r="E383" s="22">
        <f>IFERROR(__xludf.DUMMYFUNCTION("""COMPUTED_VALUE"""),1.2111)</f>
        <v>1.2111</v>
      </c>
      <c r="F383" s="22">
        <f t="shared" si="11"/>
        <v>117.4682139</v>
      </c>
      <c r="G383" s="22">
        <f t="shared" si="79"/>
        <v>38.60835471</v>
      </c>
      <c r="H383" s="22">
        <f t="shared" si="80"/>
        <v>-5.346741002</v>
      </c>
    </row>
    <row r="384" ht="15.75" customHeight="1">
      <c r="A384" s="32">
        <f>IFERROR(__xludf.DUMMYFUNCTION("""COMPUTED_VALUE"""),38814.666666666664)</f>
        <v>38814.66667</v>
      </c>
      <c r="B384" s="22">
        <f>IFERROR(__xludf.DUMMYFUNCTION("""COMPUTED_VALUE"""),1295.5)</f>
        <v>1295.5</v>
      </c>
      <c r="C384" s="22">
        <f t="shared" si="10"/>
        <v>1498.795283</v>
      </c>
      <c r="D384" s="25">
        <f>IFERROR(__xludf.DUMMYFUNCTION("""COMPUTED_VALUE"""),38814.99861111111)</f>
        <v>38814.99861</v>
      </c>
      <c r="E384" s="22">
        <f>IFERROR(__xludf.DUMMYFUNCTION("""COMPUTED_VALUE"""),1.2097)</f>
        <v>1.2097</v>
      </c>
      <c r="F384" s="22">
        <f t="shared" si="11"/>
        <v>117.710247</v>
      </c>
      <c r="G384" s="22">
        <f t="shared" si="79"/>
        <v>40.80180394</v>
      </c>
      <c r="H384" s="22">
        <f t="shared" si="80"/>
        <v>-11.19832875</v>
      </c>
    </row>
    <row r="385" ht="15.75" customHeight="1">
      <c r="A385" s="32">
        <f>IFERROR(__xludf.DUMMYFUNCTION("""COMPUTED_VALUE"""),38821.666666666664)</f>
        <v>38821.66667</v>
      </c>
      <c r="B385" s="22">
        <f>IFERROR(__xludf.DUMMYFUNCTION("""COMPUTED_VALUE"""),1270.52)</f>
        <v>1270.52</v>
      </c>
      <c r="C385" s="22">
        <f t="shared" si="10"/>
        <v>1470.471776</v>
      </c>
      <c r="D385" s="25">
        <f>IFERROR(__xludf.DUMMYFUNCTION("""COMPUTED_VALUE"""),38821.99861111111)</f>
        <v>38821.99861</v>
      </c>
      <c r="E385" s="22">
        <f>IFERROR(__xludf.DUMMYFUNCTION("""COMPUTED_VALUE"""),1.2108)</f>
        <v>1.2108</v>
      </c>
      <c r="F385" s="22">
        <f t="shared" si="11"/>
        <v>115.380898</v>
      </c>
      <c r="G385" s="22">
        <f t="shared" si="79"/>
        <v>35.70652547</v>
      </c>
      <c r="H385" s="22">
        <f t="shared" si="80"/>
        <v>-15.90836931</v>
      </c>
    </row>
    <row r="386" ht="15.75" customHeight="1">
      <c r="A386" s="32">
        <f>IFERROR(__xludf.DUMMYFUNCTION("""COMPUTED_VALUE"""),38828.666666666664)</f>
        <v>38828.66667</v>
      </c>
      <c r="B386" s="22">
        <f>IFERROR(__xludf.DUMMYFUNCTION("""COMPUTED_VALUE"""),1311.28)</f>
        <v>1311.28</v>
      </c>
      <c r="C386" s="22">
        <f t="shared" si="10"/>
        <v>1518.212066</v>
      </c>
      <c r="D386" s="25">
        <f>IFERROR(__xludf.DUMMYFUNCTION("""COMPUTED_VALUE"""),38828.99861111111)</f>
        <v>38828.99861</v>
      </c>
      <c r="E386" s="22">
        <f>IFERROR(__xludf.DUMMYFUNCTION("""COMPUTED_VALUE"""),1.2338)</f>
        <v>1.2338</v>
      </c>
      <c r="F386" s="22">
        <f t="shared" si="11"/>
        <v>116.9061361</v>
      </c>
      <c r="G386" s="22">
        <f t="shared" si="79"/>
        <v>38.54373546</v>
      </c>
      <c r="H386" s="22">
        <f t="shared" si="80"/>
        <v>-16.59504223</v>
      </c>
    </row>
    <row r="387" ht="15.75" customHeight="1">
      <c r="A387" s="32">
        <f>IFERROR(__xludf.DUMMYFUNCTION("""COMPUTED_VALUE"""),38835.666666666664)</f>
        <v>38835.66667</v>
      </c>
      <c r="B387" s="22">
        <f>IFERROR(__xludf.DUMMYFUNCTION("""COMPUTED_VALUE"""),1310.61)</f>
        <v>1310.61</v>
      </c>
      <c r="C387" s="22">
        <f t="shared" si="10"/>
        <v>1518.020261</v>
      </c>
      <c r="D387" s="25">
        <f>IFERROR(__xludf.DUMMYFUNCTION("""COMPUTED_VALUE"""),38835.99861111111)</f>
        <v>38835.99861</v>
      </c>
      <c r="E387" s="22">
        <f>IFERROR(__xludf.DUMMYFUNCTION("""COMPUTED_VALUE"""),1.2633)</f>
        <v>1.2633</v>
      </c>
      <c r="F387" s="22">
        <f t="shared" si="11"/>
        <v>114.1617733</v>
      </c>
      <c r="G387" s="22">
        <f t="shared" si="79"/>
        <v>32.96802073</v>
      </c>
      <c r="H387" s="22">
        <f t="shared" si="80"/>
        <v>-19.25385916</v>
      </c>
    </row>
    <row r="388" ht="15.75" customHeight="1">
      <c r="A388" s="32">
        <f>IFERROR(__xludf.DUMMYFUNCTION("""COMPUTED_VALUE"""),38842.666666666664)</f>
        <v>38842.66667</v>
      </c>
      <c r="B388" s="22">
        <f>IFERROR(__xludf.DUMMYFUNCTION("""COMPUTED_VALUE"""),1325.76)</f>
        <v>1325.76</v>
      </c>
      <c r="C388" s="22">
        <f t="shared" si="10"/>
        <v>1536.151675</v>
      </c>
      <c r="D388" s="25">
        <f>IFERROR(__xludf.DUMMYFUNCTION("""COMPUTED_VALUE"""),38842.99861111111)</f>
        <v>38842.99861</v>
      </c>
      <c r="E388" s="22">
        <f>IFERROR(__xludf.DUMMYFUNCTION("""COMPUTED_VALUE"""),1.2723)</f>
        <v>1.2723</v>
      </c>
      <c r="F388" s="22">
        <f t="shared" si="11"/>
        <v>114.7081315</v>
      </c>
      <c r="G388" s="22">
        <f t="shared" si="79"/>
        <v>36.14646467</v>
      </c>
      <c r="H388" s="22">
        <f t="shared" si="80"/>
        <v>-19.14439996</v>
      </c>
    </row>
    <row r="389" ht="15.75" customHeight="1">
      <c r="A389" s="32">
        <f>IFERROR(__xludf.DUMMYFUNCTION("""COMPUTED_VALUE"""),38849.666666666664)</f>
        <v>38849.66667</v>
      </c>
      <c r="B389" s="22">
        <f>IFERROR(__xludf.DUMMYFUNCTION("""COMPUTED_VALUE"""),1291.24)</f>
        <v>1291.24</v>
      </c>
      <c r="C389" s="22">
        <f t="shared" si="10"/>
        <v>1496.744346</v>
      </c>
      <c r="D389" s="25">
        <f>IFERROR(__xludf.DUMMYFUNCTION("""COMPUTED_VALUE"""),38849.99861111111)</f>
        <v>38849.99861</v>
      </c>
      <c r="E389" s="22">
        <f>IFERROR(__xludf.DUMMYFUNCTION("""COMPUTED_VALUE"""),1.2915)</f>
        <v>1.2915</v>
      </c>
      <c r="F389" s="22">
        <f t="shared" si="11"/>
        <v>110.1039373</v>
      </c>
      <c r="G389" s="22">
        <f t="shared" si="79"/>
        <v>30.33964254</v>
      </c>
      <c r="H389" s="22">
        <f t="shared" si="80"/>
        <v>-24.90868029</v>
      </c>
    </row>
    <row r="390" ht="15.75" customHeight="1">
      <c r="A390" s="32">
        <f>IFERROR(__xludf.DUMMYFUNCTION("""COMPUTED_VALUE"""),38856.666666666664)</f>
        <v>38856.66667</v>
      </c>
      <c r="B390" s="22">
        <f>IFERROR(__xludf.DUMMYFUNCTION("""COMPUTED_VALUE"""),1267.03)</f>
        <v>1267.03</v>
      </c>
      <c r="C390" s="22">
        <f t="shared" si="10"/>
        <v>1469.25693</v>
      </c>
      <c r="D390" s="25">
        <f>IFERROR(__xludf.DUMMYFUNCTION("""COMPUTED_VALUE"""),38856.99861111111)</f>
        <v>38856.99861</v>
      </c>
      <c r="E390" s="22">
        <f>IFERROR(__xludf.DUMMYFUNCTION("""COMPUTED_VALUE"""),1.2763)</f>
        <v>1.2763</v>
      </c>
      <c r="F390" s="22">
        <f t="shared" si="11"/>
        <v>109.3690935</v>
      </c>
      <c r="G390" s="22">
        <f t="shared" si="79"/>
        <v>33.71173414</v>
      </c>
      <c r="H390" s="22">
        <f t="shared" si="80"/>
        <v>-26.10321564</v>
      </c>
    </row>
    <row r="391" ht="15.75" customHeight="1">
      <c r="A391" s="32">
        <f>IFERROR(__xludf.DUMMYFUNCTION("""COMPUTED_VALUE"""),38863.666666666664)</f>
        <v>38863.66667</v>
      </c>
      <c r="B391" s="22">
        <f>IFERROR(__xludf.DUMMYFUNCTION("""COMPUTED_VALUE"""),1280.16)</f>
        <v>1280.16</v>
      </c>
      <c r="C391" s="22">
        <f t="shared" si="10"/>
        <v>1485.047669</v>
      </c>
      <c r="D391" s="25">
        <f>IFERROR(__xludf.DUMMYFUNCTION("""COMPUTED_VALUE"""),38863.99861111111)</f>
        <v>38863.99861</v>
      </c>
      <c r="E391" s="22">
        <f>IFERROR(__xludf.DUMMYFUNCTION("""COMPUTED_VALUE"""),1.2733)</f>
        <v>1.2733</v>
      </c>
      <c r="F391" s="22">
        <f t="shared" si="11"/>
        <v>110.8049825</v>
      </c>
      <c r="G391" s="22">
        <f t="shared" si="79"/>
        <v>30.52841579</v>
      </c>
      <c r="H391" s="22">
        <f t="shared" si="80"/>
        <v>-25.30339046</v>
      </c>
    </row>
    <row r="392" ht="15.75" customHeight="1">
      <c r="A392" s="32">
        <f>IFERROR(__xludf.DUMMYFUNCTION("""COMPUTED_VALUE"""),38870.666666666664)</f>
        <v>38870.66667</v>
      </c>
      <c r="B392" s="22">
        <f>IFERROR(__xludf.DUMMYFUNCTION("""COMPUTED_VALUE"""),1288.22)</f>
        <v>1288.22</v>
      </c>
      <c r="C392" s="22">
        <f t="shared" si="10"/>
        <v>1494.968832</v>
      </c>
      <c r="D392" s="25">
        <f>IFERROR(__xludf.DUMMYFUNCTION("""COMPUTED_VALUE"""),38870.99861111111)</f>
        <v>38870.99861</v>
      </c>
      <c r="E392" s="22">
        <f>IFERROR(__xludf.DUMMYFUNCTION("""COMPUTED_VALUE"""),1.2916)</f>
        <v>1.2916</v>
      </c>
      <c r="F392" s="22">
        <f t="shared" si="11"/>
        <v>109.964812</v>
      </c>
      <c r="G392" s="22">
        <f t="shared" si="79"/>
        <v>25.41029335</v>
      </c>
      <c r="H392" s="22">
        <f t="shared" si="80"/>
        <v>-25.84508437</v>
      </c>
    </row>
    <row r="393" ht="15.75" customHeight="1">
      <c r="A393" s="32">
        <f>IFERROR(__xludf.DUMMYFUNCTION("""COMPUTED_VALUE"""),38877.666666666664)</f>
        <v>38877.66667</v>
      </c>
      <c r="B393" s="22">
        <f>IFERROR(__xludf.DUMMYFUNCTION("""COMPUTED_VALUE"""),1252.3)</f>
        <v>1252.3</v>
      </c>
      <c r="C393" s="22">
        <f t="shared" si="10"/>
        <v>1453.858952</v>
      </c>
      <c r="D393" s="25">
        <f>IFERROR(__xludf.DUMMYFUNCTION("""COMPUTED_VALUE"""),38877.99861111111)</f>
        <v>38877.99861</v>
      </c>
      <c r="E393" s="22">
        <f>IFERROR(__xludf.DUMMYFUNCTION("""COMPUTED_VALUE"""),1.2638)</f>
        <v>1.2638</v>
      </c>
      <c r="F393" s="22">
        <f t="shared" si="11"/>
        <v>109.2933047</v>
      </c>
      <c r="G393" s="22">
        <f t="shared" si="79"/>
        <v>26.28794792</v>
      </c>
      <c r="H393" s="22">
        <f t="shared" si="80"/>
        <v>-22.28309333</v>
      </c>
    </row>
    <row r="394" ht="15.75" customHeight="1">
      <c r="A394" s="32">
        <f>IFERROR(__xludf.DUMMYFUNCTION("""COMPUTED_VALUE"""),38884.666666666664)</f>
        <v>38884.66667</v>
      </c>
      <c r="B394" s="22">
        <f>IFERROR(__xludf.DUMMYFUNCTION("""COMPUTED_VALUE"""),1251.54)</f>
        <v>1251.54</v>
      </c>
      <c r="C394" s="22">
        <f t="shared" si="10"/>
        <v>1453.535806</v>
      </c>
      <c r="D394" s="25">
        <f>IFERROR(__xludf.DUMMYFUNCTION("""COMPUTED_VALUE"""),38884.99861111111)</f>
        <v>38884.99861</v>
      </c>
      <c r="E394" s="22">
        <f>IFERROR(__xludf.DUMMYFUNCTION("""COMPUTED_VALUE"""),1.2638)</f>
        <v>1.2638</v>
      </c>
      <c r="F394" s="22">
        <f t="shared" si="11"/>
        <v>109.2690123</v>
      </c>
      <c r="G394" s="22">
        <f t="shared" si="79"/>
        <v>22.5264223</v>
      </c>
      <c r="H394" s="22">
        <f t="shared" si="80"/>
        <v>-23.46423798</v>
      </c>
    </row>
    <row r="395" ht="15.75" customHeight="1">
      <c r="A395" s="32">
        <f>IFERROR(__xludf.DUMMYFUNCTION("""COMPUTED_VALUE"""),38891.666666666664)</f>
        <v>38891.66667</v>
      </c>
      <c r="B395" s="22">
        <f>IFERROR(__xludf.DUMMYFUNCTION("""COMPUTED_VALUE"""),1244.5)</f>
        <v>1244.5</v>
      </c>
      <c r="C395" s="22">
        <f t="shared" si="10"/>
        <v>1445.918618</v>
      </c>
      <c r="D395" s="25">
        <f>IFERROR(__xludf.DUMMYFUNCTION("""COMPUTED_VALUE"""),38891.99861111111)</f>
        <v>38891.99861</v>
      </c>
      <c r="E395" s="22">
        <f>IFERROR(__xludf.DUMMYFUNCTION("""COMPUTED_VALUE"""),1.2508)</f>
        <v>1.2508</v>
      </c>
      <c r="F395" s="22">
        <f t="shared" si="11"/>
        <v>109.8261125</v>
      </c>
      <c r="G395" s="22">
        <f t="shared" si="79"/>
        <v>23.68595725</v>
      </c>
      <c r="H395" s="22">
        <f t="shared" si="80"/>
        <v>-23.91432419</v>
      </c>
    </row>
    <row r="396" ht="15.75" customHeight="1">
      <c r="A396" s="32">
        <f>IFERROR(__xludf.DUMMYFUNCTION("""COMPUTED_VALUE"""),38898.666666666664)</f>
        <v>38898.66667</v>
      </c>
      <c r="B396" s="22">
        <f>IFERROR(__xludf.DUMMYFUNCTION("""COMPUTED_VALUE"""),1270.2)</f>
        <v>1270.2</v>
      </c>
      <c r="C396" s="22">
        <f t="shared" si="10"/>
        <v>1476.334209</v>
      </c>
      <c r="D396" s="25">
        <f>IFERROR(__xludf.DUMMYFUNCTION("""COMPUTED_VALUE"""),38898.99861111111)</f>
        <v>38898.99861</v>
      </c>
      <c r="E396" s="22">
        <f>IFERROR(__xludf.DUMMYFUNCTION("""COMPUTED_VALUE"""),1.279)</f>
        <v>1.279</v>
      </c>
      <c r="F396" s="22">
        <f t="shared" si="11"/>
        <v>109.6639217</v>
      </c>
      <c r="G396" s="22">
        <f t="shared" si="79"/>
        <v>22.9321533</v>
      </c>
      <c r="H396" s="22">
        <f t="shared" si="80"/>
        <v>-21.89168596</v>
      </c>
    </row>
    <row r="397" ht="15.75" customHeight="1">
      <c r="A397" s="32">
        <f>IFERROR(__xludf.DUMMYFUNCTION("""COMPUTED_VALUE"""),38905.666666666664)</f>
        <v>38905.66667</v>
      </c>
      <c r="B397" s="22">
        <f>IFERROR(__xludf.DUMMYFUNCTION("""COMPUTED_VALUE"""),1265.48)</f>
        <v>1265.48</v>
      </c>
      <c r="C397" s="22">
        <f t="shared" si="10"/>
        <v>1471.416045</v>
      </c>
      <c r="D397" s="25">
        <f>IFERROR(__xludf.DUMMYFUNCTION("""COMPUTED_VALUE"""),38905.99861111111)</f>
        <v>38905.99861</v>
      </c>
      <c r="E397" s="22">
        <f>IFERROR(__xludf.DUMMYFUNCTION("""COMPUTED_VALUE"""),1.2818)</f>
        <v>1.2818</v>
      </c>
      <c r="F397" s="22">
        <f t="shared" si="11"/>
        <v>109.0598395</v>
      </c>
      <c r="G397" s="22">
        <f t="shared" si="79"/>
        <v>18.43928205</v>
      </c>
      <c r="H397" s="22">
        <f t="shared" si="80"/>
        <v>-23.34345144</v>
      </c>
    </row>
    <row r="398" ht="15.75" customHeight="1">
      <c r="A398" s="32">
        <f>IFERROR(__xludf.DUMMYFUNCTION("""COMPUTED_VALUE"""),38912.666666666664)</f>
        <v>38912.66667</v>
      </c>
      <c r="B398" s="22">
        <f>IFERROR(__xludf.DUMMYFUNCTION("""COMPUTED_VALUE"""),1236.2)</f>
        <v>1236.2</v>
      </c>
      <c r="C398" s="22">
        <f t="shared" si="10"/>
        <v>1437.937136</v>
      </c>
      <c r="D398" s="25">
        <f>IFERROR(__xludf.DUMMYFUNCTION("""COMPUTED_VALUE"""),38912.99861111111)</f>
        <v>38912.99861</v>
      </c>
      <c r="E398" s="22">
        <f>IFERROR(__xludf.DUMMYFUNCTION("""COMPUTED_VALUE"""),1.2649)</f>
        <v>1.2649</v>
      </c>
      <c r="F398" s="22">
        <f t="shared" si="11"/>
        <v>108.0023838</v>
      </c>
      <c r="G398" s="22">
        <f t="shared" si="79"/>
        <v>17.6357262</v>
      </c>
      <c r="H398" s="22">
        <f t="shared" si="80"/>
        <v>-22.28798878</v>
      </c>
    </row>
    <row r="399" ht="15.75" customHeight="1">
      <c r="A399" s="32">
        <f>IFERROR(__xludf.DUMMYFUNCTION("""COMPUTED_VALUE"""),38919.666666666664)</f>
        <v>38919.66667</v>
      </c>
      <c r="B399" s="22">
        <f>IFERROR(__xludf.DUMMYFUNCTION("""COMPUTED_VALUE"""),1240.29)</f>
        <v>1240.29</v>
      </c>
      <c r="C399" s="22">
        <f t="shared" si="10"/>
        <v>1443.247641</v>
      </c>
      <c r="D399" s="25">
        <f>IFERROR(__xludf.DUMMYFUNCTION("""COMPUTED_VALUE"""),38919.99861111111)</f>
        <v>38919.99861</v>
      </c>
      <c r="E399" s="22">
        <f>IFERROR(__xludf.DUMMYFUNCTION("""COMPUTED_VALUE"""),1.2693)</f>
        <v>1.2693</v>
      </c>
      <c r="F399" s="22">
        <f t="shared" si="11"/>
        <v>108.0254814</v>
      </c>
      <c r="G399" s="22">
        <f t="shared" si="79"/>
        <v>19.57136615</v>
      </c>
      <c r="H399" s="22">
        <f t="shared" si="80"/>
        <v>-21.45782801</v>
      </c>
    </row>
    <row r="400" ht="15.75" customHeight="1">
      <c r="A400" s="32">
        <f>IFERROR(__xludf.DUMMYFUNCTION("""COMPUTED_VALUE"""),38926.666666666664)</f>
        <v>38926.66667</v>
      </c>
      <c r="B400" s="22">
        <f>IFERROR(__xludf.DUMMYFUNCTION("""COMPUTED_VALUE"""),1278.55)</f>
        <v>1278.55</v>
      </c>
      <c r="C400" s="22">
        <f t="shared" si="10"/>
        <v>1488.323498</v>
      </c>
      <c r="D400" s="25">
        <f>IFERROR(__xludf.DUMMYFUNCTION("""COMPUTED_VALUE"""),38926.99861111111)</f>
        <v>38926.99861</v>
      </c>
      <c r="E400" s="22">
        <f>IFERROR(__xludf.DUMMYFUNCTION("""COMPUTED_VALUE"""),1.2745)</f>
        <v>1.2745</v>
      </c>
      <c r="F400" s="22">
        <f t="shared" si="11"/>
        <v>110.9448463</v>
      </c>
      <c r="G400" s="22">
        <f t="shared" si="79"/>
        <v>22.57602598</v>
      </c>
      <c r="H400" s="22">
        <f t="shared" si="80"/>
        <v>-19.31161788</v>
      </c>
    </row>
    <row r="401" ht="15.75" customHeight="1">
      <c r="A401" s="32">
        <f>IFERROR(__xludf.DUMMYFUNCTION("""COMPUTED_VALUE"""),38933.666666666664)</f>
        <v>38933.66667</v>
      </c>
      <c r="B401" s="22">
        <f>IFERROR(__xludf.DUMMYFUNCTION("""COMPUTED_VALUE"""),1279.36)</f>
        <v>1279.36</v>
      </c>
      <c r="C401" s="22">
        <f t="shared" si="10"/>
        <v>1489.838828</v>
      </c>
      <c r="D401" s="25">
        <f>IFERROR(__xludf.DUMMYFUNCTION("""COMPUTED_VALUE"""),38933.99861111111)</f>
        <v>38933.99861</v>
      </c>
      <c r="E401" s="22">
        <f>IFERROR(__xludf.DUMMYFUNCTION("""COMPUTED_VALUE"""),1.2872)</f>
        <v>1.2872</v>
      </c>
      <c r="F401" s="22">
        <f t="shared" si="11"/>
        <v>109.9620661</v>
      </c>
      <c r="G401" s="22">
        <f t="shared" si="79"/>
        <v>22.06364889</v>
      </c>
      <c r="H401" s="22">
        <f t="shared" si="80"/>
        <v>-17.61153091</v>
      </c>
    </row>
    <row r="402" ht="15.75" customHeight="1">
      <c r="A402" s="32">
        <f>IFERROR(__xludf.DUMMYFUNCTION("""COMPUTED_VALUE"""),38940.666666666664)</f>
        <v>38940.66667</v>
      </c>
      <c r="B402" s="22">
        <f>IFERROR(__xludf.DUMMYFUNCTION("""COMPUTED_VALUE"""),1266.74)</f>
        <v>1266.74</v>
      </c>
      <c r="C402" s="22">
        <f t="shared" si="10"/>
        <v>1475.715615</v>
      </c>
      <c r="D402" s="25">
        <f>IFERROR(__xludf.DUMMYFUNCTION("""COMPUTED_VALUE"""),38940.99861111111)</f>
        <v>38940.99861</v>
      </c>
      <c r="E402" s="22">
        <f>IFERROR(__xludf.DUMMYFUNCTION("""COMPUTED_VALUE"""),1.2713)</f>
        <v>1.2713</v>
      </c>
      <c r="F402" s="22">
        <f t="shared" si="11"/>
        <v>110.2819051</v>
      </c>
      <c r="G402" s="22">
        <f t="shared" si="79"/>
        <v>20.25341879</v>
      </c>
      <c r="H402" s="22">
        <f t="shared" si="80"/>
        <v>-13.06932747</v>
      </c>
    </row>
    <row r="403" ht="15.75" customHeight="1">
      <c r="A403" s="32">
        <f>IFERROR(__xludf.DUMMYFUNCTION("""COMPUTED_VALUE"""),38947.666666666664)</f>
        <v>38947.66667</v>
      </c>
      <c r="B403" s="22">
        <f>IFERROR(__xludf.DUMMYFUNCTION("""COMPUTED_VALUE"""),1302.3)</f>
        <v>1302.3</v>
      </c>
      <c r="C403" s="22">
        <f t="shared" si="10"/>
        <v>1517.709574</v>
      </c>
      <c r="D403" s="25">
        <f>IFERROR(__xludf.DUMMYFUNCTION("""COMPUTED_VALUE"""),38947.99861111111)</f>
        <v>38947.99861</v>
      </c>
      <c r="E403" s="22">
        <f>IFERROR(__xludf.DUMMYFUNCTION("""COMPUTED_VALUE"""),1.2836)</f>
        <v>1.2836</v>
      </c>
      <c r="F403" s="22">
        <f t="shared" si="11"/>
        <v>112.3333212</v>
      </c>
      <c r="G403" s="22">
        <f t="shared" si="79"/>
        <v>17.98576581</v>
      </c>
      <c r="H403" s="22">
        <f t="shared" si="80"/>
        <v>-13.57927712</v>
      </c>
    </row>
    <row r="404" ht="15.75" customHeight="1">
      <c r="A404" s="32">
        <f>IFERROR(__xludf.DUMMYFUNCTION("""COMPUTED_VALUE"""),38954.666666666664)</f>
        <v>38954.66667</v>
      </c>
      <c r="B404" s="22">
        <f>IFERROR(__xludf.DUMMYFUNCTION("""COMPUTED_VALUE"""),1295.09)</f>
        <v>1295.09</v>
      </c>
      <c r="C404" s="22">
        <f t="shared" si="10"/>
        <v>1509.890723</v>
      </c>
      <c r="D404" s="25">
        <f>IFERROR(__xludf.DUMMYFUNCTION("""COMPUTED_VALUE"""),38954.99861111111)</f>
        <v>38954.99861</v>
      </c>
      <c r="E404" s="22">
        <f>IFERROR(__xludf.DUMMYFUNCTION("""COMPUTED_VALUE"""),1.2753)</f>
        <v>1.2753</v>
      </c>
      <c r="F404" s="22">
        <f t="shared" si="11"/>
        <v>112.4819382</v>
      </c>
      <c r="G404" s="22">
        <f t="shared" si="79"/>
        <v>17.41289209</v>
      </c>
      <c r="H404" s="22">
        <f t="shared" si="80"/>
        <v>-9.690248088</v>
      </c>
    </row>
    <row r="405" ht="15.75" customHeight="1">
      <c r="A405" s="32">
        <f>IFERROR(__xludf.DUMMYFUNCTION("""COMPUTED_VALUE"""),38961.666666666664)</f>
        <v>38961.66667</v>
      </c>
      <c r="B405" s="22">
        <f>IFERROR(__xludf.DUMMYFUNCTION("""COMPUTED_VALUE"""),1311.01)</f>
        <v>1311.01</v>
      </c>
      <c r="C405" s="22">
        <f t="shared" si="10"/>
        <v>1529.031906</v>
      </c>
      <c r="D405" s="25">
        <f>IFERROR(__xludf.DUMMYFUNCTION("""COMPUTED_VALUE"""),38961.99861111111)</f>
        <v>38961.99861</v>
      </c>
      <c r="E405" s="22">
        <f>IFERROR(__xludf.DUMMYFUNCTION("""COMPUTED_VALUE"""),1.2833)</f>
        <v>1.2833</v>
      </c>
      <c r="F405" s="22">
        <f t="shared" si="11"/>
        <v>113.1978003</v>
      </c>
      <c r="G405" s="22">
        <f t="shared" si="79"/>
        <v>17.96262239</v>
      </c>
      <c r="H405" s="22">
        <f t="shared" si="80"/>
        <v>-6.015519218</v>
      </c>
    </row>
    <row r="406" ht="15.75" customHeight="1">
      <c r="A406" s="32">
        <f>IFERROR(__xludf.DUMMYFUNCTION("""COMPUTED_VALUE"""),38968.666666666664)</f>
        <v>38968.66667</v>
      </c>
      <c r="B406" s="22">
        <f>IFERROR(__xludf.DUMMYFUNCTION("""COMPUTED_VALUE"""),1298.92)</f>
        <v>1298.92</v>
      </c>
      <c r="C406" s="22">
        <f t="shared" si="10"/>
        <v>1515.51942</v>
      </c>
      <c r="D406" s="25">
        <f>IFERROR(__xludf.DUMMYFUNCTION("""COMPUTED_VALUE"""),38968.99861111111)</f>
        <v>38968.99861</v>
      </c>
      <c r="E406" s="22">
        <f>IFERROR(__xludf.DUMMYFUNCTION("""COMPUTED_VALUE"""),1.2672)</f>
        <v>1.2672</v>
      </c>
      <c r="F406" s="22">
        <f t="shared" si="11"/>
        <v>113.6229277</v>
      </c>
      <c r="G406" s="22">
        <f t="shared" si="79"/>
        <v>20.61218634</v>
      </c>
      <c r="H406" s="22">
        <f t="shared" si="80"/>
        <v>-4.612801106</v>
      </c>
    </row>
    <row r="407" ht="15.75" customHeight="1">
      <c r="A407" s="32">
        <f>IFERROR(__xludf.DUMMYFUNCTION("""COMPUTED_VALUE"""),38975.666666666664)</f>
        <v>38975.66667</v>
      </c>
      <c r="B407" s="22">
        <f>IFERROR(__xludf.DUMMYFUNCTION("""COMPUTED_VALUE"""),1319.87)</f>
        <v>1319.87</v>
      </c>
      <c r="C407" s="22">
        <f t="shared" si="10"/>
        <v>1540.545797</v>
      </c>
      <c r="D407" s="25">
        <f>IFERROR(__xludf.DUMMYFUNCTION("""COMPUTED_VALUE"""),38975.99861111111)</f>
        <v>38975.99861</v>
      </c>
      <c r="E407" s="22">
        <f>IFERROR(__xludf.DUMMYFUNCTION("""COMPUTED_VALUE"""),1.2645)</f>
        <v>1.2645</v>
      </c>
      <c r="F407" s="22">
        <f t="shared" si="11"/>
        <v>115.745846</v>
      </c>
      <c r="G407" s="22">
        <f t="shared" si="79"/>
        <v>21.64474934</v>
      </c>
      <c r="H407" s="22">
        <f t="shared" si="80"/>
        <v>9.144439277</v>
      </c>
    </row>
    <row r="408" ht="15.75" customHeight="1">
      <c r="A408" s="32">
        <f>IFERROR(__xludf.DUMMYFUNCTION("""COMPUTED_VALUE"""),38982.666666666664)</f>
        <v>38982.66667</v>
      </c>
      <c r="B408" s="22">
        <f>IFERROR(__xludf.DUMMYFUNCTION("""COMPUTED_VALUE"""),1314.78)</f>
        <v>1314.78</v>
      </c>
      <c r="C408" s="22">
        <f t="shared" si="10"/>
        <v>1535.197291</v>
      </c>
      <c r="D408" s="25">
        <f>IFERROR(__xludf.DUMMYFUNCTION("""COMPUTED_VALUE"""),38982.99861111111)</f>
        <v>38982.99861</v>
      </c>
      <c r="E408" s="22">
        <f>IFERROR(__xludf.DUMMYFUNCTION("""COMPUTED_VALUE"""),1.2776)</f>
        <v>1.2776</v>
      </c>
      <c r="F408" s="22">
        <f t="shared" si="11"/>
        <v>114.1613054</v>
      </c>
      <c r="G408" s="22">
        <f t="shared" si="79"/>
        <v>25.6094071</v>
      </c>
      <c r="H408" s="22">
        <f t="shared" si="80"/>
        <v>-0.4838184184</v>
      </c>
    </row>
    <row r="409" ht="15.75" customHeight="1">
      <c r="A409" s="32">
        <f>IFERROR(__xludf.DUMMYFUNCTION("""COMPUTED_VALUE"""),38989.666666666664)</f>
        <v>38989.66667</v>
      </c>
      <c r="B409" s="22">
        <f>IFERROR(__xludf.DUMMYFUNCTION("""COMPUTED_VALUE"""),1335.85)</f>
        <v>1335.85</v>
      </c>
      <c r="C409" s="22">
        <f t="shared" si="10"/>
        <v>1560.390048</v>
      </c>
      <c r="D409" s="25">
        <f>IFERROR(__xludf.DUMMYFUNCTION("""COMPUTED_VALUE"""),38989.99861111111)</f>
        <v>38989.99861</v>
      </c>
      <c r="E409" s="22">
        <f>IFERROR(__xludf.DUMMYFUNCTION("""COMPUTED_VALUE"""),1.2659)</f>
        <v>1.2659</v>
      </c>
      <c r="F409" s="22">
        <f t="shared" si="11"/>
        <v>117.1071484</v>
      </c>
      <c r="G409" s="22">
        <f t="shared" si="79"/>
        <v>25.93740255</v>
      </c>
      <c r="H409" s="22">
        <f t="shared" si="80"/>
        <v>-0.1023120393</v>
      </c>
    </row>
    <row r="410" ht="15.75" customHeight="1">
      <c r="A410" s="32">
        <f>IFERROR(__xludf.DUMMYFUNCTION("""COMPUTED_VALUE"""),38996.666666666664)</f>
        <v>38996.66667</v>
      </c>
      <c r="B410" s="22">
        <f>IFERROR(__xludf.DUMMYFUNCTION("""COMPUTED_VALUE"""),1349.58)</f>
        <v>1349.58</v>
      </c>
      <c r="C410" s="22">
        <f t="shared" si="10"/>
        <v>1577.028043</v>
      </c>
      <c r="D410" s="25">
        <f>IFERROR(__xludf.DUMMYFUNCTION("""COMPUTED_VALUE"""),38996.99861111111)</f>
        <v>38996.99861</v>
      </c>
      <c r="E410" s="22">
        <f>IFERROR(__xludf.DUMMYFUNCTION("""COMPUTED_VALUE"""),1.2601)</f>
        <v>1.2601</v>
      </c>
      <c r="F410" s="22">
        <f t="shared" si="11"/>
        <v>118.9005979</v>
      </c>
      <c r="G410" s="22">
        <f t="shared" si="79"/>
        <v>29.29302205</v>
      </c>
      <c r="H410" s="22">
        <f t="shared" si="80"/>
        <v>-1.263082469</v>
      </c>
    </row>
    <row r="411" ht="15.75" customHeight="1">
      <c r="A411" s="32">
        <f>IFERROR(__xludf.DUMMYFUNCTION("""COMPUTED_VALUE"""),39003.666666666664)</f>
        <v>39003.66667</v>
      </c>
      <c r="B411" s="22">
        <f>IFERROR(__xludf.DUMMYFUNCTION("""COMPUTED_VALUE"""),1365.62)</f>
        <v>1365.62</v>
      </c>
      <c r="C411" s="22">
        <f t="shared" si="10"/>
        <v>1596.377853</v>
      </c>
      <c r="D411" s="25">
        <f>IFERROR(__xludf.DUMMYFUNCTION("""COMPUTED_VALUE"""),39003.99861111111)</f>
        <v>39003.99861</v>
      </c>
      <c r="E411" s="22">
        <f>IFERROR(__xludf.DUMMYFUNCTION("""COMPUTED_VALUE"""),1.2531)</f>
        <v>1.2531</v>
      </c>
      <c r="F411" s="22">
        <f t="shared" si="11"/>
        <v>121.0318295</v>
      </c>
      <c r="G411" s="22">
        <f t="shared" si="79"/>
        <v>30.00889888</v>
      </c>
      <c r="H411" s="22">
        <f t="shared" si="80"/>
        <v>0.7768591075</v>
      </c>
    </row>
    <row r="412" ht="15.75" customHeight="1">
      <c r="A412" s="32">
        <f>IFERROR(__xludf.DUMMYFUNCTION("""COMPUTED_VALUE"""),39010.666666666664)</f>
        <v>39010.66667</v>
      </c>
      <c r="B412" s="22">
        <f>IFERROR(__xludf.DUMMYFUNCTION("""COMPUTED_VALUE"""),1368.6)</f>
        <v>1368.6</v>
      </c>
      <c r="C412" s="22">
        <f t="shared" si="10"/>
        <v>1600.475395</v>
      </c>
      <c r="D412" s="25">
        <f>IFERROR(__xludf.DUMMYFUNCTION("""COMPUTED_VALUE"""),39010.99861111111)</f>
        <v>39010.99861</v>
      </c>
      <c r="E412" s="22">
        <f>IFERROR(__xludf.DUMMYFUNCTION("""COMPUTED_VALUE"""),1.2611)</f>
        <v>1.2611</v>
      </c>
      <c r="F412" s="22">
        <f t="shared" si="11"/>
        <v>120.5727344</v>
      </c>
      <c r="G412" s="22">
        <f t="shared" si="79"/>
        <v>31.88396612</v>
      </c>
      <c r="H412" s="22">
        <f t="shared" si="80"/>
        <v>-3.046592281</v>
      </c>
    </row>
    <row r="413" ht="15.75" customHeight="1">
      <c r="A413" s="32">
        <f>IFERROR(__xludf.DUMMYFUNCTION("""COMPUTED_VALUE"""),39017.666666666664)</f>
        <v>39017.66667</v>
      </c>
      <c r="B413" s="22">
        <f>IFERROR(__xludf.DUMMYFUNCTION("""COMPUTED_VALUE"""),1377.34)</f>
        <v>1377.34</v>
      </c>
      <c r="C413" s="22">
        <f t="shared" si="10"/>
        <v>1611.311739</v>
      </c>
      <c r="D413" s="25">
        <f>IFERROR(__xludf.DUMMYFUNCTION("""COMPUTED_VALUE"""),39017.99861111111)</f>
        <v>39017.99861</v>
      </c>
      <c r="E413" s="22">
        <f>IFERROR(__xludf.DUMMYFUNCTION("""COMPUTED_VALUE"""),1.2739)</f>
        <v>1.2739</v>
      </c>
      <c r="F413" s="22">
        <f t="shared" si="11"/>
        <v>120.169393</v>
      </c>
      <c r="G413" s="22">
        <f t="shared" si="79"/>
        <v>26.51488453</v>
      </c>
      <c r="H413" s="22">
        <f t="shared" si="80"/>
        <v>-0.707971697</v>
      </c>
    </row>
    <row r="414" ht="15.75" customHeight="1">
      <c r="A414" s="32">
        <f>IFERROR(__xludf.DUMMYFUNCTION("""COMPUTED_VALUE"""),39024.666666666664)</f>
        <v>39024.66667</v>
      </c>
      <c r="B414" s="22">
        <f>IFERROR(__xludf.DUMMYFUNCTION("""COMPUTED_VALUE"""),1364.3)</f>
        <v>1364.3</v>
      </c>
      <c r="C414" s="22">
        <f t="shared" si="10"/>
        <v>1596.676341</v>
      </c>
      <c r="D414" s="25">
        <f>IFERROR(__xludf.DUMMYFUNCTION("""COMPUTED_VALUE"""),39024.99861111111)</f>
        <v>39024.99861</v>
      </c>
      <c r="E414" s="22">
        <f>IFERROR(__xludf.DUMMYFUNCTION("""COMPUTED_VALUE"""),1.2718)</f>
        <v>1.2718</v>
      </c>
      <c r="F414" s="22">
        <f t="shared" si="11"/>
        <v>119.2745271</v>
      </c>
      <c r="G414" s="22">
        <f t="shared" si="79"/>
        <v>24.55617357</v>
      </c>
      <c r="H414" s="22">
        <f t="shared" si="80"/>
        <v>-5.400957194</v>
      </c>
    </row>
    <row r="415" ht="15.75" customHeight="1">
      <c r="A415" s="32">
        <f>IFERROR(__xludf.DUMMYFUNCTION("""COMPUTED_VALUE"""),39031.666666666664)</f>
        <v>39031.66667</v>
      </c>
      <c r="B415" s="22">
        <f>IFERROR(__xludf.DUMMYFUNCTION("""COMPUTED_VALUE"""),1380.9)</f>
        <v>1380.9</v>
      </c>
      <c r="C415" s="22">
        <f t="shared" si="10"/>
        <v>1616.717866</v>
      </c>
      <c r="D415" s="25">
        <f>IFERROR(__xludf.DUMMYFUNCTION("""COMPUTED_VALUE"""),39031.99861111111)</f>
        <v>39031.99861</v>
      </c>
      <c r="E415" s="22">
        <f>IFERROR(__xludf.DUMMYFUNCTION("""COMPUTED_VALUE"""),1.285)</f>
        <v>1.285</v>
      </c>
      <c r="F415" s="22">
        <f t="shared" si="11"/>
        <v>119.5310526</v>
      </c>
      <c r="G415" s="22">
        <f t="shared" si="79"/>
        <v>27.90738363</v>
      </c>
      <c r="H415" s="22">
        <f t="shared" si="80"/>
        <v>-7.823564834</v>
      </c>
    </row>
    <row r="416" ht="15.75" customHeight="1">
      <c r="A416" s="32">
        <f>IFERROR(__xludf.DUMMYFUNCTION("""COMPUTED_VALUE"""),39038.666666666664)</f>
        <v>39038.66667</v>
      </c>
      <c r="B416" s="22">
        <f>IFERROR(__xludf.DUMMYFUNCTION("""COMPUTED_VALUE"""),1401.2)</f>
        <v>1401.2</v>
      </c>
      <c r="C416" s="22">
        <f t="shared" si="10"/>
        <v>1641.106335</v>
      </c>
      <c r="D416" s="25">
        <f>IFERROR(__xludf.DUMMYFUNCTION("""COMPUTED_VALUE"""),39038.99861111111)</f>
        <v>39038.99861</v>
      </c>
      <c r="E416" s="22">
        <f>IFERROR(__xludf.DUMMYFUNCTION("""COMPUTED_VALUE"""),1.2846)</f>
        <v>1.2846</v>
      </c>
      <c r="F416" s="22">
        <f t="shared" si="11"/>
        <v>121.3719804</v>
      </c>
      <c r="G416" s="22">
        <f t="shared" si="79"/>
        <v>33.30490019</v>
      </c>
      <c r="H416" s="22">
        <f t="shared" si="80"/>
        <v>-7.998090192</v>
      </c>
    </row>
    <row r="417" ht="15.75" customHeight="1">
      <c r="A417" s="32">
        <f>IFERROR(__xludf.DUMMYFUNCTION("""COMPUTED_VALUE"""),39045.666666666664)</f>
        <v>39045.66667</v>
      </c>
      <c r="B417" s="22">
        <f>IFERROR(__xludf.DUMMYFUNCTION("""COMPUTED_VALUE"""),1400.95)</f>
        <v>1400.95</v>
      </c>
      <c r="C417" s="22">
        <f t="shared" si="10"/>
        <v>1641.444726</v>
      </c>
      <c r="D417" s="25">
        <f>IFERROR(__xludf.DUMMYFUNCTION("""COMPUTED_VALUE"""),39045.99861111111)</f>
        <v>39045.99861</v>
      </c>
      <c r="E417" s="22">
        <f>IFERROR(__xludf.DUMMYFUNCTION("""COMPUTED_VALUE"""),1.3079)</f>
        <v>1.3079</v>
      </c>
      <c r="F417" s="22">
        <f t="shared" si="11"/>
        <v>119.2343414</v>
      </c>
      <c r="G417" s="22">
        <f t="shared" si="79"/>
        <v>28.82474106</v>
      </c>
      <c r="H417" s="22">
        <f t="shared" si="80"/>
        <v>-6.889000038</v>
      </c>
    </row>
    <row r="418" ht="15.75" customHeight="1">
      <c r="A418" s="32">
        <f>IFERROR(__xludf.DUMMYFUNCTION("""COMPUTED_VALUE"""),39052.666666666664)</f>
        <v>39052.66667</v>
      </c>
      <c r="B418" s="22">
        <f>IFERROR(__xludf.DUMMYFUNCTION("""COMPUTED_VALUE"""),1396.71)</f>
        <v>1396.71</v>
      </c>
      <c r="C418" s="22">
        <f t="shared" si="10"/>
        <v>1637.108189</v>
      </c>
      <c r="D418" s="25">
        <f>IFERROR(__xludf.DUMMYFUNCTION("""COMPUTED_VALUE"""),39052.99861111111)</f>
        <v>39052.99861</v>
      </c>
      <c r="E418" s="22">
        <f>IFERROR(__xludf.DUMMYFUNCTION("""COMPUTED_VALUE"""),1.3333)</f>
        <v>1.3333</v>
      </c>
      <c r="F418" s="22">
        <f t="shared" si="11"/>
        <v>116.6538659</v>
      </c>
      <c r="G418" s="22">
        <f t="shared" si="79"/>
        <v>27.63988973</v>
      </c>
      <c r="H418" s="22">
        <f t="shared" si="80"/>
        <v>-11.06089366</v>
      </c>
    </row>
    <row r="419" ht="15.75" customHeight="1">
      <c r="A419" s="32">
        <f>IFERROR(__xludf.DUMMYFUNCTION("""COMPUTED_VALUE"""),39059.666666666664)</f>
        <v>39059.66667</v>
      </c>
      <c r="B419" s="22">
        <f>IFERROR(__xludf.DUMMYFUNCTION("""COMPUTED_VALUE"""),1409.84)</f>
        <v>1409.84</v>
      </c>
      <c r="C419" s="22">
        <f t="shared" si="10"/>
        <v>1653.127749</v>
      </c>
      <c r="D419" s="25">
        <f>IFERROR(__xludf.DUMMYFUNCTION("""COMPUTED_VALUE"""),39059.99861111111)</f>
        <v>39059.99861</v>
      </c>
      <c r="E419" s="22">
        <f>IFERROR(__xludf.DUMMYFUNCTION("""COMPUTED_VALUE"""),1.3392)</f>
        <v>1.3392</v>
      </c>
      <c r="F419" s="22">
        <f t="shared" si="11"/>
        <v>117.2763954</v>
      </c>
      <c r="G419" s="22">
        <f t="shared" si="79"/>
        <v>27.74098121</v>
      </c>
      <c r="H419" s="22">
        <f t="shared" si="80"/>
        <v>-6.553412437</v>
      </c>
    </row>
    <row r="420" ht="15.75" customHeight="1">
      <c r="A420" s="32">
        <f>IFERROR(__xludf.DUMMYFUNCTION("""COMPUTED_VALUE"""),39066.666666666664)</f>
        <v>39066.66667</v>
      </c>
      <c r="B420" s="22">
        <f>IFERROR(__xludf.DUMMYFUNCTION("""COMPUTED_VALUE"""),1427.09)</f>
        <v>1427.09</v>
      </c>
      <c r="C420" s="22">
        <f t="shared" si="10"/>
        <v>1673.990297</v>
      </c>
      <c r="D420" s="25">
        <f>IFERROR(__xludf.DUMMYFUNCTION("""COMPUTED_VALUE"""),39066.99861111111)</f>
        <v>39066.99861</v>
      </c>
      <c r="E420" s="22">
        <f>IFERROR(__xludf.DUMMYFUNCTION("""COMPUTED_VALUE"""),1.3094)</f>
        <v>1.3094</v>
      </c>
      <c r="F420" s="22">
        <f t="shared" si="11"/>
        <v>121.459149</v>
      </c>
      <c r="G420" s="22">
        <f t="shared" si="79"/>
        <v>31.57652556</v>
      </c>
      <c r="H420" s="22">
        <f t="shared" si="80"/>
        <v>-6.531545222</v>
      </c>
    </row>
    <row r="421" ht="15.75" customHeight="1">
      <c r="A421" s="32">
        <f>IFERROR(__xludf.DUMMYFUNCTION("""COMPUTED_VALUE"""),39073.666666666664)</f>
        <v>39073.66667</v>
      </c>
      <c r="B421" s="22">
        <f>IFERROR(__xludf.DUMMYFUNCTION("""COMPUTED_VALUE"""),1410.76)</f>
        <v>1410.76</v>
      </c>
      <c r="C421" s="22">
        <f t="shared" si="10"/>
        <v>1655.478893</v>
      </c>
      <c r="D421" s="25">
        <f>IFERROR(__xludf.DUMMYFUNCTION("""COMPUTED_VALUE"""),39073.99861111111)</f>
        <v>39073.99861</v>
      </c>
      <c r="E421" s="22">
        <f>IFERROR(__xludf.DUMMYFUNCTION("""COMPUTED_VALUE"""),1.3116)</f>
        <v>1.3116</v>
      </c>
      <c r="F421" s="22">
        <f t="shared" si="11"/>
        <v>119.9145478</v>
      </c>
      <c r="G421" s="22">
        <f t="shared" si="79"/>
        <v>29.42538761</v>
      </c>
      <c r="H421" s="22">
        <f t="shared" si="80"/>
        <v>-9.415527145</v>
      </c>
    </row>
    <row r="422" ht="15.75" customHeight="1">
      <c r="A422" s="32">
        <f>IFERROR(__xludf.DUMMYFUNCTION("""COMPUTED_VALUE"""),39080.666666666664)</f>
        <v>39080.66667</v>
      </c>
      <c r="B422" s="22">
        <f>IFERROR(__xludf.DUMMYFUNCTION("""COMPUTED_VALUE"""),1418.3)</f>
        <v>1418.3</v>
      </c>
      <c r="C422" s="22">
        <f t="shared" si="10"/>
        <v>1664.963549</v>
      </c>
      <c r="D422" s="25">
        <f>IFERROR(__xludf.DUMMYFUNCTION("""COMPUTED_VALUE"""),39080.99861111111)</f>
        <v>39080.99861</v>
      </c>
      <c r="E422" s="22">
        <f>IFERROR(__xludf.DUMMYFUNCTION("""COMPUTED_VALUE"""),1.3193)</f>
        <v>1.3193</v>
      </c>
      <c r="F422" s="22">
        <f t="shared" si="11"/>
        <v>119.897686</v>
      </c>
      <c r="G422" s="22">
        <f t="shared" si="79"/>
        <v>29.62779027</v>
      </c>
      <c r="H422" s="22">
        <f t="shared" si="80"/>
        <v>-9.397534028</v>
      </c>
    </row>
    <row r="423" ht="15.75" customHeight="1">
      <c r="A423" s="32">
        <f>IFERROR(__xludf.DUMMYFUNCTION("""COMPUTED_VALUE"""),39087.666666666664)</f>
        <v>39087.66667</v>
      </c>
      <c r="B423" s="22">
        <f>IFERROR(__xludf.DUMMYFUNCTION("""COMPUTED_VALUE"""),1409.71)</f>
        <v>1409.71</v>
      </c>
      <c r="C423" s="22">
        <f t="shared" si="10"/>
        <v>1655.51999</v>
      </c>
      <c r="D423" s="25">
        <f>IFERROR(__xludf.DUMMYFUNCTION("""COMPUTED_VALUE"""),39087.99861111111)</f>
        <v>39087.99861</v>
      </c>
      <c r="E423" s="22">
        <f>IFERROR(__xludf.DUMMYFUNCTION("""COMPUTED_VALUE"""),1.2982)</f>
        <v>1.2982</v>
      </c>
      <c r="F423" s="22">
        <f t="shared" si="11"/>
        <v>121.1553115</v>
      </c>
      <c r="G423" s="22">
        <f t="shared" si="79"/>
        <v>31.69984185</v>
      </c>
      <c r="H423" s="22">
        <f t="shared" si="80"/>
        <v>-6.574421099</v>
      </c>
    </row>
    <row r="424" ht="15.75" customHeight="1">
      <c r="A424" s="32">
        <f>IFERROR(__xludf.DUMMYFUNCTION("""COMPUTED_VALUE"""),39094.666666666664)</f>
        <v>39094.66667</v>
      </c>
      <c r="B424" s="22">
        <f>IFERROR(__xludf.DUMMYFUNCTION("""COMPUTED_VALUE"""),1430.73)</f>
        <v>1430.73</v>
      </c>
      <c r="C424" s="22">
        <f t="shared" si="10"/>
        <v>1680.841969</v>
      </c>
      <c r="D424" s="25">
        <f>IFERROR(__xludf.DUMMYFUNCTION("""COMPUTED_VALUE"""),39094.99861111111)</f>
        <v>39094.99861</v>
      </c>
      <c r="E424" s="22">
        <f>IFERROR(__xludf.DUMMYFUNCTION("""COMPUTED_VALUE"""),1.292)</f>
        <v>1.292</v>
      </c>
      <c r="F424" s="22">
        <f t="shared" si="11"/>
        <v>123.5987287</v>
      </c>
      <c r="G424" s="22">
        <f t="shared" si="79"/>
        <v>27.82553239</v>
      </c>
      <c r="H424" s="22">
        <f t="shared" si="80"/>
        <v>-4.062275752</v>
      </c>
    </row>
    <row r="425" ht="15.75" customHeight="1">
      <c r="A425" s="32">
        <f>IFERROR(__xludf.DUMMYFUNCTION("""COMPUTED_VALUE"""),39101.666666666664)</f>
        <v>39101.66667</v>
      </c>
      <c r="B425" s="22">
        <f>IFERROR(__xludf.DUMMYFUNCTION("""COMPUTED_VALUE"""),1430.5)</f>
        <v>1430.5</v>
      </c>
      <c r="C425" s="22">
        <f t="shared" si="10"/>
        <v>1681.21824</v>
      </c>
      <c r="D425" s="25">
        <f>IFERROR(__xludf.DUMMYFUNCTION("""COMPUTED_VALUE"""),39101.99861111111)</f>
        <v>39101.99861</v>
      </c>
      <c r="E425" s="22">
        <f>IFERROR(__xludf.DUMMYFUNCTION("""COMPUTED_VALUE"""),1.2955)</f>
        <v>1.2955</v>
      </c>
      <c r="F425" s="22">
        <f t="shared" si="11"/>
        <v>123.2924009</v>
      </c>
      <c r="G425" s="22">
        <f t="shared" si="79"/>
        <v>29.18711866</v>
      </c>
      <c r="H425" s="22">
        <f t="shared" si="80"/>
        <v>-6.949718695</v>
      </c>
    </row>
    <row r="426" ht="15.75" customHeight="1">
      <c r="A426" s="32">
        <f>IFERROR(__xludf.DUMMYFUNCTION("""COMPUTED_VALUE"""),39108.666666666664)</f>
        <v>39108.66667</v>
      </c>
      <c r="B426" s="22">
        <f>IFERROR(__xludf.DUMMYFUNCTION("""COMPUTED_VALUE"""),1422.18)</f>
        <v>1422.18</v>
      </c>
      <c r="C426" s="22">
        <f t="shared" si="10"/>
        <v>1672.086648</v>
      </c>
      <c r="D426" s="25">
        <f>IFERROR(__xludf.DUMMYFUNCTION("""COMPUTED_VALUE"""),39108.99861111111)</f>
        <v>39108.99861</v>
      </c>
      <c r="E426" s="22">
        <f>IFERROR(__xludf.DUMMYFUNCTION("""COMPUTED_VALUE"""),1.291)</f>
        <v>1.291</v>
      </c>
      <c r="F426" s="22">
        <f t="shared" si="11"/>
        <v>123.0501565</v>
      </c>
      <c r="G426" s="22">
        <f t="shared" si="79"/>
        <v>28.9549294</v>
      </c>
      <c r="H426" s="22">
        <f t="shared" si="80"/>
        <v>-6.523231689</v>
      </c>
    </row>
    <row r="427" ht="15.75" customHeight="1">
      <c r="A427" s="32">
        <f>IFERROR(__xludf.DUMMYFUNCTION("""COMPUTED_VALUE"""),39115.666666666664)</f>
        <v>39115.66667</v>
      </c>
      <c r="B427" s="22">
        <f>IFERROR(__xludf.DUMMYFUNCTION("""COMPUTED_VALUE"""),1448.39)</f>
        <v>1448.39</v>
      </c>
      <c r="C427" s="22">
        <f t="shared" si="10"/>
        <v>1703.545401</v>
      </c>
      <c r="D427" s="25">
        <f>IFERROR(__xludf.DUMMYFUNCTION("""COMPUTED_VALUE"""),39115.99861111111)</f>
        <v>39115.99861</v>
      </c>
      <c r="E427" s="22">
        <f>IFERROR(__xludf.DUMMYFUNCTION("""COMPUTED_VALUE"""),1.296)</f>
        <v>1.296</v>
      </c>
      <c r="F427" s="22">
        <f t="shared" si="11"/>
        <v>124.8815685</v>
      </c>
      <c r="G427" s="22">
        <f t="shared" si="79"/>
        <v>31.92158483</v>
      </c>
      <c r="H427" s="22">
        <f t="shared" si="80"/>
        <v>-1.829069354</v>
      </c>
    </row>
    <row r="428" ht="15.75" customHeight="1">
      <c r="A428" s="32">
        <f>IFERROR(__xludf.DUMMYFUNCTION("""COMPUTED_VALUE"""),39122.666666666664)</f>
        <v>39122.66667</v>
      </c>
      <c r="B428" s="22">
        <f>IFERROR(__xludf.DUMMYFUNCTION("""COMPUTED_VALUE"""),1438.06)</f>
        <v>1438.06</v>
      </c>
      <c r="C428" s="22">
        <f t="shared" si="10"/>
        <v>1692.050828</v>
      </c>
      <c r="D428" s="25">
        <f>IFERROR(__xludf.DUMMYFUNCTION("""COMPUTED_VALUE"""),39122.99861111111)</f>
        <v>39122.99861</v>
      </c>
      <c r="E428" s="22">
        <f>IFERROR(__xludf.DUMMYFUNCTION("""COMPUTED_VALUE"""),1.3004)</f>
        <v>1.3004</v>
      </c>
      <c r="F428" s="22">
        <f t="shared" si="11"/>
        <v>123.6192424</v>
      </c>
      <c r="G428" s="22">
        <f t="shared" si="79"/>
        <v>30.37499756</v>
      </c>
      <c r="H428" s="22">
        <f t="shared" si="80"/>
        <v>-3.381704066</v>
      </c>
    </row>
    <row r="429" ht="15.75" customHeight="1">
      <c r="A429" s="32">
        <f>IFERROR(__xludf.DUMMYFUNCTION("""COMPUTED_VALUE"""),39129.666666666664)</f>
        <v>39129.66667</v>
      </c>
      <c r="B429" s="22">
        <f>IFERROR(__xludf.DUMMYFUNCTION("""COMPUTED_VALUE"""),1455.54)</f>
        <v>1455.54</v>
      </c>
      <c r="C429" s="22">
        <f t="shared" si="10"/>
        <v>1713.268942</v>
      </c>
      <c r="D429" s="25">
        <f>IFERROR(__xludf.DUMMYFUNCTION("""COMPUTED_VALUE"""),39129.99861111111)</f>
        <v>39129.99861</v>
      </c>
      <c r="E429" s="22">
        <f>IFERROR(__xludf.DUMMYFUNCTION("""COMPUTED_VALUE"""),1.3141)</f>
        <v>1.3141</v>
      </c>
      <c r="F429" s="22">
        <f t="shared" si="11"/>
        <v>123.8644735</v>
      </c>
      <c r="G429" s="22">
        <f t="shared" si="79"/>
        <v>28.87578064</v>
      </c>
      <c r="H429" s="22">
        <f t="shared" si="80"/>
        <v>-1.763502242</v>
      </c>
    </row>
    <row r="430" ht="15.75" customHeight="1">
      <c r="A430" s="32">
        <f>IFERROR(__xludf.DUMMYFUNCTION("""COMPUTED_VALUE"""),39136.666666666664)</f>
        <v>39136.66667</v>
      </c>
      <c r="B430" s="22">
        <f>IFERROR(__xludf.DUMMYFUNCTION("""COMPUTED_VALUE"""),1451.19)</f>
        <v>1451.19</v>
      </c>
      <c r="C430" s="22">
        <f t="shared" si="10"/>
        <v>1708.807648</v>
      </c>
      <c r="D430" s="25">
        <f>IFERROR(__xludf.DUMMYFUNCTION("""COMPUTED_VALUE"""),39136.99861111111)</f>
        <v>39136.99861</v>
      </c>
      <c r="E430" s="22">
        <f>IFERROR(__xludf.DUMMYFUNCTION("""COMPUTED_VALUE"""),1.3166)</f>
        <v>1.3166</v>
      </c>
      <c r="F430" s="22">
        <f t="shared" si="11"/>
        <v>123.3073494</v>
      </c>
      <c r="G430" s="22">
        <f t="shared" si="79"/>
        <v>27.65301612</v>
      </c>
      <c r="H430" s="22">
        <f t="shared" si="80"/>
        <v>-6.918846898</v>
      </c>
    </row>
    <row r="431" ht="15.75" customHeight="1">
      <c r="A431" s="32">
        <f>IFERROR(__xludf.DUMMYFUNCTION("""COMPUTED_VALUE"""),39143.666666666664)</f>
        <v>39143.66667</v>
      </c>
      <c r="B431" s="22">
        <f>IFERROR(__xludf.DUMMYFUNCTION("""COMPUTED_VALUE"""),1387.17)</f>
        <v>1387.17</v>
      </c>
      <c r="C431" s="22">
        <f t="shared" si="10"/>
        <v>1634.079945</v>
      </c>
      <c r="D431" s="25">
        <f>IFERROR(__xludf.DUMMYFUNCTION("""COMPUTED_VALUE"""),39143.99861111111)</f>
        <v>39143.99861</v>
      </c>
      <c r="E431" s="22">
        <f>IFERROR(__xludf.DUMMYFUNCTION("""COMPUTED_VALUE"""),1.3161)</f>
        <v>1.3161</v>
      </c>
      <c r="F431" s="22">
        <f t="shared" si="11"/>
        <v>117.9598047</v>
      </c>
      <c r="G431" s="22">
        <f t="shared" si="79"/>
        <v>19.59389385</v>
      </c>
      <c r="H431" s="22">
        <f t="shared" si="80"/>
        <v>-12.56538111</v>
      </c>
    </row>
    <row r="432" ht="15.75" customHeight="1">
      <c r="A432" s="32">
        <f>IFERROR(__xludf.DUMMYFUNCTION("""COMPUTED_VALUE"""),39150.666666666664)</f>
        <v>39150.66667</v>
      </c>
      <c r="B432" s="22">
        <f>IFERROR(__xludf.DUMMYFUNCTION("""COMPUTED_VALUE"""),1402.85)</f>
        <v>1402.85</v>
      </c>
      <c r="C432" s="22">
        <f t="shared" si="10"/>
        <v>1653.179406</v>
      </c>
      <c r="D432" s="25">
        <f>IFERROR(__xludf.DUMMYFUNCTION("""COMPUTED_VALUE"""),39150.99861111111)</f>
        <v>39150.99861</v>
      </c>
      <c r="E432" s="22">
        <f>IFERROR(__xludf.DUMMYFUNCTION("""COMPUTED_VALUE"""),1.3114)</f>
        <v>1.3114</v>
      </c>
      <c r="F432" s="22">
        <f t="shared" si="11"/>
        <v>119.7662472</v>
      </c>
      <c r="G432" s="22">
        <f t="shared" si="79"/>
        <v>23.84514276</v>
      </c>
      <c r="H432" s="22">
        <f t="shared" si="80"/>
        <v>-10.59028354</v>
      </c>
    </row>
    <row r="433" ht="15.75" customHeight="1">
      <c r="A433" s="32">
        <f>IFERROR(__xludf.DUMMYFUNCTION("""COMPUTED_VALUE"""),39157.666666666664)</f>
        <v>39157.66667</v>
      </c>
      <c r="B433" s="22">
        <f>IFERROR(__xludf.DUMMYFUNCTION("""COMPUTED_VALUE"""),1386.95)</f>
        <v>1386.95</v>
      </c>
      <c r="C433" s="22">
        <f t="shared" si="10"/>
        <v>1635.077993</v>
      </c>
      <c r="D433" s="25">
        <f>IFERROR(__xludf.DUMMYFUNCTION("""COMPUTED_VALUE"""),39157.99861111111)</f>
        <v>39157.99861</v>
      </c>
      <c r="E433" s="22">
        <f>IFERROR(__xludf.DUMMYFUNCTION("""COMPUTED_VALUE"""),1.3315)</f>
        <v>1.3315</v>
      </c>
      <c r="F433" s="22">
        <f t="shared" si="11"/>
        <v>116.6667061</v>
      </c>
      <c r="G433" s="22">
        <f t="shared" si="79"/>
        <v>22.39122445</v>
      </c>
      <c r="H433" s="22">
        <f t="shared" si="80"/>
        <v>-12.06581748</v>
      </c>
    </row>
    <row r="434" ht="15.75" customHeight="1">
      <c r="A434" s="32">
        <f>IFERROR(__xludf.DUMMYFUNCTION("""COMPUTED_VALUE"""),39164.666666666664)</f>
        <v>39164.66667</v>
      </c>
      <c r="B434" s="22">
        <f>IFERROR(__xludf.DUMMYFUNCTION("""COMPUTED_VALUE"""),1436.11)</f>
        <v>1436.11</v>
      </c>
      <c r="C434" s="22">
        <f t="shared" si="10"/>
        <v>1693.661687</v>
      </c>
      <c r="D434" s="25">
        <f>IFERROR(__xludf.DUMMYFUNCTION("""COMPUTED_VALUE"""),39164.99861111111)</f>
        <v>39164.99861</v>
      </c>
      <c r="E434" s="22">
        <f>IFERROR(__xludf.DUMMYFUNCTION("""COMPUTED_VALUE"""),1.3281)</f>
        <v>1.3281</v>
      </c>
      <c r="F434" s="22">
        <f t="shared" si="11"/>
        <v>121.1561657</v>
      </c>
      <c r="G434" s="22">
        <f t="shared" si="79"/>
        <v>25.52924826</v>
      </c>
      <c r="H434" s="22">
        <f t="shared" si="80"/>
        <v>-9.362787901</v>
      </c>
    </row>
    <row r="435" ht="15.75" customHeight="1">
      <c r="A435" s="32">
        <f>IFERROR(__xludf.DUMMYFUNCTION("""COMPUTED_VALUE"""),39171.666666666664)</f>
        <v>39171.66667</v>
      </c>
      <c r="B435" s="22">
        <f>IFERROR(__xludf.DUMMYFUNCTION("""COMPUTED_VALUE"""),1420.86)</f>
        <v>1420.86</v>
      </c>
      <c r="C435" s="22">
        <f t="shared" si="10"/>
        <v>1676.328163</v>
      </c>
      <c r="D435" s="25">
        <f>IFERROR(__xludf.DUMMYFUNCTION("""COMPUTED_VALUE"""),39171.99861111111)</f>
        <v>39171.99861</v>
      </c>
      <c r="E435" s="22">
        <f>IFERROR(__xludf.DUMMYFUNCTION("""COMPUTED_VALUE"""),1.3356)</f>
        <v>1.3356</v>
      </c>
      <c r="F435" s="22">
        <f t="shared" si="11"/>
        <v>119.2428274</v>
      </c>
      <c r="G435" s="22">
        <f t="shared" si="79"/>
        <v>19.90635518</v>
      </c>
      <c r="H435" s="22">
        <f t="shared" si="80"/>
        <v>-8.012010512</v>
      </c>
    </row>
    <row r="436" ht="15.75" customHeight="1">
      <c r="A436" s="32">
        <f>IFERROR(__xludf.DUMMYFUNCTION("""COMPUTED_VALUE"""),39178.666666666664)</f>
        <v>39178.66667</v>
      </c>
      <c r="B436" s="22">
        <f>IFERROR(__xludf.DUMMYFUNCTION("""COMPUTED_VALUE"""),1437.34)</f>
        <v>1437.34</v>
      </c>
      <c r="C436" s="22">
        <f t="shared" si="10"/>
        <v>1696.41598</v>
      </c>
      <c r="D436" s="25">
        <f>IFERROR(__xludf.DUMMYFUNCTION("""COMPUTED_VALUE"""),39178.99861111111)</f>
        <v>39178.99861</v>
      </c>
      <c r="E436" s="22">
        <f>IFERROR(__xludf.DUMMYFUNCTION("""COMPUTED_VALUE"""),1.3398)</f>
        <v>1.3398</v>
      </c>
      <c r="F436" s="22">
        <f t="shared" si="11"/>
        <v>120.2934597</v>
      </c>
      <c r="G436" s="22">
        <f t="shared" si="79"/>
        <v>20.9384285</v>
      </c>
      <c r="H436" s="22">
        <f t="shared" si="80"/>
        <v>-6.034941955</v>
      </c>
    </row>
    <row r="437" ht="15.75" customHeight="1">
      <c r="A437" s="32">
        <f>IFERROR(__xludf.DUMMYFUNCTION("""COMPUTED_VALUE"""),39185.666666666664)</f>
        <v>39185.66667</v>
      </c>
      <c r="B437" s="22">
        <f>IFERROR(__xludf.DUMMYFUNCTION("""COMPUTED_VALUE"""),1452.85)</f>
        <v>1452.85</v>
      </c>
      <c r="C437" s="22">
        <f t="shared" si="10"/>
        <v>1715.374076</v>
      </c>
      <c r="D437" s="25">
        <f>IFERROR(__xludf.DUMMYFUNCTION("""COMPUTED_VALUE"""),39185.99861111111)</f>
        <v>39185.99861</v>
      </c>
      <c r="E437" s="22">
        <f>IFERROR(__xludf.DUMMYFUNCTION("""COMPUTED_VALUE"""),1.3526)</f>
        <v>1.3526</v>
      </c>
      <c r="F437" s="22">
        <f t="shared" si="11"/>
        <v>120.4866955</v>
      </c>
      <c r="G437" s="22">
        <f t="shared" si="79"/>
        <v>20.4189664</v>
      </c>
      <c r="H437" s="22">
        <f t="shared" si="80"/>
        <v>-5.932745052</v>
      </c>
    </row>
    <row r="438" ht="15.75" customHeight="1">
      <c r="A438" s="32">
        <f>IFERROR(__xludf.DUMMYFUNCTION("""COMPUTED_VALUE"""),39192.666666666664)</f>
        <v>39192.66667</v>
      </c>
      <c r="B438" s="22">
        <f>IFERROR(__xludf.DUMMYFUNCTION("""COMPUTED_VALUE"""),1484.35)</f>
        <v>1484.35</v>
      </c>
      <c r="C438" s="22">
        <f t="shared" si="10"/>
        <v>1753.225757</v>
      </c>
      <c r="D438" s="25">
        <f>IFERROR(__xludf.DUMMYFUNCTION("""COMPUTED_VALUE"""),39192.99861111111)</f>
        <v>39192.99861</v>
      </c>
      <c r="E438" s="22">
        <f>IFERROR(__xludf.DUMMYFUNCTION("""COMPUTED_VALUE"""),1.3584)</f>
        <v>1.3584</v>
      </c>
      <c r="F438" s="22">
        <f t="shared" si="11"/>
        <v>122.6195742</v>
      </c>
      <c r="G438" s="22">
        <f t="shared" si="79"/>
        <v>20.4513924</v>
      </c>
      <c r="H438" s="22">
        <f t="shared" si="80"/>
        <v>1.136587715</v>
      </c>
    </row>
    <row r="439" ht="15.75" customHeight="1">
      <c r="A439" s="32">
        <f>IFERROR(__xludf.DUMMYFUNCTION("""COMPUTED_VALUE"""),39199.666666666664)</f>
        <v>39199.66667</v>
      </c>
      <c r="B439" s="22">
        <f>IFERROR(__xludf.DUMMYFUNCTION("""COMPUTED_VALUE"""),1494.07)</f>
        <v>1494.07</v>
      </c>
      <c r="C439" s="22">
        <f t="shared" si="10"/>
        <v>1765.38076</v>
      </c>
      <c r="D439" s="25">
        <f>IFERROR(__xludf.DUMMYFUNCTION("""COMPUTED_VALUE"""),39199.99861111111)</f>
        <v>39199.99861</v>
      </c>
      <c r="E439" s="22">
        <f>IFERROR(__xludf.DUMMYFUNCTION("""COMPUTED_VALUE"""),1.3652)</f>
        <v>1.3652</v>
      </c>
      <c r="F439" s="22">
        <f t="shared" si="11"/>
        <v>122.8546909</v>
      </c>
      <c r="G439" s="22">
        <f t="shared" si="79"/>
        <v>25.71731344</v>
      </c>
      <c r="H439" s="22">
        <f t="shared" si="80"/>
        <v>3.321672328</v>
      </c>
    </row>
    <row r="440" ht="15.75" customHeight="1">
      <c r="A440" s="32">
        <f>IFERROR(__xludf.DUMMYFUNCTION("""COMPUTED_VALUE"""),39206.666666666664)</f>
        <v>39206.66667</v>
      </c>
      <c r="B440" s="22">
        <f>IFERROR(__xludf.DUMMYFUNCTION("""COMPUTED_VALUE"""),1505.62)</f>
        <v>1505.62</v>
      </c>
      <c r="C440" s="22">
        <f t="shared" si="10"/>
        <v>1779.707137</v>
      </c>
      <c r="D440" s="25">
        <f>IFERROR(__xludf.DUMMYFUNCTION("""COMPUTED_VALUE"""),39206.99861111111)</f>
        <v>39206.99861</v>
      </c>
      <c r="E440" s="22">
        <f>IFERROR(__xludf.DUMMYFUNCTION("""COMPUTED_VALUE"""),1.3585)</f>
        <v>1.3585</v>
      </c>
      <c r="F440" s="22">
        <f t="shared" si="11"/>
        <v>124.4625038</v>
      </c>
      <c r="G440" s="22">
        <f t="shared" si="79"/>
        <v>27.17830185</v>
      </c>
      <c r="H440" s="22">
        <f t="shared" si="80"/>
        <v>6.090296583</v>
      </c>
    </row>
    <row r="441" ht="15.75" customHeight="1">
      <c r="A441" s="32">
        <f>IFERROR(__xludf.DUMMYFUNCTION("""COMPUTED_VALUE"""),39213.666666666664)</f>
        <v>39213.66667</v>
      </c>
      <c r="B441" s="22">
        <f>IFERROR(__xludf.DUMMYFUNCTION("""COMPUTED_VALUE"""),1505.85)</f>
        <v>1505.85</v>
      </c>
      <c r="C441" s="22">
        <f t="shared" si="10"/>
        <v>1780.663509</v>
      </c>
      <c r="D441" s="25">
        <f>IFERROR(__xludf.DUMMYFUNCTION("""COMPUTED_VALUE"""),39213.99861111111)</f>
        <v>39213.99861</v>
      </c>
      <c r="E441" s="22">
        <f>IFERROR(__xludf.DUMMYFUNCTION("""COMPUTED_VALUE"""),1.3524)</f>
        <v>1.3524</v>
      </c>
      <c r="F441" s="22">
        <f t="shared" si="11"/>
        <v>125.0910767</v>
      </c>
      <c r="G441" s="22">
        <f t="shared" si="79"/>
        <v>28.26140677</v>
      </c>
      <c r="H441" s="22">
        <f t="shared" si="80"/>
        <v>2.361852705</v>
      </c>
    </row>
    <row r="442" ht="15.75" customHeight="1">
      <c r="A442" s="32">
        <f>IFERROR(__xludf.DUMMYFUNCTION("""COMPUTED_VALUE"""),39220.666666666664)</f>
        <v>39220.66667</v>
      </c>
      <c r="B442" s="22">
        <f>IFERROR(__xludf.DUMMYFUNCTION("""COMPUTED_VALUE"""),1522.75)</f>
        <v>1522.75</v>
      </c>
      <c r="C442" s="22">
        <f t="shared" si="10"/>
        <v>1801.332584</v>
      </c>
      <c r="D442" s="25">
        <f>IFERROR(__xludf.DUMMYFUNCTION("""COMPUTED_VALUE"""),39220.99861111111)</f>
        <v>39220.99861</v>
      </c>
      <c r="E442" s="22">
        <f>IFERROR(__xludf.DUMMYFUNCTION("""COMPUTED_VALUE"""),1.351)</f>
        <v>1.351</v>
      </c>
      <c r="F442" s="22">
        <f t="shared" si="11"/>
        <v>126.6742057</v>
      </c>
      <c r="G442" s="22">
        <f t="shared" si="79"/>
        <v>31.53315689</v>
      </c>
      <c r="H442" s="22">
        <f t="shared" si="80"/>
        <v>5.71307685</v>
      </c>
    </row>
    <row r="443" ht="15.75" customHeight="1">
      <c r="A443" s="32">
        <f>IFERROR(__xludf.DUMMYFUNCTION("""COMPUTED_VALUE"""),39227.666666666664)</f>
        <v>39227.66667</v>
      </c>
      <c r="B443" s="22">
        <f>IFERROR(__xludf.DUMMYFUNCTION("""COMPUTED_VALUE"""),1515.73)</f>
        <v>1515.73</v>
      </c>
      <c r="C443" s="22">
        <f t="shared" si="10"/>
        <v>1793.721116</v>
      </c>
      <c r="D443" s="25">
        <f>IFERROR(__xludf.DUMMYFUNCTION("""COMPUTED_VALUE"""),39227.99861111111)</f>
        <v>39227.99861</v>
      </c>
      <c r="E443" s="22">
        <f>IFERROR(__xludf.DUMMYFUNCTION("""COMPUTED_VALUE"""),1.3445)</f>
        <v>1.3445</v>
      </c>
      <c r="F443" s="22">
        <f t="shared" si="11"/>
        <v>126.7487684</v>
      </c>
      <c r="G443" s="22">
        <f t="shared" si="79"/>
        <v>30.42809802</v>
      </c>
      <c r="H443" s="22">
        <f t="shared" si="80"/>
        <v>8.962635032</v>
      </c>
    </row>
    <row r="444" ht="15.75" customHeight="1">
      <c r="A444" s="32">
        <f>IFERROR(__xludf.DUMMYFUNCTION("""COMPUTED_VALUE"""),39234.666666666664)</f>
        <v>39234.66667</v>
      </c>
      <c r="B444" s="22">
        <f>IFERROR(__xludf.DUMMYFUNCTION("""COMPUTED_VALUE"""),1536.34)</f>
        <v>1536.34</v>
      </c>
      <c r="C444" s="22">
        <f t="shared" si="10"/>
        <v>1818.800967</v>
      </c>
      <c r="D444" s="25">
        <f>IFERROR(__xludf.DUMMYFUNCTION("""COMPUTED_VALUE"""),39234.99861111111)</f>
        <v>39234.99861</v>
      </c>
      <c r="E444" s="22">
        <f>IFERROR(__xludf.DUMMYFUNCTION("""COMPUTED_VALUE"""),1.3436)</f>
        <v>1.3436</v>
      </c>
      <c r="F444" s="22">
        <f t="shared" si="11"/>
        <v>128.6070615</v>
      </c>
      <c r="G444" s="22">
        <f t="shared" si="79"/>
        <v>32.68069517</v>
      </c>
      <c r="H444" s="22">
        <f t="shared" si="80"/>
        <v>15.8337772</v>
      </c>
    </row>
    <row r="445" ht="15.75" customHeight="1">
      <c r="A445" s="32">
        <f>IFERROR(__xludf.DUMMYFUNCTION("""COMPUTED_VALUE"""),39241.666666666664)</f>
        <v>39241.66667</v>
      </c>
      <c r="B445" s="22">
        <f>IFERROR(__xludf.DUMMYFUNCTION("""COMPUTED_VALUE"""),1507.67)</f>
        <v>1507.67</v>
      </c>
      <c r="C445" s="22">
        <f t="shared" si="10"/>
        <v>1785.559436</v>
      </c>
      <c r="D445" s="25">
        <f>IFERROR(__xludf.DUMMYFUNCTION("""COMPUTED_VALUE"""),39241.99861111111)</f>
        <v>39241.99861</v>
      </c>
      <c r="E445" s="22">
        <f>IFERROR(__xludf.DUMMYFUNCTION("""COMPUTED_VALUE"""),1.3373)</f>
        <v>1.3373</v>
      </c>
      <c r="F445" s="22">
        <f t="shared" si="11"/>
        <v>126.8513521</v>
      </c>
      <c r="G445" s="22">
        <f t="shared" si="79"/>
        <v>26.42049438</v>
      </c>
      <c r="H445" s="22">
        <f t="shared" si="80"/>
        <v>16.93765554</v>
      </c>
    </row>
    <row r="446" ht="15.75" customHeight="1">
      <c r="A446" s="32">
        <f>IFERROR(__xludf.DUMMYFUNCTION("""COMPUTED_VALUE"""),39248.666666666664)</f>
        <v>39248.66667</v>
      </c>
      <c r="B446" s="22">
        <f>IFERROR(__xludf.DUMMYFUNCTION("""COMPUTED_VALUE"""),1532.91)</f>
        <v>1532.91</v>
      </c>
      <c r="C446" s="22">
        <f t="shared" si="10"/>
        <v>1816.138354</v>
      </c>
      <c r="D446" s="25">
        <f>IFERROR(__xludf.DUMMYFUNCTION("""COMPUTED_VALUE"""),39248.99861111111)</f>
        <v>39248.99861</v>
      </c>
      <c r="E446" s="22">
        <f>IFERROR(__xludf.DUMMYFUNCTION("""COMPUTED_VALUE"""),1.3375)</f>
        <v>1.3375</v>
      </c>
      <c r="F446" s="22">
        <f t="shared" si="11"/>
        <v>129.0044744</v>
      </c>
      <c r="G446" s="22">
        <f t="shared" si="79"/>
        <v>29.94031025</v>
      </c>
      <c r="H446" s="22">
        <f t="shared" si="80"/>
        <v>24.14041678</v>
      </c>
    </row>
    <row r="447" ht="15.75" customHeight="1">
      <c r="A447" s="32">
        <f>IFERROR(__xludf.DUMMYFUNCTION("""COMPUTED_VALUE"""),39255.666666666664)</f>
        <v>39255.66667</v>
      </c>
      <c r="B447" s="22">
        <f>IFERROR(__xludf.DUMMYFUNCTION("""COMPUTED_VALUE"""),1502.56)</f>
        <v>1502.56</v>
      </c>
      <c r="C447" s="22">
        <f t="shared" si="10"/>
        <v>1780.879247</v>
      </c>
      <c r="D447" s="25">
        <f>IFERROR(__xludf.DUMMYFUNCTION("""COMPUTED_VALUE"""),39255.99861111111)</f>
        <v>39255.99861</v>
      </c>
      <c r="E447" s="22">
        <f>IFERROR(__xludf.DUMMYFUNCTION("""COMPUTED_VALUE"""),1.3466)</f>
        <v>1.3466</v>
      </c>
      <c r="F447" s="22">
        <f t="shared" si="11"/>
        <v>125.6450828</v>
      </c>
      <c r="G447" s="22">
        <f t="shared" si="79"/>
        <v>27.35202159</v>
      </c>
      <c r="H447" s="22">
        <f t="shared" si="80"/>
        <v>23.42149159</v>
      </c>
    </row>
    <row r="448" ht="15.75" customHeight="1">
      <c r="A448" s="32">
        <f>IFERROR(__xludf.DUMMYFUNCTION("""COMPUTED_VALUE"""),39262.666666666664)</f>
        <v>39262.66667</v>
      </c>
      <c r="B448" s="22">
        <f>IFERROR(__xludf.DUMMYFUNCTION("""COMPUTED_VALUE"""),1503.35)</f>
        <v>1503.35</v>
      </c>
      <c r="C448" s="22">
        <f t="shared" si="10"/>
        <v>1782.500532</v>
      </c>
      <c r="D448" s="25">
        <f>IFERROR(__xludf.DUMMYFUNCTION("""COMPUTED_VALUE"""),39262.99861111111)</f>
        <v>39262.99861</v>
      </c>
      <c r="E448" s="22">
        <f>IFERROR(__xludf.DUMMYFUNCTION("""COMPUTED_VALUE"""),1.3533)</f>
        <v>1.3533</v>
      </c>
      <c r="F448" s="22">
        <f t="shared" si="11"/>
        <v>125.1368505</v>
      </c>
      <c r="G448" s="22">
        <f t="shared" si="79"/>
        <v>29.02303595</v>
      </c>
      <c r="H448" s="22">
        <f t="shared" si="80"/>
        <v>20.83587098</v>
      </c>
    </row>
    <row r="449" ht="15.75" customHeight="1">
      <c r="A449" s="32">
        <f>IFERROR(__xludf.DUMMYFUNCTION("""COMPUTED_VALUE"""),39269.666666666664)</f>
        <v>39269.66667</v>
      </c>
      <c r="B449" s="22">
        <f>IFERROR(__xludf.DUMMYFUNCTION("""COMPUTED_VALUE"""),1530.44)</f>
        <v>1530.44</v>
      </c>
      <c r="C449" s="22">
        <f t="shared" si="10"/>
        <v>1815.306334</v>
      </c>
      <c r="D449" s="25">
        <f>IFERROR(__xludf.DUMMYFUNCTION("""COMPUTED_VALUE"""),39269.99861111111)</f>
        <v>39269.99861</v>
      </c>
      <c r="E449" s="22">
        <f>IFERROR(__xludf.DUMMYFUNCTION("""COMPUTED_VALUE"""),1.3623)</f>
        <v>1.3623</v>
      </c>
      <c r="F449" s="22">
        <f t="shared" si="11"/>
        <v>126.597987</v>
      </c>
      <c r="G449" s="22">
        <f t="shared" si="79"/>
        <v>33.04591465</v>
      </c>
      <c r="H449" s="22">
        <f t="shared" si="80"/>
        <v>33.55003165</v>
      </c>
    </row>
    <row r="450" ht="15.75" customHeight="1">
      <c r="A450" s="32">
        <f>IFERROR(__xludf.DUMMYFUNCTION("""COMPUTED_VALUE"""),39276.666666666664)</f>
        <v>39276.66667</v>
      </c>
      <c r="B450" s="22">
        <f>IFERROR(__xludf.DUMMYFUNCTION("""COMPUTED_VALUE"""),1552.5)</f>
        <v>1552.5</v>
      </c>
      <c r="C450" s="22">
        <f t="shared" si="10"/>
        <v>1842.170636</v>
      </c>
      <c r="D450" s="25">
        <f>IFERROR(__xludf.DUMMYFUNCTION("""COMPUTED_VALUE"""),39276.99861111111)</f>
        <v>39276.99861</v>
      </c>
      <c r="E450" s="22">
        <f>IFERROR(__xludf.DUMMYFUNCTION("""COMPUTED_VALUE"""),1.3781)</f>
        <v>1.3781</v>
      </c>
      <c r="F450" s="22">
        <f t="shared" si="11"/>
        <v>126.9985483</v>
      </c>
      <c r="G450" s="22">
        <f t="shared" si="79"/>
        <v>35.22189309</v>
      </c>
      <c r="H450" s="22">
        <f t="shared" si="80"/>
        <v>48.20811687</v>
      </c>
    </row>
    <row r="451" ht="15.75" customHeight="1">
      <c r="A451" s="32">
        <f>IFERROR(__xludf.DUMMYFUNCTION("""COMPUTED_VALUE"""),39283.666666666664)</f>
        <v>39283.66667</v>
      </c>
      <c r="B451" s="22">
        <f>IFERROR(__xludf.DUMMYFUNCTION("""COMPUTED_VALUE"""),1534.1)</f>
        <v>1534.1</v>
      </c>
      <c r="C451" s="22">
        <f t="shared" si="10"/>
        <v>1821.04603</v>
      </c>
      <c r="D451" s="25">
        <f>IFERROR(__xludf.DUMMYFUNCTION("""COMPUTED_VALUE"""),39283.99861111111)</f>
        <v>39283.99861</v>
      </c>
      <c r="E451" s="22">
        <f>IFERROR(__xludf.DUMMYFUNCTION("""COMPUTED_VALUE"""),1.3826)</f>
        <v>1.3826</v>
      </c>
      <c r="F451" s="22">
        <f t="shared" si="11"/>
        <v>125.1336189</v>
      </c>
      <c r="G451" s="22">
        <f t="shared" si="79"/>
        <v>31.26174468</v>
      </c>
      <c r="H451" s="22">
        <f t="shared" si="80"/>
        <v>41.71411925</v>
      </c>
    </row>
    <row r="452" ht="15.75" customHeight="1">
      <c r="A452" s="32">
        <f>IFERROR(__xludf.DUMMYFUNCTION("""COMPUTED_VALUE"""),39290.666666666664)</f>
        <v>39290.66667</v>
      </c>
      <c r="B452" s="22">
        <f>IFERROR(__xludf.DUMMYFUNCTION("""COMPUTED_VALUE"""),1458.95)</f>
        <v>1458.95</v>
      </c>
      <c r="C452" s="22">
        <f t="shared" si="10"/>
        <v>1732.539986</v>
      </c>
      <c r="D452" s="25">
        <f>IFERROR(__xludf.DUMMYFUNCTION("""COMPUTED_VALUE"""),39290.99861111111)</f>
        <v>39290.99861</v>
      </c>
      <c r="E452" s="22">
        <f>IFERROR(__xludf.DUMMYFUNCTION("""COMPUTED_VALUE"""),1.3633)</f>
        <v>1.3633</v>
      </c>
      <c r="F452" s="22">
        <f t="shared" si="11"/>
        <v>120.7373017</v>
      </c>
      <c r="G452" s="22">
        <f t="shared" si="79"/>
        <v>23.86986952</v>
      </c>
      <c r="H452" s="22">
        <f t="shared" si="80"/>
        <v>34.76940345</v>
      </c>
    </row>
    <row r="453" ht="15.75" customHeight="1">
      <c r="A453" s="32">
        <f>IFERROR(__xludf.DUMMYFUNCTION("""COMPUTED_VALUE"""),39297.666666666664)</f>
        <v>39297.66667</v>
      </c>
      <c r="B453" s="22">
        <f>IFERROR(__xludf.DUMMYFUNCTION("""COMPUTED_VALUE"""),1433.06)</f>
        <v>1433.06</v>
      </c>
      <c r="C453" s="22">
        <f t="shared" si="10"/>
        <v>1702.461318</v>
      </c>
      <c r="D453" s="25">
        <f>IFERROR(__xludf.DUMMYFUNCTION("""COMPUTED_VALUE"""),39297.99861111111)</f>
        <v>39297.99861</v>
      </c>
      <c r="E453" s="22">
        <f>IFERROR(__xludf.DUMMYFUNCTION("""COMPUTED_VALUE"""),1.3786)</f>
        <v>1.3786</v>
      </c>
      <c r="F453" s="22">
        <f t="shared" si="11"/>
        <v>117.3244732</v>
      </c>
      <c r="G453" s="22">
        <f t="shared" si="79"/>
        <v>27.59774551</v>
      </c>
      <c r="H453" s="22">
        <f t="shared" si="80"/>
        <v>22.51057959</v>
      </c>
    </row>
    <row r="454" ht="15.75" customHeight="1">
      <c r="A454" s="32">
        <f>IFERROR(__xludf.DUMMYFUNCTION("""COMPUTED_VALUE"""),39304.666666666664)</f>
        <v>39304.66667</v>
      </c>
      <c r="B454" s="22">
        <f>IFERROR(__xludf.DUMMYFUNCTION("""COMPUTED_VALUE"""),1453.64)</f>
        <v>1453.64</v>
      </c>
      <c r="C454" s="22">
        <f t="shared" si="10"/>
        <v>1727.564951</v>
      </c>
      <c r="D454" s="25">
        <f>IFERROR(__xludf.DUMMYFUNCTION("""COMPUTED_VALUE"""),39304.99861111111)</f>
        <v>39304.99861</v>
      </c>
      <c r="E454" s="22">
        <f>IFERROR(__xludf.DUMMYFUNCTION("""COMPUTED_VALUE"""),1.3695)</f>
        <v>1.3695</v>
      </c>
      <c r="F454" s="22">
        <f t="shared" si="11"/>
        <v>119.845569</v>
      </c>
      <c r="G454" s="22">
        <f t="shared" si="79"/>
        <v>30.93939466</v>
      </c>
      <c r="H454" s="22">
        <f t="shared" si="80"/>
        <v>24.69164156</v>
      </c>
    </row>
    <row r="455" ht="15.75" customHeight="1">
      <c r="A455" s="32">
        <f>IFERROR(__xludf.DUMMYFUNCTION("""COMPUTED_VALUE"""),39311.666666666664)</f>
        <v>39311.66667</v>
      </c>
      <c r="B455" s="22">
        <f>IFERROR(__xludf.DUMMYFUNCTION("""COMPUTED_VALUE"""),1445.94)</f>
        <v>1445.94</v>
      </c>
      <c r="C455" s="22">
        <f t="shared" si="10"/>
        <v>1719.078405</v>
      </c>
      <c r="D455" s="25">
        <f>IFERROR(__xludf.DUMMYFUNCTION("""COMPUTED_VALUE"""),39311.99861111111)</f>
        <v>39311.99861</v>
      </c>
      <c r="E455" s="22">
        <f>IFERROR(__xludf.DUMMYFUNCTION("""COMPUTED_VALUE"""),1.3491)</f>
        <v>1.3491</v>
      </c>
      <c r="F455" s="22">
        <f t="shared" si="11"/>
        <v>121.0601413</v>
      </c>
      <c r="G455" s="22">
        <f t="shared" si="79"/>
        <v>27.5775171</v>
      </c>
      <c r="H455" s="22">
        <f t="shared" si="80"/>
        <v>22.34851595</v>
      </c>
    </row>
    <row r="456" ht="15.75" customHeight="1">
      <c r="A456" s="32">
        <f>IFERROR(__xludf.DUMMYFUNCTION("""COMPUTED_VALUE"""),39318.666666666664)</f>
        <v>39318.66667</v>
      </c>
      <c r="B456" s="22">
        <f>IFERROR(__xludf.DUMMYFUNCTION("""COMPUTED_VALUE"""),1479.37)</f>
        <v>1479.37</v>
      </c>
      <c r="C456" s="22">
        <f t="shared" si="10"/>
        <v>1759.484524</v>
      </c>
      <c r="D456" s="25">
        <f>IFERROR(__xludf.DUMMYFUNCTION("""COMPUTED_VALUE"""),39318.99861111111)</f>
        <v>39318.99861</v>
      </c>
      <c r="E456" s="22">
        <f>IFERROR(__xludf.DUMMYFUNCTION("""COMPUTED_VALUE"""),1.3663)</f>
        <v>1.3663</v>
      </c>
      <c r="F456" s="22">
        <f t="shared" si="11"/>
        <v>122.3457864</v>
      </c>
      <c r="G456" s="22">
        <f t="shared" si="79"/>
        <v>24.65328578</v>
      </c>
      <c r="H456" s="22">
        <f t="shared" si="80"/>
        <v>28.02910801</v>
      </c>
    </row>
    <row r="457" ht="15.75" customHeight="1">
      <c r="A457" s="32">
        <f>IFERROR(__xludf.DUMMYFUNCTION("""COMPUTED_VALUE"""),39325.666666666664)</f>
        <v>39325.66667</v>
      </c>
      <c r="B457" s="22">
        <f>IFERROR(__xludf.DUMMYFUNCTION("""COMPUTED_VALUE"""),1473.99)</f>
        <v>1473.99</v>
      </c>
      <c r="C457" s="22">
        <f t="shared" si="10"/>
        <v>1753.762561</v>
      </c>
      <c r="D457" s="25">
        <f>IFERROR(__xludf.DUMMYFUNCTION("""COMPUTED_VALUE"""),39325.99861111111)</f>
        <v>39325.99861</v>
      </c>
      <c r="E457" s="22">
        <f>IFERROR(__xludf.DUMMYFUNCTION("""COMPUTED_VALUE"""),1.3621)</f>
        <v>1.3621</v>
      </c>
      <c r="F457" s="22">
        <f t="shared" si="11"/>
        <v>122.3239328</v>
      </c>
      <c r="G457" s="22">
        <f t="shared" si="79"/>
        <v>24.33015201</v>
      </c>
      <c r="H457" s="22">
        <f t="shared" si="80"/>
        <v>31.15457837</v>
      </c>
    </row>
    <row r="458" ht="15.75" customHeight="1">
      <c r="A458" s="32">
        <f>IFERROR(__xludf.DUMMYFUNCTION("""COMPUTED_VALUE"""),39332.666666666664)</f>
        <v>39332.66667</v>
      </c>
      <c r="B458" s="22">
        <f>IFERROR(__xludf.DUMMYFUNCTION("""COMPUTED_VALUE"""),1453.55)</f>
        <v>1453.55</v>
      </c>
      <c r="C458" s="22">
        <f t="shared" si="10"/>
        <v>1730.117445</v>
      </c>
      <c r="D458" s="25">
        <f>IFERROR(__xludf.DUMMYFUNCTION("""COMPUTED_VALUE"""),39332.99861111111)</f>
        <v>39332.99861</v>
      </c>
      <c r="E458" s="22">
        <f>IFERROR(__xludf.DUMMYFUNCTION("""COMPUTED_VALUE"""),1.3767)</f>
        <v>1.3767</v>
      </c>
      <c r="F458" s="22">
        <f t="shared" si="11"/>
        <v>119.3949359</v>
      </c>
      <c r="G458" s="22">
        <f t="shared" si="79"/>
        <v>22.33069654</v>
      </c>
      <c r="H458" s="22">
        <f t="shared" si="80"/>
        <v>27.25917791</v>
      </c>
    </row>
    <row r="459" ht="15.75" customHeight="1">
      <c r="A459" s="32">
        <f>IFERROR(__xludf.DUMMYFUNCTION("""COMPUTED_VALUE"""),39339.666666666664)</f>
        <v>39339.66667</v>
      </c>
      <c r="B459" s="22">
        <f>IFERROR(__xludf.DUMMYFUNCTION("""COMPUTED_VALUE"""),1484.25)</f>
        <v>1484.25</v>
      </c>
      <c r="C459" s="22">
        <f t="shared" si="10"/>
        <v>1767.324174</v>
      </c>
      <c r="D459" s="25">
        <f>IFERROR(__xludf.DUMMYFUNCTION("""COMPUTED_VALUE"""),39339.99861111111)</f>
        <v>39339.99861</v>
      </c>
      <c r="E459" s="22">
        <f>IFERROR(__xludf.DUMMYFUNCTION("""COMPUTED_VALUE"""),1.3874)</f>
        <v>1.3874</v>
      </c>
      <c r="F459" s="22">
        <f t="shared" si="11"/>
        <v>121.0219543</v>
      </c>
      <c r="G459" s="22">
        <f t="shared" si="79"/>
        <v>22.61643085</v>
      </c>
      <c r="H459" s="22">
        <f t="shared" si="80"/>
        <v>37.33513283</v>
      </c>
    </row>
    <row r="460" ht="15.75" customHeight="1">
      <c r="A460" s="32">
        <f>IFERROR(__xludf.DUMMYFUNCTION("""COMPUTED_VALUE"""),39346.666666666664)</f>
        <v>39346.66667</v>
      </c>
      <c r="B460" s="22">
        <f>IFERROR(__xludf.DUMMYFUNCTION("""COMPUTED_VALUE"""),1525.75)</f>
        <v>1525.75</v>
      </c>
      <c r="C460" s="22">
        <f t="shared" si="10"/>
        <v>1817.418738</v>
      </c>
      <c r="D460" s="25">
        <f>IFERROR(__xludf.DUMMYFUNCTION("""COMPUTED_VALUE"""),39346.99861111111)</f>
        <v>39346.99861</v>
      </c>
      <c r="E460" s="22">
        <f>IFERROR(__xludf.DUMMYFUNCTION("""COMPUTED_VALUE"""),1.4089)</f>
        <v>1.4089</v>
      </c>
      <c r="F460" s="22">
        <f t="shared" si="11"/>
        <v>122.5531466</v>
      </c>
      <c r="G460" s="22">
        <f t="shared" si="79"/>
        <v>27.08207754</v>
      </c>
      <c r="H460" s="22">
        <f t="shared" si="80"/>
        <v>41.55588537</v>
      </c>
    </row>
    <row r="461" ht="15.75" customHeight="1">
      <c r="A461" s="32">
        <f>IFERROR(__xludf.DUMMYFUNCTION("""COMPUTED_VALUE"""),39353.666666666664)</f>
        <v>39353.66667</v>
      </c>
      <c r="B461" s="22">
        <f>IFERROR(__xludf.DUMMYFUNCTION("""COMPUTED_VALUE"""),1526.75)</f>
        <v>1526.75</v>
      </c>
      <c r="C461" s="22">
        <f t="shared" si="10"/>
        <v>1819.30891</v>
      </c>
      <c r="D461" s="25">
        <f>IFERROR(__xludf.DUMMYFUNCTION("""COMPUTED_VALUE"""),39353.99861111111)</f>
        <v>39353.99861</v>
      </c>
      <c r="E461" s="22">
        <f>IFERROR(__xludf.DUMMYFUNCTION("""COMPUTED_VALUE"""),1.426)</f>
        <v>1.426</v>
      </c>
      <c r="F461" s="22">
        <f t="shared" si="11"/>
        <v>121.2094707</v>
      </c>
      <c r="G461" s="22">
        <f t="shared" si="79"/>
        <v>24.50187454</v>
      </c>
      <c r="H461" s="22">
        <f t="shared" si="80"/>
        <v>44.63716191</v>
      </c>
    </row>
    <row r="462" ht="15.75" customHeight="1">
      <c r="A462" s="32">
        <f>IFERROR(__xludf.DUMMYFUNCTION("""COMPUTED_VALUE"""),39360.666666666664)</f>
        <v>39360.66667</v>
      </c>
      <c r="B462" s="22">
        <f>IFERROR(__xludf.DUMMYFUNCTION("""COMPUTED_VALUE"""),1557.59)</f>
        <v>1557.59</v>
      </c>
      <c r="C462" s="22">
        <f t="shared" si="10"/>
        <v>1856.758267</v>
      </c>
      <c r="D462" s="25">
        <f>IFERROR(__xludf.DUMMYFUNCTION("""COMPUTED_VALUE"""),39360.99861111111)</f>
        <v>39360.99861</v>
      </c>
      <c r="E462" s="22">
        <f>IFERROR(__xludf.DUMMYFUNCTION("""COMPUTED_VALUE"""),1.4131)</f>
        <v>1.4131</v>
      </c>
      <c r="F462" s="22">
        <f t="shared" si="11"/>
        <v>124.833775</v>
      </c>
      <c r="G462" s="22">
        <f t="shared" si="79"/>
        <v>29.32747987</v>
      </c>
      <c r="H462" s="22">
        <f t="shared" si="80"/>
        <v>43.90230537</v>
      </c>
    </row>
    <row r="463" ht="15.75" customHeight="1">
      <c r="A463" s="32">
        <f>IFERROR(__xludf.DUMMYFUNCTION("""COMPUTED_VALUE"""),39367.666666666664)</f>
        <v>39367.66667</v>
      </c>
      <c r="B463" s="22">
        <f>IFERROR(__xludf.DUMMYFUNCTION("""COMPUTED_VALUE"""),1561.8)</f>
        <v>1561.8</v>
      </c>
      <c r="C463" s="22">
        <f t="shared" si="10"/>
        <v>1862.491025</v>
      </c>
      <c r="D463" s="25">
        <f>IFERROR(__xludf.DUMMYFUNCTION("""COMPUTED_VALUE"""),39367.99861111111)</f>
        <v>39367.99861</v>
      </c>
      <c r="E463" s="22">
        <f>IFERROR(__xludf.DUMMYFUNCTION("""COMPUTED_VALUE"""),1.4186)</f>
        <v>1.4186</v>
      </c>
      <c r="F463" s="22">
        <f t="shared" si="11"/>
        <v>124.7337178</v>
      </c>
      <c r="G463" s="22">
        <f t="shared" si="79"/>
        <v>31.57888991</v>
      </c>
      <c r="H463" s="22">
        <f t="shared" si="80"/>
        <v>33.62920749</v>
      </c>
    </row>
    <row r="464" ht="15.75" customHeight="1">
      <c r="A464" s="32">
        <f>IFERROR(__xludf.DUMMYFUNCTION("""COMPUTED_VALUE"""),39374.666666666664)</f>
        <v>39374.66667</v>
      </c>
      <c r="B464" s="22">
        <f>IFERROR(__xludf.DUMMYFUNCTION("""COMPUTED_VALUE"""),1500.63)</f>
        <v>1500.63</v>
      </c>
      <c r="C464" s="22">
        <f t="shared" si="10"/>
        <v>1790.260398</v>
      </c>
      <c r="D464" s="25">
        <f>IFERROR(__xludf.DUMMYFUNCTION("""COMPUTED_VALUE"""),39374.99861111111)</f>
        <v>39374.99861</v>
      </c>
      <c r="E464" s="22">
        <f>IFERROR(__xludf.DUMMYFUNCTION("""COMPUTED_VALUE"""),1.4293)</f>
        <v>1.4293</v>
      </c>
      <c r="F464" s="22">
        <f t="shared" si="11"/>
        <v>118.9987625</v>
      </c>
      <c r="G464" s="22">
        <f t="shared" si="79"/>
        <v>29.05376409</v>
      </c>
      <c r="H464" s="22">
        <f t="shared" si="80"/>
        <v>26.19924454</v>
      </c>
    </row>
    <row r="465" ht="15.75" customHeight="1">
      <c r="A465" s="32">
        <f>IFERROR(__xludf.DUMMYFUNCTION("""COMPUTED_VALUE"""),39381.666666666664)</f>
        <v>39381.66667</v>
      </c>
      <c r="B465" s="22">
        <f>IFERROR(__xludf.DUMMYFUNCTION("""COMPUTED_VALUE"""),1535.28)</f>
        <v>1535.28</v>
      </c>
      <c r="C465" s="22">
        <f t="shared" si="10"/>
        <v>1832.286613</v>
      </c>
      <c r="D465" s="25">
        <f>IFERROR(__xludf.DUMMYFUNCTION("""COMPUTED_VALUE"""),39381.99861111111)</f>
        <v>39381.99861</v>
      </c>
      <c r="E465" s="22">
        <f>IFERROR(__xludf.DUMMYFUNCTION("""COMPUTED_VALUE"""),1.4391)</f>
        <v>1.4391</v>
      </c>
      <c r="F465" s="22">
        <f t="shared" si="11"/>
        <v>120.9628664</v>
      </c>
      <c r="G465" s="22">
        <f t="shared" si="79"/>
        <v>28.20893508</v>
      </c>
      <c r="H465" s="22">
        <f t="shared" si="80"/>
        <v>30.31325855</v>
      </c>
    </row>
    <row r="466" ht="15.75" customHeight="1">
      <c r="A466" s="32">
        <f>IFERROR(__xludf.DUMMYFUNCTION("""COMPUTED_VALUE"""),39388.666666666664)</f>
        <v>39388.66667</v>
      </c>
      <c r="B466" s="22">
        <f>IFERROR(__xludf.DUMMYFUNCTION("""COMPUTED_VALUE"""),1509.65)</f>
        <v>1509.65</v>
      </c>
      <c r="C466" s="22">
        <f t="shared" si="10"/>
        <v>1802.403104</v>
      </c>
      <c r="D466" s="25">
        <f>IFERROR(__xludf.DUMMYFUNCTION("""COMPUTED_VALUE"""),39388.99861111111)</f>
        <v>39388.99861</v>
      </c>
      <c r="E466" s="22">
        <f>IFERROR(__xludf.DUMMYFUNCTION("""COMPUTED_VALUE"""),1.4486)</f>
        <v>1.4486</v>
      </c>
      <c r="F466" s="22">
        <f t="shared" si="11"/>
        <v>118.2096903</v>
      </c>
      <c r="G466" s="22">
        <f t="shared" si="79"/>
        <v>22.99402336</v>
      </c>
      <c r="H466" s="22">
        <f t="shared" si="80"/>
        <v>30.79692858</v>
      </c>
    </row>
    <row r="467" ht="15.75" customHeight="1">
      <c r="A467" s="32">
        <f>IFERROR(__xludf.DUMMYFUNCTION("""COMPUTED_VALUE"""),39395.666666666664)</f>
        <v>39395.66667</v>
      </c>
      <c r="B467" s="22">
        <f>IFERROR(__xludf.DUMMYFUNCTION("""COMPUTED_VALUE"""),1453.7)</f>
        <v>1453.7</v>
      </c>
      <c r="C467" s="22">
        <f t="shared" si="10"/>
        <v>1736.296446</v>
      </c>
      <c r="D467" s="25">
        <f>IFERROR(__xludf.DUMMYFUNCTION("""COMPUTED_VALUE"""),39395.99861111111)</f>
        <v>39395.99861</v>
      </c>
      <c r="E467" s="22">
        <f>IFERROR(__xludf.DUMMYFUNCTION("""COMPUTED_VALUE"""),1.4673)</f>
        <v>1.4673</v>
      </c>
      <c r="F467" s="22">
        <f t="shared" si="11"/>
        <v>112.4228505</v>
      </c>
      <c r="G467" s="22">
        <f t="shared" si="79"/>
        <v>15.08912388</v>
      </c>
      <c r="H467" s="22">
        <f t="shared" si="80"/>
        <v>21.47696031</v>
      </c>
    </row>
    <row r="468" ht="15.75" customHeight="1">
      <c r="A468" s="32">
        <f>IFERROR(__xludf.DUMMYFUNCTION("""COMPUTED_VALUE"""),39402.666666666664)</f>
        <v>39402.66667</v>
      </c>
      <c r="B468" s="22">
        <f>IFERROR(__xludf.DUMMYFUNCTION("""COMPUTED_VALUE"""),1458.74)</f>
        <v>1458.74</v>
      </c>
      <c r="C468" s="22">
        <f t="shared" si="10"/>
        <v>1742.984018</v>
      </c>
      <c r="D468" s="25">
        <f>IFERROR(__xludf.DUMMYFUNCTION("""COMPUTED_VALUE"""),39402.99861111111)</f>
        <v>39402.99861</v>
      </c>
      <c r="E468" s="22">
        <f>IFERROR(__xludf.DUMMYFUNCTION("""COMPUTED_VALUE"""),1.4632)</f>
        <v>1.4632</v>
      </c>
      <c r="F468" s="22">
        <f t="shared" si="11"/>
        <v>113.1720927</v>
      </c>
      <c r="G468" s="22">
        <f t="shared" si="79"/>
        <v>17.88508027</v>
      </c>
      <c r="H468" s="22">
        <f t="shared" si="80"/>
        <v>17.99160582</v>
      </c>
    </row>
    <row r="469" ht="15.75" customHeight="1">
      <c r="A469" s="32">
        <f>IFERROR(__xludf.DUMMYFUNCTION("""COMPUTED_VALUE"""),39409.666666666664)</f>
        <v>39409.66667</v>
      </c>
      <c r="B469" s="22">
        <f>IFERROR(__xludf.DUMMYFUNCTION("""COMPUTED_VALUE"""),1440.7)</f>
        <v>1440.7</v>
      </c>
      <c r="C469" s="22">
        <f t="shared" si="10"/>
        <v>1722.099197</v>
      </c>
      <c r="D469" s="25">
        <f>IFERROR(__xludf.DUMMYFUNCTION("""COMPUTED_VALUE"""),39409.99861111111)</f>
        <v>39409.99861</v>
      </c>
      <c r="E469" s="22">
        <f>IFERROR(__xludf.DUMMYFUNCTION("""COMPUTED_VALUE"""),1.4799)</f>
        <v>1.4799</v>
      </c>
      <c r="F469" s="22">
        <f t="shared" si="11"/>
        <v>110.5542463</v>
      </c>
      <c r="G469" s="22">
        <f t="shared" si="79"/>
        <v>16.1448764</v>
      </c>
      <c r="H469" s="22">
        <f t="shared" si="80"/>
        <v>14.17625714</v>
      </c>
    </row>
    <row r="470" ht="15.75" customHeight="1">
      <c r="A470" s="32">
        <f>IFERROR(__xludf.DUMMYFUNCTION("""COMPUTED_VALUE"""),39416.666666666664)</f>
        <v>39416.66667</v>
      </c>
      <c r="B470" s="22">
        <f>IFERROR(__xludf.DUMMYFUNCTION("""COMPUTED_VALUE"""),1481.14)</f>
        <v>1481.14</v>
      </c>
      <c r="C470" s="22">
        <f t="shared" si="10"/>
        <v>1771.100331</v>
      </c>
      <c r="D470" s="25">
        <f>IFERROR(__xludf.DUMMYFUNCTION("""COMPUTED_VALUE"""),39416.99861111111)</f>
        <v>39416.99861</v>
      </c>
      <c r="E470" s="22">
        <f>IFERROR(__xludf.DUMMYFUNCTION("""COMPUTED_VALUE"""),1.4694)</f>
        <v>1.4694</v>
      </c>
      <c r="F470" s="22">
        <f t="shared" si="11"/>
        <v>114.5124648</v>
      </c>
      <c r="G470" s="22">
        <f t="shared" si="79"/>
        <v>20.9335574</v>
      </c>
      <c r="H470" s="22">
        <f t="shared" si="80"/>
        <v>23.20611119</v>
      </c>
    </row>
    <row r="471" ht="15.75" customHeight="1">
      <c r="A471" s="32">
        <f>IFERROR(__xludf.DUMMYFUNCTION("""COMPUTED_VALUE"""),39423.666666666664)</f>
        <v>39423.66667</v>
      </c>
      <c r="B471" s="22">
        <f>IFERROR(__xludf.DUMMYFUNCTION("""COMPUTED_VALUE"""),1504.66)</f>
        <v>1504.66</v>
      </c>
      <c r="C471" s="22">
        <f t="shared" si="10"/>
        <v>1799.905995</v>
      </c>
      <c r="D471" s="25">
        <f>IFERROR(__xludf.DUMMYFUNCTION("""COMPUTED_VALUE"""),39423.99861111111)</f>
        <v>39423.99861</v>
      </c>
      <c r="E471" s="22">
        <f>IFERROR(__xludf.DUMMYFUNCTION("""COMPUTED_VALUE"""),1.4659)</f>
        <v>1.4659</v>
      </c>
      <c r="F471" s="22">
        <f t="shared" si="11"/>
        <v>116.6527852</v>
      </c>
      <c r="G471" s="22">
        <f t="shared" si="79"/>
        <v>21.22749816</v>
      </c>
      <c r="H471" s="22">
        <f t="shared" si="80"/>
        <v>30.54264479</v>
      </c>
    </row>
    <row r="472" ht="15.75" customHeight="1">
      <c r="A472" s="32">
        <f>IFERROR(__xludf.DUMMYFUNCTION("""COMPUTED_VALUE"""),39430.666666666664)</f>
        <v>39430.66667</v>
      </c>
      <c r="B472" s="22">
        <f>IFERROR(__xludf.DUMMYFUNCTION("""COMPUTED_VALUE"""),1467.95)</f>
        <v>1467.95</v>
      </c>
      <c r="C472" s="22">
        <f t="shared" si="10"/>
        <v>1756.684991</v>
      </c>
      <c r="D472" s="25">
        <f>IFERROR(__xludf.DUMMYFUNCTION("""COMPUTED_VALUE"""),39430.99861111111)</f>
        <v>39430.99861</v>
      </c>
      <c r="E472" s="22">
        <f>IFERROR(__xludf.DUMMYFUNCTION("""COMPUTED_VALUE"""),1.4424)</f>
        <v>1.4424</v>
      </c>
      <c r="F472" s="22">
        <f t="shared" si="11"/>
        <v>115.7065144</v>
      </c>
      <c r="G472" s="22">
        <f t="shared" si="79"/>
        <v>20.44071436</v>
      </c>
      <c r="H472" s="22">
        <f t="shared" si="80"/>
        <v>28.80301522</v>
      </c>
    </row>
    <row r="473" ht="15.75" customHeight="1">
      <c r="A473" s="32">
        <f>IFERROR(__xludf.DUMMYFUNCTION("""COMPUTED_VALUE"""),39437.666666666664)</f>
        <v>39437.66667</v>
      </c>
      <c r="B473" s="22">
        <f>IFERROR(__xludf.DUMMYFUNCTION("""COMPUTED_VALUE"""),1484.46)</f>
        <v>1484.46</v>
      </c>
      <c r="C473" s="22">
        <f t="shared" si="10"/>
        <v>1777.118035</v>
      </c>
      <c r="D473" s="25">
        <f>IFERROR(__xludf.DUMMYFUNCTION("""COMPUTED_VALUE"""),39437.99861111111)</f>
        <v>39437.99861</v>
      </c>
      <c r="E473" s="22">
        <f>IFERROR(__xludf.DUMMYFUNCTION("""COMPUTED_VALUE"""),1.438)</f>
        <v>1.438</v>
      </c>
      <c r="F473" s="22">
        <f t="shared" si="11"/>
        <v>117.4105229</v>
      </c>
      <c r="G473" s="22">
        <f t="shared" si="79"/>
        <v>22.51826673</v>
      </c>
      <c r="H473" s="22">
        <f t="shared" si="80"/>
        <v>36.05853938</v>
      </c>
    </row>
    <row r="474" ht="15.75" customHeight="1">
      <c r="A474" s="32">
        <f>IFERROR(__xludf.DUMMYFUNCTION("""COMPUTED_VALUE"""),39444.666666666664)</f>
        <v>39444.66667</v>
      </c>
      <c r="B474" s="22">
        <f>IFERROR(__xludf.DUMMYFUNCTION("""COMPUTED_VALUE"""),1478.49)</f>
        <v>1478.49</v>
      </c>
      <c r="C474" s="22">
        <f t="shared" si="10"/>
        <v>1770.654569</v>
      </c>
      <c r="D474" s="25">
        <f>IFERROR(__xludf.DUMMYFUNCTION("""COMPUTED_VALUE"""),39444.99861111111)</f>
        <v>39444.99861</v>
      </c>
      <c r="E474" s="22">
        <f>IFERROR(__xludf.DUMMYFUNCTION("""COMPUTED_VALUE"""),1.4712)</f>
        <v>1.4712</v>
      </c>
      <c r="F474" s="22">
        <f t="shared" si="11"/>
        <v>114.3435739</v>
      </c>
      <c r="G474" s="22">
        <f t="shared" si="79"/>
        <v>19.41288015</v>
      </c>
      <c r="H474" s="22">
        <f t="shared" si="80"/>
        <v>27.38470279</v>
      </c>
    </row>
    <row r="475" ht="15.75" customHeight="1">
      <c r="A475" s="32">
        <f>IFERROR(__xludf.DUMMYFUNCTION("""COMPUTED_VALUE"""),39451.666666666664)</f>
        <v>39451.66667</v>
      </c>
      <c r="B475" s="22">
        <f>IFERROR(__xludf.DUMMYFUNCTION("""COMPUTED_VALUE"""),1411.63)</f>
        <v>1411.63</v>
      </c>
      <c r="C475" s="22">
        <f t="shared" si="10"/>
        <v>1691.263379</v>
      </c>
      <c r="D475" s="25">
        <f>IFERROR(__xludf.DUMMYFUNCTION("""COMPUTED_VALUE"""),39451.99861111111)</f>
        <v>39451.99861</v>
      </c>
      <c r="E475" s="22">
        <f>IFERROR(__xludf.DUMMYFUNCTION("""COMPUTED_VALUE"""),1.4737)</f>
        <v>1.4737</v>
      </c>
      <c r="F475" s="22">
        <f t="shared" si="11"/>
        <v>109.031452</v>
      </c>
      <c r="G475" s="22">
        <f t="shared" si="79"/>
        <v>12.0881688</v>
      </c>
      <c r="H475" s="22">
        <f t="shared" si="80"/>
        <v>20.62527529</v>
      </c>
    </row>
    <row r="476" ht="15.75" customHeight="1">
      <c r="A476" s="32">
        <f>IFERROR(__xludf.DUMMYFUNCTION("""COMPUTED_VALUE"""),39458.666666666664)</f>
        <v>39458.66667</v>
      </c>
      <c r="B476" s="22">
        <f>IFERROR(__xludf.DUMMYFUNCTION("""COMPUTED_VALUE"""),1401.02)</f>
        <v>1401.02</v>
      </c>
      <c r="C476" s="22">
        <f t="shared" si="10"/>
        <v>1679.202103</v>
      </c>
      <c r="D476" s="25">
        <f>IFERROR(__xludf.DUMMYFUNCTION("""COMPUTED_VALUE"""),39458.99861111111)</f>
        <v>39458.99861</v>
      </c>
      <c r="E476" s="22">
        <f>IFERROR(__xludf.DUMMYFUNCTION("""COMPUTED_VALUE"""),1.4784)</f>
        <v>1.4784</v>
      </c>
      <c r="F476" s="22">
        <f t="shared" si="11"/>
        <v>107.9097408</v>
      </c>
      <c r="G476" s="22">
        <f t="shared" si="79"/>
        <v>11.26194273</v>
      </c>
      <c r="H476" s="22">
        <f t="shared" si="80"/>
        <v>23.89957979</v>
      </c>
    </row>
    <row r="477" ht="15.75" customHeight="1">
      <c r="A477" s="32">
        <f>IFERROR(__xludf.DUMMYFUNCTION("""COMPUTED_VALUE"""),39465.666666666664)</f>
        <v>39465.66667</v>
      </c>
      <c r="B477" s="22">
        <f>IFERROR(__xludf.DUMMYFUNCTION("""COMPUTED_VALUE"""),1325.19)</f>
        <v>1325.19</v>
      </c>
      <c r="C477" s="22">
        <f t="shared" si="10"/>
        <v>1588.961384</v>
      </c>
      <c r="D477" s="25">
        <f>IFERROR(__xludf.DUMMYFUNCTION("""COMPUTED_VALUE"""),39465.99861111111)</f>
        <v>39465.99861</v>
      </c>
      <c r="E477" s="22">
        <f>IFERROR(__xludf.DUMMYFUNCTION("""COMPUTED_VALUE"""),1.4615)</f>
        <v>1.4615</v>
      </c>
      <c r="F477" s="22">
        <f t="shared" si="11"/>
        <v>103.2913984</v>
      </c>
      <c r="G477" s="22">
        <f t="shared" si="79"/>
        <v>7.118101943</v>
      </c>
      <c r="H477" s="22">
        <f t="shared" si="80"/>
        <v>25.92090749</v>
      </c>
    </row>
    <row r="478" ht="15.75" customHeight="1">
      <c r="A478" s="32">
        <f>IFERROR(__xludf.DUMMYFUNCTION("""COMPUTED_VALUE"""),39472.666666666664)</f>
        <v>39472.66667</v>
      </c>
      <c r="B478" s="22">
        <f>IFERROR(__xludf.DUMMYFUNCTION("""COMPUTED_VALUE"""),1330.61)</f>
        <v>1330.61</v>
      </c>
      <c r="C478" s="22">
        <f t="shared" si="10"/>
        <v>1596.071343</v>
      </c>
      <c r="D478" s="25">
        <f>IFERROR(__xludf.DUMMYFUNCTION("""COMPUTED_VALUE"""),39472.99861111111)</f>
        <v>39472.99861</v>
      </c>
      <c r="E478" s="22">
        <f>IFERROR(__xludf.DUMMYFUNCTION("""COMPUTED_VALUE"""),1.4669)</f>
        <v>1.4669</v>
      </c>
      <c r="F478" s="22">
        <f t="shared" si="11"/>
        <v>103.3716445</v>
      </c>
      <c r="G478" s="22">
        <f t="shared" si="79"/>
        <v>7.227400023</v>
      </c>
      <c r="H478" s="22">
        <f t="shared" si="80"/>
        <v>26.14141148</v>
      </c>
    </row>
    <row r="479" ht="15.75" customHeight="1">
      <c r="A479" s="32">
        <f>IFERROR(__xludf.DUMMYFUNCTION("""COMPUTED_VALUE"""),39479.666666666664)</f>
        <v>39479.66667</v>
      </c>
      <c r="B479" s="22">
        <f>IFERROR(__xludf.DUMMYFUNCTION("""COMPUTED_VALUE"""),1395.42)</f>
        <v>1395.42</v>
      </c>
      <c r="C479" s="22">
        <f t="shared" si="10"/>
        <v>1674.425038</v>
      </c>
      <c r="D479" s="25">
        <f>IFERROR(__xludf.DUMMYFUNCTION("""COMPUTED_VALUE"""),39479.99861111111)</f>
        <v>39479.99861</v>
      </c>
      <c r="E479" s="22">
        <f>IFERROR(__xludf.DUMMYFUNCTION("""COMPUTED_VALUE"""),1.4803)</f>
        <v>1.4803</v>
      </c>
      <c r="F479" s="22">
        <f t="shared" si="11"/>
        <v>107.464644</v>
      </c>
      <c r="G479" s="22">
        <f t="shared" si="79"/>
        <v>6.942092751</v>
      </c>
      <c r="H479" s="22">
        <f t="shared" si="80"/>
        <v>35.78337665</v>
      </c>
    </row>
    <row r="480" ht="15.75" customHeight="1">
      <c r="A480" s="32">
        <f>IFERROR(__xludf.DUMMYFUNCTION("""COMPUTED_VALUE"""),39486.666666666664)</f>
        <v>39486.66667</v>
      </c>
      <c r="B480" s="22">
        <f>IFERROR(__xludf.DUMMYFUNCTION("""COMPUTED_VALUE"""),1331.29)</f>
        <v>1331.29</v>
      </c>
      <c r="C480" s="22">
        <f t="shared" si="10"/>
        <v>1598.116677</v>
      </c>
      <c r="D480" s="25">
        <f>IFERROR(__xludf.DUMMYFUNCTION("""COMPUTED_VALUE"""),39486.99861111111)</f>
        <v>39486.99861</v>
      </c>
      <c r="E480" s="22">
        <f>IFERROR(__xludf.DUMMYFUNCTION("""COMPUTED_VALUE"""),1.4501)</f>
        <v>1.4501</v>
      </c>
      <c r="F480" s="22">
        <f t="shared" si="11"/>
        <v>104.7032506</v>
      </c>
      <c r="G480" s="22">
        <f t="shared" si="79"/>
        <v>3.941809144</v>
      </c>
      <c r="H480" s="22">
        <f t="shared" si="80"/>
        <v>31.10418748</v>
      </c>
    </row>
    <row r="481" ht="15.75" customHeight="1">
      <c r="A481" s="32">
        <f>IFERROR(__xludf.DUMMYFUNCTION("""COMPUTED_VALUE"""),39493.666666666664)</f>
        <v>39493.66667</v>
      </c>
      <c r="B481" s="22">
        <f>IFERROR(__xludf.DUMMYFUNCTION("""COMPUTED_VALUE"""),1349.99)</f>
        <v>1349.99</v>
      </c>
      <c r="C481" s="22">
        <f t="shared" si="10"/>
        <v>1621.179325</v>
      </c>
      <c r="D481" s="25">
        <f>IFERROR(__xludf.DUMMYFUNCTION("""COMPUTED_VALUE"""),39493.99861111111)</f>
        <v>39493.99861</v>
      </c>
      <c r="E481" s="22">
        <f>IFERROR(__xludf.DUMMYFUNCTION("""COMPUTED_VALUE"""),1.467)</f>
        <v>1.467</v>
      </c>
      <c r="F481" s="22">
        <f t="shared" si="11"/>
        <v>104.9906384</v>
      </c>
      <c r="G481" s="22">
        <f t="shared" si="79"/>
        <v>5.84219499</v>
      </c>
      <c r="H481" s="22">
        <f t="shared" si="80"/>
        <v>28.99704558</v>
      </c>
    </row>
    <row r="482" ht="15.75" customHeight="1">
      <c r="A482" s="32">
        <f>IFERROR(__xludf.DUMMYFUNCTION("""COMPUTED_VALUE"""),39500.666666666664)</f>
        <v>39500.66667</v>
      </c>
      <c r="B482" s="22">
        <f>IFERROR(__xludf.DUMMYFUNCTION("""COMPUTED_VALUE"""),1353.11)</f>
        <v>1353.11</v>
      </c>
      <c r="C482" s="22">
        <f t="shared" si="10"/>
        <v>1625.549609</v>
      </c>
      <c r="D482" s="25">
        <f>IFERROR(__xludf.DUMMYFUNCTION("""COMPUTED_VALUE"""),39500.99861111111)</f>
        <v>39500.99861</v>
      </c>
      <c r="E482" s="22">
        <f>IFERROR(__xludf.DUMMYFUNCTION("""COMPUTED_VALUE"""),1.4824)</f>
        <v>1.4824</v>
      </c>
      <c r="F482" s="22">
        <f t="shared" si="11"/>
        <v>104.1800246</v>
      </c>
      <c r="G482" s="22">
        <f t="shared" si="79"/>
        <v>5.929518222</v>
      </c>
      <c r="H482" s="22">
        <f t="shared" si="80"/>
        <v>29.54689469</v>
      </c>
    </row>
    <row r="483" ht="15.75" customHeight="1">
      <c r="A483" s="32">
        <f>IFERROR(__xludf.DUMMYFUNCTION("""COMPUTED_VALUE"""),39507.666666666664)</f>
        <v>39507.66667</v>
      </c>
      <c r="B483" s="22">
        <f>IFERROR(__xludf.DUMMYFUNCTION("""COMPUTED_VALUE"""),1330.63)</f>
        <v>1330.63</v>
      </c>
      <c r="C483" s="22">
        <f t="shared" si="10"/>
        <v>1599.168623</v>
      </c>
      <c r="D483" s="25">
        <f>IFERROR(__xludf.DUMMYFUNCTION("""COMPUTED_VALUE"""),39507.99861111111)</f>
        <v>39507.99861</v>
      </c>
      <c r="E483" s="22">
        <f>IFERROR(__xludf.DUMMYFUNCTION("""COMPUTED_VALUE"""),1.5173)</f>
        <v>1.5173</v>
      </c>
      <c r="F483" s="22">
        <f t="shared" si="11"/>
        <v>100.1318952</v>
      </c>
      <c r="G483" s="22">
        <f t="shared" si="79"/>
        <v>0.894618666</v>
      </c>
      <c r="H483" s="22">
        <f t="shared" si="80"/>
        <v>28.69032816</v>
      </c>
    </row>
    <row r="484" ht="15.75" customHeight="1">
      <c r="A484" s="32">
        <f>IFERROR(__xludf.DUMMYFUNCTION("""COMPUTED_VALUE"""),39514.666666666664)</f>
        <v>39514.66667</v>
      </c>
      <c r="B484" s="22">
        <f>IFERROR(__xludf.DUMMYFUNCTION("""COMPUTED_VALUE"""),1293.37)</f>
        <v>1293.37</v>
      </c>
      <c r="C484" s="22">
        <f t="shared" si="10"/>
        <v>1555.00413</v>
      </c>
      <c r="D484" s="25">
        <f>IFERROR(__xludf.DUMMYFUNCTION("""COMPUTED_VALUE"""),39514.99861111111)</f>
        <v>39514.99861</v>
      </c>
      <c r="E484" s="22">
        <f>IFERROR(__xludf.DUMMYFUNCTION("""COMPUTED_VALUE"""),1.5348)</f>
        <v>1.5348</v>
      </c>
      <c r="F484" s="22">
        <f t="shared" si="11"/>
        <v>96.2563502</v>
      </c>
      <c r="G484" s="22">
        <f t="shared" si="79"/>
        <v>0.4022780251</v>
      </c>
      <c r="H484" s="22">
        <f t="shared" si="80"/>
        <v>20.01727181</v>
      </c>
    </row>
    <row r="485" ht="15.75" customHeight="1">
      <c r="A485" s="32">
        <f>IFERROR(__xludf.DUMMYFUNCTION("""COMPUTED_VALUE"""),39521.666666666664)</f>
        <v>39521.66667</v>
      </c>
      <c r="B485" s="22">
        <f>IFERROR(__xludf.DUMMYFUNCTION("""COMPUTED_VALUE"""),1288.14)</f>
        <v>1288.14</v>
      </c>
      <c r="C485" s="22">
        <f t="shared" si="10"/>
        <v>1549.314239</v>
      </c>
      <c r="D485" s="25">
        <f>IFERROR(__xludf.DUMMYFUNCTION("""COMPUTED_VALUE"""),39521.99861111111)</f>
        <v>39521.99861</v>
      </c>
      <c r="E485" s="22">
        <f>IFERROR(__xludf.DUMMYFUNCTION("""COMPUTED_VALUE"""),1.5612)</f>
        <v>1.5612</v>
      </c>
      <c r="F485" s="22">
        <f t="shared" si="11"/>
        <v>94.28239445</v>
      </c>
      <c r="G485" s="22">
        <f t="shared" si="79"/>
        <v>-1.944973467</v>
      </c>
      <c r="H485" s="22">
        <f t="shared" si="80"/>
        <v>7.060015094</v>
      </c>
    </row>
    <row r="486" ht="15.75" customHeight="1">
      <c r="A486" s="32">
        <f>IFERROR(__xludf.DUMMYFUNCTION("""COMPUTED_VALUE"""),39527.666666666664)</f>
        <v>39527.66667</v>
      </c>
      <c r="B486" s="22">
        <f>IFERROR(__xludf.DUMMYFUNCTION("""COMPUTED_VALUE"""),1329.51)</f>
        <v>1329.51</v>
      </c>
      <c r="C486" s="22">
        <f t="shared" si="10"/>
        <v>1599.66802</v>
      </c>
      <c r="D486" s="25">
        <f>IFERROR(__xludf.DUMMYFUNCTION("""COMPUTED_VALUE"""),39528.99861111111)</f>
        <v>39528.99861</v>
      </c>
      <c r="E486" s="22">
        <f>IFERROR(__xludf.DUMMYFUNCTION("""COMPUTED_VALUE"""),1.5694)</f>
        <v>1.5694</v>
      </c>
      <c r="F486" s="22">
        <f t="shared" si="11"/>
        <v>96.83800825</v>
      </c>
      <c r="G486" s="22">
        <f t="shared" si="79"/>
        <v>-0.5547118337</v>
      </c>
      <c r="H486" s="22">
        <f t="shared" si="80"/>
        <v>16.81760912</v>
      </c>
    </row>
    <row r="487" ht="15.75" customHeight="1">
      <c r="A487" s="32">
        <f>IFERROR(__xludf.DUMMYFUNCTION("""COMPUTED_VALUE"""),39535.666666666664)</f>
        <v>39535.66667</v>
      </c>
      <c r="B487" s="22">
        <f>IFERROR(__xludf.DUMMYFUNCTION("""COMPUTED_VALUE"""),1315.22)</f>
        <v>1315.22</v>
      </c>
      <c r="C487" s="22">
        <f t="shared" si="10"/>
        <v>1583.089532</v>
      </c>
      <c r="D487" s="25">
        <f>IFERROR(__xludf.DUMMYFUNCTION("""COMPUTED_VALUE"""),39535.99861111111)</f>
        <v>39535.99861</v>
      </c>
      <c r="E487" s="22">
        <f>IFERROR(__xludf.DUMMYFUNCTION("""COMPUTED_VALUE"""),1.5755)</f>
        <v>1.5755</v>
      </c>
      <c r="F487" s="22">
        <f t="shared" si="11"/>
        <v>95.46335727</v>
      </c>
      <c r="G487" s="22">
        <f t="shared" si="79"/>
        <v>-2.454290617</v>
      </c>
      <c r="H487" s="22">
        <f t="shared" si="80"/>
        <v>12.64339903</v>
      </c>
    </row>
    <row r="488" ht="15.75" customHeight="1">
      <c r="A488" s="32">
        <f>IFERROR(__xludf.DUMMYFUNCTION("""COMPUTED_VALUE"""),39542.666666666664)</f>
        <v>39542.66667</v>
      </c>
      <c r="B488" s="22">
        <f>IFERROR(__xludf.DUMMYFUNCTION("""COMPUTED_VALUE"""),1370.4)</f>
        <v>1370.4</v>
      </c>
      <c r="C488" s="22">
        <f t="shared" si="10"/>
        <v>1650.116868</v>
      </c>
      <c r="D488" s="25">
        <f>IFERROR(__xludf.DUMMYFUNCTION("""COMPUTED_VALUE"""),39542.99861111111)</f>
        <v>39542.99861</v>
      </c>
      <c r="E488" s="22">
        <f>IFERROR(__xludf.DUMMYFUNCTION("""COMPUTED_VALUE"""),1.5731)</f>
        <v>1.5731</v>
      </c>
      <c r="F488" s="22">
        <f t="shared" si="11"/>
        <v>99.65704526</v>
      </c>
      <c r="G488" s="22">
        <f t="shared" si="79"/>
        <v>0.8200422228</v>
      </c>
      <c r="H488" s="22">
        <f t="shared" si="80"/>
        <v>19.20705386</v>
      </c>
    </row>
    <row r="489" ht="15.75" customHeight="1">
      <c r="A489" s="32">
        <f>IFERROR(__xludf.DUMMYFUNCTION("""COMPUTED_VALUE"""),39549.666666666664)</f>
        <v>39549.66667</v>
      </c>
      <c r="B489" s="22">
        <f>IFERROR(__xludf.DUMMYFUNCTION("""COMPUTED_VALUE"""),1332.83)</f>
        <v>1332.83</v>
      </c>
      <c r="C489" s="22">
        <f t="shared" si="10"/>
        <v>1605.512991</v>
      </c>
      <c r="D489" s="25">
        <f>IFERROR(__xludf.DUMMYFUNCTION("""COMPUTED_VALUE"""),39549.99861111111)</f>
        <v>39549.99861</v>
      </c>
      <c r="E489" s="22">
        <f>IFERROR(__xludf.DUMMYFUNCTION("""COMPUTED_VALUE"""),1.582)</f>
        <v>1.582</v>
      </c>
      <c r="F489" s="22">
        <f t="shared" si="11"/>
        <v>96.41774695</v>
      </c>
      <c r="G489" s="22">
        <f t="shared" si="79"/>
        <v>0.7180653323</v>
      </c>
      <c r="H489" s="22">
        <f t="shared" si="80"/>
        <v>13.40280458</v>
      </c>
    </row>
    <row r="490" ht="15.75" customHeight="1">
      <c r="A490" s="32">
        <f>IFERROR(__xludf.DUMMYFUNCTION("""COMPUTED_VALUE"""),39556.666666666664)</f>
        <v>39556.66667</v>
      </c>
      <c r="B490" s="22">
        <f>IFERROR(__xludf.DUMMYFUNCTION("""COMPUTED_VALUE"""),1390.33)</f>
        <v>1390.33</v>
      </c>
      <c r="C490" s="22">
        <f t="shared" si="10"/>
        <v>1675.394391</v>
      </c>
      <c r="D490" s="25">
        <f>IFERROR(__xludf.DUMMYFUNCTION("""COMPUTED_VALUE"""),39556.99861111111)</f>
        <v>39556.99861</v>
      </c>
      <c r="E490" s="22">
        <f>IFERROR(__xludf.DUMMYFUNCTION("""COMPUTED_VALUE"""),1.5732)</f>
        <v>1.5732</v>
      </c>
      <c r="F490" s="22">
        <f t="shared" si="11"/>
        <v>101.1772226</v>
      </c>
      <c r="G490" s="22">
        <f t="shared" si="79"/>
        <v>6.325813312</v>
      </c>
      <c r="H490" s="22">
        <f t="shared" si="80"/>
        <v>19.90363236</v>
      </c>
    </row>
    <row r="491" ht="15.75" customHeight="1">
      <c r="A491" s="32">
        <f>IFERROR(__xludf.DUMMYFUNCTION("""COMPUTED_VALUE"""),39563.666666666664)</f>
        <v>39563.66667</v>
      </c>
      <c r="B491" s="22">
        <f>IFERROR(__xludf.DUMMYFUNCTION("""COMPUTED_VALUE"""),1397.84)</f>
        <v>1397.84</v>
      </c>
      <c r="C491" s="22">
        <f t="shared" si="10"/>
        <v>1685.088576</v>
      </c>
      <c r="D491" s="25">
        <f>IFERROR(__xludf.DUMMYFUNCTION("""COMPUTED_VALUE"""),39563.99861111111)</f>
        <v>39563.99861</v>
      </c>
      <c r="E491" s="22">
        <f>IFERROR(__xludf.DUMMYFUNCTION("""COMPUTED_VALUE"""),1.5631)</f>
        <v>1.5631</v>
      </c>
      <c r="F491" s="22">
        <f t="shared" si="11"/>
        <v>102.4201966</v>
      </c>
      <c r="G491" s="22">
        <f t="shared" si="79"/>
        <v>5.624297437</v>
      </c>
      <c r="H491" s="22">
        <f t="shared" si="80"/>
        <v>19.29221522</v>
      </c>
    </row>
    <row r="492" ht="15.75" customHeight="1">
      <c r="A492" s="32">
        <f>IFERROR(__xludf.DUMMYFUNCTION("""COMPUTED_VALUE"""),39570.666666666664)</f>
        <v>39570.66667</v>
      </c>
      <c r="B492" s="22">
        <f>IFERROR(__xludf.DUMMYFUNCTION("""COMPUTED_VALUE"""),1413.9)</f>
        <v>1413.9</v>
      </c>
      <c r="C492" s="22">
        <f t="shared" si="10"/>
        <v>1705.09693</v>
      </c>
      <c r="D492" s="25">
        <f>IFERROR(__xludf.DUMMYFUNCTION("""COMPUTED_VALUE"""),39570.99861111111)</f>
        <v>39570.99861</v>
      </c>
      <c r="E492" s="22">
        <f>IFERROR(__xludf.DUMMYFUNCTION("""COMPUTED_VALUE"""),1.5428)</f>
        <v>1.5428</v>
      </c>
      <c r="F492" s="22">
        <f t="shared" si="11"/>
        <v>104.9999461</v>
      </c>
      <c r="G492" s="22">
        <f t="shared" si="79"/>
        <v>6.413582658</v>
      </c>
      <c r="H492" s="22">
        <f t="shared" si="80"/>
        <v>24.62387168</v>
      </c>
    </row>
    <row r="493" ht="15.75" customHeight="1">
      <c r="A493" s="32">
        <f>IFERROR(__xludf.DUMMYFUNCTION("""COMPUTED_VALUE"""),39577.666666666664)</f>
        <v>39577.66667</v>
      </c>
      <c r="B493" s="22">
        <f>IFERROR(__xludf.DUMMYFUNCTION("""COMPUTED_VALUE"""),1388.28)</f>
        <v>1388.28</v>
      </c>
      <c r="C493" s="22">
        <f t="shared" si="10"/>
        <v>1674.856221</v>
      </c>
      <c r="D493" s="25">
        <f>IFERROR(__xludf.DUMMYFUNCTION("""COMPUTED_VALUE"""),39577.99861111111)</f>
        <v>39577.99861</v>
      </c>
      <c r="E493" s="22">
        <f>IFERROR(__xludf.DUMMYFUNCTION("""COMPUTED_VALUE"""),1.5486)</f>
        <v>1.5486</v>
      </c>
      <c r="F493" s="22">
        <f t="shared" si="11"/>
        <v>102.7514383</v>
      </c>
      <c r="G493" s="22">
        <f t="shared" si="79"/>
        <v>4.038035898</v>
      </c>
      <c r="H493" s="22">
        <f t="shared" si="80"/>
        <v>21.63584759</v>
      </c>
    </row>
    <row r="494" ht="15.75" customHeight="1">
      <c r="A494" s="32">
        <f>IFERROR(__xludf.DUMMYFUNCTION("""COMPUTED_VALUE"""),39584.666666666664)</f>
        <v>39584.66667</v>
      </c>
      <c r="B494" s="22">
        <f>IFERROR(__xludf.DUMMYFUNCTION("""COMPUTED_VALUE"""),1425.35)</f>
        <v>1425.35</v>
      </c>
      <c r="C494" s="22">
        <f t="shared" si="10"/>
        <v>1720.222585</v>
      </c>
      <c r="D494" s="25">
        <f>IFERROR(__xludf.DUMMYFUNCTION("""COMPUTED_VALUE"""),39584.99861111111)</f>
        <v>39584.99861</v>
      </c>
      <c r="E494" s="22">
        <f>IFERROR(__xludf.DUMMYFUNCTION("""COMPUTED_VALUE"""),1.5575)</f>
        <v>1.5575</v>
      </c>
      <c r="F494" s="22">
        <f t="shared" si="11"/>
        <v>104.9315828</v>
      </c>
      <c r="G494" s="22">
        <f t="shared" si="79"/>
        <v>2.536811854</v>
      </c>
      <c r="H494" s="22">
        <f t="shared" si="80"/>
        <v>28.28655208</v>
      </c>
    </row>
    <row r="495" ht="15.75" customHeight="1">
      <c r="A495" s="32">
        <f>IFERROR(__xludf.DUMMYFUNCTION("""COMPUTED_VALUE"""),39591.666666666664)</f>
        <v>39591.66667</v>
      </c>
      <c r="B495" s="22">
        <f>IFERROR(__xludf.DUMMYFUNCTION("""COMPUTED_VALUE"""),1375.93)</f>
        <v>1375.93</v>
      </c>
      <c r="C495" s="22">
        <f t="shared" si="10"/>
        <v>1661.240332</v>
      </c>
      <c r="D495" s="25">
        <f>IFERROR(__xludf.DUMMYFUNCTION("""COMPUTED_VALUE"""),39591.99861111111)</f>
        <v>39591.99861</v>
      </c>
      <c r="E495" s="22">
        <f>IFERROR(__xludf.DUMMYFUNCTION("""COMPUTED_VALUE"""),1.5779)</f>
        <v>1.5779</v>
      </c>
      <c r="F495" s="22">
        <f t="shared" si="11"/>
        <v>100.0236329</v>
      </c>
      <c r="G495" s="22">
        <f t="shared" si="79"/>
        <v>-2.862149032</v>
      </c>
      <c r="H495" s="22">
        <f t="shared" si="80"/>
        <v>17.82797179</v>
      </c>
    </row>
    <row r="496" ht="15.75" customHeight="1">
      <c r="A496" s="32">
        <f>IFERROR(__xludf.DUMMYFUNCTION("""COMPUTED_VALUE"""),39598.666666666664)</f>
        <v>39598.66667</v>
      </c>
      <c r="B496" s="22">
        <f>IFERROR(__xludf.DUMMYFUNCTION("""COMPUTED_VALUE"""),1400.38)</f>
        <v>1400.38</v>
      </c>
      <c r="C496" s="22">
        <f t="shared" si="10"/>
        <v>1691.399178</v>
      </c>
      <c r="D496" s="25">
        <f>IFERROR(__xludf.DUMMYFUNCTION("""COMPUTED_VALUE"""),39598.99861111111)</f>
        <v>39598.99861</v>
      </c>
      <c r="E496" s="22">
        <f>IFERROR(__xludf.DUMMYFUNCTION("""COMPUTED_VALUE"""),1.5539)</f>
        <v>1.5539</v>
      </c>
      <c r="F496" s="22">
        <f t="shared" si="11"/>
        <v>103.4124155</v>
      </c>
      <c r="G496" s="22">
        <f t="shared" si="79"/>
        <v>-2.194334313</v>
      </c>
      <c r="H496" s="22">
        <f t="shared" si="80"/>
        <v>17.93755779</v>
      </c>
    </row>
    <row r="497" ht="15.75" customHeight="1">
      <c r="A497" s="32">
        <f>IFERROR(__xludf.DUMMYFUNCTION("""COMPUTED_VALUE"""),39605.666666666664)</f>
        <v>39605.66667</v>
      </c>
      <c r="B497" s="22">
        <f>IFERROR(__xludf.DUMMYFUNCTION("""COMPUTED_VALUE"""),1360.68)</f>
        <v>1360.68</v>
      </c>
      <c r="C497" s="22">
        <f t="shared" si="10"/>
        <v>1644.099483</v>
      </c>
      <c r="D497" s="25">
        <f>IFERROR(__xludf.DUMMYFUNCTION("""COMPUTED_VALUE"""),39605.99861111111)</f>
        <v>39605.99861</v>
      </c>
      <c r="E497" s="22">
        <f>IFERROR(__xludf.DUMMYFUNCTION("""COMPUTED_VALUE"""),1.5777)</f>
        <v>1.5777</v>
      </c>
      <c r="F497" s="22">
        <f t="shared" si="11"/>
        <v>99.00412762</v>
      </c>
      <c r="G497" s="22">
        <f t="shared" si="79"/>
        <v>-7.288928328</v>
      </c>
      <c r="H497" s="22">
        <f t="shared" si="80"/>
        <v>14.39884764</v>
      </c>
    </row>
    <row r="498" ht="15.75" customHeight="1">
      <c r="A498" s="32">
        <f>IFERROR(__xludf.DUMMYFUNCTION("""COMPUTED_VALUE"""),39612.666666666664)</f>
        <v>39612.66667</v>
      </c>
      <c r="B498" s="22">
        <f>IFERROR(__xludf.DUMMYFUNCTION("""COMPUTED_VALUE"""),1360.03)</f>
        <v>1360.03</v>
      </c>
      <c r="C498" s="22">
        <f t="shared" si="10"/>
        <v>1643.946439</v>
      </c>
      <c r="D498" s="25">
        <f>IFERROR(__xludf.DUMMYFUNCTION("""COMPUTED_VALUE"""),39612.99861111111)</f>
        <v>39612.99861</v>
      </c>
      <c r="E498" s="22">
        <f>IFERROR(__xludf.DUMMYFUNCTION("""COMPUTED_VALUE"""),1.5378)</f>
        <v>1.5378</v>
      </c>
      <c r="F498" s="22">
        <f t="shared" si="11"/>
        <v>101.5634491</v>
      </c>
      <c r="G498" s="22">
        <f t="shared" si="79"/>
        <v>-5.305172279</v>
      </c>
      <c r="H498" s="22">
        <f t="shared" si="80"/>
        <v>13.8859572</v>
      </c>
    </row>
    <row r="499" ht="15.75" customHeight="1">
      <c r="A499" s="32">
        <f>IFERROR(__xludf.DUMMYFUNCTION("""COMPUTED_VALUE"""),39619.666666666664)</f>
        <v>39619.66667</v>
      </c>
      <c r="B499" s="22">
        <f>IFERROR(__xludf.DUMMYFUNCTION("""COMPUTED_VALUE"""),1317.93)</f>
        <v>1317.93</v>
      </c>
      <c r="C499" s="22">
        <f t="shared" si="10"/>
        <v>1593.690036</v>
      </c>
      <c r="D499" s="25">
        <f>IFERROR(__xludf.DUMMYFUNCTION("""COMPUTED_VALUE"""),39619.99861111111)</f>
        <v>39619.99861</v>
      </c>
      <c r="E499" s="22">
        <f>IFERROR(__xludf.DUMMYFUNCTION("""COMPUTED_VALUE"""),1.5622)</f>
        <v>1.5622</v>
      </c>
      <c r="F499" s="22">
        <f t="shared" si="11"/>
        <v>96.92077049</v>
      </c>
      <c r="G499" s="22">
        <f t="shared" si="79"/>
        <v>-9.105264396</v>
      </c>
      <c r="H499" s="22">
        <f t="shared" si="80"/>
        <v>9.151985837</v>
      </c>
    </row>
    <row r="500" ht="15.75" customHeight="1">
      <c r="A500" s="32">
        <f>IFERROR(__xludf.DUMMYFUNCTION("""COMPUTED_VALUE"""),39626.666666666664)</f>
        <v>39626.66667</v>
      </c>
      <c r="B500" s="22">
        <f>IFERROR(__xludf.DUMMYFUNCTION("""COMPUTED_VALUE"""),1278.38)</f>
        <v>1278.38</v>
      </c>
      <c r="C500" s="22">
        <f t="shared" si="10"/>
        <v>1546.477661</v>
      </c>
      <c r="D500" s="25">
        <f>IFERROR(__xludf.DUMMYFUNCTION("""COMPUTED_VALUE"""),39626.99861111111)</f>
        <v>39626.99861</v>
      </c>
      <c r="E500" s="22">
        <f>IFERROR(__xludf.DUMMYFUNCTION("""COMPUTED_VALUE"""),1.5747)</f>
        <v>1.5747</v>
      </c>
      <c r="F500" s="22">
        <f t="shared" si="11"/>
        <v>93.30296767</v>
      </c>
      <c r="G500" s="22">
        <f t="shared" si="79"/>
        <v>-13.89654598</v>
      </c>
      <c r="H500" s="22">
        <f t="shared" si="80"/>
        <v>4.591688407</v>
      </c>
    </row>
    <row r="501" ht="15.75" customHeight="1">
      <c r="A501" s="32">
        <f>IFERROR(__xludf.DUMMYFUNCTION("""COMPUTED_VALUE"""),39632.666666666664)</f>
        <v>39632.66667</v>
      </c>
      <c r="B501" s="22">
        <f>IFERROR(__xludf.DUMMYFUNCTION("""COMPUTED_VALUE"""),1262.9)</f>
        <v>1262.9</v>
      </c>
      <c r="C501" s="22">
        <f t="shared" si="10"/>
        <v>1528.346045</v>
      </c>
      <c r="D501" s="25">
        <f>IFERROR(__xludf.DUMMYFUNCTION("""COMPUTED_VALUE"""),39633.99861111111)</f>
        <v>39633.99861</v>
      </c>
      <c r="E501" s="22">
        <f>IFERROR(__xludf.DUMMYFUNCTION("""COMPUTED_VALUE"""),1.5708)</f>
        <v>1.5708</v>
      </c>
      <c r="F501" s="22">
        <f t="shared" si="11"/>
        <v>92.43797839</v>
      </c>
      <c r="G501" s="22">
        <f t="shared" si="79"/>
        <v>-15.64292451</v>
      </c>
      <c r="H501" s="22">
        <f t="shared" si="80"/>
        <v>0.3878957135</v>
      </c>
    </row>
    <row r="502" ht="15.75" customHeight="1">
      <c r="A502" s="32">
        <f>IFERROR(__xludf.DUMMYFUNCTION("""COMPUTED_VALUE"""),39640.666666666664)</f>
        <v>39640.66667</v>
      </c>
      <c r="B502" s="22">
        <f>IFERROR(__xludf.DUMMYFUNCTION("""COMPUTED_VALUE"""),1239.49)</f>
        <v>1239.49</v>
      </c>
      <c r="C502" s="22">
        <f t="shared" si="10"/>
        <v>1500.603377</v>
      </c>
      <c r="D502" s="25">
        <f>IFERROR(__xludf.DUMMYFUNCTION("""COMPUTED_VALUE"""),39640.99861111111)</f>
        <v>39640.99861</v>
      </c>
      <c r="E502" s="22">
        <f>IFERROR(__xludf.DUMMYFUNCTION("""COMPUTED_VALUE"""),1.5941)</f>
        <v>1.5941</v>
      </c>
      <c r="F502" s="22">
        <f t="shared" si="11"/>
        <v>89.43345146</v>
      </c>
      <c r="G502" s="22">
        <f t="shared" si="79"/>
        <v>-19.05248563</v>
      </c>
      <c r="H502" s="22">
        <f t="shared" si="80"/>
        <v>-2.589474078</v>
      </c>
    </row>
    <row r="503" ht="15.75" customHeight="1">
      <c r="A503" s="32">
        <f>IFERROR(__xludf.DUMMYFUNCTION("""COMPUTED_VALUE"""),39647.666666666664)</f>
        <v>39647.66667</v>
      </c>
      <c r="B503" s="22">
        <f>IFERROR(__xludf.DUMMYFUNCTION("""COMPUTED_VALUE"""),1260.68)</f>
        <v>1260.68</v>
      </c>
      <c r="C503" s="22">
        <f t="shared" si="10"/>
        <v>1526.834459</v>
      </c>
      <c r="D503" s="25">
        <f>IFERROR(__xludf.DUMMYFUNCTION("""COMPUTED_VALUE"""),39647.99861111111)</f>
        <v>39647.99861</v>
      </c>
      <c r="E503" s="22">
        <f>IFERROR(__xludf.DUMMYFUNCTION("""COMPUTED_VALUE"""),1.5852)</f>
        <v>1.5852</v>
      </c>
      <c r="F503" s="22">
        <f t="shared" si="11"/>
        <v>91.50767544</v>
      </c>
      <c r="G503" s="22">
        <f t="shared" si="79"/>
        <v>-17.49065375</v>
      </c>
      <c r="H503" s="22">
        <f t="shared" si="80"/>
        <v>1.288118533</v>
      </c>
    </row>
    <row r="504" ht="15.75" customHeight="1">
      <c r="A504" s="32">
        <f>IFERROR(__xludf.DUMMYFUNCTION("""COMPUTED_VALUE"""),39654.666666666664)</f>
        <v>39654.66667</v>
      </c>
      <c r="B504" s="22">
        <f>IFERROR(__xludf.DUMMYFUNCTION("""COMPUTED_VALUE"""),1257.76)</f>
        <v>1257.76</v>
      </c>
      <c r="C504" s="22">
        <f t="shared" si="10"/>
        <v>1523.885233</v>
      </c>
      <c r="D504" s="25">
        <f>IFERROR(__xludf.DUMMYFUNCTION("""COMPUTED_VALUE"""),39654.99861111111)</f>
        <v>39654.99861</v>
      </c>
      <c r="E504" s="22">
        <f>IFERROR(__xludf.DUMMYFUNCTION("""COMPUTED_VALUE"""),1.5671)</f>
        <v>1.5671</v>
      </c>
      <c r="F504" s="22">
        <f t="shared" si="11"/>
        <v>92.38579151</v>
      </c>
      <c r="G504" s="22">
        <f t="shared" si="79"/>
        <v>-16.28817537</v>
      </c>
      <c r="H504" s="22">
        <f t="shared" si="80"/>
        <v>2.071286427</v>
      </c>
    </row>
    <row r="505" ht="15.75" customHeight="1">
      <c r="A505" s="32">
        <f>IFERROR(__xludf.DUMMYFUNCTION("""COMPUTED_VALUE"""),39661.666666666664)</f>
        <v>39661.66667</v>
      </c>
      <c r="B505" s="22">
        <f>IFERROR(__xludf.DUMMYFUNCTION("""COMPUTED_VALUE"""),1260.31)</f>
        <v>1260.31</v>
      </c>
      <c r="C505" s="22">
        <f t="shared" si="10"/>
        <v>1527.560889</v>
      </c>
      <c r="D505" s="25">
        <f>IFERROR(__xludf.DUMMYFUNCTION("""COMPUTED_VALUE"""),39662.99861111111)</f>
        <v>39662.99861</v>
      </c>
      <c r="E505" s="22">
        <f>IFERROR(__xludf.DUMMYFUNCTION("""COMPUTED_VALUE"""),1.5565)</f>
        <v>1.5565</v>
      </c>
      <c r="F505" s="22">
        <f t="shared" si="11"/>
        <v>93.23930748</v>
      </c>
      <c r="G505" s="22">
        <f t="shared" si="79"/>
        <v>-12.59453829</v>
      </c>
      <c r="H505" s="22">
        <f t="shared" si="80"/>
        <v>3.500511504</v>
      </c>
    </row>
    <row r="506" ht="15.75" customHeight="1">
      <c r="A506" s="32">
        <f>IFERROR(__xludf.DUMMYFUNCTION("""COMPUTED_VALUE"""),39668.666666666664)</f>
        <v>39668.66667</v>
      </c>
      <c r="B506" s="22">
        <f>IFERROR(__xludf.DUMMYFUNCTION("""COMPUTED_VALUE"""),1296.32)</f>
        <v>1296.32</v>
      </c>
      <c r="C506" s="22">
        <f t="shared" si="10"/>
        <v>1571.794394</v>
      </c>
      <c r="D506" s="25">
        <f>IFERROR(__xludf.DUMMYFUNCTION("""COMPUTED_VALUE"""),39669.99861111111)</f>
        <v>39669.99861</v>
      </c>
      <c r="E506" s="22">
        <f>IFERROR(__xludf.DUMMYFUNCTION("""COMPUTED_VALUE"""),1.5045)</f>
        <v>1.5045</v>
      </c>
      <c r="F506" s="22">
        <f t="shared" si="11"/>
        <v>99.25517911</v>
      </c>
      <c r="G506" s="22">
        <f t="shared" si="79"/>
        <v>-7.521342577</v>
      </c>
      <c r="H506" s="22">
        <f t="shared" si="80"/>
        <v>8.229673896</v>
      </c>
    </row>
    <row r="507" ht="15.75" customHeight="1">
      <c r="A507" s="32">
        <f>IFERROR(__xludf.DUMMYFUNCTION("""COMPUTED_VALUE"""),39675.666666666664)</f>
        <v>39675.66667</v>
      </c>
      <c r="B507" s="22">
        <f>IFERROR(__xludf.DUMMYFUNCTION("""COMPUTED_VALUE"""),1298.2)</f>
        <v>1298.2</v>
      </c>
      <c r="C507" s="22">
        <f t="shared" si="10"/>
        <v>1574.67844</v>
      </c>
      <c r="D507" s="25">
        <f>IFERROR(__xludf.DUMMYFUNCTION("""COMPUTED_VALUE"""),39676.99861111111)</f>
        <v>39676.99861</v>
      </c>
      <c r="E507" s="22">
        <f>IFERROR(__xludf.DUMMYFUNCTION("""COMPUTED_VALUE"""),1.4694)</f>
        <v>1.4694</v>
      </c>
      <c r="F507" s="22">
        <f t="shared" si="11"/>
        <v>101.8125886</v>
      </c>
      <c r="G507" s="22">
        <f t="shared" si="79"/>
        <v>-6.58315343</v>
      </c>
      <c r="H507" s="22">
        <f t="shared" si="80"/>
        <v>6.935645723</v>
      </c>
    </row>
    <row r="508" ht="15.75" customHeight="1">
      <c r="A508" s="32">
        <f>IFERROR(__xludf.DUMMYFUNCTION("""COMPUTED_VALUE"""),39682.666666666664)</f>
        <v>39682.66667</v>
      </c>
      <c r="B508" s="22">
        <f>IFERROR(__xludf.DUMMYFUNCTION("""COMPUTED_VALUE"""),1292.2)</f>
        <v>1292.2</v>
      </c>
      <c r="C508" s="22">
        <f t="shared" si="10"/>
        <v>1568.006261</v>
      </c>
      <c r="D508" s="25">
        <f>IFERROR(__xludf.DUMMYFUNCTION("""COMPUTED_VALUE"""),39683.99861111111)</f>
        <v>39683.99861</v>
      </c>
      <c r="E508" s="22">
        <f>IFERROR(__xludf.DUMMYFUNCTION("""COMPUTED_VALUE"""),1.48)</f>
        <v>1.48</v>
      </c>
      <c r="F508" s="22">
        <f t="shared" si="11"/>
        <v>100.655083</v>
      </c>
      <c r="G508" s="22">
        <f t="shared" si="79"/>
        <v>-5.469527238</v>
      </c>
      <c r="H508" s="22">
        <f t="shared" si="80"/>
        <v>5.067574271</v>
      </c>
    </row>
    <row r="509" ht="15.75" customHeight="1">
      <c r="A509" s="32">
        <f>IFERROR(__xludf.DUMMYFUNCTION("""COMPUTED_VALUE"""),39689.666666666664)</f>
        <v>39689.66667</v>
      </c>
      <c r="B509" s="22">
        <f>IFERROR(__xludf.DUMMYFUNCTION("""COMPUTED_VALUE"""),1282.83)</f>
        <v>1282.83</v>
      </c>
      <c r="C509" s="22">
        <f t="shared" si="10"/>
        <v>1557.239415</v>
      </c>
      <c r="D509" s="25">
        <f>IFERROR(__xludf.DUMMYFUNCTION("""COMPUTED_VALUE"""),39689.99861111111)</f>
        <v>39689.99861</v>
      </c>
      <c r="E509" s="22">
        <f>IFERROR(__xludf.DUMMYFUNCTION("""COMPUTED_VALUE"""),1.4665)</f>
        <v>1.4665</v>
      </c>
      <c r="F509" s="22">
        <f t="shared" si="11"/>
        <v>100.8841535</v>
      </c>
      <c r="G509" s="22">
        <f t="shared" si="79"/>
        <v>-4.49538397</v>
      </c>
      <c r="H509" s="22">
        <f t="shared" si="80"/>
        <v>5.130658615</v>
      </c>
    </row>
    <row r="510" ht="15.75" customHeight="1">
      <c r="A510" s="32">
        <f>IFERROR(__xludf.DUMMYFUNCTION("""COMPUTED_VALUE"""),39696.666666666664)</f>
        <v>39696.66667</v>
      </c>
      <c r="B510" s="22">
        <f>IFERROR(__xludf.DUMMYFUNCTION("""COMPUTED_VALUE"""),1242.31)</f>
        <v>1242.31</v>
      </c>
      <c r="C510" s="22">
        <f t="shared" si="10"/>
        <v>1508.650743</v>
      </c>
      <c r="D510" s="25">
        <f>IFERROR(__xludf.DUMMYFUNCTION("""COMPUTED_VALUE"""),39696.99861111111)</f>
        <v>39696.99861</v>
      </c>
      <c r="E510" s="22">
        <f>IFERROR(__xludf.DUMMYFUNCTION("""COMPUTED_VALUE"""),1.4269)</f>
        <v>1.4269</v>
      </c>
      <c r="F510" s="22">
        <f t="shared" si="11"/>
        <v>100.4488125</v>
      </c>
      <c r="G510" s="22">
        <f t="shared" si="79"/>
        <v>-7.737481309</v>
      </c>
      <c r="H510" s="22">
        <f t="shared" si="80"/>
        <v>6.627695156</v>
      </c>
    </row>
    <row r="511" ht="15.75" customHeight="1">
      <c r="A511" s="32">
        <f>IFERROR(__xludf.DUMMYFUNCTION("""COMPUTED_VALUE"""),39703.666666666664)</f>
        <v>39703.66667</v>
      </c>
      <c r="B511" s="22">
        <f>IFERROR(__xludf.DUMMYFUNCTION("""COMPUTED_VALUE"""),1251.7)</f>
        <v>1251.7</v>
      </c>
      <c r="C511" s="22">
        <f t="shared" si="10"/>
        <v>1520.63413</v>
      </c>
      <c r="D511" s="25">
        <f>IFERROR(__xludf.DUMMYFUNCTION("""COMPUTED_VALUE"""),39703.99861111111)</f>
        <v>39703.99861</v>
      </c>
      <c r="E511" s="22">
        <f>IFERROR(__xludf.DUMMYFUNCTION("""COMPUTED_VALUE"""),1.4227)</f>
        <v>1.4227</v>
      </c>
      <c r="F511" s="22">
        <f t="shared" si="11"/>
        <v>101.5455828</v>
      </c>
      <c r="G511" s="22">
        <f t="shared" si="79"/>
        <v>-7.682002511</v>
      </c>
      <c r="H511" s="22">
        <f t="shared" si="80"/>
        <v>6.720779923</v>
      </c>
    </row>
    <row r="512" ht="15.75" customHeight="1">
      <c r="A512" s="32">
        <f>IFERROR(__xludf.DUMMYFUNCTION("""COMPUTED_VALUE"""),39710.666666666664)</f>
        <v>39710.66667</v>
      </c>
      <c r="B512" s="22">
        <f>IFERROR(__xludf.DUMMYFUNCTION("""COMPUTED_VALUE"""),1255.08)</f>
        <v>1255.08</v>
      </c>
      <c r="C512" s="22">
        <f t="shared" si="10"/>
        <v>1525.3252</v>
      </c>
      <c r="D512" s="25">
        <f>IFERROR(__xludf.DUMMYFUNCTION("""COMPUTED_VALUE"""),39710.99861111111)</f>
        <v>39710.99861</v>
      </c>
      <c r="E512" s="22">
        <f>IFERROR(__xludf.DUMMYFUNCTION("""COMPUTED_VALUE"""),1.4458)</f>
        <v>1.4458</v>
      </c>
      <c r="F512" s="22">
        <f t="shared" si="11"/>
        <v>100.2314144</v>
      </c>
      <c r="G512" s="22">
        <f t="shared" si="79"/>
        <v>-8.711213065</v>
      </c>
      <c r="H512" s="22">
        <f t="shared" si="80"/>
        <v>10.28262583</v>
      </c>
    </row>
    <row r="513" ht="15.75" customHeight="1">
      <c r="A513" s="32">
        <f>IFERROR(__xludf.DUMMYFUNCTION("""COMPUTED_VALUE"""),39717.666666666664)</f>
        <v>39717.66667</v>
      </c>
      <c r="B513" s="22">
        <f>IFERROR(__xludf.DUMMYFUNCTION("""COMPUTED_VALUE"""),1213.27)</f>
        <v>1213.27</v>
      </c>
      <c r="C513" s="22">
        <f t="shared" si="10"/>
        <v>1475.099288</v>
      </c>
      <c r="D513" s="25">
        <f>IFERROR(__xludf.DUMMYFUNCTION("""COMPUTED_VALUE"""),39717.99861111111)</f>
        <v>39717.99861</v>
      </c>
      <c r="E513" s="22">
        <f>IFERROR(__xludf.DUMMYFUNCTION("""COMPUTED_VALUE"""),1.4586)</f>
        <v>1.4586</v>
      </c>
      <c r="F513" s="22">
        <f t="shared" si="11"/>
        <v>96.08037251</v>
      </c>
      <c r="G513" s="22">
        <f t="shared" si="79"/>
        <v>-13.56668265</v>
      </c>
      <c r="H513" s="22">
        <f t="shared" si="80"/>
        <v>3.325140395</v>
      </c>
    </row>
    <row r="514" ht="15.75" customHeight="1">
      <c r="A514" s="32">
        <f>IFERROR(__xludf.DUMMYFUNCTION("""COMPUTED_VALUE"""),39724.666666666664)</f>
        <v>39724.66667</v>
      </c>
      <c r="B514" s="22">
        <f>IFERROR(__xludf.DUMMYFUNCTION("""COMPUTED_VALUE"""),1099.23)</f>
        <v>1099.23</v>
      </c>
      <c r="C514" s="22">
        <f t="shared" si="10"/>
        <v>1337.016274</v>
      </c>
      <c r="D514" s="25">
        <f>IFERROR(__xludf.DUMMYFUNCTION("""COMPUTED_VALUE"""),39724.99861111111)</f>
        <v>39724.99861</v>
      </c>
      <c r="E514" s="22">
        <f>IFERROR(__xludf.DUMMYFUNCTION("""COMPUTED_VALUE"""),1.3779)</f>
        <v>1.3779</v>
      </c>
      <c r="F514" s="22">
        <f t="shared" si="11"/>
        <v>92.18677607</v>
      </c>
      <c r="G514" s="22">
        <f t="shared" si="79"/>
        <v>-14.09831254</v>
      </c>
      <c r="H514" s="22">
        <f t="shared" si="80"/>
        <v>0.2442971628</v>
      </c>
    </row>
    <row r="515" ht="15.75" customHeight="1">
      <c r="A515" s="32">
        <f>IFERROR(__xludf.DUMMYFUNCTION("""COMPUTED_VALUE"""),39731.666666666664)</f>
        <v>39731.66667</v>
      </c>
      <c r="B515" s="22">
        <f>IFERROR(__xludf.DUMMYFUNCTION("""COMPUTED_VALUE"""),899.22)</f>
        <v>899.22</v>
      </c>
      <c r="C515" s="22">
        <f t="shared" si="10"/>
        <v>1094.254195</v>
      </c>
      <c r="D515" s="25">
        <f>IFERROR(__xludf.DUMMYFUNCTION("""COMPUTED_VALUE"""),39731.99861111111)</f>
        <v>39731.99861</v>
      </c>
      <c r="E515" s="22">
        <f>IFERROR(__xludf.DUMMYFUNCTION("""COMPUTED_VALUE"""),1.3394)</f>
        <v>1.3394</v>
      </c>
      <c r="F515" s="22">
        <f t="shared" si="11"/>
        <v>77.61712632</v>
      </c>
      <c r="G515" s="22">
        <f t="shared" si="79"/>
        <v>-27.45264113</v>
      </c>
      <c r="H515" s="22">
        <f t="shared" si="80"/>
        <v>-16.62592256</v>
      </c>
    </row>
    <row r="516" ht="15.75" customHeight="1">
      <c r="A516" s="32">
        <f>IFERROR(__xludf.DUMMYFUNCTION("""COMPUTED_VALUE"""),39738.666666666664)</f>
        <v>39738.66667</v>
      </c>
      <c r="B516" s="22">
        <f>IFERROR(__xludf.DUMMYFUNCTION("""COMPUTED_VALUE"""),940.55)</f>
        <v>940.55</v>
      </c>
      <c r="C516" s="22">
        <f t="shared" si="10"/>
        <v>1144.969234</v>
      </c>
      <c r="D516" s="25">
        <f>IFERROR(__xludf.DUMMYFUNCTION("""COMPUTED_VALUE"""),39738.99861111111)</f>
        <v>39738.99861</v>
      </c>
      <c r="E516" s="22">
        <f>IFERROR(__xludf.DUMMYFUNCTION("""COMPUTED_VALUE"""),1.3407)</f>
        <v>1.3407</v>
      </c>
      <c r="F516" s="22">
        <f t="shared" si="11"/>
        <v>81.13567279</v>
      </c>
      <c r="G516" s="22">
        <f t="shared" si="79"/>
        <v>-24.42676639</v>
      </c>
      <c r="H516" s="22">
        <f t="shared" si="80"/>
        <v>-11.25278551</v>
      </c>
    </row>
    <row r="517" ht="15.75" customHeight="1">
      <c r="A517" s="32">
        <f>IFERROR(__xludf.DUMMYFUNCTION("""COMPUTED_VALUE"""),39745.666666666664)</f>
        <v>39745.66667</v>
      </c>
      <c r="B517" s="22">
        <f>IFERROR(__xludf.DUMMYFUNCTION("""COMPUTED_VALUE"""),876.77)</f>
        <v>876.77</v>
      </c>
      <c r="C517" s="22">
        <f t="shared" si="10"/>
        <v>1067.767655</v>
      </c>
      <c r="D517" s="25">
        <f>IFERROR(__xludf.DUMMYFUNCTION("""COMPUTED_VALUE"""),39745.99861111111)</f>
        <v>39745.99861</v>
      </c>
      <c r="E517" s="22">
        <f>IFERROR(__xludf.DUMMYFUNCTION("""COMPUTED_VALUE"""),1.2622)</f>
        <v>1.2622</v>
      </c>
      <c r="F517" s="22">
        <f t="shared" si="11"/>
        <v>80.37078667</v>
      </c>
      <c r="G517" s="22">
        <f t="shared" si="79"/>
        <v>-25.75179069</v>
      </c>
      <c r="H517" s="22">
        <f t="shared" si="80"/>
        <v>-15.38526957</v>
      </c>
    </row>
    <row r="518" ht="15.75" customHeight="1">
      <c r="A518" s="32">
        <f>IFERROR(__xludf.DUMMYFUNCTION("""COMPUTED_VALUE"""),39752.666666666664)</f>
        <v>39752.66667</v>
      </c>
      <c r="B518" s="22">
        <f>IFERROR(__xludf.DUMMYFUNCTION("""COMPUTED_VALUE"""),968.75)</f>
        <v>968.75</v>
      </c>
      <c r="C518" s="22">
        <f t="shared" si="10"/>
        <v>1180.195476</v>
      </c>
      <c r="D518" s="25">
        <f>IFERROR(__xludf.DUMMYFUNCTION("""COMPUTED_VALUE"""),39752.99861111111)</f>
        <v>39752.99861</v>
      </c>
      <c r="E518" s="22">
        <f>IFERROR(__xludf.DUMMYFUNCTION("""COMPUTED_VALUE"""),1.2693)</f>
        <v>1.2693</v>
      </c>
      <c r="F518" s="22">
        <f t="shared" si="11"/>
        <v>88.3363193</v>
      </c>
      <c r="G518" s="22">
        <f t="shared" si="79"/>
        <v>-21.53736166</v>
      </c>
      <c r="H518" s="22">
        <f t="shared" si="80"/>
        <v>-7.752022313</v>
      </c>
    </row>
    <row r="519" ht="15.75" customHeight="1">
      <c r="A519" s="32">
        <f>IFERROR(__xludf.DUMMYFUNCTION("""COMPUTED_VALUE"""),39759.666666666664)</f>
        <v>39759.66667</v>
      </c>
      <c r="B519" s="22">
        <f>IFERROR(__xludf.DUMMYFUNCTION("""COMPUTED_VALUE"""),930.99)</f>
        <v>930.99</v>
      </c>
      <c r="C519" s="22">
        <f t="shared" si="10"/>
        <v>1134.647662</v>
      </c>
      <c r="D519" s="25">
        <f>IFERROR(__xludf.DUMMYFUNCTION("""COMPUTED_VALUE"""),39759.99861111111)</f>
        <v>39759.99861</v>
      </c>
      <c r="E519" s="22">
        <f>IFERROR(__xludf.DUMMYFUNCTION("""COMPUTED_VALUE"""),1.2709)</f>
        <v>1.2709</v>
      </c>
      <c r="F519" s="22">
        <f t="shared" si="11"/>
        <v>84.82019703</v>
      </c>
      <c r="G519" s="22">
        <f t="shared" si="79"/>
        <v>-26.06353376</v>
      </c>
      <c r="H519" s="22">
        <f t="shared" si="80"/>
        <v>-9.235891062</v>
      </c>
    </row>
    <row r="520" ht="15.75" customHeight="1">
      <c r="A520" s="32">
        <f>IFERROR(__xludf.DUMMYFUNCTION("""COMPUTED_VALUE"""),39766.666666666664)</f>
        <v>39766.66667</v>
      </c>
      <c r="B520" s="22">
        <f>IFERROR(__xludf.DUMMYFUNCTION("""COMPUTED_VALUE"""),873.29)</f>
        <v>873.29</v>
      </c>
      <c r="C520" s="22">
        <f t="shared" si="10"/>
        <v>1064.761967</v>
      </c>
      <c r="D520" s="25">
        <f>IFERROR(__xludf.DUMMYFUNCTION("""COMPUTED_VALUE"""),39766.99861111111)</f>
        <v>39766.99861</v>
      </c>
      <c r="E520" s="22">
        <f>IFERROR(__xludf.DUMMYFUNCTION("""COMPUTED_VALUE"""),1.2593)</f>
        <v>1.2593</v>
      </c>
      <c r="F520" s="22">
        <f t="shared" si="11"/>
        <v>80.32911097</v>
      </c>
      <c r="G520" s="22">
        <f t="shared" si="79"/>
        <v>-30.53467548</v>
      </c>
      <c r="H520" s="22">
        <f t="shared" si="80"/>
        <v>-11.77317791</v>
      </c>
    </row>
    <row r="521" ht="15.75" customHeight="1">
      <c r="A521" s="32">
        <f>IFERROR(__xludf.DUMMYFUNCTION("""COMPUTED_VALUE"""),39773.666666666664)</f>
        <v>39773.66667</v>
      </c>
      <c r="B521" s="22">
        <f>IFERROR(__xludf.DUMMYFUNCTION("""COMPUTED_VALUE"""),800.03)</f>
        <v>800.03</v>
      </c>
      <c r="C521" s="22">
        <f t="shared" si="10"/>
        <v>975.8489729</v>
      </c>
      <c r="D521" s="25">
        <f>IFERROR(__xludf.DUMMYFUNCTION("""COMPUTED_VALUE"""),39773.99861111111)</f>
        <v>39773.99861</v>
      </c>
      <c r="E521" s="22">
        <f>IFERROR(__xludf.DUMMYFUNCTION("""COMPUTED_VALUE"""),1.2584)</f>
        <v>1.2584</v>
      </c>
      <c r="F521" s="22">
        <f t="shared" si="11"/>
        <v>73.67387854</v>
      </c>
      <c r="G521" s="22">
        <f t="shared" si="79"/>
        <v>-37.60475264</v>
      </c>
      <c r="H521" s="22">
        <f t="shared" si="80"/>
        <v>-20.40029562</v>
      </c>
    </row>
    <row r="522" ht="15.75" customHeight="1">
      <c r="A522" s="32">
        <f>IFERROR(__xludf.DUMMYFUNCTION("""COMPUTED_VALUE"""),39780.666666666664)</f>
        <v>39780.66667</v>
      </c>
      <c r="B522" s="22">
        <f>IFERROR(__xludf.DUMMYFUNCTION("""COMPUTED_VALUE"""),896.24)</f>
        <v>896.24</v>
      </c>
      <c r="C522" s="22">
        <f t="shared" si="10"/>
        <v>1093.577936</v>
      </c>
      <c r="D522" s="25">
        <f>IFERROR(__xludf.DUMMYFUNCTION("""COMPUTED_VALUE"""),39780.99861111111)</f>
        <v>39780.99861</v>
      </c>
      <c r="E522" s="22">
        <f>IFERROR(__xludf.DUMMYFUNCTION("""COMPUTED_VALUE"""),1.2693)</f>
        <v>1.2693</v>
      </c>
      <c r="F522" s="22">
        <f t="shared" si="11"/>
        <v>81.85309269</v>
      </c>
      <c r="G522" s="22">
        <f t="shared" si="79"/>
        <v>-30.59596454</v>
      </c>
      <c r="H522" s="22">
        <f t="shared" si="80"/>
        <v>-10.43828985</v>
      </c>
    </row>
    <row r="523" ht="15.75" customHeight="1">
      <c r="A523" s="32">
        <f>IFERROR(__xludf.DUMMYFUNCTION("""COMPUTED_VALUE"""),39787.666666666664)</f>
        <v>39787.66667</v>
      </c>
      <c r="B523" s="22">
        <f>IFERROR(__xludf.DUMMYFUNCTION("""COMPUTED_VALUE"""),876.07)</f>
        <v>876.07</v>
      </c>
      <c r="C523" s="22">
        <f t="shared" si="10"/>
        <v>1069.387426</v>
      </c>
      <c r="D523" s="25">
        <f>IFERROR(__xludf.DUMMYFUNCTION("""COMPUTED_VALUE"""),39787.99861111111)</f>
        <v>39787.99861</v>
      </c>
      <c r="E523" s="22">
        <f>IFERROR(__xludf.DUMMYFUNCTION("""COMPUTED_VALUE"""),1.2715)</f>
        <v>1.2715</v>
      </c>
      <c r="F523" s="22">
        <f t="shared" si="11"/>
        <v>79.90396729</v>
      </c>
      <c r="G523" s="22">
        <f t="shared" si="79"/>
        <v>-31.35766976</v>
      </c>
      <c r="H523" s="22">
        <f t="shared" si="80"/>
        <v>-12.96619283</v>
      </c>
    </row>
    <row r="524" ht="15.75" customHeight="1">
      <c r="A524" s="32">
        <f>IFERROR(__xludf.DUMMYFUNCTION("""COMPUTED_VALUE"""),39794.666666666664)</f>
        <v>39794.66667</v>
      </c>
      <c r="B524" s="22">
        <f>IFERROR(__xludf.DUMMYFUNCTION("""COMPUTED_VALUE"""),879.73)</f>
        <v>879.73</v>
      </c>
      <c r="C524" s="22">
        <f t="shared" si="10"/>
        <v>1074.266361</v>
      </c>
      <c r="D524" s="25">
        <f>IFERROR(__xludf.DUMMYFUNCTION("""COMPUTED_VALUE"""),39794.99861111111)</f>
        <v>39794.99861</v>
      </c>
      <c r="E524" s="22">
        <f>IFERROR(__xludf.DUMMYFUNCTION("""COMPUTED_VALUE"""),1.3348)</f>
        <v>1.3348</v>
      </c>
      <c r="F524" s="22">
        <f t="shared" si="11"/>
        <v>76.46195757</v>
      </c>
      <c r="G524" s="22">
        <f t="shared" si="79"/>
        <v>-33.66352556</v>
      </c>
      <c r="H524" s="22">
        <f t="shared" si="80"/>
        <v>-17.16886872</v>
      </c>
    </row>
    <row r="525" ht="15.75" customHeight="1">
      <c r="A525" s="32">
        <f>IFERROR(__xludf.DUMMYFUNCTION("""COMPUTED_VALUE"""),39801.666666666664)</f>
        <v>39801.66667</v>
      </c>
      <c r="B525" s="22">
        <f>IFERROR(__xludf.DUMMYFUNCTION("""COMPUTED_VALUE"""),887.88)</f>
        <v>887.88</v>
      </c>
      <c r="C525" s="22">
        <f t="shared" si="10"/>
        <v>1084.631765</v>
      </c>
      <c r="D525" s="25">
        <f>IFERROR(__xludf.DUMMYFUNCTION("""COMPUTED_VALUE"""),39801.99861111111)</f>
        <v>39801.99861</v>
      </c>
      <c r="E525" s="22">
        <f>IFERROR(__xludf.DUMMYFUNCTION("""COMPUTED_VALUE"""),1.3921)</f>
        <v>1.3921</v>
      </c>
      <c r="F525" s="22">
        <f t="shared" si="11"/>
        <v>74.0221201</v>
      </c>
      <c r="G525" s="22">
        <f t="shared" si="79"/>
        <v>-36.62020276</v>
      </c>
      <c r="H525" s="22">
        <f t="shared" si="80"/>
        <v>-20.1069281</v>
      </c>
    </row>
    <row r="526" ht="15.75" customHeight="1">
      <c r="A526" s="32">
        <f>IFERROR(__xludf.DUMMYFUNCTION("""COMPUTED_VALUE"""),39808.666666666664)</f>
        <v>39808.66667</v>
      </c>
      <c r="B526" s="22">
        <f>IFERROR(__xludf.DUMMYFUNCTION("""COMPUTED_VALUE"""),872.8)</f>
        <v>872.8</v>
      </c>
      <c r="C526" s="22">
        <f t="shared" si="10"/>
        <v>1066.627245</v>
      </c>
      <c r="D526" s="25">
        <f>IFERROR(__xludf.DUMMYFUNCTION("""COMPUTED_VALUE"""),39808.99861111111)</f>
        <v>39808.99861</v>
      </c>
      <c r="E526" s="22">
        <f>IFERROR(__xludf.DUMMYFUNCTION("""COMPUTED_VALUE"""),1.4023)</f>
        <v>1.4023</v>
      </c>
      <c r="F526" s="22">
        <f t="shared" si="11"/>
        <v>72.26389605</v>
      </c>
      <c r="G526" s="22">
        <f t="shared" si="79"/>
        <v>-37.38940355</v>
      </c>
      <c r="H526" s="22">
        <f t="shared" si="80"/>
        <v>-21.87164347</v>
      </c>
    </row>
    <row r="527" ht="15.75" customHeight="1">
      <c r="A527" s="32">
        <f>IFERROR(__xludf.DUMMYFUNCTION("""COMPUTED_VALUE"""),39815.666666666664)</f>
        <v>39815.66667</v>
      </c>
      <c r="B527" s="22">
        <f>IFERROR(__xludf.DUMMYFUNCTION("""COMPUTED_VALUE"""),931.8)</f>
        <v>931.8</v>
      </c>
      <c r="C527" s="22">
        <f t="shared" si="10"/>
        <v>1139.139923</v>
      </c>
      <c r="D527" s="25">
        <f>IFERROR(__xludf.DUMMYFUNCTION("""COMPUTED_VALUE"""),39815.99861111111)</f>
        <v>39815.99861</v>
      </c>
      <c r="E527" s="22">
        <f>IFERROR(__xludf.DUMMYFUNCTION("""COMPUTED_VALUE"""),1.3918)</f>
        <v>1.3918</v>
      </c>
      <c r="F527" s="22">
        <f t="shared" si="11"/>
        <v>77.75885816</v>
      </c>
      <c r="G527" s="22">
        <f t="shared" si="79"/>
        <v>-32.7862992</v>
      </c>
      <c r="H527" s="22">
        <f t="shared" si="80"/>
        <v>-15.47354219</v>
      </c>
    </row>
    <row r="528" ht="15.75" customHeight="1">
      <c r="A528" s="32">
        <f>IFERROR(__xludf.DUMMYFUNCTION("""COMPUTED_VALUE"""),39822.666666666664)</f>
        <v>39822.66667</v>
      </c>
      <c r="B528" s="22">
        <f>IFERROR(__xludf.DUMMYFUNCTION("""COMPUTED_VALUE"""),890.35)</f>
        <v>890.35</v>
      </c>
      <c r="C528" s="22">
        <f t="shared" si="10"/>
        <v>1088.904787</v>
      </c>
      <c r="D528" s="25">
        <f>IFERROR(__xludf.DUMMYFUNCTION("""COMPUTED_VALUE"""),39822.99861111111)</f>
        <v>39822.99861</v>
      </c>
      <c r="E528" s="22">
        <f>IFERROR(__xludf.DUMMYFUNCTION("""COMPUTED_VALUE"""),1.3452)</f>
        <v>1.3452</v>
      </c>
      <c r="F528" s="22">
        <f t="shared" si="11"/>
        <v>76.90466462</v>
      </c>
      <c r="G528" s="22">
        <f t="shared" si="79"/>
        <v>-33.85270532</v>
      </c>
      <c r="H528" s="22">
        <f t="shared" si="80"/>
        <v>-20.46536562</v>
      </c>
    </row>
    <row r="529" ht="15.75" customHeight="1">
      <c r="A529" s="32">
        <f>IFERROR(__xludf.DUMMYFUNCTION("""COMPUTED_VALUE"""),39829.666666666664)</f>
        <v>39829.66667</v>
      </c>
      <c r="B529" s="22">
        <f>IFERROR(__xludf.DUMMYFUNCTION("""COMPUTED_VALUE"""),850.12)</f>
        <v>850.12</v>
      </c>
      <c r="C529" s="22">
        <f t="shared" si="10"/>
        <v>1040.122003</v>
      </c>
      <c r="D529" s="25">
        <f>IFERROR(__xludf.DUMMYFUNCTION("""COMPUTED_VALUE"""),39829.99861111111)</f>
        <v>39829.99861</v>
      </c>
      <c r="E529" s="22">
        <f>IFERROR(__xludf.DUMMYFUNCTION("""COMPUTED_VALUE"""),1.3287)</f>
        <v>1.3287</v>
      </c>
      <c r="F529" s="22">
        <f t="shared" si="11"/>
        <v>74.37157562</v>
      </c>
      <c r="G529" s="22">
        <f t="shared" si="79"/>
        <v>-34.63023646</v>
      </c>
      <c r="H529" s="22">
        <f t="shared" si="80"/>
        <v>-22.07265415</v>
      </c>
    </row>
    <row r="530" ht="15.75" customHeight="1">
      <c r="A530" s="32">
        <f>IFERROR(__xludf.DUMMYFUNCTION("""COMPUTED_VALUE"""),39836.666666666664)</f>
        <v>39836.66667</v>
      </c>
      <c r="B530" s="22">
        <f>IFERROR(__xludf.DUMMYFUNCTION("""COMPUTED_VALUE"""),831.95)</f>
        <v>831.95</v>
      </c>
      <c r="C530" s="22">
        <f t="shared" si="10"/>
        <v>1018.291051</v>
      </c>
      <c r="D530" s="25">
        <f>IFERROR(__xludf.DUMMYFUNCTION("""COMPUTED_VALUE"""),39836.99861111111)</f>
        <v>39836.99861</v>
      </c>
      <c r="E530" s="22">
        <f>IFERROR(__xludf.DUMMYFUNCTION("""COMPUTED_VALUE"""),1.2965)</f>
        <v>1.2965</v>
      </c>
      <c r="F530" s="22">
        <f t="shared" si="11"/>
        <v>74.61893389</v>
      </c>
      <c r="G530" s="22">
        <f t="shared" si="79"/>
        <v>-35.78528289</v>
      </c>
      <c r="H530" s="22">
        <f t="shared" si="80"/>
        <v>-21.80034856</v>
      </c>
    </row>
    <row r="531" ht="15.75" customHeight="1">
      <c r="A531" s="32">
        <f>IFERROR(__xludf.DUMMYFUNCTION("""COMPUTED_VALUE"""),39843.666666666664)</f>
        <v>39843.66667</v>
      </c>
      <c r="B531" s="22">
        <f>IFERROR(__xludf.DUMMYFUNCTION("""COMPUTED_VALUE"""),825.88)</f>
        <v>825.88</v>
      </c>
      <c r="C531" s="22">
        <f t="shared" si="10"/>
        <v>1011.253136</v>
      </c>
      <c r="D531" s="25">
        <f>IFERROR(__xludf.DUMMYFUNCTION("""COMPUTED_VALUE"""),39843.99861111111)</f>
        <v>39843.99861</v>
      </c>
      <c r="E531" s="22">
        <f>IFERROR(__xludf.DUMMYFUNCTION("""COMPUTED_VALUE"""),1.2833)</f>
        <v>1.2833</v>
      </c>
      <c r="F531" s="22">
        <f t="shared" si="11"/>
        <v>74.86542961</v>
      </c>
      <c r="G531" s="22">
        <f t="shared" si="79"/>
        <v>-34.98443138</v>
      </c>
      <c r="H531" s="22">
        <f t="shared" si="80"/>
        <v>-20.91414096</v>
      </c>
    </row>
    <row r="532" ht="15.75" customHeight="1">
      <c r="A532" s="32">
        <f>IFERROR(__xludf.DUMMYFUNCTION("""COMPUTED_VALUE"""),39850.666666666664)</f>
        <v>39850.66667</v>
      </c>
      <c r="B532" s="22">
        <f>IFERROR(__xludf.DUMMYFUNCTION("""COMPUTED_VALUE"""),868.6)</f>
        <v>868.6</v>
      </c>
      <c r="C532" s="22">
        <f t="shared" si="10"/>
        <v>1063.950809</v>
      </c>
      <c r="D532" s="25">
        <f>IFERROR(__xludf.DUMMYFUNCTION("""COMPUTED_VALUE"""),39850.99861111111)</f>
        <v>39850.99861</v>
      </c>
      <c r="E532" s="22">
        <f>IFERROR(__xludf.DUMMYFUNCTION("""COMPUTED_VALUE"""),1.2922)</f>
        <v>1.2922</v>
      </c>
      <c r="F532" s="22">
        <f t="shared" si="11"/>
        <v>78.22425697</v>
      </c>
      <c r="G532" s="22">
        <f t="shared" si="79"/>
        <v>-32.02684445</v>
      </c>
      <c r="H532" s="22">
        <f t="shared" si="80"/>
        <v>-17.50081048</v>
      </c>
    </row>
    <row r="533" ht="15.75" customHeight="1">
      <c r="A533" s="32">
        <f>IFERROR(__xludf.DUMMYFUNCTION("""COMPUTED_VALUE"""),39857.666666666664)</f>
        <v>39857.66667</v>
      </c>
      <c r="B533" s="22">
        <f>IFERROR(__xludf.DUMMYFUNCTION("""COMPUTED_VALUE"""),826.84)</f>
        <v>826.84</v>
      </c>
      <c r="C533" s="22">
        <f t="shared" si="10"/>
        <v>1013.208069</v>
      </c>
      <c r="D533" s="25">
        <f>IFERROR(__xludf.DUMMYFUNCTION("""COMPUTED_VALUE"""),39857.99861111111)</f>
        <v>39857.99861</v>
      </c>
      <c r="E533" s="22">
        <f>IFERROR(__xludf.DUMMYFUNCTION("""COMPUTED_VALUE"""),1.2862)</f>
        <v>1.2862</v>
      </c>
      <c r="F533" s="22">
        <f t="shared" si="11"/>
        <v>74.84103218</v>
      </c>
      <c r="G533" s="22">
        <f t="shared" si="79"/>
        <v>-36.7512283</v>
      </c>
      <c r="H533" s="22">
        <f t="shared" si="80"/>
        <v>-22.13105036</v>
      </c>
    </row>
    <row r="534" ht="15.75" customHeight="1">
      <c r="A534" s="32">
        <f>IFERROR(__xludf.DUMMYFUNCTION("""COMPUTED_VALUE"""),39864.666666666664)</f>
        <v>39864.66667</v>
      </c>
      <c r="B534" s="22">
        <f>IFERROR(__xludf.DUMMYFUNCTION("""COMPUTED_VALUE"""),770.05)</f>
        <v>770.05</v>
      </c>
      <c r="C534" s="22">
        <f t="shared" si="10"/>
        <v>944.0074128</v>
      </c>
      <c r="D534" s="25">
        <f>IFERROR(__xludf.DUMMYFUNCTION("""COMPUTED_VALUE"""),39864.99861111111)</f>
        <v>39864.99861</v>
      </c>
      <c r="E534" s="22">
        <f>IFERROR(__xludf.DUMMYFUNCTION("""COMPUTED_VALUE"""),1.2929)</f>
        <v>1.2929</v>
      </c>
      <c r="F534" s="22">
        <f t="shared" si="11"/>
        <v>69.36814854</v>
      </c>
      <c r="G534" s="22">
        <f t="shared" si="79"/>
        <v>-41.75353858</v>
      </c>
      <c r="H534" s="22">
        <f t="shared" si="80"/>
        <v>-28.18714028</v>
      </c>
    </row>
    <row r="535" ht="15.75" customHeight="1">
      <c r="A535" s="32">
        <f>IFERROR(__xludf.DUMMYFUNCTION("""COMPUTED_VALUE"""),39871.666666666664)</f>
        <v>39871.66667</v>
      </c>
      <c r="B535" s="22">
        <f>IFERROR(__xludf.DUMMYFUNCTION("""COMPUTED_VALUE"""),735.09)</f>
        <v>735.09</v>
      </c>
      <c r="C535" s="22">
        <f t="shared" si="10"/>
        <v>901.5128871</v>
      </c>
      <c r="D535" s="25">
        <f>IFERROR(__xludf.DUMMYFUNCTION("""COMPUTED_VALUE"""),39871.99861111111)</f>
        <v>39871.99861</v>
      </c>
      <c r="E535" s="22">
        <f>IFERROR(__xludf.DUMMYFUNCTION("""COMPUTED_VALUE"""),1.2676)</f>
        <v>1.2676</v>
      </c>
      <c r="F535" s="22">
        <f t="shared" si="11"/>
        <v>67.5677322</v>
      </c>
      <c r="G535" s="22">
        <f t="shared" si="79"/>
        <v>-42.40072924</v>
      </c>
      <c r="H535" s="22">
        <f t="shared" si="80"/>
        <v>-31.49625661</v>
      </c>
    </row>
    <row r="536" ht="15.75" customHeight="1">
      <c r="A536" s="32">
        <f>IFERROR(__xludf.DUMMYFUNCTION("""COMPUTED_VALUE"""),39878.666666666664)</f>
        <v>39878.66667</v>
      </c>
      <c r="B536" s="22">
        <f>IFERROR(__xludf.DUMMYFUNCTION("""COMPUTED_VALUE"""),683.38)</f>
        <v>683.38</v>
      </c>
      <c r="C536" s="22">
        <f t="shared" si="10"/>
        <v>838.4425835</v>
      </c>
      <c r="D536" s="25">
        <f>IFERROR(__xludf.DUMMYFUNCTION("""COMPUTED_VALUE"""),39878.99861111111)</f>
        <v>39878.99861</v>
      </c>
      <c r="E536" s="22">
        <f>IFERROR(__xludf.DUMMYFUNCTION("""COMPUTED_VALUE"""),1.2635)</f>
        <v>1.2635</v>
      </c>
      <c r="F536" s="22">
        <f t="shared" si="11"/>
        <v>63.04457411</v>
      </c>
      <c r="G536" s="22">
        <f t="shared" si="79"/>
        <v>-46.6276822</v>
      </c>
      <c r="H536" s="22">
        <f t="shared" si="80"/>
        <v>-34.80830813</v>
      </c>
    </row>
    <row r="537" ht="15.75" customHeight="1">
      <c r="A537" s="32">
        <f>IFERROR(__xludf.DUMMYFUNCTION("""COMPUTED_VALUE"""),39885.666666666664)</f>
        <v>39885.66667</v>
      </c>
      <c r="B537" s="22">
        <f>IFERROR(__xludf.DUMMYFUNCTION("""COMPUTED_VALUE"""),756.55)</f>
        <v>756.55</v>
      </c>
      <c r="C537" s="22">
        <f t="shared" si="10"/>
        <v>928.5377265</v>
      </c>
      <c r="D537" s="25">
        <f>IFERROR(__xludf.DUMMYFUNCTION("""COMPUTED_VALUE"""),39885.99861111111)</f>
        <v>39885.99861</v>
      </c>
      <c r="E537" s="22">
        <f>IFERROR(__xludf.DUMMYFUNCTION("""COMPUTED_VALUE"""),1.2927)</f>
        <v>1.2927</v>
      </c>
      <c r="F537" s="22">
        <f t="shared" si="11"/>
        <v>68.2419517</v>
      </c>
      <c r="G537" s="22">
        <f t="shared" si="79"/>
        <v>-42.04260516</v>
      </c>
      <c r="H537" s="22">
        <f t="shared" si="80"/>
        <v>-28.40960114</v>
      </c>
    </row>
    <row r="538" ht="15.75" customHeight="1">
      <c r="A538" s="32">
        <f>IFERROR(__xludf.DUMMYFUNCTION("""COMPUTED_VALUE"""),39892.666666666664)</f>
        <v>39892.66667</v>
      </c>
      <c r="B538" s="22">
        <f>IFERROR(__xludf.DUMMYFUNCTION("""COMPUTED_VALUE"""),768.54)</f>
        <v>768.54</v>
      </c>
      <c r="C538" s="22">
        <f t="shared" si="10"/>
        <v>943.6105623</v>
      </c>
      <c r="D538" s="25">
        <f>IFERROR(__xludf.DUMMYFUNCTION("""COMPUTED_VALUE"""),39892.99861111111)</f>
        <v>39892.99861</v>
      </c>
      <c r="E538" s="22">
        <f>IFERROR(__xludf.DUMMYFUNCTION("""COMPUTED_VALUE"""),1.3579)</f>
        <v>1.3579</v>
      </c>
      <c r="F538" s="22">
        <f t="shared" si="11"/>
        <v>66.01986611</v>
      </c>
      <c r="G538" s="22">
        <f t="shared" si="79"/>
        <v>-44.49077713</v>
      </c>
      <c r="H538" s="22">
        <f t="shared" si="80"/>
        <v>-31.59717367</v>
      </c>
    </row>
    <row r="539" ht="15.75" customHeight="1">
      <c r="A539" s="32">
        <f>IFERROR(__xludf.DUMMYFUNCTION("""COMPUTED_VALUE"""),39899.666666666664)</f>
        <v>39899.66667</v>
      </c>
      <c r="B539" s="22">
        <f>IFERROR(__xludf.DUMMYFUNCTION("""COMPUTED_VALUE"""),815.94)</f>
        <v>815.94</v>
      </c>
      <c r="C539" s="22">
        <f t="shared" si="10"/>
        <v>1002.171034</v>
      </c>
      <c r="D539" s="25">
        <f>IFERROR(__xludf.DUMMYFUNCTION("""COMPUTED_VALUE"""),39899.99861111111)</f>
        <v>39899.99861</v>
      </c>
      <c r="E539" s="22">
        <f>IFERROR(__xludf.DUMMYFUNCTION("""COMPUTED_VALUE"""),1.3289)</f>
        <v>1.3289</v>
      </c>
      <c r="F539" s="22">
        <f t="shared" si="11"/>
        <v>71.64719272</v>
      </c>
      <c r="G539" s="22">
        <f t="shared" si="79"/>
        <v>-39.00716597</v>
      </c>
      <c r="H539" s="22">
        <f t="shared" si="80"/>
        <v>-27.95412583</v>
      </c>
    </row>
    <row r="540" ht="15.75" customHeight="1">
      <c r="A540" s="32">
        <f>IFERROR(__xludf.DUMMYFUNCTION("""COMPUTED_VALUE"""),39906.666666666664)</f>
        <v>39906.66667</v>
      </c>
      <c r="B540" s="22">
        <f>IFERROR(__xludf.DUMMYFUNCTION("""COMPUTED_VALUE"""),842.5)</f>
        <v>842.5</v>
      </c>
      <c r="C540" s="22">
        <f t="shared" si="10"/>
        <v>1035.178567</v>
      </c>
      <c r="D540" s="25">
        <f>IFERROR(__xludf.DUMMYFUNCTION("""COMPUTED_VALUE"""),39906.99861111111)</f>
        <v>39906.99861</v>
      </c>
      <c r="E540" s="22">
        <f>IFERROR(__xludf.DUMMYFUNCTION("""COMPUTED_VALUE"""),1.3486)</f>
        <v>1.3486</v>
      </c>
      <c r="F540" s="22">
        <f t="shared" si="11"/>
        <v>72.92589207</v>
      </c>
      <c r="G540" s="22">
        <f t="shared" si="79"/>
        <v>-38.04626704</v>
      </c>
      <c r="H540" s="22">
        <f t="shared" si="80"/>
        <v>-26.68310639</v>
      </c>
    </row>
    <row r="541" ht="15.75" customHeight="1">
      <c r="A541" s="32">
        <f>IFERROR(__xludf.DUMMYFUNCTION("""COMPUTED_VALUE"""),39912.666666666664)</f>
        <v>39912.66667</v>
      </c>
      <c r="B541" s="22">
        <f>IFERROR(__xludf.DUMMYFUNCTION("""COMPUTED_VALUE"""),856.56)</f>
        <v>856.56</v>
      </c>
      <c r="C541" s="22">
        <f t="shared" si="10"/>
        <v>1052.852215</v>
      </c>
      <c r="D541" s="25">
        <f>IFERROR(__xludf.DUMMYFUNCTION("""COMPUTED_VALUE"""),39913.99861111111)</f>
        <v>39913.99861</v>
      </c>
      <c r="E541" s="22">
        <f>IFERROR(__xludf.DUMMYFUNCTION("""COMPUTED_VALUE"""),1.3173)</f>
        <v>1.3173</v>
      </c>
      <c r="F541" s="22">
        <f t="shared" si="11"/>
        <v>75.93331452</v>
      </c>
      <c r="G541" s="22">
        <f t="shared" si="79"/>
        <v>-34.18900719</v>
      </c>
      <c r="H541" s="22">
        <f t="shared" si="80"/>
        <v>-24.10936981</v>
      </c>
    </row>
    <row r="542" ht="15.75" customHeight="1">
      <c r="A542" s="32">
        <f>IFERROR(__xludf.DUMMYFUNCTION("""COMPUTED_VALUE"""),39920.666666666664)</f>
        <v>39920.66667</v>
      </c>
      <c r="B542" s="22">
        <f>IFERROR(__xludf.DUMMYFUNCTION("""COMPUTED_VALUE"""),869.6)</f>
        <v>869.6</v>
      </c>
      <c r="C542" s="22">
        <f t="shared" si="10"/>
        <v>1069.285449</v>
      </c>
      <c r="D542" s="25">
        <f>IFERROR(__xludf.DUMMYFUNCTION("""COMPUTED_VALUE"""),39920.99861111111)</f>
        <v>39920.99861</v>
      </c>
      <c r="E542" s="22">
        <f>IFERROR(__xludf.DUMMYFUNCTION("""COMPUTED_VALUE"""),1.304)</f>
        <v>1.304</v>
      </c>
      <c r="F542" s="22">
        <f t="shared" si="11"/>
        <v>77.90506597</v>
      </c>
      <c r="G542" s="22">
        <f t="shared" si="79"/>
        <v>-33.36101201</v>
      </c>
      <c r="H542" s="22">
        <f t="shared" si="80"/>
        <v>-23.47246566</v>
      </c>
    </row>
    <row r="543" ht="15.75" customHeight="1">
      <c r="A543" s="32">
        <f>IFERROR(__xludf.DUMMYFUNCTION("""COMPUTED_VALUE"""),39927.666666666664)</f>
        <v>39927.66667</v>
      </c>
      <c r="B543" s="22">
        <f>IFERROR(__xludf.DUMMYFUNCTION("""COMPUTED_VALUE"""),866.23)</f>
        <v>866.23</v>
      </c>
      <c r="C543" s="22">
        <f t="shared" si="10"/>
        <v>1065.552863</v>
      </c>
      <c r="D543" s="25">
        <f>IFERROR(__xludf.DUMMYFUNCTION("""COMPUTED_VALUE"""),39927.99861111111)</f>
        <v>39927.99861</v>
      </c>
      <c r="E543" s="22">
        <f>IFERROR(__xludf.DUMMYFUNCTION("""COMPUTED_VALUE"""),1.3255)</f>
        <v>1.3255</v>
      </c>
      <c r="F543" s="22">
        <f t="shared" si="11"/>
        <v>76.3738884</v>
      </c>
      <c r="G543" s="22">
        <f t="shared" si="79"/>
        <v>-33.100296</v>
      </c>
      <c r="H543" s="22">
        <f t="shared" si="80"/>
        <v>-21.84653268</v>
      </c>
    </row>
    <row r="544" ht="15.75" customHeight="1">
      <c r="A544" s="32">
        <f>IFERROR(__xludf.DUMMYFUNCTION("""COMPUTED_VALUE"""),39934.666666666664)</f>
        <v>39934.66667</v>
      </c>
      <c r="B544" s="22">
        <f>IFERROR(__xludf.DUMMYFUNCTION("""COMPUTED_VALUE"""),877.52)</f>
        <v>877.52</v>
      </c>
      <c r="C544" s="22">
        <f t="shared" si="10"/>
        <v>1079.850564</v>
      </c>
      <c r="D544" s="25">
        <f>IFERROR(__xludf.DUMMYFUNCTION("""COMPUTED_VALUE"""),39934.99861111111)</f>
        <v>39934.99861</v>
      </c>
      <c r="E544" s="22">
        <f>IFERROR(__xludf.DUMMYFUNCTION("""COMPUTED_VALUE"""),1.3261)</f>
        <v>1.3261</v>
      </c>
      <c r="F544" s="22">
        <f t="shared" si="11"/>
        <v>77.36366189</v>
      </c>
      <c r="G544" s="22">
        <f t="shared" si="79"/>
        <v>-32.55607873</v>
      </c>
      <c r="H544" s="22">
        <f t="shared" si="80"/>
        <v>-20.94824668</v>
      </c>
    </row>
    <row r="545" ht="15.75" customHeight="1">
      <c r="A545" s="32">
        <f>IFERROR(__xludf.DUMMYFUNCTION("""COMPUTED_VALUE"""),39941.666666666664)</f>
        <v>39941.66667</v>
      </c>
      <c r="B545" s="22">
        <f>IFERROR(__xludf.DUMMYFUNCTION("""COMPUTED_VALUE"""),929.23)</f>
        <v>929.23</v>
      </c>
      <c r="C545" s="22">
        <f t="shared" si="10"/>
        <v>1143.898711</v>
      </c>
      <c r="D545" s="25">
        <f>IFERROR(__xludf.DUMMYFUNCTION("""COMPUTED_VALUE"""),39941.99861111111)</f>
        <v>39941.99861</v>
      </c>
      <c r="E545" s="22">
        <f>IFERROR(__xludf.DUMMYFUNCTION("""COMPUTED_VALUE"""),1.3637)</f>
        <v>1.3637</v>
      </c>
      <c r="F545" s="22">
        <f t="shared" si="11"/>
        <v>79.69266755</v>
      </c>
      <c r="G545" s="22">
        <f t="shared" si="79"/>
        <v>-27.62051069</v>
      </c>
      <c r="H545" s="22">
        <f t="shared" si="80"/>
        <v>-18.28758761</v>
      </c>
    </row>
    <row r="546" ht="15.75" customHeight="1">
      <c r="A546" s="32">
        <f>IFERROR(__xludf.DUMMYFUNCTION("""COMPUTED_VALUE"""),39948.666666666664)</f>
        <v>39948.66667</v>
      </c>
      <c r="B546" s="22">
        <f>IFERROR(__xludf.DUMMYFUNCTION("""COMPUTED_VALUE"""),882.88)</f>
        <v>882.88</v>
      </c>
      <c r="C546" s="22">
        <f t="shared" si="10"/>
        <v>1087.280995</v>
      </c>
      <c r="D546" s="25">
        <f>IFERROR(__xludf.DUMMYFUNCTION("""COMPUTED_VALUE"""),39948.99861111111)</f>
        <v>39948.99861</v>
      </c>
      <c r="E546" s="22">
        <f>IFERROR(__xludf.DUMMYFUNCTION("""COMPUTED_VALUE"""),1.3499)</f>
        <v>1.3499</v>
      </c>
      <c r="F546" s="22">
        <f t="shared" si="11"/>
        <v>76.52262045</v>
      </c>
      <c r="G546" s="22">
        <f t="shared" si="79"/>
        <v>-30.0326829</v>
      </c>
      <c r="H546" s="22">
        <f t="shared" si="80"/>
        <v>-20.54213577</v>
      </c>
    </row>
    <row r="547" ht="15.75" customHeight="1">
      <c r="A547" s="32">
        <f>IFERROR(__xludf.DUMMYFUNCTION("""COMPUTED_VALUE"""),39955.666666666664)</f>
        <v>39955.66667</v>
      </c>
      <c r="B547" s="22">
        <f>IFERROR(__xludf.DUMMYFUNCTION("""COMPUTED_VALUE"""),887.0)</f>
        <v>887</v>
      </c>
      <c r="C547" s="22">
        <f t="shared" si="10"/>
        <v>1092.773027</v>
      </c>
      <c r="D547" s="25">
        <f>IFERROR(__xludf.DUMMYFUNCTION("""COMPUTED_VALUE"""),39955.99861111111)</f>
        <v>39955.99861</v>
      </c>
      <c r="E547" s="22">
        <f>IFERROR(__xludf.DUMMYFUNCTION("""COMPUTED_VALUE"""),1.4)</f>
        <v>1.4</v>
      </c>
      <c r="F547" s="22">
        <f t="shared" si="11"/>
        <v>74.15689973</v>
      </c>
      <c r="G547" s="22">
        <f t="shared" si="79"/>
        <v>-33.07439966</v>
      </c>
      <c r="H547" s="22">
        <f t="shared" si="80"/>
        <v>-23.69043498</v>
      </c>
    </row>
    <row r="548" ht="15.75" customHeight="1">
      <c r="A548" s="32">
        <f>IFERROR(__xludf.DUMMYFUNCTION("""COMPUTED_VALUE"""),39962.666666666664)</f>
        <v>39962.66667</v>
      </c>
      <c r="B548" s="22">
        <f>IFERROR(__xludf.DUMMYFUNCTION("""COMPUTED_VALUE"""),919.14)</f>
        <v>919.14</v>
      </c>
      <c r="C548" s="22">
        <f t="shared" si="10"/>
        <v>1132.789407</v>
      </c>
      <c r="D548" s="25">
        <f>IFERROR(__xludf.DUMMYFUNCTION("""COMPUTED_VALUE"""),39962.99861111111)</f>
        <v>39962.99861</v>
      </c>
      <c r="E548" s="22">
        <f>IFERROR(__xludf.DUMMYFUNCTION("""COMPUTED_VALUE"""),1.4154)</f>
        <v>1.4154</v>
      </c>
      <c r="F548" s="22">
        <f t="shared" si="11"/>
        <v>76.03606298</v>
      </c>
      <c r="G548" s="22">
        <f t="shared" si="79"/>
        <v>-30.85418725</v>
      </c>
      <c r="H548" s="22">
        <f t="shared" si="80"/>
        <v>-21.55549178</v>
      </c>
    </row>
    <row r="549" ht="15.75" customHeight="1">
      <c r="A549" s="32">
        <f>IFERROR(__xludf.DUMMYFUNCTION("""COMPUTED_VALUE"""),39969.666666666664)</f>
        <v>39969.66667</v>
      </c>
      <c r="B549" s="22">
        <f>IFERROR(__xludf.DUMMYFUNCTION("""COMPUTED_VALUE"""),940.09)</f>
        <v>940.09</v>
      </c>
      <c r="C549" s="22">
        <f t="shared" si="10"/>
        <v>1159.044815</v>
      </c>
      <c r="D549" s="25">
        <f>IFERROR(__xludf.DUMMYFUNCTION("""COMPUTED_VALUE"""),39969.99861111111)</f>
        <v>39969.99861</v>
      </c>
      <c r="E549" s="22">
        <f>IFERROR(__xludf.DUMMYFUNCTION("""COMPUTED_VALUE"""),1.3969)</f>
        <v>1.3969</v>
      </c>
      <c r="F549" s="22">
        <f t="shared" si="11"/>
        <v>78.82873282</v>
      </c>
      <c r="G549" s="22">
        <f t="shared" si="79"/>
        <v>-27.87414286</v>
      </c>
      <c r="H549" s="22">
        <f t="shared" si="80"/>
        <v>-21.43901336</v>
      </c>
    </row>
    <row r="550" ht="15.75" customHeight="1">
      <c r="A550" s="32">
        <f>IFERROR(__xludf.DUMMYFUNCTION("""COMPUTED_VALUE"""),39976.666666666664)</f>
        <v>39976.66667</v>
      </c>
      <c r="B550" s="22">
        <f>IFERROR(__xludf.DUMMYFUNCTION("""COMPUTED_VALUE"""),946.21)</f>
        <v>946.21</v>
      </c>
      <c r="C550" s="22">
        <f t="shared" si="10"/>
        <v>1167.036001</v>
      </c>
      <c r="D550" s="25">
        <f>IFERROR(__xludf.DUMMYFUNCTION("""COMPUTED_VALUE"""),39976.99861111111)</f>
        <v>39976.99861</v>
      </c>
      <c r="E550" s="22">
        <f>IFERROR(__xludf.DUMMYFUNCTION("""COMPUTED_VALUE"""),1.4)</f>
        <v>1.4</v>
      </c>
      <c r="F550" s="22">
        <f t="shared" si="11"/>
        <v>79.19647501</v>
      </c>
      <c r="G550" s="22">
        <f t="shared" si="79"/>
        <v>-27.52156048</v>
      </c>
      <c r="H550" s="22">
        <f t="shared" si="80"/>
        <v>-20.22901079</v>
      </c>
    </row>
    <row r="551" ht="15.75" customHeight="1">
      <c r="A551" s="32">
        <f>IFERROR(__xludf.DUMMYFUNCTION("""COMPUTED_VALUE"""),39983.666666666664)</f>
        <v>39983.66667</v>
      </c>
      <c r="B551" s="22">
        <f>IFERROR(__xludf.DUMMYFUNCTION("""COMPUTED_VALUE"""),921.23)</f>
        <v>921.23</v>
      </c>
      <c r="C551" s="22">
        <f t="shared" si="10"/>
        <v>1136.675042</v>
      </c>
      <c r="D551" s="25">
        <f>IFERROR(__xludf.DUMMYFUNCTION("""COMPUTED_VALUE"""),39983.99861111111)</f>
        <v>39983.99861</v>
      </c>
      <c r="E551" s="22">
        <f>IFERROR(__xludf.DUMMYFUNCTION("""COMPUTED_VALUE"""),1.3945)</f>
        <v>1.3945</v>
      </c>
      <c r="F551" s="22">
        <f t="shared" si="11"/>
        <v>77.4403736</v>
      </c>
      <c r="G551" s="22">
        <f t="shared" si="79"/>
        <v>-29.48819561</v>
      </c>
      <c r="H551" s="22">
        <f t="shared" si="80"/>
        <v>-21.50756789</v>
      </c>
    </row>
    <row r="552" ht="15.75" customHeight="1">
      <c r="A552" s="32">
        <f>IFERROR(__xludf.DUMMYFUNCTION("""COMPUTED_VALUE"""),39990.666666666664)</f>
        <v>39990.66667</v>
      </c>
      <c r="B552" s="22">
        <f>IFERROR(__xludf.DUMMYFUNCTION("""COMPUTED_VALUE"""),918.9)</f>
        <v>918.9</v>
      </c>
      <c r="C552" s="22">
        <f t="shared" si="10"/>
        <v>1134.237315</v>
      </c>
      <c r="D552" s="25">
        <f>IFERROR(__xludf.DUMMYFUNCTION("""COMPUTED_VALUE"""),39990.99861111111)</f>
        <v>39990.99861</v>
      </c>
      <c r="E552" s="22">
        <f>IFERROR(__xludf.DUMMYFUNCTION("""COMPUTED_VALUE"""),1.4047)</f>
        <v>1.4047</v>
      </c>
      <c r="F552" s="22">
        <f t="shared" si="11"/>
        <v>76.71317937</v>
      </c>
      <c r="G552" s="22">
        <f t="shared" si="79"/>
        <v>-30.04702166</v>
      </c>
      <c r="H552" s="22">
        <f t="shared" si="80"/>
        <v>-20.90445573</v>
      </c>
    </row>
    <row r="553" ht="15.75" customHeight="1">
      <c r="A553" s="32">
        <f>IFERROR(__xludf.DUMMYFUNCTION("""COMPUTED_VALUE"""),39996.666666666664)</f>
        <v>39996.66667</v>
      </c>
      <c r="B553" s="22">
        <f>IFERROR(__xludf.DUMMYFUNCTION("""COMPUTED_VALUE"""),896.42)</f>
        <v>896.42</v>
      </c>
      <c r="C553" s="22">
        <f t="shared" si="10"/>
        <v>1106.925541</v>
      </c>
      <c r="D553" s="25">
        <f>IFERROR(__xludf.DUMMYFUNCTION("""COMPUTED_VALUE"""),39998.99861111111)</f>
        <v>39998.99861</v>
      </c>
      <c r="E553" s="22">
        <f>IFERROR(__xludf.DUMMYFUNCTION("""COMPUTED_VALUE"""),1.3986)</f>
        <v>1.3986</v>
      </c>
      <c r="F553" s="22">
        <f t="shared" si="11"/>
        <v>75.19249894</v>
      </c>
      <c r="G553" s="22">
        <f t="shared" si="79"/>
        <v>-31.05390648</v>
      </c>
      <c r="H553" s="22">
        <f t="shared" si="80"/>
        <v>-20.97777358</v>
      </c>
    </row>
    <row r="554" ht="15.75" customHeight="1">
      <c r="A554" s="32">
        <f>IFERROR(__xludf.DUMMYFUNCTION("""COMPUTED_VALUE"""),40004.666666666664)</f>
        <v>40004.66667</v>
      </c>
      <c r="B554" s="22">
        <f>IFERROR(__xludf.DUMMYFUNCTION("""COMPUTED_VALUE"""),879.13)</f>
        <v>879.13</v>
      </c>
      <c r="C554" s="22">
        <f t="shared" si="10"/>
        <v>1086.001085</v>
      </c>
      <c r="D554" s="25">
        <f>IFERROR(__xludf.DUMMYFUNCTION("""COMPUTED_VALUE"""),40005.99861111111)</f>
        <v>40005.99861</v>
      </c>
      <c r="E554" s="22">
        <f>IFERROR(__xludf.DUMMYFUNCTION("""COMPUTED_VALUE"""),1.3936)</f>
        <v>1.3936</v>
      </c>
      <c r="F554" s="22">
        <f t="shared" si="11"/>
        <v>74.03579695</v>
      </c>
      <c r="G554" s="22">
        <f t="shared" si="79"/>
        <v>-31.44984923</v>
      </c>
      <c r="H554" s="22">
        <f t="shared" si="80"/>
        <v>-21.17027515</v>
      </c>
    </row>
    <row r="555" ht="15.75" customHeight="1">
      <c r="A555" s="32">
        <f>IFERROR(__xludf.DUMMYFUNCTION("""COMPUTED_VALUE"""),40011.666666666664)</f>
        <v>40011.66667</v>
      </c>
      <c r="B555" s="22">
        <f>IFERROR(__xludf.DUMMYFUNCTION("""COMPUTED_VALUE"""),940.38)</f>
        <v>940.38</v>
      </c>
      <c r="C555" s="22">
        <f t="shared" si="10"/>
        <v>1162.081725</v>
      </c>
      <c r="D555" s="25">
        <f>IFERROR(__xludf.DUMMYFUNCTION("""COMPUTED_VALUE"""),40012.99861111111)</f>
        <v>40012.99861</v>
      </c>
      <c r="E555" s="22">
        <f>IFERROR(__xludf.DUMMYFUNCTION("""COMPUTED_VALUE"""),1.4101)</f>
        <v>1.4101</v>
      </c>
      <c r="F555" s="22">
        <f t="shared" si="11"/>
        <v>78.29542627</v>
      </c>
      <c r="G555" s="22">
        <f t="shared" si="79"/>
        <v>-27.52133548</v>
      </c>
      <c r="H555" s="22">
        <f t="shared" si="80"/>
        <v>-17.87023872</v>
      </c>
    </row>
    <row r="556" ht="15.75" customHeight="1">
      <c r="A556" s="32">
        <f>IFERROR(__xludf.DUMMYFUNCTION("""COMPUTED_VALUE"""),40018.666666666664)</f>
        <v>40018.66667</v>
      </c>
      <c r="B556" s="22">
        <f>IFERROR(__xludf.DUMMYFUNCTION("""COMPUTED_VALUE"""),979.26)</f>
        <v>979.26</v>
      </c>
      <c r="C556" s="22">
        <f t="shared" si="10"/>
        <v>1210.574935</v>
      </c>
      <c r="D556" s="25">
        <f>IFERROR(__xludf.DUMMYFUNCTION("""COMPUTED_VALUE"""),40019.99861111111)</f>
        <v>40019.99861</v>
      </c>
      <c r="E556" s="22">
        <f>IFERROR(__xludf.DUMMYFUNCTION("""COMPUTED_VALUE"""),1.4201)</f>
        <v>1.4201</v>
      </c>
      <c r="F556" s="22">
        <f t="shared" si="11"/>
        <v>80.98831886</v>
      </c>
      <c r="G556" s="22">
        <f t="shared" si="79"/>
        <v>-27.00127893</v>
      </c>
      <c r="H556" s="22">
        <f t="shared" si="80"/>
        <v>-16.91041338</v>
      </c>
    </row>
    <row r="557" ht="15.75" customHeight="1">
      <c r="A557" s="32">
        <f>IFERROR(__xludf.DUMMYFUNCTION("""COMPUTED_VALUE"""),40025.666666666664)</f>
        <v>40025.66667</v>
      </c>
      <c r="B557" s="22">
        <f>IFERROR(__xludf.DUMMYFUNCTION("""COMPUTED_VALUE"""),987.48)</f>
        <v>987.48</v>
      </c>
      <c r="C557" s="22">
        <f t="shared" si="10"/>
        <v>1221.20222</v>
      </c>
      <c r="D557" s="25">
        <f>IFERROR(__xludf.DUMMYFUNCTION("""COMPUTED_VALUE"""),40025.99861111111)</f>
        <v>40025.99861</v>
      </c>
      <c r="E557" s="22">
        <f>IFERROR(__xludf.DUMMYFUNCTION("""COMPUTED_VALUE"""),1.4254)</f>
        <v>1.4254</v>
      </c>
      <c r="F557" s="22">
        <f t="shared" si="11"/>
        <v>81.39551297</v>
      </c>
      <c r="G557" s="22">
        <f t="shared" si="79"/>
        <v>-25.97855257</v>
      </c>
      <c r="H557" s="22">
        <f t="shared" si="80"/>
        <v>-11.47725904</v>
      </c>
    </row>
    <row r="558" ht="15.75" customHeight="1">
      <c r="A558" s="32">
        <f>IFERROR(__xludf.DUMMYFUNCTION("""COMPUTED_VALUE"""),40032.666666666664)</f>
        <v>40032.66667</v>
      </c>
      <c r="B558" s="22">
        <f>IFERROR(__xludf.DUMMYFUNCTION("""COMPUTED_VALUE"""),1010.48)</f>
        <v>1010.48</v>
      </c>
      <c r="C558" s="22">
        <f t="shared" si="10"/>
        <v>1250.11568</v>
      </c>
      <c r="D558" s="25">
        <f>IFERROR(__xludf.DUMMYFUNCTION("""COMPUTED_VALUE"""),40033.99861111111)</f>
        <v>40033.99861</v>
      </c>
      <c r="E558" s="22">
        <f>IFERROR(__xludf.DUMMYFUNCTION("""COMPUTED_VALUE"""),1.4168)</f>
        <v>1.4168</v>
      </c>
      <c r="F558" s="22">
        <f t="shared" si="11"/>
        <v>83.82842147</v>
      </c>
      <c r="G558" s="22">
        <f t="shared" si="79"/>
        <v>-23.98714782</v>
      </c>
      <c r="H558" s="22">
        <f t="shared" si="80"/>
        <v>-8.411776484</v>
      </c>
    </row>
    <row r="559" ht="15.75" customHeight="1">
      <c r="A559" s="32">
        <f>IFERROR(__xludf.DUMMYFUNCTION("""COMPUTED_VALUE"""),40039.666666666664)</f>
        <v>40039.66667</v>
      </c>
      <c r="B559" s="22">
        <f>IFERROR(__xludf.DUMMYFUNCTION("""COMPUTED_VALUE"""),1004.09)</f>
        <v>1004.09</v>
      </c>
      <c r="C559" s="22">
        <f t="shared" si="10"/>
        <v>1242.691103</v>
      </c>
      <c r="D559" s="25">
        <f>IFERROR(__xludf.DUMMYFUNCTION("""COMPUTED_VALUE"""),40040.99861111111)</f>
        <v>40040.99861</v>
      </c>
      <c r="E559" s="22">
        <f>IFERROR(__xludf.DUMMYFUNCTION("""COMPUTED_VALUE"""),1.4215)</f>
        <v>1.4215</v>
      </c>
      <c r="F559" s="22">
        <f t="shared" si="11"/>
        <v>83.05503373</v>
      </c>
      <c r="G559" s="22">
        <f t="shared" si="79"/>
        <v>-26.0637602</v>
      </c>
      <c r="H559" s="22">
        <f t="shared" si="80"/>
        <v>-12.4736278</v>
      </c>
    </row>
    <row r="560" ht="15.75" customHeight="1">
      <c r="A560" s="32">
        <f>IFERROR(__xludf.DUMMYFUNCTION("""COMPUTED_VALUE"""),40046.666666666664)</f>
        <v>40046.66667</v>
      </c>
      <c r="B560" s="22">
        <f>IFERROR(__xludf.DUMMYFUNCTION("""COMPUTED_VALUE"""),1026.13)</f>
        <v>1026.13</v>
      </c>
      <c r="C560" s="22">
        <f t="shared" si="10"/>
        <v>1270.446409</v>
      </c>
      <c r="D560" s="25">
        <f>IFERROR(__xludf.DUMMYFUNCTION("""COMPUTED_VALUE"""),40047.99861111111)</f>
        <v>40047.99861</v>
      </c>
      <c r="E560" s="22">
        <f>IFERROR(__xludf.DUMMYFUNCTION("""COMPUTED_VALUE"""),1.4302)</f>
        <v>1.4302</v>
      </c>
      <c r="F560" s="22">
        <f t="shared" si="11"/>
        <v>84.39354113</v>
      </c>
      <c r="G560" s="22">
        <f t="shared" si="79"/>
        <v>-24.97147322</v>
      </c>
      <c r="H560" s="22">
        <f t="shared" si="80"/>
        <v>-14.0147568</v>
      </c>
    </row>
    <row r="561" ht="15.75" customHeight="1">
      <c r="A561" s="32">
        <f>IFERROR(__xludf.DUMMYFUNCTION("""COMPUTED_VALUE"""),40053.666666666664)</f>
        <v>40053.66667</v>
      </c>
      <c r="B561" s="22">
        <f>IFERROR(__xludf.DUMMYFUNCTION("""COMPUTED_VALUE"""),1028.93)</f>
        <v>1028.93</v>
      </c>
      <c r="C561" s="22">
        <f t="shared" si="10"/>
        <v>1274.401708</v>
      </c>
      <c r="D561" s="25">
        <f>IFERROR(__xludf.DUMMYFUNCTION("""COMPUTED_VALUE"""),40054.99861111111)</f>
        <v>40054.99861</v>
      </c>
      <c r="E561" s="22">
        <f>IFERROR(__xludf.DUMMYFUNCTION("""COMPUTED_VALUE"""),1.4302)</f>
        <v>1.4302</v>
      </c>
      <c r="F561" s="22">
        <f t="shared" si="11"/>
        <v>84.65628476</v>
      </c>
      <c r="G561" s="22">
        <f t="shared" si="79"/>
        <v>-25.21384291</v>
      </c>
      <c r="H561" s="22">
        <f t="shared" si="80"/>
        <v>-13.95527835</v>
      </c>
    </row>
    <row r="562" ht="15.75" customHeight="1">
      <c r="A562" s="32">
        <f>IFERROR(__xludf.DUMMYFUNCTION("""COMPUTED_VALUE"""),40060.666666666664)</f>
        <v>40060.66667</v>
      </c>
      <c r="B562" s="22">
        <f>IFERROR(__xludf.DUMMYFUNCTION("""COMPUTED_VALUE"""),1016.4)</f>
        <v>1016.4</v>
      </c>
      <c r="C562" s="22">
        <f t="shared" si="10"/>
        <v>1259.372582</v>
      </c>
      <c r="D562" s="25">
        <f>IFERROR(__xludf.DUMMYFUNCTION("""COMPUTED_VALUE"""),40061.99861111111)</f>
        <v>40061.99861</v>
      </c>
      <c r="E562" s="22">
        <f>IFERROR(__xludf.DUMMYFUNCTION("""COMPUTED_VALUE"""),1.4274)</f>
        <v>1.4274</v>
      </c>
      <c r="F562" s="22">
        <f t="shared" si="11"/>
        <v>83.8220302</v>
      </c>
      <c r="G562" s="22">
        <f t="shared" si="79"/>
        <v>-26.22789088</v>
      </c>
      <c r="H562" s="22">
        <f t="shared" si="80"/>
        <v>-14.11689898</v>
      </c>
    </row>
    <row r="563" ht="15.75" customHeight="1">
      <c r="A563" s="32">
        <f>IFERROR(__xludf.DUMMYFUNCTION("""COMPUTED_VALUE"""),40067.666666666664)</f>
        <v>40067.66667</v>
      </c>
      <c r="B563" s="22">
        <f>IFERROR(__xludf.DUMMYFUNCTION("""COMPUTED_VALUE"""),1042.73)</f>
        <v>1042.73</v>
      </c>
      <c r="C563" s="22">
        <f t="shared" si="10"/>
        <v>1292.481198</v>
      </c>
      <c r="D563" s="25">
        <f>IFERROR(__xludf.DUMMYFUNCTION("""COMPUTED_VALUE"""),40067.99861111111)</f>
        <v>40067.99861</v>
      </c>
      <c r="E563" s="22">
        <f>IFERROR(__xludf.DUMMYFUNCTION("""COMPUTED_VALUE"""),1.4579)</f>
        <v>1.4579</v>
      </c>
      <c r="F563" s="22">
        <f t="shared" si="11"/>
        <v>84.2259915</v>
      </c>
      <c r="G563" s="22">
        <f t="shared" si="79"/>
        <v>-27.23195313</v>
      </c>
      <c r="H563" s="22">
        <f t="shared" si="80"/>
        <v>-14.66432248</v>
      </c>
    </row>
    <row r="564" ht="15.75" customHeight="1">
      <c r="A564" s="32">
        <f>IFERROR(__xludf.DUMMYFUNCTION("""COMPUTED_VALUE"""),40074.666666666664)</f>
        <v>40074.66667</v>
      </c>
      <c r="B564" s="22">
        <f>IFERROR(__xludf.DUMMYFUNCTION("""COMPUTED_VALUE"""),1068.3)</f>
        <v>1068.3</v>
      </c>
      <c r="C564" s="22">
        <f t="shared" si="10"/>
        <v>1324.672747</v>
      </c>
      <c r="D564" s="25">
        <f>IFERROR(__xludf.DUMMYFUNCTION("""COMPUTED_VALUE"""),40075.99861111111)</f>
        <v>40075.99861</v>
      </c>
      <c r="E564" s="22">
        <f>IFERROR(__xludf.DUMMYFUNCTION("""COMPUTED_VALUE"""),1.4703)</f>
        <v>1.4703</v>
      </c>
      <c r="F564" s="22">
        <f t="shared" si="11"/>
        <v>85.59576511</v>
      </c>
      <c r="G564" s="22">
        <f t="shared" si="79"/>
        <v>-25.02208627</v>
      </c>
      <c r="H564" s="22">
        <f t="shared" si="80"/>
        <v>-11.24105775</v>
      </c>
    </row>
    <row r="565" ht="15.75" customHeight="1">
      <c r="A565" s="32">
        <f>IFERROR(__xludf.DUMMYFUNCTION("""COMPUTED_VALUE"""),40081.666666666664)</f>
        <v>40081.66667</v>
      </c>
      <c r="B565" s="22">
        <f>IFERROR(__xludf.DUMMYFUNCTION("""COMPUTED_VALUE"""),1044.38)</f>
        <v>1044.38</v>
      </c>
      <c r="C565" s="22">
        <f t="shared" si="10"/>
        <v>1295.521868</v>
      </c>
      <c r="D565" s="25">
        <f>IFERROR(__xludf.DUMMYFUNCTION("""COMPUTED_VALUE"""),40082.99861111111)</f>
        <v>40082.99861</v>
      </c>
      <c r="E565" s="22">
        <f>IFERROR(__xludf.DUMMYFUNCTION("""COMPUTED_VALUE"""),1.4681)</f>
        <v>1.4681</v>
      </c>
      <c r="F565" s="22">
        <f t="shared" si="11"/>
        <v>83.83758185</v>
      </c>
      <c r="G565" s="22">
        <f t="shared" si="79"/>
        <v>-28.40950959</v>
      </c>
      <c r="H565" s="22">
        <f t="shared" si="80"/>
        <v>-13.88514416</v>
      </c>
    </row>
    <row r="566" ht="15.75" customHeight="1">
      <c r="A566" s="32">
        <f>IFERROR(__xludf.DUMMYFUNCTION("""COMPUTED_VALUE"""),40088.666666666664)</f>
        <v>40088.66667</v>
      </c>
      <c r="B566" s="22">
        <f>IFERROR(__xludf.DUMMYFUNCTION("""COMPUTED_VALUE"""),1025.21)</f>
        <v>1025.21</v>
      </c>
      <c r="C566" s="22">
        <f t="shared" si="10"/>
        <v>1272.240339</v>
      </c>
      <c r="D566" s="25">
        <f>IFERROR(__xludf.DUMMYFUNCTION("""COMPUTED_VALUE"""),40089.99861111111)</f>
        <v>40089.99861</v>
      </c>
      <c r="E566" s="22">
        <f>IFERROR(__xludf.DUMMYFUNCTION("""COMPUTED_VALUE"""),1.4586)</f>
        <v>1.4586</v>
      </c>
      <c r="F566" s="22">
        <f t="shared" si="11"/>
        <v>82.86718506</v>
      </c>
      <c r="G566" s="22">
        <f t="shared" si="79"/>
        <v>-30.3054934</v>
      </c>
      <c r="H566" s="22">
        <f t="shared" si="80"/>
        <v>-14.14980272</v>
      </c>
    </row>
    <row r="567" ht="15.75" customHeight="1">
      <c r="A567" s="32">
        <f>IFERROR(__xludf.DUMMYFUNCTION("""COMPUTED_VALUE"""),40095.666666666664)</f>
        <v>40095.66667</v>
      </c>
      <c r="B567" s="22">
        <f>IFERROR(__xludf.DUMMYFUNCTION("""COMPUTED_VALUE"""),1071.49)</f>
        <v>1071.49</v>
      </c>
      <c r="C567" s="22">
        <f t="shared" si="10"/>
        <v>1330.161099</v>
      </c>
      <c r="D567" s="25">
        <f>IFERROR(__xludf.DUMMYFUNCTION("""COMPUTED_VALUE"""),40096.99861111111)</f>
        <v>40096.99861</v>
      </c>
      <c r="E567" s="22">
        <f>IFERROR(__xludf.DUMMYFUNCTION("""COMPUTED_VALUE"""),1.4714)</f>
        <v>1.4714</v>
      </c>
      <c r="F567" s="22">
        <f t="shared" si="11"/>
        <v>85.88614794</v>
      </c>
      <c r="G567" s="22">
        <f t="shared" si="79"/>
        <v>-29.03837917</v>
      </c>
      <c r="H567" s="22">
        <f t="shared" si="80"/>
        <v>-9.400567823</v>
      </c>
    </row>
    <row r="568" ht="15.75" customHeight="1">
      <c r="A568" s="32">
        <f>IFERROR(__xludf.DUMMYFUNCTION("""COMPUTED_VALUE"""),40102.666666666664)</f>
        <v>40102.66667</v>
      </c>
      <c r="B568" s="22">
        <f>IFERROR(__xludf.DUMMYFUNCTION("""COMPUTED_VALUE"""),1087.68)</f>
        <v>1087.68</v>
      </c>
      <c r="C568" s="22">
        <f t="shared" si="10"/>
        <v>1350.771168</v>
      </c>
      <c r="D568" s="25">
        <f>IFERROR(__xludf.DUMMYFUNCTION("""COMPUTED_VALUE"""),40103.99861111111)</f>
        <v>40103.99861</v>
      </c>
      <c r="E568" s="22">
        <f>IFERROR(__xludf.DUMMYFUNCTION("""COMPUTED_VALUE"""),1.489)</f>
        <v>1.489</v>
      </c>
      <c r="F568" s="22">
        <f t="shared" si="11"/>
        <v>86.18599865</v>
      </c>
      <c r="G568" s="22">
        <f t="shared" si="79"/>
        <v>-28.51949566</v>
      </c>
      <c r="H568" s="22">
        <f t="shared" si="80"/>
        <v>-6.531569732</v>
      </c>
    </row>
    <row r="569" ht="15.75" customHeight="1">
      <c r="A569" s="32">
        <f>IFERROR(__xludf.DUMMYFUNCTION("""COMPUTED_VALUE"""),40109.666666666664)</f>
        <v>40109.66667</v>
      </c>
      <c r="B569" s="22">
        <f>IFERROR(__xludf.DUMMYFUNCTION("""COMPUTED_VALUE"""),1079.6)</f>
        <v>1079.6</v>
      </c>
      <c r="C569" s="22">
        <f t="shared" si="10"/>
        <v>1341.256281</v>
      </c>
      <c r="D569" s="25">
        <f>IFERROR(__xludf.DUMMYFUNCTION("""COMPUTED_VALUE"""),40109.99861111111)</f>
        <v>40109.99861</v>
      </c>
      <c r="E569" s="22">
        <f>IFERROR(__xludf.DUMMYFUNCTION("""COMPUTED_VALUE"""),1.5007)</f>
        <v>1.5007</v>
      </c>
      <c r="F569" s="22">
        <f t="shared" si="11"/>
        <v>84.91169696</v>
      </c>
      <c r="G569" s="22">
        <f t="shared" si="79"/>
        <v>-29.33999679</v>
      </c>
      <c r="H569" s="22">
        <f t="shared" si="80"/>
        <v>-10.00181652</v>
      </c>
    </row>
    <row r="570" ht="15.75" customHeight="1">
      <c r="A570" s="32">
        <f>IFERROR(__xludf.DUMMYFUNCTION("""COMPUTED_VALUE"""),40116.666666666664)</f>
        <v>40116.66667</v>
      </c>
      <c r="B570" s="22">
        <f>IFERROR(__xludf.DUMMYFUNCTION("""COMPUTED_VALUE"""),1036.19)</f>
        <v>1036.19</v>
      </c>
      <c r="C570" s="22">
        <f t="shared" si="10"/>
        <v>1287.841124</v>
      </c>
      <c r="D570" s="25">
        <f>IFERROR(__xludf.DUMMYFUNCTION("""COMPUTED_VALUE"""),40117.99861111111)</f>
        <v>40117.99861</v>
      </c>
      <c r="E570" s="22">
        <f>IFERROR(__xludf.DUMMYFUNCTION("""COMPUTED_VALUE"""),1.4729)</f>
        <v>1.4729</v>
      </c>
      <c r="F570" s="22">
        <f t="shared" si="11"/>
        <v>83.06893849</v>
      </c>
      <c r="G570" s="22">
        <f t="shared" si="79"/>
        <v>-30.3548373</v>
      </c>
      <c r="H570" s="22">
        <f t="shared" si="80"/>
        <v>-13.56898973</v>
      </c>
    </row>
    <row r="571" ht="15.75" customHeight="1">
      <c r="A571" s="32">
        <f>IFERROR(__xludf.DUMMYFUNCTION("""COMPUTED_VALUE"""),40123.666666666664)</f>
        <v>40123.66667</v>
      </c>
      <c r="B571" s="22">
        <f>IFERROR(__xludf.DUMMYFUNCTION("""COMPUTED_VALUE"""),1069.3)</f>
        <v>1069.3</v>
      </c>
      <c r="C571" s="22">
        <f t="shared" si="10"/>
        <v>1329.487606</v>
      </c>
      <c r="D571" s="25">
        <f>IFERROR(__xludf.DUMMYFUNCTION("""COMPUTED_VALUE"""),40123.99861111111)</f>
        <v>40123.99861</v>
      </c>
      <c r="E571" s="22">
        <f>IFERROR(__xludf.DUMMYFUNCTION("""COMPUTED_VALUE"""),1.484)</f>
        <v>1.484</v>
      </c>
      <c r="F571" s="22">
        <f t="shared" si="11"/>
        <v>85.11380895</v>
      </c>
      <c r="G571" s="22">
        <f t="shared" si="79"/>
        <v>-28.79355859</v>
      </c>
      <c r="H571" s="22">
        <f t="shared" si="80"/>
        <v>-12.86759179</v>
      </c>
    </row>
    <row r="572" ht="15.75" customHeight="1">
      <c r="A572" s="32">
        <f>IFERROR(__xludf.DUMMYFUNCTION("""COMPUTED_VALUE"""),40130.666666666664)</f>
        <v>40130.66667</v>
      </c>
      <c r="B572" s="22">
        <f>IFERROR(__xludf.DUMMYFUNCTION("""COMPUTED_VALUE"""),1093.48)</f>
        <v>1093.48</v>
      </c>
      <c r="C572" s="22">
        <f t="shared" si="10"/>
        <v>1360.06255</v>
      </c>
      <c r="D572" s="25">
        <f>IFERROR(__xludf.DUMMYFUNCTION("""COMPUTED_VALUE"""),40130.99861111111)</f>
        <v>40130.99861</v>
      </c>
      <c r="E572" s="22">
        <f>IFERROR(__xludf.DUMMYFUNCTION("""COMPUTED_VALUE"""),1.4903)</f>
        <v>1.4903</v>
      </c>
      <c r="F572" s="22">
        <f t="shared" si="11"/>
        <v>86.70313779</v>
      </c>
      <c r="G572" s="22">
        <f t="shared" si="79"/>
        <v>-28.56412368</v>
      </c>
      <c r="H572" s="22">
        <f t="shared" si="80"/>
        <v>-9.686159228</v>
      </c>
    </row>
    <row r="573" ht="15.75" customHeight="1">
      <c r="A573" s="32">
        <f>IFERROR(__xludf.DUMMYFUNCTION("""COMPUTED_VALUE"""),40137.666666666664)</f>
        <v>40137.66667</v>
      </c>
      <c r="B573" s="22">
        <f>IFERROR(__xludf.DUMMYFUNCTION("""COMPUTED_VALUE"""),1091.38)</f>
        <v>1091.38</v>
      </c>
      <c r="C573" s="22">
        <f t="shared" si="10"/>
        <v>1357.973686</v>
      </c>
      <c r="D573" s="25">
        <f>IFERROR(__xludf.DUMMYFUNCTION("""COMPUTED_VALUE"""),40137.99861111111)</f>
        <v>40137.99861</v>
      </c>
      <c r="E573" s="22">
        <f>IFERROR(__xludf.DUMMYFUNCTION("""COMPUTED_VALUE"""),1.486)</f>
        <v>1.486</v>
      </c>
      <c r="F573" s="22">
        <f t="shared" si="11"/>
        <v>86.82047933</v>
      </c>
      <c r="G573" s="22">
        <f t="shared" si="79"/>
        <v>-27.18500531</v>
      </c>
      <c r="H573" s="22">
        <f t="shared" si="80"/>
        <v>-8.789086092</v>
      </c>
    </row>
    <row r="574" ht="15.75" customHeight="1">
      <c r="A574" s="32">
        <f>IFERROR(__xludf.DUMMYFUNCTION("""COMPUTED_VALUE"""),40144.666666666664)</f>
        <v>40144.66667</v>
      </c>
      <c r="B574" s="22">
        <f>IFERROR(__xludf.DUMMYFUNCTION("""COMPUTED_VALUE"""),1091.49)</f>
        <v>1091.49</v>
      </c>
      <c r="C574" s="22">
        <f t="shared" si="10"/>
        <v>1358.632854</v>
      </c>
      <c r="D574" s="25">
        <f>IFERROR(__xludf.DUMMYFUNCTION("""COMPUTED_VALUE"""),40144.99861111111)</f>
        <v>40144.99861</v>
      </c>
      <c r="E574" s="22">
        <f>IFERROR(__xludf.DUMMYFUNCTION("""COMPUTED_VALUE"""),1.4983)</f>
        <v>1.4983</v>
      </c>
      <c r="F574" s="22">
        <f t="shared" si="11"/>
        <v>86.14954078</v>
      </c>
      <c r="G574" s="22">
        <f t="shared" si="79"/>
        <v>-26.14943352</v>
      </c>
      <c r="H574" s="22">
        <f t="shared" si="80"/>
        <v>-9.019769572</v>
      </c>
    </row>
    <row r="575" ht="15.75" customHeight="1">
      <c r="A575" s="32">
        <f>IFERROR(__xludf.DUMMYFUNCTION("""COMPUTED_VALUE"""),40151.666666666664)</f>
        <v>40151.66667</v>
      </c>
      <c r="B575" s="22">
        <f>IFERROR(__xludf.DUMMYFUNCTION("""COMPUTED_VALUE"""),1105.98)</f>
        <v>1105.98</v>
      </c>
      <c r="C575" s="22">
        <f t="shared" si="10"/>
        <v>1377.191842</v>
      </c>
      <c r="D575" s="25">
        <f>IFERROR(__xludf.DUMMYFUNCTION("""COMPUTED_VALUE"""),40151.99861111111)</f>
        <v>40151.99861</v>
      </c>
      <c r="E575" s="22">
        <f>IFERROR(__xludf.DUMMYFUNCTION("""COMPUTED_VALUE"""),1.4855)</f>
        <v>1.4855</v>
      </c>
      <c r="F575" s="22">
        <f t="shared" si="11"/>
        <v>88.07880609</v>
      </c>
      <c r="G575" s="22">
        <f t="shared" si="79"/>
        <v>-24.89639047</v>
      </c>
      <c r="H575" s="22">
        <f t="shared" si="80"/>
        <v>-8.467052193</v>
      </c>
    </row>
    <row r="576" ht="15.75" customHeight="1">
      <c r="A576" s="32">
        <f>IFERROR(__xludf.DUMMYFUNCTION("""COMPUTED_VALUE"""),40158.666666666664)</f>
        <v>40158.66667</v>
      </c>
      <c r="B576" s="22">
        <f>IFERROR(__xludf.DUMMYFUNCTION("""COMPUTED_VALUE"""),1106.41)</f>
        <v>1106.41</v>
      </c>
      <c r="C576" s="22">
        <f t="shared" si="10"/>
        <v>1378.256977</v>
      </c>
      <c r="D576" s="25">
        <f>IFERROR(__xludf.DUMMYFUNCTION("""COMPUTED_VALUE"""),40158.99861111111)</f>
        <v>40158.99861</v>
      </c>
      <c r="E576" s="22">
        <f>IFERROR(__xludf.DUMMYFUNCTION("""COMPUTED_VALUE"""),1.4616)</f>
        <v>1.4616</v>
      </c>
      <c r="F576" s="22">
        <f t="shared" si="11"/>
        <v>89.58830073</v>
      </c>
      <c r="G576" s="22">
        <f t="shared" si="79"/>
        <v>-26.23997329</v>
      </c>
      <c r="H576" s="22">
        <f t="shared" si="80"/>
        <v>-6.746141385</v>
      </c>
    </row>
    <row r="577" ht="15.75" customHeight="1">
      <c r="A577" s="32">
        <f>IFERROR(__xludf.DUMMYFUNCTION("""COMPUTED_VALUE"""),40165.666666666664)</f>
        <v>40165.66667</v>
      </c>
      <c r="B577" s="22">
        <f>IFERROR(__xludf.DUMMYFUNCTION("""COMPUTED_VALUE"""),1102.47)</f>
        <v>1102.47</v>
      </c>
      <c r="C577" s="22">
        <f t="shared" si="10"/>
        <v>1373.87901</v>
      </c>
      <c r="D577" s="25">
        <f>IFERROR(__xludf.DUMMYFUNCTION("""COMPUTED_VALUE"""),40165.99861111111)</f>
        <v>40165.99861</v>
      </c>
      <c r="E577" s="22">
        <f>IFERROR(__xludf.DUMMYFUNCTION("""COMPUTED_VALUE"""),1.4344)</f>
        <v>1.4344</v>
      </c>
      <c r="F577" s="22">
        <f t="shared" si="11"/>
        <v>90.99716161</v>
      </c>
      <c r="G577" s="22">
        <f t="shared" si="79"/>
        <v>-24.11499413</v>
      </c>
      <c r="H577" s="22">
        <f t="shared" si="80"/>
        <v>-5.044162636</v>
      </c>
    </row>
    <row r="578" ht="15.75" customHeight="1">
      <c r="A578" s="32">
        <f>IFERROR(__xludf.DUMMYFUNCTION("""COMPUTED_VALUE"""),40171.666666666664)</f>
        <v>40171.66667</v>
      </c>
      <c r="B578" s="22">
        <f>IFERROR(__xludf.DUMMYFUNCTION("""COMPUTED_VALUE"""),1126.48)</f>
        <v>1126.48</v>
      </c>
      <c r="C578" s="22">
        <f t="shared" si="10"/>
        <v>1404.328271</v>
      </c>
      <c r="D578" s="25">
        <f>IFERROR(__xludf.DUMMYFUNCTION("""COMPUTED_VALUE"""),40172.99861111111)</f>
        <v>40172.99861</v>
      </c>
      <c r="E578" s="22">
        <f>IFERROR(__xludf.DUMMYFUNCTION("""COMPUTED_VALUE"""),1.438)</f>
        <v>1.438</v>
      </c>
      <c r="F578" s="22">
        <f t="shared" si="11"/>
        <v>92.78107216</v>
      </c>
      <c r="G578" s="22">
        <f t="shared" si="79"/>
        <v>-22.61646139</v>
      </c>
      <c r="H578" s="22">
        <f t="shared" si="80"/>
        <v>-3.105573199</v>
      </c>
    </row>
    <row r="579" ht="15.75" customHeight="1">
      <c r="A579" s="32">
        <f>IFERROR(__xludf.DUMMYFUNCTION("""COMPUTED_VALUE"""),40178.666666666664)</f>
        <v>40178.66667</v>
      </c>
      <c r="B579" s="22">
        <f>IFERROR(__xludf.DUMMYFUNCTION("""COMPUTED_VALUE"""),1115.1)</f>
        <v>1115.1</v>
      </c>
      <c r="C579" s="22">
        <f t="shared" si="10"/>
        <v>1390.6815</v>
      </c>
      <c r="D579" s="25">
        <f>IFERROR(__xludf.DUMMYFUNCTION("""COMPUTED_VALUE"""),40180.99861111111)</f>
        <v>40180.99861</v>
      </c>
      <c r="E579" s="22">
        <f>IFERROR(__xludf.DUMMYFUNCTION("""COMPUTED_VALUE"""),1.4287)</f>
        <v>1.4287</v>
      </c>
      <c r="F579" s="22">
        <f t="shared" si="11"/>
        <v>92.47753962</v>
      </c>
      <c r="G579" s="22">
        <f t="shared" si="79"/>
        <v>-23.67025556</v>
      </c>
      <c r="H579" s="22">
        <f t="shared" si="80"/>
        <v>-4.929835518</v>
      </c>
    </row>
    <row r="580" ht="15.75" customHeight="1">
      <c r="A580" s="32">
        <f>IFERROR(__xludf.DUMMYFUNCTION("""COMPUTED_VALUE"""),40186.666666666664)</f>
        <v>40186.66667</v>
      </c>
      <c r="B580" s="22">
        <f>IFERROR(__xludf.DUMMYFUNCTION("""COMPUTED_VALUE"""),1144.98)</f>
        <v>1144.98</v>
      </c>
      <c r="C580" s="22">
        <f t="shared" si="10"/>
        <v>1428.480806</v>
      </c>
      <c r="D580" s="25">
        <f>IFERROR(__xludf.DUMMYFUNCTION("""COMPUTED_VALUE"""),40187.99861111111)</f>
        <v>40187.99861</v>
      </c>
      <c r="E580" s="22">
        <f>IFERROR(__xludf.DUMMYFUNCTION("""COMPUTED_VALUE"""),1.4402)</f>
        <v>1.4402</v>
      </c>
      <c r="F580" s="22">
        <f t="shared" si="11"/>
        <v>94.23261357</v>
      </c>
      <c r="G580" s="22">
        <f t="shared" si="79"/>
        <v>-23.75923722</v>
      </c>
      <c r="H580" s="22">
        <f t="shared" si="80"/>
        <v>-2.840062691</v>
      </c>
    </row>
    <row r="581" ht="15.75" customHeight="1">
      <c r="A581" s="32">
        <f>IFERROR(__xludf.DUMMYFUNCTION("""COMPUTED_VALUE"""),40193.666666666664)</f>
        <v>40193.66667</v>
      </c>
      <c r="B581" s="22">
        <f>IFERROR(__xludf.DUMMYFUNCTION("""COMPUTED_VALUE"""),1136.03)</f>
        <v>1136.03</v>
      </c>
      <c r="C581" s="22">
        <f t="shared" si="10"/>
        <v>1417.864172</v>
      </c>
      <c r="D581" s="25">
        <f>IFERROR(__xludf.DUMMYFUNCTION("""COMPUTED_VALUE"""),40194.99861111111)</f>
        <v>40194.99861</v>
      </c>
      <c r="E581" s="22">
        <f>IFERROR(__xludf.DUMMYFUNCTION("""COMPUTED_VALUE"""),1.4386)</f>
        <v>1.4386</v>
      </c>
      <c r="F581" s="22">
        <f t="shared" si="11"/>
        <v>93.63629182</v>
      </c>
      <c r="G581" s="22">
        <f t="shared" si="79"/>
        <v>-24.05347681</v>
      </c>
      <c r="H581" s="22">
        <f t="shared" si="80"/>
        <v>-2.894703674</v>
      </c>
    </row>
    <row r="582" ht="15.75" customHeight="1">
      <c r="A582" s="32">
        <f>IFERROR(__xludf.DUMMYFUNCTION("""COMPUTED_VALUE"""),40200.666666666664)</f>
        <v>40200.66667</v>
      </c>
      <c r="B582" s="22">
        <f>IFERROR(__xludf.DUMMYFUNCTION("""COMPUTED_VALUE"""),1115.49)</f>
        <v>1115.49</v>
      </c>
      <c r="C582" s="22">
        <f t="shared" si="10"/>
        <v>1392.773799</v>
      </c>
      <c r="D582" s="25">
        <f>IFERROR(__xludf.DUMMYFUNCTION("""COMPUTED_VALUE"""),40201.99861111111)</f>
        <v>40201.99861</v>
      </c>
      <c r="E582" s="22">
        <f>IFERROR(__xludf.DUMMYFUNCTION("""COMPUTED_VALUE"""),1.415)</f>
        <v>1.415</v>
      </c>
      <c r="F582" s="22">
        <f t="shared" si="11"/>
        <v>93.51338596</v>
      </c>
      <c r="G582" s="22">
        <f t="shared" si="79"/>
        <v>-24.00384641</v>
      </c>
      <c r="H582" s="22">
        <f t="shared" si="80"/>
        <v>-2.99857093</v>
      </c>
    </row>
    <row r="583" ht="15.75" customHeight="1">
      <c r="A583" s="32">
        <f>IFERROR(__xludf.DUMMYFUNCTION("""COMPUTED_VALUE"""),40207.666666666664)</f>
        <v>40207.66667</v>
      </c>
      <c r="B583" s="22">
        <f>IFERROR(__xludf.DUMMYFUNCTION("""COMPUTED_VALUE"""),1073.87)</f>
        <v>1073.87</v>
      </c>
      <c r="C583" s="22">
        <f t="shared" si="10"/>
        <v>1341.343757</v>
      </c>
      <c r="D583" s="25">
        <f>IFERROR(__xludf.DUMMYFUNCTION("""COMPUTED_VALUE"""),40208.99861111111)</f>
        <v>40208.99861</v>
      </c>
      <c r="E583" s="22">
        <f>IFERROR(__xludf.DUMMYFUNCTION("""COMPUTED_VALUE"""),1.3861)</f>
        <v>1.3861</v>
      </c>
      <c r="F583" s="22">
        <f t="shared" si="11"/>
        <v>91.93802347</v>
      </c>
      <c r="G583" s="22">
        <f t="shared" si="79"/>
        <v>-26.37982964</v>
      </c>
      <c r="H583" s="22">
        <f t="shared" si="80"/>
        <v>-8.509028948</v>
      </c>
    </row>
    <row r="584" ht="15.75" customHeight="1">
      <c r="A584" s="32">
        <f>IFERROR(__xludf.DUMMYFUNCTION("""COMPUTED_VALUE"""),40214.666666666664)</f>
        <v>40214.66667</v>
      </c>
      <c r="B584" s="22">
        <f>IFERROR(__xludf.DUMMYFUNCTION("""COMPUTED_VALUE"""),1066.19)</f>
        <v>1066.19</v>
      </c>
      <c r="C584" s="22">
        <f t="shared" si="10"/>
        <v>1332.266766</v>
      </c>
      <c r="D584" s="25">
        <f>IFERROR(__xludf.DUMMYFUNCTION("""COMPUTED_VALUE"""),40215.99861111111)</f>
        <v>40215.99861</v>
      </c>
      <c r="E584" s="22">
        <f>IFERROR(__xludf.DUMMYFUNCTION("""COMPUTED_VALUE"""),1.3604)</f>
        <v>1.3604</v>
      </c>
      <c r="F584" s="22">
        <f t="shared" si="11"/>
        <v>93.04096475</v>
      </c>
      <c r="G584" s="22">
        <f t="shared" si="79"/>
        <v>-24.73585592</v>
      </c>
      <c r="H584" s="22">
        <f t="shared" si="80"/>
        <v>-7.635664166</v>
      </c>
    </row>
    <row r="585" ht="15.75" customHeight="1">
      <c r="A585" s="32">
        <f>IFERROR(__xludf.DUMMYFUNCTION("""COMPUTED_VALUE"""),40221.666666666664)</f>
        <v>40221.66667</v>
      </c>
      <c r="B585" s="22">
        <f>IFERROR(__xludf.DUMMYFUNCTION("""COMPUTED_VALUE"""),1075.51)</f>
        <v>1075.51</v>
      </c>
      <c r="C585" s="22">
        <f t="shared" si="10"/>
        <v>1344.425061</v>
      </c>
      <c r="D585" s="25">
        <f>IFERROR(__xludf.DUMMYFUNCTION("""COMPUTED_VALUE"""),40222.99861111111)</f>
        <v>40222.99861</v>
      </c>
      <c r="E585" s="22">
        <f>IFERROR(__xludf.DUMMYFUNCTION("""COMPUTED_VALUE"""),1.36161)</f>
        <v>1.36161</v>
      </c>
      <c r="F585" s="22">
        <f t="shared" si="11"/>
        <v>93.80662285</v>
      </c>
      <c r="G585" s="22">
        <f t="shared" si="79"/>
        <v>-24.26672457</v>
      </c>
      <c r="H585" s="22">
        <f t="shared" si="80"/>
        <v>-5.432531743</v>
      </c>
    </row>
    <row r="586" ht="15.75" customHeight="1">
      <c r="A586" s="32">
        <f>IFERROR(__xludf.DUMMYFUNCTION("""COMPUTED_VALUE"""),40228.666666666664)</f>
        <v>40228.66667</v>
      </c>
      <c r="B586" s="22">
        <f>IFERROR(__xludf.DUMMYFUNCTION("""COMPUTED_VALUE"""),1109.17)</f>
        <v>1109.17</v>
      </c>
      <c r="C586" s="22">
        <f t="shared" si="10"/>
        <v>1387.018323</v>
      </c>
      <c r="D586" s="25">
        <f>IFERROR(__xludf.DUMMYFUNCTION("""COMPUTED_VALUE"""),40229.99861111111)</f>
        <v>40229.99861</v>
      </c>
      <c r="E586" s="22">
        <f>IFERROR(__xludf.DUMMYFUNCTION("""COMPUTED_VALUE"""),1.3535)</f>
        <v>1.3535</v>
      </c>
      <c r="F586" s="22">
        <f t="shared" si="11"/>
        <v>97.35843233</v>
      </c>
      <c r="G586" s="22">
        <f t="shared" si="79"/>
        <v>-21.04409606</v>
      </c>
      <c r="H586" s="22">
        <f t="shared" si="80"/>
        <v>-1.006628919</v>
      </c>
    </row>
    <row r="587" ht="15.75" customHeight="1">
      <c r="A587" s="32">
        <f>IFERROR(__xludf.DUMMYFUNCTION("""COMPUTED_VALUE"""),40235.666666666664)</f>
        <v>40235.66667</v>
      </c>
      <c r="B587" s="22">
        <f>IFERROR(__xludf.DUMMYFUNCTION("""COMPUTED_VALUE"""),1104.49)</f>
        <v>1104.49</v>
      </c>
      <c r="C587" s="22">
        <f t="shared" si="10"/>
        <v>1381.699447</v>
      </c>
      <c r="D587" s="25">
        <f>IFERROR(__xludf.DUMMYFUNCTION("""COMPUTED_VALUE"""),40236.99861111111)</f>
        <v>40236.99861</v>
      </c>
      <c r="E587" s="22">
        <f>IFERROR(__xludf.DUMMYFUNCTION("""COMPUTED_VALUE"""),1.3657)</f>
        <v>1.3657</v>
      </c>
      <c r="F587" s="22">
        <f t="shared" si="11"/>
        <v>96.11870439</v>
      </c>
      <c r="G587" s="22">
        <f t="shared" si="79"/>
        <v>-18.5157142</v>
      </c>
      <c r="H587" s="22">
        <f t="shared" si="80"/>
        <v>-3.149141365</v>
      </c>
    </row>
    <row r="588" ht="15.75" customHeight="1">
      <c r="A588" s="32">
        <f>IFERROR(__xludf.DUMMYFUNCTION("""COMPUTED_VALUE"""),40242.666666666664)</f>
        <v>40242.66667</v>
      </c>
      <c r="B588" s="22">
        <f>IFERROR(__xludf.DUMMYFUNCTION("""COMPUTED_VALUE"""),1138.7)</f>
        <v>1138.7</v>
      </c>
      <c r="C588" s="22">
        <f t="shared" si="10"/>
        <v>1425.027036</v>
      </c>
      <c r="D588" s="25">
        <f>IFERROR(__xludf.DUMMYFUNCTION("""COMPUTED_VALUE"""),40243.99861111111)</f>
        <v>40243.99861</v>
      </c>
      <c r="E588" s="22">
        <f>IFERROR(__xludf.DUMMYFUNCTION("""COMPUTED_VALUE"""),1.3606)</f>
        <v>1.3606</v>
      </c>
      <c r="F588" s="22">
        <f t="shared" si="11"/>
        <v>99.5043968</v>
      </c>
      <c r="G588" s="22">
        <f t="shared" si="79"/>
        <v>-16.91783021</v>
      </c>
      <c r="H588" s="22">
        <f t="shared" si="80"/>
        <v>3.790223621</v>
      </c>
    </row>
    <row r="589" ht="15.75" customHeight="1">
      <c r="A589" s="32">
        <f>IFERROR(__xludf.DUMMYFUNCTION("""COMPUTED_VALUE"""),40249.666666666664)</f>
        <v>40249.66667</v>
      </c>
      <c r="B589" s="22">
        <f>IFERROR(__xludf.DUMMYFUNCTION("""COMPUTED_VALUE"""),1149.99)</f>
        <v>1149.99</v>
      </c>
      <c r="C589" s="22">
        <f t="shared" si="10"/>
        <v>1439.704003</v>
      </c>
      <c r="D589" s="25">
        <f>IFERROR(__xludf.DUMMYFUNCTION("""COMPUTED_VALUE"""),40249.99861111111)</f>
        <v>40249.99861</v>
      </c>
      <c r="E589" s="22">
        <f>IFERROR(__xludf.DUMMYFUNCTION("""COMPUTED_VALUE"""),1.3765)</f>
        <v>1.3765</v>
      </c>
      <c r="F589" s="22">
        <f t="shared" si="11"/>
        <v>99.36801869</v>
      </c>
      <c r="G589" s="22">
        <f t="shared" si="79"/>
        <v>-14.82744138</v>
      </c>
      <c r="H589" s="22">
        <f t="shared" si="80"/>
        <v>3.344147817</v>
      </c>
    </row>
    <row r="590" ht="15.75" customHeight="1">
      <c r="A590" s="32">
        <f>IFERROR(__xludf.DUMMYFUNCTION("""COMPUTED_VALUE"""),40256.666666666664)</f>
        <v>40256.66667</v>
      </c>
      <c r="B590" s="22">
        <f>IFERROR(__xludf.DUMMYFUNCTION("""COMPUTED_VALUE"""),1159.9)</f>
        <v>1159.9</v>
      </c>
      <c r="C590" s="22">
        <f t="shared" si="10"/>
        <v>1452.664336</v>
      </c>
      <c r="D590" s="25">
        <f>IFERROR(__xludf.DUMMYFUNCTION("""COMPUTED_VALUE"""),40256.99861111111)</f>
        <v>40256.99861</v>
      </c>
      <c r="E590" s="22">
        <f>IFERROR(__xludf.DUMMYFUNCTION("""COMPUTED_VALUE"""),1.353)</f>
        <v>1.353</v>
      </c>
      <c r="F590" s="22">
        <f t="shared" si="11"/>
        <v>102.0039787</v>
      </c>
      <c r="G590" s="22">
        <f t="shared" si="79"/>
        <v>-15.80785174</v>
      </c>
      <c r="H590" s="22">
        <f t="shared" si="80"/>
        <v>4.750347888</v>
      </c>
    </row>
    <row r="591" ht="15.75" customHeight="1">
      <c r="A591" s="32">
        <f>IFERROR(__xludf.DUMMYFUNCTION("""COMPUTED_VALUE"""),40263.666666666664)</f>
        <v>40263.66667</v>
      </c>
      <c r="B591" s="22">
        <f>IFERROR(__xludf.DUMMYFUNCTION("""COMPUTED_VALUE"""),1166.59)</f>
        <v>1166.59</v>
      </c>
      <c r="C591" s="22">
        <f t="shared" si="10"/>
        <v>1461.601641</v>
      </c>
      <c r="D591" s="25">
        <f>IFERROR(__xludf.DUMMYFUNCTION("""COMPUTED_VALUE"""),40264.99861111111)</f>
        <v>40264.99861</v>
      </c>
      <c r="E591" s="22">
        <f>IFERROR(__xludf.DUMMYFUNCTION("""COMPUTED_VALUE"""),1.3387)</f>
        <v>1.3387</v>
      </c>
      <c r="F591" s="22">
        <f t="shared" si="11"/>
        <v>103.7278539</v>
      </c>
      <c r="G591" s="22">
        <f t="shared" si="79"/>
        <v>-13.01124253</v>
      </c>
      <c r="H591" s="22">
        <f t="shared" si="80"/>
        <v>5.990480341</v>
      </c>
    </row>
    <row r="592" ht="15.75" customHeight="1">
      <c r="A592" s="32">
        <f>IFERROR(__xludf.DUMMYFUNCTION("""COMPUTED_VALUE"""),40269.666666666664)</f>
        <v>40269.66667</v>
      </c>
      <c r="B592" s="22">
        <f>IFERROR(__xludf.DUMMYFUNCTION("""COMPUTED_VALUE"""),1178.1)</f>
        <v>1178.1</v>
      </c>
      <c r="C592" s="22">
        <f t="shared" si="10"/>
        <v>1476.584487</v>
      </c>
      <c r="D592" s="25">
        <f>IFERROR(__xludf.DUMMYFUNCTION("""COMPUTED_VALUE"""),40270.99861111111)</f>
        <v>40270.99861</v>
      </c>
      <c r="E592" s="22">
        <f>IFERROR(__xludf.DUMMYFUNCTION("""COMPUTED_VALUE"""),1.3499)</f>
        <v>1.3499</v>
      </c>
      <c r="F592" s="22">
        <f t="shared" si="11"/>
        <v>103.9217229</v>
      </c>
      <c r="G592" s="22">
        <f t="shared" si="79"/>
        <v>-13.60983116</v>
      </c>
      <c r="H592" s="22">
        <f t="shared" si="80"/>
        <v>5.134488609</v>
      </c>
    </row>
    <row r="593" ht="15.75" customHeight="1">
      <c r="A593" s="32">
        <f>IFERROR(__xludf.DUMMYFUNCTION("""COMPUTED_VALUE"""),40277.666666666664)</f>
        <v>40277.66667</v>
      </c>
      <c r="B593" s="22">
        <f>IFERROR(__xludf.DUMMYFUNCTION("""COMPUTED_VALUE"""),1194.37)</f>
        <v>1194.37</v>
      </c>
      <c r="C593" s="22">
        <f t="shared" si="10"/>
        <v>1497.544587</v>
      </c>
      <c r="D593" s="25">
        <f>IFERROR(__xludf.DUMMYFUNCTION("""COMPUTED_VALUE"""),40277.99861111111)</f>
        <v>40277.99861</v>
      </c>
      <c r="E593" s="22">
        <f>IFERROR(__xludf.DUMMYFUNCTION("""COMPUTED_VALUE"""),1.3499)</f>
        <v>1.3499</v>
      </c>
      <c r="F593" s="22">
        <f t="shared" si="11"/>
        <v>105.3968905</v>
      </c>
      <c r="G593" s="22">
        <f t="shared" si="79"/>
        <v>-12.52404253</v>
      </c>
      <c r="H593" s="22">
        <f t="shared" si="80"/>
        <v>10.09768678</v>
      </c>
    </row>
    <row r="594" ht="15.75" customHeight="1">
      <c r="A594" s="32">
        <f>IFERROR(__xludf.DUMMYFUNCTION("""COMPUTED_VALUE"""),40284.666666666664)</f>
        <v>40284.66667</v>
      </c>
      <c r="B594" s="22">
        <f>IFERROR(__xludf.DUMMYFUNCTION("""COMPUTED_VALUE"""),1192.13)</f>
        <v>1192.13</v>
      </c>
      <c r="C594" s="22">
        <f t="shared" si="10"/>
        <v>1495.311972</v>
      </c>
      <c r="D594" s="25">
        <f>IFERROR(__xludf.DUMMYFUNCTION("""COMPUTED_VALUE"""),40285.99861111111)</f>
        <v>40285.99861</v>
      </c>
      <c r="E594" s="22">
        <f>IFERROR(__xludf.DUMMYFUNCTION("""COMPUTED_VALUE"""),1.3483)</f>
        <v>1.3483</v>
      </c>
      <c r="F594" s="22">
        <f t="shared" si="11"/>
        <v>105.3646454</v>
      </c>
      <c r="G594" s="22">
        <f t="shared" si="79"/>
        <v>-14.07192032</v>
      </c>
      <c r="H594" s="22">
        <f t="shared" si="80"/>
        <v>10.7263209</v>
      </c>
    </row>
    <row r="595" ht="15.75" customHeight="1">
      <c r="A595" s="32">
        <f>IFERROR(__xludf.DUMMYFUNCTION("""COMPUTED_VALUE"""),40291.666666666664)</f>
        <v>40291.66667</v>
      </c>
      <c r="B595" s="22">
        <f>IFERROR(__xludf.DUMMYFUNCTION("""COMPUTED_VALUE"""),1217.28)</f>
        <v>1217.28</v>
      </c>
      <c r="C595" s="22">
        <f t="shared" si="10"/>
        <v>1527.433229</v>
      </c>
      <c r="D595" s="25">
        <f>IFERROR(__xludf.DUMMYFUNCTION("""COMPUTED_VALUE"""),40291.99861111111)</f>
        <v>40291.99861</v>
      </c>
      <c r="E595" s="22">
        <f>IFERROR(__xludf.DUMMYFUNCTION("""COMPUTED_VALUE"""),1.3381)</f>
        <v>1.3381</v>
      </c>
      <c r="F595" s="22">
        <f t="shared" si="11"/>
        <v>108.4484371</v>
      </c>
      <c r="G595" s="22">
        <f t="shared" si="79"/>
        <v>-11.72625455</v>
      </c>
      <c r="H595" s="22">
        <f t="shared" si="80"/>
        <v>11.84112464</v>
      </c>
    </row>
    <row r="596" ht="15.75" customHeight="1">
      <c r="A596" s="32">
        <f>IFERROR(__xludf.DUMMYFUNCTION("""COMPUTED_VALUE"""),40298.666666666664)</f>
        <v>40298.66667</v>
      </c>
      <c r="B596" s="22">
        <f>IFERROR(__xludf.DUMMYFUNCTION("""COMPUTED_VALUE"""),1186.69)</f>
        <v>1186.69</v>
      </c>
      <c r="C596" s="22">
        <f t="shared" si="10"/>
        <v>1489.636615</v>
      </c>
      <c r="D596" s="25">
        <f>IFERROR(__xludf.DUMMYFUNCTION("""COMPUTED_VALUE"""),40299.99861111111)</f>
        <v>40299.99861</v>
      </c>
      <c r="E596" s="22">
        <f>IFERROR(__xludf.DUMMYFUNCTION("""COMPUTED_VALUE"""),1.33)</f>
        <v>1.33</v>
      </c>
      <c r="F596" s="22">
        <f t="shared" si="11"/>
        <v>106.4089926</v>
      </c>
      <c r="G596" s="22">
        <f t="shared" si="79"/>
        <v>-14.50518076</v>
      </c>
      <c r="H596" s="22">
        <f t="shared" si="80"/>
        <v>7.841599412</v>
      </c>
    </row>
    <row r="597" ht="15.75" customHeight="1">
      <c r="A597" s="32">
        <f>IFERROR(__xludf.DUMMYFUNCTION("""COMPUTED_VALUE"""),40305.666666666664)</f>
        <v>40305.66667</v>
      </c>
      <c r="B597" s="22">
        <f>IFERROR(__xludf.DUMMYFUNCTION("""COMPUTED_VALUE"""),1110.88)</f>
        <v>1110.88</v>
      </c>
      <c r="C597" s="22">
        <f t="shared" si="10"/>
        <v>1395.046239</v>
      </c>
      <c r="D597" s="25">
        <f>IFERROR(__xludf.DUMMYFUNCTION("""COMPUTED_VALUE"""),40306.99861111111)</f>
        <v>40306.99861</v>
      </c>
      <c r="E597" s="22">
        <f>IFERROR(__xludf.DUMMYFUNCTION("""COMPUTED_VALUE"""),1.2718)</f>
        <v>1.2718</v>
      </c>
      <c r="F597" s="22">
        <f t="shared" si="11"/>
        <v>104.2124044</v>
      </c>
      <c r="G597" s="22">
        <f t="shared" si="79"/>
        <v>-16.69077676</v>
      </c>
      <c r="H597" s="22">
        <f t="shared" si="80"/>
        <v>5.517295391</v>
      </c>
    </row>
    <row r="598" ht="15.75" customHeight="1">
      <c r="A598" s="32">
        <f>IFERROR(__xludf.DUMMYFUNCTION("""COMPUTED_VALUE"""),40312.666666666664)</f>
        <v>40312.66667</v>
      </c>
      <c r="B598" s="22">
        <f>IFERROR(__xludf.DUMMYFUNCTION("""COMPUTED_VALUE"""),1135.68)</f>
        <v>1135.68</v>
      </c>
      <c r="C598" s="22">
        <f t="shared" si="10"/>
        <v>1426.726705</v>
      </c>
      <c r="D598" s="25">
        <f>IFERROR(__xludf.DUMMYFUNCTION("""COMPUTED_VALUE"""),40312.99861111111)</f>
        <v>40312.99861</v>
      </c>
      <c r="E598" s="22">
        <f>IFERROR(__xludf.DUMMYFUNCTION("""COMPUTED_VALUE"""),1.2359)</f>
        <v>1.2359</v>
      </c>
      <c r="F598" s="22">
        <f t="shared" si="11"/>
        <v>109.6748609</v>
      </c>
      <c r="G598" s="22">
        <f t="shared" si="79"/>
        <v>-13.41973668</v>
      </c>
      <c r="H598" s="22">
        <f t="shared" si="80"/>
        <v>7.171837796</v>
      </c>
    </row>
    <row r="599" ht="15.75" customHeight="1">
      <c r="A599" s="32">
        <f>IFERROR(__xludf.DUMMYFUNCTION("""COMPUTED_VALUE"""),40319.666666666664)</f>
        <v>40319.66667</v>
      </c>
      <c r="B599" s="22">
        <f>IFERROR(__xludf.DUMMYFUNCTION("""COMPUTED_VALUE"""),1087.69)</f>
        <v>1087.69</v>
      </c>
      <c r="C599" s="22">
        <f t="shared" si="10"/>
        <v>1366.986796</v>
      </c>
      <c r="D599" s="25">
        <f>IFERROR(__xludf.DUMMYFUNCTION("""COMPUTED_VALUE"""),40319.99861111111)</f>
        <v>40319.99861</v>
      </c>
      <c r="E599" s="22">
        <f>IFERROR(__xludf.DUMMYFUNCTION("""COMPUTED_VALUE"""),1.2583)</f>
        <v>1.2583</v>
      </c>
      <c r="F599" s="22">
        <f t="shared" si="11"/>
        <v>103.2118962</v>
      </c>
      <c r="G599" s="22">
        <f t="shared" si="79"/>
        <v>-18.56970486</v>
      </c>
      <c r="H599" s="22">
        <f t="shared" si="80"/>
        <v>0.2341296733</v>
      </c>
    </row>
    <row r="600" ht="15.75" customHeight="1">
      <c r="A600" s="32">
        <f>IFERROR(__xludf.DUMMYFUNCTION("""COMPUTED_VALUE"""),40326.666666666664)</f>
        <v>40326.66667</v>
      </c>
      <c r="B600" s="22">
        <f>IFERROR(__xludf.DUMMYFUNCTION("""COMPUTED_VALUE"""),1089.41)</f>
        <v>1089.41</v>
      </c>
      <c r="C600" s="22">
        <f t="shared" si="10"/>
        <v>1369.674221</v>
      </c>
      <c r="D600" s="25">
        <f>IFERROR(__xludf.DUMMYFUNCTION("""COMPUTED_VALUE"""),40327.99861111111)</f>
        <v>40327.99861</v>
      </c>
      <c r="E600" s="22">
        <f>IFERROR(__xludf.DUMMYFUNCTION("""COMPUTED_VALUE"""),1.2366)</f>
        <v>1.2366</v>
      </c>
      <c r="F600" s="22">
        <f t="shared" si="11"/>
        <v>105.2295405</v>
      </c>
      <c r="G600" s="22">
        <f t="shared" si="79"/>
        <v>-18.17747858</v>
      </c>
      <c r="H600" s="22">
        <f t="shared" si="80"/>
        <v>-0.4757291263</v>
      </c>
    </row>
    <row r="601" ht="15.75" customHeight="1">
      <c r="A601" s="32">
        <f>IFERROR(__xludf.DUMMYFUNCTION("""COMPUTED_VALUE"""),40333.666666666664)</f>
        <v>40333.66667</v>
      </c>
      <c r="B601" s="22">
        <f>IFERROR(__xludf.DUMMYFUNCTION("""COMPUTED_VALUE"""),1064.88)</f>
        <v>1064.88</v>
      </c>
      <c r="C601" s="22">
        <f t="shared" si="10"/>
        <v>1339.360373</v>
      </c>
      <c r="D601" s="25">
        <f>IFERROR(__xludf.DUMMYFUNCTION("""COMPUTED_VALUE"""),40334.99861111111)</f>
        <v>40334.99861</v>
      </c>
      <c r="E601" s="22">
        <f>IFERROR(__xludf.DUMMYFUNCTION("""COMPUTED_VALUE"""),1.1997)</f>
        <v>1.1997</v>
      </c>
      <c r="F601" s="22">
        <f t="shared" si="11"/>
        <v>106.0655676</v>
      </c>
      <c r="G601" s="22">
        <f t="shared" si="79"/>
        <v>-16.3859384</v>
      </c>
      <c r="H601" s="22">
        <f t="shared" si="80"/>
        <v>-0.6763386538</v>
      </c>
    </row>
    <row r="602" ht="15.75" customHeight="1">
      <c r="A602" s="32">
        <f>IFERROR(__xludf.DUMMYFUNCTION("""COMPUTED_VALUE"""),40340.666666666664)</f>
        <v>40340.66667</v>
      </c>
      <c r="B602" s="22">
        <f>IFERROR(__xludf.DUMMYFUNCTION("""COMPUTED_VALUE"""),1091.6)</f>
        <v>1091.6</v>
      </c>
      <c r="C602" s="22">
        <f t="shared" si="10"/>
        <v>1373.482781</v>
      </c>
      <c r="D602" s="25">
        <f>IFERROR(__xludf.DUMMYFUNCTION("""COMPUTED_VALUE"""),40341.99861111111)</f>
        <v>40341.99861</v>
      </c>
      <c r="E602" s="22">
        <f>IFERROR(__xludf.DUMMYFUNCTION("""COMPUTED_VALUE"""),1.2116)</f>
        <v>1.2116</v>
      </c>
      <c r="F602" s="22">
        <f t="shared" si="11"/>
        <v>107.6994755</v>
      </c>
      <c r="G602" s="22">
        <f t="shared" si="79"/>
        <v>-16.51493015</v>
      </c>
      <c r="H602" s="22">
        <f t="shared" si="80"/>
        <v>0.4158815856</v>
      </c>
    </row>
    <row r="603" ht="15.75" customHeight="1">
      <c r="A603" s="32">
        <f>IFERROR(__xludf.DUMMYFUNCTION("""COMPUTED_VALUE"""),40347.666666666664)</f>
        <v>40347.66667</v>
      </c>
      <c r="B603" s="22">
        <f>IFERROR(__xludf.DUMMYFUNCTION("""COMPUTED_VALUE"""),1117.51)</f>
        <v>1117.51</v>
      </c>
      <c r="C603" s="22">
        <f t="shared" si="10"/>
        <v>1406.611757</v>
      </c>
      <c r="D603" s="25">
        <f>IFERROR(__xludf.DUMMYFUNCTION("""COMPUTED_VALUE"""),40348.99861111111)</f>
        <v>40348.99861</v>
      </c>
      <c r="E603" s="22">
        <f>IFERROR(__xludf.DUMMYFUNCTION("""COMPUTED_VALUE"""),1.23728)</f>
        <v>1.23728</v>
      </c>
      <c r="F603" s="22">
        <f t="shared" si="11"/>
        <v>108.00799</v>
      </c>
      <c r="G603" s="22">
        <f t="shared" si="79"/>
        <v>-14.03723277</v>
      </c>
      <c r="H603" s="22">
        <f t="shared" si="80"/>
        <v>1.292608892</v>
      </c>
    </row>
    <row r="604" ht="15.75" customHeight="1">
      <c r="A604" s="32">
        <f>IFERROR(__xludf.DUMMYFUNCTION("""COMPUTED_VALUE"""),40354.666666666664)</f>
        <v>40354.66667</v>
      </c>
      <c r="B604" s="22">
        <f>IFERROR(__xludf.DUMMYFUNCTION("""COMPUTED_VALUE"""),1076.76)</f>
        <v>1076.76</v>
      </c>
      <c r="C604" s="22">
        <f t="shared" si="10"/>
        <v>1355.860666</v>
      </c>
      <c r="D604" s="25">
        <f>IFERROR(__xludf.DUMMYFUNCTION("""COMPUTED_VALUE"""),40354.99861111111)</f>
        <v>40354.99861</v>
      </c>
      <c r="E604" s="22">
        <f>IFERROR(__xludf.DUMMYFUNCTION("""COMPUTED_VALUE"""),1.2374)</f>
        <v>1.2374</v>
      </c>
      <c r="F604" s="22">
        <f t="shared" si="11"/>
        <v>104.100924</v>
      </c>
      <c r="G604" s="22">
        <f t="shared" si="79"/>
        <v>-16.81033719</v>
      </c>
      <c r="H604" s="22">
        <f t="shared" si="80"/>
        <v>-3.931789666</v>
      </c>
    </row>
    <row r="605" ht="15.75" customHeight="1">
      <c r="A605" s="32">
        <f>IFERROR(__xludf.DUMMYFUNCTION("""COMPUTED_VALUE"""),40361.666666666664)</f>
        <v>40361.66667</v>
      </c>
      <c r="B605" s="22">
        <f>IFERROR(__xludf.DUMMYFUNCTION("""COMPUTED_VALUE"""),1022.58)</f>
        <v>1022.58</v>
      </c>
      <c r="C605" s="22">
        <f t="shared" si="10"/>
        <v>1288.15847</v>
      </c>
      <c r="D605" s="25">
        <f>IFERROR(__xludf.DUMMYFUNCTION("""COMPUTED_VALUE"""),40362.99861111111)</f>
        <v>40362.99861</v>
      </c>
      <c r="E605" s="22">
        <f>IFERROR(__xludf.DUMMYFUNCTION("""COMPUTED_VALUE"""),1.2574)</f>
        <v>1.2574</v>
      </c>
      <c r="F605" s="22">
        <f t="shared" si="11"/>
        <v>97.32971944</v>
      </c>
      <c r="G605" s="22">
        <f t="shared" si="79"/>
        <v>-23.11906238</v>
      </c>
      <c r="H605" s="22">
        <f t="shared" si="80"/>
        <v>-11.17881813</v>
      </c>
    </row>
    <row r="606" ht="15.75" customHeight="1">
      <c r="A606" s="32">
        <f>IFERROR(__xludf.DUMMYFUNCTION("""COMPUTED_VALUE"""),40368.666666666664)</f>
        <v>40368.66667</v>
      </c>
      <c r="B606" s="22">
        <f>IFERROR(__xludf.DUMMYFUNCTION("""COMPUTED_VALUE"""),1077.96)</f>
        <v>1077.96</v>
      </c>
      <c r="C606" s="22">
        <f t="shared" si="10"/>
        <v>1358.416884</v>
      </c>
      <c r="D606" s="25">
        <f>IFERROR(__xludf.DUMMYFUNCTION("""COMPUTED_VALUE"""),40369.99861111111)</f>
        <v>40369.99861</v>
      </c>
      <c r="E606" s="22">
        <f>IFERROR(__xludf.DUMMYFUNCTION("""COMPUTED_VALUE"""),1.2642)</f>
        <v>1.2642</v>
      </c>
      <c r="F606" s="22">
        <f t="shared" si="11"/>
        <v>102.086172</v>
      </c>
      <c r="G606" s="22">
        <f t="shared" si="79"/>
        <v>-19.6162686</v>
      </c>
      <c r="H606" s="22">
        <f t="shared" si="80"/>
        <v>-7.600324753</v>
      </c>
    </row>
    <row r="607" ht="15.75" customHeight="1">
      <c r="A607" s="32">
        <f>IFERROR(__xludf.DUMMYFUNCTION("""COMPUTED_VALUE"""),40375.666666666664)</f>
        <v>40375.66667</v>
      </c>
      <c r="B607" s="22">
        <f>IFERROR(__xludf.DUMMYFUNCTION("""COMPUTED_VALUE"""),1064.88)</f>
        <v>1064.88</v>
      </c>
      <c r="C607" s="22">
        <f t="shared" si="10"/>
        <v>1342.45628</v>
      </c>
      <c r="D607" s="25">
        <f>IFERROR(__xludf.DUMMYFUNCTION("""COMPUTED_VALUE"""),40376.99861111111)</f>
        <v>40376.99861</v>
      </c>
      <c r="E607" s="22">
        <f>IFERROR(__xludf.DUMMYFUNCTION("""COMPUTED_VALUE"""),1.2918)</f>
        <v>1.2918</v>
      </c>
      <c r="F607" s="22">
        <f t="shared" si="11"/>
        <v>98.73122022</v>
      </c>
      <c r="G607" s="22">
        <f t="shared" si="79"/>
        <v>-21.09936478</v>
      </c>
      <c r="H607" s="22">
        <f t="shared" si="80"/>
        <v>-10.97743008</v>
      </c>
    </row>
    <row r="608" ht="15.75" customHeight="1">
      <c r="A608" s="32">
        <f>IFERROR(__xludf.DUMMYFUNCTION("""COMPUTED_VALUE"""),40382.666666666664)</f>
        <v>40382.66667</v>
      </c>
      <c r="B608" s="22">
        <f>IFERROR(__xludf.DUMMYFUNCTION("""COMPUTED_VALUE"""),1102.66)</f>
        <v>1102.66</v>
      </c>
      <c r="C608" s="22">
        <f t="shared" si="10"/>
        <v>1390.600509</v>
      </c>
      <c r="D608" s="25">
        <f>IFERROR(__xludf.DUMMYFUNCTION("""COMPUTED_VALUE"""),40383.99861111111)</f>
        <v>40383.99861</v>
      </c>
      <c r="E608" s="22">
        <f>IFERROR(__xludf.DUMMYFUNCTION("""COMPUTED_VALUE"""),1.2862)</f>
        <v>1.2862</v>
      </c>
      <c r="F608" s="22">
        <f t="shared" si="11"/>
        <v>102.7172805</v>
      </c>
      <c r="G608" s="22">
        <f t="shared" si="79"/>
        <v>-14.92498255</v>
      </c>
      <c r="H608" s="22">
        <f t="shared" si="80"/>
        <v>-6.926694764</v>
      </c>
    </row>
    <row r="609" ht="15.75" customHeight="1">
      <c r="A609" s="32">
        <f>IFERROR(__xludf.DUMMYFUNCTION("""COMPUTED_VALUE"""),40389.666666666664)</f>
        <v>40389.66667</v>
      </c>
      <c r="B609" s="22">
        <f>IFERROR(__xludf.DUMMYFUNCTION("""COMPUTED_VALUE"""),1101.6)</f>
        <v>1101.6</v>
      </c>
      <c r="C609" s="22">
        <f t="shared" si="10"/>
        <v>1389.798555</v>
      </c>
      <c r="D609" s="25">
        <f>IFERROR(__xludf.DUMMYFUNCTION("""COMPUTED_VALUE"""),40390.99861111111)</f>
        <v>40390.99861</v>
      </c>
      <c r="E609" s="22">
        <f>IFERROR(__xludf.DUMMYFUNCTION("""COMPUTED_VALUE"""),1.3038)</f>
        <v>1.3038</v>
      </c>
      <c r="F609" s="22">
        <f t="shared" si="11"/>
        <v>101.2722626</v>
      </c>
      <c r="G609" s="22">
        <f t="shared" si="79"/>
        <v>-13.68189446</v>
      </c>
      <c r="H609" s="22">
        <f t="shared" si="80"/>
        <v>-5.064193308</v>
      </c>
    </row>
    <row r="610" ht="15.75" customHeight="1">
      <c r="A610" s="32">
        <f>IFERROR(__xludf.DUMMYFUNCTION("""COMPUTED_VALUE"""),40396.666666666664)</f>
        <v>40396.66667</v>
      </c>
      <c r="B610" s="22">
        <f>IFERROR(__xludf.DUMMYFUNCTION("""COMPUTED_VALUE"""),1121.64)</f>
        <v>1121.64</v>
      </c>
      <c r="C610" s="22">
        <f t="shared" si="10"/>
        <v>1415.61592</v>
      </c>
      <c r="D610" s="25">
        <f>IFERROR(__xludf.DUMMYFUNCTION("""COMPUTED_VALUE"""),40397.99861111111)</f>
        <v>40397.99861</v>
      </c>
      <c r="E610" s="22">
        <f>IFERROR(__xludf.DUMMYFUNCTION("""COMPUTED_VALUE"""),1.3278)</f>
        <v>1.3278</v>
      </c>
      <c r="F610" s="22">
        <f t="shared" si="11"/>
        <v>101.289029</v>
      </c>
      <c r="G610" s="22">
        <f t="shared" si="79"/>
        <v>-15.48370971</v>
      </c>
      <c r="H610" s="22">
        <f t="shared" si="80"/>
        <v>-5.626351203</v>
      </c>
    </row>
    <row r="611" ht="15.75" customHeight="1">
      <c r="A611" s="32">
        <f>IFERROR(__xludf.DUMMYFUNCTION("""COMPUTED_VALUE"""),40403.666666666664)</f>
        <v>40403.66667</v>
      </c>
      <c r="B611" s="22">
        <f>IFERROR(__xludf.DUMMYFUNCTION("""COMPUTED_VALUE"""),1079.25)</f>
        <v>1079.25</v>
      </c>
      <c r="C611" s="22">
        <f t="shared" si="10"/>
        <v>1362.660193</v>
      </c>
      <c r="D611" s="25">
        <f>IFERROR(__xludf.DUMMYFUNCTION("""COMPUTED_VALUE"""),40404.99861111111)</f>
        <v>40404.99861</v>
      </c>
      <c r="E611" s="22">
        <f>IFERROR(__xludf.DUMMYFUNCTION("""COMPUTED_VALUE"""),1.276)</f>
        <v>1.276</v>
      </c>
      <c r="F611" s="22">
        <f t="shared" si="11"/>
        <v>101.4580541</v>
      </c>
      <c r="G611" s="22">
        <f t="shared" si="79"/>
        <v>-16.19202402</v>
      </c>
      <c r="H611" s="22">
        <f t="shared" si="80"/>
        <v>-6.908452032</v>
      </c>
    </row>
    <row r="612" ht="15.75" customHeight="1">
      <c r="A612" s="32">
        <f>IFERROR(__xludf.DUMMYFUNCTION("""COMPUTED_VALUE"""),40410.666666666664)</f>
        <v>40410.66667</v>
      </c>
      <c r="B612" s="22">
        <f>IFERROR(__xludf.DUMMYFUNCTION("""COMPUTED_VALUE"""),1071.69)</f>
        <v>1071.69</v>
      </c>
      <c r="C612" s="22">
        <f t="shared" si="10"/>
        <v>1353.639043</v>
      </c>
      <c r="D612" s="25">
        <f>IFERROR(__xludf.DUMMYFUNCTION("""COMPUTED_VALUE"""),40411.99861111111)</f>
        <v>40411.99861</v>
      </c>
      <c r="E612" s="22">
        <f>IFERROR(__xludf.DUMMYFUNCTION("""COMPUTED_VALUE"""),1.2711)</f>
        <v>1.2711</v>
      </c>
      <c r="F612" s="22">
        <f t="shared" si="11"/>
        <v>101.1749009</v>
      </c>
      <c r="G612" s="22">
        <f t="shared" si="79"/>
        <v>-17.30413951</v>
      </c>
      <c r="H612" s="22">
        <f t="shared" si="80"/>
        <v>-4.98133898</v>
      </c>
    </row>
    <row r="613" ht="15.75" customHeight="1">
      <c r="A613" s="32">
        <f>IFERROR(__xludf.DUMMYFUNCTION("""COMPUTED_VALUE"""),40417.666666666664)</f>
        <v>40417.66667</v>
      </c>
      <c r="B613" s="22">
        <f>IFERROR(__xludf.DUMMYFUNCTION("""COMPUTED_VALUE"""),1064.59)</f>
        <v>1064.59</v>
      </c>
      <c r="C613" s="22">
        <f t="shared" si="10"/>
        <v>1345.191747</v>
      </c>
      <c r="D613" s="25">
        <f>IFERROR(__xludf.DUMMYFUNCTION("""COMPUTED_VALUE"""),40418.99861111111)</f>
        <v>40418.99861</v>
      </c>
      <c r="E613" s="22">
        <f>IFERROR(__xludf.DUMMYFUNCTION("""COMPUTED_VALUE"""),1.2764)</f>
        <v>1.2764</v>
      </c>
      <c r="F613" s="22">
        <f t="shared" si="11"/>
        <v>100.1260383</v>
      </c>
      <c r="G613" s="22">
        <f t="shared" si="79"/>
        <v>-18.14681237</v>
      </c>
      <c r="H613" s="22">
        <f t="shared" si="80"/>
        <v>-5.213073495</v>
      </c>
    </row>
    <row r="614" ht="15.75" customHeight="1">
      <c r="A614" s="32">
        <f>IFERROR(__xludf.DUMMYFUNCTION("""COMPUTED_VALUE"""),40424.666666666664)</f>
        <v>40424.66667</v>
      </c>
      <c r="B614" s="22">
        <f>IFERROR(__xludf.DUMMYFUNCTION("""COMPUTED_VALUE"""),1104.51)</f>
        <v>1104.51</v>
      </c>
      <c r="C614" s="22">
        <f t="shared" si="10"/>
        <v>1396.151134</v>
      </c>
      <c r="D614" s="25">
        <f>IFERROR(__xludf.DUMMYFUNCTION("""COMPUTED_VALUE"""),40425.99861111111)</f>
        <v>40425.99861</v>
      </c>
      <c r="E614" s="22">
        <f>IFERROR(__xludf.DUMMYFUNCTION("""COMPUTED_VALUE"""),1.2881)</f>
        <v>1.2881</v>
      </c>
      <c r="F614" s="22">
        <f t="shared" si="11"/>
        <v>102.9751628</v>
      </c>
      <c r="G614" s="22">
        <f t="shared" si="79"/>
        <v>-13.75248708</v>
      </c>
      <c r="H614" s="22">
        <f t="shared" si="80"/>
        <v>-5.417021487</v>
      </c>
    </row>
    <row r="615" ht="15.75" customHeight="1">
      <c r="A615" s="32">
        <f>IFERROR(__xludf.DUMMYFUNCTION("""COMPUTED_VALUE"""),40431.666666666664)</f>
        <v>40431.66667</v>
      </c>
      <c r="B615" s="22">
        <f>IFERROR(__xludf.DUMMYFUNCTION("""COMPUTED_VALUE"""),1109.55)</f>
        <v>1109.55</v>
      </c>
      <c r="C615" s="22">
        <f t="shared" si="10"/>
        <v>1403.058905</v>
      </c>
      <c r="D615" s="25">
        <f>IFERROR(__xludf.DUMMYFUNCTION("""COMPUTED_VALUE"""),40432.99861111111)</f>
        <v>40432.99861</v>
      </c>
      <c r="E615" s="22">
        <f>IFERROR(__xludf.DUMMYFUNCTION("""COMPUTED_VALUE"""),1.2727)</f>
        <v>1.2727</v>
      </c>
      <c r="F615" s="22">
        <f t="shared" si="11"/>
        <v>104.7368467</v>
      </c>
      <c r="G615" s="22">
        <f t="shared" si="79"/>
        <v>-13.45632507</v>
      </c>
      <c r="H615" s="22">
        <f t="shared" si="80"/>
        <v>-4.780733077</v>
      </c>
    </row>
    <row r="616" ht="15.75" customHeight="1">
      <c r="A616" s="32">
        <f>IFERROR(__xludf.DUMMYFUNCTION("""COMPUTED_VALUE"""),40438.666666666664)</f>
        <v>40438.66667</v>
      </c>
      <c r="B616" s="22">
        <f>IFERROR(__xludf.DUMMYFUNCTION("""COMPUTED_VALUE"""),1125.59)</f>
        <v>1125.59</v>
      </c>
      <c r="C616" s="22">
        <f t="shared" si="10"/>
        <v>1423.881599</v>
      </c>
      <c r="D616" s="25">
        <f>IFERROR(__xludf.DUMMYFUNCTION("""COMPUTED_VALUE"""),40439.99861111111)</f>
        <v>40439.99861</v>
      </c>
      <c r="E616" s="22">
        <f>IFERROR(__xludf.DUMMYFUNCTION("""COMPUTED_VALUE"""),1.3044)</f>
        <v>1.3044</v>
      </c>
      <c r="F616" s="22">
        <f t="shared" si="11"/>
        <v>103.7081105</v>
      </c>
      <c r="G616" s="22">
        <f t="shared" si="79"/>
        <v>-15.37703163</v>
      </c>
      <c r="H616" s="22">
        <f t="shared" si="80"/>
        <v>-5.544707139</v>
      </c>
    </row>
    <row r="617" ht="15.75" customHeight="1">
      <c r="A617" s="32">
        <f>IFERROR(__xludf.DUMMYFUNCTION("""COMPUTED_VALUE"""),40445.666666666664)</f>
        <v>40445.66667</v>
      </c>
      <c r="B617" s="22">
        <f>IFERROR(__xludf.DUMMYFUNCTION("""COMPUTED_VALUE"""),1148.67)</f>
        <v>1148.67</v>
      </c>
      <c r="C617" s="22">
        <f t="shared" si="10"/>
        <v>1453.625656</v>
      </c>
      <c r="D617" s="25">
        <f>IFERROR(__xludf.DUMMYFUNCTION("""COMPUTED_VALUE"""),40445.99861111111)</f>
        <v>40445.99861</v>
      </c>
      <c r="E617" s="22">
        <f>IFERROR(__xludf.DUMMYFUNCTION("""COMPUTED_VALUE"""),1.3489)</f>
        <v>1.3489</v>
      </c>
      <c r="F617" s="22">
        <f t="shared" si="11"/>
        <v>102.3817289</v>
      </c>
      <c r="G617" s="22">
        <f t="shared" si="79"/>
        <v>-15.5332267</v>
      </c>
      <c r="H617" s="22">
        <f t="shared" si="80"/>
        <v>-7.898020901</v>
      </c>
    </row>
    <row r="618" ht="15.75" customHeight="1">
      <c r="A618" s="32">
        <f>IFERROR(__xludf.DUMMYFUNCTION("""COMPUTED_VALUE"""),40452.666666666664)</f>
        <v>40452.66667</v>
      </c>
      <c r="B618" s="22">
        <f>IFERROR(__xludf.DUMMYFUNCTION("""COMPUTED_VALUE"""),1146.24)</f>
        <v>1146.24</v>
      </c>
      <c r="C618" s="22">
        <f t="shared" si="10"/>
        <v>1451.109612</v>
      </c>
      <c r="D618" s="25">
        <f>IFERROR(__xludf.DUMMYFUNCTION("""COMPUTED_VALUE"""),40453.99861111111)</f>
        <v>40453.99861</v>
      </c>
      <c r="E618" s="22">
        <f>IFERROR(__xludf.DUMMYFUNCTION("""COMPUTED_VALUE"""),1.379)</f>
        <v>1.379</v>
      </c>
      <c r="F618" s="22">
        <f t="shared" si="11"/>
        <v>99.97365885</v>
      </c>
      <c r="G618" s="22">
        <f t="shared" si="79"/>
        <v>-19.9145753</v>
      </c>
      <c r="H618" s="22">
        <f t="shared" si="80"/>
        <v>-6.842322038</v>
      </c>
    </row>
    <row r="619" ht="15.75" customHeight="1">
      <c r="A619" s="32">
        <f>IFERROR(__xludf.DUMMYFUNCTION("""COMPUTED_VALUE"""),40459.666666666664)</f>
        <v>40459.66667</v>
      </c>
      <c r="B619" s="22">
        <f>IFERROR(__xludf.DUMMYFUNCTION("""COMPUTED_VALUE"""),1165.15)</f>
        <v>1165.15</v>
      </c>
      <c r="C619" s="22">
        <f t="shared" si="10"/>
        <v>1475.607293</v>
      </c>
      <c r="D619" s="25">
        <f>IFERROR(__xludf.DUMMYFUNCTION("""COMPUTED_VALUE"""),40460.99861111111)</f>
        <v>40460.99861</v>
      </c>
      <c r="E619" s="22">
        <f>IFERROR(__xludf.DUMMYFUNCTION("""COMPUTED_VALUE"""),1.3921)</f>
        <v>1.3921</v>
      </c>
      <c r="F619" s="22">
        <f t="shared" si="11"/>
        <v>100.7047588</v>
      </c>
      <c r="G619" s="22">
        <f t="shared" si="79"/>
        <v>-19.26420493</v>
      </c>
      <c r="H619" s="22">
        <f t="shared" si="80"/>
        <v>-5.873038322</v>
      </c>
    </row>
    <row r="620" ht="15.75" customHeight="1">
      <c r="A620" s="32">
        <f>IFERROR(__xludf.DUMMYFUNCTION("""COMPUTED_VALUE"""),40466.666666666664)</f>
        <v>40466.66667</v>
      </c>
      <c r="B620" s="22">
        <f>IFERROR(__xludf.DUMMYFUNCTION("""COMPUTED_VALUE"""),1176.19)</f>
        <v>1176.19</v>
      </c>
      <c r="C620" s="22">
        <f t="shared" si="10"/>
        <v>1490.156471</v>
      </c>
      <c r="D620" s="25">
        <f>IFERROR(__xludf.DUMMYFUNCTION("""COMPUTED_VALUE"""),40467.99861111111)</f>
        <v>40467.99861</v>
      </c>
      <c r="E620" s="22">
        <f>IFERROR(__xludf.DUMMYFUNCTION("""COMPUTED_VALUE"""),1.3994)</f>
        <v>1.3994</v>
      </c>
      <c r="F620" s="22">
        <f t="shared" si="11"/>
        <v>101.1671784</v>
      </c>
      <c r="G620" s="22">
        <f t="shared" si="79"/>
        <v>-14.98468029</v>
      </c>
      <c r="H620" s="22">
        <f t="shared" si="80"/>
        <v>-5.768565853</v>
      </c>
    </row>
    <row r="621" ht="15.75" customHeight="1">
      <c r="A621" s="32">
        <f>IFERROR(__xludf.DUMMYFUNCTION("""COMPUTED_VALUE"""),40473.666666666664)</f>
        <v>40473.66667</v>
      </c>
      <c r="B621" s="22">
        <f>IFERROR(__xludf.DUMMYFUNCTION("""COMPUTED_VALUE"""),1183.08)</f>
        <v>1183.08</v>
      </c>
      <c r="C621" s="22">
        <f t="shared" si="10"/>
        <v>1499.458792</v>
      </c>
      <c r="D621" s="25">
        <f>IFERROR(__xludf.DUMMYFUNCTION("""COMPUTED_VALUE"""),40474.99861111111)</f>
        <v>40474.99861</v>
      </c>
      <c r="E621" s="22">
        <f>IFERROR(__xludf.DUMMYFUNCTION("""COMPUTED_VALUE"""),1.3956)</f>
        <v>1.3956</v>
      </c>
      <c r="F621" s="22">
        <f t="shared" si="11"/>
        <v>102.0758977</v>
      </c>
      <c r="G621" s="22">
        <f t="shared" si="79"/>
        <v>-15.61385673</v>
      </c>
      <c r="H621" s="22">
        <f t="shared" si="80"/>
        <v>-5.700156305</v>
      </c>
    </row>
    <row r="622" ht="15.75" customHeight="1">
      <c r="A622" s="32">
        <f>IFERROR(__xludf.DUMMYFUNCTION("""COMPUTED_VALUE"""),40480.666666666664)</f>
        <v>40480.66667</v>
      </c>
      <c r="B622" s="22">
        <f>IFERROR(__xludf.DUMMYFUNCTION("""COMPUTED_VALUE"""),1183.26)</f>
        <v>1183.26</v>
      </c>
      <c r="C622" s="22">
        <f t="shared" si="10"/>
        <v>1500.263642</v>
      </c>
      <c r="D622" s="25">
        <f>IFERROR(__xludf.DUMMYFUNCTION("""COMPUTED_VALUE"""),40481.99861111111)</f>
        <v>40481.99861</v>
      </c>
      <c r="E622" s="22">
        <f>IFERROR(__xludf.DUMMYFUNCTION("""COMPUTED_VALUE"""),1.3946)</f>
        <v>1.3946</v>
      </c>
      <c r="F622" s="22">
        <f t="shared" si="11"/>
        <v>102.203921</v>
      </c>
      <c r="G622" s="22">
        <f t="shared" si="79"/>
        <v>-13.54014995</v>
      </c>
      <c r="H622" s="22">
        <f t="shared" si="80"/>
        <v>-9.219793678</v>
      </c>
    </row>
    <row r="623" ht="15.75" customHeight="1">
      <c r="A623" s="32">
        <f>IFERROR(__xludf.DUMMYFUNCTION("""COMPUTED_VALUE"""),40487.666666666664)</f>
        <v>40487.66667</v>
      </c>
      <c r="B623" s="22">
        <f>IFERROR(__xludf.DUMMYFUNCTION("""COMPUTED_VALUE"""),1225.85)</f>
        <v>1225.85</v>
      </c>
      <c r="C623" s="22">
        <f t="shared" si="10"/>
        <v>1554.840826</v>
      </c>
      <c r="D623" s="25">
        <f>IFERROR(__xludf.DUMMYFUNCTION("""COMPUTED_VALUE"""),40488.99861111111)</f>
        <v>40488.99861</v>
      </c>
      <c r="E623" s="22">
        <f>IFERROR(__xludf.DUMMYFUNCTION("""COMPUTED_VALUE"""),1.40307)</f>
        <v>1.40307</v>
      </c>
      <c r="F623" s="22">
        <f t="shared" si="11"/>
        <v>105.2825101</v>
      </c>
      <c r="G623" s="22">
        <f t="shared" si="79"/>
        <v>-6.351324806</v>
      </c>
      <c r="H623" s="22">
        <f t="shared" si="80"/>
        <v>-8.226848948</v>
      </c>
    </row>
    <row r="624" ht="15.75" customHeight="1">
      <c r="A624" s="32">
        <f>IFERROR(__xludf.DUMMYFUNCTION("""COMPUTED_VALUE"""),40494.666666666664)</f>
        <v>40494.66667</v>
      </c>
      <c r="B624" s="22">
        <f>IFERROR(__xludf.DUMMYFUNCTION("""COMPUTED_VALUE"""),1199.21)</f>
        <v>1199.21</v>
      </c>
      <c r="C624" s="22">
        <f t="shared" si="10"/>
        <v>1521.649259</v>
      </c>
      <c r="D624" s="25">
        <f>IFERROR(__xludf.DUMMYFUNCTION("""COMPUTED_VALUE"""),40495.99861111111)</f>
        <v>40495.99861</v>
      </c>
      <c r="E624" s="22">
        <f>IFERROR(__xludf.DUMMYFUNCTION("""COMPUTED_VALUE"""),1.3687)</f>
        <v>1.3687</v>
      </c>
      <c r="F624" s="22">
        <f t="shared" si="11"/>
        <v>105.6223743</v>
      </c>
      <c r="G624" s="22">
        <f t="shared" si="79"/>
        <v>-6.67100718</v>
      </c>
      <c r="H624" s="22">
        <f t="shared" si="80"/>
        <v>-8.66209752</v>
      </c>
    </row>
    <row r="625" ht="15.75" customHeight="1">
      <c r="A625" s="32">
        <f>IFERROR(__xludf.DUMMYFUNCTION("""COMPUTED_VALUE"""),40501.666666666664)</f>
        <v>40501.66667</v>
      </c>
      <c r="B625" s="22">
        <f>IFERROR(__xludf.DUMMYFUNCTION("""COMPUTED_VALUE"""),1199.73)</f>
        <v>1199.73</v>
      </c>
      <c r="C625" s="22">
        <f t="shared" si="10"/>
        <v>1522.894325</v>
      </c>
      <c r="D625" s="25">
        <f>IFERROR(__xludf.DUMMYFUNCTION("""COMPUTED_VALUE"""),40502.99861111111)</f>
        <v>40502.99861</v>
      </c>
      <c r="E625" s="22">
        <f>IFERROR(__xludf.DUMMYFUNCTION("""COMPUTED_VALUE"""),1.36867)</f>
        <v>1.36867</v>
      </c>
      <c r="F625" s="22">
        <f t="shared" si="11"/>
        <v>105.7111151</v>
      </c>
      <c r="G625" s="22">
        <f t="shared" si="79"/>
        <v>-4.38077354</v>
      </c>
      <c r="H625" s="22">
        <f t="shared" si="80"/>
        <v>-10.47205185</v>
      </c>
    </row>
    <row r="626" ht="15.75" customHeight="1">
      <c r="A626" s="32">
        <f>IFERROR(__xludf.DUMMYFUNCTION("""COMPUTED_VALUE"""),40508.666666666664)</f>
        <v>40508.66667</v>
      </c>
      <c r="B626" s="22">
        <f>IFERROR(__xludf.DUMMYFUNCTION("""COMPUTED_VALUE"""),1189.4)</f>
        <v>1189.4</v>
      </c>
      <c r="C626" s="22">
        <f t="shared" si="10"/>
        <v>1510.367521</v>
      </c>
      <c r="D626" s="25">
        <f>IFERROR(__xludf.DUMMYFUNCTION("""COMPUTED_VALUE"""),40509.99861111111)</f>
        <v>40509.99861</v>
      </c>
      <c r="E626" s="22">
        <f>IFERROR(__xludf.DUMMYFUNCTION("""COMPUTED_VALUE"""),1.3244)</f>
        <v>1.3244</v>
      </c>
      <c r="F626" s="22">
        <f t="shared" si="11"/>
        <v>108.3460543</v>
      </c>
      <c r="G626" s="22">
        <f t="shared" si="79"/>
        <v>-5.384925178</v>
      </c>
      <c r="H626" s="22">
        <f t="shared" si="80"/>
        <v>-8.132324081</v>
      </c>
    </row>
    <row r="627" ht="15.75" customHeight="1">
      <c r="A627" s="32">
        <f>IFERROR(__xludf.DUMMYFUNCTION("""COMPUTED_VALUE"""),40515.666666666664)</f>
        <v>40515.66667</v>
      </c>
      <c r="B627" s="22">
        <f>IFERROR(__xludf.DUMMYFUNCTION("""COMPUTED_VALUE"""),1224.71)</f>
        <v>1224.71</v>
      </c>
      <c r="C627" s="22">
        <f t="shared" si="10"/>
        <v>1555.78707</v>
      </c>
      <c r="D627" s="25">
        <f>IFERROR(__xludf.DUMMYFUNCTION("""COMPUTED_VALUE"""),40516.99861111111)</f>
        <v>40516.99861</v>
      </c>
      <c r="E627" s="22">
        <f>IFERROR(__xludf.DUMMYFUNCTION("""COMPUTED_VALUE"""),1.3364)</f>
        <v>1.3364</v>
      </c>
      <c r="F627" s="22">
        <f t="shared" si="11"/>
        <v>110.6020878</v>
      </c>
      <c r="G627" s="22">
        <f t="shared" si="79"/>
        <v>-5.186929288</v>
      </c>
      <c r="H627" s="22">
        <f t="shared" si="80"/>
        <v>-4.986131602</v>
      </c>
    </row>
    <row r="628" ht="15.75" customHeight="1">
      <c r="A628" s="32">
        <f>IFERROR(__xludf.DUMMYFUNCTION("""COMPUTED_VALUE"""),40522.666666666664)</f>
        <v>40522.66667</v>
      </c>
      <c r="B628" s="22">
        <f>IFERROR(__xludf.DUMMYFUNCTION("""COMPUTED_VALUE"""),1240.4)</f>
        <v>1240.4</v>
      </c>
      <c r="C628" s="22">
        <f t="shared" si="10"/>
        <v>1576.316943</v>
      </c>
      <c r="D628" s="25">
        <f>IFERROR(__xludf.DUMMYFUNCTION("""COMPUTED_VALUE"""),40523.99861111111)</f>
        <v>40523.99861</v>
      </c>
      <c r="E628" s="22">
        <f>IFERROR(__xludf.DUMMYFUNCTION("""COMPUTED_VALUE"""),1.3233)</f>
        <v>1.3233</v>
      </c>
      <c r="F628" s="22">
        <f t="shared" si="11"/>
        <v>113.1709249</v>
      </c>
      <c r="G628" s="22">
        <f t="shared" si="79"/>
        <v>-2.191397398</v>
      </c>
      <c r="H628" s="22">
        <f t="shared" si="80"/>
        <v>-1.815747263</v>
      </c>
    </row>
    <row r="629" ht="15.75" customHeight="1">
      <c r="A629" s="32">
        <f>IFERROR(__xludf.DUMMYFUNCTION("""COMPUTED_VALUE"""),40529.666666666664)</f>
        <v>40529.66667</v>
      </c>
      <c r="B629" s="22">
        <f>IFERROR(__xludf.DUMMYFUNCTION("""COMPUTED_VALUE"""),1243.91)</f>
        <v>1243.91</v>
      </c>
      <c r="C629" s="22">
        <f t="shared" si="10"/>
        <v>1581.383774</v>
      </c>
      <c r="D629" s="25">
        <f>IFERROR(__xludf.DUMMYFUNCTION("""COMPUTED_VALUE"""),40530.99861111111)</f>
        <v>40530.99861</v>
      </c>
      <c r="E629" s="22">
        <f>IFERROR(__xludf.DUMMYFUNCTION("""COMPUTED_VALUE"""),1.3187)</f>
        <v>1.3187</v>
      </c>
      <c r="F629" s="22">
        <f t="shared" si="11"/>
        <v>113.9307368</v>
      </c>
      <c r="G629" s="22">
        <f t="shared" si="79"/>
        <v>-2.963776986</v>
      </c>
      <c r="H629" s="22">
        <f t="shared" si="80"/>
        <v>-2.449335542</v>
      </c>
    </row>
    <row r="630" ht="15.75" customHeight="1">
      <c r="A630" s="32">
        <f>IFERROR(__xludf.DUMMYFUNCTION("""COMPUTED_VALUE"""),40535.666666666664)</f>
        <v>40535.66667</v>
      </c>
      <c r="B630" s="22">
        <f>IFERROR(__xludf.DUMMYFUNCTION("""COMPUTED_VALUE"""),1256.77)</f>
        <v>1256.77</v>
      </c>
      <c r="C630" s="22">
        <f t="shared" si="10"/>
        <v>1598.340927</v>
      </c>
      <c r="D630" s="25">
        <f>IFERROR(__xludf.DUMMYFUNCTION("""COMPUTED_VALUE"""),40537.99861111111)</f>
        <v>40537.99861</v>
      </c>
      <c r="E630" s="22">
        <f>IFERROR(__xludf.DUMMYFUNCTION("""COMPUTED_VALUE"""),1.312)</f>
        <v>1.312</v>
      </c>
      <c r="F630" s="22">
        <f t="shared" si="11"/>
        <v>115.740464</v>
      </c>
      <c r="G630" s="22">
        <f t="shared" si="79"/>
        <v>1.221660335</v>
      </c>
      <c r="H630" s="22">
        <f t="shared" si="80"/>
        <v>0.2793909403</v>
      </c>
    </row>
    <row r="631" ht="15.75" customHeight="1">
      <c r="A631" s="32">
        <f>IFERROR(__xludf.DUMMYFUNCTION("""COMPUTED_VALUE"""),40543.666666666664)</f>
        <v>40543.66667</v>
      </c>
      <c r="B631" s="22">
        <f>IFERROR(__xludf.DUMMYFUNCTION("""COMPUTED_VALUE"""),1257.64)</f>
        <v>1257.64</v>
      </c>
      <c r="C631" s="22">
        <f t="shared" si="10"/>
        <v>1600.062126</v>
      </c>
      <c r="D631" s="25">
        <f>IFERROR(__xludf.DUMMYFUNCTION("""COMPUTED_VALUE"""),40544.99861111111)</f>
        <v>40544.99861</v>
      </c>
      <c r="E631" s="22">
        <f>IFERROR(__xludf.DUMMYFUNCTION("""COMPUTED_VALUE"""),1.3386)</f>
        <v>1.3386</v>
      </c>
      <c r="F631" s="22">
        <f t="shared" si="11"/>
        <v>113.5626867</v>
      </c>
      <c r="G631" s="22">
        <f t="shared" si="79"/>
        <v>4.155896955</v>
      </c>
      <c r="H631" s="22">
        <f t="shared" si="80"/>
        <v>-1.837956093</v>
      </c>
    </row>
    <row r="632" ht="15.75" customHeight="1">
      <c r="A632" s="32">
        <f>IFERROR(__xludf.DUMMYFUNCTION("""COMPUTED_VALUE"""),40550.666666666664)</f>
        <v>40550.66667</v>
      </c>
      <c r="B632" s="22">
        <f>IFERROR(__xludf.DUMMYFUNCTION("""COMPUTED_VALUE"""),1271.5)</f>
        <v>1271.5</v>
      </c>
      <c r="C632" s="22">
        <f t="shared" si="10"/>
        <v>1618.311246</v>
      </c>
      <c r="D632" s="25">
        <f>IFERROR(__xludf.DUMMYFUNCTION("""COMPUTED_VALUE"""),40551.99861111111)</f>
        <v>40551.99861</v>
      </c>
      <c r="E632" s="22">
        <f>IFERROR(__xludf.DUMMYFUNCTION("""COMPUTED_VALUE"""),1.2913)</f>
        <v>1.2913</v>
      </c>
      <c r="F632" s="22">
        <f t="shared" si="11"/>
        <v>119.0651148</v>
      </c>
      <c r="G632" s="22">
        <f t="shared" si="79"/>
        <v>10.33768956</v>
      </c>
      <c r="H632" s="22">
        <f t="shared" si="80"/>
        <v>2.410371031</v>
      </c>
    </row>
    <row r="633" ht="15.75" customHeight="1">
      <c r="A633" s="32">
        <f>IFERROR(__xludf.DUMMYFUNCTION("""COMPUTED_VALUE"""),40557.666666666664)</f>
        <v>40557.66667</v>
      </c>
      <c r="B633" s="22">
        <f>IFERROR(__xludf.DUMMYFUNCTION("""COMPUTED_VALUE"""),1293.24)</f>
        <v>1293.24</v>
      </c>
      <c r="C633" s="22">
        <f t="shared" si="10"/>
        <v>1646.603423</v>
      </c>
      <c r="D633" s="25">
        <f>IFERROR(__xludf.DUMMYFUNCTION("""COMPUTED_VALUE"""),40558.99861111111)</f>
        <v>40558.99861</v>
      </c>
      <c r="E633" s="22">
        <f>IFERROR(__xludf.DUMMYFUNCTION("""COMPUTED_VALUE"""),1.3324)</f>
        <v>1.3324</v>
      </c>
      <c r="F633" s="22">
        <f t="shared" si="11"/>
        <v>117.4097123</v>
      </c>
      <c r="G633" s="22">
        <f t="shared" si="79"/>
        <v>13.66843135</v>
      </c>
      <c r="H633" s="22">
        <f t="shared" si="80"/>
        <v>3.198635598</v>
      </c>
    </row>
    <row r="634" ht="15.75" customHeight="1">
      <c r="A634" s="32">
        <f>IFERROR(__xludf.DUMMYFUNCTION("""COMPUTED_VALUE"""),40564.666666666664)</f>
        <v>40564.66667</v>
      </c>
      <c r="B634" s="22">
        <f>IFERROR(__xludf.DUMMYFUNCTION("""COMPUTED_VALUE"""),1283.35)</f>
        <v>1283.35</v>
      </c>
      <c r="C634" s="22">
        <f t="shared" si="10"/>
        <v>1634.6444</v>
      </c>
      <c r="D634" s="25">
        <f>IFERROR(__xludf.DUMMYFUNCTION("""COMPUTED_VALUE"""),40565.99861111111)</f>
        <v>40565.99861</v>
      </c>
      <c r="E634" s="22">
        <f>IFERROR(__xludf.DUMMYFUNCTION("""COMPUTED_VALUE"""),1.3577)</f>
        <v>1.3577</v>
      </c>
      <c r="F634" s="22">
        <f t="shared" si="11"/>
        <v>114.385008</v>
      </c>
      <c r="G634" s="22">
        <f t="shared" si="79"/>
        <v>10.65414364</v>
      </c>
      <c r="H634" s="22">
        <f t="shared" si="80"/>
        <v>-1.563845146</v>
      </c>
    </row>
    <row r="635" ht="15.75" customHeight="1">
      <c r="A635" s="32">
        <f>IFERROR(__xludf.DUMMYFUNCTION("""COMPUTED_VALUE"""),40571.666666666664)</f>
        <v>40571.66667</v>
      </c>
      <c r="B635" s="22">
        <f>IFERROR(__xludf.DUMMYFUNCTION("""COMPUTED_VALUE"""),1276.34)</f>
        <v>1276.34</v>
      </c>
      <c r="C635" s="22">
        <f t="shared" si="10"/>
        <v>1626.344246</v>
      </c>
      <c r="D635" s="25">
        <f>IFERROR(__xludf.DUMMYFUNCTION("""COMPUTED_VALUE"""),40572.99861111111)</f>
        <v>40572.99861</v>
      </c>
      <c r="E635" s="22">
        <f>IFERROR(__xludf.DUMMYFUNCTION("""COMPUTED_VALUE"""),1.3604)</f>
        <v>1.3604</v>
      </c>
      <c r="F635" s="22">
        <f t="shared" si="11"/>
        <v>113.5783324</v>
      </c>
      <c r="G635" s="22">
        <f t="shared" si="79"/>
        <v>5.689023126</v>
      </c>
      <c r="H635" s="22">
        <f t="shared" si="80"/>
        <v>-1.364890237</v>
      </c>
    </row>
    <row r="636" ht="15.75" customHeight="1">
      <c r="A636" s="32">
        <f>IFERROR(__xludf.DUMMYFUNCTION("""COMPUTED_VALUE"""),40578.666666666664)</f>
        <v>40578.66667</v>
      </c>
      <c r="B636" s="22">
        <f>IFERROR(__xludf.DUMMYFUNCTION("""COMPUTED_VALUE"""),1310.87)</f>
        <v>1310.87</v>
      </c>
      <c r="C636" s="22">
        <f t="shared" si="10"/>
        <v>1670.968749</v>
      </c>
      <c r="D636" s="25">
        <f>IFERROR(__xludf.DUMMYFUNCTION("""COMPUTED_VALUE"""),40579.99861111111)</f>
        <v>40579.99861</v>
      </c>
      <c r="E636" s="22">
        <f>IFERROR(__xludf.DUMMYFUNCTION("""COMPUTED_VALUE"""),1.358)</f>
        <v>1.358</v>
      </c>
      <c r="F636" s="22">
        <f t="shared" si="11"/>
        <v>116.9009907</v>
      </c>
      <c r="G636" s="22">
        <f t="shared" si="79"/>
        <v>11.64981991</v>
      </c>
      <c r="H636" s="22">
        <f t="shared" si="80"/>
        <v>1.581396028</v>
      </c>
    </row>
    <row r="637" ht="15.75" customHeight="1">
      <c r="A637" s="32">
        <f>IFERROR(__xludf.DUMMYFUNCTION("""COMPUTED_VALUE"""),40585.666666666664)</f>
        <v>40585.66667</v>
      </c>
      <c r="B637" s="22">
        <f>IFERROR(__xludf.DUMMYFUNCTION("""COMPUTED_VALUE"""),1329.15)</f>
        <v>1329.15</v>
      </c>
      <c r="C637" s="22">
        <f t="shared" si="10"/>
        <v>1694.912984</v>
      </c>
      <c r="D637" s="25">
        <f>IFERROR(__xludf.DUMMYFUNCTION("""COMPUTED_VALUE"""),40586.99861111111)</f>
        <v>40586.99861</v>
      </c>
      <c r="E637" s="22">
        <f>IFERROR(__xludf.DUMMYFUNCTION("""COMPUTED_VALUE"""),1.3546)</f>
        <v>1.3546</v>
      </c>
      <c r="F637" s="22">
        <f t="shared" si="11"/>
        <v>118.8737517</v>
      </c>
      <c r="G637" s="22">
        <f t="shared" si="79"/>
        <v>13.22319158</v>
      </c>
      <c r="H637" s="22">
        <f t="shared" si="80"/>
        <v>0.4611850321</v>
      </c>
    </row>
    <row r="638" ht="15.75" customHeight="1">
      <c r="A638" s="32">
        <f>IFERROR(__xludf.DUMMYFUNCTION("""COMPUTED_VALUE"""),40592.666666666664)</f>
        <v>40592.66667</v>
      </c>
      <c r="B638" s="22">
        <f>IFERROR(__xludf.DUMMYFUNCTION("""COMPUTED_VALUE"""),1343.01)</f>
        <v>1343.01</v>
      </c>
      <c r="C638" s="22">
        <f t="shared" si="10"/>
        <v>1713.238947</v>
      </c>
      <c r="D638" s="25">
        <f>IFERROR(__xludf.DUMMYFUNCTION("""COMPUTED_VALUE"""),40593.99861111111)</f>
        <v>40593.99861</v>
      </c>
      <c r="E638" s="22">
        <f>IFERROR(__xludf.DUMMYFUNCTION("""COMPUTED_VALUE"""),1.367)</f>
        <v>1.367</v>
      </c>
      <c r="F638" s="22">
        <f t="shared" si="11"/>
        <v>119.0690964</v>
      </c>
      <c r="G638" s="22">
        <f t="shared" si="79"/>
        <v>14.29167629</v>
      </c>
      <c r="H638" s="22">
        <f t="shared" si="80"/>
        <v>-0.02106617745</v>
      </c>
    </row>
    <row r="639" ht="15.75" customHeight="1">
      <c r="A639" s="32">
        <f>IFERROR(__xludf.DUMMYFUNCTION("""COMPUTED_VALUE"""),40599.666666666664)</f>
        <v>40599.66667</v>
      </c>
      <c r="B639" s="22">
        <f>IFERROR(__xludf.DUMMYFUNCTION("""COMPUTED_VALUE"""),1319.88)</f>
        <v>1319.88</v>
      </c>
      <c r="C639" s="22">
        <f t="shared" si="10"/>
        <v>1684.391614</v>
      </c>
      <c r="D639" s="25">
        <f>IFERROR(__xludf.DUMMYFUNCTION("""COMPUTED_VALUE"""),40600.99861111111)</f>
        <v>40600.99861</v>
      </c>
      <c r="E639" s="22">
        <f>IFERROR(__xludf.DUMMYFUNCTION("""COMPUTED_VALUE"""),1.3747)</f>
        <v>1.3747</v>
      </c>
      <c r="F639" s="22">
        <f t="shared" si="11"/>
        <v>116.4085211</v>
      </c>
      <c r="G639" s="22">
        <f t="shared" si="79"/>
        <v>16.2551861</v>
      </c>
      <c r="H639" s="22">
        <f t="shared" si="80"/>
        <v>-0.7655620891</v>
      </c>
    </row>
    <row r="640" ht="15.75" customHeight="1">
      <c r="A640" s="32">
        <f>IFERROR(__xludf.DUMMYFUNCTION("""COMPUTED_VALUE"""),40606.666666666664)</f>
        <v>40606.66667</v>
      </c>
      <c r="B640" s="22">
        <f>IFERROR(__xludf.DUMMYFUNCTION("""COMPUTED_VALUE"""),1321.15)</f>
        <v>1321.15</v>
      </c>
      <c r="C640" s="22">
        <f t="shared" si="10"/>
        <v>1686.660193</v>
      </c>
      <c r="D640" s="25">
        <f>IFERROR(__xludf.DUMMYFUNCTION("""COMPUTED_VALUE"""),40607.99861111111)</f>
        <v>40607.99861</v>
      </c>
      <c r="E640" s="22">
        <f>IFERROR(__xludf.DUMMYFUNCTION("""COMPUTED_VALUE"""),1.3984)</f>
        <v>1.3984</v>
      </c>
      <c r="F640" s="22">
        <f t="shared" si="11"/>
        <v>114.5897611</v>
      </c>
      <c r="G640" s="22">
        <f t="shared" si="79"/>
        <v>19.046443</v>
      </c>
      <c r="H640" s="22">
        <f t="shared" si="80"/>
        <v>-2.990523274</v>
      </c>
    </row>
    <row r="641" ht="15.75" customHeight="1">
      <c r="A641" s="32">
        <f>IFERROR(__xludf.DUMMYFUNCTION("""COMPUTED_VALUE"""),40613.666666666664)</f>
        <v>40613.66667</v>
      </c>
      <c r="B641" s="22">
        <f>IFERROR(__xludf.DUMMYFUNCTION("""COMPUTED_VALUE"""),1304.28)</f>
        <v>1304.28</v>
      </c>
      <c r="C641" s="22">
        <f t="shared" si="10"/>
        <v>1665.771644</v>
      </c>
      <c r="D641" s="25">
        <f>IFERROR(__xludf.DUMMYFUNCTION("""COMPUTED_VALUE"""),40614.99861111111)</f>
        <v>40614.99861</v>
      </c>
      <c r="E641" s="22">
        <f>IFERROR(__xludf.DUMMYFUNCTION("""COMPUTED_VALUE"""),1.3861)</f>
        <v>1.3861</v>
      </c>
      <c r="F641" s="22">
        <f t="shared" si="11"/>
        <v>114.1748725</v>
      </c>
      <c r="G641" s="22">
        <f t="shared" si="79"/>
        <v>21.09882567</v>
      </c>
      <c r="H641" s="22">
        <f t="shared" si="80"/>
        <v>-3.032108533</v>
      </c>
    </row>
    <row r="642" ht="15.75" customHeight="1">
      <c r="A642" s="32">
        <f>IFERROR(__xludf.DUMMYFUNCTION("""COMPUTED_VALUE"""),40620.666666666664)</f>
        <v>40620.66667</v>
      </c>
      <c r="B642" s="22">
        <f>IFERROR(__xludf.DUMMYFUNCTION("""COMPUTED_VALUE"""),1279.2)</f>
        <v>1279.2</v>
      </c>
      <c r="C642" s="22">
        <f t="shared" si="10"/>
        <v>1634.381202</v>
      </c>
      <c r="D642" s="25">
        <f>IFERROR(__xludf.DUMMYFUNCTION("""COMPUTED_VALUE"""),40621.99861111111)</f>
        <v>40621.99861</v>
      </c>
      <c r="E642" s="22">
        <f>IFERROR(__xludf.DUMMYFUNCTION("""COMPUTED_VALUE"""),1.41814)</f>
        <v>1.41814</v>
      </c>
      <c r="F642" s="22">
        <f t="shared" si="11"/>
        <v>109.4923774</v>
      </c>
      <c r="G642" s="22">
        <f t="shared" si="79"/>
        <v>13.06756447</v>
      </c>
      <c r="H642" s="22">
        <f t="shared" si="80"/>
        <v>-7.939274354</v>
      </c>
    </row>
    <row r="643" ht="15.75" customHeight="1">
      <c r="A643" s="32">
        <f>IFERROR(__xludf.DUMMYFUNCTION("""COMPUTED_VALUE"""),40627.666666666664)</f>
        <v>40627.66667</v>
      </c>
      <c r="B643" s="22">
        <f>IFERROR(__xludf.DUMMYFUNCTION("""COMPUTED_VALUE"""),1313.8)</f>
        <v>1313.8</v>
      </c>
      <c r="C643" s="22">
        <f t="shared" si="10"/>
        <v>1679.216807</v>
      </c>
      <c r="D643" s="25">
        <f>IFERROR(__xludf.DUMMYFUNCTION("""COMPUTED_VALUE"""),40628.99861111111)</f>
        <v>40628.99861</v>
      </c>
      <c r="E643" s="22">
        <f>IFERROR(__xludf.DUMMYFUNCTION("""COMPUTED_VALUE"""),1.4087)</f>
        <v>1.4087</v>
      </c>
      <c r="F643" s="22">
        <f t="shared" si="11"/>
        <v>113.2499168</v>
      </c>
      <c r="G643" s="22">
        <f t="shared" si="79"/>
        <v>18.63181858</v>
      </c>
      <c r="H643" s="22">
        <f t="shared" si="80"/>
        <v>-3.59101148</v>
      </c>
    </row>
    <row r="644" ht="15.75" customHeight="1">
      <c r="A644" s="32">
        <f>IFERROR(__xludf.DUMMYFUNCTION("""COMPUTED_VALUE"""),40634.666666666664)</f>
        <v>40634.66667</v>
      </c>
      <c r="B644" s="22">
        <f>IFERROR(__xludf.DUMMYFUNCTION("""COMPUTED_VALUE"""),1332.41)</f>
        <v>1332.41</v>
      </c>
      <c r="C644" s="22">
        <f t="shared" si="10"/>
        <v>1703.648795</v>
      </c>
      <c r="D644" s="25">
        <f>IFERROR(__xludf.DUMMYFUNCTION("""COMPUTED_VALUE"""),40635.99861111111)</f>
        <v>40635.99861</v>
      </c>
      <c r="E644" s="22">
        <f>IFERROR(__xludf.DUMMYFUNCTION("""COMPUTED_VALUE"""),1.4238)</f>
        <v>1.4238</v>
      </c>
      <c r="F644" s="22">
        <f t="shared" si="11"/>
        <v>113.6791233</v>
      </c>
      <c r="G644" s="22">
        <f t="shared" si="79"/>
        <v>14.07033293</v>
      </c>
      <c r="H644" s="22">
        <f t="shared" si="80"/>
        <v>-3.424615724</v>
      </c>
    </row>
    <row r="645" ht="15.75" customHeight="1">
      <c r="A645" s="32">
        <f>IFERROR(__xludf.DUMMYFUNCTION("""COMPUTED_VALUE"""),40641.666666666664)</f>
        <v>40641.66667</v>
      </c>
      <c r="B645" s="22">
        <f>IFERROR(__xludf.DUMMYFUNCTION("""COMPUTED_VALUE"""),1328.17)</f>
        <v>1328.17</v>
      </c>
      <c r="C645" s="22">
        <f t="shared" si="10"/>
        <v>1698.882687</v>
      </c>
      <c r="D645" s="25">
        <f>IFERROR(__xludf.DUMMYFUNCTION("""COMPUTED_VALUE"""),40642.99861111111)</f>
        <v>40642.99861</v>
      </c>
      <c r="E645" s="22">
        <f>IFERROR(__xludf.DUMMYFUNCTION("""COMPUTED_VALUE"""),1.4434)</f>
        <v>1.4434</v>
      </c>
      <c r="F645" s="22">
        <f t="shared" si="11"/>
        <v>111.82176</v>
      </c>
      <c r="G645" s="22">
        <f t="shared" si="79"/>
        <v>15.97632546</v>
      </c>
      <c r="H645" s="22">
        <f t="shared" si="80"/>
        <v>-3.084685678</v>
      </c>
    </row>
    <row r="646" ht="15.75" customHeight="1">
      <c r="A646" s="32">
        <f>IFERROR(__xludf.DUMMYFUNCTION("""COMPUTED_VALUE"""),40648.666666666664)</f>
        <v>40648.66667</v>
      </c>
      <c r="B646" s="22">
        <f>IFERROR(__xludf.DUMMYFUNCTION("""COMPUTED_VALUE"""),1319.68)</f>
        <v>1319.68</v>
      </c>
      <c r="C646" s="22">
        <f t="shared" si="10"/>
        <v>1688.676414</v>
      </c>
      <c r="D646" s="25">
        <f>IFERROR(__xludf.DUMMYFUNCTION("""COMPUTED_VALUE"""),40649.99861111111)</f>
        <v>40649.99861</v>
      </c>
      <c r="E646" s="22">
        <f>IFERROR(__xludf.DUMMYFUNCTION("""COMPUTED_VALUE"""),1.4428)</f>
        <v>1.4428</v>
      </c>
      <c r="F646" s="22">
        <f t="shared" si="11"/>
        <v>111.1961979</v>
      </c>
      <c r="G646" s="22">
        <f t="shared" si="79"/>
        <v>9.902402006</v>
      </c>
      <c r="H646" s="22">
        <f t="shared" si="80"/>
        <v>-4.884207418</v>
      </c>
    </row>
    <row r="647" ht="15.75" customHeight="1">
      <c r="A647" s="32">
        <f>IFERROR(__xludf.DUMMYFUNCTION("""COMPUTED_VALUE"""),40654.666666666664)</f>
        <v>40654.66667</v>
      </c>
      <c r="B647" s="22">
        <f>IFERROR(__xludf.DUMMYFUNCTION("""COMPUTED_VALUE"""),1337.38)</f>
        <v>1337.38</v>
      </c>
      <c r="C647" s="22">
        <f t="shared" si="10"/>
        <v>1711.975011</v>
      </c>
      <c r="D647" s="25">
        <f>IFERROR(__xludf.DUMMYFUNCTION("""COMPUTED_VALUE"""),40656.99861111111)</f>
        <v>40656.99861</v>
      </c>
      <c r="E647" s="22">
        <f>IFERROR(__xludf.DUMMYFUNCTION("""COMPUTED_VALUE"""),1.456)</f>
        <v>1.456</v>
      </c>
      <c r="F647" s="22">
        <f t="shared" si="11"/>
        <v>111.7083611</v>
      </c>
      <c r="G647" s="22">
        <f t="shared" si="79"/>
        <v>9.06868446</v>
      </c>
      <c r="H647" s="22">
        <f t="shared" si="80"/>
        <v>-2.149066299</v>
      </c>
    </row>
    <row r="648" ht="15.75" customHeight="1">
      <c r="A648" s="32">
        <f>IFERROR(__xludf.DUMMYFUNCTION("""COMPUTED_VALUE"""),40662.666666666664)</f>
        <v>40662.66667</v>
      </c>
      <c r="B648" s="22">
        <f>IFERROR(__xludf.DUMMYFUNCTION("""COMPUTED_VALUE"""),1363.61)</f>
        <v>1363.61</v>
      </c>
      <c r="C648" s="22">
        <f t="shared" si="10"/>
        <v>1746.210385</v>
      </c>
      <c r="D648" s="25">
        <f>IFERROR(__xludf.DUMMYFUNCTION("""COMPUTED_VALUE"""),40663.99861111111)</f>
        <v>40663.99861</v>
      </c>
      <c r="E648" s="22">
        <f>IFERROR(__xludf.DUMMYFUNCTION("""COMPUTED_VALUE"""),1.4817)</f>
        <v>1.4817</v>
      </c>
      <c r="F648" s="22">
        <f t="shared" si="11"/>
        <v>111.9659372</v>
      </c>
      <c r="G648" s="22">
        <f t="shared" si="79"/>
        <v>6.634280638</v>
      </c>
      <c r="H648" s="22">
        <f t="shared" si="80"/>
        <v>-2.390583999</v>
      </c>
    </row>
    <row r="649" ht="15.75" customHeight="1">
      <c r="A649" s="32">
        <f>IFERROR(__xludf.DUMMYFUNCTION("""COMPUTED_VALUE"""),40669.666666666664)</f>
        <v>40669.66667</v>
      </c>
      <c r="B649" s="22">
        <f>IFERROR(__xludf.DUMMYFUNCTION("""COMPUTED_VALUE"""),1340.2)</f>
        <v>1340.2</v>
      </c>
      <c r="C649" s="22">
        <f t="shared" si="10"/>
        <v>1716.903649</v>
      </c>
      <c r="D649" s="25">
        <f>IFERROR(__xludf.DUMMYFUNCTION("""COMPUTED_VALUE"""),40670.99861111111)</f>
        <v>40670.99861</v>
      </c>
      <c r="E649" s="22">
        <f>IFERROR(__xludf.DUMMYFUNCTION("""COMPUTED_VALUE"""),1.4492)</f>
        <v>1.4492</v>
      </c>
      <c r="F649" s="22">
        <f t="shared" si="11"/>
        <v>112.5556324</v>
      </c>
      <c r="G649" s="22">
        <f t="shared" si="79"/>
        <v>9.541661139</v>
      </c>
      <c r="H649" s="22">
        <f t="shared" si="80"/>
        <v>2.226709686</v>
      </c>
    </row>
    <row r="650" ht="15.75" customHeight="1">
      <c r="A650" s="32">
        <f>IFERROR(__xludf.DUMMYFUNCTION("""COMPUTED_VALUE"""),40676.666666666664)</f>
        <v>40676.66667</v>
      </c>
      <c r="B650" s="22">
        <f>IFERROR(__xludf.DUMMYFUNCTION("""COMPUTED_VALUE"""),1337.77)</f>
        <v>1337.77</v>
      </c>
      <c r="C650" s="22">
        <f t="shared" si="10"/>
        <v>1714.450972</v>
      </c>
      <c r="D650" s="25">
        <f>IFERROR(__xludf.DUMMYFUNCTION("""COMPUTED_VALUE"""),40677.99861111111)</f>
        <v>40677.99861</v>
      </c>
      <c r="E650" s="22">
        <f>IFERROR(__xludf.DUMMYFUNCTION("""COMPUTED_VALUE"""),1.4117)</f>
        <v>1.4117</v>
      </c>
      <c r="F650" s="22">
        <f t="shared" si="11"/>
        <v>115.3804662</v>
      </c>
      <c r="G650" s="22">
        <f t="shared" si="79"/>
        <v>9.957805906</v>
      </c>
      <c r="H650" s="22">
        <f t="shared" si="80"/>
        <v>5.496409009</v>
      </c>
    </row>
    <row r="651" ht="15.75" customHeight="1">
      <c r="A651" s="32">
        <f>IFERROR(__xludf.DUMMYFUNCTION("""COMPUTED_VALUE"""),40683.666666666664)</f>
        <v>40683.66667</v>
      </c>
      <c r="B651" s="22">
        <f>IFERROR(__xludf.DUMMYFUNCTION("""COMPUTED_VALUE"""),1333.27)</f>
        <v>1333.27</v>
      </c>
      <c r="C651" s="22">
        <f t="shared" si="10"/>
        <v>1709.343294</v>
      </c>
      <c r="D651" s="25">
        <f>IFERROR(__xludf.DUMMYFUNCTION("""COMPUTED_VALUE"""),40684.99861111111)</f>
        <v>40684.99861</v>
      </c>
      <c r="E651" s="22">
        <f>IFERROR(__xludf.DUMMYFUNCTION("""COMPUTED_VALUE"""),1.417)</f>
        <v>1.417</v>
      </c>
      <c r="F651" s="22">
        <f t="shared" si="11"/>
        <v>114.6064542</v>
      </c>
      <c r="G651" s="22">
        <f t="shared" si="79"/>
        <v>14.57937577</v>
      </c>
      <c r="H651" s="22">
        <f t="shared" si="80"/>
        <v>3.43077692</v>
      </c>
    </row>
    <row r="652" ht="15.75" customHeight="1">
      <c r="A652" s="32">
        <f>IFERROR(__xludf.DUMMYFUNCTION("""COMPUTED_VALUE"""),40690.666666666664)</f>
        <v>40690.66667</v>
      </c>
      <c r="B652" s="22">
        <f>IFERROR(__xludf.DUMMYFUNCTION("""COMPUTED_VALUE"""),1331.1)</f>
        <v>1331.1</v>
      </c>
      <c r="C652" s="22">
        <f t="shared" si="10"/>
        <v>1707.218645</v>
      </c>
      <c r="D652" s="25">
        <f>IFERROR(__xludf.DUMMYFUNCTION("""COMPUTED_VALUE"""),40691.99861111111)</f>
        <v>40691.99861</v>
      </c>
      <c r="E652" s="22">
        <f>IFERROR(__xludf.DUMMYFUNCTION("""COMPUTED_VALUE"""),1.4284)</f>
        <v>1.4284</v>
      </c>
      <c r="F652" s="22">
        <f t="shared" si="11"/>
        <v>113.5504704</v>
      </c>
      <c r="G652" s="22">
        <f t="shared" si="79"/>
        <v>9.803518106</v>
      </c>
      <c r="H652" s="22">
        <f t="shared" si="80"/>
        <v>3.260732563</v>
      </c>
    </row>
    <row r="653" ht="15.75" customHeight="1">
      <c r="A653" s="32">
        <f>IFERROR(__xludf.DUMMYFUNCTION("""COMPUTED_VALUE"""),40697.666666666664)</f>
        <v>40697.66667</v>
      </c>
      <c r="B653" s="22">
        <f>IFERROR(__xludf.DUMMYFUNCTION("""COMPUTED_VALUE"""),1300.16)</f>
        <v>1300.16</v>
      </c>
      <c r="C653" s="22">
        <f t="shared" si="10"/>
        <v>1668.192791</v>
      </c>
      <c r="D653" s="25">
        <f>IFERROR(__xludf.DUMMYFUNCTION("""COMPUTED_VALUE"""),40698.99861111111)</f>
        <v>40698.99861</v>
      </c>
      <c r="E653" s="22">
        <f>IFERROR(__xludf.DUMMYFUNCTION("""COMPUTED_VALUE"""),1.463)</f>
        <v>1.463</v>
      </c>
      <c r="F653" s="22">
        <f t="shared" si="11"/>
        <v>108.3306996</v>
      </c>
      <c r="G653" s="22">
        <f t="shared" si="79"/>
        <v>9.420387044</v>
      </c>
      <c r="H653" s="22">
        <f t="shared" si="80"/>
        <v>-0.8807539264</v>
      </c>
    </row>
    <row r="654" ht="15.75" customHeight="1">
      <c r="A654" s="32">
        <f>IFERROR(__xludf.DUMMYFUNCTION("""COMPUTED_VALUE"""),40704.666666666664)</f>
        <v>40704.66667</v>
      </c>
      <c r="B654" s="22">
        <f>IFERROR(__xludf.DUMMYFUNCTION("""COMPUTED_VALUE"""),1270.98)</f>
        <v>1270.98</v>
      </c>
      <c r="C654" s="22">
        <f t="shared" si="10"/>
        <v>1631.3945</v>
      </c>
      <c r="D654" s="25">
        <f>IFERROR(__xludf.DUMMYFUNCTION("""COMPUTED_VALUE"""),40705.99861111111)</f>
        <v>40705.99861</v>
      </c>
      <c r="E654" s="22">
        <f>IFERROR(__xludf.DUMMYFUNCTION("""COMPUTED_VALUE"""),1.4363)</f>
        <v>1.4363</v>
      </c>
      <c r="F654" s="22">
        <f t="shared" si="11"/>
        <v>107.910441</v>
      </c>
      <c r="G654" s="22">
        <f t="shared" si="79"/>
        <v>6.249287398</v>
      </c>
      <c r="H654" s="22">
        <f t="shared" si="80"/>
        <v>-1.243327194</v>
      </c>
    </row>
    <row r="655" ht="15.75" customHeight="1">
      <c r="A655" s="32">
        <f>IFERROR(__xludf.DUMMYFUNCTION("""COMPUTED_VALUE"""),40711.666666666664)</f>
        <v>40711.66667</v>
      </c>
      <c r="B655" s="22">
        <f>IFERROR(__xludf.DUMMYFUNCTION("""COMPUTED_VALUE"""),1271.5)</f>
        <v>1271.5</v>
      </c>
      <c r="C655" s="22">
        <f t="shared" si="10"/>
        <v>1632.689417</v>
      </c>
      <c r="D655" s="25">
        <f>IFERROR(__xludf.DUMMYFUNCTION("""COMPUTED_VALUE"""),40712.99861111111)</f>
        <v>40712.99861</v>
      </c>
      <c r="E655" s="22">
        <f>IFERROR(__xludf.DUMMYFUNCTION("""COMPUTED_VALUE"""),1.4324)</f>
        <v>1.4324</v>
      </c>
      <c r="F655" s="22">
        <f t="shared" si="11"/>
        <v>108.290136</v>
      </c>
      <c r="G655" s="22">
        <f t="shared" si="79"/>
        <v>11.73057692</v>
      </c>
      <c r="H655" s="22">
        <f t="shared" si="80"/>
        <v>-1.398553066</v>
      </c>
    </row>
    <row r="656" ht="15.75" customHeight="1">
      <c r="A656" s="32">
        <f>IFERROR(__xludf.DUMMYFUNCTION("""COMPUTED_VALUE"""),40718.666666666664)</f>
        <v>40718.66667</v>
      </c>
      <c r="B656" s="22">
        <f>IFERROR(__xludf.DUMMYFUNCTION("""COMPUTED_VALUE"""),1268.45)</f>
        <v>1268.45</v>
      </c>
      <c r="C656" s="22">
        <f t="shared" si="10"/>
        <v>1629.400974</v>
      </c>
      <c r="D656" s="25">
        <f>IFERROR(__xludf.DUMMYFUNCTION("""COMPUTED_VALUE"""),40719.99861111111)</f>
        <v>40719.99861</v>
      </c>
      <c r="E656" s="22">
        <f>IFERROR(__xludf.DUMMYFUNCTION("""COMPUTED_VALUE"""),1.4186)</f>
        <v>1.4186</v>
      </c>
      <c r="F656" s="22">
        <f t="shared" si="11"/>
        <v>109.12334</v>
      </c>
      <c r="G656" s="22">
        <f t="shared" si="79"/>
        <v>16.95591542</v>
      </c>
      <c r="H656" s="22">
        <f t="shared" si="80"/>
        <v>-0.4929439948</v>
      </c>
    </row>
    <row r="657" ht="15.75" customHeight="1">
      <c r="A657" s="32">
        <f>IFERROR(__xludf.DUMMYFUNCTION("""COMPUTED_VALUE"""),40725.666666666664)</f>
        <v>40725.66667</v>
      </c>
      <c r="B657" s="22">
        <f>IFERROR(__xludf.DUMMYFUNCTION("""COMPUTED_VALUE"""),1339.67)</f>
        <v>1339.67</v>
      </c>
      <c r="C657" s="22">
        <f t="shared" si="10"/>
        <v>1721.514077</v>
      </c>
      <c r="D657" s="25">
        <f>IFERROR(__xludf.DUMMYFUNCTION("""COMPUTED_VALUE"""),40726.99861111111)</f>
        <v>40726.99861</v>
      </c>
      <c r="E657" s="22">
        <f>IFERROR(__xludf.DUMMYFUNCTION("""COMPUTED_VALUE"""),1.4505)</f>
        <v>1.4505</v>
      </c>
      <c r="F657" s="22">
        <f t="shared" si="11"/>
        <v>112.7567317</v>
      </c>
      <c r="G657" s="22">
        <f t="shared" si="79"/>
        <v>21.98095812</v>
      </c>
      <c r="H657" s="22">
        <f t="shared" si="80"/>
        <v>3.389783279</v>
      </c>
    </row>
    <row r="658" ht="15.75" customHeight="1">
      <c r="A658" s="32">
        <f>IFERROR(__xludf.DUMMYFUNCTION("""COMPUTED_VALUE"""),40732.666666666664)</f>
        <v>40732.66667</v>
      </c>
      <c r="B658" s="22">
        <f>IFERROR(__xludf.DUMMYFUNCTION("""COMPUTED_VALUE"""),1343.8)</f>
        <v>1343.8</v>
      </c>
      <c r="C658" s="22">
        <f t="shared" si="10"/>
        <v>1727.483365</v>
      </c>
      <c r="D658" s="25">
        <f>IFERROR(__xludf.DUMMYFUNCTION("""COMPUTED_VALUE"""),40733.99861111111)</f>
        <v>40733.99861</v>
      </c>
      <c r="E658" s="22">
        <f>IFERROR(__xludf.DUMMYFUNCTION("""COMPUTED_VALUE"""),1.4263)</f>
        <v>1.4263</v>
      </c>
      <c r="F658" s="22">
        <f t="shared" si="11"/>
        <v>115.0674863</v>
      </c>
      <c r="G658" s="22">
        <f t="shared" si="79"/>
        <v>28.66269212</v>
      </c>
      <c r="H658" s="22">
        <f t="shared" si="80"/>
        <v>6.541617165</v>
      </c>
    </row>
    <row r="659" ht="15.75" customHeight="1">
      <c r="A659" s="32">
        <f>IFERROR(__xludf.DUMMYFUNCTION("""COMPUTED_VALUE"""),40739.666666666664)</f>
        <v>40739.66667</v>
      </c>
      <c r="B659" s="22">
        <f>IFERROR(__xludf.DUMMYFUNCTION("""COMPUTED_VALUE"""),1316.14)</f>
        <v>1316.14</v>
      </c>
      <c r="C659" s="22">
        <f t="shared" si="10"/>
        <v>1692.590266</v>
      </c>
      <c r="D659" s="25">
        <f>IFERROR(__xludf.DUMMYFUNCTION("""COMPUTED_VALUE"""),40740.99861111111)</f>
        <v>40740.99861</v>
      </c>
      <c r="E659" s="22">
        <f>IFERROR(__xludf.DUMMYFUNCTION("""COMPUTED_VALUE"""),1.4154)</f>
        <v>1.4154</v>
      </c>
      <c r="F659" s="22">
        <f t="shared" si="11"/>
        <v>113.6114968</v>
      </c>
      <c r="G659" s="22">
        <f t="shared" si="79"/>
        <v>24.15515561</v>
      </c>
      <c r="H659" s="22">
        <f t="shared" si="80"/>
        <v>5.171016463</v>
      </c>
    </row>
    <row r="660" ht="15.75" customHeight="1">
      <c r="A660" s="32">
        <f>IFERROR(__xludf.DUMMYFUNCTION("""COMPUTED_VALUE"""),40746.666666666664)</f>
        <v>40746.66667</v>
      </c>
      <c r="B660" s="22">
        <f>IFERROR(__xludf.DUMMYFUNCTION("""COMPUTED_VALUE"""),1345.02)</f>
        <v>1345.02</v>
      </c>
      <c r="C660" s="22">
        <f t="shared" si="10"/>
        <v>1730.381693</v>
      </c>
      <c r="D660" s="25">
        <f>IFERROR(__xludf.DUMMYFUNCTION("""COMPUTED_VALUE"""),40747.99861111111)</f>
        <v>40747.99861</v>
      </c>
      <c r="E660" s="22">
        <f>IFERROR(__xludf.DUMMYFUNCTION("""COMPUTED_VALUE"""),1.4363)</f>
        <v>1.4363</v>
      </c>
      <c r="F660" s="22">
        <f t="shared" si="11"/>
        <v>114.4580613</v>
      </c>
      <c r="G660" s="22">
        <f t="shared" si="79"/>
        <v>23.89141165</v>
      </c>
      <c r="H660" s="22">
        <f t="shared" si="80"/>
        <v>3.166632</v>
      </c>
    </row>
    <row r="661" ht="15.75" customHeight="1">
      <c r="A661" s="32">
        <f>IFERROR(__xludf.DUMMYFUNCTION("""COMPUTED_VALUE"""),40753.666666666664)</f>
        <v>40753.66667</v>
      </c>
      <c r="B661" s="22">
        <f>IFERROR(__xludf.DUMMYFUNCTION("""COMPUTED_VALUE"""),1292.28)</f>
        <v>1292.28</v>
      </c>
      <c r="C661" s="22">
        <f t="shared" si="10"/>
        <v>1663.196687</v>
      </c>
      <c r="D661" s="25">
        <f>IFERROR(__xludf.DUMMYFUNCTION("""COMPUTED_VALUE"""),40754.99861111111)</f>
        <v>40754.99861</v>
      </c>
      <c r="E661" s="22">
        <f>IFERROR(__xludf.DUMMYFUNCTION("""COMPUTED_VALUE"""),1.4384)</f>
        <v>1.4384</v>
      </c>
      <c r="F661" s="22">
        <f t="shared" si="11"/>
        <v>109.8534172</v>
      </c>
      <c r="G661" s="22">
        <f t="shared" si="79"/>
        <v>17.81878279</v>
      </c>
      <c r="H661" s="22">
        <f t="shared" si="80"/>
        <v>-0.09880587615</v>
      </c>
    </row>
    <row r="662" ht="15.75" customHeight="1">
      <c r="A662" s="32">
        <f>IFERROR(__xludf.DUMMYFUNCTION("""COMPUTED_VALUE"""),40760.666666666664)</f>
        <v>40760.66667</v>
      </c>
      <c r="B662" s="22">
        <f>IFERROR(__xludf.DUMMYFUNCTION("""COMPUTED_VALUE"""),1199.38)</f>
        <v>1199.38</v>
      </c>
      <c r="C662" s="22">
        <f t="shared" si="10"/>
        <v>1544.271754</v>
      </c>
      <c r="D662" s="25">
        <f>IFERROR(__xludf.DUMMYFUNCTION("""COMPUTED_VALUE"""),40761.99861111111)</f>
        <v>40761.99861</v>
      </c>
      <c r="E662" s="22">
        <f>IFERROR(__xludf.DUMMYFUNCTION("""COMPUTED_VALUE"""),1.4155)</f>
        <v>1.4155</v>
      </c>
      <c r="F662" s="22">
        <f t="shared" si="11"/>
        <v>103.6486114</v>
      </c>
      <c r="G662" s="22">
        <f t="shared" si="79"/>
        <v>4.426401074</v>
      </c>
      <c r="H662" s="22">
        <f t="shared" si="80"/>
        <v>-6.014852234</v>
      </c>
    </row>
    <row r="663" ht="15.75" customHeight="1">
      <c r="A663" s="32">
        <f>IFERROR(__xludf.DUMMYFUNCTION("""COMPUTED_VALUE"""),40767.666666666664)</f>
        <v>40767.66667</v>
      </c>
      <c r="B663" s="22">
        <f>IFERROR(__xludf.DUMMYFUNCTION("""COMPUTED_VALUE"""),1178.81)</f>
        <v>1178.81</v>
      </c>
      <c r="C663" s="22">
        <f t="shared" si="10"/>
        <v>1518.380629</v>
      </c>
      <c r="D663" s="25">
        <f>IFERROR(__xludf.DUMMYFUNCTION("""COMPUTED_VALUE"""),40767.99861111111)</f>
        <v>40767.99861</v>
      </c>
      <c r="E663" s="22">
        <f>IFERROR(__xludf.DUMMYFUNCTION("""COMPUTED_VALUE"""),1.4249)</f>
        <v>1.4249</v>
      </c>
      <c r="F663" s="22">
        <f t="shared" si="11"/>
        <v>101.2385467</v>
      </c>
      <c r="G663" s="22">
        <f t="shared" si="79"/>
        <v>-0.5638221534</v>
      </c>
      <c r="H663" s="22">
        <f t="shared" si="80"/>
        <v>-9.876654923</v>
      </c>
    </row>
    <row r="664" ht="15.75" customHeight="1">
      <c r="A664" s="32">
        <f>IFERROR(__xludf.DUMMYFUNCTION("""COMPUTED_VALUE"""),40774.666666666664)</f>
        <v>40774.66667</v>
      </c>
      <c r="B664" s="22">
        <f>IFERROR(__xludf.DUMMYFUNCTION("""COMPUTED_VALUE"""),1123.53)</f>
        <v>1123.53</v>
      </c>
      <c r="C664" s="22">
        <f t="shared" si="10"/>
        <v>1447.760542</v>
      </c>
      <c r="D664" s="25">
        <f>IFERROR(__xludf.DUMMYFUNCTION("""COMPUTED_VALUE"""),40775.99861111111)</f>
        <v>40775.99861</v>
      </c>
      <c r="E664" s="22">
        <f>IFERROR(__xludf.DUMMYFUNCTION("""COMPUTED_VALUE"""),1.4406)</f>
        <v>1.4406</v>
      </c>
      <c r="F664" s="22">
        <f t="shared" si="11"/>
        <v>95.47792226</v>
      </c>
      <c r="G664" s="22">
        <f t="shared" si="79"/>
        <v>-5.143466749</v>
      </c>
      <c r="H664" s="22">
        <f t="shared" si="80"/>
        <v>-15.11710788</v>
      </c>
    </row>
    <row r="665" ht="15.75" customHeight="1">
      <c r="A665" s="32">
        <f>IFERROR(__xludf.DUMMYFUNCTION("""COMPUTED_VALUE"""),40781.666666666664)</f>
        <v>40781.66667</v>
      </c>
      <c r="B665" s="22">
        <f>IFERROR(__xludf.DUMMYFUNCTION("""COMPUTED_VALUE"""),1176.8)</f>
        <v>1176.8</v>
      </c>
      <c r="C665" s="22">
        <f t="shared" si="10"/>
        <v>1516.960136</v>
      </c>
      <c r="D665" s="25">
        <f>IFERROR(__xludf.DUMMYFUNCTION("""COMPUTED_VALUE"""),40782.99861111111)</f>
        <v>40782.99861</v>
      </c>
      <c r="E665" s="22">
        <f>IFERROR(__xludf.DUMMYFUNCTION("""COMPUTED_VALUE"""),1.4461)</f>
        <v>1.4461</v>
      </c>
      <c r="F665" s="22">
        <f t="shared" si="11"/>
        <v>99.66105407</v>
      </c>
      <c r="G665" s="22">
        <f t="shared" si="79"/>
        <v>-1.212380093</v>
      </c>
      <c r="H665" s="22">
        <f t="shared" si="80"/>
        <v>-11.95848877</v>
      </c>
    </row>
    <row r="666" ht="15.75" customHeight="1">
      <c r="A666" s="32">
        <f>IFERROR(__xludf.DUMMYFUNCTION("""COMPUTED_VALUE"""),40788.666666666664)</f>
        <v>40788.66667</v>
      </c>
      <c r="B666" s="22">
        <f>IFERROR(__xludf.DUMMYFUNCTION("""COMPUTED_VALUE"""),1173.97)</f>
        <v>1173.97</v>
      </c>
      <c r="C666" s="22">
        <f t="shared" si="10"/>
        <v>1513.895557</v>
      </c>
      <c r="D666" s="25">
        <f>IFERROR(__xludf.DUMMYFUNCTION("""COMPUTED_VALUE"""),40789.99861111111)</f>
        <v>40789.99861</v>
      </c>
      <c r="E666" s="22">
        <f>IFERROR(__xludf.DUMMYFUNCTION("""COMPUTED_VALUE"""),1.4191)</f>
        <v>1.4191</v>
      </c>
      <c r="F666" s="22">
        <f t="shared" si="11"/>
        <v>101.3520525</v>
      </c>
      <c r="G666" s="22">
        <f t="shared" si="79"/>
        <v>0.899204238</v>
      </c>
      <c r="H666" s="22">
        <f t="shared" si="80"/>
        <v>-10.79964706</v>
      </c>
    </row>
    <row r="667" ht="15.75" customHeight="1">
      <c r="A667" s="32">
        <f>IFERROR(__xludf.DUMMYFUNCTION("""COMPUTED_VALUE"""),40795.666666666664)</f>
        <v>40795.66667</v>
      </c>
      <c r="B667" s="22">
        <f>IFERROR(__xludf.DUMMYFUNCTION("""COMPUTED_VALUE"""),1154.23)</f>
        <v>1154.23</v>
      </c>
      <c r="C667" s="22">
        <f t="shared" si="10"/>
        <v>1489.022064</v>
      </c>
      <c r="D667" s="25">
        <f>IFERROR(__xludf.DUMMYFUNCTION("""COMPUTED_VALUE"""),40796.99861111111)</f>
        <v>40796.99861</v>
      </c>
      <c r="E667" s="22">
        <f>IFERROR(__xludf.DUMMYFUNCTION("""COMPUTED_VALUE"""),1.3654)</f>
        <v>1.3654</v>
      </c>
      <c r="F667" s="22">
        <f t="shared" si="11"/>
        <v>103.6074223</v>
      </c>
      <c r="G667" s="22">
        <f t="shared" si="79"/>
        <v>2.0304571</v>
      </c>
      <c r="H667" s="22">
        <f t="shared" si="80"/>
        <v>-10.48713556</v>
      </c>
    </row>
    <row r="668" ht="15.75" customHeight="1">
      <c r="A668" s="32">
        <f>IFERROR(__xludf.DUMMYFUNCTION("""COMPUTED_VALUE"""),40802.666666666664)</f>
        <v>40802.66667</v>
      </c>
      <c r="B668" s="22">
        <f>IFERROR(__xludf.DUMMYFUNCTION("""COMPUTED_VALUE"""),1216.01)</f>
        <v>1216.01</v>
      </c>
      <c r="C668" s="22">
        <f t="shared" si="10"/>
        <v>1569.294464</v>
      </c>
      <c r="D668" s="25">
        <f>IFERROR(__xludf.DUMMYFUNCTION("""COMPUTED_VALUE"""),40803.99861111111)</f>
        <v>40803.99861</v>
      </c>
      <c r="E668" s="22">
        <f>IFERROR(__xludf.DUMMYFUNCTION("""COMPUTED_VALUE"""),1.3787)</f>
        <v>1.3787</v>
      </c>
      <c r="F668" s="22">
        <f t="shared" si="11"/>
        <v>108.139486</v>
      </c>
      <c r="G668" s="22">
        <f t="shared" si="79"/>
        <v>7.88981346</v>
      </c>
      <c r="H668" s="22">
        <f t="shared" si="80"/>
        <v>-5.274834079</v>
      </c>
    </row>
    <row r="669" ht="15.75" customHeight="1">
      <c r="A669" s="32">
        <f>IFERROR(__xludf.DUMMYFUNCTION("""COMPUTED_VALUE"""),40809.666666666664)</f>
        <v>40809.66667</v>
      </c>
      <c r="B669" s="22">
        <f>IFERROR(__xludf.DUMMYFUNCTION("""COMPUTED_VALUE"""),1136.43)</f>
        <v>1136.43</v>
      </c>
      <c r="C669" s="22">
        <f t="shared" si="10"/>
        <v>1467.197852</v>
      </c>
      <c r="D669" s="25">
        <f>IFERROR(__xludf.DUMMYFUNCTION("""COMPUTED_VALUE"""),40810.99861111111)</f>
        <v>40810.99861</v>
      </c>
      <c r="E669" s="22">
        <f>IFERROR(__xludf.DUMMYFUNCTION("""COMPUTED_VALUE"""),1.3513)</f>
        <v>1.3513</v>
      </c>
      <c r="F669" s="22">
        <f t="shared" si="11"/>
        <v>103.1541108</v>
      </c>
      <c r="G669" s="22">
        <f t="shared" si="79"/>
        <v>7.362313571</v>
      </c>
      <c r="H669" s="22">
        <f t="shared" si="80"/>
        <v>-11.91476163</v>
      </c>
    </row>
    <row r="670" ht="15.75" customHeight="1">
      <c r="A670" s="32">
        <f>IFERROR(__xludf.DUMMYFUNCTION("""COMPUTED_VALUE"""),40816.666666666664)</f>
        <v>40816.66667</v>
      </c>
      <c r="B670" s="22">
        <f>IFERROR(__xludf.DUMMYFUNCTION("""COMPUTED_VALUE"""),1131.42)</f>
        <v>1131.42</v>
      </c>
      <c r="C670" s="22">
        <f t="shared" si="10"/>
        <v>1461.293955</v>
      </c>
      <c r="D670" s="25">
        <f>IFERROR(__xludf.DUMMYFUNCTION("""COMPUTED_VALUE"""),40817.99861111111)</f>
        <v>40817.99861</v>
      </c>
      <c r="E670" s="22">
        <f>IFERROR(__xludf.DUMMYFUNCTION("""COMPUTED_VALUE"""),1.339)</f>
        <v>1.339</v>
      </c>
      <c r="F670" s="22">
        <f t="shared" si="11"/>
        <v>103.6827827</v>
      </c>
      <c r="G670" s="22">
        <f t="shared" si="79"/>
        <v>12.47034246</v>
      </c>
      <c r="H670" s="22">
        <f t="shared" si="80"/>
        <v>-12.79877094</v>
      </c>
    </row>
    <row r="671" ht="15.75" customHeight="1">
      <c r="A671" s="32">
        <f>IFERROR(__xludf.DUMMYFUNCTION("""COMPUTED_VALUE"""),40823.666666666664)</f>
        <v>40823.66667</v>
      </c>
      <c r="B671" s="22">
        <f>IFERROR(__xludf.DUMMYFUNCTION("""COMPUTED_VALUE"""),1155.46)</f>
        <v>1155.46</v>
      </c>
      <c r="C671" s="22">
        <f t="shared" si="10"/>
        <v>1492.905033</v>
      </c>
      <c r="D671" s="25">
        <f>IFERROR(__xludf.DUMMYFUNCTION("""COMPUTED_VALUE"""),40824.99861111111)</f>
        <v>40824.99861</v>
      </c>
      <c r="E671" s="22">
        <f>IFERROR(__xludf.DUMMYFUNCTION("""COMPUTED_VALUE"""),1.3386)</f>
        <v>1.3386</v>
      </c>
      <c r="F671" s="22">
        <f t="shared" si="11"/>
        <v>105.9573274</v>
      </c>
      <c r="G671" s="22">
        <f t="shared" si="79"/>
        <v>36.51281932</v>
      </c>
      <c r="H671" s="22">
        <f t="shared" si="80"/>
        <v>-12.45498987</v>
      </c>
    </row>
    <row r="672" ht="15.75" customHeight="1">
      <c r="A672" s="32">
        <f>IFERROR(__xludf.DUMMYFUNCTION("""COMPUTED_VALUE"""),40830.666666666664)</f>
        <v>40830.66667</v>
      </c>
      <c r="B672" s="22">
        <f>IFERROR(__xludf.DUMMYFUNCTION("""COMPUTED_VALUE"""),1224.58)</f>
        <v>1224.58</v>
      </c>
      <c r="C672" s="22">
        <f t="shared" si="10"/>
        <v>1582.785301</v>
      </c>
      <c r="D672" s="25">
        <f>IFERROR(__xludf.DUMMYFUNCTION("""COMPUTED_VALUE"""),40831.99861111111)</f>
        <v>40831.99861</v>
      </c>
      <c r="E672" s="22">
        <f>IFERROR(__xludf.DUMMYFUNCTION("""COMPUTED_VALUE"""),1.3858)</f>
        <v>1.3858</v>
      </c>
      <c r="F672" s="22">
        <f t="shared" si="11"/>
        <v>108.5103303</v>
      </c>
      <c r="G672" s="22">
        <f t="shared" si="79"/>
        <v>33.73936091</v>
      </c>
      <c r="H672" s="22">
        <f t="shared" si="80"/>
        <v>-10.00425527</v>
      </c>
    </row>
    <row r="673" ht="15.75" customHeight="1">
      <c r="A673" s="32">
        <f>IFERROR(__xludf.DUMMYFUNCTION("""COMPUTED_VALUE"""),40837.666666666664)</f>
        <v>40837.66667</v>
      </c>
      <c r="B673" s="22">
        <f>IFERROR(__xludf.DUMMYFUNCTION("""COMPUTED_VALUE"""),1238.25)</f>
        <v>1238.25</v>
      </c>
      <c r="C673" s="22">
        <f t="shared" si="10"/>
        <v>1601.062714</v>
      </c>
      <c r="D673" s="25">
        <f>IFERROR(__xludf.DUMMYFUNCTION("""COMPUTED_VALUE"""),40838.99861111111)</f>
        <v>40838.99861</v>
      </c>
      <c r="E673" s="22">
        <f>IFERROR(__xludf.DUMMYFUNCTION("""COMPUTED_VALUE"""),1.3872)</f>
        <v>1.3872</v>
      </c>
      <c r="F673" s="22">
        <f t="shared" si="11"/>
        <v>109.6525908</v>
      </c>
      <c r="G673" s="22">
        <f t="shared" si="79"/>
        <v>36.43339251</v>
      </c>
      <c r="H673" s="22">
        <f t="shared" si="80"/>
        <v>-8.751647908</v>
      </c>
    </row>
    <row r="674" ht="15.75" customHeight="1">
      <c r="A674" s="32">
        <f>IFERROR(__xludf.DUMMYFUNCTION("""COMPUTED_VALUE"""),40844.666666666664)</f>
        <v>40844.66667</v>
      </c>
      <c r="B674" s="22">
        <f>IFERROR(__xludf.DUMMYFUNCTION("""COMPUTED_VALUE"""),1285.08)</f>
        <v>1285.08</v>
      </c>
      <c r="C674" s="22">
        <f t="shared" si="10"/>
        <v>1662.229904</v>
      </c>
      <c r="D674" s="25">
        <f>IFERROR(__xludf.DUMMYFUNCTION("""COMPUTED_VALUE"""),40845.99861111111)</f>
        <v>40845.99861</v>
      </c>
      <c r="E674" s="22">
        <f>IFERROR(__xludf.DUMMYFUNCTION("""COMPUTED_VALUE"""),1.4145)</f>
        <v>1.4145</v>
      </c>
      <c r="F674" s="22">
        <f t="shared" si="11"/>
        <v>111.6446132</v>
      </c>
      <c r="G674" s="22">
        <f t="shared" si="79"/>
        <v>26.38585586</v>
      </c>
      <c r="H674" s="22">
        <f t="shared" si="80"/>
        <v>-6.396934998</v>
      </c>
    </row>
    <row r="675" ht="15.75" customHeight="1">
      <c r="A675" s="32">
        <f>IFERROR(__xludf.DUMMYFUNCTION("""COMPUTED_VALUE"""),40851.666666666664)</f>
        <v>40851.66667</v>
      </c>
      <c r="B675" s="22">
        <f>IFERROR(__xludf.DUMMYFUNCTION("""COMPUTED_VALUE"""),1253.23)</f>
        <v>1253.23</v>
      </c>
      <c r="C675" s="22">
        <f t="shared" si="10"/>
        <v>1621.671771</v>
      </c>
      <c r="D675" s="25">
        <f>IFERROR(__xludf.DUMMYFUNCTION("""COMPUTED_VALUE"""),40852.99861111111)</f>
        <v>40852.99861</v>
      </c>
      <c r="E675" s="22">
        <f>IFERROR(__xludf.DUMMYFUNCTION("""COMPUTED_VALUE"""),1.3746)</f>
        <v>1.3746</v>
      </c>
      <c r="F675" s="22">
        <f t="shared" si="11"/>
        <v>112.0820979</v>
      </c>
      <c r="G675" s="22">
        <f t="shared" si="79"/>
        <v>32.14081291</v>
      </c>
      <c r="H675" s="22">
        <f t="shared" si="80"/>
        <v>-6.231815568</v>
      </c>
    </row>
    <row r="676" ht="15.75" customHeight="1">
      <c r="A676" s="32">
        <f>IFERROR(__xludf.DUMMYFUNCTION("""COMPUTED_VALUE"""),40858.666666666664)</f>
        <v>40858.66667</v>
      </c>
      <c r="B676" s="22">
        <f>IFERROR(__xludf.DUMMYFUNCTION("""COMPUTED_VALUE"""),1263.85)</f>
        <v>1263.85</v>
      </c>
      <c r="C676" s="22">
        <f t="shared" si="10"/>
        <v>1636.037704</v>
      </c>
      <c r="D676" s="25">
        <f>IFERROR(__xludf.DUMMYFUNCTION("""COMPUTED_VALUE"""),40859.99861111111)</f>
        <v>40859.99861</v>
      </c>
      <c r="E676" s="22">
        <f>IFERROR(__xludf.DUMMYFUNCTION("""COMPUTED_VALUE"""),1.3778)</f>
        <v>1.3778</v>
      </c>
      <c r="F676" s="22">
        <f t="shared" si="11"/>
        <v>112.81238</v>
      </c>
      <c r="G676" s="22">
        <f t="shared" si="79"/>
        <v>40.43773006</v>
      </c>
      <c r="H676" s="22">
        <f t="shared" si="80"/>
        <v>-7.05236936</v>
      </c>
    </row>
    <row r="677" ht="15.75" customHeight="1">
      <c r="A677" s="32">
        <f>IFERROR(__xludf.DUMMYFUNCTION("""COMPUTED_VALUE"""),40865.666666666664)</f>
        <v>40865.66667</v>
      </c>
      <c r="B677" s="22">
        <f>IFERROR(__xludf.DUMMYFUNCTION("""COMPUTED_VALUE"""),1215.65)</f>
        <v>1215.65</v>
      </c>
      <c r="C677" s="22">
        <f t="shared" si="10"/>
        <v>1574.272664</v>
      </c>
      <c r="D677" s="25">
        <f>IFERROR(__xludf.DUMMYFUNCTION("""COMPUTED_VALUE"""),40866.99861111111)</f>
        <v>40866.99861</v>
      </c>
      <c r="E677" s="22">
        <f>IFERROR(__xludf.DUMMYFUNCTION("""COMPUTED_VALUE"""),1.3518)</f>
        <v>1.3518</v>
      </c>
      <c r="F677" s="22">
        <f t="shared" si="11"/>
        <v>110.6412685</v>
      </c>
      <c r="G677" s="22">
        <f t="shared" si="79"/>
        <v>50.17706503</v>
      </c>
      <c r="H677" s="22">
        <f t="shared" si="80"/>
        <v>-7.206877473</v>
      </c>
    </row>
    <row r="678" ht="15.75" customHeight="1">
      <c r="A678" s="32">
        <f>IFERROR(__xludf.DUMMYFUNCTION("""COMPUTED_VALUE"""),40872.666666666664)</f>
        <v>40872.66667</v>
      </c>
      <c r="B678" s="22">
        <f>IFERROR(__xludf.DUMMYFUNCTION("""COMPUTED_VALUE"""),1158.67)</f>
        <v>1158.67</v>
      </c>
      <c r="C678" s="22">
        <f t="shared" si="10"/>
        <v>1501.088776</v>
      </c>
      <c r="D678" s="25">
        <f>IFERROR(__xludf.DUMMYFUNCTION("""COMPUTED_VALUE"""),40873.99861111111)</f>
        <v>40873.99861</v>
      </c>
      <c r="E678" s="22">
        <f>IFERROR(__xludf.DUMMYFUNCTION("""COMPUTED_VALUE"""),1.3241)</f>
        <v>1.3241</v>
      </c>
      <c r="F678" s="22">
        <f t="shared" si="11"/>
        <v>107.7048416</v>
      </c>
      <c r="G678" s="22">
        <f t="shared" si="79"/>
        <v>31.58310579</v>
      </c>
      <c r="H678" s="22">
        <f t="shared" si="80"/>
        <v>-7.671434011</v>
      </c>
    </row>
    <row r="679" ht="15.75" customHeight="1">
      <c r="A679" s="32">
        <f>IFERROR(__xludf.DUMMYFUNCTION("""COMPUTED_VALUE"""),40879.666666666664)</f>
        <v>40879.66667</v>
      </c>
      <c r="B679" s="22">
        <f>IFERROR(__xludf.DUMMYFUNCTION("""COMPUTED_VALUE"""),1244.28)</f>
        <v>1244.28</v>
      </c>
      <c r="C679" s="22">
        <f t="shared" si="10"/>
        <v>1612.576222</v>
      </c>
      <c r="D679" s="25">
        <f>IFERROR(__xludf.DUMMYFUNCTION("""COMPUTED_VALUE"""),40880.99861111111)</f>
        <v>40880.99861</v>
      </c>
      <c r="E679" s="22">
        <f>IFERROR(__xludf.DUMMYFUNCTION("""COMPUTED_VALUE"""),1.34042)</f>
        <v>1.34042</v>
      </c>
      <c r="F679" s="22">
        <f t="shared" si="11"/>
        <v>114.2954617</v>
      </c>
      <c r="G679" s="22">
        <f t="shared" si="79"/>
        <v>43.04103491</v>
      </c>
      <c r="H679" s="22">
        <f t="shared" si="80"/>
        <v>-2.541801921</v>
      </c>
    </row>
    <row r="680" ht="15.75" customHeight="1">
      <c r="A680" s="32">
        <f>IFERROR(__xludf.DUMMYFUNCTION("""COMPUTED_VALUE"""),40886.666666666664)</f>
        <v>40886.66667</v>
      </c>
      <c r="B680" s="22">
        <f>IFERROR(__xludf.DUMMYFUNCTION("""COMPUTED_VALUE"""),1255.19)</f>
        <v>1255.19</v>
      </c>
      <c r="C680" s="22">
        <f t="shared" si="10"/>
        <v>1627.33571</v>
      </c>
      <c r="D680" s="25">
        <f>IFERROR(__xludf.DUMMYFUNCTION("""COMPUTED_VALUE"""),40887.99861111111)</f>
        <v>40887.99861</v>
      </c>
      <c r="E680" s="22">
        <f>IFERROR(__xludf.DUMMYFUNCTION("""COMPUTED_VALUE"""),1.3365)</f>
        <v>1.3365</v>
      </c>
      <c r="F680" s="22">
        <f t="shared" si="11"/>
        <v>115.679879</v>
      </c>
      <c r="G680" s="22">
        <f t="shared" si="79"/>
        <v>51.29076296</v>
      </c>
      <c r="H680" s="22">
        <f t="shared" si="80"/>
        <v>-4.758200639</v>
      </c>
    </row>
    <row r="681" ht="15.75" customHeight="1">
      <c r="A681" s="32">
        <f>IFERROR(__xludf.DUMMYFUNCTION("""COMPUTED_VALUE"""),40893.666666666664)</f>
        <v>40893.66667</v>
      </c>
      <c r="B681" s="22">
        <f>IFERROR(__xludf.DUMMYFUNCTION("""COMPUTED_VALUE"""),1219.66)</f>
        <v>1219.66</v>
      </c>
      <c r="C681" s="22">
        <f t="shared" si="10"/>
        <v>1581.897477</v>
      </c>
      <c r="D681" s="25">
        <f>IFERROR(__xludf.DUMMYFUNCTION("""COMPUTED_VALUE"""),40894.99861111111)</f>
        <v>40894.99861</v>
      </c>
      <c r="E681" s="22">
        <f>IFERROR(__xludf.DUMMYFUNCTION("""COMPUTED_VALUE"""),1.3044)</f>
        <v>1.3044</v>
      </c>
      <c r="F681" s="22">
        <f t="shared" si="11"/>
        <v>115.2171629</v>
      </c>
      <c r="G681" s="22">
        <f t="shared" si="79"/>
        <v>55.6523412</v>
      </c>
      <c r="H681" s="22">
        <f t="shared" si="80"/>
        <v>-3.917276841</v>
      </c>
    </row>
    <row r="682" ht="15.75" customHeight="1">
      <c r="A682" s="32">
        <f>IFERROR(__xludf.DUMMYFUNCTION("""COMPUTED_VALUE"""),40900.666666666664)</f>
        <v>40900.66667</v>
      </c>
      <c r="B682" s="22">
        <f>IFERROR(__xludf.DUMMYFUNCTION("""COMPUTED_VALUE"""),1265.33)</f>
        <v>1265.33</v>
      </c>
      <c r="C682" s="22">
        <f t="shared" si="10"/>
        <v>1641.739831</v>
      </c>
      <c r="D682" s="25">
        <f>IFERROR(__xludf.DUMMYFUNCTION("""COMPUTED_VALUE"""),40901.99861111111)</f>
        <v>40901.99861</v>
      </c>
      <c r="E682" s="22">
        <f>IFERROR(__xludf.DUMMYFUNCTION("""COMPUTED_VALUE"""),1.3039)</f>
        <v>1.3039</v>
      </c>
      <c r="F682" s="22">
        <f t="shared" si="11"/>
        <v>119.6216211</v>
      </c>
      <c r="G682" s="22">
        <f t="shared" si="79"/>
        <v>65.53441985</v>
      </c>
      <c r="H682" s="22">
        <f t="shared" si="80"/>
        <v>-0.2302504361</v>
      </c>
    </row>
    <row r="683" ht="15.75" customHeight="1">
      <c r="A683" s="32">
        <f>IFERROR(__xludf.DUMMYFUNCTION("""COMPUTED_VALUE"""),40907.666666666664)</f>
        <v>40907.66667</v>
      </c>
      <c r="B683" s="22">
        <f>IFERROR(__xludf.DUMMYFUNCTION("""COMPUTED_VALUE"""),1257.6)</f>
        <v>1257.6</v>
      </c>
      <c r="C683" s="22">
        <f t="shared" si="10"/>
        <v>1632.341752</v>
      </c>
      <c r="D683" s="25">
        <f>IFERROR(__xludf.DUMMYFUNCTION("""COMPUTED_VALUE"""),40908.99861111111)</f>
        <v>40908.99861</v>
      </c>
      <c r="E683" s="22">
        <f>IFERROR(__xludf.DUMMYFUNCTION("""COMPUTED_VALUE"""),1.2957)</f>
        <v>1.2957</v>
      </c>
      <c r="F683" s="22">
        <f t="shared" si="11"/>
        <v>119.6895583</v>
      </c>
      <c r="G683" s="22">
        <f t="shared" si="79"/>
        <v>53.92401737</v>
      </c>
      <c r="H683" s="22">
        <f t="shared" si="80"/>
        <v>-1.209813337</v>
      </c>
    </row>
    <row r="684" ht="15.75" customHeight="1">
      <c r="A684" s="32">
        <f>IFERROR(__xludf.DUMMYFUNCTION("""COMPUTED_VALUE"""),40914.666666666664)</f>
        <v>40914.66667</v>
      </c>
      <c r="B684" s="22">
        <f>IFERROR(__xludf.DUMMYFUNCTION("""COMPUTED_VALUE"""),1277.81)</f>
        <v>1277.81</v>
      </c>
      <c r="C684" s="22">
        <f t="shared" si="10"/>
        <v>1659.201786</v>
      </c>
      <c r="D684" s="25">
        <f>IFERROR(__xludf.DUMMYFUNCTION("""COMPUTED_VALUE"""),40915.99861111111)</f>
        <v>40915.99861</v>
      </c>
      <c r="E684" s="22">
        <f>IFERROR(__xludf.DUMMYFUNCTION("""COMPUTED_VALUE"""),1.2722)</f>
        <v>1.2722</v>
      </c>
      <c r="F684" s="22">
        <f t="shared" si="11"/>
        <v>123.9063173</v>
      </c>
      <c r="G684" s="22">
        <f t="shared" si="79"/>
        <v>61.11677737</v>
      </c>
      <c r="H684" s="22">
        <f t="shared" si="80"/>
        <v>0.248860624</v>
      </c>
    </row>
    <row r="685" ht="15.75" customHeight="1">
      <c r="A685" s="32">
        <f>IFERROR(__xludf.DUMMYFUNCTION("""COMPUTED_VALUE"""),40921.666666666664)</f>
        <v>40921.66667</v>
      </c>
      <c r="B685" s="22">
        <f>IFERROR(__xludf.DUMMYFUNCTION("""COMPUTED_VALUE"""),1289.09)</f>
        <v>1289.09</v>
      </c>
      <c r="C685" s="22">
        <f t="shared" si="10"/>
        <v>1674.486716</v>
      </c>
      <c r="D685" s="25">
        <f>IFERROR(__xludf.DUMMYFUNCTION("""COMPUTED_VALUE"""),40922.99861111111)</f>
        <v>40922.99861</v>
      </c>
      <c r="E685" s="22">
        <f>IFERROR(__xludf.DUMMYFUNCTION("""COMPUTED_VALUE"""),1.268)</f>
        <v>1.268</v>
      </c>
      <c r="F685" s="22">
        <f t="shared" si="11"/>
        <v>125.4619655</v>
      </c>
      <c r="G685" s="22">
        <f t="shared" si="79"/>
        <v>68.69612408</v>
      </c>
      <c r="H685" s="22">
        <f t="shared" si="80"/>
        <v>1.759690451</v>
      </c>
    </row>
    <row r="686" ht="15.75" customHeight="1">
      <c r="A686" s="32">
        <f>IFERROR(__xludf.DUMMYFUNCTION("""COMPUTED_VALUE"""),40928.666666666664)</f>
        <v>40928.66667</v>
      </c>
      <c r="B686" s="22">
        <f>IFERROR(__xludf.DUMMYFUNCTION("""COMPUTED_VALUE"""),1315.38)</f>
        <v>1315.38</v>
      </c>
      <c r="C686" s="22">
        <f t="shared" si="10"/>
        <v>1709.280619</v>
      </c>
      <c r="D686" s="25">
        <f>IFERROR(__xludf.DUMMYFUNCTION("""COMPUTED_VALUE"""),40929.99861111111)</f>
        <v>40929.99861</v>
      </c>
      <c r="E686" s="22">
        <f>IFERROR(__xludf.DUMMYFUNCTION("""COMPUTED_VALUE"""),1.2946)</f>
        <v>1.2946</v>
      </c>
      <c r="F686" s="22">
        <f t="shared" si="11"/>
        <v>125.4375028</v>
      </c>
      <c r="G686" s="22">
        <f t="shared" si="79"/>
        <v>68.10412088</v>
      </c>
      <c r="H686" s="22">
        <f t="shared" si="80"/>
        <v>1.940140785</v>
      </c>
    </row>
    <row r="687" ht="15.75" customHeight="1">
      <c r="A687" s="32">
        <f>IFERROR(__xludf.DUMMYFUNCTION("""COMPUTED_VALUE"""),40935.666666666664)</f>
        <v>40935.66667</v>
      </c>
      <c r="B687" s="22">
        <f>IFERROR(__xludf.DUMMYFUNCTION("""COMPUTED_VALUE"""),1316.32)</f>
        <v>1316.32</v>
      </c>
      <c r="C687" s="22">
        <f t="shared" si="10"/>
        <v>1711.159525</v>
      </c>
      <c r="D687" s="25">
        <f>IFERROR(__xludf.DUMMYFUNCTION("""COMPUTED_VALUE"""),40936.99861111111)</f>
        <v>40936.99861</v>
      </c>
      <c r="E687" s="22">
        <f>IFERROR(__xludf.DUMMYFUNCTION("""COMPUTED_VALUE"""),1.319)</f>
        <v>1.319</v>
      </c>
      <c r="F687" s="22">
        <f t="shared" si="11"/>
        <v>123.2523866</v>
      </c>
      <c r="G687" s="22">
        <f t="shared" si="79"/>
        <v>64.63190985</v>
      </c>
      <c r="H687" s="22">
        <f t="shared" si="80"/>
        <v>-1.30458156</v>
      </c>
    </row>
    <row r="688" ht="15.75" customHeight="1">
      <c r="A688" s="32">
        <f>IFERROR(__xludf.DUMMYFUNCTION("""COMPUTED_VALUE"""),40942.666666666664)</f>
        <v>40942.66667</v>
      </c>
      <c r="B688" s="22">
        <f>IFERROR(__xludf.DUMMYFUNCTION("""COMPUTED_VALUE"""),1344.9)</f>
        <v>1344.9</v>
      </c>
      <c r="C688" s="22">
        <f t="shared" si="10"/>
        <v>1748.970437</v>
      </c>
      <c r="D688" s="25">
        <f>IFERROR(__xludf.DUMMYFUNCTION("""COMPUTED_VALUE"""),40943.99861111111)</f>
        <v>40943.99861</v>
      </c>
      <c r="E688" s="22">
        <f>IFERROR(__xludf.DUMMYFUNCTION("""COMPUTED_VALUE"""),1.3153)</f>
        <v>1.3153</v>
      </c>
      <c r="F688" s="22">
        <f t="shared" si="11"/>
        <v>126.3302287</v>
      </c>
      <c r="G688" s="22">
        <f t="shared" si="79"/>
        <v>61.49751192</v>
      </c>
      <c r="H688" s="22">
        <f t="shared" si="80"/>
        <v>2.193013175</v>
      </c>
    </row>
    <row r="689" ht="15.75" customHeight="1">
      <c r="A689" s="32">
        <f>IFERROR(__xludf.DUMMYFUNCTION("""COMPUTED_VALUE"""),40949.666666666664)</f>
        <v>40949.66667</v>
      </c>
      <c r="B689" s="22">
        <f>IFERROR(__xludf.DUMMYFUNCTION("""COMPUTED_VALUE"""),1342.64)</f>
        <v>1342.64</v>
      </c>
      <c r="C689" s="22">
        <f t="shared" si="10"/>
        <v>1746.704109</v>
      </c>
      <c r="D689" s="25">
        <f>IFERROR(__xludf.DUMMYFUNCTION("""COMPUTED_VALUE"""),40950.99861111111)</f>
        <v>40950.99861</v>
      </c>
      <c r="E689" s="22">
        <f>IFERROR(__xludf.DUMMYFUNCTION("""COMPUTED_VALUE"""),1.3195)</f>
        <v>1.3195</v>
      </c>
      <c r="F689" s="22">
        <f t="shared" si="11"/>
        <v>125.7649381</v>
      </c>
      <c r="G689" s="22">
        <f t="shared" si="79"/>
        <v>68.04276264</v>
      </c>
      <c r="H689" s="22">
        <f t="shared" si="80"/>
        <v>1.534309675</v>
      </c>
    </row>
    <row r="690" ht="15.75" customHeight="1">
      <c r="A690" s="32">
        <f>IFERROR(__xludf.DUMMYFUNCTION("""COMPUTED_VALUE"""),40956.666666666664)</f>
        <v>40956.66667</v>
      </c>
      <c r="B690" s="22">
        <f>IFERROR(__xludf.DUMMYFUNCTION("""COMPUTED_VALUE"""),1361.23)</f>
        <v>1361.23</v>
      </c>
      <c r="C690" s="22">
        <f t="shared" si="10"/>
        <v>1771.560531</v>
      </c>
      <c r="D690" s="25">
        <f>IFERROR(__xludf.DUMMYFUNCTION("""COMPUTED_VALUE"""),40957.99861111111)</f>
        <v>40957.99861</v>
      </c>
      <c r="E690" s="22">
        <f>IFERROR(__xludf.DUMMYFUNCTION("""COMPUTED_VALUE"""),1.3141)</f>
        <v>1.3141</v>
      </c>
      <c r="F690" s="22">
        <f t="shared" si="11"/>
        <v>128.0787896</v>
      </c>
      <c r="G690" s="22">
        <f t="shared" si="79"/>
        <v>84.6363098</v>
      </c>
      <c r="H690" s="22">
        <f t="shared" si="80"/>
        <v>3.869550571</v>
      </c>
    </row>
    <row r="691" ht="15.75" customHeight="1">
      <c r="A691" s="32">
        <f>IFERROR(__xludf.DUMMYFUNCTION("""COMPUTED_VALUE"""),40963.666666666664)</f>
        <v>40963.66667</v>
      </c>
      <c r="B691" s="22">
        <f>IFERROR(__xludf.DUMMYFUNCTION("""COMPUTED_VALUE"""),1365.74)</f>
        <v>1365.74</v>
      </c>
      <c r="C691" s="22">
        <f t="shared" si="10"/>
        <v>1778.1114</v>
      </c>
      <c r="D691" s="25">
        <f>IFERROR(__xludf.DUMMYFUNCTION("""COMPUTED_VALUE"""),40964.99861111111)</f>
        <v>40964.99861</v>
      </c>
      <c r="E691" s="22">
        <f>IFERROR(__xludf.DUMMYFUNCTION("""COMPUTED_VALUE"""),1.3447)</f>
        <v>1.3447</v>
      </c>
      <c r="F691" s="22">
        <f t="shared" si="11"/>
        <v>125.6270597</v>
      </c>
      <c r="G691" s="22">
        <f t="shared" si="79"/>
        <v>85.92759541</v>
      </c>
      <c r="H691" s="22">
        <f t="shared" si="80"/>
        <v>6.499887872</v>
      </c>
    </row>
    <row r="692" ht="15.75" customHeight="1">
      <c r="A692" s="32">
        <f>IFERROR(__xludf.DUMMYFUNCTION("""COMPUTED_VALUE"""),40970.666666666664)</f>
        <v>40970.66667</v>
      </c>
      <c r="B692" s="22">
        <f>IFERROR(__xludf.DUMMYFUNCTION("""COMPUTED_VALUE"""),1369.63)</f>
        <v>1369.63</v>
      </c>
      <c r="C692" s="22">
        <f t="shared" si="10"/>
        <v>1783.859835</v>
      </c>
      <c r="D692" s="25">
        <f>IFERROR(__xludf.DUMMYFUNCTION("""COMPUTED_VALUE"""),40971.99861111111)</f>
        <v>40971.99861</v>
      </c>
      <c r="E692" s="22">
        <f>IFERROR(__xludf.DUMMYFUNCTION("""COMPUTED_VALUE"""),1.3201)</f>
        <v>1.3201</v>
      </c>
      <c r="F692" s="22">
        <f t="shared" si="11"/>
        <v>128.3818206</v>
      </c>
      <c r="G692" s="22">
        <f t="shared" si="79"/>
        <v>103.6365895</v>
      </c>
      <c r="H692" s="22">
        <f t="shared" si="80"/>
        <v>7.193657324</v>
      </c>
    </row>
    <row r="693" ht="15.75" customHeight="1">
      <c r="A693" s="32">
        <f>IFERROR(__xludf.DUMMYFUNCTION("""COMPUTED_VALUE"""),40977.666666666664)</f>
        <v>40977.66667</v>
      </c>
      <c r="B693" s="22">
        <f>IFERROR(__xludf.DUMMYFUNCTION("""COMPUTED_VALUE"""),1370.87)</f>
        <v>1370.87</v>
      </c>
      <c r="C693" s="22">
        <f t="shared" si="10"/>
        <v>1786.16096</v>
      </c>
      <c r="D693" s="25">
        <f>IFERROR(__xludf.DUMMYFUNCTION("""COMPUTED_VALUE"""),40978.99861111111)</f>
        <v>40978.99861</v>
      </c>
      <c r="E693" s="22">
        <f>IFERROR(__xludf.DUMMYFUNCTION("""COMPUTED_VALUE"""),1.3121)</f>
        <v>1.3121</v>
      </c>
      <c r="F693" s="22">
        <f t="shared" si="11"/>
        <v>129.3311952</v>
      </c>
      <c r="G693" s="22">
        <f t="shared" si="79"/>
        <v>89.51860551</v>
      </c>
      <c r="H693" s="22">
        <f t="shared" si="80"/>
        <v>10.85527268</v>
      </c>
    </row>
    <row r="694" ht="15.75" customHeight="1">
      <c r="A694" s="32">
        <f>IFERROR(__xludf.DUMMYFUNCTION("""COMPUTED_VALUE"""),40984.666666666664)</f>
        <v>40984.66667</v>
      </c>
      <c r="B694" s="22">
        <f>IFERROR(__xludf.DUMMYFUNCTION("""COMPUTED_VALUE"""),1404.17)</f>
        <v>1404.17</v>
      </c>
      <c r="C694" s="22">
        <f t="shared" si="10"/>
        <v>1830.235837</v>
      </c>
      <c r="D694" s="25">
        <f>IFERROR(__xludf.DUMMYFUNCTION("""COMPUTED_VALUE"""),40985.99861111111)</f>
        <v>40985.99861</v>
      </c>
      <c r="E694" s="22">
        <f>IFERROR(__xludf.DUMMYFUNCTION("""COMPUTED_VALUE"""),1.3174)</f>
        <v>1.3174</v>
      </c>
      <c r="F694" s="22">
        <f t="shared" si="11"/>
        <v>131.9893924</v>
      </c>
      <c r="G694" s="22">
        <f t="shared" si="79"/>
        <v>99.92375052</v>
      </c>
      <c r="H694" s="22">
        <f t="shared" si="80"/>
        <v>8.941539721</v>
      </c>
    </row>
    <row r="695" ht="15.75" customHeight="1">
      <c r="A695" s="32">
        <f>IFERROR(__xludf.DUMMYFUNCTION("""COMPUTED_VALUE"""),40991.666666666664)</f>
        <v>40991.66667</v>
      </c>
      <c r="B695" s="22">
        <f>IFERROR(__xludf.DUMMYFUNCTION("""COMPUTED_VALUE"""),1397.11)</f>
        <v>1397.11</v>
      </c>
      <c r="C695" s="22">
        <f t="shared" si="10"/>
        <v>1821.737565</v>
      </c>
      <c r="D695" s="25">
        <f>IFERROR(__xludf.DUMMYFUNCTION("""COMPUTED_VALUE"""),40992.99861111111)</f>
        <v>40992.99861</v>
      </c>
      <c r="E695" s="22">
        <f>IFERROR(__xludf.DUMMYFUNCTION("""COMPUTED_VALUE"""),1.3267)</f>
        <v>1.3267</v>
      </c>
      <c r="F695" s="22">
        <f t="shared" si="11"/>
        <v>130.4555976</v>
      </c>
      <c r="G695" s="22">
        <f t="shared" si="79"/>
        <v>82.08054312</v>
      </c>
      <c r="H695" s="22">
        <f t="shared" si="80"/>
        <v>9.403307929</v>
      </c>
    </row>
    <row r="696" ht="15.75" customHeight="1">
      <c r="A696" s="32">
        <f>IFERROR(__xludf.DUMMYFUNCTION("""COMPUTED_VALUE"""),40998.666666666664)</f>
        <v>40998.66667</v>
      </c>
      <c r="B696" s="22">
        <f>IFERROR(__xludf.DUMMYFUNCTION("""COMPUTED_VALUE"""),1408.47)</f>
        <v>1408.47</v>
      </c>
      <c r="C696" s="22">
        <f t="shared" si="10"/>
        <v>1837.25091</v>
      </c>
      <c r="D696" s="25">
        <f>IFERROR(__xludf.DUMMYFUNCTION("""COMPUTED_VALUE"""),40999.99861111111)</f>
        <v>40999.99861</v>
      </c>
      <c r="E696" s="22">
        <f>IFERROR(__xludf.DUMMYFUNCTION("""COMPUTED_VALUE"""),1.334)</f>
        <v>1.334</v>
      </c>
      <c r="F696" s="22">
        <f t="shared" si="11"/>
        <v>130.8465498</v>
      </c>
      <c r="G696" s="22">
        <f t="shared" si="79"/>
        <v>79.42399623</v>
      </c>
      <c r="H696" s="22">
        <f t="shared" si="80"/>
        <v>8.772787985</v>
      </c>
    </row>
    <row r="697" ht="15.75" customHeight="1">
      <c r="A697" s="32">
        <f>IFERROR(__xludf.DUMMYFUNCTION("""COMPUTED_VALUE"""),41004.666666666664)</f>
        <v>41004.66667</v>
      </c>
      <c r="B697" s="22">
        <f>IFERROR(__xludf.DUMMYFUNCTION("""COMPUTED_VALUE"""),1398.08)</f>
        <v>1398.08</v>
      </c>
      <c r="C697" s="22">
        <f t="shared" si="10"/>
        <v>1824.404515</v>
      </c>
      <c r="D697" s="25">
        <f>IFERROR(__xludf.DUMMYFUNCTION("""COMPUTED_VALUE"""),41006.99861111111)</f>
        <v>41006.99861</v>
      </c>
      <c r="E697" s="22">
        <f>IFERROR(__xludf.DUMMYFUNCTION("""COMPUTED_VALUE"""),1.3094)</f>
        <v>1.3094</v>
      </c>
      <c r="F697" s="22">
        <f t="shared" si="11"/>
        <v>132.3727026</v>
      </c>
      <c r="G697" s="22">
        <f t="shared" si="79"/>
        <v>74.32757072</v>
      </c>
      <c r="H697" s="22">
        <f t="shared" si="80"/>
        <v>9.864995498</v>
      </c>
    </row>
    <row r="698" ht="15.75" customHeight="1">
      <c r="A698" s="32">
        <f>IFERROR(__xludf.DUMMYFUNCTION("""COMPUTED_VALUE"""),41012.666666666664)</f>
        <v>41012.66667</v>
      </c>
      <c r="B698" s="22">
        <f>IFERROR(__xludf.DUMMYFUNCTION("""COMPUTED_VALUE"""),1370.26)</f>
        <v>1370.26</v>
      </c>
      <c r="C698" s="22">
        <f t="shared" si="10"/>
        <v>1788.802897</v>
      </c>
      <c r="D698" s="25">
        <f>IFERROR(__xludf.DUMMYFUNCTION("""COMPUTED_VALUE"""),41013.99861111111)</f>
        <v>41013.99861</v>
      </c>
      <c r="E698" s="22">
        <f>IFERROR(__xludf.DUMMYFUNCTION("""COMPUTED_VALUE"""),1.3081)</f>
        <v>1.3081</v>
      </c>
      <c r="F698" s="22">
        <f t="shared" si="11"/>
        <v>129.9185539</v>
      </c>
      <c r="G698" s="22">
        <f t="shared" si="79"/>
        <v>66.76521906</v>
      </c>
      <c r="H698" s="22">
        <f t="shared" si="80"/>
        <v>5.95254047</v>
      </c>
    </row>
    <row r="699" ht="15.75" customHeight="1">
      <c r="A699" s="32">
        <f>IFERROR(__xludf.DUMMYFUNCTION("""COMPUTED_VALUE"""),41019.666666666664)</f>
        <v>41019.66667</v>
      </c>
      <c r="B699" s="22">
        <f>IFERROR(__xludf.DUMMYFUNCTION("""COMPUTED_VALUE"""),1378.53)</f>
        <v>1378.53</v>
      </c>
      <c r="C699" s="22">
        <f t="shared" si="10"/>
        <v>1800.286952</v>
      </c>
      <c r="D699" s="25">
        <f>IFERROR(__xludf.DUMMYFUNCTION("""COMPUTED_VALUE"""),41020.99861111111)</f>
        <v>41020.99861</v>
      </c>
      <c r="E699" s="22">
        <f>IFERROR(__xludf.DUMMYFUNCTION("""COMPUTED_VALUE"""),1.3215)</f>
        <v>1.3215</v>
      </c>
      <c r="F699" s="22">
        <f t="shared" si="11"/>
        <v>129.426796</v>
      </c>
      <c r="G699" s="22">
        <f t="shared" si="79"/>
        <v>69.46471987</v>
      </c>
      <c r="H699" s="22">
        <f t="shared" si="80"/>
        <v>5.349494695</v>
      </c>
    </row>
    <row r="700" ht="15.75" customHeight="1">
      <c r="A700" s="32">
        <f>IFERROR(__xludf.DUMMYFUNCTION("""COMPUTED_VALUE"""),41026.666666666664)</f>
        <v>41026.66667</v>
      </c>
      <c r="B700" s="22">
        <f>IFERROR(__xludf.DUMMYFUNCTION("""COMPUTED_VALUE"""),1403.36)</f>
        <v>1403.36</v>
      </c>
      <c r="C700" s="22">
        <f t="shared" si="10"/>
        <v>1833.406031</v>
      </c>
      <c r="D700" s="25">
        <f>IFERROR(__xludf.DUMMYFUNCTION("""COMPUTED_VALUE"""),41027.99861111111)</f>
        <v>41027.99861</v>
      </c>
      <c r="E700" s="22">
        <f>IFERROR(__xludf.DUMMYFUNCTION("""COMPUTED_VALUE"""),1.3225)</f>
        <v>1.3225</v>
      </c>
      <c r="F700" s="22">
        <f t="shared" si="11"/>
        <v>131.7081376</v>
      </c>
      <c r="G700" s="22">
        <f t="shared" si="79"/>
        <v>70.24548015</v>
      </c>
      <c r="H700" s="22">
        <f t="shared" si="80"/>
        <v>5.821539555</v>
      </c>
    </row>
    <row r="701" ht="15.75" customHeight="1">
      <c r="A701" s="32">
        <f>IFERROR(__xludf.DUMMYFUNCTION("""COMPUTED_VALUE"""),41033.666666666664)</f>
        <v>41033.66667</v>
      </c>
      <c r="B701" s="22">
        <f>IFERROR(__xludf.DUMMYFUNCTION("""COMPUTED_VALUE"""),1369.1)</f>
        <v>1369.1</v>
      </c>
      <c r="C701" s="22">
        <f t="shared" si="10"/>
        <v>1789.352543</v>
      </c>
      <c r="D701" s="25">
        <f>IFERROR(__xludf.DUMMYFUNCTION("""COMPUTED_VALUE"""),41034.99861111111)</f>
        <v>41034.99861</v>
      </c>
      <c r="E701" s="22">
        <f>IFERROR(__xludf.DUMMYFUNCTION("""COMPUTED_VALUE"""),1.3081)</f>
        <v>1.3081</v>
      </c>
      <c r="F701" s="22">
        <f t="shared" si="11"/>
        <v>129.958474</v>
      </c>
      <c r="G701" s="22">
        <f t="shared" si="79"/>
        <v>63.07456885</v>
      </c>
      <c r="H701" s="22">
        <f t="shared" si="80"/>
        <v>3.891082716</v>
      </c>
    </row>
    <row r="702" ht="15.75" customHeight="1">
      <c r="A702" s="32">
        <f>IFERROR(__xludf.DUMMYFUNCTION("""COMPUTED_VALUE"""),41040.666666666664)</f>
        <v>41040.66667</v>
      </c>
      <c r="B702" s="22">
        <f>IFERROR(__xludf.DUMMYFUNCTION("""COMPUTED_VALUE"""),1353.39)</f>
        <v>1353.39</v>
      </c>
      <c r="C702" s="22">
        <f t="shared" si="10"/>
        <v>1769.508487</v>
      </c>
      <c r="D702" s="25">
        <f>IFERROR(__xludf.DUMMYFUNCTION("""COMPUTED_VALUE"""),41041.99861111111)</f>
        <v>41041.99861</v>
      </c>
      <c r="E702" s="22">
        <f>IFERROR(__xludf.DUMMYFUNCTION("""COMPUTED_VALUE"""),1.2914)</f>
        <v>1.2914</v>
      </c>
      <c r="F702" s="22">
        <f t="shared" si="11"/>
        <v>130.1791711</v>
      </c>
      <c r="G702" s="22">
        <f t="shared" si="79"/>
        <v>70.11854841</v>
      </c>
      <c r="H702" s="22">
        <f t="shared" si="80"/>
        <v>2.766913247</v>
      </c>
    </row>
    <row r="703" ht="15.75" customHeight="1">
      <c r="A703" s="32">
        <f>IFERROR(__xludf.DUMMYFUNCTION("""COMPUTED_VALUE"""),41047.666666666664)</f>
        <v>41047.66667</v>
      </c>
      <c r="B703" s="22">
        <f>IFERROR(__xludf.DUMMYFUNCTION("""COMPUTED_VALUE"""),1295.22)</f>
        <v>1295.22</v>
      </c>
      <c r="C703" s="22">
        <f t="shared" si="10"/>
        <v>1694.133896</v>
      </c>
      <c r="D703" s="25">
        <f>IFERROR(__xludf.DUMMYFUNCTION("""COMPUTED_VALUE"""),41048.99861111111)</f>
        <v>41048.99861</v>
      </c>
      <c r="E703" s="22">
        <f>IFERROR(__xludf.DUMMYFUNCTION("""COMPUTED_VALUE"""),1.278)</f>
        <v>1.278</v>
      </c>
      <c r="F703" s="22">
        <f t="shared" si="11"/>
        <v>125.9408186</v>
      </c>
      <c r="G703" s="22">
        <f t="shared" si="79"/>
        <v>69.83021014</v>
      </c>
      <c r="H703" s="22">
        <f t="shared" si="80"/>
        <v>-0.6374419286</v>
      </c>
    </row>
    <row r="704" ht="15.75" customHeight="1">
      <c r="A704" s="32">
        <f>IFERROR(__xludf.DUMMYFUNCTION("""COMPUTED_VALUE"""),41054.666666666664)</f>
        <v>41054.66667</v>
      </c>
      <c r="B704" s="22">
        <f>IFERROR(__xludf.DUMMYFUNCTION("""COMPUTED_VALUE"""),1317.82)</f>
        <v>1317.82</v>
      </c>
      <c r="C704" s="22">
        <f t="shared" si="10"/>
        <v>1724.346044</v>
      </c>
      <c r="D704" s="25">
        <f>IFERROR(__xludf.DUMMYFUNCTION("""COMPUTED_VALUE"""),41055.99861111111)</f>
        <v>41055.99861</v>
      </c>
      <c r="E704" s="22">
        <f>IFERROR(__xludf.DUMMYFUNCTION("""COMPUTED_VALUE"""),1.2517)</f>
        <v>1.2517</v>
      </c>
      <c r="F704" s="22">
        <f t="shared" si="11"/>
        <v>130.8801568</v>
      </c>
      <c r="G704" s="22">
        <f t="shared" si="79"/>
        <v>72.12905523</v>
      </c>
      <c r="H704" s="22">
        <f t="shared" si="80"/>
        <v>1.767473179</v>
      </c>
    </row>
    <row r="705" ht="15.75" customHeight="1">
      <c r="A705" s="32">
        <f>IFERROR(__xludf.DUMMYFUNCTION("""COMPUTED_VALUE"""),41061.666666666664)</f>
        <v>41061.66667</v>
      </c>
      <c r="B705" s="22">
        <f>IFERROR(__xludf.DUMMYFUNCTION("""COMPUTED_VALUE"""),1278.04)</f>
        <v>1278.04</v>
      </c>
      <c r="C705" s="22">
        <f t="shared" si="10"/>
        <v>1672.957771</v>
      </c>
      <c r="D705" s="25">
        <f>IFERROR(__xludf.DUMMYFUNCTION("""COMPUTED_VALUE"""),41062.99861111111)</f>
        <v>41062.99861</v>
      </c>
      <c r="E705" s="22">
        <f>IFERROR(__xludf.DUMMYFUNCTION("""COMPUTED_VALUE"""),1.2421)</f>
        <v>1.2421</v>
      </c>
      <c r="F705" s="22">
        <f t="shared" si="11"/>
        <v>127.9611253</v>
      </c>
      <c r="G705" s="22">
        <f t="shared" si="79"/>
        <v>62.32802525</v>
      </c>
      <c r="H705" s="22">
        <f t="shared" si="80"/>
        <v>0.8748612013</v>
      </c>
    </row>
    <row r="706" ht="15.75" customHeight="1">
      <c r="A706" s="32">
        <f>IFERROR(__xludf.DUMMYFUNCTION("""COMPUTED_VALUE"""),41068.666666666664)</f>
        <v>41068.66667</v>
      </c>
      <c r="B706" s="22">
        <f>IFERROR(__xludf.DUMMYFUNCTION("""COMPUTED_VALUE"""),1325.66)</f>
        <v>1325.66</v>
      </c>
      <c r="C706" s="22">
        <f t="shared" si="10"/>
        <v>1735.935923</v>
      </c>
      <c r="D706" s="25">
        <f>IFERROR(__xludf.DUMMYFUNCTION("""COMPUTED_VALUE"""),41069.99861111111)</f>
        <v>41069.99861</v>
      </c>
      <c r="E706" s="22">
        <f>IFERROR(__xludf.DUMMYFUNCTION("""COMPUTED_VALUE"""),1.2513)</f>
        <v>1.2513</v>
      </c>
      <c r="F706" s="22">
        <f t="shared" si="11"/>
        <v>131.8019634</v>
      </c>
      <c r="G706" s="22">
        <f t="shared" si="79"/>
        <v>66.42402759</v>
      </c>
      <c r="H706" s="22">
        <f t="shared" si="80"/>
        <v>2.168520943</v>
      </c>
    </row>
    <row r="707" ht="15.75" customHeight="1">
      <c r="A707" s="32">
        <f>IFERROR(__xludf.DUMMYFUNCTION("""COMPUTED_VALUE"""),41075.666666666664)</f>
        <v>41075.66667</v>
      </c>
      <c r="B707" s="22">
        <f>IFERROR(__xludf.DUMMYFUNCTION("""COMPUTED_VALUE"""),1342.84)</f>
        <v>1342.84</v>
      </c>
      <c r="C707" s="22">
        <f t="shared" si="10"/>
        <v>1759.100595</v>
      </c>
      <c r="D707" s="25">
        <f>IFERROR(__xludf.DUMMYFUNCTION("""COMPUTED_VALUE"""),41076.99861111111)</f>
        <v>41076.99861</v>
      </c>
      <c r="E707" s="22">
        <f>IFERROR(__xludf.DUMMYFUNCTION("""COMPUTED_VALUE"""),1.2658)</f>
        <v>1.2658</v>
      </c>
      <c r="F707" s="22">
        <f t="shared" si="11"/>
        <v>132.0307889</v>
      </c>
      <c r="G707" s="22">
        <f t="shared" si="79"/>
        <v>70.49348131</v>
      </c>
      <c r="H707" s="22">
        <f t="shared" si="80"/>
        <v>5.082336666</v>
      </c>
    </row>
    <row r="708" ht="15.75" customHeight="1">
      <c r="A708" s="32">
        <f>IFERROR(__xludf.DUMMYFUNCTION("""COMPUTED_VALUE"""),41082.666666666664)</f>
        <v>41082.66667</v>
      </c>
      <c r="B708" s="22">
        <f>IFERROR(__xludf.DUMMYFUNCTION("""COMPUTED_VALUE"""),1335.02)</f>
        <v>1335.02</v>
      </c>
      <c r="C708" s="22">
        <f t="shared" si="10"/>
        <v>1749.533088</v>
      </c>
      <c r="D708" s="25">
        <f>IFERROR(__xludf.DUMMYFUNCTION("""COMPUTED_VALUE"""),41083.99861111111)</f>
        <v>41083.99861</v>
      </c>
      <c r="E708" s="22">
        <f>IFERROR(__xludf.DUMMYFUNCTION("""COMPUTED_VALUE"""),1.2574)</f>
        <v>1.2574</v>
      </c>
      <c r="F708" s="22">
        <f t="shared" si="11"/>
        <v>132.1899196</v>
      </c>
      <c r="G708" s="22">
        <f t="shared" si="79"/>
        <v>72.31709163</v>
      </c>
      <c r="H708" s="22">
        <f t="shared" si="80"/>
        <v>5.636284628</v>
      </c>
    </row>
    <row r="709" ht="15.75" customHeight="1">
      <c r="A709" s="32">
        <f>IFERROR(__xludf.DUMMYFUNCTION("""COMPUTED_VALUE"""),41089.666666666664)</f>
        <v>41089.66667</v>
      </c>
      <c r="B709" s="22">
        <f>IFERROR(__xludf.DUMMYFUNCTION("""COMPUTED_VALUE"""),1362.16)</f>
        <v>1362.16</v>
      </c>
      <c r="C709" s="22">
        <f t="shared" si="10"/>
        <v>1785.772739</v>
      </c>
      <c r="D709" s="25">
        <f>IFERROR(__xludf.DUMMYFUNCTION("""COMPUTED_VALUE"""),41090.99861111111)</f>
        <v>41090.99861</v>
      </c>
      <c r="E709" s="22">
        <f>IFERROR(__xludf.DUMMYFUNCTION("""COMPUTED_VALUE"""),1.266)</f>
        <v>1.266</v>
      </c>
      <c r="F709" s="22">
        <f t="shared" si="11"/>
        <v>134.0115151</v>
      </c>
      <c r="G709" s="22">
        <f t="shared" si="79"/>
        <v>78.22457956</v>
      </c>
      <c r="H709" s="22">
        <f t="shared" si="80"/>
        <v>5.855960455</v>
      </c>
    </row>
    <row r="710" ht="15.75" customHeight="1">
      <c r="A710" s="32">
        <f>IFERROR(__xludf.DUMMYFUNCTION("""COMPUTED_VALUE"""),41096.666666666664)</f>
        <v>41096.66667</v>
      </c>
      <c r="B710" s="22">
        <f>IFERROR(__xludf.DUMMYFUNCTION("""COMPUTED_VALUE"""),1354.68)</f>
        <v>1354.68</v>
      </c>
      <c r="C710" s="22">
        <f t="shared" si="10"/>
        <v>1776.653399</v>
      </c>
      <c r="D710" s="25">
        <f>IFERROR(__xludf.DUMMYFUNCTION("""COMPUTED_VALUE"""),41097.99861111111)</f>
        <v>41097.99861</v>
      </c>
      <c r="E710" s="22">
        <f>IFERROR(__xludf.DUMMYFUNCTION("""COMPUTED_VALUE"""),1.2286)</f>
        <v>1.2286</v>
      </c>
      <c r="F710" s="22">
        <f t="shared" si="11"/>
        <v>137.385796</v>
      </c>
      <c r="G710" s="22">
        <f t="shared" si="79"/>
        <v>85.5667145</v>
      </c>
      <c r="H710" s="22">
        <f t="shared" si="80"/>
        <v>8.179028638</v>
      </c>
    </row>
    <row r="711" ht="15.75" customHeight="1">
      <c r="A711" s="32">
        <f>IFERROR(__xludf.DUMMYFUNCTION("""COMPUTED_VALUE"""),41103.666666666664)</f>
        <v>41103.66667</v>
      </c>
      <c r="B711" s="22">
        <f>IFERROR(__xludf.DUMMYFUNCTION("""COMPUTED_VALUE"""),1356.78)</f>
        <v>1356.78</v>
      </c>
      <c r="C711" s="22">
        <f t="shared" si="10"/>
        <v>1780.090863</v>
      </c>
      <c r="D711" s="25">
        <f>IFERROR(__xludf.DUMMYFUNCTION("""COMPUTED_VALUE"""),41104.99861111111)</f>
        <v>41104.99861</v>
      </c>
      <c r="E711" s="22">
        <f>IFERROR(__xludf.DUMMYFUNCTION("""COMPUTED_VALUE"""),1.2247)</f>
        <v>1.2247</v>
      </c>
      <c r="F711" s="22">
        <f t="shared" si="11"/>
        <v>138.0899547</v>
      </c>
      <c r="G711" s="22">
        <f t="shared" si="79"/>
        <v>76.37039772</v>
      </c>
      <c r="H711" s="22">
        <f t="shared" si="80"/>
        <v>10.35400068</v>
      </c>
    </row>
    <row r="712" ht="15.75" customHeight="1">
      <c r="A712" s="32">
        <f>IFERROR(__xludf.DUMMYFUNCTION("""COMPUTED_VALUE"""),41110.666666666664)</f>
        <v>41110.66667</v>
      </c>
      <c r="B712" s="22">
        <f>IFERROR(__xludf.DUMMYFUNCTION("""COMPUTED_VALUE"""),1362.66)</f>
        <v>1362.66</v>
      </c>
      <c r="C712" s="22">
        <f t="shared" si="10"/>
        <v>1788.490054</v>
      </c>
      <c r="D712" s="25">
        <f>IFERROR(__xludf.DUMMYFUNCTION("""COMPUTED_VALUE"""),41111.99861111111)</f>
        <v>41111.99861</v>
      </c>
      <c r="E712" s="22">
        <f>IFERROR(__xludf.DUMMYFUNCTION("""COMPUTED_VALUE"""),1.2155)</f>
        <v>1.2155</v>
      </c>
      <c r="F712" s="22">
        <f t="shared" si="11"/>
        <v>139.79164</v>
      </c>
      <c r="G712" s="22">
        <f t="shared" si="79"/>
        <v>72.60716362</v>
      </c>
      <c r="H712" s="22">
        <f t="shared" si="80"/>
        <v>15.78164995</v>
      </c>
    </row>
    <row r="713" ht="15.75" customHeight="1">
      <c r="A713" s="32">
        <f>IFERROR(__xludf.DUMMYFUNCTION("""COMPUTED_VALUE"""),41117.666666666664)</f>
        <v>41117.66667</v>
      </c>
      <c r="B713" s="22">
        <f>IFERROR(__xludf.DUMMYFUNCTION("""COMPUTED_VALUE"""),1385.97)</f>
        <v>1385.97</v>
      </c>
      <c r="C713" s="22">
        <f t="shared" si="10"/>
        <v>1819.772289</v>
      </c>
      <c r="D713" s="25">
        <f>IFERROR(__xludf.DUMMYFUNCTION("""COMPUTED_VALUE"""),41118.99861111111)</f>
        <v>41118.99861</v>
      </c>
      <c r="E713" s="22">
        <f>IFERROR(__xludf.DUMMYFUNCTION("""COMPUTED_VALUE"""),1.2317)</f>
        <v>1.2317</v>
      </c>
      <c r="F713" s="22">
        <f t="shared" si="11"/>
        <v>140.3659405</v>
      </c>
      <c r="G713" s="22">
        <f t="shared" si="79"/>
        <v>72.44923633</v>
      </c>
      <c r="H713" s="22">
        <f t="shared" si="80"/>
        <v>19.63909719</v>
      </c>
    </row>
    <row r="714" ht="15.75" customHeight="1">
      <c r="A714" s="32">
        <f>IFERROR(__xludf.DUMMYFUNCTION("""COMPUTED_VALUE"""),41124.666666666664)</f>
        <v>41124.66667</v>
      </c>
      <c r="B714" s="22">
        <f>IFERROR(__xludf.DUMMYFUNCTION("""COMPUTED_VALUE"""),1390.99)</f>
        <v>1390.99</v>
      </c>
      <c r="C714" s="22">
        <f t="shared" si="10"/>
        <v>1827.063439</v>
      </c>
      <c r="D714" s="25">
        <f>IFERROR(__xludf.DUMMYFUNCTION("""COMPUTED_VALUE"""),41125.99861111111)</f>
        <v>41125.99861</v>
      </c>
      <c r="E714" s="22">
        <f>IFERROR(__xludf.DUMMYFUNCTION("""COMPUTED_VALUE"""),1.2387)</f>
        <v>1.2387</v>
      </c>
      <c r="F714" s="22">
        <f t="shared" si="11"/>
        <v>140.1319364</v>
      </c>
      <c r="G714" s="22">
        <f t="shared" si="79"/>
        <v>67.16518573</v>
      </c>
      <c r="H714" s="22">
        <f t="shared" si="80"/>
        <v>16.92709008</v>
      </c>
    </row>
    <row r="715" ht="15.75" customHeight="1">
      <c r="A715" s="32">
        <f>IFERROR(__xludf.DUMMYFUNCTION("""COMPUTED_VALUE"""),41131.666666666664)</f>
        <v>41131.66667</v>
      </c>
      <c r="B715" s="22">
        <f>IFERROR(__xludf.DUMMYFUNCTION("""COMPUTED_VALUE"""),1405.87)</f>
        <v>1405.87</v>
      </c>
      <c r="C715" s="22">
        <f t="shared" si="10"/>
        <v>1847.311015</v>
      </c>
      <c r="D715" s="25">
        <f>IFERROR(__xludf.DUMMYFUNCTION("""COMPUTED_VALUE"""),41132.99861111111)</f>
        <v>41132.99861</v>
      </c>
      <c r="E715" s="22">
        <f>IFERROR(__xludf.DUMMYFUNCTION("""COMPUTED_VALUE"""),1.229)</f>
        <v>1.229</v>
      </c>
      <c r="F715" s="22">
        <f t="shared" si="11"/>
        <v>142.8031446</v>
      </c>
      <c r="G715" s="22">
        <f t="shared" si="79"/>
        <v>71.93797674</v>
      </c>
      <c r="H715" s="22">
        <f t="shared" si="80"/>
        <v>17.96049718</v>
      </c>
    </row>
    <row r="716" ht="15.75" customHeight="1">
      <c r="A716" s="32">
        <f>IFERROR(__xludf.DUMMYFUNCTION("""COMPUTED_VALUE"""),41138.666666666664)</f>
        <v>41138.66667</v>
      </c>
      <c r="B716" s="22">
        <f>IFERROR(__xludf.DUMMYFUNCTION("""COMPUTED_VALUE"""),1418.16)</f>
        <v>1418.16</v>
      </c>
      <c r="C716" s="22">
        <f t="shared" si="10"/>
        <v>1864.17056</v>
      </c>
      <c r="D716" s="25">
        <f>IFERROR(__xludf.DUMMYFUNCTION("""COMPUTED_VALUE"""),41139.99861111111)</f>
        <v>41139.99861</v>
      </c>
      <c r="E716" s="22">
        <f>IFERROR(__xludf.DUMMYFUNCTION("""COMPUTED_VALUE"""),1.2331)</f>
        <v>1.2331</v>
      </c>
      <c r="F716" s="22">
        <f t="shared" si="11"/>
        <v>143.627295</v>
      </c>
      <c r="G716" s="22">
        <f t="shared" si="79"/>
        <v>70.18754409</v>
      </c>
      <c r="H716" s="22">
        <f t="shared" si="80"/>
        <v>17.39455785</v>
      </c>
    </row>
    <row r="717" ht="15.75" customHeight="1">
      <c r="A717" s="32">
        <f>IFERROR(__xludf.DUMMYFUNCTION("""COMPUTED_VALUE"""),41145.666666666664)</f>
        <v>41145.66667</v>
      </c>
      <c r="B717" s="22">
        <f>IFERROR(__xludf.DUMMYFUNCTION("""COMPUTED_VALUE"""),1411.13)</f>
        <v>1411.13</v>
      </c>
      <c r="C717" s="22">
        <f t="shared" si="10"/>
        <v>1855.646617</v>
      </c>
      <c r="D717" s="25">
        <f>IFERROR(__xludf.DUMMYFUNCTION("""COMPUTED_VALUE"""),41146.99861111111)</f>
        <v>41146.99861</v>
      </c>
      <c r="E717" s="22">
        <f>IFERROR(__xludf.DUMMYFUNCTION("""COMPUTED_VALUE"""),1.251)</f>
        <v>1.251</v>
      </c>
      <c r="F717" s="22">
        <f t="shared" si="11"/>
        <v>140.9248556</v>
      </c>
      <c r="G717" s="22">
        <f t="shared" si="79"/>
        <v>66.46709224</v>
      </c>
      <c r="H717" s="22">
        <f t="shared" si="80"/>
        <v>15.2062825</v>
      </c>
    </row>
    <row r="718" ht="15.75" customHeight="1">
      <c r="A718" s="32">
        <f>IFERROR(__xludf.DUMMYFUNCTION("""COMPUTED_VALUE"""),41152.666666666664)</f>
        <v>41152.66667</v>
      </c>
      <c r="B718" s="22">
        <f>IFERROR(__xludf.DUMMYFUNCTION("""COMPUTED_VALUE"""),1406.58)</f>
        <v>1406.58</v>
      </c>
      <c r="C718" s="22">
        <f t="shared" si="10"/>
        <v>1850.377043</v>
      </c>
      <c r="D718" s="25">
        <f>IFERROR(__xludf.DUMMYFUNCTION("""COMPUTED_VALUE"""),41153.99861111111)</f>
        <v>41153.99861</v>
      </c>
      <c r="E718" s="22">
        <f>IFERROR(__xludf.DUMMYFUNCTION("""COMPUTED_VALUE"""),1.2583)</f>
        <v>1.2583</v>
      </c>
      <c r="F718" s="22">
        <f t="shared" si="11"/>
        <v>139.7094134</v>
      </c>
      <c r="G718" s="22">
        <f t="shared" si="79"/>
        <v>66.67386013</v>
      </c>
      <c r="H718" s="22">
        <f t="shared" si="80"/>
        <v>17.01452188</v>
      </c>
    </row>
    <row r="719" ht="15.75" customHeight="1">
      <c r="A719" s="32">
        <f>IFERROR(__xludf.DUMMYFUNCTION("""COMPUTED_VALUE"""),41159.666666666664)</f>
        <v>41159.66667</v>
      </c>
      <c r="B719" s="22">
        <f>IFERROR(__xludf.DUMMYFUNCTION("""COMPUTED_VALUE"""),1437.92)</f>
        <v>1437.92</v>
      </c>
      <c r="C719" s="22">
        <f t="shared" si="10"/>
        <v>1892.316966</v>
      </c>
      <c r="D719" s="25">
        <f>IFERROR(__xludf.DUMMYFUNCTION("""COMPUTED_VALUE"""),41160.99861111111)</f>
        <v>41160.99861</v>
      </c>
      <c r="E719" s="22">
        <f>IFERROR(__xludf.DUMMYFUNCTION("""COMPUTED_VALUE"""),1.2815)</f>
        <v>1.2815</v>
      </c>
      <c r="F719" s="22">
        <f t="shared" si="11"/>
        <v>140.2894158</v>
      </c>
      <c r="G719" s="22">
        <f t="shared" si="79"/>
        <v>66.56309207</v>
      </c>
      <c r="H719" s="22">
        <f t="shared" si="80"/>
        <v>15.92063325</v>
      </c>
    </row>
    <row r="720" ht="15.75" customHeight="1">
      <c r="A720" s="32">
        <f>IFERROR(__xludf.DUMMYFUNCTION("""COMPUTED_VALUE"""),41166.666666666664)</f>
        <v>41166.66667</v>
      </c>
      <c r="B720" s="22">
        <f>IFERROR(__xludf.DUMMYFUNCTION("""COMPUTED_VALUE"""),1465.77)</f>
        <v>1465.77</v>
      </c>
      <c r="C720" s="22">
        <f t="shared" si="10"/>
        <v>1929.695656</v>
      </c>
      <c r="D720" s="25">
        <f>IFERROR(__xludf.DUMMYFUNCTION("""COMPUTED_VALUE"""),41167.99861111111)</f>
        <v>41167.99861</v>
      </c>
      <c r="E720" s="22">
        <f>IFERROR(__xludf.DUMMYFUNCTION("""COMPUTED_VALUE"""),1.3126)</f>
        <v>1.3126</v>
      </c>
      <c r="F720" s="22">
        <f t="shared" si="11"/>
        <v>139.6709391</v>
      </c>
      <c r="G720" s="22">
        <f t="shared" si="79"/>
        <v>63.17505771</v>
      </c>
      <c r="H720" s="22">
        <f t="shared" si="80"/>
        <v>13.96764834</v>
      </c>
    </row>
    <row r="721" ht="15.75" customHeight="1">
      <c r="A721" s="32">
        <f>IFERROR(__xludf.DUMMYFUNCTION("""COMPUTED_VALUE"""),41173.666666666664)</f>
        <v>41173.66667</v>
      </c>
      <c r="B721" s="22">
        <f>IFERROR(__xludf.DUMMYFUNCTION("""COMPUTED_VALUE"""),1460.15)</f>
        <v>1460.15</v>
      </c>
      <c r="C721" s="22">
        <f t="shared" si="10"/>
        <v>1923.03908</v>
      </c>
      <c r="D721" s="25">
        <f>IFERROR(__xludf.DUMMYFUNCTION("""COMPUTED_VALUE"""),41174.99861111111)</f>
        <v>41174.99861</v>
      </c>
      <c r="E721" s="22">
        <f>IFERROR(__xludf.DUMMYFUNCTION("""COMPUTED_VALUE"""),1.2979)</f>
        <v>1.2979</v>
      </c>
      <c r="F721" s="22">
        <f t="shared" si="11"/>
        <v>140.7655922</v>
      </c>
      <c r="G721" s="22">
        <f t="shared" si="79"/>
        <v>67.90273417</v>
      </c>
      <c r="H721" s="22">
        <f t="shared" si="80"/>
        <v>16.13415301</v>
      </c>
    </row>
    <row r="722" ht="15.75" customHeight="1">
      <c r="A722" s="32">
        <f>IFERROR(__xludf.DUMMYFUNCTION("""COMPUTED_VALUE"""),41180.666666666664)</f>
        <v>41180.66667</v>
      </c>
      <c r="B722" s="22">
        <f>IFERROR(__xludf.DUMMYFUNCTION("""COMPUTED_VALUE"""),1440.67)</f>
        <v>1440.67</v>
      </c>
      <c r="C722" s="22">
        <f t="shared" si="10"/>
        <v>1898.123264</v>
      </c>
      <c r="D722" s="25">
        <f>IFERROR(__xludf.DUMMYFUNCTION("""COMPUTED_VALUE"""),41181.99861111111)</f>
        <v>41181.99861</v>
      </c>
      <c r="E722" s="22">
        <f>IFERROR(__xludf.DUMMYFUNCTION("""COMPUTED_VALUE"""),1.2854)</f>
        <v>1.2854</v>
      </c>
      <c r="F722" s="22">
        <f t="shared" si="11"/>
        <v>140.2929187</v>
      </c>
      <c r="G722" s="22">
        <f t="shared" si="79"/>
        <v>69.29852095</v>
      </c>
      <c r="H722" s="22">
        <f t="shared" si="80"/>
        <v>12.3837829</v>
      </c>
    </row>
    <row r="723" ht="15.75" customHeight="1">
      <c r="A723" s="32">
        <f>IFERROR(__xludf.DUMMYFUNCTION("""COMPUTED_VALUE"""),41187.666666666664)</f>
        <v>41187.66667</v>
      </c>
      <c r="B723" s="22">
        <f>IFERROR(__xludf.DUMMYFUNCTION("""COMPUTED_VALUE"""),1460.93)</f>
        <v>1460.93</v>
      </c>
      <c r="C723" s="22">
        <f t="shared" si="10"/>
        <v>1925.546431</v>
      </c>
      <c r="D723" s="25">
        <f>IFERROR(__xludf.DUMMYFUNCTION("""COMPUTED_VALUE"""),41188.99861111111)</f>
        <v>41188.99861</v>
      </c>
      <c r="E723" s="22">
        <f>IFERROR(__xludf.DUMMYFUNCTION("""COMPUTED_VALUE"""),1.3031)</f>
        <v>1.3031</v>
      </c>
      <c r="F723" s="22">
        <f t="shared" si="11"/>
        <v>140.3866739</v>
      </c>
      <c r="G723" s="22">
        <f t="shared" si="79"/>
        <v>63.45671242</v>
      </c>
      <c r="H723" s="22">
        <f t="shared" si="80"/>
        <v>12.54909767</v>
      </c>
    </row>
    <row r="724" ht="15.75" customHeight="1">
      <c r="A724" s="32">
        <f>IFERROR(__xludf.DUMMYFUNCTION("""COMPUTED_VALUE"""),41194.666666666664)</f>
        <v>41194.66667</v>
      </c>
      <c r="B724" s="22">
        <f>IFERROR(__xludf.DUMMYFUNCTION("""COMPUTED_VALUE"""),1428.59)</f>
        <v>1428.59</v>
      </c>
      <c r="C724" s="22">
        <f t="shared" si="10"/>
        <v>1883.662005</v>
      </c>
      <c r="D724" s="25">
        <f>IFERROR(__xludf.DUMMYFUNCTION("""COMPUTED_VALUE"""),41195.99861111111)</f>
        <v>41195.99861</v>
      </c>
      <c r="E724" s="22">
        <f>IFERROR(__xludf.DUMMYFUNCTION("""COMPUTED_VALUE"""),1.2953)</f>
        <v>1.2953</v>
      </c>
      <c r="F724" s="22">
        <f t="shared" si="11"/>
        <v>138.1599751</v>
      </c>
      <c r="G724" s="22">
        <f t="shared" si="79"/>
        <v>60.30443142</v>
      </c>
      <c r="H724" s="22">
        <f t="shared" si="80"/>
        <v>16.10202674</v>
      </c>
    </row>
    <row r="725" ht="15.75" customHeight="1">
      <c r="A725" s="32">
        <f>IFERROR(__xludf.DUMMYFUNCTION("""COMPUTED_VALUE"""),41201.666666666664)</f>
        <v>41201.66667</v>
      </c>
      <c r="B725" s="22">
        <f>IFERROR(__xludf.DUMMYFUNCTION("""COMPUTED_VALUE"""),1433.19)</f>
        <v>1433.19</v>
      </c>
      <c r="C725" s="22">
        <f t="shared" si="10"/>
        <v>1890.451803</v>
      </c>
      <c r="D725" s="25">
        <f>IFERROR(__xludf.DUMMYFUNCTION("""COMPUTED_VALUE"""),41202.99861111111)</f>
        <v>41202.99861</v>
      </c>
      <c r="E725" s="22">
        <f>IFERROR(__xludf.DUMMYFUNCTION("""COMPUTED_VALUE"""),1.302)</f>
        <v>1.302</v>
      </c>
      <c r="F725" s="22">
        <f t="shared" si="11"/>
        <v>137.9444587</v>
      </c>
      <c r="G725" s="22">
        <f t="shared" si="79"/>
        <v>62.45636779</v>
      </c>
      <c r="H725" s="22">
        <f t="shared" si="80"/>
        <v>14.03868214</v>
      </c>
    </row>
    <row r="726" ht="15.75" customHeight="1">
      <c r="A726" s="32">
        <f>IFERROR(__xludf.DUMMYFUNCTION("""COMPUTED_VALUE"""),41208.666666666664)</f>
        <v>41208.66667</v>
      </c>
      <c r="B726" s="22">
        <f>IFERROR(__xludf.DUMMYFUNCTION("""COMPUTED_VALUE"""),1411.94)</f>
        <v>1411.94</v>
      </c>
      <c r="C726" s="22">
        <f t="shared" si="10"/>
        <v>1863.14905</v>
      </c>
      <c r="D726" s="25">
        <f>IFERROR(__xludf.DUMMYFUNCTION("""COMPUTED_VALUE"""),41209.99861111111)</f>
        <v>41209.99861</v>
      </c>
      <c r="E726" s="22">
        <f>IFERROR(__xludf.DUMMYFUNCTION("""COMPUTED_VALUE"""),1.2937)</f>
        <v>1.2937</v>
      </c>
      <c r="F726" s="22">
        <f t="shared" si="11"/>
        <v>136.8244324</v>
      </c>
      <c r="G726" s="22">
        <f t="shared" si="79"/>
        <v>64.71190665</v>
      </c>
      <c r="H726" s="22">
        <f t="shared" si="80"/>
        <v>15.74722175</v>
      </c>
    </row>
    <row r="727" ht="15.75" customHeight="1">
      <c r="A727" s="32">
        <f>IFERROR(__xludf.DUMMYFUNCTION("""COMPUTED_VALUE"""),41215.666666666664)</f>
        <v>41215.66667</v>
      </c>
      <c r="B727" s="22">
        <f>IFERROR(__xludf.DUMMYFUNCTION("""COMPUTED_VALUE"""),1414.2)</f>
        <v>1414.2</v>
      </c>
      <c r="C727" s="22">
        <f t="shared" si="10"/>
        <v>1866.847867</v>
      </c>
      <c r="D727" s="25">
        <f>IFERROR(__xludf.DUMMYFUNCTION("""COMPUTED_VALUE"""),41216.99861111111)</f>
        <v>41216.99861</v>
      </c>
      <c r="E727" s="22">
        <f>IFERROR(__xludf.DUMMYFUNCTION("""COMPUTED_VALUE"""),1.2838)</f>
        <v>1.2838</v>
      </c>
      <c r="F727" s="22">
        <f t="shared" si="11"/>
        <v>138.1532769</v>
      </c>
      <c r="G727" s="22">
        <f t="shared" si="79"/>
        <v>62.31593743</v>
      </c>
      <c r="H727" s="22">
        <f t="shared" si="80"/>
        <v>22.88718553</v>
      </c>
    </row>
    <row r="728" ht="15.75" customHeight="1">
      <c r="A728" s="32">
        <f>IFERROR(__xludf.DUMMYFUNCTION("""COMPUTED_VALUE"""),41222.666666666664)</f>
        <v>41222.66667</v>
      </c>
      <c r="B728" s="22">
        <f>IFERROR(__xludf.DUMMYFUNCTION("""COMPUTED_VALUE"""),1379.85)</f>
        <v>1379.85</v>
      </c>
      <c r="C728" s="22">
        <f t="shared" si="10"/>
        <v>1822.221362</v>
      </c>
      <c r="D728" s="25">
        <f>IFERROR(__xludf.DUMMYFUNCTION("""COMPUTED_VALUE"""),41223.99861111111)</f>
        <v>41223.99861</v>
      </c>
      <c r="E728" s="22">
        <f>IFERROR(__xludf.DUMMYFUNCTION("""COMPUTED_VALUE"""),1.2706)</f>
        <v>1.2706</v>
      </c>
      <c r="F728" s="22">
        <f t="shared" si="11"/>
        <v>136.2516959</v>
      </c>
      <c r="G728" s="22">
        <f t="shared" si="79"/>
        <v>57.14736443</v>
      </c>
      <c r="H728" s="22">
        <f t="shared" si="80"/>
        <v>20.39336969</v>
      </c>
    </row>
    <row r="729" ht="15.75" customHeight="1">
      <c r="A729" s="32">
        <f>IFERROR(__xludf.DUMMYFUNCTION("""COMPUTED_VALUE"""),41229.666666666664)</f>
        <v>41229.66667</v>
      </c>
      <c r="B729" s="22">
        <f>IFERROR(__xludf.DUMMYFUNCTION("""COMPUTED_VALUE"""),1359.88)</f>
        <v>1359.88</v>
      </c>
      <c r="C729" s="22">
        <f t="shared" si="10"/>
        <v>1796.549958</v>
      </c>
      <c r="D729" s="25">
        <f>IFERROR(__xludf.DUMMYFUNCTION("""COMPUTED_VALUE"""),41230.99861111111)</f>
        <v>41230.99861</v>
      </c>
      <c r="E729" s="22">
        <f>IFERROR(__xludf.DUMMYFUNCTION("""COMPUTED_VALUE"""),1.2743)</f>
        <v>1.2743</v>
      </c>
      <c r="F729" s="22">
        <f t="shared" si="11"/>
        <v>133.9421449</v>
      </c>
      <c r="G729" s="22">
        <f t="shared" si="79"/>
        <v>54.27482775</v>
      </c>
      <c r="H729" s="22">
        <f t="shared" si="80"/>
        <v>21.15513372</v>
      </c>
    </row>
    <row r="730" ht="15.75" customHeight="1">
      <c r="A730" s="32">
        <f>IFERROR(__xludf.DUMMYFUNCTION("""COMPUTED_VALUE"""),41236.666666666664)</f>
        <v>41236.66667</v>
      </c>
      <c r="B730" s="22">
        <f>IFERROR(__xludf.DUMMYFUNCTION("""COMPUTED_VALUE"""),1409.15)</f>
        <v>1409.15</v>
      </c>
      <c r="C730" s="22">
        <f t="shared" si="10"/>
        <v>1862.331989</v>
      </c>
      <c r="D730" s="25">
        <f>IFERROR(__xludf.DUMMYFUNCTION("""COMPUTED_VALUE"""),41237.99861111111)</f>
        <v>41237.99861</v>
      </c>
      <c r="E730" s="22">
        <f>IFERROR(__xludf.DUMMYFUNCTION("""COMPUTED_VALUE"""),1.2973)</f>
        <v>1.2973</v>
      </c>
      <c r="F730" s="22">
        <f t="shared" si="11"/>
        <v>136.3849092</v>
      </c>
      <c r="G730" s="22">
        <f t="shared" si="79"/>
        <v>58.31182381</v>
      </c>
      <c r="H730" s="22">
        <f t="shared" si="80"/>
        <v>19.1004922</v>
      </c>
    </row>
    <row r="731" ht="15.75" customHeight="1">
      <c r="A731" s="32">
        <f>IFERROR(__xludf.DUMMYFUNCTION("""COMPUTED_VALUE"""),41243.666666666664)</f>
        <v>41243.66667</v>
      </c>
      <c r="B731" s="22">
        <f>IFERROR(__xludf.DUMMYFUNCTION("""COMPUTED_VALUE"""),1416.18)</f>
        <v>1416.18</v>
      </c>
      <c r="C731" s="22">
        <f t="shared" si="10"/>
        <v>1872.339115</v>
      </c>
      <c r="D731" s="25">
        <f>IFERROR(__xludf.DUMMYFUNCTION("""COMPUTED_VALUE"""),41244.99861111111)</f>
        <v>41244.99861</v>
      </c>
      <c r="E731" s="22">
        <f>IFERROR(__xludf.DUMMYFUNCTION("""COMPUTED_VALUE"""),1.2984)</f>
        <v>1.2984</v>
      </c>
      <c r="F731" s="22">
        <f t="shared" si="11"/>
        <v>137.0015994</v>
      </c>
      <c r="G731" s="22">
        <f t="shared" si="79"/>
        <v>55.54434207</v>
      </c>
      <c r="H731" s="22">
        <f t="shared" si="80"/>
        <v>17.44391627</v>
      </c>
    </row>
    <row r="732" ht="15.75" customHeight="1">
      <c r="A732" s="32">
        <f>IFERROR(__xludf.DUMMYFUNCTION("""COMPUTED_VALUE"""),41250.666666666664)</f>
        <v>41250.66667</v>
      </c>
      <c r="B732" s="22">
        <f>IFERROR(__xludf.DUMMYFUNCTION("""COMPUTED_VALUE"""),1418.07)</f>
        <v>1418.07</v>
      </c>
      <c r="C732" s="22">
        <f t="shared" si="10"/>
        <v>1875.558024</v>
      </c>
      <c r="D732" s="25">
        <f>IFERROR(__xludf.DUMMYFUNCTION("""COMPUTED_VALUE"""),41251.99861111111)</f>
        <v>41251.99861</v>
      </c>
      <c r="E732" s="22">
        <f>IFERROR(__xludf.DUMMYFUNCTION("""COMPUTED_VALUE"""),1.2927)</f>
        <v>1.2927</v>
      </c>
      <c r="F732" s="22">
        <f t="shared" si="11"/>
        <v>137.8422615</v>
      </c>
      <c r="G732" s="22">
        <f t="shared" si="79"/>
        <v>53.86189979</v>
      </c>
      <c r="H732" s="22">
        <f t="shared" si="80"/>
        <v>19.13094277</v>
      </c>
    </row>
    <row r="733" ht="15.75" customHeight="1">
      <c r="A733" s="32">
        <f>IFERROR(__xludf.DUMMYFUNCTION("""COMPUTED_VALUE"""),41278.666666666664)</f>
        <v>41278.66667</v>
      </c>
      <c r="B733" s="22">
        <f>IFERROR(__xludf.DUMMYFUNCTION("""COMPUTED_VALUE"""),1466.47)</f>
        <v>1466.47</v>
      </c>
      <c r="C733" s="22">
        <f t="shared" si="10"/>
        <v>1940.293869</v>
      </c>
      <c r="D733" s="25">
        <f>IFERROR(__xludf.DUMMYFUNCTION("""COMPUTED_VALUE"""),41258.99861111111)</f>
        <v>41258.99861</v>
      </c>
      <c r="E733" s="22">
        <f>IFERROR(__xludf.DUMMYFUNCTION("""COMPUTED_VALUE"""),1.3153)</f>
        <v>1.3153</v>
      </c>
      <c r="F733" s="22">
        <f t="shared" si="11"/>
        <v>140.1497493</v>
      </c>
      <c r="G733" s="22">
        <f t="shared" si="79"/>
        <v>54.01551746</v>
      </c>
      <c r="H733" s="22">
        <f t="shared" si="80"/>
        <v>19.36728144</v>
      </c>
    </row>
    <row r="734" ht="15.75" customHeight="1">
      <c r="A734" s="32">
        <f>IFERROR(__xludf.DUMMYFUNCTION("""COMPUTED_VALUE"""),41285.666666666664)</f>
        <v>41285.66667</v>
      </c>
      <c r="B734" s="22">
        <f>IFERROR(__xludf.DUMMYFUNCTION("""COMPUTED_VALUE"""),1472.05)</f>
        <v>1472.05</v>
      </c>
      <c r="C734" s="22">
        <f t="shared" si="10"/>
        <v>1948.423062</v>
      </c>
      <c r="D734" s="25">
        <f>IFERROR(__xludf.DUMMYFUNCTION("""COMPUTED_VALUE"""),41265.99861111111)</f>
        <v>41265.99861</v>
      </c>
      <c r="E734" s="22">
        <f>IFERROR(__xludf.DUMMYFUNCTION("""COMPUTED_VALUE"""),1.3188)</f>
        <v>1.3188</v>
      </c>
      <c r="F734" s="22">
        <f t="shared" si="11"/>
        <v>140.363425</v>
      </c>
      <c r="G734" s="22">
        <f t="shared" si="79"/>
        <v>51.28454731</v>
      </c>
      <c r="H734" s="22">
        <f t="shared" si="80"/>
        <v>22.75584909</v>
      </c>
    </row>
    <row r="735" ht="15.75" customHeight="1">
      <c r="A735" s="32">
        <f>IFERROR(__xludf.DUMMYFUNCTION("""COMPUTED_VALUE"""),41292.666666666664)</f>
        <v>41292.66667</v>
      </c>
      <c r="B735" s="22">
        <f>IFERROR(__xludf.DUMMYFUNCTION("""COMPUTED_VALUE"""),1485.98)</f>
        <v>1485.98</v>
      </c>
      <c r="C735" s="22">
        <f t="shared" si="10"/>
        <v>1967.610371</v>
      </c>
      <c r="D735" s="25">
        <f>IFERROR(__xludf.DUMMYFUNCTION("""COMPUTED_VALUE"""),41272.99861111111)</f>
        <v>41272.99861</v>
      </c>
      <c r="E735" s="22">
        <f>IFERROR(__xludf.DUMMYFUNCTION("""COMPUTED_VALUE"""),1.3215)</f>
        <v>1.3215</v>
      </c>
      <c r="F735" s="22">
        <f t="shared" si="11"/>
        <v>141.4560639</v>
      </c>
      <c r="G735" s="22">
        <f t="shared" si="79"/>
        <v>52.96261614</v>
      </c>
      <c r="H735" s="22">
        <f t="shared" si="80"/>
        <v>29.73876933</v>
      </c>
    </row>
    <row r="736" ht="15.75" customHeight="1">
      <c r="A736" s="32">
        <f>IFERROR(__xludf.DUMMYFUNCTION("""COMPUTED_VALUE"""),41299.666666666664)</f>
        <v>41299.66667</v>
      </c>
      <c r="B736" s="22">
        <f>IFERROR(__xludf.DUMMYFUNCTION("""COMPUTED_VALUE"""),1502.96)</f>
        <v>1502.96</v>
      </c>
      <c r="C736" s="22">
        <f t="shared" si="10"/>
        <v>1990.850639</v>
      </c>
      <c r="D736" s="25">
        <f>IFERROR(__xludf.DUMMYFUNCTION("""COMPUTED_VALUE"""),41279.99861111111)</f>
        <v>41279.99861</v>
      </c>
      <c r="E736" s="22">
        <f>IFERROR(__xludf.DUMMYFUNCTION("""COMPUTED_VALUE"""),1.3067)</f>
        <v>1.3067</v>
      </c>
      <c r="F736" s="22">
        <f t="shared" si="11"/>
        <v>144.74795</v>
      </c>
      <c r="G736" s="22">
        <f t="shared" si="79"/>
        <v>53.60706295</v>
      </c>
      <c r="H736" s="22">
        <f t="shared" si="80"/>
        <v>34.13798321</v>
      </c>
    </row>
    <row r="737" ht="15.75" customHeight="1">
      <c r="A737" s="32">
        <f>IFERROR(__xludf.DUMMYFUNCTION("""COMPUTED_VALUE"""),41306.666666666664)</f>
        <v>41306.66667</v>
      </c>
      <c r="B737" s="22">
        <f>IFERROR(__xludf.DUMMYFUNCTION("""COMPUTED_VALUE"""),1513.17)</f>
        <v>1513.17</v>
      </c>
      <c r="C737" s="22">
        <f t="shared" si="10"/>
        <v>2005.14072</v>
      </c>
      <c r="D737" s="25">
        <f>IFERROR(__xludf.DUMMYFUNCTION("""COMPUTED_VALUE"""),41286.99861111111)</f>
        <v>41286.99861</v>
      </c>
      <c r="E737" s="22">
        <f>IFERROR(__xludf.DUMMYFUNCTION("""COMPUTED_VALUE"""),1.334)</f>
        <v>1.334</v>
      </c>
      <c r="F737" s="22">
        <f t="shared" si="11"/>
        <v>142.8034373</v>
      </c>
      <c r="G737" s="22">
        <f t="shared" si="79"/>
        <v>52.50864221</v>
      </c>
      <c r="H737" s="22">
        <f t="shared" si="80"/>
        <v>38.25298083</v>
      </c>
    </row>
    <row r="738" ht="15.75" customHeight="1">
      <c r="A738" s="32">
        <f>IFERROR(__xludf.DUMMYFUNCTION("""COMPUTED_VALUE"""),41313.666666666664)</f>
        <v>41313.66667</v>
      </c>
      <c r="B738" s="22">
        <f>IFERROR(__xludf.DUMMYFUNCTION("""COMPUTED_VALUE"""),1517.93)</f>
        <v>1517.93</v>
      </c>
      <c r="C738" s="22">
        <f t="shared" si="10"/>
        <v>2012.219527</v>
      </c>
      <c r="D738" s="25">
        <f>IFERROR(__xludf.DUMMYFUNCTION("""COMPUTED_VALUE"""),41293.99861111111)</f>
        <v>41293.99861</v>
      </c>
      <c r="E738" s="22">
        <f>IFERROR(__xludf.DUMMYFUNCTION("""COMPUTED_VALUE"""),1.3314)</f>
        <v>1.3314</v>
      </c>
      <c r="F738" s="22">
        <f t="shared" si="11"/>
        <v>143.587436</v>
      </c>
      <c r="G738" s="22">
        <f t="shared" si="79"/>
        <v>53.54746759</v>
      </c>
      <c r="H738" s="22">
        <f t="shared" si="80"/>
        <v>38.90408406</v>
      </c>
    </row>
    <row r="739" ht="15.75" customHeight="1">
      <c r="A739" s="32">
        <f>IFERROR(__xludf.DUMMYFUNCTION("""COMPUTED_VALUE"""),41320.666666666664)</f>
        <v>41320.66667</v>
      </c>
      <c r="B739" s="22">
        <f>IFERROR(__xludf.DUMMYFUNCTION("""COMPUTED_VALUE"""),1519.79)</f>
        <v>1519.79</v>
      </c>
      <c r="C739" s="22">
        <f t="shared" si="10"/>
        <v>2015.459137</v>
      </c>
      <c r="D739" s="25">
        <f>IFERROR(__xludf.DUMMYFUNCTION("""COMPUTED_VALUE"""),41300.99861111111)</f>
        <v>41300.99861</v>
      </c>
      <c r="E739" s="22">
        <f>IFERROR(__xludf.DUMMYFUNCTION("""COMPUTED_VALUE"""),1.346)</f>
        <v>1.346</v>
      </c>
      <c r="F739" s="22">
        <f t="shared" si="11"/>
        <v>142.2586134</v>
      </c>
      <c r="G739" s="22">
        <f t="shared" si="79"/>
        <v>54.73316486</v>
      </c>
      <c r="H739" s="22">
        <f t="shared" si="80"/>
        <v>32.3771318</v>
      </c>
    </row>
    <row r="740" ht="15.75" customHeight="1">
      <c r="A740" s="32">
        <f>IFERROR(__xludf.DUMMYFUNCTION("""COMPUTED_VALUE"""),41327.666666666664)</f>
        <v>41327.66667</v>
      </c>
      <c r="B740" s="22">
        <f>IFERROR(__xludf.DUMMYFUNCTION("""COMPUTED_VALUE"""),1515.6)</f>
        <v>1515.6</v>
      </c>
      <c r="C740" s="22">
        <f t="shared" si="10"/>
        <v>2010.677773</v>
      </c>
      <c r="D740" s="25">
        <f>IFERROR(__xludf.DUMMYFUNCTION("""COMPUTED_VALUE"""),41307.99861111111)</f>
        <v>41307.99861</v>
      </c>
      <c r="E740" s="22">
        <f>IFERROR(__xludf.DUMMYFUNCTION("""COMPUTED_VALUE"""),1.3642)</f>
        <v>1.3642</v>
      </c>
      <c r="F740" s="22">
        <f t="shared" si="11"/>
        <v>140.0277356</v>
      </c>
      <c r="G740" s="22">
        <f t="shared" si="79"/>
        <v>50.50116472</v>
      </c>
      <c r="H740" s="22">
        <f t="shared" si="80"/>
        <v>33.73771571</v>
      </c>
    </row>
    <row r="741" ht="15.75" customHeight="1">
      <c r="A741" s="32">
        <f>IFERROR(__xludf.DUMMYFUNCTION("""COMPUTED_VALUE"""),41334.666666666664)</f>
        <v>41334.66667</v>
      </c>
      <c r="B741" s="22">
        <f>IFERROR(__xludf.DUMMYFUNCTION("""COMPUTED_VALUE"""),1518.2)</f>
        <v>1518.2</v>
      </c>
      <c r="C741" s="22">
        <f t="shared" si="10"/>
        <v>2014.900413</v>
      </c>
      <c r="D741" s="25">
        <f>IFERROR(__xludf.DUMMYFUNCTION("""COMPUTED_VALUE"""),41314.99861111111)</f>
        <v>41314.99861</v>
      </c>
      <c r="E741" s="22">
        <f>IFERROR(__xludf.DUMMYFUNCTION("""COMPUTED_VALUE"""),1.3362)</f>
        <v>1.3362</v>
      </c>
      <c r="F741" s="22">
        <f t="shared" si="11"/>
        <v>143.262245</v>
      </c>
      <c r="G741" s="22">
        <f t="shared" si="79"/>
        <v>52.72082144</v>
      </c>
      <c r="H741" s="22">
        <f t="shared" si="80"/>
        <v>36.45239911</v>
      </c>
    </row>
    <row r="742" ht="15.75" customHeight="1">
      <c r="A742" s="32">
        <f>IFERROR(__xludf.DUMMYFUNCTION("""COMPUTED_VALUE"""),41341.666666666664)</f>
        <v>41341.66667</v>
      </c>
      <c r="B742" s="22">
        <f>IFERROR(__xludf.DUMMYFUNCTION("""COMPUTED_VALUE"""),1551.18)</f>
        <v>1551.18</v>
      </c>
      <c r="C742" s="22">
        <f t="shared" si="10"/>
        <v>2059.445244</v>
      </c>
      <c r="D742" s="25">
        <f>IFERROR(__xludf.DUMMYFUNCTION("""COMPUTED_VALUE"""),41321.99861111111)</f>
        <v>41321.99861</v>
      </c>
      <c r="E742" s="22">
        <f>IFERROR(__xludf.DUMMYFUNCTION("""COMPUTED_VALUE"""),1.3363)</f>
        <v>1.3363</v>
      </c>
      <c r="F742" s="22">
        <f t="shared" si="11"/>
        <v>146.4184871</v>
      </c>
      <c r="G742" s="22">
        <f t="shared" si="79"/>
        <v>50.39117168</v>
      </c>
      <c r="H742" s="22">
        <f t="shared" si="80"/>
        <v>40.54372488</v>
      </c>
    </row>
    <row r="743" ht="15.75" customHeight="1">
      <c r="A743" s="32">
        <f>IFERROR(__xludf.DUMMYFUNCTION("""COMPUTED_VALUE"""),41348.666666666664)</f>
        <v>41348.66667</v>
      </c>
      <c r="B743" s="22">
        <f>IFERROR(__xludf.DUMMYFUNCTION("""COMPUTED_VALUE"""),1560.7)</f>
        <v>1560.7</v>
      </c>
      <c r="C743" s="22">
        <f t="shared" si="10"/>
        <v>2072.876696</v>
      </c>
      <c r="D743" s="25">
        <f>IFERROR(__xludf.DUMMYFUNCTION("""COMPUTED_VALUE"""),41328.99861111111)</f>
        <v>41328.99861</v>
      </c>
      <c r="E743" s="22">
        <f>IFERROR(__xludf.DUMMYFUNCTION("""COMPUTED_VALUE"""),1.3192)</f>
        <v>1.3192</v>
      </c>
      <c r="F743" s="22">
        <f t="shared" si="11"/>
        <v>149.283724</v>
      </c>
      <c r="G743" s="22">
        <f t="shared" si="79"/>
        <v>55.31183547</v>
      </c>
      <c r="H743" s="22">
        <f t="shared" si="80"/>
        <v>49.08708532</v>
      </c>
    </row>
    <row r="744" ht="15.75" customHeight="1">
      <c r="A744" s="32">
        <f>IFERROR(__xludf.DUMMYFUNCTION("""COMPUTED_VALUE"""),41355.666666666664)</f>
        <v>41355.66667</v>
      </c>
      <c r="B744" s="22">
        <f>IFERROR(__xludf.DUMMYFUNCTION("""COMPUTED_VALUE"""),1556.89)</f>
        <v>1556.89</v>
      </c>
      <c r="C744" s="22">
        <f t="shared" si="10"/>
        <v>2068.613624</v>
      </c>
      <c r="D744" s="25">
        <f>IFERROR(__xludf.DUMMYFUNCTION("""COMPUTED_VALUE"""),41335.99861111111)</f>
        <v>41335.99861</v>
      </c>
      <c r="E744" s="22">
        <f>IFERROR(__xludf.DUMMYFUNCTION("""COMPUTED_VALUE"""),1.3018)</f>
        <v>1.3018</v>
      </c>
      <c r="F744" s="22">
        <f t="shared" si="11"/>
        <v>150.9679464</v>
      </c>
      <c r="G744" s="22">
        <f t="shared" si="79"/>
        <v>51.71987496</v>
      </c>
      <c r="H744" s="22">
        <f t="shared" si="80"/>
        <v>56.83946679</v>
      </c>
    </row>
    <row r="745" ht="15.75" customHeight="1">
      <c r="A745" s="32">
        <f>IFERROR(__xludf.DUMMYFUNCTION("""COMPUTED_VALUE"""),41361.666666666664)</f>
        <v>41361.66667</v>
      </c>
      <c r="B745" s="22">
        <f>IFERROR(__xludf.DUMMYFUNCTION("""COMPUTED_VALUE"""),1569.19)</f>
        <v>1569.19</v>
      </c>
      <c r="C745" s="22">
        <f t="shared" si="10"/>
        <v>2085.752048</v>
      </c>
      <c r="D745" s="25">
        <f>IFERROR(__xludf.DUMMYFUNCTION("""COMPUTED_VALUE"""),41342.99861111111)</f>
        <v>41342.99861</v>
      </c>
      <c r="E745" s="22">
        <f>IFERROR(__xludf.DUMMYFUNCTION("""COMPUTED_VALUE"""),1.3007)</f>
        <v>1.3007</v>
      </c>
      <c r="F745" s="22">
        <f t="shared" si="11"/>
        <v>152.3474441</v>
      </c>
      <c r="G745" s="22">
        <f t="shared" si="79"/>
        <v>53.31637493</v>
      </c>
      <c r="H745" s="22">
        <f t="shared" si="80"/>
        <v>61.58631203</v>
      </c>
    </row>
    <row r="746" ht="15.75" customHeight="1">
      <c r="A746" s="32">
        <f>IFERROR(__xludf.DUMMYFUNCTION("""COMPUTED_VALUE"""),41369.666666666664)</f>
        <v>41369.66667</v>
      </c>
      <c r="B746" s="22">
        <f>IFERROR(__xludf.DUMMYFUNCTION("""COMPUTED_VALUE"""),1553.28)</f>
        <v>1553.28</v>
      </c>
      <c r="C746" s="22">
        <f t="shared" si="10"/>
        <v>2065.406844</v>
      </c>
      <c r="D746" s="25">
        <f>IFERROR(__xludf.DUMMYFUNCTION("""COMPUTED_VALUE"""),41349.99861111111)</f>
        <v>41349.99861</v>
      </c>
      <c r="E746" s="22">
        <f>IFERROR(__xludf.DUMMYFUNCTION("""COMPUTED_VALUE"""),1.3077)</f>
        <v>1.3077</v>
      </c>
      <c r="F746" s="22">
        <f t="shared" si="11"/>
        <v>150.0538428</v>
      </c>
      <c r="G746" s="22">
        <f t="shared" si="79"/>
        <v>47.10587251</v>
      </c>
      <c r="H746" s="22">
        <f t="shared" si="80"/>
        <v>54.95345838</v>
      </c>
    </row>
    <row r="747" ht="15.75" customHeight="1">
      <c r="A747" s="32">
        <f>IFERROR(__xludf.DUMMYFUNCTION("""COMPUTED_VALUE"""),41376.666666666664)</f>
        <v>41376.66667</v>
      </c>
      <c r="B747" s="22">
        <f>IFERROR(__xludf.DUMMYFUNCTION("""COMPUTED_VALUE"""),1588.85)</f>
        <v>1588.85</v>
      </c>
      <c r="C747" s="22">
        <f t="shared" si="10"/>
        <v>2113.498899</v>
      </c>
      <c r="D747" s="25">
        <f>IFERROR(__xludf.DUMMYFUNCTION("""COMPUTED_VALUE"""),41356.99861111111)</f>
        <v>41356.99861</v>
      </c>
      <c r="E747" s="22">
        <f>IFERROR(__xludf.DUMMYFUNCTION("""COMPUTED_VALUE"""),1.2989)</f>
        <v>1.2989</v>
      </c>
      <c r="F747" s="22">
        <f t="shared" si="11"/>
        <v>154.5880586</v>
      </c>
      <c r="G747" s="22">
        <f t="shared" si="79"/>
        <v>49.0323503</v>
      </c>
      <c r="H747" s="22">
        <f t="shared" si="80"/>
        <v>61.93444586</v>
      </c>
    </row>
    <row r="748" ht="15.75" customHeight="1">
      <c r="A748" s="32">
        <f>IFERROR(__xludf.DUMMYFUNCTION("""COMPUTED_VALUE"""),41383.666666666664)</f>
        <v>41383.66667</v>
      </c>
      <c r="B748" s="22">
        <f>IFERROR(__xludf.DUMMYFUNCTION("""COMPUTED_VALUE"""),1555.25)</f>
        <v>1555.25</v>
      </c>
      <c r="C748" s="22">
        <f t="shared" si="10"/>
        <v>2069.616838</v>
      </c>
      <c r="D748" s="25">
        <f>IFERROR(__xludf.DUMMYFUNCTION("""COMPUTED_VALUE"""),41363.99861111111)</f>
        <v>41363.99861</v>
      </c>
      <c r="E748" s="22">
        <f>IFERROR(__xludf.DUMMYFUNCTION("""COMPUTED_VALUE"""),1.282)</f>
        <v>1.282</v>
      </c>
      <c r="F748" s="22">
        <f t="shared" si="11"/>
        <v>153.3739342</v>
      </c>
      <c r="G748" s="22">
        <f t="shared" si="79"/>
        <v>47.58601952</v>
      </c>
      <c r="H748" s="22">
        <f t="shared" si="80"/>
        <v>53.90174757</v>
      </c>
    </row>
    <row r="749" ht="15.75" customHeight="1">
      <c r="A749" s="32">
        <f>IFERROR(__xludf.DUMMYFUNCTION("""COMPUTED_VALUE"""),41390.666666666664)</f>
        <v>41390.66667</v>
      </c>
      <c r="B749" s="22">
        <f>IFERROR(__xludf.DUMMYFUNCTION("""COMPUTED_VALUE"""),1582.24)</f>
        <v>1582.24</v>
      </c>
      <c r="C749" s="22">
        <f t="shared" si="10"/>
        <v>2106.32923</v>
      </c>
      <c r="D749" s="25">
        <f>IFERROR(__xludf.DUMMYFUNCTION("""COMPUTED_VALUE"""),41370.99861111111)</f>
        <v>41370.99861</v>
      </c>
      <c r="E749" s="22">
        <f>IFERROR(__xludf.DUMMYFUNCTION("""COMPUTED_VALUE"""),1.2921)</f>
        <v>1.2921</v>
      </c>
      <c r="F749" s="22">
        <f t="shared" si="11"/>
        <v>154.8744447</v>
      </c>
      <c r="G749" s="22">
        <f t="shared" si="79"/>
        <v>46.94403595</v>
      </c>
      <c r="H749" s="22">
        <f t="shared" si="80"/>
        <v>60.62856639</v>
      </c>
    </row>
    <row r="750" ht="15.75" customHeight="1">
      <c r="A750" s="32">
        <f>IFERROR(__xludf.DUMMYFUNCTION("""COMPUTED_VALUE"""),41397.666666666664)</f>
        <v>41397.66667</v>
      </c>
      <c r="B750" s="22">
        <f>IFERROR(__xludf.DUMMYFUNCTION("""COMPUTED_VALUE"""),1614.42)</f>
        <v>1614.42</v>
      </c>
      <c r="C750" s="22">
        <f t="shared" si="10"/>
        <v>2149.978417</v>
      </c>
      <c r="D750" s="25">
        <f>IFERROR(__xludf.DUMMYFUNCTION("""COMPUTED_VALUE"""),41377.99861111111)</f>
        <v>41377.99861</v>
      </c>
      <c r="E750" s="22">
        <f>IFERROR(__xludf.DUMMYFUNCTION("""COMPUTED_VALUE"""),1.311)</f>
        <v>1.311</v>
      </c>
      <c r="F750" s="22">
        <f t="shared" si="11"/>
        <v>155.8048751</v>
      </c>
      <c r="G750" s="22">
        <f t="shared" si="79"/>
        <v>47.87206328</v>
      </c>
      <c r="H750" s="22">
        <f t="shared" si="80"/>
        <v>53.99204596</v>
      </c>
    </row>
    <row r="751" ht="15.75" customHeight="1">
      <c r="A751" s="32">
        <f>IFERROR(__xludf.DUMMYFUNCTION("""COMPUTED_VALUE"""),41404.666666666664)</f>
        <v>41404.66667</v>
      </c>
      <c r="B751" s="22">
        <f>IFERROR(__xludf.DUMMYFUNCTION("""COMPUTED_VALUE"""),1633.7)</f>
        <v>1633.7</v>
      </c>
      <c r="C751" s="22">
        <f t="shared" si="10"/>
        <v>2176.481168</v>
      </c>
      <c r="D751" s="25">
        <f>IFERROR(__xludf.DUMMYFUNCTION("""COMPUTED_VALUE"""),41384.99861111111)</f>
        <v>41384.99861</v>
      </c>
      <c r="E751" s="22">
        <f>IFERROR(__xludf.DUMMYFUNCTION("""COMPUTED_VALUE"""),1.3052)</f>
        <v>1.3052</v>
      </c>
      <c r="F751" s="22">
        <f t="shared" si="11"/>
        <v>158.4263741</v>
      </c>
      <c r="G751" s="22">
        <f t="shared" si="79"/>
        <v>46.08451573</v>
      </c>
      <c r="H751" s="22">
        <f t="shared" si="80"/>
        <v>54.68274751</v>
      </c>
    </row>
    <row r="752" ht="15.75" customHeight="1">
      <c r="A752" s="32">
        <f>IFERROR(__xludf.DUMMYFUNCTION("""COMPUTED_VALUE"""),41411.666666666664)</f>
        <v>41411.66667</v>
      </c>
      <c r="B752" s="22">
        <f>IFERROR(__xludf.DUMMYFUNCTION("""COMPUTED_VALUE"""),1666.12)</f>
        <v>1666.12</v>
      </c>
      <c r="C752" s="22">
        <f t="shared" si="10"/>
        <v>2220.509511</v>
      </c>
      <c r="D752" s="25">
        <f>IFERROR(__xludf.DUMMYFUNCTION("""COMPUTED_VALUE"""),41391.99861111111)</f>
        <v>41391.99861</v>
      </c>
      <c r="E752" s="22">
        <f>IFERROR(__xludf.DUMMYFUNCTION("""COMPUTED_VALUE"""),1.3029)</f>
        <v>1.3029</v>
      </c>
      <c r="F752" s="22">
        <f t="shared" si="11"/>
        <v>161.9165298</v>
      </c>
      <c r="G752" s="22">
        <f t="shared" si="79"/>
        <v>52.16432923</v>
      </c>
      <c r="H752" s="22">
        <f t="shared" si="80"/>
        <v>54.20629799</v>
      </c>
    </row>
    <row r="753" ht="15.75" customHeight="1">
      <c r="A753" s="32">
        <f>IFERROR(__xludf.DUMMYFUNCTION("""COMPUTED_VALUE"""),41418.666666666664)</f>
        <v>41418.66667</v>
      </c>
      <c r="B753" s="22">
        <f>IFERROR(__xludf.DUMMYFUNCTION("""COMPUTED_VALUE"""),1649.6)</f>
        <v>1649.6</v>
      </c>
      <c r="C753" s="22">
        <f t="shared" si="10"/>
        <v>2199.346641</v>
      </c>
      <c r="D753" s="25">
        <f>IFERROR(__xludf.DUMMYFUNCTION("""COMPUTED_VALUE"""),41398.99861111111)</f>
        <v>41398.99861</v>
      </c>
      <c r="E753" s="22">
        <f>IFERROR(__xludf.DUMMYFUNCTION("""COMPUTED_VALUE"""),1.3116)</f>
        <v>1.3116</v>
      </c>
      <c r="F753" s="22">
        <f t="shared" si="11"/>
        <v>159.3095865</v>
      </c>
      <c r="G753" s="22">
        <f t="shared" si="79"/>
        <v>52.8700805</v>
      </c>
      <c r="H753" s="22">
        <f t="shared" si="80"/>
        <v>55.04365593</v>
      </c>
    </row>
    <row r="754" ht="15.75" customHeight="1">
      <c r="A754" s="32">
        <f>IFERROR(__xludf.DUMMYFUNCTION("""COMPUTED_VALUE"""),41425.666666666664)</f>
        <v>41425.66667</v>
      </c>
      <c r="B754" s="22">
        <f>IFERROR(__xludf.DUMMYFUNCTION("""COMPUTED_VALUE"""),1630.74)</f>
        <v>1630.74</v>
      </c>
      <c r="C754" s="22">
        <f t="shared" si="10"/>
        <v>2175.047249</v>
      </c>
      <c r="D754" s="25">
        <f>IFERROR(__xludf.DUMMYFUNCTION("""COMPUTED_VALUE"""),41405.99861111111)</f>
        <v>41405.99861</v>
      </c>
      <c r="E754" s="22">
        <f>IFERROR(__xludf.DUMMYFUNCTION("""COMPUTED_VALUE"""),1.2992)</f>
        <v>1.2992</v>
      </c>
      <c r="F754" s="22">
        <f t="shared" si="11"/>
        <v>159.0531658</v>
      </c>
      <c r="G754" s="22">
        <f t="shared" si="79"/>
        <v>45.02244593</v>
      </c>
      <c r="H754" s="22">
        <f t="shared" si="80"/>
        <v>51.57797254</v>
      </c>
    </row>
    <row r="755" ht="15.75" customHeight="1">
      <c r="A755" s="32">
        <f>IFERROR(__xludf.DUMMYFUNCTION("""COMPUTED_VALUE"""),41432.666666666664)</f>
        <v>41432.66667</v>
      </c>
      <c r="B755" s="22">
        <f>IFERROR(__xludf.DUMMYFUNCTION("""COMPUTED_VALUE"""),1643.38)</f>
        <v>1643.38</v>
      </c>
      <c r="C755" s="22">
        <f t="shared" si="10"/>
        <v>2192.742776</v>
      </c>
      <c r="D755" s="25">
        <f>IFERROR(__xludf.DUMMYFUNCTION("""COMPUTED_VALUE"""),41412.99861111111)</f>
        <v>41412.99861</v>
      </c>
      <c r="E755" s="22">
        <f>IFERROR(__xludf.DUMMYFUNCTION("""COMPUTED_VALUE"""),1.2838)</f>
        <v>1.2838</v>
      </c>
      <c r="F755" s="22">
        <f t="shared" si="11"/>
        <v>162.2706409</v>
      </c>
      <c r="G755" s="22">
        <f t="shared" si="79"/>
        <v>57.22086977</v>
      </c>
      <c r="H755" s="22">
        <f t="shared" si="80"/>
        <v>62.2323007</v>
      </c>
    </row>
    <row r="756" ht="15.75" customHeight="1">
      <c r="A756" s="32">
        <f>IFERROR(__xludf.DUMMYFUNCTION("""COMPUTED_VALUE"""),41439.666666666664)</f>
        <v>41439.66667</v>
      </c>
      <c r="B756" s="22">
        <f>IFERROR(__xludf.DUMMYFUNCTION("""COMPUTED_VALUE"""),1626.73)</f>
        <v>1626.73</v>
      </c>
      <c r="C756" s="22">
        <f t="shared" si="10"/>
        <v>2171.370238</v>
      </c>
      <c r="D756" s="25">
        <f>IFERROR(__xludf.DUMMYFUNCTION("""COMPUTED_VALUE"""),41419.99861111111)</f>
        <v>41419.99861</v>
      </c>
      <c r="E756" s="22">
        <f>IFERROR(__xludf.DUMMYFUNCTION("""COMPUTED_VALUE"""),1.2931)</f>
        <v>1.2931</v>
      </c>
      <c r="F756" s="22">
        <f t="shared" si="11"/>
        <v>159.5333199</v>
      </c>
      <c r="G756" s="22">
        <f t="shared" si="79"/>
        <v>51.6050714</v>
      </c>
      <c r="H756" s="22">
        <f t="shared" si="80"/>
        <v>54.26901995</v>
      </c>
    </row>
    <row r="757" ht="15.75" customHeight="1">
      <c r="A757" s="32">
        <f>IFERROR(__xludf.DUMMYFUNCTION("""COMPUTED_VALUE"""),41446.666666666664)</f>
        <v>41446.66667</v>
      </c>
      <c r="B757" s="22">
        <f>IFERROR(__xludf.DUMMYFUNCTION("""COMPUTED_VALUE"""),1592.43)</f>
        <v>1592.43</v>
      </c>
      <c r="C757" s="22">
        <f t="shared" si="10"/>
        <v>2126.421508</v>
      </c>
      <c r="D757" s="25">
        <f>IFERROR(__xludf.DUMMYFUNCTION("""COMPUTED_VALUE"""),41426.99861111111)</f>
        <v>41426.99861</v>
      </c>
      <c r="E757" s="22">
        <f>IFERROR(__xludf.DUMMYFUNCTION("""COMPUTED_VALUE"""),1.2995)</f>
        <v>1.2995</v>
      </c>
      <c r="F757" s="22">
        <f t="shared" si="11"/>
        <v>155.4614473</v>
      </c>
      <c r="G757" s="22">
        <f t="shared" si="79"/>
        <v>46.5710793</v>
      </c>
      <c r="H757" s="22">
        <f t="shared" si="80"/>
        <v>57.02521803</v>
      </c>
    </row>
    <row r="758" ht="15.75" customHeight="1">
      <c r="A758" s="32">
        <f>IFERROR(__xludf.DUMMYFUNCTION("""COMPUTED_VALUE"""),41453.666666666664)</f>
        <v>41453.66667</v>
      </c>
      <c r="B758" s="22">
        <f>IFERROR(__xludf.DUMMYFUNCTION("""COMPUTED_VALUE"""),1606.28)</f>
        <v>1606.28</v>
      </c>
      <c r="C758" s="22">
        <f t="shared" si="10"/>
        <v>2145.7337</v>
      </c>
      <c r="D758" s="25">
        <f>IFERROR(__xludf.DUMMYFUNCTION("""COMPUTED_VALUE"""),41433.99861111111)</f>
        <v>41433.99861</v>
      </c>
      <c r="E758" s="22">
        <f>IFERROR(__xludf.DUMMYFUNCTION("""COMPUTED_VALUE"""),1.3222)</f>
        <v>1.3222</v>
      </c>
      <c r="F758" s="22">
        <f t="shared" si="11"/>
        <v>154.180093</v>
      </c>
      <c r="G758" s="22">
        <f t="shared" si="79"/>
        <v>43.1577008</v>
      </c>
      <c r="H758" s="22">
        <f t="shared" si="80"/>
        <v>51.80667284</v>
      </c>
    </row>
    <row r="759" ht="15.75" customHeight="1">
      <c r="A759" s="32">
        <f>IFERROR(__xludf.DUMMYFUNCTION("""COMPUTED_VALUE"""),41460.666666666664)</f>
        <v>41460.66667</v>
      </c>
      <c r="B759" s="22">
        <f>IFERROR(__xludf.DUMMYFUNCTION("""COMPUTED_VALUE"""),1631.89)</f>
        <v>1631.89</v>
      </c>
      <c r="C759" s="22">
        <f t="shared" si="10"/>
        <v>2180.769854</v>
      </c>
      <c r="D759" s="25">
        <f>IFERROR(__xludf.DUMMYFUNCTION("""COMPUTED_VALUE"""),41440.99861111111)</f>
        <v>41440.99861</v>
      </c>
      <c r="E759" s="22">
        <f>IFERROR(__xludf.DUMMYFUNCTION("""COMPUTED_VALUE"""),1.3346)</f>
        <v>1.3346</v>
      </c>
      <c r="F759" s="22">
        <f t="shared" si="11"/>
        <v>155.2416852</v>
      </c>
      <c r="G759" s="22">
        <f t="shared" si="79"/>
        <v>43.73166758</v>
      </c>
      <c r="H759" s="22">
        <f t="shared" si="80"/>
        <v>60.17380427</v>
      </c>
    </row>
    <row r="760" ht="15.75" customHeight="1">
      <c r="A760" s="32">
        <f>IFERROR(__xludf.DUMMYFUNCTION("""COMPUTED_VALUE"""),41467.666666666664)</f>
        <v>41467.66667</v>
      </c>
      <c r="B760" s="22">
        <f>IFERROR(__xludf.DUMMYFUNCTION("""COMPUTED_VALUE"""),1680.19)</f>
        <v>1680.19</v>
      </c>
      <c r="C760" s="22">
        <f t="shared" si="10"/>
        <v>2246.154129</v>
      </c>
      <c r="D760" s="25">
        <f>IFERROR(__xludf.DUMMYFUNCTION("""COMPUTED_VALUE"""),41447.99861111111)</f>
        <v>41447.99861</v>
      </c>
      <c r="E760" s="22">
        <f>IFERROR(__xludf.DUMMYFUNCTION("""COMPUTED_VALUE"""),1.3122)</f>
        <v>1.3122</v>
      </c>
      <c r="F760" s="22">
        <f t="shared" si="11"/>
        <v>162.6256908</v>
      </c>
      <c r="G760" s="22">
        <f t="shared" si="79"/>
        <v>56.21925777</v>
      </c>
      <c r="H760" s="22">
        <f t="shared" si="80"/>
        <v>74.29851896</v>
      </c>
    </row>
    <row r="761" ht="15.75" customHeight="1">
      <c r="A761" s="32">
        <f>IFERROR(__xludf.DUMMYFUNCTION("""COMPUTED_VALUE"""),41474.666666666664)</f>
        <v>41474.66667</v>
      </c>
      <c r="B761" s="22">
        <f>IFERROR(__xludf.DUMMYFUNCTION("""COMPUTED_VALUE"""),1692.09)</f>
        <v>1692.09</v>
      </c>
      <c r="C761" s="22">
        <f t="shared" si="10"/>
        <v>2262.926494</v>
      </c>
      <c r="D761" s="25">
        <f>IFERROR(__xludf.DUMMYFUNCTION("""COMPUTED_VALUE"""),41454.99861111111)</f>
        <v>41454.99861</v>
      </c>
      <c r="E761" s="22">
        <f>IFERROR(__xludf.DUMMYFUNCTION("""COMPUTED_VALUE"""),1.3009)</f>
        <v>1.3009</v>
      </c>
      <c r="F761" s="22">
        <f t="shared" si="11"/>
        <v>165.2632036</v>
      </c>
      <c r="G761" s="22">
        <f t="shared" si="79"/>
        <v>69.79726705</v>
      </c>
      <c r="H761" s="22">
        <f t="shared" si="80"/>
        <v>78.78279741</v>
      </c>
    </row>
    <row r="762" ht="15.75" customHeight="1">
      <c r="A762" s="32">
        <f>IFERROR(__xludf.DUMMYFUNCTION("""COMPUTED_VALUE"""),41481.666666666664)</f>
        <v>41481.66667</v>
      </c>
      <c r="B762" s="22">
        <f>IFERROR(__xludf.DUMMYFUNCTION("""COMPUTED_VALUE"""),1691.65)</f>
        <v>1691.65</v>
      </c>
      <c r="C762" s="22">
        <f t="shared" si="10"/>
        <v>2263.208413</v>
      </c>
      <c r="D762" s="25">
        <f>IFERROR(__xludf.DUMMYFUNCTION("""COMPUTED_VALUE"""),41461.99861111111)</f>
        <v>41461.99861</v>
      </c>
      <c r="E762" s="22">
        <f>IFERROR(__xludf.DUMMYFUNCTION("""COMPUTED_VALUE"""),1.2832)</f>
        <v>1.2832</v>
      </c>
      <c r="F762" s="22">
        <f t="shared" si="11"/>
        <v>167.5636577</v>
      </c>
      <c r="G762" s="22">
        <f t="shared" si="79"/>
        <v>64.13942704</v>
      </c>
      <c r="H762" s="22">
        <f t="shared" si="80"/>
        <v>87.36127812</v>
      </c>
    </row>
    <row r="763" ht="15.75" customHeight="1">
      <c r="A763" s="32">
        <f>IFERROR(__xludf.DUMMYFUNCTION("""COMPUTED_VALUE"""),41488.666666666664)</f>
        <v>41488.66667</v>
      </c>
      <c r="B763" s="22">
        <f>IFERROR(__xludf.DUMMYFUNCTION("""COMPUTED_VALUE"""),1709.67)</f>
        <v>1709.67</v>
      </c>
      <c r="C763" s="22">
        <f t="shared" si="10"/>
        <v>2288.187302</v>
      </c>
      <c r="D763" s="25">
        <f>IFERROR(__xludf.DUMMYFUNCTION("""COMPUTED_VALUE"""),41468.99861111111)</f>
        <v>41468.99861</v>
      </c>
      <c r="E763" s="22">
        <f>IFERROR(__xludf.DUMMYFUNCTION("""COMPUTED_VALUE"""),1.3066)</f>
        <v>1.3066</v>
      </c>
      <c r="F763" s="22">
        <f t="shared" si="11"/>
        <v>166.379016</v>
      </c>
      <c r="G763" s="22">
        <f t="shared" si="79"/>
        <v>68.51712721</v>
      </c>
      <c r="H763" s="22">
        <f t="shared" si="80"/>
        <v>81.81973826</v>
      </c>
    </row>
    <row r="764" ht="15.75" customHeight="1">
      <c r="A764" s="32">
        <f>IFERROR(__xludf.DUMMYFUNCTION("""COMPUTED_VALUE"""),41495.666666666664)</f>
        <v>41495.66667</v>
      </c>
      <c r="B764" s="22">
        <f>IFERROR(__xludf.DUMMYFUNCTION("""COMPUTED_VALUE"""),1691.42)</f>
        <v>1691.42</v>
      </c>
      <c r="C764" s="22">
        <f t="shared" si="10"/>
        <v>2264.641948</v>
      </c>
      <c r="D764" s="25">
        <f>IFERROR(__xludf.DUMMYFUNCTION("""COMPUTED_VALUE"""),41475.99861111111)</f>
        <v>41475.99861</v>
      </c>
      <c r="E764" s="22">
        <f>IFERROR(__xludf.DUMMYFUNCTION("""COMPUTED_VALUE"""),1.3144)</f>
        <v>1.3144</v>
      </c>
      <c r="F764" s="22">
        <f t="shared" si="11"/>
        <v>163.6898049</v>
      </c>
      <c r="G764" s="22">
        <f t="shared" si="79"/>
        <v>59.35955866</v>
      </c>
      <c r="H764" s="22">
        <f t="shared" si="80"/>
        <v>77.18071386</v>
      </c>
    </row>
    <row r="765" ht="15.75" customHeight="1">
      <c r="A765" s="32">
        <f>IFERROR(__xludf.DUMMYFUNCTION("""COMPUTED_VALUE"""),41502.666666666664)</f>
        <v>41502.66667</v>
      </c>
      <c r="B765" s="22">
        <f>IFERROR(__xludf.DUMMYFUNCTION("""COMPUTED_VALUE"""),1655.83)</f>
        <v>1655.83</v>
      </c>
      <c r="C765" s="22">
        <f t="shared" si="10"/>
        <v>2217.861519</v>
      </c>
      <c r="D765" s="25">
        <f>IFERROR(__xludf.DUMMYFUNCTION("""COMPUTED_VALUE"""),41482.99861111111)</f>
        <v>41482.99861</v>
      </c>
      <c r="E765" s="22">
        <f>IFERROR(__xludf.DUMMYFUNCTION("""COMPUTED_VALUE"""),1.3278)</f>
        <v>1.3278</v>
      </c>
      <c r="F765" s="22">
        <f t="shared" si="11"/>
        <v>158.6906706</v>
      </c>
      <c r="G765" s="22">
        <f t="shared" si="79"/>
        <v>56.69707239</v>
      </c>
      <c r="H765" s="22">
        <f t="shared" si="80"/>
        <v>70.19717856</v>
      </c>
    </row>
    <row r="766" ht="15.75" customHeight="1">
      <c r="A766" s="32">
        <f>IFERROR(__xludf.DUMMYFUNCTION("""COMPUTED_VALUE"""),41509.666666666664)</f>
        <v>41509.66667</v>
      </c>
      <c r="B766" s="22">
        <f>IFERROR(__xludf.DUMMYFUNCTION("""COMPUTED_VALUE"""),1663.5)</f>
        <v>1663.5</v>
      </c>
      <c r="C766" s="22">
        <f t="shared" si="10"/>
        <v>2228.987939</v>
      </c>
      <c r="D766" s="25">
        <f>IFERROR(__xludf.DUMMYFUNCTION("""COMPUTED_VALUE"""),41489.99861111111)</f>
        <v>41489.99861</v>
      </c>
      <c r="E766" s="22">
        <f>IFERROR(__xludf.DUMMYFUNCTION("""COMPUTED_VALUE"""),1.3281)</f>
        <v>1.3281</v>
      </c>
      <c r="F766" s="22">
        <f t="shared" si="11"/>
        <v>159.4507535</v>
      </c>
      <c r="G766" s="22">
        <f t="shared" si="79"/>
        <v>57.42154413</v>
      </c>
      <c r="H766" s="22">
        <f t="shared" si="80"/>
        <v>60.64728807</v>
      </c>
    </row>
    <row r="767" ht="15.75" customHeight="1">
      <c r="A767" s="32">
        <f>IFERROR(__xludf.DUMMYFUNCTION("""COMPUTED_VALUE"""),41516.666666666664)</f>
        <v>41516.66667</v>
      </c>
      <c r="B767" s="22">
        <f>IFERROR(__xludf.DUMMYFUNCTION("""COMPUTED_VALUE"""),1632.97)</f>
        <v>1632.97</v>
      </c>
      <c r="C767" s="22">
        <f t="shared" si="10"/>
        <v>2188.936915</v>
      </c>
      <c r="D767" s="25">
        <f>IFERROR(__xludf.DUMMYFUNCTION("""COMPUTED_VALUE"""),41496.99861111111)</f>
        <v>41496.99861</v>
      </c>
      <c r="E767" s="22">
        <f>IFERROR(__xludf.DUMMYFUNCTION("""COMPUTED_VALUE"""),1.3341)</f>
        <v>1.3341</v>
      </c>
      <c r="F767" s="22">
        <f t="shared" si="11"/>
        <v>155.881471</v>
      </c>
      <c r="G767" s="22">
        <f t="shared" si="79"/>
        <v>53.64129766</v>
      </c>
      <c r="H767" s="22">
        <f t="shared" si="80"/>
        <v>53.10628389</v>
      </c>
    </row>
    <row r="768" ht="15.75" customHeight="1">
      <c r="A768" s="32">
        <f>IFERROR(__xludf.DUMMYFUNCTION("""COMPUTED_VALUE"""),41523.666666666664)</f>
        <v>41523.66667</v>
      </c>
      <c r="B768" s="22">
        <f>IFERROR(__xludf.DUMMYFUNCTION("""COMPUTED_VALUE"""),1655.17)</f>
        <v>1655.17</v>
      </c>
      <c r="C768" s="22">
        <f t="shared" si="10"/>
        <v>2219.537107</v>
      </c>
      <c r="D768" s="25">
        <f>IFERROR(__xludf.DUMMYFUNCTION("""COMPUTED_VALUE"""),41503.99861111111)</f>
        <v>41503.99861</v>
      </c>
      <c r="E768" s="22">
        <f>IFERROR(__xludf.DUMMYFUNCTION("""COMPUTED_VALUE"""),1.3329)</f>
        <v>1.3329</v>
      </c>
      <c r="F768" s="22">
        <f t="shared" si="11"/>
        <v>158.2029131</v>
      </c>
      <c r="G768" s="22">
        <f t="shared" si="79"/>
        <v>56.36577032</v>
      </c>
      <c r="H768" s="22">
        <f t="shared" si="80"/>
        <v>57.17329757</v>
      </c>
    </row>
    <row r="769" ht="15.75" customHeight="1">
      <c r="A769" s="32">
        <f>IFERROR(__xludf.DUMMYFUNCTION("""COMPUTED_VALUE"""),41530.666666666664)</f>
        <v>41530.66667</v>
      </c>
      <c r="B769" s="22">
        <f>IFERROR(__xludf.DUMMYFUNCTION("""COMPUTED_VALUE"""),1687.99)</f>
        <v>1687.99</v>
      </c>
      <c r="C769" s="22">
        <f t="shared" si="10"/>
        <v>2264.401486</v>
      </c>
      <c r="D769" s="25">
        <f>IFERROR(__xludf.DUMMYFUNCTION("""COMPUTED_VALUE"""),41510.99861111111)</f>
        <v>41510.99861</v>
      </c>
      <c r="E769" s="22">
        <f>IFERROR(__xludf.DUMMYFUNCTION("""COMPUTED_VALUE"""),1.3381)</f>
        <v>1.3381</v>
      </c>
      <c r="F769" s="22">
        <f t="shared" si="11"/>
        <v>160.7735104</v>
      </c>
      <c r="G769" s="22">
        <f t="shared" si="79"/>
        <v>60.57112934</v>
      </c>
      <c r="H769" s="22">
        <f t="shared" si="80"/>
        <v>59.36448382</v>
      </c>
    </row>
    <row r="770" ht="15.75" customHeight="1">
      <c r="A770" s="32">
        <f>IFERROR(__xludf.DUMMYFUNCTION("""COMPUTED_VALUE"""),41537.666666666664)</f>
        <v>41537.66667</v>
      </c>
      <c r="B770" s="22">
        <f>IFERROR(__xludf.DUMMYFUNCTION("""COMPUTED_VALUE"""),1709.91)</f>
        <v>1709.91</v>
      </c>
      <c r="C770" s="22">
        <f t="shared" si="10"/>
        <v>2294.677608</v>
      </c>
      <c r="D770" s="25">
        <f>IFERROR(__xludf.DUMMYFUNCTION("""COMPUTED_VALUE"""),41517.99861111111)</f>
        <v>41517.99861</v>
      </c>
      <c r="E770" s="22">
        <f>IFERROR(__xludf.DUMMYFUNCTION("""COMPUTED_VALUE"""),1.3222)</f>
        <v>1.3222</v>
      </c>
      <c r="F770" s="22">
        <f t="shared" si="11"/>
        <v>164.8823463</v>
      </c>
      <c r="G770" s="22">
        <f t="shared" si="79"/>
        <v>60.11855855</v>
      </c>
      <c r="H770" s="22">
        <f t="shared" si="80"/>
        <v>64.14564005</v>
      </c>
    </row>
    <row r="771" ht="15.75" customHeight="1">
      <c r="A771" s="32">
        <f>IFERROR(__xludf.DUMMYFUNCTION("""COMPUTED_VALUE"""),41544.666666666664)</f>
        <v>41544.66667</v>
      </c>
      <c r="B771" s="22">
        <f>IFERROR(__xludf.DUMMYFUNCTION("""COMPUTED_VALUE"""),1691.75)</f>
        <v>1691.75</v>
      </c>
      <c r="C771" s="22">
        <f t="shared" si="10"/>
        <v>2271.189686</v>
      </c>
      <c r="D771" s="25">
        <f>IFERROR(__xludf.DUMMYFUNCTION("""COMPUTED_VALUE"""),41524.99861111111)</f>
        <v>41524.99861</v>
      </c>
      <c r="E771" s="22">
        <f>IFERROR(__xludf.DUMMYFUNCTION("""COMPUTED_VALUE"""),1.3179)</f>
        <v>1.3179</v>
      </c>
      <c r="F771" s="22">
        <f t="shared" si="11"/>
        <v>163.7271052</v>
      </c>
      <c r="G771" s="22">
        <f t="shared" si="79"/>
        <v>56.32235488</v>
      </c>
      <c r="H771" s="22">
        <f t="shared" si="80"/>
        <v>61.23508351</v>
      </c>
    </row>
    <row r="772" ht="15.75" customHeight="1">
      <c r="A772" s="32">
        <f>IFERROR(__xludf.DUMMYFUNCTION("""COMPUTED_VALUE"""),41551.666666666664)</f>
        <v>41551.66667</v>
      </c>
      <c r="B772" s="22">
        <f>IFERROR(__xludf.DUMMYFUNCTION("""COMPUTED_VALUE"""),1690.5)</f>
        <v>1690.5</v>
      </c>
      <c r="C772" s="22">
        <f t="shared" si="10"/>
        <v>2270.385084</v>
      </c>
      <c r="D772" s="25">
        <f>IFERROR(__xludf.DUMMYFUNCTION("""COMPUTED_VALUE"""),41531.99861111111)</f>
        <v>41531.99861</v>
      </c>
      <c r="E772" s="22">
        <f>IFERROR(__xludf.DUMMYFUNCTION("""COMPUTED_VALUE"""),1.3298)</f>
        <v>1.3298</v>
      </c>
      <c r="F772" s="22">
        <f t="shared" si="11"/>
        <v>162.2044745</v>
      </c>
      <c r="G772" s="22">
        <f t="shared" si="79"/>
        <v>56.4048113</v>
      </c>
      <c r="H772" s="22">
        <f t="shared" si="80"/>
        <v>61.82997663</v>
      </c>
    </row>
    <row r="773" ht="15.75" customHeight="1">
      <c r="A773" s="32">
        <f>IFERROR(__xludf.DUMMYFUNCTION("""COMPUTED_VALUE"""),41558.666666666664)</f>
        <v>41558.66667</v>
      </c>
      <c r="B773" s="22">
        <f>IFERROR(__xludf.DUMMYFUNCTION("""COMPUTED_VALUE"""),1703.2)</f>
        <v>1703.2</v>
      </c>
      <c r="C773" s="22">
        <f t="shared" si="10"/>
        <v>2288.314736</v>
      </c>
      <c r="D773" s="25">
        <f>IFERROR(__xludf.DUMMYFUNCTION("""COMPUTED_VALUE"""),41538.99861111111)</f>
        <v>41538.99861</v>
      </c>
      <c r="E773" s="22">
        <f>IFERROR(__xludf.DUMMYFUNCTION("""COMPUTED_VALUE"""),1.3523)</f>
        <v>1.3523</v>
      </c>
      <c r="F773" s="22">
        <f t="shared" si="11"/>
        <v>160.7653104</v>
      </c>
      <c r="G773" s="22">
        <f t="shared" si="79"/>
        <v>57.02539133</v>
      </c>
      <c r="H773" s="22">
        <f t="shared" si="80"/>
        <v>67.32377922</v>
      </c>
    </row>
    <row r="774" ht="15.75" customHeight="1">
      <c r="A774" s="32">
        <f>IFERROR(__xludf.DUMMYFUNCTION("""COMPUTED_VALUE"""),41565.666666666664)</f>
        <v>41565.66667</v>
      </c>
      <c r="B774" s="22">
        <f>IFERROR(__xludf.DUMMYFUNCTION("""COMPUTED_VALUE"""),1744.5)</f>
        <v>1744.5</v>
      </c>
      <c r="C774" s="22">
        <f t="shared" si="10"/>
        <v>2344.682996</v>
      </c>
      <c r="D774" s="25">
        <f>IFERROR(__xludf.DUMMYFUNCTION("""COMPUTED_VALUE"""),41545.99861111111)</f>
        <v>41545.99861</v>
      </c>
      <c r="E774" s="22">
        <f>IFERROR(__xludf.DUMMYFUNCTION("""COMPUTED_VALUE"""),1.3524)</f>
        <v>1.3524</v>
      </c>
      <c r="F774" s="22">
        <f t="shared" si="11"/>
        <v>164.7132763</v>
      </c>
      <c r="G774" s="22">
        <f t="shared" si="79"/>
        <v>64.75667512</v>
      </c>
      <c r="H774" s="22">
        <f t="shared" si="80"/>
        <v>78.67343165</v>
      </c>
    </row>
    <row r="775" ht="15.75" customHeight="1">
      <c r="A775" s="32">
        <f>IFERROR(__xludf.DUMMYFUNCTION("""COMPUTED_VALUE"""),41572.666666666664)</f>
        <v>41572.66667</v>
      </c>
      <c r="B775" s="22">
        <f>IFERROR(__xludf.DUMMYFUNCTION("""COMPUTED_VALUE"""),1759.77)</f>
        <v>1759.77</v>
      </c>
      <c r="C775" s="22">
        <f t="shared" si="10"/>
        <v>2366.108334</v>
      </c>
      <c r="D775" s="25">
        <f>IFERROR(__xludf.DUMMYFUNCTION("""COMPUTED_VALUE"""),41552.99861111111)</f>
        <v>41552.99861</v>
      </c>
      <c r="E775" s="22">
        <f>IFERROR(__xludf.DUMMYFUNCTION("""COMPUTED_VALUE"""),1.3557)</f>
        <v>1.3557</v>
      </c>
      <c r="F775" s="22">
        <f t="shared" si="11"/>
        <v>165.8137965</v>
      </c>
      <c r="G775" s="22">
        <f t="shared" si="79"/>
        <v>64.65338735</v>
      </c>
      <c r="H775" s="22">
        <f t="shared" si="80"/>
        <v>113.6304246</v>
      </c>
    </row>
    <row r="776" ht="15.75" customHeight="1">
      <c r="A776" s="32">
        <f>IFERROR(__xludf.DUMMYFUNCTION("""COMPUTED_VALUE"""),41579.666666666664)</f>
        <v>41579.66667</v>
      </c>
      <c r="B776" s="22">
        <f>IFERROR(__xludf.DUMMYFUNCTION("""COMPUTED_VALUE"""),1761.64)</f>
        <v>1761.64</v>
      </c>
      <c r="C776" s="22">
        <f t="shared" si="10"/>
        <v>2369.532694</v>
      </c>
      <c r="D776" s="25">
        <f>IFERROR(__xludf.DUMMYFUNCTION("""COMPUTED_VALUE"""),41559.99861111111)</f>
        <v>41559.99861</v>
      </c>
      <c r="E776" s="22">
        <f>IFERROR(__xludf.DUMMYFUNCTION("""COMPUTED_VALUE"""),1.3541)</f>
        <v>1.3541</v>
      </c>
      <c r="F776" s="22">
        <f t="shared" si="11"/>
        <v>166.2499798</v>
      </c>
      <c r="G776" s="22">
        <f t="shared" si="79"/>
        <v>64.33193299</v>
      </c>
      <c r="H776" s="22">
        <f t="shared" si="80"/>
        <v>104.9036806</v>
      </c>
    </row>
    <row r="777" ht="15.75" customHeight="1">
      <c r="A777" s="32">
        <f>IFERROR(__xludf.DUMMYFUNCTION("""COMPUTED_VALUE"""),41586.666666666664)</f>
        <v>41586.66667</v>
      </c>
      <c r="B777" s="22">
        <f>IFERROR(__xludf.DUMMYFUNCTION("""COMPUTED_VALUE"""),1770.61)</f>
        <v>1770.61</v>
      </c>
      <c r="C777" s="22">
        <f t="shared" si="10"/>
        <v>2382.509349</v>
      </c>
      <c r="D777" s="25">
        <f>IFERROR(__xludf.DUMMYFUNCTION("""COMPUTED_VALUE"""),41566.99861111111)</f>
        <v>41566.99861</v>
      </c>
      <c r="E777" s="22">
        <f>IFERROR(__xludf.DUMMYFUNCTION("""COMPUTED_VALUE"""),1.3682)</f>
        <v>1.3682</v>
      </c>
      <c r="F777" s="22">
        <f t="shared" si="11"/>
        <v>165.4377677</v>
      </c>
      <c r="G777" s="22">
        <f t="shared" si="79"/>
        <v>62.07329193</v>
      </c>
      <c r="H777" s="22">
        <f t="shared" si="80"/>
        <v>105.8431609</v>
      </c>
    </row>
    <row r="778" ht="15.75" customHeight="1">
      <c r="A778" s="32">
        <f>IFERROR(__xludf.DUMMYFUNCTION("""COMPUTED_VALUE"""),41593.666666666664)</f>
        <v>41593.66667</v>
      </c>
      <c r="B778" s="22">
        <f>IFERROR(__xludf.DUMMYFUNCTION("""COMPUTED_VALUE"""),1798.18)</f>
        <v>1798.18</v>
      </c>
      <c r="C778" s="22">
        <f t="shared" si="10"/>
        <v>2420.523526</v>
      </c>
      <c r="D778" s="25">
        <f>IFERROR(__xludf.DUMMYFUNCTION("""COMPUTED_VALUE"""),41573.99861111111)</f>
        <v>41573.99861</v>
      </c>
      <c r="E778" s="22">
        <f>IFERROR(__xludf.DUMMYFUNCTION("""COMPUTED_VALUE"""),1.3804)</f>
        <v>1.3804</v>
      </c>
      <c r="F778" s="22">
        <f t="shared" si="11"/>
        <v>166.5919422</v>
      </c>
      <c r="G778" s="22">
        <f t="shared" si="79"/>
        <v>62.99956061</v>
      </c>
      <c r="H778" s="22">
        <f t="shared" si="80"/>
        <v>88.58827661</v>
      </c>
    </row>
    <row r="779" ht="15.75" customHeight="1">
      <c r="A779" s="32">
        <f>IFERROR(__xludf.DUMMYFUNCTION("""COMPUTED_VALUE"""),41600.666666666664)</f>
        <v>41600.66667</v>
      </c>
      <c r="B779" s="22">
        <f>IFERROR(__xludf.DUMMYFUNCTION("""COMPUTED_VALUE"""),1804.76)</f>
        <v>1804.76</v>
      </c>
      <c r="C779" s="22">
        <f t="shared" si="10"/>
        <v>2430.31181</v>
      </c>
      <c r="D779" s="25">
        <f>IFERROR(__xludf.DUMMYFUNCTION("""COMPUTED_VALUE"""),41580.99861111111)</f>
        <v>41580.99861</v>
      </c>
      <c r="E779" s="22">
        <f>IFERROR(__xludf.DUMMYFUNCTION("""COMPUTED_VALUE"""),1.3487)</f>
        <v>1.3487</v>
      </c>
      <c r="F779" s="22">
        <f t="shared" si="11"/>
        <v>171.1970488</v>
      </c>
      <c r="G779" s="22">
        <f t="shared" si="79"/>
        <v>62.60730168</v>
      </c>
      <c r="H779" s="22">
        <f t="shared" si="80"/>
        <v>101.8352407</v>
      </c>
    </row>
    <row r="780" ht="15.75" customHeight="1">
      <c r="A780" s="32">
        <f>IFERROR(__xludf.DUMMYFUNCTION("""COMPUTED_VALUE"""),41607.666666666664)</f>
        <v>41607.66667</v>
      </c>
      <c r="B780" s="22">
        <f>IFERROR(__xludf.DUMMYFUNCTION("""COMPUTED_VALUE"""),1805.81)</f>
        <v>1805.81</v>
      </c>
      <c r="C780" s="22">
        <f t="shared" si="10"/>
        <v>2432.660488</v>
      </c>
      <c r="D780" s="25">
        <f>IFERROR(__xludf.DUMMYFUNCTION("""COMPUTED_VALUE"""),41587.99861111111)</f>
        <v>41587.99861</v>
      </c>
      <c r="E780" s="22">
        <f>IFERROR(__xludf.DUMMYFUNCTION("""COMPUTED_VALUE"""),1.3368)</f>
        <v>1.3368</v>
      </c>
      <c r="F780" s="22">
        <f t="shared" si="11"/>
        <v>172.8879395</v>
      </c>
      <c r="G780" s="22">
        <f t="shared" si="79"/>
        <v>63.68495856</v>
      </c>
      <c r="H780" s="22">
        <f t="shared" si="80"/>
        <v>115.224515</v>
      </c>
    </row>
    <row r="781" ht="15.75" customHeight="1">
      <c r="A781" s="32">
        <f>IFERROR(__xludf.DUMMYFUNCTION("""COMPUTED_VALUE"""),41614.666666666664)</f>
        <v>41614.66667</v>
      </c>
      <c r="B781" s="22">
        <f>IFERROR(__xludf.DUMMYFUNCTION("""COMPUTED_VALUE"""),1805.09)</f>
        <v>1805.09</v>
      </c>
      <c r="C781" s="22">
        <f t="shared" si="10"/>
        <v>2432.626193</v>
      </c>
      <c r="D781" s="25">
        <f>IFERROR(__xludf.DUMMYFUNCTION("""COMPUTED_VALUE"""),41594.99861111111)</f>
        <v>41594.99861</v>
      </c>
      <c r="E781" s="22">
        <f>IFERROR(__xludf.DUMMYFUNCTION("""COMPUTED_VALUE"""),1.3495)</f>
        <v>1.3495</v>
      </c>
      <c r="F781" s="22">
        <f t="shared" si="11"/>
        <v>171.2584953</v>
      </c>
      <c r="G781" s="22">
        <f t="shared" si="79"/>
        <v>62.00613819</v>
      </c>
      <c r="H781" s="22">
        <f t="shared" si="80"/>
        <v>132.4548383</v>
      </c>
    </row>
    <row r="782" ht="15.75" customHeight="1">
      <c r="A782" s="32">
        <f>IFERROR(__xludf.DUMMYFUNCTION("""COMPUTED_VALUE"""),41621.666666666664)</f>
        <v>41621.66667</v>
      </c>
      <c r="B782" s="22">
        <f>IFERROR(__xludf.DUMMYFUNCTION("""COMPUTED_VALUE"""),1775.32)</f>
        <v>1775.32</v>
      </c>
      <c r="C782" s="22">
        <f t="shared" si="10"/>
        <v>2393.442334</v>
      </c>
      <c r="D782" s="25">
        <f>IFERROR(__xludf.DUMMYFUNCTION("""COMPUTED_VALUE"""),41601.99861111111)</f>
        <v>41601.99861</v>
      </c>
      <c r="E782" s="22">
        <f>IFERROR(__xludf.DUMMYFUNCTION("""COMPUTED_VALUE"""),1.3556)</f>
        <v>1.3556</v>
      </c>
      <c r="F782" s="22">
        <f t="shared" si="11"/>
        <v>167.7417008</v>
      </c>
      <c r="G782" s="22">
        <f t="shared" si="79"/>
        <v>54.8203134</v>
      </c>
      <c r="H782" s="22">
        <f t="shared" si="80"/>
        <v>104.9301929</v>
      </c>
    </row>
    <row r="783" ht="15.75" customHeight="1">
      <c r="A783" s="32">
        <f>IFERROR(__xludf.DUMMYFUNCTION("""COMPUTED_VALUE"""),41628.666666666664)</f>
        <v>41628.66667</v>
      </c>
      <c r="B783" s="22">
        <f>IFERROR(__xludf.DUMMYFUNCTION("""COMPUTED_VALUE"""),1818.31)</f>
        <v>1818.31</v>
      </c>
      <c r="C783" s="22">
        <f t="shared" si="10"/>
        <v>2452.320939</v>
      </c>
      <c r="D783" s="25">
        <f>IFERROR(__xludf.DUMMYFUNCTION("""COMPUTED_VALUE"""),41608.99861111111)</f>
        <v>41608.99861</v>
      </c>
      <c r="E783" s="22">
        <f>IFERROR(__xludf.DUMMYFUNCTION("""COMPUTED_VALUE"""),1.3592)</f>
        <v>1.3592</v>
      </c>
      <c r="F783" s="22">
        <f t="shared" si="11"/>
        <v>171.4129284</v>
      </c>
      <c r="G783" s="22">
        <f t="shared" si="79"/>
        <v>54.98163902</v>
      </c>
      <c r="H783" s="22">
        <f t="shared" si="80"/>
        <v>114.5236766</v>
      </c>
    </row>
    <row r="784" ht="15.75" customHeight="1">
      <c r="A784" s="32">
        <f>IFERROR(__xludf.DUMMYFUNCTION("""COMPUTED_VALUE"""),41635.666666666664)</f>
        <v>41635.66667</v>
      </c>
      <c r="B784" s="22">
        <f>IFERROR(__xludf.DUMMYFUNCTION("""COMPUTED_VALUE"""),1841.4)</f>
        <v>1841.4</v>
      </c>
      <c r="C784" s="22">
        <f t="shared" si="10"/>
        <v>2484.405193</v>
      </c>
      <c r="D784" s="25">
        <f>IFERROR(__xludf.DUMMYFUNCTION("""COMPUTED_VALUE"""),41615.99861111111)</f>
        <v>41615.99861</v>
      </c>
      <c r="E784" s="22">
        <f>IFERROR(__xludf.DUMMYFUNCTION("""COMPUTED_VALUE"""),1.3703)</f>
        <v>1.3703</v>
      </c>
      <c r="F784" s="22">
        <f t="shared" si="11"/>
        <v>172.2488792</v>
      </c>
      <c r="G784" s="22">
        <f t="shared" si="79"/>
        <v>52.20241362</v>
      </c>
      <c r="H784" s="22">
        <f t="shared" si="80"/>
        <v>125.2739593</v>
      </c>
    </row>
    <row r="785" ht="15.75" customHeight="1">
      <c r="A785" s="32">
        <f>IFERROR(__xludf.DUMMYFUNCTION("""COMPUTED_VALUE"""),41642.666666666664)</f>
        <v>41642.66667</v>
      </c>
      <c r="B785" s="22">
        <f>IFERROR(__xludf.DUMMYFUNCTION("""COMPUTED_VALUE"""),1831.37)</f>
        <v>1831.37</v>
      </c>
      <c r="C785" s="22">
        <f t="shared" si="10"/>
        <v>2471.828321</v>
      </c>
      <c r="D785" s="25">
        <f>IFERROR(__xludf.DUMMYFUNCTION("""COMPUTED_VALUE"""),41622.99861111111)</f>
        <v>41622.99861</v>
      </c>
      <c r="E785" s="22">
        <f>IFERROR(__xludf.DUMMYFUNCTION("""COMPUTED_VALUE"""),1.3741)</f>
        <v>1.3741</v>
      </c>
      <c r="F785" s="22">
        <f t="shared" si="11"/>
        <v>170.9029654</v>
      </c>
      <c r="G785" s="22">
        <f t="shared" si="79"/>
        <v>50.00602129</v>
      </c>
      <c r="H785" s="22">
        <f t="shared" si="80"/>
        <v>130.8809382</v>
      </c>
    </row>
    <row r="786" ht="15.75" customHeight="1">
      <c r="A786" s="32">
        <f>IFERROR(__xludf.DUMMYFUNCTION("""COMPUTED_VALUE"""),41649.666666666664)</f>
        <v>41649.66667</v>
      </c>
      <c r="B786" s="22">
        <f>IFERROR(__xludf.DUMMYFUNCTION("""COMPUTED_VALUE"""),1842.37)</f>
        <v>1842.37</v>
      </c>
      <c r="C786" s="22">
        <f t="shared" si="10"/>
        <v>2487.625894</v>
      </c>
      <c r="D786" s="25">
        <f>IFERROR(__xludf.DUMMYFUNCTION("""COMPUTED_VALUE"""),41629.99861111111)</f>
        <v>41629.99861</v>
      </c>
      <c r="E786" s="22">
        <f>IFERROR(__xludf.DUMMYFUNCTION("""COMPUTED_VALUE"""),1.3671)</f>
        <v>1.3671</v>
      </c>
      <c r="F786" s="22">
        <f t="shared" si="11"/>
        <v>172.8758862</v>
      </c>
      <c r="G786" s="22">
        <f t="shared" si="79"/>
        <v>49.36512287</v>
      </c>
      <c r="H786" s="22">
        <f t="shared" si="80"/>
        <v>139.2285715</v>
      </c>
    </row>
    <row r="787" ht="15.75" customHeight="1">
      <c r="A787" s="32">
        <f>IFERROR(__xludf.DUMMYFUNCTION("""COMPUTED_VALUE"""),41656.666666666664)</f>
        <v>41656.66667</v>
      </c>
      <c r="B787" s="22">
        <f>IFERROR(__xludf.DUMMYFUNCTION("""COMPUTED_VALUE"""),1838.7)</f>
        <v>1838.7</v>
      </c>
      <c r="C787" s="22">
        <f t="shared" si="10"/>
        <v>2483.627324</v>
      </c>
      <c r="D787" s="25">
        <f>IFERROR(__xludf.DUMMYFUNCTION("""COMPUTED_VALUE"""),41636.99861111111)</f>
        <v>41636.99861</v>
      </c>
      <c r="E787" s="22">
        <f>IFERROR(__xludf.DUMMYFUNCTION("""COMPUTED_VALUE"""),1.3741)</f>
        <v>1.3741</v>
      </c>
      <c r="F787" s="22">
        <f t="shared" si="11"/>
        <v>171.718752</v>
      </c>
      <c r="G787" s="22">
        <f t="shared" si="79"/>
        <v>51.21054014</v>
      </c>
      <c r="H787" s="22">
        <f t="shared" si="80"/>
        <v>120.8349712</v>
      </c>
    </row>
    <row r="788" ht="15.75" customHeight="1">
      <c r="A788" s="32">
        <f>IFERROR(__xludf.DUMMYFUNCTION("""COMPUTED_VALUE"""),41663.666666666664)</f>
        <v>41663.66667</v>
      </c>
      <c r="B788" s="22">
        <f>IFERROR(__xludf.DUMMYFUNCTION("""COMPUTED_VALUE"""),1790.29)</f>
        <v>1790.29</v>
      </c>
      <c r="C788" s="22">
        <f t="shared" si="10"/>
        <v>2419.192671</v>
      </c>
      <c r="D788" s="25">
        <f>IFERROR(__xludf.DUMMYFUNCTION("""COMPUTED_VALUE"""),41643.99861111111)</f>
        <v>41643.99861</v>
      </c>
      <c r="E788" s="22">
        <f>IFERROR(__xludf.DUMMYFUNCTION("""COMPUTED_VALUE"""),1.3587)</f>
        <v>1.3587</v>
      </c>
      <c r="F788" s="22">
        <f t="shared" si="11"/>
        <v>169.1595483</v>
      </c>
      <c r="G788" s="22">
        <f t="shared" si="79"/>
        <v>42.07314081</v>
      </c>
      <c r="H788" s="22">
        <f t="shared" si="80"/>
        <v>119.9600624</v>
      </c>
    </row>
    <row r="789" ht="15.75" customHeight="1">
      <c r="A789" s="32">
        <f>IFERROR(__xludf.DUMMYFUNCTION("""COMPUTED_VALUE"""),41670.666666666664)</f>
        <v>41670.66667</v>
      </c>
      <c r="B789" s="22">
        <f>IFERROR(__xludf.DUMMYFUNCTION("""COMPUTED_VALUE"""),1782.59)</f>
        <v>1782.59</v>
      </c>
      <c r="C789" s="22">
        <f t="shared" si="10"/>
        <v>2409.718232</v>
      </c>
      <c r="D789" s="25">
        <f>IFERROR(__xludf.DUMMYFUNCTION("""COMPUTED_VALUE"""),41650.99861111111)</f>
        <v>41650.99861</v>
      </c>
      <c r="E789" s="22">
        <f>IFERROR(__xludf.DUMMYFUNCTION("""COMPUTED_VALUE"""),1.367)</f>
        <v>1.367</v>
      </c>
      <c r="F789" s="22">
        <f t="shared" si="11"/>
        <v>167.4739961</v>
      </c>
      <c r="G789" s="22">
        <f t="shared" si="79"/>
        <v>42.6406664</v>
      </c>
      <c r="H789" s="22">
        <f t="shared" si="80"/>
        <v>125.1854888</v>
      </c>
    </row>
    <row r="790" ht="15.75" customHeight="1">
      <c r="A790" s="32">
        <f>IFERROR(__xludf.DUMMYFUNCTION("""COMPUTED_VALUE"""),41677.666666666664)</f>
        <v>41677.66667</v>
      </c>
      <c r="B790" s="22">
        <f>IFERROR(__xludf.DUMMYFUNCTION("""COMPUTED_VALUE"""),1797.02)</f>
        <v>1797.02</v>
      </c>
      <c r="C790" s="22">
        <f t="shared" si="10"/>
        <v>2430.151627</v>
      </c>
      <c r="D790" s="25">
        <f>IFERROR(__xludf.DUMMYFUNCTION("""COMPUTED_VALUE"""),41657.99861111111)</f>
        <v>41657.99861</v>
      </c>
      <c r="E790" s="22">
        <f>IFERROR(__xludf.DUMMYFUNCTION("""COMPUTED_VALUE"""),1.354)</f>
        <v>1.354</v>
      </c>
      <c r="F790" s="22">
        <f t="shared" si="11"/>
        <v>170.5156879</v>
      </c>
      <c r="G790" s="22">
        <f t="shared" si="79"/>
        <v>49.07171042</v>
      </c>
      <c r="H790" s="22">
        <f t="shared" si="80"/>
        <v>128.5153098</v>
      </c>
    </row>
    <row r="791" ht="15.75" customHeight="1">
      <c r="A791" s="32">
        <f>IFERROR(__xludf.DUMMYFUNCTION("""COMPUTED_VALUE"""),41684.666666666664)</f>
        <v>41684.66667</v>
      </c>
      <c r="B791" s="22">
        <f>IFERROR(__xludf.DUMMYFUNCTION("""COMPUTED_VALUE"""),1838.63)</f>
        <v>1838.63</v>
      </c>
      <c r="C791" s="22">
        <f t="shared" si="10"/>
        <v>2487.356464</v>
      </c>
      <c r="D791" s="25">
        <f>IFERROR(__xludf.DUMMYFUNCTION("""COMPUTED_VALUE"""),41664.99861111111)</f>
        <v>41664.99861</v>
      </c>
      <c r="E791" s="22">
        <f>IFERROR(__xludf.DUMMYFUNCTION("""COMPUTED_VALUE"""),1.3675)</f>
        <v>1.3675</v>
      </c>
      <c r="F791" s="22">
        <f t="shared" si="11"/>
        <v>172.8066009</v>
      </c>
      <c r="G791" s="22">
        <f t="shared" si="79"/>
        <v>52.14750661</v>
      </c>
      <c r="H791" s="22">
        <f t="shared" si="80"/>
        <v>130.8229603</v>
      </c>
    </row>
    <row r="792" ht="15.75" customHeight="1">
      <c r="A792" s="32">
        <f>IFERROR(__xludf.DUMMYFUNCTION("""COMPUTED_VALUE"""),41691.666666666664)</f>
        <v>41691.66667</v>
      </c>
      <c r="B792" s="22">
        <f>IFERROR(__xludf.DUMMYFUNCTION("""COMPUTED_VALUE"""),1836.25)</f>
        <v>1836.25</v>
      </c>
      <c r="C792" s="22">
        <f t="shared" si="10"/>
        <v>2485.093401</v>
      </c>
      <c r="D792" s="25">
        <f>IFERROR(__xludf.DUMMYFUNCTION("""COMPUTED_VALUE"""),41671.99861111111)</f>
        <v>41671.99861</v>
      </c>
      <c r="E792" s="22">
        <f>IFERROR(__xludf.DUMMYFUNCTION("""COMPUTED_VALUE"""),1.3487)</f>
        <v>1.3487</v>
      </c>
      <c r="F792" s="22">
        <f t="shared" si="11"/>
        <v>175.0559967</v>
      </c>
      <c r="G792" s="22">
        <f t="shared" si="79"/>
        <v>49.74723109</v>
      </c>
      <c r="H792" s="22">
        <f t="shared" si="80"/>
        <v>123.7873564</v>
      </c>
    </row>
    <row r="793" ht="15.75" customHeight="1">
      <c r="A793" s="32">
        <f>IFERROR(__xludf.DUMMYFUNCTION("""COMPUTED_VALUE"""),41698.666666666664)</f>
        <v>41698.66667</v>
      </c>
      <c r="B793" s="22">
        <f>IFERROR(__xludf.DUMMYFUNCTION("""COMPUTED_VALUE"""),1859.45)</f>
        <v>1859.45</v>
      </c>
      <c r="C793" s="22">
        <f t="shared" si="10"/>
        <v>2517.446982</v>
      </c>
      <c r="D793" s="25">
        <f>IFERROR(__xludf.DUMMYFUNCTION("""COMPUTED_VALUE"""),41678.99861111111)</f>
        <v>41678.99861</v>
      </c>
      <c r="E793" s="22">
        <f>IFERROR(__xludf.DUMMYFUNCTION("""COMPUTED_VALUE"""),1.3634)</f>
        <v>1.3634</v>
      </c>
      <c r="F793" s="22">
        <f t="shared" si="11"/>
        <v>175.423058</v>
      </c>
      <c r="G793" s="22">
        <f t="shared" si="79"/>
        <v>47.5708939</v>
      </c>
      <c r="H793" s="22">
        <f t="shared" si="80"/>
        <v>134.3942258</v>
      </c>
    </row>
    <row r="794" ht="15.75" customHeight="1">
      <c r="A794" s="32">
        <f>IFERROR(__xludf.DUMMYFUNCTION("""COMPUTED_VALUE"""),41705.666666666664)</f>
        <v>41705.66667</v>
      </c>
      <c r="B794" s="22">
        <f>IFERROR(__xludf.DUMMYFUNCTION("""COMPUTED_VALUE"""),1878.04)</f>
        <v>1878.04</v>
      </c>
      <c r="C794" s="22">
        <f t="shared" si="10"/>
        <v>2543.583609</v>
      </c>
      <c r="D794" s="25">
        <f>IFERROR(__xludf.DUMMYFUNCTION("""COMPUTED_VALUE"""),41685.99861111111)</f>
        <v>41685.99861</v>
      </c>
      <c r="E794" s="22">
        <f>IFERROR(__xludf.DUMMYFUNCTION("""COMPUTED_VALUE"""),1.3691)</f>
        <v>1.3691</v>
      </c>
      <c r="F794" s="22">
        <f t="shared" si="11"/>
        <v>176.5064097</v>
      </c>
      <c r="G794" s="22">
        <f t="shared" si="79"/>
        <v>48.23864044</v>
      </c>
      <c r="H794" s="22">
        <f t="shared" si="80"/>
        <v>154.448783</v>
      </c>
    </row>
    <row r="795" ht="15.75" customHeight="1">
      <c r="A795" s="32">
        <f>IFERROR(__xludf.DUMMYFUNCTION("""COMPUTED_VALUE"""),41712.666666666664)</f>
        <v>41712.66667</v>
      </c>
      <c r="B795" s="22">
        <f>IFERROR(__xludf.DUMMYFUNCTION("""COMPUTED_VALUE"""),1841.13)</f>
        <v>1841.13</v>
      </c>
      <c r="C795" s="22">
        <f t="shared" si="10"/>
        <v>2494.57167</v>
      </c>
      <c r="D795" s="25">
        <f>IFERROR(__xludf.DUMMYFUNCTION("""COMPUTED_VALUE"""),41692.99861111111)</f>
        <v>41692.99861</v>
      </c>
      <c r="E795" s="22">
        <f>IFERROR(__xludf.DUMMYFUNCTION("""COMPUTED_VALUE"""),1.3739)</f>
        <v>1.3739</v>
      </c>
      <c r="F795" s="22">
        <f t="shared" si="11"/>
        <v>172.5005548</v>
      </c>
      <c r="G795" s="22">
        <f t="shared" si="79"/>
        <v>48.18550499</v>
      </c>
      <c r="H795" s="22">
        <f t="shared" si="80"/>
        <v>155.3001991</v>
      </c>
    </row>
    <row r="796" ht="15.75" customHeight="1">
      <c r="A796" s="32">
        <f>IFERROR(__xludf.DUMMYFUNCTION("""COMPUTED_VALUE"""),41719.666666666664)</f>
        <v>41719.66667</v>
      </c>
      <c r="B796" s="22">
        <f>IFERROR(__xludf.DUMMYFUNCTION("""COMPUTED_VALUE"""),1866.4)</f>
        <v>1866.4</v>
      </c>
      <c r="C796" s="22">
        <f t="shared" si="10"/>
        <v>2529.769781</v>
      </c>
      <c r="D796" s="25">
        <f>IFERROR(__xludf.DUMMYFUNCTION("""COMPUTED_VALUE"""),41699.99861111111)</f>
        <v>41699.99861</v>
      </c>
      <c r="E796" s="22">
        <f>IFERROR(__xludf.DUMMYFUNCTION("""COMPUTED_VALUE"""),1.38)</f>
        <v>1.38</v>
      </c>
      <c r="F796" s="22">
        <f t="shared" si="11"/>
        <v>174.161256</v>
      </c>
      <c r="G796" s="22">
        <f t="shared" si="79"/>
        <v>51.98675204</v>
      </c>
      <c r="H796" s="22">
        <f t="shared" si="80"/>
        <v>176.2509835</v>
      </c>
    </row>
    <row r="797" ht="15.75" customHeight="1">
      <c r="A797" s="32">
        <f>IFERROR(__xludf.DUMMYFUNCTION("""COMPUTED_VALUE"""),41726.666666666664)</f>
        <v>41726.66667</v>
      </c>
      <c r="B797" s="22">
        <f>IFERROR(__xludf.DUMMYFUNCTION("""COMPUTED_VALUE"""),1857.62)</f>
        <v>1857.62</v>
      </c>
      <c r="C797" s="22">
        <f t="shared" si="10"/>
        <v>2518.842117</v>
      </c>
      <c r="D797" s="25">
        <f>IFERROR(__xludf.DUMMYFUNCTION("""COMPUTED_VALUE"""),41706.99861111111)</f>
        <v>41706.99861</v>
      </c>
      <c r="E797" s="22">
        <f>IFERROR(__xludf.DUMMYFUNCTION("""COMPUTED_VALUE"""),1.3879)</f>
        <v>1.3879</v>
      </c>
      <c r="F797" s="22">
        <f t="shared" si="11"/>
        <v>172.4218913</v>
      </c>
      <c r="G797" s="22">
        <f t="shared" si="79"/>
        <v>51.01561977</v>
      </c>
      <c r="H797" s="22">
        <f t="shared" si="80"/>
        <v>152.6626028</v>
      </c>
    </row>
    <row r="798" ht="15.75" customHeight="1">
      <c r="A798" s="32">
        <f>IFERROR(__xludf.DUMMYFUNCTION("""COMPUTED_VALUE"""),41733.666666666664)</f>
        <v>41733.66667</v>
      </c>
      <c r="B798" s="22">
        <f>IFERROR(__xludf.DUMMYFUNCTION("""COMPUTED_VALUE"""),1865.09)</f>
        <v>1865.09</v>
      </c>
      <c r="C798" s="22">
        <f t="shared" si="10"/>
        <v>2529.939858</v>
      </c>
      <c r="D798" s="25">
        <f>IFERROR(__xludf.DUMMYFUNCTION("""COMPUTED_VALUE"""),41713.99861111111)</f>
        <v>41713.99861</v>
      </c>
      <c r="E798" s="22">
        <f>IFERROR(__xludf.DUMMYFUNCTION("""COMPUTED_VALUE"""),1.3914)</f>
        <v>1.3914</v>
      </c>
      <c r="F798" s="22">
        <f t="shared" si="11"/>
        <v>172.7459333</v>
      </c>
      <c r="G798" s="22">
        <f t="shared" si="79"/>
        <v>57.76982595</v>
      </c>
      <c r="H798" s="22">
        <f t="shared" si="80"/>
        <v>161.6575032</v>
      </c>
    </row>
    <row r="799" ht="15.75" customHeight="1">
      <c r="A799" s="32">
        <f>IFERROR(__xludf.DUMMYFUNCTION("""COMPUTED_VALUE"""),41740.666666666664)</f>
        <v>41740.66667</v>
      </c>
      <c r="B799" s="22">
        <f>IFERROR(__xludf.DUMMYFUNCTION("""COMPUTED_VALUE"""),1815.69)</f>
        <v>1815.69</v>
      </c>
      <c r="C799" s="22">
        <f t="shared" si="10"/>
        <v>2463.903261</v>
      </c>
      <c r="D799" s="25">
        <f>IFERROR(__xludf.DUMMYFUNCTION("""COMPUTED_VALUE"""),41720.99861111111)</f>
        <v>41720.99861</v>
      </c>
      <c r="E799" s="22">
        <f>IFERROR(__xludf.DUMMYFUNCTION("""COMPUTED_VALUE"""),1.3797)</f>
        <v>1.3797</v>
      </c>
      <c r="F799" s="22">
        <f t="shared" si="11"/>
        <v>169.6635782</v>
      </c>
      <c r="G799" s="22">
        <f t="shared" si="79"/>
        <v>49.81342416</v>
      </c>
      <c r="H799" s="22">
        <f t="shared" si="80"/>
        <v>136.8042233</v>
      </c>
    </row>
    <row r="800" ht="15.75" customHeight="1">
      <c r="A800" s="32">
        <f>IFERROR(__xludf.DUMMYFUNCTION("""COMPUTED_VALUE"""),41746.666666666664)</f>
        <v>41746.66667</v>
      </c>
      <c r="B800" s="22">
        <f>IFERROR(__xludf.DUMMYFUNCTION("""COMPUTED_VALUE"""),1864.85)</f>
        <v>1864.85</v>
      </c>
      <c r="C800" s="22">
        <f t="shared" si="10"/>
        <v>2531.561359</v>
      </c>
      <c r="D800" s="25">
        <f>IFERROR(__xludf.DUMMYFUNCTION("""COMPUTED_VALUE"""),41727.99861111111)</f>
        <v>41727.99861</v>
      </c>
      <c r="E800" s="22">
        <f>IFERROR(__xludf.DUMMYFUNCTION("""COMPUTED_VALUE"""),1.3752)</f>
        <v>1.3752</v>
      </c>
      <c r="F800" s="22">
        <f t="shared" si="11"/>
        <v>174.8929199</v>
      </c>
      <c r="G800" s="22">
        <f t="shared" si="79"/>
        <v>53.84787882</v>
      </c>
      <c r="H800" s="22">
        <f t="shared" si="80"/>
        <v>139.822805</v>
      </c>
    </row>
    <row r="801" ht="15.75" customHeight="1">
      <c r="A801" s="32">
        <f>IFERROR(__xludf.DUMMYFUNCTION("""COMPUTED_VALUE"""),41754.666666666664)</f>
        <v>41754.66667</v>
      </c>
      <c r="B801" s="22">
        <f>IFERROR(__xludf.DUMMYFUNCTION("""COMPUTED_VALUE"""),1863.4)</f>
        <v>1863.4</v>
      </c>
      <c r="C801" s="22">
        <f t="shared" si="10"/>
        <v>2530.56664</v>
      </c>
      <c r="D801" s="25">
        <f>IFERROR(__xludf.DUMMYFUNCTION("""COMPUTED_VALUE"""),41734.99861111111)</f>
        <v>41734.99861</v>
      </c>
      <c r="E801" s="22">
        <f>IFERROR(__xludf.DUMMYFUNCTION("""COMPUTED_VALUE"""),1.3705)</f>
        <v>1.3705</v>
      </c>
      <c r="F801" s="22">
        <f t="shared" si="11"/>
        <v>175.4237428</v>
      </c>
      <c r="G801" s="22">
        <f t="shared" si="79"/>
        <v>56.87800188</v>
      </c>
      <c r="H801" s="22">
        <f t="shared" si="80"/>
        <v>131.0234235</v>
      </c>
    </row>
    <row r="802" ht="15.75" customHeight="1">
      <c r="A802" s="32">
        <f>IFERROR(__xludf.DUMMYFUNCTION("""COMPUTED_VALUE"""),41761.666666666664)</f>
        <v>41761.66667</v>
      </c>
      <c r="B802" s="22">
        <f>IFERROR(__xludf.DUMMYFUNCTION("""COMPUTED_VALUE"""),1881.14)</f>
        <v>1881.14</v>
      </c>
      <c r="C802" s="22">
        <f t="shared" si="10"/>
        <v>2555.631516</v>
      </c>
      <c r="D802" s="25">
        <f>IFERROR(__xludf.DUMMYFUNCTION("""COMPUTED_VALUE"""),41741.99861111111)</f>
        <v>41741.99861</v>
      </c>
      <c r="E802" s="22">
        <f>IFERROR(__xludf.DUMMYFUNCTION("""COMPUTED_VALUE"""),1.3884)</f>
        <v>1.3884</v>
      </c>
      <c r="F802" s="22">
        <f t="shared" si="11"/>
        <v>174.8772295</v>
      </c>
      <c r="G802" s="22">
        <f t="shared" si="79"/>
        <v>57.26907285</v>
      </c>
      <c r="H802" s="22">
        <f t="shared" si="80"/>
        <v>124.4747852</v>
      </c>
    </row>
    <row r="803" ht="15.75" customHeight="1">
      <c r="A803" s="32">
        <f>IFERROR(__xludf.DUMMYFUNCTION("""COMPUTED_VALUE"""),41768.666666666664)</f>
        <v>41768.66667</v>
      </c>
      <c r="B803" s="22">
        <f>IFERROR(__xludf.DUMMYFUNCTION("""COMPUTED_VALUE"""),1878.48)</f>
        <v>1878.48</v>
      </c>
      <c r="C803" s="22">
        <f t="shared" si="10"/>
        <v>2553.000696</v>
      </c>
      <c r="D803" s="25">
        <f>IFERROR(__xludf.DUMMYFUNCTION("""COMPUTED_VALUE"""),41748.99861111111)</f>
        <v>41748.99861</v>
      </c>
      <c r="E803" s="22">
        <f>IFERROR(__xludf.DUMMYFUNCTION("""COMPUTED_VALUE"""),1.3814)</f>
        <v>1.3814</v>
      </c>
      <c r="F803" s="22">
        <f t="shared" si="11"/>
        <v>175.5824544</v>
      </c>
      <c r="G803" s="22">
        <f t="shared" si="79"/>
        <v>57.17933082</v>
      </c>
      <c r="H803" s="22">
        <f t="shared" si="80"/>
        <v>129.89854</v>
      </c>
    </row>
    <row r="804" ht="15.75" customHeight="1">
      <c r="A804" s="32">
        <f>IFERROR(__xludf.DUMMYFUNCTION("""COMPUTED_VALUE"""),41775.666666666664)</f>
        <v>41775.66667</v>
      </c>
      <c r="B804" s="22">
        <f>IFERROR(__xludf.DUMMYFUNCTION("""COMPUTED_VALUE"""),1877.86)</f>
        <v>1877.86</v>
      </c>
      <c r="C804" s="22">
        <f t="shared" si="10"/>
        <v>2553.139991</v>
      </c>
      <c r="D804" s="25">
        <f>IFERROR(__xludf.DUMMYFUNCTION("""COMPUTED_VALUE"""),41755.99861111111)</f>
        <v>41755.99861</v>
      </c>
      <c r="E804" s="22">
        <f>IFERROR(__xludf.DUMMYFUNCTION("""COMPUTED_VALUE"""),1.3833)</f>
        <v>1.3833</v>
      </c>
      <c r="F804" s="22">
        <f t="shared" si="11"/>
        <v>175.350854</v>
      </c>
      <c r="G804" s="22">
        <f t="shared" si="79"/>
        <v>56.61089284</v>
      </c>
      <c r="H804" s="22">
        <f t="shared" si="80"/>
        <v>126.6579033</v>
      </c>
    </row>
    <row r="805" ht="15.75" customHeight="1">
      <c r="A805" s="32">
        <f>IFERROR(__xludf.DUMMYFUNCTION("""COMPUTED_VALUE"""),41782.666666666664)</f>
        <v>41782.66667</v>
      </c>
      <c r="B805" s="22">
        <f>IFERROR(__xludf.DUMMYFUNCTION("""COMPUTED_VALUE"""),1900.53)</f>
        <v>1900.53</v>
      </c>
      <c r="C805" s="22">
        <f t="shared" si="10"/>
        <v>2584.944119</v>
      </c>
      <c r="D805" s="25">
        <f>IFERROR(__xludf.DUMMYFUNCTION("""COMPUTED_VALUE"""),41762.99861111111)</f>
        <v>41762.99861</v>
      </c>
      <c r="E805" s="22">
        <f>IFERROR(__xludf.DUMMYFUNCTION("""COMPUTED_VALUE"""),1.387)</f>
        <v>1.387</v>
      </c>
      <c r="F805" s="22">
        <f t="shared" si="11"/>
        <v>177.0615786</v>
      </c>
      <c r="G805" s="22">
        <f t="shared" si="79"/>
        <v>57.31027837</v>
      </c>
      <c r="H805" s="22">
        <f t="shared" si="80"/>
        <v>122.1805143</v>
      </c>
    </row>
    <row r="806" ht="15.75" customHeight="1">
      <c r="A806" s="32">
        <f>IFERROR(__xludf.DUMMYFUNCTION("""COMPUTED_VALUE"""),41789.666666666664)</f>
        <v>41789.66667</v>
      </c>
      <c r="B806" s="22">
        <f>IFERROR(__xludf.DUMMYFUNCTION("""COMPUTED_VALUE"""),1923.57)</f>
        <v>1923.57</v>
      </c>
      <c r="C806" s="22">
        <f t="shared" si="10"/>
        <v>2617.275435</v>
      </c>
      <c r="D806" s="25">
        <f>IFERROR(__xludf.DUMMYFUNCTION("""COMPUTED_VALUE"""),41769.99861111111)</f>
        <v>41769.99861</v>
      </c>
      <c r="E806" s="22">
        <f>IFERROR(__xludf.DUMMYFUNCTION("""COMPUTED_VALUE"""),1.3759)</f>
        <v>1.3759</v>
      </c>
      <c r="F806" s="22">
        <f t="shared" si="11"/>
        <v>180.7224861</v>
      </c>
      <c r="G806" s="22">
        <f t="shared" si="79"/>
        <v>56.63178708</v>
      </c>
      <c r="H806" s="22">
        <f t="shared" si="80"/>
        <v>136.1687107</v>
      </c>
    </row>
    <row r="807" ht="15.75" customHeight="1">
      <c r="A807" s="32">
        <f>IFERROR(__xludf.DUMMYFUNCTION("""COMPUTED_VALUE"""),41796.666666666664)</f>
        <v>41796.66667</v>
      </c>
      <c r="B807" s="22">
        <f>IFERROR(__xludf.DUMMYFUNCTION("""COMPUTED_VALUE"""),1949.44)</f>
        <v>1949.44</v>
      </c>
      <c r="C807" s="22">
        <f t="shared" si="10"/>
        <v>2653.481691</v>
      </c>
      <c r="D807" s="25">
        <f>IFERROR(__xludf.DUMMYFUNCTION("""COMPUTED_VALUE"""),41776.99861111111)</f>
        <v>41776.99861</v>
      </c>
      <c r="E807" s="22">
        <f>IFERROR(__xludf.DUMMYFUNCTION("""COMPUTED_VALUE"""),1.3694)</f>
        <v>1.3694</v>
      </c>
      <c r="F807" s="22">
        <f t="shared" si="11"/>
        <v>184.0922076</v>
      </c>
      <c r="G807" s="22">
        <f t="shared" si="79"/>
        <v>60.62987799</v>
      </c>
      <c r="H807" s="22">
        <f t="shared" si="80"/>
        <v>148.2469039</v>
      </c>
    </row>
    <row r="808" ht="15.75" customHeight="1">
      <c r="A808" s="32">
        <f>IFERROR(__xludf.DUMMYFUNCTION("""COMPUTED_VALUE"""),41803.666666666664)</f>
        <v>41803.66667</v>
      </c>
      <c r="B808" s="22">
        <f>IFERROR(__xludf.DUMMYFUNCTION("""COMPUTED_VALUE"""),1936.16)</f>
        <v>1936.16</v>
      </c>
      <c r="C808" s="22">
        <f t="shared" si="10"/>
        <v>2636.426179</v>
      </c>
      <c r="D808" s="25">
        <f>IFERROR(__xludf.DUMMYFUNCTION("""COMPUTED_VALUE"""),41783.99861111111)</f>
        <v>41783.99861</v>
      </c>
      <c r="E808" s="22">
        <f>IFERROR(__xludf.DUMMYFUNCTION("""COMPUTED_VALUE"""),1.3626)</f>
        <v>1.3626</v>
      </c>
      <c r="F808" s="22">
        <f t="shared" si="11"/>
        <v>183.8217366</v>
      </c>
      <c r="G808" s="22">
        <f t="shared" si="79"/>
        <v>61.88549108</v>
      </c>
      <c r="H808" s="22">
        <f t="shared" si="80"/>
        <v>141.7559898</v>
      </c>
    </row>
    <row r="809" ht="15.75" customHeight="1">
      <c r="A809" s="32">
        <f>IFERROR(__xludf.DUMMYFUNCTION("""COMPUTED_VALUE"""),41810.666666666664)</f>
        <v>41810.66667</v>
      </c>
      <c r="B809" s="22">
        <f>IFERROR(__xludf.DUMMYFUNCTION("""COMPUTED_VALUE"""),1962.87)</f>
        <v>1962.87</v>
      </c>
      <c r="C809" s="22">
        <f t="shared" si="10"/>
        <v>2673.810604</v>
      </c>
      <c r="D809" s="25">
        <f>IFERROR(__xludf.DUMMYFUNCTION("""COMPUTED_VALUE"""),41790.99861111111)</f>
        <v>41790.99861</v>
      </c>
      <c r="E809" s="22">
        <f>IFERROR(__xludf.DUMMYFUNCTION("""COMPUTED_VALUE"""),1.363)</f>
        <v>1.363</v>
      </c>
      <c r="F809" s="22">
        <f t="shared" si="11"/>
        <v>186.3736109</v>
      </c>
      <c r="G809" s="22">
        <f t="shared" si="79"/>
        <v>72.04136177</v>
      </c>
      <c r="H809" s="22">
        <f t="shared" si="80"/>
        <v>136.4285257</v>
      </c>
    </row>
    <row r="810" ht="15.75" customHeight="1">
      <c r="A810" s="32">
        <f>IFERROR(__xludf.DUMMYFUNCTION("""COMPUTED_VALUE"""),41817.666666666664)</f>
        <v>41817.66667</v>
      </c>
      <c r="B810" s="22">
        <f>IFERROR(__xludf.DUMMYFUNCTION("""COMPUTED_VALUE"""),1960.96)</f>
        <v>1960.96</v>
      </c>
      <c r="C810" s="22">
        <f t="shared" si="10"/>
        <v>2672.237201</v>
      </c>
      <c r="D810" s="25">
        <f>IFERROR(__xludf.DUMMYFUNCTION("""COMPUTED_VALUE"""),41797.99861111111)</f>
        <v>41797.99861</v>
      </c>
      <c r="E810" s="22">
        <f>IFERROR(__xludf.DUMMYFUNCTION("""COMPUTED_VALUE"""),1.3641)</f>
        <v>1.3641</v>
      </c>
      <c r="F810" s="22">
        <f t="shared" si="11"/>
        <v>186.1137376</v>
      </c>
      <c r="G810" s="22">
        <f t="shared" si="79"/>
        <v>72.47055604</v>
      </c>
      <c r="H810" s="22">
        <f t="shared" si="80"/>
        <v>135.0025522</v>
      </c>
    </row>
    <row r="811" ht="15.75" customHeight="1">
      <c r="A811" s="32">
        <f>IFERROR(__xludf.DUMMYFUNCTION("""COMPUTED_VALUE"""),41823.666666666664)</f>
        <v>41823.66667</v>
      </c>
      <c r="B811" s="22">
        <f>IFERROR(__xludf.DUMMYFUNCTION("""COMPUTED_VALUE"""),1985.44)</f>
        <v>1985.44</v>
      </c>
      <c r="C811" s="22">
        <f t="shared" si="10"/>
        <v>2706.624343</v>
      </c>
      <c r="D811" s="25">
        <f>IFERROR(__xludf.DUMMYFUNCTION("""COMPUTED_VALUE"""),41804.99861111111)</f>
        <v>41804.99861</v>
      </c>
      <c r="E811" s="22">
        <f>IFERROR(__xludf.DUMMYFUNCTION("""COMPUTED_VALUE"""),1.3539)</f>
        <v>1.3539</v>
      </c>
      <c r="F811" s="22">
        <f t="shared" si="11"/>
        <v>189.9288896</v>
      </c>
      <c r="G811" s="22">
        <f t="shared" si="79"/>
        <v>75.38891037</v>
      </c>
      <c r="H811" s="22">
        <f t="shared" si="80"/>
        <v>145.25823</v>
      </c>
    </row>
    <row r="812" ht="15.75" customHeight="1">
      <c r="A812" s="32">
        <f>IFERROR(__xludf.DUMMYFUNCTION("""COMPUTED_VALUE"""),41831.666666666664)</f>
        <v>41831.66667</v>
      </c>
      <c r="B812" s="22">
        <f>IFERROR(__xludf.DUMMYFUNCTION("""COMPUTED_VALUE"""),1967.57)</f>
        <v>1967.57</v>
      </c>
      <c r="C812" s="22">
        <f t="shared" si="10"/>
        <v>2683.304315</v>
      </c>
      <c r="D812" s="25">
        <f>IFERROR(__xludf.DUMMYFUNCTION("""COMPUTED_VALUE"""),41811.99861111111)</f>
        <v>41811.99861</v>
      </c>
      <c r="E812" s="22">
        <f>IFERROR(__xludf.DUMMYFUNCTION("""COMPUTED_VALUE"""),1.36)</f>
        <v>1.36</v>
      </c>
      <c r="F812" s="22">
        <f t="shared" si="11"/>
        <v>187.4479325</v>
      </c>
      <c r="G812" s="22">
        <f t="shared" si="79"/>
        <v>71.77620535</v>
      </c>
      <c r="H812" s="22">
        <f t="shared" si="80"/>
        <v>144.3490598</v>
      </c>
    </row>
    <row r="813" ht="15.75" customHeight="1">
      <c r="A813" s="32">
        <f>IFERROR(__xludf.DUMMYFUNCTION("""COMPUTED_VALUE"""),41838.666666666664)</f>
        <v>41838.66667</v>
      </c>
      <c r="B813" s="22">
        <f>IFERROR(__xludf.DUMMYFUNCTION("""COMPUTED_VALUE"""),1978.22)</f>
        <v>1978.22</v>
      </c>
      <c r="C813" s="22">
        <f t="shared" si="10"/>
        <v>2698.860459</v>
      </c>
      <c r="D813" s="25">
        <f>IFERROR(__xludf.DUMMYFUNCTION("""COMPUTED_VALUE"""),41818.99861111111)</f>
        <v>41818.99861</v>
      </c>
      <c r="E813" s="22">
        <f>IFERROR(__xludf.DUMMYFUNCTION("""COMPUTED_VALUE"""),1.3645)</f>
        <v>1.3645</v>
      </c>
      <c r="F813" s="22">
        <f t="shared" si="11"/>
        <v>187.9128695</v>
      </c>
      <c r="G813" s="22">
        <f t="shared" si="79"/>
        <v>66.65334894</v>
      </c>
      <c r="H813" s="22">
        <f t="shared" si="80"/>
        <v>149.909063</v>
      </c>
    </row>
    <row r="814" ht="15.75" customHeight="1">
      <c r="A814" s="32">
        <f>IFERROR(__xludf.DUMMYFUNCTION("""COMPUTED_VALUE"""),41845.666666666664)</f>
        <v>41845.66667</v>
      </c>
      <c r="B814" s="22">
        <f>IFERROR(__xludf.DUMMYFUNCTION("""COMPUTED_VALUE"""),1978.34)</f>
        <v>1978.34</v>
      </c>
      <c r="C814" s="22">
        <f t="shared" si="10"/>
        <v>2700.062197</v>
      </c>
      <c r="D814" s="25">
        <f>IFERROR(__xludf.DUMMYFUNCTION("""COMPUTED_VALUE"""),41825.99861111111)</f>
        <v>41825.99861</v>
      </c>
      <c r="E814" s="22">
        <f>IFERROR(__xludf.DUMMYFUNCTION("""COMPUTED_VALUE"""),1.3596)</f>
        <v>1.3596</v>
      </c>
      <c r="F814" s="22">
        <f t="shared" si="11"/>
        <v>188.6740824</v>
      </c>
      <c r="G814" s="22">
        <f t="shared" si="79"/>
        <v>63.96819679</v>
      </c>
      <c r="H814" s="22">
        <f t="shared" si="80"/>
        <v>154.8416984</v>
      </c>
    </row>
    <row r="815" ht="15.75" customHeight="1">
      <c r="A815" s="32">
        <f>IFERROR(__xludf.DUMMYFUNCTION("""COMPUTED_VALUE"""),41852.666666666664)</f>
        <v>41852.66667</v>
      </c>
      <c r="B815" s="22">
        <f>IFERROR(__xludf.DUMMYFUNCTION("""COMPUTED_VALUE"""),1925.15)</f>
        <v>1925.15</v>
      </c>
      <c r="C815" s="22">
        <f t="shared" si="10"/>
        <v>2628.506332</v>
      </c>
      <c r="D815" s="25">
        <f>IFERROR(__xludf.DUMMYFUNCTION("""COMPUTED_VALUE"""),41832.99861111111)</f>
        <v>41832.99861</v>
      </c>
      <c r="E815" s="22">
        <f>IFERROR(__xludf.DUMMYFUNCTION("""COMPUTED_VALUE"""),1.3608)</f>
        <v>1.3608</v>
      </c>
      <c r="F815" s="22">
        <f t="shared" si="11"/>
        <v>183.5119546</v>
      </c>
      <c r="G815" s="22">
        <f t="shared" si="79"/>
        <v>61.52586638</v>
      </c>
      <c r="H815" s="22">
        <f t="shared" si="80"/>
        <v>134.3840034</v>
      </c>
    </row>
    <row r="816" ht="15.75" customHeight="1">
      <c r="A816" s="32">
        <f>IFERROR(__xludf.DUMMYFUNCTION("""COMPUTED_VALUE"""),41859.666666666664)</f>
        <v>41859.66667</v>
      </c>
      <c r="B816" s="22">
        <f>IFERROR(__xludf.DUMMYFUNCTION("""COMPUTED_VALUE"""),1931.59)</f>
        <v>1931.59</v>
      </c>
      <c r="C816" s="22">
        <f t="shared" si="10"/>
        <v>2638.310159</v>
      </c>
      <c r="D816" s="25">
        <f>IFERROR(__xludf.DUMMYFUNCTION("""COMPUTED_VALUE"""),41839.99861111111)</f>
        <v>41839.99861</v>
      </c>
      <c r="E816" s="22">
        <f>IFERROR(__xludf.DUMMYFUNCTION("""COMPUTED_VALUE"""),1.3523)</f>
        <v>1.3523</v>
      </c>
      <c r="F816" s="22">
        <f t="shared" si="11"/>
        <v>185.3542019</v>
      </c>
      <c r="G816" s="22">
        <f t="shared" si="79"/>
        <v>61.9407142</v>
      </c>
      <c r="H816" s="22">
        <f t="shared" si="80"/>
        <v>128.865353</v>
      </c>
    </row>
    <row r="817" ht="15.75" customHeight="1">
      <c r="A817" s="32">
        <f>IFERROR(__xludf.DUMMYFUNCTION("""COMPUTED_VALUE"""),41866.666666666664)</f>
        <v>41866.66667</v>
      </c>
      <c r="B817" s="22">
        <f>IFERROR(__xludf.DUMMYFUNCTION("""COMPUTED_VALUE"""),1955.06)</f>
        <v>1955.06</v>
      </c>
      <c r="C817" s="22">
        <f t="shared" si="10"/>
        <v>2671.381976</v>
      </c>
      <c r="D817" s="25">
        <f>IFERROR(__xludf.DUMMYFUNCTION("""COMPUTED_VALUE"""),41846.99861111111)</f>
        <v>41846.99861</v>
      </c>
      <c r="E817" s="22">
        <f>IFERROR(__xludf.DUMMYFUNCTION("""COMPUTED_VALUE"""),1.343)</f>
        <v>1.343</v>
      </c>
      <c r="F817" s="22">
        <f t="shared" si="11"/>
        <v>188.9772882</v>
      </c>
      <c r="G817" s="22">
        <f t="shared" si="79"/>
        <v>72.02677271</v>
      </c>
      <c r="H817" s="22">
        <f t="shared" si="80"/>
        <v>132.1716288</v>
      </c>
    </row>
    <row r="818" ht="15.75" customHeight="1">
      <c r="A818" s="32">
        <f>IFERROR(__xludf.DUMMYFUNCTION("""COMPUTED_VALUE"""),41873.666666666664)</f>
        <v>41873.66667</v>
      </c>
      <c r="B818" s="22">
        <f>IFERROR(__xludf.DUMMYFUNCTION("""COMPUTED_VALUE"""),1988.4)</f>
        <v>1988.4</v>
      </c>
      <c r="C818" s="22">
        <f t="shared" si="10"/>
        <v>2717.965002</v>
      </c>
      <c r="D818" s="25">
        <f>IFERROR(__xludf.DUMMYFUNCTION("""COMPUTED_VALUE"""),41853.99861111111)</f>
        <v>41853.99861</v>
      </c>
      <c r="E818" s="22">
        <f>IFERROR(__xludf.DUMMYFUNCTION("""COMPUTED_VALUE"""),1.343)</f>
        <v>1.343</v>
      </c>
      <c r="F818" s="22">
        <f t="shared" si="11"/>
        <v>192.2726365</v>
      </c>
      <c r="G818" s="22">
        <f t="shared" si="79"/>
        <v>85.50430521</v>
      </c>
      <c r="H818" s="22">
        <f t="shared" si="80"/>
        <v>129.3644961</v>
      </c>
    </row>
    <row r="819" ht="15.75" customHeight="1">
      <c r="A819" s="32">
        <f>IFERROR(__xludf.DUMMYFUNCTION("""COMPUTED_VALUE"""),41880.666666666664)</f>
        <v>41880.66667</v>
      </c>
      <c r="B819" s="22">
        <f>IFERROR(__xludf.DUMMYFUNCTION("""COMPUTED_VALUE"""),2003.37)</f>
        <v>2003.37</v>
      </c>
      <c r="C819" s="22">
        <f t="shared" si="10"/>
        <v>2739.473024</v>
      </c>
      <c r="D819" s="25">
        <f>IFERROR(__xludf.DUMMYFUNCTION("""COMPUTED_VALUE"""),41860.99861111111)</f>
        <v>41860.99861</v>
      </c>
      <c r="E819" s="22">
        <f>IFERROR(__xludf.DUMMYFUNCTION("""COMPUTED_VALUE"""),1.3409)</f>
        <v>1.3409</v>
      </c>
      <c r="F819" s="22">
        <f t="shared" si="11"/>
        <v>194.0976474</v>
      </c>
      <c r="G819" s="22">
        <f t="shared" si="79"/>
        <v>91.72306769</v>
      </c>
      <c r="H819" s="22">
        <f t="shared" si="80"/>
        <v>133.6976324</v>
      </c>
    </row>
    <row r="820" ht="15.75" customHeight="1">
      <c r="A820" s="32">
        <f>IFERROR(__xludf.DUMMYFUNCTION("""COMPUTED_VALUE"""),41887.666666666664)</f>
        <v>41887.66667</v>
      </c>
      <c r="B820" s="22">
        <f>IFERROR(__xludf.DUMMYFUNCTION("""COMPUTED_VALUE"""),2007.71)</f>
        <v>2007.71</v>
      </c>
      <c r="C820" s="22">
        <f t="shared" si="10"/>
        <v>2746.461324</v>
      </c>
      <c r="D820" s="25">
        <f>IFERROR(__xludf.DUMMYFUNCTION("""COMPUTED_VALUE"""),41867.99861111111)</f>
        <v>41867.99861</v>
      </c>
      <c r="E820" s="22">
        <f>IFERROR(__xludf.DUMMYFUNCTION("""COMPUTED_VALUE"""),1.33935)</f>
        <v>1.33935</v>
      </c>
      <c r="F820" s="22">
        <f t="shared" si="11"/>
        <v>194.8179816</v>
      </c>
      <c r="G820" s="22">
        <f t="shared" si="79"/>
        <v>104.0450578</v>
      </c>
      <c r="H820" s="22">
        <f t="shared" si="80"/>
        <v>130.8446583</v>
      </c>
    </row>
    <row r="821" ht="15.75" customHeight="1">
      <c r="A821" s="32">
        <f>IFERROR(__xludf.DUMMYFUNCTION("""COMPUTED_VALUE"""),41894.666666666664)</f>
        <v>41894.66667</v>
      </c>
      <c r="B821" s="22">
        <f>IFERROR(__xludf.DUMMYFUNCTION("""COMPUTED_VALUE"""),1985.54)</f>
        <v>1985.54</v>
      </c>
      <c r="C821" s="22">
        <f t="shared" si="10"/>
        <v>2717.190045</v>
      </c>
      <c r="D821" s="25">
        <f>IFERROR(__xludf.DUMMYFUNCTION("""COMPUTED_VALUE"""),41874.99861111111)</f>
        <v>41874.99861</v>
      </c>
      <c r="E821" s="22">
        <f>IFERROR(__xludf.DUMMYFUNCTION("""COMPUTED_VALUE"""),1.3245)</f>
        <v>1.3245</v>
      </c>
      <c r="F821" s="22">
        <f t="shared" si="11"/>
        <v>194.902624</v>
      </c>
      <c r="G821" s="22">
        <f t="shared" si="79"/>
        <v>95.56548524</v>
      </c>
      <c r="H821" s="22">
        <f t="shared" si="80"/>
        <v>130.2281804</v>
      </c>
    </row>
    <row r="822" ht="15.75" customHeight="1">
      <c r="A822" s="32">
        <f>IFERROR(__xludf.DUMMYFUNCTION("""COMPUTED_VALUE"""),41901.666666666664)</f>
        <v>41901.66667</v>
      </c>
      <c r="B822" s="22">
        <f>IFERROR(__xludf.DUMMYFUNCTION("""COMPUTED_VALUE"""),2010.4)</f>
        <v>2010.4</v>
      </c>
      <c r="C822" s="22">
        <f t="shared" si="10"/>
        <v>2752.255759</v>
      </c>
      <c r="D822" s="25">
        <f>IFERROR(__xludf.DUMMYFUNCTION("""COMPUTED_VALUE"""),41881.99861111111)</f>
        <v>41881.99861</v>
      </c>
      <c r="E822" s="22">
        <f>IFERROR(__xludf.DUMMYFUNCTION("""COMPUTED_VALUE"""),1.3136)</f>
        <v>1.3136</v>
      </c>
      <c r="F822" s="22">
        <f t="shared" si="11"/>
        <v>199.0560049</v>
      </c>
      <c r="G822" s="22">
        <f t="shared" si="79"/>
        <v>96.40056606</v>
      </c>
      <c r="H822" s="22">
        <f t="shared" si="80"/>
        <v>137.4745689</v>
      </c>
    </row>
    <row r="823" ht="15.75" customHeight="1">
      <c r="A823" s="32">
        <f>IFERROR(__xludf.DUMMYFUNCTION("""COMPUTED_VALUE"""),41908.666666666664)</f>
        <v>41908.66667</v>
      </c>
      <c r="B823" s="22">
        <f>IFERROR(__xludf.DUMMYFUNCTION("""COMPUTED_VALUE"""),1982.85)</f>
        <v>1982.85</v>
      </c>
      <c r="C823" s="22">
        <f t="shared" si="10"/>
        <v>2715.59812</v>
      </c>
      <c r="D823" s="25">
        <f>IFERROR(__xludf.DUMMYFUNCTION("""COMPUTED_VALUE"""),41888.99861111111)</f>
        <v>41888.99861</v>
      </c>
      <c r="E823" s="22">
        <f>IFERROR(__xludf.DUMMYFUNCTION("""COMPUTED_VALUE"""),1.2949)</f>
        <v>1.2949</v>
      </c>
      <c r="F823" s="22">
        <f t="shared" si="11"/>
        <v>199.241087</v>
      </c>
      <c r="G823" s="22">
        <f t="shared" si="79"/>
        <v>92.30387426</v>
      </c>
      <c r="H823" s="22">
        <f t="shared" si="80"/>
        <v>136.5553477</v>
      </c>
    </row>
    <row r="824" ht="15.75" customHeight="1">
      <c r="A824" s="32">
        <f>IFERROR(__xludf.DUMMYFUNCTION("""COMPUTED_VALUE"""),41915.666666666664)</f>
        <v>41915.66667</v>
      </c>
      <c r="B824" s="22">
        <f>IFERROR(__xludf.DUMMYFUNCTION("""COMPUTED_VALUE"""),1967.9)</f>
        <v>1967.9</v>
      </c>
      <c r="C824" s="22">
        <f t="shared" si="10"/>
        <v>2696.167915</v>
      </c>
      <c r="D824" s="25">
        <f>IFERROR(__xludf.DUMMYFUNCTION("""COMPUTED_VALUE"""),41895.99861111111)</f>
        <v>41895.99861</v>
      </c>
      <c r="E824" s="22">
        <f>IFERROR(__xludf.DUMMYFUNCTION("""COMPUTED_VALUE"""),1.2947)</f>
        <v>1.2947</v>
      </c>
      <c r="F824" s="22">
        <f t="shared" si="11"/>
        <v>197.8460674</v>
      </c>
      <c r="G824" s="22">
        <f t="shared" si="79"/>
        <v>82.9545106</v>
      </c>
      <c r="H824" s="22">
        <f t="shared" si="80"/>
        <v>131.1400186</v>
      </c>
    </row>
    <row r="825" ht="15.75" customHeight="1">
      <c r="A825" s="32">
        <f>IFERROR(__xludf.DUMMYFUNCTION("""COMPUTED_VALUE"""),41922.666666666664)</f>
        <v>41922.66667</v>
      </c>
      <c r="B825" s="22">
        <f>IFERROR(__xludf.DUMMYFUNCTION("""COMPUTED_VALUE"""),1906.13)</f>
        <v>1906.13</v>
      </c>
      <c r="C825" s="22">
        <f t="shared" si="10"/>
        <v>2612.575454</v>
      </c>
      <c r="D825" s="25">
        <f>IFERROR(__xludf.DUMMYFUNCTION("""COMPUTED_VALUE"""),41902.99861111111)</f>
        <v>41902.99861</v>
      </c>
      <c r="E825" s="22">
        <f>IFERROR(__xludf.DUMMYFUNCTION("""COMPUTED_VALUE"""),1.2829)</f>
        <v>1.2829</v>
      </c>
      <c r="F825" s="22">
        <f t="shared" si="11"/>
        <v>193.4753634</v>
      </c>
      <c r="G825" s="22">
        <f t="shared" si="79"/>
        <v>87.55952801</v>
      </c>
      <c r="H825" s="22">
        <f t="shared" si="80"/>
        <v>130.7740265</v>
      </c>
    </row>
    <row r="826" ht="15.75" customHeight="1">
      <c r="A826" s="32">
        <f>IFERROR(__xludf.DUMMYFUNCTION("""COMPUTED_VALUE"""),41929.666666666664)</f>
        <v>41929.66667</v>
      </c>
      <c r="B826" s="22">
        <f>IFERROR(__xludf.DUMMYFUNCTION("""COMPUTED_VALUE"""),1886.76)</f>
        <v>1886.76</v>
      </c>
      <c r="C826" s="22">
        <f t="shared" si="10"/>
        <v>2587.031426</v>
      </c>
      <c r="D826" s="25">
        <f>IFERROR(__xludf.DUMMYFUNCTION("""COMPUTED_VALUE"""),41909.99861111111)</f>
        <v>41909.99861</v>
      </c>
      <c r="E826" s="22">
        <f>IFERROR(__xludf.DUMMYFUNCTION("""COMPUTED_VALUE"""),1.2683)</f>
        <v>1.2683</v>
      </c>
      <c r="F826" s="22">
        <f t="shared" si="11"/>
        <v>193.7891001</v>
      </c>
      <c r="G826" s="22">
        <f t="shared" si="79"/>
        <v>86.90576675</v>
      </c>
      <c r="H826" s="22">
        <f t="shared" si="80"/>
        <v>133.8550536</v>
      </c>
    </row>
    <row r="827" ht="15.75" customHeight="1">
      <c r="A827" s="32">
        <f>IFERROR(__xludf.DUMMYFUNCTION("""COMPUTED_VALUE"""),41936.666666666664)</f>
        <v>41936.66667</v>
      </c>
      <c r="B827" s="22">
        <f>IFERROR(__xludf.DUMMYFUNCTION("""COMPUTED_VALUE"""),1964.58)</f>
        <v>1964.58</v>
      </c>
      <c r="C827" s="22">
        <f t="shared" si="10"/>
        <v>2694.72935</v>
      </c>
      <c r="D827" s="25">
        <f>IFERROR(__xludf.DUMMYFUNCTION("""COMPUTED_VALUE"""),41916.99861111111)</f>
        <v>41916.99861</v>
      </c>
      <c r="E827" s="22">
        <f>IFERROR(__xludf.DUMMYFUNCTION("""COMPUTED_VALUE"""),1.2514)</f>
        <v>1.2514</v>
      </c>
      <c r="F827" s="22">
        <f t="shared" si="11"/>
        <v>204.5825728</v>
      </c>
      <c r="G827" s="22">
        <f t="shared" si="79"/>
        <v>93.08015576</v>
      </c>
      <c r="H827" s="22">
        <f t="shared" si="80"/>
        <v>138.202059</v>
      </c>
    </row>
    <row r="828" ht="15.75" customHeight="1">
      <c r="A828" s="32">
        <f>IFERROR(__xludf.DUMMYFUNCTION("""COMPUTED_VALUE"""),41943.666666666664)</f>
        <v>41943.66667</v>
      </c>
      <c r="B828" s="22">
        <f>IFERROR(__xludf.DUMMYFUNCTION("""COMPUTED_VALUE"""),2018.05)</f>
        <v>2018.05</v>
      </c>
      <c r="C828" s="22">
        <f t="shared" si="10"/>
        <v>2769.108269</v>
      </c>
      <c r="D828" s="25">
        <f>IFERROR(__xludf.DUMMYFUNCTION("""COMPUTED_VALUE"""),41923.99861111111)</f>
        <v>41923.99861</v>
      </c>
      <c r="E828" s="22">
        <f>IFERROR(__xludf.DUMMYFUNCTION("""COMPUTED_VALUE"""),1.2627)</f>
        <v>1.2627</v>
      </c>
      <c r="F828" s="22">
        <f t="shared" si="11"/>
        <v>208.348026</v>
      </c>
      <c r="G828" s="22">
        <f t="shared" si="79"/>
        <v>92.00754938</v>
      </c>
      <c r="H828" s="22">
        <f t="shared" si="80"/>
        <v>141.7423122</v>
      </c>
    </row>
    <row r="829" ht="15.75" customHeight="1">
      <c r="A829" s="32">
        <f>IFERROR(__xludf.DUMMYFUNCTION("""COMPUTED_VALUE"""),41950.666666666664)</f>
        <v>41950.66667</v>
      </c>
      <c r="B829" s="22">
        <f>IFERROR(__xludf.DUMMYFUNCTION("""COMPUTED_VALUE"""),2031.92)</f>
        <v>2031.92</v>
      </c>
      <c r="C829" s="22">
        <f t="shared" si="10"/>
        <v>2789.205313</v>
      </c>
      <c r="D829" s="25">
        <f>IFERROR(__xludf.DUMMYFUNCTION("""COMPUTED_VALUE"""),41930.99861111111)</f>
        <v>41930.99861</v>
      </c>
      <c r="E829" s="22">
        <f>IFERROR(__xludf.DUMMYFUNCTION("""COMPUTED_VALUE"""),1.2758)</f>
        <v>1.2758</v>
      </c>
      <c r="F829" s="22">
        <f t="shared" si="11"/>
        <v>207.705272</v>
      </c>
      <c r="G829" s="22">
        <f t="shared" si="79"/>
        <v>89.42121693</v>
      </c>
      <c r="H829" s="22">
        <f t="shared" si="80"/>
        <v>144.6132623</v>
      </c>
    </row>
    <row r="830" ht="15.75" customHeight="1">
      <c r="A830" s="32">
        <f>IFERROR(__xludf.DUMMYFUNCTION("""COMPUTED_VALUE"""),41957.66666666667)</f>
        <v>41957.66667</v>
      </c>
      <c r="B830" s="22">
        <f>IFERROR(__xludf.DUMMYFUNCTION("""COMPUTED_VALUE"""),2039.82)</f>
        <v>2039.82</v>
      </c>
      <c r="C830" s="22">
        <f t="shared" si="10"/>
        <v>2801.12237</v>
      </c>
      <c r="D830" s="25">
        <f>IFERROR(__xludf.DUMMYFUNCTION("""COMPUTED_VALUE"""),41937.99861111111)</f>
        <v>41937.99861</v>
      </c>
      <c r="E830" s="22">
        <f>IFERROR(__xludf.DUMMYFUNCTION("""COMPUTED_VALUE"""),1.2669)</f>
        <v>1.2669</v>
      </c>
      <c r="F830" s="22">
        <f t="shared" si="11"/>
        <v>210.0580743</v>
      </c>
      <c r="G830" s="22">
        <f t="shared" si="79"/>
        <v>88.14886656</v>
      </c>
      <c r="H830" s="22">
        <f t="shared" si="80"/>
        <v>152.8719857</v>
      </c>
    </row>
    <row r="831" ht="15.75" customHeight="1">
      <c r="A831" s="32">
        <f>IFERROR(__xludf.DUMMYFUNCTION("""COMPUTED_VALUE"""),41964.66666666667)</f>
        <v>41964.66667</v>
      </c>
      <c r="B831" s="22">
        <f>IFERROR(__xludf.DUMMYFUNCTION("""COMPUTED_VALUE"""),2063.5)</f>
        <v>2063.5</v>
      </c>
      <c r="C831" s="22">
        <f t="shared" si="10"/>
        <v>2834.717583</v>
      </c>
      <c r="D831" s="25">
        <f>IFERROR(__xludf.DUMMYFUNCTION("""COMPUTED_VALUE"""),41944.99861111111)</f>
        <v>41944.99861</v>
      </c>
      <c r="E831" s="22">
        <f>IFERROR(__xludf.DUMMYFUNCTION("""COMPUTED_VALUE"""),1.2523)</f>
        <v>1.2523</v>
      </c>
      <c r="F831" s="22">
        <f t="shared" si="11"/>
        <v>215.0557461</v>
      </c>
      <c r="G831" s="22">
        <f t="shared" si="79"/>
        <v>91.87341258</v>
      </c>
      <c r="H831" s="22">
        <f t="shared" si="80"/>
        <v>152.668455</v>
      </c>
    </row>
    <row r="832" ht="15.75" customHeight="1">
      <c r="A832" s="32">
        <f>IFERROR(__xludf.DUMMYFUNCTION("""COMPUTED_VALUE"""),41971.66666666667)</f>
        <v>41971.66667</v>
      </c>
      <c r="B832" s="22">
        <f>IFERROR(__xludf.DUMMYFUNCTION("""COMPUTED_VALUE"""),2067.56)</f>
        <v>2067.56</v>
      </c>
      <c r="C832" s="22">
        <f t="shared" si="10"/>
        <v>2841.385254</v>
      </c>
      <c r="D832" s="25">
        <f>IFERROR(__xludf.DUMMYFUNCTION("""COMPUTED_VALUE"""),41951.99861111111)</f>
        <v>41951.99861</v>
      </c>
      <c r="E832" s="22">
        <f>IFERROR(__xludf.DUMMYFUNCTION("""COMPUTED_VALUE"""),1.24529)</f>
        <v>1.24529</v>
      </c>
      <c r="F832" s="22">
        <f t="shared" si="11"/>
        <v>216.7750303</v>
      </c>
      <c r="G832" s="22">
        <f t="shared" si="79"/>
        <v>92.15535585</v>
      </c>
      <c r="H832" s="22">
        <f t="shared" si="80"/>
        <v>150.0198214</v>
      </c>
    </row>
    <row r="833" ht="15.75" customHeight="1">
      <c r="A833" s="32">
        <f>IFERROR(__xludf.DUMMYFUNCTION("""COMPUTED_VALUE"""),41978.66666666667)</f>
        <v>41978.66667</v>
      </c>
      <c r="B833" s="22">
        <f>IFERROR(__xludf.DUMMYFUNCTION("""COMPUTED_VALUE"""),2075.37)</f>
        <v>2075.37</v>
      </c>
      <c r="C833" s="22">
        <f t="shared" si="10"/>
        <v>2853.211141</v>
      </c>
      <c r="D833" s="25">
        <f>IFERROR(__xludf.DUMMYFUNCTION("""COMPUTED_VALUE"""),41958.99861111111)</f>
        <v>41958.99861</v>
      </c>
      <c r="E833" s="22">
        <f>IFERROR(__xludf.DUMMYFUNCTION("""COMPUTED_VALUE"""),1.2524)</f>
        <v>1.2524</v>
      </c>
      <c r="F833" s="22">
        <f t="shared" si="11"/>
        <v>216.4414757</v>
      </c>
      <c r="G833" s="22">
        <f t="shared" si="79"/>
        <v>95.62454285</v>
      </c>
      <c r="H833" s="22">
        <f t="shared" si="80"/>
        <v>149.2977202</v>
      </c>
    </row>
    <row r="834" ht="15.75" customHeight="1">
      <c r="A834" s="32">
        <f>IFERROR(__xludf.DUMMYFUNCTION("""COMPUTED_VALUE"""),41985.66666666667)</f>
        <v>41985.66667</v>
      </c>
      <c r="B834" s="22">
        <f>IFERROR(__xludf.DUMMYFUNCTION("""COMPUTED_VALUE"""),2002.33)</f>
        <v>2002.33</v>
      </c>
      <c r="C834" s="22">
        <f t="shared" si="10"/>
        <v>2753.893403</v>
      </c>
      <c r="D834" s="25">
        <f>IFERROR(__xludf.DUMMYFUNCTION("""COMPUTED_VALUE"""),41965.99861111111)</f>
        <v>41965.99861</v>
      </c>
      <c r="E834" s="22">
        <f>IFERROR(__xludf.DUMMYFUNCTION("""COMPUTED_VALUE"""),1.239)</f>
        <v>1.239</v>
      </c>
      <c r="F834" s="22">
        <f t="shared" si="11"/>
        <v>211.1667099</v>
      </c>
      <c r="G834" s="22">
        <f t="shared" si="79"/>
        <v>96.06055477</v>
      </c>
      <c r="H834" s="22">
        <f t="shared" si="80"/>
        <v>145.116466</v>
      </c>
    </row>
    <row r="835" ht="15.75" customHeight="1">
      <c r="A835" s="32">
        <f>IFERROR(__xludf.DUMMYFUNCTION("""COMPUTED_VALUE"""),41992.66666666667)</f>
        <v>41992.66667</v>
      </c>
      <c r="B835" s="22">
        <f>IFERROR(__xludf.DUMMYFUNCTION("""COMPUTED_VALUE"""),2070.65)</f>
        <v>2070.65</v>
      </c>
      <c r="C835" s="22">
        <f t="shared" si="10"/>
        <v>2848.916124</v>
      </c>
      <c r="D835" s="25">
        <f>IFERROR(__xludf.DUMMYFUNCTION("""COMPUTED_VALUE"""),41972.99861111111)</f>
        <v>41972.99861</v>
      </c>
      <c r="E835" s="22">
        <f>IFERROR(__xludf.DUMMYFUNCTION("""COMPUTED_VALUE"""),1.245)</f>
        <v>1.245</v>
      </c>
      <c r="F835" s="22">
        <f t="shared" si="11"/>
        <v>217.4002033</v>
      </c>
      <c r="G835" s="22">
        <f t="shared" si="79"/>
        <v>90.20895486</v>
      </c>
      <c r="H835" s="22">
        <f t="shared" si="80"/>
        <v>146.8246482</v>
      </c>
    </row>
    <row r="836" ht="15.75" customHeight="1">
      <c r="A836" s="32">
        <f>IFERROR(__xludf.DUMMYFUNCTION("""COMPUTED_VALUE"""),41999.66666666667)</f>
        <v>41999.66667</v>
      </c>
      <c r="B836" s="22">
        <f>IFERROR(__xludf.DUMMYFUNCTION("""COMPUTED_VALUE"""),2088.77)</f>
        <v>2088.77</v>
      </c>
      <c r="C836" s="22">
        <f t="shared" si="10"/>
        <v>2874.942371</v>
      </c>
      <c r="D836" s="25">
        <f>IFERROR(__xludf.DUMMYFUNCTION("""COMPUTED_VALUE"""),41979.99861111111)</f>
        <v>41979.99861</v>
      </c>
      <c r="E836" s="22">
        <f>IFERROR(__xludf.DUMMYFUNCTION("""COMPUTED_VALUE"""),1.2285)</f>
        <v>1.2285</v>
      </c>
      <c r="F836" s="22">
        <f t="shared" si="11"/>
        <v>222.3328406</v>
      </c>
      <c r="G836" s="22">
        <f t="shared" si="79"/>
        <v>92.19664005</v>
      </c>
      <c r="H836" s="22">
        <f t="shared" si="80"/>
        <v>148.1717354</v>
      </c>
    </row>
    <row r="837" ht="15.75" customHeight="1">
      <c r="A837" s="32">
        <f>IFERROR(__xludf.DUMMYFUNCTION("""COMPUTED_VALUE"""),42006.66666666667)</f>
        <v>42006.66667</v>
      </c>
      <c r="B837" s="22">
        <f>IFERROR(__xludf.DUMMYFUNCTION("""COMPUTED_VALUE"""),2058.2)</f>
        <v>2058.2</v>
      </c>
      <c r="C837" s="22">
        <f t="shared" si="10"/>
        <v>2833.972165</v>
      </c>
      <c r="D837" s="25">
        <f>IFERROR(__xludf.DUMMYFUNCTION("""COMPUTED_VALUE"""),41986.99861111111)</f>
        <v>41986.99861</v>
      </c>
      <c r="E837" s="22">
        <f>IFERROR(__xludf.DUMMYFUNCTION("""COMPUTED_VALUE"""),1.2462)</f>
        <v>1.2462</v>
      </c>
      <c r="F837" s="22">
        <f t="shared" si="11"/>
        <v>216.0515903</v>
      </c>
      <c r="G837" s="22">
        <f t="shared" si="79"/>
        <v>87.51684627</v>
      </c>
      <c r="H837" s="22">
        <f t="shared" si="80"/>
        <v>137.4267356</v>
      </c>
    </row>
    <row r="838" ht="15.75" customHeight="1">
      <c r="A838" s="32">
        <f>IFERROR(__xludf.DUMMYFUNCTION("""COMPUTED_VALUE"""),42013.66666666667)</f>
        <v>42013.66667</v>
      </c>
      <c r="B838" s="22">
        <f>IFERROR(__xludf.DUMMYFUNCTION("""COMPUTED_VALUE"""),2044.81)</f>
        <v>2044.81</v>
      </c>
      <c r="C838" s="22">
        <f t="shared" si="10"/>
        <v>2816.625225</v>
      </c>
      <c r="D838" s="25">
        <f>IFERROR(__xludf.DUMMYFUNCTION("""COMPUTED_VALUE"""),41993.99861111111)</f>
        <v>41993.99861</v>
      </c>
      <c r="E838" s="22">
        <f>IFERROR(__xludf.DUMMYFUNCTION("""COMPUTED_VALUE"""),1.2227)</f>
        <v>1.2227</v>
      </c>
      <c r="F838" s="22">
        <f t="shared" si="11"/>
        <v>218.8561657</v>
      </c>
      <c r="G838" s="22">
        <f t="shared" si="79"/>
        <v>82.95703044</v>
      </c>
      <c r="H838" s="22">
        <f t="shared" si="80"/>
        <v>135.8844973</v>
      </c>
    </row>
    <row r="839" ht="15.75" customHeight="1">
      <c r="A839" s="32">
        <f>IFERROR(__xludf.DUMMYFUNCTION("""COMPUTED_VALUE"""),42020.66666666667)</f>
        <v>42020.66667</v>
      </c>
      <c r="B839" s="22">
        <f>IFERROR(__xludf.DUMMYFUNCTION("""COMPUTED_VALUE"""),2019.42)</f>
        <v>2019.42</v>
      </c>
      <c r="C839" s="22">
        <f t="shared" si="10"/>
        <v>2782.735066</v>
      </c>
      <c r="D839" s="25">
        <f>IFERROR(__xludf.DUMMYFUNCTION("""COMPUTED_VALUE"""),42000.99861111111)</f>
        <v>42000.99861</v>
      </c>
      <c r="E839" s="22">
        <f>IFERROR(__xludf.DUMMYFUNCTION("""COMPUTED_VALUE"""),1.2181)</f>
        <v>1.2181</v>
      </c>
      <c r="F839" s="22">
        <f t="shared" si="11"/>
        <v>217.0393857</v>
      </c>
      <c r="G839" s="22">
        <f t="shared" si="79"/>
        <v>81.3352716</v>
      </c>
      <c r="H839" s="22">
        <f t="shared" si="80"/>
        <v>134.694161</v>
      </c>
    </row>
    <row r="840" ht="15.75" customHeight="1">
      <c r="A840" s="32">
        <f>IFERROR(__xludf.DUMMYFUNCTION("""COMPUTED_VALUE"""),42027.66666666667)</f>
        <v>42027.66667</v>
      </c>
      <c r="B840" s="22">
        <f>IFERROR(__xludf.DUMMYFUNCTION("""COMPUTED_VALUE"""),2051.82)</f>
        <v>2051.82</v>
      </c>
      <c r="C840" s="22">
        <f t="shared" si="10"/>
        <v>2828.452137</v>
      </c>
      <c r="D840" s="25">
        <f>IFERROR(__xludf.DUMMYFUNCTION("""COMPUTED_VALUE"""),42007.99861111111)</f>
        <v>42007.99861</v>
      </c>
      <c r="E840" s="22">
        <f>IFERROR(__xludf.DUMMYFUNCTION("""COMPUTED_VALUE"""),1.1998)</f>
        <v>1.1998</v>
      </c>
      <c r="F840" s="22">
        <f t="shared" si="11"/>
        <v>223.9698764</v>
      </c>
      <c r="G840" s="22">
        <f t="shared" si="79"/>
        <v>80.75743136</v>
      </c>
      <c r="H840" s="22">
        <f t="shared" si="80"/>
        <v>137.6776659</v>
      </c>
    </row>
    <row r="841" ht="15.75" customHeight="1">
      <c r="A841" s="32">
        <f>IFERROR(__xludf.DUMMYFUNCTION("""COMPUTED_VALUE"""),42034.66666666667)</f>
        <v>42034.66667</v>
      </c>
      <c r="B841" s="22">
        <f>IFERROR(__xludf.DUMMYFUNCTION("""COMPUTED_VALUE"""),1994.99)</f>
        <v>1994.99</v>
      </c>
      <c r="C841" s="22">
        <f t="shared" si="10"/>
        <v>2751.199342</v>
      </c>
      <c r="D841" s="25">
        <f>IFERROR(__xludf.DUMMYFUNCTION("""COMPUTED_VALUE"""),42014.99861111111)</f>
        <v>42014.99861</v>
      </c>
      <c r="E841" s="22">
        <f>IFERROR(__xludf.DUMMYFUNCTION("""COMPUTED_VALUE"""),1.1838)</f>
        <v>1.1838</v>
      </c>
      <c r="F841" s="22">
        <f t="shared" si="11"/>
        <v>220.7970961</v>
      </c>
      <c r="G841" s="22">
        <f t="shared" si="79"/>
        <v>75.9872765</v>
      </c>
      <c r="H841" s="22">
        <f t="shared" si="80"/>
        <v>135.8029048</v>
      </c>
    </row>
    <row r="842" ht="15.75" customHeight="1">
      <c r="A842" s="32">
        <f>IFERROR(__xludf.DUMMYFUNCTION("""COMPUTED_VALUE"""),42041.66666666667)</f>
        <v>42041.66667</v>
      </c>
      <c r="B842" s="22">
        <f>IFERROR(__xludf.DUMMYFUNCTION("""COMPUTED_VALUE"""),2055.47)</f>
        <v>2055.47</v>
      </c>
      <c r="C842" s="22">
        <f t="shared" si="10"/>
        <v>2835.662694</v>
      </c>
      <c r="D842" s="25">
        <f>IFERROR(__xludf.DUMMYFUNCTION("""COMPUTED_VALUE"""),42021.99861111111)</f>
        <v>42021.99861</v>
      </c>
      <c r="E842" s="22">
        <f>IFERROR(__xludf.DUMMYFUNCTION("""COMPUTED_VALUE"""),1.1571)</f>
        <v>1.1571</v>
      </c>
      <c r="F842" s="22">
        <f t="shared" si="11"/>
        <v>232.8269827</v>
      </c>
      <c r="G842" s="22">
        <f t="shared" si="79"/>
        <v>85.61194019</v>
      </c>
      <c r="H842" s="22">
        <f t="shared" si="80"/>
        <v>148.9771708</v>
      </c>
    </row>
    <row r="843" ht="15.75" customHeight="1">
      <c r="A843" s="32">
        <f>IFERROR(__xludf.DUMMYFUNCTION("""COMPUTED_VALUE"""),42048.66666666667)</f>
        <v>42048.66667</v>
      </c>
      <c r="B843" s="22">
        <f>IFERROR(__xludf.DUMMYFUNCTION("""COMPUTED_VALUE"""),2096.99)</f>
        <v>2096.99</v>
      </c>
      <c r="C843" s="22">
        <f t="shared" si="10"/>
        <v>2894.033038</v>
      </c>
      <c r="D843" s="25">
        <f>IFERROR(__xludf.DUMMYFUNCTION("""COMPUTED_VALUE"""),42028.99861111111)</f>
        <v>42028.99861</v>
      </c>
      <c r="E843" s="22">
        <f>IFERROR(__xludf.DUMMYFUNCTION("""COMPUTED_VALUE"""),1.12)</f>
        <v>1.12</v>
      </c>
      <c r="F843" s="22">
        <f t="shared" si="11"/>
        <v>245.4907293</v>
      </c>
      <c r="G843" s="22">
        <f t="shared" si="79"/>
        <v>99.17726225</v>
      </c>
      <c r="H843" s="22">
        <f t="shared" si="80"/>
        <v>167.0176277</v>
      </c>
    </row>
    <row r="844" ht="15.75" customHeight="1">
      <c r="A844" s="32">
        <f>IFERROR(__xludf.DUMMYFUNCTION("""COMPUTED_VALUE"""),42055.66666666667)</f>
        <v>42055.66667</v>
      </c>
      <c r="B844" s="22">
        <f>IFERROR(__xludf.DUMMYFUNCTION("""COMPUTED_VALUE"""),2110.3)</f>
        <v>2110.3</v>
      </c>
      <c r="C844" s="22">
        <f t="shared" si="10"/>
        <v>2913.515114</v>
      </c>
      <c r="D844" s="25">
        <f>IFERROR(__xludf.DUMMYFUNCTION("""COMPUTED_VALUE"""),42035.99861111111)</f>
        <v>42035.99861</v>
      </c>
      <c r="E844" s="22">
        <f>IFERROR(__xludf.DUMMYFUNCTION("""COMPUTED_VALUE"""),1.1286)</f>
        <v>1.1286</v>
      </c>
      <c r="F844" s="22">
        <f t="shared" si="11"/>
        <v>245.2600787</v>
      </c>
      <c r="G844" s="22">
        <f t="shared" si="79"/>
        <v>94.14203649</v>
      </c>
      <c r="H844" s="22">
        <f t="shared" si="80"/>
        <v>163.604402</v>
      </c>
    </row>
    <row r="845" ht="15.75" customHeight="1">
      <c r="A845" s="32">
        <f>IFERROR(__xludf.DUMMYFUNCTION("""COMPUTED_VALUE"""),42062.66666666667)</f>
        <v>42062.66667</v>
      </c>
      <c r="B845" s="22">
        <f>IFERROR(__xludf.DUMMYFUNCTION("""COMPUTED_VALUE"""),2104.5)</f>
        <v>2104.5</v>
      </c>
      <c r="C845" s="22">
        <f t="shared" si="10"/>
        <v>2906.62812</v>
      </c>
      <c r="D845" s="25">
        <f>IFERROR(__xludf.DUMMYFUNCTION("""COMPUTED_VALUE"""),42042.99861111111)</f>
        <v>42042.99861</v>
      </c>
      <c r="E845" s="22">
        <f>IFERROR(__xludf.DUMMYFUNCTION("""COMPUTED_VALUE"""),1.1309)</f>
        <v>1.1309</v>
      </c>
      <c r="F845" s="22">
        <f t="shared" si="11"/>
        <v>244.1827052</v>
      </c>
      <c r="G845" s="22">
        <f t="shared" si="79"/>
        <v>94.15801332</v>
      </c>
      <c r="H845" s="22">
        <f t="shared" si="80"/>
        <v>160.3043343</v>
      </c>
    </row>
    <row r="846" ht="15.75" customHeight="1">
      <c r="A846" s="32">
        <f>IFERROR(__xludf.DUMMYFUNCTION("""COMPUTED_VALUE"""),42069.66666666667)</f>
        <v>42069.66667</v>
      </c>
      <c r="B846" s="22">
        <f>IFERROR(__xludf.DUMMYFUNCTION("""COMPUTED_VALUE"""),2071.26)</f>
        <v>2071.26</v>
      </c>
      <c r="C846" s="22">
        <f t="shared" si="10"/>
        <v>2861.836661</v>
      </c>
      <c r="D846" s="25">
        <f>IFERROR(__xludf.DUMMYFUNCTION("""COMPUTED_VALUE"""),42049.99861111111)</f>
        <v>42049.99861</v>
      </c>
      <c r="E846" s="22">
        <f>IFERROR(__xludf.DUMMYFUNCTION("""COMPUTED_VALUE"""),1.1378)</f>
        <v>1.1378</v>
      </c>
      <c r="F846" s="22">
        <f t="shared" si="11"/>
        <v>238.9618365</v>
      </c>
      <c r="G846" s="22">
        <f t="shared" si="79"/>
        <v>86.57409022</v>
      </c>
      <c r="H846" s="22">
        <f t="shared" si="80"/>
        <v>145.445444</v>
      </c>
    </row>
    <row r="847" ht="15.75" customHeight="1">
      <c r="A847" s="32">
        <f>IFERROR(__xludf.DUMMYFUNCTION("""COMPUTED_VALUE"""),42076.66666666667)</f>
        <v>42076.66667</v>
      </c>
      <c r="B847" s="22">
        <f>IFERROR(__xludf.DUMMYFUNCTION("""COMPUTED_VALUE"""),2053.4)</f>
        <v>2053.4</v>
      </c>
      <c r="C847" s="22">
        <f t="shared" si="10"/>
        <v>2838.260406</v>
      </c>
      <c r="D847" s="25">
        <f>IFERROR(__xludf.DUMMYFUNCTION("""COMPUTED_VALUE"""),42056.99861111111)</f>
        <v>42056.99861</v>
      </c>
      <c r="E847" s="22">
        <f>IFERROR(__xludf.DUMMYFUNCTION("""COMPUTED_VALUE"""),1.138)</f>
        <v>1.138</v>
      </c>
      <c r="F847" s="22">
        <f t="shared" si="11"/>
        <v>236.951581</v>
      </c>
      <c r="G847" s="22">
        <f t="shared" si="79"/>
        <v>88.61508137</v>
      </c>
      <c r="H847" s="22">
        <f t="shared" si="80"/>
        <v>146.5197408</v>
      </c>
    </row>
    <row r="848" ht="15.75" customHeight="1">
      <c r="A848" s="32">
        <f>IFERROR(__xludf.DUMMYFUNCTION("""COMPUTED_VALUE"""),42083.66666666667)</f>
        <v>42083.66667</v>
      </c>
      <c r="B848" s="22">
        <f>IFERROR(__xludf.DUMMYFUNCTION("""COMPUTED_VALUE"""),2108.1)</f>
        <v>2108.1</v>
      </c>
      <c r="C848" s="22">
        <f t="shared" si="10"/>
        <v>2914.959741</v>
      </c>
      <c r="D848" s="25">
        <f>IFERROR(__xludf.DUMMYFUNCTION("""COMPUTED_VALUE"""),42063.99861111111)</f>
        <v>42063.99861</v>
      </c>
      <c r="E848" s="22">
        <f>IFERROR(__xludf.DUMMYFUNCTION("""COMPUTED_VALUE"""),1.119)</f>
        <v>1.119</v>
      </c>
      <c r="F848" s="22">
        <f t="shared" si="11"/>
        <v>247.4868389</v>
      </c>
      <c r="G848" s="22">
        <f t="shared" si="79"/>
        <v>92.77405305</v>
      </c>
      <c r="H848" s="22">
        <f t="shared" si="80"/>
        <v>148.7195007</v>
      </c>
    </row>
    <row r="849" ht="15.75" customHeight="1">
      <c r="A849" s="32">
        <f>IFERROR(__xludf.DUMMYFUNCTION("""COMPUTED_VALUE"""),42090.66666666667)</f>
        <v>42090.66667</v>
      </c>
      <c r="B849" s="22">
        <f>IFERROR(__xludf.DUMMYFUNCTION("""COMPUTED_VALUE"""),2061.02)</f>
        <v>2061.02</v>
      </c>
      <c r="C849" s="22">
        <f t="shared" si="10"/>
        <v>2850.981356</v>
      </c>
      <c r="D849" s="25">
        <f>IFERROR(__xludf.DUMMYFUNCTION("""COMPUTED_VALUE"""),42070.99861111111)</f>
        <v>42070.99861</v>
      </c>
      <c r="E849" s="22">
        <f>IFERROR(__xludf.DUMMYFUNCTION("""COMPUTED_VALUE"""),1.0844)</f>
        <v>1.0844</v>
      </c>
      <c r="F849" s="22">
        <f t="shared" si="11"/>
        <v>249.7781832</v>
      </c>
      <c r="G849" s="22">
        <f t="shared" si="79"/>
        <v>93.13065403</v>
      </c>
      <c r="H849" s="22">
        <f t="shared" si="80"/>
        <v>151.3667742</v>
      </c>
    </row>
    <row r="850" ht="15.75" customHeight="1">
      <c r="A850" s="32">
        <f>IFERROR(__xludf.DUMMYFUNCTION("""COMPUTED_VALUE"""),42096.66666666667)</f>
        <v>42096.66667</v>
      </c>
      <c r="B850" s="22">
        <f>IFERROR(__xludf.DUMMYFUNCTION("""COMPUTED_VALUE"""),2066.96)</f>
        <v>2066.96</v>
      </c>
      <c r="C850" s="22">
        <f t="shared" si="10"/>
        <v>2860.29461</v>
      </c>
      <c r="D850" s="25">
        <f>IFERROR(__xludf.DUMMYFUNCTION("""COMPUTED_VALUE"""),42077.99861111111)</f>
        <v>42077.99861</v>
      </c>
      <c r="E850" s="22">
        <f>IFERROR(__xludf.DUMMYFUNCTION("""COMPUTED_VALUE"""),1.0495)</f>
        <v>1.0495</v>
      </c>
      <c r="F850" s="22">
        <f t="shared" si="11"/>
        <v>258.9273692</v>
      </c>
      <c r="G850" s="22">
        <f t="shared" si="79"/>
        <v>96.17286245</v>
      </c>
      <c r="H850" s="22">
        <f t="shared" si="80"/>
        <v>153.8404605</v>
      </c>
    </row>
    <row r="851" ht="15.75" customHeight="1">
      <c r="A851" s="32">
        <f>IFERROR(__xludf.DUMMYFUNCTION("""COMPUTED_VALUE"""),42104.66666666667)</f>
        <v>42104.66667</v>
      </c>
      <c r="B851" s="22">
        <f>IFERROR(__xludf.DUMMYFUNCTION("""COMPUTED_VALUE"""),2102.06)</f>
        <v>2102.06</v>
      </c>
      <c r="C851" s="22">
        <f t="shared" si="10"/>
        <v>2909.966704</v>
      </c>
      <c r="D851" s="25">
        <f>IFERROR(__xludf.DUMMYFUNCTION("""COMPUTED_VALUE"""),42084.99861111111)</f>
        <v>42084.99861</v>
      </c>
      <c r="E851" s="22">
        <f>IFERROR(__xludf.DUMMYFUNCTION("""COMPUTED_VALUE"""),1.0814)</f>
        <v>1.0814</v>
      </c>
      <c r="F851" s="22">
        <f t="shared" si="11"/>
        <v>255.6532326</v>
      </c>
      <c r="G851" s="22">
        <f t="shared" si="79"/>
        <v>95.96953849</v>
      </c>
      <c r="H851" s="22">
        <f t="shared" si="80"/>
        <v>146.4653639</v>
      </c>
    </row>
    <row r="852" ht="15.75" customHeight="1">
      <c r="A852" s="32">
        <f>IFERROR(__xludf.DUMMYFUNCTION("""COMPUTED_VALUE"""),42111.66666666667)</f>
        <v>42111.66667</v>
      </c>
      <c r="B852" s="22">
        <f>IFERROR(__xludf.DUMMYFUNCTION("""COMPUTED_VALUE"""),2081.18)</f>
        <v>2081.18</v>
      </c>
      <c r="C852" s="22">
        <f t="shared" si="10"/>
        <v>2882.180893</v>
      </c>
      <c r="D852" s="25">
        <f>IFERROR(__xludf.DUMMYFUNCTION("""COMPUTED_VALUE"""),42091.99861111111)</f>
        <v>42091.99861</v>
      </c>
      <c r="E852" s="22">
        <f>IFERROR(__xludf.DUMMYFUNCTION("""COMPUTED_VALUE"""),1.0893)</f>
        <v>1.0893</v>
      </c>
      <c r="F852" s="22">
        <f t="shared" si="11"/>
        <v>251.3757418</v>
      </c>
      <c r="G852" s="22">
        <f t="shared" si="79"/>
        <v>92.11491788</v>
      </c>
      <c r="H852" s="22">
        <f t="shared" si="80"/>
        <v>141.8895056</v>
      </c>
    </row>
    <row r="853" ht="15.75" customHeight="1">
      <c r="A853" s="32">
        <f>IFERROR(__xludf.DUMMYFUNCTION("""COMPUTED_VALUE"""),42118.66666666667)</f>
        <v>42118.66667</v>
      </c>
      <c r="B853" s="22">
        <f>IFERROR(__xludf.DUMMYFUNCTION("""COMPUTED_VALUE"""),2117.69)</f>
        <v>2117.69</v>
      </c>
      <c r="C853" s="22">
        <f t="shared" si="10"/>
        <v>2933.851329</v>
      </c>
      <c r="D853" s="25">
        <f>IFERROR(__xludf.DUMMYFUNCTION("""COMPUTED_VALUE"""),42098.99861111111)</f>
        <v>42098.99861</v>
      </c>
      <c r="E853" s="22">
        <f>IFERROR(__xludf.DUMMYFUNCTION("""COMPUTED_VALUE"""),1.0963)</f>
        <v>1.0963</v>
      </c>
      <c r="F853" s="22">
        <f t="shared" si="11"/>
        <v>254.2484549</v>
      </c>
      <c r="G853" s="22">
        <f t="shared" si="79"/>
        <v>92.0701549</v>
      </c>
      <c r="H853" s="22">
        <f t="shared" si="80"/>
        <v>141.2295597</v>
      </c>
    </row>
    <row r="854" ht="15.75" customHeight="1">
      <c r="A854" s="32">
        <f>IFERROR(__xludf.DUMMYFUNCTION("""COMPUTED_VALUE"""),42125.66666666667)</f>
        <v>42125.66667</v>
      </c>
      <c r="B854" s="22">
        <f>IFERROR(__xludf.DUMMYFUNCTION("""COMPUTED_VALUE"""),2108.29)</f>
        <v>2108.29</v>
      </c>
      <c r="C854" s="22">
        <f t="shared" si="10"/>
        <v>2921.956957</v>
      </c>
      <c r="D854" s="25">
        <f>IFERROR(__xludf.DUMMYFUNCTION("""COMPUTED_VALUE"""),42105.99861111111)</f>
        <v>42105.99861</v>
      </c>
      <c r="E854" s="22">
        <f>IFERROR(__xludf.DUMMYFUNCTION("""COMPUTED_VALUE"""),1.0608)</f>
        <v>1.0608</v>
      </c>
      <c r="F854" s="22">
        <f t="shared" si="11"/>
        <v>261.6916931</v>
      </c>
      <c r="G854" s="22">
        <f t="shared" si="79"/>
        <v>101.4274984</v>
      </c>
      <c r="H854" s="22">
        <f t="shared" si="80"/>
        <v>148.3676495</v>
      </c>
    </row>
    <row r="855" ht="15.75" customHeight="1">
      <c r="A855" s="32">
        <f>IFERROR(__xludf.DUMMYFUNCTION("""COMPUTED_VALUE"""),42132.66666666667)</f>
        <v>42132.66667</v>
      </c>
      <c r="B855" s="22">
        <f>IFERROR(__xludf.DUMMYFUNCTION("""COMPUTED_VALUE"""),2116.1)</f>
        <v>2116.1</v>
      </c>
      <c r="C855" s="22">
        <f t="shared" si="10"/>
        <v>2933.904954</v>
      </c>
      <c r="D855" s="25">
        <f>IFERROR(__xludf.DUMMYFUNCTION("""COMPUTED_VALUE"""),42112.99861111111)</f>
        <v>42112.99861</v>
      </c>
      <c r="E855" s="22">
        <f>IFERROR(__xludf.DUMMYFUNCTION("""COMPUTED_VALUE"""),1.0804)</f>
        <v>1.0804</v>
      </c>
      <c r="F855" s="22">
        <f t="shared" si="11"/>
        <v>257.9948869</v>
      </c>
      <c r="G855" s="22">
        <f t="shared" si="79"/>
        <v>99.33653217</v>
      </c>
      <c r="H855" s="22">
        <f t="shared" si="80"/>
        <v>137.8963624</v>
      </c>
    </row>
    <row r="856" ht="15.75" customHeight="1">
      <c r="A856" s="32">
        <f>IFERROR(__xludf.DUMMYFUNCTION("""COMPUTED_VALUE"""),42139.66666666667)</f>
        <v>42139.66667</v>
      </c>
      <c r="B856" s="22">
        <f>IFERROR(__xludf.DUMMYFUNCTION("""COMPUTED_VALUE"""),2122.73)</f>
        <v>2122.73</v>
      </c>
      <c r="C856" s="22">
        <f t="shared" si="10"/>
        <v>2944.225662</v>
      </c>
      <c r="D856" s="25">
        <f>IFERROR(__xludf.DUMMYFUNCTION("""COMPUTED_VALUE"""),42119.99861111111)</f>
        <v>42119.99861</v>
      </c>
      <c r="E856" s="22">
        <f>IFERROR(__xludf.DUMMYFUNCTION("""COMPUTED_VALUE"""),1.08725)</f>
        <v>1.08725</v>
      </c>
      <c r="F856" s="22">
        <f t="shared" si="11"/>
        <v>257.2712824</v>
      </c>
      <c r="G856" s="22">
        <f t="shared" si="79"/>
        <v>95.33438634</v>
      </c>
      <c r="H856" s="22">
        <f t="shared" si="80"/>
        <v>141.7758839</v>
      </c>
    </row>
    <row r="857" ht="15.75" customHeight="1">
      <c r="A857" s="32">
        <f>IFERROR(__xludf.DUMMYFUNCTION("""COMPUTED_VALUE"""),42146.66666666667)</f>
        <v>42146.66667</v>
      </c>
      <c r="B857" s="22">
        <f>IFERROR(__xludf.DUMMYFUNCTION("""COMPUTED_VALUE"""),2126.06)</f>
        <v>2126.06</v>
      </c>
      <c r="C857" s="22">
        <f t="shared" si="10"/>
        <v>2949.976765</v>
      </c>
      <c r="D857" s="25">
        <f>IFERROR(__xludf.DUMMYFUNCTION("""COMPUTED_VALUE"""),42126.99861111111)</f>
        <v>42126.99861</v>
      </c>
      <c r="E857" s="22">
        <f>IFERROR(__xludf.DUMMYFUNCTION("""COMPUTED_VALUE"""),1.1195)</f>
        <v>1.1195</v>
      </c>
      <c r="F857" s="22">
        <f t="shared" si="11"/>
        <v>250.348003</v>
      </c>
      <c r="G857" s="22">
        <f t="shared" si="79"/>
        <v>92.63692106</v>
      </c>
      <c r="H857" s="22">
        <f t="shared" si="80"/>
        <v>140.2286028</v>
      </c>
    </row>
    <row r="858" ht="15.75" customHeight="1">
      <c r="A858" s="32">
        <f>IFERROR(__xludf.DUMMYFUNCTION("""COMPUTED_VALUE"""),42153.66666666667)</f>
        <v>42153.66667</v>
      </c>
      <c r="B858" s="22">
        <f>IFERROR(__xludf.DUMMYFUNCTION("""COMPUTED_VALUE"""),2107.39)</f>
        <v>2107.39</v>
      </c>
      <c r="C858" s="22">
        <f t="shared" si="10"/>
        <v>2925.206145</v>
      </c>
      <c r="D858" s="25">
        <f>IFERROR(__xludf.DUMMYFUNCTION("""COMPUTED_VALUE"""),42133.99861111111)</f>
        <v>42133.99861</v>
      </c>
      <c r="E858" s="22">
        <f>IFERROR(__xludf.DUMMYFUNCTION("""COMPUTED_VALUE"""),1.1192)</f>
        <v>1.1192</v>
      </c>
      <c r="F858" s="22">
        <f t="shared" si="11"/>
        <v>248.3124012</v>
      </c>
      <c r="G858" s="22">
        <f t="shared" si="79"/>
        <v>90.74664484</v>
      </c>
      <c r="H858" s="22">
        <f t="shared" si="80"/>
        <v>126.4077649</v>
      </c>
    </row>
    <row r="859" ht="15.75" customHeight="1">
      <c r="A859" s="32">
        <f>IFERROR(__xludf.DUMMYFUNCTION("""COMPUTED_VALUE"""),42160.66666666667)</f>
        <v>42160.66667</v>
      </c>
      <c r="B859" s="22">
        <f>IFERROR(__xludf.DUMMYFUNCTION("""COMPUTED_VALUE"""),2092.83)</f>
        <v>2092.83</v>
      </c>
      <c r="C859" s="22">
        <f t="shared" si="10"/>
        <v>2906.120916</v>
      </c>
      <c r="D859" s="25">
        <f>IFERROR(__xludf.DUMMYFUNCTION("""COMPUTED_VALUE"""),42140.99861111111)</f>
        <v>42140.99861</v>
      </c>
      <c r="E859" s="22">
        <f>IFERROR(__xludf.DUMMYFUNCTION("""COMPUTED_VALUE"""),1.1447)</f>
        <v>1.1447</v>
      </c>
      <c r="F859" s="22">
        <f t="shared" si="11"/>
        <v>241.1968498</v>
      </c>
      <c r="G859" s="22">
        <f t="shared" si="79"/>
        <v>91.51602508</v>
      </c>
      <c r="H859" s="22">
        <f t="shared" si="80"/>
        <v>133.6909394</v>
      </c>
    </row>
    <row r="860" ht="15.75" customHeight="1">
      <c r="A860" s="32">
        <f>IFERROR(__xludf.DUMMYFUNCTION("""COMPUTED_VALUE"""),42167.66666666667)</f>
        <v>42167.66667</v>
      </c>
      <c r="B860" s="22">
        <f>IFERROR(__xludf.DUMMYFUNCTION("""COMPUTED_VALUE"""),2094.11)</f>
        <v>2094.11</v>
      </c>
      <c r="C860" s="22">
        <f t="shared" si="10"/>
        <v>2909.016073</v>
      </c>
      <c r="D860" s="25">
        <f>IFERROR(__xludf.DUMMYFUNCTION("""COMPUTED_VALUE"""),42147.99861111111)</f>
        <v>42147.99861</v>
      </c>
      <c r="E860" s="22">
        <f>IFERROR(__xludf.DUMMYFUNCTION("""COMPUTED_VALUE"""),1.1012)</f>
        <v>1.1012</v>
      </c>
      <c r="F860" s="22">
        <f t="shared" si="11"/>
        <v>250.9744737</v>
      </c>
      <c r="G860" s="22">
        <f t="shared" si="79"/>
        <v>91.75899521</v>
      </c>
      <c r="H860" s="22">
        <f t="shared" si="80"/>
        <v>138.5019193</v>
      </c>
    </row>
    <row r="861" ht="15.75" customHeight="1">
      <c r="A861" s="32">
        <f>IFERROR(__xludf.DUMMYFUNCTION("""COMPUTED_VALUE"""),42174.66666666667)</f>
        <v>42174.66667</v>
      </c>
      <c r="B861" s="22">
        <f>IFERROR(__xludf.DUMMYFUNCTION("""COMPUTED_VALUE"""),2109.99)</f>
        <v>2109.99</v>
      </c>
      <c r="C861" s="22">
        <f t="shared" si="10"/>
        <v>2932.1945</v>
      </c>
      <c r="D861" s="25">
        <f>IFERROR(__xludf.DUMMYFUNCTION("""COMPUTED_VALUE"""),42154.99861111111)</f>
        <v>42154.99861</v>
      </c>
      <c r="E861" s="22">
        <f>IFERROR(__xludf.DUMMYFUNCTION("""COMPUTED_VALUE"""),1.0992)</f>
        <v>1.0992</v>
      </c>
      <c r="F861" s="22">
        <f t="shared" si="11"/>
        <v>253.4344732</v>
      </c>
      <c r="G861" s="22">
        <f t="shared" si="79"/>
        <v>98.0558334</v>
      </c>
      <c r="H861" s="22">
        <f t="shared" si="80"/>
        <v>138.9413254</v>
      </c>
    </row>
    <row r="862" ht="15.75" customHeight="1">
      <c r="A862" s="32">
        <f>IFERROR(__xludf.DUMMYFUNCTION("""COMPUTED_VALUE"""),42181.66666666667)</f>
        <v>42181.66667</v>
      </c>
      <c r="B862" s="22">
        <f>IFERROR(__xludf.DUMMYFUNCTION("""COMPUTED_VALUE"""),2101.49)</f>
        <v>2101.49</v>
      </c>
      <c r="C862" s="22">
        <f t="shared" si="10"/>
        <v>2921.510053</v>
      </c>
      <c r="D862" s="25">
        <f>IFERROR(__xludf.DUMMYFUNCTION("""COMPUTED_VALUE"""),42161.99861111111)</f>
        <v>42161.99861</v>
      </c>
      <c r="E862" s="22">
        <f>IFERROR(__xludf.DUMMYFUNCTION("""COMPUTED_VALUE"""),1.1114)</f>
        <v>1.1114</v>
      </c>
      <c r="F862" s="22">
        <f t="shared" si="11"/>
        <v>249.7391485</v>
      </c>
      <c r="G862" s="22">
        <f t="shared" si="79"/>
        <v>89.48059803</v>
      </c>
      <c r="H862" s="22">
        <f t="shared" si="80"/>
        <v>131.8852039</v>
      </c>
    </row>
    <row r="863" ht="15.75" customHeight="1">
      <c r="A863" s="32">
        <f>IFERROR(__xludf.DUMMYFUNCTION("""COMPUTED_VALUE"""),42187.66666666667)</f>
        <v>42187.66667</v>
      </c>
      <c r="B863" s="22">
        <f>IFERROR(__xludf.DUMMYFUNCTION("""COMPUTED_VALUE"""),2076.78)</f>
        <v>2076.78</v>
      </c>
      <c r="C863" s="22">
        <f t="shared" si="10"/>
        <v>2888.281649</v>
      </c>
      <c r="D863" s="25">
        <f>IFERROR(__xludf.DUMMYFUNCTION("""COMPUTED_VALUE"""),42168.99861111111)</f>
        <v>42168.99861</v>
      </c>
      <c r="E863" s="22">
        <f>IFERROR(__xludf.DUMMYFUNCTION("""COMPUTED_VALUE"""),1.1261)</f>
        <v>1.1261</v>
      </c>
      <c r="F863" s="22">
        <f t="shared" si="11"/>
        <v>243.6756967</v>
      </c>
      <c r="G863" s="22">
        <f t="shared" si="79"/>
        <v>84.55975214</v>
      </c>
      <c r="H863" s="22">
        <f t="shared" si="80"/>
        <v>125.6089541</v>
      </c>
    </row>
    <row r="864" ht="15.75" customHeight="1">
      <c r="A864" s="32">
        <f>IFERROR(__xludf.DUMMYFUNCTION("""COMPUTED_VALUE"""),42195.66666666667)</f>
        <v>42195.66667</v>
      </c>
      <c r="B864" s="22">
        <f>IFERROR(__xludf.DUMMYFUNCTION("""COMPUTED_VALUE"""),2076.62)</f>
        <v>2076.62</v>
      </c>
      <c r="C864" s="22">
        <f t="shared" si="10"/>
        <v>2889.170007</v>
      </c>
      <c r="D864" s="25">
        <f>IFERROR(__xludf.DUMMYFUNCTION("""COMPUTED_VALUE"""),42175.99861111111)</f>
        <v>42175.99861</v>
      </c>
      <c r="E864" s="22">
        <f>IFERROR(__xludf.DUMMYFUNCTION("""COMPUTED_VALUE"""),1.1349)</f>
        <v>1.1349</v>
      </c>
      <c r="F864" s="22">
        <f t="shared" si="11"/>
        <v>241.8606054</v>
      </c>
      <c r="G864" s="22">
        <f t="shared" si="79"/>
        <v>82.96448488</v>
      </c>
      <c r="H864" s="22">
        <f t="shared" si="80"/>
        <v>132.3328133</v>
      </c>
    </row>
    <row r="865" ht="15.75" customHeight="1">
      <c r="A865" s="32">
        <f>IFERROR(__xludf.DUMMYFUNCTION("""COMPUTED_VALUE"""),42202.66666666667)</f>
        <v>42202.66667</v>
      </c>
      <c r="B865" s="22">
        <f>IFERROR(__xludf.DUMMYFUNCTION("""COMPUTED_VALUE"""),2126.64)</f>
        <v>2126.64</v>
      </c>
      <c r="C865" s="22">
        <f t="shared" si="10"/>
        <v>2959.873296</v>
      </c>
      <c r="D865" s="25">
        <f>IFERROR(__xludf.DUMMYFUNCTION("""COMPUTED_VALUE"""),42182.99861111111)</f>
        <v>42182.99861</v>
      </c>
      <c r="E865" s="22">
        <f>IFERROR(__xludf.DUMMYFUNCTION("""COMPUTED_VALUE"""),1.1165)</f>
        <v>1.1165</v>
      </c>
      <c r="F865" s="22">
        <f t="shared" si="11"/>
        <v>251.8627999</v>
      </c>
      <c r="G865" s="22">
        <f t="shared" si="79"/>
        <v>87.94116294</v>
      </c>
      <c r="H865" s="22">
        <f t="shared" si="80"/>
        <v>158.7727586</v>
      </c>
    </row>
    <row r="866" ht="15.75" customHeight="1">
      <c r="A866" s="32">
        <f>IFERROR(__xludf.DUMMYFUNCTION("""COMPUTED_VALUE"""),42209.66666666667)</f>
        <v>42209.66667</v>
      </c>
      <c r="B866" s="22">
        <f>IFERROR(__xludf.DUMMYFUNCTION("""COMPUTED_VALUE"""),2079.65)</f>
        <v>2079.65</v>
      </c>
      <c r="C866" s="22">
        <f t="shared" si="10"/>
        <v>2895.610679</v>
      </c>
      <c r="D866" s="25">
        <f>IFERROR(__xludf.DUMMYFUNCTION("""COMPUTED_VALUE"""),42189.99861111111)</f>
        <v>42189.99861</v>
      </c>
      <c r="E866" s="22">
        <f>IFERROR(__xludf.DUMMYFUNCTION("""COMPUTED_VALUE"""),1.1114)</f>
        <v>1.1114</v>
      </c>
      <c r="F866" s="22">
        <f t="shared" si="11"/>
        <v>247.5251949</v>
      </c>
      <c r="G866" s="22">
        <f t="shared" si="79"/>
        <v>80.16796656</v>
      </c>
      <c r="H866" s="22">
        <f t="shared" si="80"/>
        <v>142.4669181</v>
      </c>
    </row>
    <row r="867" ht="15.75" customHeight="1">
      <c r="A867" s="32">
        <f>IFERROR(__xludf.DUMMYFUNCTION("""COMPUTED_VALUE"""),42216.66666666667)</f>
        <v>42216.66667</v>
      </c>
      <c r="B867" s="22">
        <f>IFERROR(__xludf.DUMMYFUNCTION("""COMPUTED_VALUE"""),2103.84)</f>
        <v>2103.84</v>
      </c>
      <c r="C867" s="22">
        <f t="shared" si="10"/>
        <v>2930.405438</v>
      </c>
      <c r="D867" s="25">
        <f>IFERROR(__xludf.DUMMYFUNCTION("""COMPUTED_VALUE"""),42196.99861111111)</f>
        <v>42196.99861</v>
      </c>
      <c r="E867" s="22">
        <f>IFERROR(__xludf.DUMMYFUNCTION("""COMPUTED_VALUE"""),1.11555)</f>
        <v>1.11555</v>
      </c>
      <c r="F867" s="22">
        <f t="shared" si="11"/>
        <v>249.5676589</v>
      </c>
      <c r="G867" s="22">
        <f t="shared" si="79"/>
        <v>80.72832265</v>
      </c>
      <c r="H867" s="22">
        <f t="shared" si="80"/>
        <v>152.7748146</v>
      </c>
    </row>
    <row r="868" ht="15.75" customHeight="1">
      <c r="A868" s="32">
        <f>IFERROR(__xludf.DUMMYFUNCTION("""COMPUTED_VALUE"""),42223.66666666667)</f>
        <v>42223.66667</v>
      </c>
      <c r="B868" s="22">
        <f>IFERROR(__xludf.DUMMYFUNCTION("""COMPUTED_VALUE"""),2077.57)</f>
        <v>2077.57</v>
      </c>
      <c r="C868" s="22">
        <f t="shared" si="10"/>
        <v>2894.94145</v>
      </c>
      <c r="D868" s="25">
        <f>IFERROR(__xludf.DUMMYFUNCTION("""COMPUTED_VALUE"""),42203.99861111111)</f>
        <v>42203.99861</v>
      </c>
      <c r="E868" s="22">
        <f>IFERROR(__xludf.DUMMYFUNCTION("""COMPUTED_VALUE"""),1.0827)</f>
        <v>1.0827</v>
      </c>
      <c r="F868" s="22">
        <f t="shared" si="11"/>
        <v>254.0278203</v>
      </c>
      <c r="G868" s="22">
        <f t="shared" si="79"/>
        <v>81.71889266</v>
      </c>
      <c r="H868" s="22">
        <f t="shared" si="80"/>
        <v>147.3077743</v>
      </c>
    </row>
    <row r="869" ht="15.75" customHeight="1">
      <c r="A869" s="32">
        <f>IFERROR(__xludf.DUMMYFUNCTION("""COMPUTED_VALUE"""),42230.66666666667)</f>
        <v>42230.66667</v>
      </c>
      <c r="B869" s="22">
        <f>IFERROR(__xludf.DUMMYFUNCTION("""COMPUTED_VALUE"""),2091.54)</f>
        <v>2091.54</v>
      </c>
      <c r="C869" s="22">
        <f t="shared" si="10"/>
        <v>2915.52106</v>
      </c>
      <c r="D869" s="25">
        <f>IFERROR(__xludf.DUMMYFUNCTION("""COMPUTED_VALUE"""),42210.99861111111)</f>
        <v>42210.99861</v>
      </c>
      <c r="E869" s="22">
        <f>IFERROR(__xludf.DUMMYFUNCTION("""COMPUTED_VALUE"""),1.098)</f>
        <v>1.098</v>
      </c>
      <c r="F869" s="22">
        <f t="shared" si="11"/>
        <v>252.2687624</v>
      </c>
      <c r="G869" s="22">
        <f t="shared" si="79"/>
        <v>79.72220432</v>
      </c>
      <c r="H869" s="22">
        <f t="shared" si="80"/>
        <v>149.0995619</v>
      </c>
    </row>
    <row r="870" ht="15.75" customHeight="1">
      <c r="A870" s="32">
        <f>IFERROR(__xludf.DUMMYFUNCTION("""COMPUTED_VALUE"""),42237.66666666667)</f>
        <v>42237.66667</v>
      </c>
      <c r="B870" s="22">
        <f>IFERROR(__xludf.DUMMYFUNCTION("""COMPUTED_VALUE"""),1970.89)</f>
        <v>1970.89</v>
      </c>
      <c r="C870" s="22">
        <f t="shared" si="10"/>
        <v>2748.461257</v>
      </c>
      <c r="D870" s="25">
        <f>IFERROR(__xludf.DUMMYFUNCTION("""COMPUTED_VALUE"""),42217.99861111111)</f>
        <v>42217.99861</v>
      </c>
      <c r="E870" s="22">
        <f>IFERROR(__xludf.DUMMYFUNCTION("""COMPUTED_VALUE"""),1.0983)</f>
        <v>1.0983</v>
      </c>
      <c r="F870" s="22">
        <f t="shared" si="11"/>
        <v>237.7487651</v>
      </c>
      <c r="G870" s="22">
        <f t="shared" si="79"/>
        <v>69.66065778</v>
      </c>
      <c r="H870" s="22">
        <f t="shared" si="80"/>
        <v>134.7231161</v>
      </c>
    </row>
    <row r="871" ht="15.75" customHeight="1">
      <c r="A871" s="32">
        <f>IFERROR(__xludf.DUMMYFUNCTION("""COMPUTED_VALUE"""),42244.66666666667)</f>
        <v>42244.66667</v>
      </c>
      <c r="B871" s="22">
        <f>IFERROR(__xludf.DUMMYFUNCTION("""COMPUTED_VALUE"""),1988.87)</f>
        <v>1988.87</v>
      </c>
      <c r="C871" s="22">
        <f t="shared" si="10"/>
        <v>2774.591971</v>
      </c>
      <c r="D871" s="25">
        <f>IFERROR(__xludf.DUMMYFUNCTION("""COMPUTED_VALUE"""),42224.99861111111)</f>
        <v>42224.99861</v>
      </c>
      <c r="E871" s="22">
        <f>IFERROR(__xludf.DUMMYFUNCTION("""COMPUTED_VALUE"""),1.0965)</f>
        <v>1.0965</v>
      </c>
      <c r="F871" s="22">
        <f t="shared" si="11"/>
        <v>240.403133</v>
      </c>
      <c r="G871" s="22">
        <f t="shared" si="79"/>
        <v>68.34582578</v>
      </c>
      <c r="H871" s="22">
        <f t="shared" si="80"/>
        <v>136.9482985</v>
      </c>
    </row>
    <row r="872" ht="15.75" customHeight="1">
      <c r="A872" s="32">
        <f>IFERROR(__xludf.DUMMYFUNCTION("""COMPUTED_VALUE"""),42251.66666666667)</f>
        <v>42251.66667</v>
      </c>
      <c r="B872" s="22">
        <f>IFERROR(__xludf.DUMMYFUNCTION("""COMPUTED_VALUE"""),1921.22)</f>
        <v>1921.22</v>
      </c>
      <c r="C872" s="22">
        <f t="shared" si="10"/>
        <v>2681.283347</v>
      </c>
      <c r="D872" s="25">
        <f>IFERROR(__xludf.DUMMYFUNCTION("""COMPUTED_VALUE"""),42231.99861111111)</f>
        <v>42231.99861</v>
      </c>
      <c r="E872" s="22">
        <f>IFERROR(__xludf.DUMMYFUNCTION("""COMPUTED_VALUE"""),1.1104)</f>
        <v>1.1104</v>
      </c>
      <c r="F872" s="22">
        <f t="shared" si="11"/>
        <v>229.4102889</v>
      </c>
      <c r="G872" s="22">
        <f t="shared" si="79"/>
        <v>59.72610836</v>
      </c>
      <c r="H872" s="22">
        <f t="shared" si="80"/>
        <v>126.7462453</v>
      </c>
    </row>
    <row r="873" ht="15.75" customHeight="1">
      <c r="A873" s="32">
        <f>IFERROR(__xludf.DUMMYFUNCTION("""COMPUTED_VALUE"""),42258.66666666667)</f>
        <v>42258.66667</v>
      </c>
      <c r="B873" s="22">
        <f>IFERROR(__xludf.DUMMYFUNCTION("""COMPUTED_VALUE"""),1961.05)</f>
        <v>1961.05</v>
      </c>
      <c r="C873" s="22">
        <f t="shared" si="10"/>
        <v>2737.901953</v>
      </c>
      <c r="D873" s="25">
        <f>IFERROR(__xludf.DUMMYFUNCTION("""COMPUTED_VALUE"""),42238.99861111111)</f>
        <v>42238.99861</v>
      </c>
      <c r="E873" s="22">
        <f>IFERROR(__xludf.DUMMYFUNCTION("""COMPUTED_VALUE"""),1.1383)</f>
        <v>1.1383</v>
      </c>
      <c r="F873" s="22">
        <f t="shared" si="11"/>
        <v>228.5129357</v>
      </c>
      <c r="G873" s="22">
        <f t="shared" si="79"/>
        <v>62.15232911</v>
      </c>
      <c r="H873" s="22">
        <f t="shared" si="80"/>
        <v>128.2252845</v>
      </c>
    </row>
    <row r="874" ht="15.75" customHeight="1">
      <c r="A874" s="32">
        <f>IFERROR(__xludf.DUMMYFUNCTION("""COMPUTED_VALUE"""),42265.66666666667)</f>
        <v>42265.66667</v>
      </c>
      <c r="B874" s="22">
        <f>IFERROR(__xludf.DUMMYFUNCTION("""COMPUTED_VALUE"""),1958.03)</f>
        <v>1958.03</v>
      </c>
      <c r="C874" s="22">
        <f t="shared" si="10"/>
        <v>2734.738647</v>
      </c>
      <c r="D874" s="25">
        <f>IFERROR(__xludf.DUMMYFUNCTION("""COMPUTED_VALUE"""),42245.99861111111)</f>
        <v>42245.99861</v>
      </c>
      <c r="E874" s="22">
        <f>IFERROR(__xludf.DUMMYFUNCTION("""COMPUTED_VALUE"""),1.1181)</f>
        <v>1.1181</v>
      </c>
      <c r="F874" s="22">
        <f t="shared" si="11"/>
        <v>232.3725451</v>
      </c>
      <c r="G874" s="22">
        <f t="shared" si="79"/>
        <v>66.3256179</v>
      </c>
      <c r="H874" s="22">
        <f t="shared" si="80"/>
        <v>125.6588277</v>
      </c>
    </row>
    <row r="875" ht="15.75" customHeight="1">
      <c r="A875" s="32">
        <f>IFERROR(__xludf.DUMMYFUNCTION("""COMPUTED_VALUE"""),42272.66666666667)</f>
        <v>42272.66667</v>
      </c>
      <c r="B875" s="22">
        <f>IFERROR(__xludf.DUMMYFUNCTION("""COMPUTED_VALUE"""),1931.34)</f>
        <v>1931.34</v>
      </c>
      <c r="C875" s="22">
        <f t="shared" si="10"/>
        <v>2698.513117</v>
      </c>
      <c r="D875" s="25">
        <f>IFERROR(__xludf.DUMMYFUNCTION("""COMPUTED_VALUE"""),42252.99861111111)</f>
        <v>42252.99861</v>
      </c>
      <c r="E875" s="22">
        <f>IFERROR(__xludf.DUMMYFUNCTION("""COMPUTED_VALUE"""),1.115)</f>
        <v>1.115</v>
      </c>
      <c r="F875" s="22">
        <f t="shared" si="11"/>
        <v>229.9319381</v>
      </c>
      <c r="G875" s="22">
        <f t="shared" si="79"/>
        <v>63.89827906</v>
      </c>
      <c r="H875" s="22">
        <f t="shared" si="80"/>
        <v>119.5329967</v>
      </c>
    </row>
    <row r="876" ht="15.75" customHeight="1">
      <c r="A876" s="32">
        <f>IFERROR(__xludf.DUMMYFUNCTION("""COMPUTED_VALUE"""),42279.66666666667)</f>
        <v>42279.66667</v>
      </c>
      <c r="B876" s="22">
        <f>IFERROR(__xludf.DUMMYFUNCTION("""COMPUTED_VALUE"""),1951.36)</f>
        <v>1951.36</v>
      </c>
      <c r="C876" s="22">
        <f t="shared" si="10"/>
        <v>2727.523416</v>
      </c>
      <c r="D876" s="25">
        <f>IFERROR(__xludf.DUMMYFUNCTION("""COMPUTED_VALUE"""),42259.99861111111)</f>
        <v>42259.99861</v>
      </c>
      <c r="E876" s="22">
        <f>IFERROR(__xludf.DUMMYFUNCTION("""COMPUTED_VALUE"""),1.13383)</f>
        <v>1.13383</v>
      </c>
      <c r="F876" s="22">
        <f t="shared" si="11"/>
        <v>228.5441862</v>
      </c>
      <c r="G876" s="22">
        <f t="shared" si="79"/>
        <v>63.63044997</v>
      </c>
      <c r="H876" s="22">
        <f t="shared" si="80"/>
        <v>120.3725293</v>
      </c>
    </row>
    <row r="877" ht="15.75" customHeight="1">
      <c r="A877" s="32">
        <f>IFERROR(__xludf.DUMMYFUNCTION("""COMPUTED_VALUE"""),42286.66666666667)</f>
        <v>42286.66667</v>
      </c>
      <c r="B877" s="22">
        <f>IFERROR(__xludf.DUMMYFUNCTION("""COMPUTED_VALUE"""),2014.89)</f>
        <v>2014.89</v>
      </c>
      <c r="C877" s="22">
        <f t="shared" si="10"/>
        <v>2817.371846</v>
      </c>
      <c r="D877" s="25">
        <f>IFERROR(__xludf.DUMMYFUNCTION("""COMPUTED_VALUE"""),42266.99861111111)</f>
        <v>42266.99861</v>
      </c>
      <c r="E877" s="22">
        <f>IFERROR(__xludf.DUMMYFUNCTION("""COMPUTED_VALUE"""),1.1302)</f>
        <v>1.1302</v>
      </c>
      <c r="F877" s="22">
        <f t="shared" si="11"/>
        <v>236.8309742</v>
      </c>
      <c r="G877" s="22">
        <f t="shared" si="79"/>
        <v>68.2449315</v>
      </c>
      <c r="H877" s="22">
        <f t="shared" si="80"/>
        <v>131.3215227</v>
      </c>
    </row>
    <row r="878" ht="15.75" customHeight="1">
      <c r="A878" s="32">
        <f>IFERROR(__xludf.DUMMYFUNCTION("""COMPUTED_VALUE"""),42293.66666666667)</f>
        <v>42293.66667</v>
      </c>
      <c r="B878" s="22">
        <f>IFERROR(__xludf.DUMMYFUNCTION("""COMPUTED_VALUE"""),2033.11)</f>
        <v>2033.11</v>
      </c>
      <c r="C878" s="22">
        <f t="shared" si="10"/>
        <v>2843.932035</v>
      </c>
      <c r="D878" s="25">
        <f>IFERROR(__xludf.DUMMYFUNCTION("""COMPUTED_VALUE"""),42273.99861111111)</f>
        <v>42273.99861</v>
      </c>
      <c r="E878" s="22">
        <f>IFERROR(__xludf.DUMMYFUNCTION("""COMPUTED_VALUE"""),1.1193)</f>
        <v>1.1193</v>
      </c>
      <c r="F878" s="22">
        <f t="shared" si="11"/>
        <v>241.3917057</v>
      </c>
      <c r="G878" s="22">
        <f t="shared" si="79"/>
        <v>72.06264436</v>
      </c>
      <c r="H878" s="22">
        <f t="shared" si="80"/>
        <v>141.4553078</v>
      </c>
    </row>
    <row r="879" ht="15.75" customHeight="1">
      <c r="A879" s="32">
        <f>IFERROR(__xludf.DUMMYFUNCTION("""COMPUTED_VALUE"""),42300.66666666667)</f>
        <v>42300.66667</v>
      </c>
      <c r="B879" s="22">
        <f>IFERROR(__xludf.DUMMYFUNCTION("""COMPUTED_VALUE"""),2075.15)</f>
        <v>2075.15</v>
      </c>
      <c r="C879" s="22">
        <f t="shared" si="10"/>
        <v>2903.831774</v>
      </c>
      <c r="D879" s="25">
        <f>IFERROR(__xludf.DUMMYFUNCTION("""COMPUTED_VALUE"""),42280.99861111111)</f>
        <v>42280.99861</v>
      </c>
      <c r="E879" s="22">
        <f>IFERROR(__xludf.DUMMYFUNCTION("""COMPUTED_VALUE"""),1.1209)</f>
        <v>1.1209</v>
      </c>
      <c r="F879" s="22">
        <f t="shared" si="11"/>
        <v>246.1241435</v>
      </c>
      <c r="G879" s="22">
        <f t="shared" si="79"/>
        <v>75.31873701</v>
      </c>
      <c r="H879" s="22">
        <f t="shared" si="80"/>
        <v>144.4017011</v>
      </c>
    </row>
    <row r="880" ht="15.75" customHeight="1">
      <c r="A880" s="32">
        <f>IFERROR(__xludf.DUMMYFUNCTION("""COMPUTED_VALUE"""),42307.66666666667)</f>
        <v>42307.66667</v>
      </c>
      <c r="B880" s="22">
        <f>IFERROR(__xludf.DUMMYFUNCTION("""COMPUTED_VALUE"""),2079.36)</f>
        <v>2079.36</v>
      </c>
      <c r="C880" s="22">
        <f t="shared" si="10"/>
        <v>2910.839836</v>
      </c>
      <c r="D880" s="25">
        <f>IFERROR(__xludf.DUMMYFUNCTION("""COMPUTED_VALUE"""),42287.99861111111)</f>
        <v>42287.99861</v>
      </c>
      <c r="E880" s="22">
        <f>IFERROR(__xludf.DUMMYFUNCTION("""COMPUTED_VALUE"""),1.1354)</f>
        <v>1.1354</v>
      </c>
      <c r="F880" s="22">
        <f t="shared" si="11"/>
        <v>243.5673404</v>
      </c>
      <c r="G880" s="22">
        <f t="shared" si="79"/>
        <v>76.29370607</v>
      </c>
      <c r="H880" s="22">
        <f t="shared" si="80"/>
        <v>140.7572735</v>
      </c>
    </row>
    <row r="881" ht="15.75" customHeight="1">
      <c r="A881" s="32">
        <f>IFERROR(__xludf.DUMMYFUNCTION("""COMPUTED_VALUE"""),42314.66666666667)</f>
        <v>42314.66667</v>
      </c>
      <c r="B881" s="22">
        <f>IFERROR(__xludf.DUMMYFUNCTION("""COMPUTED_VALUE"""),2099.2)</f>
        <v>2099.2</v>
      </c>
      <c r="C881" s="22">
        <f t="shared" si="10"/>
        <v>2939.73287</v>
      </c>
      <c r="D881" s="25">
        <f>IFERROR(__xludf.DUMMYFUNCTION("""COMPUTED_VALUE"""),42294.99861111111)</f>
        <v>42294.99861</v>
      </c>
      <c r="E881" s="22">
        <f>IFERROR(__xludf.DUMMYFUNCTION("""COMPUTED_VALUE"""),1.13515)</f>
        <v>1.13515</v>
      </c>
      <c r="F881" s="22">
        <f t="shared" si="11"/>
        <v>246.0391675</v>
      </c>
      <c r="G881" s="22">
        <f t="shared" si="79"/>
        <v>78.36103733</v>
      </c>
      <c r="H881" s="22">
        <f t="shared" si="80"/>
        <v>141.0355167</v>
      </c>
    </row>
    <row r="882" ht="15.75" customHeight="1">
      <c r="A882" s="32">
        <f>IFERROR(__xludf.DUMMYFUNCTION("""COMPUTED_VALUE"""),42321.66666666667)</f>
        <v>42321.66667</v>
      </c>
      <c r="B882" s="22">
        <f>IFERROR(__xludf.DUMMYFUNCTION("""COMPUTED_VALUE"""),2023.04)</f>
        <v>2023.04</v>
      </c>
      <c r="C882" s="22">
        <f t="shared" si="10"/>
        <v>2834.208594</v>
      </c>
      <c r="D882" s="25">
        <f>IFERROR(__xludf.DUMMYFUNCTION("""COMPUTED_VALUE"""),42301.99861111111)</f>
        <v>42301.99861</v>
      </c>
      <c r="E882" s="22">
        <f>IFERROR(__xludf.DUMMYFUNCTION("""COMPUTED_VALUE"""),1.1014)</f>
        <v>1.1014</v>
      </c>
      <c r="F882" s="22">
        <f t="shared" si="11"/>
        <v>244.4760795</v>
      </c>
      <c r="G882" s="22">
        <f t="shared" si="79"/>
        <v>78.67867246</v>
      </c>
      <c r="H882" s="22">
        <f t="shared" si="80"/>
        <v>139.2042076</v>
      </c>
    </row>
    <row r="883" ht="15.75" customHeight="1">
      <c r="A883" s="32">
        <f>IFERROR(__xludf.DUMMYFUNCTION("""COMPUTED_VALUE"""),42328.66666666667)</f>
        <v>42328.66667</v>
      </c>
      <c r="B883" s="22">
        <f>IFERROR(__xludf.DUMMYFUNCTION("""COMPUTED_VALUE"""),2089.17)</f>
        <v>2089.17</v>
      </c>
      <c r="C883" s="22">
        <f t="shared" si="10"/>
        <v>2927.944501</v>
      </c>
      <c r="D883" s="25">
        <f>IFERROR(__xludf.DUMMYFUNCTION("""COMPUTED_VALUE"""),42308.99861111111)</f>
        <v>42308.99861</v>
      </c>
      <c r="E883" s="22">
        <f>IFERROR(__xludf.DUMMYFUNCTION("""COMPUTED_VALUE"""),1.1006)</f>
        <v>1.1006</v>
      </c>
      <c r="F883" s="22">
        <f t="shared" si="11"/>
        <v>252.7452288</v>
      </c>
      <c r="G883" s="22">
        <f t="shared" si="79"/>
        <v>82.94551857</v>
      </c>
      <c r="H883" s="22">
        <f t="shared" si="80"/>
        <v>140.0638326</v>
      </c>
    </row>
    <row r="884" ht="15.75" customHeight="1">
      <c r="A884" s="32">
        <f>IFERROR(__xludf.DUMMYFUNCTION("""COMPUTED_VALUE"""),42335.66666666667)</f>
        <v>42335.66667</v>
      </c>
      <c r="B884" s="22">
        <f>IFERROR(__xludf.DUMMYFUNCTION("""COMPUTED_VALUE"""),2090.11)</f>
        <v>2090.11</v>
      </c>
      <c r="C884" s="22">
        <f t="shared" si="10"/>
        <v>2930.388031</v>
      </c>
      <c r="D884" s="25">
        <f>IFERROR(__xludf.DUMMYFUNCTION("""COMPUTED_VALUE"""),42315.99861111111)</f>
        <v>42315.99861</v>
      </c>
      <c r="E884" s="22">
        <f>IFERROR(__xludf.DUMMYFUNCTION("""COMPUTED_VALUE"""),1.07405)</f>
        <v>1.07405</v>
      </c>
      <c r="F884" s="22">
        <f t="shared" si="11"/>
        <v>259.2091133</v>
      </c>
      <c r="G884" s="22">
        <f t="shared" si="79"/>
        <v>90.24285278</v>
      </c>
      <c r="H884" s="22">
        <f t="shared" si="80"/>
        <v>145.4111784</v>
      </c>
    </row>
    <row r="885" ht="15.75" customHeight="1">
      <c r="A885" s="32">
        <f>IFERROR(__xludf.DUMMYFUNCTION("""COMPUTED_VALUE"""),42342.66666666667)</f>
        <v>42342.66667</v>
      </c>
      <c r="B885" s="22">
        <f>IFERROR(__xludf.DUMMYFUNCTION("""COMPUTED_VALUE"""),2091.69)</f>
        <v>2091.69</v>
      </c>
      <c r="C885" s="22">
        <f t="shared" si="10"/>
        <v>2933.730304</v>
      </c>
      <c r="D885" s="25">
        <f>IFERROR(__xludf.DUMMYFUNCTION("""COMPUTED_VALUE"""),42322.99861111111)</f>
        <v>42322.99861</v>
      </c>
      <c r="E885" s="22">
        <f>IFERROR(__xludf.DUMMYFUNCTION("""COMPUTED_VALUE"""),1.0765)</f>
        <v>1.0765</v>
      </c>
      <c r="F885" s="22">
        <f t="shared" si="11"/>
        <v>258.9141506</v>
      </c>
      <c r="G885" s="22">
        <f t="shared" si="79"/>
        <v>93.30297471</v>
      </c>
      <c r="H885" s="22">
        <f t="shared" si="80"/>
        <v>144.9261369</v>
      </c>
    </row>
    <row r="886" ht="15.75" customHeight="1">
      <c r="A886" s="32">
        <f>IFERROR(__xludf.DUMMYFUNCTION("""COMPUTED_VALUE"""),42349.66666666667)</f>
        <v>42349.66667</v>
      </c>
      <c r="B886" s="22">
        <f>IFERROR(__xludf.DUMMYFUNCTION("""COMPUTED_VALUE"""),2012.37)</f>
        <v>2012.37</v>
      </c>
      <c r="C886" s="22">
        <f t="shared" si="10"/>
        <v>2823.60724</v>
      </c>
      <c r="D886" s="25">
        <f>IFERROR(__xludf.DUMMYFUNCTION("""COMPUTED_VALUE"""),42329.99861111111)</f>
        <v>42329.99861</v>
      </c>
      <c r="E886" s="22">
        <f>IFERROR(__xludf.DUMMYFUNCTION("""COMPUTED_VALUE"""),1.0647)</f>
        <v>1.0647</v>
      </c>
      <c r="F886" s="22">
        <f t="shared" si="11"/>
        <v>251.9571381</v>
      </c>
      <c r="G886" s="22">
        <f t="shared" si="79"/>
        <v>84.73974836</v>
      </c>
      <c r="H886" s="22">
        <f t="shared" si="80"/>
        <v>132.548513</v>
      </c>
    </row>
    <row r="887" ht="15.75" customHeight="1">
      <c r="A887" s="32">
        <f>IFERROR(__xludf.DUMMYFUNCTION("""COMPUTED_VALUE"""),42356.66666666667)</f>
        <v>42356.66667</v>
      </c>
      <c r="B887" s="22">
        <f>IFERROR(__xludf.DUMMYFUNCTION("""COMPUTED_VALUE"""),2005.55)</f>
        <v>2005.55</v>
      </c>
      <c r="C887" s="22">
        <f t="shared" si="10"/>
        <v>2815.123928</v>
      </c>
      <c r="D887" s="25">
        <f>IFERROR(__xludf.DUMMYFUNCTION("""COMPUTED_VALUE"""),42336.99861111111)</f>
        <v>42336.99861</v>
      </c>
      <c r="E887" s="22">
        <f>IFERROR(__xludf.DUMMYFUNCTION("""COMPUTED_VALUE"""),1.0591)</f>
        <v>1.0591</v>
      </c>
      <c r="F887" s="22">
        <f t="shared" si="11"/>
        <v>252.528375</v>
      </c>
      <c r="G887" s="22">
        <f t="shared" si="79"/>
        <v>84.32512912</v>
      </c>
      <c r="H887" s="22">
        <f t="shared" si="80"/>
        <v>128.3215264</v>
      </c>
    </row>
    <row r="888" ht="15.75" customHeight="1">
      <c r="A888" s="32">
        <f>IFERROR(__xludf.DUMMYFUNCTION("""COMPUTED_VALUE"""),42362.66666666667)</f>
        <v>42362.66667</v>
      </c>
      <c r="B888" s="22">
        <f>IFERROR(__xludf.DUMMYFUNCTION("""COMPUTED_VALUE"""),2060.99)</f>
        <v>2060.99</v>
      </c>
      <c r="C888" s="22">
        <f t="shared" si="10"/>
        <v>2894.025955</v>
      </c>
      <c r="D888" s="25">
        <f>IFERROR(__xludf.DUMMYFUNCTION("""COMPUTED_VALUE"""),42343.99861111111)</f>
        <v>42343.99861</v>
      </c>
      <c r="E888" s="22">
        <f>IFERROR(__xludf.DUMMYFUNCTION("""COMPUTED_VALUE"""),1.08815)</f>
        <v>1.08815</v>
      </c>
      <c r="F888" s="22">
        <f t="shared" si="11"/>
        <v>252.6755905</v>
      </c>
      <c r="G888" s="22">
        <f t="shared" si="79"/>
        <v>83.30778077</v>
      </c>
      <c r="H888" s="22">
        <f t="shared" si="80"/>
        <v>123.2689984</v>
      </c>
    </row>
    <row r="889" ht="15.75" customHeight="1">
      <c r="A889" s="32">
        <f>IFERROR(__xludf.DUMMYFUNCTION("""COMPUTED_VALUE"""),42369.66666666667)</f>
        <v>42369.66667</v>
      </c>
      <c r="B889" s="22">
        <f>IFERROR(__xludf.DUMMYFUNCTION("""COMPUTED_VALUE"""),2043.94)</f>
        <v>2043.94</v>
      </c>
      <c r="C889" s="22">
        <f t="shared" si="10"/>
        <v>2871.197566</v>
      </c>
      <c r="D889" s="25">
        <f>IFERROR(__xludf.DUMMYFUNCTION("""COMPUTED_VALUE"""),42350.99861111111)</f>
        <v>42350.99861</v>
      </c>
      <c r="E889" s="22">
        <f>IFERROR(__xludf.DUMMYFUNCTION("""COMPUTED_VALUE"""),1.0992)</f>
        <v>1.0992</v>
      </c>
      <c r="F889" s="22">
        <f t="shared" si="11"/>
        <v>248.1624062</v>
      </c>
      <c r="G889" s="22">
        <f t="shared" si="79"/>
        <v>77.06946133</v>
      </c>
      <c r="H889" s="22">
        <f t="shared" si="80"/>
        <v>117.8186616</v>
      </c>
    </row>
    <row r="890" ht="15.75" customHeight="1">
      <c r="A890" s="32">
        <f>IFERROR(__xludf.DUMMYFUNCTION("""COMPUTED_VALUE"""),42377.66666666667)</f>
        <v>42377.66667</v>
      </c>
      <c r="B890" s="22">
        <f>IFERROR(__xludf.DUMMYFUNCTION("""COMPUTED_VALUE"""),1922.03)</f>
        <v>1922.03</v>
      </c>
      <c r="C890" s="22">
        <f t="shared" si="10"/>
        <v>2701.050419</v>
      </c>
      <c r="D890" s="25">
        <f>IFERROR(__xludf.DUMMYFUNCTION("""COMPUTED_VALUE"""),42357.99861111111)</f>
        <v>42357.99861</v>
      </c>
      <c r="E890" s="22">
        <f>IFERROR(__xludf.DUMMYFUNCTION("""COMPUTED_VALUE"""),1.08663)</f>
        <v>1.08663</v>
      </c>
      <c r="F890" s="22">
        <f t="shared" si="11"/>
        <v>236.1568972</v>
      </c>
      <c r="G890" s="22">
        <f t="shared" si="79"/>
        <v>68.24674743</v>
      </c>
      <c r="H890" s="22">
        <f t="shared" si="80"/>
        <v>104.040047</v>
      </c>
    </row>
    <row r="891" ht="15.75" customHeight="1">
      <c r="A891" s="32">
        <f>IFERROR(__xludf.DUMMYFUNCTION("""COMPUTED_VALUE"""),42384.66666666667)</f>
        <v>42384.66667</v>
      </c>
      <c r="B891" s="22">
        <f>IFERROR(__xludf.DUMMYFUNCTION("""COMPUTED_VALUE"""),1880.33)</f>
        <v>1880.33</v>
      </c>
      <c r="C891" s="22">
        <f t="shared" si="10"/>
        <v>2643.487805</v>
      </c>
      <c r="D891" s="25">
        <f>IFERROR(__xludf.DUMMYFUNCTION("""COMPUTED_VALUE"""),42364.99861111111)</f>
        <v>42364.99861</v>
      </c>
      <c r="E891" s="22">
        <f>IFERROR(__xludf.DUMMYFUNCTION("""COMPUTED_VALUE"""),1.0972)</f>
        <v>1.0972</v>
      </c>
      <c r="F891" s="22">
        <f t="shared" si="11"/>
        <v>228.8975511</v>
      </c>
      <c r="G891" s="22">
        <f t="shared" si="79"/>
        <v>61.81529777</v>
      </c>
      <c r="H891" s="22">
        <f t="shared" si="80"/>
        <v>101.5605281</v>
      </c>
    </row>
    <row r="892" ht="15.75" customHeight="1">
      <c r="A892" s="32">
        <f>IFERROR(__xludf.DUMMYFUNCTION("""COMPUTED_VALUE"""),42391.66666666667)</f>
        <v>42391.66667</v>
      </c>
      <c r="B892" s="22">
        <f>IFERROR(__xludf.DUMMYFUNCTION("""COMPUTED_VALUE"""),1906.9)</f>
        <v>1906.9</v>
      </c>
      <c r="C892" s="22">
        <f t="shared" si="10"/>
        <v>2681.858331</v>
      </c>
      <c r="D892" s="25">
        <f>IFERROR(__xludf.DUMMYFUNCTION("""COMPUTED_VALUE"""),42371.99861111111)</f>
        <v>42371.99861</v>
      </c>
      <c r="E892" s="22">
        <f>IFERROR(__xludf.DUMMYFUNCTION("""COMPUTED_VALUE"""),1.08127)</f>
        <v>1.08127</v>
      </c>
      <c r="F892" s="22">
        <f t="shared" si="11"/>
        <v>235.6412473</v>
      </c>
      <c r="G892" s="22">
        <f t="shared" si="79"/>
        <v>62.79418622</v>
      </c>
      <c r="H892" s="22">
        <f t="shared" si="80"/>
        <v>97.90956206</v>
      </c>
    </row>
    <row r="893" ht="15.75" customHeight="1">
      <c r="A893" s="32">
        <f>IFERROR(__xludf.DUMMYFUNCTION("""COMPUTED_VALUE"""),42398.66666666667)</f>
        <v>42398.66667</v>
      </c>
      <c r="B893" s="22">
        <f>IFERROR(__xludf.DUMMYFUNCTION("""COMPUTED_VALUE"""),1940.24)</f>
        <v>1940.24</v>
      </c>
      <c r="C893" s="22">
        <f t="shared" si="10"/>
        <v>2729.779089</v>
      </c>
      <c r="D893" s="25">
        <f>IFERROR(__xludf.DUMMYFUNCTION("""COMPUTED_VALUE"""),42378.99861111111)</f>
        <v>42378.99861</v>
      </c>
      <c r="E893" s="22">
        <f>IFERROR(__xludf.DUMMYFUNCTION("""COMPUTED_VALUE"""),1.0918)</f>
        <v>1.0918</v>
      </c>
      <c r="F893" s="22">
        <f t="shared" si="11"/>
        <v>237.5385202</v>
      </c>
      <c r="G893" s="22">
        <f t="shared" si="79"/>
        <v>66.33949768</v>
      </c>
      <c r="H893" s="22">
        <f t="shared" si="80"/>
        <v>102.3159035</v>
      </c>
    </row>
    <row r="894" ht="15.75" customHeight="1">
      <c r="A894" s="32">
        <f>IFERROR(__xludf.DUMMYFUNCTION("""COMPUTED_VALUE"""),42405.66666666667)</f>
        <v>42405.66667</v>
      </c>
      <c r="B894" s="22">
        <f>IFERROR(__xludf.DUMMYFUNCTION("""COMPUTED_VALUE"""),1880.05)</f>
        <v>1880.05</v>
      </c>
      <c r="C894" s="22">
        <f t="shared" si="10"/>
        <v>2646.145974</v>
      </c>
      <c r="D894" s="25">
        <f>IFERROR(__xludf.DUMMYFUNCTION("""COMPUTED_VALUE"""),42385.99861111111)</f>
        <v>42385.99861</v>
      </c>
      <c r="E894" s="22">
        <f>IFERROR(__xludf.DUMMYFUNCTION("""COMPUTED_VALUE"""),1.09105)</f>
        <v>1.09105</v>
      </c>
      <c r="F894" s="22">
        <f t="shared" si="11"/>
        <v>230.4192605</v>
      </c>
      <c r="G894" s="22">
        <f t="shared" si="79"/>
        <v>60.47313535</v>
      </c>
      <c r="H894" s="22">
        <f t="shared" si="80"/>
        <v>101.4418362</v>
      </c>
    </row>
    <row r="895" ht="15.75" customHeight="1">
      <c r="A895" s="32">
        <f>IFERROR(__xludf.DUMMYFUNCTION("""COMPUTED_VALUE"""),42412.66666666667)</f>
        <v>42412.66667</v>
      </c>
      <c r="B895" s="22">
        <f>IFERROR(__xludf.DUMMYFUNCTION("""COMPUTED_VALUE"""),1864.78)</f>
        <v>1864.78</v>
      </c>
      <c r="C895" s="22">
        <f t="shared" si="10"/>
        <v>2625.671395</v>
      </c>
      <c r="D895" s="25">
        <f>IFERROR(__xludf.DUMMYFUNCTION("""COMPUTED_VALUE"""),42392.99861111111)</f>
        <v>42392.99861</v>
      </c>
      <c r="E895" s="22">
        <f>IFERROR(__xludf.DUMMYFUNCTION("""COMPUTED_VALUE"""),1.0798)</f>
        <v>1.0798</v>
      </c>
      <c r="F895" s="22">
        <f t="shared" si="11"/>
        <v>231.0184596</v>
      </c>
      <c r="G895" s="22">
        <f t="shared" si="79"/>
        <v>62.39330192</v>
      </c>
      <c r="H895" s="22">
        <f t="shared" si="80"/>
        <v>103.4001157</v>
      </c>
    </row>
    <row r="896" ht="15.75" customHeight="1">
      <c r="A896" s="32">
        <f>IFERROR(__xludf.DUMMYFUNCTION("""COMPUTED_VALUE"""),42419.66666666667)</f>
        <v>42419.66667</v>
      </c>
      <c r="B896" s="22">
        <f>IFERROR(__xludf.DUMMYFUNCTION("""COMPUTED_VALUE"""),1917.78)</f>
        <v>1917.78</v>
      </c>
      <c r="C896" s="22">
        <f t="shared" si="10"/>
        <v>2701.307007</v>
      </c>
      <c r="D896" s="25">
        <f>IFERROR(__xludf.DUMMYFUNCTION("""COMPUTED_VALUE"""),42398.99861111111)</f>
        <v>42398.99861</v>
      </c>
      <c r="E896" s="22">
        <f>IFERROR(__xludf.DUMMYFUNCTION("""COMPUTED_VALUE"""),1.08299)</f>
        <v>1.08299</v>
      </c>
      <c r="F896" s="22">
        <f t="shared" si="11"/>
        <v>236.9731451</v>
      </c>
      <c r="G896" s="22">
        <f t="shared" si="79"/>
        <v>69.23300523</v>
      </c>
      <c r="H896" s="22">
        <f t="shared" si="80"/>
        <v>102.7126919</v>
      </c>
    </row>
    <row r="897" ht="15.75" customHeight="1">
      <c r="A897" s="32">
        <f>IFERROR(__xludf.DUMMYFUNCTION("""COMPUTED_VALUE"""),42426.66666666667)</f>
        <v>42426.66667</v>
      </c>
      <c r="B897" s="22">
        <f>IFERROR(__xludf.DUMMYFUNCTION("""COMPUTED_VALUE"""),1948.05)</f>
        <v>1948.05</v>
      </c>
      <c r="C897" s="22">
        <f t="shared" si="10"/>
        <v>2744.983064</v>
      </c>
      <c r="D897" s="25">
        <f>IFERROR(__xludf.DUMMYFUNCTION("""COMPUTED_VALUE"""),42405.99861111111)</f>
        <v>42405.99861</v>
      </c>
      <c r="E897" s="22">
        <f>IFERROR(__xludf.DUMMYFUNCTION("""COMPUTED_VALUE"""),1.11573)</f>
        <v>1.11573</v>
      </c>
      <c r="F897" s="22">
        <f t="shared" si="11"/>
        <v>233.7384677</v>
      </c>
      <c r="G897" s="22">
        <f t="shared" si="79"/>
        <v>63.15426838</v>
      </c>
      <c r="H897" s="22">
        <f t="shared" si="80"/>
        <v>96.62748447</v>
      </c>
    </row>
    <row r="898" ht="15.75" customHeight="1">
      <c r="A898" s="32">
        <f>IFERROR(__xludf.DUMMYFUNCTION("""COMPUTED_VALUE"""),42433.66666666667)</f>
        <v>42433.66667</v>
      </c>
      <c r="B898" s="22">
        <f>IFERROR(__xludf.DUMMYFUNCTION("""COMPUTED_VALUE"""),1999.99)</f>
        <v>1999.99</v>
      </c>
      <c r="C898" s="22">
        <f t="shared" si="10"/>
        <v>2819.227102</v>
      </c>
      <c r="D898" s="25">
        <f>IFERROR(__xludf.DUMMYFUNCTION("""COMPUTED_VALUE"""),42412.99861111111)</f>
        <v>42412.99861</v>
      </c>
      <c r="E898" s="22">
        <f>IFERROR(__xludf.DUMMYFUNCTION("""COMPUTED_VALUE"""),1.12535)</f>
        <v>1.12535</v>
      </c>
      <c r="F898" s="22">
        <f t="shared" si="11"/>
        <v>238.008288</v>
      </c>
      <c r="G898" s="22">
        <f t="shared" si="79"/>
        <v>62.55344028</v>
      </c>
      <c r="H898" s="22">
        <f t="shared" si="80"/>
        <v>99.89089959</v>
      </c>
    </row>
    <row r="899" ht="15.75" customHeight="1">
      <c r="A899" s="32">
        <f>IFERROR(__xludf.DUMMYFUNCTION("""COMPUTED_VALUE"""),42440.66666666667)</f>
        <v>42440.66667</v>
      </c>
      <c r="B899" s="22">
        <f>IFERROR(__xludf.DUMMYFUNCTION("""COMPUTED_VALUE"""),2022.19)</f>
        <v>2022.19</v>
      </c>
      <c r="C899" s="22">
        <f t="shared" si="10"/>
        <v>2851.604997</v>
      </c>
      <c r="D899" s="25">
        <f>IFERROR(__xludf.DUMMYFUNCTION("""COMPUTED_VALUE"""),42419.99861111111)</f>
        <v>42419.99861</v>
      </c>
      <c r="E899" s="22">
        <f>IFERROR(__xludf.DUMMYFUNCTION("""COMPUTED_VALUE"""),1.11292)</f>
        <v>1.11292</v>
      </c>
      <c r="F899" s="22">
        <f t="shared" si="11"/>
        <v>243.4305353</v>
      </c>
      <c r="G899" s="22">
        <f t="shared" si="79"/>
        <v>63.06569043</v>
      </c>
      <c r="H899" s="22">
        <f t="shared" si="80"/>
        <v>109.1174537</v>
      </c>
    </row>
    <row r="900" ht="15.75" customHeight="1">
      <c r="A900" s="32">
        <f>IFERROR(__xludf.DUMMYFUNCTION("""COMPUTED_VALUE"""),42447.66666666667)</f>
        <v>42447.66667</v>
      </c>
      <c r="B900" s="22">
        <f>IFERROR(__xludf.DUMMYFUNCTION("""COMPUTED_VALUE"""),2049.58)</f>
        <v>2049.58</v>
      </c>
      <c r="C900" s="22">
        <f t="shared" si="10"/>
        <v>2891.325963</v>
      </c>
      <c r="D900" s="25">
        <f>IFERROR(__xludf.DUMMYFUNCTION("""COMPUTED_VALUE"""),42426.99861111111)</f>
        <v>42426.99861</v>
      </c>
      <c r="E900" s="22">
        <f>IFERROR(__xludf.DUMMYFUNCTION("""COMPUTED_VALUE"""),1.09292)</f>
        <v>1.09292</v>
      </c>
      <c r="F900" s="22">
        <f t="shared" si="11"/>
        <v>251.3380936</v>
      </c>
      <c r="G900" s="22">
        <f t="shared" si="79"/>
        <v>66.48440916</v>
      </c>
      <c r="H900" s="22">
        <f t="shared" si="80"/>
        <v>119.3373049</v>
      </c>
    </row>
    <row r="901" ht="15.75" customHeight="1">
      <c r="A901" s="32">
        <f>IFERROR(__xludf.DUMMYFUNCTION("""COMPUTED_VALUE"""),42453.66666666667)</f>
        <v>42453.66667</v>
      </c>
      <c r="B901" s="22">
        <f>IFERROR(__xludf.DUMMYFUNCTION("""COMPUTED_VALUE"""),2035.94)</f>
        <v>2035.94</v>
      </c>
      <c r="C901" s="22">
        <f t="shared" si="10"/>
        <v>2873.196174</v>
      </c>
      <c r="D901" s="25">
        <f>IFERROR(__xludf.DUMMYFUNCTION("""COMPUTED_VALUE"""),42433.99861111111)</f>
        <v>42433.99861</v>
      </c>
      <c r="E901" s="22">
        <f>IFERROR(__xludf.DUMMYFUNCTION("""COMPUTED_VALUE"""),1.10056)</f>
        <v>1.10056</v>
      </c>
      <c r="F901" s="22">
        <f t="shared" si="11"/>
        <v>248.0282729</v>
      </c>
      <c r="G901" s="22">
        <f t="shared" si="79"/>
        <v>62.80435448</v>
      </c>
      <c r="H901" s="22">
        <f t="shared" si="80"/>
        <v>117.235428</v>
      </c>
    </row>
    <row r="902" ht="15.75" customHeight="1">
      <c r="A902" s="32">
        <f>IFERROR(__xludf.DUMMYFUNCTION("""COMPUTED_VALUE"""),42461.66666666667)</f>
        <v>42461.66667</v>
      </c>
      <c r="B902" s="22">
        <f>IFERROR(__xludf.DUMMYFUNCTION("""COMPUTED_VALUE"""),2072.78)</f>
        <v>2072.78</v>
      </c>
      <c r="C902" s="22">
        <f t="shared" si="10"/>
        <v>2926.291262</v>
      </c>
      <c r="D902" s="25">
        <f>IFERROR(__xludf.DUMMYFUNCTION("""COMPUTED_VALUE"""),42440.99861111111)</f>
        <v>42440.99861</v>
      </c>
      <c r="E902" s="22">
        <f>IFERROR(__xludf.DUMMYFUNCTION("""COMPUTED_VALUE"""),1.1146)</f>
        <v>1.1146</v>
      </c>
      <c r="F902" s="22">
        <f t="shared" si="11"/>
        <v>249.4296894</v>
      </c>
      <c r="G902" s="22">
        <f t="shared" si="79"/>
        <v>66.22679211</v>
      </c>
      <c r="H902" s="22">
        <f t="shared" si="80"/>
        <v>127.8055288</v>
      </c>
    </row>
    <row r="903" ht="15.75" customHeight="1">
      <c r="A903" s="32">
        <f>IFERROR(__xludf.DUMMYFUNCTION("""COMPUTED_VALUE"""),42468.66666666667)</f>
        <v>42468.66667</v>
      </c>
      <c r="B903" s="22">
        <f>IFERROR(__xludf.DUMMYFUNCTION("""COMPUTED_VALUE"""),2047.6)</f>
        <v>2047.6</v>
      </c>
      <c r="C903" s="22">
        <f t="shared" si="10"/>
        <v>2891.868358</v>
      </c>
      <c r="D903" s="25">
        <f>IFERROR(__xludf.DUMMYFUNCTION("""COMPUTED_VALUE"""),42447.99861111111)</f>
        <v>42447.99861</v>
      </c>
      <c r="E903" s="22">
        <f>IFERROR(__xludf.DUMMYFUNCTION("""COMPUTED_VALUE"""),1.12692)</f>
        <v>1.12692</v>
      </c>
      <c r="F903" s="22">
        <f t="shared" si="11"/>
        <v>243.8007666</v>
      </c>
      <c r="G903" s="22">
        <f t="shared" si="79"/>
        <v>57.70996077</v>
      </c>
      <c r="H903" s="22">
        <f t="shared" si="80"/>
        <v>115.2767732</v>
      </c>
    </row>
    <row r="904" ht="15.75" customHeight="1">
      <c r="A904" s="32">
        <f>IFERROR(__xludf.DUMMYFUNCTION("""COMPUTED_VALUE"""),42475.66666666667)</f>
        <v>42475.66667</v>
      </c>
      <c r="B904" s="22">
        <f>IFERROR(__xludf.DUMMYFUNCTION("""COMPUTED_VALUE"""),2080.73)</f>
        <v>2080.73</v>
      </c>
      <c r="C904" s="22">
        <f t="shared" si="10"/>
        <v>2939.770808</v>
      </c>
      <c r="D904" s="25">
        <f>IFERROR(__xludf.DUMMYFUNCTION("""COMPUTED_VALUE"""),42454.99861111111)</f>
        <v>42454.99861</v>
      </c>
      <c r="E904" s="22">
        <f>IFERROR(__xludf.DUMMYFUNCTION("""COMPUTED_VALUE"""),1.11596)</f>
        <v>1.11596</v>
      </c>
      <c r="F904" s="22">
        <f t="shared" si="11"/>
        <v>250.2732762</v>
      </c>
      <c r="G904" s="22">
        <f t="shared" si="79"/>
        <v>63.1784941</v>
      </c>
      <c r="H904" s="22">
        <f t="shared" si="80"/>
        <v>120.157641</v>
      </c>
    </row>
    <row r="905" ht="15.75" customHeight="1">
      <c r="A905" s="32">
        <f>IFERROR(__xludf.DUMMYFUNCTION("""COMPUTED_VALUE"""),42482.66666666667)</f>
        <v>42482.66667</v>
      </c>
      <c r="B905" s="22">
        <f>IFERROR(__xludf.DUMMYFUNCTION("""COMPUTED_VALUE"""),2091.58)</f>
        <v>2091.58</v>
      </c>
      <c r="C905" s="22">
        <f t="shared" si="10"/>
        <v>2956.230971</v>
      </c>
      <c r="D905" s="25">
        <f>IFERROR(__xludf.DUMMYFUNCTION("""COMPUTED_VALUE"""),42461.99861111111)</f>
        <v>42461.99861</v>
      </c>
      <c r="E905" s="22">
        <f>IFERROR(__xludf.DUMMYFUNCTION("""COMPUTED_VALUE"""),1.13918)</f>
        <v>1.13918</v>
      </c>
      <c r="F905" s="22">
        <f t="shared" si="11"/>
        <v>246.5446853</v>
      </c>
      <c r="G905" s="22">
        <f t="shared" si="79"/>
        <v>59.19003667</v>
      </c>
      <c r="H905" s="22">
        <f t="shared" si="80"/>
        <v>120.4800615</v>
      </c>
    </row>
    <row r="906" ht="15.75" customHeight="1">
      <c r="A906" s="32">
        <f>IFERROR(__xludf.DUMMYFUNCTION("""COMPUTED_VALUE"""),42489.66666666667)</f>
        <v>42489.66667</v>
      </c>
      <c r="B906" s="22">
        <f>IFERROR(__xludf.DUMMYFUNCTION("""COMPUTED_VALUE"""),2065.3)</f>
        <v>2065.3</v>
      </c>
      <c r="C906" s="22">
        <f t="shared" si="10"/>
        <v>2920.223934</v>
      </c>
      <c r="D906" s="25">
        <f>IFERROR(__xludf.DUMMYFUNCTION("""COMPUTED_VALUE"""),42468.99861111111)</f>
        <v>42468.99861</v>
      </c>
      <c r="E906" s="22">
        <f>IFERROR(__xludf.DUMMYFUNCTION("""COMPUTED_VALUE"""),1.13948)</f>
        <v>1.13948</v>
      </c>
      <c r="F906" s="22">
        <f t="shared" si="11"/>
        <v>243.4776398</v>
      </c>
      <c r="G906" s="22">
        <f t="shared" si="79"/>
        <v>56.27087387</v>
      </c>
      <c r="H906" s="22">
        <f t="shared" si="80"/>
        <v>118.9621987</v>
      </c>
    </row>
    <row r="907" ht="15.75" customHeight="1">
      <c r="A907" s="32">
        <f>IFERROR(__xludf.DUMMYFUNCTION("""COMPUTED_VALUE"""),42496.66666666667)</f>
        <v>42496.66667</v>
      </c>
      <c r="B907" s="22">
        <f>IFERROR(__xludf.DUMMYFUNCTION("""COMPUTED_VALUE"""),2057.14)</f>
        <v>2057.14</v>
      </c>
      <c r="C907" s="22">
        <f t="shared" si="10"/>
        <v>2909.809293</v>
      </c>
      <c r="D907" s="25">
        <f>IFERROR(__xludf.DUMMYFUNCTION("""COMPUTED_VALUE"""),42475.99861111111)</f>
        <v>42475.99861</v>
      </c>
      <c r="E907" s="22">
        <f>IFERROR(__xludf.DUMMYFUNCTION("""COMPUTED_VALUE"""),1.12835)</f>
        <v>1.12835</v>
      </c>
      <c r="F907" s="22">
        <f t="shared" si="11"/>
        <v>245.0023936</v>
      </c>
      <c r="G907" s="22">
        <f t="shared" si="79"/>
        <v>54.64747896</v>
      </c>
      <c r="H907" s="22">
        <f t="shared" si="80"/>
        <v>119.3232371</v>
      </c>
    </row>
    <row r="908" ht="15.75" customHeight="1">
      <c r="A908" s="32">
        <f>IFERROR(__xludf.DUMMYFUNCTION("""COMPUTED_VALUE"""),42503.66666666667)</f>
        <v>42503.66667</v>
      </c>
      <c r="B908" s="22">
        <f>IFERROR(__xludf.DUMMYFUNCTION("""COMPUTED_VALUE"""),2046.61)</f>
        <v>2046.61</v>
      </c>
      <c r="C908" s="22">
        <f t="shared" si="10"/>
        <v>2896.033843</v>
      </c>
      <c r="D908" s="25">
        <f>IFERROR(__xludf.DUMMYFUNCTION("""COMPUTED_VALUE"""),42483.99861111111)</f>
        <v>42483.99861</v>
      </c>
      <c r="E908" s="22">
        <f>IFERROR(__xludf.DUMMYFUNCTION("""COMPUTED_VALUE"""),1.1221)</f>
        <v>1.1221</v>
      </c>
      <c r="F908" s="22">
        <f t="shared" si="11"/>
        <v>245.2006993</v>
      </c>
      <c r="G908" s="22">
        <f t="shared" si="79"/>
        <v>51.43648367</v>
      </c>
      <c r="H908" s="22">
        <f t="shared" si="80"/>
        <v>118.9957994</v>
      </c>
    </row>
    <row r="909" ht="15.75" customHeight="1">
      <c r="A909" s="32">
        <f>IFERROR(__xludf.DUMMYFUNCTION("""COMPUTED_VALUE"""),42510.66666666667)</f>
        <v>42510.66667</v>
      </c>
      <c r="B909" s="22">
        <f>IFERROR(__xludf.DUMMYFUNCTION("""COMPUTED_VALUE"""),2052.32)</f>
        <v>2052.32</v>
      </c>
      <c r="C909" s="22">
        <f t="shared" si="10"/>
        <v>2905.227578</v>
      </c>
      <c r="D909" s="25">
        <f>IFERROR(__xludf.DUMMYFUNCTION("""COMPUTED_VALUE"""),42489.99861111111)</f>
        <v>42489.99861</v>
      </c>
      <c r="E909" s="22">
        <f>IFERROR(__xludf.DUMMYFUNCTION("""COMPUTED_VALUE"""),1.1447)</f>
        <v>1.1447</v>
      </c>
      <c r="F909" s="22">
        <f t="shared" si="11"/>
        <v>241.1227062</v>
      </c>
      <c r="G909" s="22">
        <f t="shared" si="79"/>
        <v>51.35480013</v>
      </c>
      <c r="H909" s="22">
        <f t="shared" si="80"/>
        <v>114.2253578</v>
      </c>
    </row>
    <row r="910" ht="15.75" customHeight="1">
      <c r="A910" s="32">
        <f>IFERROR(__xludf.DUMMYFUNCTION("""COMPUTED_VALUE"""),42517.66666666667)</f>
        <v>42517.66667</v>
      </c>
      <c r="B910" s="22">
        <f>IFERROR(__xludf.DUMMYFUNCTION("""COMPUTED_VALUE"""),2099.06)</f>
        <v>2099.06</v>
      </c>
      <c r="C910" s="22">
        <f t="shared" si="10"/>
        <v>2972.509283</v>
      </c>
      <c r="D910" s="25">
        <f>IFERROR(__xludf.DUMMYFUNCTION("""COMPUTED_VALUE"""),42496.99861111111)</f>
        <v>42496.99861</v>
      </c>
      <c r="E910" s="22">
        <f>IFERROR(__xludf.DUMMYFUNCTION("""COMPUTED_VALUE"""),1.14031)</f>
        <v>1.14031</v>
      </c>
      <c r="F910" s="22">
        <f t="shared" si="11"/>
        <v>247.6566082</v>
      </c>
      <c r="G910" s="22">
        <f t="shared" si="79"/>
        <v>55.70680841</v>
      </c>
      <c r="H910" s="22">
        <f t="shared" si="80"/>
        <v>114.6434456</v>
      </c>
    </row>
    <row r="911" ht="15.75" customHeight="1">
      <c r="A911" s="32">
        <f>IFERROR(__xludf.DUMMYFUNCTION("""COMPUTED_VALUE"""),42524.66666666667)</f>
        <v>42524.66667</v>
      </c>
      <c r="B911" s="22">
        <f>IFERROR(__xludf.DUMMYFUNCTION("""COMPUTED_VALUE"""),2099.13)</f>
        <v>2099.13</v>
      </c>
      <c r="C911" s="22">
        <f t="shared" si="10"/>
        <v>2973.751684</v>
      </c>
      <c r="D911" s="25">
        <f>IFERROR(__xludf.DUMMYFUNCTION("""COMPUTED_VALUE"""),42503.99861111111)</f>
        <v>42503.99861</v>
      </c>
      <c r="E911" s="22">
        <f>IFERROR(__xludf.DUMMYFUNCTION("""COMPUTED_VALUE"""),1.13061)</f>
        <v>1.13061</v>
      </c>
      <c r="F911" s="22">
        <f t="shared" si="11"/>
        <v>249.8857626</v>
      </c>
      <c r="G911" s="22">
        <f t="shared" si="79"/>
        <v>53.99320611</v>
      </c>
      <c r="H911" s="22">
        <f t="shared" si="80"/>
        <v>118.0381238</v>
      </c>
    </row>
    <row r="912" ht="15.75" customHeight="1">
      <c r="A912" s="32">
        <f>IFERROR(__xludf.DUMMYFUNCTION("""COMPUTED_VALUE"""),42531.66666666667)</f>
        <v>42531.66667</v>
      </c>
      <c r="B912" s="22">
        <f>IFERROR(__xludf.DUMMYFUNCTION("""COMPUTED_VALUE"""),2096.07)</f>
        <v>2096.07</v>
      </c>
      <c r="C912" s="22">
        <f t="shared" si="10"/>
        <v>2970.560458</v>
      </c>
      <c r="D912" s="25">
        <f>IFERROR(__xludf.DUMMYFUNCTION("""COMPUTED_VALUE"""),42510.99861111111)</f>
        <v>42510.99861</v>
      </c>
      <c r="E912" s="22">
        <f>IFERROR(__xludf.DUMMYFUNCTION("""COMPUTED_VALUE"""),1.1222)</f>
        <v>1.1222</v>
      </c>
      <c r="F912" s="22">
        <f t="shared" si="11"/>
        <v>251.4882885</v>
      </c>
      <c r="G912" s="22">
        <f t="shared" si="79"/>
        <v>57.63997677</v>
      </c>
      <c r="H912" s="22">
        <f t="shared" si="80"/>
        <v>121.4770997</v>
      </c>
    </row>
    <row r="913" ht="15.75" customHeight="1">
      <c r="A913" s="32">
        <f>IFERROR(__xludf.DUMMYFUNCTION("""COMPUTED_VALUE"""),42538.66666666667)</f>
        <v>42538.66667</v>
      </c>
      <c r="B913" s="22">
        <f>IFERROR(__xludf.DUMMYFUNCTION("""COMPUTED_VALUE"""),2071.22)</f>
        <v>2071.22</v>
      </c>
      <c r="C913" s="22">
        <f t="shared" si="10"/>
        <v>2936.485442</v>
      </c>
      <c r="D913" s="25">
        <f>IFERROR(__xludf.DUMMYFUNCTION("""COMPUTED_VALUE"""),42517.99861111111)</f>
        <v>42517.99861</v>
      </c>
      <c r="E913" s="22">
        <f>IFERROR(__xludf.DUMMYFUNCTION("""COMPUTED_VALUE"""),1.11111)</f>
        <v>1.11111</v>
      </c>
      <c r="F913" s="22">
        <f t="shared" si="11"/>
        <v>251.0848042</v>
      </c>
      <c r="G913" s="22">
        <f t="shared" si="79"/>
        <v>61.50937011</v>
      </c>
      <c r="H913" s="22">
        <f t="shared" si="80"/>
        <v>131.7762232</v>
      </c>
    </row>
    <row r="914" ht="15.75" customHeight="1">
      <c r="A914" s="32">
        <f>IFERROR(__xludf.DUMMYFUNCTION("""COMPUTED_VALUE"""),42545.66666666667)</f>
        <v>42545.66667</v>
      </c>
      <c r="B914" s="22">
        <f>IFERROR(__xludf.DUMMYFUNCTION("""COMPUTED_VALUE"""),2037.41)</f>
        <v>2037.41</v>
      </c>
      <c r="C914" s="22">
        <f t="shared" si="10"/>
        <v>2889.680515</v>
      </c>
      <c r="D914" s="25">
        <f>IFERROR(__xludf.DUMMYFUNCTION("""COMPUTED_VALUE"""),42524.99861111111)</f>
        <v>42524.99861</v>
      </c>
      <c r="E914" s="22">
        <f>IFERROR(__xludf.DUMMYFUNCTION("""COMPUTED_VALUE"""),1.13654)</f>
        <v>1.13654</v>
      </c>
      <c r="F914" s="22">
        <f t="shared" si="11"/>
        <v>241.5542808</v>
      </c>
      <c r="G914" s="22">
        <f t="shared" si="79"/>
        <v>56.67021347</v>
      </c>
      <c r="H914" s="22">
        <f t="shared" si="80"/>
        <v>123.8469963</v>
      </c>
    </row>
    <row r="915" ht="15.75" customHeight="1">
      <c r="A915" s="32">
        <f>IFERROR(__xludf.DUMMYFUNCTION("""COMPUTED_VALUE"""),42552.66666666667)</f>
        <v>42552.66667</v>
      </c>
      <c r="B915" s="22">
        <f>IFERROR(__xludf.DUMMYFUNCTION("""COMPUTED_VALUE"""),2102.95)</f>
        <v>2102.95</v>
      </c>
      <c r="C915" s="22">
        <f t="shared" si="10"/>
        <v>2983.748017</v>
      </c>
      <c r="D915" s="25">
        <f>IFERROR(__xludf.DUMMYFUNCTION("""COMPUTED_VALUE"""),42531.99861111111)</f>
        <v>42531.99861</v>
      </c>
      <c r="E915" s="22">
        <f>IFERROR(__xludf.DUMMYFUNCTION("""COMPUTED_VALUE"""),1.12512)</f>
        <v>1.12512</v>
      </c>
      <c r="F915" s="22">
        <f t="shared" si="11"/>
        <v>251.9491704</v>
      </c>
      <c r="G915" s="22">
        <f t="shared" si="79"/>
        <v>62.29479219</v>
      </c>
      <c r="H915" s="22">
        <f t="shared" si="80"/>
        <v>132.6612374</v>
      </c>
    </row>
    <row r="916" ht="15.75" customHeight="1">
      <c r="A916" s="32">
        <f>IFERROR(__xludf.DUMMYFUNCTION("""COMPUTED_VALUE"""),42559.66666666667)</f>
        <v>42559.66667</v>
      </c>
      <c r="B916" s="22">
        <f>IFERROR(__xludf.DUMMYFUNCTION("""COMPUTED_VALUE"""),2129.9)</f>
        <v>2129.9</v>
      </c>
      <c r="C916" s="22">
        <f t="shared" si="10"/>
        <v>3023.133331</v>
      </c>
      <c r="D916" s="25">
        <f>IFERROR(__xludf.DUMMYFUNCTION("""COMPUTED_VALUE"""),42538.99861111111)</f>
        <v>42538.99861</v>
      </c>
      <c r="E916" s="22">
        <f>IFERROR(__xludf.DUMMYFUNCTION("""COMPUTED_VALUE"""),1.12736)</f>
        <v>1.12736</v>
      </c>
      <c r="F916" s="22">
        <f t="shared" si="11"/>
        <v>254.7676693</v>
      </c>
      <c r="G916" s="22">
        <f t="shared" si="79"/>
        <v>56.65893133</v>
      </c>
      <c r="H916" s="22">
        <f t="shared" si="80"/>
        <v>133.4676242</v>
      </c>
    </row>
    <row r="917" ht="15.75" customHeight="1">
      <c r="A917" s="32">
        <f>IFERROR(__xludf.DUMMYFUNCTION("""COMPUTED_VALUE"""),42566.66666666667)</f>
        <v>42566.66667</v>
      </c>
      <c r="B917" s="22">
        <f>IFERROR(__xludf.DUMMYFUNCTION("""COMPUTED_VALUE"""),2161.74)</f>
        <v>2161.74</v>
      </c>
      <c r="C917" s="22">
        <f t="shared" si="10"/>
        <v>3069.489072</v>
      </c>
      <c r="D917" s="25">
        <f>IFERROR(__xludf.DUMMYFUNCTION("""COMPUTED_VALUE"""),42545.99861111111)</f>
        <v>42545.99861</v>
      </c>
      <c r="E917" s="22">
        <f>IFERROR(__xludf.DUMMYFUNCTION("""COMPUTED_VALUE"""),1.1186)</f>
        <v>1.1186</v>
      </c>
      <c r="F917" s="22">
        <f t="shared" si="11"/>
        <v>260.6999276</v>
      </c>
      <c r="G917" s="22">
        <f t="shared" si="79"/>
        <v>57.74832015</v>
      </c>
      <c r="H917" s="22">
        <f t="shared" si="80"/>
        <v>131.2056439</v>
      </c>
    </row>
    <row r="918" ht="15.75" customHeight="1">
      <c r="A918" s="32">
        <f>IFERROR(__xludf.DUMMYFUNCTION("""COMPUTED_VALUE"""),42573.66666666667)</f>
        <v>42573.66667</v>
      </c>
      <c r="B918" s="22">
        <f>IFERROR(__xludf.DUMMYFUNCTION("""COMPUTED_VALUE"""),2175.03)</f>
        <v>2175.03</v>
      </c>
      <c r="C918" s="22">
        <f t="shared" si="10"/>
        <v>3089.540327</v>
      </c>
      <c r="D918" s="25">
        <f>IFERROR(__xludf.DUMMYFUNCTION("""COMPUTED_VALUE"""),42552.99861111111)</f>
        <v>42552.99861</v>
      </c>
      <c r="E918" s="22">
        <f>IFERROR(__xludf.DUMMYFUNCTION("""COMPUTED_VALUE"""),1.11383)</f>
        <v>1.11383</v>
      </c>
      <c r="F918" s="22">
        <f t="shared" si="11"/>
        <v>263.5266804</v>
      </c>
      <c r="G918" s="22">
        <f t="shared" si="79"/>
        <v>57.26959172</v>
      </c>
      <c r="H918" s="22">
        <f t="shared" si="80"/>
        <v>129.019238</v>
      </c>
    </row>
    <row r="919" ht="15.75" customHeight="1">
      <c r="A919" s="32">
        <f>IFERROR(__xludf.DUMMYFUNCTION("""COMPUTED_VALUE"""),42580.66666666667)</f>
        <v>42580.66667</v>
      </c>
      <c r="B919" s="22">
        <f>IFERROR(__xludf.DUMMYFUNCTION("""COMPUTED_VALUE"""),2173.6)</f>
        <v>2173.6</v>
      </c>
      <c r="C919" s="22">
        <f t="shared" si="10"/>
        <v>3088.697356</v>
      </c>
      <c r="D919" s="25">
        <f>IFERROR(__xludf.DUMMYFUNCTION("""COMPUTED_VALUE"""),42559.99861111111)</f>
        <v>42559.99861</v>
      </c>
      <c r="E919" s="22">
        <f>IFERROR(__xludf.DUMMYFUNCTION("""COMPUTED_VALUE"""),1.10498)</f>
        <v>1.10498</v>
      </c>
      <c r="F919" s="22">
        <f t="shared" si="11"/>
        <v>265.5648386</v>
      </c>
      <c r="G919" s="22">
        <f t="shared" si="79"/>
        <v>59.61438228</v>
      </c>
      <c r="H919" s="22">
        <f t="shared" si="80"/>
        <v>133.7482086</v>
      </c>
    </row>
    <row r="920" ht="15.75" customHeight="1">
      <c r="A920" s="32">
        <f>IFERROR(__xludf.DUMMYFUNCTION("""COMPUTED_VALUE"""),42587.66666666667)</f>
        <v>42587.66667</v>
      </c>
      <c r="B920" s="22">
        <f>IFERROR(__xludf.DUMMYFUNCTION("""COMPUTED_VALUE"""),2182.87)</f>
        <v>2182.87</v>
      </c>
      <c r="C920" s="22">
        <f t="shared" si="10"/>
        <v>3103.058037</v>
      </c>
      <c r="D920" s="25">
        <f>IFERROR(__xludf.DUMMYFUNCTION("""COMPUTED_VALUE"""),42566.99861111111)</f>
        <v>42566.99861</v>
      </c>
      <c r="E920" s="22">
        <f>IFERROR(__xludf.DUMMYFUNCTION("""COMPUTED_VALUE"""),1.10221)</f>
        <v>1.10221</v>
      </c>
      <c r="F920" s="22">
        <f t="shared" si="11"/>
        <v>267.4700663</v>
      </c>
      <c r="G920" s="22">
        <f t="shared" si="79"/>
        <v>63.40056515</v>
      </c>
      <c r="H920" s="22">
        <f t="shared" si="80"/>
        <v>133.6839043</v>
      </c>
    </row>
    <row r="921" ht="15.75" customHeight="1">
      <c r="A921" s="32">
        <f>IFERROR(__xludf.DUMMYFUNCTION("""COMPUTED_VALUE"""),42594.66666666667)</f>
        <v>42594.66667</v>
      </c>
      <c r="B921" s="22">
        <f>IFERROR(__xludf.DUMMYFUNCTION("""COMPUTED_VALUE"""),2184.05)</f>
        <v>2184.05</v>
      </c>
      <c r="C921" s="22">
        <f t="shared" si="10"/>
        <v>3105.928949</v>
      </c>
      <c r="D921" s="25">
        <f>IFERROR(__xludf.DUMMYFUNCTION("""COMPUTED_VALUE"""),42573.99861111111)</f>
        <v>42573.99861</v>
      </c>
      <c r="E921" s="22">
        <f>IFERROR(__xludf.DUMMYFUNCTION("""COMPUTED_VALUE"""),1.09752)</f>
        <v>1.09752</v>
      </c>
      <c r="F921" s="22">
        <f t="shared" si="11"/>
        <v>268.8615559</v>
      </c>
      <c r="G921" s="22">
        <f t="shared" si="79"/>
        <v>69.42492888</v>
      </c>
      <c r="H921" s="22">
        <f t="shared" si="80"/>
        <v>144.7457374</v>
      </c>
    </row>
    <row r="922" ht="15.75" customHeight="1">
      <c r="A922" s="32">
        <f>IFERROR(__xludf.DUMMYFUNCTION("""COMPUTED_VALUE"""),42601.66666666667)</f>
        <v>42601.66667</v>
      </c>
      <c r="B922" s="22">
        <f>IFERROR(__xludf.DUMMYFUNCTION("""COMPUTED_VALUE"""),2183.87)</f>
        <v>2183.87</v>
      </c>
      <c r="C922" s="22">
        <f t="shared" si="10"/>
        <v>3106.86756</v>
      </c>
      <c r="D922" s="25">
        <f>IFERROR(__xludf.DUMMYFUNCTION("""COMPUTED_VALUE"""),42580.99861111111)</f>
        <v>42580.99861</v>
      </c>
      <c r="E922" s="22">
        <f>IFERROR(__xludf.DUMMYFUNCTION("""COMPUTED_VALUE"""),1.11722)</f>
        <v>1.11722</v>
      </c>
      <c r="F922" s="22">
        <f t="shared" si="11"/>
        <v>264.2005229</v>
      </c>
      <c r="G922" s="22">
        <f t="shared" si="79"/>
        <v>65.69412002</v>
      </c>
      <c r="H922" s="22">
        <f t="shared" si="80"/>
        <v>154.9002049</v>
      </c>
    </row>
    <row r="923" ht="15.75" customHeight="1">
      <c r="A923" s="32">
        <f>IFERROR(__xludf.DUMMYFUNCTION("""COMPUTED_VALUE"""),42608.66666666667)</f>
        <v>42608.66667</v>
      </c>
      <c r="B923" s="22">
        <f>IFERROR(__xludf.DUMMYFUNCTION("""COMPUTED_VALUE"""),2169.04)</f>
        <v>2169.04</v>
      </c>
      <c r="C923" s="22">
        <f t="shared" si="10"/>
        <v>3086.964712</v>
      </c>
      <c r="D923" s="25">
        <f>IFERROR(__xludf.DUMMYFUNCTION("""COMPUTED_VALUE"""),42587.99861111111)</f>
        <v>42587.99861</v>
      </c>
      <c r="E923" s="22">
        <f>IFERROR(__xludf.DUMMYFUNCTION("""COMPUTED_VALUE"""),1.10865)</f>
        <v>1.10865</v>
      </c>
      <c r="F923" s="22">
        <f t="shared" si="11"/>
        <v>264.5372519</v>
      </c>
      <c r="G923" s="22">
        <f t="shared" si="79"/>
        <v>69.70410289</v>
      </c>
      <c r="H923" s="22">
        <f t="shared" si="80"/>
        <v>161.300918</v>
      </c>
    </row>
    <row r="924" ht="15.75" customHeight="1">
      <c r="A924" s="32">
        <f>IFERROR(__xludf.DUMMYFUNCTION("""COMPUTED_VALUE"""),42615.66666666667)</f>
        <v>42615.66667</v>
      </c>
      <c r="B924" s="22">
        <f>IFERROR(__xludf.DUMMYFUNCTION("""COMPUTED_VALUE"""),2179.98)</f>
        <v>2179.98</v>
      </c>
      <c r="C924" s="22">
        <f t="shared" si="10"/>
        <v>3103.721748</v>
      </c>
      <c r="D924" s="25">
        <f>IFERROR(__xludf.DUMMYFUNCTION("""COMPUTED_VALUE"""),42594.99861111111)</f>
        <v>42594.99861</v>
      </c>
      <c r="E924" s="22">
        <f>IFERROR(__xludf.DUMMYFUNCTION("""COMPUTED_VALUE"""),1.11629)</f>
        <v>1.11629</v>
      </c>
      <c r="F924" s="22">
        <f t="shared" si="11"/>
        <v>264.1528977</v>
      </c>
      <c r="G924" s="22">
        <f t="shared" si="79"/>
        <v>66.97094417</v>
      </c>
      <c r="H924" s="22">
        <f t="shared" si="80"/>
        <v>176.6638522</v>
      </c>
    </row>
    <row r="925" ht="15.75" customHeight="1">
      <c r="A925" s="32">
        <f>IFERROR(__xludf.DUMMYFUNCTION("""COMPUTED_VALUE"""),42622.66666666667)</f>
        <v>42622.66667</v>
      </c>
      <c r="B925" s="22">
        <f>IFERROR(__xludf.DUMMYFUNCTION("""COMPUTED_VALUE"""),2127.81)</f>
        <v>2127.81</v>
      </c>
      <c r="C925" s="22">
        <f t="shared" si="10"/>
        <v>3030.639043</v>
      </c>
      <c r="D925" s="25">
        <f>IFERROR(__xludf.DUMMYFUNCTION("""COMPUTED_VALUE"""),42601.99861111111)</f>
        <v>42601.99861</v>
      </c>
      <c r="E925" s="22">
        <f>IFERROR(__xludf.DUMMYFUNCTION("""COMPUTED_VALUE"""),1.13226)</f>
        <v>1.13226</v>
      </c>
      <c r="F925" s="22">
        <f t="shared" si="11"/>
        <v>254.294919</v>
      </c>
      <c r="G925" s="22">
        <f t="shared" si="79"/>
        <v>58.16966264</v>
      </c>
      <c r="H925" s="22">
        <f t="shared" si="80"/>
        <v>155.1597727</v>
      </c>
    </row>
    <row r="926" ht="15.75" customHeight="1">
      <c r="A926" s="32">
        <f>IFERROR(__xludf.DUMMYFUNCTION("""COMPUTED_VALUE"""),42629.66666666667)</f>
        <v>42629.66667</v>
      </c>
      <c r="B926" s="22">
        <f>IFERROR(__xludf.DUMMYFUNCTION("""COMPUTED_VALUE"""),2139.16)</f>
        <v>2139.16</v>
      </c>
      <c r="C926" s="22">
        <f t="shared" si="10"/>
        <v>3047.970474</v>
      </c>
      <c r="D926" s="25">
        <f>IFERROR(__xludf.DUMMYFUNCTION("""COMPUTED_VALUE"""),42608.99861111111)</f>
        <v>42608.99861</v>
      </c>
      <c r="E926" s="22">
        <f>IFERROR(__xludf.DUMMYFUNCTION("""COMPUTED_VALUE"""),1.11947)</f>
        <v>1.11947</v>
      </c>
      <c r="F926" s="22">
        <f t="shared" si="11"/>
        <v>258.671112</v>
      </c>
      <c r="G926" s="22">
        <f t="shared" si="79"/>
        <v>56.88223621</v>
      </c>
      <c r="H926" s="22">
        <f t="shared" si="80"/>
        <v>155.2203981</v>
      </c>
    </row>
    <row r="927" ht="15.75" customHeight="1">
      <c r="A927" s="32">
        <f>IFERROR(__xludf.DUMMYFUNCTION("""COMPUTED_VALUE"""),42636.66666666667)</f>
        <v>42636.66667</v>
      </c>
      <c r="B927" s="22">
        <f>IFERROR(__xludf.DUMMYFUNCTION("""COMPUTED_VALUE"""),2164.69)</f>
        <v>2164.69</v>
      </c>
      <c r="C927" s="22">
        <f t="shared" si="10"/>
        <v>3085.519052</v>
      </c>
      <c r="D927" s="25">
        <f>IFERROR(__xludf.DUMMYFUNCTION("""COMPUTED_VALUE"""),42616.99861111111)</f>
        <v>42616.99861</v>
      </c>
      <c r="E927" s="22">
        <f>IFERROR(__xludf.DUMMYFUNCTION("""COMPUTED_VALUE"""),1.1153)</f>
        <v>1.1153</v>
      </c>
      <c r="F927" s="22">
        <f t="shared" si="11"/>
        <v>262.8367958</v>
      </c>
      <c r="G927" s="22">
        <f t="shared" si="79"/>
        <v>60.53346546</v>
      </c>
      <c r="H927" s="22">
        <f t="shared" si="80"/>
        <v>153.685296</v>
      </c>
    </row>
    <row r="928" ht="15.75" customHeight="1">
      <c r="A928" s="32">
        <f>IFERROR(__xludf.DUMMYFUNCTION("""COMPUTED_VALUE"""),42643.66666666667)</f>
        <v>42643.66667</v>
      </c>
      <c r="B928" s="22">
        <f>IFERROR(__xludf.DUMMYFUNCTION("""COMPUTED_VALUE"""),2168.27)</f>
        <v>2168.27</v>
      </c>
      <c r="C928" s="22">
        <f t="shared" si="10"/>
        <v>3091.808672</v>
      </c>
      <c r="D928" s="25">
        <f>IFERROR(__xludf.DUMMYFUNCTION("""COMPUTED_VALUE"""),42623.99861111111)</f>
        <v>42623.99861</v>
      </c>
      <c r="E928" s="22">
        <f>IFERROR(__xludf.DUMMYFUNCTION("""COMPUTED_VALUE"""),1.1229)</f>
        <v>1.1229</v>
      </c>
      <c r="F928" s="22">
        <f t="shared" si="11"/>
        <v>261.5900153</v>
      </c>
      <c r="G928" s="22">
        <f t="shared" si="79"/>
        <v>61.27176276</v>
      </c>
      <c r="H928" s="22">
        <f t="shared" si="80"/>
        <v>141.9005536</v>
      </c>
    </row>
    <row r="929" ht="15.75" customHeight="1">
      <c r="A929" s="32">
        <f>IFERROR(__xludf.DUMMYFUNCTION("""COMPUTED_VALUE"""),42650.66666666667)</f>
        <v>42650.66667</v>
      </c>
      <c r="B929" s="22">
        <f>IFERROR(__xludf.DUMMYFUNCTION("""COMPUTED_VALUE"""),2153.74)</f>
        <v>2153.74</v>
      </c>
      <c r="C929" s="22">
        <f t="shared" si="10"/>
        <v>3072.279017</v>
      </c>
      <c r="D929" s="25">
        <f>IFERROR(__xludf.DUMMYFUNCTION("""COMPUTED_VALUE"""),42629.99861111111)</f>
        <v>42629.99861</v>
      </c>
      <c r="E929" s="22">
        <f>IFERROR(__xludf.DUMMYFUNCTION("""COMPUTED_VALUE"""),1.11555)</f>
        <v>1.11555</v>
      </c>
      <c r="F929" s="22">
        <f t="shared" si="11"/>
        <v>261.6503067</v>
      </c>
      <c r="G929" s="22">
        <f t="shared" si="79"/>
        <v>62.75296337</v>
      </c>
      <c r="H929" s="22">
        <f t="shared" si="80"/>
        <v>153.6499075</v>
      </c>
    </row>
    <row r="930" ht="15.75" customHeight="1">
      <c r="A930" s="32">
        <f>IFERROR(__xludf.DUMMYFUNCTION("""COMPUTED_VALUE"""),42657.66666666667)</f>
        <v>42657.66667</v>
      </c>
      <c r="B930" s="22">
        <f>IFERROR(__xludf.DUMMYFUNCTION("""COMPUTED_VALUE"""),2132.98)</f>
        <v>2132.98</v>
      </c>
      <c r="C930" s="22">
        <f t="shared" si="10"/>
        <v>3043.846822</v>
      </c>
      <c r="D930" s="25">
        <f>IFERROR(__xludf.DUMMYFUNCTION("""COMPUTED_VALUE"""),42637.99861111111)</f>
        <v>42637.99861</v>
      </c>
      <c r="E930" s="22">
        <f>IFERROR(__xludf.DUMMYFUNCTION("""COMPUTED_VALUE"""),1.1221)</f>
        <v>1.1221</v>
      </c>
      <c r="F930" s="22">
        <f t="shared" si="11"/>
        <v>257.7156932</v>
      </c>
      <c r="G930" s="22">
        <f t="shared" si="79"/>
        <v>56.46321833</v>
      </c>
      <c r="H930" s="22">
        <f t="shared" si="80"/>
        <v>148.5617056</v>
      </c>
    </row>
    <row r="931" ht="15.75" customHeight="1">
      <c r="A931" s="32">
        <f>IFERROR(__xludf.DUMMYFUNCTION("""COMPUTED_VALUE"""),42664.66666666667)</f>
        <v>42664.66667</v>
      </c>
      <c r="B931" s="22">
        <f>IFERROR(__xludf.DUMMYFUNCTION("""COMPUTED_VALUE"""),2141.16)</f>
        <v>2141.16</v>
      </c>
      <c r="C931" s="22">
        <f t="shared" si="10"/>
        <v>3056.690716</v>
      </c>
      <c r="D931" s="25">
        <f>IFERROR(__xludf.DUMMYFUNCTION("""COMPUTED_VALUE"""),42644.99861111111)</f>
        <v>42644.99861</v>
      </c>
      <c r="E931" s="22">
        <f>IFERROR(__xludf.DUMMYFUNCTION("""COMPUTED_VALUE"""),1.1232)</f>
        <v>1.1232</v>
      </c>
      <c r="F931" s="22">
        <f t="shared" si="11"/>
        <v>258.5496994</v>
      </c>
      <c r="G931" s="22">
        <f t="shared" si="79"/>
        <v>55.92773628</v>
      </c>
      <c r="H931" s="22">
        <f t="shared" si="80"/>
        <v>144.0130435</v>
      </c>
    </row>
    <row r="932" ht="15.75" customHeight="1">
      <c r="A932" s="32">
        <f>IFERROR(__xludf.DUMMYFUNCTION("""COMPUTED_VALUE"""),42671.66666666667)</f>
        <v>42671.66667</v>
      </c>
      <c r="B932" s="22">
        <f>IFERROR(__xludf.DUMMYFUNCTION("""COMPUTED_VALUE"""),2126.41)</f>
        <v>2126.41</v>
      </c>
      <c r="C932" s="22">
        <f t="shared" si="10"/>
        <v>3036.809468</v>
      </c>
      <c r="D932" s="25">
        <f>IFERROR(__xludf.DUMMYFUNCTION("""COMPUTED_VALUE"""),42650.99861111111)</f>
        <v>42650.99861</v>
      </c>
      <c r="E932" s="22">
        <f>IFERROR(__xludf.DUMMYFUNCTION("""COMPUTED_VALUE"""),1.11996)</f>
        <v>1.11996</v>
      </c>
      <c r="F932" s="22">
        <f t="shared" si="11"/>
        <v>257.6111563</v>
      </c>
      <c r="G932" s="22">
        <f t="shared" si="79"/>
        <v>54.95409776</v>
      </c>
      <c r="H932" s="22">
        <f t="shared" si="80"/>
        <v>137.4070336</v>
      </c>
    </row>
    <row r="933" ht="15.75" customHeight="1">
      <c r="A933" s="32">
        <f>IFERROR(__xludf.DUMMYFUNCTION("""COMPUTED_VALUE"""),42678.66666666667)</f>
        <v>42678.66667</v>
      </c>
      <c r="B933" s="22">
        <f>IFERROR(__xludf.DUMMYFUNCTION("""COMPUTED_VALUE"""),2085.18)</f>
        <v>2085.18</v>
      </c>
      <c r="C933" s="22">
        <f t="shared" si="10"/>
        <v>2979.095293</v>
      </c>
      <c r="D933" s="25">
        <f>IFERROR(__xludf.DUMMYFUNCTION("""COMPUTED_VALUE"""),42658.99861111111)</f>
        <v>42658.99861</v>
      </c>
      <c r="E933" s="22">
        <f>IFERROR(__xludf.DUMMYFUNCTION("""COMPUTED_VALUE"""),1.0969)</f>
        <v>1.0969</v>
      </c>
      <c r="F933" s="22">
        <f t="shared" si="11"/>
        <v>258.0280931</v>
      </c>
      <c r="G933" s="22">
        <f t="shared" si="79"/>
        <v>55.96686092</v>
      </c>
      <c r="H933" s="22">
        <f t="shared" si="80"/>
        <v>135.3141783</v>
      </c>
    </row>
    <row r="934" ht="15.75" customHeight="1">
      <c r="A934" s="32">
        <f>IFERROR(__xludf.DUMMYFUNCTION("""COMPUTED_VALUE"""),42685.66666666667)</f>
        <v>42685.66667</v>
      </c>
      <c r="B934" s="22">
        <f>IFERROR(__xludf.DUMMYFUNCTION("""COMPUTED_VALUE"""),2164.45)</f>
        <v>2164.45</v>
      </c>
      <c r="C934" s="22">
        <f t="shared" si="10"/>
        <v>3093.494096</v>
      </c>
      <c r="D934" s="25">
        <f>IFERROR(__xludf.DUMMYFUNCTION("""COMPUTED_VALUE"""),42665.99861111111)</f>
        <v>42665.99861</v>
      </c>
      <c r="E934" s="22">
        <f>IFERROR(__xludf.DUMMYFUNCTION("""COMPUTED_VALUE"""),1.0884)</f>
        <v>1.0884</v>
      </c>
      <c r="F934" s="22">
        <f t="shared" si="11"/>
        <v>270.0289902</v>
      </c>
      <c r="G934" s="22">
        <f t="shared" si="79"/>
        <v>62.0900667</v>
      </c>
      <c r="H934" s="22">
        <f t="shared" si="80"/>
        <v>141.864773</v>
      </c>
    </row>
    <row r="935" ht="15.75" customHeight="1">
      <c r="A935" s="32">
        <f>IFERROR(__xludf.DUMMYFUNCTION("""COMPUTED_VALUE"""),42692.66666666667)</f>
        <v>42692.66667</v>
      </c>
      <c r="B935" s="22">
        <f>IFERROR(__xludf.DUMMYFUNCTION("""COMPUTED_VALUE"""),2181.9)</f>
        <v>2181.9</v>
      </c>
      <c r="C935" s="22">
        <f t="shared" si="10"/>
        <v>3119.623942</v>
      </c>
      <c r="D935" s="25">
        <f>IFERROR(__xludf.DUMMYFUNCTION("""COMPUTED_VALUE"""),42672.99861111111)</f>
        <v>42672.99861</v>
      </c>
      <c r="E935" s="22">
        <f>IFERROR(__xludf.DUMMYFUNCTION("""COMPUTED_VALUE"""),1.0986)</f>
        <v>1.0986</v>
      </c>
      <c r="F935" s="22">
        <f t="shared" si="11"/>
        <v>269.7815739</v>
      </c>
      <c r="G935" s="22">
        <f t="shared" si="79"/>
        <v>57.58541154</v>
      </c>
      <c r="H935" s="22">
        <f t="shared" si="80"/>
        <v>140.6999682</v>
      </c>
    </row>
    <row r="936" ht="15.75" customHeight="1">
      <c r="A936" s="32">
        <f>IFERROR(__xludf.DUMMYFUNCTION("""COMPUTED_VALUE"""),42699.66666666667)</f>
        <v>42699.66667</v>
      </c>
      <c r="B936" s="22">
        <f>IFERROR(__xludf.DUMMYFUNCTION("""COMPUTED_VALUE"""),2213.35)</f>
        <v>2213.35</v>
      </c>
      <c r="C936" s="22">
        <f t="shared" si="10"/>
        <v>3165.790191</v>
      </c>
      <c r="D936" s="25">
        <f>IFERROR(__xludf.DUMMYFUNCTION("""COMPUTED_VALUE"""),42679.99861111111)</f>
        <v>42679.99861</v>
      </c>
      <c r="E936" s="22">
        <f>IFERROR(__xludf.DUMMYFUNCTION("""COMPUTED_VALUE"""),1.1137)</f>
        <v>1.1137</v>
      </c>
      <c r="F936" s="22">
        <f t="shared" si="11"/>
        <v>270.0620397</v>
      </c>
      <c r="G936" s="22">
        <f t="shared" si="79"/>
        <v>56.20640771</v>
      </c>
      <c r="H936" s="22">
        <f t="shared" si="80"/>
        <v>139.3904283</v>
      </c>
    </row>
    <row r="937" ht="15.75" customHeight="1">
      <c r="A937" s="32">
        <f>IFERROR(__xludf.DUMMYFUNCTION("""COMPUTED_VALUE"""),42706.66666666667)</f>
        <v>42706.66667</v>
      </c>
      <c r="B937" s="22">
        <f>IFERROR(__xludf.DUMMYFUNCTION("""COMPUTED_VALUE"""),2191.95)</f>
        <v>2191.95</v>
      </c>
      <c r="C937" s="22">
        <f t="shared" si="10"/>
        <v>3136.399037</v>
      </c>
      <c r="D937" s="25">
        <f>IFERROR(__xludf.DUMMYFUNCTION("""COMPUTED_VALUE"""),42685.99861111111)</f>
        <v>42685.99861</v>
      </c>
      <c r="E937" s="22">
        <f>IFERROR(__xludf.DUMMYFUNCTION("""COMPUTED_VALUE"""),1.08563)</f>
        <v>1.08563</v>
      </c>
      <c r="F937" s="22">
        <f t="shared" si="11"/>
        <v>274.4726718</v>
      </c>
      <c r="G937" s="22">
        <f t="shared" si="79"/>
        <v>60.26806225</v>
      </c>
      <c r="H937" s="22">
        <f t="shared" si="80"/>
        <v>148.074408</v>
      </c>
    </row>
    <row r="938" ht="15.75" customHeight="1">
      <c r="A938" s="32">
        <f>IFERROR(__xludf.DUMMYFUNCTION("""COMPUTED_VALUE"""),42713.66666666667)</f>
        <v>42713.66667</v>
      </c>
      <c r="B938" s="22">
        <f>IFERROR(__xludf.DUMMYFUNCTION("""COMPUTED_VALUE"""),2259.53)</f>
        <v>2259.53</v>
      </c>
      <c r="C938" s="22">
        <f t="shared" si="10"/>
        <v>3234.303648</v>
      </c>
      <c r="D938" s="25">
        <f>IFERROR(__xludf.DUMMYFUNCTION("""COMPUTED_VALUE"""),42692.99861111111)</f>
        <v>42692.99861</v>
      </c>
      <c r="E938" s="22">
        <f>IFERROR(__xludf.DUMMYFUNCTION("""COMPUTED_VALUE"""),1.05876)</f>
        <v>1.05876</v>
      </c>
      <c r="F938" s="22">
        <f t="shared" si="11"/>
        <v>290.2237166</v>
      </c>
      <c r="G938" s="22">
        <f t="shared" si="79"/>
        <v>73.01822699</v>
      </c>
      <c r="H938" s="22">
        <f t="shared" si="80"/>
        <v>169.4620895</v>
      </c>
    </row>
    <row r="939" ht="15.75" customHeight="1">
      <c r="A939" s="32">
        <f>IFERROR(__xludf.DUMMYFUNCTION("""COMPUTED_VALUE"""),42720.66666666667)</f>
        <v>42720.66667</v>
      </c>
      <c r="B939" s="22">
        <f>IFERROR(__xludf.DUMMYFUNCTION("""COMPUTED_VALUE"""),2258.07)</f>
        <v>2258.07</v>
      </c>
      <c r="C939" s="22">
        <f t="shared" si="10"/>
        <v>3233.457759</v>
      </c>
      <c r="D939" s="25">
        <f>IFERROR(__xludf.DUMMYFUNCTION("""COMPUTED_VALUE"""),42700.99861111111)</f>
        <v>42700.99861</v>
      </c>
      <c r="E939" s="22">
        <f>IFERROR(__xludf.DUMMYFUNCTION("""COMPUTED_VALUE"""),1.05915)</f>
        <v>1.05915</v>
      </c>
      <c r="F939" s="22">
        <f t="shared" si="11"/>
        <v>290.0409743</v>
      </c>
      <c r="G939" s="22">
        <f t="shared" si="79"/>
        <v>69.20600854</v>
      </c>
      <c r="H939" s="22">
        <f t="shared" si="80"/>
        <v>153.7642089</v>
      </c>
    </row>
    <row r="940" ht="15.75" customHeight="1">
      <c r="A940" s="32">
        <f>IFERROR(__xludf.DUMMYFUNCTION("""COMPUTED_VALUE"""),42727.66666666667)</f>
        <v>42727.66667</v>
      </c>
      <c r="B940" s="22">
        <f>IFERROR(__xludf.DUMMYFUNCTION("""COMPUTED_VALUE"""),2263.79)</f>
        <v>2263.79</v>
      </c>
      <c r="C940" s="22">
        <f t="shared" si="10"/>
        <v>3242.892187</v>
      </c>
      <c r="D940" s="25">
        <f>IFERROR(__xludf.DUMMYFUNCTION("""COMPUTED_VALUE"""),42707.99861111111)</f>
        <v>42707.99861</v>
      </c>
      <c r="E940" s="22">
        <f>IFERROR(__xludf.DUMMYFUNCTION("""COMPUTED_VALUE"""),1.06625)</f>
        <v>1.06625</v>
      </c>
      <c r="F940" s="22">
        <f t="shared" si="11"/>
        <v>288.9502671</v>
      </c>
      <c r="G940" s="22">
        <f t="shared" si="79"/>
        <v>67.75160944</v>
      </c>
      <c r="H940" s="22">
        <f t="shared" si="80"/>
        <v>149.7843788</v>
      </c>
    </row>
    <row r="941" ht="15.75" customHeight="1">
      <c r="A941" s="32">
        <f>IFERROR(__xludf.DUMMYFUNCTION("""COMPUTED_VALUE"""),42734.66666666667)</f>
        <v>42734.66667</v>
      </c>
      <c r="B941" s="22">
        <f>IFERROR(__xludf.DUMMYFUNCTION("""COMPUTED_VALUE"""),2238.83)</f>
        <v>2238.83</v>
      </c>
      <c r="C941" s="22">
        <f t="shared" si="10"/>
        <v>3208.38411</v>
      </c>
      <c r="D941" s="25">
        <f>IFERROR(__xludf.DUMMYFUNCTION("""COMPUTED_VALUE"""),42714.99861111111)</f>
        <v>42714.99861</v>
      </c>
      <c r="E941" s="22">
        <f>IFERROR(__xludf.DUMMYFUNCTION("""COMPUTED_VALUE"""),1.0559)</f>
        <v>1.0559</v>
      </c>
      <c r="F941" s="22">
        <f t="shared" si="11"/>
        <v>288.6776764</v>
      </c>
      <c r="G941" s="22">
        <f t="shared" si="79"/>
        <v>68.91320506</v>
      </c>
      <c r="H941" s="22">
        <f t="shared" si="80"/>
        <v>150.5509327</v>
      </c>
    </row>
    <row r="942" ht="15.75" customHeight="1">
      <c r="A942" s="32">
        <f>IFERROR(__xludf.DUMMYFUNCTION("""COMPUTED_VALUE"""),42741.66666666667)</f>
        <v>42741.66667</v>
      </c>
      <c r="B942" s="22">
        <f>IFERROR(__xludf.DUMMYFUNCTION("""COMPUTED_VALUE"""),2276.98)</f>
        <v>2276.98</v>
      </c>
      <c r="C942" s="22">
        <f t="shared" si="10"/>
        <v>3264.289452</v>
      </c>
      <c r="D942" s="25">
        <f>IFERROR(__xludf.DUMMYFUNCTION("""COMPUTED_VALUE"""),42721.99861111111)</f>
        <v>42721.99861</v>
      </c>
      <c r="E942" s="22">
        <f>IFERROR(__xludf.DUMMYFUNCTION("""COMPUTED_VALUE"""),1.0452)</f>
        <v>1.0452</v>
      </c>
      <c r="F942" s="22">
        <f t="shared" si="11"/>
        <v>296.714585</v>
      </c>
      <c r="G942" s="22">
        <f t="shared" si="79"/>
        <v>71.6344549</v>
      </c>
      <c r="H942" s="22">
        <f t="shared" si="80"/>
        <v>148.0442769</v>
      </c>
    </row>
    <row r="943" ht="15.75" customHeight="1">
      <c r="A943" s="32">
        <f>IFERROR(__xludf.DUMMYFUNCTION("""COMPUTED_VALUE"""),42748.66666666667)</f>
        <v>42748.66667</v>
      </c>
      <c r="B943" s="22">
        <f>IFERROR(__xludf.DUMMYFUNCTION("""COMPUTED_VALUE"""),2274.64)</f>
        <v>2274.64</v>
      </c>
      <c r="C943" s="22">
        <f t="shared" si="10"/>
        <v>3262.190313</v>
      </c>
      <c r="D943" s="25">
        <f>IFERROR(__xludf.DUMMYFUNCTION("""COMPUTED_VALUE"""),42728.99861111111)</f>
        <v>42728.99861</v>
      </c>
      <c r="E943" s="22">
        <f>IFERROR(__xludf.DUMMYFUNCTION("""COMPUTED_VALUE"""),1.0456)</f>
        <v>1.0456</v>
      </c>
      <c r="F943" s="22">
        <f t="shared" si="11"/>
        <v>296.4103425</v>
      </c>
      <c r="G943" s="22">
        <f t="shared" si="79"/>
        <v>72.61384617</v>
      </c>
      <c r="H943" s="22">
        <f t="shared" si="80"/>
        <v>147.6492908</v>
      </c>
    </row>
    <row r="944" ht="15.75" customHeight="1">
      <c r="A944" s="32">
        <f>IFERROR(__xludf.DUMMYFUNCTION("""COMPUTED_VALUE"""),42755.66666666667)</f>
        <v>42755.66667</v>
      </c>
      <c r="B944" s="22">
        <f>IFERROR(__xludf.DUMMYFUNCTION("""COMPUTED_VALUE"""),2271.31)</f>
        <v>2271.31</v>
      </c>
      <c r="C944" s="22">
        <f t="shared" si="10"/>
        <v>3258.669259</v>
      </c>
      <c r="D944" s="25">
        <f>IFERROR(__xludf.DUMMYFUNCTION("""COMPUTED_VALUE"""),42735.99861111111)</f>
        <v>42735.99861</v>
      </c>
      <c r="E944" s="22">
        <f>IFERROR(__xludf.DUMMYFUNCTION("""COMPUTED_VALUE"""),1.0517)</f>
        <v>1.0517</v>
      </c>
      <c r="F944" s="22">
        <f t="shared" si="11"/>
        <v>294.3730474</v>
      </c>
      <c r="G944" s="22">
        <f t="shared" si="79"/>
        <v>74.02094675</v>
      </c>
      <c r="H944" s="22">
        <f t="shared" si="80"/>
        <v>137.5771097</v>
      </c>
    </row>
    <row r="945" ht="15.75" customHeight="1">
      <c r="A945" s="32">
        <f>IFERROR(__xludf.DUMMYFUNCTION("""COMPUTED_VALUE"""),42762.66666666667)</f>
        <v>42762.66667</v>
      </c>
      <c r="B945" s="22">
        <f>IFERROR(__xludf.DUMMYFUNCTION("""COMPUTED_VALUE"""),2294.69)</f>
        <v>2294.69</v>
      </c>
      <c r="C945" s="22">
        <f t="shared" si="10"/>
        <v>3293.466094</v>
      </c>
      <c r="D945" s="25">
        <f>IFERROR(__xludf.DUMMYFUNCTION("""COMPUTED_VALUE"""),42742.99861111111)</f>
        <v>42742.99861</v>
      </c>
      <c r="E945" s="22">
        <f>IFERROR(__xludf.DUMMYFUNCTION("""COMPUTED_VALUE"""),1.053)</f>
        <v>1.053</v>
      </c>
      <c r="F945" s="22">
        <f t="shared" si="11"/>
        <v>297.1491276</v>
      </c>
      <c r="G945" s="22">
        <f t="shared" si="79"/>
        <v>77.43000978</v>
      </c>
      <c r="H945" s="22">
        <f t="shared" si="80"/>
        <v>136.8439921</v>
      </c>
    </row>
    <row r="946" ht="15.75" customHeight="1">
      <c r="A946" s="32">
        <f>IFERROR(__xludf.DUMMYFUNCTION("""COMPUTED_VALUE"""),42769.66666666667)</f>
        <v>42769.66667</v>
      </c>
      <c r="B946" s="22">
        <f>IFERROR(__xludf.DUMMYFUNCTION("""COMPUTED_VALUE"""),2297.42)</f>
        <v>2297.42</v>
      </c>
      <c r="C946" s="22">
        <f t="shared" si="10"/>
        <v>3298.651058</v>
      </c>
      <c r="D946" s="25">
        <f>IFERROR(__xludf.DUMMYFUNCTION("""COMPUTED_VALUE"""),42749.99861111111)</f>
        <v>42749.99861</v>
      </c>
      <c r="E946" s="22">
        <f>IFERROR(__xludf.DUMMYFUNCTION("""COMPUTED_VALUE"""),1.0643)</f>
        <v>1.0643</v>
      </c>
      <c r="F946" s="22">
        <f t="shared" si="11"/>
        <v>294.4570446</v>
      </c>
      <c r="G946" s="22">
        <f t="shared" si="79"/>
        <v>72.68618985</v>
      </c>
      <c r="H946" s="22">
        <f t="shared" si="80"/>
        <v>134.7440263</v>
      </c>
    </row>
    <row r="947" ht="15.75" customHeight="1">
      <c r="A947" s="32">
        <f>IFERROR(__xludf.DUMMYFUNCTION("""COMPUTED_VALUE"""),42776.66666666667)</f>
        <v>42776.66667</v>
      </c>
      <c r="B947" s="22">
        <f>IFERROR(__xludf.DUMMYFUNCTION("""COMPUTED_VALUE"""),2316.1)</f>
        <v>2316.1</v>
      </c>
      <c r="C947" s="22">
        <f t="shared" si="10"/>
        <v>3326.74064</v>
      </c>
      <c r="D947" s="25">
        <f>IFERROR(__xludf.DUMMYFUNCTION("""COMPUTED_VALUE"""),42756.99861111111)</f>
        <v>42756.99861</v>
      </c>
      <c r="E947" s="22">
        <f>IFERROR(__xludf.DUMMYFUNCTION("""COMPUTED_VALUE"""),1.0701)</f>
        <v>1.0701</v>
      </c>
      <c r="F947" s="22">
        <f t="shared" si="11"/>
        <v>295.3549226</v>
      </c>
      <c r="G947" s="22">
        <f t="shared" si="79"/>
        <v>70.91645871</v>
      </c>
      <c r="H947" s="22">
        <f t="shared" si="80"/>
        <v>139.6342422</v>
      </c>
    </row>
    <row r="948" ht="15.75" customHeight="1">
      <c r="A948" s="32">
        <f>IFERROR(__xludf.DUMMYFUNCTION("""COMPUTED_VALUE"""),42783.66666666667)</f>
        <v>42783.66667</v>
      </c>
      <c r="B948" s="22">
        <f>IFERROR(__xludf.DUMMYFUNCTION("""COMPUTED_VALUE"""),2351.16)</f>
        <v>2351.16</v>
      </c>
      <c r="C948" s="22">
        <f t="shared" si="10"/>
        <v>3378.378744</v>
      </c>
      <c r="D948" s="25">
        <f>IFERROR(__xludf.DUMMYFUNCTION("""COMPUTED_VALUE"""),42763.99861111111)</f>
        <v>42763.99861</v>
      </c>
      <c r="E948" s="22">
        <f>IFERROR(__xludf.DUMMYFUNCTION("""COMPUTED_VALUE"""),1.0697)</f>
        <v>1.0697</v>
      </c>
      <c r="F948" s="22">
        <f t="shared" si="11"/>
        <v>300.0516188</v>
      </c>
      <c r="G948" s="22">
        <f t="shared" si="79"/>
        <v>71.40322204</v>
      </c>
      <c r="H948" s="22">
        <f t="shared" si="80"/>
        <v>137.5137145</v>
      </c>
    </row>
    <row r="949" ht="15.75" customHeight="1">
      <c r="A949" s="32">
        <f>IFERROR(__xludf.DUMMYFUNCTION("""COMPUTED_VALUE"""),42790.66666666667)</f>
        <v>42790.66667</v>
      </c>
      <c r="B949" s="22">
        <f>IFERROR(__xludf.DUMMYFUNCTION("""COMPUTED_VALUE"""),2367.34)</f>
        <v>2367.34</v>
      </c>
      <c r="C949" s="22">
        <f t="shared" si="10"/>
        <v>3402.927141</v>
      </c>
      <c r="D949" s="25">
        <f>IFERROR(__xludf.DUMMYFUNCTION("""COMPUTED_VALUE"""),42770.99861111111)</f>
        <v>42770.99861</v>
      </c>
      <c r="E949" s="22">
        <f>IFERROR(__xludf.DUMMYFUNCTION("""COMPUTED_VALUE"""),1.0787)</f>
        <v>1.0787</v>
      </c>
      <c r="F949" s="22">
        <f t="shared" si="11"/>
        <v>299.7102569</v>
      </c>
      <c r="G949" s="22">
        <f t="shared" si="79"/>
        <v>70.84997854</v>
      </c>
      <c r="H949" s="22">
        <f t="shared" si="80"/>
        <v>138.3098672</v>
      </c>
    </row>
    <row r="950" ht="15.75" customHeight="1">
      <c r="A950" s="32">
        <f>IFERROR(__xludf.DUMMYFUNCTION("""COMPUTED_VALUE"""),42797.66666666667)</f>
        <v>42797.66667</v>
      </c>
      <c r="B950" s="22">
        <f>IFERROR(__xludf.DUMMYFUNCTION("""COMPUTED_VALUE"""),2383.12)</f>
        <v>2383.12</v>
      </c>
      <c r="C950" s="22">
        <f t="shared" si="10"/>
        <v>3426.918882</v>
      </c>
      <c r="D950" s="25">
        <f>IFERROR(__xludf.DUMMYFUNCTION("""COMPUTED_VALUE"""),42777.99861111111)</f>
        <v>42777.99861</v>
      </c>
      <c r="E950" s="22">
        <f>IFERROR(__xludf.DUMMYFUNCTION("""COMPUTED_VALUE"""),1.0638)</f>
        <v>1.0638</v>
      </c>
      <c r="F950" s="22">
        <f t="shared" si="11"/>
        <v>306.0507672</v>
      </c>
      <c r="G950" s="22">
        <f t="shared" si="79"/>
        <v>73.39357117</v>
      </c>
      <c r="H950" s="22">
        <f t="shared" si="80"/>
        <v>138.9550745</v>
      </c>
    </row>
    <row r="951" ht="15.75" customHeight="1">
      <c r="A951" s="32">
        <f>IFERROR(__xludf.DUMMYFUNCTION("""COMPUTED_VALUE"""),42804.66666666667)</f>
        <v>42804.66667</v>
      </c>
      <c r="B951" s="22">
        <f>IFERROR(__xludf.DUMMYFUNCTION("""COMPUTED_VALUE"""),2372.6)</f>
        <v>2372.6</v>
      </c>
      <c r="C951" s="22">
        <f t="shared" si="10"/>
        <v>3413.109202</v>
      </c>
      <c r="D951" s="25">
        <f>IFERROR(__xludf.DUMMYFUNCTION("""COMPUTED_VALUE"""),42784.99861111111)</f>
        <v>42784.99861</v>
      </c>
      <c r="E951" s="22">
        <f>IFERROR(__xludf.DUMMYFUNCTION("""COMPUTED_VALUE"""),1.0614)</f>
        <v>1.0614</v>
      </c>
      <c r="F951" s="22">
        <f t="shared" si="11"/>
        <v>305.5066967</v>
      </c>
      <c r="G951" s="22">
        <f t="shared" si="79"/>
        <v>77.10476175</v>
      </c>
      <c r="H951" s="22">
        <f t="shared" si="80"/>
        <v>143.185423</v>
      </c>
    </row>
    <row r="952" ht="15.75" customHeight="1">
      <c r="A952" s="32">
        <f>IFERROR(__xludf.DUMMYFUNCTION("""COMPUTED_VALUE"""),42811.66666666667)</f>
        <v>42811.66667</v>
      </c>
      <c r="B952" s="22">
        <f>IFERROR(__xludf.DUMMYFUNCTION("""COMPUTED_VALUE"""),2378.25)</f>
        <v>2378.25</v>
      </c>
      <c r="C952" s="22">
        <f t="shared" si="10"/>
        <v>3422.549757</v>
      </c>
      <c r="D952" s="25">
        <f>IFERROR(__xludf.DUMMYFUNCTION("""COMPUTED_VALUE"""),42791.99861111111)</f>
        <v>42791.99861</v>
      </c>
      <c r="E952" s="22">
        <f>IFERROR(__xludf.DUMMYFUNCTION("""COMPUTED_VALUE"""),1.0561)</f>
        <v>1.0561</v>
      </c>
      <c r="F952" s="22">
        <f t="shared" si="11"/>
        <v>307.8891339</v>
      </c>
      <c r="G952" s="22">
        <f t="shared" si="79"/>
        <v>76.78394203</v>
      </c>
      <c r="H952" s="22">
        <f t="shared" si="80"/>
        <v>139.8230003</v>
      </c>
    </row>
    <row r="953" ht="15.75" customHeight="1">
      <c r="A953" s="32">
        <f>IFERROR(__xludf.DUMMYFUNCTION("""COMPUTED_VALUE"""),42818.66666666667)</f>
        <v>42818.66667</v>
      </c>
      <c r="B953" s="22">
        <f>IFERROR(__xludf.DUMMYFUNCTION("""COMPUTED_VALUE"""),2343.98)</f>
        <v>2343.98</v>
      </c>
      <c r="C953" s="22">
        <f t="shared" si="10"/>
        <v>3374.548018</v>
      </c>
      <c r="D953" s="25">
        <f>IFERROR(__xludf.DUMMYFUNCTION("""COMPUTED_VALUE"""),42798.99861111111)</f>
        <v>42798.99861</v>
      </c>
      <c r="E953" s="22">
        <f>IFERROR(__xludf.DUMMYFUNCTION("""COMPUTED_VALUE"""),1.0622)</f>
        <v>1.0622</v>
      </c>
      <c r="F953" s="22">
        <f t="shared" si="11"/>
        <v>301.8275992</v>
      </c>
      <c r="G953" s="22">
        <f t="shared" si="79"/>
        <v>75.0517854</v>
      </c>
      <c r="H953" s="22">
        <f t="shared" si="80"/>
        <v>133.3757131</v>
      </c>
    </row>
    <row r="954" ht="15.75" customHeight="1">
      <c r="A954" s="32">
        <f>IFERROR(__xludf.DUMMYFUNCTION("""COMPUTED_VALUE"""),42825.66666666667)</f>
        <v>42825.66667</v>
      </c>
      <c r="B954" s="22">
        <f>IFERROR(__xludf.DUMMYFUNCTION("""COMPUTED_VALUE"""),2362.72)</f>
        <v>2362.72</v>
      </c>
      <c r="C954" s="22">
        <f t="shared" si="10"/>
        <v>3402.82526</v>
      </c>
      <c r="D954" s="25">
        <f>IFERROR(__xludf.DUMMYFUNCTION("""COMPUTED_VALUE"""),42804.99861111111)</f>
        <v>42804.99861</v>
      </c>
      <c r="E954" s="22">
        <f>IFERROR(__xludf.DUMMYFUNCTION("""COMPUTED_VALUE"""),1.06731)</f>
        <v>1.06731</v>
      </c>
      <c r="F954" s="22">
        <f t="shared" si="11"/>
        <v>302.8996026</v>
      </c>
      <c r="G954" s="22">
        <f t="shared" si="79"/>
        <v>75.34398455</v>
      </c>
      <c r="H954" s="22">
        <f t="shared" si="80"/>
        <v>129.4878376</v>
      </c>
    </row>
    <row r="955" ht="15.75" customHeight="1">
      <c r="A955" s="32">
        <f>IFERROR(__xludf.DUMMYFUNCTION("""COMPUTED_VALUE"""),42832.66666666667)</f>
        <v>42832.66667</v>
      </c>
      <c r="B955" s="22">
        <f>IFERROR(__xludf.DUMMYFUNCTION("""COMPUTED_VALUE"""),2355.54)</f>
        <v>2355.54</v>
      </c>
      <c r="C955" s="22">
        <f t="shared" si="10"/>
        <v>3393.793294</v>
      </c>
      <c r="D955" s="25">
        <f>IFERROR(__xludf.DUMMYFUNCTION("""COMPUTED_VALUE"""),42812.99861111111)</f>
        <v>42812.99861</v>
      </c>
      <c r="E955" s="22">
        <f>IFERROR(__xludf.DUMMYFUNCTION("""COMPUTED_VALUE"""),1.0743)</f>
        <v>1.0743</v>
      </c>
      <c r="F955" s="22">
        <f t="shared" si="11"/>
        <v>300.1300257</v>
      </c>
      <c r="G955" s="22">
        <f t="shared" si="79"/>
        <v>76.89714482</v>
      </c>
      <c r="H955" s="22">
        <f t="shared" si="80"/>
        <v>130.0629725</v>
      </c>
    </row>
    <row r="956" ht="15.75" customHeight="1">
      <c r="A956" s="32">
        <f>IFERROR(__xludf.DUMMYFUNCTION("""COMPUTED_VALUE"""),42838.66666666667)</f>
        <v>42838.66667</v>
      </c>
      <c r="B956" s="22">
        <f>IFERROR(__xludf.DUMMYFUNCTION("""COMPUTED_VALUE"""),2328.95)</f>
        <v>2328.95</v>
      </c>
      <c r="C956" s="22">
        <f t="shared" si="10"/>
        <v>3356.788503</v>
      </c>
      <c r="D956" s="25">
        <f>IFERROR(__xludf.DUMMYFUNCTION("""COMPUTED_VALUE"""),42819.99861111111)</f>
        <v>42819.99861</v>
      </c>
      <c r="E956" s="22">
        <f>IFERROR(__xludf.DUMMYFUNCTION("""COMPUTED_VALUE"""),1.0804)</f>
        <v>1.0804</v>
      </c>
      <c r="F956" s="22">
        <f t="shared" si="11"/>
        <v>295.1814335</v>
      </c>
      <c r="G956" s="22">
        <f t="shared" si="79"/>
        <v>68.77837804</v>
      </c>
      <c r="H956" s="22">
        <f t="shared" si="80"/>
        <v>125.5935933</v>
      </c>
    </row>
    <row r="957" ht="15.75" customHeight="1">
      <c r="A957" s="32">
        <f>IFERROR(__xludf.DUMMYFUNCTION("""COMPUTED_VALUE"""),42846.66666666667)</f>
        <v>42846.66667</v>
      </c>
      <c r="B957" s="22">
        <f>IFERROR(__xludf.DUMMYFUNCTION("""COMPUTED_VALUE"""),2348.69)</f>
        <v>2348.69</v>
      </c>
      <c r="C957" s="22">
        <f t="shared" si="10"/>
        <v>3386.531455</v>
      </c>
      <c r="D957" s="25">
        <f>IFERROR(__xludf.DUMMYFUNCTION("""COMPUTED_VALUE"""),42826.99861111111)</f>
        <v>42826.99861</v>
      </c>
      <c r="E957" s="22">
        <f>IFERROR(__xludf.DUMMYFUNCTION("""COMPUTED_VALUE"""),1.06536)</f>
        <v>1.06536</v>
      </c>
      <c r="F957" s="22">
        <f t="shared" si="11"/>
        <v>302.0009861</v>
      </c>
      <c r="G957" s="22">
        <f t="shared" si="79"/>
        <v>72.1551378</v>
      </c>
      <c r="H957" s="22">
        <f t="shared" si="80"/>
        <v>128.144459</v>
      </c>
    </row>
    <row r="958" ht="15.75" customHeight="1">
      <c r="A958" s="32">
        <f>IFERROR(__xludf.DUMMYFUNCTION("""COMPUTED_VALUE"""),42853.66666666667)</f>
        <v>42853.66667</v>
      </c>
      <c r="B958" s="22">
        <f>IFERROR(__xludf.DUMMYFUNCTION("""COMPUTED_VALUE"""),2384.2)</f>
        <v>2384.2</v>
      </c>
      <c r="C958" s="22">
        <f t="shared" si="10"/>
        <v>3439.035161</v>
      </c>
      <c r="D958" s="25">
        <f>IFERROR(__xludf.DUMMYFUNCTION("""COMPUTED_VALUE"""),42833.99861111111)</f>
        <v>42833.99861</v>
      </c>
      <c r="E958" s="22">
        <f>IFERROR(__xludf.DUMMYFUNCTION("""COMPUTED_VALUE"""),1.059)</f>
        <v>1.059</v>
      </c>
      <c r="F958" s="22">
        <f t="shared" si="11"/>
        <v>308.5249495</v>
      </c>
      <c r="G958" s="22">
        <f t="shared" si="79"/>
        <v>76.42374051</v>
      </c>
      <c r="H958" s="22">
        <f t="shared" si="80"/>
        <v>137.4756647</v>
      </c>
    </row>
    <row r="959" ht="15.75" customHeight="1">
      <c r="A959" s="32">
        <f>IFERROR(__xludf.DUMMYFUNCTION("""COMPUTED_VALUE"""),42860.66666666667)</f>
        <v>42860.66667</v>
      </c>
      <c r="B959" s="22">
        <f>IFERROR(__xludf.DUMMYFUNCTION("""COMPUTED_VALUE"""),2399.29)</f>
        <v>2399.29</v>
      </c>
      <c r="C959" s="22">
        <f t="shared" si="10"/>
        <v>3462.124094</v>
      </c>
      <c r="D959" s="25">
        <f>IFERROR(__xludf.DUMMYFUNCTION("""COMPUTED_VALUE"""),42840.99861111111)</f>
        <v>42840.99861</v>
      </c>
      <c r="E959" s="22">
        <f>IFERROR(__xludf.DUMMYFUNCTION("""COMPUTED_VALUE"""),1.0612)</f>
        <v>1.0612</v>
      </c>
      <c r="F959" s="22">
        <f t="shared" si="11"/>
        <v>309.952414</v>
      </c>
      <c r="G959" s="22">
        <f t="shared" si="79"/>
        <v>76.52812467</v>
      </c>
      <c r="H959" s="22">
        <f t="shared" si="80"/>
        <v>139.4808676</v>
      </c>
    </row>
    <row r="960" ht="15.75" customHeight="1">
      <c r="A960" s="32">
        <f>IFERROR(__xludf.DUMMYFUNCTION("""COMPUTED_VALUE"""),42867.66666666667)</f>
        <v>42867.66667</v>
      </c>
      <c r="B960" s="22">
        <f>IFERROR(__xludf.DUMMYFUNCTION("""COMPUTED_VALUE"""),2390.9)</f>
        <v>2390.9</v>
      </c>
      <c r="C960" s="22">
        <f t="shared" si="10"/>
        <v>3451.34909</v>
      </c>
      <c r="D960" s="25">
        <f>IFERROR(__xludf.DUMMYFUNCTION("""COMPUTED_VALUE"""),42847.99861111111)</f>
        <v>42847.99861</v>
      </c>
      <c r="E960" s="22">
        <f>IFERROR(__xludf.DUMMYFUNCTION("""COMPUTED_VALUE"""),1.0721)</f>
        <v>1.0721</v>
      </c>
      <c r="F960" s="22">
        <f t="shared" si="11"/>
        <v>305.846297</v>
      </c>
      <c r="G960" s="22">
        <f t="shared" si="79"/>
        <v>74.41962216</v>
      </c>
      <c r="H960" s="22">
        <f t="shared" si="80"/>
        <v>132.2151861</v>
      </c>
    </row>
    <row r="961" ht="15.75" customHeight="1">
      <c r="A961" s="32">
        <f>IFERROR(__xludf.DUMMYFUNCTION("""COMPUTED_VALUE"""),42874.66666666667)</f>
        <v>42874.66667</v>
      </c>
      <c r="B961" s="22">
        <f>IFERROR(__xludf.DUMMYFUNCTION("""COMPUTED_VALUE"""),2381.73)</f>
        <v>2381.73</v>
      </c>
      <c r="C961" s="22">
        <f t="shared" si="10"/>
        <v>3439.439311</v>
      </c>
      <c r="D961" s="25">
        <f>IFERROR(__xludf.DUMMYFUNCTION("""COMPUTED_VALUE"""),42854.99861111111)</f>
        <v>42854.99861</v>
      </c>
      <c r="E961" s="22">
        <f>IFERROR(__xludf.DUMMYFUNCTION("""COMPUTED_VALUE"""),1.0893)</f>
        <v>1.0893</v>
      </c>
      <c r="F961" s="22">
        <f t="shared" si="11"/>
        <v>299.9782596</v>
      </c>
      <c r="G961" s="22">
        <f t="shared" si="79"/>
        <v>69.4203011</v>
      </c>
      <c r="H961" s="22">
        <f t="shared" si="80"/>
        <v>130.8262404</v>
      </c>
    </row>
    <row r="962" ht="15.75" customHeight="1">
      <c r="A962" s="32">
        <f>IFERROR(__xludf.DUMMYFUNCTION("""COMPUTED_VALUE"""),42881.66666666667)</f>
        <v>42881.66667</v>
      </c>
      <c r="B962" s="22">
        <f>IFERROR(__xludf.DUMMYFUNCTION("""COMPUTED_VALUE"""),2415.82)</f>
        <v>2415.82</v>
      </c>
      <c r="C962" s="22">
        <f t="shared" si="10"/>
        <v>3489.991299</v>
      </c>
      <c r="D962" s="25">
        <f>IFERROR(__xludf.DUMMYFUNCTION("""COMPUTED_VALUE"""),42861.99861111111)</f>
        <v>42861.99861</v>
      </c>
      <c r="E962" s="22">
        <f>IFERROR(__xludf.DUMMYFUNCTION("""COMPUTED_VALUE"""),1.0996)</f>
        <v>1.0996</v>
      </c>
      <c r="F962" s="22">
        <f t="shared" si="11"/>
        <v>301.5360538</v>
      </c>
      <c r="G962" s="22">
        <f t="shared" si="79"/>
        <v>66.8503241</v>
      </c>
      <c r="H962" s="22">
        <f t="shared" si="80"/>
        <v>131.6315669</v>
      </c>
    </row>
    <row r="963" ht="15.75" customHeight="1">
      <c r="A963" s="32">
        <f>IFERROR(__xludf.DUMMYFUNCTION("""COMPUTED_VALUE"""),42888.66666666667)</f>
        <v>42888.66667</v>
      </c>
      <c r="B963" s="22">
        <f>IFERROR(__xludf.DUMMYFUNCTION("""COMPUTED_VALUE"""),2439.07)</f>
        <v>2439.07</v>
      </c>
      <c r="C963" s="22">
        <f t="shared" si="10"/>
        <v>3524.921494</v>
      </c>
      <c r="D963" s="25">
        <f>IFERROR(__xludf.DUMMYFUNCTION("""COMPUTED_VALUE"""),42868.99861111111)</f>
        <v>42868.99861</v>
      </c>
      <c r="E963" s="22">
        <f>IFERROR(__xludf.DUMMYFUNCTION("""COMPUTED_VALUE"""),1.0932)</f>
        <v>1.0932</v>
      </c>
      <c r="F963" s="22">
        <f t="shared" si="11"/>
        <v>306.3370035</v>
      </c>
      <c r="G963" s="22">
        <f t="shared" si="79"/>
        <v>66.40411209</v>
      </c>
      <c r="H963" s="22">
        <f t="shared" si="80"/>
        <v>143.2388536</v>
      </c>
    </row>
    <row r="964" ht="15.75" customHeight="1">
      <c r="A964" s="32">
        <f>IFERROR(__xludf.DUMMYFUNCTION("""COMPUTED_VALUE"""),42895.66666666667)</f>
        <v>42895.66667</v>
      </c>
      <c r="B964" s="22">
        <f>IFERROR(__xludf.DUMMYFUNCTION("""COMPUTED_VALUE"""),2431.77)</f>
        <v>2431.77</v>
      </c>
      <c r="C964" s="22">
        <f t="shared" si="10"/>
        <v>3515.72734</v>
      </c>
      <c r="D964" s="25">
        <f>IFERROR(__xludf.DUMMYFUNCTION("""COMPUTED_VALUE"""),42875.99861111111)</f>
        <v>42875.99861</v>
      </c>
      <c r="E964" s="22">
        <f>IFERROR(__xludf.DUMMYFUNCTION("""COMPUTED_VALUE"""),1.1207)</f>
        <v>1.1207</v>
      </c>
      <c r="F964" s="22">
        <f t="shared" si="11"/>
        <v>298.0406132</v>
      </c>
      <c r="G964" s="22">
        <f t="shared" si="79"/>
        <v>62.13567486</v>
      </c>
      <c r="H964" s="22">
        <f t="shared" si="80"/>
        <v>127.7202446</v>
      </c>
    </row>
    <row r="965" ht="15.75" customHeight="1">
      <c r="A965" s="32">
        <f>IFERROR(__xludf.DUMMYFUNCTION("""COMPUTED_VALUE"""),42902.66666666667)</f>
        <v>42902.66667</v>
      </c>
      <c r="B965" s="22">
        <f>IFERROR(__xludf.DUMMYFUNCTION("""COMPUTED_VALUE"""),2433.15)</f>
        <v>2433.15</v>
      </c>
      <c r="C965" s="22">
        <f t="shared" si="10"/>
        <v>3519.074675</v>
      </c>
      <c r="D965" s="25">
        <f>IFERROR(__xludf.DUMMYFUNCTION("""COMPUTED_VALUE"""),42882.99861111111)</f>
        <v>42882.99861</v>
      </c>
      <c r="E965" s="22">
        <f>IFERROR(__xludf.DUMMYFUNCTION("""COMPUTED_VALUE"""),1.1182)</f>
        <v>1.1182</v>
      </c>
      <c r="F965" s="22">
        <f t="shared" si="11"/>
        <v>298.9913532</v>
      </c>
      <c r="G965" s="22">
        <f t="shared" si="79"/>
        <v>60.4257984</v>
      </c>
      <c r="H965" s="22">
        <f t="shared" si="80"/>
        <v>133.6579586</v>
      </c>
    </row>
    <row r="966" ht="15.75" customHeight="1">
      <c r="A966" s="32">
        <f>IFERROR(__xludf.DUMMYFUNCTION("""COMPUTED_VALUE"""),42909.66666666667)</f>
        <v>42909.66667</v>
      </c>
      <c r="B966" s="22">
        <f>IFERROR(__xludf.DUMMYFUNCTION("""COMPUTED_VALUE"""),2438.3)</f>
        <v>2438.3</v>
      </c>
      <c r="C966" s="22">
        <f t="shared" si="10"/>
        <v>3527.876631</v>
      </c>
      <c r="D966" s="25">
        <f>IFERROR(__xludf.DUMMYFUNCTION("""COMPUTED_VALUE"""),42889.99861111111)</f>
        <v>42889.99861</v>
      </c>
      <c r="E966" s="22">
        <f>IFERROR(__xludf.DUMMYFUNCTION("""COMPUTED_VALUE"""),1.1283)</f>
        <v>1.1283</v>
      </c>
      <c r="F966" s="22">
        <f t="shared" si="11"/>
        <v>297.056073</v>
      </c>
      <c r="G966" s="22">
        <f t="shared" si="79"/>
        <v>59.60996586</v>
      </c>
      <c r="H966" s="22">
        <f t="shared" si="80"/>
        <v>125.3806129</v>
      </c>
    </row>
    <row r="967" ht="15.75" customHeight="1">
      <c r="A967" s="32">
        <f>IFERROR(__xludf.DUMMYFUNCTION("""COMPUTED_VALUE"""),42916.66666666667)</f>
        <v>42916.66667</v>
      </c>
      <c r="B967" s="22">
        <f>IFERROR(__xludf.DUMMYFUNCTION("""COMPUTED_VALUE"""),2423.41)</f>
        <v>2423.41</v>
      </c>
      <c r="C967" s="22">
        <f t="shared" si="10"/>
        <v>3507.689775</v>
      </c>
      <c r="D967" s="25">
        <f>IFERROR(__xludf.DUMMYFUNCTION("""COMPUTED_VALUE"""),42896.99861111111)</f>
        <v>42896.99861</v>
      </c>
      <c r="E967" s="22">
        <f>IFERROR(__xludf.DUMMYFUNCTION("""COMPUTED_VALUE"""),1.1192)</f>
        <v>1.1192</v>
      </c>
      <c r="F967" s="22">
        <f t="shared" si="11"/>
        <v>297.7577741</v>
      </c>
      <c r="G967" s="22">
        <f t="shared" si="79"/>
        <v>56.77329274</v>
      </c>
      <c r="H967" s="22">
        <f t="shared" si="80"/>
        <v>125.5214686</v>
      </c>
    </row>
    <row r="968" ht="15.75" customHeight="1">
      <c r="A968" s="32">
        <f>IFERROR(__xludf.DUMMYFUNCTION("""COMPUTED_VALUE"""),42923.66666666667)</f>
        <v>42923.66667</v>
      </c>
      <c r="B968" s="22">
        <f>IFERROR(__xludf.DUMMYFUNCTION("""COMPUTED_VALUE"""),2425.18)</f>
        <v>2425.18</v>
      </c>
      <c r="C968" s="22">
        <f t="shared" si="10"/>
        <v>3511.600818</v>
      </c>
      <c r="D968" s="25">
        <f>IFERROR(__xludf.DUMMYFUNCTION("""COMPUTED_VALUE"""),42903.99861111111)</f>
        <v>42903.99861</v>
      </c>
      <c r="E968" s="22">
        <f>IFERROR(__xludf.DUMMYFUNCTION("""COMPUTED_VALUE"""),1.1184)</f>
        <v>1.1184</v>
      </c>
      <c r="F968" s="22">
        <f t="shared" si="11"/>
        <v>298.3029973</v>
      </c>
      <c r="G968" s="22">
        <f t="shared" si="79"/>
        <v>59.13912372</v>
      </c>
      <c r="H968" s="22">
        <f t="shared" si="80"/>
        <v>125.6624395</v>
      </c>
    </row>
    <row r="969" ht="15.75" customHeight="1">
      <c r="A969" s="32">
        <f>IFERROR(__xludf.DUMMYFUNCTION("""COMPUTED_VALUE"""),42930.66666666667)</f>
        <v>42930.66667</v>
      </c>
      <c r="B969" s="22">
        <f>IFERROR(__xludf.DUMMYFUNCTION("""COMPUTED_VALUE"""),2459.27)</f>
        <v>2459.27</v>
      </c>
      <c r="C969" s="22">
        <f t="shared" si="10"/>
        <v>3562.312912</v>
      </c>
      <c r="D969" s="25">
        <f>IFERROR(__xludf.DUMMYFUNCTION("""COMPUTED_VALUE"""),42910.99861111111)</f>
        <v>42910.99861</v>
      </c>
      <c r="E969" s="22">
        <f>IFERROR(__xludf.DUMMYFUNCTION("""COMPUTED_VALUE"""),1.1192)</f>
        <v>1.1192</v>
      </c>
      <c r="F969" s="22">
        <f t="shared" si="11"/>
        <v>302.3945764</v>
      </c>
      <c r="G969" s="22">
        <f t="shared" si="79"/>
        <v>60.92276017</v>
      </c>
      <c r="H969" s="22">
        <f t="shared" si="80"/>
        <v>125.6482036</v>
      </c>
    </row>
    <row r="970" ht="15.75" customHeight="1">
      <c r="A970" s="32">
        <f>IFERROR(__xludf.DUMMYFUNCTION("""COMPUTED_VALUE"""),42937.66666666667)</f>
        <v>42937.66667</v>
      </c>
      <c r="B970" s="22">
        <f>IFERROR(__xludf.DUMMYFUNCTION("""COMPUTED_VALUE"""),2472.54)</f>
        <v>2472.54</v>
      </c>
      <c r="C970" s="22">
        <f t="shared" si="10"/>
        <v>3582.904953</v>
      </c>
      <c r="D970" s="25">
        <f>IFERROR(__xludf.DUMMYFUNCTION("""COMPUTED_VALUE"""),42917.99861111111)</f>
        <v>42917.99861</v>
      </c>
      <c r="E970" s="22">
        <f>IFERROR(__xludf.DUMMYFUNCTION("""COMPUTED_VALUE"""),1.1426)</f>
        <v>1.1426</v>
      </c>
      <c r="F970" s="22">
        <f t="shared" si="11"/>
        <v>297.9138553</v>
      </c>
      <c r="G970" s="22">
        <f t="shared" si="79"/>
        <v>57.89866392</v>
      </c>
      <c r="H970" s="22">
        <f t="shared" si="80"/>
        <v>116.8447278</v>
      </c>
    </row>
    <row r="971" ht="15.75" customHeight="1">
      <c r="A971" s="32">
        <f>IFERROR(__xludf.DUMMYFUNCTION("""COMPUTED_VALUE"""),42944.66666666667)</f>
        <v>42944.66667</v>
      </c>
      <c r="B971" s="22">
        <f>IFERROR(__xludf.DUMMYFUNCTION("""COMPUTED_VALUE"""),2472.1)</f>
        <v>2472.1</v>
      </c>
      <c r="C971" s="22">
        <f t="shared" si="10"/>
        <v>3583.645399</v>
      </c>
      <c r="D971" s="25">
        <f>IFERROR(__xludf.DUMMYFUNCTION("""COMPUTED_VALUE"""),42924.99861111111)</f>
        <v>42924.99861</v>
      </c>
      <c r="E971" s="22">
        <f>IFERROR(__xludf.DUMMYFUNCTION("""COMPUTED_VALUE"""),1.1397)</f>
        <v>1.1397</v>
      </c>
      <c r="F971" s="22">
        <f t="shared" si="11"/>
        <v>298.7336295</v>
      </c>
      <c r="G971" s="22">
        <f t="shared" si="79"/>
        <v>62.78701311</v>
      </c>
      <c r="H971" s="22">
        <f t="shared" si="80"/>
        <v>116.3326291</v>
      </c>
    </row>
    <row r="972" ht="15.75" customHeight="1">
      <c r="A972" s="32">
        <f>IFERROR(__xludf.DUMMYFUNCTION("""COMPUTED_VALUE"""),42951.66666666667)</f>
        <v>42951.66667</v>
      </c>
      <c r="B972" s="22">
        <f>IFERROR(__xludf.DUMMYFUNCTION("""COMPUTED_VALUE"""),2476.83)</f>
        <v>2476.83</v>
      </c>
      <c r="C972" s="22">
        <f t="shared" si="10"/>
        <v>3591.880503</v>
      </c>
      <c r="D972" s="25">
        <f>IFERROR(__xludf.DUMMYFUNCTION("""COMPUTED_VALUE"""),42931.99861111111)</f>
        <v>42931.99861</v>
      </c>
      <c r="E972" s="22">
        <f>IFERROR(__xludf.DUMMYFUNCTION("""COMPUTED_VALUE"""),1.1467)</f>
        <v>1.1467</v>
      </c>
      <c r="F972" s="22">
        <f t="shared" si="11"/>
        <v>297.5923078</v>
      </c>
      <c r="G972" s="22">
        <f t="shared" si="79"/>
        <v>60.55331079</v>
      </c>
      <c r="H972" s="22">
        <f t="shared" si="80"/>
        <v>112.8827644</v>
      </c>
    </row>
    <row r="973" ht="15.75" customHeight="1">
      <c r="A973" s="32">
        <f>IFERROR(__xludf.DUMMYFUNCTION("""COMPUTED_VALUE"""),42958.66666666667)</f>
        <v>42958.66667</v>
      </c>
      <c r="B973" s="22">
        <f>IFERROR(__xludf.DUMMYFUNCTION("""COMPUTED_VALUE"""),2441.32)</f>
        <v>2441.32</v>
      </c>
      <c r="C973" s="22">
        <f t="shared" si="10"/>
        <v>3541.765657</v>
      </c>
      <c r="D973" s="25">
        <f>IFERROR(__xludf.DUMMYFUNCTION("""COMPUTED_VALUE"""),42938.99861111111)</f>
        <v>42938.99861</v>
      </c>
      <c r="E973" s="22">
        <f>IFERROR(__xludf.DUMMYFUNCTION("""COMPUTED_VALUE"""),1.166)</f>
        <v>1.166</v>
      </c>
      <c r="F973" s="22">
        <f t="shared" si="11"/>
        <v>288.5831077</v>
      </c>
      <c r="G973" s="22">
        <f t="shared" si="79"/>
        <v>52.70782559</v>
      </c>
      <c r="H973" s="22">
        <f t="shared" si="80"/>
        <v>105.5933987</v>
      </c>
    </row>
    <row r="974" ht="15.75" customHeight="1">
      <c r="A974" s="32">
        <f>IFERROR(__xludf.DUMMYFUNCTION("""COMPUTED_VALUE"""),42965.66666666667)</f>
        <v>42965.66667</v>
      </c>
      <c r="B974" s="22">
        <f>IFERROR(__xludf.DUMMYFUNCTION("""COMPUTED_VALUE"""),2425.55)</f>
        <v>2425.55</v>
      </c>
      <c r="C974" s="22">
        <f t="shared" si="10"/>
        <v>3520.249413</v>
      </c>
      <c r="D974" s="25">
        <f>IFERROR(__xludf.DUMMYFUNCTION("""COMPUTED_VALUE"""),42945.99861111111)</f>
        <v>42945.99861</v>
      </c>
      <c r="E974" s="22">
        <f>IFERROR(__xludf.DUMMYFUNCTION("""COMPUTED_VALUE"""),1.1753)</f>
        <v>1.1753</v>
      </c>
      <c r="F974" s="22">
        <f t="shared" si="11"/>
        <v>284.5603148</v>
      </c>
      <c r="G974" s="22">
        <f t="shared" si="79"/>
        <v>47.99834236</v>
      </c>
      <c r="H974" s="22">
        <f t="shared" si="80"/>
        <v>103.0659977</v>
      </c>
    </row>
    <row r="975" ht="15.75" customHeight="1">
      <c r="A975" s="32">
        <f>IFERROR(__xludf.DUMMYFUNCTION("""COMPUTED_VALUE"""),42972.66666666667)</f>
        <v>42972.66667</v>
      </c>
      <c r="B975" s="22">
        <f>IFERROR(__xludf.DUMMYFUNCTION("""COMPUTED_VALUE"""),2443.05)</f>
        <v>2443.05</v>
      </c>
      <c r="C975" s="22">
        <f t="shared" si="10"/>
        <v>3547.001457</v>
      </c>
      <c r="D975" s="25">
        <f>IFERROR(__xludf.DUMMYFUNCTION("""COMPUTED_VALUE"""),42952.99861111111)</f>
        <v>42952.99861</v>
      </c>
      <c r="E975" s="22">
        <f>IFERROR(__xludf.DUMMYFUNCTION("""COMPUTED_VALUE"""),1.1773)</f>
        <v>1.1773</v>
      </c>
      <c r="F975" s="22">
        <f t="shared" si="11"/>
        <v>286.2357381</v>
      </c>
      <c r="G975" s="22">
        <f t="shared" si="79"/>
        <v>47.46996777</v>
      </c>
      <c r="H975" s="22">
        <f t="shared" si="80"/>
        <v>100.4407809</v>
      </c>
    </row>
    <row r="976" ht="15.75" customHeight="1">
      <c r="A976" s="32">
        <f>IFERROR(__xludf.DUMMYFUNCTION("""COMPUTED_VALUE"""),42979.66666666667)</f>
        <v>42979.66667</v>
      </c>
      <c r="B976" s="22">
        <f>IFERROR(__xludf.DUMMYFUNCTION("""COMPUTED_VALUE"""),2476.55)</f>
        <v>2476.55</v>
      </c>
      <c r="C976" s="22">
        <f t="shared" si="10"/>
        <v>3597.003476</v>
      </c>
      <c r="D976" s="25">
        <f>IFERROR(__xludf.DUMMYFUNCTION("""COMPUTED_VALUE"""),42959.99861111111)</f>
        <v>42959.99861</v>
      </c>
      <c r="E976" s="22">
        <f>IFERROR(__xludf.DUMMYFUNCTION("""COMPUTED_VALUE"""),1.1818)</f>
        <v>1.1818</v>
      </c>
      <c r="F976" s="22">
        <f t="shared" si="11"/>
        <v>289.1655195</v>
      </c>
      <c r="G976" s="22">
        <f t="shared" si="79"/>
        <v>48.42855733</v>
      </c>
      <c r="H976" s="22">
        <f t="shared" si="80"/>
        <v>101.330478</v>
      </c>
    </row>
    <row r="977" ht="15.75" customHeight="1">
      <c r="A977" s="32">
        <f>IFERROR(__xludf.DUMMYFUNCTION("""COMPUTED_VALUE"""),42986.66666666667)</f>
        <v>42986.66667</v>
      </c>
      <c r="B977" s="22">
        <f>IFERROR(__xludf.DUMMYFUNCTION("""COMPUTED_VALUE"""),2461.43)</f>
        <v>2461.43</v>
      </c>
      <c r="C977" s="22">
        <f t="shared" si="10"/>
        <v>3576.426271</v>
      </c>
      <c r="D977" s="25">
        <f>IFERROR(__xludf.DUMMYFUNCTION("""COMPUTED_VALUE"""),42966.99861111111)</f>
        <v>42966.99861</v>
      </c>
      <c r="E977" s="22">
        <f>IFERROR(__xludf.DUMMYFUNCTION("""COMPUTED_VALUE"""),1.176)</f>
        <v>1.176</v>
      </c>
      <c r="F977" s="22">
        <f t="shared" si="11"/>
        <v>288.9293022</v>
      </c>
      <c r="G977" s="22">
        <f t="shared" si="79"/>
        <v>48.2429001</v>
      </c>
      <c r="H977" s="22">
        <f t="shared" si="80"/>
        <v>105.0236637</v>
      </c>
    </row>
    <row r="978" ht="15.75" customHeight="1">
      <c r="A978" s="32">
        <f>IFERROR(__xludf.DUMMYFUNCTION("""COMPUTED_VALUE"""),42993.66666666667)</f>
        <v>42993.66667</v>
      </c>
      <c r="B978" s="22">
        <f>IFERROR(__xludf.DUMMYFUNCTION("""COMPUTED_VALUE"""),2500.23)</f>
        <v>2500.23</v>
      </c>
      <c r="C978" s="22">
        <f t="shared" si="10"/>
        <v>3634.177723</v>
      </c>
      <c r="D978" s="25">
        <f>IFERROR(__xludf.DUMMYFUNCTION("""COMPUTED_VALUE"""),42973.99861111111)</f>
        <v>42973.99861</v>
      </c>
      <c r="E978" s="22">
        <f>IFERROR(__xludf.DUMMYFUNCTION("""COMPUTED_VALUE"""),1.1924)</f>
        <v>1.1924</v>
      </c>
      <c r="F978" s="22">
        <f t="shared" si="11"/>
        <v>289.5568401</v>
      </c>
      <c r="G978" s="22">
        <f t="shared" si="79"/>
        <v>45.46501133</v>
      </c>
      <c r="H978" s="22">
        <f t="shared" si="80"/>
        <v>107.2564998</v>
      </c>
    </row>
    <row r="979" ht="15.75" customHeight="1">
      <c r="A979" s="32">
        <f>IFERROR(__xludf.DUMMYFUNCTION("""COMPUTED_VALUE"""),43000.66666666667)</f>
        <v>43000.66667</v>
      </c>
      <c r="B979" s="22">
        <f>IFERROR(__xludf.DUMMYFUNCTION("""COMPUTED_VALUE"""),2502.22)</f>
        <v>2502.22</v>
      </c>
      <c r="C979" s="22">
        <f t="shared" si="10"/>
        <v>3638.468023</v>
      </c>
      <c r="D979" s="25">
        <f>IFERROR(__xludf.DUMMYFUNCTION("""COMPUTED_VALUE"""),42980.99861111111)</f>
        <v>42980.99861</v>
      </c>
      <c r="E979" s="22">
        <f>IFERROR(__xludf.DUMMYFUNCTION("""COMPUTED_VALUE"""),1.1861)</f>
        <v>1.1861</v>
      </c>
      <c r="F979" s="22">
        <f t="shared" si="11"/>
        <v>291.4384782</v>
      </c>
      <c r="G979" s="22">
        <f t="shared" si="79"/>
        <v>46.27428638</v>
      </c>
      <c r="H979" s="22">
        <f t="shared" si="80"/>
        <v>107.7408881</v>
      </c>
    </row>
    <row r="980" ht="15.75" customHeight="1">
      <c r="A980" s="32">
        <f>IFERROR(__xludf.DUMMYFUNCTION("""COMPUTED_VALUE"""),43007.66666666667)</f>
        <v>43007.66667</v>
      </c>
      <c r="B980" s="22">
        <f>IFERROR(__xludf.DUMMYFUNCTION("""COMPUTED_VALUE"""),2519.36)</f>
        <v>2519.36</v>
      </c>
      <c r="C980" s="22">
        <f t="shared" si="10"/>
        <v>3664.790639</v>
      </c>
      <c r="D980" s="25">
        <f>IFERROR(__xludf.DUMMYFUNCTION("""COMPUTED_VALUE"""),42987.99861111111)</f>
        <v>42987.99861</v>
      </c>
      <c r="E980" s="22">
        <f>IFERROR(__xludf.DUMMYFUNCTION("""COMPUTED_VALUE"""),1.2036)</f>
        <v>1.2036</v>
      </c>
      <c r="F980" s="22">
        <f t="shared" si="11"/>
        <v>289.2788114</v>
      </c>
      <c r="G980" s="22">
        <f t="shared" si="79"/>
        <v>46.21408209</v>
      </c>
      <c r="H980" s="22">
        <f t="shared" si="80"/>
        <v>107.1145316</v>
      </c>
    </row>
    <row r="981" ht="15.75" customHeight="1">
      <c r="A981" s="32">
        <f>IFERROR(__xludf.DUMMYFUNCTION("""COMPUTED_VALUE"""),43014.66666666667)</f>
        <v>43014.66667</v>
      </c>
      <c r="B981" s="22">
        <f>IFERROR(__xludf.DUMMYFUNCTION("""COMPUTED_VALUE"""),2549.33)</f>
        <v>2549.33</v>
      </c>
      <c r="C981" s="22">
        <f t="shared" si="10"/>
        <v>3709.796077</v>
      </c>
      <c r="D981" s="25">
        <f>IFERROR(__xludf.DUMMYFUNCTION("""COMPUTED_VALUE"""),42994.99861111111)</f>
        <v>42994.99861</v>
      </c>
      <c r="E981" s="22">
        <f>IFERROR(__xludf.DUMMYFUNCTION("""COMPUTED_VALUE"""),1.1944)</f>
        <v>1.1944</v>
      </c>
      <c r="F981" s="22">
        <f t="shared" si="11"/>
        <v>295.0868639</v>
      </c>
      <c r="G981" s="22">
        <f t="shared" si="79"/>
        <v>52.51909017</v>
      </c>
      <c r="H981" s="22">
        <f t="shared" si="80"/>
        <v>109.6299666</v>
      </c>
    </row>
    <row r="982" ht="15.75" customHeight="1">
      <c r="A982" s="32">
        <f>IFERROR(__xludf.DUMMYFUNCTION("""COMPUTED_VALUE"""),43021.66666666667)</f>
        <v>43021.66667</v>
      </c>
      <c r="B982" s="22">
        <f>IFERROR(__xludf.DUMMYFUNCTION("""COMPUTED_VALUE"""),2553.17)</f>
        <v>2553.17</v>
      </c>
      <c r="C982" s="22">
        <f t="shared" si="10"/>
        <v>3716.810906</v>
      </c>
      <c r="D982" s="25">
        <f>IFERROR(__xludf.DUMMYFUNCTION("""COMPUTED_VALUE"""),43001.99861111111)</f>
        <v>43001.99861</v>
      </c>
      <c r="E982" s="22">
        <f>IFERROR(__xludf.DUMMYFUNCTION("""COMPUTED_VALUE"""),1.1949)</f>
        <v>1.1949</v>
      </c>
      <c r="F982" s="22">
        <f t="shared" si="11"/>
        <v>295.5211306</v>
      </c>
      <c r="G982" s="22">
        <f t="shared" si="79"/>
        <v>52.49626038</v>
      </c>
      <c r="H982" s="22">
        <f t="shared" si="80"/>
        <v>110.6457927</v>
      </c>
    </row>
    <row r="983" ht="15.75" customHeight="1">
      <c r="A983" s="32">
        <f>IFERROR(__xludf.DUMMYFUNCTION("""COMPUTED_VALUE"""),43028.66666666667)</f>
        <v>43028.66667</v>
      </c>
      <c r="B983" s="22">
        <f>IFERROR(__xludf.DUMMYFUNCTION("""COMPUTED_VALUE"""),2575.21)</f>
        <v>2575.21</v>
      </c>
      <c r="C983" s="22">
        <f t="shared" si="10"/>
        <v>3750.32547</v>
      </c>
      <c r="D983" s="25">
        <f>IFERROR(__xludf.DUMMYFUNCTION("""COMPUTED_VALUE"""),43008.99861111111)</f>
        <v>43008.99861</v>
      </c>
      <c r="E983" s="22">
        <f>IFERROR(__xludf.DUMMYFUNCTION("""COMPUTED_VALUE"""),1.18128)</f>
        <v>1.18128</v>
      </c>
      <c r="F983" s="22">
        <f t="shared" si="11"/>
        <v>301.6238939</v>
      </c>
      <c r="G983" s="22">
        <f t="shared" si="79"/>
        <v>47.43381596</v>
      </c>
      <c r="H983" s="22">
        <f t="shared" si="80"/>
        <v>114.8522261</v>
      </c>
    </row>
    <row r="984" ht="15.75" customHeight="1">
      <c r="A984" s="32">
        <f>IFERROR(__xludf.DUMMYFUNCTION("""COMPUTED_VALUE"""),43035.66666666667)</f>
        <v>43035.66667</v>
      </c>
      <c r="B984" s="22">
        <f>IFERROR(__xludf.DUMMYFUNCTION("""COMPUTED_VALUE"""),2581.07)</f>
        <v>2581.07</v>
      </c>
      <c r="C984" s="22">
        <f t="shared" si="10"/>
        <v>3760.301928</v>
      </c>
      <c r="D984" s="25">
        <f>IFERROR(__xludf.DUMMYFUNCTION("""COMPUTED_VALUE"""),43015.99861111111)</f>
        <v>43015.99861</v>
      </c>
      <c r="E984" s="22">
        <f>IFERROR(__xludf.DUMMYFUNCTION("""COMPUTED_VALUE"""),1.1732)</f>
        <v>1.1732</v>
      </c>
      <c r="F984" s="22">
        <f t="shared" si="11"/>
        <v>304.509115</v>
      </c>
      <c r="G984" s="22">
        <f t="shared" si="79"/>
        <v>46.15406772</v>
      </c>
      <c r="H984" s="22">
        <f t="shared" si="80"/>
        <v>120.4032787</v>
      </c>
    </row>
    <row r="985" ht="15.75" customHeight="1">
      <c r="A985" s="32">
        <f>IFERROR(__xludf.DUMMYFUNCTION("""COMPUTED_VALUE"""),43042.66666666667)</f>
        <v>43042.66667</v>
      </c>
      <c r="B985" s="22">
        <f>IFERROR(__xludf.DUMMYFUNCTION("""COMPUTED_VALUE"""),2587.84)</f>
        <v>2587.84</v>
      </c>
      <c r="C985" s="22">
        <f t="shared" si="10"/>
        <v>3771.611256</v>
      </c>
      <c r="D985" s="25">
        <f>IFERROR(__xludf.DUMMYFUNCTION("""COMPUTED_VALUE"""),43022.99861111111)</f>
        <v>43022.99861</v>
      </c>
      <c r="E985" s="22">
        <f>IFERROR(__xludf.DUMMYFUNCTION("""COMPUTED_VALUE"""),1.182)</f>
        <v>1.182</v>
      </c>
      <c r="F985" s="22">
        <f t="shared" si="11"/>
        <v>303.1510527</v>
      </c>
      <c r="G985" s="22">
        <f t="shared" si="79"/>
        <v>45.95250752</v>
      </c>
      <c r="H985" s="22">
        <f t="shared" si="80"/>
        <v>119.7631246</v>
      </c>
    </row>
    <row r="986" ht="15.75" customHeight="1">
      <c r="A986" s="32">
        <f>IFERROR(__xludf.DUMMYFUNCTION("""COMPUTED_VALUE"""),43049.66666666667)</f>
        <v>43049.66667</v>
      </c>
      <c r="B986" s="22">
        <f>IFERROR(__xludf.DUMMYFUNCTION("""COMPUTED_VALUE"""),2582.3)</f>
        <v>2582.3</v>
      </c>
      <c r="C986" s="22">
        <f t="shared" si="10"/>
        <v>3764.98768</v>
      </c>
      <c r="D986" s="25">
        <f>IFERROR(__xludf.DUMMYFUNCTION("""COMPUTED_VALUE"""),43029.99861111111)</f>
        <v>43029.99861</v>
      </c>
      <c r="E986" s="22">
        <f>IFERROR(__xludf.DUMMYFUNCTION("""COMPUTED_VALUE"""),1.178)</f>
        <v>1.178</v>
      </c>
      <c r="F986" s="22">
        <f t="shared" si="11"/>
        <v>303.6462367</v>
      </c>
      <c r="G986" s="22">
        <f t="shared" si="79"/>
        <v>44.55347064</v>
      </c>
      <c r="H986" s="22">
        <f t="shared" si="80"/>
        <v>121.9239878</v>
      </c>
    </row>
    <row r="987" ht="15.75" customHeight="1">
      <c r="A987" s="32">
        <f>IFERROR(__xludf.DUMMYFUNCTION("""COMPUTED_VALUE"""),43056.66666666667)</f>
        <v>43056.66667</v>
      </c>
      <c r="B987" s="22">
        <f>IFERROR(__xludf.DUMMYFUNCTION("""COMPUTED_VALUE"""),2578.85)</f>
        <v>2578.85</v>
      </c>
      <c r="C987" s="22">
        <f t="shared" si="10"/>
        <v>3761.40566</v>
      </c>
      <c r="D987" s="25">
        <f>IFERROR(__xludf.DUMMYFUNCTION("""COMPUTED_VALUE"""),43036.99861111111)</f>
        <v>43036.99861</v>
      </c>
      <c r="E987" s="22">
        <f>IFERROR(__xludf.DUMMYFUNCTION("""COMPUTED_VALUE"""),1.1608)</f>
        <v>1.1608</v>
      </c>
      <c r="F987" s="22">
        <f t="shared" si="11"/>
        <v>307.852304</v>
      </c>
      <c r="G987" s="22">
        <f t="shared" si="79"/>
        <v>43.15000164</v>
      </c>
      <c r="H987" s="22">
        <f t="shared" si="80"/>
        <v>122.8338777</v>
      </c>
    </row>
    <row r="988" ht="15.75" customHeight="1">
      <c r="A988" s="32">
        <f>IFERROR(__xludf.DUMMYFUNCTION("""COMPUTED_VALUE"""),43063.54166666667)</f>
        <v>43063.54167</v>
      </c>
      <c r="B988" s="22">
        <f>IFERROR(__xludf.DUMMYFUNCTION("""COMPUTED_VALUE"""),2602.42)</f>
        <v>2602.42</v>
      </c>
      <c r="C988" s="22">
        <f t="shared" si="10"/>
        <v>3797.230597</v>
      </c>
      <c r="D988" s="25">
        <f>IFERROR(__xludf.DUMMYFUNCTION("""COMPUTED_VALUE"""),43043.99861111111)</f>
        <v>43043.99861</v>
      </c>
      <c r="E988" s="22">
        <f>IFERROR(__xludf.DUMMYFUNCTION("""COMPUTED_VALUE"""),1.1618)</f>
        <v>1.1618</v>
      </c>
      <c r="F988" s="22">
        <f t="shared" si="11"/>
        <v>310.5168941</v>
      </c>
      <c r="G988" s="22">
        <f t="shared" si="79"/>
        <v>43.24384763</v>
      </c>
      <c r="H988" s="22">
        <f t="shared" si="80"/>
        <v>127.8994709</v>
      </c>
    </row>
    <row r="989" ht="15.75" customHeight="1">
      <c r="A989" s="32">
        <f>IFERROR(__xludf.DUMMYFUNCTION("""COMPUTED_VALUE"""),43070.66666666667)</f>
        <v>43070.66667</v>
      </c>
      <c r="B989" s="22">
        <f>IFERROR(__xludf.DUMMYFUNCTION("""COMPUTED_VALUE"""),2642.22)</f>
        <v>2642.22</v>
      </c>
      <c r="C989" s="22">
        <f t="shared" si="10"/>
        <v>3856.763856</v>
      </c>
      <c r="D989" s="25">
        <f>IFERROR(__xludf.DUMMYFUNCTION("""COMPUTED_VALUE"""),43050.99861111111)</f>
        <v>43050.99861</v>
      </c>
      <c r="E989" s="22">
        <f>IFERROR(__xludf.DUMMYFUNCTION("""COMPUTED_VALUE"""),1.1665)</f>
        <v>1.1665</v>
      </c>
      <c r="F989" s="22">
        <f t="shared" si="11"/>
        <v>314.1144673</v>
      </c>
      <c r="G989" s="22">
        <f t="shared" si="79"/>
        <v>45.12674446</v>
      </c>
      <c r="H989" s="22">
        <f t="shared" si="80"/>
        <v>134.5150344</v>
      </c>
    </row>
    <row r="990" ht="15.75" customHeight="1">
      <c r="A990" s="32">
        <f>IFERROR(__xludf.DUMMYFUNCTION("""COMPUTED_VALUE"""),43077.66666666667)</f>
        <v>43077.66667</v>
      </c>
      <c r="B990" s="22">
        <f>IFERROR(__xludf.DUMMYFUNCTION("""COMPUTED_VALUE"""),2651.5)</f>
        <v>2651.5</v>
      </c>
      <c r="C990" s="22">
        <f t="shared" si="10"/>
        <v>3871.792945</v>
      </c>
      <c r="D990" s="25">
        <f>IFERROR(__xludf.DUMMYFUNCTION("""COMPUTED_VALUE"""),43057.99861111111)</f>
        <v>43057.99861</v>
      </c>
      <c r="E990" s="22">
        <f>IFERROR(__xludf.DUMMYFUNCTION("""COMPUTED_VALUE"""),1.17963)</f>
        <v>1.17963</v>
      </c>
      <c r="F990" s="22">
        <f t="shared" si="11"/>
        <v>311.8286032</v>
      </c>
      <c r="G990" s="22">
        <f t="shared" si="79"/>
        <v>47.66939513</v>
      </c>
      <c r="H990" s="22">
        <f t="shared" si="80"/>
        <v>128.6386411</v>
      </c>
    </row>
    <row r="991" ht="15.75" customHeight="1">
      <c r="A991" s="32">
        <f>IFERROR(__xludf.DUMMYFUNCTION("""COMPUTED_VALUE"""),43084.66666666667)</f>
        <v>43084.66667</v>
      </c>
      <c r="B991" s="22">
        <f>IFERROR(__xludf.DUMMYFUNCTION("""COMPUTED_VALUE"""),2675.81)</f>
        <v>2675.81</v>
      </c>
      <c r="C991" s="22">
        <f t="shared" si="10"/>
        <v>3908.780224</v>
      </c>
      <c r="D991" s="25">
        <f>IFERROR(__xludf.DUMMYFUNCTION("""COMPUTED_VALUE"""),43064.99861111111)</f>
        <v>43064.99861</v>
      </c>
      <c r="E991" s="22">
        <f>IFERROR(__xludf.DUMMYFUNCTION("""COMPUTED_VALUE"""),1.193)</f>
        <v>1.193</v>
      </c>
      <c r="F991" s="22">
        <f t="shared" si="11"/>
        <v>311.2794445</v>
      </c>
      <c r="G991" s="22">
        <f t="shared" si="79"/>
        <v>43.18268328</v>
      </c>
      <c r="H991" s="22">
        <f t="shared" si="80"/>
        <v>127.2086208</v>
      </c>
    </row>
    <row r="992" ht="15.75" customHeight="1">
      <c r="A992" s="32">
        <f>IFERROR(__xludf.DUMMYFUNCTION("""COMPUTED_VALUE"""),43091.66666666667)</f>
        <v>43091.66667</v>
      </c>
      <c r="B992" s="22">
        <f>IFERROR(__xludf.DUMMYFUNCTION("""COMPUTED_VALUE"""),2683.34)</f>
        <v>2683.34</v>
      </c>
      <c r="C992" s="22">
        <f t="shared" si="10"/>
        <v>3921.283304</v>
      </c>
      <c r="D992" s="25">
        <f>IFERROR(__xludf.DUMMYFUNCTION("""COMPUTED_VALUE"""),43071.99861111111)</f>
        <v>43071.99861</v>
      </c>
      <c r="E992" s="22">
        <f>IFERROR(__xludf.DUMMYFUNCTION("""COMPUTED_VALUE"""),1.1892)</f>
        <v>1.1892</v>
      </c>
      <c r="F992" s="22">
        <f t="shared" si="11"/>
        <v>313.2729911</v>
      </c>
      <c r="G992" s="22">
        <f t="shared" si="79"/>
        <v>40.90270707</v>
      </c>
      <c r="H992" s="22">
        <f t="shared" si="80"/>
        <v>127.26919</v>
      </c>
    </row>
    <row r="993" ht="15.75" customHeight="1">
      <c r="A993" s="32">
        <f>IFERROR(__xludf.DUMMYFUNCTION("""COMPUTED_VALUE"""),43098.66666666667)</f>
        <v>43098.66667</v>
      </c>
      <c r="B993" s="22">
        <f>IFERROR(__xludf.DUMMYFUNCTION("""COMPUTED_VALUE"""),2673.61)</f>
        <v>2673.61</v>
      </c>
      <c r="C993" s="22">
        <f t="shared" si="10"/>
        <v>3908.572611</v>
      </c>
      <c r="D993" s="25">
        <f>IFERROR(__xludf.DUMMYFUNCTION("""COMPUTED_VALUE"""),43078.99861111111)</f>
        <v>43078.99861</v>
      </c>
      <c r="E993" s="22">
        <f>IFERROR(__xludf.DUMMYFUNCTION("""COMPUTED_VALUE"""),1.1764)</f>
        <v>1.1764</v>
      </c>
      <c r="F993" s="22">
        <f t="shared" si="11"/>
        <v>315.6550942</v>
      </c>
      <c r="G993" s="22">
        <f t="shared" si="79"/>
        <v>46.10172217</v>
      </c>
      <c r="H993" s="22">
        <f t="shared" si="80"/>
        <v>125.2270131</v>
      </c>
    </row>
    <row r="994" ht="15.75" customHeight="1">
      <c r="A994" s="32">
        <f>IFERROR(__xludf.DUMMYFUNCTION("""COMPUTED_VALUE"""),43105.66666666667)</f>
        <v>43105.66667</v>
      </c>
      <c r="B994" s="22">
        <f>IFERROR(__xludf.DUMMYFUNCTION("""COMPUTED_VALUE"""),2743.15)</f>
        <v>2743.15</v>
      </c>
      <c r="C994" s="22">
        <f t="shared" si="10"/>
        <v>4011.737011</v>
      </c>
      <c r="D994" s="25">
        <f>IFERROR(__xludf.DUMMYFUNCTION("""COMPUTED_VALUE"""),43085.99861111111)</f>
        <v>43085.99861</v>
      </c>
      <c r="E994" s="22">
        <f>IFERROR(__xludf.DUMMYFUNCTION("""COMPUTED_VALUE"""),1.17559)</f>
        <v>1.17559</v>
      </c>
      <c r="F994" s="22">
        <f t="shared" si="11"/>
        <v>324.2098505</v>
      </c>
      <c r="G994" s="22">
        <f t="shared" si="79"/>
        <v>48.13832157</v>
      </c>
      <c r="H994" s="22">
        <f t="shared" si="80"/>
        <v>130.9788682</v>
      </c>
    </row>
    <row r="995" ht="15.75" customHeight="1">
      <c r="A995" s="32">
        <f>IFERROR(__xludf.DUMMYFUNCTION("""COMPUTED_VALUE"""),43112.66666666667)</f>
        <v>43112.66667</v>
      </c>
      <c r="B995" s="22">
        <f>IFERROR(__xludf.DUMMYFUNCTION("""COMPUTED_VALUE"""),2786.24)</f>
        <v>2786.24</v>
      </c>
      <c r="C995" s="22">
        <f t="shared" si="10"/>
        <v>4076.297229</v>
      </c>
      <c r="D995" s="25">
        <f>IFERROR(__xludf.DUMMYFUNCTION("""COMPUTED_VALUE"""),43092.99861111111)</f>
        <v>43092.99861</v>
      </c>
      <c r="E995" s="22">
        <f>IFERROR(__xludf.DUMMYFUNCTION("""COMPUTED_VALUE"""),1.1858)</f>
        <v>1.1858</v>
      </c>
      <c r="F995" s="22">
        <f t="shared" si="11"/>
        <v>326.590864</v>
      </c>
      <c r="G995" s="22">
        <f t="shared" si="79"/>
        <v>50.47539086</v>
      </c>
      <c r="H995" s="22">
        <f t="shared" si="80"/>
        <v>130.8779524</v>
      </c>
    </row>
    <row r="996" ht="15.75" customHeight="1">
      <c r="A996" s="32">
        <f>IFERROR(__xludf.DUMMYFUNCTION("""COMPUTED_VALUE"""),43119.66666666667)</f>
        <v>43119.66667</v>
      </c>
      <c r="B996" s="22">
        <f>IFERROR(__xludf.DUMMYFUNCTION("""COMPUTED_VALUE"""),2810.3)</f>
        <v>2810.3</v>
      </c>
      <c r="C996" s="22">
        <f t="shared" si="10"/>
        <v>4113.065058</v>
      </c>
      <c r="D996" s="25">
        <f>IFERROR(__xludf.DUMMYFUNCTION("""COMPUTED_VALUE"""),43099.99861111111)</f>
        <v>43099.99861</v>
      </c>
      <c r="E996" s="22">
        <f>IFERROR(__xludf.DUMMYFUNCTION("""COMPUTED_VALUE"""),1.1997)</f>
        <v>1.1997</v>
      </c>
      <c r="F996" s="22">
        <f t="shared" si="11"/>
        <v>325.718596</v>
      </c>
      <c r="G996" s="22">
        <f t="shared" si="79"/>
        <v>45.42964492</v>
      </c>
      <c r="H996" s="22">
        <f t="shared" si="80"/>
        <v>125.0246694</v>
      </c>
    </row>
    <row r="997" ht="15.75" customHeight="1">
      <c r="A997" s="32">
        <f>IFERROR(__xludf.DUMMYFUNCTION("""COMPUTED_VALUE"""),43126.66666666667)</f>
        <v>43126.66667</v>
      </c>
      <c r="B997" s="22">
        <f>IFERROR(__xludf.DUMMYFUNCTION("""COMPUTED_VALUE"""),2872.87)</f>
        <v>2872.87</v>
      </c>
      <c r="C997" s="22">
        <f t="shared" si="10"/>
        <v>4206.222454</v>
      </c>
      <c r="D997" s="25">
        <f>IFERROR(__xludf.DUMMYFUNCTION("""COMPUTED_VALUE"""),43106.99861111111)</f>
        <v>43106.99861</v>
      </c>
      <c r="E997" s="22">
        <f>IFERROR(__xludf.DUMMYFUNCTION("""COMPUTED_VALUE"""),1.2028)</f>
        <v>1.2028</v>
      </c>
      <c r="F997" s="22">
        <f t="shared" si="11"/>
        <v>332.2373484</v>
      </c>
      <c r="G997" s="22">
        <f t="shared" si="79"/>
        <v>50.47179255</v>
      </c>
      <c r="H997" s="22">
        <f t="shared" si="80"/>
        <v>132.6536075</v>
      </c>
    </row>
    <row r="998" ht="15.75" customHeight="1">
      <c r="A998" s="32">
        <f>IFERROR(__xludf.DUMMYFUNCTION("""COMPUTED_VALUE"""),43133.66666666667)</f>
        <v>43133.66667</v>
      </c>
      <c r="B998" s="22">
        <f>IFERROR(__xludf.DUMMYFUNCTION("""COMPUTED_VALUE"""),2762.13)</f>
        <v>2762.13</v>
      </c>
      <c r="C998" s="22">
        <f t="shared" si="10"/>
        <v>4045.703736</v>
      </c>
      <c r="D998" s="25">
        <f>IFERROR(__xludf.DUMMYFUNCTION("""COMPUTED_VALUE"""),43113.99861111111)</f>
        <v>43113.99861</v>
      </c>
      <c r="E998" s="22">
        <f>IFERROR(__xludf.DUMMYFUNCTION("""COMPUTED_VALUE"""),1.2195)</f>
        <v>1.2195</v>
      </c>
      <c r="F998" s="22">
        <f t="shared" si="11"/>
        <v>315.182362</v>
      </c>
      <c r="G998" s="22">
        <f t="shared" si="79"/>
        <v>35.37192225</v>
      </c>
      <c r="H998" s="22">
        <f t="shared" si="80"/>
        <v>119.5055297</v>
      </c>
    </row>
    <row r="999" ht="15.75" customHeight="1">
      <c r="A999" s="32">
        <f>IFERROR(__xludf.DUMMYFUNCTION("""COMPUTED_VALUE"""),43140.66666666667)</f>
        <v>43140.66667</v>
      </c>
      <c r="B999" s="22">
        <f>IFERROR(__xludf.DUMMYFUNCTION("""COMPUTED_VALUE"""),2619.55)</f>
        <v>2619.55</v>
      </c>
      <c r="C999" s="22">
        <f t="shared" si="10"/>
        <v>3838.422234</v>
      </c>
      <c r="D999" s="25">
        <f>IFERROR(__xludf.DUMMYFUNCTION("""COMPUTED_VALUE"""),43120.99861111111)</f>
        <v>43120.99861</v>
      </c>
      <c r="E999" s="22">
        <f>IFERROR(__xludf.DUMMYFUNCTION("""COMPUTED_VALUE"""),1.222)</f>
        <v>1.222</v>
      </c>
      <c r="F999" s="22">
        <f t="shared" si="11"/>
        <v>298.4222321</v>
      </c>
      <c r="G999" s="22">
        <f t="shared" si="79"/>
        <v>21.56150783</v>
      </c>
      <c r="H999" s="22">
        <f t="shared" si="80"/>
        <v>109.7744558</v>
      </c>
    </row>
    <row r="1000" ht="15.75" customHeight="1">
      <c r="A1000" s="32">
        <f>IFERROR(__xludf.DUMMYFUNCTION("""COMPUTED_VALUE"""),43147.66666666667)</f>
        <v>43147.66667</v>
      </c>
      <c r="B1000" s="22">
        <f>IFERROR(__xludf.DUMMYFUNCTION("""COMPUTED_VALUE"""),2732.22)</f>
        <v>2732.22</v>
      </c>
      <c r="C1000" s="22">
        <f t="shared" si="10"/>
        <v>4004.993713</v>
      </c>
      <c r="D1000" s="25">
        <f>IFERROR(__xludf.DUMMYFUNCTION("""COMPUTED_VALUE"""),43127.99861111111)</f>
        <v>43127.99861</v>
      </c>
      <c r="E1000" s="22">
        <f>IFERROR(__xludf.DUMMYFUNCTION("""COMPUTED_VALUE"""),1.24198)</f>
        <v>1.24198</v>
      </c>
      <c r="F1000" s="22">
        <f t="shared" si="11"/>
        <v>306.3633927</v>
      </c>
      <c r="G1000" s="22">
        <f t="shared" si="79"/>
        <v>24.91368115</v>
      </c>
      <c r="H1000" s="22">
        <f t="shared" si="80"/>
        <v>118.7876504</v>
      </c>
    </row>
    <row r="1001" ht="15.75" customHeight="1">
      <c r="A1001" s="32">
        <f>IFERROR(__xludf.DUMMYFUNCTION("""COMPUTED_VALUE"""),43154.66666666667)</f>
        <v>43154.66667</v>
      </c>
      <c r="B1001" s="22">
        <f>IFERROR(__xludf.DUMMYFUNCTION("""COMPUTED_VALUE"""),2747.3)</f>
        <v>2747.3</v>
      </c>
      <c r="C1001" s="22">
        <f t="shared" si="10"/>
        <v>4028.638942</v>
      </c>
      <c r="D1001" s="25">
        <f>IFERROR(__xludf.DUMMYFUNCTION("""COMPUTED_VALUE"""),43134.99861111111)</f>
        <v>43134.99861</v>
      </c>
      <c r="E1001" s="22">
        <f>IFERROR(__xludf.DUMMYFUNCTION("""COMPUTED_VALUE"""),1.2461)</f>
        <v>1.2461</v>
      </c>
      <c r="F1001" s="22">
        <f t="shared" si="11"/>
        <v>307.1532284</v>
      </c>
      <c r="G1001" s="22">
        <f t="shared" si="79"/>
        <v>25.78828143</v>
      </c>
      <c r="H1001" s="22">
        <f t="shared" si="80"/>
        <v>114.3992846</v>
      </c>
    </row>
    <row r="1002" ht="15.75" customHeight="1">
      <c r="A1002" s="32">
        <f>IFERROR(__xludf.DUMMYFUNCTION("""COMPUTED_VALUE"""),43161.66666666667)</f>
        <v>43161.66667</v>
      </c>
      <c r="B1002" s="22">
        <f>IFERROR(__xludf.DUMMYFUNCTION("""COMPUTED_VALUE"""),2691.25)</f>
        <v>2691.25</v>
      </c>
      <c r="C1002" s="22">
        <f t="shared" si="10"/>
        <v>3947.996735</v>
      </c>
      <c r="D1002" s="25">
        <f>IFERROR(__xludf.DUMMYFUNCTION("""COMPUTED_VALUE"""),43141.99861111111)</f>
        <v>43141.99861</v>
      </c>
      <c r="E1002" s="22">
        <f>IFERROR(__xludf.DUMMYFUNCTION("""COMPUTED_VALUE"""),1.2244)</f>
        <v>1.2244</v>
      </c>
      <c r="F1002" s="22">
        <f t="shared" si="11"/>
        <v>306.3395696</v>
      </c>
      <c r="G1002" s="22">
        <f t="shared" si="79"/>
        <v>28.19602247</v>
      </c>
      <c r="H1002" s="22">
        <f t="shared" si="80"/>
        <v>109.2219198</v>
      </c>
    </row>
    <row r="1003" ht="15.75" customHeight="1">
      <c r="A1003" s="32">
        <f>IFERROR(__xludf.DUMMYFUNCTION("""COMPUTED_VALUE"""),43168.66666666667)</f>
        <v>43168.66667</v>
      </c>
      <c r="B1003" s="22">
        <f>IFERROR(__xludf.DUMMYFUNCTION("""COMPUTED_VALUE"""),2786.57)</f>
        <v>2786.57</v>
      </c>
      <c r="C1003" s="22">
        <f t="shared" si="10"/>
        <v>4089.347262</v>
      </c>
      <c r="D1003" s="25">
        <f>IFERROR(__xludf.DUMMYFUNCTION("""COMPUTED_VALUE"""),43148.99861111111)</f>
        <v>43148.99861</v>
      </c>
      <c r="E1003" s="22">
        <f>IFERROR(__xludf.DUMMYFUNCTION("""COMPUTED_VALUE"""),1.2406)</f>
        <v>1.2406</v>
      </c>
      <c r="F1003" s="22">
        <f t="shared" si="11"/>
        <v>313.1640125</v>
      </c>
      <c r="G1003" s="22">
        <f t="shared" si="79"/>
        <v>32.16371515</v>
      </c>
      <c r="H1003" s="22">
        <f t="shared" si="80"/>
        <v>109.7777334</v>
      </c>
    </row>
    <row r="1004" ht="15.75" customHeight="1">
      <c r="A1004" s="32">
        <f>IFERROR(__xludf.DUMMYFUNCTION("""COMPUTED_VALUE"""),43175.66666666667)</f>
        <v>43175.66667</v>
      </c>
      <c r="B1004" s="22">
        <f>IFERROR(__xludf.DUMMYFUNCTION("""COMPUTED_VALUE"""),2752.01)</f>
        <v>2752.01</v>
      </c>
      <c r="C1004" s="22">
        <f t="shared" si="10"/>
        <v>4040.202596</v>
      </c>
      <c r="D1004" s="25">
        <f>IFERROR(__xludf.DUMMYFUNCTION("""COMPUTED_VALUE"""),43155.99861111111)</f>
        <v>43155.99861</v>
      </c>
      <c r="E1004" s="22">
        <f>IFERROR(__xludf.DUMMYFUNCTION("""COMPUTED_VALUE"""),1.2293)</f>
        <v>1.2293</v>
      </c>
      <c r="F1004" s="22">
        <f t="shared" si="11"/>
        <v>312.2445708</v>
      </c>
      <c r="G1004" s="22">
        <f t="shared" si="79"/>
        <v>26.16613158</v>
      </c>
      <c r="H1004" s="22">
        <f t="shared" si="80"/>
        <v>106.8283885</v>
      </c>
    </row>
    <row r="1005" ht="15.75" customHeight="1">
      <c r="A1005" s="32">
        <f>IFERROR(__xludf.DUMMYFUNCTION("""COMPUTED_VALUE"""),43182.66666666667)</f>
        <v>43182.66667</v>
      </c>
      <c r="B1005" s="22">
        <f>IFERROR(__xludf.DUMMYFUNCTION("""COMPUTED_VALUE"""),2588.26)</f>
        <v>2588.26</v>
      </c>
      <c r="C1005" s="22">
        <f t="shared" si="10"/>
        <v>3801.35653</v>
      </c>
      <c r="D1005" s="25">
        <f>IFERROR(__xludf.DUMMYFUNCTION("""COMPUTED_VALUE"""),43162.99861111111)</f>
        <v>43162.99861</v>
      </c>
      <c r="E1005" s="22">
        <f>IFERROR(__xludf.DUMMYFUNCTION("""COMPUTED_VALUE"""),1.2317)</f>
        <v>1.2317</v>
      </c>
      <c r="F1005" s="22">
        <f t="shared" si="11"/>
        <v>293.2130508</v>
      </c>
      <c r="G1005" s="22">
        <f t="shared" si="79"/>
        <v>17.38937606</v>
      </c>
      <c r="H1005" s="22">
        <f t="shared" si="80"/>
        <v>92.46338693</v>
      </c>
    </row>
    <row r="1006" ht="15.75" customHeight="1">
      <c r="A1006" s="32">
        <f>IFERROR(__xludf.DUMMYFUNCTION("""COMPUTED_VALUE"""),43188.66666666667)</f>
        <v>43188.66667</v>
      </c>
      <c r="B1006" s="22">
        <f>IFERROR(__xludf.DUMMYFUNCTION("""COMPUTED_VALUE"""),2640.87)</f>
        <v>2640.87</v>
      </c>
      <c r="C1006" s="22">
        <f t="shared" si="10"/>
        <v>3880.086472</v>
      </c>
      <c r="D1006" s="25">
        <f>IFERROR(__xludf.DUMMYFUNCTION("""COMPUTED_VALUE"""),43169.99861111111)</f>
        <v>43169.99861</v>
      </c>
      <c r="E1006" s="22">
        <f>IFERROR(__xludf.DUMMYFUNCTION("""COMPUTED_VALUE"""),1.2306)</f>
        <v>1.2306</v>
      </c>
      <c r="F1006" s="22">
        <f t="shared" si="11"/>
        <v>299.5533134</v>
      </c>
      <c r="G1006" s="22">
        <f t="shared" si="79"/>
        <v>15.69009265</v>
      </c>
      <c r="H1006" s="22">
        <f t="shared" si="80"/>
        <v>99.63055109</v>
      </c>
    </row>
    <row r="1007" ht="15.75" customHeight="1">
      <c r="A1007" s="32">
        <f>IFERROR(__xludf.DUMMYFUNCTION("""COMPUTED_VALUE"""),43196.66666666667)</f>
        <v>43196.66667</v>
      </c>
      <c r="B1007" s="22">
        <f>IFERROR(__xludf.DUMMYFUNCTION("""COMPUTED_VALUE"""),2604.47)</f>
        <v>2604.47</v>
      </c>
      <c r="C1007" s="22">
        <f t="shared" si="10"/>
        <v>3828.098275</v>
      </c>
      <c r="D1007" s="25">
        <f>IFERROR(__xludf.DUMMYFUNCTION("""COMPUTED_VALUE"""),43176.99861111111)</f>
        <v>43176.99861</v>
      </c>
      <c r="E1007" s="22">
        <f>IFERROR(__xludf.DUMMYFUNCTION("""COMPUTED_VALUE"""),1.2294)</f>
        <v>1.2294</v>
      </c>
      <c r="F1007" s="22">
        <f t="shared" si="11"/>
        <v>295.8281542</v>
      </c>
      <c r="G1007" s="22">
        <f t="shared" si="79"/>
        <v>15.71461512</v>
      </c>
      <c r="H1007" s="22">
        <f t="shared" si="80"/>
        <v>91.36546305</v>
      </c>
    </row>
    <row r="1008" ht="15.75" customHeight="1">
      <c r="A1008" s="32">
        <f>IFERROR(__xludf.DUMMYFUNCTION("""COMPUTED_VALUE"""),43203.66666666667)</f>
        <v>43203.66667</v>
      </c>
      <c r="B1008" s="22">
        <f>IFERROR(__xludf.DUMMYFUNCTION("""COMPUTED_VALUE"""),2656.3)</f>
        <v>2656.3</v>
      </c>
      <c r="C1008" s="22">
        <f t="shared" si="10"/>
        <v>3905.751315</v>
      </c>
      <c r="D1008" s="25">
        <f>IFERROR(__xludf.DUMMYFUNCTION("""COMPUTED_VALUE"""),43183.99861111111)</f>
        <v>43183.99861</v>
      </c>
      <c r="E1008" s="22">
        <f>IFERROR(__xludf.DUMMYFUNCTION("""COMPUTED_VALUE"""),1.2356)</f>
        <v>1.2356</v>
      </c>
      <c r="F1008" s="22">
        <f t="shared" si="11"/>
        <v>300.3145141</v>
      </c>
      <c r="G1008" s="22">
        <f t="shared" si="79"/>
        <v>19.46837512</v>
      </c>
      <c r="H1008" s="22">
        <f t="shared" si="80"/>
        <v>95.80544479</v>
      </c>
    </row>
    <row r="1009" ht="15.75" customHeight="1">
      <c r="A1009" s="32">
        <f>IFERROR(__xludf.DUMMYFUNCTION("""COMPUTED_VALUE"""),43210.66666666667)</f>
        <v>43210.66667</v>
      </c>
      <c r="B1009" s="22">
        <f>IFERROR(__xludf.DUMMYFUNCTION("""COMPUTED_VALUE"""),2670.14)</f>
        <v>2670.14</v>
      </c>
      <c r="C1009" s="22">
        <f t="shared" si="10"/>
        <v>3927.603487</v>
      </c>
      <c r="D1009" s="25">
        <f>IFERROR(__xludf.DUMMYFUNCTION("""COMPUTED_VALUE"""),43190.99861111111)</f>
        <v>43190.99861</v>
      </c>
      <c r="E1009" s="22">
        <f>IFERROR(__xludf.DUMMYFUNCTION("""COMPUTED_VALUE"""),1.2329)</f>
        <v>1.2329</v>
      </c>
      <c r="F1009" s="22">
        <f t="shared" si="11"/>
        <v>302.6560909</v>
      </c>
      <c r="G1009" s="22">
        <f t="shared" si="79"/>
        <v>19.03950055</v>
      </c>
      <c r="H1009" s="22">
        <f t="shared" si="80"/>
        <v>95.42029125</v>
      </c>
    </row>
    <row r="1010" ht="15.75" customHeight="1">
      <c r="A1010" s="32">
        <f>IFERROR(__xludf.DUMMYFUNCTION("""COMPUTED_VALUE"""),43217.66666666667)</f>
        <v>43217.66667</v>
      </c>
      <c r="B1010" s="22">
        <f>IFERROR(__xludf.DUMMYFUNCTION("""COMPUTED_VALUE"""),2669.91)</f>
        <v>2669.91</v>
      </c>
      <c r="C1010" s="22">
        <f t="shared" si="10"/>
        <v>3928.775789</v>
      </c>
      <c r="D1010" s="25">
        <f>IFERROR(__xludf.DUMMYFUNCTION("""COMPUTED_VALUE"""),43197.99861111111)</f>
        <v>43197.99861</v>
      </c>
      <c r="E1010" s="22">
        <f>IFERROR(__xludf.DUMMYFUNCTION("""COMPUTED_VALUE"""),1.2297)</f>
        <v>1.2297</v>
      </c>
      <c r="F1010" s="22">
        <f t="shared" si="11"/>
        <v>303.534252</v>
      </c>
      <c r="G1010" s="22">
        <f t="shared" si="79"/>
        <v>15.9892576</v>
      </c>
      <c r="H1010" s="22">
        <f t="shared" si="80"/>
        <v>94.81691562</v>
      </c>
    </row>
    <row r="1011" ht="15.75" customHeight="1">
      <c r="A1011" s="32">
        <f>IFERROR(__xludf.DUMMYFUNCTION("""COMPUTED_VALUE"""),43224.66666666667)</f>
        <v>43224.66667</v>
      </c>
      <c r="B1011" s="22">
        <f>IFERROR(__xludf.DUMMYFUNCTION("""COMPUTED_VALUE"""),2663.42)</f>
        <v>2663.42</v>
      </c>
      <c r="C1011" s="22">
        <f t="shared" si="10"/>
        <v>3920.736814</v>
      </c>
      <c r="D1011" s="25">
        <f>IFERROR(__xludf.DUMMYFUNCTION("""COMPUTED_VALUE"""),43204.99861111111)</f>
        <v>43204.99861</v>
      </c>
      <c r="E1011" s="22">
        <f>IFERROR(__xludf.DUMMYFUNCTION("""COMPUTED_VALUE"""),1.2345)</f>
        <v>1.2345</v>
      </c>
      <c r="F1011" s="22">
        <f t="shared" si="11"/>
        <v>301.7353757</v>
      </c>
      <c r="G1011" s="22">
        <f t="shared" si="79"/>
        <v>16.95401384</v>
      </c>
      <c r="H1011" s="22">
        <f t="shared" si="80"/>
        <v>90.45779301</v>
      </c>
    </row>
    <row r="1012" ht="15.75" customHeight="1">
      <c r="A1012" s="32">
        <f>IFERROR(__xludf.DUMMYFUNCTION("""COMPUTED_VALUE"""),43231.66666666667)</f>
        <v>43231.66667</v>
      </c>
      <c r="B1012" s="22">
        <f>IFERROR(__xludf.DUMMYFUNCTION("""COMPUTED_VALUE"""),2727.72)</f>
        <v>2727.72</v>
      </c>
      <c r="C1012" s="22">
        <f t="shared" si="10"/>
        <v>4016.898797</v>
      </c>
      <c r="D1012" s="25">
        <f>IFERROR(__xludf.DUMMYFUNCTION("""COMPUTED_VALUE"""),43211.99861111111)</f>
        <v>43211.99861</v>
      </c>
      <c r="E1012" s="22">
        <f>IFERROR(__xludf.DUMMYFUNCTION("""COMPUTED_VALUE"""),1.2305)</f>
        <v>1.2305</v>
      </c>
      <c r="F1012" s="22">
        <f t="shared" si="11"/>
        <v>310.1408023</v>
      </c>
      <c r="G1012" s="22">
        <f t="shared" si="79"/>
        <v>20.55010548</v>
      </c>
      <c r="H1012" s="22">
        <f t="shared" si="80"/>
        <v>91.54363216</v>
      </c>
    </row>
    <row r="1013" ht="15.75" customHeight="1">
      <c r="A1013" s="32">
        <f>IFERROR(__xludf.DUMMYFUNCTION("""COMPUTED_VALUE"""),43238.66666666667)</f>
        <v>43238.66667</v>
      </c>
      <c r="B1013" s="22">
        <f>IFERROR(__xludf.DUMMYFUNCTION("""COMPUTED_VALUE"""),2712.97)</f>
        <v>2712.97</v>
      </c>
      <c r="C1013" s="22">
        <f t="shared" si="10"/>
        <v>3996.722593</v>
      </c>
      <c r="D1013" s="25">
        <f>IFERROR(__xludf.DUMMYFUNCTION("""COMPUTED_VALUE"""),43218.99861111111)</f>
        <v>43218.99861</v>
      </c>
      <c r="E1013" s="22">
        <f>IFERROR(__xludf.DUMMYFUNCTION("""COMPUTED_VALUE"""),1.2145)</f>
        <v>1.2145</v>
      </c>
      <c r="F1013" s="22">
        <f t="shared" si="11"/>
        <v>312.6483351</v>
      </c>
      <c r="G1013" s="22">
        <f t="shared" si="79"/>
        <v>24.88549194</v>
      </c>
      <c r="H1013" s="22">
        <f t="shared" si="80"/>
        <v>96.25205364</v>
      </c>
    </row>
    <row r="1014" ht="15.75" customHeight="1">
      <c r="A1014" s="32">
        <f>IFERROR(__xludf.DUMMYFUNCTION("""COMPUTED_VALUE"""),43245.66666666667)</f>
        <v>43245.66667</v>
      </c>
      <c r="B1014" s="22">
        <f>IFERROR(__xludf.DUMMYFUNCTION("""COMPUTED_VALUE"""),2721.33)</f>
        <v>2721.33</v>
      </c>
      <c r="C1014" s="22">
        <f t="shared" si="10"/>
        <v>4010.575669</v>
      </c>
      <c r="D1014" s="25">
        <f>IFERROR(__xludf.DUMMYFUNCTION("""COMPUTED_VALUE"""),43225.99861111111)</f>
        <v>43225.99861</v>
      </c>
      <c r="E1014" s="22">
        <f>IFERROR(__xludf.DUMMYFUNCTION("""COMPUTED_VALUE"""),1.197)</f>
        <v>1.197</v>
      </c>
      <c r="F1014" s="22">
        <f t="shared" si="11"/>
        <v>318.3187336</v>
      </c>
      <c r="G1014" s="22">
        <f t="shared" si="79"/>
        <v>28.19284583</v>
      </c>
      <c r="H1014" s="22">
        <f t="shared" si="80"/>
        <v>100.1335415</v>
      </c>
    </row>
    <row r="1015" ht="15.75" customHeight="1">
      <c r="A1015" s="32">
        <f>IFERROR(__xludf.DUMMYFUNCTION("""COMPUTED_VALUE"""),43252.66666666667)</f>
        <v>43252.66667</v>
      </c>
      <c r="B1015" s="22">
        <f>IFERROR(__xludf.DUMMYFUNCTION("""COMPUTED_VALUE"""),2734.62)</f>
        <v>2734.62</v>
      </c>
      <c r="C1015" s="22">
        <f t="shared" si="10"/>
        <v>4031.704412</v>
      </c>
      <c r="D1015" s="25">
        <f>IFERROR(__xludf.DUMMYFUNCTION("""COMPUTED_VALUE"""),43232.99861111111)</f>
        <v>43232.99861</v>
      </c>
      <c r="E1015" s="22">
        <f>IFERROR(__xludf.DUMMYFUNCTION("""COMPUTED_VALUE"""),1.1959)</f>
        <v>1.1959</v>
      </c>
      <c r="F1015" s="22">
        <f t="shared" si="11"/>
        <v>320.2900535</v>
      </c>
      <c r="G1015" s="22">
        <f t="shared" si="79"/>
        <v>32.7919721</v>
      </c>
      <c r="H1015" s="22">
        <f t="shared" si="80"/>
        <v>97.38016171</v>
      </c>
    </row>
    <row r="1016" ht="15.75" customHeight="1">
      <c r="A1016" s="32">
        <f>IFERROR(__xludf.DUMMYFUNCTION("""COMPUTED_VALUE"""),43259.66666666667)</f>
        <v>43259.66667</v>
      </c>
      <c r="B1016" s="22">
        <f>IFERROR(__xludf.DUMMYFUNCTION("""COMPUTED_VALUE"""),2779.03)</f>
        <v>2779.03</v>
      </c>
      <c r="C1016" s="22">
        <f t="shared" si="10"/>
        <v>4098.72961</v>
      </c>
      <c r="D1016" s="25">
        <f>IFERROR(__xludf.DUMMYFUNCTION("""COMPUTED_VALUE"""),43239.99861111111)</f>
        <v>43239.99861</v>
      </c>
      <c r="E1016" s="22">
        <f>IFERROR(__xludf.DUMMYFUNCTION("""COMPUTED_VALUE"""),1.1789)</f>
        <v>1.1789</v>
      </c>
      <c r="F1016" s="22">
        <f t="shared" si="11"/>
        <v>330.3101624</v>
      </c>
      <c r="G1016" s="22">
        <f t="shared" si="79"/>
        <v>31.6110589</v>
      </c>
      <c r="H1016" s="22">
        <f t="shared" si="80"/>
        <v>107.0477581</v>
      </c>
    </row>
    <row r="1017" ht="15.75" customHeight="1">
      <c r="A1017" s="32">
        <f>IFERROR(__xludf.DUMMYFUNCTION("""COMPUTED_VALUE"""),43266.66666666667)</f>
        <v>43266.66667</v>
      </c>
      <c r="B1017" s="22">
        <f>IFERROR(__xludf.DUMMYFUNCTION("""COMPUTED_VALUE"""),2779.66)</f>
        <v>2779.66</v>
      </c>
      <c r="C1017" s="22">
        <f t="shared" si="10"/>
        <v>4101.235217</v>
      </c>
      <c r="D1017" s="25">
        <f>IFERROR(__xludf.DUMMYFUNCTION("""COMPUTED_VALUE"""),43246.99861111111)</f>
        <v>43246.99861</v>
      </c>
      <c r="E1017" s="22">
        <f>IFERROR(__xludf.DUMMYFUNCTION("""COMPUTED_VALUE"""),1.1655)</f>
        <v>1.1655</v>
      </c>
      <c r="F1017" s="22">
        <f t="shared" si="11"/>
        <v>334.3120527</v>
      </c>
      <c r="G1017" s="22">
        <f t="shared" si="79"/>
        <v>31.91261965</v>
      </c>
      <c r="H1017" s="22">
        <f t="shared" si="80"/>
        <v>115.0449893</v>
      </c>
    </row>
    <row r="1018" ht="15.75" customHeight="1">
      <c r="A1018" s="32">
        <f>IFERROR(__xludf.DUMMYFUNCTION("""COMPUTED_VALUE"""),43273.66666666667)</f>
        <v>43273.66667</v>
      </c>
      <c r="B1018" s="22">
        <f>IFERROR(__xludf.DUMMYFUNCTION("""COMPUTED_VALUE"""),2754.88)</f>
        <v>2754.88</v>
      </c>
      <c r="C1018" s="22">
        <f t="shared" si="10"/>
        <v>4066.25109</v>
      </c>
      <c r="D1018" s="25">
        <f>IFERROR(__xludf.DUMMYFUNCTION("""COMPUTED_VALUE"""),43253.99861111111)</f>
        <v>43253.99861</v>
      </c>
      <c r="E1018" s="22">
        <f>IFERROR(__xludf.DUMMYFUNCTION("""COMPUTED_VALUE"""),1.16851)</f>
        <v>1.16851</v>
      </c>
      <c r="F1018" s="22">
        <f t="shared" si="11"/>
        <v>330.6065041</v>
      </c>
      <c r="G1018" s="22">
        <f t="shared" si="79"/>
        <v>32.3807285</v>
      </c>
      <c r="H1018" s="22">
        <f t="shared" si="80"/>
        <v>114.4287877</v>
      </c>
    </row>
    <row r="1019" ht="15.75" customHeight="1">
      <c r="A1019" s="32">
        <f>IFERROR(__xludf.DUMMYFUNCTION("""COMPUTED_VALUE"""),43280.66666666667)</f>
        <v>43280.66667</v>
      </c>
      <c r="B1019" s="22">
        <f>IFERROR(__xludf.DUMMYFUNCTION("""COMPUTED_VALUE"""),2718.37)</f>
        <v>2718.37</v>
      </c>
      <c r="C1019" s="22">
        <f t="shared" si="10"/>
        <v>4013.925634</v>
      </c>
      <c r="D1019" s="25">
        <f>IFERROR(__xludf.DUMMYFUNCTION("""COMPUTED_VALUE"""),43260.99861111111)</f>
        <v>43260.99861</v>
      </c>
      <c r="E1019" s="22">
        <f>IFERROR(__xludf.DUMMYFUNCTION("""COMPUTED_VALUE"""),1.1774)</f>
        <v>1.1774</v>
      </c>
      <c r="F1019" s="22">
        <f t="shared" si="11"/>
        <v>323.8880498</v>
      </c>
      <c r="G1019" s="22">
        <f t="shared" si="79"/>
        <v>32.91766646</v>
      </c>
      <c r="H1019" s="22">
        <f t="shared" si="80"/>
        <v>108.6347165</v>
      </c>
    </row>
    <row r="1020" ht="15.75" customHeight="1">
      <c r="A1020" s="32">
        <f>IFERROR(__xludf.DUMMYFUNCTION("""COMPUTED_VALUE"""),43287.66666666667)</f>
        <v>43287.66667</v>
      </c>
      <c r="B1020" s="22">
        <f>IFERROR(__xludf.DUMMYFUNCTION("""COMPUTED_VALUE"""),2759.82)</f>
        <v>2759.82</v>
      </c>
      <c r="C1020" s="22">
        <f t="shared" si="10"/>
        <v>4076.674224</v>
      </c>
      <c r="D1020" s="25">
        <f>IFERROR(__xludf.DUMMYFUNCTION("""COMPUTED_VALUE"""),43267.99861111111)</f>
        <v>43267.99861</v>
      </c>
      <c r="E1020" s="22">
        <f>IFERROR(__xludf.DUMMYFUNCTION("""COMPUTED_VALUE"""),1.1619)</f>
        <v>1.1619</v>
      </c>
      <c r="F1020" s="22">
        <f t="shared" si="11"/>
        <v>333.3395845</v>
      </c>
      <c r="G1020" s="22">
        <f t="shared" si="79"/>
        <v>37.82301746</v>
      </c>
      <c r="H1020" s="22">
        <f t="shared" si="80"/>
        <v>104.9735087</v>
      </c>
    </row>
    <row r="1021" ht="15.75" customHeight="1">
      <c r="A1021" s="32">
        <f>IFERROR(__xludf.DUMMYFUNCTION("""COMPUTED_VALUE"""),43294.66666666667)</f>
        <v>43294.66667</v>
      </c>
      <c r="B1021" s="22">
        <f>IFERROR(__xludf.DUMMYFUNCTION("""COMPUTED_VALUE"""),2801.31)</f>
        <v>2801.31</v>
      </c>
      <c r="C1021" s="22">
        <f t="shared" si="10"/>
        <v>4139.529221</v>
      </c>
      <c r="D1021" s="25">
        <f>IFERROR(__xludf.DUMMYFUNCTION("""COMPUTED_VALUE"""),43274.99861111111)</f>
        <v>43274.99861</v>
      </c>
      <c r="E1021" s="22">
        <f>IFERROR(__xludf.DUMMYFUNCTION("""COMPUTED_VALUE"""),1.1665)</f>
        <v>1.1665</v>
      </c>
      <c r="F1021" s="22">
        <f t="shared" si="11"/>
        <v>337.144317</v>
      </c>
      <c r="G1021" s="22">
        <f t="shared" si="79"/>
        <v>33.86030692</v>
      </c>
      <c r="H1021" s="22">
        <f t="shared" si="80"/>
        <v>104.0044666</v>
      </c>
    </row>
    <row r="1022" ht="15.75" customHeight="1">
      <c r="A1022" s="32">
        <f>IFERROR(__xludf.DUMMYFUNCTION("""COMPUTED_VALUE"""),43301.66666666667)</f>
        <v>43301.66667</v>
      </c>
      <c r="B1022" s="22">
        <f>IFERROR(__xludf.DUMMYFUNCTION("""COMPUTED_VALUE"""),2801.83)</f>
        <v>2801.83</v>
      </c>
      <c r="C1022" s="22">
        <f t="shared" si="10"/>
        <v>4141.889758</v>
      </c>
      <c r="D1022" s="25">
        <f>IFERROR(__xludf.DUMMYFUNCTION("""COMPUTED_VALUE"""),43281.99861111111)</f>
        <v>43281.99861</v>
      </c>
      <c r="E1022" s="22">
        <f>IFERROR(__xludf.DUMMYFUNCTION("""COMPUTED_VALUE"""),1.1702)</f>
        <v>1.1702</v>
      </c>
      <c r="F1022" s="22">
        <f t="shared" si="11"/>
        <v>336.2699626</v>
      </c>
      <c r="G1022" s="22">
        <f t="shared" si="79"/>
        <v>35.85282207</v>
      </c>
      <c r="H1022" s="22">
        <f t="shared" si="80"/>
        <v>100.6819182</v>
      </c>
    </row>
    <row r="1023" ht="15.75" customHeight="1">
      <c r="A1023" s="32">
        <f>IFERROR(__xludf.DUMMYFUNCTION("""COMPUTED_VALUE"""),43308.66666666667)</f>
        <v>43308.66667</v>
      </c>
      <c r="B1023" s="22">
        <f>IFERROR(__xludf.DUMMYFUNCTION("""COMPUTED_VALUE"""),2818.82)</f>
        <v>2818.82</v>
      </c>
      <c r="C1023" s="22">
        <f t="shared" si="10"/>
        <v>4168.598773</v>
      </c>
      <c r="D1023" s="25">
        <f>IFERROR(__xludf.DUMMYFUNCTION("""COMPUTED_VALUE"""),43288.99861111111)</f>
        <v>43288.99861</v>
      </c>
      <c r="E1023" s="22">
        <f>IFERROR(__xludf.DUMMYFUNCTION("""COMPUTED_VALUE"""),1.1753)</f>
        <v>1.1753</v>
      </c>
      <c r="F1023" s="22">
        <f t="shared" si="11"/>
        <v>336.9698109</v>
      </c>
      <c r="G1023" s="22">
        <f t="shared" si="79"/>
        <v>35.02142561</v>
      </c>
      <c r="H1023" s="22">
        <f t="shared" si="80"/>
        <v>102.5314364</v>
      </c>
    </row>
    <row r="1024" ht="15.75" customHeight="1">
      <c r="A1024" s="32">
        <f>IFERROR(__xludf.DUMMYFUNCTION("""COMPUTED_VALUE"""),43315.66666666667)</f>
        <v>43315.66667</v>
      </c>
      <c r="B1024" s="22">
        <f>IFERROR(__xludf.DUMMYFUNCTION("""COMPUTED_VALUE"""),2840.35)</f>
        <v>2840.35</v>
      </c>
      <c r="C1024" s="22">
        <f t="shared" si="10"/>
        <v>4202.04162</v>
      </c>
      <c r="D1024" s="25">
        <f>IFERROR(__xludf.DUMMYFUNCTION("""COMPUTED_VALUE"""),43295.99861111111)</f>
        <v>43295.99861</v>
      </c>
      <c r="E1024" s="22">
        <f>IFERROR(__xludf.DUMMYFUNCTION("""COMPUTED_VALUE"""),1.1698)</f>
        <v>1.1698</v>
      </c>
      <c r="F1024" s="22">
        <f t="shared" si="11"/>
        <v>341.2701997</v>
      </c>
      <c r="G1024" s="22">
        <f t="shared" si="79"/>
        <v>34.34363184</v>
      </c>
      <c r="H1024" s="22">
        <f t="shared" si="80"/>
        <v>108.4859224</v>
      </c>
    </row>
    <row r="1025" ht="15.75" customHeight="1">
      <c r="A1025" s="32">
        <f>IFERROR(__xludf.DUMMYFUNCTION("""COMPUTED_VALUE"""),43322.66666666667)</f>
        <v>43322.66667</v>
      </c>
      <c r="B1025" s="22">
        <f>IFERROR(__xludf.DUMMYFUNCTION("""COMPUTED_VALUE"""),2833.28)</f>
        <v>2833.28</v>
      </c>
      <c r="C1025" s="22">
        <f t="shared" si="10"/>
        <v>4193.198362</v>
      </c>
      <c r="D1025" s="25">
        <f>IFERROR(__xludf.DUMMYFUNCTION("""COMPUTED_VALUE"""),43302.99861111111)</f>
        <v>43302.99861</v>
      </c>
      <c r="E1025" s="22">
        <f>IFERROR(__xludf.DUMMYFUNCTION("""COMPUTED_VALUE"""),1.1728)</f>
        <v>1.1728</v>
      </c>
      <c r="F1025" s="22">
        <f t="shared" si="11"/>
        <v>339.6808661</v>
      </c>
      <c r="G1025" s="22">
        <f t="shared" si="79"/>
        <v>34.6503875</v>
      </c>
      <c r="H1025" s="22">
        <f t="shared" si="80"/>
        <v>114.0521965</v>
      </c>
    </row>
    <row r="1026" ht="15.75" customHeight="1">
      <c r="A1026" s="32">
        <f>IFERROR(__xludf.DUMMYFUNCTION("""COMPUTED_VALUE"""),43329.66666666667)</f>
        <v>43329.66667</v>
      </c>
      <c r="B1026" s="22">
        <f>IFERROR(__xludf.DUMMYFUNCTION("""COMPUTED_VALUE"""),2850.13)</f>
        <v>2850.13</v>
      </c>
      <c r="C1026" s="22">
        <f t="shared" si="10"/>
        <v>4219.748798</v>
      </c>
      <c r="D1026" s="25">
        <f>IFERROR(__xludf.DUMMYFUNCTION("""COMPUTED_VALUE"""),43309.99861111111)</f>
        <v>43309.99861</v>
      </c>
      <c r="E1026" s="22">
        <f>IFERROR(__xludf.DUMMYFUNCTION("""COMPUTED_VALUE"""),1.1671)</f>
        <v>1.1671</v>
      </c>
      <c r="F1026" s="22">
        <f t="shared" si="11"/>
        <v>343.5011244</v>
      </c>
      <c r="G1026" s="22">
        <f t="shared" si="79"/>
        <v>44.48071866</v>
      </c>
      <c r="H1026" s="22">
        <f t="shared" si="80"/>
        <v>115.427721</v>
      </c>
    </row>
    <row r="1027" ht="15.75" customHeight="1">
      <c r="A1027" s="32">
        <f>IFERROR(__xludf.DUMMYFUNCTION("""COMPUTED_VALUE"""),43336.66666666667)</f>
        <v>43336.66667</v>
      </c>
      <c r="B1027" s="22">
        <f>IFERROR(__xludf.DUMMYFUNCTION("""COMPUTED_VALUE"""),2874.69)</f>
        <v>2874.69</v>
      </c>
      <c r="C1027" s="22">
        <f t="shared" si="10"/>
        <v>4257.73399</v>
      </c>
      <c r="D1027" s="25">
        <f>IFERROR(__xludf.DUMMYFUNCTION("""COMPUTED_VALUE"""),43316.99861111111)</f>
        <v>43316.99861</v>
      </c>
      <c r="E1027" s="22">
        <f>IFERROR(__xludf.DUMMYFUNCTION("""COMPUTED_VALUE"""),1.1579)</f>
        <v>1.1579</v>
      </c>
      <c r="F1027" s="22">
        <f t="shared" si="11"/>
        <v>349.3470696</v>
      </c>
      <c r="G1027" s="22">
        <f t="shared" si="79"/>
        <v>45.3171867</v>
      </c>
      <c r="H1027" s="22">
        <f t="shared" si="80"/>
        <v>124.1107089</v>
      </c>
    </row>
    <row r="1028" ht="15.75" customHeight="1">
      <c r="A1028" s="32">
        <f>IFERROR(__xludf.DUMMYFUNCTION("""COMPUTED_VALUE"""),43343.66666666667)</f>
        <v>43343.66667</v>
      </c>
      <c r="B1028" s="22">
        <f>IFERROR(__xludf.DUMMYFUNCTION("""COMPUTED_VALUE"""),2901.52)</f>
        <v>2901.52</v>
      </c>
      <c r="C1028" s="22">
        <f t="shared" si="10"/>
        <v>4299.109779</v>
      </c>
      <c r="D1028" s="25">
        <f>IFERROR(__xludf.DUMMYFUNCTION("""COMPUTED_VALUE"""),43323.99861111111)</f>
        <v>43323.99861</v>
      </c>
      <c r="E1028" s="22">
        <f>IFERROR(__xludf.DUMMYFUNCTION("""COMPUTED_VALUE"""),1.142)</f>
        <v>1.142</v>
      </c>
      <c r="F1028" s="22">
        <f t="shared" si="11"/>
        <v>357.6531588</v>
      </c>
      <c r="G1028" s="22">
        <f t="shared" si="79"/>
        <v>55.90109781</v>
      </c>
      <c r="H1028" s="22">
        <f t="shared" si="80"/>
        <v>126.072423</v>
      </c>
    </row>
    <row r="1029" ht="15.75" customHeight="1">
      <c r="A1029" s="32">
        <f>IFERROR(__xludf.DUMMYFUNCTION("""COMPUTED_VALUE"""),43350.66666666667)</f>
        <v>43350.66667</v>
      </c>
      <c r="B1029" s="22">
        <f>IFERROR(__xludf.DUMMYFUNCTION("""COMPUTED_VALUE"""),2871.68)</f>
        <v>2871.68</v>
      </c>
      <c r="C1029" s="22">
        <f t="shared" si="10"/>
        <v>4256.550099</v>
      </c>
      <c r="D1029" s="25">
        <f>IFERROR(__xludf.DUMMYFUNCTION("""COMPUTED_VALUE"""),43330.99861111111)</f>
        <v>43330.99861</v>
      </c>
      <c r="E1029" s="22">
        <f>IFERROR(__xludf.DUMMYFUNCTION("""COMPUTED_VALUE"""),1.1446)</f>
        <v>1.1446</v>
      </c>
      <c r="F1029" s="22">
        <f t="shared" si="11"/>
        <v>353.3081387</v>
      </c>
      <c r="G1029" s="22">
        <f t="shared" si="79"/>
        <v>54.61187681</v>
      </c>
      <c r="H1029" s="22">
        <f t="shared" si="80"/>
        <v>119.7551933</v>
      </c>
    </row>
    <row r="1030" ht="15.75" customHeight="1">
      <c r="A1030" s="32">
        <f>IFERROR(__xludf.DUMMYFUNCTION("""COMPUTED_VALUE"""),43357.66666666667)</f>
        <v>43357.66667</v>
      </c>
      <c r="B1030" s="22">
        <f>IFERROR(__xludf.DUMMYFUNCTION("""COMPUTED_VALUE"""),2904.98)</f>
        <v>2904.98</v>
      </c>
      <c r="C1030" s="22">
        <f t="shared" si="10"/>
        <v>4307.546187</v>
      </c>
      <c r="D1030" s="25">
        <f>IFERROR(__xludf.DUMMYFUNCTION("""COMPUTED_VALUE"""),43337.99861111111)</f>
        <v>43337.99861</v>
      </c>
      <c r="E1030" s="22">
        <f>IFERROR(__xludf.DUMMYFUNCTION("""COMPUTED_VALUE"""),1.1631)</f>
        <v>1.1631</v>
      </c>
      <c r="F1030" s="22">
        <f t="shared" si="11"/>
        <v>351.854023</v>
      </c>
      <c r="G1030" s="22">
        <f t="shared" si="79"/>
        <v>51.41807004</v>
      </c>
      <c r="H1030" s="22">
        <f t="shared" si="80"/>
        <v>113.3970258</v>
      </c>
    </row>
    <row r="1031" ht="15.75" customHeight="1">
      <c r="A1031" s="32">
        <f>IFERROR(__xludf.DUMMYFUNCTION("""COMPUTED_VALUE"""),43364.66666666667)</f>
        <v>43364.66667</v>
      </c>
      <c r="B1031" s="22">
        <f>IFERROR(__xludf.DUMMYFUNCTION("""COMPUTED_VALUE"""),2929.67)</f>
        <v>2929.67</v>
      </c>
      <c r="C1031" s="22">
        <f t="shared" si="10"/>
        <v>4345.813623</v>
      </c>
      <c r="D1031" s="25">
        <f>IFERROR(__xludf.DUMMYFUNCTION("""COMPUTED_VALUE"""),43344.99861111111)</f>
        <v>43344.99861</v>
      </c>
      <c r="E1031" s="22">
        <f>IFERROR(__xludf.DUMMYFUNCTION("""COMPUTED_VALUE"""),1.162)</f>
        <v>1.162</v>
      </c>
      <c r="F1031" s="22">
        <f t="shared" si="11"/>
        <v>355.3158679</v>
      </c>
      <c r="G1031" s="22">
        <f t="shared" si="79"/>
        <v>54.53088892</v>
      </c>
      <c r="H1031" s="22">
        <f t="shared" si="80"/>
        <v>117.017132</v>
      </c>
    </row>
    <row r="1032" ht="15.75" customHeight="1">
      <c r="A1032" s="32">
        <f>IFERROR(__xludf.DUMMYFUNCTION("""COMPUTED_VALUE"""),43371.66666666667)</f>
        <v>43371.66667</v>
      </c>
      <c r="B1032" s="22">
        <f>IFERROR(__xludf.DUMMYFUNCTION("""COMPUTED_VALUE"""),2913.98)</f>
        <v>2913.98</v>
      </c>
      <c r="C1032" s="22">
        <f t="shared" si="10"/>
        <v>4324.210859</v>
      </c>
      <c r="D1032" s="25">
        <f>IFERROR(__xludf.DUMMYFUNCTION("""COMPUTED_VALUE"""),43351.99861111111)</f>
        <v>43351.99861</v>
      </c>
      <c r="E1032" s="22">
        <f>IFERROR(__xludf.DUMMYFUNCTION("""COMPUTED_VALUE"""),1.157)</f>
        <v>1.157</v>
      </c>
      <c r="F1032" s="22">
        <f t="shared" si="11"/>
        <v>355.0774874</v>
      </c>
      <c r="G1032" s="22">
        <f t="shared" si="79"/>
        <v>55.364918</v>
      </c>
      <c r="H1032" s="22">
        <f t="shared" si="80"/>
        <v>118.907332</v>
      </c>
    </row>
    <row r="1033" ht="15.75" customHeight="1">
      <c r="A1033" s="32">
        <f>IFERROR(__xludf.DUMMYFUNCTION("""COMPUTED_VALUE"""),43378.66666666667)</f>
        <v>43378.66667</v>
      </c>
      <c r="B1033" s="22">
        <f>IFERROR(__xludf.DUMMYFUNCTION("""COMPUTED_VALUE"""),2885.57)</f>
        <v>2885.57</v>
      </c>
      <c r="C1033" s="22">
        <f t="shared" si="10"/>
        <v>4283.714898</v>
      </c>
      <c r="D1033" s="25">
        <f>IFERROR(__xludf.DUMMYFUNCTION("""COMPUTED_VALUE"""),43358.99861111111)</f>
        <v>43358.99861</v>
      </c>
      <c r="E1033" s="22">
        <f>IFERROR(__xludf.DUMMYFUNCTION("""COMPUTED_VALUE"""),1.1632)</f>
        <v>1.1632</v>
      </c>
      <c r="F1033" s="22">
        <f t="shared" si="11"/>
        <v>349.8773264</v>
      </c>
      <c r="G1033" s="22">
        <f t="shared" si="79"/>
        <v>47.73292539</v>
      </c>
      <c r="H1033" s="22">
        <f t="shared" si="80"/>
        <v>117.6323521</v>
      </c>
    </row>
    <row r="1034" ht="15.75" customHeight="1">
      <c r="A1034" s="32">
        <f>IFERROR(__xludf.DUMMYFUNCTION("""COMPUTED_VALUE"""),43385.66666666667)</f>
        <v>43385.66667</v>
      </c>
      <c r="B1034" s="22">
        <f>IFERROR(__xludf.DUMMYFUNCTION("""COMPUTED_VALUE"""),2767.13)</f>
        <v>2767.13</v>
      </c>
      <c r="C1034" s="22">
        <f t="shared" si="10"/>
        <v>4109.534761</v>
      </c>
      <c r="D1034" s="25">
        <f>IFERROR(__xludf.DUMMYFUNCTION("""COMPUTED_VALUE"""),43365.99861111111)</f>
        <v>43365.99861</v>
      </c>
      <c r="E1034" s="22">
        <f>IFERROR(__xludf.DUMMYFUNCTION("""COMPUTED_VALUE"""),1.1768)</f>
        <v>1.1768</v>
      </c>
      <c r="F1034" s="22">
        <f t="shared" si="11"/>
        <v>331.771925</v>
      </c>
      <c r="G1034" s="22">
        <f t="shared" si="79"/>
        <v>37.44131101</v>
      </c>
      <c r="H1034" s="22">
        <f t="shared" si="80"/>
        <v>101.4239121</v>
      </c>
    </row>
    <row r="1035" ht="15.75" customHeight="1">
      <c r="A1035" s="32">
        <f>IFERROR(__xludf.DUMMYFUNCTION("""COMPUTED_VALUE"""),43392.66666666667)</f>
        <v>43392.66667</v>
      </c>
      <c r="B1035" s="22">
        <f>IFERROR(__xludf.DUMMYFUNCTION("""COMPUTED_VALUE"""),2767.78)</f>
        <v>2767.78</v>
      </c>
      <c r="C1035" s="22">
        <f t="shared" si="10"/>
        <v>4112.080683</v>
      </c>
      <c r="D1035" s="25">
        <f>IFERROR(__xludf.DUMMYFUNCTION("""COMPUTED_VALUE"""),43372.99861111111)</f>
        <v>43372.99861</v>
      </c>
      <c r="E1035" s="22">
        <f>IFERROR(__xludf.DUMMYFUNCTION("""COMPUTED_VALUE"""),1.162)</f>
        <v>1.162</v>
      </c>
      <c r="F1035" s="22">
        <f t="shared" si="11"/>
        <v>336.2057473</v>
      </c>
      <c r="G1035" s="22">
        <f t="shared" si="79"/>
        <v>36.60006795</v>
      </c>
      <c r="H1035" s="22">
        <f t="shared" si="80"/>
        <v>102.7610213</v>
      </c>
    </row>
    <row r="1036" ht="15.75" customHeight="1">
      <c r="A1036" s="32">
        <f>IFERROR(__xludf.DUMMYFUNCTION("""COMPUTED_VALUE"""),43399.66666666667)</f>
        <v>43399.66667</v>
      </c>
      <c r="B1036" s="22">
        <f>IFERROR(__xludf.DUMMYFUNCTION("""COMPUTED_VALUE"""),2658.69)</f>
        <v>2658.69</v>
      </c>
      <c r="C1036" s="22">
        <f t="shared" si="10"/>
        <v>3951.587636</v>
      </c>
      <c r="D1036" s="25">
        <f>IFERROR(__xludf.DUMMYFUNCTION("""COMPUTED_VALUE"""),43379.99861111111)</f>
        <v>43379.99861</v>
      </c>
      <c r="E1036" s="22">
        <f>IFERROR(__xludf.DUMMYFUNCTION("""COMPUTED_VALUE"""),1.1531)</f>
        <v>1.1531</v>
      </c>
      <c r="F1036" s="22">
        <f t="shared" si="11"/>
        <v>325.5774218</v>
      </c>
      <c r="G1036" s="22">
        <f t="shared" si="79"/>
        <v>33.67039327</v>
      </c>
      <c r="H1036" s="22">
        <f t="shared" si="80"/>
        <v>95.83606694</v>
      </c>
    </row>
    <row r="1037" ht="15.75" customHeight="1">
      <c r="A1037" s="32">
        <f>IFERROR(__xludf.DUMMYFUNCTION("""COMPUTED_VALUE"""),43406.66666666667)</f>
        <v>43406.66667</v>
      </c>
      <c r="B1037" s="22">
        <f>IFERROR(__xludf.DUMMYFUNCTION("""COMPUTED_VALUE"""),2723.06)</f>
        <v>2723.06</v>
      </c>
      <c r="C1037" s="22">
        <f t="shared" si="10"/>
        <v>4048.780044</v>
      </c>
      <c r="D1037" s="25">
        <f>IFERROR(__xludf.DUMMYFUNCTION("""COMPUTED_VALUE"""),43386.99861111111)</f>
        <v>43386.99861</v>
      </c>
      <c r="E1037" s="22">
        <f>IFERROR(__xludf.DUMMYFUNCTION("""COMPUTED_VALUE"""),1.1573)</f>
        <v>1.1573</v>
      </c>
      <c r="F1037" s="22">
        <f t="shared" si="11"/>
        <v>332.3746282</v>
      </c>
      <c r="G1037" s="22">
        <f t="shared" si="79"/>
        <v>35.09012878</v>
      </c>
      <c r="H1037" s="22">
        <f t="shared" si="80"/>
        <v>100.906137</v>
      </c>
    </row>
    <row r="1038" ht="15.75" customHeight="1">
      <c r="A1038" s="32">
        <f>IFERROR(__xludf.DUMMYFUNCTION("""COMPUTED_VALUE"""),43413.66666666667)</f>
        <v>43413.66667</v>
      </c>
      <c r="B1038" s="22">
        <f>IFERROR(__xludf.DUMMYFUNCTION("""COMPUTED_VALUE"""),2781.01)</f>
        <v>2781.01</v>
      </c>
      <c r="C1038" s="22">
        <f t="shared" si="10"/>
        <v>4136.500188</v>
      </c>
      <c r="D1038" s="25">
        <f>IFERROR(__xludf.DUMMYFUNCTION("""COMPUTED_VALUE"""),43393.99861111111)</f>
        <v>43393.99861</v>
      </c>
      <c r="E1038" s="22">
        <f>IFERROR(__xludf.DUMMYFUNCTION("""COMPUTED_VALUE"""),1.1528)</f>
        <v>1.1528</v>
      </c>
      <c r="F1038" s="22">
        <f t="shared" si="11"/>
        <v>340.9013449</v>
      </c>
      <c r="G1038" s="22">
        <f t="shared" si="79"/>
        <v>39.44159512</v>
      </c>
      <c r="H1038" s="22">
        <f t="shared" si="80"/>
        <v>104.6325533</v>
      </c>
    </row>
    <row r="1039" ht="15.75" customHeight="1">
      <c r="A1039" s="32">
        <f>IFERROR(__xludf.DUMMYFUNCTION("""COMPUTED_VALUE"""),43420.66666666667)</f>
        <v>43420.66667</v>
      </c>
      <c r="B1039" s="22">
        <f>IFERROR(__xludf.DUMMYFUNCTION("""COMPUTED_VALUE"""),2736.27)</f>
        <v>2736.27</v>
      </c>
      <c r="C1039" s="22">
        <f t="shared" si="10"/>
        <v>4071.544456</v>
      </c>
      <c r="D1039" s="25">
        <f>IFERROR(__xludf.DUMMYFUNCTION("""COMPUTED_VALUE"""),43400.99861111111)</f>
        <v>43400.99861</v>
      </c>
      <c r="E1039" s="22">
        <f>IFERROR(__xludf.DUMMYFUNCTION("""COMPUTED_VALUE"""),1.1423)</f>
        <v>1.1423</v>
      </c>
      <c r="F1039" s="22">
        <f t="shared" si="11"/>
        <v>338.6325012</v>
      </c>
      <c r="G1039" s="22">
        <f t="shared" si="79"/>
        <v>33.98175813</v>
      </c>
      <c r="H1039" s="22">
        <f t="shared" si="80"/>
        <v>97.8027679</v>
      </c>
    </row>
    <row r="1040" ht="15.75" customHeight="1">
      <c r="A1040" s="32">
        <f>IFERROR(__xludf.DUMMYFUNCTION("""COMPUTED_VALUE"""),43427.54166666667)</f>
        <v>43427.54167</v>
      </c>
      <c r="B1040" s="22">
        <f>IFERROR(__xludf.DUMMYFUNCTION("""COMPUTED_VALUE"""),2632.56)</f>
        <v>2632.56</v>
      </c>
      <c r="C1040" s="22">
        <f t="shared" si="10"/>
        <v>3918.790914</v>
      </c>
      <c r="D1040" s="25">
        <f>IFERROR(__xludf.DUMMYFUNCTION("""COMPUTED_VALUE"""),43407.99861111111)</f>
        <v>43407.99861</v>
      </c>
      <c r="E1040" s="22">
        <f>IFERROR(__xludf.DUMMYFUNCTION("""COMPUTED_VALUE"""),1.1386)</f>
        <v>1.1386</v>
      </c>
      <c r="F1040" s="22">
        <f t="shared" si="11"/>
        <v>326.9870453</v>
      </c>
      <c r="G1040" s="22">
        <f t="shared" si="79"/>
        <v>26.14797419</v>
      </c>
      <c r="H1040" s="22">
        <f t="shared" si="80"/>
        <v>89.13236297</v>
      </c>
    </row>
    <row r="1041" ht="15.75" customHeight="1">
      <c r="A1041" s="32">
        <f>IFERROR(__xludf.DUMMYFUNCTION("""COMPUTED_VALUE"""),43434.66666666667)</f>
        <v>43434.66667</v>
      </c>
      <c r="B1041" s="22">
        <f>IFERROR(__xludf.DUMMYFUNCTION("""COMPUTED_VALUE"""),2760.17)</f>
        <v>2760.17</v>
      </c>
      <c r="C1041" s="22">
        <f t="shared" si="10"/>
        <v>4110.25655</v>
      </c>
      <c r="D1041" s="25">
        <f>IFERROR(__xludf.DUMMYFUNCTION("""COMPUTED_VALUE"""),43414.99861111111)</f>
        <v>43414.99861</v>
      </c>
      <c r="E1041" s="22">
        <f>IFERROR(__xludf.DUMMYFUNCTION("""COMPUTED_VALUE"""),1.1336)</f>
        <v>1.1336</v>
      </c>
      <c r="F1041" s="22">
        <f t="shared" si="11"/>
        <v>344.4758075</v>
      </c>
      <c r="G1041" s="22">
        <f t="shared" si="79"/>
        <v>33.04634248</v>
      </c>
      <c r="H1041" s="22">
        <f t="shared" si="80"/>
        <v>101.143778</v>
      </c>
    </row>
    <row r="1042" ht="15.75" customHeight="1">
      <c r="A1042" s="32">
        <f>IFERROR(__xludf.DUMMYFUNCTION("""COMPUTED_VALUE"""),43441.66666666667)</f>
        <v>43441.66667</v>
      </c>
      <c r="B1042" s="22">
        <f>IFERROR(__xludf.DUMMYFUNCTION("""COMPUTED_VALUE"""),2633.08)</f>
        <v>2633.08</v>
      </c>
      <c r="C1042" s="22">
        <f t="shared" si="10"/>
        <v>3922.583675</v>
      </c>
      <c r="D1042" s="25">
        <f>IFERROR(__xludf.DUMMYFUNCTION("""COMPUTED_VALUE"""),43421.99861111111)</f>
        <v>43421.99861</v>
      </c>
      <c r="E1042" s="22">
        <f>IFERROR(__xludf.DUMMYFUNCTION("""COMPUTED_VALUE"""),1.1419)</f>
        <v>1.1419</v>
      </c>
      <c r="F1042" s="22">
        <f t="shared" si="11"/>
        <v>326.3576352</v>
      </c>
      <c r="G1042" s="22">
        <f t="shared" si="79"/>
        <v>29.52902929</v>
      </c>
      <c r="H1042" s="22">
        <f t="shared" si="80"/>
        <v>94.55963169</v>
      </c>
    </row>
    <row r="1043" ht="15.75" customHeight="1">
      <c r="A1043" s="32">
        <f>IFERROR(__xludf.DUMMYFUNCTION("""COMPUTED_VALUE"""),43448.66666666667)</f>
        <v>43448.66667</v>
      </c>
      <c r="B1043" s="22">
        <f>IFERROR(__xludf.DUMMYFUNCTION("""COMPUTED_VALUE"""),2599.95)</f>
        <v>2599.95</v>
      </c>
      <c r="C1043" s="22">
        <f t="shared" si="10"/>
        <v>3874.737538</v>
      </c>
      <c r="D1043" s="25">
        <f>IFERROR(__xludf.DUMMYFUNCTION("""COMPUTED_VALUE"""),43428.99861111111)</f>
        <v>43428.99861</v>
      </c>
      <c r="E1043" s="22">
        <f>IFERROR(__xludf.DUMMYFUNCTION("""COMPUTED_VALUE"""),1.1343)</f>
        <v>1.1343</v>
      </c>
      <c r="F1043" s="22">
        <f t="shared" si="11"/>
        <v>324.5368317</v>
      </c>
      <c r="G1043" s="22">
        <f t="shared" si="79"/>
        <v>28.51499624</v>
      </c>
      <c r="H1043" s="22">
        <f t="shared" si="80"/>
        <v>89.33042842</v>
      </c>
    </row>
    <row r="1044" ht="15.75" customHeight="1">
      <c r="A1044" s="32">
        <f>IFERROR(__xludf.DUMMYFUNCTION("""COMPUTED_VALUE"""),43455.66666666667)</f>
        <v>43455.66667</v>
      </c>
      <c r="B1044" s="22">
        <f>IFERROR(__xludf.DUMMYFUNCTION("""COMPUTED_VALUE"""),2416.62)</f>
        <v>2416.62</v>
      </c>
      <c r="C1044" s="22">
        <f t="shared" si="10"/>
        <v>3603.008862</v>
      </c>
      <c r="D1044" s="25">
        <f>IFERROR(__xludf.DUMMYFUNCTION("""COMPUTED_VALUE"""),43435.99861111111)</f>
        <v>43435.99861</v>
      </c>
      <c r="E1044" s="22">
        <f>IFERROR(__xludf.DUMMYFUNCTION("""COMPUTED_VALUE"""),1.132)</f>
        <v>1.132</v>
      </c>
      <c r="F1044" s="22">
        <f t="shared" si="11"/>
        <v>302.3907746</v>
      </c>
      <c r="G1044" s="22">
        <f t="shared" si="79"/>
        <v>19.67549932</v>
      </c>
      <c r="H1044" s="22">
        <f t="shared" si="80"/>
        <v>75.55456733</v>
      </c>
    </row>
    <row r="1045" ht="15.75" customHeight="1">
      <c r="A1045" s="32">
        <f>IFERROR(__xludf.DUMMYFUNCTION("""COMPUTED_VALUE"""),43462.66666666667)</f>
        <v>43462.66667</v>
      </c>
      <c r="B1045" s="22">
        <f>IFERROR(__xludf.DUMMYFUNCTION("""COMPUTED_VALUE"""),2485.74)</f>
        <v>2485.74</v>
      </c>
      <c r="C1045" s="22">
        <f t="shared" si="10"/>
        <v>3707.447648</v>
      </c>
      <c r="D1045" s="25">
        <f>IFERROR(__xludf.DUMMYFUNCTION("""COMPUTED_VALUE"""),43442.99861111111)</f>
        <v>43442.99861</v>
      </c>
      <c r="E1045" s="22">
        <f>IFERROR(__xludf.DUMMYFUNCTION("""COMPUTED_VALUE"""),1.1378)</f>
        <v>1.1378</v>
      </c>
      <c r="F1045" s="22">
        <f t="shared" si="11"/>
        <v>309.5699035</v>
      </c>
      <c r="G1045" s="22">
        <f t="shared" si="79"/>
        <v>24.74488309</v>
      </c>
      <c r="H1045" s="22">
        <f t="shared" si="80"/>
        <v>81.13781864</v>
      </c>
    </row>
    <row r="1046" ht="15.75" customHeight="1">
      <c r="A1046" s="32">
        <f>IFERROR(__xludf.DUMMYFUNCTION("""COMPUTED_VALUE"""),43469.66666666667)</f>
        <v>43469.66667</v>
      </c>
      <c r="B1046" s="22">
        <f>IFERROR(__xludf.DUMMYFUNCTION("""COMPUTED_VALUE"""),2531.94)</f>
        <v>2531.94</v>
      </c>
      <c r="C1046" s="22">
        <f t="shared" si="10"/>
        <v>3777.780266</v>
      </c>
      <c r="D1046" s="25">
        <f>IFERROR(__xludf.DUMMYFUNCTION("""COMPUTED_VALUE"""),43449.99861111111)</f>
        <v>43449.99861</v>
      </c>
      <c r="E1046" s="22">
        <f>IFERROR(__xludf.DUMMYFUNCTION("""COMPUTED_VALUE"""),1.1309)</f>
        <v>1.1309</v>
      </c>
      <c r="F1046" s="22">
        <f t="shared" si="11"/>
        <v>317.3672609</v>
      </c>
      <c r="G1046" s="22">
        <f t="shared" si="79"/>
        <v>34.38830907</v>
      </c>
      <c r="H1046" s="22">
        <f t="shared" si="80"/>
        <v>83.58098851</v>
      </c>
    </row>
    <row r="1047" ht="15.75" customHeight="1">
      <c r="A1047" s="32">
        <f>IFERROR(__xludf.DUMMYFUNCTION("""COMPUTED_VALUE"""),43476.66666666667)</f>
        <v>43476.66667</v>
      </c>
      <c r="B1047" s="22">
        <f>IFERROR(__xludf.DUMMYFUNCTION("""COMPUTED_VALUE"""),2596.26)</f>
        <v>2596.26</v>
      </c>
      <c r="C1047" s="22">
        <f t="shared" si="10"/>
        <v>3875.201893</v>
      </c>
      <c r="D1047" s="25">
        <f>IFERROR(__xludf.DUMMYFUNCTION("""COMPUTED_VALUE"""),43456.99861111111)</f>
        <v>43456.99861</v>
      </c>
      <c r="E1047" s="22">
        <f>IFERROR(__xludf.DUMMYFUNCTION("""COMPUTED_VALUE"""),1.1382)</f>
        <v>1.1382</v>
      </c>
      <c r="F1047" s="22">
        <f t="shared" si="11"/>
        <v>323.4635781</v>
      </c>
      <c r="G1047" s="22">
        <f t="shared" si="79"/>
        <v>41.31369104</v>
      </c>
      <c r="H1047" s="22">
        <f t="shared" si="80"/>
        <v>88.36823256</v>
      </c>
    </row>
    <row r="1048" ht="15.75" customHeight="1">
      <c r="A1048" s="32">
        <f>IFERROR(__xludf.DUMMYFUNCTION("""COMPUTED_VALUE"""),43483.66666666667)</f>
        <v>43483.66667</v>
      </c>
      <c r="B1048" s="22">
        <f>IFERROR(__xludf.DUMMYFUNCTION("""COMPUTED_VALUE"""),2670.71)</f>
        <v>2670.71</v>
      </c>
      <c r="C1048" s="22">
        <f t="shared" si="10"/>
        <v>3987.81712</v>
      </c>
      <c r="D1048" s="25">
        <f>IFERROR(__xludf.DUMMYFUNCTION("""COMPUTED_VALUE"""),43463.99861111111)</f>
        <v>43463.99861</v>
      </c>
      <c r="E1048" s="22">
        <f>IFERROR(__xludf.DUMMYFUNCTION("""COMPUTED_VALUE"""),1.1439)</f>
        <v>1.1439</v>
      </c>
      <c r="F1048" s="22">
        <f t="shared" si="11"/>
        <v>331.2049413</v>
      </c>
      <c r="G1048" s="22">
        <f t="shared" si="79"/>
        <v>40.55473949</v>
      </c>
      <c r="H1048" s="22">
        <f t="shared" si="80"/>
        <v>95.7944111</v>
      </c>
    </row>
    <row r="1049" ht="15.75" customHeight="1">
      <c r="A1049" s="32">
        <f>IFERROR(__xludf.DUMMYFUNCTION("""COMPUTED_VALUE"""),43490.66666666667)</f>
        <v>43490.66667</v>
      </c>
      <c r="B1049" s="22">
        <f>IFERROR(__xludf.DUMMYFUNCTION("""COMPUTED_VALUE"""),2664.76)</f>
        <v>2664.76</v>
      </c>
      <c r="C1049" s="22">
        <f t="shared" si="10"/>
        <v>3980.46655</v>
      </c>
      <c r="D1049" s="25">
        <f>IFERROR(__xludf.DUMMYFUNCTION("""COMPUTED_VALUE"""),43470.99861111111)</f>
        <v>43470.99861</v>
      </c>
      <c r="E1049" s="22">
        <f>IFERROR(__xludf.DUMMYFUNCTION("""COMPUTED_VALUE"""),1.1394)</f>
        <v>1.1394</v>
      </c>
      <c r="F1049" s="22">
        <f t="shared" si="11"/>
        <v>331.9001109</v>
      </c>
      <c r="G1049" s="22">
        <f t="shared" si="79"/>
        <v>39.7247531</v>
      </c>
      <c r="H1049" s="22">
        <f t="shared" si="80"/>
        <v>98.18008689</v>
      </c>
    </row>
    <row r="1050" ht="15.75" customHeight="1">
      <c r="A1050" s="32">
        <f>IFERROR(__xludf.DUMMYFUNCTION("""COMPUTED_VALUE"""),43497.66666666667)</f>
        <v>43497.66667</v>
      </c>
      <c r="B1050" s="22">
        <f>IFERROR(__xludf.DUMMYFUNCTION("""COMPUTED_VALUE"""),2706.53)</f>
        <v>2706.53</v>
      </c>
      <c r="C1050" s="22">
        <f t="shared" si="10"/>
        <v>4044.391143</v>
      </c>
      <c r="D1050" s="25">
        <f>IFERROR(__xludf.DUMMYFUNCTION("""COMPUTED_VALUE"""),43477.99861111111)</f>
        <v>43477.99861</v>
      </c>
      <c r="E1050" s="22">
        <f>IFERROR(__xludf.DUMMYFUNCTION("""COMPUTED_VALUE"""),1.1468)</f>
        <v>1.1468</v>
      </c>
      <c r="F1050" s="22">
        <f t="shared" si="11"/>
        <v>335.0542263</v>
      </c>
      <c r="G1050" s="22">
        <f t="shared" si="79"/>
        <v>45.4106855</v>
      </c>
      <c r="H1050" s="22">
        <f t="shared" si="80"/>
        <v>96.49466296</v>
      </c>
    </row>
    <row r="1051" ht="15.75" customHeight="1">
      <c r="A1051" s="32">
        <f>IFERROR(__xludf.DUMMYFUNCTION("""COMPUTED_VALUE"""),43504.66666666667)</f>
        <v>43504.66667</v>
      </c>
      <c r="B1051" s="22">
        <f>IFERROR(__xludf.DUMMYFUNCTION("""COMPUTED_VALUE"""),2707.88)</f>
        <v>2707.88</v>
      </c>
      <c r="C1051" s="22">
        <f t="shared" si="10"/>
        <v>4047.963995</v>
      </c>
      <c r="D1051" s="25">
        <f>IFERROR(__xludf.DUMMYFUNCTION("""COMPUTED_VALUE"""),43484.99861111111)</f>
        <v>43484.99861</v>
      </c>
      <c r="E1051" s="22">
        <f>IFERROR(__xludf.DUMMYFUNCTION("""COMPUTED_VALUE"""),1.1363)</f>
        <v>1.1363</v>
      </c>
      <c r="F1051" s="22">
        <f t="shared" si="11"/>
        <v>338.4490257</v>
      </c>
      <c r="G1051" s="22">
        <f t="shared" si="79"/>
        <v>46.50302245</v>
      </c>
      <c r="H1051" s="22">
        <f t="shared" si="80"/>
        <v>95.85422318</v>
      </c>
    </row>
    <row r="1052" ht="15.75" customHeight="1">
      <c r="A1052" s="32">
        <f>IFERROR(__xludf.DUMMYFUNCTION("""COMPUTED_VALUE"""),43511.66666666667)</f>
        <v>43511.66667</v>
      </c>
      <c r="B1052" s="22">
        <f>IFERROR(__xludf.DUMMYFUNCTION("""COMPUTED_VALUE"""),2775.6)</f>
        <v>2775.6</v>
      </c>
      <c r="C1052" s="22">
        <f t="shared" si="10"/>
        <v>4150.754386</v>
      </c>
      <c r="D1052" s="25">
        <f>IFERROR(__xludf.DUMMYFUNCTION("""COMPUTED_VALUE"""),43491.99861111111)</f>
        <v>43491.99861</v>
      </c>
      <c r="E1052" s="22">
        <f>IFERROR(__xludf.DUMMYFUNCTION("""COMPUTED_VALUE"""),1.1406)</f>
        <v>1.1406</v>
      </c>
      <c r="F1052" s="22">
        <f t="shared" si="11"/>
        <v>345.7349644</v>
      </c>
      <c r="G1052" s="22">
        <f t="shared" si="79"/>
        <v>45.89626356</v>
      </c>
      <c r="H1052" s="22">
        <f t="shared" si="80"/>
        <v>97.4996406</v>
      </c>
    </row>
    <row r="1053" ht="15.75" customHeight="1">
      <c r="A1053" s="32">
        <f>IFERROR(__xludf.DUMMYFUNCTION("""COMPUTED_VALUE"""),43518.66666666667)</f>
        <v>43518.66667</v>
      </c>
      <c r="B1053" s="22">
        <f>IFERROR(__xludf.DUMMYFUNCTION("""COMPUTED_VALUE"""),2792.67)</f>
        <v>2792.67</v>
      </c>
      <c r="C1053" s="22">
        <f t="shared" si="10"/>
        <v>4177.878059</v>
      </c>
      <c r="D1053" s="25">
        <f>IFERROR(__xludf.DUMMYFUNCTION("""COMPUTED_VALUE"""),43498.99861111111)</f>
        <v>43498.99861</v>
      </c>
      <c r="E1053" s="22">
        <f>IFERROR(__xludf.DUMMYFUNCTION("""COMPUTED_VALUE"""),1.1456)</f>
        <v>1.1456</v>
      </c>
      <c r="F1053" s="22">
        <f t="shared" si="11"/>
        <v>346.4753874</v>
      </c>
      <c r="G1053" s="22">
        <f t="shared" si="79"/>
        <v>48.23207787</v>
      </c>
      <c r="H1053" s="22">
        <f t="shared" si="80"/>
        <v>97.50846403</v>
      </c>
    </row>
    <row r="1054" ht="15.75" customHeight="1">
      <c r="A1054" s="32">
        <f>IFERROR(__xludf.DUMMYFUNCTION("""COMPUTED_VALUE"""),43525.66666666667)</f>
        <v>43525.66667</v>
      </c>
      <c r="B1054" s="22">
        <f>IFERROR(__xludf.DUMMYFUNCTION("""COMPUTED_VALUE"""),2803.69)</f>
        <v>2803.69</v>
      </c>
      <c r="C1054" s="22">
        <f t="shared" si="10"/>
        <v>4195.971028</v>
      </c>
      <c r="D1054" s="25">
        <f>IFERROR(__xludf.DUMMYFUNCTION("""COMPUTED_VALUE"""),43505.99861111111)</f>
        <v>43505.99861</v>
      </c>
      <c r="E1054" s="22">
        <f>IFERROR(__xludf.DUMMYFUNCTION("""COMPUTED_VALUE"""),1.1329)</f>
        <v>1.1329</v>
      </c>
      <c r="F1054" s="22">
        <f t="shared" si="11"/>
        <v>351.8767224</v>
      </c>
      <c r="G1054" s="22">
        <f t="shared" si="79"/>
        <v>47.84221398</v>
      </c>
      <c r="H1054" s="22">
        <f t="shared" si="80"/>
        <v>99.35634233</v>
      </c>
    </row>
    <row r="1055" ht="15.75" customHeight="1">
      <c r="A1055" s="32">
        <f>IFERROR(__xludf.DUMMYFUNCTION("""COMPUTED_VALUE"""),43532.66666666667)</f>
        <v>43532.66667</v>
      </c>
      <c r="B1055" s="22">
        <f>IFERROR(__xludf.DUMMYFUNCTION("""COMPUTED_VALUE"""),2743.07)</f>
        <v>2743.07</v>
      </c>
      <c r="C1055" s="22">
        <f t="shared" si="10"/>
        <v>4106.861651</v>
      </c>
      <c r="D1055" s="25">
        <f>IFERROR(__xludf.DUMMYFUNCTION("""COMPUTED_VALUE"""),43512.99861111111)</f>
        <v>43512.99861</v>
      </c>
      <c r="E1055" s="22">
        <f>IFERROR(__xludf.DUMMYFUNCTION("""COMPUTED_VALUE"""),1.1295)</f>
        <v>1.1295</v>
      </c>
      <c r="F1055" s="22">
        <f t="shared" si="11"/>
        <v>345.4406734</v>
      </c>
      <c r="G1055" s="22">
        <f t="shared" si="79"/>
        <v>41.9052351</v>
      </c>
      <c r="H1055" s="22">
        <f t="shared" si="80"/>
        <v>100.2548187</v>
      </c>
    </row>
    <row r="1056" ht="15.75" customHeight="1">
      <c r="A1056" s="32">
        <f>IFERROR(__xludf.DUMMYFUNCTION("""COMPUTED_VALUE"""),43539.66666666667)</f>
        <v>43539.66667</v>
      </c>
      <c r="B1056" s="22">
        <f>IFERROR(__xludf.DUMMYFUNCTION("""COMPUTED_VALUE"""),2822.48)</f>
        <v>2822.48</v>
      </c>
      <c r="C1056" s="22">
        <f t="shared" si="10"/>
        <v>4227.332048</v>
      </c>
      <c r="D1056" s="25">
        <f>IFERROR(__xludf.DUMMYFUNCTION("""COMPUTED_VALUE"""),43519.99861111111)</f>
        <v>43519.99861</v>
      </c>
      <c r="E1056" s="22">
        <f>IFERROR(__xludf.DUMMYFUNCTION("""COMPUTED_VALUE"""),1.134)</f>
        <v>1.134</v>
      </c>
      <c r="F1056" s="22">
        <f t="shared" si="11"/>
        <v>354.1627992</v>
      </c>
      <c r="G1056" s="22">
        <f t="shared" si="79"/>
        <v>40.91091172</v>
      </c>
      <c r="H1056" s="22">
        <f t="shared" si="80"/>
        <v>103.3533791</v>
      </c>
    </row>
    <row r="1057" ht="15.75" customHeight="1">
      <c r="A1057" s="32">
        <f>IFERROR(__xludf.DUMMYFUNCTION("""COMPUTED_VALUE"""),43546.66666666667)</f>
        <v>43546.66667</v>
      </c>
      <c r="B1057" s="22">
        <f>IFERROR(__xludf.DUMMYFUNCTION("""COMPUTED_VALUE"""),2800.71)</f>
        <v>2800.71</v>
      </c>
      <c r="C1057" s="22">
        <f t="shared" si="10"/>
        <v>4196.352216</v>
      </c>
      <c r="D1057" s="25">
        <f>IFERROR(__xludf.DUMMYFUNCTION("""COMPUTED_VALUE"""),43526.99861111111)</f>
        <v>43526.99861</v>
      </c>
      <c r="E1057" s="22">
        <f>IFERROR(__xludf.DUMMYFUNCTION("""COMPUTED_VALUE"""),1.1376)</f>
        <v>1.1376</v>
      </c>
      <c r="F1057" s="22">
        <f t="shared" si="11"/>
        <v>350.4547766</v>
      </c>
      <c r="G1057" s="22">
        <f t="shared" si="79"/>
        <v>41.29630161</v>
      </c>
      <c r="H1057" s="22">
        <f t="shared" si="80"/>
        <v>103.2542236</v>
      </c>
    </row>
    <row r="1058" ht="15.75" customHeight="1">
      <c r="A1058" s="32">
        <f>IFERROR(__xludf.DUMMYFUNCTION("""COMPUTED_VALUE"""),43553.66666666667)</f>
        <v>43553.66667</v>
      </c>
      <c r="B1058" s="22">
        <f>IFERROR(__xludf.DUMMYFUNCTION("""COMPUTED_VALUE"""),2834.4)</f>
        <v>2834.4</v>
      </c>
      <c r="C1058" s="22">
        <f t="shared" si="10"/>
        <v>4248.444507</v>
      </c>
      <c r="D1058" s="25">
        <f>IFERROR(__xludf.DUMMYFUNCTION("""COMPUTED_VALUE"""),43533.99861111111)</f>
        <v>43533.99861</v>
      </c>
      <c r="E1058" s="22">
        <f>IFERROR(__xludf.DUMMYFUNCTION("""COMPUTED_VALUE"""),1.1238)</f>
        <v>1.1238</v>
      </c>
      <c r="F1058" s="22">
        <f t="shared" si="11"/>
        <v>359.1621446</v>
      </c>
      <c r="G1058" s="22">
        <f t="shared" si="79"/>
        <v>43.99334158</v>
      </c>
      <c r="H1058" s="22">
        <f t="shared" si="80"/>
        <v>107.9135166</v>
      </c>
    </row>
    <row r="1059" ht="15.75" customHeight="1">
      <c r="A1059" s="32">
        <f>IFERROR(__xludf.DUMMYFUNCTION("""COMPUTED_VALUE"""),43560.66666666667)</f>
        <v>43560.66667</v>
      </c>
      <c r="B1059" s="22">
        <f>IFERROR(__xludf.DUMMYFUNCTION("""COMPUTED_VALUE"""),2892.74)</f>
        <v>2892.74</v>
      </c>
      <c r="C1059" s="22">
        <f t="shared" si="10"/>
        <v>4337.523575</v>
      </c>
      <c r="D1059" s="25">
        <f>IFERROR(__xludf.DUMMYFUNCTION("""COMPUTED_VALUE"""),43540.99861111111)</f>
        <v>43540.99861</v>
      </c>
      <c r="E1059" s="22">
        <f>IFERROR(__xludf.DUMMYFUNCTION("""COMPUTED_VALUE"""),1.1342)</f>
        <v>1.1342</v>
      </c>
      <c r="F1059" s="22">
        <f t="shared" si="11"/>
        <v>363.3304856</v>
      </c>
      <c r="G1059" s="22">
        <f t="shared" si="79"/>
        <v>49.02762231</v>
      </c>
      <c r="H1059" s="22">
        <f t="shared" si="80"/>
        <v>114.1476028</v>
      </c>
    </row>
    <row r="1060" ht="15.75" customHeight="1">
      <c r="A1060" s="32">
        <f>IFERROR(__xludf.DUMMYFUNCTION("""COMPUTED_VALUE"""),43567.66666666667)</f>
        <v>43567.66667</v>
      </c>
      <c r="B1060" s="22">
        <f>IFERROR(__xludf.DUMMYFUNCTION("""COMPUTED_VALUE"""),2907.41)</f>
        <v>2907.41</v>
      </c>
      <c r="C1060" s="22">
        <f t="shared" si="10"/>
        <v>4361.188808</v>
      </c>
      <c r="D1060" s="25">
        <f>IFERROR(__xludf.DUMMYFUNCTION("""COMPUTED_VALUE"""),43547.99861111111)</f>
        <v>43547.99861</v>
      </c>
      <c r="E1060" s="22">
        <f>IFERROR(__xludf.DUMMYFUNCTION("""COMPUTED_VALUE"""),1.1313)</f>
        <v>1.1313</v>
      </c>
      <c r="F1060" s="22">
        <f t="shared" si="11"/>
        <v>366.249243</v>
      </c>
      <c r="G1060" s="22">
        <f t="shared" si="79"/>
        <v>46.33973253</v>
      </c>
      <c r="H1060" s="22">
        <f t="shared" si="80"/>
        <v>109.4134189</v>
      </c>
    </row>
    <row r="1061" ht="15.75" customHeight="1">
      <c r="A1061" s="32">
        <f>IFERROR(__xludf.DUMMYFUNCTION("""COMPUTED_VALUE"""),43573.66666666667)</f>
        <v>43573.66667</v>
      </c>
      <c r="B1061" s="22">
        <f>IFERROR(__xludf.DUMMYFUNCTION("""COMPUTED_VALUE"""),2905.03)</f>
        <v>2905.03</v>
      </c>
      <c r="C1061" s="22">
        <f t="shared" si="10"/>
        <v>4359.296128</v>
      </c>
      <c r="D1061" s="25">
        <f>IFERROR(__xludf.DUMMYFUNCTION("""COMPUTED_VALUE"""),43554.99861111111)</f>
        <v>43554.99861</v>
      </c>
      <c r="E1061" s="22">
        <f>IFERROR(__xludf.DUMMYFUNCTION("""COMPUTED_VALUE"""),1.123)</f>
        <v>1.123</v>
      </c>
      <c r="F1061" s="22">
        <f t="shared" si="11"/>
        <v>368.7960403</v>
      </c>
      <c r="G1061" s="22">
        <f t="shared" si="79"/>
        <v>49.58588132</v>
      </c>
      <c r="H1061" s="22">
        <f t="shared" si="80"/>
        <v>110.2315425</v>
      </c>
    </row>
    <row r="1062" ht="15.75" customHeight="1">
      <c r="A1062" s="32">
        <f>IFERROR(__xludf.DUMMYFUNCTION("""COMPUTED_VALUE"""),43581.66666666667)</f>
        <v>43581.66667</v>
      </c>
      <c r="B1062" s="22">
        <f>IFERROR(__xludf.DUMMYFUNCTION("""COMPUTED_VALUE"""),2939.88)</f>
        <v>2939.88</v>
      </c>
      <c r="C1062" s="22">
        <f t="shared" si="10"/>
        <v>4413.268788</v>
      </c>
      <c r="D1062" s="25">
        <f>IFERROR(__xludf.DUMMYFUNCTION("""COMPUTED_VALUE"""),43561.99861111111)</f>
        <v>43561.99861</v>
      </c>
      <c r="E1062" s="22">
        <f>IFERROR(__xludf.DUMMYFUNCTION("""COMPUTED_VALUE"""),1.123)</f>
        <v>1.123</v>
      </c>
      <c r="F1062" s="22">
        <f t="shared" si="11"/>
        <v>373.3621222</v>
      </c>
      <c r="G1062" s="22">
        <f t="shared" si="79"/>
        <v>53.34554847</v>
      </c>
      <c r="H1062" s="22">
        <f t="shared" si="80"/>
        <v>113.4995639</v>
      </c>
    </row>
    <row r="1063" ht="15.75" customHeight="1">
      <c r="A1063" s="32">
        <f>IFERROR(__xludf.DUMMYFUNCTION("""COMPUTED_VALUE"""),43588.66666666667)</f>
        <v>43588.66667</v>
      </c>
      <c r="B1063" s="22">
        <f>IFERROR(__xludf.DUMMYFUNCTION("""COMPUTED_VALUE"""),2945.64)</f>
        <v>2945.64</v>
      </c>
      <c r="C1063" s="22">
        <f t="shared" si="10"/>
        <v>4423.612956</v>
      </c>
      <c r="D1063" s="25">
        <f>IFERROR(__xludf.DUMMYFUNCTION("""COMPUTED_VALUE"""),43568.99861111111)</f>
        <v>43568.99861</v>
      </c>
      <c r="E1063" s="22">
        <f>IFERROR(__xludf.DUMMYFUNCTION("""COMPUTED_VALUE"""),1.1318)</f>
        <v>1.1318</v>
      </c>
      <c r="F1063" s="22">
        <f t="shared" si="11"/>
        <v>371.327459</v>
      </c>
      <c r="G1063" s="22">
        <f t="shared" si="79"/>
        <v>51.56074746</v>
      </c>
      <c r="H1063" s="22">
        <f t="shared" si="80"/>
        <v>111.4832375</v>
      </c>
    </row>
    <row r="1064" ht="15.75" customHeight="1">
      <c r="A1064" s="32">
        <f>IFERROR(__xludf.DUMMYFUNCTION("""COMPUTED_VALUE"""),43595.66666666667)</f>
        <v>43595.66667</v>
      </c>
      <c r="B1064" s="22">
        <f>IFERROR(__xludf.DUMMYFUNCTION("""COMPUTED_VALUE"""),2881.4)</f>
        <v>2881.4</v>
      </c>
      <c r="C1064" s="22">
        <f t="shared" si="10"/>
        <v>4328.841967</v>
      </c>
      <c r="D1064" s="25">
        <f>IFERROR(__xludf.DUMMYFUNCTION("""COMPUTED_VALUE"""),43575.99861111111)</f>
        <v>43575.99861</v>
      </c>
      <c r="E1064" s="22">
        <f>IFERROR(__xludf.DUMMYFUNCTION("""COMPUTED_VALUE"""),1.1244)</f>
        <v>1.1244</v>
      </c>
      <c r="F1064" s="22">
        <f t="shared" si="11"/>
        <v>365.763638</v>
      </c>
      <c r="G1064" s="22">
        <f t="shared" si="79"/>
        <v>49.16908438</v>
      </c>
      <c r="H1064" s="22">
        <f t="shared" si="80"/>
        <v>108.5895961</v>
      </c>
    </row>
    <row r="1065" ht="15.75" customHeight="1">
      <c r="A1065" s="32">
        <f>IFERROR(__xludf.DUMMYFUNCTION("""COMPUTED_VALUE"""),43602.66666666667)</f>
        <v>43602.66667</v>
      </c>
      <c r="B1065" s="22">
        <f>IFERROR(__xludf.DUMMYFUNCTION("""COMPUTED_VALUE"""),2859.53)</f>
        <v>2859.53</v>
      </c>
      <c r="C1065" s="22">
        <f t="shared" si="10"/>
        <v>4297.650734</v>
      </c>
      <c r="D1065" s="25">
        <f>IFERROR(__xludf.DUMMYFUNCTION("""COMPUTED_VALUE"""),43582.99861111111)</f>
        <v>43582.99861</v>
      </c>
      <c r="E1065" s="22">
        <f>IFERROR(__xludf.DUMMYFUNCTION("""COMPUTED_VALUE"""),1.1138)</f>
        <v>1.1138</v>
      </c>
      <c r="F1065" s="22">
        <f t="shared" si="11"/>
        <v>366.5840275</v>
      </c>
      <c r="G1065" s="22">
        <f t="shared" si="79"/>
        <v>52.03214717</v>
      </c>
      <c r="H1065" s="22">
        <f t="shared" si="80"/>
        <v>107.0375913</v>
      </c>
    </row>
    <row r="1066" ht="15.75" customHeight="1">
      <c r="A1066" s="32">
        <f>IFERROR(__xludf.DUMMYFUNCTION("""COMPUTED_VALUE"""),43609.66666666667)</f>
        <v>43609.66667</v>
      </c>
      <c r="B1066" s="22">
        <f>IFERROR(__xludf.DUMMYFUNCTION("""COMPUTED_VALUE"""),2826.06)</f>
        <v>2826.06</v>
      </c>
      <c r="C1066" s="22">
        <f t="shared" si="10"/>
        <v>4249.000875</v>
      </c>
      <c r="D1066" s="25">
        <f>IFERROR(__xludf.DUMMYFUNCTION("""COMPUTED_VALUE"""),43589.99861111111)</f>
        <v>43589.99861</v>
      </c>
      <c r="E1066" s="22">
        <f>IFERROR(__xludf.DUMMYFUNCTION("""COMPUTED_VALUE"""),1.121)</f>
        <v>1.121</v>
      </c>
      <c r="F1066" s="22">
        <f t="shared" si="11"/>
        <v>360.1064017</v>
      </c>
      <c r="G1066" s="22">
        <f t="shared" si="79"/>
        <v>45.40552918</v>
      </c>
      <c r="H1066" s="22">
        <f t="shared" si="80"/>
        <v>99.2593226</v>
      </c>
    </row>
    <row r="1067" ht="15.75" customHeight="1">
      <c r="A1067" s="32">
        <f>IFERROR(__xludf.DUMMYFUNCTION("""COMPUTED_VALUE"""),43616.66666666667)</f>
        <v>43616.66667</v>
      </c>
      <c r="B1067" s="22">
        <f>IFERROR(__xludf.DUMMYFUNCTION("""COMPUTED_VALUE"""),2752.06)</f>
        <v>2752.06</v>
      </c>
      <c r="C1067" s="22">
        <f t="shared" si="10"/>
        <v>4139.375592</v>
      </c>
      <c r="D1067" s="25">
        <f>IFERROR(__xludf.DUMMYFUNCTION("""COMPUTED_VALUE"""),43596.99861111111)</f>
        <v>43596.99861</v>
      </c>
      <c r="E1067" s="22">
        <f>IFERROR(__xludf.DUMMYFUNCTION("""COMPUTED_VALUE"""),1.123)</f>
        <v>1.123</v>
      </c>
      <c r="F1067" s="22">
        <f t="shared" si="11"/>
        <v>350.1907837</v>
      </c>
      <c r="G1067" s="22">
        <f t="shared" si="79"/>
        <v>40.14035058</v>
      </c>
      <c r="H1067" s="22">
        <f t="shared" si="80"/>
        <v>90.22575061</v>
      </c>
    </row>
    <row r="1068" ht="15.75" customHeight="1">
      <c r="A1068" s="32">
        <f>IFERROR(__xludf.DUMMYFUNCTION("""COMPUTED_VALUE"""),43623.66666666667)</f>
        <v>43623.66667</v>
      </c>
      <c r="B1068" s="22">
        <f>IFERROR(__xludf.DUMMYFUNCTION("""COMPUTED_VALUE"""),2873.34)</f>
        <v>2873.34</v>
      </c>
      <c r="C1068" s="22">
        <f t="shared" si="10"/>
        <v>4323.385002</v>
      </c>
      <c r="D1068" s="25">
        <f>IFERROR(__xludf.DUMMYFUNCTION("""COMPUTED_VALUE"""),43603.99861111111)</f>
        <v>43603.99861</v>
      </c>
      <c r="E1068" s="22">
        <f>IFERROR(__xludf.DUMMYFUNCTION("""COMPUTED_VALUE"""),1.1165)</f>
        <v>1.1165</v>
      </c>
      <c r="F1068" s="22">
        <f t="shared" si="11"/>
        <v>367.8873191</v>
      </c>
      <c r="G1068" s="22">
        <f t="shared" si="79"/>
        <v>46.28407601</v>
      </c>
      <c r="H1068" s="22">
        <f t="shared" si="80"/>
        <v>100.1326534</v>
      </c>
    </row>
    <row r="1069" ht="15.75" customHeight="1">
      <c r="A1069" s="32">
        <f>IFERROR(__xludf.DUMMYFUNCTION("""COMPUTED_VALUE"""),43630.66666666667)</f>
        <v>43630.66667</v>
      </c>
      <c r="B1069" s="22">
        <f>IFERROR(__xludf.DUMMYFUNCTION("""COMPUTED_VALUE"""),2886.98)</f>
        <v>2886.98</v>
      </c>
      <c r="C1069" s="22">
        <f t="shared" si="10"/>
        <v>4345.571334</v>
      </c>
      <c r="D1069" s="25">
        <f>IFERROR(__xludf.DUMMYFUNCTION("""COMPUTED_VALUE"""),43610.99861111111)</f>
        <v>43610.99861</v>
      </c>
      <c r="E1069" s="22">
        <f>IFERROR(__xludf.DUMMYFUNCTION("""COMPUTED_VALUE"""),1.1202)</f>
        <v>1.1202</v>
      </c>
      <c r="F1069" s="22">
        <f t="shared" si="11"/>
        <v>368.5538473</v>
      </c>
      <c r="G1069" s="22">
        <f t="shared" si="79"/>
        <v>46.78460866</v>
      </c>
      <c r="H1069" s="22">
        <f t="shared" si="80"/>
        <v>97.75001706</v>
      </c>
    </row>
    <row r="1070" ht="15.75" customHeight="1">
      <c r="A1070" s="32">
        <f>IFERROR(__xludf.DUMMYFUNCTION("""COMPUTED_VALUE"""),43637.66666666667)</f>
        <v>43637.66667</v>
      </c>
      <c r="B1070" s="22">
        <f>IFERROR(__xludf.DUMMYFUNCTION("""COMPUTED_VALUE"""),2950.46)</f>
        <v>2950.46</v>
      </c>
      <c r="C1070" s="22">
        <f t="shared" si="10"/>
        <v>4442.794762</v>
      </c>
      <c r="D1070" s="25">
        <f>IFERROR(__xludf.DUMMYFUNCTION("""COMPUTED_VALUE"""),43617.99861111111)</f>
        <v>43617.99861</v>
      </c>
      <c r="E1070" s="22">
        <f>IFERROR(__xludf.DUMMYFUNCTION("""COMPUTED_VALUE"""),1.1196)</f>
        <v>1.1196</v>
      </c>
      <c r="F1070" s="22">
        <f t="shared" si="11"/>
        <v>377.0014281</v>
      </c>
      <c r="G1070" s="22">
        <f t="shared" si="79"/>
        <v>56.073172</v>
      </c>
      <c r="H1070" s="22">
        <f t="shared" si="80"/>
        <v>102.5650729</v>
      </c>
    </row>
    <row r="1071" ht="15.75" customHeight="1">
      <c r="A1071" s="32">
        <f>IFERROR(__xludf.DUMMYFUNCTION("""COMPUTED_VALUE"""),43644.66666666667)</f>
        <v>43644.66667</v>
      </c>
      <c r="B1071" s="22">
        <f>IFERROR(__xludf.DUMMYFUNCTION("""COMPUTED_VALUE"""),2941.76)</f>
        <v>2941.76</v>
      </c>
      <c r="C1071" s="22">
        <f t="shared" si="10"/>
        <v>4431.403092</v>
      </c>
      <c r="D1071" s="25">
        <f>IFERROR(__xludf.DUMMYFUNCTION("""COMPUTED_VALUE"""),43624.99861111111)</f>
        <v>43624.99861</v>
      </c>
      <c r="E1071" s="22">
        <f>IFERROR(__xludf.DUMMYFUNCTION("""COMPUTED_VALUE"""),1.1339)</f>
        <v>1.1339</v>
      </c>
      <c r="F1071" s="22">
        <f t="shared" si="11"/>
        <v>371.2924645</v>
      </c>
      <c r="G1071" s="22">
        <f t="shared" si="79"/>
        <v>47.36800437</v>
      </c>
      <c r="H1071" s="22">
        <f t="shared" si="80"/>
        <v>95.49025176</v>
      </c>
    </row>
    <row r="1072" ht="15.75" customHeight="1">
      <c r="A1072" s="32">
        <f>IFERROR(__xludf.DUMMYFUNCTION("""COMPUTED_VALUE"""),43651.66666666667)</f>
        <v>43651.66667</v>
      </c>
      <c r="B1072" s="22">
        <f>IFERROR(__xludf.DUMMYFUNCTION("""COMPUTED_VALUE"""),2990.41)</f>
        <v>2990.41</v>
      </c>
      <c r="C1072" s="22">
        <f t="shared" si="10"/>
        <v>4506.392777</v>
      </c>
      <c r="D1072" s="25">
        <f>IFERROR(__xludf.DUMMYFUNCTION("""COMPUTED_VALUE"""),43631.99861111111)</f>
        <v>43631.99861</v>
      </c>
      <c r="E1072" s="22">
        <f>IFERROR(__xludf.DUMMYFUNCTION("""COMPUTED_VALUE"""),1.1234)</f>
        <v>1.1234</v>
      </c>
      <c r="F1072" s="22">
        <f t="shared" si="11"/>
        <v>381.1046577</v>
      </c>
      <c r="G1072" s="22">
        <f t="shared" si="79"/>
        <v>49.5890977</v>
      </c>
      <c r="H1072" s="22">
        <f t="shared" si="80"/>
        <v>103.3122759</v>
      </c>
    </row>
    <row r="1073" ht="15.75" customHeight="1">
      <c r="A1073" s="32">
        <f>IFERROR(__xludf.DUMMYFUNCTION("""COMPUTED_VALUE"""),43658.66666666667)</f>
        <v>43658.66667</v>
      </c>
      <c r="B1073" s="22">
        <f>IFERROR(__xludf.DUMMYFUNCTION("""COMPUTED_VALUE"""),3013.77)</f>
        <v>3013.77</v>
      </c>
      <c r="C1073" s="22">
        <f t="shared" si="10"/>
        <v>4543.328313</v>
      </c>
      <c r="D1073" s="25">
        <f>IFERROR(__xludf.DUMMYFUNCTION("""COMPUTED_VALUE"""),43638.99861111111)</f>
        <v>43638.99861</v>
      </c>
      <c r="E1073" s="22">
        <f>IFERROR(__xludf.DUMMYFUNCTION("""COMPUTED_VALUE"""),1.1393)</f>
        <v>1.1393</v>
      </c>
      <c r="F1073" s="22">
        <f t="shared" si="11"/>
        <v>378.8660219</v>
      </c>
      <c r="G1073" s="22">
        <f t="shared" si="79"/>
        <v>45.32647762</v>
      </c>
      <c r="H1073" s="22">
        <f t="shared" si="80"/>
        <v>101.6179215</v>
      </c>
    </row>
    <row r="1074" ht="15.75" customHeight="1">
      <c r="A1074" s="32">
        <f>IFERROR(__xludf.DUMMYFUNCTION("""COMPUTED_VALUE"""),43665.66666666667)</f>
        <v>43665.66667</v>
      </c>
      <c r="B1074" s="22">
        <f>IFERROR(__xludf.DUMMYFUNCTION("""COMPUTED_VALUE"""),2976.61)</f>
        <v>2976.61</v>
      </c>
      <c r="C1074" s="22">
        <f t="shared" si="10"/>
        <v>4489.056184</v>
      </c>
      <c r="D1074" s="25">
        <f>IFERROR(__xludf.DUMMYFUNCTION("""COMPUTED_VALUE"""),43645.99861111111)</f>
        <v>43645.99861</v>
      </c>
      <c r="E1074" s="22">
        <f>IFERROR(__xludf.DUMMYFUNCTION("""COMPUTED_VALUE"""),1.1387)</f>
        <v>1.1387</v>
      </c>
      <c r="F1074" s="22">
        <f t="shared" si="11"/>
        <v>374.5375405</v>
      </c>
      <c r="G1074" s="22">
        <f t="shared" si="79"/>
        <v>42.12509336</v>
      </c>
      <c r="H1074" s="22">
        <f t="shared" si="80"/>
        <v>98.51032838</v>
      </c>
    </row>
    <row r="1075" ht="15.75" customHeight="1">
      <c r="A1075" s="32">
        <f>IFERROR(__xludf.DUMMYFUNCTION("""COMPUTED_VALUE"""),43672.66666666667)</f>
        <v>43672.66667</v>
      </c>
      <c r="B1075" s="22">
        <f>IFERROR(__xludf.DUMMYFUNCTION("""COMPUTED_VALUE"""),3025.86)</f>
        <v>3025.86</v>
      </c>
      <c r="C1075" s="22">
        <f t="shared" si="10"/>
        <v>4565.057176</v>
      </c>
      <c r="D1075" s="25">
        <f>IFERROR(__xludf.DUMMYFUNCTION("""COMPUTED_VALUE"""),43652.99861111111)</f>
        <v>43652.99861</v>
      </c>
      <c r="E1075" s="22">
        <f>IFERROR(__xludf.DUMMYFUNCTION("""COMPUTED_VALUE"""),1.123)</f>
        <v>1.123</v>
      </c>
      <c r="F1075" s="22">
        <f t="shared" si="11"/>
        <v>386.2034055</v>
      </c>
      <c r="G1075" s="22">
        <f t="shared" si="79"/>
        <v>45.42716105</v>
      </c>
      <c r="H1075" s="22">
        <f t="shared" si="80"/>
        <v>110.4513607</v>
      </c>
    </row>
    <row r="1076" ht="15.75" customHeight="1">
      <c r="A1076" s="32">
        <f>IFERROR(__xludf.DUMMYFUNCTION("""COMPUTED_VALUE"""),43679.66666666667)</f>
        <v>43679.66667</v>
      </c>
      <c r="B1076" s="22">
        <f>IFERROR(__xludf.DUMMYFUNCTION("""COMPUTED_VALUE"""),2932.05)</f>
        <v>2932.05</v>
      </c>
      <c r="C1076" s="22">
        <f t="shared" si="10"/>
        <v>4425.283612</v>
      </c>
      <c r="D1076" s="25">
        <f>IFERROR(__xludf.DUMMYFUNCTION("""COMPUTED_VALUE"""),43659.99861111111)</f>
        <v>43659.99861</v>
      </c>
      <c r="E1076" s="22">
        <f>IFERROR(__xludf.DUMMYFUNCTION("""COMPUTED_VALUE"""),1.1285)</f>
        <v>1.1285</v>
      </c>
      <c r="F1076" s="22">
        <f t="shared" si="11"/>
        <v>372.5539566</v>
      </c>
      <c r="G1076" s="22">
        <f t="shared" si="79"/>
        <v>39.2880937</v>
      </c>
      <c r="H1076" s="22">
        <f t="shared" si="80"/>
        <v>100.9956898</v>
      </c>
    </row>
    <row r="1077" ht="15.75" customHeight="1">
      <c r="A1077" s="32">
        <f>IFERROR(__xludf.DUMMYFUNCTION("""COMPUTED_VALUE"""),43686.66666666667)</f>
        <v>43686.66667</v>
      </c>
      <c r="B1077" s="22">
        <f>IFERROR(__xludf.DUMMYFUNCTION("""COMPUTED_VALUE"""),2918.65)</f>
        <v>2918.65</v>
      </c>
      <c r="C1077" s="22">
        <f t="shared" si="10"/>
        <v>4406.761296</v>
      </c>
      <c r="D1077" s="25">
        <f>IFERROR(__xludf.DUMMYFUNCTION("""COMPUTED_VALUE"""),43666.99861111111)</f>
        <v>43666.99861</v>
      </c>
      <c r="E1077" s="22">
        <f>IFERROR(__xludf.DUMMYFUNCTION("""COMPUTED_VALUE"""),1.1226)</f>
        <v>1.1226</v>
      </c>
      <c r="F1077" s="22">
        <f t="shared" si="11"/>
        <v>372.9444277</v>
      </c>
      <c r="G1077" s="22">
        <f t="shared" si="79"/>
        <v>38.71244122</v>
      </c>
      <c r="H1077" s="22">
        <f t="shared" si="80"/>
        <v>97.34880903</v>
      </c>
    </row>
    <row r="1078" ht="15.75" customHeight="1">
      <c r="A1078" s="32">
        <f>IFERROR(__xludf.DUMMYFUNCTION("""COMPUTED_VALUE"""),43693.66666666667)</f>
        <v>43693.66667</v>
      </c>
      <c r="B1078" s="22">
        <f>IFERROR(__xludf.DUMMYFUNCTION("""COMPUTED_VALUE"""),2888.68)</f>
        <v>2888.68</v>
      </c>
      <c r="C1078" s="22">
        <f t="shared" si="10"/>
        <v>4363.205614</v>
      </c>
      <c r="D1078" s="25">
        <f>IFERROR(__xludf.DUMMYFUNCTION("""COMPUTED_VALUE"""),43673.99861111111)</f>
        <v>43673.99861</v>
      </c>
      <c r="E1078" s="22">
        <f>IFERROR(__xludf.DUMMYFUNCTION("""COMPUTED_VALUE"""),1.1145)</f>
        <v>1.1145</v>
      </c>
      <c r="F1078" s="22">
        <f t="shared" si="11"/>
        <v>371.9420159</v>
      </c>
      <c r="G1078" s="22">
        <f t="shared" si="79"/>
        <v>40.78019673</v>
      </c>
      <c r="H1078" s="22">
        <f t="shared" si="80"/>
        <v>93.44511142</v>
      </c>
    </row>
    <row r="1079" ht="15.75" customHeight="1">
      <c r="A1079" s="32">
        <f>IFERROR(__xludf.DUMMYFUNCTION("""COMPUTED_VALUE"""),43700.66666666667)</f>
        <v>43700.66667</v>
      </c>
      <c r="B1079" s="22">
        <f>IFERROR(__xludf.DUMMYFUNCTION("""COMPUTED_VALUE"""),2847.11)</f>
        <v>2847.11</v>
      </c>
      <c r="C1079" s="22">
        <f t="shared" si="10"/>
        <v>4302.094379</v>
      </c>
      <c r="D1079" s="25">
        <f>IFERROR(__xludf.DUMMYFUNCTION("""COMPUTED_VALUE"""),43680.99861111111)</f>
        <v>43680.99861</v>
      </c>
      <c r="E1079" s="22">
        <f>IFERROR(__xludf.DUMMYFUNCTION("""COMPUTED_VALUE"""),1.1127)</f>
        <v>1.1127</v>
      </c>
      <c r="F1079" s="22">
        <f t="shared" si="11"/>
        <v>367.3258393</v>
      </c>
      <c r="G1079" s="22">
        <f t="shared" si="79"/>
        <v>38.8559973</v>
      </c>
      <c r="H1079" s="22">
        <f t="shared" si="80"/>
        <v>89.24796062</v>
      </c>
    </row>
    <row r="1080" ht="15.75" customHeight="1">
      <c r="A1080" s="32">
        <f>IFERROR(__xludf.DUMMYFUNCTION("""COMPUTED_VALUE"""),43707.66666666667)</f>
        <v>43707.66667</v>
      </c>
      <c r="B1080" s="22">
        <f>IFERROR(__xludf.DUMMYFUNCTION("""COMPUTED_VALUE"""),2926.46)</f>
        <v>2926.46</v>
      </c>
      <c r="C1080" s="22">
        <f t="shared" si="10"/>
        <v>4423.649979</v>
      </c>
      <c r="D1080" s="25">
        <f>IFERROR(__xludf.DUMMYFUNCTION("""COMPUTED_VALUE"""),43687.99861111111)</f>
        <v>43687.99861</v>
      </c>
      <c r="E1080" s="22">
        <f>IFERROR(__xludf.DUMMYFUNCTION("""COMPUTED_VALUE"""),1.1309)</f>
        <v>1.1309</v>
      </c>
      <c r="F1080" s="22">
        <f t="shared" si="11"/>
        <v>371.6260815</v>
      </c>
      <c r="G1080" s="22">
        <f t="shared" si="79"/>
        <v>40.6859757</v>
      </c>
      <c r="H1080" s="22">
        <f t="shared" si="80"/>
        <v>90.75553415</v>
      </c>
    </row>
    <row r="1081" ht="15.75" customHeight="1">
      <c r="A1081" s="32">
        <f>IFERROR(__xludf.DUMMYFUNCTION("""COMPUTED_VALUE"""),43714.66666666667)</f>
        <v>43714.66667</v>
      </c>
      <c r="B1081" s="22">
        <f>IFERROR(__xludf.DUMMYFUNCTION("""COMPUTED_VALUE"""),2978.71)</f>
        <v>2978.71</v>
      </c>
      <c r="C1081" s="22">
        <f t="shared" si="10"/>
        <v>4504.332716</v>
      </c>
      <c r="D1081" s="25">
        <f>IFERROR(__xludf.DUMMYFUNCTION("""COMPUTED_VALUE"""),43694.99861111111)</f>
        <v>43694.99861</v>
      </c>
      <c r="E1081" s="22">
        <f>IFERROR(__xludf.DUMMYFUNCTION("""COMPUTED_VALUE"""),1.1093)</f>
        <v>1.1093</v>
      </c>
      <c r="F1081" s="22">
        <f t="shared" si="11"/>
        <v>385.7723383</v>
      </c>
      <c r="G1081" s="22">
        <f t="shared" si="79"/>
        <v>51.70273153</v>
      </c>
      <c r="H1081" s="22">
        <f t="shared" si="80"/>
        <v>97.93080793</v>
      </c>
    </row>
    <row r="1082" ht="15.75" customHeight="1">
      <c r="A1082" s="32">
        <f>IFERROR(__xludf.DUMMYFUNCTION("""COMPUTED_VALUE"""),43721.66666666667)</f>
        <v>43721.66667</v>
      </c>
      <c r="B1082" s="22">
        <f>IFERROR(__xludf.DUMMYFUNCTION("""COMPUTED_VALUE"""),3007.39)</f>
        <v>3007.39</v>
      </c>
      <c r="C1082" s="22">
        <f t="shared" si="10"/>
        <v>4549.434349</v>
      </c>
      <c r="D1082" s="25">
        <f>IFERROR(__xludf.DUMMYFUNCTION("""COMPUTED_VALUE"""),43701.99861111111)</f>
        <v>43701.99861</v>
      </c>
      <c r="E1082" s="22">
        <f>IFERROR(__xludf.DUMMYFUNCTION("""COMPUTED_VALUE"""),1.1233)</f>
        <v>1.1233</v>
      </c>
      <c r="F1082" s="22">
        <f t="shared" si="11"/>
        <v>384.7789254</v>
      </c>
      <c r="G1082" s="22">
        <f t="shared" si="79"/>
        <v>48.75218282</v>
      </c>
      <c r="H1082" s="22">
        <f t="shared" si="80"/>
        <v>93.30184266</v>
      </c>
    </row>
    <row r="1083" ht="15.75" customHeight="1">
      <c r="A1083" s="32">
        <f>IFERROR(__xludf.DUMMYFUNCTION("""COMPUTED_VALUE"""),43728.66666666667)</f>
        <v>43728.66667</v>
      </c>
      <c r="B1083" s="22">
        <f>IFERROR(__xludf.DUMMYFUNCTION("""COMPUTED_VALUE"""),2992.07)</f>
        <v>2992.07</v>
      </c>
      <c r="C1083" s="22">
        <f t="shared" si="10"/>
        <v>4528.008775</v>
      </c>
      <c r="D1083" s="25">
        <f>IFERROR(__xludf.DUMMYFUNCTION("""COMPUTED_VALUE"""),43708.99861111111)</f>
        <v>43708.99861</v>
      </c>
      <c r="E1083" s="22">
        <f>IFERROR(__xludf.DUMMYFUNCTION("""COMPUTED_VALUE"""),1.1009)</f>
        <v>1.1009</v>
      </c>
      <c r="F1083" s="22">
        <f t="shared" si="11"/>
        <v>390.7590293</v>
      </c>
      <c r="G1083" s="22">
        <f t="shared" si="79"/>
        <v>48.66983448</v>
      </c>
      <c r="H1083" s="22">
        <f t="shared" si="80"/>
        <v>96.12371883</v>
      </c>
    </row>
    <row r="1084" ht="15.75" customHeight="1">
      <c r="A1084" s="32">
        <f>IFERROR(__xludf.DUMMYFUNCTION("""COMPUTED_VALUE"""),43735.66666666667)</f>
        <v>43735.66667</v>
      </c>
      <c r="B1084" s="22">
        <f>IFERROR(__xludf.DUMMYFUNCTION("""COMPUTED_VALUE"""),2961.79)</f>
        <v>2961.79</v>
      </c>
      <c r="C1084" s="22">
        <f t="shared" si="10"/>
        <v>4483.926487</v>
      </c>
      <c r="D1084" s="25">
        <f>IFERROR(__xludf.DUMMYFUNCTION("""COMPUTED_VALUE"""),43715.99861111111)</f>
        <v>43715.99861</v>
      </c>
      <c r="E1084" s="22">
        <f>IFERROR(__xludf.DUMMYFUNCTION("""COMPUTED_VALUE"""),1.1125)</f>
        <v>1.1125</v>
      </c>
      <c r="F1084" s="22">
        <f t="shared" si="11"/>
        <v>382.9200423</v>
      </c>
      <c r="G1084" s="22">
        <f t="shared" si="79"/>
        <v>46.38175005</v>
      </c>
      <c r="H1084" s="22">
        <f t="shared" si="80"/>
        <v>93.54442944</v>
      </c>
    </row>
    <row r="1085" ht="15.75" customHeight="1">
      <c r="A1085" s="32">
        <f>IFERROR(__xludf.DUMMYFUNCTION("""COMPUTED_VALUE"""),43742.66666666667)</f>
        <v>43742.66667</v>
      </c>
      <c r="B1085" s="22">
        <f>IFERROR(__xludf.DUMMYFUNCTION("""COMPUTED_VALUE"""),2952.01)</f>
        <v>2952.01</v>
      </c>
      <c r="C1085" s="22">
        <f t="shared" si="10"/>
        <v>4470.844893</v>
      </c>
      <c r="D1085" s="25">
        <f>IFERROR(__xludf.DUMMYFUNCTION("""COMPUTED_VALUE"""),43722.99861111111)</f>
        <v>43722.99861</v>
      </c>
      <c r="E1085" s="22">
        <f>IFERROR(__xludf.DUMMYFUNCTION("""COMPUTED_VALUE"""),1.1155)</f>
        <v>1.1155</v>
      </c>
      <c r="F1085" s="22">
        <f t="shared" si="11"/>
        <v>380.7760834</v>
      </c>
      <c r="G1085" s="22">
        <f t="shared" si="79"/>
        <v>45.52862108</v>
      </c>
      <c r="H1085" s="22">
        <f t="shared" si="80"/>
        <v>96.80856352</v>
      </c>
    </row>
    <row r="1086" ht="15.75" customHeight="1">
      <c r="A1086" s="32">
        <f>IFERROR(__xludf.DUMMYFUNCTION("""COMPUTED_VALUE"""),43749.66666666667)</f>
        <v>43749.66667</v>
      </c>
      <c r="B1086" s="22">
        <f>IFERROR(__xludf.DUMMYFUNCTION("""COMPUTED_VALUE"""),2970.27)</f>
        <v>2970.27</v>
      </c>
      <c r="C1086" s="22">
        <f t="shared" si="10"/>
        <v>4500.219378</v>
      </c>
      <c r="D1086" s="25">
        <f>IFERROR(__xludf.DUMMYFUNCTION("""COMPUTED_VALUE"""),43729.99861111111)</f>
        <v>43729.99861</v>
      </c>
      <c r="E1086" s="22">
        <f>IFERROR(__xludf.DUMMYFUNCTION("""COMPUTED_VALUE"""),1.1014)</f>
        <v>1.1014</v>
      </c>
      <c r="F1086" s="22">
        <f t="shared" si="11"/>
        <v>388.1845509</v>
      </c>
      <c r="G1086" s="22">
        <f t="shared" si="79"/>
        <v>50.62511179</v>
      </c>
      <c r="H1086" s="22">
        <f t="shared" si="80"/>
        <v>100.3128921</v>
      </c>
    </row>
    <row r="1087" ht="15.75" customHeight="1">
      <c r="A1087" s="32">
        <f>IFERROR(__xludf.DUMMYFUNCTION("""COMPUTED_VALUE"""),43756.66666666667)</f>
        <v>43756.66667</v>
      </c>
      <c r="B1087" s="22">
        <f>IFERROR(__xludf.DUMMYFUNCTION("""COMPUTED_VALUE"""),2986.2)</f>
        <v>2986.2</v>
      </c>
      <c r="C1087" s="22">
        <f t="shared" si="10"/>
        <v>4526.085578</v>
      </c>
      <c r="D1087" s="25">
        <f>IFERROR(__xludf.DUMMYFUNCTION("""COMPUTED_VALUE"""),43736.99861111111)</f>
        <v>43736.99861</v>
      </c>
      <c r="E1087" s="22">
        <f>IFERROR(__xludf.DUMMYFUNCTION("""COMPUTED_VALUE"""),1.0939)</f>
        <v>1.0939</v>
      </c>
      <c r="F1087" s="22">
        <f t="shared" si="11"/>
        <v>393.0925136</v>
      </c>
      <c r="G1087" s="22">
        <f t="shared" si="79"/>
        <v>52.03750558</v>
      </c>
      <c r="H1087" s="22">
        <f t="shared" si="80"/>
        <v>92.14369447</v>
      </c>
    </row>
    <row r="1088" ht="15.75" customHeight="1">
      <c r="A1088" s="32">
        <f>IFERROR(__xludf.DUMMYFUNCTION("""COMPUTED_VALUE"""),43763.66666666667)</f>
        <v>43763.66667</v>
      </c>
      <c r="B1088" s="22">
        <f>IFERROR(__xludf.DUMMYFUNCTION("""COMPUTED_VALUE"""),3022.55)</f>
        <v>3022.55</v>
      </c>
      <c r="C1088" s="22">
        <f t="shared" si="10"/>
        <v>4582.920885</v>
      </c>
      <c r="D1088" s="25">
        <f>IFERROR(__xludf.DUMMYFUNCTION("""COMPUTED_VALUE"""),43743.99861111111)</f>
        <v>43743.99861</v>
      </c>
      <c r="E1088" s="22">
        <f>IFERROR(__xludf.DUMMYFUNCTION("""COMPUTED_VALUE"""),1.0978)</f>
        <v>1.0978</v>
      </c>
      <c r="F1088" s="22">
        <f t="shared" si="11"/>
        <v>396.6146643</v>
      </c>
      <c r="G1088" s="22">
        <f t="shared" si="79"/>
        <v>53.95865225</v>
      </c>
      <c r="H1088" s="22">
        <f t="shared" si="80"/>
        <v>90.36161366</v>
      </c>
    </row>
    <row r="1089" ht="15.75" customHeight="1">
      <c r="A1089" s="32">
        <f>IFERROR(__xludf.DUMMYFUNCTION("""COMPUTED_VALUE"""),43770.66666666667)</f>
        <v>43770.66667</v>
      </c>
      <c r="B1089" s="22">
        <f>IFERROR(__xludf.DUMMYFUNCTION("""COMPUTED_VALUE"""),3066.91)</f>
        <v>3066.91</v>
      </c>
      <c r="C1089" s="22">
        <f t="shared" si="10"/>
        <v>4651.944095</v>
      </c>
      <c r="D1089" s="25">
        <f>IFERROR(__xludf.DUMMYFUNCTION("""COMPUTED_VALUE"""),43750.99861111111)</f>
        <v>43750.99861</v>
      </c>
      <c r="E1089" s="22">
        <f>IFERROR(__xludf.DUMMYFUNCTION("""COMPUTED_VALUE"""),1.10352)</f>
        <v>1.10352</v>
      </c>
      <c r="F1089" s="22">
        <f t="shared" si="11"/>
        <v>400.5012835</v>
      </c>
      <c r="G1089" s="22">
        <f t="shared" si="79"/>
        <v>55.21615447</v>
      </c>
      <c r="H1089" s="22">
        <f t="shared" si="80"/>
        <v>92.82191528</v>
      </c>
    </row>
    <row r="1090" ht="15.75" customHeight="1">
      <c r="A1090" s="32">
        <f>IFERROR(__xludf.DUMMYFUNCTION("""COMPUTED_VALUE"""),43777.66666666667)</f>
        <v>43777.66667</v>
      </c>
      <c r="B1090" s="22">
        <f>IFERROR(__xludf.DUMMYFUNCTION("""COMPUTED_VALUE"""),3093.08)</f>
        <v>3093.08</v>
      </c>
      <c r="C1090" s="22">
        <f t="shared" si="10"/>
        <v>4693.42843</v>
      </c>
      <c r="D1090" s="25">
        <f>IFERROR(__xludf.DUMMYFUNCTION("""COMPUTED_VALUE"""),43757.99861111111)</f>
        <v>43757.99861</v>
      </c>
      <c r="E1090" s="22">
        <f>IFERROR(__xludf.DUMMYFUNCTION("""COMPUTED_VALUE"""),1.1183)</f>
        <v>1.1183</v>
      </c>
      <c r="F1090" s="22">
        <f t="shared" si="11"/>
        <v>398.7323834</v>
      </c>
      <c r="G1090" s="22">
        <f t="shared" si="79"/>
        <v>47.66280582</v>
      </c>
      <c r="H1090" s="22">
        <f t="shared" si="80"/>
        <v>89.82006992</v>
      </c>
    </row>
    <row r="1091" ht="15.75" customHeight="1">
      <c r="A1091" s="32">
        <f>IFERROR(__xludf.DUMMYFUNCTION("""COMPUTED_VALUE"""),43784.66666666667)</f>
        <v>43784.66667</v>
      </c>
      <c r="B1091" s="22">
        <f>IFERROR(__xludf.DUMMYFUNCTION("""COMPUTED_VALUE"""),3120.46)</f>
        <v>3120.46</v>
      </c>
      <c r="C1091" s="22">
        <f t="shared" si="10"/>
        <v>4736.779907</v>
      </c>
      <c r="D1091" s="25">
        <f>IFERROR(__xludf.DUMMYFUNCTION("""COMPUTED_VALUE"""),43764.99861111111)</f>
        <v>43764.99861</v>
      </c>
      <c r="E1091" s="22">
        <f>IFERROR(__xludf.DUMMYFUNCTION("""COMPUTED_VALUE"""),1.1079)</f>
        <v>1.1079</v>
      </c>
      <c r="F1091" s="22">
        <f t="shared" si="11"/>
        <v>406.1928528</v>
      </c>
      <c r="G1091" s="22">
        <f t="shared" si="79"/>
        <v>50.5636011</v>
      </c>
      <c r="H1091" s="22">
        <f t="shared" si="80"/>
        <v>88.87793525</v>
      </c>
    </row>
    <row r="1092" ht="15.75" customHeight="1">
      <c r="A1092" s="32">
        <f>IFERROR(__xludf.DUMMYFUNCTION("""COMPUTED_VALUE"""),43791.66666666667)</f>
        <v>43791.66667</v>
      </c>
      <c r="B1092" s="22">
        <f>IFERROR(__xludf.DUMMYFUNCTION("""COMPUTED_VALUE"""),3110.29)</f>
        <v>3110.29</v>
      </c>
      <c r="C1092" s="22">
        <f t="shared" si="10"/>
        <v>4723.163941</v>
      </c>
      <c r="D1092" s="25">
        <f>IFERROR(__xludf.DUMMYFUNCTION("""COMPUTED_VALUE"""),43771.99861111111)</f>
        <v>43771.99861</v>
      </c>
      <c r="E1092" s="22">
        <f>IFERROR(__xludf.DUMMYFUNCTION("""COMPUTED_VALUE"""),1.1166)</f>
        <v>1.1166</v>
      </c>
      <c r="F1092" s="22">
        <f t="shared" si="11"/>
        <v>401.8694853</v>
      </c>
      <c r="G1092" s="22">
        <f t="shared" si="79"/>
        <v>48.80635791</v>
      </c>
      <c r="H1092" s="22">
        <f t="shared" si="80"/>
        <v>85.38550534</v>
      </c>
    </row>
    <row r="1093" ht="15.75" customHeight="1">
      <c r="A1093" s="32">
        <f>IFERROR(__xludf.DUMMYFUNCTION("""COMPUTED_VALUE"""),43798.54166666667)</f>
        <v>43798.54167</v>
      </c>
      <c r="B1093" s="22">
        <f>IFERROR(__xludf.DUMMYFUNCTION("""COMPUTED_VALUE"""),3140.98)</f>
        <v>3140.98</v>
      </c>
      <c r="C1093" s="22">
        <f t="shared" si="10"/>
        <v>4771.585169</v>
      </c>
      <c r="D1093" s="25">
        <f>IFERROR(__xludf.DUMMYFUNCTION("""COMPUTED_VALUE"""),43778.99861111111)</f>
        <v>43778.99861</v>
      </c>
      <c r="E1093" s="22">
        <f>IFERROR(__xludf.DUMMYFUNCTION("""COMPUTED_VALUE"""),1.10196)</f>
        <v>1.10196</v>
      </c>
      <c r="F1093" s="22">
        <f t="shared" si="11"/>
        <v>411.3831352</v>
      </c>
      <c r="G1093" s="22">
        <f t="shared" si="79"/>
        <v>49.88127324</v>
      </c>
      <c r="H1093" s="22">
        <f t="shared" si="80"/>
        <v>90.06668381</v>
      </c>
    </row>
    <row r="1094" ht="15.75" customHeight="1">
      <c r="A1094" s="32">
        <f>IFERROR(__xludf.DUMMYFUNCTION("""COMPUTED_VALUE"""),43805.66666666667)</f>
        <v>43805.66667</v>
      </c>
      <c r="B1094" s="22">
        <f>IFERROR(__xludf.DUMMYFUNCTION("""COMPUTED_VALUE"""),3145.91)</f>
        <v>3145.91</v>
      </c>
      <c r="C1094" s="22">
        <f t="shared" si="10"/>
        <v>4780.909749</v>
      </c>
      <c r="D1094" s="25">
        <f>IFERROR(__xludf.DUMMYFUNCTION("""COMPUTED_VALUE"""),43785.99861111111)</f>
        <v>43785.99861</v>
      </c>
      <c r="E1094" s="22">
        <f>IFERROR(__xludf.DUMMYFUNCTION("""COMPUTED_VALUE"""),1.105)</f>
        <v>1.105</v>
      </c>
      <c r="F1094" s="22">
        <f t="shared" si="11"/>
        <v>411.053075</v>
      </c>
      <c r="G1094" s="22">
        <f t="shared" si="79"/>
        <v>41.63317864</v>
      </c>
      <c r="H1094" s="22">
        <f t="shared" si="80"/>
        <v>94.65808566</v>
      </c>
    </row>
    <row r="1095" ht="15.75" customHeight="1">
      <c r="A1095" s="32">
        <f>IFERROR(__xludf.DUMMYFUNCTION("""COMPUTED_VALUE"""),43812.66666666667)</f>
        <v>43812.66667</v>
      </c>
      <c r="B1095" s="22">
        <f>IFERROR(__xludf.DUMMYFUNCTION("""COMPUTED_VALUE"""),3168.8)</f>
        <v>3168.8</v>
      </c>
      <c r="C1095" s="22">
        <f t="shared" si="10"/>
        <v>4817.535005</v>
      </c>
      <c r="D1095" s="25">
        <f>IFERROR(__xludf.DUMMYFUNCTION("""COMPUTED_VALUE"""),43792.99861111111)</f>
        <v>43792.99861</v>
      </c>
      <c r="E1095" s="22">
        <f>IFERROR(__xludf.DUMMYFUNCTION("""COMPUTED_VALUE"""),1.10196)</f>
        <v>1.10196</v>
      </c>
      <c r="F1095" s="22">
        <f t="shared" si="11"/>
        <v>415.3447092</v>
      </c>
      <c r="G1095" s="22">
        <f t="shared" si="79"/>
        <v>43.2020804</v>
      </c>
      <c r="H1095" s="22">
        <f t="shared" si="80"/>
        <v>91.05074556</v>
      </c>
    </row>
    <row r="1096" ht="15.75" customHeight="1">
      <c r="A1096" s="32">
        <f>IFERROR(__xludf.DUMMYFUNCTION("""COMPUTED_VALUE"""),43819.66666666667)</f>
        <v>43819.66667</v>
      </c>
      <c r="B1096" s="22">
        <f>IFERROR(__xludf.DUMMYFUNCTION("""COMPUTED_VALUE"""),3221.22)</f>
        <v>3221.22</v>
      </c>
      <c r="C1096" s="22">
        <f t="shared" si="10"/>
        <v>4899.082167</v>
      </c>
      <c r="D1096" s="25">
        <f>IFERROR(__xludf.DUMMYFUNCTION("""COMPUTED_VALUE"""),43799.99861111111)</f>
        <v>43799.99861</v>
      </c>
      <c r="E1096" s="22">
        <f>IFERROR(__xludf.DUMMYFUNCTION("""COMPUTED_VALUE"""),1.10196)</f>
        <v>1.10196</v>
      </c>
      <c r="F1096" s="22">
        <f t="shared" si="11"/>
        <v>422.3753135</v>
      </c>
      <c r="G1096" s="22">
        <f t="shared" si="79"/>
        <v>46.17578234</v>
      </c>
      <c r="H1096" s="22">
        <f t="shared" si="80"/>
        <v>89.97432514</v>
      </c>
    </row>
    <row r="1097" ht="15.75" customHeight="1">
      <c r="A1097" s="32">
        <f>IFERROR(__xludf.DUMMYFUNCTION("""COMPUTED_VALUE"""),43826.66666666667)</f>
        <v>43826.66667</v>
      </c>
      <c r="B1097" s="22">
        <f>IFERROR(__xludf.DUMMYFUNCTION("""COMPUTED_VALUE"""),3240.02)</f>
        <v>3240.02</v>
      </c>
      <c r="C1097" s="22">
        <f t="shared" si="10"/>
        <v>4929.558933</v>
      </c>
      <c r="D1097" s="25">
        <f>IFERROR(__xludf.DUMMYFUNCTION("""COMPUTED_VALUE"""),43806.99861111111)</f>
        <v>43806.99861</v>
      </c>
      <c r="E1097" s="22">
        <f>IFERROR(__xludf.DUMMYFUNCTION("""COMPUTED_VALUE"""),1.10555)</f>
        <v>1.10555</v>
      </c>
      <c r="F1097" s="22">
        <f t="shared" si="11"/>
        <v>423.6227821</v>
      </c>
      <c r="G1097" s="22">
        <f t="shared" si="79"/>
        <v>46.74594429</v>
      </c>
      <c r="H1097" s="22">
        <f t="shared" si="80"/>
        <v>96.07482709</v>
      </c>
    </row>
    <row r="1098" ht="15.75" customHeight="1">
      <c r="A1098" s="32">
        <f>IFERROR(__xludf.DUMMYFUNCTION("""COMPUTED_VALUE"""),43833.66666666667)</f>
        <v>43833.66667</v>
      </c>
      <c r="B1098" s="22">
        <f>IFERROR(__xludf.DUMMYFUNCTION("""COMPUTED_VALUE"""),3234.85)</f>
        <v>3234.85</v>
      </c>
      <c r="C1098" s="22">
        <f t="shared" si="10"/>
        <v>4923.588973</v>
      </c>
      <c r="D1098" s="25">
        <f>IFERROR(__xludf.DUMMYFUNCTION("""COMPUTED_VALUE"""),43813.99861111111)</f>
        <v>43813.99861</v>
      </c>
      <c r="E1098" s="22">
        <f>IFERROR(__xludf.DUMMYFUNCTION("""COMPUTED_VALUE"""),1.1117)</f>
        <v>1.1117</v>
      </c>
      <c r="F1098" s="22">
        <f t="shared" si="11"/>
        <v>420.7690802</v>
      </c>
      <c r="G1098" s="22">
        <f t="shared" si="79"/>
        <v>41.80936883</v>
      </c>
      <c r="H1098" s="22">
        <f t="shared" si="80"/>
        <v>92.25827103</v>
      </c>
    </row>
    <row r="1099" ht="15.75" customHeight="1">
      <c r="A1099" s="32">
        <f>IFERROR(__xludf.DUMMYFUNCTION("""COMPUTED_VALUE"""),43840.66666666667)</f>
        <v>43840.66667</v>
      </c>
      <c r="B1099" s="22">
        <f>IFERROR(__xludf.DUMMYFUNCTION("""COMPUTED_VALUE"""),3265.35)</f>
        <v>3265.35</v>
      </c>
      <c r="C1099" s="22">
        <f t="shared" si="10"/>
        <v>4971.905049</v>
      </c>
      <c r="D1099" s="25">
        <f>IFERROR(__xludf.DUMMYFUNCTION("""COMPUTED_VALUE"""),43820.99861111111)</f>
        <v>43820.99861</v>
      </c>
      <c r="E1099" s="22">
        <f>IFERROR(__xludf.DUMMYFUNCTION("""COMPUTED_VALUE"""),1.10765)</f>
        <v>1.10765</v>
      </c>
      <c r="F1099" s="22">
        <f t="shared" si="11"/>
        <v>426.4517572</v>
      </c>
      <c r="G1099" s="22">
        <f t="shared" si="79"/>
        <v>43.87209086</v>
      </c>
      <c r="H1099" s="22">
        <f t="shared" si="80"/>
        <v>96.48588473</v>
      </c>
    </row>
    <row r="1100" ht="15.75" customHeight="1">
      <c r="A1100" s="32">
        <f>IFERROR(__xludf.DUMMYFUNCTION("""COMPUTED_VALUE"""),43847.66666666667)</f>
        <v>43847.66667</v>
      </c>
      <c r="B1100" s="22">
        <f>IFERROR(__xludf.DUMMYFUNCTION("""COMPUTED_VALUE"""),3329.62)</f>
        <v>3329.62</v>
      </c>
      <c r="C1100" s="22">
        <f t="shared" si="10"/>
        <v>5071.676459</v>
      </c>
      <c r="D1100" s="25">
        <f>IFERROR(__xludf.DUMMYFUNCTION("""COMPUTED_VALUE"""),43827.99861111111)</f>
        <v>43827.99861</v>
      </c>
      <c r="E1100" s="22">
        <f>IFERROR(__xludf.DUMMYFUNCTION("""COMPUTED_VALUE"""),1.1177)</f>
        <v>1.1177</v>
      </c>
      <c r="F1100" s="22">
        <f t="shared" si="11"/>
        <v>431.0979161</v>
      </c>
      <c r="G1100" s="22">
        <f t="shared" si="79"/>
        <v>46.44612336</v>
      </c>
      <c r="H1100" s="22">
        <f t="shared" si="80"/>
        <v>92.48031165</v>
      </c>
    </row>
    <row r="1101" ht="15.75" customHeight="1">
      <c r="A1101" s="32">
        <f>IFERROR(__xludf.DUMMYFUNCTION("""COMPUTED_VALUE"""),43854.66666666667)</f>
        <v>43854.66667</v>
      </c>
      <c r="B1101" s="22">
        <f>IFERROR(__xludf.DUMMYFUNCTION("""COMPUTED_VALUE"""),3295.47)</f>
        <v>3295.47</v>
      </c>
      <c r="C1101" s="22">
        <f t="shared" si="10"/>
        <v>5021.609831</v>
      </c>
      <c r="D1101" s="25">
        <f>IFERROR(__xludf.DUMMYFUNCTION("""COMPUTED_VALUE"""),43834.99861111111)</f>
        <v>43834.99861</v>
      </c>
      <c r="E1101" s="22">
        <f>IFERROR(__xludf.DUMMYFUNCTION("""COMPUTED_VALUE"""),1.1153)</f>
        <v>1.1153</v>
      </c>
      <c r="F1101" s="22">
        <f t="shared" si="11"/>
        <v>427.7607156</v>
      </c>
      <c r="G1101" s="22">
        <f t="shared" si="79"/>
        <v>43.95489535</v>
      </c>
      <c r="H1101" s="22">
        <f t="shared" si="80"/>
        <v>93.73475612</v>
      </c>
    </row>
    <row r="1102" ht="15.75" customHeight="1">
      <c r="A1102" s="32">
        <f>IFERROR(__xludf.DUMMYFUNCTION("""COMPUTED_VALUE"""),43861.66666666667)</f>
        <v>43861.66667</v>
      </c>
      <c r="B1102" s="22">
        <f>IFERROR(__xludf.DUMMYFUNCTION("""COMPUTED_VALUE"""),3225.52)</f>
        <v>3225.52</v>
      </c>
      <c r="C1102" s="22">
        <f t="shared" si="10"/>
        <v>4916.95199</v>
      </c>
      <c r="D1102" s="25">
        <f>IFERROR(__xludf.DUMMYFUNCTION("""COMPUTED_VALUE"""),43841.99861111111)</f>
        <v>43841.99861</v>
      </c>
      <c r="E1102" s="22">
        <f>IFERROR(__xludf.DUMMYFUNCTION("""COMPUTED_VALUE"""),1.1121)</f>
        <v>1.1121</v>
      </c>
      <c r="F1102" s="22">
        <f t="shared" si="11"/>
        <v>420.0507467</v>
      </c>
      <c r="G1102" s="22">
        <f t="shared" si="79"/>
        <v>42.65263963</v>
      </c>
      <c r="H1102" s="22">
        <f t="shared" si="80"/>
        <v>80.41325871</v>
      </c>
    </row>
    <row r="1103" ht="15.75" customHeight="1">
      <c r="A1103" s="32">
        <f>IFERROR(__xludf.DUMMYFUNCTION("""COMPUTED_VALUE"""),43868.66666666667)</f>
        <v>43868.66667</v>
      </c>
      <c r="B1103" s="22">
        <f>IFERROR(__xludf.DUMMYFUNCTION("""COMPUTED_VALUE"""),3327.71)</f>
        <v>3327.71</v>
      </c>
      <c r="C1103" s="22">
        <f t="shared" si="10"/>
        <v>5074.620589</v>
      </c>
      <c r="D1103" s="25">
        <f>IFERROR(__xludf.DUMMYFUNCTION("""COMPUTED_VALUE"""),43848.99861111111)</f>
        <v>43848.99861</v>
      </c>
      <c r="E1103" s="22">
        <f>IFERROR(__xludf.DUMMYFUNCTION("""COMPUTED_VALUE"""),1.1089)</f>
        <v>1.1089</v>
      </c>
      <c r="F1103" s="22">
        <f t="shared" si="11"/>
        <v>434.7712598</v>
      </c>
      <c r="G1103" s="22">
        <f t="shared" si="79"/>
        <v>47.2029841</v>
      </c>
      <c r="H1103" s="22">
        <f t="shared" si="80"/>
        <v>77.10292406</v>
      </c>
    </row>
    <row r="1104" ht="15.75" customHeight="1">
      <c r="A1104" s="32">
        <f>IFERROR(__xludf.DUMMYFUNCTION("""COMPUTED_VALUE"""),43875.66666666667)</f>
        <v>43875.66667</v>
      </c>
      <c r="B1104" s="22">
        <f>IFERROR(__xludf.DUMMYFUNCTION("""COMPUTED_VALUE"""),3380.16)</f>
        <v>3380.16</v>
      </c>
      <c r="C1104" s="22">
        <f t="shared" si="10"/>
        <v>5156.556454</v>
      </c>
      <c r="D1104" s="25">
        <f>IFERROR(__xludf.DUMMYFUNCTION("""COMPUTED_VALUE"""),43855.99861111111)</f>
        <v>43855.99861</v>
      </c>
      <c r="E1104" s="22">
        <f>IFERROR(__xludf.DUMMYFUNCTION("""COMPUTED_VALUE"""),1.1026)</f>
        <v>1.1026</v>
      </c>
      <c r="F1104" s="22">
        <f t="shared" si="11"/>
        <v>444.3154577</v>
      </c>
      <c r="G1104" s="22">
        <f t="shared" si="79"/>
        <v>48.07967361</v>
      </c>
      <c r="H1104" s="22">
        <f t="shared" si="80"/>
        <v>81.16093742</v>
      </c>
    </row>
    <row r="1105" ht="15.75" customHeight="1">
      <c r="A1105" s="32">
        <f>IFERROR(__xludf.DUMMYFUNCTION("""COMPUTED_VALUE"""),43882.66666666667)</f>
        <v>43882.66667</v>
      </c>
      <c r="B1105" s="22">
        <f>IFERROR(__xludf.DUMMYFUNCTION("""COMPUTED_VALUE"""),3337.75)</f>
        <v>3337.75</v>
      </c>
      <c r="C1105" s="22">
        <f t="shared" si="10"/>
        <v>5093.841755</v>
      </c>
      <c r="D1105" s="25">
        <f>IFERROR(__xludf.DUMMYFUNCTION("""COMPUTED_VALUE"""),43862.99861111111)</f>
        <v>43862.99861</v>
      </c>
      <c r="E1105" s="22">
        <f>IFERROR(__xludf.DUMMYFUNCTION("""COMPUTED_VALUE"""),1.10949)</f>
        <v>1.10949</v>
      </c>
      <c r="F1105" s="22">
        <f t="shared" si="11"/>
        <v>436.1859685</v>
      </c>
      <c r="G1105" s="22">
        <f t="shared" si="79"/>
        <v>45.53588288</v>
      </c>
      <c r="H1105" s="22">
        <f t="shared" si="80"/>
        <v>78.63098378</v>
      </c>
    </row>
    <row r="1106" ht="15.75" customHeight="1">
      <c r="A1106" s="32">
        <f>IFERROR(__xludf.DUMMYFUNCTION("""COMPUTED_VALUE"""),43889.66666666667)</f>
        <v>43889.66667</v>
      </c>
      <c r="B1106" s="22">
        <f>IFERROR(__xludf.DUMMYFUNCTION("""COMPUTED_VALUE"""),2954.22)</f>
        <v>2954.22</v>
      </c>
      <c r="C1106" s="22">
        <f t="shared" si="10"/>
        <v>4510.484131</v>
      </c>
      <c r="D1106" s="25">
        <f>IFERROR(__xludf.DUMMYFUNCTION("""COMPUTED_VALUE"""),43869.99861111111)</f>
        <v>43869.99861</v>
      </c>
      <c r="E1106" s="22">
        <f>IFERROR(__xludf.DUMMYFUNCTION("""COMPUTED_VALUE"""),1.0942)</f>
        <v>1.0942</v>
      </c>
      <c r="F1106" s="22">
        <f t="shared" si="11"/>
        <v>391.6301173</v>
      </c>
      <c r="G1106" s="22">
        <f t="shared" si="79"/>
        <v>27.96246876</v>
      </c>
      <c r="H1106" s="22">
        <f t="shared" si="80"/>
        <v>63.88814341</v>
      </c>
    </row>
    <row r="1107" ht="15.75" customHeight="1">
      <c r="A1107" s="32">
        <f>IFERROR(__xludf.DUMMYFUNCTION("""COMPUTED_VALUE"""),43896.66666666667)</f>
        <v>43896.66667</v>
      </c>
      <c r="B1107" s="22">
        <f>IFERROR(__xludf.DUMMYFUNCTION("""COMPUTED_VALUE"""),2972.37)</f>
        <v>2972.37</v>
      </c>
      <c r="C1107" s="22">
        <f t="shared" si="10"/>
        <v>4539.930236</v>
      </c>
      <c r="D1107" s="25">
        <f>IFERROR(__xludf.DUMMYFUNCTION("""COMPUTED_VALUE"""),43876.99861111111)</f>
        <v>43876.99861</v>
      </c>
      <c r="E1107" s="22">
        <f>IFERROR(__xludf.DUMMYFUNCTION("""COMPUTED_VALUE"""),1.08301)</f>
        <v>1.08301</v>
      </c>
      <c r="F1107" s="22">
        <f t="shared" si="11"/>
        <v>398.2596855</v>
      </c>
      <c r="G1107" s="22">
        <f t="shared" si="79"/>
        <v>30.3603783</v>
      </c>
      <c r="H1107" s="22">
        <f t="shared" si="80"/>
        <v>68.07639937</v>
      </c>
    </row>
    <row r="1108" ht="15.75" customHeight="1">
      <c r="A1108" s="32">
        <f>IFERROR(__xludf.DUMMYFUNCTION("""COMPUTED_VALUE"""),43903.66666666667)</f>
        <v>43903.66667</v>
      </c>
      <c r="B1108" s="22">
        <f>IFERROR(__xludf.DUMMYFUNCTION("""COMPUTED_VALUE"""),2711.02)</f>
        <v>2711.02</v>
      </c>
      <c r="C1108" s="22">
        <f t="shared" si="10"/>
        <v>4142.496326</v>
      </c>
      <c r="D1108" s="25">
        <f>IFERROR(__xludf.DUMMYFUNCTION("""COMPUTED_VALUE"""),43883.99861111111)</f>
        <v>43883.99861</v>
      </c>
      <c r="E1108" s="22">
        <f>IFERROR(__xludf.DUMMYFUNCTION("""COMPUTED_VALUE"""),1.08453)</f>
        <v>1.08453</v>
      </c>
      <c r="F1108" s="22">
        <f t="shared" si="11"/>
        <v>362.8859853</v>
      </c>
      <c r="G1108" s="22">
        <f t="shared" si="79"/>
        <v>17.86255029</v>
      </c>
      <c r="H1108" s="22">
        <f t="shared" si="80"/>
        <v>46.62839727</v>
      </c>
    </row>
    <row r="1109" ht="15.75" customHeight="1">
      <c r="A1109" s="32">
        <f>IFERROR(__xludf.DUMMYFUNCTION("""COMPUTED_VALUE"""),43910.66666666667)</f>
        <v>43910.66667</v>
      </c>
      <c r="B1109" s="22">
        <f>IFERROR(__xludf.DUMMYFUNCTION("""COMPUTED_VALUE"""),2304.92)</f>
        <v>2304.92</v>
      </c>
      <c r="C1109" s="22">
        <f t="shared" si="10"/>
        <v>3523.56014</v>
      </c>
      <c r="D1109" s="25">
        <f>IFERROR(__xludf.DUMMYFUNCTION("""COMPUTED_VALUE"""),43890.99861111111)</f>
        <v>43890.99861</v>
      </c>
      <c r="E1109" s="22">
        <f>IFERROR(__xludf.DUMMYFUNCTION("""COMPUTED_VALUE"""),1.1027)</f>
        <v>1.1027</v>
      </c>
      <c r="F1109" s="22">
        <f t="shared" si="11"/>
        <v>303.5805531</v>
      </c>
      <c r="G1109" s="22">
        <f t="shared" si="79"/>
        <v>0.5807798662</v>
      </c>
      <c r="H1109" s="22">
        <f t="shared" si="80"/>
        <v>21.54005975</v>
      </c>
    </row>
    <row r="1110" ht="15.75" customHeight="1">
      <c r="A1110" s="32">
        <f>IFERROR(__xludf.DUMMYFUNCTION("""COMPUTED_VALUE"""),43917.66666666667)</f>
        <v>43917.66667</v>
      </c>
      <c r="B1110" s="22">
        <f>IFERROR(__xludf.DUMMYFUNCTION("""COMPUTED_VALUE"""),2541.47)</f>
        <v>2541.47</v>
      </c>
      <c r="C1110" s="22">
        <f t="shared" si="10"/>
        <v>3886.532311</v>
      </c>
      <c r="D1110" s="25">
        <f>IFERROR(__xludf.DUMMYFUNCTION("""COMPUTED_VALUE"""),43897.99861111111)</f>
        <v>43897.99861</v>
      </c>
      <c r="E1110" s="22">
        <f>IFERROR(__xludf.DUMMYFUNCTION("""COMPUTED_VALUE"""),1.1285)</f>
        <v>1.1285</v>
      </c>
      <c r="F1110" s="22">
        <f t="shared" si="11"/>
        <v>327.1977836</v>
      </c>
      <c r="G1110" s="22">
        <f t="shared" si="79"/>
        <v>8.02185966</v>
      </c>
      <c r="H1110" s="22">
        <f t="shared" si="80"/>
        <v>26.36662728</v>
      </c>
    </row>
    <row r="1111" ht="15.75" customHeight="1">
      <c r="A1111" s="32">
        <f>IFERROR(__xludf.DUMMYFUNCTION("""COMPUTED_VALUE"""),43924.66666666667)</f>
        <v>43924.66667</v>
      </c>
      <c r="B1111" s="22">
        <f>IFERROR(__xludf.DUMMYFUNCTION("""COMPUTED_VALUE"""),2488.65)</f>
        <v>2488.65</v>
      </c>
      <c r="C1111" s="22">
        <f t="shared" si="10"/>
        <v>3807.252368</v>
      </c>
      <c r="D1111" s="25">
        <f>IFERROR(__xludf.DUMMYFUNCTION("""COMPUTED_VALUE"""),43904.99861111111)</f>
        <v>43904.99861</v>
      </c>
      <c r="E1111" s="22">
        <f>IFERROR(__xludf.DUMMYFUNCTION("""COMPUTED_VALUE"""),1.1142)</f>
        <v>1.1142</v>
      </c>
      <c r="F1111" s="22">
        <f t="shared" si="11"/>
        <v>324.6370964</v>
      </c>
      <c r="G1111" s="22">
        <f t="shared" si="79"/>
        <v>8.165484496</v>
      </c>
      <c r="H1111" s="22">
        <f t="shared" si="80"/>
        <v>26.9833724</v>
      </c>
    </row>
    <row r="1112" ht="15.75" customHeight="1">
      <c r="A1112" s="32">
        <f>IFERROR(__xludf.DUMMYFUNCTION("""COMPUTED_VALUE"""),43930.66666666667)</f>
        <v>43930.66667</v>
      </c>
      <c r="B1112" s="22">
        <f>IFERROR(__xludf.DUMMYFUNCTION("""COMPUTED_VALUE"""),2789.82)</f>
        <v>2789.82</v>
      </c>
      <c r="C1112" s="22">
        <f t="shared" si="10"/>
        <v>4269.460551</v>
      </c>
      <c r="D1112" s="25">
        <f>IFERROR(__xludf.DUMMYFUNCTION("""COMPUTED_VALUE"""),43911.99861111111)</f>
        <v>43911.99861</v>
      </c>
      <c r="E1112" s="22">
        <f>IFERROR(__xludf.DUMMYFUNCTION("""COMPUTED_VALUE"""),1.0761)</f>
        <v>1.0761</v>
      </c>
      <c r="F1112" s="22">
        <f t="shared" si="11"/>
        <v>376.9380745</v>
      </c>
      <c r="G1112" s="22">
        <f t="shared" si="79"/>
        <v>27.69708108</v>
      </c>
      <c r="H1112" s="22">
        <f t="shared" si="80"/>
        <v>49.95005956</v>
      </c>
    </row>
    <row r="1113" ht="15.75" customHeight="1">
      <c r="A1113" s="32">
        <f>IFERROR(__xludf.DUMMYFUNCTION("""COMPUTED_VALUE"""),43938.66666666667)</f>
        <v>43938.66667</v>
      </c>
      <c r="B1113" s="22">
        <f>IFERROR(__xludf.DUMMYFUNCTION("""COMPUTED_VALUE"""),2874.56)</f>
        <v>2874.56</v>
      </c>
      <c r="C1113" s="22">
        <f t="shared" si="10"/>
        <v>4400.786318</v>
      </c>
      <c r="D1113" s="25">
        <f>IFERROR(__xludf.DUMMYFUNCTION("""COMPUTED_VALUE"""),43918.99861111111)</f>
        <v>43918.99861</v>
      </c>
      <c r="E1113" s="22">
        <f>IFERROR(__xludf.DUMMYFUNCTION("""COMPUTED_VALUE"""),1.1166)</f>
        <v>1.1166</v>
      </c>
      <c r="F1113" s="22">
        <f t="shared" si="11"/>
        <v>374.440048</v>
      </c>
      <c r="G1113" s="22">
        <f t="shared" si="79"/>
        <v>23.986366</v>
      </c>
      <c r="H1113" s="22">
        <f t="shared" si="80"/>
        <v>47.27328358</v>
      </c>
    </row>
    <row r="1114" ht="15.75" customHeight="1">
      <c r="A1114" s="32">
        <f>IFERROR(__xludf.DUMMYFUNCTION("""COMPUTED_VALUE"""),43945.66666666667)</f>
        <v>43945.66667</v>
      </c>
      <c r="B1114" s="22">
        <f>IFERROR(__xludf.DUMMYFUNCTION("""COMPUTED_VALUE"""),2836.74)</f>
        <v>2836.74</v>
      </c>
      <c r="C1114" s="22">
        <f t="shared" si="10"/>
        <v>4344.578679</v>
      </c>
      <c r="D1114" s="25">
        <f>IFERROR(__xludf.DUMMYFUNCTION("""COMPUTED_VALUE"""),43925.99861111111)</f>
        <v>43925.99861</v>
      </c>
      <c r="E1114" s="22">
        <f>IFERROR(__xludf.DUMMYFUNCTION("""COMPUTED_VALUE"""),1.0799)</f>
        <v>1.0799</v>
      </c>
      <c r="F1114" s="22">
        <f t="shared" si="11"/>
        <v>382.2203092</v>
      </c>
      <c r="G1114" s="22">
        <f t="shared" si="79"/>
        <v>23.88635335</v>
      </c>
      <c r="H1114" s="22">
        <f t="shared" si="80"/>
        <v>46.05748643</v>
      </c>
    </row>
    <row r="1115" ht="15.75" customHeight="1">
      <c r="A1115" s="32">
        <f>IFERROR(__xludf.DUMMYFUNCTION("""COMPUTED_VALUE"""),43952.66666666667)</f>
        <v>43952.66667</v>
      </c>
      <c r="B1115" s="22">
        <f>IFERROR(__xludf.DUMMYFUNCTION("""COMPUTED_VALUE"""),2830.71)</f>
        <v>2830.71</v>
      </c>
      <c r="C1115" s="22">
        <f t="shared" si="10"/>
        <v>4337.01449</v>
      </c>
      <c r="D1115" s="25">
        <f>IFERROR(__xludf.DUMMYFUNCTION("""COMPUTED_VALUE"""),43932.99861111111)</f>
        <v>43932.99861</v>
      </c>
      <c r="E1115" s="22">
        <f>IFERROR(__xludf.DUMMYFUNCTION("""COMPUTED_VALUE"""),1.0935)</f>
        <v>1.0935</v>
      </c>
      <c r="F1115" s="22">
        <f t="shared" si="11"/>
        <v>376.8093925</v>
      </c>
      <c r="G1115" s="22">
        <f t="shared" si="79"/>
        <v>21.57007835</v>
      </c>
      <c r="H1115" s="22">
        <f t="shared" si="80"/>
        <v>46.05304667</v>
      </c>
    </row>
    <row r="1116" ht="15.75" customHeight="1">
      <c r="A1116" s="32">
        <f>IFERROR(__xludf.DUMMYFUNCTION("""COMPUTED_VALUE"""),43959.66666666667)</f>
        <v>43959.66667</v>
      </c>
      <c r="B1116" s="22">
        <f>IFERROR(__xludf.DUMMYFUNCTION("""COMPUTED_VALUE"""),2929.8)</f>
        <v>2929.8</v>
      </c>
      <c r="C1116" s="22">
        <f t="shared" si="10"/>
        <v>4490.501291</v>
      </c>
      <c r="D1116" s="25">
        <f>IFERROR(__xludf.DUMMYFUNCTION("""COMPUTED_VALUE"""),43939.99861111111)</f>
        <v>43939.99861</v>
      </c>
      <c r="E1116" s="22">
        <f>IFERROR(__xludf.DUMMYFUNCTION("""COMPUTED_VALUE"""),1.0874)</f>
        <v>1.0874</v>
      </c>
      <c r="F1116" s="22">
        <f t="shared" si="11"/>
        <v>392.3332636</v>
      </c>
      <c r="G1116" s="22">
        <f t="shared" si="79"/>
        <v>28.2779185</v>
      </c>
      <c r="H1116" s="22">
        <f t="shared" si="80"/>
        <v>52.49788468</v>
      </c>
    </row>
    <row r="1117" ht="15.75" customHeight="1">
      <c r="A1117" s="32">
        <f>IFERROR(__xludf.DUMMYFUNCTION("""COMPUTED_VALUE"""),43966.66666666667)</f>
        <v>43966.66667</v>
      </c>
      <c r="B1117" s="22">
        <f>IFERROR(__xludf.DUMMYFUNCTION("""COMPUTED_VALUE"""),2863.7)</f>
        <v>2863.7</v>
      </c>
      <c r="C1117" s="22">
        <f t="shared" si="10"/>
        <v>4390.917008</v>
      </c>
      <c r="D1117" s="25">
        <f>IFERROR(__xludf.DUMMYFUNCTION("""COMPUTED_VALUE"""),43946.99861111111)</f>
        <v>43946.99861</v>
      </c>
      <c r="E1117" s="22">
        <f>IFERROR(__xludf.DUMMYFUNCTION("""COMPUTED_VALUE"""),1.0822)</f>
        <v>1.0822</v>
      </c>
      <c r="F1117" s="22">
        <f t="shared" si="11"/>
        <v>385.4759905</v>
      </c>
      <c r="G1117" s="22">
        <f t="shared" si="79"/>
        <v>28.50130907</v>
      </c>
      <c r="H1117" s="22">
        <f t="shared" si="80"/>
        <v>53.97605969</v>
      </c>
    </row>
    <row r="1118" ht="15.75" customHeight="1">
      <c r="A1118" s="32">
        <f>IFERROR(__xludf.DUMMYFUNCTION("""COMPUTED_VALUE"""),43973.66666666667)</f>
        <v>43973.66667</v>
      </c>
      <c r="B1118" s="22">
        <f>IFERROR(__xludf.DUMMYFUNCTION("""COMPUTED_VALUE"""),2955.45)</f>
        <v>2955.45</v>
      </c>
      <c r="C1118" s="22">
        <f t="shared" si="10"/>
        <v>4533.286283</v>
      </c>
      <c r="D1118" s="25">
        <f>IFERROR(__xludf.DUMMYFUNCTION("""COMPUTED_VALUE"""),43953.99861111111)</f>
        <v>43953.99861</v>
      </c>
      <c r="E1118" s="22">
        <f>IFERROR(__xludf.DUMMYFUNCTION("""COMPUTED_VALUE"""),1.1093)</f>
        <v>1.1093</v>
      </c>
      <c r="F1118" s="22">
        <f t="shared" si="11"/>
        <v>388.2520587</v>
      </c>
      <c r="G1118" s="22">
        <f t="shared" si="79"/>
        <v>28.75808837</v>
      </c>
      <c r="H1118" s="22">
        <f t="shared" si="80"/>
        <v>56.35629024</v>
      </c>
    </row>
    <row r="1119" ht="15.75" customHeight="1">
      <c r="A1119" s="32">
        <f>IFERROR(__xludf.DUMMYFUNCTION("""COMPUTED_VALUE"""),43980.66666666667)</f>
        <v>43980.66667</v>
      </c>
      <c r="B1119" s="22">
        <f>IFERROR(__xludf.DUMMYFUNCTION("""COMPUTED_VALUE"""),3044.31)</f>
        <v>3044.31</v>
      </c>
      <c r="C1119" s="22">
        <f t="shared" si="10"/>
        <v>4671.32985</v>
      </c>
      <c r="D1119" s="25">
        <f>IFERROR(__xludf.DUMMYFUNCTION("""COMPUTED_VALUE"""),43960.99861111111)</f>
        <v>43960.99861</v>
      </c>
      <c r="E1119" s="22">
        <f>IFERROR(__xludf.DUMMYFUNCTION("""COMPUTED_VALUE"""),1.0969)</f>
        <v>1.0969</v>
      </c>
      <c r="F1119" s="22">
        <f t="shared" si="11"/>
        <v>404.5974414</v>
      </c>
      <c r="G1119" s="22">
        <f t="shared" si="79"/>
        <v>32.07592841</v>
      </c>
      <c r="H1119" s="22">
        <f t="shared" si="80"/>
        <v>67.74574035</v>
      </c>
    </row>
    <row r="1120" ht="15.75" customHeight="1">
      <c r="A1120" s="32">
        <f>IFERROR(__xludf.DUMMYFUNCTION("""COMPUTED_VALUE"""),43987.66666666667)</f>
        <v>43987.66667</v>
      </c>
      <c r="B1120" s="22">
        <f>IFERROR(__xludf.DUMMYFUNCTION("""COMPUTED_VALUE"""),3193.93)</f>
        <v>3193.93</v>
      </c>
      <c r="C1120" s="22">
        <f t="shared" si="10"/>
        <v>4902.710352</v>
      </c>
      <c r="D1120" s="25">
        <f>IFERROR(__xludf.DUMMYFUNCTION("""COMPUTED_VALUE"""),43967.99861111111)</f>
        <v>43967.99861</v>
      </c>
      <c r="E1120" s="22">
        <f>IFERROR(__xludf.DUMMYFUNCTION("""COMPUTED_VALUE"""),1.08106)</f>
        <v>1.08106</v>
      </c>
      <c r="F1120" s="22">
        <f t="shared" si="11"/>
        <v>430.8598956</v>
      </c>
      <c r="G1120" s="22">
        <f t="shared" si="79"/>
        <v>44.56415549</v>
      </c>
      <c r="H1120" s="22">
        <f t="shared" si="80"/>
        <v>71.67478798</v>
      </c>
    </row>
    <row r="1121" ht="15.75" customHeight="1">
      <c r="A1121" s="32">
        <f>IFERROR(__xludf.DUMMYFUNCTION("""COMPUTED_VALUE"""),43994.66666666667)</f>
        <v>43994.66667</v>
      </c>
      <c r="B1121" s="22">
        <f>IFERROR(__xludf.DUMMYFUNCTION("""COMPUTED_VALUE"""),3041.31)</f>
        <v>3041.31</v>
      </c>
      <c r="C1121" s="22">
        <f t="shared" si="10"/>
        <v>4670.322982</v>
      </c>
      <c r="D1121" s="25">
        <f>IFERROR(__xludf.DUMMYFUNCTION("""COMPUTED_VALUE"""),43974.99861111111)</f>
        <v>43974.99861</v>
      </c>
      <c r="E1121" s="22">
        <f>IFERROR(__xludf.DUMMYFUNCTION("""COMPUTED_VALUE"""),1.0896)</f>
        <v>1.0896</v>
      </c>
      <c r="F1121" s="22">
        <f t="shared" si="11"/>
        <v>407.2203334</v>
      </c>
      <c r="G1121" s="22">
        <f t="shared" si="79"/>
        <v>36.19803015</v>
      </c>
      <c r="H1121" s="22">
        <f t="shared" si="80"/>
        <v>60.68071889</v>
      </c>
    </row>
    <row r="1122" ht="15.75" customHeight="1">
      <c r="A1122" s="32">
        <f>IFERROR(__xludf.DUMMYFUNCTION("""COMPUTED_VALUE"""),44001.66666666667)</f>
        <v>44001.66667</v>
      </c>
      <c r="B1122" s="22">
        <f>IFERROR(__xludf.DUMMYFUNCTION("""COMPUTED_VALUE"""),3097.74)</f>
        <v>3097.74</v>
      </c>
      <c r="C1122" s="22">
        <f t="shared" si="10"/>
        <v>4758.774788</v>
      </c>
      <c r="D1122" s="25">
        <f>IFERROR(__xludf.DUMMYFUNCTION("""COMPUTED_VALUE"""),43981.99861111111)</f>
        <v>43981.99861</v>
      </c>
      <c r="E1122" s="22">
        <f>IFERROR(__xludf.DUMMYFUNCTION("""COMPUTED_VALUE"""),1.11011)</f>
        <v>1.11011</v>
      </c>
      <c r="F1122" s="22">
        <f t="shared" si="11"/>
        <v>407.2665777</v>
      </c>
      <c r="G1122" s="22">
        <f t="shared" si="79"/>
        <v>37.10090948</v>
      </c>
      <c r="H1122" s="22">
        <f t="shared" si="80"/>
        <v>63.07678638</v>
      </c>
    </row>
    <row r="1123" ht="15.75" customHeight="1">
      <c r="A1123" s="32">
        <f>IFERROR(__xludf.DUMMYFUNCTION("""COMPUTED_VALUE"""),44008.66666666667)</f>
        <v>44008.66667</v>
      </c>
      <c r="B1123" s="22">
        <f>IFERROR(__xludf.DUMMYFUNCTION("""COMPUTED_VALUE"""),3009.05)</f>
        <v>3009.05</v>
      </c>
      <c r="C1123" s="22">
        <f t="shared" si="10"/>
        <v>4624.358747</v>
      </c>
      <c r="D1123" s="25">
        <f>IFERROR(__xludf.DUMMYFUNCTION("""COMPUTED_VALUE"""),43988.99861111111)</f>
        <v>43988.99861</v>
      </c>
      <c r="E1123" s="22">
        <f>IFERROR(__xludf.DUMMYFUNCTION("""COMPUTED_VALUE"""),1.12788)</f>
        <v>1.12788</v>
      </c>
      <c r="F1123" s="22">
        <f t="shared" si="11"/>
        <v>389.5276193</v>
      </c>
      <c r="G1123" s="22">
        <f t="shared" si="79"/>
        <v>30.820302</v>
      </c>
      <c r="H1123" s="22">
        <f t="shared" si="80"/>
        <v>59.854932</v>
      </c>
    </row>
    <row r="1124" ht="15.75" customHeight="1">
      <c r="A1124" s="32">
        <f>IFERROR(__xludf.DUMMYFUNCTION("""COMPUTED_VALUE"""),44014.66666666667)</f>
        <v>44014.66667</v>
      </c>
      <c r="B1124" s="22">
        <f>IFERROR(__xludf.DUMMYFUNCTION("""COMPUTED_VALUE"""),3130.01)</f>
        <v>3130.01</v>
      </c>
      <c r="C1124" s="22">
        <f t="shared" si="10"/>
        <v>4812.030713</v>
      </c>
      <c r="D1124" s="25">
        <f>IFERROR(__xludf.DUMMYFUNCTION("""COMPUTED_VALUE"""),43995.99861111111)</f>
        <v>43995.99861</v>
      </c>
      <c r="E1124" s="22">
        <f>IFERROR(__xludf.DUMMYFUNCTION("""COMPUTED_VALUE"""),1.1257)</f>
        <v>1.1257</v>
      </c>
      <c r="F1124" s="22">
        <f t="shared" si="11"/>
        <v>406.1209173</v>
      </c>
      <c r="G1124" s="22">
        <f t="shared" si="79"/>
        <v>36.14376021</v>
      </c>
      <c r="H1124" s="22">
        <f t="shared" si="80"/>
        <v>67.91528184</v>
      </c>
    </row>
    <row r="1125" ht="15.75" customHeight="1">
      <c r="A1125" s="32">
        <f>IFERROR(__xludf.DUMMYFUNCTION("""COMPUTED_VALUE"""),44022.66666666667)</f>
        <v>44022.66667</v>
      </c>
      <c r="B1125" s="22">
        <f>IFERROR(__xludf.DUMMYFUNCTION("""COMPUTED_VALUE"""),3185.04)</f>
        <v>3185.04</v>
      </c>
      <c r="C1125" s="22">
        <f t="shared" si="10"/>
        <v>4898.483795</v>
      </c>
      <c r="D1125" s="25">
        <f>IFERROR(__xludf.DUMMYFUNCTION("""COMPUTED_VALUE"""),44002.99861111111)</f>
        <v>44002.99861</v>
      </c>
      <c r="E1125" s="22">
        <f>IFERROR(__xludf.DUMMYFUNCTION("""COMPUTED_VALUE"""),1.11772)</f>
        <v>1.11772</v>
      </c>
      <c r="F1125" s="22">
        <f t="shared" si="11"/>
        <v>416.3689043</v>
      </c>
      <c r="G1125" s="22">
        <f t="shared" si="79"/>
        <v>37.69059924</v>
      </c>
      <c r="H1125" s="22">
        <f t="shared" si="80"/>
        <v>65.31576096</v>
      </c>
    </row>
    <row r="1126" ht="15.75" customHeight="1">
      <c r="A1126" s="32">
        <f>IFERROR(__xludf.DUMMYFUNCTION("""COMPUTED_VALUE"""),44029.66666666667)</f>
        <v>44029.66667</v>
      </c>
      <c r="B1126" s="22">
        <f>IFERROR(__xludf.DUMMYFUNCTION("""COMPUTED_VALUE"""),3224.73)</f>
        <v>3224.73</v>
      </c>
      <c r="C1126" s="22">
        <f t="shared" si="10"/>
        <v>4961.409705</v>
      </c>
      <c r="D1126" s="25">
        <f>IFERROR(__xludf.DUMMYFUNCTION("""COMPUTED_VALUE"""),44009.99861111111)</f>
        <v>44009.99861</v>
      </c>
      <c r="E1126" s="22">
        <f>IFERROR(__xludf.DUMMYFUNCTION("""COMPUTED_VALUE"""),1.12191)</f>
        <v>1.12191</v>
      </c>
      <c r="F1126" s="22">
        <f t="shared" si="11"/>
        <v>420.1425885</v>
      </c>
      <c r="G1126" s="22">
        <f t="shared" si="79"/>
        <v>41.02821371</v>
      </c>
      <c r="H1126" s="22">
        <f t="shared" si="80"/>
        <v>69.73730235</v>
      </c>
    </row>
    <row r="1127" ht="15.75" customHeight="1">
      <c r="A1127" s="32">
        <f>IFERROR(__xludf.DUMMYFUNCTION("""COMPUTED_VALUE"""),44036.66666666667)</f>
        <v>44036.66667</v>
      </c>
      <c r="B1127" s="22">
        <f>IFERROR(__xludf.DUMMYFUNCTION("""COMPUTED_VALUE"""),3215.63)</f>
        <v>3215.63</v>
      </c>
      <c r="C1127" s="22">
        <f t="shared" si="10"/>
        <v>4949.317131</v>
      </c>
      <c r="D1127" s="25">
        <f>IFERROR(__xludf.DUMMYFUNCTION("""COMPUTED_VALUE"""),44016.99861111111)</f>
        <v>44016.99861</v>
      </c>
      <c r="E1127" s="22">
        <f>IFERROR(__xludf.DUMMYFUNCTION("""COMPUTED_VALUE"""),1.1243)</f>
        <v>1.1243</v>
      </c>
      <c r="F1127" s="22">
        <f t="shared" si="11"/>
        <v>418.2276154</v>
      </c>
      <c r="G1127" s="22">
        <f t="shared" si="79"/>
        <v>40.00017878</v>
      </c>
      <c r="H1127" s="22">
        <f t="shared" si="80"/>
        <v>67.58085455</v>
      </c>
    </row>
    <row r="1128" ht="15.75" customHeight="1">
      <c r="A1128" s="32">
        <f>IFERROR(__xludf.DUMMYFUNCTION("""COMPUTED_VALUE"""),44043.66666666667)</f>
        <v>44043.66667</v>
      </c>
      <c r="B1128" s="22">
        <f>IFERROR(__xludf.DUMMYFUNCTION("""COMPUTED_VALUE"""),3271.12)</f>
        <v>3271.12</v>
      </c>
      <c r="C1128" s="22">
        <f t="shared" si="10"/>
        <v>5036.627806</v>
      </c>
      <c r="D1128" s="25">
        <f>IFERROR(__xludf.DUMMYFUNCTION("""COMPUTED_VALUE"""),44023.99861111111)</f>
        <v>44023.99861</v>
      </c>
      <c r="E1128" s="22">
        <f>IFERROR(__xludf.DUMMYFUNCTION("""COMPUTED_VALUE"""),1.1299)</f>
        <v>1.1299</v>
      </c>
      <c r="F1128" s="22">
        <f t="shared" si="11"/>
        <v>423.4961672</v>
      </c>
      <c r="G1128" s="22">
        <f t="shared" si="79"/>
        <v>42.30749792</v>
      </c>
      <c r="H1128" s="22">
        <f t="shared" si="80"/>
        <v>66.71251467</v>
      </c>
    </row>
    <row r="1129" ht="15.75" customHeight="1">
      <c r="A1129" s="32">
        <f>IFERROR(__xludf.DUMMYFUNCTION("""COMPUTED_VALUE"""),44050.66666666667)</f>
        <v>44050.66667</v>
      </c>
      <c r="B1129" s="22">
        <f>IFERROR(__xludf.DUMMYFUNCTION("""COMPUTED_VALUE"""),3351.28)</f>
        <v>3351.28</v>
      </c>
      <c r="C1129" s="22">
        <f t="shared" si="10"/>
        <v>5161.98939</v>
      </c>
      <c r="D1129" s="25">
        <f>IFERROR(__xludf.DUMMYFUNCTION("""COMPUTED_VALUE"""),44030.99861111111)</f>
        <v>44030.99861</v>
      </c>
      <c r="E1129" s="22">
        <f>IFERROR(__xludf.DUMMYFUNCTION("""COMPUTED_VALUE"""),1.14246)</f>
        <v>1.14246</v>
      </c>
      <c r="F1129" s="22">
        <f t="shared" si="11"/>
        <v>429.2652553</v>
      </c>
      <c r="G1129" s="22">
        <f t="shared" si="79"/>
        <v>48.74926625</v>
      </c>
      <c r="H1129" s="22">
        <f t="shared" si="80"/>
        <v>70.16187464</v>
      </c>
    </row>
    <row r="1130" ht="15.75" customHeight="1">
      <c r="A1130" s="32">
        <f>IFERROR(__xludf.DUMMYFUNCTION("""COMPUTED_VALUE"""),44057.66666666667)</f>
        <v>44057.66667</v>
      </c>
      <c r="B1130" s="22">
        <f>IFERROR(__xludf.DUMMYFUNCTION("""COMPUTED_VALUE"""),3372.85)</f>
        <v>3372.85</v>
      </c>
      <c r="C1130" s="22">
        <f t="shared" si="10"/>
        <v>5197.199124</v>
      </c>
      <c r="D1130" s="25">
        <f>IFERROR(__xludf.DUMMYFUNCTION("""COMPUTED_VALUE"""),44037.99861111111)</f>
        <v>44037.99861</v>
      </c>
      <c r="E1130" s="22">
        <f>IFERROR(__xludf.DUMMYFUNCTION("""COMPUTED_VALUE"""),1.16559)</f>
        <v>1.16559</v>
      </c>
      <c r="F1130" s="22">
        <f t="shared" si="11"/>
        <v>423.6168024</v>
      </c>
      <c r="G1130" s="22">
        <f t="shared" si="79"/>
        <v>48.86714008</v>
      </c>
      <c r="H1130" s="22">
        <f t="shared" si="80"/>
        <v>78.17833973</v>
      </c>
    </row>
    <row r="1131" ht="15.75" customHeight="1">
      <c r="A1131" s="32">
        <f>IFERROR(__xludf.DUMMYFUNCTION("""COMPUTED_VALUE"""),44064.66666666667)</f>
        <v>44064.66667</v>
      </c>
      <c r="B1131" s="22">
        <f>IFERROR(__xludf.DUMMYFUNCTION("""COMPUTED_VALUE"""),3397.16)</f>
        <v>3397.16</v>
      </c>
      <c r="C1131" s="22">
        <f t="shared" si="10"/>
        <v>5236.657142</v>
      </c>
      <c r="D1131" s="25">
        <f>IFERROR(__xludf.DUMMYFUNCTION("""COMPUTED_VALUE"""),44044.99861111111)</f>
        <v>44044.99861</v>
      </c>
      <c r="E1131" s="22">
        <f>IFERROR(__xludf.DUMMYFUNCTION("""COMPUTED_VALUE"""),1.17719)</f>
        <v>1.17719</v>
      </c>
      <c r="F1131" s="22">
        <f t="shared" si="11"/>
        <v>422.626972</v>
      </c>
      <c r="G1131" s="22">
        <f t="shared" si="79"/>
        <v>47.64996672</v>
      </c>
      <c r="H1131" s="22">
        <f t="shared" si="80"/>
        <v>75.79927797</v>
      </c>
    </row>
    <row r="1132" ht="15.75" customHeight="1">
      <c r="A1132" s="32">
        <f>IFERROR(__xludf.DUMMYFUNCTION("""COMPUTED_VALUE"""),44071.66666666667)</f>
        <v>44071.66667</v>
      </c>
      <c r="B1132" s="22">
        <f>IFERROR(__xludf.DUMMYFUNCTION("""COMPUTED_VALUE"""),3508.01)</f>
        <v>3508.01</v>
      </c>
      <c r="C1132" s="22">
        <f t="shared" si="10"/>
        <v>5409.544395</v>
      </c>
      <c r="D1132" s="25">
        <f>IFERROR(__xludf.DUMMYFUNCTION("""COMPUTED_VALUE"""),44051.99861111111)</f>
        <v>44051.99861</v>
      </c>
      <c r="E1132" s="22">
        <f>IFERROR(__xludf.DUMMYFUNCTION("""COMPUTED_VALUE"""),1.1786)</f>
        <v>1.1786</v>
      </c>
      <c r="F1132" s="22">
        <f t="shared" si="11"/>
        <v>436.0576265</v>
      </c>
      <c r="G1132" s="22">
        <f t="shared" si="79"/>
        <v>50.79862467</v>
      </c>
      <c r="H1132" s="22">
        <f t="shared" si="80"/>
        <v>90.07762409</v>
      </c>
    </row>
    <row r="1133" ht="15.75" customHeight="1">
      <c r="A1133" s="32">
        <f>IFERROR(__xludf.DUMMYFUNCTION("""COMPUTED_VALUE"""),44078.66666666667)</f>
        <v>44078.66667</v>
      </c>
      <c r="B1133" s="22">
        <f>IFERROR(__xludf.DUMMYFUNCTION("""COMPUTED_VALUE"""),3426.96)</f>
        <v>3426.96</v>
      </c>
      <c r="C1133" s="22">
        <f t="shared" si="10"/>
        <v>5286.641431</v>
      </c>
      <c r="D1133" s="25">
        <f>IFERROR(__xludf.DUMMYFUNCTION("""COMPUTED_VALUE"""),44058.99861111111)</f>
        <v>44058.99861</v>
      </c>
      <c r="E1133" s="22">
        <f>IFERROR(__xludf.DUMMYFUNCTION("""COMPUTED_VALUE"""),1.18408)</f>
        <v>1.18408</v>
      </c>
      <c r="F1133" s="22">
        <f t="shared" si="11"/>
        <v>424.1782964</v>
      </c>
      <c r="G1133" s="22">
        <f t="shared" si="79"/>
        <v>46.81041113</v>
      </c>
      <c r="H1133" s="22">
        <f t="shared" si="80"/>
        <v>85.62550739</v>
      </c>
    </row>
    <row r="1134" ht="15.75" customHeight="1">
      <c r="A1134" s="32">
        <f>IFERROR(__xludf.DUMMYFUNCTION("""COMPUTED_VALUE"""),44085.66666666667)</f>
        <v>44085.66667</v>
      </c>
      <c r="B1134" s="22">
        <f>IFERROR(__xludf.DUMMYFUNCTION("""COMPUTED_VALUE"""),3340.97)</f>
        <v>3340.97</v>
      </c>
      <c r="C1134" s="22">
        <f t="shared" si="10"/>
        <v>5156.021237</v>
      </c>
      <c r="D1134" s="25">
        <f>IFERROR(__xludf.DUMMYFUNCTION("""COMPUTED_VALUE"""),44065.99861111111)</f>
        <v>44065.99861</v>
      </c>
      <c r="E1134" s="22">
        <f>IFERROR(__xludf.DUMMYFUNCTION("""COMPUTED_VALUE"""),1.17888)</f>
        <v>1.17888</v>
      </c>
      <c r="F1134" s="22">
        <f t="shared" si="11"/>
        <v>415.5226784</v>
      </c>
      <c r="G1134" s="22">
        <f t="shared" si="79"/>
        <v>43.50297451</v>
      </c>
      <c r="H1134" s="22">
        <f t="shared" si="80"/>
        <v>78.81745808</v>
      </c>
    </row>
    <row r="1135" ht="15.75" customHeight="1">
      <c r="A1135" s="32">
        <f>IFERROR(__xludf.DUMMYFUNCTION("""COMPUTED_VALUE"""),44092.66666666667)</f>
        <v>44092.66667</v>
      </c>
      <c r="B1135" s="22">
        <f>IFERROR(__xludf.DUMMYFUNCTION("""COMPUTED_VALUE"""),3319.47)</f>
        <v>3319.47</v>
      </c>
      <c r="C1135" s="22">
        <f t="shared" si="10"/>
        <v>5124.824001</v>
      </c>
      <c r="D1135" s="25">
        <f>IFERROR(__xludf.DUMMYFUNCTION("""COMPUTED_VALUE"""),44072.99861111111)</f>
        <v>44072.99861</v>
      </c>
      <c r="E1135" s="22">
        <f>IFERROR(__xludf.DUMMYFUNCTION("""COMPUTED_VALUE"""),1.18924)</f>
        <v>1.18924</v>
      </c>
      <c r="F1135" s="22">
        <f t="shared" si="11"/>
        <v>409.4105984</v>
      </c>
      <c r="G1135" s="22">
        <f t="shared" si="79"/>
        <v>40.47925343</v>
      </c>
      <c r="H1135" s="22">
        <f t="shared" si="80"/>
        <v>78.05729891</v>
      </c>
    </row>
    <row r="1136" ht="15.75" customHeight="1">
      <c r="A1136" s="32">
        <f>IFERROR(__xludf.DUMMYFUNCTION("""COMPUTED_VALUE"""),44099.66666666667)</f>
        <v>44099.66667</v>
      </c>
      <c r="B1136" s="22">
        <f>IFERROR(__xludf.DUMMYFUNCTION("""COMPUTED_VALUE"""),3298.46)</f>
        <v>3298.46</v>
      </c>
      <c r="C1136" s="22">
        <f t="shared" si="10"/>
        <v>5094.358418</v>
      </c>
      <c r="D1136" s="25">
        <f>IFERROR(__xludf.DUMMYFUNCTION("""COMPUTED_VALUE"""),44079.99861111111)</f>
        <v>44079.99861</v>
      </c>
      <c r="E1136" s="22">
        <f>IFERROR(__xludf.DUMMYFUNCTION("""COMPUTED_VALUE"""),1.18337)</f>
        <v>1.18337</v>
      </c>
      <c r="F1136" s="22">
        <f t="shared" si="11"/>
        <v>408.9955433</v>
      </c>
      <c r="G1136" s="22">
        <f t="shared" si="79"/>
        <v>41.38454918</v>
      </c>
      <c r="H1136" s="22">
        <f t="shared" si="80"/>
        <v>78.95687929</v>
      </c>
    </row>
    <row r="1137" ht="15.75" customHeight="1">
      <c r="A1137" s="32">
        <f>IFERROR(__xludf.DUMMYFUNCTION("""COMPUTED_VALUE"""),44106.66666666667)</f>
        <v>44106.66667</v>
      </c>
      <c r="B1137" s="22">
        <f>IFERROR(__xludf.DUMMYFUNCTION("""COMPUTED_VALUE"""),3348.44)</f>
        <v>3348.44</v>
      </c>
      <c r="C1137" s="22">
        <f t="shared" si="10"/>
        <v>5173.510183</v>
      </c>
      <c r="D1137" s="25">
        <f>IFERROR(__xludf.DUMMYFUNCTION("""COMPUTED_VALUE"""),44086.99861111111)</f>
        <v>44086.99861</v>
      </c>
      <c r="E1137" s="22">
        <f>IFERROR(__xludf.DUMMYFUNCTION("""COMPUTED_VALUE"""),1.18369)</f>
        <v>1.18369</v>
      </c>
      <c r="F1137" s="22">
        <f t="shared" si="11"/>
        <v>415.2378786</v>
      </c>
      <c r="G1137" s="22">
        <f t="shared" si="79"/>
        <v>40.71716819</v>
      </c>
      <c r="H1137" s="22">
        <f t="shared" si="80"/>
        <v>75.33090005</v>
      </c>
    </row>
    <row r="1138" ht="15.75" customHeight="1">
      <c r="A1138" s="32">
        <f>IFERROR(__xludf.DUMMYFUNCTION("""COMPUTED_VALUE"""),44113.66666666667)</f>
        <v>44113.66667</v>
      </c>
      <c r="B1138" s="22">
        <f>IFERROR(__xludf.DUMMYFUNCTION("""COMPUTED_VALUE"""),3477.13)</f>
        <v>3477.13</v>
      </c>
      <c r="C1138" s="22">
        <f t="shared" si="10"/>
        <v>5374.332593</v>
      </c>
      <c r="D1138" s="25">
        <f>IFERROR(__xludf.DUMMYFUNCTION("""COMPUTED_VALUE"""),44093.99861111111)</f>
        <v>44093.99861</v>
      </c>
      <c r="E1138" s="22">
        <f>IFERROR(__xludf.DUMMYFUNCTION("""COMPUTED_VALUE"""),1.18381)</f>
        <v>1.18381</v>
      </c>
      <c r="F1138" s="22">
        <f t="shared" si="11"/>
        <v>431.3126236</v>
      </c>
      <c r="G1138" s="22">
        <f t="shared" si="79"/>
        <v>45.94984211</v>
      </c>
      <c r="H1138" s="22">
        <f t="shared" si="80"/>
        <v>78.67748287</v>
      </c>
    </row>
    <row r="1139" ht="15.75" customHeight="1">
      <c r="A1139" s="32">
        <f>IFERROR(__xludf.DUMMYFUNCTION("""COMPUTED_VALUE"""),44120.66666666667)</f>
        <v>44120.66667</v>
      </c>
      <c r="B1139" s="22">
        <f>IFERROR(__xludf.DUMMYFUNCTION("""COMPUTED_VALUE"""),3483.81)</f>
        <v>3483.81</v>
      </c>
      <c r="C1139" s="22">
        <f t="shared" si="10"/>
        <v>5386.724407</v>
      </c>
      <c r="D1139" s="25">
        <f>IFERROR(__xludf.DUMMYFUNCTION("""COMPUTED_VALUE"""),44100.99861111111)</f>
        <v>44100.99861</v>
      </c>
      <c r="E1139" s="22">
        <f>IFERROR(__xludf.DUMMYFUNCTION("""COMPUTED_VALUE"""),1.16272)</f>
        <v>1.16272</v>
      </c>
      <c r="F1139" s="22">
        <f t="shared" si="11"/>
        <v>440.1485222</v>
      </c>
      <c r="G1139" s="22">
        <f t="shared" si="79"/>
        <v>45.92627812</v>
      </c>
      <c r="H1139" s="22">
        <f t="shared" si="80"/>
        <v>78.83191626</v>
      </c>
    </row>
    <row r="1140" ht="15.75" customHeight="1">
      <c r="A1140" s="32">
        <f>IFERROR(__xludf.DUMMYFUNCTION("""COMPUTED_VALUE"""),44127.66666666667)</f>
        <v>44127.66667</v>
      </c>
      <c r="B1140" s="22">
        <f>IFERROR(__xludf.DUMMYFUNCTION("""COMPUTED_VALUE"""),3465.39)</f>
        <v>3465.39</v>
      </c>
      <c r="C1140" s="22">
        <f t="shared" si="10"/>
        <v>5360.314917</v>
      </c>
      <c r="D1140" s="25">
        <f>IFERROR(__xludf.DUMMYFUNCTION("""COMPUTED_VALUE"""),44107.99861111111)</f>
        <v>44107.99861</v>
      </c>
      <c r="E1140" s="22">
        <f>IFERROR(__xludf.DUMMYFUNCTION("""COMPUTED_VALUE"""),1.17154)</f>
        <v>1.17154</v>
      </c>
      <c r="F1140" s="22">
        <f t="shared" si="11"/>
        <v>434.6931712</v>
      </c>
      <c r="G1140" s="22">
        <f t="shared" si="79"/>
        <v>42.7521049</v>
      </c>
      <c r="H1140" s="22">
        <f t="shared" si="80"/>
        <v>78.46940009</v>
      </c>
    </row>
    <row r="1141" ht="15.75" customHeight="1">
      <c r="A1141" s="32">
        <f>IFERROR(__xludf.DUMMYFUNCTION("""COMPUTED_VALUE"""),44134.66666666667)</f>
        <v>44134.66667</v>
      </c>
      <c r="B1141" s="22">
        <f>IFERROR(__xludf.DUMMYFUNCTION("""COMPUTED_VALUE"""),3269.96)</f>
        <v>3269.96</v>
      </c>
      <c r="C1141" s="22">
        <f t="shared" si="10"/>
        <v>5060.082651</v>
      </c>
      <c r="D1141" s="25">
        <f>IFERROR(__xludf.DUMMYFUNCTION("""COMPUTED_VALUE"""),44114.99861111111)</f>
        <v>44114.99861</v>
      </c>
      <c r="E1141" s="22">
        <f>IFERROR(__xludf.DUMMYFUNCTION("""COMPUTED_VALUE"""),1.18252)</f>
        <v>1.18252</v>
      </c>
      <c r="F1141" s="22">
        <f t="shared" si="11"/>
        <v>406.5357568</v>
      </c>
      <c r="G1141" s="22">
        <f t="shared" si="79"/>
        <v>34.10336307</v>
      </c>
      <c r="H1141" s="22">
        <f t="shared" si="80"/>
        <v>65.2321299</v>
      </c>
    </row>
    <row r="1142" ht="15.75" customHeight="1">
      <c r="A1142" s="32">
        <f>IFERROR(__xludf.DUMMYFUNCTION("""COMPUTED_VALUE"""),44141.66666666667)</f>
        <v>44141.66667</v>
      </c>
      <c r="B1142" s="22">
        <f>IFERROR(__xludf.DUMMYFUNCTION("""COMPUTED_VALUE"""),3509.44)</f>
        <v>3509.44</v>
      </c>
      <c r="C1142" s="22">
        <f t="shared" si="10"/>
        <v>5432.610922</v>
      </c>
      <c r="D1142" s="25">
        <f>IFERROR(__xludf.DUMMYFUNCTION("""COMPUTED_VALUE"""),44121.99861111111)</f>
        <v>44121.99861</v>
      </c>
      <c r="E1142" s="22">
        <f>IFERROR(__xludf.DUMMYFUNCTION("""COMPUTED_VALUE"""),1.17093)</f>
        <v>1.17093</v>
      </c>
      <c r="F1142" s="22">
        <f t="shared" si="11"/>
        <v>440.7855038</v>
      </c>
      <c r="G1142" s="22">
        <f t="shared" si="79"/>
        <v>45.16415832</v>
      </c>
      <c r="H1142" s="22">
        <f t="shared" si="80"/>
        <v>80.29800902</v>
      </c>
    </row>
    <row r="1143" ht="15.75" customHeight="1">
      <c r="A1143" s="32">
        <f>IFERROR(__xludf.DUMMYFUNCTION("""COMPUTED_VALUE"""),44148.66666666667)</f>
        <v>44148.66667</v>
      </c>
      <c r="B1143" s="22">
        <f>IFERROR(__xludf.DUMMYFUNCTION("""COMPUTED_VALUE"""),3585.15)</f>
        <v>3585.15</v>
      </c>
      <c r="C1143" s="22">
        <f t="shared" si="10"/>
        <v>5551.89942</v>
      </c>
      <c r="D1143" s="25">
        <f>IFERROR(__xludf.DUMMYFUNCTION("""COMPUTED_VALUE"""),44128.99861111111)</f>
        <v>44128.99861</v>
      </c>
      <c r="E1143" s="22">
        <f>IFERROR(__xludf.DUMMYFUNCTION("""COMPUTED_VALUE"""),1.18542)</f>
        <v>1.18542</v>
      </c>
      <c r="F1143" s="22">
        <f t="shared" si="11"/>
        <v>444.9579529</v>
      </c>
      <c r="G1143" s="22">
        <f t="shared" si="79"/>
        <v>44.53617758</v>
      </c>
      <c r="H1143" s="22">
        <f t="shared" si="80"/>
        <v>76.04999111</v>
      </c>
    </row>
    <row r="1144" ht="15.75" customHeight="1">
      <c r="A1144" s="32">
        <f>IFERROR(__xludf.DUMMYFUNCTION("""COMPUTED_VALUE"""),44155.66666666667)</f>
        <v>44155.66667</v>
      </c>
      <c r="B1144" s="22">
        <f>IFERROR(__xludf.DUMMYFUNCTION("""COMPUTED_VALUE"""),3557.54)</f>
        <v>3557.54</v>
      </c>
      <c r="C1144" s="22">
        <f t="shared" si="10"/>
        <v>5511.278412</v>
      </c>
      <c r="D1144" s="25">
        <f>IFERROR(__xludf.DUMMYFUNCTION("""COMPUTED_VALUE"""),44134.99861111111)</f>
        <v>44134.99861</v>
      </c>
      <c r="E1144" s="22">
        <f>IFERROR(__xludf.DUMMYFUNCTION("""COMPUTED_VALUE"""),1.1675)</f>
        <v>1.1675</v>
      </c>
      <c r="F1144" s="22">
        <f t="shared" si="11"/>
        <v>448.4820809</v>
      </c>
      <c r="G1144" s="22">
        <f t="shared" si="79"/>
        <v>44.43081501</v>
      </c>
      <c r="H1144" s="22">
        <f t="shared" si="80"/>
        <v>73.01941093</v>
      </c>
    </row>
    <row r="1145" ht="15.75" customHeight="1">
      <c r="A1145" s="32">
        <f>IFERROR(__xludf.DUMMYFUNCTION("""COMPUTED_VALUE"""),44162.54166666667)</f>
        <v>44162.54167</v>
      </c>
      <c r="B1145" s="22">
        <f>IFERROR(__xludf.DUMMYFUNCTION("""COMPUTED_VALUE"""),3638.35)</f>
        <v>3638.35</v>
      </c>
      <c r="C1145" s="22">
        <f t="shared" si="10"/>
        <v>5638.587565</v>
      </c>
      <c r="D1145" s="25">
        <f>IFERROR(__xludf.DUMMYFUNCTION("""COMPUTED_VALUE"""),44142.99861111111)</f>
        <v>44142.99861</v>
      </c>
      <c r="E1145" s="22">
        <f>IFERROR(__xludf.DUMMYFUNCTION("""COMPUTED_VALUE"""),1.1872)</f>
        <v>1.1872</v>
      </c>
      <c r="F1145" s="22">
        <f t="shared" si="11"/>
        <v>451.2280356</v>
      </c>
      <c r="G1145" s="22">
        <f t="shared" si="79"/>
        <v>43.65082879</v>
      </c>
      <c r="H1145" s="22">
        <f t="shared" si="80"/>
        <v>74.27708552</v>
      </c>
    </row>
    <row r="1146" ht="15.75" customHeight="1">
      <c r="A1146" s="32">
        <f>IFERROR(__xludf.DUMMYFUNCTION("""COMPUTED_VALUE"""),44169.66666666667)</f>
        <v>44169.66667</v>
      </c>
      <c r="B1146" s="22">
        <f>IFERROR(__xludf.DUMMYFUNCTION("""COMPUTED_VALUE"""),3699.12)</f>
        <v>3699.12</v>
      </c>
      <c r="C1146" s="22">
        <f t="shared" si="10"/>
        <v>5734.935473</v>
      </c>
      <c r="D1146" s="25">
        <f>IFERROR(__xludf.DUMMYFUNCTION("""COMPUTED_VALUE"""),44149.99861111111)</f>
        <v>44149.99861</v>
      </c>
      <c r="E1146" s="22">
        <f>IFERROR(__xludf.DUMMYFUNCTION("""COMPUTED_VALUE"""),1.18275)</f>
        <v>1.18275</v>
      </c>
      <c r="F1146" s="22">
        <f t="shared" si="11"/>
        <v>460.6649957</v>
      </c>
      <c r="G1146" s="22">
        <f t="shared" si="79"/>
        <v>47.73019251</v>
      </c>
      <c r="H1146" s="22">
        <f t="shared" si="80"/>
        <v>82.83466753</v>
      </c>
    </row>
    <row r="1147" ht="15.75" customHeight="1">
      <c r="A1147" s="32">
        <f>IFERROR(__xludf.DUMMYFUNCTION("""COMPUTED_VALUE"""),44176.66666666667)</f>
        <v>44176.66667</v>
      </c>
      <c r="B1147" s="22">
        <f>IFERROR(__xludf.DUMMYFUNCTION("""COMPUTED_VALUE"""),3663.46)</f>
        <v>3663.46</v>
      </c>
      <c r="C1147" s="22">
        <f t="shared" si="10"/>
        <v>5681.85569</v>
      </c>
      <c r="D1147" s="25">
        <f>IFERROR(__xludf.DUMMYFUNCTION("""COMPUTED_VALUE"""),44155.99861111111)</f>
        <v>44155.99861</v>
      </c>
      <c r="E1147" s="22">
        <f>IFERROR(__xludf.DUMMYFUNCTION("""COMPUTED_VALUE"""),1.18526)</f>
        <v>1.18526</v>
      </c>
      <c r="F1147" s="22">
        <f t="shared" si="11"/>
        <v>455.4347925</v>
      </c>
      <c r="G1147" s="22">
        <f t="shared" si="79"/>
        <v>46.31059023</v>
      </c>
      <c r="H1147" s="22">
        <f t="shared" si="80"/>
        <v>80.34994776</v>
      </c>
    </row>
    <row r="1148" ht="15.75" customHeight="1">
      <c r="A1148" s="32">
        <f>IFERROR(__xludf.DUMMYFUNCTION("""COMPUTED_VALUE"""),44183.66666666667)</f>
        <v>44183.66667</v>
      </c>
      <c r="B1148" s="22">
        <f>IFERROR(__xludf.DUMMYFUNCTION("""COMPUTED_VALUE"""),3709.41)</f>
        <v>3709.41</v>
      </c>
      <c r="C1148" s="22">
        <f t="shared" si="10"/>
        <v>5755.307328</v>
      </c>
      <c r="D1148" s="25">
        <f>IFERROR(__xludf.DUMMYFUNCTION("""COMPUTED_VALUE"""),44163.99861111111)</f>
        <v>44163.99861</v>
      </c>
      <c r="E1148" s="22">
        <f>IFERROR(__xludf.DUMMYFUNCTION("""COMPUTED_VALUE"""),1.1962)</f>
        <v>1.1962</v>
      </c>
      <c r="F1148" s="22">
        <f t="shared" si="11"/>
        <v>457.1032987</v>
      </c>
      <c r="G1148" s="22">
        <f t="shared" si="79"/>
        <v>45.91213147</v>
      </c>
      <c r="H1148" s="22">
        <f t="shared" si="80"/>
        <v>80.90520646</v>
      </c>
    </row>
    <row r="1149" ht="15.75" customHeight="1">
      <c r="A1149" s="32">
        <f>IFERROR(__xludf.DUMMYFUNCTION("""COMPUTED_VALUE"""),44188.66666666667)</f>
        <v>44188.66667</v>
      </c>
      <c r="B1149" s="22">
        <f>IFERROR(__xludf.DUMMYFUNCTION("""COMPUTED_VALUE"""),3690.01)</f>
        <v>3690.01</v>
      </c>
      <c r="C1149" s="22">
        <f t="shared" si="10"/>
        <v>5727.420982</v>
      </c>
      <c r="D1149" s="25">
        <f>IFERROR(__xludf.DUMMYFUNCTION("""COMPUTED_VALUE"""),44170.99861111111)</f>
        <v>44170.99861</v>
      </c>
      <c r="E1149" s="22">
        <f>IFERROR(__xludf.DUMMYFUNCTION("""COMPUTED_VALUE"""),1.212)</f>
        <v>1.212</v>
      </c>
      <c r="F1149" s="22">
        <f t="shared" si="11"/>
        <v>448.9584194</v>
      </c>
      <c r="G1149" s="22">
        <f t="shared" si="79"/>
        <v>42.23069028</v>
      </c>
      <c r="H1149" s="22">
        <f t="shared" si="80"/>
        <v>80.91314729</v>
      </c>
    </row>
    <row r="1150" ht="15.75" customHeight="1">
      <c r="A1150" s="32">
        <f>IFERROR(__xludf.DUMMYFUNCTION("""COMPUTED_VALUE"""),44196.66666666667)</f>
        <v>44196.66667</v>
      </c>
      <c r="B1150" s="22">
        <f>IFERROR(__xludf.DUMMYFUNCTION("""COMPUTED_VALUE"""),3756.07)</f>
        <v>3756.07</v>
      </c>
      <c r="C1150" s="22">
        <f t="shared" si="10"/>
        <v>5832.158364</v>
      </c>
      <c r="D1150" s="25">
        <f>IFERROR(__xludf.DUMMYFUNCTION("""COMPUTED_VALUE"""),44177.99861111111)</f>
        <v>44177.99861</v>
      </c>
      <c r="E1150" s="22">
        <f>IFERROR(__xludf.DUMMYFUNCTION("""COMPUTED_VALUE"""),1.2113)</f>
        <v>1.2113</v>
      </c>
      <c r="F1150" s="22">
        <f t="shared" si="11"/>
        <v>457.4327185</v>
      </c>
      <c r="G1150" s="22">
        <f t="shared" si="79"/>
        <v>41.09155467</v>
      </c>
      <c r="H1150" s="22">
        <f t="shared" si="80"/>
        <v>93.69864864</v>
      </c>
    </row>
    <row r="1151" ht="15.75" customHeight="1">
      <c r="A1151" s="32">
        <f>IFERROR(__xludf.DUMMYFUNCTION("""COMPUTED_VALUE"""),44204.66666666667)</f>
        <v>44204.66667</v>
      </c>
      <c r="B1151" s="22">
        <f>IFERROR(__xludf.DUMMYFUNCTION("""COMPUTED_VALUE"""),3824.68)</f>
        <v>3824.68</v>
      </c>
      <c r="C1151" s="22">
        <f t="shared" si="10"/>
        <v>5940.93423</v>
      </c>
      <c r="D1151" s="25">
        <f>IFERROR(__xludf.DUMMYFUNCTION("""COMPUTED_VALUE"""),44184.99861111111)</f>
        <v>44184.99861</v>
      </c>
      <c r="E1151" s="22">
        <f>IFERROR(__xludf.DUMMYFUNCTION("""COMPUTED_VALUE"""),1.22547)</f>
        <v>1.22547</v>
      </c>
      <c r="F1151" s="22">
        <f t="shared" si="11"/>
        <v>460.5764144</v>
      </c>
      <c r="G1151" s="22">
        <f t="shared" si="79"/>
        <v>41.02550476</v>
      </c>
      <c r="H1151" s="22">
        <f t="shared" si="80"/>
        <v>101.2150904</v>
      </c>
    </row>
    <row r="1152" ht="15.75" customHeight="1">
      <c r="A1152" s="32">
        <f>IFERROR(__xludf.DUMMYFUNCTION("""COMPUTED_VALUE"""),44211.66666666667)</f>
        <v>44211.66667</v>
      </c>
      <c r="B1152" s="22">
        <f>IFERROR(__xludf.DUMMYFUNCTION("""COMPUTED_VALUE"""),3768.25)</f>
        <v>3768.25</v>
      </c>
      <c r="C1152" s="22">
        <f t="shared" si="10"/>
        <v>5855.565618</v>
      </c>
      <c r="D1152" s="25">
        <f>IFERROR(__xludf.DUMMYFUNCTION("""COMPUTED_VALUE"""),44191.99861111111)</f>
        <v>44191.99861</v>
      </c>
      <c r="E1152" s="22">
        <f>IFERROR(__xludf.DUMMYFUNCTION("""COMPUTED_VALUE"""),1.2151)</f>
        <v>1.2151</v>
      </c>
      <c r="F1152" s="22">
        <f t="shared" si="11"/>
        <v>457.8323384</v>
      </c>
      <c r="G1152" s="22">
        <f t="shared" si="79"/>
        <v>40.56069995</v>
      </c>
      <c r="H1152" s="22">
        <f t="shared" si="80"/>
        <v>94.29210444</v>
      </c>
    </row>
    <row r="1153" ht="15.75" customHeight="1">
      <c r="A1153" s="32">
        <f>IFERROR(__xludf.DUMMYFUNCTION("""COMPUTED_VALUE"""),44218.66666666667)</f>
        <v>44218.66667</v>
      </c>
      <c r="B1153" s="22">
        <f>IFERROR(__xludf.DUMMYFUNCTION("""COMPUTED_VALUE"""),3841.47)</f>
        <v>3841.47</v>
      </c>
      <c r="C1153" s="22">
        <f t="shared" si="10"/>
        <v>5971.595909</v>
      </c>
      <c r="D1153" s="25">
        <f>IFERROR(__xludf.DUMMYFUNCTION("""COMPUTED_VALUE"""),44198.99861111111)</f>
        <v>44198.99861</v>
      </c>
      <c r="E1153" s="22">
        <f>IFERROR(__xludf.DUMMYFUNCTION("""COMPUTED_VALUE"""),1.20108)</f>
        <v>1.20108</v>
      </c>
      <c r="F1153" s="22">
        <f t="shared" si="11"/>
        <v>472.3545581</v>
      </c>
      <c r="G1153" s="22">
        <f t="shared" si="79"/>
        <v>42.17382856</v>
      </c>
      <c r="H1153" s="22">
        <f t="shared" si="80"/>
        <v>98.85387754</v>
      </c>
    </row>
    <row r="1154" ht="15.75" customHeight="1">
      <c r="A1154" s="32">
        <f>IFERROR(__xludf.DUMMYFUNCTION("""COMPUTED_VALUE"""),44225.66666666667)</f>
        <v>44225.66667</v>
      </c>
      <c r="B1154" s="22">
        <f>IFERROR(__xludf.DUMMYFUNCTION("""COMPUTED_VALUE"""),3714.24)</f>
        <v>3714.24</v>
      </c>
      <c r="C1154" s="22">
        <f t="shared" si="10"/>
        <v>5776.112622</v>
      </c>
      <c r="D1154" s="25">
        <f>IFERROR(__xludf.DUMMYFUNCTION("""COMPUTED_VALUE"""),44205.99861111111)</f>
        <v>44205.99861</v>
      </c>
      <c r="E1154" s="22">
        <f>IFERROR(__xludf.DUMMYFUNCTION("""COMPUTED_VALUE"""),1.2221)</f>
        <v>1.2221</v>
      </c>
      <c r="F1154" s="22">
        <f t="shared" si="11"/>
        <v>449.033293</v>
      </c>
      <c r="G1154" s="22">
        <f t="shared" si="79"/>
        <v>42.46777329</v>
      </c>
      <c r="H1154" s="22">
        <f t="shared" si="80"/>
        <v>94.87663137</v>
      </c>
    </row>
    <row r="1155" ht="15.75" customHeight="1">
      <c r="A1155" s="32">
        <f>IFERROR(__xludf.DUMMYFUNCTION("""COMPUTED_VALUE"""),44232.66666666667)</f>
        <v>44232.66667</v>
      </c>
      <c r="B1155" s="22">
        <f>IFERROR(__xludf.DUMMYFUNCTION("""COMPUTED_VALUE"""),3886.83)</f>
        <v>3886.83</v>
      </c>
      <c r="C1155" s="22">
        <f t="shared" si="10"/>
        <v>6046.733466</v>
      </c>
      <c r="D1155" s="25">
        <f>IFERROR(__xludf.DUMMYFUNCTION("""COMPUTED_VALUE"""),44212.99861111111)</f>
        <v>44212.99861</v>
      </c>
      <c r="E1155" s="22">
        <f>IFERROR(__xludf.DUMMYFUNCTION("""COMPUTED_VALUE"""),1.2075)</f>
        <v>1.2075</v>
      </c>
      <c r="F1155" s="22">
        <f t="shared" si="11"/>
        <v>475.7549552</v>
      </c>
      <c r="G1155" s="22">
        <f t="shared" si="79"/>
        <v>59.42342898</v>
      </c>
      <c r="H1155" s="22">
        <f t="shared" si="80"/>
        <v>105.9380692</v>
      </c>
    </row>
    <row r="1156" ht="15.75" customHeight="1">
      <c r="A1156" s="32">
        <f>IFERROR(__xludf.DUMMYFUNCTION("""COMPUTED_VALUE"""),44239.66666666667)</f>
        <v>44239.66667</v>
      </c>
      <c r="B1156" s="22">
        <f>IFERROR(__xludf.DUMMYFUNCTION("""COMPUTED_VALUE"""),3934.83)</f>
        <v>3934.83</v>
      </c>
      <c r="C1156" s="22">
        <f t="shared" si="10"/>
        <v>6123.732635</v>
      </c>
      <c r="D1156" s="25">
        <f>IFERROR(__xludf.DUMMYFUNCTION("""COMPUTED_VALUE"""),44219.99861111111)</f>
        <v>44219.99861</v>
      </c>
      <c r="E1156" s="22">
        <f>IFERROR(__xludf.DUMMYFUNCTION("""COMPUTED_VALUE"""),1.21134)</f>
        <v>1.21134</v>
      </c>
      <c r="F1156" s="22">
        <f t="shared" si="11"/>
        <v>480.2858552</v>
      </c>
      <c r="G1156" s="22">
        <f t="shared" si="79"/>
        <v>56.76998838</v>
      </c>
      <c r="H1156" s="22">
        <f t="shared" si="80"/>
        <v>102.675225</v>
      </c>
    </row>
    <row r="1157" ht="15.75" customHeight="1">
      <c r="A1157" s="32">
        <f>IFERROR(__xludf.DUMMYFUNCTION("""COMPUTED_VALUE"""),44246.66666666667)</f>
        <v>44246.66667</v>
      </c>
      <c r="B1157" s="22">
        <f>IFERROR(__xludf.DUMMYFUNCTION("""COMPUTED_VALUE"""),3906.71)</f>
        <v>3906.71</v>
      </c>
      <c r="C1157" s="22">
        <f t="shared" si="10"/>
        <v>6082.32507</v>
      </c>
      <c r="D1157" s="25">
        <f>IFERROR(__xludf.DUMMYFUNCTION("""COMPUTED_VALUE"""),44226.99861111111)</f>
        <v>44226.99861</v>
      </c>
      <c r="E1157" s="22">
        <f>IFERROR(__xludf.DUMMYFUNCTION("""COMPUTED_VALUE"""),1.2136)</f>
        <v>1.2136</v>
      </c>
      <c r="F1157" s="22">
        <f t="shared" si="11"/>
        <v>476.1498957</v>
      </c>
      <c r="G1157" s="22">
        <f t="shared" si="79"/>
        <v>55.02031288</v>
      </c>
      <c r="H1157" s="22">
        <f t="shared" si="80"/>
        <v>103.7105404</v>
      </c>
    </row>
    <row r="1158" ht="15.75" customHeight="1">
      <c r="A1158" s="32">
        <f>IFERROR(__xludf.DUMMYFUNCTION("""COMPUTED_VALUE"""),44253.66666666667)</f>
        <v>44253.66667</v>
      </c>
      <c r="B1158" s="22">
        <f>IFERROR(__xludf.DUMMYFUNCTION("""COMPUTED_VALUE"""),3811.15)</f>
        <v>3811.15</v>
      </c>
      <c r="C1158" s="22">
        <f t="shared" si="10"/>
        <v>5935.887838</v>
      </c>
      <c r="D1158" s="25">
        <f>IFERROR(__xludf.DUMMYFUNCTION("""COMPUTED_VALUE"""),44233.99861111111)</f>
        <v>44233.99861</v>
      </c>
      <c r="E1158" s="22">
        <f>IFERROR(__xludf.DUMMYFUNCTION("""COMPUTED_VALUE"""),1.20401)</f>
        <v>1.20401</v>
      </c>
      <c r="F1158" s="22">
        <f t="shared" si="11"/>
        <v>468.3874242</v>
      </c>
      <c r="G1158" s="22">
        <f t="shared" si="79"/>
        <v>52.89811392</v>
      </c>
      <c r="H1158" s="22">
        <f t="shared" si="80"/>
        <v>96.79458565</v>
      </c>
    </row>
    <row r="1159" ht="15.75" customHeight="1">
      <c r="A1159" s="32">
        <f>IFERROR(__xludf.DUMMYFUNCTION("""COMPUTED_VALUE"""),44260.66666666667)</f>
        <v>44260.66667</v>
      </c>
      <c r="B1159" s="22">
        <f>IFERROR(__xludf.DUMMYFUNCTION("""COMPUTED_VALUE"""),3841.94)</f>
        <v>3841.94</v>
      </c>
      <c r="C1159" s="22">
        <f t="shared" si="10"/>
        <v>5986.126472</v>
      </c>
      <c r="D1159" s="25">
        <f>IFERROR(__xludf.DUMMYFUNCTION("""COMPUTED_VALUE"""),44240.99861111111)</f>
        <v>44240.99861</v>
      </c>
      <c r="E1159" s="22">
        <f>IFERROR(__xludf.DUMMYFUNCTION("""COMPUTED_VALUE"""),1.2119)</f>
        <v>1.2119</v>
      </c>
      <c r="F1159" s="22">
        <f t="shared" si="11"/>
        <v>469.2764245</v>
      </c>
      <c r="G1159" s="22">
        <f t="shared" si="79"/>
        <v>49.85004846</v>
      </c>
      <c r="H1159" s="22">
        <f t="shared" si="80"/>
        <v>92.77631871</v>
      </c>
    </row>
    <row r="1160" ht="15.75" customHeight="1">
      <c r="A1160" s="32">
        <f>IFERROR(__xludf.DUMMYFUNCTION("""COMPUTED_VALUE"""),44267.66666666667)</f>
        <v>44267.66667</v>
      </c>
      <c r="B1160" s="22">
        <f>IFERROR(__xludf.DUMMYFUNCTION("""COMPUTED_VALUE"""),3943.34)</f>
        <v>3943.34</v>
      </c>
      <c r="C1160" s="22">
        <f t="shared" si="10"/>
        <v>6146.420162</v>
      </c>
      <c r="D1160" s="25">
        <f>IFERROR(__xludf.DUMMYFUNCTION("""COMPUTED_VALUE"""),44247.99861111111)</f>
        <v>44247.99861</v>
      </c>
      <c r="E1160" s="22">
        <f>IFERROR(__xludf.DUMMYFUNCTION("""COMPUTED_VALUE"""),1.2119)</f>
        <v>1.2119</v>
      </c>
      <c r="F1160" s="22">
        <f t="shared" si="11"/>
        <v>481.8424887</v>
      </c>
      <c r="G1160" s="22">
        <f t="shared" si="79"/>
        <v>54.31572999</v>
      </c>
      <c r="H1160" s="22">
        <f t="shared" si="80"/>
        <v>91.71088705</v>
      </c>
    </row>
    <row r="1161" ht="15.75" customHeight="1">
      <c r="A1161" s="32">
        <f>IFERROR(__xludf.DUMMYFUNCTION("""COMPUTED_VALUE"""),44274.66666666667)</f>
        <v>44274.66667</v>
      </c>
      <c r="B1161" s="22">
        <f>IFERROR(__xludf.DUMMYFUNCTION("""COMPUTED_VALUE"""),3913.1)</f>
        <v>3913.1</v>
      </c>
      <c r="C1161" s="22">
        <f t="shared" si="10"/>
        <v>6101.649572</v>
      </c>
      <c r="D1161" s="25">
        <f>IFERROR(__xludf.DUMMYFUNCTION("""COMPUTED_VALUE"""),44254.99861111111)</f>
        <v>44254.99861</v>
      </c>
      <c r="E1161" s="22">
        <f>IFERROR(__xludf.DUMMYFUNCTION("""COMPUTED_VALUE"""),1.20695)</f>
        <v>1.20695</v>
      </c>
      <c r="F1161" s="22">
        <f t="shared" si="11"/>
        <v>480.2945036</v>
      </c>
      <c r="G1161" s="22">
        <f t="shared" si="79"/>
        <v>63.80393106</v>
      </c>
      <c r="H1161" s="22">
        <f t="shared" si="80"/>
        <v>93.64506229</v>
      </c>
    </row>
    <row r="1162" ht="15.75" customHeight="1">
      <c r="A1162" s="32">
        <f>IFERROR(__xludf.DUMMYFUNCTION("""COMPUTED_VALUE"""),44281.66666666667)</f>
        <v>44281.66667</v>
      </c>
      <c r="B1162" s="22">
        <f>IFERROR(__xludf.DUMMYFUNCTION("""COMPUTED_VALUE"""),3974.54)</f>
        <v>3974.54</v>
      </c>
      <c r="C1162" s="22">
        <f t="shared" si="10"/>
        <v>6199.79901</v>
      </c>
      <c r="D1162" s="25">
        <f>IFERROR(__xludf.DUMMYFUNCTION("""COMPUTED_VALUE"""),44261.99861111111)</f>
        <v>44261.99861</v>
      </c>
      <c r="E1162" s="22">
        <f>IFERROR(__xludf.DUMMYFUNCTION("""COMPUTED_VALUE"""),1.19088)</f>
        <v>1.19088</v>
      </c>
      <c r="F1162" s="22">
        <f t="shared" si="11"/>
        <v>494.6058432</v>
      </c>
      <c r="G1162" s="22">
        <f t="shared" si="79"/>
        <v>65.11446249</v>
      </c>
      <c r="H1162" s="22">
        <f t="shared" si="80"/>
        <v>98.2946956</v>
      </c>
    </row>
    <row r="1163" ht="15.75" customHeight="1">
      <c r="A1163" s="32">
        <f>IFERROR(__xludf.DUMMYFUNCTION("""COMPUTED_VALUE"""),44287.66666666667)</f>
        <v>44287.66667</v>
      </c>
      <c r="B1163" s="22">
        <f>IFERROR(__xludf.DUMMYFUNCTION("""COMPUTED_VALUE"""),4019.87)</f>
        <v>4019.87</v>
      </c>
      <c r="C1163" s="22">
        <f t="shared" si="10"/>
        <v>6272.892835</v>
      </c>
      <c r="D1163" s="25">
        <f>IFERROR(__xludf.DUMMYFUNCTION("""COMPUTED_VALUE"""),44268.99861111111)</f>
        <v>44268.99861</v>
      </c>
      <c r="E1163" s="22">
        <f>IFERROR(__xludf.DUMMYFUNCTION("""COMPUTED_VALUE"""),1.19523)</f>
        <v>1.19523</v>
      </c>
      <c r="F1163" s="22">
        <f t="shared" si="11"/>
        <v>498.6157778</v>
      </c>
      <c r="G1163" s="22">
        <f t="shared" si="79"/>
        <v>68.54912923</v>
      </c>
      <c r="H1163" s="22">
        <f t="shared" si="80"/>
        <v>104.5177236</v>
      </c>
    </row>
    <row r="1164" ht="15.75" customHeight="1">
      <c r="A1164" s="32">
        <f>IFERROR(__xludf.DUMMYFUNCTION("""COMPUTED_VALUE"""),44295.66666666667)</f>
        <v>44295.66667</v>
      </c>
      <c r="B1164" s="22">
        <f>IFERROR(__xludf.DUMMYFUNCTION("""COMPUTED_VALUE"""),4128.8)</f>
        <v>4128.8</v>
      </c>
      <c r="C1164" s="22">
        <f t="shared" si="10"/>
        <v>6445.287654</v>
      </c>
      <c r="D1164" s="25">
        <f>IFERROR(__xludf.DUMMYFUNCTION("""COMPUTED_VALUE"""),44275.99861111111)</f>
        <v>44275.99861</v>
      </c>
      <c r="E1164" s="22">
        <f>IFERROR(__xludf.DUMMYFUNCTION("""COMPUTED_VALUE"""),1.1946)</f>
        <v>1.1946</v>
      </c>
      <c r="F1164" s="22">
        <f t="shared" si="11"/>
        <v>512.5891725</v>
      </c>
      <c r="G1164" s="22">
        <f t="shared" si="79"/>
        <v>70.68411562</v>
      </c>
      <c r="H1164" s="22">
        <f t="shared" si="80"/>
        <v>104.8117882</v>
      </c>
    </row>
    <row r="1165" ht="15.75" customHeight="1">
      <c r="A1165" s="32">
        <f>IFERROR(__xludf.DUMMYFUNCTION("""COMPUTED_VALUE"""),44302.66666666667)</f>
        <v>44302.66667</v>
      </c>
      <c r="B1165" s="22">
        <f>IFERROR(__xludf.DUMMYFUNCTION("""COMPUTED_VALUE"""),4185.47)</f>
        <v>4185.47</v>
      </c>
      <c r="C1165" s="22">
        <f t="shared" si="10"/>
        <v>6536.231649</v>
      </c>
      <c r="D1165" s="25">
        <f>IFERROR(__xludf.DUMMYFUNCTION("""COMPUTED_VALUE"""),44282.99861111111)</f>
        <v>44282.99861</v>
      </c>
      <c r="E1165" s="22">
        <f>IFERROR(__xludf.DUMMYFUNCTION("""COMPUTED_VALUE"""),1.1822)</f>
        <v>1.1822</v>
      </c>
      <c r="F1165" s="22">
        <f t="shared" si="11"/>
        <v>525.2742538</v>
      </c>
      <c r="G1165" s="22">
        <f t="shared" si="79"/>
        <v>73.55482666</v>
      </c>
      <c r="H1165" s="22">
        <f t="shared" si="80"/>
        <v>113.0543813</v>
      </c>
    </row>
    <row r="1166" ht="15.75" customHeight="1">
      <c r="A1166" s="32">
        <f>IFERROR(__xludf.DUMMYFUNCTION("""COMPUTED_VALUE"""),44309.66666666667)</f>
        <v>44309.66667</v>
      </c>
      <c r="B1166" s="22">
        <f>IFERROR(__xludf.DUMMYFUNCTION("""COMPUTED_VALUE"""),4180.17)</f>
        <v>4180.17</v>
      </c>
      <c r="C1166" s="22">
        <f t="shared" si="10"/>
        <v>6530.468849</v>
      </c>
      <c r="D1166" s="25">
        <f>IFERROR(__xludf.DUMMYFUNCTION("""COMPUTED_VALUE"""),44289.99861111111)</f>
        <v>44289.99861</v>
      </c>
      <c r="E1166" s="22">
        <f>IFERROR(__xludf.DUMMYFUNCTION("""COMPUTED_VALUE"""),1.1761)</f>
        <v>1.1761</v>
      </c>
      <c r="F1166" s="22">
        <f t="shared" si="11"/>
        <v>527.5331384</v>
      </c>
      <c r="G1166" s="22">
        <f t="shared" si="79"/>
        <v>73.7969059</v>
      </c>
      <c r="H1166" s="22">
        <f t="shared" si="80"/>
        <v>116.6659488</v>
      </c>
    </row>
    <row r="1167" ht="15.75" customHeight="1">
      <c r="A1167" s="32">
        <f>IFERROR(__xludf.DUMMYFUNCTION("""COMPUTED_VALUE"""),44316.66666666667)</f>
        <v>44316.66667</v>
      </c>
      <c r="B1167" s="22">
        <f>IFERROR(__xludf.DUMMYFUNCTION("""COMPUTED_VALUE"""),4181.17)</f>
        <v>4181.17</v>
      </c>
      <c r="C1167" s="22">
        <f t="shared" si="10"/>
        <v>6534.542817</v>
      </c>
      <c r="D1167" s="25">
        <f>IFERROR(__xludf.DUMMYFUNCTION("""COMPUTED_VALUE"""),44296.99861111111)</f>
        <v>44296.99861</v>
      </c>
      <c r="E1167" s="22">
        <f>IFERROR(__xludf.DUMMYFUNCTION("""COMPUTED_VALUE"""),1.19)</f>
        <v>1.19</v>
      </c>
      <c r="F1167" s="22">
        <f t="shared" si="11"/>
        <v>521.696449</v>
      </c>
      <c r="G1167" s="22">
        <f t="shared" si="79"/>
        <v>72.89866915</v>
      </c>
      <c r="H1167" s="22">
        <f t="shared" si="80"/>
        <v>112.9352458</v>
      </c>
    </row>
    <row r="1168" ht="15.75" customHeight="1">
      <c r="A1168" s="32">
        <f>IFERROR(__xludf.DUMMYFUNCTION("""COMPUTED_VALUE"""),44323.66666666667)</f>
        <v>44323.66667</v>
      </c>
      <c r="B1168" s="22">
        <f>IFERROR(__xludf.DUMMYFUNCTION("""COMPUTED_VALUE"""),4232.6)</f>
        <v>4232.6</v>
      </c>
      <c r="C1168" s="22">
        <f t="shared" si="10"/>
        <v>6617.433494</v>
      </c>
      <c r="D1168" s="25">
        <f>IFERROR(__xludf.DUMMYFUNCTION("""COMPUTED_VALUE"""),44303.99861111111)</f>
        <v>44303.99861</v>
      </c>
      <c r="E1168" s="22">
        <f>IFERROR(__xludf.DUMMYFUNCTION("""COMPUTED_VALUE"""),1.1982)</f>
        <v>1.1982</v>
      </c>
      <c r="F1168" s="22">
        <f t="shared" si="11"/>
        <v>524.6985983</v>
      </c>
      <c r="G1168" s="22">
        <f t="shared" si="79"/>
        <v>69.18077029</v>
      </c>
      <c r="H1168" s="22">
        <f t="shared" si="80"/>
        <v>113.9873988</v>
      </c>
    </row>
    <row r="1169" ht="15.75" customHeight="1">
      <c r="A1169" s="32">
        <f>IFERROR(__xludf.DUMMYFUNCTION("""COMPUTED_VALUE"""),44330.66666666667)</f>
        <v>44330.66667</v>
      </c>
      <c r="B1169" s="22">
        <f>IFERROR(__xludf.DUMMYFUNCTION("""COMPUTED_VALUE"""),4173.85)</f>
        <v>4173.85</v>
      </c>
      <c r="C1169" s="22">
        <f t="shared" si="10"/>
        <v>6528.12632</v>
      </c>
      <c r="D1169" s="25">
        <f>IFERROR(__xludf.DUMMYFUNCTION("""COMPUTED_VALUE"""),44310.99861111111)</f>
        <v>44310.99861</v>
      </c>
      <c r="E1169" s="22">
        <f>IFERROR(__xludf.DUMMYFUNCTION("""COMPUTED_VALUE"""),1.2097)</f>
        <v>1.2097</v>
      </c>
      <c r="F1169" s="22">
        <f t="shared" si="11"/>
        <v>512.6966773</v>
      </c>
      <c r="G1169" s="22">
        <f t="shared" si="79"/>
        <v>63.98509754</v>
      </c>
      <c r="H1169" s="22">
        <f t="shared" si="80"/>
        <v>112.6289495</v>
      </c>
    </row>
    <row r="1170" ht="15.75" customHeight="1">
      <c r="A1170" s="32">
        <f>IFERROR(__xludf.DUMMYFUNCTION("""COMPUTED_VALUE"""),44337.66666666667)</f>
        <v>44337.66667</v>
      </c>
      <c r="B1170" s="22">
        <f>IFERROR(__xludf.DUMMYFUNCTION("""COMPUTED_VALUE"""),4155.86)</f>
        <v>4155.86</v>
      </c>
      <c r="C1170" s="22">
        <f t="shared" si="10"/>
        <v>6502.499809</v>
      </c>
      <c r="D1170" s="25">
        <f>IFERROR(__xludf.DUMMYFUNCTION("""COMPUTED_VALUE"""),44317.99861111111)</f>
        <v>44317.99861</v>
      </c>
      <c r="E1170" s="22">
        <f>IFERROR(__xludf.DUMMYFUNCTION("""COMPUTED_VALUE"""),1.202)</f>
        <v>1.202</v>
      </c>
      <c r="F1170" s="22">
        <f t="shared" si="11"/>
        <v>513.9554958</v>
      </c>
      <c r="G1170" s="22">
        <f t="shared" si="79"/>
        <v>61.45939323</v>
      </c>
      <c r="H1170" s="22">
        <f t="shared" si="80"/>
        <v>107.527471</v>
      </c>
    </row>
    <row r="1171" ht="15.75" customHeight="1">
      <c r="A1171" s="32">
        <f>IFERROR(__xludf.DUMMYFUNCTION("""COMPUTED_VALUE"""),44344.66666666667)</f>
        <v>44344.66667</v>
      </c>
      <c r="B1171" s="22">
        <f>IFERROR(__xludf.DUMMYFUNCTION("""COMPUTED_VALUE"""),4204.11)</f>
        <v>4204.11</v>
      </c>
      <c r="C1171" s="22">
        <f t="shared" si="10"/>
        <v>6580.495521</v>
      </c>
      <c r="D1171" s="25">
        <f>IFERROR(__xludf.DUMMYFUNCTION("""COMPUTED_VALUE"""),44324.99861111111)</f>
        <v>44324.99861</v>
      </c>
      <c r="E1171" s="22">
        <f>IFERROR(__xludf.DUMMYFUNCTION("""COMPUTED_VALUE"""),1.2161)</f>
        <v>1.2161</v>
      </c>
      <c r="F1171" s="22">
        <f t="shared" si="11"/>
        <v>514.0897482</v>
      </c>
      <c r="G1171" s="22">
        <f t="shared" si="79"/>
        <v>60.50755949</v>
      </c>
      <c r="H1171" s="22">
        <f t="shared" si="80"/>
        <v>105.7299075</v>
      </c>
    </row>
    <row r="1172" ht="15.75" customHeight="1">
      <c r="A1172" s="32">
        <f>IFERROR(__xludf.DUMMYFUNCTION("""COMPUTED_VALUE"""),44351.66666666667)</f>
        <v>44351.66667</v>
      </c>
      <c r="B1172" s="22">
        <f>IFERROR(__xludf.DUMMYFUNCTION("""COMPUTED_VALUE"""),4229.89)</f>
        <v>4229.89</v>
      </c>
      <c r="C1172" s="22">
        <f t="shared" si="10"/>
        <v>6623.378702</v>
      </c>
      <c r="D1172" s="25">
        <f>IFERROR(__xludf.DUMMYFUNCTION("""COMPUTED_VALUE"""),44331.99861111111)</f>
        <v>44331.99861</v>
      </c>
      <c r="E1172" s="22">
        <f>IFERROR(__xludf.DUMMYFUNCTION("""COMPUTED_VALUE"""),1.21446)</f>
        <v>1.21446</v>
      </c>
      <c r="F1172" s="22">
        <f t="shared" si="11"/>
        <v>518.1386699</v>
      </c>
      <c r="G1172" s="22">
        <f t="shared" si="79"/>
        <v>56.86428362</v>
      </c>
      <c r="H1172" s="22">
        <f t="shared" si="80"/>
        <v>106.0289459</v>
      </c>
    </row>
    <row r="1173" ht="15.75" customHeight="1">
      <c r="A1173" s="32">
        <f>IFERROR(__xludf.DUMMYFUNCTION("""COMPUTED_VALUE"""),44358.66666666667)</f>
        <v>44358.66667</v>
      </c>
      <c r="B1173" s="22">
        <f>IFERROR(__xludf.DUMMYFUNCTION("""COMPUTED_VALUE"""),4247.44)</f>
        <v>4247.44</v>
      </c>
      <c r="C1173" s="22">
        <f t="shared" si="10"/>
        <v>6653.406845</v>
      </c>
      <c r="D1173" s="25">
        <f>IFERROR(__xludf.DUMMYFUNCTION("""COMPUTED_VALUE"""),44338.99861111111)</f>
        <v>44338.99861</v>
      </c>
      <c r="E1173" s="22">
        <f>IFERROR(__xludf.DUMMYFUNCTION("""COMPUTED_VALUE"""),1.2179)</f>
        <v>1.2179</v>
      </c>
      <c r="F1173" s="22">
        <f t="shared" si="11"/>
        <v>519.0175989</v>
      </c>
      <c r="G1173" s="22">
        <f t="shared" si="79"/>
        <v>55.24944277</v>
      </c>
      <c r="H1173" s="22">
        <f t="shared" si="80"/>
        <v>106.7100797</v>
      </c>
    </row>
    <row r="1174" ht="15.75" customHeight="1">
      <c r="A1174" s="32">
        <f>IFERROR(__xludf.DUMMYFUNCTION("""COMPUTED_VALUE"""),44365.66666666667)</f>
        <v>44365.66667</v>
      </c>
      <c r="B1174" s="22">
        <f>IFERROR(__xludf.DUMMYFUNCTION("""COMPUTED_VALUE"""),4166.45)</f>
        <v>4166.45</v>
      </c>
      <c r="C1174" s="22">
        <f t="shared" si="10"/>
        <v>6529.098977</v>
      </c>
      <c r="D1174" s="25">
        <f>IFERROR(__xludf.DUMMYFUNCTION("""COMPUTED_VALUE"""),44345.99861111111)</f>
        <v>44345.99861</v>
      </c>
      <c r="E1174" s="22">
        <f>IFERROR(__xludf.DUMMYFUNCTION("""COMPUTED_VALUE"""),1.21921)</f>
        <v>1.21921</v>
      </c>
      <c r="F1174" s="22">
        <f t="shared" si="11"/>
        <v>508.7733684</v>
      </c>
      <c r="G1174" s="22">
        <f t="shared" si="79"/>
        <v>53.89091322</v>
      </c>
      <c r="H1174" s="22">
        <f t="shared" si="80"/>
        <v>110.6248611</v>
      </c>
    </row>
    <row r="1175" ht="15.75" customHeight="1">
      <c r="A1175" s="32">
        <f>IFERROR(__xludf.DUMMYFUNCTION("""COMPUTED_VALUE"""),44372.66666666667)</f>
        <v>44372.66667</v>
      </c>
      <c r="B1175" s="22">
        <f>IFERROR(__xludf.DUMMYFUNCTION("""COMPUTED_VALUE"""),4280.7)</f>
        <v>4280.7</v>
      </c>
      <c r="C1175" s="22">
        <f t="shared" si="10"/>
        <v>6710.647373</v>
      </c>
      <c r="D1175" s="25">
        <f>IFERROR(__xludf.DUMMYFUNCTION("""COMPUTED_VALUE"""),44352.99861111111)</f>
        <v>44352.99861</v>
      </c>
      <c r="E1175" s="22">
        <f>IFERROR(__xludf.DUMMYFUNCTION("""COMPUTED_VALUE"""),1.21648)</f>
        <v>1.21648</v>
      </c>
      <c r="F1175" s="22">
        <f t="shared" si="11"/>
        <v>524.093869</v>
      </c>
      <c r="G1175" s="22">
        <f t="shared" si="79"/>
        <v>61.81327754</v>
      </c>
      <c r="H1175" s="22">
        <f t="shared" si="80"/>
        <v>108.0157153</v>
      </c>
    </row>
    <row r="1176" ht="15.75" customHeight="1">
      <c r="A1176" s="32">
        <f>IFERROR(__xludf.DUMMYFUNCTION("""COMPUTED_VALUE"""),44379.66666666667)</f>
        <v>44379.66667</v>
      </c>
      <c r="B1176" s="22">
        <f>IFERROR(__xludf.DUMMYFUNCTION("""COMPUTED_VALUE"""),4352.34)</f>
        <v>4352.34</v>
      </c>
      <c r="C1176" s="22">
        <f t="shared" si="10"/>
        <v>6825.534971</v>
      </c>
      <c r="D1176" s="25">
        <f>IFERROR(__xludf.DUMMYFUNCTION("""COMPUTED_VALUE"""),44359.99861111111)</f>
        <v>44359.99861</v>
      </c>
      <c r="E1176" s="22">
        <f>IFERROR(__xludf.DUMMYFUNCTION("""COMPUTED_VALUE"""),1.2105)</f>
        <v>1.2105</v>
      </c>
      <c r="F1176" s="22">
        <f t="shared" si="11"/>
        <v>535.6998643</v>
      </c>
      <c r="G1176" s="22">
        <f t="shared" si="79"/>
        <v>60.70694549</v>
      </c>
      <c r="H1176" s="22">
        <f t="shared" si="80"/>
        <v>110.2699553</v>
      </c>
    </row>
    <row r="1177" ht="15.75" customHeight="1">
      <c r="A1177" s="32">
        <f>IFERROR(__xludf.DUMMYFUNCTION("""COMPUTED_VALUE"""),44386.66666666667)</f>
        <v>44386.66667</v>
      </c>
      <c r="B1177" s="22">
        <f>IFERROR(__xludf.DUMMYFUNCTION("""COMPUTED_VALUE"""),4369.55)</f>
        <v>4369.55</v>
      </c>
      <c r="C1177" s="22">
        <f t="shared" si="10"/>
        <v>6855.149672</v>
      </c>
      <c r="D1177" s="25">
        <f>IFERROR(__xludf.DUMMYFUNCTION("""COMPUTED_VALUE"""),44366.99861111111)</f>
        <v>44366.99861</v>
      </c>
      <c r="E1177" s="22">
        <f>IFERROR(__xludf.DUMMYFUNCTION("""COMPUTED_VALUE"""),1.18585)</f>
        <v>1.18585</v>
      </c>
      <c r="F1177" s="22">
        <f t="shared" si="11"/>
        <v>549.2079529</v>
      </c>
      <c r="G1177" s="22">
        <f t="shared" si="79"/>
        <v>62.8999586</v>
      </c>
      <c r="H1177" s="22">
        <f t="shared" si="80"/>
        <v>110.6667071</v>
      </c>
    </row>
    <row r="1178" ht="15.75" customHeight="1">
      <c r="A1178" s="32">
        <f>IFERROR(__xludf.DUMMYFUNCTION("""COMPUTED_VALUE"""),44393.66666666667)</f>
        <v>44393.66667</v>
      </c>
      <c r="B1178" s="22">
        <f>IFERROR(__xludf.DUMMYFUNCTION("""COMPUTED_VALUE"""),4327.16)</f>
        <v>4327.16</v>
      </c>
      <c r="C1178" s="22">
        <f t="shared" si="10"/>
        <v>6791.282899</v>
      </c>
      <c r="D1178" s="25">
        <f>IFERROR(__xludf.DUMMYFUNCTION("""COMPUTED_VALUE"""),44373.99861111111)</f>
        <v>44373.99861</v>
      </c>
      <c r="E1178" s="22">
        <f>IFERROR(__xludf.DUMMYFUNCTION("""COMPUTED_VALUE"""),1.1936)</f>
        <v>1.1936</v>
      </c>
      <c r="F1178" s="22">
        <f t="shared" si="11"/>
        <v>540.5584315</v>
      </c>
      <c r="G1178" s="22">
        <f t="shared" si="79"/>
        <v>60.75132828</v>
      </c>
      <c r="H1178" s="22">
        <f t="shared" si="80"/>
        <v>105.1247451</v>
      </c>
    </row>
    <row r="1179" ht="15.75" customHeight="1">
      <c r="A1179" s="32">
        <f>IFERROR(__xludf.DUMMYFUNCTION("""COMPUTED_VALUE"""),44400.66666666667)</f>
        <v>44400.66667</v>
      </c>
      <c r="B1179" s="22">
        <f>IFERROR(__xludf.DUMMYFUNCTION("""COMPUTED_VALUE"""),4411.79)</f>
        <v>4411.79</v>
      </c>
      <c r="C1179" s="22">
        <f t="shared" si="10"/>
        <v>6926.717908</v>
      </c>
      <c r="D1179" s="25">
        <f>IFERROR(__xludf.DUMMYFUNCTION("""COMPUTED_VALUE"""),44380.99861111111)</f>
        <v>44380.99861</v>
      </c>
      <c r="E1179" s="22">
        <f>IFERROR(__xludf.DUMMYFUNCTION("""COMPUTED_VALUE"""),1.1864)</f>
        <v>1.1864</v>
      </c>
      <c r="F1179" s="22">
        <f t="shared" si="11"/>
        <v>554.6844579</v>
      </c>
      <c r="G1179" s="22">
        <f t="shared" si="79"/>
        <v>64.60954066</v>
      </c>
      <c r="H1179" s="22">
        <f t="shared" si="80"/>
        <v>108.869691</v>
      </c>
    </row>
    <row r="1180" ht="15.75" customHeight="1">
      <c r="A1180" s="32">
        <f>IFERROR(__xludf.DUMMYFUNCTION("""COMPUTED_VALUE"""),44407.66666666667)</f>
        <v>44407.66667</v>
      </c>
      <c r="B1180" s="22">
        <f>IFERROR(__xludf.DUMMYFUNCTION("""COMPUTED_VALUE"""),4395.26)</f>
        <v>4395.26</v>
      </c>
      <c r="C1180" s="22">
        <f t="shared" si="10"/>
        <v>6903.429152</v>
      </c>
      <c r="D1180" s="25">
        <f>IFERROR(__xludf.DUMMYFUNCTION("""COMPUTED_VALUE"""),44387.99861111111)</f>
        <v>44387.99861</v>
      </c>
      <c r="E1180" s="22">
        <f>IFERROR(__xludf.DUMMYFUNCTION("""COMPUTED_VALUE"""),1.1876)</f>
        <v>1.1876</v>
      </c>
      <c r="F1180" s="22">
        <f t="shared" si="11"/>
        <v>552.2609266</v>
      </c>
      <c r="G1180" s="22">
        <f t="shared" si="79"/>
        <v>61.82512481</v>
      </c>
      <c r="H1180" s="22">
        <f t="shared" si="80"/>
        <v>106.4757878</v>
      </c>
    </row>
    <row r="1181" ht="15.75" customHeight="1">
      <c r="A1181" s="32">
        <f>IFERROR(__xludf.DUMMYFUNCTION("""COMPUTED_VALUE"""),44414.66666666667)</f>
        <v>44414.66667</v>
      </c>
      <c r="B1181" s="22">
        <f>IFERROR(__xludf.DUMMYFUNCTION("""COMPUTED_VALUE"""),4436.52)</f>
        <v>4436.52</v>
      </c>
      <c r="C1181" s="22">
        <f t="shared" si="10"/>
        <v>6970.889468</v>
      </c>
      <c r="D1181" s="25">
        <f>IFERROR(__xludf.DUMMYFUNCTION("""COMPUTED_VALUE"""),44394.99861111111)</f>
        <v>44394.99861</v>
      </c>
      <c r="E1181" s="22">
        <f>IFERROR(__xludf.DUMMYFUNCTION("""COMPUTED_VALUE"""),1.1806)</f>
        <v>1.1806</v>
      </c>
      <c r="F1181" s="22">
        <f t="shared" si="11"/>
        <v>560.964078</v>
      </c>
      <c r="G1181" s="22">
        <f t="shared" si="79"/>
        <v>65.14444408</v>
      </c>
      <c r="H1181" s="22">
        <f t="shared" si="80"/>
        <v>108.6442133</v>
      </c>
    </row>
    <row r="1182" ht="15.75" customHeight="1">
      <c r="A1182" s="32">
        <f>IFERROR(__xludf.DUMMYFUNCTION("""COMPUTED_VALUE"""),44421.66666666667)</f>
        <v>44421.66667</v>
      </c>
      <c r="B1182" s="22">
        <f>IFERROR(__xludf.DUMMYFUNCTION("""COMPUTED_VALUE"""),4468.0)</f>
        <v>4468</v>
      </c>
      <c r="C1182" s="22">
        <f t="shared" si="10"/>
        <v>7023.033582</v>
      </c>
      <c r="D1182" s="25">
        <f>IFERROR(__xludf.DUMMYFUNCTION("""COMPUTED_VALUE"""),44401.99861111111)</f>
        <v>44401.99861</v>
      </c>
      <c r="E1182" s="22">
        <f>IFERROR(__xludf.DUMMYFUNCTION("""COMPUTED_VALUE"""),1.1771)</f>
        <v>1.1771</v>
      </c>
      <c r="F1182" s="22">
        <f t="shared" si="11"/>
        <v>566.8406918</v>
      </c>
      <c r="G1182" s="22">
        <f t="shared" si="79"/>
        <v>65.01858405</v>
      </c>
      <c r="H1182" s="22">
        <f t="shared" si="80"/>
        <v>114.5494209</v>
      </c>
    </row>
    <row r="1183" ht="15.75" customHeight="1">
      <c r="A1183" s="32">
        <f>IFERROR(__xludf.DUMMYFUNCTION("""COMPUTED_VALUE"""),44428.66666666667)</f>
        <v>44428.66667</v>
      </c>
      <c r="B1183" s="22">
        <f>IFERROR(__xludf.DUMMYFUNCTION("""COMPUTED_VALUE"""),4441.67)</f>
        <v>4441.67</v>
      </c>
      <c r="C1183" s="22">
        <f t="shared" si="10"/>
        <v>6984.347892</v>
      </c>
      <c r="D1183" s="25">
        <f>IFERROR(__xludf.DUMMYFUNCTION("""COMPUTED_VALUE"""),44408.99861111111)</f>
        <v>44408.99861</v>
      </c>
      <c r="E1183" s="22">
        <f>IFERROR(__xludf.DUMMYFUNCTION("""COMPUTED_VALUE"""),1.1869)</f>
        <v>1.1869</v>
      </c>
      <c r="F1183" s="22">
        <f t="shared" si="11"/>
        <v>559.0637943</v>
      </c>
      <c r="G1183" s="22">
        <f t="shared" si="79"/>
        <v>60.03105307</v>
      </c>
      <c r="H1183" s="22">
        <f t="shared" si="80"/>
        <v>111.3365095</v>
      </c>
    </row>
    <row r="1184" ht="15.75" customHeight="1">
      <c r="A1184" s="32">
        <f>IFERROR(__xludf.DUMMYFUNCTION("""COMPUTED_VALUE"""),44435.66666666667)</f>
        <v>44435.66667</v>
      </c>
      <c r="B1184" s="22">
        <f>IFERROR(__xludf.DUMMYFUNCTION("""COMPUTED_VALUE"""),4509.37)</f>
        <v>4509.37</v>
      </c>
      <c r="C1184" s="22">
        <f t="shared" si="10"/>
        <v>7093.489714</v>
      </c>
      <c r="D1184" s="25">
        <f>IFERROR(__xludf.DUMMYFUNCTION("""COMPUTED_VALUE"""),44415.99861111111)</f>
        <v>44415.99861</v>
      </c>
      <c r="E1184" s="22">
        <f>IFERROR(__xludf.DUMMYFUNCTION("""COMPUTED_VALUE"""),1.176)</f>
        <v>1.176</v>
      </c>
      <c r="F1184" s="22">
        <f t="shared" si="11"/>
        <v>573.0628503</v>
      </c>
      <c r="G1184" s="22">
        <f t="shared" si="79"/>
        <v>60.22865622</v>
      </c>
      <c r="H1184" s="22">
        <f t="shared" si="80"/>
        <v>116.9436169</v>
      </c>
    </row>
    <row r="1185" ht="15.75" customHeight="1">
      <c r="A1185" s="32">
        <f>IFERROR(__xludf.DUMMYFUNCTION("""COMPUTED_VALUE"""),44442.66666666667)</f>
        <v>44442.66667</v>
      </c>
      <c r="B1185" s="22">
        <f>IFERROR(__xludf.DUMMYFUNCTION("""COMPUTED_VALUE"""),4535.43)</f>
        <v>4535.43</v>
      </c>
      <c r="C1185" s="22">
        <f t="shared" si="10"/>
        <v>7137.211808</v>
      </c>
      <c r="D1185" s="25">
        <f>IFERROR(__xludf.DUMMYFUNCTION("""COMPUTED_VALUE"""),44422.99861111111)</f>
        <v>44422.99861</v>
      </c>
      <c r="E1185" s="22">
        <f>IFERROR(__xludf.DUMMYFUNCTION("""COMPUTED_VALUE"""),1.179)</f>
        <v>1.179</v>
      </c>
      <c r="F1185" s="22">
        <f t="shared" si="11"/>
        <v>575.127871</v>
      </c>
      <c r="G1185" s="22">
        <f t="shared" si="79"/>
        <v>62.78364636</v>
      </c>
      <c r="H1185" s="22">
        <f t="shared" si="80"/>
        <v>126.165695</v>
      </c>
    </row>
    <row r="1186" ht="15.75" customHeight="1">
      <c r="A1186" s="32">
        <f>IFERROR(__xludf.DUMMYFUNCTION("""COMPUTED_VALUE"""),44449.66666666667)</f>
        <v>44449.66667</v>
      </c>
      <c r="B1186" s="22">
        <f>IFERROR(__xludf.DUMMYFUNCTION("""COMPUTED_VALUE"""),4458.58)</f>
        <v>4458.58</v>
      </c>
      <c r="C1186" s="22">
        <f t="shared" si="10"/>
        <v>7019.021338</v>
      </c>
      <c r="D1186" s="25">
        <f>IFERROR(__xludf.DUMMYFUNCTION("""COMPUTED_VALUE"""),44429.99861111111)</f>
        <v>44429.99861</v>
      </c>
      <c r="E1186" s="22">
        <f>IFERROR(__xludf.DUMMYFUNCTION("""COMPUTED_VALUE"""),1.16879)</f>
        <v>1.16879</v>
      </c>
      <c r="F1186" s="22">
        <f t="shared" si="11"/>
        <v>570.5447448</v>
      </c>
      <c r="G1186" s="22">
        <f t="shared" si="79"/>
        <v>62.1538216</v>
      </c>
      <c r="H1186" s="22">
        <f t="shared" si="80"/>
        <v>120.5676314</v>
      </c>
    </row>
    <row r="1187" ht="15.75" customHeight="1">
      <c r="A1187" s="32">
        <f>IFERROR(__xludf.DUMMYFUNCTION("""COMPUTED_VALUE"""),44456.66666666667)</f>
        <v>44456.66667</v>
      </c>
      <c r="B1187" s="22">
        <f>IFERROR(__xludf.DUMMYFUNCTION("""COMPUTED_VALUE"""),4432.99)</f>
        <v>4432.99</v>
      </c>
      <c r="C1187" s="22">
        <f t="shared" si="10"/>
        <v>6981.43532</v>
      </c>
      <c r="D1187" s="25">
        <f>IFERROR(__xludf.DUMMYFUNCTION("""COMPUTED_VALUE"""),44436.99861111111)</f>
        <v>44436.99861</v>
      </c>
      <c r="E1187" s="22">
        <f>IFERROR(__xludf.DUMMYFUNCTION("""COMPUTED_VALUE"""),1.1796)</f>
        <v>1.1796</v>
      </c>
      <c r="F1187" s="22">
        <f t="shared" si="11"/>
        <v>562.2890018</v>
      </c>
      <c r="G1187" s="22">
        <f t="shared" si="79"/>
        <v>58.2504618</v>
      </c>
      <c r="H1187" s="22">
        <f t="shared" si="80"/>
        <v>113.930854</v>
      </c>
    </row>
    <row r="1188" ht="15.75" customHeight="1">
      <c r="A1188" s="32">
        <f>IFERROR(__xludf.DUMMYFUNCTION("""COMPUTED_VALUE"""),44463.66666666667)</f>
        <v>44463.66667</v>
      </c>
      <c r="B1188" s="22">
        <f>IFERROR(__xludf.DUMMYFUNCTION("""COMPUTED_VALUE"""),4455.48)</f>
        <v>4455.48</v>
      </c>
      <c r="C1188" s="22">
        <f t="shared" si="10"/>
        <v>7019.53958</v>
      </c>
      <c r="D1188" s="25">
        <f>IFERROR(__xludf.DUMMYFUNCTION("""COMPUTED_VALUE"""),44443.99861111111)</f>
        <v>44443.99861</v>
      </c>
      <c r="E1188" s="22">
        <f>IFERROR(__xludf.DUMMYFUNCTION("""COMPUTED_VALUE"""),1.18784)</f>
        <v>1.18784</v>
      </c>
      <c r="F1188" s="22">
        <f t="shared" si="11"/>
        <v>561.4360757</v>
      </c>
      <c r="G1188" s="22">
        <f t="shared" si="79"/>
        <v>58.11649446</v>
      </c>
      <c r="H1188" s="22">
        <f t="shared" si="80"/>
        <v>114.6244287</v>
      </c>
    </row>
    <row r="1189" ht="15.75" customHeight="1">
      <c r="A1189" s="32">
        <f>IFERROR(__xludf.DUMMYFUNCTION("""COMPUTED_VALUE"""),44470.66666666667)</f>
        <v>44470.66667</v>
      </c>
      <c r="B1189" s="22">
        <f>IFERROR(__xludf.DUMMYFUNCTION("""COMPUTED_VALUE"""),4357.04)</f>
        <v>4357.04</v>
      </c>
      <c r="C1189" s="22">
        <f t="shared" si="10"/>
        <v>6867.148711</v>
      </c>
      <c r="D1189" s="25">
        <f>IFERROR(__xludf.DUMMYFUNCTION("""COMPUTED_VALUE"""),44450.99861111111)</f>
        <v>44450.99861</v>
      </c>
      <c r="E1189" s="22">
        <f>IFERROR(__xludf.DUMMYFUNCTION("""COMPUTED_VALUE"""),1.18106)</f>
        <v>1.18106</v>
      </c>
      <c r="F1189" s="22">
        <f t="shared" si="11"/>
        <v>552.4005791</v>
      </c>
      <c r="G1189" s="22">
        <f t="shared" si="79"/>
        <v>57.88407463</v>
      </c>
      <c r="H1189" s="22">
        <f t="shared" si="80"/>
        <v>111.1217013</v>
      </c>
    </row>
    <row r="1190" ht="15.75" customHeight="1">
      <c r="A1190" s="32">
        <f>IFERROR(__xludf.DUMMYFUNCTION("""COMPUTED_VALUE"""),44477.66666666667)</f>
        <v>44477.66667</v>
      </c>
      <c r="B1190" s="22">
        <f>IFERROR(__xludf.DUMMYFUNCTION("""COMPUTED_VALUE"""),4391.34)</f>
        <v>4391.34</v>
      </c>
      <c r="C1190" s="22">
        <f t="shared" si="10"/>
        <v>6923.850293</v>
      </c>
      <c r="D1190" s="25">
        <f>IFERROR(__xludf.DUMMYFUNCTION("""COMPUTED_VALUE"""),44457.99861111111)</f>
        <v>44457.99861</v>
      </c>
      <c r="E1190" s="22">
        <f>IFERROR(__xludf.DUMMYFUNCTION("""COMPUTED_VALUE"""),1.17223)</f>
        <v>1.17223</v>
      </c>
      <c r="F1190" s="22">
        <f t="shared" si="11"/>
        <v>561.1571117</v>
      </c>
      <c r="G1190" s="22">
        <f t="shared" si="79"/>
        <v>69.13942065</v>
      </c>
      <c r="H1190" s="22">
        <f t="shared" si="80"/>
        <v>117.7427012</v>
      </c>
    </row>
    <row r="1191" ht="15.75" customHeight="1">
      <c r="A1191" s="32">
        <f>IFERROR(__xludf.DUMMYFUNCTION("""COMPUTED_VALUE"""),44484.66666666667)</f>
        <v>44484.66667</v>
      </c>
      <c r="B1191" s="22">
        <f>IFERROR(__xludf.DUMMYFUNCTION("""COMPUTED_VALUE"""),4471.37)</f>
        <v>4471.37</v>
      </c>
      <c r="C1191" s="22">
        <f t="shared" si="10"/>
        <v>7052.69706</v>
      </c>
      <c r="D1191" s="25">
        <f>IFERROR(__xludf.DUMMYFUNCTION("""COMPUTED_VALUE"""),44463.99861111111)</f>
        <v>44463.99861</v>
      </c>
      <c r="E1191" s="22">
        <f>IFERROR(__xludf.DUMMYFUNCTION("""COMPUTED_VALUE"""),1.17199)</f>
        <v>1.17199</v>
      </c>
      <c r="F1191" s="22">
        <f t="shared" si="11"/>
        <v>571.7168044</v>
      </c>
      <c r="G1191" s="22">
        <f t="shared" si="79"/>
        <v>70.04968209</v>
      </c>
      <c r="H1191" s="22">
        <f t="shared" si="80"/>
        <v>121.1245288</v>
      </c>
    </row>
    <row r="1192" ht="15.75" customHeight="1">
      <c r="A1192" s="32">
        <f>IFERROR(__xludf.DUMMYFUNCTION("""COMPUTED_VALUE"""),44491.66666666667)</f>
        <v>44491.66667</v>
      </c>
      <c r="B1192" s="22">
        <f>IFERROR(__xludf.DUMMYFUNCTION("""COMPUTED_VALUE"""),4544.9)</f>
        <v>4544.9</v>
      </c>
      <c r="C1192" s="22">
        <f t="shared" si="10"/>
        <v>7171.38859</v>
      </c>
      <c r="D1192" s="25">
        <f>IFERROR(__xludf.DUMMYFUNCTION("""COMPUTED_VALUE"""),44471.99861111111)</f>
        <v>44471.99861</v>
      </c>
      <c r="E1192" s="22">
        <f>IFERROR(__xludf.DUMMYFUNCTION("""COMPUTED_VALUE"""),1.1591)</f>
        <v>1.1591</v>
      </c>
      <c r="F1192" s="22">
        <f t="shared" si="11"/>
        <v>587.8032514</v>
      </c>
      <c r="G1192" s="22">
        <f t="shared" si="79"/>
        <v>80.5417735</v>
      </c>
      <c r="H1192" s="22">
        <f t="shared" si="80"/>
        <v>128.1746101</v>
      </c>
    </row>
    <row r="1193" ht="15.75" customHeight="1">
      <c r="A1193" s="32">
        <f>IFERROR(__xludf.DUMMYFUNCTION("""COMPUTED_VALUE"""),44498.66666666667)</f>
        <v>44498.66667</v>
      </c>
      <c r="B1193" s="22">
        <f>IFERROR(__xludf.DUMMYFUNCTION("""COMPUTED_VALUE"""),4605.38)</f>
        <v>4605.38</v>
      </c>
      <c r="C1193" s="22">
        <f t="shared" si="10"/>
        <v>7269.578087</v>
      </c>
      <c r="D1193" s="25">
        <f>IFERROR(__xludf.DUMMYFUNCTION("""COMPUTED_VALUE"""),44478.99861111111)</f>
        <v>44478.99861</v>
      </c>
      <c r="E1193" s="22">
        <f>IFERROR(__xludf.DUMMYFUNCTION("""COMPUTED_VALUE"""),1.1569)</f>
        <v>1.1569</v>
      </c>
      <c r="F1193" s="22">
        <f t="shared" si="11"/>
        <v>596.9844498</v>
      </c>
      <c r="G1193" s="22">
        <f t="shared" si="79"/>
        <v>79.61191955</v>
      </c>
      <c r="H1193" s="22">
        <f t="shared" si="80"/>
        <v>131.3641289</v>
      </c>
    </row>
    <row r="1194" ht="15.75" customHeight="1">
      <c r="A1194" s="32">
        <f>IFERROR(__xludf.DUMMYFUNCTION("""COMPUTED_VALUE"""),44505.66666666667)</f>
        <v>44505.66667</v>
      </c>
      <c r="B1194" s="22">
        <f>IFERROR(__xludf.DUMMYFUNCTION("""COMPUTED_VALUE"""),4697.53)</f>
        <v>4697.53</v>
      </c>
      <c r="C1194" s="22">
        <f t="shared" si="10"/>
        <v>7417.832568</v>
      </c>
      <c r="D1194" s="25">
        <f>IFERROR(__xludf.DUMMYFUNCTION("""COMPUTED_VALUE"""),44485.99861111111)</f>
        <v>44485.99861</v>
      </c>
      <c r="E1194" s="22">
        <f>IFERROR(__xludf.DUMMYFUNCTION("""COMPUTED_VALUE"""),1.15994)</f>
        <v>1.15994</v>
      </c>
      <c r="F1194" s="22">
        <f t="shared" si="11"/>
        <v>607.5627446</v>
      </c>
      <c r="G1194" s="22">
        <f t="shared" si="79"/>
        <v>78.22245458</v>
      </c>
      <c r="H1194" s="22">
        <f t="shared" si="80"/>
        <v>124.9990803</v>
      </c>
    </row>
    <row r="1195" ht="15.75" customHeight="1">
      <c r="A1195" s="32">
        <f>IFERROR(__xludf.DUMMYFUNCTION("""COMPUTED_VALUE"""),44512.66666666667)</f>
        <v>44512.66667</v>
      </c>
      <c r="B1195" s="22">
        <f>IFERROR(__xludf.DUMMYFUNCTION("""COMPUTED_VALUE"""),4682.85)</f>
        <v>4682.85</v>
      </c>
      <c r="C1195" s="22">
        <f t="shared" si="10"/>
        <v>7397.504509</v>
      </c>
      <c r="D1195" s="25">
        <f>IFERROR(__xludf.DUMMYFUNCTION("""COMPUTED_VALUE"""),44492.99861111111)</f>
        <v>44492.99861</v>
      </c>
      <c r="E1195" s="22">
        <f>IFERROR(__xludf.DUMMYFUNCTION("""COMPUTED_VALUE"""),1.1641)</f>
        <v>1.1641</v>
      </c>
      <c r="F1195" s="22">
        <f t="shared" si="11"/>
        <v>603.7325389</v>
      </c>
      <c r="G1195" s="22">
        <f t="shared" si="79"/>
        <v>78.28546782</v>
      </c>
      <c r="H1195" s="22">
        <f t="shared" si="80"/>
        <v>123.7856834</v>
      </c>
    </row>
    <row r="1196" ht="15.75" customHeight="1">
      <c r="A1196" s="32">
        <f>IFERROR(__xludf.DUMMYFUNCTION("""COMPUTED_VALUE"""),44519.66666666667)</f>
        <v>44519.66667</v>
      </c>
      <c r="B1196" s="22">
        <f>IFERROR(__xludf.DUMMYFUNCTION("""COMPUTED_VALUE"""),4697.96)</f>
        <v>4697.96</v>
      </c>
      <c r="C1196" s="22">
        <f t="shared" si="10"/>
        <v>7424.21899</v>
      </c>
      <c r="D1196" s="25">
        <f>IFERROR(__xludf.DUMMYFUNCTION("""COMPUTED_VALUE"""),44499.99861111111)</f>
        <v>44499.99861</v>
      </c>
      <c r="E1196" s="22">
        <f>IFERROR(__xludf.DUMMYFUNCTION("""COMPUTED_VALUE"""),1.1547)</f>
        <v>1.1547</v>
      </c>
      <c r="F1196" s="22">
        <f t="shared" si="11"/>
        <v>610.8453073</v>
      </c>
      <c r="G1196" s="22">
        <f t="shared" si="79"/>
        <v>86.8102471</v>
      </c>
      <c r="H1196" s="22">
        <f t="shared" si="80"/>
        <v>126.1870302</v>
      </c>
    </row>
    <row r="1197" ht="15.75" customHeight="1">
      <c r="A1197" s="32">
        <f>IFERROR(__xludf.DUMMYFUNCTION("""COMPUTED_VALUE"""),44526.54166666667)</f>
        <v>44526.54167</v>
      </c>
      <c r="B1197" s="22">
        <f>IFERROR(__xludf.DUMMYFUNCTION("""COMPUTED_VALUE"""),4594.62)</f>
        <v>4594.62</v>
      </c>
      <c r="C1197" s="22">
        <f t="shared" si="10"/>
        <v>7263.765536</v>
      </c>
      <c r="D1197" s="25">
        <f>IFERROR(__xludf.DUMMYFUNCTION("""COMPUTED_VALUE"""),44506.99861111111)</f>
        <v>44506.99861</v>
      </c>
      <c r="E1197" s="22">
        <f>IFERROR(__xludf.DUMMYFUNCTION("""COMPUTED_VALUE"""),1.155)</f>
        <v>1.155</v>
      </c>
      <c r="F1197" s="22">
        <f t="shared" si="11"/>
        <v>597.4883849</v>
      </c>
      <c r="G1197" s="22">
        <f t="shared" si="79"/>
        <v>73.44857662</v>
      </c>
      <c r="H1197" s="22">
        <f t="shared" si="80"/>
        <v>117.6859288</v>
      </c>
    </row>
    <row r="1198" ht="15.75" customHeight="1">
      <c r="A1198" s="32">
        <f>IFERROR(__xludf.DUMMYFUNCTION("""COMPUTED_VALUE"""),44533.66666666667)</f>
        <v>44533.66667</v>
      </c>
      <c r="B1198" s="22">
        <f>IFERROR(__xludf.DUMMYFUNCTION("""COMPUTED_VALUE"""),4538.43)</f>
        <v>4538.43</v>
      </c>
      <c r="C1198" s="22">
        <f t="shared" si="10"/>
        <v>7177.726921</v>
      </c>
      <c r="D1198" s="25">
        <f>IFERROR(__xludf.DUMMYFUNCTION("""COMPUTED_VALUE"""),44513.99861111111)</f>
        <v>44513.99861</v>
      </c>
      <c r="E1198" s="22">
        <f>IFERROR(__xludf.DUMMYFUNCTION("""COMPUTED_VALUE"""),1.14459)</f>
        <v>1.14459</v>
      </c>
      <c r="F1198" s="22">
        <f t="shared" si="11"/>
        <v>595.7809576</v>
      </c>
      <c r="G1198" s="22">
        <f t="shared" si="79"/>
        <v>82.55462517</v>
      </c>
      <c r="H1198" s="22">
        <f t="shared" si="80"/>
        <v>105.2833465</v>
      </c>
    </row>
    <row r="1199" ht="15.75" customHeight="1">
      <c r="A1199" s="32">
        <f>IFERROR(__xludf.DUMMYFUNCTION("""COMPUTED_VALUE"""),44540.66666666667)</f>
        <v>44540.66667</v>
      </c>
      <c r="B1199" s="22">
        <f>IFERROR(__xludf.DUMMYFUNCTION("""COMPUTED_VALUE"""),4712.02)</f>
        <v>4712.02</v>
      </c>
      <c r="C1199" s="22">
        <f t="shared" si="10"/>
        <v>7455.027816</v>
      </c>
      <c r="D1199" s="25">
        <f>IFERROR(__xludf.DUMMYFUNCTION("""COMPUTED_VALUE"""),44520.99861111111)</f>
        <v>44520.99861</v>
      </c>
      <c r="E1199" s="22">
        <f>IFERROR(__xludf.DUMMYFUNCTION("""COMPUTED_VALUE"""),1.1286)</f>
        <v>1.1286</v>
      </c>
      <c r="F1199" s="22">
        <f t="shared" si="11"/>
        <v>627.5652048</v>
      </c>
      <c r="G1199" s="22">
        <f t="shared" si="79"/>
        <v>93.37256777</v>
      </c>
      <c r="H1199" s="22">
        <f t="shared" si="80"/>
        <v>116.3712236</v>
      </c>
    </row>
    <row r="1200" ht="15.75" customHeight="1">
      <c r="A1200" s="32">
        <f>IFERROR(__xludf.DUMMYFUNCTION("""COMPUTED_VALUE"""),44547.66666666667)</f>
        <v>44547.66667</v>
      </c>
      <c r="B1200" s="22">
        <f>IFERROR(__xludf.DUMMYFUNCTION("""COMPUTED_VALUE"""),4620.64)</f>
        <v>4620.64</v>
      </c>
      <c r="C1200" s="22">
        <f t="shared" si="10"/>
        <v>7313.320102</v>
      </c>
      <c r="D1200" s="25">
        <f>IFERROR(__xludf.DUMMYFUNCTION("""COMPUTED_VALUE"""),44526.99861111111)</f>
        <v>44526.99861</v>
      </c>
      <c r="E1200" s="22">
        <f>IFERROR(__xludf.DUMMYFUNCTION("""COMPUTED_VALUE"""),1.1319)</f>
        <v>1.1319</v>
      </c>
      <c r="F1200" s="22">
        <f t="shared" si="11"/>
        <v>613.8413734</v>
      </c>
      <c r="G1200" s="22">
        <f t="shared" si="79"/>
        <v>102.996065</v>
      </c>
      <c r="H1200" s="22">
        <f t="shared" si="80"/>
        <v>112.438417</v>
      </c>
    </row>
    <row r="1201" ht="15.75" customHeight="1">
      <c r="A1201" s="32">
        <f>IFERROR(__xludf.DUMMYFUNCTION("""COMPUTED_VALUE"""),44553.66666666667)</f>
        <v>44553.66667</v>
      </c>
      <c r="B1201" s="22">
        <f>IFERROR(__xludf.DUMMYFUNCTION("""COMPUTED_VALUE"""),4725.79)</f>
        <v>4725.79</v>
      </c>
      <c r="C1201" s="22">
        <f t="shared" si="10"/>
        <v>7482.559129</v>
      </c>
      <c r="D1201" s="25">
        <f>IFERROR(__xludf.DUMMYFUNCTION("""COMPUTED_VALUE"""),44534.99861111111)</f>
        <v>44534.99861</v>
      </c>
      <c r="E1201" s="22">
        <f>IFERROR(__xludf.DUMMYFUNCTION("""COMPUTED_VALUE"""),1.1313)</f>
        <v>1.1313</v>
      </c>
      <c r="F1201" s="22">
        <f t="shared" si="11"/>
        <v>628.3794941</v>
      </c>
      <c r="G1201" s="22">
        <f t="shared" si="79"/>
        <v>102.9846852</v>
      </c>
      <c r="H1201" s="22">
        <f t="shared" si="80"/>
        <v>117.6751254</v>
      </c>
    </row>
    <row r="1202" ht="15.75" customHeight="1">
      <c r="A1202" s="32">
        <f>IFERROR(__xludf.DUMMYFUNCTION("""COMPUTED_VALUE"""),44561.66666666667)</f>
        <v>44561.66667</v>
      </c>
      <c r="B1202" s="22">
        <f>IFERROR(__xludf.DUMMYFUNCTION("""COMPUTED_VALUE"""),4766.18)</f>
        <v>4766.18</v>
      </c>
      <c r="C1202" s="22">
        <f t="shared" si="10"/>
        <v>7549.388368</v>
      </c>
      <c r="D1202" s="25">
        <f>IFERROR(__xludf.DUMMYFUNCTION("""COMPUTED_VALUE"""),44541.99861111111)</f>
        <v>44541.99861</v>
      </c>
      <c r="E1202" s="22">
        <f>IFERROR(__xludf.DUMMYFUNCTION("""COMPUTED_VALUE"""),1.1316)</f>
        <v>1.1316</v>
      </c>
      <c r="F1202" s="22">
        <f t="shared" si="11"/>
        <v>633.8236832</v>
      </c>
      <c r="G1202" s="22">
        <f t="shared" si="79"/>
        <v>99.71300174</v>
      </c>
      <c r="H1202" s="22">
        <f t="shared" si="80"/>
        <v>113.6139291</v>
      </c>
    </row>
    <row r="1203" ht="15.75" customHeight="1">
      <c r="A1203" s="32">
        <f>IFERROR(__xludf.DUMMYFUNCTION("""COMPUTED_VALUE"""),44568.66666666667)</f>
        <v>44568.66667</v>
      </c>
      <c r="B1203" s="22">
        <f>IFERROR(__xludf.DUMMYFUNCTION("""COMPUTED_VALUE"""),4677.03)</f>
        <v>4677.03</v>
      </c>
      <c r="C1203" s="22">
        <f t="shared" si="10"/>
        <v>7411.082882</v>
      </c>
      <c r="D1203" s="25">
        <f>IFERROR(__xludf.DUMMYFUNCTION("""COMPUTED_VALUE"""),44548.99861111111)</f>
        <v>44548.99861</v>
      </c>
      <c r="E1203" s="22">
        <f>IFERROR(__xludf.DUMMYFUNCTION("""COMPUTED_VALUE"""),1.1239)</f>
        <v>1.1239</v>
      </c>
      <c r="F1203" s="22">
        <f t="shared" si="11"/>
        <v>626.4748387</v>
      </c>
      <c r="G1203" s="22">
        <f t="shared" si="79"/>
        <v>93.67708795</v>
      </c>
      <c r="H1203" s="22">
        <f t="shared" si="80"/>
        <v>111.3539067</v>
      </c>
    </row>
    <row r="1204" ht="15.75" customHeight="1">
      <c r="A1204" s="32">
        <f>IFERROR(__xludf.DUMMYFUNCTION("""COMPUTED_VALUE"""),44575.66666666667)</f>
        <v>44575.66667</v>
      </c>
      <c r="B1204" s="22">
        <f>IFERROR(__xludf.DUMMYFUNCTION("""COMPUTED_VALUE"""),4662.85)</f>
        <v>4662.85</v>
      </c>
      <c r="C1204" s="22">
        <f t="shared" si="10"/>
        <v>7391.464091</v>
      </c>
      <c r="D1204" s="25">
        <f>IFERROR(__xludf.DUMMYFUNCTION("""COMPUTED_VALUE"""),44555.99861111111)</f>
        <v>44555.99861</v>
      </c>
      <c r="E1204" s="22">
        <f>IFERROR(__xludf.DUMMYFUNCTION("""COMPUTED_VALUE"""),1.1321)</f>
        <v>1.1321</v>
      </c>
      <c r="F1204" s="22">
        <f t="shared" si="11"/>
        <v>620.2907645</v>
      </c>
      <c r="G1204" s="22">
        <f t="shared" si="79"/>
        <v>87.28306467</v>
      </c>
      <c r="H1204" s="22">
        <f t="shared" si="80"/>
        <v>110.7158824</v>
      </c>
    </row>
    <row r="1205" ht="15.75" customHeight="1">
      <c r="A1205" s="32">
        <f>IFERROR(__xludf.DUMMYFUNCTION("""COMPUTED_VALUE"""),44582.66666666667)</f>
        <v>44582.66667</v>
      </c>
      <c r="B1205" s="22">
        <f>IFERROR(__xludf.DUMMYFUNCTION("""COMPUTED_VALUE"""),4397.94)</f>
        <v>4397.94</v>
      </c>
      <c r="C1205" s="22">
        <f t="shared" si="10"/>
        <v>6974.376501</v>
      </c>
      <c r="D1205" s="25">
        <f>IFERROR(__xludf.DUMMYFUNCTION("""COMPUTED_VALUE"""),44562.99861111111)</f>
        <v>44562.99861</v>
      </c>
      <c r="E1205" s="22">
        <f>IFERROR(__xludf.DUMMYFUNCTION("""COMPUTED_VALUE"""),1.1373)</f>
        <v>1.1373</v>
      </c>
      <c r="F1205" s="22">
        <f t="shared" si="11"/>
        <v>582.6127482</v>
      </c>
      <c r="G1205" s="22">
        <f t="shared" si="79"/>
        <v>75.53858195</v>
      </c>
      <c r="H1205" s="22">
        <f t="shared" si="80"/>
        <v>96.06746044</v>
      </c>
    </row>
    <row r="1206" ht="15.75" customHeight="1">
      <c r="A1206" s="32">
        <f>IFERROR(__xludf.DUMMYFUNCTION("""COMPUTED_VALUE"""),44589.66666666667)</f>
        <v>44589.66667</v>
      </c>
      <c r="B1206" s="22">
        <f>IFERROR(__xludf.DUMMYFUNCTION("""COMPUTED_VALUE"""),4431.85)</f>
        <v>4431.85</v>
      </c>
      <c r="C1206" s="22">
        <f t="shared" si="10"/>
        <v>7030.834381</v>
      </c>
      <c r="D1206" s="25">
        <f>IFERROR(__xludf.DUMMYFUNCTION("""COMPUTED_VALUE"""),44569.99861111111)</f>
        <v>44569.99861</v>
      </c>
      <c r="E1206" s="22">
        <f>IFERROR(__xludf.DUMMYFUNCTION("""COMPUTED_VALUE"""),1.136)</f>
        <v>1.136</v>
      </c>
      <c r="F1206" s="22">
        <f t="shared" si="11"/>
        <v>588.0011432</v>
      </c>
      <c r="G1206" s="22">
        <f t="shared" si="79"/>
        <v>75.49432213</v>
      </c>
      <c r="H1206" s="22">
        <f t="shared" si="80"/>
        <v>99.68995615</v>
      </c>
    </row>
    <row r="1207" ht="15.75" customHeight="1">
      <c r="A1207" s="32">
        <f>IFERROR(__xludf.DUMMYFUNCTION("""COMPUTED_VALUE"""),44596.66666666667)</f>
        <v>44596.66667</v>
      </c>
      <c r="B1207" s="22">
        <f>IFERROR(__xludf.DUMMYFUNCTION("""COMPUTED_VALUE"""),4500.53)</f>
        <v>4500.53</v>
      </c>
      <c r="C1207" s="22">
        <f t="shared" si="10"/>
        <v>7142.494787</v>
      </c>
      <c r="D1207" s="25">
        <f>IFERROR(__xludf.DUMMYFUNCTION("""COMPUTED_VALUE"""),44576.99861111111)</f>
        <v>44576.99861</v>
      </c>
      <c r="E1207" s="22">
        <f>IFERROR(__xludf.DUMMYFUNCTION("""COMPUTED_VALUE"""),1.1415)</f>
        <v>1.1415</v>
      </c>
      <c r="F1207" s="22">
        <f t="shared" si="11"/>
        <v>594.4613867</v>
      </c>
      <c r="G1207" s="22">
        <f t="shared" si="79"/>
        <v>75.64281222</v>
      </c>
      <c r="H1207" s="22">
        <f t="shared" si="80"/>
        <v>101.2701808</v>
      </c>
    </row>
    <row r="1208" ht="15.75" customHeight="1">
      <c r="A1208" s="32">
        <f>IFERROR(__xludf.DUMMYFUNCTION("""COMPUTED_VALUE"""),44603.66666666667)</f>
        <v>44603.66667</v>
      </c>
      <c r="B1208" s="22">
        <f>IFERROR(__xludf.DUMMYFUNCTION("""COMPUTED_VALUE"""),4418.64)</f>
        <v>4418.64</v>
      </c>
      <c r="C1208" s="22">
        <f t="shared" si="10"/>
        <v>7015.279674</v>
      </c>
      <c r="D1208" s="25">
        <f>IFERROR(__xludf.DUMMYFUNCTION("""COMPUTED_VALUE"""),44583.99861111111)</f>
        <v>44583.99861</v>
      </c>
      <c r="E1208" s="22">
        <f>IFERROR(__xludf.DUMMYFUNCTION("""COMPUTED_VALUE"""),1.1343)</f>
        <v>1.1343</v>
      </c>
      <c r="F1208" s="22">
        <f t="shared" si="11"/>
        <v>587.5795758</v>
      </c>
      <c r="G1208" s="22">
        <f t="shared" si="79"/>
        <v>69.95086883</v>
      </c>
      <c r="H1208" s="22">
        <f t="shared" si="80"/>
        <v>95.82616425</v>
      </c>
    </row>
    <row r="1209" ht="15.75" customHeight="1">
      <c r="A1209" s="32">
        <f>IFERROR(__xludf.DUMMYFUNCTION("""COMPUTED_VALUE"""),44610.66666666667)</f>
        <v>44610.66667</v>
      </c>
      <c r="B1209" s="22">
        <f>IFERROR(__xludf.DUMMYFUNCTION("""COMPUTED_VALUE"""),4348.87)</f>
        <v>4348.87</v>
      </c>
      <c r="C1209" s="22">
        <f t="shared" si="10"/>
        <v>6907.207109</v>
      </c>
      <c r="D1209" s="25">
        <f>IFERROR(__xludf.DUMMYFUNCTION("""COMPUTED_VALUE"""),44590.99861111111)</f>
        <v>44590.99861</v>
      </c>
      <c r="E1209" s="22">
        <f>IFERROR(__xludf.DUMMYFUNCTION("""COMPUTED_VALUE"""),1.11376)</f>
        <v>1.11376</v>
      </c>
      <c r="F1209" s="22">
        <f t="shared" si="11"/>
        <v>589.1969579</v>
      </c>
      <c r="G1209" s="22">
        <f t="shared" si="79"/>
        <v>70.05449143</v>
      </c>
      <c r="H1209" s="22">
        <f t="shared" si="80"/>
        <v>96.58885352</v>
      </c>
    </row>
    <row r="1210" ht="15.75" customHeight="1">
      <c r="A1210" s="32">
        <f>IFERROR(__xludf.DUMMYFUNCTION("""COMPUTED_VALUE"""),44617.66666666667)</f>
        <v>44617.66667</v>
      </c>
      <c r="B1210" s="22">
        <f>IFERROR(__xludf.DUMMYFUNCTION("""COMPUTED_VALUE"""),4384.65)</f>
        <v>4384.65</v>
      </c>
      <c r="C1210" s="22">
        <f t="shared" si="10"/>
        <v>6966.692253</v>
      </c>
      <c r="D1210" s="25">
        <f>IFERROR(__xludf.DUMMYFUNCTION("""COMPUTED_VALUE"""),44597.99861111111)</f>
        <v>44597.99861</v>
      </c>
      <c r="E1210" s="22">
        <f>IFERROR(__xludf.DUMMYFUNCTION("""COMPUTED_VALUE"""),1.1448)</f>
        <v>1.1448</v>
      </c>
      <c r="F1210" s="22">
        <f t="shared" si="11"/>
        <v>578.1581335</v>
      </c>
      <c r="G1210" s="22">
        <f t="shared" si="79"/>
        <v>64.30701341</v>
      </c>
      <c r="H1210" s="22">
        <f t="shared" si="80"/>
        <v>88.90922537</v>
      </c>
    </row>
    <row r="1211" ht="15.75" customHeight="1">
      <c r="A1211" s="32">
        <f>IFERROR(__xludf.DUMMYFUNCTION("""COMPUTED_VALUE"""),44624.66666666667)</f>
        <v>44624.66667</v>
      </c>
      <c r="B1211" s="22">
        <f>IFERROR(__xludf.DUMMYFUNCTION("""COMPUTED_VALUE"""),4328.87)</f>
        <v>4328.87</v>
      </c>
      <c r="C1211" s="22">
        <f t="shared" si="10"/>
        <v>6880.743902</v>
      </c>
      <c r="D1211" s="25">
        <f>IFERROR(__xludf.DUMMYFUNCTION("""COMPUTED_VALUE"""),44604.99861111111)</f>
        <v>44604.99861</v>
      </c>
      <c r="E1211" s="22">
        <f>IFERROR(__xludf.DUMMYFUNCTION("""COMPUTED_VALUE"""),1.13452)</f>
        <v>1.13452</v>
      </c>
      <c r="F1211" s="22">
        <f t="shared" si="11"/>
        <v>576.1994928</v>
      </c>
      <c r="G1211" s="22">
        <f t="shared" si="79"/>
        <v>66.80128807</v>
      </c>
      <c r="H1211" s="22">
        <f t="shared" si="80"/>
        <v>88.60453765</v>
      </c>
    </row>
    <row r="1212" ht="15.75" customHeight="1">
      <c r="A1212" s="32">
        <f>IFERROR(__xludf.DUMMYFUNCTION("""COMPUTED_VALUE"""),44631.66666666667)</f>
        <v>44631.66667</v>
      </c>
      <c r="B1212" s="22">
        <f>IFERROR(__xludf.DUMMYFUNCTION("""COMPUTED_VALUE"""),4204.31)</f>
        <v>4204.31</v>
      </c>
      <c r="C1212" s="22">
        <f t="shared" si="10"/>
        <v>6685.402077</v>
      </c>
      <c r="D1212" s="25">
        <f>IFERROR(__xludf.DUMMYFUNCTION("""COMPUTED_VALUE"""),44611.99861111111)</f>
        <v>44611.99861</v>
      </c>
      <c r="E1212" s="22">
        <f>IFERROR(__xludf.DUMMYFUNCTION("""COMPUTED_VALUE"""),1.13065)</f>
        <v>1.13065</v>
      </c>
      <c r="F1212" s="22">
        <f t="shared" si="11"/>
        <v>561.7576287</v>
      </c>
      <c r="G1212" s="22">
        <f t="shared" si="79"/>
        <v>58.61565076</v>
      </c>
      <c r="H1212" s="22">
        <f t="shared" si="80"/>
        <v>82.45451588</v>
      </c>
    </row>
    <row r="1213" ht="15.75" customHeight="1">
      <c r="A1213" s="32">
        <f>IFERROR(__xludf.DUMMYFUNCTION("""COMPUTED_VALUE"""),44638.66666666667)</f>
        <v>44638.66667</v>
      </c>
      <c r="B1213" s="22">
        <f>IFERROR(__xludf.DUMMYFUNCTION("""COMPUTED_VALUE"""),4463.12)</f>
        <v>4463.12</v>
      </c>
      <c r="C1213" s="22">
        <f t="shared" si="10"/>
        <v>7099.515092</v>
      </c>
      <c r="D1213" s="25">
        <f>IFERROR(__xludf.DUMMYFUNCTION("""COMPUTED_VALUE"""),44618.99861111111)</f>
        <v>44618.99861</v>
      </c>
      <c r="E1213" s="22">
        <f>IFERROR(__xludf.DUMMYFUNCTION("""COMPUTED_VALUE"""),1.1271)</f>
        <v>1.1271</v>
      </c>
      <c r="F1213" s="22">
        <f t="shared" si="11"/>
        <v>598.4334639</v>
      </c>
      <c r="G1213" s="22">
        <f t="shared" si="79"/>
        <v>70.75911185</v>
      </c>
      <c r="H1213" s="22">
        <f t="shared" si="80"/>
        <v>98.26996125</v>
      </c>
    </row>
    <row r="1214" ht="15.75" customHeight="1">
      <c r="A1214" s="32">
        <f>IFERROR(__xludf.DUMMYFUNCTION("""COMPUTED_VALUE"""),44645.66666666667)</f>
        <v>44645.66667</v>
      </c>
      <c r="B1214" s="22">
        <f>IFERROR(__xludf.DUMMYFUNCTION("""COMPUTED_VALUE"""),4543.06)</f>
        <v>4543.06</v>
      </c>
      <c r="C1214" s="22">
        <f t="shared" si="10"/>
        <v>7229.406772</v>
      </c>
      <c r="D1214" s="25">
        <f>IFERROR(__xludf.DUMMYFUNCTION("""COMPUTED_VALUE"""),44625.99861111111)</f>
        <v>44625.99861</v>
      </c>
      <c r="E1214" s="22">
        <f>IFERROR(__xludf.DUMMYFUNCTION("""COMPUTED_VALUE"""),1.0924)</f>
        <v>1.0924</v>
      </c>
      <c r="F1214" s="22">
        <f t="shared" si="11"/>
        <v>628.7392955</v>
      </c>
      <c r="G1214" s="22">
        <f t="shared" si="79"/>
        <v>75.05722831</v>
      </c>
      <c r="H1214" s="22">
        <f t="shared" si="80"/>
        <v>107.5734964</v>
      </c>
    </row>
    <row r="1215" ht="15.75" customHeight="1">
      <c r="A1215" s="32">
        <f>IFERROR(__xludf.DUMMYFUNCTION("""COMPUTED_VALUE"""),44652.66666666667)</f>
        <v>44652.66667</v>
      </c>
      <c r="B1215" s="22">
        <f>IFERROR(__xludf.DUMMYFUNCTION("""COMPUTED_VALUE"""),4545.86)</f>
        <v>4545.86</v>
      </c>
      <c r="C1215" s="22">
        <f t="shared" si="10"/>
        <v>7236.642975</v>
      </c>
      <c r="D1215" s="25">
        <f>IFERROR(__xludf.DUMMYFUNCTION("""COMPUTED_VALUE"""),44632.99861111111)</f>
        <v>44632.99861</v>
      </c>
      <c r="E1215" s="22">
        <f>IFERROR(__xludf.DUMMYFUNCTION("""COMPUTED_VALUE"""),1.0913)</f>
        <v>1.0913</v>
      </c>
      <c r="F1215" s="22">
        <f t="shared" si="11"/>
        <v>630.0030119</v>
      </c>
      <c r="G1215" s="22">
        <f t="shared" si="79"/>
        <v>73.39668342</v>
      </c>
      <c r="H1215" s="22">
        <f t="shared" si="80"/>
        <v>109.910025</v>
      </c>
    </row>
    <row r="1216" ht="15.75" customHeight="1">
      <c r="A1216" s="32">
        <f>IFERROR(__xludf.DUMMYFUNCTION("""COMPUTED_VALUE"""),44659.66666666667)</f>
        <v>44659.66667</v>
      </c>
      <c r="B1216" s="22">
        <f>IFERROR(__xludf.DUMMYFUNCTION("""COMPUTED_VALUE"""),4488.28)</f>
        <v>4488.28</v>
      </c>
      <c r="C1216" s="22">
        <f t="shared" si="10"/>
        <v>7147.763577</v>
      </c>
      <c r="D1216" s="25">
        <f>IFERROR(__xludf.DUMMYFUNCTION("""COMPUTED_VALUE"""),44639.99861111111)</f>
        <v>44639.99861</v>
      </c>
      <c r="E1216" s="22">
        <f>IFERROR(__xludf.DUMMYFUNCTION("""COMPUTED_VALUE"""),1.1069)</f>
        <v>1.1069</v>
      </c>
      <c r="F1216" s="22">
        <f t="shared" si="11"/>
        <v>613.4955624</v>
      </c>
      <c r="G1216" s="22">
        <f t="shared" si="79"/>
        <v>67.50766699</v>
      </c>
      <c r="H1216" s="22">
        <f t="shared" si="80"/>
        <v>107.8367718</v>
      </c>
    </row>
    <row r="1217" ht="15.75" customHeight="1">
      <c r="A1217" s="32">
        <f>IFERROR(__xludf.DUMMYFUNCTION("""COMPUTED_VALUE"""),44665.66666666667)</f>
        <v>44665.66667</v>
      </c>
      <c r="B1217" s="22">
        <f>IFERROR(__xludf.DUMMYFUNCTION("""COMPUTED_VALUE"""),4392.59)</f>
        <v>4392.59</v>
      </c>
      <c r="C1217" s="22">
        <f t="shared" si="10"/>
        <v>6998.122604</v>
      </c>
      <c r="D1217" s="25">
        <f>IFERROR(__xludf.DUMMYFUNCTION("""COMPUTED_VALUE"""),44646.99861111111)</f>
        <v>44646.99861</v>
      </c>
      <c r="E1217" s="22">
        <f>IFERROR(__xludf.DUMMYFUNCTION("""COMPUTED_VALUE"""),1.0983)</f>
        <v>1.0983</v>
      </c>
      <c r="F1217" s="22">
        <f t="shared" si="11"/>
        <v>605.3550883</v>
      </c>
      <c r="G1217" s="22">
        <f t="shared" si="79"/>
        <v>64.14359759</v>
      </c>
      <c r="H1217" s="22">
        <f t="shared" si="80"/>
        <v>100.4480502</v>
      </c>
    </row>
    <row r="1218" ht="15.75" customHeight="1">
      <c r="A1218" s="32">
        <f>IFERROR(__xludf.DUMMYFUNCTION("""COMPUTED_VALUE"""),44673.66666666667)</f>
        <v>44673.66667</v>
      </c>
      <c r="B1218" s="22">
        <f>IFERROR(__xludf.DUMMYFUNCTION("""COMPUTED_VALUE"""),4271.78)</f>
        <v>4271.78</v>
      </c>
      <c r="C1218" s="22">
        <f t="shared" si="10"/>
        <v>6808.343872</v>
      </c>
      <c r="D1218" s="25">
        <f>IFERROR(__xludf.DUMMYFUNCTION("""COMPUTED_VALUE"""),44653.99861111111)</f>
        <v>44653.99861</v>
      </c>
      <c r="E1218" s="22">
        <f>IFERROR(__xludf.DUMMYFUNCTION("""COMPUTED_VALUE"""),1.1041)</f>
        <v>1.1041</v>
      </c>
      <c r="F1218" s="22">
        <f t="shared" si="11"/>
        <v>585.8449718</v>
      </c>
      <c r="G1218" s="22">
        <f t="shared" si="79"/>
        <v>56.91066045</v>
      </c>
      <c r="H1218" s="22">
        <f t="shared" si="80"/>
        <v>89.88576862</v>
      </c>
    </row>
    <row r="1219" ht="15.75" customHeight="1">
      <c r="A1219" s="32">
        <f>IFERROR(__xludf.DUMMYFUNCTION("""COMPUTED_VALUE"""),44680.66666666667)</f>
        <v>44680.66667</v>
      </c>
      <c r="B1219" s="22">
        <f>IFERROR(__xludf.DUMMYFUNCTION("""COMPUTED_VALUE"""),4131.93)</f>
        <v>4131.93</v>
      </c>
      <c r="C1219" s="22">
        <f t="shared" si="10"/>
        <v>6588.070161</v>
      </c>
      <c r="D1219" s="25">
        <f>IFERROR(__xludf.DUMMYFUNCTION("""COMPUTED_VALUE"""),44660.99861111111)</f>
        <v>44660.99861</v>
      </c>
      <c r="E1219" s="22">
        <f>IFERROR(__xludf.DUMMYFUNCTION("""COMPUTED_VALUE"""),1.08737)</f>
        <v>1.08737</v>
      </c>
      <c r="F1219" s="22">
        <f t="shared" si="11"/>
        <v>575.6128794</v>
      </c>
      <c r="G1219" s="22">
        <f t="shared" si="79"/>
        <v>55.01489733</v>
      </c>
      <c r="H1219" s="22">
        <f t="shared" si="80"/>
        <v>85.71008109</v>
      </c>
    </row>
    <row r="1220" ht="15.75" customHeight="1">
      <c r="A1220" s="32">
        <f>IFERROR(__xludf.DUMMYFUNCTION("""COMPUTED_VALUE"""),44687.66666666667)</f>
        <v>44687.66667</v>
      </c>
      <c r="B1220" s="22">
        <f>IFERROR(__xludf.DUMMYFUNCTION("""COMPUTED_VALUE"""),4123.34)</f>
        <v>4123.34</v>
      </c>
      <c r="C1220" s="22">
        <f t="shared" si="10"/>
        <v>6576.907886</v>
      </c>
      <c r="D1220" s="25">
        <f>IFERROR(__xludf.DUMMYFUNCTION("""COMPUTED_VALUE"""),44667.99861111111)</f>
        <v>44667.99861</v>
      </c>
      <c r="E1220" s="22">
        <f>IFERROR(__xludf.DUMMYFUNCTION("""COMPUTED_VALUE"""),1.08099)</f>
        <v>1.08099</v>
      </c>
      <c r="F1220" s="22">
        <f t="shared" si="11"/>
        <v>578.0291187</v>
      </c>
      <c r="G1220" s="22">
        <f t="shared" si="79"/>
        <v>58.03351089</v>
      </c>
      <c r="H1220" s="22">
        <f t="shared" si="80"/>
        <v>88.99333568</v>
      </c>
    </row>
    <row r="1221" ht="15.75" customHeight="1">
      <c r="A1221" s="32">
        <f>IFERROR(__xludf.DUMMYFUNCTION("""COMPUTED_VALUE"""),44694.66666666667)</f>
        <v>44694.66667</v>
      </c>
      <c r="B1221" s="22">
        <f>IFERROR(__xludf.DUMMYFUNCTION("""COMPUTED_VALUE"""),4023.89)</f>
        <v>4023.89</v>
      </c>
      <c r="C1221" s="22">
        <f t="shared" si="10"/>
        <v>6420.810361</v>
      </c>
      <c r="D1221" s="25">
        <f>IFERROR(__xludf.DUMMYFUNCTION("""COMPUTED_VALUE"""),44674.99861111111)</f>
        <v>44674.99861</v>
      </c>
      <c r="E1221" s="22">
        <f>IFERROR(__xludf.DUMMYFUNCTION("""COMPUTED_VALUE"""),1.0798)</f>
        <v>1.0798</v>
      </c>
      <c r="F1221" s="22">
        <f t="shared" si="11"/>
        <v>564.9319719</v>
      </c>
      <c r="G1221" s="22">
        <f t="shared" si="79"/>
        <v>54.10708855</v>
      </c>
      <c r="H1221" s="22">
        <f t="shared" si="80"/>
        <v>88.32430479</v>
      </c>
    </row>
    <row r="1222" ht="15.75" customHeight="1">
      <c r="A1222" s="32">
        <f>IFERROR(__xludf.DUMMYFUNCTION("""COMPUTED_VALUE"""),44701.66666666667)</f>
        <v>44701.66667</v>
      </c>
      <c r="B1222" s="22">
        <f>IFERROR(__xludf.DUMMYFUNCTION("""COMPUTED_VALUE"""),3901.36)</f>
        <v>3901.36</v>
      </c>
      <c r="C1222" s="22">
        <f t="shared" si="10"/>
        <v>6227.76216</v>
      </c>
      <c r="D1222" s="25">
        <f>IFERROR(__xludf.DUMMYFUNCTION("""COMPUTED_VALUE"""),44681.99861111111)</f>
        <v>44681.99861</v>
      </c>
      <c r="E1222" s="22">
        <f>IFERROR(__xludf.DUMMYFUNCTION("""COMPUTED_VALUE"""),1.0541)</f>
        <v>1.0541</v>
      </c>
      <c r="F1222" s="22">
        <f t="shared" si="11"/>
        <v>561.3061996</v>
      </c>
      <c r="G1222" s="22">
        <f t="shared" si="79"/>
        <v>55.87231913</v>
      </c>
      <c r="H1222" s="22">
        <f t="shared" si="80"/>
        <v>86.1489505</v>
      </c>
    </row>
    <row r="1223" ht="15.75" customHeight="1">
      <c r="A1223" s="32">
        <f>IFERROR(__xludf.DUMMYFUNCTION("""COMPUTED_VALUE"""),44708.66666666667)</f>
        <v>44708.66667</v>
      </c>
      <c r="B1223" s="22">
        <f>IFERROR(__xludf.DUMMYFUNCTION("""COMPUTED_VALUE"""),4158.24)</f>
        <v>4158.24</v>
      </c>
      <c r="C1223" s="22">
        <f t="shared" si="10"/>
        <v>6640.216392</v>
      </c>
      <c r="D1223" s="25">
        <f>IFERROR(__xludf.DUMMYFUNCTION("""COMPUTED_VALUE"""),44688.99861111111)</f>
        <v>44688.99861</v>
      </c>
      <c r="E1223" s="22">
        <f>IFERROR(__xludf.DUMMYFUNCTION("""COMPUTED_VALUE"""),1.05342)</f>
        <v>1.05342</v>
      </c>
      <c r="F1223" s="22">
        <f t="shared" si="11"/>
        <v>598.8668959</v>
      </c>
      <c r="G1223" s="22">
        <f t="shared" si="79"/>
        <v>71.01160961</v>
      </c>
      <c r="H1223" s="22">
        <f t="shared" si="80"/>
        <v>95.49283604</v>
      </c>
    </row>
    <row r="1224" ht="15.75" customHeight="1">
      <c r="A1224" s="32">
        <f>IFERROR(__xludf.DUMMYFUNCTION("""COMPUTED_VALUE"""),44715.66666666667)</f>
        <v>44715.66667</v>
      </c>
      <c r="B1224" s="22">
        <f>IFERROR(__xludf.DUMMYFUNCTION("""COMPUTED_VALUE"""),4108.54)</f>
        <v>4108.54</v>
      </c>
      <c r="C1224" s="22">
        <f t="shared" si="10"/>
        <v>6563.405312</v>
      </c>
      <c r="D1224" s="25">
        <f>IFERROR(__xludf.DUMMYFUNCTION("""COMPUTED_VALUE"""),44695.99861111111)</f>
        <v>44695.99861</v>
      </c>
      <c r="E1224" s="22">
        <f>IFERROR(__xludf.DUMMYFUNCTION("""COMPUTED_VALUE"""),1.04083)</f>
        <v>1.04083</v>
      </c>
      <c r="F1224" s="22">
        <f t="shared" si="11"/>
        <v>599.0996374</v>
      </c>
      <c r="G1224" s="22">
        <f t="shared" si="79"/>
        <v>62.84867847</v>
      </c>
      <c r="H1224" s="22">
        <f t="shared" si="80"/>
        <v>101.0127516</v>
      </c>
    </row>
    <row r="1225" ht="15.75" customHeight="1">
      <c r="A1225" s="32">
        <f>IFERROR(__xludf.DUMMYFUNCTION("""COMPUTED_VALUE"""),44722.66666666667)</f>
        <v>44722.66667</v>
      </c>
      <c r="B1225" s="22">
        <f>IFERROR(__xludf.DUMMYFUNCTION("""COMPUTED_VALUE"""),3900.86)</f>
        <v>3900.86</v>
      </c>
      <c r="C1225" s="22">
        <f t="shared" si="10"/>
        <v>6234.160259</v>
      </c>
      <c r="D1225" s="25">
        <f>IFERROR(__xludf.DUMMYFUNCTION("""COMPUTED_VALUE"""),44702.99861111111)</f>
        <v>44702.99861</v>
      </c>
      <c r="E1225" s="22">
        <f>IFERROR(__xludf.DUMMYFUNCTION("""COMPUTED_VALUE"""),1.05598)</f>
        <v>1.05598</v>
      </c>
      <c r="F1225" s="22">
        <f t="shared" si="11"/>
        <v>560.8825176</v>
      </c>
      <c r="G1225" s="22">
        <f t="shared" si="79"/>
        <v>52.18468663</v>
      </c>
      <c r="H1225" s="22">
        <f t="shared" si="80"/>
        <v>87.59155122</v>
      </c>
    </row>
    <row r="1226" ht="15.75" customHeight="1">
      <c r="A1226" s="32">
        <f>IFERROR(__xludf.DUMMYFUNCTION("""COMPUTED_VALUE"""),44729.66666666667)</f>
        <v>44729.66667</v>
      </c>
      <c r="B1226" s="22">
        <f>IFERROR(__xludf.DUMMYFUNCTION("""COMPUTED_VALUE"""),3674.84)</f>
        <v>3674.84</v>
      </c>
      <c r="C1226" s="22">
        <f t="shared" si="10"/>
        <v>5875.344101</v>
      </c>
      <c r="D1226" s="25">
        <f>IFERROR(__xludf.DUMMYFUNCTION("""COMPUTED_VALUE"""),44709.99861111111)</f>
        <v>44709.99861</v>
      </c>
      <c r="E1226" s="22">
        <f>IFERROR(__xludf.DUMMYFUNCTION("""COMPUTED_VALUE"""),1.07316)</f>
        <v>1.07316</v>
      </c>
      <c r="F1226" s="22">
        <f t="shared" si="11"/>
        <v>520.1378572</v>
      </c>
      <c r="G1226" s="22">
        <f t="shared" si="79"/>
        <v>37.96707874</v>
      </c>
      <c r="H1226" s="22">
        <f t="shared" si="80"/>
        <v>75.0975336</v>
      </c>
    </row>
    <row r="1227" ht="15.75" customHeight="1">
      <c r="A1227" s="32">
        <f>IFERROR(__xludf.DUMMYFUNCTION("""COMPUTED_VALUE"""),44736.66666666667)</f>
        <v>44736.66667</v>
      </c>
      <c r="B1227" s="22">
        <f>IFERROR(__xludf.DUMMYFUNCTION("""COMPUTED_VALUE"""),3911.74)</f>
        <v>3911.74</v>
      </c>
      <c r="C1227" s="22">
        <f t="shared" si="10"/>
        <v>6256.360207</v>
      </c>
      <c r="D1227" s="25">
        <f>IFERROR(__xludf.DUMMYFUNCTION("""COMPUTED_VALUE"""),44716.99861111111)</f>
        <v>44716.99861</v>
      </c>
      <c r="E1227" s="22">
        <f>IFERROR(__xludf.DUMMYFUNCTION("""COMPUTED_VALUE"""),1.0718)</f>
        <v>1.0718</v>
      </c>
      <c r="F1227" s="22">
        <f t="shared" si="11"/>
        <v>554.5716014</v>
      </c>
      <c r="G1227" s="22">
        <f t="shared" si="79"/>
        <v>49.3624715</v>
      </c>
      <c r="H1227" s="22">
        <f t="shared" si="80"/>
        <v>86.24924338</v>
      </c>
    </row>
    <row r="1228" ht="15.75" customHeight="1">
      <c r="A1228" s="32">
        <f>IFERROR(__xludf.DUMMYFUNCTION("""COMPUTED_VALUE"""),44743.66666666667)</f>
        <v>44743.66667</v>
      </c>
      <c r="B1228" s="22">
        <f>IFERROR(__xludf.DUMMYFUNCTION("""COMPUTED_VALUE"""),3825.33)</f>
        <v>3825.33</v>
      </c>
      <c r="C1228" s="22">
        <f t="shared" si="10"/>
        <v>6120.564041</v>
      </c>
      <c r="D1228" s="25">
        <f>IFERROR(__xludf.DUMMYFUNCTION("""COMPUTED_VALUE"""),44723.99861111111)</f>
        <v>44723.99861</v>
      </c>
      <c r="E1228" s="22">
        <f>IFERROR(__xludf.DUMMYFUNCTION("""COMPUTED_VALUE"""),1.0519)</f>
        <v>1.0519</v>
      </c>
      <c r="F1228" s="22">
        <f t="shared" si="11"/>
        <v>552.7982065</v>
      </c>
      <c r="G1228" s="22">
        <f t="shared" si="79"/>
        <v>45.05154825</v>
      </c>
      <c r="H1228" s="22">
        <f t="shared" si="80"/>
        <v>85.31433191</v>
      </c>
    </row>
    <row r="1229" ht="15.75" customHeight="1">
      <c r="A1229" s="32">
        <f>IFERROR(__xludf.DUMMYFUNCTION("""COMPUTED_VALUE"""),44750.66666666667)</f>
        <v>44750.66667</v>
      </c>
      <c r="B1229" s="22">
        <f>IFERROR(__xludf.DUMMYFUNCTION("""COMPUTED_VALUE"""),3899.38)</f>
        <v>3899.38</v>
      </c>
      <c r="C1229" s="22">
        <f t="shared" si="10"/>
        <v>6241.398802</v>
      </c>
      <c r="D1229" s="25">
        <f>IFERROR(__xludf.DUMMYFUNCTION("""COMPUTED_VALUE"""),44730.99861111111)</f>
        <v>44730.99861</v>
      </c>
      <c r="E1229" s="22">
        <f>IFERROR(__xludf.DUMMYFUNCTION("""COMPUTED_VALUE"""),1.0495)</f>
        <v>1.0495</v>
      </c>
      <c r="F1229" s="22">
        <f t="shared" si="11"/>
        <v>565.0008801</v>
      </c>
      <c r="G1229" s="22">
        <f t="shared" si="79"/>
        <v>49.12946727</v>
      </c>
      <c r="H1229" s="22">
        <f t="shared" si="80"/>
        <v>86.84226643</v>
      </c>
    </row>
    <row r="1230" ht="15.75" customHeight="1">
      <c r="A1230" s="32">
        <f>IFERROR(__xludf.DUMMYFUNCTION("""COMPUTED_VALUE"""),44757.66666666667)</f>
        <v>44757.66667</v>
      </c>
      <c r="B1230" s="22">
        <f>IFERROR(__xludf.DUMMYFUNCTION("""COMPUTED_VALUE"""),3863.16)</f>
        <v>3863.16</v>
      </c>
      <c r="C1230" s="22">
        <f t="shared" si="10"/>
        <v>6185.825132</v>
      </c>
      <c r="D1230" s="25">
        <f>IFERROR(__xludf.DUMMYFUNCTION("""COMPUTED_VALUE"""),44737.99861111111)</f>
        <v>44737.99861</v>
      </c>
      <c r="E1230" s="22">
        <f>IFERROR(__xludf.DUMMYFUNCTION("""COMPUTED_VALUE"""),1.05676)</f>
        <v>1.05676</v>
      </c>
      <c r="F1230" s="22">
        <f t="shared" si="11"/>
        <v>556.1230636</v>
      </c>
      <c r="G1230" s="22">
        <f t="shared" si="79"/>
        <v>48.4825961</v>
      </c>
      <c r="H1230" s="22">
        <f t="shared" si="80"/>
        <v>86.67244028</v>
      </c>
    </row>
    <row r="1231" ht="15.75" customHeight="1">
      <c r="A1231" s="32">
        <f>IFERROR(__xludf.DUMMYFUNCTION("""COMPUTED_VALUE"""),44764.66666666667)</f>
        <v>44764.66667</v>
      </c>
      <c r="B1231" s="22">
        <f>IFERROR(__xludf.DUMMYFUNCTION("""COMPUTED_VALUE"""),3961.63)</f>
        <v>3961.63</v>
      </c>
      <c r="C1231" s="22">
        <f t="shared" si="10"/>
        <v>6345.877859</v>
      </c>
      <c r="D1231" s="25">
        <f>IFERROR(__xludf.DUMMYFUNCTION("""COMPUTED_VALUE"""),44744.99861111111)</f>
        <v>44744.99861</v>
      </c>
      <c r="E1231" s="22">
        <f>IFERROR(__xludf.DUMMYFUNCTION("""COMPUTED_VALUE"""),1.04272)</f>
        <v>1.04272</v>
      </c>
      <c r="F1231" s="22">
        <f t="shared" si="11"/>
        <v>578.1940779</v>
      </c>
      <c r="G1231" s="22">
        <f t="shared" si="79"/>
        <v>49.71231991</v>
      </c>
      <c r="H1231" s="22">
        <f t="shared" si="80"/>
        <v>93.54837245</v>
      </c>
    </row>
    <row r="1232" ht="15.75" customHeight="1">
      <c r="A1232" s="32">
        <f>IFERROR(__xludf.DUMMYFUNCTION("""COMPUTED_VALUE"""),44771.66666666667)</f>
        <v>44771.66667</v>
      </c>
      <c r="B1232" s="22">
        <f>IFERROR(__xludf.DUMMYFUNCTION("""COMPUTED_VALUE"""),4130.29)</f>
        <v>4130.29</v>
      </c>
      <c r="C1232" s="22">
        <f t="shared" si="10"/>
        <v>6618.484083</v>
      </c>
      <c r="D1232" s="25">
        <f>IFERROR(__xludf.DUMMYFUNCTION("""COMPUTED_VALUE"""),44751.99861111111)</f>
        <v>44751.99861</v>
      </c>
      <c r="E1232" s="22">
        <f>IFERROR(__xludf.DUMMYFUNCTION("""COMPUTED_VALUE"""),1.0183)</f>
        <v>1.0183</v>
      </c>
      <c r="F1232" s="22">
        <f t="shared" si="11"/>
        <v>617.4935407</v>
      </c>
      <c r="G1232" s="22">
        <f t="shared" si="79"/>
        <v>65.74606974</v>
      </c>
      <c r="H1232" s="22">
        <f t="shared" si="80"/>
        <v>107.4964724</v>
      </c>
    </row>
    <row r="1233" ht="15.75" customHeight="1">
      <c r="A1233" s="32">
        <f>IFERROR(__xludf.DUMMYFUNCTION("""COMPUTED_VALUE"""),44778.66666666667)</f>
        <v>44778.66667</v>
      </c>
      <c r="B1233" s="22">
        <f>IFERROR(__xludf.DUMMYFUNCTION("""COMPUTED_VALUE"""),4145.19)</f>
        <v>4145.19</v>
      </c>
      <c r="C1233" s="22">
        <f t="shared" si="10"/>
        <v>6644.905802</v>
      </c>
      <c r="D1233" s="25">
        <f>IFERROR(__xludf.DUMMYFUNCTION("""COMPUTED_VALUE"""),44758.99861111111)</f>
        <v>44758.99861</v>
      </c>
      <c r="E1233" s="22">
        <f>IFERROR(__xludf.DUMMYFUNCTION("""COMPUTED_VALUE"""),1.00946)</f>
        <v>1.00946</v>
      </c>
      <c r="F1233" s="22">
        <f t="shared" si="11"/>
        <v>625.3877183</v>
      </c>
      <c r="G1233" s="22">
        <f t="shared" si="79"/>
        <v>67.68925125</v>
      </c>
      <c r="H1233" s="22">
        <f t="shared" si="80"/>
        <v>116.7097455</v>
      </c>
    </row>
    <row r="1234" ht="15.75" customHeight="1">
      <c r="A1234" s="32">
        <f>IFERROR(__xludf.DUMMYFUNCTION("""COMPUTED_VALUE"""),44785.66666666667)</f>
        <v>44785.66667</v>
      </c>
      <c r="B1234" s="22">
        <f>IFERROR(__xludf.DUMMYFUNCTION("""COMPUTED_VALUE"""),4280.15)</f>
        <v>4280.15</v>
      </c>
      <c r="C1234" s="22">
        <f t="shared" si="10"/>
        <v>6863.807827</v>
      </c>
      <c r="D1234" s="25">
        <f>IFERROR(__xludf.DUMMYFUNCTION("""COMPUTED_VALUE"""),44765.99861111111)</f>
        <v>44765.99861</v>
      </c>
      <c r="E1234" s="22">
        <f>IFERROR(__xludf.DUMMYFUNCTION("""COMPUTED_VALUE"""),1.0212)</f>
        <v>1.0212</v>
      </c>
      <c r="F1234" s="22">
        <f t="shared" si="11"/>
        <v>638.5632833</v>
      </c>
      <c r="G1234" s="22">
        <f t="shared" si="79"/>
        <v>71.68355714</v>
      </c>
      <c r="H1234" s="22">
        <f t="shared" si="80"/>
        <v>124.403492</v>
      </c>
    </row>
    <row r="1235" ht="15.75" customHeight="1">
      <c r="A1235" s="32">
        <f>IFERROR(__xludf.DUMMYFUNCTION("""COMPUTED_VALUE"""),44792.66666666667)</f>
        <v>44792.66667</v>
      </c>
      <c r="B1235" s="22">
        <f>IFERROR(__xludf.DUMMYFUNCTION("""COMPUTED_VALUE"""),4228.48)</f>
        <v>4228.48</v>
      </c>
      <c r="C1235" s="22">
        <f t="shared" si="10"/>
        <v>6783.587818</v>
      </c>
      <c r="D1235" s="25">
        <f>IFERROR(__xludf.DUMMYFUNCTION("""COMPUTED_VALUE"""),44772.99861111111)</f>
        <v>44772.99861</v>
      </c>
      <c r="E1235" s="22">
        <f>IFERROR(__xludf.DUMMYFUNCTION("""COMPUTED_VALUE"""),1.02264)</f>
        <v>1.02264</v>
      </c>
      <c r="F1235" s="22">
        <f t="shared" si="11"/>
        <v>630.2114794</v>
      </c>
      <c r="G1235" s="22">
        <f t="shared" si="79"/>
        <v>71.56742379</v>
      </c>
      <c r="H1235" s="22">
        <f t="shared" si="80"/>
        <v>120.1721852</v>
      </c>
    </row>
    <row r="1236" ht="15.75" customHeight="1">
      <c r="A1236" s="32">
        <f>IFERROR(__xludf.DUMMYFUNCTION("""COMPUTED_VALUE"""),44799.66666666667)</f>
        <v>44799.66667</v>
      </c>
      <c r="B1236" s="22">
        <f>IFERROR(__xludf.DUMMYFUNCTION("""COMPUTED_VALUE"""),4057.66)</f>
        <v>4057.66</v>
      </c>
      <c r="C1236" s="22">
        <f t="shared" si="10"/>
        <v>6512.156935</v>
      </c>
      <c r="D1236" s="25">
        <f>IFERROR(__xludf.DUMMYFUNCTION("""COMPUTED_VALUE"""),44779.99861111111)</f>
        <v>44779.99861</v>
      </c>
      <c r="E1236" s="22">
        <f>IFERROR(__xludf.DUMMYFUNCTION("""COMPUTED_VALUE"""),1.01799)</f>
        <v>1.01799</v>
      </c>
      <c r="F1236" s="22">
        <f t="shared" si="11"/>
        <v>607.7584141</v>
      </c>
      <c r="G1236" s="22">
        <f t="shared" si="79"/>
        <v>63.5403015</v>
      </c>
      <c r="H1236" s="22">
        <f t="shared" si="80"/>
        <v>110.1766542</v>
      </c>
    </row>
    <row r="1237" ht="15.75" customHeight="1">
      <c r="A1237" s="32">
        <f>IFERROR(__xludf.DUMMYFUNCTION("""COMPUTED_VALUE"""),44806.66666666667)</f>
        <v>44806.66667</v>
      </c>
      <c r="B1237" s="22">
        <f>IFERROR(__xludf.DUMMYFUNCTION("""COMPUTED_VALUE"""),3924.26)</f>
        <v>3924.26</v>
      </c>
      <c r="C1237" s="22">
        <f t="shared" si="10"/>
        <v>6300.567346</v>
      </c>
      <c r="D1237" s="25">
        <f>IFERROR(__xludf.DUMMYFUNCTION("""COMPUTED_VALUE"""),44786.99861111111)</f>
        <v>44786.99861</v>
      </c>
      <c r="E1237" s="22">
        <f>IFERROR(__xludf.DUMMYFUNCTION("""COMPUTED_VALUE"""),1.02622)</f>
        <v>1.02622</v>
      </c>
      <c r="F1237" s="22">
        <f t="shared" si="11"/>
        <v>583.2957575</v>
      </c>
      <c r="G1237" s="22">
        <f t="shared" si="79"/>
        <v>51.20206907</v>
      </c>
      <c r="H1237" s="22">
        <f t="shared" si="80"/>
        <v>101.8818282</v>
      </c>
    </row>
    <row r="1238" ht="15.75" customHeight="1">
      <c r="A1238" s="32">
        <f>IFERROR(__xludf.DUMMYFUNCTION("""COMPUTED_VALUE"""),44813.66666666667)</f>
        <v>44813.66667</v>
      </c>
      <c r="B1238" s="22">
        <f>IFERROR(__xludf.DUMMYFUNCTION("""COMPUTED_VALUE"""),4067.36)</f>
        <v>4067.36</v>
      </c>
      <c r="C1238" s="22">
        <f t="shared" si="10"/>
        <v>6532.743814</v>
      </c>
      <c r="D1238" s="25">
        <f>IFERROR(__xludf.DUMMYFUNCTION("""COMPUTED_VALUE"""),44793.99861111111)</f>
        <v>44793.99861</v>
      </c>
      <c r="E1238" s="22">
        <f>IFERROR(__xludf.DUMMYFUNCTION("""COMPUTED_VALUE"""),1.0036)</f>
        <v>1.0036</v>
      </c>
      <c r="F1238" s="22">
        <f t="shared" si="11"/>
        <v>618.4215411</v>
      </c>
      <c r="G1238" s="22">
        <f t="shared" si="79"/>
        <v>60.72126106</v>
      </c>
      <c r="H1238" s="22">
        <f t="shared" si="80"/>
        <v>113.5751796</v>
      </c>
    </row>
    <row r="1239" ht="15.75" customHeight="1">
      <c r="A1239" s="32">
        <f>IFERROR(__xludf.DUMMYFUNCTION("""COMPUTED_VALUE"""),44820.66666666667)</f>
        <v>44820.66667</v>
      </c>
      <c r="B1239" s="22">
        <f>IFERROR(__xludf.DUMMYFUNCTION("""COMPUTED_VALUE"""),3873.33)</f>
        <v>3873.33</v>
      </c>
      <c r="C1239" s="22">
        <f t="shared" si="10"/>
        <v>6223.617339</v>
      </c>
      <c r="D1239" s="25">
        <f>IFERROR(__xludf.DUMMYFUNCTION("""COMPUTED_VALUE"""),44800.99861111111)</f>
        <v>44800.99861</v>
      </c>
      <c r="E1239" s="22">
        <f>IFERROR(__xludf.DUMMYFUNCTION("""COMPUTED_VALUE"""),0.9964)</f>
        <v>0.9964</v>
      </c>
      <c r="F1239" s="22">
        <f t="shared" si="11"/>
        <v>593.4153788</v>
      </c>
      <c r="G1239" s="22">
        <f t="shared" si="79"/>
        <v>51.86223076</v>
      </c>
      <c r="H1239" s="22">
        <f t="shared" si="80"/>
        <v>103.6160024</v>
      </c>
    </row>
    <row r="1240" ht="15.75" customHeight="1">
      <c r="A1240" s="32">
        <f>IFERROR(__xludf.DUMMYFUNCTION("""COMPUTED_VALUE"""),44827.66666666667)</f>
        <v>44827.66667</v>
      </c>
      <c r="B1240" s="22">
        <f>IFERROR(__xludf.DUMMYFUNCTION("""COMPUTED_VALUE"""),3693.23)</f>
        <v>3693.23</v>
      </c>
      <c r="C1240" s="22">
        <f t="shared" si="10"/>
        <v>5936.628651</v>
      </c>
      <c r="D1240" s="25">
        <f>IFERROR(__xludf.DUMMYFUNCTION("""COMPUTED_VALUE"""),44807.99861111111)</f>
        <v>44807.99861</v>
      </c>
      <c r="E1240" s="22">
        <f>IFERROR(__xludf.DUMMYFUNCTION("""COMPUTED_VALUE"""),0.9951)</f>
        <v>0.9951</v>
      </c>
      <c r="F1240" s="22">
        <f t="shared" si="11"/>
        <v>566.7907989</v>
      </c>
      <c r="G1240" s="22">
        <f t="shared" si="79"/>
        <v>48.01805503</v>
      </c>
      <c r="H1240" s="22">
        <f t="shared" si="80"/>
        <v>95.93235888</v>
      </c>
    </row>
    <row r="1241" ht="15.75" customHeight="1">
      <c r="A1241" s="32">
        <f>IFERROR(__xludf.DUMMYFUNCTION("""COMPUTED_VALUE"""),44834.66666666667)</f>
        <v>44834.66667</v>
      </c>
      <c r="B1241" s="22">
        <f>IFERROR(__xludf.DUMMYFUNCTION("""COMPUTED_VALUE"""),3585.62)</f>
        <v>3585.62</v>
      </c>
      <c r="C1241" s="22">
        <f t="shared" si="10"/>
        <v>5765.935846</v>
      </c>
      <c r="D1241" s="25">
        <f>IFERROR(__xludf.DUMMYFUNCTION("""COMPUTED_VALUE"""),44814.99861111111)</f>
        <v>44814.99861</v>
      </c>
      <c r="E1241" s="22">
        <f>IFERROR(__xludf.DUMMYFUNCTION("""COMPUTED_VALUE"""),1.0151)</f>
        <v>1.0151</v>
      </c>
      <c r="F1241" s="22">
        <f t="shared" si="11"/>
        <v>539.6480501</v>
      </c>
      <c r="G1241" s="22">
        <f t="shared" si="79"/>
        <v>41.72319995</v>
      </c>
      <c r="H1241" s="22">
        <f t="shared" si="80"/>
        <v>82.87769332</v>
      </c>
    </row>
    <row r="1242" ht="15.75" customHeight="1">
      <c r="A1242" s="32">
        <f>IFERROR(__xludf.DUMMYFUNCTION("""COMPUTED_VALUE"""),44841.66666666667)</f>
        <v>44841.66667</v>
      </c>
      <c r="B1242" s="22">
        <f>IFERROR(__xludf.DUMMYFUNCTION("""COMPUTED_VALUE"""),3639.66)</f>
        <v>3639.66</v>
      </c>
      <c r="C1242" s="22">
        <f t="shared" si="10"/>
        <v>5855.053735</v>
      </c>
      <c r="D1242" s="25">
        <f>IFERROR(__xludf.DUMMYFUNCTION("""COMPUTED_VALUE"""),44821.99861111111)</f>
        <v>44821.99861</v>
      </c>
      <c r="E1242" s="22">
        <f>IFERROR(__xludf.DUMMYFUNCTION("""COMPUTED_VALUE"""),1.00092)</f>
        <v>1.00092</v>
      </c>
      <c r="F1242" s="22">
        <f t="shared" si="11"/>
        <v>555.7521505</v>
      </c>
      <c r="G1242" s="22">
        <f t="shared" si="79"/>
        <v>43.16699344</v>
      </c>
      <c r="H1242" s="22">
        <f t="shared" si="80"/>
        <v>88.05834606</v>
      </c>
    </row>
    <row r="1243" ht="15.75" customHeight="1">
      <c r="A1243" s="32">
        <f>IFERROR(__xludf.DUMMYFUNCTION("""COMPUTED_VALUE"""),44848.66666666667)</f>
        <v>44848.66667</v>
      </c>
      <c r="B1243" s="22">
        <f>IFERROR(__xludf.DUMMYFUNCTION("""COMPUTED_VALUE"""),3583.07)</f>
        <v>3583.07</v>
      </c>
      <c r="C1243" s="22">
        <f t="shared" si="10"/>
        <v>5766.270392</v>
      </c>
      <c r="D1243" s="25">
        <f>IFERROR(__xludf.DUMMYFUNCTION("""COMPUTED_VALUE"""),44828.99861111111)</f>
        <v>44828.99861</v>
      </c>
      <c r="E1243" s="22">
        <f>IFERROR(__xludf.DUMMYFUNCTION("""COMPUTED_VALUE"""),0.9689)</f>
        <v>0.9689</v>
      </c>
      <c r="F1243" s="22">
        <f t="shared" si="11"/>
        <v>565.4128594</v>
      </c>
      <c r="G1243" s="22">
        <f t="shared" si="79"/>
        <v>43.83709681</v>
      </c>
      <c r="H1243" s="22">
        <f t="shared" si="80"/>
        <v>87.45625624</v>
      </c>
    </row>
    <row r="1244" ht="15.75" customHeight="1">
      <c r="A1244" s="32">
        <f>IFERROR(__xludf.DUMMYFUNCTION("""COMPUTED_VALUE"""),44855.66666666667)</f>
        <v>44855.66667</v>
      </c>
      <c r="B1244" s="22">
        <f>IFERROR(__xludf.DUMMYFUNCTION("""COMPUTED_VALUE"""),3752.75)</f>
        <v>3752.75</v>
      </c>
      <c r="C1244" s="22">
        <f t="shared" si="10"/>
        <v>6041.55591</v>
      </c>
      <c r="D1244" s="25">
        <f>IFERROR(__xludf.DUMMYFUNCTION("""COMPUTED_VALUE"""),44835.99861111111)</f>
        <v>44835.99861</v>
      </c>
      <c r="E1244" s="22">
        <f>IFERROR(__xludf.DUMMYFUNCTION("""COMPUTED_VALUE"""),0.9801)</f>
        <v>0.9801</v>
      </c>
      <c r="F1244" s="22">
        <f t="shared" si="11"/>
        <v>585.6363749</v>
      </c>
      <c r="G1244" s="22">
        <f t="shared" si="79"/>
        <v>47.65878009</v>
      </c>
      <c r="H1244" s="22">
        <f t="shared" si="80"/>
        <v>92.32145973</v>
      </c>
    </row>
    <row r="1245" ht="15.75" customHeight="1">
      <c r="A1245" s="32">
        <f>IFERROR(__xludf.DUMMYFUNCTION("""COMPUTED_VALUE"""),44862.66666666667)</f>
        <v>44862.66667</v>
      </c>
      <c r="B1245" s="22">
        <f>IFERROR(__xludf.DUMMYFUNCTION("""COMPUTED_VALUE"""),3901.06)</f>
        <v>3901.06</v>
      </c>
      <c r="C1245" s="22">
        <f t="shared" si="10"/>
        <v>6282.644</v>
      </c>
      <c r="D1245" s="25">
        <f>IFERROR(__xludf.DUMMYFUNCTION("""COMPUTED_VALUE"""),44842.99861111111)</f>
        <v>44842.99861</v>
      </c>
      <c r="E1245" s="22">
        <f>IFERROR(__xludf.DUMMYFUNCTION("""COMPUTED_VALUE"""),0.9744)</f>
        <v>0.9744</v>
      </c>
      <c r="F1245" s="22">
        <f t="shared" si="11"/>
        <v>612.5687113</v>
      </c>
      <c r="G1245" s="22">
        <f t="shared" si="79"/>
        <v>52.95049891</v>
      </c>
      <c r="H1245" s="22">
        <f t="shared" si="80"/>
        <v>102.0671563</v>
      </c>
    </row>
    <row r="1246" ht="15.75" customHeight="1">
      <c r="A1246" s="32">
        <f>IFERROR(__xludf.DUMMYFUNCTION("""COMPUTED_VALUE"""),44869.66666666667)</f>
        <v>44869.66667</v>
      </c>
      <c r="B1246" s="22">
        <f>IFERROR(__xludf.DUMMYFUNCTION("""COMPUTED_VALUE"""),3770.55)</f>
        <v>3770.55</v>
      </c>
      <c r="C1246" s="22">
        <f t="shared" si="10"/>
        <v>6074.874486</v>
      </c>
      <c r="D1246" s="25">
        <f>IFERROR(__xludf.DUMMYFUNCTION("""COMPUTED_VALUE"""),44849.99861111111)</f>
        <v>44849.99861</v>
      </c>
      <c r="E1246" s="22">
        <f>IFERROR(__xludf.DUMMYFUNCTION("""COMPUTED_VALUE"""),0.9718)</f>
        <v>0.9718</v>
      </c>
      <c r="F1246" s="22">
        <f t="shared" si="11"/>
        <v>593.8955191</v>
      </c>
      <c r="G1246" s="22">
        <f t="shared" si="79"/>
        <v>48.94589548</v>
      </c>
      <c r="H1246" s="22">
        <f t="shared" si="80"/>
        <v>95.58797288</v>
      </c>
    </row>
    <row r="1247" ht="15.75" customHeight="1">
      <c r="A1247" s="32">
        <f>IFERROR(__xludf.DUMMYFUNCTION("""COMPUTED_VALUE"""),44876.66666666667)</f>
        <v>44876.66667</v>
      </c>
      <c r="B1247" s="22">
        <f>IFERROR(__xludf.DUMMYFUNCTION("""COMPUTED_VALUE"""),3992.93)</f>
        <v>3992.93</v>
      </c>
      <c r="C1247" s="22">
        <f t="shared" si="10"/>
        <v>6435.495732</v>
      </c>
      <c r="D1247" s="25">
        <f>IFERROR(__xludf.DUMMYFUNCTION("""COMPUTED_VALUE"""),44856.99861111111)</f>
        <v>44856.99861</v>
      </c>
      <c r="E1247" s="22">
        <f>IFERROR(__xludf.DUMMYFUNCTION("""COMPUTED_VALUE"""),0.98547)</f>
        <v>0.98547</v>
      </c>
      <c r="F1247" s="22">
        <f t="shared" si="11"/>
        <v>620.4234905</v>
      </c>
      <c r="G1247" s="22">
        <f t="shared" si="79"/>
        <v>52.74111452</v>
      </c>
      <c r="H1247" s="22">
        <f t="shared" si="80"/>
        <v>101.5328397</v>
      </c>
    </row>
    <row r="1248" ht="15.75" customHeight="1">
      <c r="A1248" s="32">
        <f>IFERROR(__xludf.DUMMYFUNCTION("""COMPUTED_VALUE"""),44883.66666666667)</f>
        <v>44883.66667</v>
      </c>
      <c r="B1248" s="22">
        <f>IFERROR(__xludf.DUMMYFUNCTION("""COMPUTED_VALUE"""),3965.34)</f>
        <v>3965.34</v>
      </c>
      <c r="C1248" s="22">
        <f t="shared" si="10"/>
        <v>6393.503495</v>
      </c>
      <c r="D1248" s="25">
        <f>IFERROR(__xludf.DUMMYFUNCTION("""COMPUTED_VALUE"""),44863.99861111111)</f>
        <v>44863.99861</v>
      </c>
      <c r="E1248" s="22">
        <f>IFERROR(__xludf.DUMMYFUNCTION("""COMPUTED_VALUE"""),0.99601)</f>
        <v>0.99601</v>
      </c>
      <c r="F1248" s="22">
        <f t="shared" si="11"/>
        <v>609.8525472</v>
      </c>
      <c r="G1248" s="22">
        <f t="shared" si="79"/>
        <v>51.75388265</v>
      </c>
      <c r="H1248" s="22">
        <f t="shared" si="80"/>
        <v>96.39915213</v>
      </c>
    </row>
    <row r="1249" ht="15.75" customHeight="1">
      <c r="A1249" s="32">
        <f>IFERROR(__xludf.DUMMYFUNCTION("""COMPUTED_VALUE"""),44890.54166666667)</f>
        <v>44890.54167</v>
      </c>
      <c r="B1249" s="22">
        <f>IFERROR(__xludf.DUMMYFUNCTION("""COMPUTED_VALUE"""),4026.12)</f>
        <v>4026.12</v>
      </c>
      <c r="C1249" s="22">
        <f t="shared" si="10"/>
        <v>6493.960977</v>
      </c>
      <c r="D1249" s="25">
        <f>IFERROR(__xludf.DUMMYFUNCTION("""COMPUTED_VALUE"""),44870.99861111111)</f>
        <v>44870.99861</v>
      </c>
      <c r="E1249" s="22">
        <f>IFERROR(__xludf.DUMMYFUNCTION("""COMPUTED_VALUE"""),0.983)</f>
        <v>0.983</v>
      </c>
      <c r="F1249" s="22">
        <f t="shared" si="11"/>
        <v>627.6330298</v>
      </c>
      <c r="G1249" s="22">
        <f t="shared" si="79"/>
        <v>52.56654349</v>
      </c>
      <c r="H1249" s="22">
        <f t="shared" si="80"/>
        <v>99.81029058</v>
      </c>
    </row>
    <row r="1250" ht="15.75" customHeight="1">
      <c r="A1250" s="32">
        <f>IFERROR(__xludf.DUMMYFUNCTION("""COMPUTED_VALUE"""),44897.66666666667)</f>
        <v>44897.66667</v>
      </c>
      <c r="B1250" s="22">
        <f>IFERROR(__xludf.DUMMYFUNCTION("""COMPUTED_VALUE"""),4071.7)</f>
        <v>4071.7</v>
      </c>
      <c r="C1250" s="22">
        <f t="shared" si="10"/>
        <v>6569.977263</v>
      </c>
      <c r="D1250" s="25">
        <f>IFERROR(__xludf.DUMMYFUNCTION("""COMPUTED_VALUE"""),44877.99861111111)</f>
        <v>44877.99861</v>
      </c>
      <c r="E1250" s="22">
        <f>IFERROR(__xludf.DUMMYFUNCTION("""COMPUTED_VALUE"""),1.036)</f>
        <v>1.036</v>
      </c>
      <c r="F1250" s="22">
        <f t="shared" si="11"/>
        <v>602.4954134</v>
      </c>
      <c r="G1250" s="22">
        <f t="shared" si="79"/>
        <v>46.57363006</v>
      </c>
      <c r="H1250" s="22">
        <f t="shared" si="80"/>
        <v>93.213646</v>
      </c>
    </row>
    <row r="1251" ht="15.75" customHeight="1">
      <c r="A1251" s="32">
        <f>IFERROR(__xludf.DUMMYFUNCTION("""COMPUTED_VALUE"""),44904.66666666667)</f>
        <v>44904.66667</v>
      </c>
      <c r="B1251" s="22">
        <f>IFERROR(__xludf.DUMMYFUNCTION("""COMPUTED_VALUE"""),3934.38)</f>
        <v>3934.38</v>
      </c>
      <c r="C1251" s="22">
        <f t="shared" si="10"/>
        <v>6350.9286</v>
      </c>
      <c r="D1251" s="25">
        <f>IFERROR(__xludf.DUMMYFUNCTION("""COMPUTED_VALUE"""),44884.99861111111)</f>
        <v>44884.99861</v>
      </c>
      <c r="E1251" s="22">
        <f>IFERROR(__xludf.DUMMYFUNCTION("""COMPUTED_VALUE"""),1.0344)</f>
        <v>1.0344</v>
      </c>
      <c r="F1251" s="22">
        <f t="shared" si="11"/>
        <v>583.3085635</v>
      </c>
      <c r="G1251" s="22">
        <f t="shared" si="79"/>
        <v>40.43962778</v>
      </c>
      <c r="H1251" s="22">
        <f t="shared" si="80"/>
        <v>87.39064654</v>
      </c>
    </row>
    <row r="1252" ht="15.75" customHeight="1">
      <c r="A1252" s="32">
        <f>IFERROR(__xludf.DUMMYFUNCTION("""COMPUTED_VALUE"""),44911.66666666667)</f>
        <v>44911.66667</v>
      </c>
      <c r="B1252" s="22">
        <f>IFERROR(__xludf.DUMMYFUNCTION("""COMPUTED_VALUE"""),3852.36)</f>
        <v>3852.36</v>
      </c>
      <c r="C1252" s="22">
        <f t="shared" si="10"/>
        <v>6220.973488</v>
      </c>
      <c r="D1252" s="25">
        <f>IFERROR(__xludf.DUMMYFUNCTION("""COMPUTED_VALUE"""),44891.99861111111)</f>
        <v>44891.99861</v>
      </c>
      <c r="E1252" s="22">
        <f>IFERROR(__xludf.DUMMYFUNCTION("""COMPUTED_VALUE"""),1.0413)</f>
        <v>1.0413</v>
      </c>
      <c r="F1252" s="22">
        <f t="shared" si="11"/>
        <v>567.586577</v>
      </c>
      <c r="G1252" s="22">
        <f t="shared" si="79"/>
        <v>34.3796758</v>
      </c>
      <c r="H1252" s="22">
        <f t="shared" si="80"/>
        <v>81.17954405</v>
      </c>
    </row>
    <row r="1253" ht="15.75" customHeight="1">
      <c r="A1253" s="32">
        <f>IFERROR(__xludf.DUMMYFUNCTION("""COMPUTED_VALUE"""),44918.66666666667)</f>
        <v>44918.66667</v>
      </c>
      <c r="B1253" s="22">
        <f>IFERROR(__xludf.DUMMYFUNCTION("""COMPUTED_VALUE"""),3844.82)</f>
        <v>3844.82</v>
      </c>
      <c r="C1253" s="22">
        <f t="shared" si="10"/>
        <v>6211.190221</v>
      </c>
      <c r="D1253" s="25">
        <f>IFERROR(__xludf.DUMMYFUNCTION("""COMPUTED_VALUE"""),44898.99861111111)</f>
        <v>44898.99861</v>
      </c>
      <c r="E1253" s="22">
        <f>IFERROR(__xludf.DUMMYFUNCTION("""COMPUTED_VALUE"""),1.0536)</f>
        <v>1.0536</v>
      </c>
      <c r="F1253" s="22">
        <f t="shared" si="11"/>
        <v>560.0782427</v>
      </c>
      <c r="G1253" s="22">
        <f t="shared" si="79"/>
        <v>32.21154913</v>
      </c>
      <c r="H1253" s="22">
        <f t="shared" si="80"/>
        <v>77.43361439</v>
      </c>
    </row>
    <row r="1254" ht="15.75" customHeight="1">
      <c r="A1254" s="32">
        <f>IFERROR(__xludf.DUMMYFUNCTION("""COMPUTED_VALUE"""),44925.66666666667)</f>
        <v>44925.66667</v>
      </c>
      <c r="B1254" s="22">
        <f>IFERROR(__xludf.DUMMYFUNCTION("""COMPUTED_VALUE"""),3839.5)</f>
        <v>3839.5</v>
      </c>
      <c r="C1254" s="22">
        <f t="shared" si="10"/>
        <v>6204.984842</v>
      </c>
      <c r="D1254" s="25">
        <f>IFERROR(__xludf.DUMMYFUNCTION("""COMPUTED_VALUE"""),44905.99861111111)</f>
        <v>44905.99861</v>
      </c>
      <c r="E1254" s="22">
        <f>IFERROR(__xludf.DUMMYFUNCTION("""COMPUTED_VALUE"""),1.054)</f>
        <v>1.054</v>
      </c>
      <c r="F1254" s="22">
        <f t="shared" si="11"/>
        <v>559.3063474</v>
      </c>
      <c r="G1254" s="22">
        <f t="shared" si="79"/>
        <v>32.92477362</v>
      </c>
      <c r="H1254" s="22">
        <f t="shared" si="80"/>
        <v>72.51368102</v>
      </c>
    </row>
    <row r="1255" ht="15.75" customHeight="1">
      <c r="A1255" s="32">
        <f>IFERROR(__xludf.DUMMYFUNCTION("""COMPUTED_VALUE"""),44932.66666666667)</f>
        <v>44932.66667</v>
      </c>
      <c r="B1255" s="22">
        <f>IFERROR(__xludf.DUMMYFUNCTION("""COMPUTED_VALUE"""),3895.08)</f>
        <v>3895.08</v>
      </c>
      <c r="C1255" s="22">
        <f t="shared" si="10"/>
        <v>6297.193762</v>
      </c>
      <c r="D1255" s="25">
        <f>IFERROR(__xludf.DUMMYFUNCTION("""COMPUTED_VALUE"""),44912.99861111111)</f>
        <v>44912.99861</v>
      </c>
      <c r="E1255" s="22">
        <f>IFERROR(__xludf.DUMMYFUNCTION("""COMPUTED_VALUE"""),1.0593)</f>
        <v>1.0593</v>
      </c>
      <c r="F1255" s="22">
        <f t="shared" si="11"/>
        <v>564.7779312</v>
      </c>
      <c r="G1255" s="22">
        <f t="shared" si="79"/>
        <v>32.43653513</v>
      </c>
      <c r="H1255" s="22">
        <f t="shared" si="80"/>
        <v>72.93133201</v>
      </c>
    </row>
    <row r="1256" ht="15.75" customHeight="1">
      <c r="A1256" s="32">
        <f>IFERROR(__xludf.DUMMYFUNCTION("""COMPUTED_VALUE"""),44939.66666666667)</f>
        <v>44939.66667</v>
      </c>
      <c r="B1256" s="22">
        <f>IFERROR(__xludf.DUMMYFUNCTION("""COMPUTED_VALUE"""),3999.09)</f>
        <v>3999.09</v>
      </c>
      <c r="C1256" s="22">
        <f t="shared" si="10"/>
        <v>6467.769205</v>
      </c>
      <c r="D1256" s="25">
        <f>IFERROR(__xludf.DUMMYFUNCTION("""COMPUTED_VALUE"""),44919.99861111111)</f>
        <v>44919.99861</v>
      </c>
      <c r="E1256" s="22">
        <f>IFERROR(__xludf.DUMMYFUNCTION("""COMPUTED_VALUE"""),1.0665)</f>
        <v>1.0665</v>
      </c>
      <c r="F1256" s="22">
        <f t="shared" si="11"/>
        <v>576.1602446</v>
      </c>
      <c r="G1256" s="22">
        <f t="shared" si="79"/>
        <v>33.64950817</v>
      </c>
      <c r="H1256" s="22">
        <f t="shared" si="80"/>
        <v>76.88896235</v>
      </c>
    </row>
    <row r="1257" ht="15.75" customHeight="1">
      <c r="A1257" s="32">
        <f>IFERROR(__xludf.DUMMYFUNCTION("""COMPUTED_VALUE"""),44946.66666666667)</f>
        <v>44946.66667</v>
      </c>
      <c r="B1257" s="22">
        <f>IFERROR(__xludf.DUMMYFUNCTION("""COMPUTED_VALUE"""),3972.61)</f>
        <v>3972.61</v>
      </c>
      <c r="C1257" s="22">
        <f t="shared" si="10"/>
        <v>6427.430434</v>
      </c>
      <c r="D1257" s="25">
        <f>IFERROR(__xludf.DUMMYFUNCTION("""COMPUTED_VALUE"""),44926.99861111111)</f>
        <v>44926.99861</v>
      </c>
      <c r="E1257" s="22">
        <f>IFERROR(__xludf.DUMMYFUNCTION("""COMPUTED_VALUE"""),1.0725)</f>
        <v>1.0725</v>
      </c>
      <c r="F1257" s="22">
        <f t="shared" si="11"/>
        <v>569.3636251</v>
      </c>
      <c r="G1257" s="22">
        <f t="shared" si="79"/>
        <v>33.10329918</v>
      </c>
      <c r="H1257" s="22">
        <f t="shared" si="80"/>
        <v>71.37255275</v>
      </c>
    </row>
    <row r="1258" ht="15.75" customHeight="1">
      <c r="A1258" s="32">
        <f>IFERROR(__xludf.DUMMYFUNCTION("""COMPUTED_VALUE"""),44953.66666666667)</f>
        <v>44953.66667</v>
      </c>
      <c r="B1258" s="22">
        <f>IFERROR(__xludf.DUMMYFUNCTION("""COMPUTED_VALUE"""),4070.56)</f>
        <v>4070.56</v>
      </c>
      <c r="C1258" s="22">
        <f t="shared" si="10"/>
        <v>6588.379395</v>
      </c>
      <c r="D1258" s="25">
        <f>IFERROR(__xludf.DUMMYFUNCTION("""COMPUTED_VALUE"""),44933.99861111111)</f>
        <v>44933.99861</v>
      </c>
      <c r="E1258" s="22">
        <f>IFERROR(__xludf.DUMMYFUNCTION("""COMPUTED_VALUE"""),1.0662)</f>
        <v>1.0662</v>
      </c>
      <c r="F1258" s="22">
        <f t="shared" si="11"/>
        <v>587.0695514</v>
      </c>
      <c r="G1258" s="22">
        <f t="shared" si="79"/>
        <v>39.76157787</v>
      </c>
      <c r="H1258" s="22">
        <f t="shared" si="80"/>
        <v>86.26345321</v>
      </c>
    </row>
    <row r="1259" ht="15.75" customHeight="1">
      <c r="A1259" s="32">
        <f>IFERROR(__xludf.DUMMYFUNCTION("""COMPUTED_VALUE"""),44960.66666666667)</f>
        <v>44960.66667</v>
      </c>
      <c r="B1259" s="22">
        <f>IFERROR(__xludf.DUMMYFUNCTION("""COMPUTED_VALUE"""),4136.48)</f>
        <v>4136.48</v>
      </c>
      <c r="C1259" s="22">
        <f t="shared" si="10"/>
        <v>6697.607791</v>
      </c>
      <c r="D1259" s="25">
        <f>IFERROR(__xludf.DUMMYFUNCTION("""COMPUTED_VALUE"""),44940.99861111111)</f>
        <v>44940.99861</v>
      </c>
      <c r="E1259" s="22">
        <f>IFERROR(__xludf.DUMMYFUNCTION("""COMPUTED_VALUE"""),1.0842)</f>
        <v>1.0842</v>
      </c>
      <c r="F1259" s="22">
        <f t="shared" si="11"/>
        <v>586.8943693</v>
      </c>
      <c r="G1259" s="22">
        <f t="shared" si="79"/>
        <v>34.98922849</v>
      </c>
      <c r="H1259" s="22">
        <f t="shared" si="80"/>
        <v>96.66576623</v>
      </c>
    </row>
    <row r="1260" ht="15.75" customHeight="1">
      <c r="A1260" s="32">
        <f>IFERROR(__xludf.DUMMYFUNCTION("""COMPUTED_VALUE"""),44967.66666666667)</f>
        <v>44967.66667</v>
      </c>
      <c r="B1260" s="22">
        <f>IFERROR(__xludf.DUMMYFUNCTION("""COMPUTED_VALUE"""),4090.46)</f>
        <v>4090.46</v>
      </c>
      <c r="C1260" s="22">
        <f t="shared" si="10"/>
        <v>6625.670219</v>
      </c>
      <c r="D1260" s="25">
        <f>IFERROR(__xludf.DUMMYFUNCTION("""COMPUTED_VALUE"""),44947.99861111111)</f>
        <v>44947.99861</v>
      </c>
      <c r="E1260" s="22">
        <f>IFERROR(__xludf.DUMMYFUNCTION("""COMPUTED_VALUE"""),1.0876)</f>
        <v>1.0876</v>
      </c>
      <c r="F1260" s="22">
        <f t="shared" si="11"/>
        <v>578.7756494</v>
      </c>
      <c r="G1260" s="22">
        <f t="shared" si="79"/>
        <v>30.26232586</v>
      </c>
      <c r="H1260" s="22">
        <f t="shared" si="80"/>
        <v>88.91801799</v>
      </c>
    </row>
    <row r="1261" ht="15.75" customHeight="1">
      <c r="A1261" s="32">
        <f>IFERROR(__xludf.DUMMYFUNCTION("""COMPUTED_VALUE"""),44974.66666666667)</f>
        <v>44974.66667</v>
      </c>
      <c r="B1261" s="22">
        <f>IFERROR(__xludf.DUMMYFUNCTION("""COMPUTED_VALUE"""),4079.09)</f>
        <v>4079.09</v>
      </c>
      <c r="C1261" s="22">
        <f t="shared" si="10"/>
        <v>6609.801586</v>
      </c>
      <c r="D1261" s="25">
        <f>IFERROR(__xludf.DUMMYFUNCTION("""COMPUTED_VALUE"""),44954.99861111111)</f>
        <v>44954.99861</v>
      </c>
      <c r="E1261" s="22">
        <f>IFERROR(__xludf.DUMMYFUNCTION("""COMPUTED_VALUE"""),1.0871)</f>
        <v>1.0871</v>
      </c>
      <c r="F1261" s="22">
        <f t="shared" si="11"/>
        <v>577.6550325</v>
      </c>
      <c r="G1261" s="22">
        <f t="shared" si="79"/>
        <v>32.43319918</v>
      </c>
      <c r="H1261" s="22">
        <f t="shared" si="80"/>
        <v>88.06738105</v>
      </c>
    </row>
    <row r="1262" ht="15.75" customHeight="1">
      <c r="A1262" s="32">
        <f>IFERROR(__xludf.DUMMYFUNCTION("""COMPUTED_VALUE"""),44981.66666666667)</f>
        <v>44981.66667</v>
      </c>
      <c r="B1262" s="22">
        <f>IFERROR(__xludf.DUMMYFUNCTION("""COMPUTED_VALUE"""),3970.04)</f>
        <v>3970.04</v>
      </c>
      <c r="C1262" s="22">
        <f t="shared" si="10"/>
        <v>6435.638017</v>
      </c>
      <c r="D1262" s="25">
        <f>IFERROR(__xludf.DUMMYFUNCTION("""COMPUTED_VALUE"""),44961.99861111111)</f>
        <v>44961.99861</v>
      </c>
      <c r="E1262" s="22">
        <f>IFERROR(__xludf.DUMMYFUNCTION("""COMPUTED_VALUE"""),1.0822)</f>
        <v>1.0822</v>
      </c>
      <c r="F1262" s="22">
        <f t="shared" si="11"/>
        <v>564.9808308</v>
      </c>
      <c r="G1262" s="22">
        <f t="shared" si="79"/>
        <v>44.26388722</v>
      </c>
      <c r="H1262" s="22">
        <f t="shared" si="80"/>
        <v>84.42959604</v>
      </c>
    </row>
    <row r="1263" ht="15.75" customHeight="1">
      <c r="A1263" s="32">
        <f>IFERROR(__xludf.DUMMYFUNCTION("""COMPUTED_VALUE"""),44988.66666666667)</f>
        <v>44988.66667</v>
      </c>
      <c r="B1263" s="22">
        <f>IFERROR(__xludf.DUMMYFUNCTION("""COMPUTED_VALUE"""),4045.64)</f>
        <v>4045.64</v>
      </c>
      <c r="C1263" s="22">
        <f t="shared" si="10"/>
        <v>6560.664731</v>
      </c>
      <c r="D1263" s="25">
        <f>IFERROR(__xludf.DUMMYFUNCTION("""COMPUTED_VALUE"""),44968.99861111111)</f>
        <v>44968.99861</v>
      </c>
      <c r="E1263" s="22">
        <f>IFERROR(__xludf.DUMMYFUNCTION("""COMPUTED_VALUE"""),1.0696)</f>
        <v>1.0696</v>
      </c>
      <c r="F1263" s="22">
        <f t="shared" si="11"/>
        <v>582.7416836</v>
      </c>
      <c r="G1263" s="22">
        <f t="shared" si="79"/>
        <v>46.32203681</v>
      </c>
      <c r="H1263" s="22">
        <f t="shared" si="80"/>
        <v>86.0819444</v>
      </c>
    </row>
    <row r="1264" ht="15.75" customHeight="1">
      <c r="A1264" s="32">
        <f>IFERROR(__xludf.DUMMYFUNCTION("""COMPUTED_VALUE"""),44995.66666666667)</f>
        <v>44995.66667</v>
      </c>
      <c r="B1264" s="22">
        <f>IFERROR(__xludf.DUMMYFUNCTION("""COMPUTED_VALUE"""),3861.59)</f>
        <v>3861.59</v>
      </c>
      <c r="C1264" s="22">
        <f t="shared" si="10"/>
        <v>6264.720987</v>
      </c>
      <c r="D1264" s="25">
        <f>IFERROR(__xludf.DUMMYFUNCTION("""COMPUTED_VALUE"""),44975.99861111111)</f>
        <v>44975.99861</v>
      </c>
      <c r="E1264" s="22">
        <f>IFERROR(__xludf.DUMMYFUNCTION("""COMPUTED_VALUE"""),1.0715)</f>
        <v>1.0715</v>
      </c>
      <c r="F1264" s="22">
        <f t="shared" si="11"/>
        <v>555.4681886</v>
      </c>
      <c r="G1264" s="22">
        <f t="shared" si="79"/>
        <v>53.06961721</v>
      </c>
      <c r="H1264" s="22">
        <f t="shared" si="80"/>
        <v>77.89522721</v>
      </c>
    </row>
    <row r="1265" ht="15.75" customHeight="1">
      <c r="A1265" s="32">
        <f>IFERROR(__xludf.DUMMYFUNCTION("""COMPUTED_VALUE"""),45002.66666666667)</f>
        <v>45002.66667</v>
      </c>
      <c r="B1265" s="22">
        <f>IFERROR(__xludf.DUMMYFUNCTION("""COMPUTED_VALUE"""),3916.64)</f>
        <v>3916.64</v>
      </c>
      <c r="C1265" s="22">
        <f t="shared" si="10"/>
        <v>6356.439016</v>
      </c>
      <c r="D1265" s="25">
        <f>IFERROR(__xludf.DUMMYFUNCTION("""COMPUTED_VALUE"""),44982.99861111111)</f>
        <v>44982.99861</v>
      </c>
      <c r="E1265" s="22">
        <f>IFERROR(__xludf.DUMMYFUNCTION("""COMPUTED_VALUE"""),1.0571)</f>
        <v>1.0571</v>
      </c>
      <c r="F1265" s="22">
        <f t="shared" si="11"/>
        <v>571.2779293</v>
      </c>
      <c r="G1265" s="22">
        <f t="shared" si="79"/>
        <v>88.18001464</v>
      </c>
      <c r="H1265" s="22">
        <f t="shared" si="80"/>
        <v>94.8337319</v>
      </c>
    </row>
    <row r="1266" ht="15.75" customHeight="1">
      <c r="A1266" s="32">
        <f>IFERROR(__xludf.DUMMYFUNCTION("""COMPUTED_VALUE"""),45009.66666666667)</f>
        <v>45009.66667</v>
      </c>
      <c r="B1266" s="22">
        <f>IFERROR(__xludf.DUMMYFUNCTION("""COMPUTED_VALUE"""),3970.99)</f>
        <v>3970.99</v>
      </c>
      <c r="C1266" s="22">
        <f t="shared" si="10"/>
        <v>6447.090136</v>
      </c>
      <c r="D1266" s="25">
        <f>IFERROR(__xludf.DUMMYFUNCTION("""COMPUTED_VALUE"""),44989.99861111111)</f>
        <v>44989.99861</v>
      </c>
      <c r="E1266" s="22">
        <f>IFERROR(__xludf.DUMMYFUNCTION("""COMPUTED_VALUE"""),1.0649)</f>
        <v>1.0649</v>
      </c>
      <c r="F1266" s="22">
        <f t="shared" si="11"/>
        <v>575.1810231</v>
      </c>
      <c r="G1266" s="22">
        <f t="shared" si="79"/>
        <v>75.79001203</v>
      </c>
      <c r="H1266" s="22">
        <f t="shared" si="80"/>
        <v>92.01290638</v>
      </c>
    </row>
    <row r="1267" ht="15.75" customHeight="1">
      <c r="A1267" s="32">
        <f>IFERROR(__xludf.DUMMYFUNCTION("""COMPUTED_VALUE"""),45016.66666666667)</f>
        <v>45016.66667</v>
      </c>
      <c r="B1267" s="22">
        <f>IFERROR(__xludf.DUMMYFUNCTION("""COMPUTED_VALUE"""),4109.31)</f>
        <v>4109.31</v>
      </c>
      <c r="C1267" s="22">
        <f t="shared" si="10"/>
        <v>6674.13885</v>
      </c>
      <c r="D1267" s="25">
        <f>IFERROR(__xludf.DUMMYFUNCTION("""COMPUTED_VALUE"""),44996.99861111111)</f>
        <v>44996.99861</v>
      </c>
      <c r="E1267" s="22">
        <f>IFERROR(__xludf.DUMMYFUNCTION("""COMPUTED_VALUE"""),1.0645)</f>
        <v>1.0645</v>
      </c>
      <c r="F1267" s="22">
        <f t="shared" si="11"/>
        <v>595.6610542</v>
      </c>
      <c r="G1267" s="22">
        <f t="shared" si="79"/>
        <v>83.4852088</v>
      </c>
      <c r="H1267" s="22">
        <f t="shared" si="80"/>
        <v>101.3537406</v>
      </c>
    </row>
    <row r="1268" ht="15.75" customHeight="1">
      <c r="A1268" s="32">
        <f>IFERROR(__xludf.DUMMYFUNCTION("""COMPUTED_VALUE"""),45022.66666666667)</f>
        <v>45022.66667</v>
      </c>
      <c r="B1268" s="22">
        <f>IFERROR(__xludf.DUMMYFUNCTION("""COMPUTED_VALUE"""),4105.02)</f>
        <v>4105.02</v>
      </c>
      <c r="C1268" s="22">
        <f t="shared" si="10"/>
        <v>6669.73822</v>
      </c>
      <c r="D1268" s="25">
        <f>IFERROR(__xludf.DUMMYFUNCTION("""COMPUTED_VALUE"""),45003.99861111111)</f>
        <v>45003.99861</v>
      </c>
      <c r="E1268" s="22">
        <f>IFERROR(__xludf.DUMMYFUNCTION("""COMPUTED_VALUE"""),1.0774)</f>
        <v>1.0774</v>
      </c>
      <c r="F1268" s="22">
        <f t="shared" si="11"/>
        <v>588.1409943</v>
      </c>
      <c r="G1268" s="22">
        <f t="shared" si="79"/>
        <v>56.03119825</v>
      </c>
      <c r="H1268" s="22">
        <f t="shared" si="80"/>
        <v>95.84168151</v>
      </c>
    </row>
    <row r="1269" ht="15.75" customHeight="1">
      <c r="A1269" s="32">
        <f>IFERROR(__xludf.DUMMYFUNCTION("""COMPUTED_VALUE"""),45030.66666666667)</f>
        <v>45030.66667</v>
      </c>
      <c r="B1269" s="22">
        <f>IFERROR(__xludf.DUMMYFUNCTION("""COMPUTED_VALUE"""),4137.64)</f>
        <v>4137.64</v>
      </c>
      <c r="C1269" s="22">
        <f t="shared" si="10"/>
        <v>6725.303699</v>
      </c>
      <c r="D1269" s="25">
        <f>IFERROR(__xludf.DUMMYFUNCTION("""COMPUTED_VALUE"""),45010.99861111111)</f>
        <v>45010.99861</v>
      </c>
      <c r="E1269" s="22">
        <f>IFERROR(__xludf.DUMMYFUNCTION("""COMPUTED_VALUE"""),1.0781)</f>
        <v>1.0781</v>
      </c>
      <c r="F1269" s="22">
        <f t="shared" si="11"/>
        <v>592.6557315</v>
      </c>
      <c r="G1269" s="22">
        <f t="shared" si="79"/>
        <v>58.27786977</v>
      </c>
      <c r="H1269" s="22">
        <f t="shared" si="80"/>
        <v>95.81820733</v>
      </c>
    </row>
    <row r="1270" ht="15.75" customHeight="1">
      <c r="A1270" s="32">
        <f>IFERROR(__xludf.DUMMYFUNCTION("""COMPUTED_VALUE"""),45037.66666666667)</f>
        <v>45037.66667</v>
      </c>
      <c r="B1270" s="22">
        <f>IFERROR(__xludf.DUMMYFUNCTION("""COMPUTED_VALUE"""),4133.52)</f>
        <v>4133.52</v>
      </c>
      <c r="C1270" s="22">
        <f t="shared" si="10"/>
        <v>6721.193722</v>
      </c>
      <c r="D1270" s="25">
        <f>IFERROR(__xludf.DUMMYFUNCTION("""COMPUTED_VALUE"""),45017.99861111111)</f>
        <v>45017.99861</v>
      </c>
      <c r="E1270" s="22">
        <f>IFERROR(__xludf.DUMMYFUNCTION("""COMPUTED_VALUE"""),1.0869)</f>
        <v>1.0869</v>
      </c>
      <c r="F1270" s="22">
        <f t="shared" si="11"/>
        <v>587.498089</v>
      </c>
      <c r="G1270" s="22">
        <f t="shared" si="79"/>
        <v>53.7066647</v>
      </c>
      <c r="H1270" s="22">
        <f t="shared" si="80"/>
        <v>93.55248545</v>
      </c>
    </row>
    <row r="1271" ht="15.75" customHeight="1">
      <c r="A1271" s="32">
        <f>IFERROR(__xludf.DUMMYFUNCTION("""COMPUTED_VALUE"""),45044.66666666667)</f>
        <v>45044.66667</v>
      </c>
      <c r="B1271" s="22">
        <f>IFERROR(__xludf.DUMMYFUNCTION("""COMPUTED_VALUE"""),4169.48)</f>
        <v>4169.48</v>
      </c>
      <c r="C1271" s="22">
        <f t="shared" si="10"/>
        <v>6782.250541</v>
      </c>
      <c r="D1271" s="25">
        <f>IFERROR(__xludf.DUMMYFUNCTION("""COMPUTED_VALUE"""),45024.99861111111)</f>
        <v>45024.99861</v>
      </c>
      <c r="E1271" s="22">
        <f>IFERROR(__xludf.DUMMYFUNCTION("""COMPUTED_VALUE"""),1.0993)</f>
        <v>1.0993</v>
      </c>
      <c r="F1271" s="22">
        <f t="shared" si="11"/>
        <v>586.1479291</v>
      </c>
      <c r="G1271" s="22">
        <f t="shared" si="79"/>
        <v>55.55555161</v>
      </c>
      <c r="H1271" s="22">
        <f t="shared" si="80"/>
        <v>94.25893556</v>
      </c>
    </row>
    <row r="1272" ht="15.75" customHeight="1">
      <c r="A1272" s="32">
        <f>IFERROR(__xludf.DUMMYFUNCTION("""COMPUTED_VALUE"""),45051.66666666667)</f>
        <v>45051.66667</v>
      </c>
      <c r="B1272" s="22">
        <f>IFERROR(__xludf.DUMMYFUNCTION("""COMPUTED_VALUE"""),4136.25)</f>
        <v>4136.25</v>
      </c>
      <c r="C1272" s="22">
        <f t="shared" si="10"/>
        <v>6730.805791</v>
      </c>
      <c r="D1272" s="25">
        <f>IFERROR(__xludf.DUMMYFUNCTION("""COMPUTED_VALUE"""),45031.99861111111)</f>
        <v>45031.99861</v>
      </c>
      <c r="E1272" s="22">
        <f>IFERROR(__xludf.DUMMYFUNCTION("""COMPUTED_VALUE"""),1.1101)</f>
        <v>1.1101</v>
      </c>
      <c r="F1272" s="22">
        <f t="shared" si="11"/>
        <v>576.0425856</v>
      </c>
      <c r="G1272" s="22">
        <f t="shared" si="79"/>
        <v>46.82481428</v>
      </c>
      <c r="H1272" s="22">
        <f t="shared" si="80"/>
        <v>85.7358275</v>
      </c>
    </row>
    <row r="1273" ht="15.75" customHeight="1">
      <c r="A1273" s="32">
        <f>IFERROR(__xludf.DUMMYFUNCTION("""COMPUTED_VALUE"""),45058.66666666667)</f>
        <v>45058.66667</v>
      </c>
      <c r="B1273" s="22">
        <f>IFERROR(__xludf.DUMMYFUNCTION("""COMPUTED_VALUE"""),4124.08)</f>
        <v>4124.08</v>
      </c>
      <c r="C1273" s="22">
        <f t="shared" si="10"/>
        <v>6713.590657</v>
      </c>
      <c r="D1273" s="25">
        <f>IFERROR(__xludf.DUMMYFUNCTION("""COMPUTED_VALUE"""),45038.99861111111)</f>
        <v>45038.99861</v>
      </c>
      <c r="E1273" s="22">
        <f>IFERROR(__xludf.DUMMYFUNCTION("""COMPUTED_VALUE"""),1.1095)</f>
        <v>1.1095</v>
      </c>
      <c r="F1273" s="22">
        <f t="shared" si="11"/>
        <v>574.8799806</v>
      </c>
      <c r="G1273" s="22">
        <f t="shared" si="79"/>
        <v>49.13509394</v>
      </c>
      <c r="H1273" s="22">
        <f t="shared" si="80"/>
        <v>83.87431375</v>
      </c>
    </row>
    <row r="1274" ht="15.75" customHeight="1">
      <c r="A1274" s="32">
        <f>IFERROR(__xludf.DUMMYFUNCTION("""COMPUTED_VALUE"""),45065.66666666667)</f>
        <v>45065.66667</v>
      </c>
      <c r="B1274" s="22">
        <f>IFERROR(__xludf.DUMMYFUNCTION("""COMPUTED_VALUE"""),4191.98)</f>
        <v>4191.98</v>
      </c>
      <c r="C1274" s="22">
        <f t="shared" si="10"/>
        <v>6826.707231</v>
      </c>
      <c r="D1274" s="25">
        <f>IFERROR(__xludf.DUMMYFUNCTION("""COMPUTED_VALUE"""),45045.99861111111)</f>
        <v>45045.99861</v>
      </c>
      <c r="E1274" s="22">
        <f>IFERROR(__xludf.DUMMYFUNCTION("""COMPUTED_VALUE"""),1.1126)</f>
        <v>1.1126</v>
      </c>
      <c r="F1274" s="22">
        <f t="shared" si="11"/>
        <v>582.9373153</v>
      </c>
      <c r="G1274" s="22">
        <f t="shared" si="79"/>
        <v>50.14403718</v>
      </c>
      <c r="H1274" s="22">
        <f t="shared" si="80"/>
        <v>83.13006864</v>
      </c>
    </row>
    <row r="1275" ht="15.75" customHeight="1">
      <c r="A1275" s="32">
        <f>IFERROR(__xludf.DUMMYFUNCTION("""COMPUTED_VALUE"""),45072.66666666667)</f>
        <v>45072.66667</v>
      </c>
      <c r="B1275" s="22">
        <f>IFERROR(__xludf.DUMMYFUNCTION("""COMPUTED_VALUE"""),4205.45)</f>
        <v>4205.45</v>
      </c>
      <c r="C1275" s="22">
        <f t="shared" si="10"/>
        <v>6851.269</v>
      </c>
      <c r="D1275" s="25">
        <f>IFERROR(__xludf.DUMMYFUNCTION("""COMPUTED_VALUE"""),45052.99861111111)</f>
        <v>45052.99861</v>
      </c>
      <c r="E1275" s="22">
        <f>IFERROR(__xludf.DUMMYFUNCTION("""COMPUTED_VALUE"""),1.1018)</f>
        <v>1.1018</v>
      </c>
      <c r="F1275" s="22">
        <f t="shared" si="11"/>
        <v>590.7692549</v>
      </c>
      <c r="G1275" s="22">
        <f t="shared" si="79"/>
        <v>46.0140857</v>
      </c>
      <c r="H1275" s="22">
        <f t="shared" si="80"/>
        <v>84.44820512</v>
      </c>
    </row>
    <row r="1276" ht="15.75" customHeight="1">
      <c r="A1276" s="32">
        <f>IFERROR(__xludf.DUMMYFUNCTION("""COMPUTED_VALUE"""),45079.66666666667)</f>
        <v>45079.66667</v>
      </c>
      <c r="B1276" s="22">
        <f>IFERROR(__xludf.DUMMYFUNCTION("""COMPUTED_VALUE"""),4282.37)</f>
        <v>4282.37</v>
      </c>
      <c r="C1276" s="22">
        <f t="shared" si="10"/>
        <v>6979.217592</v>
      </c>
      <c r="D1276" s="25">
        <f>IFERROR(__xludf.DUMMYFUNCTION("""COMPUTED_VALUE"""),45059.99861111111)</f>
        <v>45059.99861</v>
      </c>
      <c r="E1276" s="22">
        <f>IFERROR(__xludf.DUMMYFUNCTION("""COMPUTED_VALUE"""),1.0936)</f>
        <v>1.0936</v>
      </c>
      <c r="F1276" s="22">
        <f t="shared" si="11"/>
        <v>606.3143835</v>
      </c>
      <c r="G1276" s="22">
        <f t="shared" si="79"/>
        <v>40.72193531</v>
      </c>
      <c r="H1276" s="22">
        <f t="shared" si="80"/>
        <v>83.55910674</v>
      </c>
    </row>
    <row r="1277" ht="15.75" customHeight="1">
      <c r="A1277" s="32">
        <f>IFERROR(__xludf.DUMMYFUNCTION("""COMPUTED_VALUE"""),45086.66666666667)</f>
        <v>45086.66667</v>
      </c>
      <c r="B1277" s="22">
        <f>IFERROR(__xludf.DUMMYFUNCTION("""COMPUTED_VALUE"""),4298.86)</f>
        <v>4298.86</v>
      </c>
      <c r="C1277" s="22">
        <f t="shared" si="10"/>
        <v>7008.776581</v>
      </c>
      <c r="D1277" s="25">
        <f>IFERROR(__xludf.DUMMYFUNCTION("""COMPUTED_VALUE"""),45066.99861111111)</f>
        <v>45066.99861</v>
      </c>
      <c r="E1277" s="22">
        <f>IFERROR(__xludf.DUMMYFUNCTION("""COMPUTED_VALUE"""),1.0816)</f>
        <v>1.0816</v>
      </c>
      <c r="F1277" s="22">
        <f t="shared" si="11"/>
        <v>615.6376498</v>
      </c>
      <c r="G1277" s="22">
        <f t="shared" si="79"/>
        <v>51.18047878</v>
      </c>
      <c r="H1277" s="22">
        <f t="shared" si="80"/>
        <v>84.15059968</v>
      </c>
    </row>
    <row r="1278" ht="15.75" customHeight="1">
      <c r="A1278" s="32">
        <f>IFERROR(__xludf.DUMMYFUNCTION("""COMPUTED_VALUE"""),45093.66666666667)</f>
        <v>45093.66667</v>
      </c>
      <c r="B1278" s="22">
        <f>IFERROR(__xludf.DUMMYFUNCTION("""COMPUTED_VALUE"""),4409.59)</f>
        <v>4409.59</v>
      </c>
      <c r="C1278" s="22">
        <f t="shared" si="10"/>
        <v>7192.004273</v>
      </c>
      <c r="D1278" s="25">
        <f>IFERROR(__xludf.DUMMYFUNCTION("""COMPUTED_VALUE"""),45073.99861111111)</f>
        <v>45073.99861</v>
      </c>
      <c r="E1278" s="22">
        <f>IFERROR(__xludf.DUMMYFUNCTION("""COMPUTED_VALUE"""),1.0729)</f>
        <v>1.0729</v>
      </c>
      <c r="F1278" s="22">
        <f t="shared" si="11"/>
        <v>636.8546519</v>
      </c>
      <c r="G1278" s="22">
        <f t="shared" si="79"/>
        <v>56.37292298</v>
      </c>
      <c r="H1278" s="22">
        <f t="shared" si="80"/>
        <v>92.63222106</v>
      </c>
    </row>
    <row r="1279" ht="15.75" customHeight="1">
      <c r="A1279" s="32">
        <f>IFERROR(__xludf.DUMMYFUNCTION("""COMPUTED_VALUE"""),45100.66666666667)</f>
        <v>45100.66667</v>
      </c>
      <c r="B1279" s="22">
        <f>IFERROR(__xludf.DUMMYFUNCTION("""COMPUTED_VALUE"""),4348.33)</f>
        <v>4348.33</v>
      </c>
      <c r="C1279" s="22">
        <f t="shared" si="10"/>
        <v>7094.855883</v>
      </c>
      <c r="D1279" s="25">
        <f>IFERROR(__xludf.DUMMYFUNCTION("""COMPUTED_VALUE"""),45080.99861111111)</f>
        <v>45080.99861</v>
      </c>
      <c r="E1279" s="22">
        <f>IFERROR(__xludf.DUMMYFUNCTION("""COMPUTED_VALUE"""),1.0723)</f>
        <v>1.0723</v>
      </c>
      <c r="F1279" s="22">
        <f t="shared" si="11"/>
        <v>628.6036611</v>
      </c>
      <c r="G1279" s="22">
        <f t="shared" si="79"/>
        <v>61.37588965</v>
      </c>
      <c r="H1279" s="22">
        <f t="shared" si="80"/>
        <v>94.08053537</v>
      </c>
    </row>
    <row r="1280" ht="15.75" customHeight="1">
      <c r="A1280" s="32">
        <f>IFERROR(__xludf.DUMMYFUNCTION("""COMPUTED_VALUE"""),45107.66666666667)</f>
        <v>45107.66667</v>
      </c>
      <c r="B1280" s="22">
        <f>IFERROR(__xludf.DUMMYFUNCTION("""COMPUTED_VALUE"""),4450.38)</f>
        <v>4450.38</v>
      </c>
      <c r="C1280" s="22">
        <f t="shared" si="10"/>
        <v>7264.092285</v>
      </c>
      <c r="D1280" s="25">
        <f>IFERROR(__xludf.DUMMYFUNCTION("""COMPUTED_VALUE"""),45087.99861111111)</f>
        <v>45087.99861</v>
      </c>
      <c r="E1280" s="22">
        <f>IFERROR(__xludf.DUMMYFUNCTION("""COMPUTED_VALUE"""),1.0752)</f>
        <v>1.0752</v>
      </c>
      <c r="F1280" s="22">
        <f t="shared" si="11"/>
        <v>641.8620979</v>
      </c>
      <c r="G1280" s="22">
        <f t="shared" si="79"/>
        <v>58.04704228</v>
      </c>
      <c r="H1280" s="22">
        <f t="shared" si="80"/>
        <v>92.55501829</v>
      </c>
    </row>
    <row r="1281" ht="15.75" customHeight="1">
      <c r="A1281" s="32">
        <f>IFERROR(__xludf.DUMMYFUNCTION("""COMPUTED_VALUE"""),45114.66666666667)</f>
        <v>45114.66667</v>
      </c>
      <c r="B1281" s="22">
        <f>IFERROR(__xludf.DUMMYFUNCTION("""COMPUTED_VALUE"""),4398.95)</f>
        <v>4398.95</v>
      </c>
      <c r="C1281" s="22">
        <f t="shared" si="10"/>
        <v>7182.940017</v>
      </c>
      <c r="D1281" s="25">
        <f>IFERROR(__xludf.DUMMYFUNCTION("""COMPUTED_VALUE"""),45094.99861111111)</f>
        <v>45094.99861</v>
      </c>
      <c r="E1281" s="22">
        <f>IFERROR(__xludf.DUMMYFUNCTION("""COMPUTED_VALUE"""),1.0964)</f>
        <v>1.0964</v>
      </c>
      <c r="F1281" s="22">
        <f t="shared" si="11"/>
        <v>622.4190077</v>
      </c>
      <c r="G1281" s="22">
        <f t="shared" si="79"/>
        <v>49.48738998</v>
      </c>
      <c r="H1281" s="22">
        <f t="shared" si="80"/>
        <v>84.61500797</v>
      </c>
    </row>
    <row r="1282" ht="15.75" customHeight="1">
      <c r="A1282" s="32">
        <f>IFERROR(__xludf.DUMMYFUNCTION("""COMPUTED_VALUE"""),45121.66666666667)</f>
        <v>45121.66667</v>
      </c>
      <c r="B1282" s="22">
        <f>IFERROR(__xludf.DUMMYFUNCTION("""COMPUTED_VALUE"""),4505.42)</f>
        <v>4505.42</v>
      </c>
      <c r="C1282" s="22">
        <f t="shared" si="10"/>
        <v>7359.554997</v>
      </c>
      <c r="D1282" s="25">
        <f>IFERROR(__xludf.DUMMYFUNCTION("""COMPUTED_VALUE"""),45101.99861111111)</f>
        <v>45101.99861</v>
      </c>
      <c r="E1282" s="22">
        <f>IFERROR(__xludf.DUMMYFUNCTION("""COMPUTED_VALUE"""),1.0932)</f>
        <v>1.0932</v>
      </c>
      <c r="F1282" s="22">
        <f t="shared" si="11"/>
        <v>639.5898544</v>
      </c>
      <c r="G1282" s="22">
        <f t="shared" si="79"/>
        <v>52.23161658</v>
      </c>
      <c r="H1282" s="22">
        <f t="shared" si="80"/>
        <v>90.20130416</v>
      </c>
    </row>
    <row r="1283" ht="15.75" customHeight="1">
      <c r="A1283" s="32">
        <f>IFERROR(__xludf.DUMMYFUNCTION("""COMPUTED_VALUE"""),45128.66666666667)</f>
        <v>45128.66667</v>
      </c>
      <c r="B1283" s="22">
        <f>IFERROR(__xludf.DUMMYFUNCTION("""COMPUTED_VALUE"""),4536.34)</f>
        <v>4536.34</v>
      </c>
      <c r="C1283" s="22">
        <f t="shared" si="10"/>
        <v>7412.893082</v>
      </c>
      <c r="D1283" s="25">
        <f>IFERROR(__xludf.DUMMYFUNCTION("""COMPUTED_VALUE"""),45108.99861111111)</f>
        <v>45108.99861</v>
      </c>
      <c r="E1283" s="22">
        <f>IFERROR(__xludf.DUMMYFUNCTION("""COMPUTED_VALUE"""),1.092)</f>
        <v>1.092</v>
      </c>
      <c r="F1283" s="22">
        <f t="shared" si="11"/>
        <v>644.9331965</v>
      </c>
      <c r="G1283" s="22">
        <f t="shared" si="79"/>
        <v>54.20626776</v>
      </c>
      <c r="H1283" s="22">
        <f t="shared" si="80"/>
        <v>91.39198102</v>
      </c>
    </row>
    <row r="1284" ht="15.75" customHeight="1">
      <c r="A1284" s="32">
        <f>IFERROR(__xludf.DUMMYFUNCTION("""COMPUTED_VALUE"""),45135.66666666667)</f>
        <v>45135.66667</v>
      </c>
      <c r="B1284" s="22">
        <f>IFERROR(__xludf.DUMMYFUNCTION("""COMPUTED_VALUE"""),4582.23)</f>
        <v>4582.23</v>
      </c>
      <c r="C1284" s="22">
        <f t="shared" si="10"/>
        <v>7490.733649</v>
      </c>
      <c r="D1284" s="25">
        <f>IFERROR(__xludf.DUMMYFUNCTION("""COMPUTED_VALUE"""),45115.99861111111)</f>
        <v>45115.99861</v>
      </c>
      <c r="E1284" s="22">
        <f>IFERROR(__xludf.DUMMYFUNCTION("""COMPUTED_VALUE"""),1.0969)</f>
        <v>1.0969</v>
      </c>
      <c r="F1284" s="22">
        <f t="shared" si="11"/>
        <v>648.7941906</v>
      </c>
      <c r="G1284" s="22">
        <f t="shared" si="79"/>
        <v>53.19954249</v>
      </c>
      <c r="H1284" s="22">
        <f t="shared" si="80"/>
        <v>90.11158641</v>
      </c>
    </row>
    <row r="1285" ht="15.75" customHeight="1">
      <c r="A1285" s="32">
        <f>IFERROR(__xludf.DUMMYFUNCTION("""COMPUTED_VALUE"""),45142.66666666667)</f>
        <v>45142.66667</v>
      </c>
      <c r="B1285" s="22">
        <f>IFERROR(__xludf.DUMMYFUNCTION("""COMPUTED_VALUE"""),4478.03)</f>
        <v>4478.03</v>
      </c>
      <c r="C1285" s="22">
        <f t="shared" si="10"/>
        <v>7323.275271</v>
      </c>
      <c r="D1285" s="25">
        <f>IFERROR(__xludf.DUMMYFUNCTION("""COMPUTED_VALUE"""),45122.99861111111)</f>
        <v>45122.99861</v>
      </c>
      <c r="E1285" s="22">
        <f>IFERROR(__xludf.DUMMYFUNCTION("""COMPUTED_VALUE"""),1.1235)</f>
        <v>1.1235</v>
      </c>
      <c r="F1285" s="22">
        <f t="shared" si="11"/>
        <v>619.2726731</v>
      </c>
      <c r="G1285" s="22">
        <f t="shared" si="79"/>
        <v>44.26340485</v>
      </c>
      <c r="H1285" s="22">
        <f t="shared" si="80"/>
        <v>82.31014309</v>
      </c>
    </row>
    <row r="1286" ht="15.75" customHeight="1">
      <c r="A1286" s="32">
        <f>IFERROR(__xludf.DUMMYFUNCTION("""COMPUTED_VALUE"""),45149.66666666667)</f>
        <v>45149.66667</v>
      </c>
      <c r="B1286" s="22">
        <f>IFERROR(__xludf.DUMMYFUNCTION("""COMPUTED_VALUE"""),4464.05)</f>
        <v>4464.05</v>
      </c>
      <c r="C1286" s="22">
        <f t="shared" si="10"/>
        <v>7303.22932</v>
      </c>
      <c r="D1286" s="25">
        <f>IFERROR(__xludf.DUMMYFUNCTION("""COMPUTED_VALUE"""),45129.99861111111)</f>
        <v>45129.99861</v>
      </c>
      <c r="E1286" s="22">
        <f>IFERROR(__xludf.DUMMYFUNCTION("""COMPUTED_VALUE"""),1.1127)</f>
        <v>1.1127</v>
      </c>
      <c r="F1286" s="22">
        <f t="shared" si="11"/>
        <v>623.5718242</v>
      </c>
      <c r="G1286" s="22">
        <f t="shared" si="79"/>
        <v>47.20186277</v>
      </c>
      <c r="H1286" s="22">
        <f t="shared" si="80"/>
        <v>81.5341435</v>
      </c>
    </row>
    <row r="1287" ht="15.75" customHeight="1">
      <c r="A1287" s="32">
        <f>IFERROR(__xludf.DUMMYFUNCTION("""COMPUTED_VALUE"""),45156.66666666667)</f>
        <v>45156.66667</v>
      </c>
      <c r="B1287" s="22">
        <f>IFERROR(__xludf.DUMMYFUNCTION("""COMPUTED_VALUE"""),4369.71)</f>
        <v>4369.71</v>
      </c>
      <c r="C1287" s="22">
        <f t="shared" si="10"/>
        <v>7151.697094</v>
      </c>
      <c r="D1287" s="25">
        <f>IFERROR(__xludf.DUMMYFUNCTION("""COMPUTED_VALUE"""),45136.99861111111)</f>
        <v>45136.99861</v>
      </c>
      <c r="E1287" s="22">
        <f>IFERROR(__xludf.DUMMYFUNCTION("""COMPUTED_VALUE"""),1.1035)</f>
        <v>1.1035</v>
      </c>
      <c r="F1287" s="22">
        <f t="shared" si="11"/>
        <v>615.7244627</v>
      </c>
      <c r="G1287" s="22">
        <f t="shared" si="79"/>
        <v>45.68981713</v>
      </c>
      <c r="H1287" s="22">
        <f t="shared" si="80"/>
        <v>76.25007229</v>
      </c>
    </row>
    <row r="1288" ht="15.75" customHeight="1">
      <c r="A1288" s="32">
        <f>IFERROR(__xludf.DUMMYFUNCTION("""COMPUTED_VALUE"""),45163.66666666667)</f>
        <v>45163.66667</v>
      </c>
      <c r="B1288" s="22">
        <f>IFERROR(__xludf.DUMMYFUNCTION("""COMPUTED_VALUE"""),4405.71)</f>
        <v>4405.71</v>
      </c>
      <c r="C1288" s="22">
        <f t="shared" si="10"/>
        <v>7213.36724</v>
      </c>
      <c r="D1288" s="25">
        <f>IFERROR(__xludf.DUMMYFUNCTION("""COMPUTED_VALUE"""),45143.99861111111)</f>
        <v>45143.99861</v>
      </c>
      <c r="E1288" s="22">
        <f>IFERROR(__xludf.DUMMYFUNCTION("""COMPUTED_VALUE"""),1.1025)</f>
        <v>1.1025</v>
      </c>
      <c r="F1288" s="22">
        <f t="shared" si="11"/>
        <v>621.5972422</v>
      </c>
      <c r="G1288" s="22">
        <f t="shared" si="79"/>
        <v>42.54933394</v>
      </c>
      <c r="H1288" s="22">
        <f t="shared" si="80"/>
        <v>73.79889616</v>
      </c>
    </row>
    <row r="1289" ht="15.75" customHeight="1">
      <c r="A1289" s="32">
        <f>IFERROR(__xludf.DUMMYFUNCTION("""COMPUTED_VALUE"""),45170.66666666667)</f>
        <v>45170.66667</v>
      </c>
      <c r="B1289" s="22">
        <f>IFERROR(__xludf.DUMMYFUNCTION("""COMPUTED_VALUE"""),4515.77)</f>
        <v>4515.77</v>
      </c>
      <c r="C1289" s="22">
        <f t="shared" si="10"/>
        <v>7396.340308</v>
      </c>
      <c r="D1289" s="25">
        <f>IFERROR(__xludf.DUMMYFUNCTION("""COMPUTED_VALUE"""),45150.99861111111)</f>
        <v>45150.99861</v>
      </c>
      <c r="E1289" s="22">
        <f>IFERROR(__xludf.DUMMYFUNCTION("""COMPUTED_VALUE"""),1.0963)</f>
        <v>1.0963</v>
      </c>
      <c r="F1289" s="22">
        <f t="shared" si="11"/>
        <v>640.9691168</v>
      </c>
      <c r="G1289" s="22">
        <f t="shared" si="79"/>
        <v>51.10841887</v>
      </c>
      <c r="H1289" s="22">
        <f t="shared" si="80"/>
        <v>81.41929005</v>
      </c>
    </row>
    <row r="1290" ht="15.75" customHeight="1">
      <c r="A1290" s="32">
        <f>IFERROR(__xludf.DUMMYFUNCTION("""COMPUTED_VALUE"""),45177.66666666667)</f>
        <v>45177.66667</v>
      </c>
      <c r="B1290" s="22">
        <f>IFERROR(__xludf.DUMMYFUNCTION("""COMPUTED_VALUE"""),4457.49)</f>
        <v>4457.49</v>
      </c>
      <c r="C1290" s="22">
        <f t="shared" si="10"/>
        <v>7303.72875</v>
      </c>
      <c r="D1290" s="25">
        <f>IFERROR(__xludf.DUMMYFUNCTION("""COMPUTED_VALUE"""),45157.99861111111)</f>
        <v>45157.99861</v>
      </c>
      <c r="E1290" s="22">
        <f>IFERROR(__xludf.DUMMYFUNCTION("""COMPUTED_VALUE"""),1.089)</f>
        <v>1.089</v>
      </c>
      <c r="F1290" s="22">
        <f t="shared" si="11"/>
        <v>637.186242</v>
      </c>
      <c r="G1290" s="22">
        <f t="shared" si="79"/>
        <v>53.34571978</v>
      </c>
      <c r="H1290" s="22">
        <f t="shared" si="80"/>
        <v>81.09391971</v>
      </c>
    </row>
    <row r="1291" ht="15.75" customHeight="1">
      <c r="A1291" s="32">
        <f>IFERROR(__xludf.DUMMYFUNCTION("""COMPUTED_VALUE"""),45184.66666666667)</f>
        <v>45184.66667</v>
      </c>
      <c r="B1291" s="22">
        <f>IFERROR(__xludf.DUMMYFUNCTION("""COMPUTED_VALUE"""),4450.32)</f>
        <v>4450.32</v>
      </c>
      <c r="C1291" s="22">
        <f t="shared" si="10"/>
        <v>7294.78962</v>
      </c>
      <c r="D1291" s="25">
        <f>IFERROR(__xludf.DUMMYFUNCTION("""COMPUTED_VALUE"""),45164.99861111111)</f>
        <v>45164.99861</v>
      </c>
      <c r="E1291" s="22">
        <f>IFERROR(__xludf.DUMMYFUNCTION("""COMPUTED_VALUE"""),1.0794)</f>
        <v>1.0794</v>
      </c>
      <c r="F1291" s="22">
        <f t="shared" si="11"/>
        <v>642.0664714</v>
      </c>
      <c r="G1291" s="22">
        <f t="shared" si="79"/>
        <v>56.82702743</v>
      </c>
      <c r="H1291" s="22">
        <f t="shared" si="80"/>
        <v>80.70301087</v>
      </c>
    </row>
    <row r="1292" ht="15.75" customHeight="1">
      <c r="A1292" s="32">
        <f>IFERROR(__xludf.DUMMYFUNCTION("""COMPUTED_VALUE"""),45191.66666666667)</f>
        <v>45191.66667</v>
      </c>
      <c r="B1292" s="22">
        <f>IFERROR(__xludf.DUMMYFUNCTION("""COMPUTED_VALUE"""),4320.06)</f>
        <v>4320.06</v>
      </c>
      <c r="C1292" s="22">
        <f t="shared" si="10"/>
        <v>7084.078237</v>
      </c>
      <c r="D1292" s="25">
        <f>IFERROR(__xludf.DUMMYFUNCTION("""COMPUTED_VALUE"""),45171.99861111111)</f>
        <v>45171.99861</v>
      </c>
      <c r="E1292" s="22">
        <f>IFERROR(__xludf.DUMMYFUNCTION("""COMPUTED_VALUE"""),1.0796)</f>
        <v>1.0796</v>
      </c>
      <c r="F1292" s="22">
        <f t="shared" si="11"/>
        <v>623.40475</v>
      </c>
      <c r="G1292" s="22">
        <f t="shared" si="79"/>
        <v>52.42336013</v>
      </c>
      <c r="H1292" s="22">
        <f t="shared" si="80"/>
        <v>75.56864968</v>
      </c>
    </row>
    <row r="1293" ht="15.75" customHeight="1">
      <c r="A1293" s="32">
        <f>IFERROR(__xludf.DUMMYFUNCTION("""COMPUTED_VALUE"""),45198.66666666667)</f>
        <v>45198.66667</v>
      </c>
      <c r="B1293" s="22">
        <f>IFERROR(__xludf.DUMMYFUNCTION("""COMPUTED_VALUE"""),4288.05)</f>
        <v>4288.05</v>
      </c>
      <c r="C1293" s="22">
        <f t="shared" si="10"/>
        <v>7034.312559</v>
      </c>
      <c r="D1293" s="25">
        <f>IFERROR(__xludf.DUMMYFUNCTION("""COMPUTED_VALUE"""),45178.99861111111)</f>
        <v>45178.99861</v>
      </c>
      <c r="E1293" s="22">
        <f>IFERROR(__xludf.DUMMYFUNCTION("""COMPUTED_VALUE"""),1.0712)</f>
        <v>1.0712</v>
      </c>
      <c r="F1293" s="22">
        <f t="shared" si="11"/>
        <v>623.8795233</v>
      </c>
      <c r="G1293" s="22">
        <f t="shared" si="79"/>
        <v>50.24629385</v>
      </c>
      <c r="H1293" s="22">
        <f t="shared" si="80"/>
        <v>78.31379065</v>
      </c>
    </row>
    <row r="1294" ht="15.75" customHeight="1">
      <c r="A1294" s="32">
        <f>IFERROR(__xludf.DUMMYFUNCTION("""COMPUTED_VALUE"""),45205.66666666667)</f>
        <v>45205.66667</v>
      </c>
      <c r="B1294" s="22">
        <f>IFERROR(__xludf.DUMMYFUNCTION("""COMPUTED_VALUE"""),4308.5)</f>
        <v>4308.5</v>
      </c>
      <c r="C1294" s="22">
        <f t="shared" si="10"/>
        <v>7070.565176</v>
      </c>
      <c r="D1294" s="25">
        <f>IFERROR(__xludf.DUMMYFUNCTION("""COMPUTED_VALUE"""),45185.99861111111)</f>
        <v>45185.99861</v>
      </c>
      <c r="E1294" s="22">
        <f>IFERROR(__xludf.DUMMYFUNCTION("""COMPUTED_VALUE"""),1.0672)</f>
        <v>1.0672</v>
      </c>
      <c r="F1294" s="22">
        <f t="shared" si="11"/>
        <v>629.4452308</v>
      </c>
      <c r="G1294" s="22">
        <f t="shared" si="79"/>
        <v>45.93712226</v>
      </c>
      <c r="H1294" s="22">
        <f t="shared" si="80"/>
        <v>89.72227107</v>
      </c>
    </row>
    <row r="1295" ht="15.75" customHeight="1">
      <c r="A1295" s="32">
        <f>IFERROR(__xludf.DUMMYFUNCTION("""COMPUTED_VALUE"""),45212.66666666667)</f>
        <v>45212.66667</v>
      </c>
      <c r="B1295" s="22">
        <f>IFERROR(__xludf.DUMMYFUNCTION("""COMPUTED_VALUE"""),4327.78)</f>
        <v>4327.78</v>
      </c>
      <c r="C1295" s="22">
        <f t="shared" si="10"/>
        <v>7104.924521</v>
      </c>
      <c r="D1295" s="25">
        <f>IFERROR(__xludf.DUMMYFUNCTION("""COMPUTED_VALUE"""),45192.99861111111)</f>
        <v>45192.99861</v>
      </c>
      <c r="E1295" s="22">
        <f>IFERROR(__xludf.DUMMYFUNCTION("""COMPUTED_VALUE"""),1.0671)</f>
        <v>1.0671</v>
      </c>
      <c r="F1295" s="22">
        <f t="shared" si="11"/>
        <v>632.5632872</v>
      </c>
      <c r="G1295" s="22">
        <f t="shared" si="79"/>
        <v>43.71587208</v>
      </c>
      <c r="H1295" s="22">
        <f t="shared" si="80"/>
        <v>88.14767216</v>
      </c>
    </row>
    <row r="1296" ht="15.75" customHeight="1">
      <c r="A1296" s="32">
        <f>IFERROR(__xludf.DUMMYFUNCTION("""COMPUTED_VALUE"""),45219.66666666667)</f>
        <v>45219.66667</v>
      </c>
      <c r="B1296" s="22">
        <f>IFERROR(__xludf.DUMMYFUNCTION("""COMPUTED_VALUE"""),4224.16)</f>
        <v>4224.16</v>
      </c>
      <c r="C1296" s="22">
        <f t="shared" si="10"/>
        <v>6937.544036</v>
      </c>
      <c r="D1296" s="25">
        <f>IFERROR(__xludf.DUMMYFUNCTION("""COMPUTED_VALUE"""),45199.99861111111)</f>
        <v>45199.99861</v>
      </c>
      <c r="E1296" s="22">
        <f>IFERROR(__xludf.DUMMYFUNCTION("""COMPUTED_VALUE"""),1.0585)</f>
        <v>1.0585</v>
      </c>
      <c r="F1296" s="22">
        <f t="shared" si="11"/>
        <v>622.6794376</v>
      </c>
      <c r="G1296" s="22">
        <f t="shared" si="79"/>
        <v>43.24573718</v>
      </c>
      <c r="H1296" s="22">
        <f t="shared" si="80"/>
        <v>91.2538757</v>
      </c>
    </row>
    <row r="1297" ht="15.75" customHeight="1">
      <c r="A1297" s="32">
        <f>IFERROR(__xludf.DUMMYFUNCTION("""COMPUTED_VALUE"""),45226.66666666667)</f>
        <v>45226.66667</v>
      </c>
      <c r="B1297" s="22">
        <f>IFERROR(__xludf.DUMMYFUNCTION("""COMPUTED_VALUE"""),4117.37)</f>
        <v>4117.37</v>
      </c>
      <c r="C1297" s="22">
        <f t="shared" si="10"/>
        <v>6764.825896</v>
      </c>
      <c r="D1297" s="25">
        <f>IFERROR(__xludf.DUMMYFUNCTION("""COMPUTED_VALUE"""),45206.99861111111)</f>
        <v>45206.99861</v>
      </c>
      <c r="E1297" s="22">
        <f>IFERROR(__xludf.DUMMYFUNCTION("""COMPUTED_VALUE"""),1.06)</f>
        <v>1.06</v>
      </c>
      <c r="F1297" s="22">
        <f t="shared" si="11"/>
        <v>606.3179037</v>
      </c>
      <c r="G1297" s="22">
        <f t="shared" si="79"/>
        <v>49.14257689</v>
      </c>
      <c r="H1297" s="22">
        <f t="shared" si="80"/>
        <v>82.42003217</v>
      </c>
    </row>
    <row r="1298" ht="15.75" customHeight="1">
      <c r="A1298" s="32">
        <f>IFERROR(__xludf.DUMMYFUNCTION("""COMPUTED_VALUE"""),45233.66666666667)</f>
        <v>45233.66667</v>
      </c>
      <c r="B1298" s="22">
        <f>IFERROR(__xludf.DUMMYFUNCTION("""COMPUTED_VALUE"""),4358.34)</f>
        <v>4358.34</v>
      </c>
      <c r="C1298" s="22">
        <f t="shared" si="10"/>
        <v>7163.340701</v>
      </c>
      <c r="D1298" s="25">
        <f>IFERROR(__xludf.DUMMYFUNCTION("""COMPUTED_VALUE"""),45213.99861111111)</f>
        <v>45213.99861</v>
      </c>
      <c r="E1298" s="22">
        <f>IFERROR(__xludf.DUMMYFUNCTION("""COMPUTED_VALUE"""),1.0511)</f>
        <v>1.0511</v>
      </c>
      <c r="F1298" s="22">
        <f t="shared" si="11"/>
        <v>647.472318</v>
      </c>
      <c r="G1298" s="22">
        <f t="shared" si="79"/>
        <v>46.89056524</v>
      </c>
      <c r="H1298" s="22">
        <f t="shared" si="80"/>
        <v>89.92952879</v>
      </c>
    </row>
    <row r="1299" ht="15.75" customHeight="1">
      <c r="A1299" s="32">
        <f>IFERROR(__xludf.DUMMYFUNCTION("""COMPUTED_VALUE"""),45240.66666666667)</f>
        <v>45240.66667</v>
      </c>
      <c r="B1299" s="22">
        <f>IFERROR(__xludf.DUMMYFUNCTION("""COMPUTED_VALUE"""),4415.24)</f>
        <v>4415.24</v>
      </c>
      <c r="C1299" s="22">
        <f t="shared" si="10"/>
        <v>7259.61632</v>
      </c>
      <c r="D1299" s="25">
        <f>IFERROR(__xludf.DUMMYFUNCTION("""COMPUTED_VALUE"""),45220.99861111111)</f>
        <v>45220.99861</v>
      </c>
      <c r="E1299" s="22">
        <f>IFERROR(__xludf.DUMMYFUNCTION("""COMPUTED_VALUE"""),1.0603)</f>
        <v>1.0603</v>
      </c>
      <c r="F1299" s="22">
        <f t="shared" si="11"/>
        <v>650.4808879</v>
      </c>
      <c r="G1299" s="22">
        <f t="shared" si="79"/>
        <v>46.18929356</v>
      </c>
      <c r="H1299" s="22">
        <f t="shared" si="80"/>
        <v>92.09050688</v>
      </c>
    </row>
    <row r="1300" ht="15.75" customHeight="1">
      <c r="A1300" s="32">
        <f>IFERROR(__xludf.DUMMYFUNCTION("""COMPUTED_VALUE"""),45247.66666666667)</f>
        <v>45247.66667</v>
      </c>
      <c r="B1300" s="22">
        <f>IFERROR(__xludf.DUMMYFUNCTION("""COMPUTED_VALUE"""),4514.02)</f>
        <v>4514.02</v>
      </c>
      <c r="C1300" s="22">
        <f t="shared" si="10"/>
        <v>7424.824317</v>
      </c>
      <c r="D1300" s="25">
        <f>IFERROR(__xludf.DUMMYFUNCTION("""COMPUTED_VALUE"""),45227.99861111111)</f>
        <v>45227.99861</v>
      </c>
      <c r="E1300" s="22">
        <f>IFERROR(__xludf.DUMMYFUNCTION("""COMPUTED_VALUE"""),1.0578)</f>
        <v>1.0578</v>
      </c>
      <c r="F1300" s="22">
        <f t="shared" si="11"/>
        <v>666.8562922</v>
      </c>
      <c r="G1300" s="22">
        <f t="shared" si="79"/>
        <v>48.69184759</v>
      </c>
      <c r="H1300" s="22">
        <f t="shared" si="80"/>
        <v>103.9396673</v>
      </c>
    </row>
    <row r="1301" ht="15.75" customHeight="1">
      <c r="A1301" s="32">
        <f>IFERROR(__xludf.DUMMYFUNCTION("""COMPUTED_VALUE"""),45254.54166666667)</f>
        <v>45254.54167</v>
      </c>
      <c r="B1301" s="22">
        <f>IFERROR(__xludf.DUMMYFUNCTION("""COMPUTED_VALUE"""),4559.34)</f>
        <v>4559.34</v>
      </c>
      <c r="C1301" s="22">
        <f t="shared" si="10"/>
        <v>7502.224004</v>
      </c>
      <c r="D1301" s="25">
        <f>IFERROR(__xludf.DUMMYFUNCTION("""COMPUTED_VALUE"""),45234.99861111111)</f>
        <v>45234.99861</v>
      </c>
      <c r="E1301" s="22">
        <f>IFERROR(__xludf.DUMMYFUNCTION("""COMPUTED_VALUE"""),1.0735)</f>
        <v>1.0735</v>
      </c>
      <c r="F1301" s="22">
        <f t="shared" si="11"/>
        <v>663.9534204</v>
      </c>
      <c r="G1301" s="22">
        <f t="shared" si="79"/>
        <v>47.1436542</v>
      </c>
      <c r="H1301" s="22">
        <f t="shared" si="80"/>
        <v>92.74312039</v>
      </c>
    </row>
    <row r="1302" ht="15.75" customHeight="1">
      <c r="A1302" s="32">
        <f>IFERROR(__xludf.DUMMYFUNCTION("""COMPUTED_VALUE"""),45261.66666666667)</f>
        <v>45261.66667</v>
      </c>
      <c r="B1302" s="22">
        <f>IFERROR(__xludf.DUMMYFUNCTION("""COMPUTED_VALUE"""),4594.63)</f>
        <v>4594.63</v>
      </c>
      <c r="C1302" s="22">
        <f t="shared" si="10"/>
        <v>7563.177854</v>
      </c>
      <c r="D1302" s="25">
        <f>IFERROR(__xludf.DUMMYFUNCTION("""COMPUTED_VALUE"""),45241.99861111111)</f>
        <v>45241.99861</v>
      </c>
      <c r="E1302" s="22">
        <f>IFERROR(__xludf.DUMMYFUNCTION("""COMPUTED_VALUE"""),1.0714)</f>
        <v>1.0714</v>
      </c>
      <c r="F1302" s="22">
        <f t="shared" si="11"/>
        <v>670.6598465</v>
      </c>
      <c r="G1302" s="22">
        <f t="shared" si="79"/>
        <v>45.58515467</v>
      </c>
      <c r="H1302" s="22">
        <f t="shared" si="80"/>
        <v>105.4984392</v>
      </c>
    </row>
    <row r="1303" ht="15.75" customHeight="1">
      <c r="A1303" s="32">
        <f>IFERROR(__xludf.DUMMYFUNCTION("""COMPUTED_VALUE"""),45268.66666666667)</f>
        <v>45268.66667</v>
      </c>
      <c r="B1303" s="22">
        <f>IFERROR(__xludf.DUMMYFUNCTION("""COMPUTED_VALUE"""),4604.37)</f>
        <v>4604.37</v>
      </c>
      <c r="C1303" s="22">
        <f t="shared" si="10"/>
        <v>7582.119692</v>
      </c>
      <c r="D1303" s="25">
        <f>IFERROR(__xludf.DUMMYFUNCTION("""COMPUTED_VALUE"""),45248.99861111111)</f>
        <v>45248.99861</v>
      </c>
      <c r="E1303" s="22">
        <f>IFERROR(__xludf.DUMMYFUNCTION("""COMPUTED_VALUE"""),1.0916)</f>
        <v>1.0916</v>
      </c>
      <c r="F1303" s="22">
        <f t="shared" si="11"/>
        <v>659.8978949</v>
      </c>
      <c r="G1303" s="22">
        <f t="shared" si="79"/>
        <v>44.89404538</v>
      </c>
      <c r="H1303" s="22">
        <f t="shared" si="80"/>
        <v>103.335286</v>
      </c>
    </row>
    <row r="1304" ht="15.75" customHeight="1">
      <c r="A1304" s="32">
        <f>IFERROR(__xludf.DUMMYFUNCTION("""COMPUTED_VALUE"""),45275.66666666667)</f>
        <v>45275.66667</v>
      </c>
      <c r="B1304" s="22">
        <f>IFERROR(__xludf.DUMMYFUNCTION("""COMPUTED_VALUE"""),4719.19)</f>
        <v>4719.19</v>
      </c>
      <c r="C1304" s="22">
        <f t="shared" si="10"/>
        <v>7774.11257</v>
      </c>
      <c r="D1304" s="25">
        <f>IFERROR(__xludf.DUMMYFUNCTION("""COMPUTED_VALUE"""),45255.99861111111)</f>
        <v>45255.99861</v>
      </c>
      <c r="E1304" s="22">
        <f>IFERROR(__xludf.DUMMYFUNCTION("""COMPUTED_VALUE"""),1.0948)</f>
        <v>1.0948</v>
      </c>
      <c r="F1304" s="22">
        <f t="shared" si="11"/>
        <v>674.6300316</v>
      </c>
      <c r="G1304" s="22">
        <f t="shared" si="79"/>
        <v>47.58809083</v>
      </c>
      <c r="H1304" s="22">
        <f t="shared" si="80"/>
        <v>123.0987478</v>
      </c>
    </row>
    <row r="1305" ht="15.75" customHeight="1">
      <c r="A1305" s="32">
        <f>IFERROR(__xludf.DUMMYFUNCTION("""COMPUTED_VALUE"""),45282.66666666667)</f>
        <v>45282.66667</v>
      </c>
      <c r="B1305" s="22">
        <f>IFERROR(__xludf.DUMMYFUNCTION("""COMPUTED_VALUE"""),4754.63)</f>
        <v>4754.63</v>
      </c>
      <c r="C1305" s="22">
        <f t="shared" si="10"/>
        <v>7835.484359</v>
      </c>
      <c r="D1305" s="25">
        <f>IFERROR(__xludf.DUMMYFUNCTION("""COMPUTED_VALUE"""),45262.99861111111)</f>
        <v>45262.99861</v>
      </c>
      <c r="E1305" s="22">
        <f>IFERROR(__xludf.DUMMYFUNCTION("""COMPUTED_VALUE"""),1.0891)</f>
        <v>1.0891</v>
      </c>
      <c r="F1305" s="22">
        <f t="shared" si="11"/>
        <v>683.5144872</v>
      </c>
      <c r="G1305" s="22">
        <f t="shared" si="79"/>
        <v>52.24449696</v>
      </c>
      <c r="H1305" s="22">
        <f t="shared" si="80"/>
        <v>120.7948769</v>
      </c>
    </row>
    <row r="1306" ht="15.75" customHeight="1">
      <c r="A1306" s="32">
        <f>IFERROR(__xludf.DUMMYFUNCTION("""COMPUTED_VALUE"""),45289.66666666667)</f>
        <v>45289.66667</v>
      </c>
      <c r="B1306" s="22">
        <f>IFERROR(__xludf.DUMMYFUNCTION("""COMPUTED_VALUE"""),4769.83)</f>
        <v>4769.83</v>
      </c>
      <c r="C1306" s="22">
        <f t="shared" si="10"/>
        <v>7863.54714</v>
      </c>
      <c r="D1306" s="25">
        <f>IFERROR(__xludf.DUMMYFUNCTION("""COMPUTED_VALUE"""),45269.99861111111)</f>
        <v>45269.99861</v>
      </c>
      <c r="E1306" s="22">
        <f>IFERROR(__xludf.DUMMYFUNCTION("""COMPUTED_VALUE"""),1.0772)</f>
        <v>1.0772</v>
      </c>
      <c r="F1306" s="22">
        <f t="shared" si="11"/>
        <v>693.5404308</v>
      </c>
      <c r="G1306" s="22">
        <f t="shared" si="79"/>
        <v>51.61583393</v>
      </c>
      <c r="H1306" s="22">
        <f t="shared" si="80"/>
        <v>118.5292928</v>
      </c>
    </row>
    <row r="1307" ht="15.75" customHeight="1">
      <c r="A1307" s="32">
        <f>IFERROR(__xludf.DUMMYFUNCTION("""COMPUTED_VALUE"""),45296.66666666667)</f>
        <v>45296.66667</v>
      </c>
      <c r="B1307" s="22">
        <f>IFERROR(__xludf.DUMMYFUNCTION("""COMPUTED_VALUE"""),4697.24)</f>
        <v>4697.24</v>
      </c>
      <c r="C1307" s="22">
        <f t="shared" si="10"/>
        <v>7746.899625</v>
      </c>
      <c r="D1307" s="25">
        <f>IFERROR(__xludf.DUMMYFUNCTION("""COMPUTED_VALUE"""),45276.99861111111)</f>
        <v>45276.99861</v>
      </c>
      <c r="E1307" s="22">
        <f>IFERROR(__xludf.DUMMYFUNCTION("""COMPUTED_VALUE"""),1.0907)</f>
        <v>1.0907</v>
      </c>
      <c r="F1307" s="22">
        <f t="shared" si="11"/>
        <v>674.7956119</v>
      </c>
      <c r="G1307" s="22">
        <f t="shared" si="79"/>
        <v>46.51110887</v>
      </c>
      <c r="H1307" s="22">
        <f t="shared" si="80"/>
        <v>108.6156395</v>
      </c>
    </row>
    <row r="1308" ht="15.75" customHeight="1">
      <c r="A1308" s="32">
        <f>IFERROR(__xludf.DUMMYFUNCTION("""COMPUTED_VALUE"""),45303.66666666667)</f>
        <v>45303.66667</v>
      </c>
      <c r="B1308" s="22">
        <f>IFERROR(__xludf.DUMMYFUNCTION("""COMPUTED_VALUE"""),4783.83)</f>
        <v>4783.83</v>
      </c>
      <c r="C1308" s="22">
        <f t="shared" si="10"/>
        <v>7892.687327</v>
      </c>
      <c r="D1308" s="25">
        <f>IFERROR(__xludf.DUMMYFUNCTION("""COMPUTED_VALUE"""),45283.99861111111)</f>
        <v>45283.99861</v>
      </c>
      <c r="E1308" s="22">
        <f>IFERROR(__xludf.DUMMYFUNCTION("""COMPUTED_VALUE"""),1.1025)</f>
        <v>1.1025</v>
      </c>
      <c r="F1308" s="22">
        <f t="shared" si="11"/>
        <v>680.1362682</v>
      </c>
      <c r="G1308" s="22">
        <f t="shared" si="79"/>
        <v>48.55575092</v>
      </c>
      <c r="H1308" s="22">
        <f t="shared" si="80"/>
        <v>105.3520897</v>
      </c>
    </row>
    <row r="1309" ht="15.75" customHeight="1">
      <c r="A1309" s="32">
        <f>IFERROR(__xludf.DUMMYFUNCTION("""COMPUTED_VALUE"""),45310.66666666667)</f>
        <v>45310.66667</v>
      </c>
      <c r="B1309" s="22">
        <f>IFERROR(__xludf.DUMMYFUNCTION("""COMPUTED_VALUE"""),4839.81)</f>
        <v>4839.81</v>
      </c>
      <c r="C1309" s="22">
        <f t="shared" si="10"/>
        <v>7988.082578</v>
      </c>
      <c r="D1309" s="25">
        <f>IFERROR(__xludf.DUMMYFUNCTION("""COMPUTED_VALUE"""),45290.99861111111)</f>
        <v>45290.99861</v>
      </c>
      <c r="E1309" s="22">
        <f>IFERROR(__xludf.DUMMYFUNCTION("""COMPUTED_VALUE"""),1.1054)</f>
        <v>1.1054</v>
      </c>
      <c r="F1309" s="22">
        <f t="shared" si="11"/>
        <v>686.5508664</v>
      </c>
      <c r="G1309" s="22">
        <f t="shared" si="79"/>
        <v>45.3465103</v>
      </c>
      <c r="H1309" s="22">
        <f t="shared" si="80"/>
        <v>106.8546662</v>
      </c>
    </row>
    <row r="1310" ht="15.75" customHeight="1">
      <c r="A1310" s="32">
        <f>IFERROR(__xludf.DUMMYFUNCTION("""COMPUTED_VALUE"""),45317.66666666667)</f>
        <v>45317.66667</v>
      </c>
      <c r="B1310" s="22">
        <f>IFERROR(__xludf.DUMMYFUNCTION("""COMPUTED_VALUE"""),4890.97)</f>
        <v>4890.97</v>
      </c>
      <c r="C1310" s="22">
        <f t="shared" si="10"/>
        <v>8075.594246</v>
      </c>
      <c r="D1310" s="25">
        <f>IFERROR(__xludf.DUMMYFUNCTION("""COMPUTED_VALUE"""),45297.99861111111)</f>
        <v>45297.99861</v>
      </c>
      <c r="E1310" s="22">
        <f>IFERROR(__xludf.DUMMYFUNCTION("""COMPUTED_VALUE"""),1.0956)</f>
        <v>1.0956</v>
      </c>
      <c r="F1310" s="22">
        <f t="shared" si="11"/>
        <v>700.2806083</v>
      </c>
      <c r="G1310" s="22">
        <f t="shared" si="79"/>
        <v>55.95293697</v>
      </c>
      <c r="H1310" s="22">
        <f t="shared" si="80"/>
        <v>109.005156</v>
      </c>
    </row>
    <row r="1311" ht="15.75" customHeight="1">
      <c r="A1311" s="32">
        <f>IFERROR(__xludf.DUMMYFUNCTION("""COMPUTED_VALUE"""),45324.66666666667)</f>
        <v>45324.66667</v>
      </c>
      <c r="B1311" s="22">
        <f>IFERROR(__xludf.DUMMYFUNCTION("""COMPUTED_VALUE"""),4958.61)</f>
        <v>4958.61</v>
      </c>
      <c r="C1311" s="22">
        <f t="shared" si="10"/>
        <v>8190.38222</v>
      </c>
      <c r="D1311" s="25">
        <f>IFERROR(__xludf.DUMMYFUNCTION("""COMPUTED_VALUE"""),45304.99861111111)</f>
        <v>45304.99861</v>
      </c>
      <c r="E1311" s="22">
        <f>IFERROR(__xludf.DUMMYFUNCTION("""COMPUTED_VALUE"""),1.0964)</f>
        <v>1.0964</v>
      </c>
      <c r="F1311" s="22">
        <f t="shared" si="11"/>
        <v>709.7162948</v>
      </c>
      <c r="G1311" s="22">
        <f t="shared" si="79"/>
        <v>49.17685817</v>
      </c>
      <c r="H1311" s="22">
        <f t="shared" si="80"/>
        <v>109.6966576</v>
      </c>
    </row>
    <row r="1312" ht="15.75" customHeight="1">
      <c r="A1312" s="32">
        <f>IFERROR(__xludf.DUMMYFUNCTION("""COMPUTED_VALUE"""),45331.66666666667)</f>
        <v>45331.66667</v>
      </c>
      <c r="B1312" s="22">
        <f>IFERROR(__xludf.DUMMYFUNCTION("""COMPUTED_VALUE"""),5026.61)</f>
        <v>5026.61</v>
      </c>
      <c r="C1312" s="22">
        <f t="shared" si="10"/>
        <v>8305.851342</v>
      </c>
      <c r="D1312" s="25">
        <f>IFERROR(__xludf.DUMMYFUNCTION("""COMPUTED_VALUE"""),45311.99861111111)</f>
        <v>45311.99861</v>
      </c>
      <c r="E1312" s="22">
        <f>IFERROR(__xludf.DUMMYFUNCTION("""COMPUTED_VALUE"""),1.0913)</f>
        <v>1.0913</v>
      </c>
      <c r="F1312" s="22">
        <f t="shared" si="11"/>
        <v>723.0854665</v>
      </c>
      <c r="G1312" s="22">
        <f t="shared" si="79"/>
        <v>50.55314636</v>
      </c>
      <c r="H1312" s="22">
        <f t="shared" si="80"/>
        <v>109.1444433</v>
      </c>
    </row>
    <row r="1313" ht="15.75" customHeight="1">
      <c r="A1313" s="32">
        <f>IFERROR(__xludf.DUMMYFUNCTION("""COMPUTED_VALUE"""),45338.66666666667)</f>
        <v>45338.66667</v>
      </c>
      <c r="B1313" s="22">
        <f>IFERROR(__xludf.DUMMYFUNCTION("""COMPUTED_VALUE"""),5005.57)</f>
        <v>5005.57</v>
      </c>
      <c r="C1313" s="22">
        <f t="shared" si="10"/>
        <v>8274.279902</v>
      </c>
      <c r="D1313" s="25">
        <f>IFERROR(__xludf.DUMMYFUNCTION("""COMPUTED_VALUE"""),45318.99861111111)</f>
        <v>45318.99861</v>
      </c>
      <c r="E1313" s="22">
        <f>IFERROR(__xludf.DUMMYFUNCTION("""COMPUTED_VALUE"""),1.0862)</f>
        <v>1.0862</v>
      </c>
      <c r="F1313" s="22">
        <f t="shared" si="11"/>
        <v>723.7191153</v>
      </c>
      <c r="G1313" s="22">
        <f t="shared" si="79"/>
        <v>51.993967</v>
      </c>
      <c r="H1313" s="22">
        <f t="shared" si="80"/>
        <v>108.8803828</v>
      </c>
    </row>
    <row r="1314" ht="15.75" customHeight="1">
      <c r="A1314" s="32">
        <f>IFERROR(__xludf.DUMMYFUNCTION("""COMPUTED_VALUE"""),45345.66666666667)</f>
        <v>45345.66667</v>
      </c>
      <c r="B1314" s="22">
        <f>IFERROR(__xludf.DUMMYFUNCTION("""COMPUTED_VALUE"""),5088.8)</f>
        <v>5088.8</v>
      </c>
      <c r="C1314" s="22">
        <f t="shared" si="10"/>
        <v>8415.042716</v>
      </c>
      <c r="D1314" s="25">
        <f>IFERROR(__xludf.DUMMYFUNCTION("""COMPUTED_VALUE"""),45325.99861111111)</f>
        <v>45325.99861</v>
      </c>
      <c r="E1314" s="22">
        <f>IFERROR(__xludf.DUMMYFUNCTION("""COMPUTED_VALUE"""),1.0805)</f>
        <v>1.0805</v>
      </c>
      <c r="F1314" s="22">
        <f t="shared" si="11"/>
        <v>739.9139027</v>
      </c>
      <c r="G1314" s="22">
        <f t="shared" si="79"/>
        <v>57.97048865</v>
      </c>
      <c r="H1314" s="22">
        <f t="shared" si="80"/>
        <v>110.2764564</v>
      </c>
    </row>
    <row r="1315" ht="15.75" customHeight="1">
      <c r="A1315" s="32">
        <f>IFERROR(__xludf.DUMMYFUNCTION("""COMPUTED_VALUE"""),45352.66666666667)</f>
        <v>45352.66667</v>
      </c>
      <c r="B1315" s="22">
        <f>IFERROR(__xludf.DUMMYFUNCTION("""COMPUTED_VALUE"""),5137.08)</f>
        <v>5137.08</v>
      </c>
      <c r="C1315" s="22">
        <f t="shared" si="10"/>
        <v>8498.117005</v>
      </c>
      <c r="D1315" s="25">
        <f>IFERROR(__xludf.DUMMYFUNCTION("""COMPUTED_VALUE"""),45332.99861111111)</f>
        <v>45332.99861</v>
      </c>
      <c r="E1315" s="22">
        <f>IFERROR(__xludf.DUMMYFUNCTION("""COMPUTED_VALUE"""),1.0759)</f>
        <v>1.0759</v>
      </c>
      <c r="F1315" s="22">
        <f t="shared" si="11"/>
        <v>750.4131447</v>
      </c>
      <c r="G1315" s="22">
        <f t="shared" si="79"/>
        <v>59.908554</v>
      </c>
      <c r="H1315" s="22">
        <f t="shared" si="80"/>
        <v>117.2335809</v>
      </c>
    </row>
    <row r="1316" ht="15.75" customHeight="1">
      <c r="A1316" s="32">
        <f>IFERROR(__xludf.DUMMYFUNCTION("""COMPUTED_VALUE"""),45359.66666666667)</f>
        <v>45359.66667</v>
      </c>
      <c r="B1316" s="22">
        <f>IFERROR(__xludf.DUMMYFUNCTION("""COMPUTED_VALUE"""),5123.69)</f>
        <v>5123.69</v>
      </c>
      <c r="C1316" s="22">
        <f t="shared" si="10"/>
        <v>8479.234837</v>
      </c>
      <c r="D1316" s="25">
        <f>IFERROR(__xludf.DUMMYFUNCTION("""COMPUTED_VALUE"""),45339.99861111111)</f>
        <v>45339.99861</v>
      </c>
      <c r="E1316" s="22">
        <f>IFERROR(__xludf.DUMMYFUNCTION("""COMPUTED_VALUE"""),1.07734)</f>
        <v>1.07734</v>
      </c>
      <c r="F1316" s="22">
        <f t="shared" si="11"/>
        <v>747.7449913</v>
      </c>
      <c r="G1316" s="22">
        <f t="shared" si="79"/>
        <v>55.18452788</v>
      </c>
      <c r="H1316" s="22">
        <f t="shared" si="80"/>
        <v>111.1303031</v>
      </c>
    </row>
    <row r="1317" ht="15.75" customHeight="1">
      <c r="A1317" s="32">
        <f>IFERROR(__xludf.DUMMYFUNCTION("""COMPUTED_VALUE"""),45366.66666666667)</f>
        <v>45366.66667</v>
      </c>
      <c r="B1317" s="22">
        <f>IFERROR(__xludf.DUMMYFUNCTION("""COMPUTED_VALUE"""),5117.09)</f>
        <v>5117.09</v>
      </c>
      <c r="C1317" s="22">
        <f t="shared" si="10"/>
        <v>8471.57369</v>
      </c>
      <c r="D1317" s="25">
        <f>IFERROR(__xludf.DUMMYFUNCTION("""COMPUTED_VALUE"""),45346.99861111111)</f>
        <v>45346.99861</v>
      </c>
      <c r="E1317" s="22">
        <f>IFERROR(__xludf.DUMMYFUNCTION("""COMPUTED_VALUE"""),1.0835)</f>
        <v>1.0835</v>
      </c>
      <c r="F1317" s="22">
        <f t="shared" si="11"/>
        <v>742.8220916</v>
      </c>
      <c r="G1317" s="22">
        <f t="shared" si="79"/>
        <v>54.65971109</v>
      </c>
      <c r="H1317" s="22">
        <f t="shared" si="80"/>
        <v>111.9594713</v>
      </c>
    </row>
    <row r="1318" ht="15.75" customHeight="1">
      <c r="A1318" s="32">
        <f>IFERROR(__xludf.DUMMYFUNCTION("""COMPUTED_VALUE"""),45373.66666666667)</f>
        <v>45373.66667</v>
      </c>
      <c r="B1318" s="22">
        <f>IFERROR(__xludf.DUMMYFUNCTION("""COMPUTED_VALUE"""),5234.18)</f>
        <v>5234.18</v>
      </c>
      <c r="C1318" s="22">
        <f t="shared" si="10"/>
        <v>8668.679772</v>
      </c>
      <c r="D1318" s="25">
        <f>IFERROR(__xludf.DUMMYFUNCTION("""COMPUTED_VALUE"""),45353.99861111111)</f>
        <v>45353.99861</v>
      </c>
      <c r="E1318" s="22">
        <f>IFERROR(__xludf.DUMMYFUNCTION("""COMPUTED_VALUE"""),1.0853)</f>
        <v>1.0853</v>
      </c>
      <c r="F1318" s="22">
        <f t="shared" si="11"/>
        <v>758.8445005</v>
      </c>
      <c r="G1318" s="22">
        <f t="shared" si="79"/>
        <v>53.42408726</v>
      </c>
      <c r="H1318" s="22">
        <f t="shared" si="80"/>
        <v>111.2818714</v>
      </c>
    </row>
    <row r="1319" ht="15.75" customHeight="1">
      <c r="A1319" s="32">
        <f>IFERROR(__xludf.DUMMYFUNCTION("""COMPUTED_VALUE"""),45379.66666666667)</f>
        <v>45379.66667</v>
      </c>
      <c r="B1319" s="22">
        <f>IFERROR(__xludf.DUMMYFUNCTION("""COMPUTED_VALUE"""),5254.35)</f>
        <v>5254.35</v>
      </c>
      <c r="C1319" s="22">
        <f t="shared" si="10"/>
        <v>8705.418782</v>
      </c>
      <c r="D1319" s="25">
        <f>IFERROR(__xludf.DUMMYFUNCTION("""COMPUTED_VALUE"""),45360.99861111111)</f>
        <v>45360.99861</v>
      </c>
      <c r="E1319" s="22">
        <f>IFERROR(__xludf.DUMMYFUNCTION("""COMPUTED_VALUE"""),1.0942)</f>
        <v>1.0942</v>
      </c>
      <c r="F1319" s="22">
        <f t="shared" si="11"/>
        <v>755.8621381</v>
      </c>
      <c r="G1319" s="22">
        <f t="shared" si="79"/>
        <v>51.59210192</v>
      </c>
      <c r="H1319" s="22">
        <f t="shared" si="80"/>
        <v>108.0370814</v>
      </c>
    </row>
    <row r="1320" ht="15.75" customHeight="1">
      <c r="A1320" s="32">
        <f>IFERROR(__xludf.DUMMYFUNCTION("""COMPUTED_VALUE"""),45387.66666666667)</f>
        <v>45387.66667</v>
      </c>
      <c r="B1320" s="22">
        <f>IFERROR(__xludf.DUMMYFUNCTION("""COMPUTED_VALUE"""),5204.34)</f>
        <v>5204.34</v>
      </c>
      <c r="C1320" s="22">
        <f t="shared" si="10"/>
        <v>8625.910341</v>
      </c>
      <c r="D1320" s="25">
        <f>IFERROR(__xludf.DUMMYFUNCTION("""COMPUTED_VALUE"""),45367.99861111111)</f>
        <v>45367.99861</v>
      </c>
      <c r="E1320" s="22">
        <f>IFERROR(__xludf.DUMMYFUNCTION("""COMPUTED_VALUE"""),1.0896)</f>
        <v>1.0896</v>
      </c>
      <c r="F1320" s="22">
        <f t="shared" si="11"/>
        <v>752.1205919</v>
      </c>
      <c r="G1320" s="22">
        <f t="shared" si="79"/>
        <v>46.72970717</v>
      </c>
      <c r="H1320" s="22">
        <f t="shared" si="80"/>
        <v>105.3575826</v>
      </c>
    </row>
    <row r="1321" ht="15.75" customHeight="1">
      <c r="A1321" s="32">
        <f>IFERROR(__xludf.DUMMYFUNCTION("""COMPUTED_VALUE"""),45394.66666666667)</f>
        <v>45394.66667</v>
      </c>
      <c r="B1321" s="22">
        <f>IFERROR(__xludf.DUMMYFUNCTION("""COMPUTED_VALUE"""),5123.41)</f>
        <v>5123.41</v>
      </c>
      <c r="C1321" s="22">
        <f t="shared" si="10"/>
        <v>8495.090928</v>
      </c>
      <c r="D1321" s="25">
        <f>IFERROR(__xludf.DUMMYFUNCTION("""COMPUTED_VALUE"""),45374.99861111111)</f>
        <v>45374.99861</v>
      </c>
      <c r="E1321" s="22">
        <f>IFERROR(__xludf.DUMMYFUNCTION("""COMPUTED_VALUE"""),1.0861)</f>
        <v>1.0861</v>
      </c>
      <c r="F1321" s="22">
        <f t="shared" si="11"/>
        <v>743.1010107</v>
      </c>
      <c r="G1321" s="22">
        <f t="shared" si="79"/>
        <v>41.46914784</v>
      </c>
      <c r="H1321" s="22">
        <f t="shared" si="80"/>
        <v>101.4937607</v>
      </c>
    </row>
    <row r="1322" ht="15.75" customHeight="1">
      <c r="A1322" s="32">
        <f>IFERROR(__xludf.DUMMYFUNCTION("""COMPUTED_VALUE"""),45401.66666666667)</f>
        <v>45401.66667</v>
      </c>
      <c r="B1322" s="22">
        <f>IFERROR(__xludf.DUMMYFUNCTION("""COMPUTED_VALUE"""),4967.23)</f>
        <v>4967.23</v>
      </c>
      <c r="C1322" s="22">
        <f t="shared" si="10"/>
        <v>8239.397285</v>
      </c>
      <c r="D1322" s="25">
        <f>IFERROR(__xludf.DUMMYFUNCTION("""COMPUTED_VALUE"""),45381.99861111111)</f>
        <v>45381.99861</v>
      </c>
      <c r="E1322" s="22">
        <f>IFERROR(__xludf.DUMMYFUNCTION("""COMPUTED_VALUE"""),1.0799)</f>
        <v>1.0799</v>
      </c>
      <c r="F1322" s="22">
        <f t="shared" si="11"/>
        <v>724.8723547</v>
      </c>
      <c r="G1322" s="22">
        <f t="shared" si="79"/>
        <v>37.40792795</v>
      </c>
      <c r="H1322" s="22">
        <f t="shared" si="80"/>
        <v>94.14726658</v>
      </c>
    </row>
    <row r="1323" ht="15.75" customHeight="1">
      <c r="A1323" s="32">
        <f>IFERROR(__xludf.DUMMYFUNCTION("""COMPUTED_VALUE"""),45408.66666666667)</f>
        <v>45408.66667</v>
      </c>
      <c r="B1323" s="22">
        <f>IFERROR(__xludf.DUMMYFUNCTION("""COMPUTED_VALUE"""),5099.96)</f>
        <v>5099.96</v>
      </c>
      <c r="C1323" s="22">
        <f t="shared" si="10"/>
        <v>8462.732293</v>
      </c>
      <c r="D1323" s="25">
        <f>IFERROR(__xludf.DUMMYFUNCTION("""COMPUTED_VALUE"""),45388.99861111111)</f>
        <v>45388.99861</v>
      </c>
      <c r="E1323" s="22">
        <f>IFERROR(__xludf.DUMMYFUNCTION("""COMPUTED_VALUE"""),1.0848)</f>
        <v>1.0848</v>
      </c>
      <c r="F1323" s="22">
        <f t="shared" si="11"/>
        <v>741.1575896</v>
      </c>
      <c r="G1323" s="22">
        <f t="shared" si="79"/>
        <v>42.06682661</v>
      </c>
      <c r="H1323" s="22">
        <f t="shared" si="80"/>
        <v>99.59676334</v>
      </c>
    </row>
    <row r="1324" ht="15.75" customHeight="1">
      <c r="A1324" s="32">
        <f>IFERROR(__xludf.DUMMYFUNCTION("""COMPUTED_VALUE"""),45415.66666666667)</f>
        <v>45415.66667</v>
      </c>
      <c r="B1324" s="22">
        <f>IFERROR(__xludf.DUMMYFUNCTION("""COMPUTED_VALUE"""),5127.79)</f>
        <v>5127.79</v>
      </c>
      <c r="C1324" s="22">
        <f t="shared" si="10"/>
        <v>8512.16752</v>
      </c>
      <c r="D1324" s="25">
        <f>IFERROR(__xludf.DUMMYFUNCTION("""COMPUTED_VALUE"""),45395.99861111111)</f>
        <v>45395.99861</v>
      </c>
      <c r="E1324" s="22">
        <f>IFERROR(__xludf.DUMMYFUNCTION("""COMPUTED_VALUE"""),1.067)</f>
        <v>1.067</v>
      </c>
      <c r="F1324" s="22">
        <f t="shared" si="11"/>
        <v>757.9235064</v>
      </c>
      <c r="G1324" s="22">
        <f t="shared" si="79"/>
        <v>44.44931028</v>
      </c>
      <c r="H1324" s="22">
        <f t="shared" si="80"/>
        <v>107.2167454</v>
      </c>
    </row>
    <row r="1325" ht="15.75" customHeight="1">
      <c r="A1325" s="32">
        <f>IFERROR(__xludf.DUMMYFUNCTION("""COMPUTED_VALUE"""),45422.66666666667)</f>
        <v>45422.66667</v>
      </c>
      <c r="B1325" s="22">
        <f>IFERROR(__xludf.DUMMYFUNCTION("""COMPUTED_VALUE"""),5222.68)</f>
        <v>5222.68</v>
      </c>
      <c r="C1325" s="22">
        <f t="shared" si="10"/>
        <v>8672.959499</v>
      </c>
      <c r="D1325" s="25">
        <f>IFERROR(__xludf.DUMMYFUNCTION("""COMPUTED_VALUE"""),45402.99861111111)</f>
        <v>45402.99861</v>
      </c>
      <c r="E1325" s="22">
        <f>IFERROR(__xludf.DUMMYFUNCTION("""COMPUTED_VALUE"""),1.0669)</f>
        <v>1.0669</v>
      </c>
      <c r="F1325" s="22">
        <f t="shared" si="11"/>
        <v>772.312808</v>
      </c>
      <c r="G1325" s="22">
        <f t="shared" si="79"/>
        <v>50.63737336</v>
      </c>
      <c r="H1325" s="22">
        <f t="shared" si="80"/>
        <v>110.6782484</v>
      </c>
    </row>
    <row r="1326" ht="15.75" customHeight="1">
      <c r="A1326" s="32">
        <f>IFERROR(__xludf.DUMMYFUNCTION("""COMPUTED_VALUE"""),45429.66666666667)</f>
        <v>45429.66667</v>
      </c>
      <c r="B1326" s="22">
        <f>IFERROR(__xludf.DUMMYFUNCTION("""COMPUTED_VALUE"""),5303.27)</f>
        <v>5303.27</v>
      </c>
      <c r="C1326" s="22">
        <f t="shared" si="10"/>
        <v>8810.12574</v>
      </c>
      <c r="D1326" s="25">
        <f>IFERROR(__xludf.DUMMYFUNCTION("""COMPUTED_VALUE"""),45409.99861111111)</f>
        <v>45409.99861</v>
      </c>
      <c r="E1326" s="22">
        <f>IFERROR(__xludf.DUMMYFUNCTION("""COMPUTED_VALUE"""),1.0695)</f>
        <v>1.0695</v>
      </c>
      <c r="F1326" s="22">
        <f t="shared" si="11"/>
        <v>782.6200174</v>
      </c>
      <c r="G1326" s="22">
        <f t="shared" si="79"/>
        <v>52.27388826</v>
      </c>
      <c r="H1326" s="22">
        <f t="shared" si="80"/>
        <v>117.3302151</v>
      </c>
    </row>
    <row r="1327" ht="15.75" customHeight="1">
      <c r="A1327" s="32">
        <f>IFERROR(__xludf.DUMMYFUNCTION("""COMPUTED_VALUE"""),45436.66666666667)</f>
        <v>45436.66667</v>
      </c>
      <c r="B1327" s="22">
        <f>IFERROR(__xludf.DUMMYFUNCTION("""COMPUTED_VALUE"""),5304.72)</f>
        <v>5304.72</v>
      </c>
      <c r="C1327" s="22">
        <f t="shared" si="10"/>
        <v>8815.923081</v>
      </c>
      <c r="D1327" s="25">
        <f>IFERROR(__xludf.DUMMYFUNCTION("""COMPUTED_VALUE"""),45416.99861111111)</f>
        <v>45416.99861</v>
      </c>
      <c r="E1327" s="22">
        <f>IFERROR(__xludf.DUMMYFUNCTION("""COMPUTED_VALUE"""),1.0771)</f>
        <v>1.0771</v>
      </c>
      <c r="F1327" s="22">
        <f t="shared" si="11"/>
        <v>777.6092183</v>
      </c>
      <c r="G1327" s="22">
        <f t="shared" si="79"/>
        <v>51.25942914</v>
      </c>
      <c r="H1327" s="22">
        <f t="shared" si="80"/>
        <v>122.0530221</v>
      </c>
    </row>
    <row r="1328" ht="15.75" customHeight="1">
      <c r="A1328" s="32">
        <f>IFERROR(__xludf.DUMMYFUNCTION("""COMPUTED_VALUE"""),45443.66666666667)</f>
        <v>45443.66667</v>
      </c>
      <c r="B1328" s="22">
        <f>IFERROR(__xludf.DUMMYFUNCTION("""COMPUTED_VALUE"""),5277.51)</f>
        <v>5277.51</v>
      </c>
      <c r="C1328" s="22">
        <f t="shared" si="10"/>
        <v>8774.093476</v>
      </c>
      <c r="D1328" s="25">
        <f>IFERROR(__xludf.DUMMYFUNCTION("""COMPUTED_VALUE"""),45423.99861111111)</f>
        <v>45423.99861</v>
      </c>
      <c r="E1328" s="22">
        <f>IFERROR(__xludf.DUMMYFUNCTION("""COMPUTED_VALUE"""),1.0786)</f>
        <v>1.0786</v>
      </c>
      <c r="F1328" s="22">
        <f t="shared" si="11"/>
        <v>772.843351</v>
      </c>
      <c r="G1328" s="22">
        <f t="shared" si="79"/>
        <v>49.15762824</v>
      </c>
      <c r="H1328" s="22">
        <f t="shared" si="80"/>
        <v>110.0761051</v>
      </c>
    </row>
    <row r="1329" ht="15.75" customHeight="1">
      <c r="A1329" s="32">
        <f>IFERROR(__xludf.DUMMYFUNCTION("""COMPUTED_VALUE"""),45450.66666666667)</f>
        <v>45450.66667</v>
      </c>
      <c r="B1329" s="22">
        <f>IFERROR(__xludf.DUMMYFUNCTION("""COMPUTED_VALUE"""),5346.99)</f>
        <v>5346.99</v>
      </c>
      <c r="C1329" s="22">
        <f t="shared" si="10"/>
        <v>8892.981696</v>
      </c>
      <c r="D1329" s="25">
        <f>IFERROR(__xludf.DUMMYFUNCTION("""COMPUTED_VALUE"""),45430.99861111111)</f>
        <v>45430.99861</v>
      </c>
      <c r="E1329" s="22">
        <f>IFERROR(__xludf.DUMMYFUNCTION("""COMPUTED_VALUE"""),1.0889)</f>
        <v>1.0889</v>
      </c>
      <c r="F1329" s="22">
        <f t="shared" si="11"/>
        <v>775.9058649</v>
      </c>
      <c r="G1329" s="22">
        <f t="shared" si="79"/>
        <v>49.49509738</v>
      </c>
      <c r="H1329" s="22">
        <f t="shared" si="80"/>
        <v>110.5271375</v>
      </c>
    </row>
    <row r="1330" ht="15.75" customHeight="1">
      <c r="A1330" s="32">
        <f>IFERROR(__xludf.DUMMYFUNCTION("""COMPUTED_VALUE"""),45457.66666666667)</f>
        <v>45457.66667</v>
      </c>
      <c r="B1330" s="22">
        <f>IFERROR(__xludf.DUMMYFUNCTION("""COMPUTED_VALUE"""),5431.6)</f>
        <v>5431.6</v>
      </c>
      <c r="C1330" s="22">
        <f t="shared" si="10"/>
        <v>9037.123336</v>
      </c>
      <c r="D1330" s="25">
        <f>IFERROR(__xludf.DUMMYFUNCTION("""COMPUTED_VALUE"""),45437.99861111111)</f>
        <v>45437.99861</v>
      </c>
      <c r="E1330" s="22">
        <f>IFERROR(__xludf.DUMMYFUNCTION("""COMPUTED_VALUE"""),1.0847)</f>
        <v>1.0847</v>
      </c>
      <c r="F1330" s="22">
        <f t="shared" si="11"/>
        <v>791.5351459</v>
      </c>
      <c r="G1330" s="22">
        <f t="shared" si="79"/>
        <v>55.57715775</v>
      </c>
      <c r="H1330" s="22">
        <f t="shared" si="80"/>
        <v>109.9554768</v>
      </c>
    </row>
    <row r="1331" ht="15.75" customHeight="1">
      <c r="A1331" s="32">
        <f>IFERROR(__xludf.DUMMYFUNCTION("""COMPUTED_VALUE"""),45464.66666666667)</f>
        <v>45464.66667</v>
      </c>
      <c r="B1331" s="22">
        <f>IFERROR(__xludf.DUMMYFUNCTION("""COMPUTED_VALUE"""),5464.62)</f>
        <v>5464.62</v>
      </c>
      <c r="C1331" s="22">
        <f t="shared" si="10"/>
        <v>9095.537994</v>
      </c>
      <c r="D1331" s="25">
        <f>IFERROR(__xludf.DUMMYFUNCTION("""COMPUTED_VALUE"""),45444.99861111111)</f>
        <v>45444.99861</v>
      </c>
      <c r="E1331" s="22">
        <f>IFERROR(__xludf.DUMMYFUNCTION("""COMPUTED_VALUE"""),1.0855)</f>
        <v>1.0855</v>
      </c>
      <c r="F1331" s="22">
        <f t="shared" si="11"/>
        <v>796.0643924</v>
      </c>
      <c r="G1331" s="22">
        <f t="shared" si="79"/>
        <v>51.89347547</v>
      </c>
      <c r="H1331" s="22">
        <f t="shared" si="80"/>
        <v>114.4035952</v>
      </c>
    </row>
    <row r="1332" ht="15.75" customHeight="1">
      <c r="A1332" s="32">
        <f>IFERROR(__xludf.DUMMYFUNCTION("""COMPUTED_VALUE"""),45471.66666666667)</f>
        <v>45471.66667</v>
      </c>
      <c r="B1332" s="22">
        <f>IFERROR(__xludf.DUMMYFUNCTION("""COMPUTED_VALUE"""),5460.48)</f>
        <v>5460.48</v>
      </c>
      <c r="C1332" s="22">
        <f t="shared" si="10"/>
        <v>9092.145492</v>
      </c>
      <c r="D1332" s="25">
        <f>IFERROR(__xludf.DUMMYFUNCTION("""COMPUTED_VALUE"""),45451.99861111111)</f>
        <v>45451.99861</v>
      </c>
      <c r="E1332" s="22">
        <f>IFERROR(__xludf.DUMMYFUNCTION("""COMPUTED_VALUE"""),1.0805)</f>
        <v>1.0805</v>
      </c>
      <c r="F1332" s="22">
        <f t="shared" si="11"/>
        <v>799.4498759</v>
      </c>
      <c r="G1332" s="22">
        <f t="shared" si="79"/>
        <v>49.23466088</v>
      </c>
      <c r="H1332" s="22">
        <f t="shared" si="80"/>
        <v>109.7717411</v>
      </c>
    </row>
    <row r="1333" ht="15.75" customHeight="1">
      <c r="A1333" s="32">
        <f>IFERROR(__xludf.DUMMYFUNCTION("""COMPUTED_VALUE"""),45478.66666666667)</f>
        <v>45478.66667</v>
      </c>
      <c r="B1333" s="22">
        <f>IFERROR(__xludf.DUMMYFUNCTION("""COMPUTED_VALUE"""),5567.19)</f>
        <v>5567.19</v>
      </c>
      <c r="C1333" s="22">
        <f t="shared" si="10"/>
        <v>9273.323342</v>
      </c>
      <c r="D1333" s="25">
        <f>IFERROR(__xludf.DUMMYFUNCTION("""COMPUTED_VALUE"""),45458.99861111111)</f>
        <v>45458.99861</v>
      </c>
      <c r="E1333" s="22">
        <f>IFERROR(__xludf.DUMMYFUNCTION("""COMPUTED_VALUE"""),1.0716)</f>
        <v>1.0716</v>
      </c>
      <c r="F1333" s="22">
        <f t="shared" si="11"/>
        <v>822.152406</v>
      </c>
      <c r="G1333" s="22">
        <f t="shared" si="79"/>
        <v>49.69783335</v>
      </c>
      <c r="H1333" s="22">
        <f t="shared" si="80"/>
        <v>117.0034679</v>
      </c>
    </row>
    <row r="1334" ht="15.75" customHeight="1">
      <c r="A1334" s="32">
        <f>IFERROR(__xludf.DUMMYFUNCTION("""COMPUTED_VALUE"""),45485.66666666667)</f>
        <v>45485.66667</v>
      </c>
      <c r="B1334" s="22">
        <f>IFERROR(__xludf.DUMMYFUNCTION("""COMPUTED_VALUE"""),5615.35)</f>
        <v>5615.35</v>
      </c>
      <c r="C1334" s="22">
        <f t="shared" si="10"/>
        <v>9357.110592</v>
      </c>
      <c r="D1334" s="25">
        <f>IFERROR(__xludf.DUMMYFUNCTION("""COMPUTED_VALUE"""),45465.99861111111)</f>
        <v>45465.99861</v>
      </c>
      <c r="E1334" s="22">
        <f>IFERROR(__xludf.DUMMYFUNCTION("""COMPUTED_VALUE"""),1.0691)</f>
        <v>1.0691</v>
      </c>
      <c r="F1334" s="22">
        <f t="shared" si="11"/>
        <v>831.5207035</v>
      </c>
      <c r="G1334" s="22">
        <f t="shared" si="79"/>
        <v>53.82623876</v>
      </c>
      <c r="H1334" s="22">
        <f t="shared" si="80"/>
        <v>122.0126459</v>
      </c>
    </row>
    <row r="1335" ht="15.75" customHeight="1">
      <c r="A1335" s="32">
        <f>IFERROR(__xludf.DUMMYFUNCTION("""COMPUTED_VALUE"""),45492.66666666667)</f>
        <v>45492.66667</v>
      </c>
      <c r="B1335" s="22">
        <f>IFERROR(__xludf.DUMMYFUNCTION("""COMPUTED_VALUE"""),5505.0)</f>
        <v>5505</v>
      </c>
      <c r="C1335" s="22">
        <f t="shared" si="10"/>
        <v>9176.828307</v>
      </c>
      <c r="D1335" s="25">
        <f>IFERROR(__xludf.DUMMYFUNCTION("""COMPUTED_VALUE"""),45472.99861111111)</f>
        <v>45472.99861</v>
      </c>
      <c r="E1335" s="22">
        <f>IFERROR(__xludf.DUMMYFUNCTION("""COMPUTED_VALUE"""),1.0719)</f>
        <v>1.0719</v>
      </c>
      <c r="F1335" s="22">
        <f t="shared" si="11"/>
        <v>813.3696618</v>
      </c>
      <c r="G1335" s="22">
        <f t="shared" si="79"/>
        <v>46.63646155</v>
      </c>
      <c r="H1335" s="22">
        <f t="shared" si="80"/>
        <v>110.6065483</v>
      </c>
    </row>
    <row r="1336" ht="15.75" customHeight="1">
      <c r="A1336" s="32">
        <f>IFERROR(__xludf.DUMMYFUNCTION("""COMPUTED_VALUE"""),45499.66666666667)</f>
        <v>45499.66667</v>
      </c>
      <c r="B1336" s="22">
        <f>IFERROR(__xludf.DUMMYFUNCTION("""COMPUTED_VALUE"""),5459.1)</f>
        <v>5459.1</v>
      </c>
      <c r="C1336" s="22">
        <f t="shared" si="10"/>
        <v>9103.842612</v>
      </c>
      <c r="D1336" s="25">
        <f>IFERROR(__xludf.DUMMYFUNCTION("""COMPUTED_VALUE"""),45479.99861111111)</f>
        <v>45479.99861</v>
      </c>
      <c r="E1336" s="22">
        <f>IFERROR(__xludf.DUMMYFUNCTION("""COMPUTED_VALUE"""),1.0839)</f>
        <v>1.0839</v>
      </c>
      <c r="F1336" s="22">
        <f t="shared" si="11"/>
        <v>797.9674176</v>
      </c>
      <c r="G1336" s="22">
        <f t="shared" si="79"/>
        <v>44.49101487</v>
      </c>
      <c r="H1336" s="22">
        <f t="shared" si="80"/>
        <v>114.1884158</v>
      </c>
    </row>
    <row r="1337" ht="15.75" customHeight="1">
      <c r="A1337" s="32">
        <f>IFERROR(__xludf.DUMMYFUNCTION("""COMPUTED_VALUE"""),45506.66666666667)</f>
        <v>45506.66667</v>
      </c>
      <c r="B1337" s="22">
        <f>IFERROR(__xludf.DUMMYFUNCTION("""COMPUTED_VALUE"""),5346.56)</f>
        <v>5346.56</v>
      </c>
      <c r="C1337" s="22">
        <f t="shared" si="10"/>
        <v>8919.667284</v>
      </c>
      <c r="D1337" s="25">
        <f>IFERROR(__xludf.DUMMYFUNCTION("""COMPUTED_VALUE"""),45486.99861111111)</f>
        <v>45486.99861</v>
      </c>
      <c r="E1337" s="22">
        <f>IFERROR(__xludf.DUMMYFUNCTION("""COMPUTED_VALUE"""),1.0919)</f>
        <v>1.0919</v>
      </c>
      <c r="F1337" s="22">
        <f t="shared" si="11"/>
        <v>776.0959604</v>
      </c>
      <c r="G1337" s="22">
        <f t="shared" si="79"/>
        <v>38.35038476</v>
      </c>
      <c r="H1337" s="22">
        <f t="shared" si="80"/>
        <v>108.0996263</v>
      </c>
    </row>
    <row r="1338" ht="15.75" customHeight="1">
      <c r="A1338" s="32">
        <f>IFERROR(__xludf.DUMMYFUNCTION("""COMPUTED_VALUE"""),45513.66666666667)</f>
        <v>45513.66667</v>
      </c>
      <c r="B1338" s="22">
        <f>IFERROR(__xludf.DUMMYFUNCTION("""COMPUTED_VALUE"""),5344.16)</f>
        <v>5344.16</v>
      </c>
      <c r="C1338" s="22">
        <f t="shared" si="10"/>
        <v>8919.094005</v>
      </c>
      <c r="D1338" s="25">
        <f>IFERROR(__xludf.DUMMYFUNCTION("""COMPUTED_VALUE"""),45493.99861111111)</f>
        <v>45493.99861</v>
      </c>
      <c r="E1338" s="22">
        <f>IFERROR(__xludf.DUMMYFUNCTION("""COMPUTED_VALUE"""),1.089)</f>
        <v>1.089</v>
      </c>
      <c r="F1338" s="22">
        <f t="shared" si="11"/>
        <v>778.1126853</v>
      </c>
      <c r="G1338" s="22">
        <f t="shared" si="79"/>
        <v>37.27184668</v>
      </c>
      <c r="H1338" s="22">
        <f t="shared" si="80"/>
        <v>109.2026854</v>
      </c>
    </row>
    <row r="1339" ht="15.75" customHeight="1">
      <c r="A1339" s="32">
        <f>IFERROR(__xludf.DUMMYFUNCTION("""COMPUTED_VALUE"""),45520.66666666667)</f>
        <v>45520.66667</v>
      </c>
      <c r="B1339" s="22">
        <f>IFERROR(__xludf.DUMMYFUNCTION("""COMPUTED_VALUE"""),5554.25)</f>
        <v>5554.25</v>
      </c>
      <c r="C1339" s="22">
        <f t="shared" si="10"/>
        <v>9273.152487</v>
      </c>
      <c r="D1339" s="25">
        <f>IFERROR(__xludf.DUMMYFUNCTION("""COMPUTED_VALUE"""),45500.99861111111)</f>
        <v>45500.99861</v>
      </c>
      <c r="E1339" s="22">
        <f>IFERROR(__xludf.DUMMYFUNCTION("""COMPUTED_VALUE"""),1.087)</f>
        <v>1.087</v>
      </c>
      <c r="F1339" s="22">
        <f t="shared" si="11"/>
        <v>810.4896836</v>
      </c>
      <c r="G1339" s="22">
        <f t="shared" si="79"/>
        <v>44.97266534</v>
      </c>
      <c r="H1339" s="22">
        <f t="shared" si="80"/>
        <v>120.6459761</v>
      </c>
    </row>
    <row r="1340" ht="15.75" customHeight="1">
      <c r="A1340" s="32">
        <f>IFERROR(__xludf.DUMMYFUNCTION("""COMPUTED_VALUE"""),45527.66666666667)</f>
        <v>45527.66667</v>
      </c>
      <c r="B1340" s="22">
        <f>IFERROR(__xludf.DUMMYFUNCTION("""COMPUTED_VALUE"""),5634.61)</f>
        <v>5634.61</v>
      </c>
      <c r="C1340" s="22">
        <f t="shared" si="10"/>
        <v>9410.884909</v>
      </c>
      <c r="D1340" s="25">
        <f>IFERROR(__xludf.DUMMYFUNCTION("""COMPUTED_VALUE"""),45507.99861111111)</f>
        <v>45507.99861</v>
      </c>
      <c r="E1340" s="22">
        <f>IFERROR(__xludf.DUMMYFUNCTION("""COMPUTED_VALUE"""),1.0915)</f>
        <v>1.0915</v>
      </c>
      <c r="F1340" s="22">
        <f t="shared" si="11"/>
        <v>819.1366472</v>
      </c>
      <c r="G1340" s="22">
        <f t="shared" si="79"/>
        <v>42.94010626</v>
      </c>
      <c r="H1340" s="22">
        <f t="shared" si="80"/>
        <v>120.4195798</v>
      </c>
    </row>
    <row r="1341" ht="15.75" customHeight="1">
      <c r="A1341" s="32">
        <f>IFERROR(__xludf.DUMMYFUNCTION("""COMPUTED_VALUE"""),45534.66666666667)</f>
        <v>45534.66667</v>
      </c>
      <c r="B1341" s="22">
        <f>IFERROR(__xludf.DUMMYFUNCTION("""COMPUTED_VALUE"""),5648.4)</f>
        <v>5648.4</v>
      </c>
      <c r="C1341" s="22">
        <f t="shared" si="10"/>
        <v>9437.536439</v>
      </c>
      <c r="D1341" s="25">
        <f>IFERROR(__xludf.DUMMYFUNCTION("""COMPUTED_VALUE"""),45514.99861111111)</f>
        <v>45514.99861</v>
      </c>
      <c r="E1341" s="22">
        <f>IFERROR(__xludf.DUMMYFUNCTION("""COMPUTED_VALUE"""),1.0924)</f>
        <v>1.0924</v>
      </c>
      <c r="F1341" s="22">
        <f t="shared" si="11"/>
        <v>820.7796571</v>
      </c>
      <c r="G1341" s="22">
        <f t="shared" si="79"/>
        <v>42.71255117</v>
      </c>
      <c r="H1341" s="22">
        <f t="shared" si="80"/>
        <v>112.7627037</v>
      </c>
    </row>
    <row r="1342" ht="15.75" customHeight="1">
      <c r="A1342" s="32">
        <f>IFERROR(__xludf.DUMMYFUNCTION("""COMPUTED_VALUE"""),45541.66666666667)</f>
        <v>45541.66667</v>
      </c>
      <c r="B1342" s="22">
        <f>IFERROR(__xludf.DUMMYFUNCTION("""COMPUTED_VALUE"""),5408.42)</f>
        <v>5408.42</v>
      </c>
      <c r="C1342" s="22">
        <f t="shared" si="10"/>
        <v>9040.199616</v>
      </c>
      <c r="D1342" s="25">
        <f>IFERROR(__xludf.DUMMYFUNCTION("""COMPUTED_VALUE"""),45521.99861111111)</f>
        <v>45521.99861</v>
      </c>
      <c r="E1342" s="22">
        <f>IFERROR(__xludf.DUMMYFUNCTION("""COMPUTED_VALUE"""),1.103)</f>
        <v>1.103</v>
      </c>
      <c r="F1342" s="22">
        <f t="shared" si="11"/>
        <v>778.6676672</v>
      </c>
      <c r="G1342" s="22">
        <f t="shared" si="79"/>
        <v>36.47793171</v>
      </c>
      <c r="H1342" s="22">
        <f t="shared" si="80"/>
        <v>102.3675456</v>
      </c>
    </row>
    <row r="1343" ht="15.75" customHeight="1">
      <c r="A1343" s="32">
        <f>IFERROR(__xludf.DUMMYFUNCTION("""COMPUTED_VALUE"""),45548.66666666667)</f>
        <v>45548.66667</v>
      </c>
      <c r="B1343" s="22">
        <f>IFERROR(__xludf.DUMMYFUNCTION("""COMPUTED_VALUE"""),5626.02)</f>
        <v>5626.02</v>
      </c>
      <c r="C1343" s="22">
        <f t="shared" si="10"/>
        <v>9407.396045</v>
      </c>
      <c r="D1343" s="25">
        <f>IFERROR(__xludf.DUMMYFUNCTION("""COMPUTED_VALUE"""),45528.99861111111)</f>
        <v>45528.99861</v>
      </c>
      <c r="E1343" s="22">
        <f>IFERROR(__xludf.DUMMYFUNCTION("""COMPUTED_VALUE"""),1.1192)</f>
        <v>1.1192</v>
      </c>
      <c r="F1343" s="22">
        <f t="shared" si="11"/>
        <v>798.5670018</v>
      </c>
      <c r="G1343" s="22">
        <f t="shared" si="79"/>
        <v>42.02074009</v>
      </c>
      <c r="H1343" s="22">
        <f t="shared" si="80"/>
        <v>104.3630324</v>
      </c>
    </row>
    <row r="1344" ht="15.75" customHeight="1">
      <c r="A1344" s="32">
        <f>IFERROR(__xludf.DUMMYFUNCTION("""COMPUTED_VALUE"""),45555.66666666667)</f>
        <v>45555.66667</v>
      </c>
      <c r="B1344" s="22">
        <f>IFERROR(__xludf.DUMMYFUNCTION("""COMPUTED_VALUE"""),5702.55)</f>
        <v>5702.55</v>
      </c>
      <c r="C1344" s="22">
        <f t="shared" si="10"/>
        <v>9538.981829</v>
      </c>
      <c r="D1344" s="25">
        <f>IFERROR(__xludf.DUMMYFUNCTION("""COMPUTED_VALUE"""),45535.99861111111)</f>
        <v>45535.99861</v>
      </c>
      <c r="E1344" s="22">
        <f>IFERROR(__xludf.DUMMYFUNCTION("""COMPUTED_VALUE"""),1.1059)</f>
        <v>1.1059</v>
      </c>
      <c r="F1344" s="22">
        <f t="shared" si="11"/>
        <v>819.4751669</v>
      </c>
      <c r="G1344" s="22">
        <f t="shared" si="79"/>
        <v>45.96054696</v>
      </c>
      <c r="H1344" s="22">
        <f t="shared" si="80"/>
        <v>114.0068621</v>
      </c>
    </row>
    <row r="1345" ht="15.75" customHeight="1">
      <c r="A1345" s="32">
        <f>IFERROR(__xludf.DUMMYFUNCTION("""COMPUTED_VALUE"""),45562.66666666667)</f>
        <v>45562.66667</v>
      </c>
      <c r="B1345" s="22">
        <f>IFERROR(__xludf.DUMMYFUNCTION("""COMPUTED_VALUE"""),5738.17)</f>
        <v>5738.17</v>
      </c>
      <c r="C1345" s="22">
        <f t="shared" si="10"/>
        <v>9602.234281</v>
      </c>
      <c r="D1345" s="25">
        <f>IFERROR(__xludf.DUMMYFUNCTION("""COMPUTED_VALUE"""),45542.99861111111)</f>
        <v>45542.99861</v>
      </c>
      <c r="E1345" s="22">
        <f>IFERROR(__xludf.DUMMYFUNCTION("""COMPUTED_VALUE"""),1.1088)</f>
        <v>1.1088</v>
      </c>
      <c r="F1345" s="22">
        <f t="shared" si="11"/>
        <v>822.7515604</v>
      </c>
      <c r="G1345" s="22">
        <f t="shared" si="79"/>
        <v>48.94111115</v>
      </c>
      <c r="H1345" s="22">
        <f t="shared" si="80"/>
        <v>116.0722788</v>
      </c>
    </row>
    <row r="1346" ht="15.75" customHeight="1">
      <c r="A1346" s="32">
        <f>IFERROR(__xludf.DUMMYFUNCTION("""COMPUTED_VALUE"""),45569.66666666667)</f>
        <v>45569.66667</v>
      </c>
      <c r="B1346" s="22">
        <f>IFERROR(__xludf.DUMMYFUNCTION("""COMPUTED_VALUE"""),5751.07)</f>
        <v>5751.07</v>
      </c>
      <c r="C1346" s="22">
        <f t="shared" si="10"/>
        <v>9627.514264</v>
      </c>
      <c r="D1346" s="25">
        <f>IFERROR(__xludf.DUMMYFUNCTION("""COMPUTED_VALUE"""),45549.99861111111)</f>
        <v>45549.99861</v>
      </c>
      <c r="E1346" s="22">
        <f>IFERROR(__xludf.DUMMYFUNCTION("""COMPUTED_VALUE"""),1.1081)</f>
        <v>1.1081</v>
      </c>
      <c r="F1346" s="22">
        <f t="shared" si="11"/>
        <v>825.4387443</v>
      </c>
      <c r="G1346" s="22">
        <f t="shared" si="79"/>
        <v>47.09583592</v>
      </c>
      <c r="H1346" s="22">
        <f t="shared" si="80"/>
        <v>112.6408025</v>
      </c>
    </row>
    <row r="1347" ht="15.75" customHeight="1">
      <c r="A1347" s="32">
        <f>IFERROR(__xludf.DUMMYFUNCTION("""COMPUTED_VALUE"""),45576.66666666667)</f>
        <v>45576.66667</v>
      </c>
      <c r="B1347" s="22">
        <f>IFERROR(__xludf.DUMMYFUNCTION("""COMPUTED_VALUE"""),5815.03)</f>
        <v>5815.03</v>
      </c>
      <c r="C1347" s="22">
        <f t="shared" si="10"/>
        <v>9738.288675</v>
      </c>
      <c r="D1347" s="25">
        <f>IFERROR(__xludf.DUMMYFUNCTION("""COMPUTED_VALUE"""),45556.99861111111)</f>
        <v>45556.99861</v>
      </c>
      <c r="E1347" s="22">
        <f>IFERROR(__xludf.DUMMYFUNCTION("""COMPUTED_VALUE"""),1.1169)</f>
        <v>1.1169</v>
      </c>
      <c r="F1347" s="22">
        <f t="shared" ref="F1347:F1471" si="81">IF(OR(ISBLANK(B1347),B1347=0),"",F1346*((E1347/E1346)*(C1347/C1346)))</f>
        <v>841.5669267</v>
      </c>
      <c r="G1347" s="22">
        <f t="shared" si="79"/>
        <v>47.19996337</v>
      </c>
      <c r="H1347" s="22">
        <f t="shared" si="80"/>
        <v>114.0887698</v>
      </c>
    </row>
    <row r="1348" ht="15.75" customHeight="1">
      <c r="A1348" s="32">
        <f>IFERROR(__xludf.DUMMYFUNCTION("""COMPUTED_VALUE"""),45583.66666666667)</f>
        <v>45583.66667</v>
      </c>
      <c r="B1348" s="31">
        <f>IFERROR(__xludf.DUMMYFUNCTION("""COMPUTED_VALUE"""),5864.67)</f>
        <v>5864.67</v>
      </c>
      <c r="C1348" s="22">
        <f t="shared" si="10"/>
        <v>9825.165066</v>
      </c>
      <c r="D1348" s="25">
        <f>IFERROR(__xludf.DUMMYFUNCTION("""COMPUTED_VALUE"""),45563.99861111111)</f>
        <v>45563.99861</v>
      </c>
      <c r="E1348" s="22">
        <f>IFERROR(__xludf.DUMMYFUNCTION("""COMPUTED_VALUE"""),1.117)</f>
        <v>1.117</v>
      </c>
      <c r="F1348" s="22">
        <f t="shared" si="81"/>
        <v>849.1506625</v>
      </c>
      <c r="G1348" s="22">
        <f t="shared" si="79"/>
        <v>44.46171579</v>
      </c>
      <c r="H1348" s="22">
        <f t="shared" si="80"/>
        <v>114.0996637</v>
      </c>
    </row>
    <row r="1349" ht="15.75" customHeight="1">
      <c r="A1349" s="32">
        <f>IFERROR(__xludf.DUMMYFUNCTION("""COMPUTED_VALUE"""),45590.66666666667)</f>
        <v>45590.66667</v>
      </c>
      <c r="B1349" s="31">
        <f>IFERROR(__xludf.DUMMYFUNCTION("""COMPUTED_VALUE"""),5808.12)</f>
        <v>5808.12</v>
      </c>
      <c r="C1349" s="22">
        <f t="shared" si="10"/>
        <v>9734.204957</v>
      </c>
      <c r="D1349" s="25">
        <f>IFERROR(__xludf.DUMMYFUNCTION("""COMPUTED_VALUE"""),45570.99861111111)</f>
        <v>45570.99861</v>
      </c>
      <c r="E1349" s="22">
        <f>IFERROR(__xludf.DUMMYFUNCTION("""COMPUTED_VALUE"""),1.0981)</f>
        <v>1.0981</v>
      </c>
      <c r="F1349" s="22">
        <f t="shared" si="81"/>
        <v>827.0544486</v>
      </c>
      <c r="G1349" s="22">
        <f t="shared" si="79"/>
        <v>38.53869206</v>
      </c>
      <c r="H1349" s="22">
        <f t="shared" si="80"/>
        <v>106.5048185</v>
      </c>
    </row>
    <row r="1350" ht="15.75" customHeight="1">
      <c r="A1350" s="32">
        <f>IFERROR(__xludf.DUMMYFUNCTION("""COMPUTED_VALUE"""),45597.66666666667)</f>
        <v>45597.66667</v>
      </c>
      <c r="B1350" s="31">
        <f>IFERROR(__xludf.DUMMYFUNCTION("""COMPUTED_VALUE"""),5728.8)</f>
        <v>5728.8</v>
      </c>
      <c r="C1350" s="22">
        <f t="shared" si="10"/>
        <v>9605.01135</v>
      </c>
      <c r="D1350" s="25">
        <f>IFERROR(__xludf.DUMMYFUNCTION("""COMPUTED_VALUE"""),45577.99861111111)</f>
        <v>45577.99861</v>
      </c>
      <c r="E1350" s="22">
        <f>IFERROR(__xludf.DUMMYFUNCTION("""COMPUTED_VALUE"""),1.0943)</f>
        <v>1.0943</v>
      </c>
      <c r="F1350" s="22">
        <f t="shared" si="81"/>
        <v>813.2536214</v>
      </c>
      <c r="G1350" s="22">
        <f t="shared" si="79"/>
        <v>33.85508389</v>
      </c>
      <c r="H1350" s="22">
        <f t="shared" si="80"/>
        <v>103.9597623</v>
      </c>
    </row>
    <row r="1351" ht="15.75" customHeight="1">
      <c r="A1351" s="32">
        <f>IFERROR(__xludf.DUMMYFUNCTION("""COMPUTED_VALUE"""),45604.66666666667)</f>
        <v>45604.66667</v>
      </c>
      <c r="B1351" s="31">
        <f>IFERROR(__xludf.DUMMYFUNCTION("""COMPUTED_VALUE"""),5995.54)</f>
        <v>5995.54</v>
      </c>
      <c r="C1351" s="22">
        <f t="shared" si="10"/>
        <v>10055.92677</v>
      </c>
      <c r="D1351" s="31">
        <f>IFERROR(__xludf.DUMMYFUNCTION("""COMPUTED_VALUE"""),45584.99861111111)</f>
        <v>45584.99861</v>
      </c>
      <c r="E1351" s="31">
        <f>IFERROR(__xludf.DUMMYFUNCTION("""COMPUTED_VALUE"""),1.087)</f>
        <v>1.087</v>
      </c>
      <c r="F1351" s="22">
        <f t="shared" si="81"/>
        <v>845.7526561</v>
      </c>
      <c r="G1351" s="22">
        <f t="shared" si="79"/>
        <v>40.08730716</v>
      </c>
      <c r="H1351" s="22">
        <f t="shared" si="80"/>
        <v>108.2145587</v>
      </c>
    </row>
    <row r="1352" ht="15.75" customHeight="1">
      <c r="A1352" s="32">
        <f>IFERROR(__xludf.DUMMYFUNCTION("""COMPUTED_VALUE"""),45611.66666666667)</f>
        <v>45611.66667</v>
      </c>
      <c r="B1352" s="31">
        <f>IFERROR(__xludf.DUMMYFUNCTION("""COMPUTED_VALUE"""),5870.62)</f>
        <v>5870.62</v>
      </c>
      <c r="C1352" s="22">
        <f t="shared" si="10"/>
        <v>9850.274296</v>
      </c>
      <c r="D1352" s="31">
        <f>IFERROR(__xludf.DUMMYFUNCTION("""COMPUTED_VALUE"""),45591.99861111111)</f>
        <v>45591.99861</v>
      </c>
      <c r="E1352" s="31">
        <f>IFERROR(__xludf.DUMMYFUNCTION("""COMPUTED_VALUE"""),1.0801)</f>
        <v>1.0801</v>
      </c>
      <c r="F1352" s="22">
        <f t="shared" si="81"/>
        <v>823.1974464</v>
      </c>
      <c r="G1352" s="22">
        <f t="shared" si="79"/>
        <v>34.76365237</v>
      </c>
      <c r="H1352" s="22">
        <f t="shared" si="80"/>
        <v>104.8419889</v>
      </c>
    </row>
    <row r="1353" ht="15.75" customHeight="1">
      <c r="A1353" s="32"/>
      <c r="C1353" s="22" t="str">
        <f t="shared" si="10"/>
        <v/>
      </c>
      <c r="D1353" s="31">
        <f>IFERROR(__xludf.DUMMYFUNCTION("""COMPUTED_VALUE"""),45598.99861111111)</f>
        <v>45598.99861</v>
      </c>
      <c r="E1353" s="31">
        <f>IFERROR(__xludf.DUMMYFUNCTION("""COMPUTED_VALUE"""),1.0873)</f>
        <v>1.0873</v>
      </c>
      <c r="F1353" s="22" t="str">
        <f t="shared" si="81"/>
        <v/>
      </c>
      <c r="G1353" s="22" t="str">
        <f t="shared" si="79"/>
        <v/>
      </c>
      <c r="H1353" s="22" t="str">
        <f t="shared" si="80"/>
        <v/>
      </c>
    </row>
    <row r="1354" ht="15.75" customHeight="1">
      <c r="A1354" s="32"/>
      <c r="C1354" s="22" t="str">
        <f t="shared" si="10"/>
        <v/>
      </c>
      <c r="D1354" s="31">
        <f>IFERROR(__xludf.DUMMYFUNCTION("""COMPUTED_VALUE"""),45605.99861111111)</f>
        <v>45605.99861</v>
      </c>
      <c r="E1354" s="31">
        <f>IFERROR(__xludf.DUMMYFUNCTION("""COMPUTED_VALUE"""),1.0717)</f>
        <v>1.0717</v>
      </c>
      <c r="F1354" s="22" t="str">
        <f t="shared" si="81"/>
        <v/>
      </c>
      <c r="G1354" s="22" t="str">
        <f t="shared" si="79"/>
        <v/>
      </c>
      <c r="H1354" s="22" t="str">
        <f t="shared" si="80"/>
        <v/>
      </c>
    </row>
    <row r="1355" ht="15.75" customHeight="1">
      <c r="A1355" s="32"/>
      <c r="C1355" s="22" t="str">
        <f t="shared" si="10"/>
        <v/>
      </c>
      <c r="D1355" s="31">
        <f>IFERROR(__xludf.DUMMYFUNCTION("""COMPUTED_VALUE"""),45612.99861111111)</f>
        <v>45612.99861</v>
      </c>
      <c r="E1355" s="31">
        <f>IFERROR(__xludf.DUMMYFUNCTION("""COMPUTED_VALUE"""),1.05445)</f>
        <v>1.05445</v>
      </c>
      <c r="F1355" s="22" t="str">
        <f t="shared" si="81"/>
        <v/>
      </c>
      <c r="G1355" s="22" t="str">
        <f t="shared" si="79"/>
        <v/>
      </c>
      <c r="H1355" s="22" t="str">
        <f t="shared" si="80"/>
        <v/>
      </c>
    </row>
    <row r="1356" ht="15.75" customHeight="1">
      <c r="A1356" s="32"/>
      <c r="C1356" s="22" t="str">
        <f t="shared" si="10"/>
        <v/>
      </c>
      <c r="F1356" s="22" t="str">
        <f t="shared" si="81"/>
        <v/>
      </c>
      <c r="G1356" s="22" t="str">
        <f t="shared" si="79"/>
        <v/>
      </c>
      <c r="H1356" s="22" t="str">
        <f t="shared" si="80"/>
        <v/>
      </c>
    </row>
    <row r="1357" ht="15.75" customHeight="1">
      <c r="A1357" s="32"/>
      <c r="C1357" s="22" t="str">
        <f t="shared" si="10"/>
        <v/>
      </c>
      <c r="F1357" s="22" t="str">
        <f t="shared" si="81"/>
        <v/>
      </c>
      <c r="G1357" s="22" t="str">
        <f t="shared" si="79"/>
        <v/>
      </c>
      <c r="H1357" s="22" t="str">
        <f t="shared" si="80"/>
        <v/>
      </c>
    </row>
    <row r="1358" ht="15.75" customHeight="1">
      <c r="A1358" s="32"/>
      <c r="C1358" s="22" t="str">
        <f t="shared" si="10"/>
        <v/>
      </c>
      <c r="F1358" s="22" t="str">
        <f t="shared" si="81"/>
        <v/>
      </c>
      <c r="G1358" s="22" t="str">
        <f t="shared" si="79"/>
        <v/>
      </c>
      <c r="H1358" s="22" t="str">
        <f t="shared" si="80"/>
        <v/>
      </c>
    </row>
    <row r="1359" ht="15.75" customHeight="1">
      <c r="A1359" s="32"/>
      <c r="C1359" s="22" t="str">
        <f t="shared" si="10"/>
        <v/>
      </c>
      <c r="F1359" s="22" t="str">
        <f t="shared" si="81"/>
        <v/>
      </c>
      <c r="G1359" s="22" t="str">
        <f t="shared" si="79"/>
        <v/>
      </c>
      <c r="H1359" s="22" t="str">
        <f t="shared" si="80"/>
        <v/>
      </c>
    </row>
    <row r="1360" ht="15.75" customHeight="1">
      <c r="A1360" s="32"/>
      <c r="C1360" s="22" t="str">
        <f t="shared" si="10"/>
        <v/>
      </c>
      <c r="F1360" s="22" t="str">
        <f t="shared" si="81"/>
        <v/>
      </c>
      <c r="G1360" s="22" t="str">
        <f t="shared" si="79"/>
        <v/>
      </c>
      <c r="H1360" s="22" t="str">
        <f t="shared" si="80"/>
        <v/>
      </c>
    </row>
    <row r="1361" ht="15.75" customHeight="1">
      <c r="A1361" s="32"/>
      <c r="C1361" s="22" t="str">
        <f t="shared" si="10"/>
        <v/>
      </c>
      <c r="F1361" s="22" t="str">
        <f t="shared" si="81"/>
        <v/>
      </c>
      <c r="G1361" s="22" t="str">
        <f t="shared" si="79"/>
        <v/>
      </c>
      <c r="H1361" s="22" t="str">
        <f t="shared" si="80"/>
        <v/>
      </c>
    </row>
    <row r="1362" ht="15.75" customHeight="1">
      <c r="A1362" s="32"/>
      <c r="C1362" s="22" t="str">
        <f t="shared" si="10"/>
        <v/>
      </c>
      <c r="F1362" s="22" t="str">
        <f t="shared" si="81"/>
        <v/>
      </c>
      <c r="G1362" s="22" t="str">
        <f t="shared" si="79"/>
        <v/>
      </c>
      <c r="H1362" s="22" t="str">
        <f t="shared" si="80"/>
        <v/>
      </c>
    </row>
    <row r="1363" ht="15.75" customHeight="1">
      <c r="A1363" s="32"/>
      <c r="C1363" s="22" t="str">
        <f t="shared" si="10"/>
        <v/>
      </c>
      <c r="F1363" s="22" t="str">
        <f t="shared" si="81"/>
        <v/>
      </c>
      <c r="G1363" s="22" t="str">
        <f t="shared" si="79"/>
        <v/>
      </c>
      <c r="H1363" s="22" t="str">
        <f t="shared" si="80"/>
        <v/>
      </c>
    </row>
    <row r="1364" ht="15.75" customHeight="1">
      <c r="A1364" s="32"/>
      <c r="C1364" s="22" t="str">
        <f t="shared" si="10"/>
        <v/>
      </c>
      <c r="F1364" s="22" t="str">
        <f t="shared" si="81"/>
        <v/>
      </c>
      <c r="G1364" s="22" t="str">
        <f t="shared" si="79"/>
        <v/>
      </c>
      <c r="H1364" s="22" t="str">
        <f t="shared" si="80"/>
        <v/>
      </c>
    </row>
    <row r="1365" ht="15.75" customHeight="1">
      <c r="A1365" s="32"/>
      <c r="C1365" s="22" t="str">
        <f t="shared" si="10"/>
        <v/>
      </c>
      <c r="F1365" s="22" t="str">
        <f t="shared" si="81"/>
        <v/>
      </c>
      <c r="G1365" s="22" t="str">
        <f t="shared" si="79"/>
        <v/>
      </c>
      <c r="H1365" s="22" t="str">
        <f t="shared" si="80"/>
        <v/>
      </c>
    </row>
    <row r="1366" ht="15.75" customHeight="1">
      <c r="A1366" s="32"/>
      <c r="C1366" s="22" t="str">
        <f t="shared" si="10"/>
        <v/>
      </c>
      <c r="F1366" s="22" t="str">
        <f t="shared" si="81"/>
        <v/>
      </c>
      <c r="G1366" s="22" t="str">
        <f t="shared" si="79"/>
        <v/>
      </c>
      <c r="H1366" s="22" t="str">
        <f t="shared" si="80"/>
        <v/>
      </c>
    </row>
    <row r="1367" ht="15.75" customHeight="1">
      <c r="A1367" s="32"/>
      <c r="C1367" s="22" t="str">
        <f t="shared" si="10"/>
        <v/>
      </c>
      <c r="F1367" s="22" t="str">
        <f t="shared" si="81"/>
        <v/>
      </c>
      <c r="G1367" s="22" t="str">
        <f t="shared" si="79"/>
        <v/>
      </c>
      <c r="H1367" s="22" t="str">
        <f t="shared" si="80"/>
        <v/>
      </c>
    </row>
    <row r="1368" ht="15.75" customHeight="1">
      <c r="A1368" s="32"/>
      <c r="C1368" s="22" t="str">
        <f t="shared" si="10"/>
        <v/>
      </c>
      <c r="F1368" s="22" t="str">
        <f t="shared" si="81"/>
        <v/>
      </c>
      <c r="G1368" s="22" t="str">
        <f t="shared" si="79"/>
        <v/>
      </c>
      <c r="H1368" s="22" t="str">
        <f t="shared" si="80"/>
        <v/>
      </c>
    </row>
    <row r="1369" ht="15.75" customHeight="1">
      <c r="A1369" s="32"/>
      <c r="C1369" s="22" t="str">
        <f t="shared" si="10"/>
        <v/>
      </c>
      <c r="F1369" s="22" t="str">
        <f t="shared" si="81"/>
        <v/>
      </c>
      <c r="G1369" s="22" t="str">
        <f t="shared" si="79"/>
        <v/>
      </c>
      <c r="H1369" s="22" t="str">
        <f t="shared" si="80"/>
        <v/>
      </c>
    </row>
    <row r="1370" ht="15.75" customHeight="1">
      <c r="A1370" s="32"/>
      <c r="C1370" s="22" t="str">
        <f t="shared" si="10"/>
        <v/>
      </c>
      <c r="F1370" s="22" t="str">
        <f t="shared" si="81"/>
        <v/>
      </c>
      <c r="G1370" s="22" t="str">
        <f t="shared" si="79"/>
        <v/>
      </c>
      <c r="H1370" s="22" t="str">
        <f t="shared" si="80"/>
        <v/>
      </c>
    </row>
    <row r="1371" ht="15.75" customHeight="1">
      <c r="A1371" s="32"/>
      <c r="C1371" s="22" t="str">
        <f t="shared" si="10"/>
        <v/>
      </c>
      <c r="F1371" s="22" t="str">
        <f t="shared" si="81"/>
        <v/>
      </c>
      <c r="G1371" s="22" t="str">
        <f t="shared" si="79"/>
        <v/>
      </c>
      <c r="H1371" s="22" t="str">
        <f t="shared" si="80"/>
        <v/>
      </c>
    </row>
    <row r="1372" ht="15.75" customHeight="1">
      <c r="A1372" s="32"/>
      <c r="C1372" s="22" t="str">
        <f t="shared" si="10"/>
        <v/>
      </c>
      <c r="F1372" s="22" t="str">
        <f t="shared" si="81"/>
        <v/>
      </c>
      <c r="G1372" s="22" t="str">
        <f t="shared" si="79"/>
        <v/>
      </c>
      <c r="H1372" s="22" t="str">
        <f t="shared" si="80"/>
        <v/>
      </c>
    </row>
    <row r="1373" ht="15.75" customHeight="1">
      <c r="A1373" s="32"/>
      <c r="C1373" s="22" t="str">
        <f t="shared" si="10"/>
        <v/>
      </c>
      <c r="F1373" s="22" t="str">
        <f t="shared" si="81"/>
        <v/>
      </c>
      <c r="G1373" s="22" t="str">
        <f t="shared" si="79"/>
        <v/>
      </c>
      <c r="H1373" s="22" t="str">
        <f t="shared" si="80"/>
        <v/>
      </c>
    </row>
    <row r="1374" ht="15.75" customHeight="1">
      <c r="A1374" s="32"/>
      <c r="C1374" s="22" t="str">
        <f t="shared" si="10"/>
        <v/>
      </c>
      <c r="F1374" s="22" t="str">
        <f t="shared" si="81"/>
        <v/>
      </c>
      <c r="G1374" s="22" t="str">
        <f t="shared" si="79"/>
        <v/>
      </c>
      <c r="H1374" s="22" t="str">
        <f t="shared" si="80"/>
        <v/>
      </c>
    </row>
    <row r="1375" ht="15.75" customHeight="1">
      <c r="A1375" s="32"/>
      <c r="C1375" s="22" t="str">
        <f t="shared" si="10"/>
        <v/>
      </c>
      <c r="F1375" s="22" t="str">
        <f t="shared" si="81"/>
        <v/>
      </c>
      <c r="G1375" s="22" t="str">
        <f t="shared" si="79"/>
        <v/>
      </c>
      <c r="H1375" s="22" t="str">
        <f t="shared" si="80"/>
        <v/>
      </c>
    </row>
    <row r="1376" ht="15.75" customHeight="1">
      <c r="A1376" s="32"/>
      <c r="C1376" s="22" t="str">
        <f t="shared" si="10"/>
        <v/>
      </c>
      <c r="F1376" s="22" t="str">
        <f t="shared" si="81"/>
        <v/>
      </c>
      <c r="G1376" s="22" t="str">
        <f t="shared" si="79"/>
        <v/>
      </c>
      <c r="H1376" s="22" t="str">
        <f t="shared" si="80"/>
        <v/>
      </c>
    </row>
    <row r="1377" ht="15.75" customHeight="1">
      <c r="A1377" s="32"/>
      <c r="C1377" s="22" t="str">
        <f t="shared" si="10"/>
        <v/>
      </c>
      <c r="F1377" s="22" t="str">
        <f t="shared" si="81"/>
        <v/>
      </c>
      <c r="G1377" s="22" t="str">
        <f t="shared" si="79"/>
        <v/>
      </c>
      <c r="H1377" s="22" t="str">
        <f t="shared" si="80"/>
        <v/>
      </c>
    </row>
    <row r="1378" ht="15.75" customHeight="1">
      <c r="A1378" s="32"/>
      <c r="C1378" s="22" t="str">
        <f t="shared" si="10"/>
        <v/>
      </c>
      <c r="F1378" s="22" t="str">
        <f t="shared" si="81"/>
        <v/>
      </c>
      <c r="G1378" s="22" t="str">
        <f t="shared" si="79"/>
        <v/>
      </c>
      <c r="H1378" s="22" t="str">
        <f t="shared" si="80"/>
        <v/>
      </c>
    </row>
    <row r="1379" ht="15.75" customHeight="1">
      <c r="A1379" s="32"/>
      <c r="C1379" s="22" t="str">
        <f t="shared" si="10"/>
        <v/>
      </c>
      <c r="F1379" s="22" t="str">
        <f t="shared" si="81"/>
        <v/>
      </c>
      <c r="G1379" s="22" t="str">
        <f t="shared" si="79"/>
        <v/>
      </c>
      <c r="H1379" s="22" t="str">
        <f t="shared" si="80"/>
        <v/>
      </c>
    </row>
    <row r="1380" ht="15.75" customHeight="1">
      <c r="A1380" s="32"/>
      <c r="C1380" s="22" t="str">
        <f t="shared" si="10"/>
        <v/>
      </c>
      <c r="F1380" s="22" t="str">
        <f t="shared" si="81"/>
        <v/>
      </c>
      <c r="G1380" s="22" t="str">
        <f t="shared" si="79"/>
        <v/>
      </c>
      <c r="H1380" s="22" t="str">
        <f t="shared" si="80"/>
        <v/>
      </c>
    </row>
    <row r="1381" ht="15.75" customHeight="1">
      <c r="A1381" s="32"/>
      <c r="C1381" s="22" t="str">
        <f t="shared" si="10"/>
        <v/>
      </c>
      <c r="F1381" s="22" t="str">
        <f t="shared" si="81"/>
        <v/>
      </c>
      <c r="G1381" s="22" t="str">
        <f t="shared" si="79"/>
        <v/>
      </c>
      <c r="H1381" s="22" t="str">
        <f t="shared" si="80"/>
        <v/>
      </c>
    </row>
    <row r="1382" ht="15.75" customHeight="1">
      <c r="A1382" s="32"/>
      <c r="C1382" s="22" t="str">
        <f t="shared" si="10"/>
        <v/>
      </c>
      <c r="F1382" s="22" t="str">
        <f t="shared" si="81"/>
        <v/>
      </c>
      <c r="G1382" s="22" t="str">
        <f t="shared" si="79"/>
        <v/>
      </c>
      <c r="H1382" s="22" t="str">
        <f t="shared" si="80"/>
        <v/>
      </c>
    </row>
    <row r="1383" ht="15.75" customHeight="1">
      <c r="A1383" s="32"/>
      <c r="C1383" s="22" t="str">
        <f t="shared" si="10"/>
        <v/>
      </c>
      <c r="F1383" s="22" t="str">
        <f t="shared" si="81"/>
        <v/>
      </c>
      <c r="G1383" s="22" t="str">
        <f t="shared" si="79"/>
        <v/>
      </c>
      <c r="H1383" s="22" t="str">
        <f t="shared" si="80"/>
        <v/>
      </c>
    </row>
    <row r="1384" ht="15.75" customHeight="1">
      <c r="A1384" s="32"/>
      <c r="C1384" s="22" t="str">
        <f t="shared" si="10"/>
        <v/>
      </c>
      <c r="F1384" s="22" t="str">
        <f t="shared" si="81"/>
        <v/>
      </c>
      <c r="G1384" s="22" t="str">
        <f t="shared" si="79"/>
        <v/>
      </c>
      <c r="H1384" s="22" t="str">
        <f t="shared" si="80"/>
        <v/>
      </c>
    </row>
    <row r="1385" ht="15.75" customHeight="1">
      <c r="A1385" s="32"/>
      <c r="C1385" s="22" t="str">
        <f t="shared" si="10"/>
        <v/>
      </c>
      <c r="F1385" s="22" t="str">
        <f t="shared" si="81"/>
        <v/>
      </c>
      <c r="G1385" s="22" t="str">
        <f t="shared" si="79"/>
        <v/>
      </c>
      <c r="H1385" s="22" t="str">
        <f t="shared" si="80"/>
        <v/>
      </c>
    </row>
    <row r="1386" ht="15.75" customHeight="1">
      <c r="A1386" s="32"/>
      <c r="C1386" s="22" t="str">
        <f t="shared" ref="C1386:C1420" si="82">IF(ISBLANK(B1385), "", C1385 * (1 + (B1386 - B1385) / B1385 + $J$3 / 52))
</f>
        <v/>
      </c>
      <c r="F1386" s="22" t="str">
        <f t="shared" si="81"/>
        <v/>
      </c>
      <c r="G1386" s="22" t="str">
        <f t="shared" si="79"/>
        <v/>
      </c>
      <c r="H1386" s="22" t="str">
        <f t="shared" si="80"/>
        <v/>
      </c>
    </row>
    <row r="1387" ht="15.75" customHeight="1">
      <c r="A1387" s="32"/>
      <c r="C1387" s="22" t="str">
        <f t="shared" si="82"/>
        <v/>
      </c>
      <c r="F1387" s="22" t="str">
        <f t="shared" si="81"/>
        <v/>
      </c>
      <c r="G1387" s="22" t="str">
        <f t="shared" si="79"/>
        <v/>
      </c>
      <c r="H1387" s="22" t="str">
        <f t="shared" si="80"/>
        <v/>
      </c>
    </row>
    <row r="1388" ht="15.75" customHeight="1">
      <c r="A1388" s="32"/>
      <c r="C1388" s="22" t="str">
        <f t="shared" si="82"/>
        <v/>
      </c>
      <c r="F1388" s="22" t="str">
        <f t="shared" si="81"/>
        <v/>
      </c>
      <c r="G1388" s="22" t="str">
        <f t="shared" si="79"/>
        <v/>
      </c>
      <c r="H1388" s="22" t="str">
        <f t="shared" si="80"/>
        <v/>
      </c>
    </row>
    <row r="1389" ht="15.75" customHeight="1">
      <c r="A1389" s="32"/>
      <c r="C1389" s="22" t="str">
        <f t="shared" si="82"/>
        <v/>
      </c>
      <c r="F1389" s="22" t="str">
        <f t="shared" si="81"/>
        <v/>
      </c>
      <c r="G1389" s="22" t="str">
        <f t="shared" si="79"/>
        <v/>
      </c>
      <c r="H1389" s="22" t="str">
        <f t="shared" si="80"/>
        <v/>
      </c>
    </row>
    <row r="1390" ht="15.75" customHeight="1">
      <c r="A1390" s="32"/>
      <c r="C1390" s="22" t="str">
        <f t="shared" si="82"/>
        <v/>
      </c>
      <c r="F1390" s="22" t="str">
        <f t="shared" si="81"/>
        <v/>
      </c>
      <c r="G1390" s="22" t="str">
        <f t="shared" si="79"/>
        <v/>
      </c>
      <c r="H1390" s="22" t="str">
        <f t="shared" si="80"/>
        <v/>
      </c>
    </row>
    <row r="1391" ht="15.75" customHeight="1">
      <c r="A1391" s="32"/>
      <c r="C1391" s="22" t="str">
        <f t="shared" si="82"/>
        <v/>
      </c>
      <c r="F1391" s="22" t="str">
        <f t="shared" si="81"/>
        <v/>
      </c>
      <c r="G1391" s="22" t="str">
        <f t="shared" si="79"/>
        <v/>
      </c>
      <c r="H1391" s="22" t="str">
        <f t="shared" si="80"/>
        <v/>
      </c>
    </row>
    <row r="1392" ht="15.75" customHeight="1">
      <c r="A1392" s="32"/>
      <c r="C1392" s="22" t="str">
        <f t="shared" si="82"/>
        <v/>
      </c>
      <c r="F1392" s="22" t="str">
        <f t="shared" si="81"/>
        <v/>
      </c>
      <c r="G1392" s="22" t="str">
        <f t="shared" si="79"/>
        <v/>
      </c>
      <c r="H1392" s="22" t="str">
        <f t="shared" si="80"/>
        <v/>
      </c>
    </row>
    <row r="1393" ht="15.75" customHeight="1">
      <c r="A1393" s="32"/>
      <c r="C1393" s="22" t="str">
        <f t="shared" si="82"/>
        <v/>
      </c>
      <c r="F1393" s="22" t="str">
        <f t="shared" si="81"/>
        <v/>
      </c>
      <c r="G1393" s="22" t="str">
        <f t="shared" si="79"/>
        <v/>
      </c>
      <c r="H1393" s="22" t="str">
        <f t="shared" si="80"/>
        <v/>
      </c>
    </row>
    <row r="1394" ht="15.75" customHeight="1">
      <c r="A1394" s="32"/>
      <c r="C1394" s="22" t="str">
        <f t="shared" si="82"/>
        <v/>
      </c>
      <c r="F1394" s="22" t="str">
        <f t="shared" si="81"/>
        <v/>
      </c>
      <c r="G1394" s="22" t="str">
        <f t="shared" si="79"/>
        <v/>
      </c>
      <c r="H1394" s="22" t="str">
        <f t="shared" si="80"/>
        <v/>
      </c>
    </row>
    <row r="1395" ht="15.75" customHeight="1">
      <c r="A1395" s="32"/>
      <c r="C1395" s="22" t="str">
        <f t="shared" si="82"/>
        <v/>
      </c>
      <c r="F1395" s="22" t="str">
        <f t="shared" si="81"/>
        <v/>
      </c>
      <c r="G1395" s="22" t="str">
        <f t="shared" si="79"/>
        <v/>
      </c>
      <c r="H1395" s="22" t="str">
        <f t="shared" si="80"/>
        <v/>
      </c>
    </row>
    <row r="1396" ht="15.75" customHeight="1">
      <c r="A1396" s="32"/>
      <c r="C1396" s="22" t="str">
        <f t="shared" si="82"/>
        <v/>
      </c>
      <c r="F1396" s="22" t="str">
        <f t="shared" si="81"/>
        <v/>
      </c>
      <c r="G1396" s="22" t="str">
        <f t="shared" si="79"/>
        <v/>
      </c>
      <c r="H1396" s="22" t="str">
        <f t="shared" si="80"/>
        <v/>
      </c>
    </row>
    <row r="1397" ht="15.75" customHeight="1">
      <c r="A1397" s="32"/>
      <c r="C1397" s="22" t="str">
        <f t="shared" si="82"/>
        <v/>
      </c>
      <c r="F1397" s="22" t="str">
        <f t="shared" si="81"/>
        <v/>
      </c>
      <c r="G1397" s="22" t="str">
        <f t="shared" si="79"/>
        <v/>
      </c>
      <c r="H1397" s="22" t="str">
        <f t="shared" si="80"/>
        <v/>
      </c>
    </row>
    <row r="1398" ht="15.75" customHeight="1">
      <c r="A1398" s="32"/>
      <c r="C1398" s="22" t="str">
        <f t="shared" si="82"/>
        <v/>
      </c>
      <c r="F1398" s="22" t="str">
        <f t="shared" si="81"/>
        <v/>
      </c>
      <c r="G1398" s="22" t="str">
        <f t="shared" si="79"/>
        <v/>
      </c>
      <c r="H1398" s="22" t="str">
        <f t="shared" si="80"/>
        <v/>
      </c>
    </row>
    <row r="1399" ht="15.75" customHeight="1">
      <c r="A1399" s="32"/>
      <c r="C1399" s="22" t="str">
        <f t="shared" si="82"/>
        <v/>
      </c>
      <c r="F1399" s="22" t="str">
        <f t="shared" si="81"/>
        <v/>
      </c>
      <c r="G1399" s="22" t="str">
        <f t="shared" si="79"/>
        <v/>
      </c>
      <c r="H1399" s="22" t="str">
        <f t="shared" si="80"/>
        <v/>
      </c>
    </row>
    <row r="1400" ht="15.75" customHeight="1">
      <c r="A1400" s="32"/>
      <c r="C1400" s="22" t="str">
        <f t="shared" si="82"/>
        <v/>
      </c>
      <c r="F1400" s="22" t="str">
        <f t="shared" si="81"/>
        <v/>
      </c>
      <c r="G1400" s="22" t="str">
        <f t="shared" si="79"/>
        <v/>
      </c>
      <c r="H1400" s="22" t="str">
        <f t="shared" si="80"/>
        <v/>
      </c>
    </row>
    <row r="1401" ht="15.75" customHeight="1">
      <c r="A1401" s="32"/>
      <c r="C1401" s="22" t="str">
        <f t="shared" si="82"/>
        <v/>
      </c>
      <c r="F1401" s="22" t="str">
        <f t="shared" si="81"/>
        <v/>
      </c>
      <c r="G1401" s="22" t="str">
        <f t="shared" si="79"/>
        <v/>
      </c>
      <c r="H1401" s="22" t="str">
        <f t="shared" si="80"/>
        <v/>
      </c>
    </row>
    <row r="1402" ht="15.75" customHeight="1">
      <c r="A1402" s="32"/>
      <c r="C1402" s="22" t="str">
        <f t="shared" si="82"/>
        <v/>
      </c>
      <c r="F1402" s="22" t="str">
        <f t="shared" si="81"/>
        <v/>
      </c>
      <c r="G1402" s="22" t="str">
        <f t="shared" si="79"/>
        <v/>
      </c>
      <c r="H1402" s="22" t="str">
        <f t="shared" si="80"/>
        <v/>
      </c>
    </row>
    <row r="1403" ht="15.75" customHeight="1">
      <c r="A1403" s="32"/>
      <c r="C1403" s="22" t="str">
        <f t="shared" si="82"/>
        <v/>
      </c>
      <c r="F1403" s="22" t="str">
        <f t="shared" si="81"/>
        <v/>
      </c>
      <c r="G1403" s="22" t="str">
        <f t="shared" si="79"/>
        <v/>
      </c>
      <c r="H1403" s="22" t="str">
        <f t="shared" si="80"/>
        <v/>
      </c>
    </row>
    <row r="1404" ht="15.75" customHeight="1">
      <c r="A1404" s="32"/>
      <c r="C1404" s="22" t="str">
        <f t="shared" si="82"/>
        <v/>
      </c>
      <c r="F1404" s="22" t="str">
        <f t="shared" si="81"/>
        <v/>
      </c>
      <c r="G1404" s="22" t="str">
        <f t="shared" si="79"/>
        <v/>
      </c>
      <c r="H1404" s="22" t="str">
        <f t="shared" si="80"/>
        <v/>
      </c>
    </row>
    <row r="1405" ht="15.75" customHeight="1">
      <c r="A1405" s="32"/>
      <c r="C1405" s="22" t="str">
        <f t="shared" si="82"/>
        <v/>
      </c>
      <c r="F1405" s="22" t="str">
        <f t="shared" si="81"/>
        <v/>
      </c>
      <c r="G1405" s="22" t="str">
        <f t="shared" si="79"/>
        <v/>
      </c>
      <c r="H1405" s="22" t="str">
        <f t="shared" si="80"/>
        <v/>
      </c>
    </row>
    <row r="1406" ht="15.75" customHeight="1">
      <c r="A1406" s="32"/>
      <c r="C1406" s="22" t="str">
        <f t="shared" si="82"/>
        <v/>
      </c>
      <c r="F1406" s="22" t="str">
        <f t="shared" si="81"/>
        <v/>
      </c>
      <c r="G1406" s="22" t="str">
        <f t="shared" si="79"/>
        <v/>
      </c>
      <c r="H1406" s="22" t="str">
        <f t="shared" si="80"/>
        <v/>
      </c>
    </row>
    <row r="1407" ht="15.75" customHeight="1">
      <c r="A1407" s="32"/>
      <c r="C1407" s="22" t="str">
        <f t="shared" si="82"/>
        <v/>
      </c>
      <c r="F1407" s="22" t="str">
        <f t="shared" si="81"/>
        <v/>
      </c>
      <c r="G1407" s="22" t="str">
        <f t="shared" si="79"/>
        <v/>
      </c>
      <c r="H1407" s="22" t="str">
        <f t="shared" si="80"/>
        <v/>
      </c>
    </row>
    <row r="1408" ht="15.75" customHeight="1">
      <c r="A1408" s="32"/>
      <c r="C1408" s="22" t="str">
        <f t="shared" si="82"/>
        <v/>
      </c>
      <c r="F1408" s="22" t="str">
        <f t="shared" si="81"/>
        <v/>
      </c>
      <c r="G1408" s="22" t="str">
        <f t="shared" si="79"/>
        <v/>
      </c>
      <c r="H1408" s="22" t="str">
        <f t="shared" si="80"/>
        <v/>
      </c>
    </row>
    <row r="1409" ht="15.75" customHeight="1">
      <c r="A1409" s="32"/>
      <c r="C1409" s="22" t="str">
        <f t="shared" si="82"/>
        <v/>
      </c>
      <c r="F1409" s="22" t="str">
        <f t="shared" si="81"/>
        <v/>
      </c>
      <c r="G1409" s="22" t="str">
        <f t="shared" si="79"/>
        <v/>
      </c>
      <c r="H1409" s="22" t="str">
        <f t="shared" si="80"/>
        <v/>
      </c>
    </row>
    <row r="1410" ht="15.75" customHeight="1">
      <c r="A1410" s="32"/>
      <c r="C1410" s="22" t="str">
        <f t="shared" si="82"/>
        <v/>
      </c>
      <c r="F1410" s="22" t="str">
        <f t="shared" si="81"/>
        <v/>
      </c>
      <c r="G1410" s="22" t="str">
        <f t="shared" si="79"/>
        <v/>
      </c>
      <c r="H1410" s="22" t="str">
        <f t="shared" si="80"/>
        <v/>
      </c>
    </row>
    <row r="1411" ht="15.75" customHeight="1">
      <c r="A1411" s="32"/>
      <c r="C1411" s="22" t="str">
        <f t="shared" si="82"/>
        <v/>
      </c>
      <c r="F1411" s="22" t="str">
        <f t="shared" si="81"/>
        <v/>
      </c>
      <c r="G1411" s="22" t="str">
        <f t="shared" si="79"/>
        <v/>
      </c>
      <c r="H1411" s="22" t="str">
        <f t="shared" si="80"/>
        <v/>
      </c>
    </row>
    <row r="1412" ht="15.75" customHeight="1">
      <c r="A1412" s="32"/>
      <c r="C1412" s="22" t="str">
        <f t="shared" si="82"/>
        <v/>
      </c>
      <c r="F1412" s="22" t="str">
        <f t="shared" si="81"/>
        <v/>
      </c>
      <c r="G1412" s="22" t="str">
        <f t="shared" si="79"/>
        <v/>
      </c>
      <c r="H1412" s="22" t="str">
        <f t="shared" si="80"/>
        <v/>
      </c>
    </row>
    <row r="1413" ht="15.75" customHeight="1">
      <c r="A1413" s="32"/>
      <c r="C1413" s="22" t="str">
        <f t="shared" si="82"/>
        <v/>
      </c>
      <c r="F1413" s="22" t="str">
        <f t="shared" si="81"/>
        <v/>
      </c>
      <c r="G1413" s="22" t="str">
        <f t="shared" si="79"/>
        <v/>
      </c>
      <c r="H1413" s="22" t="str">
        <f t="shared" si="80"/>
        <v/>
      </c>
    </row>
    <row r="1414" ht="15.75" customHeight="1">
      <c r="A1414" s="32"/>
      <c r="C1414" s="22" t="str">
        <f t="shared" si="82"/>
        <v/>
      </c>
      <c r="F1414" s="22" t="str">
        <f t="shared" si="81"/>
        <v/>
      </c>
      <c r="G1414" s="22" t="str">
        <f t="shared" si="79"/>
        <v/>
      </c>
      <c r="H1414" s="22" t="str">
        <f t="shared" si="80"/>
        <v/>
      </c>
    </row>
    <row r="1415" ht="15.75" customHeight="1">
      <c r="A1415" s="32"/>
      <c r="C1415" s="22" t="str">
        <f t="shared" si="82"/>
        <v/>
      </c>
      <c r="F1415" s="22" t="str">
        <f t="shared" si="81"/>
        <v/>
      </c>
      <c r="G1415" s="22" t="str">
        <f t="shared" si="79"/>
        <v/>
      </c>
      <c r="H1415" s="22" t="str">
        <f t="shared" si="80"/>
        <v/>
      </c>
    </row>
    <row r="1416" ht="15.75" customHeight="1">
      <c r="A1416" s="32"/>
      <c r="C1416" s="22" t="str">
        <f t="shared" si="82"/>
        <v/>
      </c>
      <c r="F1416" s="22" t="str">
        <f t="shared" si="81"/>
        <v/>
      </c>
      <c r="G1416" s="22" t="str">
        <f t="shared" si="79"/>
        <v/>
      </c>
      <c r="H1416" s="22" t="str">
        <f t="shared" si="80"/>
        <v/>
      </c>
    </row>
    <row r="1417" ht="15.75" customHeight="1">
      <c r="A1417" s="32"/>
      <c r="C1417" s="22" t="str">
        <f t="shared" si="82"/>
        <v/>
      </c>
      <c r="F1417" s="22" t="str">
        <f t="shared" si="81"/>
        <v/>
      </c>
      <c r="G1417" s="22" t="str">
        <f t="shared" si="79"/>
        <v/>
      </c>
      <c r="H1417" s="22" t="str">
        <f t="shared" si="80"/>
        <v/>
      </c>
    </row>
    <row r="1418" ht="15.75" customHeight="1">
      <c r="A1418" s="32"/>
      <c r="C1418" s="22" t="str">
        <f t="shared" si="82"/>
        <v/>
      </c>
      <c r="F1418" s="22" t="str">
        <f t="shared" si="81"/>
        <v/>
      </c>
      <c r="G1418" s="22" t="str">
        <f t="shared" si="79"/>
        <v/>
      </c>
      <c r="H1418" s="22" t="str">
        <f t="shared" si="80"/>
        <v/>
      </c>
    </row>
    <row r="1419" ht="15.75" customHeight="1">
      <c r="A1419" s="32"/>
      <c r="C1419" s="22" t="str">
        <f t="shared" si="82"/>
        <v/>
      </c>
      <c r="F1419" s="22" t="str">
        <f t="shared" si="81"/>
        <v/>
      </c>
      <c r="G1419" s="22" t="str">
        <f t="shared" si="79"/>
        <v/>
      </c>
      <c r="H1419" s="22" t="str">
        <f t="shared" si="80"/>
        <v/>
      </c>
    </row>
    <row r="1420" ht="15.75" customHeight="1">
      <c r="A1420" s="32"/>
      <c r="C1420" s="22" t="str">
        <f t="shared" si="82"/>
        <v/>
      </c>
      <c r="F1420" s="22" t="str">
        <f t="shared" si="81"/>
        <v/>
      </c>
      <c r="G1420" s="22" t="str">
        <f t="shared" si="79"/>
        <v/>
      </c>
      <c r="H1420" s="22" t="str">
        <f t="shared" si="80"/>
        <v/>
      </c>
    </row>
    <row r="1421" ht="15.75" customHeight="1">
      <c r="A1421" s="32"/>
      <c r="F1421" s="22" t="str">
        <f t="shared" si="81"/>
        <v/>
      </c>
      <c r="G1421" s="22" t="str">
        <f t="shared" si="79"/>
        <v/>
      </c>
      <c r="H1421" s="22" t="str">
        <f t="shared" si="80"/>
        <v/>
      </c>
    </row>
    <row r="1422" ht="15.75" customHeight="1">
      <c r="A1422" s="32"/>
      <c r="F1422" s="22" t="str">
        <f t="shared" si="81"/>
        <v/>
      </c>
      <c r="G1422" s="22" t="str">
        <f t="shared" si="79"/>
        <v/>
      </c>
      <c r="H1422" s="22" t="str">
        <f t="shared" si="80"/>
        <v/>
      </c>
    </row>
    <row r="1423" ht="15.75" customHeight="1">
      <c r="A1423" s="32"/>
      <c r="F1423" s="22" t="str">
        <f t="shared" si="81"/>
        <v/>
      </c>
      <c r="G1423" s="22" t="str">
        <f t="shared" si="79"/>
        <v/>
      </c>
      <c r="H1423" s="22" t="str">
        <f t="shared" si="80"/>
        <v/>
      </c>
    </row>
    <row r="1424" ht="15.75" customHeight="1">
      <c r="A1424" s="32"/>
      <c r="F1424" s="22" t="str">
        <f t="shared" si="81"/>
        <v/>
      </c>
      <c r="G1424" s="22" t="str">
        <f t="shared" si="79"/>
        <v/>
      </c>
      <c r="H1424" s="22" t="str">
        <f t="shared" si="80"/>
        <v/>
      </c>
    </row>
    <row r="1425" ht="15.75" customHeight="1">
      <c r="A1425" s="32"/>
      <c r="F1425" s="22" t="str">
        <f t="shared" si="81"/>
        <v/>
      </c>
      <c r="G1425" s="22" t="str">
        <f t="shared" si="79"/>
        <v/>
      </c>
      <c r="H1425" s="22" t="str">
        <f t="shared" si="80"/>
        <v/>
      </c>
    </row>
    <row r="1426" ht="15.75" customHeight="1">
      <c r="A1426" s="32"/>
      <c r="F1426" s="22" t="str">
        <f t="shared" si="81"/>
        <v/>
      </c>
      <c r="G1426" s="22" t="str">
        <f t="shared" si="79"/>
        <v/>
      </c>
      <c r="H1426" s="22" t="str">
        <f t="shared" si="80"/>
        <v/>
      </c>
    </row>
    <row r="1427" ht="15.75" customHeight="1">
      <c r="A1427" s="32"/>
      <c r="F1427" s="22" t="str">
        <f t="shared" si="81"/>
        <v/>
      </c>
      <c r="G1427" s="22" t="str">
        <f t="shared" si="79"/>
        <v/>
      </c>
      <c r="H1427" s="22" t="str">
        <f t="shared" si="80"/>
        <v/>
      </c>
    </row>
    <row r="1428" ht="15.75" customHeight="1">
      <c r="A1428" s="32"/>
      <c r="F1428" s="22" t="str">
        <f t="shared" si="81"/>
        <v/>
      </c>
      <c r="G1428" s="22" t="str">
        <f t="shared" si="79"/>
        <v/>
      </c>
      <c r="H1428" s="22" t="str">
        <f t="shared" si="80"/>
        <v/>
      </c>
    </row>
    <row r="1429" ht="15.75" customHeight="1">
      <c r="A1429" s="32"/>
      <c r="F1429" s="22" t="str">
        <f t="shared" si="81"/>
        <v/>
      </c>
      <c r="G1429" s="22" t="str">
        <f t="shared" si="79"/>
        <v/>
      </c>
      <c r="H1429" s="22" t="str">
        <f t="shared" si="80"/>
        <v/>
      </c>
    </row>
    <row r="1430" ht="15.75" customHeight="1">
      <c r="A1430" s="32"/>
      <c r="F1430" s="22" t="str">
        <f t="shared" si="81"/>
        <v/>
      </c>
      <c r="G1430" s="22" t="str">
        <f t="shared" si="79"/>
        <v/>
      </c>
      <c r="H1430" s="22" t="str">
        <f t="shared" si="80"/>
        <v/>
      </c>
    </row>
    <row r="1431" ht="15.75" customHeight="1">
      <c r="A1431" s="32"/>
      <c r="F1431" s="22" t="str">
        <f t="shared" si="81"/>
        <v/>
      </c>
      <c r="G1431" s="22" t="str">
        <f t="shared" si="79"/>
        <v/>
      </c>
      <c r="H1431" s="22" t="str">
        <f t="shared" si="80"/>
        <v/>
      </c>
    </row>
    <row r="1432" ht="15.75" customHeight="1">
      <c r="A1432" s="32"/>
      <c r="F1432" s="22" t="str">
        <f t="shared" si="81"/>
        <v/>
      </c>
      <c r="G1432" s="22" t="str">
        <f t="shared" si="79"/>
        <v/>
      </c>
      <c r="H1432" s="22" t="str">
        <f t="shared" si="80"/>
        <v/>
      </c>
    </row>
    <row r="1433" ht="15.75" customHeight="1">
      <c r="A1433" s="32"/>
      <c r="F1433" s="22" t="str">
        <f t="shared" si="81"/>
        <v/>
      </c>
      <c r="G1433" s="22" t="str">
        <f t="shared" si="79"/>
        <v/>
      </c>
      <c r="H1433" s="22" t="str">
        <f t="shared" si="80"/>
        <v/>
      </c>
    </row>
    <row r="1434" ht="15.75" customHeight="1">
      <c r="A1434" s="32"/>
      <c r="F1434" s="22" t="str">
        <f t="shared" si="81"/>
        <v/>
      </c>
      <c r="G1434" s="22" t="str">
        <f t="shared" si="79"/>
        <v/>
      </c>
      <c r="H1434" s="22" t="str">
        <f t="shared" si="80"/>
        <v/>
      </c>
    </row>
    <row r="1435" ht="15.75" customHeight="1">
      <c r="A1435" s="32"/>
      <c r="F1435" s="22" t="str">
        <f t="shared" si="81"/>
        <v/>
      </c>
      <c r="G1435" s="22" t="str">
        <f t="shared" si="79"/>
        <v/>
      </c>
      <c r="H1435" s="22" t="str">
        <f t="shared" si="80"/>
        <v/>
      </c>
    </row>
    <row r="1436" ht="15.75" customHeight="1">
      <c r="A1436" s="32"/>
      <c r="F1436" s="22" t="str">
        <f t="shared" si="81"/>
        <v/>
      </c>
      <c r="G1436" s="22" t="str">
        <f t="shared" si="79"/>
        <v/>
      </c>
      <c r="H1436" s="22" t="str">
        <f t="shared" si="80"/>
        <v/>
      </c>
    </row>
    <row r="1437" ht="15.75" customHeight="1">
      <c r="A1437" s="32"/>
      <c r="F1437" s="22" t="str">
        <f t="shared" si="81"/>
        <v/>
      </c>
      <c r="G1437" s="22" t="str">
        <f t="shared" si="79"/>
        <v/>
      </c>
      <c r="H1437" s="22" t="str">
        <f t="shared" si="80"/>
        <v/>
      </c>
    </row>
    <row r="1438" ht="15.75" customHeight="1">
      <c r="A1438" s="32"/>
      <c r="F1438" s="22" t="str">
        <f t="shared" si="81"/>
        <v/>
      </c>
      <c r="G1438" s="22" t="str">
        <f t="shared" si="79"/>
        <v/>
      </c>
      <c r="H1438" s="22" t="str">
        <f t="shared" si="80"/>
        <v/>
      </c>
    </row>
    <row r="1439" ht="15.75" customHeight="1">
      <c r="A1439" s="32"/>
      <c r="F1439" s="22" t="str">
        <f t="shared" si="81"/>
        <v/>
      </c>
      <c r="G1439" s="22" t="str">
        <f t="shared" si="79"/>
        <v/>
      </c>
      <c r="H1439" s="22" t="str">
        <f t="shared" si="80"/>
        <v/>
      </c>
    </row>
    <row r="1440" ht="15.75" customHeight="1">
      <c r="A1440" s="32"/>
      <c r="F1440" s="22" t="str">
        <f t="shared" si="81"/>
        <v/>
      </c>
      <c r="G1440" s="22" t="str">
        <f t="shared" si="79"/>
        <v/>
      </c>
      <c r="H1440" s="22" t="str">
        <f t="shared" si="80"/>
        <v/>
      </c>
    </row>
    <row r="1441" ht="15.75" customHeight="1">
      <c r="A1441" s="32"/>
      <c r="F1441" s="22" t="str">
        <f t="shared" si="81"/>
        <v/>
      </c>
      <c r="G1441" s="22" t="str">
        <f t="shared" si="79"/>
        <v/>
      </c>
      <c r="H1441" s="22" t="str">
        <f t="shared" si="80"/>
        <v/>
      </c>
    </row>
    <row r="1442" ht="15.75" customHeight="1">
      <c r="A1442" s="32"/>
      <c r="F1442" s="22" t="str">
        <f t="shared" si="81"/>
        <v/>
      </c>
      <c r="G1442" s="22" t="str">
        <f t="shared" si="79"/>
        <v/>
      </c>
      <c r="H1442" s="22" t="str">
        <f t="shared" si="80"/>
        <v/>
      </c>
    </row>
    <row r="1443" ht="15.75" customHeight="1">
      <c r="A1443" s="32"/>
      <c r="F1443" s="22" t="str">
        <f t="shared" si="81"/>
        <v/>
      </c>
      <c r="G1443" s="22" t="str">
        <f t="shared" si="79"/>
        <v/>
      </c>
      <c r="H1443" s="22" t="str">
        <f t="shared" si="80"/>
        <v/>
      </c>
    </row>
    <row r="1444" ht="15.75" customHeight="1">
      <c r="A1444" s="32"/>
      <c r="F1444" s="22" t="str">
        <f t="shared" si="81"/>
        <v/>
      </c>
      <c r="G1444" s="22" t="str">
        <f t="shared" si="79"/>
        <v/>
      </c>
      <c r="H1444" s="22" t="str">
        <f t="shared" si="80"/>
        <v/>
      </c>
    </row>
    <row r="1445" ht="15.75" customHeight="1">
      <c r="A1445" s="32"/>
      <c r="F1445" s="22" t="str">
        <f t="shared" si="81"/>
        <v/>
      </c>
      <c r="G1445" s="22" t="str">
        <f t="shared" si="79"/>
        <v/>
      </c>
      <c r="H1445" s="22" t="str">
        <f t="shared" si="80"/>
        <v/>
      </c>
    </row>
    <row r="1446" ht="15.75" customHeight="1">
      <c r="A1446" s="32"/>
      <c r="F1446" s="22" t="str">
        <f t="shared" si="81"/>
        <v/>
      </c>
      <c r="G1446" s="22" t="str">
        <f t="shared" si="79"/>
        <v/>
      </c>
      <c r="H1446" s="22" t="str">
        <f t="shared" si="80"/>
        <v/>
      </c>
    </row>
    <row r="1447" ht="15.75" customHeight="1">
      <c r="A1447" s="32"/>
      <c r="F1447" s="22" t="str">
        <f t="shared" si="81"/>
        <v/>
      </c>
      <c r="G1447" s="22" t="str">
        <f t="shared" si="79"/>
        <v/>
      </c>
      <c r="H1447" s="22" t="str">
        <f t="shared" si="80"/>
        <v/>
      </c>
    </row>
    <row r="1448" ht="15.75" customHeight="1">
      <c r="A1448" s="32"/>
      <c r="F1448" s="22" t="str">
        <f t="shared" si="81"/>
        <v/>
      </c>
      <c r="G1448" s="22" t="str">
        <f t="shared" si="79"/>
        <v/>
      </c>
      <c r="H1448" s="22" t="str">
        <f t="shared" si="80"/>
        <v/>
      </c>
    </row>
    <row r="1449" ht="15.75" customHeight="1">
      <c r="A1449" s="32"/>
      <c r="F1449" s="22" t="str">
        <f t="shared" si="81"/>
        <v/>
      </c>
      <c r="G1449" s="22" t="str">
        <f t="shared" si="79"/>
        <v/>
      </c>
      <c r="H1449" s="22" t="str">
        <f t="shared" si="80"/>
        <v/>
      </c>
    </row>
    <row r="1450" ht="15.75" customHeight="1">
      <c r="A1450" s="32"/>
      <c r="F1450" s="22" t="str">
        <f t="shared" si="81"/>
        <v/>
      </c>
      <c r="G1450" s="22" t="str">
        <f t="shared" si="79"/>
        <v/>
      </c>
      <c r="H1450" s="22" t="str">
        <f t="shared" si="80"/>
        <v/>
      </c>
    </row>
    <row r="1451" ht="15.75" customHeight="1">
      <c r="A1451" s="32"/>
      <c r="F1451" s="22" t="str">
        <f t="shared" si="81"/>
        <v/>
      </c>
      <c r="G1451" s="22" t="str">
        <f t="shared" si="79"/>
        <v/>
      </c>
      <c r="H1451" s="22" t="str">
        <f t="shared" si="80"/>
        <v/>
      </c>
    </row>
    <row r="1452" ht="15.75" customHeight="1">
      <c r="A1452" s="32"/>
      <c r="F1452" s="22" t="str">
        <f t="shared" si="81"/>
        <v/>
      </c>
      <c r="G1452" s="22" t="str">
        <f t="shared" si="79"/>
        <v/>
      </c>
      <c r="H1452" s="22" t="str">
        <f t="shared" si="80"/>
        <v/>
      </c>
    </row>
    <row r="1453" ht="15.75" customHeight="1">
      <c r="A1453" s="32"/>
      <c r="F1453" s="22" t="str">
        <f t="shared" si="81"/>
        <v/>
      </c>
      <c r="G1453" s="22" t="str">
        <f t="shared" si="79"/>
        <v/>
      </c>
      <c r="H1453" s="22" t="str">
        <f t="shared" si="80"/>
        <v/>
      </c>
    </row>
    <row r="1454" ht="15.75" customHeight="1">
      <c r="A1454" s="32"/>
      <c r="F1454" s="22" t="str">
        <f t="shared" si="81"/>
        <v/>
      </c>
      <c r="G1454" s="22" t="str">
        <f t="shared" si="79"/>
        <v/>
      </c>
      <c r="H1454" s="22" t="str">
        <f t="shared" si="80"/>
        <v/>
      </c>
    </row>
    <row r="1455" ht="15.75" customHeight="1">
      <c r="A1455" s="32"/>
      <c r="F1455" s="22" t="str">
        <f t="shared" si="81"/>
        <v/>
      </c>
      <c r="G1455" s="22" t="str">
        <f t="shared" si="79"/>
        <v/>
      </c>
      <c r="H1455" s="22" t="str">
        <f t="shared" si="80"/>
        <v/>
      </c>
    </row>
    <row r="1456" ht="15.75" customHeight="1">
      <c r="A1456" s="32"/>
      <c r="F1456" s="22" t="str">
        <f t="shared" si="81"/>
        <v/>
      </c>
      <c r="G1456" s="22" t="str">
        <f t="shared" si="79"/>
        <v/>
      </c>
      <c r="H1456" s="22" t="str">
        <f t="shared" si="80"/>
        <v/>
      </c>
    </row>
    <row r="1457" ht="15.75" customHeight="1">
      <c r="A1457" s="32"/>
      <c r="F1457" s="22" t="str">
        <f t="shared" si="81"/>
        <v/>
      </c>
      <c r="G1457" s="22" t="str">
        <f t="shared" si="79"/>
        <v/>
      </c>
      <c r="H1457" s="22" t="str">
        <f t="shared" si="80"/>
        <v/>
      </c>
    </row>
    <row r="1458" ht="15.75" customHeight="1">
      <c r="A1458" s="32"/>
      <c r="F1458" s="22" t="str">
        <f t="shared" si="81"/>
        <v/>
      </c>
      <c r="G1458" s="22" t="str">
        <f t="shared" si="79"/>
        <v/>
      </c>
      <c r="H1458" s="22" t="str">
        <f t="shared" si="80"/>
        <v/>
      </c>
    </row>
    <row r="1459" ht="15.75" customHeight="1">
      <c r="A1459" s="32"/>
      <c r="F1459" s="22" t="str">
        <f t="shared" si="81"/>
        <v/>
      </c>
      <c r="G1459" s="22" t="str">
        <f t="shared" si="79"/>
        <v/>
      </c>
      <c r="H1459" s="22" t="str">
        <f t="shared" si="80"/>
        <v/>
      </c>
    </row>
    <row r="1460" ht="15.75" customHeight="1">
      <c r="A1460" s="32"/>
      <c r="F1460" s="22" t="str">
        <f t="shared" si="81"/>
        <v/>
      </c>
      <c r="G1460" s="22" t="str">
        <f t="shared" si="79"/>
        <v/>
      </c>
      <c r="H1460" s="22" t="str">
        <f t="shared" si="80"/>
        <v/>
      </c>
    </row>
    <row r="1461" ht="15.75" customHeight="1">
      <c r="A1461" s="32"/>
      <c r="F1461" s="22" t="str">
        <f t="shared" si="81"/>
        <v/>
      </c>
      <c r="G1461" s="22" t="str">
        <f t="shared" si="79"/>
        <v/>
      </c>
      <c r="H1461" s="22" t="str">
        <f t="shared" si="80"/>
        <v/>
      </c>
    </row>
    <row r="1462" ht="15.75" customHeight="1">
      <c r="A1462" s="32"/>
      <c r="F1462" s="22" t="str">
        <f t="shared" si="81"/>
        <v/>
      </c>
      <c r="G1462" s="22" t="str">
        <f t="shared" si="79"/>
        <v/>
      </c>
      <c r="H1462" s="22" t="str">
        <f t="shared" si="80"/>
        <v/>
      </c>
    </row>
    <row r="1463" ht="15.75" customHeight="1">
      <c r="A1463" s="32"/>
      <c r="F1463" s="22" t="str">
        <f t="shared" si="81"/>
        <v/>
      </c>
      <c r="G1463" s="22" t="str">
        <f t="shared" si="79"/>
        <v/>
      </c>
      <c r="H1463" s="22" t="str">
        <f t="shared" si="80"/>
        <v/>
      </c>
    </row>
    <row r="1464" ht="15.75" customHeight="1">
      <c r="A1464" s="32"/>
      <c r="F1464" s="22" t="str">
        <f t="shared" si="81"/>
        <v/>
      </c>
      <c r="G1464" s="22" t="str">
        <f t="shared" si="79"/>
        <v/>
      </c>
      <c r="H1464" s="22" t="str">
        <f t="shared" si="80"/>
        <v/>
      </c>
    </row>
    <row r="1465" ht="15.75" customHeight="1">
      <c r="A1465" s="32"/>
      <c r="F1465" s="22" t="str">
        <f t="shared" si="81"/>
        <v/>
      </c>
      <c r="G1465" s="22" t="str">
        <f t="shared" si="79"/>
        <v/>
      </c>
      <c r="H1465" s="22" t="str">
        <f t="shared" si="80"/>
        <v/>
      </c>
    </row>
    <row r="1466" ht="15.75" customHeight="1">
      <c r="A1466" s="32"/>
      <c r="F1466" s="22" t="str">
        <f t="shared" si="81"/>
        <v/>
      </c>
      <c r="G1466" s="22" t="str">
        <f t="shared" si="79"/>
        <v/>
      </c>
      <c r="H1466" s="22" t="str">
        <f t="shared" si="80"/>
        <v/>
      </c>
    </row>
    <row r="1467" ht="15.75" customHeight="1">
      <c r="A1467" s="32"/>
      <c r="F1467" s="22" t="str">
        <f t="shared" si="81"/>
        <v/>
      </c>
      <c r="G1467" s="22" t="str">
        <f t="shared" si="79"/>
        <v/>
      </c>
      <c r="H1467" s="22" t="str">
        <f t="shared" si="80"/>
        <v/>
      </c>
    </row>
    <row r="1468" ht="15.75" customHeight="1">
      <c r="A1468" s="32"/>
      <c r="F1468" s="22" t="str">
        <f t="shared" si="81"/>
        <v/>
      </c>
      <c r="G1468" s="22" t="str">
        <f t="shared" si="79"/>
        <v/>
      </c>
      <c r="H1468" s="22" t="str">
        <f t="shared" si="80"/>
        <v/>
      </c>
    </row>
    <row r="1469" ht="15.75" customHeight="1">
      <c r="A1469" s="32"/>
      <c r="F1469" s="22" t="str">
        <f t="shared" si="81"/>
        <v/>
      </c>
      <c r="G1469" s="22" t="str">
        <f t="shared" si="79"/>
        <v/>
      </c>
      <c r="H1469" s="22" t="str">
        <f t="shared" si="80"/>
        <v/>
      </c>
    </row>
    <row r="1470" ht="15.75" customHeight="1">
      <c r="A1470" s="32"/>
      <c r="F1470" s="22" t="str">
        <f t="shared" si="81"/>
        <v/>
      </c>
      <c r="G1470" s="22" t="str">
        <f t="shared" si="79"/>
        <v/>
      </c>
      <c r="H1470" s="22" t="str">
        <f t="shared" si="80"/>
        <v/>
      </c>
    </row>
    <row r="1471" ht="15.75" customHeight="1">
      <c r="A1471" s="32"/>
      <c r="F1471" s="22" t="str">
        <f t="shared" si="81"/>
        <v/>
      </c>
      <c r="G1471" s="22" t="str">
        <f t="shared" si="79"/>
        <v/>
      </c>
      <c r="H1471" s="22" t="str">
        <f t="shared" si="80"/>
        <v/>
      </c>
    </row>
    <row r="1472" ht="15.75" customHeight="1">
      <c r="A1472" s="32"/>
      <c r="G1472" s="22" t="str">
        <f t="shared" si="79"/>
        <v/>
      </c>
      <c r="H1472" s="22" t="str">
        <f t="shared" si="80"/>
        <v/>
      </c>
    </row>
    <row r="1473" ht="15.75" customHeight="1">
      <c r="A1473" s="32"/>
      <c r="G1473" s="22" t="str">
        <f t="shared" si="79"/>
        <v/>
      </c>
      <c r="H1473" s="22" t="str">
        <f t="shared" si="80"/>
        <v/>
      </c>
    </row>
    <row r="1474" ht="15.75" customHeight="1">
      <c r="A1474" s="32"/>
      <c r="G1474" s="22" t="str">
        <f t="shared" si="79"/>
        <v/>
      </c>
      <c r="H1474" s="22" t="str">
        <f t="shared" si="80"/>
        <v/>
      </c>
    </row>
    <row r="1475" ht="15.75" customHeight="1">
      <c r="A1475" s="32"/>
      <c r="G1475" s="22" t="str">
        <f t="shared" si="79"/>
        <v/>
      </c>
      <c r="H1475" s="22" t="str">
        <f t="shared" si="80"/>
        <v/>
      </c>
    </row>
    <row r="1476" ht="15.75" customHeight="1">
      <c r="A1476" s="32"/>
      <c r="G1476" s="22" t="str">
        <f t="shared" si="79"/>
        <v/>
      </c>
      <c r="H1476" s="22" t="str">
        <f t="shared" si="80"/>
        <v/>
      </c>
    </row>
    <row r="1477" ht="15.75" customHeight="1">
      <c r="A1477" s="32"/>
      <c r="G1477" s="22" t="str">
        <f t="shared" si="79"/>
        <v/>
      </c>
      <c r="H1477" s="22" t="str">
        <f t="shared" si="80"/>
        <v/>
      </c>
    </row>
    <row r="1478" ht="15.75" customHeight="1">
      <c r="A1478" s="32"/>
      <c r="G1478" s="22" t="str">
        <f t="shared" si="79"/>
        <v/>
      </c>
      <c r="H1478" s="22" t="str">
        <f t="shared" si="80"/>
        <v/>
      </c>
    </row>
    <row r="1479" ht="15.75" customHeight="1">
      <c r="A1479" s="32"/>
      <c r="G1479" s="22" t="str">
        <f t="shared" si="79"/>
        <v/>
      </c>
      <c r="H1479" s="22" t="str">
        <f t="shared" si="80"/>
        <v/>
      </c>
    </row>
    <row r="1480" ht="15.75" customHeight="1">
      <c r="A1480" s="32"/>
      <c r="G1480" s="22" t="str">
        <f t="shared" si="79"/>
        <v/>
      </c>
      <c r="H1480" s="22" t="str">
        <f t="shared" si="80"/>
        <v/>
      </c>
    </row>
    <row r="1481" ht="15.75" customHeight="1">
      <c r="A1481" s="32"/>
      <c r="G1481" s="22" t="str">
        <f t="shared" si="79"/>
        <v/>
      </c>
      <c r="H1481" s="22" t="str">
        <f t="shared" si="80"/>
        <v/>
      </c>
    </row>
    <row r="1482" ht="15.75" customHeight="1">
      <c r="A1482" s="32"/>
      <c r="G1482" s="22" t="str">
        <f t="shared" si="79"/>
        <v/>
      </c>
      <c r="H1482" s="22" t="str">
        <f t="shared" si="80"/>
        <v/>
      </c>
    </row>
    <row r="1483" ht="15.75" customHeight="1">
      <c r="A1483" s="32"/>
      <c r="G1483" s="22" t="str">
        <f t="shared" si="79"/>
        <v/>
      </c>
      <c r="H1483" s="22" t="str">
        <f t="shared" si="80"/>
        <v/>
      </c>
    </row>
    <row r="1484" ht="15.75" customHeight="1">
      <c r="A1484" s="32"/>
      <c r="G1484" s="22" t="str">
        <f t="shared" si="79"/>
        <v/>
      </c>
      <c r="H1484" s="22" t="str">
        <f t="shared" si="80"/>
        <v/>
      </c>
    </row>
    <row r="1485" ht="15.75" customHeight="1">
      <c r="A1485" s="32"/>
      <c r="G1485" s="22" t="str">
        <f t="shared" si="79"/>
        <v/>
      </c>
      <c r="H1485" s="22" t="str">
        <f t="shared" si="80"/>
        <v/>
      </c>
    </row>
    <row r="1486" ht="15.75" customHeight="1">
      <c r="A1486" s="32"/>
      <c r="G1486" s="22" t="str">
        <f t="shared" si="79"/>
        <v/>
      </c>
      <c r="H1486" s="22" t="str">
        <f t="shared" si="80"/>
        <v/>
      </c>
    </row>
    <row r="1487" ht="15.75" customHeight="1">
      <c r="A1487" s="32"/>
      <c r="G1487" s="22" t="str">
        <f t="shared" si="79"/>
        <v/>
      </c>
      <c r="H1487" s="22" t="str">
        <f t="shared" si="80"/>
        <v/>
      </c>
    </row>
    <row r="1488" ht="15.75" customHeight="1">
      <c r="A1488" s="32"/>
      <c r="G1488" s="22" t="str">
        <f t="shared" si="79"/>
        <v/>
      </c>
      <c r="H1488" s="22" t="str">
        <f t="shared" si="80"/>
        <v/>
      </c>
    </row>
    <row r="1489" ht="15.75" customHeight="1">
      <c r="A1489" s="32"/>
      <c r="G1489" s="22" t="str">
        <f t="shared" si="79"/>
        <v/>
      </c>
      <c r="H1489" s="22" t="str">
        <f t="shared" si="80"/>
        <v/>
      </c>
    </row>
    <row r="1490" ht="15.75" customHeight="1">
      <c r="A1490" s="32"/>
      <c r="G1490" s="22" t="str">
        <f t="shared" si="79"/>
        <v/>
      </c>
      <c r="H1490" s="22" t="str">
        <f t="shared" si="80"/>
        <v/>
      </c>
    </row>
    <row r="1491" ht="15.75" customHeight="1">
      <c r="A1491" s="32"/>
      <c r="G1491" s="22" t="str">
        <f t="shared" si="79"/>
        <v/>
      </c>
      <c r="H1491" s="22" t="str">
        <f t="shared" si="80"/>
        <v/>
      </c>
    </row>
    <row r="1492" ht="15.75" customHeight="1">
      <c r="A1492" s="32"/>
      <c r="G1492" s="22" t="str">
        <f t="shared" si="79"/>
        <v/>
      </c>
      <c r="H1492" s="22" t="str">
        <f t="shared" si="80"/>
        <v/>
      </c>
    </row>
    <row r="1493" ht="15.75" customHeight="1">
      <c r="A1493" s="32"/>
      <c r="G1493" s="22" t="str">
        <f t="shared" si="79"/>
        <v/>
      </c>
      <c r="H1493" s="22" t="str">
        <f t="shared" si="80"/>
        <v/>
      </c>
    </row>
    <row r="1494" ht="15.75" customHeight="1">
      <c r="A1494" s="32"/>
      <c r="G1494" s="22" t="str">
        <f t="shared" si="79"/>
        <v/>
      </c>
      <c r="H1494" s="22" t="str">
        <f t="shared" si="80"/>
        <v/>
      </c>
    </row>
    <row r="1495" ht="15.75" customHeight="1">
      <c r="A1495" s="32"/>
      <c r="G1495" s="22" t="str">
        <f t="shared" si="79"/>
        <v/>
      </c>
      <c r="H1495" s="22" t="str">
        <f t="shared" si="80"/>
        <v/>
      </c>
    </row>
    <row r="1496" ht="15.75" customHeight="1">
      <c r="A1496" s="32"/>
      <c r="G1496" s="22" t="str">
        <f t="shared" si="79"/>
        <v/>
      </c>
      <c r="H1496" s="22" t="str">
        <f t="shared" si="80"/>
        <v/>
      </c>
    </row>
    <row r="1497" ht="15.75" customHeight="1">
      <c r="A1497" s="32"/>
      <c r="G1497" s="22" t="str">
        <f t="shared" si="79"/>
        <v/>
      </c>
      <c r="H1497" s="22" t="str">
        <f t="shared" si="80"/>
        <v/>
      </c>
    </row>
    <row r="1498" ht="15.75" customHeight="1">
      <c r="A1498" s="32"/>
      <c r="G1498" s="22" t="str">
        <f t="shared" si="79"/>
        <v/>
      </c>
      <c r="H1498" s="22" t="str">
        <f t="shared" si="80"/>
        <v/>
      </c>
    </row>
    <row r="1499" ht="15.75" customHeight="1">
      <c r="A1499" s="32"/>
      <c r="G1499" s="22" t="str">
        <f t="shared" si="79"/>
        <v/>
      </c>
      <c r="H1499" s="22" t="str">
        <f t="shared" si="80"/>
        <v/>
      </c>
    </row>
    <row r="1500" ht="15.75" customHeight="1">
      <c r="A1500" s="32"/>
      <c r="G1500" s="22" t="str">
        <f t="shared" si="79"/>
        <v/>
      </c>
      <c r="H1500" s="22" t="str">
        <f t="shared" si="80"/>
        <v/>
      </c>
    </row>
    <row r="1501" ht="15.75" customHeight="1">
      <c r="A1501" s="32"/>
      <c r="G1501" s="22" t="str">
        <f t="shared" si="79"/>
        <v/>
      </c>
      <c r="H1501" s="22" t="str">
        <f t="shared" si="80"/>
        <v/>
      </c>
    </row>
    <row r="1502" ht="15.75" customHeight="1">
      <c r="A1502" s="32"/>
      <c r="G1502" s="22" t="str">
        <f t="shared" si="79"/>
        <v/>
      </c>
      <c r="H1502" s="22" t="str">
        <f t="shared" si="80"/>
        <v/>
      </c>
    </row>
    <row r="1503" ht="15.75" customHeight="1">
      <c r="A1503" s="32"/>
      <c r="G1503" s="22" t="str">
        <f t="shared" si="79"/>
        <v/>
      </c>
      <c r="H1503" s="22" t="str">
        <f t="shared" si="80"/>
        <v/>
      </c>
    </row>
    <row r="1504" ht="15.75" customHeight="1">
      <c r="A1504" s="32"/>
      <c r="G1504" s="22" t="str">
        <f t="shared" si="79"/>
        <v/>
      </c>
      <c r="H1504" s="22" t="str">
        <f t="shared" si="80"/>
        <v/>
      </c>
    </row>
    <row r="1505" ht="15.75" customHeight="1">
      <c r="A1505" s="32"/>
      <c r="G1505" s="22" t="str">
        <f t="shared" si="79"/>
        <v/>
      </c>
      <c r="H1505" s="22" t="str">
        <f t="shared" si="80"/>
        <v/>
      </c>
    </row>
    <row r="1506" ht="15.75" customHeight="1">
      <c r="A1506" s="32"/>
      <c r="G1506" s="22" t="str">
        <f t="shared" si="79"/>
        <v/>
      </c>
      <c r="H1506" s="22" t="str">
        <f t="shared" si="80"/>
        <v/>
      </c>
    </row>
    <row r="1507" ht="15.75" customHeight="1">
      <c r="A1507" s="32"/>
      <c r="G1507" s="22" t="str">
        <f t="shared" si="79"/>
        <v/>
      </c>
      <c r="H1507" s="22" t="str">
        <f t="shared" si="80"/>
        <v/>
      </c>
    </row>
    <row r="1508" ht="15.75" customHeight="1">
      <c r="A1508" s="32"/>
      <c r="G1508" s="22" t="str">
        <f t="shared" si="79"/>
        <v/>
      </c>
      <c r="H1508" s="22" t="str">
        <f t="shared" si="80"/>
        <v/>
      </c>
    </row>
    <row r="1509" ht="15.75" customHeight="1">
      <c r="A1509" s="32"/>
      <c r="G1509" s="22" t="str">
        <f t="shared" si="79"/>
        <v/>
      </c>
      <c r="H1509" s="22" t="str">
        <f t="shared" si="80"/>
        <v/>
      </c>
    </row>
    <row r="1510" ht="15.75" customHeight="1">
      <c r="A1510" s="32"/>
      <c r="G1510" s="22" t="str">
        <f t="shared" si="79"/>
        <v/>
      </c>
      <c r="H1510" s="22" t="str">
        <f t="shared" si="80"/>
        <v/>
      </c>
    </row>
    <row r="1511" ht="15.75" customHeight="1">
      <c r="A1511" s="32"/>
      <c r="G1511" s="22" t="str">
        <f t="shared" si="79"/>
        <v/>
      </c>
      <c r="H1511" s="22" t="str">
        <f t="shared" si="80"/>
        <v/>
      </c>
    </row>
    <row r="1512" ht="15.75" customHeight="1">
      <c r="A1512" s="32"/>
      <c r="G1512" s="22" t="str">
        <f t="shared" si="79"/>
        <v/>
      </c>
      <c r="H1512" s="22" t="str">
        <f t="shared" si="80"/>
        <v/>
      </c>
    </row>
    <row r="1513" ht="15.75" customHeight="1">
      <c r="A1513" s="32"/>
      <c r="G1513" s="22" t="str">
        <f t="shared" si="79"/>
        <v/>
      </c>
      <c r="H1513" s="22" t="str">
        <f t="shared" si="80"/>
        <v/>
      </c>
    </row>
    <row r="1514" ht="15.75" customHeight="1">
      <c r="A1514" s="32"/>
      <c r="G1514" s="22" t="str">
        <f t="shared" si="79"/>
        <v/>
      </c>
      <c r="H1514" s="22" t="str">
        <f t="shared" si="80"/>
        <v/>
      </c>
    </row>
    <row r="1515" ht="15.75" customHeight="1">
      <c r="A1515" s="32"/>
      <c r="G1515" s="22" t="str">
        <f t="shared" si="79"/>
        <v/>
      </c>
      <c r="H1515" s="22" t="str">
        <f t="shared" si="80"/>
        <v/>
      </c>
    </row>
    <row r="1516" ht="15.75" customHeight="1">
      <c r="A1516" s="32"/>
      <c r="G1516" s="22" t="str">
        <f t="shared" si="79"/>
        <v/>
      </c>
      <c r="H1516" s="22" t="str">
        <f t="shared" si="80"/>
        <v/>
      </c>
    </row>
    <row r="1517" ht="15.75" customHeight="1">
      <c r="A1517" s="32"/>
      <c r="G1517" s="22" t="str">
        <f t="shared" si="79"/>
        <v/>
      </c>
      <c r="H1517" s="22" t="str">
        <f t="shared" si="80"/>
        <v/>
      </c>
    </row>
    <row r="1518" ht="15.75" customHeight="1">
      <c r="A1518" s="32"/>
      <c r="G1518" s="22" t="str">
        <f t="shared" si="79"/>
        <v/>
      </c>
      <c r="H1518" s="22" t="str">
        <f t="shared" si="80"/>
        <v/>
      </c>
    </row>
    <row r="1519" ht="15.75" customHeight="1">
      <c r="A1519" s="32"/>
      <c r="G1519" s="22" t="str">
        <f t="shared" si="79"/>
        <v/>
      </c>
      <c r="H1519" s="22" t="str">
        <f t="shared" si="80"/>
        <v/>
      </c>
    </row>
    <row r="1520" ht="15.75" customHeight="1">
      <c r="A1520" s="32"/>
      <c r="G1520" s="22" t="str">
        <f t="shared" si="79"/>
        <v/>
      </c>
      <c r="H1520" s="22" t="str">
        <f t="shared" si="80"/>
        <v/>
      </c>
    </row>
    <row r="1521" ht="15.75" customHeight="1">
      <c r="A1521" s="32"/>
      <c r="G1521" s="22" t="str">
        <f t="shared" si="79"/>
        <v/>
      </c>
      <c r="H1521" s="22" t="str">
        <f t="shared" si="80"/>
        <v/>
      </c>
    </row>
    <row r="1522" ht="15.75" customHeight="1">
      <c r="A1522" s="32"/>
      <c r="G1522" s="22" t="str">
        <f t="shared" si="79"/>
        <v/>
      </c>
      <c r="H1522" s="22" t="str">
        <f t="shared" si="80"/>
        <v/>
      </c>
    </row>
    <row r="1523" ht="15.75" customHeight="1">
      <c r="A1523" s="32"/>
      <c r="G1523" s="22" t="str">
        <f t="shared" si="79"/>
        <v/>
      </c>
      <c r="H1523" s="22" t="str">
        <f t="shared" si="80"/>
        <v/>
      </c>
    </row>
    <row r="1524" ht="15.75" customHeight="1">
      <c r="A1524" s="32"/>
      <c r="G1524" s="22" t="str">
        <f t="shared" si="79"/>
        <v/>
      </c>
      <c r="H1524" s="22" t="str">
        <f t="shared" si="80"/>
        <v/>
      </c>
    </row>
    <row r="1525" ht="15.75" customHeight="1">
      <c r="A1525" s="32"/>
      <c r="G1525" s="22" t="str">
        <f t="shared" si="79"/>
        <v/>
      </c>
      <c r="H1525" s="22" t="str">
        <f t="shared" si="80"/>
        <v/>
      </c>
    </row>
    <row r="1526" ht="15.75" customHeight="1">
      <c r="A1526" s="32"/>
      <c r="G1526" s="22" t="str">
        <f t="shared" si="79"/>
        <v/>
      </c>
      <c r="H1526" s="22" t="str">
        <f t="shared" si="80"/>
        <v/>
      </c>
    </row>
    <row r="1527" ht="15.75" customHeight="1">
      <c r="A1527" s="32"/>
      <c r="G1527" s="22" t="str">
        <f t="shared" si="79"/>
        <v/>
      </c>
      <c r="H1527" s="22" t="str">
        <f t="shared" si="80"/>
        <v/>
      </c>
    </row>
    <row r="1528" ht="15.75" customHeight="1">
      <c r="A1528" s="32"/>
      <c r="G1528" s="22" t="str">
        <f t="shared" si="79"/>
        <v/>
      </c>
      <c r="H1528" s="22" t="str">
        <f t="shared" si="80"/>
        <v/>
      </c>
    </row>
    <row r="1529" ht="15.75" customHeight="1">
      <c r="A1529" s="32"/>
      <c r="G1529" s="22" t="str">
        <f t="shared" si="79"/>
        <v/>
      </c>
      <c r="H1529" s="22" t="str">
        <f t="shared" si="80"/>
        <v/>
      </c>
    </row>
    <row r="1530" ht="15.75" customHeight="1">
      <c r="A1530" s="32"/>
      <c r="G1530" s="22" t="str">
        <f t="shared" si="79"/>
        <v/>
      </c>
      <c r="H1530" s="22" t="str">
        <f t="shared" si="80"/>
        <v/>
      </c>
    </row>
    <row r="1531" ht="15.75" customHeight="1">
      <c r="A1531" s="32"/>
      <c r="G1531" s="22" t="str">
        <f t="shared" si="79"/>
        <v/>
      </c>
      <c r="H1531" s="22" t="str">
        <f t="shared" si="80"/>
        <v/>
      </c>
    </row>
    <row r="1532" ht="15.75" customHeight="1">
      <c r="A1532" s="32"/>
      <c r="G1532" s="22" t="str">
        <f t="shared" si="79"/>
        <v/>
      </c>
      <c r="H1532" s="22" t="str">
        <f t="shared" si="80"/>
        <v/>
      </c>
    </row>
    <row r="1533" ht="15.75" customHeight="1">
      <c r="A1533" s="32"/>
      <c r="G1533" s="22" t="str">
        <f t="shared" si="79"/>
        <v/>
      </c>
      <c r="H1533" s="22" t="str">
        <f t="shared" si="80"/>
        <v/>
      </c>
    </row>
    <row r="1534" ht="15.75" customHeight="1">
      <c r="A1534" s="32"/>
      <c r="G1534" s="22" t="str">
        <f t="shared" si="79"/>
        <v/>
      </c>
      <c r="H1534" s="22" t="str">
        <f t="shared" si="80"/>
        <v/>
      </c>
    </row>
    <row r="1535" ht="15.75" customHeight="1">
      <c r="A1535" s="32"/>
      <c r="G1535" s="22" t="str">
        <f t="shared" si="79"/>
        <v/>
      </c>
      <c r="H1535" s="22" t="str">
        <f t="shared" si="80"/>
        <v/>
      </c>
    </row>
    <row r="1536" ht="15.75" customHeight="1">
      <c r="A1536" s="32"/>
      <c r="G1536" s="22" t="str">
        <f t="shared" si="79"/>
        <v/>
      </c>
      <c r="H1536" s="22" t="str">
        <f t="shared" si="80"/>
        <v/>
      </c>
    </row>
    <row r="1537" ht="15.75" customHeight="1">
      <c r="A1537" s="32"/>
      <c r="G1537" s="22" t="str">
        <f t="shared" si="79"/>
        <v/>
      </c>
      <c r="H1537" s="22" t="str">
        <f t="shared" si="80"/>
        <v/>
      </c>
    </row>
    <row r="1538" ht="15.75" customHeight="1">
      <c r="A1538" s="32"/>
      <c r="G1538" s="22" t="str">
        <f t="shared" si="79"/>
        <v/>
      </c>
      <c r="H1538" s="22" t="str">
        <f t="shared" si="80"/>
        <v/>
      </c>
    </row>
    <row r="1539" ht="15.75" customHeight="1">
      <c r="A1539" s="32"/>
      <c r="G1539" s="22" t="str">
        <f t="shared" si="79"/>
        <v/>
      </c>
      <c r="H1539" s="22" t="str">
        <f t="shared" si="80"/>
        <v/>
      </c>
    </row>
    <row r="1540" ht="15.75" customHeight="1">
      <c r="A1540" s="32"/>
      <c r="G1540" s="22" t="str">
        <f t="shared" si="79"/>
        <v/>
      </c>
      <c r="H1540" s="22" t="str">
        <f t="shared" si="80"/>
        <v/>
      </c>
    </row>
    <row r="1541" ht="15.75" customHeight="1">
      <c r="A1541" s="32"/>
      <c r="G1541" s="22" t="str">
        <f t="shared" si="79"/>
        <v/>
      </c>
      <c r="H1541" s="22" t="str">
        <f t="shared" si="80"/>
        <v/>
      </c>
    </row>
    <row r="1542" ht="15.75" customHeight="1">
      <c r="A1542" s="32"/>
      <c r="G1542" s="22" t="str">
        <f t="shared" si="79"/>
        <v/>
      </c>
      <c r="H1542" s="22" t="str">
        <f t="shared" si="80"/>
        <v/>
      </c>
    </row>
    <row r="1543" ht="15.75" customHeight="1">
      <c r="A1543" s="32"/>
      <c r="G1543" s="22" t="str">
        <f t="shared" si="79"/>
        <v/>
      </c>
      <c r="H1543" s="22" t="str">
        <f t="shared" si="80"/>
        <v/>
      </c>
    </row>
    <row r="1544" ht="15.75" customHeight="1">
      <c r="A1544" s="32"/>
      <c r="G1544" s="22" t="str">
        <f t="shared" si="79"/>
        <v/>
      </c>
      <c r="H1544" s="22" t="str">
        <f t="shared" si="80"/>
        <v/>
      </c>
    </row>
    <row r="1545" ht="15.75" customHeight="1">
      <c r="A1545" s="32"/>
      <c r="G1545" s="22" t="str">
        <f t="shared" si="79"/>
        <v/>
      </c>
      <c r="H1545" s="22" t="str">
        <f t="shared" si="80"/>
        <v/>
      </c>
    </row>
    <row r="1546" ht="15.75" customHeight="1">
      <c r="A1546" s="32"/>
      <c r="G1546" s="22" t="str">
        <f t="shared" si="79"/>
        <v/>
      </c>
      <c r="H1546" s="22" t="str">
        <f t="shared" si="80"/>
        <v/>
      </c>
    </row>
    <row r="1547" ht="15.75" customHeight="1">
      <c r="A1547" s="32"/>
      <c r="G1547" s="22" t="str">
        <f t="shared" si="79"/>
        <v/>
      </c>
      <c r="H1547" s="22" t="str">
        <f t="shared" si="80"/>
        <v/>
      </c>
    </row>
    <row r="1548" ht="15.75" customHeight="1">
      <c r="A1548" s="32"/>
      <c r="G1548" s="22" t="str">
        <f t="shared" si="79"/>
        <v/>
      </c>
      <c r="H1548" s="22" t="str">
        <f t="shared" si="80"/>
        <v/>
      </c>
    </row>
    <row r="1549" ht="15.75" customHeight="1">
      <c r="A1549" s="32"/>
      <c r="G1549" s="22" t="str">
        <f t="shared" si="79"/>
        <v/>
      </c>
      <c r="H1549" s="22" t="str">
        <f t="shared" si="80"/>
        <v/>
      </c>
    </row>
    <row r="1550" ht="15.75" customHeight="1">
      <c r="A1550" s="32"/>
      <c r="G1550" s="22" t="str">
        <f t="shared" si="79"/>
        <v/>
      </c>
      <c r="H1550" s="22" t="str">
        <f t="shared" si="80"/>
        <v/>
      </c>
    </row>
    <row r="1551" ht="15.75" customHeight="1">
      <c r="A1551" s="32"/>
      <c r="G1551" s="22" t="str">
        <f t="shared" si="79"/>
        <v/>
      </c>
      <c r="H1551" s="22" t="str">
        <f t="shared" si="80"/>
        <v/>
      </c>
    </row>
    <row r="1552" ht="15.75" customHeight="1">
      <c r="A1552" s="32"/>
      <c r="G1552" s="22" t="str">
        <f t="shared" si="79"/>
        <v/>
      </c>
      <c r="H1552" s="22" t="str">
        <f t="shared" si="80"/>
        <v/>
      </c>
    </row>
    <row r="1553" ht="15.75" customHeight="1">
      <c r="A1553" s="32"/>
      <c r="G1553" s="22" t="str">
        <f t="shared" si="79"/>
        <v/>
      </c>
      <c r="H1553" s="22" t="str">
        <f t="shared" si="80"/>
        <v/>
      </c>
    </row>
    <row r="1554" ht="15.75" customHeight="1">
      <c r="A1554" s="32"/>
      <c r="G1554" s="22" t="str">
        <f t="shared" si="79"/>
        <v/>
      </c>
      <c r="H1554" s="22" t="str">
        <f t="shared" si="80"/>
        <v/>
      </c>
    </row>
    <row r="1555" ht="15.75" customHeight="1">
      <c r="A1555" s="32"/>
      <c r="G1555" s="22" t="str">
        <f t="shared" si="79"/>
        <v/>
      </c>
      <c r="H1555" s="22" t="str">
        <f t="shared" si="80"/>
        <v/>
      </c>
    </row>
    <row r="1556" ht="15.75" customHeight="1">
      <c r="A1556" s="32"/>
      <c r="G1556" s="22" t="str">
        <f t="shared" si="79"/>
        <v/>
      </c>
      <c r="H1556" s="22" t="str">
        <f t="shared" si="80"/>
        <v/>
      </c>
    </row>
    <row r="1557" ht="15.75" customHeight="1">
      <c r="A1557" s="32"/>
      <c r="G1557" s="22" t="str">
        <f t="shared" si="79"/>
        <v/>
      </c>
      <c r="H1557" s="22" t="str">
        <f t="shared" si="80"/>
        <v/>
      </c>
    </row>
    <row r="1558" ht="15.75" customHeight="1">
      <c r="A1558" s="32"/>
      <c r="G1558" s="22" t="str">
        <f t="shared" si="79"/>
        <v/>
      </c>
      <c r="H1558" s="22" t="str">
        <f t="shared" si="80"/>
        <v/>
      </c>
    </row>
    <row r="1559" ht="15.75" customHeight="1">
      <c r="A1559" s="32"/>
      <c r="G1559" s="22" t="str">
        <f t="shared" si="79"/>
        <v/>
      </c>
      <c r="H1559" s="22" t="str">
        <f t="shared" si="80"/>
        <v/>
      </c>
    </row>
    <row r="1560" ht="15.75" customHeight="1">
      <c r="A1560" s="32"/>
      <c r="G1560" s="22" t="str">
        <f t="shared" si="79"/>
        <v/>
      </c>
      <c r="H1560" s="22" t="str">
        <f t="shared" si="80"/>
        <v/>
      </c>
    </row>
    <row r="1561" ht="15.75" customHeight="1">
      <c r="A1561" s="32"/>
      <c r="G1561" s="22" t="str">
        <f t="shared" si="79"/>
        <v/>
      </c>
      <c r="H1561" s="22" t="str">
        <f t="shared" si="80"/>
        <v/>
      </c>
    </row>
    <row r="1562" ht="15.75" customHeight="1">
      <c r="A1562" s="32"/>
      <c r="G1562" s="22" t="str">
        <f t="shared" si="79"/>
        <v/>
      </c>
      <c r="H1562" s="22" t="str">
        <f t="shared" si="80"/>
        <v/>
      </c>
    </row>
    <row r="1563" ht="15.75" customHeight="1">
      <c r="A1563" s="32"/>
      <c r="G1563" s="22" t="str">
        <f t="shared" si="79"/>
        <v/>
      </c>
      <c r="H1563" s="22" t="str">
        <f t="shared" si="80"/>
        <v/>
      </c>
    </row>
    <row r="1564" ht="15.75" customHeight="1">
      <c r="A1564" s="32"/>
      <c r="G1564" s="22" t="str">
        <f t="shared" si="79"/>
        <v/>
      </c>
      <c r="H1564" s="22" t="str">
        <f t="shared" si="80"/>
        <v/>
      </c>
    </row>
    <row r="1565" ht="15.75" customHeight="1">
      <c r="A1565" s="32"/>
      <c r="G1565" s="22" t="str">
        <f t="shared" si="79"/>
        <v/>
      </c>
      <c r="H1565" s="22" t="str">
        <f t="shared" si="80"/>
        <v/>
      </c>
    </row>
    <row r="1566" ht="15.75" customHeight="1">
      <c r="A1566" s="32"/>
      <c r="G1566" s="22" t="str">
        <f t="shared" si="79"/>
        <v/>
      </c>
      <c r="H1566" s="22" t="str">
        <f t="shared" si="80"/>
        <v/>
      </c>
    </row>
    <row r="1567" ht="15.75" customHeight="1">
      <c r="A1567" s="32"/>
      <c r="G1567" s="22" t="str">
        <f t="shared" si="79"/>
        <v/>
      </c>
      <c r="H1567" s="22" t="str">
        <f t="shared" si="80"/>
        <v/>
      </c>
    </row>
    <row r="1568" ht="15.75" customHeight="1">
      <c r="A1568" s="32"/>
      <c r="G1568" s="22" t="str">
        <f t="shared" si="79"/>
        <v/>
      </c>
      <c r="H1568" s="22" t="str">
        <f t="shared" si="80"/>
        <v/>
      </c>
    </row>
    <row r="1569" ht="15.75" customHeight="1">
      <c r="A1569" s="32"/>
      <c r="G1569" s="22" t="str">
        <f t="shared" si="79"/>
        <v/>
      </c>
      <c r="H1569" s="22" t="str">
        <f t="shared" si="80"/>
        <v/>
      </c>
    </row>
    <row r="1570" ht="15.75" customHeight="1">
      <c r="A1570" s="32"/>
      <c r="G1570" s="22" t="str">
        <f t="shared" si="79"/>
        <v/>
      </c>
      <c r="H1570" s="22" t="str">
        <f t="shared" si="80"/>
        <v/>
      </c>
    </row>
    <row r="1571" ht="15.75" customHeight="1">
      <c r="A1571" s="32"/>
      <c r="G1571" s="22" t="str">
        <f t="shared" si="79"/>
        <v/>
      </c>
      <c r="H1571" s="22" t="str">
        <f t="shared" si="80"/>
        <v/>
      </c>
    </row>
    <row r="1572" ht="15.75" customHeight="1">
      <c r="A1572" s="32"/>
      <c r="G1572" s="22" t="str">
        <f t="shared" si="79"/>
        <v/>
      </c>
      <c r="H1572" s="22" t="str">
        <f t="shared" si="80"/>
        <v/>
      </c>
    </row>
    <row r="1573" ht="15.75" customHeight="1">
      <c r="A1573" s="32"/>
      <c r="G1573" s="22" t="str">
        <f t="shared" si="79"/>
        <v/>
      </c>
      <c r="H1573" s="22" t="str">
        <f t="shared" si="80"/>
        <v/>
      </c>
    </row>
    <row r="1574" ht="15.75" customHeight="1">
      <c r="A1574" s="32"/>
      <c r="G1574" s="22" t="str">
        <f t="shared" si="79"/>
        <v/>
      </c>
      <c r="H1574" s="22" t="str">
        <f t="shared" si="80"/>
        <v/>
      </c>
    </row>
    <row r="1575" ht="15.75" customHeight="1">
      <c r="A1575" s="32"/>
      <c r="G1575" s="22" t="str">
        <f t="shared" si="79"/>
        <v/>
      </c>
      <c r="H1575" s="22" t="str">
        <f t="shared" si="80"/>
        <v/>
      </c>
    </row>
    <row r="1576" ht="15.75" customHeight="1">
      <c r="A1576" s="32"/>
      <c r="G1576" s="22" t="str">
        <f t="shared" si="79"/>
        <v/>
      </c>
      <c r="H1576" s="22" t="str">
        <f t="shared" si="80"/>
        <v/>
      </c>
    </row>
    <row r="1577" ht="15.75" customHeight="1">
      <c r="A1577" s="32"/>
      <c r="G1577" s="22" t="str">
        <f t="shared" si="79"/>
        <v/>
      </c>
      <c r="H1577" s="22" t="str">
        <f t="shared" si="80"/>
        <v/>
      </c>
    </row>
    <row r="1578" ht="15.75" customHeight="1">
      <c r="A1578" s="32"/>
      <c r="G1578" s="22" t="str">
        <f t="shared" si="79"/>
        <v/>
      </c>
      <c r="H1578" s="22" t="str">
        <f t="shared" si="80"/>
        <v/>
      </c>
    </row>
    <row r="1579" ht="15.75" customHeight="1">
      <c r="A1579" s="32"/>
      <c r="G1579" s="22" t="str">
        <f t="shared" si="79"/>
        <v/>
      </c>
      <c r="H1579" s="22" t="str">
        <f t="shared" si="80"/>
        <v/>
      </c>
    </row>
    <row r="1580" ht="15.75" customHeight="1">
      <c r="A1580" s="32"/>
      <c r="G1580" s="22" t="str">
        <f t="shared" si="79"/>
        <v/>
      </c>
      <c r="H1580" s="22" t="str">
        <f t="shared" si="80"/>
        <v/>
      </c>
    </row>
    <row r="1581" ht="15.75" customHeight="1">
      <c r="A1581" s="32"/>
      <c r="G1581" s="22" t="str">
        <f t="shared" si="79"/>
        <v/>
      </c>
      <c r="H1581" s="22" t="str">
        <f t="shared" si="80"/>
        <v/>
      </c>
    </row>
    <row r="1582" ht="15.75" customHeight="1">
      <c r="A1582" s="32"/>
      <c r="G1582" s="22" t="str">
        <f t="shared" si="79"/>
        <v/>
      </c>
      <c r="H1582" s="22" t="str">
        <f t="shared" si="80"/>
        <v/>
      </c>
    </row>
    <row r="1583" ht="15.75" customHeight="1">
      <c r="A1583" s="32"/>
      <c r="G1583" s="22" t="str">
        <f t="shared" si="79"/>
        <v/>
      </c>
      <c r="H1583" s="22" t="str">
        <f t="shared" si="80"/>
        <v/>
      </c>
    </row>
    <row r="1584" ht="15.75" customHeight="1">
      <c r="A1584" s="32"/>
      <c r="G1584" s="22" t="str">
        <f t="shared" si="79"/>
        <v/>
      </c>
      <c r="H1584" s="22" t="str">
        <f t="shared" si="80"/>
        <v/>
      </c>
    </row>
    <row r="1585" ht="15.75" customHeight="1">
      <c r="A1585" s="32"/>
      <c r="G1585" s="22" t="str">
        <f t="shared" si="79"/>
        <v/>
      </c>
      <c r="H1585" s="22" t="str">
        <f t="shared" si="80"/>
        <v/>
      </c>
    </row>
    <row r="1586" ht="15.75" customHeight="1">
      <c r="A1586" s="32"/>
      <c r="G1586" s="22" t="str">
        <f t="shared" si="79"/>
        <v/>
      </c>
      <c r="H1586" s="22" t="str">
        <f t="shared" si="80"/>
        <v/>
      </c>
    </row>
    <row r="1587" ht="15.75" customHeight="1">
      <c r="A1587" s="32"/>
      <c r="G1587" s="22" t="str">
        <f t="shared" si="79"/>
        <v/>
      </c>
      <c r="H1587" s="22" t="str">
        <f t="shared" si="80"/>
        <v/>
      </c>
    </row>
    <row r="1588" ht="15.75" customHeight="1">
      <c r="A1588" s="32"/>
      <c r="G1588" s="22" t="str">
        <f t="shared" si="79"/>
        <v/>
      </c>
      <c r="H1588" s="22" t="str">
        <f t="shared" si="80"/>
        <v/>
      </c>
    </row>
    <row r="1589" ht="15.75" customHeight="1">
      <c r="A1589" s="32"/>
      <c r="G1589" s="22" t="str">
        <f t="shared" si="79"/>
        <v/>
      </c>
      <c r="H1589" s="22" t="str">
        <f t="shared" si="80"/>
        <v/>
      </c>
    </row>
    <row r="1590" ht="15.75" customHeight="1">
      <c r="A1590" s="32"/>
      <c r="G1590" s="22" t="str">
        <f t="shared" si="79"/>
        <v/>
      </c>
      <c r="H1590" s="22" t="str">
        <f t="shared" si="80"/>
        <v/>
      </c>
    </row>
    <row r="1591" ht="15.75" customHeight="1">
      <c r="A1591" s="32"/>
      <c r="G1591" s="22" t="str">
        <f t="shared" si="79"/>
        <v/>
      </c>
      <c r="H1591" s="22" t="str">
        <f t="shared" si="80"/>
        <v/>
      </c>
    </row>
    <row r="1592" ht="15.75" customHeight="1">
      <c r="A1592" s="32"/>
      <c r="G1592" s="22" t="str">
        <f t="shared" si="79"/>
        <v/>
      </c>
      <c r="H1592" s="22" t="str">
        <f t="shared" si="80"/>
        <v/>
      </c>
    </row>
    <row r="1593" ht="15.75" customHeight="1">
      <c r="A1593" s="32"/>
      <c r="G1593" s="22" t="str">
        <f t="shared" si="79"/>
        <v/>
      </c>
      <c r="H1593" s="22" t="str">
        <f t="shared" si="80"/>
        <v/>
      </c>
    </row>
    <row r="1594" ht="15.75" customHeight="1">
      <c r="A1594" s="32"/>
      <c r="G1594" s="22" t="str">
        <f t="shared" si="79"/>
        <v/>
      </c>
      <c r="H1594" s="22" t="str">
        <f t="shared" si="80"/>
        <v/>
      </c>
    </row>
    <row r="1595" ht="15.75" customHeight="1">
      <c r="A1595" s="32"/>
      <c r="G1595" s="22" t="str">
        <f t="shared" si="79"/>
        <v/>
      </c>
      <c r="H1595" s="22" t="str">
        <f t="shared" si="80"/>
        <v/>
      </c>
    </row>
    <row r="1596" ht="15.75" customHeight="1">
      <c r="A1596" s="32"/>
      <c r="G1596" s="22" t="str">
        <f t="shared" si="79"/>
        <v/>
      </c>
      <c r="H1596" s="22" t="str">
        <f t="shared" si="80"/>
        <v/>
      </c>
    </row>
    <row r="1597" ht="15.75" customHeight="1">
      <c r="A1597" s="32"/>
      <c r="G1597" s="22" t="str">
        <f t="shared" si="79"/>
        <v/>
      </c>
      <c r="H1597" s="22" t="str">
        <f t="shared" si="80"/>
        <v/>
      </c>
    </row>
    <row r="1598" ht="15.75" customHeight="1">
      <c r="A1598" s="32"/>
      <c r="G1598" s="22" t="str">
        <f t="shared" si="79"/>
        <v/>
      </c>
      <c r="H1598" s="22" t="str">
        <f t="shared" si="80"/>
        <v/>
      </c>
    </row>
    <row r="1599" ht="15.75" customHeight="1">
      <c r="A1599" s="32"/>
      <c r="G1599" s="22" t="str">
        <f t="shared" si="79"/>
        <v/>
      </c>
      <c r="H1599" s="22" t="str">
        <f t="shared" si="80"/>
        <v/>
      </c>
    </row>
    <row r="1600" ht="15.75" customHeight="1">
      <c r="A1600" s="32"/>
      <c r="G1600" s="22" t="str">
        <f t="shared" si="79"/>
        <v/>
      </c>
      <c r="H1600" s="22" t="str">
        <f t="shared" si="80"/>
        <v/>
      </c>
    </row>
    <row r="1601" ht="15.75" customHeight="1">
      <c r="A1601" s="32"/>
      <c r="G1601" s="22" t="str">
        <f t="shared" si="79"/>
        <v/>
      </c>
      <c r="H1601" s="22" t="str">
        <f t="shared" si="80"/>
        <v/>
      </c>
    </row>
    <row r="1602" ht="15.75" customHeight="1">
      <c r="A1602" s="32"/>
      <c r="G1602" s="22" t="str">
        <f t="shared" si="79"/>
        <v/>
      </c>
      <c r="H1602" s="22" t="str">
        <f t="shared" si="80"/>
        <v/>
      </c>
    </row>
    <row r="1603" ht="15.75" customHeight="1">
      <c r="A1603" s="32"/>
      <c r="G1603" s="22" t="str">
        <f t="shared" si="79"/>
        <v/>
      </c>
      <c r="H1603" s="22" t="str">
        <f t="shared" si="80"/>
        <v/>
      </c>
    </row>
    <row r="1604" ht="15.75" customHeight="1">
      <c r="A1604" s="32"/>
      <c r="G1604" s="22" t="str">
        <f t="shared" si="79"/>
        <v/>
      </c>
      <c r="H1604" s="22" t="str">
        <f t="shared" si="80"/>
        <v/>
      </c>
    </row>
    <row r="1605" ht="15.75" customHeight="1">
      <c r="A1605" s="32"/>
      <c r="G1605" s="22" t="str">
        <f t="shared" si="79"/>
        <v/>
      </c>
      <c r="H1605" s="22" t="str">
        <f t="shared" si="80"/>
        <v/>
      </c>
    </row>
    <row r="1606" ht="15.75" customHeight="1">
      <c r="A1606" s="32"/>
      <c r="G1606" s="22" t="str">
        <f t="shared" si="79"/>
        <v/>
      </c>
      <c r="H1606" s="22" t="str">
        <f t="shared" si="80"/>
        <v/>
      </c>
    </row>
    <row r="1607" ht="15.75" customHeight="1">
      <c r="A1607" s="32"/>
      <c r="G1607" s="22" t="str">
        <f t="shared" si="79"/>
        <v/>
      </c>
      <c r="H1607" s="22" t="str">
        <f t="shared" si="80"/>
        <v/>
      </c>
    </row>
    <row r="1608" ht="15.75" customHeight="1">
      <c r="A1608" s="32"/>
      <c r="G1608" s="22" t="str">
        <f t="shared" si="79"/>
        <v/>
      </c>
      <c r="H1608" s="22" t="str">
        <f t="shared" si="80"/>
        <v/>
      </c>
    </row>
    <row r="1609" ht="15.75" customHeight="1">
      <c r="A1609" s="32"/>
      <c r="G1609" s="22" t="str">
        <f t="shared" si="79"/>
        <v/>
      </c>
      <c r="H1609" s="22" t="str">
        <f t="shared" si="80"/>
        <v/>
      </c>
    </row>
    <row r="1610" ht="15.75" customHeight="1">
      <c r="A1610" s="32"/>
      <c r="G1610" s="22" t="str">
        <f t="shared" si="79"/>
        <v/>
      </c>
      <c r="H1610" s="22" t="str">
        <f t="shared" si="80"/>
        <v/>
      </c>
    </row>
    <row r="1611" ht="15.75" customHeight="1">
      <c r="A1611" s="32"/>
      <c r="G1611" s="22" t="str">
        <f t="shared" si="79"/>
        <v/>
      </c>
      <c r="H1611" s="22" t="str">
        <f t="shared" si="80"/>
        <v/>
      </c>
    </row>
    <row r="1612" ht="15.75" customHeight="1">
      <c r="A1612" s="32"/>
      <c r="G1612" s="22" t="str">
        <f t="shared" si="79"/>
        <v/>
      </c>
      <c r="H1612" s="22" t="str">
        <f t="shared" si="80"/>
        <v/>
      </c>
    </row>
    <row r="1613" ht="15.75" customHeight="1">
      <c r="A1613" s="32"/>
      <c r="G1613" s="22" t="str">
        <f t="shared" si="79"/>
        <v/>
      </c>
      <c r="H1613" s="22" t="str">
        <f t="shared" si="80"/>
        <v/>
      </c>
    </row>
    <row r="1614" ht="15.75" customHeight="1">
      <c r="A1614" s="32"/>
      <c r="G1614" s="22" t="str">
        <f t="shared" si="79"/>
        <v/>
      </c>
      <c r="H1614" s="22" t="str">
        <f t="shared" si="80"/>
        <v/>
      </c>
    </row>
    <row r="1615" ht="15.75" customHeight="1">
      <c r="A1615" s="32"/>
      <c r="G1615" s="22" t="str">
        <f t="shared" si="79"/>
        <v/>
      </c>
      <c r="H1615" s="22" t="str">
        <f t="shared" si="80"/>
        <v/>
      </c>
    </row>
    <row r="1616" ht="15.75" customHeight="1">
      <c r="A1616" s="32"/>
      <c r="G1616" s="22" t="str">
        <f t="shared" si="79"/>
        <v/>
      </c>
      <c r="H1616" s="22" t="str">
        <f t="shared" si="80"/>
        <v/>
      </c>
    </row>
    <row r="1617" ht="15.75" customHeight="1">
      <c r="A1617" s="32"/>
      <c r="G1617" s="22" t="str">
        <f t="shared" si="79"/>
        <v/>
      </c>
      <c r="H1617" s="22" t="str">
        <f t="shared" si="80"/>
        <v/>
      </c>
    </row>
    <row r="1618" ht="15.75" customHeight="1">
      <c r="A1618" s="32"/>
      <c r="G1618" s="22" t="str">
        <f t="shared" si="79"/>
        <v/>
      </c>
      <c r="H1618" s="22" t="str">
        <f t="shared" si="80"/>
        <v/>
      </c>
    </row>
    <row r="1619" ht="15.75" customHeight="1">
      <c r="A1619" s="32"/>
      <c r="G1619" s="22" t="str">
        <f t="shared" si="79"/>
        <v/>
      </c>
      <c r="H1619" s="22" t="str">
        <f t="shared" si="80"/>
        <v/>
      </c>
    </row>
    <row r="1620" ht="15.75" customHeight="1">
      <c r="A1620" s="32"/>
      <c r="G1620" s="22" t="str">
        <f t="shared" si="79"/>
        <v/>
      </c>
      <c r="H1620" s="22" t="str">
        <f t="shared" si="80"/>
        <v/>
      </c>
    </row>
    <row r="1621" ht="15.75" customHeight="1">
      <c r="A1621" s="32"/>
      <c r="G1621" s="22" t="str">
        <f t="shared" si="79"/>
        <v/>
      </c>
      <c r="H1621" s="22" t="str">
        <f t="shared" si="80"/>
        <v/>
      </c>
    </row>
    <row r="1622" ht="15.75" customHeight="1">
      <c r="A1622" s="32"/>
      <c r="G1622" s="22" t="str">
        <f t="shared" si="79"/>
        <v/>
      </c>
      <c r="H1622" s="22" t="str">
        <f t="shared" si="80"/>
        <v/>
      </c>
    </row>
    <row r="1623" ht="15.75" customHeight="1">
      <c r="A1623" s="32"/>
      <c r="G1623" s="22" t="str">
        <f t="shared" si="79"/>
        <v/>
      </c>
      <c r="H1623" s="22" t="str">
        <f t="shared" si="80"/>
        <v/>
      </c>
    </row>
    <row r="1624" ht="15.75" customHeight="1">
      <c r="A1624" s="32"/>
      <c r="G1624" s="22" t="str">
        <f t="shared" si="79"/>
        <v/>
      </c>
      <c r="H1624" s="22" t="str">
        <f t="shared" si="80"/>
        <v/>
      </c>
    </row>
    <row r="1625" ht="15.75" customHeight="1">
      <c r="A1625" s="32"/>
      <c r="G1625" s="22" t="str">
        <f t="shared" si="79"/>
        <v/>
      </c>
      <c r="H1625" s="22" t="str">
        <f t="shared" si="80"/>
        <v/>
      </c>
    </row>
    <row r="1626" ht="15.75" customHeight="1">
      <c r="A1626" s="32"/>
      <c r="G1626" s="22" t="str">
        <f t="shared" si="79"/>
        <v/>
      </c>
      <c r="H1626" s="22" t="str">
        <f t="shared" si="80"/>
        <v/>
      </c>
    </row>
    <row r="1627" ht="15.75" customHeight="1">
      <c r="A1627" s="32"/>
      <c r="G1627" s="22" t="str">
        <f t="shared" si="79"/>
        <v/>
      </c>
      <c r="H1627" s="22" t="str">
        <f t="shared" si="80"/>
        <v/>
      </c>
    </row>
    <row r="1628" ht="15.75" customHeight="1">
      <c r="A1628" s="32"/>
      <c r="G1628" s="22" t="str">
        <f t="shared" si="79"/>
        <v/>
      </c>
      <c r="H1628" s="22" t="str">
        <f t="shared" si="80"/>
        <v/>
      </c>
    </row>
    <row r="1629" ht="15.75" customHeight="1">
      <c r="A1629" s="32"/>
      <c r="G1629" s="22" t="str">
        <f t="shared" si="79"/>
        <v/>
      </c>
      <c r="H1629" s="22" t="str">
        <f t="shared" si="80"/>
        <v/>
      </c>
    </row>
    <row r="1630" ht="15.75" customHeight="1">
      <c r="A1630" s="32"/>
      <c r="G1630" s="22" t="str">
        <f t="shared" si="79"/>
        <v/>
      </c>
      <c r="H1630" s="22" t="str">
        <f t="shared" si="80"/>
        <v/>
      </c>
    </row>
    <row r="1631" ht="15.75" customHeight="1">
      <c r="A1631" s="32"/>
      <c r="G1631" s="22" t="str">
        <f t="shared" si="79"/>
        <v/>
      </c>
      <c r="H1631" s="22" t="str">
        <f t="shared" si="80"/>
        <v/>
      </c>
    </row>
    <row r="1632" ht="15.75" customHeight="1">
      <c r="A1632" s="32"/>
      <c r="G1632" s="22" t="str">
        <f t="shared" si="79"/>
        <v/>
      </c>
      <c r="H1632" s="22" t="str">
        <f t="shared" si="80"/>
        <v/>
      </c>
    </row>
    <row r="1633" ht="15.75" customHeight="1">
      <c r="A1633" s="32"/>
      <c r="G1633" s="22" t="str">
        <f t="shared" si="79"/>
        <v/>
      </c>
      <c r="H1633" s="22" t="str">
        <f t="shared" si="80"/>
        <v/>
      </c>
    </row>
    <row r="1634" ht="15.75" customHeight="1">
      <c r="A1634" s="32"/>
      <c r="G1634" s="22" t="str">
        <f t="shared" si="79"/>
        <v/>
      </c>
      <c r="H1634" s="22" t="str">
        <f t="shared" si="80"/>
        <v/>
      </c>
    </row>
    <row r="1635" ht="15.75" customHeight="1">
      <c r="A1635" s="32"/>
      <c r="G1635" s="22" t="str">
        <f t="shared" si="79"/>
        <v/>
      </c>
      <c r="H1635" s="22" t="str">
        <f t="shared" si="80"/>
        <v/>
      </c>
    </row>
    <row r="1636" ht="15.75" customHeight="1">
      <c r="A1636" s="32"/>
      <c r="G1636" s="22" t="str">
        <f t="shared" si="79"/>
        <v/>
      </c>
      <c r="H1636" s="22" t="str">
        <f t="shared" si="80"/>
        <v/>
      </c>
    </row>
    <row r="1637" ht="15.75" customHeight="1">
      <c r="A1637" s="32"/>
      <c r="G1637" s="22" t="str">
        <f t="shared" si="79"/>
        <v/>
      </c>
      <c r="H1637" s="22" t="str">
        <f t="shared" si="80"/>
        <v/>
      </c>
    </row>
    <row r="1638" ht="15.75" customHeight="1">
      <c r="A1638" s="32"/>
      <c r="G1638" s="22" t="str">
        <f t="shared" si="79"/>
        <v/>
      </c>
      <c r="H1638" s="22" t="str">
        <f t="shared" si="80"/>
        <v/>
      </c>
    </row>
    <row r="1639" ht="15.75" customHeight="1">
      <c r="A1639" s="32"/>
      <c r="G1639" s="22" t="str">
        <f t="shared" si="79"/>
        <v/>
      </c>
      <c r="H1639" s="22" t="str">
        <f t="shared" si="80"/>
        <v/>
      </c>
    </row>
    <row r="1640" ht="15.75" customHeight="1">
      <c r="A1640" s="32"/>
      <c r="G1640" s="22" t="str">
        <f t="shared" si="79"/>
        <v/>
      </c>
      <c r="H1640" s="22" t="str">
        <f t="shared" si="80"/>
        <v/>
      </c>
    </row>
    <row r="1641" ht="15.75" customHeight="1">
      <c r="A1641" s="32"/>
      <c r="G1641" s="22" t="str">
        <f t="shared" si="79"/>
        <v/>
      </c>
      <c r="H1641" s="22" t="str">
        <f t="shared" si="80"/>
        <v/>
      </c>
    </row>
    <row r="1642" ht="15.75" customHeight="1">
      <c r="A1642" s="32"/>
      <c r="G1642" s="22" t="str">
        <f t="shared" si="79"/>
        <v/>
      </c>
      <c r="H1642" s="22" t="str">
        <f t="shared" si="80"/>
        <v/>
      </c>
    </row>
    <row r="1643" ht="15.75" customHeight="1">
      <c r="A1643" s="32"/>
      <c r="G1643" s="22" t="str">
        <f t="shared" si="79"/>
        <v/>
      </c>
      <c r="H1643" s="22" t="str">
        <f t="shared" si="80"/>
        <v/>
      </c>
    </row>
    <row r="1644" ht="15.75" customHeight="1">
      <c r="A1644" s="32"/>
      <c r="G1644" s="22" t="str">
        <f t="shared" si="79"/>
        <v/>
      </c>
      <c r="H1644" s="22" t="str">
        <f t="shared" si="80"/>
        <v/>
      </c>
    </row>
    <row r="1645" ht="15.75" customHeight="1">
      <c r="A1645" s="32"/>
      <c r="G1645" s="22" t="str">
        <f t="shared" si="79"/>
        <v/>
      </c>
      <c r="H1645" s="22" t="str">
        <f t="shared" si="80"/>
        <v/>
      </c>
    </row>
    <row r="1646" ht="15.75" customHeight="1">
      <c r="A1646" s="32"/>
      <c r="G1646" s="22" t="str">
        <f t="shared" si="79"/>
        <v/>
      </c>
      <c r="H1646" s="22" t="str">
        <f t="shared" si="80"/>
        <v/>
      </c>
    </row>
    <row r="1647" ht="15.75" customHeight="1">
      <c r="A1647" s="32"/>
      <c r="G1647" s="22" t="str">
        <f t="shared" si="79"/>
        <v/>
      </c>
      <c r="H1647" s="22" t="str">
        <f t="shared" si="80"/>
        <v/>
      </c>
    </row>
    <row r="1648" ht="15.75" customHeight="1">
      <c r="A1648" s="32"/>
      <c r="G1648" s="22" t="str">
        <f t="shared" si="79"/>
        <v/>
      </c>
      <c r="H1648" s="22" t="str">
        <f t="shared" si="80"/>
        <v/>
      </c>
    </row>
    <row r="1649" ht="15.75" customHeight="1">
      <c r="A1649" s="32"/>
      <c r="G1649" s="22" t="str">
        <f t="shared" si="79"/>
        <v/>
      </c>
      <c r="H1649" s="22" t="str">
        <f t="shared" si="80"/>
        <v/>
      </c>
    </row>
    <row r="1650" ht="15.75" customHeight="1">
      <c r="A1650" s="32"/>
      <c r="G1650" s="22" t="str">
        <f t="shared" si="79"/>
        <v/>
      </c>
      <c r="H1650" s="22" t="str">
        <f t="shared" si="80"/>
        <v/>
      </c>
    </row>
    <row r="1651" ht="15.75" customHeight="1">
      <c r="A1651" s="32"/>
      <c r="G1651" s="22" t="str">
        <f t="shared" si="79"/>
        <v/>
      </c>
      <c r="H1651" s="22" t="str">
        <f t="shared" si="80"/>
        <v/>
      </c>
    </row>
    <row r="1652" ht="15.75" customHeight="1">
      <c r="A1652" s="32"/>
      <c r="G1652" s="22" t="str">
        <f t="shared" si="79"/>
        <v/>
      </c>
      <c r="H1652" s="22" t="str">
        <f t="shared" si="80"/>
        <v/>
      </c>
    </row>
    <row r="1653" ht="15.75" customHeight="1">
      <c r="A1653" s="32"/>
      <c r="G1653" s="22" t="str">
        <f t="shared" si="79"/>
        <v/>
      </c>
      <c r="H1653" s="22" t="str">
        <f t="shared" si="80"/>
        <v/>
      </c>
    </row>
    <row r="1654" ht="15.75" customHeight="1">
      <c r="A1654" s="32"/>
      <c r="G1654" s="22" t="str">
        <f t="shared" si="79"/>
        <v/>
      </c>
      <c r="H1654" s="22" t="str">
        <f t="shared" si="80"/>
        <v/>
      </c>
    </row>
    <row r="1655" ht="15.75" customHeight="1">
      <c r="A1655" s="32"/>
      <c r="G1655" s="22" t="str">
        <f t="shared" si="79"/>
        <v/>
      </c>
      <c r="H1655" s="22" t="str">
        <f t="shared" si="80"/>
        <v/>
      </c>
    </row>
    <row r="1656" ht="15.75" customHeight="1">
      <c r="A1656" s="32"/>
      <c r="G1656" s="22" t="str">
        <f t="shared" si="79"/>
        <v/>
      </c>
      <c r="H1656" s="22" t="str">
        <f t="shared" si="80"/>
        <v/>
      </c>
    </row>
    <row r="1657" ht="15.75" customHeight="1">
      <c r="A1657" s="32"/>
      <c r="G1657" s="22" t="str">
        <f t="shared" si="79"/>
        <v/>
      </c>
      <c r="H1657" s="22" t="str">
        <f t="shared" si="80"/>
        <v/>
      </c>
    </row>
    <row r="1658" ht="15.75" customHeight="1">
      <c r="A1658" s="32"/>
      <c r="G1658" s="22" t="str">
        <f t="shared" si="79"/>
        <v/>
      </c>
      <c r="H1658" s="22" t="str">
        <f t="shared" si="80"/>
        <v/>
      </c>
    </row>
    <row r="1659" ht="15.75" customHeight="1">
      <c r="A1659" s="32"/>
      <c r="G1659" s="22" t="str">
        <f t="shared" si="79"/>
        <v/>
      </c>
      <c r="H1659" s="22" t="str">
        <f t="shared" si="80"/>
        <v/>
      </c>
    </row>
    <row r="1660" ht="15.75" customHeight="1">
      <c r="A1660" s="32"/>
      <c r="G1660" s="22" t="str">
        <f t="shared" si="79"/>
        <v/>
      </c>
      <c r="H1660" s="22" t="str">
        <f t="shared" si="80"/>
        <v/>
      </c>
    </row>
    <row r="1661" ht="15.75" customHeight="1">
      <c r="A1661" s="32"/>
      <c r="G1661" s="22" t="str">
        <f t="shared" si="79"/>
        <v/>
      </c>
      <c r="H1661" s="22" t="str">
        <f t="shared" si="80"/>
        <v/>
      </c>
    </row>
    <row r="1662" ht="15.75" customHeight="1">
      <c r="A1662" s="32"/>
      <c r="G1662" s="22" t="str">
        <f t="shared" si="79"/>
        <v/>
      </c>
      <c r="H1662" s="22" t="str">
        <f t="shared" si="80"/>
        <v/>
      </c>
    </row>
    <row r="1663" ht="15.75" customHeight="1">
      <c r="A1663" s="32"/>
      <c r="G1663" s="22" t="str">
        <f t="shared" si="79"/>
        <v/>
      </c>
      <c r="H1663" s="22" t="str">
        <f t="shared" si="80"/>
        <v/>
      </c>
    </row>
    <row r="1664" ht="15.75" customHeight="1">
      <c r="A1664" s="32"/>
      <c r="G1664" s="22" t="str">
        <f t="shared" si="79"/>
        <v/>
      </c>
      <c r="H1664" s="22" t="str">
        <f t="shared" si="80"/>
        <v/>
      </c>
    </row>
    <row r="1665" ht="15.75" customHeight="1">
      <c r="A1665" s="32"/>
      <c r="G1665" s="22" t="str">
        <f t="shared" si="79"/>
        <v/>
      </c>
      <c r="H1665" s="22" t="str">
        <f t="shared" si="80"/>
        <v/>
      </c>
    </row>
    <row r="1666" ht="15.75" customHeight="1">
      <c r="A1666" s="32"/>
      <c r="G1666" s="22" t="str">
        <f t="shared" si="79"/>
        <v/>
      </c>
      <c r="H1666" s="22" t="str">
        <f t="shared" si="80"/>
        <v/>
      </c>
    </row>
    <row r="1667" ht="15.75" customHeight="1">
      <c r="A1667" s="32"/>
      <c r="G1667" s="22" t="str">
        <f t="shared" si="79"/>
        <v/>
      </c>
      <c r="H1667" s="22" t="str">
        <f t="shared" si="80"/>
        <v/>
      </c>
    </row>
    <row r="1668" ht="15.75" customHeight="1">
      <c r="A1668" s="32"/>
      <c r="G1668" s="22" t="str">
        <f t="shared" si="79"/>
        <v/>
      </c>
      <c r="H1668" s="22" t="str">
        <f t="shared" si="80"/>
        <v/>
      </c>
    </row>
    <row r="1669" ht="15.75" customHeight="1">
      <c r="A1669" s="32"/>
      <c r="H1669" s="22" t="str">
        <f t="shared" si="80"/>
        <v/>
      </c>
    </row>
    <row r="1670" ht="15.75" customHeight="1">
      <c r="A1670" s="32"/>
      <c r="H1670" s="22" t="str">
        <f t="shared" si="80"/>
        <v/>
      </c>
    </row>
    <row r="1671" ht="15.75" customHeight="1">
      <c r="A1671" s="32"/>
      <c r="H1671" s="22" t="str">
        <f t="shared" si="80"/>
        <v/>
      </c>
    </row>
    <row r="1672" ht="15.75" customHeight="1">
      <c r="A1672" s="32"/>
      <c r="H1672" s="22" t="str">
        <f t="shared" si="80"/>
        <v/>
      </c>
    </row>
    <row r="1673" ht="15.75" customHeight="1">
      <c r="A1673" s="32"/>
      <c r="H1673" s="22" t="str">
        <f t="shared" si="80"/>
        <v/>
      </c>
    </row>
    <row r="1674" ht="15.75" customHeight="1">
      <c r="A1674" s="32"/>
      <c r="H1674" s="22" t="str">
        <f t="shared" si="80"/>
        <v/>
      </c>
    </row>
    <row r="1675" ht="15.75" customHeight="1">
      <c r="A1675" s="32"/>
      <c r="H1675" s="22" t="str">
        <f t="shared" si="80"/>
        <v/>
      </c>
    </row>
    <row r="1676" ht="15.75" customHeight="1">
      <c r="A1676" s="32"/>
      <c r="H1676" s="22" t="str">
        <f t="shared" si="80"/>
        <v/>
      </c>
    </row>
    <row r="1677" ht="15.75" customHeight="1">
      <c r="A1677" s="32"/>
      <c r="H1677" s="22" t="str">
        <f t="shared" si="80"/>
        <v/>
      </c>
    </row>
    <row r="1678" ht="15.75" customHeight="1">
      <c r="A1678" s="32"/>
      <c r="H1678" s="22" t="str">
        <f t="shared" si="80"/>
        <v/>
      </c>
    </row>
    <row r="1679" ht="15.75" customHeight="1">
      <c r="A1679" s="32"/>
      <c r="H1679" s="22" t="str">
        <f t="shared" si="80"/>
        <v/>
      </c>
    </row>
    <row r="1680" ht="15.75" customHeight="1">
      <c r="A1680" s="32"/>
      <c r="H1680" s="22" t="str">
        <f t="shared" si="80"/>
        <v/>
      </c>
    </row>
    <row r="1681" ht="15.75" customHeight="1">
      <c r="A1681" s="32"/>
      <c r="H1681" s="22" t="str">
        <f t="shared" si="80"/>
        <v/>
      </c>
    </row>
    <row r="1682" ht="15.75" customHeight="1">
      <c r="A1682" s="32"/>
      <c r="H1682" s="22" t="str">
        <f t="shared" si="80"/>
        <v/>
      </c>
    </row>
    <row r="1683" ht="15.75" customHeight="1">
      <c r="A1683" s="32"/>
      <c r="H1683" s="22" t="str">
        <f t="shared" si="80"/>
        <v/>
      </c>
    </row>
    <row r="1684" ht="15.75" customHeight="1">
      <c r="A1684" s="32"/>
      <c r="H1684" s="22" t="str">
        <f t="shared" si="80"/>
        <v/>
      </c>
    </row>
    <row r="1685" ht="15.75" customHeight="1">
      <c r="A1685" s="32"/>
      <c r="H1685" s="22" t="str">
        <f t="shared" si="80"/>
        <v/>
      </c>
    </row>
    <row r="1686" ht="15.75" customHeight="1">
      <c r="A1686" s="32"/>
      <c r="H1686" s="22" t="str">
        <f t="shared" si="80"/>
        <v/>
      </c>
    </row>
    <row r="1687" ht="15.75" customHeight="1">
      <c r="A1687" s="32"/>
      <c r="H1687" s="22" t="str">
        <f t="shared" si="80"/>
        <v/>
      </c>
    </row>
    <row r="1688" ht="15.75" customHeight="1">
      <c r="A1688" s="32"/>
      <c r="H1688" s="22" t="str">
        <f t="shared" si="80"/>
        <v/>
      </c>
    </row>
    <row r="1689" ht="15.75" customHeight="1">
      <c r="A1689" s="32"/>
      <c r="H1689" s="22" t="str">
        <f t="shared" si="80"/>
        <v/>
      </c>
    </row>
    <row r="1690" ht="15.75" customHeight="1">
      <c r="A1690" s="32"/>
      <c r="H1690" s="22" t="str">
        <f t="shared" si="80"/>
        <v/>
      </c>
    </row>
    <row r="1691" ht="15.75" customHeight="1">
      <c r="A1691" s="32"/>
      <c r="H1691" s="22" t="str">
        <f t="shared" si="80"/>
        <v/>
      </c>
    </row>
    <row r="1692" ht="15.75" customHeight="1">
      <c r="A1692" s="32"/>
      <c r="H1692" s="22" t="str">
        <f t="shared" si="80"/>
        <v/>
      </c>
    </row>
    <row r="1693" ht="15.75" customHeight="1">
      <c r="A1693" s="32"/>
      <c r="H1693" s="22" t="str">
        <f t="shared" si="80"/>
        <v/>
      </c>
    </row>
    <row r="1694" ht="15.75" customHeight="1">
      <c r="A1694" s="32"/>
      <c r="H1694" s="22" t="str">
        <f t="shared" si="80"/>
        <v/>
      </c>
    </row>
    <row r="1695" ht="15.75" customHeight="1">
      <c r="A1695" s="32"/>
      <c r="H1695" s="22" t="str">
        <f t="shared" si="80"/>
        <v/>
      </c>
    </row>
    <row r="1696" ht="15.75" customHeight="1">
      <c r="A1696" s="32"/>
      <c r="H1696" s="22" t="str">
        <f t="shared" si="80"/>
        <v/>
      </c>
    </row>
    <row r="1697" ht="15.75" customHeight="1">
      <c r="A1697" s="32"/>
      <c r="H1697" s="22" t="str">
        <f t="shared" si="80"/>
        <v/>
      </c>
    </row>
    <row r="1698" ht="15.75" customHeight="1">
      <c r="A1698" s="32"/>
      <c r="H1698" s="22" t="str">
        <f t="shared" si="80"/>
        <v/>
      </c>
    </row>
    <row r="1699" ht="15.75" customHeight="1">
      <c r="A1699" s="32"/>
      <c r="H1699" s="22" t="str">
        <f t="shared" si="80"/>
        <v/>
      </c>
    </row>
    <row r="1700" ht="15.75" customHeight="1">
      <c r="A1700" s="32"/>
      <c r="H1700" s="22" t="str">
        <f t="shared" si="80"/>
        <v/>
      </c>
    </row>
    <row r="1701" ht="15.75" customHeight="1">
      <c r="A1701" s="32"/>
      <c r="H1701" s="22" t="str">
        <f t="shared" si="80"/>
        <v/>
      </c>
    </row>
    <row r="1702" ht="15.75" customHeight="1">
      <c r="A1702" s="32"/>
      <c r="H1702" s="22" t="str">
        <f t="shared" si="80"/>
        <v/>
      </c>
    </row>
    <row r="1703" ht="15.75" customHeight="1">
      <c r="A1703" s="32"/>
      <c r="H1703" s="22" t="str">
        <f t="shared" si="80"/>
        <v/>
      </c>
    </row>
    <row r="1704" ht="15.75" customHeight="1">
      <c r="A1704" s="32"/>
      <c r="H1704" s="22" t="str">
        <f t="shared" si="80"/>
        <v/>
      </c>
    </row>
    <row r="1705" ht="15.75" customHeight="1">
      <c r="A1705" s="32"/>
      <c r="H1705" s="22" t="str">
        <f t="shared" si="80"/>
        <v/>
      </c>
    </row>
    <row r="1706" ht="15.75" customHeight="1">
      <c r="A1706" s="32"/>
      <c r="H1706" s="22" t="str">
        <f t="shared" si="80"/>
        <v/>
      </c>
    </row>
    <row r="1707" ht="15.75" customHeight="1">
      <c r="A1707" s="32"/>
      <c r="H1707" s="22" t="str">
        <f t="shared" si="80"/>
        <v/>
      </c>
    </row>
    <row r="1708" ht="15.75" customHeight="1">
      <c r="A1708" s="32"/>
      <c r="H1708" s="22" t="str">
        <f t="shared" si="80"/>
        <v/>
      </c>
    </row>
    <row r="1709" ht="15.75" customHeight="1">
      <c r="A1709" s="32"/>
      <c r="H1709" s="22" t="str">
        <f t="shared" si="80"/>
        <v/>
      </c>
    </row>
    <row r="1710" ht="15.75" customHeight="1">
      <c r="A1710" s="32"/>
      <c r="H1710" s="22" t="str">
        <f t="shared" si="80"/>
        <v/>
      </c>
    </row>
    <row r="1711" ht="15.75" customHeight="1">
      <c r="A1711" s="32"/>
      <c r="H1711" s="22" t="str">
        <f t="shared" si="80"/>
        <v/>
      </c>
    </row>
    <row r="1712" ht="15.75" customHeight="1">
      <c r="A1712" s="32"/>
      <c r="H1712" s="22" t="str">
        <f t="shared" si="80"/>
        <v/>
      </c>
    </row>
    <row r="1713" ht="15.75" customHeight="1">
      <c r="A1713" s="32"/>
      <c r="H1713" s="22" t="str">
        <f t="shared" si="80"/>
        <v/>
      </c>
    </row>
    <row r="1714" ht="15.75" customHeight="1">
      <c r="A1714" s="32"/>
      <c r="H1714" s="22" t="str">
        <f t="shared" si="80"/>
        <v/>
      </c>
    </row>
    <row r="1715" ht="15.75" customHeight="1">
      <c r="A1715" s="32"/>
      <c r="H1715" s="22" t="str">
        <f t="shared" si="80"/>
        <v/>
      </c>
    </row>
    <row r="1716" ht="15.75" customHeight="1">
      <c r="A1716" s="32"/>
      <c r="H1716" s="22" t="str">
        <f t="shared" si="80"/>
        <v/>
      </c>
    </row>
    <row r="1717" ht="15.75" customHeight="1">
      <c r="A1717" s="32"/>
      <c r="H1717" s="22" t="str">
        <f t="shared" si="80"/>
        <v/>
      </c>
    </row>
    <row r="1718" ht="15.75" customHeight="1">
      <c r="A1718" s="32"/>
      <c r="H1718" s="22" t="str">
        <f t="shared" si="80"/>
        <v/>
      </c>
    </row>
    <row r="1719" ht="15.75" customHeight="1">
      <c r="A1719" s="32"/>
      <c r="H1719" s="22" t="str">
        <f t="shared" si="80"/>
        <v/>
      </c>
    </row>
    <row r="1720" ht="15.75" customHeight="1">
      <c r="A1720" s="32"/>
      <c r="H1720" s="22" t="str">
        <f t="shared" si="80"/>
        <v/>
      </c>
    </row>
    <row r="1721" ht="15.75" customHeight="1">
      <c r="A1721" s="32"/>
      <c r="H1721" s="22" t="str">
        <f t="shared" si="80"/>
        <v/>
      </c>
    </row>
    <row r="1722" ht="15.75" customHeight="1">
      <c r="A1722" s="32"/>
      <c r="H1722" s="22" t="str">
        <f t="shared" si="80"/>
        <v/>
      </c>
    </row>
    <row r="1723" ht="15.75" customHeight="1">
      <c r="A1723" s="32"/>
      <c r="H1723" s="22" t="str">
        <f t="shared" si="80"/>
        <v/>
      </c>
    </row>
    <row r="1724" ht="15.75" customHeight="1">
      <c r="A1724" s="32"/>
      <c r="H1724" s="22" t="str">
        <f t="shared" si="80"/>
        <v/>
      </c>
    </row>
    <row r="1725" ht="15.75" customHeight="1">
      <c r="A1725" s="32"/>
      <c r="H1725" s="22" t="str">
        <f t="shared" si="80"/>
        <v/>
      </c>
    </row>
    <row r="1726" ht="15.75" customHeight="1">
      <c r="A1726" s="32"/>
      <c r="H1726" s="22" t="str">
        <f t="shared" si="80"/>
        <v/>
      </c>
    </row>
    <row r="1727" ht="15.75" customHeight="1">
      <c r="A1727" s="32"/>
      <c r="H1727" s="22" t="str">
        <f t="shared" si="80"/>
        <v/>
      </c>
    </row>
    <row r="1728" ht="15.75" customHeight="1">
      <c r="A1728" s="32"/>
      <c r="H1728" s="22" t="str">
        <f t="shared" si="80"/>
        <v/>
      </c>
    </row>
    <row r="1729" ht="15.75" customHeight="1">
      <c r="A1729" s="32"/>
      <c r="H1729" s="22" t="str">
        <f t="shared" si="80"/>
        <v/>
      </c>
    </row>
    <row r="1730" ht="15.75" customHeight="1">
      <c r="A1730" s="32"/>
      <c r="H1730" s="22" t="str">
        <f t="shared" si="80"/>
        <v/>
      </c>
    </row>
    <row r="1731" ht="15.75" customHeight="1">
      <c r="A1731" s="32"/>
      <c r="H1731" s="22" t="str">
        <f t="shared" si="80"/>
        <v/>
      </c>
    </row>
    <row r="1732" ht="15.75" customHeight="1">
      <c r="A1732" s="32"/>
      <c r="H1732" s="22" t="str">
        <f t="shared" si="80"/>
        <v/>
      </c>
    </row>
    <row r="1733" ht="15.75" customHeight="1">
      <c r="A1733" s="32"/>
      <c r="H1733" s="22" t="str">
        <f t="shared" si="80"/>
        <v/>
      </c>
    </row>
    <row r="1734" ht="15.75" customHeight="1">
      <c r="A1734" s="32"/>
      <c r="H1734" s="22" t="str">
        <f t="shared" si="80"/>
        <v/>
      </c>
    </row>
    <row r="1735" ht="15.75" customHeight="1">
      <c r="A1735" s="32"/>
      <c r="H1735" s="22" t="str">
        <f t="shared" si="80"/>
        <v/>
      </c>
    </row>
    <row r="1736" ht="15.75" customHeight="1">
      <c r="A1736" s="32"/>
      <c r="H1736" s="22" t="str">
        <f t="shared" si="80"/>
        <v/>
      </c>
    </row>
    <row r="1737" ht="15.75" customHeight="1">
      <c r="A1737" s="32"/>
      <c r="H1737" s="22" t="str">
        <f t="shared" si="80"/>
        <v/>
      </c>
    </row>
    <row r="1738" ht="15.75" customHeight="1">
      <c r="A1738" s="32"/>
      <c r="H1738" s="22" t="str">
        <f t="shared" si="80"/>
        <v/>
      </c>
    </row>
    <row r="1739" ht="15.75" customHeight="1">
      <c r="A1739" s="32"/>
      <c r="H1739" s="22" t="str">
        <f t="shared" si="80"/>
        <v/>
      </c>
    </row>
    <row r="1740" ht="15.75" customHeight="1">
      <c r="A1740" s="32"/>
      <c r="H1740" s="22" t="str">
        <f t="shared" si="80"/>
        <v/>
      </c>
    </row>
    <row r="1741" ht="15.75" customHeight="1">
      <c r="A1741" s="32"/>
      <c r="H1741" s="22" t="str">
        <f t="shared" si="80"/>
        <v/>
      </c>
    </row>
    <row r="1742" ht="15.75" customHeight="1">
      <c r="A1742" s="32"/>
      <c r="H1742" s="22" t="str">
        <f t="shared" si="80"/>
        <v/>
      </c>
    </row>
    <row r="1743" ht="15.75" customHeight="1">
      <c r="A1743" s="32"/>
      <c r="H1743" s="22" t="str">
        <f t="shared" si="80"/>
        <v/>
      </c>
    </row>
    <row r="1744" ht="15.75" customHeight="1">
      <c r="A1744" s="32"/>
      <c r="H1744" s="22" t="str">
        <f t="shared" si="80"/>
        <v/>
      </c>
    </row>
    <row r="1745" ht="15.75" customHeight="1">
      <c r="A1745" s="32"/>
      <c r="H1745" s="22" t="str">
        <f t="shared" si="80"/>
        <v/>
      </c>
    </row>
    <row r="1746" ht="15.75" customHeight="1">
      <c r="A1746" s="32"/>
      <c r="H1746" s="22" t="str">
        <f t="shared" si="80"/>
        <v/>
      </c>
    </row>
    <row r="1747" ht="15.75" customHeight="1">
      <c r="A1747" s="32"/>
      <c r="H1747" s="22" t="str">
        <f t="shared" si="80"/>
        <v/>
      </c>
    </row>
    <row r="1748" ht="15.75" customHeight="1">
      <c r="A1748" s="32"/>
      <c r="H1748" s="22" t="str">
        <f t="shared" si="80"/>
        <v/>
      </c>
    </row>
    <row r="1749" ht="15.75" customHeight="1">
      <c r="A1749" s="32"/>
      <c r="H1749" s="22" t="str">
        <f t="shared" si="80"/>
        <v/>
      </c>
    </row>
    <row r="1750" ht="15.75" customHeight="1">
      <c r="A1750" s="32"/>
      <c r="H1750" s="22" t="str">
        <f t="shared" si="80"/>
        <v/>
      </c>
    </row>
    <row r="1751" ht="15.75" customHeight="1">
      <c r="A1751" s="32"/>
      <c r="H1751" s="22" t="str">
        <f t="shared" si="80"/>
        <v/>
      </c>
    </row>
    <row r="1752" ht="15.75" customHeight="1">
      <c r="A1752" s="32"/>
      <c r="H1752" s="22" t="str">
        <f t="shared" si="80"/>
        <v/>
      </c>
    </row>
    <row r="1753" ht="15.75" customHeight="1">
      <c r="A1753" s="32"/>
      <c r="H1753" s="22" t="str">
        <f t="shared" si="80"/>
        <v/>
      </c>
    </row>
    <row r="1754" ht="15.75" customHeight="1">
      <c r="A1754" s="32"/>
      <c r="H1754" s="22" t="str">
        <f t="shared" si="80"/>
        <v/>
      </c>
    </row>
    <row r="1755" ht="15.75" customHeight="1">
      <c r="A1755" s="32"/>
      <c r="H1755" s="22" t="str">
        <f t="shared" si="80"/>
        <v/>
      </c>
    </row>
    <row r="1756" ht="15.75" customHeight="1">
      <c r="A1756" s="32"/>
      <c r="H1756" s="22" t="str">
        <f t="shared" si="80"/>
        <v/>
      </c>
    </row>
    <row r="1757" ht="15.75" customHeight="1">
      <c r="A1757" s="32"/>
      <c r="H1757" s="22" t="str">
        <f t="shared" si="80"/>
        <v/>
      </c>
    </row>
    <row r="1758" ht="15.75" customHeight="1">
      <c r="A1758" s="32"/>
      <c r="H1758" s="22" t="str">
        <f t="shared" si="80"/>
        <v/>
      </c>
    </row>
    <row r="1759" ht="15.75" customHeight="1">
      <c r="A1759" s="32"/>
      <c r="H1759" s="22" t="str">
        <f t="shared" si="80"/>
        <v/>
      </c>
    </row>
    <row r="1760" ht="15.75" customHeight="1">
      <c r="A1760" s="32"/>
      <c r="H1760" s="22" t="str">
        <f t="shared" si="80"/>
        <v/>
      </c>
    </row>
    <row r="1761" ht="15.75" customHeight="1">
      <c r="A1761" s="32"/>
      <c r="H1761" s="22" t="str">
        <f t="shared" si="80"/>
        <v/>
      </c>
    </row>
    <row r="1762" ht="15.75" customHeight="1">
      <c r="A1762" s="32"/>
      <c r="H1762" s="22" t="str">
        <f t="shared" si="80"/>
        <v/>
      </c>
    </row>
    <row r="1763" ht="15.75" customHeight="1">
      <c r="A1763" s="32"/>
      <c r="H1763" s="22" t="str">
        <f t="shared" si="80"/>
        <v/>
      </c>
    </row>
    <row r="1764" ht="15.75" customHeight="1">
      <c r="A1764" s="32"/>
      <c r="H1764" s="22" t="str">
        <f t="shared" si="80"/>
        <v/>
      </c>
    </row>
    <row r="1765" ht="15.75" customHeight="1">
      <c r="A1765" s="32"/>
      <c r="H1765" s="22" t="str">
        <f t="shared" si="80"/>
        <v/>
      </c>
    </row>
    <row r="1766" ht="15.75" customHeight="1">
      <c r="A1766" s="32"/>
      <c r="H1766" s="22" t="str">
        <f t="shared" si="80"/>
        <v/>
      </c>
    </row>
    <row r="1767" ht="15.75" customHeight="1">
      <c r="A1767" s="32"/>
      <c r="H1767" s="22" t="str">
        <f t="shared" si="80"/>
        <v/>
      </c>
    </row>
    <row r="1768" ht="15.75" customHeight="1">
      <c r="A1768" s="32"/>
      <c r="H1768" s="22" t="str">
        <f t="shared" si="80"/>
        <v/>
      </c>
    </row>
    <row r="1769" ht="15.75" customHeight="1">
      <c r="A1769" s="32"/>
      <c r="H1769" s="22" t="str">
        <f t="shared" si="80"/>
        <v/>
      </c>
    </row>
    <row r="1770" ht="15.75" customHeight="1">
      <c r="A1770" s="32"/>
      <c r="H1770" s="22" t="str">
        <f t="shared" si="80"/>
        <v/>
      </c>
    </row>
    <row r="1771" ht="15.75" customHeight="1">
      <c r="A1771" s="32"/>
      <c r="H1771" s="22" t="str">
        <f t="shared" si="80"/>
        <v/>
      </c>
    </row>
    <row r="1772" ht="15.75" customHeight="1">
      <c r="A1772" s="32"/>
      <c r="H1772" s="22" t="str">
        <f t="shared" si="80"/>
        <v/>
      </c>
    </row>
    <row r="1773" ht="15.75" customHeight="1">
      <c r="A1773" s="32"/>
      <c r="H1773" s="22" t="str">
        <f t="shared" si="80"/>
        <v/>
      </c>
    </row>
    <row r="1774" ht="15.75" customHeight="1">
      <c r="A1774" s="32"/>
      <c r="H1774" s="22" t="str">
        <f t="shared" si="80"/>
        <v/>
      </c>
    </row>
    <row r="1775" ht="15.75" customHeight="1">
      <c r="A1775" s="32"/>
      <c r="H1775" s="22" t="str">
        <f t="shared" si="80"/>
        <v/>
      </c>
    </row>
    <row r="1776" ht="15.75" customHeight="1">
      <c r="A1776" s="32"/>
      <c r="H1776" s="22" t="str">
        <f t="shared" si="80"/>
        <v/>
      </c>
    </row>
    <row r="1777" ht="15.75" customHeight="1">
      <c r="A1777" s="32"/>
      <c r="H1777" s="22" t="str">
        <f t="shared" si="80"/>
        <v/>
      </c>
    </row>
    <row r="1778" ht="15.75" customHeight="1">
      <c r="A1778" s="32"/>
      <c r="H1778" s="22" t="str">
        <f t="shared" si="80"/>
        <v/>
      </c>
    </row>
    <row r="1779" ht="15.75" customHeight="1">
      <c r="A1779" s="32"/>
      <c r="H1779" s="22" t="str">
        <f t="shared" si="80"/>
        <v/>
      </c>
    </row>
    <row r="1780" ht="15.75" customHeight="1">
      <c r="A1780" s="32"/>
      <c r="H1780" s="22" t="str">
        <f t="shared" si="80"/>
        <v/>
      </c>
    </row>
    <row r="1781" ht="15.75" customHeight="1">
      <c r="A1781" s="32"/>
      <c r="H1781" s="22" t="str">
        <f t="shared" si="80"/>
        <v/>
      </c>
    </row>
    <row r="1782" ht="15.75" customHeight="1">
      <c r="A1782" s="32"/>
      <c r="H1782" s="22" t="str">
        <f t="shared" si="80"/>
        <v/>
      </c>
    </row>
    <row r="1783" ht="15.75" customHeight="1">
      <c r="A1783" s="32"/>
      <c r="H1783" s="22" t="str">
        <f t="shared" si="80"/>
        <v/>
      </c>
    </row>
    <row r="1784" ht="15.75" customHeight="1">
      <c r="A1784" s="32"/>
      <c r="H1784" s="22" t="str">
        <f t="shared" si="80"/>
        <v/>
      </c>
    </row>
    <row r="1785" ht="15.75" customHeight="1">
      <c r="A1785" s="32"/>
      <c r="H1785" s="22" t="str">
        <f t="shared" si="80"/>
        <v/>
      </c>
    </row>
    <row r="1786" ht="15.75" customHeight="1">
      <c r="A1786" s="32"/>
      <c r="H1786" s="22" t="str">
        <f t="shared" si="80"/>
        <v/>
      </c>
    </row>
    <row r="1787" ht="15.75" customHeight="1">
      <c r="A1787" s="32"/>
      <c r="H1787" s="22" t="str">
        <f t="shared" si="80"/>
        <v/>
      </c>
    </row>
    <row r="1788" ht="15.75" customHeight="1">
      <c r="A1788" s="32"/>
      <c r="H1788" s="22" t="str">
        <f t="shared" si="80"/>
        <v/>
      </c>
    </row>
    <row r="1789" ht="15.75" customHeight="1">
      <c r="A1789" s="32"/>
      <c r="H1789" s="22" t="str">
        <f t="shared" si="80"/>
        <v/>
      </c>
    </row>
    <row r="1790" ht="15.75" customHeight="1">
      <c r="A1790" s="32"/>
      <c r="H1790" s="22" t="str">
        <f t="shared" si="80"/>
        <v/>
      </c>
    </row>
    <row r="1791" ht="15.75" customHeight="1">
      <c r="A1791" s="32"/>
      <c r="H1791" s="22" t="str">
        <f t="shared" si="80"/>
        <v/>
      </c>
    </row>
    <row r="1792" ht="15.75" customHeight="1">
      <c r="A1792" s="32"/>
      <c r="H1792" s="22" t="str">
        <f t="shared" si="80"/>
        <v/>
      </c>
    </row>
    <row r="1793" ht="15.75" customHeight="1">
      <c r="A1793" s="32"/>
      <c r="H1793" s="22" t="str">
        <f t="shared" si="80"/>
        <v/>
      </c>
    </row>
    <row r="1794" ht="15.75" customHeight="1">
      <c r="A1794" s="32"/>
      <c r="H1794" s="22" t="str">
        <f t="shared" si="80"/>
        <v/>
      </c>
    </row>
    <row r="1795" ht="15.75" customHeight="1">
      <c r="A1795" s="32"/>
      <c r="H1795" s="22" t="str">
        <f t="shared" si="80"/>
        <v/>
      </c>
    </row>
    <row r="1796" ht="15.75" customHeight="1">
      <c r="A1796" s="32"/>
      <c r="H1796" s="22" t="str">
        <f t="shared" si="80"/>
        <v/>
      </c>
    </row>
    <row r="1797" ht="15.75" customHeight="1">
      <c r="A1797" s="32"/>
      <c r="H1797" s="22" t="str">
        <f t="shared" si="80"/>
        <v/>
      </c>
    </row>
    <row r="1798" ht="15.75" customHeight="1">
      <c r="A1798" s="32"/>
      <c r="H1798" s="22" t="str">
        <f t="shared" si="80"/>
        <v/>
      </c>
    </row>
    <row r="1799" ht="15.75" customHeight="1">
      <c r="A1799" s="32"/>
      <c r="H1799" s="22" t="str">
        <f t="shared" si="80"/>
        <v/>
      </c>
    </row>
    <row r="1800" ht="15.75" customHeight="1">
      <c r="A1800" s="32"/>
      <c r="H1800" s="22" t="str">
        <f t="shared" si="80"/>
        <v/>
      </c>
    </row>
    <row r="1801" ht="15.75" customHeight="1">
      <c r="A1801" s="32"/>
      <c r="H1801" s="22" t="str">
        <f t="shared" si="80"/>
        <v/>
      </c>
    </row>
    <row r="1802" ht="15.75" customHeight="1">
      <c r="A1802" s="32"/>
      <c r="H1802" s="22" t="str">
        <f t="shared" si="80"/>
        <v/>
      </c>
    </row>
    <row r="1803" ht="15.75" customHeight="1">
      <c r="A1803" s="32"/>
      <c r="H1803" s="22" t="str">
        <f t="shared" si="80"/>
        <v/>
      </c>
    </row>
    <row r="1804" ht="15.75" customHeight="1">
      <c r="A1804" s="32"/>
      <c r="H1804" s="22" t="str">
        <f t="shared" si="80"/>
        <v/>
      </c>
    </row>
    <row r="1805" ht="15.75" customHeight="1">
      <c r="A1805" s="32"/>
      <c r="H1805" s="22" t="str">
        <f t="shared" si="80"/>
        <v/>
      </c>
    </row>
    <row r="1806" ht="15.75" customHeight="1">
      <c r="A1806" s="32"/>
      <c r="H1806" s="22" t="str">
        <f t="shared" si="80"/>
        <v/>
      </c>
    </row>
    <row r="1807" ht="15.75" customHeight="1">
      <c r="A1807" s="32"/>
      <c r="H1807" s="22" t="str">
        <f t="shared" si="80"/>
        <v/>
      </c>
    </row>
    <row r="1808" ht="15.75" customHeight="1">
      <c r="A1808" s="32"/>
      <c r="H1808" s="22" t="str">
        <f t="shared" si="80"/>
        <v/>
      </c>
    </row>
    <row r="1809" ht="15.75" customHeight="1">
      <c r="A1809" s="32"/>
      <c r="H1809" s="22" t="str">
        <f t="shared" si="80"/>
        <v/>
      </c>
    </row>
    <row r="1810" ht="15.75" customHeight="1">
      <c r="A1810" s="32"/>
      <c r="H1810" s="22" t="str">
        <f t="shared" si="80"/>
        <v/>
      </c>
    </row>
    <row r="1811" ht="15.75" customHeight="1">
      <c r="A1811" s="32"/>
      <c r="H1811" s="22" t="str">
        <f t="shared" si="80"/>
        <v/>
      </c>
    </row>
    <row r="1812" ht="15.75" customHeight="1">
      <c r="A1812" s="32"/>
      <c r="H1812" s="22" t="str">
        <f t="shared" si="80"/>
        <v/>
      </c>
    </row>
    <row r="1813" ht="15.75" customHeight="1">
      <c r="A1813" s="32"/>
      <c r="H1813" s="22" t="str">
        <f t="shared" si="80"/>
        <v/>
      </c>
    </row>
    <row r="1814" ht="15.75" customHeight="1">
      <c r="A1814" s="32"/>
      <c r="H1814" s="22" t="str">
        <f t="shared" si="80"/>
        <v/>
      </c>
    </row>
    <row r="1815" ht="15.75" customHeight="1">
      <c r="A1815" s="32"/>
      <c r="H1815" s="22" t="str">
        <f t="shared" si="80"/>
        <v/>
      </c>
    </row>
    <row r="1816" ht="15.75" customHeight="1">
      <c r="A1816" s="32"/>
      <c r="H1816" s="22" t="str">
        <f t="shared" si="80"/>
        <v/>
      </c>
    </row>
    <row r="1817" ht="15.75" customHeight="1">
      <c r="A1817" s="32"/>
      <c r="H1817" s="22" t="str">
        <f t="shared" si="80"/>
        <v/>
      </c>
    </row>
    <row r="1818" ht="15.75" customHeight="1">
      <c r="A1818" s="32"/>
      <c r="H1818" s="22" t="str">
        <f t="shared" si="80"/>
        <v/>
      </c>
    </row>
    <row r="1819" ht="15.75" customHeight="1">
      <c r="A1819" s="32"/>
      <c r="H1819" s="22" t="str">
        <f t="shared" si="80"/>
        <v/>
      </c>
    </row>
    <row r="1820" ht="15.75" customHeight="1">
      <c r="A1820" s="32"/>
      <c r="H1820" s="22" t="str">
        <f t="shared" si="80"/>
        <v/>
      </c>
    </row>
    <row r="1821" ht="15.75" customHeight="1">
      <c r="A1821" s="32"/>
      <c r="H1821" s="22" t="str">
        <f t="shared" si="80"/>
        <v/>
      </c>
    </row>
    <row r="1822" ht="15.75" customHeight="1">
      <c r="A1822" s="32"/>
      <c r="H1822" s="22" t="str">
        <f t="shared" si="80"/>
        <v/>
      </c>
    </row>
    <row r="1823" ht="15.75" customHeight="1">
      <c r="A1823" s="32"/>
      <c r="H1823" s="22" t="str">
        <f t="shared" si="80"/>
        <v/>
      </c>
    </row>
    <row r="1824" ht="15.75" customHeight="1">
      <c r="A1824" s="32"/>
      <c r="H1824" s="22" t="str">
        <f t="shared" si="80"/>
        <v/>
      </c>
    </row>
    <row r="1825" ht="15.75" customHeight="1">
      <c r="H1825" s="22" t="str">
        <f t="shared" si="80"/>
        <v/>
      </c>
    </row>
    <row r="1826" ht="15.75" customHeight="1">
      <c r="H1826" s="22" t="str">
        <f t="shared" si="80"/>
        <v/>
      </c>
    </row>
    <row r="1827" ht="15.75" customHeight="1">
      <c r="H1827" s="22" t="str">
        <f t="shared" si="80"/>
        <v/>
      </c>
    </row>
    <row r="1828" ht="15.75" customHeight="1">
      <c r="H1828" s="22" t="str">
        <f t="shared" si="80"/>
        <v/>
      </c>
    </row>
    <row r="1829" ht="15.75" customHeight="1">
      <c r="H1829" s="22" t="str">
        <f t="shared" si="80"/>
        <v/>
      </c>
    </row>
    <row r="1830" ht="15.75" customHeight="1">
      <c r="H1830" s="22" t="str">
        <f t="shared" si="80"/>
        <v/>
      </c>
    </row>
    <row r="1831" ht="15.75" customHeight="1">
      <c r="H1831" s="22" t="str">
        <f t="shared" si="80"/>
        <v/>
      </c>
    </row>
    <row r="1832" ht="15.75" customHeight="1">
      <c r="H1832" s="22" t="str">
        <f t="shared" si="80"/>
        <v/>
      </c>
    </row>
    <row r="1833" ht="15.75" customHeight="1">
      <c r="H1833" s="22" t="str">
        <f t="shared" si="80"/>
        <v/>
      </c>
    </row>
    <row r="1834" ht="15.75" customHeight="1">
      <c r="H1834" s="22" t="str">
        <f t="shared" si="80"/>
        <v/>
      </c>
    </row>
    <row r="1835" ht="15.75" customHeight="1">
      <c r="H1835" s="22" t="str">
        <f t="shared" si="80"/>
        <v/>
      </c>
    </row>
    <row r="1836" ht="15.75" customHeight="1">
      <c r="H1836" s="22" t="str">
        <f t="shared" si="80"/>
        <v/>
      </c>
    </row>
    <row r="1837" ht="15.75" customHeight="1">
      <c r="H1837" s="22" t="str">
        <f t="shared" si="80"/>
        <v/>
      </c>
    </row>
    <row r="1838" ht="15.75" customHeight="1">
      <c r="H1838" s="22" t="str">
        <f t="shared" si="80"/>
        <v/>
      </c>
    </row>
    <row r="1839" ht="15.75" customHeight="1">
      <c r="H1839" s="22" t="str">
        <f t="shared" si="80"/>
        <v/>
      </c>
    </row>
    <row r="1840" ht="15.75" customHeight="1">
      <c r="H1840" s="22" t="str">
        <f t="shared" si="80"/>
        <v/>
      </c>
    </row>
    <row r="1841" ht="15.75" customHeight="1">
      <c r="H1841" s="22" t="str">
        <f t="shared" si="80"/>
        <v/>
      </c>
    </row>
    <row r="1842" ht="15.75" customHeight="1">
      <c r="H1842" s="22" t="str">
        <f t="shared" si="80"/>
        <v/>
      </c>
    </row>
    <row r="1843" ht="15.75" customHeight="1">
      <c r="H1843" s="22" t="str">
        <f t="shared" si="80"/>
        <v/>
      </c>
    </row>
    <row r="1844" ht="15.75" customHeight="1">
      <c r="H1844" s="22" t="str">
        <f t="shared" si="80"/>
        <v/>
      </c>
    </row>
    <row r="1845" ht="15.75" customHeight="1">
      <c r="H1845" s="22" t="str">
        <f t="shared" si="80"/>
        <v/>
      </c>
    </row>
    <row r="1846" ht="15.75" customHeight="1">
      <c r="H1846" s="22" t="str">
        <f t="shared" si="80"/>
        <v/>
      </c>
    </row>
    <row r="1847" ht="15.75" customHeight="1">
      <c r="H1847" s="22" t="str">
        <f t="shared" si="80"/>
        <v/>
      </c>
    </row>
    <row r="1848" ht="15.75" customHeight="1">
      <c r="H1848" s="22" t="str">
        <f t="shared" si="80"/>
        <v/>
      </c>
    </row>
    <row r="1849" ht="15.75" customHeight="1">
      <c r="H1849" s="22" t="str">
        <f t="shared" si="80"/>
        <v/>
      </c>
    </row>
    <row r="1850" ht="15.75" customHeight="1">
      <c r="H1850" s="22" t="str">
        <f t="shared" si="80"/>
        <v/>
      </c>
    </row>
    <row r="1851" ht="15.75" customHeight="1">
      <c r="H1851" s="22" t="str">
        <f t="shared" si="80"/>
        <v/>
      </c>
    </row>
    <row r="1852" ht="15.75" customHeight="1">
      <c r="H1852" s="22" t="str">
        <f t="shared" si="80"/>
        <v/>
      </c>
    </row>
    <row r="1853" ht="15.75" customHeight="1">
      <c r="H1853" s="22" t="str">
        <f t="shared" si="80"/>
        <v/>
      </c>
    </row>
    <row r="1854" ht="15.75" customHeight="1">
      <c r="H1854" s="22" t="str">
        <f t="shared" si="80"/>
        <v/>
      </c>
    </row>
    <row r="1855" ht="15.75" customHeight="1">
      <c r="H1855" s="22" t="str">
        <f t="shared" si="80"/>
        <v/>
      </c>
    </row>
    <row r="1856" ht="15.75" customHeight="1">
      <c r="H1856" s="22" t="str">
        <f t="shared" si="80"/>
        <v/>
      </c>
    </row>
    <row r="1857" ht="15.75" customHeight="1">
      <c r="H1857" s="22" t="str">
        <f t="shared" si="80"/>
        <v/>
      </c>
    </row>
    <row r="1858" ht="15.75" customHeight="1">
      <c r="H1858" s="22" t="str">
        <f t="shared" si="80"/>
        <v/>
      </c>
    </row>
    <row r="1859" ht="15.75" customHeight="1">
      <c r="H1859" s="22" t="str">
        <f t="shared" si="80"/>
        <v/>
      </c>
    </row>
    <row r="1860" ht="15.75" customHeight="1">
      <c r="H1860" s="22" t="str">
        <f t="shared" si="80"/>
        <v/>
      </c>
    </row>
    <row r="1861" ht="15.75" customHeight="1">
      <c r="H1861" s="22" t="str">
        <f t="shared" si="80"/>
        <v/>
      </c>
    </row>
    <row r="1862" ht="15.75" customHeight="1">
      <c r="H1862" s="22" t="str">
        <f t="shared" si="80"/>
        <v/>
      </c>
    </row>
    <row r="1863" ht="15.75" customHeight="1">
      <c r="H1863" s="22" t="str">
        <f t="shared" si="80"/>
        <v/>
      </c>
    </row>
    <row r="1864" ht="15.75" customHeight="1">
      <c r="H1864" s="22" t="str">
        <f t="shared" si="80"/>
        <v/>
      </c>
    </row>
    <row r="1865" ht="15.75" customHeight="1">
      <c r="H1865" s="22" t="str">
        <f t="shared" si="80"/>
        <v/>
      </c>
    </row>
    <row r="1866" ht="15.75" customHeight="1">
      <c r="H1866" s="22" t="str">
        <f t="shared" si="80"/>
        <v/>
      </c>
    </row>
    <row r="1867" ht="15.75" customHeight="1">
      <c r="H1867" s="22" t="str">
        <f t="shared" si="80"/>
        <v/>
      </c>
    </row>
    <row r="1868" ht="15.75" customHeight="1">
      <c r="H1868" s="22" t="str">
        <f t="shared" si="80"/>
        <v/>
      </c>
    </row>
    <row r="1869" ht="15.75" customHeight="1">
      <c r="H1869" s="22" t="str">
        <f t="shared" si="80"/>
        <v/>
      </c>
    </row>
    <row r="1870" ht="15.75" customHeight="1">
      <c r="H1870" s="22" t="str">
        <f t="shared" si="80"/>
        <v/>
      </c>
    </row>
    <row r="1871" ht="15.75" customHeight="1">
      <c r="H1871" s="22" t="str">
        <f t="shared" si="80"/>
        <v/>
      </c>
    </row>
    <row r="1872" ht="15.75" customHeight="1">
      <c r="H1872" s="22" t="str">
        <f t="shared" si="80"/>
        <v/>
      </c>
    </row>
    <row r="1873" ht="15.75" customHeight="1">
      <c r="H1873" s="22" t="str">
        <f t="shared" si="80"/>
        <v/>
      </c>
    </row>
    <row r="1874" ht="15.75" customHeight="1">
      <c r="H1874" s="22" t="str">
        <f t="shared" si="80"/>
        <v/>
      </c>
    </row>
    <row r="1875" ht="15.75" customHeight="1">
      <c r="H1875" s="22" t="str">
        <f t="shared" si="80"/>
        <v/>
      </c>
    </row>
    <row r="1876" ht="15.75" customHeight="1">
      <c r="H1876" s="22" t="str">
        <f t="shared" si="80"/>
        <v/>
      </c>
    </row>
    <row r="1877" ht="15.75" customHeight="1">
      <c r="H1877" s="22" t="str">
        <f t="shared" si="80"/>
        <v/>
      </c>
    </row>
    <row r="1878" ht="15.75" customHeight="1">
      <c r="H1878" s="22" t="str">
        <f t="shared" si="80"/>
        <v/>
      </c>
    </row>
    <row r="1879" ht="15.75" customHeight="1">
      <c r="H1879" s="22" t="str">
        <f t="shared" si="80"/>
        <v/>
      </c>
    </row>
    <row r="1880" ht="15.75" customHeight="1">
      <c r="H1880" s="22" t="str">
        <f t="shared" si="80"/>
        <v/>
      </c>
    </row>
    <row r="1881" ht="15.75" customHeight="1">
      <c r="H1881" s="22" t="str">
        <f t="shared" si="80"/>
        <v/>
      </c>
    </row>
    <row r="1882" ht="15.75" customHeight="1">
      <c r="H1882" s="22" t="str">
        <f t="shared" si="80"/>
        <v/>
      </c>
    </row>
    <row r="1883" ht="15.75" customHeight="1">
      <c r="H1883" s="22" t="str">
        <f t="shared" si="80"/>
        <v/>
      </c>
    </row>
    <row r="1884" ht="15.75" customHeight="1">
      <c r="H1884" s="22" t="str">
        <f t="shared" si="80"/>
        <v/>
      </c>
    </row>
    <row r="1885" ht="15.75" customHeight="1">
      <c r="H1885" s="22" t="str">
        <f t="shared" si="80"/>
        <v/>
      </c>
    </row>
    <row r="1886" ht="15.75" customHeight="1">
      <c r="H1886" s="22" t="str">
        <f t="shared" si="80"/>
        <v/>
      </c>
    </row>
    <row r="1887" ht="15.75" customHeight="1">
      <c r="H1887" s="22" t="str">
        <f t="shared" si="80"/>
        <v/>
      </c>
    </row>
    <row r="1888" ht="15.75" customHeight="1">
      <c r="H1888" s="22" t="str">
        <f t="shared" si="80"/>
        <v/>
      </c>
    </row>
    <row r="1889" ht="15.75" customHeight="1">
      <c r="H1889" s="22" t="str">
        <f t="shared" si="80"/>
        <v/>
      </c>
    </row>
    <row r="1890" ht="15.75" customHeight="1">
      <c r="H1890" s="22" t="str">
        <f t="shared" si="80"/>
        <v/>
      </c>
    </row>
    <row r="1891" ht="15.75" customHeight="1">
      <c r="H1891" s="22" t="str">
        <f t="shared" si="80"/>
        <v/>
      </c>
    </row>
    <row r="1892" ht="15.75" customHeight="1">
      <c r="H1892" s="22" t="str">
        <f t="shared" si="80"/>
        <v/>
      </c>
    </row>
    <row r="1893" ht="15.75" customHeight="1">
      <c r="H1893" s="22" t="str">
        <f t="shared" si="80"/>
        <v/>
      </c>
    </row>
    <row r="1894" ht="15.75" customHeight="1">
      <c r="H1894" s="22" t="str">
        <f t="shared" si="80"/>
        <v/>
      </c>
    </row>
    <row r="1895" ht="15.75" customHeight="1">
      <c r="H1895" s="22" t="str">
        <f t="shared" si="80"/>
        <v/>
      </c>
    </row>
    <row r="1896" ht="15.75" customHeight="1">
      <c r="H1896" s="22" t="str">
        <f t="shared" si="80"/>
        <v/>
      </c>
    </row>
    <row r="1897" ht="15.75" customHeight="1">
      <c r="H1897" s="22" t="str">
        <f t="shared" si="80"/>
        <v/>
      </c>
    </row>
    <row r="1898" ht="15.75" customHeight="1">
      <c r="H1898" s="22" t="str">
        <f t="shared" si="80"/>
        <v/>
      </c>
    </row>
    <row r="1899" ht="15.75" customHeight="1">
      <c r="H1899" s="22" t="str">
        <f t="shared" si="80"/>
        <v/>
      </c>
    </row>
    <row r="1900" ht="15.75" customHeight="1">
      <c r="H1900" s="22" t="str">
        <f t="shared" si="80"/>
        <v/>
      </c>
    </row>
    <row r="1901" ht="15.75" customHeight="1">
      <c r="H1901" s="22" t="str">
        <f t="shared" si="80"/>
        <v/>
      </c>
    </row>
    <row r="1902" ht="15.75" customHeight="1">
      <c r="H1902" s="22" t="str">
        <f t="shared" si="80"/>
        <v/>
      </c>
    </row>
    <row r="1903" ht="15.75" customHeight="1">
      <c r="H1903" s="22" t="str">
        <f t="shared" si="80"/>
        <v/>
      </c>
    </row>
    <row r="1904" ht="15.75" customHeight="1">
      <c r="H1904" s="22" t="str">
        <f t="shared" si="80"/>
        <v/>
      </c>
    </row>
    <row r="1905" ht="15.75" customHeight="1">
      <c r="H1905" s="22" t="str">
        <f t="shared" si="80"/>
        <v/>
      </c>
    </row>
    <row r="1906" ht="15.75" customHeight="1">
      <c r="H1906" s="22" t="str">
        <f t="shared" si="80"/>
        <v/>
      </c>
    </row>
    <row r="1907" ht="15.75" customHeight="1">
      <c r="H1907" s="22" t="str">
        <f t="shared" si="80"/>
        <v/>
      </c>
    </row>
    <row r="1908" ht="15.75" customHeight="1">
      <c r="H1908" s="22" t="str">
        <f t="shared" si="80"/>
        <v/>
      </c>
    </row>
    <row r="1909" ht="15.75" customHeight="1">
      <c r="H1909" s="22" t="str">
        <f t="shared" si="80"/>
        <v/>
      </c>
    </row>
    <row r="1910" ht="15.75" customHeight="1">
      <c r="H1910" s="22" t="str">
        <f t="shared" si="80"/>
        <v/>
      </c>
    </row>
    <row r="1911" ht="15.75" customHeight="1">
      <c r="H1911" s="22" t="str">
        <f t="shared" si="80"/>
        <v/>
      </c>
    </row>
    <row r="1912" ht="15.75" customHeight="1">
      <c r="H1912" s="22" t="str">
        <f t="shared" si="80"/>
        <v/>
      </c>
    </row>
    <row r="1913" ht="15.75" customHeight="1">
      <c r="H1913" s="22" t="str">
        <f t="shared" si="80"/>
        <v/>
      </c>
    </row>
    <row r="1914" ht="15.75" customHeight="1">
      <c r="H1914" s="22" t="str">
        <f t="shared" si="80"/>
        <v/>
      </c>
    </row>
    <row r="1915" ht="15.75" customHeight="1">
      <c r="H1915" s="22" t="str">
        <f t="shared" si="80"/>
        <v/>
      </c>
    </row>
    <row r="1916" ht="15.75" customHeight="1">
      <c r="H1916" s="22" t="str">
        <f t="shared" si="80"/>
        <v/>
      </c>
    </row>
    <row r="1917" ht="15.75" customHeight="1">
      <c r="H1917" s="22" t="str">
        <f t="shared" si="80"/>
        <v/>
      </c>
    </row>
    <row r="1918" ht="15.75" customHeight="1">
      <c r="H1918" s="22" t="str">
        <f t="shared" si="80"/>
        <v/>
      </c>
    </row>
    <row r="1919" ht="15.75" customHeight="1">
      <c r="H1919" s="22" t="str">
        <f t="shared" si="80"/>
        <v/>
      </c>
    </row>
    <row r="1920" ht="15.75" customHeight="1">
      <c r="H1920" s="22" t="str">
        <f t="shared" si="80"/>
        <v/>
      </c>
    </row>
    <row r="1921" ht="15.75" customHeight="1">
      <c r="H1921" s="22" t="str">
        <f t="shared" si="80"/>
        <v/>
      </c>
    </row>
    <row r="1922" ht="15.75" customHeight="1">
      <c r="H1922" s="22" t="str">
        <f t="shared" si="80"/>
        <v/>
      </c>
    </row>
    <row r="1923" ht="15.75" customHeight="1">
      <c r="H1923" s="22" t="str">
        <f t="shared" si="80"/>
        <v/>
      </c>
    </row>
    <row r="1924" ht="15.75" customHeight="1">
      <c r="H1924" s="22" t="str">
        <f t="shared" si="80"/>
        <v/>
      </c>
    </row>
    <row r="1925" ht="15.75" customHeight="1">
      <c r="H1925" s="22" t="str">
        <f t="shared" si="80"/>
        <v/>
      </c>
    </row>
    <row r="1926" ht="15.75" customHeight="1">
      <c r="H1926" s="22" t="str">
        <f t="shared" si="80"/>
        <v/>
      </c>
    </row>
    <row r="1927" ht="15.75" customHeight="1">
      <c r="H1927" s="22" t="str">
        <f t="shared" si="80"/>
        <v/>
      </c>
    </row>
    <row r="1928" ht="15.75" customHeight="1">
      <c r="H1928" s="22" t="str">
        <f t="shared" si="80"/>
        <v/>
      </c>
    </row>
    <row r="1929" ht="15.75" customHeight="1">
      <c r="H1929" s="22" t="str">
        <f t="shared" si="80"/>
        <v/>
      </c>
    </row>
    <row r="1930" ht="15.75" customHeight="1">
      <c r="H1930" s="22" t="str">
        <f t="shared" si="80"/>
        <v/>
      </c>
    </row>
    <row r="1931" ht="15.75" customHeight="1">
      <c r="H1931" s="22" t="str">
        <f t="shared" si="80"/>
        <v/>
      </c>
    </row>
    <row r="1932" ht="15.75" customHeight="1">
      <c r="H1932" s="22" t="str">
        <f t="shared" si="80"/>
        <v/>
      </c>
    </row>
    <row r="1933" ht="15.75" customHeight="1">
      <c r="H1933" s="22" t="str">
        <f t="shared" si="80"/>
        <v/>
      </c>
    </row>
    <row r="1934" ht="15.75" customHeight="1">
      <c r="H1934" s="22" t="str">
        <f t="shared" si="80"/>
        <v/>
      </c>
    </row>
    <row r="1935" ht="15.75" customHeight="1">
      <c r="H1935" s="22" t="str">
        <f t="shared" si="80"/>
        <v/>
      </c>
    </row>
    <row r="1936" ht="15.75" customHeight="1">
      <c r="H1936" s="22" t="str">
        <f t="shared" si="80"/>
        <v/>
      </c>
    </row>
    <row r="1937" ht="15.75" customHeight="1">
      <c r="H1937" s="22" t="str">
        <f t="shared" si="80"/>
        <v/>
      </c>
    </row>
    <row r="1938" ht="15.75" customHeight="1">
      <c r="H1938" s="22" t="str">
        <f t="shared" si="80"/>
        <v/>
      </c>
    </row>
    <row r="1939" ht="15.75" customHeight="1">
      <c r="H1939" s="22" t="str">
        <f t="shared" si="80"/>
        <v/>
      </c>
    </row>
    <row r="1940" ht="15.75" customHeight="1">
      <c r="H1940" s="22" t="str">
        <f t="shared" si="80"/>
        <v/>
      </c>
    </row>
    <row r="1941" ht="15.75" customHeight="1">
      <c r="H1941" s="22" t="str">
        <f t="shared" si="80"/>
        <v/>
      </c>
    </row>
    <row r="1942" ht="15.75" customHeight="1">
      <c r="H1942" s="22" t="str">
        <f t="shared" si="80"/>
        <v/>
      </c>
    </row>
    <row r="1943" ht="15.75" customHeight="1">
      <c r="H1943" s="22" t="str">
        <f t="shared" si="80"/>
        <v/>
      </c>
    </row>
    <row r="1944" ht="15.75" customHeight="1">
      <c r="H1944" s="22" t="str">
        <f t="shared" si="80"/>
        <v/>
      </c>
    </row>
    <row r="1945" ht="15.75" customHeight="1">
      <c r="H1945" s="22" t="str">
        <f t="shared" si="80"/>
        <v/>
      </c>
    </row>
    <row r="1946" ht="15.75" customHeight="1">
      <c r="H1946" s="22" t="str">
        <f t="shared" si="80"/>
        <v/>
      </c>
    </row>
    <row r="1947" ht="15.75" customHeight="1">
      <c r="H1947" s="22" t="str">
        <f t="shared" si="80"/>
        <v/>
      </c>
    </row>
    <row r="1948" ht="15.75" customHeight="1">
      <c r="H1948" s="22" t="str">
        <f t="shared" si="80"/>
        <v/>
      </c>
    </row>
    <row r="1949" ht="15.75" customHeight="1">
      <c r="H1949" s="22" t="str">
        <f t="shared" si="80"/>
        <v/>
      </c>
    </row>
    <row r="1950" ht="15.75" customHeight="1">
      <c r="H1950" s="22" t="str">
        <f t="shared" si="80"/>
        <v/>
      </c>
    </row>
    <row r="1951" ht="15.75" customHeight="1">
      <c r="H1951" s="22" t="str">
        <f t="shared" si="80"/>
        <v/>
      </c>
    </row>
    <row r="1952" ht="15.75" customHeight="1">
      <c r="H1952" s="22" t="str">
        <f t="shared" si="80"/>
        <v/>
      </c>
    </row>
    <row r="1953" ht="15.75" customHeight="1">
      <c r="H1953" s="22" t="str">
        <f t="shared" si="80"/>
        <v/>
      </c>
    </row>
    <row r="1954" ht="15.75" customHeight="1">
      <c r="H1954" s="22" t="str">
        <f t="shared" si="80"/>
        <v/>
      </c>
    </row>
    <row r="1955" ht="15.75" customHeight="1">
      <c r="H1955" s="22" t="str">
        <f t="shared" si="80"/>
        <v/>
      </c>
    </row>
    <row r="1956" ht="15.75" customHeight="1">
      <c r="H1956" s="22" t="str">
        <f t="shared" si="80"/>
        <v/>
      </c>
    </row>
    <row r="1957" ht="15.75" customHeight="1">
      <c r="H1957" s="22" t="str">
        <f t="shared" si="80"/>
        <v/>
      </c>
    </row>
    <row r="1958" ht="15.75" customHeight="1">
      <c r="H1958" s="22" t="str">
        <f t="shared" si="80"/>
        <v/>
      </c>
    </row>
    <row r="1959" ht="15.75" customHeight="1">
      <c r="H1959" s="22" t="str">
        <f t="shared" si="80"/>
        <v/>
      </c>
    </row>
    <row r="1960" ht="15.75" customHeight="1">
      <c r="H1960" s="22" t="str">
        <f t="shared" si="80"/>
        <v/>
      </c>
    </row>
    <row r="1961" ht="15.75" customHeight="1">
      <c r="H1961" s="22" t="str">
        <f t="shared" si="80"/>
        <v/>
      </c>
    </row>
    <row r="1962" ht="15.75" customHeight="1">
      <c r="H1962" s="22" t="str">
        <f t="shared" si="80"/>
        <v/>
      </c>
    </row>
    <row r="1963" ht="15.75" customHeight="1">
      <c r="H1963" s="22" t="str">
        <f t="shared" si="80"/>
        <v/>
      </c>
    </row>
    <row r="1964" ht="15.75" customHeight="1">
      <c r="H1964" s="22" t="str">
        <f t="shared" si="80"/>
        <v/>
      </c>
    </row>
    <row r="1965" ht="15.75" customHeight="1">
      <c r="H1965" s="22" t="str">
        <f t="shared" si="80"/>
        <v/>
      </c>
    </row>
    <row r="1966" ht="15.75" customHeight="1">
      <c r="H1966" s="22" t="str">
        <f t="shared" si="80"/>
        <v/>
      </c>
    </row>
    <row r="1967" ht="15.75" customHeight="1">
      <c r="H1967" s="22" t="str">
        <f t="shared" si="80"/>
        <v/>
      </c>
    </row>
    <row r="1968" ht="15.75" customHeight="1">
      <c r="H1968" s="22" t="str">
        <f t="shared" si="80"/>
        <v/>
      </c>
    </row>
    <row r="1969" ht="15.75" customHeight="1">
      <c r="H1969" s="22" t="str">
        <f t="shared" si="80"/>
        <v/>
      </c>
    </row>
    <row r="1970" ht="15.75" customHeight="1">
      <c r="H1970" s="22" t="str">
        <f t="shared" si="80"/>
        <v/>
      </c>
    </row>
    <row r="1971" ht="15.75" customHeight="1">
      <c r="H1971" s="22" t="str">
        <f t="shared" si="80"/>
        <v/>
      </c>
    </row>
    <row r="1972" ht="15.75" customHeight="1">
      <c r="H1972" s="22" t="str">
        <f t="shared" si="80"/>
        <v/>
      </c>
    </row>
    <row r="1973" ht="15.75" customHeight="1">
      <c r="H1973" s="22" t="str">
        <f t="shared" si="80"/>
        <v/>
      </c>
    </row>
    <row r="1974" ht="15.75" customHeight="1">
      <c r="H1974" s="22" t="str">
        <f t="shared" si="80"/>
        <v/>
      </c>
    </row>
    <row r="1975" ht="15.75" customHeight="1">
      <c r="H1975" s="22" t="str">
        <f t="shared" si="80"/>
        <v/>
      </c>
    </row>
    <row r="1976" ht="15.75" customHeight="1">
      <c r="H1976" s="22" t="str">
        <f t="shared" si="80"/>
        <v/>
      </c>
    </row>
    <row r="1977" ht="15.75" customHeight="1">
      <c r="H1977" s="22" t="str">
        <f t="shared" si="80"/>
        <v/>
      </c>
    </row>
    <row r="1978" ht="15.75" customHeight="1">
      <c r="H1978" s="22" t="str">
        <f t="shared" si="80"/>
        <v/>
      </c>
    </row>
    <row r="1979" ht="15.75" customHeight="1">
      <c r="H1979" s="22" t="str">
        <f t="shared" si="80"/>
        <v/>
      </c>
    </row>
    <row r="1980" ht="15.75" customHeight="1">
      <c r="H1980" s="22" t="str">
        <f t="shared" si="80"/>
        <v/>
      </c>
    </row>
    <row r="1981" ht="15.75" customHeight="1">
      <c r="H1981" s="22" t="str">
        <f t="shared" si="80"/>
        <v/>
      </c>
    </row>
    <row r="1982" ht="15.75" customHeight="1">
      <c r="H1982" s="22" t="str">
        <f t="shared" si="80"/>
        <v/>
      </c>
    </row>
    <row r="1983" ht="15.75" customHeight="1">
      <c r="H1983" s="22" t="str">
        <f t="shared" si="80"/>
        <v/>
      </c>
    </row>
    <row r="1984" ht="15.75" customHeight="1">
      <c r="H1984" s="22" t="str">
        <f t="shared" si="80"/>
        <v/>
      </c>
    </row>
    <row r="1985" ht="15.75" customHeight="1">
      <c r="H1985" s="22" t="str">
        <f t="shared" si="80"/>
        <v/>
      </c>
    </row>
    <row r="1986" ht="15.75" customHeight="1">
      <c r="H1986" s="22" t="str">
        <f t="shared" si="80"/>
        <v/>
      </c>
    </row>
    <row r="1987" ht="15.75" customHeight="1">
      <c r="H1987" s="22" t="str">
        <f t="shared" si="80"/>
        <v/>
      </c>
    </row>
    <row r="1988" ht="15.75" customHeight="1">
      <c r="H1988" s="22" t="str">
        <f t="shared" si="80"/>
        <v/>
      </c>
    </row>
    <row r="1989" ht="15.75" customHeight="1">
      <c r="H1989" s="22" t="str">
        <f t="shared" si="80"/>
        <v/>
      </c>
    </row>
    <row r="1990" ht="15.75" customHeight="1">
      <c r="H1990" s="22" t="str">
        <f t="shared" si="80"/>
        <v/>
      </c>
    </row>
    <row r="1991" ht="15.75" customHeight="1">
      <c r="H1991" s="22" t="str">
        <f t="shared" si="80"/>
        <v/>
      </c>
    </row>
    <row r="1992" ht="15.75" customHeight="1">
      <c r="H1992" s="22" t="str">
        <f t="shared" si="80"/>
        <v/>
      </c>
    </row>
    <row r="1993" ht="15.75" customHeight="1">
      <c r="H1993" s="22" t="str">
        <f t="shared" si="80"/>
        <v/>
      </c>
    </row>
    <row r="1994" ht="15.75" customHeight="1">
      <c r="H1994" s="22" t="str">
        <f t="shared" si="80"/>
        <v/>
      </c>
    </row>
    <row r="1995" ht="15.75" customHeight="1">
      <c r="H1995" s="22" t="str">
        <f t="shared" si="80"/>
        <v/>
      </c>
    </row>
    <row r="1996" ht="15.75" customHeight="1">
      <c r="H1996" s="22" t="str">
        <f t="shared" si="80"/>
        <v/>
      </c>
    </row>
    <row r="1997" ht="15.75" customHeight="1">
      <c r="H1997" s="22" t="str">
        <f t="shared" si="80"/>
        <v/>
      </c>
    </row>
    <row r="1998" ht="15.75" customHeight="1">
      <c r="H1998" s="22" t="str">
        <f t="shared" si="80"/>
        <v/>
      </c>
    </row>
    <row r="1999" ht="15.75" customHeight="1">
      <c r="H1999" s="22" t="str">
        <f t="shared" si="80"/>
        <v/>
      </c>
    </row>
    <row r="2000" ht="15.75" customHeight="1">
      <c r="H2000" s="22" t="str">
        <f t="shared" si="80"/>
        <v/>
      </c>
    </row>
    <row r="2001" ht="15.75" customHeight="1">
      <c r="H2001" s="22" t="str">
        <f t="shared" si="80"/>
        <v/>
      </c>
    </row>
    <row r="2002" ht="15.75" customHeight="1">
      <c r="H2002" s="22" t="str">
        <f t="shared" si="80"/>
        <v/>
      </c>
    </row>
    <row r="2003" ht="15.75" customHeight="1">
      <c r="H2003" s="22" t="str">
        <f t="shared" si="80"/>
        <v/>
      </c>
    </row>
    <row r="2004" ht="15.75" customHeight="1">
      <c r="H2004" s="22" t="str">
        <f t="shared" si="80"/>
        <v/>
      </c>
    </row>
    <row r="2005" ht="15.75" customHeight="1">
      <c r="H2005" s="22" t="str">
        <f t="shared" si="80"/>
        <v/>
      </c>
    </row>
    <row r="2006" ht="15.75" customHeight="1">
      <c r="H2006" s="22" t="str">
        <f t="shared" si="80"/>
        <v/>
      </c>
    </row>
    <row r="2007" ht="15.75" customHeight="1">
      <c r="H2007" s="22" t="str">
        <f t="shared" si="80"/>
        <v/>
      </c>
    </row>
    <row r="2008" ht="15.75" customHeight="1">
      <c r="H2008" s="22" t="str">
        <f t="shared" si="80"/>
        <v/>
      </c>
    </row>
    <row r="2009" ht="15.75" customHeight="1">
      <c r="H2009" s="22" t="str">
        <f t="shared" si="80"/>
        <v/>
      </c>
    </row>
    <row r="2010" ht="15.75" customHeight="1">
      <c r="H2010" s="22" t="str">
        <f t="shared" si="80"/>
        <v/>
      </c>
    </row>
    <row r="2011" ht="15.75" customHeight="1">
      <c r="H2011" s="22" t="str">
        <f t="shared" si="80"/>
        <v/>
      </c>
    </row>
    <row r="2012" ht="15.75" customHeight="1">
      <c r="H2012" s="22" t="str">
        <f t="shared" si="80"/>
        <v/>
      </c>
    </row>
    <row r="2013" ht="15.75" customHeight="1">
      <c r="H2013" s="22" t="str">
        <f t="shared" si="80"/>
        <v/>
      </c>
    </row>
    <row r="2014" ht="15.75" customHeight="1">
      <c r="H2014" s="22" t="str">
        <f t="shared" si="80"/>
        <v/>
      </c>
    </row>
    <row r="2015" ht="15.75" customHeight="1">
      <c r="H2015" s="22" t="str">
        <f t="shared" si="80"/>
        <v/>
      </c>
    </row>
    <row r="2016" ht="15.75" customHeight="1">
      <c r="H2016" s="22" t="str">
        <f t="shared" si="80"/>
        <v/>
      </c>
    </row>
    <row r="2017" ht="15.75" customHeight="1">
      <c r="H2017" s="22" t="str">
        <f t="shared" si="80"/>
        <v/>
      </c>
    </row>
    <row r="2018" ht="15.75" customHeight="1">
      <c r="H2018" s="22" t="str">
        <f t="shared" si="80"/>
        <v/>
      </c>
    </row>
    <row r="2019" ht="15.75" customHeight="1">
      <c r="H2019" s="22" t="str">
        <f t="shared" si="80"/>
        <v/>
      </c>
    </row>
    <row r="2020" ht="15.75" customHeight="1">
      <c r="H2020" s="22" t="str">
        <f t="shared" si="80"/>
        <v/>
      </c>
    </row>
    <row r="2021" ht="15.75" customHeight="1">
      <c r="H2021" s="22" t="str">
        <f t="shared" si="80"/>
        <v/>
      </c>
    </row>
    <row r="2022" ht="15.75" customHeight="1">
      <c r="H2022" s="22" t="str">
        <f t="shared" si="80"/>
        <v/>
      </c>
    </row>
    <row r="2023" ht="15.75" customHeight="1">
      <c r="H2023" s="22" t="str">
        <f t="shared" si="80"/>
        <v/>
      </c>
    </row>
    <row r="2024" ht="15.75" customHeight="1">
      <c r="H2024" s="22" t="str">
        <f t="shared" si="80"/>
        <v/>
      </c>
    </row>
    <row r="2025" ht="15.75" customHeight="1">
      <c r="H2025" s="22" t="str">
        <f t="shared" si="80"/>
        <v/>
      </c>
    </row>
    <row r="2026" ht="15.75" customHeight="1">
      <c r="H2026" s="22" t="str">
        <f t="shared" si="80"/>
        <v/>
      </c>
    </row>
    <row r="2027" ht="15.75" customHeight="1">
      <c r="H2027" s="22" t="str">
        <f t="shared" si="80"/>
        <v/>
      </c>
    </row>
    <row r="2028" ht="15.75" customHeight="1">
      <c r="H2028" s="22" t="str">
        <f t="shared" si="80"/>
        <v/>
      </c>
    </row>
    <row r="2029" ht="15.75" customHeight="1">
      <c r="H2029" s="22" t="str">
        <f t="shared" si="80"/>
        <v/>
      </c>
    </row>
    <row r="2030" ht="15.75" customHeight="1">
      <c r="H2030" s="22" t="str">
        <f t="shared" si="80"/>
        <v/>
      </c>
    </row>
    <row r="2031" ht="15.75" customHeight="1">
      <c r="H2031" s="22" t="str">
        <f t="shared" si="80"/>
        <v/>
      </c>
    </row>
    <row r="2032" ht="15.75" customHeight="1">
      <c r="H2032" s="22" t="str">
        <f t="shared" si="80"/>
        <v/>
      </c>
    </row>
    <row r="2033" ht="15.75" customHeight="1">
      <c r="H2033" s="22" t="str">
        <f t="shared" si="80"/>
        <v/>
      </c>
    </row>
    <row r="2034" ht="15.75" customHeight="1">
      <c r="H2034" s="22" t="str">
        <f t="shared" si="80"/>
        <v/>
      </c>
    </row>
    <row r="2035" ht="15.75" customHeight="1">
      <c r="H2035" s="22" t="str">
        <f t="shared" si="80"/>
        <v/>
      </c>
    </row>
    <row r="2036" ht="15.75" customHeight="1">
      <c r="H2036" s="22" t="str">
        <f t="shared" si="80"/>
        <v/>
      </c>
    </row>
    <row r="2037" ht="15.75" customHeight="1">
      <c r="H2037" s="22" t="str">
        <f t="shared" si="80"/>
        <v/>
      </c>
    </row>
    <row r="2038" ht="15.75" customHeight="1">
      <c r="H2038" s="22" t="str">
        <f t="shared" si="80"/>
        <v/>
      </c>
    </row>
    <row r="2039" ht="15.75" customHeight="1">
      <c r="H2039" s="22" t="str">
        <f t="shared" si="80"/>
        <v/>
      </c>
    </row>
    <row r="2040" ht="15.75" customHeight="1">
      <c r="H2040" s="22" t="str">
        <f t="shared" si="80"/>
        <v/>
      </c>
    </row>
    <row r="2041" ht="15.75" customHeight="1">
      <c r="H2041" s="22" t="str">
        <f t="shared" si="80"/>
        <v/>
      </c>
    </row>
    <row r="2042" ht="15.75" customHeight="1">
      <c r="H2042" s="22" t="str">
        <f t="shared" si="80"/>
        <v/>
      </c>
    </row>
    <row r="2043" ht="15.75" customHeight="1">
      <c r="H2043" s="22" t="str">
        <f t="shared" si="80"/>
        <v/>
      </c>
    </row>
    <row r="2044" ht="15.75" customHeight="1">
      <c r="H2044" s="22" t="str">
        <f t="shared" si="80"/>
        <v/>
      </c>
    </row>
    <row r="2045" ht="15.75" customHeight="1">
      <c r="H2045" s="22" t="str">
        <f t="shared" si="80"/>
        <v/>
      </c>
    </row>
    <row r="2046" ht="15.75" customHeight="1">
      <c r="H2046" s="22" t="str">
        <f t="shared" si="80"/>
        <v/>
      </c>
    </row>
    <row r="2047" ht="15.75" customHeight="1">
      <c r="H2047" s="22" t="str">
        <f t="shared" si="80"/>
        <v/>
      </c>
    </row>
    <row r="2048" ht="15.75" customHeight="1">
      <c r="H2048" s="22" t="str">
        <f t="shared" si="80"/>
        <v/>
      </c>
    </row>
    <row r="2049" ht="15.75" customHeight="1">
      <c r="H2049" s="22" t="str">
        <f t="shared" si="80"/>
        <v/>
      </c>
    </row>
    <row r="2050" ht="15.75" customHeight="1">
      <c r="H2050" s="22" t="str">
        <f t="shared" si="80"/>
        <v/>
      </c>
    </row>
    <row r="2051" ht="15.75" customHeight="1">
      <c r="H2051" s="22" t="str">
        <f t="shared" si="80"/>
        <v/>
      </c>
    </row>
    <row r="2052" ht="15.75" customHeight="1">
      <c r="H2052" s="22" t="str">
        <f t="shared" si="80"/>
        <v/>
      </c>
    </row>
    <row r="2053" ht="15.75" customHeight="1">
      <c r="H2053" s="22" t="str">
        <f t="shared" si="80"/>
        <v/>
      </c>
    </row>
    <row r="2054" ht="15.75" customHeight="1">
      <c r="H2054" s="22" t="str">
        <f t="shared" si="80"/>
        <v/>
      </c>
    </row>
    <row r="2055" ht="15.75" customHeight="1">
      <c r="H2055" s="22" t="str">
        <f t="shared" si="80"/>
        <v/>
      </c>
    </row>
    <row r="2056" ht="15.75" customHeight="1">
      <c r="H2056" s="22" t="str">
        <f t="shared" si="80"/>
        <v/>
      </c>
    </row>
    <row r="2057" ht="15.75" customHeight="1">
      <c r="H2057" s="22" t="str">
        <f t="shared" si="80"/>
        <v/>
      </c>
    </row>
    <row r="2058" ht="15.75" customHeight="1">
      <c r="H2058" s="22" t="str">
        <f t="shared" si="80"/>
        <v/>
      </c>
    </row>
    <row r="2059" ht="15.75" customHeight="1">
      <c r="H2059" s="22" t="str">
        <f t="shared" si="80"/>
        <v/>
      </c>
    </row>
    <row r="2060" ht="15.75" customHeight="1">
      <c r="H2060" s="22" t="str">
        <f t="shared" si="80"/>
        <v/>
      </c>
    </row>
    <row r="2061" ht="15.75" customHeight="1">
      <c r="H2061" s="22" t="str">
        <f t="shared" si="80"/>
        <v/>
      </c>
    </row>
    <row r="2062" ht="15.75" customHeight="1">
      <c r="H2062" s="22" t="str">
        <f t="shared" si="80"/>
        <v/>
      </c>
    </row>
    <row r="2063" ht="15.75" customHeight="1">
      <c r="H2063" s="22" t="str">
        <f t="shared" si="80"/>
        <v/>
      </c>
    </row>
    <row r="2064" ht="15.75" customHeight="1">
      <c r="H2064" s="22" t="str">
        <f t="shared" si="80"/>
        <v/>
      </c>
    </row>
    <row r="2065" ht="15.75" customHeight="1">
      <c r="H2065" s="22" t="str">
        <f t="shared" si="80"/>
        <v/>
      </c>
    </row>
    <row r="2066" ht="15.75" customHeight="1">
      <c r="H2066" s="22" t="str">
        <f t="shared" si="80"/>
        <v/>
      </c>
    </row>
    <row r="2067" ht="15.75" customHeight="1">
      <c r="H2067" s="22" t="str">
        <f t="shared" si="80"/>
        <v/>
      </c>
    </row>
    <row r="2068" ht="15.75" customHeight="1">
      <c r="H2068" s="22" t="str">
        <f t="shared" si="80"/>
        <v/>
      </c>
    </row>
    <row r="2069" ht="15.75" customHeight="1">
      <c r="H2069" s="22" t="str">
        <f t="shared" si="80"/>
        <v/>
      </c>
    </row>
    <row r="2070" ht="15.75" customHeight="1">
      <c r="H2070" s="22" t="str">
        <f t="shared" si="80"/>
        <v/>
      </c>
    </row>
    <row r="2071" ht="15.75" customHeight="1">
      <c r="H2071" s="22" t="str">
        <f t="shared" si="80"/>
        <v/>
      </c>
    </row>
    <row r="2072" ht="15.75" customHeight="1">
      <c r="H2072" s="22" t="str">
        <f t="shared" si="80"/>
        <v/>
      </c>
    </row>
    <row r="2073" ht="15.75" customHeight="1">
      <c r="H2073" s="22" t="str">
        <f t="shared" si="80"/>
        <v/>
      </c>
    </row>
    <row r="2074" ht="15.75" customHeight="1">
      <c r="H2074" s="22" t="str">
        <f t="shared" si="80"/>
        <v/>
      </c>
    </row>
    <row r="2075" ht="15.75" customHeight="1">
      <c r="H2075" s="22" t="str">
        <f t="shared" si="80"/>
        <v/>
      </c>
    </row>
    <row r="2076" ht="15.75" customHeight="1">
      <c r="H2076" s="22" t="str">
        <f t="shared" si="80"/>
        <v/>
      </c>
    </row>
    <row r="2077" ht="15.75" customHeight="1">
      <c r="H2077" s="22" t="str">
        <f t="shared" si="80"/>
        <v/>
      </c>
    </row>
    <row r="2078" ht="15.75" customHeight="1">
      <c r="H2078" s="22" t="str">
        <f t="shared" si="80"/>
        <v/>
      </c>
    </row>
    <row r="2079" ht="15.75" customHeight="1">
      <c r="H2079" s="22" t="str">
        <f t="shared" si="80"/>
        <v/>
      </c>
    </row>
    <row r="2080" ht="15.75" customHeight="1">
      <c r="H2080" s="22" t="str">
        <f t="shared" si="80"/>
        <v/>
      </c>
    </row>
    <row r="2081" ht="15.75" customHeight="1">
      <c r="H2081" s="22" t="str">
        <f t="shared" si="80"/>
        <v/>
      </c>
    </row>
    <row r="2082" ht="15.75" customHeight="1">
      <c r="H2082" s="22" t="str">
        <f t="shared" si="80"/>
        <v/>
      </c>
    </row>
    <row r="2083" ht="15.75" customHeight="1">
      <c r="H2083" s="22" t="str">
        <f t="shared" si="80"/>
        <v/>
      </c>
    </row>
    <row r="2084" ht="15.75" customHeight="1">
      <c r="H2084" s="22" t="str">
        <f t="shared" si="80"/>
        <v/>
      </c>
    </row>
    <row r="2085" ht="15.75" customHeight="1">
      <c r="H2085" s="22" t="str">
        <f t="shared" si="80"/>
        <v/>
      </c>
    </row>
    <row r="2086" ht="15.75" customHeight="1">
      <c r="H2086" s="22" t="str">
        <f t="shared" si="80"/>
        <v/>
      </c>
    </row>
    <row r="2087" ht="15.75" customHeight="1">
      <c r="H2087" s="22" t="str">
        <f t="shared" si="80"/>
        <v/>
      </c>
    </row>
    <row r="2088" ht="15.75" customHeight="1">
      <c r="H2088" s="22" t="str">
        <f t="shared" si="80"/>
        <v/>
      </c>
    </row>
    <row r="2089" ht="15.75" customHeight="1">
      <c r="H2089" s="22" t="str">
        <f t="shared" si="80"/>
        <v/>
      </c>
    </row>
    <row r="2090" ht="15.75" customHeight="1">
      <c r="H2090" s="22" t="str">
        <f t="shared" si="80"/>
        <v/>
      </c>
    </row>
    <row r="2091" ht="15.75" customHeight="1">
      <c r="H2091" s="22" t="str">
        <f t="shared" si="80"/>
        <v/>
      </c>
    </row>
    <row r="2092" ht="15.75" customHeight="1">
      <c r="H2092" s="22" t="str">
        <f t="shared" si="80"/>
        <v/>
      </c>
    </row>
    <row r="2093" ht="15.75" customHeight="1">
      <c r="H2093" s="22" t="str">
        <f t="shared" si="80"/>
        <v/>
      </c>
    </row>
    <row r="2094" ht="15.75" customHeight="1">
      <c r="H2094" s="22" t="str">
        <f t="shared" si="80"/>
        <v/>
      </c>
    </row>
    <row r="2095" ht="15.75" customHeight="1">
      <c r="H2095" s="22" t="str">
        <f t="shared" si="80"/>
        <v/>
      </c>
    </row>
    <row r="2096" ht="15.75" customHeight="1">
      <c r="H2096" s="22" t="str">
        <f t="shared" si="80"/>
        <v/>
      </c>
    </row>
    <row r="2097" ht="15.75" customHeight="1">
      <c r="H2097" s="22" t="str">
        <f t="shared" si="80"/>
        <v/>
      </c>
    </row>
    <row r="2098" ht="15.75" customHeight="1">
      <c r="H2098" s="22" t="str">
        <f t="shared" si="80"/>
        <v/>
      </c>
    </row>
    <row r="2099" ht="15.75" customHeight="1">
      <c r="H2099" s="22" t="str">
        <f t="shared" si="80"/>
        <v/>
      </c>
    </row>
    <row r="2100" ht="15.75" customHeight="1">
      <c r="H2100" s="22" t="str">
        <f t="shared" si="80"/>
        <v/>
      </c>
    </row>
    <row r="2101" ht="15.75" customHeight="1">
      <c r="H2101" s="22" t="str">
        <f t="shared" si="80"/>
        <v/>
      </c>
    </row>
    <row r="2102" ht="15.75" customHeight="1">
      <c r="H2102" s="22" t="str">
        <f t="shared" si="80"/>
        <v/>
      </c>
    </row>
    <row r="2103" ht="15.75" customHeight="1">
      <c r="H2103" s="22" t="str">
        <f t="shared" si="80"/>
        <v/>
      </c>
    </row>
    <row r="2104" ht="15.75" customHeight="1">
      <c r="H2104" s="22" t="str">
        <f t="shared" si="80"/>
        <v/>
      </c>
    </row>
    <row r="2105" ht="15.75" customHeight="1">
      <c r="H2105" s="22" t="str">
        <f t="shared" si="80"/>
        <v/>
      </c>
    </row>
    <row r="2106" ht="15.75" customHeight="1">
      <c r="H2106" s="22" t="str">
        <f t="shared" si="80"/>
        <v/>
      </c>
    </row>
    <row r="2107" ht="15.75" customHeight="1">
      <c r="H2107" s="22" t="str">
        <f t="shared" si="80"/>
        <v/>
      </c>
    </row>
    <row r="2108" ht="15.75" customHeight="1">
      <c r="H2108" s="22" t="str">
        <f t="shared" si="80"/>
        <v/>
      </c>
    </row>
    <row r="2109" ht="15.75" customHeight="1">
      <c r="H2109" s="22" t="str">
        <f t="shared" si="80"/>
        <v/>
      </c>
    </row>
    <row r="2110" ht="15.75" customHeight="1">
      <c r="H2110" s="22" t="str">
        <f t="shared" si="80"/>
        <v/>
      </c>
    </row>
    <row r="2111" ht="15.75" customHeight="1">
      <c r="H2111" s="22" t="str">
        <f t="shared" si="80"/>
        <v/>
      </c>
    </row>
    <row r="2112" ht="15.75" customHeight="1">
      <c r="H2112" s="22" t="str">
        <f t="shared" si="80"/>
        <v/>
      </c>
    </row>
    <row r="2113" ht="15.75" customHeight="1">
      <c r="H2113" s="22" t="str">
        <f t="shared" si="80"/>
        <v/>
      </c>
    </row>
    <row r="2114" ht="15.75" customHeight="1">
      <c r="H2114" s="22" t="str">
        <f t="shared" si="80"/>
        <v/>
      </c>
    </row>
    <row r="2115" ht="15.75" customHeight="1">
      <c r="H2115" s="22" t="str">
        <f t="shared" si="80"/>
        <v/>
      </c>
    </row>
    <row r="2116" ht="15.75" customHeight="1">
      <c r="H2116" s="22" t="str">
        <f t="shared" si="80"/>
        <v/>
      </c>
    </row>
    <row r="2117" ht="15.75" customHeight="1">
      <c r="H2117" s="22" t="str">
        <f t="shared" si="80"/>
        <v/>
      </c>
    </row>
  </sheetData>
  <mergeCells count="1">
    <mergeCell ref="R2:S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1.13"/>
  </cols>
  <sheetData>
    <row r="1" ht="15.75" customHeight="1">
      <c r="B1" s="22" t="s">
        <v>92</v>
      </c>
      <c r="C1" s="22" t="s">
        <v>93</v>
      </c>
      <c r="D1" s="22">
        <v>2010.0</v>
      </c>
      <c r="E1" s="22">
        <v>1.0</v>
      </c>
      <c r="F1" s="35">
        <v>15.0</v>
      </c>
      <c r="H1" s="22" t="s">
        <v>94</v>
      </c>
      <c r="I1" s="36" t="s">
        <v>152</v>
      </c>
    </row>
    <row r="2" ht="15.75" customHeight="1">
      <c r="B2" s="22"/>
      <c r="C2" s="22"/>
      <c r="D2" s="22"/>
      <c r="E2" s="22"/>
      <c r="F2" s="22"/>
    </row>
    <row r="3" ht="15.75" customHeight="1">
      <c r="B3" s="22" t="s">
        <v>99</v>
      </c>
      <c r="D3" s="22" t="s">
        <v>155</v>
      </c>
      <c r="E3" s="22"/>
      <c r="F3" s="22" t="s">
        <v>164</v>
      </c>
    </row>
    <row r="4" ht="15.75" customHeight="1">
      <c r="A4" s="22" t="str">
        <f>IFERROR(__xludf.DUMMYFUNCTION("GOOGLEFINANCE(B$3, ""price"", DATE($D1, $E1, $F1), TODAY(), $I$1)"),"Date")</f>
        <v>Date</v>
      </c>
      <c r="B4" s="22" t="str">
        <f>IFERROR(__xludf.DUMMYFUNCTION("""COMPUTED_VALUE"""),"Close")</f>
        <v>Close</v>
      </c>
      <c r="C4" s="22" t="str">
        <f>IFERROR(__xludf.DUMMYFUNCTION("GOOGLEFINANCE(D$3, ""price"", DATE($D1, $E1, $F1), TODAY(), $I$1)"),"Date")</f>
        <v>Date</v>
      </c>
      <c r="D4" s="22" t="str">
        <f>IFERROR(__xludf.DUMMYFUNCTION("""COMPUTED_VALUE"""),"Close")</f>
        <v>Close</v>
      </c>
      <c r="E4" s="22" t="str">
        <f>IFERROR(__xludf.DUMMYFUNCTION("GOOGLEFINANCE(F$3, ""price"", DATE($D1, $E1, $F1), TODAY(), $I$1)"),"Date")</f>
        <v>Date</v>
      </c>
      <c r="F4" s="22" t="str">
        <f>IFERROR(__xludf.DUMMYFUNCTION("""COMPUTED_VALUE"""),"Close")</f>
        <v>Close</v>
      </c>
    </row>
    <row r="5" ht="15.75" customHeight="1">
      <c r="A5" s="32">
        <f>IFERROR(__xludf.DUMMYFUNCTION("""COMPUTED_VALUE"""),40193.666666666664)</f>
        <v>40193.66667</v>
      </c>
      <c r="B5" s="22">
        <f>IFERROR(__xludf.DUMMYFUNCTION("""COMPUTED_VALUE"""),1136.03)</f>
        <v>1136.03</v>
      </c>
      <c r="C5" s="32">
        <f>IFERROR(__xludf.DUMMYFUNCTION("""COMPUTED_VALUE"""),40194.99861111111)</f>
        <v>40194.99861</v>
      </c>
      <c r="D5" s="22">
        <f>IFERROR(__xludf.DUMMYFUNCTION("""COMPUTED_VALUE"""),1.4386)</f>
        <v>1.4386</v>
      </c>
      <c r="E5" s="32">
        <f>IFERROR(__xludf.DUMMYFUNCTION("""COMPUTED_VALUE"""),40193.75)</f>
        <v>40193.75</v>
      </c>
      <c r="F5" s="22">
        <f>IFERROR(__xludf.DUMMYFUNCTION("""COMPUTED_VALUE"""),2940.25)</f>
        <v>2940.25</v>
      </c>
    </row>
    <row r="6" ht="15.75" customHeight="1">
      <c r="A6" s="32">
        <f>IFERROR(__xludf.DUMMYFUNCTION("""COMPUTED_VALUE"""),40200.666666666664)</f>
        <v>40200.66667</v>
      </c>
      <c r="B6" s="22">
        <f>IFERROR(__xludf.DUMMYFUNCTION("""COMPUTED_VALUE"""),1115.49)</f>
        <v>1115.49</v>
      </c>
      <c r="C6" s="32">
        <f>IFERROR(__xludf.DUMMYFUNCTION("""COMPUTED_VALUE"""),40201.99861111111)</f>
        <v>40201.99861</v>
      </c>
      <c r="D6" s="22">
        <f>IFERROR(__xludf.DUMMYFUNCTION("""COMPUTED_VALUE"""),1.415)</f>
        <v>1.415</v>
      </c>
      <c r="E6" s="32">
        <f>IFERROR(__xludf.DUMMYFUNCTION("""COMPUTED_VALUE"""),40200.75)</f>
        <v>40200.75</v>
      </c>
      <c r="F6" s="22">
        <f>IFERROR(__xludf.DUMMYFUNCTION("""COMPUTED_VALUE"""),2836.8)</f>
        <v>2836.8</v>
      </c>
    </row>
    <row r="7" ht="15.75" customHeight="1">
      <c r="A7" s="32">
        <f>IFERROR(__xludf.DUMMYFUNCTION("""COMPUTED_VALUE"""),40207.666666666664)</f>
        <v>40207.66667</v>
      </c>
      <c r="B7" s="22">
        <f>IFERROR(__xludf.DUMMYFUNCTION("""COMPUTED_VALUE"""),1073.87)</f>
        <v>1073.87</v>
      </c>
      <c r="C7" s="32">
        <f>IFERROR(__xludf.DUMMYFUNCTION("""COMPUTED_VALUE"""),40208.99861111111)</f>
        <v>40208.99861</v>
      </c>
      <c r="D7" s="22">
        <f>IFERROR(__xludf.DUMMYFUNCTION("""COMPUTED_VALUE"""),1.3861)</f>
        <v>1.3861</v>
      </c>
      <c r="E7" s="32">
        <f>IFERROR(__xludf.DUMMYFUNCTION("""COMPUTED_VALUE"""),40207.75)</f>
        <v>40207.75</v>
      </c>
      <c r="F7" s="22">
        <f>IFERROR(__xludf.DUMMYFUNCTION("""COMPUTED_VALUE"""),2776.83)</f>
        <v>2776.83</v>
      </c>
    </row>
    <row r="8" ht="15.75" customHeight="1">
      <c r="A8" s="32">
        <f>IFERROR(__xludf.DUMMYFUNCTION("""COMPUTED_VALUE"""),40214.666666666664)</f>
        <v>40214.66667</v>
      </c>
      <c r="B8" s="22">
        <f>IFERROR(__xludf.DUMMYFUNCTION("""COMPUTED_VALUE"""),1066.19)</f>
        <v>1066.19</v>
      </c>
      <c r="C8" s="32">
        <f>IFERROR(__xludf.DUMMYFUNCTION("""COMPUTED_VALUE"""),40215.99861111111)</f>
        <v>40215.99861</v>
      </c>
      <c r="D8" s="22">
        <f>IFERROR(__xludf.DUMMYFUNCTION("""COMPUTED_VALUE"""),1.3604)</f>
        <v>1.3604</v>
      </c>
      <c r="E8" s="32">
        <f>IFERROR(__xludf.DUMMYFUNCTION("""COMPUTED_VALUE"""),40214.75)</f>
        <v>40214.75</v>
      </c>
      <c r="F8" s="22">
        <f>IFERROR(__xludf.DUMMYFUNCTION("""COMPUTED_VALUE"""),2631.64)</f>
        <v>2631.64</v>
      </c>
      <c r="I8" s="37"/>
    </row>
    <row r="9" ht="15.75" customHeight="1">
      <c r="A9" s="32">
        <f>IFERROR(__xludf.DUMMYFUNCTION("""COMPUTED_VALUE"""),40221.666666666664)</f>
        <v>40221.66667</v>
      </c>
      <c r="B9" s="22">
        <f>IFERROR(__xludf.DUMMYFUNCTION("""COMPUTED_VALUE"""),1075.51)</f>
        <v>1075.51</v>
      </c>
      <c r="C9" s="32">
        <f>IFERROR(__xludf.DUMMYFUNCTION("""COMPUTED_VALUE"""),40222.99861111111)</f>
        <v>40222.99861</v>
      </c>
      <c r="D9" s="22">
        <f>IFERROR(__xludf.DUMMYFUNCTION("""COMPUTED_VALUE"""),1.36161)</f>
        <v>1.36161</v>
      </c>
      <c r="E9" s="32">
        <f>IFERROR(__xludf.DUMMYFUNCTION("""COMPUTED_VALUE"""),40221.75)</f>
        <v>40221.75</v>
      </c>
      <c r="F9" s="22">
        <f>IFERROR(__xludf.DUMMYFUNCTION("""COMPUTED_VALUE"""),2674.46)</f>
        <v>2674.46</v>
      </c>
    </row>
    <row r="10" ht="15.75" customHeight="1">
      <c r="A10" s="32">
        <f>IFERROR(__xludf.DUMMYFUNCTION("""COMPUTED_VALUE"""),40228.666666666664)</f>
        <v>40228.66667</v>
      </c>
      <c r="B10" s="22">
        <f>IFERROR(__xludf.DUMMYFUNCTION("""COMPUTED_VALUE"""),1109.17)</f>
        <v>1109.17</v>
      </c>
      <c r="C10" s="32">
        <f>IFERROR(__xludf.DUMMYFUNCTION("""COMPUTED_VALUE"""),40229.99861111111)</f>
        <v>40229.99861</v>
      </c>
      <c r="D10" s="22">
        <f>IFERROR(__xludf.DUMMYFUNCTION("""COMPUTED_VALUE"""),1.3535)</f>
        <v>1.3535</v>
      </c>
      <c r="E10" s="32">
        <f>IFERROR(__xludf.DUMMYFUNCTION("""COMPUTED_VALUE"""),40228.75)</f>
        <v>40228.75</v>
      </c>
      <c r="F10" s="22">
        <f>IFERROR(__xludf.DUMMYFUNCTION("""COMPUTED_VALUE"""),2793.37)</f>
        <v>2793.37</v>
      </c>
    </row>
    <row r="11" ht="15.75" customHeight="1">
      <c r="A11" s="32">
        <f>IFERROR(__xludf.DUMMYFUNCTION("""COMPUTED_VALUE"""),40235.666666666664)</f>
        <v>40235.66667</v>
      </c>
      <c r="B11" s="22">
        <f>IFERROR(__xludf.DUMMYFUNCTION("""COMPUTED_VALUE"""),1104.49)</f>
        <v>1104.49</v>
      </c>
      <c r="C11" s="32">
        <f>IFERROR(__xludf.DUMMYFUNCTION("""COMPUTED_VALUE"""),40236.99861111111)</f>
        <v>40236.99861</v>
      </c>
      <c r="D11" s="22">
        <f>IFERROR(__xludf.DUMMYFUNCTION("""COMPUTED_VALUE"""),1.3657)</f>
        <v>1.3657</v>
      </c>
      <c r="E11" s="32">
        <f>IFERROR(__xludf.DUMMYFUNCTION("""COMPUTED_VALUE"""),40235.75)</f>
        <v>40235.75</v>
      </c>
      <c r="F11" s="22">
        <f>IFERROR(__xludf.DUMMYFUNCTION("""COMPUTED_VALUE"""),2728.47)</f>
        <v>2728.47</v>
      </c>
    </row>
    <row r="12" ht="15.75" customHeight="1">
      <c r="A12" s="32">
        <f>IFERROR(__xludf.DUMMYFUNCTION("""COMPUTED_VALUE"""),40242.666666666664)</f>
        <v>40242.66667</v>
      </c>
      <c r="B12" s="22">
        <f>IFERROR(__xludf.DUMMYFUNCTION("""COMPUTED_VALUE"""),1138.7)</f>
        <v>1138.7</v>
      </c>
      <c r="C12" s="32">
        <f>IFERROR(__xludf.DUMMYFUNCTION("""COMPUTED_VALUE"""),40243.99861111111)</f>
        <v>40243.99861</v>
      </c>
      <c r="D12" s="22">
        <f>IFERROR(__xludf.DUMMYFUNCTION("""COMPUTED_VALUE"""),1.3606)</f>
        <v>1.3606</v>
      </c>
      <c r="E12" s="32">
        <f>IFERROR(__xludf.DUMMYFUNCTION("""COMPUTED_VALUE"""),40242.75)</f>
        <v>40242.75</v>
      </c>
      <c r="F12" s="22">
        <f>IFERROR(__xludf.DUMMYFUNCTION("""COMPUTED_VALUE"""),2877.44)</f>
        <v>2877.44</v>
      </c>
    </row>
    <row r="13" ht="15.75" customHeight="1">
      <c r="A13" s="32">
        <f>IFERROR(__xludf.DUMMYFUNCTION("""COMPUTED_VALUE"""),40249.666666666664)</f>
        <v>40249.66667</v>
      </c>
      <c r="B13" s="22">
        <f>IFERROR(__xludf.DUMMYFUNCTION("""COMPUTED_VALUE"""),1149.99)</f>
        <v>1149.99</v>
      </c>
      <c r="C13" s="32">
        <f>IFERROR(__xludf.DUMMYFUNCTION("""COMPUTED_VALUE"""),40249.99861111111)</f>
        <v>40249.99861</v>
      </c>
      <c r="D13" s="22">
        <f>IFERROR(__xludf.DUMMYFUNCTION("""COMPUTED_VALUE"""),1.3765)</f>
        <v>1.3765</v>
      </c>
      <c r="E13" s="32">
        <f>IFERROR(__xludf.DUMMYFUNCTION("""COMPUTED_VALUE"""),40249.75)</f>
        <v>40249.75</v>
      </c>
      <c r="F13" s="22">
        <f>IFERROR(__xludf.DUMMYFUNCTION("""COMPUTED_VALUE"""),2898.36)</f>
        <v>2898.36</v>
      </c>
    </row>
    <row r="14" ht="15.75" customHeight="1">
      <c r="A14" s="32">
        <f>IFERROR(__xludf.DUMMYFUNCTION("""COMPUTED_VALUE"""),40256.666666666664)</f>
        <v>40256.66667</v>
      </c>
      <c r="B14" s="22">
        <f>IFERROR(__xludf.DUMMYFUNCTION("""COMPUTED_VALUE"""),1159.9)</f>
        <v>1159.9</v>
      </c>
      <c r="C14" s="32">
        <f>IFERROR(__xludf.DUMMYFUNCTION("""COMPUTED_VALUE"""),40256.99861111111)</f>
        <v>40256.99861</v>
      </c>
      <c r="D14" s="22">
        <f>IFERROR(__xludf.DUMMYFUNCTION("""COMPUTED_VALUE"""),1.353)</f>
        <v>1.353</v>
      </c>
      <c r="E14" s="32">
        <f>IFERROR(__xludf.DUMMYFUNCTION("""COMPUTED_VALUE"""),40256.75)</f>
        <v>40256.75</v>
      </c>
      <c r="F14" s="22">
        <f>IFERROR(__xludf.DUMMYFUNCTION("""COMPUTED_VALUE"""),2897.95)</f>
        <v>2897.95</v>
      </c>
    </row>
    <row r="15" ht="15.75" customHeight="1">
      <c r="A15" s="32">
        <f>IFERROR(__xludf.DUMMYFUNCTION("""COMPUTED_VALUE"""),40263.666666666664)</f>
        <v>40263.66667</v>
      </c>
      <c r="B15" s="22">
        <f>IFERROR(__xludf.DUMMYFUNCTION("""COMPUTED_VALUE"""),1166.59)</f>
        <v>1166.59</v>
      </c>
      <c r="C15" s="32">
        <f>IFERROR(__xludf.DUMMYFUNCTION("""COMPUTED_VALUE"""),40264.99861111111)</f>
        <v>40264.99861</v>
      </c>
      <c r="D15" s="22">
        <f>IFERROR(__xludf.DUMMYFUNCTION("""COMPUTED_VALUE"""),1.3387)</f>
        <v>1.3387</v>
      </c>
      <c r="E15" s="32">
        <f>IFERROR(__xludf.DUMMYFUNCTION("""COMPUTED_VALUE"""),40263.75)</f>
        <v>40263.75</v>
      </c>
      <c r="F15" s="22">
        <f>IFERROR(__xludf.DUMMYFUNCTION("""COMPUTED_VALUE"""),2940.94)</f>
        <v>2940.94</v>
      </c>
    </row>
    <row r="16" ht="15.75" customHeight="1">
      <c r="A16" s="32">
        <f>IFERROR(__xludf.DUMMYFUNCTION("""COMPUTED_VALUE"""),40269.666666666664)</f>
        <v>40269.66667</v>
      </c>
      <c r="B16" s="22">
        <f>IFERROR(__xludf.DUMMYFUNCTION("""COMPUTED_VALUE"""),1178.1)</f>
        <v>1178.1</v>
      </c>
      <c r="C16" s="32">
        <f>IFERROR(__xludf.DUMMYFUNCTION("""COMPUTED_VALUE"""),40270.99861111111)</f>
        <v>40270.99861</v>
      </c>
      <c r="D16" s="22">
        <f>IFERROR(__xludf.DUMMYFUNCTION("""COMPUTED_VALUE"""),1.3499)</f>
        <v>1.3499</v>
      </c>
      <c r="E16" s="32">
        <f>IFERROR(__xludf.DUMMYFUNCTION("""COMPUTED_VALUE"""),40269.75)</f>
        <v>40269.75</v>
      </c>
      <c r="F16" s="22">
        <f>IFERROR(__xludf.DUMMYFUNCTION("""COMPUTED_VALUE"""),2978.5)</f>
        <v>2978.5</v>
      </c>
    </row>
    <row r="17" ht="15.75" customHeight="1">
      <c r="A17" s="32">
        <f>IFERROR(__xludf.DUMMYFUNCTION("""COMPUTED_VALUE"""),40277.666666666664)</f>
        <v>40277.66667</v>
      </c>
      <c r="B17" s="22">
        <f>IFERROR(__xludf.DUMMYFUNCTION("""COMPUTED_VALUE"""),1194.37)</f>
        <v>1194.37</v>
      </c>
      <c r="C17" s="32">
        <f>IFERROR(__xludf.DUMMYFUNCTION("""COMPUTED_VALUE"""),40277.99861111111)</f>
        <v>40277.99861</v>
      </c>
      <c r="D17" s="22">
        <f>IFERROR(__xludf.DUMMYFUNCTION("""COMPUTED_VALUE"""),1.3499)</f>
        <v>1.3499</v>
      </c>
      <c r="E17" s="32">
        <f>IFERROR(__xludf.DUMMYFUNCTION("""COMPUTED_VALUE"""),40277.75)</f>
        <v>40277.75</v>
      </c>
      <c r="F17" s="22">
        <f>IFERROR(__xludf.DUMMYFUNCTION("""COMPUTED_VALUE"""),2993.54)</f>
        <v>2993.54</v>
      </c>
    </row>
    <row r="18" ht="15.75" customHeight="1">
      <c r="A18" s="32">
        <f>IFERROR(__xludf.DUMMYFUNCTION("""COMPUTED_VALUE"""),40284.666666666664)</f>
        <v>40284.66667</v>
      </c>
      <c r="B18" s="22">
        <f>IFERROR(__xludf.DUMMYFUNCTION("""COMPUTED_VALUE"""),1192.13)</f>
        <v>1192.13</v>
      </c>
      <c r="C18" s="32">
        <f>IFERROR(__xludf.DUMMYFUNCTION("""COMPUTED_VALUE"""),40285.99861111111)</f>
        <v>40285.99861</v>
      </c>
      <c r="D18" s="22">
        <f>IFERROR(__xludf.DUMMYFUNCTION("""COMPUTED_VALUE"""),1.3483)</f>
        <v>1.3483</v>
      </c>
      <c r="E18" s="32">
        <f>IFERROR(__xludf.DUMMYFUNCTION("""COMPUTED_VALUE"""),40284.75)</f>
        <v>40284.75</v>
      </c>
      <c r="F18" s="22">
        <f>IFERROR(__xludf.DUMMYFUNCTION("""COMPUTED_VALUE"""),2949.65)</f>
        <v>2949.65</v>
      </c>
    </row>
    <row r="19" ht="15.75" customHeight="1">
      <c r="A19" s="32">
        <f>IFERROR(__xludf.DUMMYFUNCTION("""COMPUTED_VALUE"""),40291.666666666664)</f>
        <v>40291.66667</v>
      </c>
      <c r="B19" s="22">
        <f>IFERROR(__xludf.DUMMYFUNCTION("""COMPUTED_VALUE"""),1217.28)</f>
        <v>1217.28</v>
      </c>
      <c r="C19" s="32">
        <f>IFERROR(__xludf.DUMMYFUNCTION("""COMPUTED_VALUE"""),40291.99861111111)</f>
        <v>40291.99861</v>
      </c>
      <c r="D19" s="22">
        <f>IFERROR(__xludf.DUMMYFUNCTION("""COMPUTED_VALUE"""),1.3381)</f>
        <v>1.3381</v>
      </c>
      <c r="E19" s="32">
        <f>IFERROR(__xludf.DUMMYFUNCTION("""COMPUTED_VALUE"""),40291.75)</f>
        <v>40291.75</v>
      </c>
      <c r="F19" s="22">
        <f>IFERROR(__xludf.DUMMYFUNCTION("""COMPUTED_VALUE"""),2918.11)</f>
        <v>2918.11</v>
      </c>
    </row>
    <row r="20" ht="15.75" customHeight="1">
      <c r="A20" s="32">
        <f>IFERROR(__xludf.DUMMYFUNCTION("""COMPUTED_VALUE"""),40298.666666666664)</f>
        <v>40298.66667</v>
      </c>
      <c r="B20" s="22">
        <f>IFERROR(__xludf.DUMMYFUNCTION("""COMPUTED_VALUE"""),1186.69)</f>
        <v>1186.69</v>
      </c>
      <c r="C20" s="32">
        <f>IFERROR(__xludf.DUMMYFUNCTION("""COMPUTED_VALUE"""),40299.99861111111)</f>
        <v>40299.99861</v>
      </c>
      <c r="D20" s="22">
        <f>IFERROR(__xludf.DUMMYFUNCTION("""COMPUTED_VALUE"""),1.33)</f>
        <v>1.33</v>
      </c>
      <c r="E20" s="32">
        <f>IFERROR(__xludf.DUMMYFUNCTION("""COMPUTED_VALUE"""),40298.75)</f>
        <v>40298.75</v>
      </c>
      <c r="F20" s="22">
        <f>IFERROR(__xludf.DUMMYFUNCTION("""COMPUTED_VALUE"""),2816.86)</f>
        <v>2816.86</v>
      </c>
    </row>
    <row r="21" ht="15.75" customHeight="1">
      <c r="A21" s="32">
        <f>IFERROR(__xludf.DUMMYFUNCTION("""COMPUTED_VALUE"""),40305.666666666664)</f>
        <v>40305.66667</v>
      </c>
      <c r="B21" s="22">
        <f>IFERROR(__xludf.DUMMYFUNCTION("""COMPUTED_VALUE"""),1110.88)</f>
        <v>1110.88</v>
      </c>
      <c r="C21" s="32">
        <f>IFERROR(__xludf.DUMMYFUNCTION("""COMPUTED_VALUE"""),40306.99861111111)</f>
        <v>40306.99861</v>
      </c>
      <c r="D21" s="22">
        <f>IFERROR(__xludf.DUMMYFUNCTION("""COMPUTED_VALUE"""),1.2718)</f>
        <v>1.2718</v>
      </c>
      <c r="E21" s="32">
        <f>IFERROR(__xludf.DUMMYFUNCTION("""COMPUTED_VALUE"""),40305.75)</f>
        <v>40305.75</v>
      </c>
      <c r="F21" s="22">
        <f>IFERROR(__xludf.DUMMYFUNCTION("""COMPUTED_VALUE"""),2500.18)</f>
        <v>2500.18</v>
      </c>
    </row>
    <row r="22" ht="15.75" customHeight="1">
      <c r="A22" s="32">
        <f>IFERROR(__xludf.DUMMYFUNCTION("""COMPUTED_VALUE"""),40312.666666666664)</f>
        <v>40312.66667</v>
      </c>
      <c r="B22" s="22">
        <f>IFERROR(__xludf.DUMMYFUNCTION("""COMPUTED_VALUE"""),1135.68)</f>
        <v>1135.68</v>
      </c>
      <c r="C22" s="32">
        <f>IFERROR(__xludf.DUMMYFUNCTION("""COMPUTED_VALUE"""),40312.99861111111)</f>
        <v>40312.99861</v>
      </c>
      <c r="D22" s="22">
        <f>IFERROR(__xludf.DUMMYFUNCTION("""COMPUTED_VALUE"""),1.2359)</f>
        <v>1.2359</v>
      </c>
      <c r="E22" s="32">
        <f>IFERROR(__xludf.DUMMYFUNCTION("""COMPUTED_VALUE"""),40312.75)</f>
        <v>40312.75</v>
      </c>
      <c r="F22" s="22">
        <f>IFERROR(__xludf.DUMMYFUNCTION("""COMPUTED_VALUE"""),2633.92)</f>
        <v>2633.92</v>
      </c>
    </row>
    <row r="23" ht="15.75" customHeight="1">
      <c r="A23" s="32">
        <f>IFERROR(__xludf.DUMMYFUNCTION("""COMPUTED_VALUE"""),40319.666666666664)</f>
        <v>40319.66667</v>
      </c>
      <c r="B23" s="22">
        <f>IFERROR(__xludf.DUMMYFUNCTION("""COMPUTED_VALUE"""),1087.69)</f>
        <v>1087.69</v>
      </c>
      <c r="C23" s="32">
        <f>IFERROR(__xludf.DUMMYFUNCTION("""COMPUTED_VALUE"""),40319.99861111111)</f>
        <v>40319.99861</v>
      </c>
      <c r="D23" s="22">
        <f>IFERROR(__xludf.DUMMYFUNCTION("""COMPUTED_VALUE"""),1.2583)</f>
        <v>1.2583</v>
      </c>
      <c r="E23" s="32">
        <f>IFERROR(__xludf.DUMMYFUNCTION("""COMPUTED_VALUE"""),40319.75)</f>
        <v>40319.75</v>
      </c>
      <c r="F23" s="22">
        <f>IFERROR(__xludf.DUMMYFUNCTION("""COMPUTED_VALUE"""),2574.18)</f>
        <v>2574.18</v>
      </c>
    </row>
    <row r="24" ht="15.75" customHeight="1">
      <c r="A24" s="32">
        <f>IFERROR(__xludf.DUMMYFUNCTION("""COMPUTED_VALUE"""),40326.666666666664)</f>
        <v>40326.66667</v>
      </c>
      <c r="B24" s="22">
        <f>IFERROR(__xludf.DUMMYFUNCTION("""COMPUTED_VALUE"""),1089.41)</f>
        <v>1089.41</v>
      </c>
      <c r="C24" s="32">
        <f>IFERROR(__xludf.DUMMYFUNCTION("""COMPUTED_VALUE"""),40327.99861111111)</f>
        <v>40327.99861</v>
      </c>
      <c r="D24" s="22">
        <f>IFERROR(__xludf.DUMMYFUNCTION("""COMPUTED_VALUE"""),1.2366)</f>
        <v>1.2366</v>
      </c>
      <c r="E24" s="32">
        <f>IFERROR(__xludf.DUMMYFUNCTION("""COMPUTED_VALUE"""),40326.75)</f>
        <v>40326.75</v>
      </c>
      <c r="F24" s="22">
        <f>IFERROR(__xludf.DUMMYFUNCTION("""COMPUTED_VALUE"""),2614.06)</f>
        <v>2614.06</v>
      </c>
    </row>
    <row r="25" ht="15.75" customHeight="1">
      <c r="A25" s="32">
        <f>IFERROR(__xludf.DUMMYFUNCTION("""COMPUTED_VALUE"""),40333.666666666664)</f>
        <v>40333.66667</v>
      </c>
      <c r="B25" s="22">
        <f>IFERROR(__xludf.DUMMYFUNCTION("""COMPUTED_VALUE"""),1064.88)</f>
        <v>1064.88</v>
      </c>
      <c r="C25" s="32">
        <f>IFERROR(__xludf.DUMMYFUNCTION("""COMPUTED_VALUE"""),40334.99861111111)</f>
        <v>40334.99861</v>
      </c>
      <c r="D25" s="22">
        <f>IFERROR(__xludf.DUMMYFUNCTION("""COMPUTED_VALUE"""),1.1997)</f>
        <v>1.1997</v>
      </c>
      <c r="E25" s="32">
        <f>IFERROR(__xludf.DUMMYFUNCTION("""COMPUTED_VALUE"""),40333.75)</f>
        <v>40333.75</v>
      </c>
      <c r="F25" s="22">
        <f>IFERROR(__xludf.DUMMYFUNCTION("""COMPUTED_VALUE"""),2553.59)</f>
        <v>2553.59</v>
      </c>
    </row>
    <row r="26" ht="15.75" customHeight="1">
      <c r="A26" s="32">
        <f>IFERROR(__xludf.DUMMYFUNCTION("""COMPUTED_VALUE"""),40340.666666666664)</f>
        <v>40340.66667</v>
      </c>
      <c r="B26" s="22">
        <f>IFERROR(__xludf.DUMMYFUNCTION("""COMPUTED_VALUE"""),1091.6)</f>
        <v>1091.6</v>
      </c>
      <c r="C26" s="32">
        <f>IFERROR(__xludf.DUMMYFUNCTION("""COMPUTED_VALUE"""),40341.99861111111)</f>
        <v>40341.99861</v>
      </c>
      <c r="D26" s="22">
        <f>IFERROR(__xludf.DUMMYFUNCTION("""COMPUTED_VALUE"""),1.2116)</f>
        <v>1.2116</v>
      </c>
      <c r="E26" s="32">
        <f>IFERROR(__xludf.DUMMYFUNCTION("""COMPUTED_VALUE"""),40340.75)</f>
        <v>40340.75</v>
      </c>
      <c r="F26" s="22">
        <f>IFERROR(__xludf.DUMMYFUNCTION("""COMPUTED_VALUE"""),2638.31)</f>
        <v>2638.31</v>
      </c>
    </row>
    <row r="27" ht="15.75" customHeight="1">
      <c r="A27" s="32">
        <f>IFERROR(__xludf.DUMMYFUNCTION("""COMPUTED_VALUE"""),40347.666666666664)</f>
        <v>40347.66667</v>
      </c>
      <c r="B27" s="22">
        <f>IFERROR(__xludf.DUMMYFUNCTION("""COMPUTED_VALUE"""),1117.51)</f>
        <v>1117.51</v>
      </c>
      <c r="C27" s="32">
        <f>IFERROR(__xludf.DUMMYFUNCTION("""COMPUTED_VALUE"""),40348.99861111111)</f>
        <v>40348.99861</v>
      </c>
      <c r="D27" s="22">
        <f>IFERROR(__xludf.DUMMYFUNCTION("""COMPUTED_VALUE"""),1.23728)</f>
        <v>1.23728</v>
      </c>
      <c r="E27" s="32">
        <f>IFERROR(__xludf.DUMMYFUNCTION("""COMPUTED_VALUE"""),40347.75)</f>
        <v>40347.75</v>
      </c>
      <c r="F27" s="22">
        <f>IFERROR(__xludf.DUMMYFUNCTION("""COMPUTED_VALUE"""),2737.02)</f>
        <v>2737.02</v>
      </c>
    </row>
    <row r="28" ht="15.75" customHeight="1">
      <c r="A28" s="32">
        <f>IFERROR(__xludf.DUMMYFUNCTION("""COMPUTED_VALUE"""),40354.666666666664)</f>
        <v>40354.66667</v>
      </c>
      <c r="B28" s="22">
        <f>IFERROR(__xludf.DUMMYFUNCTION("""COMPUTED_VALUE"""),1076.76)</f>
        <v>1076.76</v>
      </c>
      <c r="C28" s="32">
        <f>IFERROR(__xludf.DUMMYFUNCTION("""COMPUTED_VALUE"""),40354.99861111111)</f>
        <v>40354.99861</v>
      </c>
      <c r="D28" s="22">
        <f>IFERROR(__xludf.DUMMYFUNCTION("""COMPUTED_VALUE"""),1.2374)</f>
        <v>1.2374</v>
      </c>
      <c r="E28" s="32">
        <f>IFERROR(__xludf.DUMMYFUNCTION("""COMPUTED_VALUE"""),40354.75)</f>
        <v>40354.75</v>
      </c>
      <c r="F28" s="22">
        <f>IFERROR(__xludf.DUMMYFUNCTION("""COMPUTED_VALUE"""),2629.25)</f>
        <v>2629.25</v>
      </c>
    </row>
    <row r="29" ht="15.75" customHeight="1">
      <c r="A29" s="32">
        <f>IFERROR(__xludf.DUMMYFUNCTION("""COMPUTED_VALUE"""),40361.666666666664)</f>
        <v>40361.66667</v>
      </c>
      <c r="B29" s="22">
        <f>IFERROR(__xludf.DUMMYFUNCTION("""COMPUTED_VALUE"""),1022.58)</f>
        <v>1022.58</v>
      </c>
      <c r="C29" s="32">
        <f>IFERROR(__xludf.DUMMYFUNCTION("""COMPUTED_VALUE"""),40362.99861111111)</f>
        <v>40362.99861</v>
      </c>
      <c r="D29" s="22">
        <f>IFERROR(__xludf.DUMMYFUNCTION("""COMPUTED_VALUE"""),1.2574)</f>
        <v>1.2574</v>
      </c>
      <c r="E29" s="32">
        <f>IFERROR(__xludf.DUMMYFUNCTION("""COMPUTED_VALUE"""),40361.75)</f>
        <v>40361.75</v>
      </c>
      <c r="F29" s="22">
        <f>IFERROR(__xludf.DUMMYFUNCTION("""COMPUTED_VALUE"""),2522.36)</f>
        <v>2522.36</v>
      </c>
    </row>
    <row r="30" ht="15.75" customHeight="1">
      <c r="A30" s="32">
        <f>IFERROR(__xludf.DUMMYFUNCTION("""COMPUTED_VALUE"""),40368.666666666664)</f>
        <v>40368.66667</v>
      </c>
      <c r="B30" s="22">
        <f>IFERROR(__xludf.DUMMYFUNCTION("""COMPUTED_VALUE"""),1077.96)</f>
        <v>1077.96</v>
      </c>
      <c r="C30" s="32">
        <f>IFERROR(__xludf.DUMMYFUNCTION("""COMPUTED_VALUE"""),40369.99861111111)</f>
        <v>40369.99861</v>
      </c>
      <c r="D30" s="22">
        <f>IFERROR(__xludf.DUMMYFUNCTION("""COMPUTED_VALUE"""),1.2642)</f>
        <v>1.2642</v>
      </c>
      <c r="E30" s="32">
        <f>IFERROR(__xludf.DUMMYFUNCTION("""COMPUTED_VALUE"""),40368.75)</f>
        <v>40368.75</v>
      </c>
      <c r="F30" s="22">
        <f>IFERROR(__xludf.DUMMYFUNCTION("""COMPUTED_VALUE"""),2681.2)</f>
        <v>2681.2</v>
      </c>
    </row>
    <row r="31" ht="15.75" customHeight="1">
      <c r="A31" s="32">
        <f>IFERROR(__xludf.DUMMYFUNCTION("""COMPUTED_VALUE"""),40375.666666666664)</f>
        <v>40375.66667</v>
      </c>
      <c r="B31" s="22">
        <f>IFERROR(__xludf.DUMMYFUNCTION("""COMPUTED_VALUE"""),1064.88)</f>
        <v>1064.88</v>
      </c>
      <c r="C31" s="32">
        <f>IFERROR(__xludf.DUMMYFUNCTION("""COMPUTED_VALUE"""),40376.99861111111)</f>
        <v>40376.99861</v>
      </c>
      <c r="D31" s="22">
        <f>IFERROR(__xludf.DUMMYFUNCTION("""COMPUTED_VALUE"""),1.2918)</f>
        <v>1.2918</v>
      </c>
      <c r="E31" s="32">
        <f>IFERROR(__xludf.DUMMYFUNCTION("""COMPUTED_VALUE"""),40375.75)</f>
        <v>40375.75</v>
      </c>
      <c r="F31" s="22">
        <f>IFERROR(__xludf.DUMMYFUNCTION("""COMPUTED_VALUE"""),2645.61)</f>
        <v>2645.61</v>
      </c>
    </row>
    <row r="32" ht="15.75" customHeight="1">
      <c r="A32" s="32">
        <f>IFERROR(__xludf.DUMMYFUNCTION("""COMPUTED_VALUE"""),40382.666666666664)</f>
        <v>40382.66667</v>
      </c>
      <c r="B32" s="22">
        <f>IFERROR(__xludf.DUMMYFUNCTION("""COMPUTED_VALUE"""),1102.66)</f>
        <v>1102.66</v>
      </c>
      <c r="C32" s="32">
        <f>IFERROR(__xludf.DUMMYFUNCTION("""COMPUTED_VALUE"""),40383.99861111111)</f>
        <v>40383.99861</v>
      </c>
      <c r="D32" s="22">
        <f>IFERROR(__xludf.DUMMYFUNCTION("""COMPUTED_VALUE"""),1.2862)</f>
        <v>1.2862</v>
      </c>
      <c r="E32" s="32">
        <f>IFERROR(__xludf.DUMMYFUNCTION("""COMPUTED_VALUE"""),40382.75)</f>
        <v>40382.75</v>
      </c>
      <c r="F32" s="22">
        <f>IFERROR(__xludf.DUMMYFUNCTION("""COMPUTED_VALUE"""),2719.13)</f>
        <v>2719.13</v>
      </c>
    </row>
    <row r="33" ht="15.75" customHeight="1">
      <c r="A33" s="32">
        <f>IFERROR(__xludf.DUMMYFUNCTION("""COMPUTED_VALUE"""),40389.666666666664)</f>
        <v>40389.66667</v>
      </c>
      <c r="B33" s="22">
        <f>IFERROR(__xludf.DUMMYFUNCTION("""COMPUTED_VALUE"""),1101.6)</f>
        <v>1101.6</v>
      </c>
      <c r="C33" s="32">
        <f>IFERROR(__xludf.DUMMYFUNCTION("""COMPUTED_VALUE"""),40390.99861111111)</f>
        <v>40390.99861</v>
      </c>
      <c r="D33" s="22">
        <f>IFERROR(__xludf.DUMMYFUNCTION("""COMPUTED_VALUE"""),1.3038)</f>
        <v>1.3038</v>
      </c>
      <c r="E33" s="32">
        <f>IFERROR(__xludf.DUMMYFUNCTION("""COMPUTED_VALUE"""),40389.75)</f>
        <v>40389.75</v>
      </c>
      <c r="F33" s="22">
        <f>IFERROR(__xludf.DUMMYFUNCTION("""COMPUTED_VALUE"""),2742.14)</f>
        <v>2742.14</v>
      </c>
    </row>
    <row r="34" ht="15.75" customHeight="1">
      <c r="A34" s="32">
        <f>IFERROR(__xludf.DUMMYFUNCTION("""COMPUTED_VALUE"""),40396.666666666664)</f>
        <v>40396.66667</v>
      </c>
      <c r="B34" s="22">
        <f>IFERROR(__xludf.DUMMYFUNCTION("""COMPUTED_VALUE"""),1121.64)</f>
        <v>1121.64</v>
      </c>
      <c r="C34" s="32">
        <f>IFERROR(__xludf.DUMMYFUNCTION("""COMPUTED_VALUE"""),40397.99861111111)</f>
        <v>40397.99861</v>
      </c>
      <c r="D34" s="22">
        <f>IFERROR(__xludf.DUMMYFUNCTION("""COMPUTED_VALUE"""),1.3278)</f>
        <v>1.3278</v>
      </c>
      <c r="E34" s="32">
        <f>IFERROR(__xludf.DUMMYFUNCTION("""COMPUTED_VALUE"""),40396.75)</f>
        <v>40396.75</v>
      </c>
      <c r="F34" s="22">
        <f>IFERROR(__xludf.DUMMYFUNCTION("""COMPUTED_VALUE"""),2779.34)</f>
        <v>2779.34</v>
      </c>
    </row>
    <row r="35" ht="15.75" customHeight="1">
      <c r="A35" s="32">
        <f>IFERROR(__xludf.DUMMYFUNCTION("""COMPUTED_VALUE"""),40403.666666666664)</f>
        <v>40403.66667</v>
      </c>
      <c r="B35" s="22">
        <f>IFERROR(__xludf.DUMMYFUNCTION("""COMPUTED_VALUE"""),1079.25)</f>
        <v>1079.25</v>
      </c>
      <c r="C35" s="32">
        <f>IFERROR(__xludf.DUMMYFUNCTION("""COMPUTED_VALUE"""),40404.99861111111)</f>
        <v>40404.99861</v>
      </c>
      <c r="D35" s="22">
        <f>IFERROR(__xludf.DUMMYFUNCTION("""COMPUTED_VALUE"""),1.276)</f>
        <v>1.276</v>
      </c>
      <c r="E35" s="32">
        <f>IFERROR(__xludf.DUMMYFUNCTION("""COMPUTED_VALUE"""),40403.75)</f>
        <v>40403.75</v>
      </c>
      <c r="F35" s="22">
        <f>IFERROR(__xludf.DUMMYFUNCTION("""COMPUTED_VALUE"""),2708.73)</f>
        <v>2708.73</v>
      </c>
    </row>
    <row r="36" ht="15.75" customHeight="1">
      <c r="A36" s="32">
        <f>IFERROR(__xludf.DUMMYFUNCTION("""COMPUTED_VALUE"""),40410.666666666664)</f>
        <v>40410.66667</v>
      </c>
      <c r="B36" s="22">
        <f>IFERROR(__xludf.DUMMYFUNCTION("""COMPUTED_VALUE"""),1071.69)</f>
        <v>1071.69</v>
      </c>
      <c r="C36" s="32">
        <f>IFERROR(__xludf.DUMMYFUNCTION("""COMPUTED_VALUE"""),40411.99861111111)</f>
        <v>40411.99861</v>
      </c>
      <c r="D36" s="22">
        <f>IFERROR(__xludf.DUMMYFUNCTION("""COMPUTED_VALUE"""),1.2711)</f>
        <v>1.2711</v>
      </c>
      <c r="E36" s="32">
        <f>IFERROR(__xludf.DUMMYFUNCTION("""COMPUTED_VALUE"""),40410.75)</f>
        <v>40410.75</v>
      </c>
      <c r="F36" s="22">
        <f>IFERROR(__xludf.DUMMYFUNCTION("""COMPUTED_VALUE"""),2643.98)</f>
        <v>2643.98</v>
      </c>
    </row>
    <row r="37" ht="15.75" customHeight="1">
      <c r="A37" s="32">
        <f>IFERROR(__xludf.DUMMYFUNCTION("""COMPUTED_VALUE"""),40417.666666666664)</f>
        <v>40417.66667</v>
      </c>
      <c r="B37" s="22">
        <f>IFERROR(__xludf.DUMMYFUNCTION("""COMPUTED_VALUE"""),1064.59)</f>
        <v>1064.59</v>
      </c>
      <c r="C37" s="32">
        <f>IFERROR(__xludf.DUMMYFUNCTION("""COMPUTED_VALUE"""),40418.99861111111)</f>
        <v>40418.99861</v>
      </c>
      <c r="D37" s="22">
        <f>IFERROR(__xludf.DUMMYFUNCTION("""COMPUTED_VALUE"""),1.2764)</f>
        <v>1.2764</v>
      </c>
      <c r="E37" s="32">
        <f>IFERROR(__xludf.DUMMYFUNCTION("""COMPUTED_VALUE"""),40417.75)</f>
        <v>40417.75</v>
      </c>
      <c r="F37" s="22">
        <f>IFERROR(__xludf.DUMMYFUNCTION("""COMPUTED_VALUE"""),2630.35)</f>
        <v>2630.35</v>
      </c>
    </row>
    <row r="38" ht="15.75" customHeight="1">
      <c r="A38" s="32">
        <f>IFERROR(__xludf.DUMMYFUNCTION("""COMPUTED_VALUE"""),40424.666666666664)</f>
        <v>40424.66667</v>
      </c>
      <c r="B38" s="22">
        <f>IFERROR(__xludf.DUMMYFUNCTION("""COMPUTED_VALUE"""),1104.51)</f>
        <v>1104.51</v>
      </c>
      <c r="C38" s="32">
        <f>IFERROR(__xludf.DUMMYFUNCTION("""COMPUTED_VALUE"""),40425.99861111111)</f>
        <v>40425.99861</v>
      </c>
      <c r="D38" s="22">
        <f>IFERROR(__xludf.DUMMYFUNCTION("""COMPUTED_VALUE"""),1.2881)</f>
        <v>1.2881</v>
      </c>
      <c r="E38" s="32">
        <f>IFERROR(__xludf.DUMMYFUNCTION("""COMPUTED_VALUE"""),40424.75)</f>
        <v>40424.75</v>
      </c>
      <c r="F38" s="22">
        <f>IFERROR(__xludf.DUMMYFUNCTION("""COMPUTED_VALUE"""),2746.23)</f>
        <v>2746.23</v>
      </c>
    </row>
    <row r="39" ht="15.75" customHeight="1">
      <c r="A39" s="32">
        <f>IFERROR(__xludf.DUMMYFUNCTION("""COMPUTED_VALUE"""),40431.666666666664)</f>
        <v>40431.66667</v>
      </c>
      <c r="B39" s="22">
        <f>IFERROR(__xludf.DUMMYFUNCTION("""COMPUTED_VALUE"""),1109.55)</f>
        <v>1109.55</v>
      </c>
      <c r="C39" s="32">
        <f>IFERROR(__xludf.DUMMYFUNCTION("""COMPUTED_VALUE"""),40432.99861111111)</f>
        <v>40432.99861</v>
      </c>
      <c r="D39" s="22">
        <f>IFERROR(__xludf.DUMMYFUNCTION("""COMPUTED_VALUE"""),1.2727)</f>
        <v>1.2727</v>
      </c>
      <c r="E39" s="32">
        <f>IFERROR(__xludf.DUMMYFUNCTION("""COMPUTED_VALUE"""),40431.75)</f>
        <v>40431.75</v>
      </c>
      <c r="F39" s="22">
        <f>IFERROR(__xludf.DUMMYFUNCTION("""COMPUTED_VALUE"""),2780.4)</f>
        <v>2780.4</v>
      </c>
    </row>
    <row r="40" ht="15.75" customHeight="1">
      <c r="A40" s="32">
        <f>IFERROR(__xludf.DUMMYFUNCTION("""COMPUTED_VALUE"""),40438.666666666664)</f>
        <v>40438.66667</v>
      </c>
      <c r="B40" s="22">
        <f>IFERROR(__xludf.DUMMYFUNCTION("""COMPUTED_VALUE"""),1125.59)</f>
        <v>1125.59</v>
      </c>
      <c r="C40" s="32">
        <f>IFERROR(__xludf.DUMMYFUNCTION("""COMPUTED_VALUE"""),40439.99861111111)</f>
        <v>40439.99861</v>
      </c>
      <c r="D40" s="22">
        <f>IFERROR(__xludf.DUMMYFUNCTION("""COMPUTED_VALUE"""),1.3044)</f>
        <v>1.3044</v>
      </c>
      <c r="E40" s="32">
        <f>IFERROR(__xludf.DUMMYFUNCTION("""COMPUTED_VALUE"""),40438.75)</f>
        <v>40438.75</v>
      </c>
      <c r="F40" s="22">
        <f>IFERROR(__xludf.DUMMYFUNCTION("""COMPUTED_VALUE"""),2757.37)</f>
        <v>2757.37</v>
      </c>
    </row>
    <row r="41" ht="15.75" customHeight="1">
      <c r="A41" s="32">
        <f>IFERROR(__xludf.DUMMYFUNCTION("""COMPUTED_VALUE"""),40445.666666666664)</f>
        <v>40445.66667</v>
      </c>
      <c r="B41" s="22">
        <f>IFERROR(__xludf.DUMMYFUNCTION("""COMPUTED_VALUE"""),1148.67)</f>
        <v>1148.67</v>
      </c>
      <c r="C41" s="32">
        <f>IFERROR(__xludf.DUMMYFUNCTION("""COMPUTED_VALUE"""),40445.99861111111)</f>
        <v>40445.99861</v>
      </c>
      <c r="D41" s="22">
        <f>IFERROR(__xludf.DUMMYFUNCTION("""COMPUTED_VALUE"""),1.3489)</f>
        <v>1.3489</v>
      </c>
      <c r="E41" s="32">
        <f>IFERROR(__xludf.DUMMYFUNCTION("""COMPUTED_VALUE"""),40445.75)</f>
        <v>40445.75</v>
      </c>
      <c r="F41" s="22">
        <f>IFERROR(__xludf.DUMMYFUNCTION("""COMPUTED_VALUE"""),2792.75)</f>
        <v>2792.75</v>
      </c>
    </row>
    <row r="42" ht="15.75" customHeight="1">
      <c r="A42" s="32">
        <f>IFERROR(__xludf.DUMMYFUNCTION("""COMPUTED_VALUE"""),40452.666666666664)</f>
        <v>40452.66667</v>
      </c>
      <c r="B42" s="22">
        <f>IFERROR(__xludf.DUMMYFUNCTION("""COMPUTED_VALUE"""),1146.24)</f>
        <v>1146.24</v>
      </c>
      <c r="C42" s="32">
        <f>IFERROR(__xludf.DUMMYFUNCTION("""COMPUTED_VALUE"""),40453.99861111111)</f>
        <v>40453.99861</v>
      </c>
      <c r="D42" s="22">
        <f>IFERROR(__xludf.DUMMYFUNCTION("""COMPUTED_VALUE"""),1.379)</f>
        <v>1.379</v>
      </c>
      <c r="E42" s="32">
        <f>IFERROR(__xludf.DUMMYFUNCTION("""COMPUTED_VALUE"""),40452.75)</f>
        <v>40452.75</v>
      </c>
      <c r="F42" s="22">
        <f>IFERROR(__xludf.DUMMYFUNCTION("""COMPUTED_VALUE"""),2732.91)</f>
        <v>2732.91</v>
      </c>
    </row>
    <row r="43" ht="15.75" customHeight="1">
      <c r="A43" s="32">
        <f>IFERROR(__xludf.DUMMYFUNCTION("""COMPUTED_VALUE"""),40459.666666666664)</f>
        <v>40459.66667</v>
      </c>
      <c r="B43" s="22">
        <f>IFERROR(__xludf.DUMMYFUNCTION("""COMPUTED_VALUE"""),1165.15)</f>
        <v>1165.15</v>
      </c>
      <c r="C43" s="32">
        <f>IFERROR(__xludf.DUMMYFUNCTION("""COMPUTED_VALUE"""),40460.99861111111)</f>
        <v>40460.99861</v>
      </c>
      <c r="D43" s="22">
        <f>IFERROR(__xludf.DUMMYFUNCTION("""COMPUTED_VALUE"""),1.3921)</f>
        <v>1.3921</v>
      </c>
      <c r="E43" s="32">
        <f>IFERROR(__xludf.DUMMYFUNCTION("""COMPUTED_VALUE"""),40459.75)</f>
        <v>40459.75</v>
      </c>
      <c r="F43" s="22">
        <f>IFERROR(__xludf.DUMMYFUNCTION("""COMPUTED_VALUE"""),2785.43)</f>
        <v>2785.43</v>
      </c>
    </row>
    <row r="44" ht="15.75" customHeight="1">
      <c r="A44" s="32">
        <f>IFERROR(__xludf.DUMMYFUNCTION("""COMPUTED_VALUE"""),40466.666666666664)</f>
        <v>40466.66667</v>
      </c>
      <c r="B44" s="22">
        <f>IFERROR(__xludf.DUMMYFUNCTION("""COMPUTED_VALUE"""),1176.19)</f>
        <v>1176.19</v>
      </c>
      <c r="C44" s="32">
        <f>IFERROR(__xludf.DUMMYFUNCTION("""COMPUTED_VALUE"""),40467.99861111111)</f>
        <v>40467.99861</v>
      </c>
      <c r="D44" s="22">
        <f>IFERROR(__xludf.DUMMYFUNCTION("""COMPUTED_VALUE"""),1.3994)</f>
        <v>1.3994</v>
      </c>
      <c r="E44" s="32">
        <f>IFERROR(__xludf.DUMMYFUNCTION("""COMPUTED_VALUE"""),40466.75)</f>
        <v>40466.75</v>
      </c>
      <c r="F44" s="22">
        <f>IFERROR(__xludf.DUMMYFUNCTION("""COMPUTED_VALUE"""),2841.65)</f>
        <v>2841.65</v>
      </c>
    </row>
    <row r="45" ht="15.75" customHeight="1">
      <c r="A45" s="32">
        <f>IFERROR(__xludf.DUMMYFUNCTION("""COMPUTED_VALUE"""),40473.666666666664)</f>
        <v>40473.66667</v>
      </c>
      <c r="B45" s="22">
        <f>IFERROR(__xludf.DUMMYFUNCTION("""COMPUTED_VALUE"""),1183.08)</f>
        <v>1183.08</v>
      </c>
      <c r="C45" s="32">
        <f>IFERROR(__xludf.DUMMYFUNCTION("""COMPUTED_VALUE"""),40474.99861111111)</f>
        <v>40474.99861</v>
      </c>
      <c r="D45" s="22">
        <f>IFERROR(__xludf.DUMMYFUNCTION("""COMPUTED_VALUE"""),1.3956)</f>
        <v>1.3956</v>
      </c>
      <c r="E45" s="32">
        <f>IFERROR(__xludf.DUMMYFUNCTION("""COMPUTED_VALUE"""),40473.75)</f>
        <v>40473.75</v>
      </c>
      <c r="F45" s="22">
        <f>IFERROR(__xludf.DUMMYFUNCTION("""COMPUTED_VALUE"""),2873.74)</f>
        <v>2873.74</v>
      </c>
    </row>
    <row r="46" ht="15.75" customHeight="1">
      <c r="A46" s="32">
        <f>IFERROR(__xludf.DUMMYFUNCTION("""COMPUTED_VALUE"""),40480.666666666664)</f>
        <v>40480.66667</v>
      </c>
      <c r="B46" s="22">
        <f>IFERROR(__xludf.DUMMYFUNCTION("""COMPUTED_VALUE"""),1183.26)</f>
        <v>1183.26</v>
      </c>
      <c r="C46" s="32">
        <f>IFERROR(__xludf.DUMMYFUNCTION("""COMPUTED_VALUE"""),40481.99861111111)</f>
        <v>40481.99861</v>
      </c>
      <c r="D46" s="22">
        <f>IFERROR(__xludf.DUMMYFUNCTION("""COMPUTED_VALUE"""),1.3946)</f>
        <v>1.3946</v>
      </c>
      <c r="E46" s="32">
        <f>IFERROR(__xludf.DUMMYFUNCTION("""COMPUTED_VALUE"""),40480.75)</f>
        <v>40480.75</v>
      </c>
      <c r="F46" s="22">
        <f>IFERROR(__xludf.DUMMYFUNCTION("""COMPUTED_VALUE"""),2844.99)</f>
        <v>2844.99</v>
      </c>
    </row>
    <row r="47" ht="15.75" customHeight="1">
      <c r="A47" s="32">
        <f>IFERROR(__xludf.DUMMYFUNCTION("""COMPUTED_VALUE"""),40487.666666666664)</f>
        <v>40487.66667</v>
      </c>
      <c r="B47" s="22">
        <f>IFERROR(__xludf.DUMMYFUNCTION("""COMPUTED_VALUE"""),1225.85)</f>
        <v>1225.85</v>
      </c>
      <c r="C47" s="32">
        <f>IFERROR(__xludf.DUMMYFUNCTION("""COMPUTED_VALUE"""),40488.99861111111)</f>
        <v>40488.99861</v>
      </c>
      <c r="D47" s="22">
        <f>IFERROR(__xludf.DUMMYFUNCTION("""COMPUTED_VALUE"""),1.40307)</f>
        <v>1.40307</v>
      </c>
      <c r="E47" s="32">
        <f>IFERROR(__xludf.DUMMYFUNCTION("""COMPUTED_VALUE"""),40487.75)</f>
        <v>40487.75</v>
      </c>
      <c r="F47" s="22">
        <f>IFERROR(__xludf.DUMMYFUNCTION("""COMPUTED_VALUE"""),2875.94)</f>
        <v>2875.94</v>
      </c>
    </row>
    <row r="48" ht="15.75" customHeight="1">
      <c r="A48" s="32">
        <f>IFERROR(__xludf.DUMMYFUNCTION("""COMPUTED_VALUE"""),40494.666666666664)</f>
        <v>40494.66667</v>
      </c>
      <c r="B48" s="22">
        <f>IFERROR(__xludf.DUMMYFUNCTION("""COMPUTED_VALUE"""),1199.21)</f>
        <v>1199.21</v>
      </c>
      <c r="C48" s="32">
        <f>IFERROR(__xludf.DUMMYFUNCTION("""COMPUTED_VALUE"""),40495.99861111111)</f>
        <v>40495.99861</v>
      </c>
      <c r="D48" s="22">
        <f>IFERROR(__xludf.DUMMYFUNCTION("""COMPUTED_VALUE"""),1.3687)</f>
        <v>1.3687</v>
      </c>
      <c r="E48" s="32">
        <f>IFERROR(__xludf.DUMMYFUNCTION("""COMPUTED_VALUE"""),40494.75)</f>
        <v>40494.75</v>
      </c>
      <c r="F48" s="22">
        <f>IFERROR(__xludf.DUMMYFUNCTION("""COMPUTED_VALUE"""),2822.43)</f>
        <v>2822.43</v>
      </c>
    </row>
    <row r="49" ht="15.75" customHeight="1">
      <c r="A49" s="32">
        <f>IFERROR(__xludf.DUMMYFUNCTION("""COMPUTED_VALUE"""),40501.666666666664)</f>
        <v>40501.66667</v>
      </c>
      <c r="B49" s="22">
        <f>IFERROR(__xludf.DUMMYFUNCTION("""COMPUTED_VALUE"""),1199.73)</f>
        <v>1199.73</v>
      </c>
      <c r="C49" s="32">
        <f>IFERROR(__xludf.DUMMYFUNCTION("""COMPUTED_VALUE"""),40502.99861111111)</f>
        <v>40502.99861</v>
      </c>
      <c r="D49" s="22">
        <f>IFERROR(__xludf.DUMMYFUNCTION("""COMPUTED_VALUE"""),1.36867)</f>
        <v>1.36867</v>
      </c>
      <c r="E49" s="32">
        <f>IFERROR(__xludf.DUMMYFUNCTION("""COMPUTED_VALUE"""),40501.75)</f>
        <v>40501.75</v>
      </c>
      <c r="F49" s="22">
        <f>IFERROR(__xludf.DUMMYFUNCTION("""COMPUTED_VALUE"""),2845.75)</f>
        <v>2845.75</v>
      </c>
    </row>
    <row r="50" ht="15.75" customHeight="1">
      <c r="A50" s="32">
        <f>IFERROR(__xludf.DUMMYFUNCTION("""COMPUTED_VALUE"""),40508.666666666664)</f>
        <v>40508.66667</v>
      </c>
      <c r="B50" s="22">
        <f>IFERROR(__xludf.DUMMYFUNCTION("""COMPUTED_VALUE"""),1189.4)</f>
        <v>1189.4</v>
      </c>
      <c r="C50" s="32">
        <f>IFERROR(__xludf.DUMMYFUNCTION("""COMPUTED_VALUE"""),40509.99861111111)</f>
        <v>40509.99861</v>
      </c>
      <c r="D50" s="22">
        <f>IFERROR(__xludf.DUMMYFUNCTION("""COMPUTED_VALUE"""),1.3244)</f>
        <v>1.3244</v>
      </c>
      <c r="E50" s="32">
        <f>IFERROR(__xludf.DUMMYFUNCTION("""COMPUTED_VALUE"""),40508.75)</f>
        <v>40508.75</v>
      </c>
      <c r="F50" s="22">
        <f>IFERROR(__xludf.DUMMYFUNCTION("""COMPUTED_VALUE"""),2736.96)</f>
        <v>2736.96</v>
      </c>
    </row>
    <row r="51" ht="15.75" customHeight="1">
      <c r="A51" s="32">
        <f>IFERROR(__xludf.DUMMYFUNCTION("""COMPUTED_VALUE"""),40515.666666666664)</f>
        <v>40515.66667</v>
      </c>
      <c r="B51" s="22">
        <f>IFERROR(__xludf.DUMMYFUNCTION("""COMPUTED_VALUE"""),1224.71)</f>
        <v>1224.71</v>
      </c>
      <c r="C51" s="32">
        <f>IFERROR(__xludf.DUMMYFUNCTION("""COMPUTED_VALUE"""),40516.99861111111)</f>
        <v>40516.99861</v>
      </c>
      <c r="D51" s="22">
        <f>IFERROR(__xludf.DUMMYFUNCTION("""COMPUTED_VALUE"""),1.3364)</f>
        <v>1.3364</v>
      </c>
      <c r="E51" s="32">
        <f>IFERROR(__xludf.DUMMYFUNCTION("""COMPUTED_VALUE"""),40515.75)</f>
        <v>40515.75</v>
      </c>
      <c r="F51" s="22">
        <f>IFERROR(__xludf.DUMMYFUNCTION("""COMPUTED_VALUE"""),2782.39)</f>
        <v>2782.39</v>
      </c>
    </row>
    <row r="52" ht="15.75" customHeight="1">
      <c r="A52" s="32">
        <f>IFERROR(__xludf.DUMMYFUNCTION("""COMPUTED_VALUE"""),40522.666666666664)</f>
        <v>40522.66667</v>
      </c>
      <c r="B52" s="22">
        <f>IFERROR(__xludf.DUMMYFUNCTION("""COMPUTED_VALUE"""),1240.4)</f>
        <v>1240.4</v>
      </c>
      <c r="C52" s="32">
        <f>IFERROR(__xludf.DUMMYFUNCTION("""COMPUTED_VALUE"""),40523.99861111111)</f>
        <v>40523.99861</v>
      </c>
      <c r="D52" s="22">
        <f>IFERROR(__xludf.DUMMYFUNCTION("""COMPUTED_VALUE"""),1.3233)</f>
        <v>1.3233</v>
      </c>
      <c r="E52" s="32">
        <f>IFERROR(__xludf.DUMMYFUNCTION("""COMPUTED_VALUE"""),40522.75)</f>
        <v>40522.75</v>
      </c>
      <c r="F52" s="22">
        <f>IFERROR(__xludf.DUMMYFUNCTION("""COMPUTED_VALUE"""),2839.53)</f>
        <v>2839.53</v>
      </c>
    </row>
    <row r="53" ht="15.75" customHeight="1">
      <c r="A53" s="32">
        <f>IFERROR(__xludf.DUMMYFUNCTION("""COMPUTED_VALUE"""),40529.666666666664)</f>
        <v>40529.66667</v>
      </c>
      <c r="B53" s="22">
        <f>IFERROR(__xludf.DUMMYFUNCTION("""COMPUTED_VALUE"""),1243.91)</f>
        <v>1243.91</v>
      </c>
      <c r="C53" s="32">
        <f>IFERROR(__xludf.DUMMYFUNCTION("""COMPUTED_VALUE"""),40530.99861111111)</f>
        <v>40530.99861</v>
      </c>
      <c r="D53" s="22">
        <f>IFERROR(__xludf.DUMMYFUNCTION("""COMPUTED_VALUE"""),1.3187)</f>
        <v>1.3187</v>
      </c>
      <c r="E53" s="32">
        <f>IFERROR(__xludf.DUMMYFUNCTION("""COMPUTED_VALUE"""),40529.75)</f>
        <v>40529.75</v>
      </c>
      <c r="F53" s="22">
        <f>IFERROR(__xludf.DUMMYFUNCTION("""COMPUTED_VALUE"""),2821.77)</f>
        <v>2821.77</v>
      </c>
    </row>
    <row r="54" ht="15.75" customHeight="1">
      <c r="A54" s="32">
        <f>IFERROR(__xludf.DUMMYFUNCTION("""COMPUTED_VALUE"""),40535.666666666664)</f>
        <v>40535.66667</v>
      </c>
      <c r="B54" s="22">
        <f>IFERROR(__xludf.DUMMYFUNCTION("""COMPUTED_VALUE"""),1256.77)</f>
        <v>1256.77</v>
      </c>
      <c r="C54" s="32">
        <f>IFERROR(__xludf.DUMMYFUNCTION("""COMPUTED_VALUE"""),40537.99861111111)</f>
        <v>40537.99861</v>
      </c>
      <c r="D54" s="22">
        <f>IFERROR(__xludf.DUMMYFUNCTION("""COMPUTED_VALUE"""),1.312)</f>
        <v>1.312</v>
      </c>
      <c r="E54" s="32">
        <f>IFERROR(__xludf.DUMMYFUNCTION("""COMPUTED_VALUE"""),40536.75)</f>
        <v>40536.75</v>
      </c>
      <c r="F54" s="22">
        <f>IFERROR(__xludf.DUMMYFUNCTION("""COMPUTED_VALUE"""),2861.94)</f>
        <v>2861.94</v>
      </c>
    </row>
    <row r="55" ht="15.75" customHeight="1">
      <c r="A55" s="32">
        <f>IFERROR(__xludf.DUMMYFUNCTION("""COMPUTED_VALUE"""),40543.666666666664)</f>
        <v>40543.66667</v>
      </c>
      <c r="B55" s="22">
        <f>IFERROR(__xludf.DUMMYFUNCTION("""COMPUTED_VALUE"""),1257.64)</f>
        <v>1257.64</v>
      </c>
      <c r="C55" s="32">
        <f>IFERROR(__xludf.DUMMYFUNCTION("""COMPUTED_VALUE"""),40544.99861111111)</f>
        <v>40544.99861</v>
      </c>
      <c r="D55" s="22">
        <f>IFERROR(__xludf.DUMMYFUNCTION("""COMPUTED_VALUE"""),1.3386)</f>
        <v>1.3386</v>
      </c>
      <c r="E55" s="32">
        <f>IFERROR(__xludf.DUMMYFUNCTION("""COMPUTED_VALUE"""),40543.75)</f>
        <v>40543.75</v>
      </c>
      <c r="F55" s="22">
        <f>IFERROR(__xludf.DUMMYFUNCTION("""COMPUTED_VALUE"""),2792.82)</f>
        <v>2792.82</v>
      </c>
    </row>
    <row r="56" ht="15.75" customHeight="1">
      <c r="A56" s="32">
        <f>IFERROR(__xludf.DUMMYFUNCTION("""COMPUTED_VALUE"""),40550.666666666664)</f>
        <v>40550.66667</v>
      </c>
      <c r="B56" s="22">
        <f>IFERROR(__xludf.DUMMYFUNCTION("""COMPUTED_VALUE"""),1271.5)</f>
        <v>1271.5</v>
      </c>
      <c r="C56" s="32">
        <f>IFERROR(__xludf.DUMMYFUNCTION("""COMPUTED_VALUE"""),40551.99861111111)</f>
        <v>40551.99861</v>
      </c>
      <c r="D56" s="22">
        <f>IFERROR(__xludf.DUMMYFUNCTION("""COMPUTED_VALUE"""),1.2913)</f>
        <v>1.2913</v>
      </c>
      <c r="E56" s="32">
        <f>IFERROR(__xludf.DUMMYFUNCTION("""COMPUTED_VALUE"""),40550.75)</f>
        <v>40550.75</v>
      </c>
      <c r="F56" s="22">
        <f>IFERROR(__xludf.DUMMYFUNCTION("""COMPUTED_VALUE"""),2808.25)</f>
        <v>2808.25</v>
      </c>
    </row>
    <row r="57" ht="15.75" customHeight="1">
      <c r="A57" s="32">
        <f>IFERROR(__xludf.DUMMYFUNCTION("""COMPUTED_VALUE"""),40557.666666666664)</f>
        <v>40557.66667</v>
      </c>
      <c r="B57" s="22">
        <f>IFERROR(__xludf.DUMMYFUNCTION("""COMPUTED_VALUE"""),1293.24)</f>
        <v>1293.24</v>
      </c>
      <c r="C57" s="32">
        <f>IFERROR(__xludf.DUMMYFUNCTION("""COMPUTED_VALUE"""),40558.99861111111)</f>
        <v>40558.99861</v>
      </c>
      <c r="D57" s="22">
        <f>IFERROR(__xludf.DUMMYFUNCTION("""COMPUTED_VALUE"""),1.3324)</f>
        <v>1.3324</v>
      </c>
      <c r="E57" s="32">
        <f>IFERROR(__xludf.DUMMYFUNCTION("""COMPUTED_VALUE"""),40557.75)</f>
        <v>40557.75</v>
      </c>
      <c r="F57" s="22">
        <f>IFERROR(__xludf.DUMMYFUNCTION("""COMPUTED_VALUE"""),2920.4)</f>
        <v>2920.4</v>
      </c>
    </row>
    <row r="58" ht="15.75" customHeight="1">
      <c r="A58" s="32">
        <f>IFERROR(__xludf.DUMMYFUNCTION("""COMPUTED_VALUE"""),40564.666666666664)</f>
        <v>40564.66667</v>
      </c>
      <c r="B58" s="22">
        <f>IFERROR(__xludf.DUMMYFUNCTION("""COMPUTED_VALUE"""),1283.35)</f>
        <v>1283.35</v>
      </c>
      <c r="C58" s="32">
        <f>IFERROR(__xludf.DUMMYFUNCTION("""COMPUTED_VALUE"""),40565.99861111111)</f>
        <v>40565.99861</v>
      </c>
      <c r="D58" s="22">
        <f>IFERROR(__xludf.DUMMYFUNCTION("""COMPUTED_VALUE"""),1.3577)</f>
        <v>1.3577</v>
      </c>
      <c r="E58" s="32">
        <f>IFERROR(__xludf.DUMMYFUNCTION("""COMPUTED_VALUE"""),40564.75)</f>
        <v>40564.75</v>
      </c>
      <c r="F58" s="22">
        <f>IFERROR(__xludf.DUMMYFUNCTION("""COMPUTED_VALUE"""),2970.56)</f>
        <v>2970.56</v>
      </c>
    </row>
    <row r="59" ht="15.75" customHeight="1">
      <c r="A59" s="32">
        <f>IFERROR(__xludf.DUMMYFUNCTION("""COMPUTED_VALUE"""),40571.666666666664)</f>
        <v>40571.66667</v>
      </c>
      <c r="B59" s="22">
        <f>IFERROR(__xludf.DUMMYFUNCTION("""COMPUTED_VALUE"""),1276.34)</f>
        <v>1276.34</v>
      </c>
      <c r="C59" s="32">
        <f>IFERROR(__xludf.DUMMYFUNCTION("""COMPUTED_VALUE"""),40572.99861111111)</f>
        <v>40572.99861</v>
      </c>
      <c r="D59" s="22">
        <f>IFERROR(__xludf.DUMMYFUNCTION("""COMPUTED_VALUE"""),1.3604)</f>
        <v>1.3604</v>
      </c>
      <c r="E59" s="32">
        <f>IFERROR(__xludf.DUMMYFUNCTION("""COMPUTED_VALUE"""),40571.75)</f>
        <v>40571.75</v>
      </c>
      <c r="F59" s="22">
        <f>IFERROR(__xludf.DUMMYFUNCTION("""COMPUTED_VALUE"""),2954.13)</f>
        <v>2954.13</v>
      </c>
    </row>
    <row r="60" ht="15.75" customHeight="1">
      <c r="A60" s="32">
        <f>IFERROR(__xludf.DUMMYFUNCTION("""COMPUTED_VALUE"""),40578.666666666664)</f>
        <v>40578.66667</v>
      </c>
      <c r="B60" s="22">
        <f>IFERROR(__xludf.DUMMYFUNCTION("""COMPUTED_VALUE"""),1310.87)</f>
        <v>1310.87</v>
      </c>
      <c r="C60" s="32">
        <f>IFERROR(__xludf.DUMMYFUNCTION("""COMPUTED_VALUE"""),40579.99861111111)</f>
        <v>40579.99861</v>
      </c>
      <c r="D60" s="22">
        <f>IFERROR(__xludf.DUMMYFUNCTION("""COMPUTED_VALUE"""),1.358)</f>
        <v>1.358</v>
      </c>
      <c r="E60" s="32">
        <f>IFERROR(__xludf.DUMMYFUNCTION("""COMPUTED_VALUE"""),40578.75)</f>
        <v>40578.75</v>
      </c>
      <c r="F60" s="22">
        <f>IFERROR(__xludf.DUMMYFUNCTION("""COMPUTED_VALUE"""),3003.19)</f>
        <v>3003.19</v>
      </c>
    </row>
    <row r="61" ht="15.75" customHeight="1">
      <c r="A61" s="32">
        <f>IFERROR(__xludf.DUMMYFUNCTION("""COMPUTED_VALUE"""),40585.666666666664)</f>
        <v>40585.66667</v>
      </c>
      <c r="B61" s="22">
        <f>IFERROR(__xludf.DUMMYFUNCTION("""COMPUTED_VALUE"""),1329.15)</f>
        <v>1329.15</v>
      </c>
      <c r="C61" s="32">
        <f>IFERROR(__xludf.DUMMYFUNCTION("""COMPUTED_VALUE"""),40586.99861111111)</f>
        <v>40586.99861</v>
      </c>
      <c r="D61" s="22">
        <f>IFERROR(__xludf.DUMMYFUNCTION("""COMPUTED_VALUE"""),1.3546)</f>
        <v>1.3546</v>
      </c>
      <c r="E61" s="32">
        <f>IFERROR(__xludf.DUMMYFUNCTION("""COMPUTED_VALUE"""),40585.75)</f>
        <v>40585.75</v>
      </c>
      <c r="F61" s="22">
        <f>IFERROR(__xludf.DUMMYFUNCTION("""COMPUTED_VALUE"""),3024.37)</f>
        <v>3024.37</v>
      </c>
    </row>
    <row r="62" ht="15.75" customHeight="1">
      <c r="A62" s="32">
        <f>IFERROR(__xludf.DUMMYFUNCTION("""COMPUTED_VALUE"""),40592.666666666664)</f>
        <v>40592.66667</v>
      </c>
      <c r="B62" s="22">
        <f>IFERROR(__xludf.DUMMYFUNCTION("""COMPUTED_VALUE"""),1343.01)</f>
        <v>1343.01</v>
      </c>
      <c r="C62" s="32">
        <f>IFERROR(__xludf.DUMMYFUNCTION("""COMPUTED_VALUE"""),40593.99861111111)</f>
        <v>40593.99861</v>
      </c>
      <c r="D62" s="22">
        <f>IFERROR(__xludf.DUMMYFUNCTION("""COMPUTED_VALUE"""),1.367)</f>
        <v>1.367</v>
      </c>
      <c r="E62" s="32">
        <f>IFERROR(__xludf.DUMMYFUNCTION("""COMPUTED_VALUE"""),40592.75)</f>
        <v>40592.75</v>
      </c>
      <c r="F62" s="22">
        <f>IFERROR(__xludf.DUMMYFUNCTION("""COMPUTED_VALUE"""),3068.0)</f>
        <v>3068</v>
      </c>
    </row>
    <row r="63" ht="15.75" customHeight="1">
      <c r="A63" s="32">
        <f>IFERROR(__xludf.DUMMYFUNCTION("""COMPUTED_VALUE"""),40599.666666666664)</f>
        <v>40599.66667</v>
      </c>
      <c r="B63" s="22">
        <f>IFERROR(__xludf.DUMMYFUNCTION("""COMPUTED_VALUE"""),1319.88)</f>
        <v>1319.88</v>
      </c>
      <c r="C63" s="32">
        <f>IFERROR(__xludf.DUMMYFUNCTION("""COMPUTED_VALUE"""),40600.99861111111)</f>
        <v>40600.99861</v>
      </c>
      <c r="D63" s="22">
        <f>IFERROR(__xludf.DUMMYFUNCTION("""COMPUTED_VALUE"""),1.3747)</f>
        <v>1.3747</v>
      </c>
      <c r="E63" s="32">
        <f>IFERROR(__xludf.DUMMYFUNCTION("""COMPUTED_VALUE"""),40599.75)</f>
        <v>40599.75</v>
      </c>
      <c r="F63" s="22">
        <f>IFERROR(__xludf.DUMMYFUNCTION("""COMPUTED_VALUE"""),2985.02)</f>
        <v>2985.02</v>
      </c>
    </row>
    <row r="64" ht="15.75" customHeight="1">
      <c r="A64" s="32">
        <f>IFERROR(__xludf.DUMMYFUNCTION("""COMPUTED_VALUE"""),40606.666666666664)</f>
        <v>40606.66667</v>
      </c>
      <c r="B64" s="22">
        <f>IFERROR(__xludf.DUMMYFUNCTION("""COMPUTED_VALUE"""),1321.15)</f>
        <v>1321.15</v>
      </c>
      <c r="C64" s="32">
        <f>IFERROR(__xludf.DUMMYFUNCTION("""COMPUTED_VALUE"""),40607.99861111111)</f>
        <v>40607.99861</v>
      </c>
      <c r="D64" s="22">
        <f>IFERROR(__xludf.DUMMYFUNCTION("""COMPUTED_VALUE"""),1.3984)</f>
        <v>1.3984</v>
      </c>
      <c r="E64" s="32">
        <f>IFERROR(__xludf.DUMMYFUNCTION("""COMPUTED_VALUE"""),40606.75)</f>
        <v>40606.75</v>
      </c>
      <c r="F64" s="22">
        <f>IFERROR(__xludf.DUMMYFUNCTION("""COMPUTED_VALUE"""),2949.18)</f>
        <v>2949.18</v>
      </c>
    </row>
    <row r="65" ht="15.75" customHeight="1">
      <c r="A65" s="32">
        <f>IFERROR(__xludf.DUMMYFUNCTION("""COMPUTED_VALUE"""),40613.666666666664)</f>
        <v>40613.66667</v>
      </c>
      <c r="B65" s="22">
        <f>IFERROR(__xludf.DUMMYFUNCTION("""COMPUTED_VALUE"""),1304.28)</f>
        <v>1304.28</v>
      </c>
      <c r="C65" s="32">
        <f>IFERROR(__xludf.DUMMYFUNCTION("""COMPUTED_VALUE"""),40614.99861111111)</f>
        <v>40614.99861</v>
      </c>
      <c r="D65" s="22">
        <f>IFERROR(__xludf.DUMMYFUNCTION("""COMPUTED_VALUE"""),1.3861)</f>
        <v>1.3861</v>
      </c>
      <c r="E65" s="32">
        <f>IFERROR(__xludf.DUMMYFUNCTION("""COMPUTED_VALUE"""),40613.75)</f>
        <v>40613.75</v>
      </c>
      <c r="F65" s="22">
        <f>IFERROR(__xludf.DUMMYFUNCTION("""COMPUTED_VALUE"""),2883.84)</f>
        <v>2883.84</v>
      </c>
    </row>
    <row r="66" ht="15.75" customHeight="1">
      <c r="A66" s="32">
        <f>IFERROR(__xludf.DUMMYFUNCTION("""COMPUTED_VALUE"""),40620.666666666664)</f>
        <v>40620.66667</v>
      </c>
      <c r="B66" s="22">
        <f>IFERROR(__xludf.DUMMYFUNCTION("""COMPUTED_VALUE"""),1279.2)</f>
        <v>1279.2</v>
      </c>
      <c r="C66" s="32">
        <f>IFERROR(__xludf.DUMMYFUNCTION("""COMPUTED_VALUE"""),40621.99861111111)</f>
        <v>40621.99861</v>
      </c>
      <c r="D66" s="22">
        <f>IFERROR(__xludf.DUMMYFUNCTION("""COMPUTED_VALUE"""),1.41814)</f>
        <v>1.41814</v>
      </c>
      <c r="E66" s="32">
        <f>IFERROR(__xludf.DUMMYFUNCTION("""COMPUTED_VALUE"""),40620.75)</f>
        <v>40620.75</v>
      </c>
      <c r="F66" s="22">
        <f>IFERROR(__xludf.DUMMYFUNCTION("""COMPUTED_VALUE"""),2792.61)</f>
        <v>2792.61</v>
      </c>
    </row>
    <row r="67" ht="15.75" customHeight="1">
      <c r="A67" s="32">
        <f>IFERROR(__xludf.DUMMYFUNCTION("""COMPUTED_VALUE"""),40627.666666666664)</f>
        <v>40627.66667</v>
      </c>
      <c r="B67" s="22">
        <f>IFERROR(__xludf.DUMMYFUNCTION("""COMPUTED_VALUE"""),1313.8)</f>
        <v>1313.8</v>
      </c>
      <c r="C67" s="32">
        <f>IFERROR(__xludf.DUMMYFUNCTION("""COMPUTED_VALUE"""),40628.99861111111)</f>
        <v>40628.99861</v>
      </c>
      <c r="D67" s="22">
        <f>IFERROR(__xludf.DUMMYFUNCTION("""COMPUTED_VALUE"""),1.4087)</f>
        <v>1.4087</v>
      </c>
      <c r="E67" s="32">
        <f>IFERROR(__xludf.DUMMYFUNCTION("""COMPUTED_VALUE"""),40627.75)</f>
        <v>40627.75</v>
      </c>
      <c r="F67" s="22">
        <f>IFERROR(__xludf.DUMMYFUNCTION("""COMPUTED_VALUE"""),2911.33)</f>
        <v>2911.33</v>
      </c>
    </row>
    <row r="68" ht="15.75" customHeight="1">
      <c r="A68" s="32">
        <f>IFERROR(__xludf.DUMMYFUNCTION("""COMPUTED_VALUE"""),40634.666666666664)</f>
        <v>40634.66667</v>
      </c>
      <c r="B68" s="22">
        <f>IFERROR(__xludf.DUMMYFUNCTION("""COMPUTED_VALUE"""),1332.41)</f>
        <v>1332.41</v>
      </c>
      <c r="C68" s="32">
        <f>IFERROR(__xludf.DUMMYFUNCTION("""COMPUTED_VALUE"""),40635.99861111111)</f>
        <v>40635.99861</v>
      </c>
      <c r="D68" s="22">
        <f>IFERROR(__xludf.DUMMYFUNCTION("""COMPUTED_VALUE"""),1.4238)</f>
        <v>1.4238</v>
      </c>
      <c r="E68" s="32">
        <f>IFERROR(__xludf.DUMMYFUNCTION("""COMPUTED_VALUE"""),40634.75)</f>
        <v>40634.75</v>
      </c>
      <c r="F68" s="22">
        <f>IFERROR(__xludf.DUMMYFUNCTION("""COMPUTED_VALUE"""),2962.92)</f>
        <v>2962.92</v>
      </c>
    </row>
    <row r="69" ht="15.75" customHeight="1">
      <c r="A69" s="32">
        <f>IFERROR(__xludf.DUMMYFUNCTION("""COMPUTED_VALUE"""),40641.666666666664)</f>
        <v>40641.66667</v>
      </c>
      <c r="B69" s="22">
        <f>IFERROR(__xludf.DUMMYFUNCTION("""COMPUTED_VALUE"""),1328.17)</f>
        <v>1328.17</v>
      </c>
      <c r="C69" s="32">
        <f>IFERROR(__xludf.DUMMYFUNCTION("""COMPUTED_VALUE"""),40642.99861111111)</f>
        <v>40642.99861</v>
      </c>
      <c r="D69" s="22">
        <f>IFERROR(__xludf.DUMMYFUNCTION("""COMPUTED_VALUE"""),1.4434)</f>
        <v>1.4434</v>
      </c>
      <c r="E69" s="32">
        <f>IFERROR(__xludf.DUMMYFUNCTION("""COMPUTED_VALUE"""),40641.75)</f>
        <v>40641.75</v>
      </c>
      <c r="F69" s="22">
        <f>IFERROR(__xludf.DUMMYFUNCTION("""COMPUTED_VALUE"""),2984.66)</f>
        <v>2984.66</v>
      </c>
    </row>
    <row r="70" ht="15.75" customHeight="1">
      <c r="A70" s="32">
        <f>IFERROR(__xludf.DUMMYFUNCTION("""COMPUTED_VALUE"""),40648.666666666664)</f>
        <v>40648.66667</v>
      </c>
      <c r="B70" s="22">
        <f>IFERROR(__xludf.DUMMYFUNCTION("""COMPUTED_VALUE"""),1319.68)</f>
        <v>1319.68</v>
      </c>
      <c r="C70" s="32">
        <f>IFERROR(__xludf.DUMMYFUNCTION("""COMPUTED_VALUE"""),40649.99861111111)</f>
        <v>40649.99861</v>
      </c>
      <c r="D70" s="22">
        <f>IFERROR(__xludf.DUMMYFUNCTION("""COMPUTED_VALUE"""),1.4428)</f>
        <v>1.4428</v>
      </c>
      <c r="E70" s="32">
        <f>IFERROR(__xludf.DUMMYFUNCTION("""COMPUTED_VALUE"""),40648.75)</f>
        <v>40648.75</v>
      </c>
      <c r="F70" s="22">
        <f>IFERROR(__xludf.DUMMYFUNCTION("""COMPUTED_VALUE"""),2919.05)</f>
        <v>2919.05</v>
      </c>
    </row>
    <row r="71" ht="15.75" customHeight="1">
      <c r="A71" s="32">
        <f>IFERROR(__xludf.DUMMYFUNCTION("""COMPUTED_VALUE"""),40654.666666666664)</f>
        <v>40654.66667</v>
      </c>
      <c r="B71" s="22">
        <f>IFERROR(__xludf.DUMMYFUNCTION("""COMPUTED_VALUE"""),1337.38)</f>
        <v>1337.38</v>
      </c>
      <c r="C71" s="32">
        <f>IFERROR(__xludf.DUMMYFUNCTION("""COMPUTED_VALUE"""),40656.99861111111)</f>
        <v>40656.99861</v>
      </c>
      <c r="D71" s="22">
        <f>IFERROR(__xludf.DUMMYFUNCTION("""COMPUTED_VALUE"""),1.456)</f>
        <v>1.456</v>
      </c>
      <c r="E71" s="32">
        <f>IFERROR(__xludf.DUMMYFUNCTION("""COMPUTED_VALUE"""),40654.75)</f>
        <v>40654.75</v>
      </c>
      <c r="F71" s="22">
        <f>IFERROR(__xludf.DUMMYFUNCTION("""COMPUTED_VALUE"""),2936.3)</f>
        <v>2936.3</v>
      </c>
    </row>
    <row r="72" ht="15.75" customHeight="1">
      <c r="A72" s="32">
        <f>IFERROR(__xludf.DUMMYFUNCTION("""COMPUTED_VALUE"""),40662.666666666664)</f>
        <v>40662.66667</v>
      </c>
      <c r="B72" s="22">
        <f>IFERROR(__xludf.DUMMYFUNCTION("""COMPUTED_VALUE"""),1363.61)</f>
        <v>1363.61</v>
      </c>
      <c r="C72" s="32">
        <f>IFERROR(__xludf.DUMMYFUNCTION("""COMPUTED_VALUE"""),40663.99861111111)</f>
        <v>40663.99861</v>
      </c>
      <c r="D72" s="22">
        <f>IFERROR(__xludf.DUMMYFUNCTION("""COMPUTED_VALUE"""),1.4817)</f>
        <v>1.4817</v>
      </c>
      <c r="E72" s="32">
        <f>IFERROR(__xludf.DUMMYFUNCTION("""COMPUTED_VALUE"""),40662.75)</f>
        <v>40662.75</v>
      </c>
      <c r="F72" s="22">
        <f>IFERROR(__xludf.DUMMYFUNCTION("""COMPUTED_VALUE"""),3011.25)</f>
        <v>3011.25</v>
      </c>
    </row>
    <row r="73" ht="15.75" customHeight="1">
      <c r="A73" s="32">
        <f>IFERROR(__xludf.DUMMYFUNCTION("""COMPUTED_VALUE"""),40669.666666666664)</f>
        <v>40669.66667</v>
      </c>
      <c r="B73" s="22">
        <f>IFERROR(__xludf.DUMMYFUNCTION("""COMPUTED_VALUE"""),1340.2)</f>
        <v>1340.2</v>
      </c>
      <c r="C73" s="32">
        <f>IFERROR(__xludf.DUMMYFUNCTION("""COMPUTED_VALUE"""),40670.99861111111)</f>
        <v>40670.99861</v>
      </c>
      <c r="D73" s="22">
        <f>IFERROR(__xludf.DUMMYFUNCTION("""COMPUTED_VALUE"""),1.4492)</f>
        <v>1.4492</v>
      </c>
      <c r="E73" s="32">
        <f>IFERROR(__xludf.DUMMYFUNCTION("""COMPUTED_VALUE"""),40669.75)</f>
        <v>40669.75</v>
      </c>
      <c r="F73" s="22">
        <f>IFERROR(__xludf.DUMMYFUNCTION("""COMPUTED_VALUE"""),2952.9)</f>
        <v>2952.9</v>
      </c>
    </row>
    <row r="74" ht="15.75" customHeight="1">
      <c r="A74" s="32">
        <f>IFERROR(__xludf.DUMMYFUNCTION("""COMPUTED_VALUE"""),40676.666666666664)</f>
        <v>40676.66667</v>
      </c>
      <c r="B74" s="22">
        <f>IFERROR(__xludf.DUMMYFUNCTION("""COMPUTED_VALUE"""),1337.77)</f>
        <v>1337.77</v>
      </c>
      <c r="C74" s="32">
        <f>IFERROR(__xludf.DUMMYFUNCTION("""COMPUTED_VALUE"""),40677.99861111111)</f>
        <v>40677.99861</v>
      </c>
      <c r="D74" s="22">
        <f>IFERROR(__xludf.DUMMYFUNCTION("""COMPUTED_VALUE"""),1.4117)</f>
        <v>1.4117</v>
      </c>
      <c r="E74" s="32">
        <f>IFERROR(__xludf.DUMMYFUNCTION("""COMPUTED_VALUE"""),40676.75)</f>
        <v>40676.75</v>
      </c>
      <c r="F74" s="22">
        <f>IFERROR(__xludf.DUMMYFUNCTION("""COMPUTED_VALUE"""),2894.6)</f>
        <v>2894.6</v>
      </c>
    </row>
    <row r="75" ht="15.75" customHeight="1">
      <c r="A75" s="32">
        <f>IFERROR(__xludf.DUMMYFUNCTION("""COMPUTED_VALUE"""),40683.666666666664)</f>
        <v>40683.66667</v>
      </c>
      <c r="B75" s="22">
        <f>IFERROR(__xludf.DUMMYFUNCTION("""COMPUTED_VALUE"""),1333.27)</f>
        <v>1333.27</v>
      </c>
      <c r="C75" s="32">
        <f>IFERROR(__xludf.DUMMYFUNCTION("""COMPUTED_VALUE"""),40684.99861111111)</f>
        <v>40684.99861</v>
      </c>
      <c r="D75" s="22">
        <f>IFERROR(__xludf.DUMMYFUNCTION("""COMPUTED_VALUE"""),1.417)</f>
        <v>1.417</v>
      </c>
      <c r="E75" s="32">
        <f>IFERROR(__xludf.DUMMYFUNCTION("""COMPUTED_VALUE"""),40683.75)</f>
        <v>40683.75</v>
      </c>
      <c r="F75" s="22">
        <f>IFERROR(__xludf.DUMMYFUNCTION("""COMPUTED_VALUE"""),2853.98)</f>
        <v>2853.98</v>
      </c>
    </row>
    <row r="76" ht="15.75" customHeight="1">
      <c r="A76" s="32">
        <f>IFERROR(__xludf.DUMMYFUNCTION("""COMPUTED_VALUE"""),40690.666666666664)</f>
        <v>40690.66667</v>
      </c>
      <c r="B76" s="22">
        <f>IFERROR(__xludf.DUMMYFUNCTION("""COMPUTED_VALUE"""),1331.1)</f>
        <v>1331.1</v>
      </c>
      <c r="C76" s="32">
        <f>IFERROR(__xludf.DUMMYFUNCTION("""COMPUTED_VALUE"""),40691.99861111111)</f>
        <v>40691.99861</v>
      </c>
      <c r="D76" s="22">
        <f>IFERROR(__xludf.DUMMYFUNCTION("""COMPUTED_VALUE"""),1.4284)</f>
        <v>1.4284</v>
      </c>
      <c r="E76" s="32">
        <f>IFERROR(__xludf.DUMMYFUNCTION("""COMPUTED_VALUE"""),40690.75)</f>
        <v>40690.75</v>
      </c>
      <c r="F76" s="22">
        <f>IFERROR(__xludf.DUMMYFUNCTION("""COMPUTED_VALUE"""),2819.4)</f>
        <v>2819.4</v>
      </c>
    </row>
    <row r="77" ht="15.75" customHeight="1">
      <c r="A77" s="32">
        <f>IFERROR(__xludf.DUMMYFUNCTION("""COMPUTED_VALUE"""),40697.666666666664)</f>
        <v>40697.66667</v>
      </c>
      <c r="B77" s="22">
        <f>IFERROR(__xludf.DUMMYFUNCTION("""COMPUTED_VALUE"""),1300.16)</f>
        <v>1300.16</v>
      </c>
      <c r="C77" s="32">
        <f>IFERROR(__xludf.DUMMYFUNCTION("""COMPUTED_VALUE"""),40698.99861111111)</f>
        <v>40698.99861</v>
      </c>
      <c r="D77" s="22">
        <f>IFERROR(__xludf.DUMMYFUNCTION("""COMPUTED_VALUE"""),1.463)</f>
        <v>1.463</v>
      </c>
      <c r="E77" s="32">
        <f>IFERROR(__xludf.DUMMYFUNCTION("""COMPUTED_VALUE"""),40697.75)</f>
        <v>40697.75</v>
      </c>
      <c r="F77" s="22">
        <f>IFERROR(__xludf.DUMMYFUNCTION("""COMPUTED_VALUE"""),2789.11)</f>
        <v>2789.11</v>
      </c>
    </row>
    <row r="78" ht="15.75" customHeight="1">
      <c r="A78" s="32">
        <f>IFERROR(__xludf.DUMMYFUNCTION("""COMPUTED_VALUE"""),40704.666666666664)</f>
        <v>40704.66667</v>
      </c>
      <c r="B78" s="22">
        <f>IFERROR(__xludf.DUMMYFUNCTION("""COMPUTED_VALUE"""),1270.98)</f>
        <v>1270.98</v>
      </c>
      <c r="C78" s="32">
        <f>IFERROR(__xludf.DUMMYFUNCTION("""COMPUTED_VALUE"""),40705.99861111111)</f>
        <v>40705.99861</v>
      </c>
      <c r="D78" s="22">
        <f>IFERROR(__xludf.DUMMYFUNCTION("""COMPUTED_VALUE"""),1.4363)</f>
        <v>1.4363</v>
      </c>
      <c r="E78" s="32">
        <f>IFERROR(__xludf.DUMMYFUNCTION("""COMPUTED_VALUE"""),40704.75)</f>
        <v>40704.75</v>
      </c>
      <c r="F78" s="22">
        <f>IFERROR(__xludf.DUMMYFUNCTION("""COMPUTED_VALUE"""),2732.54)</f>
        <v>2732.54</v>
      </c>
    </row>
    <row r="79" ht="15.75" customHeight="1">
      <c r="A79" s="32">
        <f>IFERROR(__xludf.DUMMYFUNCTION("""COMPUTED_VALUE"""),40711.666666666664)</f>
        <v>40711.66667</v>
      </c>
      <c r="B79" s="22">
        <f>IFERROR(__xludf.DUMMYFUNCTION("""COMPUTED_VALUE"""),1271.5)</f>
        <v>1271.5</v>
      </c>
      <c r="C79" s="32">
        <f>IFERROR(__xludf.DUMMYFUNCTION("""COMPUTED_VALUE"""),40712.99861111111)</f>
        <v>40712.99861</v>
      </c>
      <c r="D79" s="22">
        <f>IFERROR(__xludf.DUMMYFUNCTION("""COMPUTED_VALUE"""),1.4324)</f>
        <v>1.4324</v>
      </c>
      <c r="E79" s="32">
        <f>IFERROR(__xludf.DUMMYFUNCTION("""COMPUTED_VALUE"""),40711.75)</f>
        <v>40711.75</v>
      </c>
      <c r="F79" s="22">
        <f>IFERROR(__xludf.DUMMYFUNCTION("""COMPUTED_VALUE"""),2770.12)</f>
        <v>2770.12</v>
      </c>
    </row>
    <row r="80" ht="15.75" customHeight="1">
      <c r="A80" s="32">
        <f>IFERROR(__xludf.DUMMYFUNCTION("""COMPUTED_VALUE"""),40718.666666666664)</f>
        <v>40718.66667</v>
      </c>
      <c r="B80" s="22">
        <f>IFERROR(__xludf.DUMMYFUNCTION("""COMPUTED_VALUE"""),1268.45)</f>
        <v>1268.45</v>
      </c>
      <c r="C80" s="32">
        <f>IFERROR(__xludf.DUMMYFUNCTION("""COMPUTED_VALUE"""),40719.99861111111)</f>
        <v>40719.99861</v>
      </c>
      <c r="D80" s="22">
        <f>IFERROR(__xludf.DUMMYFUNCTION("""COMPUTED_VALUE"""),1.4186)</f>
        <v>1.4186</v>
      </c>
      <c r="E80" s="32">
        <f>IFERROR(__xludf.DUMMYFUNCTION("""COMPUTED_VALUE"""),40718.75)</f>
        <v>40718.75</v>
      </c>
      <c r="F80" s="22">
        <f>IFERROR(__xludf.DUMMYFUNCTION("""COMPUTED_VALUE"""),2715.88)</f>
        <v>2715.88</v>
      </c>
    </row>
    <row r="81" ht="15.75" customHeight="1">
      <c r="A81" s="32">
        <f>IFERROR(__xludf.DUMMYFUNCTION("""COMPUTED_VALUE"""),40725.666666666664)</f>
        <v>40725.66667</v>
      </c>
      <c r="B81" s="22">
        <f>IFERROR(__xludf.DUMMYFUNCTION("""COMPUTED_VALUE"""),1339.67)</f>
        <v>1339.67</v>
      </c>
      <c r="C81" s="32">
        <f>IFERROR(__xludf.DUMMYFUNCTION("""COMPUTED_VALUE"""),40726.99861111111)</f>
        <v>40726.99861</v>
      </c>
      <c r="D81" s="22">
        <f>IFERROR(__xludf.DUMMYFUNCTION("""COMPUTED_VALUE"""),1.4505)</f>
        <v>1.4505</v>
      </c>
      <c r="E81" s="32">
        <f>IFERROR(__xludf.DUMMYFUNCTION("""COMPUTED_VALUE"""),40725.75)</f>
        <v>40725.75</v>
      </c>
      <c r="F81" s="22">
        <f>IFERROR(__xludf.DUMMYFUNCTION("""COMPUTED_VALUE"""),2875.67)</f>
        <v>2875.67</v>
      </c>
    </row>
    <row r="82" ht="15.75" customHeight="1">
      <c r="A82" s="32">
        <f>IFERROR(__xludf.DUMMYFUNCTION("""COMPUTED_VALUE"""),40732.666666666664)</f>
        <v>40732.66667</v>
      </c>
      <c r="B82" s="22">
        <f>IFERROR(__xludf.DUMMYFUNCTION("""COMPUTED_VALUE"""),1343.8)</f>
        <v>1343.8</v>
      </c>
      <c r="C82" s="32">
        <f>IFERROR(__xludf.DUMMYFUNCTION("""COMPUTED_VALUE"""),40733.99861111111)</f>
        <v>40733.99861</v>
      </c>
      <c r="D82" s="22">
        <f>IFERROR(__xludf.DUMMYFUNCTION("""COMPUTED_VALUE"""),1.4263)</f>
        <v>1.4263</v>
      </c>
      <c r="E82" s="32">
        <f>IFERROR(__xludf.DUMMYFUNCTION("""COMPUTED_VALUE"""),40732.75)</f>
        <v>40732.75</v>
      </c>
      <c r="F82" s="22">
        <f>IFERROR(__xludf.DUMMYFUNCTION("""COMPUTED_VALUE"""),2790.09)</f>
        <v>2790.09</v>
      </c>
    </row>
    <row r="83" ht="15.75" customHeight="1">
      <c r="A83" s="32">
        <f>IFERROR(__xludf.DUMMYFUNCTION("""COMPUTED_VALUE"""),40739.666666666664)</f>
        <v>40739.66667</v>
      </c>
      <c r="B83" s="22">
        <f>IFERROR(__xludf.DUMMYFUNCTION("""COMPUTED_VALUE"""),1316.14)</f>
        <v>1316.14</v>
      </c>
      <c r="C83" s="32">
        <f>IFERROR(__xludf.DUMMYFUNCTION("""COMPUTED_VALUE"""),40740.99861111111)</f>
        <v>40740.99861</v>
      </c>
      <c r="D83" s="22">
        <f>IFERROR(__xludf.DUMMYFUNCTION("""COMPUTED_VALUE"""),1.4154)</f>
        <v>1.4154</v>
      </c>
      <c r="E83" s="32">
        <f>IFERROR(__xludf.DUMMYFUNCTION("""COMPUTED_VALUE"""),40739.75)</f>
        <v>40739.75</v>
      </c>
      <c r="F83" s="22">
        <f>IFERROR(__xludf.DUMMYFUNCTION("""COMPUTED_VALUE"""),2675.38)</f>
        <v>2675.38</v>
      </c>
    </row>
    <row r="84" ht="15.75" customHeight="1">
      <c r="A84" s="32">
        <f>IFERROR(__xludf.DUMMYFUNCTION("""COMPUTED_VALUE"""),40746.666666666664)</f>
        <v>40746.66667</v>
      </c>
      <c r="B84" s="22">
        <f>IFERROR(__xludf.DUMMYFUNCTION("""COMPUTED_VALUE"""),1345.02)</f>
        <v>1345.02</v>
      </c>
      <c r="C84" s="32">
        <f>IFERROR(__xludf.DUMMYFUNCTION("""COMPUTED_VALUE"""),40747.99861111111)</f>
        <v>40747.99861</v>
      </c>
      <c r="D84" s="22">
        <f>IFERROR(__xludf.DUMMYFUNCTION("""COMPUTED_VALUE"""),1.4363)</f>
        <v>1.4363</v>
      </c>
      <c r="E84" s="32">
        <f>IFERROR(__xludf.DUMMYFUNCTION("""COMPUTED_VALUE"""),40746.75)</f>
        <v>40746.75</v>
      </c>
      <c r="F84" s="22">
        <f>IFERROR(__xludf.DUMMYFUNCTION("""COMPUTED_VALUE"""),2772.6)</f>
        <v>2772.6</v>
      </c>
    </row>
    <row r="85" ht="15.75" customHeight="1">
      <c r="A85" s="32">
        <f>IFERROR(__xludf.DUMMYFUNCTION("""COMPUTED_VALUE"""),40753.666666666664)</f>
        <v>40753.66667</v>
      </c>
      <c r="B85" s="22">
        <f>IFERROR(__xludf.DUMMYFUNCTION("""COMPUTED_VALUE"""),1292.28)</f>
        <v>1292.28</v>
      </c>
      <c r="C85" s="32">
        <f>IFERROR(__xludf.DUMMYFUNCTION("""COMPUTED_VALUE"""),40754.99861111111)</f>
        <v>40754.99861</v>
      </c>
      <c r="D85" s="22">
        <f>IFERROR(__xludf.DUMMYFUNCTION("""COMPUTED_VALUE"""),1.4384)</f>
        <v>1.4384</v>
      </c>
      <c r="E85" s="32">
        <f>IFERROR(__xludf.DUMMYFUNCTION("""COMPUTED_VALUE"""),40753.75)</f>
        <v>40753.75</v>
      </c>
      <c r="F85" s="22">
        <f>IFERROR(__xludf.DUMMYFUNCTION("""COMPUTED_VALUE"""),2670.37)</f>
        <v>2670.37</v>
      </c>
    </row>
    <row r="86" ht="15.75" customHeight="1">
      <c r="A86" s="32">
        <f>IFERROR(__xludf.DUMMYFUNCTION("""COMPUTED_VALUE"""),40760.666666666664)</f>
        <v>40760.66667</v>
      </c>
      <c r="B86" s="22">
        <f>IFERROR(__xludf.DUMMYFUNCTION("""COMPUTED_VALUE"""),1199.38)</f>
        <v>1199.38</v>
      </c>
      <c r="C86" s="32">
        <f>IFERROR(__xludf.DUMMYFUNCTION("""COMPUTED_VALUE"""),40761.99861111111)</f>
        <v>40761.99861</v>
      </c>
      <c r="D86" s="22">
        <f>IFERROR(__xludf.DUMMYFUNCTION("""COMPUTED_VALUE"""),1.4155)</f>
        <v>1.4155</v>
      </c>
      <c r="E86" s="32">
        <f>IFERROR(__xludf.DUMMYFUNCTION("""COMPUTED_VALUE"""),40760.75)</f>
        <v>40760.75</v>
      </c>
      <c r="F86" s="22">
        <f>IFERROR(__xludf.DUMMYFUNCTION("""COMPUTED_VALUE"""),2375.15)</f>
        <v>2375.15</v>
      </c>
    </row>
    <row r="87" ht="15.75" customHeight="1">
      <c r="A87" s="32">
        <f>IFERROR(__xludf.DUMMYFUNCTION("""COMPUTED_VALUE"""),40767.666666666664)</f>
        <v>40767.66667</v>
      </c>
      <c r="B87" s="22">
        <f>IFERROR(__xludf.DUMMYFUNCTION("""COMPUTED_VALUE"""),1178.81)</f>
        <v>1178.81</v>
      </c>
      <c r="C87" s="32">
        <f>IFERROR(__xludf.DUMMYFUNCTION("""COMPUTED_VALUE"""),40767.99861111111)</f>
        <v>40767.99861</v>
      </c>
      <c r="D87" s="22">
        <f>IFERROR(__xludf.DUMMYFUNCTION("""COMPUTED_VALUE"""),1.4249)</f>
        <v>1.4249</v>
      </c>
      <c r="E87" s="32">
        <f>IFERROR(__xludf.DUMMYFUNCTION("""COMPUTED_VALUE"""),40766.75)</f>
        <v>40766.75</v>
      </c>
      <c r="F87" s="22">
        <f>IFERROR(__xludf.DUMMYFUNCTION("""COMPUTED_VALUE"""),2215.45)</f>
        <v>2215.45</v>
      </c>
    </row>
    <row r="88" ht="15.75" customHeight="1">
      <c r="A88" s="32">
        <f>IFERROR(__xludf.DUMMYFUNCTION("""COMPUTED_VALUE"""),40774.666666666664)</f>
        <v>40774.66667</v>
      </c>
      <c r="B88" s="22">
        <f>IFERROR(__xludf.DUMMYFUNCTION("""COMPUTED_VALUE"""),1123.53)</f>
        <v>1123.53</v>
      </c>
      <c r="C88" s="32">
        <f>IFERROR(__xludf.DUMMYFUNCTION("""COMPUTED_VALUE"""),40775.99861111111)</f>
        <v>40775.99861</v>
      </c>
      <c r="D88" s="22">
        <f>IFERROR(__xludf.DUMMYFUNCTION("""COMPUTED_VALUE"""),1.4406)</f>
        <v>1.4406</v>
      </c>
      <c r="E88" s="32">
        <f>IFERROR(__xludf.DUMMYFUNCTION("""COMPUTED_VALUE"""),40774.75)</f>
        <v>40774.75</v>
      </c>
      <c r="F88" s="22">
        <f>IFERROR(__xludf.DUMMYFUNCTION("""COMPUTED_VALUE"""),2159.07)</f>
        <v>2159.07</v>
      </c>
    </row>
    <row r="89" ht="15.75" customHeight="1">
      <c r="A89" s="32">
        <f>IFERROR(__xludf.DUMMYFUNCTION("""COMPUTED_VALUE"""),40781.666666666664)</f>
        <v>40781.66667</v>
      </c>
      <c r="B89" s="22">
        <f>IFERROR(__xludf.DUMMYFUNCTION("""COMPUTED_VALUE"""),1176.8)</f>
        <v>1176.8</v>
      </c>
      <c r="C89" s="32">
        <f>IFERROR(__xludf.DUMMYFUNCTION("""COMPUTED_VALUE"""),40782.99861111111)</f>
        <v>40782.99861</v>
      </c>
      <c r="D89" s="22">
        <f>IFERROR(__xludf.DUMMYFUNCTION("""COMPUTED_VALUE"""),1.4461)</f>
        <v>1.4461</v>
      </c>
      <c r="E89" s="32">
        <f>IFERROR(__xludf.DUMMYFUNCTION("""COMPUTED_VALUE"""),40781.75)</f>
        <v>40781.75</v>
      </c>
      <c r="F89" s="22">
        <f>IFERROR(__xludf.DUMMYFUNCTION("""COMPUTED_VALUE"""),2190.44)</f>
        <v>2190.44</v>
      </c>
    </row>
    <row r="90" ht="15.75" customHeight="1">
      <c r="A90" s="32">
        <f>IFERROR(__xludf.DUMMYFUNCTION("""COMPUTED_VALUE"""),40788.666666666664)</f>
        <v>40788.66667</v>
      </c>
      <c r="B90" s="22">
        <f>IFERROR(__xludf.DUMMYFUNCTION("""COMPUTED_VALUE"""),1173.97)</f>
        <v>1173.97</v>
      </c>
      <c r="C90" s="32">
        <f>IFERROR(__xludf.DUMMYFUNCTION("""COMPUTED_VALUE"""),40789.99861111111)</f>
        <v>40789.99861</v>
      </c>
      <c r="D90" s="22">
        <f>IFERROR(__xludf.DUMMYFUNCTION("""COMPUTED_VALUE"""),1.4191)</f>
        <v>1.4191</v>
      </c>
      <c r="E90" s="32">
        <f>IFERROR(__xludf.DUMMYFUNCTION("""COMPUTED_VALUE"""),40788.75)</f>
        <v>40788.75</v>
      </c>
      <c r="F90" s="22">
        <f>IFERROR(__xludf.DUMMYFUNCTION("""COMPUTED_VALUE"""),2220.72)</f>
        <v>2220.72</v>
      </c>
    </row>
    <row r="91" ht="15.75" customHeight="1">
      <c r="A91" s="32">
        <f>IFERROR(__xludf.DUMMYFUNCTION("""COMPUTED_VALUE"""),40795.666666666664)</f>
        <v>40795.66667</v>
      </c>
      <c r="B91" s="22">
        <f>IFERROR(__xludf.DUMMYFUNCTION("""COMPUTED_VALUE"""),1154.23)</f>
        <v>1154.23</v>
      </c>
      <c r="C91" s="32">
        <f>IFERROR(__xludf.DUMMYFUNCTION("""COMPUTED_VALUE"""),40796.99861111111)</f>
        <v>40796.99861</v>
      </c>
      <c r="D91" s="22">
        <f>IFERROR(__xludf.DUMMYFUNCTION("""COMPUTED_VALUE"""),1.3654)</f>
        <v>1.3654</v>
      </c>
      <c r="E91" s="32">
        <f>IFERROR(__xludf.DUMMYFUNCTION("""COMPUTED_VALUE"""),40795.75)</f>
        <v>40795.75</v>
      </c>
      <c r="F91" s="22">
        <f>IFERROR(__xludf.DUMMYFUNCTION("""COMPUTED_VALUE"""),2073.67)</f>
        <v>2073.67</v>
      </c>
    </row>
    <row r="92" ht="15.75" customHeight="1">
      <c r="A92" s="32">
        <f>IFERROR(__xludf.DUMMYFUNCTION("""COMPUTED_VALUE"""),40802.666666666664)</f>
        <v>40802.66667</v>
      </c>
      <c r="B92" s="22">
        <f>IFERROR(__xludf.DUMMYFUNCTION("""COMPUTED_VALUE"""),1216.01)</f>
        <v>1216.01</v>
      </c>
      <c r="C92" s="32">
        <f>IFERROR(__xludf.DUMMYFUNCTION("""COMPUTED_VALUE"""),40803.99861111111)</f>
        <v>40803.99861</v>
      </c>
      <c r="D92" s="22">
        <f>IFERROR(__xludf.DUMMYFUNCTION("""COMPUTED_VALUE"""),1.3787)</f>
        <v>1.3787</v>
      </c>
      <c r="E92" s="32">
        <f>IFERROR(__xludf.DUMMYFUNCTION("""COMPUTED_VALUE"""),40802.75)</f>
        <v>40802.75</v>
      </c>
      <c r="F92" s="22">
        <f>IFERROR(__xludf.DUMMYFUNCTION("""COMPUTED_VALUE"""),2159.28)</f>
        <v>2159.28</v>
      </c>
    </row>
    <row r="93" ht="15.75" customHeight="1">
      <c r="A93" s="32">
        <f>IFERROR(__xludf.DUMMYFUNCTION("""COMPUTED_VALUE"""),40809.666666666664)</f>
        <v>40809.66667</v>
      </c>
      <c r="B93" s="22">
        <f>IFERROR(__xludf.DUMMYFUNCTION("""COMPUTED_VALUE"""),1136.43)</f>
        <v>1136.43</v>
      </c>
      <c r="C93" s="32">
        <f>IFERROR(__xludf.DUMMYFUNCTION("""COMPUTED_VALUE"""),40810.99861111111)</f>
        <v>40810.99861</v>
      </c>
      <c r="D93" s="22">
        <f>IFERROR(__xludf.DUMMYFUNCTION("""COMPUTED_VALUE"""),1.3513)</f>
        <v>1.3513</v>
      </c>
      <c r="E93" s="32">
        <f>IFERROR(__xludf.DUMMYFUNCTION("""COMPUTED_VALUE"""),40809.75)</f>
        <v>40809.75</v>
      </c>
      <c r="F93" s="22">
        <f>IFERROR(__xludf.DUMMYFUNCTION("""COMPUTED_VALUE"""),2026.03)</f>
        <v>2026.03</v>
      </c>
    </row>
    <row r="94" ht="15.75" customHeight="1">
      <c r="A94" s="32">
        <f>IFERROR(__xludf.DUMMYFUNCTION("""COMPUTED_VALUE"""),40816.666666666664)</f>
        <v>40816.66667</v>
      </c>
      <c r="B94" s="22">
        <f>IFERROR(__xludf.DUMMYFUNCTION("""COMPUTED_VALUE"""),1131.42)</f>
        <v>1131.42</v>
      </c>
      <c r="C94" s="32">
        <f>IFERROR(__xludf.DUMMYFUNCTION("""COMPUTED_VALUE"""),40817.99861111111)</f>
        <v>40817.99861</v>
      </c>
      <c r="D94" s="22">
        <f>IFERROR(__xludf.DUMMYFUNCTION("""COMPUTED_VALUE"""),1.339)</f>
        <v>1.339</v>
      </c>
      <c r="E94" s="32">
        <f>IFERROR(__xludf.DUMMYFUNCTION("""COMPUTED_VALUE"""),40816.75)</f>
        <v>40816.75</v>
      </c>
      <c r="F94" s="22">
        <f>IFERROR(__xludf.DUMMYFUNCTION("""COMPUTED_VALUE"""),2179.66)</f>
        <v>2179.66</v>
      </c>
    </row>
    <row r="95" ht="15.75" customHeight="1">
      <c r="A95" s="32">
        <f>IFERROR(__xludf.DUMMYFUNCTION("""COMPUTED_VALUE"""),40823.666666666664)</f>
        <v>40823.66667</v>
      </c>
      <c r="B95" s="22">
        <f>IFERROR(__xludf.DUMMYFUNCTION("""COMPUTED_VALUE"""),1155.46)</f>
        <v>1155.46</v>
      </c>
      <c r="C95" s="32">
        <f>IFERROR(__xludf.DUMMYFUNCTION("""COMPUTED_VALUE"""),40824.99861111111)</f>
        <v>40824.99861</v>
      </c>
      <c r="D95" s="22">
        <f>IFERROR(__xludf.DUMMYFUNCTION("""COMPUTED_VALUE"""),1.3386)</f>
        <v>1.3386</v>
      </c>
      <c r="E95" s="32">
        <f>IFERROR(__xludf.DUMMYFUNCTION("""COMPUTED_VALUE"""),40823.75)</f>
        <v>40823.75</v>
      </c>
      <c r="F95" s="22">
        <f>IFERROR(__xludf.DUMMYFUNCTION("""COMPUTED_VALUE"""),2269.19)</f>
        <v>2269.19</v>
      </c>
    </row>
    <row r="96" ht="15.75" customHeight="1">
      <c r="A96" s="32">
        <f>IFERROR(__xludf.DUMMYFUNCTION("""COMPUTED_VALUE"""),40830.666666666664)</f>
        <v>40830.66667</v>
      </c>
      <c r="B96" s="22">
        <f>IFERROR(__xludf.DUMMYFUNCTION("""COMPUTED_VALUE"""),1224.58)</f>
        <v>1224.58</v>
      </c>
      <c r="C96" s="32">
        <f>IFERROR(__xludf.DUMMYFUNCTION("""COMPUTED_VALUE"""),40831.99861111111)</f>
        <v>40831.99861</v>
      </c>
      <c r="D96" s="22">
        <f>IFERROR(__xludf.DUMMYFUNCTION("""COMPUTED_VALUE"""),1.3858)</f>
        <v>1.3858</v>
      </c>
      <c r="E96" s="32">
        <f>IFERROR(__xludf.DUMMYFUNCTION("""COMPUTED_VALUE"""),40830.75)</f>
        <v>40830.75</v>
      </c>
      <c r="F96" s="22">
        <f>IFERROR(__xludf.DUMMYFUNCTION("""COMPUTED_VALUE"""),2355.48)</f>
        <v>2355.48</v>
      </c>
    </row>
    <row r="97" ht="15.75" customHeight="1">
      <c r="A97" s="32">
        <f>IFERROR(__xludf.DUMMYFUNCTION("""COMPUTED_VALUE"""),40837.666666666664)</f>
        <v>40837.66667</v>
      </c>
      <c r="B97" s="22">
        <f>IFERROR(__xludf.DUMMYFUNCTION("""COMPUTED_VALUE"""),1238.25)</f>
        <v>1238.25</v>
      </c>
      <c r="C97" s="32">
        <f>IFERROR(__xludf.DUMMYFUNCTION("""COMPUTED_VALUE"""),40838.99861111111)</f>
        <v>40838.99861</v>
      </c>
      <c r="D97" s="22">
        <f>IFERROR(__xludf.DUMMYFUNCTION("""COMPUTED_VALUE"""),1.3872)</f>
        <v>1.3872</v>
      </c>
      <c r="E97" s="32">
        <f>IFERROR(__xludf.DUMMYFUNCTION("""COMPUTED_VALUE"""),40837.75)</f>
        <v>40837.75</v>
      </c>
      <c r="F97" s="22">
        <f>IFERROR(__xludf.DUMMYFUNCTION("""COMPUTED_VALUE"""),2337.51)</f>
        <v>2337.51</v>
      </c>
    </row>
    <row r="98" ht="15.75" customHeight="1">
      <c r="A98" s="32">
        <f>IFERROR(__xludf.DUMMYFUNCTION("""COMPUTED_VALUE"""),40844.666666666664)</f>
        <v>40844.66667</v>
      </c>
      <c r="B98" s="22">
        <f>IFERROR(__xludf.DUMMYFUNCTION("""COMPUTED_VALUE"""),1285.08)</f>
        <v>1285.08</v>
      </c>
      <c r="C98" s="32">
        <f>IFERROR(__xludf.DUMMYFUNCTION("""COMPUTED_VALUE"""),40845.99861111111)</f>
        <v>40845.99861</v>
      </c>
      <c r="D98" s="22">
        <f>IFERROR(__xludf.DUMMYFUNCTION("""COMPUTED_VALUE"""),1.4145)</f>
        <v>1.4145</v>
      </c>
      <c r="E98" s="32">
        <f>IFERROR(__xludf.DUMMYFUNCTION("""COMPUTED_VALUE"""),40844.75)</f>
        <v>40844.75</v>
      </c>
      <c r="F98" s="22">
        <f>IFERROR(__xludf.DUMMYFUNCTION("""COMPUTED_VALUE"""),2462.36)</f>
        <v>2462.36</v>
      </c>
    </row>
    <row r="99" ht="15.75" customHeight="1">
      <c r="A99" s="32">
        <f>IFERROR(__xludf.DUMMYFUNCTION("""COMPUTED_VALUE"""),40851.666666666664)</f>
        <v>40851.66667</v>
      </c>
      <c r="B99" s="22">
        <f>IFERROR(__xludf.DUMMYFUNCTION("""COMPUTED_VALUE"""),1253.23)</f>
        <v>1253.23</v>
      </c>
      <c r="C99" s="32">
        <f>IFERROR(__xludf.DUMMYFUNCTION("""COMPUTED_VALUE"""),40852.99861111111)</f>
        <v>40852.99861</v>
      </c>
      <c r="D99" s="22">
        <f>IFERROR(__xludf.DUMMYFUNCTION("""COMPUTED_VALUE"""),1.3746)</f>
        <v>1.3746</v>
      </c>
      <c r="E99" s="32">
        <f>IFERROR(__xludf.DUMMYFUNCTION("""COMPUTED_VALUE"""),40851.75)</f>
        <v>40851.75</v>
      </c>
      <c r="F99" s="22">
        <f>IFERROR(__xludf.DUMMYFUNCTION("""COMPUTED_VALUE"""),2291.47)</f>
        <v>2291.47</v>
      </c>
    </row>
    <row r="100" ht="15.75" customHeight="1">
      <c r="A100" s="32">
        <f>IFERROR(__xludf.DUMMYFUNCTION("""COMPUTED_VALUE"""),40858.666666666664)</f>
        <v>40858.66667</v>
      </c>
      <c r="B100" s="22">
        <f>IFERROR(__xludf.DUMMYFUNCTION("""COMPUTED_VALUE"""),1263.85)</f>
        <v>1263.85</v>
      </c>
      <c r="C100" s="32">
        <f>IFERROR(__xludf.DUMMYFUNCTION("""COMPUTED_VALUE"""),40859.99861111111)</f>
        <v>40859.99861</v>
      </c>
      <c r="D100" s="22">
        <f>IFERROR(__xludf.DUMMYFUNCTION("""COMPUTED_VALUE"""),1.3778)</f>
        <v>1.3778</v>
      </c>
      <c r="E100" s="32">
        <f>IFERROR(__xludf.DUMMYFUNCTION("""COMPUTED_VALUE"""),40858.75)</f>
        <v>40858.75</v>
      </c>
      <c r="F100" s="22">
        <f>IFERROR(__xludf.DUMMYFUNCTION("""COMPUTED_VALUE"""),2324.81)</f>
        <v>2324.81</v>
      </c>
    </row>
    <row r="101" ht="15.75" customHeight="1">
      <c r="A101" s="32">
        <f>IFERROR(__xludf.DUMMYFUNCTION("""COMPUTED_VALUE"""),40865.666666666664)</f>
        <v>40865.66667</v>
      </c>
      <c r="B101" s="22">
        <f>IFERROR(__xludf.DUMMYFUNCTION("""COMPUTED_VALUE"""),1215.65)</f>
        <v>1215.65</v>
      </c>
      <c r="C101" s="32">
        <f>IFERROR(__xludf.DUMMYFUNCTION("""COMPUTED_VALUE"""),40866.99861111111)</f>
        <v>40866.99861</v>
      </c>
      <c r="D101" s="22">
        <f>IFERROR(__xludf.DUMMYFUNCTION("""COMPUTED_VALUE"""),1.3518)</f>
        <v>1.3518</v>
      </c>
      <c r="E101" s="32">
        <f>IFERROR(__xludf.DUMMYFUNCTION("""COMPUTED_VALUE"""),40865.75)</f>
        <v>40865.75</v>
      </c>
      <c r="F101" s="22">
        <f>IFERROR(__xludf.DUMMYFUNCTION("""COMPUTED_VALUE"""),2236.68)</f>
        <v>2236.68</v>
      </c>
    </row>
    <row r="102" ht="15.75" customHeight="1">
      <c r="A102" s="32">
        <f>IFERROR(__xludf.DUMMYFUNCTION("""COMPUTED_VALUE"""),40872.666666666664)</f>
        <v>40872.66667</v>
      </c>
      <c r="B102" s="22">
        <f>IFERROR(__xludf.DUMMYFUNCTION("""COMPUTED_VALUE"""),1158.67)</f>
        <v>1158.67</v>
      </c>
      <c r="C102" s="32">
        <f>IFERROR(__xludf.DUMMYFUNCTION("""COMPUTED_VALUE"""),40873.99861111111)</f>
        <v>40873.99861</v>
      </c>
      <c r="D102" s="22">
        <f>IFERROR(__xludf.DUMMYFUNCTION("""COMPUTED_VALUE"""),1.3241)</f>
        <v>1.3241</v>
      </c>
      <c r="E102" s="32">
        <f>IFERROR(__xludf.DUMMYFUNCTION("""COMPUTED_VALUE"""),40872.75)</f>
        <v>40872.75</v>
      </c>
      <c r="F102" s="22">
        <f>IFERROR(__xludf.DUMMYFUNCTION("""COMPUTED_VALUE"""),2111.26)</f>
        <v>2111.26</v>
      </c>
    </row>
    <row r="103" ht="15.75" customHeight="1">
      <c r="A103" s="32">
        <f>IFERROR(__xludf.DUMMYFUNCTION("""COMPUTED_VALUE"""),40879.666666666664)</f>
        <v>40879.66667</v>
      </c>
      <c r="B103" s="22">
        <f>IFERROR(__xludf.DUMMYFUNCTION("""COMPUTED_VALUE"""),1244.28)</f>
        <v>1244.28</v>
      </c>
      <c r="C103" s="32">
        <f>IFERROR(__xludf.DUMMYFUNCTION("""COMPUTED_VALUE"""),40880.99861111111)</f>
        <v>40880.99861</v>
      </c>
      <c r="D103" s="22">
        <f>IFERROR(__xludf.DUMMYFUNCTION("""COMPUTED_VALUE"""),1.34042)</f>
        <v>1.34042</v>
      </c>
      <c r="E103" s="32">
        <f>IFERROR(__xludf.DUMMYFUNCTION("""COMPUTED_VALUE"""),40879.75)</f>
        <v>40879.75</v>
      </c>
      <c r="F103" s="22">
        <f>IFERROR(__xludf.DUMMYFUNCTION("""COMPUTED_VALUE"""),2342.5)</f>
        <v>2342.5</v>
      </c>
    </row>
    <row r="104" ht="15.75" customHeight="1">
      <c r="A104" s="32">
        <f>IFERROR(__xludf.DUMMYFUNCTION("""COMPUTED_VALUE"""),40886.666666666664)</f>
        <v>40886.66667</v>
      </c>
      <c r="B104" s="22">
        <f>IFERROR(__xludf.DUMMYFUNCTION("""COMPUTED_VALUE"""),1255.19)</f>
        <v>1255.19</v>
      </c>
      <c r="C104" s="32">
        <f>IFERROR(__xludf.DUMMYFUNCTION("""COMPUTED_VALUE"""),40887.99861111111)</f>
        <v>40887.99861</v>
      </c>
      <c r="D104" s="22">
        <f>IFERROR(__xludf.DUMMYFUNCTION("""COMPUTED_VALUE"""),1.3365)</f>
        <v>1.3365</v>
      </c>
      <c r="E104" s="32">
        <f>IFERROR(__xludf.DUMMYFUNCTION("""COMPUTED_VALUE"""),40886.75)</f>
        <v>40886.75</v>
      </c>
      <c r="F104" s="22">
        <f>IFERROR(__xludf.DUMMYFUNCTION("""COMPUTED_VALUE"""),2342.59)</f>
        <v>2342.59</v>
      </c>
    </row>
    <row r="105" ht="15.75" customHeight="1">
      <c r="A105" s="32">
        <f>IFERROR(__xludf.DUMMYFUNCTION("""COMPUTED_VALUE"""),40893.666666666664)</f>
        <v>40893.66667</v>
      </c>
      <c r="B105" s="22">
        <f>IFERROR(__xludf.DUMMYFUNCTION("""COMPUTED_VALUE"""),1219.66)</f>
        <v>1219.66</v>
      </c>
      <c r="C105" s="32">
        <f>IFERROR(__xludf.DUMMYFUNCTION("""COMPUTED_VALUE"""),40894.99861111111)</f>
        <v>40894.99861</v>
      </c>
      <c r="D105" s="22">
        <f>IFERROR(__xludf.DUMMYFUNCTION("""COMPUTED_VALUE"""),1.3044)</f>
        <v>1.3044</v>
      </c>
      <c r="E105" s="32">
        <f>IFERROR(__xludf.DUMMYFUNCTION("""COMPUTED_VALUE"""),40893.75)</f>
        <v>40893.75</v>
      </c>
      <c r="F105" s="22">
        <f>IFERROR(__xludf.DUMMYFUNCTION("""COMPUTED_VALUE"""),2202.72)</f>
        <v>2202.72</v>
      </c>
    </row>
    <row r="106" ht="15.75" customHeight="1">
      <c r="A106" s="32">
        <f>IFERROR(__xludf.DUMMYFUNCTION("""COMPUTED_VALUE"""),40900.666666666664)</f>
        <v>40900.66667</v>
      </c>
      <c r="B106" s="22">
        <f>IFERROR(__xludf.DUMMYFUNCTION("""COMPUTED_VALUE"""),1265.33)</f>
        <v>1265.33</v>
      </c>
      <c r="C106" s="32">
        <f>IFERROR(__xludf.DUMMYFUNCTION("""COMPUTED_VALUE"""),40901.99861111111)</f>
        <v>40901.99861</v>
      </c>
      <c r="D106" s="22">
        <f>IFERROR(__xludf.DUMMYFUNCTION("""COMPUTED_VALUE"""),1.3039)</f>
        <v>1.3039</v>
      </c>
      <c r="E106" s="32">
        <f>IFERROR(__xludf.DUMMYFUNCTION("""COMPUTED_VALUE"""),40900.75)</f>
        <v>40900.75</v>
      </c>
      <c r="F106" s="22">
        <f>IFERROR(__xludf.DUMMYFUNCTION("""COMPUTED_VALUE"""),2290.37)</f>
        <v>2290.37</v>
      </c>
    </row>
    <row r="107" ht="15.75" customHeight="1">
      <c r="A107" s="32">
        <f>IFERROR(__xludf.DUMMYFUNCTION("""COMPUTED_VALUE"""),40907.666666666664)</f>
        <v>40907.66667</v>
      </c>
      <c r="B107" s="22">
        <f>IFERROR(__xludf.DUMMYFUNCTION("""COMPUTED_VALUE"""),1257.6)</f>
        <v>1257.6</v>
      </c>
      <c r="C107" s="32">
        <f>IFERROR(__xludf.DUMMYFUNCTION("""COMPUTED_VALUE"""),40908.99861111111)</f>
        <v>40908.99861</v>
      </c>
      <c r="D107" s="22">
        <f>IFERROR(__xludf.DUMMYFUNCTION("""COMPUTED_VALUE"""),1.2957)</f>
        <v>1.2957</v>
      </c>
      <c r="E107" s="32">
        <f>IFERROR(__xludf.DUMMYFUNCTION("""COMPUTED_VALUE"""),40907.75)</f>
        <v>40907.75</v>
      </c>
      <c r="F107" s="22">
        <f>IFERROR(__xludf.DUMMYFUNCTION("""COMPUTED_VALUE"""),2316.55)</f>
        <v>2316.55</v>
      </c>
    </row>
    <row r="108" ht="15.75" customHeight="1">
      <c r="A108" s="32">
        <f>IFERROR(__xludf.DUMMYFUNCTION("""COMPUTED_VALUE"""),40914.666666666664)</f>
        <v>40914.66667</v>
      </c>
      <c r="B108" s="22">
        <f>IFERROR(__xludf.DUMMYFUNCTION("""COMPUTED_VALUE"""),1277.81)</f>
        <v>1277.81</v>
      </c>
      <c r="C108" s="32">
        <f>IFERROR(__xludf.DUMMYFUNCTION("""COMPUTED_VALUE"""),40915.99861111111)</f>
        <v>40915.99861</v>
      </c>
      <c r="D108" s="22">
        <f>IFERROR(__xludf.DUMMYFUNCTION("""COMPUTED_VALUE"""),1.2722)</f>
        <v>1.2722</v>
      </c>
      <c r="E108" s="32">
        <f>IFERROR(__xludf.DUMMYFUNCTION("""COMPUTED_VALUE"""),40914.75)</f>
        <v>40914.75</v>
      </c>
      <c r="F108" s="22">
        <f>IFERROR(__xludf.DUMMYFUNCTION("""COMPUTED_VALUE"""),2298.65)</f>
        <v>2298.65</v>
      </c>
    </row>
    <row r="109" ht="15.75" customHeight="1">
      <c r="A109" s="32">
        <f>IFERROR(__xludf.DUMMYFUNCTION("""COMPUTED_VALUE"""),40921.666666666664)</f>
        <v>40921.66667</v>
      </c>
      <c r="B109" s="22">
        <f>IFERROR(__xludf.DUMMYFUNCTION("""COMPUTED_VALUE"""),1289.09)</f>
        <v>1289.09</v>
      </c>
      <c r="C109" s="32">
        <f>IFERROR(__xludf.DUMMYFUNCTION("""COMPUTED_VALUE"""),40922.99861111111)</f>
        <v>40922.99861</v>
      </c>
      <c r="D109" s="22">
        <f>IFERROR(__xludf.DUMMYFUNCTION("""COMPUTED_VALUE"""),1.268)</f>
        <v>1.268</v>
      </c>
      <c r="E109" s="32">
        <f>IFERROR(__xludf.DUMMYFUNCTION("""COMPUTED_VALUE"""),40921.75)</f>
        <v>40921.75</v>
      </c>
      <c r="F109" s="22">
        <f>IFERROR(__xludf.DUMMYFUNCTION("""COMPUTED_VALUE"""),2338.01)</f>
        <v>2338.01</v>
      </c>
    </row>
    <row r="110" ht="15.75" customHeight="1">
      <c r="A110" s="32">
        <f>IFERROR(__xludf.DUMMYFUNCTION("""COMPUTED_VALUE"""),40928.666666666664)</f>
        <v>40928.66667</v>
      </c>
      <c r="B110" s="22">
        <f>IFERROR(__xludf.DUMMYFUNCTION("""COMPUTED_VALUE"""),1315.38)</f>
        <v>1315.38</v>
      </c>
      <c r="C110" s="32">
        <f>IFERROR(__xludf.DUMMYFUNCTION("""COMPUTED_VALUE"""),40929.99861111111)</f>
        <v>40929.99861</v>
      </c>
      <c r="D110" s="22">
        <f>IFERROR(__xludf.DUMMYFUNCTION("""COMPUTED_VALUE"""),1.2946)</f>
        <v>1.2946</v>
      </c>
      <c r="E110" s="32">
        <f>IFERROR(__xludf.DUMMYFUNCTION("""COMPUTED_VALUE"""),40928.75)</f>
        <v>40928.75</v>
      </c>
      <c r="F110" s="22">
        <f>IFERROR(__xludf.DUMMYFUNCTION("""COMPUTED_VALUE"""),2426.96)</f>
        <v>2426.96</v>
      </c>
    </row>
    <row r="111" ht="15.75" customHeight="1">
      <c r="A111" s="32">
        <f>IFERROR(__xludf.DUMMYFUNCTION("""COMPUTED_VALUE"""),40935.666666666664)</f>
        <v>40935.66667</v>
      </c>
      <c r="B111" s="22">
        <f>IFERROR(__xludf.DUMMYFUNCTION("""COMPUTED_VALUE"""),1316.32)</f>
        <v>1316.32</v>
      </c>
      <c r="C111" s="32">
        <f>IFERROR(__xludf.DUMMYFUNCTION("""COMPUTED_VALUE"""),40936.99861111111)</f>
        <v>40936.99861</v>
      </c>
      <c r="D111" s="22">
        <f>IFERROR(__xludf.DUMMYFUNCTION("""COMPUTED_VALUE"""),1.319)</f>
        <v>1.319</v>
      </c>
      <c r="E111" s="32">
        <f>IFERROR(__xludf.DUMMYFUNCTION("""COMPUTED_VALUE"""),40935.75)</f>
        <v>40935.75</v>
      </c>
      <c r="F111" s="22">
        <f>IFERROR(__xludf.DUMMYFUNCTION("""COMPUTED_VALUE"""),2436.62)</f>
        <v>2436.62</v>
      </c>
    </row>
    <row r="112" ht="15.75" customHeight="1">
      <c r="A112" s="32">
        <f>IFERROR(__xludf.DUMMYFUNCTION("""COMPUTED_VALUE"""),40942.666666666664)</f>
        <v>40942.66667</v>
      </c>
      <c r="B112" s="22">
        <f>IFERROR(__xludf.DUMMYFUNCTION("""COMPUTED_VALUE"""),1344.9)</f>
        <v>1344.9</v>
      </c>
      <c r="C112" s="32">
        <f>IFERROR(__xludf.DUMMYFUNCTION("""COMPUTED_VALUE"""),40943.99861111111)</f>
        <v>40943.99861</v>
      </c>
      <c r="D112" s="22">
        <f>IFERROR(__xludf.DUMMYFUNCTION("""COMPUTED_VALUE"""),1.3153)</f>
        <v>1.3153</v>
      </c>
      <c r="E112" s="32">
        <f>IFERROR(__xludf.DUMMYFUNCTION("""COMPUTED_VALUE"""),40942.75)</f>
        <v>40942.75</v>
      </c>
      <c r="F112" s="22">
        <f>IFERROR(__xludf.DUMMYFUNCTION("""COMPUTED_VALUE"""),2515.15)</f>
        <v>2515.15</v>
      </c>
    </row>
    <row r="113" ht="15.75" customHeight="1">
      <c r="A113" s="32">
        <f>IFERROR(__xludf.DUMMYFUNCTION("""COMPUTED_VALUE"""),40949.666666666664)</f>
        <v>40949.66667</v>
      </c>
      <c r="B113" s="22">
        <f>IFERROR(__xludf.DUMMYFUNCTION("""COMPUTED_VALUE"""),1342.64)</f>
        <v>1342.64</v>
      </c>
      <c r="C113" s="32">
        <f>IFERROR(__xludf.DUMMYFUNCTION("""COMPUTED_VALUE"""),40950.99861111111)</f>
        <v>40950.99861</v>
      </c>
      <c r="D113" s="22">
        <f>IFERROR(__xludf.DUMMYFUNCTION("""COMPUTED_VALUE"""),1.3195)</f>
        <v>1.3195</v>
      </c>
      <c r="E113" s="32">
        <f>IFERROR(__xludf.DUMMYFUNCTION("""COMPUTED_VALUE"""),40949.75)</f>
        <v>40949.75</v>
      </c>
      <c r="F113" s="22">
        <f>IFERROR(__xludf.DUMMYFUNCTION("""COMPUTED_VALUE"""),2480.76)</f>
        <v>2480.76</v>
      </c>
    </row>
    <row r="114" ht="15.75" customHeight="1">
      <c r="A114" s="32">
        <f>IFERROR(__xludf.DUMMYFUNCTION("""COMPUTED_VALUE"""),40956.666666666664)</f>
        <v>40956.66667</v>
      </c>
      <c r="B114" s="22">
        <f>IFERROR(__xludf.DUMMYFUNCTION("""COMPUTED_VALUE"""),1361.23)</f>
        <v>1361.23</v>
      </c>
      <c r="C114" s="32">
        <f>IFERROR(__xludf.DUMMYFUNCTION("""COMPUTED_VALUE"""),40957.99861111111)</f>
        <v>40957.99861</v>
      </c>
      <c r="D114" s="22">
        <f>IFERROR(__xludf.DUMMYFUNCTION("""COMPUTED_VALUE"""),1.3141)</f>
        <v>1.3141</v>
      </c>
      <c r="E114" s="32">
        <f>IFERROR(__xludf.DUMMYFUNCTION("""COMPUTED_VALUE"""),40956.75)</f>
        <v>40956.75</v>
      </c>
      <c r="F114" s="22">
        <f>IFERROR(__xludf.DUMMYFUNCTION("""COMPUTED_VALUE"""),2520.31)</f>
        <v>2520.31</v>
      </c>
    </row>
    <row r="115" ht="15.75" customHeight="1">
      <c r="A115" s="32">
        <f>IFERROR(__xludf.DUMMYFUNCTION("""COMPUTED_VALUE"""),40963.666666666664)</f>
        <v>40963.66667</v>
      </c>
      <c r="B115" s="22">
        <f>IFERROR(__xludf.DUMMYFUNCTION("""COMPUTED_VALUE"""),1365.74)</f>
        <v>1365.74</v>
      </c>
      <c r="C115" s="32">
        <f>IFERROR(__xludf.DUMMYFUNCTION("""COMPUTED_VALUE"""),40964.99861111111)</f>
        <v>40964.99861</v>
      </c>
      <c r="D115" s="22">
        <f>IFERROR(__xludf.DUMMYFUNCTION("""COMPUTED_VALUE"""),1.3447)</f>
        <v>1.3447</v>
      </c>
      <c r="E115" s="32">
        <f>IFERROR(__xludf.DUMMYFUNCTION("""COMPUTED_VALUE"""),40963.75)</f>
        <v>40963.75</v>
      </c>
      <c r="F115" s="22">
        <f>IFERROR(__xludf.DUMMYFUNCTION("""COMPUTED_VALUE"""),2523.69)</f>
        <v>2523.69</v>
      </c>
    </row>
    <row r="116" ht="15.75" customHeight="1">
      <c r="A116" s="32">
        <f>IFERROR(__xludf.DUMMYFUNCTION("""COMPUTED_VALUE"""),40970.666666666664)</f>
        <v>40970.66667</v>
      </c>
      <c r="B116" s="22">
        <f>IFERROR(__xludf.DUMMYFUNCTION("""COMPUTED_VALUE"""),1369.63)</f>
        <v>1369.63</v>
      </c>
      <c r="C116" s="32">
        <f>IFERROR(__xludf.DUMMYFUNCTION("""COMPUTED_VALUE"""),40971.99861111111)</f>
        <v>40971.99861</v>
      </c>
      <c r="D116" s="22">
        <f>IFERROR(__xludf.DUMMYFUNCTION("""COMPUTED_VALUE"""),1.3201)</f>
        <v>1.3201</v>
      </c>
      <c r="E116" s="32">
        <f>IFERROR(__xludf.DUMMYFUNCTION("""COMPUTED_VALUE"""),40970.75)</f>
        <v>40970.75</v>
      </c>
      <c r="F116" s="22">
        <f>IFERROR(__xludf.DUMMYFUNCTION("""COMPUTED_VALUE"""),2546.16)</f>
        <v>2546.16</v>
      </c>
    </row>
    <row r="117" ht="15.75" customHeight="1">
      <c r="A117" s="32">
        <f>IFERROR(__xludf.DUMMYFUNCTION("""COMPUTED_VALUE"""),40977.666666666664)</f>
        <v>40977.66667</v>
      </c>
      <c r="B117" s="22">
        <f>IFERROR(__xludf.DUMMYFUNCTION("""COMPUTED_VALUE"""),1370.87)</f>
        <v>1370.87</v>
      </c>
      <c r="C117" s="32">
        <f>IFERROR(__xludf.DUMMYFUNCTION("""COMPUTED_VALUE"""),40978.99861111111)</f>
        <v>40978.99861</v>
      </c>
      <c r="D117" s="22">
        <f>IFERROR(__xludf.DUMMYFUNCTION("""COMPUTED_VALUE"""),1.3121)</f>
        <v>1.3121</v>
      </c>
      <c r="E117" s="32">
        <f>IFERROR(__xludf.DUMMYFUNCTION("""COMPUTED_VALUE"""),40977.75)</f>
        <v>40977.75</v>
      </c>
      <c r="F117" s="22">
        <f>IFERROR(__xludf.DUMMYFUNCTION("""COMPUTED_VALUE"""),2515.95)</f>
        <v>2515.95</v>
      </c>
    </row>
    <row r="118" ht="15.75" customHeight="1">
      <c r="A118" s="32">
        <f>IFERROR(__xludf.DUMMYFUNCTION("""COMPUTED_VALUE"""),40984.666666666664)</f>
        <v>40984.66667</v>
      </c>
      <c r="B118" s="22">
        <f>IFERROR(__xludf.DUMMYFUNCTION("""COMPUTED_VALUE"""),1404.17)</f>
        <v>1404.17</v>
      </c>
      <c r="C118" s="32">
        <f>IFERROR(__xludf.DUMMYFUNCTION("""COMPUTED_VALUE"""),40985.99861111111)</f>
        <v>40985.99861</v>
      </c>
      <c r="D118" s="22">
        <f>IFERROR(__xludf.DUMMYFUNCTION("""COMPUTED_VALUE"""),1.3174)</f>
        <v>1.3174</v>
      </c>
      <c r="E118" s="32">
        <f>IFERROR(__xludf.DUMMYFUNCTION("""COMPUTED_VALUE"""),40984.75)</f>
        <v>40984.75</v>
      </c>
      <c r="F118" s="22">
        <f>IFERROR(__xludf.DUMMYFUNCTION("""COMPUTED_VALUE"""),2608.3)</f>
        <v>2608.3</v>
      </c>
    </row>
    <row r="119" ht="15.75" customHeight="1">
      <c r="A119" s="32">
        <f>IFERROR(__xludf.DUMMYFUNCTION("""COMPUTED_VALUE"""),40991.666666666664)</f>
        <v>40991.66667</v>
      </c>
      <c r="B119" s="22">
        <f>IFERROR(__xludf.DUMMYFUNCTION("""COMPUTED_VALUE"""),1397.11)</f>
        <v>1397.11</v>
      </c>
      <c r="C119" s="32">
        <f>IFERROR(__xludf.DUMMYFUNCTION("""COMPUTED_VALUE"""),40992.99861111111)</f>
        <v>40992.99861</v>
      </c>
      <c r="D119" s="22">
        <f>IFERROR(__xludf.DUMMYFUNCTION("""COMPUTED_VALUE"""),1.3267)</f>
        <v>1.3267</v>
      </c>
      <c r="E119" s="32">
        <f>IFERROR(__xludf.DUMMYFUNCTION("""COMPUTED_VALUE"""),40991.75)</f>
        <v>40991.75</v>
      </c>
      <c r="F119" s="22">
        <f>IFERROR(__xludf.DUMMYFUNCTION("""COMPUTED_VALUE"""),2525.43)</f>
        <v>2525.43</v>
      </c>
    </row>
    <row r="120" ht="15.75" customHeight="1">
      <c r="A120" s="32">
        <f>IFERROR(__xludf.DUMMYFUNCTION("""COMPUTED_VALUE"""),40998.666666666664)</f>
        <v>40998.66667</v>
      </c>
      <c r="B120" s="22">
        <f>IFERROR(__xludf.DUMMYFUNCTION("""COMPUTED_VALUE"""),1408.47)</f>
        <v>1408.47</v>
      </c>
      <c r="C120" s="32">
        <f>IFERROR(__xludf.DUMMYFUNCTION("""COMPUTED_VALUE"""),40999.99861111111)</f>
        <v>40999.99861</v>
      </c>
      <c r="D120" s="22">
        <f>IFERROR(__xludf.DUMMYFUNCTION("""COMPUTED_VALUE"""),1.334)</f>
        <v>1.334</v>
      </c>
      <c r="E120" s="32">
        <f>IFERROR(__xludf.DUMMYFUNCTION("""COMPUTED_VALUE"""),40998.75)</f>
        <v>40998.75</v>
      </c>
      <c r="F120" s="22">
        <f>IFERROR(__xludf.DUMMYFUNCTION("""COMPUTED_VALUE"""),2477.28)</f>
        <v>2477.28</v>
      </c>
    </row>
    <row r="121" ht="15.75" customHeight="1">
      <c r="A121" s="32">
        <f>IFERROR(__xludf.DUMMYFUNCTION("""COMPUTED_VALUE"""),41004.666666666664)</f>
        <v>41004.66667</v>
      </c>
      <c r="B121" s="22">
        <f>IFERROR(__xludf.DUMMYFUNCTION("""COMPUTED_VALUE"""),1398.08)</f>
        <v>1398.08</v>
      </c>
      <c r="C121" s="32">
        <f>IFERROR(__xludf.DUMMYFUNCTION("""COMPUTED_VALUE"""),41006.99861111111)</f>
        <v>41006.99861</v>
      </c>
      <c r="D121" s="22">
        <f>IFERROR(__xludf.DUMMYFUNCTION("""COMPUTED_VALUE"""),1.3094)</f>
        <v>1.3094</v>
      </c>
      <c r="E121" s="32">
        <f>IFERROR(__xludf.DUMMYFUNCTION("""COMPUTED_VALUE"""),41004.75)</f>
        <v>41004.75</v>
      </c>
      <c r="F121" s="22">
        <f>IFERROR(__xludf.DUMMYFUNCTION("""COMPUTED_VALUE"""),2392.54)</f>
        <v>2392.54</v>
      </c>
    </row>
    <row r="122" ht="15.75" customHeight="1">
      <c r="A122" s="32">
        <f>IFERROR(__xludf.DUMMYFUNCTION("""COMPUTED_VALUE"""),41012.666666666664)</f>
        <v>41012.66667</v>
      </c>
      <c r="B122" s="22">
        <f>IFERROR(__xludf.DUMMYFUNCTION("""COMPUTED_VALUE"""),1370.26)</f>
        <v>1370.26</v>
      </c>
      <c r="C122" s="32">
        <f>IFERROR(__xludf.DUMMYFUNCTION("""COMPUTED_VALUE"""),41013.99861111111)</f>
        <v>41013.99861</v>
      </c>
      <c r="D122" s="22">
        <f>IFERROR(__xludf.DUMMYFUNCTION("""COMPUTED_VALUE"""),1.3081)</f>
        <v>1.3081</v>
      </c>
      <c r="E122" s="32">
        <f>IFERROR(__xludf.DUMMYFUNCTION("""COMPUTED_VALUE"""),41012.75)</f>
        <v>41012.75</v>
      </c>
      <c r="F122" s="22">
        <f>IFERROR(__xludf.DUMMYFUNCTION("""COMPUTED_VALUE"""),2291.51)</f>
        <v>2291.51</v>
      </c>
    </row>
    <row r="123" ht="15.75" customHeight="1">
      <c r="A123" s="32">
        <f>IFERROR(__xludf.DUMMYFUNCTION("""COMPUTED_VALUE"""),41019.666666666664)</f>
        <v>41019.66667</v>
      </c>
      <c r="B123" s="22">
        <f>IFERROR(__xludf.DUMMYFUNCTION("""COMPUTED_VALUE"""),1378.53)</f>
        <v>1378.53</v>
      </c>
      <c r="C123" s="32">
        <f>IFERROR(__xludf.DUMMYFUNCTION("""COMPUTED_VALUE"""),41020.99861111111)</f>
        <v>41020.99861</v>
      </c>
      <c r="D123" s="22">
        <f>IFERROR(__xludf.DUMMYFUNCTION("""COMPUTED_VALUE"""),1.3215)</f>
        <v>1.3215</v>
      </c>
      <c r="E123" s="32">
        <f>IFERROR(__xludf.DUMMYFUNCTION("""COMPUTED_VALUE"""),41019.75)</f>
        <v>41019.75</v>
      </c>
      <c r="F123" s="22">
        <f>IFERROR(__xludf.DUMMYFUNCTION("""COMPUTED_VALUE"""),2311.27)</f>
        <v>2311.27</v>
      </c>
    </row>
    <row r="124" ht="15.75" customHeight="1">
      <c r="A124" s="32">
        <f>IFERROR(__xludf.DUMMYFUNCTION("""COMPUTED_VALUE"""),41026.666666666664)</f>
        <v>41026.66667</v>
      </c>
      <c r="B124" s="22">
        <f>IFERROR(__xludf.DUMMYFUNCTION("""COMPUTED_VALUE"""),1403.36)</f>
        <v>1403.36</v>
      </c>
      <c r="C124" s="32">
        <f>IFERROR(__xludf.DUMMYFUNCTION("""COMPUTED_VALUE"""),41027.99861111111)</f>
        <v>41027.99861</v>
      </c>
      <c r="D124" s="22">
        <f>IFERROR(__xludf.DUMMYFUNCTION("""COMPUTED_VALUE"""),1.3225)</f>
        <v>1.3225</v>
      </c>
      <c r="E124" s="32">
        <f>IFERROR(__xludf.DUMMYFUNCTION("""COMPUTED_VALUE"""),41026.75)</f>
        <v>41026.75</v>
      </c>
      <c r="F124" s="22">
        <f>IFERROR(__xludf.DUMMYFUNCTION("""COMPUTED_VALUE"""),2344.02)</f>
        <v>2344.02</v>
      </c>
    </row>
    <row r="125" ht="15.75" customHeight="1">
      <c r="A125" s="32">
        <f>IFERROR(__xludf.DUMMYFUNCTION("""COMPUTED_VALUE"""),41033.666666666664)</f>
        <v>41033.66667</v>
      </c>
      <c r="B125" s="22">
        <f>IFERROR(__xludf.DUMMYFUNCTION("""COMPUTED_VALUE"""),1369.1)</f>
        <v>1369.1</v>
      </c>
      <c r="C125" s="32">
        <f>IFERROR(__xludf.DUMMYFUNCTION("""COMPUTED_VALUE"""),41034.99861111111)</f>
        <v>41034.99861</v>
      </c>
      <c r="D125" s="22">
        <f>IFERROR(__xludf.DUMMYFUNCTION("""COMPUTED_VALUE"""),1.3081)</f>
        <v>1.3081</v>
      </c>
      <c r="E125" s="32">
        <f>IFERROR(__xludf.DUMMYFUNCTION("""COMPUTED_VALUE"""),41033.75)</f>
        <v>41033.75</v>
      </c>
      <c r="F125" s="22">
        <f>IFERROR(__xludf.DUMMYFUNCTION("""COMPUTED_VALUE"""),2248.34)</f>
        <v>2248.34</v>
      </c>
    </row>
    <row r="126" ht="15.75" customHeight="1">
      <c r="A126" s="32">
        <f>IFERROR(__xludf.DUMMYFUNCTION("""COMPUTED_VALUE"""),41040.666666666664)</f>
        <v>41040.66667</v>
      </c>
      <c r="B126" s="22">
        <f>IFERROR(__xludf.DUMMYFUNCTION("""COMPUTED_VALUE"""),1353.39)</f>
        <v>1353.39</v>
      </c>
      <c r="C126" s="32">
        <f>IFERROR(__xludf.DUMMYFUNCTION("""COMPUTED_VALUE"""),41041.99861111111)</f>
        <v>41041.99861</v>
      </c>
      <c r="D126" s="22">
        <f>IFERROR(__xludf.DUMMYFUNCTION("""COMPUTED_VALUE"""),1.2914)</f>
        <v>1.2914</v>
      </c>
      <c r="E126" s="32">
        <f>IFERROR(__xludf.DUMMYFUNCTION("""COMPUTED_VALUE"""),41040.75)</f>
        <v>41040.75</v>
      </c>
      <c r="F126" s="22">
        <f>IFERROR(__xludf.DUMMYFUNCTION("""COMPUTED_VALUE"""),2254.54)</f>
        <v>2254.54</v>
      </c>
    </row>
    <row r="127" ht="15.75" customHeight="1">
      <c r="A127" s="32">
        <f>IFERROR(__xludf.DUMMYFUNCTION("""COMPUTED_VALUE"""),41047.666666666664)</f>
        <v>41047.66667</v>
      </c>
      <c r="B127" s="22">
        <f>IFERROR(__xludf.DUMMYFUNCTION("""COMPUTED_VALUE"""),1295.22)</f>
        <v>1295.22</v>
      </c>
      <c r="C127" s="32">
        <f>IFERROR(__xludf.DUMMYFUNCTION("""COMPUTED_VALUE"""),41048.99861111111)</f>
        <v>41048.99861</v>
      </c>
      <c r="D127" s="22">
        <f>IFERROR(__xludf.DUMMYFUNCTION("""COMPUTED_VALUE"""),1.278)</f>
        <v>1.278</v>
      </c>
      <c r="E127" s="32">
        <f>IFERROR(__xludf.DUMMYFUNCTION("""COMPUTED_VALUE"""),41047.75)</f>
        <v>41047.75</v>
      </c>
      <c r="F127" s="22">
        <f>IFERROR(__xludf.DUMMYFUNCTION("""COMPUTED_VALUE"""),2144.69)</f>
        <v>2144.69</v>
      </c>
    </row>
    <row r="128" ht="15.75" customHeight="1">
      <c r="A128" s="32">
        <f>IFERROR(__xludf.DUMMYFUNCTION("""COMPUTED_VALUE"""),41054.666666666664)</f>
        <v>41054.66667</v>
      </c>
      <c r="B128" s="22">
        <f>IFERROR(__xludf.DUMMYFUNCTION("""COMPUTED_VALUE"""),1317.82)</f>
        <v>1317.82</v>
      </c>
      <c r="C128" s="32">
        <f>IFERROR(__xludf.DUMMYFUNCTION("""COMPUTED_VALUE"""),41055.99861111111)</f>
        <v>41055.99861</v>
      </c>
      <c r="D128" s="22">
        <f>IFERROR(__xludf.DUMMYFUNCTION("""COMPUTED_VALUE"""),1.2517)</f>
        <v>1.2517</v>
      </c>
      <c r="E128" s="32">
        <f>IFERROR(__xludf.DUMMYFUNCTION("""COMPUTED_VALUE"""),41054.75)</f>
        <v>41054.75</v>
      </c>
      <c r="F128" s="22">
        <f>IFERROR(__xludf.DUMMYFUNCTION("""COMPUTED_VALUE"""),2161.87)</f>
        <v>2161.87</v>
      </c>
    </row>
    <row r="129" ht="15.75" customHeight="1">
      <c r="A129" s="32">
        <f>IFERROR(__xludf.DUMMYFUNCTION("""COMPUTED_VALUE"""),41061.666666666664)</f>
        <v>41061.66667</v>
      </c>
      <c r="B129" s="22">
        <f>IFERROR(__xludf.DUMMYFUNCTION("""COMPUTED_VALUE"""),1278.04)</f>
        <v>1278.04</v>
      </c>
      <c r="C129" s="32">
        <f>IFERROR(__xludf.DUMMYFUNCTION("""COMPUTED_VALUE"""),41062.99861111111)</f>
        <v>41062.99861</v>
      </c>
      <c r="D129" s="22">
        <f>IFERROR(__xludf.DUMMYFUNCTION("""COMPUTED_VALUE"""),1.2421)</f>
        <v>1.2421</v>
      </c>
      <c r="E129" s="32">
        <f>IFERROR(__xludf.DUMMYFUNCTION("""COMPUTED_VALUE"""),41061.75)</f>
        <v>41061.75</v>
      </c>
      <c r="F129" s="22">
        <f>IFERROR(__xludf.DUMMYFUNCTION("""COMPUTED_VALUE"""),2068.66)</f>
        <v>2068.66</v>
      </c>
    </row>
    <row r="130" ht="15.75" customHeight="1">
      <c r="A130" s="32">
        <f>IFERROR(__xludf.DUMMYFUNCTION("""COMPUTED_VALUE"""),41068.666666666664)</f>
        <v>41068.66667</v>
      </c>
      <c r="B130" s="22">
        <f>IFERROR(__xludf.DUMMYFUNCTION("""COMPUTED_VALUE"""),1325.66)</f>
        <v>1325.66</v>
      </c>
      <c r="C130" s="32">
        <f>IFERROR(__xludf.DUMMYFUNCTION("""COMPUTED_VALUE"""),41069.99861111111)</f>
        <v>41069.99861</v>
      </c>
      <c r="D130" s="22">
        <f>IFERROR(__xludf.DUMMYFUNCTION("""COMPUTED_VALUE"""),1.2513)</f>
        <v>1.2513</v>
      </c>
      <c r="E130" s="32">
        <f>IFERROR(__xludf.DUMMYFUNCTION("""COMPUTED_VALUE"""),41068.75)</f>
        <v>41068.75</v>
      </c>
      <c r="F130" s="22">
        <f>IFERROR(__xludf.DUMMYFUNCTION("""COMPUTED_VALUE"""),2143.9)</f>
        <v>2143.9</v>
      </c>
    </row>
    <row r="131" ht="15.75" customHeight="1">
      <c r="A131" s="32">
        <f>IFERROR(__xludf.DUMMYFUNCTION("""COMPUTED_VALUE"""),41075.666666666664)</f>
        <v>41075.66667</v>
      </c>
      <c r="B131" s="22">
        <f>IFERROR(__xludf.DUMMYFUNCTION("""COMPUTED_VALUE"""),1342.84)</f>
        <v>1342.84</v>
      </c>
      <c r="C131" s="32">
        <f>IFERROR(__xludf.DUMMYFUNCTION("""COMPUTED_VALUE"""),41076.99861111111)</f>
        <v>41076.99861</v>
      </c>
      <c r="D131" s="22">
        <f>IFERROR(__xludf.DUMMYFUNCTION("""COMPUTED_VALUE"""),1.2658)</f>
        <v>1.2658</v>
      </c>
      <c r="E131" s="32">
        <f>IFERROR(__xludf.DUMMYFUNCTION("""COMPUTED_VALUE"""),41075.75)</f>
        <v>41075.75</v>
      </c>
      <c r="F131" s="22">
        <f>IFERROR(__xludf.DUMMYFUNCTION("""COMPUTED_VALUE"""),2181.23)</f>
        <v>2181.23</v>
      </c>
    </row>
    <row r="132" ht="15.75" customHeight="1">
      <c r="A132" s="32">
        <f>IFERROR(__xludf.DUMMYFUNCTION("""COMPUTED_VALUE"""),41082.666666666664)</f>
        <v>41082.66667</v>
      </c>
      <c r="B132" s="22">
        <f>IFERROR(__xludf.DUMMYFUNCTION("""COMPUTED_VALUE"""),1335.02)</f>
        <v>1335.02</v>
      </c>
      <c r="C132" s="32">
        <f>IFERROR(__xludf.DUMMYFUNCTION("""COMPUTED_VALUE"""),41083.99861111111)</f>
        <v>41083.99861</v>
      </c>
      <c r="D132" s="22">
        <f>IFERROR(__xludf.DUMMYFUNCTION("""COMPUTED_VALUE"""),1.2574)</f>
        <v>1.2574</v>
      </c>
      <c r="E132" s="32">
        <f>IFERROR(__xludf.DUMMYFUNCTION("""COMPUTED_VALUE"""),41082.75)</f>
        <v>41082.75</v>
      </c>
      <c r="F132" s="22">
        <f>IFERROR(__xludf.DUMMYFUNCTION("""COMPUTED_VALUE"""),2186.81)</f>
        <v>2186.81</v>
      </c>
    </row>
    <row r="133" ht="15.75" customHeight="1">
      <c r="A133" s="32">
        <f>IFERROR(__xludf.DUMMYFUNCTION("""COMPUTED_VALUE"""),41089.666666666664)</f>
        <v>41089.66667</v>
      </c>
      <c r="B133" s="22">
        <f>IFERROR(__xludf.DUMMYFUNCTION("""COMPUTED_VALUE"""),1362.16)</f>
        <v>1362.16</v>
      </c>
      <c r="C133" s="32">
        <f>IFERROR(__xludf.DUMMYFUNCTION("""COMPUTED_VALUE"""),41090.99861111111)</f>
        <v>41090.99861</v>
      </c>
      <c r="D133" s="22">
        <f>IFERROR(__xludf.DUMMYFUNCTION("""COMPUTED_VALUE"""),1.266)</f>
        <v>1.266</v>
      </c>
      <c r="E133" s="32">
        <f>IFERROR(__xludf.DUMMYFUNCTION("""COMPUTED_VALUE"""),41089.75)</f>
        <v>41089.75</v>
      </c>
      <c r="F133" s="22">
        <f>IFERROR(__xludf.DUMMYFUNCTION("""COMPUTED_VALUE"""),2264.72)</f>
        <v>2264.72</v>
      </c>
    </row>
    <row r="134" ht="15.75" customHeight="1">
      <c r="A134" s="32">
        <f>IFERROR(__xludf.DUMMYFUNCTION("""COMPUTED_VALUE"""),41096.666666666664)</f>
        <v>41096.66667</v>
      </c>
      <c r="B134" s="22">
        <f>IFERROR(__xludf.DUMMYFUNCTION("""COMPUTED_VALUE"""),1354.68)</f>
        <v>1354.68</v>
      </c>
      <c r="C134" s="32">
        <f>IFERROR(__xludf.DUMMYFUNCTION("""COMPUTED_VALUE"""),41097.99861111111)</f>
        <v>41097.99861</v>
      </c>
      <c r="D134" s="22">
        <f>IFERROR(__xludf.DUMMYFUNCTION("""COMPUTED_VALUE"""),1.2286)</f>
        <v>1.2286</v>
      </c>
      <c r="E134" s="32">
        <f>IFERROR(__xludf.DUMMYFUNCTION("""COMPUTED_VALUE"""),41096.75)</f>
        <v>41096.75</v>
      </c>
      <c r="F134" s="22">
        <f>IFERROR(__xludf.DUMMYFUNCTION("""COMPUTED_VALUE"""),2235.51)</f>
        <v>2235.51</v>
      </c>
    </row>
    <row r="135" ht="15.75" customHeight="1">
      <c r="A135" s="32">
        <f>IFERROR(__xludf.DUMMYFUNCTION("""COMPUTED_VALUE"""),41103.666666666664)</f>
        <v>41103.66667</v>
      </c>
      <c r="B135" s="22">
        <f>IFERROR(__xludf.DUMMYFUNCTION("""COMPUTED_VALUE"""),1356.78)</f>
        <v>1356.78</v>
      </c>
      <c r="C135" s="32">
        <f>IFERROR(__xludf.DUMMYFUNCTION("""COMPUTED_VALUE"""),41104.99861111111)</f>
        <v>41104.99861</v>
      </c>
      <c r="D135" s="22">
        <f>IFERROR(__xludf.DUMMYFUNCTION("""COMPUTED_VALUE"""),1.2247)</f>
        <v>1.2247</v>
      </c>
      <c r="E135" s="32">
        <f>IFERROR(__xludf.DUMMYFUNCTION("""COMPUTED_VALUE"""),41103.75)</f>
        <v>41103.75</v>
      </c>
      <c r="F135" s="22">
        <f>IFERROR(__xludf.DUMMYFUNCTION("""COMPUTED_VALUE"""),2259.09)</f>
        <v>2259.09</v>
      </c>
    </row>
    <row r="136" ht="15.75" customHeight="1">
      <c r="A136" s="32">
        <f>IFERROR(__xludf.DUMMYFUNCTION("""COMPUTED_VALUE"""),41110.666666666664)</f>
        <v>41110.66667</v>
      </c>
      <c r="B136" s="22">
        <f>IFERROR(__xludf.DUMMYFUNCTION("""COMPUTED_VALUE"""),1362.66)</f>
        <v>1362.66</v>
      </c>
      <c r="C136" s="32">
        <f>IFERROR(__xludf.DUMMYFUNCTION("""COMPUTED_VALUE"""),41111.99861111111)</f>
        <v>41111.99861</v>
      </c>
      <c r="D136" s="22">
        <f>IFERROR(__xludf.DUMMYFUNCTION("""COMPUTED_VALUE"""),1.2155)</f>
        <v>1.2155</v>
      </c>
      <c r="E136" s="32">
        <f>IFERROR(__xludf.DUMMYFUNCTION("""COMPUTED_VALUE"""),41110.75)</f>
        <v>41110.75</v>
      </c>
      <c r="F136" s="22">
        <f>IFERROR(__xludf.DUMMYFUNCTION("""COMPUTED_VALUE"""),2237.33)</f>
        <v>2237.33</v>
      </c>
    </row>
    <row r="137" ht="15.75" customHeight="1">
      <c r="A137" s="32">
        <f>IFERROR(__xludf.DUMMYFUNCTION("""COMPUTED_VALUE"""),41117.666666666664)</f>
        <v>41117.66667</v>
      </c>
      <c r="B137" s="22">
        <f>IFERROR(__xludf.DUMMYFUNCTION("""COMPUTED_VALUE"""),1385.97)</f>
        <v>1385.97</v>
      </c>
      <c r="C137" s="32">
        <f>IFERROR(__xludf.DUMMYFUNCTION("""COMPUTED_VALUE"""),41118.99861111111)</f>
        <v>41118.99861</v>
      </c>
      <c r="D137" s="22">
        <f>IFERROR(__xludf.DUMMYFUNCTION("""COMPUTED_VALUE"""),1.2317)</f>
        <v>1.2317</v>
      </c>
      <c r="E137" s="32">
        <f>IFERROR(__xludf.DUMMYFUNCTION("""COMPUTED_VALUE"""),41117.75)</f>
        <v>41117.75</v>
      </c>
      <c r="F137" s="22">
        <f>IFERROR(__xludf.DUMMYFUNCTION("""COMPUTED_VALUE"""),2301.23)</f>
        <v>2301.23</v>
      </c>
    </row>
    <row r="138" ht="15.75" customHeight="1">
      <c r="A138" s="32">
        <f>IFERROR(__xludf.DUMMYFUNCTION("""COMPUTED_VALUE"""),41124.666666666664)</f>
        <v>41124.66667</v>
      </c>
      <c r="B138" s="22">
        <f>IFERROR(__xludf.DUMMYFUNCTION("""COMPUTED_VALUE"""),1390.99)</f>
        <v>1390.99</v>
      </c>
      <c r="C138" s="32">
        <f>IFERROR(__xludf.DUMMYFUNCTION("""COMPUTED_VALUE"""),41125.99861111111)</f>
        <v>41125.99861</v>
      </c>
      <c r="D138" s="22">
        <f>IFERROR(__xludf.DUMMYFUNCTION("""COMPUTED_VALUE"""),1.2387)</f>
        <v>1.2387</v>
      </c>
      <c r="E138" s="32">
        <f>IFERROR(__xludf.DUMMYFUNCTION("""COMPUTED_VALUE"""),41124.75)</f>
        <v>41124.75</v>
      </c>
      <c r="F138" s="22">
        <f>IFERROR(__xludf.DUMMYFUNCTION("""COMPUTED_VALUE"""),2372.58)</f>
        <v>2372.58</v>
      </c>
    </row>
    <row r="139" ht="15.75" customHeight="1">
      <c r="A139" s="32">
        <f>IFERROR(__xludf.DUMMYFUNCTION("""COMPUTED_VALUE"""),41131.666666666664)</f>
        <v>41131.66667</v>
      </c>
      <c r="B139" s="22">
        <f>IFERROR(__xludf.DUMMYFUNCTION("""COMPUTED_VALUE"""),1405.87)</f>
        <v>1405.87</v>
      </c>
      <c r="C139" s="32">
        <f>IFERROR(__xludf.DUMMYFUNCTION("""COMPUTED_VALUE"""),41132.99861111111)</f>
        <v>41132.99861</v>
      </c>
      <c r="D139" s="22">
        <f>IFERROR(__xludf.DUMMYFUNCTION("""COMPUTED_VALUE"""),1.229)</f>
        <v>1.229</v>
      </c>
      <c r="E139" s="32">
        <f>IFERROR(__xludf.DUMMYFUNCTION("""COMPUTED_VALUE"""),41131.75)</f>
        <v>41131.75</v>
      </c>
      <c r="F139" s="22">
        <f>IFERROR(__xludf.DUMMYFUNCTION("""COMPUTED_VALUE"""),2423.22)</f>
        <v>2423.22</v>
      </c>
    </row>
    <row r="140" ht="15.75" customHeight="1">
      <c r="A140" s="32">
        <f>IFERROR(__xludf.DUMMYFUNCTION("""COMPUTED_VALUE"""),41138.666666666664)</f>
        <v>41138.66667</v>
      </c>
      <c r="B140" s="22">
        <f>IFERROR(__xludf.DUMMYFUNCTION("""COMPUTED_VALUE"""),1418.16)</f>
        <v>1418.16</v>
      </c>
      <c r="C140" s="32">
        <f>IFERROR(__xludf.DUMMYFUNCTION("""COMPUTED_VALUE"""),41139.99861111111)</f>
        <v>41139.99861</v>
      </c>
      <c r="D140" s="22">
        <f>IFERROR(__xludf.DUMMYFUNCTION("""COMPUTED_VALUE"""),1.2331)</f>
        <v>1.2331</v>
      </c>
      <c r="E140" s="32">
        <f>IFERROR(__xludf.DUMMYFUNCTION("""COMPUTED_VALUE"""),41138.75)</f>
        <v>41138.75</v>
      </c>
      <c r="F140" s="22">
        <f>IFERROR(__xludf.DUMMYFUNCTION("""COMPUTED_VALUE"""),2471.53)</f>
        <v>2471.53</v>
      </c>
    </row>
    <row r="141" ht="15.75" customHeight="1">
      <c r="A141" s="32">
        <f>IFERROR(__xludf.DUMMYFUNCTION("""COMPUTED_VALUE"""),41145.666666666664)</f>
        <v>41145.66667</v>
      </c>
      <c r="B141" s="22">
        <f>IFERROR(__xludf.DUMMYFUNCTION("""COMPUTED_VALUE"""),1411.13)</f>
        <v>1411.13</v>
      </c>
      <c r="C141" s="32">
        <f>IFERROR(__xludf.DUMMYFUNCTION("""COMPUTED_VALUE"""),41146.99861111111)</f>
        <v>41146.99861</v>
      </c>
      <c r="D141" s="22">
        <f>IFERROR(__xludf.DUMMYFUNCTION("""COMPUTED_VALUE"""),1.251)</f>
        <v>1.251</v>
      </c>
      <c r="E141" s="32">
        <f>IFERROR(__xludf.DUMMYFUNCTION("""COMPUTED_VALUE"""),41145.75)</f>
        <v>41145.75</v>
      </c>
      <c r="F141" s="22">
        <f>IFERROR(__xludf.DUMMYFUNCTION("""COMPUTED_VALUE"""),2434.23)</f>
        <v>2434.23</v>
      </c>
    </row>
    <row r="142" ht="15.75" customHeight="1">
      <c r="A142" s="32">
        <f>IFERROR(__xludf.DUMMYFUNCTION("""COMPUTED_VALUE"""),41152.666666666664)</f>
        <v>41152.66667</v>
      </c>
      <c r="B142" s="22">
        <f>IFERROR(__xludf.DUMMYFUNCTION("""COMPUTED_VALUE"""),1406.58)</f>
        <v>1406.58</v>
      </c>
      <c r="C142" s="32">
        <f>IFERROR(__xludf.DUMMYFUNCTION("""COMPUTED_VALUE"""),41153.99861111111)</f>
        <v>41153.99861</v>
      </c>
      <c r="D142" s="22">
        <f>IFERROR(__xludf.DUMMYFUNCTION("""COMPUTED_VALUE"""),1.2583)</f>
        <v>1.2583</v>
      </c>
      <c r="E142" s="32">
        <f>IFERROR(__xludf.DUMMYFUNCTION("""COMPUTED_VALUE"""),41152.75)</f>
        <v>41152.75</v>
      </c>
      <c r="F142" s="22">
        <f>IFERROR(__xludf.DUMMYFUNCTION("""COMPUTED_VALUE"""),2440.71)</f>
        <v>2440.71</v>
      </c>
    </row>
    <row r="143" ht="15.75" customHeight="1">
      <c r="A143" s="32">
        <f>IFERROR(__xludf.DUMMYFUNCTION("""COMPUTED_VALUE"""),41159.666666666664)</f>
        <v>41159.66667</v>
      </c>
      <c r="B143" s="22">
        <f>IFERROR(__xludf.DUMMYFUNCTION("""COMPUTED_VALUE"""),1437.92)</f>
        <v>1437.92</v>
      </c>
      <c r="C143" s="32">
        <f>IFERROR(__xludf.DUMMYFUNCTION("""COMPUTED_VALUE"""),41160.99861111111)</f>
        <v>41160.99861</v>
      </c>
      <c r="D143" s="22">
        <f>IFERROR(__xludf.DUMMYFUNCTION("""COMPUTED_VALUE"""),1.2815)</f>
        <v>1.2815</v>
      </c>
      <c r="E143" s="32">
        <f>IFERROR(__xludf.DUMMYFUNCTION("""COMPUTED_VALUE"""),41159.75)</f>
        <v>41159.75</v>
      </c>
      <c r="F143" s="22">
        <f>IFERROR(__xludf.DUMMYFUNCTION("""COMPUTED_VALUE"""),2538.6)</f>
        <v>2538.6</v>
      </c>
    </row>
    <row r="144" ht="15.75" customHeight="1">
      <c r="A144" s="32">
        <f>IFERROR(__xludf.DUMMYFUNCTION("""COMPUTED_VALUE"""),41166.666666666664)</f>
        <v>41166.66667</v>
      </c>
      <c r="B144" s="22">
        <f>IFERROR(__xludf.DUMMYFUNCTION("""COMPUTED_VALUE"""),1465.77)</f>
        <v>1465.77</v>
      </c>
      <c r="C144" s="32">
        <f>IFERROR(__xludf.DUMMYFUNCTION("""COMPUTED_VALUE"""),41167.99861111111)</f>
        <v>41167.99861</v>
      </c>
      <c r="D144" s="22">
        <f>IFERROR(__xludf.DUMMYFUNCTION("""COMPUTED_VALUE"""),1.3126)</f>
        <v>1.3126</v>
      </c>
      <c r="E144" s="32">
        <f>IFERROR(__xludf.DUMMYFUNCTION("""COMPUTED_VALUE"""),41166.75)</f>
        <v>41166.75</v>
      </c>
      <c r="F144" s="22">
        <f>IFERROR(__xludf.DUMMYFUNCTION("""COMPUTED_VALUE"""),2594.56)</f>
        <v>2594.56</v>
      </c>
    </row>
    <row r="145" ht="15.75" customHeight="1">
      <c r="A145" s="32">
        <f>IFERROR(__xludf.DUMMYFUNCTION("""COMPUTED_VALUE"""),41173.666666666664)</f>
        <v>41173.66667</v>
      </c>
      <c r="B145" s="22">
        <f>IFERROR(__xludf.DUMMYFUNCTION("""COMPUTED_VALUE"""),1460.15)</f>
        <v>1460.15</v>
      </c>
      <c r="C145" s="32">
        <f>IFERROR(__xludf.DUMMYFUNCTION("""COMPUTED_VALUE"""),41174.99861111111)</f>
        <v>41174.99861</v>
      </c>
      <c r="D145" s="22">
        <f>IFERROR(__xludf.DUMMYFUNCTION("""COMPUTED_VALUE"""),1.2979)</f>
        <v>1.2979</v>
      </c>
      <c r="E145" s="32">
        <f>IFERROR(__xludf.DUMMYFUNCTION("""COMPUTED_VALUE"""),41173.75)</f>
        <v>41173.75</v>
      </c>
      <c r="F145" s="22">
        <f>IFERROR(__xludf.DUMMYFUNCTION("""COMPUTED_VALUE"""),2577.08)</f>
        <v>2577.08</v>
      </c>
    </row>
    <row r="146" ht="15.75" customHeight="1">
      <c r="A146" s="32">
        <f>IFERROR(__xludf.DUMMYFUNCTION("""COMPUTED_VALUE"""),41180.666666666664)</f>
        <v>41180.66667</v>
      </c>
      <c r="B146" s="22">
        <f>IFERROR(__xludf.DUMMYFUNCTION("""COMPUTED_VALUE"""),1440.67)</f>
        <v>1440.67</v>
      </c>
      <c r="C146" s="32">
        <f>IFERROR(__xludf.DUMMYFUNCTION("""COMPUTED_VALUE"""),41181.99861111111)</f>
        <v>41181.99861</v>
      </c>
      <c r="D146" s="22">
        <f>IFERROR(__xludf.DUMMYFUNCTION("""COMPUTED_VALUE"""),1.2854)</f>
        <v>1.2854</v>
      </c>
      <c r="E146" s="32">
        <f>IFERROR(__xludf.DUMMYFUNCTION("""COMPUTED_VALUE"""),41180.75)</f>
        <v>41180.75</v>
      </c>
      <c r="F146" s="22">
        <f>IFERROR(__xludf.DUMMYFUNCTION("""COMPUTED_VALUE"""),2454.26)</f>
        <v>2454.26</v>
      </c>
    </row>
    <row r="147" ht="15.75" customHeight="1">
      <c r="A147" s="32">
        <f>IFERROR(__xludf.DUMMYFUNCTION("""COMPUTED_VALUE"""),41187.666666666664)</f>
        <v>41187.66667</v>
      </c>
      <c r="B147" s="22">
        <f>IFERROR(__xludf.DUMMYFUNCTION("""COMPUTED_VALUE"""),1460.93)</f>
        <v>1460.93</v>
      </c>
      <c r="C147" s="32">
        <f>IFERROR(__xludf.DUMMYFUNCTION("""COMPUTED_VALUE"""),41188.99861111111)</f>
        <v>41188.99861</v>
      </c>
      <c r="D147" s="22">
        <f>IFERROR(__xludf.DUMMYFUNCTION("""COMPUTED_VALUE"""),1.3031)</f>
        <v>1.3031</v>
      </c>
      <c r="E147" s="32">
        <f>IFERROR(__xludf.DUMMYFUNCTION("""COMPUTED_VALUE"""),41187.75)</f>
        <v>41187.75</v>
      </c>
      <c r="F147" s="22">
        <f>IFERROR(__xludf.DUMMYFUNCTION("""COMPUTED_VALUE"""),2531.21)</f>
        <v>2531.21</v>
      </c>
    </row>
    <row r="148" ht="15.75" customHeight="1">
      <c r="A148" s="32">
        <f>IFERROR(__xludf.DUMMYFUNCTION("""COMPUTED_VALUE"""),41194.666666666664)</f>
        <v>41194.66667</v>
      </c>
      <c r="B148" s="22">
        <f>IFERROR(__xludf.DUMMYFUNCTION("""COMPUTED_VALUE"""),1428.59)</f>
        <v>1428.59</v>
      </c>
      <c r="C148" s="32">
        <f>IFERROR(__xludf.DUMMYFUNCTION("""COMPUTED_VALUE"""),41195.99861111111)</f>
        <v>41195.99861</v>
      </c>
      <c r="D148" s="22">
        <f>IFERROR(__xludf.DUMMYFUNCTION("""COMPUTED_VALUE"""),1.2953)</f>
        <v>1.2953</v>
      </c>
      <c r="E148" s="32">
        <f>IFERROR(__xludf.DUMMYFUNCTION("""COMPUTED_VALUE"""),41194.75)</f>
        <v>41194.75</v>
      </c>
      <c r="F148" s="22">
        <f>IFERROR(__xludf.DUMMYFUNCTION("""COMPUTED_VALUE"""),2469.09)</f>
        <v>2469.09</v>
      </c>
    </row>
    <row r="149" ht="15.75" customHeight="1">
      <c r="A149" s="32">
        <f>IFERROR(__xludf.DUMMYFUNCTION("""COMPUTED_VALUE"""),41201.666666666664)</f>
        <v>41201.66667</v>
      </c>
      <c r="B149" s="22">
        <f>IFERROR(__xludf.DUMMYFUNCTION("""COMPUTED_VALUE"""),1433.19)</f>
        <v>1433.19</v>
      </c>
      <c r="C149" s="32">
        <f>IFERROR(__xludf.DUMMYFUNCTION("""COMPUTED_VALUE"""),41202.99861111111)</f>
        <v>41202.99861</v>
      </c>
      <c r="D149" s="22">
        <f>IFERROR(__xludf.DUMMYFUNCTION("""COMPUTED_VALUE"""),1.302)</f>
        <v>1.302</v>
      </c>
      <c r="E149" s="32">
        <f>IFERROR(__xludf.DUMMYFUNCTION("""COMPUTED_VALUE"""),41201.75)</f>
        <v>41201.75</v>
      </c>
      <c r="F149" s="22">
        <f>IFERROR(__xludf.DUMMYFUNCTION("""COMPUTED_VALUE"""),2542.24)</f>
        <v>2542.24</v>
      </c>
    </row>
    <row r="150" ht="15.75" customHeight="1">
      <c r="A150" s="32">
        <f>IFERROR(__xludf.DUMMYFUNCTION("""COMPUTED_VALUE"""),41208.666666666664)</f>
        <v>41208.66667</v>
      </c>
      <c r="B150" s="22">
        <f>IFERROR(__xludf.DUMMYFUNCTION("""COMPUTED_VALUE"""),1411.94)</f>
        <v>1411.94</v>
      </c>
      <c r="C150" s="32">
        <f>IFERROR(__xludf.DUMMYFUNCTION("""COMPUTED_VALUE"""),41209.99861111111)</f>
        <v>41209.99861</v>
      </c>
      <c r="D150" s="22">
        <f>IFERROR(__xludf.DUMMYFUNCTION("""COMPUTED_VALUE"""),1.2937)</f>
        <v>1.2937</v>
      </c>
      <c r="E150" s="32">
        <f>IFERROR(__xludf.DUMMYFUNCTION("""COMPUTED_VALUE"""),41208.75)</f>
        <v>41208.75</v>
      </c>
      <c r="F150" s="22">
        <f>IFERROR(__xludf.DUMMYFUNCTION("""COMPUTED_VALUE"""),2496.1)</f>
        <v>2496.1</v>
      </c>
    </row>
    <row r="151" ht="15.75" customHeight="1">
      <c r="A151" s="32">
        <f>IFERROR(__xludf.DUMMYFUNCTION("""COMPUTED_VALUE"""),41215.666666666664)</f>
        <v>41215.66667</v>
      </c>
      <c r="B151" s="22">
        <f>IFERROR(__xludf.DUMMYFUNCTION("""COMPUTED_VALUE"""),1414.2)</f>
        <v>1414.2</v>
      </c>
      <c r="C151" s="32">
        <f>IFERROR(__xludf.DUMMYFUNCTION("""COMPUTED_VALUE"""),41216.99861111111)</f>
        <v>41216.99861</v>
      </c>
      <c r="D151" s="22">
        <f>IFERROR(__xludf.DUMMYFUNCTION("""COMPUTED_VALUE"""),1.2838)</f>
        <v>1.2838</v>
      </c>
      <c r="E151" s="32">
        <f>IFERROR(__xludf.DUMMYFUNCTION("""COMPUTED_VALUE"""),41215.75)</f>
        <v>41215.75</v>
      </c>
      <c r="F151" s="22">
        <f>IFERROR(__xludf.DUMMYFUNCTION("""COMPUTED_VALUE"""),2547.15)</f>
        <v>2547.15</v>
      </c>
    </row>
    <row r="152" ht="15.75" customHeight="1">
      <c r="A152" s="32">
        <f>IFERROR(__xludf.DUMMYFUNCTION("""COMPUTED_VALUE"""),41222.666666666664)</f>
        <v>41222.66667</v>
      </c>
      <c r="B152" s="22">
        <f>IFERROR(__xludf.DUMMYFUNCTION("""COMPUTED_VALUE"""),1379.85)</f>
        <v>1379.85</v>
      </c>
      <c r="C152" s="32">
        <f>IFERROR(__xludf.DUMMYFUNCTION("""COMPUTED_VALUE"""),41223.99861111111)</f>
        <v>41223.99861</v>
      </c>
      <c r="D152" s="22">
        <f>IFERROR(__xludf.DUMMYFUNCTION("""COMPUTED_VALUE"""),1.2706)</f>
        <v>1.2706</v>
      </c>
      <c r="E152" s="32">
        <f>IFERROR(__xludf.DUMMYFUNCTION("""COMPUTED_VALUE"""),41222.75)</f>
        <v>41222.75</v>
      </c>
      <c r="F152" s="22">
        <f>IFERROR(__xludf.DUMMYFUNCTION("""COMPUTED_VALUE"""),2479.82)</f>
        <v>2479.82</v>
      </c>
    </row>
    <row r="153" ht="15.75" customHeight="1">
      <c r="A153" s="32">
        <f>IFERROR(__xludf.DUMMYFUNCTION("""COMPUTED_VALUE"""),41229.666666666664)</f>
        <v>41229.66667</v>
      </c>
      <c r="B153" s="22">
        <f>IFERROR(__xludf.DUMMYFUNCTION("""COMPUTED_VALUE"""),1359.88)</f>
        <v>1359.88</v>
      </c>
      <c r="C153" s="32">
        <f>IFERROR(__xludf.DUMMYFUNCTION("""COMPUTED_VALUE"""),41230.99861111111)</f>
        <v>41230.99861</v>
      </c>
      <c r="D153" s="22">
        <f>IFERROR(__xludf.DUMMYFUNCTION("""COMPUTED_VALUE"""),1.2743)</f>
        <v>1.2743</v>
      </c>
      <c r="E153" s="32">
        <f>IFERROR(__xludf.DUMMYFUNCTION("""COMPUTED_VALUE"""),41229.75)</f>
        <v>41229.75</v>
      </c>
      <c r="F153" s="22">
        <f>IFERROR(__xludf.DUMMYFUNCTION("""COMPUTED_VALUE"""),2427.32)</f>
        <v>2427.32</v>
      </c>
    </row>
    <row r="154" ht="15.75" customHeight="1">
      <c r="A154" s="32">
        <f>IFERROR(__xludf.DUMMYFUNCTION("""COMPUTED_VALUE"""),41236.666666666664)</f>
        <v>41236.66667</v>
      </c>
      <c r="B154" s="22">
        <f>IFERROR(__xludf.DUMMYFUNCTION("""COMPUTED_VALUE"""),1409.15)</f>
        <v>1409.15</v>
      </c>
      <c r="C154" s="32">
        <f>IFERROR(__xludf.DUMMYFUNCTION("""COMPUTED_VALUE"""),41237.99861111111)</f>
        <v>41237.99861</v>
      </c>
      <c r="D154" s="22">
        <f>IFERROR(__xludf.DUMMYFUNCTION("""COMPUTED_VALUE"""),1.2973)</f>
        <v>1.2973</v>
      </c>
      <c r="E154" s="32">
        <f>IFERROR(__xludf.DUMMYFUNCTION("""COMPUTED_VALUE"""),41236.75)</f>
        <v>41236.75</v>
      </c>
      <c r="F154" s="22">
        <f>IFERROR(__xludf.DUMMYFUNCTION("""COMPUTED_VALUE"""),2557.03)</f>
        <v>2557.03</v>
      </c>
    </row>
    <row r="155" ht="15.75" customHeight="1">
      <c r="A155" s="32">
        <f>IFERROR(__xludf.DUMMYFUNCTION("""COMPUTED_VALUE"""),41243.666666666664)</f>
        <v>41243.66667</v>
      </c>
      <c r="B155" s="22">
        <f>IFERROR(__xludf.DUMMYFUNCTION("""COMPUTED_VALUE"""),1416.18)</f>
        <v>1416.18</v>
      </c>
      <c r="C155" s="32">
        <f>IFERROR(__xludf.DUMMYFUNCTION("""COMPUTED_VALUE"""),41244.99861111111)</f>
        <v>41244.99861</v>
      </c>
      <c r="D155" s="22">
        <f>IFERROR(__xludf.DUMMYFUNCTION("""COMPUTED_VALUE"""),1.2984)</f>
        <v>1.2984</v>
      </c>
      <c r="E155" s="32">
        <f>IFERROR(__xludf.DUMMYFUNCTION("""COMPUTED_VALUE"""),41243.75)</f>
        <v>41243.75</v>
      </c>
      <c r="F155" s="22">
        <f>IFERROR(__xludf.DUMMYFUNCTION("""COMPUTED_VALUE"""),2575.25)</f>
        <v>2575.25</v>
      </c>
    </row>
    <row r="156" ht="15.75" customHeight="1">
      <c r="A156" s="32">
        <f>IFERROR(__xludf.DUMMYFUNCTION("""COMPUTED_VALUE"""),41250.666666666664)</f>
        <v>41250.66667</v>
      </c>
      <c r="B156" s="22">
        <f>IFERROR(__xludf.DUMMYFUNCTION("""COMPUTED_VALUE"""),1418.07)</f>
        <v>1418.07</v>
      </c>
      <c r="C156" s="32">
        <f>IFERROR(__xludf.DUMMYFUNCTION("""COMPUTED_VALUE"""),41251.99861111111)</f>
        <v>41251.99861</v>
      </c>
      <c r="D156" s="22">
        <f>IFERROR(__xludf.DUMMYFUNCTION("""COMPUTED_VALUE"""),1.2927)</f>
        <v>1.2927</v>
      </c>
      <c r="E156" s="32">
        <f>IFERROR(__xludf.DUMMYFUNCTION("""COMPUTED_VALUE"""),41250.75)</f>
        <v>41250.75</v>
      </c>
      <c r="F156" s="22">
        <f>IFERROR(__xludf.DUMMYFUNCTION("""COMPUTED_VALUE"""),2601.37)</f>
        <v>2601.37</v>
      </c>
    </row>
    <row r="157" ht="15.75" customHeight="1">
      <c r="A157" s="32">
        <f>IFERROR(__xludf.DUMMYFUNCTION("""COMPUTED_VALUE"""),41278.666666666664)</f>
        <v>41278.66667</v>
      </c>
      <c r="B157" s="22">
        <f>IFERROR(__xludf.DUMMYFUNCTION("""COMPUTED_VALUE"""),1466.47)</f>
        <v>1466.47</v>
      </c>
      <c r="C157" s="32">
        <f>IFERROR(__xludf.DUMMYFUNCTION("""COMPUTED_VALUE"""),41258.99861111111)</f>
        <v>41258.99861</v>
      </c>
      <c r="D157" s="22">
        <f>IFERROR(__xludf.DUMMYFUNCTION("""COMPUTED_VALUE"""),1.3153)</f>
        <v>1.3153</v>
      </c>
      <c r="E157" s="32">
        <f>IFERROR(__xludf.DUMMYFUNCTION("""COMPUTED_VALUE"""),41257.75)</f>
        <v>41257.75</v>
      </c>
      <c r="F157" s="22">
        <f>IFERROR(__xludf.DUMMYFUNCTION("""COMPUTED_VALUE"""),2630.54)</f>
        <v>2630.54</v>
      </c>
    </row>
    <row r="158" ht="15.75" customHeight="1">
      <c r="A158" s="32">
        <f>IFERROR(__xludf.DUMMYFUNCTION("""COMPUTED_VALUE"""),41285.666666666664)</f>
        <v>41285.66667</v>
      </c>
      <c r="B158" s="22">
        <f>IFERROR(__xludf.DUMMYFUNCTION("""COMPUTED_VALUE"""),1472.05)</f>
        <v>1472.05</v>
      </c>
      <c r="C158" s="32">
        <f>IFERROR(__xludf.DUMMYFUNCTION("""COMPUTED_VALUE"""),41265.99861111111)</f>
        <v>41265.99861</v>
      </c>
      <c r="D158" s="22">
        <f>IFERROR(__xludf.DUMMYFUNCTION("""COMPUTED_VALUE"""),1.3188)</f>
        <v>1.3188</v>
      </c>
      <c r="E158" s="32">
        <f>IFERROR(__xludf.DUMMYFUNCTION("""COMPUTED_VALUE"""),41264.75)</f>
        <v>41264.75</v>
      </c>
      <c r="F158" s="22">
        <f>IFERROR(__xludf.DUMMYFUNCTION("""COMPUTED_VALUE"""),2651.09)</f>
        <v>2651.09</v>
      </c>
    </row>
    <row r="159" ht="15.75" customHeight="1">
      <c r="A159" s="32">
        <f>IFERROR(__xludf.DUMMYFUNCTION("""COMPUTED_VALUE"""),41292.666666666664)</f>
        <v>41292.66667</v>
      </c>
      <c r="B159" s="22">
        <f>IFERROR(__xludf.DUMMYFUNCTION("""COMPUTED_VALUE"""),1485.98)</f>
        <v>1485.98</v>
      </c>
      <c r="C159" s="32">
        <f>IFERROR(__xludf.DUMMYFUNCTION("""COMPUTED_VALUE"""),41272.99861111111)</f>
        <v>41272.99861</v>
      </c>
      <c r="D159" s="22">
        <f>IFERROR(__xludf.DUMMYFUNCTION("""COMPUTED_VALUE"""),1.3215)</f>
        <v>1.3215</v>
      </c>
      <c r="E159" s="32">
        <f>IFERROR(__xludf.DUMMYFUNCTION("""COMPUTED_VALUE"""),41271.75)</f>
        <v>41271.75</v>
      </c>
      <c r="F159" s="22">
        <f>IFERROR(__xludf.DUMMYFUNCTION("""COMPUTED_VALUE"""),2626.85)</f>
        <v>2626.85</v>
      </c>
    </row>
    <row r="160" ht="15.75" customHeight="1">
      <c r="A160" s="32">
        <f>IFERROR(__xludf.DUMMYFUNCTION("""COMPUTED_VALUE"""),41299.666666666664)</f>
        <v>41299.66667</v>
      </c>
      <c r="B160" s="22">
        <f>IFERROR(__xludf.DUMMYFUNCTION("""COMPUTED_VALUE"""),1502.96)</f>
        <v>1502.96</v>
      </c>
      <c r="C160" s="32">
        <f>IFERROR(__xludf.DUMMYFUNCTION("""COMPUTED_VALUE"""),41279.99861111111)</f>
        <v>41279.99861</v>
      </c>
      <c r="D160" s="22">
        <f>IFERROR(__xludf.DUMMYFUNCTION("""COMPUTED_VALUE"""),1.3067)</f>
        <v>1.3067</v>
      </c>
      <c r="E160" s="32">
        <f>IFERROR(__xludf.DUMMYFUNCTION("""COMPUTED_VALUE"""),41278.75)</f>
        <v>41278.75</v>
      </c>
      <c r="F160" s="22">
        <f>IFERROR(__xludf.DUMMYFUNCTION("""COMPUTED_VALUE"""),2709.35)</f>
        <v>2709.35</v>
      </c>
    </row>
    <row r="161" ht="15.75" customHeight="1">
      <c r="A161" s="32">
        <f>IFERROR(__xludf.DUMMYFUNCTION("""COMPUTED_VALUE"""),41306.666666666664)</f>
        <v>41306.66667</v>
      </c>
      <c r="B161" s="22">
        <f>IFERROR(__xludf.DUMMYFUNCTION("""COMPUTED_VALUE"""),1513.17)</f>
        <v>1513.17</v>
      </c>
      <c r="C161" s="32">
        <f>IFERROR(__xludf.DUMMYFUNCTION("""COMPUTED_VALUE"""),41286.99861111111)</f>
        <v>41286.99861</v>
      </c>
      <c r="D161" s="22">
        <f>IFERROR(__xludf.DUMMYFUNCTION("""COMPUTED_VALUE"""),1.334)</f>
        <v>1.334</v>
      </c>
      <c r="E161" s="32">
        <f>IFERROR(__xludf.DUMMYFUNCTION("""COMPUTED_VALUE"""),41285.75)</f>
        <v>41285.75</v>
      </c>
      <c r="F161" s="22">
        <f>IFERROR(__xludf.DUMMYFUNCTION("""COMPUTED_VALUE"""),2717.79)</f>
        <v>2717.79</v>
      </c>
    </row>
    <row r="162" ht="15.75" customHeight="1">
      <c r="A162" s="32">
        <f>IFERROR(__xludf.DUMMYFUNCTION("""COMPUTED_VALUE"""),41313.666666666664)</f>
        <v>41313.66667</v>
      </c>
      <c r="B162" s="22">
        <f>IFERROR(__xludf.DUMMYFUNCTION("""COMPUTED_VALUE"""),1517.93)</f>
        <v>1517.93</v>
      </c>
      <c r="C162" s="32">
        <f>IFERROR(__xludf.DUMMYFUNCTION("""COMPUTED_VALUE"""),41293.99861111111)</f>
        <v>41293.99861</v>
      </c>
      <c r="D162" s="22">
        <f>IFERROR(__xludf.DUMMYFUNCTION("""COMPUTED_VALUE"""),1.3314)</f>
        <v>1.3314</v>
      </c>
      <c r="E162" s="32">
        <f>IFERROR(__xludf.DUMMYFUNCTION("""COMPUTED_VALUE"""),41292.75)</f>
        <v>41292.75</v>
      </c>
      <c r="F162" s="22">
        <f>IFERROR(__xludf.DUMMYFUNCTION("""COMPUTED_VALUE"""),2709.59)</f>
        <v>2709.59</v>
      </c>
    </row>
    <row r="163" ht="15.75" customHeight="1">
      <c r="A163" s="32">
        <f>IFERROR(__xludf.DUMMYFUNCTION("""COMPUTED_VALUE"""),41320.666666666664)</f>
        <v>41320.66667</v>
      </c>
      <c r="B163" s="22">
        <f>IFERROR(__xludf.DUMMYFUNCTION("""COMPUTED_VALUE"""),1519.79)</f>
        <v>1519.79</v>
      </c>
      <c r="C163" s="32">
        <f>IFERROR(__xludf.DUMMYFUNCTION("""COMPUTED_VALUE"""),41300.99861111111)</f>
        <v>41300.99861</v>
      </c>
      <c r="D163" s="22">
        <f>IFERROR(__xludf.DUMMYFUNCTION("""COMPUTED_VALUE"""),1.346)</f>
        <v>1.346</v>
      </c>
      <c r="E163" s="32">
        <f>IFERROR(__xludf.DUMMYFUNCTION("""COMPUTED_VALUE"""),41299.75)</f>
        <v>41299.75</v>
      </c>
      <c r="F163" s="22">
        <f>IFERROR(__xludf.DUMMYFUNCTION("""COMPUTED_VALUE"""),2744.18)</f>
        <v>2744.18</v>
      </c>
    </row>
    <row r="164" ht="15.75" customHeight="1">
      <c r="A164" s="32">
        <f>IFERROR(__xludf.DUMMYFUNCTION("""COMPUTED_VALUE"""),41327.666666666664)</f>
        <v>41327.66667</v>
      </c>
      <c r="B164" s="22">
        <f>IFERROR(__xludf.DUMMYFUNCTION("""COMPUTED_VALUE"""),1515.6)</f>
        <v>1515.6</v>
      </c>
      <c r="C164" s="32">
        <f>IFERROR(__xludf.DUMMYFUNCTION("""COMPUTED_VALUE"""),41307.99861111111)</f>
        <v>41307.99861</v>
      </c>
      <c r="D164" s="22">
        <f>IFERROR(__xludf.DUMMYFUNCTION("""COMPUTED_VALUE"""),1.3642)</f>
        <v>1.3642</v>
      </c>
      <c r="E164" s="32">
        <f>IFERROR(__xludf.DUMMYFUNCTION("""COMPUTED_VALUE"""),41306.75)</f>
        <v>41306.75</v>
      </c>
      <c r="F164" s="22">
        <f>IFERROR(__xludf.DUMMYFUNCTION("""COMPUTED_VALUE"""),2710.08)</f>
        <v>2710.08</v>
      </c>
    </row>
    <row r="165" ht="15.75" customHeight="1">
      <c r="A165" s="32">
        <f>IFERROR(__xludf.DUMMYFUNCTION("""COMPUTED_VALUE"""),41334.666666666664)</f>
        <v>41334.66667</v>
      </c>
      <c r="B165" s="22">
        <f>IFERROR(__xludf.DUMMYFUNCTION("""COMPUTED_VALUE"""),1518.2)</f>
        <v>1518.2</v>
      </c>
      <c r="C165" s="32">
        <f>IFERROR(__xludf.DUMMYFUNCTION("""COMPUTED_VALUE"""),41314.99861111111)</f>
        <v>41314.99861</v>
      </c>
      <c r="D165" s="22">
        <f>IFERROR(__xludf.DUMMYFUNCTION("""COMPUTED_VALUE"""),1.3362)</f>
        <v>1.3362</v>
      </c>
      <c r="E165" s="32">
        <f>IFERROR(__xludf.DUMMYFUNCTION("""COMPUTED_VALUE"""),41313.75)</f>
        <v>41313.75</v>
      </c>
      <c r="F165" s="22">
        <f>IFERROR(__xludf.DUMMYFUNCTION("""COMPUTED_VALUE"""),2630.3)</f>
        <v>2630.3</v>
      </c>
    </row>
    <row r="166" ht="15.75" customHeight="1">
      <c r="A166" s="32">
        <f>IFERROR(__xludf.DUMMYFUNCTION("""COMPUTED_VALUE"""),41341.666666666664)</f>
        <v>41341.66667</v>
      </c>
      <c r="B166" s="22">
        <f>IFERROR(__xludf.DUMMYFUNCTION("""COMPUTED_VALUE"""),1551.18)</f>
        <v>1551.18</v>
      </c>
      <c r="C166" s="32">
        <f>IFERROR(__xludf.DUMMYFUNCTION("""COMPUTED_VALUE"""),41321.99861111111)</f>
        <v>41321.99861</v>
      </c>
      <c r="D166" s="22">
        <f>IFERROR(__xludf.DUMMYFUNCTION("""COMPUTED_VALUE"""),1.3363)</f>
        <v>1.3363</v>
      </c>
      <c r="E166" s="32">
        <f>IFERROR(__xludf.DUMMYFUNCTION("""COMPUTED_VALUE"""),41320.75)</f>
        <v>41320.75</v>
      </c>
      <c r="F166" s="22">
        <f>IFERROR(__xludf.DUMMYFUNCTION("""COMPUTED_VALUE"""),2615.26)</f>
        <v>2615.26</v>
      </c>
    </row>
    <row r="167" ht="15.75" customHeight="1">
      <c r="A167" s="32">
        <f>IFERROR(__xludf.DUMMYFUNCTION("""COMPUTED_VALUE"""),41348.666666666664)</f>
        <v>41348.66667</v>
      </c>
      <c r="B167" s="22">
        <f>IFERROR(__xludf.DUMMYFUNCTION("""COMPUTED_VALUE"""),1560.7)</f>
        <v>1560.7</v>
      </c>
      <c r="C167" s="32">
        <f>IFERROR(__xludf.DUMMYFUNCTION("""COMPUTED_VALUE"""),41328.99861111111)</f>
        <v>41328.99861</v>
      </c>
      <c r="D167" s="22">
        <f>IFERROR(__xludf.DUMMYFUNCTION("""COMPUTED_VALUE"""),1.3192)</f>
        <v>1.3192</v>
      </c>
      <c r="E167" s="32">
        <f>IFERROR(__xludf.DUMMYFUNCTION("""COMPUTED_VALUE"""),41327.75)</f>
        <v>41327.75</v>
      </c>
      <c r="F167" s="22">
        <f>IFERROR(__xludf.DUMMYFUNCTION("""COMPUTED_VALUE"""),2630.05)</f>
        <v>2630.05</v>
      </c>
    </row>
    <row r="168" ht="15.75" customHeight="1">
      <c r="A168" s="32">
        <f>IFERROR(__xludf.DUMMYFUNCTION("""COMPUTED_VALUE"""),41355.666666666664)</f>
        <v>41355.66667</v>
      </c>
      <c r="B168" s="22">
        <f>IFERROR(__xludf.DUMMYFUNCTION("""COMPUTED_VALUE"""),1556.89)</f>
        <v>1556.89</v>
      </c>
      <c r="C168" s="32">
        <f>IFERROR(__xludf.DUMMYFUNCTION("""COMPUTED_VALUE"""),41335.99861111111)</f>
        <v>41335.99861</v>
      </c>
      <c r="D168" s="22">
        <f>IFERROR(__xludf.DUMMYFUNCTION("""COMPUTED_VALUE"""),1.3018)</f>
        <v>1.3018</v>
      </c>
      <c r="E168" s="32">
        <f>IFERROR(__xludf.DUMMYFUNCTION("""COMPUTED_VALUE"""),41334.75)</f>
        <v>41334.75</v>
      </c>
      <c r="F168" s="22">
        <f>IFERROR(__xludf.DUMMYFUNCTION("""COMPUTED_VALUE"""),2616.75)</f>
        <v>2616.75</v>
      </c>
    </row>
    <row r="169" ht="15.75" customHeight="1">
      <c r="A169" s="32">
        <f>IFERROR(__xludf.DUMMYFUNCTION("""COMPUTED_VALUE"""),41361.666666666664)</f>
        <v>41361.66667</v>
      </c>
      <c r="B169" s="22">
        <f>IFERROR(__xludf.DUMMYFUNCTION("""COMPUTED_VALUE"""),1569.19)</f>
        <v>1569.19</v>
      </c>
      <c r="C169" s="32">
        <f>IFERROR(__xludf.DUMMYFUNCTION("""COMPUTED_VALUE"""),41342.99861111111)</f>
        <v>41342.99861</v>
      </c>
      <c r="D169" s="22">
        <f>IFERROR(__xludf.DUMMYFUNCTION("""COMPUTED_VALUE"""),1.3007)</f>
        <v>1.3007</v>
      </c>
      <c r="E169" s="32">
        <f>IFERROR(__xludf.DUMMYFUNCTION("""COMPUTED_VALUE"""),41341.75)</f>
        <v>41341.75</v>
      </c>
      <c r="F169" s="22">
        <f>IFERROR(__xludf.DUMMYFUNCTION("""COMPUTED_VALUE"""),2728.78)</f>
        <v>2728.78</v>
      </c>
    </row>
    <row r="170" ht="15.75" customHeight="1">
      <c r="A170" s="32">
        <f>IFERROR(__xludf.DUMMYFUNCTION("""COMPUTED_VALUE"""),41369.666666666664)</f>
        <v>41369.66667</v>
      </c>
      <c r="B170" s="22">
        <f>IFERROR(__xludf.DUMMYFUNCTION("""COMPUTED_VALUE"""),1553.28)</f>
        <v>1553.28</v>
      </c>
      <c r="C170" s="32">
        <f>IFERROR(__xludf.DUMMYFUNCTION("""COMPUTED_VALUE"""),41349.99861111111)</f>
        <v>41349.99861</v>
      </c>
      <c r="D170" s="22">
        <f>IFERROR(__xludf.DUMMYFUNCTION("""COMPUTED_VALUE"""),1.3077)</f>
        <v>1.3077</v>
      </c>
      <c r="E170" s="32">
        <f>IFERROR(__xludf.DUMMYFUNCTION("""COMPUTED_VALUE"""),41348.75)</f>
        <v>41348.75</v>
      </c>
      <c r="F170" s="22">
        <f>IFERROR(__xludf.DUMMYFUNCTION("""COMPUTED_VALUE"""),2725.72)</f>
        <v>2725.72</v>
      </c>
    </row>
    <row r="171" ht="15.75" customHeight="1">
      <c r="A171" s="32">
        <f>IFERROR(__xludf.DUMMYFUNCTION("""COMPUTED_VALUE"""),41376.666666666664)</f>
        <v>41376.66667</v>
      </c>
      <c r="B171" s="22">
        <f>IFERROR(__xludf.DUMMYFUNCTION("""COMPUTED_VALUE"""),1588.85)</f>
        <v>1588.85</v>
      </c>
      <c r="C171" s="32">
        <f>IFERROR(__xludf.DUMMYFUNCTION("""COMPUTED_VALUE"""),41356.99861111111)</f>
        <v>41356.99861</v>
      </c>
      <c r="D171" s="22">
        <f>IFERROR(__xludf.DUMMYFUNCTION("""COMPUTED_VALUE"""),1.2989)</f>
        <v>1.2989</v>
      </c>
      <c r="E171" s="32">
        <f>IFERROR(__xludf.DUMMYFUNCTION("""COMPUTED_VALUE"""),41355.75)</f>
        <v>41355.75</v>
      </c>
      <c r="F171" s="22">
        <f>IFERROR(__xludf.DUMMYFUNCTION("""COMPUTED_VALUE"""),2681.67)</f>
        <v>2681.67</v>
      </c>
    </row>
    <row r="172" ht="15.75" customHeight="1">
      <c r="A172" s="32">
        <f>IFERROR(__xludf.DUMMYFUNCTION("""COMPUTED_VALUE"""),41383.666666666664)</f>
        <v>41383.66667</v>
      </c>
      <c r="B172" s="22">
        <f>IFERROR(__xludf.DUMMYFUNCTION("""COMPUTED_VALUE"""),1555.25)</f>
        <v>1555.25</v>
      </c>
      <c r="C172" s="32">
        <f>IFERROR(__xludf.DUMMYFUNCTION("""COMPUTED_VALUE"""),41363.99861111111)</f>
        <v>41363.99861</v>
      </c>
      <c r="D172" s="22">
        <f>IFERROR(__xludf.DUMMYFUNCTION("""COMPUTED_VALUE"""),1.282)</f>
        <v>1.282</v>
      </c>
      <c r="E172" s="32">
        <f>IFERROR(__xludf.DUMMYFUNCTION("""COMPUTED_VALUE"""),41361.75)</f>
        <v>41361.75</v>
      </c>
      <c r="F172" s="22">
        <f>IFERROR(__xludf.DUMMYFUNCTION("""COMPUTED_VALUE"""),2624.02)</f>
        <v>2624.02</v>
      </c>
    </row>
    <row r="173" ht="15.75" customHeight="1">
      <c r="A173" s="32">
        <f>IFERROR(__xludf.DUMMYFUNCTION("""COMPUTED_VALUE"""),41390.666666666664)</f>
        <v>41390.66667</v>
      </c>
      <c r="B173" s="22">
        <f>IFERROR(__xludf.DUMMYFUNCTION("""COMPUTED_VALUE"""),1582.24)</f>
        <v>1582.24</v>
      </c>
      <c r="C173" s="32">
        <f>IFERROR(__xludf.DUMMYFUNCTION("""COMPUTED_VALUE"""),41370.99861111111)</f>
        <v>41370.99861</v>
      </c>
      <c r="D173" s="22">
        <f>IFERROR(__xludf.DUMMYFUNCTION("""COMPUTED_VALUE"""),1.2921)</f>
        <v>1.2921</v>
      </c>
      <c r="E173" s="32">
        <f>IFERROR(__xludf.DUMMYFUNCTION("""COMPUTED_VALUE"""),41369.75)</f>
        <v>41369.75</v>
      </c>
      <c r="F173" s="22">
        <f>IFERROR(__xludf.DUMMYFUNCTION("""COMPUTED_VALUE"""),2585.28)</f>
        <v>2585.28</v>
      </c>
    </row>
    <row r="174" ht="15.75" customHeight="1">
      <c r="A174" s="32">
        <f>IFERROR(__xludf.DUMMYFUNCTION("""COMPUTED_VALUE"""),41397.666666666664)</f>
        <v>41397.66667</v>
      </c>
      <c r="B174" s="22">
        <f>IFERROR(__xludf.DUMMYFUNCTION("""COMPUTED_VALUE"""),1614.42)</f>
        <v>1614.42</v>
      </c>
      <c r="C174" s="32">
        <f>IFERROR(__xludf.DUMMYFUNCTION("""COMPUTED_VALUE"""),41377.99861111111)</f>
        <v>41377.99861</v>
      </c>
      <c r="D174" s="22">
        <f>IFERROR(__xludf.DUMMYFUNCTION("""COMPUTED_VALUE"""),1.311)</f>
        <v>1.311</v>
      </c>
      <c r="E174" s="32">
        <f>IFERROR(__xludf.DUMMYFUNCTION("""COMPUTED_VALUE"""),41376.75)</f>
        <v>41376.75</v>
      </c>
      <c r="F174" s="22">
        <f>IFERROR(__xludf.DUMMYFUNCTION("""COMPUTED_VALUE"""),2633.47)</f>
        <v>2633.47</v>
      </c>
    </row>
    <row r="175" ht="15.75" customHeight="1">
      <c r="A175" s="32">
        <f>IFERROR(__xludf.DUMMYFUNCTION("""COMPUTED_VALUE"""),41404.666666666664)</f>
        <v>41404.66667</v>
      </c>
      <c r="B175" s="22">
        <f>IFERROR(__xludf.DUMMYFUNCTION("""COMPUTED_VALUE"""),1633.7)</f>
        <v>1633.7</v>
      </c>
      <c r="C175" s="32">
        <f>IFERROR(__xludf.DUMMYFUNCTION("""COMPUTED_VALUE"""),41384.99861111111)</f>
        <v>41384.99861</v>
      </c>
      <c r="D175" s="22">
        <f>IFERROR(__xludf.DUMMYFUNCTION("""COMPUTED_VALUE"""),1.3052)</f>
        <v>1.3052</v>
      </c>
      <c r="E175" s="32">
        <f>IFERROR(__xludf.DUMMYFUNCTION("""COMPUTED_VALUE"""),41383.75)</f>
        <v>41383.75</v>
      </c>
      <c r="F175" s="22">
        <f>IFERROR(__xludf.DUMMYFUNCTION("""COMPUTED_VALUE"""),2575.16)</f>
        <v>2575.16</v>
      </c>
    </row>
    <row r="176" ht="15.75" customHeight="1">
      <c r="A176" s="32">
        <f>IFERROR(__xludf.DUMMYFUNCTION("""COMPUTED_VALUE"""),41411.666666666664)</f>
        <v>41411.66667</v>
      </c>
      <c r="B176" s="22">
        <f>IFERROR(__xludf.DUMMYFUNCTION("""COMPUTED_VALUE"""),1666.12)</f>
        <v>1666.12</v>
      </c>
      <c r="C176" s="32">
        <f>IFERROR(__xludf.DUMMYFUNCTION("""COMPUTED_VALUE"""),41391.99861111111)</f>
        <v>41391.99861</v>
      </c>
      <c r="D176" s="22">
        <f>IFERROR(__xludf.DUMMYFUNCTION("""COMPUTED_VALUE"""),1.3029)</f>
        <v>1.3029</v>
      </c>
      <c r="E176" s="32">
        <f>IFERROR(__xludf.DUMMYFUNCTION("""COMPUTED_VALUE"""),41390.75)</f>
        <v>41390.75</v>
      </c>
      <c r="F176" s="22">
        <f>IFERROR(__xludf.DUMMYFUNCTION("""COMPUTED_VALUE"""),2683.43)</f>
        <v>2683.43</v>
      </c>
    </row>
    <row r="177" ht="15.75" customHeight="1">
      <c r="A177" s="32">
        <f>IFERROR(__xludf.DUMMYFUNCTION("""COMPUTED_VALUE"""),41418.666666666664)</f>
        <v>41418.66667</v>
      </c>
      <c r="B177" s="22">
        <f>IFERROR(__xludf.DUMMYFUNCTION("""COMPUTED_VALUE"""),1649.6)</f>
        <v>1649.6</v>
      </c>
      <c r="C177" s="32">
        <f>IFERROR(__xludf.DUMMYFUNCTION("""COMPUTED_VALUE"""),41398.99861111111)</f>
        <v>41398.99861</v>
      </c>
      <c r="D177" s="22">
        <f>IFERROR(__xludf.DUMMYFUNCTION("""COMPUTED_VALUE"""),1.3116)</f>
        <v>1.3116</v>
      </c>
      <c r="E177" s="32">
        <f>IFERROR(__xludf.DUMMYFUNCTION("""COMPUTED_VALUE"""),41397.75)</f>
        <v>41397.75</v>
      </c>
      <c r="F177" s="22">
        <f>IFERROR(__xludf.DUMMYFUNCTION("""COMPUTED_VALUE"""),2763.68)</f>
        <v>2763.68</v>
      </c>
    </row>
    <row r="178" ht="15.75" customHeight="1">
      <c r="A178" s="32">
        <f>IFERROR(__xludf.DUMMYFUNCTION("""COMPUTED_VALUE"""),41425.666666666664)</f>
        <v>41425.66667</v>
      </c>
      <c r="B178" s="22">
        <f>IFERROR(__xludf.DUMMYFUNCTION("""COMPUTED_VALUE"""),1630.74)</f>
        <v>1630.74</v>
      </c>
      <c r="C178" s="32">
        <f>IFERROR(__xludf.DUMMYFUNCTION("""COMPUTED_VALUE"""),41405.99861111111)</f>
        <v>41405.99861</v>
      </c>
      <c r="D178" s="22">
        <f>IFERROR(__xludf.DUMMYFUNCTION("""COMPUTED_VALUE"""),1.2992)</f>
        <v>1.2992</v>
      </c>
      <c r="E178" s="32">
        <f>IFERROR(__xludf.DUMMYFUNCTION("""COMPUTED_VALUE"""),41404.75)</f>
        <v>41404.75</v>
      </c>
      <c r="F178" s="22">
        <f>IFERROR(__xludf.DUMMYFUNCTION("""COMPUTED_VALUE"""),2785.24)</f>
        <v>2785.24</v>
      </c>
    </row>
    <row r="179" ht="15.75" customHeight="1">
      <c r="A179" s="32">
        <f>IFERROR(__xludf.DUMMYFUNCTION("""COMPUTED_VALUE"""),41432.666666666664)</f>
        <v>41432.66667</v>
      </c>
      <c r="B179" s="22">
        <f>IFERROR(__xludf.DUMMYFUNCTION("""COMPUTED_VALUE"""),1643.38)</f>
        <v>1643.38</v>
      </c>
      <c r="C179" s="32">
        <f>IFERROR(__xludf.DUMMYFUNCTION("""COMPUTED_VALUE"""),41412.99861111111)</f>
        <v>41412.99861</v>
      </c>
      <c r="D179" s="22">
        <f>IFERROR(__xludf.DUMMYFUNCTION("""COMPUTED_VALUE"""),1.2838)</f>
        <v>1.2838</v>
      </c>
      <c r="E179" s="32">
        <f>IFERROR(__xludf.DUMMYFUNCTION("""COMPUTED_VALUE"""),41411.75)</f>
        <v>41411.75</v>
      </c>
      <c r="F179" s="22">
        <f>IFERROR(__xludf.DUMMYFUNCTION("""COMPUTED_VALUE"""),2817.99)</f>
        <v>2817.99</v>
      </c>
    </row>
    <row r="180" ht="15.75" customHeight="1">
      <c r="A180" s="32">
        <f>IFERROR(__xludf.DUMMYFUNCTION("""COMPUTED_VALUE"""),41439.666666666664)</f>
        <v>41439.66667</v>
      </c>
      <c r="B180" s="22">
        <f>IFERROR(__xludf.DUMMYFUNCTION("""COMPUTED_VALUE"""),1626.73)</f>
        <v>1626.73</v>
      </c>
      <c r="C180" s="32">
        <f>IFERROR(__xludf.DUMMYFUNCTION("""COMPUTED_VALUE"""),41419.99861111111)</f>
        <v>41419.99861</v>
      </c>
      <c r="D180" s="22">
        <f>IFERROR(__xludf.DUMMYFUNCTION("""COMPUTED_VALUE"""),1.2931)</f>
        <v>1.2931</v>
      </c>
      <c r="E180" s="32">
        <f>IFERROR(__xludf.DUMMYFUNCTION("""COMPUTED_VALUE"""),41418.75)</f>
        <v>41418.75</v>
      </c>
      <c r="F180" s="22">
        <f>IFERROR(__xludf.DUMMYFUNCTION("""COMPUTED_VALUE"""),2764.29)</f>
        <v>2764.29</v>
      </c>
    </row>
    <row r="181" ht="15.75" customHeight="1">
      <c r="A181" s="32">
        <f>IFERROR(__xludf.DUMMYFUNCTION("""COMPUTED_VALUE"""),41446.666666666664)</f>
        <v>41446.66667</v>
      </c>
      <c r="B181" s="22">
        <f>IFERROR(__xludf.DUMMYFUNCTION("""COMPUTED_VALUE"""),1592.43)</f>
        <v>1592.43</v>
      </c>
      <c r="C181" s="32">
        <f>IFERROR(__xludf.DUMMYFUNCTION("""COMPUTED_VALUE"""),41426.99861111111)</f>
        <v>41426.99861</v>
      </c>
      <c r="D181" s="22">
        <f>IFERROR(__xludf.DUMMYFUNCTION("""COMPUTED_VALUE"""),1.2995)</f>
        <v>1.2995</v>
      </c>
      <c r="E181" s="32">
        <f>IFERROR(__xludf.DUMMYFUNCTION("""COMPUTED_VALUE"""),41425.75)</f>
        <v>41425.75</v>
      </c>
      <c r="F181" s="22">
        <f>IFERROR(__xludf.DUMMYFUNCTION("""COMPUTED_VALUE"""),2769.64)</f>
        <v>2769.64</v>
      </c>
    </row>
    <row r="182" ht="15.75" customHeight="1">
      <c r="A182" s="32">
        <f>IFERROR(__xludf.DUMMYFUNCTION("""COMPUTED_VALUE"""),41453.666666666664)</f>
        <v>41453.66667</v>
      </c>
      <c r="B182" s="22">
        <f>IFERROR(__xludf.DUMMYFUNCTION("""COMPUTED_VALUE"""),1606.28)</f>
        <v>1606.28</v>
      </c>
      <c r="C182" s="32">
        <f>IFERROR(__xludf.DUMMYFUNCTION("""COMPUTED_VALUE"""),41433.99861111111)</f>
        <v>41433.99861</v>
      </c>
      <c r="D182" s="22">
        <f>IFERROR(__xludf.DUMMYFUNCTION("""COMPUTED_VALUE"""),1.3222)</f>
        <v>1.3222</v>
      </c>
      <c r="E182" s="32">
        <f>IFERROR(__xludf.DUMMYFUNCTION("""COMPUTED_VALUE"""),41432.75)</f>
        <v>41432.75</v>
      </c>
      <c r="F182" s="22">
        <f>IFERROR(__xludf.DUMMYFUNCTION("""COMPUTED_VALUE"""),2724.08)</f>
        <v>2724.08</v>
      </c>
    </row>
    <row r="183" ht="15.75" customHeight="1">
      <c r="A183" s="32">
        <f>IFERROR(__xludf.DUMMYFUNCTION("""COMPUTED_VALUE"""),41460.666666666664)</f>
        <v>41460.66667</v>
      </c>
      <c r="B183" s="22">
        <f>IFERROR(__xludf.DUMMYFUNCTION("""COMPUTED_VALUE"""),1631.89)</f>
        <v>1631.89</v>
      </c>
      <c r="C183" s="32">
        <f>IFERROR(__xludf.DUMMYFUNCTION("""COMPUTED_VALUE"""),41440.99861111111)</f>
        <v>41440.99861</v>
      </c>
      <c r="D183" s="22">
        <f>IFERROR(__xludf.DUMMYFUNCTION("""COMPUTED_VALUE"""),1.3346)</f>
        <v>1.3346</v>
      </c>
      <c r="E183" s="32">
        <f>IFERROR(__xludf.DUMMYFUNCTION("""COMPUTED_VALUE"""),41439.75)</f>
        <v>41439.75</v>
      </c>
      <c r="F183" s="22">
        <f>IFERROR(__xludf.DUMMYFUNCTION("""COMPUTED_VALUE"""),2667.32)</f>
        <v>2667.32</v>
      </c>
    </row>
    <row r="184" ht="15.75" customHeight="1">
      <c r="A184" s="32">
        <f>IFERROR(__xludf.DUMMYFUNCTION("""COMPUTED_VALUE"""),41467.666666666664)</f>
        <v>41467.66667</v>
      </c>
      <c r="B184" s="22">
        <f>IFERROR(__xludf.DUMMYFUNCTION("""COMPUTED_VALUE"""),1680.19)</f>
        <v>1680.19</v>
      </c>
      <c r="C184" s="32">
        <f>IFERROR(__xludf.DUMMYFUNCTION("""COMPUTED_VALUE"""),41447.99861111111)</f>
        <v>41447.99861</v>
      </c>
      <c r="D184" s="22">
        <f>IFERROR(__xludf.DUMMYFUNCTION("""COMPUTED_VALUE"""),1.3122)</f>
        <v>1.3122</v>
      </c>
      <c r="E184" s="32">
        <f>IFERROR(__xludf.DUMMYFUNCTION("""COMPUTED_VALUE"""),41446.75)</f>
        <v>41446.75</v>
      </c>
      <c r="F184" s="22">
        <f>IFERROR(__xludf.DUMMYFUNCTION("""COMPUTED_VALUE"""),2549.48)</f>
        <v>2549.48</v>
      </c>
    </row>
    <row r="185" ht="15.75" customHeight="1">
      <c r="A185" s="32">
        <f>IFERROR(__xludf.DUMMYFUNCTION("""COMPUTED_VALUE"""),41474.666666666664)</f>
        <v>41474.66667</v>
      </c>
      <c r="B185" s="22">
        <f>IFERROR(__xludf.DUMMYFUNCTION("""COMPUTED_VALUE"""),1692.09)</f>
        <v>1692.09</v>
      </c>
      <c r="C185" s="32">
        <f>IFERROR(__xludf.DUMMYFUNCTION("""COMPUTED_VALUE"""),41454.99861111111)</f>
        <v>41454.99861</v>
      </c>
      <c r="D185" s="22">
        <f>IFERROR(__xludf.DUMMYFUNCTION("""COMPUTED_VALUE"""),1.3009)</f>
        <v>1.3009</v>
      </c>
      <c r="E185" s="32">
        <f>IFERROR(__xludf.DUMMYFUNCTION("""COMPUTED_VALUE"""),41453.75)</f>
        <v>41453.75</v>
      </c>
      <c r="F185" s="22">
        <f>IFERROR(__xludf.DUMMYFUNCTION("""COMPUTED_VALUE"""),2602.59)</f>
        <v>2602.59</v>
      </c>
    </row>
    <row r="186" ht="15.75" customHeight="1">
      <c r="A186" s="32">
        <f>IFERROR(__xludf.DUMMYFUNCTION("""COMPUTED_VALUE"""),41481.666666666664)</f>
        <v>41481.66667</v>
      </c>
      <c r="B186" s="22">
        <f>IFERROR(__xludf.DUMMYFUNCTION("""COMPUTED_VALUE"""),1691.65)</f>
        <v>1691.65</v>
      </c>
      <c r="C186" s="32">
        <f>IFERROR(__xludf.DUMMYFUNCTION("""COMPUTED_VALUE"""),41461.99861111111)</f>
        <v>41461.99861</v>
      </c>
      <c r="D186" s="22">
        <f>IFERROR(__xludf.DUMMYFUNCTION("""COMPUTED_VALUE"""),1.2832)</f>
        <v>1.2832</v>
      </c>
      <c r="E186" s="32">
        <f>IFERROR(__xludf.DUMMYFUNCTION("""COMPUTED_VALUE"""),41460.75)</f>
        <v>41460.75</v>
      </c>
      <c r="F186" s="22">
        <f>IFERROR(__xludf.DUMMYFUNCTION("""COMPUTED_VALUE"""),2596.01)</f>
        <v>2596.01</v>
      </c>
    </row>
    <row r="187" ht="15.75" customHeight="1">
      <c r="A187" s="32">
        <f>IFERROR(__xludf.DUMMYFUNCTION("""COMPUTED_VALUE"""),41488.666666666664)</f>
        <v>41488.66667</v>
      </c>
      <c r="B187" s="22">
        <f>IFERROR(__xludf.DUMMYFUNCTION("""COMPUTED_VALUE"""),1709.67)</f>
        <v>1709.67</v>
      </c>
      <c r="C187" s="32">
        <f>IFERROR(__xludf.DUMMYFUNCTION("""COMPUTED_VALUE"""),41468.99861111111)</f>
        <v>41468.99861</v>
      </c>
      <c r="D187" s="22">
        <f>IFERROR(__xludf.DUMMYFUNCTION("""COMPUTED_VALUE"""),1.3066)</f>
        <v>1.3066</v>
      </c>
      <c r="E187" s="32">
        <f>IFERROR(__xludf.DUMMYFUNCTION("""COMPUTED_VALUE"""),41467.75)</f>
        <v>41467.75</v>
      </c>
      <c r="F187" s="22">
        <f>IFERROR(__xludf.DUMMYFUNCTION("""COMPUTED_VALUE"""),2674.87)</f>
        <v>2674.87</v>
      </c>
    </row>
    <row r="188" ht="15.75" customHeight="1">
      <c r="A188" s="32">
        <f>IFERROR(__xludf.DUMMYFUNCTION("""COMPUTED_VALUE"""),41495.666666666664)</f>
        <v>41495.66667</v>
      </c>
      <c r="B188" s="22">
        <f>IFERROR(__xludf.DUMMYFUNCTION("""COMPUTED_VALUE"""),1691.42)</f>
        <v>1691.42</v>
      </c>
      <c r="C188" s="32">
        <f>IFERROR(__xludf.DUMMYFUNCTION("""COMPUTED_VALUE"""),41475.99861111111)</f>
        <v>41475.99861</v>
      </c>
      <c r="D188" s="22">
        <f>IFERROR(__xludf.DUMMYFUNCTION("""COMPUTED_VALUE"""),1.3144)</f>
        <v>1.3144</v>
      </c>
      <c r="E188" s="32">
        <f>IFERROR(__xludf.DUMMYFUNCTION("""COMPUTED_VALUE"""),41474.75)</f>
        <v>41474.75</v>
      </c>
      <c r="F188" s="22">
        <f>IFERROR(__xludf.DUMMYFUNCTION("""COMPUTED_VALUE"""),2716.17)</f>
        <v>2716.17</v>
      </c>
    </row>
    <row r="189" ht="15.75" customHeight="1">
      <c r="A189" s="32">
        <f>IFERROR(__xludf.DUMMYFUNCTION("""COMPUTED_VALUE"""),41502.666666666664)</f>
        <v>41502.66667</v>
      </c>
      <c r="B189" s="22">
        <f>IFERROR(__xludf.DUMMYFUNCTION("""COMPUTED_VALUE"""),1655.83)</f>
        <v>1655.83</v>
      </c>
      <c r="C189" s="32">
        <f>IFERROR(__xludf.DUMMYFUNCTION("""COMPUTED_VALUE"""),41482.99861111111)</f>
        <v>41482.99861</v>
      </c>
      <c r="D189" s="22">
        <f>IFERROR(__xludf.DUMMYFUNCTION("""COMPUTED_VALUE"""),1.3278)</f>
        <v>1.3278</v>
      </c>
      <c r="E189" s="32">
        <f>IFERROR(__xludf.DUMMYFUNCTION("""COMPUTED_VALUE"""),41481.75)</f>
        <v>41481.75</v>
      </c>
      <c r="F189" s="22">
        <f>IFERROR(__xludf.DUMMYFUNCTION("""COMPUTED_VALUE"""),2741.96)</f>
        <v>2741.96</v>
      </c>
    </row>
    <row r="190" ht="15.75" customHeight="1">
      <c r="A190" s="32">
        <f>IFERROR(__xludf.DUMMYFUNCTION("""COMPUTED_VALUE"""),41509.666666666664)</f>
        <v>41509.66667</v>
      </c>
      <c r="B190" s="22">
        <f>IFERROR(__xludf.DUMMYFUNCTION("""COMPUTED_VALUE"""),1663.5)</f>
        <v>1663.5</v>
      </c>
      <c r="C190" s="32">
        <f>IFERROR(__xludf.DUMMYFUNCTION("""COMPUTED_VALUE"""),41489.99861111111)</f>
        <v>41489.99861</v>
      </c>
      <c r="D190" s="22">
        <f>IFERROR(__xludf.DUMMYFUNCTION("""COMPUTED_VALUE"""),1.3281)</f>
        <v>1.3281</v>
      </c>
      <c r="E190" s="32">
        <f>IFERROR(__xludf.DUMMYFUNCTION("""COMPUTED_VALUE"""),41488.75)</f>
        <v>41488.75</v>
      </c>
      <c r="F190" s="22">
        <f>IFERROR(__xludf.DUMMYFUNCTION("""COMPUTED_VALUE"""),2811.0)</f>
        <v>2811</v>
      </c>
    </row>
    <row r="191" ht="15.75" customHeight="1">
      <c r="A191" s="32">
        <f>IFERROR(__xludf.DUMMYFUNCTION("""COMPUTED_VALUE"""),41516.666666666664)</f>
        <v>41516.66667</v>
      </c>
      <c r="B191" s="22">
        <f>IFERROR(__xludf.DUMMYFUNCTION("""COMPUTED_VALUE"""),1632.97)</f>
        <v>1632.97</v>
      </c>
      <c r="C191" s="32">
        <f>IFERROR(__xludf.DUMMYFUNCTION("""COMPUTED_VALUE"""),41496.99861111111)</f>
        <v>41496.99861</v>
      </c>
      <c r="D191" s="22">
        <f>IFERROR(__xludf.DUMMYFUNCTION("""COMPUTED_VALUE"""),1.3341)</f>
        <v>1.3341</v>
      </c>
      <c r="E191" s="32">
        <f>IFERROR(__xludf.DUMMYFUNCTION("""COMPUTED_VALUE"""),41495.75)</f>
        <v>41495.75</v>
      </c>
      <c r="F191" s="22">
        <f>IFERROR(__xludf.DUMMYFUNCTION("""COMPUTED_VALUE"""),2825.62)</f>
        <v>2825.62</v>
      </c>
    </row>
    <row r="192" ht="15.75" customHeight="1">
      <c r="A192" s="32">
        <f>IFERROR(__xludf.DUMMYFUNCTION("""COMPUTED_VALUE"""),41523.666666666664)</f>
        <v>41523.66667</v>
      </c>
      <c r="B192" s="22">
        <f>IFERROR(__xludf.DUMMYFUNCTION("""COMPUTED_VALUE"""),1655.17)</f>
        <v>1655.17</v>
      </c>
      <c r="C192" s="32">
        <f>IFERROR(__xludf.DUMMYFUNCTION("""COMPUTED_VALUE"""),41503.99861111111)</f>
        <v>41503.99861</v>
      </c>
      <c r="D192" s="22">
        <f>IFERROR(__xludf.DUMMYFUNCTION("""COMPUTED_VALUE"""),1.3329)</f>
        <v>1.3329</v>
      </c>
      <c r="E192" s="32">
        <f>IFERROR(__xludf.DUMMYFUNCTION("""COMPUTED_VALUE"""),41502.75)</f>
        <v>41502.75</v>
      </c>
      <c r="F192" s="22">
        <f>IFERROR(__xludf.DUMMYFUNCTION("""COMPUTED_VALUE"""),2854.27)</f>
        <v>2854.27</v>
      </c>
    </row>
    <row r="193" ht="15.75" customHeight="1">
      <c r="A193" s="32">
        <f>IFERROR(__xludf.DUMMYFUNCTION("""COMPUTED_VALUE"""),41530.666666666664)</f>
        <v>41530.66667</v>
      </c>
      <c r="B193" s="22">
        <f>IFERROR(__xludf.DUMMYFUNCTION("""COMPUTED_VALUE"""),1687.99)</f>
        <v>1687.99</v>
      </c>
      <c r="C193" s="32">
        <f>IFERROR(__xludf.DUMMYFUNCTION("""COMPUTED_VALUE"""),41510.99861111111)</f>
        <v>41510.99861</v>
      </c>
      <c r="D193" s="22">
        <f>IFERROR(__xludf.DUMMYFUNCTION("""COMPUTED_VALUE"""),1.3381)</f>
        <v>1.3381</v>
      </c>
      <c r="E193" s="32">
        <f>IFERROR(__xludf.DUMMYFUNCTION("""COMPUTED_VALUE"""),41509.75)</f>
        <v>41509.75</v>
      </c>
      <c r="F193" s="22">
        <f>IFERROR(__xludf.DUMMYFUNCTION("""COMPUTED_VALUE"""),2826.05)</f>
        <v>2826.05</v>
      </c>
    </row>
    <row r="194" ht="15.75" customHeight="1">
      <c r="A194" s="32">
        <f>IFERROR(__xludf.DUMMYFUNCTION("""COMPUTED_VALUE"""),41537.666666666664)</f>
        <v>41537.66667</v>
      </c>
      <c r="B194" s="22">
        <f>IFERROR(__xludf.DUMMYFUNCTION("""COMPUTED_VALUE"""),1709.91)</f>
        <v>1709.91</v>
      </c>
      <c r="C194" s="32">
        <f>IFERROR(__xludf.DUMMYFUNCTION("""COMPUTED_VALUE"""),41517.99861111111)</f>
        <v>41517.99861</v>
      </c>
      <c r="D194" s="22">
        <f>IFERROR(__xludf.DUMMYFUNCTION("""COMPUTED_VALUE"""),1.3222)</f>
        <v>1.3222</v>
      </c>
      <c r="E194" s="32">
        <f>IFERROR(__xludf.DUMMYFUNCTION("""COMPUTED_VALUE"""),41516.75)</f>
        <v>41516.75</v>
      </c>
      <c r="F194" s="22">
        <f>IFERROR(__xludf.DUMMYFUNCTION("""COMPUTED_VALUE"""),2721.37)</f>
        <v>2721.37</v>
      </c>
    </row>
    <row r="195" ht="15.75" customHeight="1">
      <c r="A195" s="32">
        <f>IFERROR(__xludf.DUMMYFUNCTION("""COMPUTED_VALUE"""),41544.666666666664)</f>
        <v>41544.66667</v>
      </c>
      <c r="B195" s="22">
        <f>IFERROR(__xludf.DUMMYFUNCTION("""COMPUTED_VALUE"""),1691.75)</f>
        <v>1691.75</v>
      </c>
      <c r="C195" s="32">
        <f>IFERROR(__xludf.DUMMYFUNCTION("""COMPUTED_VALUE"""),41524.99861111111)</f>
        <v>41524.99861</v>
      </c>
      <c r="D195" s="22">
        <f>IFERROR(__xludf.DUMMYFUNCTION("""COMPUTED_VALUE"""),1.3179)</f>
        <v>1.3179</v>
      </c>
      <c r="E195" s="32">
        <f>IFERROR(__xludf.DUMMYFUNCTION("""COMPUTED_VALUE"""),41523.75)</f>
        <v>41523.75</v>
      </c>
      <c r="F195" s="22">
        <f>IFERROR(__xludf.DUMMYFUNCTION("""COMPUTED_VALUE"""),2803.42)</f>
        <v>2803.42</v>
      </c>
    </row>
    <row r="196" ht="15.75" customHeight="1">
      <c r="A196" s="32">
        <f>IFERROR(__xludf.DUMMYFUNCTION("""COMPUTED_VALUE"""),41551.666666666664)</f>
        <v>41551.66667</v>
      </c>
      <c r="B196" s="22">
        <f>IFERROR(__xludf.DUMMYFUNCTION("""COMPUTED_VALUE"""),1690.5)</f>
        <v>1690.5</v>
      </c>
      <c r="C196" s="32">
        <f>IFERROR(__xludf.DUMMYFUNCTION("""COMPUTED_VALUE"""),41531.99861111111)</f>
        <v>41531.99861</v>
      </c>
      <c r="D196" s="22">
        <f>IFERROR(__xludf.DUMMYFUNCTION("""COMPUTED_VALUE"""),1.3298)</f>
        <v>1.3298</v>
      </c>
      <c r="E196" s="32">
        <f>IFERROR(__xludf.DUMMYFUNCTION("""COMPUTED_VALUE"""),41530.75)</f>
        <v>41530.75</v>
      </c>
      <c r="F196" s="22">
        <f>IFERROR(__xludf.DUMMYFUNCTION("""COMPUTED_VALUE"""),2867.11)</f>
        <v>2867.11</v>
      </c>
    </row>
    <row r="197" ht="15.75" customHeight="1">
      <c r="A197" s="32">
        <f>IFERROR(__xludf.DUMMYFUNCTION("""COMPUTED_VALUE"""),41558.666666666664)</f>
        <v>41558.66667</v>
      </c>
      <c r="B197" s="22">
        <f>IFERROR(__xludf.DUMMYFUNCTION("""COMPUTED_VALUE"""),1703.2)</f>
        <v>1703.2</v>
      </c>
      <c r="C197" s="32">
        <f>IFERROR(__xludf.DUMMYFUNCTION("""COMPUTED_VALUE"""),41538.99861111111)</f>
        <v>41538.99861</v>
      </c>
      <c r="D197" s="22">
        <f>IFERROR(__xludf.DUMMYFUNCTION("""COMPUTED_VALUE"""),1.3523)</f>
        <v>1.3523</v>
      </c>
      <c r="E197" s="32">
        <f>IFERROR(__xludf.DUMMYFUNCTION("""COMPUTED_VALUE"""),41537.75)</f>
        <v>41537.75</v>
      </c>
      <c r="F197" s="22">
        <f>IFERROR(__xludf.DUMMYFUNCTION("""COMPUTED_VALUE"""),2927.19)</f>
        <v>2927.19</v>
      </c>
    </row>
    <row r="198" ht="15.75" customHeight="1">
      <c r="A198" s="32">
        <f>IFERROR(__xludf.DUMMYFUNCTION("""COMPUTED_VALUE"""),41565.666666666664)</f>
        <v>41565.66667</v>
      </c>
      <c r="B198" s="22">
        <f>IFERROR(__xludf.DUMMYFUNCTION("""COMPUTED_VALUE"""),1744.5)</f>
        <v>1744.5</v>
      </c>
      <c r="C198" s="32">
        <f>IFERROR(__xludf.DUMMYFUNCTION("""COMPUTED_VALUE"""),41545.99861111111)</f>
        <v>41545.99861</v>
      </c>
      <c r="D198" s="22">
        <f>IFERROR(__xludf.DUMMYFUNCTION("""COMPUTED_VALUE"""),1.3524)</f>
        <v>1.3524</v>
      </c>
      <c r="E198" s="32">
        <f>IFERROR(__xludf.DUMMYFUNCTION("""COMPUTED_VALUE"""),41544.75)</f>
        <v>41544.75</v>
      </c>
      <c r="F198" s="22">
        <f>IFERROR(__xludf.DUMMYFUNCTION("""COMPUTED_VALUE"""),2919.34)</f>
        <v>2919.34</v>
      </c>
    </row>
    <row r="199" ht="15.75" customHeight="1">
      <c r="A199" s="32">
        <f>IFERROR(__xludf.DUMMYFUNCTION("""COMPUTED_VALUE"""),41572.666666666664)</f>
        <v>41572.66667</v>
      </c>
      <c r="B199" s="22">
        <f>IFERROR(__xludf.DUMMYFUNCTION("""COMPUTED_VALUE"""),1759.77)</f>
        <v>1759.77</v>
      </c>
      <c r="C199" s="32">
        <f>IFERROR(__xludf.DUMMYFUNCTION("""COMPUTED_VALUE"""),41552.99861111111)</f>
        <v>41552.99861</v>
      </c>
      <c r="D199" s="22">
        <f>IFERROR(__xludf.DUMMYFUNCTION("""COMPUTED_VALUE"""),1.3557)</f>
        <v>1.3557</v>
      </c>
      <c r="E199" s="32">
        <f>IFERROR(__xludf.DUMMYFUNCTION("""COMPUTED_VALUE"""),41551.75)</f>
        <v>41551.75</v>
      </c>
      <c r="F199" s="22">
        <f>IFERROR(__xludf.DUMMYFUNCTION("""COMPUTED_VALUE"""),2928.31)</f>
        <v>2928.31</v>
      </c>
    </row>
    <row r="200" ht="15.75" customHeight="1">
      <c r="A200" s="32">
        <f>IFERROR(__xludf.DUMMYFUNCTION("""COMPUTED_VALUE"""),41579.666666666664)</f>
        <v>41579.66667</v>
      </c>
      <c r="B200" s="22">
        <f>IFERROR(__xludf.DUMMYFUNCTION("""COMPUTED_VALUE"""),1761.64)</f>
        <v>1761.64</v>
      </c>
      <c r="C200" s="32">
        <f>IFERROR(__xludf.DUMMYFUNCTION("""COMPUTED_VALUE"""),41559.99861111111)</f>
        <v>41559.99861</v>
      </c>
      <c r="D200" s="22">
        <f>IFERROR(__xludf.DUMMYFUNCTION("""COMPUTED_VALUE"""),1.3541)</f>
        <v>1.3541</v>
      </c>
      <c r="E200" s="32">
        <f>IFERROR(__xludf.DUMMYFUNCTION("""COMPUTED_VALUE"""),41558.75)</f>
        <v>41558.75</v>
      </c>
      <c r="F200" s="22">
        <f>IFERROR(__xludf.DUMMYFUNCTION("""COMPUTED_VALUE"""),2974.28)</f>
        <v>2974.28</v>
      </c>
    </row>
    <row r="201" ht="15.75" customHeight="1">
      <c r="A201" s="32">
        <f>IFERROR(__xludf.DUMMYFUNCTION("""COMPUTED_VALUE"""),41586.666666666664)</f>
        <v>41586.66667</v>
      </c>
      <c r="B201" s="22">
        <f>IFERROR(__xludf.DUMMYFUNCTION("""COMPUTED_VALUE"""),1770.61)</f>
        <v>1770.61</v>
      </c>
      <c r="C201" s="32">
        <f>IFERROR(__xludf.DUMMYFUNCTION("""COMPUTED_VALUE"""),41566.99861111111)</f>
        <v>41566.99861</v>
      </c>
      <c r="D201" s="22">
        <f>IFERROR(__xludf.DUMMYFUNCTION("""COMPUTED_VALUE"""),1.3682)</f>
        <v>1.3682</v>
      </c>
      <c r="E201" s="32">
        <f>IFERROR(__xludf.DUMMYFUNCTION("""COMPUTED_VALUE"""),41565.75)</f>
        <v>41565.75</v>
      </c>
      <c r="F201" s="22">
        <f>IFERROR(__xludf.DUMMYFUNCTION("""COMPUTED_VALUE"""),3033.31)</f>
        <v>3033.31</v>
      </c>
    </row>
    <row r="202" ht="15.75" customHeight="1">
      <c r="A202" s="32">
        <f>IFERROR(__xludf.DUMMYFUNCTION("""COMPUTED_VALUE"""),41593.666666666664)</f>
        <v>41593.66667</v>
      </c>
      <c r="B202" s="22">
        <f>IFERROR(__xludf.DUMMYFUNCTION("""COMPUTED_VALUE"""),1798.18)</f>
        <v>1798.18</v>
      </c>
      <c r="C202" s="32">
        <f>IFERROR(__xludf.DUMMYFUNCTION("""COMPUTED_VALUE"""),41573.99861111111)</f>
        <v>41573.99861</v>
      </c>
      <c r="D202" s="22">
        <f>IFERROR(__xludf.DUMMYFUNCTION("""COMPUTED_VALUE"""),1.3804)</f>
        <v>1.3804</v>
      </c>
      <c r="E202" s="32">
        <f>IFERROR(__xludf.DUMMYFUNCTION("""COMPUTED_VALUE"""),41572.75)</f>
        <v>41572.75</v>
      </c>
      <c r="F202" s="22">
        <f>IFERROR(__xludf.DUMMYFUNCTION("""COMPUTED_VALUE"""),3034.5)</f>
        <v>3034.5</v>
      </c>
    </row>
    <row r="203" ht="15.75" customHeight="1">
      <c r="A203" s="32">
        <f>IFERROR(__xludf.DUMMYFUNCTION("""COMPUTED_VALUE"""),41600.666666666664)</f>
        <v>41600.66667</v>
      </c>
      <c r="B203" s="22">
        <f>IFERROR(__xludf.DUMMYFUNCTION("""COMPUTED_VALUE"""),1804.76)</f>
        <v>1804.76</v>
      </c>
      <c r="C203" s="32">
        <f>IFERROR(__xludf.DUMMYFUNCTION("""COMPUTED_VALUE"""),41580.99861111111)</f>
        <v>41580.99861</v>
      </c>
      <c r="D203" s="22">
        <f>IFERROR(__xludf.DUMMYFUNCTION("""COMPUTED_VALUE"""),1.3487)</f>
        <v>1.3487</v>
      </c>
      <c r="E203" s="32">
        <f>IFERROR(__xludf.DUMMYFUNCTION("""COMPUTED_VALUE"""),41579.75)</f>
        <v>41579.75</v>
      </c>
      <c r="F203" s="22">
        <f>IFERROR(__xludf.DUMMYFUNCTION("""COMPUTED_VALUE"""),3052.14)</f>
        <v>3052.14</v>
      </c>
    </row>
    <row r="204" ht="15.75" customHeight="1">
      <c r="A204" s="32">
        <f>IFERROR(__xludf.DUMMYFUNCTION("""COMPUTED_VALUE"""),41607.666666666664)</f>
        <v>41607.66667</v>
      </c>
      <c r="B204" s="22">
        <f>IFERROR(__xludf.DUMMYFUNCTION("""COMPUTED_VALUE"""),1805.81)</f>
        <v>1805.81</v>
      </c>
      <c r="C204" s="32">
        <f>IFERROR(__xludf.DUMMYFUNCTION("""COMPUTED_VALUE"""),41587.99861111111)</f>
        <v>41587.99861</v>
      </c>
      <c r="D204" s="22">
        <f>IFERROR(__xludf.DUMMYFUNCTION("""COMPUTED_VALUE"""),1.3368)</f>
        <v>1.3368</v>
      </c>
      <c r="E204" s="32">
        <f>IFERROR(__xludf.DUMMYFUNCTION("""COMPUTED_VALUE"""),41586.75)</f>
        <v>41586.75</v>
      </c>
      <c r="F204" s="22">
        <f>IFERROR(__xludf.DUMMYFUNCTION("""COMPUTED_VALUE"""),3034.91)</f>
        <v>3034.91</v>
      </c>
    </row>
    <row r="205" ht="15.75" customHeight="1">
      <c r="A205" s="32">
        <f>IFERROR(__xludf.DUMMYFUNCTION("""COMPUTED_VALUE"""),41614.666666666664)</f>
        <v>41614.66667</v>
      </c>
      <c r="B205" s="22">
        <f>IFERROR(__xludf.DUMMYFUNCTION("""COMPUTED_VALUE"""),1805.09)</f>
        <v>1805.09</v>
      </c>
      <c r="C205" s="32">
        <f>IFERROR(__xludf.DUMMYFUNCTION("""COMPUTED_VALUE"""),41594.99861111111)</f>
        <v>41594.99861</v>
      </c>
      <c r="D205" s="22">
        <f>IFERROR(__xludf.DUMMYFUNCTION("""COMPUTED_VALUE"""),1.3495)</f>
        <v>1.3495</v>
      </c>
      <c r="E205" s="32">
        <f>IFERROR(__xludf.DUMMYFUNCTION("""COMPUTED_VALUE"""),41593.75)</f>
        <v>41593.75</v>
      </c>
      <c r="F205" s="22">
        <f>IFERROR(__xludf.DUMMYFUNCTION("""COMPUTED_VALUE"""),3054.53)</f>
        <v>3054.53</v>
      </c>
    </row>
    <row r="206" ht="15.75" customHeight="1">
      <c r="A206" s="32">
        <f>IFERROR(__xludf.DUMMYFUNCTION("""COMPUTED_VALUE"""),41621.666666666664)</f>
        <v>41621.66667</v>
      </c>
      <c r="B206" s="22">
        <f>IFERROR(__xludf.DUMMYFUNCTION("""COMPUTED_VALUE"""),1775.32)</f>
        <v>1775.32</v>
      </c>
      <c r="C206" s="32">
        <f>IFERROR(__xludf.DUMMYFUNCTION("""COMPUTED_VALUE"""),41601.99861111111)</f>
        <v>41601.99861</v>
      </c>
      <c r="D206" s="22">
        <f>IFERROR(__xludf.DUMMYFUNCTION("""COMPUTED_VALUE"""),1.3556)</f>
        <v>1.3556</v>
      </c>
      <c r="E206" s="32">
        <f>IFERROR(__xludf.DUMMYFUNCTION("""COMPUTED_VALUE"""),41600.75)</f>
        <v>41600.75</v>
      </c>
      <c r="F206" s="22">
        <f>IFERROR(__xludf.DUMMYFUNCTION("""COMPUTED_VALUE"""),3055.98)</f>
        <v>3055.98</v>
      </c>
    </row>
    <row r="207" ht="15.75" customHeight="1">
      <c r="A207" s="32">
        <f>IFERROR(__xludf.DUMMYFUNCTION("""COMPUTED_VALUE"""),41628.666666666664)</f>
        <v>41628.66667</v>
      </c>
      <c r="B207" s="22">
        <f>IFERROR(__xludf.DUMMYFUNCTION("""COMPUTED_VALUE"""),1818.31)</f>
        <v>1818.31</v>
      </c>
      <c r="C207" s="32">
        <f>IFERROR(__xludf.DUMMYFUNCTION("""COMPUTED_VALUE"""),41608.99861111111)</f>
        <v>41608.99861</v>
      </c>
      <c r="D207" s="22">
        <f>IFERROR(__xludf.DUMMYFUNCTION("""COMPUTED_VALUE"""),1.3592)</f>
        <v>1.3592</v>
      </c>
      <c r="E207" s="32">
        <f>IFERROR(__xludf.DUMMYFUNCTION("""COMPUTED_VALUE"""),41607.75)</f>
        <v>41607.75</v>
      </c>
      <c r="F207" s="22">
        <f>IFERROR(__xludf.DUMMYFUNCTION("""COMPUTED_VALUE"""),3086.64)</f>
        <v>3086.64</v>
      </c>
    </row>
    <row r="208" ht="15.75" customHeight="1">
      <c r="A208" s="32">
        <f>IFERROR(__xludf.DUMMYFUNCTION("""COMPUTED_VALUE"""),41635.666666666664)</f>
        <v>41635.66667</v>
      </c>
      <c r="B208" s="22">
        <f>IFERROR(__xludf.DUMMYFUNCTION("""COMPUTED_VALUE"""),1841.4)</f>
        <v>1841.4</v>
      </c>
      <c r="C208" s="32">
        <f>IFERROR(__xludf.DUMMYFUNCTION("""COMPUTED_VALUE"""),41615.99861111111)</f>
        <v>41615.99861</v>
      </c>
      <c r="D208" s="22">
        <f>IFERROR(__xludf.DUMMYFUNCTION("""COMPUTED_VALUE"""),1.3703)</f>
        <v>1.3703</v>
      </c>
      <c r="E208" s="32">
        <f>IFERROR(__xludf.DUMMYFUNCTION("""COMPUTED_VALUE"""),41614.75)</f>
        <v>41614.75</v>
      </c>
      <c r="F208" s="22">
        <f>IFERROR(__xludf.DUMMYFUNCTION("""COMPUTED_VALUE"""),2979.94)</f>
        <v>2979.94</v>
      </c>
    </row>
    <row r="209" ht="15.75" customHeight="1">
      <c r="A209" s="32">
        <f>IFERROR(__xludf.DUMMYFUNCTION("""COMPUTED_VALUE"""),41642.666666666664)</f>
        <v>41642.66667</v>
      </c>
      <c r="B209" s="22">
        <f>IFERROR(__xludf.DUMMYFUNCTION("""COMPUTED_VALUE"""),1831.37)</f>
        <v>1831.37</v>
      </c>
      <c r="C209" s="32">
        <f>IFERROR(__xludf.DUMMYFUNCTION("""COMPUTED_VALUE"""),41622.99861111111)</f>
        <v>41622.99861</v>
      </c>
      <c r="D209" s="22">
        <f>IFERROR(__xludf.DUMMYFUNCTION("""COMPUTED_VALUE"""),1.3741)</f>
        <v>1.3741</v>
      </c>
      <c r="E209" s="32">
        <f>IFERROR(__xludf.DUMMYFUNCTION("""COMPUTED_VALUE"""),41621.75)</f>
        <v>41621.75</v>
      </c>
      <c r="F209" s="22">
        <f>IFERROR(__xludf.DUMMYFUNCTION("""COMPUTED_VALUE"""),2921.92)</f>
        <v>2921.92</v>
      </c>
    </row>
    <row r="210" ht="15.75" customHeight="1">
      <c r="A210" s="32">
        <f>IFERROR(__xludf.DUMMYFUNCTION("""COMPUTED_VALUE"""),41649.666666666664)</f>
        <v>41649.66667</v>
      </c>
      <c r="B210" s="22">
        <f>IFERROR(__xludf.DUMMYFUNCTION("""COMPUTED_VALUE"""),1842.37)</f>
        <v>1842.37</v>
      </c>
      <c r="C210" s="32">
        <f>IFERROR(__xludf.DUMMYFUNCTION("""COMPUTED_VALUE"""),41629.99861111111)</f>
        <v>41629.99861</v>
      </c>
      <c r="D210" s="22">
        <f>IFERROR(__xludf.DUMMYFUNCTION("""COMPUTED_VALUE"""),1.3671)</f>
        <v>1.3671</v>
      </c>
      <c r="E210" s="32">
        <f>IFERROR(__xludf.DUMMYFUNCTION("""COMPUTED_VALUE"""),41628.75)</f>
        <v>41628.75</v>
      </c>
      <c r="F210" s="22">
        <f>IFERROR(__xludf.DUMMYFUNCTION("""COMPUTED_VALUE"""),3049.35)</f>
        <v>3049.35</v>
      </c>
    </row>
    <row r="211" ht="15.75" customHeight="1">
      <c r="A211" s="32">
        <f>IFERROR(__xludf.DUMMYFUNCTION("""COMPUTED_VALUE"""),41656.666666666664)</f>
        <v>41656.66667</v>
      </c>
      <c r="B211" s="22">
        <f>IFERROR(__xludf.DUMMYFUNCTION("""COMPUTED_VALUE"""),1838.7)</f>
        <v>1838.7</v>
      </c>
      <c r="C211" s="32">
        <f>IFERROR(__xludf.DUMMYFUNCTION("""COMPUTED_VALUE"""),41636.99861111111)</f>
        <v>41636.99861</v>
      </c>
      <c r="D211" s="22">
        <f>IFERROR(__xludf.DUMMYFUNCTION("""COMPUTED_VALUE"""),1.3741)</f>
        <v>1.3741</v>
      </c>
      <c r="E211" s="32">
        <f>IFERROR(__xludf.DUMMYFUNCTION("""COMPUTED_VALUE"""),41635.75)</f>
        <v>41635.75</v>
      </c>
      <c r="F211" s="22">
        <f>IFERROR(__xludf.DUMMYFUNCTION("""COMPUTED_VALUE"""),3111.37)</f>
        <v>3111.37</v>
      </c>
    </row>
    <row r="212" ht="15.75" customHeight="1">
      <c r="A212" s="32">
        <f>IFERROR(__xludf.DUMMYFUNCTION("""COMPUTED_VALUE"""),41663.666666666664)</f>
        <v>41663.66667</v>
      </c>
      <c r="B212" s="22">
        <f>IFERROR(__xludf.DUMMYFUNCTION("""COMPUTED_VALUE"""),1790.29)</f>
        <v>1790.29</v>
      </c>
      <c r="C212" s="32">
        <f>IFERROR(__xludf.DUMMYFUNCTION("""COMPUTED_VALUE"""),41643.99861111111)</f>
        <v>41643.99861</v>
      </c>
      <c r="D212" s="22">
        <f>IFERROR(__xludf.DUMMYFUNCTION("""COMPUTED_VALUE"""),1.3587)</f>
        <v>1.3587</v>
      </c>
      <c r="E212" s="32">
        <f>IFERROR(__xludf.DUMMYFUNCTION("""COMPUTED_VALUE"""),41642.75)</f>
        <v>41642.75</v>
      </c>
      <c r="F212" s="22">
        <f>IFERROR(__xludf.DUMMYFUNCTION("""COMPUTED_VALUE"""),3074.43)</f>
        <v>3074.43</v>
      </c>
    </row>
    <row r="213" ht="15.75" customHeight="1">
      <c r="A213" s="32">
        <f>IFERROR(__xludf.DUMMYFUNCTION("""COMPUTED_VALUE"""),41670.666666666664)</f>
        <v>41670.66667</v>
      </c>
      <c r="B213" s="22">
        <f>IFERROR(__xludf.DUMMYFUNCTION("""COMPUTED_VALUE"""),1782.59)</f>
        <v>1782.59</v>
      </c>
      <c r="C213" s="32">
        <f>IFERROR(__xludf.DUMMYFUNCTION("""COMPUTED_VALUE"""),41650.99861111111)</f>
        <v>41650.99861</v>
      </c>
      <c r="D213" s="22">
        <f>IFERROR(__xludf.DUMMYFUNCTION("""COMPUTED_VALUE"""),1.367)</f>
        <v>1.367</v>
      </c>
      <c r="E213" s="32">
        <f>IFERROR(__xludf.DUMMYFUNCTION("""COMPUTED_VALUE"""),41649.75)</f>
        <v>41649.75</v>
      </c>
      <c r="F213" s="22">
        <f>IFERROR(__xludf.DUMMYFUNCTION("""COMPUTED_VALUE"""),3104.15)</f>
        <v>3104.15</v>
      </c>
    </row>
    <row r="214" ht="15.75" customHeight="1">
      <c r="A214" s="32">
        <f>IFERROR(__xludf.DUMMYFUNCTION("""COMPUTED_VALUE"""),41677.666666666664)</f>
        <v>41677.66667</v>
      </c>
      <c r="B214" s="22">
        <f>IFERROR(__xludf.DUMMYFUNCTION("""COMPUTED_VALUE"""),1797.02)</f>
        <v>1797.02</v>
      </c>
      <c r="C214" s="32">
        <f>IFERROR(__xludf.DUMMYFUNCTION("""COMPUTED_VALUE"""),41657.99861111111)</f>
        <v>41657.99861</v>
      </c>
      <c r="D214" s="22">
        <f>IFERROR(__xludf.DUMMYFUNCTION("""COMPUTED_VALUE"""),1.354)</f>
        <v>1.354</v>
      </c>
      <c r="E214" s="32">
        <f>IFERROR(__xludf.DUMMYFUNCTION("""COMPUTED_VALUE"""),41656.75)</f>
        <v>41656.75</v>
      </c>
      <c r="F214" s="22">
        <f>IFERROR(__xludf.DUMMYFUNCTION("""COMPUTED_VALUE"""),3154.1)</f>
        <v>3154.1</v>
      </c>
    </row>
    <row r="215" ht="15.75" customHeight="1">
      <c r="A215" s="32">
        <f>IFERROR(__xludf.DUMMYFUNCTION("""COMPUTED_VALUE"""),41684.666666666664)</f>
        <v>41684.66667</v>
      </c>
      <c r="B215" s="22">
        <f>IFERROR(__xludf.DUMMYFUNCTION("""COMPUTED_VALUE"""),1838.63)</f>
        <v>1838.63</v>
      </c>
      <c r="C215" s="32">
        <f>IFERROR(__xludf.DUMMYFUNCTION("""COMPUTED_VALUE"""),41664.99861111111)</f>
        <v>41664.99861</v>
      </c>
      <c r="D215" s="22">
        <f>IFERROR(__xludf.DUMMYFUNCTION("""COMPUTED_VALUE"""),1.3675)</f>
        <v>1.3675</v>
      </c>
      <c r="E215" s="32">
        <f>IFERROR(__xludf.DUMMYFUNCTION("""COMPUTED_VALUE"""),41663.75)</f>
        <v>41663.75</v>
      </c>
      <c r="F215" s="22">
        <f>IFERROR(__xludf.DUMMYFUNCTION("""COMPUTED_VALUE"""),3028.2)</f>
        <v>3028.2</v>
      </c>
    </row>
    <row r="216" ht="15.75" customHeight="1">
      <c r="A216" s="32">
        <f>IFERROR(__xludf.DUMMYFUNCTION("""COMPUTED_VALUE"""),41691.666666666664)</f>
        <v>41691.66667</v>
      </c>
      <c r="B216" s="22">
        <f>IFERROR(__xludf.DUMMYFUNCTION("""COMPUTED_VALUE"""),1836.25)</f>
        <v>1836.25</v>
      </c>
      <c r="C216" s="32">
        <f>IFERROR(__xludf.DUMMYFUNCTION("""COMPUTED_VALUE"""),41671.99861111111)</f>
        <v>41671.99861</v>
      </c>
      <c r="D216" s="22">
        <f>IFERROR(__xludf.DUMMYFUNCTION("""COMPUTED_VALUE"""),1.3487)</f>
        <v>1.3487</v>
      </c>
      <c r="E216" s="32">
        <f>IFERROR(__xludf.DUMMYFUNCTION("""COMPUTED_VALUE"""),41670.75)</f>
        <v>41670.75</v>
      </c>
      <c r="F216" s="22">
        <f>IFERROR(__xludf.DUMMYFUNCTION("""COMPUTED_VALUE"""),3013.96)</f>
        <v>3013.96</v>
      </c>
    </row>
    <row r="217" ht="15.75" customHeight="1">
      <c r="A217" s="32">
        <f>IFERROR(__xludf.DUMMYFUNCTION("""COMPUTED_VALUE"""),41698.666666666664)</f>
        <v>41698.66667</v>
      </c>
      <c r="B217" s="22">
        <f>IFERROR(__xludf.DUMMYFUNCTION("""COMPUTED_VALUE"""),1859.45)</f>
        <v>1859.45</v>
      </c>
      <c r="C217" s="32">
        <f>IFERROR(__xludf.DUMMYFUNCTION("""COMPUTED_VALUE"""),41678.99861111111)</f>
        <v>41678.99861</v>
      </c>
      <c r="D217" s="22">
        <f>IFERROR(__xludf.DUMMYFUNCTION("""COMPUTED_VALUE"""),1.3634)</f>
        <v>1.3634</v>
      </c>
      <c r="E217" s="32">
        <f>IFERROR(__xludf.DUMMYFUNCTION("""COMPUTED_VALUE"""),41677.75)</f>
        <v>41677.75</v>
      </c>
      <c r="F217" s="22">
        <f>IFERROR(__xludf.DUMMYFUNCTION("""COMPUTED_VALUE"""),3038.49)</f>
        <v>3038.49</v>
      </c>
    </row>
    <row r="218" ht="15.75" customHeight="1">
      <c r="A218" s="32">
        <f>IFERROR(__xludf.DUMMYFUNCTION("""COMPUTED_VALUE"""),41705.666666666664)</f>
        <v>41705.66667</v>
      </c>
      <c r="B218" s="22">
        <f>IFERROR(__xludf.DUMMYFUNCTION("""COMPUTED_VALUE"""),1878.04)</f>
        <v>1878.04</v>
      </c>
      <c r="C218" s="32">
        <f>IFERROR(__xludf.DUMMYFUNCTION("""COMPUTED_VALUE"""),41685.99861111111)</f>
        <v>41685.99861</v>
      </c>
      <c r="D218" s="22">
        <f>IFERROR(__xludf.DUMMYFUNCTION("""COMPUTED_VALUE"""),1.3691)</f>
        <v>1.3691</v>
      </c>
      <c r="E218" s="32">
        <f>IFERROR(__xludf.DUMMYFUNCTION("""COMPUTED_VALUE"""),41684.75)</f>
        <v>41684.75</v>
      </c>
      <c r="F218" s="22">
        <f>IFERROR(__xludf.DUMMYFUNCTION("""COMPUTED_VALUE"""),3119.06)</f>
        <v>3119.06</v>
      </c>
    </row>
    <row r="219" ht="15.75" customHeight="1">
      <c r="A219" s="32">
        <f>IFERROR(__xludf.DUMMYFUNCTION("""COMPUTED_VALUE"""),41712.666666666664)</f>
        <v>41712.66667</v>
      </c>
      <c r="B219" s="22">
        <f>IFERROR(__xludf.DUMMYFUNCTION("""COMPUTED_VALUE"""),1841.13)</f>
        <v>1841.13</v>
      </c>
      <c r="C219" s="32">
        <f>IFERROR(__xludf.DUMMYFUNCTION("""COMPUTED_VALUE"""),41692.99861111111)</f>
        <v>41692.99861</v>
      </c>
      <c r="D219" s="22">
        <f>IFERROR(__xludf.DUMMYFUNCTION("""COMPUTED_VALUE"""),1.3739)</f>
        <v>1.3739</v>
      </c>
      <c r="E219" s="32">
        <f>IFERROR(__xludf.DUMMYFUNCTION("""COMPUTED_VALUE"""),41691.75)</f>
        <v>41691.75</v>
      </c>
      <c r="F219" s="22">
        <f>IFERROR(__xludf.DUMMYFUNCTION("""COMPUTED_VALUE"""),3131.67)</f>
        <v>3131.67</v>
      </c>
    </row>
    <row r="220" ht="15.75" customHeight="1">
      <c r="A220" s="32">
        <f>IFERROR(__xludf.DUMMYFUNCTION("""COMPUTED_VALUE"""),41719.666666666664)</f>
        <v>41719.66667</v>
      </c>
      <c r="B220" s="22">
        <f>IFERROR(__xludf.DUMMYFUNCTION("""COMPUTED_VALUE"""),1866.4)</f>
        <v>1866.4</v>
      </c>
      <c r="C220" s="32">
        <f>IFERROR(__xludf.DUMMYFUNCTION("""COMPUTED_VALUE"""),41699.99861111111)</f>
        <v>41699.99861</v>
      </c>
      <c r="D220" s="22">
        <f>IFERROR(__xludf.DUMMYFUNCTION("""COMPUTED_VALUE"""),1.38)</f>
        <v>1.38</v>
      </c>
      <c r="E220" s="32">
        <f>IFERROR(__xludf.DUMMYFUNCTION("""COMPUTED_VALUE"""),41698.75)</f>
        <v>41698.75</v>
      </c>
      <c r="F220" s="22">
        <f>IFERROR(__xludf.DUMMYFUNCTION("""COMPUTED_VALUE"""),3149.23)</f>
        <v>3149.23</v>
      </c>
    </row>
    <row r="221" ht="15.75" customHeight="1">
      <c r="A221" s="32">
        <f>IFERROR(__xludf.DUMMYFUNCTION("""COMPUTED_VALUE"""),41726.666666666664)</f>
        <v>41726.66667</v>
      </c>
      <c r="B221" s="22">
        <f>IFERROR(__xludf.DUMMYFUNCTION("""COMPUTED_VALUE"""),1857.62)</f>
        <v>1857.62</v>
      </c>
      <c r="C221" s="32">
        <f>IFERROR(__xludf.DUMMYFUNCTION("""COMPUTED_VALUE"""),41706.99861111111)</f>
        <v>41706.99861</v>
      </c>
      <c r="D221" s="22">
        <f>IFERROR(__xludf.DUMMYFUNCTION("""COMPUTED_VALUE"""),1.3879)</f>
        <v>1.3879</v>
      </c>
      <c r="E221" s="32">
        <f>IFERROR(__xludf.DUMMYFUNCTION("""COMPUTED_VALUE"""),41705.75)</f>
        <v>41705.75</v>
      </c>
      <c r="F221" s="22">
        <f>IFERROR(__xludf.DUMMYFUNCTION("""COMPUTED_VALUE"""),3095.31)</f>
        <v>3095.31</v>
      </c>
    </row>
    <row r="222" ht="15.75" customHeight="1">
      <c r="A222" s="32">
        <f>IFERROR(__xludf.DUMMYFUNCTION("""COMPUTED_VALUE"""),41733.666666666664)</f>
        <v>41733.66667</v>
      </c>
      <c r="B222" s="22">
        <f>IFERROR(__xludf.DUMMYFUNCTION("""COMPUTED_VALUE"""),1865.09)</f>
        <v>1865.09</v>
      </c>
      <c r="C222" s="32">
        <f>IFERROR(__xludf.DUMMYFUNCTION("""COMPUTED_VALUE"""),41713.99861111111)</f>
        <v>41713.99861</v>
      </c>
      <c r="D222" s="22">
        <f>IFERROR(__xludf.DUMMYFUNCTION("""COMPUTED_VALUE"""),1.3914)</f>
        <v>1.3914</v>
      </c>
      <c r="E222" s="32">
        <f>IFERROR(__xludf.DUMMYFUNCTION("""COMPUTED_VALUE"""),41712.75)</f>
        <v>41712.75</v>
      </c>
      <c r="F222" s="22">
        <f>IFERROR(__xludf.DUMMYFUNCTION("""COMPUTED_VALUE"""),3004.64)</f>
        <v>3004.64</v>
      </c>
    </row>
    <row r="223" ht="15.75" customHeight="1">
      <c r="A223" s="32">
        <f>IFERROR(__xludf.DUMMYFUNCTION("""COMPUTED_VALUE"""),41740.666666666664)</f>
        <v>41740.66667</v>
      </c>
      <c r="B223" s="22">
        <f>IFERROR(__xludf.DUMMYFUNCTION("""COMPUTED_VALUE"""),1815.69)</f>
        <v>1815.69</v>
      </c>
      <c r="C223" s="32">
        <f>IFERROR(__xludf.DUMMYFUNCTION("""COMPUTED_VALUE"""),41720.99861111111)</f>
        <v>41720.99861</v>
      </c>
      <c r="D223" s="22">
        <f>IFERROR(__xludf.DUMMYFUNCTION("""COMPUTED_VALUE"""),1.3797)</f>
        <v>1.3797</v>
      </c>
      <c r="E223" s="32">
        <f>IFERROR(__xludf.DUMMYFUNCTION("""COMPUTED_VALUE"""),41719.75)</f>
        <v>41719.75</v>
      </c>
      <c r="F223" s="22">
        <f>IFERROR(__xludf.DUMMYFUNCTION("""COMPUTED_VALUE"""),3096.49)</f>
        <v>3096.49</v>
      </c>
    </row>
    <row r="224" ht="15.75" customHeight="1">
      <c r="A224" s="32">
        <f>IFERROR(__xludf.DUMMYFUNCTION("""COMPUTED_VALUE"""),41746.666666666664)</f>
        <v>41746.66667</v>
      </c>
      <c r="B224" s="22">
        <f>IFERROR(__xludf.DUMMYFUNCTION("""COMPUTED_VALUE"""),1864.85)</f>
        <v>1864.85</v>
      </c>
      <c r="C224" s="32">
        <f>IFERROR(__xludf.DUMMYFUNCTION("""COMPUTED_VALUE"""),41727.99861111111)</f>
        <v>41727.99861</v>
      </c>
      <c r="D224" s="22">
        <f>IFERROR(__xludf.DUMMYFUNCTION("""COMPUTED_VALUE"""),1.3752)</f>
        <v>1.3752</v>
      </c>
      <c r="E224" s="32">
        <f>IFERROR(__xludf.DUMMYFUNCTION("""COMPUTED_VALUE"""),41726.75)</f>
        <v>41726.75</v>
      </c>
      <c r="F224" s="22">
        <f>IFERROR(__xludf.DUMMYFUNCTION("""COMPUTED_VALUE"""),3172.43)</f>
        <v>3172.43</v>
      </c>
    </row>
    <row r="225" ht="15.75" customHeight="1">
      <c r="A225" s="32">
        <f>IFERROR(__xludf.DUMMYFUNCTION("""COMPUTED_VALUE"""),41754.666666666664)</f>
        <v>41754.66667</v>
      </c>
      <c r="B225" s="22">
        <f>IFERROR(__xludf.DUMMYFUNCTION("""COMPUTED_VALUE"""),1863.4)</f>
        <v>1863.4</v>
      </c>
      <c r="C225" s="32">
        <f>IFERROR(__xludf.DUMMYFUNCTION("""COMPUTED_VALUE"""),41734.99861111111)</f>
        <v>41734.99861</v>
      </c>
      <c r="D225" s="22">
        <f>IFERROR(__xludf.DUMMYFUNCTION("""COMPUTED_VALUE"""),1.3705)</f>
        <v>1.3705</v>
      </c>
      <c r="E225" s="32">
        <f>IFERROR(__xludf.DUMMYFUNCTION("""COMPUTED_VALUE"""),41733.75)</f>
        <v>41733.75</v>
      </c>
      <c r="F225" s="22">
        <f>IFERROR(__xludf.DUMMYFUNCTION("""COMPUTED_VALUE"""),3230.33)</f>
        <v>3230.33</v>
      </c>
    </row>
    <row r="226" ht="15.75" customHeight="1">
      <c r="A226" s="32">
        <f>IFERROR(__xludf.DUMMYFUNCTION("""COMPUTED_VALUE"""),41761.666666666664)</f>
        <v>41761.66667</v>
      </c>
      <c r="B226" s="22">
        <f>IFERROR(__xludf.DUMMYFUNCTION("""COMPUTED_VALUE"""),1881.14)</f>
        <v>1881.14</v>
      </c>
      <c r="C226" s="32">
        <f>IFERROR(__xludf.DUMMYFUNCTION("""COMPUTED_VALUE"""),41741.99861111111)</f>
        <v>41741.99861</v>
      </c>
      <c r="D226" s="22">
        <f>IFERROR(__xludf.DUMMYFUNCTION("""COMPUTED_VALUE"""),1.3884)</f>
        <v>1.3884</v>
      </c>
      <c r="E226" s="32">
        <f>IFERROR(__xludf.DUMMYFUNCTION("""COMPUTED_VALUE"""),41740.75)</f>
        <v>41740.75</v>
      </c>
      <c r="F226" s="22">
        <f>IFERROR(__xludf.DUMMYFUNCTION("""COMPUTED_VALUE"""),3116.54)</f>
        <v>3116.54</v>
      </c>
    </row>
    <row r="227" ht="15.75" customHeight="1">
      <c r="A227" s="32">
        <f>IFERROR(__xludf.DUMMYFUNCTION("""COMPUTED_VALUE"""),41768.666666666664)</f>
        <v>41768.66667</v>
      </c>
      <c r="B227" s="22">
        <f>IFERROR(__xludf.DUMMYFUNCTION("""COMPUTED_VALUE"""),1878.48)</f>
        <v>1878.48</v>
      </c>
      <c r="C227" s="32">
        <f>IFERROR(__xludf.DUMMYFUNCTION("""COMPUTED_VALUE"""),41748.99861111111)</f>
        <v>41748.99861</v>
      </c>
      <c r="D227" s="22">
        <f>IFERROR(__xludf.DUMMYFUNCTION("""COMPUTED_VALUE"""),1.3814)</f>
        <v>1.3814</v>
      </c>
      <c r="E227" s="32">
        <f>IFERROR(__xludf.DUMMYFUNCTION("""COMPUTED_VALUE"""),41746.75)</f>
        <v>41746.75</v>
      </c>
      <c r="F227" s="22">
        <f>IFERROR(__xludf.DUMMYFUNCTION("""COMPUTED_VALUE"""),3155.81)</f>
        <v>3155.81</v>
      </c>
    </row>
    <row r="228" ht="15.75" customHeight="1">
      <c r="A228" s="32">
        <f>IFERROR(__xludf.DUMMYFUNCTION("""COMPUTED_VALUE"""),41775.666666666664)</f>
        <v>41775.66667</v>
      </c>
      <c r="B228" s="22">
        <f>IFERROR(__xludf.DUMMYFUNCTION("""COMPUTED_VALUE"""),1877.86)</f>
        <v>1877.86</v>
      </c>
      <c r="C228" s="32">
        <f>IFERROR(__xludf.DUMMYFUNCTION("""COMPUTED_VALUE"""),41755.99861111111)</f>
        <v>41755.99861</v>
      </c>
      <c r="D228" s="22">
        <f>IFERROR(__xludf.DUMMYFUNCTION("""COMPUTED_VALUE"""),1.3833)</f>
        <v>1.3833</v>
      </c>
      <c r="E228" s="32">
        <f>IFERROR(__xludf.DUMMYFUNCTION("""COMPUTED_VALUE"""),41754.75)</f>
        <v>41754.75</v>
      </c>
      <c r="F228" s="22">
        <f>IFERROR(__xludf.DUMMYFUNCTION("""COMPUTED_VALUE"""),3147.4)</f>
        <v>3147.4</v>
      </c>
    </row>
    <row r="229" ht="15.75" customHeight="1">
      <c r="A229" s="32">
        <f>IFERROR(__xludf.DUMMYFUNCTION("""COMPUTED_VALUE"""),41782.666666666664)</f>
        <v>41782.66667</v>
      </c>
      <c r="B229" s="22">
        <f>IFERROR(__xludf.DUMMYFUNCTION("""COMPUTED_VALUE"""),1900.53)</f>
        <v>1900.53</v>
      </c>
      <c r="C229" s="32">
        <f>IFERROR(__xludf.DUMMYFUNCTION("""COMPUTED_VALUE"""),41762.99861111111)</f>
        <v>41762.99861</v>
      </c>
      <c r="D229" s="22">
        <f>IFERROR(__xludf.DUMMYFUNCTION("""COMPUTED_VALUE"""),1.387)</f>
        <v>1.387</v>
      </c>
      <c r="E229" s="32">
        <f>IFERROR(__xludf.DUMMYFUNCTION("""COMPUTED_VALUE"""),41761.75)</f>
        <v>41761.75</v>
      </c>
      <c r="F229" s="22">
        <f>IFERROR(__xludf.DUMMYFUNCTION("""COMPUTED_VALUE"""),3177.89)</f>
        <v>3177.89</v>
      </c>
    </row>
    <row r="230" ht="15.75" customHeight="1">
      <c r="A230" s="32">
        <f>IFERROR(__xludf.DUMMYFUNCTION("""COMPUTED_VALUE"""),41789.666666666664)</f>
        <v>41789.66667</v>
      </c>
      <c r="B230" s="22">
        <f>IFERROR(__xludf.DUMMYFUNCTION("""COMPUTED_VALUE"""),1923.57)</f>
        <v>1923.57</v>
      </c>
      <c r="C230" s="32">
        <f>IFERROR(__xludf.DUMMYFUNCTION("""COMPUTED_VALUE"""),41769.99861111111)</f>
        <v>41769.99861</v>
      </c>
      <c r="D230" s="22">
        <f>IFERROR(__xludf.DUMMYFUNCTION("""COMPUTED_VALUE"""),1.3759)</f>
        <v>1.3759</v>
      </c>
      <c r="E230" s="32">
        <f>IFERROR(__xludf.DUMMYFUNCTION("""COMPUTED_VALUE"""),41768.75)</f>
        <v>41768.75</v>
      </c>
      <c r="F230" s="22">
        <f>IFERROR(__xludf.DUMMYFUNCTION("""COMPUTED_VALUE"""),3184.09)</f>
        <v>3184.09</v>
      </c>
    </row>
    <row r="231" ht="15.75" customHeight="1">
      <c r="A231" s="32">
        <f>IFERROR(__xludf.DUMMYFUNCTION("""COMPUTED_VALUE"""),41796.666666666664)</f>
        <v>41796.66667</v>
      </c>
      <c r="B231" s="22">
        <f>IFERROR(__xludf.DUMMYFUNCTION("""COMPUTED_VALUE"""),1949.44)</f>
        <v>1949.44</v>
      </c>
      <c r="C231" s="32">
        <f>IFERROR(__xludf.DUMMYFUNCTION("""COMPUTED_VALUE"""),41776.99861111111)</f>
        <v>41776.99861</v>
      </c>
      <c r="D231" s="22">
        <f>IFERROR(__xludf.DUMMYFUNCTION("""COMPUTED_VALUE"""),1.3694)</f>
        <v>1.3694</v>
      </c>
      <c r="E231" s="32">
        <f>IFERROR(__xludf.DUMMYFUNCTION("""COMPUTED_VALUE"""),41775.75)</f>
        <v>41775.75</v>
      </c>
      <c r="F231" s="22">
        <f>IFERROR(__xludf.DUMMYFUNCTION("""COMPUTED_VALUE"""),3172.72)</f>
        <v>3172.72</v>
      </c>
    </row>
    <row r="232" ht="15.75" customHeight="1">
      <c r="A232" s="32">
        <f>IFERROR(__xludf.DUMMYFUNCTION("""COMPUTED_VALUE"""),41803.666666666664)</f>
        <v>41803.66667</v>
      </c>
      <c r="B232" s="22">
        <f>IFERROR(__xludf.DUMMYFUNCTION("""COMPUTED_VALUE"""),1936.16)</f>
        <v>1936.16</v>
      </c>
      <c r="C232" s="32">
        <f>IFERROR(__xludf.DUMMYFUNCTION("""COMPUTED_VALUE"""),41783.99861111111)</f>
        <v>41783.99861</v>
      </c>
      <c r="D232" s="22">
        <f>IFERROR(__xludf.DUMMYFUNCTION("""COMPUTED_VALUE"""),1.3626)</f>
        <v>1.3626</v>
      </c>
      <c r="E232" s="32">
        <f>IFERROR(__xludf.DUMMYFUNCTION("""COMPUTED_VALUE"""),41782.75)</f>
        <v>41782.75</v>
      </c>
      <c r="F232" s="22">
        <f>IFERROR(__xludf.DUMMYFUNCTION("""COMPUTED_VALUE"""),3203.28)</f>
        <v>3203.28</v>
      </c>
    </row>
    <row r="233" ht="15.75" customHeight="1">
      <c r="A233" s="32">
        <f>IFERROR(__xludf.DUMMYFUNCTION("""COMPUTED_VALUE"""),41810.666666666664)</f>
        <v>41810.66667</v>
      </c>
      <c r="B233" s="22">
        <f>IFERROR(__xludf.DUMMYFUNCTION("""COMPUTED_VALUE"""),1962.87)</f>
        <v>1962.87</v>
      </c>
      <c r="C233" s="32">
        <f>IFERROR(__xludf.DUMMYFUNCTION("""COMPUTED_VALUE"""),41790.99861111111)</f>
        <v>41790.99861</v>
      </c>
      <c r="D233" s="22">
        <f>IFERROR(__xludf.DUMMYFUNCTION("""COMPUTED_VALUE"""),1.363)</f>
        <v>1.363</v>
      </c>
      <c r="E233" s="32">
        <f>IFERROR(__xludf.DUMMYFUNCTION("""COMPUTED_VALUE"""),41789.75)</f>
        <v>41789.75</v>
      </c>
      <c r="F233" s="22">
        <f>IFERROR(__xludf.DUMMYFUNCTION("""COMPUTED_VALUE"""),3244.6)</f>
        <v>3244.6</v>
      </c>
    </row>
    <row r="234" ht="15.75" customHeight="1">
      <c r="A234" s="32">
        <f>IFERROR(__xludf.DUMMYFUNCTION("""COMPUTED_VALUE"""),41817.666666666664)</f>
        <v>41817.66667</v>
      </c>
      <c r="B234" s="22">
        <f>IFERROR(__xludf.DUMMYFUNCTION("""COMPUTED_VALUE"""),1960.96)</f>
        <v>1960.96</v>
      </c>
      <c r="C234" s="32">
        <f>IFERROR(__xludf.DUMMYFUNCTION("""COMPUTED_VALUE"""),41797.99861111111)</f>
        <v>41797.99861</v>
      </c>
      <c r="D234" s="22">
        <f>IFERROR(__xludf.DUMMYFUNCTION("""COMPUTED_VALUE"""),1.3641)</f>
        <v>1.3641</v>
      </c>
      <c r="E234" s="32">
        <f>IFERROR(__xludf.DUMMYFUNCTION("""COMPUTED_VALUE"""),41796.75)</f>
        <v>41796.75</v>
      </c>
      <c r="F234" s="22">
        <f>IFERROR(__xludf.DUMMYFUNCTION("""COMPUTED_VALUE"""),3294.28)</f>
        <v>3294.28</v>
      </c>
    </row>
    <row r="235" ht="15.75" customHeight="1">
      <c r="A235" s="32">
        <f>IFERROR(__xludf.DUMMYFUNCTION("""COMPUTED_VALUE"""),41823.666666666664)</f>
        <v>41823.66667</v>
      </c>
      <c r="B235" s="22">
        <f>IFERROR(__xludf.DUMMYFUNCTION("""COMPUTED_VALUE"""),1985.44)</f>
        <v>1985.44</v>
      </c>
      <c r="C235" s="32">
        <f>IFERROR(__xludf.DUMMYFUNCTION("""COMPUTED_VALUE"""),41804.99861111111)</f>
        <v>41804.99861</v>
      </c>
      <c r="D235" s="22">
        <f>IFERROR(__xludf.DUMMYFUNCTION("""COMPUTED_VALUE"""),1.3539)</f>
        <v>1.3539</v>
      </c>
      <c r="E235" s="32">
        <f>IFERROR(__xludf.DUMMYFUNCTION("""COMPUTED_VALUE"""),41803.75)</f>
        <v>41803.75</v>
      </c>
      <c r="F235" s="22">
        <f>IFERROR(__xludf.DUMMYFUNCTION("""COMPUTED_VALUE"""),3282.84)</f>
        <v>3282.84</v>
      </c>
    </row>
    <row r="236" ht="15.75" customHeight="1">
      <c r="A236" s="32">
        <f>IFERROR(__xludf.DUMMYFUNCTION("""COMPUTED_VALUE"""),41831.666666666664)</f>
        <v>41831.66667</v>
      </c>
      <c r="B236" s="22">
        <f>IFERROR(__xludf.DUMMYFUNCTION("""COMPUTED_VALUE"""),1967.57)</f>
        <v>1967.57</v>
      </c>
      <c r="C236" s="32">
        <f>IFERROR(__xludf.DUMMYFUNCTION("""COMPUTED_VALUE"""),41811.99861111111)</f>
        <v>41811.99861</v>
      </c>
      <c r="D236" s="22">
        <f>IFERROR(__xludf.DUMMYFUNCTION("""COMPUTED_VALUE"""),1.36)</f>
        <v>1.36</v>
      </c>
      <c r="E236" s="32">
        <f>IFERROR(__xludf.DUMMYFUNCTION("""COMPUTED_VALUE"""),41810.75)</f>
        <v>41810.75</v>
      </c>
      <c r="F236" s="22">
        <f>IFERROR(__xludf.DUMMYFUNCTION("""COMPUTED_VALUE"""),3302.36)</f>
        <v>3302.36</v>
      </c>
    </row>
    <row r="237" ht="15.75" customHeight="1">
      <c r="A237" s="32">
        <f>IFERROR(__xludf.DUMMYFUNCTION("""COMPUTED_VALUE"""),41838.666666666664)</f>
        <v>41838.66667</v>
      </c>
      <c r="B237" s="22">
        <f>IFERROR(__xludf.DUMMYFUNCTION("""COMPUTED_VALUE"""),1978.22)</f>
        <v>1978.22</v>
      </c>
      <c r="C237" s="32">
        <f>IFERROR(__xludf.DUMMYFUNCTION("""COMPUTED_VALUE"""),41818.99861111111)</f>
        <v>41818.99861</v>
      </c>
      <c r="D237" s="22">
        <f>IFERROR(__xludf.DUMMYFUNCTION("""COMPUTED_VALUE"""),1.3645)</f>
        <v>1.3645</v>
      </c>
      <c r="E237" s="32">
        <f>IFERROR(__xludf.DUMMYFUNCTION("""COMPUTED_VALUE"""),41817.75)</f>
        <v>41817.75</v>
      </c>
      <c r="F237" s="22">
        <f>IFERROR(__xludf.DUMMYFUNCTION("""COMPUTED_VALUE"""),3227.85)</f>
        <v>3227.85</v>
      </c>
    </row>
    <row r="238" ht="15.75" customHeight="1">
      <c r="A238" s="32">
        <f>IFERROR(__xludf.DUMMYFUNCTION("""COMPUTED_VALUE"""),41845.666666666664)</f>
        <v>41845.66667</v>
      </c>
      <c r="B238" s="22">
        <f>IFERROR(__xludf.DUMMYFUNCTION("""COMPUTED_VALUE"""),1978.34)</f>
        <v>1978.34</v>
      </c>
      <c r="C238" s="32">
        <f>IFERROR(__xludf.DUMMYFUNCTION("""COMPUTED_VALUE"""),41825.99861111111)</f>
        <v>41825.99861</v>
      </c>
      <c r="D238" s="22">
        <f>IFERROR(__xludf.DUMMYFUNCTION("""COMPUTED_VALUE"""),1.3596)</f>
        <v>1.3596</v>
      </c>
      <c r="E238" s="32">
        <f>IFERROR(__xludf.DUMMYFUNCTION("""COMPUTED_VALUE"""),41824.75)</f>
        <v>41824.75</v>
      </c>
      <c r="F238" s="22">
        <f>IFERROR(__xludf.DUMMYFUNCTION("""COMPUTED_VALUE"""),3270.47)</f>
        <v>3270.47</v>
      </c>
    </row>
    <row r="239" ht="15.75" customHeight="1">
      <c r="A239" s="32">
        <f>IFERROR(__xludf.DUMMYFUNCTION("""COMPUTED_VALUE"""),41852.666666666664)</f>
        <v>41852.66667</v>
      </c>
      <c r="B239" s="22">
        <f>IFERROR(__xludf.DUMMYFUNCTION("""COMPUTED_VALUE"""),1925.15)</f>
        <v>1925.15</v>
      </c>
      <c r="C239" s="32">
        <f>IFERROR(__xludf.DUMMYFUNCTION("""COMPUTED_VALUE"""),41832.99861111111)</f>
        <v>41832.99861</v>
      </c>
      <c r="D239" s="22">
        <f>IFERROR(__xludf.DUMMYFUNCTION("""COMPUTED_VALUE"""),1.3608)</f>
        <v>1.3608</v>
      </c>
      <c r="E239" s="32">
        <f>IFERROR(__xludf.DUMMYFUNCTION("""COMPUTED_VALUE"""),41831.75)</f>
        <v>41831.75</v>
      </c>
      <c r="F239" s="22">
        <f>IFERROR(__xludf.DUMMYFUNCTION("""COMPUTED_VALUE"""),3157.05)</f>
        <v>3157.05</v>
      </c>
    </row>
    <row r="240" ht="15.75" customHeight="1">
      <c r="A240" s="32">
        <f>IFERROR(__xludf.DUMMYFUNCTION("""COMPUTED_VALUE"""),41859.666666666664)</f>
        <v>41859.66667</v>
      </c>
      <c r="B240" s="22">
        <f>IFERROR(__xludf.DUMMYFUNCTION("""COMPUTED_VALUE"""),1931.59)</f>
        <v>1931.59</v>
      </c>
      <c r="C240" s="32">
        <f>IFERROR(__xludf.DUMMYFUNCTION("""COMPUTED_VALUE"""),41839.99861111111)</f>
        <v>41839.99861</v>
      </c>
      <c r="D240" s="22">
        <f>IFERROR(__xludf.DUMMYFUNCTION("""COMPUTED_VALUE"""),1.3523)</f>
        <v>1.3523</v>
      </c>
      <c r="E240" s="32">
        <f>IFERROR(__xludf.DUMMYFUNCTION("""COMPUTED_VALUE"""),41838.75)</f>
        <v>41838.75</v>
      </c>
      <c r="F240" s="22">
        <f>IFERROR(__xludf.DUMMYFUNCTION("""COMPUTED_VALUE"""),3164.21)</f>
        <v>3164.21</v>
      </c>
    </row>
    <row r="241" ht="15.75" customHeight="1">
      <c r="A241" s="32">
        <f>IFERROR(__xludf.DUMMYFUNCTION("""COMPUTED_VALUE"""),41866.666666666664)</f>
        <v>41866.66667</v>
      </c>
      <c r="B241" s="22">
        <f>IFERROR(__xludf.DUMMYFUNCTION("""COMPUTED_VALUE"""),1955.06)</f>
        <v>1955.06</v>
      </c>
      <c r="C241" s="32">
        <f>IFERROR(__xludf.DUMMYFUNCTION("""COMPUTED_VALUE"""),41846.99861111111)</f>
        <v>41846.99861</v>
      </c>
      <c r="D241" s="22">
        <f>IFERROR(__xludf.DUMMYFUNCTION("""COMPUTED_VALUE"""),1.343)</f>
        <v>1.343</v>
      </c>
      <c r="E241" s="32">
        <f>IFERROR(__xludf.DUMMYFUNCTION("""COMPUTED_VALUE"""),41845.75)</f>
        <v>41845.75</v>
      </c>
      <c r="F241" s="22">
        <f>IFERROR(__xludf.DUMMYFUNCTION("""COMPUTED_VALUE"""),3174.99)</f>
        <v>3174.99</v>
      </c>
    </row>
    <row r="242" ht="15.75" customHeight="1">
      <c r="A242" s="32">
        <f>IFERROR(__xludf.DUMMYFUNCTION("""COMPUTED_VALUE"""),41873.666666666664)</f>
        <v>41873.66667</v>
      </c>
      <c r="B242" s="22">
        <f>IFERROR(__xludf.DUMMYFUNCTION("""COMPUTED_VALUE"""),1988.4)</f>
        <v>1988.4</v>
      </c>
      <c r="C242" s="32">
        <f>IFERROR(__xludf.DUMMYFUNCTION("""COMPUTED_VALUE"""),41853.99861111111)</f>
        <v>41853.99861</v>
      </c>
      <c r="D242" s="22">
        <f>IFERROR(__xludf.DUMMYFUNCTION("""COMPUTED_VALUE"""),1.343)</f>
        <v>1.343</v>
      </c>
      <c r="E242" s="32">
        <f>IFERROR(__xludf.DUMMYFUNCTION("""COMPUTED_VALUE"""),41852.75)</f>
        <v>41852.75</v>
      </c>
      <c r="F242" s="22">
        <f>IFERROR(__xludf.DUMMYFUNCTION("""COMPUTED_VALUE"""),3072.57)</f>
        <v>3072.57</v>
      </c>
    </row>
    <row r="243" ht="15.75" customHeight="1">
      <c r="A243" s="32">
        <f>IFERROR(__xludf.DUMMYFUNCTION("""COMPUTED_VALUE"""),41880.666666666664)</f>
        <v>41880.66667</v>
      </c>
      <c r="B243" s="22">
        <f>IFERROR(__xludf.DUMMYFUNCTION("""COMPUTED_VALUE"""),2003.37)</f>
        <v>2003.37</v>
      </c>
      <c r="C243" s="32">
        <f>IFERROR(__xludf.DUMMYFUNCTION("""COMPUTED_VALUE"""),41860.99861111111)</f>
        <v>41860.99861</v>
      </c>
      <c r="D243" s="22">
        <f>IFERROR(__xludf.DUMMYFUNCTION("""COMPUTED_VALUE"""),1.3409)</f>
        <v>1.3409</v>
      </c>
      <c r="E243" s="32">
        <f>IFERROR(__xludf.DUMMYFUNCTION("""COMPUTED_VALUE"""),41859.75)</f>
        <v>41859.75</v>
      </c>
      <c r="F243" s="22">
        <f>IFERROR(__xludf.DUMMYFUNCTION("""COMPUTED_VALUE"""),3006.83)</f>
        <v>3006.83</v>
      </c>
    </row>
    <row r="244" ht="15.75" customHeight="1">
      <c r="A244" s="32">
        <f>IFERROR(__xludf.DUMMYFUNCTION("""COMPUTED_VALUE"""),41887.666666666664)</f>
        <v>41887.66667</v>
      </c>
      <c r="B244" s="22">
        <f>IFERROR(__xludf.DUMMYFUNCTION("""COMPUTED_VALUE"""),2007.71)</f>
        <v>2007.71</v>
      </c>
      <c r="C244" s="32">
        <f>IFERROR(__xludf.DUMMYFUNCTION("""COMPUTED_VALUE"""),41867.99861111111)</f>
        <v>41867.99861</v>
      </c>
      <c r="D244" s="22">
        <f>IFERROR(__xludf.DUMMYFUNCTION("""COMPUTED_VALUE"""),1.33935)</f>
        <v>1.33935</v>
      </c>
      <c r="E244" s="32">
        <f>IFERROR(__xludf.DUMMYFUNCTION("""COMPUTED_VALUE"""),41866.75)</f>
        <v>41866.75</v>
      </c>
      <c r="F244" s="22">
        <f>IFERROR(__xludf.DUMMYFUNCTION("""COMPUTED_VALUE"""),3033.52)</f>
        <v>3033.52</v>
      </c>
    </row>
    <row r="245" ht="15.75" customHeight="1">
      <c r="A245" s="32">
        <f>IFERROR(__xludf.DUMMYFUNCTION("""COMPUTED_VALUE"""),41894.666666666664)</f>
        <v>41894.66667</v>
      </c>
      <c r="B245" s="22">
        <f>IFERROR(__xludf.DUMMYFUNCTION("""COMPUTED_VALUE"""),1985.54)</f>
        <v>1985.54</v>
      </c>
      <c r="C245" s="32">
        <f>IFERROR(__xludf.DUMMYFUNCTION("""COMPUTED_VALUE"""),41874.99861111111)</f>
        <v>41874.99861</v>
      </c>
      <c r="D245" s="22">
        <f>IFERROR(__xludf.DUMMYFUNCTION("""COMPUTED_VALUE"""),1.3245)</f>
        <v>1.3245</v>
      </c>
      <c r="E245" s="32">
        <f>IFERROR(__xludf.DUMMYFUNCTION("""COMPUTED_VALUE"""),41873.75)</f>
        <v>41873.75</v>
      </c>
      <c r="F245" s="22">
        <f>IFERROR(__xludf.DUMMYFUNCTION("""COMPUTED_VALUE"""),3098.5)</f>
        <v>3098.5</v>
      </c>
    </row>
    <row r="246" ht="15.75" customHeight="1">
      <c r="A246" s="32">
        <f>IFERROR(__xludf.DUMMYFUNCTION("""COMPUTED_VALUE"""),41901.666666666664)</f>
        <v>41901.66667</v>
      </c>
      <c r="B246" s="22">
        <f>IFERROR(__xludf.DUMMYFUNCTION("""COMPUTED_VALUE"""),2010.4)</f>
        <v>2010.4</v>
      </c>
      <c r="C246" s="32">
        <f>IFERROR(__xludf.DUMMYFUNCTION("""COMPUTED_VALUE"""),41881.99861111111)</f>
        <v>41881.99861</v>
      </c>
      <c r="D246" s="22">
        <f>IFERROR(__xludf.DUMMYFUNCTION("""COMPUTED_VALUE"""),1.3136)</f>
        <v>1.3136</v>
      </c>
      <c r="E246" s="32">
        <f>IFERROR(__xludf.DUMMYFUNCTION("""COMPUTED_VALUE"""),41880.75)</f>
        <v>41880.75</v>
      </c>
      <c r="F246" s="22">
        <f>IFERROR(__xludf.DUMMYFUNCTION("""COMPUTED_VALUE"""),3172.63)</f>
        <v>3172.63</v>
      </c>
    </row>
    <row r="247" ht="15.75" customHeight="1">
      <c r="A247" s="32">
        <f>IFERROR(__xludf.DUMMYFUNCTION("""COMPUTED_VALUE"""),41908.666666666664)</f>
        <v>41908.66667</v>
      </c>
      <c r="B247" s="22">
        <f>IFERROR(__xludf.DUMMYFUNCTION("""COMPUTED_VALUE"""),1982.85)</f>
        <v>1982.85</v>
      </c>
      <c r="C247" s="32">
        <f>IFERROR(__xludf.DUMMYFUNCTION("""COMPUTED_VALUE"""),41888.99861111111)</f>
        <v>41888.99861</v>
      </c>
      <c r="D247" s="22">
        <f>IFERROR(__xludf.DUMMYFUNCTION("""COMPUTED_VALUE"""),1.2949)</f>
        <v>1.2949</v>
      </c>
      <c r="E247" s="32">
        <f>IFERROR(__xludf.DUMMYFUNCTION("""COMPUTED_VALUE"""),41887.75)</f>
        <v>41887.75</v>
      </c>
      <c r="F247" s="22">
        <f>IFERROR(__xludf.DUMMYFUNCTION("""COMPUTED_VALUE"""),3275.25)</f>
        <v>3275.25</v>
      </c>
    </row>
    <row r="248" ht="15.75" customHeight="1">
      <c r="A248" s="32">
        <f>IFERROR(__xludf.DUMMYFUNCTION("""COMPUTED_VALUE"""),41915.666666666664)</f>
        <v>41915.66667</v>
      </c>
      <c r="B248" s="22">
        <f>IFERROR(__xludf.DUMMYFUNCTION("""COMPUTED_VALUE"""),1967.9)</f>
        <v>1967.9</v>
      </c>
      <c r="C248" s="32">
        <f>IFERROR(__xludf.DUMMYFUNCTION("""COMPUTED_VALUE"""),41895.99861111111)</f>
        <v>41895.99861</v>
      </c>
      <c r="D248" s="22">
        <f>IFERROR(__xludf.DUMMYFUNCTION("""COMPUTED_VALUE"""),1.2947)</f>
        <v>1.2947</v>
      </c>
      <c r="E248" s="32">
        <f>IFERROR(__xludf.DUMMYFUNCTION("""COMPUTED_VALUE"""),41894.75)</f>
        <v>41894.75</v>
      </c>
      <c r="F248" s="22">
        <f>IFERROR(__xludf.DUMMYFUNCTION("""COMPUTED_VALUE"""),3235.07)</f>
        <v>3235.07</v>
      </c>
    </row>
    <row r="249" ht="15.75" customHeight="1">
      <c r="A249" s="32">
        <f>IFERROR(__xludf.DUMMYFUNCTION("""COMPUTED_VALUE"""),41922.666666666664)</f>
        <v>41922.66667</v>
      </c>
      <c r="B249" s="22">
        <f>IFERROR(__xludf.DUMMYFUNCTION("""COMPUTED_VALUE"""),1906.13)</f>
        <v>1906.13</v>
      </c>
      <c r="C249" s="32">
        <f>IFERROR(__xludf.DUMMYFUNCTION("""COMPUTED_VALUE"""),41902.99861111111)</f>
        <v>41902.99861</v>
      </c>
      <c r="D249" s="22">
        <f>IFERROR(__xludf.DUMMYFUNCTION("""COMPUTED_VALUE"""),1.2829)</f>
        <v>1.2829</v>
      </c>
      <c r="E249" s="32">
        <f>IFERROR(__xludf.DUMMYFUNCTION("""COMPUTED_VALUE"""),41901.75)</f>
        <v>41901.75</v>
      </c>
      <c r="F249" s="22">
        <f>IFERROR(__xludf.DUMMYFUNCTION("""COMPUTED_VALUE"""),3273.25)</f>
        <v>3273.25</v>
      </c>
    </row>
    <row r="250" ht="15.75" customHeight="1">
      <c r="A250" s="32">
        <f>IFERROR(__xludf.DUMMYFUNCTION("""COMPUTED_VALUE"""),41929.666666666664)</f>
        <v>41929.66667</v>
      </c>
      <c r="B250" s="22">
        <f>IFERROR(__xludf.DUMMYFUNCTION("""COMPUTED_VALUE"""),1886.76)</f>
        <v>1886.76</v>
      </c>
      <c r="C250" s="32">
        <f>IFERROR(__xludf.DUMMYFUNCTION("""COMPUTED_VALUE"""),41909.99861111111)</f>
        <v>41909.99861</v>
      </c>
      <c r="D250" s="22">
        <f>IFERROR(__xludf.DUMMYFUNCTION("""COMPUTED_VALUE"""),1.2683)</f>
        <v>1.2683</v>
      </c>
      <c r="E250" s="32">
        <f>IFERROR(__xludf.DUMMYFUNCTION("""COMPUTED_VALUE"""),41908.75)</f>
        <v>41908.75</v>
      </c>
      <c r="F250" s="22">
        <f>IFERROR(__xludf.DUMMYFUNCTION("""COMPUTED_VALUE"""),3219.58)</f>
        <v>3219.58</v>
      </c>
    </row>
    <row r="251" ht="15.75" customHeight="1">
      <c r="A251" s="32">
        <f>IFERROR(__xludf.DUMMYFUNCTION("""COMPUTED_VALUE"""),41936.666666666664)</f>
        <v>41936.66667</v>
      </c>
      <c r="B251" s="22">
        <f>IFERROR(__xludf.DUMMYFUNCTION("""COMPUTED_VALUE"""),1964.58)</f>
        <v>1964.58</v>
      </c>
      <c r="C251" s="32">
        <f>IFERROR(__xludf.DUMMYFUNCTION("""COMPUTED_VALUE"""),41916.99861111111)</f>
        <v>41916.99861</v>
      </c>
      <c r="D251" s="22">
        <f>IFERROR(__xludf.DUMMYFUNCTION("""COMPUTED_VALUE"""),1.2514)</f>
        <v>1.2514</v>
      </c>
      <c r="E251" s="32">
        <f>IFERROR(__xludf.DUMMYFUNCTION("""COMPUTED_VALUE"""),41915.75)</f>
        <v>41915.75</v>
      </c>
      <c r="F251" s="22">
        <f>IFERROR(__xludf.DUMMYFUNCTION("""COMPUTED_VALUE"""),3133.37)</f>
        <v>3133.37</v>
      </c>
    </row>
    <row r="252" ht="15.75" customHeight="1">
      <c r="A252" s="32">
        <f>IFERROR(__xludf.DUMMYFUNCTION("""COMPUTED_VALUE"""),41943.666666666664)</f>
        <v>41943.66667</v>
      </c>
      <c r="B252" s="22">
        <f>IFERROR(__xludf.DUMMYFUNCTION("""COMPUTED_VALUE"""),2018.05)</f>
        <v>2018.05</v>
      </c>
      <c r="C252" s="32">
        <f>IFERROR(__xludf.DUMMYFUNCTION("""COMPUTED_VALUE"""),41923.99861111111)</f>
        <v>41923.99861</v>
      </c>
      <c r="D252" s="22">
        <f>IFERROR(__xludf.DUMMYFUNCTION("""COMPUTED_VALUE"""),1.2627)</f>
        <v>1.2627</v>
      </c>
      <c r="E252" s="32">
        <f>IFERROR(__xludf.DUMMYFUNCTION("""COMPUTED_VALUE"""),41922.75)</f>
        <v>41922.75</v>
      </c>
      <c r="F252" s="22">
        <f>IFERROR(__xludf.DUMMYFUNCTION("""COMPUTED_VALUE"""),2991.5)</f>
        <v>2991.5</v>
      </c>
    </row>
    <row r="253" ht="15.75" customHeight="1">
      <c r="A253" s="32">
        <f>IFERROR(__xludf.DUMMYFUNCTION("""COMPUTED_VALUE"""),41950.666666666664)</f>
        <v>41950.66667</v>
      </c>
      <c r="B253" s="22">
        <f>IFERROR(__xludf.DUMMYFUNCTION("""COMPUTED_VALUE"""),2031.92)</f>
        <v>2031.92</v>
      </c>
      <c r="C253" s="32">
        <f>IFERROR(__xludf.DUMMYFUNCTION("""COMPUTED_VALUE"""),41930.99861111111)</f>
        <v>41930.99861</v>
      </c>
      <c r="D253" s="22">
        <f>IFERROR(__xludf.DUMMYFUNCTION("""COMPUTED_VALUE"""),1.2758)</f>
        <v>1.2758</v>
      </c>
      <c r="E253" s="32">
        <f>IFERROR(__xludf.DUMMYFUNCTION("""COMPUTED_VALUE"""),41929.75)</f>
        <v>41929.75</v>
      </c>
      <c r="F253" s="22">
        <f>IFERROR(__xludf.DUMMYFUNCTION("""COMPUTED_VALUE"""),2962.24)</f>
        <v>2962.24</v>
      </c>
    </row>
    <row r="254" ht="15.75" customHeight="1">
      <c r="A254" s="32">
        <f>IFERROR(__xludf.DUMMYFUNCTION("""COMPUTED_VALUE"""),41957.66666666667)</f>
        <v>41957.66667</v>
      </c>
      <c r="B254" s="22">
        <f>IFERROR(__xludf.DUMMYFUNCTION("""COMPUTED_VALUE"""),2039.82)</f>
        <v>2039.82</v>
      </c>
      <c r="C254" s="32">
        <f>IFERROR(__xludf.DUMMYFUNCTION("""COMPUTED_VALUE"""),41937.99861111111)</f>
        <v>41937.99861</v>
      </c>
      <c r="D254" s="22">
        <f>IFERROR(__xludf.DUMMYFUNCTION("""COMPUTED_VALUE"""),1.2669)</f>
        <v>1.2669</v>
      </c>
      <c r="E254" s="32">
        <f>IFERROR(__xludf.DUMMYFUNCTION("""COMPUTED_VALUE"""),41936.75)</f>
        <v>41936.75</v>
      </c>
      <c r="F254" s="22">
        <f>IFERROR(__xludf.DUMMYFUNCTION("""COMPUTED_VALUE"""),3030.37)</f>
        <v>3030.37</v>
      </c>
    </row>
    <row r="255" ht="15.75" customHeight="1">
      <c r="A255" s="32">
        <f>IFERROR(__xludf.DUMMYFUNCTION("""COMPUTED_VALUE"""),41964.66666666667)</f>
        <v>41964.66667</v>
      </c>
      <c r="B255" s="22">
        <f>IFERROR(__xludf.DUMMYFUNCTION("""COMPUTED_VALUE"""),2063.5)</f>
        <v>2063.5</v>
      </c>
      <c r="C255" s="32">
        <f>IFERROR(__xludf.DUMMYFUNCTION("""COMPUTED_VALUE"""),41944.99861111111)</f>
        <v>41944.99861</v>
      </c>
      <c r="D255" s="22">
        <f>IFERROR(__xludf.DUMMYFUNCTION("""COMPUTED_VALUE"""),1.2523)</f>
        <v>1.2523</v>
      </c>
      <c r="E255" s="32">
        <f>IFERROR(__xludf.DUMMYFUNCTION("""COMPUTED_VALUE"""),41943.75)</f>
        <v>41943.75</v>
      </c>
      <c r="F255" s="22">
        <f>IFERROR(__xludf.DUMMYFUNCTION("""COMPUTED_VALUE"""),3113.32)</f>
        <v>3113.32</v>
      </c>
    </row>
    <row r="256" ht="15.75" customHeight="1">
      <c r="A256" s="32">
        <f>IFERROR(__xludf.DUMMYFUNCTION("""COMPUTED_VALUE"""),41971.66666666667)</f>
        <v>41971.66667</v>
      </c>
      <c r="B256" s="22">
        <f>IFERROR(__xludf.DUMMYFUNCTION("""COMPUTED_VALUE"""),2067.56)</f>
        <v>2067.56</v>
      </c>
      <c r="C256" s="32">
        <f>IFERROR(__xludf.DUMMYFUNCTION("""COMPUTED_VALUE"""),41951.99861111111)</f>
        <v>41951.99861</v>
      </c>
      <c r="D256" s="22">
        <f>IFERROR(__xludf.DUMMYFUNCTION("""COMPUTED_VALUE"""),1.24529)</f>
        <v>1.24529</v>
      </c>
      <c r="E256" s="32">
        <f>IFERROR(__xludf.DUMMYFUNCTION("""COMPUTED_VALUE"""),41950.75)</f>
        <v>41950.75</v>
      </c>
      <c r="F256" s="22">
        <f>IFERROR(__xludf.DUMMYFUNCTION("""COMPUTED_VALUE"""),3064.92)</f>
        <v>3064.92</v>
      </c>
    </row>
    <row r="257" ht="15.75" customHeight="1">
      <c r="A257" s="32">
        <f>IFERROR(__xludf.DUMMYFUNCTION("""COMPUTED_VALUE"""),41978.66666666667)</f>
        <v>41978.66667</v>
      </c>
      <c r="B257" s="22">
        <f>IFERROR(__xludf.DUMMYFUNCTION("""COMPUTED_VALUE"""),2075.37)</f>
        <v>2075.37</v>
      </c>
      <c r="C257" s="32">
        <f>IFERROR(__xludf.DUMMYFUNCTION("""COMPUTED_VALUE"""),41958.99861111111)</f>
        <v>41958.99861</v>
      </c>
      <c r="D257" s="22">
        <f>IFERROR(__xludf.DUMMYFUNCTION("""COMPUTED_VALUE"""),1.2524)</f>
        <v>1.2524</v>
      </c>
      <c r="E257" s="32">
        <f>IFERROR(__xludf.DUMMYFUNCTION("""COMPUTED_VALUE"""),41957.75)</f>
        <v>41957.75</v>
      </c>
      <c r="F257" s="22">
        <f>IFERROR(__xludf.DUMMYFUNCTION("""COMPUTED_VALUE"""),3059.99)</f>
        <v>3059.99</v>
      </c>
    </row>
    <row r="258" ht="15.75" customHeight="1">
      <c r="A258" s="32">
        <f>IFERROR(__xludf.DUMMYFUNCTION("""COMPUTED_VALUE"""),41985.66666666667)</f>
        <v>41985.66667</v>
      </c>
      <c r="B258" s="22">
        <f>IFERROR(__xludf.DUMMYFUNCTION("""COMPUTED_VALUE"""),2002.33)</f>
        <v>2002.33</v>
      </c>
      <c r="C258" s="32">
        <f>IFERROR(__xludf.DUMMYFUNCTION("""COMPUTED_VALUE"""),41965.99861111111)</f>
        <v>41965.99861</v>
      </c>
      <c r="D258" s="22">
        <f>IFERROR(__xludf.DUMMYFUNCTION("""COMPUTED_VALUE"""),1.239)</f>
        <v>1.239</v>
      </c>
      <c r="E258" s="32">
        <f>IFERROR(__xludf.DUMMYFUNCTION("""COMPUTED_VALUE"""),41964.75)</f>
        <v>41964.75</v>
      </c>
      <c r="F258" s="22">
        <f>IFERROR(__xludf.DUMMYFUNCTION("""COMPUTED_VALUE"""),3194.22)</f>
        <v>3194.22</v>
      </c>
    </row>
    <row r="259" ht="15.75" customHeight="1">
      <c r="A259" s="32">
        <f>IFERROR(__xludf.DUMMYFUNCTION("""COMPUTED_VALUE"""),41992.66666666667)</f>
        <v>41992.66667</v>
      </c>
      <c r="B259" s="22">
        <f>IFERROR(__xludf.DUMMYFUNCTION("""COMPUTED_VALUE"""),2070.65)</f>
        <v>2070.65</v>
      </c>
      <c r="C259" s="32">
        <f>IFERROR(__xludf.DUMMYFUNCTION("""COMPUTED_VALUE"""),41972.99861111111)</f>
        <v>41972.99861</v>
      </c>
      <c r="D259" s="22">
        <f>IFERROR(__xludf.DUMMYFUNCTION("""COMPUTED_VALUE"""),1.245)</f>
        <v>1.245</v>
      </c>
      <c r="E259" s="32">
        <f>IFERROR(__xludf.DUMMYFUNCTION("""COMPUTED_VALUE"""),41971.75)</f>
        <v>41971.75</v>
      </c>
      <c r="F259" s="22">
        <f>IFERROR(__xludf.DUMMYFUNCTION("""COMPUTED_VALUE"""),3250.93)</f>
        <v>3250.93</v>
      </c>
    </row>
    <row r="260" ht="15.75" customHeight="1">
      <c r="A260" s="32">
        <f>IFERROR(__xludf.DUMMYFUNCTION("""COMPUTED_VALUE"""),41999.66666666667)</f>
        <v>41999.66667</v>
      </c>
      <c r="B260" s="22">
        <f>IFERROR(__xludf.DUMMYFUNCTION("""COMPUTED_VALUE"""),2088.77)</f>
        <v>2088.77</v>
      </c>
      <c r="C260" s="32">
        <f>IFERROR(__xludf.DUMMYFUNCTION("""COMPUTED_VALUE"""),41979.99861111111)</f>
        <v>41979.99861</v>
      </c>
      <c r="D260" s="22">
        <f>IFERROR(__xludf.DUMMYFUNCTION("""COMPUTED_VALUE"""),1.2285)</f>
        <v>1.2285</v>
      </c>
      <c r="E260" s="32">
        <f>IFERROR(__xludf.DUMMYFUNCTION("""COMPUTED_VALUE"""),41978.75)</f>
        <v>41978.75</v>
      </c>
      <c r="F260" s="22">
        <f>IFERROR(__xludf.DUMMYFUNCTION("""COMPUTED_VALUE"""),3277.38)</f>
        <v>3277.38</v>
      </c>
    </row>
    <row r="261" ht="15.75" customHeight="1">
      <c r="A261" s="32">
        <f>IFERROR(__xludf.DUMMYFUNCTION("""COMPUTED_VALUE"""),42006.66666666667)</f>
        <v>42006.66667</v>
      </c>
      <c r="B261" s="22">
        <f>IFERROR(__xludf.DUMMYFUNCTION("""COMPUTED_VALUE"""),2058.2)</f>
        <v>2058.2</v>
      </c>
      <c r="C261" s="32">
        <f>IFERROR(__xludf.DUMMYFUNCTION("""COMPUTED_VALUE"""),41986.99861111111)</f>
        <v>41986.99861</v>
      </c>
      <c r="D261" s="22">
        <f>IFERROR(__xludf.DUMMYFUNCTION("""COMPUTED_VALUE"""),1.2462)</f>
        <v>1.2462</v>
      </c>
      <c r="E261" s="32">
        <f>IFERROR(__xludf.DUMMYFUNCTION("""COMPUTED_VALUE"""),41985.75)</f>
        <v>41985.75</v>
      </c>
      <c r="F261" s="22">
        <f>IFERROR(__xludf.DUMMYFUNCTION("""COMPUTED_VALUE"""),3067.32)</f>
        <v>3067.32</v>
      </c>
    </row>
    <row r="262" ht="15.75" customHeight="1">
      <c r="A262" s="32">
        <f>IFERROR(__xludf.DUMMYFUNCTION("""COMPUTED_VALUE"""),42013.66666666667)</f>
        <v>42013.66667</v>
      </c>
      <c r="B262" s="22">
        <f>IFERROR(__xludf.DUMMYFUNCTION("""COMPUTED_VALUE"""),2044.81)</f>
        <v>2044.81</v>
      </c>
      <c r="C262" s="32">
        <f>IFERROR(__xludf.DUMMYFUNCTION("""COMPUTED_VALUE"""),41993.99861111111)</f>
        <v>41993.99861</v>
      </c>
      <c r="D262" s="22">
        <f>IFERROR(__xludf.DUMMYFUNCTION("""COMPUTED_VALUE"""),1.2227)</f>
        <v>1.2227</v>
      </c>
      <c r="E262" s="32">
        <f>IFERROR(__xludf.DUMMYFUNCTION("""COMPUTED_VALUE"""),41992.75)</f>
        <v>41992.75</v>
      </c>
      <c r="F262" s="22">
        <f>IFERROR(__xludf.DUMMYFUNCTION("""COMPUTED_VALUE"""),3141.28)</f>
        <v>3141.28</v>
      </c>
    </row>
    <row r="263" ht="15.75" customHeight="1">
      <c r="A263" s="32">
        <f>IFERROR(__xludf.DUMMYFUNCTION("""COMPUTED_VALUE"""),42020.66666666667)</f>
        <v>42020.66667</v>
      </c>
      <c r="B263" s="22">
        <f>IFERROR(__xludf.DUMMYFUNCTION("""COMPUTED_VALUE"""),2019.42)</f>
        <v>2019.42</v>
      </c>
      <c r="C263" s="32">
        <f>IFERROR(__xludf.DUMMYFUNCTION("""COMPUTED_VALUE"""),42000.99861111111)</f>
        <v>42000.99861</v>
      </c>
      <c r="D263" s="22">
        <f>IFERROR(__xludf.DUMMYFUNCTION("""COMPUTED_VALUE"""),1.2181)</f>
        <v>1.2181</v>
      </c>
      <c r="E263" s="32">
        <f>IFERROR(__xludf.DUMMYFUNCTION("""COMPUTED_VALUE"""),41997.75)</f>
        <v>41997.75</v>
      </c>
      <c r="F263" s="22">
        <f>IFERROR(__xludf.DUMMYFUNCTION("""COMPUTED_VALUE"""),3184.66)</f>
        <v>3184.66</v>
      </c>
    </row>
    <row r="264" ht="15.75" customHeight="1">
      <c r="A264" s="32">
        <f>IFERROR(__xludf.DUMMYFUNCTION("""COMPUTED_VALUE"""),42027.66666666667)</f>
        <v>42027.66667</v>
      </c>
      <c r="B264" s="22">
        <f>IFERROR(__xludf.DUMMYFUNCTION("""COMPUTED_VALUE"""),2051.82)</f>
        <v>2051.82</v>
      </c>
      <c r="C264" s="32">
        <f>IFERROR(__xludf.DUMMYFUNCTION("""COMPUTED_VALUE"""),42007.99861111111)</f>
        <v>42007.99861</v>
      </c>
      <c r="D264" s="22">
        <f>IFERROR(__xludf.DUMMYFUNCTION("""COMPUTED_VALUE"""),1.1998)</f>
        <v>1.1998</v>
      </c>
      <c r="E264" s="32">
        <f>IFERROR(__xludf.DUMMYFUNCTION("""COMPUTED_VALUE"""),42006.75)</f>
        <v>42006.75</v>
      </c>
      <c r="F264" s="22">
        <f>IFERROR(__xludf.DUMMYFUNCTION("""COMPUTED_VALUE"""),3139.44)</f>
        <v>3139.44</v>
      </c>
    </row>
    <row r="265" ht="15.75" customHeight="1">
      <c r="A265" s="32">
        <f>IFERROR(__xludf.DUMMYFUNCTION("""COMPUTED_VALUE"""),42034.66666666667)</f>
        <v>42034.66667</v>
      </c>
      <c r="B265" s="22">
        <f>IFERROR(__xludf.DUMMYFUNCTION("""COMPUTED_VALUE"""),1994.99)</f>
        <v>1994.99</v>
      </c>
      <c r="C265" s="32">
        <f>IFERROR(__xludf.DUMMYFUNCTION("""COMPUTED_VALUE"""),42014.99861111111)</f>
        <v>42014.99861</v>
      </c>
      <c r="D265" s="22">
        <f>IFERROR(__xludf.DUMMYFUNCTION("""COMPUTED_VALUE"""),1.1838)</f>
        <v>1.1838</v>
      </c>
      <c r="E265" s="32">
        <f>IFERROR(__xludf.DUMMYFUNCTION("""COMPUTED_VALUE"""),42013.75)</f>
        <v>42013.75</v>
      </c>
      <c r="F265" s="22">
        <f>IFERROR(__xludf.DUMMYFUNCTION("""COMPUTED_VALUE"""),3042.9)</f>
        <v>3042.9</v>
      </c>
    </row>
    <row r="266" ht="15.75" customHeight="1">
      <c r="A266" s="32">
        <f>IFERROR(__xludf.DUMMYFUNCTION("""COMPUTED_VALUE"""),42041.66666666667)</f>
        <v>42041.66667</v>
      </c>
      <c r="B266" s="22">
        <f>IFERROR(__xludf.DUMMYFUNCTION("""COMPUTED_VALUE"""),2055.47)</f>
        <v>2055.47</v>
      </c>
      <c r="C266" s="32">
        <f>IFERROR(__xludf.DUMMYFUNCTION("""COMPUTED_VALUE"""),42021.99861111111)</f>
        <v>42021.99861</v>
      </c>
      <c r="D266" s="22">
        <f>IFERROR(__xludf.DUMMYFUNCTION("""COMPUTED_VALUE"""),1.1571)</f>
        <v>1.1571</v>
      </c>
      <c r="E266" s="32">
        <f>IFERROR(__xludf.DUMMYFUNCTION("""COMPUTED_VALUE"""),42020.75)</f>
        <v>42020.75</v>
      </c>
      <c r="F266" s="22">
        <f>IFERROR(__xludf.DUMMYFUNCTION("""COMPUTED_VALUE"""),3202.24)</f>
        <v>3202.24</v>
      </c>
    </row>
    <row r="267" ht="15.75" customHeight="1">
      <c r="A267" s="32">
        <f>IFERROR(__xludf.DUMMYFUNCTION("""COMPUTED_VALUE"""),42048.66666666667)</f>
        <v>42048.66667</v>
      </c>
      <c r="B267" s="22">
        <f>IFERROR(__xludf.DUMMYFUNCTION("""COMPUTED_VALUE"""),2096.99)</f>
        <v>2096.99</v>
      </c>
      <c r="C267" s="32">
        <f>IFERROR(__xludf.DUMMYFUNCTION("""COMPUTED_VALUE"""),42028.99861111111)</f>
        <v>42028.99861</v>
      </c>
      <c r="D267" s="22">
        <f>IFERROR(__xludf.DUMMYFUNCTION("""COMPUTED_VALUE"""),1.12)</f>
        <v>1.12</v>
      </c>
      <c r="E267" s="32">
        <f>IFERROR(__xludf.DUMMYFUNCTION("""COMPUTED_VALUE"""),42027.75)</f>
        <v>42027.75</v>
      </c>
      <c r="F267" s="22">
        <f>IFERROR(__xludf.DUMMYFUNCTION("""COMPUTED_VALUE"""),3382.55)</f>
        <v>3382.55</v>
      </c>
    </row>
    <row r="268" ht="15.75" customHeight="1">
      <c r="A268" s="32">
        <f>IFERROR(__xludf.DUMMYFUNCTION("""COMPUTED_VALUE"""),42055.66666666667)</f>
        <v>42055.66667</v>
      </c>
      <c r="B268" s="22">
        <f>IFERROR(__xludf.DUMMYFUNCTION("""COMPUTED_VALUE"""),2110.3)</f>
        <v>2110.3</v>
      </c>
      <c r="C268" s="32">
        <f>IFERROR(__xludf.DUMMYFUNCTION("""COMPUTED_VALUE"""),42035.99861111111)</f>
        <v>42035.99861</v>
      </c>
      <c r="D268" s="22">
        <f>IFERROR(__xludf.DUMMYFUNCTION("""COMPUTED_VALUE"""),1.1286)</f>
        <v>1.1286</v>
      </c>
      <c r="E268" s="32">
        <f>IFERROR(__xludf.DUMMYFUNCTION("""COMPUTED_VALUE"""),42034.75)</f>
        <v>42034.75</v>
      </c>
      <c r="F268" s="22">
        <f>IFERROR(__xludf.DUMMYFUNCTION("""COMPUTED_VALUE"""),3351.44)</f>
        <v>3351.44</v>
      </c>
    </row>
    <row r="269" ht="15.75" customHeight="1">
      <c r="A269" s="32">
        <f>IFERROR(__xludf.DUMMYFUNCTION("""COMPUTED_VALUE"""),42062.66666666667)</f>
        <v>42062.66667</v>
      </c>
      <c r="B269" s="22">
        <f>IFERROR(__xludf.DUMMYFUNCTION("""COMPUTED_VALUE"""),2104.5)</f>
        <v>2104.5</v>
      </c>
      <c r="C269" s="32">
        <f>IFERROR(__xludf.DUMMYFUNCTION("""COMPUTED_VALUE"""),42042.99861111111)</f>
        <v>42042.99861</v>
      </c>
      <c r="D269" s="22">
        <f>IFERROR(__xludf.DUMMYFUNCTION("""COMPUTED_VALUE"""),1.1309)</f>
        <v>1.1309</v>
      </c>
      <c r="E269" s="32">
        <f>IFERROR(__xludf.DUMMYFUNCTION("""COMPUTED_VALUE"""),42041.75)</f>
        <v>42041.75</v>
      </c>
      <c r="F269" s="22">
        <f>IFERROR(__xludf.DUMMYFUNCTION("""COMPUTED_VALUE"""),3398.16)</f>
        <v>3398.16</v>
      </c>
    </row>
    <row r="270" ht="15.75" customHeight="1">
      <c r="A270" s="32">
        <f>IFERROR(__xludf.DUMMYFUNCTION("""COMPUTED_VALUE"""),42069.66666666667)</f>
        <v>42069.66667</v>
      </c>
      <c r="B270" s="22">
        <f>IFERROR(__xludf.DUMMYFUNCTION("""COMPUTED_VALUE"""),2071.26)</f>
        <v>2071.26</v>
      </c>
      <c r="C270" s="32">
        <f>IFERROR(__xludf.DUMMYFUNCTION("""COMPUTED_VALUE"""),42049.99861111111)</f>
        <v>42049.99861</v>
      </c>
      <c r="D270" s="22">
        <f>IFERROR(__xludf.DUMMYFUNCTION("""COMPUTED_VALUE"""),1.1378)</f>
        <v>1.1378</v>
      </c>
      <c r="E270" s="32">
        <f>IFERROR(__xludf.DUMMYFUNCTION("""COMPUTED_VALUE"""),42048.75)</f>
        <v>42048.75</v>
      </c>
      <c r="F270" s="22">
        <f>IFERROR(__xludf.DUMMYFUNCTION("""COMPUTED_VALUE"""),3447.59)</f>
        <v>3447.59</v>
      </c>
    </row>
    <row r="271" ht="15.75" customHeight="1">
      <c r="A271" s="32">
        <f>IFERROR(__xludf.DUMMYFUNCTION("""COMPUTED_VALUE"""),42076.66666666667)</f>
        <v>42076.66667</v>
      </c>
      <c r="B271" s="22">
        <f>IFERROR(__xludf.DUMMYFUNCTION("""COMPUTED_VALUE"""),2053.4)</f>
        <v>2053.4</v>
      </c>
      <c r="C271" s="32">
        <f>IFERROR(__xludf.DUMMYFUNCTION("""COMPUTED_VALUE"""),42056.99861111111)</f>
        <v>42056.99861</v>
      </c>
      <c r="D271" s="22">
        <f>IFERROR(__xludf.DUMMYFUNCTION("""COMPUTED_VALUE"""),1.138)</f>
        <v>1.138</v>
      </c>
      <c r="E271" s="32">
        <f>IFERROR(__xludf.DUMMYFUNCTION("""COMPUTED_VALUE"""),42055.75)</f>
        <v>42055.75</v>
      </c>
      <c r="F271" s="22">
        <f>IFERROR(__xludf.DUMMYFUNCTION("""COMPUTED_VALUE"""),3490.53)</f>
        <v>3490.53</v>
      </c>
    </row>
    <row r="272" ht="15.75" customHeight="1">
      <c r="A272" s="32">
        <f>IFERROR(__xludf.DUMMYFUNCTION("""COMPUTED_VALUE"""),42083.66666666667)</f>
        <v>42083.66667</v>
      </c>
      <c r="B272" s="22">
        <f>IFERROR(__xludf.DUMMYFUNCTION("""COMPUTED_VALUE"""),2108.1)</f>
        <v>2108.1</v>
      </c>
      <c r="C272" s="32">
        <f>IFERROR(__xludf.DUMMYFUNCTION("""COMPUTED_VALUE"""),42063.99861111111)</f>
        <v>42063.99861</v>
      </c>
      <c r="D272" s="22">
        <f>IFERROR(__xludf.DUMMYFUNCTION("""COMPUTED_VALUE"""),1.119)</f>
        <v>1.119</v>
      </c>
      <c r="E272" s="32">
        <f>IFERROR(__xludf.DUMMYFUNCTION("""COMPUTED_VALUE"""),42062.75)</f>
        <v>42062.75</v>
      </c>
      <c r="F272" s="22">
        <f>IFERROR(__xludf.DUMMYFUNCTION("""COMPUTED_VALUE"""),3599.0)</f>
        <v>3599</v>
      </c>
    </row>
    <row r="273" ht="15.75" customHeight="1">
      <c r="A273" s="32">
        <f>IFERROR(__xludf.DUMMYFUNCTION("""COMPUTED_VALUE"""),42090.66666666667)</f>
        <v>42090.66667</v>
      </c>
      <c r="B273" s="22">
        <f>IFERROR(__xludf.DUMMYFUNCTION("""COMPUTED_VALUE"""),2061.02)</f>
        <v>2061.02</v>
      </c>
      <c r="C273" s="32">
        <f>IFERROR(__xludf.DUMMYFUNCTION("""COMPUTED_VALUE"""),42070.99861111111)</f>
        <v>42070.99861</v>
      </c>
      <c r="D273" s="22">
        <f>IFERROR(__xludf.DUMMYFUNCTION("""COMPUTED_VALUE"""),1.0844)</f>
        <v>1.0844</v>
      </c>
      <c r="E273" s="32">
        <f>IFERROR(__xludf.DUMMYFUNCTION("""COMPUTED_VALUE"""),42069.75)</f>
        <v>42069.75</v>
      </c>
      <c r="F273" s="22">
        <f>IFERROR(__xludf.DUMMYFUNCTION("""COMPUTED_VALUE"""),3617.62)</f>
        <v>3617.62</v>
      </c>
    </row>
    <row r="274" ht="15.75" customHeight="1">
      <c r="A274" s="32">
        <f>IFERROR(__xludf.DUMMYFUNCTION("""COMPUTED_VALUE"""),42096.66666666667)</f>
        <v>42096.66667</v>
      </c>
      <c r="B274" s="22">
        <f>IFERROR(__xludf.DUMMYFUNCTION("""COMPUTED_VALUE"""),2066.96)</f>
        <v>2066.96</v>
      </c>
      <c r="C274" s="32">
        <f>IFERROR(__xludf.DUMMYFUNCTION("""COMPUTED_VALUE"""),42077.99861111111)</f>
        <v>42077.99861</v>
      </c>
      <c r="D274" s="22">
        <f>IFERROR(__xludf.DUMMYFUNCTION("""COMPUTED_VALUE"""),1.0495)</f>
        <v>1.0495</v>
      </c>
      <c r="E274" s="32">
        <f>IFERROR(__xludf.DUMMYFUNCTION("""COMPUTED_VALUE"""),42076.75)</f>
        <v>42076.75</v>
      </c>
      <c r="F274" s="22">
        <f>IFERROR(__xludf.DUMMYFUNCTION("""COMPUTED_VALUE"""),3656.21)</f>
        <v>3656.21</v>
      </c>
    </row>
    <row r="275" ht="15.75" customHeight="1">
      <c r="A275" s="32">
        <f>IFERROR(__xludf.DUMMYFUNCTION("""COMPUTED_VALUE"""),42104.66666666667)</f>
        <v>42104.66667</v>
      </c>
      <c r="B275" s="22">
        <f>IFERROR(__xludf.DUMMYFUNCTION("""COMPUTED_VALUE"""),2102.06)</f>
        <v>2102.06</v>
      </c>
      <c r="C275" s="32">
        <f>IFERROR(__xludf.DUMMYFUNCTION("""COMPUTED_VALUE"""),42084.99861111111)</f>
        <v>42084.99861</v>
      </c>
      <c r="D275" s="22">
        <f>IFERROR(__xludf.DUMMYFUNCTION("""COMPUTED_VALUE"""),1.0814)</f>
        <v>1.0814</v>
      </c>
      <c r="E275" s="32">
        <f>IFERROR(__xludf.DUMMYFUNCTION("""COMPUTED_VALUE"""),42083.75)</f>
        <v>42083.75</v>
      </c>
      <c r="F275" s="22">
        <f>IFERROR(__xludf.DUMMYFUNCTION("""COMPUTED_VALUE"""),3726.07)</f>
        <v>3726.07</v>
      </c>
    </row>
    <row r="276" ht="15.75" customHeight="1">
      <c r="A276" s="32">
        <f>IFERROR(__xludf.DUMMYFUNCTION("""COMPUTED_VALUE"""),42111.66666666667)</f>
        <v>42111.66667</v>
      </c>
      <c r="B276" s="22">
        <f>IFERROR(__xludf.DUMMYFUNCTION("""COMPUTED_VALUE"""),2081.18)</f>
        <v>2081.18</v>
      </c>
      <c r="C276" s="32">
        <f>IFERROR(__xludf.DUMMYFUNCTION("""COMPUTED_VALUE"""),42091.99861111111)</f>
        <v>42091.99861</v>
      </c>
      <c r="D276" s="22">
        <f>IFERROR(__xludf.DUMMYFUNCTION("""COMPUTED_VALUE"""),1.0893)</f>
        <v>1.0893</v>
      </c>
      <c r="E276" s="32">
        <f>IFERROR(__xludf.DUMMYFUNCTION("""COMPUTED_VALUE"""),42090.75)</f>
        <v>42090.75</v>
      </c>
      <c r="F276" s="22">
        <f>IFERROR(__xludf.DUMMYFUNCTION("""COMPUTED_VALUE"""),3679.03)</f>
        <v>3679.03</v>
      </c>
    </row>
    <row r="277" ht="15.75" customHeight="1">
      <c r="A277" s="32">
        <f>IFERROR(__xludf.DUMMYFUNCTION("""COMPUTED_VALUE"""),42118.66666666667)</f>
        <v>42118.66667</v>
      </c>
      <c r="B277" s="22">
        <f>IFERROR(__xludf.DUMMYFUNCTION("""COMPUTED_VALUE"""),2117.69)</f>
        <v>2117.69</v>
      </c>
      <c r="C277" s="32">
        <f>IFERROR(__xludf.DUMMYFUNCTION("""COMPUTED_VALUE"""),42098.99861111111)</f>
        <v>42098.99861</v>
      </c>
      <c r="D277" s="22">
        <f>IFERROR(__xludf.DUMMYFUNCTION("""COMPUTED_VALUE"""),1.0963)</f>
        <v>1.0963</v>
      </c>
      <c r="E277" s="32">
        <f>IFERROR(__xludf.DUMMYFUNCTION("""COMPUTED_VALUE"""),42096.75)</f>
        <v>42096.75</v>
      </c>
      <c r="F277" s="22">
        <f>IFERROR(__xludf.DUMMYFUNCTION("""COMPUTED_VALUE"""),3715.27)</f>
        <v>3715.27</v>
      </c>
    </row>
    <row r="278" ht="15.75" customHeight="1">
      <c r="A278" s="32">
        <f>IFERROR(__xludf.DUMMYFUNCTION("""COMPUTED_VALUE"""),42125.66666666667)</f>
        <v>42125.66667</v>
      </c>
      <c r="B278" s="22">
        <f>IFERROR(__xludf.DUMMYFUNCTION("""COMPUTED_VALUE"""),2108.29)</f>
        <v>2108.29</v>
      </c>
      <c r="C278" s="32">
        <f>IFERROR(__xludf.DUMMYFUNCTION("""COMPUTED_VALUE"""),42105.99861111111)</f>
        <v>42105.99861</v>
      </c>
      <c r="D278" s="22">
        <f>IFERROR(__xludf.DUMMYFUNCTION("""COMPUTED_VALUE"""),1.0608)</f>
        <v>1.0608</v>
      </c>
      <c r="E278" s="32">
        <f>IFERROR(__xludf.DUMMYFUNCTION("""COMPUTED_VALUE"""),42104.75)</f>
        <v>42104.75</v>
      </c>
      <c r="F278" s="22">
        <f>IFERROR(__xludf.DUMMYFUNCTION("""COMPUTED_VALUE"""),3816.76)</f>
        <v>3816.76</v>
      </c>
    </row>
    <row r="279" ht="15.75" customHeight="1">
      <c r="A279" s="32">
        <f>IFERROR(__xludf.DUMMYFUNCTION("""COMPUTED_VALUE"""),42132.66666666667)</f>
        <v>42132.66667</v>
      </c>
      <c r="B279" s="22">
        <f>IFERROR(__xludf.DUMMYFUNCTION("""COMPUTED_VALUE"""),2116.1)</f>
        <v>2116.1</v>
      </c>
      <c r="C279" s="32">
        <f>IFERROR(__xludf.DUMMYFUNCTION("""COMPUTED_VALUE"""),42112.99861111111)</f>
        <v>42112.99861</v>
      </c>
      <c r="D279" s="22">
        <f>IFERROR(__xludf.DUMMYFUNCTION("""COMPUTED_VALUE"""),1.0804)</f>
        <v>1.0804</v>
      </c>
      <c r="E279" s="32">
        <f>IFERROR(__xludf.DUMMYFUNCTION("""COMPUTED_VALUE"""),42111.75)</f>
        <v>42111.75</v>
      </c>
      <c r="F279" s="22">
        <f>IFERROR(__xludf.DUMMYFUNCTION("""COMPUTED_VALUE"""),3674.05)</f>
        <v>3674.05</v>
      </c>
    </row>
    <row r="280" ht="15.75" customHeight="1">
      <c r="A280" s="32">
        <f>IFERROR(__xludf.DUMMYFUNCTION("""COMPUTED_VALUE"""),42139.66666666667)</f>
        <v>42139.66667</v>
      </c>
      <c r="B280" s="22">
        <f>IFERROR(__xludf.DUMMYFUNCTION("""COMPUTED_VALUE"""),2122.73)</f>
        <v>2122.73</v>
      </c>
      <c r="C280" s="32">
        <f>IFERROR(__xludf.DUMMYFUNCTION("""COMPUTED_VALUE"""),42119.99861111111)</f>
        <v>42119.99861</v>
      </c>
      <c r="D280" s="22">
        <f>IFERROR(__xludf.DUMMYFUNCTION("""COMPUTED_VALUE"""),1.08725)</f>
        <v>1.08725</v>
      </c>
      <c r="E280" s="32">
        <f>IFERROR(__xludf.DUMMYFUNCTION("""COMPUTED_VALUE"""),42118.75)</f>
        <v>42118.75</v>
      </c>
      <c r="F280" s="22">
        <f>IFERROR(__xludf.DUMMYFUNCTION("""COMPUTED_VALUE"""),3713.96)</f>
        <v>3713.96</v>
      </c>
    </row>
    <row r="281" ht="15.75" customHeight="1">
      <c r="A281" s="32">
        <f>IFERROR(__xludf.DUMMYFUNCTION("""COMPUTED_VALUE"""),42146.66666666667)</f>
        <v>42146.66667</v>
      </c>
      <c r="B281" s="22">
        <f>IFERROR(__xludf.DUMMYFUNCTION("""COMPUTED_VALUE"""),2126.06)</f>
        <v>2126.06</v>
      </c>
      <c r="C281" s="32">
        <f>IFERROR(__xludf.DUMMYFUNCTION("""COMPUTED_VALUE"""),42126.99861111111)</f>
        <v>42126.99861</v>
      </c>
      <c r="D281" s="22">
        <f>IFERROR(__xludf.DUMMYFUNCTION("""COMPUTED_VALUE"""),1.1195)</f>
        <v>1.1195</v>
      </c>
      <c r="E281" s="32">
        <f>IFERROR(__xludf.DUMMYFUNCTION("""COMPUTED_VALUE"""),42125.75)</f>
        <v>42125.75</v>
      </c>
      <c r="F281" s="22">
        <f>IFERROR(__xludf.DUMMYFUNCTION("""COMPUTED_VALUE"""),3615.59)</f>
        <v>3615.59</v>
      </c>
    </row>
    <row r="282" ht="15.75" customHeight="1">
      <c r="A282" s="32">
        <f>IFERROR(__xludf.DUMMYFUNCTION("""COMPUTED_VALUE"""),42153.66666666667)</f>
        <v>42153.66667</v>
      </c>
      <c r="B282" s="22">
        <f>IFERROR(__xludf.DUMMYFUNCTION("""COMPUTED_VALUE"""),2107.39)</f>
        <v>2107.39</v>
      </c>
      <c r="C282" s="32">
        <f>IFERROR(__xludf.DUMMYFUNCTION("""COMPUTED_VALUE"""),42133.99861111111)</f>
        <v>42133.99861</v>
      </c>
      <c r="D282" s="22">
        <f>IFERROR(__xludf.DUMMYFUNCTION("""COMPUTED_VALUE"""),1.1192)</f>
        <v>1.1192</v>
      </c>
      <c r="E282" s="32">
        <f>IFERROR(__xludf.DUMMYFUNCTION("""COMPUTED_VALUE"""),42132.75)</f>
        <v>42132.75</v>
      </c>
      <c r="F282" s="22">
        <f>IFERROR(__xludf.DUMMYFUNCTION("""COMPUTED_VALUE"""),3649.48)</f>
        <v>3649.48</v>
      </c>
    </row>
    <row r="283" ht="15.75" customHeight="1">
      <c r="A283" s="32">
        <f>IFERROR(__xludf.DUMMYFUNCTION("""COMPUTED_VALUE"""),42160.66666666667)</f>
        <v>42160.66667</v>
      </c>
      <c r="B283" s="22">
        <f>IFERROR(__xludf.DUMMYFUNCTION("""COMPUTED_VALUE"""),2092.83)</f>
        <v>2092.83</v>
      </c>
      <c r="C283" s="32">
        <f>IFERROR(__xludf.DUMMYFUNCTION("""COMPUTED_VALUE"""),42140.99861111111)</f>
        <v>42140.99861</v>
      </c>
      <c r="D283" s="22">
        <f>IFERROR(__xludf.DUMMYFUNCTION("""COMPUTED_VALUE"""),1.1447)</f>
        <v>1.1447</v>
      </c>
      <c r="E283" s="32">
        <f>IFERROR(__xludf.DUMMYFUNCTION("""COMPUTED_VALUE"""),42139.75)</f>
        <v>42139.75</v>
      </c>
      <c r="F283" s="22">
        <f>IFERROR(__xludf.DUMMYFUNCTION("""COMPUTED_VALUE"""),3573.07)</f>
        <v>3573.07</v>
      </c>
    </row>
    <row r="284" ht="15.75" customHeight="1">
      <c r="A284" s="32">
        <f>IFERROR(__xludf.DUMMYFUNCTION("""COMPUTED_VALUE"""),42167.66666666667)</f>
        <v>42167.66667</v>
      </c>
      <c r="B284" s="22">
        <f>IFERROR(__xludf.DUMMYFUNCTION("""COMPUTED_VALUE"""),2094.11)</f>
        <v>2094.11</v>
      </c>
      <c r="C284" s="32">
        <f>IFERROR(__xludf.DUMMYFUNCTION("""COMPUTED_VALUE"""),42147.99861111111)</f>
        <v>42147.99861</v>
      </c>
      <c r="D284" s="22">
        <f>IFERROR(__xludf.DUMMYFUNCTION("""COMPUTED_VALUE"""),1.1012)</f>
        <v>1.1012</v>
      </c>
      <c r="E284" s="32">
        <f>IFERROR(__xludf.DUMMYFUNCTION("""COMPUTED_VALUE"""),42146.75)</f>
        <v>42146.75</v>
      </c>
      <c r="F284" s="22">
        <f>IFERROR(__xludf.DUMMYFUNCTION("""COMPUTED_VALUE"""),3679.14)</f>
        <v>3679.14</v>
      </c>
    </row>
    <row r="285" ht="15.75" customHeight="1">
      <c r="A285" s="32">
        <f>IFERROR(__xludf.DUMMYFUNCTION("""COMPUTED_VALUE"""),42174.66666666667)</f>
        <v>42174.66667</v>
      </c>
      <c r="B285" s="22">
        <f>IFERROR(__xludf.DUMMYFUNCTION("""COMPUTED_VALUE"""),2109.99)</f>
        <v>2109.99</v>
      </c>
      <c r="C285" s="32">
        <f>IFERROR(__xludf.DUMMYFUNCTION("""COMPUTED_VALUE"""),42154.99861111111)</f>
        <v>42154.99861</v>
      </c>
      <c r="D285" s="22">
        <f>IFERROR(__xludf.DUMMYFUNCTION("""COMPUTED_VALUE"""),1.0992)</f>
        <v>1.0992</v>
      </c>
      <c r="E285" s="32">
        <f>IFERROR(__xludf.DUMMYFUNCTION("""COMPUTED_VALUE"""),42153.75)</f>
        <v>42153.75</v>
      </c>
      <c r="F285" s="22">
        <f>IFERROR(__xludf.DUMMYFUNCTION("""COMPUTED_VALUE"""),3570.78)</f>
        <v>3570.78</v>
      </c>
    </row>
    <row r="286" ht="15.75" customHeight="1">
      <c r="A286" s="32">
        <f>IFERROR(__xludf.DUMMYFUNCTION("""COMPUTED_VALUE"""),42181.66666666667)</f>
        <v>42181.66667</v>
      </c>
      <c r="B286" s="22">
        <f>IFERROR(__xludf.DUMMYFUNCTION("""COMPUTED_VALUE"""),2101.49)</f>
        <v>2101.49</v>
      </c>
      <c r="C286" s="32">
        <f>IFERROR(__xludf.DUMMYFUNCTION("""COMPUTED_VALUE"""),42161.99861111111)</f>
        <v>42161.99861</v>
      </c>
      <c r="D286" s="22">
        <f>IFERROR(__xludf.DUMMYFUNCTION("""COMPUTED_VALUE"""),1.1114)</f>
        <v>1.1114</v>
      </c>
      <c r="E286" s="32">
        <f>IFERROR(__xludf.DUMMYFUNCTION("""COMPUTED_VALUE"""),42160.75)</f>
        <v>42160.75</v>
      </c>
      <c r="F286" s="22">
        <f>IFERROR(__xludf.DUMMYFUNCTION("""COMPUTED_VALUE"""),3510.01)</f>
        <v>3510.01</v>
      </c>
    </row>
    <row r="287" ht="15.75" customHeight="1">
      <c r="A287" s="32">
        <f>IFERROR(__xludf.DUMMYFUNCTION("""COMPUTED_VALUE"""),42187.66666666667)</f>
        <v>42187.66667</v>
      </c>
      <c r="B287" s="22">
        <f>IFERROR(__xludf.DUMMYFUNCTION("""COMPUTED_VALUE"""),2076.78)</f>
        <v>2076.78</v>
      </c>
      <c r="C287" s="32">
        <f>IFERROR(__xludf.DUMMYFUNCTION("""COMPUTED_VALUE"""),42168.99861111111)</f>
        <v>42168.99861</v>
      </c>
      <c r="D287" s="22">
        <f>IFERROR(__xludf.DUMMYFUNCTION("""COMPUTED_VALUE"""),1.1261)</f>
        <v>1.1261</v>
      </c>
      <c r="E287" s="32">
        <f>IFERROR(__xludf.DUMMYFUNCTION("""COMPUTED_VALUE"""),42167.75)</f>
        <v>42167.75</v>
      </c>
      <c r="F287" s="22">
        <f>IFERROR(__xludf.DUMMYFUNCTION("""COMPUTED_VALUE"""),3502.77)</f>
        <v>3502.77</v>
      </c>
    </row>
    <row r="288" ht="15.75" customHeight="1">
      <c r="A288" s="32">
        <f>IFERROR(__xludf.DUMMYFUNCTION("""COMPUTED_VALUE"""),42195.66666666667)</f>
        <v>42195.66667</v>
      </c>
      <c r="B288" s="22">
        <f>IFERROR(__xludf.DUMMYFUNCTION("""COMPUTED_VALUE"""),2076.62)</f>
        <v>2076.62</v>
      </c>
      <c r="C288" s="32">
        <f>IFERROR(__xludf.DUMMYFUNCTION("""COMPUTED_VALUE"""),42175.99861111111)</f>
        <v>42175.99861</v>
      </c>
      <c r="D288" s="22">
        <f>IFERROR(__xludf.DUMMYFUNCTION("""COMPUTED_VALUE"""),1.1349)</f>
        <v>1.1349</v>
      </c>
      <c r="E288" s="32">
        <f>IFERROR(__xludf.DUMMYFUNCTION("""COMPUTED_VALUE"""),42174.75)</f>
        <v>42174.75</v>
      </c>
      <c r="F288" s="22">
        <f>IFERROR(__xludf.DUMMYFUNCTION("""COMPUTED_VALUE"""),3455.8)</f>
        <v>3455.8</v>
      </c>
    </row>
    <row r="289" ht="15.75" customHeight="1">
      <c r="A289" s="32">
        <f>IFERROR(__xludf.DUMMYFUNCTION("""COMPUTED_VALUE"""),42202.66666666667)</f>
        <v>42202.66667</v>
      </c>
      <c r="B289" s="22">
        <f>IFERROR(__xludf.DUMMYFUNCTION("""COMPUTED_VALUE"""),2126.64)</f>
        <v>2126.64</v>
      </c>
      <c r="C289" s="32">
        <f>IFERROR(__xludf.DUMMYFUNCTION("""COMPUTED_VALUE"""),42182.99861111111)</f>
        <v>42182.99861</v>
      </c>
      <c r="D289" s="22">
        <f>IFERROR(__xludf.DUMMYFUNCTION("""COMPUTED_VALUE"""),1.1165)</f>
        <v>1.1165</v>
      </c>
      <c r="E289" s="32">
        <f>IFERROR(__xludf.DUMMYFUNCTION("""COMPUTED_VALUE"""),42181.75)</f>
        <v>42181.75</v>
      </c>
      <c r="F289" s="22">
        <f>IFERROR(__xludf.DUMMYFUNCTION("""COMPUTED_VALUE"""),3621.37)</f>
        <v>3621.37</v>
      </c>
    </row>
    <row r="290" ht="15.75" customHeight="1">
      <c r="A290" s="32">
        <f>IFERROR(__xludf.DUMMYFUNCTION("""COMPUTED_VALUE"""),42209.66666666667)</f>
        <v>42209.66667</v>
      </c>
      <c r="B290" s="22">
        <f>IFERROR(__xludf.DUMMYFUNCTION("""COMPUTED_VALUE"""),2079.65)</f>
        <v>2079.65</v>
      </c>
      <c r="C290" s="32">
        <f>IFERROR(__xludf.DUMMYFUNCTION("""COMPUTED_VALUE"""),42189.99861111111)</f>
        <v>42189.99861</v>
      </c>
      <c r="D290" s="22">
        <f>IFERROR(__xludf.DUMMYFUNCTION("""COMPUTED_VALUE"""),1.1114)</f>
        <v>1.1114</v>
      </c>
      <c r="E290" s="32">
        <f>IFERROR(__xludf.DUMMYFUNCTION("""COMPUTED_VALUE"""),42188.75)</f>
        <v>42188.75</v>
      </c>
      <c r="F290" s="22">
        <f>IFERROR(__xludf.DUMMYFUNCTION("""COMPUTED_VALUE"""),3441.76)</f>
        <v>3441.76</v>
      </c>
    </row>
    <row r="291" ht="15.75" customHeight="1">
      <c r="A291" s="32">
        <f>IFERROR(__xludf.DUMMYFUNCTION("""COMPUTED_VALUE"""),42216.66666666667)</f>
        <v>42216.66667</v>
      </c>
      <c r="B291" s="22">
        <f>IFERROR(__xludf.DUMMYFUNCTION("""COMPUTED_VALUE"""),2103.84)</f>
        <v>2103.84</v>
      </c>
      <c r="C291" s="32">
        <f>IFERROR(__xludf.DUMMYFUNCTION("""COMPUTED_VALUE"""),42196.99861111111)</f>
        <v>42196.99861</v>
      </c>
      <c r="D291" s="22">
        <f>IFERROR(__xludf.DUMMYFUNCTION("""COMPUTED_VALUE"""),1.11555)</f>
        <v>1.11555</v>
      </c>
      <c r="E291" s="32">
        <f>IFERROR(__xludf.DUMMYFUNCTION("""COMPUTED_VALUE"""),42195.75)</f>
        <v>42195.75</v>
      </c>
      <c r="F291" s="22">
        <f>IFERROR(__xludf.DUMMYFUNCTION("""COMPUTED_VALUE"""),3528.81)</f>
        <v>3528.81</v>
      </c>
    </row>
    <row r="292" ht="15.75" customHeight="1">
      <c r="A292" s="32">
        <f>IFERROR(__xludf.DUMMYFUNCTION("""COMPUTED_VALUE"""),42223.66666666667)</f>
        <v>42223.66667</v>
      </c>
      <c r="B292" s="22">
        <f>IFERROR(__xludf.DUMMYFUNCTION("""COMPUTED_VALUE"""),2077.57)</f>
        <v>2077.57</v>
      </c>
      <c r="C292" s="32">
        <f>IFERROR(__xludf.DUMMYFUNCTION("""COMPUTED_VALUE"""),42203.99861111111)</f>
        <v>42203.99861</v>
      </c>
      <c r="D292" s="22">
        <f>IFERROR(__xludf.DUMMYFUNCTION("""COMPUTED_VALUE"""),1.0827)</f>
        <v>1.0827</v>
      </c>
      <c r="E292" s="32">
        <f>IFERROR(__xludf.DUMMYFUNCTION("""COMPUTED_VALUE"""),42202.75)</f>
        <v>42202.75</v>
      </c>
      <c r="F292" s="22">
        <f>IFERROR(__xludf.DUMMYFUNCTION("""COMPUTED_VALUE"""),3670.34)</f>
        <v>3670.34</v>
      </c>
    </row>
    <row r="293" ht="15.75" customHeight="1">
      <c r="A293" s="32">
        <f>IFERROR(__xludf.DUMMYFUNCTION("""COMPUTED_VALUE"""),42230.66666666667)</f>
        <v>42230.66667</v>
      </c>
      <c r="B293" s="22">
        <f>IFERROR(__xludf.DUMMYFUNCTION("""COMPUTED_VALUE"""),2091.54)</f>
        <v>2091.54</v>
      </c>
      <c r="C293" s="32">
        <f>IFERROR(__xludf.DUMMYFUNCTION("""COMPUTED_VALUE"""),42210.99861111111)</f>
        <v>42210.99861</v>
      </c>
      <c r="D293" s="22">
        <f>IFERROR(__xludf.DUMMYFUNCTION("""COMPUTED_VALUE"""),1.098)</f>
        <v>1.098</v>
      </c>
      <c r="E293" s="32">
        <f>IFERROR(__xludf.DUMMYFUNCTION("""COMPUTED_VALUE"""),42209.75)</f>
        <v>42209.75</v>
      </c>
      <c r="F293" s="22">
        <f>IFERROR(__xludf.DUMMYFUNCTION("""COMPUTED_VALUE"""),3600.0)</f>
        <v>3600</v>
      </c>
    </row>
    <row r="294" ht="15.75" customHeight="1">
      <c r="A294" s="32">
        <f>IFERROR(__xludf.DUMMYFUNCTION("""COMPUTED_VALUE"""),42237.66666666667)</f>
        <v>42237.66667</v>
      </c>
      <c r="B294" s="22">
        <f>IFERROR(__xludf.DUMMYFUNCTION("""COMPUTED_VALUE"""),1970.89)</f>
        <v>1970.89</v>
      </c>
      <c r="C294" s="32">
        <f>IFERROR(__xludf.DUMMYFUNCTION("""COMPUTED_VALUE"""),42217.99861111111)</f>
        <v>42217.99861</v>
      </c>
      <c r="D294" s="22">
        <f>IFERROR(__xludf.DUMMYFUNCTION("""COMPUTED_VALUE"""),1.0983)</f>
        <v>1.0983</v>
      </c>
      <c r="E294" s="32">
        <f>IFERROR(__xludf.DUMMYFUNCTION("""COMPUTED_VALUE"""),42216.75)</f>
        <v>42216.75</v>
      </c>
      <c r="F294" s="22">
        <f>IFERROR(__xludf.DUMMYFUNCTION("""COMPUTED_VALUE"""),3600.69)</f>
        <v>3600.69</v>
      </c>
    </row>
    <row r="295" ht="15.75" customHeight="1">
      <c r="A295" s="32">
        <f>IFERROR(__xludf.DUMMYFUNCTION("""COMPUTED_VALUE"""),42244.66666666667)</f>
        <v>42244.66667</v>
      </c>
      <c r="B295" s="22">
        <f>IFERROR(__xludf.DUMMYFUNCTION("""COMPUTED_VALUE"""),1988.87)</f>
        <v>1988.87</v>
      </c>
      <c r="C295" s="32">
        <f>IFERROR(__xludf.DUMMYFUNCTION("""COMPUTED_VALUE"""),42224.99861111111)</f>
        <v>42224.99861</v>
      </c>
      <c r="D295" s="22">
        <f>IFERROR(__xludf.DUMMYFUNCTION("""COMPUTED_VALUE"""),1.0965)</f>
        <v>1.0965</v>
      </c>
      <c r="E295" s="32">
        <f>IFERROR(__xludf.DUMMYFUNCTION("""COMPUTED_VALUE"""),42223.75)</f>
        <v>42223.75</v>
      </c>
      <c r="F295" s="22">
        <f>IFERROR(__xludf.DUMMYFUNCTION("""COMPUTED_VALUE"""),3637.8)</f>
        <v>3637.8</v>
      </c>
    </row>
    <row r="296" ht="15.75" customHeight="1">
      <c r="A296" s="32">
        <f>IFERROR(__xludf.DUMMYFUNCTION("""COMPUTED_VALUE"""),42251.66666666667)</f>
        <v>42251.66667</v>
      </c>
      <c r="B296" s="22">
        <f>IFERROR(__xludf.DUMMYFUNCTION("""COMPUTED_VALUE"""),1921.22)</f>
        <v>1921.22</v>
      </c>
      <c r="C296" s="32">
        <f>IFERROR(__xludf.DUMMYFUNCTION("""COMPUTED_VALUE"""),42231.99861111111)</f>
        <v>42231.99861</v>
      </c>
      <c r="D296" s="22">
        <f>IFERROR(__xludf.DUMMYFUNCTION("""COMPUTED_VALUE"""),1.1104)</f>
        <v>1.1104</v>
      </c>
      <c r="E296" s="32">
        <f>IFERROR(__xludf.DUMMYFUNCTION("""COMPUTED_VALUE"""),42230.75)</f>
        <v>42230.75</v>
      </c>
      <c r="F296" s="22">
        <f>IFERROR(__xludf.DUMMYFUNCTION("""COMPUTED_VALUE"""),3491.03)</f>
        <v>3491.03</v>
      </c>
    </row>
    <row r="297" ht="15.75" customHeight="1">
      <c r="A297" s="32">
        <f>IFERROR(__xludf.DUMMYFUNCTION("""COMPUTED_VALUE"""),42258.66666666667)</f>
        <v>42258.66667</v>
      </c>
      <c r="B297" s="22">
        <f>IFERROR(__xludf.DUMMYFUNCTION("""COMPUTED_VALUE"""),1961.05)</f>
        <v>1961.05</v>
      </c>
      <c r="C297" s="32">
        <f>IFERROR(__xludf.DUMMYFUNCTION("""COMPUTED_VALUE"""),42238.99861111111)</f>
        <v>42238.99861</v>
      </c>
      <c r="D297" s="22">
        <f>IFERROR(__xludf.DUMMYFUNCTION("""COMPUTED_VALUE"""),1.1383)</f>
        <v>1.1383</v>
      </c>
      <c r="E297" s="32">
        <f>IFERROR(__xludf.DUMMYFUNCTION("""COMPUTED_VALUE"""),42237.75)</f>
        <v>42237.75</v>
      </c>
      <c r="F297" s="22">
        <f>IFERROR(__xludf.DUMMYFUNCTION("""COMPUTED_VALUE"""),3247.26)</f>
        <v>3247.26</v>
      </c>
    </row>
    <row r="298" ht="15.75" customHeight="1">
      <c r="A298" s="32">
        <f>IFERROR(__xludf.DUMMYFUNCTION("""COMPUTED_VALUE"""),42265.66666666667)</f>
        <v>42265.66667</v>
      </c>
      <c r="B298" s="22">
        <f>IFERROR(__xludf.DUMMYFUNCTION("""COMPUTED_VALUE"""),1958.03)</f>
        <v>1958.03</v>
      </c>
      <c r="C298" s="32">
        <f>IFERROR(__xludf.DUMMYFUNCTION("""COMPUTED_VALUE"""),42245.99861111111)</f>
        <v>42245.99861</v>
      </c>
      <c r="D298" s="22">
        <f>IFERROR(__xludf.DUMMYFUNCTION("""COMPUTED_VALUE"""),1.1181)</f>
        <v>1.1181</v>
      </c>
      <c r="E298" s="32">
        <f>IFERROR(__xludf.DUMMYFUNCTION("""COMPUTED_VALUE"""),42244.75)</f>
        <v>42244.75</v>
      </c>
      <c r="F298" s="22">
        <f>IFERROR(__xludf.DUMMYFUNCTION("""COMPUTED_VALUE"""),3286.59)</f>
        <v>3286.59</v>
      </c>
    </row>
    <row r="299" ht="15.75" customHeight="1">
      <c r="A299" s="32">
        <f>IFERROR(__xludf.DUMMYFUNCTION("""COMPUTED_VALUE"""),42272.66666666667)</f>
        <v>42272.66667</v>
      </c>
      <c r="B299" s="22">
        <f>IFERROR(__xludf.DUMMYFUNCTION("""COMPUTED_VALUE"""),1931.34)</f>
        <v>1931.34</v>
      </c>
      <c r="C299" s="32">
        <f>IFERROR(__xludf.DUMMYFUNCTION("""COMPUTED_VALUE"""),42252.99861111111)</f>
        <v>42252.99861</v>
      </c>
      <c r="D299" s="22">
        <f>IFERROR(__xludf.DUMMYFUNCTION("""COMPUTED_VALUE"""),1.115)</f>
        <v>1.115</v>
      </c>
      <c r="E299" s="32">
        <f>IFERROR(__xludf.DUMMYFUNCTION("""COMPUTED_VALUE"""),42251.75)</f>
        <v>42251.75</v>
      </c>
      <c r="F299" s="22">
        <f>IFERROR(__xludf.DUMMYFUNCTION("""COMPUTED_VALUE"""),3180.25)</f>
        <v>3180.25</v>
      </c>
    </row>
    <row r="300" ht="15.75" customHeight="1">
      <c r="A300" s="32">
        <f>IFERROR(__xludf.DUMMYFUNCTION("""COMPUTED_VALUE"""),42279.66666666667)</f>
        <v>42279.66667</v>
      </c>
      <c r="B300" s="22">
        <f>IFERROR(__xludf.DUMMYFUNCTION("""COMPUTED_VALUE"""),1951.36)</f>
        <v>1951.36</v>
      </c>
      <c r="C300" s="32">
        <f>IFERROR(__xludf.DUMMYFUNCTION("""COMPUTED_VALUE"""),42259.99861111111)</f>
        <v>42259.99861</v>
      </c>
      <c r="D300" s="22">
        <f>IFERROR(__xludf.DUMMYFUNCTION("""COMPUTED_VALUE"""),1.13383)</f>
        <v>1.13383</v>
      </c>
      <c r="E300" s="32">
        <f>IFERROR(__xludf.DUMMYFUNCTION("""COMPUTED_VALUE"""),42258.75)</f>
        <v>42258.75</v>
      </c>
      <c r="F300" s="22">
        <f>IFERROR(__xludf.DUMMYFUNCTION("""COMPUTED_VALUE"""),3187.94)</f>
        <v>3187.94</v>
      </c>
    </row>
    <row r="301" ht="15.75" customHeight="1">
      <c r="A301" s="32">
        <f>IFERROR(__xludf.DUMMYFUNCTION("""COMPUTED_VALUE"""),42286.66666666667)</f>
        <v>42286.66667</v>
      </c>
      <c r="B301" s="22">
        <f>IFERROR(__xludf.DUMMYFUNCTION("""COMPUTED_VALUE"""),2014.89)</f>
        <v>2014.89</v>
      </c>
      <c r="C301" s="32">
        <f>IFERROR(__xludf.DUMMYFUNCTION("""COMPUTED_VALUE"""),42266.99861111111)</f>
        <v>42266.99861</v>
      </c>
      <c r="D301" s="22">
        <f>IFERROR(__xludf.DUMMYFUNCTION("""COMPUTED_VALUE"""),1.1302)</f>
        <v>1.1302</v>
      </c>
      <c r="E301" s="32">
        <f>IFERROR(__xludf.DUMMYFUNCTION("""COMPUTED_VALUE"""),42265.75)</f>
        <v>42265.75</v>
      </c>
      <c r="F301" s="22">
        <f>IFERROR(__xludf.DUMMYFUNCTION("""COMPUTED_VALUE"""),3157.3)</f>
        <v>3157.3</v>
      </c>
    </row>
    <row r="302" ht="15.75" customHeight="1">
      <c r="A302" s="32">
        <f>IFERROR(__xludf.DUMMYFUNCTION("""COMPUTED_VALUE"""),42293.66666666667)</f>
        <v>42293.66667</v>
      </c>
      <c r="B302" s="22">
        <f>IFERROR(__xludf.DUMMYFUNCTION("""COMPUTED_VALUE"""),2033.11)</f>
        <v>2033.11</v>
      </c>
      <c r="C302" s="32">
        <f>IFERROR(__xludf.DUMMYFUNCTION("""COMPUTED_VALUE"""),42273.99861111111)</f>
        <v>42273.99861</v>
      </c>
      <c r="D302" s="22">
        <f>IFERROR(__xludf.DUMMYFUNCTION("""COMPUTED_VALUE"""),1.1193)</f>
        <v>1.1193</v>
      </c>
      <c r="E302" s="32">
        <f>IFERROR(__xludf.DUMMYFUNCTION("""COMPUTED_VALUE"""),42272.75)</f>
        <v>42272.75</v>
      </c>
      <c r="F302" s="22">
        <f>IFERROR(__xludf.DUMMYFUNCTION("""COMPUTED_VALUE"""),3113.16)</f>
        <v>3113.16</v>
      </c>
    </row>
    <row r="303" ht="15.75" customHeight="1">
      <c r="A303" s="32">
        <f>IFERROR(__xludf.DUMMYFUNCTION("""COMPUTED_VALUE"""),42300.66666666667)</f>
        <v>42300.66667</v>
      </c>
      <c r="B303" s="22">
        <f>IFERROR(__xludf.DUMMYFUNCTION("""COMPUTED_VALUE"""),2075.15)</f>
        <v>2075.15</v>
      </c>
      <c r="C303" s="32">
        <f>IFERROR(__xludf.DUMMYFUNCTION("""COMPUTED_VALUE"""),42280.99861111111)</f>
        <v>42280.99861</v>
      </c>
      <c r="D303" s="22">
        <f>IFERROR(__xludf.DUMMYFUNCTION("""COMPUTED_VALUE"""),1.1209)</f>
        <v>1.1209</v>
      </c>
      <c r="E303" s="32">
        <f>IFERROR(__xludf.DUMMYFUNCTION("""COMPUTED_VALUE"""),42279.75)</f>
        <v>42279.75</v>
      </c>
      <c r="F303" s="22">
        <f>IFERROR(__xludf.DUMMYFUNCTION("""COMPUTED_VALUE"""),3088.18)</f>
        <v>3088.18</v>
      </c>
    </row>
    <row r="304" ht="15.75" customHeight="1">
      <c r="A304" s="32">
        <f>IFERROR(__xludf.DUMMYFUNCTION("""COMPUTED_VALUE"""),42307.66666666667)</f>
        <v>42307.66667</v>
      </c>
      <c r="B304" s="22">
        <f>IFERROR(__xludf.DUMMYFUNCTION("""COMPUTED_VALUE"""),2079.36)</f>
        <v>2079.36</v>
      </c>
      <c r="C304" s="32">
        <f>IFERROR(__xludf.DUMMYFUNCTION("""COMPUTED_VALUE"""),42287.99861111111)</f>
        <v>42287.99861</v>
      </c>
      <c r="D304" s="22">
        <f>IFERROR(__xludf.DUMMYFUNCTION("""COMPUTED_VALUE"""),1.1354)</f>
        <v>1.1354</v>
      </c>
      <c r="E304" s="32">
        <f>IFERROR(__xludf.DUMMYFUNCTION("""COMPUTED_VALUE"""),42286.75)</f>
        <v>42286.75</v>
      </c>
      <c r="F304" s="22">
        <f>IFERROR(__xludf.DUMMYFUNCTION("""COMPUTED_VALUE"""),3250.31)</f>
        <v>3250.31</v>
      </c>
    </row>
    <row r="305" ht="15.75" customHeight="1">
      <c r="A305" s="32">
        <f>IFERROR(__xludf.DUMMYFUNCTION("""COMPUTED_VALUE"""),42314.66666666667)</f>
        <v>42314.66667</v>
      </c>
      <c r="B305" s="22">
        <f>IFERROR(__xludf.DUMMYFUNCTION("""COMPUTED_VALUE"""),2099.2)</f>
        <v>2099.2</v>
      </c>
      <c r="C305" s="32">
        <f>IFERROR(__xludf.DUMMYFUNCTION("""COMPUTED_VALUE"""),42294.99861111111)</f>
        <v>42294.99861</v>
      </c>
      <c r="D305" s="22">
        <f>IFERROR(__xludf.DUMMYFUNCTION("""COMPUTED_VALUE"""),1.13515)</f>
        <v>1.13515</v>
      </c>
      <c r="E305" s="32">
        <f>IFERROR(__xludf.DUMMYFUNCTION("""COMPUTED_VALUE"""),42293.75)</f>
        <v>42293.75</v>
      </c>
      <c r="F305" s="22">
        <f>IFERROR(__xludf.DUMMYFUNCTION("""COMPUTED_VALUE"""),3264.93)</f>
        <v>3264.93</v>
      </c>
    </row>
    <row r="306" ht="15.75" customHeight="1">
      <c r="A306" s="32">
        <f>IFERROR(__xludf.DUMMYFUNCTION("""COMPUTED_VALUE"""),42321.66666666667)</f>
        <v>42321.66667</v>
      </c>
      <c r="B306" s="22">
        <f>IFERROR(__xludf.DUMMYFUNCTION("""COMPUTED_VALUE"""),2023.04)</f>
        <v>2023.04</v>
      </c>
      <c r="C306" s="32">
        <f>IFERROR(__xludf.DUMMYFUNCTION("""COMPUTED_VALUE"""),42301.99861111111)</f>
        <v>42301.99861</v>
      </c>
      <c r="D306" s="22">
        <f>IFERROR(__xludf.DUMMYFUNCTION("""COMPUTED_VALUE"""),1.1014)</f>
        <v>1.1014</v>
      </c>
      <c r="E306" s="32">
        <f>IFERROR(__xludf.DUMMYFUNCTION("""COMPUTED_VALUE"""),42300.75)</f>
        <v>42300.75</v>
      </c>
      <c r="F306" s="22">
        <f>IFERROR(__xludf.DUMMYFUNCTION("""COMPUTED_VALUE"""),3425.81)</f>
        <v>3425.81</v>
      </c>
    </row>
    <row r="307" ht="15.75" customHeight="1">
      <c r="A307" s="32">
        <f>IFERROR(__xludf.DUMMYFUNCTION("""COMPUTED_VALUE"""),42328.66666666667)</f>
        <v>42328.66667</v>
      </c>
      <c r="B307" s="22">
        <f>IFERROR(__xludf.DUMMYFUNCTION("""COMPUTED_VALUE"""),2089.17)</f>
        <v>2089.17</v>
      </c>
      <c r="C307" s="32">
        <f>IFERROR(__xludf.DUMMYFUNCTION("""COMPUTED_VALUE"""),42308.99861111111)</f>
        <v>42308.99861</v>
      </c>
      <c r="D307" s="22">
        <f>IFERROR(__xludf.DUMMYFUNCTION("""COMPUTED_VALUE"""),1.1006)</f>
        <v>1.1006</v>
      </c>
      <c r="E307" s="32">
        <f>IFERROR(__xludf.DUMMYFUNCTION("""COMPUTED_VALUE"""),42307.75)</f>
        <v>42307.75</v>
      </c>
      <c r="F307" s="22">
        <f>IFERROR(__xludf.DUMMYFUNCTION("""COMPUTED_VALUE"""),3418.23)</f>
        <v>3418.23</v>
      </c>
    </row>
    <row r="308" ht="15.75" customHeight="1">
      <c r="A308" s="32">
        <f>IFERROR(__xludf.DUMMYFUNCTION("""COMPUTED_VALUE"""),42335.66666666667)</f>
        <v>42335.66667</v>
      </c>
      <c r="B308" s="22">
        <f>IFERROR(__xludf.DUMMYFUNCTION("""COMPUTED_VALUE"""),2090.11)</f>
        <v>2090.11</v>
      </c>
      <c r="C308" s="32">
        <f>IFERROR(__xludf.DUMMYFUNCTION("""COMPUTED_VALUE"""),42315.99861111111)</f>
        <v>42315.99861</v>
      </c>
      <c r="D308" s="22">
        <f>IFERROR(__xludf.DUMMYFUNCTION("""COMPUTED_VALUE"""),1.07405)</f>
        <v>1.07405</v>
      </c>
      <c r="E308" s="32">
        <f>IFERROR(__xludf.DUMMYFUNCTION("""COMPUTED_VALUE"""),42314.75)</f>
        <v>42314.75</v>
      </c>
      <c r="F308" s="22">
        <f>IFERROR(__xludf.DUMMYFUNCTION("""COMPUTED_VALUE"""),3468.21)</f>
        <v>3468.21</v>
      </c>
    </row>
    <row r="309" ht="15.75" customHeight="1">
      <c r="A309" s="32">
        <f>IFERROR(__xludf.DUMMYFUNCTION("""COMPUTED_VALUE"""),42342.66666666667)</f>
        <v>42342.66667</v>
      </c>
      <c r="B309" s="22">
        <f>IFERROR(__xludf.DUMMYFUNCTION("""COMPUTED_VALUE"""),2091.69)</f>
        <v>2091.69</v>
      </c>
      <c r="C309" s="32">
        <f>IFERROR(__xludf.DUMMYFUNCTION("""COMPUTED_VALUE"""),42322.99861111111)</f>
        <v>42322.99861</v>
      </c>
      <c r="D309" s="22">
        <f>IFERROR(__xludf.DUMMYFUNCTION("""COMPUTED_VALUE"""),1.0765)</f>
        <v>1.0765</v>
      </c>
      <c r="E309" s="32">
        <f>IFERROR(__xludf.DUMMYFUNCTION("""COMPUTED_VALUE"""),42321.75)</f>
        <v>42321.75</v>
      </c>
      <c r="F309" s="22">
        <f>IFERROR(__xludf.DUMMYFUNCTION("""COMPUTED_VALUE"""),3360.65)</f>
        <v>3360.65</v>
      </c>
    </row>
    <row r="310" ht="15.75" customHeight="1">
      <c r="A310" s="32">
        <f>IFERROR(__xludf.DUMMYFUNCTION("""COMPUTED_VALUE"""),42349.66666666667)</f>
        <v>42349.66667</v>
      </c>
      <c r="B310" s="22">
        <f>IFERROR(__xludf.DUMMYFUNCTION("""COMPUTED_VALUE"""),2012.37)</f>
        <v>2012.37</v>
      </c>
      <c r="C310" s="32">
        <f>IFERROR(__xludf.DUMMYFUNCTION("""COMPUTED_VALUE"""),42329.99861111111)</f>
        <v>42329.99861</v>
      </c>
      <c r="D310" s="22">
        <f>IFERROR(__xludf.DUMMYFUNCTION("""COMPUTED_VALUE"""),1.0647)</f>
        <v>1.0647</v>
      </c>
      <c r="E310" s="32">
        <f>IFERROR(__xludf.DUMMYFUNCTION("""COMPUTED_VALUE"""),42328.75)</f>
        <v>42328.75</v>
      </c>
      <c r="F310" s="22">
        <f>IFERROR(__xludf.DUMMYFUNCTION("""COMPUTED_VALUE"""),3452.45)</f>
        <v>3452.45</v>
      </c>
    </row>
    <row r="311" ht="15.75" customHeight="1">
      <c r="A311" s="32">
        <f>IFERROR(__xludf.DUMMYFUNCTION("""COMPUTED_VALUE"""),42356.66666666667)</f>
        <v>42356.66667</v>
      </c>
      <c r="B311" s="22">
        <f>IFERROR(__xludf.DUMMYFUNCTION("""COMPUTED_VALUE"""),2005.55)</f>
        <v>2005.55</v>
      </c>
      <c r="C311" s="32">
        <f>IFERROR(__xludf.DUMMYFUNCTION("""COMPUTED_VALUE"""),42336.99861111111)</f>
        <v>42336.99861</v>
      </c>
      <c r="D311" s="22">
        <f>IFERROR(__xludf.DUMMYFUNCTION("""COMPUTED_VALUE"""),1.0591)</f>
        <v>1.0591</v>
      </c>
      <c r="E311" s="32">
        <f>IFERROR(__xludf.DUMMYFUNCTION("""COMPUTED_VALUE"""),42335.75)</f>
        <v>42335.75</v>
      </c>
      <c r="F311" s="22">
        <f>IFERROR(__xludf.DUMMYFUNCTION("""COMPUTED_VALUE"""),3488.99)</f>
        <v>3488.99</v>
      </c>
    </row>
    <row r="312" ht="15.75" customHeight="1">
      <c r="A312" s="32">
        <f>IFERROR(__xludf.DUMMYFUNCTION("""COMPUTED_VALUE"""),42362.66666666667)</f>
        <v>42362.66667</v>
      </c>
      <c r="B312" s="22">
        <f>IFERROR(__xludf.DUMMYFUNCTION("""COMPUTED_VALUE"""),2060.99)</f>
        <v>2060.99</v>
      </c>
      <c r="C312" s="32">
        <f>IFERROR(__xludf.DUMMYFUNCTION("""COMPUTED_VALUE"""),42343.99861111111)</f>
        <v>42343.99861</v>
      </c>
      <c r="D312" s="22">
        <f>IFERROR(__xludf.DUMMYFUNCTION("""COMPUTED_VALUE"""),1.08815)</f>
        <v>1.08815</v>
      </c>
      <c r="E312" s="32">
        <f>IFERROR(__xludf.DUMMYFUNCTION("""COMPUTED_VALUE"""),42342.75)</f>
        <v>42342.75</v>
      </c>
      <c r="F312" s="22">
        <f>IFERROR(__xludf.DUMMYFUNCTION("""COMPUTED_VALUE"""),3330.75)</f>
        <v>3330.75</v>
      </c>
    </row>
    <row r="313" ht="15.75" customHeight="1">
      <c r="A313" s="32">
        <f>IFERROR(__xludf.DUMMYFUNCTION("""COMPUTED_VALUE"""),42369.66666666667)</f>
        <v>42369.66667</v>
      </c>
      <c r="B313" s="22">
        <f>IFERROR(__xludf.DUMMYFUNCTION("""COMPUTED_VALUE"""),2043.94)</f>
        <v>2043.94</v>
      </c>
      <c r="C313" s="32">
        <f>IFERROR(__xludf.DUMMYFUNCTION("""COMPUTED_VALUE"""),42350.99861111111)</f>
        <v>42350.99861</v>
      </c>
      <c r="D313" s="22">
        <f>IFERROR(__xludf.DUMMYFUNCTION("""COMPUTED_VALUE"""),1.0992)</f>
        <v>1.0992</v>
      </c>
      <c r="E313" s="32">
        <f>IFERROR(__xludf.DUMMYFUNCTION("""COMPUTED_VALUE"""),42349.75)</f>
        <v>42349.75</v>
      </c>
      <c r="F313" s="22">
        <f>IFERROR(__xludf.DUMMYFUNCTION("""COMPUTED_VALUE"""),3203.21)</f>
        <v>3203.21</v>
      </c>
    </row>
    <row r="314" ht="15.75" customHeight="1">
      <c r="A314" s="32">
        <f>IFERROR(__xludf.DUMMYFUNCTION("""COMPUTED_VALUE"""),42377.66666666667)</f>
        <v>42377.66667</v>
      </c>
      <c r="B314" s="22">
        <f>IFERROR(__xludf.DUMMYFUNCTION("""COMPUTED_VALUE"""),1922.03)</f>
        <v>1922.03</v>
      </c>
      <c r="C314" s="32">
        <f>IFERROR(__xludf.DUMMYFUNCTION("""COMPUTED_VALUE"""),42357.99861111111)</f>
        <v>42357.99861</v>
      </c>
      <c r="D314" s="22">
        <f>IFERROR(__xludf.DUMMYFUNCTION("""COMPUTED_VALUE"""),1.08663)</f>
        <v>1.08663</v>
      </c>
      <c r="E314" s="32">
        <f>IFERROR(__xludf.DUMMYFUNCTION("""COMPUTED_VALUE"""),42356.75)</f>
        <v>42356.75</v>
      </c>
      <c r="F314" s="22">
        <f>IFERROR(__xludf.DUMMYFUNCTION("""COMPUTED_VALUE"""),3260.72)</f>
        <v>3260.72</v>
      </c>
    </row>
    <row r="315" ht="15.75" customHeight="1">
      <c r="A315" s="32">
        <f>IFERROR(__xludf.DUMMYFUNCTION("""COMPUTED_VALUE"""),42384.66666666667)</f>
        <v>42384.66667</v>
      </c>
      <c r="B315" s="22">
        <f>IFERROR(__xludf.DUMMYFUNCTION("""COMPUTED_VALUE"""),1880.33)</f>
        <v>1880.33</v>
      </c>
      <c r="C315" s="32">
        <f>IFERROR(__xludf.DUMMYFUNCTION("""COMPUTED_VALUE"""),42364.99861111111)</f>
        <v>42364.99861</v>
      </c>
      <c r="D315" s="22">
        <f>IFERROR(__xludf.DUMMYFUNCTION("""COMPUTED_VALUE"""),1.0972)</f>
        <v>1.0972</v>
      </c>
      <c r="E315" s="32">
        <f>IFERROR(__xludf.DUMMYFUNCTION("""COMPUTED_VALUE"""),42362.75)</f>
        <v>42362.75</v>
      </c>
      <c r="F315" s="22">
        <f>IFERROR(__xludf.DUMMYFUNCTION("""COMPUTED_VALUE"""),3284.47)</f>
        <v>3284.47</v>
      </c>
    </row>
    <row r="316" ht="15.75" customHeight="1">
      <c r="A316" s="32">
        <f>IFERROR(__xludf.DUMMYFUNCTION("""COMPUTED_VALUE"""),42391.66666666667)</f>
        <v>42391.66667</v>
      </c>
      <c r="B316" s="22">
        <f>IFERROR(__xludf.DUMMYFUNCTION("""COMPUTED_VALUE"""),1906.9)</f>
        <v>1906.9</v>
      </c>
      <c r="C316" s="32">
        <f>IFERROR(__xludf.DUMMYFUNCTION("""COMPUTED_VALUE"""),42371.99861111111)</f>
        <v>42371.99861</v>
      </c>
      <c r="D316" s="22">
        <f>IFERROR(__xludf.DUMMYFUNCTION("""COMPUTED_VALUE"""),1.08127)</f>
        <v>1.08127</v>
      </c>
      <c r="E316" s="32">
        <f>IFERROR(__xludf.DUMMYFUNCTION("""COMPUTED_VALUE"""),42368.75)</f>
        <v>42368.75</v>
      </c>
      <c r="F316" s="22">
        <f>IFERROR(__xludf.DUMMYFUNCTION("""COMPUTED_VALUE"""),3287.98)</f>
        <v>3287.98</v>
      </c>
    </row>
    <row r="317" ht="15.75" customHeight="1">
      <c r="A317" s="32">
        <f>IFERROR(__xludf.DUMMYFUNCTION("""COMPUTED_VALUE"""),42398.66666666667)</f>
        <v>42398.66667</v>
      </c>
      <c r="B317" s="22">
        <f>IFERROR(__xludf.DUMMYFUNCTION("""COMPUTED_VALUE"""),1940.24)</f>
        <v>1940.24</v>
      </c>
      <c r="C317" s="32">
        <f>IFERROR(__xludf.DUMMYFUNCTION("""COMPUTED_VALUE"""),42378.99861111111)</f>
        <v>42378.99861</v>
      </c>
      <c r="D317" s="22">
        <f>IFERROR(__xludf.DUMMYFUNCTION("""COMPUTED_VALUE"""),1.0918)</f>
        <v>1.0918</v>
      </c>
      <c r="E317" s="32">
        <f>IFERROR(__xludf.DUMMYFUNCTION("""COMPUTED_VALUE"""),42377.75)</f>
        <v>42377.75</v>
      </c>
      <c r="F317" s="22">
        <f>IFERROR(__xludf.DUMMYFUNCTION("""COMPUTED_VALUE"""),3033.47)</f>
        <v>3033.47</v>
      </c>
    </row>
    <row r="318" ht="15.75" customHeight="1">
      <c r="A318" s="32">
        <f>IFERROR(__xludf.DUMMYFUNCTION("""COMPUTED_VALUE"""),42405.66666666667)</f>
        <v>42405.66667</v>
      </c>
      <c r="B318" s="22">
        <f>IFERROR(__xludf.DUMMYFUNCTION("""COMPUTED_VALUE"""),1880.05)</f>
        <v>1880.05</v>
      </c>
      <c r="C318" s="32">
        <f>IFERROR(__xludf.DUMMYFUNCTION("""COMPUTED_VALUE"""),42385.99861111111)</f>
        <v>42385.99861</v>
      </c>
      <c r="D318" s="22">
        <f>IFERROR(__xludf.DUMMYFUNCTION("""COMPUTED_VALUE"""),1.09105)</f>
        <v>1.09105</v>
      </c>
      <c r="E318" s="32">
        <f>IFERROR(__xludf.DUMMYFUNCTION("""COMPUTED_VALUE"""),42384.75)</f>
        <v>42384.75</v>
      </c>
      <c r="F318" s="22">
        <f>IFERROR(__xludf.DUMMYFUNCTION("""COMPUTED_VALUE"""),2952.48)</f>
        <v>2952.48</v>
      </c>
    </row>
    <row r="319" ht="15.75" customHeight="1">
      <c r="A319" s="32">
        <f>IFERROR(__xludf.DUMMYFUNCTION("""COMPUTED_VALUE"""),42412.66666666667)</f>
        <v>42412.66667</v>
      </c>
      <c r="B319" s="22">
        <f>IFERROR(__xludf.DUMMYFUNCTION("""COMPUTED_VALUE"""),1864.78)</f>
        <v>1864.78</v>
      </c>
      <c r="C319" s="32">
        <f>IFERROR(__xludf.DUMMYFUNCTION("""COMPUTED_VALUE"""),42392.99861111111)</f>
        <v>42392.99861</v>
      </c>
      <c r="D319" s="22">
        <f>IFERROR(__xludf.DUMMYFUNCTION("""COMPUTED_VALUE"""),1.0798)</f>
        <v>1.0798</v>
      </c>
      <c r="E319" s="32">
        <f>IFERROR(__xludf.DUMMYFUNCTION("""COMPUTED_VALUE"""),42391.75)</f>
        <v>42391.75</v>
      </c>
      <c r="F319" s="22">
        <f>IFERROR(__xludf.DUMMYFUNCTION("""COMPUTED_VALUE"""),3023.21)</f>
        <v>3023.21</v>
      </c>
    </row>
    <row r="320" ht="15.75" customHeight="1">
      <c r="A320" s="32">
        <f>IFERROR(__xludf.DUMMYFUNCTION("""COMPUTED_VALUE"""),42419.66666666667)</f>
        <v>42419.66667</v>
      </c>
      <c r="B320" s="22">
        <f>IFERROR(__xludf.DUMMYFUNCTION("""COMPUTED_VALUE"""),1917.78)</f>
        <v>1917.78</v>
      </c>
      <c r="C320" s="32">
        <f>IFERROR(__xludf.DUMMYFUNCTION("""COMPUTED_VALUE"""),42398.99861111111)</f>
        <v>42398.99861</v>
      </c>
      <c r="D320" s="22">
        <f>IFERROR(__xludf.DUMMYFUNCTION("""COMPUTED_VALUE"""),1.08299)</f>
        <v>1.08299</v>
      </c>
      <c r="E320" s="32">
        <f>IFERROR(__xludf.DUMMYFUNCTION("""COMPUTED_VALUE"""),42398.75)</f>
        <v>42398.75</v>
      </c>
      <c r="F320" s="22">
        <f>IFERROR(__xludf.DUMMYFUNCTION("""COMPUTED_VALUE"""),3045.09)</f>
        <v>3045.09</v>
      </c>
    </row>
    <row r="321" ht="15.75" customHeight="1">
      <c r="A321" s="32">
        <f>IFERROR(__xludf.DUMMYFUNCTION("""COMPUTED_VALUE"""),42426.66666666667)</f>
        <v>42426.66667</v>
      </c>
      <c r="B321" s="22">
        <f>IFERROR(__xludf.DUMMYFUNCTION("""COMPUTED_VALUE"""),1948.05)</f>
        <v>1948.05</v>
      </c>
      <c r="C321" s="32">
        <f>IFERROR(__xludf.DUMMYFUNCTION("""COMPUTED_VALUE"""),42405.99861111111)</f>
        <v>42405.99861</v>
      </c>
      <c r="D321" s="22">
        <f>IFERROR(__xludf.DUMMYFUNCTION("""COMPUTED_VALUE"""),1.11573)</f>
        <v>1.11573</v>
      </c>
      <c r="E321" s="32">
        <f>IFERROR(__xludf.DUMMYFUNCTION("""COMPUTED_VALUE"""),42405.75)</f>
        <v>42405.75</v>
      </c>
      <c r="F321" s="22">
        <f>IFERROR(__xludf.DUMMYFUNCTION("""COMPUTED_VALUE"""),2879.39)</f>
        <v>2879.39</v>
      </c>
    </row>
    <row r="322" ht="15.75" customHeight="1">
      <c r="A322" s="32">
        <f>IFERROR(__xludf.DUMMYFUNCTION("""COMPUTED_VALUE"""),42433.66666666667)</f>
        <v>42433.66667</v>
      </c>
      <c r="B322" s="22">
        <f>IFERROR(__xludf.DUMMYFUNCTION("""COMPUTED_VALUE"""),1999.99)</f>
        <v>1999.99</v>
      </c>
      <c r="C322" s="32">
        <f>IFERROR(__xludf.DUMMYFUNCTION("""COMPUTED_VALUE"""),42412.99861111111)</f>
        <v>42412.99861</v>
      </c>
      <c r="D322" s="22">
        <f>IFERROR(__xludf.DUMMYFUNCTION("""COMPUTED_VALUE"""),1.12535)</f>
        <v>1.12535</v>
      </c>
      <c r="E322" s="32">
        <f>IFERROR(__xludf.DUMMYFUNCTION("""COMPUTED_VALUE"""),42412.75)</f>
        <v>42412.75</v>
      </c>
      <c r="F322" s="22">
        <f>IFERROR(__xludf.DUMMYFUNCTION("""COMPUTED_VALUE"""),2756.16)</f>
        <v>2756.16</v>
      </c>
    </row>
    <row r="323" ht="15.75" customHeight="1">
      <c r="A323" s="32">
        <f>IFERROR(__xludf.DUMMYFUNCTION("""COMPUTED_VALUE"""),42440.66666666667)</f>
        <v>42440.66667</v>
      </c>
      <c r="B323" s="22">
        <f>IFERROR(__xludf.DUMMYFUNCTION("""COMPUTED_VALUE"""),2022.19)</f>
        <v>2022.19</v>
      </c>
      <c r="C323" s="32">
        <f>IFERROR(__xludf.DUMMYFUNCTION("""COMPUTED_VALUE"""),42419.99861111111)</f>
        <v>42419.99861</v>
      </c>
      <c r="D323" s="22">
        <f>IFERROR(__xludf.DUMMYFUNCTION("""COMPUTED_VALUE"""),1.11292)</f>
        <v>1.11292</v>
      </c>
      <c r="E323" s="32">
        <f>IFERROR(__xludf.DUMMYFUNCTION("""COMPUTED_VALUE"""),42419.75)</f>
        <v>42419.75</v>
      </c>
      <c r="F323" s="22">
        <f>IFERROR(__xludf.DUMMYFUNCTION("""COMPUTED_VALUE"""),2871.05)</f>
        <v>2871.05</v>
      </c>
    </row>
    <row r="324" ht="15.75" customHeight="1">
      <c r="A324" s="32">
        <f>IFERROR(__xludf.DUMMYFUNCTION("""COMPUTED_VALUE"""),42447.66666666667)</f>
        <v>42447.66667</v>
      </c>
      <c r="B324" s="22">
        <f>IFERROR(__xludf.DUMMYFUNCTION("""COMPUTED_VALUE"""),2049.58)</f>
        <v>2049.58</v>
      </c>
      <c r="C324" s="32">
        <f>IFERROR(__xludf.DUMMYFUNCTION("""COMPUTED_VALUE"""),42426.99861111111)</f>
        <v>42426.99861</v>
      </c>
      <c r="D324" s="22">
        <f>IFERROR(__xludf.DUMMYFUNCTION("""COMPUTED_VALUE"""),1.09292)</f>
        <v>1.09292</v>
      </c>
      <c r="E324" s="32">
        <f>IFERROR(__xludf.DUMMYFUNCTION("""COMPUTED_VALUE"""),42426.75)</f>
        <v>42426.75</v>
      </c>
      <c r="F324" s="22">
        <f>IFERROR(__xludf.DUMMYFUNCTION("""COMPUTED_VALUE"""),2929.16)</f>
        <v>2929.16</v>
      </c>
    </row>
    <row r="325" ht="15.75" customHeight="1">
      <c r="A325" s="32">
        <f>IFERROR(__xludf.DUMMYFUNCTION("""COMPUTED_VALUE"""),42453.66666666667)</f>
        <v>42453.66667</v>
      </c>
      <c r="B325" s="22">
        <f>IFERROR(__xludf.DUMMYFUNCTION("""COMPUTED_VALUE"""),2035.94)</f>
        <v>2035.94</v>
      </c>
      <c r="C325" s="32">
        <f>IFERROR(__xludf.DUMMYFUNCTION("""COMPUTED_VALUE"""),42433.99861111111)</f>
        <v>42433.99861</v>
      </c>
      <c r="D325" s="22">
        <f>IFERROR(__xludf.DUMMYFUNCTION("""COMPUTED_VALUE"""),1.10056)</f>
        <v>1.10056</v>
      </c>
      <c r="E325" s="32">
        <f>IFERROR(__xludf.DUMMYFUNCTION("""COMPUTED_VALUE"""),42433.75)</f>
        <v>42433.75</v>
      </c>
      <c r="F325" s="22">
        <f>IFERROR(__xludf.DUMMYFUNCTION("""COMPUTED_VALUE"""),3037.35)</f>
        <v>3037.35</v>
      </c>
    </row>
    <row r="326" ht="15.75" customHeight="1">
      <c r="A326" s="32">
        <f>IFERROR(__xludf.DUMMYFUNCTION("""COMPUTED_VALUE"""),42461.66666666667)</f>
        <v>42461.66667</v>
      </c>
      <c r="B326" s="22">
        <f>IFERROR(__xludf.DUMMYFUNCTION("""COMPUTED_VALUE"""),2072.78)</f>
        <v>2072.78</v>
      </c>
      <c r="C326" s="32">
        <f>IFERROR(__xludf.DUMMYFUNCTION("""COMPUTED_VALUE"""),42440.99861111111)</f>
        <v>42440.99861</v>
      </c>
      <c r="D326" s="22">
        <f>IFERROR(__xludf.DUMMYFUNCTION("""COMPUTED_VALUE"""),1.1146)</f>
        <v>1.1146</v>
      </c>
      <c r="E326" s="32">
        <f>IFERROR(__xludf.DUMMYFUNCTION("""COMPUTED_VALUE"""),42440.75)</f>
        <v>42440.75</v>
      </c>
      <c r="F326" s="22">
        <f>IFERROR(__xludf.DUMMYFUNCTION("""COMPUTED_VALUE"""),3073.8)</f>
        <v>3073.8</v>
      </c>
    </row>
    <row r="327" ht="15.75" customHeight="1">
      <c r="A327" s="32">
        <f>IFERROR(__xludf.DUMMYFUNCTION("""COMPUTED_VALUE"""),42468.66666666667)</f>
        <v>42468.66667</v>
      </c>
      <c r="B327" s="22">
        <f>IFERROR(__xludf.DUMMYFUNCTION("""COMPUTED_VALUE"""),2047.6)</f>
        <v>2047.6</v>
      </c>
      <c r="C327" s="32">
        <f>IFERROR(__xludf.DUMMYFUNCTION("""COMPUTED_VALUE"""),42447.99861111111)</f>
        <v>42447.99861</v>
      </c>
      <c r="D327" s="22">
        <f>IFERROR(__xludf.DUMMYFUNCTION("""COMPUTED_VALUE"""),1.12692)</f>
        <v>1.12692</v>
      </c>
      <c r="E327" s="32">
        <f>IFERROR(__xludf.DUMMYFUNCTION("""COMPUTED_VALUE"""),42447.75)</f>
        <v>42447.75</v>
      </c>
      <c r="F327" s="22">
        <f>IFERROR(__xludf.DUMMYFUNCTION("""COMPUTED_VALUE"""),3059.77)</f>
        <v>3059.77</v>
      </c>
    </row>
    <row r="328" ht="15.75" customHeight="1">
      <c r="A328" s="32">
        <f>IFERROR(__xludf.DUMMYFUNCTION("""COMPUTED_VALUE"""),42475.66666666667)</f>
        <v>42475.66667</v>
      </c>
      <c r="B328" s="22">
        <f>IFERROR(__xludf.DUMMYFUNCTION("""COMPUTED_VALUE"""),2080.73)</f>
        <v>2080.73</v>
      </c>
      <c r="C328" s="32">
        <f>IFERROR(__xludf.DUMMYFUNCTION("""COMPUTED_VALUE"""),42454.99861111111)</f>
        <v>42454.99861</v>
      </c>
      <c r="D328" s="22">
        <f>IFERROR(__xludf.DUMMYFUNCTION("""COMPUTED_VALUE"""),1.11596)</f>
        <v>1.11596</v>
      </c>
      <c r="E328" s="32">
        <f>IFERROR(__xludf.DUMMYFUNCTION("""COMPUTED_VALUE"""),42453.75)</f>
        <v>42453.75</v>
      </c>
      <c r="F328" s="22">
        <f>IFERROR(__xludf.DUMMYFUNCTION("""COMPUTED_VALUE"""),2986.73)</f>
        <v>2986.73</v>
      </c>
    </row>
    <row r="329" ht="15.75" customHeight="1">
      <c r="A329" s="32">
        <f>IFERROR(__xludf.DUMMYFUNCTION("""COMPUTED_VALUE"""),42482.66666666667)</f>
        <v>42482.66667</v>
      </c>
      <c r="B329" s="22">
        <f>IFERROR(__xludf.DUMMYFUNCTION("""COMPUTED_VALUE"""),2091.58)</f>
        <v>2091.58</v>
      </c>
      <c r="C329" s="32">
        <f>IFERROR(__xludf.DUMMYFUNCTION("""COMPUTED_VALUE"""),42461.99861111111)</f>
        <v>42461.99861</v>
      </c>
      <c r="D329" s="22">
        <f>IFERROR(__xludf.DUMMYFUNCTION("""COMPUTED_VALUE"""),1.13918)</f>
        <v>1.13918</v>
      </c>
      <c r="E329" s="32">
        <f>IFERROR(__xludf.DUMMYFUNCTION("""COMPUTED_VALUE"""),42461.75)</f>
        <v>42461.75</v>
      </c>
      <c r="F329" s="22">
        <f>IFERROR(__xludf.DUMMYFUNCTION("""COMPUTED_VALUE"""),2953.28)</f>
        <v>2953.28</v>
      </c>
    </row>
    <row r="330" ht="15.75" customHeight="1">
      <c r="A330" s="32">
        <f>IFERROR(__xludf.DUMMYFUNCTION("""COMPUTED_VALUE"""),42489.66666666667)</f>
        <v>42489.66667</v>
      </c>
      <c r="B330" s="22">
        <f>IFERROR(__xludf.DUMMYFUNCTION("""COMPUTED_VALUE"""),2065.3)</f>
        <v>2065.3</v>
      </c>
      <c r="C330" s="32">
        <f>IFERROR(__xludf.DUMMYFUNCTION("""COMPUTED_VALUE"""),42468.99861111111)</f>
        <v>42468.99861</v>
      </c>
      <c r="D330" s="22">
        <f>IFERROR(__xludf.DUMMYFUNCTION("""COMPUTED_VALUE"""),1.13948)</f>
        <v>1.13948</v>
      </c>
      <c r="E330" s="32">
        <f>IFERROR(__xludf.DUMMYFUNCTION("""COMPUTED_VALUE"""),42468.75)</f>
        <v>42468.75</v>
      </c>
      <c r="F330" s="22">
        <f>IFERROR(__xludf.DUMMYFUNCTION("""COMPUTED_VALUE"""),2911.98)</f>
        <v>2911.98</v>
      </c>
    </row>
    <row r="331" ht="15.75" customHeight="1">
      <c r="A331" s="32">
        <f>IFERROR(__xludf.DUMMYFUNCTION("""COMPUTED_VALUE"""),42496.66666666667)</f>
        <v>42496.66667</v>
      </c>
      <c r="B331" s="22">
        <f>IFERROR(__xludf.DUMMYFUNCTION("""COMPUTED_VALUE"""),2057.14)</f>
        <v>2057.14</v>
      </c>
      <c r="C331" s="32">
        <f>IFERROR(__xludf.DUMMYFUNCTION("""COMPUTED_VALUE"""),42475.99861111111)</f>
        <v>42475.99861</v>
      </c>
      <c r="D331" s="22">
        <f>IFERROR(__xludf.DUMMYFUNCTION("""COMPUTED_VALUE"""),1.12835)</f>
        <v>1.12835</v>
      </c>
      <c r="E331" s="32">
        <f>IFERROR(__xludf.DUMMYFUNCTION("""COMPUTED_VALUE"""),42475.75)</f>
        <v>42475.75</v>
      </c>
      <c r="F331" s="22">
        <f>IFERROR(__xludf.DUMMYFUNCTION("""COMPUTED_VALUE"""),3054.34)</f>
        <v>3054.34</v>
      </c>
    </row>
    <row r="332" ht="15.75" customHeight="1">
      <c r="A332" s="32">
        <f>IFERROR(__xludf.DUMMYFUNCTION("""COMPUTED_VALUE"""),42503.66666666667)</f>
        <v>42503.66667</v>
      </c>
      <c r="B332" s="22">
        <f>IFERROR(__xludf.DUMMYFUNCTION("""COMPUTED_VALUE"""),2046.61)</f>
        <v>2046.61</v>
      </c>
      <c r="C332" s="32">
        <f>IFERROR(__xludf.DUMMYFUNCTION("""COMPUTED_VALUE"""),42483.99861111111)</f>
        <v>42483.99861</v>
      </c>
      <c r="D332" s="22">
        <f>IFERROR(__xludf.DUMMYFUNCTION("""COMPUTED_VALUE"""),1.1221)</f>
        <v>1.1221</v>
      </c>
      <c r="E332" s="32">
        <f>IFERROR(__xludf.DUMMYFUNCTION("""COMPUTED_VALUE"""),42482.75)</f>
        <v>42482.75</v>
      </c>
      <c r="F332" s="22">
        <f>IFERROR(__xludf.DUMMYFUNCTION("""COMPUTED_VALUE"""),3141.12)</f>
        <v>3141.12</v>
      </c>
    </row>
    <row r="333" ht="15.75" customHeight="1">
      <c r="A333" s="32">
        <f>IFERROR(__xludf.DUMMYFUNCTION("""COMPUTED_VALUE"""),42510.66666666667)</f>
        <v>42510.66667</v>
      </c>
      <c r="B333" s="22">
        <f>IFERROR(__xludf.DUMMYFUNCTION("""COMPUTED_VALUE"""),2052.32)</f>
        <v>2052.32</v>
      </c>
      <c r="C333" s="32">
        <f>IFERROR(__xludf.DUMMYFUNCTION("""COMPUTED_VALUE"""),42489.99861111111)</f>
        <v>42489.99861</v>
      </c>
      <c r="D333" s="22">
        <f>IFERROR(__xludf.DUMMYFUNCTION("""COMPUTED_VALUE"""),1.1447)</f>
        <v>1.1447</v>
      </c>
      <c r="E333" s="32">
        <f>IFERROR(__xludf.DUMMYFUNCTION("""COMPUTED_VALUE"""),42489.75)</f>
        <v>42489.75</v>
      </c>
      <c r="F333" s="22">
        <f>IFERROR(__xludf.DUMMYFUNCTION("""COMPUTED_VALUE"""),3028.21)</f>
        <v>3028.21</v>
      </c>
    </row>
    <row r="334" ht="15.75" customHeight="1">
      <c r="A334" s="32">
        <f>IFERROR(__xludf.DUMMYFUNCTION("""COMPUTED_VALUE"""),42517.66666666667)</f>
        <v>42517.66667</v>
      </c>
      <c r="B334" s="22">
        <f>IFERROR(__xludf.DUMMYFUNCTION("""COMPUTED_VALUE"""),2099.06)</f>
        <v>2099.06</v>
      </c>
      <c r="C334" s="32">
        <f>IFERROR(__xludf.DUMMYFUNCTION("""COMPUTED_VALUE"""),42496.99861111111)</f>
        <v>42496.99861</v>
      </c>
      <c r="D334" s="22">
        <f>IFERROR(__xludf.DUMMYFUNCTION("""COMPUTED_VALUE"""),1.14031)</f>
        <v>1.14031</v>
      </c>
      <c r="E334" s="32">
        <f>IFERROR(__xludf.DUMMYFUNCTION("""COMPUTED_VALUE"""),42496.75)</f>
        <v>42496.75</v>
      </c>
      <c r="F334" s="22">
        <f>IFERROR(__xludf.DUMMYFUNCTION("""COMPUTED_VALUE"""),2936.84)</f>
        <v>2936.84</v>
      </c>
    </row>
    <row r="335" ht="15.75" customHeight="1">
      <c r="A335" s="32">
        <f>IFERROR(__xludf.DUMMYFUNCTION("""COMPUTED_VALUE"""),42524.66666666667)</f>
        <v>42524.66667</v>
      </c>
      <c r="B335" s="22">
        <f>IFERROR(__xludf.DUMMYFUNCTION("""COMPUTED_VALUE"""),2099.13)</f>
        <v>2099.13</v>
      </c>
      <c r="C335" s="32">
        <f>IFERROR(__xludf.DUMMYFUNCTION("""COMPUTED_VALUE"""),42503.99861111111)</f>
        <v>42503.99861</v>
      </c>
      <c r="D335" s="22">
        <f>IFERROR(__xludf.DUMMYFUNCTION("""COMPUTED_VALUE"""),1.13061)</f>
        <v>1.13061</v>
      </c>
      <c r="E335" s="32">
        <f>IFERROR(__xludf.DUMMYFUNCTION("""COMPUTED_VALUE"""),42503.75)</f>
        <v>42503.75</v>
      </c>
      <c r="F335" s="22">
        <f>IFERROR(__xludf.DUMMYFUNCTION("""COMPUTED_VALUE"""),2956.63)</f>
        <v>2956.63</v>
      </c>
    </row>
    <row r="336" ht="15.75" customHeight="1">
      <c r="A336" s="32">
        <f>IFERROR(__xludf.DUMMYFUNCTION("""COMPUTED_VALUE"""),42531.66666666667)</f>
        <v>42531.66667</v>
      </c>
      <c r="B336" s="22">
        <f>IFERROR(__xludf.DUMMYFUNCTION("""COMPUTED_VALUE"""),2096.07)</f>
        <v>2096.07</v>
      </c>
      <c r="C336" s="32">
        <f>IFERROR(__xludf.DUMMYFUNCTION("""COMPUTED_VALUE"""),42510.99861111111)</f>
        <v>42510.99861</v>
      </c>
      <c r="D336" s="22">
        <f>IFERROR(__xludf.DUMMYFUNCTION("""COMPUTED_VALUE"""),1.1222)</f>
        <v>1.1222</v>
      </c>
      <c r="E336" s="32">
        <f>IFERROR(__xludf.DUMMYFUNCTION("""COMPUTED_VALUE"""),42510.75)</f>
        <v>42510.75</v>
      </c>
      <c r="F336" s="22">
        <f>IFERROR(__xludf.DUMMYFUNCTION("""COMPUTED_VALUE"""),2962.16)</f>
        <v>2962.16</v>
      </c>
    </row>
    <row r="337" ht="15.75" customHeight="1">
      <c r="A337" s="32">
        <f>IFERROR(__xludf.DUMMYFUNCTION("""COMPUTED_VALUE"""),42538.66666666667)</f>
        <v>42538.66667</v>
      </c>
      <c r="B337" s="22">
        <f>IFERROR(__xludf.DUMMYFUNCTION("""COMPUTED_VALUE"""),2071.22)</f>
        <v>2071.22</v>
      </c>
      <c r="C337" s="32">
        <f>IFERROR(__xludf.DUMMYFUNCTION("""COMPUTED_VALUE"""),42517.99861111111)</f>
        <v>42517.99861</v>
      </c>
      <c r="D337" s="22">
        <f>IFERROR(__xludf.DUMMYFUNCTION("""COMPUTED_VALUE"""),1.11111)</f>
        <v>1.11111</v>
      </c>
      <c r="E337" s="32">
        <f>IFERROR(__xludf.DUMMYFUNCTION("""COMPUTED_VALUE"""),42517.75)</f>
        <v>42517.75</v>
      </c>
      <c r="F337" s="22">
        <f>IFERROR(__xludf.DUMMYFUNCTION("""COMPUTED_VALUE"""),3078.48)</f>
        <v>3078.48</v>
      </c>
    </row>
    <row r="338" ht="15.75" customHeight="1">
      <c r="A338" s="32">
        <f>IFERROR(__xludf.DUMMYFUNCTION("""COMPUTED_VALUE"""),42545.66666666667)</f>
        <v>42545.66667</v>
      </c>
      <c r="B338" s="22">
        <f>IFERROR(__xludf.DUMMYFUNCTION("""COMPUTED_VALUE"""),2037.41)</f>
        <v>2037.41</v>
      </c>
      <c r="C338" s="32">
        <f>IFERROR(__xludf.DUMMYFUNCTION("""COMPUTED_VALUE"""),42524.99861111111)</f>
        <v>42524.99861</v>
      </c>
      <c r="D338" s="22">
        <f>IFERROR(__xludf.DUMMYFUNCTION("""COMPUTED_VALUE"""),1.13654)</f>
        <v>1.13654</v>
      </c>
      <c r="E338" s="32">
        <f>IFERROR(__xludf.DUMMYFUNCTION("""COMPUTED_VALUE"""),42524.75)</f>
        <v>42524.75</v>
      </c>
      <c r="F338" s="22">
        <f>IFERROR(__xludf.DUMMYFUNCTION("""COMPUTED_VALUE"""),2997.55)</f>
        <v>2997.55</v>
      </c>
    </row>
    <row r="339" ht="15.75" customHeight="1">
      <c r="A339" s="32">
        <f>IFERROR(__xludf.DUMMYFUNCTION("""COMPUTED_VALUE"""),42552.66666666667)</f>
        <v>42552.66667</v>
      </c>
      <c r="B339" s="22">
        <f>IFERROR(__xludf.DUMMYFUNCTION("""COMPUTED_VALUE"""),2102.95)</f>
        <v>2102.95</v>
      </c>
      <c r="C339" s="32">
        <f>IFERROR(__xludf.DUMMYFUNCTION("""COMPUTED_VALUE"""),42531.99861111111)</f>
        <v>42531.99861</v>
      </c>
      <c r="D339" s="22">
        <f>IFERROR(__xludf.DUMMYFUNCTION("""COMPUTED_VALUE"""),1.12512)</f>
        <v>1.12512</v>
      </c>
      <c r="E339" s="32">
        <f>IFERROR(__xludf.DUMMYFUNCTION("""COMPUTED_VALUE"""),42531.75)</f>
        <v>42531.75</v>
      </c>
      <c r="F339" s="22">
        <f>IFERROR(__xludf.DUMMYFUNCTION("""COMPUTED_VALUE"""),2911.11)</f>
        <v>2911.11</v>
      </c>
    </row>
    <row r="340" ht="15.75" customHeight="1">
      <c r="A340" s="32">
        <f>IFERROR(__xludf.DUMMYFUNCTION("""COMPUTED_VALUE"""),42559.66666666667)</f>
        <v>42559.66667</v>
      </c>
      <c r="B340" s="22">
        <f>IFERROR(__xludf.DUMMYFUNCTION("""COMPUTED_VALUE"""),2129.9)</f>
        <v>2129.9</v>
      </c>
      <c r="C340" s="32">
        <f>IFERROR(__xludf.DUMMYFUNCTION("""COMPUTED_VALUE"""),42538.99861111111)</f>
        <v>42538.99861</v>
      </c>
      <c r="D340" s="22">
        <f>IFERROR(__xludf.DUMMYFUNCTION("""COMPUTED_VALUE"""),1.12736)</f>
        <v>1.12736</v>
      </c>
      <c r="E340" s="32">
        <f>IFERROR(__xludf.DUMMYFUNCTION("""COMPUTED_VALUE"""),42538.75)</f>
        <v>42538.75</v>
      </c>
      <c r="F340" s="22">
        <f>IFERROR(__xludf.DUMMYFUNCTION("""COMPUTED_VALUE"""),2849.17)</f>
        <v>2849.17</v>
      </c>
    </row>
    <row r="341" ht="15.75" customHeight="1">
      <c r="A341" s="32">
        <f>IFERROR(__xludf.DUMMYFUNCTION("""COMPUTED_VALUE"""),42566.66666666667)</f>
        <v>42566.66667</v>
      </c>
      <c r="B341" s="22">
        <f>IFERROR(__xludf.DUMMYFUNCTION("""COMPUTED_VALUE"""),2161.74)</f>
        <v>2161.74</v>
      </c>
      <c r="C341" s="32">
        <f>IFERROR(__xludf.DUMMYFUNCTION("""COMPUTED_VALUE"""),42545.99861111111)</f>
        <v>42545.99861</v>
      </c>
      <c r="D341" s="22">
        <f>IFERROR(__xludf.DUMMYFUNCTION("""COMPUTED_VALUE"""),1.1186)</f>
        <v>1.1186</v>
      </c>
      <c r="E341" s="32">
        <f>IFERROR(__xludf.DUMMYFUNCTION("""COMPUTED_VALUE"""),42545.75)</f>
        <v>42545.75</v>
      </c>
      <c r="F341" s="22">
        <f>IFERROR(__xludf.DUMMYFUNCTION("""COMPUTED_VALUE"""),2776.09)</f>
        <v>2776.09</v>
      </c>
    </row>
    <row r="342" ht="15.75" customHeight="1">
      <c r="A342" s="32">
        <f>IFERROR(__xludf.DUMMYFUNCTION("""COMPUTED_VALUE"""),42573.66666666667)</f>
        <v>42573.66667</v>
      </c>
      <c r="B342" s="22">
        <f>IFERROR(__xludf.DUMMYFUNCTION("""COMPUTED_VALUE"""),2175.03)</f>
        <v>2175.03</v>
      </c>
      <c r="C342" s="32">
        <f>IFERROR(__xludf.DUMMYFUNCTION("""COMPUTED_VALUE"""),42552.99861111111)</f>
        <v>42552.99861</v>
      </c>
      <c r="D342" s="22">
        <f>IFERROR(__xludf.DUMMYFUNCTION("""COMPUTED_VALUE"""),1.11383)</f>
        <v>1.11383</v>
      </c>
      <c r="E342" s="32">
        <f>IFERROR(__xludf.DUMMYFUNCTION("""COMPUTED_VALUE"""),42552.75)</f>
        <v>42552.75</v>
      </c>
      <c r="F342" s="22">
        <f>IFERROR(__xludf.DUMMYFUNCTION("""COMPUTED_VALUE"""),2883.06)</f>
        <v>2883.06</v>
      </c>
    </row>
    <row r="343" ht="15.75" customHeight="1">
      <c r="A343" s="32">
        <f>IFERROR(__xludf.DUMMYFUNCTION("""COMPUTED_VALUE"""),42580.66666666667)</f>
        <v>42580.66667</v>
      </c>
      <c r="B343" s="22">
        <f>IFERROR(__xludf.DUMMYFUNCTION("""COMPUTED_VALUE"""),2173.6)</f>
        <v>2173.6</v>
      </c>
      <c r="C343" s="32">
        <f>IFERROR(__xludf.DUMMYFUNCTION("""COMPUTED_VALUE"""),42559.99861111111)</f>
        <v>42559.99861</v>
      </c>
      <c r="D343" s="22">
        <f>IFERROR(__xludf.DUMMYFUNCTION("""COMPUTED_VALUE"""),1.10498)</f>
        <v>1.10498</v>
      </c>
      <c r="E343" s="32">
        <f>IFERROR(__xludf.DUMMYFUNCTION("""COMPUTED_VALUE"""),42559.75)</f>
        <v>42559.75</v>
      </c>
      <c r="F343" s="22">
        <f>IFERROR(__xludf.DUMMYFUNCTION("""COMPUTED_VALUE"""),2838.01)</f>
        <v>2838.01</v>
      </c>
    </row>
    <row r="344" ht="15.75" customHeight="1">
      <c r="A344" s="32">
        <f>IFERROR(__xludf.DUMMYFUNCTION("""COMPUTED_VALUE"""),42587.66666666667)</f>
        <v>42587.66667</v>
      </c>
      <c r="B344" s="22">
        <f>IFERROR(__xludf.DUMMYFUNCTION("""COMPUTED_VALUE"""),2182.87)</f>
        <v>2182.87</v>
      </c>
      <c r="C344" s="32">
        <f>IFERROR(__xludf.DUMMYFUNCTION("""COMPUTED_VALUE"""),42566.99861111111)</f>
        <v>42566.99861</v>
      </c>
      <c r="D344" s="22">
        <f>IFERROR(__xludf.DUMMYFUNCTION("""COMPUTED_VALUE"""),1.10221)</f>
        <v>1.10221</v>
      </c>
      <c r="E344" s="32">
        <f>IFERROR(__xludf.DUMMYFUNCTION("""COMPUTED_VALUE"""),42566.75)</f>
        <v>42566.75</v>
      </c>
      <c r="F344" s="22">
        <f>IFERROR(__xludf.DUMMYFUNCTION("""COMPUTED_VALUE"""),2958.65)</f>
        <v>2958.65</v>
      </c>
    </row>
    <row r="345" ht="15.75" customHeight="1">
      <c r="A345" s="32">
        <f>IFERROR(__xludf.DUMMYFUNCTION("""COMPUTED_VALUE"""),42594.66666666667)</f>
        <v>42594.66667</v>
      </c>
      <c r="B345" s="22">
        <f>IFERROR(__xludf.DUMMYFUNCTION("""COMPUTED_VALUE"""),2184.05)</f>
        <v>2184.05</v>
      </c>
      <c r="C345" s="32">
        <f>IFERROR(__xludf.DUMMYFUNCTION("""COMPUTED_VALUE"""),42573.99861111111)</f>
        <v>42573.99861</v>
      </c>
      <c r="D345" s="22">
        <f>IFERROR(__xludf.DUMMYFUNCTION("""COMPUTED_VALUE"""),1.09752)</f>
        <v>1.09752</v>
      </c>
      <c r="E345" s="32">
        <f>IFERROR(__xludf.DUMMYFUNCTION("""COMPUTED_VALUE"""),42573.75)</f>
        <v>42573.75</v>
      </c>
      <c r="F345" s="22">
        <f>IFERROR(__xludf.DUMMYFUNCTION("""COMPUTED_VALUE"""),2972.23)</f>
        <v>2972.23</v>
      </c>
    </row>
    <row r="346" ht="15.75" customHeight="1">
      <c r="A346" s="32">
        <f>IFERROR(__xludf.DUMMYFUNCTION("""COMPUTED_VALUE"""),42601.66666666667)</f>
        <v>42601.66667</v>
      </c>
      <c r="B346" s="22">
        <f>IFERROR(__xludf.DUMMYFUNCTION("""COMPUTED_VALUE"""),2183.87)</f>
        <v>2183.87</v>
      </c>
      <c r="C346" s="32">
        <f>IFERROR(__xludf.DUMMYFUNCTION("""COMPUTED_VALUE"""),42580.99861111111)</f>
        <v>42580.99861</v>
      </c>
      <c r="D346" s="22">
        <f>IFERROR(__xludf.DUMMYFUNCTION("""COMPUTED_VALUE"""),1.11722)</f>
        <v>1.11722</v>
      </c>
      <c r="E346" s="32">
        <f>IFERROR(__xludf.DUMMYFUNCTION("""COMPUTED_VALUE"""),42580.75)</f>
        <v>42580.75</v>
      </c>
      <c r="F346" s="22">
        <f>IFERROR(__xludf.DUMMYFUNCTION("""COMPUTED_VALUE"""),2990.76)</f>
        <v>2990.76</v>
      </c>
    </row>
    <row r="347" ht="15.75" customHeight="1">
      <c r="A347" s="32">
        <f>IFERROR(__xludf.DUMMYFUNCTION("""COMPUTED_VALUE"""),42608.66666666667)</f>
        <v>42608.66667</v>
      </c>
      <c r="B347" s="22">
        <f>IFERROR(__xludf.DUMMYFUNCTION("""COMPUTED_VALUE"""),2169.04)</f>
        <v>2169.04</v>
      </c>
      <c r="C347" s="32">
        <f>IFERROR(__xludf.DUMMYFUNCTION("""COMPUTED_VALUE"""),42587.99861111111)</f>
        <v>42587.99861</v>
      </c>
      <c r="D347" s="22">
        <f>IFERROR(__xludf.DUMMYFUNCTION("""COMPUTED_VALUE"""),1.10865)</f>
        <v>1.10865</v>
      </c>
      <c r="E347" s="32">
        <f>IFERROR(__xludf.DUMMYFUNCTION("""COMPUTED_VALUE"""),42587.75)</f>
        <v>42587.75</v>
      </c>
      <c r="F347" s="22">
        <f>IFERROR(__xludf.DUMMYFUNCTION("""COMPUTED_VALUE"""),2973.71)</f>
        <v>2973.71</v>
      </c>
    </row>
    <row r="348" ht="15.75" customHeight="1">
      <c r="A348" s="32">
        <f>IFERROR(__xludf.DUMMYFUNCTION("""COMPUTED_VALUE"""),42615.66666666667)</f>
        <v>42615.66667</v>
      </c>
      <c r="B348" s="22">
        <f>IFERROR(__xludf.DUMMYFUNCTION("""COMPUTED_VALUE"""),2179.98)</f>
        <v>2179.98</v>
      </c>
      <c r="C348" s="32">
        <f>IFERROR(__xludf.DUMMYFUNCTION("""COMPUTED_VALUE"""),42594.99861111111)</f>
        <v>42594.99861</v>
      </c>
      <c r="D348" s="22">
        <f>IFERROR(__xludf.DUMMYFUNCTION("""COMPUTED_VALUE"""),1.11629)</f>
        <v>1.11629</v>
      </c>
      <c r="E348" s="32">
        <f>IFERROR(__xludf.DUMMYFUNCTION("""COMPUTED_VALUE"""),42594.75)</f>
        <v>42594.75</v>
      </c>
      <c r="F348" s="22">
        <f>IFERROR(__xludf.DUMMYFUNCTION("""COMPUTED_VALUE"""),3044.94)</f>
        <v>3044.94</v>
      </c>
    </row>
    <row r="349" ht="15.75" customHeight="1">
      <c r="A349" s="32">
        <f>IFERROR(__xludf.DUMMYFUNCTION("""COMPUTED_VALUE"""),42622.66666666667)</f>
        <v>42622.66667</v>
      </c>
      <c r="B349" s="22">
        <f>IFERROR(__xludf.DUMMYFUNCTION("""COMPUTED_VALUE"""),2127.81)</f>
        <v>2127.81</v>
      </c>
      <c r="C349" s="32">
        <f>IFERROR(__xludf.DUMMYFUNCTION("""COMPUTED_VALUE"""),42601.99861111111)</f>
        <v>42601.99861</v>
      </c>
      <c r="D349" s="22">
        <f>IFERROR(__xludf.DUMMYFUNCTION("""COMPUTED_VALUE"""),1.13226)</f>
        <v>1.13226</v>
      </c>
      <c r="E349" s="32">
        <f>IFERROR(__xludf.DUMMYFUNCTION("""COMPUTED_VALUE"""),42601.75)</f>
        <v>42601.75</v>
      </c>
      <c r="F349" s="22">
        <f>IFERROR(__xludf.DUMMYFUNCTION("""COMPUTED_VALUE"""),2968.2)</f>
        <v>2968.2</v>
      </c>
    </row>
    <row r="350" ht="15.75" customHeight="1">
      <c r="A350" s="32">
        <f>IFERROR(__xludf.DUMMYFUNCTION("""COMPUTED_VALUE"""),42629.66666666667)</f>
        <v>42629.66667</v>
      </c>
      <c r="B350" s="22">
        <f>IFERROR(__xludf.DUMMYFUNCTION("""COMPUTED_VALUE"""),2139.16)</f>
        <v>2139.16</v>
      </c>
      <c r="C350" s="32">
        <f>IFERROR(__xludf.DUMMYFUNCTION("""COMPUTED_VALUE"""),42608.99861111111)</f>
        <v>42608.99861</v>
      </c>
      <c r="D350" s="22">
        <f>IFERROR(__xludf.DUMMYFUNCTION("""COMPUTED_VALUE"""),1.11947)</f>
        <v>1.11947</v>
      </c>
      <c r="E350" s="32">
        <f>IFERROR(__xludf.DUMMYFUNCTION("""COMPUTED_VALUE"""),42608.75)</f>
        <v>42608.75</v>
      </c>
      <c r="F350" s="22">
        <f>IFERROR(__xludf.DUMMYFUNCTION("""COMPUTED_VALUE"""),3010.36)</f>
        <v>3010.36</v>
      </c>
    </row>
    <row r="351" ht="15.75" customHeight="1">
      <c r="A351" s="32">
        <f>IFERROR(__xludf.DUMMYFUNCTION("""COMPUTED_VALUE"""),42636.66666666667)</f>
        <v>42636.66667</v>
      </c>
      <c r="B351" s="22">
        <f>IFERROR(__xludf.DUMMYFUNCTION("""COMPUTED_VALUE"""),2164.69)</f>
        <v>2164.69</v>
      </c>
      <c r="C351" s="32">
        <f>IFERROR(__xludf.DUMMYFUNCTION("""COMPUTED_VALUE"""),42616.99861111111)</f>
        <v>42616.99861</v>
      </c>
      <c r="D351" s="22">
        <f>IFERROR(__xludf.DUMMYFUNCTION("""COMPUTED_VALUE"""),1.1153)</f>
        <v>1.1153</v>
      </c>
      <c r="E351" s="32">
        <f>IFERROR(__xludf.DUMMYFUNCTION("""COMPUTED_VALUE"""),42615.75)</f>
        <v>42615.75</v>
      </c>
      <c r="F351" s="22">
        <f>IFERROR(__xludf.DUMMYFUNCTION("""COMPUTED_VALUE"""),3079.74)</f>
        <v>3079.74</v>
      </c>
    </row>
    <row r="352" ht="15.75" customHeight="1">
      <c r="A352" s="32">
        <f>IFERROR(__xludf.DUMMYFUNCTION("""COMPUTED_VALUE"""),42643.66666666667)</f>
        <v>42643.66667</v>
      </c>
      <c r="B352" s="22">
        <f>IFERROR(__xludf.DUMMYFUNCTION("""COMPUTED_VALUE"""),2168.27)</f>
        <v>2168.27</v>
      </c>
      <c r="C352" s="32">
        <f>IFERROR(__xludf.DUMMYFUNCTION("""COMPUTED_VALUE"""),42623.99861111111)</f>
        <v>42623.99861</v>
      </c>
      <c r="D352" s="22">
        <f>IFERROR(__xludf.DUMMYFUNCTION("""COMPUTED_VALUE"""),1.1229)</f>
        <v>1.1229</v>
      </c>
      <c r="E352" s="32">
        <f>IFERROR(__xludf.DUMMYFUNCTION("""COMPUTED_VALUE"""),42622.75)</f>
        <v>42622.75</v>
      </c>
      <c r="F352" s="22">
        <f>IFERROR(__xludf.DUMMYFUNCTION("""COMPUTED_VALUE"""),3053.2)</f>
        <v>3053.2</v>
      </c>
    </row>
    <row r="353" ht="15.75" customHeight="1">
      <c r="A353" s="32">
        <f>IFERROR(__xludf.DUMMYFUNCTION("""COMPUTED_VALUE"""),42650.66666666667)</f>
        <v>42650.66667</v>
      </c>
      <c r="B353" s="22">
        <f>IFERROR(__xludf.DUMMYFUNCTION("""COMPUTED_VALUE"""),2153.74)</f>
        <v>2153.74</v>
      </c>
      <c r="C353" s="32">
        <f>IFERROR(__xludf.DUMMYFUNCTION("""COMPUTED_VALUE"""),42629.99861111111)</f>
        <v>42629.99861</v>
      </c>
      <c r="D353" s="22">
        <f>IFERROR(__xludf.DUMMYFUNCTION("""COMPUTED_VALUE"""),1.11555)</f>
        <v>1.11555</v>
      </c>
      <c r="E353" s="32">
        <f>IFERROR(__xludf.DUMMYFUNCTION("""COMPUTED_VALUE"""),42629.75)</f>
        <v>42629.75</v>
      </c>
      <c r="F353" s="22">
        <f>IFERROR(__xludf.DUMMYFUNCTION("""COMPUTED_VALUE"""),2935.25)</f>
        <v>2935.25</v>
      </c>
    </row>
    <row r="354" ht="15.75" customHeight="1">
      <c r="A354" s="32">
        <f>IFERROR(__xludf.DUMMYFUNCTION("""COMPUTED_VALUE"""),42657.66666666667)</f>
        <v>42657.66667</v>
      </c>
      <c r="B354" s="22">
        <f>IFERROR(__xludf.DUMMYFUNCTION("""COMPUTED_VALUE"""),2132.98)</f>
        <v>2132.98</v>
      </c>
      <c r="C354" s="32">
        <f>IFERROR(__xludf.DUMMYFUNCTION("""COMPUTED_VALUE"""),42637.99861111111)</f>
        <v>42637.99861</v>
      </c>
      <c r="D354" s="22">
        <f>IFERROR(__xludf.DUMMYFUNCTION("""COMPUTED_VALUE"""),1.1221)</f>
        <v>1.1221</v>
      </c>
      <c r="E354" s="32">
        <f>IFERROR(__xludf.DUMMYFUNCTION("""COMPUTED_VALUE"""),42636.75)</f>
        <v>42636.75</v>
      </c>
      <c r="F354" s="22">
        <f>IFERROR(__xludf.DUMMYFUNCTION("""COMPUTED_VALUE"""),3032.31)</f>
        <v>3032.31</v>
      </c>
    </row>
    <row r="355" ht="15.75" customHeight="1">
      <c r="A355" s="32">
        <f>IFERROR(__xludf.DUMMYFUNCTION("""COMPUTED_VALUE"""),42664.66666666667)</f>
        <v>42664.66667</v>
      </c>
      <c r="B355" s="22">
        <f>IFERROR(__xludf.DUMMYFUNCTION("""COMPUTED_VALUE"""),2141.16)</f>
        <v>2141.16</v>
      </c>
      <c r="C355" s="32">
        <f>IFERROR(__xludf.DUMMYFUNCTION("""COMPUTED_VALUE"""),42644.99861111111)</f>
        <v>42644.99861</v>
      </c>
      <c r="D355" s="22">
        <f>IFERROR(__xludf.DUMMYFUNCTION("""COMPUTED_VALUE"""),1.1232)</f>
        <v>1.1232</v>
      </c>
      <c r="E355" s="32">
        <f>IFERROR(__xludf.DUMMYFUNCTION("""COMPUTED_VALUE"""),42643.75)</f>
        <v>42643.75</v>
      </c>
      <c r="F355" s="22">
        <f>IFERROR(__xludf.DUMMYFUNCTION("""COMPUTED_VALUE"""),3002.24)</f>
        <v>3002.24</v>
      </c>
    </row>
    <row r="356" ht="15.75" customHeight="1">
      <c r="A356" s="32">
        <f>IFERROR(__xludf.DUMMYFUNCTION("""COMPUTED_VALUE"""),42671.66666666667)</f>
        <v>42671.66667</v>
      </c>
      <c r="B356" s="22">
        <f>IFERROR(__xludf.DUMMYFUNCTION("""COMPUTED_VALUE"""),2126.41)</f>
        <v>2126.41</v>
      </c>
      <c r="C356" s="32">
        <f>IFERROR(__xludf.DUMMYFUNCTION("""COMPUTED_VALUE"""),42650.99861111111)</f>
        <v>42650.99861</v>
      </c>
      <c r="D356" s="22">
        <f>IFERROR(__xludf.DUMMYFUNCTION("""COMPUTED_VALUE"""),1.11996)</f>
        <v>1.11996</v>
      </c>
      <c r="E356" s="32">
        <f>IFERROR(__xludf.DUMMYFUNCTION("""COMPUTED_VALUE"""),42650.75)</f>
        <v>42650.75</v>
      </c>
      <c r="F356" s="22">
        <f>IFERROR(__xludf.DUMMYFUNCTION("""COMPUTED_VALUE"""),3000.57)</f>
        <v>3000.57</v>
      </c>
    </row>
    <row r="357" ht="15.75" customHeight="1">
      <c r="A357" s="32">
        <f>IFERROR(__xludf.DUMMYFUNCTION("""COMPUTED_VALUE"""),42678.66666666667)</f>
        <v>42678.66667</v>
      </c>
      <c r="B357" s="22">
        <f>IFERROR(__xludf.DUMMYFUNCTION("""COMPUTED_VALUE"""),2085.18)</f>
        <v>2085.18</v>
      </c>
      <c r="C357" s="32">
        <f>IFERROR(__xludf.DUMMYFUNCTION("""COMPUTED_VALUE"""),42658.99861111111)</f>
        <v>42658.99861</v>
      </c>
      <c r="D357" s="22">
        <f>IFERROR(__xludf.DUMMYFUNCTION("""COMPUTED_VALUE"""),1.0969)</f>
        <v>1.0969</v>
      </c>
      <c r="E357" s="32">
        <f>IFERROR(__xludf.DUMMYFUNCTION("""COMPUTED_VALUE"""),42657.75)</f>
        <v>42657.75</v>
      </c>
      <c r="F357" s="22">
        <f>IFERROR(__xludf.DUMMYFUNCTION("""COMPUTED_VALUE"""),3025.19)</f>
        <v>3025.19</v>
      </c>
    </row>
    <row r="358" ht="15.75" customHeight="1">
      <c r="A358" s="32">
        <f>IFERROR(__xludf.DUMMYFUNCTION("""COMPUTED_VALUE"""),42685.66666666667)</f>
        <v>42685.66667</v>
      </c>
      <c r="B358" s="22">
        <f>IFERROR(__xludf.DUMMYFUNCTION("""COMPUTED_VALUE"""),2164.45)</f>
        <v>2164.45</v>
      </c>
      <c r="C358" s="32">
        <f>IFERROR(__xludf.DUMMYFUNCTION("""COMPUTED_VALUE"""),42665.99861111111)</f>
        <v>42665.99861</v>
      </c>
      <c r="D358" s="22">
        <f>IFERROR(__xludf.DUMMYFUNCTION("""COMPUTED_VALUE"""),1.0884)</f>
        <v>1.0884</v>
      </c>
      <c r="E358" s="32">
        <f>IFERROR(__xludf.DUMMYFUNCTION("""COMPUTED_VALUE"""),42664.75)</f>
        <v>42664.75</v>
      </c>
      <c r="F358" s="22">
        <f>IFERROR(__xludf.DUMMYFUNCTION("""COMPUTED_VALUE"""),3077.65)</f>
        <v>3077.65</v>
      </c>
    </row>
    <row r="359" ht="15.75" customHeight="1">
      <c r="A359" s="32">
        <f>IFERROR(__xludf.DUMMYFUNCTION("""COMPUTED_VALUE"""),42692.66666666667)</f>
        <v>42692.66667</v>
      </c>
      <c r="B359" s="22">
        <f>IFERROR(__xludf.DUMMYFUNCTION("""COMPUTED_VALUE"""),2181.9)</f>
        <v>2181.9</v>
      </c>
      <c r="C359" s="32">
        <f>IFERROR(__xludf.DUMMYFUNCTION("""COMPUTED_VALUE"""),42672.99861111111)</f>
        <v>42672.99861</v>
      </c>
      <c r="D359" s="22">
        <f>IFERROR(__xludf.DUMMYFUNCTION("""COMPUTED_VALUE"""),1.0986)</f>
        <v>1.0986</v>
      </c>
      <c r="E359" s="32">
        <f>IFERROR(__xludf.DUMMYFUNCTION("""COMPUTED_VALUE"""),42671.75)</f>
        <v>42671.75</v>
      </c>
      <c r="F359" s="22">
        <f>IFERROR(__xludf.DUMMYFUNCTION("""COMPUTED_VALUE"""),3079.24)</f>
        <v>3079.24</v>
      </c>
    </row>
    <row r="360" ht="15.75" customHeight="1">
      <c r="A360" s="32">
        <f>IFERROR(__xludf.DUMMYFUNCTION("""COMPUTED_VALUE"""),42699.66666666667)</f>
        <v>42699.66667</v>
      </c>
      <c r="B360" s="22">
        <f>IFERROR(__xludf.DUMMYFUNCTION("""COMPUTED_VALUE"""),2213.35)</f>
        <v>2213.35</v>
      </c>
      <c r="C360" s="32">
        <f>IFERROR(__xludf.DUMMYFUNCTION("""COMPUTED_VALUE"""),42679.99861111111)</f>
        <v>42679.99861</v>
      </c>
      <c r="D360" s="22">
        <f>IFERROR(__xludf.DUMMYFUNCTION("""COMPUTED_VALUE"""),1.1137)</f>
        <v>1.1137</v>
      </c>
      <c r="E360" s="32">
        <f>IFERROR(__xludf.DUMMYFUNCTION("""COMPUTED_VALUE"""),42678.75)</f>
        <v>42678.75</v>
      </c>
      <c r="F360" s="22">
        <f>IFERROR(__xludf.DUMMYFUNCTION("""COMPUTED_VALUE"""),2954.53)</f>
        <v>2954.53</v>
      </c>
    </row>
    <row r="361" ht="15.75" customHeight="1">
      <c r="A361" s="32">
        <f>IFERROR(__xludf.DUMMYFUNCTION("""COMPUTED_VALUE"""),42706.66666666667)</f>
        <v>42706.66667</v>
      </c>
      <c r="B361" s="22">
        <f>IFERROR(__xludf.DUMMYFUNCTION("""COMPUTED_VALUE"""),2191.95)</f>
        <v>2191.95</v>
      </c>
      <c r="C361" s="32">
        <f>IFERROR(__xludf.DUMMYFUNCTION("""COMPUTED_VALUE"""),42685.99861111111)</f>
        <v>42685.99861</v>
      </c>
      <c r="D361" s="22">
        <f>IFERROR(__xludf.DUMMYFUNCTION("""COMPUTED_VALUE"""),1.08563)</f>
        <v>1.08563</v>
      </c>
      <c r="E361" s="32">
        <f>IFERROR(__xludf.DUMMYFUNCTION("""COMPUTED_VALUE"""),42685.75)</f>
        <v>42685.75</v>
      </c>
      <c r="F361" s="22">
        <f>IFERROR(__xludf.DUMMYFUNCTION("""COMPUTED_VALUE"""),3030.02)</f>
        <v>3030.02</v>
      </c>
    </row>
    <row r="362" ht="15.75" customHeight="1">
      <c r="A362" s="32">
        <f>IFERROR(__xludf.DUMMYFUNCTION("""COMPUTED_VALUE"""),42713.66666666667)</f>
        <v>42713.66667</v>
      </c>
      <c r="B362" s="22">
        <f>IFERROR(__xludf.DUMMYFUNCTION("""COMPUTED_VALUE"""),2259.53)</f>
        <v>2259.53</v>
      </c>
      <c r="C362" s="32">
        <f>IFERROR(__xludf.DUMMYFUNCTION("""COMPUTED_VALUE"""),42692.99861111111)</f>
        <v>42692.99861</v>
      </c>
      <c r="D362" s="22">
        <f>IFERROR(__xludf.DUMMYFUNCTION("""COMPUTED_VALUE"""),1.05876)</f>
        <v>1.05876</v>
      </c>
      <c r="E362" s="32">
        <f>IFERROR(__xludf.DUMMYFUNCTION("""COMPUTED_VALUE"""),42692.75)</f>
        <v>42692.75</v>
      </c>
      <c r="F362" s="22">
        <f>IFERROR(__xludf.DUMMYFUNCTION("""COMPUTED_VALUE"""),3020.83)</f>
        <v>3020.83</v>
      </c>
    </row>
    <row r="363" ht="15.75" customHeight="1">
      <c r="A363" s="32">
        <f>IFERROR(__xludf.DUMMYFUNCTION("""COMPUTED_VALUE"""),42720.66666666667)</f>
        <v>42720.66667</v>
      </c>
      <c r="B363" s="22">
        <f>IFERROR(__xludf.DUMMYFUNCTION("""COMPUTED_VALUE"""),2258.07)</f>
        <v>2258.07</v>
      </c>
      <c r="C363" s="32">
        <f>IFERROR(__xludf.DUMMYFUNCTION("""COMPUTED_VALUE"""),42700.99861111111)</f>
        <v>42700.99861</v>
      </c>
      <c r="D363" s="22">
        <f>IFERROR(__xludf.DUMMYFUNCTION("""COMPUTED_VALUE"""),1.05915)</f>
        <v>1.05915</v>
      </c>
      <c r="E363" s="32">
        <f>IFERROR(__xludf.DUMMYFUNCTION("""COMPUTED_VALUE"""),42699.75)</f>
        <v>42699.75</v>
      </c>
      <c r="F363" s="22">
        <f>IFERROR(__xludf.DUMMYFUNCTION("""COMPUTED_VALUE"""),3048.38)</f>
        <v>3048.38</v>
      </c>
    </row>
    <row r="364" ht="15.75" customHeight="1">
      <c r="A364" s="32">
        <f>IFERROR(__xludf.DUMMYFUNCTION("""COMPUTED_VALUE"""),42727.66666666667)</f>
        <v>42727.66667</v>
      </c>
      <c r="B364" s="22">
        <f>IFERROR(__xludf.DUMMYFUNCTION("""COMPUTED_VALUE"""),2263.79)</f>
        <v>2263.79</v>
      </c>
      <c r="C364" s="32">
        <f>IFERROR(__xludf.DUMMYFUNCTION("""COMPUTED_VALUE"""),42707.99861111111)</f>
        <v>42707.99861</v>
      </c>
      <c r="D364" s="22">
        <f>IFERROR(__xludf.DUMMYFUNCTION("""COMPUTED_VALUE"""),1.06625)</f>
        <v>1.06625</v>
      </c>
      <c r="E364" s="32">
        <f>IFERROR(__xludf.DUMMYFUNCTION("""COMPUTED_VALUE"""),42706.75)</f>
        <v>42706.75</v>
      </c>
      <c r="F364" s="22">
        <f>IFERROR(__xludf.DUMMYFUNCTION("""COMPUTED_VALUE"""),3015.13)</f>
        <v>3015.13</v>
      </c>
    </row>
    <row r="365" ht="15.75" customHeight="1">
      <c r="A365" s="32">
        <f>IFERROR(__xludf.DUMMYFUNCTION("""COMPUTED_VALUE"""),42734.66666666667)</f>
        <v>42734.66667</v>
      </c>
      <c r="B365" s="22">
        <f>IFERROR(__xludf.DUMMYFUNCTION("""COMPUTED_VALUE"""),2238.83)</f>
        <v>2238.83</v>
      </c>
      <c r="C365" s="32">
        <f>IFERROR(__xludf.DUMMYFUNCTION("""COMPUTED_VALUE"""),42714.99861111111)</f>
        <v>42714.99861</v>
      </c>
      <c r="D365" s="22">
        <f>IFERROR(__xludf.DUMMYFUNCTION("""COMPUTED_VALUE"""),1.0559)</f>
        <v>1.0559</v>
      </c>
      <c r="E365" s="32">
        <f>IFERROR(__xludf.DUMMYFUNCTION("""COMPUTED_VALUE"""),42713.75)</f>
        <v>42713.75</v>
      </c>
      <c r="F365" s="22">
        <f>IFERROR(__xludf.DUMMYFUNCTION("""COMPUTED_VALUE"""),3197.54)</f>
        <v>3197.54</v>
      </c>
    </row>
    <row r="366" ht="15.75" customHeight="1">
      <c r="A366" s="32">
        <f>IFERROR(__xludf.DUMMYFUNCTION("""COMPUTED_VALUE"""),42741.66666666667)</f>
        <v>42741.66667</v>
      </c>
      <c r="B366" s="22">
        <f>IFERROR(__xludf.DUMMYFUNCTION("""COMPUTED_VALUE"""),2276.98)</f>
        <v>2276.98</v>
      </c>
      <c r="C366" s="32">
        <f>IFERROR(__xludf.DUMMYFUNCTION("""COMPUTED_VALUE"""),42721.99861111111)</f>
        <v>42721.99861</v>
      </c>
      <c r="D366" s="22">
        <f>IFERROR(__xludf.DUMMYFUNCTION("""COMPUTED_VALUE"""),1.0452)</f>
        <v>1.0452</v>
      </c>
      <c r="E366" s="32">
        <f>IFERROR(__xludf.DUMMYFUNCTION("""COMPUTED_VALUE"""),42720.75)</f>
        <v>42720.75</v>
      </c>
      <c r="F366" s="22">
        <f>IFERROR(__xludf.DUMMYFUNCTION("""COMPUTED_VALUE"""),3259.24)</f>
        <v>3259.24</v>
      </c>
    </row>
    <row r="367" ht="15.75" customHeight="1">
      <c r="A367" s="32">
        <f>IFERROR(__xludf.DUMMYFUNCTION("""COMPUTED_VALUE"""),42748.66666666667)</f>
        <v>42748.66667</v>
      </c>
      <c r="B367" s="22">
        <f>IFERROR(__xludf.DUMMYFUNCTION("""COMPUTED_VALUE"""),2274.64)</f>
        <v>2274.64</v>
      </c>
      <c r="C367" s="32">
        <f>IFERROR(__xludf.DUMMYFUNCTION("""COMPUTED_VALUE"""),42728.99861111111)</f>
        <v>42728.99861</v>
      </c>
      <c r="D367" s="22">
        <f>IFERROR(__xludf.DUMMYFUNCTION("""COMPUTED_VALUE"""),1.0456)</f>
        <v>1.0456</v>
      </c>
      <c r="E367" s="32">
        <f>IFERROR(__xludf.DUMMYFUNCTION("""COMPUTED_VALUE"""),42727.75)</f>
        <v>42727.75</v>
      </c>
      <c r="F367" s="22">
        <f>IFERROR(__xludf.DUMMYFUNCTION("""COMPUTED_VALUE"""),3273.97)</f>
        <v>3273.97</v>
      </c>
    </row>
    <row r="368" ht="15.75" customHeight="1">
      <c r="A368" s="32">
        <f>IFERROR(__xludf.DUMMYFUNCTION("""COMPUTED_VALUE"""),42755.66666666667)</f>
        <v>42755.66667</v>
      </c>
      <c r="B368" s="22">
        <f>IFERROR(__xludf.DUMMYFUNCTION("""COMPUTED_VALUE"""),2271.31)</f>
        <v>2271.31</v>
      </c>
      <c r="C368" s="32">
        <f>IFERROR(__xludf.DUMMYFUNCTION("""COMPUTED_VALUE"""),42735.99861111111)</f>
        <v>42735.99861</v>
      </c>
      <c r="D368" s="22">
        <f>IFERROR(__xludf.DUMMYFUNCTION("""COMPUTED_VALUE"""),1.0517)</f>
        <v>1.0517</v>
      </c>
      <c r="E368" s="32">
        <f>IFERROR(__xludf.DUMMYFUNCTION("""COMPUTED_VALUE"""),42734.75)</f>
        <v>42734.75</v>
      </c>
      <c r="F368" s="22">
        <f>IFERROR(__xludf.DUMMYFUNCTION("""COMPUTED_VALUE"""),3290.52)</f>
        <v>3290.52</v>
      </c>
    </row>
    <row r="369" ht="15.75" customHeight="1">
      <c r="A369" s="32">
        <f>IFERROR(__xludf.DUMMYFUNCTION("""COMPUTED_VALUE"""),42762.66666666667)</f>
        <v>42762.66667</v>
      </c>
      <c r="B369" s="22">
        <f>IFERROR(__xludf.DUMMYFUNCTION("""COMPUTED_VALUE"""),2294.69)</f>
        <v>2294.69</v>
      </c>
      <c r="C369" s="32">
        <f>IFERROR(__xludf.DUMMYFUNCTION("""COMPUTED_VALUE"""),42742.99861111111)</f>
        <v>42742.99861</v>
      </c>
      <c r="D369" s="22">
        <f>IFERROR(__xludf.DUMMYFUNCTION("""COMPUTED_VALUE"""),1.053)</f>
        <v>1.053</v>
      </c>
      <c r="E369" s="32">
        <f>IFERROR(__xludf.DUMMYFUNCTION("""COMPUTED_VALUE"""),42741.75)</f>
        <v>42741.75</v>
      </c>
      <c r="F369" s="22">
        <f>IFERROR(__xludf.DUMMYFUNCTION("""COMPUTED_VALUE"""),3321.17)</f>
        <v>3321.17</v>
      </c>
    </row>
    <row r="370" ht="15.75" customHeight="1">
      <c r="A370" s="32">
        <f>IFERROR(__xludf.DUMMYFUNCTION("""COMPUTED_VALUE"""),42769.66666666667)</f>
        <v>42769.66667</v>
      </c>
      <c r="B370" s="22">
        <f>IFERROR(__xludf.DUMMYFUNCTION("""COMPUTED_VALUE"""),2297.42)</f>
        <v>2297.42</v>
      </c>
      <c r="C370" s="32">
        <f>IFERROR(__xludf.DUMMYFUNCTION("""COMPUTED_VALUE"""),42749.99861111111)</f>
        <v>42749.99861</v>
      </c>
      <c r="D370" s="22">
        <f>IFERROR(__xludf.DUMMYFUNCTION("""COMPUTED_VALUE"""),1.0643)</f>
        <v>1.0643</v>
      </c>
      <c r="E370" s="32">
        <f>IFERROR(__xludf.DUMMYFUNCTION("""COMPUTED_VALUE"""),42748.75)</f>
        <v>42748.75</v>
      </c>
      <c r="F370" s="22">
        <f>IFERROR(__xludf.DUMMYFUNCTION("""COMPUTED_VALUE"""),3324.34)</f>
        <v>3324.34</v>
      </c>
    </row>
    <row r="371" ht="15.75" customHeight="1">
      <c r="A371" s="32">
        <f>IFERROR(__xludf.DUMMYFUNCTION("""COMPUTED_VALUE"""),42776.66666666667)</f>
        <v>42776.66667</v>
      </c>
      <c r="B371" s="22">
        <f>IFERROR(__xludf.DUMMYFUNCTION("""COMPUTED_VALUE"""),2316.1)</f>
        <v>2316.1</v>
      </c>
      <c r="C371" s="32">
        <f>IFERROR(__xludf.DUMMYFUNCTION("""COMPUTED_VALUE"""),42756.99861111111)</f>
        <v>42756.99861</v>
      </c>
      <c r="D371" s="22">
        <f>IFERROR(__xludf.DUMMYFUNCTION("""COMPUTED_VALUE"""),1.0701)</f>
        <v>1.0701</v>
      </c>
      <c r="E371" s="32">
        <f>IFERROR(__xludf.DUMMYFUNCTION("""COMPUTED_VALUE"""),42755.75)</f>
        <v>42755.75</v>
      </c>
      <c r="F371" s="22">
        <f>IFERROR(__xludf.DUMMYFUNCTION("""COMPUTED_VALUE"""),3299.44)</f>
        <v>3299.44</v>
      </c>
    </row>
    <row r="372" ht="15.75" customHeight="1">
      <c r="A372" s="32">
        <f>IFERROR(__xludf.DUMMYFUNCTION("""COMPUTED_VALUE"""),42783.66666666667)</f>
        <v>42783.66667</v>
      </c>
      <c r="B372" s="22">
        <f>IFERROR(__xludf.DUMMYFUNCTION("""COMPUTED_VALUE"""),2351.16)</f>
        <v>2351.16</v>
      </c>
      <c r="C372" s="32">
        <f>IFERROR(__xludf.DUMMYFUNCTION("""COMPUTED_VALUE"""),42763.99861111111)</f>
        <v>42763.99861</v>
      </c>
      <c r="D372" s="22">
        <f>IFERROR(__xludf.DUMMYFUNCTION("""COMPUTED_VALUE"""),1.0697)</f>
        <v>1.0697</v>
      </c>
      <c r="E372" s="32">
        <f>IFERROR(__xludf.DUMMYFUNCTION("""COMPUTED_VALUE"""),42762.75)</f>
        <v>42762.75</v>
      </c>
      <c r="F372" s="22">
        <f>IFERROR(__xludf.DUMMYFUNCTION("""COMPUTED_VALUE"""),3303.33)</f>
        <v>3303.33</v>
      </c>
    </row>
    <row r="373" ht="15.75" customHeight="1">
      <c r="A373" s="32">
        <f>IFERROR(__xludf.DUMMYFUNCTION("""COMPUTED_VALUE"""),42790.66666666667)</f>
        <v>42790.66667</v>
      </c>
      <c r="B373" s="22">
        <f>IFERROR(__xludf.DUMMYFUNCTION("""COMPUTED_VALUE"""),2367.34)</f>
        <v>2367.34</v>
      </c>
      <c r="C373" s="32">
        <f>IFERROR(__xludf.DUMMYFUNCTION("""COMPUTED_VALUE"""),42770.99861111111)</f>
        <v>42770.99861</v>
      </c>
      <c r="D373" s="22">
        <f>IFERROR(__xludf.DUMMYFUNCTION("""COMPUTED_VALUE"""),1.0787)</f>
        <v>1.0787</v>
      </c>
      <c r="E373" s="32">
        <f>IFERROR(__xludf.DUMMYFUNCTION("""COMPUTED_VALUE"""),42769.75)</f>
        <v>42769.75</v>
      </c>
      <c r="F373" s="22">
        <f>IFERROR(__xludf.DUMMYFUNCTION("""COMPUTED_VALUE"""),3273.11)</f>
        <v>3273.11</v>
      </c>
    </row>
    <row r="374" ht="15.75" customHeight="1">
      <c r="A374" s="32">
        <f>IFERROR(__xludf.DUMMYFUNCTION("""COMPUTED_VALUE"""),42797.66666666667)</f>
        <v>42797.66667</v>
      </c>
      <c r="B374" s="22">
        <f>IFERROR(__xludf.DUMMYFUNCTION("""COMPUTED_VALUE"""),2383.12)</f>
        <v>2383.12</v>
      </c>
      <c r="C374" s="32">
        <f>IFERROR(__xludf.DUMMYFUNCTION("""COMPUTED_VALUE"""),42777.99861111111)</f>
        <v>42777.99861</v>
      </c>
      <c r="D374" s="22">
        <f>IFERROR(__xludf.DUMMYFUNCTION("""COMPUTED_VALUE"""),1.0638)</f>
        <v>1.0638</v>
      </c>
      <c r="E374" s="32">
        <f>IFERROR(__xludf.DUMMYFUNCTION("""COMPUTED_VALUE"""),42776.75)</f>
        <v>42776.75</v>
      </c>
      <c r="F374" s="22">
        <f>IFERROR(__xludf.DUMMYFUNCTION("""COMPUTED_VALUE"""),3270.83)</f>
        <v>3270.83</v>
      </c>
    </row>
    <row r="375" ht="15.75" customHeight="1">
      <c r="A375" s="32">
        <f>IFERROR(__xludf.DUMMYFUNCTION("""COMPUTED_VALUE"""),42804.66666666667)</f>
        <v>42804.66667</v>
      </c>
      <c r="B375" s="22">
        <f>IFERROR(__xludf.DUMMYFUNCTION("""COMPUTED_VALUE"""),2372.6)</f>
        <v>2372.6</v>
      </c>
      <c r="C375" s="32">
        <f>IFERROR(__xludf.DUMMYFUNCTION("""COMPUTED_VALUE"""),42784.99861111111)</f>
        <v>42784.99861</v>
      </c>
      <c r="D375" s="22">
        <f>IFERROR(__xludf.DUMMYFUNCTION("""COMPUTED_VALUE"""),1.0614)</f>
        <v>1.0614</v>
      </c>
      <c r="E375" s="32">
        <f>IFERROR(__xludf.DUMMYFUNCTION("""COMPUTED_VALUE"""),42783.75)</f>
        <v>42783.75</v>
      </c>
      <c r="F375" s="22">
        <f>IFERROR(__xludf.DUMMYFUNCTION("""COMPUTED_VALUE"""),3308.81)</f>
        <v>3308.81</v>
      </c>
    </row>
    <row r="376" ht="15.75" customHeight="1">
      <c r="A376" s="32">
        <f>IFERROR(__xludf.DUMMYFUNCTION("""COMPUTED_VALUE"""),42811.66666666667)</f>
        <v>42811.66667</v>
      </c>
      <c r="B376" s="22">
        <f>IFERROR(__xludf.DUMMYFUNCTION("""COMPUTED_VALUE"""),2378.25)</f>
        <v>2378.25</v>
      </c>
      <c r="C376" s="32">
        <f>IFERROR(__xludf.DUMMYFUNCTION("""COMPUTED_VALUE"""),42791.99861111111)</f>
        <v>42791.99861</v>
      </c>
      <c r="D376" s="22">
        <f>IFERROR(__xludf.DUMMYFUNCTION("""COMPUTED_VALUE"""),1.0561)</f>
        <v>1.0561</v>
      </c>
      <c r="E376" s="32">
        <f>IFERROR(__xludf.DUMMYFUNCTION("""COMPUTED_VALUE"""),42790.75)</f>
        <v>42790.75</v>
      </c>
      <c r="F376" s="22">
        <f>IFERROR(__xludf.DUMMYFUNCTION("""COMPUTED_VALUE"""),3304.09)</f>
        <v>3304.09</v>
      </c>
    </row>
    <row r="377" ht="15.75" customHeight="1">
      <c r="A377" s="32">
        <f>IFERROR(__xludf.DUMMYFUNCTION("""COMPUTED_VALUE"""),42818.66666666667)</f>
        <v>42818.66667</v>
      </c>
      <c r="B377" s="22">
        <f>IFERROR(__xludf.DUMMYFUNCTION("""COMPUTED_VALUE"""),2343.98)</f>
        <v>2343.98</v>
      </c>
      <c r="C377" s="32">
        <f>IFERROR(__xludf.DUMMYFUNCTION("""COMPUTED_VALUE"""),42798.99861111111)</f>
        <v>42798.99861</v>
      </c>
      <c r="D377" s="22">
        <f>IFERROR(__xludf.DUMMYFUNCTION("""COMPUTED_VALUE"""),1.0622)</f>
        <v>1.0622</v>
      </c>
      <c r="E377" s="32">
        <f>IFERROR(__xludf.DUMMYFUNCTION("""COMPUTED_VALUE"""),42797.75)</f>
        <v>42797.75</v>
      </c>
      <c r="F377" s="22">
        <f>IFERROR(__xludf.DUMMYFUNCTION("""COMPUTED_VALUE"""),3403.39)</f>
        <v>3403.39</v>
      </c>
    </row>
    <row r="378" ht="15.75" customHeight="1">
      <c r="A378" s="32">
        <f>IFERROR(__xludf.DUMMYFUNCTION("""COMPUTED_VALUE"""),42825.66666666667)</f>
        <v>42825.66667</v>
      </c>
      <c r="B378" s="22">
        <f>IFERROR(__xludf.DUMMYFUNCTION("""COMPUTED_VALUE"""),2362.72)</f>
        <v>2362.72</v>
      </c>
      <c r="C378" s="32">
        <f>IFERROR(__xludf.DUMMYFUNCTION("""COMPUTED_VALUE"""),42804.99861111111)</f>
        <v>42804.99861</v>
      </c>
      <c r="D378" s="22">
        <f>IFERROR(__xludf.DUMMYFUNCTION("""COMPUTED_VALUE"""),1.06731)</f>
        <v>1.06731</v>
      </c>
      <c r="E378" s="32">
        <f>IFERROR(__xludf.DUMMYFUNCTION("""COMPUTED_VALUE"""),42804.75)</f>
        <v>42804.75</v>
      </c>
      <c r="F378" s="22">
        <f>IFERROR(__xludf.DUMMYFUNCTION("""COMPUTED_VALUE"""),3416.27)</f>
        <v>3416.27</v>
      </c>
    </row>
    <row r="379" ht="15.75" customHeight="1">
      <c r="A379" s="32">
        <f>IFERROR(__xludf.DUMMYFUNCTION("""COMPUTED_VALUE"""),42832.66666666667)</f>
        <v>42832.66667</v>
      </c>
      <c r="B379" s="22">
        <f>IFERROR(__xludf.DUMMYFUNCTION("""COMPUTED_VALUE"""),2355.54)</f>
        <v>2355.54</v>
      </c>
      <c r="C379" s="32">
        <f>IFERROR(__xludf.DUMMYFUNCTION("""COMPUTED_VALUE"""),42812.99861111111)</f>
        <v>42812.99861</v>
      </c>
      <c r="D379" s="22">
        <f>IFERROR(__xludf.DUMMYFUNCTION("""COMPUTED_VALUE"""),1.0743)</f>
        <v>1.0743</v>
      </c>
      <c r="E379" s="32">
        <f>IFERROR(__xludf.DUMMYFUNCTION("""COMPUTED_VALUE"""),42811.75)</f>
        <v>42811.75</v>
      </c>
      <c r="F379" s="22">
        <f>IFERROR(__xludf.DUMMYFUNCTION("""COMPUTED_VALUE"""),3448.41)</f>
        <v>3448.41</v>
      </c>
    </row>
    <row r="380" ht="15.75" customHeight="1">
      <c r="A380" s="32">
        <f>IFERROR(__xludf.DUMMYFUNCTION("""COMPUTED_VALUE"""),42838.66666666667)</f>
        <v>42838.66667</v>
      </c>
      <c r="B380" s="22">
        <f>IFERROR(__xludf.DUMMYFUNCTION("""COMPUTED_VALUE"""),2328.95)</f>
        <v>2328.95</v>
      </c>
      <c r="C380" s="32">
        <f>IFERROR(__xludf.DUMMYFUNCTION("""COMPUTED_VALUE"""),42819.99861111111)</f>
        <v>42819.99861</v>
      </c>
      <c r="D380" s="22">
        <f>IFERROR(__xludf.DUMMYFUNCTION("""COMPUTED_VALUE"""),1.0804)</f>
        <v>1.0804</v>
      </c>
      <c r="E380" s="32">
        <f>IFERROR(__xludf.DUMMYFUNCTION("""COMPUTED_VALUE"""),42818.75)</f>
        <v>42818.75</v>
      </c>
      <c r="F380" s="22">
        <f>IFERROR(__xludf.DUMMYFUNCTION("""COMPUTED_VALUE"""),3444.15)</f>
        <v>3444.15</v>
      </c>
    </row>
    <row r="381" ht="15.75" customHeight="1">
      <c r="A381" s="32">
        <f>IFERROR(__xludf.DUMMYFUNCTION("""COMPUTED_VALUE"""),42846.66666666667)</f>
        <v>42846.66667</v>
      </c>
      <c r="B381" s="22">
        <f>IFERROR(__xludf.DUMMYFUNCTION("""COMPUTED_VALUE"""),2348.69)</f>
        <v>2348.69</v>
      </c>
      <c r="C381" s="32">
        <f>IFERROR(__xludf.DUMMYFUNCTION("""COMPUTED_VALUE"""),42826.99861111111)</f>
        <v>42826.99861</v>
      </c>
      <c r="D381" s="22">
        <f>IFERROR(__xludf.DUMMYFUNCTION("""COMPUTED_VALUE"""),1.06536)</f>
        <v>1.06536</v>
      </c>
      <c r="E381" s="32">
        <f>IFERROR(__xludf.DUMMYFUNCTION("""COMPUTED_VALUE"""),42825.75)</f>
        <v>42825.75</v>
      </c>
      <c r="F381" s="22">
        <f>IFERROR(__xludf.DUMMYFUNCTION("""COMPUTED_VALUE"""),3500.93)</f>
        <v>3500.93</v>
      </c>
    </row>
    <row r="382" ht="15.75" customHeight="1">
      <c r="A382" s="32">
        <f>IFERROR(__xludf.DUMMYFUNCTION("""COMPUTED_VALUE"""),42853.66666666667)</f>
        <v>42853.66667</v>
      </c>
      <c r="B382" s="22">
        <f>IFERROR(__xludf.DUMMYFUNCTION("""COMPUTED_VALUE"""),2384.2)</f>
        <v>2384.2</v>
      </c>
      <c r="C382" s="32">
        <f>IFERROR(__xludf.DUMMYFUNCTION("""COMPUTED_VALUE"""),42833.99861111111)</f>
        <v>42833.99861</v>
      </c>
      <c r="D382" s="22">
        <f>IFERROR(__xludf.DUMMYFUNCTION("""COMPUTED_VALUE"""),1.059)</f>
        <v>1.059</v>
      </c>
      <c r="E382" s="32">
        <f>IFERROR(__xludf.DUMMYFUNCTION("""COMPUTED_VALUE"""),42832.75)</f>
        <v>42832.75</v>
      </c>
      <c r="F382" s="22">
        <f>IFERROR(__xludf.DUMMYFUNCTION("""COMPUTED_VALUE"""),3495.8)</f>
        <v>3495.8</v>
      </c>
    </row>
    <row r="383" ht="15.75" customHeight="1">
      <c r="A383" s="32">
        <f>IFERROR(__xludf.DUMMYFUNCTION("""COMPUTED_VALUE"""),42860.66666666667)</f>
        <v>42860.66667</v>
      </c>
      <c r="B383" s="22">
        <f>IFERROR(__xludf.DUMMYFUNCTION("""COMPUTED_VALUE"""),2399.29)</f>
        <v>2399.29</v>
      </c>
      <c r="C383" s="32">
        <f>IFERROR(__xludf.DUMMYFUNCTION("""COMPUTED_VALUE"""),42840.99861111111)</f>
        <v>42840.99861</v>
      </c>
      <c r="D383" s="22">
        <f>IFERROR(__xludf.DUMMYFUNCTION("""COMPUTED_VALUE"""),1.0612)</f>
        <v>1.0612</v>
      </c>
      <c r="E383" s="32">
        <f>IFERROR(__xludf.DUMMYFUNCTION("""COMPUTED_VALUE"""),42838.75)</f>
        <v>42838.75</v>
      </c>
      <c r="F383" s="22">
        <f>IFERROR(__xludf.DUMMYFUNCTION("""COMPUTED_VALUE"""),3448.26)</f>
        <v>3448.26</v>
      </c>
    </row>
    <row r="384" ht="15.75" customHeight="1">
      <c r="A384" s="32">
        <f>IFERROR(__xludf.DUMMYFUNCTION("""COMPUTED_VALUE"""),42867.66666666667)</f>
        <v>42867.66667</v>
      </c>
      <c r="B384" s="22">
        <f>IFERROR(__xludf.DUMMYFUNCTION("""COMPUTED_VALUE"""),2390.9)</f>
        <v>2390.9</v>
      </c>
      <c r="C384" s="32">
        <f>IFERROR(__xludf.DUMMYFUNCTION("""COMPUTED_VALUE"""),42847.99861111111)</f>
        <v>42847.99861</v>
      </c>
      <c r="D384" s="22">
        <f>IFERROR(__xludf.DUMMYFUNCTION("""COMPUTED_VALUE"""),1.0721)</f>
        <v>1.0721</v>
      </c>
      <c r="E384" s="32">
        <f>IFERROR(__xludf.DUMMYFUNCTION("""COMPUTED_VALUE"""),42846.75)</f>
        <v>42846.75</v>
      </c>
      <c r="F384" s="22">
        <f>IFERROR(__xludf.DUMMYFUNCTION("""COMPUTED_VALUE"""),3440.27)</f>
        <v>3440.27</v>
      </c>
    </row>
    <row r="385" ht="15.75" customHeight="1">
      <c r="A385" s="32">
        <f>IFERROR(__xludf.DUMMYFUNCTION("""COMPUTED_VALUE"""),42874.66666666667)</f>
        <v>42874.66667</v>
      </c>
      <c r="B385" s="22">
        <f>IFERROR(__xludf.DUMMYFUNCTION("""COMPUTED_VALUE"""),2381.73)</f>
        <v>2381.73</v>
      </c>
      <c r="C385" s="32">
        <f>IFERROR(__xludf.DUMMYFUNCTION("""COMPUTED_VALUE"""),42854.99861111111)</f>
        <v>42854.99861</v>
      </c>
      <c r="D385" s="22">
        <f>IFERROR(__xludf.DUMMYFUNCTION("""COMPUTED_VALUE"""),1.0893)</f>
        <v>1.0893</v>
      </c>
      <c r="E385" s="32">
        <f>IFERROR(__xludf.DUMMYFUNCTION("""COMPUTED_VALUE"""),42853.75)</f>
        <v>42853.75</v>
      </c>
      <c r="F385" s="22">
        <f>IFERROR(__xludf.DUMMYFUNCTION("""COMPUTED_VALUE"""),3559.59)</f>
        <v>3559.59</v>
      </c>
    </row>
    <row r="386" ht="15.75" customHeight="1">
      <c r="A386" s="32">
        <f>IFERROR(__xludf.DUMMYFUNCTION("""COMPUTED_VALUE"""),42881.66666666667)</f>
        <v>42881.66667</v>
      </c>
      <c r="B386" s="22">
        <f>IFERROR(__xludf.DUMMYFUNCTION("""COMPUTED_VALUE"""),2415.82)</f>
        <v>2415.82</v>
      </c>
      <c r="C386" s="32">
        <f>IFERROR(__xludf.DUMMYFUNCTION("""COMPUTED_VALUE"""),42861.99861111111)</f>
        <v>42861.99861</v>
      </c>
      <c r="D386" s="22">
        <f>IFERROR(__xludf.DUMMYFUNCTION("""COMPUTED_VALUE"""),1.0996)</f>
        <v>1.0996</v>
      </c>
      <c r="E386" s="32">
        <f>IFERROR(__xludf.DUMMYFUNCTION("""COMPUTED_VALUE"""),42860.75)</f>
        <v>42860.75</v>
      </c>
      <c r="F386" s="22">
        <f>IFERROR(__xludf.DUMMYFUNCTION("""COMPUTED_VALUE"""),3658.79)</f>
        <v>3658.79</v>
      </c>
    </row>
    <row r="387" ht="15.75" customHeight="1">
      <c r="A387" s="32">
        <f>IFERROR(__xludf.DUMMYFUNCTION("""COMPUTED_VALUE"""),42888.66666666667)</f>
        <v>42888.66667</v>
      </c>
      <c r="B387" s="22">
        <f>IFERROR(__xludf.DUMMYFUNCTION("""COMPUTED_VALUE"""),2439.07)</f>
        <v>2439.07</v>
      </c>
      <c r="C387" s="32">
        <f>IFERROR(__xludf.DUMMYFUNCTION("""COMPUTED_VALUE"""),42868.99861111111)</f>
        <v>42868.99861</v>
      </c>
      <c r="D387" s="22">
        <f>IFERROR(__xludf.DUMMYFUNCTION("""COMPUTED_VALUE"""),1.0932)</f>
        <v>1.0932</v>
      </c>
      <c r="E387" s="32">
        <f>IFERROR(__xludf.DUMMYFUNCTION("""COMPUTED_VALUE"""),42867.75)</f>
        <v>42867.75</v>
      </c>
      <c r="F387" s="22">
        <f>IFERROR(__xludf.DUMMYFUNCTION("""COMPUTED_VALUE"""),3637.52)</f>
        <v>3637.52</v>
      </c>
    </row>
    <row r="388" ht="15.75" customHeight="1">
      <c r="A388" s="32">
        <f>IFERROR(__xludf.DUMMYFUNCTION("""COMPUTED_VALUE"""),42895.66666666667)</f>
        <v>42895.66667</v>
      </c>
      <c r="B388" s="22">
        <f>IFERROR(__xludf.DUMMYFUNCTION("""COMPUTED_VALUE"""),2431.77)</f>
        <v>2431.77</v>
      </c>
      <c r="C388" s="32">
        <f>IFERROR(__xludf.DUMMYFUNCTION("""COMPUTED_VALUE"""),42875.99861111111)</f>
        <v>42875.99861</v>
      </c>
      <c r="D388" s="22">
        <f>IFERROR(__xludf.DUMMYFUNCTION("""COMPUTED_VALUE"""),1.1207)</f>
        <v>1.1207</v>
      </c>
      <c r="E388" s="32">
        <f>IFERROR(__xludf.DUMMYFUNCTION("""COMPUTED_VALUE"""),42874.75)</f>
        <v>42874.75</v>
      </c>
      <c r="F388" s="22">
        <f>IFERROR(__xludf.DUMMYFUNCTION("""COMPUTED_VALUE"""),3587.01)</f>
        <v>3587.01</v>
      </c>
    </row>
    <row r="389" ht="15.75" customHeight="1">
      <c r="A389" s="32">
        <f>IFERROR(__xludf.DUMMYFUNCTION("""COMPUTED_VALUE"""),42902.66666666667)</f>
        <v>42902.66667</v>
      </c>
      <c r="B389" s="22">
        <f>IFERROR(__xludf.DUMMYFUNCTION("""COMPUTED_VALUE"""),2433.15)</f>
        <v>2433.15</v>
      </c>
      <c r="C389" s="32">
        <f>IFERROR(__xludf.DUMMYFUNCTION("""COMPUTED_VALUE"""),42882.99861111111)</f>
        <v>42882.99861</v>
      </c>
      <c r="D389" s="22">
        <f>IFERROR(__xludf.DUMMYFUNCTION("""COMPUTED_VALUE"""),1.1182)</f>
        <v>1.1182</v>
      </c>
      <c r="E389" s="32">
        <f>IFERROR(__xludf.DUMMYFUNCTION("""COMPUTED_VALUE"""),42881.75)</f>
        <v>42881.75</v>
      </c>
      <c r="F389" s="22">
        <f>IFERROR(__xludf.DUMMYFUNCTION("""COMPUTED_VALUE"""),3579.02)</f>
        <v>3579.02</v>
      </c>
    </row>
    <row r="390" ht="15.75" customHeight="1">
      <c r="A390" s="32">
        <f>IFERROR(__xludf.DUMMYFUNCTION("""COMPUTED_VALUE"""),42909.66666666667)</f>
        <v>42909.66667</v>
      </c>
      <c r="B390" s="22">
        <f>IFERROR(__xludf.DUMMYFUNCTION("""COMPUTED_VALUE"""),2438.3)</f>
        <v>2438.3</v>
      </c>
      <c r="C390" s="32">
        <f>IFERROR(__xludf.DUMMYFUNCTION("""COMPUTED_VALUE"""),42889.99861111111)</f>
        <v>42889.99861</v>
      </c>
      <c r="D390" s="22">
        <f>IFERROR(__xludf.DUMMYFUNCTION("""COMPUTED_VALUE"""),1.1283)</f>
        <v>1.1283</v>
      </c>
      <c r="E390" s="32">
        <f>IFERROR(__xludf.DUMMYFUNCTION("""COMPUTED_VALUE"""),42888.75)</f>
        <v>42888.75</v>
      </c>
      <c r="F390" s="22">
        <f>IFERROR(__xludf.DUMMYFUNCTION("""COMPUTED_VALUE"""),3591.82)</f>
        <v>3591.82</v>
      </c>
    </row>
    <row r="391" ht="15.75" customHeight="1">
      <c r="A391" s="32">
        <f>IFERROR(__xludf.DUMMYFUNCTION("""COMPUTED_VALUE"""),42916.66666666667)</f>
        <v>42916.66667</v>
      </c>
      <c r="B391" s="22">
        <f>IFERROR(__xludf.DUMMYFUNCTION("""COMPUTED_VALUE"""),2423.41)</f>
        <v>2423.41</v>
      </c>
      <c r="C391" s="32">
        <f>IFERROR(__xludf.DUMMYFUNCTION("""COMPUTED_VALUE"""),42896.99861111111)</f>
        <v>42896.99861</v>
      </c>
      <c r="D391" s="22">
        <f>IFERROR(__xludf.DUMMYFUNCTION("""COMPUTED_VALUE"""),1.1192)</f>
        <v>1.1192</v>
      </c>
      <c r="E391" s="32">
        <f>IFERROR(__xludf.DUMMYFUNCTION("""COMPUTED_VALUE"""),42895.75)</f>
        <v>42895.75</v>
      </c>
      <c r="F391" s="22">
        <f>IFERROR(__xludf.DUMMYFUNCTION("""COMPUTED_VALUE"""),3586.07)</f>
        <v>3586.07</v>
      </c>
    </row>
    <row r="392" ht="15.75" customHeight="1">
      <c r="A392" s="32">
        <f>IFERROR(__xludf.DUMMYFUNCTION("""COMPUTED_VALUE"""),42923.66666666667)</f>
        <v>42923.66667</v>
      </c>
      <c r="B392" s="22">
        <f>IFERROR(__xludf.DUMMYFUNCTION("""COMPUTED_VALUE"""),2425.18)</f>
        <v>2425.18</v>
      </c>
      <c r="C392" s="32">
        <f>IFERROR(__xludf.DUMMYFUNCTION("""COMPUTED_VALUE"""),42903.99861111111)</f>
        <v>42903.99861</v>
      </c>
      <c r="D392" s="22">
        <f>IFERROR(__xludf.DUMMYFUNCTION("""COMPUTED_VALUE"""),1.1184)</f>
        <v>1.1184</v>
      </c>
      <c r="E392" s="32">
        <f>IFERROR(__xludf.DUMMYFUNCTION("""COMPUTED_VALUE"""),42902.75)</f>
        <v>42902.75</v>
      </c>
      <c r="F392" s="22">
        <f>IFERROR(__xludf.DUMMYFUNCTION("""COMPUTED_VALUE"""),3543.88)</f>
        <v>3543.88</v>
      </c>
    </row>
    <row r="393" ht="15.75" customHeight="1">
      <c r="A393" s="32">
        <f>IFERROR(__xludf.DUMMYFUNCTION("""COMPUTED_VALUE"""),42930.66666666667)</f>
        <v>42930.66667</v>
      </c>
      <c r="B393" s="22">
        <f>IFERROR(__xludf.DUMMYFUNCTION("""COMPUTED_VALUE"""),2459.27)</f>
        <v>2459.27</v>
      </c>
      <c r="C393" s="32">
        <f>IFERROR(__xludf.DUMMYFUNCTION("""COMPUTED_VALUE"""),42910.99861111111)</f>
        <v>42910.99861</v>
      </c>
      <c r="D393" s="22">
        <f>IFERROR(__xludf.DUMMYFUNCTION("""COMPUTED_VALUE"""),1.1192)</f>
        <v>1.1192</v>
      </c>
      <c r="E393" s="32">
        <f>IFERROR(__xludf.DUMMYFUNCTION("""COMPUTED_VALUE"""),42909.75)</f>
        <v>42909.75</v>
      </c>
      <c r="F393" s="22">
        <f>IFERROR(__xludf.DUMMYFUNCTION("""COMPUTED_VALUE"""),3543.68)</f>
        <v>3543.68</v>
      </c>
    </row>
    <row r="394" ht="15.75" customHeight="1">
      <c r="A394" s="32">
        <f>IFERROR(__xludf.DUMMYFUNCTION("""COMPUTED_VALUE"""),42937.66666666667)</f>
        <v>42937.66667</v>
      </c>
      <c r="B394" s="22">
        <f>IFERROR(__xludf.DUMMYFUNCTION("""COMPUTED_VALUE"""),2472.54)</f>
        <v>2472.54</v>
      </c>
      <c r="C394" s="32">
        <f>IFERROR(__xludf.DUMMYFUNCTION("""COMPUTED_VALUE"""),42917.99861111111)</f>
        <v>42917.99861</v>
      </c>
      <c r="D394" s="22">
        <f>IFERROR(__xludf.DUMMYFUNCTION("""COMPUTED_VALUE"""),1.1426)</f>
        <v>1.1426</v>
      </c>
      <c r="E394" s="32">
        <f>IFERROR(__xludf.DUMMYFUNCTION("""COMPUTED_VALUE"""),42916.75)</f>
        <v>42916.75</v>
      </c>
      <c r="F394" s="22">
        <f>IFERROR(__xludf.DUMMYFUNCTION("""COMPUTED_VALUE"""),3441.88)</f>
        <v>3441.88</v>
      </c>
    </row>
    <row r="395" ht="15.75" customHeight="1">
      <c r="A395" s="32">
        <f>IFERROR(__xludf.DUMMYFUNCTION("""COMPUTED_VALUE"""),42944.66666666667)</f>
        <v>42944.66667</v>
      </c>
      <c r="B395" s="22">
        <f>IFERROR(__xludf.DUMMYFUNCTION("""COMPUTED_VALUE"""),2472.1)</f>
        <v>2472.1</v>
      </c>
      <c r="C395" s="32">
        <f>IFERROR(__xludf.DUMMYFUNCTION("""COMPUTED_VALUE"""),42924.99861111111)</f>
        <v>42924.99861</v>
      </c>
      <c r="D395" s="22">
        <f>IFERROR(__xludf.DUMMYFUNCTION("""COMPUTED_VALUE"""),1.1397)</f>
        <v>1.1397</v>
      </c>
      <c r="E395" s="32">
        <f>IFERROR(__xludf.DUMMYFUNCTION("""COMPUTED_VALUE"""),42923.75)</f>
        <v>42923.75</v>
      </c>
      <c r="F395" s="22">
        <f>IFERROR(__xludf.DUMMYFUNCTION("""COMPUTED_VALUE"""),3463.84)</f>
        <v>3463.84</v>
      </c>
    </row>
    <row r="396" ht="15.75" customHeight="1">
      <c r="A396" s="32">
        <f>IFERROR(__xludf.DUMMYFUNCTION("""COMPUTED_VALUE"""),42951.66666666667)</f>
        <v>42951.66667</v>
      </c>
      <c r="B396" s="22">
        <f>IFERROR(__xludf.DUMMYFUNCTION("""COMPUTED_VALUE"""),2476.83)</f>
        <v>2476.83</v>
      </c>
      <c r="C396" s="32">
        <f>IFERROR(__xludf.DUMMYFUNCTION("""COMPUTED_VALUE"""),42931.99861111111)</f>
        <v>42931.99861</v>
      </c>
      <c r="D396" s="22">
        <f>IFERROR(__xludf.DUMMYFUNCTION("""COMPUTED_VALUE"""),1.1467)</f>
        <v>1.1467</v>
      </c>
      <c r="E396" s="32">
        <f>IFERROR(__xludf.DUMMYFUNCTION("""COMPUTED_VALUE"""),42930.75)</f>
        <v>42930.75</v>
      </c>
      <c r="F396" s="22">
        <f>IFERROR(__xludf.DUMMYFUNCTION("""COMPUTED_VALUE"""),3525.94)</f>
        <v>3525.94</v>
      </c>
    </row>
    <row r="397" ht="15.75" customHeight="1">
      <c r="A397" s="32">
        <f>IFERROR(__xludf.DUMMYFUNCTION("""COMPUTED_VALUE"""),42958.66666666667)</f>
        <v>42958.66667</v>
      </c>
      <c r="B397" s="22">
        <f>IFERROR(__xludf.DUMMYFUNCTION("""COMPUTED_VALUE"""),2441.32)</f>
        <v>2441.32</v>
      </c>
      <c r="C397" s="32">
        <f>IFERROR(__xludf.DUMMYFUNCTION("""COMPUTED_VALUE"""),42938.99861111111)</f>
        <v>42938.99861</v>
      </c>
      <c r="D397" s="22">
        <f>IFERROR(__xludf.DUMMYFUNCTION("""COMPUTED_VALUE"""),1.166)</f>
        <v>1.166</v>
      </c>
      <c r="E397" s="32">
        <f>IFERROR(__xludf.DUMMYFUNCTION("""COMPUTED_VALUE"""),42937.75)</f>
        <v>42937.75</v>
      </c>
      <c r="F397" s="22">
        <f>IFERROR(__xludf.DUMMYFUNCTION("""COMPUTED_VALUE"""),3451.71)</f>
        <v>3451.71</v>
      </c>
    </row>
    <row r="398" ht="15.75" customHeight="1">
      <c r="A398" s="32">
        <f>IFERROR(__xludf.DUMMYFUNCTION("""COMPUTED_VALUE"""),42965.66666666667)</f>
        <v>42965.66667</v>
      </c>
      <c r="B398" s="22">
        <f>IFERROR(__xludf.DUMMYFUNCTION("""COMPUTED_VALUE"""),2425.55)</f>
        <v>2425.55</v>
      </c>
      <c r="C398" s="32">
        <f>IFERROR(__xludf.DUMMYFUNCTION("""COMPUTED_VALUE"""),42945.99861111111)</f>
        <v>42945.99861</v>
      </c>
      <c r="D398" s="22">
        <f>IFERROR(__xludf.DUMMYFUNCTION("""COMPUTED_VALUE"""),1.1753)</f>
        <v>1.1753</v>
      </c>
      <c r="E398" s="32">
        <f>IFERROR(__xludf.DUMMYFUNCTION("""COMPUTED_VALUE"""),42944.75)</f>
        <v>42944.75</v>
      </c>
      <c r="F398" s="22">
        <f>IFERROR(__xludf.DUMMYFUNCTION("""COMPUTED_VALUE"""),3467.73)</f>
        <v>3467.73</v>
      </c>
    </row>
    <row r="399" ht="15.75" customHeight="1">
      <c r="A399" s="32">
        <f>IFERROR(__xludf.DUMMYFUNCTION("""COMPUTED_VALUE"""),42972.66666666667)</f>
        <v>42972.66667</v>
      </c>
      <c r="B399" s="22">
        <f>IFERROR(__xludf.DUMMYFUNCTION("""COMPUTED_VALUE"""),2443.05)</f>
        <v>2443.05</v>
      </c>
      <c r="C399" s="32">
        <f>IFERROR(__xludf.DUMMYFUNCTION("""COMPUTED_VALUE"""),42952.99861111111)</f>
        <v>42952.99861</v>
      </c>
      <c r="D399" s="22">
        <f>IFERROR(__xludf.DUMMYFUNCTION("""COMPUTED_VALUE"""),1.1773)</f>
        <v>1.1773</v>
      </c>
      <c r="E399" s="32">
        <f>IFERROR(__xludf.DUMMYFUNCTION("""COMPUTED_VALUE"""),42951.75)</f>
        <v>42951.75</v>
      </c>
      <c r="F399" s="22">
        <f>IFERROR(__xludf.DUMMYFUNCTION("""COMPUTED_VALUE"""),3507.41)</f>
        <v>3507.41</v>
      </c>
    </row>
    <row r="400" ht="15.75" customHeight="1">
      <c r="A400" s="32">
        <f>IFERROR(__xludf.DUMMYFUNCTION("""COMPUTED_VALUE"""),42979.66666666667)</f>
        <v>42979.66667</v>
      </c>
      <c r="B400" s="22">
        <f>IFERROR(__xludf.DUMMYFUNCTION("""COMPUTED_VALUE"""),2476.55)</f>
        <v>2476.55</v>
      </c>
      <c r="C400" s="32">
        <f>IFERROR(__xludf.DUMMYFUNCTION("""COMPUTED_VALUE"""),42959.99861111111)</f>
        <v>42959.99861</v>
      </c>
      <c r="D400" s="22">
        <f>IFERROR(__xludf.DUMMYFUNCTION("""COMPUTED_VALUE"""),1.1818)</f>
        <v>1.1818</v>
      </c>
      <c r="E400" s="32">
        <f>IFERROR(__xludf.DUMMYFUNCTION("""COMPUTED_VALUE"""),42958.75)</f>
        <v>42958.75</v>
      </c>
      <c r="F400" s="22">
        <f>IFERROR(__xludf.DUMMYFUNCTION("""COMPUTED_VALUE"""),3406.34)</f>
        <v>3406.34</v>
      </c>
    </row>
    <row r="401" ht="15.75" customHeight="1">
      <c r="A401" s="32">
        <f>IFERROR(__xludf.DUMMYFUNCTION("""COMPUTED_VALUE"""),42986.66666666667)</f>
        <v>42986.66667</v>
      </c>
      <c r="B401" s="22">
        <f>IFERROR(__xludf.DUMMYFUNCTION("""COMPUTED_VALUE"""),2461.43)</f>
        <v>2461.43</v>
      </c>
      <c r="C401" s="32">
        <f>IFERROR(__xludf.DUMMYFUNCTION("""COMPUTED_VALUE"""),42966.99861111111)</f>
        <v>42966.99861</v>
      </c>
      <c r="D401" s="22">
        <f>IFERROR(__xludf.DUMMYFUNCTION("""COMPUTED_VALUE"""),1.176)</f>
        <v>1.176</v>
      </c>
      <c r="E401" s="32">
        <f>IFERROR(__xludf.DUMMYFUNCTION("""COMPUTED_VALUE"""),42965.75)</f>
        <v>42965.75</v>
      </c>
      <c r="F401" s="22">
        <f>IFERROR(__xludf.DUMMYFUNCTION("""COMPUTED_VALUE"""),3446.03)</f>
        <v>3446.03</v>
      </c>
    </row>
    <row r="402" ht="15.75" customHeight="1">
      <c r="A402" s="32">
        <f>IFERROR(__xludf.DUMMYFUNCTION("""COMPUTED_VALUE"""),42993.66666666667)</f>
        <v>42993.66667</v>
      </c>
      <c r="B402" s="22">
        <f>IFERROR(__xludf.DUMMYFUNCTION("""COMPUTED_VALUE"""),2500.23)</f>
        <v>2500.23</v>
      </c>
      <c r="C402" s="32">
        <f>IFERROR(__xludf.DUMMYFUNCTION("""COMPUTED_VALUE"""),42973.99861111111)</f>
        <v>42973.99861</v>
      </c>
      <c r="D402" s="22">
        <f>IFERROR(__xludf.DUMMYFUNCTION("""COMPUTED_VALUE"""),1.1924)</f>
        <v>1.1924</v>
      </c>
      <c r="E402" s="32">
        <f>IFERROR(__xludf.DUMMYFUNCTION("""COMPUTED_VALUE"""),42972.75)</f>
        <v>42972.75</v>
      </c>
      <c r="F402" s="22">
        <f>IFERROR(__xludf.DUMMYFUNCTION("""COMPUTED_VALUE"""),3438.55)</f>
        <v>3438.55</v>
      </c>
    </row>
    <row r="403" ht="15.75" customHeight="1">
      <c r="A403" s="32">
        <f>IFERROR(__xludf.DUMMYFUNCTION("""COMPUTED_VALUE"""),43000.66666666667)</f>
        <v>43000.66667</v>
      </c>
      <c r="B403" s="22">
        <f>IFERROR(__xludf.DUMMYFUNCTION("""COMPUTED_VALUE"""),2502.22)</f>
        <v>2502.22</v>
      </c>
      <c r="C403" s="32">
        <f>IFERROR(__xludf.DUMMYFUNCTION("""COMPUTED_VALUE"""),42980.99861111111)</f>
        <v>42980.99861</v>
      </c>
      <c r="D403" s="22">
        <f>IFERROR(__xludf.DUMMYFUNCTION("""COMPUTED_VALUE"""),1.1861)</f>
        <v>1.1861</v>
      </c>
      <c r="E403" s="32">
        <f>IFERROR(__xludf.DUMMYFUNCTION("""COMPUTED_VALUE"""),42979.75)</f>
        <v>42979.75</v>
      </c>
      <c r="F403" s="22">
        <f>IFERROR(__xludf.DUMMYFUNCTION("""COMPUTED_VALUE"""),3443.88)</f>
        <v>3443.88</v>
      </c>
    </row>
    <row r="404" ht="15.75" customHeight="1">
      <c r="A404" s="32">
        <f>IFERROR(__xludf.DUMMYFUNCTION("""COMPUTED_VALUE"""),43007.66666666667)</f>
        <v>43007.66667</v>
      </c>
      <c r="B404" s="22">
        <f>IFERROR(__xludf.DUMMYFUNCTION("""COMPUTED_VALUE"""),2519.36)</f>
        <v>2519.36</v>
      </c>
      <c r="C404" s="32">
        <f>IFERROR(__xludf.DUMMYFUNCTION("""COMPUTED_VALUE"""),42987.99861111111)</f>
        <v>42987.99861</v>
      </c>
      <c r="D404" s="22">
        <f>IFERROR(__xludf.DUMMYFUNCTION("""COMPUTED_VALUE"""),1.2036)</f>
        <v>1.2036</v>
      </c>
      <c r="E404" s="32">
        <f>IFERROR(__xludf.DUMMYFUNCTION("""COMPUTED_VALUE"""),42986.75)</f>
        <v>42986.75</v>
      </c>
      <c r="F404" s="22">
        <f>IFERROR(__xludf.DUMMYFUNCTION("""COMPUTED_VALUE"""),3447.69)</f>
        <v>3447.69</v>
      </c>
    </row>
    <row r="405" ht="15.75" customHeight="1">
      <c r="A405" s="32">
        <f>IFERROR(__xludf.DUMMYFUNCTION("""COMPUTED_VALUE"""),43014.66666666667)</f>
        <v>43014.66667</v>
      </c>
      <c r="B405" s="22">
        <f>IFERROR(__xludf.DUMMYFUNCTION("""COMPUTED_VALUE"""),2549.33)</f>
        <v>2549.33</v>
      </c>
      <c r="C405" s="32">
        <f>IFERROR(__xludf.DUMMYFUNCTION("""COMPUTED_VALUE"""),42994.99861111111)</f>
        <v>42994.99861</v>
      </c>
      <c r="D405" s="22">
        <f>IFERROR(__xludf.DUMMYFUNCTION("""COMPUTED_VALUE"""),1.1944)</f>
        <v>1.1944</v>
      </c>
      <c r="E405" s="32">
        <f>IFERROR(__xludf.DUMMYFUNCTION("""COMPUTED_VALUE"""),42993.75)</f>
        <v>42993.75</v>
      </c>
      <c r="F405" s="22">
        <f>IFERROR(__xludf.DUMMYFUNCTION("""COMPUTED_VALUE"""),3515.55)</f>
        <v>3515.55</v>
      </c>
    </row>
    <row r="406" ht="15.75" customHeight="1">
      <c r="A406" s="32">
        <f>IFERROR(__xludf.DUMMYFUNCTION("""COMPUTED_VALUE"""),43021.66666666667)</f>
        <v>43021.66667</v>
      </c>
      <c r="B406" s="22">
        <f>IFERROR(__xludf.DUMMYFUNCTION("""COMPUTED_VALUE"""),2553.17)</f>
        <v>2553.17</v>
      </c>
      <c r="C406" s="32">
        <f>IFERROR(__xludf.DUMMYFUNCTION("""COMPUTED_VALUE"""),43001.99861111111)</f>
        <v>43001.99861</v>
      </c>
      <c r="D406" s="22">
        <f>IFERROR(__xludf.DUMMYFUNCTION("""COMPUTED_VALUE"""),1.1949)</f>
        <v>1.1949</v>
      </c>
      <c r="E406" s="32">
        <f>IFERROR(__xludf.DUMMYFUNCTION("""COMPUTED_VALUE"""),43000.75)</f>
        <v>43000.75</v>
      </c>
      <c r="F406" s="22">
        <f>IFERROR(__xludf.DUMMYFUNCTION("""COMPUTED_VALUE"""),3541.42)</f>
        <v>3541.42</v>
      </c>
    </row>
    <row r="407" ht="15.75" customHeight="1">
      <c r="A407" s="32">
        <f>IFERROR(__xludf.DUMMYFUNCTION("""COMPUTED_VALUE"""),43028.66666666667)</f>
        <v>43028.66667</v>
      </c>
      <c r="B407" s="22">
        <f>IFERROR(__xludf.DUMMYFUNCTION("""COMPUTED_VALUE"""),2575.21)</f>
        <v>2575.21</v>
      </c>
      <c r="C407" s="32">
        <f>IFERROR(__xludf.DUMMYFUNCTION("""COMPUTED_VALUE"""),43008.99861111111)</f>
        <v>43008.99861</v>
      </c>
      <c r="D407" s="22">
        <f>IFERROR(__xludf.DUMMYFUNCTION("""COMPUTED_VALUE"""),1.18128)</f>
        <v>1.18128</v>
      </c>
      <c r="E407" s="32">
        <f>IFERROR(__xludf.DUMMYFUNCTION("""COMPUTED_VALUE"""),43007.75)</f>
        <v>43007.75</v>
      </c>
      <c r="F407" s="22">
        <f>IFERROR(__xludf.DUMMYFUNCTION("""COMPUTED_VALUE"""),3594.85)</f>
        <v>3594.85</v>
      </c>
    </row>
    <row r="408" ht="15.75" customHeight="1">
      <c r="A408" s="32">
        <f>IFERROR(__xludf.DUMMYFUNCTION("""COMPUTED_VALUE"""),43035.66666666667)</f>
        <v>43035.66667</v>
      </c>
      <c r="B408" s="22">
        <f>IFERROR(__xludf.DUMMYFUNCTION("""COMPUTED_VALUE"""),2581.07)</f>
        <v>2581.07</v>
      </c>
      <c r="C408" s="32">
        <f>IFERROR(__xludf.DUMMYFUNCTION("""COMPUTED_VALUE"""),43015.99861111111)</f>
        <v>43015.99861</v>
      </c>
      <c r="D408" s="22">
        <f>IFERROR(__xludf.DUMMYFUNCTION("""COMPUTED_VALUE"""),1.1732)</f>
        <v>1.1732</v>
      </c>
      <c r="E408" s="32">
        <f>IFERROR(__xludf.DUMMYFUNCTION("""COMPUTED_VALUE"""),43014.75)</f>
        <v>43014.75</v>
      </c>
      <c r="F408" s="22">
        <f>IFERROR(__xludf.DUMMYFUNCTION("""COMPUTED_VALUE"""),3603.32)</f>
        <v>3603.32</v>
      </c>
    </row>
    <row r="409" ht="15.75" customHeight="1">
      <c r="A409" s="32">
        <f>IFERROR(__xludf.DUMMYFUNCTION("""COMPUTED_VALUE"""),43042.66666666667)</f>
        <v>43042.66667</v>
      </c>
      <c r="B409" s="22">
        <f>IFERROR(__xludf.DUMMYFUNCTION("""COMPUTED_VALUE"""),2587.84)</f>
        <v>2587.84</v>
      </c>
      <c r="C409" s="32">
        <f>IFERROR(__xludf.DUMMYFUNCTION("""COMPUTED_VALUE"""),43022.99861111111)</f>
        <v>43022.99861</v>
      </c>
      <c r="D409" s="22">
        <f>IFERROR(__xludf.DUMMYFUNCTION("""COMPUTED_VALUE"""),1.182)</f>
        <v>1.182</v>
      </c>
      <c r="E409" s="32">
        <f>IFERROR(__xludf.DUMMYFUNCTION("""COMPUTED_VALUE"""),43021.75)</f>
        <v>43021.75</v>
      </c>
      <c r="F409" s="22">
        <f>IFERROR(__xludf.DUMMYFUNCTION("""COMPUTED_VALUE"""),3604.55)</f>
        <v>3604.55</v>
      </c>
    </row>
    <row r="410" ht="15.75" customHeight="1">
      <c r="A410" s="32">
        <f>IFERROR(__xludf.DUMMYFUNCTION("""COMPUTED_VALUE"""),43049.66666666667)</f>
        <v>43049.66667</v>
      </c>
      <c r="B410" s="22">
        <f>IFERROR(__xludf.DUMMYFUNCTION("""COMPUTED_VALUE"""),2582.3)</f>
        <v>2582.3</v>
      </c>
      <c r="C410" s="32">
        <f>IFERROR(__xludf.DUMMYFUNCTION("""COMPUTED_VALUE"""),43029.99861111111)</f>
        <v>43029.99861</v>
      </c>
      <c r="D410" s="22">
        <f>IFERROR(__xludf.DUMMYFUNCTION("""COMPUTED_VALUE"""),1.178)</f>
        <v>1.178</v>
      </c>
      <c r="E410" s="32">
        <f>IFERROR(__xludf.DUMMYFUNCTION("""COMPUTED_VALUE"""),43028.75)</f>
        <v>43028.75</v>
      </c>
      <c r="F410" s="22">
        <f>IFERROR(__xludf.DUMMYFUNCTION("""COMPUTED_VALUE"""),3605.09)</f>
        <v>3605.09</v>
      </c>
    </row>
    <row r="411" ht="15.75" customHeight="1">
      <c r="A411" s="32">
        <f>IFERROR(__xludf.DUMMYFUNCTION("""COMPUTED_VALUE"""),43056.66666666667)</f>
        <v>43056.66667</v>
      </c>
      <c r="B411" s="22">
        <f>IFERROR(__xludf.DUMMYFUNCTION("""COMPUTED_VALUE"""),2578.85)</f>
        <v>2578.85</v>
      </c>
      <c r="C411" s="32">
        <f>IFERROR(__xludf.DUMMYFUNCTION("""COMPUTED_VALUE"""),43036.99861111111)</f>
        <v>43036.99861</v>
      </c>
      <c r="D411" s="22">
        <f>IFERROR(__xludf.DUMMYFUNCTION("""COMPUTED_VALUE"""),1.1608)</f>
        <v>1.1608</v>
      </c>
      <c r="E411" s="32">
        <f>IFERROR(__xludf.DUMMYFUNCTION("""COMPUTED_VALUE"""),43035.75)</f>
        <v>43035.75</v>
      </c>
      <c r="F411" s="22">
        <f>IFERROR(__xludf.DUMMYFUNCTION("""COMPUTED_VALUE"""),3652.23)</f>
        <v>3652.23</v>
      </c>
    </row>
    <row r="412" ht="15.75" customHeight="1">
      <c r="A412" s="32">
        <f>IFERROR(__xludf.DUMMYFUNCTION("""COMPUTED_VALUE"""),43063.54166666667)</f>
        <v>43063.54167</v>
      </c>
      <c r="B412" s="22">
        <f>IFERROR(__xludf.DUMMYFUNCTION("""COMPUTED_VALUE"""),2602.42)</f>
        <v>2602.42</v>
      </c>
      <c r="C412" s="32">
        <f>IFERROR(__xludf.DUMMYFUNCTION("""COMPUTED_VALUE"""),43043.99861111111)</f>
        <v>43043.99861</v>
      </c>
      <c r="D412" s="22">
        <f>IFERROR(__xludf.DUMMYFUNCTION("""COMPUTED_VALUE"""),1.1618)</f>
        <v>1.1618</v>
      </c>
      <c r="E412" s="32">
        <f>IFERROR(__xludf.DUMMYFUNCTION("""COMPUTED_VALUE"""),43042.75)</f>
        <v>43042.75</v>
      </c>
      <c r="F412" s="22">
        <f>IFERROR(__xludf.DUMMYFUNCTION("""COMPUTED_VALUE"""),3689.96)</f>
        <v>3689.96</v>
      </c>
    </row>
    <row r="413" ht="15.75" customHeight="1">
      <c r="A413" s="32">
        <f>IFERROR(__xludf.DUMMYFUNCTION("""COMPUTED_VALUE"""),43070.66666666667)</f>
        <v>43070.66667</v>
      </c>
      <c r="B413" s="22">
        <f>IFERROR(__xludf.DUMMYFUNCTION("""COMPUTED_VALUE"""),2642.22)</f>
        <v>2642.22</v>
      </c>
      <c r="C413" s="32">
        <f>IFERROR(__xludf.DUMMYFUNCTION("""COMPUTED_VALUE"""),43050.99861111111)</f>
        <v>43050.99861</v>
      </c>
      <c r="D413" s="22">
        <f>IFERROR(__xludf.DUMMYFUNCTION("""COMPUTED_VALUE"""),1.1665)</f>
        <v>1.1665</v>
      </c>
      <c r="E413" s="32">
        <f>IFERROR(__xludf.DUMMYFUNCTION("""COMPUTED_VALUE"""),43049.75)</f>
        <v>43049.75</v>
      </c>
      <c r="F413" s="22">
        <f>IFERROR(__xludf.DUMMYFUNCTION("""COMPUTED_VALUE"""),3593.76)</f>
        <v>3593.76</v>
      </c>
    </row>
    <row r="414" ht="15.75" customHeight="1">
      <c r="A414" s="32">
        <f>IFERROR(__xludf.DUMMYFUNCTION("""COMPUTED_VALUE"""),43077.66666666667)</f>
        <v>43077.66667</v>
      </c>
      <c r="B414" s="22">
        <f>IFERROR(__xludf.DUMMYFUNCTION("""COMPUTED_VALUE"""),2651.5)</f>
        <v>2651.5</v>
      </c>
      <c r="C414" s="32">
        <f>IFERROR(__xludf.DUMMYFUNCTION("""COMPUTED_VALUE"""),43057.99861111111)</f>
        <v>43057.99861</v>
      </c>
      <c r="D414" s="22">
        <f>IFERROR(__xludf.DUMMYFUNCTION("""COMPUTED_VALUE"""),1.17963)</f>
        <v>1.17963</v>
      </c>
      <c r="E414" s="32">
        <f>IFERROR(__xludf.DUMMYFUNCTION("""COMPUTED_VALUE"""),43056.75)</f>
        <v>43056.75</v>
      </c>
      <c r="F414" s="22">
        <f>IFERROR(__xludf.DUMMYFUNCTION("""COMPUTED_VALUE"""),3547.46)</f>
        <v>3547.46</v>
      </c>
    </row>
    <row r="415" ht="15.75" customHeight="1">
      <c r="A415" s="32">
        <f>IFERROR(__xludf.DUMMYFUNCTION("""COMPUTED_VALUE"""),43084.66666666667)</f>
        <v>43084.66667</v>
      </c>
      <c r="B415" s="22">
        <f>IFERROR(__xludf.DUMMYFUNCTION("""COMPUTED_VALUE"""),2675.81)</f>
        <v>2675.81</v>
      </c>
      <c r="C415" s="32">
        <f>IFERROR(__xludf.DUMMYFUNCTION("""COMPUTED_VALUE"""),43064.99861111111)</f>
        <v>43064.99861</v>
      </c>
      <c r="D415" s="22">
        <f>IFERROR(__xludf.DUMMYFUNCTION("""COMPUTED_VALUE"""),1.193)</f>
        <v>1.193</v>
      </c>
      <c r="E415" s="32">
        <f>IFERROR(__xludf.DUMMYFUNCTION("""COMPUTED_VALUE"""),43063.75)</f>
        <v>43063.75</v>
      </c>
      <c r="F415" s="22">
        <f>IFERROR(__xludf.DUMMYFUNCTION("""COMPUTED_VALUE"""),3581.23)</f>
        <v>3581.23</v>
      </c>
    </row>
    <row r="416" ht="15.75" customHeight="1">
      <c r="A416" s="32">
        <f>IFERROR(__xludf.DUMMYFUNCTION("""COMPUTED_VALUE"""),43091.66666666667)</f>
        <v>43091.66667</v>
      </c>
      <c r="B416" s="22">
        <f>IFERROR(__xludf.DUMMYFUNCTION("""COMPUTED_VALUE"""),2683.34)</f>
        <v>2683.34</v>
      </c>
      <c r="C416" s="32">
        <f>IFERROR(__xludf.DUMMYFUNCTION("""COMPUTED_VALUE"""),43071.99861111111)</f>
        <v>43071.99861</v>
      </c>
      <c r="D416" s="22">
        <f>IFERROR(__xludf.DUMMYFUNCTION("""COMPUTED_VALUE"""),1.1892)</f>
        <v>1.1892</v>
      </c>
      <c r="E416" s="32">
        <f>IFERROR(__xludf.DUMMYFUNCTION("""COMPUTED_VALUE"""),43070.75)</f>
        <v>43070.75</v>
      </c>
      <c r="F416" s="22">
        <f>IFERROR(__xludf.DUMMYFUNCTION("""COMPUTED_VALUE"""),3527.55)</f>
        <v>3527.55</v>
      </c>
    </row>
    <row r="417" ht="15.75" customHeight="1">
      <c r="A417" s="32">
        <f>IFERROR(__xludf.DUMMYFUNCTION("""COMPUTED_VALUE"""),43098.66666666667)</f>
        <v>43098.66667</v>
      </c>
      <c r="B417" s="22">
        <f>IFERROR(__xludf.DUMMYFUNCTION("""COMPUTED_VALUE"""),2673.61)</f>
        <v>2673.61</v>
      </c>
      <c r="C417" s="32">
        <f>IFERROR(__xludf.DUMMYFUNCTION("""COMPUTED_VALUE"""),43078.99861111111)</f>
        <v>43078.99861</v>
      </c>
      <c r="D417" s="22">
        <f>IFERROR(__xludf.DUMMYFUNCTION("""COMPUTED_VALUE"""),1.1764)</f>
        <v>1.1764</v>
      </c>
      <c r="E417" s="32">
        <f>IFERROR(__xludf.DUMMYFUNCTION("""COMPUTED_VALUE"""),43077.75)</f>
        <v>43077.75</v>
      </c>
      <c r="F417" s="22">
        <f>IFERROR(__xludf.DUMMYFUNCTION("""COMPUTED_VALUE"""),3591.45)</f>
        <v>3591.45</v>
      </c>
    </row>
    <row r="418" ht="15.75" customHeight="1">
      <c r="A418" s="32">
        <f>IFERROR(__xludf.DUMMYFUNCTION("""COMPUTED_VALUE"""),43105.66666666667)</f>
        <v>43105.66667</v>
      </c>
      <c r="B418" s="22">
        <f>IFERROR(__xludf.DUMMYFUNCTION("""COMPUTED_VALUE"""),2743.15)</f>
        <v>2743.15</v>
      </c>
      <c r="C418" s="32">
        <f>IFERROR(__xludf.DUMMYFUNCTION("""COMPUTED_VALUE"""),43085.99861111111)</f>
        <v>43085.99861</v>
      </c>
      <c r="D418" s="22">
        <f>IFERROR(__xludf.DUMMYFUNCTION("""COMPUTED_VALUE"""),1.17559)</f>
        <v>1.17559</v>
      </c>
      <c r="E418" s="32">
        <f>IFERROR(__xludf.DUMMYFUNCTION("""COMPUTED_VALUE"""),43084.75)</f>
        <v>43084.75</v>
      </c>
      <c r="F418" s="22">
        <f>IFERROR(__xludf.DUMMYFUNCTION("""COMPUTED_VALUE"""),3560.53)</f>
        <v>3560.53</v>
      </c>
    </row>
    <row r="419" ht="15.75" customHeight="1">
      <c r="A419" s="32">
        <f>IFERROR(__xludf.DUMMYFUNCTION("""COMPUTED_VALUE"""),43112.66666666667)</f>
        <v>43112.66667</v>
      </c>
      <c r="B419" s="22">
        <f>IFERROR(__xludf.DUMMYFUNCTION("""COMPUTED_VALUE"""),2786.24)</f>
        <v>2786.24</v>
      </c>
      <c r="C419" s="32">
        <f>IFERROR(__xludf.DUMMYFUNCTION("""COMPUTED_VALUE"""),43092.99861111111)</f>
        <v>43092.99861</v>
      </c>
      <c r="D419" s="22">
        <f>IFERROR(__xludf.DUMMYFUNCTION("""COMPUTED_VALUE"""),1.1858)</f>
        <v>1.1858</v>
      </c>
      <c r="E419" s="32">
        <f>IFERROR(__xludf.DUMMYFUNCTION("""COMPUTED_VALUE"""),43091.75)</f>
        <v>43091.75</v>
      </c>
      <c r="F419" s="22">
        <f>IFERROR(__xludf.DUMMYFUNCTION("""COMPUTED_VALUE"""),3553.39)</f>
        <v>3553.39</v>
      </c>
    </row>
    <row r="420" ht="15.75" customHeight="1">
      <c r="A420" s="32">
        <f>IFERROR(__xludf.DUMMYFUNCTION("""COMPUTED_VALUE"""),43119.66666666667)</f>
        <v>43119.66667</v>
      </c>
      <c r="B420" s="22">
        <f>IFERROR(__xludf.DUMMYFUNCTION("""COMPUTED_VALUE"""),2810.3)</f>
        <v>2810.3</v>
      </c>
      <c r="C420" s="32">
        <f>IFERROR(__xludf.DUMMYFUNCTION("""COMPUTED_VALUE"""),43099.99861111111)</f>
        <v>43099.99861</v>
      </c>
      <c r="D420" s="22">
        <f>IFERROR(__xludf.DUMMYFUNCTION("""COMPUTED_VALUE"""),1.1997)</f>
        <v>1.1997</v>
      </c>
      <c r="E420" s="32">
        <f>IFERROR(__xludf.DUMMYFUNCTION("""COMPUTED_VALUE"""),43098.75)</f>
        <v>43098.75</v>
      </c>
      <c r="F420" s="22">
        <f>IFERROR(__xludf.DUMMYFUNCTION("""COMPUTED_VALUE"""),3503.96)</f>
        <v>3503.96</v>
      </c>
    </row>
    <row r="421" ht="15.75" customHeight="1">
      <c r="A421" s="32">
        <f>IFERROR(__xludf.DUMMYFUNCTION("""COMPUTED_VALUE"""),43126.66666666667)</f>
        <v>43126.66667</v>
      </c>
      <c r="B421" s="22">
        <f>IFERROR(__xludf.DUMMYFUNCTION("""COMPUTED_VALUE"""),2872.87)</f>
        <v>2872.87</v>
      </c>
      <c r="C421" s="32">
        <f>IFERROR(__xludf.DUMMYFUNCTION("""COMPUTED_VALUE"""),43106.99861111111)</f>
        <v>43106.99861</v>
      </c>
      <c r="D421" s="22">
        <f>IFERROR(__xludf.DUMMYFUNCTION("""COMPUTED_VALUE"""),1.2028)</f>
        <v>1.2028</v>
      </c>
      <c r="E421" s="32">
        <f>IFERROR(__xludf.DUMMYFUNCTION("""COMPUTED_VALUE"""),43105.75)</f>
        <v>43105.75</v>
      </c>
      <c r="F421" s="22">
        <f>IFERROR(__xludf.DUMMYFUNCTION("""COMPUTED_VALUE"""),3607.63)</f>
        <v>3607.63</v>
      </c>
    </row>
    <row r="422" ht="15.75" customHeight="1">
      <c r="A422" s="32">
        <f>IFERROR(__xludf.DUMMYFUNCTION("""COMPUTED_VALUE"""),43133.66666666667)</f>
        <v>43133.66667</v>
      </c>
      <c r="B422" s="22">
        <f>IFERROR(__xludf.DUMMYFUNCTION("""COMPUTED_VALUE"""),2762.13)</f>
        <v>2762.13</v>
      </c>
      <c r="C422" s="32">
        <f>IFERROR(__xludf.DUMMYFUNCTION("""COMPUTED_VALUE"""),43113.99861111111)</f>
        <v>43113.99861</v>
      </c>
      <c r="D422" s="22">
        <f>IFERROR(__xludf.DUMMYFUNCTION("""COMPUTED_VALUE"""),1.2195)</f>
        <v>1.2195</v>
      </c>
      <c r="E422" s="32">
        <f>IFERROR(__xludf.DUMMYFUNCTION("""COMPUTED_VALUE"""),43112.75)</f>
        <v>43112.75</v>
      </c>
      <c r="F422" s="22">
        <f>IFERROR(__xludf.DUMMYFUNCTION("""COMPUTED_VALUE"""),3612.61)</f>
        <v>3612.61</v>
      </c>
    </row>
    <row r="423" ht="15.75" customHeight="1">
      <c r="A423" s="32">
        <f>IFERROR(__xludf.DUMMYFUNCTION("""COMPUTED_VALUE"""),43140.66666666667)</f>
        <v>43140.66667</v>
      </c>
      <c r="B423" s="22">
        <f>IFERROR(__xludf.DUMMYFUNCTION("""COMPUTED_VALUE"""),2619.55)</f>
        <v>2619.55</v>
      </c>
      <c r="C423" s="32">
        <f>IFERROR(__xludf.DUMMYFUNCTION("""COMPUTED_VALUE"""),43120.99861111111)</f>
        <v>43120.99861</v>
      </c>
      <c r="D423" s="22">
        <f>IFERROR(__xludf.DUMMYFUNCTION("""COMPUTED_VALUE"""),1.222)</f>
        <v>1.222</v>
      </c>
      <c r="E423" s="32">
        <f>IFERROR(__xludf.DUMMYFUNCTION("""COMPUTED_VALUE"""),43119.75)</f>
        <v>43119.75</v>
      </c>
      <c r="F423" s="22">
        <f>IFERROR(__xludf.DUMMYFUNCTION("""COMPUTED_VALUE"""),3649.07)</f>
        <v>3649.07</v>
      </c>
    </row>
    <row r="424" ht="15.75" customHeight="1">
      <c r="A424" s="32">
        <f>IFERROR(__xludf.DUMMYFUNCTION("""COMPUTED_VALUE"""),43147.66666666667)</f>
        <v>43147.66667</v>
      </c>
      <c r="B424" s="22">
        <f>IFERROR(__xludf.DUMMYFUNCTION("""COMPUTED_VALUE"""),2732.22)</f>
        <v>2732.22</v>
      </c>
      <c r="C424" s="32">
        <f>IFERROR(__xludf.DUMMYFUNCTION("""COMPUTED_VALUE"""),43127.99861111111)</f>
        <v>43127.99861</v>
      </c>
      <c r="D424" s="22">
        <f>IFERROR(__xludf.DUMMYFUNCTION("""COMPUTED_VALUE"""),1.24198)</f>
        <v>1.24198</v>
      </c>
      <c r="E424" s="32">
        <f>IFERROR(__xludf.DUMMYFUNCTION("""COMPUTED_VALUE"""),43126.75)</f>
        <v>43126.75</v>
      </c>
      <c r="F424" s="22">
        <f>IFERROR(__xludf.DUMMYFUNCTION("""COMPUTED_VALUE"""),3647.41)</f>
        <v>3647.41</v>
      </c>
    </row>
    <row r="425" ht="15.75" customHeight="1">
      <c r="A425" s="32">
        <f>IFERROR(__xludf.DUMMYFUNCTION("""COMPUTED_VALUE"""),43154.66666666667)</f>
        <v>43154.66667</v>
      </c>
      <c r="B425" s="22">
        <f>IFERROR(__xludf.DUMMYFUNCTION("""COMPUTED_VALUE"""),2747.3)</f>
        <v>2747.3</v>
      </c>
      <c r="C425" s="32">
        <f>IFERROR(__xludf.DUMMYFUNCTION("""COMPUTED_VALUE"""),43134.99861111111)</f>
        <v>43134.99861</v>
      </c>
      <c r="D425" s="22">
        <f>IFERROR(__xludf.DUMMYFUNCTION("""COMPUTED_VALUE"""),1.2461)</f>
        <v>1.2461</v>
      </c>
      <c r="E425" s="32">
        <f>IFERROR(__xludf.DUMMYFUNCTION("""COMPUTED_VALUE"""),43133.75)</f>
        <v>43133.75</v>
      </c>
      <c r="F425" s="22">
        <f>IFERROR(__xludf.DUMMYFUNCTION("""COMPUTED_VALUE"""),3523.28)</f>
        <v>3523.28</v>
      </c>
    </row>
    <row r="426" ht="15.75" customHeight="1">
      <c r="A426" s="32">
        <f>IFERROR(__xludf.DUMMYFUNCTION("""COMPUTED_VALUE"""),43161.66666666667)</f>
        <v>43161.66667</v>
      </c>
      <c r="B426" s="22">
        <f>IFERROR(__xludf.DUMMYFUNCTION("""COMPUTED_VALUE"""),2691.25)</f>
        <v>2691.25</v>
      </c>
      <c r="C426" s="32">
        <f>IFERROR(__xludf.DUMMYFUNCTION("""COMPUTED_VALUE"""),43141.99861111111)</f>
        <v>43141.99861</v>
      </c>
      <c r="D426" s="22">
        <f>IFERROR(__xludf.DUMMYFUNCTION("""COMPUTED_VALUE"""),1.2244)</f>
        <v>1.2244</v>
      </c>
      <c r="E426" s="32">
        <f>IFERROR(__xludf.DUMMYFUNCTION("""COMPUTED_VALUE"""),43140.75)</f>
        <v>43140.75</v>
      </c>
      <c r="F426" s="22">
        <f>IFERROR(__xludf.DUMMYFUNCTION("""COMPUTED_VALUE"""),3325.99)</f>
        <v>3325.99</v>
      </c>
    </row>
    <row r="427" ht="15.75" customHeight="1">
      <c r="A427" s="32">
        <f>IFERROR(__xludf.DUMMYFUNCTION("""COMPUTED_VALUE"""),43168.66666666667)</f>
        <v>43168.66667</v>
      </c>
      <c r="B427" s="22">
        <f>IFERROR(__xludf.DUMMYFUNCTION("""COMPUTED_VALUE"""),2786.57)</f>
        <v>2786.57</v>
      </c>
      <c r="C427" s="32">
        <f>IFERROR(__xludf.DUMMYFUNCTION("""COMPUTED_VALUE"""),43148.99861111111)</f>
        <v>43148.99861</v>
      </c>
      <c r="D427" s="22">
        <f>IFERROR(__xludf.DUMMYFUNCTION("""COMPUTED_VALUE"""),1.2406)</f>
        <v>1.2406</v>
      </c>
      <c r="E427" s="32">
        <f>IFERROR(__xludf.DUMMYFUNCTION("""COMPUTED_VALUE"""),43147.75)</f>
        <v>43147.75</v>
      </c>
      <c r="F427" s="22">
        <f>IFERROR(__xludf.DUMMYFUNCTION("""COMPUTED_VALUE"""),3426.8)</f>
        <v>3426.8</v>
      </c>
    </row>
    <row r="428" ht="15.75" customHeight="1">
      <c r="A428" s="32">
        <f>IFERROR(__xludf.DUMMYFUNCTION("""COMPUTED_VALUE"""),43175.66666666667)</f>
        <v>43175.66667</v>
      </c>
      <c r="B428" s="22">
        <f>IFERROR(__xludf.DUMMYFUNCTION("""COMPUTED_VALUE"""),2752.01)</f>
        <v>2752.01</v>
      </c>
      <c r="C428" s="32">
        <f>IFERROR(__xludf.DUMMYFUNCTION("""COMPUTED_VALUE"""),43155.99861111111)</f>
        <v>43155.99861</v>
      </c>
      <c r="D428" s="22">
        <f>IFERROR(__xludf.DUMMYFUNCTION("""COMPUTED_VALUE"""),1.2293)</f>
        <v>1.2293</v>
      </c>
      <c r="E428" s="32">
        <f>IFERROR(__xludf.DUMMYFUNCTION("""COMPUTED_VALUE"""),43154.75)</f>
        <v>43154.75</v>
      </c>
      <c r="F428" s="22">
        <f>IFERROR(__xludf.DUMMYFUNCTION("""COMPUTED_VALUE"""),3441.46)</f>
        <v>3441.46</v>
      </c>
    </row>
    <row r="429" ht="15.75" customHeight="1">
      <c r="A429" s="32">
        <f>IFERROR(__xludf.DUMMYFUNCTION("""COMPUTED_VALUE"""),43182.66666666667)</f>
        <v>43182.66667</v>
      </c>
      <c r="B429" s="22">
        <f>IFERROR(__xludf.DUMMYFUNCTION("""COMPUTED_VALUE"""),2588.26)</f>
        <v>2588.26</v>
      </c>
      <c r="C429" s="32">
        <f>IFERROR(__xludf.DUMMYFUNCTION("""COMPUTED_VALUE"""),43162.99861111111)</f>
        <v>43162.99861</v>
      </c>
      <c r="D429" s="22">
        <f>IFERROR(__xludf.DUMMYFUNCTION("""COMPUTED_VALUE"""),1.2317)</f>
        <v>1.2317</v>
      </c>
      <c r="E429" s="32">
        <f>IFERROR(__xludf.DUMMYFUNCTION("""COMPUTED_VALUE"""),43161.75)</f>
        <v>43161.75</v>
      </c>
      <c r="F429" s="22">
        <f>IFERROR(__xludf.DUMMYFUNCTION("""COMPUTED_VALUE"""),3324.75)</f>
        <v>3324.75</v>
      </c>
    </row>
    <row r="430" ht="15.75" customHeight="1">
      <c r="A430" s="32">
        <f>IFERROR(__xludf.DUMMYFUNCTION("""COMPUTED_VALUE"""),43188.66666666667)</f>
        <v>43188.66667</v>
      </c>
      <c r="B430" s="22">
        <f>IFERROR(__xludf.DUMMYFUNCTION("""COMPUTED_VALUE"""),2640.87)</f>
        <v>2640.87</v>
      </c>
      <c r="C430" s="32">
        <f>IFERROR(__xludf.DUMMYFUNCTION("""COMPUTED_VALUE"""),43169.99861111111)</f>
        <v>43169.99861</v>
      </c>
      <c r="D430" s="22">
        <f>IFERROR(__xludf.DUMMYFUNCTION("""COMPUTED_VALUE"""),1.2306)</f>
        <v>1.2306</v>
      </c>
      <c r="E430" s="32">
        <f>IFERROR(__xludf.DUMMYFUNCTION("""COMPUTED_VALUE"""),43168.75)</f>
        <v>43168.75</v>
      </c>
      <c r="F430" s="22">
        <f>IFERROR(__xludf.DUMMYFUNCTION("""COMPUTED_VALUE"""),3420.54)</f>
        <v>3420.54</v>
      </c>
    </row>
    <row r="431" ht="15.75" customHeight="1">
      <c r="A431" s="32">
        <f>IFERROR(__xludf.DUMMYFUNCTION("""COMPUTED_VALUE"""),43196.66666666667)</f>
        <v>43196.66667</v>
      </c>
      <c r="B431" s="22">
        <f>IFERROR(__xludf.DUMMYFUNCTION("""COMPUTED_VALUE"""),2604.47)</f>
        <v>2604.47</v>
      </c>
      <c r="C431" s="32">
        <f>IFERROR(__xludf.DUMMYFUNCTION("""COMPUTED_VALUE"""),43176.99861111111)</f>
        <v>43176.99861</v>
      </c>
      <c r="D431" s="22">
        <f>IFERROR(__xludf.DUMMYFUNCTION("""COMPUTED_VALUE"""),1.2294)</f>
        <v>1.2294</v>
      </c>
      <c r="E431" s="32">
        <f>IFERROR(__xludf.DUMMYFUNCTION("""COMPUTED_VALUE"""),43175.75)</f>
        <v>43175.75</v>
      </c>
      <c r="F431" s="22">
        <f>IFERROR(__xludf.DUMMYFUNCTION("""COMPUTED_VALUE"""),3437.4)</f>
        <v>3437.4</v>
      </c>
    </row>
    <row r="432" ht="15.75" customHeight="1">
      <c r="A432" s="32">
        <f>IFERROR(__xludf.DUMMYFUNCTION("""COMPUTED_VALUE"""),43203.66666666667)</f>
        <v>43203.66667</v>
      </c>
      <c r="B432" s="22">
        <f>IFERROR(__xludf.DUMMYFUNCTION("""COMPUTED_VALUE"""),2656.3)</f>
        <v>2656.3</v>
      </c>
      <c r="C432" s="32">
        <f>IFERROR(__xludf.DUMMYFUNCTION("""COMPUTED_VALUE"""),43183.99861111111)</f>
        <v>43183.99861</v>
      </c>
      <c r="D432" s="22">
        <f>IFERROR(__xludf.DUMMYFUNCTION("""COMPUTED_VALUE"""),1.2356)</f>
        <v>1.2356</v>
      </c>
      <c r="E432" s="32">
        <f>IFERROR(__xludf.DUMMYFUNCTION("""COMPUTED_VALUE"""),43182.75)</f>
        <v>43182.75</v>
      </c>
      <c r="F432" s="22">
        <f>IFERROR(__xludf.DUMMYFUNCTION("""COMPUTED_VALUE"""),3298.07)</f>
        <v>3298.07</v>
      </c>
    </row>
    <row r="433" ht="15.75" customHeight="1">
      <c r="A433" s="32">
        <f>IFERROR(__xludf.DUMMYFUNCTION("""COMPUTED_VALUE"""),43210.66666666667)</f>
        <v>43210.66667</v>
      </c>
      <c r="B433" s="22">
        <f>IFERROR(__xludf.DUMMYFUNCTION("""COMPUTED_VALUE"""),2670.14)</f>
        <v>2670.14</v>
      </c>
      <c r="C433" s="32">
        <f>IFERROR(__xludf.DUMMYFUNCTION("""COMPUTED_VALUE"""),43190.99861111111)</f>
        <v>43190.99861</v>
      </c>
      <c r="D433" s="22">
        <f>IFERROR(__xludf.DUMMYFUNCTION("""COMPUTED_VALUE"""),1.2329)</f>
        <v>1.2329</v>
      </c>
      <c r="E433" s="32">
        <f>IFERROR(__xludf.DUMMYFUNCTION("""COMPUTED_VALUE"""),43188.75)</f>
        <v>43188.75</v>
      </c>
      <c r="F433" s="22">
        <f>IFERROR(__xludf.DUMMYFUNCTION("""COMPUTED_VALUE"""),3361.5)</f>
        <v>3361.5</v>
      </c>
    </row>
    <row r="434" ht="15.75" customHeight="1">
      <c r="A434" s="32">
        <f>IFERROR(__xludf.DUMMYFUNCTION("""COMPUTED_VALUE"""),43217.66666666667)</f>
        <v>43217.66667</v>
      </c>
      <c r="B434" s="22">
        <f>IFERROR(__xludf.DUMMYFUNCTION("""COMPUTED_VALUE"""),2669.91)</f>
        <v>2669.91</v>
      </c>
      <c r="C434" s="32">
        <f>IFERROR(__xludf.DUMMYFUNCTION("""COMPUTED_VALUE"""),43197.99861111111)</f>
        <v>43197.99861</v>
      </c>
      <c r="D434" s="22">
        <f>IFERROR(__xludf.DUMMYFUNCTION("""COMPUTED_VALUE"""),1.2297)</f>
        <v>1.2297</v>
      </c>
      <c r="E434" s="32">
        <f>IFERROR(__xludf.DUMMYFUNCTION("""COMPUTED_VALUE"""),43196.75)</f>
        <v>43196.75</v>
      </c>
      <c r="F434" s="22">
        <f>IFERROR(__xludf.DUMMYFUNCTION("""COMPUTED_VALUE"""),3408.1)</f>
        <v>3408.1</v>
      </c>
    </row>
    <row r="435" ht="15.75" customHeight="1">
      <c r="A435" s="32">
        <f>IFERROR(__xludf.DUMMYFUNCTION("""COMPUTED_VALUE"""),43224.66666666667)</f>
        <v>43224.66667</v>
      </c>
      <c r="B435" s="22">
        <f>IFERROR(__xludf.DUMMYFUNCTION("""COMPUTED_VALUE"""),2663.42)</f>
        <v>2663.42</v>
      </c>
      <c r="C435" s="32">
        <f>IFERROR(__xludf.DUMMYFUNCTION("""COMPUTED_VALUE"""),43204.99861111111)</f>
        <v>43204.99861</v>
      </c>
      <c r="D435" s="22">
        <f>IFERROR(__xludf.DUMMYFUNCTION("""COMPUTED_VALUE"""),1.2345)</f>
        <v>1.2345</v>
      </c>
      <c r="E435" s="32">
        <f>IFERROR(__xludf.DUMMYFUNCTION("""COMPUTED_VALUE"""),43203.75)</f>
        <v>43203.75</v>
      </c>
      <c r="F435" s="22">
        <f>IFERROR(__xludf.DUMMYFUNCTION("""COMPUTED_VALUE"""),3448.0)</f>
        <v>3448</v>
      </c>
    </row>
    <row r="436" ht="15.75" customHeight="1">
      <c r="A436" s="32">
        <f>IFERROR(__xludf.DUMMYFUNCTION("""COMPUTED_VALUE"""),43231.66666666667)</f>
        <v>43231.66667</v>
      </c>
      <c r="B436" s="22">
        <f>IFERROR(__xludf.DUMMYFUNCTION("""COMPUTED_VALUE"""),2727.72)</f>
        <v>2727.72</v>
      </c>
      <c r="C436" s="32">
        <f>IFERROR(__xludf.DUMMYFUNCTION("""COMPUTED_VALUE"""),43211.99861111111)</f>
        <v>43211.99861</v>
      </c>
      <c r="D436" s="22">
        <f>IFERROR(__xludf.DUMMYFUNCTION("""COMPUTED_VALUE"""),1.2305)</f>
        <v>1.2305</v>
      </c>
      <c r="E436" s="32">
        <f>IFERROR(__xludf.DUMMYFUNCTION("""COMPUTED_VALUE"""),43210.75)</f>
        <v>43210.75</v>
      </c>
      <c r="F436" s="22">
        <f>IFERROR(__xludf.DUMMYFUNCTION("""COMPUTED_VALUE"""),3494.2)</f>
        <v>3494.2</v>
      </c>
    </row>
    <row r="437" ht="15.75" customHeight="1">
      <c r="A437" s="32">
        <f>IFERROR(__xludf.DUMMYFUNCTION("""COMPUTED_VALUE"""),43238.66666666667)</f>
        <v>43238.66667</v>
      </c>
      <c r="B437" s="22">
        <f>IFERROR(__xludf.DUMMYFUNCTION("""COMPUTED_VALUE"""),2712.97)</f>
        <v>2712.97</v>
      </c>
      <c r="C437" s="32">
        <f>IFERROR(__xludf.DUMMYFUNCTION("""COMPUTED_VALUE"""),43218.99861111111)</f>
        <v>43218.99861</v>
      </c>
      <c r="D437" s="22">
        <f>IFERROR(__xludf.DUMMYFUNCTION("""COMPUTED_VALUE"""),1.2145)</f>
        <v>1.2145</v>
      </c>
      <c r="E437" s="32">
        <f>IFERROR(__xludf.DUMMYFUNCTION("""COMPUTED_VALUE"""),43217.75)</f>
        <v>43217.75</v>
      </c>
      <c r="F437" s="22">
        <f>IFERROR(__xludf.DUMMYFUNCTION("""COMPUTED_VALUE"""),3518.78)</f>
        <v>3518.78</v>
      </c>
    </row>
    <row r="438" ht="15.75" customHeight="1">
      <c r="A438" s="32">
        <f>IFERROR(__xludf.DUMMYFUNCTION("""COMPUTED_VALUE"""),43245.66666666667)</f>
        <v>43245.66667</v>
      </c>
      <c r="B438" s="22">
        <f>IFERROR(__xludf.DUMMYFUNCTION("""COMPUTED_VALUE"""),2721.33)</f>
        <v>2721.33</v>
      </c>
      <c r="C438" s="32">
        <f>IFERROR(__xludf.DUMMYFUNCTION("""COMPUTED_VALUE"""),43225.99861111111)</f>
        <v>43225.99861</v>
      </c>
      <c r="D438" s="22">
        <f>IFERROR(__xludf.DUMMYFUNCTION("""COMPUTED_VALUE"""),1.197)</f>
        <v>1.197</v>
      </c>
      <c r="E438" s="32">
        <f>IFERROR(__xludf.DUMMYFUNCTION("""COMPUTED_VALUE"""),43224.75)</f>
        <v>43224.75</v>
      </c>
      <c r="F438" s="22">
        <f>IFERROR(__xludf.DUMMYFUNCTION("""COMPUTED_VALUE"""),3550.59)</f>
        <v>3550.59</v>
      </c>
    </row>
    <row r="439" ht="15.75" customHeight="1">
      <c r="A439" s="32">
        <f>IFERROR(__xludf.DUMMYFUNCTION("""COMPUTED_VALUE"""),43252.66666666667)</f>
        <v>43252.66667</v>
      </c>
      <c r="B439" s="22">
        <f>IFERROR(__xludf.DUMMYFUNCTION("""COMPUTED_VALUE"""),2734.62)</f>
        <v>2734.62</v>
      </c>
      <c r="C439" s="32">
        <f>IFERROR(__xludf.DUMMYFUNCTION("""COMPUTED_VALUE"""),43232.99861111111)</f>
        <v>43232.99861</v>
      </c>
      <c r="D439" s="22">
        <f>IFERROR(__xludf.DUMMYFUNCTION("""COMPUTED_VALUE"""),1.1959)</f>
        <v>1.1959</v>
      </c>
      <c r="E439" s="32">
        <f>IFERROR(__xludf.DUMMYFUNCTION("""COMPUTED_VALUE"""),43231.75)</f>
        <v>43231.75</v>
      </c>
      <c r="F439" s="22">
        <f>IFERROR(__xludf.DUMMYFUNCTION("""COMPUTED_VALUE"""),3565.52)</f>
        <v>3565.52</v>
      </c>
    </row>
    <row r="440" ht="15.75" customHeight="1">
      <c r="A440" s="32">
        <f>IFERROR(__xludf.DUMMYFUNCTION("""COMPUTED_VALUE"""),43259.66666666667)</f>
        <v>43259.66667</v>
      </c>
      <c r="B440" s="22">
        <f>IFERROR(__xludf.DUMMYFUNCTION("""COMPUTED_VALUE"""),2779.03)</f>
        <v>2779.03</v>
      </c>
      <c r="C440" s="32">
        <f>IFERROR(__xludf.DUMMYFUNCTION("""COMPUTED_VALUE"""),43239.99861111111)</f>
        <v>43239.99861</v>
      </c>
      <c r="D440" s="22">
        <f>IFERROR(__xludf.DUMMYFUNCTION("""COMPUTED_VALUE"""),1.1789)</f>
        <v>1.1789</v>
      </c>
      <c r="E440" s="32">
        <f>IFERROR(__xludf.DUMMYFUNCTION("""COMPUTED_VALUE"""),43238.75)</f>
        <v>43238.75</v>
      </c>
      <c r="F440" s="22">
        <f>IFERROR(__xludf.DUMMYFUNCTION("""COMPUTED_VALUE"""),3573.76)</f>
        <v>3573.76</v>
      </c>
    </row>
    <row r="441" ht="15.75" customHeight="1">
      <c r="A441" s="32">
        <f>IFERROR(__xludf.DUMMYFUNCTION("""COMPUTED_VALUE"""),43266.66666666667)</f>
        <v>43266.66667</v>
      </c>
      <c r="B441" s="22">
        <f>IFERROR(__xludf.DUMMYFUNCTION("""COMPUTED_VALUE"""),2779.66)</f>
        <v>2779.66</v>
      </c>
      <c r="C441" s="32">
        <f>IFERROR(__xludf.DUMMYFUNCTION("""COMPUTED_VALUE"""),43246.99861111111)</f>
        <v>43246.99861</v>
      </c>
      <c r="D441" s="22">
        <f>IFERROR(__xludf.DUMMYFUNCTION("""COMPUTED_VALUE"""),1.1655)</f>
        <v>1.1655</v>
      </c>
      <c r="E441" s="32">
        <f>IFERROR(__xludf.DUMMYFUNCTION("""COMPUTED_VALUE"""),43245.75)</f>
        <v>43245.75</v>
      </c>
      <c r="F441" s="22">
        <f>IFERROR(__xludf.DUMMYFUNCTION("""COMPUTED_VALUE"""),3515.36)</f>
        <v>3515.36</v>
      </c>
    </row>
    <row r="442" ht="15.75" customHeight="1">
      <c r="A442" s="32">
        <f>IFERROR(__xludf.DUMMYFUNCTION("""COMPUTED_VALUE"""),43273.66666666667)</f>
        <v>43273.66667</v>
      </c>
      <c r="B442" s="22">
        <f>IFERROR(__xludf.DUMMYFUNCTION("""COMPUTED_VALUE"""),2754.88)</f>
        <v>2754.88</v>
      </c>
      <c r="C442" s="32">
        <f>IFERROR(__xludf.DUMMYFUNCTION("""COMPUTED_VALUE"""),43253.99861111111)</f>
        <v>43253.99861</v>
      </c>
      <c r="D442" s="22">
        <f>IFERROR(__xludf.DUMMYFUNCTION("""COMPUTED_VALUE"""),1.16851)</f>
        <v>1.16851</v>
      </c>
      <c r="E442" s="32">
        <f>IFERROR(__xludf.DUMMYFUNCTION("""COMPUTED_VALUE"""),43252.75)</f>
        <v>43252.75</v>
      </c>
      <c r="F442" s="22">
        <f>IFERROR(__xludf.DUMMYFUNCTION("""COMPUTED_VALUE"""),3453.54)</f>
        <v>3453.54</v>
      </c>
    </row>
    <row r="443" ht="15.75" customHeight="1">
      <c r="A443" s="32">
        <f>IFERROR(__xludf.DUMMYFUNCTION("""COMPUTED_VALUE"""),43280.66666666667)</f>
        <v>43280.66667</v>
      </c>
      <c r="B443" s="22">
        <f>IFERROR(__xludf.DUMMYFUNCTION("""COMPUTED_VALUE"""),2718.37)</f>
        <v>2718.37</v>
      </c>
      <c r="C443" s="32">
        <f>IFERROR(__xludf.DUMMYFUNCTION("""COMPUTED_VALUE"""),43260.99861111111)</f>
        <v>43260.99861</v>
      </c>
      <c r="D443" s="22">
        <f>IFERROR(__xludf.DUMMYFUNCTION("""COMPUTED_VALUE"""),1.1774)</f>
        <v>1.1774</v>
      </c>
      <c r="E443" s="32">
        <f>IFERROR(__xludf.DUMMYFUNCTION("""COMPUTED_VALUE"""),43259.75)</f>
        <v>43259.75</v>
      </c>
      <c r="F443" s="22">
        <f>IFERROR(__xludf.DUMMYFUNCTION("""COMPUTED_VALUE"""),3447.3)</f>
        <v>3447.3</v>
      </c>
    </row>
    <row r="444" ht="15.75" customHeight="1">
      <c r="A444" s="32">
        <f>IFERROR(__xludf.DUMMYFUNCTION("""COMPUTED_VALUE"""),43287.66666666667)</f>
        <v>43287.66667</v>
      </c>
      <c r="B444" s="22">
        <f>IFERROR(__xludf.DUMMYFUNCTION("""COMPUTED_VALUE"""),2759.82)</f>
        <v>2759.82</v>
      </c>
      <c r="C444" s="32">
        <f>IFERROR(__xludf.DUMMYFUNCTION("""COMPUTED_VALUE"""),43267.99861111111)</f>
        <v>43267.99861</v>
      </c>
      <c r="D444" s="22">
        <f>IFERROR(__xludf.DUMMYFUNCTION("""COMPUTED_VALUE"""),1.1619)</f>
        <v>1.1619</v>
      </c>
      <c r="E444" s="32">
        <f>IFERROR(__xludf.DUMMYFUNCTION("""COMPUTED_VALUE"""),43266.75)</f>
        <v>43266.75</v>
      </c>
      <c r="F444" s="22">
        <f>IFERROR(__xludf.DUMMYFUNCTION("""COMPUTED_VALUE"""),3505.02)</f>
        <v>3505.02</v>
      </c>
    </row>
    <row r="445" ht="15.75" customHeight="1">
      <c r="A445" s="32">
        <f>IFERROR(__xludf.DUMMYFUNCTION("""COMPUTED_VALUE"""),43294.66666666667)</f>
        <v>43294.66667</v>
      </c>
      <c r="B445" s="22">
        <f>IFERROR(__xludf.DUMMYFUNCTION("""COMPUTED_VALUE"""),2801.31)</f>
        <v>2801.31</v>
      </c>
      <c r="C445" s="32">
        <f>IFERROR(__xludf.DUMMYFUNCTION("""COMPUTED_VALUE"""),43274.99861111111)</f>
        <v>43274.99861</v>
      </c>
      <c r="D445" s="22">
        <f>IFERROR(__xludf.DUMMYFUNCTION("""COMPUTED_VALUE"""),1.1665)</f>
        <v>1.1665</v>
      </c>
      <c r="E445" s="32">
        <f>IFERROR(__xludf.DUMMYFUNCTION("""COMPUTED_VALUE"""),43273.75)</f>
        <v>43273.75</v>
      </c>
      <c r="F445" s="22">
        <f>IFERROR(__xludf.DUMMYFUNCTION("""COMPUTED_VALUE"""),3441.6)</f>
        <v>3441.6</v>
      </c>
    </row>
    <row r="446" ht="15.75" customHeight="1">
      <c r="A446" s="32">
        <f>IFERROR(__xludf.DUMMYFUNCTION("""COMPUTED_VALUE"""),43301.66666666667)</f>
        <v>43301.66667</v>
      </c>
      <c r="B446" s="22">
        <f>IFERROR(__xludf.DUMMYFUNCTION("""COMPUTED_VALUE"""),2801.83)</f>
        <v>2801.83</v>
      </c>
      <c r="C446" s="32">
        <f>IFERROR(__xludf.DUMMYFUNCTION("""COMPUTED_VALUE"""),43281.99861111111)</f>
        <v>43281.99861</v>
      </c>
      <c r="D446" s="22">
        <f>IFERROR(__xludf.DUMMYFUNCTION("""COMPUTED_VALUE"""),1.1702)</f>
        <v>1.1702</v>
      </c>
      <c r="E446" s="32">
        <f>IFERROR(__xludf.DUMMYFUNCTION("""COMPUTED_VALUE"""),43280.75)</f>
        <v>43280.75</v>
      </c>
      <c r="F446" s="22">
        <f>IFERROR(__xludf.DUMMYFUNCTION("""COMPUTED_VALUE"""),3395.6)</f>
        <v>3395.6</v>
      </c>
    </row>
    <row r="447" ht="15.75" customHeight="1">
      <c r="A447" s="32">
        <f>IFERROR(__xludf.DUMMYFUNCTION("""COMPUTED_VALUE"""),43308.66666666667)</f>
        <v>43308.66667</v>
      </c>
      <c r="B447" s="22">
        <f>IFERROR(__xludf.DUMMYFUNCTION("""COMPUTED_VALUE"""),2818.82)</f>
        <v>2818.82</v>
      </c>
      <c r="C447" s="32">
        <f>IFERROR(__xludf.DUMMYFUNCTION("""COMPUTED_VALUE"""),43288.99861111111)</f>
        <v>43288.99861</v>
      </c>
      <c r="D447" s="22">
        <f>IFERROR(__xludf.DUMMYFUNCTION("""COMPUTED_VALUE"""),1.1753)</f>
        <v>1.1753</v>
      </c>
      <c r="E447" s="32">
        <f>IFERROR(__xludf.DUMMYFUNCTION("""COMPUTED_VALUE"""),43287.75)</f>
        <v>43287.75</v>
      </c>
      <c r="F447" s="22">
        <f>IFERROR(__xludf.DUMMYFUNCTION("""COMPUTED_VALUE"""),3448.49)</f>
        <v>3448.49</v>
      </c>
    </row>
    <row r="448" ht="15.75" customHeight="1">
      <c r="A448" s="32">
        <f>IFERROR(__xludf.DUMMYFUNCTION("""COMPUTED_VALUE"""),43315.66666666667)</f>
        <v>43315.66667</v>
      </c>
      <c r="B448" s="22">
        <f>IFERROR(__xludf.DUMMYFUNCTION("""COMPUTED_VALUE"""),2840.35)</f>
        <v>2840.35</v>
      </c>
      <c r="C448" s="32">
        <f>IFERROR(__xludf.DUMMYFUNCTION("""COMPUTED_VALUE"""),43295.99861111111)</f>
        <v>43295.99861</v>
      </c>
      <c r="D448" s="22">
        <f>IFERROR(__xludf.DUMMYFUNCTION("""COMPUTED_VALUE"""),1.1698)</f>
        <v>1.1698</v>
      </c>
      <c r="E448" s="32">
        <f>IFERROR(__xludf.DUMMYFUNCTION("""COMPUTED_VALUE"""),43294.75)</f>
        <v>43294.75</v>
      </c>
      <c r="F448" s="22">
        <f>IFERROR(__xludf.DUMMYFUNCTION("""COMPUTED_VALUE"""),3454.54)</f>
        <v>3454.54</v>
      </c>
    </row>
    <row r="449" ht="15.75" customHeight="1">
      <c r="A449" s="32">
        <f>IFERROR(__xludf.DUMMYFUNCTION("""COMPUTED_VALUE"""),43322.66666666667)</f>
        <v>43322.66667</v>
      </c>
      <c r="B449" s="22">
        <f>IFERROR(__xludf.DUMMYFUNCTION("""COMPUTED_VALUE"""),2833.28)</f>
        <v>2833.28</v>
      </c>
      <c r="C449" s="32">
        <f>IFERROR(__xludf.DUMMYFUNCTION("""COMPUTED_VALUE"""),43302.99861111111)</f>
        <v>43302.99861</v>
      </c>
      <c r="D449" s="22">
        <f>IFERROR(__xludf.DUMMYFUNCTION("""COMPUTED_VALUE"""),1.1728)</f>
        <v>1.1728</v>
      </c>
      <c r="E449" s="32">
        <f>IFERROR(__xludf.DUMMYFUNCTION("""COMPUTED_VALUE"""),43301.75)</f>
        <v>43301.75</v>
      </c>
      <c r="F449" s="22">
        <f>IFERROR(__xludf.DUMMYFUNCTION("""COMPUTED_VALUE"""),3460.03)</f>
        <v>3460.03</v>
      </c>
    </row>
    <row r="450" ht="15.75" customHeight="1">
      <c r="A450" s="32">
        <f>IFERROR(__xludf.DUMMYFUNCTION("""COMPUTED_VALUE"""),43329.66666666667)</f>
        <v>43329.66667</v>
      </c>
      <c r="B450" s="22">
        <f>IFERROR(__xludf.DUMMYFUNCTION("""COMPUTED_VALUE"""),2850.13)</f>
        <v>2850.13</v>
      </c>
      <c r="C450" s="32">
        <f>IFERROR(__xludf.DUMMYFUNCTION("""COMPUTED_VALUE"""),43309.99861111111)</f>
        <v>43309.99861</v>
      </c>
      <c r="D450" s="22">
        <f>IFERROR(__xludf.DUMMYFUNCTION("""COMPUTED_VALUE"""),1.1671)</f>
        <v>1.1671</v>
      </c>
      <c r="E450" s="32">
        <f>IFERROR(__xludf.DUMMYFUNCTION("""COMPUTED_VALUE"""),43308.75)</f>
        <v>43308.75</v>
      </c>
      <c r="F450" s="22">
        <f>IFERROR(__xludf.DUMMYFUNCTION("""COMPUTED_VALUE"""),3527.18)</f>
        <v>3527.18</v>
      </c>
    </row>
    <row r="451" ht="15.75" customHeight="1">
      <c r="A451" s="32">
        <f>IFERROR(__xludf.DUMMYFUNCTION("""COMPUTED_VALUE"""),43336.66666666667)</f>
        <v>43336.66667</v>
      </c>
      <c r="B451" s="22">
        <f>IFERROR(__xludf.DUMMYFUNCTION("""COMPUTED_VALUE"""),2874.69)</f>
        <v>2874.69</v>
      </c>
      <c r="C451" s="32">
        <f>IFERROR(__xludf.DUMMYFUNCTION("""COMPUTED_VALUE"""),43316.99861111111)</f>
        <v>43316.99861</v>
      </c>
      <c r="D451" s="22">
        <f>IFERROR(__xludf.DUMMYFUNCTION("""COMPUTED_VALUE"""),1.1579)</f>
        <v>1.1579</v>
      </c>
      <c r="E451" s="32">
        <f>IFERROR(__xludf.DUMMYFUNCTION("""COMPUTED_VALUE"""),43315.75)</f>
        <v>43315.75</v>
      </c>
      <c r="F451" s="22">
        <f>IFERROR(__xludf.DUMMYFUNCTION("""COMPUTED_VALUE"""),3482.4)</f>
        <v>3482.4</v>
      </c>
    </row>
    <row r="452" ht="15.75" customHeight="1">
      <c r="A452" s="32">
        <f>IFERROR(__xludf.DUMMYFUNCTION("""COMPUTED_VALUE"""),43343.66666666667)</f>
        <v>43343.66667</v>
      </c>
      <c r="B452" s="22">
        <f>IFERROR(__xludf.DUMMYFUNCTION("""COMPUTED_VALUE"""),2901.52)</f>
        <v>2901.52</v>
      </c>
      <c r="C452" s="32">
        <f>IFERROR(__xludf.DUMMYFUNCTION("""COMPUTED_VALUE"""),43323.99861111111)</f>
        <v>43323.99861</v>
      </c>
      <c r="D452" s="22">
        <f>IFERROR(__xludf.DUMMYFUNCTION("""COMPUTED_VALUE"""),1.142)</f>
        <v>1.142</v>
      </c>
      <c r="E452" s="32">
        <f>IFERROR(__xludf.DUMMYFUNCTION("""COMPUTED_VALUE"""),43322.75)</f>
        <v>43322.75</v>
      </c>
      <c r="F452" s="22">
        <f>IFERROR(__xludf.DUMMYFUNCTION("""COMPUTED_VALUE"""),3426.28)</f>
        <v>3426.28</v>
      </c>
    </row>
    <row r="453" ht="15.75" customHeight="1">
      <c r="A453" s="32">
        <f>IFERROR(__xludf.DUMMYFUNCTION("""COMPUTED_VALUE"""),43350.66666666667)</f>
        <v>43350.66667</v>
      </c>
      <c r="B453" s="22">
        <f>IFERROR(__xludf.DUMMYFUNCTION("""COMPUTED_VALUE"""),2871.68)</f>
        <v>2871.68</v>
      </c>
      <c r="C453" s="32">
        <f>IFERROR(__xludf.DUMMYFUNCTION("""COMPUTED_VALUE"""),43330.99861111111)</f>
        <v>43330.99861</v>
      </c>
      <c r="D453" s="22">
        <f>IFERROR(__xludf.DUMMYFUNCTION("""COMPUTED_VALUE"""),1.1446)</f>
        <v>1.1446</v>
      </c>
      <c r="E453" s="32">
        <f>IFERROR(__xludf.DUMMYFUNCTION("""COMPUTED_VALUE"""),43329.75)</f>
        <v>43329.75</v>
      </c>
      <c r="F453" s="22">
        <f>IFERROR(__xludf.DUMMYFUNCTION("""COMPUTED_VALUE"""),3372.94)</f>
        <v>3372.94</v>
      </c>
    </row>
    <row r="454" ht="15.75" customHeight="1">
      <c r="A454" s="32">
        <f>IFERROR(__xludf.DUMMYFUNCTION("""COMPUTED_VALUE"""),43357.66666666667)</f>
        <v>43357.66667</v>
      </c>
      <c r="B454" s="22">
        <f>IFERROR(__xludf.DUMMYFUNCTION("""COMPUTED_VALUE"""),2904.98)</f>
        <v>2904.98</v>
      </c>
      <c r="C454" s="32">
        <f>IFERROR(__xludf.DUMMYFUNCTION("""COMPUTED_VALUE"""),43337.99861111111)</f>
        <v>43337.99861</v>
      </c>
      <c r="D454" s="22">
        <f>IFERROR(__xludf.DUMMYFUNCTION("""COMPUTED_VALUE"""),1.1631)</f>
        <v>1.1631</v>
      </c>
      <c r="E454" s="32">
        <f>IFERROR(__xludf.DUMMYFUNCTION("""COMPUTED_VALUE"""),43336.75)</f>
        <v>43336.75</v>
      </c>
      <c r="F454" s="22">
        <f>IFERROR(__xludf.DUMMYFUNCTION("""COMPUTED_VALUE"""),3427.44)</f>
        <v>3427.44</v>
      </c>
    </row>
    <row r="455" ht="15.75" customHeight="1">
      <c r="A455" s="32">
        <f>IFERROR(__xludf.DUMMYFUNCTION("""COMPUTED_VALUE"""),43364.66666666667)</f>
        <v>43364.66667</v>
      </c>
      <c r="B455" s="22">
        <f>IFERROR(__xludf.DUMMYFUNCTION("""COMPUTED_VALUE"""),2929.67)</f>
        <v>2929.67</v>
      </c>
      <c r="C455" s="32">
        <f>IFERROR(__xludf.DUMMYFUNCTION("""COMPUTED_VALUE"""),43344.99861111111)</f>
        <v>43344.99861</v>
      </c>
      <c r="D455" s="22">
        <f>IFERROR(__xludf.DUMMYFUNCTION("""COMPUTED_VALUE"""),1.162)</f>
        <v>1.162</v>
      </c>
      <c r="E455" s="32">
        <f>IFERROR(__xludf.DUMMYFUNCTION("""COMPUTED_VALUE"""),43343.75)</f>
        <v>43343.75</v>
      </c>
      <c r="F455" s="22">
        <f>IFERROR(__xludf.DUMMYFUNCTION("""COMPUTED_VALUE"""),3392.9)</f>
        <v>3392.9</v>
      </c>
    </row>
    <row r="456" ht="15.75" customHeight="1">
      <c r="A456" s="32">
        <f>IFERROR(__xludf.DUMMYFUNCTION("""COMPUTED_VALUE"""),43371.66666666667)</f>
        <v>43371.66667</v>
      </c>
      <c r="B456" s="22">
        <f>IFERROR(__xludf.DUMMYFUNCTION("""COMPUTED_VALUE"""),2913.98)</f>
        <v>2913.98</v>
      </c>
      <c r="C456" s="32">
        <f>IFERROR(__xludf.DUMMYFUNCTION("""COMPUTED_VALUE"""),43351.99861111111)</f>
        <v>43351.99861</v>
      </c>
      <c r="D456" s="22">
        <f>IFERROR(__xludf.DUMMYFUNCTION("""COMPUTED_VALUE"""),1.157)</f>
        <v>1.157</v>
      </c>
      <c r="E456" s="32">
        <f>IFERROR(__xludf.DUMMYFUNCTION("""COMPUTED_VALUE"""),43350.75)</f>
        <v>43350.75</v>
      </c>
      <c r="F456" s="22">
        <f>IFERROR(__xludf.DUMMYFUNCTION("""COMPUTED_VALUE"""),3293.36)</f>
        <v>3293.36</v>
      </c>
    </row>
    <row r="457" ht="15.75" customHeight="1">
      <c r="A457" s="32">
        <f>IFERROR(__xludf.DUMMYFUNCTION("""COMPUTED_VALUE"""),43378.66666666667)</f>
        <v>43378.66667</v>
      </c>
      <c r="B457" s="22">
        <f>IFERROR(__xludf.DUMMYFUNCTION("""COMPUTED_VALUE"""),2885.57)</f>
        <v>2885.57</v>
      </c>
      <c r="C457" s="32">
        <f>IFERROR(__xludf.DUMMYFUNCTION("""COMPUTED_VALUE"""),43358.99861111111)</f>
        <v>43358.99861</v>
      </c>
      <c r="D457" s="22">
        <f>IFERROR(__xludf.DUMMYFUNCTION("""COMPUTED_VALUE"""),1.1632)</f>
        <v>1.1632</v>
      </c>
      <c r="E457" s="32">
        <f>IFERROR(__xludf.DUMMYFUNCTION("""COMPUTED_VALUE"""),43357.75)</f>
        <v>43357.75</v>
      </c>
      <c r="F457" s="22">
        <f>IFERROR(__xludf.DUMMYFUNCTION("""COMPUTED_VALUE"""),3344.63)</f>
        <v>3344.63</v>
      </c>
    </row>
    <row r="458" ht="15.75" customHeight="1">
      <c r="A458" s="32">
        <f>IFERROR(__xludf.DUMMYFUNCTION("""COMPUTED_VALUE"""),43385.66666666667)</f>
        <v>43385.66667</v>
      </c>
      <c r="B458" s="22">
        <f>IFERROR(__xludf.DUMMYFUNCTION("""COMPUTED_VALUE"""),2767.13)</f>
        <v>2767.13</v>
      </c>
      <c r="C458" s="32">
        <f>IFERROR(__xludf.DUMMYFUNCTION("""COMPUTED_VALUE"""),43365.99861111111)</f>
        <v>43365.99861</v>
      </c>
      <c r="D458" s="22">
        <f>IFERROR(__xludf.DUMMYFUNCTION("""COMPUTED_VALUE"""),1.1768)</f>
        <v>1.1768</v>
      </c>
      <c r="E458" s="32">
        <f>IFERROR(__xludf.DUMMYFUNCTION("""COMPUTED_VALUE"""),43364.75)</f>
        <v>43364.75</v>
      </c>
      <c r="F458" s="22">
        <f>IFERROR(__xludf.DUMMYFUNCTION("""COMPUTED_VALUE"""),3430.81)</f>
        <v>3430.81</v>
      </c>
    </row>
    <row r="459" ht="15.75" customHeight="1">
      <c r="A459" s="32">
        <f>IFERROR(__xludf.DUMMYFUNCTION("""COMPUTED_VALUE"""),43392.66666666667)</f>
        <v>43392.66667</v>
      </c>
      <c r="B459" s="22">
        <f>IFERROR(__xludf.DUMMYFUNCTION("""COMPUTED_VALUE"""),2767.78)</f>
        <v>2767.78</v>
      </c>
      <c r="C459" s="32">
        <f>IFERROR(__xludf.DUMMYFUNCTION("""COMPUTED_VALUE"""),43372.99861111111)</f>
        <v>43372.99861</v>
      </c>
      <c r="D459" s="22">
        <f>IFERROR(__xludf.DUMMYFUNCTION("""COMPUTED_VALUE"""),1.162)</f>
        <v>1.162</v>
      </c>
      <c r="E459" s="32">
        <f>IFERROR(__xludf.DUMMYFUNCTION("""COMPUTED_VALUE"""),43371.75)</f>
        <v>43371.75</v>
      </c>
      <c r="F459" s="22">
        <f>IFERROR(__xludf.DUMMYFUNCTION("""COMPUTED_VALUE"""),3399.2)</f>
        <v>3399.2</v>
      </c>
    </row>
    <row r="460" ht="15.75" customHeight="1">
      <c r="A460" s="32">
        <f>IFERROR(__xludf.DUMMYFUNCTION("""COMPUTED_VALUE"""),43399.66666666667)</f>
        <v>43399.66667</v>
      </c>
      <c r="B460" s="22">
        <f>IFERROR(__xludf.DUMMYFUNCTION("""COMPUTED_VALUE"""),2658.69)</f>
        <v>2658.69</v>
      </c>
      <c r="C460" s="32">
        <f>IFERROR(__xludf.DUMMYFUNCTION("""COMPUTED_VALUE"""),43379.99861111111)</f>
        <v>43379.99861</v>
      </c>
      <c r="D460" s="22">
        <f>IFERROR(__xludf.DUMMYFUNCTION("""COMPUTED_VALUE"""),1.1531)</f>
        <v>1.1531</v>
      </c>
      <c r="E460" s="32">
        <f>IFERROR(__xludf.DUMMYFUNCTION("""COMPUTED_VALUE"""),43378.75)</f>
        <v>43378.75</v>
      </c>
      <c r="F460" s="22">
        <f>IFERROR(__xludf.DUMMYFUNCTION("""COMPUTED_VALUE"""),3345.51)</f>
        <v>3345.51</v>
      </c>
    </row>
    <row r="461" ht="15.75" customHeight="1">
      <c r="A461" s="32">
        <f>IFERROR(__xludf.DUMMYFUNCTION("""COMPUTED_VALUE"""),43406.66666666667)</f>
        <v>43406.66667</v>
      </c>
      <c r="B461" s="22">
        <f>IFERROR(__xludf.DUMMYFUNCTION("""COMPUTED_VALUE"""),2723.06)</f>
        <v>2723.06</v>
      </c>
      <c r="C461" s="32">
        <f>IFERROR(__xludf.DUMMYFUNCTION("""COMPUTED_VALUE"""),43386.99861111111)</f>
        <v>43386.99861</v>
      </c>
      <c r="D461" s="22">
        <f>IFERROR(__xludf.DUMMYFUNCTION("""COMPUTED_VALUE"""),1.1573)</f>
        <v>1.1573</v>
      </c>
      <c r="E461" s="32">
        <f>IFERROR(__xludf.DUMMYFUNCTION("""COMPUTED_VALUE"""),43385.75)</f>
        <v>43385.75</v>
      </c>
      <c r="F461" s="22">
        <f>IFERROR(__xludf.DUMMYFUNCTION("""COMPUTED_VALUE"""),3194.41)</f>
        <v>3194.41</v>
      </c>
    </row>
    <row r="462" ht="15.75" customHeight="1">
      <c r="A462" s="32">
        <f>IFERROR(__xludf.DUMMYFUNCTION("""COMPUTED_VALUE"""),43413.66666666667)</f>
        <v>43413.66667</v>
      </c>
      <c r="B462" s="22">
        <f>IFERROR(__xludf.DUMMYFUNCTION("""COMPUTED_VALUE"""),2781.01)</f>
        <v>2781.01</v>
      </c>
      <c r="C462" s="32">
        <f>IFERROR(__xludf.DUMMYFUNCTION("""COMPUTED_VALUE"""),43393.99861111111)</f>
        <v>43393.99861</v>
      </c>
      <c r="D462" s="22">
        <f>IFERROR(__xludf.DUMMYFUNCTION("""COMPUTED_VALUE"""),1.1528)</f>
        <v>1.1528</v>
      </c>
      <c r="E462" s="32">
        <f>IFERROR(__xludf.DUMMYFUNCTION("""COMPUTED_VALUE"""),43392.75)</f>
        <v>43392.75</v>
      </c>
      <c r="F462" s="22">
        <f>IFERROR(__xludf.DUMMYFUNCTION("""COMPUTED_VALUE"""),3210.82)</f>
        <v>3210.82</v>
      </c>
    </row>
    <row r="463" ht="15.75" customHeight="1">
      <c r="A463" s="32">
        <f>IFERROR(__xludf.DUMMYFUNCTION("""COMPUTED_VALUE"""),43420.66666666667)</f>
        <v>43420.66667</v>
      </c>
      <c r="B463" s="22">
        <f>IFERROR(__xludf.DUMMYFUNCTION("""COMPUTED_VALUE"""),2736.27)</f>
        <v>2736.27</v>
      </c>
      <c r="C463" s="32">
        <f>IFERROR(__xludf.DUMMYFUNCTION("""COMPUTED_VALUE"""),43400.99861111111)</f>
        <v>43400.99861</v>
      </c>
      <c r="D463" s="22">
        <f>IFERROR(__xludf.DUMMYFUNCTION("""COMPUTED_VALUE"""),1.1423)</f>
        <v>1.1423</v>
      </c>
      <c r="E463" s="32">
        <f>IFERROR(__xludf.DUMMYFUNCTION("""COMPUTED_VALUE"""),43399.75)</f>
        <v>43399.75</v>
      </c>
      <c r="F463" s="22">
        <f>IFERROR(__xludf.DUMMYFUNCTION("""COMPUTED_VALUE"""),3134.89)</f>
        <v>3134.89</v>
      </c>
    </row>
    <row r="464" ht="15.75" customHeight="1">
      <c r="A464" s="32">
        <f>IFERROR(__xludf.DUMMYFUNCTION("""COMPUTED_VALUE"""),43427.54166666667)</f>
        <v>43427.54167</v>
      </c>
      <c r="B464" s="22">
        <f>IFERROR(__xludf.DUMMYFUNCTION("""COMPUTED_VALUE"""),2632.56)</f>
        <v>2632.56</v>
      </c>
      <c r="C464" s="32">
        <f>IFERROR(__xludf.DUMMYFUNCTION("""COMPUTED_VALUE"""),43407.99861111111)</f>
        <v>43407.99861</v>
      </c>
      <c r="D464" s="22">
        <f>IFERROR(__xludf.DUMMYFUNCTION("""COMPUTED_VALUE"""),1.1386)</f>
        <v>1.1386</v>
      </c>
      <c r="E464" s="32">
        <f>IFERROR(__xludf.DUMMYFUNCTION("""COMPUTED_VALUE"""),43406.75)</f>
        <v>43406.75</v>
      </c>
      <c r="F464" s="22">
        <f>IFERROR(__xludf.DUMMYFUNCTION("""COMPUTED_VALUE"""),3214.41)</f>
        <v>3214.41</v>
      </c>
    </row>
    <row r="465" ht="15.75" customHeight="1">
      <c r="A465" s="32">
        <f>IFERROR(__xludf.DUMMYFUNCTION("""COMPUTED_VALUE"""),43434.66666666667)</f>
        <v>43434.66667</v>
      </c>
      <c r="B465" s="22">
        <f>IFERROR(__xludf.DUMMYFUNCTION("""COMPUTED_VALUE"""),2760.17)</f>
        <v>2760.17</v>
      </c>
      <c r="C465" s="32">
        <f>IFERROR(__xludf.DUMMYFUNCTION("""COMPUTED_VALUE"""),43414.99861111111)</f>
        <v>43414.99861</v>
      </c>
      <c r="D465" s="22">
        <f>IFERROR(__xludf.DUMMYFUNCTION("""COMPUTED_VALUE"""),1.1336)</f>
        <v>1.1336</v>
      </c>
      <c r="E465" s="32">
        <f>IFERROR(__xludf.DUMMYFUNCTION("""COMPUTED_VALUE"""),43413.75)</f>
        <v>43413.75</v>
      </c>
      <c r="F465" s="22">
        <f>IFERROR(__xludf.DUMMYFUNCTION("""COMPUTED_VALUE"""),3229.49)</f>
        <v>3229.49</v>
      </c>
    </row>
    <row r="466" ht="15.75" customHeight="1">
      <c r="A466" s="32">
        <f>IFERROR(__xludf.DUMMYFUNCTION("""COMPUTED_VALUE"""),43441.66666666667)</f>
        <v>43441.66667</v>
      </c>
      <c r="B466" s="22">
        <f>IFERROR(__xludf.DUMMYFUNCTION("""COMPUTED_VALUE"""),2633.08)</f>
        <v>2633.08</v>
      </c>
      <c r="C466" s="32">
        <f>IFERROR(__xludf.DUMMYFUNCTION("""COMPUTED_VALUE"""),43421.99861111111)</f>
        <v>43421.99861</v>
      </c>
      <c r="D466" s="22">
        <f>IFERROR(__xludf.DUMMYFUNCTION("""COMPUTED_VALUE"""),1.1419)</f>
        <v>1.1419</v>
      </c>
      <c r="E466" s="32">
        <f>IFERROR(__xludf.DUMMYFUNCTION("""COMPUTED_VALUE"""),43420.75)</f>
        <v>43420.75</v>
      </c>
      <c r="F466" s="22">
        <f>IFERROR(__xludf.DUMMYFUNCTION("""COMPUTED_VALUE"""),3180.74)</f>
        <v>3180.74</v>
      </c>
    </row>
    <row r="467" ht="15.75" customHeight="1">
      <c r="A467" s="32">
        <f>IFERROR(__xludf.DUMMYFUNCTION("""COMPUTED_VALUE"""),43448.66666666667)</f>
        <v>43448.66667</v>
      </c>
      <c r="B467" s="22">
        <f>IFERROR(__xludf.DUMMYFUNCTION("""COMPUTED_VALUE"""),2599.95)</f>
        <v>2599.95</v>
      </c>
      <c r="C467" s="32">
        <f>IFERROR(__xludf.DUMMYFUNCTION("""COMPUTED_VALUE"""),43428.99861111111)</f>
        <v>43428.99861</v>
      </c>
      <c r="D467" s="22">
        <f>IFERROR(__xludf.DUMMYFUNCTION("""COMPUTED_VALUE"""),1.1343)</f>
        <v>1.1343</v>
      </c>
      <c r="E467" s="32">
        <f>IFERROR(__xludf.DUMMYFUNCTION("""COMPUTED_VALUE"""),43427.75)</f>
        <v>43427.75</v>
      </c>
      <c r="F467" s="22">
        <f>IFERROR(__xludf.DUMMYFUNCTION("""COMPUTED_VALUE"""),3137.21)</f>
        <v>3137.21</v>
      </c>
    </row>
    <row r="468" ht="15.75" customHeight="1">
      <c r="A468" s="32">
        <f>IFERROR(__xludf.DUMMYFUNCTION("""COMPUTED_VALUE"""),43455.66666666667)</f>
        <v>43455.66667</v>
      </c>
      <c r="B468" s="22">
        <f>IFERROR(__xludf.DUMMYFUNCTION("""COMPUTED_VALUE"""),2416.62)</f>
        <v>2416.62</v>
      </c>
      <c r="C468" s="32">
        <f>IFERROR(__xludf.DUMMYFUNCTION("""COMPUTED_VALUE"""),43435.99861111111)</f>
        <v>43435.99861</v>
      </c>
      <c r="D468" s="22">
        <f>IFERROR(__xludf.DUMMYFUNCTION("""COMPUTED_VALUE"""),1.132)</f>
        <v>1.132</v>
      </c>
      <c r="E468" s="32">
        <f>IFERROR(__xludf.DUMMYFUNCTION("""COMPUTED_VALUE"""),43434.75)</f>
        <v>43434.75</v>
      </c>
      <c r="F468" s="22">
        <f>IFERROR(__xludf.DUMMYFUNCTION("""COMPUTED_VALUE"""),3173.13)</f>
        <v>3173.13</v>
      </c>
    </row>
    <row r="469" ht="15.75" customHeight="1">
      <c r="A469" s="32">
        <f>IFERROR(__xludf.DUMMYFUNCTION("""COMPUTED_VALUE"""),43462.66666666667)</f>
        <v>43462.66667</v>
      </c>
      <c r="B469" s="22">
        <f>IFERROR(__xludf.DUMMYFUNCTION("""COMPUTED_VALUE"""),2485.74)</f>
        <v>2485.74</v>
      </c>
      <c r="C469" s="32">
        <f>IFERROR(__xludf.DUMMYFUNCTION("""COMPUTED_VALUE"""),43442.99861111111)</f>
        <v>43442.99861</v>
      </c>
      <c r="D469" s="22">
        <f>IFERROR(__xludf.DUMMYFUNCTION("""COMPUTED_VALUE"""),1.1378)</f>
        <v>1.1378</v>
      </c>
      <c r="E469" s="32">
        <f>IFERROR(__xludf.DUMMYFUNCTION("""COMPUTED_VALUE"""),43441.75)</f>
        <v>43441.75</v>
      </c>
      <c r="F469" s="22">
        <f>IFERROR(__xludf.DUMMYFUNCTION("""COMPUTED_VALUE"""),3058.53)</f>
        <v>3058.53</v>
      </c>
    </row>
    <row r="470" ht="15.75" customHeight="1">
      <c r="A470" s="32">
        <f>IFERROR(__xludf.DUMMYFUNCTION("""COMPUTED_VALUE"""),43469.66666666667)</f>
        <v>43469.66667</v>
      </c>
      <c r="B470" s="22">
        <f>IFERROR(__xludf.DUMMYFUNCTION("""COMPUTED_VALUE"""),2531.94)</f>
        <v>2531.94</v>
      </c>
      <c r="C470" s="32">
        <f>IFERROR(__xludf.DUMMYFUNCTION("""COMPUTED_VALUE"""),43449.99861111111)</f>
        <v>43449.99861</v>
      </c>
      <c r="D470" s="22">
        <f>IFERROR(__xludf.DUMMYFUNCTION("""COMPUTED_VALUE"""),1.1309)</f>
        <v>1.1309</v>
      </c>
      <c r="E470" s="32">
        <f>IFERROR(__xludf.DUMMYFUNCTION("""COMPUTED_VALUE"""),43448.75)</f>
        <v>43448.75</v>
      </c>
      <c r="F470" s="22">
        <f>IFERROR(__xludf.DUMMYFUNCTION("""COMPUTED_VALUE"""),3092.6)</f>
        <v>3092.6</v>
      </c>
    </row>
    <row r="471" ht="15.75" customHeight="1">
      <c r="A471" s="32">
        <f>IFERROR(__xludf.DUMMYFUNCTION("""COMPUTED_VALUE"""),43476.66666666667)</f>
        <v>43476.66667</v>
      </c>
      <c r="B471" s="22">
        <f>IFERROR(__xludf.DUMMYFUNCTION("""COMPUTED_VALUE"""),2596.26)</f>
        <v>2596.26</v>
      </c>
      <c r="C471" s="32">
        <f>IFERROR(__xludf.DUMMYFUNCTION("""COMPUTED_VALUE"""),43456.99861111111)</f>
        <v>43456.99861</v>
      </c>
      <c r="D471" s="22">
        <f>IFERROR(__xludf.DUMMYFUNCTION("""COMPUTED_VALUE"""),1.1382)</f>
        <v>1.1382</v>
      </c>
      <c r="E471" s="32">
        <f>IFERROR(__xludf.DUMMYFUNCTION("""COMPUTED_VALUE"""),43455.75)</f>
        <v>43455.75</v>
      </c>
      <c r="F471" s="22">
        <f>IFERROR(__xludf.DUMMYFUNCTION("""COMPUTED_VALUE"""),3000.61)</f>
        <v>3000.61</v>
      </c>
    </row>
    <row r="472" ht="15.75" customHeight="1">
      <c r="A472" s="32">
        <f>IFERROR(__xludf.DUMMYFUNCTION("""COMPUTED_VALUE"""),43483.66666666667)</f>
        <v>43483.66667</v>
      </c>
      <c r="B472" s="22">
        <f>IFERROR(__xludf.DUMMYFUNCTION("""COMPUTED_VALUE"""),2670.71)</f>
        <v>2670.71</v>
      </c>
      <c r="C472" s="32">
        <f>IFERROR(__xludf.DUMMYFUNCTION("""COMPUTED_VALUE"""),43463.99861111111)</f>
        <v>43463.99861</v>
      </c>
      <c r="D472" s="22">
        <f>IFERROR(__xludf.DUMMYFUNCTION("""COMPUTED_VALUE"""),1.1439)</f>
        <v>1.1439</v>
      </c>
      <c r="E472" s="32">
        <f>IFERROR(__xludf.DUMMYFUNCTION("""COMPUTED_VALUE"""),43462.75)</f>
        <v>43462.75</v>
      </c>
      <c r="F472" s="22">
        <f>IFERROR(__xludf.DUMMYFUNCTION("""COMPUTED_VALUE"""),2986.53)</f>
        <v>2986.53</v>
      </c>
    </row>
    <row r="473" ht="15.75" customHeight="1">
      <c r="A473" s="32">
        <f>IFERROR(__xludf.DUMMYFUNCTION("""COMPUTED_VALUE"""),43490.66666666667)</f>
        <v>43490.66667</v>
      </c>
      <c r="B473" s="22">
        <f>IFERROR(__xludf.DUMMYFUNCTION("""COMPUTED_VALUE"""),2664.76)</f>
        <v>2664.76</v>
      </c>
      <c r="C473" s="32">
        <f>IFERROR(__xludf.DUMMYFUNCTION("""COMPUTED_VALUE"""),43470.99861111111)</f>
        <v>43470.99861</v>
      </c>
      <c r="D473" s="22">
        <f>IFERROR(__xludf.DUMMYFUNCTION("""COMPUTED_VALUE"""),1.1394)</f>
        <v>1.1394</v>
      </c>
      <c r="E473" s="32">
        <f>IFERROR(__xludf.DUMMYFUNCTION("""COMPUTED_VALUE"""),43469.75)</f>
        <v>43469.75</v>
      </c>
      <c r="F473" s="22">
        <f>IFERROR(__xludf.DUMMYFUNCTION("""COMPUTED_VALUE"""),3041.85)</f>
        <v>3041.85</v>
      </c>
    </row>
    <row r="474" ht="15.75" customHeight="1">
      <c r="A474" s="32">
        <f>IFERROR(__xludf.DUMMYFUNCTION("""COMPUTED_VALUE"""),43497.66666666667)</f>
        <v>43497.66667</v>
      </c>
      <c r="B474" s="22">
        <f>IFERROR(__xludf.DUMMYFUNCTION("""COMPUTED_VALUE"""),2706.53)</f>
        <v>2706.53</v>
      </c>
      <c r="C474" s="32">
        <f>IFERROR(__xludf.DUMMYFUNCTION("""COMPUTED_VALUE"""),43477.99861111111)</f>
        <v>43477.99861</v>
      </c>
      <c r="D474" s="22">
        <f>IFERROR(__xludf.DUMMYFUNCTION("""COMPUTED_VALUE"""),1.1468)</f>
        <v>1.1468</v>
      </c>
      <c r="E474" s="32">
        <f>IFERROR(__xludf.DUMMYFUNCTION("""COMPUTED_VALUE"""),43476.75)</f>
        <v>43476.75</v>
      </c>
      <c r="F474" s="22">
        <f>IFERROR(__xludf.DUMMYFUNCTION("""COMPUTED_VALUE"""),3070.04)</f>
        <v>3070.04</v>
      </c>
    </row>
    <row r="475" ht="15.75" customHeight="1">
      <c r="A475" s="32">
        <f>IFERROR(__xludf.DUMMYFUNCTION("""COMPUTED_VALUE"""),43504.66666666667)</f>
        <v>43504.66667</v>
      </c>
      <c r="B475" s="22">
        <f>IFERROR(__xludf.DUMMYFUNCTION("""COMPUTED_VALUE"""),2707.88)</f>
        <v>2707.88</v>
      </c>
      <c r="C475" s="32">
        <f>IFERROR(__xludf.DUMMYFUNCTION("""COMPUTED_VALUE"""),43484.99861111111)</f>
        <v>43484.99861</v>
      </c>
      <c r="D475" s="22">
        <f>IFERROR(__xludf.DUMMYFUNCTION("""COMPUTED_VALUE"""),1.1363)</f>
        <v>1.1363</v>
      </c>
      <c r="E475" s="32">
        <f>IFERROR(__xludf.DUMMYFUNCTION("""COMPUTED_VALUE"""),43483.75)</f>
        <v>43483.75</v>
      </c>
      <c r="F475" s="22">
        <f>IFERROR(__xludf.DUMMYFUNCTION("""COMPUTED_VALUE"""),3134.92)</f>
        <v>3134.92</v>
      </c>
    </row>
    <row r="476" ht="15.75" customHeight="1">
      <c r="A476" s="32">
        <f>IFERROR(__xludf.DUMMYFUNCTION("""COMPUTED_VALUE"""),43511.66666666667)</f>
        <v>43511.66667</v>
      </c>
      <c r="B476" s="22">
        <f>IFERROR(__xludf.DUMMYFUNCTION("""COMPUTED_VALUE"""),2775.6)</f>
        <v>2775.6</v>
      </c>
      <c r="C476" s="32">
        <f>IFERROR(__xludf.DUMMYFUNCTION("""COMPUTED_VALUE"""),43491.99861111111)</f>
        <v>43491.99861</v>
      </c>
      <c r="D476" s="22">
        <f>IFERROR(__xludf.DUMMYFUNCTION("""COMPUTED_VALUE"""),1.1406)</f>
        <v>1.1406</v>
      </c>
      <c r="E476" s="32">
        <f>IFERROR(__xludf.DUMMYFUNCTION("""COMPUTED_VALUE"""),43490.75)</f>
        <v>43490.75</v>
      </c>
      <c r="F476" s="22">
        <f>IFERROR(__xludf.DUMMYFUNCTION("""COMPUTED_VALUE"""),3163.24)</f>
        <v>3163.24</v>
      </c>
    </row>
    <row r="477" ht="15.75" customHeight="1">
      <c r="A477" s="32">
        <f>IFERROR(__xludf.DUMMYFUNCTION("""COMPUTED_VALUE"""),43518.66666666667)</f>
        <v>43518.66667</v>
      </c>
      <c r="B477" s="22">
        <f>IFERROR(__xludf.DUMMYFUNCTION("""COMPUTED_VALUE"""),2792.67)</f>
        <v>2792.67</v>
      </c>
      <c r="C477" s="32">
        <f>IFERROR(__xludf.DUMMYFUNCTION("""COMPUTED_VALUE"""),43498.99861111111)</f>
        <v>43498.99861</v>
      </c>
      <c r="D477" s="22">
        <f>IFERROR(__xludf.DUMMYFUNCTION("""COMPUTED_VALUE"""),1.1456)</f>
        <v>1.1456</v>
      </c>
      <c r="E477" s="32">
        <f>IFERROR(__xludf.DUMMYFUNCTION("""COMPUTED_VALUE"""),43497.75)</f>
        <v>43497.75</v>
      </c>
      <c r="F477" s="22">
        <f>IFERROR(__xludf.DUMMYFUNCTION("""COMPUTED_VALUE"""),3171.12)</f>
        <v>3171.12</v>
      </c>
    </row>
    <row r="478" ht="15.75" customHeight="1">
      <c r="A478" s="32">
        <f>IFERROR(__xludf.DUMMYFUNCTION("""COMPUTED_VALUE"""),43525.66666666667)</f>
        <v>43525.66667</v>
      </c>
      <c r="B478" s="22">
        <f>IFERROR(__xludf.DUMMYFUNCTION("""COMPUTED_VALUE"""),2803.69)</f>
        <v>2803.69</v>
      </c>
      <c r="C478" s="32">
        <f>IFERROR(__xludf.DUMMYFUNCTION("""COMPUTED_VALUE"""),43505.99861111111)</f>
        <v>43505.99861</v>
      </c>
      <c r="D478" s="22">
        <f>IFERROR(__xludf.DUMMYFUNCTION("""COMPUTED_VALUE"""),1.1329)</f>
        <v>1.1329</v>
      </c>
      <c r="E478" s="32">
        <f>IFERROR(__xludf.DUMMYFUNCTION("""COMPUTED_VALUE"""),43504.75)</f>
        <v>43504.75</v>
      </c>
      <c r="F478" s="22">
        <f>IFERROR(__xludf.DUMMYFUNCTION("""COMPUTED_VALUE"""),3135.62)</f>
        <v>3135.62</v>
      </c>
    </row>
    <row r="479" ht="15.75" customHeight="1">
      <c r="A479" s="32">
        <f>IFERROR(__xludf.DUMMYFUNCTION("""COMPUTED_VALUE"""),43532.66666666667)</f>
        <v>43532.66667</v>
      </c>
      <c r="B479" s="22">
        <f>IFERROR(__xludf.DUMMYFUNCTION("""COMPUTED_VALUE"""),2743.07)</f>
        <v>2743.07</v>
      </c>
      <c r="C479" s="32">
        <f>IFERROR(__xludf.DUMMYFUNCTION("""COMPUTED_VALUE"""),43512.99861111111)</f>
        <v>43512.99861</v>
      </c>
      <c r="D479" s="22">
        <f>IFERROR(__xludf.DUMMYFUNCTION("""COMPUTED_VALUE"""),1.1295)</f>
        <v>1.1295</v>
      </c>
      <c r="E479" s="32">
        <f>IFERROR(__xludf.DUMMYFUNCTION("""COMPUTED_VALUE"""),43511.75)</f>
        <v>43511.75</v>
      </c>
      <c r="F479" s="22">
        <f>IFERROR(__xludf.DUMMYFUNCTION("""COMPUTED_VALUE"""),3241.25)</f>
        <v>3241.25</v>
      </c>
    </row>
    <row r="480" ht="15.75" customHeight="1">
      <c r="A480" s="32">
        <f>IFERROR(__xludf.DUMMYFUNCTION("""COMPUTED_VALUE"""),43539.66666666667)</f>
        <v>43539.66667</v>
      </c>
      <c r="B480" s="22">
        <f>IFERROR(__xludf.DUMMYFUNCTION("""COMPUTED_VALUE"""),2822.48)</f>
        <v>2822.48</v>
      </c>
      <c r="C480" s="32">
        <f>IFERROR(__xludf.DUMMYFUNCTION("""COMPUTED_VALUE"""),43519.99861111111)</f>
        <v>43519.99861</v>
      </c>
      <c r="D480" s="22">
        <f>IFERROR(__xludf.DUMMYFUNCTION("""COMPUTED_VALUE"""),1.134)</f>
        <v>1.134</v>
      </c>
      <c r="E480" s="32">
        <f>IFERROR(__xludf.DUMMYFUNCTION("""COMPUTED_VALUE"""),43518.75)</f>
        <v>43518.75</v>
      </c>
      <c r="F480" s="22">
        <f>IFERROR(__xludf.DUMMYFUNCTION("""COMPUTED_VALUE"""),3270.55)</f>
        <v>3270.55</v>
      </c>
    </row>
    <row r="481" ht="15.75" customHeight="1">
      <c r="A481" s="32">
        <f>IFERROR(__xludf.DUMMYFUNCTION("""COMPUTED_VALUE"""),43546.66666666667)</f>
        <v>43546.66667</v>
      </c>
      <c r="B481" s="22">
        <f>IFERROR(__xludf.DUMMYFUNCTION("""COMPUTED_VALUE"""),2800.71)</f>
        <v>2800.71</v>
      </c>
      <c r="C481" s="32">
        <f>IFERROR(__xludf.DUMMYFUNCTION("""COMPUTED_VALUE"""),43526.99861111111)</f>
        <v>43526.99861</v>
      </c>
      <c r="D481" s="22">
        <f>IFERROR(__xludf.DUMMYFUNCTION("""COMPUTED_VALUE"""),1.1376)</f>
        <v>1.1376</v>
      </c>
      <c r="E481" s="32">
        <f>IFERROR(__xludf.DUMMYFUNCTION("""COMPUTED_VALUE"""),43525.75)</f>
        <v>43525.75</v>
      </c>
      <c r="F481" s="22">
        <f>IFERROR(__xludf.DUMMYFUNCTION("""COMPUTED_VALUE"""),3312.1)</f>
        <v>3312.1</v>
      </c>
    </row>
    <row r="482" ht="15.75" customHeight="1">
      <c r="A482" s="32">
        <f>IFERROR(__xludf.DUMMYFUNCTION("""COMPUTED_VALUE"""),43553.66666666667)</f>
        <v>43553.66667</v>
      </c>
      <c r="B482" s="22">
        <f>IFERROR(__xludf.DUMMYFUNCTION("""COMPUTED_VALUE"""),2834.4)</f>
        <v>2834.4</v>
      </c>
      <c r="C482" s="32">
        <f>IFERROR(__xludf.DUMMYFUNCTION("""COMPUTED_VALUE"""),43533.99861111111)</f>
        <v>43533.99861</v>
      </c>
      <c r="D482" s="22">
        <f>IFERROR(__xludf.DUMMYFUNCTION("""COMPUTED_VALUE"""),1.1238)</f>
        <v>1.1238</v>
      </c>
      <c r="E482" s="32">
        <f>IFERROR(__xludf.DUMMYFUNCTION("""COMPUTED_VALUE"""),43532.75)</f>
        <v>43532.75</v>
      </c>
      <c r="F482" s="22">
        <f>IFERROR(__xludf.DUMMYFUNCTION("""COMPUTED_VALUE"""),3283.6)</f>
        <v>3283.6</v>
      </c>
    </row>
    <row r="483" ht="15.75" customHeight="1">
      <c r="A483" s="32">
        <f>IFERROR(__xludf.DUMMYFUNCTION("""COMPUTED_VALUE"""),43560.66666666667)</f>
        <v>43560.66667</v>
      </c>
      <c r="B483" s="22">
        <f>IFERROR(__xludf.DUMMYFUNCTION("""COMPUTED_VALUE"""),2892.74)</f>
        <v>2892.74</v>
      </c>
      <c r="C483" s="32">
        <f>IFERROR(__xludf.DUMMYFUNCTION("""COMPUTED_VALUE"""),43540.99861111111)</f>
        <v>43540.99861</v>
      </c>
      <c r="D483" s="22">
        <f>IFERROR(__xludf.DUMMYFUNCTION("""COMPUTED_VALUE"""),1.1342)</f>
        <v>1.1342</v>
      </c>
      <c r="E483" s="32">
        <f>IFERROR(__xludf.DUMMYFUNCTION("""COMPUTED_VALUE"""),43539.75)</f>
        <v>43539.75</v>
      </c>
      <c r="F483" s="22">
        <f>IFERROR(__xludf.DUMMYFUNCTION("""COMPUTED_VALUE"""),3386.08)</f>
        <v>3386.08</v>
      </c>
    </row>
    <row r="484" ht="15.75" customHeight="1">
      <c r="A484" s="32">
        <f>IFERROR(__xludf.DUMMYFUNCTION("""COMPUTED_VALUE"""),43567.66666666667)</f>
        <v>43567.66667</v>
      </c>
      <c r="B484" s="22">
        <f>IFERROR(__xludf.DUMMYFUNCTION("""COMPUTED_VALUE"""),2907.41)</f>
        <v>2907.41</v>
      </c>
      <c r="C484" s="32">
        <f>IFERROR(__xludf.DUMMYFUNCTION("""COMPUTED_VALUE"""),43547.99861111111)</f>
        <v>43547.99861</v>
      </c>
      <c r="D484" s="22">
        <f>IFERROR(__xludf.DUMMYFUNCTION("""COMPUTED_VALUE"""),1.1313)</f>
        <v>1.1313</v>
      </c>
      <c r="E484" s="32">
        <f>IFERROR(__xludf.DUMMYFUNCTION("""COMPUTED_VALUE"""),43546.75)</f>
        <v>43546.75</v>
      </c>
      <c r="F484" s="22">
        <f>IFERROR(__xludf.DUMMYFUNCTION("""COMPUTED_VALUE"""),3305.73)</f>
        <v>3305.73</v>
      </c>
    </row>
    <row r="485" ht="15.75" customHeight="1">
      <c r="A485" s="32">
        <f>IFERROR(__xludf.DUMMYFUNCTION("""COMPUTED_VALUE"""),43573.66666666667)</f>
        <v>43573.66667</v>
      </c>
      <c r="B485" s="22">
        <f>IFERROR(__xludf.DUMMYFUNCTION("""COMPUTED_VALUE"""),2905.03)</f>
        <v>2905.03</v>
      </c>
      <c r="C485" s="32">
        <f>IFERROR(__xludf.DUMMYFUNCTION("""COMPUTED_VALUE"""),43554.99861111111)</f>
        <v>43554.99861</v>
      </c>
      <c r="D485" s="22">
        <f>IFERROR(__xludf.DUMMYFUNCTION("""COMPUTED_VALUE"""),1.123)</f>
        <v>1.123</v>
      </c>
      <c r="E485" s="32">
        <f>IFERROR(__xludf.DUMMYFUNCTION("""COMPUTED_VALUE"""),43553.75)</f>
        <v>43553.75</v>
      </c>
      <c r="F485" s="22">
        <f>IFERROR(__xludf.DUMMYFUNCTION("""COMPUTED_VALUE"""),3351.71)</f>
        <v>3351.71</v>
      </c>
    </row>
    <row r="486" ht="15.75" customHeight="1">
      <c r="A486" s="32">
        <f>IFERROR(__xludf.DUMMYFUNCTION("""COMPUTED_VALUE"""),43581.66666666667)</f>
        <v>43581.66667</v>
      </c>
      <c r="B486" s="22">
        <f>IFERROR(__xludf.DUMMYFUNCTION("""COMPUTED_VALUE"""),2939.88)</f>
        <v>2939.88</v>
      </c>
      <c r="C486" s="32">
        <f>IFERROR(__xludf.DUMMYFUNCTION("""COMPUTED_VALUE"""),43561.99861111111)</f>
        <v>43561.99861</v>
      </c>
      <c r="D486" s="22">
        <f>IFERROR(__xludf.DUMMYFUNCTION("""COMPUTED_VALUE"""),1.123)</f>
        <v>1.123</v>
      </c>
      <c r="E486" s="32">
        <f>IFERROR(__xludf.DUMMYFUNCTION("""COMPUTED_VALUE"""),43560.75)</f>
        <v>43560.75</v>
      </c>
      <c r="F486" s="22">
        <f>IFERROR(__xludf.DUMMYFUNCTION("""COMPUTED_VALUE"""),3447.47)</f>
        <v>3447.47</v>
      </c>
    </row>
    <row r="487" ht="15.75" customHeight="1">
      <c r="A487" s="32">
        <f>IFERROR(__xludf.DUMMYFUNCTION("""COMPUTED_VALUE"""),43588.66666666667)</f>
        <v>43588.66667</v>
      </c>
      <c r="B487" s="22">
        <f>IFERROR(__xludf.DUMMYFUNCTION("""COMPUTED_VALUE"""),2945.64)</f>
        <v>2945.64</v>
      </c>
      <c r="C487" s="32">
        <f>IFERROR(__xludf.DUMMYFUNCTION("""COMPUTED_VALUE"""),43568.99861111111)</f>
        <v>43568.99861</v>
      </c>
      <c r="D487" s="22">
        <f>IFERROR(__xludf.DUMMYFUNCTION("""COMPUTED_VALUE"""),1.1318)</f>
        <v>1.1318</v>
      </c>
      <c r="E487" s="32">
        <f>IFERROR(__xludf.DUMMYFUNCTION("""COMPUTED_VALUE"""),43567.75)</f>
        <v>43567.75</v>
      </c>
      <c r="F487" s="22">
        <f>IFERROR(__xludf.DUMMYFUNCTION("""COMPUTED_VALUE"""),3447.83)</f>
        <v>3447.83</v>
      </c>
    </row>
    <row r="488" ht="15.75" customHeight="1">
      <c r="A488" s="32">
        <f>IFERROR(__xludf.DUMMYFUNCTION("""COMPUTED_VALUE"""),43595.66666666667)</f>
        <v>43595.66667</v>
      </c>
      <c r="B488" s="22">
        <f>IFERROR(__xludf.DUMMYFUNCTION("""COMPUTED_VALUE"""),2881.4)</f>
        <v>2881.4</v>
      </c>
      <c r="C488" s="32">
        <f>IFERROR(__xludf.DUMMYFUNCTION("""COMPUTED_VALUE"""),43575.99861111111)</f>
        <v>43575.99861</v>
      </c>
      <c r="D488" s="22">
        <f>IFERROR(__xludf.DUMMYFUNCTION("""COMPUTED_VALUE"""),1.1244)</f>
        <v>1.1244</v>
      </c>
      <c r="E488" s="32">
        <f>IFERROR(__xludf.DUMMYFUNCTION("""COMPUTED_VALUE"""),43573.75)</f>
        <v>43573.75</v>
      </c>
      <c r="F488" s="22">
        <f>IFERROR(__xludf.DUMMYFUNCTION("""COMPUTED_VALUE"""),3499.23)</f>
        <v>3499.23</v>
      </c>
    </row>
    <row r="489" ht="15.75" customHeight="1">
      <c r="A489" s="32">
        <f>IFERROR(__xludf.DUMMYFUNCTION("""COMPUTED_VALUE"""),43602.66666666667)</f>
        <v>43602.66667</v>
      </c>
      <c r="B489" s="22">
        <f>IFERROR(__xludf.DUMMYFUNCTION("""COMPUTED_VALUE"""),2859.53)</f>
        <v>2859.53</v>
      </c>
      <c r="C489" s="32">
        <f>IFERROR(__xludf.DUMMYFUNCTION("""COMPUTED_VALUE"""),43582.99861111111)</f>
        <v>43582.99861</v>
      </c>
      <c r="D489" s="22">
        <f>IFERROR(__xludf.DUMMYFUNCTION("""COMPUTED_VALUE"""),1.1138)</f>
        <v>1.1138</v>
      </c>
      <c r="E489" s="32">
        <f>IFERROR(__xludf.DUMMYFUNCTION("""COMPUTED_VALUE"""),43581.75)</f>
        <v>43581.75</v>
      </c>
      <c r="F489" s="22">
        <f>IFERROR(__xludf.DUMMYFUNCTION("""COMPUTED_VALUE"""),3500.41)</f>
        <v>3500.41</v>
      </c>
    </row>
    <row r="490" ht="15.75" customHeight="1">
      <c r="A490" s="32">
        <f>IFERROR(__xludf.DUMMYFUNCTION("""COMPUTED_VALUE"""),43609.66666666667)</f>
        <v>43609.66667</v>
      </c>
      <c r="B490" s="22">
        <f>IFERROR(__xludf.DUMMYFUNCTION("""COMPUTED_VALUE"""),2826.06)</f>
        <v>2826.06</v>
      </c>
      <c r="C490" s="32">
        <f>IFERROR(__xludf.DUMMYFUNCTION("""COMPUTED_VALUE"""),43589.99861111111)</f>
        <v>43589.99861</v>
      </c>
      <c r="D490" s="22">
        <f>IFERROR(__xludf.DUMMYFUNCTION("""COMPUTED_VALUE"""),1.121)</f>
        <v>1.121</v>
      </c>
      <c r="E490" s="32">
        <f>IFERROR(__xludf.DUMMYFUNCTION("""COMPUTED_VALUE"""),43588.75)</f>
        <v>43588.75</v>
      </c>
      <c r="F490" s="22">
        <f>IFERROR(__xludf.DUMMYFUNCTION("""COMPUTED_VALUE"""),3502.48)</f>
        <v>3502.48</v>
      </c>
    </row>
    <row r="491" ht="15.75" customHeight="1">
      <c r="A491" s="32">
        <f>IFERROR(__xludf.DUMMYFUNCTION("""COMPUTED_VALUE"""),43616.66666666667)</f>
        <v>43616.66667</v>
      </c>
      <c r="B491" s="22">
        <f>IFERROR(__xludf.DUMMYFUNCTION("""COMPUTED_VALUE"""),2752.06)</f>
        <v>2752.06</v>
      </c>
      <c r="C491" s="32">
        <f>IFERROR(__xludf.DUMMYFUNCTION("""COMPUTED_VALUE"""),43596.99861111111)</f>
        <v>43596.99861</v>
      </c>
      <c r="D491" s="22">
        <f>IFERROR(__xludf.DUMMYFUNCTION("""COMPUTED_VALUE"""),1.123)</f>
        <v>1.123</v>
      </c>
      <c r="E491" s="32">
        <f>IFERROR(__xludf.DUMMYFUNCTION("""COMPUTED_VALUE"""),43595.75)</f>
        <v>43595.75</v>
      </c>
      <c r="F491" s="22">
        <f>IFERROR(__xludf.DUMMYFUNCTION("""COMPUTED_VALUE"""),3361.05)</f>
        <v>3361.05</v>
      </c>
    </row>
    <row r="492" ht="15.75" customHeight="1">
      <c r="A492" s="32">
        <f>IFERROR(__xludf.DUMMYFUNCTION("""COMPUTED_VALUE"""),43623.66666666667)</f>
        <v>43623.66667</v>
      </c>
      <c r="B492" s="22">
        <f>IFERROR(__xludf.DUMMYFUNCTION("""COMPUTED_VALUE"""),2873.34)</f>
        <v>2873.34</v>
      </c>
      <c r="C492" s="32">
        <f>IFERROR(__xludf.DUMMYFUNCTION("""COMPUTED_VALUE"""),43603.99861111111)</f>
        <v>43603.99861</v>
      </c>
      <c r="D492" s="22">
        <f>IFERROR(__xludf.DUMMYFUNCTION("""COMPUTED_VALUE"""),1.1165)</f>
        <v>1.1165</v>
      </c>
      <c r="E492" s="32">
        <f>IFERROR(__xludf.DUMMYFUNCTION("""COMPUTED_VALUE"""),43602.75)</f>
        <v>43602.75</v>
      </c>
      <c r="F492" s="22">
        <f>IFERROR(__xludf.DUMMYFUNCTION("""COMPUTED_VALUE"""),3425.64)</f>
        <v>3425.64</v>
      </c>
    </row>
    <row r="493" ht="15.75" customHeight="1">
      <c r="A493" s="32">
        <f>IFERROR(__xludf.DUMMYFUNCTION("""COMPUTED_VALUE"""),43630.66666666667)</f>
        <v>43630.66667</v>
      </c>
      <c r="B493" s="22">
        <f>IFERROR(__xludf.DUMMYFUNCTION("""COMPUTED_VALUE"""),2886.98)</f>
        <v>2886.98</v>
      </c>
      <c r="C493" s="32">
        <f>IFERROR(__xludf.DUMMYFUNCTION("""COMPUTED_VALUE"""),43610.99861111111)</f>
        <v>43610.99861</v>
      </c>
      <c r="D493" s="22">
        <f>IFERROR(__xludf.DUMMYFUNCTION("""COMPUTED_VALUE"""),1.1202)</f>
        <v>1.1202</v>
      </c>
      <c r="E493" s="32">
        <f>IFERROR(__xludf.DUMMYFUNCTION("""COMPUTED_VALUE"""),43609.75)</f>
        <v>43609.75</v>
      </c>
      <c r="F493" s="22">
        <f>IFERROR(__xludf.DUMMYFUNCTION("""COMPUTED_VALUE"""),3350.7)</f>
        <v>3350.7</v>
      </c>
    </row>
    <row r="494" ht="15.75" customHeight="1">
      <c r="A494" s="32">
        <f>IFERROR(__xludf.DUMMYFUNCTION("""COMPUTED_VALUE"""),43637.66666666667)</f>
        <v>43637.66667</v>
      </c>
      <c r="B494" s="22">
        <f>IFERROR(__xludf.DUMMYFUNCTION("""COMPUTED_VALUE"""),2950.46)</f>
        <v>2950.46</v>
      </c>
      <c r="C494" s="32">
        <f>IFERROR(__xludf.DUMMYFUNCTION("""COMPUTED_VALUE"""),43617.99861111111)</f>
        <v>43617.99861</v>
      </c>
      <c r="D494" s="22">
        <f>IFERROR(__xludf.DUMMYFUNCTION("""COMPUTED_VALUE"""),1.1196)</f>
        <v>1.1196</v>
      </c>
      <c r="E494" s="32">
        <f>IFERROR(__xludf.DUMMYFUNCTION("""COMPUTED_VALUE"""),43616.75)</f>
        <v>43616.75</v>
      </c>
      <c r="F494" s="22">
        <f>IFERROR(__xludf.DUMMYFUNCTION("""COMPUTED_VALUE"""),3280.43)</f>
        <v>3280.43</v>
      </c>
    </row>
    <row r="495" ht="15.75" customHeight="1">
      <c r="A495" s="32">
        <f>IFERROR(__xludf.DUMMYFUNCTION("""COMPUTED_VALUE"""),43644.66666666667)</f>
        <v>43644.66667</v>
      </c>
      <c r="B495" s="22">
        <f>IFERROR(__xludf.DUMMYFUNCTION("""COMPUTED_VALUE"""),2941.76)</f>
        <v>2941.76</v>
      </c>
      <c r="C495" s="32">
        <f>IFERROR(__xludf.DUMMYFUNCTION("""COMPUTED_VALUE"""),43624.99861111111)</f>
        <v>43624.99861</v>
      </c>
      <c r="D495" s="22">
        <f>IFERROR(__xludf.DUMMYFUNCTION("""COMPUTED_VALUE"""),1.1339)</f>
        <v>1.1339</v>
      </c>
      <c r="E495" s="32">
        <f>IFERROR(__xludf.DUMMYFUNCTION("""COMPUTED_VALUE"""),43623.75)</f>
        <v>43623.75</v>
      </c>
      <c r="F495" s="22">
        <f>IFERROR(__xludf.DUMMYFUNCTION("""COMPUTED_VALUE"""),3378.38)</f>
        <v>3378.38</v>
      </c>
    </row>
    <row r="496" ht="15.75" customHeight="1">
      <c r="A496" s="32">
        <f>IFERROR(__xludf.DUMMYFUNCTION("""COMPUTED_VALUE"""),43651.66666666667)</f>
        <v>43651.66667</v>
      </c>
      <c r="B496" s="22">
        <f>IFERROR(__xludf.DUMMYFUNCTION("""COMPUTED_VALUE"""),2990.41)</f>
        <v>2990.41</v>
      </c>
      <c r="C496" s="32">
        <f>IFERROR(__xludf.DUMMYFUNCTION("""COMPUTED_VALUE"""),43631.99861111111)</f>
        <v>43631.99861</v>
      </c>
      <c r="D496" s="22">
        <f>IFERROR(__xludf.DUMMYFUNCTION("""COMPUTED_VALUE"""),1.1234)</f>
        <v>1.1234</v>
      </c>
      <c r="E496" s="32">
        <f>IFERROR(__xludf.DUMMYFUNCTION("""COMPUTED_VALUE"""),43630.75)</f>
        <v>43630.75</v>
      </c>
      <c r="F496" s="22">
        <f>IFERROR(__xludf.DUMMYFUNCTION("""COMPUTED_VALUE"""),3379.19)</f>
        <v>3379.19</v>
      </c>
    </row>
    <row r="497" ht="15.75" customHeight="1">
      <c r="A497" s="32">
        <f>IFERROR(__xludf.DUMMYFUNCTION("""COMPUTED_VALUE"""),43658.66666666667)</f>
        <v>43658.66667</v>
      </c>
      <c r="B497" s="22">
        <f>IFERROR(__xludf.DUMMYFUNCTION("""COMPUTED_VALUE"""),3013.77)</f>
        <v>3013.77</v>
      </c>
      <c r="C497" s="32">
        <f>IFERROR(__xludf.DUMMYFUNCTION("""COMPUTED_VALUE"""),43638.99861111111)</f>
        <v>43638.99861</v>
      </c>
      <c r="D497" s="22">
        <f>IFERROR(__xludf.DUMMYFUNCTION("""COMPUTED_VALUE"""),1.1393)</f>
        <v>1.1393</v>
      </c>
      <c r="E497" s="32">
        <f>IFERROR(__xludf.DUMMYFUNCTION("""COMPUTED_VALUE"""),43637.75)</f>
        <v>43637.75</v>
      </c>
      <c r="F497" s="22">
        <f>IFERROR(__xludf.DUMMYFUNCTION("""COMPUTED_VALUE"""),3466.92)</f>
        <v>3466.92</v>
      </c>
    </row>
    <row r="498" ht="15.75" customHeight="1">
      <c r="A498" s="32">
        <f>IFERROR(__xludf.DUMMYFUNCTION("""COMPUTED_VALUE"""),43665.66666666667)</f>
        <v>43665.66667</v>
      </c>
      <c r="B498" s="22">
        <f>IFERROR(__xludf.DUMMYFUNCTION("""COMPUTED_VALUE"""),2976.61)</f>
        <v>2976.61</v>
      </c>
      <c r="C498" s="32">
        <f>IFERROR(__xludf.DUMMYFUNCTION("""COMPUTED_VALUE"""),43645.99861111111)</f>
        <v>43645.99861</v>
      </c>
      <c r="D498" s="22">
        <f>IFERROR(__xludf.DUMMYFUNCTION("""COMPUTED_VALUE"""),1.1387)</f>
        <v>1.1387</v>
      </c>
      <c r="E498" s="32">
        <f>IFERROR(__xludf.DUMMYFUNCTION("""COMPUTED_VALUE"""),43644.75)</f>
        <v>43644.75</v>
      </c>
      <c r="F498" s="22">
        <f>IFERROR(__xludf.DUMMYFUNCTION("""COMPUTED_VALUE"""),3473.69)</f>
        <v>3473.69</v>
      </c>
    </row>
    <row r="499" ht="15.75" customHeight="1">
      <c r="A499" s="32">
        <f>IFERROR(__xludf.DUMMYFUNCTION("""COMPUTED_VALUE"""),43672.66666666667)</f>
        <v>43672.66667</v>
      </c>
      <c r="B499" s="22">
        <f>IFERROR(__xludf.DUMMYFUNCTION("""COMPUTED_VALUE"""),3025.86)</f>
        <v>3025.86</v>
      </c>
      <c r="C499" s="32">
        <f>IFERROR(__xludf.DUMMYFUNCTION("""COMPUTED_VALUE"""),43652.99861111111)</f>
        <v>43652.99861</v>
      </c>
      <c r="D499" s="22">
        <f>IFERROR(__xludf.DUMMYFUNCTION("""COMPUTED_VALUE"""),1.123)</f>
        <v>1.123</v>
      </c>
      <c r="E499" s="32">
        <f>IFERROR(__xludf.DUMMYFUNCTION("""COMPUTED_VALUE"""),43651.75)</f>
        <v>43651.75</v>
      </c>
      <c r="F499" s="22">
        <f>IFERROR(__xludf.DUMMYFUNCTION("""COMPUTED_VALUE"""),3527.98)</f>
        <v>3527.98</v>
      </c>
    </row>
    <row r="500" ht="15.75" customHeight="1">
      <c r="A500" s="32">
        <f>IFERROR(__xludf.DUMMYFUNCTION("""COMPUTED_VALUE"""),43679.66666666667)</f>
        <v>43679.66667</v>
      </c>
      <c r="B500" s="22">
        <f>IFERROR(__xludf.DUMMYFUNCTION("""COMPUTED_VALUE"""),2932.05)</f>
        <v>2932.05</v>
      </c>
      <c r="C500" s="32">
        <f>IFERROR(__xludf.DUMMYFUNCTION("""COMPUTED_VALUE"""),43659.99861111111)</f>
        <v>43659.99861</v>
      </c>
      <c r="D500" s="22">
        <f>IFERROR(__xludf.DUMMYFUNCTION("""COMPUTED_VALUE"""),1.1285)</f>
        <v>1.1285</v>
      </c>
      <c r="E500" s="32">
        <f>IFERROR(__xludf.DUMMYFUNCTION("""COMPUTED_VALUE"""),43658.75)</f>
        <v>43658.75</v>
      </c>
      <c r="F500" s="22">
        <f>IFERROR(__xludf.DUMMYFUNCTION("""COMPUTED_VALUE"""),3497.63)</f>
        <v>3497.63</v>
      </c>
    </row>
    <row r="501" ht="15.75" customHeight="1">
      <c r="A501" s="32">
        <f>IFERROR(__xludf.DUMMYFUNCTION("""COMPUTED_VALUE"""),43686.66666666667)</f>
        <v>43686.66667</v>
      </c>
      <c r="B501" s="22">
        <f>IFERROR(__xludf.DUMMYFUNCTION("""COMPUTED_VALUE"""),2918.65)</f>
        <v>2918.65</v>
      </c>
      <c r="C501" s="32">
        <f>IFERROR(__xludf.DUMMYFUNCTION("""COMPUTED_VALUE"""),43666.99861111111)</f>
        <v>43666.99861</v>
      </c>
      <c r="D501" s="22">
        <f>IFERROR(__xludf.DUMMYFUNCTION("""COMPUTED_VALUE"""),1.1226)</f>
        <v>1.1226</v>
      </c>
      <c r="E501" s="32">
        <f>IFERROR(__xludf.DUMMYFUNCTION("""COMPUTED_VALUE"""),43665.75)</f>
        <v>43665.75</v>
      </c>
      <c r="F501" s="22">
        <f>IFERROR(__xludf.DUMMYFUNCTION("""COMPUTED_VALUE"""),3480.18)</f>
        <v>3480.18</v>
      </c>
    </row>
    <row r="502" ht="15.75" customHeight="1">
      <c r="A502" s="32">
        <f>IFERROR(__xludf.DUMMYFUNCTION("""COMPUTED_VALUE"""),43693.66666666667)</f>
        <v>43693.66667</v>
      </c>
      <c r="B502" s="22">
        <f>IFERROR(__xludf.DUMMYFUNCTION("""COMPUTED_VALUE"""),2888.68)</f>
        <v>2888.68</v>
      </c>
      <c r="C502" s="32">
        <f>IFERROR(__xludf.DUMMYFUNCTION("""COMPUTED_VALUE"""),43673.99861111111)</f>
        <v>43673.99861</v>
      </c>
      <c r="D502" s="22">
        <f>IFERROR(__xludf.DUMMYFUNCTION("""COMPUTED_VALUE"""),1.1145)</f>
        <v>1.1145</v>
      </c>
      <c r="E502" s="32">
        <f>IFERROR(__xludf.DUMMYFUNCTION("""COMPUTED_VALUE"""),43672.75)</f>
        <v>43672.75</v>
      </c>
      <c r="F502" s="22">
        <f>IFERROR(__xludf.DUMMYFUNCTION("""COMPUTED_VALUE"""),3524.47)</f>
        <v>3524.47</v>
      </c>
    </row>
    <row r="503" ht="15.75" customHeight="1">
      <c r="A503" s="32">
        <f>IFERROR(__xludf.DUMMYFUNCTION("""COMPUTED_VALUE"""),43700.66666666667)</f>
        <v>43700.66667</v>
      </c>
      <c r="B503" s="22">
        <f>IFERROR(__xludf.DUMMYFUNCTION("""COMPUTED_VALUE"""),2847.11)</f>
        <v>2847.11</v>
      </c>
      <c r="C503" s="32">
        <f>IFERROR(__xludf.DUMMYFUNCTION("""COMPUTED_VALUE"""),43680.99861111111)</f>
        <v>43680.99861</v>
      </c>
      <c r="D503" s="22">
        <f>IFERROR(__xludf.DUMMYFUNCTION("""COMPUTED_VALUE"""),1.1127)</f>
        <v>1.1127</v>
      </c>
      <c r="E503" s="32">
        <f>IFERROR(__xludf.DUMMYFUNCTION("""COMPUTED_VALUE"""),43679.75)</f>
        <v>43679.75</v>
      </c>
      <c r="F503" s="22">
        <f>IFERROR(__xludf.DUMMYFUNCTION("""COMPUTED_VALUE"""),3376.12)</f>
        <v>3376.12</v>
      </c>
    </row>
    <row r="504" ht="15.75" customHeight="1">
      <c r="A504" s="32">
        <f>IFERROR(__xludf.DUMMYFUNCTION("""COMPUTED_VALUE"""),43707.66666666667)</f>
        <v>43707.66667</v>
      </c>
      <c r="B504" s="22">
        <f>IFERROR(__xludf.DUMMYFUNCTION("""COMPUTED_VALUE"""),2926.46)</f>
        <v>2926.46</v>
      </c>
      <c r="C504" s="32">
        <f>IFERROR(__xludf.DUMMYFUNCTION("""COMPUTED_VALUE"""),43687.99861111111)</f>
        <v>43687.99861</v>
      </c>
      <c r="D504" s="22">
        <f>IFERROR(__xludf.DUMMYFUNCTION("""COMPUTED_VALUE"""),1.1309)</f>
        <v>1.1309</v>
      </c>
      <c r="E504" s="32">
        <f>IFERROR(__xludf.DUMMYFUNCTION("""COMPUTED_VALUE"""),43686.75)</f>
        <v>43686.75</v>
      </c>
      <c r="F504" s="22">
        <f>IFERROR(__xludf.DUMMYFUNCTION("""COMPUTED_VALUE"""),3333.74)</f>
        <v>3333.74</v>
      </c>
    </row>
    <row r="505" ht="15.75" customHeight="1">
      <c r="A505" s="32">
        <f>IFERROR(__xludf.DUMMYFUNCTION("""COMPUTED_VALUE"""),43714.66666666667)</f>
        <v>43714.66667</v>
      </c>
      <c r="B505" s="22">
        <f>IFERROR(__xludf.DUMMYFUNCTION("""COMPUTED_VALUE"""),2978.71)</f>
        <v>2978.71</v>
      </c>
      <c r="C505" s="32">
        <f>IFERROR(__xludf.DUMMYFUNCTION("""COMPUTED_VALUE"""),43694.99861111111)</f>
        <v>43694.99861</v>
      </c>
      <c r="D505" s="22">
        <f>IFERROR(__xludf.DUMMYFUNCTION("""COMPUTED_VALUE"""),1.1093)</f>
        <v>1.1093</v>
      </c>
      <c r="E505" s="32">
        <f>IFERROR(__xludf.DUMMYFUNCTION("""COMPUTED_VALUE"""),43693.75)</f>
        <v>43693.75</v>
      </c>
      <c r="F505" s="22">
        <f>IFERROR(__xludf.DUMMYFUNCTION("""COMPUTED_VALUE"""),3329.08)</f>
        <v>3329.08</v>
      </c>
    </row>
    <row r="506" ht="15.75" customHeight="1">
      <c r="A506" s="32">
        <f>IFERROR(__xludf.DUMMYFUNCTION("""COMPUTED_VALUE"""),43721.66666666667)</f>
        <v>43721.66667</v>
      </c>
      <c r="B506" s="22">
        <f>IFERROR(__xludf.DUMMYFUNCTION("""COMPUTED_VALUE"""),3007.39)</f>
        <v>3007.39</v>
      </c>
      <c r="C506" s="32">
        <f>IFERROR(__xludf.DUMMYFUNCTION("""COMPUTED_VALUE"""),43701.99861111111)</f>
        <v>43701.99861</v>
      </c>
      <c r="D506" s="22">
        <f>IFERROR(__xludf.DUMMYFUNCTION("""COMPUTED_VALUE"""),1.1233)</f>
        <v>1.1233</v>
      </c>
      <c r="E506" s="32">
        <f>IFERROR(__xludf.DUMMYFUNCTION("""COMPUTED_VALUE"""),43700.75)</f>
        <v>43700.75</v>
      </c>
      <c r="F506" s="22">
        <f>IFERROR(__xludf.DUMMYFUNCTION("""COMPUTED_VALUE"""),3334.25)</f>
        <v>3334.25</v>
      </c>
    </row>
    <row r="507" ht="15.75" customHeight="1">
      <c r="A507" s="32">
        <f>IFERROR(__xludf.DUMMYFUNCTION("""COMPUTED_VALUE"""),43728.66666666667)</f>
        <v>43728.66667</v>
      </c>
      <c r="B507" s="22">
        <f>IFERROR(__xludf.DUMMYFUNCTION("""COMPUTED_VALUE"""),2992.07)</f>
        <v>2992.07</v>
      </c>
      <c r="C507" s="32">
        <f>IFERROR(__xludf.DUMMYFUNCTION("""COMPUTED_VALUE"""),43708.99861111111)</f>
        <v>43708.99861</v>
      </c>
      <c r="D507" s="22">
        <f>IFERROR(__xludf.DUMMYFUNCTION("""COMPUTED_VALUE"""),1.1009)</f>
        <v>1.1009</v>
      </c>
      <c r="E507" s="32">
        <f>IFERROR(__xludf.DUMMYFUNCTION("""COMPUTED_VALUE"""),43707.75)</f>
        <v>43707.75</v>
      </c>
      <c r="F507" s="22">
        <f>IFERROR(__xludf.DUMMYFUNCTION("""COMPUTED_VALUE"""),3426.76)</f>
        <v>3426.76</v>
      </c>
    </row>
    <row r="508" ht="15.75" customHeight="1">
      <c r="A508" s="32">
        <f>IFERROR(__xludf.DUMMYFUNCTION("""COMPUTED_VALUE"""),43735.66666666667)</f>
        <v>43735.66667</v>
      </c>
      <c r="B508" s="22">
        <f>IFERROR(__xludf.DUMMYFUNCTION("""COMPUTED_VALUE"""),2961.79)</f>
        <v>2961.79</v>
      </c>
      <c r="C508" s="32">
        <f>IFERROR(__xludf.DUMMYFUNCTION("""COMPUTED_VALUE"""),43715.99861111111)</f>
        <v>43715.99861</v>
      </c>
      <c r="D508" s="22">
        <f>IFERROR(__xludf.DUMMYFUNCTION("""COMPUTED_VALUE"""),1.1125)</f>
        <v>1.1125</v>
      </c>
      <c r="E508" s="32">
        <f>IFERROR(__xludf.DUMMYFUNCTION("""COMPUTED_VALUE"""),43714.75)</f>
        <v>43714.75</v>
      </c>
      <c r="F508" s="22">
        <f>IFERROR(__xludf.DUMMYFUNCTION("""COMPUTED_VALUE"""),3495.19)</f>
        <v>3495.19</v>
      </c>
    </row>
    <row r="509" ht="15.75" customHeight="1">
      <c r="A509" s="32">
        <f>IFERROR(__xludf.DUMMYFUNCTION("""COMPUTED_VALUE"""),43742.66666666667)</f>
        <v>43742.66667</v>
      </c>
      <c r="B509" s="22">
        <f>IFERROR(__xludf.DUMMYFUNCTION("""COMPUTED_VALUE"""),2952.01)</f>
        <v>2952.01</v>
      </c>
      <c r="C509" s="32">
        <f>IFERROR(__xludf.DUMMYFUNCTION("""COMPUTED_VALUE"""),43722.99861111111)</f>
        <v>43722.99861</v>
      </c>
      <c r="D509" s="22">
        <f>IFERROR(__xludf.DUMMYFUNCTION("""COMPUTED_VALUE"""),1.1155)</f>
        <v>1.1155</v>
      </c>
      <c r="E509" s="32">
        <f>IFERROR(__xludf.DUMMYFUNCTION("""COMPUTED_VALUE"""),43721.75)</f>
        <v>43721.75</v>
      </c>
      <c r="F509" s="22">
        <f>IFERROR(__xludf.DUMMYFUNCTION("""COMPUTED_VALUE"""),3550.11)</f>
        <v>3550.11</v>
      </c>
    </row>
    <row r="510" ht="15.75" customHeight="1">
      <c r="A510" s="32">
        <f>IFERROR(__xludf.DUMMYFUNCTION("""COMPUTED_VALUE"""),43749.66666666667)</f>
        <v>43749.66667</v>
      </c>
      <c r="B510" s="22">
        <f>IFERROR(__xludf.DUMMYFUNCTION("""COMPUTED_VALUE"""),2970.27)</f>
        <v>2970.27</v>
      </c>
      <c r="C510" s="32">
        <f>IFERROR(__xludf.DUMMYFUNCTION("""COMPUTED_VALUE"""),43729.99861111111)</f>
        <v>43729.99861</v>
      </c>
      <c r="D510" s="22">
        <f>IFERROR(__xludf.DUMMYFUNCTION("""COMPUTED_VALUE"""),1.1014)</f>
        <v>1.1014</v>
      </c>
      <c r="E510" s="32">
        <f>IFERROR(__xludf.DUMMYFUNCTION("""COMPUTED_VALUE"""),43728.75)</f>
        <v>43728.75</v>
      </c>
      <c r="F510" s="22">
        <f>IFERROR(__xludf.DUMMYFUNCTION("""COMPUTED_VALUE"""),3571.39)</f>
        <v>3571.39</v>
      </c>
    </row>
    <row r="511" ht="15.75" customHeight="1">
      <c r="A511" s="32">
        <f>IFERROR(__xludf.DUMMYFUNCTION("""COMPUTED_VALUE"""),43756.66666666667)</f>
        <v>43756.66667</v>
      </c>
      <c r="B511" s="22">
        <f>IFERROR(__xludf.DUMMYFUNCTION("""COMPUTED_VALUE"""),2986.2)</f>
        <v>2986.2</v>
      </c>
      <c r="C511" s="32">
        <f>IFERROR(__xludf.DUMMYFUNCTION("""COMPUTED_VALUE"""),43736.99861111111)</f>
        <v>43736.99861</v>
      </c>
      <c r="D511" s="22">
        <f>IFERROR(__xludf.DUMMYFUNCTION("""COMPUTED_VALUE"""),1.0939)</f>
        <v>1.0939</v>
      </c>
      <c r="E511" s="32">
        <f>IFERROR(__xludf.DUMMYFUNCTION("""COMPUTED_VALUE"""),43735.75)</f>
        <v>43735.75</v>
      </c>
      <c r="F511" s="22">
        <f>IFERROR(__xludf.DUMMYFUNCTION("""COMPUTED_VALUE"""),3545.88)</f>
        <v>3545.88</v>
      </c>
    </row>
    <row r="512" ht="15.75" customHeight="1">
      <c r="A512" s="32">
        <f>IFERROR(__xludf.DUMMYFUNCTION("""COMPUTED_VALUE"""),43763.66666666667)</f>
        <v>43763.66667</v>
      </c>
      <c r="B512" s="22">
        <f>IFERROR(__xludf.DUMMYFUNCTION("""COMPUTED_VALUE"""),3022.55)</f>
        <v>3022.55</v>
      </c>
      <c r="C512" s="32">
        <f>IFERROR(__xludf.DUMMYFUNCTION("""COMPUTED_VALUE"""),43743.99861111111)</f>
        <v>43743.99861</v>
      </c>
      <c r="D512" s="22">
        <f>IFERROR(__xludf.DUMMYFUNCTION("""COMPUTED_VALUE"""),1.0978)</f>
        <v>1.0978</v>
      </c>
      <c r="E512" s="32">
        <f>IFERROR(__xludf.DUMMYFUNCTION("""COMPUTED_VALUE"""),43742.75)</f>
        <v>43742.75</v>
      </c>
      <c r="F512" s="22">
        <f>IFERROR(__xludf.DUMMYFUNCTION("""COMPUTED_VALUE"""),3446.71)</f>
        <v>3446.71</v>
      </c>
    </row>
    <row r="513" ht="15.75" customHeight="1">
      <c r="A513" s="32">
        <f>IFERROR(__xludf.DUMMYFUNCTION("""COMPUTED_VALUE"""),43770.66666666667)</f>
        <v>43770.66667</v>
      </c>
      <c r="B513" s="22">
        <f>IFERROR(__xludf.DUMMYFUNCTION("""COMPUTED_VALUE"""),3066.91)</f>
        <v>3066.91</v>
      </c>
      <c r="C513" s="32">
        <f>IFERROR(__xludf.DUMMYFUNCTION("""COMPUTED_VALUE"""),43750.99861111111)</f>
        <v>43750.99861</v>
      </c>
      <c r="D513" s="22">
        <f>IFERROR(__xludf.DUMMYFUNCTION("""COMPUTED_VALUE"""),1.10352)</f>
        <v>1.10352</v>
      </c>
      <c r="E513" s="32">
        <f>IFERROR(__xludf.DUMMYFUNCTION("""COMPUTED_VALUE"""),43749.75)</f>
        <v>43749.75</v>
      </c>
      <c r="F513" s="22">
        <f>IFERROR(__xludf.DUMMYFUNCTION("""COMPUTED_VALUE"""),3569.92)</f>
        <v>3569.92</v>
      </c>
    </row>
    <row r="514" ht="15.75" customHeight="1">
      <c r="A514" s="32">
        <f>IFERROR(__xludf.DUMMYFUNCTION("""COMPUTED_VALUE"""),43777.66666666667)</f>
        <v>43777.66667</v>
      </c>
      <c r="B514" s="22">
        <f>IFERROR(__xludf.DUMMYFUNCTION("""COMPUTED_VALUE"""),3093.08)</f>
        <v>3093.08</v>
      </c>
      <c r="C514" s="32">
        <f>IFERROR(__xludf.DUMMYFUNCTION("""COMPUTED_VALUE"""),43757.99861111111)</f>
        <v>43757.99861</v>
      </c>
      <c r="D514" s="22">
        <f>IFERROR(__xludf.DUMMYFUNCTION("""COMPUTED_VALUE"""),1.1183)</f>
        <v>1.1183</v>
      </c>
      <c r="E514" s="32">
        <f>IFERROR(__xludf.DUMMYFUNCTION("""COMPUTED_VALUE"""),43756.75)</f>
        <v>43756.75</v>
      </c>
      <c r="F514" s="22">
        <f>IFERROR(__xludf.DUMMYFUNCTION("""COMPUTED_VALUE"""),3579.41)</f>
        <v>3579.41</v>
      </c>
    </row>
    <row r="515" ht="15.75" customHeight="1">
      <c r="A515" s="32">
        <f>IFERROR(__xludf.DUMMYFUNCTION("""COMPUTED_VALUE"""),43784.66666666667)</f>
        <v>43784.66667</v>
      </c>
      <c r="B515" s="22">
        <f>IFERROR(__xludf.DUMMYFUNCTION("""COMPUTED_VALUE"""),3120.46)</f>
        <v>3120.46</v>
      </c>
      <c r="C515" s="32">
        <f>IFERROR(__xludf.DUMMYFUNCTION("""COMPUTED_VALUE"""),43764.99861111111)</f>
        <v>43764.99861</v>
      </c>
      <c r="D515" s="22">
        <f>IFERROR(__xludf.DUMMYFUNCTION("""COMPUTED_VALUE"""),1.1079)</f>
        <v>1.1079</v>
      </c>
      <c r="E515" s="32">
        <f>IFERROR(__xludf.DUMMYFUNCTION("""COMPUTED_VALUE"""),43763.75)</f>
        <v>43763.75</v>
      </c>
      <c r="F515" s="22">
        <f>IFERROR(__xludf.DUMMYFUNCTION("""COMPUTED_VALUE"""),3624.68)</f>
        <v>3624.68</v>
      </c>
    </row>
    <row r="516" ht="15.75" customHeight="1">
      <c r="A516" s="32">
        <f>IFERROR(__xludf.DUMMYFUNCTION("""COMPUTED_VALUE"""),43791.66666666667)</f>
        <v>43791.66667</v>
      </c>
      <c r="B516" s="22">
        <f>IFERROR(__xludf.DUMMYFUNCTION("""COMPUTED_VALUE"""),3110.29)</f>
        <v>3110.29</v>
      </c>
      <c r="C516" s="32">
        <f>IFERROR(__xludf.DUMMYFUNCTION("""COMPUTED_VALUE"""),43771.99861111111)</f>
        <v>43771.99861</v>
      </c>
      <c r="D516" s="22">
        <f>IFERROR(__xludf.DUMMYFUNCTION("""COMPUTED_VALUE"""),1.1166)</f>
        <v>1.1166</v>
      </c>
      <c r="E516" s="32">
        <f>IFERROR(__xludf.DUMMYFUNCTION("""COMPUTED_VALUE"""),43770.75)</f>
        <v>43770.75</v>
      </c>
      <c r="F516" s="22">
        <f>IFERROR(__xludf.DUMMYFUNCTION("""COMPUTED_VALUE"""),3623.74)</f>
        <v>3623.74</v>
      </c>
    </row>
    <row r="517" ht="15.75" customHeight="1">
      <c r="A517" s="32">
        <f>IFERROR(__xludf.DUMMYFUNCTION("""COMPUTED_VALUE"""),43798.54166666667)</f>
        <v>43798.54167</v>
      </c>
      <c r="B517" s="22">
        <f>IFERROR(__xludf.DUMMYFUNCTION("""COMPUTED_VALUE"""),3140.98)</f>
        <v>3140.98</v>
      </c>
      <c r="C517" s="32">
        <f>IFERROR(__xludf.DUMMYFUNCTION("""COMPUTED_VALUE"""),43778.99861111111)</f>
        <v>43778.99861</v>
      </c>
      <c r="D517" s="22">
        <f>IFERROR(__xludf.DUMMYFUNCTION("""COMPUTED_VALUE"""),1.10196)</f>
        <v>1.10196</v>
      </c>
      <c r="E517" s="32">
        <f>IFERROR(__xludf.DUMMYFUNCTION("""COMPUTED_VALUE"""),43777.75)</f>
        <v>43777.75</v>
      </c>
      <c r="F517" s="22">
        <f>IFERROR(__xludf.DUMMYFUNCTION("""COMPUTED_VALUE"""),3699.65)</f>
        <v>3699.65</v>
      </c>
    </row>
    <row r="518" ht="15.75" customHeight="1">
      <c r="A518" s="32">
        <f>IFERROR(__xludf.DUMMYFUNCTION("""COMPUTED_VALUE"""),43805.66666666667)</f>
        <v>43805.66667</v>
      </c>
      <c r="B518" s="22">
        <f>IFERROR(__xludf.DUMMYFUNCTION("""COMPUTED_VALUE"""),3145.91)</f>
        <v>3145.91</v>
      </c>
      <c r="C518" s="32">
        <f>IFERROR(__xludf.DUMMYFUNCTION("""COMPUTED_VALUE"""),43785.99861111111)</f>
        <v>43785.99861</v>
      </c>
      <c r="D518" s="22">
        <f>IFERROR(__xludf.DUMMYFUNCTION("""COMPUTED_VALUE"""),1.105)</f>
        <v>1.105</v>
      </c>
      <c r="E518" s="32">
        <f>IFERROR(__xludf.DUMMYFUNCTION("""COMPUTED_VALUE"""),43784.75)</f>
        <v>43784.75</v>
      </c>
      <c r="F518" s="22">
        <f>IFERROR(__xludf.DUMMYFUNCTION("""COMPUTED_VALUE"""),3711.61)</f>
        <v>3711.61</v>
      </c>
    </row>
    <row r="519" ht="15.75" customHeight="1">
      <c r="A519" s="32">
        <f>IFERROR(__xludf.DUMMYFUNCTION("""COMPUTED_VALUE"""),43812.66666666667)</f>
        <v>43812.66667</v>
      </c>
      <c r="B519" s="22">
        <f>IFERROR(__xludf.DUMMYFUNCTION("""COMPUTED_VALUE"""),3168.8)</f>
        <v>3168.8</v>
      </c>
      <c r="C519" s="32">
        <f>IFERROR(__xludf.DUMMYFUNCTION("""COMPUTED_VALUE"""),43792.99861111111)</f>
        <v>43792.99861</v>
      </c>
      <c r="D519" s="22">
        <f>IFERROR(__xludf.DUMMYFUNCTION("""COMPUTED_VALUE"""),1.10196)</f>
        <v>1.10196</v>
      </c>
      <c r="E519" s="32">
        <f>IFERROR(__xludf.DUMMYFUNCTION("""COMPUTED_VALUE"""),43791.75)</f>
        <v>43791.75</v>
      </c>
      <c r="F519" s="22">
        <f>IFERROR(__xludf.DUMMYFUNCTION("""COMPUTED_VALUE"""),3687.32)</f>
        <v>3687.32</v>
      </c>
    </row>
    <row r="520" ht="15.75" customHeight="1">
      <c r="A520" s="32">
        <f>IFERROR(__xludf.DUMMYFUNCTION("""COMPUTED_VALUE"""),43819.66666666667)</f>
        <v>43819.66667</v>
      </c>
      <c r="B520" s="22">
        <f>IFERROR(__xludf.DUMMYFUNCTION("""COMPUTED_VALUE"""),3221.22)</f>
        <v>3221.22</v>
      </c>
      <c r="C520" s="32">
        <f>IFERROR(__xludf.DUMMYFUNCTION("""COMPUTED_VALUE"""),43799.99861111111)</f>
        <v>43799.99861</v>
      </c>
      <c r="D520" s="22">
        <f>IFERROR(__xludf.DUMMYFUNCTION("""COMPUTED_VALUE"""),1.10196)</f>
        <v>1.10196</v>
      </c>
      <c r="E520" s="32">
        <f>IFERROR(__xludf.DUMMYFUNCTION("""COMPUTED_VALUE"""),43798.75)</f>
        <v>43798.75</v>
      </c>
      <c r="F520" s="22">
        <f>IFERROR(__xludf.DUMMYFUNCTION("""COMPUTED_VALUE"""),3703.58)</f>
        <v>3703.58</v>
      </c>
    </row>
    <row r="521" ht="15.75" customHeight="1">
      <c r="A521" s="32">
        <f>IFERROR(__xludf.DUMMYFUNCTION("""COMPUTED_VALUE"""),43826.66666666667)</f>
        <v>43826.66667</v>
      </c>
      <c r="B521" s="22">
        <f>IFERROR(__xludf.DUMMYFUNCTION("""COMPUTED_VALUE"""),3240.02)</f>
        <v>3240.02</v>
      </c>
      <c r="C521" s="32">
        <f>IFERROR(__xludf.DUMMYFUNCTION("""COMPUTED_VALUE"""),43806.99861111111)</f>
        <v>43806.99861</v>
      </c>
      <c r="D521" s="22">
        <f>IFERROR(__xludf.DUMMYFUNCTION("""COMPUTED_VALUE"""),1.10555)</f>
        <v>1.10555</v>
      </c>
      <c r="E521" s="32">
        <f>IFERROR(__xludf.DUMMYFUNCTION("""COMPUTED_VALUE"""),43805.75)</f>
        <v>43805.75</v>
      </c>
      <c r="F521" s="22">
        <f>IFERROR(__xludf.DUMMYFUNCTION("""COMPUTED_VALUE"""),3692.34)</f>
        <v>3692.34</v>
      </c>
    </row>
    <row r="522" ht="15.75" customHeight="1">
      <c r="A522" s="32">
        <f>IFERROR(__xludf.DUMMYFUNCTION("""COMPUTED_VALUE"""),43833.66666666667)</f>
        <v>43833.66667</v>
      </c>
      <c r="B522" s="22">
        <f>IFERROR(__xludf.DUMMYFUNCTION("""COMPUTED_VALUE"""),3234.85)</f>
        <v>3234.85</v>
      </c>
      <c r="C522" s="32">
        <f>IFERROR(__xludf.DUMMYFUNCTION("""COMPUTED_VALUE"""),43813.99861111111)</f>
        <v>43813.99861</v>
      </c>
      <c r="D522" s="22">
        <f>IFERROR(__xludf.DUMMYFUNCTION("""COMPUTED_VALUE"""),1.1117)</f>
        <v>1.1117</v>
      </c>
      <c r="E522" s="32">
        <f>IFERROR(__xludf.DUMMYFUNCTION("""COMPUTED_VALUE"""),43812.75)</f>
        <v>43812.75</v>
      </c>
      <c r="F522" s="22">
        <f>IFERROR(__xludf.DUMMYFUNCTION("""COMPUTED_VALUE"""),3731.07)</f>
        <v>3731.07</v>
      </c>
    </row>
    <row r="523" ht="15.75" customHeight="1">
      <c r="A523" s="32">
        <f>IFERROR(__xludf.DUMMYFUNCTION("""COMPUTED_VALUE"""),43840.66666666667)</f>
        <v>43840.66667</v>
      </c>
      <c r="B523" s="22">
        <f>IFERROR(__xludf.DUMMYFUNCTION("""COMPUTED_VALUE"""),3265.35)</f>
        <v>3265.35</v>
      </c>
      <c r="C523" s="32">
        <f>IFERROR(__xludf.DUMMYFUNCTION("""COMPUTED_VALUE"""),43820.99861111111)</f>
        <v>43820.99861</v>
      </c>
      <c r="D523" s="22">
        <f>IFERROR(__xludf.DUMMYFUNCTION("""COMPUTED_VALUE"""),1.10765)</f>
        <v>1.10765</v>
      </c>
      <c r="E523" s="32">
        <f>IFERROR(__xludf.DUMMYFUNCTION("""COMPUTED_VALUE"""),43819.75)</f>
        <v>43819.75</v>
      </c>
      <c r="F523" s="22">
        <f>IFERROR(__xludf.DUMMYFUNCTION("""COMPUTED_VALUE"""),3776.56)</f>
        <v>3776.56</v>
      </c>
    </row>
    <row r="524" ht="15.75" customHeight="1">
      <c r="A524" s="32">
        <f>IFERROR(__xludf.DUMMYFUNCTION("""COMPUTED_VALUE"""),43847.66666666667)</f>
        <v>43847.66667</v>
      </c>
      <c r="B524" s="22">
        <f>IFERROR(__xludf.DUMMYFUNCTION("""COMPUTED_VALUE"""),3329.62)</f>
        <v>3329.62</v>
      </c>
      <c r="C524" s="32">
        <f>IFERROR(__xludf.DUMMYFUNCTION("""COMPUTED_VALUE"""),43827.99861111111)</f>
        <v>43827.99861</v>
      </c>
      <c r="D524" s="22">
        <f>IFERROR(__xludf.DUMMYFUNCTION("""COMPUTED_VALUE"""),1.1177)</f>
        <v>1.1177</v>
      </c>
      <c r="E524" s="32">
        <f>IFERROR(__xludf.DUMMYFUNCTION("""COMPUTED_VALUE"""),43826.75)</f>
        <v>43826.75</v>
      </c>
      <c r="F524" s="22">
        <f>IFERROR(__xludf.DUMMYFUNCTION("""COMPUTED_VALUE"""),3782.27)</f>
        <v>3782.27</v>
      </c>
    </row>
    <row r="525" ht="15.75" customHeight="1">
      <c r="A525" s="32">
        <f>IFERROR(__xludf.DUMMYFUNCTION("""COMPUTED_VALUE"""),43854.66666666667)</f>
        <v>43854.66667</v>
      </c>
      <c r="B525" s="22">
        <f>IFERROR(__xludf.DUMMYFUNCTION("""COMPUTED_VALUE"""),3295.47)</f>
        <v>3295.47</v>
      </c>
      <c r="C525" s="32">
        <f>IFERROR(__xludf.DUMMYFUNCTION("""COMPUTED_VALUE"""),43834.99861111111)</f>
        <v>43834.99861</v>
      </c>
      <c r="D525" s="22">
        <f>IFERROR(__xludf.DUMMYFUNCTION("""COMPUTED_VALUE"""),1.1153)</f>
        <v>1.1153</v>
      </c>
      <c r="E525" s="32">
        <f>IFERROR(__xludf.DUMMYFUNCTION("""COMPUTED_VALUE"""),43833.75)</f>
        <v>43833.75</v>
      </c>
      <c r="F525" s="22">
        <f>IFERROR(__xludf.DUMMYFUNCTION("""COMPUTED_VALUE"""),3773.37)</f>
        <v>3773.37</v>
      </c>
    </row>
    <row r="526" ht="15.75" customHeight="1">
      <c r="A526" s="32">
        <f>IFERROR(__xludf.DUMMYFUNCTION("""COMPUTED_VALUE"""),43861.66666666667)</f>
        <v>43861.66667</v>
      </c>
      <c r="B526" s="22">
        <f>IFERROR(__xludf.DUMMYFUNCTION("""COMPUTED_VALUE"""),3225.52)</f>
        <v>3225.52</v>
      </c>
      <c r="C526" s="32">
        <f>IFERROR(__xludf.DUMMYFUNCTION("""COMPUTED_VALUE"""),43841.99861111111)</f>
        <v>43841.99861</v>
      </c>
      <c r="D526" s="22">
        <f>IFERROR(__xludf.DUMMYFUNCTION("""COMPUTED_VALUE"""),1.1121)</f>
        <v>1.1121</v>
      </c>
      <c r="E526" s="32">
        <f>IFERROR(__xludf.DUMMYFUNCTION("""COMPUTED_VALUE"""),43840.75)</f>
        <v>43840.75</v>
      </c>
      <c r="F526" s="22">
        <f>IFERROR(__xludf.DUMMYFUNCTION("""COMPUTED_VALUE"""),3789.52)</f>
        <v>3789.52</v>
      </c>
    </row>
    <row r="527" ht="15.75" customHeight="1">
      <c r="A527" s="32">
        <f>IFERROR(__xludf.DUMMYFUNCTION("""COMPUTED_VALUE"""),43868.66666666667)</f>
        <v>43868.66667</v>
      </c>
      <c r="B527" s="22">
        <f>IFERROR(__xludf.DUMMYFUNCTION("""COMPUTED_VALUE"""),3327.71)</f>
        <v>3327.71</v>
      </c>
      <c r="C527" s="32">
        <f>IFERROR(__xludf.DUMMYFUNCTION("""COMPUTED_VALUE"""),43848.99861111111)</f>
        <v>43848.99861</v>
      </c>
      <c r="D527" s="22">
        <f>IFERROR(__xludf.DUMMYFUNCTION("""COMPUTED_VALUE"""),1.1089)</f>
        <v>1.1089</v>
      </c>
      <c r="E527" s="32">
        <f>IFERROR(__xludf.DUMMYFUNCTION("""COMPUTED_VALUE"""),43847.75)</f>
        <v>43847.75</v>
      </c>
      <c r="F527" s="22">
        <f>IFERROR(__xludf.DUMMYFUNCTION("""COMPUTED_VALUE"""),3808.26)</f>
        <v>3808.26</v>
      </c>
    </row>
    <row r="528" ht="15.75" customHeight="1">
      <c r="A528" s="32">
        <f>IFERROR(__xludf.DUMMYFUNCTION("""COMPUTED_VALUE"""),43875.66666666667)</f>
        <v>43875.66667</v>
      </c>
      <c r="B528" s="22">
        <f>IFERROR(__xludf.DUMMYFUNCTION("""COMPUTED_VALUE"""),3380.16)</f>
        <v>3380.16</v>
      </c>
      <c r="C528" s="32">
        <f>IFERROR(__xludf.DUMMYFUNCTION("""COMPUTED_VALUE"""),43855.99861111111)</f>
        <v>43855.99861</v>
      </c>
      <c r="D528" s="22">
        <f>IFERROR(__xludf.DUMMYFUNCTION("""COMPUTED_VALUE"""),1.1026)</f>
        <v>1.1026</v>
      </c>
      <c r="E528" s="32">
        <f>IFERROR(__xludf.DUMMYFUNCTION("""COMPUTED_VALUE"""),43854.75)</f>
        <v>43854.75</v>
      </c>
      <c r="F528" s="22">
        <f>IFERROR(__xludf.DUMMYFUNCTION("""COMPUTED_VALUE"""),3779.16)</f>
        <v>3779.16</v>
      </c>
    </row>
    <row r="529" ht="15.75" customHeight="1">
      <c r="A529" s="32">
        <f>IFERROR(__xludf.DUMMYFUNCTION("""COMPUTED_VALUE"""),43882.66666666667)</f>
        <v>43882.66667</v>
      </c>
      <c r="B529" s="22">
        <f>IFERROR(__xludf.DUMMYFUNCTION("""COMPUTED_VALUE"""),3337.75)</f>
        <v>3337.75</v>
      </c>
      <c r="C529" s="32">
        <f>IFERROR(__xludf.DUMMYFUNCTION("""COMPUTED_VALUE"""),43862.99861111111)</f>
        <v>43862.99861</v>
      </c>
      <c r="D529" s="22">
        <f>IFERROR(__xludf.DUMMYFUNCTION("""COMPUTED_VALUE"""),1.10949)</f>
        <v>1.10949</v>
      </c>
      <c r="E529" s="32">
        <f>IFERROR(__xludf.DUMMYFUNCTION("""COMPUTED_VALUE"""),43861.75)</f>
        <v>43861.75</v>
      </c>
      <c r="F529" s="22">
        <f>IFERROR(__xludf.DUMMYFUNCTION("""COMPUTED_VALUE"""),3640.91)</f>
        <v>3640.91</v>
      </c>
    </row>
    <row r="530" ht="15.75" customHeight="1">
      <c r="A530" s="32">
        <f>IFERROR(__xludf.DUMMYFUNCTION("""COMPUTED_VALUE"""),43889.66666666667)</f>
        <v>43889.66667</v>
      </c>
      <c r="B530" s="22">
        <f>IFERROR(__xludf.DUMMYFUNCTION("""COMPUTED_VALUE"""),2954.22)</f>
        <v>2954.22</v>
      </c>
      <c r="C530" s="32">
        <f>IFERROR(__xludf.DUMMYFUNCTION("""COMPUTED_VALUE"""),43869.99861111111)</f>
        <v>43869.99861</v>
      </c>
      <c r="D530" s="22">
        <f>IFERROR(__xludf.DUMMYFUNCTION("""COMPUTED_VALUE"""),1.0942)</f>
        <v>1.0942</v>
      </c>
      <c r="E530" s="32">
        <f>IFERROR(__xludf.DUMMYFUNCTION("""COMPUTED_VALUE"""),43868.75)</f>
        <v>43868.75</v>
      </c>
      <c r="F530" s="22">
        <f>IFERROR(__xludf.DUMMYFUNCTION("""COMPUTED_VALUE"""),3798.49)</f>
        <v>3798.49</v>
      </c>
    </row>
    <row r="531" ht="15.75" customHeight="1">
      <c r="A531" s="32">
        <f>IFERROR(__xludf.DUMMYFUNCTION("""COMPUTED_VALUE"""),43896.66666666667)</f>
        <v>43896.66667</v>
      </c>
      <c r="B531" s="22">
        <f>IFERROR(__xludf.DUMMYFUNCTION("""COMPUTED_VALUE"""),2972.37)</f>
        <v>2972.37</v>
      </c>
      <c r="C531" s="32">
        <f>IFERROR(__xludf.DUMMYFUNCTION("""COMPUTED_VALUE"""),43876.99861111111)</f>
        <v>43876.99861</v>
      </c>
      <c r="D531" s="22">
        <f>IFERROR(__xludf.DUMMYFUNCTION("""COMPUTED_VALUE"""),1.08301)</f>
        <v>1.08301</v>
      </c>
      <c r="E531" s="32">
        <f>IFERROR(__xludf.DUMMYFUNCTION("""COMPUTED_VALUE"""),43875.75)</f>
        <v>43875.75</v>
      </c>
      <c r="F531" s="22">
        <f>IFERROR(__xludf.DUMMYFUNCTION("""COMPUTED_VALUE"""),3840.97)</f>
        <v>3840.97</v>
      </c>
    </row>
    <row r="532" ht="15.75" customHeight="1">
      <c r="A532" s="32">
        <f>IFERROR(__xludf.DUMMYFUNCTION("""COMPUTED_VALUE"""),43903.66666666667)</f>
        <v>43903.66667</v>
      </c>
      <c r="B532" s="22">
        <f>IFERROR(__xludf.DUMMYFUNCTION("""COMPUTED_VALUE"""),2711.02)</f>
        <v>2711.02</v>
      </c>
      <c r="C532" s="32">
        <f>IFERROR(__xludf.DUMMYFUNCTION("""COMPUTED_VALUE"""),43883.99861111111)</f>
        <v>43883.99861</v>
      </c>
      <c r="D532" s="22">
        <f>IFERROR(__xludf.DUMMYFUNCTION("""COMPUTED_VALUE"""),1.08453)</f>
        <v>1.08453</v>
      </c>
      <c r="E532" s="32">
        <f>IFERROR(__xludf.DUMMYFUNCTION("""COMPUTED_VALUE"""),43882.75)</f>
        <v>43882.75</v>
      </c>
      <c r="F532" s="22">
        <f>IFERROR(__xludf.DUMMYFUNCTION("""COMPUTED_VALUE"""),3800.38)</f>
        <v>3800.38</v>
      </c>
    </row>
    <row r="533" ht="15.75" customHeight="1">
      <c r="A533" s="32">
        <f>IFERROR(__xludf.DUMMYFUNCTION("""COMPUTED_VALUE"""),43910.66666666667)</f>
        <v>43910.66667</v>
      </c>
      <c r="B533" s="22">
        <f>IFERROR(__xludf.DUMMYFUNCTION("""COMPUTED_VALUE"""),2304.92)</f>
        <v>2304.92</v>
      </c>
      <c r="C533" s="32">
        <f>IFERROR(__xludf.DUMMYFUNCTION("""COMPUTED_VALUE"""),43890.99861111111)</f>
        <v>43890.99861</v>
      </c>
      <c r="D533" s="22">
        <f>IFERROR(__xludf.DUMMYFUNCTION("""COMPUTED_VALUE"""),1.1027)</f>
        <v>1.1027</v>
      </c>
      <c r="E533" s="32">
        <f>IFERROR(__xludf.DUMMYFUNCTION("""COMPUTED_VALUE"""),43889.75)</f>
        <v>43889.75</v>
      </c>
      <c r="F533" s="22">
        <f>IFERROR(__xludf.DUMMYFUNCTION("""COMPUTED_VALUE"""),3329.49)</f>
        <v>3329.49</v>
      </c>
    </row>
    <row r="534" ht="15.75" customHeight="1">
      <c r="A534" s="32">
        <f>IFERROR(__xludf.DUMMYFUNCTION("""COMPUTED_VALUE"""),43917.66666666667)</f>
        <v>43917.66667</v>
      </c>
      <c r="B534" s="22">
        <f>IFERROR(__xludf.DUMMYFUNCTION("""COMPUTED_VALUE"""),2541.47)</f>
        <v>2541.47</v>
      </c>
      <c r="C534" s="32">
        <f>IFERROR(__xludf.DUMMYFUNCTION("""COMPUTED_VALUE"""),43897.99861111111)</f>
        <v>43897.99861</v>
      </c>
      <c r="D534" s="22">
        <f>IFERROR(__xludf.DUMMYFUNCTION("""COMPUTED_VALUE"""),1.1285)</f>
        <v>1.1285</v>
      </c>
      <c r="E534" s="32">
        <f>IFERROR(__xludf.DUMMYFUNCTION("""COMPUTED_VALUE"""),43896.75)</f>
        <v>43896.75</v>
      </c>
      <c r="F534" s="22">
        <f>IFERROR(__xludf.DUMMYFUNCTION("""COMPUTED_VALUE"""),3232.07)</f>
        <v>3232.07</v>
      </c>
    </row>
    <row r="535" ht="15.75" customHeight="1">
      <c r="A535" s="32">
        <f>IFERROR(__xludf.DUMMYFUNCTION("""COMPUTED_VALUE"""),43924.66666666667)</f>
        <v>43924.66667</v>
      </c>
      <c r="B535" s="22">
        <f>IFERROR(__xludf.DUMMYFUNCTION("""COMPUTED_VALUE"""),2488.65)</f>
        <v>2488.65</v>
      </c>
      <c r="C535" s="32">
        <f>IFERROR(__xludf.DUMMYFUNCTION("""COMPUTED_VALUE"""),43904.99861111111)</f>
        <v>43904.99861</v>
      </c>
      <c r="D535" s="22">
        <f>IFERROR(__xludf.DUMMYFUNCTION("""COMPUTED_VALUE"""),1.1142)</f>
        <v>1.1142</v>
      </c>
      <c r="E535" s="32">
        <f>IFERROR(__xludf.DUMMYFUNCTION("""COMPUTED_VALUE"""),43903.75)</f>
        <v>43903.75</v>
      </c>
      <c r="F535" s="22">
        <f>IFERROR(__xludf.DUMMYFUNCTION("""COMPUTED_VALUE"""),2586.02)</f>
        <v>2586.02</v>
      </c>
    </row>
    <row r="536" ht="15.75" customHeight="1">
      <c r="A536" s="32">
        <f>IFERROR(__xludf.DUMMYFUNCTION("""COMPUTED_VALUE"""),43930.66666666667)</f>
        <v>43930.66667</v>
      </c>
      <c r="B536" s="22">
        <f>IFERROR(__xludf.DUMMYFUNCTION("""COMPUTED_VALUE"""),2789.82)</f>
        <v>2789.82</v>
      </c>
      <c r="C536" s="32">
        <f>IFERROR(__xludf.DUMMYFUNCTION("""COMPUTED_VALUE"""),43911.99861111111)</f>
        <v>43911.99861</v>
      </c>
      <c r="D536" s="22">
        <f>IFERROR(__xludf.DUMMYFUNCTION("""COMPUTED_VALUE"""),1.0761)</f>
        <v>1.0761</v>
      </c>
      <c r="E536" s="32">
        <f>IFERROR(__xludf.DUMMYFUNCTION("""COMPUTED_VALUE"""),43910.75)</f>
        <v>43910.75</v>
      </c>
      <c r="F536" s="22">
        <f>IFERROR(__xludf.DUMMYFUNCTION("""COMPUTED_VALUE"""),2548.5)</f>
        <v>2548.5</v>
      </c>
    </row>
    <row r="537" ht="15.75" customHeight="1">
      <c r="A537" s="32">
        <f>IFERROR(__xludf.DUMMYFUNCTION("""COMPUTED_VALUE"""),43938.66666666667)</f>
        <v>43938.66667</v>
      </c>
      <c r="B537" s="22">
        <f>IFERROR(__xludf.DUMMYFUNCTION("""COMPUTED_VALUE"""),2874.56)</f>
        <v>2874.56</v>
      </c>
      <c r="C537" s="32">
        <f>IFERROR(__xludf.DUMMYFUNCTION("""COMPUTED_VALUE"""),43918.99861111111)</f>
        <v>43918.99861</v>
      </c>
      <c r="D537" s="22">
        <f>IFERROR(__xludf.DUMMYFUNCTION("""COMPUTED_VALUE"""),1.1166)</f>
        <v>1.1166</v>
      </c>
      <c r="E537" s="32">
        <f>IFERROR(__xludf.DUMMYFUNCTION("""COMPUTED_VALUE"""),43917.75)</f>
        <v>43917.75</v>
      </c>
      <c r="F537" s="22">
        <f>IFERROR(__xludf.DUMMYFUNCTION("""COMPUTED_VALUE"""),2728.65)</f>
        <v>2728.65</v>
      </c>
    </row>
    <row r="538" ht="15.75" customHeight="1">
      <c r="A538" s="32">
        <f>IFERROR(__xludf.DUMMYFUNCTION("""COMPUTED_VALUE"""),43945.66666666667)</f>
        <v>43945.66667</v>
      </c>
      <c r="B538" s="22">
        <f>IFERROR(__xludf.DUMMYFUNCTION("""COMPUTED_VALUE"""),2836.74)</f>
        <v>2836.74</v>
      </c>
      <c r="C538" s="32">
        <f>IFERROR(__xludf.DUMMYFUNCTION("""COMPUTED_VALUE"""),43925.99861111111)</f>
        <v>43925.99861</v>
      </c>
      <c r="D538" s="22">
        <f>IFERROR(__xludf.DUMMYFUNCTION("""COMPUTED_VALUE"""),1.0799)</f>
        <v>1.0799</v>
      </c>
      <c r="E538" s="32">
        <f>IFERROR(__xludf.DUMMYFUNCTION("""COMPUTED_VALUE"""),43924.75)</f>
        <v>43924.75</v>
      </c>
      <c r="F538" s="22">
        <f>IFERROR(__xludf.DUMMYFUNCTION("""COMPUTED_VALUE"""),2662.99)</f>
        <v>2662.99</v>
      </c>
    </row>
    <row r="539" ht="15.75" customHeight="1">
      <c r="A539" s="32">
        <f>IFERROR(__xludf.DUMMYFUNCTION("""COMPUTED_VALUE"""),43952.66666666667)</f>
        <v>43952.66667</v>
      </c>
      <c r="B539" s="22">
        <f>IFERROR(__xludf.DUMMYFUNCTION("""COMPUTED_VALUE"""),2830.71)</f>
        <v>2830.71</v>
      </c>
      <c r="C539" s="32">
        <f>IFERROR(__xludf.DUMMYFUNCTION("""COMPUTED_VALUE"""),43932.99861111111)</f>
        <v>43932.99861</v>
      </c>
      <c r="D539" s="22">
        <f>IFERROR(__xludf.DUMMYFUNCTION("""COMPUTED_VALUE"""),1.0935)</f>
        <v>1.0935</v>
      </c>
      <c r="E539" s="32">
        <f>IFERROR(__xludf.DUMMYFUNCTION("""COMPUTED_VALUE"""),43930.75)</f>
        <v>43930.75</v>
      </c>
      <c r="F539" s="22">
        <f>IFERROR(__xludf.DUMMYFUNCTION("""COMPUTED_VALUE"""),2892.79)</f>
        <v>2892.79</v>
      </c>
    </row>
    <row r="540" ht="15.75" customHeight="1">
      <c r="A540" s="32">
        <f>IFERROR(__xludf.DUMMYFUNCTION("""COMPUTED_VALUE"""),43959.66666666667)</f>
        <v>43959.66667</v>
      </c>
      <c r="B540" s="22">
        <f>IFERROR(__xludf.DUMMYFUNCTION("""COMPUTED_VALUE"""),2929.8)</f>
        <v>2929.8</v>
      </c>
      <c r="C540" s="32">
        <f>IFERROR(__xludf.DUMMYFUNCTION("""COMPUTED_VALUE"""),43939.99861111111)</f>
        <v>43939.99861</v>
      </c>
      <c r="D540" s="22">
        <f>IFERROR(__xludf.DUMMYFUNCTION("""COMPUTED_VALUE"""),1.0874)</f>
        <v>1.0874</v>
      </c>
      <c r="E540" s="32">
        <f>IFERROR(__xludf.DUMMYFUNCTION("""COMPUTED_VALUE"""),43938.75)</f>
        <v>43938.75</v>
      </c>
      <c r="F540" s="22">
        <f>IFERROR(__xludf.DUMMYFUNCTION("""COMPUTED_VALUE"""),2888.3)</f>
        <v>2888.3</v>
      </c>
    </row>
    <row r="541" ht="15.75" customHeight="1">
      <c r="A541" s="32">
        <f>IFERROR(__xludf.DUMMYFUNCTION("""COMPUTED_VALUE"""),43966.66666666667)</f>
        <v>43966.66667</v>
      </c>
      <c r="B541" s="22">
        <f>IFERROR(__xludf.DUMMYFUNCTION("""COMPUTED_VALUE"""),2863.7)</f>
        <v>2863.7</v>
      </c>
      <c r="C541" s="32">
        <f>IFERROR(__xludf.DUMMYFUNCTION("""COMPUTED_VALUE"""),43946.99861111111)</f>
        <v>43946.99861</v>
      </c>
      <c r="D541" s="22">
        <f>IFERROR(__xludf.DUMMYFUNCTION("""COMPUTED_VALUE"""),1.0822)</f>
        <v>1.0822</v>
      </c>
      <c r="E541" s="32">
        <f>IFERROR(__xludf.DUMMYFUNCTION("""COMPUTED_VALUE"""),43945.75)</f>
        <v>43945.75</v>
      </c>
      <c r="F541" s="22">
        <f>IFERROR(__xludf.DUMMYFUNCTION("""COMPUTED_VALUE"""),2809.07)</f>
        <v>2809.07</v>
      </c>
    </row>
    <row r="542" ht="15.75" customHeight="1">
      <c r="A542" s="32">
        <f>IFERROR(__xludf.DUMMYFUNCTION("""COMPUTED_VALUE"""),43973.66666666667)</f>
        <v>43973.66667</v>
      </c>
      <c r="B542" s="22">
        <f>IFERROR(__xludf.DUMMYFUNCTION("""COMPUTED_VALUE"""),2955.45)</f>
        <v>2955.45</v>
      </c>
      <c r="C542" s="32">
        <f>IFERROR(__xludf.DUMMYFUNCTION("""COMPUTED_VALUE"""),43953.99861111111)</f>
        <v>43953.99861</v>
      </c>
      <c r="D542" s="22">
        <f>IFERROR(__xludf.DUMMYFUNCTION("""COMPUTED_VALUE"""),1.1093)</f>
        <v>1.1093</v>
      </c>
      <c r="E542" s="32">
        <f>IFERROR(__xludf.DUMMYFUNCTION("""COMPUTED_VALUE"""),43959.75)</f>
        <v>43959.75</v>
      </c>
      <c r="F542" s="22">
        <f>IFERROR(__xludf.DUMMYFUNCTION("""COMPUTED_VALUE"""),2908.11)</f>
        <v>2908.11</v>
      </c>
    </row>
    <row r="543" ht="15.75" customHeight="1">
      <c r="A543" s="32">
        <f>IFERROR(__xludf.DUMMYFUNCTION("""COMPUTED_VALUE"""),43980.66666666667)</f>
        <v>43980.66667</v>
      </c>
      <c r="B543" s="22">
        <f>IFERROR(__xludf.DUMMYFUNCTION("""COMPUTED_VALUE"""),3044.31)</f>
        <v>3044.31</v>
      </c>
      <c r="C543" s="32">
        <f>IFERROR(__xludf.DUMMYFUNCTION("""COMPUTED_VALUE"""),43960.99861111111)</f>
        <v>43960.99861</v>
      </c>
      <c r="D543" s="22">
        <f>IFERROR(__xludf.DUMMYFUNCTION("""COMPUTED_VALUE"""),1.0969)</f>
        <v>1.0969</v>
      </c>
      <c r="E543" s="32">
        <f>IFERROR(__xludf.DUMMYFUNCTION("""COMPUTED_VALUE"""),43966.75)</f>
        <v>43966.75</v>
      </c>
      <c r="F543" s="22">
        <f>IFERROR(__xludf.DUMMYFUNCTION("""COMPUTED_VALUE"""),2770.7)</f>
        <v>2770.7</v>
      </c>
    </row>
    <row r="544" ht="15.75" customHeight="1">
      <c r="A544" s="32">
        <f>IFERROR(__xludf.DUMMYFUNCTION("""COMPUTED_VALUE"""),43987.66666666667)</f>
        <v>43987.66667</v>
      </c>
      <c r="B544" s="22">
        <f>IFERROR(__xludf.DUMMYFUNCTION("""COMPUTED_VALUE"""),3193.93)</f>
        <v>3193.93</v>
      </c>
      <c r="C544" s="32">
        <f>IFERROR(__xludf.DUMMYFUNCTION("""COMPUTED_VALUE"""),43967.99861111111)</f>
        <v>43967.99861</v>
      </c>
      <c r="D544" s="22">
        <f>IFERROR(__xludf.DUMMYFUNCTION("""COMPUTED_VALUE"""),1.08106)</f>
        <v>1.08106</v>
      </c>
      <c r="E544" s="32">
        <f>IFERROR(__xludf.DUMMYFUNCTION("""COMPUTED_VALUE"""),43973.75)</f>
        <v>43973.75</v>
      </c>
      <c r="F544" s="22">
        <f>IFERROR(__xludf.DUMMYFUNCTION("""COMPUTED_VALUE"""),2905.47)</f>
        <v>2905.47</v>
      </c>
    </row>
    <row r="545" ht="15.75" customHeight="1">
      <c r="A545" s="32">
        <f>IFERROR(__xludf.DUMMYFUNCTION("""COMPUTED_VALUE"""),43994.66666666667)</f>
        <v>43994.66667</v>
      </c>
      <c r="B545" s="22">
        <f>IFERROR(__xludf.DUMMYFUNCTION("""COMPUTED_VALUE"""),3041.31)</f>
        <v>3041.31</v>
      </c>
      <c r="C545" s="32">
        <f>IFERROR(__xludf.DUMMYFUNCTION("""COMPUTED_VALUE"""),43974.99861111111)</f>
        <v>43974.99861</v>
      </c>
      <c r="D545" s="22">
        <f>IFERROR(__xludf.DUMMYFUNCTION("""COMPUTED_VALUE"""),1.0896)</f>
        <v>1.0896</v>
      </c>
      <c r="E545" s="32">
        <f>IFERROR(__xludf.DUMMYFUNCTION("""COMPUTED_VALUE"""),43980.75)</f>
        <v>43980.75</v>
      </c>
      <c r="F545" s="22">
        <f>IFERROR(__xludf.DUMMYFUNCTION("""COMPUTED_VALUE"""),3050.2)</f>
        <v>3050.2</v>
      </c>
    </row>
    <row r="546" ht="15.75" customHeight="1">
      <c r="A546" s="32">
        <f>IFERROR(__xludf.DUMMYFUNCTION("""COMPUTED_VALUE"""),44001.66666666667)</f>
        <v>44001.66667</v>
      </c>
      <c r="B546" s="22">
        <f>IFERROR(__xludf.DUMMYFUNCTION("""COMPUTED_VALUE"""),3097.74)</f>
        <v>3097.74</v>
      </c>
      <c r="C546" s="32">
        <f>IFERROR(__xludf.DUMMYFUNCTION("""COMPUTED_VALUE"""),43981.99861111111)</f>
        <v>43981.99861</v>
      </c>
      <c r="D546" s="22">
        <f>IFERROR(__xludf.DUMMYFUNCTION("""COMPUTED_VALUE"""),1.11011)</f>
        <v>1.11011</v>
      </c>
      <c r="E546" s="32">
        <f>IFERROR(__xludf.DUMMYFUNCTION("""COMPUTED_VALUE"""),43987.75)</f>
        <v>43987.75</v>
      </c>
      <c r="F546" s="22">
        <f>IFERROR(__xludf.DUMMYFUNCTION("""COMPUTED_VALUE"""),3384.29)</f>
        <v>3384.29</v>
      </c>
    </row>
    <row r="547" ht="15.75" customHeight="1">
      <c r="A547" s="32">
        <f>IFERROR(__xludf.DUMMYFUNCTION("""COMPUTED_VALUE"""),44008.66666666667)</f>
        <v>44008.66667</v>
      </c>
      <c r="B547" s="22">
        <f>IFERROR(__xludf.DUMMYFUNCTION("""COMPUTED_VALUE"""),3009.05)</f>
        <v>3009.05</v>
      </c>
      <c r="C547" s="32">
        <f>IFERROR(__xludf.DUMMYFUNCTION("""COMPUTED_VALUE"""),43988.99861111111)</f>
        <v>43988.99861</v>
      </c>
      <c r="D547" s="22">
        <f>IFERROR(__xludf.DUMMYFUNCTION("""COMPUTED_VALUE"""),1.12788)</f>
        <v>1.12788</v>
      </c>
      <c r="E547" s="32">
        <f>IFERROR(__xludf.DUMMYFUNCTION("""COMPUTED_VALUE"""),43994.75)</f>
        <v>43994.75</v>
      </c>
      <c r="F547" s="22">
        <f>IFERROR(__xludf.DUMMYFUNCTION("""COMPUTED_VALUE"""),3153.74)</f>
        <v>3153.74</v>
      </c>
    </row>
    <row r="548" ht="15.75" customHeight="1">
      <c r="A548" s="32">
        <f>IFERROR(__xludf.DUMMYFUNCTION("""COMPUTED_VALUE"""),44014.66666666667)</f>
        <v>44014.66667</v>
      </c>
      <c r="B548" s="22">
        <f>IFERROR(__xludf.DUMMYFUNCTION("""COMPUTED_VALUE"""),3130.01)</f>
        <v>3130.01</v>
      </c>
      <c r="C548" s="32">
        <f>IFERROR(__xludf.DUMMYFUNCTION("""COMPUTED_VALUE"""),43995.99861111111)</f>
        <v>43995.99861</v>
      </c>
      <c r="D548" s="22">
        <f>IFERROR(__xludf.DUMMYFUNCTION("""COMPUTED_VALUE"""),1.1257)</f>
        <v>1.1257</v>
      </c>
      <c r="E548" s="32">
        <f>IFERROR(__xludf.DUMMYFUNCTION("""COMPUTED_VALUE"""),44001.75)</f>
        <v>44001.75</v>
      </c>
      <c r="F548" s="22">
        <f>IFERROR(__xludf.DUMMYFUNCTION("""COMPUTED_VALUE"""),3269.1)</f>
        <v>3269.1</v>
      </c>
    </row>
    <row r="549" ht="15.75" customHeight="1">
      <c r="A549" s="32">
        <f>IFERROR(__xludf.DUMMYFUNCTION("""COMPUTED_VALUE"""),44022.66666666667)</f>
        <v>44022.66667</v>
      </c>
      <c r="B549" s="22">
        <f>IFERROR(__xludf.DUMMYFUNCTION("""COMPUTED_VALUE"""),3185.04)</f>
        <v>3185.04</v>
      </c>
      <c r="C549" s="32">
        <f>IFERROR(__xludf.DUMMYFUNCTION("""COMPUTED_VALUE"""),44002.99861111111)</f>
        <v>44002.99861</v>
      </c>
      <c r="D549" s="22">
        <f>IFERROR(__xludf.DUMMYFUNCTION("""COMPUTED_VALUE"""),1.11772)</f>
        <v>1.11772</v>
      </c>
      <c r="E549" s="32">
        <f>IFERROR(__xludf.DUMMYFUNCTION("""COMPUTED_VALUE"""),44008.75)</f>
        <v>44008.75</v>
      </c>
      <c r="F549" s="22">
        <f>IFERROR(__xludf.DUMMYFUNCTION("""COMPUTED_VALUE"""),3204.17)</f>
        <v>3204.17</v>
      </c>
    </row>
    <row r="550" ht="15.75" customHeight="1">
      <c r="A550" s="32">
        <f>IFERROR(__xludf.DUMMYFUNCTION("""COMPUTED_VALUE"""),44029.66666666667)</f>
        <v>44029.66667</v>
      </c>
      <c r="B550" s="22">
        <f>IFERROR(__xludf.DUMMYFUNCTION("""COMPUTED_VALUE"""),3224.73)</f>
        <v>3224.73</v>
      </c>
      <c r="C550" s="32">
        <f>IFERROR(__xludf.DUMMYFUNCTION("""COMPUTED_VALUE"""),44009.99861111111)</f>
        <v>44009.99861</v>
      </c>
      <c r="D550" s="22">
        <f>IFERROR(__xludf.DUMMYFUNCTION("""COMPUTED_VALUE"""),1.12191)</f>
        <v>1.12191</v>
      </c>
      <c r="E550" s="32">
        <f>IFERROR(__xludf.DUMMYFUNCTION("""COMPUTED_VALUE"""),44015.75)</f>
        <v>44015.75</v>
      </c>
      <c r="F550" s="22">
        <f>IFERROR(__xludf.DUMMYFUNCTION("""COMPUTED_VALUE"""),3294.38)</f>
        <v>3294.38</v>
      </c>
    </row>
    <row r="551" ht="15.75" customHeight="1">
      <c r="A551" s="32">
        <f>IFERROR(__xludf.DUMMYFUNCTION("""COMPUTED_VALUE"""),44036.66666666667)</f>
        <v>44036.66667</v>
      </c>
      <c r="B551" s="22">
        <f>IFERROR(__xludf.DUMMYFUNCTION("""COMPUTED_VALUE"""),3215.63)</f>
        <v>3215.63</v>
      </c>
      <c r="C551" s="32">
        <f>IFERROR(__xludf.DUMMYFUNCTION("""COMPUTED_VALUE"""),44016.99861111111)</f>
        <v>44016.99861</v>
      </c>
      <c r="D551" s="22">
        <f>IFERROR(__xludf.DUMMYFUNCTION("""COMPUTED_VALUE"""),1.1243)</f>
        <v>1.1243</v>
      </c>
      <c r="E551" s="32">
        <f>IFERROR(__xludf.DUMMYFUNCTION("""COMPUTED_VALUE"""),44022.75)</f>
        <v>44022.75</v>
      </c>
      <c r="F551" s="22">
        <f>IFERROR(__xludf.DUMMYFUNCTION("""COMPUTED_VALUE"""),3296.22)</f>
        <v>3296.22</v>
      </c>
    </row>
    <row r="552" ht="15.75" customHeight="1">
      <c r="A552" s="32">
        <f>IFERROR(__xludf.DUMMYFUNCTION("""COMPUTED_VALUE"""),44043.66666666667)</f>
        <v>44043.66667</v>
      </c>
      <c r="B552" s="22">
        <f>IFERROR(__xludf.DUMMYFUNCTION("""COMPUTED_VALUE"""),3271.12)</f>
        <v>3271.12</v>
      </c>
      <c r="C552" s="32">
        <f>IFERROR(__xludf.DUMMYFUNCTION("""COMPUTED_VALUE"""),44023.99861111111)</f>
        <v>44023.99861</v>
      </c>
      <c r="D552" s="22">
        <f>IFERROR(__xludf.DUMMYFUNCTION("""COMPUTED_VALUE"""),1.1299)</f>
        <v>1.1299</v>
      </c>
      <c r="E552" s="32">
        <f>IFERROR(__xludf.DUMMYFUNCTION("""COMPUTED_VALUE"""),44029.75)</f>
        <v>44029.75</v>
      </c>
      <c r="F552" s="22">
        <f>IFERROR(__xludf.DUMMYFUNCTION("""COMPUTED_VALUE"""),3365.6)</f>
        <v>3365.6</v>
      </c>
    </row>
    <row r="553" ht="15.75" customHeight="1">
      <c r="A553" s="32">
        <f>IFERROR(__xludf.DUMMYFUNCTION("""COMPUTED_VALUE"""),44050.66666666667)</f>
        <v>44050.66667</v>
      </c>
      <c r="B553" s="22">
        <f>IFERROR(__xludf.DUMMYFUNCTION("""COMPUTED_VALUE"""),3351.28)</f>
        <v>3351.28</v>
      </c>
      <c r="C553" s="32">
        <f>IFERROR(__xludf.DUMMYFUNCTION("""COMPUTED_VALUE"""),44030.99861111111)</f>
        <v>44030.99861</v>
      </c>
      <c r="D553" s="22">
        <f>IFERROR(__xludf.DUMMYFUNCTION("""COMPUTED_VALUE"""),1.14246)</f>
        <v>1.14246</v>
      </c>
      <c r="E553" s="32">
        <f>IFERROR(__xludf.DUMMYFUNCTION("""COMPUTED_VALUE"""),44036.75)</f>
        <v>44036.75</v>
      </c>
      <c r="F553" s="22">
        <f>IFERROR(__xludf.DUMMYFUNCTION("""COMPUTED_VALUE"""),3310.89)</f>
        <v>3310.89</v>
      </c>
    </row>
    <row r="554" ht="15.75" customHeight="1">
      <c r="A554" s="32">
        <f>IFERROR(__xludf.DUMMYFUNCTION("""COMPUTED_VALUE"""),44057.66666666667)</f>
        <v>44057.66667</v>
      </c>
      <c r="B554" s="22">
        <f>IFERROR(__xludf.DUMMYFUNCTION("""COMPUTED_VALUE"""),3372.85)</f>
        <v>3372.85</v>
      </c>
      <c r="C554" s="32">
        <f>IFERROR(__xludf.DUMMYFUNCTION("""COMPUTED_VALUE"""),44037.99861111111)</f>
        <v>44037.99861</v>
      </c>
      <c r="D554" s="22">
        <f>IFERROR(__xludf.DUMMYFUNCTION("""COMPUTED_VALUE"""),1.16559)</f>
        <v>1.16559</v>
      </c>
      <c r="E554" s="32">
        <f>IFERROR(__xludf.DUMMYFUNCTION("""COMPUTED_VALUE"""),44043.75)</f>
        <v>44043.75</v>
      </c>
      <c r="F554" s="22">
        <f>IFERROR(__xludf.DUMMYFUNCTION("""COMPUTED_VALUE"""),3174.32)</f>
        <v>3174.32</v>
      </c>
    </row>
    <row r="555" ht="15.75" customHeight="1">
      <c r="A555" s="32">
        <f>IFERROR(__xludf.DUMMYFUNCTION("""COMPUTED_VALUE"""),44064.66666666667)</f>
        <v>44064.66667</v>
      </c>
      <c r="B555" s="22">
        <f>IFERROR(__xludf.DUMMYFUNCTION("""COMPUTED_VALUE"""),3397.16)</f>
        <v>3397.16</v>
      </c>
      <c r="C555" s="32">
        <f>IFERROR(__xludf.DUMMYFUNCTION("""COMPUTED_VALUE"""),44044.99861111111)</f>
        <v>44044.99861</v>
      </c>
      <c r="D555" s="22">
        <f>IFERROR(__xludf.DUMMYFUNCTION("""COMPUTED_VALUE"""),1.17719)</f>
        <v>1.17719</v>
      </c>
      <c r="E555" s="32">
        <f>IFERROR(__xludf.DUMMYFUNCTION("""COMPUTED_VALUE"""),44050.75)</f>
        <v>44050.75</v>
      </c>
      <c r="F555" s="22">
        <f>IFERROR(__xludf.DUMMYFUNCTION("""COMPUTED_VALUE"""),3252.65)</f>
        <v>3252.65</v>
      </c>
    </row>
    <row r="556" ht="15.75" customHeight="1">
      <c r="A556" s="32">
        <f>IFERROR(__xludf.DUMMYFUNCTION("""COMPUTED_VALUE"""),44071.66666666667)</f>
        <v>44071.66667</v>
      </c>
      <c r="B556" s="22">
        <f>IFERROR(__xludf.DUMMYFUNCTION("""COMPUTED_VALUE"""),3508.01)</f>
        <v>3508.01</v>
      </c>
      <c r="C556" s="32">
        <f>IFERROR(__xludf.DUMMYFUNCTION("""COMPUTED_VALUE"""),44051.99861111111)</f>
        <v>44051.99861</v>
      </c>
      <c r="D556" s="22">
        <f>IFERROR(__xludf.DUMMYFUNCTION("""COMPUTED_VALUE"""),1.1786)</f>
        <v>1.1786</v>
      </c>
      <c r="E556" s="32">
        <f>IFERROR(__xludf.DUMMYFUNCTION("""COMPUTED_VALUE"""),44057.75)</f>
        <v>44057.75</v>
      </c>
      <c r="F556" s="22">
        <f>IFERROR(__xludf.DUMMYFUNCTION("""COMPUTED_VALUE"""),3305.05)</f>
        <v>3305.05</v>
      </c>
    </row>
    <row r="557" ht="15.75" customHeight="1">
      <c r="A557" s="32">
        <f>IFERROR(__xludf.DUMMYFUNCTION("""COMPUTED_VALUE"""),44078.66666666667)</f>
        <v>44078.66667</v>
      </c>
      <c r="B557" s="22">
        <f>IFERROR(__xludf.DUMMYFUNCTION("""COMPUTED_VALUE"""),3426.96)</f>
        <v>3426.96</v>
      </c>
      <c r="C557" s="32">
        <f>IFERROR(__xludf.DUMMYFUNCTION("""COMPUTED_VALUE"""),44058.99861111111)</f>
        <v>44058.99861</v>
      </c>
      <c r="D557" s="22">
        <f>IFERROR(__xludf.DUMMYFUNCTION("""COMPUTED_VALUE"""),1.18408)</f>
        <v>1.18408</v>
      </c>
      <c r="E557" s="32">
        <f>IFERROR(__xludf.DUMMYFUNCTION("""COMPUTED_VALUE"""),44064.75)</f>
        <v>44064.75</v>
      </c>
      <c r="F557" s="22">
        <f>IFERROR(__xludf.DUMMYFUNCTION("""COMPUTED_VALUE"""),3259.75)</f>
        <v>3259.75</v>
      </c>
    </row>
    <row r="558" ht="15.75" customHeight="1">
      <c r="A558" s="32">
        <f>IFERROR(__xludf.DUMMYFUNCTION("""COMPUTED_VALUE"""),44085.66666666667)</f>
        <v>44085.66667</v>
      </c>
      <c r="B558" s="22">
        <f>IFERROR(__xludf.DUMMYFUNCTION("""COMPUTED_VALUE"""),3340.97)</f>
        <v>3340.97</v>
      </c>
      <c r="C558" s="32">
        <f>IFERROR(__xludf.DUMMYFUNCTION("""COMPUTED_VALUE"""),44065.99861111111)</f>
        <v>44065.99861</v>
      </c>
      <c r="D558" s="22">
        <f>IFERROR(__xludf.DUMMYFUNCTION("""COMPUTED_VALUE"""),1.17888)</f>
        <v>1.17888</v>
      </c>
      <c r="E558" s="32">
        <f>IFERROR(__xludf.DUMMYFUNCTION("""COMPUTED_VALUE"""),44071.75)</f>
        <v>44071.75</v>
      </c>
      <c r="F558" s="22">
        <f>IFERROR(__xludf.DUMMYFUNCTION("""COMPUTED_VALUE"""),3315.54)</f>
        <v>3315.54</v>
      </c>
    </row>
    <row r="559" ht="15.75" customHeight="1">
      <c r="A559" s="32">
        <f>IFERROR(__xludf.DUMMYFUNCTION("""COMPUTED_VALUE"""),44092.66666666667)</f>
        <v>44092.66667</v>
      </c>
      <c r="B559" s="22">
        <f>IFERROR(__xludf.DUMMYFUNCTION("""COMPUTED_VALUE"""),3319.47)</f>
        <v>3319.47</v>
      </c>
      <c r="C559" s="32">
        <f>IFERROR(__xludf.DUMMYFUNCTION("""COMPUTED_VALUE"""),44072.99861111111)</f>
        <v>44072.99861</v>
      </c>
      <c r="D559" s="22">
        <f>IFERROR(__xludf.DUMMYFUNCTION("""COMPUTED_VALUE"""),1.18924)</f>
        <v>1.18924</v>
      </c>
      <c r="E559" s="32">
        <f>IFERROR(__xludf.DUMMYFUNCTION("""COMPUTED_VALUE"""),44078.75)</f>
        <v>44078.75</v>
      </c>
      <c r="F559" s="22">
        <f>IFERROR(__xludf.DUMMYFUNCTION("""COMPUTED_VALUE"""),3260.59)</f>
        <v>3260.59</v>
      </c>
    </row>
    <row r="560" ht="15.75" customHeight="1">
      <c r="A560" s="32">
        <f>IFERROR(__xludf.DUMMYFUNCTION("""COMPUTED_VALUE"""),44099.66666666667)</f>
        <v>44099.66667</v>
      </c>
      <c r="B560" s="22">
        <f>IFERROR(__xludf.DUMMYFUNCTION("""COMPUTED_VALUE"""),3298.46)</f>
        <v>3298.46</v>
      </c>
      <c r="C560" s="32">
        <f>IFERROR(__xludf.DUMMYFUNCTION("""COMPUTED_VALUE"""),44079.99861111111)</f>
        <v>44079.99861</v>
      </c>
      <c r="D560" s="22">
        <f>IFERROR(__xludf.DUMMYFUNCTION("""COMPUTED_VALUE"""),1.18337)</f>
        <v>1.18337</v>
      </c>
      <c r="E560" s="32">
        <f>IFERROR(__xludf.DUMMYFUNCTION("""COMPUTED_VALUE"""),44085.75)</f>
        <v>44085.75</v>
      </c>
      <c r="F560" s="22">
        <f>IFERROR(__xludf.DUMMYFUNCTION("""COMPUTED_VALUE"""),3315.81)</f>
        <v>3315.81</v>
      </c>
    </row>
    <row r="561" ht="15.75" customHeight="1">
      <c r="A561" s="32">
        <f>IFERROR(__xludf.DUMMYFUNCTION("""COMPUTED_VALUE"""),44106.66666666667)</f>
        <v>44106.66667</v>
      </c>
      <c r="B561" s="22">
        <f>IFERROR(__xludf.DUMMYFUNCTION("""COMPUTED_VALUE"""),3348.44)</f>
        <v>3348.44</v>
      </c>
      <c r="C561" s="32">
        <f>IFERROR(__xludf.DUMMYFUNCTION("""COMPUTED_VALUE"""),44086.99861111111)</f>
        <v>44086.99861</v>
      </c>
      <c r="D561" s="22">
        <f>IFERROR(__xludf.DUMMYFUNCTION("""COMPUTED_VALUE"""),1.18369)</f>
        <v>1.18369</v>
      </c>
      <c r="E561" s="32">
        <f>IFERROR(__xludf.DUMMYFUNCTION("""COMPUTED_VALUE"""),44092.75)</f>
        <v>44092.75</v>
      </c>
      <c r="F561" s="22">
        <f>IFERROR(__xludf.DUMMYFUNCTION("""COMPUTED_VALUE"""),3283.69)</f>
        <v>3283.69</v>
      </c>
    </row>
    <row r="562" ht="15.75" customHeight="1">
      <c r="A562" s="32">
        <f>IFERROR(__xludf.DUMMYFUNCTION("""COMPUTED_VALUE"""),44113.66666666667)</f>
        <v>44113.66667</v>
      </c>
      <c r="B562" s="22">
        <f>IFERROR(__xludf.DUMMYFUNCTION("""COMPUTED_VALUE"""),3477.13)</f>
        <v>3477.13</v>
      </c>
      <c r="C562" s="32">
        <f>IFERROR(__xludf.DUMMYFUNCTION("""COMPUTED_VALUE"""),44093.99861111111)</f>
        <v>44093.99861</v>
      </c>
      <c r="D562" s="22">
        <f>IFERROR(__xludf.DUMMYFUNCTION("""COMPUTED_VALUE"""),1.18381)</f>
        <v>1.18381</v>
      </c>
      <c r="E562" s="32">
        <f>IFERROR(__xludf.DUMMYFUNCTION("""COMPUTED_VALUE"""),44099.75)</f>
        <v>44099.75</v>
      </c>
      <c r="F562" s="22">
        <f>IFERROR(__xludf.DUMMYFUNCTION("""COMPUTED_VALUE"""),3137.06)</f>
        <v>3137.06</v>
      </c>
    </row>
    <row r="563" ht="15.75" customHeight="1">
      <c r="A563" s="32">
        <f>IFERROR(__xludf.DUMMYFUNCTION("""COMPUTED_VALUE"""),44120.66666666667)</f>
        <v>44120.66667</v>
      </c>
      <c r="B563" s="22">
        <f>IFERROR(__xludf.DUMMYFUNCTION("""COMPUTED_VALUE"""),3483.81)</f>
        <v>3483.81</v>
      </c>
      <c r="C563" s="32">
        <f>IFERROR(__xludf.DUMMYFUNCTION("""COMPUTED_VALUE"""),44100.99861111111)</f>
        <v>44100.99861</v>
      </c>
      <c r="D563" s="22">
        <f>IFERROR(__xludf.DUMMYFUNCTION("""COMPUTED_VALUE"""),1.16272)</f>
        <v>1.16272</v>
      </c>
      <c r="E563" s="32">
        <f>IFERROR(__xludf.DUMMYFUNCTION("""COMPUTED_VALUE"""),44106.75)</f>
        <v>44106.75</v>
      </c>
      <c r="F563" s="22">
        <f>IFERROR(__xludf.DUMMYFUNCTION("""COMPUTED_VALUE"""),3190.93)</f>
        <v>3190.93</v>
      </c>
    </row>
    <row r="564" ht="15.75" customHeight="1">
      <c r="A564" s="32">
        <f>IFERROR(__xludf.DUMMYFUNCTION("""COMPUTED_VALUE"""),44127.66666666667)</f>
        <v>44127.66667</v>
      </c>
      <c r="B564" s="22">
        <f>IFERROR(__xludf.DUMMYFUNCTION("""COMPUTED_VALUE"""),3465.39)</f>
        <v>3465.39</v>
      </c>
      <c r="C564" s="32">
        <f>IFERROR(__xludf.DUMMYFUNCTION("""COMPUTED_VALUE"""),44107.99861111111)</f>
        <v>44107.99861</v>
      </c>
      <c r="D564" s="22">
        <f>IFERROR(__xludf.DUMMYFUNCTION("""COMPUTED_VALUE"""),1.17154)</f>
        <v>1.17154</v>
      </c>
      <c r="E564" s="32">
        <f>IFERROR(__xludf.DUMMYFUNCTION("""COMPUTED_VALUE"""),44113.75)</f>
        <v>44113.75</v>
      </c>
      <c r="F564" s="22">
        <f>IFERROR(__xludf.DUMMYFUNCTION("""COMPUTED_VALUE"""),3273.12)</f>
        <v>3273.12</v>
      </c>
    </row>
    <row r="565" ht="15.75" customHeight="1">
      <c r="A565" s="32">
        <f>IFERROR(__xludf.DUMMYFUNCTION("""COMPUTED_VALUE"""),44134.66666666667)</f>
        <v>44134.66667</v>
      </c>
      <c r="B565" s="22">
        <f>IFERROR(__xludf.DUMMYFUNCTION("""COMPUTED_VALUE"""),3269.96)</f>
        <v>3269.96</v>
      </c>
      <c r="C565" s="32">
        <f>IFERROR(__xludf.DUMMYFUNCTION("""COMPUTED_VALUE"""),44114.99861111111)</f>
        <v>44114.99861</v>
      </c>
      <c r="D565" s="22">
        <f>IFERROR(__xludf.DUMMYFUNCTION("""COMPUTED_VALUE"""),1.18252)</f>
        <v>1.18252</v>
      </c>
      <c r="E565" s="32">
        <f>IFERROR(__xludf.DUMMYFUNCTION("""COMPUTED_VALUE"""),44120.75)</f>
        <v>44120.75</v>
      </c>
      <c r="F565" s="22">
        <f>IFERROR(__xludf.DUMMYFUNCTION("""COMPUTED_VALUE"""),3245.47)</f>
        <v>3245.47</v>
      </c>
    </row>
    <row r="566" ht="15.75" customHeight="1">
      <c r="A566" s="32">
        <f>IFERROR(__xludf.DUMMYFUNCTION("""COMPUTED_VALUE"""),44141.66666666667)</f>
        <v>44141.66667</v>
      </c>
      <c r="B566" s="22">
        <f>IFERROR(__xludf.DUMMYFUNCTION("""COMPUTED_VALUE"""),3509.44)</f>
        <v>3509.44</v>
      </c>
      <c r="C566" s="32">
        <f>IFERROR(__xludf.DUMMYFUNCTION("""COMPUTED_VALUE"""),44121.99861111111)</f>
        <v>44121.99861</v>
      </c>
      <c r="D566" s="22">
        <f>IFERROR(__xludf.DUMMYFUNCTION("""COMPUTED_VALUE"""),1.17093)</f>
        <v>1.17093</v>
      </c>
      <c r="E566" s="32">
        <f>IFERROR(__xludf.DUMMYFUNCTION("""COMPUTED_VALUE"""),44127.75)</f>
        <v>44127.75</v>
      </c>
      <c r="F566" s="22">
        <f>IFERROR(__xludf.DUMMYFUNCTION("""COMPUTED_VALUE"""),3198.86)</f>
        <v>3198.86</v>
      </c>
    </row>
    <row r="567" ht="15.75" customHeight="1">
      <c r="A567" s="32">
        <f>IFERROR(__xludf.DUMMYFUNCTION("""COMPUTED_VALUE"""),44148.66666666667)</f>
        <v>44148.66667</v>
      </c>
      <c r="B567" s="22">
        <f>IFERROR(__xludf.DUMMYFUNCTION("""COMPUTED_VALUE"""),3585.15)</f>
        <v>3585.15</v>
      </c>
      <c r="C567" s="32">
        <f>IFERROR(__xludf.DUMMYFUNCTION("""COMPUTED_VALUE"""),44128.99861111111)</f>
        <v>44128.99861</v>
      </c>
      <c r="D567" s="22">
        <f>IFERROR(__xludf.DUMMYFUNCTION("""COMPUTED_VALUE"""),1.18542)</f>
        <v>1.18542</v>
      </c>
      <c r="E567" s="32">
        <f>IFERROR(__xludf.DUMMYFUNCTION("""COMPUTED_VALUE"""),44134.75)</f>
        <v>44134.75</v>
      </c>
      <c r="F567" s="22">
        <f>IFERROR(__xludf.DUMMYFUNCTION("""COMPUTED_VALUE"""),2958.21)</f>
        <v>2958.21</v>
      </c>
    </row>
    <row r="568" ht="15.75" customHeight="1">
      <c r="A568" s="32">
        <f>IFERROR(__xludf.DUMMYFUNCTION("""COMPUTED_VALUE"""),44155.66666666667)</f>
        <v>44155.66667</v>
      </c>
      <c r="B568" s="22">
        <f>IFERROR(__xludf.DUMMYFUNCTION("""COMPUTED_VALUE"""),3557.54)</f>
        <v>3557.54</v>
      </c>
      <c r="C568" s="32">
        <f>IFERROR(__xludf.DUMMYFUNCTION("""COMPUTED_VALUE"""),44134.99861111111)</f>
        <v>44134.99861</v>
      </c>
      <c r="D568" s="22">
        <f>IFERROR(__xludf.DUMMYFUNCTION("""COMPUTED_VALUE"""),1.1675)</f>
        <v>1.1675</v>
      </c>
      <c r="E568" s="32">
        <f>IFERROR(__xludf.DUMMYFUNCTION("""COMPUTED_VALUE"""),44141.75)</f>
        <v>44141.75</v>
      </c>
      <c r="F568" s="22">
        <f>IFERROR(__xludf.DUMMYFUNCTION("""COMPUTED_VALUE"""),3204.05)</f>
        <v>3204.05</v>
      </c>
    </row>
    <row r="569" ht="15.75" customHeight="1">
      <c r="A569" s="32">
        <f>IFERROR(__xludf.DUMMYFUNCTION("""COMPUTED_VALUE"""),44162.54166666667)</f>
        <v>44162.54167</v>
      </c>
      <c r="B569" s="22">
        <f>IFERROR(__xludf.DUMMYFUNCTION("""COMPUTED_VALUE"""),3638.35)</f>
        <v>3638.35</v>
      </c>
      <c r="C569" s="32">
        <f>IFERROR(__xludf.DUMMYFUNCTION("""COMPUTED_VALUE"""),44142.99861111111)</f>
        <v>44142.99861</v>
      </c>
      <c r="D569" s="22">
        <f>IFERROR(__xludf.DUMMYFUNCTION("""COMPUTED_VALUE"""),1.1872)</f>
        <v>1.1872</v>
      </c>
      <c r="E569" s="32">
        <f>IFERROR(__xludf.DUMMYFUNCTION("""COMPUTED_VALUE"""),44148.75)</f>
        <v>44148.75</v>
      </c>
      <c r="F569" s="22">
        <f>IFERROR(__xludf.DUMMYFUNCTION("""COMPUTED_VALUE"""),3432.07)</f>
        <v>3432.07</v>
      </c>
    </row>
    <row r="570" ht="15.75" customHeight="1">
      <c r="A570" s="32">
        <f>IFERROR(__xludf.DUMMYFUNCTION("""COMPUTED_VALUE"""),44169.66666666667)</f>
        <v>44169.66667</v>
      </c>
      <c r="B570" s="22">
        <f>IFERROR(__xludf.DUMMYFUNCTION("""COMPUTED_VALUE"""),3699.12)</f>
        <v>3699.12</v>
      </c>
      <c r="C570" s="32">
        <f>IFERROR(__xludf.DUMMYFUNCTION("""COMPUTED_VALUE"""),44149.99861111111)</f>
        <v>44149.99861</v>
      </c>
      <c r="D570" s="22">
        <f>IFERROR(__xludf.DUMMYFUNCTION("""COMPUTED_VALUE"""),1.18275)</f>
        <v>1.18275</v>
      </c>
      <c r="E570" s="32">
        <f>IFERROR(__xludf.DUMMYFUNCTION("""COMPUTED_VALUE"""),44155.75)</f>
        <v>44155.75</v>
      </c>
      <c r="F570" s="22">
        <f>IFERROR(__xludf.DUMMYFUNCTION("""COMPUTED_VALUE"""),3467.6)</f>
        <v>3467.6</v>
      </c>
    </row>
    <row r="571" ht="15.75" customHeight="1">
      <c r="A571" s="32">
        <f>IFERROR(__xludf.DUMMYFUNCTION("""COMPUTED_VALUE"""),44176.66666666667)</f>
        <v>44176.66667</v>
      </c>
      <c r="B571" s="22">
        <f>IFERROR(__xludf.DUMMYFUNCTION("""COMPUTED_VALUE"""),3663.46)</f>
        <v>3663.46</v>
      </c>
      <c r="C571" s="32">
        <f>IFERROR(__xludf.DUMMYFUNCTION("""COMPUTED_VALUE"""),44155.99861111111)</f>
        <v>44155.99861</v>
      </c>
      <c r="D571" s="22">
        <f>IFERROR(__xludf.DUMMYFUNCTION("""COMPUTED_VALUE"""),1.18526)</f>
        <v>1.18526</v>
      </c>
      <c r="E571" s="32">
        <f>IFERROR(__xludf.DUMMYFUNCTION("""COMPUTED_VALUE"""),44162.75)</f>
        <v>44162.75</v>
      </c>
      <c r="F571" s="22">
        <f>IFERROR(__xludf.DUMMYFUNCTION("""COMPUTED_VALUE"""),3527.79)</f>
        <v>3527.79</v>
      </c>
    </row>
    <row r="572" ht="15.75" customHeight="1">
      <c r="A572" s="32">
        <f>IFERROR(__xludf.DUMMYFUNCTION("""COMPUTED_VALUE"""),44183.66666666667)</f>
        <v>44183.66667</v>
      </c>
      <c r="B572" s="22">
        <f>IFERROR(__xludf.DUMMYFUNCTION("""COMPUTED_VALUE"""),3709.41)</f>
        <v>3709.41</v>
      </c>
      <c r="C572" s="32">
        <f>IFERROR(__xludf.DUMMYFUNCTION("""COMPUTED_VALUE"""),44163.99861111111)</f>
        <v>44163.99861</v>
      </c>
      <c r="D572" s="22">
        <f>IFERROR(__xludf.DUMMYFUNCTION("""COMPUTED_VALUE"""),1.1962)</f>
        <v>1.1962</v>
      </c>
      <c r="E572" s="32">
        <f>IFERROR(__xludf.DUMMYFUNCTION("""COMPUTED_VALUE"""),44169.75)</f>
        <v>44169.75</v>
      </c>
      <c r="F572" s="22">
        <f>IFERROR(__xludf.DUMMYFUNCTION("""COMPUTED_VALUE"""),3539.27)</f>
        <v>3539.27</v>
      </c>
    </row>
    <row r="573" ht="15.75" customHeight="1">
      <c r="A573" s="32">
        <f>IFERROR(__xludf.DUMMYFUNCTION("""COMPUTED_VALUE"""),44188.66666666667)</f>
        <v>44188.66667</v>
      </c>
      <c r="B573" s="22">
        <f>IFERROR(__xludf.DUMMYFUNCTION("""COMPUTED_VALUE"""),3690.01)</f>
        <v>3690.01</v>
      </c>
      <c r="C573" s="32">
        <f>IFERROR(__xludf.DUMMYFUNCTION("""COMPUTED_VALUE"""),44170.99861111111)</f>
        <v>44170.99861</v>
      </c>
      <c r="D573" s="22">
        <f>IFERROR(__xludf.DUMMYFUNCTION("""COMPUTED_VALUE"""),1.212)</f>
        <v>1.212</v>
      </c>
      <c r="E573" s="32">
        <f>IFERROR(__xludf.DUMMYFUNCTION("""COMPUTED_VALUE"""),44176.75)</f>
        <v>44176.75</v>
      </c>
      <c r="F573" s="22">
        <f>IFERROR(__xludf.DUMMYFUNCTION("""COMPUTED_VALUE"""),3485.84)</f>
        <v>3485.84</v>
      </c>
    </row>
    <row r="574" ht="15.75" customHeight="1">
      <c r="A574" s="32">
        <f>IFERROR(__xludf.DUMMYFUNCTION("""COMPUTED_VALUE"""),44196.66666666667)</f>
        <v>44196.66667</v>
      </c>
      <c r="B574" s="22">
        <f>IFERROR(__xludf.DUMMYFUNCTION("""COMPUTED_VALUE"""),3756.07)</f>
        <v>3756.07</v>
      </c>
      <c r="C574" s="32">
        <f>IFERROR(__xludf.DUMMYFUNCTION("""COMPUTED_VALUE"""),44177.99861111111)</f>
        <v>44177.99861</v>
      </c>
      <c r="D574" s="22">
        <f>IFERROR(__xludf.DUMMYFUNCTION("""COMPUTED_VALUE"""),1.2113)</f>
        <v>1.2113</v>
      </c>
      <c r="E574" s="32">
        <f>IFERROR(__xludf.DUMMYFUNCTION("""COMPUTED_VALUE"""),44183.75)</f>
        <v>44183.75</v>
      </c>
      <c r="F574" s="22">
        <f>IFERROR(__xludf.DUMMYFUNCTION("""COMPUTED_VALUE"""),3545.74)</f>
        <v>3545.74</v>
      </c>
    </row>
    <row r="575" ht="15.75" customHeight="1">
      <c r="A575" s="32">
        <f>IFERROR(__xludf.DUMMYFUNCTION("""COMPUTED_VALUE"""),44204.66666666667)</f>
        <v>44204.66667</v>
      </c>
      <c r="B575" s="22">
        <f>IFERROR(__xludf.DUMMYFUNCTION("""COMPUTED_VALUE"""),3824.68)</f>
        <v>3824.68</v>
      </c>
      <c r="C575" s="32">
        <f>IFERROR(__xludf.DUMMYFUNCTION("""COMPUTED_VALUE"""),44184.99861111111)</f>
        <v>44184.99861</v>
      </c>
      <c r="D575" s="22">
        <f>IFERROR(__xludf.DUMMYFUNCTION("""COMPUTED_VALUE"""),1.22547)</f>
        <v>1.22547</v>
      </c>
      <c r="E575" s="32">
        <f>IFERROR(__xludf.DUMMYFUNCTION("""COMPUTED_VALUE"""),44204.75)</f>
        <v>44204.75</v>
      </c>
      <c r="F575" s="22">
        <f>IFERROR(__xludf.DUMMYFUNCTION("""COMPUTED_VALUE"""),3645.05)</f>
        <v>3645.05</v>
      </c>
    </row>
    <row r="576" ht="15.75" customHeight="1">
      <c r="A576" s="32">
        <f>IFERROR(__xludf.DUMMYFUNCTION("""COMPUTED_VALUE"""),44211.66666666667)</f>
        <v>44211.66667</v>
      </c>
      <c r="B576" s="22">
        <f>IFERROR(__xludf.DUMMYFUNCTION("""COMPUTED_VALUE"""),3768.25)</f>
        <v>3768.25</v>
      </c>
      <c r="C576" s="32">
        <f>IFERROR(__xludf.DUMMYFUNCTION("""COMPUTED_VALUE"""),44191.99861111111)</f>
        <v>44191.99861</v>
      </c>
      <c r="D576" s="22">
        <f>IFERROR(__xludf.DUMMYFUNCTION("""COMPUTED_VALUE"""),1.2151)</f>
        <v>1.2151</v>
      </c>
      <c r="E576" s="32">
        <f>IFERROR(__xludf.DUMMYFUNCTION("""COMPUTED_VALUE"""),44211.75)</f>
        <v>44211.75</v>
      </c>
      <c r="F576" s="22">
        <f>IFERROR(__xludf.DUMMYFUNCTION("""COMPUTED_VALUE"""),3599.55)</f>
        <v>3599.55</v>
      </c>
    </row>
    <row r="577" ht="15.75" customHeight="1">
      <c r="A577" s="32">
        <f>IFERROR(__xludf.DUMMYFUNCTION("""COMPUTED_VALUE"""),44218.66666666667)</f>
        <v>44218.66667</v>
      </c>
      <c r="B577" s="22">
        <f>IFERROR(__xludf.DUMMYFUNCTION("""COMPUTED_VALUE"""),3841.47)</f>
        <v>3841.47</v>
      </c>
      <c r="C577" s="32">
        <f>IFERROR(__xludf.DUMMYFUNCTION("""COMPUTED_VALUE"""),44198.99861111111)</f>
        <v>44198.99861</v>
      </c>
      <c r="D577" s="22">
        <f>IFERROR(__xludf.DUMMYFUNCTION("""COMPUTED_VALUE"""),1.20108)</f>
        <v>1.20108</v>
      </c>
      <c r="E577" s="32">
        <f>IFERROR(__xludf.DUMMYFUNCTION("""COMPUTED_VALUE"""),44218.75)</f>
        <v>44218.75</v>
      </c>
      <c r="F577" s="22">
        <f>IFERROR(__xludf.DUMMYFUNCTION("""COMPUTED_VALUE"""),3602.41)</f>
        <v>3602.41</v>
      </c>
    </row>
    <row r="578" ht="15.75" customHeight="1">
      <c r="A578" s="32">
        <f>IFERROR(__xludf.DUMMYFUNCTION("""COMPUTED_VALUE"""),44225.66666666667)</f>
        <v>44225.66667</v>
      </c>
      <c r="B578" s="22">
        <f>IFERROR(__xludf.DUMMYFUNCTION("""COMPUTED_VALUE"""),3714.24)</f>
        <v>3714.24</v>
      </c>
      <c r="C578" s="32">
        <f>IFERROR(__xludf.DUMMYFUNCTION("""COMPUTED_VALUE"""),44205.99861111111)</f>
        <v>44205.99861</v>
      </c>
      <c r="D578" s="22">
        <f>IFERROR(__xludf.DUMMYFUNCTION("""COMPUTED_VALUE"""),1.2221)</f>
        <v>1.2221</v>
      </c>
      <c r="E578" s="32">
        <f>IFERROR(__xludf.DUMMYFUNCTION("""COMPUTED_VALUE"""),44225.75)</f>
        <v>44225.75</v>
      </c>
      <c r="F578" s="22">
        <f>IFERROR(__xludf.DUMMYFUNCTION("""COMPUTED_VALUE"""),3481.44)</f>
        <v>3481.44</v>
      </c>
    </row>
    <row r="579" ht="15.75" customHeight="1">
      <c r="A579" s="32">
        <f>IFERROR(__xludf.DUMMYFUNCTION("""COMPUTED_VALUE"""),44232.66666666667)</f>
        <v>44232.66667</v>
      </c>
      <c r="B579" s="22">
        <f>IFERROR(__xludf.DUMMYFUNCTION("""COMPUTED_VALUE"""),3886.83)</f>
        <v>3886.83</v>
      </c>
      <c r="C579" s="32">
        <f>IFERROR(__xludf.DUMMYFUNCTION("""COMPUTED_VALUE"""),44212.99861111111)</f>
        <v>44212.99861</v>
      </c>
      <c r="D579" s="22">
        <f>IFERROR(__xludf.DUMMYFUNCTION("""COMPUTED_VALUE"""),1.2075)</f>
        <v>1.2075</v>
      </c>
      <c r="E579" s="32">
        <f>IFERROR(__xludf.DUMMYFUNCTION("""COMPUTED_VALUE"""),44232.75)</f>
        <v>44232.75</v>
      </c>
      <c r="F579" s="22">
        <f>IFERROR(__xludf.DUMMYFUNCTION("""COMPUTED_VALUE"""),3655.77)</f>
        <v>3655.77</v>
      </c>
    </row>
    <row r="580" ht="15.75" customHeight="1">
      <c r="A580" s="32">
        <f>IFERROR(__xludf.DUMMYFUNCTION("""COMPUTED_VALUE"""),44239.66666666667)</f>
        <v>44239.66667</v>
      </c>
      <c r="B580" s="22">
        <f>IFERROR(__xludf.DUMMYFUNCTION("""COMPUTED_VALUE"""),3934.83)</f>
        <v>3934.83</v>
      </c>
      <c r="C580" s="32">
        <f>IFERROR(__xludf.DUMMYFUNCTION("""COMPUTED_VALUE"""),44219.99861111111)</f>
        <v>44219.99861</v>
      </c>
      <c r="D580" s="22">
        <f>IFERROR(__xludf.DUMMYFUNCTION("""COMPUTED_VALUE"""),1.21134)</f>
        <v>1.21134</v>
      </c>
      <c r="E580" s="32">
        <f>IFERROR(__xludf.DUMMYFUNCTION("""COMPUTED_VALUE"""),44239.75)</f>
        <v>44239.75</v>
      </c>
      <c r="F580" s="22">
        <f>IFERROR(__xludf.DUMMYFUNCTION("""COMPUTED_VALUE"""),3695.61)</f>
        <v>3695.61</v>
      </c>
    </row>
    <row r="581" ht="15.75" customHeight="1">
      <c r="A581" s="32">
        <f>IFERROR(__xludf.DUMMYFUNCTION("""COMPUTED_VALUE"""),44246.66666666667)</f>
        <v>44246.66667</v>
      </c>
      <c r="B581" s="22">
        <f>IFERROR(__xludf.DUMMYFUNCTION("""COMPUTED_VALUE"""),3906.71)</f>
        <v>3906.71</v>
      </c>
      <c r="C581" s="32">
        <f>IFERROR(__xludf.DUMMYFUNCTION("""COMPUTED_VALUE"""),44226.99861111111)</f>
        <v>44226.99861</v>
      </c>
      <c r="D581" s="22">
        <f>IFERROR(__xludf.DUMMYFUNCTION("""COMPUTED_VALUE"""),1.2136)</f>
        <v>1.2136</v>
      </c>
      <c r="E581" s="32">
        <f>IFERROR(__xludf.DUMMYFUNCTION("""COMPUTED_VALUE"""),44246.75)</f>
        <v>44246.75</v>
      </c>
      <c r="F581" s="22">
        <f>IFERROR(__xludf.DUMMYFUNCTION("""COMPUTED_VALUE"""),3713.46)</f>
        <v>3713.46</v>
      </c>
    </row>
    <row r="582" ht="15.75" customHeight="1">
      <c r="A582" s="32">
        <f>IFERROR(__xludf.DUMMYFUNCTION("""COMPUTED_VALUE"""),44253.66666666667)</f>
        <v>44253.66667</v>
      </c>
      <c r="B582" s="22">
        <f>IFERROR(__xludf.DUMMYFUNCTION("""COMPUTED_VALUE"""),3811.15)</f>
        <v>3811.15</v>
      </c>
      <c r="C582" s="32">
        <f>IFERROR(__xludf.DUMMYFUNCTION("""COMPUTED_VALUE"""),44233.99861111111)</f>
        <v>44233.99861</v>
      </c>
      <c r="D582" s="22">
        <f>IFERROR(__xludf.DUMMYFUNCTION("""COMPUTED_VALUE"""),1.20401)</f>
        <v>1.20401</v>
      </c>
      <c r="E582" s="32">
        <f>IFERROR(__xludf.DUMMYFUNCTION("""COMPUTED_VALUE"""),44253.75)</f>
        <v>44253.75</v>
      </c>
      <c r="F582" s="22">
        <f>IFERROR(__xludf.DUMMYFUNCTION("""COMPUTED_VALUE"""),3636.44)</f>
        <v>3636.44</v>
      </c>
    </row>
    <row r="583" ht="15.75" customHeight="1">
      <c r="A583" s="32">
        <f>IFERROR(__xludf.DUMMYFUNCTION("""COMPUTED_VALUE"""),44260.66666666667)</f>
        <v>44260.66667</v>
      </c>
      <c r="B583" s="22">
        <f>IFERROR(__xludf.DUMMYFUNCTION("""COMPUTED_VALUE"""),3841.94)</f>
        <v>3841.94</v>
      </c>
      <c r="C583" s="32">
        <f>IFERROR(__xludf.DUMMYFUNCTION("""COMPUTED_VALUE"""),44240.99861111111)</f>
        <v>44240.99861</v>
      </c>
      <c r="D583" s="22">
        <f>IFERROR(__xludf.DUMMYFUNCTION("""COMPUTED_VALUE"""),1.2119)</f>
        <v>1.2119</v>
      </c>
      <c r="E583" s="32">
        <f>IFERROR(__xludf.DUMMYFUNCTION("""COMPUTED_VALUE"""),44260.75)</f>
        <v>44260.75</v>
      </c>
      <c r="F583" s="22">
        <f>IFERROR(__xludf.DUMMYFUNCTION("""COMPUTED_VALUE"""),3669.54)</f>
        <v>3669.54</v>
      </c>
    </row>
    <row r="584" ht="15.75" customHeight="1">
      <c r="A584" s="32">
        <f>IFERROR(__xludf.DUMMYFUNCTION("""COMPUTED_VALUE"""),44267.66666666667)</f>
        <v>44267.66667</v>
      </c>
      <c r="B584" s="22">
        <f>IFERROR(__xludf.DUMMYFUNCTION("""COMPUTED_VALUE"""),3943.34)</f>
        <v>3943.34</v>
      </c>
      <c r="C584" s="32">
        <f>IFERROR(__xludf.DUMMYFUNCTION("""COMPUTED_VALUE"""),44247.99861111111)</f>
        <v>44247.99861</v>
      </c>
      <c r="D584" s="22">
        <f>IFERROR(__xludf.DUMMYFUNCTION("""COMPUTED_VALUE"""),1.2119)</f>
        <v>1.2119</v>
      </c>
      <c r="E584" s="32">
        <f>IFERROR(__xludf.DUMMYFUNCTION("""COMPUTED_VALUE"""),44267.75)</f>
        <v>44267.75</v>
      </c>
      <c r="F584" s="22">
        <f>IFERROR(__xludf.DUMMYFUNCTION("""COMPUTED_VALUE"""),3833.36)</f>
        <v>3833.36</v>
      </c>
    </row>
    <row r="585" ht="15.75" customHeight="1">
      <c r="A585" s="32">
        <f>IFERROR(__xludf.DUMMYFUNCTION("""COMPUTED_VALUE"""),44274.66666666667)</f>
        <v>44274.66667</v>
      </c>
      <c r="B585" s="22">
        <f>IFERROR(__xludf.DUMMYFUNCTION("""COMPUTED_VALUE"""),3913.1)</f>
        <v>3913.1</v>
      </c>
      <c r="C585" s="32">
        <f>IFERROR(__xludf.DUMMYFUNCTION("""COMPUTED_VALUE"""),44254.99861111111)</f>
        <v>44254.99861</v>
      </c>
      <c r="D585" s="22">
        <f>IFERROR(__xludf.DUMMYFUNCTION("""COMPUTED_VALUE"""),1.20695)</f>
        <v>1.20695</v>
      </c>
      <c r="E585" s="32">
        <f>IFERROR(__xludf.DUMMYFUNCTION("""COMPUTED_VALUE"""),44274.75)</f>
        <v>44274.75</v>
      </c>
      <c r="F585" s="22">
        <f>IFERROR(__xludf.DUMMYFUNCTION("""COMPUTED_VALUE"""),3837.02)</f>
        <v>3837.02</v>
      </c>
    </row>
    <row r="586" ht="15.75" customHeight="1">
      <c r="A586" s="32">
        <f>IFERROR(__xludf.DUMMYFUNCTION("""COMPUTED_VALUE"""),44281.66666666667)</f>
        <v>44281.66667</v>
      </c>
      <c r="B586" s="22">
        <f>IFERROR(__xludf.DUMMYFUNCTION("""COMPUTED_VALUE"""),3974.54)</f>
        <v>3974.54</v>
      </c>
      <c r="C586" s="32">
        <f>IFERROR(__xludf.DUMMYFUNCTION("""COMPUTED_VALUE"""),44261.99861111111)</f>
        <v>44261.99861</v>
      </c>
      <c r="D586" s="22">
        <f>IFERROR(__xludf.DUMMYFUNCTION("""COMPUTED_VALUE"""),1.19088)</f>
        <v>1.19088</v>
      </c>
      <c r="E586" s="32">
        <f>IFERROR(__xludf.DUMMYFUNCTION("""COMPUTED_VALUE"""),44281.75)</f>
        <v>44281.75</v>
      </c>
      <c r="F586" s="22">
        <f>IFERROR(__xludf.DUMMYFUNCTION("""COMPUTED_VALUE"""),3866.68)</f>
        <v>3866.68</v>
      </c>
    </row>
    <row r="587" ht="15.75" customHeight="1">
      <c r="A587" s="32">
        <f>IFERROR(__xludf.DUMMYFUNCTION("""COMPUTED_VALUE"""),44287.66666666667)</f>
        <v>44287.66667</v>
      </c>
      <c r="B587" s="22">
        <f>IFERROR(__xludf.DUMMYFUNCTION("""COMPUTED_VALUE"""),4019.87)</f>
        <v>4019.87</v>
      </c>
      <c r="C587" s="32">
        <f>IFERROR(__xludf.DUMMYFUNCTION("""COMPUTED_VALUE"""),44268.99861111111)</f>
        <v>44268.99861</v>
      </c>
      <c r="D587" s="22">
        <f>IFERROR(__xludf.DUMMYFUNCTION("""COMPUTED_VALUE"""),1.19523)</f>
        <v>1.19523</v>
      </c>
      <c r="E587" s="32">
        <f>IFERROR(__xludf.DUMMYFUNCTION("""COMPUTED_VALUE"""),44287.75)</f>
        <v>44287.75</v>
      </c>
      <c r="F587" s="22">
        <f>IFERROR(__xludf.DUMMYFUNCTION("""COMPUTED_VALUE"""),3945.96)</f>
        <v>3945.96</v>
      </c>
    </row>
    <row r="588" ht="15.75" customHeight="1">
      <c r="A588" s="32">
        <f>IFERROR(__xludf.DUMMYFUNCTION("""COMPUTED_VALUE"""),44295.66666666667)</f>
        <v>44295.66667</v>
      </c>
      <c r="B588" s="22">
        <f>IFERROR(__xludf.DUMMYFUNCTION("""COMPUTED_VALUE"""),4128.8)</f>
        <v>4128.8</v>
      </c>
      <c r="C588" s="32">
        <f>IFERROR(__xludf.DUMMYFUNCTION("""COMPUTED_VALUE"""),44275.99861111111)</f>
        <v>44275.99861</v>
      </c>
      <c r="D588" s="22">
        <f>IFERROR(__xludf.DUMMYFUNCTION("""COMPUTED_VALUE"""),1.1946)</f>
        <v>1.1946</v>
      </c>
      <c r="E588" s="32">
        <f>IFERROR(__xludf.DUMMYFUNCTION("""COMPUTED_VALUE"""),44295.75)</f>
        <v>44295.75</v>
      </c>
      <c r="F588" s="22">
        <f>IFERROR(__xludf.DUMMYFUNCTION("""COMPUTED_VALUE"""),3978.84)</f>
        <v>3978.84</v>
      </c>
    </row>
    <row r="589" ht="15.75" customHeight="1">
      <c r="A589" s="32">
        <f>IFERROR(__xludf.DUMMYFUNCTION("""COMPUTED_VALUE"""),44302.66666666667)</f>
        <v>44302.66667</v>
      </c>
      <c r="B589" s="22">
        <f>IFERROR(__xludf.DUMMYFUNCTION("""COMPUTED_VALUE"""),4185.47)</f>
        <v>4185.47</v>
      </c>
      <c r="C589" s="32">
        <f>IFERROR(__xludf.DUMMYFUNCTION("""COMPUTED_VALUE"""),44282.99861111111)</f>
        <v>44282.99861</v>
      </c>
      <c r="D589" s="22">
        <f>IFERROR(__xludf.DUMMYFUNCTION("""COMPUTED_VALUE"""),1.1822)</f>
        <v>1.1822</v>
      </c>
      <c r="E589" s="32">
        <f>IFERROR(__xludf.DUMMYFUNCTION("""COMPUTED_VALUE"""),44302.75)</f>
        <v>44302.75</v>
      </c>
      <c r="F589" s="22">
        <f>IFERROR(__xludf.DUMMYFUNCTION("""COMPUTED_VALUE"""),4032.99)</f>
        <v>4032.99</v>
      </c>
    </row>
    <row r="590" ht="15.75" customHeight="1">
      <c r="A590" s="32">
        <f>IFERROR(__xludf.DUMMYFUNCTION("""COMPUTED_VALUE"""),44309.66666666667)</f>
        <v>44309.66667</v>
      </c>
      <c r="B590" s="22">
        <f>IFERROR(__xludf.DUMMYFUNCTION("""COMPUTED_VALUE"""),4180.17)</f>
        <v>4180.17</v>
      </c>
      <c r="C590" s="32">
        <f>IFERROR(__xludf.DUMMYFUNCTION("""COMPUTED_VALUE"""),44289.99861111111)</f>
        <v>44289.99861</v>
      </c>
      <c r="D590" s="22">
        <f>IFERROR(__xludf.DUMMYFUNCTION("""COMPUTED_VALUE"""),1.1761)</f>
        <v>1.1761</v>
      </c>
      <c r="E590" s="32">
        <f>IFERROR(__xludf.DUMMYFUNCTION("""COMPUTED_VALUE"""),44309.75)</f>
        <v>44309.75</v>
      </c>
      <c r="F590" s="22">
        <f>IFERROR(__xludf.DUMMYFUNCTION("""COMPUTED_VALUE"""),4013.34)</f>
        <v>4013.34</v>
      </c>
    </row>
    <row r="591" ht="15.75" customHeight="1">
      <c r="A591" s="32">
        <f>IFERROR(__xludf.DUMMYFUNCTION("""COMPUTED_VALUE"""),44316.66666666667)</f>
        <v>44316.66667</v>
      </c>
      <c r="B591" s="22">
        <f>IFERROR(__xludf.DUMMYFUNCTION("""COMPUTED_VALUE"""),4181.17)</f>
        <v>4181.17</v>
      </c>
      <c r="C591" s="32">
        <f>IFERROR(__xludf.DUMMYFUNCTION("""COMPUTED_VALUE"""),44296.99861111111)</f>
        <v>44296.99861</v>
      </c>
      <c r="D591" s="22">
        <f>IFERROR(__xludf.DUMMYFUNCTION("""COMPUTED_VALUE"""),1.19)</f>
        <v>1.19</v>
      </c>
      <c r="E591" s="32">
        <f>IFERROR(__xludf.DUMMYFUNCTION("""COMPUTED_VALUE"""),44316.75)</f>
        <v>44316.75</v>
      </c>
      <c r="F591" s="22">
        <f>IFERROR(__xludf.DUMMYFUNCTION("""COMPUTED_VALUE"""),3974.74)</f>
        <v>3974.74</v>
      </c>
    </row>
    <row r="592" ht="15.75" customHeight="1">
      <c r="A592" s="32">
        <f>IFERROR(__xludf.DUMMYFUNCTION("""COMPUTED_VALUE"""),44323.66666666667)</f>
        <v>44323.66667</v>
      </c>
      <c r="B592" s="22">
        <f>IFERROR(__xludf.DUMMYFUNCTION("""COMPUTED_VALUE"""),4232.6)</f>
        <v>4232.6</v>
      </c>
      <c r="C592" s="32">
        <f>IFERROR(__xludf.DUMMYFUNCTION("""COMPUTED_VALUE"""),44303.99861111111)</f>
        <v>44303.99861</v>
      </c>
      <c r="D592" s="22">
        <f>IFERROR(__xludf.DUMMYFUNCTION("""COMPUTED_VALUE"""),1.1982)</f>
        <v>1.1982</v>
      </c>
      <c r="E592" s="32">
        <f>IFERROR(__xludf.DUMMYFUNCTION("""COMPUTED_VALUE"""),44323.75)</f>
        <v>44323.75</v>
      </c>
      <c r="F592" s="22">
        <f>IFERROR(__xludf.DUMMYFUNCTION("""COMPUTED_VALUE"""),4034.25)</f>
        <v>4034.25</v>
      </c>
    </row>
    <row r="593" ht="15.75" customHeight="1">
      <c r="A593" s="32">
        <f>IFERROR(__xludf.DUMMYFUNCTION("""COMPUTED_VALUE"""),44330.66666666667)</f>
        <v>44330.66667</v>
      </c>
      <c r="B593" s="22">
        <f>IFERROR(__xludf.DUMMYFUNCTION("""COMPUTED_VALUE"""),4173.85)</f>
        <v>4173.85</v>
      </c>
      <c r="C593" s="32">
        <f>IFERROR(__xludf.DUMMYFUNCTION("""COMPUTED_VALUE"""),44310.99861111111)</f>
        <v>44310.99861</v>
      </c>
      <c r="D593" s="22">
        <f>IFERROR(__xludf.DUMMYFUNCTION("""COMPUTED_VALUE"""),1.2097)</f>
        <v>1.2097</v>
      </c>
      <c r="E593" s="32">
        <f>IFERROR(__xludf.DUMMYFUNCTION("""COMPUTED_VALUE"""),44330.75)</f>
        <v>44330.75</v>
      </c>
      <c r="F593" s="22">
        <f>IFERROR(__xludf.DUMMYFUNCTION("""COMPUTED_VALUE"""),4017.44)</f>
        <v>4017.44</v>
      </c>
    </row>
    <row r="594" ht="15.75" customHeight="1">
      <c r="A594" s="32">
        <f>IFERROR(__xludf.DUMMYFUNCTION("""COMPUTED_VALUE"""),44337.66666666667)</f>
        <v>44337.66667</v>
      </c>
      <c r="B594" s="22">
        <f>IFERROR(__xludf.DUMMYFUNCTION("""COMPUTED_VALUE"""),4155.86)</f>
        <v>4155.86</v>
      </c>
      <c r="C594" s="32">
        <f>IFERROR(__xludf.DUMMYFUNCTION("""COMPUTED_VALUE"""),44317.99861111111)</f>
        <v>44317.99861</v>
      </c>
      <c r="D594" s="22">
        <f>IFERROR(__xludf.DUMMYFUNCTION("""COMPUTED_VALUE"""),1.202)</f>
        <v>1.202</v>
      </c>
      <c r="E594" s="32">
        <f>IFERROR(__xludf.DUMMYFUNCTION("""COMPUTED_VALUE"""),44337.75)</f>
        <v>44337.75</v>
      </c>
      <c r="F594" s="22">
        <f>IFERROR(__xludf.DUMMYFUNCTION("""COMPUTED_VALUE"""),4025.78)</f>
        <v>4025.78</v>
      </c>
    </row>
    <row r="595" ht="15.75" customHeight="1">
      <c r="A595" s="32">
        <f>IFERROR(__xludf.DUMMYFUNCTION("""COMPUTED_VALUE"""),44344.66666666667)</f>
        <v>44344.66667</v>
      </c>
      <c r="B595" s="22">
        <f>IFERROR(__xludf.DUMMYFUNCTION("""COMPUTED_VALUE"""),4204.11)</f>
        <v>4204.11</v>
      </c>
      <c r="C595" s="32">
        <f>IFERROR(__xludf.DUMMYFUNCTION("""COMPUTED_VALUE"""),44324.99861111111)</f>
        <v>44324.99861</v>
      </c>
      <c r="D595" s="22">
        <f>IFERROR(__xludf.DUMMYFUNCTION("""COMPUTED_VALUE"""),1.2161)</f>
        <v>1.2161</v>
      </c>
      <c r="E595" s="32">
        <f>IFERROR(__xludf.DUMMYFUNCTION("""COMPUTED_VALUE"""),44344.75)</f>
        <v>44344.75</v>
      </c>
      <c r="F595" s="22">
        <f>IFERROR(__xludf.DUMMYFUNCTION("""COMPUTED_VALUE"""),4070.56)</f>
        <v>4070.56</v>
      </c>
    </row>
    <row r="596" ht="15.75" customHeight="1">
      <c r="A596" s="32">
        <f>IFERROR(__xludf.DUMMYFUNCTION("""COMPUTED_VALUE"""),44351.66666666667)</f>
        <v>44351.66667</v>
      </c>
      <c r="B596" s="22">
        <f>IFERROR(__xludf.DUMMYFUNCTION("""COMPUTED_VALUE"""),4229.89)</f>
        <v>4229.89</v>
      </c>
      <c r="C596" s="32">
        <f>IFERROR(__xludf.DUMMYFUNCTION("""COMPUTED_VALUE"""),44331.99861111111)</f>
        <v>44331.99861</v>
      </c>
      <c r="D596" s="22">
        <f>IFERROR(__xludf.DUMMYFUNCTION("""COMPUTED_VALUE"""),1.21446)</f>
        <v>1.21446</v>
      </c>
      <c r="E596" s="32">
        <f>IFERROR(__xludf.DUMMYFUNCTION("""COMPUTED_VALUE"""),44351.75)</f>
        <v>44351.75</v>
      </c>
      <c r="F596" s="22">
        <f>IFERROR(__xludf.DUMMYFUNCTION("""COMPUTED_VALUE"""),4089.38)</f>
        <v>4089.38</v>
      </c>
    </row>
    <row r="597" ht="15.75" customHeight="1">
      <c r="A597" s="32">
        <f>IFERROR(__xludf.DUMMYFUNCTION("""COMPUTED_VALUE"""),44358.66666666667)</f>
        <v>44358.66667</v>
      </c>
      <c r="B597" s="22">
        <f>IFERROR(__xludf.DUMMYFUNCTION("""COMPUTED_VALUE"""),4247.44)</f>
        <v>4247.44</v>
      </c>
      <c r="C597" s="32">
        <f>IFERROR(__xludf.DUMMYFUNCTION("""COMPUTED_VALUE"""),44338.99861111111)</f>
        <v>44338.99861</v>
      </c>
      <c r="D597" s="22">
        <f>IFERROR(__xludf.DUMMYFUNCTION("""COMPUTED_VALUE"""),1.2179)</f>
        <v>1.2179</v>
      </c>
      <c r="E597" s="32">
        <f>IFERROR(__xludf.DUMMYFUNCTION("""COMPUTED_VALUE"""),44358.75)</f>
        <v>44358.75</v>
      </c>
      <c r="F597" s="22">
        <f>IFERROR(__xludf.DUMMYFUNCTION("""COMPUTED_VALUE"""),4126.7)</f>
        <v>4126.7</v>
      </c>
    </row>
    <row r="598" ht="15.75" customHeight="1">
      <c r="A598" s="32">
        <f>IFERROR(__xludf.DUMMYFUNCTION("""COMPUTED_VALUE"""),44365.66666666667)</f>
        <v>44365.66667</v>
      </c>
      <c r="B598" s="22">
        <f>IFERROR(__xludf.DUMMYFUNCTION("""COMPUTED_VALUE"""),4166.45)</f>
        <v>4166.45</v>
      </c>
      <c r="C598" s="32">
        <f>IFERROR(__xludf.DUMMYFUNCTION("""COMPUTED_VALUE"""),44345.99861111111)</f>
        <v>44345.99861</v>
      </c>
      <c r="D598" s="22">
        <f>IFERROR(__xludf.DUMMYFUNCTION("""COMPUTED_VALUE"""),1.21921)</f>
        <v>1.21921</v>
      </c>
      <c r="E598" s="32">
        <f>IFERROR(__xludf.DUMMYFUNCTION("""COMPUTED_VALUE"""),44365.75)</f>
        <v>44365.75</v>
      </c>
      <c r="F598" s="22">
        <f>IFERROR(__xludf.DUMMYFUNCTION("""COMPUTED_VALUE"""),4083.37)</f>
        <v>4083.37</v>
      </c>
    </row>
    <row r="599" ht="15.75" customHeight="1">
      <c r="A599" s="32">
        <f>IFERROR(__xludf.DUMMYFUNCTION("""COMPUTED_VALUE"""),44372.66666666667)</f>
        <v>44372.66667</v>
      </c>
      <c r="B599" s="22">
        <f>IFERROR(__xludf.DUMMYFUNCTION("""COMPUTED_VALUE"""),4280.7)</f>
        <v>4280.7</v>
      </c>
      <c r="C599" s="32">
        <f>IFERROR(__xludf.DUMMYFUNCTION("""COMPUTED_VALUE"""),44352.99861111111)</f>
        <v>44352.99861</v>
      </c>
      <c r="D599" s="22">
        <f>IFERROR(__xludf.DUMMYFUNCTION("""COMPUTED_VALUE"""),1.21648)</f>
        <v>1.21648</v>
      </c>
      <c r="E599" s="32">
        <f>IFERROR(__xludf.DUMMYFUNCTION("""COMPUTED_VALUE"""),44372.75)</f>
        <v>44372.75</v>
      </c>
      <c r="F599" s="22">
        <f>IFERROR(__xludf.DUMMYFUNCTION("""COMPUTED_VALUE"""),4120.66)</f>
        <v>4120.66</v>
      </c>
    </row>
    <row r="600" ht="15.75" customHeight="1">
      <c r="A600" s="32">
        <f>IFERROR(__xludf.DUMMYFUNCTION("""COMPUTED_VALUE"""),44379.66666666667)</f>
        <v>44379.66667</v>
      </c>
      <c r="B600" s="22">
        <f>IFERROR(__xludf.DUMMYFUNCTION("""COMPUTED_VALUE"""),4352.34)</f>
        <v>4352.34</v>
      </c>
      <c r="C600" s="32">
        <f>IFERROR(__xludf.DUMMYFUNCTION("""COMPUTED_VALUE"""),44359.99861111111)</f>
        <v>44359.99861</v>
      </c>
      <c r="D600" s="22">
        <f>IFERROR(__xludf.DUMMYFUNCTION("""COMPUTED_VALUE"""),1.2105)</f>
        <v>1.2105</v>
      </c>
      <c r="E600" s="32">
        <f>IFERROR(__xludf.DUMMYFUNCTION("""COMPUTED_VALUE"""),44379.75)</f>
        <v>44379.75</v>
      </c>
      <c r="F600" s="22">
        <f>IFERROR(__xludf.DUMMYFUNCTION("""COMPUTED_VALUE"""),4084.31)</f>
        <v>4084.31</v>
      </c>
    </row>
    <row r="601" ht="15.75" customHeight="1">
      <c r="A601" s="32">
        <f>IFERROR(__xludf.DUMMYFUNCTION("""COMPUTED_VALUE"""),44386.66666666667)</f>
        <v>44386.66667</v>
      </c>
      <c r="B601" s="22">
        <f>IFERROR(__xludf.DUMMYFUNCTION("""COMPUTED_VALUE"""),4369.55)</f>
        <v>4369.55</v>
      </c>
      <c r="C601" s="32">
        <f>IFERROR(__xludf.DUMMYFUNCTION("""COMPUTED_VALUE"""),44366.99861111111)</f>
        <v>44366.99861</v>
      </c>
      <c r="D601" s="22">
        <f>IFERROR(__xludf.DUMMYFUNCTION("""COMPUTED_VALUE"""),1.18585)</f>
        <v>1.18585</v>
      </c>
      <c r="E601" s="32">
        <f>IFERROR(__xludf.DUMMYFUNCTION("""COMPUTED_VALUE"""),44386.75)</f>
        <v>44386.75</v>
      </c>
      <c r="F601" s="22">
        <f>IFERROR(__xludf.DUMMYFUNCTION("""COMPUTED_VALUE"""),4068.09)</f>
        <v>4068.09</v>
      </c>
    </row>
    <row r="602" ht="15.75" customHeight="1">
      <c r="A602" s="32">
        <f>IFERROR(__xludf.DUMMYFUNCTION("""COMPUTED_VALUE"""),44393.66666666667)</f>
        <v>44393.66667</v>
      </c>
      <c r="B602" s="22">
        <f>IFERROR(__xludf.DUMMYFUNCTION("""COMPUTED_VALUE"""),4327.16)</f>
        <v>4327.16</v>
      </c>
      <c r="C602" s="32">
        <f>IFERROR(__xludf.DUMMYFUNCTION("""COMPUTED_VALUE"""),44373.99861111111)</f>
        <v>44373.99861</v>
      </c>
      <c r="D602" s="22">
        <f>IFERROR(__xludf.DUMMYFUNCTION("""COMPUTED_VALUE"""),1.1936)</f>
        <v>1.1936</v>
      </c>
      <c r="E602" s="32">
        <f>IFERROR(__xludf.DUMMYFUNCTION("""COMPUTED_VALUE"""),44393.75)</f>
        <v>44393.75</v>
      </c>
      <c r="F602" s="22">
        <f>IFERROR(__xludf.DUMMYFUNCTION("""COMPUTED_VALUE"""),4035.77)</f>
        <v>4035.77</v>
      </c>
    </row>
    <row r="603" ht="15.75" customHeight="1">
      <c r="A603" s="32">
        <f>IFERROR(__xludf.DUMMYFUNCTION("""COMPUTED_VALUE"""),44400.66666666667)</f>
        <v>44400.66667</v>
      </c>
      <c r="B603" s="22">
        <f>IFERROR(__xludf.DUMMYFUNCTION("""COMPUTED_VALUE"""),4411.79)</f>
        <v>4411.79</v>
      </c>
      <c r="C603" s="32">
        <f>IFERROR(__xludf.DUMMYFUNCTION("""COMPUTED_VALUE"""),44380.99861111111)</f>
        <v>44380.99861</v>
      </c>
      <c r="D603" s="22">
        <f>IFERROR(__xludf.DUMMYFUNCTION("""COMPUTED_VALUE"""),1.1864)</f>
        <v>1.1864</v>
      </c>
      <c r="E603" s="32">
        <f>IFERROR(__xludf.DUMMYFUNCTION("""COMPUTED_VALUE"""),44400.75)</f>
        <v>44400.75</v>
      </c>
      <c r="F603" s="22">
        <f>IFERROR(__xludf.DUMMYFUNCTION("""COMPUTED_VALUE"""),4109.1)</f>
        <v>4109.1</v>
      </c>
    </row>
    <row r="604" ht="15.75" customHeight="1">
      <c r="A604" s="32">
        <f>IFERROR(__xludf.DUMMYFUNCTION("""COMPUTED_VALUE"""),44407.66666666667)</f>
        <v>44407.66667</v>
      </c>
      <c r="B604" s="22">
        <f>IFERROR(__xludf.DUMMYFUNCTION("""COMPUTED_VALUE"""),4395.26)</f>
        <v>4395.26</v>
      </c>
      <c r="C604" s="32">
        <f>IFERROR(__xludf.DUMMYFUNCTION("""COMPUTED_VALUE"""),44387.99861111111)</f>
        <v>44387.99861</v>
      </c>
      <c r="D604" s="22">
        <f>IFERROR(__xludf.DUMMYFUNCTION("""COMPUTED_VALUE"""),1.1876)</f>
        <v>1.1876</v>
      </c>
      <c r="E604" s="32">
        <f>IFERROR(__xludf.DUMMYFUNCTION("""COMPUTED_VALUE"""),44407.75)</f>
        <v>44407.75</v>
      </c>
      <c r="F604" s="22">
        <f>IFERROR(__xludf.DUMMYFUNCTION("""COMPUTED_VALUE"""),4089.3)</f>
        <v>4089.3</v>
      </c>
    </row>
    <row r="605" ht="15.75" customHeight="1">
      <c r="A605" s="32">
        <f>IFERROR(__xludf.DUMMYFUNCTION("""COMPUTED_VALUE"""),44414.66666666667)</f>
        <v>44414.66667</v>
      </c>
      <c r="B605" s="22">
        <f>IFERROR(__xludf.DUMMYFUNCTION("""COMPUTED_VALUE"""),4436.52)</f>
        <v>4436.52</v>
      </c>
      <c r="C605" s="32">
        <f>IFERROR(__xludf.DUMMYFUNCTION("""COMPUTED_VALUE"""),44394.99861111111)</f>
        <v>44394.99861</v>
      </c>
      <c r="D605" s="22">
        <f>IFERROR(__xludf.DUMMYFUNCTION("""COMPUTED_VALUE"""),1.1806)</f>
        <v>1.1806</v>
      </c>
      <c r="E605" s="32">
        <f>IFERROR(__xludf.DUMMYFUNCTION("""COMPUTED_VALUE"""),44414.75)</f>
        <v>44414.75</v>
      </c>
      <c r="F605" s="22">
        <f>IFERROR(__xludf.DUMMYFUNCTION("""COMPUTED_VALUE"""),4174.54)</f>
        <v>4174.54</v>
      </c>
    </row>
    <row r="606" ht="15.75" customHeight="1">
      <c r="A606" s="32">
        <f>IFERROR(__xludf.DUMMYFUNCTION("""COMPUTED_VALUE"""),44421.66666666667)</f>
        <v>44421.66667</v>
      </c>
      <c r="B606" s="22">
        <f>IFERROR(__xludf.DUMMYFUNCTION("""COMPUTED_VALUE"""),4468.0)</f>
        <v>4468</v>
      </c>
      <c r="C606" s="32">
        <f>IFERROR(__xludf.DUMMYFUNCTION("""COMPUTED_VALUE"""),44401.99861111111)</f>
        <v>44401.99861</v>
      </c>
      <c r="D606" s="22">
        <f>IFERROR(__xludf.DUMMYFUNCTION("""COMPUTED_VALUE"""),1.1771)</f>
        <v>1.1771</v>
      </c>
      <c r="E606" s="32">
        <f>IFERROR(__xludf.DUMMYFUNCTION("""COMPUTED_VALUE"""),44421.75)</f>
        <v>44421.75</v>
      </c>
      <c r="F606" s="22">
        <f>IFERROR(__xludf.DUMMYFUNCTION("""COMPUTED_VALUE"""),4229.7)</f>
        <v>4229.7</v>
      </c>
    </row>
    <row r="607" ht="15.75" customHeight="1">
      <c r="A607" s="32">
        <f>IFERROR(__xludf.DUMMYFUNCTION("""COMPUTED_VALUE"""),44428.66666666667)</f>
        <v>44428.66667</v>
      </c>
      <c r="B607" s="22">
        <f>IFERROR(__xludf.DUMMYFUNCTION("""COMPUTED_VALUE"""),4441.67)</f>
        <v>4441.67</v>
      </c>
      <c r="C607" s="32">
        <f>IFERROR(__xludf.DUMMYFUNCTION("""COMPUTED_VALUE"""),44408.99861111111)</f>
        <v>44408.99861</v>
      </c>
      <c r="D607" s="22">
        <f>IFERROR(__xludf.DUMMYFUNCTION("""COMPUTED_VALUE"""),1.1869)</f>
        <v>1.1869</v>
      </c>
      <c r="E607" s="32">
        <f>IFERROR(__xludf.DUMMYFUNCTION("""COMPUTED_VALUE"""),44428.75)</f>
        <v>44428.75</v>
      </c>
      <c r="F607" s="22">
        <f>IFERROR(__xludf.DUMMYFUNCTION("""COMPUTED_VALUE"""),4147.5)</f>
        <v>4147.5</v>
      </c>
    </row>
    <row r="608" ht="15.75" customHeight="1">
      <c r="A608" s="32">
        <f>IFERROR(__xludf.DUMMYFUNCTION("""COMPUTED_VALUE"""),44435.66666666667)</f>
        <v>44435.66667</v>
      </c>
      <c r="B608" s="22">
        <f>IFERROR(__xludf.DUMMYFUNCTION("""COMPUTED_VALUE"""),4509.37)</f>
        <v>4509.37</v>
      </c>
      <c r="C608" s="32">
        <f>IFERROR(__xludf.DUMMYFUNCTION("""COMPUTED_VALUE"""),44415.99861111111)</f>
        <v>44415.99861</v>
      </c>
      <c r="D608" s="22">
        <f>IFERROR(__xludf.DUMMYFUNCTION("""COMPUTED_VALUE"""),1.176)</f>
        <v>1.176</v>
      </c>
      <c r="E608" s="32">
        <f>IFERROR(__xludf.DUMMYFUNCTION("""COMPUTED_VALUE"""),44435.75)</f>
        <v>44435.75</v>
      </c>
      <c r="F608" s="22">
        <f>IFERROR(__xludf.DUMMYFUNCTION("""COMPUTED_VALUE"""),4190.98)</f>
        <v>4190.98</v>
      </c>
    </row>
    <row r="609" ht="15.75" customHeight="1">
      <c r="A609" s="32">
        <f>IFERROR(__xludf.DUMMYFUNCTION("""COMPUTED_VALUE"""),44442.66666666667)</f>
        <v>44442.66667</v>
      </c>
      <c r="B609" s="22">
        <f>IFERROR(__xludf.DUMMYFUNCTION("""COMPUTED_VALUE"""),4535.43)</f>
        <v>4535.43</v>
      </c>
      <c r="C609" s="32">
        <f>IFERROR(__xludf.DUMMYFUNCTION("""COMPUTED_VALUE"""),44422.99861111111)</f>
        <v>44422.99861</v>
      </c>
      <c r="D609" s="22">
        <f>IFERROR(__xludf.DUMMYFUNCTION("""COMPUTED_VALUE"""),1.179)</f>
        <v>1.179</v>
      </c>
      <c r="E609" s="32">
        <f>IFERROR(__xludf.DUMMYFUNCTION("""COMPUTED_VALUE"""),44442.75)</f>
        <v>44442.75</v>
      </c>
      <c r="F609" s="22">
        <f>IFERROR(__xludf.DUMMYFUNCTION("""COMPUTED_VALUE"""),4201.98)</f>
        <v>4201.98</v>
      </c>
    </row>
    <row r="610" ht="15.75" customHeight="1">
      <c r="A610" s="32">
        <f>IFERROR(__xludf.DUMMYFUNCTION("""COMPUTED_VALUE"""),44449.66666666667)</f>
        <v>44449.66667</v>
      </c>
      <c r="B610" s="22">
        <f>IFERROR(__xludf.DUMMYFUNCTION("""COMPUTED_VALUE"""),4458.58)</f>
        <v>4458.58</v>
      </c>
      <c r="C610" s="32">
        <f>IFERROR(__xludf.DUMMYFUNCTION("""COMPUTED_VALUE"""),44429.99861111111)</f>
        <v>44429.99861</v>
      </c>
      <c r="D610" s="22">
        <f>IFERROR(__xludf.DUMMYFUNCTION("""COMPUTED_VALUE"""),1.16879)</f>
        <v>1.16879</v>
      </c>
      <c r="E610" s="32">
        <f>IFERROR(__xludf.DUMMYFUNCTION("""COMPUTED_VALUE"""),44449.75)</f>
        <v>44449.75</v>
      </c>
      <c r="F610" s="22">
        <f>IFERROR(__xludf.DUMMYFUNCTION("""COMPUTED_VALUE"""),4170.35)</f>
        <v>4170.35</v>
      </c>
    </row>
    <row r="611" ht="15.75" customHeight="1">
      <c r="A611" s="32">
        <f>IFERROR(__xludf.DUMMYFUNCTION("""COMPUTED_VALUE"""),44456.66666666667)</f>
        <v>44456.66667</v>
      </c>
      <c r="B611" s="22">
        <f>IFERROR(__xludf.DUMMYFUNCTION("""COMPUTED_VALUE"""),4432.99)</f>
        <v>4432.99</v>
      </c>
      <c r="C611" s="32">
        <f>IFERROR(__xludf.DUMMYFUNCTION("""COMPUTED_VALUE"""),44436.99861111111)</f>
        <v>44436.99861</v>
      </c>
      <c r="D611" s="22">
        <f>IFERROR(__xludf.DUMMYFUNCTION("""COMPUTED_VALUE"""),1.1796)</f>
        <v>1.1796</v>
      </c>
      <c r="E611" s="32">
        <f>IFERROR(__xludf.DUMMYFUNCTION("""COMPUTED_VALUE"""),44456.75)</f>
        <v>44456.75</v>
      </c>
      <c r="F611" s="22">
        <f>IFERROR(__xludf.DUMMYFUNCTION("""COMPUTED_VALUE"""),4130.84)</f>
        <v>4130.84</v>
      </c>
    </row>
    <row r="612" ht="15.75" customHeight="1">
      <c r="A612" s="32">
        <f>IFERROR(__xludf.DUMMYFUNCTION("""COMPUTED_VALUE"""),44463.66666666667)</f>
        <v>44463.66667</v>
      </c>
      <c r="B612" s="22">
        <f>IFERROR(__xludf.DUMMYFUNCTION("""COMPUTED_VALUE"""),4455.48)</f>
        <v>4455.48</v>
      </c>
      <c r="C612" s="32">
        <f>IFERROR(__xludf.DUMMYFUNCTION("""COMPUTED_VALUE"""),44443.99861111111)</f>
        <v>44443.99861</v>
      </c>
      <c r="D612" s="22">
        <f>IFERROR(__xludf.DUMMYFUNCTION("""COMPUTED_VALUE"""),1.18784)</f>
        <v>1.18784</v>
      </c>
      <c r="E612" s="32">
        <f>IFERROR(__xludf.DUMMYFUNCTION("""COMPUTED_VALUE"""),44463.75)</f>
        <v>44463.75</v>
      </c>
      <c r="F612" s="22">
        <f>IFERROR(__xludf.DUMMYFUNCTION("""COMPUTED_VALUE"""),4158.51)</f>
        <v>4158.51</v>
      </c>
    </row>
    <row r="613" ht="15.75" customHeight="1">
      <c r="A613" s="32">
        <f>IFERROR(__xludf.DUMMYFUNCTION("""COMPUTED_VALUE"""),44470.66666666667)</f>
        <v>44470.66667</v>
      </c>
      <c r="B613" s="22">
        <f>IFERROR(__xludf.DUMMYFUNCTION("""COMPUTED_VALUE"""),4357.04)</f>
        <v>4357.04</v>
      </c>
      <c r="C613" s="32">
        <f>IFERROR(__xludf.DUMMYFUNCTION("""COMPUTED_VALUE"""),44450.99861111111)</f>
        <v>44450.99861</v>
      </c>
      <c r="D613" s="22">
        <f>IFERROR(__xludf.DUMMYFUNCTION("""COMPUTED_VALUE"""),1.18106)</f>
        <v>1.18106</v>
      </c>
      <c r="E613" s="32">
        <f>IFERROR(__xludf.DUMMYFUNCTION("""COMPUTED_VALUE"""),44470.75)</f>
        <v>44470.75</v>
      </c>
      <c r="F613" s="22">
        <f>IFERROR(__xludf.DUMMYFUNCTION("""COMPUTED_VALUE"""),4035.3)</f>
        <v>4035.3</v>
      </c>
    </row>
    <row r="614" ht="15.75" customHeight="1">
      <c r="A614" s="32">
        <f>IFERROR(__xludf.DUMMYFUNCTION("""COMPUTED_VALUE"""),44477.66666666667)</f>
        <v>44477.66667</v>
      </c>
      <c r="B614" s="22">
        <f>IFERROR(__xludf.DUMMYFUNCTION("""COMPUTED_VALUE"""),4391.34)</f>
        <v>4391.34</v>
      </c>
      <c r="C614" s="32">
        <f>IFERROR(__xludf.DUMMYFUNCTION("""COMPUTED_VALUE"""),44457.99861111111)</f>
        <v>44457.99861</v>
      </c>
      <c r="D614" s="22">
        <f>IFERROR(__xludf.DUMMYFUNCTION("""COMPUTED_VALUE"""),1.17223)</f>
        <v>1.17223</v>
      </c>
      <c r="E614" s="32">
        <f>IFERROR(__xludf.DUMMYFUNCTION("""COMPUTED_VALUE"""),44477.75)</f>
        <v>44477.75</v>
      </c>
      <c r="F614" s="22">
        <f>IFERROR(__xludf.DUMMYFUNCTION("""COMPUTED_VALUE"""),4073.29)</f>
        <v>4073.29</v>
      </c>
    </row>
    <row r="615" ht="15.75" customHeight="1">
      <c r="A615" s="32">
        <f>IFERROR(__xludf.DUMMYFUNCTION("""COMPUTED_VALUE"""),44484.66666666667)</f>
        <v>44484.66667</v>
      </c>
      <c r="B615" s="22">
        <f>IFERROR(__xludf.DUMMYFUNCTION("""COMPUTED_VALUE"""),4471.37)</f>
        <v>4471.37</v>
      </c>
      <c r="C615" s="32">
        <f>IFERROR(__xludf.DUMMYFUNCTION("""COMPUTED_VALUE"""),44463.99861111111)</f>
        <v>44463.99861</v>
      </c>
      <c r="D615" s="22">
        <f>IFERROR(__xludf.DUMMYFUNCTION("""COMPUTED_VALUE"""),1.17199)</f>
        <v>1.17199</v>
      </c>
      <c r="E615" s="32">
        <f>IFERROR(__xludf.DUMMYFUNCTION("""COMPUTED_VALUE"""),44484.75)</f>
        <v>44484.75</v>
      </c>
      <c r="F615" s="22">
        <f>IFERROR(__xludf.DUMMYFUNCTION("""COMPUTED_VALUE"""),4182.91)</f>
        <v>4182.91</v>
      </c>
    </row>
    <row r="616" ht="15.75" customHeight="1">
      <c r="A616" s="32">
        <f>IFERROR(__xludf.DUMMYFUNCTION("""COMPUTED_VALUE"""),44491.66666666667)</f>
        <v>44491.66667</v>
      </c>
      <c r="B616" s="22">
        <f>IFERROR(__xludf.DUMMYFUNCTION("""COMPUTED_VALUE"""),4544.9)</f>
        <v>4544.9</v>
      </c>
      <c r="C616" s="32">
        <f>IFERROR(__xludf.DUMMYFUNCTION("""COMPUTED_VALUE"""),44471.99861111111)</f>
        <v>44471.99861</v>
      </c>
      <c r="D616" s="22">
        <f>IFERROR(__xludf.DUMMYFUNCTION("""COMPUTED_VALUE"""),1.1591)</f>
        <v>1.1591</v>
      </c>
      <c r="E616" s="32">
        <f>IFERROR(__xludf.DUMMYFUNCTION("""COMPUTED_VALUE"""),44491.75)</f>
        <v>44491.75</v>
      </c>
      <c r="F616" s="22">
        <f>IFERROR(__xludf.DUMMYFUNCTION("""COMPUTED_VALUE"""),4188.81)</f>
        <v>4188.81</v>
      </c>
    </row>
    <row r="617" ht="15.75" customHeight="1">
      <c r="A617" s="32">
        <f>IFERROR(__xludf.DUMMYFUNCTION("""COMPUTED_VALUE"""),44498.66666666667)</f>
        <v>44498.66667</v>
      </c>
      <c r="B617" s="22">
        <f>IFERROR(__xludf.DUMMYFUNCTION("""COMPUTED_VALUE"""),4605.38)</f>
        <v>4605.38</v>
      </c>
      <c r="C617" s="32">
        <f>IFERROR(__xludf.DUMMYFUNCTION("""COMPUTED_VALUE"""),44478.99861111111)</f>
        <v>44478.99861</v>
      </c>
      <c r="D617" s="22">
        <f>IFERROR(__xludf.DUMMYFUNCTION("""COMPUTED_VALUE"""),1.1569)</f>
        <v>1.1569</v>
      </c>
      <c r="E617" s="32">
        <f>IFERROR(__xludf.DUMMYFUNCTION("""COMPUTED_VALUE"""),44498.75)</f>
        <v>44498.75</v>
      </c>
      <c r="F617" s="22">
        <f>IFERROR(__xludf.DUMMYFUNCTION("""COMPUTED_VALUE"""),4250.56)</f>
        <v>4250.56</v>
      </c>
    </row>
    <row r="618" ht="15.75" customHeight="1">
      <c r="A618" s="32">
        <f>IFERROR(__xludf.DUMMYFUNCTION("""COMPUTED_VALUE"""),44505.66666666667)</f>
        <v>44505.66667</v>
      </c>
      <c r="B618" s="22">
        <f>IFERROR(__xludf.DUMMYFUNCTION("""COMPUTED_VALUE"""),4697.53)</f>
        <v>4697.53</v>
      </c>
      <c r="C618" s="32">
        <f>IFERROR(__xludf.DUMMYFUNCTION("""COMPUTED_VALUE"""),44485.99861111111)</f>
        <v>44485.99861</v>
      </c>
      <c r="D618" s="22">
        <f>IFERROR(__xludf.DUMMYFUNCTION("""COMPUTED_VALUE"""),1.15994)</f>
        <v>1.15994</v>
      </c>
      <c r="E618" s="32">
        <f>IFERROR(__xludf.DUMMYFUNCTION("""COMPUTED_VALUE"""),44505.75)</f>
        <v>44505.75</v>
      </c>
      <c r="F618" s="22">
        <f>IFERROR(__xludf.DUMMYFUNCTION("""COMPUTED_VALUE"""),4363.04)</f>
        <v>4363.04</v>
      </c>
    </row>
    <row r="619" ht="15.75" customHeight="1">
      <c r="A619" s="32">
        <f>IFERROR(__xludf.DUMMYFUNCTION("""COMPUTED_VALUE"""),44512.66666666667)</f>
        <v>44512.66667</v>
      </c>
      <c r="B619" s="22">
        <f>IFERROR(__xludf.DUMMYFUNCTION("""COMPUTED_VALUE"""),4682.85)</f>
        <v>4682.85</v>
      </c>
      <c r="C619" s="32">
        <f>IFERROR(__xludf.DUMMYFUNCTION("""COMPUTED_VALUE"""),44492.99861111111)</f>
        <v>44492.99861</v>
      </c>
      <c r="D619" s="22">
        <f>IFERROR(__xludf.DUMMYFUNCTION("""COMPUTED_VALUE"""),1.1641)</f>
        <v>1.1641</v>
      </c>
      <c r="E619" s="32">
        <f>IFERROR(__xludf.DUMMYFUNCTION("""COMPUTED_VALUE"""),44512.75)</f>
        <v>44512.75</v>
      </c>
      <c r="F619" s="22">
        <f>IFERROR(__xludf.DUMMYFUNCTION("""COMPUTED_VALUE"""),4370.33)</f>
        <v>4370.33</v>
      </c>
    </row>
    <row r="620" ht="15.75" customHeight="1">
      <c r="A620" s="32">
        <f>IFERROR(__xludf.DUMMYFUNCTION("""COMPUTED_VALUE"""),44519.66666666667)</f>
        <v>44519.66667</v>
      </c>
      <c r="B620" s="22">
        <f>IFERROR(__xludf.DUMMYFUNCTION("""COMPUTED_VALUE"""),4697.96)</f>
        <v>4697.96</v>
      </c>
      <c r="C620" s="32">
        <f>IFERROR(__xludf.DUMMYFUNCTION("""COMPUTED_VALUE"""),44499.99861111111)</f>
        <v>44499.99861</v>
      </c>
      <c r="D620" s="22">
        <f>IFERROR(__xludf.DUMMYFUNCTION("""COMPUTED_VALUE"""),1.1547)</f>
        <v>1.1547</v>
      </c>
      <c r="E620" s="32">
        <f>IFERROR(__xludf.DUMMYFUNCTION("""COMPUTED_VALUE"""),44519.75)</f>
        <v>44519.75</v>
      </c>
      <c r="F620" s="22">
        <f>IFERROR(__xludf.DUMMYFUNCTION("""COMPUTED_VALUE"""),4356.47)</f>
        <v>4356.47</v>
      </c>
    </row>
    <row r="621" ht="15.75" customHeight="1">
      <c r="A621" s="32">
        <f>IFERROR(__xludf.DUMMYFUNCTION("""COMPUTED_VALUE"""),44526.54166666667)</f>
        <v>44526.54167</v>
      </c>
      <c r="B621" s="22">
        <f>IFERROR(__xludf.DUMMYFUNCTION("""COMPUTED_VALUE"""),4594.62)</f>
        <v>4594.62</v>
      </c>
      <c r="C621" s="32">
        <f>IFERROR(__xludf.DUMMYFUNCTION("""COMPUTED_VALUE"""),44506.99861111111)</f>
        <v>44506.99861</v>
      </c>
      <c r="D621" s="22">
        <f>IFERROR(__xludf.DUMMYFUNCTION("""COMPUTED_VALUE"""),1.155)</f>
        <v>1.155</v>
      </c>
      <c r="E621" s="32">
        <f>IFERROR(__xludf.DUMMYFUNCTION("""COMPUTED_VALUE"""),44526.75)</f>
        <v>44526.75</v>
      </c>
      <c r="F621" s="22">
        <f>IFERROR(__xludf.DUMMYFUNCTION("""COMPUTED_VALUE"""),4089.58)</f>
        <v>4089.58</v>
      </c>
    </row>
    <row r="622" ht="15.75" customHeight="1">
      <c r="A622" s="32">
        <f>IFERROR(__xludf.DUMMYFUNCTION("""COMPUTED_VALUE"""),44533.66666666667)</f>
        <v>44533.66667</v>
      </c>
      <c r="B622" s="22">
        <f>IFERROR(__xludf.DUMMYFUNCTION("""COMPUTED_VALUE"""),4538.43)</f>
        <v>4538.43</v>
      </c>
      <c r="C622" s="32">
        <f>IFERROR(__xludf.DUMMYFUNCTION("""COMPUTED_VALUE"""),44513.99861111111)</f>
        <v>44513.99861</v>
      </c>
      <c r="D622" s="22">
        <f>IFERROR(__xludf.DUMMYFUNCTION("""COMPUTED_VALUE"""),1.14459)</f>
        <v>1.14459</v>
      </c>
      <c r="E622" s="32">
        <f>IFERROR(__xludf.DUMMYFUNCTION("""COMPUTED_VALUE"""),44533.75)</f>
        <v>44533.75</v>
      </c>
      <c r="F622" s="22">
        <f>IFERROR(__xludf.DUMMYFUNCTION("""COMPUTED_VALUE"""),4080.15)</f>
        <v>4080.15</v>
      </c>
    </row>
    <row r="623" ht="15.75" customHeight="1">
      <c r="A623" s="32">
        <f>IFERROR(__xludf.DUMMYFUNCTION("""COMPUTED_VALUE"""),44540.66666666667)</f>
        <v>44540.66667</v>
      </c>
      <c r="B623" s="22">
        <f>IFERROR(__xludf.DUMMYFUNCTION("""COMPUTED_VALUE"""),4712.02)</f>
        <v>4712.02</v>
      </c>
      <c r="C623" s="32">
        <f>IFERROR(__xludf.DUMMYFUNCTION("""COMPUTED_VALUE"""),44520.99861111111)</f>
        <v>44520.99861</v>
      </c>
      <c r="D623" s="22">
        <f>IFERROR(__xludf.DUMMYFUNCTION("""COMPUTED_VALUE"""),1.1286)</f>
        <v>1.1286</v>
      </c>
      <c r="E623" s="32">
        <f>IFERROR(__xludf.DUMMYFUNCTION("""COMPUTED_VALUE"""),44540.75)</f>
        <v>44540.75</v>
      </c>
      <c r="F623" s="22">
        <f>IFERROR(__xludf.DUMMYFUNCTION("""COMPUTED_VALUE"""),4199.16)</f>
        <v>4199.16</v>
      </c>
    </row>
    <row r="624" ht="15.75" customHeight="1">
      <c r="A624" s="32">
        <f>IFERROR(__xludf.DUMMYFUNCTION("""COMPUTED_VALUE"""),44547.66666666667)</f>
        <v>44547.66667</v>
      </c>
      <c r="B624" s="22">
        <f>IFERROR(__xludf.DUMMYFUNCTION("""COMPUTED_VALUE"""),4620.64)</f>
        <v>4620.64</v>
      </c>
      <c r="C624" s="32">
        <f>IFERROR(__xludf.DUMMYFUNCTION("""COMPUTED_VALUE"""),44526.99861111111)</f>
        <v>44526.99861</v>
      </c>
      <c r="D624" s="22">
        <f>IFERROR(__xludf.DUMMYFUNCTION("""COMPUTED_VALUE"""),1.1319)</f>
        <v>1.1319</v>
      </c>
      <c r="E624" s="32">
        <f>IFERROR(__xludf.DUMMYFUNCTION("""COMPUTED_VALUE"""),44547.75)</f>
        <v>44547.75</v>
      </c>
      <c r="F624" s="22">
        <f>IFERROR(__xludf.DUMMYFUNCTION("""COMPUTED_VALUE"""),4161.35)</f>
        <v>4161.35</v>
      </c>
    </row>
    <row r="625" ht="15.75" customHeight="1">
      <c r="A625" s="32">
        <f>IFERROR(__xludf.DUMMYFUNCTION("""COMPUTED_VALUE"""),44553.66666666667)</f>
        <v>44553.66667</v>
      </c>
      <c r="B625" s="22">
        <f>IFERROR(__xludf.DUMMYFUNCTION("""COMPUTED_VALUE"""),4725.79)</f>
        <v>4725.79</v>
      </c>
      <c r="C625" s="32">
        <f>IFERROR(__xludf.DUMMYFUNCTION("""COMPUTED_VALUE"""),44534.99861111111)</f>
        <v>44534.99861</v>
      </c>
      <c r="D625" s="22">
        <f>IFERROR(__xludf.DUMMYFUNCTION("""COMPUTED_VALUE"""),1.1313)</f>
        <v>1.1313</v>
      </c>
      <c r="E625" s="32">
        <f>IFERROR(__xludf.DUMMYFUNCTION("""COMPUTED_VALUE"""),44568.75)</f>
        <v>44568.75</v>
      </c>
      <c r="F625" s="22">
        <f>IFERROR(__xludf.DUMMYFUNCTION("""COMPUTED_VALUE"""),4305.83)</f>
        <v>4305.83</v>
      </c>
    </row>
    <row r="626" ht="15.75" customHeight="1">
      <c r="A626" s="32">
        <f>IFERROR(__xludf.DUMMYFUNCTION("""COMPUTED_VALUE"""),44561.66666666667)</f>
        <v>44561.66667</v>
      </c>
      <c r="B626" s="22">
        <f>IFERROR(__xludf.DUMMYFUNCTION("""COMPUTED_VALUE"""),4766.18)</f>
        <v>4766.18</v>
      </c>
      <c r="C626" s="32">
        <f>IFERROR(__xludf.DUMMYFUNCTION("""COMPUTED_VALUE"""),44541.99861111111)</f>
        <v>44541.99861</v>
      </c>
      <c r="D626" s="22">
        <f>IFERROR(__xludf.DUMMYFUNCTION("""COMPUTED_VALUE"""),1.1316)</f>
        <v>1.1316</v>
      </c>
      <c r="E626" s="32">
        <f>IFERROR(__xludf.DUMMYFUNCTION("""COMPUTED_VALUE"""),44575.75)</f>
        <v>44575.75</v>
      </c>
      <c r="F626" s="22">
        <f>IFERROR(__xludf.DUMMYFUNCTION("""COMPUTED_VALUE"""),4272.19)</f>
        <v>4272.19</v>
      </c>
    </row>
    <row r="627" ht="15.75" customHeight="1">
      <c r="A627" s="32">
        <f>IFERROR(__xludf.DUMMYFUNCTION("""COMPUTED_VALUE"""),44568.66666666667)</f>
        <v>44568.66667</v>
      </c>
      <c r="B627" s="22">
        <f>IFERROR(__xludf.DUMMYFUNCTION("""COMPUTED_VALUE"""),4677.03)</f>
        <v>4677.03</v>
      </c>
      <c r="C627" s="32">
        <f>IFERROR(__xludf.DUMMYFUNCTION("""COMPUTED_VALUE"""),44548.99861111111)</f>
        <v>44548.99861</v>
      </c>
      <c r="D627" s="22">
        <f>IFERROR(__xludf.DUMMYFUNCTION("""COMPUTED_VALUE"""),1.1239)</f>
        <v>1.1239</v>
      </c>
      <c r="E627" s="32">
        <f>IFERROR(__xludf.DUMMYFUNCTION("""COMPUTED_VALUE"""),44582.75)</f>
        <v>44582.75</v>
      </c>
      <c r="F627" s="22">
        <f>IFERROR(__xludf.DUMMYFUNCTION("""COMPUTED_VALUE"""),4229.56)</f>
        <v>4229.56</v>
      </c>
    </row>
    <row r="628" ht="15.75" customHeight="1">
      <c r="A628" s="32">
        <f>IFERROR(__xludf.DUMMYFUNCTION("""COMPUTED_VALUE"""),44575.66666666667)</f>
        <v>44575.66667</v>
      </c>
      <c r="B628" s="22">
        <f>IFERROR(__xludf.DUMMYFUNCTION("""COMPUTED_VALUE"""),4662.85)</f>
        <v>4662.85</v>
      </c>
      <c r="C628" s="32">
        <f>IFERROR(__xludf.DUMMYFUNCTION("""COMPUTED_VALUE"""),44555.99861111111)</f>
        <v>44555.99861</v>
      </c>
      <c r="D628" s="22">
        <f>IFERROR(__xludf.DUMMYFUNCTION("""COMPUTED_VALUE"""),1.1321)</f>
        <v>1.1321</v>
      </c>
      <c r="E628" s="32">
        <f>IFERROR(__xludf.DUMMYFUNCTION("""COMPUTED_VALUE"""),44589.75)</f>
        <v>44589.75</v>
      </c>
      <c r="F628" s="22">
        <f>IFERROR(__xludf.DUMMYFUNCTION("""COMPUTED_VALUE"""),4136.91)</f>
        <v>4136.91</v>
      </c>
    </row>
    <row r="629" ht="15.75" customHeight="1">
      <c r="A629" s="32">
        <f>IFERROR(__xludf.DUMMYFUNCTION("""COMPUTED_VALUE"""),44582.66666666667)</f>
        <v>44582.66667</v>
      </c>
      <c r="B629" s="22">
        <f>IFERROR(__xludf.DUMMYFUNCTION("""COMPUTED_VALUE"""),4397.94)</f>
        <v>4397.94</v>
      </c>
      <c r="C629" s="32">
        <f>IFERROR(__xludf.DUMMYFUNCTION("""COMPUTED_VALUE"""),44562.99861111111)</f>
        <v>44562.99861</v>
      </c>
      <c r="D629" s="22">
        <f>IFERROR(__xludf.DUMMYFUNCTION("""COMPUTED_VALUE"""),1.1373)</f>
        <v>1.1373</v>
      </c>
      <c r="E629" s="32">
        <f>IFERROR(__xludf.DUMMYFUNCTION("""COMPUTED_VALUE"""),44596.75)</f>
        <v>44596.75</v>
      </c>
      <c r="F629" s="22">
        <f>IFERROR(__xludf.DUMMYFUNCTION("""COMPUTED_VALUE"""),4086.58)</f>
        <v>4086.58</v>
      </c>
    </row>
    <row r="630" ht="15.75" customHeight="1">
      <c r="A630" s="32">
        <f>IFERROR(__xludf.DUMMYFUNCTION("""COMPUTED_VALUE"""),44589.66666666667)</f>
        <v>44589.66667</v>
      </c>
      <c r="B630" s="22">
        <f>IFERROR(__xludf.DUMMYFUNCTION("""COMPUTED_VALUE"""),4431.85)</f>
        <v>4431.85</v>
      </c>
      <c r="C630" s="32">
        <f>IFERROR(__xludf.DUMMYFUNCTION("""COMPUTED_VALUE"""),44569.99861111111)</f>
        <v>44569.99861</v>
      </c>
      <c r="D630" s="22">
        <f>IFERROR(__xludf.DUMMYFUNCTION("""COMPUTED_VALUE"""),1.136)</f>
        <v>1.136</v>
      </c>
      <c r="E630" s="32">
        <f>IFERROR(__xludf.DUMMYFUNCTION("""COMPUTED_VALUE"""),44603.75)</f>
        <v>44603.75</v>
      </c>
      <c r="F630" s="22">
        <f>IFERROR(__xludf.DUMMYFUNCTION("""COMPUTED_VALUE"""),4155.23)</f>
        <v>4155.23</v>
      </c>
    </row>
    <row r="631" ht="15.75" customHeight="1">
      <c r="A631" s="32">
        <f>IFERROR(__xludf.DUMMYFUNCTION("""COMPUTED_VALUE"""),44596.66666666667)</f>
        <v>44596.66667</v>
      </c>
      <c r="B631" s="22">
        <f>IFERROR(__xludf.DUMMYFUNCTION("""COMPUTED_VALUE"""),4500.53)</f>
        <v>4500.53</v>
      </c>
      <c r="C631" s="32">
        <f>IFERROR(__xludf.DUMMYFUNCTION("""COMPUTED_VALUE"""),44576.99861111111)</f>
        <v>44576.99861</v>
      </c>
      <c r="D631" s="22">
        <f>IFERROR(__xludf.DUMMYFUNCTION("""COMPUTED_VALUE"""),1.1415)</f>
        <v>1.1415</v>
      </c>
      <c r="E631" s="32">
        <f>IFERROR(__xludf.DUMMYFUNCTION("""COMPUTED_VALUE"""),44610.75)</f>
        <v>44610.75</v>
      </c>
      <c r="F631" s="22">
        <f>IFERROR(__xludf.DUMMYFUNCTION("""COMPUTED_VALUE"""),4074.28)</f>
        <v>4074.28</v>
      </c>
    </row>
    <row r="632" ht="15.75" customHeight="1">
      <c r="A632" s="32">
        <f>IFERROR(__xludf.DUMMYFUNCTION("""COMPUTED_VALUE"""),44603.66666666667)</f>
        <v>44603.66667</v>
      </c>
      <c r="B632" s="22">
        <f>IFERROR(__xludf.DUMMYFUNCTION("""COMPUTED_VALUE"""),4418.64)</f>
        <v>4418.64</v>
      </c>
      <c r="C632" s="32">
        <f>IFERROR(__xludf.DUMMYFUNCTION("""COMPUTED_VALUE"""),44583.99861111111)</f>
        <v>44583.99861</v>
      </c>
      <c r="D632" s="22">
        <f>IFERROR(__xludf.DUMMYFUNCTION("""COMPUTED_VALUE"""),1.1343)</f>
        <v>1.1343</v>
      </c>
      <c r="E632" s="32">
        <f>IFERROR(__xludf.DUMMYFUNCTION("""COMPUTED_VALUE"""),44617.75)</f>
        <v>44617.75</v>
      </c>
      <c r="F632" s="22">
        <f>IFERROR(__xludf.DUMMYFUNCTION("""COMPUTED_VALUE"""),3970.69)</f>
        <v>3970.69</v>
      </c>
    </row>
    <row r="633" ht="15.75" customHeight="1">
      <c r="A633" s="32">
        <f>IFERROR(__xludf.DUMMYFUNCTION("""COMPUTED_VALUE"""),44610.66666666667)</f>
        <v>44610.66667</v>
      </c>
      <c r="B633" s="22">
        <f>IFERROR(__xludf.DUMMYFUNCTION("""COMPUTED_VALUE"""),4348.87)</f>
        <v>4348.87</v>
      </c>
      <c r="C633" s="32">
        <f>IFERROR(__xludf.DUMMYFUNCTION("""COMPUTED_VALUE"""),44590.99861111111)</f>
        <v>44590.99861</v>
      </c>
      <c r="D633" s="22">
        <f>IFERROR(__xludf.DUMMYFUNCTION("""COMPUTED_VALUE"""),1.11376)</f>
        <v>1.11376</v>
      </c>
      <c r="E633" s="32">
        <f>IFERROR(__xludf.DUMMYFUNCTION("""COMPUTED_VALUE"""),44624.75)</f>
        <v>44624.75</v>
      </c>
      <c r="F633" s="22">
        <f>IFERROR(__xludf.DUMMYFUNCTION("""COMPUTED_VALUE"""),3556.01)</f>
        <v>3556.01</v>
      </c>
    </row>
    <row r="634" ht="15.75" customHeight="1">
      <c r="A634" s="32">
        <f>IFERROR(__xludf.DUMMYFUNCTION("""COMPUTED_VALUE"""),44617.66666666667)</f>
        <v>44617.66667</v>
      </c>
      <c r="B634" s="22">
        <f>IFERROR(__xludf.DUMMYFUNCTION("""COMPUTED_VALUE"""),4384.65)</f>
        <v>4384.65</v>
      </c>
      <c r="C634" s="32">
        <f>IFERROR(__xludf.DUMMYFUNCTION("""COMPUTED_VALUE"""),44597.99861111111)</f>
        <v>44597.99861</v>
      </c>
      <c r="D634" s="22">
        <f>IFERROR(__xludf.DUMMYFUNCTION("""COMPUTED_VALUE"""),1.1448)</f>
        <v>1.1448</v>
      </c>
      <c r="E634" s="32">
        <f>IFERROR(__xludf.DUMMYFUNCTION("""COMPUTED_VALUE"""),44631.75)</f>
        <v>44631.75</v>
      </c>
      <c r="F634" s="22">
        <f>IFERROR(__xludf.DUMMYFUNCTION("""COMPUTED_VALUE"""),3686.78)</f>
        <v>3686.78</v>
      </c>
    </row>
    <row r="635" ht="15.75" customHeight="1">
      <c r="A635" s="32">
        <f>IFERROR(__xludf.DUMMYFUNCTION("""COMPUTED_VALUE"""),44624.66666666667)</f>
        <v>44624.66667</v>
      </c>
      <c r="B635" s="22">
        <f>IFERROR(__xludf.DUMMYFUNCTION("""COMPUTED_VALUE"""),4328.87)</f>
        <v>4328.87</v>
      </c>
      <c r="C635" s="32">
        <f>IFERROR(__xludf.DUMMYFUNCTION("""COMPUTED_VALUE"""),44604.99861111111)</f>
        <v>44604.99861</v>
      </c>
      <c r="D635" s="22">
        <f>IFERROR(__xludf.DUMMYFUNCTION("""COMPUTED_VALUE"""),1.13452)</f>
        <v>1.13452</v>
      </c>
      <c r="E635" s="32">
        <f>IFERROR(__xludf.DUMMYFUNCTION("""COMPUTED_VALUE"""),44638.75)</f>
        <v>44638.75</v>
      </c>
      <c r="F635" s="22">
        <f>IFERROR(__xludf.DUMMYFUNCTION("""COMPUTED_VALUE"""),3902.44)</f>
        <v>3902.44</v>
      </c>
    </row>
    <row r="636" ht="15.75" customHeight="1">
      <c r="A636" s="32">
        <f>IFERROR(__xludf.DUMMYFUNCTION("""COMPUTED_VALUE"""),44631.66666666667)</f>
        <v>44631.66667</v>
      </c>
      <c r="B636" s="22">
        <f>IFERROR(__xludf.DUMMYFUNCTION("""COMPUTED_VALUE"""),4204.31)</f>
        <v>4204.31</v>
      </c>
      <c r="C636" s="32">
        <f>IFERROR(__xludf.DUMMYFUNCTION("""COMPUTED_VALUE"""),44611.99861111111)</f>
        <v>44611.99861</v>
      </c>
      <c r="D636" s="22">
        <f>IFERROR(__xludf.DUMMYFUNCTION("""COMPUTED_VALUE"""),1.13065)</f>
        <v>1.13065</v>
      </c>
      <c r="E636" s="32">
        <f>IFERROR(__xludf.DUMMYFUNCTION("""COMPUTED_VALUE"""),44645.75)</f>
        <v>44645.75</v>
      </c>
      <c r="F636" s="22">
        <f>IFERROR(__xludf.DUMMYFUNCTION("""COMPUTED_VALUE"""),3867.73)</f>
        <v>3867.73</v>
      </c>
    </row>
    <row r="637" ht="15.75" customHeight="1">
      <c r="A637" s="32">
        <f>IFERROR(__xludf.DUMMYFUNCTION("""COMPUTED_VALUE"""),44638.66666666667)</f>
        <v>44638.66667</v>
      </c>
      <c r="B637" s="22">
        <f>IFERROR(__xludf.DUMMYFUNCTION("""COMPUTED_VALUE"""),4463.12)</f>
        <v>4463.12</v>
      </c>
      <c r="C637" s="32">
        <f>IFERROR(__xludf.DUMMYFUNCTION("""COMPUTED_VALUE"""),44618.99861111111)</f>
        <v>44618.99861</v>
      </c>
      <c r="D637" s="22">
        <f>IFERROR(__xludf.DUMMYFUNCTION("""COMPUTED_VALUE"""),1.1271)</f>
        <v>1.1271</v>
      </c>
      <c r="E637" s="32">
        <f>IFERROR(__xludf.DUMMYFUNCTION("""COMPUTED_VALUE"""),44652.75)</f>
        <v>44652.75</v>
      </c>
      <c r="F637" s="22">
        <f>IFERROR(__xludf.DUMMYFUNCTION("""COMPUTED_VALUE"""),3918.68)</f>
        <v>3918.68</v>
      </c>
    </row>
    <row r="638" ht="15.75" customHeight="1">
      <c r="A638" s="32">
        <f>IFERROR(__xludf.DUMMYFUNCTION("""COMPUTED_VALUE"""),44645.66666666667)</f>
        <v>44645.66667</v>
      </c>
      <c r="B638" s="22">
        <f>IFERROR(__xludf.DUMMYFUNCTION("""COMPUTED_VALUE"""),4543.06)</f>
        <v>4543.06</v>
      </c>
      <c r="C638" s="32">
        <f>IFERROR(__xludf.DUMMYFUNCTION("""COMPUTED_VALUE"""),44625.99861111111)</f>
        <v>44625.99861</v>
      </c>
      <c r="D638" s="22">
        <f>IFERROR(__xludf.DUMMYFUNCTION("""COMPUTED_VALUE"""),1.0924)</f>
        <v>1.0924</v>
      </c>
      <c r="E638" s="32">
        <f>IFERROR(__xludf.DUMMYFUNCTION("""COMPUTED_VALUE"""),44659.75)</f>
        <v>44659.75</v>
      </c>
      <c r="F638" s="22">
        <f>IFERROR(__xludf.DUMMYFUNCTION("""COMPUTED_VALUE"""),3858.37)</f>
        <v>3858.37</v>
      </c>
    </row>
    <row r="639" ht="15.75" customHeight="1">
      <c r="A639" s="32">
        <f>IFERROR(__xludf.DUMMYFUNCTION("""COMPUTED_VALUE"""),44652.66666666667)</f>
        <v>44652.66667</v>
      </c>
      <c r="B639" s="22">
        <f>IFERROR(__xludf.DUMMYFUNCTION("""COMPUTED_VALUE"""),4545.86)</f>
        <v>4545.86</v>
      </c>
      <c r="C639" s="32">
        <f>IFERROR(__xludf.DUMMYFUNCTION("""COMPUTED_VALUE"""),44632.99861111111)</f>
        <v>44632.99861</v>
      </c>
      <c r="D639" s="22">
        <f>IFERROR(__xludf.DUMMYFUNCTION("""COMPUTED_VALUE"""),1.0913)</f>
        <v>1.0913</v>
      </c>
      <c r="E639" s="32">
        <f>IFERROR(__xludf.DUMMYFUNCTION("""COMPUTED_VALUE"""),44665.75)</f>
        <v>44665.75</v>
      </c>
      <c r="F639" s="22">
        <f>IFERROR(__xludf.DUMMYFUNCTION("""COMPUTED_VALUE"""),3848.68)</f>
        <v>3848.68</v>
      </c>
    </row>
    <row r="640" ht="15.75" customHeight="1">
      <c r="A640" s="32">
        <f>IFERROR(__xludf.DUMMYFUNCTION("""COMPUTED_VALUE"""),44659.66666666667)</f>
        <v>44659.66667</v>
      </c>
      <c r="B640" s="22">
        <f>IFERROR(__xludf.DUMMYFUNCTION("""COMPUTED_VALUE"""),4488.28)</f>
        <v>4488.28</v>
      </c>
      <c r="C640" s="32">
        <f>IFERROR(__xludf.DUMMYFUNCTION("""COMPUTED_VALUE"""),44639.99861111111)</f>
        <v>44639.99861</v>
      </c>
      <c r="D640" s="22">
        <f>IFERROR(__xludf.DUMMYFUNCTION("""COMPUTED_VALUE"""),1.1069)</f>
        <v>1.1069</v>
      </c>
      <c r="E640" s="32">
        <f>IFERROR(__xludf.DUMMYFUNCTION("""COMPUTED_VALUE"""),44673.75)</f>
        <v>44673.75</v>
      </c>
      <c r="F640" s="22">
        <f>IFERROR(__xludf.DUMMYFUNCTION("""COMPUTED_VALUE"""),3840.01)</f>
        <v>3840.01</v>
      </c>
    </row>
    <row r="641" ht="15.75" customHeight="1">
      <c r="A641" s="32">
        <f>IFERROR(__xludf.DUMMYFUNCTION("""COMPUTED_VALUE"""),44665.66666666667)</f>
        <v>44665.66667</v>
      </c>
      <c r="B641" s="22">
        <f>IFERROR(__xludf.DUMMYFUNCTION("""COMPUTED_VALUE"""),4392.59)</f>
        <v>4392.59</v>
      </c>
      <c r="C641" s="32">
        <f>IFERROR(__xludf.DUMMYFUNCTION("""COMPUTED_VALUE"""),44646.99861111111)</f>
        <v>44646.99861</v>
      </c>
      <c r="D641" s="22">
        <f>IFERROR(__xludf.DUMMYFUNCTION("""COMPUTED_VALUE"""),1.0983)</f>
        <v>1.0983</v>
      </c>
      <c r="E641" s="32">
        <f>IFERROR(__xludf.DUMMYFUNCTION("""COMPUTED_VALUE"""),44680.75)</f>
        <v>44680.75</v>
      </c>
      <c r="F641" s="22">
        <f>IFERROR(__xludf.DUMMYFUNCTION("""COMPUTED_VALUE"""),3802.86)</f>
        <v>3802.86</v>
      </c>
    </row>
    <row r="642" ht="15.75" customHeight="1">
      <c r="A642" s="32">
        <f>IFERROR(__xludf.DUMMYFUNCTION("""COMPUTED_VALUE"""),44673.66666666667)</f>
        <v>44673.66667</v>
      </c>
      <c r="B642" s="22">
        <f>IFERROR(__xludf.DUMMYFUNCTION("""COMPUTED_VALUE"""),4271.78)</f>
        <v>4271.78</v>
      </c>
      <c r="C642" s="32">
        <f>IFERROR(__xludf.DUMMYFUNCTION("""COMPUTED_VALUE"""),44653.99861111111)</f>
        <v>44653.99861</v>
      </c>
      <c r="D642" s="22">
        <f>IFERROR(__xludf.DUMMYFUNCTION("""COMPUTED_VALUE"""),1.1041)</f>
        <v>1.1041</v>
      </c>
      <c r="E642" s="32">
        <f>IFERROR(__xludf.DUMMYFUNCTION("""COMPUTED_VALUE"""),44687.75)</f>
        <v>44687.75</v>
      </c>
      <c r="F642" s="22">
        <f>IFERROR(__xludf.DUMMYFUNCTION("""COMPUTED_VALUE"""),3629.17)</f>
        <v>3629.17</v>
      </c>
    </row>
    <row r="643" ht="15.75" customHeight="1">
      <c r="A643" s="32">
        <f>IFERROR(__xludf.DUMMYFUNCTION("""COMPUTED_VALUE"""),44680.66666666667)</f>
        <v>44680.66667</v>
      </c>
      <c r="B643" s="22">
        <f>IFERROR(__xludf.DUMMYFUNCTION("""COMPUTED_VALUE"""),4131.93)</f>
        <v>4131.93</v>
      </c>
      <c r="C643" s="32">
        <f>IFERROR(__xludf.DUMMYFUNCTION("""COMPUTED_VALUE"""),44660.99861111111)</f>
        <v>44660.99861</v>
      </c>
      <c r="D643" s="22">
        <f>IFERROR(__xludf.DUMMYFUNCTION("""COMPUTED_VALUE"""),1.08737)</f>
        <v>1.08737</v>
      </c>
      <c r="E643" s="32">
        <f>IFERROR(__xludf.DUMMYFUNCTION("""COMPUTED_VALUE"""),44694.75)</f>
        <v>44694.75</v>
      </c>
      <c r="F643" s="22">
        <f>IFERROR(__xludf.DUMMYFUNCTION("""COMPUTED_VALUE"""),3703.42)</f>
        <v>3703.42</v>
      </c>
    </row>
    <row r="644" ht="15.75" customHeight="1">
      <c r="A644" s="32">
        <f>IFERROR(__xludf.DUMMYFUNCTION("""COMPUTED_VALUE"""),44687.66666666667)</f>
        <v>44687.66667</v>
      </c>
      <c r="B644" s="22">
        <f>IFERROR(__xludf.DUMMYFUNCTION("""COMPUTED_VALUE"""),4123.34)</f>
        <v>4123.34</v>
      </c>
      <c r="C644" s="32">
        <f>IFERROR(__xludf.DUMMYFUNCTION("""COMPUTED_VALUE"""),44667.99861111111)</f>
        <v>44667.99861</v>
      </c>
      <c r="D644" s="22">
        <f>IFERROR(__xludf.DUMMYFUNCTION("""COMPUTED_VALUE"""),1.08099)</f>
        <v>1.08099</v>
      </c>
      <c r="E644" s="32">
        <f>IFERROR(__xludf.DUMMYFUNCTION("""COMPUTED_VALUE"""),44701.75)</f>
        <v>44701.75</v>
      </c>
      <c r="F644" s="22">
        <f>IFERROR(__xludf.DUMMYFUNCTION("""COMPUTED_VALUE"""),3657.03)</f>
        <v>3657.03</v>
      </c>
    </row>
    <row r="645" ht="15.75" customHeight="1">
      <c r="A645" s="32">
        <f>IFERROR(__xludf.DUMMYFUNCTION("""COMPUTED_VALUE"""),44694.66666666667)</f>
        <v>44694.66667</v>
      </c>
      <c r="B645" s="22">
        <f>IFERROR(__xludf.DUMMYFUNCTION("""COMPUTED_VALUE"""),4023.89)</f>
        <v>4023.89</v>
      </c>
      <c r="C645" s="32">
        <f>IFERROR(__xludf.DUMMYFUNCTION("""COMPUTED_VALUE"""),44674.99861111111)</f>
        <v>44674.99861</v>
      </c>
      <c r="D645" s="22">
        <f>IFERROR(__xludf.DUMMYFUNCTION("""COMPUTED_VALUE"""),1.0798)</f>
        <v>1.0798</v>
      </c>
      <c r="E645" s="32">
        <f>IFERROR(__xludf.DUMMYFUNCTION("""COMPUTED_VALUE"""),44708.75)</f>
        <v>44708.75</v>
      </c>
      <c r="F645" s="22">
        <f>IFERROR(__xludf.DUMMYFUNCTION("""COMPUTED_VALUE"""),3808.86)</f>
        <v>3808.86</v>
      </c>
    </row>
    <row r="646" ht="15.75" customHeight="1">
      <c r="A646" s="32">
        <f>IFERROR(__xludf.DUMMYFUNCTION("""COMPUTED_VALUE"""),44701.66666666667)</f>
        <v>44701.66667</v>
      </c>
      <c r="B646" s="22">
        <f>IFERROR(__xludf.DUMMYFUNCTION("""COMPUTED_VALUE"""),3901.36)</f>
        <v>3901.36</v>
      </c>
      <c r="C646" s="32">
        <f>IFERROR(__xludf.DUMMYFUNCTION("""COMPUTED_VALUE"""),44681.99861111111)</f>
        <v>44681.99861</v>
      </c>
      <c r="D646" s="22">
        <f>IFERROR(__xludf.DUMMYFUNCTION("""COMPUTED_VALUE"""),1.0541)</f>
        <v>1.0541</v>
      </c>
      <c r="E646" s="32">
        <f>IFERROR(__xludf.DUMMYFUNCTION("""COMPUTED_VALUE"""),44715.75)</f>
        <v>44715.75</v>
      </c>
      <c r="F646" s="22">
        <f>IFERROR(__xludf.DUMMYFUNCTION("""COMPUTED_VALUE"""),3783.66)</f>
        <v>3783.66</v>
      </c>
    </row>
    <row r="647" ht="15.75" customHeight="1">
      <c r="A647" s="32">
        <f>IFERROR(__xludf.DUMMYFUNCTION("""COMPUTED_VALUE"""),44708.66666666667)</f>
        <v>44708.66667</v>
      </c>
      <c r="B647" s="22">
        <f>IFERROR(__xludf.DUMMYFUNCTION("""COMPUTED_VALUE"""),4158.24)</f>
        <v>4158.24</v>
      </c>
      <c r="C647" s="32">
        <f>IFERROR(__xludf.DUMMYFUNCTION("""COMPUTED_VALUE"""),44688.99861111111)</f>
        <v>44688.99861</v>
      </c>
      <c r="D647" s="22">
        <f>IFERROR(__xludf.DUMMYFUNCTION("""COMPUTED_VALUE"""),1.05342)</f>
        <v>1.05342</v>
      </c>
      <c r="E647" s="32">
        <f>IFERROR(__xludf.DUMMYFUNCTION("""COMPUTED_VALUE"""),44722.75)</f>
        <v>44722.75</v>
      </c>
      <c r="F647" s="22">
        <f>IFERROR(__xludf.DUMMYFUNCTION("""COMPUTED_VALUE"""),3599.2)</f>
        <v>3599.2</v>
      </c>
    </row>
    <row r="648" ht="15.75" customHeight="1">
      <c r="A648" s="32">
        <f>IFERROR(__xludf.DUMMYFUNCTION("""COMPUTED_VALUE"""),44715.66666666667)</f>
        <v>44715.66667</v>
      </c>
      <c r="B648" s="22">
        <f>IFERROR(__xludf.DUMMYFUNCTION("""COMPUTED_VALUE"""),4108.54)</f>
        <v>4108.54</v>
      </c>
      <c r="C648" s="32">
        <f>IFERROR(__xludf.DUMMYFUNCTION("""COMPUTED_VALUE"""),44695.99861111111)</f>
        <v>44695.99861</v>
      </c>
      <c r="D648" s="22">
        <f>IFERROR(__xludf.DUMMYFUNCTION("""COMPUTED_VALUE"""),1.04083)</f>
        <v>1.04083</v>
      </c>
      <c r="E648" s="32">
        <f>IFERROR(__xludf.DUMMYFUNCTION("""COMPUTED_VALUE"""),44729.75)</f>
        <v>44729.75</v>
      </c>
      <c r="F648" s="22">
        <f>IFERROR(__xludf.DUMMYFUNCTION("""COMPUTED_VALUE"""),3438.46)</f>
        <v>3438.46</v>
      </c>
    </row>
    <row r="649" ht="15.75" customHeight="1">
      <c r="A649" s="32">
        <f>IFERROR(__xludf.DUMMYFUNCTION("""COMPUTED_VALUE"""),44722.66666666667)</f>
        <v>44722.66667</v>
      </c>
      <c r="B649" s="22">
        <f>IFERROR(__xludf.DUMMYFUNCTION("""COMPUTED_VALUE"""),3900.86)</f>
        <v>3900.86</v>
      </c>
      <c r="C649" s="32">
        <f>IFERROR(__xludf.DUMMYFUNCTION("""COMPUTED_VALUE"""),44702.99861111111)</f>
        <v>44702.99861</v>
      </c>
      <c r="D649" s="22">
        <f>IFERROR(__xludf.DUMMYFUNCTION("""COMPUTED_VALUE"""),1.05598)</f>
        <v>1.05598</v>
      </c>
      <c r="E649" s="32">
        <f>IFERROR(__xludf.DUMMYFUNCTION("""COMPUTED_VALUE"""),44736.75)</f>
        <v>44736.75</v>
      </c>
      <c r="F649" s="22">
        <f>IFERROR(__xludf.DUMMYFUNCTION("""COMPUTED_VALUE"""),3533.17)</f>
        <v>3533.17</v>
      </c>
    </row>
    <row r="650" ht="15.75" customHeight="1">
      <c r="A650" s="32">
        <f>IFERROR(__xludf.DUMMYFUNCTION("""COMPUTED_VALUE"""),44729.66666666667)</f>
        <v>44729.66667</v>
      </c>
      <c r="B650" s="22">
        <f>IFERROR(__xludf.DUMMYFUNCTION("""COMPUTED_VALUE"""),3674.84)</f>
        <v>3674.84</v>
      </c>
      <c r="C650" s="32">
        <f>IFERROR(__xludf.DUMMYFUNCTION("""COMPUTED_VALUE"""),44709.99861111111)</f>
        <v>44709.99861</v>
      </c>
      <c r="D650" s="22">
        <f>IFERROR(__xludf.DUMMYFUNCTION("""COMPUTED_VALUE"""),1.07316)</f>
        <v>1.07316</v>
      </c>
      <c r="E650" s="32">
        <f>IFERROR(__xludf.DUMMYFUNCTION("""COMPUTED_VALUE"""),44743.75)</f>
        <v>44743.75</v>
      </c>
      <c r="F650" s="22">
        <f>IFERROR(__xludf.DUMMYFUNCTION("""COMPUTED_VALUE"""),3448.31)</f>
        <v>3448.31</v>
      </c>
    </row>
    <row r="651" ht="15.75" customHeight="1">
      <c r="A651" s="32">
        <f>IFERROR(__xludf.DUMMYFUNCTION("""COMPUTED_VALUE"""),44736.66666666667)</f>
        <v>44736.66667</v>
      </c>
      <c r="B651" s="22">
        <f>IFERROR(__xludf.DUMMYFUNCTION("""COMPUTED_VALUE"""),3911.74)</f>
        <v>3911.74</v>
      </c>
      <c r="C651" s="32">
        <f>IFERROR(__xludf.DUMMYFUNCTION("""COMPUTED_VALUE"""),44716.99861111111)</f>
        <v>44716.99861</v>
      </c>
      <c r="D651" s="22">
        <f>IFERROR(__xludf.DUMMYFUNCTION("""COMPUTED_VALUE"""),1.0718)</f>
        <v>1.0718</v>
      </c>
      <c r="E651" s="32">
        <f>IFERROR(__xludf.DUMMYFUNCTION("""COMPUTED_VALUE"""),44750.75)</f>
        <v>44750.75</v>
      </c>
      <c r="F651" s="22">
        <f>IFERROR(__xludf.DUMMYFUNCTION("""COMPUTED_VALUE"""),3506.55)</f>
        <v>3506.55</v>
      </c>
    </row>
    <row r="652" ht="15.75" customHeight="1">
      <c r="A652" s="32">
        <f>IFERROR(__xludf.DUMMYFUNCTION("""COMPUTED_VALUE"""),44743.66666666667)</f>
        <v>44743.66667</v>
      </c>
      <c r="B652" s="22">
        <f>IFERROR(__xludf.DUMMYFUNCTION("""COMPUTED_VALUE"""),3825.33)</f>
        <v>3825.33</v>
      </c>
      <c r="C652" s="32">
        <f>IFERROR(__xludf.DUMMYFUNCTION("""COMPUTED_VALUE"""),44723.99861111111)</f>
        <v>44723.99861</v>
      </c>
      <c r="D652" s="22">
        <f>IFERROR(__xludf.DUMMYFUNCTION("""COMPUTED_VALUE"""),1.0519)</f>
        <v>1.0519</v>
      </c>
      <c r="E652" s="32">
        <f>IFERROR(__xludf.DUMMYFUNCTION("""COMPUTED_VALUE"""),44757.75)</f>
        <v>44757.75</v>
      </c>
      <c r="F652" s="22">
        <f>IFERROR(__xludf.DUMMYFUNCTION("""COMPUTED_VALUE"""),3477.2)</f>
        <v>3477.2</v>
      </c>
    </row>
    <row r="653" ht="15.75" customHeight="1">
      <c r="A653" s="32">
        <f>IFERROR(__xludf.DUMMYFUNCTION("""COMPUTED_VALUE"""),44750.66666666667)</f>
        <v>44750.66667</v>
      </c>
      <c r="B653" s="22">
        <f>IFERROR(__xludf.DUMMYFUNCTION("""COMPUTED_VALUE"""),3899.38)</f>
        <v>3899.38</v>
      </c>
      <c r="C653" s="32">
        <f>IFERROR(__xludf.DUMMYFUNCTION("""COMPUTED_VALUE"""),44730.99861111111)</f>
        <v>44730.99861</v>
      </c>
      <c r="D653" s="22">
        <f>IFERROR(__xludf.DUMMYFUNCTION("""COMPUTED_VALUE"""),1.0495)</f>
        <v>1.0495</v>
      </c>
      <c r="E653" s="32">
        <f>IFERROR(__xludf.DUMMYFUNCTION("""COMPUTED_VALUE"""),44764.75)</f>
        <v>44764.75</v>
      </c>
      <c r="F653" s="22">
        <f>IFERROR(__xludf.DUMMYFUNCTION("""COMPUTED_VALUE"""),3596.49)</f>
        <v>3596.49</v>
      </c>
    </row>
    <row r="654" ht="15.75" customHeight="1">
      <c r="A654" s="32">
        <f>IFERROR(__xludf.DUMMYFUNCTION("""COMPUTED_VALUE"""),44757.66666666667)</f>
        <v>44757.66667</v>
      </c>
      <c r="B654" s="22">
        <f>IFERROR(__xludf.DUMMYFUNCTION("""COMPUTED_VALUE"""),3863.16)</f>
        <v>3863.16</v>
      </c>
      <c r="C654" s="32">
        <f>IFERROR(__xludf.DUMMYFUNCTION("""COMPUTED_VALUE"""),44737.99861111111)</f>
        <v>44737.99861</v>
      </c>
      <c r="D654" s="22">
        <f>IFERROR(__xludf.DUMMYFUNCTION("""COMPUTED_VALUE"""),1.05676)</f>
        <v>1.05676</v>
      </c>
      <c r="E654" s="32">
        <f>IFERROR(__xludf.DUMMYFUNCTION("""COMPUTED_VALUE"""),44771.75)</f>
        <v>44771.75</v>
      </c>
      <c r="F654" s="22">
        <f>IFERROR(__xludf.DUMMYFUNCTION("""COMPUTED_VALUE"""),3708.1)</f>
        <v>3708.1</v>
      </c>
    </row>
    <row r="655" ht="15.75" customHeight="1">
      <c r="A655" s="32">
        <f>IFERROR(__xludf.DUMMYFUNCTION("""COMPUTED_VALUE"""),44764.66666666667)</f>
        <v>44764.66667</v>
      </c>
      <c r="B655" s="22">
        <f>IFERROR(__xludf.DUMMYFUNCTION("""COMPUTED_VALUE"""),3961.63)</f>
        <v>3961.63</v>
      </c>
      <c r="C655" s="32">
        <f>IFERROR(__xludf.DUMMYFUNCTION("""COMPUTED_VALUE"""),44744.99861111111)</f>
        <v>44744.99861</v>
      </c>
      <c r="D655" s="22">
        <f>IFERROR(__xludf.DUMMYFUNCTION("""COMPUTED_VALUE"""),1.04272)</f>
        <v>1.04272</v>
      </c>
      <c r="E655" s="32">
        <f>IFERROR(__xludf.DUMMYFUNCTION("""COMPUTED_VALUE"""),44778.75)</f>
        <v>44778.75</v>
      </c>
      <c r="F655" s="22">
        <f>IFERROR(__xludf.DUMMYFUNCTION("""COMPUTED_VALUE"""),3725.39)</f>
        <v>3725.39</v>
      </c>
    </row>
    <row r="656" ht="15.75" customHeight="1">
      <c r="A656" s="32">
        <f>IFERROR(__xludf.DUMMYFUNCTION("""COMPUTED_VALUE"""),44771.66666666667)</f>
        <v>44771.66667</v>
      </c>
      <c r="B656" s="22">
        <f>IFERROR(__xludf.DUMMYFUNCTION("""COMPUTED_VALUE"""),4130.29)</f>
        <v>4130.29</v>
      </c>
      <c r="C656" s="32">
        <f>IFERROR(__xludf.DUMMYFUNCTION("""COMPUTED_VALUE"""),44751.99861111111)</f>
        <v>44751.99861</v>
      </c>
      <c r="D656" s="22">
        <f>IFERROR(__xludf.DUMMYFUNCTION("""COMPUTED_VALUE"""),1.0183)</f>
        <v>1.0183</v>
      </c>
      <c r="E656" s="32">
        <f>IFERROR(__xludf.DUMMYFUNCTION("""COMPUTED_VALUE"""),44785.75)</f>
        <v>44785.75</v>
      </c>
      <c r="F656" s="22">
        <f>IFERROR(__xludf.DUMMYFUNCTION("""COMPUTED_VALUE"""),3776.81)</f>
        <v>3776.81</v>
      </c>
    </row>
    <row r="657" ht="15.75" customHeight="1">
      <c r="A657" s="32">
        <f>IFERROR(__xludf.DUMMYFUNCTION("""COMPUTED_VALUE"""),44778.66666666667)</f>
        <v>44778.66667</v>
      </c>
      <c r="B657" s="22">
        <f>IFERROR(__xludf.DUMMYFUNCTION("""COMPUTED_VALUE"""),4145.19)</f>
        <v>4145.19</v>
      </c>
      <c r="C657" s="32">
        <f>IFERROR(__xludf.DUMMYFUNCTION("""COMPUTED_VALUE"""),44758.99861111111)</f>
        <v>44758.99861</v>
      </c>
      <c r="D657" s="22">
        <f>IFERROR(__xludf.DUMMYFUNCTION("""COMPUTED_VALUE"""),1.00946)</f>
        <v>1.00946</v>
      </c>
      <c r="E657" s="32">
        <f>IFERROR(__xludf.DUMMYFUNCTION("""COMPUTED_VALUE"""),44792.75)</f>
        <v>44792.75</v>
      </c>
      <c r="F657" s="22">
        <f>IFERROR(__xludf.DUMMYFUNCTION("""COMPUTED_VALUE"""),3730.32)</f>
        <v>3730.32</v>
      </c>
    </row>
    <row r="658" ht="15.75" customHeight="1">
      <c r="A658" s="32">
        <f>IFERROR(__xludf.DUMMYFUNCTION("""COMPUTED_VALUE"""),44785.66666666667)</f>
        <v>44785.66667</v>
      </c>
      <c r="B658" s="22">
        <f>IFERROR(__xludf.DUMMYFUNCTION("""COMPUTED_VALUE"""),4280.15)</f>
        <v>4280.15</v>
      </c>
      <c r="C658" s="32">
        <f>IFERROR(__xludf.DUMMYFUNCTION("""COMPUTED_VALUE"""),44765.99861111111)</f>
        <v>44765.99861</v>
      </c>
      <c r="D658" s="22">
        <f>IFERROR(__xludf.DUMMYFUNCTION("""COMPUTED_VALUE"""),1.0212)</f>
        <v>1.0212</v>
      </c>
      <c r="E658" s="32">
        <f>IFERROR(__xludf.DUMMYFUNCTION("""COMPUTED_VALUE"""),44799.75)</f>
        <v>44799.75</v>
      </c>
      <c r="F658" s="22">
        <f>IFERROR(__xludf.DUMMYFUNCTION("""COMPUTED_VALUE"""),3603.68)</f>
        <v>3603.68</v>
      </c>
    </row>
    <row r="659" ht="15.75" customHeight="1">
      <c r="A659" s="32">
        <f>IFERROR(__xludf.DUMMYFUNCTION("""COMPUTED_VALUE"""),44792.66666666667)</f>
        <v>44792.66667</v>
      </c>
      <c r="B659" s="22">
        <f>IFERROR(__xludf.DUMMYFUNCTION("""COMPUTED_VALUE"""),4228.48)</f>
        <v>4228.48</v>
      </c>
      <c r="C659" s="32">
        <f>IFERROR(__xludf.DUMMYFUNCTION("""COMPUTED_VALUE"""),44772.99861111111)</f>
        <v>44772.99861</v>
      </c>
      <c r="D659" s="22">
        <f>IFERROR(__xludf.DUMMYFUNCTION("""COMPUTED_VALUE"""),1.02264)</f>
        <v>1.02264</v>
      </c>
      <c r="E659" s="32">
        <f>IFERROR(__xludf.DUMMYFUNCTION("""COMPUTED_VALUE"""),44806.75)</f>
        <v>44806.75</v>
      </c>
      <c r="F659" s="22">
        <f>IFERROR(__xludf.DUMMYFUNCTION("""COMPUTED_VALUE"""),3544.38)</f>
        <v>3544.38</v>
      </c>
    </row>
    <row r="660" ht="15.75" customHeight="1">
      <c r="A660" s="32">
        <f>IFERROR(__xludf.DUMMYFUNCTION("""COMPUTED_VALUE"""),44799.66666666667)</f>
        <v>44799.66667</v>
      </c>
      <c r="B660" s="22">
        <f>IFERROR(__xludf.DUMMYFUNCTION("""COMPUTED_VALUE"""),4057.66)</f>
        <v>4057.66</v>
      </c>
      <c r="C660" s="32">
        <f>IFERROR(__xludf.DUMMYFUNCTION("""COMPUTED_VALUE"""),44779.99861111111)</f>
        <v>44779.99861</v>
      </c>
      <c r="D660" s="22">
        <f>IFERROR(__xludf.DUMMYFUNCTION("""COMPUTED_VALUE"""),1.01799)</f>
        <v>1.01799</v>
      </c>
      <c r="E660" s="32">
        <f>IFERROR(__xludf.DUMMYFUNCTION("""COMPUTED_VALUE"""),44813.75)</f>
        <v>44813.75</v>
      </c>
      <c r="F660" s="22">
        <f>IFERROR(__xludf.DUMMYFUNCTION("""COMPUTED_VALUE"""),3570.04)</f>
        <v>3570.04</v>
      </c>
    </row>
    <row r="661" ht="15.75" customHeight="1">
      <c r="A661" s="32">
        <f>IFERROR(__xludf.DUMMYFUNCTION("""COMPUTED_VALUE"""),44806.66666666667)</f>
        <v>44806.66667</v>
      </c>
      <c r="B661" s="22">
        <f>IFERROR(__xludf.DUMMYFUNCTION("""COMPUTED_VALUE"""),3924.26)</f>
        <v>3924.26</v>
      </c>
      <c r="C661" s="32">
        <f>IFERROR(__xludf.DUMMYFUNCTION("""COMPUTED_VALUE"""),44786.99861111111)</f>
        <v>44786.99861</v>
      </c>
      <c r="D661" s="22">
        <f>IFERROR(__xludf.DUMMYFUNCTION("""COMPUTED_VALUE"""),1.02622)</f>
        <v>1.02622</v>
      </c>
      <c r="E661" s="32">
        <f>IFERROR(__xludf.DUMMYFUNCTION("""COMPUTED_VALUE"""),44820.75)</f>
        <v>44820.75</v>
      </c>
      <c r="F661" s="22">
        <f>IFERROR(__xludf.DUMMYFUNCTION("""COMPUTED_VALUE"""),3500.41)</f>
        <v>3500.41</v>
      </c>
    </row>
    <row r="662" ht="15.75" customHeight="1">
      <c r="A662" s="32">
        <f>IFERROR(__xludf.DUMMYFUNCTION("""COMPUTED_VALUE"""),44813.66666666667)</f>
        <v>44813.66667</v>
      </c>
      <c r="B662" s="22">
        <f>IFERROR(__xludf.DUMMYFUNCTION("""COMPUTED_VALUE"""),4067.36)</f>
        <v>4067.36</v>
      </c>
      <c r="C662" s="32">
        <f>IFERROR(__xludf.DUMMYFUNCTION("""COMPUTED_VALUE"""),44793.99861111111)</f>
        <v>44793.99861</v>
      </c>
      <c r="D662" s="22">
        <f>IFERROR(__xludf.DUMMYFUNCTION("""COMPUTED_VALUE"""),1.0036)</f>
        <v>1.0036</v>
      </c>
      <c r="E662" s="32">
        <f>IFERROR(__xludf.DUMMYFUNCTION("""COMPUTED_VALUE"""),44827.75)</f>
        <v>44827.75</v>
      </c>
      <c r="F662" s="22">
        <f>IFERROR(__xludf.DUMMYFUNCTION("""COMPUTED_VALUE"""),3348.6)</f>
        <v>3348.6</v>
      </c>
    </row>
    <row r="663" ht="15.75" customHeight="1">
      <c r="A663" s="32">
        <f>IFERROR(__xludf.DUMMYFUNCTION("""COMPUTED_VALUE"""),44820.66666666667)</f>
        <v>44820.66667</v>
      </c>
      <c r="B663" s="22">
        <f>IFERROR(__xludf.DUMMYFUNCTION("""COMPUTED_VALUE"""),3873.33)</f>
        <v>3873.33</v>
      </c>
      <c r="C663" s="32">
        <f>IFERROR(__xludf.DUMMYFUNCTION("""COMPUTED_VALUE"""),44800.99861111111)</f>
        <v>44800.99861</v>
      </c>
      <c r="D663" s="22">
        <f>IFERROR(__xludf.DUMMYFUNCTION("""COMPUTED_VALUE"""),0.9964)</f>
        <v>0.9964</v>
      </c>
      <c r="E663" s="32">
        <f>IFERROR(__xludf.DUMMYFUNCTION("""COMPUTED_VALUE"""),44834.75)</f>
        <v>44834.75</v>
      </c>
      <c r="F663" s="22">
        <f>IFERROR(__xludf.DUMMYFUNCTION("""COMPUTED_VALUE"""),3318.2)</f>
        <v>3318.2</v>
      </c>
    </row>
    <row r="664" ht="15.75" customHeight="1">
      <c r="A664" s="32">
        <f>IFERROR(__xludf.DUMMYFUNCTION("""COMPUTED_VALUE"""),44827.66666666667)</f>
        <v>44827.66667</v>
      </c>
      <c r="B664" s="22">
        <f>IFERROR(__xludf.DUMMYFUNCTION("""COMPUTED_VALUE"""),3693.23)</f>
        <v>3693.23</v>
      </c>
      <c r="C664" s="32">
        <f>IFERROR(__xludf.DUMMYFUNCTION("""COMPUTED_VALUE"""),44807.99861111111)</f>
        <v>44807.99861</v>
      </c>
      <c r="D664" s="22">
        <f>IFERROR(__xludf.DUMMYFUNCTION("""COMPUTED_VALUE"""),0.9951)</f>
        <v>0.9951</v>
      </c>
      <c r="E664" s="32">
        <f>IFERROR(__xludf.DUMMYFUNCTION("""COMPUTED_VALUE"""),44841.75)</f>
        <v>44841.75</v>
      </c>
      <c r="F664" s="22">
        <f>IFERROR(__xludf.DUMMYFUNCTION("""COMPUTED_VALUE"""),3375.46)</f>
        <v>3375.46</v>
      </c>
    </row>
    <row r="665" ht="15.75" customHeight="1">
      <c r="A665" s="32">
        <f>IFERROR(__xludf.DUMMYFUNCTION("""COMPUTED_VALUE"""),44834.66666666667)</f>
        <v>44834.66667</v>
      </c>
      <c r="B665" s="22">
        <f>IFERROR(__xludf.DUMMYFUNCTION("""COMPUTED_VALUE"""),3585.62)</f>
        <v>3585.62</v>
      </c>
      <c r="C665" s="32">
        <f>IFERROR(__xludf.DUMMYFUNCTION("""COMPUTED_VALUE"""),44814.99861111111)</f>
        <v>44814.99861</v>
      </c>
      <c r="D665" s="22">
        <f>IFERROR(__xludf.DUMMYFUNCTION("""COMPUTED_VALUE"""),1.0151)</f>
        <v>1.0151</v>
      </c>
      <c r="E665" s="32">
        <f>IFERROR(__xludf.DUMMYFUNCTION("""COMPUTED_VALUE"""),44848.75)</f>
        <v>44848.75</v>
      </c>
      <c r="F665" s="22">
        <f>IFERROR(__xludf.DUMMYFUNCTION("""COMPUTED_VALUE"""),3381.73)</f>
        <v>3381.73</v>
      </c>
    </row>
    <row r="666" ht="15.75" customHeight="1">
      <c r="A666" s="32">
        <f>IFERROR(__xludf.DUMMYFUNCTION("""COMPUTED_VALUE"""),44841.66666666667)</f>
        <v>44841.66667</v>
      </c>
      <c r="B666" s="22">
        <f>IFERROR(__xludf.DUMMYFUNCTION("""COMPUTED_VALUE"""),3639.66)</f>
        <v>3639.66</v>
      </c>
      <c r="C666" s="32">
        <f>IFERROR(__xludf.DUMMYFUNCTION("""COMPUTED_VALUE"""),44821.99861111111)</f>
        <v>44821.99861</v>
      </c>
      <c r="D666" s="22">
        <f>IFERROR(__xludf.DUMMYFUNCTION("""COMPUTED_VALUE"""),1.00092)</f>
        <v>1.00092</v>
      </c>
      <c r="E666" s="32">
        <f>IFERROR(__xludf.DUMMYFUNCTION("""COMPUTED_VALUE"""),44855.75)</f>
        <v>44855.75</v>
      </c>
      <c r="F666" s="22">
        <f>IFERROR(__xludf.DUMMYFUNCTION("""COMPUTED_VALUE"""),3476.63)</f>
        <v>3476.63</v>
      </c>
    </row>
    <row r="667" ht="15.75" customHeight="1">
      <c r="A667" s="32">
        <f>IFERROR(__xludf.DUMMYFUNCTION("""COMPUTED_VALUE"""),44848.66666666667)</f>
        <v>44848.66667</v>
      </c>
      <c r="B667" s="22">
        <f>IFERROR(__xludf.DUMMYFUNCTION("""COMPUTED_VALUE"""),3583.07)</f>
        <v>3583.07</v>
      </c>
      <c r="C667" s="32">
        <f>IFERROR(__xludf.DUMMYFUNCTION("""COMPUTED_VALUE"""),44828.99861111111)</f>
        <v>44828.99861</v>
      </c>
      <c r="D667" s="22">
        <f>IFERROR(__xludf.DUMMYFUNCTION("""COMPUTED_VALUE"""),0.9689)</f>
        <v>0.9689</v>
      </c>
      <c r="E667" s="32">
        <f>IFERROR(__xludf.DUMMYFUNCTION("""COMPUTED_VALUE"""),44862.75)</f>
        <v>44862.75</v>
      </c>
      <c r="F667" s="22">
        <f>IFERROR(__xludf.DUMMYFUNCTION("""COMPUTED_VALUE"""),3613.02)</f>
        <v>3613.02</v>
      </c>
    </row>
    <row r="668" ht="15.75" customHeight="1">
      <c r="A668" s="32">
        <f>IFERROR(__xludf.DUMMYFUNCTION("""COMPUTED_VALUE"""),44855.66666666667)</f>
        <v>44855.66667</v>
      </c>
      <c r="B668" s="22">
        <f>IFERROR(__xludf.DUMMYFUNCTION("""COMPUTED_VALUE"""),3752.75)</f>
        <v>3752.75</v>
      </c>
      <c r="C668" s="32">
        <f>IFERROR(__xludf.DUMMYFUNCTION("""COMPUTED_VALUE"""),44835.99861111111)</f>
        <v>44835.99861</v>
      </c>
      <c r="D668" s="22">
        <f>IFERROR(__xludf.DUMMYFUNCTION("""COMPUTED_VALUE"""),0.9801)</f>
        <v>0.9801</v>
      </c>
      <c r="E668" s="32">
        <f>IFERROR(__xludf.DUMMYFUNCTION("""COMPUTED_VALUE"""),44869.75)</f>
        <v>44869.75</v>
      </c>
      <c r="F668" s="22">
        <f>IFERROR(__xludf.DUMMYFUNCTION("""COMPUTED_VALUE"""),3688.33)</f>
        <v>3688.33</v>
      </c>
    </row>
    <row r="669" ht="15.75" customHeight="1">
      <c r="A669" s="32">
        <f>IFERROR(__xludf.DUMMYFUNCTION("""COMPUTED_VALUE"""),44862.66666666667)</f>
        <v>44862.66667</v>
      </c>
      <c r="B669" s="22">
        <f>IFERROR(__xludf.DUMMYFUNCTION("""COMPUTED_VALUE"""),3901.06)</f>
        <v>3901.06</v>
      </c>
      <c r="C669" s="32">
        <f>IFERROR(__xludf.DUMMYFUNCTION("""COMPUTED_VALUE"""),44842.99861111111)</f>
        <v>44842.99861</v>
      </c>
      <c r="D669" s="22">
        <f>IFERROR(__xludf.DUMMYFUNCTION("""COMPUTED_VALUE"""),0.9744)</f>
        <v>0.9744</v>
      </c>
      <c r="E669" s="32">
        <f>IFERROR(__xludf.DUMMYFUNCTION("""COMPUTED_VALUE"""),44876.75)</f>
        <v>44876.75</v>
      </c>
      <c r="F669" s="22">
        <f>IFERROR(__xludf.DUMMYFUNCTION("""COMPUTED_VALUE"""),3868.5)</f>
        <v>3868.5</v>
      </c>
    </row>
    <row r="670" ht="15.75" customHeight="1">
      <c r="A670" s="32">
        <f>IFERROR(__xludf.DUMMYFUNCTION("""COMPUTED_VALUE"""),44869.66666666667)</f>
        <v>44869.66667</v>
      </c>
      <c r="B670" s="22">
        <f>IFERROR(__xludf.DUMMYFUNCTION("""COMPUTED_VALUE"""),3770.55)</f>
        <v>3770.55</v>
      </c>
      <c r="C670" s="32">
        <f>IFERROR(__xludf.DUMMYFUNCTION("""COMPUTED_VALUE"""),44849.99861111111)</f>
        <v>44849.99861</v>
      </c>
      <c r="D670" s="22">
        <f>IFERROR(__xludf.DUMMYFUNCTION("""COMPUTED_VALUE"""),0.9718)</f>
        <v>0.9718</v>
      </c>
      <c r="E670" s="32">
        <f>IFERROR(__xludf.DUMMYFUNCTION("""COMPUTED_VALUE"""),44883.75)</f>
        <v>44883.75</v>
      </c>
      <c r="F670" s="22">
        <f>IFERROR(__xludf.DUMMYFUNCTION("""COMPUTED_VALUE"""),3924.84)</f>
        <v>3924.84</v>
      </c>
    </row>
    <row r="671" ht="15.75" customHeight="1">
      <c r="A671" s="32">
        <f>IFERROR(__xludf.DUMMYFUNCTION("""COMPUTED_VALUE"""),44876.66666666667)</f>
        <v>44876.66667</v>
      </c>
      <c r="B671" s="22">
        <f>IFERROR(__xludf.DUMMYFUNCTION("""COMPUTED_VALUE"""),3992.93)</f>
        <v>3992.93</v>
      </c>
      <c r="C671" s="32">
        <f>IFERROR(__xludf.DUMMYFUNCTION("""COMPUTED_VALUE"""),44856.99861111111)</f>
        <v>44856.99861</v>
      </c>
      <c r="D671" s="22">
        <f>IFERROR(__xludf.DUMMYFUNCTION("""COMPUTED_VALUE"""),0.98547)</f>
        <v>0.98547</v>
      </c>
      <c r="E671" s="32">
        <f>IFERROR(__xludf.DUMMYFUNCTION("""COMPUTED_VALUE"""),44890.75)</f>
        <v>44890.75</v>
      </c>
      <c r="F671" s="22">
        <f>IFERROR(__xludf.DUMMYFUNCTION("""COMPUTED_VALUE"""),3962.41)</f>
        <v>3962.41</v>
      </c>
    </row>
    <row r="672" ht="15.75" customHeight="1">
      <c r="A672" s="32">
        <f>IFERROR(__xludf.DUMMYFUNCTION("""COMPUTED_VALUE"""),44883.66666666667)</f>
        <v>44883.66667</v>
      </c>
      <c r="B672" s="22">
        <f>IFERROR(__xludf.DUMMYFUNCTION("""COMPUTED_VALUE"""),3965.34)</f>
        <v>3965.34</v>
      </c>
      <c r="C672" s="32">
        <f>IFERROR(__xludf.DUMMYFUNCTION("""COMPUTED_VALUE"""),44863.99861111111)</f>
        <v>44863.99861</v>
      </c>
      <c r="D672" s="22">
        <f>IFERROR(__xludf.DUMMYFUNCTION("""COMPUTED_VALUE"""),0.99601)</f>
        <v>0.99601</v>
      </c>
      <c r="E672" s="32">
        <f>IFERROR(__xludf.DUMMYFUNCTION("""COMPUTED_VALUE"""),44897.75)</f>
        <v>44897.75</v>
      </c>
      <c r="F672" s="22">
        <f>IFERROR(__xludf.DUMMYFUNCTION("""COMPUTED_VALUE"""),3977.9)</f>
        <v>3977.9</v>
      </c>
    </row>
    <row r="673" ht="15.75" customHeight="1">
      <c r="A673" s="32">
        <f>IFERROR(__xludf.DUMMYFUNCTION("""COMPUTED_VALUE"""),44890.54166666667)</f>
        <v>44890.54167</v>
      </c>
      <c r="B673" s="22">
        <f>IFERROR(__xludf.DUMMYFUNCTION("""COMPUTED_VALUE"""),4026.12)</f>
        <v>4026.12</v>
      </c>
      <c r="C673" s="32">
        <f>IFERROR(__xludf.DUMMYFUNCTION("""COMPUTED_VALUE"""),44870.99861111111)</f>
        <v>44870.99861</v>
      </c>
      <c r="D673" s="22">
        <f>IFERROR(__xludf.DUMMYFUNCTION("""COMPUTED_VALUE"""),0.983)</f>
        <v>0.983</v>
      </c>
      <c r="E673" s="32">
        <f>IFERROR(__xludf.DUMMYFUNCTION("""COMPUTED_VALUE"""),44904.75)</f>
        <v>44904.75</v>
      </c>
      <c r="F673" s="22">
        <f>IFERROR(__xludf.DUMMYFUNCTION("""COMPUTED_VALUE"""),3942.62)</f>
        <v>3942.62</v>
      </c>
    </row>
    <row r="674" ht="15.75" customHeight="1">
      <c r="A674" s="32">
        <f>IFERROR(__xludf.DUMMYFUNCTION("""COMPUTED_VALUE"""),44897.66666666667)</f>
        <v>44897.66667</v>
      </c>
      <c r="B674" s="22">
        <f>IFERROR(__xludf.DUMMYFUNCTION("""COMPUTED_VALUE"""),4071.7)</f>
        <v>4071.7</v>
      </c>
      <c r="C674" s="32">
        <f>IFERROR(__xludf.DUMMYFUNCTION("""COMPUTED_VALUE"""),44877.99861111111)</f>
        <v>44877.99861</v>
      </c>
      <c r="D674" s="22">
        <f>IFERROR(__xludf.DUMMYFUNCTION("""COMPUTED_VALUE"""),1.036)</f>
        <v>1.036</v>
      </c>
      <c r="E674" s="32">
        <f>IFERROR(__xludf.DUMMYFUNCTION("""COMPUTED_VALUE"""),44911.75)</f>
        <v>44911.75</v>
      </c>
      <c r="F674" s="22">
        <f>IFERROR(__xludf.DUMMYFUNCTION("""COMPUTED_VALUE"""),3804.02)</f>
        <v>3804.02</v>
      </c>
    </row>
    <row r="675" ht="15.75" customHeight="1">
      <c r="A675" s="32">
        <f>IFERROR(__xludf.DUMMYFUNCTION("""COMPUTED_VALUE"""),44904.66666666667)</f>
        <v>44904.66667</v>
      </c>
      <c r="B675" s="22">
        <f>IFERROR(__xludf.DUMMYFUNCTION("""COMPUTED_VALUE"""),3934.38)</f>
        <v>3934.38</v>
      </c>
      <c r="C675" s="32">
        <f>IFERROR(__xludf.DUMMYFUNCTION("""COMPUTED_VALUE"""),44884.99861111111)</f>
        <v>44884.99861</v>
      </c>
      <c r="D675" s="22">
        <f>IFERROR(__xludf.DUMMYFUNCTION("""COMPUTED_VALUE"""),1.0344)</f>
        <v>1.0344</v>
      </c>
      <c r="E675" s="32">
        <f>IFERROR(__xludf.DUMMYFUNCTION("""COMPUTED_VALUE"""),44918.75)</f>
        <v>44918.75</v>
      </c>
      <c r="F675" s="22">
        <f>IFERROR(__xludf.DUMMYFUNCTION("""COMPUTED_VALUE"""),3817.01)</f>
        <v>3817.01</v>
      </c>
    </row>
    <row r="676" ht="15.75" customHeight="1">
      <c r="A676" s="32">
        <f>IFERROR(__xludf.DUMMYFUNCTION("""COMPUTED_VALUE"""),44911.66666666667)</f>
        <v>44911.66667</v>
      </c>
      <c r="B676" s="22">
        <f>IFERROR(__xludf.DUMMYFUNCTION("""COMPUTED_VALUE"""),3852.36)</f>
        <v>3852.36</v>
      </c>
      <c r="C676" s="32">
        <f>IFERROR(__xludf.DUMMYFUNCTION("""COMPUTED_VALUE"""),44891.99861111111)</f>
        <v>44891.99861</v>
      </c>
      <c r="D676" s="22">
        <f>IFERROR(__xludf.DUMMYFUNCTION("""COMPUTED_VALUE"""),1.0413)</f>
        <v>1.0413</v>
      </c>
      <c r="E676" s="32">
        <f>IFERROR(__xludf.DUMMYFUNCTION("""COMPUTED_VALUE"""),44925.586111111115)</f>
        <v>44925.58611</v>
      </c>
      <c r="F676" s="22">
        <f>IFERROR(__xludf.DUMMYFUNCTION("""COMPUTED_VALUE"""),3793.62)</f>
        <v>3793.62</v>
      </c>
    </row>
    <row r="677" ht="15.75" customHeight="1">
      <c r="A677" s="32">
        <f>IFERROR(__xludf.DUMMYFUNCTION("""COMPUTED_VALUE"""),44918.66666666667)</f>
        <v>44918.66667</v>
      </c>
      <c r="B677" s="22">
        <f>IFERROR(__xludf.DUMMYFUNCTION("""COMPUTED_VALUE"""),3844.82)</f>
        <v>3844.82</v>
      </c>
      <c r="C677" s="32">
        <f>IFERROR(__xludf.DUMMYFUNCTION("""COMPUTED_VALUE"""),44898.99861111111)</f>
        <v>44898.99861</v>
      </c>
      <c r="D677" s="22">
        <f>IFERROR(__xludf.DUMMYFUNCTION("""COMPUTED_VALUE"""),1.0536)</f>
        <v>1.0536</v>
      </c>
      <c r="E677" s="32">
        <f>IFERROR(__xludf.DUMMYFUNCTION("""COMPUTED_VALUE"""),44932.75)</f>
        <v>44932.75</v>
      </c>
      <c r="F677" s="22">
        <f>IFERROR(__xludf.DUMMYFUNCTION("""COMPUTED_VALUE"""),4017.83)</f>
        <v>4017.83</v>
      </c>
    </row>
    <row r="678" ht="15.75" customHeight="1">
      <c r="A678" s="32">
        <f>IFERROR(__xludf.DUMMYFUNCTION("""COMPUTED_VALUE"""),44925.66666666667)</f>
        <v>44925.66667</v>
      </c>
      <c r="B678" s="22">
        <f>IFERROR(__xludf.DUMMYFUNCTION("""COMPUTED_VALUE"""),3839.5)</f>
        <v>3839.5</v>
      </c>
      <c r="C678" s="32">
        <f>IFERROR(__xludf.DUMMYFUNCTION("""COMPUTED_VALUE"""),44905.99861111111)</f>
        <v>44905.99861</v>
      </c>
      <c r="D678" s="22">
        <f>IFERROR(__xludf.DUMMYFUNCTION("""COMPUTED_VALUE"""),1.054)</f>
        <v>1.054</v>
      </c>
      <c r="E678" s="32">
        <f>IFERROR(__xludf.DUMMYFUNCTION("""COMPUTED_VALUE"""),44939.75)</f>
        <v>44939.75</v>
      </c>
      <c r="F678" s="22">
        <f>IFERROR(__xludf.DUMMYFUNCTION("""COMPUTED_VALUE"""),4150.8)</f>
        <v>4150.8</v>
      </c>
    </row>
    <row r="679" ht="15.75" customHeight="1">
      <c r="A679" s="32">
        <f>IFERROR(__xludf.DUMMYFUNCTION("""COMPUTED_VALUE"""),44932.66666666667)</f>
        <v>44932.66667</v>
      </c>
      <c r="B679" s="22">
        <f>IFERROR(__xludf.DUMMYFUNCTION("""COMPUTED_VALUE"""),3895.08)</f>
        <v>3895.08</v>
      </c>
      <c r="C679" s="32">
        <f>IFERROR(__xludf.DUMMYFUNCTION("""COMPUTED_VALUE"""),44912.99861111111)</f>
        <v>44912.99861</v>
      </c>
      <c r="D679" s="22">
        <f>IFERROR(__xludf.DUMMYFUNCTION("""COMPUTED_VALUE"""),1.0593)</f>
        <v>1.0593</v>
      </c>
      <c r="E679" s="32">
        <f>IFERROR(__xludf.DUMMYFUNCTION("""COMPUTED_VALUE"""),44946.75)</f>
        <v>44946.75</v>
      </c>
      <c r="F679" s="22">
        <f>IFERROR(__xludf.DUMMYFUNCTION("""COMPUTED_VALUE"""),4119.9)</f>
        <v>4119.9</v>
      </c>
    </row>
    <row r="680" ht="15.75" customHeight="1">
      <c r="A680" s="32">
        <f>IFERROR(__xludf.DUMMYFUNCTION("""COMPUTED_VALUE"""),44939.66666666667)</f>
        <v>44939.66667</v>
      </c>
      <c r="B680" s="22">
        <f>IFERROR(__xludf.DUMMYFUNCTION("""COMPUTED_VALUE"""),3999.09)</f>
        <v>3999.09</v>
      </c>
      <c r="C680" s="32">
        <f>IFERROR(__xludf.DUMMYFUNCTION("""COMPUTED_VALUE"""),44919.99861111111)</f>
        <v>44919.99861</v>
      </c>
      <c r="D680" s="22">
        <f>IFERROR(__xludf.DUMMYFUNCTION("""COMPUTED_VALUE"""),1.0665)</f>
        <v>1.0665</v>
      </c>
      <c r="E680" s="32">
        <f>IFERROR(__xludf.DUMMYFUNCTION("""COMPUTED_VALUE"""),44953.75)</f>
        <v>44953.75</v>
      </c>
      <c r="F680" s="22">
        <f>IFERROR(__xludf.DUMMYFUNCTION("""COMPUTED_VALUE"""),4178.01)</f>
        <v>4178.01</v>
      </c>
    </row>
    <row r="681" ht="15.75" customHeight="1">
      <c r="A681" s="32">
        <f>IFERROR(__xludf.DUMMYFUNCTION("""COMPUTED_VALUE"""),44946.66666666667)</f>
        <v>44946.66667</v>
      </c>
      <c r="B681" s="22">
        <f>IFERROR(__xludf.DUMMYFUNCTION("""COMPUTED_VALUE"""),3972.61)</f>
        <v>3972.61</v>
      </c>
      <c r="C681" s="32">
        <f>IFERROR(__xludf.DUMMYFUNCTION("""COMPUTED_VALUE"""),44926.99861111111)</f>
        <v>44926.99861</v>
      </c>
      <c r="D681" s="22">
        <f>IFERROR(__xludf.DUMMYFUNCTION("""COMPUTED_VALUE"""),1.0725)</f>
        <v>1.0725</v>
      </c>
      <c r="E681" s="32">
        <f>IFERROR(__xludf.DUMMYFUNCTION("""COMPUTED_VALUE"""),44960.75)</f>
        <v>44960.75</v>
      </c>
      <c r="F681" s="22">
        <f>IFERROR(__xludf.DUMMYFUNCTION("""COMPUTED_VALUE"""),4257.98)</f>
        <v>4257.98</v>
      </c>
    </row>
    <row r="682" ht="15.75" customHeight="1">
      <c r="A682" s="32">
        <f>IFERROR(__xludf.DUMMYFUNCTION("""COMPUTED_VALUE"""),44953.66666666667)</f>
        <v>44953.66667</v>
      </c>
      <c r="B682" s="22">
        <f>IFERROR(__xludf.DUMMYFUNCTION("""COMPUTED_VALUE"""),4070.56)</f>
        <v>4070.56</v>
      </c>
      <c r="C682" s="32">
        <f>IFERROR(__xludf.DUMMYFUNCTION("""COMPUTED_VALUE"""),44933.99861111111)</f>
        <v>44933.99861</v>
      </c>
      <c r="D682" s="22">
        <f>IFERROR(__xludf.DUMMYFUNCTION("""COMPUTED_VALUE"""),1.0662)</f>
        <v>1.0662</v>
      </c>
      <c r="E682" s="32">
        <f>IFERROR(__xludf.DUMMYFUNCTION("""COMPUTED_VALUE"""),44967.75)</f>
        <v>44967.75</v>
      </c>
      <c r="F682" s="22">
        <f>IFERROR(__xludf.DUMMYFUNCTION("""COMPUTED_VALUE"""),4197.94)</f>
        <v>4197.94</v>
      </c>
    </row>
    <row r="683" ht="15.75" customHeight="1">
      <c r="A683" s="32">
        <f>IFERROR(__xludf.DUMMYFUNCTION("""COMPUTED_VALUE"""),44960.66666666667)</f>
        <v>44960.66667</v>
      </c>
      <c r="B683" s="22">
        <f>IFERROR(__xludf.DUMMYFUNCTION("""COMPUTED_VALUE"""),4136.48)</f>
        <v>4136.48</v>
      </c>
      <c r="C683" s="32">
        <f>IFERROR(__xludf.DUMMYFUNCTION("""COMPUTED_VALUE"""),44940.99861111111)</f>
        <v>44940.99861</v>
      </c>
      <c r="D683" s="22">
        <f>IFERROR(__xludf.DUMMYFUNCTION("""COMPUTED_VALUE"""),1.0842)</f>
        <v>1.0842</v>
      </c>
      <c r="E683" s="32">
        <f>IFERROR(__xludf.DUMMYFUNCTION("""COMPUTED_VALUE"""),44974.75)</f>
        <v>44974.75</v>
      </c>
      <c r="F683" s="22">
        <f>IFERROR(__xludf.DUMMYFUNCTION("""COMPUTED_VALUE"""),4274.92)</f>
        <v>4274.92</v>
      </c>
    </row>
    <row r="684" ht="15.75" customHeight="1">
      <c r="A684" s="32">
        <f>IFERROR(__xludf.DUMMYFUNCTION("""COMPUTED_VALUE"""),44967.66666666667)</f>
        <v>44967.66667</v>
      </c>
      <c r="B684" s="22">
        <f>IFERROR(__xludf.DUMMYFUNCTION("""COMPUTED_VALUE"""),4090.46)</f>
        <v>4090.46</v>
      </c>
      <c r="C684" s="32">
        <f>IFERROR(__xludf.DUMMYFUNCTION("""COMPUTED_VALUE"""),44947.99861111111)</f>
        <v>44947.99861</v>
      </c>
      <c r="D684" s="22">
        <f>IFERROR(__xludf.DUMMYFUNCTION("""COMPUTED_VALUE"""),1.0876)</f>
        <v>1.0876</v>
      </c>
      <c r="E684" s="32">
        <f>IFERROR(__xludf.DUMMYFUNCTION("""COMPUTED_VALUE"""),44981.75)</f>
        <v>44981.75</v>
      </c>
      <c r="F684" s="22">
        <f>IFERROR(__xludf.DUMMYFUNCTION("""COMPUTED_VALUE"""),4178.82)</f>
        <v>4178.82</v>
      </c>
    </row>
    <row r="685" ht="15.75" customHeight="1">
      <c r="A685" s="32">
        <f>IFERROR(__xludf.DUMMYFUNCTION("""COMPUTED_VALUE"""),44974.66666666667)</f>
        <v>44974.66667</v>
      </c>
      <c r="B685" s="22">
        <f>IFERROR(__xludf.DUMMYFUNCTION("""COMPUTED_VALUE"""),4079.09)</f>
        <v>4079.09</v>
      </c>
      <c r="C685" s="32">
        <f>IFERROR(__xludf.DUMMYFUNCTION("""COMPUTED_VALUE"""),44954.99861111111)</f>
        <v>44954.99861</v>
      </c>
      <c r="D685" s="22">
        <f>IFERROR(__xludf.DUMMYFUNCTION("""COMPUTED_VALUE"""),1.0871)</f>
        <v>1.0871</v>
      </c>
      <c r="E685" s="32">
        <f>IFERROR(__xludf.DUMMYFUNCTION("""COMPUTED_VALUE"""),44988.75)</f>
        <v>44988.75</v>
      </c>
      <c r="F685" s="22">
        <f>IFERROR(__xludf.DUMMYFUNCTION("""COMPUTED_VALUE"""),4294.8)</f>
        <v>4294.8</v>
      </c>
    </row>
    <row r="686" ht="15.75" customHeight="1">
      <c r="A686" s="32">
        <f>IFERROR(__xludf.DUMMYFUNCTION("""COMPUTED_VALUE"""),44981.66666666667)</f>
        <v>44981.66667</v>
      </c>
      <c r="B686" s="22">
        <f>IFERROR(__xludf.DUMMYFUNCTION("""COMPUTED_VALUE"""),3970.04)</f>
        <v>3970.04</v>
      </c>
      <c r="C686" s="32">
        <f>IFERROR(__xludf.DUMMYFUNCTION("""COMPUTED_VALUE"""),44961.99861111111)</f>
        <v>44961.99861</v>
      </c>
      <c r="D686" s="22">
        <f>IFERROR(__xludf.DUMMYFUNCTION("""COMPUTED_VALUE"""),1.0822)</f>
        <v>1.0822</v>
      </c>
      <c r="E686" s="32">
        <f>IFERROR(__xludf.DUMMYFUNCTION("""COMPUTED_VALUE"""),44995.75)</f>
        <v>44995.75</v>
      </c>
      <c r="F686" s="22">
        <f>IFERROR(__xludf.DUMMYFUNCTION("""COMPUTED_VALUE"""),4229.53)</f>
        <v>4229.53</v>
      </c>
    </row>
    <row r="687" ht="15.75" customHeight="1">
      <c r="A687" s="32">
        <f>IFERROR(__xludf.DUMMYFUNCTION("""COMPUTED_VALUE"""),44988.66666666667)</f>
        <v>44988.66667</v>
      </c>
      <c r="B687" s="22">
        <f>IFERROR(__xludf.DUMMYFUNCTION("""COMPUTED_VALUE"""),4045.64)</f>
        <v>4045.64</v>
      </c>
      <c r="C687" s="32">
        <f>IFERROR(__xludf.DUMMYFUNCTION("""COMPUTED_VALUE"""),44968.99861111111)</f>
        <v>44968.99861</v>
      </c>
      <c r="D687" s="22">
        <f>IFERROR(__xludf.DUMMYFUNCTION("""COMPUTED_VALUE"""),1.0696)</f>
        <v>1.0696</v>
      </c>
      <c r="E687" s="32">
        <f>IFERROR(__xludf.DUMMYFUNCTION("""COMPUTED_VALUE"""),45002.75)</f>
        <v>45002.75</v>
      </c>
      <c r="F687" s="22">
        <f>IFERROR(__xludf.DUMMYFUNCTION("""COMPUTED_VALUE"""),4064.99)</f>
        <v>4064.99</v>
      </c>
    </row>
    <row r="688" ht="15.75" customHeight="1">
      <c r="A688" s="32">
        <f>IFERROR(__xludf.DUMMYFUNCTION("""COMPUTED_VALUE"""),44995.66666666667)</f>
        <v>44995.66667</v>
      </c>
      <c r="B688" s="22">
        <f>IFERROR(__xludf.DUMMYFUNCTION("""COMPUTED_VALUE"""),3861.59)</f>
        <v>3861.59</v>
      </c>
      <c r="C688" s="32">
        <f>IFERROR(__xludf.DUMMYFUNCTION("""COMPUTED_VALUE"""),44975.99861111111)</f>
        <v>44975.99861</v>
      </c>
      <c r="D688" s="22">
        <f>IFERROR(__xludf.DUMMYFUNCTION("""COMPUTED_VALUE"""),1.0715)</f>
        <v>1.0715</v>
      </c>
      <c r="E688" s="32">
        <f>IFERROR(__xludf.DUMMYFUNCTION("""COMPUTED_VALUE"""),45009.75)</f>
        <v>45009.75</v>
      </c>
      <c r="F688" s="22">
        <f>IFERROR(__xludf.DUMMYFUNCTION("""COMPUTED_VALUE"""),4130.62)</f>
        <v>4130.62</v>
      </c>
    </row>
    <row r="689" ht="15.75" customHeight="1">
      <c r="A689" s="32">
        <f>IFERROR(__xludf.DUMMYFUNCTION("""COMPUTED_VALUE"""),45002.66666666667)</f>
        <v>45002.66667</v>
      </c>
      <c r="B689" s="22">
        <f>IFERROR(__xludf.DUMMYFUNCTION("""COMPUTED_VALUE"""),3916.64)</f>
        <v>3916.64</v>
      </c>
      <c r="C689" s="32">
        <f>IFERROR(__xludf.DUMMYFUNCTION("""COMPUTED_VALUE"""),44982.99861111111)</f>
        <v>44982.99861</v>
      </c>
      <c r="D689" s="22">
        <f>IFERROR(__xludf.DUMMYFUNCTION("""COMPUTED_VALUE"""),1.0571)</f>
        <v>1.0571</v>
      </c>
      <c r="E689" s="32">
        <f>IFERROR(__xludf.DUMMYFUNCTION("""COMPUTED_VALUE"""),45016.75)</f>
        <v>45016.75</v>
      </c>
      <c r="F689" s="22">
        <f>IFERROR(__xludf.DUMMYFUNCTION("""COMPUTED_VALUE"""),4315.05)</f>
        <v>4315.05</v>
      </c>
    </row>
    <row r="690" ht="15.75" customHeight="1">
      <c r="A690" s="32">
        <f>IFERROR(__xludf.DUMMYFUNCTION("""COMPUTED_VALUE"""),45009.66666666667)</f>
        <v>45009.66667</v>
      </c>
      <c r="B690" s="22">
        <f>IFERROR(__xludf.DUMMYFUNCTION("""COMPUTED_VALUE"""),3970.99)</f>
        <v>3970.99</v>
      </c>
      <c r="C690" s="32">
        <f>IFERROR(__xludf.DUMMYFUNCTION("""COMPUTED_VALUE"""),44989.99861111111)</f>
        <v>44989.99861</v>
      </c>
      <c r="D690" s="22">
        <f>IFERROR(__xludf.DUMMYFUNCTION("""COMPUTED_VALUE"""),1.0649)</f>
        <v>1.0649</v>
      </c>
      <c r="E690" s="32">
        <f>IFERROR(__xludf.DUMMYFUNCTION("""COMPUTED_VALUE"""),45022.75)</f>
        <v>45022.75</v>
      </c>
      <c r="F690" s="22">
        <f>IFERROR(__xludf.DUMMYFUNCTION("""COMPUTED_VALUE"""),4309.45)</f>
        <v>4309.45</v>
      </c>
    </row>
    <row r="691" ht="15.75" customHeight="1">
      <c r="A691" s="32">
        <f>IFERROR(__xludf.DUMMYFUNCTION("""COMPUTED_VALUE"""),45016.66666666667)</f>
        <v>45016.66667</v>
      </c>
      <c r="B691" s="22">
        <f>IFERROR(__xludf.DUMMYFUNCTION("""COMPUTED_VALUE"""),4109.31)</f>
        <v>4109.31</v>
      </c>
      <c r="C691" s="32">
        <f>IFERROR(__xludf.DUMMYFUNCTION("""COMPUTED_VALUE"""),44996.99861111111)</f>
        <v>44996.99861</v>
      </c>
      <c r="D691" s="22">
        <f>IFERROR(__xludf.DUMMYFUNCTION("""COMPUTED_VALUE"""),1.0645)</f>
        <v>1.0645</v>
      </c>
      <c r="E691" s="32">
        <f>IFERROR(__xludf.DUMMYFUNCTION("""COMPUTED_VALUE"""),45030.75)</f>
        <v>45030.75</v>
      </c>
      <c r="F691" s="22">
        <f>IFERROR(__xludf.DUMMYFUNCTION("""COMPUTED_VALUE"""),4390.75)</f>
        <v>4390.75</v>
      </c>
    </row>
    <row r="692" ht="15.75" customHeight="1">
      <c r="A692" s="32">
        <f>IFERROR(__xludf.DUMMYFUNCTION("""COMPUTED_VALUE"""),45022.66666666667)</f>
        <v>45022.66667</v>
      </c>
      <c r="B692" s="22">
        <f>IFERROR(__xludf.DUMMYFUNCTION("""COMPUTED_VALUE"""),4105.02)</f>
        <v>4105.02</v>
      </c>
      <c r="C692" s="32">
        <f>IFERROR(__xludf.DUMMYFUNCTION("""COMPUTED_VALUE"""),45003.99861111111)</f>
        <v>45003.99861</v>
      </c>
      <c r="D692" s="22">
        <f>IFERROR(__xludf.DUMMYFUNCTION("""COMPUTED_VALUE"""),1.0774)</f>
        <v>1.0774</v>
      </c>
      <c r="E692" s="32">
        <f>IFERROR(__xludf.DUMMYFUNCTION("""COMPUTED_VALUE"""),45037.75)</f>
        <v>45037.75</v>
      </c>
      <c r="F692" s="22">
        <f>IFERROR(__xludf.DUMMYFUNCTION("""COMPUTED_VALUE"""),4408.59)</f>
        <v>4408.59</v>
      </c>
    </row>
    <row r="693" ht="15.75" customHeight="1">
      <c r="A693" s="32">
        <f>IFERROR(__xludf.DUMMYFUNCTION("""COMPUTED_VALUE"""),45030.66666666667)</f>
        <v>45030.66667</v>
      </c>
      <c r="B693" s="22">
        <f>IFERROR(__xludf.DUMMYFUNCTION("""COMPUTED_VALUE"""),4137.64)</f>
        <v>4137.64</v>
      </c>
      <c r="C693" s="32">
        <f>IFERROR(__xludf.DUMMYFUNCTION("""COMPUTED_VALUE"""),45010.99861111111)</f>
        <v>45010.99861</v>
      </c>
      <c r="D693" s="22">
        <f>IFERROR(__xludf.DUMMYFUNCTION("""COMPUTED_VALUE"""),1.0781)</f>
        <v>1.0781</v>
      </c>
      <c r="E693" s="32">
        <f>IFERROR(__xludf.DUMMYFUNCTION("""COMPUTED_VALUE"""),45044.75)</f>
        <v>45044.75</v>
      </c>
      <c r="F693" s="22">
        <f>IFERROR(__xludf.DUMMYFUNCTION("""COMPUTED_VALUE"""),4359.31)</f>
        <v>4359.31</v>
      </c>
    </row>
    <row r="694" ht="15.75" customHeight="1">
      <c r="A694" s="32">
        <f>IFERROR(__xludf.DUMMYFUNCTION("""COMPUTED_VALUE"""),45037.66666666667)</f>
        <v>45037.66667</v>
      </c>
      <c r="B694" s="22">
        <f>IFERROR(__xludf.DUMMYFUNCTION("""COMPUTED_VALUE"""),4133.52)</f>
        <v>4133.52</v>
      </c>
      <c r="C694" s="32">
        <f>IFERROR(__xludf.DUMMYFUNCTION("""COMPUTED_VALUE"""),45017.99861111111)</f>
        <v>45017.99861</v>
      </c>
      <c r="D694" s="22">
        <f>IFERROR(__xludf.DUMMYFUNCTION("""COMPUTED_VALUE"""),1.0869)</f>
        <v>1.0869</v>
      </c>
      <c r="E694" s="32">
        <f>IFERROR(__xludf.DUMMYFUNCTION("""COMPUTED_VALUE"""),45051.75)</f>
        <v>45051.75</v>
      </c>
      <c r="F694" s="22">
        <f>IFERROR(__xludf.DUMMYFUNCTION("""COMPUTED_VALUE"""),4340.43)</f>
        <v>4340.43</v>
      </c>
    </row>
    <row r="695" ht="15.75" customHeight="1">
      <c r="A695" s="32">
        <f>IFERROR(__xludf.DUMMYFUNCTION("""COMPUTED_VALUE"""),45044.66666666667)</f>
        <v>45044.66667</v>
      </c>
      <c r="B695" s="22">
        <f>IFERROR(__xludf.DUMMYFUNCTION("""COMPUTED_VALUE"""),4169.48)</f>
        <v>4169.48</v>
      </c>
      <c r="C695" s="32">
        <f>IFERROR(__xludf.DUMMYFUNCTION("""COMPUTED_VALUE"""),45024.99861111111)</f>
        <v>45024.99861</v>
      </c>
      <c r="D695" s="22">
        <f>IFERROR(__xludf.DUMMYFUNCTION("""COMPUTED_VALUE"""),1.0993)</f>
        <v>1.0993</v>
      </c>
      <c r="E695" s="32">
        <f>IFERROR(__xludf.DUMMYFUNCTION("""COMPUTED_VALUE"""),45058.75)</f>
        <v>45058.75</v>
      </c>
      <c r="F695" s="22">
        <f>IFERROR(__xludf.DUMMYFUNCTION("""COMPUTED_VALUE"""),4317.88)</f>
        <v>4317.88</v>
      </c>
    </row>
    <row r="696" ht="15.75" customHeight="1">
      <c r="A696" s="32">
        <f>IFERROR(__xludf.DUMMYFUNCTION("""COMPUTED_VALUE"""),45051.66666666667)</f>
        <v>45051.66667</v>
      </c>
      <c r="B696" s="22">
        <f>IFERROR(__xludf.DUMMYFUNCTION("""COMPUTED_VALUE"""),4136.25)</f>
        <v>4136.25</v>
      </c>
      <c r="C696" s="32">
        <f>IFERROR(__xludf.DUMMYFUNCTION("""COMPUTED_VALUE"""),45031.99861111111)</f>
        <v>45031.99861</v>
      </c>
      <c r="D696" s="22">
        <f>IFERROR(__xludf.DUMMYFUNCTION("""COMPUTED_VALUE"""),1.1101)</f>
        <v>1.1101</v>
      </c>
      <c r="E696" s="32">
        <f>IFERROR(__xludf.DUMMYFUNCTION("""COMPUTED_VALUE"""),45065.75)</f>
        <v>45065.75</v>
      </c>
      <c r="F696" s="22">
        <f>IFERROR(__xludf.DUMMYFUNCTION("""COMPUTED_VALUE"""),4395.3)</f>
        <v>4395.3</v>
      </c>
    </row>
    <row r="697" ht="15.75" customHeight="1">
      <c r="A697" s="32">
        <f>IFERROR(__xludf.DUMMYFUNCTION("""COMPUTED_VALUE"""),45058.66666666667)</f>
        <v>45058.66667</v>
      </c>
      <c r="B697" s="22">
        <f>IFERROR(__xludf.DUMMYFUNCTION("""COMPUTED_VALUE"""),4124.08)</f>
        <v>4124.08</v>
      </c>
      <c r="C697" s="32">
        <f>IFERROR(__xludf.DUMMYFUNCTION("""COMPUTED_VALUE"""),45038.99861111111)</f>
        <v>45038.99861</v>
      </c>
      <c r="D697" s="22">
        <f>IFERROR(__xludf.DUMMYFUNCTION("""COMPUTED_VALUE"""),1.1095)</f>
        <v>1.1095</v>
      </c>
      <c r="E697" s="32">
        <f>IFERROR(__xludf.DUMMYFUNCTION("""COMPUTED_VALUE"""),45072.75)</f>
        <v>45072.75</v>
      </c>
      <c r="F697" s="22">
        <f>IFERROR(__xludf.DUMMYFUNCTION("""COMPUTED_VALUE"""),4337.5)</f>
        <v>4337.5</v>
      </c>
    </row>
    <row r="698" ht="15.75" customHeight="1">
      <c r="A698" s="32">
        <f>IFERROR(__xludf.DUMMYFUNCTION("""COMPUTED_VALUE"""),45065.66666666667)</f>
        <v>45065.66667</v>
      </c>
      <c r="B698" s="22">
        <f>IFERROR(__xludf.DUMMYFUNCTION("""COMPUTED_VALUE"""),4191.98)</f>
        <v>4191.98</v>
      </c>
      <c r="C698" s="32">
        <f>IFERROR(__xludf.DUMMYFUNCTION("""COMPUTED_VALUE"""),45045.99861111111)</f>
        <v>45045.99861</v>
      </c>
      <c r="D698" s="22">
        <f>IFERROR(__xludf.DUMMYFUNCTION("""COMPUTED_VALUE"""),1.1126)</f>
        <v>1.1126</v>
      </c>
      <c r="E698" s="32">
        <f>IFERROR(__xludf.DUMMYFUNCTION("""COMPUTED_VALUE"""),45079.75)</f>
        <v>45079.75</v>
      </c>
      <c r="F698" s="22">
        <f>IFERROR(__xludf.DUMMYFUNCTION("""COMPUTED_VALUE"""),4323.52)</f>
        <v>4323.52</v>
      </c>
    </row>
    <row r="699" ht="15.75" customHeight="1">
      <c r="A699" s="32">
        <f>IFERROR(__xludf.DUMMYFUNCTION("""COMPUTED_VALUE"""),45072.66666666667)</f>
        <v>45072.66667</v>
      </c>
      <c r="B699" s="22">
        <f>IFERROR(__xludf.DUMMYFUNCTION("""COMPUTED_VALUE"""),4205.45)</f>
        <v>4205.45</v>
      </c>
      <c r="C699" s="32">
        <f>IFERROR(__xludf.DUMMYFUNCTION("""COMPUTED_VALUE"""),45052.99861111111)</f>
        <v>45052.99861</v>
      </c>
      <c r="D699" s="22">
        <f>IFERROR(__xludf.DUMMYFUNCTION("""COMPUTED_VALUE"""),1.1018)</f>
        <v>1.1018</v>
      </c>
      <c r="E699" s="32">
        <f>IFERROR(__xludf.DUMMYFUNCTION("""COMPUTED_VALUE"""),45086.75)</f>
        <v>45086.75</v>
      </c>
      <c r="F699" s="22">
        <f>IFERROR(__xludf.DUMMYFUNCTION("""COMPUTED_VALUE"""),4289.79)</f>
        <v>4289.79</v>
      </c>
    </row>
    <row r="700" ht="15.75" customHeight="1">
      <c r="A700" s="32">
        <f>IFERROR(__xludf.DUMMYFUNCTION("""COMPUTED_VALUE"""),45079.66666666667)</f>
        <v>45079.66667</v>
      </c>
      <c r="B700" s="22">
        <f>IFERROR(__xludf.DUMMYFUNCTION("""COMPUTED_VALUE"""),4282.37)</f>
        <v>4282.37</v>
      </c>
      <c r="C700" s="32">
        <f>IFERROR(__xludf.DUMMYFUNCTION("""COMPUTED_VALUE"""),45059.99861111111)</f>
        <v>45059.99861</v>
      </c>
      <c r="D700" s="22">
        <f>IFERROR(__xludf.DUMMYFUNCTION("""COMPUTED_VALUE"""),1.0936)</f>
        <v>1.0936</v>
      </c>
      <c r="E700" s="32">
        <f>IFERROR(__xludf.DUMMYFUNCTION("""COMPUTED_VALUE"""),45093.75)</f>
        <v>45093.75</v>
      </c>
      <c r="F700" s="22">
        <f>IFERROR(__xludf.DUMMYFUNCTION("""COMPUTED_VALUE"""),4394.82)</f>
        <v>4394.82</v>
      </c>
    </row>
    <row r="701" ht="15.75" customHeight="1">
      <c r="A701" s="32">
        <f>IFERROR(__xludf.DUMMYFUNCTION("""COMPUTED_VALUE"""),45086.66666666667)</f>
        <v>45086.66667</v>
      </c>
      <c r="B701" s="22">
        <f>IFERROR(__xludf.DUMMYFUNCTION("""COMPUTED_VALUE"""),4298.86)</f>
        <v>4298.86</v>
      </c>
      <c r="C701" s="32">
        <f>IFERROR(__xludf.DUMMYFUNCTION("""COMPUTED_VALUE"""),45066.99861111111)</f>
        <v>45066.99861</v>
      </c>
      <c r="D701" s="22">
        <f>IFERROR(__xludf.DUMMYFUNCTION("""COMPUTED_VALUE"""),1.0816)</f>
        <v>1.0816</v>
      </c>
      <c r="E701" s="32">
        <f>IFERROR(__xludf.DUMMYFUNCTION("""COMPUTED_VALUE"""),45100.75)</f>
        <v>45100.75</v>
      </c>
      <c r="F701" s="22">
        <f>IFERROR(__xludf.DUMMYFUNCTION("""COMPUTED_VALUE"""),4271.61)</f>
        <v>4271.61</v>
      </c>
    </row>
    <row r="702" ht="15.75" customHeight="1">
      <c r="A702" s="32">
        <f>IFERROR(__xludf.DUMMYFUNCTION("""COMPUTED_VALUE"""),45093.66666666667)</f>
        <v>45093.66667</v>
      </c>
      <c r="B702" s="22">
        <f>IFERROR(__xludf.DUMMYFUNCTION("""COMPUTED_VALUE"""),4409.59)</f>
        <v>4409.59</v>
      </c>
      <c r="C702" s="32">
        <f>IFERROR(__xludf.DUMMYFUNCTION("""COMPUTED_VALUE"""),45073.99861111111)</f>
        <v>45073.99861</v>
      </c>
      <c r="D702" s="22">
        <f>IFERROR(__xludf.DUMMYFUNCTION("""COMPUTED_VALUE"""),1.0729)</f>
        <v>1.0729</v>
      </c>
      <c r="E702" s="32">
        <f>IFERROR(__xludf.DUMMYFUNCTION("""COMPUTED_VALUE"""),45107.75)</f>
        <v>45107.75</v>
      </c>
      <c r="F702" s="22">
        <f>IFERROR(__xludf.DUMMYFUNCTION("""COMPUTED_VALUE"""),4399.09)</f>
        <v>4399.09</v>
      </c>
    </row>
    <row r="703" ht="15.75" customHeight="1">
      <c r="A703" s="32">
        <f>IFERROR(__xludf.DUMMYFUNCTION("""COMPUTED_VALUE"""),45100.66666666667)</f>
        <v>45100.66667</v>
      </c>
      <c r="B703" s="22">
        <f>IFERROR(__xludf.DUMMYFUNCTION("""COMPUTED_VALUE"""),4348.33)</f>
        <v>4348.33</v>
      </c>
      <c r="C703" s="32">
        <f>IFERROR(__xludf.DUMMYFUNCTION("""COMPUTED_VALUE"""),45080.99861111111)</f>
        <v>45080.99861</v>
      </c>
      <c r="D703" s="22">
        <f>IFERROR(__xludf.DUMMYFUNCTION("""COMPUTED_VALUE"""),1.0723)</f>
        <v>1.0723</v>
      </c>
      <c r="E703" s="32">
        <f>IFERROR(__xludf.DUMMYFUNCTION("""COMPUTED_VALUE"""),45114.75)</f>
        <v>45114.75</v>
      </c>
      <c r="F703" s="22">
        <f>IFERROR(__xludf.DUMMYFUNCTION("""COMPUTED_VALUE"""),4236.6)</f>
        <v>4236.6</v>
      </c>
    </row>
    <row r="704" ht="15.75" customHeight="1">
      <c r="A704" s="32">
        <f>IFERROR(__xludf.DUMMYFUNCTION("""COMPUTED_VALUE"""),45107.66666666667)</f>
        <v>45107.66667</v>
      </c>
      <c r="B704" s="22">
        <f>IFERROR(__xludf.DUMMYFUNCTION("""COMPUTED_VALUE"""),4450.38)</f>
        <v>4450.38</v>
      </c>
      <c r="C704" s="32">
        <f>IFERROR(__xludf.DUMMYFUNCTION("""COMPUTED_VALUE"""),45087.99861111111)</f>
        <v>45087.99861</v>
      </c>
      <c r="D704" s="22">
        <f>IFERROR(__xludf.DUMMYFUNCTION("""COMPUTED_VALUE"""),1.0752)</f>
        <v>1.0752</v>
      </c>
      <c r="E704" s="32">
        <f>IFERROR(__xludf.DUMMYFUNCTION("""COMPUTED_VALUE"""),45121.75)</f>
        <v>45121.75</v>
      </c>
      <c r="F704" s="22">
        <f>IFERROR(__xludf.DUMMYFUNCTION("""COMPUTED_VALUE"""),4400.11)</f>
        <v>4400.11</v>
      </c>
    </row>
    <row r="705" ht="15.75" customHeight="1">
      <c r="A705" s="32">
        <f>IFERROR(__xludf.DUMMYFUNCTION("""COMPUTED_VALUE"""),45114.66666666667)</f>
        <v>45114.66667</v>
      </c>
      <c r="B705" s="22">
        <f>IFERROR(__xludf.DUMMYFUNCTION("""COMPUTED_VALUE"""),4398.95)</f>
        <v>4398.95</v>
      </c>
      <c r="C705" s="32">
        <f>IFERROR(__xludf.DUMMYFUNCTION("""COMPUTED_VALUE"""),45094.99861111111)</f>
        <v>45094.99861</v>
      </c>
      <c r="D705" s="22">
        <f>IFERROR(__xludf.DUMMYFUNCTION("""COMPUTED_VALUE"""),1.0964)</f>
        <v>1.0964</v>
      </c>
      <c r="E705" s="32">
        <f>IFERROR(__xludf.DUMMYFUNCTION("""COMPUTED_VALUE"""),45128.75)</f>
        <v>45128.75</v>
      </c>
      <c r="F705" s="22">
        <f>IFERROR(__xludf.DUMMYFUNCTION("""COMPUTED_VALUE"""),4391.41)</f>
        <v>4391.41</v>
      </c>
    </row>
    <row r="706" ht="15.75" customHeight="1">
      <c r="A706" s="32">
        <f>IFERROR(__xludf.DUMMYFUNCTION("""COMPUTED_VALUE"""),45121.66666666667)</f>
        <v>45121.66667</v>
      </c>
      <c r="B706" s="22">
        <f>IFERROR(__xludf.DUMMYFUNCTION("""COMPUTED_VALUE"""),4505.42)</f>
        <v>4505.42</v>
      </c>
      <c r="C706" s="32">
        <f>IFERROR(__xludf.DUMMYFUNCTION("""COMPUTED_VALUE"""),45101.99861111111)</f>
        <v>45101.99861</v>
      </c>
      <c r="D706" s="22">
        <f>IFERROR(__xludf.DUMMYFUNCTION("""COMPUTED_VALUE"""),1.0932)</f>
        <v>1.0932</v>
      </c>
      <c r="E706" s="32">
        <f>IFERROR(__xludf.DUMMYFUNCTION("""COMPUTED_VALUE"""),45135.75)</f>
        <v>45135.75</v>
      </c>
      <c r="F706" s="22">
        <f>IFERROR(__xludf.DUMMYFUNCTION("""COMPUTED_VALUE"""),4466.5)</f>
        <v>4466.5</v>
      </c>
    </row>
    <row r="707" ht="15.75" customHeight="1">
      <c r="A707" s="32">
        <f>IFERROR(__xludf.DUMMYFUNCTION("""COMPUTED_VALUE"""),45128.66666666667)</f>
        <v>45128.66667</v>
      </c>
      <c r="B707" s="22">
        <f>IFERROR(__xludf.DUMMYFUNCTION("""COMPUTED_VALUE"""),4536.34)</f>
        <v>4536.34</v>
      </c>
      <c r="C707" s="32">
        <f>IFERROR(__xludf.DUMMYFUNCTION("""COMPUTED_VALUE"""),45108.99861111111)</f>
        <v>45108.99861</v>
      </c>
      <c r="D707" s="22">
        <f>IFERROR(__xludf.DUMMYFUNCTION("""COMPUTED_VALUE"""),1.092)</f>
        <v>1.092</v>
      </c>
      <c r="E707" s="32">
        <f>IFERROR(__xludf.DUMMYFUNCTION("""COMPUTED_VALUE"""),45142.75)</f>
        <v>45142.75</v>
      </c>
      <c r="F707" s="22">
        <f>IFERROR(__xludf.DUMMYFUNCTION("""COMPUTED_VALUE"""),4332.91)</f>
        <v>4332.91</v>
      </c>
    </row>
    <row r="708" ht="15.75" customHeight="1">
      <c r="A708" s="32">
        <f>IFERROR(__xludf.DUMMYFUNCTION("""COMPUTED_VALUE"""),45135.66666666667)</f>
        <v>45135.66667</v>
      </c>
      <c r="B708" s="22">
        <f>IFERROR(__xludf.DUMMYFUNCTION("""COMPUTED_VALUE"""),4582.23)</f>
        <v>4582.23</v>
      </c>
      <c r="C708" s="32">
        <f>IFERROR(__xludf.DUMMYFUNCTION("""COMPUTED_VALUE"""),45115.99861111111)</f>
        <v>45115.99861</v>
      </c>
      <c r="D708" s="22">
        <f>IFERROR(__xludf.DUMMYFUNCTION("""COMPUTED_VALUE"""),1.0969)</f>
        <v>1.0969</v>
      </c>
      <c r="E708" s="32">
        <f>IFERROR(__xludf.DUMMYFUNCTION("""COMPUTED_VALUE"""),45149.75)</f>
        <v>45149.75</v>
      </c>
      <c r="F708" s="22">
        <f>IFERROR(__xludf.DUMMYFUNCTION("""COMPUTED_VALUE"""),4321.33)</f>
        <v>4321.33</v>
      </c>
    </row>
    <row r="709" ht="15.75" customHeight="1">
      <c r="A709" s="32">
        <f>IFERROR(__xludf.DUMMYFUNCTION("""COMPUTED_VALUE"""),45142.66666666667)</f>
        <v>45142.66667</v>
      </c>
      <c r="B709" s="22">
        <f>IFERROR(__xludf.DUMMYFUNCTION("""COMPUTED_VALUE"""),4478.03)</f>
        <v>4478.03</v>
      </c>
      <c r="C709" s="32">
        <f>IFERROR(__xludf.DUMMYFUNCTION("""COMPUTED_VALUE"""),45122.99861111111)</f>
        <v>45122.99861</v>
      </c>
      <c r="D709" s="22">
        <f>IFERROR(__xludf.DUMMYFUNCTION("""COMPUTED_VALUE"""),1.1235)</f>
        <v>1.1235</v>
      </c>
      <c r="E709" s="32">
        <f>IFERROR(__xludf.DUMMYFUNCTION("""COMPUTED_VALUE"""),45156.75)</f>
        <v>45156.75</v>
      </c>
      <c r="F709" s="22">
        <f>IFERROR(__xludf.DUMMYFUNCTION("""COMPUTED_VALUE"""),4212.95)</f>
        <v>4212.95</v>
      </c>
    </row>
    <row r="710" ht="15.75" customHeight="1">
      <c r="A710" s="32">
        <f>IFERROR(__xludf.DUMMYFUNCTION("""COMPUTED_VALUE"""),45149.66666666667)</f>
        <v>45149.66667</v>
      </c>
      <c r="B710" s="22">
        <f>IFERROR(__xludf.DUMMYFUNCTION("""COMPUTED_VALUE"""),4464.05)</f>
        <v>4464.05</v>
      </c>
      <c r="C710" s="32">
        <f>IFERROR(__xludf.DUMMYFUNCTION("""COMPUTED_VALUE"""),45129.99861111111)</f>
        <v>45129.99861</v>
      </c>
      <c r="D710" s="22">
        <f>IFERROR(__xludf.DUMMYFUNCTION("""COMPUTED_VALUE"""),1.1127)</f>
        <v>1.1127</v>
      </c>
      <c r="E710" s="32">
        <f>IFERROR(__xludf.DUMMYFUNCTION("""COMPUTED_VALUE"""),45163.75)</f>
        <v>45163.75</v>
      </c>
      <c r="F710" s="22">
        <f>IFERROR(__xludf.DUMMYFUNCTION("""COMPUTED_VALUE"""),4236.25)</f>
        <v>4236.25</v>
      </c>
    </row>
    <row r="711" ht="15.75" customHeight="1">
      <c r="A711" s="32">
        <f>IFERROR(__xludf.DUMMYFUNCTION("""COMPUTED_VALUE"""),45156.66666666667)</f>
        <v>45156.66667</v>
      </c>
      <c r="B711" s="22">
        <f>IFERROR(__xludf.DUMMYFUNCTION("""COMPUTED_VALUE"""),4369.71)</f>
        <v>4369.71</v>
      </c>
      <c r="C711" s="32">
        <f>IFERROR(__xludf.DUMMYFUNCTION("""COMPUTED_VALUE"""),45136.99861111111)</f>
        <v>45136.99861</v>
      </c>
      <c r="D711" s="22">
        <f>IFERROR(__xludf.DUMMYFUNCTION("""COMPUTED_VALUE"""),1.1035)</f>
        <v>1.1035</v>
      </c>
      <c r="E711" s="32">
        <f>IFERROR(__xludf.DUMMYFUNCTION("""COMPUTED_VALUE"""),45170.75)</f>
        <v>45170.75</v>
      </c>
      <c r="F711" s="22">
        <f>IFERROR(__xludf.DUMMYFUNCTION("""COMPUTED_VALUE"""),4282.64)</f>
        <v>4282.64</v>
      </c>
    </row>
    <row r="712" ht="15.75" customHeight="1">
      <c r="A712" s="32">
        <f>IFERROR(__xludf.DUMMYFUNCTION("""COMPUTED_VALUE"""),45163.66666666667)</f>
        <v>45163.66667</v>
      </c>
      <c r="B712" s="22">
        <f>IFERROR(__xludf.DUMMYFUNCTION("""COMPUTED_VALUE"""),4405.71)</f>
        <v>4405.71</v>
      </c>
      <c r="C712" s="32">
        <f>IFERROR(__xludf.DUMMYFUNCTION("""COMPUTED_VALUE"""),45143.99861111111)</f>
        <v>45143.99861</v>
      </c>
      <c r="D712" s="22">
        <f>IFERROR(__xludf.DUMMYFUNCTION("""COMPUTED_VALUE"""),1.1025)</f>
        <v>1.1025</v>
      </c>
      <c r="E712" s="32">
        <f>IFERROR(__xludf.DUMMYFUNCTION("""COMPUTED_VALUE"""),45177.75)</f>
        <v>45177.75</v>
      </c>
      <c r="F712" s="22">
        <f>IFERROR(__xludf.DUMMYFUNCTION("""COMPUTED_VALUE"""),4237.19)</f>
        <v>4237.19</v>
      </c>
    </row>
    <row r="713" ht="15.75" customHeight="1">
      <c r="A713" s="32">
        <f>IFERROR(__xludf.DUMMYFUNCTION("""COMPUTED_VALUE"""),45170.66666666667)</f>
        <v>45170.66667</v>
      </c>
      <c r="B713" s="22">
        <f>IFERROR(__xludf.DUMMYFUNCTION("""COMPUTED_VALUE"""),4515.77)</f>
        <v>4515.77</v>
      </c>
      <c r="C713" s="32">
        <f>IFERROR(__xludf.DUMMYFUNCTION("""COMPUTED_VALUE"""),45150.99861111111)</f>
        <v>45150.99861</v>
      </c>
      <c r="D713" s="22">
        <f>IFERROR(__xludf.DUMMYFUNCTION("""COMPUTED_VALUE"""),1.0963)</f>
        <v>1.0963</v>
      </c>
      <c r="E713" s="32">
        <f>IFERROR(__xludf.DUMMYFUNCTION("""COMPUTED_VALUE"""),45184.75)</f>
        <v>45184.75</v>
      </c>
      <c r="F713" s="22">
        <f>IFERROR(__xludf.DUMMYFUNCTION("""COMPUTED_VALUE"""),4295.05)</f>
        <v>4295.05</v>
      </c>
    </row>
    <row r="714" ht="15.75" customHeight="1">
      <c r="A714" s="32">
        <f>IFERROR(__xludf.DUMMYFUNCTION("""COMPUTED_VALUE"""),45177.66666666667)</f>
        <v>45177.66667</v>
      </c>
      <c r="B714" s="22">
        <f>IFERROR(__xludf.DUMMYFUNCTION("""COMPUTED_VALUE"""),4457.49)</f>
        <v>4457.49</v>
      </c>
      <c r="C714" s="32">
        <f>IFERROR(__xludf.DUMMYFUNCTION("""COMPUTED_VALUE"""),45157.99861111111)</f>
        <v>45157.99861</v>
      </c>
      <c r="D714" s="22">
        <f>IFERROR(__xludf.DUMMYFUNCTION("""COMPUTED_VALUE"""),1.089)</f>
        <v>1.089</v>
      </c>
      <c r="E714" s="32">
        <f>IFERROR(__xludf.DUMMYFUNCTION("""COMPUTED_VALUE"""),45191.75)</f>
        <v>45191.75</v>
      </c>
      <c r="F714" s="22">
        <f>IFERROR(__xludf.DUMMYFUNCTION("""COMPUTED_VALUE"""),4207.16)</f>
        <v>4207.16</v>
      </c>
    </row>
    <row r="715" ht="15.75" customHeight="1">
      <c r="A715" s="32">
        <f>IFERROR(__xludf.DUMMYFUNCTION("""COMPUTED_VALUE"""),45184.66666666667)</f>
        <v>45184.66667</v>
      </c>
      <c r="B715" s="22">
        <f>IFERROR(__xludf.DUMMYFUNCTION("""COMPUTED_VALUE"""),4450.32)</f>
        <v>4450.32</v>
      </c>
      <c r="C715" s="32">
        <f>IFERROR(__xludf.DUMMYFUNCTION("""COMPUTED_VALUE"""),45164.99861111111)</f>
        <v>45164.99861</v>
      </c>
      <c r="D715" s="22">
        <f>IFERROR(__xludf.DUMMYFUNCTION("""COMPUTED_VALUE"""),1.0794)</f>
        <v>1.0794</v>
      </c>
      <c r="E715" s="32">
        <f>IFERROR(__xludf.DUMMYFUNCTION("""COMPUTED_VALUE"""),45198.75)</f>
        <v>45198.75</v>
      </c>
      <c r="F715" s="22">
        <f>IFERROR(__xludf.DUMMYFUNCTION("""COMPUTED_VALUE"""),4174.66)</f>
        <v>4174.66</v>
      </c>
    </row>
    <row r="716" ht="15.75" customHeight="1">
      <c r="A716" s="32">
        <f>IFERROR(__xludf.DUMMYFUNCTION("""COMPUTED_VALUE"""),45191.66666666667)</f>
        <v>45191.66667</v>
      </c>
      <c r="B716" s="22">
        <f>IFERROR(__xludf.DUMMYFUNCTION("""COMPUTED_VALUE"""),4320.06)</f>
        <v>4320.06</v>
      </c>
      <c r="C716" s="32">
        <f>IFERROR(__xludf.DUMMYFUNCTION("""COMPUTED_VALUE"""),45171.99861111111)</f>
        <v>45171.99861</v>
      </c>
      <c r="D716" s="22">
        <f>IFERROR(__xludf.DUMMYFUNCTION("""COMPUTED_VALUE"""),1.0796)</f>
        <v>1.0796</v>
      </c>
      <c r="E716" s="32">
        <f>IFERROR(__xludf.DUMMYFUNCTION("""COMPUTED_VALUE"""),45205.75)</f>
        <v>45205.75</v>
      </c>
      <c r="F716" s="22">
        <f>IFERROR(__xludf.DUMMYFUNCTION("""COMPUTED_VALUE"""),4144.43)</f>
        <v>4144.43</v>
      </c>
    </row>
    <row r="717" ht="15.75" customHeight="1">
      <c r="A717" s="32">
        <f>IFERROR(__xludf.DUMMYFUNCTION("""COMPUTED_VALUE"""),45198.66666666667)</f>
        <v>45198.66667</v>
      </c>
      <c r="B717" s="22">
        <f>IFERROR(__xludf.DUMMYFUNCTION("""COMPUTED_VALUE"""),4288.05)</f>
        <v>4288.05</v>
      </c>
      <c r="C717" s="32">
        <f>IFERROR(__xludf.DUMMYFUNCTION("""COMPUTED_VALUE"""),45178.99861111111)</f>
        <v>45178.99861</v>
      </c>
      <c r="D717" s="22">
        <f>IFERROR(__xludf.DUMMYFUNCTION("""COMPUTED_VALUE"""),1.0712)</f>
        <v>1.0712</v>
      </c>
      <c r="E717" s="32">
        <f>IFERROR(__xludf.DUMMYFUNCTION("""COMPUTED_VALUE"""),45212.75)</f>
        <v>45212.75</v>
      </c>
      <c r="F717" s="22">
        <f>IFERROR(__xludf.DUMMYFUNCTION("""COMPUTED_VALUE"""),4136.12)</f>
        <v>4136.12</v>
      </c>
    </row>
    <row r="718" ht="15.75" customHeight="1">
      <c r="A718" s="32">
        <f>IFERROR(__xludf.DUMMYFUNCTION("""COMPUTED_VALUE"""),45205.66666666667)</f>
        <v>45205.66667</v>
      </c>
      <c r="B718" s="22">
        <f>IFERROR(__xludf.DUMMYFUNCTION("""COMPUTED_VALUE"""),4308.5)</f>
        <v>4308.5</v>
      </c>
      <c r="C718" s="32">
        <f>IFERROR(__xludf.DUMMYFUNCTION("""COMPUTED_VALUE"""),45185.99861111111)</f>
        <v>45185.99861</v>
      </c>
      <c r="D718" s="22">
        <f>IFERROR(__xludf.DUMMYFUNCTION("""COMPUTED_VALUE"""),1.0672)</f>
        <v>1.0672</v>
      </c>
      <c r="E718" s="32">
        <f>IFERROR(__xludf.DUMMYFUNCTION("""COMPUTED_VALUE"""),45219.75)</f>
        <v>45219.75</v>
      </c>
      <c r="F718" s="22">
        <f>IFERROR(__xludf.DUMMYFUNCTION("""COMPUTED_VALUE"""),4024.68)</f>
        <v>4024.68</v>
      </c>
    </row>
    <row r="719" ht="15.75" customHeight="1">
      <c r="A719" s="32">
        <f>IFERROR(__xludf.DUMMYFUNCTION("""COMPUTED_VALUE"""),45212.66666666667)</f>
        <v>45212.66667</v>
      </c>
      <c r="B719" s="22">
        <f>IFERROR(__xludf.DUMMYFUNCTION("""COMPUTED_VALUE"""),4327.78)</f>
        <v>4327.78</v>
      </c>
      <c r="C719" s="32">
        <f>IFERROR(__xludf.DUMMYFUNCTION("""COMPUTED_VALUE"""),45192.99861111111)</f>
        <v>45192.99861</v>
      </c>
      <c r="D719" s="22">
        <f>IFERROR(__xludf.DUMMYFUNCTION("""COMPUTED_VALUE"""),1.0671)</f>
        <v>1.0671</v>
      </c>
      <c r="E719" s="32">
        <f>IFERROR(__xludf.DUMMYFUNCTION("""COMPUTED_VALUE"""),45226.75)</f>
        <v>45226.75</v>
      </c>
      <c r="F719" s="22">
        <f>IFERROR(__xludf.DUMMYFUNCTION("""COMPUTED_VALUE"""),4014.36)</f>
        <v>4014.36</v>
      </c>
    </row>
    <row r="720" ht="15.75" customHeight="1">
      <c r="A720" s="32">
        <f>IFERROR(__xludf.DUMMYFUNCTION("""COMPUTED_VALUE"""),45219.66666666667)</f>
        <v>45219.66667</v>
      </c>
      <c r="B720" s="22">
        <f>IFERROR(__xludf.DUMMYFUNCTION("""COMPUTED_VALUE"""),4224.16)</f>
        <v>4224.16</v>
      </c>
      <c r="C720" s="32">
        <f>IFERROR(__xludf.DUMMYFUNCTION("""COMPUTED_VALUE"""),45199.99861111111)</f>
        <v>45199.99861</v>
      </c>
      <c r="D720" s="22">
        <f>IFERROR(__xludf.DUMMYFUNCTION("""COMPUTED_VALUE"""),1.0585)</f>
        <v>1.0585</v>
      </c>
      <c r="E720" s="32">
        <f>IFERROR(__xludf.DUMMYFUNCTION("""COMPUTED_VALUE"""),45233.75)</f>
        <v>45233.75</v>
      </c>
      <c r="F720" s="22">
        <f>IFERROR(__xludf.DUMMYFUNCTION("""COMPUTED_VALUE"""),4174.67)</f>
        <v>4174.67</v>
      </c>
    </row>
    <row r="721" ht="15.75" customHeight="1">
      <c r="A721" s="32">
        <f>IFERROR(__xludf.DUMMYFUNCTION("""COMPUTED_VALUE"""),45226.66666666667)</f>
        <v>45226.66667</v>
      </c>
      <c r="B721" s="22">
        <f>IFERROR(__xludf.DUMMYFUNCTION("""COMPUTED_VALUE"""),4117.37)</f>
        <v>4117.37</v>
      </c>
      <c r="C721" s="32">
        <f>IFERROR(__xludf.DUMMYFUNCTION("""COMPUTED_VALUE"""),45206.99861111111)</f>
        <v>45206.99861</v>
      </c>
      <c r="D721" s="22">
        <f>IFERROR(__xludf.DUMMYFUNCTION("""COMPUTED_VALUE"""),1.06)</f>
        <v>1.06</v>
      </c>
      <c r="E721" s="32">
        <f>IFERROR(__xludf.DUMMYFUNCTION("""COMPUTED_VALUE"""),45240.75)</f>
        <v>45240.75</v>
      </c>
      <c r="F721" s="22">
        <f>IFERROR(__xludf.DUMMYFUNCTION("""COMPUTED_VALUE"""),4197.36)</f>
        <v>4197.36</v>
      </c>
    </row>
    <row r="722" ht="15.75" customHeight="1">
      <c r="A722" s="32">
        <f>IFERROR(__xludf.DUMMYFUNCTION("""COMPUTED_VALUE"""),45233.66666666667)</f>
        <v>45233.66667</v>
      </c>
      <c r="B722" s="22">
        <f>IFERROR(__xludf.DUMMYFUNCTION("""COMPUTED_VALUE"""),4358.34)</f>
        <v>4358.34</v>
      </c>
      <c r="C722" s="32">
        <f>IFERROR(__xludf.DUMMYFUNCTION("""COMPUTED_VALUE"""),45213.99861111111)</f>
        <v>45213.99861</v>
      </c>
      <c r="D722" s="22">
        <f>IFERROR(__xludf.DUMMYFUNCTION("""COMPUTED_VALUE"""),1.0511)</f>
        <v>1.0511</v>
      </c>
      <c r="E722" s="32">
        <f>IFERROR(__xludf.DUMMYFUNCTION("""COMPUTED_VALUE"""),45247.75)</f>
        <v>45247.75</v>
      </c>
      <c r="F722" s="22">
        <f>IFERROR(__xludf.DUMMYFUNCTION("""COMPUTED_VALUE"""),4340.77)</f>
        <v>4340.77</v>
      </c>
    </row>
    <row r="723" ht="15.75" customHeight="1">
      <c r="A723" s="32">
        <f>IFERROR(__xludf.DUMMYFUNCTION("""COMPUTED_VALUE"""),45240.66666666667)</f>
        <v>45240.66667</v>
      </c>
      <c r="B723" s="22">
        <f>IFERROR(__xludf.DUMMYFUNCTION("""COMPUTED_VALUE"""),4415.24)</f>
        <v>4415.24</v>
      </c>
      <c r="C723" s="32">
        <f>IFERROR(__xludf.DUMMYFUNCTION("""COMPUTED_VALUE"""),45220.99861111111)</f>
        <v>45220.99861</v>
      </c>
      <c r="D723" s="22">
        <f>IFERROR(__xludf.DUMMYFUNCTION("""COMPUTED_VALUE"""),1.0603)</f>
        <v>1.0603</v>
      </c>
      <c r="E723" s="32">
        <f>IFERROR(__xludf.DUMMYFUNCTION("""COMPUTED_VALUE"""),45254.75)</f>
        <v>45254.75</v>
      </c>
      <c r="F723" s="22">
        <f>IFERROR(__xludf.DUMMYFUNCTION("""COMPUTED_VALUE"""),4372.1)</f>
        <v>4372.1</v>
      </c>
    </row>
    <row r="724" ht="15.75" customHeight="1">
      <c r="A724" s="32">
        <f>IFERROR(__xludf.DUMMYFUNCTION("""COMPUTED_VALUE"""),45247.66666666667)</f>
        <v>45247.66667</v>
      </c>
      <c r="B724" s="22">
        <f>IFERROR(__xludf.DUMMYFUNCTION("""COMPUTED_VALUE"""),4514.02)</f>
        <v>4514.02</v>
      </c>
      <c r="C724" s="32">
        <f>IFERROR(__xludf.DUMMYFUNCTION("""COMPUTED_VALUE"""),45227.99861111111)</f>
        <v>45227.99861</v>
      </c>
      <c r="D724" s="22">
        <f>IFERROR(__xludf.DUMMYFUNCTION("""COMPUTED_VALUE"""),1.0578)</f>
        <v>1.0578</v>
      </c>
      <c r="E724" s="32">
        <f>IFERROR(__xludf.DUMMYFUNCTION("""COMPUTED_VALUE"""),45261.75)</f>
        <v>45261.75</v>
      </c>
      <c r="F724" s="22">
        <f>IFERROR(__xludf.DUMMYFUNCTION("""COMPUTED_VALUE"""),4418.51)</f>
        <v>4418.51</v>
      </c>
    </row>
    <row r="725" ht="15.75" customHeight="1">
      <c r="A725" s="32">
        <f>IFERROR(__xludf.DUMMYFUNCTION("""COMPUTED_VALUE"""),45254.54166666667)</f>
        <v>45254.54167</v>
      </c>
      <c r="B725" s="22">
        <f>IFERROR(__xludf.DUMMYFUNCTION("""COMPUTED_VALUE"""),4559.34)</f>
        <v>4559.34</v>
      </c>
      <c r="C725" s="32">
        <f>IFERROR(__xludf.DUMMYFUNCTION("""COMPUTED_VALUE"""),45234.99861111111)</f>
        <v>45234.99861</v>
      </c>
      <c r="D725" s="22">
        <f>IFERROR(__xludf.DUMMYFUNCTION("""COMPUTED_VALUE"""),1.0735)</f>
        <v>1.0735</v>
      </c>
      <c r="E725" s="32">
        <f>IFERROR(__xludf.DUMMYFUNCTION("""COMPUTED_VALUE"""),45268.75)</f>
        <v>45268.75</v>
      </c>
      <c r="F725" s="22">
        <f>IFERROR(__xludf.DUMMYFUNCTION("""COMPUTED_VALUE"""),4523.31)</f>
        <v>4523.31</v>
      </c>
    </row>
    <row r="726" ht="15.75" customHeight="1">
      <c r="A726" s="32">
        <f>IFERROR(__xludf.DUMMYFUNCTION("""COMPUTED_VALUE"""),45261.66666666667)</f>
        <v>45261.66667</v>
      </c>
      <c r="B726" s="22">
        <f>IFERROR(__xludf.DUMMYFUNCTION("""COMPUTED_VALUE"""),4594.63)</f>
        <v>4594.63</v>
      </c>
      <c r="C726" s="32">
        <f>IFERROR(__xludf.DUMMYFUNCTION("""COMPUTED_VALUE"""),45241.99861111111)</f>
        <v>45241.99861</v>
      </c>
      <c r="D726" s="22">
        <f>IFERROR(__xludf.DUMMYFUNCTION("""COMPUTED_VALUE"""),1.0714)</f>
        <v>1.0714</v>
      </c>
      <c r="E726" s="32">
        <f>IFERROR(__xludf.DUMMYFUNCTION("""COMPUTED_VALUE"""),45275.75)</f>
        <v>45275.75</v>
      </c>
      <c r="F726" s="22">
        <f>IFERROR(__xludf.DUMMYFUNCTION("""COMPUTED_VALUE"""),4549.44)</f>
        <v>4549.44</v>
      </c>
    </row>
    <row r="727" ht="15.75" customHeight="1">
      <c r="A727" s="32">
        <f>IFERROR(__xludf.DUMMYFUNCTION("""COMPUTED_VALUE"""),45268.66666666667)</f>
        <v>45268.66667</v>
      </c>
      <c r="B727" s="22">
        <f>IFERROR(__xludf.DUMMYFUNCTION("""COMPUTED_VALUE"""),4604.37)</f>
        <v>4604.37</v>
      </c>
      <c r="C727" s="32">
        <f>IFERROR(__xludf.DUMMYFUNCTION("""COMPUTED_VALUE"""),45248.99861111111)</f>
        <v>45248.99861</v>
      </c>
      <c r="D727" s="22">
        <f>IFERROR(__xludf.DUMMYFUNCTION("""COMPUTED_VALUE"""),1.0916)</f>
        <v>1.0916</v>
      </c>
      <c r="E727" s="32">
        <f>IFERROR(__xludf.DUMMYFUNCTION("""COMPUTED_VALUE"""),45282.75)</f>
        <v>45282.75</v>
      </c>
      <c r="F727" s="22">
        <f>IFERROR(__xludf.DUMMYFUNCTION("""COMPUTED_VALUE"""),4521.47)</f>
        <v>4521.47</v>
      </c>
    </row>
    <row r="728" ht="15.75" customHeight="1">
      <c r="A728" s="32">
        <f>IFERROR(__xludf.DUMMYFUNCTION("""COMPUTED_VALUE"""),45275.66666666667)</f>
        <v>45275.66667</v>
      </c>
      <c r="B728" s="22">
        <f>IFERROR(__xludf.DUMMYFUNCTION("""COMPUTED_VALUE"""),4719.19)</f>
        <v>4719.19</v>
      </c>
      <c r="C728" s="32">
        <f>IFERROR(__xludf.DUMMYFUNCTION("""COMPUTED_VALUE"""),45255.99861111111)</f>
        <v>45255.99861</v>
      </c>
      <c r="D728" s="22">
        <f>IFERROR(__xludf.DUMMYFUNCTION("""COMPUTED_VALUE"""),1.0948)</f>
        <v>1.0948</v>
      </c>
      <c r="E728" s="32">
        <f>IFERROR(__xludf.DUMMYFUNCTION("""COMPUTED_VALUE"""),45289.75)</f>
        <v>45289.75</v>
      </c>
      <c r="F728" s="22">
        <f>IFERROR(__xludf.DUMMYFUNCTION("""COMPUTED_VALUE"""),4521.65)</f>
        <v>4521.65</v>
      </c>
    </row>
    <row r="729" ht="15.75" customHeight="1">
      <c r="A729" s="32">
        <f>IFERROR(__xludf.DUMMYFUNCTION("""COMPUTED_VALUE"""),45282.66666666667)</f>
        <v>45282.66667</v>
      </c>
      <c r="B729" s="22">
        <f>IFERROR(__xludf.DUMMYFUNCTION("""COMPUTED_VALUE"""),4754.63)</f>
        <v>4754.63</v>
      </c>
      <c r="C729" s="32">
        <f>IFERROR(__xludf.DUMMYFUNCTION("""COMPUTED_VALUE"""),45262.99861111111)</f>
        <v>45262.99861</v>
      </c>
      <c r="D729" s="22">
        <f>IFERROR(__xludf.DUMMYFUNCTION("""COMPUTED_VALUE"""),1.0891)</f>
        <v>1.0891</v>
      </c>
      <c r="E729" s="32">
        <f>IFERROR(__xludf.DUMMYFUNCTION("""COMPUTED_VALUE"""),45296.75)</f>
        <v>45296.75</v>
      </c>
      <c r="F729" s="22">
        <f>IFERROR(__xludf.DUMMYFUNCTION("""COMPUTED_VALUE"""),4463.51)</f>
        <v>4463.51</v>
      </c>
    </row>
    <row r="730" ht="15.75" customHeight="1">
      <c r="A730" s="32">
        <f>IFERROR(__xludf.DUMMYFUNCTION("""COMPUTED_VALUE"""),45289.66666666667)</f>
        <v>45289.66667</v>
      </c>
      <c r="B730" s="22">
        <f>IFERROR(__xludf.DUMMYFUNCTION("""COMPUTED_VALUE"""),4769.83)</f>
        <v>4769.83</v>
      </c>
      <c r="C730" s="32">
        <f>IFERROR(__xludf.DUMMYFUNCTION("""COMPUTED_VALUE"""),45269.99861111111)</f>
        <v>45269.99861</v>
      </c>
      <c r="D730" s="22">
        <f>IFERROR(__xludf.DUMMYFUNCTION("""COMPUTED_VALUE"""),1.0772)</f>
        <v>1.0772</v>
      </c>
      <c r="E730" s="32">
        <f>IFERROR(__xludf.DUMMYFUNCTION("""COMPUTED_VALUE"""),45303.75)</f>
        <v>45303.75</v>
      </c>
      <c r="F730" s="22">
        <f>IFERROR(__xludf.DUMMYFUNCTION("""COMPUTED_VALUE"""),4480.02)</f>
        <v>4480.02</v>
      </c>
    </row>
    <row r="731" ht="15.75" customHeight="1">
      <c r="A731" s="32">
        <f>IFERROR(__xludf.DUMMYFUNCTION("""COMPUTED_VALUE"""),45296.66666666667)</f>
        <v>45296.66667</v>
      </c>
      <c r="B731" s="22">
        <f>IFERROR(__xludf.DUMMYFUNCTION("""COMPUTED_VALUE"""),4697.24)</f>
        <v>4697.24</v>
      </c>
      <c r="C731" s="32">
        <f>IFERROR(__xludf.DUMMYFUNCTION("""COMPUTED_VALUE"""),45276.99861111111)</f>
        <v>45276.99861</v>
      </c>
      <c r="D731" s="22">
        <f>IFERROR(__xludf.DUMMYFUNCTION("""COMPUTED_VALUE"""),1.0907)</f>
        <v>1.0907</v>
      </c>
      <c r="E731" s="32">
        <f>IFERROR(__xludf.DUMMYFUNCTION("""COMPUTED_VALUE"""),45310.75)</f>
        <v>45310.75</v>
      </c>
      <c r="F731" s="22">
        <f>IFERROR(__xludf.DUMMYFUNCTION("""COMPUTED_VALUE"""),4448.83)</f>
        <v>4448.83</v>
      </c>
    </row>
    <row r="732" ht="15.75" customHeight="1">
      <c r="A732" s="32">
        <f>IFERROR(__xludf.DUMMYFUNCTION("""COMPUTED_VALUE"""),45303.66666666667)</f>
        <v>45303.66667</v>
      </c>
      <c r="B732" s="22">
        <f>IFERROR(__xludf.DUMMYFUNCTION("""COMPUTED_VALUE"""),4783.83)</f>
        <v>4783.83</v>
      </c>
      <c r="C732" s="32">
        <f>IFERROR(__xludf.DUMMYFUNCTION("""COMPUTED_VALUE"""),45283.99861111111)</f>
        <v>45283.99861</v>
      </c>
      <c r="D732" s="22">
        <f>IFERROR(__xludf.DUMMYFUNCTION("""COMPUTED_VALUE"""),1.1025)</f>
        <v>1.1025</v>
      </c>
      <c r="E732" s="32">
        <f>IFERROR(__xludf.DUMMYFUNCTION("""COMPUTED_VALUE"""),45317.75)</f>
        <v>45317.75</v>
      </c>
      <c r="F732" s="22">
        <f>IFERROR(__xludf.DUMMYFUNCTION("""COMPUTED_VALUE"""),4635.47)</f>
        <v>4635.47</v>
      </c>
    </row>
    <row r="733" ht="15.75" customHeight="1">
      <c r="A733" s="32">
        <f>IFERROR(__xludf.DUMMYFUNCTION("""COMPUTED_VALUE"""),45310.66666666667)</f>
        <v>45310.66667</v>
      </c>
      <c r="B733" s="22">
        <f>IFERROR(__xludf.DUMMYFUNCTION("""COMPUTED_VALUE"""),4839.81)</f>
        <v>4839.81</v>
      </c>
      <c r="C733" s="32">
        <f>IFERROR(__xludf.DUMMYFUNCTION("""COMPUTED_VALUE"""),45290.99861111111)</f>
        <v>45290.99861</v>
      </c>
      <c r="D733" s="22">
        <f>IFERROR(__xludf.DUMMYFUNCTION("""COMPUTED_VALUE"""),1.1054)</f>
        <v>1.1054</v>
      </c>
      <c r="E733" s="32">
        <f>IFERROR(__xludf.DUMMYFUNCTION("""COMPUTED_VALUE"""),45324.75)</f>
        <v>45324.75</v>
      </c>
      <c r="F733" s="22">
        <f>IFERROR(__xludf.DUMMYFUNCTION("""COMPUTED_VALUE"""),4654.55)</f>
        <v>4654.55</v>
      </c>
    </row>
    <row r="734" ht="15.75" customHeight="1">
      <c r="A734" s="32">
        <f>IFERROR(__xludf.DUMMYFUNCTION("""COMPUTED_VALUE"""),45317.66666666667)</f>
        <v>45317.66667</v>
      </c>
      <c r="B734" s="22">
        <f>IFERROR(__xludf.DUMMYFUNCTION("""COMPUTED_VALUE"""),4890.97)</f>
        <v>4890.97</v>
      </c>
      <c r="C734" s="32">
        <f>IFERROR(__xludf.DUMMYFUNCTION("""COMPUTED_VALUE"""),45297.99861111111)</f>
        <v>45297.99861</v>
      </c>
      <c r="D734" s="22">
        <f>IFERROR(__xludf.DUMMYFUNCTION("""COMPUTED_VALUE"""),1.0956)</f>
        <v>1.0956</v>
      </c>
      <c r="E734" s="32">
        <f>IFERROR(__xludf.DUMMYFUNCTION("""COMPUTED_VALUE"""),45331.75)</f>
        <v>45331.75</v>
      </c>
      <c r="F734" s="22">
        <f>IFERROR(__xludf.DUMMYFUNCTION("""COMPUTED_VALUE"""),4715.87)</f>
        <v>4715.87</v>
      </c>
    </row>
    <row r="735" ht="15.75" customHeight="1">
      <c r="A735" s="32">
        <f>IFERROR(__xludf.DUMMYFUNCTION("""COMPUTED_VALUE"""),45324.66666666667)</f>
        <v>45324.66667</v>
      </c>
      <c r="B735" s="22">
        <f>IFERROR(__xludf.DUMMYFUNCTION("""COMPUTED_VALUE"""),4958.61)</f>
        <v>4958.61</v>
      </c>
      <c r="C735" s="32">
        <f>IFERROR(__xludf.DUMMYFUNCTION("""COMPUTED_VALUE"""),45304.99861111111)</f>
        <v>45304.99861</v>
      </c>
      <c r="D735" s="22">
        <f>IFERROR(__xludf.DUMMYFUNCTION("""COMPUTED_VALUE"""),1.0964)</f>
        <v>1.0964</v>
      </c>
      <c r="E735" s="32">
        <f>IFERROR(__xludf.DUMMYFUNCTION("""COMPUTED_VALUE"""),45338.75)</f>
        <v>45338.75</v>
      </c>
      <c r="F735" s="22">
        <f>IFERROR(__xludf.DUMMYFUNCTION("""COMPUTED_VALUE"""),4765.65)</f>
        <v>4765.65</v>
      </c>
    </row>
    <row r="736" ht="15.75" customHeight="1">
      <c r="A736" s="32">
        <f>IFERROR(__xludf.DUMMYFUNCTION("""COMPUTED_VALUE"""),45331.66666666667)</f>
        <v>45331.66667</v>
      </c>
      <c r="B736" s="22">
        <f>IFERROR(__xludf.DUMMYFUNCTION("""COMPUTED_VALUE"""),5026.61)</f>
        <v>5026.61</v>
      </c>
      <c r="C736" s="32">
        <f>IFERROR(__xludf.DUMMYFUNCTION("""COMPUTED_VALUE"""),45311.99861111111)</f>
        <v>45311.99861</v>
      </c>
      <c r="D736" s="22">
        <f>IFERROR(__xludf.DUMMYFUNCTION("""COMPUTED_VALUE"""),1.0913)</f>
        <v>1.0913</v>
      </c>
      <c r="E736" s="32">
        <f>IFERROR(__xludf.DUMMYFUNCTION("""COMPUTED_VALUE"""),45345.75)</f>
        <v>45345.75</v>
      </c>
      <c r="F736" s="22">
        <f>IFERROR(__xludf.DUMMYFUNCTION("""COMPUTED_VALUE"""),4872.57)</f>
        <v>4872.57</v>
      </c>
    </row>
    <row r="737" ht="15.75" customHeight="1">
      <c r="A737" s="32">
        <f>IFERROR(__xludf.DUMMYFUNCTION("""COMPUTED_VALUE"""),45338.66666666667)</f>
        <v>45338.66667</v>
      </c>
      <c r="B737" s="22">
        <f>IFERROR(__xludf.DUMMYFUNCTION("""COMPUTED_VALUE"""),5005.57)</f>
        <v>5005.57</v>
      </c>
      <c r="C737" s="32">
        <f>IFERROR(__xludf.DUMMYFUNCTION("""COMPUTED_VALUE"""),45318.99861111111)</f>
        <v>45318.99861</v>
      </c>
      <c r="D737" s="22">
        <f>IFERROR(__xludf.DUMMYFUNCTION("""COMPUTED_VALUE"""),1.0862)</f>
        <v>1.0862</v>
      </c>
      <c r="E737" s="32">
        <f>IFERROR(__xludf.DUMMYFUNCTION("""COMPUTED_VALUE"""),45352.75)</f>
        <v>45352.75</v>
      </c>
      <c r="F737" s="22">
        <f>IFERROR(__xludf.DUMMYFUNCTION("""COMPUTED_VALUE"""),4894.86)</f>
        <v>4894.86</v>
      </c>
    </row>
    <row r="738" ht="15.75" customHeight="1">
      <c r="A738" s="32">
        <f>IFERROR(__xludf.DUMMYFUNCTION("""COMPUTED_VALUE"""),45345.66666666667)</f>
        <v>45345.66667</v>
      </c>
      <c r="B738" s="22">
        <f>IFERROR(__xludf.DUMMYFUNCTION("""COMPUTED_VALUE"""),5088.8)</f>
        <v>5088.8</v>
      </c>
      <c r="C738" s="32">
        <f>IFERROR(__xludf.DUMMYFUNCTION("""COMPUTED_VALUE"""),45325.99861111111)</f>
        <v>45325.99861</v>
      </c>
      <c r="D738" s="22">
        <f>IFERROR(__xludf.DUMMYFUNCTION("""COMPUTED_VALUE"""),1.0805)</f>
        <v>1.0805</v>
      </c>
      <c r="E738" s="32">
        <f>IFERROR(__xludf.DUMMYFUNCTION("""COMPUTED_VALUE"""),45359.75)</f>
        <v>45359.75</v>
      </c>
      <c r="F738" s="22">
        <f>IFERROR(__xludf.DUMMYFUNCTION("""COMPUTED_VALUE"""),4961.11)</f>
        <v>4961.11</v>
      </c>
    </row>
    <row r="739" ht="15.75" customHeight="1">
      <c r="A739" s="32">
        <f>IFERROR(__xludf.DUMMYFUNCTION("""COMPUTED_VALUE"""),45352.66666666667)</f>
        <v>45352.66667</v>
      </c>
      <c r="B739" s="22">
        <f>IFERROR(__xludf.DUMMYFUNCTION("""COMPUTED_VALUE"""),5137.08)</f>
        <v>5137.08</v>
      </c>
      <c r="C739" s="32">
        <f>IFERROR(__xludf.DUMMYFUNCTION("""COMPUTED_VALUE"""),45332.99861111111)</f>
        <v>45332.99861</v>
      </c>
      <c r="D739" s="22">
        <f>IFERROR(__xludf.DUMMYFUNCTION("""COMPUTED_VALUE"""),1.0759)</f>
        <v>1.0759</v>
      </c>
      <c r="E739" s="32">
        <f>IFERROR(__xludf.DUMMYFUNCTION("""COMPUTED_VALUE"""),45366.75)</f>
        <v>45366.75</v>
      </c>
      <c r="F739" s="22">
        <f>IFERROR(__xludf.DUMMYFUNCTION("""COMPUTED_VALUE"""),4986.02)</f>
        <v>4986.02</v>
      </c>
    </row>
    <row r="740" ht="15.75" customHeight="1">
      <c r="A740" s="32">
        <f>IFERROR(__xludf.DUMMYFUNCTION("""COMPUTED_VALUE"""),45359.66666666667)</f>
        <v>45359.66667</v>
      </c>
      <c r="B740" s="22">
        <f>IFERROR(__xludf.DUMMYFUNCTION("""COMPUTED_VALUE"""),5123.69)</f>
        <v>5123.69</v>
      </c>
      <c r="C740" s="32">
        <f>IFERROR(__xludf.DUMMYFUNCTION("""COMPUTED_VALUE"""),45339.99861111111)</f>
        <v>45339.99861</v>
      </c>
      <c r="D740" s="22">
        <f>IFERROR(__xludf.DUMMYFUNCTION("""COMPUTED_VALUE"""),1.07734)</f>
        <v>1.07734</v>
      </c>
      <c r="E740" s="32">
        <f>IFERROR(__xludf.DUMMYFUNCTION("""COMPUTED_VALUE"""),45373.75)</f>
        <v>45373.75</v>
      </c>
      <c r="F740" s="22">
        <f>IFERROR(__xludf.DUMMYFUNCTION("""COMPUTED_VALUE"""),5031.15)</f>
        <v>5031.15</v>
      </c>
    </row>
    <row r="741" ht="15.75" customHeight="1">
      <c r="A741" s="32">
        <f>IFERROR(__xludf.DUMMYFUNCTION("""COMPUTED_VALUE"""),45366.66666666667)</f>
        <v>45366.66667</v>
      </c>
      <c r="B741" s="22">
        <f>IFERROR(__xludf.DUMMYFUNCTION("""COMPUTED_VALUE"""),5117.09)</f>
        <v>5117.09</v>
      </c>
      <c r="C741" s="32">
        <f>IFERROR(__xludf.DUMMYFUNCTION("""COMPUTED_VALUE"""),45346.99861111111)</f>
        <v>45346.99861</v>
      </c>
      <c r="D741" s="22">
        <f>IFERROR(__xludf.DUMMYFUNCTION("""COMPUTED_VALUE"""),1.0835)</f>
        <v>1.0835</v>
      </c>
      <c r="E741" s="32">
        <f>IFERROR(__xludf.DUMMYFUNCTION("""COMPUTED_VALUE"""),45379.75)</f>
        <v>45379.75</v>
      </c>
      <c r="F741" s="22">
        <f>IFERROR(__xludf.DUMMYFUNCTION("""COMPUTED_VALUE"""),5083.42)</f>
        <v>5083.42</v>
      </c>
    </row>
    <row r="742" ht="15.75" customHeight="1">
      <c r="A742" s="32">
        <f>IFERROR(__xludf.DUMMYFUNCTION("""COMPUTED_VALUE"""),45373.66666666667)</f>
        <v>45373.66667</v>
      </c>
      <c r="B742" s="22">
        <f>IFERROR(__xludf.DUMMYFUNCTION("""COMPUTED_VALUE"""),5234.18)</f>
        <v>5234.18</v>
      </c>
      <c r="C742" s="32">
        <f>IFERROR(__xludf.DUMMYFUNCTION("""COMPUTED_VALUE"""),45353.99861111111)</f>
        <v>45353.99861</v>
      </c>
      <c r="D742" s="22">
        <f>IFERROR(__xludf.DUMMYFUNCTION("""COMPUTED_VALUE"""),1.0853)</f>
        <v>1.0853</v>
      </c>
      <c r="E742" s="32">
        <f>IFERROR(__xludf.DUMMYFUNCTION("""COMPUTED_VALUE"""),45387.75)</f>
        <v>45387.75</v>
      </c>
      <c r="F742" s="22">
        <f>IFERROR(__xludf.DUMMYFUNCTION("""COMPUTED_VALUE"""),5014.75)</f>
        <v>5014.75</v>
      </c>
    </row>
    <row r="743" ht="15.75" customHeight="1">
      <c r="A743" s="32">
        <f>IFERROR(__xludf.DUMMYFUNCTION("""COMPUTED_VALUE"""),45379.66666666667)</f>
        <v>45379.66667</v>
      </c>
      <c r="B743" s="22">
        <f>IFERROR(__xludf.DUMMYFUNCTION("""COMPUTED_VALUE"""),5254.35)</f>
        <v>5254.35</v>
      </c>
      <c r="C743" s="32">
        <f>IFERROR(__xludf.DUMMYFUNCTION("""COMPUTED_VALUE"""),45360.99861111111)</f>
        <v>45360.99861</v>
      </c>
      <c r="D743" s="22">
        <f>IFERROR(__xludf.DUMMYFUNCTION("""COMPUTED_VALUE"""),1.0942)</f>
        <v>1.0942</v>
      </c>
      <c r="E743" s="32">
        <f>IFERROR(__xludf.DUMMYFUNCTION("""COMPUTED_VALUE"""),45394.75)</f>
        <v>45394.75</v>
      </c>
      <c r="F743" s="22">
        <f>IFERROR(__xludf.DUMMYFUNCTION("""COMPUTED_VALUE"""),4955.01)</f>
        <v>4955.01</v>
      </c>
    </row>
    <row r="744" ht="15.75" customHeight="1">
      <c r="A744" s="32">
        <f>IFERROR(__xludf.DUMMYFUNCTION("""COMPUTED_VALUE"""),45387.66666666667)</f>
        <v>45387.66667</v>
      </c>
      <c r="B744" s="22">
        <f>IFERROR(__xludf.DUMMYFUNCTION("""COMPUTED_VALUE"""),5204.34)</f>
        <v>5204.34</v>
      </c>
      <c r="C744" s="32">
        <f>IFERROR(__xludf.DUMMYFUNCTION("""COMPUTED_VALUE"""),45367.99861111111)</f>
        <v>45367.99861</v>
      </c>
      <c r="D744" s="22">
        <f>IFERROR(__xludf.DUMMYFUNCTION("""COMPUTED_VALUE"""),1.0896)</f>
        <v>1.0896</v>
      </c>
      <c r="E744" s="32">
        <f>IFERROR(__xludf.DUMMYFUNCTION("""COMPUTED_VALUE"""),45401.75)</f>
        <v>45401.75</v>
      </c>
      <c r="F744" s="22">
        <f>IFERROR(__xludf.DUMMYFUNCTION("""COMPUTED_VALUE"""),4918.09)</f>
        <v>4918.09</v>
      </c>
    </row>
    <row r="745" ht="15.75" customHeight="1">
      <c r="A745" s="32">
        <f>IFERROR(__xludf.DUMMYFUNCTION("""COMPUTED_VALUE"""),45394.66666666667)</f>
        <v>45394.66667</v>
      </c>
      <c r="B745" s="22">
        <f>IFERROR(__xludf.DUMMYFUNCTION("""COMPUTED_VALUE"""),5123.41)</f>
        <v>5123.41</v>
      </c>
      <c r="C745" s="32">
        <f>IFERROR(__xludf.DUMMYFUNCTION("""COMPUTED_VALUE"""),45374.99861111111)</f>
        <v>45374.99861</v>
      </c>
      <c r="D745" s="22">
        <f>IFERROR(__xludf.DUMMYFUNCTION("""COMPUTED_VALUE"""),1.0861)</f>
        <v>1.0861</v>
      </c>
      <c r="E745" s="32">
        <f>IFERROR(__xludf.DUMMYFUNCTION("""COMPUTED_VALUE"""),45408.75)</f>
        <v>45408.75</v>
      </c>
      <c r="F745" s="22">
        <f>IFERROR(__xludf.DUMMYFUNCTION("""COMPUTED_VALUE"""),5006.85)</f>
        <v>5006.85</v>
      </c>
    </row>
    <row r="746" ht="15.75" customHeight="1">
      <c r="A746" s="32">
        <f>IFERROR(__xludf.DUMMYFUNCTION("""COMPUTED_VALUE"""),45401.66666666667)</f>
        <v>45401.66667</v>
      </c>
      <c r="B746" s="22">
        <f>IFERROR(__xludf.DUMMYFUNCTION("""COMPUTED_VALUE"""),4967.23)</f>
        <v>4967.23</v>
      </c>
      <c r="C746" s="32">
        <f>IFERROR(__xludf.DUMMYFUNCTION("""COMPUTED_VALUE"""),45381.99861111111)</f>
        <v>45381.99861</v>
      </c>
      <c r="D746" s="22">
        <f>IFERROR(__xludf.DUMMYFUNCTION("""COMPUTED_VALUE"""),1.0799)</f>
        <v>1.0799</v>
      </c>
      <c r="E746" s="32">
        <f>IFERROR(__xludf.DUMMYFUNCTION("""COMPUTED_VALUE"""),45415.75)</f>
        <v>45415.75</v>
      </c>
      <c r="F746" s="22">
        <f>IFERROR(__xludf.DUMMYFUNCTION("""COMPUTED_VALUE"""),4921.48)</f>
        <v>4921.48</v>
      </c>
    </row>
    <row r="747" ht="15.75" customHeight="1">
      <c r="A747" s="32">
        <f>IFERROR(__xludf.DUMMYFUNCTION("""COMPUTED_VALUE"""),45408.66666666667)</f>
        <v>45408.66667</v>
      </c>
      <c r="B747" s="22">
        <f>IFERROR(__xludf.DUMMYFUNCTION("""COMPUTED_VALUE"""),5099.96)</f>
        <v>5099.96</v>
      </c>
      <c r="C747" s="32">
        <f>IFERROR(__xludf.DUMMYFUNCTION("""COMPUTED_VALUE"""),45388.99861111111)</f>
        <v>45388.99861</v>
      </c>
      <c r="D747" s="22">
        <f>IFERROR(__xludf.DUMMYFUNCTION("""COMPUTED_VALUE"""),1.0848)</f>
        <v>1.0848</v>
      </c>
      <c r="E747" s="32">
        <f>IFERROR(__xludf.DUMMYFUNCTION("""COMPUTED_VALUE"""),45422.75)</f>
        <v>45422.75</v>
      </c>
      <c r="F747" s="22">
        <f>IFERROR(__xludf.DUMMYFUNCTION("""COMPUTED_VALUE"""),5085.08)</f>
        <v>5085.08</v>
      </c>
    </row>
    <row r="748" ht="15.75" customHeight="1">
      <c r="A748" s="32">
        <f>IFERROR(__xludf.DUMMYFUNCTION("""COMPUTED_VALUE"""),45415.66666666667)</f>
        <v>45415.66667</v>
      </c>
      <c r="B748" s="22">
        <f>IFERROR(__xludf.DUMMYFUNCTION("""COMPUTED_VALUE"""),5127.79)</f>
        <v>5127.79</v>
      </c>
      <c r="C748" s="32">
        <f>IFERROR(__xludf.DUMMYFUNCTION("""COMPUTED_VALUE"""),45395.99861111111)</f>
        <v>45395.99861</v>
      </c>
      <c r="D748" s="22">
        <f>IFERROR(__xludf.DUMMYFUNCTION("""COMPUTED_VALUE"""),1.067)</f>
        <v>1.067</v>
      </c>
      <c r="E748" s="32">
        <f>IFERROR(__xludf.DUMMYFUNCTION("""COMPUTED_VALUE"""),45429.75)</f>
        <v>45429.75</v>
      </c>
      <c r="F748" s="22">
        <f>IFERROR(__xludf.DUMMYFUNCTION("""COMPUTED_VALUE"""),5064.14)</f>
        <v>5064.14</v>
      </c>
    </row>
    <row r="749" ht="15.75" customHeight="1">
      <c r="A749" s="32">
        <f>IFERROR(__xludf.DUMMYFUNCTION("""COMPUTED_VALUE"""),45422.66666666667)</f>
        <v>45422.66667</v>
      </c>
      <c r="B749" s="22">
        <f>IFERROR(__xludf.DUMMYFUNCTION("""COMPUTED_VALUE"""),5222.68)</f>
        <v>5222.68</v>
      </c>
      <c r="C749" s="32">
        <f>IFERROR(__xludf.DUMMYFUNCTION("""COMPUTED_VALUE"""),45402.99861111111)</f>
        <v>45402.99861</v>
      </c>
      <c r="D749" s="22">
        <f>IFERROR(__xludf.DUMMYFUNCTION("""COMPUTED_VALUE"""),1.0669)</f>
        <v>1.0669</v>
      </c>
      <c r="E749" s="32">
        <f>IFERROR(__xludf.DUMMYFUNCTION("""COMPUTED_VALUE"""),45436.75)</f>
        <v>45436.75</v>
      </c>
      <c r="F749" s="22">
        <f>IFERROR(__xludf.DUMMYFUNCTION("""COMPUTED_VALUE"""),5035.41)</f>
        <v>5035.41</v>
      </c>
    </row>
    <row r="750" ht="15.75" customHeight="1">
      <c r="A750" s="32">
        <f>IFERROR(__xludf.DUMMYFUNCTION("""COMPUTED_VALUE"""),45429.66666666667)</f>
        <v>45429.66667</v>
      </c>
      <c r="B750" s="22">
        <f>IFERROR(__xludf.DUMMYFUNCTION("""COMPUTED_VALUE"""),5303.27)</f>
        <v>5303.27</v>
      </c>
      <c r="C750" s="32">
        <f>IFERROR(__xludf.DUMMYFUNCTION("""COMPUTED_VALUE"""),45409.99861111111)</f>
        <v>45409.99861</v>
      </c>
      <c r="D750" s="22">
        <f>IFERROR(__xludf.DUMMYFUNCTION("""COMPUTED_VALUE"""),1.0695)</f>
        <v>1.0695</v>
      </c>
      <c r="E750" s="32">
        <f>IFERROR(__xludf.DUMMYFUNCTION("""COMPUTED_VALUE"""),45443.75)</f>
        <v>45443.75</v>
      </c>
      <c r="F750" s="22">
        <f>IFERROR(__xludf.DUMMYFUNCTION("""COMPUTED_VALUE"""),4983.67)</f>
        <v>4983.67</v>
      </c>
    </row>
    <row r="751" ht="15.75" customHeight="1">
      <c r="A751" s="32">
        <f>IFERROR(__xludf.DUMMYFUNCTION("""COMPUTED_VALUE"""),45436.66666666667)</f>
        <v>45436.66667</v>
      </c>
      <c r="B751" s="22">
        <f>IFERROR(__xludf.DUMMYFUNCTION("""COMPUTED_VALUE"""),5304.72)</f>
        <v>5304.72</v>
      </c>
      <c r="C751" s="32">
        <f>IFERROR(__xludf.DUMMYFUNCTION("""COMPUTED_VALUE"""),45416.99861111111)</f>
        <v>45416.99861</v>
      </c>
      <c r="D751" s="22">
        <f>IFERROR(__xludf.DUMMYFUNCTION("""COMPUTED_VALUE"""),1.0771)</f>
        <v>1.0771</v>
      </c>
      <c r="E751" s="32">
        <f>IFERROR(__xludf.DUMMYFUNCTION("""COMPUTED_VALUE"""),45450.75)</f>
        <v>45450.75</v>
      </c>
      <c r="F751" s="22">
        <f>IFERROR(__xludf.DUMMYFUNCTION("""COMPUTED_VALUE"""),5051.31)</f>
        <v>5051.31</v>
      </c>
    </row>
    <row r="752" ht="15.75" customHeight="1">
      <c r="A752" s="32">
        <f>IFERROR(__xludf.DUMMYFUNCTION("""COMPUTED_VALUE"""),45443.66666666667)</f>
        <v>45443.66667</v>
      </c>
      <c r="B752" s="22">
        <f>IFERROR(__xludf.DUMMYFUNCTION("""COMPUTED_VALUE"""),5277.51)</f>
        <v>5277.51</v>
      </c>
      <c r="C752" s="32">
        <f>IFERROR(__xludf.DUMMYFUNCTION("""COMPUTED_VALUE"""),45423.99861111111)</f>
        <v>45423.99861</v>
      </c>
      <c r="D752" s="22">
        <f>IFERROR(__xludf.DUMMYFUNCTION("""COMPUTED_VALUE"""),1.0786)</f>
        <v>1.0786</v>
      </c>
      <c r="E752" s="32">
        <f>IFERROR(__xludf.DUMMYFUNCTION("""COMPUTED_VALUE"""),45457.75)</f>
        <v>45457.75</v>
      </c>
      <c r="F752" s="22">
        <f>IFERROR(__xludf.DUMMYFUNCTION("""COMPUTED_VALUE"""),4839.14)</f>
        <v>4839.14</v>
      </c>
    </row>
    <row r="753" ht="15.75" customHeight="1">
      <c r="A753" s="32">
        <f>IFERROR(__xludf.DUMMYFUNCTION("""COMPUTED_VALUE"""),45450.66666666667)</f>
        <v>45450.66667</v>
      </c>
      <c r="B753" s="22">
        <f>IFERROR(__xludf.DUMMYFUNCTION("""COMPUTED_VALUE"""),5346.99)</f>
        <v>5346.99</v>
      </c>
      <c r="C753" s="32">
        <f>IFERROR(__xludf.DUMMYFUNCTION("""COMPUTED_VALUE"""),45430.99861111111)</f>
        <v>45430.99861</v>
      </c>
      <c r="D753" s="22">
        <f>IFERROR(__xludf.DUMMYFUNCTION("""COMPUTED_VALUE"""),1.0889)</f>
        <v>1.0889</v>
      </c>
      <c r="E753" s="32">
        <f>IFERROR(__xludf.DUMMYFUNCTION("""COMPUTED_VALUE"""),45464.75)</f>
        <v>45464.75</v>
      </c>
      <c r="F753" s="22">
        <f>IFERROR(__xludf.DUMMYFUNCTION("""COMPUTED_VALUE"""),4907.3)</f>
        <v>4907.3</v>
      </c>
    </row>
    <row r="754" ht="15.75" customHeight="1">
      <c r="A754" s="32">
        <f>IFERROR(__xludf.DUMMYFUNCTION("""COMPUTED_VALUE"""),45457.66666666667)</f>
        <v>45457.66667</v>
      </c>
      <c r="B754" s="22">
        <f>IFERROR(__xludf.DUMMYFUNCTION("""COMPUTED_VALUE"""),5431.6)</f>
        <v>5431.6</v>
      </c>
      <c r="C754" s="32">
        <f>IFERROR(__xludf.DUMMYFUNCTION("""COMPUTED_VALUE"""),45437.99861111111)</f>
        <v>45437.99861</v>
      </c>
      <c r="D754" s="22">
        <f>IFERROR(__xludf.DUMMYFUNCTION("""COMPUTED_VALUE"""),1.0847)</f>
        <v>1.0847</v>
      </c>
      <c r="E754" s="32">
        <f>IFERROR(__xludf.DUMMYFUNCTION("""COMPUTED_VALUE"""),45471.75)</f>
        <v>45471.75</v>
      </c>
      <c r="F754" s="22">
        <f>IFERROR(__xludf.DUMMYFUNCTION("""COMPUTED_VALUE"""),4894.02)</f>
        <v>4894.02</v>
      </c>
    </row>
    <row r="755" ht="15.75" customHeight="1">
      <c r="A755" s="32">
        <f>IFERROR(__xludf.DUMMYFUNCTION("""COMPUTED_VALUE"""),45464.66666666667)</f>
        <v>45464.66667</v>
      </c>
      <c r="B755" s="22">
        <f>IFERROR(__xludf.DUMMYFUNCTION("""COMPUTED_VALUE"""),5464.62)</f>
        <v>5464.62</v>
      </c>
      <c r="C755" s="32">
        <f>IFERROR(__xludf.DUMMYFUNCTION("""COMPUTED_VALUE"""),45444.99861111111)</f>
        <v>45444.99861</v>
      </c>
      <c r="D755" s="22">
        <f>IFERROR(__xludf.DUMMYFUNCTION("""COMPUTED_VALUE"""),1.0855)</f>
        <v>1.0855</v>
      </c>
      <c r="E755" s="32">
        <f>IFERROR(__xludf.DUMMYFUNCTION("""COMPUTED_VALUE"""),45478.75)</f>
        <v>45478.75</v>
      </c>
      <c r="F755" s="22">
        <f>IFERROR(__xludf.DUMMYFUNCTION("""COMPUTED_VALUE"""),4979.39)</f>
        <v>4979.39</v>
      </c>
    </row>
    <row r="756" ht="15.75" customHeight="1">
      <c r="A756" s="32">
        <f>IFERROR(__xludf.DUMMYFUNCTION("""COMPUTED_VALUE"""),45471.66666666667)</f>
        <v>45471.66667</v>
      </c>
      <c r="B756" s="22">
        <f>IFERROR(__xludf.DUMMYFUNCTION("""COMPUTED_VALUE"""),5460.48)</f>
        <v>5460.48</v>
      </c>
      <c r="C756" s="32">
        <f>IFERROR(__xludf.DUMMYFUNCTION("""COMPUTED_VALUE"""),45451.99861111111)</f>
        <v>45451.99861</v>
      </c>
      <c r="D756" s="22">
        <f>IFERROR(__xludf.DUMMYFUNCTION("""COMPUTED_VALUE"""),1.0805)</f>
        <v>1.0805</v>
      </c>
      <c r="E756" s="32">
        <f>IFERROR(__xludf.DUMMYFUNCTION("""COMPUTED_VALUE"""),45485.75)</f>
        <v>45485.75</v>
      </c>
      <c r="F756" s="22">
        <f>IFERROR(__xludf.DUMMYFUNCTION("""COMPUTED_VALUE"""),5043.02)</f>
        <v>5043.02</v>
      </c>
    </row>
    <row r="757" ht="15.75" customHeight="1">
      <c r="A757" s="32">
        <f>IFERROR(__xludf.DUMMYFUNCTION("""COMPUTED_VALUE"""),45478.66666666667)</f>
        <v>45478.66667</v>
      </c>
      <c r="B757" s="22">
        <f>IFERROR(__xludf.DUMMYFUNCTION("""COMPUTED_VALUE"""),5567.19)</f>
        <v>5567.19</v>
      </c>
      <c r="C757" s="32">
        <f>IFERROR(__xludf.DUMMYFUNCTION("""COMPUTED_VALUE"""),45458.99861111111)</f>
        <v>45458.99861</v>
      </c>
      <c r="D757" s="22">
        <f>IFERROR(__xludf.DUMMYFUNCTION("""COMPUTED_VALUE"""),1.0716)</f>
        <v>1.0716</v>
      </c>
      <c r="E757" s="32">
        <f>IFERROR(__xludf.DUMMYFUNCTION("""COMPUTED_VALUE"""),45492.75)</f>
        <v>45492.75</v>
      </c>
      <c r="F757" s="22">
        <f>IFERROR(__xludf.DUMMYFUNCTION("""COMPUTED_VALUE"""),4827.24)</f>
        <v>4827.24</v>
      </c>
    </row>
    <row r="758" ht="15.75" customHeight="1">
      <c r="A758" s="32">
        <f>IFERROR(__xludf.DUMMYFUNCTION("""COMPUTED_VALUE"""),45485.66666666667)</f>
        <v>45485.66667</v>
      </c>
      <c r="B758" s="22">
        <f>IFERROR(__xludf.DUMMYFUNCTION("""COMPUTED_VALUE"""),5615.35)</f>
        <v>5615.35</v>
      </c>
      <c r="C758" s="32">
        <f>IFERROR(__xludf.DUMMYFUNCTION("""COMPUTED_VALUE"""),45465.99861111111)</f>
        <v>45465.99861</v>
      </c>
      <c r="D758" s="22">
        <f>IFERROR(__xludf.DUMMYFUNCTION("""COMPUTED_VALUE"""),1.0691)</f>
        <v>1.0691</v>
      </c>
      <c r="E758" s="32">
        <f>IFERROR(__xludf.DUMMYFUNCTION("""COMPUTED_VALUE"""),45499.75)</f>
        <v>45499.75</v>
      </c>
      <c r="F758" s="22">
        <f>IFERROR(__xludf.DUMMYFUNCTION("""COMPUTED_VALUE"""),4862.5)</f>
        <v>4862.5</v>
      </c>
    </row>
    <row r="759" ht="15.75" customHeight="1">
      <c r="A759" s="32">
        <f>IFERROR(__xludf.DUMMYFUNCTION("""COMPUTED_VALUE"""),45492.66666666667)</f>
        <v>45492.66667</v>
      </c>
      <c r="B759" s="22">
        <f>IFERROR(__xludf.DUMMYFUNCTION("""COMPUTED_VALUE"""),5505.0)</f>
        <v>5505</v>
      </c>
      <c r="C759" s="32">
        <f>IFERROR(__xludf.DUMMYFUNCTION("""COMPUTED_VALUE"""),45472.99861111111)</f>
        <v>45472.99861</v>
      </c>
      <c r="D759" s="22">
        <f>IFERROR(__xludf.DUMMYFUNCTION("""COMPUTED_VALUE"""),1.0719)</f>
        <v>1.0719</v>
      </c>
      <c r="E759" s="32">
        <f>IFERROR(__xludf.DUMMYFUNCTION("""COMPUTED_VALUE"""),45506.75)</f>
        <v>45506.75</v>
      </c>
      <c r="F759" s="22">
        <f>IFERROR(__xludf.DUMMYFUNCTION("""COMPUTED_VALUE"""),4638.7)</f>
        <v>4638.7</v>
      </c>
    </row>
    <row r="760" ht="15.75" customHeight="1">
      <c r="A760" s="32">
        <f>IFERROR(__xludf.DUMMYFUNCTION("""COMPUTED_VALUE"""),45499.66666666667)</f>
        <v>45499.66667</v>
      </c>
      <c r="B760" s="22">
        <f>IFERROR(__xludf.DUMMYFUNCTION("""COMPUTED_VALUE"""),5459.1)</f>
        <v>5459.1</v>
      </c>
      <c r="C760" s="32">
        <f>IFERROR(__xludf.DUMMYFUNCTION("""COMPUTED_VALUE"""),45479.99861111111)</f>
        <v>45479.99861</v>
      </c>
      <c r="D760" s="22">
        <f>IFERROR(__xludf.DUMMYFUNCTION("""COMPUTED_VALUE"""),1.0839)</f>
        <v>1.0839</v>
      </c>
      <c r="E760" s="32">
        <f>IFERROR(__xludf.DUMMYFUNCTION("""COMPUTED_VALUE"""),45513.75)</f>
        <v>45513.75</v>
      </c>
      <c r="F760" s="22">
        <f>IFERROR(__xludf.DUMMYFUNCTION("""COMPUTED_VALUE"""),4675.28)</f>
        <v>4675.28</v>
      </c>
    </row>
    <row r="761" ht="15.75" customHeight="1">
      <c r="A761" s="32">
        <f>IFERROR(__xludf.DUMMYFUNCTION("""COMPUTED_VALUE"""),45506.66666666667)</f>
        <v>45506.66667</v>
      </c>
      <c r="B761" s="22">
        <f>IFERROR(__xludf.DUMMYFUNCTION("""COMPUTED_VALUE"""),5346.56)</f>
        <v>5346.56</v>
      </c>
      <c r="C761" s="32">
        <f>IFERROR(__xludf.DUMMYFUNCTION("""COMPUTED_VALUE"""),45486.99861111111)</f>
        <v>45486.99861</v>
      </c>
      <c r="D761" s="22">
        <f>IFERROR(__xludf.DUMMYFUNCTION("""COMPUTED_VALUE"""),1.0919)</f>
        <v>1.0919</v>
      </c>
      <c r="E761" s="32">
        <f>IFERROR(__xludf.DUMMYFUNCTION("""COMPUTED_VALUE"""),45520.75)</f>
        <v>45520.75</v>
      </c>
      <c r="F761" s="22">
        <f>IFERROR(__xludf.DUMMYFUNCTION("""COMPUTED_VALUE"""),4840.52)</f>
        <v>4840.52</v>
      </c>
    </row>
    <row r="762" ht="15.75" customHeight="1">
      <c r="A762" s="32">
        <f>IFERROR(__xludf.DUMMYFUNCTION("""COMPUTED_VALUE"""),45513.66666666667)</f>
        <v>45513.66667</v>
      </c>
      <c r="B762" s="22">
        <f>IFERROR(__xludf.DUMMYFUNCTION("""COMPUTED_VALUE"""),5344.16)</f>
        <v>5344.16</v>
      </c>
      <c r="C762" s="32">
        <f>IFERROR(__xludf.DUMMYFUNCTION("""COMPUTED_VALUE"""),45493.99861111111)</f>
        <v>45493.99861</v>
      </c>
      <c r="D762" s="22">
        <f>IFERROR(__xludf.DUMMYFUNCTION("""COMPUTED_VALUE"""),1.089)</f>
        <v>1.089</v>
      </c>
      <c r="E762" s="32">
        <f>IFERROR(__xludf.DUMMYFUNCTION("""COMPUTED_VALUE"""),45527.75)</f>
        <v>45527.75</v>
      </c>
      <c r="F762" s="22">
        <f>IFERROR(__xludf.DUMMYFUNCTION("""COMPUTED_VALUE"""),4909.2)</f>
        <v>4909.2</v>
      </c>
    </row>
    <row r="763" ht="15.75" customHeight="1">
      <c r="A763" s="32">
        <f>IFERROR(__xludf.DUMMYFUNCTION("""COMPUTED_VALUE"""),45520.66666666667)</f>
        <v>45520.66667</v>
      </c>
      <c r="B763" s="22">
        <f>IFERROR(__xludf.DUMMYFUNCTION("""COMPUTED_VALUE"""),5554.25)</f>
        <v>5554.25</v>
      </c>
      <c r="C763" s="32">
        <f>IFERROR(__xludf.DUMMYFUNCTION("""COMPUTED_VALUE"""),45500.99861111111)</f>
        <v>45500.99861</v>
      </c>
      <c r="D763" s="22">
        <f>IFERROR(__xludf.DUMMYFUNCTION("""COMPUTED_VALUE"""),1.087)</f>
        <v>1.087</v>
      </c>
      <c r="E763" s="32">
        <f>IFERROR(__xludf.DUMMYFUNCTION("""COMPUTED_VALUE"""),45534.75)</f>
        <v>45534.75</v>
      </c>
      <c r="F763" s="22">
        <f>IFERROR(__xludf.DUMMYFUNCTION("""COMPUTED_VALUE"""),4957.98)</f>
        <v>4957.98</v>
      </c>
    </row>
    <row r="764" ht="15.75" customHeight="1">
      <c r="A764" s="32">
        <f>IFERROR(__xludf.DUMMYFUNCTION("""COMPUTED_VALUE"""),45527.66666666667)</f>
        <v>45527.66667</v>
      </c>
      <c r="B764" s="22">
        <f>IFERROR(__xludf.DUMMYFUNCTION("""COMPUTED_VALUE"""),5634.61)</f>
        <v>5634.61</v>
      </c>
      <c r="C764" s="32">
        <f>IFERROR(__xludf.DUMMYFUNCTION("""COMPUTED_VALUE"""),45507.99861111111)</f>
        <v>45507.99861</v>
      </c>
      <c r="D764" s="22">
        <f>IFERROR(__xludf.DUMMYFUNCTION("""COMPUTED_VALUE"""),1.0915)</f>
        <v>1.0915</v>
      </c>
      <c r="E764" s="32">
        <f>IFERROR(__xludf.DUMMYFUNCTION("""COMPUTED_VALUE"""),45541.75)</f>
        <v>45541.75</v>
      </c>
      <c r="F764" s="22">
        <f>IFERROR(__xludf.DUMMYFUNCTION("""COMPUTED_VALUE"""),4738.06)</f>
        <v>4738.06</v>
      </c>
    </row>
    <row r="765" ht="15.75" customHeight="1">
      <c r="A765" s="32">
        <f>IFERROR(__xludf.DUMMYFUNCTION("""COMPUTED_VALUE"""),45534.66666666667)</f>
        <v>45534.66667</v>
      </c>
      <c r="B765" s="22">
        <f>IFERROR(__xludf.DUMMYFUNCTION("""COMPUTED_VALUE"""),5648.4)</f>
        <v>5648.4</v>
      </c>
      <c r="C765" s="32">
        <f>IFERROR(__xludf.DUMMYFUNCTION("""COMPUTED_VALUE"""),45514.99861111111)</f>
        <v>45514.99861</v>
      </c>
      <c r="D765" s="22">
        <f>IFERROR(__xludf.DUMMYFUNCTION("""COMPUTED_VALUE"""),1.0924)</f>
        <v>1.0924</v>
      </c>
      <c r="E765" s="32">
        <f>IFERROR(__xludf.DUMMYFUNCTION("""COMPUTED_VALUE"""),45548.75)</f>
        <v>45548.75</v>
      </c>
      <c r="F765" s="22">
        <f>IFERROR(__xludf.DUMMYFUNCTION("""COMPUTED_VALUE"""),4843.99)</f>
        <v>4843.99</v>
      </c>
    </row>
    <row r="766" ht="15.75" customHeight="1">
      <c r="A766" s="32">
        <f>IFERROR(__xludf.DUMMYFUNCTION("""COMPUTED_VALUE"""),45541.66666666667)</f>
        <v>45541.66667</v>
      </c>
      <c r="B766" s="22">
        <f>IFERROR(__xludf.DUMMYFUNCTION("""COMPUTED_VALUE"""),5408.42)</f>
        <v>5408.42</v>
      </c>
      <c r="C766" s="32">
        <f>IFERROR(__xludf.DUMMYFUNCTION("""COMPUTED_VALUE"""),45521.99861111111)</f>
        <v>45521.99861</v>
      </c>
      <c r="D766" s="22">
        <f>IFERROR(__xludf.DUMMYFUNCTION("""COMPUTED_VALUE"""),1.103)</f>
        <v>1.103</v>
      </c>
      <c r="E766" s="32">
        <f>IFERROR(__xludf.DUMMYFUNCTION("""COMPUTED_VALUE"""),45555.75)</f>
        <v>45555.75</v>
      </c>
      <c r="F766" s="22">
        <f>IFERROR(__xludf.DUMMYFUNCTION("""COMPUTED_VALUE"""),4871.54)</f>
        <v>4871.54</v>
      </c>
    </row>
    <row r="767" ht="15.75" customHeight="1">
      <c r="A767" s="32">
        <f>IFERROR(__xludf.DUMMYFUNCTION("""COMPUTED_VALUE"""),45548.66666666667)</f>
        <v>45548.66667</v>
      </c>
      <c r="B767" s="22">
        <f>IFERROR(__xludf.DUMMYFUNCTION("""COMPUTED_VALUE"""),5626.02)</f>
        <v>5626.02</v>
      </c>
      <c r="C767" s="32">
        <f>IFERROR(__xludf.DUMMYFUNCTION("""COMPUTED_VALUE"""),45528.99861111111)</f>
        <v>45528.99861</v>
      </c>
      <c r="D767" s="22">
        <f>IFERROR(__xludf.DUMMYFUNCTION("""COMPUTED_VALUE"""),1.1192)</f>
        <v>1.1192</v>
      </c>
      <c r="E767" s="32">
        <f>IFERROR(__xludf.DUMMYFUNCTION("""COMPUTED_VALUE"""),45562.75)</f>
        <v>45562.75</v>
      </c>
      <c r="F767" s="22">
        <f>IFERROR(__xludf.DUMMYFUNCTION("""COMPUTED_VALUE"""),5067.45)</f>
        <v>5067.45</v>
      </c>
    </row>
    <row r="768" ht="15.75" customHeight="1">
      <c r="A768" s="32">
        <f>IFERROR(__xludf.DUMMYFUNCTION("""COMPUTED_VALUE"""),45555.66666666667)</f>
        <v>45555.66667</v>
      </c>
      <c r="B768" s="22">
        <f>IFERROR(__xludf.DUMMYFUNCTION("""COMPUTED_VALUE"""),5702.55)</f>
        <v>5702.55</v>
      </c>
      <c r="C768" s="32">
        <f>IFERROR(__xludf.DUMMYFUNCTION("""COMPUTED_VALUE"""),45535.99861111111)</f>
        <v>45535.99861</v>
      </c>
      <c r="D768" s="22">
        <f>IFERROR(__xludf.DUMMYFUNCTION("""COMPUTED_VALUE"""),1.1059)</f>
        <v>1.1059</v>
      </c>
      <c r="E768" s="32">
        <f>IFERROR(__xludf.DUMMYFUNCTION("""COMPUTED_VALUE"""),45569.75)</f>
        <v>45569.75</v>
      </c>
      <c r="F768" s="22">
        <f>IFERROR(__xludf.DUMMYFUNCTION("""COMPUTED_VALUE"""),4954.94)</f>
        <v>4954.94</v>
      </c>
    </row>
    <row r="769" ht="15.75" customHeight="1">
      <c r="A769" s="32">
        <f>IFERROR(__xludf.DUMMYFUNCTION("""COMPUTED_VALUE"""),45562.66666666667)</f>
        <v>45562.66667</v>
      </c>
      <c r="B769" s="22">
        <f>IFERROR(__xludf.DUMMYFUNCTION("""COMPUTED_VALUE"""),5738.17)</f>
        <v>5738.17</v>
      </c>
      <c r="C769" s="32">
        <f>IFERROR(__xludf.DUMMYFUNCTION("""COMPUTED_VALUE"""),45542.99861111111)</f>
        <v>45542.99861</v>
      </c>
      <c r="D769" s="22">
        <f>IFERROR(__xludf.DUMMYFUNCTION("""COMPUTED_VALUE"""),1.1088)</f>
        <v>1.1088</v>
      </c>
      <c r="E769" s="32">
        <f>IFERROR(__xludf.DUMMYFUNCTION("""COMPUTED_VALUE"""),45576.75)</f>
        <v>45576.75</v>
      </c>
      <c r="F769" s="22">
        <f>IFERROR(__xludf.DUMMYFUNCTION("""COMPUTED_VALUE"""),5003.92)</f>
        <v>5003.92</v>
      </c>
    </row>
    <row r="770" ht="15.75" customHeight="1">
      <c r="A770" s="32">
        <f>IFERROR(__xludf.DUMMYFUNCTION("""COMPUTED_VALUE"""),45569.66666666667)</f>
        <v>45569.66667</v>
      </c>
      <c r="B770" s="22">
        <f>IFERROR(__xludf.DUMMYFUNCTION("""COMPUTED_VALUE"""),5751.07)</f>
        <v>5751.07</v>
      </c>
      <c r="C770" s="32">
        <f>IFERROR(__xludf.DUMMYFUNCTION("""COMPUTED_VALUE"""),45549.99861111111)</f>
        <v>45549.99861</v>
      </c>
      <c r="D770" s="22">
        <f>IFERROR(__xludf.DUMMYFUNCTION("""COMPUTED_VALUE"""),1.1081)</f>
        <v>1.1081</v>
      </c>
      <c r="E770" s="32">
        <f>IFERROR(__xludf.DUMMYFUNCTION("""COMPUTED_VALUE"""),45583.75)</f>
        <v>45583.75</v>
      </c>
      <c r="F770" s="22">
        <f>IFERROR(__xludf.DUMMYFUNCTION("""COMPUTED_VALUE"""),4986.27)</f>
        <v>4986.27</v>
      </c>
    </row>
    <row r="771" ht="15.75" customHeight="1">
      <c r="A771" s="32">
        <f>IFERROR(__xludf.DUMMYFUNCTION("""COMPUTED_VALUE"""),45576.66666666667)</f>
        <v>45576.66667</v>
      </c>
      <c r="B771" s="22">
        <f>IFERROR(__xludf.DUMMYFUNCTION("""COMPUTED_VALUE"""),5815.03)</f>
        <v>5815.03</v>
      </c>
      <c r="C771" s="32">
        <f>IFERROR(__xludf.DUMMYFUNCTION("""COMPUTED_VALUE"""),45556.99861111111)</f>
        <v>45556.99861</v>
      </c>
      <c r="D771" s="22">
        <f>IFERROR(__xludf.DUMMYFUNCTION("""COMPUTED_VALUE"""),1.1169)</f>
        <v>1.1169</v>
      </c>
      <c r="E771" s="32">
        <f>IFERROR(__xludf.DUMMYFUNCTION("""COMPUTED_VALUE"""),45590.75)</f>
        <v>45590.75</v>
      </c>
      <c r="F771" s="22">
        <f>IFERROR(__xludf.DUMMYFUNCTION("""COMPUTED_VALUE"""),4943.09)</f>
        <v>4943.09</v>
      </c>
    </row>
    <row r="772" ht="15.75" customHeight="1">
      <c r="A772" s="32">
        <f>IFERROR(__xludf.DUMMYFUNCTION("""COMPUTED_VALUE"""),45583.66666666667)</f>
        <v>45583.66667</v>
      </c>
      <c r="B772" s="22">
        <f>IFERROR(__xludf.DUMMYFUNCTION("""COMPUTED_VALUE"""),5864.67)</f>
        <v>5864.67</v>
      </c>
      <c r="C772" s="32">
        <f>IFERROR(__xludf.DUMMYFUNCTION("""COMPUTED_VALUE"""),45563.99861111111)</f>
        <v>45563.99861</v>
      </c>
      <c r="D772" s="22">
        <f>IFERROR(__xludf.DUMMYFUNCTION("""COMPUTED_VALUE"""),1.117)</f>
        <v>1.117</v>
      </c>
      <c r="E772" s="32">
        <f>IFERROR(__xludf.DUMMYFUNCTION("""COMPUTED_VALUE"""),45597.75)</f>
        <v>45597.75</v>
      </c>
      <c r="F772" s="31">
        <f>IFERROR(__xludf.DUMMYFUNCTION("""COMPUTED_VALUE"""),4877.75)</f>
        <v>4877.75</v>
      </c>
    </row>
    <row r="773" ht="15.75" customHeight="1">
      <c r="A773" s="32">
        <f>IFERROR(__xludf.DUMMYFUNCTION("""COMPUTED_VALUE"""),45590.66666666667)</f>
        <v>45590.66667</v>
      </c>
      <c r="B773" s="22">
        <f>IFERROR(__xludf.DUMMYFUNCTION("""COMPUTED_VALUE"""),5808.12)</f>
        <v>5808.12</v>
      </c>
      <c r="C773" s="32">
        <f>IFERROR(__xludf.DUMMYFUNCTION("""COMPUTED_VALUE"""),45570.99861111111)</f>
        <v>45570.99861</v>
      </c>
      <c r="D773" s="22">
        <f>IFERROR(__xludf.DUMMYFUNCTION("""COMPUTED_VALUE"""),1.0981)</f>
        <v>1.0981</v>
      </c>
      <c r="E773" s="32">
        <f>IFERROR(__xludf.DUMMYFUNCTION("""COMPUTED_VALUE"""),45604.75)</f>
        <v>45604.75</v>
      </c>
      <c r="F773" s="31">
        <f>IFERROR(__xludf.DUMMYFUNCTION("""COMPUTED_VALUE"""),4802.76)</f>
        <v>4802.76</v>
      </c>
    </row>
    <row r="774" ht="15.75" customHeight="1">
      <c r="A774" s="38">
        <f>IFERROR(__xludf.DUMMYFUNCTION("""COMPUTED_VALUE"""),45597.66666666667)</f>
        <v>45597.66667</v>
      </c>
      <c r="B774" s="31">
        <f>IFERROR(__xludf.DUMMYFUNCTION("""COMPUTED_VALUE"""),5728.8)</f>
        <v>5728.8</v>
      </c>
      <c r="C774" s="38">
        <f>IFERROR(__xludf.DUMMYFUNCTION("""COMPUTED_VALUE"""),45577.99861111111)</f>
        <v>45577.99861</v>
      </c>
      <c r="D774" s="22">
        <f>IFERROR(__xludf.DUMMYFUNCTION("""COMPUTED_VALUE"""),1.0943)</f>
        <v>1.0943</v>
      </c>
      <c r="E774" s="38">
        <f>IFERROR(__xludf.DUMMYFUNCTION("""COMPUTED_VALUE"""),45611.75)</f>
        <v>45611.75</v>
      </c>
      <c r="F774" s="31">
        <f>IFERROR(__xludf.DUMMYFUNCTION("""COMPUTED_VALUE"""),4794.85)</f>
        <v>4794.85</v>
      </c>
    </row>
    <row r="775" ht="15.75" customHeight="1">
      <c r="A775" s="38">
        <f>IFERROR(__xludf.DUMMYFUNCTION("""COMPUTED_VALUE"""),45604.66666666667)</f>
        <v>45604.66667</v>
      </c>
      <c r="B775" s="31">
        <f>IFERROR(__xludf.DUMMYFUNCTION("""COMPUTED_VALUE"""),5995.54)</f>
        <v>5995.54</v>
      </c>
      <c r="C775" s="38">
        <f>IFERROR(__xludf.DUMMYFUNCTION("""COMPUTED_VALUE"""),45584.99861111111)</f>
        <v>45584.99861</v>
      </c>
      <c r="D775" s="22">
        <f>IFERROR(__xludf.DUMMYFUNCTION("""COMPUTED_VALUE"""),1.087)</f>
        <v>1.087</v>
      </c>
      <c r="E775" s="38"/>
    </row>
    <row r="776" ht="15.75" customHeight="1">
      <c r="A776" s="38">
        <f>IFERROR(__xludf.DUMMYFUNCTION("""COMPUTED_VALUE"""),45611.66666666667)</f>
        <v>45611.66667</v>
      </c>
      <c r="B776" s="31">
        <f>IFERROR(__xludf.DUMMYFUNCTION("""COMPUTED_VALUE"""),5870.62)</f>
        <v>5870.62</v>
      </c>
      <c r="C776" s="38">
        <f>IFERROR(__xludf.DUMMYFUNCTION("""COMPUTED_VALUE"""),45591.99861111111)</f>
        <v>45591.99861</v>
      </c>
      <c r="D776" s="22">
        <f>IFERROR(__xludf.DUMMYFUNCTION("""COMPUTED_VALUE"""),1.0801)</f>
        <v>1.0801</v>
      </c>
      <c r="E776" s="38"/>
    </row>
    <row r="777" ht="15.75" customHeight="1">
      <c r="A777" s="38"/>
      <c r="C777" s="38">
        <f>IFERROR(__xludf.DUMMYFUNCTION("""COMPUTED_VALUE"""),45598.99861111111)</f>
        <v>45598.99861</v>
      </c>
      <c r="D777" s="31">
        <f>IFERROR(__xludf.DUMMYFUNCTION("""COMPUTED_VALUE"""),1.0873)</f>
        <v>1.0873</v>
      </c>
      <c r="E777" s="38"/>
    </row>
    <row r="778" ht="15.75" customHeight="1">
      <c r="A778" s="38"/>
      <c r="C778" s="38">
        <f>IFERROR(__xludf.DUMMYFUNCTION("""COMPUTED_VALUE"""),45605.99861111111)</f>
        <v>45605.99861</v>
      </c>
      <c r="D778" s="31">
        <f>IFERROR(__xludf.DUMMYFUNCTION("""COMPUTED_VALUE"""),1.0717)</f>
        <v>1.0717</v>
      </c>
      <c r="E778" s="38"/>
    </row>
    <row r="779" ht="15.75" customHeight="1">
      <c r="A779" s="38"/>
      <c r="C779" s="38">
        <f>IFERROR(__xludf.DUMMYFUNCTION("""COMPUTED_VALUE"""),45612.99861111111)</f>
        <v>45612.99861</v>
      </c>
      <c r="D779" s="31">
        <f>IFERROR(__xludf.DUMMYFUNCTION("""COMPUTED_VALUE"""),1.05445)</f>
        <v>1.05445</v>
      </c>
      <c r="E779" s="38"/>
    </row>
    <row r="780" ht="15.75" customHeight="1">
      <c r="A780" s="38"/>
      <c r="C780" s="38"/>
      <c r="E780" s="38"/>
    </row>
    <row r="781" ht="15.75" customHeight="1">
      <c r="A781" s="38"/>
      <c r="C781" s="38"/>
      <c r="E781" s="38"/>
    </row>
    <row r="782" ht="15.75" customHeight="1">
      <c r="A782" s="38"/>
      <c r="C782" s="38"/>
      <c r="E782" s="38"/>
    </row>
    <row r="783" ht="15.75" customHeight="1">
      <c r="A783" s="38"/>
      <c r="C783" s="38"/>
      <c r="E783" s="38"/>
    </row>
    <row r="784" ht="15.75" customHeight="1">
      <c r="A784" s="38"/>
      <c r="C784" s="38"/>
    </row>
    <row r="785" ht="15.75" customHeight="1">
      <c r="A785" s="38"/>
      <c r="C785" s="38"/>
    </row>
    <row r="786" ht="15.75" customHeight="1">
      <c r="A786" s="38"/>
      <c r="C786" s="38"/>
    </row>
    <row r="787" ht="15.75" customHeight="1">
      <c r="A787" s="38"/>
      <c r="C787" s="38"/>
    </row>
    <row r="788" ht="15.75" customHeight="1">
      <c r="A788" s="38"/>
      <c r="C788" s="38"/>
    </row>
    <row r="789" ht="15.75" customHeight="1">
      <c r="A789" s="38"/>
      <c r="C789" s="38"/>
    </row>
    <row r="790" ht="15.75" customHeight="1">
      <c r="A790" s="38"/>
    </row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39"/>
      <c r="B1" s="39" t="s">
        <v>92</v>
      </c>
      <c r="D1" s="22" t="s">
        <v>93</v>
      </c>
      <c r="E1" s="22">
        <v>2023.0</v>
      </c>
      <c r="F1" s="22">
        <v>10.0</v>
      </c>
      <c r="G1" s="22">
        <v>1.0</v>
      </c>
      <c r="I1" s="22" t="s">
        <v>94</v>
      </c>
      <c r="J1" s="34" t="s">
        <v>152</v>
      </c>
    </row>
    <row r="2" ht="15.75" customHeight="1">
      <c r="A2" s="39"/>
      <c r="B2" s="39" t="s">
        <v>85</v>
      </c>
      <c r="C2" s="22"/>
      <c r="D2" s="22"/>
      <c r="E2" s="22"/>
      <c r="F2" s="22"/>
      <c r="G2" s="22" t="s">
        <v>85</v>
      </c>
    </row>
    <row r="3" ht="15.75" customHeight="1">
      <c r="A3" s="39"/>
      <c r="B3" s="39" t="s">
        <v>164</v>
      </c>
      <c r="D3" s="22" t="s">
        <v>165</v>
      </c>
    </row>
    <row r="4" ht="15.75" customHeight="1">
      <c r="A4" s="39" t="str">
        <f>IFERROR(__xludf.DUMMYFUNCTION("GOOGLEFINANCE(B$3, ""price"", DATE($E1, $F1, $G1), TODAY(), $J$1)"),"Date")</f>
        <v>Date</v>
      </c>
      <c r="B4" s="39" t="str">
        <f>IFERROR(__xludf.DUMMYFUNCTION("""COMPUTED_VALUE"""),"Close")</f>
        <v>Close</v>
      </c>
      <c r="C4" s="39" t="str">
        <f>IFERROR(__xludf.DUMMYFUNCTION("GOOGLEFINANCE(D$3, ""price"", DATE($E1, $F1, $G1), TODAY(), $J$1)"),"Date")</f>
        <v>Date</v>
      </c>
      <c r="D4" s="22" t="str">
        <f>IFERROR(__xludf.DUMMYFUNCTION("""COMPUTED_VALUE"""),"Close")</f>
        <v>Close</v>
      </c>
      <c r="F4" s="22">
        <f>B58/B5-1</f>
        <v>0.1869086345</v>
      </c>
      <c r="H4" s="22">
        <f>D58/D5-1</f>
        <v>0.6011363636</v>
      </c>
    </row>
    <row r="5" ht="15.75" customHeight="1">
      <c r="A5" s="40">
        <f>IFERROR(__xludf.DUMMYFUNCTION("""COMPUTED_VALUE"""),45198.75)</f>
        <v>45198.75</v>
      </c>
      <c r="B5" s="41">
        <f>IFERROR(__xludf.DUMMYFUNCTION("""COMPUTED_VALUE"""),4174.66)</f>
        <v>4174.66</v>
      </c>
      <c r="C5" s="25">
        <f>IFERROR(__xludf.DUMMYFUNCTION("""COMPUTED_VALUE"""),45198.66666666667)</f>
        <v>45198.66667</v>
      </c>
      <c r="D5" s="22">
        <f>IFERROR(__xludf.DUMMYFUNCTION("""COMPUTED_VALUE"""),52.8)</f>
        <v>52.8</v>
      </c>
    </row>
    <row r="6" ht="15.75" customHeight="1">
      <c r="A6" s="40">
        <f>IFERROR(__xludf.DUMMYFUNCTION("""COMPUTED_VALUE"""),45205.75)</f>
        <v>45205.75</v>
      </c>
      <c r="B6" s="41">
        <f>IFERROR(__xludf.DUMMYFUNCTION("""COMPUTED_VALUE"""),4144.43)</f>
        <v>4144.43</v>
      </c>
      <c r="C6" s="25">
        <f>IFERROR(__xludf.DUMMYFUNCTION("""COMPUTED_VALUE"""),45205.66666666667)</f>
        <v>45205.66667</v>
      </c>
      <c r="D6" s="22">
        <f>IFERROR(__xludf.DUMMYFUNCTION("""COMPUTED_VALUE"""),52.12)</f>
        <v>52.12</v>
      </c>
    </row>
    <row r="7" ht="15.75" customHeight="1">
      <c r="A7" s="40">
        <f>IFERROR(__xludf.DUMMYFUNCTION("""COMPUTED_VALUE"""),45212.75)</f>
        <v>45212.75</v>
      </c>
      <c r="B7" s="41">
        <f>IFERROR(__xludf.DUMMYFUNCTION("""COMPUTED_VALUE"""),4136.12)</f>
        <v>4136.12</v>
      </c>
      <c r="C7" s="25">
        <f>IFERROR(__xludf.DUMMYFUNCTION("""COMPUTED_VALUE"""),45212.66666666667)</f>
        <v>45212.66667</v>
      </c>
      <c r="D7" s="22">
        <f>IFERROR(__xludf.DUMMYFUNCTION("""COMPUTED_VALUE"""),49.52)</f>
        <v>49.52</v>
      </c>
    </row>
    <row r="8" ht="15.75" customHeight="1">
      <c r="A8" s="40">
        <f>IFERROR(__xludf.DUMMYFUNCTION("""COMPUTED_VALUE"""),45219.75)</f>
        <v>45219.75</v>
      </c>
      <c r="B8" s="41">
        <f>IFERROR(__xludf.DUMMYFUNCTION("""COMPUTED_VALUE"""),4024.68)</f>
        <v>4024.68</v>
      </c>
      <c r="C8" s="25">
        <f>IFERROR(__xludf.DUMMYFUNCTION("""COMPUTED_VALUE"""),45219.66666666667)</f>
        <v>45219.66667</v>
      </c>
      <c r="D8" s="22">
        <f>IFERROR(__xludf.DUMMYFUNCTION("""COMPUTED_VALUE"""),50.05)</f>
        <v>50.05</v>
      </c>
    </row>
    <row r="9" ht="15.75" customHeight="1">
      <c r="A9" s="40">
        <f>IFERROR(__xludf.DUMMYFUNCTION("""COMPUTED_VALUE"""),45226.75)</f>
        <v>45226.75</v>
      </c>
      <c r="B9" s="41">
        <f>IFERROR(__xludf.DUMMYFUNCTION("""COMPUTED_VALUE"""),4014.36)</f>
        <v>4014.36</v>
      </c>
      <c r="C9" s="25">
        <f>IFERROR(__xludf.DUMMYFUNCTION("""COMPUTED_VALUE"""),45226.66666666667)</f>
        <v>45226.66667</v>
      </c>
      <c r="D9" s="22">
        <f>IFERROR(__xludf.DUMMYFUNCTION("""COMPUTED_VALUE"""),49.52)</f>
        <v>49.52</v>
      </c>
    </row>
    <row r="10" ht="15.75" customHeight="1">
      <c r="A10" s="25">
        <f>IFERROR(__xludf.DUMMYFUNCTION("""COMPUTED_VALUE"""),45233.75)</f>
        <v>45233.75</v>
      </c>
      <c r="B10" s="22">
        <f>IFERROR(__xludf.DUMMYFUNCTION("""COMPUTED_VALUE"""),4174.67)</f>
        <v>4174.67</v>
      </c>
      <c r="C10" s="25">
        <f>IFERROR(__xludf.DUMMYFUNCTION("""COMPUTED_VALUE"""),45233.66666666667)</f>
        <v>45233.66667</v>
      </c>
      <c r="D10" s="22">
        <f>IFERROR(__xludf.DUMMYFUNCTION("""COMPUTED_VALUE"""),52.53)</f>
        <v>52.53</v>
      </c>
    </row>
    <row r="11" ht="15.75" customHeight="1">
      <c r="A11" s="25">
        <f>IFERROR(__xludf.DUMMYFUNCTION("""COMPUTED_VALUE"""),45240.75)</f>
        <v>45240.75</v>
      </c>
      <c r="B11" s="22">
        <f>IFERROR(__xludf.DUMMYFUNCTION("""COMPUTED_VALUE"""),4197.36)</f>
        <v>4197.36</v>
      </c>
      <c r="C11" s="25">
        <f>IFERROR(__xludf.DUMMYFUNCTION("""COMPUTED_VALUE"""),45240.66666666667)</f>
        <v>45240.66667</v>
      </c>
      <c r="D11" s="22">
        <f>IFERROR(__xludf.DUMMYFUNCTION("""COMPUTED_VALUE"""),51.56)</f>
        <v>51.56</v>
      </c>
    </row>
    <row r="12" ht="15.75" customHeight="1">
      <c r="A12" s="25">
        <f>IFERROR(__xludf.DUMMYFUNCTION("""COMPUTED_VALUE"""),45247.75)</f>
        <v>45247.75</v>
      </c>
      <c r="B12" s="22">
        <f>IFERROR(__xludf.DUMMYFUNCTION("""COMPUTED_VALUE"""),4340.77)</f>
        <v>4340.77</v>
      </c>
      <c r="C12" s="25">
        <f>IFERROR(__xludf.DUMMYFUNCTION("""COMPUTED_VALUE"""),45247.66666666667)</f>
        <v>45247.66667</v>
      </c>
      <c r="D12" s="22">
        <f>IFERROR(__xludf.DUMMYFUNCTION("""COMPUTED_VALUE"""),54.34)</f>
        <v>54.34</v>
      </c>
    </row>
    <row r="13" ht="15.75" customHeight="1">
      <c r="A13" s="25">
        <f>IFERROR(__xludf.DUMMYFUNCTION("""COMPUTED_VALUE"""),45254.75)</f>
        <v>45254.75</v>
      </c>
      <c r="B13" s="22">
        <f>IFERROR(__xludf.DUMMYFUNCTION("""COMPUTED_VALUE"""),4372.1)</f>
        <v>4372.1</v>
      </c>
      <c r="C13" s="25">
        <f>IFERROR(__xludf.DUMMYFUNCTION("""COMPUTED_VALUE"""),45254.54166666667)</f>
        <v>45254.54167</v>
      </c>
      <c r="D13" s="22">
        <f>IFERROR(__xludf.DUMMYFUNCTION("""COMPUTED_VALUE"""),55.63)</f>
        <v>55.63</v>
      </c>
    </row>
    <row r="14" ht="15.75" customHeight="1">
      <c r="A14" s="25">
        <f>IFERROR(__xludf.DUMMYFUNCTION("""COMPUTED_VALUE"""),45261.75)</f>
        <v>45261.75</v>
      </c>
      <c r="B14" s="22">
        <f>IFERROR(__xludf.DUMMYFUNCTION("""COMPUTED_VALUE"""),4418.51)</f>
        <v>4418.51</v>
      </c>
      <c r="C14" s="25">
        <f>IFERROR(__xludf.DUMMYFUNCTION("""COMPUTED_VALUE"""),45261.66666666667)</f>
        <v>45261.66667</v>
      </c>
      <c r="D14" s="22">
        <f>IFERROR(__xludf.DUMMYFUNCTION("""COMPUTED_VALUE"""),56.14)</f>
        <v>56.14</v>
      </c>
    </row>
    <row r="15" ht="15.75" customHeight="1">
      <c r="A15" s="25">
        <f>IFERROR(__xludf.DUMMYFUNCTION("""COMPUTED_VALUE"""),45268.75)</f>
        <v>45268.75</v>
      </c>
      <c r="B15" s="22">
        <f>IFERROR(__xludf.DUMMYFUNCTION("""COMPUTED_VALUE"""),4523.31)</f>
        <v>4523.31</v>
      </c>
      <c r="C15" s="25">
        <f>IFERROR(__xludf.DUMMYFUNCTION("""COMPUTED_VALUE"""),45268.66666666667)</f>
        <v>45268.66667</v>
      </c>
      <c r="D15" s="22">
        <f>IFERROR(__xludf.DUMMYFUNCTION("""COMPUTED_VALUE"""),54.95)</f>
        <v>54.95</v>
      </c>
    </row>
    <row r="16" ht="15.75" customHeight="1">
      <c r="A16" s="25">
        <f>IFERROR(__xludf.DUMMYFUNCTION("""COMPUTED_VALUE"""),45275.75)</f>
        <v>45275.75</v>
      </c>
      <c r="B16" s="22">
        <f>IFERROR(__xludf.DUMMYFUNCTION("""COMPUTED_VALUE"""),4549.44)</f>
        <v>4549.44</v>
      </c>
      <c r="C16" s="25">
        <f>IFERROR(__xludf.DUMMYFUNCTION("""COMPUTED_VALUE"""),45275.66666666667)</f>
        <v>45275.66667</v>
      </c>
      <c r="D16" s="22">
        <f>IFERROR(__xludf.DUMMYFUNCTION("""COMPUTED_VALUE"""),55.81)</f>
        <v>55.81</v>
      </c>
    </row>
    <row r="17" ht="15.75" customHeight="1">
      <c r="A17" s="25">
        <f>IFERROR(__xludf.DUMMYFUNCTION("""COMPUTED_VALUE"""),45282.75)</f>
        <v>45282.75</v>
      </c>
      <c r="B17" s="22">
        <f>IFERROR(__xludf.DUMMYFUNCTION("""COMPUTED_VALUE"""),4521.47)</f>
        <v>4521.47</v>
      </c>
      <c r="C17" s="25">
        <f>IFERROR(__xludf.DUMMYFUNCTION("""COMPUTED_VALUE"""),45282.66666666667)</f>
        <v>45282.66667</v>
      </c>
      <c r="D17" s="22">
        <f>IFERROR(__xludf.DUMMYFUNCTION("""COMPUTED_VALUE"""),55.9)</f>
        <v>55.9</v>
      </c>
    </row>
    <row r="18" ht="15.75" customHeight="1">
      <c r="A18" s="25">
        <f>IFERROR(__xludf.DUMMYFUNCTION("""COMPUTED_VALUE"""),45289.75)</f>
        <v>45289.75</v>
      </c>
      <c r="B18" s="22">
        <f>IFERROR(__xludf.DUMMYFUNCTION("""COMPUTED_VALUE"""),4521.65)</f>
        <v>4521.65</v>
      </c>
      <c r="C18" s="25">
        <f>IFERROR(__xludf.DUMMYFUNCTION("""COMPUTED_VALUE"""),45289.66666666667)</f>
        <v>45289.66667</v>
      </c>
      <c r="D18" s="22">
        <f>IFERROR(__xludf.DUMMYFUNCTION("""COMPUTED_VALUE"""),57.81)</f>
        <v>57.81</v>
      </c>
    </row>
    <row r="19" ht="15.75" customHeight="1">
      <c r="A19" s="25">
        <f>IFERROR(__xludf.DUMMYFUNCTION("""COMPUTED_VALUE"""),45296.75)</f>
        <v>45296.75</v>
      </c>
      <c r="B19" s="22">
        <f>IFERROR(__xludf.DUMMYFUNCTION("""COMPUTED_VALUE"""),4463.51)</f>
        <v>4463.51</v>
      </c>
      <c r="C19" s="25">
        <f>IFERROR(__xludf.DUMMYFUNCTION("""COMPUTED_VALUE"""),45296.66666666667)</f>
        <v>45296.66667</v>
      </c>
      <c r="D19" s="22">
        <f>IFERROR(__xludf.DUMMYFUNCTION("""COMPUTED_VALUE"""),58.16)</f>
        <v>58.16</v>
      </c>
    </row>
    <row r="20" ht="15.75" customHeight="1">
      <c r="A20" s="25">
        <f>IFERROR(__xludf.DUMMYFUNCTION("""COMPUTED_VALUE"""),45303.75)</f>
        <v>45303.75</v>
      </c>
      <c r="B20" s="22">
        <f>IFERROR(__xludf.DUMMYFUNCTION("""COMPUTED_VALUE"""),4480.02)</f>
        <v>4480.02</v>
      </c>
      <c r="C20" s="25">
        <f>IFERROR(__xludf.DUMMYFUNCTION("""COMPUTED_VALUE"""),45303.66666666667)</f>
        <v>45303.66667</v>
      </c>
      <c r="D20" s="22">
        <f>IFERROR(__xludf.DUMMYFUNCTION("""COMPUTED_VALUE"""),59.94)</f>
        <v>59.94</v>
      </c>
    </row>
    <row r="21" ht="15.75" customHeight="1">
      <c r="A21" s="25">
        <f>IFERROR(__xludf.DUMMYFUNCTION("""COMPUTED_VALUE"""),45310.75)</f>
        <v>45310.75</v>
      </c>
      <c r="B21" s="22">
        <f>IFERROR(__xludf.DUMMYFUNCTION("""COMPUTED_VALUE"""),4448.83)</f>
        <v>4448.83</v>
      </c>
      <c r="C21" s="25">
        <f>IFERROR(__xludf.DUMMYFUNCTION("""COMPUTED_VALUE"""),45310.66666666667)</f>
        <v>45310.66667</v>
      </c>
      <c r="D21" s="22">
        <f>IFERROR(__xludf.DUMMYFUNCTION("""COMPUTED_VALUE"""),60.94)</f>
        <v>60.94</v>
      </c>
    </row>
    <row r="22" ht="15.75" customHeight="1">
      <c r="A22" s="25">
        <f>IFERROR(__xludf.DUMMYFUNCTION("""COMPUTED_VALUE"""),45317.75)</f>
        <v>45317.75</v>
      </c>
      <c r="B22" s="22">
        <f>IFERROR(__xludf.DUMMYFUNCTION("""COMPUTED_VALUE"""),4635.47)</f>
        <v>4635.47</v>
      </c>
      <c r="C22" s="25">
        <f>IFERROR(__xludf.DUMMYFUNCTION("""COMPUTED_VALUE"""),45317.66666666667)</f>
        <v>45317.66667</v>
      </c>
      <c r="D22" s="22">
        <f>IFERROR(__xludf.DUMMYFUNCTION("""COMPUTED_VALUE"""),61.13)</f>
        <v>61.13</v>
      </c>
    </row>
    <row r="23" ht="15.75" customHeight="1">
      <c r="A23" s="25">
        <f>IFERROR(__xludf.DUMMYFUNCTION("""COMPUTED_VALUE"""),45324.75)</f>
        <v>45324.75</v>
      </c>
      <c r="B23" s="22">
        <f>IFERROR(__xludf.DUMMYFUNCTION("""COMPUTED_VALUE"""),4654.55)</f>
        <v>4654.55</v>
      </c>
      <c r="C23" s="25">
        <f>IFERROR(__xludf.DUMMYFUNCTION("""COMPUTED_VALUE"""),45324.66666666667)</f>
        <v>45324.66667</v>
      </c>
      <c r="D23" s="22">
        <f>IFERROR(__xludf.DUMMYFUNCTION("""COMPUTED_VALUE"""),64.37)</f>
        <v>64.37</v>
      </c>
    </row>
    <row r="24" ht="15.75" customHeight="1">
      <c r="A24" s="25">
        <f>IFERROR(__xludf.DUMMYFUNCTION("""COMPUTED_VALUE"""),45331.75)</f>
        <v>45331.75</v>
      </c>
      <c r="B24" s="22">
        <f>IFERROR(__xludf.DUMMYFUNCTION("""COMPUTED_VALUE"""),4715.87)</f>
        <v>4715.87</v>
      </c>
      <c r="C24" s="25">
        <f>IFERROR(__xludf.DUMMYFUNCTION("""COMPUTED_VALUE"""),45331.66666666667)</f>
        <v>45331.66667</v>
      </c>
      <c r="D24" s="22">
        <f>IFERROR(__xludf.DUMMYFUNCTION("""COMPUTED_VALUE"""),65.5)</f>
        <v>65.5</v>
      </c>
    </row>
    <row r="25" ht="15.75" customHeight="1">
      <c r="A25" s="25">
        <f>IFERROR(__xludf.DUMMYFUNCTION("""COMPUTED_VALUE"""),45338.75)</f>
        <v>45338.75</v>
      </c>
      <c r="B25" s="22">
        <f>IFERROR(__xludf.DUMMYFUNCTION("""COMPUTED_VALUE"""),4765.65)</f>
        <v>4765.65</v>
      </c>
      <c r="C25" s="25">
        <f>IFERROR(__xludf.DUMMYFUNCTION("""COMPUTED_VALUE"""),45338.66666666667)</f>
        <v>45338.66667</v>
      </c>
      <c r="D25" s="22">
        <f>IFERROR(__xludf.DUMMYFUNCTION("""COMPUTED_VALUE"""),65.82)</f>
        <v>65.82</v>
      </c>
    </row>
    <row r="26" ht="15.75" customHeight="1">
      <c r="A26" s="25">
        <f>IFERROR(__xludf.DUMMYFUNCTION("""COMPUTED_VALUE"""),45345.75)</f>
        <v>45345.75</v>
      </c>
      <c r="B26" s="22">
        <f>IFERROR(__xludf.DUMMYFUNCTION("""COMPUTED_VALUE"""),4872.57)</f>
        <v>4872.57</v>
      </c>
      <c r="C26" s="25">
        <f>IFERROR(__xludf.DUMMYFUNCTION("""COMPUTED_VALUE"""),45345.66666666667)</f>
        <v>45345.66667</v>
      </c>
      <c r="D26" s="22">
        <f>IFERROR(__xludf.DUMMYFUNCTION("""COMPUTED_VALUE"""),67.0)</f>
        <v>67</v>
      </c>
    </row>
    <row r="27" ht="15.75" customHeight="1">
      <c r="A27" s="25">
        <f>IFERROR(__xludf.DUMMYFUNCTION("""COMPUTED_VALUE"""),45352.75)</f>
        <v>45352.75</v>
      </c>
      <c r="B27" s="22">
        <f>IFERROR(__xludf.DUMMYFUNCTION("""COMPUTED_VALUE"""),4894.86)</f>
        <v>4894.86</v>
      </c>
      <c r="C27" s="25">
        <f>IFERROR(__xludf.DUMMYFUNCTION("""COMPUTED_VALUE"""),45352.66666666667)</f>
        <v>45352.66667</v>
      </c>
      <c r="D27" s="22">
        <f>IFERROR(__xludf.DUMMYFUNCTION("""COMPUTED_VALUE"""),67.13)</f>
        <v>67.13</v>
      </c>
    </row>
    <row r="28" ht="15.75" customHeight="1">
      <c r="A28" s="25">
        <f>IFERROR(__xludf.DUMMYFUNCTION("""COMPUTED_VALUE"""),45359.75)</f>
        <v>45359.75</v>
      </c>
      <c r="B28" s="22">
        <f>IFERROR(__xludf.DUMMYFUNCTION("""COMPUTED_VALUE"""),4961.11)</f>
        <v>4961.11</v>
      </c>
      <c r="C28" s="25">
        <f>IFERROR(__xludf.DUMMYFUNCTION("""COMPUTED_VALUE"""),45359.66666666667)</f>
        <v>45359.66667</v>
      </c>
      <c r="D28" s="22">
        <f>IFERROR(__xludf.DUMMYFUNCTION("""COMPUTED_VALUE"""),67.66)</f>
        <v>67.66</v>
      </c>
    </row>
    <row r="29" ht="15.75" customHeight="1">
      <c r="A29" s="25">
        <f>IFERROR(__xludf.DUMMYFUNCTION("""COMPUTED_VALUE"""),45366.75)</f>
        <v>45366.75</v>
      </c>
      <c r="B29" s="22">
        <f>IFERROR(__xludf.DUMMYFUNCTION("""COMPUTED_VALUE"""),4986.02)</f>
        <v>4986.02</v>
      </c>
      <c r="C29" s="25">
        <f>IFERROR(__xludf.DUMMYFUNCTION("""COMPUTED_VALUE"""),45366.66666666667)</f>
        <v>45366.66667</v>
      </c>
      <c r="D29" s="22">
        <f>IFERROR(__xludf.DUMMYFUNCTION("""COMPUTED_VALUE"""),66.23)</f>
        <v>66.23</v>
      </c>
    </row>
    <row r="30" ht="15.75" customHeight="1">
      <c r="A30" s="25">
        <f>IFERROR(__xludf.DUMMYFUNCTION("""COMPUTED_VALUE"""),45373.75)</f>
        <v>45373.75</v>
      </c>
      <c r="B30" s="22">
        <f>IFERROR(__xludf.DUMMYFUNCTION("""COMPUTED_VALUE"""),5031.15)</f>
        <v>5031.15</v>
      </c>
      <c r="C30" s="25">
        <f>IFERROR(__xludf.DUMMYFUNCTION("""COMPUTED_VALUE"""),45373.66666666667)</f>
        <v>45373.66667</v>
      </c>
      <c r="D30" s="22">
        <f>IFERROR(__xludf.DUMMYFUNCTION("""COMPUTED_VALUE"""),67.62)</f>
        <v>67.62</v>
      </c>
    </row>
    <row r="31" ht="15.75" customHeight="1">
      <c r="A31" s="25">
        <f>IFERROR(__xludf.DUMMYFUNCTION("""COMPUTED_VALUE"""),45379.75)</f>
        <v>45379.75</v>
      </c>
      <c r="B31" s="22">
        <f>IFERROR(__xludf.DUMMYFUNCTION("""COMPUTED_VALUE"""),5083.42)</f>
        <v>5083.42</v>
      </c>
      <c r="C31" s="25">
        <f>IFERROR(__xludf.DUMMYFUNCTION("""COMPUTED_VALUE"""),45379.66666666667)</f>
        <v>45379.66667</v>
      </c>
      <c r="D31" s="22">
        <f>IFERROR(__xludf.DUMMYFUNCTION("""COMPUTED_VALUE"""),68.49)</f>
        <v>68.49</v>
      </c>
    </row>
    <row r="32" ht="15.75" customHeight="1">
      <c r="A32" s="25">
        <f>IFERROR(__xludf.DUMMYFUNCTION("""COMPUTED_VALUE"""),45387.75)</f>
        <v>45387.75</v>
      </c>
      <c r="B32" s="22">
        <f>IFERROR(__xludf.DUMMYFUNCTION("""COMPUTED_VALUE"""),5014.75)</f>
        <v>5014.75</v>
      </c>
      <c r="C32" s="25">
        <f>IFERROR(__xludf.DUMMYFUNCTION("""COMPUTED_VALUE"""),45387.66666666667)</f>
        <v>45387.66667</v>
      </c>
      <c r="D32" s="22">
        <f>IFERROR(__xludf.DUMMYFUNCTION("""COMPUTED_VALUE"""),68.56)</f>
        <v>68.56</v>
      </c>
    </row>
    <row r="33" ht="15.75" customHeight="1">
      <c r="A33" s="25">
        <f>IFERROR(__xludf.DUMMYFUNCTION("""COMPUTED_VALUE"""),45394.75)</f>
        <v>45394.75</v>
      </c>
      <c r="B33" s="22">
        <f>IFERROR(__xludf.DUMMYFUNCTION("""COMPUTED_VALUE"""),4955.01)</f>
        <v>4955.01</v>
      </c>
      <c r="C33" s="25">
        <f>IFERROR(__xludf.DUMMYFUNCTION("""COMPUTED_VALUE"""),45394.66666666667)</f>
        <v>45394.66667</v>
      </c>
      <c r="D33" s="22">
        <f>IFERROR(__xludf.DUMMYFUNCTION("""COMPUTED_VALUE"""),68.07)</f>
        <v>68.07</v>
      </c>
    </row>
    <row r="34" ht="15.75" customHeight="1">
      <c r="A34" s="25">
        <f>IFERROR(__xludf.DUMMYFUNCTION("""COMPUTED_VALUE"""),45401.75)</f>
        <v>45401.75</v>
      </c>
      <c r="B34" s="22">
        <f>IFERROR(__xludf.DUMMYFUNCTION("""COMPUTED_VALUE"""),4918.09)</f>
        <v>4918.09</v>
      </c>
      <c r="C34" s="25">
        <f>IFERROR(__xludf.DUMMYFUNCTION("""COMPUTED_VALUE"""),45401.66666666667)</f>
        <v>45401.66667</v>
      </c>
      <c r="D34" s="22">
        <f>IFERROR(__xludf.DUMMYFUNCTION("""COMPUTED_VALUE"""),67.33)</f>
        <v>67.33</v>
      </c>
    </row>
    <row r="35" ht="15.75" customHeight="1">
      <c r="A35" s="25">
        <f>IFERROR(__xludf.DUMMYFUNCTION("""COMPUTED_VALUE"""),45408.75)</f>
        <v>45408.75</v>
      </c>
      <c r="B35" s="22">
        <f>IFERROR(__xludf.DUMMYFUNCTION("""COMPUTED_VALUE"""),5006.85)</f>
        <v>5006.85</v>
      </c>
      <c r="C35" s="25">
        <f>IFERROR(__xludf.DUMMYFUNCTION("""COMPUTED_VALUE"""),45408.66666666667)</f>
        <v>45408.66667</v>
      </c>
      <c r="D35" s="22">
        <f>IFERROR(__xludf.DUMMYFUNCTION("""COMPUTED_VALUE"""),73.17)</f>
        <v>73.17</v>
      </c>
    </row>
    <row r="36" ht="15.75" customHeight="1">
      <c r="A36" s="25">
        <f>IFERROR(__xludf.DUMMYFUNCTION("""COMPUTED_VALUE"""),45415.75)</f>
        <v>45415.75</v>
      </c>
      <c r="B36" s="22">
        <f>IFERROR(__xludf.DUMMYFUNCTION("""COMPUTED_VALUE"""),4921.48)</f>
        <v>4921.48</v>
      </c>
      <c r="C36" s="25">
        <f>IFERROR(__xludf.DUMMYFUNCTION("""COMPUTED_VALUE"""),45415.66666666667)</f>
        <v>45415.66667</v>
      </c>
      <c r="D36" s="22">
        <f>IFERROR(__xludf.DUMMYFUNCTION("""COMPUTED_VALUE"""),72.85)</f>
        <v>72.85</v>
      </c>
    </row>
    <row r="37" ht="15.75" customHeight="1">
      <c r="A37" s="25">
        <f>IFERROR(__xludf.DUMMYFUNCTION("""COMPUTED_VALUE"""),45422.75)</f>
        <v>45422.75</v>
      </c>
      <c r="B37" s="22">
        <f>IFERROR(__xludf.DUMMYFUNCTION("""COMPUTED_VALUE"""),5085.08)</f>
        <v>5085.08</v>
      </c>
      <c r="C37" s="25">
        <f>IFERROR(__xludf.DUMMYFUNCTION("""COMPUTED_VALUE"""),45422.66666666667)</f>
        <v>45422.66667</v>
      </c>
      <c r="D37" s="22">
        <f>IFERROR(__xludf.DUMMYFUNCTION("""COMPUTED_VALUE"""),73.69)</f>
        <v>73.69</v>
      </c>
    </row>
    <row r="38" ht="15.75" customHeight="1">
      <c r="A38" s="25">
        <f>IFERROR(__xludf.DUMMYFUNCTION("""COMPUTED_VALUE"""),45429.75)</f>
        <v>45429.75</v>
      </c>
      <c r="B38" s="22">
        <f>IFERROR(__xludf.DUMMYFUNCTION("""COMPUTED_VALUE"""),5064.14)</f>
        <v>5064.14</v>
      </c>
      <c r="C38" s="25">
        <f>IFERROR(__xludf.DUMMYFUNCTION("""COMPUTED_VALUE"""),45429.66666666667)</f>
        <v>45429.66667</v>
      </c>
      <c r="D38" s="22">
        <f>IFERROR(__xludf.DUMMYFUNCTION("""COMPUTED_VALUE"""),74.65)</f>
        <v>74.65</v>
      </c>
    </row>
    <row r="39" ht="15.75" customHeight="1">
      <c r="A39" s="25">
        <f>IFERROR(__xludf.DUMMYFUNCTION("""COMPUTED_VALUE"""),45436.75)</f>
        <v>45436.75</v>
      </c>
      <c r="B39" s="22">
        <f>IFERROR(__xludf.DUMMYFUNCTION("""COMPUTED_VALUE"""),5035.41)</f>
        <v>5035.41</v>
      </c>
      <c r="C39" s="25">
        <f>IFERROR(__xludf.DUMMYFUNCTION("""COMPUTED_VALUE"""),45436.66666666667)</f>
        <v>45436.66667</v>
      </c>
      <c r="D39" s="22">
        <f>IFERROR(__xludf.DUMMYFUNCTION("""COMPUTED_VALUE"""),75.63)</f>
        <v>75.63</v>
      </c>
    </row>
    <row r="40" ht="15.75" customHeight="1">
      <c r="A40" s="25">
        <f>IFERROR(__xludf.DUMMYFUNCTION("""COMPUTED_VALUE"""),45443.75)</f>
        <v>45443.75</v>
      </c>
      <c r="B40" s="22">
        <f>IFERROR(__xludf.DUMMYFUNCTION("""COMPUTED_VALUE"""),4983.67)</f>
        <v>4983.67</v>
      </c>
      <c r="C40" s="25">
        <f>IFERROR(__xludf.DUMMYFUNCTION("""COMPUTED_VALUE"""),45443.66666666667)</f>
        <v>45443.66667</v>
      </c>
      <c r="D40" s="22">
        <f>IFERROR(__xludf.DUMMYFUNCTION("""COMPUTED_VALUE"""),75.57)</f>
        <v>75.57</v>
      </c>
    </row>
    <row r="41" ht="15.75" customHeight="1">
      <c r="A41" s="25">
        <f>IFERROR(__xludf.DUMMYFUNCTION("""COMPUTED_VALUE"""),45450.75)</f>
        <v>45450.75</v>
      </c>
      <c r="B41" s="22">
        <f>IFERROR(__xludf.DUMMYFUNCTION("""COMPUTED_VALUE"""),5051.31)</f>
        <v>5051.31</v>
      </c>
      <c r="C41" s="25">
        <f>IFERROR(__xludf.DUMMYFUNCTION("""COMPUTED_VALUE"""),45450.66666666667)</f>
        <v>45450.66667</v>
      </c>
      <c r="D41" s="22">
        <f>IFERROR(__xludf.DUMMYFUNCTION("""COMPUTED_VALUE"""),77.11)</f>
        <v>77.11</v>
      </c>
    </row>
    <row r="42" ht="15.75" customHeight="1">
      <c r="A42" s="25">
        <f>IFERROR(__xludf.DUMMYFUNCTION("""COMPUTED_VALUE"""),45457.75)</f>
        <v>45457.75</v>
      </c>
      <c r="B42" s="22">
        <f>IFERROR(__xludf.DUMMYFUNCTION("""COMPUTED_VALUE"""),4839.14)</f>
        <v>4839.14</v>
      </c>
      <c r="C42" s="25">
        <f>IFERROR(__xludf.DUMMYFUNCTION("""COMPUTED_VALUE"""),45457.66666666667)</f>
        <v>45457.66667</v>
      </c>
      <c r="D42" s="22">
        <f>IFERROR(__xludf.DUMMYFUNCTION("""COMPUTED_VALUE"""),76.76)</f>
        <v>76.76</v>
      </c>
    </row>
    <row r="43" ht="15.75" customHeight="1">
      <c r="A43" s="25">
        <f>IFERROR(__xludf.DUMMYFUNCTION("""COMPUTED_VALUE"""),45464.75)</f>
        <v>45464.75</v>
      </c>
      <c r="B43" s="22">
        <f>IFERROR(__xludf.DUMMYFUNCTION("""COMPUTED_VALUE"""),4907.3)</f>
        <v>4907.3</v>
      </c>
      <c r="C43" s="25">
        <f>IFERROR(__xludf.DUMMYFUNCTION("""COMPUTED_VALUE"""),45464.66666666667)</f>
        <v>45464.66667</v>
      </c>
      <c r="D43" s="22">
        <f>IFERROR(__xludf.DUMMYFUNCTION("""COMPUTED_VALUE"""),77.71)</f>
        <v>77.71</v>
      </c>
    </row>
    <row r="44" ht="15.75" customHeight="1">
      <c r="A44" s="25">
        <f>IFERROR(__xludf.DUMMYFUNCTION("""COMPUTED_VALUE"""),45471.75)</f>
        <v>45471.75</v>
      </c>
      <c r="B44" s="22">
        <f>IFERROR(__xludf.DUMMYFUNCTION("""COMPUTED_VALUE"""),4894.02)</f>
        <v>4894.02</v>
      </c>
      <c r="C44" s="25">
        <f>IFERROR(__xludf.DUMMYFUNCTION("""COMPUTED_VALUE"""),45471.66666666667)</f>
        <v>45471.66667</v>
      </c>
      <c r="D44" s="22">
        <f>IFERROR(__xludf.DUMMYFUNCTION("""COMPUTED_VALUE"""),77.01)</f>
        <v>77.01</v>
      </c>
    </row>
    <row r="45" ht="15.75" customHeight="1">
      <c r="A45" s="25">
        <f>IFERROR(__xludf.DUMMYFUNCTION("""COMPUTED_VALUE"""),45478.75)</f>
        <v>45478.75</v>
      </c>
      <c r="B45" s="22">
        <f>IFERROR(__xludf.DUMMYFUNCTION("""COMPUTED_VALUE"""),4979.39)</f>
        <v>4979.39</v>
      </c>
      <c r="C45" s="25">
        <f>IFERROR(__xludf.DUMMYFUNCTION("""COMPUTED_VALUE"""),45478.66666666667)</f>
        <v>45478.66667</v>
      </c>
      <c r="D45" s="22">
        <f>IFERROR(__xludf.DUMMYFUNCTION("""COMPUTED_VALUE"""),76.4)</f>
        <v>76.4</v>
      </c>
    </row>
    <row r="46" ht="15.75" customHeight="1">
      <c r="A46" s="25">
        <f>IFERROR(__xludf.DUMMYFUNCTION("""COMPUTED_VALUE"""),45485.75)</f>
        <v>45485.75</v>
      </c>
      <c r="B46" s="22">
        <f>IFERROR(__xludf.DUMMYFUNCTION("""COMPUTED_VALUE"""),5043.02)</f>
        <v>5043.02</v>
      </c>
      <c r="C46" s="25">
        <f>IFERROR(__xludf.DUMMYFUNCTION("""COMPUTED_VALUE"""),45485.66666666667)</f>
        <v>45485.66667</v>
      </c>
      <c r="D46" s="22">
        <f>IFERROR(__xludf.DUMMYFUNCTION("""COMPUTED_VALUE"""),77.69)</f>
        <v>77.69</v>
      </c>
    </row>
    <row r="47" ht="15.75" customHeight="1">
      <c r="A47" s="25">
        <f>IFERROR(__xludf.DUMMYFUNCTION("""COMPUTED_VALUE"""),45492.75)</f>
        <v>45492.75</v>
      </c>
      <c r="B47" s="22">
        <f>IFERROR(__xludf.DUMMYFUNCTION("""COMPUTED_VALUE"""),4827.24)</f>
        <v>4827.24</v>
      </c>
      <c r="C47" s="25">
        <f>IFERROR(__xludf.DUMMYFUNCTION("""COMPUTED_VALUE"""),45492.66666666667)</f>
        <v>45492.66667</v>
      </c>
      <c r="D47" s="22">
        <f>IFERROR(__xludf.DUMMYFUNCTION("""COMPUTED_VALUE"""),77.56)</f>
        <v>77.56</v>
      </c>
    </row>
    <row r="48" ht="15.75" customHeight="1">
      <c r="A48" s="25">
        <f>IFERROR(__xludf.DUMMYFUNCTION("""COMPUTED_VALUE"""),45499.75)</f>
        <v>45499.75</v>
      </c>
      <c r="B48" s="22">
        <f>IFERROR(__xludf.DUMMYFUNCTION("""COMPUTED_VALUE"""),4862.5)</f>
        <v>4862.5</v>
      </c>
      <c r="C48" s="25">
        <f>IFERROR(__xludf.DUMMYFUNCTION("""COMPUTED_VALUE"""),45499.66666666667)</f>
        <v>45499.66667</v>
      </c>
      <c r="D48" s="22">
        <f>IFERROR(__xludf.DUMMYFUNCTION("""COMPUTED_VALUE"""),74.92)</f>
        <v>74.92</v>
      </c>
    </row>
    <row r="49" ht="15.75" customHeight="1">
      <c r="A49" s="25">
        <f>IFERROR(__xludf.DUMMYFUNCTION("""COMPUTED_VALUE"""),45506.75)</f>
        <v>45506.75</v>
      </c>
      <c r="B49" s="22">
        <f>IFERROR(__xludf.DUMMYFUNCTION("""COMPUTED_VALUE"""),4638.7)</f>
        <v>4638.7</v>
      </c>
      <c r="C49" s="25">
        <f>IFERROR(__xludf.DUMMYFUNCTION("""COMPUTED_VALUE"""),45506.66666666667)</f>
        <v>45506.66667</v>
      </c>
      <c r="D49" s="22">
        <f>IFERROR(__xludf.DUMMYFUNCTION("""COMPUTED_VALUE"""),74.5)</f>
        <v>74.5</v>
      </c>
    </row>
    <row r="50" ht="15.75" customHeight="1">
      <c r="A50" s="25">
        <f>IFERROR(__xludf.DUMMYFUNCTION("""COMPUTED_VALUE"""),45513.75)</f>
        <v>45513.75</v>
      </c>
      <c r="B50" s="22">
        <f>IFERROR(__xludf.DUMMYFUNCTION("""COMPUTED_VALUE"""),4675.28)</f>
        <v>4675.28</v>
      </c>
      <c r="C50" s="25">
        <f>IFERROR(__xludf.DUMMYFUNCTION("""COMPUTED_VALUE"""),45513.66666666667)</f>
        <v>45513.66667</v>
      </c>
      <c r="D50" s="22">
        <f>IFERROR(__xludf.DUMMYFUNCTION("""COMPUTED_VALUE"""),76.19)</f>
        <v>76.19</v>
      </c>
    </row>
    <row r="51" ht="15.75" customHeight="1">
      <c r="A51" s="25">
        <f>IFERROR(__xludf.DUMMYFUNCTION("""COMPUTED_VALUE"""),45520.75)</f>
        <v>45520.75</v>
      </c>
      <c r="B51" s="22">
        <f>IFERROR(__xludf.DUMMYFUNCTION("""COMPUTED_VALUE"""),4840.52)</f>
        <v>4840.52</v>
      </c>
      <c r="C51" s="25">
        <f>IFERROR(__xludf.DUMMYFUNCTION("""COMPUTED_VALUE"""),45520.66666666667)</f>
        <v>45520.66667</v>
      </c>
      <c r="D51" s="22">
        <f>IFERROR(__xludf.DUMMYFUNCTION("""COMPUTED_VALUE"""),78.25)</f>
        <v>78.25</v>
      </c>
    </row>
    <row r="52" ht="15.75" customHeight="1">
      <c r="A52" s="25">
        <f>IFERROR(__xludf.DUMMYFUNCTION("""COMPUTED_VALUE"""),45527.75)</f>
        <v>45527.75</v>
      </c>
      <c r="B52" s="22">
        <f>IFERROR(__xludf.DUMMYFUNCTION("""COMPUTED_VALUE"""),4909.2)</f>
        <v>4909.2</v>
      </c>
      <c r="C52" s="25">
        <f>IFERROR(__xludf.DUMMYFUNCTION("""COMPUTED_VALUE"""),45527.66666666667)</f>
        <v>45527.66667</v>
      </c>
      <c r="D52" s="22">
        <f>IFERROR(__xludf.DUMMYFUNCTION("""COMPUTED_VALUE"""),79.17)</f>
        <v>79.17</v>
      </c>
    </row>
    <row r="53" ht="15.75" customHeight="1">
      <c r="A53" s="25">
        <f>IFERROR(__xludf.DUMMYFUNCTION("""COMPUTED_VALUE"""),45534.75)</f>
        <v>45534.75</v>
      </c>
      <c r="B53" s="22">
        <f>IFERROR(__xludf.DUMMYFUNCTION("""COMPUTED_VALUE"""),4957.98)</f>
        <v>4957.98</v>
      </c>
      <c r="C53" s="25">
        <f>IFERROR(__xludf.DUMMYFUNCTION("""COMPUTED_VALUE"""),45534.66666666667)</f>
        <v>45534.66667</v>
      </c>
      <c r="D53" s="22">
        <f>IFERROR(__xludf.DUMMYFUNCTION("""COMPUTED_VALUE"""),81.79)</f>
        <v>81.79</v>
      </c>
    </row>
    <row r="54" ht="15.75" customHeight="1">
      <c r="A54" s="25">
        <f>IFERROR(__xludf.DUMMYFUNCTION("""COMPUTED_VALUE"""),45541.75)</f>
        <v>45541.75</v>
      </c>
      <c r="B54" s="22">
        <f>IFERROR(__xludf.DUMMYFUNCTION("""COMPUTED_VALUE"""),4738.06)</f>
        <v>4738.06</v>
      </c>
      <c r="C54" s="25">
        <f>IFERROR(__xludf.DUMMYFUNCTION("""COMPUTED_VALUE"""),45541.66666666667)</f>
        <v>45541.66667</v>
      </c>
      <c r="D54" s="22">
        <f>IFERROR(__xludf.DUMMYFUNCTION("""COMPUTED_VALUE"""),81.6)</f>
        <v>81.6</v>
      </c>
    </row>
    <row r="55" ht="15.75" customHeight="1">
      <c r="A55" s="25">
        <f>IFERROR(__xludf.DUMMYFUNCTION("""COMPUTED_VALUE"""),45548.75)</f>
        <v>45548.75</v>
      </c>
      <c r="B55" s="22">
        <f>IFERROR(__xludf.DUMMYFUNCTION("""COMPUTED_VALUE"""),4843.99)</f>
        <v>4843.99</v>
      </c>
      <c r="C55" s="25">
        <f>IFERROR(__xludf.DUMMYFUNCTION("""COMPUTED_VALUE"""),45548.66666666667)</f>
        <v>45548.66667</v>
      </c>
      <c r="D55" s="22">
        <f>IFERROR(__xludf.DUMMYFUNCTION("""COMPUTED_VALUE"""),83.31)</f>
        <v>83.31</v>
      </c>
    </row>
    <row r="56" ht="15.75" customHeight="1">
      <c r="A56" s="25">
        <f>IFERROR(__xludf.DUMMYFUNCTION("""COMPUTED_VALUE"""),45555.75)</f>
        <v>45555.75</v>
      </c>
      <c r="B56" s="22">
        <f>IFERROR(__xludf.DUMMYFUNCTION("""COMPUTED_VALUE"""),4871.54)</f>
        <v>4871.54</v>
      </c>
      <c r="C56" s="25">
        <f>IFERROR(__xludf.DUMMYFUNCTION("""COMPUTED_VALUE"""),45555.66666666667)</f>
        <v>45555.66667</v>
      </c>
      <c r="D56" s="22">
        <f>IFERROR(__xludf.DUMMYFUNCTION("""COMPUTED_VALUE"""),83.92)</f>
        <v>83.92</v>
      </c>
    </row>
    <row r="57" ht="15.75" customHeight="1">
      <c r="A57" s="25">
        <f>IFERROR(__xludf.DUMMYFUNCTION("""COMPUTED_VALUE"""),45562.75)</f>
        <v>45562.75</v>
      </c>
      <c r="B57" s="22">
        <f>IFERROR(__xludf.DUMMYFUNCTION("""COMPUTED_VALUE"""),5067.45)</f>
        <v>5067.45</v>
      </c>
      <c r="C57" s="25">
        <f>IFERROR(__xludf.DUMMYFUNCTION("""COMPUTED_VALUE"""),45562.66666666667)</f>
        <v>45562.66667</v>
      </c>
      <c r="D57" s="22">
        <f>IFERROR(__xludf.DUMMYFUNCTION("""COMPUTED_VALUE"""),83.35)</f>
        <v>83.35</v>
      </c>
    </row>
    <row r="58" ht="15.75" customHeight="1">
      <c r="A58" s="25">
        <f>IFERROR(__xludf.DUMMYFUNCTION("""COMPUTED_VALUE"""),45569.75)</f>
        <v>45569.75</v>
      </c>
      <c r="B58" s="22">
        <f>IFERROR(__xludf.DUMMYFUNCTION("""COMPUTED_VALUE"""),4954.94)</f>
        <v>4954.94</v>
      </c>
      <c r="C58" s="25">
        <f>IFERROR(__xludf.DUMMYFUNCTION("""COMPUTED_VALUE"""),45569.66666666667)</f>
        <v>45569.66667</v>
      </c>
      <c r="D58" s="22">
        <f>IFERROR(__xludf.DUMMYFUNCTION("""COMPUTED_VALUE"""),84.54)</f>
        <v>84.54</v>
      </c>
    </row>
    <row r="59" ht="15.75" customHeight="1">
      <c r="A59" s="25">
        <f>IFERROR(__xludf.DUMMYFUNCTION("""COMPUTED_VALUE"""),45576.75)</f>
        <v>45576.75</v>
      </c>
      <c r="B59" s="22">
        <f>IFERROR(__xludf.DUMMYFUNCTION("""COMPUTED_VALUE"""),5003.92)</f>
        <v>5003.92</v>
      </c>
      <c r="C59" s="25">
        <f>IFERROR(__xludf.DUMMYFUNCTION("""COMPUTED_VALUE"""),45576.66666666667)</f>
        <v>45576.66667</v>
      </c>
      <c r="D59" s="22">
        <f>IFERROR(__xludf.DUMMYFUNCTION("""COMPUTED_VALUE"""),87.1)</f>
        <v>87.1</v>
      </c>
    </row>
    <row r="60" ht="15.75" customHeight="1">
      <c r="A60" s="31">
        <f>IFERROR(__xludf.DUMMYFUNCTION("""COMPUTED_VALUE"""),45583.75)</f>
        <v>45583.75</v>
      </c>
      <c r="B60" s="31">
        <f>IFERROR(__xludf.DUMMYFUNCTION("""COMPUTED_VALUE"""),4986.27)</f>
        <v>4986.27</v>
      </c>
      <c r="C60" s="31">
        <f>IFERROR(__xludf.DUMMYFUNCTION("""COMPUTED_VALUE"""),45583.66666666667)</f>
        <v>45583.66667</v>
      </c>
      <c r="D60" s="31">
        <f>IFERROR(__xludf.DUMMYFUNCTION("""COMPUTED_VALUE"""),88.07)</f>
        <v>88.07</v>
      </c>
    </row>
    <row r="61" ht="15.75" customHeight="1">
      <c r="A61" s="31">
        <f>IFERROR(__xludf.DUMMYFUNCTION("""COMPUTED_VALUE"""),45590.75)</f>
        <v>45590.75</v>
      </c>
      <c r="B61" s="31">
        <f>IFERROR(__xludf.DUMMYFUNCTION("""COMPUTED_VALUE"""),4943.09)</f>
        <v>4943.09</v>
      </c>
      <c r="C61" s="31">
        <f>IFERROR(__xludf.DUMMYFUNCTION("""COMPUTED_VALUE"""),45590.66666666667)</f>
        <v>45590.66667</v>
      </c>
      <c r="D61" s="31">
        <f>IFERROR(__xludf.DUMMYFUNCTION("""COMPUTED_VALUE"""),84.73)</f>
        <v>84.73</v>
      </c>
    </row>
    <row r="62" ht="15.75" customHeight="1">
      <c r="A62" s="31">
        <f>IFERROR(__xludf.DUMMYFUNCTION("""COMPUTED_VALUE"""),45597.75)</f>
        <v>45597.75</v>
      </c>
      <c r="B62" s="31">
        <f>IFERROR(__xludf.DUMMYFUNCTION("""COMPUTED_VALUE"""),4877.75)</f>
        <v>4877.75</v>
      </c>
      <c r="C62" s="31">
        <f>IFERROR(__xludf.DUMMYFUNCTION("""COMPUTED_VALUE"""),45597.66666666667)</f>
        <v>45597.66667</v>
      </c>
      <c r="D62" s="31">
        <f>IFERROR(__xludf.DUMMYFUNCTION("""COMPUTED_VALUE"""),83.62)</f>
        <v>83.62</v>
      </c>
    </row>
    <row r="63" ht="15.75" customHeight="1">
      <c r="A63" s="31">
        <f>IFERROR(__xludf.DUMMYFUNCTION("""COMPUTED_VALUE"""),45604.75)</f>
        <v>45604.75</v>
      </c>
      <c r="B63" s="31">
        <f>IFERROR(__xludf.DUMMYFUNCTION("""COMPUTED_VALUE"""),4802.76)</f>
        <v>4802.76</v>
      </c>
      <c r="C63" s="31">
        <f>IFERROR(__xludf.DUMMYFUNCTION("""COMPUTED_VALUE"""),45604.66666666667)</f>
        <v>45604.66667</v>
      </c>
      <c r="D63" s="31">
        <f>IFERROR(__xludf.DUMMYFUNCTION("""COMPUTED_VALUE"""),88.25)</f>
        <v>88.25</v>
      </c>
    </row>
    <row r="64" ht="15.75" customHeight="1">
      <c r="A64" s="31">
        <f>IFERROR(__xludf.DUMMYFUNCTION("""COMPUTED_VALUE"""),45611.75)</f>
        <v>45611.75</v>
      </c>
      <c r="B64" s="31">
        <f>IFERROR(__xludf.DUMMYFUNCTION("""COMPUTED_VALUE"""),4794.85)</f>
        <v>4794.85</v>
      </c>
      <c r="C64" s="31">
        <f>IFERROR(__xludf.DUMMYFUNCTION("""COMPUTED_VALUE"""),45611.66666666667)</f>
        <v>45611.66667</v>
      </c>
      <c r="D64" s="31">
        <f>IFERROR(__xludf.DUMMYFUNCTION("""COMPUTED_VALUE"""),86.99)</f>
        <v>86.99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9.0"/>
    <col customWidth="1" min="6" max="6" width="20.75"/>
    <col customWidth="1" min="7" max="7" width="24.0"/>
    <col customWidth="1" min="9" max="9" width="17.63"/>
    <col customWidth="1" min="10" max="10" width="16.88"/>
    <col customWidth="1" min="11" max="11" width="17.5"/>
  </cols>
  <sheetData>
    <row r="1" ht="15.75" customHeight="1">
      <c r="A1" s="22" t="str">
        <f>'EQUITY BACKTEST'!A4</f>
        <v>Date</v>
      </c>
      <c r="B1" s="22" t="s">
        <v>96</v>
      </c>
      <c r="C1" s="22" t="s">
        <v>166</v>
      </c>
      <c r="D1" s="22" t="s">
        <v>167</v>
      </c>
      <c r="E1" s="22" t="s">
        <v>168</v>
      </c>
      <c r="F1" s="22" t="s">
        <v>169</v>
      </c>
      <c r="G1" s="22" t="s">
        <v>170</v>
      </c>
      <c r="H1" s="22" t="s">
        <v>171</v>
      </c>
      <c r="I1" s="22" t="s">
        <v>172</v>
      </c>
      <c r="J1" s="22" t="s">
        <v>173</v>
      </c>
      <c r="K1" s="22" t="s">
        <v>174</v>
      </c>
      <c r="L1" s="22">
        <v>-0.05</v>
      </c>
    </row>
    <row r="2" ht="15.75" customHeight="1">
      <c r="A2" s="32">
        <f>'EQUITY BACKTEST'!A5</f>
        <v>36160.66667</v>
      </c>
      <c r="B2" s="22">
        <f>'EQUITY BACKTEST'!B5</f>
        <v>1229.4</v>
      </c>
      <c r="C2" s="22">
        <f>1/'EQUITY BACKTEST'!E5</f>
        <v>0.8561643836</v>
      </c>
      <c r="I2" s="22" t="str">
        <f t="shared" ref="I2:I1775" si="1">IF($H2="Crash",100*E2,NA())</f>
        <v>#N/A</v>
      </c>
      <c r="J2" s="22" t="str">
        <f t="shared" ref="J2:J1775" si="2">IF($H2="Crash",100*D2,NA())</f>
        <v>#N/A</v>
      </c>
      <c r="K2" s="22" t="str">
        <f t="array" ref="K2">IF(H2="Crash",MATCH(TRUE, B3:B100 &gt;= B2, 0),"")</f>
        <v/>
      </c>
      <c r="N2" s="22">
        <f>MEDIAN(K2:K1000)</f>
        <v>6.5</v>
      </c>
    </row>
    <row r="3" ht="15.75" customHeight="1">
      <c r="A3" s="32">
        <f>'EQUITY BACKTEST'!A6</f>
        <v>36168.66667</v>
      </c>
      <c r="B3" s="22">
        <f>'EQUITY BACKTEST'!B6</f>
        <v>1275.09</v>
      </c>
      <c r="C3" s="22">
        <f>1/'EQUITY BACKTEST'!E6</f>
        <v>0.8635578584</v>
      </c>
      <c r="E3" s="22">
        <f t="shared" ref="E3:E1343" si="3">IF(A3&lt;&gt;"", (B3 - B2) / B2, "")</f>
        <v>0.03716447047</v>
      </c>
      <c r="H3" s="22" t="str">
        <f t="shared" ref="H3:H1343" si="4">IF(E3 &lt; $L$1, "Crash", "")</f>
        <v/>
      </c>
      <c r="I3" s="22" t="str">
        <f t="shared" si="1"/>
        <v>#N/A</v>
      </c>
      <c r="J3" s="22" t="str">
        <f t="shared" si="2"/>
        <v>#N/A</v>
      </c>
      <c r="K3" s="22" t="str">
        <f t="array" ref="K3">IF(H3="Crash",MATCH(TRUE, B4:B101 &gt;= B2, 0),"")</f>
        <v/>
      </c>
      <c r="L3" s="42" t="str">
        <f>AVERAGEIF($I$6:$I$10000, "&lt;&gt;")</f>
        <v>#N/A</v>
      </c>
      <c r="N3" s="22">
        <f>MAX(K2:K1000)</f>
        <v>81</v>
      </c>
    </row>
    <row r="4" ht="15.75" customHeight="1">
      <c r="A4" s="32">
        <f>'EQUITY BACKTEST'!A7</f>
        <v>36174.66667</v>
      </c>
      <c r="B4" s="22">
        <f>'EQUITY BACKTEST'!B7</f>
        <v>1212.19</v>
      </c>
      <c r="C4" s="22">
        <f>1/'EQUITY BACKTEST'!E7</f>
        <v>0.8650519031</v>
      </c>
      <c r="E4" s="22">
        <f t="shared" si="3"/>
        <v>-0.04932985123</v>
      </c>
      <c r="H4" s="22" t="str">
        <f t="shared" si="4"/>
        <v/>
      </c>
      <c r="I4" s="22" t="str">
        <f t="shared" si="1"/>
        <v>#N/A</v>
      </c>
      <c r="J4" s="22" t="str">
        <f t="shared" si="2"/>
        <v>#N/A</v>
      </c>
      <c r="K4" s="22" t="str">
        <f t="array" ref="K4">IF(H4="Crash",MATCH(TRUE, B5:B102 &gt;= B3, 0),"")</f>
        <v/>
      </c>
    </row>
    <row r="5" ht="15.75" customHeight="1">
      <c r="A5" s="32">
        <f>'EQUITY BACKTEST'!A8</f>
        <v>36182.66667</v>
      </c>
      <c r="B5" s="22">
        <f>'EQUITY BACKTEST'!B8</f>
        <v>1225.19</v>
      </c>
      <c r="C5" s="22">
        <f>1/'EQUITY BACKTEST'!E8</f>
        <v>0.8631851532</v>
      </c>
      <c r="E5" s="22">
        <f t="shared" si="3"/>
        <v>0.01072439139</v>
      </c>
      <c r="H5" s="22" t="str">
        <f t="shared" si="4"/>
        <v/>
      </c>
      <c r="I5" s="22" t="str">
        <f t="shared" si="1"/>
        <v>#N/A</v>
      </c>
      <c r="J5" s="22" t="str">
        <f t="shared" si="2"/>
        <v>#N/A</v>
      </c>
      <c r="K5" s="22" t="str">
        <f t="array" ref="K5">IF(H5="Crash",MATCH(TRUE, B6:B103 &gt;= B4, 0),"")</f>
        <v/>
      </c>
    </row>
    <row r="6" ht="15.75" customHeight="1">
      <c r="A6" s="32">
        <f>'EQUITY BACKTEST'!A9</f>
        <v>36189.66667</v>
      </c>
      <c r="B6" s="22">
        <f>'EQUITY BACKTEST'!B9</f>
        <v>1279.64</v>
      </c>
      <c r="C6" s="22">
        <f>1/'EQUITY BACKTEST'!E9</f>
        <v>0.8798944127</v>
      </c>
      <c r="E6" s="22">
        <f t="shared" si="3"/>
        <v>0.04444208653</v>
      </c>
      <c r="H6" s="22" t="str">
        <f t="shared" si="4"/>
        <v/>
      </c>
      <c r="I6" s="22" t="str">
        <f t="shared" si="1"/>
        <v>#N/A</v>
      </c>
      <c r="J6" s="22" t="str">
        <f t="shared" si="2"/>
        <v>#N/A</v>
      </c>
      <c r="K6" s="22" t="str">
        <f t="array" ref="K6">IF(H6="Crash",MATCH(TRUE, B7:B104 &gt;= B5, 0),"")</f>
        <v/>
      </c>
    </row>
    <row r="7" ht="15.75" customHeight="1">
      <c r="A7" s="32">
        <f>'EQUITY BACKTEST'!A10</f>
        <v>36196.66667</v>
      </c>
      <c r="B7" s="22">
        <f>'EQUITY BACKTEST'!B10</f>
        <v>1239.4</v>
      </c>
      <c r="C7" s="22">
        <f>1/'EQUITY BACKTEST'!E10</f>
        <v>0.8883361464</v>
      </c>
      <c r="E7" s="22">
        <f t="shared" si="3"/>
        <v>-0.03144634428</v>
      </c>
      <c r="H7" s="22" t="str">
        <f t="shared" si="4"/>
        <v/>
      </c>
      <c r="I7" s="22" t="str">
        <f t="shared" si="1"/>
        <v>#N/A</v>
      </c>
      <c r="J7" s="22" t="str">
        <f t="shared" si="2"/>
        <v>#N/A</v>
      </c>
      <c r="K7" s="22" t="str">
        <f t="array" ref="K7">IF(H7="Crash",MATCH(TRUE, B8:B105 &gt;= B6, 0),"")</f>
        <v/>
      </c>
    </row>
    <row r="8" ht="15.75" customHeight="1">
      <c r="A8" s="32">
        <f>'EQUITY BACKTEST'!A11</f>
        <v>36203.66667</v>
      </c>
      <c r="B8" s="22">
        <f>'EQUITY BACKTEST'!B11</f>
        <v>1230.14</v>
      </c>
      <c r="C8" s="22">
        <f>1/'EQUITY BACKTEST'!E11</f>
        <v>0.8847208706</v>
      </c>
      <c r="E8" s="22">
        <f t="shared" si="3"/>
        <v>-0.007471357108</v>
      </c>
      <c r="H8" s="22" t="str">
        <f t="shared" si="4"/>
        <v/>
      </c>
      <c r="I8" s="22" t="str">
        <f t="shared" si="1"/>
        <v>#N/A</v>
      </c>
      <c r="J8" s="22" t="str">
        <f t="shared" si="2"/>
        <v>#N/A</v>
      </c>
      <c r="K8" s="22" t="str">
        <f t="array" ref="K8">IF(H8="Crash",MATCH(TRUE, B9:B106 &gt;= B7, 0),"")</f>
        <v/>
      </c>
    </row>
    <row r="9" ht="15.75" customHeight="1">
      <c r="A9" s="32">
        <f>'EQUITY BACKTEST'!A12</f>
        <v>36210.66667</v>
      </c>
      <c r="B9" s="22">
        <f>'EQUITY BACKTEST'!B12</f>
        <v>1239.16</v>
      </c>
      <c r="C9" s="22">
        <f>1/'EQUITY BACKTEST'!E12</f>
        <v>0.9045680687</v>
      </c>
      <c r="E9" s="22">
        <f t="shared" si="3"/>
        <v>0.00733249874</v>
      </c>
      <c r="H9" s="22" t="str">
        <f t="shared" si="4"/>
        <v/>
      </c>
      <c r="I9" s="22" t="str">
        <f t="shared" si="1"/>
        <v>#N/A</v>
      </c>
      <c r="J9" s="22" t="str">
        <f t="shared" si="2"/>
        <v>#N/A</v>
      </c>
      <c r="K9" s="22" t="str">
        <f t="array" ref="K9">IF(H9="Crash",MATCH(TRUE, B10:B107 &gt;= B8, 0),"")</f>
        <v/>
      </c>
    </row>
    <row r="10" ht="15.75" customHeight="1">
      <c r="A10" s="32">
        <f>'EQUITY BACKTEST'!A13</f>
        <v>36217.66667</v>
      </c>
      <c r="B10" s="22">
        <f>'EQUITY BACKTEST'!B13</f>
        <v>1238.33</v>
      </c>
      <c r="C10" s="22">
        <f>1/'EQUITY BACKTEST'!E13</f>
        <v>0.9072763564</v>
      </c>
      <c r="E10" s="22">
        <f t="shared" si="3"/>
        <v>-0.00066980858</v>
      </c>
      <c r="H10" s="22" t="str">
        <f t="shared" si="4"/>
        <v/>
      </c>
      <c r="I10" s="22" t="str">
        <f t="shared" si="1"/>
        <v>#N/A</v>
      </c>
      <c r="J10" s="22" t="str">
        <f t="shared" si="2"/>
        <v>#N/A</v>
      </c>
      <c r="K10" s="22" t="str">
        <f t="array" ref="K10">IF(H10="Crash",MATCH(TRUE, B11:B108 &gt;= B9, 0),"")</f>
        <v/>
      </c>
    </row>
    <row r="11" ht="15.75" customHeight="1">
      <c r="A11" s="32">
        <f>'EQUITY BACKTEST'!A14</f>
        <v>36224.66667</v>
      </c>
      <c r="B11" s="22">
        <f>'EQUITY BACKTEST'!B14</f>
        <v>1275.46</v>
      </c>
      <c r="C11" s="22">
        <f>1/'EQUITY BACKTEST'!E14</f>
        <v>0.9246417013</v>
      </c>
      <c r="E11" s="22">
        <f t="shared" si="3"/>
        <v>0.02998392997</v>
      </c>
      <c r="H11" s="22" t="str">
        <f t="shared" si="4"/>
        <v/>
      </c>
      <c r="I11" s="22" t="str">
        <f t="shared" si="1"/>
        <v>#N/A</v>
      </c>
      <c r="J11" s="22" t="str">
        <f t="shared" si="2"/>
        <v>#N/A</v>
      </c>
      <c r="K11" s="22" t="str">
        <f t="array" ref="K11">IF(H11="Crash",MATCH(TRUE, B12:B109 &gt;= B10, 0),"")</f>
        <v/>
      </c>
    </row>
    <row r="12" ht="15.75" customHeight="1">
      <c r="A12" s="32">
        <f>'EQUITY BACKTEST'!A15</f>
        <v>36231.66667</v>
      </c>
      <c r="B12" s="22">
        <f>'EQUITY BACKTEST'!B15</f>
        <v>1294.59</v>
      </c>
      <c r="C12" s="22">
        <f>1/'EQUITY BACKTEST'!E15</f>
        <v>0.9174311927</v>
      </c>
      <c r="E12" s="22">
        <f t="shared" si="3"/>
        <v>0.01499851034</v>
      </c>
      <c r="H12" s="22" t="str">
        <f t="shared" si="4"/>
        <v/>
      </c>
      <c r="I12" s="22" t="str">
        <f t="shared" si="1"/>
        <v>#N/A</v>
      </c>
      <c r="J12" s="22" t="str">
        <f t="shared" si="2"/>
        <v>#N/A</v>
      </c>
      <c r="K12" s="22" t="str">
        <f t="array" ref="K12">IF(H12="Crash",MATCH(TRUE, B13:B110 &gt;= B11, 0),"")</f>
        <v/>
      </c>
    </row>
    <row r="13" ht="15.75" customHeight="1">
      <c r="A13" s="32">
        <f>'EQUITY BACKTEST'!A16</f>
        <v>36238.66667</v>
      </c>
      <c r="B13" s="22">
        <f>'EQUITY BACKTEST'!B16</f>
        <v>1299.29</v>
      </c>
      <c r="C13" s="22">
        <f>1/'EQUITY BACKTEST'!E16</f>
        <v>0.9185266832</v>
      </c>
      <c r="E13" s="22">
        <f t="shared" si="3"/>
        <v>0.003630493052</v>
      </c>
      <c r="H13" s="22" t="str">
        <f t="shared" si="4"/>
        <v/>
      </c>
      <c r="I13" s="22" t="str">
        <f t="shared" si="1"/>
        <v>#N/A</v>
      </c>
      <c r="J13" s="22" t="str">
        <f t="shared" si="2"/>
        <v>#N/A</v>
      </c>
      <c r="K13" s="22" t="str">
        <f t="array" ref="K13">IF(H13="Crash",MATCH(TRUE, B14:B111 &gt;= B12, 0),"")</f>
        <v/>
      </c>
    </row>
    <row r="14" ht="15.75" customHeight="1">
      <c r="A14" s="32">
        <f>'EQUITY BACKTEST'!A17</f>
        <v>36245.66667</v>
      </c>
      <c r="B14" s="22">
        <f>'EQUITY BACKTEST'!B17</f>
        <v>1282.8</v>
      </c>
      <c r="C14" s="22">
        <f>1/'EQUITY BACKTEST'!E17</f>
        <v>0.9291953169</v>
      </c>
      <c r="D14" s="22">
        <f t="shared" ref="D14:D925" si="5">CORREL($B2:$B14,$C2:$C14)</f>
        <v>0.6228825202</v>
      </c>
      <c r="E14" s="22">
        <f t="shared" si="3"/>
        <v>-0.01269154692</v>
      </c>
      <c r="H14" s="22" t="str">
        <f t="shared" si="4"/>
        <v/>
      </c>
      <c r="I14" s="22" t="str">
        <f t="shared" si="1"/>
        <v>#N/A</v>
      </c>
      <c r="J14" s="22" t="str">
        <f t="shared" si="2"/>
        <v>#N/A</v>
      </c>
      <c r="K14" s="22" t="str">
        <f t="array" ref="K14">IF(H14="Crash",MATCH(TRUE, B15:B112 &gt;= B13, 0),"")</f>
        <v/>
      </c>
    </row>
    <row r="15" ht="15.75" customHeight="1">
      <c r="A15" s="32">
        <f>'EQUITY BACKTEST'!A18</f>
        <v>36251.66667</v>
      </c>
      <c r="B15" s="22">
        <f>'EQUITY BACKTEST'!B18</f>
        <v>1293.77</v>
      </c>
      <c r="C15" s="22">
        <f>1/'EQUITY BACKTEST'!E18</f>
        <v>0.9272997033</v>
      </c>
      <c r="D15" s="22">
        <f t="shared" si="5"/>
        <v>0.6330171547</v>
      </c>
      <c r="E15" s="22">
        <f t="shared" si="3"/>
        <v>0.008551605862</v>
      </c>
      <c r="H15" s="22" t="str">
        <f t="shared" si="4"/>
        <v/>
      </c>
      <c r="I15" s="22" t="str">
        <f t="shared" si="1"/>
        <v>#N/A</v>
      </c>
      <c r="J15" s="22" t="str">
        <f t="shared" si="2"/>
        <v>#N/A</v>
      </c>
      <c r="K15" s="22" t="str">
        <f t="array" ref="K15">IF(H15="Crash",MATCH(TRUE, B16:B113 &gt;= B14, 0),"")</f>
        <v/>
      </c>
    </row>
    <row r="16" ht="15.75" customHeight="1">
      <c r="A16" s="32">
        <f>'EQUITY BACKTEST'!A19</f>
        <v>36259.66667</v>
      </c>
      <c r="B16" s="22">
        <f>'EQUITY BACKTEST'!B19</f>
        <v>1348.35</v>
      </c>
      <c r="C16" s="22">
        <f>1/'EQUITY BACKTEST'!E19</f>
        <v>0.9266123054</v>
      </c>
      <c r="D16" s="22">
        <f t="shared" si="5"/>
        <v>0.755925461</v>
      </c>
      <c r="E16" s="22">
        <f t="shared" si="3"/>
        <v>0.04218678745</v>
      </c>
      <c r="H16" s="22" t="str">
        <f t="shared" si="4"/>
        <v/>
      </c>
      <c r="I16" s="22" t="str">
        <f t="shared" si="1"/>
        <v>#N/A</v>
      </c>
      <c r="J16" s="22" t="str">
        <f t="shared" si="2"/>
        <v>#N/A</v>
      </c>
      <c r="K16" s="22" t="str">
        <f t="array" ref="K16">IF(H16="Crash",MATCH(TRUE, B17:B114 &gt;= B15, 0),"")</f>
        <v/>
      </c>
    </row>
    <row r="17" ht="15.75" customHeight="1">
      <c r="A17" s="32">
        <f>'EQUITY BACKTEST'!A20</f>
        <v>36266.66667</v>
      </c>
      <c r="B17" s="22">
        <f>'EQUITY BACKTEST'!B20</f>
        <v>1318.77</v>
      </c>
      <c r="C17" s="22">
        <f>1/'EQUITY BACKTEST'!E20</f>
        <v>0.9349289454</v>
      </c>
      <c r="D17" s="22">
        <f t="shared" si="5"/>
        <v>0.735796594</v>
      </c>
      <c r="E17" s="22">
        <f t="shared" si="3"/>
        <v>-0.02193792413</v>
      </c>
      <c r="H17" s="22" t="str">
        <f t="shared" si="4"/>
        <v/>
      </c>
      <c r="I17" s="22" t="str">
        <f t="shared" si="1"/>
        <v>#N/A</v>
      </c>
      <c r="J17" s="22" t="str">
        <f t="shared" si="2"/>
        <v>#N/A</v>
      </c>
      <c r="K17" s="22" t="str">
        <f t="array" ref="K17">IF(H17="Crash",MATCH(TRUE, B18:B115 &gt;= B16, 0),"")</f>
        <v/>
      </c>
    </row>
    <row r="18" ht="15.75" customHeight="1">
      <c r="A18" s="32">
        <f>'EQUITY BACKTEST'!A21</f>
        <v>36273.66667</v>
      </c>
      <c r="B18" s="22">
        <f>'EQUITY BACKTEST'!B21</f>
        <v>1356.8</v>
      </c>
      <c r="C18" s="22">
        <f>1/'EQUITY BACKTEST'!E21</f>
        <v>0.942951438</v>
      </c>
      <c r="D18" s="22">
        <f t="shared" si="5"/>
        <v>0.749219019</v>
      </c>
      <c r="E18" s="22">
        <f t="shared" si="3"/>
        <v>0.02883747735</v>
      </c>
      <c r="H18" s="22" t="str">
        <f t="shared" si="4"/>
        <v/>
      </c>
      <c r="I18" s="22" t="str">
        <f t="shared" si="1"/>
        <v>#N/A</v>
      </c>
      <c r="J18" s="22" t="str">
        <f t="shared" si="2"/>
        <v>#N/A</v>
      </c>
      <c r="K18" s="22" t="str">
        <f t="array" ref="K18">IF(H18="Crash",MATCH(TRUE, B19:B116 &gt;= B17, 0),"")</f>
        <v/>
      </c>
    </row>
    <row r="19" ht="15.75" customHeight="1">
      <c r="A19" s="32">
        <f>'EQUITY BACKTEST'!A22</f>
        <v>36280.66667</v>
      </c>
      <c r="B19" s="22">
        <f>'EQUITY BACKTEST'!B22</f>
        <v>1335.18</v>
      </c>
      <c r="C19" s="22">
        <f>1/'EQUITY BACKTEST'!E22</f>
        <v>0.9461633078</v>
      </c>
      <c r="D19" s="22">
        <f t="shared" si="5"/>
        <v>0.869921554</v>
      </c>
      <c r="E19" s="22">
        <f t="shared" si="3"/>
        <v>-0.01593455189</v>
      </c>
      <c r="H19" s="22" t="str">
        <f t="shared" si="4"/>
        <v/>
      </c>
      <c r="I19" s="22" t="str">
        <f t="shared" si="1"/>
        <v>#N/A</v>
      </c>
      <c r="J19" s="22" t="str">
        <f t="shared" si="2"/>
        <v>#N/A</v>
      </c>
      <c r="K19" s="22" t="str">
        <f t="array" ref="K19">IF(H19="Crash",MATCH(TRUE, B20:B117 &gt;= B18, 0),"")</f>
        <v/>
      </c>
    </row>
    <row r="20" ht="15.75" customHeight="1">
      <c r="A20" s="32">
        <f>'EQUITY BACKTEST'!A23</f>
        <v>36287.66667</v>
      </c>
      <c r="B20" s="22">
        <f>'EQUITY BACKTEST'!B23</f>
        <v>1345</v>
      </c>
      <c r="C20" s="22">
        <f>1/'EQUITY BACKTEST'!E23</f>
        <v>0.929800093</v>
      </c>
      <c r="D20" s="22">
        <f t="shared" si="5"/>
        <v>0.8451099434</v>
      </c>
      <c r="E20" s="22">
        <f t="shared" si="3"/>
        <v>0.007354813583</v>
      </c>
      <c r="H20" s="22" t="str">
        <f t="shared" si="4"/>
        <v/>
      </c>
      <c r="I20" s="22" t="str">
        <f t="shared" si="1"/>
        <v>#N/A</v>
      </c>
      <c r="J20" s="22" t="str">
        <f t="shared" si="2"/>
        <v>#N/A</v>
      </c>
      <c r="K20" s="22" t="str">
        <f t="array" ref="K20">IF(H20="Crash",MATCH(TRUE, B21:B118 &gt;= B19, 0),"")</f>
        <v/>
      </c>
    </row>
    <row r="21" ht="15.75" customHeight="1">
      <c r="A21" s="32">
        <f>'EQUITY BACKTEST'!A24</f>
        <v>36294.66667</v>
      </c>
      <c r="B21" s="22">
        <f>'EQUITY BACKTEST'!B24</f>
        <v>1337.8</v>
      </c>
      <c r="C21" s="22">
        <f>1/'EQUITY BACKTEST'!E24</f>
        <v>0.9385265134</v>
      </c>
      <c r="D21" s="22">
        <f t="shared" si="5"/>
        <v>0.830434361</v>
      </c>
      <c r="E21" s="22">
        <f t="shared" si="3"/>
        <v>-0.005353159851</v>
      </c>
      <c r="H21" s="22" t="str">
        <f t="shared" si="4"/>
        <v/>
      </c>
      <c r="I21" s="22" t="str">
        <f t="shared" si="1"/>
        <v>#N/A</v>
      </c>
      <c r="J21" s="22" t="str">
        <f t="shared" si="2"/>
        <v>#N/A</v>
      </c>
      <c r="K21" s="22" t="str">
        <f t="array" ref="K21">IF(H21="Crash",MATCH(TRUE, B22:B119 &gt;= B20, 0),"")</f>
        <v/>
      </c>
    </row>
    <row r="22" ht="15.75" customHeight="1">
      <c r="A22" s="32">
        <f>'EQUITY BACKTEST'!A25</f>
        <v>36301.66667</v>
      </c>
      <c r="B22" s="22">
        <f>'EQUITY BACKTEST'!B25</f>
        <v>1330.29</v>
      </c>
      <c r="C22" s="22">
        <f>1/'EQUITY BACKTEST'!E25</f>
        <v>0.9444654326</v>
      </c>
      <c r="D22" s="22">
        <f t="shared" si="5"/>
        <v>0.7627798482</v>
      </c>
      <c r="E22" s="22">
        <f t="shared" si="3"/>
        <v>-0.005613694125</v>
      </c>
      <c r="H22" s="22" t="str">
        <f t="shared" si="4"/>
        <v/>
      </c>
      <c r="I22" s="22" t="str">
        <f t="shared" si="1"/>
        <v>#N/A</v>
      </c>
      <c r="J22" s="22" t="str">
        <f t="shared" si="2"/>
        <v>#N/A</v>
      </c>
      <c r="K22" s="22" t="str">
        <f t="array" ref="K22">IF(H22="Crash",MATCH(TRUE, B23:B120 &gt;= B21, 0),"")</f>
        <v/>
      </c>
    </row>
    <row r="23" ht="15.75" customHeight="1">
      <c r="A23" s="32">
        <f>'EQUITY BACKTEST'!A26</f>
        <v>36308.66667</v>
      </c>
      <c r="B23" s="22">
        <f>'EQUITY BACKTEST'!B26</f>
        <v>1301.85</v>
      </c>
      <c r="C23" s="22">
        <f>1/'EQUITY BACKTEST'!E26</f>
        <v>0.9589566552</v>
      </c>
      <c r="D23" s="22">
        <f t="shared" si="5"/>
        <v>0.3700558804</v>
      </c>
      <c r="E23" s="22">
        <f t="shared" si="3"/>
        <v>-0.0213787971</v>
      </c>
      <c r="H23" s="22" t="str">
        <f t="shared" si="4"/>
        <v/>
      </c>
      <c r="I23" s="22" t="str">
        <f t="shared" si="1"/>
        <v>#N/A</v>
      </c>
      <c r="J23" s="22" t="str">
        <f t="shared" si="2"/>
        <v>#N/A</v>
      </c>
      <c r="K23" s="22" t="str">
        <f t="array" ref="K23">IF(H23="Crash",MATCH(TRUE, B24:B121 &gt;= B22, 0),"")</f>
        <v/>
      </c>
    </row>
    <row r="24" ht="15.75" customHeight="1">
      <c r="A24" s="32">
        <f>'EQUITY BACKTEST'!A27</f>
        <v>36315.66667</v>
      </c>
      <c r="B24" s="22">
        <f>'EQUITY BACKTEST'!B27</f>
        <v>1327.4</v>
      </c>
      <c r="C24" s="22">
        <f>1/'EQUITY BACKTEST'!E27</f>
        <v>0.964041261</v>
      </c>
      <c r="D24" s="22">
        <f t="shared" si="5"/>
        <v>0.2960678844</v>
      </c>
      <c r="E24" s="22">
        <f t="shared" si="3"/>
        <v>0.01962591696</v>
      </c>
      <c r="H24" s="22" t="str">
        <f t="shared" si="4"/>
        <v/>
      </c>
      <c r="I24" s="22" t="str">
        <f t="shared" si="1"/>
        <v>#N/A</v>
      </c>
      <c r="J24" s="22" t="str">
        <f t="shared" si="2"/>
        <v>#N/A</v>
      </c>
      <c r="K24" s="22" t="str">
        <f t="array" ref="K24">IF(H24="Crash",MATCH(TRUE, B25:B122 &gt;= B23, 0),"")</f>
        <v/>
      </c>
    </row>
    <row r="25" ht="15.75" customHeight="1">
      <c r="A25" s="32">
        <f>'EQUITY BACKTEST'!A28</f>
        <v>36322.66667</v>
      </c>
      <c r="B25" s="22">
        <f>'EQUITY BACKTEST'!B28</f>
        <v>1293.67</v>
      </c>
      <c r="C25" s="22">
        <f>1/'EQUITY BACKTEST'!E28</f>
        <v>0.9516558812</v>
      </c>
      <c r="D25" s="22">
        <f t="shared" si="5"/>
        <v>0.0782084691</v>
      </c>
      <c r="E25" s="22">
        <f t="shared" si="3"/>
        <v>-0.02541057707</v>
      </c>
      <c r="H25" s="22" t="str">
        <f t="shared" si="4"/>
        <v/>
      </c>
      <c r="I25" s="22" t="str">
        <f t="shared" si="1"/>
        <v>#N/A</v>
      </c>
      <c r="J25" s="22" t="str">
        <f t="shared" si="2"/>
        <v>#N/A</v>
      </c>
      <c r="K25" s="22" t="str">
        <f t="array" ref="K25">IF(H25="Crash",MATCH(TRUE, B26:B123 &gt;= B24, 0),"")</f>
        <v/>
      </c>
    </row>
    <row r="26" ht="15.75" customHeight="1">
      <c r="A26" s="32">
        <f>'EQUITY BACKTEST'!A29</f>
        <v>36329.66667</v>
      </c>
      <c r="B26" s="22">
        <f>'EQUITY BACKTEST'!B29</f>
        <v>1342.84</v>
      </c>
      <c r="C26" s="22">
        <f>1/'EQUITY BACKTEST'!E29</f>
        <v>0.962000962</v>
      </c>
      <c r="D26" s="22">
        <f t="shared" si="5"/>
        <v>0.05370279406</v>
      </c>
      <c r="E26" s="22">
        <f t="shared" si="3"/>
        <v>0.03800814736</v>
      </c>
      <c r="H26" s="22" t="str">
        <f t="shared" si="4"/>
        <v/>
      </c>
      <c r="I26" s="22" t="str">
        <f t="shared" si="1"/>
        <v>#N/A</v>
      </c>
      <c r="J26" s="22" t="str">
        <f t="shared" si="2"/>
        <v>#N/A</v>
      </c>
      <c r="K26" s="22" t="str">
        <f t="array" ref="K26">IF(H26="Crash",MATCH(TRUE, B27:B124 &gt;= B25, 0),"")</f>
        <v/>
      </c>
    </row>
    <row r="27" ht="15.75" customHeight="1">
      <c r="A27" s="32">
        <f>'EQUITY BACKTEST'!A30</f>
        <v>36336.66667</v>
      </c>
      <c r="B27" s="22">
        <f>'EQUITY BACKTEST'!B30</f>
        <v>1315.31</v>
      </c>
      <c r="C27" s="22">
        <f>1/'EQUITY BACKTEST'!E30</f>
        <v>0.9589566552</v>
      </c>
      <c r="D27" s="22">
        <f t="shared" si="5"/>
        <v>-0.1745078485</v>
      </c>
      <c r="E27" s="22">
        <f t="shared" si="3"/>
        <v>-0.02050132555</v>
      </c>
      <c r="H27" s="22" t="str">
        <f t="shared" si="4"/>
        <v/>
      </c>
      <c r="I27" s="22" t="str">
        <f t="shared" si="1"/>
        <v>#N/A</v>
      </c>
      <c r="J27" s="22" t="str">
        <f t="shared" si="2"/>
        <v>#N/A</v>
      </c>
      <c r="K27" s="22" t="str">
        <f t="array" ref="K27">IF(H27="Crash",MATCH(TRUE, B28:B125 &gt;= B26, 0),"")</f>
        <v/>
      </c>
    </row>
    <row r="28" ht="15.75" customHeight="1">
      <c r="A28" s="32">
        <f>'EQUITY BACKTEST'!A31</f>
        <v>36343.66667</v>
      </c>
      <c r="B28" s="22">
        <f>'EQUITY BACKTEST'!B31</f>
        <v>1391.22</v>
      </c>
      <c r="C28" s="22">
        <f>1/'EQUITY BACKTEST'!E31</f>
        <v>0.9761811792</v>
      </c>
      <c r="D28" s="22">
        <f t="shared" si="5"/>
        <v>0.1079847714</v>
      </c>
      <c r="E28" s="22">
        <f t="shared" si="3"/>
        <v>0.05771263048</v>
      </c>
      <c r="H28" s="22" t="str">
        <f t="shared" si="4"/>
        <v/>
      </c>
      <c r="I28" s="22" t="str">
        <f t="shared" si="1"/>
        <v>#N/A</v>
      </c>
      <c r="J28" s="22" t="str">
        <f t="shared" si="2"/>
        <v>#N/A</v>
      </c>
      <c r="K28" s="22" t="str">
        <f t="array" ref="K28">IF(H28="Crash",MATCH(TRUE, B29:B126 &gt;= B27, 0),"")</f>
        <v/>
      </c>
    </row>
    <row r="29" ht="15.75" customHeight="1">
      <c r="A29" s="32">
        <f>'EQUITY BACKTEST'!A32</f>
        <v>36350.66667</v>
      </c>
      <c r="B29" s="22">
        <f>'EQUITY BACKTEST'!B32</f>
        <v>1403.28</v>
      </c>
      <c r="C29" s="22">
        <f>1/'EQUITY BACKTEST'!E32</f>
        <v>0.9808729769</v>
      </c>
      <c r="D29" s="22">
        <f t="shared" si="5"/>
        <v>0.4741738384</v>
      </c>
      <c r="E29" s="22">
        <f t="shared" si="3"/>
        <v>0.008668650537</v>
      </c>
      <c r="H29" s="22" t="str">
        <f t="shared" si="4"/>
        <v/>
      </c>
      <c r="I29" s="22" t="str">
        <f t="shared" si="1"/>
        <v>#N/A</v>
      </c>
      <c r="J29" s="22" t="str">
        <f t="shared" si="2"/>
        <v>#N/A</v>
      </c>
      <c r="K29" s="22" t="str">
        <f t="array" ref="K29">IF(H29="Crash",MATCH(TRUE, B30:B127 &gt;= B28, 0),"")</f>
        <v/>
      </c>
    </row>
    <row r="30" ht="15.75" customHeight="1">
      <c r="A30" s="32">
        <f>'EQUITY BACKTEST'!A33</f>
        <v>36357.66667</v>
      </c>
      <c r="B30" s="22">
        <f>'EQUITY BACKTEST'!B33</f>
        <v>1418.78</v>
      </c>
      <c r="C30" s="22">
        <f>1/'EQUITY BACKTEST'!E33</f>
        <v>0.9809691976</v>
      </c>
      <c r="D30" s="22">
        <f t="shared" si="5"/>
        <v>0.5837243487</v>
      </c>
      <c r="E30" s="22">
        <f t="shared" si="3"/>
        <v>0.01104555042</v>
      </c>
      <c r="H30" s="22" t="str">
        <f t="shared" si="4"/>
        <v/>
      </c>
      <c r="I30" s="22" t="str">
        <f t="shared" si="1"/>
        <v>#N/A</v>
      </c>
      <c r="J30" s="22" t="str">
        <f t="shared" si="2"/>
        <v>#N/A</v>
      </c>
      <c r="K30" s="22" t="str">
        <f t="array" ref="K30">IF(H30="Crash",MATCH(TRUE, B31:B128 &gt;= B29, 0),"")</f>
        <v/>
      </c>
    </row>
    <row r="31" ht="15.75" customHeight="1">
      <c r="A31" s="32">
        <f>'EQUITY BACKTEST'!A34</f>
        <v>36364.66667</v>
      </c>
      <c r="B31" s="22">
        <f>'EQUITY BACKTEST'!B34</f>
        <v>1356.94</v>
      </c>
      <c r="C31" s="22">
        <f>1/'EQUITY BACKTEST'!E34</f>
        <v>0.9503896598</v>
      </c>
      <c r="D31" s="22">
        <f t="shared" si="5"/>
        <v>0.6090509713</v>
      </c>
      <c r="E31" s="22">
        <f t="shared" si="3"/>
        <v>-0.04358674354</v>
      </c>
      <c r="H31" s="22" t="str">
        <f t="shared" si="4"/>
        <v/>
      </c>
      <c r="I31" s="22" t="str">
        <f t="shared" si="1"/>
        <v>#N/A</v>
      </c>
      <c r="J31" s="22" t="str">
        <f t="shared" si="2"/>
        <v>#N/A</v>
      </c>
      <c r="K31" s="22" t="str">
        <f t="array" ref="K31">IF(H31="Crash",MATCH(TRUE, B32:B129 &gt;= B30, 0),"")</f>
        <v/>
      </c>
    </row>
    <row r="32" ht="15.75" customHeight="1">
      <c r="A32" s="32">
        <f>'EQUITY BACKTEST'!A35</f>
        <v>36371.66667</v>
      </c>
      <c r="B32" s="22">
        <f>'EQUITY BACKTEST'!B35</f>
        <v>1328.72</v>
      </c>
      <c r="C32" s="22">
        <f>1/'EQUITY BACKTEST'!E35</f>
        <v>0.9341429239</v>
      </c>
      <c r="D32" s="22">
        <f t="shared" si="5"/>
        <v>0.6051823828</v>
      </c>
      <c r="E32" s="22">
        <f t="shared" si="3"/>
        <v>-0.02079679278</v>
      </c>
      <c r="H32" s="22" t="str">
        <f t="shared" si="4"/>
        <v/>
      </c>
      <c r="I32" s="22" t="str">
        <f t="shared" si="1"/>
        <v>#N/A</v>
      </c>
      <c r="J32" s="22" t="str">
        <f t="shared" si="2"/>
        <v>#N/A</v>
      </c>
      <c r="K32" s="22" t="str">
        <f t="array" ref="K32">IF(H32="Crash",MATCH(TRUE, B33:B130 &gt;= B31, 0),"")</f>
        <v/>
      </c>
    </row>
    <row r="33" ht="15.75" customHeight="1">
      <c r="A33" s="32">
        <f>'EQUITY BACKTEST'!A36</f>
        <v>36378.66667</v>
      </c>
      <c r="B33" s="22">
        <f>'EQUITY BACKTEST'!B36</f>
        <v>1300.33</v>
      </c>
      <c r="C33" s="22">
        <f>1/'EQUITY BACKTEST'!E36</f>
        <v>0.9320533134</v>
      </c>
      <c r="D33" s="22">
        <f t="shared" si="5"/>
        <v>0.7206354628</v>
      </c>
      <c r="E33" s="22">
        <f t="shared" si="3"/>
        <v>-0.02136642784</v>
      </c>
      <c r="H33" s="22" t="str">
        <f t="shared" si="4"/>
        <v/>
      </c>
      <c r="I33" s="22" t="str">
        <f t="shared" si="1"/>
        <v>#N/A</v>
      </c>
      <c r="J33" s="22" t="str">
        <f t="shared" si="2"/>
        <v>#N/A</v>
      </c>
      <c r="K33" s="22" t="str">
        <f t="array" ref="K33">IF(H33="Crash",MATCH(TRUE, B34:B131 &gt;= B32, 0),"")</f>
        <v/>
      </c>
    </row>
    <row r="34" ht="15.75" customHeight="1">
      <c r="A34" s="32">
        <f>'EQUITY BACKTEST'!A37</f>
        <v>36385.66667</v>
      </c>
      <c r="B34" s="22">
        <f>'EQUITY BACKTEST'!B37</f>
        <v>1327.68</v>
      </c>
      <c r="C34" s="22">
        <f>1/'EQUITY BACKTEST'!E37</f>
        <v>0.9461633078</v>
      </c>
      <c r="D34" s="22">
        <f t="shared" si="5"/>
        <v>0.7520799797</v>
      </c>
      <c r="E34" s="22">
        <f t="shared" si="3"/>
        <v>0.02103312236</v>
      </c>
      <c r="H34" s="22" t="str">
        <f t="shared" si="4"/>
        <v/>
      </c>
      <c r="I34" s="22" t="str">
        <f t="shared" si="1"/>
        <v>#N/A</v>
      </c>
      <c r="J34" s="22" t="str">
        <f t="shared" si="2"/>
        <v>#N/A</v>
      </c>
      <c r="K34" s="22" t="str">
        <f t="array" ref="K34">IF(H34="Crash",MATCH(TRUE, B35:B132 &gt;= B33, 0),"")</f>
        <v/>
      </c>
    </row>
    <row r="35" ht="15.75" customHeight="1">
      <c r="A35" s="32">
        <f>'EQUITY BACKTEST'!A38</f>
        <v>36392.66667</v>
      </c>
      <c r="B35" s="22">
        <f>'EQUITY BACKTEST'!B38</f>
        <v>1336.61</v>
      </c>
      <c r="C35" s="22">
        <f>1/'EQUITY BACKTEST'!E38</f>
        <v>0.9368559116</v>
      </c>
      <c r="D35" s="22">
        <f t="shared" si="5"/>
        <v>0.7210857931</v>
      </c>
      <c r="E35" s="22">
        <f t="shared" si="3"/>
        <v>0.006726018318</v>
      </c>
      <c r="H35" s="22" t="str">
        <f t="shared" si="4"/>
        <v/>
      </c>
      <c r="I35" s="22" t="str">
        <f t="shared" si="1"/>
        <v>#N/A</v>
      </c>
      <c r="J35" s="22" t="str">
        <f t="shared" si="2"/>
        <v>#N/A</v>
      </c>
      <c r="K35" s="22" t="str">
        <f t="array" ref="K35">IF(H35="Crash",MATCH(TRUE, B36:B133 &gt;= B34, 0),"")</f>
        <v/>
      </c>
    </row>
    <row r="36" ht="15.75" customHeight="1">
      <c r="A36" s="32">
        <f>'EQUITY BACKTEST'!A39</f>
        <v>36399.66667</v>
      </c>
      <c r="B36" s="22">
        <f>'EQUITY BACKTEST'!B39</f>
        <v>1348.27</v>
      </c>
      <c r="C36" s="22">
        <f>1/'EQUITY BACKTEST'!E39</f>
        <v>0.9557488292</v>
      </c>
      <c r="D36" s="22">
        <f t="shared" si="5"/>
        <v>0.7708016844</v>
      </c>
      <c r="E36" s="22">
        <f t="shared" si="3"/>
        <v>0.008723561847</v>
      </c>
      <c r="H36" s="22" t="str">
        <f t="shared" si="4"/>
        <v/>
      </c>
      <c r="I36" s="22" t="str">
        <f t="shared" si="1"/>
        <v>#N/A</v>
      </c>
      <c r="J36" s="22" t="str">
        <f t="shared" si="2"/>
        <v>#N/A</v>
      </c>
      <c r="K36" s="22" t="str">
        <f t="array" ref="K36">IF(H36="Crash",MATCH(TRUE, B37:B134 &gt;= B35, 0),"")</f>
        <v/>
      </c>
    </row>
    <row r="37" ht="15.75" customHeight="1">
      <c r="A37" s="32">
        <f>'EQUITY BACKTEST'!A40</f>
        <v>36406.66667</v>
      </c>
      <c r="B37" s="22">
        <f>'EQUITY BACKTEST'!B40</f>
        <v>1357.24</v>
      </c>
      <c r="C37" s="22">
        <f>1/'EQUITY BACKTEST'!E40</f>
        <v>0.9426847662</v>
      </c>
      <c r="D37" s="22">
        <f t="shared" si="5"/>
        <v>0.7710954532</v>
      </c>
      <c r="E37" s="22">
        <f t="shared" si="3"/>
        <v>0.006652970102</v>
      </c>
      <c r="H37" s="22" t="str">
        <f t="shared" si="4"/>
        <v/>
      </c>
      <c r="I37" s="22" t="str">
        <f t="shared" si="1"/>
        <v>#N/A</v>
      </c>
      <c r="J37" s="22" t="str">
        <f t="shared" si="2"/>
        <v>#N/A</v>
      </c>
      <c r="K37" s="22" t="str">
        <f t="array" ref="K37">IF(H37="Crash",MATCH(TRUE, B38:B135 &gt;= B36, 0),"")</f>
        <v/>
      </c>
    </row>
    <row r="38" ht="15.75" customHeight="1">
      <c r="A38" s="32">
        <f>'EQUITY BACKTEST'!A41</f>
        <v>36413.66667</v>
      </c>
      <c r="B38" s="22">
        <f>'EQUITY BACKTEST'!B41</f>
        <v>1351.66</v>
      </c>
      <c r="C38" s="22">
        <f>1/'EQUITY BACKTEST'!E41</f>
        <v>0.9649715333</v>
      </c>
      <c r="D38" s="22">
        <f t="shared" si="5"/>
        <v>0.8176502704</v>
      </c>
      <c r="E38" s="22">
        <f t="shared" si="3"/>
        <v>-0.004111284666</v>
      </c>
      <c r="H38" s="22" t="str">
        <f t="shared" si="4"/>
        <v/>
      </c>
      <c r="I38" s="22" t="str">
        <f t="shared" si="1"/>
        <v>#N/A</v>
      </c>
      <c r="J38" s="22" t="str">
        <f t="shared" si="2"/>
        <v>#N/A</v>
      </c>
      <c r="K38" s="22" t="str">
        <f t="array" ref="K38">IF(H38="Crash",MATCH(TRUE, B39:B136 &gt;= B37, 0),"")</f>
        <v/>
      </c>
    </row>
    <row r="39" ht="15.75" customHeight="1">
      <c r="A39" s="32">
        <f>'EQUITY BACKTEST'!A42</f>
        <v>36420.66667</v>
      </c>
      <c r="B39" s="22">
        <f>'EQUITY BACKTEST'!B42</f>
        <v>1335.42</v>
      </c>
      <c r="C39" s="22">
        <f>1/'EQUITY BACKTEST'!E42</f>
        <v>0.9596928983</v>
      </c>
      <c r="D39" s="22">
        <f t="shared" si="5"/>
        <v>0.8136427534</v>
      </c>
      <c r="E39" s="22">
        <f t="shared" si="3"/>
        <v>-0.01201485581</v>
      </c>
      <c r="H39" s="22" t="str">
        <f t="shared" si="4"/>
        <v/>
      </c>
      <c r="I39" s="22" t="str">
        <f t="shared" si="1"/>
        <v>#N/A</v>
      </c>
      <c r="J39" s="22" t="str">
        <f t="shared" si="2"/>
        <v>#N/A</v>
      </c>
      <c r="K39" s="22" t="str">
        <f t="array" ref="K39">IF(H39="Crash",MATCH(TRUE, B40:B137 &gt;= B38, 0),"")</f>
        <v/>
      </c>
    </row>
    <row r="40" ht="15.75" customHeight="1">
      <c r="A40" s="32">
        <f>'EQUITY BACKTEST'!A43</f>
        <v>36427.66667</v>
      </c>
      <c r="B40" s="22">
        <f>'EQUITY BACKTEST'!B43</f>
        <v>1277.36</v>
      </c>
      <c r="C40" s="22">
        <f>1/'EQUITY BACKTEST'!E43</f>
        <v>0.9587727709</v>
      </c>
      <c r="D40" s="22">
        <f t="shared" si="5"/>
        <v>0.7025307059</v>
      </c>
      <c r="E40" s="22">
        <f t="shared" si="3"/>
        <v>-0.04347695856</v>
      </c>
      <c r="H40" s="22" t="str">
        <f t="shared" si="4"/>
        <v/>
      </c>
      <c r="I40" s="22" t="str">
        <f t="shared" si="1"/>
        <v>#N/A</v>
      </c>
      <c r="J40" s="22" t="str">
        <f t="shared" si="2"/>
        <v>#N/A</v>
      </c>
      <c r="K40" s="22" t="str">
        <f t="array" ref="K40">IF(H40="Crash",MATCH(TRUE, B41:B138 &gt;= B39, 0),"")</f>
        <v/>
      </c>
    </row>
    <row r="41" ht="15.75" customHeight="1">
      <c r="A41" s="32">
        <f>'EQUITY BACKTEST'!A44</f>
        <v>36434.66667</v>
      </c>
      <c r="B41" s="22">
        <f>'EQUITY BACKTEST'!B44</f>
        <v>1282.81</v>
      </c>
      <c r="C41" s="22">
        <f>1/'EQUITY BACKTEST'!E44</f>
        <v>0.9320533134</v>
      </c>
      <c r="D41" s="22">
        <f t="shared" si="5"/>
        <v>0.7113657731</v>
      </c>
      <c r="E41" s="22">
        <f t="shared" si="3"/>
        <v>0.004266612388</v>
      </c>
      <c r="H41" s="22" t="str">
        <f t="shared" si="4"/>
        <v/>
      </c>
      <c r="I41" s="22" t="str">
        <f t="shared" si="1"/>
        <v>#N/A</v>
      </c>
      <c r="J41" s="22" t="str">
        <f t="shared" si="2"/>
        <v>#N/A</v>
      </c>
      <c r="K41" s="22" t="str">
        <f t="array" ref="K41">IF(H41="Crash",MATCH(TRUE, B42:B139 &gt;= B40, 0),"")</f>
        <v/>
      </c>
    </row>
    <row r="42" ht="15.75" customHeight="1">
      <c r="A42" s="32">
        <f>'EQUITY BACKTEST'!A45</f>
        <v>36441.66667</v>
      </c>
      <c r="B42" s="22">
        <f>'EQUITY BACKTEST'!B45</f>
        <v>1336.02</v>
      </c>
      <c r="C42" s="22">
        <f>1/'EQUITY BACKTEST'!E45</f>
        <v>0.9410878976</v>
      </c>
      <c r="D42" s="22">
        <f t="shared" si="5"/>
        <v>0.6138491246</v>
      </c>
      <c r="E42" s="22">
        <f t="shared" si="3"/>
        <v>0.04147925258</v>
      </c>
      <c r="H42" s="22" t="str">
        <f t="shared" si="4"/>
        <v/>
      </c>
      <c r="I42" s="22" t="str">
        <f t="shared" si="1"/>
        <v>#N/A</v>
      </c>
      <c r="J42" s="22" t="str">
        <f t="shared" si="2"/>
        <v>#N/A</v>
      </c>
      <c r="K42" s="22" t="str">
        <f t="array" ref="K42">IF(H42="Crash",MATCH(TRUE, B43:B140 &gt;= B41, 0),"")</f>
        <v/>
      </c>
    </row>
    <row r="43" ht="15.75" customHeight="1">
      <c r="A43" s="32">
        <f>'EQUITY BACKTEST'!A46</f>
        <v>36448.66667</v>
      </c>
      <c r="B43" s="22">
        <f>'EQUITY BACKTEST'!B46</f>
        <v>1247.41</v>
      </c>
      <c r="C43" s="22">
        <f>1/'EQUITY BACKTEST'!E46</f>
        <v>0.9211495947</v>
      </c>
      <c r="D43" s="22">
        <f t="shared" si="5"/>
        <v>0.5342896777</v>
      </c>
      <c r="E43" s="22">
        <f t="shared" si="3"/>
        <v>-0.06632385743</v>
      </c>
      <c r="H43" s="22" t="str">
        <f t="shared" si="4"/>
        <v>Crash</v>
      </c>
      <c r="I43" s="22">
        <f t="shared" si="1"/>
        <v>-6.632385743</v>
      </c>
      <c r="J43" s="22">
        <f t="shared" si="2"/>
        <v>53.42896777</v>
      </c>
      <c r="K43" s="22">
        <f t="array" ref="K43">IF(H43="Crash",MATCH(TRUE, B44:B141 &gt;= B42, 0),"")</f>
        <v>2</v>
      </c>
    </row>
    <row r="44" ht="15.75" customHeight="1">
      <c r="A44" s="32">
        <f>'EQUITY BACKTEST'!A47</f>
        <v>36455.66667</v>
      </c>
      <c r="B44" s="22">
        <f>'EQUITY BACKTEST'!B47</f>
        <v>1301.65</v>
      </c>
      <c r="C44" s="22">
        <f>1/'EQUITY BACKTEST'!E47</f>
        <v>0.9347541597</v>
      </c>
      <c r="D44" s="22">
        <f t="shared" si="5"/>
        <v>0.5340201353</v>
      </c>
      <c r="E44" s="22">
        <f t="shared" si="3"/>
        <v>0.0434820949</v>
      </c>
      <c r="H44" s="22" t="str">
        <f t="shared" si="4"/>
        <v/>
      </c>
      <c r="I44" s="22" t="str">
        <f t="shared" si="1"/>
        <v>#N/A</v>
      </c>
      <c r="J44" s="22" t="str">
        <f t="shared" si="2"/>
        <v>#N/A</v>
      </c>
      <c r="K44" s="22" t="str">
        <f t="array" ref="K44">IF(H44="Crash",MATCH(TRUE, B45:B142 &gt;= B43, 0),"")</f>
        <v/>
      </c>
    </row>
    <row r="45" ht="15.75" customHeight="1">
      <c r="A45" s="32">
        <f>'EQUITY BACKTEST'!A48</f>
        <v>36462.66667</v>
      </c>
      <c r="B45" s="22">
        <f>'EQUITY BACKTEST'!B48</f>
        <v>1362.93</v>
      </c>
      <c r="C45" s="22">
        <f>1/'EQUITY BACKTEST'!E48</f>
        <v>0.9494872769</v>
      </c>
      <c r="D45" s="22">
        <f t="shared" si="5"/>
        <v>0.5701836035</v>
      </c>
      <c r="E45" s="22">
        <f t="shared" si="3"/>
        <v>0.04707870779</v>
      </c>
      <c r="H45" s="22" t="str">
        <f t="shared" si="4"/>
        <v/>
      </c>
      <c r="I45" s="22" t="str">
        <f t="shared" si="1"/>
        <v>#N/A</v>
      </c>
      <c r="J45" s="22" t="str">
        <f t="shared" si="2"/>
        <v>#N/A</v>
      </c>
      <c r="K45" s="22" t="str">
        <f t="array" ref="K45">IF(H45="Crash",MATCH(TRUE, B46:B143 &gt;= B44, 0),"")</f>
        <v/>
      </c>
    </row>
    <row r="46" ht="15.75" customHeight="1">
      <c r="A46" s="32">
        <f>'EQUITY BACKTEST'!A49</f>
        <v>36469.66667</v>
      </c>
      <c r="B46" s="22">
        <f>'EQUITY BACKTEST'!B49</f>
        <v>1370.22</v>
      </c>
      <c r="C46" s="22">
        <f>1/'EQUITY BACKTEST'!E49</f>
        <v>0.9576709443</v>
      </c>
      <c r="D46" s="22">
        <f t="shared" si="5"/>
        <v>0.5921640459</v>
      </c>
      <c r="E46" s="22">
        <f t="shared" si="3"/>
        <v>0.005348770663</v>
      </c>
      <c r="H46" s="22" t="str">
        <f t="shared" si="4"/>
        <v/>
      </c>
      <c r="I46" s="22" t="str">
        <f t="shared" si="1"/>
        <v>#N/A</v>
      </c>
      <c r="J46" s="22" t="str">
        <f t="shared" si="2"/>
        <v>#N/A</v>
      </c>
      <c r="K46" s="22" t="str">
        <f t="array" ref="K46">IF(H46="Crash",MATCH(TRUE, B47:B144 &gt;= B45, 0),"")</f>
        <v/>
      </c>
    </row>
    <row r="47" ht="15.75" customHeight="1">
      <c r="A47" s="32">
        <f>'EQUITY BACKTEST'!A50</f>
        <v>36476.66667</v>
      </c>
      <c r="B47" s="22">
        <f>'EQUITY BACKTEST'!B50</f>
        <v>1396.04</v>
      </c>
      <c r="C47" s="22">
        <f>1/'EQUITY BACKTEST'!E50</f>
        <v>0.9692740138</v>
      </c>
      <c r="D47" s="22">
        <f t="shared" si="5"/>
        <v>0.675678636</v>
      </c>
      <c r="E47" s="22">
        <f t="shared" si="3"/>
        <v>0.01884368933</v>
      </c>
      <c r="H47" s="22" t="str">
        <f t="shared" si="4"/>
        <v/>
      </c>
      <c r="I47" s="22" t="str">
        <f t="shared" si="1"/>
        <v>#N/A</v>
      </c>
      <c r="J47" s="22" t="str">
        <f t="shared" si="2"/>
        <v>#N/A</v>
      </c>
      <c r="K47" s="22" t="str">
        <f t="array" ref="K47">IF(H47="Crash",MATCH(TRUE, B48:B145 &gt;= B46, 0),"")</f>
        <v/>
      </c>
    </row>
    <row r="48" ht="15.75" customHeight="1">
      <c r="A48" s="32">
        <f>'EQUITY BACKTEST'!A51</f>
        <v>36482.66667</v>
      </c>
      <c r="B48" s="22">
        <f>'EQUITY BACKTEST'!B51</f>
        <v>1424.93</v>
      </c>
      <c r="C48" s="22">
        <f>1/'EQUITY BACKTEST'!E51</f>
        <v>0.9712509713</v>
      </c>
      <c r="D48" s="22">
        <f t="shared" si="5"/>
        <v>0.7605613646</v>
      </c>
      <c r="E48" s="22">
        <f t="shared" si="3"/>
        <v>0.02069424945</v>
      </c>
      <c r="H48" s="22" t="str">
        <f t="shared" si="4"/>
        <v/>
      </c>
      <c r="I48" s="22" t="str">
        <f t="shared" si="1"/>
        <v>#N/A</v>
      </c>
      <c r="J48" s="22" t="str">
        <f t="shared" si="2"/>
        <v>#N/A</v>
      </c>
      <c r="K48" s="22" t="str">
        <f t="array" ref="K48">IF(H48="Crash",MATCH(TRUE, B49:B146 &gt;= B47, 0),"")</f>
        <v/>
      </c>
    </row>
    <row r="49" ht="15.75" customHeight="1">
      <c r="A49" s="32">
        <f>'EQUITY BACKTEST'!A52</f>
        <v>36490.66667</v>
      </c>
      <c r="B49" s="22">
        <f>'EQUITY BACKTEST'!B52</f>
        <v>1416.62</v>
      </c>
      <c r="C49" s="22">
        <f>1/'EQUITY BACKTEST'!E52</f>
        <v>0.9832841691</v>
      </c>
      <c r="D49" s="22">
        <f t="shared" si="5"/>
        <v>0.8044584536</v>
      </c>
      <c r="E49" s="22">
        <f t="shared" si="3"/>
        <v>-0.005831865425</v>
      </c>
      <c r="H49" s="22" t="str">
        <f t="shared" si="4"/>
        <v/>
      </c>
      <c r="I49" s="22" t="str">
        <f t="shared" si="1"/>
        <v>#N/A</v>
      </c>
      <c r="J49" s="22" t="str">
        <f t="shared" si="2"/>
        <v>#N/A</v>
      </c>
      <c r="K49" s="22" t="str">
        <f t="array" ref="K49">IF(H49="Crash",MATCH(TRUE, B50:B147 &gt;= B48, 0),"")</f>
        <v/>
      </c>
    </row>
    <row r="50" ht="15.75" customHeight="1">
      <c r="A50" s="32">
        <f>'EQUITY BACKTEST'!A53</f>
        <v>36497.66667</v>
      </c>
      <c r="B50" s="22">
        <f>'EQUITY BACKTEST'!B53</f>
        <v>1433.3</v>
      </c>
      <c r="C50" s="22">
        <f>1/'EQUITY BACKTEST'!E53</f>
        <v>0.9971083857</v>
      </c>
      <c r="D50" s="22">
        <f t="shared" si="5"/>
        <v>0.861676786</v>
      </c>
      <c r="E50" s="22">
        <f t="shared" si="3"/>
        <v>0.01177450551</v>
      </c>
      <c r="H50" s="22" t="str">
        <f t="shared" si="4"/>
        <v/>
      </c>
      <c r="I50" s="22" t="str">
        <f t="shared" si="1"/>
        <v>#N/A</v>
      </c>
      <c r="J50" s="22" t="str">
        <f t="shared" si="2"/>
        <v>#N/A</v>
      </c>
      <c r="K50" s="22" t="str">
        <f t="array" ref="K50">IF(H50="Crash",MATCH(TRUE, B51:B148 &gt;= B49, 0),"")</f>
        <v/>
      </c>
    </row>
    <row r="51" ht="15.75" customHeight="1">
      <c r="A51" s="32">
        <f>'EQUITY BACKTEST'!A54</f>
        <v>36504.66667</v>
      </c>
      <c r="B51" s="22">
        <f>'EQUITY BACKTEST'!B54</f>
        <v>1417.04</v>
      </c>
      <c r="C51" s="22">
        <f>1/'EQUITY BACKTEST'!E54</f>
        <v>0.9871668312</v>
      </c>
      <c r="D51" s="22">
        <f t="shared" si="5"/>
        <v>0.8784271833</v>
      </c>
      <c r="E51" s="22">
        <f t="shared" si="3"/>
        <v>-0.01134444987</v>
      </c>
      <c r="H51" s="22" t="str">
        <f t="shared" si="4"/>
        <v/>
      </c>
      <c r="I51" s="22" t="str">
        <f t="shared" si="1"/>
        <v>#N/A</v>
      </c>
      <c r="J51" s="22" t="str">
        <f t="shared" si="2"/>
        <v>#N/A</v>
      </c>
      <c r="K51" s="22" t="str">
        <f t="array" ref="K51">IF(H51="Crash",MATCH(TRUE, B52:B149 &gt;= B50, 0),"")</f>
        <v/>
      </c>
    </row>
    <row r="52" ht="15.75" customHeight="1">
      <c r="A52" s="32">
        <f>'EQUITY BACKTEST'!A55</f>
        <v>36511.66667</v>
      </c>
      <c r="B52" s="22">
        <f>'EQUITY BACKTEST'!B55</f>
        <v>1421.06</v>
      </c>
      <c r="C52" s="22">
        <f>1/'EQUITY BACKTEST'!E55</f>
        <v>0.9928514694</v>
      </c>
      <c r="D52" s="22">
        <f t="shared" si="5"/>
        <v>0.8903417799</v>
      </c>
      <c r="E52" s="22">
        <f t="shared" si="3"/>
        <v>0.002836899452</v>
      </c>
      <c r="H52" s="22" t="str">
        <f t="shared" si="4"/>
        <v/>
      </c>
      <c r="I52" s="22" t="str">
        <f t="shared" si="1"/>
        <v>#N/A</v>
      </c>
      <c r="J52" s="22" t="str">
        <f t="shared" si="2"/>
        <v>#N/A</v>
      </c>
      <c r="K52" s="22" t="str">
        <f t="array" ref="K52">IF(H52="Crash",MATCH(TRUE, B53:B150 &gt;= B51, 0),"")</f>
        <v/>
      </c>
    </row>
    <row r="53" ht="15.75" customHeight="1">
      <c r="A53" s="32">
        <f>'EQUITY BACKTEST'!A56</f>
        <v>36517.66667</v>
      </c>
      <c r="B53" s="22">
        <f>'EQUITY BACKTEST'!B56</f>
        <v>1458.34</v>
      </c>
      <c r="C53" s="22">
        <f>1/'EQUITY BACKTEST'!E56</f>
        <v>0.98697197</v>
      </c>
      <c r="D53" s="22">
        <f t="shared" si="5"/>
        <v>0.9510230215</v>
      </c>
      <c r="E53" s="22">
        <f t="shared" si="3"/>
        <v>0.02623393805</v>
      </c>
      <c r="H53" s="22" t="str">
        <f t="shared" si="4"/>
        <v/>
      </c>
      <c r="I53" s="22" t="str">
        <f t="shared" si="1"/>
        <v>#N/A</v>
      </c>
      <c r="J53" s="22" t="str">
        <f t="shared" si="2"/>
        <v>#N/A</v>
      </c>
      <c r="K53" s="22" t="str">
        <f t="array" ref="K53">IF(H53="Crash",MATCH(TRUE, B54:B151 &gt;= B52, 0),"")</f>
        <v/>
      </c>
    </row>
    <row r="54" ht="15.75" customHeight="1">
      <c r="A54" s="32">
        <f>'EQUITY BACKTEST'!A57</f>
        <v>36525.66667</v>
      </c>
      <c r="B54" s="22">
        <f>'EQUITY BACKTEST'!B57</f>
        <v>1469.25</v>
      </c>
      <c r="C54" s="22">
        <f>1/'EQUITY BACKTEST'!E57</f>
        <v>0.994925878</v>
      </c>
      <c r="D54" s="22">
        <f t="shared" si="5"/>
        <v>0.9488963039</v>
      </c>
      <c r="E54" s="22">
        <f t="shared" si="3"/>
        <v>0.007481108658</v>
      </c>
      <c r="F54" s="22">
        <f t="shared" ref="F54:F1343" si="6">B54/B2-1</f>
        <v>0.1950951684</v>
      </c>
      <c r="H54" s="22" t="str">
        <f t="shared" si="4"/>
        <v/>
      </c>
      <c r="I54" s="22" t="str">
        <f t="shared" si="1"/>
        <v>#N/A</v>
      </c>
      <c r="J54" s="22" t="str">
        <f t="shared" si="2"/>
        <v>#N/A</v>
      </c>
      <c r="K54" s="22" t="str">
        <f t="array" ref="K54">IF(H54="Crash",MATCH(TRUE, B55:B152 &gt;= B53, 0),"")</f>
        <v/>
      </c>
    </row>
    <row r="55" ht="15.75" customHeight="1">
      <c r="A55" s="32">
        <f>'EQUITY BACKTEST'!A58</f>
        <v>36532.66667</v>
      </c>
      <c r="B55" s="22">
        <f>'EQUITY BACKTEST'!B58</f>
        <v>1441.46</v>
      </c>
      <c r="C55" s="22">
        <f>1/'EQUITY BACKTEST'!E58</f>
        <v>0.9712509713</v>
      </c>
      <c r="D55" s="22">
        <f t="shared" si="5"/>
        <v>0.9277945128</v>
      </c>
      <c r="E55" s="22">
        <f t="shared" si="3"/>
        <v>-0.01891441212</v>
      </c>
      <c r="F55" s="22">
        <f t="shared" si="6"/>
        <v>0.1304770644</v>
      </c>
      <c r="H55" s="22" t="str">
        <f t="shared" si="4"/>
        <v/>
      </c>
      <c r="I55" s="22" t="str">
        <f t="shared" si="1"/>
        <v>#N/A</v>
      </c>
      <c r="J55" s="22" t="str">
        <f t="shared" si="2"/>
        <v>#N/A</v>
      </c>
      <c r="K55" s="22" t="str">
        <f t="array" ref="K55">IF(H55="Crash",MATCH(TRUE, B56:B153 &gt;= B54, 0),"")</f>
        <v/>
      </c>
    </row>
    <row r="56" ht="15.75" customHeight="1">
      <c r="A56" s="32">
        <f>'EQUITY BACKTEST'!A59</f>
        <v>36539.66667</v>
      </c>
      <c r="B56" s="22">
        <f>'EQUITY BACKTEST'!B59</f>
        <v>1465.16</v>
      </c>
      <c r="C56" s="22">
        <f>1/'EQUITY BACKTEST'!E59</f>
        <v>0.9881422925</v>
      </c>
      <c r="D56" s="22">
        <f t="shared" si="5"/>
        <v>0.8812546565</v>
      </c>
      <c r="E56" s="22">
        <f t="shared" si="3"/>
        <v>0.01644166331</v>
      </c>
      <c r="F56" s="22">
        <f t="shared" si="6"/>
        <v>0.2086884069</v>
      </c>
      <c r="H56" s="22" t="str">
        <f t="shared" si="4"/>
        <v/>
      </c>
      <c r="I56" s="22" t="str">
        <f t="shared" si="1"/>
        <v>#N/A</v>
      </c>
      <c r="J56" s="22" t="str">
        <f t="shared" si="2"/>
        <v>#N/A</v>
      </c>
      <c r="K56" s="22" t="str">
        <f t="array" ref="K56">IF(H56="Crash",MATCH(TRUE, B57:B154 &gt;= B55, 0),"")</f>
        <v/>
      </c>
    </row>
    <row r="57" ht="15.75" customHeight="1">
      <c r="A57" s="32">
        <f>'EQUITY BACKTEST'!A60</f>
        <v>36546.66667</v>
      </c>
      <c r="B57" s="22">
        <f>'EQUITY BACKTEST'!B60</f>
        <v>1441.35</v>
      </c>
      <c r="C57" s="22">
        <f>1/'EQUITY BACKTEST'!E60</f>
        <v>0.9915716411</v>
      </c>
      <c r="D57" s="22">
        <f t="shared" si="5"/>
        <v>0.7911743894</v>
      </c>
      <c r="E57" s="22">
        <f t="shared" si="3"/>
        <v>-0.0162507849</v>
      </c>
      <c r="F57" s="22">
        <f t="shared" si="6"/>
        <v>0.1764297782</v>
      </c>
      <c r="H57" s="22" t="str">
        <f t="shared" si="4"/>
        <v/>
      </c>
      <c r="I57" s="22" t="str">
        <f t="shared" si="1"/>
        <v>#N/A</v>
      </c>
      <c r="J57" s="22" t="str">
        <f t="shared" si="2"/>
        <v>#N/A</v>
      </c>
      <c r="K57" s="22" t="str">
        <f t="array" ref="K57">IF(H57="Crash",MATCH(TRUE, B58:B155 &gt;= B56, 0),"")</f>
        <v/>
      </c>
    </row>
    <row r="58" ht="15.75" customHeight="1">
      <c r="A58" s="32">
        <f>'EQUITY BACKTEST'!A61</f>
        <v>36553.66667</v>
      </c>
      <c r="B58" s="22">
        <f>'EQUITY BACKTEST'!B61</f>
        <v>1360.15</v>
      </c>
      <c r="C58" s="22">
        <f>1/'EQUITY BACKTEST'!E61</f>
        <v>1.025115325</v>
      </c>
      <c r="D58" s="22">
        <f t="shared" si="5"/>
        <v>-0.008944473866</v>
      </c>
      <c r="E58" s="22">
        <f t="shared" si="3"/>
        <v>-0.05633607382</v>
      </c>
      <c r="F58" s="22">
        <f t="shared" si="6"/>
        <v>0.06291613266</v>
      </c>
      <c r="H58" s="22" t="str">
        <f t="shared" si="4"/>
        <v>Crash</v>
      </c>
      <c r="I58" s="22">
        <f t="shared" si="1"/>
        <v>-5.633607382</v>
      </c>
      <c r="J58" s="22">
        <f t="shared" si="2"/>
        <v>-0.8944473866</v>
      </c>
      <c r="K58" s="22">
        <f t="array" ref="K58">IF(H58="Crash",MATCH(TRUE, B59:B156 &gt;= B57, 0),"")</f>
        <v>7</v>
      </c>
    </row>
    <row r="59" ht="15.75" customHeight="1">
      <c r="A59" s="32">
        <f>'EQUITY BACKTEST'!A62</f>
        <v>36560.66667</v>
      </c>
      <c r="B59" s="22">
        <f>'EQUITY BACKTEST'!B62</f>
        <v>1424.37</v>
      </c>
      <c r="C59" s="22">
        <f>1/'EQUITY BACKTEST'!E62</f>
        <v>1.018122582</v>
      </c>
      <c r="D59" s="22">
        <f t="shared" si="5"/>
        <v>-0.3133875101</v>
      </c>
      <c r="E59" s="22">
        <f t="shared" si="3"/>
        <v>0.04721538066</v>
      </c>
      <c r="F59" s="22">
        <f t="shared" si="6"/>
        <v>0.1492415685</v>
      </c>
      <c r="H59" s="22" t="str">
        <f t="shared" si="4"/>
        <v/>
      </c>
      <c r="I59" s="22" t="str">
        <f t="shared" si="1"/>
        <v>#N/A</v>
      </c>
      <c r="J59" s="22" t="str">
        <f t="shared" si="2"/>
        <v>#N/A</v>
      </c>
      <c r="K59" s="22" t="str">
        <f t="array" ref="K59">IF(H59="Crash",MATCH(TRUE, B60:B157 &gt;= B58, 0),"")</f>
        <v/>
      </c>
    </row>
    <row r="60" ht="15.75" customHeight="1">
      <c r="A60" s="32">
        <f>'EQUITY BACKTEST'!A63</f>
        <v>36567.66667</v>
      </c>
      <c r="B60" s="22">
        <f>'EQUITY BACKTEST'!B63</f>
        <v>1387.11</v>
      </c>
      <c r="C60" s="22">
        <f>1/'EQUITY BACKTEST'!E63</f>
        <v>1.012248203</v>
      </c>
      <c r="D60" s="22">
        <f t="shared" si="5"/>
        <v>-0.5727679763</v>
      </c>
      <c r="E60" s="22">
        <f t="shared" si="3"/>
        <v>-0.02615893342</v>
      </c>
      <c r="F60" s="22">
        <f t="shared" si="6"/>
        <v>0.1276033622</v>
      </c>
      <c r="H60" s="22" t="str">
        <f t="shared" si="4"/>
        <v/>
      </c>
      <c r="I60" s="22" t="str">
        <f t="shared" si="1"/>
        <v>#N/A</v>
      </c>
      <c r="J60" s="22" t="str">
        <f t="shared" si="2"/>
        <v>#N/A</v>
      </c>
      <c r="K60" s="22" t="str">
        <f t="array" ref="K60">IF(H60="Crash",MATCH(TRUE, B61:B158 &gt;= B59, 0),"")</f>
        <v/>
      </c>
    </row>
    <row r="61" ht="15.75" customHeight="1">
      <c r="A61" s="32">
        <f>'EQUITY BACKTEST'!A64</f>
        <v>36574.66667</v>
      </c>
      <c r="B61" s="22">
        <f>'EQUITY BACKTEST'!B64</f>
        <v>1346.07</v>
      </c>
      <c r="C61" s="22">
        <f>1/'EQUITY BACKTEST'!E64</f>
        <v>1.014919314</v>
      </c>
      <c r="D61" s="22">
        <f t="shared" si="5"/>
        <v>-0.6871073865</v>
      </c>
      <c r="E61" s="22">
        <f t="shared" si="3"/>
        <v>-0.02958669464</v>
      </c>
      <c r="F61" s="22">
        <f t="shared" si="6"/>
        <v>0.08627618709</v>
      </c>
      <c r="H61" s="22" t="str">
        <f t="shared" si="4"/>
        <v/>
      </c>
      <c r="I61" s="22" t="str">
        <f t="shared" si="1"/>
        <v>#N/A</v>
      </c>
      <c r="J61" s="22" t="str">
        <f t="shared" si="2"/>
        <v>#N/A</v>
      </c>
      <c r="K61" s="22" t="str">
        <f t="array" ref="K61">IF(H61="Crash",MATCH(TRUE, B62:B159 &gt;= B60, 0),"")</f>
        <v/>
      </c>
    </row>
    <row r="62" ht="15.75" customHeight="1">
      <c r="A62" s="32">
        <f>'EQUITY BACKTEST'!A65</f>
        <v>36581.66667</v>
      </c>
      <c r="B62" s="22">
        <f>'EQUITY BACKTEST'!B65</f>
        <v>1333.36</v>
      </c>
      <c r="C62" s="22">
        <f>1/'EQUITY BACKTEST'!E65</f>
        <v>1.026272578</v>
      </c>
      <c r="D62" s="22">
        <f t="shared" si="5"/>
        <v>-0.7887545305</v>
      </c>
      <c r="E62" s="22">
        <f t="shared" si="3"/>
        <v>-0.009442302406</v>
      </c>
      <c r="F62" s="22">
        <f t="shared" si="6"/>
        <v>0.07674044883</v>
      </c>
      <c r="H62" s="22" t="str">
        <f t="shared" si="4"/>
        <v/>
      </c>
      <c r="I62" s="22" t="str">
        <f t="shared" si="1"/>
        <v>#N/A</v>
      </c>
      <c r="J62" s="22" t="str">
        <f t="shared" si="2"/>
        <v>#N/A</v>
      </c>
      <c r="K62" s="22" t="str">
        <f t="array" ref="K62">IF(H62="Crash",MATCH(TRUE, B63:B160 &gt;= B61, 0),"")</f>
        <v/>
      </c>
    </row>
    <row r="63" ht="15.75" customHeight="1">
      <c r="A63" s="32">
        <f>'EQUITY BACKTEST'!A66</f>
        <v>36588.66667</v>
      </c>
      <c r="B63" s="22">
        <f>'EQUITY BACKTEST'!B66</f>
        <v>1409.17</v>
      </c>
      <c r="C63" s="22">
        <f>1/'EQUITY BACKTEST'!E66</f>
        <v>1.039717197</v>
      </c>
      <c r="D63" s="22">
        <f t="shared" si="5"/>
        <v>-0.6805439846</v>
      </c>
      <c r="E63" s="22">
        <f t="shared" si="3"/>
        <v>0.05685636287</v>
      </c>
      <c r="F63" s="22">
        <f t="shared" si="6"/>
        <v>0.1048327662</v>
      </c>
      <c r="H63" s="22" t="str">
        <f t="shared" si="4"/>
        <v/>
      </c>
      <c r="I63" s="22" t="str">
        <f t="shared" si="1"/>
        <v>#N/A</v>
      </c>
      <c r="J63" s="22" t="str">
        <f t="shared" si="2"/>
        <v>#N/A</v>
      </c>
      <c r="K63" s="22" t="str">
        <f t="array" ref="K63">IF(H63="Crash",MATCH(TRUE, B64:B161 &gt;= B62, 0),"")</f>
        <v/>
      </c>
    </row>
    <row r="64" ht="15.75" customHeight="1">
      <c r="A64" s="32">
        <f>'EQUITY BACKTEST'!A67</f>
        <v>36595.66667</v>
      </c>
      <c r="B64" s="22">
        <f>'EQUITY BACKTEST'!B67</f>
        <v>1395.07</v>
      </c>
      <c r="C64" s="22">
        <f>1/'EQUITY BACKTEST'!E67</f>
        <v>1.03755966</v>
      </c>
      <c r="D64" s="22">
        <f t="shared" si="5"/>
        <v>-0.6750249004</v>
      </c>
      <c r="E64" s="22">
        <f t="shared" si="3"/>
        <v>-0.01000588999</v>
      </c>
      <c r="F64" s="22">
        <f t="shared" si="6"/>
        <v>0.07761530678</v>
      </c>
      <c r="H64" s="22" t="str">
        <f t="shared" si="4"/>
        <v/>
      </c>
      <c r="I64" s="22" t="str">
        <f t="shared" si="1"/>
        <v>#N/A</v>
      </c>
      <c r="J64" s="22" t="str">
        <f t="shared" si="2"/>
        <v>#N/A</v>
      </c>
      <c r="K64" s="22" t="str">
        <f t="array" ref="K64">IF(H64="Crash",MATCH(TRUE, B65:B162 &gt;= B63, 0),"")</f>
        <v/>
      </c>
    </row>
    <row r="65" ht="15.75" customHeight="1">
      <c r="A65" s="32">
        <f>'EQUITY BACKTEST'!A68</f>
        <v>36602.66667</v>
      </c>
      <c r="B65" s="22">
        <f>'EQUITY BACKTEST'!B68</f>
        <v>1464.47</v>
      </c>
      <c r="C65" s="22">
        <f>1/'EQUITY BACKTEST'!E68</f>
        <v>1.030184403</v>
      </c>
      <c r="D65" s="22">
        <f t="shared" si="5"/>
        <v>-0.5349338506</v>
      </c>
      <c r="E65" s="22">
        <f t="shared" si="3"/>
        <v>0.0497466077</v>
      </c>
      <c r="F65" s="22">
        <f t="shared" si="6"/>
        <v>0.1271309715</v>
      </c>
      <c r="H65" s="22" t="str">
        <f t="shared" si="4"/>
        <v/>
      </c>
      <c r="I65" s="22" t="str">
        <f t="shared" si="1"/>
        <v>#N/A</v>
      </c>
      <c r="J65" s="22" t="str">
        <f t="shared" si="2"/>
        <v>#N/A</v>
      </c>
      <c r="K65" s="22" t="str">
        <f t="array" ref="K65">IF(H65="Crash",MATCH(TRUE, B66:B163 &gt;= B64, 0),"")</f>
        <v/>
      </c>
    </row>
    <row r="66" ht="15.75" customHeight="1">
      <c r="A66" s="32">
        <f>'EQUITY BACKTEST'!A69</f>
        <v>36609.66667</v>
      </c>
      <c r="B66" s="22">
        <f>'EQUITY BACKTEST'!B69</f>
        <v>1527.54</v>
      </c>
      <c r="C66" s="22">
        <f>1/'EQUITY BACKTEST'!E69</f>
        <v>1.023541453</v>
      </c>
      <c r="D66" s="22">
        <f t="shared" si="5"/>
        <v>-0.3110011345</v>
      </c>
      <c r="E66" s="22">
        <f t="shared" si="3"/>
        <v>0.04306677501</v>
      </c>
      <c r="F66" s="22">
        <f t="shared" si="6"/>
        <v>0.1907857811</v>
      </c>
      <c r="H66" s="22" t="str">
        <f t="shared" si="4"/>
        <v/>
      </c>
      <c r="I66" s="22" t="str">
        <f t="shared" si="1"/>
        <v>#N/A</v>
      </c>
      <c r="J66" s="22" t="str">
        <f t="shared" si="2"/>
        <v>#N/A</v>
      </c>
      <c r="K66" s="22" t="str">
        <f t="array" ref="K66">IF(H66="Crash",MATCH(TRUE, B67:B164 &gt;= B65, 0),"")</f>
        <v/>
      </c>
    </row>
    <row r="67" ht="15.75" customHeight="1">
      <c r="A67" s="32">
        <f>'EQUITY BACKTEST'!A70</f>
        <v>36616.66667</v>
      </c>
      <c r="B67" s="22">
        <f>'EQUITY BACKTEST'!B70</f>
        <v>1498.58</v>
      </c>
      <c r="C67" s="22">
        <f>1/'EQUITY BACKTEST'!E70</f>
        <v>1.046134533</v>
      </c>
      <c r="D67" s="22">
        <f t="shared" si="5"/>
        <v>-0.06454201556</v>
      </c>
      <c r="E67" s="22">
        <f t="shared" si="3"/>
        <v>-0.01895858701</v>
      </c>
      <c r="F67" s="22">
        <f t="shared" si="6"/>
        <v>0.1583047992</v>
      </c>
      <c r="H67" s="22" t="str">
        <f t="shared" si="4"/>
        <v/>
      </c>
      <c r="I67" s="22" t="str">
        <f t="shared" si="1"/>
        <v>#N/A</v>
      </c>
      <c r="J67" s="22" t="str">
        <f t="shared" si="2"/>
        <v>#N/A</v>
      </c>
      <c r="K67" s="22" t="str">
        <f t="array" ref="K67">IF(H67="Crash",MATCH(TRUE, B68:B165 &gt;= B66, 0),"")</f>
        <v/>
      </c>
    </row>
    <row r="68" ht="15.75" customHeight="1">
      <c r="A68" s="32">
        <f>'EQUITY BACKTEST'!A71</f>
        <v>36623.66667</v>
      </c>
      <c r="B68" s="22">
        <f>'EQUITY BACKTEST'!B71</f>
        <v>1516.35</v>
      </c>
      <c r="C68" s="22">
        <f>1/'EQUITY BACKTEST'!E71</f>
        <v>1.047449461</v>
      </c>
      <c r="D68" s="22">
        <f t="shared" si="5"/>
        <v>0.1598706792</v>
      </c>
      <c r="E68" s="22">
        <f t="shared" si="3"/>
        <v>0.01185789214</v>
      </c>
      <c r="F68" s="22">
        <f t="shared" si="6"/>
        <v>0.1245967293</v>
      </c>
      <c r="H68" s="22" t="str">
        <f t="shared" si="4"/>
        <v/>
      </c>
      <c r="I68" s="22" t="str">
        <f t="shared" si="1"/>
        <v>#N/A</v>
      </c>
      <c r="J68" s="22" t="str">
        <f t="shared" si="2"/>
        <v>#N/A</v>
      </c>
      <c r="K68" s="22" t="str">
        <f t="array" ref="K68">IF(H68="Crash",MATCH(TRUE, B69:B166 &gt;= B67, 0),"")</f>
        <v/>
      </c>
    </row>
    <row r="69" ht="15.75" customHeight="1">
      <c r="A69" s="32">
        <f>'EQUITY BACKTEST'!A72</f>
        <v>36630.66667</v>
      </c>
      <c r="B69" s="22">
        <f>'EQUITY BACKTEST'!B72</f>
        <v>1357.52</v>
      </c>
      <c r="C69" s="22">
        <f>1/'EQUITY BACKTEST'!E72</f>
        <v>1.041124414</v>
      </c>
      <c r="D69" s="22">
        <f t="shared" si="5"/>
        <v>0.2189224579</v>
      </c>
      <c r="E69" s="22">
        <f t="shared" si="3"/>
        <v>-0.1047449467</v>
      </c>
      <c r="F69" s="22">
        <f t="shared" si="6"/>
        <v>0.02938344063</v>
      </c>
      <c r="H69" s="22" t="str">
        <f t="shared" si="4"/>
        <v>Crash</v>
      </c>
      <c r="I69" s="22">
        <f t="shared" si="1"/>
        <v>-10.47449467</v>
      </c>
      <c r="J69" s="22">
        <f t="shared" si="2"/>
        <v>21.89224579</v>
      </c>
      <c r="K69" s="22">
        <f t="array" ref="K69">IF(H69="Crash",MATCH(TRUE, B70:B167 &gt;= B68, 0),"")</f>
        <v>20</v>
      </c>
    </row>
    <row r="70" ht="15.75" customHeight="1">
      <c r="A70" s="32">
        <f>'EQUITY BACKTEST'!A73</f>
        <v>36636.66667</v>
      </c>
      <c r="B70" s="22">
        <f>'EQUITY BACKTEST'!B73</f>
        <v>1434.55</v>
      </c>
      <c r="C70" s="22">
        <f>1/'EQUITY BACKTEST'!E73</f>
        <v>1.066666667</v>
      </c>
      <c r="D70" s="22">
        <f t="shared" si="5"/>
        <v>0.3384719561</v>
      </c>
      <c r="E70" s="22">
        <f t="shared" si="3"/>
        <v>0.05674317874</v>
      </c>
      <c r="F70" s="22">
        <f t="shared" si="6"/>
        <v>0.05730395047</v>
      </c>
      <c r="H70" s="22" t="str">
        <f t="shared" si="4"/>
        <v/>
      </c>
      <c r="I70" s="22" t="str">
        <f t="shared" si="1"/>
        <v>#N/A</v>
      </c>
      <c r="J70" s="22" t="str">
        <f t="shared" si="2"/>
        <v>#N/A</v>
      </c>
      <c r="K70" s="22" t="str">
        <f t="array" ref="K70">IF(H70="Crash",MATCH(TRUE, B71:B168 &gt;= B69, 0),"")</f>
        <v/>
      </c>
    </row>
    <row r="71" ht="15.75" customHeight="1">
      <c r="A71" s="32">
        <f>'EQUITY BACKTEST'!A74</f>
        <v>36644.66667</v>
      </c>
      <c r="B71" s="22">
        <f>'EQUITY BACKTEST'!B74</f>
        <v>1452.43</v>
      </c>
      <c r="C71" s="22">
        <f>1/'EQUITY BACKTEST'!E74</f>
        <v>1.097453907</v>
      </c>
      <c r="D71" s="22">
        <f t="shared" si="5"/>
        <v>0.2940166727</v>
      </c>
      <c r="E71" s="22">
        <f t="shared" si="3"/>
        <v>0.01246383883</v>
      </c>
      <c r="F71" s="22">
        <f t="shared" si="6"/>
        <v>0.08781587501</v>
      </c>
      <c r="H71" s="22" t="str">
        <f t="shared" si="4"/>
        <v/>
      </c>
      <c r="I71" s="22" t="str">
        <f t="shared" si="1"/>
        <v>#N/A</v>
      </c>
      <c r="J71" s="22" t="str">
        <f t="shared" si="2"/>
        <v>#N/A</v>
      </c>
      <c r="K71" s="22" t="str">
        <f t="array" ref="K71">IF(H71="Crash",MATCH(TRUE, B72:B169 &gt;= B70, 0),"")</f>
        <v/>
      </c>
    </row>
    <row r="72" ht="15.75" customHeight="1">
      <c r="A72" s="32">
        <f>'EQUITY BACKTEST'!A75</f>
        <v>36651.66667</v>
      </c>
      <c r="B72" s="22">
        <f>'EQUITY BACKTEST'!B75</f>
        <v>1432.63</v>
      </c>
      <c r="C72" s="22">
        <f>1/'EQUITY BACKTEST'!E75</f>
        <v>1.113585746</v>
      </c>
      <c r="D72" s="22">
        <f t="shared" si="5"/>
        <v>0.2407296488</v>
      </c>
      <c r="E72" s="22">
        <f t="shared" si="3"/>
        <v>-0.01363232651</v>
      </c>
      <c r="F72" s="22">
        <f t="shared" si="6"/>
        <v>0.06515241636</v>
      </c>
      <c r="H72" s="22" t="str">
        <f t="shared" si="4"/>
        <v/>
      </c>
      <c r="I72" s="22" t="str">
        <f t="shared" si="1"/>
        <v>#N/A</v>
      </c>
      <c r="J72" s="22" t="str">
        <f t="shared" si="2"/>
        <v>#N/A</v>
      </c>
      <c r="K72" s="22" t="str">
        <f t="array" ref="K72">IF(H72="Crash",MATCH(TRUE, B73:B170 &gt;= B71, 0),"")</f>
        <v/>
      </c>
    </row>
    <row r="73" ht="15.75" customHeight="1">
      <c r="A73" s="32">
        <f>'EQUITY BACKTEST'!A76</f>
        <v>36658.66667</v>
      </c>
      <c r="B73" s="22">
        <f>'EQUITY BACKTEST'!B76</f>
        <v>1420.96</v>
      </c>
      <c r="C73" s="22">
        <f>1/'EQUITY BACKTEST'!E76</f>
        <v>1.087902524</v>
      </c>
      <c r="D73" s="22">
        <f t="shared" si="5"/>
        <v>0.163610078</v>
      </c>
      <c r="E73" s="22">
        <f t="shared" si="3"/>
        <v>-0.008145857619</v>
      </c>
      <c r="F73" s="22">
        <f t="shared" si="6"/>
        <v>0.06216175811</v>
      </c>
      <c r="H73" s="22" t="str">
        <f t="shared" si="4"/>
        <v/>
      </c>
      <c r="I73" s="22" t="str">
        <f t="shared" si="1"/>
        <v>#N/A</v>
      </c>
      <c r="J73" s="22" t="str">
        <f t="shared" si="2"/>
        <v>#N/A</v>
      </c>
      <c r="K73" s="22" t="str">
        <f t="array" ref="K73">IF(H73="Crash",MATCH(TRUE, B74:B171 &gt;= B72, 0),"")</f>
        <v/>
      </c>
    </row>
    <row r="74" ht="15.75" customHeight="1">
      <c r="A74" s="32">
        <f>'EQUITY BACKTEST'!A77</f>
        <v>36665.66667</v>
      </c>
      <c r="B74" s="22">
        <f>'EQUITY BACKTEST'!B77</f>
        <v>1406.95</v>
      </c>
      <c r="C74" s="22">
        <f>1/'EQUITY BACKTEST'!E77</f>
        <v>1.116071429</v>
      </c>
      <c r="D74" s="22">
        <f t="shared" si="5"/>
        <v>-0.05607880554</v>
      </c>
      <c r="E74" s="22">
        <f t="shared" si="3"/>
        <v>-0.009859531584</v>
      </c>
      <c r="F74" s="22">
        <f t="shared" si="6"/>
        <v>0.05762653256</v>
      </c>
      <c r="H74" s="22" t="str">
        <f t="shared" si="4"/>
        <v/>
      </c>
      <c r="I74" s="22" t="str">
        <f t="shared" si="1"/>
        <v>#N/A</v>
      </c>
      <c r="J74" s="22" t="str">
        <f t="shared" si="2"/>
        <v>#N/A</v>
      </c>
      <c r="K74" s="22" t="str">
        <f t="array" ref="K74">IF(H74="Crash",MATCH(TRUE, B75:B172 &gt;= B73, 0),"")</f>
        <v/>
      </c>
    </row>
    <row r="75" ht="15.75" customHeight="1">
      <c r="A75" s="32">
        <f>'EQUITY BACKTEST'!A78</f>
        <v>36672.66667</v>
      </c>
      <c r="B75" s="22">
        <f>'EQUITY BACKTEST'!B78</f>
        <v>1378.02</v>
      </c>
      <c r="C75" s="22">
        <f>1/'EQUITY BACKTEST'!E78</f>
        <v>1.071237279</v>
      </c>
      <c r="D75" s="22">
        <f t="shared" si="5"/>
        <v>-0.2748177879</v>
      </c>
      <c r="E75" s="22">
        <f t="shared" si="3"/>
        <v>-0.02056220903</v>
      </c>
      <c r="F75" s="22">
        <f t="shared" si="6"/>
        <v>0.05850904482</v>
      </c>
      <c r="H75" s="22" t="str">
        <f t="shared" si="4"/>
        <v/>
      </c>
      <c r="I75" s="22" t="str">
        <f t="shared" si="1"/>
        <v>#N/A</v>
      </c>
      <c r="J75" s="22" t="str">
        <f t="shared" si="2"/>
        <v>#N/A</v>
      </c>
      <c r="K75" s="22" t="str">
        <f t="array" ref="K75">IF(H75="Crash",MATCH(TRUE, B76:B173 &gt;= B74, 0),"")</f>
        <v/>
      </c>
    </row>
    <row r="76" ht="15.75" customHeight="1">
      <c r="A76" s="32">
        <f>'EQUITY BACKTEST'!A79</f>
        <v>36679.66667</v>
      </c>
      <c r="B76" s="22">
        <f>'EQUITY BACKTEST'!B79</f>
        <v>1477.26</v>
      </c>
      <c r="C76" s="22">
        <f>1/'EQUITY BACKTEST'!E79</f>
        <v>1.05965879</v>
      </c>
      <c r="D76" s="22">
        <f t="shared" si="5"/>
        <v>-0.3262373615</v>
      </c>
      <c r="E76" s="22">
        <f t="shared" si="3"/>
        <v>0.07201637132</v>
      </c>
      <c r="F76" s="22">
        <f t="shared" si="6"/>
        <v>0.1128973934</v>
      </c>
      <c r="H76" s="22" t="str">
        <f t="shared" si="4"/>
        <v/>
      </c>
      <c r="I76" s="22" t="str">
        <f t="shared" si="1"/>
        <v>#N/A</v>
      </c>
      <c r="J76" s="22" t="str">
        <f t="shared" si="2"/>
        <v>#N/A</v>
      </c>
      <c r="K76" s="22" t="str">
        <f t="array" ref="K76">IF(H76="Crash",MATCH(TRUE, B77:B174 &gt;= B75, 0),"")</f>
        <v/>
      </c>
    </row>
    <row r="77" ht="15.75" customHeight="1">
      <c r="A77" s="32">
        <f>'EQUITY BACKTEST'!A80</f>
        <v>36686.66667</v>
      </c>
      <c r="B77" s="22">
        <f>'EQUITY BACKTEST'!B80</f>
        <v>1456.95</v>
      </c>
      <c r="C77" s="22">
        <f>1/'EQUITY BACKTEST'!E80</f>
        <v>1.049758556</v>
      </c>
      <c r="D77" s="22">
        <f t="shared" si="5"/>
        <v>-0.4315661059</v>
      </c>
      <c r="E77" s="22">
        <f t="shared" si="3"/>
        <v>-0.01374842614</v>
      </c>
      <c r="F77" s="22">
        <f t="shared" si="6"/>
        <v>0.1262145679</v>
      </c>
      <c r="H77" s="22" t="str">
        <f t="shared" si="4"/>
        <v/>
      </c>
      <c r="I77" s="22" t="str">
        <f t="shared" si="1"/>
        <v>#N/A</v>
      </c>
      <c r="J77" s="22" t="str">
        <f t="shared" si="2"/>
        <v>#N/A</v>
      </c>
      <c r="K77" s="22" t="str">
        <f t="array" ref="K77">IF(H77="Crash",MATCH(TRUE, B78:B175 &gt;= B76, 0),"")</f>
        <v/>
      </c>
    </row>
    <row r="78" ht="15.75" customHeight="1">
      <c r="A78" s="32">
        <f>'EQUITY BACKTEST'!A81</f>
        <v>36693.66667</v>
      </c>
      <c r="B78" s="22">
        <f>'EQUITY BACKTEST'!B81</f>
        <v>1464.47</v>
      </c>
      <c r="C78" s="22">
        <f>1/'EQUITY BACKTEST'!E81</f>
        <v>1.03777501</v>
      </c>
      <c r="D78" s="22">
        <f t="shared" si="5"/>
        <v>-0.4343887936</v>
      </c>
      <c r="E78" s="22">
        <f t="shared" si="3"/>
        <v>0.005161467449</v>
      </c>
      <c r="F78" s="22">
        <f t="shared" si="6"/>
        <v>0.09057668821</v>
      </c>
      <c r="H78" s="22" t="str">
        <f t="shared" si="4"/>
        <v/>
      </c>
      <c r="I78" s="22" t="str">
        <f t="shared" si="1"/>
        <v>#N/A</v>
      </c>
      <c r="J78" s="22" t="str">
        <f t="shared" si="2"/>
        <v>#N/A</v>
      </c>
      <c r="K78" s="22" t="str">
        <f t="array" ref="K78">IF(H78="Crash",MATCH(TRUE, B79:B176 &gt;= B77, 0),"")</f>
        <v/>
      </c>
    </row>
    <row r="79" ht="15.75" customHeight="1">
      <c r="A79" s="32">
        <f>'EQUITY BACKTEST'!A82</f>
        <v>36700.66667</v>
      </c>
      <c r="B79" s="22">
        <f>'EQUITY BACKTEST'!B82</f>
        <v>1441.54</v>
      </c>
      <c r="C79" s="22">
        <f>1/'EQUITY BACKTEST'!E82</f>
        <v>1.067919692</v>
      </c>
      <c r="D79" s="22">
        <f t="shared" si="5"/>
        <v>-0.2901770411</v>
      </c>
      <c r="E79" s="22">
        <f t="shared" si="3"/>
        <v>-0.01565754164</v>
      </c>
      <c r="F79" s="22">
        <f t="shared" si="6"/>
        <v>0.09596977138</v>
      </c>
      <c r="H79" s="22" t="str">
        <f t="shared" si="4"/>
        <v/>
      </c>
      <c r="I79" s="22" t="str">
        <f t="shared" si="1"/>
        <v>#N/A</v>
      </c>
      <c r="J79" s="22" t="str">
        <f t="shared" si="2"/>
        <v>#N/A</v>
      </c>
      <c r="K79" s="22" t="str">
        <f t="array" ref="K79">IF(H79="Crash",MATCH(TRUE, B80:B177 &gt;= B78, 0),"")</f>
        <v/>
      </c>
    </row>
    <row r="80" ht="15.75" customHeight="1">
      <c r="A80" s="32">
        <f>'EQUITY BACKTEST'!A83</f>
        <v>36707.66667</v>
      </c>
      <c r="B80" s="22">
        <f>'EQUITY BACKTEST'!B83</f>
        <v>1454.6</v>
      </c>
      <c r="C80" s="22">
        <f>1/'EQUITY BACKTEST'!E83</f>
        <v>1.047339757</v>
      </c>
      <c r="D80" s="22">
        <f t="shared" si="5"/>
        <v>-0.234324861</v>
      </c>
      <c r="E80" s="22">
        <f t="shared" si="3"/>
        <v>0.009059755539</v>
      </c>
      <c r="F80" s="22">
        <f t="shared" si="6"/>
        <v>0.0455571369</v>
      </c>
      <c r="H80" s="22" t="str">
        <f t="shared" si="4"/>
        <v/>
      </c>
      <c r="I80" s="22" t="str">
        <f t="shared" si="1"/>
        <v>#N/A</v>
      </c>
      <c r="J80" s="22" t="str">
        <f t="shared" si="2"/>
        <v>#N/A</v>
      </c>
      <c r="K80" s="22" t="str">
        <f t="array" ref="K80">IF(H80="Crash",MATCH(TRUE, B81:B178 &gt;= B79, 0),"")</f>
        <v/>
      </c>
    </row>
    <row r="81" ht="15.75" customHeight="1">
      <c r="A81" s="32">
        <f>'EQUITY BACKTEST'!A84</f>
        <v>36714.66667</v>
      </c>
      <c r="B81" s="22">
        <f>'EQUITY BACKTEST'!B84</f>
        <v>1478.9</v>
      </c>
      <c r="C81" s="22">
        <f>1/'EQUITY BACKTEST'!E84</f>
        <v>1.055854714</v>
      </c>
      <c r="D81" s="22">
        <f t="shared" si="5"/>
        <v>-0.1664345631</v>
      </c>
      <c r="E81" s="22">
        <f t="shared" si="3"/>
        <v>0.01670562354</v>
      </c>
      <c r="F81" s="22">
        <f t="shared" si="6"/>
        <v>0.05388803375</v>
      </c>
      <c r="H81" s="22" t="str">
        <f t="shared" si="4"/>
        <v/>
      </c>
      <c r="I81" s="22" t="str">
        <f t="shared" si="1"/>
        <v>#N/A</v>
      </c>
      <c r="J81" s="22" t="str">
        <f t="shared" si="2"/>
        <v>#N/A</v>
      </c>
      <c r="K81" s="22" t="str">
        <f t="array" ref="K81">IF(H81="Crash",MATCH(TRUE, B82:B179 &gt;= B80, 0),"")</f>
        <v/>
      </c>
    </row>
    <row r="82" ht="15.75" customHeight="1">
      <c r="A82" s="32">
        <f>'EQUITY BACKTEST'!A85</f>
        <v>36721.66667</v>
      </c>
      <c r="B82" s="22">
        <f>'EQUITY BACKTEST'!B85</f>
        <v>1509.9</v>
      </c>
      <c r="C82" s="22">
        <f>1/'EQUITY BACKTEST'!E85</f>
        <v>1.06643916</v>
      </c>
      <c r="D82" s="22">
        <f t="shared" si="5"/>
        <v>-0.4710713647</v>
      </c>
      <c r="E82" s="22">
        <f t="shared" si="3"/>
        <v>0.02096152546</v>
      </c>
      <c r="F82" s="22">
        <f t="shared" si="6"/>
        <v>0.06422419262</v>
      </c>
      <c r="H82" s="22" t="str">
        <f t="shared" si="4"/>
        <v/>
      </c>
      <c r="I82" s="22" t="str">
        <f t="shared" si="1"/>
        <v>#N/A</v>
      </c>
      <c r="J82" s="22" t="str">
        <f t="shared" si="2"/>
        <v>#N/A</v>
      </c>
      <c r="K82" s="22" t="str">
        <f t="array" ref="K82">IF(H82="Crash",MATCH(TRUE, B83:B180 &gt;= B81, 0),"")</f>
        <v/>
      </c>
    </row>
    <row r="83" ht="15.75" customHeight="1">
      <c r="A83" s="32">
        <f>'EQUITY BACKTEST'!A86</f>
        <v>36728.66667</v>
      </c>
      <c r="B83" s="22">
        <f>'EQUITY BACKTEST'!B86</f>
        <v>1480.11</v>
      </c>
      <c r="C83" s="22">
        <f>1/'EQUITY BACKTEST'!E86</f>
        <v>1.067008109</v>
      </c>
      <c r="D83" s="22">
        <f t="shared" si="5"/>
        <v>-0.4812550849</v>
      </c>
      <c r="E83" s="22">
        <f t="shared" si="3"/>
        <v>-0.01972978343</v>
      </c>
      <c r="F83" s="22">
        <f t="shared" si="6"/>
        <v>0.09077040989</v>
      </c>
      <c r="H83" s="22" t="str">
        <f t="shared" si="4"/>
        <v/>
      </c>
      <c r="I83" s="22" t="str">
        <f t="shared" si="1"/>
        <v>#N/A</v>
      </c>
      <c r="J83" s="22" t="str">
        <f t="shared" si="2"/>
        <v>#N/A</v>
      </c>
      <c r="K83" s="22" t="str">
        <f t="array" ref="K83">IF(H83="Crash",MATCH(TRUE, B84:B181 &gt;= B82, 0),"")</f>
        <v/>
      </c>
    </row>
    <row r="84" ht="15.75" customHeight="1">
      <c r="A84" s="32">
        <f>'EQUITY BACKTEST'!A87</f>
        <v>36735.66667</v>
      </c>
      <c r="B84" s="22">
        <f>'EQUITY BACKTEST'!B87</f>
        <v>1419.89</v>
      </c>
      <c r="C84" s="22">
        <f>1/'EQUITY BACKTEST'!E87</f>
        <v>1.083188908</v>
      </c>
      <c r="D84" s="22">
        <f t="shared" si="5"/>
        <v>-0.5273694615</v>
      </c>
      <c r="E84" s="22">
        <f t="shared" si="3"/>
        <v>-0.04068616522</v>
      </c>
      <c r="F84" s="22">
        <f t="shared" si="6"/>
        <v>0.06861490758</v>
      </c>
      <c r="H84" s="22" t="str">
        <f t="shared" si="4"/>
        <v/>
      </c>
      <c r="I84" s="22" t="str">
        <f t="shared" si="1"/>
        <v>#N/A</v>
      </c>
      <c r="J84" s="22" t="str">
        <f t="shared" si="2"/>
        <v>#N/A</v>
      </c>
      <c r="K84" s="22" t="str">
        <f t="array" ref="K84">IF(H84="Crash",MATCH(TRUE, B85:B182 &gt;= B83, 0),"")</f>
        <v/>
      </c>
    </row>
    <row r="85" ht="15.75" customHeight="1">
      <c r="A85" s="32">
        <f>'EQUITY BACKTEST'!A88</f>
        <v>36742.66667</v>
      </c>
      <c r="B85" s="22">
        <f>'EQUITY BACKTEST'!B88</f>
        <v>1462.93</v>
      </c>
      <c r="C85" s="22">
        <f>1/'EQUITY BACKTEST'!E88</f>
        <v>1.102049813</v>
      </c>
      <c r="D85" s="22">
        <f t="shared" si="5"/>
        <v>-0.4461053857</v>
      </c>
      <c r="E85" s="22">
        <f t="shared" si="3"/>
        <v>0.03031220728</v>
      </c>
      <c r="F85" s="22">
        <f t="shared" si="6"/>
        <v>0.1250451808</v>
      </c>
      <c r="H85" s="22" t="str">
        <f t="shared" si="4"/>
        <v/>
      </c>
      <c r="I85" s="22" t="str">
        <f t="shared" si="1"/>
        <v>#N/A</v>
      </c>
      <c r="J85" s="22" t="str">
        <f t="shared" si="2"/>
        <v>#N/A</v>
      </c>
      <c r="K85" s="22" t="str">
        <f t="array" ref="K85">IF(H85="Crash",MATCH(TRUE, B86:B183 &gt;= B84, 0),"")</f>
        <v/>
      </c>
    </row>
    <row r="86" ht="15.75" customHeight="1">
      <c r="A86" s="32">
        <f>'EQUITY BACKTEST'!A89</f>
        <v>36749.66667</v>
      </c>
      <c r="B86" s="22">
        <f>'EQUITY BACKTEST'!B89</f>
        <v>1471.84</v>
      </c>
      <c r="C86" s="22">
        <f>1/'EQUITY BACKTEST'!E89</f>
        <v>1.108156028</v>
      </c>
      <c r="D86" s="22">
        <f t="shared" si="5"/>
        <v>-0.2942358919</v>
      </c>
      <c r="E86" s="22">
        <f t="shared" si="3"/>
        <v>0.006090516976</v>
      </c>
      <c r="F86" s="22">
        <f t="shared" si="6"/>
        <v>0.1085803808</v>
      </c>
      <c r="H86" s="22" t="str">
        <f t="shared" si="4"/>
        <v/>
      </c>
      <c r="I86" s="22" t="str">
        <f t="shared" si="1"/>
        <v>#N/A</v>
      </c>
      <c r="J86" s="22" t="str">
        <f t="shared" si="2"/>
        <v>#N/A</v>
      </c>
      <c r="K86" s="22" t="str">
        <f t="array" ref="K86">IF(H86="Crash",MATCH(TRUE, B87:B184 &gt;= B85, 0),"")</f>
        <v/>
      </c>
    </row>
    <row r="87" ht="15.75" customHeight="1">
      <c r="A87" s="32">
        <f>'EQUITY BACKTEST'!A90</f>
        <v>36756.66667</v>
      </c>
      <c r="B87" s="22">
        <f>'EQUITY BACKTEST'!B90</f>
        <v>1491.7</v>
      </c>
      <c r="C87" s="22">
        <f>1/'EQUITY BACKTEST'!E90</f>
        <v>1.103752759</v>
      </c>
      <c r="D87" s="22">
        <f t="shared" si="5"/>
        <v>0.04133847489</v>
      </c>
      <c r="E87" s="22">
        <f t="shared" si="3"/>
        <v>0.01349331449</v>
      </c>
      <c r="F87" s="22">
        <f t="shared" si="6"/>
        <v>0.1160323505</v>
      </c>
      <c r="H87" s="22" t="str">
        <f t="shared" si="4"/>
        <v/>
      </c>
      <c r="I87" s="22" t="str">
        <f t="shared" si="1"/>
        <v>#N/A</v>
      </c>
      <c r="J87" s="22" t="str">
        <f t="shared" si="2"/>
        <v>#N/A</v>
      </c>
      <c r="K87" s="22" t="str">
        <f t="array" ref="K87">IF(H87="Crash",MATCH(TRUE, B88:B185 &gt;= B86, 0),"")</f>
        <v/>
      </c>
    </row>
    <row r="88" ht="15.75" customHeight="1">
      <c r="A88" s="32">
        <f>'EQUITY BACKTEST'!A91</f>
        <v>36763.66667</v>
      </c>
      <c r="B88" s="22">
        <f>'EQUITY BACKTEST'!B91</f>
        <v>1506.46</v>
      </c>
      <c r="C88" s="22">
        <f>1/'EQUITY BACKTEST'!E91</f>
        <v>1.10864745</v>
      </c>
      <c r="D88" s="22">
        <f t="shared" si="5"/>
        <v>0.2394594971</v>
      </c>
      <c r="E88" s="22">
        <f t="shared" si="3"/>
        <v>0.009894750955</v>
      </c>
      <c r="F88" s="22">
        <f t="shared" si="6"/>
        <v>0.1173281316</v>
      </c>
      <c r="H88" s="22" t="str">
        <f t="shared" si="4"/>
        <v/>
      </c>
      <c r="I88" s="22" t="str">
        <f t="shared" si="1"/>
        <v>#N/A</v>
      </c>
      <c r="J88" s="22" t="str">
        <f t="shared" si="2"/>
        <v>#N/A</v>
      </c>
      <c r="K88" s="22" t="str">
        <f t="array" ref="K88">IF(H88="Crash",MATCH(TRUE, B89:B186 &gt;= B87, 0),"")</f>
        <v/>
      </c>
    </row>
    <row r="89" ht="15.75" customHeight="1">
      <c r="A89" s="32">
        <f>'EQUITY BACKTEST'!A92</f>
        <v>36770.66667</v>
      </c>
      <c r="B89" s="22">
        <f>'EQUITY BACKTEST'!B92</f>
        <v>1520.77</v>
      </c>
      <c r="C89" s="22">
        <f>1/'EQUITY BACKTEST'!E92</f>
        <v>1.111852346</v>
      </c>
      <c r="D89" s="22">
        <f t="shared" si="5"/>
        <v>0.3977704029</v>
      </c>
      <c r="E89" s="22">
        <f t="shared" si="3"/>
        <v>0.009499090583</v>
      </c>
      <c r="F89" s="22">
        <f t="shared" si="6"/>
        <v>0.1204871651</v>
      </c>
      <c r="H89" s="22" t="str">
        <f t="shared" si="4"/>
        <v/>
      </c>
      <c r="I89" s="22" t="str">
        <f t="shared" si="1"/>
        <v>#N/A</v>
      </c>
      <c r="J89" s="22" t="str">
        <f t="shared" si="2"/>
        <v>#N/A</v>
      </c>
      <c r="K89" s="22" t="str">
        <f t="array" ref="K89">IF(H89="Crash",MATCH(TRUE, B90:B187 &gt;= B88, 0),"")</f>
        <v/>
      </c>
    </row>
    <row r="90" ht="15.75" customHeight="1">
      <c r="A90" s="32">
        <f>'EQUITY BACKTEST'!A93</f>
        <v>36777.66667</v>
      </c>
      <c r="B90" s="22">
        <f>'EQUITY BACKTEST'!B93</f>
        <v>1494.64</v>
      </c>
      <c r="C90" s="22">
        <f>1/'EQUITY BACKTEST'!E93</f>
        <v>1.150218542</v>
      </c>
      <c r="D90" s="22">
        <f t="shared" si="5"/>
        <v>0.3992714772</v>
      </c>
      <c r="E90" s="22">
        <f t="shared" si="3"/>
        <v>-0.01718208539</v>
      </c>
      <c r="F90" s="22">
        <f t="shared" si="6"/>
        <v>0.1057810396</v>
      </c>
      <c r="H90" s="22" t="str">
        <f t="shared" si="4"/>
        <v/>
      </c>
      <c r="I90" s="22" t="str">
        <f t="shared" si="1"/>
        <v>#N/A</v>
      </c>
      <c r="J90" s="22" t="str">
        <f t="shared" si="2"/>
        <v>#N/A</v>
      </c>
      <c r="K90" s="22" t="str">
        <f t="array" ref="K90">IF(H90="Crash",MATCH(TRUE, B91:B188 &gt;= B89, 0),"")</f>
        <v/>
      </c>
    </row>
    <row r="91" ht="15.75" customHeight="1">
      <c r="A91" s="32">
        <f>'EQUITY BACKTEST'!A94</f>
        <v>36784.66667</v>
      </c>
      <c r="B91" s="22">
        <f>'EQUITY BACKTEST'!B94</f>
        <v>1465.79</v>
      </c>
      <c r="C91" s="22">
        <f>1/'EQUITY BACKTEST'!E94</f>
        <v>1.171097318</v>
      </c>
      <c r="D91" s="22">
        <f t="shared" si="5"/>
        <v>0.2267045822</v>
      </c>
      <c r="E91" s="22">
        <f t="shared" si="3"/>
        <v>-0.01930230691</v>
      </c>
      <c r="F91" s="22">
        <f t="shared" si="6"/>
        <v>0.09762471732</v>
      </c>
      <c r="H91" s="22" t="str">
        <f t="shared" si="4"/>
        <v/>
      </c>
      <c r="I91" s="22" t="str">
        <f t="shared" si="1"/>
        <v>#N/A</v>
      </c>
      <c r="J91" s="22" t="str">
        <f t="shared" si="2"/>
        <v>#N/A</v>
      </c>
      <c r="K91" s="22" t="str">
        <f t="array" ref="K91">IF(H91="Crash",MATCH(TRUE, B92:B189 &gt;= B90, 0),"")</f>
        <v/>
      </c>
    </row>
    <row r="92" ht="15.75" customHeight="1">
      <c r="A92" s="32">
        <f>'EQUITY BACKTEST'!A95</f>
        <v>36791.66667</v>
      </c>
      <c r="B92" s="22">
        <f>'EQUITY BACKTEST'!B95</f>
        <v>1448.71</v>
      </c>
      <c r="C92" s="22">
        <f>1/'EQUITY BACKTEST'!E95</f>
        <v>1.141031492</v>
      </c>
      <c r="D92" s="22">
        <f t="shared" si="5"/>
        <v>0.04226601829</v>
      </c>
      <c r="E92" s="22">
        <f t="shared" si="3"/>
        <v>-0.01165241951</v>
      </c>
      <c r="F92" s="22">
        <f t="shared" si="6"/>
        <v>0.1341438592</v>
      </c>
      <c r="H92" s="22" t="str">
        <f t="shared" si="4"/>
        <v/>
      </c>
      <c r="I92" s="22" t="str">
        <f t="shared" si="1"/>
        <v>#N/A</v>
      </c>
      <c r="J92" s="22" t="str">
        <f t="shared" si="2"/>
        <v>#N/A</v>
      </c>
      <c r="K92" s="22" t="str">
        <f t="array" ref="K92">IF(H92="Crash",MATCH(TRUE, B93:B190 &gt;= B91, 0),"")</f>
        <v/>
      </c>
    </row>
    <row r="93" ht="15.75" customHeight="1">
      <c r="A93" s="32">
        <f>'EQUITY BACKTEST'!A96</f>
        <v>36798.66667</v>
      </c>
      <c r="B93" s="22">
        <f>'EQUITY BACKTEST'!B96</f>
        <v>1436.51</v>
      </c>
      <c r="C93" s="22">
        <f>1/'EQUITY BACKTEST'!E96</f>
        <v>1.131093768</v>
      </c>
      <c r="D93" s="22">
        <f t="shared" si="5"/>
        <v>-0.1481721028</v>
      </c>
      <c r="E93" s="22">
        <f t="shared" si="3"/>
        <v>-0.008421285143</v>
      </c>
      <c r="F93" s="22">
        <f t="shared" si="6"/>
        <v>0.1198150934</v>
      </c>
      <c r="H93" s="22" t="str">
        <f t="shared" si="4"/>
        <v/>
      </c>
      <c r="I93" s="22" t="str">
        <f t="shared" si="1"/>
        <v>#N/A</v>
      </c>
      <c r="J93" s="22" t="str">
        <f t="shared" si="2"/>
        <v>#N/A</v>
      </c>
      <c r="K93" s="22" t="str">
        <f t="array" ref="K93">IF(H93="Crash",MATCH(TRUE, B94:B191 &gt;= B92, 0),"")</f>
        <v/>
      </c>
    </row>
    <row r="94" ht="15.75" customHeight="1">
      <c r="A94" s="32">
        <f>'EQUITY BACKTEST'!A97</f>
        <v>36805.66667</v>
      </c>
      <c r="B94" s="22">
        <f>'EQUITY BACKTEST'!B97</f>
        <v>1408.99</v>
      </c>
      <c r="C94" s="22">
        <f>1/'EQUITY BACKTEST'!E97</f>
        <v>1.151808339</v>
      </c>
      <c r="D94" s="22">
        <f t="shared" si="5"/>
        <v>-0.3005802493</v>
      </c>
      <c r="E94" s="22">
        <f t="shared" si="3"/>
        <v>-0.01915754154</v>
      </c>
      <c r="F94" s="22">
        <f t="shared" si="6"/>
        <v>0.05461744585</v>
      </c>
      <c r="H94" s="22" t="str">
        <f t="shared" si="4"/>
        <v/>
      </c>
      <c r="I94" s="22" t="str">
        <f t="shared" si="1"/>
        <v>#N/A</v>
      </c>
      <c r="J94" s="22" t="str">
        <f t="shared" si="2"/>
        <v>#N/A</v>
      </c>
      <c r="K94" s="22" t="str">
        <f t="array" ref="K94">IF(H94="Crash",MATCH(TRUE, B95:B192 &gt;= B93, 0),"")</f>
        <v/>
      </c>
    </row>
    <row r="95" ht="15.75" customHeight="1">
      <c r="A95" s="32">
        <f>'EQUITY BACKTEST'!A98</f>
        <v>36812.66667</v>
      </c>
      <c r="B95" s="22">
        <f>'EQUITY BACKTEST'!B98</f>
        <v>1374.12</v>
      </c>
      <c r="C95" s="22">
        <f>1/'EQUITY BACKTEST'!E98</f>
        <v>1.167951413</v>
      </c>
      <c r="D95" s="22">
        <f t="shared" si="5"/>
        <v>-0.3868579912</v>
      </c>
      <c r="E95" s="22">
        <f t="shared" si="3"/>
        <v>-0.02474822391</v>
      </c>
      <c r="F95" s="22">
        <f t="shared" si="6"/>
        <v>0.1015784706</v>
      </c>
      <c r="H95" s="22" t="str">
        <f t="shared" si="4"/>
        <v/>
      </c>
      <c r="I95" s="22" t="str">
        <f t="shared" si="1"/>
        <v>#N/A</v>
      </c>
      <c r="J95" s="22" t="str">
        <f t="shared" si="2"/>
        <v>#N/A</v>
      </c>
      <c r="K95" s="22" t="str">
        <f t="array" ref="K95">IF(H95="Crash",MATCH(TRUE, B96:B193 &gt;= B94, 0),"")</f>
        <v/>
      </c>
    </row>
    <row r="96" ht="15.75" customHeight="1">
      <c r="A96" s="32">
        <f>'EQUITY BACKTEST'!A99</f>
        <v>36819.66667</v>
      </c>
      <c r="B96" s="22">
        <f>'EQUITY BACKTEST'!B99</f>
        <v>1396.9</v>
      </c>
      <c r="C96" s="22">
        <f>1/'EQUITY BACKTEST'!E99</f>
        <v>1.187648456</v>
      </c>
      <c r="D96" s="22">
        <f t="shared" si="5"/>
        <v>-0.4906225865</v>
      </c>
      <c r="E96" s="22">
        <f t="shared" si="3"/>
        <v>0.01657788257</v>
      </c>
      <c r="F96" s="22">
        <f t="shared" si="6"/>
        <v>0.07317635309</v>
      </c>
      <c r="H96" s="22" t="str">
        <f t="shared" si="4"/>
        <v/>
      </c>
      <c r="I96" s="22" t="str">
        <f t="shared" si="1"/>
        <v>#N/A</v>
      </c>
      <c r="J96" s="22" t="str">
        <f t="shared" si="2"/>
        <v>#N/A</v>
      </c>
      <c r="K96" s="22" t="str">
        <f t="array" ref="K96">IF(H96="Crash",MATCH(TRUE, B97:B194 &gt;= B95, 0),"")</f>
        <v/>
      </c>
    </row>
    <row r="97" ht="15.75" customHeight="1">
      <c r="A97" s="32">
        <f>'EQUITY BACKTEST'!A100</f>
        <v>36826.66667</v>
      </c>
      <c r="B97" s="22">
        <f>'EQUITY BACKTEST'!B100</f>
        <v>1379.56</v>
      </c>
      <c r="C97" s="22">
        <f>1/'EQUITY BACKTEST'!E100</f>
        <v>1.193317422</v>
      </c>
      <c r="D97" s="22">
        <f t="shared" si="5"/>
        <v>-0.7541869702</v>
      </c>
      <c r="E97" s="22">
        <f t="shared" si="3"/>
        <v>-0.01241320066</v>
      </c>
      <c r="F97" s="22">
        <f t="shared" si="6"/>
        <v>0.01220165379</v>
      </c>
      <c r="H97" s="22" t="str">
        <f t="shared" si="4"/>
        <v/>
      </c>
      <c r="I97" s="22" t="str">
        <f t="shared" si="1"/>
        <v>#N/A</v>
      </c>
      <c r="J97" s="22" t="str">
        <f t="shared" si="2"/>
        <v>#N/A</v>
      </c>
      <c r="K97" s="22" t="str">
        <f t="array" ref="K97">IF(H97="Crash",MATCH(TRUE, B98:B195 &gt;= B96, 0),"")</f>
        <v/>
      </c>
    </row>
    <row r="98" ht="15.75" customHeight="1">
      <c r="A98" s="32">
        <f>'EQUITY BACKTEST'!A101</f>
        <v>36833.66667</v>
      </c>
      <c r="B98" s="22">
        <f>'EQUITY BACKTEST'!B101</f>
        <v>1426.69</v>
      </c>
      <c r="C98" s="22">
        <f>1/'EQUITY BACKTEST'!E101</f>
        <v>1.153801777</v>
      </c>
      <c r="D98" s="22">
        <f t="shared" si="5"/>
        <v>-0.7824140526</v>
      </c>
      <c r="E98" s="22">
        <f t="shared" si="3"/>
        <v>0.03416306648</v>
      </c>
      <c r="F98" s="22">
        <f t="shared" si="6"/>
        <v>0.04121236006</v>
      </c>
      <c r="H98" s="22" t="str">
        <f t="shared" si="4"/>
        <v/>
      </c>
      <c r="I98" s="22" t="str">
        <f t="shared" si="1"/>
        <v>#N/A</v>
      </c>
      <c r="J98" s="22" t="str">
        <f t="shared" si="2"/>
        <v>#N/A</v>
      </c>
      <c r="K98" s="22" t="str">
        <f t="array" ref="K98">IF(H98="Crash",MATCH(TRUE, B99:B196 &gt;= B97, 0),"")</f>
        <v/>
      </c>
    </row>
    <row r="99" ht="15.75" customHeight="1">
      <c r="A99" s="32">
        <f>'EQUITY BACKTEST'!A102</f>
        <v>36840.66667</v>
      </c>
      <c r="B99" s="22">
        <f>'EQUITY BACKTEST'!B102</f>
        <v>1365.97</v>
      </c>
      <c r="C99" s="22">
        <f>1/'EQUITY BACKTEST'!E102</f>
        <v>1.162925922</v>
      </c>
      <c r="D99" s="22">
        <f t="shared" si="5"/>
        <v>-0.7714667752</v>
      </c>
      <c r="E99" s="22">
        <f t="shared" si="3"/>
        <v>-0.04256005159</v>
      </c>
      <c r="F99" s="22">
        <f t="shared" si="6"/>
        <v>-0.02153949744</v>
      </c>
      <c r="H99" s="22" t="str">
        <f t="shared" si="4"/>
        <v/>
      </c>
      <c r="I99" s="22" t="str">
        <f t="shared" si="1"/>
        <v>#N/A</v>
      </c>
      <c r="J99" s="22" t="str">
        <f t="shared" si="2"/>
        <v>#N/A</v>
      </c>
      <c r="K99" s="22" t="str">
        <f t="array" ref="K99">IF(H99="Crash",MATCH(TRUE, B100:B197 &gt;= B98, 0),"")</f>
        <v/>
      </c>
    </row>
    <row r="100" ht="15.75" customHeight="1">
      <c r="A100" s="32">
        <f>'EQUITY BACKTEST'!A103</f>
        <v>36847.66667</v>
      </c>
      <c r="B100" s="22">
        <f>'EQUITY BACKTEST'!B103</f>
        <v>1367.72</v>
      </c>
      <c r="C100" s="22">
        <f>1/'EQUITY BACKTEST'!E103</f>
        <v>1.174122344</v>
      </c>
      <c r="D100" s="22">
        <f t="shared" si="5"/>
        <v>-0.7646389687</v>
      </c>
      <c r="E100" s="22">
        <f t="shared" si="3"/>
        <v>0.001281140874</v>
      </c>
      <c r="F100" s="22">
        <f t="shared" si="6"/>
        <v>-0.04014934067</v>
      </c>
      <c r="H100" s="22" t="str">
        <f t="shared" si="4"/>
        <v/>
      </c>
      <c r="I100" s="22" t="str">
        <f t="shared" si="1"/>
        <v>#N/A</v>
      </c>
      <c r="J100" s="22" t="str">
        <f t="shared" si="2"/>
        <v>#N/A</v>
      </c>
      <c r="K100" s="22" t="str">
        <f t="array" ref="K100">IF(H100="Crash",MATCH(TRUE, B101:B198 &gt;= B99, 0),"")</f>
        <v/>
      </c>
    </row>
    <row r="101" ht="15.75" customHeight="1">
      <c r="A101" s="32">
        <f>'EQUITY BACKTEST'!A104</f>
        <v>36854.66667</v>
      </c>
      <c r="B101" s="22">
        <f>'EQUITY BACKTEST'!B104</f>
        <v>1341.77</v>
      </c>
      <c r="C101" s="22">
        <f>1/'EQUITY BACKTEST'!E104</f>
        <v>1.194457716</v>
      </c>
      <c r="D101" s="22">
        <f t="shared" si="5"/>
        <v>-0.7550020515</v>
      </c>
      <c r="E101" s="22">
        <f t="shared" si="3"/>
        <v>-0.01897318165</v>
      </c>
      <c r="F101" s="22">
        <f t="shared" si="6"/>
        <v>-0.05283703463</v>
      </c>
      <c r="H101" s="22" t="str">
        <f t="shared" si="4"/>
        <v/>
      </c>
      <c r="I101" s="22" t="str">
        <f t="shared" si="1"/>
        <v>#N/A</v>
      </c>
      <c r="J101" s="22" t="str">
        <f t="shared" si="2"/>
        <v>#N/A</v>
      </c>
      <c r="K101" s="22" t="str">
        <f t="array" ref="K101">IF(H101="Crash",MATCH(TRUE, B102:B199 &gt;= B100, 0),"")</f>
        <v/>
      </c>
    </row>
    <row r="102" ht="15.75" customHeight="1">
      <c r="A102" s="32">
        <f>'EQUITY BACKTEST'!A105</f>
        <v>36861.66667</v>
      </c>
      <c r="B102" s="22">
        <f>'EQUITY BACKTEST'!B105</f>
        <v>1315.18</v>
      </c>
      <c r="C102" s="22">
        <f>1/'EQUITY BACKTEST'!E105</f>
        <v>1.138044839</v>
      </c>
      <c r="D102" s="22">
        <f t="shared" si="5"/>
        <v>-0.3228833708</v>
      </c>
      <c r="E102" s="22">
        <f t="shared" si="3"/>
        <v>-0.01981710725</v>
      </c>
      <c r="F102" s="22">
        <f t="shared" si="6"/>
        <v>-0.08241121887</v>
      </c>
      <c r="H102" s="22" t="str">
        <f t="shared" si="4"/>
        <v/>
      </c>
      <c r="I102" s="22" t="str">
        <f t="shared" si="1"/>
        <v>#N/A</v>
      </c>
      <c r="J102" s="22" t="str">
        <f t="shared" si="2"/>
        <v>#N/A</v>
      </c>
      <c r="K102" s="22" t="str">
        <f t="array" ref="K102">IF(H102="Crash",MATCH(TRUE, B103:B200 &gt;= B101, 0),"")</f>
        <v/>
      </c>
    </row>
    <row r="103" ht="15.75" customHeight="1">
      <c r="A103" s="32">
        <f>'EQUITY BACKTEST'!A106</f>
        <v>36868.66667</v>
      </c>
      <c r="B103" s="22">
        <f>'EQUITY BACKTEST'!B106</f>
        <v>1369.73</v>
      </c>
      <c r="C103" s="22">
        <f>1/'EQUITY BACKTEST'!E106</f>
        <v>1.126760563</v>
      </c>
      <c r="D103" s="22">
        <f t="shared" si="5"/>
        <v>-0.1700515975</v>
      </c>
      <c r="E103" s="22">
        <f t="shared" si="3"/>
        <v>0.04147721224</v>
      </c>
      <c r="F103" s="22">
        <f t="shared" si="6"/>
        <v>-0.03338649579</v>
      </c>
      <c r="H103" s="22" t="str">
        <f t="shared" si="4"/>
        <v/>
      </c>
      <c r="I103" s="22" t="str">
        <f t="shared" si="1"/>
        <v>#N/A</v>
      </c>
      <c r="J103" s="22" t="str">
        <f t="shared" si="2"/>
        <v>#N/A</v>
      </c>
      <c r="K103" s="22" t="str">
        <f t="array" ref="K103">IF(H103="Crash",MATCH(TRUE, B104:B201 &gt;= B102, 0),"")</f>
        <v/>
      </c>
    </row>
    <row r="104" ht="15.75" customHeight="1">
      <c r="A104" s="32">
        <f>'EQUITY BACKTEST'!A107</f>
        <v>36875.66667</v>
      </c>
      <c r="B104" s="22">
        <f>'EQUITY BACKTEST'!B107</f>
        <v>1312.1</v>
      </c>
      <c r="C104" s="22">
        <f>1/'EQUITY BACKTEST'!E107</f>
        <v>1.116694584</v>
      </c>
      <c r="D104" s="22">
        <f t="shared" si="5"/>
        <v>0.009637097107</v>
      </c>
      <c r="E104" s="22">
        <f t="shared" si="3"/>
        <v>-0.04207398538</v>
      </c>
      <c r="F104" s="22">
        <f t="shared" si="6"/>
        <v>-0.07667515798</v>
      </c>
      <c r="H104" s="22" t="str">
        <f t="shared" si="4"/>
        <v/>
      </c>
      <c r="I104" s="22" t="str">
        <f t="shared" si="1"/>
        <v>#N/A</v>
      </c>
      <c r="J104" s="22" t="str">
        <f t="shared" si="2"/>
        <v>#N/A</v>
      </c>
      <c r="K104" s="22" t="str">
        <f t="array" ref="K104">IF(H104="Crash",MATCH(TRUE, B105:B202 &gt;= B103, 0),"")</f>
        <v/>
      </c>
    </row>
    <row r="105" ht="15.75" customHeight="1">
      <c r="A105" s="32">
        <f>'EQUITY BACKTEST'!A108</f>
        <v>36882.66667</v>
      </c>
      <c r="B105" s="22">
        <f>'EQUITY BACKTEST'!B108</f>
        <v>1305.9</v>
      </c>
      <c r="C105" s="22">
        <f>1/'EQUITY BACKTEST'!E108</f>
        <v>1.082485386</v>
      </c>
      <c r="D105" s="22">
        <f t="shared" si="5"/>
        <v>0.3673276669</v>
      </c>
      <c r="E105" s="22">
        <f t="shared" si="3"/>
        <v>-0.0047252496</v>
      </c>
      <c r="F105" s="22">
        <f t="shared" si="6"/>
        <v>-0.1045298079</v>
      </c>
      <c r="H105" s="22" t="str">
        <f t="shared" si="4"/>
        <v/>
      </c>
      <c r="I105" s="22" t="str">
        <f t="shared" si="1"/>
        <v>#N/A</v>
      </c>
      <c r="J105" s="22" t="str">
        <f t="shared" si="2"/>
        <v>#N/A</v>
      </c>
      <c r="K105" s="22" t="str">
        <f t="array" ref="K105">IF(H105="Crash",MATCH(TRUE, B106:B203 &gt;= B104, 0),"")</f>
        <v/>
      </c>
    </row>
    <row r="106" ht="15.75" customHeight="1">
      <c r="A106" s="32">
        <f>'EQUITY BACKTEST'!A109</f>
        <v>36889.66667</v>
      </c>
      <c r="B106" s="22">
        <f>'EQUITY BACKTEST'!B109</f>
        <v>1320.41</v>
      </c>
      <c r="C106" s="22">
        <f>1/'EQUITY BACKTEST'!E109</f>
        <v>1.062586335</v>
      </c>
      <c r="D106" s="22">
        <f t="shared" si="5"/>
        <v>0.5911220958</v>
      </c>
      <c r="E106" s="22">
        <f t="shared" si="3"/>
        <v>0.01111111111</v>
      </c>
      <c r="F106" s="22">
        <f t="shared" si="6"/>
        <v>-0.1013033861</v>
      </c>
      <c r="H106" s="22" t="str">
        <f t="shared" si="4"/>
        <v/>
      </c>
      <c r="I106" s="22" t="str">
        <f t="shared" si="1"/>
        <v>#N/A</v>
      </c>
      <c r="J106" s="22" t="str">
        <f t="shared" si="2"/>
        <v>#N/A</v>
      </c>
      <c r="K106" s="22" t="str">
        <f t="array" ref="K106">IF(H106="Crash",MATCH(TRUE, B107:B204 &gt;= B105, 0),"")</f>
        <v/>
      </c>
    </row>
    <row r="107" ht="15.75" customHeight="1">
      <c r="A107" s="32">
        <f>'EQUITY BACKTEST'!A110</f>
        <v>36896.66667</v>
      </c>
      <c r="B107" s="22">
        <f>'EQUITY BACKTEST'!B110</f>
        <v>1298.34</v>
      </c>
      <c r="C107" s="22">
        <f>1/'EQUITY BACKTEST'!E110</f>
        <v>1.046243984</v>
      </c>
      <c r="D107" s="22">
        <f t="shared" si="5"/>
        <v>0.7007853472</v>
      </c>
      <c r="E107" s="22">
        <f t="shared" si="3"/>
        <v>-0.01671450534</v>
      </c>
      <c r="F107" s="22">
        <f t="shared" si="6"/>
        <v>-0.09928822166</v>
      </c>
      <c r="H107" s="22" t="str">
        <f t="shared" si="4"/>
        <v/>
      </c>
      <c r="I107" s="22" t="str">
        <f t="shared" si="1"/>
        <v>#N/A</v>
      </c>
      <c r="J107" s="22" t="str">
        <f t="shared" si="2"/>
        <v>#N/A</v>
      </c>
      <c r="K107" s="22" t="str">
        <f t="array" ref="K107">IF(H107="Crash",MATCH(TRUE, B108:B205 &gt;= B106, 0),"")</f>
        <v/>
      </c>
    </row>
    <row r="108" ht="15.75" customHeight="1">
      <c r="A108" s="32">
        <f>'EQUITY BACKTEST'!A111</f>
        <v>36903.66667</v>
      </c>
      <c r="B108" s="22">
        <f>'EQUITY BACKTEST'!B111</f>
        <v>1318.55</v>
      </c>
      <c r="C108" s="22">
        <f>1/'EQUITY BACKTEST'!E111</f>
        <v>1.048327917</v>
      </c>
      <c r="D108" s="22">
        <f t="shared" si="5"/>
        <v>0.7014964734</v>
      </c>
      <c r="E108" s="22">
        <f t="shared" si="3"/>
        <v>0.01556603047</v>
      </c>
      <c r="F108" s="22">
        <f t="shared" si="6"/>
        <v>-0.1000641568</v>
      </c>
      <c r="H108" s="22" t="str">
        <f t="shared" si="4"/>
        <v/>
      </c>
      <c r="I108" s="22" t="str">
        <f t="shared" si="1"/>
        <v>#N/A</v>
      </c>
      <c r="J108" s="22" t="str">
        <f t="shared" si="2"/>
        <v>#N/A</v>
      </c>
      <c r="K108" s="22" t="str">
        <f t="array" ref="K108">IF(H108="Crash",MATCH(TRUE, B109:B206 &gt;= B107, 0),"")</f>
        <v/>
      </c>
    </row>
    <row r="109" ht="15.75" customHeight="1">
      <c r="A109" s="32">
        <f>'EQUITY BACKTEST'!A112</f>
        <v>36910.66667</v>
      </c>
      <c r="B109" s="22">
        <f>'EQUITY BACKTEST'!B112</f>
        <v>1342.55</v>
      </c>
      <c r="C109" s="22">
        <f>1/'EQUITY BACKTEST'!E112</f>
        <v>1.069518717</v>
      </c>
      <c r="D109" s="22">
        <f t="shared" si="5"/>
        <v>0.6372566376</v>
      </c>
      <c r="E109" s="22">
        <f t="shared" si="3"/>
        <v>0.0182018126</v>
      </c>
      <c r="F109" s="22">
        <f t="shared" si="6"/>
        <v>-0.06854684844</v>
      </c>
      <c r="H109" s="22" t="str">
        <f t="shared" si="4"/>
        <v/>
      </c>
      <c r="I109" s="22" t="str">
        <f t="shared" si="1"/>
        <v>#N/A</v>
      </c>
      <c r="J109" s="22" t="str">
        <f t="shared" si="2"/>
        <v>#N/A</v>
      </c>
      <c r="K109" s="22" t="str">
        <f t="array" ref="K109">IF(H109="Crash",MATCH(TRUE, B110:B207 &gt;= B108, 0),"")</f>
        <v/>
      </c>
    </row>
    <row r="110" ht="15.75" customHeight="1">
      <c r="A110" s="32">
        <f>'EQUITY BACKTEST'!A113</f>
        <v>36917.66667</v>
      </c>
      <c r="B110" s="22">
        <f>'EQUITY BACKTEST'!B113</f>
        <v>1354.94</v>
      </c>
      <c r="C110" s="22">
        <f>1/'EQUITY BACKTEST'!E113</f>
        <v>1.082133968</v>
      </c>
      <c r="D110" s="22">
        <f t="shared" si="5"/>
        <v>0.559357501</v>
      </c>
      <c r="E110" s="22">
        <f t="shared" si="3"/>
        <v>0.009228706566</v>
      </c>
      <c r="F110" s="22">
        <f t="shared" si="6"/>
        <v>-0.003830459876</v>
      </c>
      <c r="H110" s="22" t="str">
        <f t="shared" si="4"/>
        <v/>
      </c>
      <c r="I110" s="22" t="str">
        <f t="shared" si="1"/>
        <v>#N/A</v>
      </c>
      <c r="J110" s="22" t="str">
        <f t="shared" si="2"/>
        <v>#N/A</v>
      </c>
      <c r="K110" s="22" t="str">
        <f t="array" ref="K110">IF(H110="Crash",MATCH(TRUE, B111:B208 &gt;= B109, 0),"")</f>
        <v/>
      </c>
    </row>
    <row r="111" ht="15.75" customHeight="1">
      <c r="A111" s="32">
        <f>'EQUITY BACKTEST'!A114</f>
        <v>36924.66667</v>
      </c>
      <c r="B111" s="22">
        <f>'EQUITY BACKTEST'!B114</f>
        <v>1349.47</v>
      </c>
      <c r="C111" s="22">
        <f>1/'EQUITY BACKTEST'!E114</f>
        <v>1.068947087</v>
      </c>
      <c r="D111" s="22">
        <f t="shared" si="5"/>
        <v>0.5068179452</v>
      </c>
      <c r="E111" s="22">
        <f t="shared" si="3"/>
        <v>-0.004037079133</v>
      </c>
      <c r="F111" s="22">
        <f t="shared" si="6"/>
        <v>-0.05258465146</v>
      </c>
      <c r="H111" s="22" t="str">
        <f t="shared" si="4"/>
        <v/>
      </c>
      <c r="I111" s="22" t="str">
        <f t="shared" si="1"/>
        <v>#N/A</v>
      </c>
      <c r="J111" s="22" t="str">
        <f t="shared" si="2"/>
        <v>#N/A</v>
      </c>
      <c r="K111" s="22" t="str">
        <f t="array" ref="K111">IF(H111="Crash",MATCH(TRUE, B112:B209 &gt;= B110, 0),"")</f>
        <v/>
      </c>
    </row>
    <row r="112" ht="15.75" customHeight="1">
      <c r="A112" s="32">
        <f>'EQUITY BACKTEST'!A115</f>
        <v>36931.66667</v>
      </c>
      <c r="B112" s="22">
        <f>'EQUITY BACKTEST'!B115</f>
        <v>1314.76</v>
      </c>
      <c r="C112" s="22">
        <f>1/'EQUITY BACKTEST'!E115</f>
        <v>1.081899816</v>
      </c>
      <c r="D112" s="22">
        <f t="shared" si="5"/>
        <v>0.4471188045</v>
      </c>
      <c r="E112" s="22">
        <f t="shared" si="3"/>
        <v>-0.02572120907</v>
      </c>
      <c r="F112" s="22">
        <f t="shared" si="6"/>
        <v>-0.052158805</v>
      </c>
      <c r="H112" s="22" t="str">
        <f t="shared" si="4"/>
        <v/>
      </c>
      <c r="I112" s="22" t="str">
        <f t="shared" si="1"/>
        <v>#N/A</v>
      </c>
      <c r="J112" s="22" t="str">
        <f t="shared" si="2"/>
        <v>#N/A</v>
      </c>
      <c r="K112" s="22" t="str">
        <f t="array" ref="K112">IF(H112="Crash",MATCH(TRUE, B113:B210 &gt;= B111, 0),"")</f>
        <v/>
      </c>
    </row>
    <row r="113" ht="15.75" customHeight="1">
      <c r="A113" s="32">
        <f>'EQUITY BACKTEST'!A116</f>
        <v>36938.66667</v>
      </c>
      <c r="B113" s="22">
        <f>'EQUITY BACKTEST'!B116</f>
        <v>1301.47</v>
      </c>
      <c r="C113" s="22">
        <f>1/'EQUITY BACKTEST'!E116</f>
        <v>1.094451133</v>
      </c>
      <c r="D113" s="22">
        <f t="shared" si="5"/>
        <v>0.2749574917</v>
      </c>
      <c r="E113" s="22">
        <f t="shared" si="3"/>
        <v>-0.01010830874</v>
      </c>
      <c r="F113" s="22">
        <f t="shared" si="6"/>
        <v>-0.03313349231</v>
      </c>
      <c r="H113" s="22" t="str">
        <f t="shared" si="4"/>
        <v/>
      </c>
      <c r="I113" s="22" t="str">
        <f t="shared" si="1"/>
        <v>#N/A</v>
      </c>
      <c r="J113" s="22" t="str">
        <f t="shared" si="2"/>
        <v>#N/A</v>
      </c>
      <c r="K113" s="22" t="str">
        <f t="array" ref="K113">IF(H113="Crash",MATCH(TRUE, B114:B211 &gt;= B112, 0),"")</f>
        <v/>
      </c>
    </row>
    <row r="114" ht="15.75" customHeight="1">
      <c r="A114" s="32">
        <f>'EQUITY BACKTEST'!A117</f>
        <v>36945.66667</v>
      </c>
      <c r="B114" s="22">
        <f>'EQUITY BACKTEST'!B117</f>
        <v>1245.47</v>
      </c>
      <c r="C114" s="22">
        <f>1/'EQUITY BACKTEST'!E117</f>
        <v>1.088139282</v>
      </c>
      <c r="D114" s="22">
        <f t="shared" si="5"/>
        <v>0.1111044372</v>
      </c>
      <c r="E114" s="22">
        <f t="shared" si="3"/>
        <v>-0.04302826804</v>
      </c>
      <c r="F114" s="22">
        <f t="shared" si="6"/>
        <v>-0.06591618168</v>
      </c>
      <c r="H114" s="22" t="str">
        <f t="shared" si="4"/>
        <v/>
      </c>
      <c r="I114" s="22" t="str">
        <f t="shared" si="1"/>
        <v>#N/A</v>
      </c>
      <c r="J114" s="22" t="str">
        <f t="shared" si="2"/>
        <v>#N/A</v>
      </c>
      <c r="K114" s="22" t="str">
        <f t="array" ref="K114">IF(H114="Crash",MATCH(TRUE, B115:B212 &gt;= B113, 0),"")</f>
        <v/>
      </c>
    </row>
    <row r="115" ht="15.75" customHeight="1">
      <c r="A115" s="32">
        <f>'EQUITY BACKTEST'!A118</f>
        <v>36952.66667</v>
      </c>
      <c r="B115" s="22">
        <f>'EQUITY BACKTEST'!B118</f>
        <v>1234.18</v>
      </c>
      <c r="C115" s="22">
        <f>1/'EQUITY BACKTEST'!E118</f>
        <v>1.069061364</v>
      </c>
      <c r="D115" s="22">
        <f t="shared" si="5"/>
        <v>0.2097841319</v>
      </c>
      <c r="E115" s="22">
        <f t="shared" si="3"/>
        <v>-0.00906485102</v>
      </c>
      <c r="F115" s="22">
        <f t="shared" si="6"/>
        <v>-0.1241794815</v>
      </c>
      <c r="H115" s="22" t="str">
        <f t="shared" si="4"/>
        <v/>
      </c>
      <c r="I115" s="22" t="str">
        <f t="shared" si="1"/>
        <v>#N/A</v>
      </c>
      <c r="J115" s="22" t="str">
        <f t="shared" si="2"/>
        <v>#N/A</v>
      </c>
      <c r="K115" s="22" t="str">
        <f t="array" ref="K115">IF(H115="Crash",MATCH(TRUE, B116:B213 &gt;= B114, 0),"")</f>
        <v/>
      </c>
    </row>
    <row r="116" ht="15.75" customHeight="1">
      <c r="A116" s="32">
        <f>'EQUITY BACKTEST'!A119</f>
        <v>36959.66667</v>
      </c>
      <c r="B116" s="22">
        <f>'EQUITY BACKTEST'!B119</f>
        <v>1233.42</v>
      </c>
      <c r="C116" s="22">
        <f>1/'EQUITY BACKTEST'!E119</f>
        <v>1.071581655</v>
      </c>
      <c r="D116" s="22">
        <f t="shared" si="5"/>
        <v>-0.03000261004</v>
      </c>
      <c r="E116" s="22">
        <f t="shared" si="3"/>
        <v>-0.0006157934823</v>
      </c>
      <c r="F116" s="22">
        <f t="shared" si="6"/>
        <v>-0.1158723218</v>
      </c>
      <c r="H116" s="22" t="str">
        <f t="shared" si="4"/>
        <v/>
      </c>
      <c r="I116" s="22" t="str">
        <f t="shared" si="1"/>
        <v>#N/A</v>
      </c>
      <c r="J116" s="22" t="str">
        <f t="shared" si="2"/>
        <v>#N/A</v>
      </c>
      <c r="K116" s="22" t="str">
        <f t="array" ref="K116">IF(H116="Crash",MATCH(TRUE, B117:B214 &gt;= B115, 0),"")</f>
        <v/>
      </c>
    </row>
    <row r="117" ht="15.75" customHeight="1">
      <c r="A117" s="32">
        <f>'EQUITY BACKTEST'!A120</f>
        <v>36966.66667</v>
      </c>
      <c r="B117" s="22">
        <f>'EQUITY BACKTEST'!B120</f>
        <v>1150.55</v>
      </c>
      <c r="C117" s="22">
        <f>1/'EQUITY BACKTEST'!E120</f>
        <v>1.115448968</v>
      </c>
      <c r="D117" s="22">
        <f t="shared" si="5"/>
        <v>-0.5174537004</v>
      </c>
      <c r="E117" s="22">
        <f t="shared" si="3"/>
        <v>-0.06718717063</v>
      </c>
      <c r="F117" s="22">
        <f t="shared" si="6"/>
        <v>-0.2143574126</v>
      </c>
      <c r="H117" s="22" t="str">
        <f t="shared" si="4"/>
        <v>Crash</v>
      </c>
      <c r="I117" s="22">
        <f t="shared" si="1"/>
        <v>-6.718717063</v>
      </c>
      <c r="J117" s="22">
        <f t="shared" si="2"/>
        <v>-51.74537004</v>
      </c>
      <c r="K117" s="22">
        <f t="array" ref="K117">IF(H117="Crash",MATCH(TRUE, B118:B215 &gt;= B116, 0),"")</f>
        <v>5</v>
      </c>
    </row>
    <row r="118" ht="15.75" customHeight="1">
      <c r="A118" s="32">
        <f>'EQUITY BACKTEST'!A121</f>
        <v>36973.66667</v>
      </c>
      <c r="B118" s="22">
        <f>'EQUITY BACKTEST'!B121</f>
        <v>1139.85</v>
      </c>
      <c r="C118" s="22">
        <f>1/'EQUITY BACKTEST'!E121</f>
        <v>1.124227094</v>
      </c>
      <c r="D118" s="22">
        <f t="shared" si="5"/>
        <v>-0.6929080617</v>
      </c>
      <c r="E118" s="22">
        <f t="shared" si="3"/>
        <v>-0.009299900048</v>
      </c>
      <c r="F118" s="22">
        <f t="shared" si="6"/>
        <v>-0.2538002278</v>
      </c>
      <c r="H118" s="22" t="str">
        <f t="shared" si="4"/>
        <v/>
      </c>
      <c r="I118" s="22" t="str">
        <f t="shared" si="1"/>
        <v>#N/A</v>
      </c>
      <c r="J118" s="22" t="str">
        <f t="shared" si="2"/>
        <v>#N/A</v>
      </c>
      <c r="K118" s="22" t="str">
        <f t="array" ref="K118">IF(H118="Crash",MATCH(TRUE, B119:B216 &gt;= B117, 0),"")</f>
        <v/>
      </c>
    </row>
    <row r="119" ht="15.75" customHeight="1">
      <c r="A119" s="32">
        <f>'EQUITY BACKTEST'!A122</f>
        <v>36980.66667</v>
      </c>
      <c r="B119" s="22">
        <f>'EQUITY BACKTEST'!B122</f>
        <v>1160.33</v>
      </c>
      <c r="C119" s="22">
        <f>1/'EQUITY BACKTEST'!E122</f>
        <v>1.14246544</v>
      </c>
      <c r="D119" s="22">
        <f t="shared" si="5"/>
        <v>-0.7416469553</v>
      </c>
      <c r="E119" s="22">
        <f t="shared" si="3"/>
        <v>0.0179672764</v>
      </c>
      <c r="F119" s="22">
        <f t="shared" si="6"/>
        <v>-0.2257136756</v>
      </c>
      <c r="H119" s="22" t="str">
        <f t="shared" si="4"/>
        <v/>
      </c>
      <c r="I119" s="22" t="str">
        <f t="shared" si="1"/>
        <v>#N/A</v>
      </c>
      <c r="J119" s="22" t="str">
        <f t="shared" si="2"/>
        <v>#N/A</v>
      </c>
      <c r="K119" s="22" t="str">
        <f t="array" ref="K119">IF(H119="Crash",MATCH(TRUE, B120:B217 &gt;= B118, 0),"")</f>
        <v/>
      </c>
    </row>
    <row r="120" ht="15.75" customHeight="1">
      <c r="A120" s="32">
        <f>'EQUITY BACKTEST'!A123</f>
        <v>36987.66667</v>
      </c>
      <c r="B120" s="22">
        <f>'EQUITY BACKTEST'!B123</f>
        <v>1128.43</v>
      </c>
      <c r="C120" s="22">
        <f>1/'EQUITY BACKTEST'!E123</f>
        <v>1.10619469</v>
      </c>
      <c r="D120" s="22">
        <f t="shared" si="5"/>
        <v>-0.7549802365</v>
      </c>
      <c r="E120" s="22">
        <f t="shared" si="3"/>
        <v>-0.02749217895</v>
      </c>
      <c r="F120" s="22">
        <f t="shared" si="6"/>
        <v>-0.2558248425</v>
      </c>
      <c r="H120" s="22" t="str">
        <f t="shared" si="4"/>
        <v/>
      </c>
      <c r="I120" s="22" t="str">
        <f t="shared" si="1"/>
        <v>#N/A</v>
      </c>
      <c r="J120" s="22" t="str">
        <f t="shared" si="2"/>
        <v>#N/A</v>
      </c>
      <c r="K120" s="22" t="str">
        <f t="array" ref="K120">IF(H120="Crash",MATCH(TRUE, B121:B218 &gt;= B119, 0),"")</f>
        <v/>
      </c>
    </row>
    <row r="121" ht="15.75" customHeight="1">
      <c r="A121" s="32">
        <f>'EQUITY BACKTEST'!A124</f>
        <v>36993.66667</v>
      </c>
      <c r="B121" s="22">
        <f>'EQUITY BACKTEST'!B124</f>
        <v>1183.5</v>
      </c>
      <c r="C121" s="22">
        <f>1/'EQUITY BACKTEST'!E124</f>
        <v>1.126126126</v>
      </c>
      <c r="D121" s="22">
        <f t="shared" si="5"/>
        <v>-0.7587367878</v>
      </c>
      <c r="E121" s="22">
        <f t="shared" si="3"/>
        <v>0.04880231827</v>
      </c>
      <c r="F121" s="22">
        <f t="shared" si="6"/>
        <v>-0.1281896399</v>
      </c>
      <c r="H121" s="22" t="str">
        <f t="shared" si="4"/>
        <v/>
      </c>
      <c r="I121" s="22" t="str">
        <f t="shared" si="1"/>
        <v>#N/A</v>
      </c>
      <c r="J121" s="22" t="str">
        <f t="shared" si="2"/>
        <v>#N/A</v>
      </c>
      <c r="K121" s="22" t="str">
        <f t="array" ref="K121">IF(H121="Crash",MATCH(TRUE, B122:B219 &gt;= B120, 0),"")</f>
        <v/>
      </c>
    </row>
    <row r="122" ht="15.75" customHeight="1">
      <c r="A122" s="32">
        <f>'EQUITY BACKTEST'!A125</f>
        <v>37001.66667</v>
      </c>
      <c r="B122" s="22">
        <f>'EQUITY BACKTEST'!B125</f>
        <v>1242.95</v>
      </c>
      <c r="C122" s="22">
        <f>1/'EQUITY BACKTEST'!E125</f>
        <v>1.109508488</v>
      </c>
      <c r="D122" s="22">
        <f t="shared" si="5"/>
        <v>-0.7173559018</v>
      </c>
      <c r="E122" s="22">
        <f t="shared" si="3"/>
        <v>0.05023236164</v>
      </c>
      <c r="F122" s="22">
        <f t="shared" si="6"/>
        <v>-0.133561047</v>
      </c>
      <c r="H122" s="22" t="str">
        <f t="shared" si="4"/>
        <v/>
      </c>
      <c r="I122" s="22" t="str">
        <f t="shared" si="1"/>
        <v>#N/A</v>
      </c>
      <c r="J122" s="22" t="str">
        <f t="shared" si="2"/>
        <v>#N/A</v>
      </c>
      <c r="K122" s="22" t="str">
        <f t="array" ref="K122">IF(H122="Crash",MATCH(TRUE, B123:B220 &gt;= B121, 0),"")</f>
        <v/>
      </c>
    </row>
    <row r="123" ht="15.75" customHeight="1">
      <c r="A123" s="32">
        <f>'EQUITY BACKTEST'!A126</f>
        <v>37008.66667</v>
      </c>
      <c r="B123" s="22">
        <f>'EQUITY BACKTEST'!B126</f>
        <v>1253.07</v>
      </c>
      <c r="C123" s="22">
        <f>1/'EQUITY BACKTEST'!E126</f>
        <v>1.123848056</v>
      </c>
      <c r="D123" s="22">
        <f t="shared" si="5"/>
        <v>-0.6546114587</v>
      </c>
      <c r="E123" s="22">
        <f t="shared" si="3"/>
        <v>0.008141920431</v>
      </c>
      <c r="F123" s="22">
        <f t="shared" si="6"/>
        <v>-0.137259627</v>
      </c>
      <c r="H123" s="22" t="str">
        <f t="shared" si="4"/>
        <v/>
      </c>
      <c r="I123" s="22" t="str">
        <f t="shared" si="1"/>
        <v>#N/A</v>
      </c>
      <c r="J123" s="22" t="str">
        <f t="shared" si="2"/>
        <v>#N/A</v>
      </c>
      <c r="K123" s="22" t="str">
        <f t="array" ref="K123">IF(H123="Crash",MATCH(TRUE, B124:B221 &gt;= B122, 0),"")</f>
        <v/>
      </c>
    </row>
    <row r="124" ht="15.75" customHeight="1">
      <c r="A124" s="32">
        <f>'EQUITY BACKTEST'!A127</f>
        <v>37015.66667</v>
      </c>
      <c r="B124" s="22">
        <f>'EQUITY BACKTEST'!B127</f>
        <v>1266.59</v>
      </c>
      <c r="C124" s="22">
        <f>1/'EQUITY BACKTEST'!E127</f>
        <v>1.121076233</v>
      </c>
      <c r="D124" s="22">
        <f t="shared" si="5"/>
        <v>-0.4956669431</v>
      </c>
      <c r="E124" s="22">
        <f t="shared" si="3"/>
        <v>0.01078950099</v>
      </c>
      <c r="F124" s="22">
        <f t="shared" si="6"/>
        <v>-0.1158987317</v>
      </c>
      <c r="H124" s="22" t="str">
        <f t="shared" si="4"/>
        <v/>
      </c>
      <c r="I124" s="22" t="str">
        <f t="shared" si="1"/>
        <v>#N/A</v>
      </c>
      <c r="J124" s="22" t="str">
        <f t="shared" si="2"/>
        <v>#N/A</v>
      </c>
      <c r="K124" s="22" t="str">
        <f t="array" ref="K124">IF(H124="Crash",MATCH(TRUE, B125:B222 &gt;= B123, 0),"")</f>
        <v/>
      </c>
    </row>
    <row r="125" ht="15.75" customHeight="1">
      <c r="A125" s="32">
        <f>'EQUITY BACKTEST'!A128</f>
        <v>37022.66667</v>
      </c>
      <c r="B125" s="22">
        <f>'EQUITY BACKTEST'!B128</f>
        <v>1245.65</v>
      </c>
      <c r="C125" s="22">
        <f>1/'EQUITY BACKTEST'!E128</f>
        <v>1.143379831</v>
      </c>
      <c r="D125" s="22">
        <f t="shared" si="5"/>
        <v>-0.3023593592</v>
      </c>
      <c r="E125" s="22">
        <f t="shared" si="3"/>
        <v>-0.0165325796</v>
      </c>
      <c r="F125" s="22">
        <f t="shared" si="6"/>
        <v>-0.1233743385</v>
      </c>
      <c r="H125" s="22" t="str">
        <f t="shared" si="4"/>
        <v/>
      </c>
      <c r="I125" s="22" t="str">
        <f t="shared" si="1"/>
        <v>#N/A</v>
      </c>
      <c r="J125" s="22" t="str">
        <f t="shared" si="2"/>
        <v>#N/A</v>
      </c>
      <c r="K125" s="22" t="str">
        <f t="array" ref="K125">IF(H125="Crash",MATCH(TRUE, B126:B223 &gt;= B124, 0),"")</f>
        <v/>
      </c>
    </row>
    <row r="126" ht="15.75" customHeight="1">
      <c r="A126" s="32">
        <f>'EQUITY BACKTEST'!A129</f>
        <v>37029.66667</v>
      </c>
      <c r="B126" s="22">
        <f>'EQUITY BACKTEST'!B129</f>
        <v>1291.96</v>
      </c>
      <c r="C126" s="22">
        <f>1/'EQUITY BACKTEST'!E129</f>
        <v>1.138952164</v>
      </c>
      <c r="D126" s="22">
        <f t="shared" si="5"/>
        <v>-0.07081155731</v>
      </c>
      <c r="E126" s="22">
        <f t="shared" si="3"/>
        <v>0.03717737727</v>
      </c>
      <c r="F126" s="22">
        <f t="shared" si="6"/>
        <v>-0.0817299833</v>
      </c>
      <c r="H126" s="22" t="str">
        <f t="shared" si="4"/>
        <v/>
      </c>
      <c r="I126" s="22" t="str">
        <f t="shared" si="1"/>
        <v>#N/A</v>
      </c>
      <c r="J126" s="22" t="str">
        <f t="shared" si="2"/>
        <v>#N/A</v>
      </c>
      <c r="K126" s="22" t="str">
        <f t="array" ref="K126">IF(H126="Crash",MATCH(TRUE, B127:B224 &gt;= B125, 0),"")</f>
        <v/>
      </c>
    </row>
    <row r="127" ht="15.75" customHeight="1">
      <c r="A127" s="32">
        <f>'EQUITY BACKTEST'!A130</f>
        <v>37036.66667</v>
      </c>
      <c r="B127" s="22">
        <f>'EQUITY BACKTEST'!B130</f>
        <v>1277.89</v>
      </c>
      <c r="C127" s="22">
        <f>1/'EQUITY BACKTEST'!E130</f>
        <v>1.16184501</v>
      </c>
      <c r="D127" s="22">
        <f t="shared" si="5"/>
        <v>0.1455197806</v>
      </c>
      <c r="E127" s="22">
        <f t="shared" si="3"/>
        <v>-0.01089043004</v>
      </c>
      <c r="F127" s="22">
        <f t="shared" si="6"/>
        <v>-0.07266222551</v>
      </c>
      <c r="H127" s="22" t="str">
        <f t="shared" si="4"/>
        <v/>
      </c>
      <c r="I127" s="22" t="str">
        <f t="shared" si="1"/>
        <v>#N/A</v>
      </c>
      <c r="J127" s="22" t="str">
        <f t="shared" si="2"/>
        <v>#N/A</v>
      </c>
      <c r="K127" s="22" t="str">
        <f t="array" ref="K127">IF(H127="Crash",MATCH(TRUE, B128:B225 &gt;= B126, 0),"")</f>
        <v/>
      </c>
    </row>
    <row r="128" ht="15.75" customHeight="1">
      <c r="A128" s="32">
        <f>'EQUITY BACKTEST'!A131</f>
        <v>37043.66667</v>
      </c>
      <c r="B128" s="22">
        <f>'EQUITY BACKTEST'!B131</f>
        <v>1260.67</v>
      </c>
      <c r="C128" s="22">
        <f>1/'EQUITY BACKTEST'!E131</f>
        <v>1.179941003</v>
      </c>
      <c r="D128" s="22">
        <f t="shared" si="5"/>
        <v>0.3249320247</v>
      </c>
      <c r="E128" s="22">
        <f t="shared" si="3"/>
        <v>-0.01347533825</v>
      </c>
      <c r="F128" s="22">
        <f t="shared" si="6"/>
        <v>-0.1466160324</v>
      </c>
      <c r="H128" s="22" t="str">
        <f t="shared" si="4"/>
        <v/>
      </c>
      <c r="I128" s="22" t="str">
        <f t="shared" si="1"/>
        <v>#N/A</v>
      </c>
      <c r="J128" s="22" t="str">
        <f t="shared" si="2"/>
        <v>#N/A</v>
      </c>
      <c r="K128" s="22" t="str">
        <f t="array" ref="K128">IF(H128="Crash",MATCH(TRUE, B129:B226 &gt;= B127, 0),"")</f>
        <v/>
      </c>
    </row>
    <row r="129" ht="15.75" customHeight="1">
      <c r="A129" s="32">
        <f>'EQUITY BACKTEST'!A132</f>
        <v>37050.66667</v>
      </c>
      <c r="B129" s="22">
        <f>'EQUITY BACKTEST'!B132</f>
        <v>1264.97</v>
      </c>
      <c r="C129" s="22">
        <f>1/'EQUITY BACKTEST'!E132</f>
        <v>1.175088132</v>
      </c>
      <c r="D129" s="22">
        <f t="shared" si="5"/>
        <v>0.5246860914</v>
      </c>
      <c r="E129" s="22">
        <f t="shared" si="3"/>
        <v>0.003410884688</v>
      </c>
      <c r="F129" s="22">
        <f t="shared" si="6"/>
        <v>-0.1317684203</v>
      </c>
      <c r="H129" s="22" t="str">
        <f t="shared" si="4"/>
        <v/>
      </c>
      <c r="I129" s="22" t="str">
        <f t="shared" si="1"/>
        <v>#N/A</v>
      </c>
      <c r="J129" s="22" t="str">
        <f t="shared" si="2"/>
        <v>#N/A</v>
      </c>
      <c r="K129" s="22" t="str">
        <f t="array" ref="K129">IF(H129="Crash",MATCH(TRUE, B130:B227 &gt;= B128, 0),"")</f>
        <v/>
      </c>
    </row>
    <row r="130" ht="15.75" customHeight="1">
      <c r="A130" s="32">
        <f>'EQUITY BACKTEST'!A133</f>
        <v>37057.66667</v>
      </c>
      <c r="B130" s="22">
        <f>'EQUITY BACKTEST'!B133</f>
        <v>1214.36</v>
      </c>
      <c r="C130" s="22">
        <f>1/'EQUITY BACKTEST'!E133</f>
        <v>1.160362033</v>
      </c>
      <c r="D130" s="22">
        <f t="shared" si="5"/>
        <v>0.4454769059</v>
      </c>
      <c r="E130" s="22">
        <f t="shared" si="3"/>
        <v>-0.04000885396</v>
      </c>
      <c r="F130" s="22">
        <f t="shared" si="6"/>
        <v>-0.1707853353</v>
      </c>
      <c r="H130" s="22" t="str">
        <f t="shared" si="4"/>
        <v/>
      </c>
      <c r="I130" s="22" t="str">
        <f t="shared" si="1"/>
        <v>#N/A</v>
      </c>
      <c r="J130" s="22" t="str">
        <f t="shared" si="2"/>
        <v>#N/A</v>
      </c>
      <c r="K130" s="22" t="str">
        <f t="array" ref="K130">IF(H130="Crash",MATCH(TRUE, B131:B228 &gt;= B129, 0),"")</f>
        <v/>
      </c>
    </row>
    <row r="131" ht="15.75" customHeight="1">
      <c r="A131" s="32">
        <f>'EQUITY BACKTEST'!A134</f>
        <v>37064.66667</v>
      </c>
      <c r="B131" s="22">
        <f>'EQUITY BACKTEST'!B134</f>
        <v>1225.35</v>
      </c>
      <c r="C131" s="22">
        <f>1/'EQUITY BACKTEST'!E134</f>
        <v>1.166997316</v>
      </c>
      <c r="D131" s="22">
        <f t="shared" si="5"/>
        <v>0.379401514</v>
      </c>
      <c r="E131" s="22">
        <f t="shared" si="3"/>
        <v>0.009050034586</v>
      </c>
      <c r="F131" s="22">
        <f t="shared" si="6"/>
        <v>-0.1499715582</v>
      </c>
      <c r="H131" s="22" t="str">
        <f t="shared" si="4"/>
        <v/>
      </c>
      <c r="I131" s="22" t="str">
        <f t="shared" si="1"/>
        <v>#N/A</v>
      </c>
      <c r="J131" s="22" t="str">
        <f t="shared" si="2"/>
        <v>#N/A</v>
      </c>
      <c r="K131" s="22" t="str">
        <f t="array" ref="K131">IF(H131="Crash",MATCH(TRUE, B132:B229 &gt;= B130, 0),"")</f>
        <v/>
      </c>
    </row>
    <row r="132" ht="15.75" customHeight="1">
      <c r="A132" s="32">
        <f>'EQUITY BACKTEST'!A135</f>
        <v>37071.66667</v>
      </c>
      <c r="B132" s="22">
        <f>'EQUITY BACKTEST'!B135</f>
        <v>1226.99</v>
      </c>
      <c r="C132" s="22">
        <f>1/'EQUITY BACKTEST'!E135</f>
        <v>1.177856302</v>
      </c>
      <c r="D132" s="22">
        <f t="shared" si="5"/>
        <v>0.3655422574</v>
      </c>
      <c r="E132" s="22">
        <f t="shared" si="3"/>
        <v>0.001338393112</v>
      </c>
      <c r="F132" s="22">
        <f t="shared" si="6"/>
        <v>-0.1564760071</v>
      </c>
      <c r="H132" s="22" t="str">
        <f t="shared" si="4"/>
        <v/>
      </c>
      <c r="I132" s="22" t="str">
        <f t="shared" si="1"/>
        <v>#N/A</v>
      </c>
      <c r="J132" s="22" t="str">
        <f t="shared" si="2"/>
        <v>#N/A</v>
      </c>
      <c r="K132" s="22" t="str">
        <f t="array" ref="K132">IF(H132="Crash",MATCH(TRUE, B133:B230 &gt;= B131, 0),"")</f>
        <v/>
      </c>
    </row>
    <row r="133" ht="15.75" customHeight="1">
      <c r="A133" s="32">
        <f>'EQUITY BACKTEST'!A136</f>
        <v>37078.66667</v>
      </c>
      <c r="B133" s="22">
        <f>'EQUITY BACKTEST'!B136</f>
        <v>1190.59</v>
      </c>
      <c r="C133" s="22">
        <f>1/'EQUITY BACKTEST'!E136</f>
        <v>1.180219521</v>
      </c>
      <c r="D133" s="22">
        <f t="shared" si="5"/>
        <v>-0.1215145585</v>
      </c>
      <c r="E133" s="22">
        <f t="shared" si="3"/>
        <v>-0.02966609345</v>
      </c>
      <c r="F133" s="22">
        <f t="shared" si="6"/>
        <v>-0.1949489485</v>
      </c>
      <c r="H133" s="22" t="str">
        <f t="shared" si="4"/>
        <v/>
      </c>
      <c r="I133" s="22" t="str">
        <f t="shared" si="1"/>
        <v>#N/A</v>
      </c>
      <c r="J133" s="22" t="str">
        <f t="shared" si="2"/>
        <v>#N/A</v>
      </c>
      <c r="K133" s="22" t="str">
        <f t="array" ref="K133">IF(H133="Crash",MATCH(TRUE, B134:B231 &gt;= B132, 0),"")</f>
        <v/>
      </c>
    </row>
    <row r="134" ht="15.75" customHeight="1">
      <c r="A134" s="32">
        <f>'EQUITY BACKTEST'!A137</f>
        <v>37085.66667</v>
      </c>
      <c r="B134" s="22">
        <f>'EQUITY BACKTEST'!B137</f>
        <v>1215.68</v>
      </c>
      <c r="C134" s="22">
        <f>1/'EQUITY BACKTEST'!E137</f>
        <v>1.170823089</v>
      </c>
      <c r="D134" s="22">
        <f t="shared" si="5"/>
        <v>-0.387606722</v>
      </c>
      <c r="E134" s="22">
        <f t="shared" si="3"/>
        <v>0.02107358537</v>
      </c>
      <c r="F134" s="22">
        <f t="shared" si="6"/>
        <v>-0.1948605868</v>
      </c>
      <c r="H134" s="22" t="str">
        <f t="shared" si="4"/>
        <v/>
      </c>
      <c r="I134" s="22" t="str">
        <f t="shared" si="1"/>
        <v>#N/A</v>
      </c>
      <c r="J134" s="22" t="str">
        <f t="shared" si="2"/>
        <v>#N/A</v>
      </c>
      <c r="K134" s="22" t="str">
        <f t="array" ref="K134">IF(H134="Crash",MATCH(TRUE, B135:B232 &gt;= B133, 0),"")</f>
        <v/>
      </c>
    </row>
    <row r="135" ht="15.75" customHeight="1">
      <c r="A135" s="32">
        <f>'EQUITY BACKTEST'!A138</f>
        <v>37092.66667</v>
      </c>
      <c r="B135" s="22">
        <f>'EQUITY BACKTEST'!B138</f>
        <v>1210.85</v>
      </c>
      <c r="C135" s="22">
        <f>1/'EQUITY BACKTEST'!E138</f>
        <v>1.147842057</v>
      </c>
      <c r="D135" s="22">
        <f t="shared" si="5"/>
        <v>-0.4034209142</v>
      </c>
      <c r="E135" s="22">
        <f t="shared" si="3"/>
        <v>-0.003973085022</v>
      </c>
      <c r="F135" s="22">
        <f t="shared" si="6"/>
        <v>-0.1819189114</v>
      </c>
      <c r="H135" s="22" t="str">
        <f t="shared" si="4"/>
        <v/>
      </c>
      <c r="I135" s="22" t="str">
        <f t="shared" si="1"/>
        <v>#N/A</v>
      </c>
      <c r="J135" s="22" t="str">
        <f t="shared" si="2"/>
        <v>#N/A</v>
      </c>
      <c r="K135" s="22" t="str">
        <f t="array" ref="K135">IF(H135="Crash",MATCH(TRUE, B136:B233 &gt;= B134, 0),"")</f>
        <v/>
      </c>
    </row>
    <row r="136" ht="15.75" customHeight="1">
      <c r="A136" s="32">
        <f>'EQUITY BACKTEST'!A139</f>
        <v>37099.66667</v>
      </c>
      <c r="B136" s="22">
        <f>'EQUITY BACKTEST'!B139</f>
        <v>1205.82</v>
      </c>
      <c r="C136" s="22">
        <f>1/'EQUITY BACKTEST'!E139</f>
        <v>1.140250855</v>
      </c>
      <c r="D136" s="22">
        <f t="shared" si="5"/>
        <v>-0.274883958</v>
      </c>
      <c r="E136" s="22">
        <f t="shared" si="3"/>
        <v>-0.004154106619</v>
      </c>
      <c r="F136" s="22">
        <f t="shared" si="6"/>
        <v>-0.1507652001</v>
      </c>
      <c r="H136" s="22" t="str">
        <f t="shared" si="4"/>
        <v/>
      </c>
      <c r="I136" s="22" t="str">
        <f t="shared" si="1"/>
        <v>#N/A</v>
      </c>
      <c r="J136" s="22" t="str">
        <f t="shared" si="2"/>
        <v>#N/A</v>
      </c>
      <c r="K136" s="22" t="str">
        <f t="array" ref="K136">IF(H136="Crash",MATCH(TRUE, B137:B234 &gt;= B135, 0),"")</f>
        <v/>
      </c>
    </row>
    <row r="137" ht="15.75" customHeight="1">
      <c r="A137" s="32">
        <f>'EQUITY BACKTEST'!A140</f>
        <v>37106.66667</v>
      </c>
      <c r="B137" s="22">
        <f>'EQUITY BACKTEST'!B140</f>
        <v>1214.35</v>
      </c>
      <c r="C137" s="22">
        <f>1/'EQUITY BACKTEST'!E140</f>
        <v>1.13147771</v>
      </c>
      <c r="D137" s="22">
        <f t="shared" si="5"/>
        <v>-0.03148225986</v>
      </c>
      <c r="E137" s="22">
        <f t="shared" si="3"/>
        <v>0.007074024315</v>
      </c>
      <c r="F137" s="22">
        <f t="shared" si="6"/>
        <v>-0.1699192716</v>
      </c>
      <c r="H137" s="22" t="str">
        <f t="shared" si="4"/>
        <v/>
      </c>
      <c r="I137" s="22" t="str">
        <f t="shared" si="1"/>
        <v>#N/A</v>
      </c>
      <c r="J137" s="22" t="str">
        <f t="shared" si="2"/>
        <v>#N/A</v>
      </c>
      <c r="K137" s="22" t="str">
        <f t="array" ref="K137">IF(H137="Crash",MATCH(TRUE, B138:B235 &gt;= B136, 0),"")</f>
        <v/>
      </c>
    </row>
    <row r="138" ht="15.75" customHeight="1">
      <c r="A138" s="32">
        <f>'EQUITY BACKTEST'!A141</f>
        <v>37113.66667</v>
      </c>
      <c r="B138" s="22">
        <f>'EQUITY BACKTEST'!B141</f>
        <v>1190.16</v>
      </c>
      <c r="C138" s="22">
        <f>1/'EQUITY BACKTEST'!E141</f>
        <v>1.120197155</v>
      </c>
      <c r="D138" s="22">
        <f t="shared" si="5"/>
        <v>0.2035135213</v>
      </c>
      <c r="E138" s="22">
        <f t="shared" si="3"/>
        <v>-0.01992012188</v>
      </c>
      <c r="F138" s="22">
        <f t="shared" si="6"/>
        <v>-0.1913794978</v>
      </c>
      <c r="H138" s="22" t="str">
        <f t="shared" si="4"/>
        <v/>
      </c>
      <c r="I138" s="22" t="str">
        <f t="shared" si="1"/>
        <v>#N/A</v>
      </c>
      <c r="J138" s="22" t="str">
        <f t="shared" si="2"/>
        <v>#N/A</v>
      </c>
      <c r="K138" s="22" t="str">
        <f t="array" ref="K138">IF(H138="Crash",MATCH(TRUE, B139:B236 &gt;= B137, 0),"")</f>
        <v/>
      </c>
    </row>
    <row r="139" ht="15.75" customHeight="1">
      <c r="A139" s="32">
        <f>'EQUITY BACKTEST'!A142</f>
        <v>37120.66667</v>
      </c>
      <c r="B139" s="22">
        <f>'EQUITY BACKTEST'!B142</f>
        <v>1161.97</v>
      </c>
      <c r="C139" s="22">
        <f>1/'EQUITY BACKTEST'!E142</f>
        <v>1.090155892</v>
      </c>
      <c r="D139" s="22">
        <f t="shared" si="5"/>
        <v>0.6529952077</v>
      </c>
      <c r="E139" s="22">
        <f t="shared" si="3"/>
        <v>-0.02368589097</v>
      </c>
      <c r="F139" s="22">
        <f t="shared" si="6"/>
        <v>-0.2210431052</v>
      </c>
      <c r="H139" s="22" t="str">
        <f t="shared" si="4"/>
        <v/>
      </c>
      <c r="I139" s="22" t="str">
        <f t="shared" si="1"/>
        <v>#N/A</v>
      </c>
      <c r="J139" s="22" t="str">
        <f t="shared" si="2"/>
        <v>#N/A</v>
      </c>
      <c r="K139" s="22" t="str">
        <f t="array" ref="K139">IF(H139="Crash",MATCH(TRUE, B140:B237 &gt;= B138, 0),"")</f>
        <v/>
      </c>
    </row>
    <row r="140" ht="15.75" customHeight="1">
      <c r="A140" s="32">
        <f>'EQUITY BACKTEST'!A143</f>
        <v>37127.66667</v>
      </c>
      <c r="B140" s="22">
        <f>'EQUITY BACKTEST'!B143</f>
        <v>1184.93</v>
      </c>
      <c r="C140" s="22">
        <f>1/'EQUITY BACKTEST'!E143</f>
        <v>1.094930472</v>
      </c>
      <c r="D140" s="22">
        <f t="shared" si="5"/>
        <v>0.7430257755</v>
      </c>
      <c r="E140" s="22">
        <f t="shared" si="3"/>
        <v>0.01975954629</v>
      </c>
      <c r="F140" s="22">
        <f t="shared" si="6"/>
        <v>-0.2134341436</v>
      </c>
      <c r="H140" s="22" t="str">
        <f t="shared" si="4"/>
        <v/>
      </c>
      <c r="I140" s="22" t="str">
        <f t="shared" si="1"/>
        <v>#N/A</v>
      </c>
      <c r="J140" s="22" t="str">
        <f t="shared" si="2"/>
        <v>#N/A</v>
      </c>
      <c r="K140" s="22" t="str">
        <f t="array" ref="K140">IF(H140="Crash",MATCH(TRUE, B141:B238 &gt;= B139, 0),"")</f>
        <v/>
      </c>
    </row>
    <row r="141" ht="15.75" customHeight="1">
      <c r="A141" s="32">
        <f>'EQUITY BACKTEST'!A144</f>
        <v>37134.66667</v>
      </c>
      <c r="B141" s="22">
        <f>'EQUITY BACKTEST'!B144</f>
        <v>1133.58</v>
      </c>
      <c r="C141" s="22">
        <f>1/'EQUITY BACKTEST'!E144</f>
        <v>1.096250822</v>
      </c>
      <c r="D141" s="22">
        <f t="shared" si="5"/>
        <v>0.7695175074</v>
      </c>
      <c r="E141" s="22">
        <f t="shared" si="3"/>
        <v>-0.04333589326</v>
      </c>
      <c r="F141" s="22">
        <f t="shared" si="6"/>
        <v>-0.2546012875</v>
      </c>
      <c r="H141" s="22" t="str">
        <f t="shared" si="4"/>
        <v/>
      </c>
      <c r="I141" s="22" t="str">
        <f t="shared" si="1"/>
        <v>#N/A</v>
      </c>
      <c r="J141" s="22" t="str">
        <f t="shared" si="2"/>
        <v>#N/A</v>
      </c>
      <c r="K141" s="22" t="str">
        <f t="array" ref="K141">IF(H141="Crash",MATCH(TRUE, B142:B239 &gt;= B140, 0),"")</f>
        <v/>
      </c>
    </row>
    <row r="142" ht="15.75" customHeight="1">
      <c r="A142" s="32">
        <f>'EQUITY BACKTEST'!A145</f>
        <v>37141.66667</v>
      </c>
      <c r="B142" s="22">
        <f>'EQUITY BACKTEST'!B145</f>
        <v>1085.78</v>
      </c>
      <c r="C142" s="22">
        <f>1/'EQUITY BACKTEST'!E145</f>
        <v>1.10631707</v>
      </c>
      <c r="D142" s="22">
        <f t="shared" si="5"/>
        <v>0.6911083161</v>
      </c>
      <c r="E142" s="22">
        <f t="shared" si="3"/>
        <v>-0.042167293</v>
      </c>
      <c r="F142" s="22">
        <f t="shared" si="6"/>
        <v>-0.2735508216</v>
      </c>
      <c r="H142" s="22" t="str">
        <f t="shared" si="4"/>
        <v/>
      </c>
      <c r="I142" s="22" t="str">
        <f t="shared" si="1"/>
        <v>#N/A</v>
      </c>
      <c r="J142" s="22" t="str">
        <f t="shared" si="2"/>
        <v>#N/A</v>
      </c>
      <c r="K142" s="22" t="str">
        <f t="array" ref="K142">IF(H142="Crash",MATCH(TRUE, B143:B240 &gt;= B141, 0),"")</f>
        <v/>
      </c>
    </row>
    <row r="143" ht="15.75" customHeight="1">
      <c r="A143" s="32">
        <f>'EQUITY BACKTEST'!A146</f>
        <v>37145.66667</v>
      </c>
      <c r="B143" s="22">
        <f>'EQUITY BACKTEST'!B146</f>
        <v>1092.54</v>
      </c>
      <c r="C143" s="22">
        <f>1/'EQUITY BACKTEST'!E146</f>
        <v>1.086956522</v>
      </c>
      <c r="D143" s="22">
        <f t="shared" si="5"/>
        <v>0.7343925916</v>
      </c>
      <c r="E143" s="22">
        <f t="shared" si="3"/>
        <v>0.006225938956</v>
      </c>
      <c r="F143" s="22">
        <f t="shared" si="6"/>
        <v>-0.2546408421</v>
      </c>
      <c r="H143" s="22" t="str">
        <f t="shared" si="4"/>
        <v/>
      </c>
      <c r="I143" s="22" t="str">
        <f t="shared" si="1"/>
        <v>#N/A</v>
      </c>
      <c r="J143" s="22" t="str">
        <f t="shared" si="2"/>
        <v>#N/A</v>
      </c>
      <c r="K143" s="22" t="str">
        <f t="array" ref="K143">IF(H143="Crash",MATCH(TRUE, B144:B241 &gt;= B142, 0),"")</f>
        <v/>
      </c>
    </row>
    <row r="144" ht="15.75" customHeight="1">
      <c r="A144" s="32">
        <f>'EQUITY BACKTEST'!A147</f>
        <v>37155.66667</v>
      </c>
      <c r="B144" s="22">
        <f>'EQUITY BACKTEST'!B147</f>
        <v>965.8</v>
      </c>
      <c r="C144" s="22">
        <f>1/'EQUITY BACKTEST'!E147</f>
        <v>1.094211621</v>
      </c>
      <c r="D144" s="22">
        <f t="shared" si="5"/>
        <v>0.6380896555</v>
      </c>
      <c r="E144" s="22">
        <f t="shared" si="3"/>
        <v>-0.116004906</v>
      </c>
      <c r="F144" s="22">
        <f t="shared" si="6"/>
        <v>-0.3333379351</v>
      </c>
      <c r="H144" s="22" t="str">
        <f t="shared" si="4"/>
        <v>Crash</v>
      </c>
      <c r="I144" s="22">
        <f t="shared" si="1"/>
        <v>-11.6004906</v>
      </c>
      <c r="J144" s="22">
        <f t="shared" si="2"/>
        <v>63.80896555</v>
      </c>
      <c r="K144" s="22">
        <f t="array" ref="K144">IF(H144="Crash",MATCH(TRUE, B145:B242 &gt;= B143, 0),"")</f>
        <v>5</v>
      </c>
    </row>
    <row r="145" ht="15.75" customHeight="1">
      <c r="A145" s="32">
        <f>'EQUITY BACKTEST'!A148</f>
        <v>37162.66667</v>
      </c>
      <c r="B145" s="22">
        <f>'EQUITY BACKTEST'!B148</f>
        <v>1040.94</v>
      </c>
      <c r="C145" s="22">
        <f>1/'EQUITY BACKTEST'!E148</f>
        <v>1.097815347</v>
      </c>
      <c r="D145" s="22">
        <f t="shared" si="5"/>
        <v>0.6213631061</v>
      </c>
      <c r="E145" s="22">
        <f t="shared" si="3"/>
        <v>0.07780078691</v>
      </c>
      <c r="F145" s="22">
        <f t="shared" si="6"/>
        <v>-0.2753687757</v>
      </c>
      <c r="H145" s="22" t="str">
        <f t="shared" si="4"/>
        <v/>
      </c>
      <c r="I145" s="22" t="str">
        <f t="shared" si="1"/>
        <v>#N/A</v>
      </c>
      <c r="J145" s="22" t="str">
        <f t="shared" si="2"/>
        <v>#N/A</v>
      </c>
      <c r="K145" s="22" t="str">
        <f t="array" ref="K145">IF(H145="Crash",MATCH(TRUE, B146:B243 &gt;= B144, 0),"")</f>
        <v/>
      </c>
    </row>
    <row r="146" ht="15.75" customHeight="1">
      <c r="A146" s="32">
        <f>'EQUITY BACKTEST'!A149</f>
        <v>37169.66667</v>
      </c>
      <c r="B146" s="22">
        <f>'EQUITY BACKTEST'!B149</f>
        <v>1071.38</v>
      </c>
      <c r="C146" s="22">
        <f>1/'EQUITY BACKTEST'!E149</f>
        <v>1.089561996</v>
      </c>
      <c r="D146" s="22">
        <f t="shared" si="5"/>
        <v>0.6694706234</v>
      </c>
      <c r="E146" s="22">
        <f t="shared" si="3"/>
        <v>0.02924279978</v>
      </c>
      <c r="F146" s="22">
        <f t="shared" si="6"/>
        <v>-0.2396113528</v>
      </c>
      <c r="H146" s="22" t="str">
        <f t="shared" si="4"/>
        <v/>
      </c>
      <c r="I146" s="22" t="str">
        <f t="shared" si="1"/>
        <v>#N/A</v>
      </c>
      <c r="J146" s="22" t="str">
        <f t="shared" si="2"/>
        <v>#N/A</v>
      </c>
      <c r="K146" s="22" t="str">
        <f t="array" ref="K146">IF(H146="Crash",MATCH(TRUE, B147:B244 &gt;= B145, 0),"")</f>
        <v/>
      </c>
    </row>
    <row r="147" ht="15.75" customHeight="1">
      <c r="A147" s="32">
        <f>'EQUITY BACKTEST'!A150</f>
        <v>37176.66667</v>
      </c>
      <c r="B147" s="22">
        <f>'EQUITY BACKTEST'!B150</f>
        <v>1091.65</v>
      </c>
      <c r="C147" s="22">
        <f>1/'EQUITY BACKTEST'!E150</f>
        <v>1.09805644</v>
      </c>
      <c r="D147" s="22">
        <f t="shared" si="5"/>
        <v>0.6602317992</v>
      </c>
      <c r="E147" s="22">
        <f t="shared" si="3"/>
        <v>0.01891952435</v>
      </c>
      <c r="F147" s="22">
        <f t="shared" si="6"/>
        <v>-0.2055642884</v>
      </c>
      <c r="H147" s="22" t="str">
        <f t="shared" si="4"/>
        <v/>
      </c>
      <c r="I147" s="22" t="str">
        <f t="shared" si="1"/>
        <v>#N/A</v>
      </c>
      <c r="J147" s="22" t="str">
        <f t="shared" si="2"/>
        <v>#N/A</v>
      </c>
      <c r="K147" s="22" t="str">
        <f t="array" ref="K147">IF(H147="Crash",MATCH(TRUE, B148:B245 &gt;= B146, 0),"")</f>
        <v/>
      </c>
    </row>
    <row r="148" ht="15.75" customHeight="1">
      <c r="A148" s="32">
        <f>'EQUITY BACKTEST'!A151</f>
        <v>37183.66667</v>
      </c>
      <c r="B148" s="22">
        <f>'EQUITY BACKTEST'!B151</f>
        <v>1073.48</v>
      </c>
      <c r="C148" s="22">
        <f>1/'EQUITY BACKTEST'!E151</f>
        <v>1.113213848</v>
      </c>
      <c r="D148" s="22">
        <f t="shared" si="5"/>
        <v>0.5671516249</v>
      </c>
      <c r="E148" s="22">
        <f t="shared" si="3"/>
        <v>-0.01664452892</v>
      </c>
      <c r="F148" s="22">
        <f t="shared" si="6"/>
        <v>-0.2315269525</v>
      </c>
      <c r="H148" s="22" t="str">
        <f t="shared" si="4"/>
        <v/>
      </c>
      <c r="I148" s="22" t="str">
        <f t="shared" si="1"/>
        <v>#N/A</v>
      </c>
      <c r="J148" s="22" t="str">
        <f t="shared" si="2"/>
        <v>#N/A</v>
      </c>
      <c r="K148" s="22" t="str">
        <f t="array" ref="K148">IF(H148="Crash",MATCH(TRUE, B149:B246 &gt;= B147, 0),"")</f>
        <v/>
      </c>
    </row>
    <row r="149" ht="15.75" customHeight="1">
      <c r="A149" s="32">
        <f>'EQUITY BACKTEST'!A152</f>
        <v>37190.66667</v>
      </c>
      <c r="B149" s="22">
        <f>'EQUITY BACKTEST'!B152</f>
        <v>1104.61</v>
      </c>
      <c r="C149" s="22">
        <f>1/'EQUITY BACKTEST'!E152</f>
        <v>1.119820829</v>
      </c>
      <c r="D149" s="22">
        <f t="shared" si="5"/>
        <v>0.427268383</v>
      </c>
      <c r="E149" s="22">
        <f t="shared" si="3"/>
        <v>0.02899914297</v>
      </c>
      <c r="F149" s="22">
        <f t="shared" si="6"/>
        <v>-0.1993026762</v>
      </c>
      <c r="H149" s="22" t="str">
        <f t="shared" si="4"/>
        <v/>
      </c>
      <c r="I149" s="22" t="str">
        <f t="shared" si="1"/>
        <v>#N/A</v>
      </c>
      <c r="J149" s="22" t="str">
        <f t="shared" si="2"/>
        <v>#N/A</v>
      </c>
      <c r="K149" s="22" t="str">
        <f t="array" ref="K149">IF(H149="Crash",MATCH(TRUE, B150:B247 &gt;= B148, 0),"")</f>
        <v/>
      </c>
    </row>
    <row r="150" ht="15.75" customHeight="1">
      <c r="A150" s="32">
        <f>'EQUITY BACKTEST'!A153</f>
        <v>37197.66667</v>
      </c>
      <c r="B150" s="22">
        <f>'EQUITY BACKTEST'!B153</f>
        <v>1087.2</v>
      </c>
      <c r="C150" s="22">
        <f>1/'EQUITY BACKTEST'!E153</f>
        <v>1.106806862</v>
      </c>
      <c r="D150" s="22">
        <f t="shared" si="5"/>
        <v>0.1914497462</v>
      </c>
      <c r="E150" s="22">
        <f t="shared" si="3"/>
        <v>-0.01576121889</v>
      </c>
      <c r="F150" s="22">
        <f t="shared" si="6"/>
        <v>-0.2379563886</v>
      </c>
      <c r="H150" s="22" t="str">
        <f t="shared" si="4"/>
        <v/>
      </c>
      <c r="I150" s="22" t="str">
        <f t="shared" si="1"/>
        <v>#N/A</v>
      </c>
      <c r="J150" s="22" t="str">
        <f t="shared" si="2"/>
        <v>#N/A</v>
      </c>
      <c r="K150" s="22" t="str">
        <f t="array" ref="K150">IF(H150="Crash",MATCH(TRUE, B151:B248 &gt;= B149, 0),"")</f>
        <v/>
      </c>
    </row>
    <row r="151" ht="15.75" customHeight="1">
      <c r="A151" s="32">
        <f>'EQUITY BACKTEST'!A154</f>
        <v>37204.66667</v>
      </c>
      <c r="B151" s="22">
        <f>'EQUITY BACKTEST'!B154</f>
        <v>1120.31</v>
      </c>
      <c r="C151" s="22">
        <f>1/'EQUITY BACKTEST'!E154</f>
        <v>1.118568233</v>
      </c>
      <c r="D151" s="22">
        <f t="shared" si="5"/>
        <v>0.02460835805</v>
      </c>
      <c r="E151" s="22">
        <f t="shared" si="3"/>
        <v>0.03045437822</v>
      </c>
      <c r="F151" s="22">
        <f t="shared" si="6"/>
        <v>-0.1798428955</v>
      </c>
      <c r="H151" s="22" t="str">
        <f t="shared" si="4"/>
        <v/>
      </c>
      <c r="I151" s="22" t="str">
        <f t="shared" si="1"/>
        <v>#N/A</v>
      </c>
      <c r="J151" s="22" t="str">
        <f t="shared" si="2"/>
        <v>#N/A</v>
      </c>
      <c r="K151" s="22" t="str">
        <f t="array" ref="K151">IF(H151="Crash",MATCH(TRUE, B152:B249 &gt;= B150, 0),"")</f>
        <v/>
      </c>
    </row>
    <row r="152" ht="15.75" customHeight="1">
      <c r="A152" s="32">
        <f>'EQUITY BACKTEST'!A155</f>
        <v>37211.66667</v>
      </c>
      <c r="B152" s="22">
        <f>'EQUITY BACKTEST'!B155</f>
        <v>1138.65</v>
      </c>
      <c r="C152" s="22">
        <f>1/'EQUITY BACKTEST'!E155</f>
        <v>1.13147771</v>
      </c>
      <c r="D152" s="22">
        <f t="shared" si="5"/>
        <v>0.2838530722</v>
      </c>
      <c r="E152" s="22">
        <f t="shared" si="3"/>
        <v>0.01637046889</v>
      </c>
      <c r="F152" s="22">
        <f t="shared" si="6"/>
        <v>-0.1674831106</v>
      </c>
      <c r="H152" s="22" t="str">
        <f t="shared" si="4"/>
        <v/>
      </c>
      <c r="I152" s="22" t="str">
        <f t="shared" si="1"/>
        <v>#N/A</v>
      </c>
      <c r="J152" s="22" t="str">
        <f t="shared" si="2"/>
        <v>#N/A</v>
      </c>
      <c r="K152" s="22" t="str">
        <f t="array" ref="K152">IF(H152="Crash",MATCH(TRUE, B153:B250 &gt;= B151, 0),"")</f>
        <v/>
      </c>
    </row>
    <row r="153" ht="15.75" customHeight="1">
      <c r="A153" s="32">
        <f>'EQUITY BACKTEST'!A156</f>
        <v>37218.66667</v>
      </c>
      <c r="B153" s="22">
        <f>'EQUITY BACKTEST'!B156</f>
        <v>1150.34</v>
      </c>
      <c r="C153" s="22">
        <f>1/'EQUITY BACKTEST'!E156</f>
        <v>1.138952164</v>
      </c>
      <c r="D153" s="22">
        <f t="shared" si="5"/>
        <v>0.5838573156</v>
      </c>
      <c r="E153" s="22">
        <f t="shared" si="3"/>
        <v>0.01026654371</v>
      </c>
      <c r="F153" s="22">
        <f t="shared" si="6"/>
        <v>-0.1426697571</v>
      </c>
      <c r="H153" s="22" t="str">
        <f t="shared" si="4"/>
        <v/>
      </c>
      <c r="I153" s="22" t="str">
        <f t="shared" si="1"/>
        <v>#N/A</v>
      </c>
      <c r="J153" s="22" t="str">
        <f t="shared" si="2"/>
        <v>#N/A</v>
      </c>
      <c r="K153" s="22" t="str">
        <f t="array" ref="K153">IF(H153="Crash",MATCH(TRUE, B154:B251 &gt;= B152, 0),"")</f>
        <v/>
      </c>
    </row>
    <row r="154" ht="15.75" customHeight="1">
      <c r="A154" s="32">
        <f>'EQUITY BACKTEST'!A157</f>
        <v>37225.66667</v>
      </c>
      <c r="B154" s="22">
        <f>'EQUITY BACKTEST'!B157</f>
        <v>1139.45</v>
      </c>
      <c r="C154" s="22">
        <f>1/'EQUITY BACKTEST'!E157</f>
        <v>1.115697869</v>
      </c>
      <c r="D154" s="22">
        <f t="shared" si="5"/>
        <v>0.6852613873</v>
      </c>
      <c r="E154" s="22">
        <f t="shared" si="3"/>
        <v>-0.009466766347</v>
      </c>
      <c r="F154" s="22">
        <f t="shared" si="6"/>
        <v>-0.1336166913</v>
      </c>
      <c r="H154" s="22" t="str">
        <f t="shared" si="4"/>
        <v/>
      </c>
      <c r="I154" s="22" t="str">
        <f t="shared" si="1"/>
        <v>#N/A</v>
      </c>
      <c r="J154" s="22" t="str">
        <f t="shared" si="2"/>
        <v>#N/A</v>
      </c>
      <c r="K154" s="22" t="str">
        <f t="array" ref="K154">IF(H154="Crash",MATCH(TRUE, B155:B252 &gt;= B153, 0),"")</f>
        <v/>
      </c>
    </row>
    <row r="155" ht="15.75" customHeight="1">
      <c r="A155" s="32">
        <f>'EQUITY BACKTEST'!A158</f>
        <v>37232.66667</v>
      </c>
      <c r="B155" s="22">
        <f>'EQUITY BACKTEST'!B158</f>
        <v>1158.31</v>
      </c>
      <c r="C155" s="22">
        <f>1/'EQUITY BACKTEST'!E158</f>
        <v>1.123721766</v>
      </c>
      <c r="D155" s="22">
        <f t="shared" si="5"/>
        <v>0.7080157176</v>
      </c>
      <c r="E155" s="22">
        <f t="shared" si="3"/>
        <v>0.01655184519</v>
      </c>
      <c r="F155" s="22">
        <f t="shared" si="6"/>
        <v>-0.1543515875</v>
      </c>
      <c r="H155" s="22" t="str">
        <f t="shared" si="4"/>
        <v/>
      </c>
      <c r="I155" s="22" t="str">
        <f t="shared" si="1"/>
        <v>#N/A</v>
      </c>
      <c r="J155" s="22" t="str">
        <f t="shared" si="2"/>
        <v>#N/A</v>
      </c>
      <c r="K155" s="22" t="str">
        <f t="array" ref="K155">IF(H155="Crash",MATCH(TRUE, B156:B253 &gt;= B154, 0),"")</f>
        <v/>
      </c>
    </row>
    <row r="156" ht="15.75" customHeight="1">
      <c r="A156" s="32">
        <f>'EQUITY BACKTEST'!A159</f>
        <v>37239.66667</v>
      </c>
      <c r="B156" s="22">
        <f>'EQUITY BACKTEST'!B159</f>
        <v>1123.07</v>
      </c>
      <c r="C156" s="22">
        <f>1/'EQUITY BACKTEST'!E159</f>
        <v>1.108524554</v>
      </c>
      <c r="D156" s="22">
        <f t="shared" si="5"/>
        <v>0.7570321006</v>
      </c>
      <c r="E156" s="22">
        <f t="shared" si="3"/>
        <v>-0.03042363443</v>
      </c>
      <c r="F156" s="22">
        <f t="shared" si="6"/>
        <v>-0.1440667632</v>
      </c>
      <c r="H156" s="22" t="str">
        <f t="shared" si="4"/>
        <v/>
      </c>
      <c r="I156" s="22" t="str">
        <f t="shared" si="1"/>
        <v>#N/A</v>
      </c>
      <c r="J156" s="22" t="str">
        <f t="shared" si="2"/>
        <v>#N/A</v>
      </c>
      <c r="K156" s="22" t="str">
        <f t="array" ref="K156">IF(H156="Crash",MATCH(TRUE, B157:B254 &gt;= B155, 0),"")</f>
        <v/>
      </c>
    </row>
    <row r="157" ht="15.75" customHeight="1">
      <c r="A157" s="32">
        <f>'EQUITY BACKTEST'!A160</f>
        <v>37246.66667</v>
      </c>
      <c r="B157" s="22">
        <f>'EQUITY BACKTEST'!B160</f>
        <v>1144.89</v>
      </c>
      <c r="C157" s="22">
        <f>1/'EQUITY BACKTEST'!E160</f>
        <v>1.125492403</v>
      </c>
      <c r="D157" s="22">
        <f t="shared" si="5"/>
        <v>0.8017422692</v>
      </c>
      <c r="E157" s="22">
        <f t="shared" si="3"/>
        <v>0.01942888689</v>
      </c>
      <c r="F157" s="22">
        <f t="shared" si="6"/>
        <v>-0.1232942798</v>
      </c>
      <c r="H157" s="22" t="str">
        <f t="shared" si="4"/>
        <v/>
      </c>
      <c r="I157" s="22" t="str">
        <f t="shared" si="1"/>
        <v>#N/A</v>
      </c>
      <c r="J157" s="22" t="str">
        <f t="shared" si="2"/>
        <v>#N/A</v>
      </c>
      <c r="K157" s="22" t="str">
        <f t="array" ref="K157">IF(H157="Crash",MATCH(TRUE, B158:B255 &gt;= B156, 0),"")</f>
        <v/>
      </c>
    </row>
    <row r="158" ht="15.75" customHeight="1">
      <c r="A158" s="32">
        <f>'EQUITY BACKTEST'!A161</f>
        <v>37253.66667</v>
      </c>
      <c r="B158" s="22">
        <f>'EQUITY BACKTEST'!B161</f>
        <v>1161.02</v>
      </c>
      <c r="C158" s="22">
        <f>1/'EQUITY BACKTEST'!E161</f>
        <v>1.130198915</v>
      </c>
      <c r="D158" s="22">
        <f t="shared" si="5"/>
        <v>0.8041628757</v>
      </c>
      <c r="E158" s="22">
        <f t="shared" si="3"/>
        <v>0.01408868974</v>
      </c>
      <c r="F158" s="22">
        <f t="shared" si="6"/>
        <v>-0.120712506</v>
      </c>
      <c r="H158" s="22" t="str">
        <f t="shared" si="4"/>
        <v/>
      </c>
      <c r="I158" s="22" t="str">
        <f t="shared" si="1"/>
        <v>#N/A</v>
      </c>
      <c r="J158" s="22" t="str">
        <f t="shared" si="2"/>
        <v>#N/A</v>
      </c>
      <c r="K158" s="22" t="str">
        <f t="array" ref="K158">IF(H158="Crash",MATCH(TRUE, B159:B256 &gt;= B157, 0),"")</f>
        <v/>
      </c>
    </row>
    <row r="159" ht="15.75" customHeight="1">
      <c r="A159" s="32">
        <f>'EQUITY BACKTEST'!A162</f>
        <v>37260.66667</v>
      </c>
      <c r="B159" s="22">
        <f>'EQUITY BACKTEST'!B162</f>
        <v>1172.51</v>
      </c>
      <c r="C159" s="22">
        <f>1/'EQUITY BACKTEST'!E162</f>
        <v>1.11831805</v>
      </c>
      <c r="D159" s="22">
        <f t="shared" si="5"/>
        <v>0.6603780616</v>
      </c>
      <c r="E159" s="22">
        <f t="shared" si="3"/>
        <v>0.009896470345</v>
      </c>
      <c r="F159" s="22">
        <f t="shared" si="6"/>
        <v>-0.09691606205</v>
      </c>
      <c r="H159" s="22" t="str">
        <f t="shared" si="4"/>
        <v/>
      </c>
      <c r="I159" s="22" t="str">
        <f t="shared" si="1"/>
        <v>#N/A</v>
      </c>
      <c r="J159" s="22" t="str">
        <f t="shared" si="2"/>
        <v>#N/A</v>
      </c>
      <c r="K159" s="22" t="str">
        <f t="array" ref="K159">IF(H159="Crash",MATCH(TRUE, B160:B257 &gt;= B158, 0),"")</f>
        <v/>
      </c>
    </row>
    <row r="160" ht="15.75" customHeight="1">
      <c r="A160" s="32">
        <f>'EQUITY BACKTEST'!A163</f>
        <v>37267.66667</v>
      </c>
      <c r="B160" s="22">
        <f>'EQUITY BACKTEST'!B163</f>
        <v>1145.6</v>
      </c>
      <c r="C160" s="22">
        <f>1/'EQUITY BACKTEST'!E163</f>
        <v>1.121201928</v>
      </c>
      <c r="D160" s="22">
        <f t="shared" si="5"/>
        <v>0.5932671544</v>
      </c>
      <c r="E160" s="22">
        <f t="shared" si="3"/>
        <v>-0.02295076375</v>
      </c>
      <c r="F160" s="22">
        <f t="shared" si="6"/>
        <v>-0.131166812</v>
      </c>
      <c r="H160" s="22" t="str">
        <f t="shared" si="4"/>
        <v/>
      </c>
      <c r="I160" s="22" t="str">
        <f t="shared" si="1"/>
        <v>#N/A</v>
      </c>
      <c r="J160" s="22" t="str">
        <f t="shared" si="2"/>
        <v>#N/A</v>
      </c>
      <c r="K160" s="22" t="str">
        <f t="array" ref="K160">IF(H160="Crash",MATCH(TRUE, B161:B258 &gt;= B159, 0),"")</f>
        <v/>
      </c>
    </row>
    <row r="161" ht="15.75" customHeight="1">
      <c r="A161" s="32">
        <f>'EQUITY BACKTEST'!A164</f>
        <v>37274.66667</v>
      </c>
      <c r="B161" s="22">
        <f>'EQUITY BACKTEST'!B164</f>
        <v>1127.58</v>
      </c>
      <c r="C161" s="22">
        <f>1/'EQUITY BACKTEST'!E164</f>
        <v>1.131221719</v>
      </c>
      <c r="D161" s="22">
        <f t="shared" si="5"/>
        <v>0.5100396693</v>
      </c>
      <c r="E161" s="22">
        <f t="shared" si="3"/>
        <v>-0.0157297486</v>
      </c>
      <c r="F161" s="22">
        <f t="shared" si="6"/>
        <v>-0.1601206659</v>
      </c>
      <c r="H161" s="22" t="str">
        <f t="shared" si="4"/>
        <v/>
      </c>
      <c r="I161" s="22" t="str">
        <f t="shared" si="1"/>
        <v>#N/A</v>
      </c>
      <c r="J161" s="22" t="str">
        <f t="shared" si="2"/>
        <v>#N/A</v>
      </c>
      <c r="K161" s="22" t="str">
        <f t="array" ref="K161">IF(H161="Crash",MATCH(TRUE, B162:B259 &gt;= B160, 0),"")</f>
        <v/>
      </c>
    </row>
    <row r="162" ht="15.75" customHeight="1">
      <c r="A162" s="32">
        <f>'EQUITY BACKTEST'!A165</f>
        <v>37281.66667</v>
      </c>
      <c r="B162" s="22">
        <f>'EQUITY BACKTEST'!B165</f>
        <v>1133.28</v>
      </c>
      <c r="C162" s="22">
        <f>1/'EQUITY BACKTEST'!E165</f>
        <v>1.157139551</v>
      </c>
      <c r="D162" s="22">
        <f t="shared" si="5"/>
        <v>0.3081058558</v>
      </c>
      <c r="E162" s="22">
        <f t="shared" si="3"/>
        <v>0.005055073698</v>
      </c>
      <c r="F162" s="22">
        <f t="shared" si="6"/>
        <v>-0.1635939599</v>
      </c>
      <c r="H162" s="22" t="str">
        <f t="shared" si="4"/>
        <v/>
      </c>
      <c r="I162" s="22" t="str">
        <f t="shared" si="1"/>
        <v>#N/A</v>
      </c>
      <c r="J162" s="22" t="str">
        <f t="shared" si="2"/>
        <v>#N/A</v>
      </c>
      <c r="K162" s="22" t="str">
        <f t="array" ref="K162">IF(H162="Crash",MATCH(TRUE, B163:B260 &gt;= B161, 0),"")</f>
        <v/>
      </c>
    </row>
    <row r="163" ht="15.75" customHeight="1">
      <c r="A163" s="32">
        <f>'EQUITY BACKTEST'!A166</f>
        <v>37288.66667</v>
      </c>
      <c r="B163" s="22">
        <f>'EQUITY BACKTEST'!B166</f>
        <v>1122.2</v>
      </c>
      <c r="C163" s="22">
        <f>1/'EQUITY BACKTEST'!E166</f>
        <v>1.160496693</v>
      </c>
      <c r="D163" s="22">
        <f t="shared" si="5"/>
        <v>-0.2020930357</v>
      </c>
      <c r="E163" s="22">
        <f t="shared" si="3"/>
        <v>-0.009776930679</v>
      </c>
      <c r="F163" s="22">
        <f t="shared" si="6"/>
        <v>-0.1684142663</v>
      </c>
      <c r="H163" s="22" t="str">
        <f t="shared" si="4"/>
        <v/>
      </c>
      <c r="I163" s="22" t="str">
        <f t="shared" si="1"/>
        <v>#N/A</v>
      </c>
      <c r="J163" s="22" t="str">
        <f t="shared" si="2"/>
        <v>#N/A</v>
      </c>
      <c r="K163" s="22" t="str">
        <f t="array" ref="K163">IF(H163="Crash",MATCH(TRUE, B164:B261 &gt;= B162, 0),"")</f>
        <v/>
      </c>
    </row>
    <row r="164" ht="15.75" customHeight="1">
      <c r="A164" s="32">
        <f>'EQUITY BACKTEST'!A167</f>
        <v>37295.66667</v>
      </c>
      <c r="B164" s="22">
        <f>'EQUITY BACKTEST'!B167</f>
        <v>1096.22</v>
      </c>
      <c r="C164" s="22">
        <f>1/'EQUITY BACKTEST'!E167</f>
        <v>1.147578609</v>
      </c>
      <c r="D164" s="22">
        <f t="shared" si="5"/>
        <v>-0.4275394633</v>
      </c>
      <c r="E164" s="22">
        <f t="shared" si="3"/>
        <v>-0.02315095348</v>
      </c>
      <c r="F164" s="22">
        <f t="shared" si="6"/>
        <v>-0.1662204509</v>
      </c>
      <c r="H164" s="22" t="str">
        <f t="shared" si="4"/>
        <v/>
      </c>
      <c r="I164" s="22" t="str">
        <f t="shared" si="1"/>
        <v>#N/A</v>
      </c>
      <c r="J164" s="22" t="str">
        <f t="shared" si="2"/>
        <v>#N/A</v>
      </c>
      <c r="K164" s="22" t="str">
        <f t="array" ref="K164">IF(H164="Crash",MATCH(TRUE, B165:B262 &gt;= B163, 0),"")</f>
        <v/>
      </c>
    </row>
    <row r="165" ht="15.75" customHeight="1">
      <c r="A165" s="32">
        <f>'EQUITY BACKTEST'!A168</f>
        <v>37302.66667</v>
      </c>
      <c r="B165" s="22">
        <f>'EQUITY BACKTEST'!B168</f>
        <v>1104.18</v>
      </c>
      <c r="C165" s="22">
        <f>1/'EQUITY BACKTEST'!E168</f>
        <v>1.145475372</v>
      </c>
      <c r="D165" s="22">
        <f t="shared" si="5"/>
        <v>-0.4779756962</v>
      </c>
      <c r="E165" s="22">
        <f t="shared" si="3"/>
        <v>0.007261316159</v>
      </c>
      <c r="F165" s="22">
        <f t="shared" si="6"/>
        <v>-0.151590125</v>
      </c>
      <c r="H165" s="22" t="str">
        <f t="shared" si="4"/>
        <v/>
      </c>
      <c r="I165" s="22" t="str">
        <f t="shared" si="1"/>
        <v>#N/A</v>
      </c>
      <c r="J165" s="22" t="str">
        <f t="shared" si="2"/>
        <v>#N/A</v>
      </c>
      <c r="K165" s="22" t="str">
        <f t="array" ref="K165">IF(H165="Crash",MATCH(TRUE, B166:B263 &gt;= B164, 0),"")</f>
        <v/>
      </c>
    </row>
    <row r="166" ht="15.75" customHeight="1">
      <c r="A166" s="32">
        <f>'EQUITY BACKTEST'!A169</f>
        <v>37309.66667</v>
      </c>
      <c r="B166" s="22">
        <f>'EQUITY BACKTEST'!B169</f>
        <v>1089.84</v>
      </c>
      <c r="C166" s="22">
        <f>1/'EQUITY BACKTEST'!E169</f>
        <v>1.143249114</v>
      </c>
      <c r="D166" s="22">
        <f t="shared" si="5"/>
        <v>-0.5292012901</v>
      </c>
      <c r="E166" s="22">
        <f t="shared" si="3"/>
        <v>-0.01298701299</v>
      </c>
      <c r="F166" s="22">
        <f t="shared" si="6"/>
        <v>-0.1249568436</v>
      </c>
      <c r="H166" s="22" t="str">
        <f t="shared" si="4"/>
        <v/>
      </c>
      <c r="I166" s="22" t="str">
        <f t="shared" si="1"/>
        <v>#N/A</v>
      </c>
      <c r="J166" s="22" t="str">
        <f t="shared" si="2"/>
        <v>#N/A</v>
      </c>
      <c r="K166" s="22" t="str">
        <f t="array" ref="K166">IF(H166="Crash",MATCH(TRUE, B167:B264 &gt;= B165, 0),"")</f>
        <v/>
      </c>
    </row>
    <row r="167" ht="15.75" customHeight="1">
      <c r="A167" s="32">
        <f>'EQUITY BACKTEST'!A170</f>
        <v>37316.66667</v>
      </c>
      <c r="B167" s="22">
        <f>'EQUITY BACKTEST'!B170</f>
        <v>1131.78</v>
      </c>
      <c r="C167" s="22">
        <f>1/'EQUITY BACKTEST'!E170</f>
        <v>1.156203029</v>
      </c>
      <c r="D167" s="22">
        <f t="shared" si="5"/>
        <v>-0.4937946433</v>
      </c>
      <c r="E167" s="22">
        <f t="shared" si="3"/>
        <v>0.03848271306</v>
      </c>
      <c r="F167" s="22">
        <f t="shared" si="6"/>
        <v>-0.0829700692</v>
      </c>
      <c r="H167" s="22" t="str">
        <f t="shared" si="4"/>
        <v/>
      </c>
      <c r="I167" s="22" t="str">
        <f t="shared" si="1"/>
        <v>#N/A</v>
      </c>
      <c r="J167" s="22" t="str">
        <f t="shared" si="2"/>
        <v>#N/A</v>
      </c>
      <c r="K167" s="22" t="str">
        <f t="array" ref="K167">IF(H167="Crash",MATCH(TRUE, B168:B265 &gt;= B166, 0),"")</f>
        <v/>
      </c>
    </row>
    <row r="168" ht="15.75" customHeight="1">
      <c r="A168" s="32">
        <f>'EQUITY BACKTEST'!A171</f>
        <v>37323.66667</v>
      </c>
      <c r="B168" s="22">
        <f>'EQUITY BACKTEST'!B171</f>
        <v>1164.31</v>
      </c>
      <c r="C168" s="22">
        <f>1/'EQUITY BACKTEST'!E171</f>
        <v>1.14416476</v>
      </c>
      <c r="D168" s="22">
        <f t="shared" si="5"/>
        <v>-0.3753097178</v>
      </c>
      <c r="E168" s="22">
        <f t="shared" si="3"/>
        <v>0.02874233508</v>
      </c>
      <c r="F168" s="22">
        <f t="shared" si="6"/>
        <v>-0.05603119781</v>
      </c>
      <c r="H168" s="22" t="str">
        <f t="shared" si="4"/>
        <v/>
      </c>
      <c r="I168" s="22" t="str">
        <f t="shared" si="1"/>
        <v>#N/A</v>
      </c>
      <c r="J168" s="22" t="str">
        <f t="shared" si="2"/>
        <v>#N/A</v>
      </c>
      <c r="K168" s="22" t="str">
        <f t="array" ref="K168">IF(H168="Crash",MATCH(TRUE, B169:B266 &gt;= B167, 0),"")</f>
        <v/>
      </c>
    </row>
    <row r="169" ht="15.75" customHeight="1">
      <c r="A169" s="32">
        <f>'EQUITY BACKTEST'!A172</f>
        <v>37330.66667</v>
      </c>
      <c r="B169" s="22">
        <f>'EQUITY BACKTEST'!B172</f>
        <v>1166.16</v>
      </c>
      <c r="C169" s="22">
        <f>1/'EQUITY BACKTEST'!E172</f>
        <v>1.133786848</v>
      </c>
      <c r="D169" s="22">
        <f t="shared" si="5"/>
        <v>-0.5211637396</v>
      </c>
      <c r="E169" s="22">
        <f t="shared" si="3"/>
        <v>0.001588923912</v>
      </c>
      <c r="F169" s="22">
        <f t="shared" si="6"/>
        <v>0.01356742428</v>
      </c>
      <c r="H169" s="22" t="str">
        <f t="shared" si="4"/>
        <v/>
      </c>
      <c r="I169" s="22" t="str">
        <f t="shared" si="1"/>
        <v>#N/A</v>
      </c>
      <c r="J169" s="22" t="str">
        <f t="shared" si="2"/>
        <v>#N/A</v>
      </c>
      <c r="K169" s="22" t="str">
        <f t="array" ref="K169">IF(H169="Crash",MATCH(TRUE, B170:B267 &gt;= B168, 0),"")</f>
        <v/>
      </c>
    </row>
    <row r="170" ht="15.75" customHeight="1">
      <c r="A170" s="32">
        <f>'EQUITY BACKTEST'!A173</f>
        <v>37337.66667</v>
      </c>
      <c r="B170" s="22">
        <f>'EQUITY BACKTEST'!B173</f>
        <v>1148.7</v>
      </c>
      <c r="C170" s="22">
        <f>1/'EQUITY BACKTEST'!E173</f>
        <v>1.13960114</v>
      </c>
      <c r="D170" s="22">
        <f t="shared" si="5"/>
        <v>-0.5141668213</v>
      </c>
      <c r="E170" s="22">
        <f t="shared" si="3"/>
        <v>-0.01497221651</v>
      </c>
      <c r="F170" s="22">
        <f t="shared" si="6"/>
        <v>0.007764179497</v>
      </c>
      <c r="H170" s="22" t="str">
        <f t="shared" si="4"/>
        <v/>
      </c>
      <c r="I170" s="22" t="str">
        <f t="shared" si="1"/>
        <v>#N/A</v>
      </c>
      <c r="J170" s="22" t="str">
        <f t="shared" si="2"/>
        <v>#N/A</v>
      </c>
      <c r="K170" s="22" t="str">
        <f t="array" ref="K170">IF(H170="Crash",MATCH(TRUE, B171:B268 &gt;= B169, 0),"")</f>
        <v/>
      </c>
    </row>
    <row r="171" ht="15.75" customHeight="1">
      <c r="A171" s="32">
        <f>'EQUITY BACKTEST'!A174</f>
        <v>37343.66667</v>
      </c>
      <c r="B171" s="22">
        <f>'EQUITY BACKTEST'!B174</f>
        <v>1147.39</v>
      </c>
      <c r="C171" s="22">
        <f>1/'EQUITY BACKTEST'!E174</f>
        <v>1.14902907</v>
      </c>
      <c r="D171" s="22">
        <f t="shared" si="5"/>
        <v>-0.4461213026</v>
      </c>
      <c r="E171" s="22">
        <f t="shared" si="3"/>
        <v>-0.001140419605</v>
      </c>
      <c r="F171" s="22">
        <f t="shared" si="6"/>
        <v>-0.01115199986</v>
      </c>
      <c r="H171" s="22" t="str">
        <f t="shared" si="4"/>
        <v/>
      </c>
      <c r="I171" s="22" t="str">
        <f t="shared" si="1"/>
        <v>#N/A</v>
      </c>
      <c r="J171" s="22" t="str">
        <f t="shared" si="2"/>
        <v>#N/A</v>
      </c>
      <c r="K171" s="22" t="str">
        <f t="array" ref="K171">IF(H171="Crash",MATCH(TRUE, B172:B269 &gt;= B170, 0),"")</f>
        <v/>
      </c>
    </row>
    <row r="172" ht="15.75" customHeight="1">
      <c r="A172" s="32">
        <f>'EQUITY BACKTEST'!A175</f>
        <v>37351.66667</v>
      </c>
      <c r="B172" s="22">
        <f>'EQUITY BACKTEST'!B175</f>
        <v>1122.73</v>
      </c>
      <c r="C172" s="22">
        <f>1/'EQUITY BACKTEST'!E175</f>
        <v>1.138303927</v>
      </c>
      <c r="D172" s="22">
        <f t="shared" si="5"/>
        <v>-0.2602263897</v>
      </c>
      <c r="E172" s="22">
        <f t="shared" si="3"/>
        <v>-0.02149225634</v>
      </c>
      <c r="F172" s="22">
        <f t="shared" si="6"/>
        <v>-0.005051265918</v>
      </c>
      <c r="H172" s="22" t="str">
        <f t="shared" si="4"/>
        <v/>
      </c>
      <c r="I172" s="22" t="str">
        <f t="shared" si="1"/>
        <v>#N/A</v>
      </c>
      <c r="J172" s="22" t="str">
        <f t="shared" si="2"/>
        <v>#N/A</v>
      </c>
      <c r="K172" s="22" t="str">
        <f t="array" ref="K172">IF(H172="Crash",MATCH(TRUE, B173:B270 &gt;= B171, 0),"")</f>
        <v/>
      </c>
    </row>
    <row r="173" ht="15.75" customHeight="1">
      <c r="A173" s="32">
        <f>'EQUITY BACKTEST'!A176</f>
        <v>37358.66667</v>
      </c>
      <c r="B173" s="22">
        <f>'EQUITY BACKTEST'!B176</f>
        <v>1111.01</v>
      </c>
      <c r="C173" s="22">
        <f>1/'EQUITY BACKTEST'!E176</f>
        <v>1.135589371</v>
      </c>
      <c r="D173" s="22">
        <f t="shared" si="5"/>
        <v>-0.1125537841</v>
      </c>
      <c r="E173" s="22">
        <f t="shared" si="3"/>
        <v>-0.01043884104</v>
      </c>
      <c r="F173" s="22">
        <f t="shared" si="6"/>
        <v>-0.06125052809</v>
      </c>
      <c r="H173" s="22" t="str">
        <f t="shared" si="4"/>
        <v/>
      </c>
      <c r="I173" s="22" t="str">
        <f t="shared" si="1"/>
        <v>#N/A</v>
      </c>
      <c r="J173" s="22" t="str">
        <f t="shared" si="2"/>
        <v>#N/A</v>
      </c>
      <c r="K173" s="22" t="str">
        <f t="array" ref="K173">IF(H173="Crash",MATCH(TRUE, B174:B271 &gt;= B172, 0),"")</f>
        <v/>
      </c>
    </row>
    <row r="174" ht="15.75" customHeight="1">
      <c r="A174" s="32">
        <f>'EQUITY BACKTEST'!A177</f>
        <v>37365.66667</v>
      </c>
      <c r="B174" s="22">
        <f>'EQUITY BACKTEST'!B177</f>
        <v>1125.17</v>
      </c>
      <c r="C174" s="22">
        <f>1/'EQUITY BACKTEST'!E177</f>
        <v>1.121453404</v>
      </c>
      <c r="D174" s="22">
        <f t="shared" si="5"/>
        <v>-0.07774631113</v>
      </c>
      <c r="E174" s="22">
        <f t="shared" si="3"/>
        <v>0.01274515981</v>
      </c>
      <c r="F174" s="22">
        <f t="shared" si="6"/>
        <v>-0.09475843759</v>
      </c>
      <c r="H174" s="22" t="str">
        <f t="shared" si="4"/>
        <v/>
      </c>
      <c r="I174" s="22" t="str">
        <f t="shared" si="1"/>
        <v>#N/A</v>
      </c>
      <c r="J174" s="22" t="str">
        <f t="shared" si="2"/>
        <v>#N/A</v>
      </c>
      <c r="K174" s="22" t="str">
        <f t="array" ref="K174">IF(H174="Crash",MATCH(TRUE, B175:B272 &gt;= B173, 0),"")</f>
        <v/>
      </c>
    </row>
    <row r="175" ht="15.75" customHeight="1">
      <c r="A175" s="32">
        <f>'EQUITY BACKTEST'!A178</f>
        <v>37372.66667</v>
      </c>
      <c r="B175" s="22">
        <f>'EQUITY BACKTEST'!B178</f>
        <v>1076.32</v>
      </c>
      <c r="C175" s="22">
        <f>1/'EQUITY BACKTEST'!E178</f>
        <v>1.109262341</v>
      </c>
      <c r="D175" s="22">
        <f t="shared" si="5"/>
        <v>0.2779135864</v>
      </c>
      <c r="E175" s="22">
        <f t="shared" si="3"/>
        <v>-0.04341566163</v>
      </c>
      <c r="F175" s="22">
        <f t="shared" si="6"/>
        <v>-0.1410535724</v>
      </c>
      <c r="H175" s="22" t="str">
        <f t="shared" si="4"/>
        <v/>
      </c>
      <c r="I175" s="22" t="str">
        <f t="shared" si="1"/>
        <v>#N/A</v>
      </c>
      <c r="J175" s="22" t="str">
        <f t="shared" si="2"/>
        <v>#N/A</v>
      </c>
      <c r="K175" s="22" t="str">
        <f t="array" ref="K175">IF(H175="Crash",MATCH(TRUE, B176:B273 &gt;= B174, 0),"")</f>
        <v/>
      </c>
    </row>
    <row r="176" ht="15.75" customHeight="1">
      <c r="A176" s="32">
        <f>'EQUITY BACKTEST'!A179</f>
        <v>37379.66667</v>
      </c>
      <c r="B176" s="22">
        <f>'EQUITY BACKTEST'!B179</f>
        <v>1073.43</v>
      </c>
      <c r="C176" s="22">
        <f>1/'EQUITY BACKTEST'!E179</f>
        <v>1.090393632</v>
      </c>
      <c r="D176" s="22">
        <f t="shared" si="5"/>
        <v>0.520785534</v>
      </c>
      <c r="E176" s="22">
        <f t="shared" si="3"/>
        <v>-0.002685075071</v>
      </c>
      <c r="F176" s="22">
        <f t="shared" si="6"/>
        <v>-0.1525039673</v>
      </c>
      <c r="H176" s="22" t="str">
        <f t="shared" si="4"/>
        <v/>
      </c>
      <c r="I176" s="22" t="str">
        <f t="shared" si="1"/>
        <v>#N/A</v>
      </c>
      <c r="J176" s="22" t="str">
        <f t="shared" si="2"/>
        <v>#N/A</v>
      </c>
      <c r="K176" s="22" t="str">
        <f t="array" ref="K176">IF(H176="Crash",MATCH(TRUE, B177:B274 &gt;= B175, 0),"")</f>
        <v/>
      </c>
    </row>
    <row r="177" ht="15.75" customHeight="1">
      <c r="A177" s="32">
        <f>'EQUITY BACKTEST'!A180</f>
        <v>37386.66667</v>
      </c>
      <c r="B177" s="22">
        <f>'EQUITY BACKTEST'!B180</f>
        <v>1054.99</v>
      </c>
      <c r="C177" s="22">
        <f>1/'EQUITY BACKTEST'!E180</f>
        <v>1.094211621</v>
      </c>
      <c r="D177" s="22">
        <f t="shared" si="5"/>
        <v>0.7073328116</v>
      </c>
      <c r="E177" s="22">
        <f t="shared" si="3"/>
        <v>-0.01717857708</v>
      </c>
      <c r="F177" s="22">
        <f t="shared" si="6"/>
        <v>-0.1530606511</v>
      </c>
      <c r="H177" s="22" t="str">
        <f t="shared" si="4"/>
        <v/>
      </c>
      <c r="I177" s="22" t="str">
        <f t="shared" si="1"/>
        <v>#N/A</v>
      </c>
      <c r="J177" s="22" t="str">
        <f t="shared" si="2"/>
        <v>#N/A</v>
      </c>
      <c r="K177" s="22" t="str">
        <f t="array" ref="K177">IF(H177="Crash",MATCH(TRUE, B178:B275 &gt;= B176, 0),"")</f>
        <v/>
      </c>
    </row>
    <row r="178" ht="15.75" customHeight="1">
      <c r="A178" s="32">
        <f>'EQUITY BACKTEST'!A181</f>
        <v>37393.66667</v>
      </c>
      <c r="B178" s="22">
        <f>'EQUITY BACKTEST'!B181</f>
        <v>1106.59</v>
      </c>
      <c r="C178" s="22">
        <f>1/'EQUITY BACKTEST'!E181</f>
        <v>1.086248099</v>
      </c>
      <c r="D178" s="22">
        <f t="shared" si="5"/>
        <v>0.6877263211</v>
      </c>
      <c r="E178" s="22">
        <f t="shared" si="3"/>
        <v>0.04891041621</v>
      </c>
      <c r="F178" s="22">
        <f t="shared" si="6"/>
        <v>-0.1434796743</v>
      </c>
      <c r="H178" s="22" t="str">
        <f t="shared" si="4"/>
        <v/>
      </c>
      <c r="I178" s="22" t="str">
        <f t="shared" si="1"/>
        <v>#N/A</v>
      </c>
      <c r="J178" s="22" t="str">
        <f t="shared" si="2"/>
        <v>#N/A</v>
      </c>
      <c r="K178" s="22" t="str">
        <f t="array" ref="K178">IF(H178="Crash",MATCH(TRUE, B179:B276 &gt;= B177, 0),"")</f>
        <v/>
      </c>
    </row>
    <row r="179" ht="15.75" customHeight="1">
      <c r="A179" s="32">
        <f>'EQUITY BACKTEST'!A182</f>
        <v>37400.66667</v>
      </c>
      <c r="B179" s="22">
        <f>'EQUITY BACKTEST'!B182</f>
        <v>1083.82</v>
      </c>
      <c r="C179" s="22">
        <f>1/'EQUITY BACKTEST'!E182</f>
        <v>1.087074682</v>
      </c>
      <c r="D179" s="22">
        <f t="shared" si="5"/>
        <v>0.7913993185</v>
      </c>
      <c r="E179" s="22">
        <f t="shared" si="3"/>
        <v>-0.0205767267</v>
      </c>
      <c r="F179" s="22">
        <f t="shared" si="6"/>
        <v>-0.1518675316</v>
      </c>
      <c r="H179" s="22" t="str">
        <f t="shared" si="4"/>
        <v/>
      </c>
      <c r="I179" s="22" t="str">
        <f t="shared" si="1"/>
        <v>#N/A</v>
      </c>
      <c r="J179" s="22" t="str">
        <f t="shared" si="2"/>
        <v>#N/A</v>
      </c>
      <c r="K179" s="22" t="str">
        <f t="array" ref="K179">IF(H179="Crash",MATCH(TRUE, B180:B277 &gt;= B178, 0),"")</f>
        <v/>
      </c>
    </row>
    <row r="180" ht="15.75" customHeight="1">
      <c r="A180" s="32">
        <f>'EQUITY BACKTEST'!A183</f>
        <v>37407.66667</v>
      </c>
      <c r="B180" s="22">
        <f>'EQUITY BACKTEST'!B183</f>
        <v>1067.14</v>
      </c>
      <c r="C180" s="22">
        <f>1/'EQUITY BACKTEST'!E183</f>
        <v>1.071352046</v>
      </c>
      <c r="D180" s="22">
        <f t="shared" si="5"/>
        <v>0.8366492261</v>
      </c>
      <c r="E180" s="22">
        <f t="shared" si="3"/>
        <v>-0.01539000941</v>
      </c>
      <c r="F180" s="22">
        <f t="shared" si="6"/>
        <v>-0.1535136078</v>
      </c>
      <c r="H180" s="22" t="str">
        <f t="shared" si="4"/>
        <v/>
      </c>
      <c r="I180" s="22" t="str">
        <f t="shared" si="1"/>
        <v>#N/A</v>
      </c>
      <c r="J180" s="22" t="str">
        <f t="shared" si="2"/>
        <v>#N/A</v>
      </c>
      <c r="K180" s="22" t="str">
        <f t="array" ref="K180">IF(H180="Crash",MATCH(TRUE, B181:B278 &gt;= B179, 0),"")</f>
        <v/>
      </c>
    </row>
    <row r="181" ht="15.75" customHeight="1">
      <c r="A181" s="32">
        <f>'EQUITY BACKTEST'!A184</f>
        <v>37414.66667</v>
      </c>
      <c r="B181" s="22">
        <f>'EQUITY BACKTEST'!B184</f>
        <v>1027.53</v>
      </c>
      <c r="C181" s="22">
        <f>1/'EQUITY BACKTEST'!E184</f>
        <v>1.061571125</v>
      </c>
      <c r="D181" s="22">
        <f t="shared" si="5"/>
        <v>0.8634591364</v>
      </c>
      <c r="E181" s="22">
        <f t="shared" si="3"/>
        <v>-0.03711790393</v>
      </c>
      <c r="F181" s="22">
        <f t="shared" si="6"/>
        <v>-0.1877040562</v>
      </c>
      <c r="H181" s="22" t="str">
        <f t="shared" si="4"/>
        <v/>
      </c>
      <c r="I181" s="22" t="str">
        <f t="shared" si="1"/>
        <v>#N/A</v>
      </c>
      <c r="J181" s="22" t="str">
        <f t="shared" si="2"/>
        <v>#N/A</v>
      </c>
      <c r="K181" s="22" t="str">
        <f t="array" ref="K181">IF(H181="Crash",MATCH(TRUE, B182:B279 &gt;= B180, 0),"")</f>
        <v/>
      </c>
    </row>
    <row r="182" ht="15.75" customHeight="1">
      <c r="A182" s="32">
        <f>'EQUITY BACKTEST'!A185</f>
        <v>37421.66667</v>
      </c>
      <c r="B182" s="22">
        <f>'EQUITY BACKTEST'!B185</f>
        <v>1007.27</v>
      </c>
      <c r="C182" s="22">
        <f>1/'EQUITY BACKTEST'!E185</f>
        <v>1.05764146</v>
      </c>
      <c r="D182" s="22">
        <f t="shared" si="5"/>
        <v>0.8954243111</v>
      </c>
      <c r="E182" s="22">
        <f t="shared" si="3"/>
        <v>-0.01971718587</v>
      </c>
      <c r="F182" s="22">
        <f t="shared" si="6"/>
        <v>-0.1705342732</v>
      </c>
      <c r="H182" s="22" t="str">
        <f t="shared" si="4"/>
        <v/>
      </c>
      <c r="I182" s="22" t="str">
        <f t="shared" si="1"/>
        <v>#N/A</v>
      </c>
      <c r="J182" s="22" t="str">
        <f t="shared" si="2"/>
        <v>#N/A</v>
      </c>
      <c r="K182" s="22" t="str">
        <f t="array" ref="K182">IF(H182="Crash",MATCH(TRUE, B183:B280 &gt;= B181, 0),"")</f>
        <v/>
      </c>
    </row>
    <row r="183" ht="15.75" customHeight="1">
      <c r="A183" s="32">
        <f>'EQUITY BACKTEST'!A186</f>
        <v>37428.66667</v>
      </c>
      <c r="B183" s="22">
        <f>'EQUITY BACKTEST'!B186</f>
        <v>989.14</v>
      </c>
      <c r="C183" s="22">
        <f>1/'EQUITY BACKTEST'!E186</f>
        <v>1.031353135</v>
      </c>
      <c r="D183" s="22">
        <f t="shared" si="5"/>
        <v>0.9162884479</v>
      </c>
      <c r="E183" s="22">
        <f t="shared" si="3"/>
        <v>-0.01799914621</v>
      </c>
      <c r="F183" s="22">
        <f t="shared" si="6"/>
        <v>-0.1927694128</v>
      </c>
      <c r="H183" s="22" t="str">
        <f t="shared" si="4"/>
        <v/>
      </c>
      <c r="I183" s="22" t="str">
        <f t="shared" si="1"/>
        <v>#N/A</v>
      </c>
      <c r="J183" s="22" t="str">
        <f t="shared" si="2"/>
        <v>#N/A</v>
      </c>
      <c r="K183" s="22" t="str">
        <f t="array" ref="K183">IF(H183="Crash",MATCH(TRUE, B184:B281 &gt;= B182, 0),"")</f>
        <v/>
      </c>
    </row>
    <row r="184" ht="15.75" customHeight="1">
      <c r="A184" s="32">
        <f>'EQUITY BACKTEST'!A187</f>
        <v>37435.66667</v>
      </c>
      <c r="B184" s="22">
        <f>'EQUITY BACKTEST'!B187</f>
        <v>989.6</v>
      </c>
      <c r="C184" s="22">
        <f>1/'EQUITY BACKTEST'!E187</f>
        <v>1.009489198</v>
      </c>
      <c r="D184" s="22">
        <f t="shared" si="5"/>
        <v>0.914333266</v>
      </c>
      <c r="E184" s="22">
        <f t="shared" si="3"/>
        <v>0.0004650504479</v>
      </c>
      <c r="F184" s="22">
        <f t="shared" si="6"/>
        <v>-0.1934734594</v>
      </c>
      <c r="H184" s="22" t="str">
        <f t="shared" si="4"/>
        <v/>
      </c>
      <c r="I184" s="22" t="str">
        <f t="shared" si="1"/>
        <v>#N/A</v>
      </c>
      <c r="J184" s="22" t="str">
        <f t="shared" si="2"/>
        <v>#N/A</v>
      </c>
      <c r="K184" s="22" t="str">
        <f t="array" ref="K184">IF(H184="Crash",MATCH(TRUE, B185:B282 &gt;= B183, 0),"")</f>
        <v/>
      </c>
    </row>
    <row r="185" ht="15.75" customHeight="1">
      <c r="A185" s="32">
        <f>'EQUITY BACKTEST'!A188</f>
        <v>37442.66667</v>
      </c>
      <c r="B185" s="22">
        <f>'EQUITY BACKTEST'!B188</f>
        <v>989.03</v>
      </c>
      <c r="C185" s="22">
        <f>1/'EQUITY BACKTEST'!E188</f>
        <v>1.027115859</v>
      </c>
      <c r="D185" s="22">
        <f t="shared" si="5"/>
        <v>0.9161044163</v>
      </c>
      <c r="E185" s="22">
        <f t="shared" si="3"/>
        <v>-0.0005759902991</v>
      </c>
      <c r="F185" s="22">
        <f t="shared" si="6"/>
        <v>-0.1692942155</v>
      </c>
      <c r="H185" s="22" t="str">
        <f t="shared" si="4"/>
        <v/>
      </c>
      <c r="I185" s="22" t="str">
        <f t="shared" si="1"/>
        <v>#N/A</v>
      </c>
      <c r="J185" s="22" t="str">
        <f t="shared" si="2"/>
        <v>#N/A</v>
      </c>
      <c r="K185" s="22" t="str">
        <f t="array" ref="K185">IF(H185="Crash",MATCH(TRUE, B186:B283 &gt;= B184, 0),"")</f>
        <v/>
      </c>
    </row>
    <row r="186" ht="15.75" customHeight="1">
      <c r="A186" s="32">
        <f>'EQUITY BACKTEST'!A189</f>
        <v>37449.66667</v>
      </c>
      <c r="B186" s="22">
        <f>'EQUITY BACKTEST'!B189</f>
        <v>921.4</v>
      </c>
      <c r="C186" s="22">
        <f>1/'EQUITY BACKTEST'!E189</f>
        <v>1.008776354</v>
      </c>
      <c r="D186" s="22">
        <f t="shared" si="5"/>
        <v>0.9208812088</v>
      </c>
      <c r="E186" s="22">
        <f t="shared" si="3"/>
        <v>-0.06838013003</v>
      </c>
      <c r="F186" s="22">
        <f t="shared" si="6"/>
        <v>-0.2420702817</v>
      </c>
      <c r="H186" s="22" t="str">
        <f t="shared" si="4"/>
        <v>Crash</v>
      </c>
      <c r="I186" s="22">
        <f t="shared" si="1"/>
        <v>-6.838013003</v>
      </c>
      <c r="J186" s="22">
        <f t="shared" si="2"/>
        <v>92.08812088</v>
      </c>
      <c r="K186" s="22">
        <f t="array" ref="K186">IF(H186="Crash",MATCH(TRUE, B187:B284 &gt;= B185, 0),"")</f>
        <v>49</v>
      </c>
    </row>
    <row r="187" ht="15.75" customHeight="1">
      <c r="A187" s="32">
        <f>'EQUITY BACKTEST'!A190</f>
        <v>37456.66667</v>
      </c>
      <c r="B187" s="22">
        <f>'EQUITY BACKTEST'!B190</f>
        <v>847.5</v>
      </c>
      <c r="C187" s="22">
        <f>1/'EQUITY BACKTEST'!E190</f>
        <v>0.9909820632</v>
      </c>
      <c r="D187" s="22">
        <f t="shared" si="5"/>
        <v>0.9085265622</v>
      </c>
      <c r="E187" s="22">
        <f t="shared" si="3"/>
        <v>-0.08020403733</v>
      </c>
      <c r="F187" s="22">
        <f t="shared" si="6"/>
        <v>-0.3000784573</v>
      </c>
      <c r="H187" s="22" t="str">
        <f t="shared" si="4"/>
        <v>Crash</v>
      </c>
      <c r="I187" s="22">
        <f t="shared" si="1"/>
        <v>-8.020403733</v>
      </c>
      <c r="J187" s="22">
        <f t="shared" si="2"/>
        <v>90.85265622</v>
      </c>
      <c r="K187" s="22">
        <f t="array" ref="K187">IF(H187="Crash",MATCH(TRUE, B188:B285 &gt;= B186, 0),"")</f>
        <v>4</v>
      </c>
    </row>
    <row r="188" ht="15.75" customHeight="1">
      <c r="A188" s="32">
        <f>'EQUITY BACKTEST'!A191</f>
        <v>37463.66667</v>
      </c>
      <c r="B188" s="22">
        <f>'EQUITY BACKTEST'!B191</f>
        <v>852.83</v>
      </c>
      <c r="C188" s="22">
        <f>1/'EQUITY BACKTEST'!E191</f>
        <v>1.014404545</v>
      </c>
      <c r="D188" s="22">
        <f t="shared" si="5"/>
        <v>0.8941499188</v>
      </c>
      <c r="E188" s="22">
        <f t="shared" si="3"/>
        <v>0.006289085546</v>
      </c>
      <c r="F188" s="22">
        <f t="shared" si="6"/>
        <v>-0.2927385514</v>
      </c>
      <c r="H188" s="22" t="str">
        <f t="shared" si="4"/>
        <v/>
      </c>
      <c r="I188" s="22" t="str">
        <f t="shared" si="1"/>
        <v>#N/A</v>
      </c>
      <c r="J188" s="22" t="str">
        <f t="shared" si="2"/>
        <v>#N/A</v>
      </c>
      <c r="K188" s="22" t="str">
        <f t="array" ref="K188">IF(H188="Crash",MATCH(TRUE, B189:B286 &gt;= B187, 0),"")</f>
        <v/>
      </c>
    </row>
    <row r="189" ht="15.75" customHeight="1">
      <c r="A189" s="32">
        <f>'EQUITY BACKTEST'!A192</f>
        <v>37470.66667</v>
      </c>
      <c r="B189" s="22">
        <f>'EQUITY BACKTEST'!B192</f>
        <v>864.24</v>
      </c>
      <c r="C189" s="22">
        <f>1/'EQUITY BACKTEST'!E192</f>
        <v>1.015228426</v>
      </c>
      <c r="D189" s="22">
        <f t="shared" si="5"/>
        <v>0.88323817</v>
      </c>
      <c r="E189" s="22">
        <f t="shared" si="3"/>
        <v>0.01337898526</v>
      </c>
      <c r="F189" s="22">
        <f t="shared" si="6"/>
        <v>-0.2883106188</v>
      </c>
      <c r="H189" s="22" t="str">
        <f t="shared" si="4"/>
        <v/>
      </c>
      <c r="I189" s="22" t="str">
        <f t="shared" si="1"/>
        <v>#N/A</v>
      </c>
      <c r="J189" s="22" t="str">
        <f t="shared" si="2"/>
        <v>#N/A</v>
      </c>
      <c r="K189" s="22" t="str">
        <f t="array" ref="K189">IF(H189="Crash",MATCH(TRUE, B190:B287 &gt;= B188, 0),"")</f>
        <v/>
      </c>
    </row>
    <row r="190" ht="15.75" customHeight="1">
      <c r="A190" s="32">
        <f>'EQUITY BACKTEST'!A193</f>
        <v>37477.66667</v>
      </c>
      <c r="B190" s="22">
        <f>'EQUITY BACKTEST'!B193</f>
        <v>908.6</v>
      </c>
      <c r="C190" s="22">
        <f>1/'EQUITY BACKTEST'!E193</f>
        <v>1.031885254</v>
      </c>
      <c r="D190" s="22">
        <f t="shared" si="5"/>
        <v>0.881581133</v>
      </c>
      <c r="E190" s="22">
        <f t="shared" si="3"/>
        <v>0.05132833472</v>
      </c>
      <c r="F190" s="22">
        <f t="shared" si="6"/>
        <v>-0.2365732339</v>
      </c>
      <c r="H190" s="22" t="str">
        <f t="shared" si="4"/>
        <v/>
      </c>
      <c r="I190" s="22" t="str">
        <f t="shared" si="1"/>
        <v>#N/A</v>
      </c>
      <c r="J190" s="22" t="str">
        <f t="shared" si="2"/>
        <v>#N/A</v>
      </c>
      <c r="K190" s="22" t="str">
        <f t="array" ref="K190">IF(H190="Crash",MATCH(TRUE, B191:B288 &gt;= B189, 0),"")</f>
        <v/>
      </c>
    </row>
    <row r="191" ht="15.75" customHeight="1">
      <c r="A191" s="32">
        <f>'EQUITY BACKTEST'!A194</f>
        <v>37484.66667</v>
      </c>
      <c r="B191" s="22">
        <f>'EQUITY BACKTEST'!B194</f>
        <v>928.76</v>
      </c>
      <c r="C191" s="22">
        <f>1/'EQUITY BACKTEST'!E194</f>
        <v>1.012760786</v>
      </c>
      <c r="D191" s="22">
        <f t="shared" si="5"/>
        <v>0.8505712361</v>
      </c>
      <c r="E191" s="22">
        <f t="shared" si="3"/>
        <v>0.02218798151</v>
      </c>
      <c r="F191" s="22">
        <f t="shared" si="6"/>
        <v>-0.2007022557</v>
      </c>
      <c r="H191" s="22" t="str">
        <f t="shared" si="4"/>
        <v/>
      </c>
      <c r="I191" s="22" t="str">
        <f t="shared" si="1"/>
        <v>#N/A</v>
      </c>
      <c r="J191" s="22" t="str">
        <f t="shared" si="2"/>
        <v>#N/A</v>
      </c>
      <c r="K191" s="22" t="str">
        <f t="array" ref="K191">IF(H191="Crash",MATCH(TRUE, B192:B289 &gt;= B190, 0),"")</f>
        <v/>
      </c>
    </row>
    <row r="192" ht="15.75" customHeight="1">
      <c r="A192" s="32">
        <f>'EQUITY BACKTEST'!A195</f>
        <v>37491.66667</v>
      </c>
      <c r="B192" s="22">
        <f>'EQUITY BACKTEST'!B195</f>
        <v>940.87</v>
      </c>
      <c r="C192" s="22">
        <f>1/'EQUITY BACKTEST'!E195</f>
        <v>1.028806584</v>
      </c>
      <c r="D192" s="22">
        <f t="shared" si="5"/>
        <v>0.8017631893</v>
      </c>
      <c r="E192" s="22">
        <f t="shared" si="3"/>
        <v>0.01303889056</v>
      </c>
      <c r="F192" s="22">
        <f t="shared" si="6"/>
        <v>-0.2059699729</v>
      </c>
      <c r="H192" s="22" t="str">
        <f t="shared" si="4"/>
        <v/>
      </c>
      <c r="I192" s="22" t="str">
        <f t="shared" si="1"/>
        <v>#N/A</v>
      </c>
      <c r="J192" s="22" t="str">
        <f t="shared" si="2"/>
        <v>#N/A</v>
      </c>
      <c r="K192" s="22" t="str">
        <f t="array" ref="K192">IF(H192="Crash",MATCH(TRUE, B193:B290 &gt;= B191, 0),"")</f>
        <v/>
      </c>
    </row>
    <row r="193" ht="15.75" customHeight="1">
      <c r="A193" s="32">
        <f>'EQUITY BACKTEST'!A196</f>
        <v>37498.66667</v>
      </c>
      <c r="B193" s="22">
        <f>'EQUITY BACKTEST'!B196</f>
        <v>916.07</v>
      </c>
      <c r="C193" s="22">
        <f>1/'EQUITY BACKTEST'!E196</f>
        <v>1.020095889</v>
      </c>
      <c r="D193" s="22">
        <f t="shared" si="5"/>
        <v>0.7248055472</v>
      </c>
      <c r="E193" s="22">
        <f t="shared" si="3"/>
        <v>-0.02635858301</v>
      </c>
      <c r="F193" s="22">
        <f t="shared" si="6"/>
        <v>-0.1918788264</v>
      </c>
      <c r="H193" s="22" t="str">
        <f t="shared" si="4"/>
        <v/>
      </c>
      <c r="I193" s="22" t="str">
        <f t="shared" si="1"/>
        <v>#N/A</v>
      </c>
      <c r="J193" s="22" t="str">
        <f t="shared" si="2"/>
        <v>#N/A</v>
      </c>
      <c r="K193" s="22" t="str">
        <f t="array" ref="K193">IF(H193="Crash",MATCH(TRUE, B194:B291 &gt;= B192, 0),"")</f>
        <v/>
      </c>
    </row>
    <row r="194" ht="15.75" customHeight="1">
      <c r="A194" s="32">
        <f>'EQUITY BACKTEST'!A197</f>
        <v>37505.66667</v>
      </c>
      <c r="B194" s="22">
        <f>'EQUITY BACKTEST'!B197</f>
        <v>893.91</v>
      </c>
      <c r="C194" s="22">
        <f>1/'EQUITY BACKTEST'!E197</f>
        <v>1.019887812</v>
      </c>
      <c r="D194" s="22">
        <f t="shared" si="5"/>
        <v>0.628372684</v>
      </c>
      <c r="E194" s="22">
        <f t="shared" si="3"/>
        <v>-0.02419029113</v>
      </c>
      <c r="F194" s="22">
        <f t="shared" si="6"/>
        <v>-0.1767116727</v>
      </c>
      <c r="H194" s="22" t="str">
        <f t="shared" si="4"/>
        <v/>
      </c>
      <c r="I194" s="22" t="str">
        <f t="shared" si="1"/>
        <v>#N/A</v>
      </c>
      <c r="J194" s="22" t="str">
        <f t="shared" si="2"/>
        <v>#N/A</v>
      </c>
      <c r="K194" s="22" t="str">
        <f t="array" ref="K194">IF(H194="Crash",MATCH(TRUE, B195:B292 &gt;= B193, 0),"")</f>
        <v/>
      </c>
    </row>
    <row r="195" ht="15.75" customHeight="1">
      <c r="A195" s="32">
        <f>'EQUITY BACKTEST'!A198</f>
        <v>37512.66667</v>
      </c>
      <c r="B195" s="22">
        <f>'EQUITY BACKTEST'!B198</f>
        <v>889.79</v>
      </c>
      <c r="C195" s="22">
        <f>1/'EQUITY BACKTEST'!E198</f>
        <v>1.030290542</v>
      </c>
      <c r="D195" s="22">
        <f t="shared" si="5"/>
        <v>0.4159280571</v>
      </c>
      <c r="E195" s="22">
        <f t="shared" si="3"/>
        <v>-0.004608965108</v>
      </c>
      <c r="F195" s="22">
        <f t="shared" si="6"/>
        <v>-0.1855767295</v>
      </c>
      <c r="H195" s="22" t="str">
        <f t="shared" si="4"/>
        <v/>
      </c>
      <c r="I195" s="22" t="str">
        <f t="shared" si="1"/>
        <v>#N/A</v>
      </c>
      <c r="J195" s="22" t="str">
        <f t="shared" si="2"/>
        <v>#N/A</v>
      </c>
      <c r="K195" s="22" t="str">
        <f t="array" ref="K195">IF(H195="Crash",MATCH(TRUE, B196:B293 &gt;= B194, 0),"")</f>
        <v/>
      </c>
    </row>
    <row r="196" ht="15.75" customHeight="1">
      <c r="A196" s="32">
        <f>'EQUITY BACKTEST'!A199</f>
        <v>37519.66667</v>
      </c>
      <c r="B196" s="22">
        <f>'EQUITY BACKTEST'!B199</f>
        <v>845.39</v>
      </c>
      <c r="C196" s="22">
        <f>1/'EQUITY BACKTEST'!E199</f>
        <v>1.018122582</v>
      </c>
      <c r="D196" s="22">
        <f t="shared" si="5"/>
        <v>0.2915897503</v>
      </c>
      <c r="E196" s="22">
        <f t="shared" si="3"/>
        <v>-0.04989941447</v>
      </c>
      <c r="F196" s="22">
        <f t="shared" si="6"/>
        <v>-0.1246738455</v>
      </c>
      <c r="H196" s="22" t="str">
        <f t="shared" si="4"/>
        <v/>
      </c>
      <c r="I196" s="22" t="str">
        <f t="shared" si="1"/>
        <v>#N/A</v>
      </c>
      <c r="J196" s="22" t="str">
        <f t="shared" si="2"/>
        <v>#N/A</v>
      </c>
      <c r="K196" s="22" t="str">
        <f t="array" ref="K196">IF(H196="Crash",MATCH(TRUE, B197:B294 &gt;= B195, 0),"")</f>
        <v/>
      </c>
    </row>
    <row r="197" ht="15.75" customHeight="1">
      <c r="A197" s="32">
        <f>'EQUITY BACKTEST'!A200</f>
        <v>37526.66667</v>
      </c>
      <c r="B197" s="22">
        <f>'EQUITY BACKTEST'!B200</f>
        <v>827.36</v>
      </c>
      <c r="C197" s="22">
        <f>1/'EQUITY BACKTEST'!E200</f>
        <v>1.021659174</v>
      </c>
      <c r="D197" s="22">
        <f t="shared" si="5"/>
        <v>0.393540018</v>
      </c>
      <c r="E197" s="22">
        <f t="shared" si="3"/>
        <v>-0.02132743468</v>
      </c>
      <c r="F197" s="22">
        <f t="shared" si="6"/>
        <v>-0.2051799335</v>
      </c>
      <c r="H197" s="22" t="str">
        <f t="shared" si="4"/>
        <v/>
      </c>
      <c r="I197" s="22" t="str">
        <f t="shared" si="1"/>
        <v>#N/A</v>
      </c>
      <c r="J197" s="22" t="str">
        <f t="shared" si="2"/>
        <v>#N/A</v>
      </c>
      <c r="K197" s="22" t="str">
        <f t="array" ref="K197">IF(H197="Crash",MATCH(TRUE, B198:B295 &gt;= B196, 0),"")</f>
        <v/>
      </c>
    </row>
    <row r="198" ht="15.75" customHeight="1">
      <c r="A198" s="32">
        <f>'EQUITY BACKTEST'!A201</f>
        <v>37533.66667</v>
      </c>
      <c r="B198" s="22">
        <f>'EQUITY BACKTEST'!B201</f>
        <v>800.62</v>
      </c>
      <c r="C198" s="22">
        <f>1/'EQUITY BACKTEST'!E201</f>
        <v>1.021554806</v>
      </c>
      <c r="D198" s="22">
        <f t="shared" si="5"/>
        <v>0.2134617537</v>
      </c>
      <c r="E198" s="22">
        <f t="shared" si="3"/>
        <v>-0.03231966738</v>
      </c>
      <c r="F198" s="22">
        <f t="shared" si="6"/>
        <v>-0.25272079</v>
      </c>
      <c r="H198" s="22" t="str">
        <f t="shared" si="4"/>
        <v/>
      </c>
      <c r="I198" s="22" t="str">
        <f t="shared" si="1"/>
        <v>#N/A</v>
      </c>
      <c r="J198" s="22" t="str">
        <f t="shared" si="2"/>
        <v>#N/A</v>
      </c>
      <c r="K198" s="22" t="str">
        <f t="array" ref="K198">IF(H198="Crash",MATCH(TRUE, B199:B296 &gt;= B197, 0),"")</f>
        <v/>
      </c>
    </row>
    <row r="199" ht="15.75" customHeight="1">
      <c r="A199" s="32">
        <f>'EQUITY BACKTEST'!A202</f>
        <v>37540.66667</v>
      </c>
      <c r="B199" s="22">
        <f>'EQUITY BACKTEST'!B202</f>
        <v>835.32</v>
      </c>
      <c r="C199" s="22">
        <f>1/'EQUITY BACKTEST'!E202</f>
        <v>1.013171226</v>
      </c>
      <c r="D199" s="22">
        <f t="shared" si="5"/>
        <v>0.3378903264</v>
      </c>
      <c r="E199" s="22">
        <f t="shared" si="3"/>
        <v>0.04334141041</v>
      </c>
      <c r="F199" s="22">
        <f t="shared" si="6"/>
        <v>-0.2348096918</v>
      </c>
      <c r="H199" s="22" t="str">
        <f t="shared" si="4"/>
        <v/>
      </c>
      <c r="I199" s="22" t="str">
        <f t="shared" si="1"/>
        <v>#N/A</v>
      </c>
      <c r="J199" s="22" t="str">
        <f t="shared" si="2"/>
        <v>#N/A</v>
      </c>
      <c r="K199" s="22" t="str">
        <f t="array" ref="K199">IF(H199="Crash",MATCH(TRUE, B200:B297 &gt;= B198, 0),"")</f>
        <v/>
      </c>
    </row>
    <row r="200" ht="15.75" customHeight="1">
      <c r="A200" s="32">
        <f>'EQUITY BACKTEST'!A203</f>
        <v>37547.66667</v>
      </c>
      <c r="B200" s="22">
        <f>'EQUITY BACKTEST'!B203</f>
        <v>884.38</v>
      </c>
      <c r="C200" s="22">
        <f>1/'EQUITY BACKTEST'!E203</f>
        <v>1.029336078</v>
      </c>
      <c r="D200" s="22">
        <f t="shared" si="5"/>
        <v>0.3254941722</v>
      </c>
      <c r="E200" s="22">
        <f t="shared" si="3"/>
        <v>0.05873198295</v>
      </c>
      <c r="F200" s="22">
        <f t="shared" si="6"/>
        <v>-0.1761560532</v>
      </c>
      <c r="H200" s="22" t="str">
        <f t="shared" si="4"/>
        <v/>
      </c>
      <c r="I200" s="22" t="str">
        <f t="shared" si="1"/>
        <v>#N/A</v>
      </c>
      <c r="J200" s="22" t="str">
        <f t="shared" si="2"/>
        <v>#N/A</v>
      </c>
      <c r="K200" s="22" t="str">
        <f t="array" ref="K200">IF(H200="Crash",MATCH(TRUE, B201:B298 &gt;= B199, 0),"")</f>
        <v/>
      </c>
    </row>
    <row r="201" ht="15.75" customHeight="1">
      <c r="A201" s="32">
        <f>'EQUITY BACKTEST'!A204</f>
        <v>37554.66667</v>
      </c>
      <c r="B201" s="22">
        <f>'EQUITY BACKTEST'!B204</f>
        <v>897.65</v>
      </c>
      <c r="C201" s="22">
        <f>1/'EQUITY BACKTEST'!E204</f>
        <v>1.02406554</v>
      </c>
      <c r="D201" s="22">
        <f t="shared" si="5"/>
        <v>0.3012954762</v>
      </c>
      <c r="E201" s="22">
        <f t="shared" si="3"/>
        <v>0.01500486216</v>
      </c>
      <c r="F201" s="22">
        <f t="shared" si="6"/>
        <v>-0.1873602448</v>
      </c>
      <c r="H201" s="22" t="str">
        <f t="shared" si="4"/>
        <v/>
      </c>
      <c r="I201" s="22" t="str">
        <f t="shared" si="1"/>
        <v>#N/A</v>
      </c>
      <c r="J201" s="22" t="str">
        <f t="shared" si="2"/>
        <v>#N/A</v>
      </c>
      <c r="K201" s="22" t="str">
        <f t="array" ref="K201">IF(H201="Crash",MATCH(TRUE, B202:B299 &gt;= B200, 0),"")</f>
        <v/>
      </c>
    </row>
    <row r="202" ht="15.75" customHeight="1">
      <c r="A202" s="32">
        <f>'EQUITY BACKTEST'!A205</f>
        <v>37561.66667</v>
      </c>
      <c r="B202" s="22">
        <f>'EQUITY BACKTEST'!B205</f>
        <v>900.96</v>
      </c>
      <c r="C202" s="22">
        <f>1/'EQUITY BACKTEST'!E205</f>
        <v>1.004016064</v>
      </c>
      <c r="D202" s="22">
        <f t="shared" si="5"/>
        <v>0.1293732177</v>
      </c>
      <c r="E202" s="22">
        <f t="shared" si="3"/>
        <v>0.003687406005</v>
      </c>
      <c r="F202" s="22">
        <f t="shared" si="6"/>
        <v>-0.1713024283</v>
      </c>
      <c r="H202" s="22" t="str">
        <f t="shared" si="4"/>
        <v/>
      </c>
      <c r="I202" s="22" t="str">
        <f t="shared" si="1"/>
        <v>#N/A</v>
      </c>
      <c r="J202" s="22" t="str">
        <f t="shared" si="2"/>
        <v>#N/A</v>
      </c>
      <c r="K202" s="22" t="str">
        <f t="array" ref="K202">IF(H202="Crash",MATCH(TRUE, B203:B300 &gt;= B201, 0),"")</f>
        <v/>
      </c>
    </row>
    <row r="203" ht="15.75" customHeight="1">
      <c r="A203" s="32">
        <f>'EQUITY BACKTEST'!A206</f>
        <v>37568.66667</v>
      </c>
      <c r="B203" s="22">
        <f>'EQUITY BACKTEST'!B206</f>
        <v>894.73</v>
      </c>
      <c r="C203" s="22">
        <f>1/'EQUITY BACKTEST'!E206</f>
        <v>0.9839614287</v>
      </c>
      <c r="D203" s="22">
        <f t="shared" si="5"/>
        <v>-0.04302150042</v>
      </c>
      <c r="E203" s="22">
        <f t="shared" si="3"/>
        <v>-0.006914846386</v>
      </c>
      <c r="F203" s="22">
        <f t="shared" si="6"/>
        <v>-0.2013549821</v>
      </c>
      <c r="H203" s="22" t="str">
        <f t="shared" si="4"/>
        <v/>
      </c>
      <c r="I203" s="22" t="str">
        <f t="shared" si="1"/>
        <v>#N/A</v>
      </c>
      <c r="J203" s="22" t="str">
        <f t="shared" si="2"/>
        <v>#N/A</v>
      </c>
      <c r="K203" s="22" t="str">
        <f t="array" ref="K203">IF(H203="Crash",MATCH(TRUE, B204:B301 &gt;= B202, 0),"")</f>
        <v/>
      </c>
    </row>
    <row r="204" ht="15.75" customHeight="1">
      <c r="A204" s="32">
        <f>'EQUITY BACKTEST'!A207</f>
        <v>37575.66667</v>
      </c>
      <c r="B204" s="22">
        <f>'EQUITY BACKTEST'!B207</f>
        <v>909.74</v>
      </c>
      <c r="C204" s="22">
        <f>1/'EQUITY BACKTEST'!E207</f>
        <v>0.9905894007</v>
      </c>
      <c r="D204" s="22">
        <f t="shared" si="5"/>
        <v>-0.1201827026</v>
      </c>
      <c r="E204" s="22">
        <f t="shared" si="3"/>
        <v>0.01677601064</v>
      </c>
      <c r="F204" s="22">
        <f t="shared" si="6"/>
        <v>-0.2010363149</v>
      </c>
      <c r="H204" s="22" t="str">
        <f t="shared" si="4"/>
        <v/>
      </c>
      <c r="I204" s="22" t="str">
        <f t="shared" si="1"/>
        <v>#N/A</v>
      </c>
      <c r="J204" s="22" t="str">
        <f t="shared" si="2"/>
        <v>#N/A</v>
      </c>
      <c r="K204" s="22" t="str">
        <f t="array" ref="K204">IF(H204="Crash",MATCH(TRUE, B205:B302 &gt;= B203, 0),"")</f>
        <v/>
      </c>
    </row>
    <row r="205" ht="15.75" customHeight="1">
      <c r="A205" s="32">
        <f>'EQUITY BACKTEST'!A208</f>
        <v>37582.66667</v>
      </c>
      <c r="B205" s="22">
        <f>'EQUITY BACKTEST'!B208</f>
        <v>930.55</v>
      </c>
      <c r="C205" s="22">
        <f>1/'EQUITY BACKTEST'!E208</f>
        <v>1.003310926</v>
      </c>
      <c r="D205" s="22">
        <f t="shared" si="5"/>
        <v>-0.3412285972</v>
      </c>
      <c r="E205" s="22">
        <f t="shared" si="3"/>
        <v>0.02287466749</v>
      </c>
      <c r="F205" s="22">
        <f t="shared" si="6"/>
        <v>-0.1910652503</v>
      </c>
      <c r="H205" s="22" t="str">
        <f t="shared" si="4"/>
        <v/>
      </c>
      <c r="I205" s="22" t="str">
        <f t="shared" si="1"/>
        <v>#N/A</v>
      </c>
      <c r="J205" s="22" t="str">
        <f t="shared" si="2"/>
        <v>#N/A</v>
      </c>
      <c r="K205" s="22" t="str">
        <f t="array" ref="K205">IF(H205="Crash",MATCH(TRUE, B206:B303 &gt;= B204, 0),"")</f>
        <v/>
      </c>
    </row>
    <row r="206" ht="15.75" customHeight="1">
      <c r="A206" s="32">
        <f>'EQUITY BACKTEST'!A209</f>
        <v>37589.66667</v>
      </c>
      <c r="B206" s="22">
        <f>'EQUITY BACKTEST'!B209</f>
        <v>936.31</v>
      </c>
      <c r="C206" s="22">
        <f>1/'EQUITY BACKTEST'!E209</f>
        <v>1.00623868</v>
      </c>
      <c r="D206" s="22">
        <f t="shared" si="5"/>
        <v>-0.4162191618</v>
      </c>
      <c r="E206" s="22">
        <f t="shared" si="3"/>
        <v>0.006189887701</v>
      </c>
      <c r="F206" s="22">
        <f t="shared" si="6"/>
        <v>-0.1782789943</v>
      </c>
      <c r="H206" s="22" t="str">
        <f t="shared" si="4"/>
        <v/>
      </c>
      <c r="I206" s="22" t="str">
        <f t="shared" si="1"/>
        <v>#N/A</v>
      </c>
      <c r="J206" s="22" t="str">
        <f t="shared" si="2"/>
        <v>#N/A</v>
      </c>
      <c r="K206" s="22" t="str">
        <f t="array" ref="K206">IF(H206="Crash",MATCH(TRUE, B207:B304 &gt;= B205, 0),"")</f>
        <v/>
      </c>
    </row>
    <row r="207" ht="15.75" customHeight="1">
      <c r="A207" s="32">
        <f>'EQUITY BACKTEST'!A210</f>
        <v>37596.66667</v>
      </c>
      <c r="B207" s="22">
        <f>'EQUITY BACKTEST'!B210</f>
        <v>912.23</v>
      </c>
      <c r="C207" s="22">
        <f>1/'EQUITY BACKTEST'!E210</f>
        <v>0.9909820632</v>
      </c>
      <c r="D207" s="22">
        <f t="shared" si="5"/>
        <v>-0.478115556</v>
      </c>
      <c r="E207" s="22">
        <f t="shared" si="3"/>
        <v>-0.02571797802</v>
      </c>
      <c r="F207" s="22">
        <f t="shared" si="6"/>
        <v>-0.212447445</v>
      </c>
      <c r="H207" s="22" t="str">
        <f t="shared" si="4"/>
        <v/>
      </c>
      <c r="I207" s="22" t="str">
        <f t="shared" si="1"/>
        <v>#N/A</v>
      </c>
      <c r="J207" s="22" t="str">
        <f t="shared" si="2"/>
        <v>#N/A</v>
      </c>
      <c r="K207" s="22" t="str">
        <f t="array" ref="K207">IF(H207="Crash",MATCH(TRUE, B208:B305 &gt;= B206, 0),"")</f>
        <v/>
      </c>
    </row>
    <row r="208" ht="15.75" customHeight="1">
      <c r="A208" s="32">
        <f>'EQUITY BACKTEST'!A211</f>
        <v>37603.66667</v>
      </c>
      <c r="B208" s="22">
        <f>'EQUITY BACKTEST'!B211</f>
        <v>889.48</v>
      </c>
      <c r="C208" s="22">
        <f>1/'EQUITY BACKTEST'!E211</f>
        <v>0.9767532721</v>
      </c>
      <c r="D208" s="22">
        <f t="shared" si="5"/>
        <v>-0.4877251487</v>
      </c>
      <c r="E208" s="22">
        <f t="shared" si="3"/>
        <v>-0.02493888603</v>
      </c>
      <c r="F208" s="22">
        <f t="shared" si="6"/>
        <v>-0.207992378</v>
      </c>
      <c r="H208" s="22" t="str">
        <f t="shared" si="4"/>
        <v/>
      </c>
      <c r="I208" s="22" t="str">
        <f t="shared" si="1"/>
        <v>#N/A</v>
      </c>
      <c r="J208" s="22" t="str">
        <f t="shared" si="2"/>
        <v>#N/A</v>
      </c>
      <c r="K208" s="22" t="str">
        <f t="array" ref="K208">IF(H208="Crash",MATCH(TRUE, B209:B306 &gt;= B207, 0),"")</f>
        <v/>
      </c>
    </row>
    <row r="209" ht="15.75" customHeight="1">
      <c r="A209" s="32">
        <f>'EQUITY BACKTEST'!A212</f>
        <v>37610.66667</v>
      </c>
      <c r="B209" s="22">
        <f>'EQUITY BACKTEST'!B212</f>
        <v>895.76</v>
      </c>
      <c r="C209" s="22">
        <f>1/'EQUITY BACKTEST'!E212</f>
        <v>0.9746588694</v>
      </c>
      <c r="D209" s="22">
        <f t="shared" si="5"/>
        <v>-0.4398500755</v>
      </c>
      <c r="E209" s="22">
        <f t="shared" si="3"/>
        <v>0.007060304897</v>
      </c>
      <c r="F209" s="22">
        <f t="shared" si="6"/>
        <v>-0.217601691</v>
      </c>
      <c r="H209" s="22" t="str">
        <f t="shared" si="4"/>
        <v/>
      </c>
      <c r="I209" s="22" t="str">
        <f t="shared" si="1"/>
        <v>#N/A</v>
      </c>
      <c r="J209" s="22" t="str">
        <f t="shared" si="2"/>
        <v>#N/A</v>
      </c>
      <c r="K209" s="22" t="str">
        <f t="array" ref="K209">IF(H209="Crash",MATCH(TRUE, B210:B307 &gt;= B208, 0),"")</f>
        <v/>
      </c>
    </row>
    <row r="210" ht="15.75" customHeight="1">
      <c r="A210" s="32">
        <f>'EQUITY BACKTEST'!A213</f>
        <v>37617.66667</v>
      </c>
      <c r="B210" s="22">
        <f>'EQUITY BACKTEST'!B213</f>
        <v>875.4</v>
      </c>
      <c r="C210" s="22">
        <f>1/'EQUITY BACKTEST'!E213</f>
        <v>0.9576709443</v>
      </c>
      <c r="D210" s="22">
        <f t="shared" si="5"/>
        <v>-0.22833119</v>
      </c>
      <c r="E210" s="22">
        <f t="shared" si="3"/>
        <v>-0.02272930249</v>
      </c>
      <c r="F210" s="22">
        <f t="shared" si="6"/>
        <v>-0.2460078207</v>
      </c>
      <c r="H210" s="22" t="str">
        <f t="shared" si="4"/>
        <v/>
      </c>
      <c r="I210" s="22" t="str">
        <f t="shared" si="1"/>
        <v>#N/A</v>
      </c>
      <c r="J210" s="22" t="str">
        <f t="shared" si="2"/>
        <v>#N/A</v>
      </c>
      <c r="K210" s="22" t="str">
        <f t="array" ref="K210">IF(H210="Crash",MATCH(TRUE, B211:B308 &gt;= B209, 0),"")</f>
        <v/>
      </c>
    </row>
    <row r="211" ht="15.75" customHeight="1">
      <c r="A211" s="32">
        <f>'EQUITY BACKTEST'!A214</f>
        <v>37624.66667</v>
      </c>
      <c r="B211" s="22">
        <f>'EQUITY BACKTEST'!B214</f>
        <v>908.59</v>
      </c>
      <c r="C211" s="22">
        <f>1/'EQUITY BACKTEST'!E214</f>
        <v>0.9594166747</v>
      </c>
      <c r="D211" s="22">
        <f t="shared" si="5"/>
        <v>-0.04336554525</v>
      </c>
      <c r="E211" s="22">
        <f t="shared" si="3"/>
        <v>0.03791409641</v>
      </c>
      <c r="F211" s="22">
        <f t="shared" si="6"/>
        <v>-0.2250897647</v>
      </c>
      <c r="H211" s="22" t="str">
        <f t="shared" si="4"/>
        <v/>
      </c>
      <c r="I211" s="22" t="str">
        <f t="shared" si="1"/>
        <v>#N/A</v>
      </c>
      <c r="J211" s="22" t="str">
        <f t="shared" si="2"/>
        <v>#N/A</v>
      </c>
      <c r="K211" s="22" t="str">
        <f t="array" ref="K211">IF(H211="Crash",MATCH(TRUE, B212:B309 &gt;= B210, 0),"")</f>
        <v/>
      </c>
    </row>
    <row r="212" ht="15.75" customHeight="1">
      <c r="A212" s="32">
        <f>'EQUITY BACKTEST'!A215</f>
        <v>37631.66667</v>
      </c>
      <c r="B212" s="22">
        <f>'EQUITY BACKTEST'!B215</f>
        <v>927.57</v>
      </c>
      <c r="C212" s="22">
        <f>1/'EQUITY BACKTEST'!E215</f>
        <v>0.9459842967</v>
      </c>
      <c r="D212" s="22">
        <f t="shared" si="5"/>
        <v>0.00008133237992</v>
      </c>
      <c r="E212" s="22">
        <f t="shared" si="3"/>
        <v>0.02088951012</v>
      </c>
      <c r="F212" s="22">
        <f t="shared" si="6"/>
        <v>-0.1903194832</v>
      </c>
      <c r="H212" s="22" t="str">
        <f t="shared" si="4"/>
        <v/>
      </c>
      <c r="I212" s="22" t="str">
        <f t="shared" si="1"/>
        <v>#N/A</v>
      </c>
      <c r="J212" s="22" t="str">
        <f t="shared" si="2"/>
        <v>#N/A</v>
      </c>
      <c r="K212" s="22" t="str">
        <f t="array" ref="K212">IF(H212="Crash",MATCH(TRUE, B213:B310 &gt;= B211, 0),"")</f>
        <v/>
      </c>
    </row>
    <row r="213" ht="15.75" customHeight="1">
      <c r="A213" s="32">
        <f>'EQUITY BACKTEST'!A216</f>
        <v>37638.66667</v>
      </c>
      <c r="B213" s="22">
        <f>'EQUITY BACKTEST'!B216</f>
        <v>901.78</v>
      </c>
      <c r="C213" s="22">
        <f>1/'EQUITY BACKTEST'!E216</f>
        <v>0.9372071228</v>
      </c>
      <c r="D213" s="22">
        <f t="shared" si="5"/>
        <v>0.2103534333</v>
      </c>
      <c r="E213" s="22">
        <f t="shared" si="3"/>
        <v>-0.02780383152</v>
      </c>
      <c r="F213" s="22">
        <f t="shared" si="6"/>
        <v>-0.2002518668</v>
      </c>
      <c r="H213" s="22" t="str">
        <f t="shared" si="4"/>
        <v/>
      </c>
      <c r="I213" s="22" t="str">
        <f t="shared" si="1"/>
        <v>#N/A</v>
      </c>
      <c r="J213" s="22" t="str">
        <f t="shared" si="2"/>
        <v>#N/A</v>
      </c>
      <c r="K213" s="22" t="str">
        <f t="array" ref="K213">IF(H213="Crash",MATCH(TRUE, B214:B311 &gt;= B212, 0),"")</f>
        <v/>
      </c>
    </row>
    <row r="214" ht="15.75" customHeight="1">
      <c r="A214" s="32">
        <f>'EQUITY BACKTEST'!A217</f>
        <v>37645.66667</v>
      </c>
      <c r="B214" s="22">
        <f>'EQUITY BACKTEST'!B217</f>
        <v>861.4</v>
      </c>
      <c r="C214" s="22">
        <f>1/'EQUITY BACKTEST'!E217</f>
        <v>0.9237021984</v>
      </c>
      <c r="D214" s="22">
        <f t="shared" si="5"/>
        <v>0.5533575609</v>
      </c>
      <c r="E214" s="22">
        <f t="shared" si="3"/>
        <v>-0.04477810552</v>
      </c>
      <c r="F214" s="22">
        <f t="shared" si="6"/>
        <v>-0.2399054073</v>
      </c>
      <c r="H214" s="22" t="str">
        <f t="shared" si="4"/>
        <v/>
      </c>
      <c r="I214" s="22" t="str">
        <f t="shared" si="1"/>
        <v>#N/A</v>
      </c>
      <c r="J214" s="22" t="str">
        <f t="shared" si="2"/>
        <v>#N/A</v>
      </c>
      <c r="K214" s="22" t="str">
        <f t="array" ref="K214">IF(H214="Crash",MATCH(TRUE, B215:B312 &gt;= B213, 0),"")</f>
        <v/>
      </c>
    </row>
    <row r="215" ht="15.75" customHeight="1">
      <c r="A215" s="32">
        <f>'EQUITY BACKTEST'!A218</f>
        <v>37652.66667</v>
      </c>
      <c r="B215" s="22">
        <f>'EQUITY BACKTEST'!B218</f>
        <v>855.7</v>
      </c>
      <c r="C215" s="22">
        <f>1/'EQUITY BACKTEST'!E218</f>
        <v>0.928591327</v>
      </c>
      <c r="D215" s="22">
        <f t="shared" si="5"/>
        <v>0.6867291369</v>
      </c>
      <c r="E215" s="22">
        <f t="shared" si="3"/>
        <v>-0.006617134897</v>
      </c>
      <c r="F215" s="22">
        <f t="shared" si="6"/>
        <v>-0.2374799501</v>
      </c>
      <c r="H215" s="22" t="str">
        <f t="shared" si="4"/>
        <v/>
      </c>
      <c r="I215" s="22" t="str">
        <f t="shared" si="1"/>
        <v>#N/A</v>
      </c>
      <c r="J215" s="22" t="str">
        <f t="shared" si="2"/>
        <v>#N/A</v>
      </c>
      <c r="K215" s="22" t="str">
        <f t="array" ref="K215">IF(H215="Crash",MATCH(TRUE, B216:B313 &gt;= B214, 0),"")</f>
        <v/>
      </c>
    </row>
    <row r="216" ht="15.75" customHeight="1">
      <c r="A216" s="32">
        <f>'EQUITY BACKTEST'!A219</f>
        <v>37659.66667</v>
      </c>
      <c r="B216" s="22">
        <f>'EQUITY BACKTEST'!B219</f>
        <v>829.69</v>
      </c>
      <c r="C216" s="22">
        <f>1/'EQUITY BACKTEST'!E219</f>
        <v>0.924556213</v>
      </c>
      <c r="D216" s="22">
        <f t="shared" si="5"/>
        <v>0.7553336519</v>
      </c>
      <c r="E216" s="22">
        <f t="shared" si="3"/>
        <v>-0.03039616688</v>
      </c>
      <c r="F216" s="22">
        <f t="shared" si="6"/>
        <v>-0.243135502</v>
      </c>
      <c r="H216" s="22" t="str">
        <f t="shared" si="4"/>
        <v/>
      </c>
      <c r="I216" s="22" t="str">
        <f t="shared" si="1"/>
        <v>#N/A</v>
      </c>
      <c r="J216" s="22" t="str">
        <f t="shared" si="2"/>
        <v>#N/A</v>
      </c>
      <c r="K216" s="22" t="str">
        <f t="array" ref="K216">IF(H216="Crash",MATCH(TRUE, B217:B314 &gt;= B215, 0),"")</f>
        <v/>
      </c>
    </row>
    <row r="217" ht="15.75" customHeight="1">
      <c r="A217" s="32">
        <f>'EQUITY BACKTEST'!A220</f>
        <v>37666.66667</v>
      </c>
      <c r="B217" s="22">
        <f>'EQUITY BACKTEST'!B220</f>
        <v>834.89</v>
      </c>
      <c r="C217" s="22">
        <f>1/'EQUITY BACKTEST'!E220</f>
        <v>0.9267840593</v>
      </c>
      <c r="D217" s="22">
        <f t="shared" si="5"/>
        <v>0.7794766299</v>
      </c>
      <c r="E217" s="22">
        <f t="shared" si="3"/>
        <v>0.006267401078</v>
      </c>
      <c r="F217" s="22">
        <f t="shared" si="6"/>
        <v>-0.243882338</v>
      </c>
      <c r="H217" s="22" t="str">
        <f t="shared" si="4"/>
        <v/>
      </c>
      <c r="I217" s="22" t="str">
        <f t="shared" si="1"/>
        <v>#N/A</v>
      </c>
      <c r="J217" s="22" t="str">
        <f t="shared" si="2"/>
        <v>#N/A</v>
      </c>
      <c r="K217" s="22" t="str">
        <f t="array" ref="K217">IF(H217="Crash",MATCH(TRUE, B218:B315 &gt;= B216, 0),"")</f>
        <v/>
      </c>
    </row>
    <row r="218" ht="15.75" customHeight="1">
      <c r="A218" s="32">
        <f>'EQUITY BACKTEST'!A221</f>
        <v>37673.66667</v>
      </c>
      <c r="B218" s="22">
        <f>'EQUITY BACKTEST'!B221</f>
        <v>848.17</v>
      </c>
      <c r="C218" s="22">
        <f>1/'EQUITY BACKTEST'!E221</f>
        <v>0.9293680297</v>
      </c>
      <c r="D218" s="22">
        <f t="shared" si="5"/>
        <v>0.761696496</v>
      </c>
      <c r="E218" s="22">
        <f t="shared" si="3"/>
        <v>0.01590628706</v>
      </c>
      <c r="F218" s="22">
        <f t="shared" si="6"/>
        <v>-0.2217481465</v>
      </c>
      <c r="H218" s="22" t="str">
        <f t="shared" si="4"/>
        <v/>
      </c>
      <c r="I218" s="22" t="str">
        <f t="shared" si="1"/>
        <v>#N/A</v>
      </c>
      <c r="J218" s="22" t="str">
        <f t="shared" si="2"/>
        <v>#N/A</v>
      </c>
      <c r="K218" s="22" t="str">
        <f t="array" ref="K218">IF(H218="Crash",MATCH(TRUE, B219:B316 &gt;= B217, 0),"")</f>
        <v/>
      </c>
    </row>
    <row r="219" ht="15.75" customHeight="1">
      <c r="A219" s="32">
        <f>'EQUITY BACKTEST'!A222</f>
        <v>37680.66667</v>
      </c>
      <c r="B219" s="22">
        <f>'EQUITY BACKTEST'!B222</f>
        <v>841.15</v>
      </c>
      <c r="C219" s="22">
        <f>1/'EQUITY BACKTEST'!E222</f>
        <v>0.9255831174</v>
      </c>
      <c r="D219" s="22">
        <f t="shared" si="5"/>
        <v>0.7092309049</v>
      </c>
      <c r="E219" s="22">
        <f t="shared" si="3"/>
        <v>-0.008276642654</v>
      </c>
      <c r="F219" s="22">
        <f t="shared" si="6"/>
        <v>-0.2567901889</v>
      </c>
      <c r="H219" s="22" t="str">
        <f t="shared" si="4"/>
        <v/>
      </c>
      <c r="I219" s="22" t="str">
        <f t="shared" si="1"/>
        <v>#N/A</v>
      </c>
      <c r="J219" s="22" t="str">
        <f t="shared" si="2"/>
        <v>#N/A</v>
      </c>
      <c r="K219" s="22" t="str">
        <f t="array" ref="K219">IF(H219="Crash",MATCH(TRUE, B220:B317 &gt;= B218, 0),"")</f>
        <v/>
      </c>
    </row>
    <row r="220" ht="15.75" customHeight="1">
      <c r="A220" s="32">
        <f>'EQUITY BACKTEST'!A223</f>
        <v>37687.66667</v>
      </c>
      <c r="B220" s="22">
        <f>'EQUITY BACKTEST'!B223</f>
        <v>828.89</v>
      </c>
      <c r="C220" s="22">
        <f>1/'EQUITY BACKTEST'!E223</f>
        <v>0.9084302326</v>
      </c>
      <c r="D220" s="22">
        <f t="shared" si="5"/>
        <v>0.7203025396</v>
      </c>
      <c r="E220" s="22">
        <f t="shared" si="3"/>
        <v>-0.01457528384</v>
      </c>
      <c r="F220" s="22">
        <f t="shared" si="6"/>
        <v>-0.2880847884</v>
      </c>
      <c r="H220" s="22" t="str">
        <f t="shared" si="4"/>
        <v/>
      </c>
      <c r="I220" s="22" t="str">
        <f t="shared" si="1"/>
        <v>#N/A</v>
      </c>
      <c r="J220" s="22" t="str">
        <f t="shared" si="2"/>
        <v>#N/A</v>
      </c>
      <c r="K220" s="22" t="str">
        <f t="array" ref="K220">IF(H220="Crash",MATCH(TRUE, B221:B318 &gt;= B219, 0),"")</f>
        <v/>
      </c>
    </row>
    <row r="221" ht="15.75" customHeight="1">
      <c r="A221" s="32">
        <f>'EQUITY BACKTEST'!A224</f>
        <v>37694.66667</v>
      </c>
      <c r="B221" s="22">
        <f>'EQUITY BACKTEST'!B224</f>
        <v>833.27</v>
      </c>
      <c r="C221" s="22">
        <f>1/'EQUITY BACKTEST'!E224</f>
        <v>0.9310986965</v>
      </c>
      <c r="D221" s="22">
        <f t="shared" si="5"/>
        <v>0.7354060352</v>
      </c>
      <c r="E221" s="22">
        <f t="shared" si="3"/>
        <v>0.005284175222</v>
      </c>
      <c r="F221" s="22">
        <f t="shared" si="6"/>
        <v>-0.2854582562</v>
      </c>
      <c r="H221" s="22" t="str">
        <f t="shared" si="4"/>
        <v/>
      </c>
      <c r="I221" s="22" t="str">
        <f t="shared" si="1"/>
        <v>#N/A</v>
      </c>
      <c r="J221" s="22" t="str">
        <f t="shared" si="2"/>
        <v>#N/A</v>
      </c>
      <c r="K221" s="22" t="str">
        <f t="array" ref="K221">IF(H221="Crash",MATCH(TRUE, B222:B319 &gt;= B220, 0),"")</f>
        <v/>
      </c>
    </row>
    <row r="222" ht="15.75" customHeight="1">
      <c r="A222" s="32">
        <f>'EQUITY BACKTEST'!A225</f>
        <v>37701.66667</v>
      </c>
      <c r="B222" s="22">
        <f>'EQUITY BACKTEST'!B225</f>
        <v>895.9</v>
      </c>
      <c r="C222" s="22">
        <f>1/'EQUITY BACKTEST'!E225</f>
        <v>0.9505703422</v>
      </c>
      <c r="D222" s="22">
        <f t="shared" si="5"/>
        <v>0.774401073</v>
      </c>
      <c r="E222" s="22">
        <f t="shared" si="3"/>
        <v>0.07516171229</v>
      </c>
      <c r="F222" s="22">
        <f t="shared" si="6"/>
        <v>-0.2200748672</v>
      </c>
      <c r="H222" s="22" t="str">
        <f t="shared" si="4"/>
        <v/>
      </c>
      <c r="I222" s="22" t="str">
        <f t="shared" si="1"/>
        <v>#N/A</v>
      </c>
      <c r="J222" s="22" t="str">
        <f t="shared" si="2"/>
        <v>#N/A</v>
      </c>
      <c r="K222" s="22" t="str">
        <f t="array" ref="K222">IF(H222="Crash",MATCH(TRUE, B223:B320 &gt;= B221, 0),"")</f>
        <v/>
      </c>
    </row>
    <row r="223" ht="15.75" customHeight="1">
      <c r="A223" s="32">
        <f>'EQUITY BACKTEST'!A226</f>
        <v>37708.66667</v>
      </c>
      <c r="B223" s="22">
        <f>'EQUITY BACKTEST'!B226</f>
        <v>863.5</v>
      </c>
      <c r="C223" s="22">
        <f>1/'EQUITY BACKTEST'!E226</f>
        <v>0.9279881218</v>
      </c>
      <c r="D223" s="22">
        <f t="shared" si="5"/>
        <v>0.8259098681</v>
      </c>
      <c r="E223" s="22">
        <f t="shared" si="3"/>
        <v>-0.03616475053</v>
      </c>
      <c r="F223" s="22">
        <f t="shared" si="6"/>
        <v>-0.2474224109</v>
      </c>
      <c r="H223" s="22" t="str">
        <f t="shared" si="4"/>
        <v/>
      </c>
      <c r="I223" s="22" t="str">
        <f t="shared" si="1"/>
        <v>#N/A</v>
      </c>
      <c r="J223" s="22" t="str">
        <f t="shared" si="2"/>
        <v>#N/A</v>
      </c>
      <c r="K223" s="22" t="str">
        <f t="array" ref="K223">IF(H223="Crash",MATCH(TRUE, B224:B321 &gt;= B222, 0),"")</f>
        <v/>
      </c>
    </row>
    <row r="224" ht="15.75" customHeight="1">
      <c r="A224" s="32">
        <f>'EQUITY BACKTEST'!A227</f>
        <v>37715.66667</v>
      </c>
      <c r="B224" s="22">
        <f>'EQUITY BACKTEST'!B227</f>
        <v>878.85</v>
      </c>
      <c r="C224" s="22">
        <f>1/'EQUITY BACKTEST'!E227</f>
        <v>0.9317927693</v>
      </c>
      <c r="D224" s="22">
        <f t="shared" si="5"/>
        <v>0.7986805815</v>
      </c>
      <c r="E224" s="22">
        <f t="shared" si="3"/>
        <v>0.01777649102</v>
      </c>
      <c r="F224" s="22">
        <f t="shared" si="6"/>
        <v>-0.217220525</v>
      </c>
      <c r="H224" s="22" t="str">
        <f t="shared" si="4"/>
        <v/>
      </c>
      <c r="I224" s="22" t="str">
        <f t="shared" si="1"/>
        <v>#N/A</v>
      </c>
      <c r="J224" s="22" t="str">
        <f t="shared" si="2"/>
        <v>#N/A</v>
      </c>
      <c r="K224" s="22" t="str">
        <f t="array" ref="K224">IF(H224="Crash",MATCH(TRUE, B225:B322 &gt;= B223, 0),"")</f>
        <v/>
      </c>
    </row>
    <row r="225" ht="15.75" customHeight="1">
      <c r="A225" s="32">
        <f>'EQUITY BACKTEST'!A228</f>
        <v>37722.66667</v>
      </c>
      <c r="B225" s="22">
        <f>'EQUITY BACKTEST'!B228</f>
        <v>868.3</v>
      </c>
      <c r="C225" s="22">
        <f>1/'EQUITY BACKTEST'!E228</f>
        <v>0.9299730308</v>
      </c>
      <c r="D225" s="22">
        <f t="shared" si="5"/>
        <v>0.7373877935</v>
      </c>
      <c r="E225" s="22">
        <f t="shared" si="3"/>
        <v>-0.01200432383</v>
      </c>
      <c r="F225" s="22">
        <f t="shared" si="6"/>
        <v>-0.2184588798</v>
      </c>
      <c r="H225" s="22" t="str">
        <f t="shared" si="4"/>
        <v/>
      </c>
      <c r="I225" s="22" t="str">
        <f t="shared" si="1"/>
        <v>#N/A</v>
      </c>
      <c r="J225" s="22" t="str">
        <f t="shared" si="2"/>
        <v>#N/A</v>
      </c>
      <c r="K225" s="22" t="str">
        <f t="array" ref="K225">IF(H225="Crash",MATCH(TRUE, B226:B323 &gt;= B224, 0),"")</f>
        <v/>
      </c>
    </row>
    <row r="226" ht="15.75" customHeight="1">
      <c r="A226" s="32">
        <f>'EQUITY BACKTEST'!A229</f>
        <v>37728.66667</v>
      </c>
      <c r="B226" s="22">
        <f>'EQUITY BACKTEST'!B229</f>
        <v>893.58</v>
      </c>
      <c r="C226" s="22">
        <f>1/'EQUITY BACKTEST'!E229</f>
        <v>0.9186954525</v>
      </c>
      <c r="D226" s="22">
        <f t="shared" si="5"/>
        <v>0.4797566502</v>
      </c>
      <c r="E226" s="22">
        <f t="shared" si="3"/>
        <v>0.0291143614</v>
      </c>
      <c r="F226" s="22">
        <f t="shared" si="6"/>
        <v>-0.2058266751</v>
      </c>
      <c r="H226" s="22" t="str">
        <f t="shared" si="4"/>
        <v/>
      </c>
      <c r="I226" s="22" t="str">
        <f t="shared" si="1"/>
        <v>#N/A</v>
      </c>
      <c r="J226" s="22" t="str">
        <f t="shared" si="2"/>
        <v>#N/A</v>
      </c>
      <c r="K226" s="22" t="str">
        <f t="array" ref="K226">IF(H226="Crash",MATCH(TRUE, B227:B324 &gt;= B225, 0),"")</f>
        <v/>
      </c>
    </row>
    <row r="227" ht="15.75" customHeight="1">
      <c r="A227" s="32">
        <f>'EQUITY BACKTEST'!A230</f>
        <v>37736.66667</v>
      </c>
      <c r="B227" s="22">
        <f>'EQUITY BACKTEST'!B230</f>
        <v>898.81</v>
      </c>
      <c r="C227" s="22">
        <f>1/'EQUITY BACKTEST'!E230</f>
        <v>0.9061254078</v>
      </c>
      <c r="D227" s="22">
        <f t="shared" si="5"/>
        <v>0.1183219264</v>
      </c>
      <c r="E227" s="22">
        <f t="shared" si="3"/>
        <v>0.005852861523</v>
      </c>
      <c r="F227" s="22">
        <f t="shared" si="6"/>
        <v>-0.1649230712</v>
      </c>
      <c r="H227" s="22" t="str">
        <f t="shared" si="4"/>
        <v/>
      </c>
      <c r="I227" s="22" t="str">
        <f t="shared" si="1"/>
        <v>#N/A</v>
      </c>
      <c r="J227" s="22" t="str">
        <f t="shared" si="2"/>
        <v>#N/A</v>
      </c>
      <c r="K227" s="22" t="str">
        <f t="array" ref="K227">IF(H227="Crash",MATCH(TRUE, B228:B325 &gt;= B226, 0),"")</f>
        <v/>
      </c>
    </row>
    <row r="228" ht="15.75" customHeight="1">
      <c r="A228" s="32">
        <f>'EQUITY BACKTEST'!A231</f>
        <v>37743.66667</v>
      </c>
      <c r="B228" s="22">
        <f>'EQUITY BACKTEST'!B231</f>
        <v>930.08</v>
      </c>
      <c r="C228" s="22">
        <f>1/'EQUITY BACKTEST'!E231</f>
        <v>0.8906305664</v>
      </c>
      <c r="D228" s="22">
        <f t="shared" si="5"/>
        <v>-0.3272354796</v>
      </c>
      <c r="E228" s="22">
        <f t="shared" si="3"/>
        <v>0.03479044514</v>
      </c>
      <c r="F228" s="22">
        <f t="shared" si="6"/>
        <v>-0.1335438734</v>
      </c>
      <c r="H228" s="22" t="str">
        <f t="shared" si="4"/>
        <v/>
      </c>
      <c r="I228" s="22" t="str">
        <f t="shared" si="1"/>
        <v>#N/A</v>
      </c>
      <c r="J228" s="22" t="str">
        <f t="shared" si="2"/>
        <v>#N/A</v>
      </c>
      <c r="K228" s="22" t="str">
        <f t="array" ref="K228">IF(H228="Crash",MATCH(TRUE, B229:B326 &gt;= B227, 0),"")</f>
        <v/>
      </c>
    </row>
    <row r="229" ht="15.75" customHeight="1">
      <c r="A229" s="32">
        <f>'EQUITY BACKTEST'!A232</f>
        <v>37750.66667</v>
      </c>
      <c r="B229" s="22">
        <f>'EQUITY BACKTEST'!B232</f>
        <v>933.41</v>
      </c>
      <c r="C229" s="22">
        <f>1/'EQUITY BACKTEST'!E232</f>
        <v>0.8705493166</v>
      </c>
      <c r="D229" s="22">
        <f t="shared" si="5"/>
        <v>-0.5640125051</v>
      </c>
      <c r="E229" s="22">
        <f t="shared" si="3"/>
        <v>0.003580337175</v>
      </c>
      <c r="F229" s="22">
        <f t="shared" si="6"/>
        <v>-0.1152427985</v>
      </c>
      <c r="H229" s="22" t="str">
        <f t="shared" si="4"/>
        <v/>
      </c>
      <c r="I229" s="22" t="str">
        <f t="shared" si="1"/>
        <v>#N/A</v>
      </c>
      <c r="J229" s="22" t="str">
        <f t="shared" si="2"/>
        <v>#N/A</v>
      </c>
      <c r="K229" s="22" t="str">
        <f t="array" ref="K229">IF(H229="Crash",MATCH(TRUE, B230:B327 &gt;= B228, 0),"")</f>
        <v/>
      </c>
    </row>
    <row r="230" ht="15.75" customHeight="1">
      <c r="A230" s="32">
        <f>'EQUITY BACKTEST'!A233</f>
        <v>37757.66667</v>
      </c>
      <c r="B230" s="22">
        <f>'EQUITY BACKTEST'!B233</f>
        <v>944.3</v>
      </c>
      <c r="C230" s="22">
        <f>1/'EQUITY BACKTEST'!E233</f>
        <v>0.8624407072</v>
      </c>
      <c r="D230" s="22">
        <f t="shared" si="5"/>
        <v>-0.6848249326</v>
      </c>
      <c r="E230" s="22">
        <f t="shared" si="3"/>
        <v>0.01166689879</v>
      </c>
      <c r="F230" s="22">
        <f t="shared" si="6"/>
        <v>-0.1466577504</v>
      </c>
      <c r="H230" s="22" t="str">
        <f t="shared" si="4"/>
        <v/>
      </c>
      <c r="I230" s="22" t="str">
        <f t="shared" si="1"/>
        <v>#N/A</v>
      </c>
      <c r="J230" s="22" t="str">
        <f t="shared" si="2"/>
        <v>#N/A</v>
      </c>
      <c r="K230" s="22" t="str">
        <f t="array" ref="K230">IF(H230="Crash",MATCH(TRUE, B231:B328 &gt;= B229, 0),"")</f>
        <v/>
      </c>
    </row>
    <row r="231" ht="15.75" customHeight="1">
      <c r="A231" s="32">
        <f>'EQUITY BACKTEST'!A234</f>
        <v>37764.66667</v>
      </c>
      <c r="B231" s="22">
        <f>'EQUITY BACKTEST'!B234</f>
        <v>933.22</v>
      </c>
      <c r="C231" s="22">
        <f>1/'EQUITY BACKTEST'!E234</f>
        <v>0.8446659346</v>
      </c>
      <c r="D231" s="22">
        <f t="shared" si="5"/>
        <v>-0.7106242971</v>
      </c>
      <c r="E231" s="22">
        <f t="shared" si="3"/>
        <v>-0.01173355925</v>
      </c>
      <c r="F231" s="22">
        <f t="shared" si="6"/>
        <v>-0.1389529627</v>
      </c>
      <c r="H231" s="22" t="str">
        <f t="shared" si="4"/>
        <v/>
      </c>
      <c r="I231" s="22" t="str">
        <f t="shared" si="1"/>
        <v>#N/A</v>
      </c>
      <c r="J231" s="22" t="str">
        <f t="shared" si="2"/>
        <v>#N/A</v>
      </c>
      <c r="K231" s="22" t="str">
        <f t="array" ref="K231">IF(H231="Crash",MATCH(TRUE, B232:B329 &gt;= B230, 0),"")</f>
        <v/>
      </c>
    </row>
    <row r="232" ht="15.75" customHeight="1">
      <c r="A232" s="32">
        <f>'EQUITY BACKTEST'!A235</f>
        <v>37771.66667</v>
      </c>
      <c r="B232" s="22">
        <f>'EQUITY BACKTEST'!B235</f>
        <v>963.59</v>
      </c>
      <c r="C232" s="22">
        <f>1/'EQUITY BACKTEST'!E235</f>
        <v>0.8486803021</v>
      </c>
      <c r="D232" s="22">
        <f t="shared" si="5"/>
        <v>-0.7684438955</v>
      </c>
      <c r="E232" s="22">
        <f t="shared" si="3"/>
        <v>0.03254323739</v>
      </c>
      <c r="F232" s="22">
        <f t="shared" si="6"/>
        <v>-0.09703506569</v>
      </c>
      <c r="H232" s="22" t="str">
        <f t="shared" si="4"/>
        <v/>
      </c>
      <c r="I232" s="22" t="str">
        <f t="shared" si="1"/>
        <v>#N/A</v>
      </c>
      <c r="J232" s="22" t="str">
        <f t="shared" si="2"/>
        <v>#N/A</v>
      </c>
      <c r="K232" s="22" t="str">
        <f t="array" ref="K232">IF(H232="Crash",MATCH(TRUE, B233:B330 &gt;= B231, 0),"")</f>
        <v/>
      </c>
    </row>
    <row r="233" ht="15.75" customHeight="1">
      <c r="A233" s="32">
        <f>'EQUITY BACKTEST'!A236</f>
        <v>37778.66667</v>
      </c>
      <c r="B233" s="22">
        <f>'EQUITY BACKTEST'!B236</f>
        <v>987.76</v>
      </c>
      <c r="C233" s="22">
        <f>1/'EQUITY BACKTEST'!E236</f>
        <v>0.8548469824</v>
      </c>
      <c r="D233" s="22">
        <f t="shared" si="5"/>
        <v>-0.8573455814</v>
      </c>
      <c r="E233" s="22">
        <f t="shared" si="3"/>
        <v>0.02508328231</v>
      </c>
      <c r="F233" s="22">
        <f t="shared" si="6"/>
        <v>-0.03870446605</v>
      </c>
      <c r="H233" s="22" t="str">
        <f t="shared" si="4"/>
        <v/>
      </c>
      <c r="I233" s="22" t="str">
        <f t="shared" si="1"/>
        <v>#N/A</v>
      </c>
      <c r="J233" s="22" t="str">
        <f t="shared" si="2"/>
        <v>#N/A</v>
      </c>
      <c r="K233" s="22" t="str">
        <f t="array" ref="K233">IF(H233="Crash",MATCH(TRUE, B234:B331 &gt;= B232, 0),"")</f>
        <v/>
      </c>
    </row>
    <row r="234" ht="15.75" customHeight="1">
      <c r="A234" s="32">
        <f>'EQUITY BACKTEST'!A237</f>
        <v>37785.66667</v>
      </c>
      <c r="B234" s="22">
        <f>'EQUITY BACKTEST'!B237</f>
        <v>988.61</v>
      </c>
      <c r="C234" s="22">
        <f>1/'EQUITY BACKTEST'!E237</f>
        <v>0.8426729586</v>
      </c>
      <c r="D234" s="22">
        <f t="shared" si="5"/>
        <v>-0.8898031598</v>
      </c>
      <c r="E234" s="22">
        <f t="shared" si="3"/>
        <v>0.000860532923</v>
      </c>
      <c r="F234" s="22">
        <f t="shared" si="6"/>
        <v>-0.01852532092</v>
      </c>
      <c r="H234" s="22" t="str">
        <f t="shared" si="4"/>
        <v/>
      </c>
      <c r="I234" s="22" t="str">
        <f t="shared" si="1"/>
        <v>#N/A</v>
      </c>
      <c r="J234" s="22" t="str">
        <f t="shared" si="2"/>
        <v>#N/A</v>
      </c>
      <c r="K234" s="22" t="str">
        <f t="array" ref="K234">IF(H234="Crash",MATCH(TRUE, B235:B332 &gt;= B233, 0),"")</f>
        <v/>
      </c>
    </row>
    <row r="235" ht="15.75" customHeight="1">
      <c r="A235" s="32">
        <f>'EQUITY BACKTEST'!A238</f>
        <v>37792.66667</v>
      </c>
      <c r="B235" s="22">
        <f>'EQUITY BACKTEST'!B238</f>
        <v>995.69</v>
      </c>
      <c r="C235" s="22">
        <f>1/'EQUITY BACKTEST'!E238</f>
        <v>0.8618460743</v>
      </c>
      <c r="D235" s="22">
        <f t="shared" si="5"/>
        <v>-0.9011111594</v>
      </c>
      <c r="E235" s="22">
        <f t="shared" si="3"/>
        <v>0.007161570286</v>
      </c>
      <c r="F235" s="22">
        <f t="shared" si="6"/>
        <v>0.006621913986</v>
      </c>
      <c r="H235" s="22" t="str">
        <f t="shared" si="4"/>
        <v/>
      </c>
      <c r="I235" s="22" t="str">
        <f t="shared" si="1"/>
        <v>#N/A</v>
      </c>
      <c r="J235" s="22" t="str">
        <f t="shared" si="2"/>
        <v>#N/A</v>
      </c>
      <c r="K235" s="22" t="str">
        <f t="array" ref="K235">IF(H235="Crash",MATCH(TRUE, B236:B333 &gt;= B234, 0),"")</f>
        <v/>
      </c>
    </row>
    <row r="236" ht="15.75" customHeight="1">
      <c r="A236" s="32">
        <f>'EQUITY BACKTEST'!A239</f>
        <v>37799.66667</v>
      </c>
      <c r="B236" s="22">
        <f>'EQUITY BACKTEST'!B239</f>
        <v>976.22</v>
      </c>
      <c r="C236" s="22">
        <f>1/'EQUITY BACKTEST'!E239</f>
        <v>0.8748906387</v>
      </c>
      <c r="D236" s="22">
        <f t="shared" si="5"/>
        <v>-0.8628335465</v>
      </c>
      <c r="E236" s="22">
        <f t="shared" si="3"/>
        <v>-0.01955427894</v>
      </c>
      <c r="F236" s="22">
        <f t="shared" si="6"/>
        <v>-0.01352061439</v>
      </c>
      <c r="H236" s="22" t="str">
        <f t="shared" si="4"/>
        <v/>
      </c>
      <c r="I236" s="22" t="str">
        <f t="shared" si="1"/>
        <v>#N/A</v>
      </c>
      <c r="J236" s="22" t="str">
        <f t="shared" si="2"/>
        <v>#N/A</v>
      </c>
      <c r="K236" s="22" t="str">
        <f t="array" ref="K236">IF(H236="Crash",MATCH(TRUE, B237:B334 &gt;= B235, 0),"")</f>
        <v/>
      </c>
    </row>
    <row r="237" ht="15.75" customHeight="1">
      <c r="A237" s="32">
        <f>'EQUITY BACKTEST'!A240</f>
        <v>37805.66667</v>
      </c>
      <c r="B237" s="22">
        <f>'EQUITY BACKTEST'!B240</f>
        <v>985.7</v>
      </c>
      <c r="C237" s="22">
        <f>1/'EQUITY BACKTEST'!E240</f>
        <v>0.8701705534</v>
      </c>
      <c r="D237" s="22">
        <f t="shared" si="5"/>
        <v>-0.8111107959</v>
      </c>
      <c r="E237" s="22">
        <f t="shared" si="3"/>
        <v>0.009710925816</v>
      </c>
      <c r="F237" s="22">
        <f t="shared" si="6"/>
        <v>-0.00336693528</v>
      </c>
      <c r="H237" s="22" t="str">
        <f t="shared" si="4"/>
        <v/>
      </c>
      <c r="I237" s="22" t="str">
        <f t="shared" si="1"/>
        <v>#N/A</v>
      </c>
      <c r="J237" s="22" t="str">
        <f t="shared" si="2"/>
        <v>#N/A</v>
      </c>
      <c r="K237" s="22" t="str">
        <f t="array" ref="K237">IF(H237="Crash",MATCH(TRUE, B238:B335 &gt;= B236, 0),"")</f>
        <v/>
      </c>
    </row>
    <row r="238" ht="15.75" customHeight="1">
      <c r="A238" s="32">
        <f>'EQUITY BACKTEST'!A241</f>
        <v>37813.66667</v>
      </c>
      <c r="B238" s="22">
        <f>'EQUITY BACKTEST'!B241</f>
        <v>998.13</v>
      </c>
      <c r="C238" s="22">
        <f>1/'EQUITY BACKTEST'!E241</f>
        <v>0.8866820358</v>
      </c>
      <c r="D238" s="22">
        <f t="shared" si="5"/>
        <v>-0.5937290911</v>
      </c>
      <c r="E238" s="22">
        <f t="shared" si="3"/>
        <v>0.01261032769</v>
      </c>
      <c r="F238" s="22">
        <f t="shared" si="6"/>
        <v>0.0832754504</v>
      </c>
      <c r="H238" s="22" t="str">
        <f t="shared" si="4"/>
        <v/>
      </c>
      <c r="I238" s="22" t="str">
        <f t="shared" si="1"/>
        <v>#N/A</v>
      </c>
      <c r="J238" s="22" t="str">
        <f t="shared" si="2"/>
        <v>#N/A</v>
      </c>
      <c r="K238" s="22" t="str">
        <f t="array" ref="K238">IF(H238="Crash",MATCH(TRUE, B239:B336 &gt;= B237, 0),"")</f>
        <v/>
      </c>
    </row>
    <row r="239" ht="15.75" customHeight="1">
      <c r="A239" s="32">
        <f>'EQUITY BACKTEST'!A242</f>
        <v>37820.66667</v>
      </c>
      <c r="B239" s="22">
        <f>'EQUITY BACKTEST'!B242</f>
        <v>993.32</v>
      </c>
      <c r="C239" s="22">
        <f>1/'EQUITY BACKTEST'!E242</f>
        <v>0.8880206021</v>
      </c>
      <c r="D239" s="22">
        <f t="shared" si="5"/>
        <v>-0.300575375</v>
      </c>
      <c r="E239" s="22">
        <f t="shared" si="3"/>
        <v>-0.004819011552</v>
      </c>
      <c r="F239" s="22">
        <f t="shared" si="6"/>
        <v>0.1720589971</v>
      </c>
      <c r="H239" s="22" t="str">
        <f t="shared" si="4"/>
        <v/>
      </c>
      <c r="I239" s="22" t="str">
        <f t="shared" si="1"/>
        <v>#N/A</v>
      </c>
      <c r="J239" s="22" t="str">
        <f t="shared" si="2"/>
        <v>#N/A</v>
      </c>
      <c r="K239" s="22" t="str">
        <f t="array" ref="K239">IF(H239="Crash",MATCH(TRUE, B240:B337 &gt;= B238, 0),"")</f>
        <v/>
      </c>
    </row>
    <row r="240" ht="15.75" customHeight="1">
      <c r="A240" s="32">
        <f>'EQUITY BACKTEST'!A243</f>
        <v>37827.66667</v>
      </c>
      <c r="B240" s="22">
        <f>'EQUITY BACKTEST'!B243</f>
        <v>998.68</v>
      </c>
      <c r="C240" s="22">
        <f>1/'EQUITY BACKTEST'!E243</f>
        <v>0.8688097307</v>
      </c>
      <c r="D240" s="22">
        <f t="shared" si="5"/>
        <v>0.07415070762</v>
      </c>
      <c r="E240" s="22">
        <f t="shared" si="3"/>
        <v>0.005396045585</v>
      </c>
      <c r="F240" s="22">
        <f t="shared" si="6"/>
        <v>0.1710188431</v>
      </c>
      <c r="H240" s="22" t="str">
        <f t="shared" si="4"/>
        <v/>
      </c>
      <c r="I240" s="22" t="str">
        <f t="shared" si="1"/>
        <v>#N/A</v>
      </c>
      <c r="J240" s="22" t="str">
        <f t="shared" si="2"/>
        <v>#N/A</v>
      </c>
      <c r="K240" s="22" t="str">
        <f t="array" ref="K240">IF(H240="Crash",MATCH(TRUE, B241:B338 &gt;= B239, 0),"")</f>
        <v/>
      </c>
    </row>
    <row r="241" ht="15.75" customHeight="1">
      <c r="A241" s="32">
        <f>'EQUITY BACKTEST'!A244</f>
        <v>37834.66667</v>
      </c>
      <c r="B241" s="22">
        <f>'EQUITY BACKTEST'!B244</f>
        <v>980.15</v>
      </c>
      <c r="C241" s="22">
        <f>1/'EQUITY BACKTEST'!E244</f>
        <v>0.8865248227</v>
      </c>
      <c r="D241" s="22">
        <f t="shared" si="5"/>
        <v>0.3507743784</v>
      </c>
      <c r="E241" s="22">
        <f t="shared" si="3"/>
        <v>-0.01855449193</v>
      </c>
      <c r="F241" s="22">
        <f t="shared" si="6"/>
        <v>0.1341178376</v>
      </c>
      <c r="H241" s="22" t="str">
        <f t="shared" si="4"/>
        <v/>
      </c>
      <c r="I241" s="22" t="str">
        <f t="shared" si="1"/>
        <v>#N/A</v>
      </c>
      <c r="J241" s="22" t="str">
        <f t="shared" si="2"/>
        <v>#N/A</v>
      </c>
      <c r="K241" s="22" t="str">
        <f t="array" ref="K241">IF(H241="Crash",MATCH(TRUE, B242:B339 &gt;= B240, 0),"")</f>
        <v/>
      </c>
    </row>
    <row r="242" ht="15.75" customHeight="1">
      <c r="A242" s="32">
        <f>'EQUITY BACKTEST'!A245</f>
        <v>37841.66667</v>
      </c>
      <c r="B242" s="22">
        <f>'EQUITY BACKTEST'!B245</f>
        <v>977.59</v>
      </c>
      <c r="C242" s="22">
        <f>1/'EQUITY BACKTEST'!E245</f>
        <v>0.8843296781</v>
      </c>
      <c r="D242" s="22">
        <f t="shared" si="5"/>
        <v>0.4367056995</v>
      </c>
      <c r="E242" s="22">
        <f t="shared" si="3"/>
        <v>-0.002611845126</v>
      </c>
      <c r="F242" s="22">
        <f t="shared" si="6"/>
        <v>0.0759300022</v>
      </c>
      <c r="H242" s="22" t="str">
        <f t="shared" si="4"/>
        <v/>
      </c>
      <c r="I242" s="22" t="str">
        <f t="shared" si="1"/>
        <v>#N/A</v>
      </c>
      <c r="J242" s="22" t="str">
        <f t="shared" si="2"/>
        <v>#N/A</v>
      </c>
      <c r="K242" s="22" t="str">
        <f t="array" ref="K242">IF(H242="Crash",MATCH(TRUE, B243:B340 &gt;= B241, 0),"")</f>
        <v/>
      </c>
    </row>
    <row r="243" ht="15.75" customHeight="1">
      <c r="A243" s="32">
        <f>'EQUITY BACKTEST'!A246</f>
        <v>37848.66667</v>
      </c>
      <c r="B243" s="22">
        <f>'EQUITY BACKTEST'!B246</f>
        <v>990.68</v>
      </c>
      <c r="C243" s="22">
        <f>1/'EQUITY BACKTEST'!E246</f>
        <v>0.8880206021</v>
      </c>
      <c r="D243" s="22">
        <f t="shared" si="5"/>
        <v>0.4731188823</v>
      </c>
      <c r="E243" s="22">
        <f t="shared" si="3"/>
        <v>0.0133900715</v>
      </c>
      <c r="F243" s="22">
        <f t="shared" si="6"/>
        <v>0.06666953788</v>
      </c>
      <c r="H243" s="22" t="str">
        <f t="shared" si="4"/>
        <v/>
      </c>
      <c r="I243" s="22" t="str">
        <f t="shared" si="1"/>
        <v>#N/A</v>
      </c>
      <c r="J243" s="22" t="str">
        <f t="shared" si="2"/>
        <v>#N/A</v>
      </c>
      <c r="K243" s="22" t="str">
        <f t="array" ref="K243">IF(H243="Crash",MATCH(TRUE, B244:B341 &gt;= B242, 0),"")</f>
        <v/>
      </c>
    </row>
    <row r="244" ht="15.75" customHeight="1">
      <c r="A244" s="32">
        <f>'EQUITY BACKTEST'!A247</f>
        <v>37855.66667</v>
      </c>
      <c r="B244" s="22">
        <f>'EQUITY BACKTEST'!B247</f>
        <v>993.05</v>
      </c>
      <c r="C244" s="22">
        <f>1/'EQUITY BACKTEST'!E247</f>
        <v>0.9193711501</v>
      </c>
      <c r="D244" s="22">
        <f t="shared" si="5"/>
        <v>0.2937077894</v>
      </c>
      <c r="E244" s="22">
        <f t="shared" si="3"/>
        <v>0.002392296201</v>
      </c>
      <c r="F244" s="22">
        <f t="shared" si="6"/>
        <v>0.05545930894</v>
      </c>
      <c r="H244" s="22" t="str">
        <f t="shared" si="4"/>
        <v/>
      </c>
      <c r="I244" s="22" t="str">
        <f t="shared" si="1"/>
        <v>#N/A</v>
      </c>
      <c r="J244" s="22" t="str">
        <f t="shared" si="2"/>
        <v>#N/A</v>
      </c>
      <c r="K244" s="22" t="str">
        <f t="array" ref="K244">IF(H244="Crash",MATCH(TRUE, B245:B342 &gt;= B243, 0),"")</f>
        <v/>
      </c>
    </row>
    <row r="245" ht="15.75" customHeight="1">
      <c r="A245" s="32">
        <f>'EQUITY BACKTEST'!A248</f>
        <v>37862.66667</v>
      </c>
      <c r="B245" s="22">
        <f>'EQUITY BACKTEST'!B248</f>
        <v>1008.02</v>
      </c>
      <c r="C245" s="22">
        <f>1/'EQUITY BACKTEST'!E248</f>
        <v>0.9109957183</v>
      </c>
      <c r="D245" s="22">
        <f t="shared" si="5"/>
        <v>0.2912085826</v>
      </c>
      <c r="E245" s="22">
        <f t="shared" si="3"/>
        <v>0.01507476965</v>
      </c>
      <c r="F245" s="22">
        <f t="shared" si="6"/>
        <v>0.1003744255</v>
      </c>
      <c r="H245" s="22" t="str">
        <f t="shared" si="4"/>
        <v/>
      </c>
      <c r="I245" s="22" t="str">
        <f t="shared" si="1"/>
        <v>#N/A</v>
      </c>
      <c r="J245" s="22" t="str">
        <f t="shared" si="2"/>
        <v>#N/A</v>
      </c>
      <c r="K245" s="22" t="str">
        <f t="array" ref="K245">IF(H245="Crash",MATCH(TRUE, B246:B343 &gt;= B244, 0),"")</f>
        <v/>
      </c>
    </row>
    <row r="246" ht="15.75" customHeight="1">
      <c r="A246" s="32">
        <f>'EQUITY BACKTEST'!A249</f>
        <v>37869.66667</v>
      </c>
      <c r="B246" s="22">
        <f>'EQUITY BACKTEST'!B249</f>
        <v>1021.37</v>
      </c>
      <c r="C246" s="22">
        <f>1/'EQUITY BACKTEST'!E249</f>
        <v>0.9002520706</v>
      </c>
      <c r="D246" s="22">
        <f t="shared" si="5"/>
        <v>0.3694213499</v>
      </c>
      <c r="E246" s="22">
        <f t="shared" si="3"/>
        <v>0.01324378485</v>
      </c>
      <c r="F246" s="22">
        <f t="shared" si="6"/>
        <v>0.1425870613</v>
      </c>
      <c r="H246" s="22" t="str">
        <f t="shared" si="4"/>
        <v/>
      </c>
      <c r="I246" s="22" t="str">
        <f t="shared" si="1"/>
        <v>#N/A</v>
      </c>
      <c r="J246" s="22" t="str">
        <f t="shared" si="2"/>
        <v>#N/A</v>
      </c>
      <c r="K246" s="22" t="str">
        <f t="array" ref="K246">IF(H246="Crash",MATCH(TRUE, B247:B344 &gt;= B245, 0),"")</f>
        <v/>
      </c>
    </row>
    <row r="247" ht="15.75" customHeight="1">
      <c r="A247" s="32">
        <f>'EQUITY BACKTEST'!A250</f>
        <v>37876.66667</v>
      </c>
      <c r="B247" s="22">
        <f>'EQUITY BACKTEST'!B250</f>
        <v>1018.63</v>
      </c>
      <c r="C247" s="22">
        <f>1/'EQUITY BACKTEST'!E250</f>
        <v>0.885818053</v>
      </c>
      <c r="D247" s="22">
        <f t="shared" si="5"/>
        <v>0.3287227477</v>
      </c>
      <c r="E247" s="22">
        <f t="shared" si="3"/>
        <v>-0.002682671314</v>
      </c>
      <c r="F247" s="22">
        <f t="shared" si="6"/>
        <v>0.1447982108</v>
      </c>
      <c r="H247" s="22" t="str">
        <f t="shared" si="4"/>
        <v/>
      </c>
      <c r="I247" s="22" t="str">
        <f t="shared" si="1"/>
        <v>#N/A</v>
      </c>
      <c r="J247" s="22" t="str">
        <f t="shared" si="2"/>
        <v>#N/A</v>
      </c>
      <c r="K247" s="22" t="str">
        <f t="array" ref="K247">IF(H247="Crash",MATCH(TRUE, B248:B345 &gt;= B246, 0),"")</f>
        <v/>
      </c>
    </row>
    <row r="248" ht="15.75" customHeight="1">
      <c r="A248" s="32">
        <f>'EQUITY BACKTEST'!A251</f>
        <v>37883.66667</v>
      </c>
      <c r="B248" s="22">
        <f>'EQUITY BACKTEST'!B251</f>
        <v>1036.3</v>
      </c>
      <c r="C248" s="22">
        <f>1/'EQUITY BACKTEST'!E251</f>
        <v>0.8791208791</v>
      </c>
      <c r="D248" s="22">
        <f t="shared" si="5"/>
        <v>0.1757984213</v>
      </c>
      <c r="E248" s="22">
        <f t="shared" si="3"/>
        <v>0.01734682858</v>
      </c>
      <c r="F248" s="22">
        <f t="shared" si="6"/>
        <v>0.2258247673</v>
      </c>
      <c r="H248" s="22" t="str">
        <f t="shared" si="4"/>
        <v/>
      </c>
      <c r="I248" s="22" t="str">
        <f t="shared" si="1"/>
        <v>#N/A</v>
      </c>
      <c r="J248" s="22" t="str">
        <f t="shared" si="2"/>
        <v>#N/A</v>
      </c>
      <c r="K248" s="22" t="str">
        <f t="array" ref="K248">IF(H248="Crash",MATCH(TRUE, B249:B346 &gt;= B247, 0),"")</f>
        <v/>
      </c>
    </row>
    <row r="249" ht="15.75" customHeight="1">
      <c r="A249" s="32">
        <f>'EQUITY BACKTEST'!A252</f>
        <v>37890.66667</v>
      </c>
      <c r="B249" s="22">
        <f>'EQUITY BACKTEST'!B252</f>
        <v>996.85</v>
      </c>
      <c r="C249" s="22">
        <f>1/'EQUITY BACKTEST'!E252</f>
        <v>0.872600349</v>
      </c>
      <c r="D249" s="22">
        <f t="shared" si="5"/>
        <v>0.1004992359</v>
      </c>
      <c r="E249" s="22">
        <f t="shared" si="3"/>
        <v>-0.03806812699</v>
      </c>
      <c r="F249" s="22">
        <f t="shared" si="6"/>
        <v>0.2048564108</v>
      </c>
      <c r="H249" s="22" t="str">
        <f t="shared" si="4"/>
        <v/>
      </c>
      <c r="I249" s="22" t="str">
        <f t="shared" si="1"/>
        <v>#N/A</v>
      </c>
      <c r="J249" s="22" t="str">
        <f t="shared" si="2"/>
        <v>#N/A</v>
      </c>
      <c r="K249" s="22" t="str">
        <f t="array" ref="K249">IF(H249="Crash",MATCH(TRUE, B250:B347 &gt;= B248, 0),"")</f>
        <v/>
      </c>
    </row>
    <row r="250" ht="15.75" customHeight="1">
      <c r="A250" s="32">
        <f>'EQUITY BACKTEST'!A253</f>
        <v>37897.66667</v>
      </c>
      <c r="B250" s="22">
        <f>'EQUITY BACKTEST'!B253</f>
        <v>1029.85</v>
      </c>
      <c r="C250" s="22">
        <f>1/'EQUITY BACKTEST'!E253</f>
        <v>0.8638562543</v>
      </c>
      <c r="D250" s="22">
        <f t="shared" si="5"/>
        <v>-0.1847755026</v>
      </c>
      <c r="E250" s="22">
        <f t="shared" si="3"/>
        <v>0.03310427848</v>
      </c>
      <c r="F250" s="22">
        <f t="shared" si="6"/>
        <v>0.2863156054</v>
      </c>
      <c r="H250" s="22" t="str">
        <f t="shared" si="4"/>
        <v/>
      </c>
      <c r="I250" s="22" t="str">
        <f t="shared" si="1"/>
        <v>#N/A</v>
      </c>
      <c r="J250" s="22" t="str">
        <f t="shared" si="2"/>
        <v>#N/A</v>
      </c>
      <c r="K250" s="22" t="str">
        <f t="array" ref="K250">IF(H250="Crash",MATCH(TRUE, B251:B348 &gt;= B249, 0),"")</f>
        <v/>
      </c>
    </row>
    <row r="251" ht="15.75" customHeight="1">
      <c r="A251" s="32">
        <f>'EQUITY BACKTEST'!A254</f>
        <v>37904.66667</v>
      </c>
      <c r="B251" s="22">
        <f>'EQUITY BACKTEST'!B254</f>
        <v>1038.06</v>
      </c>
      <c r="C251" s="22">
        <f>1/'EQUITY BACKTEST'!E254</f>
        <v>0.8472422266</v>
      </c>
      <c r="D251" s="22">
        <f t="shared" si="5"/>
        <v>-0.4024660127</v>
      </c>
      <c r="E251" s="22">
        <f t="shared" si="3"/>
        <v>0.007972034762</v>
      </c>
      <c r="F251" s="22">
        <f t="shared" si="6"/>
        <v>0.2427093808</v>
      </c>
      <c r="H251" s="22" t="str">
        <f t="shared" si="4"/>
        <v/>
      </c>
      <c r="I251" s="22" t="str">
        <f t="shared" si="1"/>
        <v>#N/A</v>
      </c>
      <c r="J251" s="22" t="str">
        <f t="shared" si="2"/>
        <v>#N/A</v>
      </c>
      <c r="K251" s="22" t="str">
        <f t="array" ref="K251">IF(H251="Crash",MATCH(TRUE, B252:B349 &gt;= B250, 0),"")</f>
        <v/>
      </c>
    </row>
    <row r="252" ht="15.75" customHeight="1">
      <c r="A252" s="32">
        <f>'EQUITY BACKTEST'!A255</f>
        <v>37911.66667</v>
      </c>
      <c r="B252" s="22">
        <f>'EQUITY BACKTEST'!B255</f>
        <v>1039.32</v>
      </c>
      <c r="C252" s="22">
        <f>1/'EQUITY BACKTEST'!E255</f>
        <v>0.8563110122</v>
      </c>
      <c r="D252" s="22">
        <f t="shared" si="5"/>
        <v>-0.4882284667</v>
      </c>
      <c r="E252" s="22">
        <f t="shared" si="3"/>
        <v>0.00121380267</v>
      </c>
      <c r="F252" s="22">
        <f t="shared" si="6"/>
        <v>0.1751961826</v>
      </c>
      <c r="H252" s="22" t="str">
        <f t="shared" si="4"/>
        <v/>
      </c>
      <c r="I252" s="22" t="str">
        <f t="shared" si="1"/>
        <v>#N/A</v>
      </c>
      <c r="J252" s="22" t="str">
        <f t="shared" si="2"/>
        <v>#N/A</v>
      </c>
      <c r="K252" s="22" t="str">
        <f t="array" ref="K252">IF(H252="Crash",MATCH(TRUE, B253:B350 &gt;= B251, 0),"")</f>
        <v/>
      </c>
    </row>
    <row r="253" ht="15.75" customHeight="1">
      <c r="A253" s="32">
        <f>'EQUITY BACKTEST'!A256</f>
        <v>37918.66667</v>
      </c>
      <c r="B253" s="22">
        <f>'EQUITY BACKTEST'!B256</f>
        <v>1028.91</v>
      </c>
      <c r="C253" s="22">
        <f>1/'EQUITY BACKTEST'!E256</f>
        <v>0.8491126773</v>
      </c>
      <c r="D253" s="22">
        <f t="shared" si="5"/>
        <v>-0.5653672022</v>
      </c>
      <c r="E253" s="22">
        <f t="shared" si="3"/>
        <v>-0.01001616442</v>
      </c>
      <c r="F253" s="22">
        <f t="shared" si="6"/>
        <v>0.1462262575</v>
      </c>
      <c r="H253" s="22" t="str">
        <f t="shared" si="4"/>
        <v/>
      </c>
      <c r="I253" s="22" t="str">
        <f t="shared" si="1"/>
        <v>#N/A</v>
      </c>
      <c r="J253" s="22" t="str">
        <f t="shared" si="2"/>
        <v>#N/A</v>
      </c>
      <c r="K253" s="22" t="str">
        <f t="array" ref="K253">IF(H253="Crash",MATCH(TRUE, B254:B351 &gt;= B252, 0),"")</f>
        <v/>
      </c>
    </row>
    <row r="254" ht="15.75" customHeight="1">
      <c r="A254" s="32">
        <f>'EQUITY BACKTEST'!A257</f>
        <v>37925.66667</v>
      </c>
      <c r="B254" s="22">
        <f>'EQUITY BACKTEST'!B257</f>
        <v>1050.71</v>
      </c>
      <c r="C254" s="22">
        <f>1/'EQUITY BACKTEST'!E257</f>
        <v>0.8635578584</v>
      </c>
      <c r="D254" s="22">
        <f t="shared" si="5"/>
        <v>-0.6048342223</v>
      </c>
      <c r="E254" s="22">
        <f t="shared" si="3"/>
        <v>0.02118747024</v>
      </c>
      <c r="F254" s="22">
        <f t="shared" si="6"/>
        <v>0.1662115965</v>
      </c>
      <c r="H254" s="22" t="str">
        <f t="shared" si="4"/>
        <v/>
      </c>
      <c r="I254" s="22" t="str">
        <f t="shared" si="1"/>
        <v>#N/A</v>
      </c>
      <c r="J254" s="22" t="str">
        <f t="shared" si="2"/>
        <v>#N/A</v>
      </c>
      <c r="K254" s="22" t="str">
        <f t="array" ref="K254">IF(H254="Crash",MATCH(TRUE, B255:B352 &gt;= B253, 0),"")</f>
        <v/>
      </c>
    </row>
    <row r="255" ht="15.75" customHeight="1">
      <c r="A255" s="32">
        <f>'EQUITY BACKTEST'!A258</f>
        <v>37932.66667</v>
      </c>
      <c r="B255" s="22">
        <f>'EQUITY BACKTEST'!B258</f>
        <v>1053.21</v>
      </c>
      <c r="C255" s="22">
        <f>1/'EQUITY BACKTEST'!E258</f>
        <v>0.8682062858</v>
      </c>
      <c r="D255" s="22">
        <f t="shared" si="5"/>
        <v>-0.6518758915</v>
      </c>
      <c r="E255" s="22">
        <f t="shared" si="3"/>
        <v>0.002379343492</v>
      </c>
      <c r="F255" s="22">
        <f t="shared" si="6"/>
        <v>0.1771260604</v>
      </c>
      <c r="H255" s="22" t="str">
        <f t="shared" si="4"/>
        <v/>
      </c>
      <c r="I255" s="22" t="str">
        <f t="shared" si="1"/>
        <v>#N/A</v>
      </c>
      <c r="J255" s="22" t="str">
        <f t="shared" si="2"/>
        <v>#N/A</v>
      </c>
      <c r="K255" s="22" t="str">
        <f t="array" ref="K255">IF(H255="Crash",MATCH(TRUE, B256:B353 &gt;= B254, 0),"")</f>
        <v/>
      </c>
    </row>
    <row r="256" ht="15.75" customHeight="1">
      <c r="A256" s="32">
        <f>'EQUITY BACKTEST'!A259</f>
        <v>37939.66667</v>
      </c>
      <c r="B256" s="22">
        <f>'EQUITY BACKTEST'!B259</f>
        <v>1050.35</v>
      </c>
      <c r="C256" s="22">
        <f>1/'EQUITY BACKTEST'!E259</f>
        <v>0.8492569002</v>
      </c>
      <c r="D256" s="22">
        <f t="shared" si="5"/>
        <v>-0.7047429642</v>
      </c>
      <c r="E256" s="22">
        <f t="shared" si="3"/>
        <v>-0.002715507828</v>
      </c>
      <c r="F256" s="22">
        <f t="shared" si="6"/>
        <v>0.1545606437</v>
      </c>
      <c r="H256" s="22" t="str">
        <f t="shared" si="4"/>
        <v/>
      </c>
      <c r="I256" s="22" t="str">
        <f t="shared" si="1"/>
        <v>#N/A</v>
      </c>
      <c r="J256" s="22" t="str">
        <f t="shared" si="2"/>
        <v>#N/A</v>
      </c>
      <c r="K256" s="22" t="str">
        <f t="array" ref="K256">IF(H256="Crash",MATCH(TRUE, B257:B354 &gt;= B255, 0),"")</f>
        <v/>
      </c>
    </row>
    <row r="257" ht="15.75" customHeight="1">
      <c r="A257" s="32">
        <f>'EQUITY BACKTEST'!A260</f>
        <v>37946.66667</v>
      </c>
      <c r="B257" s="22">
        <f>'EQUITY BACKTEST'!B260</f>
        <v>1035.28</v>
      </c>
      <c r="C257" s="22">
        <f>1/'EQUITY BACKTEST'!E260</f>
        <v>0.8391373668</v>
      </c>
      <c r="D257" s="22">
        <f t="shared" si="5"/>
        <v>-0.5547806823</v>
      </c>
      <c r="E257" s="22">
        <f t="shared" si="3"/>
        <v>-0.01434759842</v>
      </c>
      <c r="F257" s="22">
        <f t="shared" si="6"/>
        <v>0.1125463436</v>
      </c>
      <c r="H257" s="22" t="str">
        <f t="shared" si="4"/>
        <v/>
      </c>
      <c r="I257" s="22" t="str">
        <f t="shared" si="1"/>
        <v>#N/A</v>
      </c>
      <c r="J257" s="22" t="str">
        <f t="shared" si="2"/>
        <v>#N/A</v>
      </c>
      <c r="K257" s="22" t="str">
        <f t="array" ref="K257">IF(H257="Crash",MATCH(TRUE, B258:B355 &gt;= B256, 0),"")</f>
        <v/>
      </c>
    </row>
    <row r="258" ht="15.75" customHeight="1">
      <c r="A258" s="32">
        <f>'EQUITY BACKTEST'!A261</f>
        <v>37953.66667</v>
      </c>
      <c r="B258" s="22">
        <f>'EQUITY BACKTEST'!B261</f>
        <v>1058.2</v>
      </c>
      <c r="C258" s="22">
        <f>1/'EQUITY BACKTEST'!E261</f>
        <v>0.8342370902</v>
      </c>
      <c r="D258" s="22">
        <f t="shared" si="5"/>
        <v>-0.5243042454</v>
      </c>
      <c r="E258" s="22">
        <f t="shared" si="3"/>
        <v>0.02213893826</v>
      </c>
      <c r="F258" s="22">
        <f t="shared" si="6"/>
        <v>0.1301812434</v>
      </c>
      <c r="H258" s="22" t="str">
        <f t="shared" si="4"/>
        <v/>
      </c>
      <c r="I258" s="22" t="str">
        <f t="shared" si="1"/>
        <v>#N/A</v>
      </c>
      <c r="J258" s="22" t="str">
        <f t="shared" si="2"/>
        <v>#N/A</v>
      </c>
      <c r="K258" s="22" t="str">
        <f t="array" ref="K258">IF(H258="Crash",MATCH(TRUE, B259:B356 &gt;= B257, 0),"")</f>
        <v/>
      </c>
    </row>
    <row r="259" ht="15.75" customHeight="1">
      <c r="A259" s="32">
        <f>'EQUITY BACKTEST'!A262</f>
        <v>37960.66667</v>
      </c>
      <c r="B259" s="22">
        <f>'EQUITY BACKTEST'!B262</f>
        <v>1061.5</v>
      </c>
      <c r="C259" s="22">
        <f>1/'EQUITY BACKTEST'!E262</f>
        <v>0.8208832704</v>
      </c>
      <c r="D259" s="22">
        <f t="shared" si="5"/>
        <v>-0.5915045587</v>
      </c>
      <c r="E259" s="22">
        <f t="shared" si="3"/>
        <v>0.003118503119</v>
      </c>
      <c r="F259" s="22">
        <f t="shared" si="6"/>
        <v>0.1636319788</v>
      </c>
      <c r="H259" s="22" t="str">
        <f t="shared" si="4"/>
        <v/>
      </c>
      <c r="I259" s="22" t="str">
        <f t="shared" si="1"/>
        <v>#N/A</v>
      </c>
      <c r="J259" s="22" t="str">
        <f t="shared" si="2"/>
        <v>#N/A</v>
      </c>
      <c r="K259" s="22" t="str">
        <f t="array" ref="K259">IF(H259="Crash",MATCH(TRUE, B260:B357 &gt;= B258, 0),"")</f>
        <v/>
      </c>
    </row>
    <row r="260" ht="15.75" customHeight="1">
      <c r="A260" s="32">
        <f>'EQUITY BACKTEST'!A263</f>
        <v>37967.66667</v>
      </c>
      <c r="B260" s="22">
        <f>'EQUITY BACKTEST'!B263</f>
        <v>1074.14</v>
      </c>
      <c r="C260" s="22">
        <f>1/'EQUITY BACKTEST'!E263</f>
        <v>0.8145975888</v>
      </c>
      <c r="D260" s="22">
        <f t="shared" si="5"/>
        <v>-0.6517449679</v>
      </c>
      <c r="E260" s="22">
        <f t="shared" si="3"/>
        <v>0.01190767781</v>
      </c>
      <c r="F260" s="22">
        <f t="shared" si="6"/>
        <v>0.207604443</v>
      </c>
      <c r="H260" s="22" t="str">
        <f t="shared" si="4"/>
        <v/>
      </c>
      <c r="I260" s="22" t="str">
        <f t="shared" si="1"/>
        <v>#N/A</v>
      </c>
      <c r="J260" s="22" t="str">
        <f t="shared" si="2"/>
        <v>#N/A</v>
      </c>
      <c r="K260" s="22" t="str">
        <f t="array" ref="K260">IF(H260="Crash",MATCH(TRUE, B261:B358 &gt;= B259, 0),"")</f>
        <v/>
      </c>
    </row>
    <row r="261" ht="15.75" customHeight="1">
      <c r="A261" s="32">
        <f>'EQUITY BACKTEST'!A264</f>
        <v>37974.66667</v>
      </c>
      <c r="B261" s="22">
        <f>'EQUITY BACKTEST'!B264</f>
        <v>1088.67</v>
      </c>
      <c r="C261" s="22">
        <f>1/'EQUITY BACKTEST'!E264</f>
        <v>0.8078196946</v>
      </c>
      <c r="D261" s="22">
        <f t="shared" si="5"/>
        <v>-0.7757781604</v>
      </c>
      <c r="E261" s="22">
        <f t="shared" si="3"/>
        <v>0.01352710075</v>
      </c>
      <c r="F261" s="22">
        <f t="shared" si="6"/>
        <v>0.2153590247</v>
      </c>
      <c r="H261" s="22" t="str">
        <f t="shared" si="4"/>
        <v/>
      </c>
      <c r="I261" s="22" t="str">
        <f t="shared" si="1"/>
        <v>#N/A</v>
      </c>
      <c r="J261" s="22" t="str">
        <f t="shared" si="2"/>
        <v>#N/A</v>
      </c>
      <c r="K261" s="22" t="str">
        <f t="array" ref="K261">IF(H261="Crash",MATCH(TRUE, B262:B359 &gt;= B260, 0),"")</f>
        <v/>
      </c>
    </row>
    <row r="262" ht="15.75" customHeight="1">
      <c r="A262" s="32">
        <f>'EQUITY BACKTEST'!A265</f>
        <v>37981.66667</v>
      </c>
      <c r="B262" s="22">
        <f>'EQUITY BACKTEST'!B265</f>
        <v>1095.89</v>
      </c>
      <c r="C262" s="22">
        <f>1/'EQUITY BACKTEST'!E265</f>
        <v>0.8051529791</v>
      </c>
      <c r="D262" s="22">
        <f t="shared" si="5"/>
        <v>-0.8097189139</v>
      </c>
      <c r="E262" s="22">
        <f t="shared" si="3"/>
        <v>0.006631945401</v>
      </c>
      <c r="F262" s="22">
        <f t="shared" si="6"/>
        <v>0.2518734293</v>
      </c>
      <c r="H262" s="22" t="str">
        <f t="shared" si="4"/>
        <v/>
      </c>
      <c r="I262" s="22" t="str">
        <f t="shared" si="1"/>
        <v>#N/A</v>
      </c>
      <c r="J262" s="22" t="str">
        <f t="shared" si="2"/>
        <v>#N/A</v>
      </c>
      <c r="K262" s="22" t="str">
        <f t="array" ref="K262">IF(H262="Crash",MATCH(TRUE, B263:B360 &gt;= B261, 0),"")</f>
        <v/>
      </c>
    </row>
    <row r="263" ht="15.75" customHeight="1">
      <c r="A263" s="32">
        <f>'EQUITY BACKTEST'!A266</f>
        <v>37988.66667</v>
      </c>
      <c r="B263" s="22">
        <f>'EQUITY BACKTEST'!B266</f>
        <v>1108.49</v>
      </c>
      <c r="C263" s="22">
        <f>1/'EQUITY BACKTEST'!E266</f>
        <v>0.7943442688</v>
      </c>
      <c r="D263" s="22">
        <f t="shared" si="5"/>
        <v>-0.8457761914</v>
      </c>
      <c r="E263" s="22">
        <f t="shared" si="3"/>
        <v>0.01149750431</v>
      </c>
      <c r="F263" s="22">
        <f t="shared" si="6"/>
        <v>0.2200112262</v>
      </c>
      <c r="H263" s="22" t="str">
        <f t="shared" si="4"/>
        <v/>
      </c>
      <c r="I263" s="22" t="str">
        <f t="shared" si="1"/>
        <v>#N/A</v>
      </c>
      <c r="J263" s="22" t="str">
        <f t="shared" si="2"/>
        <v>#N/A</v>
      </c>
      <c r="K263" s="22" t="str">
        <f t="array" ref="K263">IF(H263="Crash",MATCH(TRUE, B264:B361 &gt;= B262, 0),"")</f>
        <v/>
      </c>
    </row>
    <row r="264" ht="15.75" customHeight="1">
      <c r="A264" s="32">
        <f>'EQUITY BACKTEST'!A267</f>
        <v>37995.66667</v>
      </c>
      <c r="B264" s="22">
        <f>'EQUITY BACKTEST'!B267</f>
        <v>1121.86</v>
      </c>
      <c r="C264" s="22">
        <f>1/'EQUITY BACKTEST'!E267</f>
        <v>0.7803355443</v>
      </c>
      <c r="D264" s="22">
        <f t="shared" si="5"/>
        <v>-0.8905702721</v>
      </c>
      <c r="E264" s="22">
        <f t="shared" si="3"/>
        <v>0.01206145297</v>
      </c>
      <c r="F264" s="22">
        <f t="shared" si="6"/>
        <v>0.2094612806</v>
      </c>
      <c r="H264" s="22" t="str">
        <f t="shared" si="4"/>
        <v/>
      </c>
      <c r="I264" s="22" t="str">
        <f t="shared" si="1"/>
        <v>#N/A</v>
      </c>
      <c r="J264" s="22" t="str">
        <f t="shared" si="2"/>
        <v>#N/A</v>
      </c>
      <c r="K264" s="22" t="str">
        <f t="array" ref="K264">IF(H264="Crash",MATCH(TRUE, B265:B362 &gt;= B263, 0),"")</f>
        <v/>
      </c>
    </row>
    <row r="265" ht="15.75" customHeight="1">
      <c r="A265" s="32">
        <f>'EQUITY BACKTEST'!A268</f>
        <v>38002.66667</v>
      </c>
      <c r="B265" s="22">
        <f>'EQUITY BACKTEST'!B268</f>
        <v>1139.82</v>
      </c>
      <c r="C265" s="22">
        <f>1/'EQUITY BACKTEST'!E268</f>
        <v>0.8069722402</v>
      </c>
      <c r="D265" s="22">
        <f t="shared" si="5"/>
        <v>-0.8234267795</v>
      </c>
      <c r="E265" s="22">
        <f t="shared" si="3"/>
        <v>0.0160091277</v>
      </c>
      <c r="F265" s="22">
        <f t="shared" si="6"/>
        <v>0.2639668212</v>
      </c>
      <c r="H265" s="22" t="str">
        <f t="shared" si="4"/>
        <v/>
      </c>
      <c r="I265" s="22" t="str">
        <f t="shared" si="1"/>
        <v>#N/A</v>
      </c>
      <c r="J265" s="22" t="str">
        <f t="shared" si="2"/>
        <v>#N/A</v>
      </c>
      <c r="K265" s="22" t="str">
        <f t="array" ref="K265">IF(H265="Crash",MATCH(TRUE, B266:B363 &gt;= B264, 0),"")</f>
        <v/>
      </c>
    </row>
    <row r="266" ht="15.75" customHeight="1">
      <c r="A266" s="32">
        <f>'EQUITY BACKTEST'!A269</f>
        <v>38009.66667</v>
      </c>
      <c r="B266" s="22">
        <f>'EQUITY BACKTEST'!B269</f>
        <v>1141.55</v>
      </c>
      <c r="C266" s="22">
        <f>1/'EQUITY BACKTEST'!E269</f>
        <v>0.7949757532</v>
      </c>
      <c r="D266" s="22">
        <f t="shared" si="5"/>
        <v>-0.8205801465</v>
      </c>
      <c r="E266" s="22">
        <f t="shared" si="3"/>
        <v>0.00151778351</v>
      </c>
      <c r="F266" s="22">
        <f t="shared" si="6"/>
        <v>0.3252263757</v>
      </c>
      <c r="H266" s="22" t="str">
        <f t="shared" si="4"/>
        <v/>
      </c>
      <c r="I266" s="22" t="str">
        <f t="shared" si="1"/>
        <v>#N/A</v>
      </c>
      <c r="J266" s="22" t="str">
        <f t="shared" si="2"/>
        <v>#N/A</v>
      </c>
      <c r="K266" s="22" t="str">
        <f t="array" ref="K266">IF(H266="Crash",MATCH(TRUE, B267:B364 &gt;= B265, 0),"")</f>
        <v/>
      </c>
    </row>
    <row r="267" ht="15.75" customHeight="1">
      <c r="A267" s="32">
        <f>'EQUITY BACKTEST'!A270</f>
        <v>38016.66667</v>
      </c>
      <c r="B267" s="22">
        <f>'EQUITY BACKTEST'!B270</f>
        <v>1131.12</v>
      </c>
      <c r="C267" s="22">
        <f>1/'EQUITY BACKTEST'!E270</f>
        <v>0.8018603159</v>
      </c>
      <c r="D267" s="22">
        <f t="shared" si="5"/>
        <v>-0.8143620157</v>
      </c>
      <c r="E267" s="22">
        <f t="shared" si="3"/>
        <v>-0.009136700101</v>
      </c>
      <c r="F267" s="22">
        <f t="shared" si="6"/>
        <v>0.3218651397</v>
      </c>
      <c r="H267" s="22" t="str">
        <f t="shared" si="4"/>
        <v/>
      </c>
      <c r="I267" s="22" t="str">
        <f t="shared" si="1"/>
        <v>#N/A</v>
      </c>
      <c r="J267" s="22" t="str">
        <f t="shared" si="2"/>
        <v>#N/A</v>
      </c>
      <c r="K267" s="22" t="str">
        <f t="array" ref="K267">IF(H267="Crash",MATCH(TRUE, B268:B365 &gt;= B266, 0),"")</f>
        <v/>
      </c>
    </row>
    <row r="268" ht="15.75" customHeight="1">
      <c r="A268" s="32">
        <f>'EQUITY BACKTEST'!A271</f>
        <v>38023.66667</v>
      </c>
      <c r="B268" s="22">
        <f>'EQUITY BACKTEST'!B271</f>
        <v>1142.76</v>
      </c>
      <c r="C268" s="22">
        <f>1/'EQUITY BACKTEST'!E271</f>
        <v>0.7870916962</v>
      </c>
      <c r="D268" s="22">
        <f t="shared" si="5"/>
        <v>-0.8636940216</v>
      </c>
      <c r="E268" s="22">
        <f t="shared" si="3"/>
        <v>0.01029068534</v>
      </c>
      <c r="F268" s="22">
        <f t="shared" si="6"/>
        <v>0.3773337029</v>
      </c>
      <c r="H268" s="22" t="str">
        <f t="shared" si="4"/>
        <v/>
      </c>
      <c r="I268" s="22" t="str">
        <f t="shared" si="1"/>
        <v>#N/A</v>
      </c>
      <c r="J268" s="22" t="str">
        <f t="shared" si="2"/>
        <v>#N/A</v>
      </c>
      <c r="K268" s="22" t="str">
        <f t="array" ref="K268">IF(H268="Crash",MATCH(TRUE, B269:B366 &gt;= B267, 0),"")</f>
        <v/>
      </c>
    </row>
    <row r="269" ht="15.75" customHeight="1">
      <c r="A269" s="32">
        <f>'EQUITY BACKTEST'!A272</f>
        <v>38030.66667</v>
      </c>
      <c r="B269" s="22">
        <f>'EQUITY BACKTEST'!B272</f>
        <v>1145.81</v>
      </c>
      <c r="C269" s="22">
        <f>1/'EQUITY BACKTEST'!E272</f>
        <v>0.7859781498</v>
      </c>
      <c r="D269" s="22">
        <f t="shared" si="5"/>
        <v>-0.8723562721</v>
      </c>
      <c r="E269" s="22">
        <f t="shared" si="3"/>
        <v>0.002668976863</v>
      </c>
      <c r="F269" s="22">
        <f t="shared" si="6"/>
        <v>0.3724083412</v>
      </c>
      <c r="H269" s="22" t="str">
        <f t="shared" si="4"/>
        <v/>
      </c>
      <c r="I269" s="22" t="str">
        <f t="shared" si="1"/>
        <v>#N/A</v>
      </c>
      <c r="J269" s="22" t="str">
        <f t="shared" si="2"/>
        <v>#N/A</v>
      </c>
      <c r="K269" s="22" t="str">
        <f t="array" ref="K269">IF(H269="Crash",MATCH(TRUE, B270:B367 &gt;= B268, 0),"")</f>
        <v/>
      </c>
    </row>
    <row r="270" ht="15.75" customHeight="1">
      <c r="A270" s="32">
        <f>'EQUITY BACKTEST'!A273</f>
        <v>38037.66667</v>
      </c>
      <c r="B270" s="22">
        <f>'EQUITY BACKTEST'!B273</f>
        <v>1144.11</v>
      </c>
      <c r="C270" s="22">
        <f>1/'EQUITY BACKTEST'!E273</f>
        <v>0.7975753709</v>
      </c>
      <c r="D270" s="22">
        <f t="shared" si="5"/>
        <v>-0.8049159521</v>
      </c>
      <c r="E270" s="22">
        <f t="shared" si="3"/>
        <v>-0.001483666576</v>
      </c>
      <c r="F270" s="22">
        <f t="shared" si="6"/>
        <v>0.3489159013</v>
      </c>
      <c r="H270" s="22" t="str">
        <f t="shared" si="4"/>
        <v/>
      </c>
      <c r="I270" s="22" t="str">
        <f t="shared" si="1"/>
        <v>#N/A</v>
      </c>
      <c r="J270" s="22" t="str">
        <f t="shared" si="2"/>
        <v>#N/A</v>
      </c>
      <c r="K270" s="22" t="str">
        <f t="array" ref="K270">IF(H270="Crash",MATCH(TRUE, B271:B368 &gt;= B269, 0),"")</f>
        <v/>
      </c>
    </row>
    <row r="271" ht="15.75" customHeight="1">
      <c r="A271" s="32">
        <f>'EQUITY BACKTEST'!A274</f>
        <v>38044.66667</v>
      </c>
      <c r="B271" s="22">
        <f>'EQUITY BACKTEST'!B274</f>
        <v>1144.94</v>
      </c>
      <c r="C271" s="22">
        <f>1/'EQUITY BACKTEST'!E274</f>
        <v>0.8007046201</v>
      </c>
      <c r="D271" s="22">
        <f t="shared" si="5"/>
        <v>-0.7001081332</v>
      </c>
      <c r="E271" s="22">
        <f t="shared" si="3"/>
        <v>0.0007254547203</v>
      </c>
      <c r="F271" s="22">
        <f t="shared" si="6"/>
        <v>0.3611603162</v>
      </c>
      <c r="H271" s="22" t="str">
        <f t="shared" si="4"/>
        <v/>
      </c>
      <c r="I271" s="22" t="str">
        <f t="shared" si="1"/>
        <v>#N/A</v>
      </c>
      <c r="J271" s="22" t="str">
        <f t="shared" si="2"/>
        <v>#N/A</v>
      </c>
      <c r="K271" s="22" t="str">
        <f t="array" ref="K271">IF(H271="Crash",MATCH(TRUE, B272:B369 &gt;= B270, 0),"")</f>
        <v/>
      </c>
    </row>
    <row r="272" ht="15.75" customHeight="1">
      <c r="A272" s="32">
        <f>'EQUITY BACKTEST'!A275</f>
        <v>38051.66667</v>
      </c>
      <c r="B272" s="22">
        <f>'EQUITY BACKTEST'!B275</f>
        <v>1156.86</v>
      </c>
      <c r="C272" s="22">
        <f>1/'EQUITY BACKTEST'!E275</f>
        <v>0.8088651622</v>
      </c>
      <c r="D272" s="22">
        <f t="shared" si="5"/>
        <v>-0.3960320427</v>
      </c>
      <c r="E272" s="22">
        <f t="shared" si="3"/>
        <v>0.01041102591</v>
      </c>
      <c r="F272" s="22">
        <f t="shared" si="6"/>
        <v>0.3956737323</v>
      </c>
      <c r="H272" s="22" t="str">
        <f t="shared" si="4"/>
        <v/>
      </c>
      <c r="I272" s="22" t="str">
        <f t="shared" si="1"/>
        <v>#N/A</v>
      </c>
      <c r="J272" s="22" t="str">
        <f t="shared" si="2"/>
        <v>#N/A</v>
      </c>
      <c r="K272" s="22" t="str">
        <f t="array" ref="K272">IF(H272="Crash",MATCH(TRUE, B273:B370 &gt;= B271, 0),"")</f>
        <v/>
      </c>
    </row>
    <row r="273" ht="15.75" customHeight="1">
      <c r="A273" s="32">
        <f>'EQUITY BACKTEST'!A276</f>
        <v>38058.66667</v>
      </c>
      <c r="B273" s="22">
        <f>'EQUITY BACKTEST'!B276</f>
        <v>1120.6</v>
      </c>
      <c r="C273" s="22">
        <f>1/'EQUITY BACKTEST'!E276</f>
        <v>0.8183975775</v>
      </c>
      <c r="D273" s="22">
        <f t="shared" si="5"/>
        <v>-0.2071846286</v>
      </c>
      <c r="E273" s="22">
        <f t="shared" si="3"/>
        <v>-0.0313434642</v>
      </c>
      <c r="F273" s="22">
        <f t="shared" si="6"/>
        <v>0.3448222065</v>
      </c>
      <c r="H273" s="22" t="str">
        <f t="shared" si="4"/>
        <v/>
      </c>
      <c r="I273" s="22" t="str">
        <f t="shared" si="1"/>
        <v>#N/A</v>
      </c>
      <c r="J273" s="22" t="str">
        <f t="shared" si="2"/>
        <v>#N/A</v>
      </c>
      <c r="K273" s="22" t="str">
        <f t="array" ref="K273">IF(H273="Crash",MATCH(TRUE, B274:B371 &gt;= B272, 0),"")</f>
        <v/>
      </c>
    </row>
    <row r="274" ht="15.75" customHeight="1">
      <c r="A274" s="32">
        <f>'EQUITY BACKTEST'!A277</f>
        <v>38065.66667</v>
      </c>
      <c r="B274" s="22">
        <f>'EQUITY BACKTEST'!B277</f>
        <v>1109.74</v>
      </c>
      <c r="C274" s="22">
        <f>1/'EQUITY BACKTEST'!E277</f>
        <v>0.8142659393</v>
      </c>
      <c r="D274" s="22">
        <f t="shared" si="5"/>
        <v>-0.209056422</v>
      </c>
      <c r="E274" s="22">
        <f t="shared" si="3"/>
        <v>-0.009691236837</v>
      </c>
      <c r="F274" s="22">
        <f t="shared" si="6"/>
        <v>0.2386873535</v>
      </c>
      <c r="H274" s="22" t="str">
        <f t="shared" si="4"/>
        <v/>
      </c>
      <c r="I274" s="22" t="str">
        <f t="shared" si="1"/>
        <v>#N/A</v>
      </c>
      <c r="J274" s="22" t="str">
        <f t="shared" si="2"/>
        <v>#N/A</v>
      </c>
      <c r="K274" s="22" t="str">
        <f t="array" ref="K274">IF(H274="Crash",MATCH(TRUE, B275:B372 &gt;= B273, 0),"")</f>
        <v/>
      </c>
    </row>
    <row r="275" ht="15.75" customHeight="1">
      <c r="A275" s="32">
        <f>'EQUITY BACKTEST'!A278</f>
        <v>38072.66667</v>
      </c>
      <c r="B275" s="22">
        <f>'EQUITY BACKTEST'!B278</f>
        <v>1108.02</v>
      </c>
      <c r="C275" s="22">
        <f>1/'EQUITY BACKTEST'!E278</f>
        <v>0.8254230293</v>
      </c>
      <c r="D275" s="22">
        <f t="shared" si="5"/>
        <v>-0.3558207779</v>
      </c>
      <c r="E275" s="22">
        <f t="shared" si="3"/>
        <v>-0.001549912592</v>
      </c>
      <c r="F275" s="22">
        <f t="shared" si="6"/>
        <v>0.2831731326</v>
      </c>
      <c r="H275" s="22" t="str">
        <f t="shared" si="4"/>
        <v/>
      </c>
      <c r="I275" s="22" t="str">
        <f t="shared" si="1"/>
        <v>#N/A</v>
      </c>
      <c r="J275" s="22" t="str">
        <f t="shared" si="2"/>
        <v>#N/A</v>
      </c>
      <c r="K275" s="22" t="str">
        <f t="array" ref="K275">IF(H275="Crash",MATCH(TRUE, B276:B373 &gt;= B274, 0),"")</f>
        <v/>
      </c>
    </row>
    <row r="276" ht="15.75" customHeight="1">
      <c r="A276" s="32">
        <f>'EQUITY BACKTEST'!A279</f>
        <v>38079.66667</v>
      </c>
      <c r="B276" s="22">
        <f>'EQUITY BACKTEST'!B279</f>
        <v>1141.8</v>
      </c>
      <c r="C276" s="22">
        <f>1/'EQUITY BACKTEST'!E279</f>
        <v>0.8250144378</v>
      </c>
      <c r="D276" s="22">
        <f t="shared" si="5"/>
        <v>-0.3576660636</v>
      </c>
      <c r="E276" s="22">
        <f t="shared" si="3"/>
        <v>0.03048681432</v>
      </c>
      <c r="F276" s="22">
        <f t="shared" si="6"/>
        <v>0.2991978153</v>
      </c>
      <c r="H276" s="22" t="str">
        <f t="shared" si="4"/>
        <v/>
      </c>
      <c r="I276" s="22" t="str">
        <f t="shared" si="1"/>
        <v>#N/A</v>
      </c>
      <c r="J276" s="22" t="str">
        <f t="shared" si="2"/>
        <v>#N/A</v>
      </c>
      <c r="K276" s="22" t="str">
        <f t="array" ref="K276">IF(H276="Crash",MATCH(TRUE, B277:B374 &gt;= B275, 0),"")</f>
        <v/>
      </c>
    </row>
    <row r="277" ht="15.75" customHeight="1">
      <c r="A277" s="32">
        <f>'EQUITY BACKTEST'!A280</f>
        <v>38085.66667</v>
      </c>
      <c r="B277" s="22">
        <f>'EQUITY BACKTEST'!B280</f>
        <v>1139.33</v>
      </c>
      <c r="C277" s="22">
        <f>1/'EQUITY BACKTEST'!E280</f>
        <v>0.8266512358</v>
      </c>
      <c r="D277" s="22">
        <f t="shared" si="5"/>
        <v>-0.4832373075</v>
      </c>
      <c r="E277" s="22">
        <f t="shared" si="3"/>
        <v>-0.002163251007</v>
      </c>
      <c r="F277" s="22">
        <f t="shared" si="6"/>
        <v>0.3121386618</v>
      </c>
      <c r="H277" s="22" t="str">
        <f t="shared" si="4"/>
        <v/>
      </c>
      <c r="I277" s="22" t="str">
        <f t="shared" si="1"/>
        <v>#N/A</v>
      </c>
      <c r="J277" s="22" t="str">
        <f t="shared" si="2"/>
        <v>#N/A</v>
      </c>
      <c r="K277" s="22" t="str">
        <f t="array" ref="K277">IF(H277="Crash",MATCH(TRUE, B278:B375 &gt;= B276, 0),"")</f>
        <v/>
      </c>
    </row>
    <row r="278" ht="15.75" customHeight="1">
      <c r="A278" s="32">
        <f>'EQUITY BACKTEST'!A281</f>
        <v>38093.66667</v>
      </c>
      <c r="B278" s="22">
        <f>'EQUITY BACKTEST'!B281</f>
        <v>1134.56</v>
      </c>
      <c r="C278" s="22">
        <f>1/'EQUITY BACKTEST'!E281</f>
        <v>0.8347245409</v>
      </c>
      <c r="D278" s="22">
        <f t="shared" si="5"/>
        <v>-0.4348298602</v>
      </c>
      <c r="E278" s="22">
        <f t="shared" si="3"/>
        <v>-0.004186671114</v>
      </c>
      <c r="F278" s="22">
        <f t="shared" si="6"/>
        <v>0.2696792677</v>
      </c>
      <c r="H278" s="22" t="str">
        <f t="shared" si="4"/>
        <v/>
      </c>
      <c r="I278" s="22" t="str">
        <f t="shared" si="1"/>
        <v>#N/A</v>
      </c>
      <c r="J278" s="22" t="str">
        <f t="shared" si="2"/>
        <v>#N/A</v>
      </c>
      <c r="K278" s="22" t="str">
        <f t="array" ref="K278">IF(H278="Crash",MATCH(TRUE, B279:B376 &gt;= B277, 0),"")</f>
        <v/>
      </c>
    </row>
    <row r="279" ht="15.75" customHeight="1">
      <c r="A279" s="32">
        <f>'EQUITY BACKTEST'!A282</f>
        <v>38100.66667</v>
      </c>
      <c r="B279" s="22">
        <f>'EQUITY BACKTEST'!B282</f>
        <v>1140.6</v>
      </c>
      <c r="C279" s="22">
        <f>1/'EQUITY BACKTEST'!E282</f>
        <v>0.8444519507</v>
      </c>
      <c r="D279" s="22">
        <f t="shared" si="5"/>
        <v>-0.2999834115</v>
      </c>
      <c r="E279" s="22">
        <f t="shared" si="3"/>
        <v>0.005323649697</v>
      </c>
      <c r="F279" s="22">
        <f t="shared" si="6"/>
        <v>0.2690112482</v>
      </c>
      <c r="H279" s="22" t="str">
        <f t="shared" si="4"/>
        <v/>
      </c>
      <c r="I279" s="22" t="str">
        <f t="shared" si="1"/>
        <v>#N/A</v>
      </c>
      <c r="J279" s="22" t="str">
        <f t="shared" si="2"/>
        <v>#N/A</v>
      </c>
      <c r="K279" s="22" t="str">
        <f t="array" ref="K279">IF(H279="Crash",MATCH(TRUE, B280:B377 &gt;= B278, 0),"")</f>
        <v/>
      </c>
    </row>
    <row r="280" ht="15.75" customHeight="1">
      <c r="A280" s="32">
        <f>'EQUITY BACKTEST'!A283</f>
        <v>38107.66667</v>
      </c>
      <c r="B280" s="22">
        <f>'EQUITY BACKTEST'!B283</f>
        <v>1107.24</v>
      </c>
      <c r="C280" s="22">
        <f>1/'EQUITY BACKTEST'!E283</f>
        <v>0.8347245409</v>
      </c>
      <c r="D280" s="22">
        <f t="shared" si="5"/>
        <v>-0.4177902591</v>
      </c>
      <c r="E280" s="22">
        <f t="shared" si="3"/>
        <v>-0.02924776433</v>
      </c>
      <c r="F280" s="22">
        <f t="shared" si="6"/>
        <v>0.1904782384</v>
      </c>
      <c r="H280" s="22" t="str">
        <f t="shared" si="4"/>
        <v/>
      </c>
      <c r="I280" s="22" t="str">
        <f t="shared" si="1"/>
        <v>#N/A</v>
      </c>
      <c r="J280" s="22" t="str">
        <f t="shared" si="2"/>
        <v>#N/A</v>
      </c>
      <c r="K280" s="22" t="str">
        <f t="array" ref="K280">IF(H280="Crash",MATCH(TRUE, B281:B378 &gt;= B279, 0),"")</f>
        <v/>
      </c>
    </row>
    <row r="281" ht="15.75" customHeight="1">
      <c r="A281" s="32">
        <f>'EQUITY BACKTEST'!A284</f>
        <v>38114.66667</v>
      </c>
      <c r="B281" s="22">
        <f>'EQUITY BACKTEST'!B284</f>
        <v>1098.7</v>
      </c>
      <c r="C281" s="22">
        <f>1/'EQUITY BACKTEST'!E284</f>
        <v>0.8421052632</v>
      </c>
      <c r="D281" s="22">
        <f t="shared" si="5"/>
        <v>-0.50020026</v>
      </c>
      <c r="E281" s="22">
        <f t="shared" si="3"/>
        <v>-0.007712871645</v>
      </c>
      <c r="F281" s="22">
        <f t="shared" si="6"/>
        <v>0.1770818826</v>
      </c>
      <c r="H281" s="22" t="str">
        <f t="shared" si="4"/>
        <v/>
      </c>
      <c r="I281" s="22" t="str">
        <f t="shared" si="1"/>
        <v>#N/A</v>
      </c>
      <c r="J281" s="22" t="str">
        <f t="shared" si="2"/>
        <v>#N/A</v>
      </c>
      <c r="K281" s="22" t="str">
        <f t="array" ref="K281">IF(H281="Crash",MATCH(TRUE, B282:B379 &gt;= B280, 0),"")</f>
        <v/>
      </c>
    </row>
    <row r="282" ht="15.75" customHeight="1">
      <c r="A282" s="32">
        <f>'EQUITY BACKTEST'!A285</f>
        <v>38121.66667</v>
      </c>
      <c r="B282" s="22">
        <f>'EQUITY BACKTEST'!B285</f>
        <v>1095.7</v>
      </c>
      <c r="C282" s="22">
        <f>1/'EQUITY BACKTEST'!E285</f>
        <v>0.8411843876</v>
      </c>
      <c r="D282" s="22">
        <f t="shared" si="5"/>
        <v>-0.5278810708</v>
      </c>
      <c r="E282" s="22">
        <f t="shared" si="3"/>
        <v>-0.002730499681</v>
      </c>
      <c r="F282" s="22">
        <f t="shared" si="6"/>
        <v>0.1603304035</v>
      </c>
      <c r="H282" s="22" t="str">
        <f t="shared" si="4"/>
        <v/>
      </c>
      <c r="I282" s="22" t="str">
        <f t="shared" si="1"/>
        <v>#N/A</v>
      </c>
      <c r="J282" s="22" t="str">
        <f t="shared" si="2"/>
        <v>#N/A</v>
      </c>
      <c r="K282" s="22" t="str">
        <f t="array" ref="K282">IF(H282="Crash",MATCH(TRUE, B283:B380 &gt;= B281, 0),"")</f>
        <v/>
      </c>
    </row>
    <row r="283" ht="15.75" customHeight="1">
      <c r="A283" s="32">
        <f>'EQUITY BACKTEST'!A286</f>
        <v>38128.66667</v>
      </c>
      <c r="B283" s="22">
        <f>'EQUITY BACKTEST'!B286</f>
        <v>1093.56</v>
      </c>
      <c r="C283" s="22">
        <f>1/'EQUITY BACKTEST'!E286</f>
        <v>0.8319467554</v>
      </c>
      <c r="D283" s="22">
        <f t="shared" si="5"/>
        <v>-0.4782783373</v>
      </c>
      <c r="E283" s="22">
        <f t="shared" si="3"/>
        <v>-0.001953089349</v>
      </c>
      <c r="F283" s="22">
        <f t="shared" si="6"/>
        <v>0.1718137202</v>
      </c>
      <c r="H283" s="22" t="str">
        <f t="shared" si="4"/>
        <v/>
      </c>
      <c r="I283" s="22" t="str">
        <f t="shared" si="1"/>
        <v>#N/A</v>
      </c>
      <c r="J283" s="22" t="str">
        <f t="shared" si="2"/>
        <v>#N/A</v>
      </c>
      <c r="K283" s="22" t="str">
        <f t="array" ref="K283">IF(H283="Crash",MATCH(TRUE, B284:B381 &gt;= B282, 0),"")</f>
        <v/>
      </c>
    </row>
    <row r="284" ht="15.75" customHeight="1">
      <c r="A284" s="32">
        <f>'EQUITY BACKTEST'!A287</f>
        <v>38135.66667</v>
      </c>
      <c r="B284" s="22">
        <f>'EQUITY BACKTEST'!B287</f>
        <v>1120.68</v>
      </c>
      <c r="C284" s="22">
        <f>1/'EQUITY BACKTEST'!E287</f>
        <v>0.8188666885</v>
      </c>
      <c r="D284" s="22">
        <f t="shared" si="5"/>
        <v>-0.3702197444</v>
      </c>
      <c r="E284" s="22">
        <f t="shared" si="3"/>
        <v>0.02479973664</v>
      </c>
      <c r="F284" s="22">
        <f t="shared" si="6"/>
        <v>0.1630257682</v>
      </c>
      <c r="H284" s="22" t="str">
        <f t="shared" si="4"/>
        <v/>
      </c>
      <c r="I284" s="22" t="str">
        <f t="shared" si="1"/>
        <v>#N/A</v>
      </c>
      <c r="J284" s="22" t="str">
        <f t="shared" si="2"/>
        <v>#N/A</v>
      </c>
      <c r="K284" s="22" t="str">
        <f t="array" ref="K284">IF(H284="Crash",MATCH(TRUE, B285:B382 &gt;= B283, 0),"")</f>
        <v/>
      </c>
    </row>
    <row r="285" ht="15.75" customHeight="1">
      <c r="A285" s="32">
        <f>'EQUITY BACKTEST'!A288</f>
        <v>38142.66667</v>
      </c>
      <c r="B285" s="22">
        <f>'EQUITY BACKTEST'!B288</f>
        <v>1122.5</v>
      </c>
      <c r="C285" s="22">
        <f>1/'EQUITY BACKTEST'!E288</f>
        <v>0.8151287903</v>
      </c>
      <c r="D285" s="22">
        <f t="shared" si="5"/>
        <v>-0.1482861238</v>
      </c>
      <c r="E285" s="22">
        <f t="shared" si="3"/>
        <v>0.001624013992</v>
      </c>
      <c r="F285" s="22">
        <f t="shared" si="6"/>
        <v>0.1364096542</v>
      </c>
      <c r="H285" s="22" t="str">
        <f t="shared" si="4"/>
        <v/>
      </c>
      <c r="I285" s="22" t="str">
        <f t="shared" si="1"/>
        <v>#N/A</v>
      </c>
      <c r="J285" s="22" t="str">
        <f t="shared" si="2"/>
        <v>#N/A</v>
      </c>
      <c r="K285" s="22" t="str">
        <f t="array" ref="K285">IF(H285="Crash",MATCH(TRUE, B286:B383 &gt;= B284, 0),"")</f>
        <v/>
      </c>
    </row>
    <row r="286" ht="15.75" customHeight="1">
      <c r="A286" s="32">
        <f>'EQUITY BACKTEST'!A289</f>
        <v>38148.66667</v>
      </c>
      <c r="B286" s="22">
        <f>'EQUITY BACKTEST'!B289</f>
        <v>1136.47</v>
      </c>
      <c r="C286" s="22">
        <f>1/'EQUITY BACKTEST'!E289</f>
        <v>0.8331250521</v>
      </c>
      <c r="D286" s="22">
        <f t="shared" si="5"/>
        <v>-0.1055095627</v>
      </c>
      <c r="E286" s="22">
        <f t="shared" si="3"/>
        <v>0.0124454343</v>
      </c>
      <c r="F286" s="22">
        <f t="shared" si="6"/>
        <v>0.1495635286</v>
      </c>
      <c r="H286" s="22" t="str">
        <f t="shared" si="4"/>
        <v/>
      </c>
      <c r="I286" s="22" t="str">
        <f t="shared" si="1"/>
        <v>#N/A</v>
      </c>
      <c r="J286" s="22" t="str">
        <f t="shared" si="2"/>
        <v>#N/A</v>
      </c>
      <c r="K286" s="22" t="str">
        <f t="array" ref="K286">IF(H286="Crash",MATCH(TRUE, B287:B384 &gt;= B285, 0),"")</f>
        <v/>
      </c>
    </row>
    <row r="287" ht="15.75" customHeight="1">
      <c r="A287" s="32">
        <f>'EQUITY BACKTEST'!A290</f>
        <v>38156.66667</v>
      </c>
      <c r="B287" s="22">
        <f>'EQUITY BACKTEST'!B290</f>
        <v>1136.85</v>
      </c>
      <c r="C287" s="22">
        <f>1/'EQUITY BACKTEST'!E290</f>
        <v>0.823723229</v>
      </c>
      <c r="D287" s="22">
        <f t="shared" si="5"/>
        <v>-0.2512163009</v>
      </c>
      <c r="E287" s="22">
        <f t="shared" si="3"/>
        <v>0.0003343687031</v>
      </c>
      <c r="F287" s="22">
        <f t="shared" si="6"/>
        <v>0.1417710332</v>
      </c>
      <c r="H287" s="22" t="str">
        <f t="shared" si="4"/>
        <v/>
      </c>
      <c r="I287" s="22" t="str">
        <f t="shared" si="1"/>
        <v>#N/A</v>
      </c>
      <c r="J287" s="22" t="str">
        <f t="shared" si="2"/>
        <v>#N/A</v>
      </c>
      <c r="K287" s="22" t="str">
        <f t="array" ref="K287">IF(H287="Crash",MATCH(TRUE, B288:B385 &gt;= B286, 0),"")</f>
        <v/>
      </c>
    </row>
    <row r="288" ht="15.75" customHeight="1">
      <c r="A288" s="32">
        <f>'EQUITY BACKTEST'!A291</f>
        <v>38163.66667</v>
      </c>
      <c r="B288" s="22">
        <f>'EQUITY BACKTEST'!B291</f>
        <v>1134.43</v>
      </c>
      <c r="C288" s="22">
        <f>1/'EQUITY BACKTEST'!E291</f>
        <v>0.8200082001</v>
      </c>
      <c r="D288" s="22">
        <f t="shared" si="5"/>
        <v>-0.3376640687</v>
      </c>
      <c r="E288" s="22">
        <f t="shared" si="3"/>
        <v>-0.002128688921</v>
      </c>
      <c r="F288" s="22">
        <f t="shared" si="6"/>
        <v>0.162063879</v>
      </c>
      <c r="H288" s="22" t="str">
        <f t="shared" si="4"/>
        <v/>
      </c>
      <c r="I288" s="22" t="str">
        <f t="shared" si="1"/>
        <v>#N/A</v>
      </c>
      <c r="J288" s="22" t="str">
        <f t="shared" si="2"/>
        <v>#N/A</v>
      </c>
      <c r="K288" s="22" t="str">
        <f t="array" ref="K288">IF(H288="Crash",MATCH(TRUE, B289:B386 &gt;= B287, 0),"")</f>
        <v/>
      </c>
    </row>
    <row r="289" ht="15.75" customHeight="1">
      <c r="A289" s="32">
        <f>'EQUITY BACKTEST'!A292</f>
        <v>38170.66667</v>
      </c>
      <c r="B289" s="22">
        <f>'EQUITY BACKTEST'!B292</f>
        <v>1125.38</v>
      </c>
      <c r="C289" s="22">
        <f>1/'EQUITY BACKTEST'!E292</f>
        <v>0.8122816993</v>
      </c>
      <c r="D289" s="22">
        <f t="shared" si="5"/>
        <v>-0.2962330539</v>
      </c>
      <c r="E289" s="22">
        <f t="shared" si="3"/>
        <v>-0.007977574641</v>
      </c>
      <c r="F289" s="22">
        <f t="shared" si="6"/>
        <v>0.1417064015</v>
      </c>
      <c r="H289" s="22" t="str">
        <f t="shared" si="4"/>
        <v/>
      </c>
      <c r="I289" s="22" t="str">
        <f t="shared" si="1"/>
        <v>#N/A</v>
      </c>
      <c r="J289" s="22" t="str">
        <f t="shared" si="2"/>
        <v>#N/A</v>
      </c>
      <c r="K289" s="22" t="str">
        <f t="array" ref="K289">IF(H289="Crash",MATCH(TRUE, B290:B387 &gt;= B288, 0),"")</f>
        <v/>
      </c>
    </row>
    <row r="290" ht="15.75" customHeight="1">
      <c r="A290" s="32">
        <f>'EQUITY BACKTEST'!A293</f>
        <v>38177.66667</v>
      </c>
      <c r="B290" s="22">
        <f>'EQUITY BACKTEST'!B293</f>
        <v>1112.81</v>
      </c>
      <c r="C290" s="22">
        <f>1/'EQUITY BACKTEST'!E293</f>
        <v>0.8056070249</v>
      </c>
      <c r="D290" s="22">
        <f t="shared" si="5"/>
        <v>-0.1752247311</v>
      </c>
      <c r="E290" s="22">
        <f t="shared" si="3"/>
        <v>-0.0111695605</v>
      </c>
      <c r="F290" s="22">
        <f t="shared" si="6"/>
        <v>0.1148948534</v>
      </c>
      <c r="H290" s="22" t="str">
        <f t="shared" si="4"/>
        <v/>
      </c>
      <c r="I290" s="22" t="str">
        <f t="shared" si="1"/>
        <v>#N/A</v>
      </c>
      <c r="J290" s="22" t="str">
        <f t="shared" si="2"/>
        <v>#N/A</v>
      </c>
      <c r="K290" s="22" t="str">
        <f t="array" ref="K290">IF(H290="Crash",MATCH(TRUE, B291:B388 &gt;= B289, 0),"")</f>
        <v/>
      </c>
    </row>
    <row r="291" ht="15.75" customHeight="1">
      <c r="A291" s="32">
        <f>'EQUITY BACKTEST'!A294</f>
        <v>38184.66667</v>
      </c>
      <c r="B291" s="22">
        <f>'EQUITY BACKTEST'!B294</f>
        <v>1101.39</v>
      </c>
      <c r="C291" s="22">
        <f>1/'EQUITY BACKTEST'!E294</f>
        <v>0.803083842</v>
      </c>
      <c r="D291" s="22">
        <f t="shared" si="5"/>
        <v>-0.06056922828</v>
      </c>
      <c r="E291" s="22">
        <f t="shared" si="3"/>
        <v>-0.01026230893</v>
      </c>
      <c r="F291" s="22">
        <f t="shared" si="6"/>
        <v>0.1087967624</v>
      </c>
      <c r="H291" s="22" t="str">
        <f t="shared" si="4"/>
        <v/>
      </c>
      <c r="I291" s="22" t="str">
        <f t="shared" si="1"/>
        <v>#N/A</v>
      </c>
      <c r="J291" s="22" t="str">
        <f t="shared" si="2"/>
        <v>#N/A</v>
      </c>
      <c r="K291" s="22" t="str">
        <f t="array" ref="K291">IF(H291="Crash",MATCH(TRUE, B292:B389 &gt;= B290, 0),"")</f>
        <v/>
      </c>
    </row>
    <row r="292" ht="15.75" customHeight="1">
      <c r="A292" s="32">
        <f>'EQUITY BACKTEST'!A295</f>
        <v>38191.66667</v>
      </c>
      <c r="B292" s="22">
        <f>'EQUITY BACKTEST'!B295</f>
        <v>1086.2</v>
      </c>
      <c r="C292" s="22">
        <f>1/'EQUITY BACKTEST'!E295</f>
        <v>0.8262414277</v>
      </c>
      <c r="D292" s="22">
        <f t="shared" si="5"/>
        <v>-0.2764019937</v>
      </c>
      <c r="E292" s="22">
        <f t="shared" si="3"/>
        <v>-0.01379166326</v>
      </c>
      <c r="F292" s="22">
        <f t="shared" si="6"/>
        <v>0.0876356791</v>
      </c>
      <c r="H292" s="22" t="str">
        <f t="shared" si="4"/>
        <v/>
      </c>
      <c r="I292" s="22" t="str">
        <f t="shared" si="1"/>
        <v>#N/A</v>
      </c>
      <c r="J292" s="22" t="str">
        <f t="shared" si="2"/>
        <v>#N/A</v>
      </c>
      <c r="K292" s="22" t="str">
        <f t="array" ref="K292">IF(H292="Crash",MATCH(TRUE, B293:B390 &gt;= B291, 0),"")</f>
        <v/>
      </c>
    </row>
    <row r="293" ht="15.75" customHeight="1">
      <c r="A293" s="32">
        <f>'EQUITY BACKTEST'!A296</f>
        <v>38198.66667</v>
      </c>
      <c r="B293" s="22">
        <f>'EQUITY BACKTEST'!B296</f>
        <v>1101.72</v>
      </c>
      <c r="C293" s="22">
        <f>1/'EQUITY BACKTEST'!E296</f>
        <v>0.832570144</v>
      </c>
      <c r="D293" s="22">
        <f t="shared" si="5"/>
        <v>-0.2899814981</v>
      </c>
      <c r="E293" s="22">
        <f t="shared" si="3"/>
        <v>0.01428834469</v>
      </c>
      <c r="F293" s="22">
        <f t="shared" si="6"/>
        <v>0.1240320359</v>
      </c>
      <c r="H293" s="22" t="str">
        <f t="shared" si="4"/>
        <v/>
      </c>
      <c r="I293" s="22" t="str">
        <f t="shared" si="1"/>
        <v>#N/A</v>
      </c>
      <c r="J293" s="22" t="str">
        <f t="shared" si="2"/>
        <v>#N/A</v>
      </c>
      <c r="K293" s="22" t="str">
        <f t="array" ref="K293">IF(H293="Crash",MATCH(TRUE, B294:B391 &gt;= B292, 0),"")</f>
        <v/>
      </c>
    </row>
    <row r="294" ht="15.75" customHeight="1">
      <c r="A294" s="32">
        <f>'EQUITY BACKTEST'!A297</f>
        <v>38205.66667</v>
      </c>
      <c r="B294" s="22">
        <f>'EQUITY BACKTEST'!B297</f>
        <v>1063.97</v>
      </c>
      <c r="C294" s="22">
        <f>1/'EQUITY BACKTEST'!E297</f>
        <v>0.8129420372</v>
      </c>
      <c r="D294" s="22">
        <f t="shared" si="5"/>
        <v>-0.02243189333</v>
      </c>
      <c r="E294" s="22">
        <f t="shared" si="3"/>
        <v>-0.03426460444</v>
      </c>
      <c r="F294" s="22">
        <f t="shared" si="6"/>
        <v>0.08836015098</v>
      </c>
      <c r="H294" s="22" t="str">
        <f t="shared" si="4"/>
        <v/>
      </c>
      <c r="I294" s="22" t="str">
        <f t="shared" si="1"/>
        <v>#N/A</v>
      </c>
      <c r="J294" s="22" t="str">
        <f t="shared" si="2"/>
        <v>#N/A</v>
      </c>
      <c r="K294" s="22" t="str">
        <f t="array" ref="K294">IF(H294="Crash",MATCH(TRUE, B295:B392 &gt;= B293, 0),"")</f>
        <v/>
      </c>
    </row>
    <row r="295" ht="15.75" customHeight="1">
      <c r="A295" s="32">
        <f>'EQUITY BACKTEST'!A298</f>
        <v>38212.66667</v>
      </c>
      <c r="B295" s="22">
        <f>'EQUITY BACKTEST'!B298</f>
        <v>1064.8</v>
      </c>
      <c r="C295" s="22">
        <f>1/'EQUITY BACKTEST'!E298</f>
        <v>0.808276754</v>
      </c>
      <c r="D295" s="22">
        <f t="shared" si="5"/>
        <v>0.2348928232</v>
      </c>
      <c r="E295" s="22">
        <f t="shared" si="3"/>
        <v>0.0007800971832</v>
      </c>
      <c r="F295" s="22">
        <f t="shared" si="6"/>
        <v>0.07481729721</v>
      </c>
      <c r="H295" s="22" t="str">
        <f t="shared" si="4"/>
        <v/>
      </c>
      <c r="I295" s="22" t="str">
        <f t="shared" si="1"/>
        <v>#N/A</v>
      </c>
      <c r="J295" s="22" t="str">
        <f t="shared" si="2"/>
        <v>#N/A</v>
      </c>
      <c r="K295" s="22" t="str">
        <f t="array" ref="K295">IF(H295="Crash",MATCH(TRUE, B296:B393 &gt;= B294, 0),"")</f>
        <v/>
      </c>
    </row>
    <row r="296" ht="15.75" customHeight="1">
      <c r="A296" s="32">
        <f>'EQUITY BACKTEST'!A299</f>
        <v>38219.66667</v>
      </c>
      <c r="B296" s="22">
        <f>'EQUITY BACKTEST'!B299</f>
        <v>1098.35</v>
      </c>
      <c r="C296" s="22">
        <f>1/'EQUITY BACKTEST'!E299</f>
        <v>0.812083807</v>
      </c>
      <c r="D296" s="22">
        <f t="shared" si="5"/>
        <v>0.3423035606</v>
      </c>
      <c r="E296" s="22">
        <f t="shared" si="3"/>
        <v>0.03150826446</v>
      </c>
      <c r="F296" s="22">
        <f t="shared" si="6"/>
        <v>0.1060369569</v>
      </c>
      <c r="H296" s="22" t="str">
        <f t="shared" si="4"/>
        <v/>
      </c>
      <c r="I296" s="22" t="str">
        <f t="shared" si="1"/>
        <v>#N/A</v>
      </c>
      <c r="J296" s="22" t="str">
        <f t="shared" si="2"/>
        <v>#N/A</v>
      </c>
      <c r="K296" s="22" t="str">
        <f t="array" ref="K296">IF(H296="Crash",MATCH(TRUE, B297:B394 &gt;= B295, 0),"")</f>
        <v/>
      </c>
    </row>
    <row r="297" ht="15.75" customHeight="1">
      <c r="A297" s="32">
        <f>'EQUITY BACKTEST'!A300</f>
        <v>38226.66667</v>
      </c>
      <c r="B297" s="22">
        <f>'EQUITY BACKTEST'!B300</f>
        <v>1107.77</v>
      </c>
      <c r="C297" s="22">
        <f>1/'EQUITY BACKTEST'!E300</f>
        <v>0.8325008325</v>
      </c>
      <c r="D297" s="22">
        <f t="shared" si="5"/>
        <v>0.3128123759</v>
      </c>
      <c r="E297" s="22">
        <f t="shared" si="3"/>
        <v>0.008576501115</v>
      </c>
      <c r="F297" s="22">
        <f t="shared" si="6"/>
        <v>0.09895636991</v>
      </c>
      <c r="H297" s="22" t="str">
        <f t="shared" si="4"/>
        <v/>
      </c>
      <c r="I297" s="22" t="str">
        <f t="shared" si="1"/>
        <v>#N/A</v>
      </c>
      <c r="J297" s="22" t="str">
        <f t="shared" si="2"/>
        <v>#N/A</v>
      </c>
      <c r="K297" s="22" t="str">
        <f t="array" ref="K297">IF(H297="Crash",MATCH(TRUE, B298:B395 &gt;= B296, 0),"")</f>
        <v/>
      </c>
    </row>
    <row r="298" ht="15.75" customHeight="1">
      <c r="A298" s="32">
        <f>'EQUITY BACKTEST'!A301</f>
        <v>38233.66667</v>
      </c>
      <c r="B298" s="22">
        <f>'EQUITY BACKTEST'!B301</f>
        <v>1113.63</v>
      </c>
      <c r="C298" s="22">
        <f>1/'EQUITY BACKTEST'!E301</f>
        <v>0.829806655</v>
      </c>
      <c r="D298" s="22">
        <f t="shared" si="5"/>
        <v>0.3469043866</v>
      </c>
      <c r="E298" s="22">
        <f t="shared" si="3"/>
        <v>0.00528990675</v>
      </c>
      <c r="F298" s="22">
        <f t="shared" si="6"/>
        <v>0.09032965527</v>
      </c>
      <c r="H298" s="22" t="str">
        <f t="shared" si="4"/>
        <v/>
      </c>
      <c r="I298" s="22" t="str">
        <f t="shared" si="1"/>
        <v>#N/A</v>
      </c>
      <c r="J298" s="22" t="str">
        <f t="shared" si="2"/>
        <v>#N/A</v>
      </c>
      <c r="K298" s="22" t="str">
        <f t="array" ref="K298">IF(H298="Crash",MATCH(TRUE, B299:B396 &gt;= B297, 0),"")</f>
        <v/>
      </c>
    </row>
    <row r="299" ht="15.75" customHeight="1">
      <c r="A299" s="32">
        <f>'EQUITY BACKTEST'!A302</f>
        <v>38240.66667</v>
      </c>
      <c r="B299" s="22">
        <f>'EQUITY BACKTEST'!B302</f>
        <v>1123.92</v>
      </c>
      <c r="C299" s="22">
        <f>1/'EQUITY BACKTEST'!E302</f>
        <v>0.8153281696</v>
      </c>
      <c r="D299" s="22">
        <f t="shared" si="5"/>
        <v>0.2141863965</v>
      </c>
      <c r="E299" s="22">
        <f t="shared" si="3"/>
        <v>0.0092400528</v>
      </c>
      <c r="F299" s="22">
        <f t="shared" si="6"/>
        <v>0.1033643227</v>
      </c>
      <c r="H299" s="22" t="str">
        <f t="shared" si="4"/>
        <v/>
      </c>
      <c r="I299" s="22" t="str">
        <f t="shared" si="1"/>
        <v>#N/A</v>
      </c>
      <c r="J299" s="22" t="str">
        <f t="shared" si="2"/>
        <v>#N/A</v>
      </c>
      <c r="K299" s="22" t="str">
        <f t="array" ref="K299">IF(H299="Crash",MATCH(TRUE, B300:B397 &gt;= B298, 0),"")</f>
        <v/>
      </c>
    </row>
    <row r="300" ht="15.75" customHeight="1">
      <c r="A300" s="32">
        <f>'EQUITY BACKTEST'!A303</f>
        <v>38247.66667</v>
      </c>
      <c r="B300" s="22">
        <f>'EQUITY BACKTEST'!B303</f>
        <v>1128.55</v>
      </c>
      <c r="C300" s="22">
        <f>1/'EQUITY BACKTEST'!E303</f>
        <v>0.820815891</v>
      </c>
      <c r="D300" s="22">
        <f t="shared" si="5"/>
        <v>0.1815679663</v>
      </c>
      <c r="E300" s="22">
        <f t="shared" si="3"/>
        <v>0.004119510285</v>
      </c>
      <c r="F300" s="22">
        <f t="shared" si="6"/>
        <v>0.08901862395</v>
      </c>
      <c r="H300" s="22" t="str">
        <f t="shared" si="4"/>
        <v/>
      </c>
      <c r="I300" s="22" t="str">
        <f t="shared" si="1"/>
        <v>#N/A</v>
      </c>
      <c r="J300" s="22" t="str">
        <f t="shared" si="2"/>
        <v>#N/A</v>
      </c>
      <c r="K300" s="22" t="str">
        <f t="array" ref="K300">IF(H300="Crash",MATCH(TRUE, B301:B398 &gt;= B299, 0),"")</f>
        <v/>
      </c>
    </row>
    <row r="301" ht="15.75" customHeight="1">
      <c r="A301" s="32">
        <f>'EQUITY BACKTEST'!A304</f>
        <v>38254.66667</v>
      </c>
      <c r="B301" s="22">
        <f>'EQUITY BACKTEST'!B304</f>
        <v>1110.11</v>
      </c>
      <c r="C301" s="22">
        <f>1/'EQUITY BACKTEST'!E304</f>
        <v>0.814995925</v>
      </c>
      <c r="D301" s="22">
        <f t="shared" si="5"/>
        <v>0.1609118718</v>
      </c>
      <c r="E301" s="22">
        <f t="shared" si="3"/>
        <v>-0.01633955075</v>
      </c>
      <c r="F301" s="22">
        <f t="shared" si="6"/>
        <v>0.1136178964</v>
      </c>
      <c r="H301" s="22" t="str">
        <f t="shared" si="4"/>
        <v/>
      </c>
      <c r="I301" s="22" t="str">
        <f t="shared" si="1"/>
        <v>#N/A</v>
      </c>
      <c r="J301" s="22" t="str">
        <f t="shared" si="2"/>
        <v>#N/A</v>
      </c>
      <c r="K301" s="22" t="str">
        <f t="array" ref="K301">IF(H301="Crash",MATCH(TRUE, B302:B399 &gt;= B300, 0),"")</f>
        <v/>
      </c>
    </row>
    <row r="302" ht="15.75" customHeight="1">
      <c r="A302" s="32">
        <f>'EQUITY BACKTEST'!A305</f>
        <v>38261.66667</v>
      </c>
      <c r="B302" s="22">
        <f>'EQUITY BACKTEST'!B305</f>
        <v>1131.5</v>
      </c>
      <c r="C302" s="22">
        <f>1/'EQUITY BACKTEST'!E305</f>
        <v>0.806907125</v>
      </c>
      <c r="D302" s="22">
        <f t="shared" si="5"/>
        <v>0.08282460022</v>
      </c>
      <c r="E302" s="22">
        <f t="shared" si="3"/>
        <v>0.01926836079</v>
      </c>
      <c r="F302" s="22">
        <f t="shared" si="6"/>
        <v>0.09870369471</v>
      </c>
      <c r="H302" s="22" t="str">
        <f t="shared" si="4"/>
        <v/>
      </c>
      <c r="I302" s="22" t="str">
        <f t="shared" si="1"/>
        <v>#N/A</v>
      </c>
      <c r="J302" s="22" t="str">
        <f t="shared" si="2"/>
        <v>#N/A</v>
      </c>
      <c r="K302" s="22" t="str">
        <f t="array" ref="K302">IF(H302="Crash",MATCH(TRUE, B303:B400 &gt;= B301, 0),"")</f>
        <v/>
      </c>
    </row>
    <row r="303" ht="15.75" customHeight="1">
      <c r="A303" s="32">
        <f>'EQUITY BACKTEST'!A306</f>
        <v>38268.66667</v>
      </c>
      <c r="B303" s="22">
        <f>'EQUITY BACKTEST'!B306</f>
        <v>1122.14</v>
      </c>
      <c r="C303" s="22">
        <f>1/'EQUITY BACKTEST'!E306</f>
        <v>0.8063865817</v>
      </c>
      <c r="D303" s="22">
        <f t="shared" si="5"/>
        <v>0.0473598922</v>
      </c>
      <c r="E303" s="22">
        <f t="shared" si="3"/>
        <v>-0.008272205038</v>
      </c>
      <c r="F303" s="22">
        <f t="shared" si="6"/>
        <v>0.08099724486</v>
      </c>
      <c r="H303" s="22" t="str">
        <f t="shared" si="4"/>
        <v/>
      </c>
      <c r="I303" s="22" t="str">
        <f t="shared" si="1"/>
        <v>#N/A</v>
      </c>
      <c r="J303" s="22" t="str">
        <f t="shared" si="2"/>
        <v>#N/A</v>
      </c>
      <c r="K303" s="22" t="str">
        <f t="array" ref="K303">IF(H303="Crash",MATCH(TRUE, B304:B401 &gt;= B302, 0),"")</f>
        <v/>
      </c>
    </row>
    <row r="304" ht="15.75" customHeight="1">
      <c r="A304" s="32">
        <f>'EQUITY BACKTEST'!A307</f>
        <v>38275.66667</v>
      </c>
      <c r="B304" s="22">
        <f>'EQUITY BACKTEST'!B307</f>
        <v>1108.2</v>
      </c>
      <c r="C304" s="22">
        <f>1/'EQUITY BACKTEST'!E307</f>
        <v>0.8016032064</v>
      </c>
      <c r="D304" s="22">
        <f t="shared" si="5"/>
        <v>0.01005844421</v>
      </c>
      <c r="E304" s="22">
        <f t="shared" si="3"/>
        <v>-0.01242269236</v>
      </c>
      <c r="F304" s="22">
        <f t="shared" si="6"/>
        <v>0.0662741023</v>
      </c>
      <c r="H304" s="22" t="str">
        <f t="shared" si="4"/>
        <v/>
      </c>
      <c r="I304" s="22" t="str">
        <f t="shared" si="1"/>
        <v>#N/A</v>
      </c>
      <c r="J304" s="22" t="str">
        <f t="shared" si="2"/>
        <v>#N/A</v>
      </c>
      <c r="K304" s="22" t="str">
        <f t="array" ref="K304">IF(H304="Crash",MATCH(TRUE, B305:B402 &gt;= B303, 0),"")</f>
        <v/>
      </c>
    </row>
    <row r="305" ht="15.75" customHeight="1">
      <c r="A305" s="32">
        <f>'EQUITY BACKTEST'!A308</f>
        <v>38282.66667</v>
      </c>
      <c r="B305" s="22">
        <f>'EQUITY BACKTEST'!B308</f>
        <v>1095.74</v>
      </c>
      <c r="C305" s="22">
        <f>1/'EQUITY BACKTEST'!E308</f>
        <v>0.7882705344</v>
      </c>
      <c r="D305" s="22">
        <f t="shared" si="5"/>
        <v>0.1482378855</v>
      </c>
      <c r="E305" s="22">
        <f t="shared" si="3"/>
        <v>-0.01124345786</v>
      </c>
      <c r="F305" s="22">
        <f t="shared" si="6"/>
        <v>0.064952231</v>
      </c>
      <c r="H305" s="22" t="str">
        <f t="shared" si="4"/>
        <v/>
      </c>
      <c r="I305" s="22" t="str">
        <f t="shared" si="1"/>
        <v>#N/A</v>
      </c>
      <c r="J305" s="22" t="str">
        <f t="shared" si="2"/>
        <v>#N/A</v>
      </c>
      <c r="K305" s="22" t="str">
        <f t="array" ref="K305">IF(H305="Crash",MATCH(TRUE, B306:B403 &gt;= B304, 0),"")</f>
        <v/>
      </c>
    </row>
    <row r="306" ht="15.75" customHeight="1">
      <c r="A306" s="32">
        <f>'EQUITY BACKTEST'!A309</f>
        <v>38289.66667</v>
      </c>
      <c r="B306" s="22">
        <f>'EQUITY BACKTEST'!B309</f>
        <v>1130.2</v>
      </c>
      <c r="C306" s="22">
        <f>1/'EQUITY BACKTEST'!E309</f>
        <v>0.7816774799</v>
      </c>
      <c r="D306" s="22">
        <f t="shared" si="5"/>
        <v>-0.03607633085</v>
      </c>
      <c r="E306" s="22">
        <f t="shared" si="3"/>
        <v>0.03144906638</v>
      </c>
      <c r="F306" s="22">
        <f t="shared" si="6"/>
        <v>0.07565360566</v>
      </c>
      <c r="H306" s="22" t="str">
        <f t="shared" si="4"/>
        <v/>
      </c>
      <c r="I306" s="22" t="str">
        <f t="shared" si="1"/>
        <v>#N/A</v>
      </c>
      <c r="J306" s="22" t="str">
        <f t="shared" si="2"/>
        <v>#N/A</v>
      </c>
      <c r="K306" s="22" t="str">
        <f t="array" ref="K306">IF(H306="Crash",MATCH(TRUE, B307:B404 &gt;= B305, 0),"")</f>
        <v/>
      </c>
    </row>
    <row r="307" ht="15.75" customHeight="1">
      <c r="A307" s="32">
        <f>'EQUITY BACKTEST'!A310</f>
        <v>38296.66667</v>
      </c>
      <c r="B307" s="22">
        <f>'EQUITY BACKTEST'!B310</f>
        <v>1166.17</v>
      </c>
      <c r="C307" s="22">
        <f>1/'EQUITY BACKTEST'!E310</f>
        <v>0.7714263674</v>
      </c>
      <c r="D307" s="22">
        <f t="shared" si="5"/>
        <v>-0.3863019565</v>
      </c>
      <c r="E307" s="22">
        <f t="shared" si="3"/>
        <v>0.03182622545</v>
      </c>
      <c r="F307" s="22">
        <f t="shared" si="6"/>
        <v>0.1072530644</v>
      </c>
      <c r="H307" s="22" t="str">
        <f t="shared" si="4"/>
        <v/>
      </c>
      <c r="I307" s="22" t="str">
        <f t="shared" si="1"/>
        <v>#N/A</v>
      </c>
      <c r="J307" s="22" t="str">
        <f t="shared" si="2"/>
        <v>#N/A</v>
      </c>
      <c r="K307" s="22" t="str">
        <f t="array" ref="K307">IF(H307="Crash",MATCH(TRUE, B308:B405 &gt;= B306, 0),"")</f>
        <v/>
      </c>
    </row>
    <row r="308" ht="15.75" customHeight="1">
      <c r="A308" s="32">
        <f>'EQUITY BACKTEST'!A311</f>
        <v>38303.66667</v>
      </c>
      <c r="B308" s="22">
        <f>'EQUITY BACKTEST'!B311</f>
        <v>1184.17</v>
      </c>
      <c r="C308" s="22">
        <f>1/'EQUITY BACKTEST'!E311</f>
        <v>0.7718431615</v>
      </c>
      <c r="D308" s="22">
        <f t="shared" si="5"/>
        <v>-0.6393926553</v>
      </c>
      <c r="E308" s="22">
        <f t="shared" si="3"/>
        <v>0.01543514239</v>
      </c>
      <c r="F308" s="22">
        <f t="shared" si="6"/>
        <v>0.1274051507</v>
      </c>
      <c r="H308" s="22" t="str">
        <f t="shared" si="4"/>
        <v/>
      </c>
      <c r="I308" s="22" t="str">
        <f t="shared" si="1"/>
        <v>#N/A</v>
      </c>
      <c r="J308" s="22" t="str">
        <f t="shared" si="2"/>
        <v>#N/A</v>
      </c>
      <c r="K308" s="22" t="str">
        <f t="array" ref="K308">IF(H308="Crash",MATCH(TRUE, B309:B406 &gt;= B307, 0),"")</f>
        <v/>
      </c>
    </row>
    <row r="309" ht="15.75" customHeight="1">
      <c r="A309" s="32">
        <f>'EQUITY BACKTEST'!A312</f>
        <v>38310.66667</v>
      </c>
      <c r="B309" s="22">
        <f>'EQUITY BACKTEST'!B312</f>
        <v>1170.34</v>
      </c>
      <c r="C309" s="22">
        <f>1/'EQUITY BACKTEST'!E312</f>
        <v>0.7672241829</v>
      </c>
      <c r="D309" s="22">
        <f t="shared" si="5"/>
        <v>-0.7105518324</v>
      </c>
      <c r="E309" s="22">
        <f t="shared" si="3"/>
        <v>-0.01167906635</v>
      </c>
      <c r="F309" s="22">
        <f t="shared" si="6"/>
        <v>0.1304574608</v>
      </c>
      <c r="H309" s="22" t="str">
        <f t="shared" si="4"/>
        <v/>
      </c>
      <c r="I309" s="22" t="str">
        <f t="shared" si="1"/>
        <v>#N/A</v>
      </c>
      <c r="J309" s="22" t="str">
        <f t="shared" si="2"/>
        <v>#N/A</v>
      </c>
      <c r="K309" s="22" t="str">
        <f t="array" ref="K309">IF(H309="Crash",MATCH(TRUE, B310:B407 &gt;= B308, 0),"")</f>
        <v/>
      </c>
    </row>
    <row r="310" ht="15.75" customHeight="1">
      <c r="A310" s="32">
        <f>'EQUITY BACKTEST'!A313</f>
        <v>38317.66667</v>
      </c>
      <c r="B310" s="22">
        <f>'EQUITY BACKTEST'!B313</f>
        <v>1182.65</v>
      </c>
      <c r="C310" s="22">
        <f>1/'EQUITY BACKTEST'!E313</f>
        <v>0.7525020694</v>
      </c>
      <c r="D310" s="22">
        <f t="shared" si="5"/>
        <v>-0.7655567057</v>
      </c>
      <c r="E310" s="22">
        <f t="shared" si="3"/>
        <v>0.01051831092</v>
      </c>
      <c r="F310" s="22">
        <f t="shared" si="6"/>
        <v>0.1176053676</v>
      </c>
      <c r="H310" s="22" t="str">
        <f t="shared" si="4"/>
        <v/>
      </c>
      <c r="I310" s="22" t="str">
        <f t="shared" si="1"/>
        <v>#N/A</v>
      </c>
      <c r="J310" s="22" t="str">
        <f t="shared" si="2"/>
        <v>#N/A</v>
      </c>
      <c r="K310" s="22" t="str">
        <f t="array" ref="K310">IF(H310="Crash",MATCH(TRUE, B311:B408 &gt;= B309, 0),"")</f>
        <v/>
      </c>
    </row>
    <row r="311" ht="15.75" customHeight="1">
      <c r="A311" s="32">
        <f>'EQUITY BACKTEST'!A314</f>
        <v>38324.66667</v>
      </c>
      <c r="B311" s="22">
        <f>'EQUITY BACKTEST'!B314</f>
        <v>1191.17</v>
      </c>
      <c r="C311" s="22">
        <f>1/'EQUITY BACKTEST'!E314</f>
        <v>0.7429420505</v>
      </c>
      <c r="D311" s="22">
        <f t="shared" si="5"/>
        <v>-0.8166112236</v>
      </c>
      <c r="E311" s="22">
        <f t="shared" si="3"/>
        <v>0.007204160149</v>
      </c>
      <c r="F311" s="22">
        <f t="shared" si="6"/>
        <v>0.1221573245</v>
      </c>
      <c r="H311" s="22" t="str">
        <f t="shared" si="4"/>
        <v/>
      </c>
      <c r="I311" s="22" t="str">
        <f t="shared" si="1"/>
        <v>#N/A</v>
      </c>
      <c r="J311" s="22" t="str">
        <f t="shared" si="2"/>
        <v>#N/A</v>
      </c>
      <c r="K311" s="22" t="str">
        <f t="array" ref="K311">IF(H311="Crash",MATCH(TRUE, B312:B409 &gt;= B310, 0),"")</f>
        <v/>
      </c>
    </row>
    <row r="312" ht="15.75" customHeight="1">
      <c r="A312" s="32">
        <f>'EQUITY BACKTEST'!A315</f>
        <v>38331.66667</v>
      </c>
      <c r="B312" s="22">
        <f>'EQUITY BACKTEST'!B315</f>
        <v>1188</v>
      </c>
      <c r="C312" s="22">
        <f>1/'EQUITY BACKTEST'!E315</f>
        <v>0.7567158532</v>
      </c>
      <c r="D312" s="22">
        <f t="shared" si="5"/>
        <v>-0.8376253927</v>
      </c>
      <c r="E312" s="22">
        <f t="shared" si="3"/>
        <v>-0.002661249024</v>
      </c>
      <c r="F312" s="22">
        <f t="shared" si="6"/>
        <v>0.1060010799</v>
      </c>
      <c r="H312" s="22" t="str">
        <f t="shared" si="4"/>
        <v/>
      </c>
      <c r="I312" s="22" t="str">
        <f t="shared" si="1"/>
        <v>#N/A</v>
      </c>
      <c r="J312" s="22" t="str">
        <f t="shared" si="2"/>
        <v>#N/A</v>
      </c>
      <c r="K312" s="22" t="str">
        <f t="array" ref="K312">IF(H312="Crash",MATCH(TRUE, B313:B410 &gt;= B311, 0),"")</f>
        <v/>
      </c>
    </row>
    <row r="313" ht="15.75" customHeight="1">
      <c r="A313" s="32">
        <f>'EQUITY BACKTEST'!A316</f>
        <v>38338.66667</v>
      </c>
      <c r="B313" s="22">
        <f>'EQUITY BACKTEST'!B316</f>
        <v>1194.22</v>
      </c>
      <c r="C313" s="22">
        <f>1/'EQUITY BACKTEST'!E316</f>
        <v>0.7512583577</v>
      </c>
      <c r="D313" s="22">
        <f t="shared" si="5"/>
        <v>-0.8825395931</v>
      </c>
      <c r="E313" s="22">
        <f t="shared" si="3"/>
        <v>0.005235690236</v>
      </c>
      <c r="F313" s="22">
        <f t="shared" si="6"/>
        <v>0.09695316303</v>
      </c>
      <c r="H313" s="22" t="str">
        <f t="shared" si="4"/>
        <v/>
      </c>
      <c r="I313" s="22" t="str">
        <f t="shared" si="1"/>
        <v>#N/A</v>
      </c>
      <c r="J313" s="22" t="str">
        <f t="shared" si="2"/>
        <v>#N/A</v>
      </c>
      <c r="K313" s="22" t="str">
        <f t="array" ref="K313">IF(H313="Crash",MATCH(TRUE, B314:B411 &gt;= B312, 0),"")</f>
        <v/>
      </c>
    </row>
    <row r="314" ht="15.75" customHeight="1">
      <c r="A314" s="32">
        <f>'EQUITY BACKTEST'!A317</f>
        <v>38344.66667</v>
      </c>
      <c r="B314" s="22">
        <f>'EQUITY BACKTEST'!B317</f>
        <v>1210.13</v>
      </c>
      <c r="C314" s="22">
        <f>1/'EQUITY BACKTEST'!E317</f>
        <v>0.7392622163</v>
      </c>
      <c r="D314" s="22">
        <f t="shared" si="5"/>
        <v>-0.8909644249</v>
      </c>
      <c r="E314" s="22">
        <f t="shared" si="3"/>
        <v>0.01332250339</v>
      </c>
      <c r="F314" s="22">
        <f t="shared" si="6"/>
        <v>0.1042440391</v>
      </c>
      <c r="H314" s="22" t="str">
        <f t="shared" si="4"/>
        <v/>
      </c>
      <c r="I314" s="22" t="str">
        <f t="shared" si="1"/>
        <v>#N/A</v>
      </c>
      <c r="J314" s="22" t="str">
        <f t="shared" si="2"/>
        <v>#N/A</v>
      </c>
      <c r="K314" s="22" t="str">
        <f t="array" ref="K314">IF(H314="Crash",MATCH(TRUE, B315:B412 &gt;= B313, 0),"")</f>
        <v/>
      </c>
    </row>
    <row r="315" ht="15.75" customHeight="1">
      <c r="A315" s="32">
        <f>'EQUITY BACKTEST'!A318</f>
        <v>38352.66667</v>
      </c>
      <c r="B315" s="22">
        <f>'EQUITY BACKTEST'!B318</f>
        <v>1211.92</v>
      </c>
      <c r="C315" s="22">
        <f>1/'EQUITY BACKTEST'!E318</f>
        <v>0.7373000074</v>
      </c>
      <c r="D315" s="22">
        <f t="shared" si="5"/>
        <v>-0.91830086</v>
      </c>
      <c r="E315" s="22">
        <f t="shared" si="3"/>
        <v>0.001479179923</v>
      </c>
      <c r="F315" s="22">
        <f t="shared" si="6"/>
        <v>0.09330711148</v>
      </c>
      <c r="H315" s="22" t="str">
        <f t="shared" si="4"/>
        <v/>
      </c>
      <c r="I315" s="22" t="str">
        <f t="shared" si="1"/>
        <v>#N/A</v>
      </c>
      <c r="J315" s="22" t="str">
        <f t="shared" si="2"/>
        <v>#N/A</v>
      </c>
      <c r="K315" s="22" t="str">
        <f t="array" ref="K315">IF(H315="Crash",MATCH(TRUE, B316:B413 &gt;= B314, 0),"")</f>
        <v/>
      </c>
    </row>
    <row r="316" ht="15.75" customHeight="1">
      <c r="A316" s="32">
        <f>'EQUITY BACKTEST'!A319</f>
        <v>38359.66667</v>
      </c>
      <c r="B316" s="22">
        <f>'EQUITY BACKTEST'!B319</f>
        <v>1186.19</v>
      </c>
      <c r="C316" s="22">
        <f>1/'EQUITY BACKTEST'!E319</f>
        <v>0.764935363</v>
      </c>
      <c r="D316" s="22">
        <f t="shared" si="5"/>
        <v>-0.9138186684</v>
      </c>
      <c r="E316" s="22">
        <f t="shared" si="3"/>
        <v>-0.02123077431</v>
      </c>
      <c r="F316" s="22">
        <f t="shared" si="6"/>
        <v>0.05734227087</v>
      </c>
      <c r="H316" s="22" t="str">
        <f t="shared" si="4"/>
        <v/>
      </c>
      <c r="I316" s="22" t="str">
        <f t="shared" si="1"/>
        <v>#N/A</v>
      </c>
      <c r="J316" s="22" t="str">
        <f t="shared" si="2"/>
        <v>#N/A</v>
      </c>
      <c r="K316" s="22" t="str">
        <f t="array" ref="K316">IF(H316="Crash",MATCH(TRUE, B317:B414 &gt;= B315, 0),"")</f>
        <v/>
      </c>
    </row>
    <row r="317" ht="15.75" customHeight="1">
      <c r="A317" s="32">
        <f>'EQUITY BACKTEST'!A320</f>
        <v>38366.66667</v>
      </c>
      <c r="B317" s="22">
        <f>'EQUITY BACKTEST'!B320</f>
        <v>1184.51</v>
      </c>
      <c r="C317" s="22">
        <f>1/'EQUITY BACKTEST'!E320</f>
        <v>0.7634753397</v>
      </c>
      <c r="D317" s="22">
        <f t="shared" si="5"/>
        <v>-0.8745682908</v>
      </c>
      <c r="E317" s="22">
        <f t="shared" si="3"/>
        <v>-0.001416299244</v>
      </c>
      <c r="F317" s="22">
        <f t="shared" si="6"/>
        <v>0.03920794511</v>
      </c>
      <c r="H317" s="22" t="str">
        <f t="shared" si="4"/>
        <v/>
      </c>
      <c r="I317" s="22" t="str">
        <f t="shared" si="1"/>
        <v>#N/A</v>
      </c>
      <c r="J317" s="22" t="str">
        <f t="shared" si="2"/>
        <v>#N/A</v>
      </c>
      <c r="K317" s="22" t="str">
        <f t="array" ref="K317">IF(H317="Crash",MATCH(TRUE, B318:B415 &gt;= B316, 0),"")</f>
        <v/>
      </c>
    </row>
    <row r="318" ht="15.75" customHeight="1">
      <c r="A318" s="32">
        <f>'EQUITY BACKTEST'!A321</f>
        <v>38373.66667</v>
      </c>
      <c r="B318" s="22">
        <f>'EQUITY BACKTEST'!B321</f>
        <v>1167.87</v>
      </c>
      <c r="C318" s="22">
        <f>1/'EQUITY BACKTEST'!E321</f>
        <v>0.7695859628</v>
      </c>
      <c r="D318" s="22">
        <f t="shared" si="5"/>
        <v>-0.8692616103</v>
      </c>
      <c r="E318" s="22">
        <f t="shared" si="3"/>
        <v>-0.01404800297</v>
      </c>
      <c r="F318" s="22">
        <f t="shared" si="6"/>
        <v>0.02305637072</v>
      </c>
      <c r="H318" s="22" t="str">
        <f t="shared" si="4"/>
        <v/>
      </c>
      <c r="I318" s="22" t="str">
        <f t="shared" si="1"/>
        <v>#N/A</v>
      </c>
      <c r="J318" s="22" t="str">
        <f t="shared" si="2"/>
        <v>#N/A</v>
      </c>
      <c r="K318" s="22" t="str">
        <f t="array" ref="K318">IF(H318="Crash",MATCH(TRUE, B319:B416 &gt;= B317, 0),"")</f>
        <v/>
      </c>
    </row>
    <row r="319" ht="15.75" customHeight="1">
      <c r="A319" s="32">
        <f>'EQUITY BACKTEST'!A322</f>
        <v>38380.66667</v>
      </c>
      <c r="B319" s="22">
        <f>'EQUITY BACKTEST'!B322</f>
        <v>1171.36</v>
      </c>
      <c r="C319" s="22">
        <f>1/'EQUITY BACKTEST'!E322</f>
        <v>0.766812361</v>
      </c>
      <c r="D319" s="22">
        <f t="shared" si="5"/>
        <v>-0.8744830772</v>
      </c>
      <c r="E319" s="22">
        <f t="shared" si="3"/>
        <v>0.002988346306</v>
      </c>
      <c r="F319" s="22">
        <f t="shared" si="6"/>
        <v>0.03557535894</v>
      </c>
      <c r="H319" s="22" t="str">
        <f t="shared" si="4"/>
        <v/>
      </c>
      <c r="I319" s="22" t="str">
        <f t="shared" si="1"/>
        <v>#N/A</v>
      </c>
      <c r="J319" s="22" t="str">
        <f t="shared" si="2"/>
        <v>#N/A</v>
      </c>
      <c r="K319" s="22" t="str">
        <f t="array" ref="K319">IF(H319="Crash",MATCH(TRUE, B320:B417 &gt;= B318, 0),"")</f>
        <v/>
      </c>
    </row>
    <row r="320" ht="15.75" customHeight="1">
      <c r="A320" s="32">
        <f>'EQUITY BACKTEST'!A323</f>
        <v>38387.66667</v>
      </c>
      <c r="B320" s="22">
        <f>'EQUITY BACKTEST'!B323</f>
        <v>1203.03</v>
      </c>
      <c r="C320" s="22">
        <f>1/'EQUITY BACKTEST'!E323</f>
        <v>0.7779679477</v>
      </c>
      <c r="D320" s="22">
        <f t="shared" si="5"/>
        <v>-0.5874757369</v>
      </c>
      <c r="E320" s="22">
        <f t="shared" si="3"/>
        <v>0.0270369485</v>
      </c>
      <c r="F320" s="22">
        <f t="shared" si="6"/>
        <v>0.05274073296</v>
      </c>
      <c r="H320" s="22" t="str">
        <f t="shared" si="4"/>
        <v/>
      </c>
      <c r="I320" s="22" t="str">
        <f t="shared" si="1"/>
        <v>#N/A</v>
      </c>
      <c r="J320" s="22" t="str">
        <f t="shared" si="2"/>
        <v>#N/A</v>
      </c>
      <c r="K320" s="22" t="str">
        <f t="array" ref="K320">IF(H320="Crash",MATCH(TRUE, B321:B418 &gt;= B319, 0),"")</f>
        <v/>
      </c>
    </row>
    <row r="321" ht="15.75" customHeight="1">
      <c r="A321" s="32">
        <f>'EQUITY BACKTEST'!A324</f>
        <v>38394.66667</v>
      </c>
      <c r="B321" s="22">
        <f>'EQUITY BACKTEST'!B324</f>
        <v>1205.3</v>
      </c>
      <c r="C321" s="22">
        <f>1/'EQUITY BACKTEST'!E324</f>
        <v>0.7780890134</v>
      </c>
      <c r="D321" s="22">
        <f t="shared" si="5"/>
        <v>-0.3788155603</v>
      </c>
      <c r="E321" s="22">
        <f t="shared" si="3"/>
        <v>0.001886902239</v>
      </c>
      <c r="F321" s="22">
        <f t="shared" si="6"/>
        <v>0.05191960273</v>
      </c>
      <c r="H321" s="22" t="str">
        <f t="shared" si="4"/>
        <v/>
      </c>
      <c r="I321" s="22" t="str">
        <f t="shared" si="1"/>
        <v>#N/A</v>
      </c>
      <c r="J321" s="22" t="str">
        <f t="shared" si="2"/>
        <v>#N/A</v>
      </c>
      <c r="K321" s="22" t="str">
        <f t="array" ref="K321">IF(H321="Crash",MATCH(TRUE, B322:B419 &gt;= B320, 0),"")</f>
        <v/>
      </c>
    </row>
    <row r="322" ht="15.75" customHeight="1">
      <c r="A322" s="32">
        <f>'EQUITY BACKTEST'!A325</f>
        <v>38401.66667</v>
      </c>
      <c r="B322" s="22">
        <f>'EQUITY BACKTEST'!B325</f>
        <v>1201.59</v>
      </c>
      <c r="C322" s="22">
        <f>1/'EQUITY BACKTEST'!E325</f>
        <v>0.7682851875</v>
      </c>
      <c r="D322" s="22">
        <f t="shared" si="5"/>
        <v>-0.2864598773</v>
      </c>
      <c r="E322" s="22">
        <f t="shared" si="3"/>
        <v>-0.003078071849</v>
      </c>
      <c r="F322" s="22">
        <f t="shared" si="6"/>
        <v>0.05023992448</v>
      </c>
      <c r="H322" s="22" t="str">
        <f t="shared" si="4"/>
        <v/>
      </c>
      <c r="I322" s="22" t="str">
        <f t="shared" si="1"/>
        <v>#N/A</v>
      </c>
      <c r="J322" s="22" t="str">
        <f t="shared" si="2"/>
        <v>#N/A</v>
      </c>
      <c r="K322" s="22" t="str">
        <f t="array" ref="K322">IF(H322="Crash",MATCH(TRUE, B323:B420 &gt;= B321, 0),"")</f>
        <v/>
      </c>
    </row>
    <row r="323" ht="15.75" customHeight="1">
      <c r="A323" s="32">
        <f>'EQUITY BACKTEST'!A326</f>
        <v>38408.66667</v>
      </c>
      <c r="B323" s="22">
        <f>'EQUITY BACKTEST'!B326</f>
        <v>1211.37</v>
      </c>
      <c r="C323" s="22">
        <f>1/'EQUITY BACKTEST'!E326</f>
        <v>0.7552870091</v>
      </c>
      <c r="D323" s="22">
        <f t="shared" si="5"/>
        <v>-0.336293092</v>
      </c>
      <c r="E323" s="22">
        <f t="shared" si="3"/>
        <v>0.008139215539</v>
      </c>
      <c r="F323" s="22">
        <f t="shared" si="6"/>
        <v>0.05802050762</v>
      </c>
      <c r="H323" s="22" t="str">
        <f t="shared" si="4"/>
        <v/>
      </c>
      <c r="I323" s="22" t="str">
        <f t="shared" si="1"/>
        <v>#N/A</v>
      </c>
      <c r="J323" s="22" t="str">
        <f t="shared" si="2"/>
        <v>#N/A</v>
      </c>
      <c r="K323" s="22" t="str">
        <f t="array" ref="K323">IF(H323="Crash",MATCH(TRUE, B324:B421 &gt;= B322, 0),"")</f>
        <v/>
      </c>
    </row>
    <row r="324" ht="15.75" customHeight="1">
      <c r="A324" s="32">
        <f>'EQUITY BACKTEST'!A327</f>
        <v>38415.66667</v>
      </c>
      <c r="B324" s="22">
        <f>'EQUITY BACKTEST'!B327</f>
        <v>1222.12</v>
      </c>
      <c r="C324" s="22">
        <f>1/'EQUITY BACKTEST'!E327</f>
        <v>0.7551729346</v>
      </c>
      <c r="D324" s="22">
        <f t="shared" si="5"/>
        <v>-0.3963561549</v>
      </c>
      <c r="E324" s="22">
        <f t="shared" si="3"/>
        <v>0.008874249816</v>
      </c>
      <c r="F324" s="22">
        <f t="shared" si="6"/>
        <v>0.0564113203</v>
      </c>
      <c r="H324" s="22" t="str">
        <f t="shared" si="4"/>
        <v/>
      </c>
      <c r="I324" s="22" t="str">
        <f t="shared" si="1"/>
        <v>#N/A</v>
      </c>
      <c r="J324" s="22" t="str">
        <f t="shared" si="2"/>
        <v>#N/A</v>
      </c>
      <c r="K324" s="22" t="str">
        <f t="array" ref="K324">IF(H324="Crash",MATCH(TRUE, B325:B422 &gt;= B323, 0),"")</f>
        <v/>
      </c>
    </row>
    <row r="325" ht="15.75" customHeight="1">
      <c r="A325" s="32">
        <f>'EQUITY BACKTEST'!A328</f>
        <v>38422.66667</v>
      </c>
      <c r="B325" s="22">
        <f>'EQUITY BACKTEST'!B328</f>
        <v>1200.08</v>
      </c>
      <c r="C325" s="22">
        <f>1/'EQUITY BACKTEST'!E328</f>
        <v>0.7426110203</v>
      </c>
      <c r="D325" s="22">
        <f t="shared" si="5"/>
        <v>-0.4040062397</v>
      </c>
      <c r="E325" s="22">
        <f t="shared" si="3"/>
        <v>-0.01803423559</v>
      </c>
      <c r="F325" s="22">
        <f t="shared" si="6"/>
        <v>0.07092628949</v>
      </c>
      <c r="H325" s="22" t="str">
        <f t="shared" si="4"/>
        <v/>
      </c>
      <c r="I325" s="22" t="str">
        <f t="shared" si="1"/>
        <v>#N/A</v>
      </c>
      <c r="J325" s="22" t="str">
        <f t="shared" si="2"/>
        <v>#N/A</v>
      </c>
      <c r="K325" s="22" t="str">
        <f t="array" ref="K325">IF(H325="Crash",MATCH(TRUE, B326:B423 &gt;= B324, 0),"")</f>
        <v/>
      </c>
    </row>
    <row r="326" ht="15.75" customHeight="1">
      <c r="A326" s="32">
        <f>'EQUITY BACKTEST'!A329</f>
        <v>38429.66667</v>
      </c>
      <c r="B326" s="22">
        <f>'EQUITY BACKTEST'!B329</f>
        <v>1189.65</v>
      </c>
      <c r="C326" s="22">
        <f>1/'EQUITY BACKTEST'!E329</f>
        <v>0.7510326699</v>
      </c>
      <c r="D326" s="22">
        <f t="shared" si="5"/>
        <v>-0.3862628322</v>
      </c>
      <c r="E326" s="22">
        <f t="shared" si="3"/>
        <v>-0.008691087261</v>
      </c>
      <c r="F326" s="22">
        <f t="shared" si="6"/>
        <v>0.0720078577</v>
      </c>
      <c r="H326" s="22" t="str">
        <f t="shared" si="4"/>
        <v/>
      </c>
      <c r="I326" s="22" t="str">
        <f t="shared" si="1"/>
        <v>#N/A</v>
      </c>
      <c r="J326" s="22" t="str">
        <f t="shared" si="2"/>
        <v>#N/A</v>
      </c>
      <c r="K326" s="22" t="str">
        <f t="array" ref="K326">IF(H326="Crash",MATCH(TRUE, B327:B424 &gt;= B325, 0),"")</f>
        <v/>
      </c>
    </row>
    <row r="327" ht="15.75" customHeight="1">
      <c r="A327" s="32">
        <f>'EQUITY BACKTEST'!A330</f>
        <v>38435.66667</v>
      </c>
      <c r="B327" s="22">
        <f>'EQUITY BACKTEST'!B330</f>
        <v>1171.42</v>
      </c>
      <c r="C327" s="22">
        <f>1/'EQUITY BACKTEST'!E330</f>
        <v>0.7721411474</v>
      </c>
      <c r="D327" s="22">
        <f t="shared" si="5"/>
        <v>-0.3858326503</v>
      </c>
      <c r="E327" s="22">
        <f t="shared" si="3"/>
        <v>-0.01532383474</v>
      </c>
      <c r="F327" s="22">
        <f t="shared" si="6"/>
        <v>0.05721918377</v>
      </c>
      <c r="H327" s="22" t="str">
        <f t="shared" si="4"/>
        <v/>
      </c>
      <c r="I327" s="22" t="str">
        <f t="shared" si="1"/>
        <v>#N/A</v>
      </c>
      <c r="J327" s="22" t="str">
        <f t="shared" si="2"/>
        <v>#N/A</v>
      </c>
      <c r="K327" s="22" t="str">
        <f t="array" ref="K327">IF(H327="Crash",MATCH(TRUE, B328:B425 &gt;= B326, 0),"")</f>
        <v/>
      </c>
    </row>
    <row r="328" ht="15.75" customHeight="1">
      <c r="A328" s="32">
        <f>'EQUITY BACKTEST'!A331</f>
        <v>38443.66667</v>
      </c>
      <c r="B328" s="22">
        <f>'EQUITY BACKTEST'!B331</f>
        <v>1172.92</v>
      </c>
      <c r="C328" s="22">
        <f>1/'EQUITY BACKTEST'!E331</f>
        <v>0.7747133561</v>
      </c>
      <c r="D328" s="22">
        <f t="shared" si="5"/>
        <v>-0.3344515059</v>
      </c>
      <c r="E328" s="22">
        <f t="shared" si="3"/>
        <v>0.001280497174</v>
      </c>
      <c r="F328" s="22">
        <f t="shared" si="6"/>
        <v>0.02725521107</v>
      </c>
      <c r="H328" s="22" t="str">
        <f t="shared" si="4"/>
        <v/>
      </c>
      <c r="I328" s="22" t="str">
        <f t="shared" si="1"/>
        <v>#N/A</v>
      </c>
      <c r="J328" s="22" t="str">
        <f t="shared" si="2"/>
        <v>#N/A</v>
      </c>
      <c r="K328" s="22" t="str">
        <f t="array" ref="K328">IF(H328="Crash",MATCH(TRUE, B329:B426 &gt;= B327, 0),"")</f>
        <v/>
      </c>
    </row>
    <row r="329" ht="15.75" customHeight="1">
      <c r="A329" s="32">
        <f>'EQUITY BACKTEST'!A332</f>
        <v>38450.66667</v>
      </c>
      <c r="B329" s="22">
        <f>'EQUITY BACKTEST'!B332</f>
        <v>1181.2</v>
      </c>
      <c r="C329" s="22">
        <f>1/'EQUITY BACKTEST'!E332</f>
        <v>0.7766990291</v>
      </c>
      <c r="D329" s="22">
        <f t="shared" si="5"/>
        <v>-0.3649423078</v>
      </c>
      <c r="E329" s="22">
        <f t="shared" si="3"/>
        <v>0.007059304982</v>
      </c>
      <c r="F329" s="22">
        <f t="shared" si="6"/>
        <v>0.03674966866</v>
      </c>
      <c r="H329" s="22" t="str">
        <f t="shared" si="4"/>
        <v/>
      </c>
      <c r="I329" s="22" t="str">
        <f t="shared" si="1"/>
        <v>#N/A</v>
      </c>
      <c r="J329" s="22" t="str">
        <f t="shared" si="2"/>
        <v>#N/A</v>
      </c>
      <c r="K329" s="22" t="str">
        <f t="array" ref="K329">IF(H329="Crash",MATCH(TRUE, B330:B427 &gt;= B328, 0),"")</f>
        <v/>
      </c>
    </row>
    <row r="330" ht="15.75" customHeight="1">
      <c r="A330" s="32">
        <f>'EQUITY BACKTEST'!A333</f>
        <v>38457.66667</v>
      </c>
      <c r="B330" s="22">
        <f>'EQUITY BACKTEST'!B333</f>
        <v>1142.62</v>
      </c>
      <c r="C330" s="22">
        <f>1/'EQUITY BACKTEST'!E333</f>
        <v>0.7773027594</v>
      </c>
      <c r="D330" s="22">
        <f t="shared" si="5"/>
        <v>-0.4516583484</v>
      </c>
      <c r="E330" s="22">
        <f t="shared" si="3"/>
        <v>-0.03266169997</v>
      </c>
      <c r="F330" s="22">
        <f t="shared" si="6"/>
        <v>0.007104075589</v>
      </c>
      <c r="H330" s="22" t="str">
        <f t="shared" si="4"/>
        <v/>
      </c>
      <c r="I330" s="22" t="str">
        <f t="shared" si="1"/>
        <v>#N/A</v>
      </c>
      <c r="J330" s="22" t="str">
        <f t="shared" si="2"/>
        <v>#N/A</v>
      </c>
      <c r="K330" s="22" t="str">
        <f t="array" ref="K330">IF(H330="Crash",MATCH(TRUE, B331:B428 &gt;= B329, 0),"")</f>
        <v/>
      </c>
    </row>
    <row r="331" ht="15.75" customHeight="1">
      <c r="A331" s="32">
        <f>'EQUITY BACKTEST'!A334</f>
        <v>38464.66667</v>
      </c>
      <c r="B331" s="22">
        <f>'EQUITY BACKTEST'!B334</f>
        <v>1152.12</v>
      </c>
      <c r="C331" s="22">
        <f>1/'EQUITY BACKTEST'!E334</f>
        <v>0.7659900421</v>
      </c>
      <c r="D331" s="22">
        <f t="shared" si="5"/>
        <v>-0.4001659659</v>
      </c>
      <c r="E331" s="22">
        <f t="shared" si="3"/>
        <v>0.008314225202</v>
      </c>
      <c r="F331" s="22">
        <f t="shared" si="6"/>
        <v>0.0100999474</v>
      </c>
      <c r="H331" s="22" t="str">
        <f t="shared" si="4"/>
        <v/>
      </c>
      <c r="I331" s="22" t="str">
        <f t="shared" si="1"/>
        <v>#N/A</v>
      </c>
      <c r="J331" s="22" t="str">
        <f t="shared" si="2"/>
        <v>#N/A</v>
      </c>
      <c r="K331" s="22" t="str">
        <f t="array" ref="K331">IF(H331="Crash",MATCH(TRUE, B332:B429 &gt;= B330, 0),"")</f>
        <v/>
      </c>
    </row>
    <row r="332" ht="15.75" customHeight="1">
      <c r="A332" s="32">
        <f>'EQUITY BACKTEST'!A335</f>
        <v>38471.66667</v>
      </c>
      <c r="B332" s="22">
        <f>'EQUITY BACKTEST'!B335</f>
        <v>1156.85</v>
      </c>
      <c r="C332" s="22">
        <f>1/'EQUITY BACKTEST'!E335</f>
        <v>0.7770611547</v>
      </c>
      <c r="D332" s="22">
        <f t="shared" si="5"/>
        <v>-0.4540660695</v>
      </c>
      <c r="E332" s="22">
        <f t="shared" si="3"/>
        <v>0.004105475124</v>
      </c>
      <c r="F332" s="22">
        <f t="shared" si="6"/>
        <v>0.04480510097</v>
      </c>
      <c r="H332" s="22" t="str">
        <f t="shared" si="4"/>
        <v/>
      </c>
      <c r="I332" s="22" t="str">
        <f t="shared" si="1"/>
        <v>#N/A</v>
      </c>
      <c r="J332" s="22" t="str">
        <f t="shared" si="2"/>
        <v>#N/A</v>
      </c>
      <c r="K332" s="22" t="str">
        <f t="array" ref="K332">IF(H332="Crash",MATCH(TRUE, B333:B430 &gt;= B331, 0),"")</f>
        <v/>
      </c>
    </row>
    <row r="333" ht="15.75" customHeight="1">
      <c r="A333" s="32">
        <f>'EQUITY BACKTEST'!A336</f>
        <v>38478.66667</v>
      </c>
      <c r="B333" s="22">
        <f>'EQUITY BACKTEST'!B336</f>
        <v>1171.35</v>
      </c>
      <c r="C333" s="22">
        <f>1/'EQUITY BACKTEST'!E336</f>
        <v>0.7806401249</v>
      </c>
      <c r="D333" s="22">
        <f t="shared" si="5"/>
        <v>-0.5556707149</v>
      </c>
      <c r="E333" s="22">
        <f t="shared" si="3"/>
        <v>0.01253403639</v>
      </c>
      <c r="F333" s="22">
        <f t="shared" si="6"/>
        <v>0.06612360062</v>
      </c>
      <c r="H333" s="22" t="str">
        <f t="shared" si="4"/>
        <v/>
      </c>
      <c r="I333" s="22" t="str">
        <f t="shared" si="1"/>
        <v>#N/A</v>
      </c>
      <c r="J333" s="22" t="str">
        <f t="shared" si="2"/>
        <v>#N/A</v>
      </c>
      <c r="K333" s="22" t="str">
        <f t="array" ref="K333">IF(H333="Crash",MATCH(TRUE, B334:B431 &gt;= B332, 0),"")</f>
        <v/>
      </c>
    </row>
    <row r="334" ht="15.75" customHeight="1">
      <c r="A334" s="32">
        <f>'EQUITY BACKTEST'!A337</f>
        <v>38485.66667</v>
      </c>
      <c r="B334" s="22">
        <f>'EQUITY BACKTEST'!B337</f>
        <v>1154.05</v>
      </c>
      <c r="C334" s="22">
        <f>1/'EQUITY BACKTEST'!E337</f>
        <v>0.7927699382</v>
      </c>
      <c r="D334" s="22">
        <f t="shared" si="5"/>
        <v>-0.7085855056</v>
      </c>
      <c r="E334" s="22">
        <f t="shared" si="3"/>
        <v>-0.01476928331</v>
      </c>
      <c r="F334" s="22">
        <f t="shared" si="6"/>
        <v>0.05325362782</v>
      </c>
      <c r="H334" s="22" t="str">
        <f t="shared" si="4"/>
        <v/>
      </c>
      <c r="I334" s="22" t="str">
        <f t="shared" si="1"/>
        <v>#N/A</v>
      </c>
      <c r="J334" s="22" t="str">
        <f t="shared" si="2"/>
        <v>#N/A</v>
      </c>
      <c r="K334" s="22" t="str">
        <f t="array" ref="K334">IF(H334="Crash",MATCH(TRUE, B335:B432 &gt;= B333, 0),"")</f>
        <v/>
      </c>
    </row>
    <row r="335" ht="15.75" customHeight="1">
      <c r="A335" s="32">
        <f>'EQUITY BACKTEST'!A338</f>
        <v>38492.66667</v>
      </c>
      <c r="B335" s="22">
        <f>'EQUITY BACKTEST'!B338</f>
        <v>1189.28</v>
      </c>
      <c r="C335" s="22">
        <f>1/'EQUITY BACKTEST'!E338</f>
        <v>0.796812749</v>
      </c>
      <c r="D335" s="22">
        <f t="shared" si="5"/>
        <v>-0.5659552878</v>
      </c>
      <c r="E335" s="22">
        <f t="shared" si="3"/>
        <v>0.03052727352</v>
      </c>
      <c r="F335" s="22">
        <f t="shared" si="6"/>
        <v>0.08753063389</v>
      </c>
      <c r="H335" s="22" t="str">
        <f t="shared" si="4"/>
        <v/>
      </c>
      <c r="I335" s="22" t="str">
        <f t="shared" si="1"/>
        <v>#N/A</v>
      </c>
      <c r="J335" s="22" t="str">
        <f t="shared" si="2"/>
        <v>#N/A</v>
      </c>
      <c r="K335" s="22" t="str">
        <f t="array" ref="K335">IF(H335="Crash",MATCH(TRUE, B336:B433 &gt;= B334, 0),"")</f>
        <v/>
      </c>
    </row>
    <row r="336" ht="15.75" customHeight="1">
      <c r="A336" s="32">
        <f>'EQUITY BACKTEST'!A339</f>
        <v>38499.66667</v>
      </c>
      <c r="B336" s="22">
        <f>'EQUITY BACKTEST'!B339</f>
        <v>1198.78</v>
      </c>
      <c r="C336" s="22">
        <f>1/'EQUITY BACKTEST'!E339</f>
        <v>0.7951021706</v>
      </c>
      <c r="D336" s="22">
        <f t="shared" si="5"/>
        <v>-0.3418044855</v>
      </c>
      <c r="E336" s="22">
        <f t="shared" si="3"/>
        <v>0.007988026369</v>
      </c>
      <c r="F336" s="22">
        <f t="shared" si="6"/>
        <v>0.06968983117</v>
      </c>
      <c r="H336" s="22" t="str">
        <f t="shared" si="4"/>
        <v/>
      </c>
      <c r="I336" s="22" t="str">
        <f t="shared" si="1"/>
        <v>#N/A</v>
      </c>
      <c r="J336" s="22" t="str">
        <f t="shared" si="2"/>
        <v>#N/A</v>
      </c>
      <c r="K336" s="22" t="str">
        <f t="array" ref="K336">IF(H336="Crash",MATCH(TRUE, B337:B434 &gt;= B335, 0),"")</f>
        <v/>
      </c>
    </row>
    <row r="337" ht="15.75" customHeight="1">
      <c r="A337" s="32">
        <f>'EQUITY BACKTEST'!A340</f>
        <v>38506.66667</v>
      </c>
      <c r="B337" s="22">
        <f>'EQUITY BACKTEST'!B340</f>
        <v>1196.02</v>
      </c>
      <c r="C337" s="22">
        <f>1/'EQUITY BACKTEST'!E340</f>
        <v>0.81799591</v>
      </c>
      <c r="D337" s="22">
        <f t="shared" si="5"/>
        <v>0.05444988815</v>
      </c>
      <c r="E337" s="22">
        <f t="shared" si="3"/>
        <v>-0.002302340713</v>
      </c>
      <c r="F337" s="22">
        <f t="shared" si="6"/>
        <v>0.06549665924</v>
      </c>
      <c r="H337" s="22" t="str">
        <f t="shared" si="4"/>
        <v/>
      </c>
      <c r="I337" s="22" t="str">
        <f t="shared" si="1"/>
        <v>#N/A</v>
      </c>
      <c r="J337" s="22" t="str">
        <f t="shared" si="2"/>
        <v>#N/A</v>
      </c>
      <c r="K337" s="22" t="str">
        <f t="array" ref="K337">IF(H337="Crash",MATCH(TRUE, B338:B435 &gt;= B336, 0),"")</f>
        <v/>
      </c>
    </row>
    <row r="338" ht="15.75" customHeight="1">
      <c r="A338" s="32">
        <f>'EQUITY BACKTEST'!A341</f>
        <v>38513.66667</v>
      </c>
      <c r="B338" s="22">
        <f>'EQUITY BACKTEST'!B341</f>
        <v>1198.11</v>
      </c>
      <c r="C338" s="22">
        <f>1/'EQUITY BACKTEST'!E341</f>
        <v>0.8244023083</v>
      </c>
      <c r="D338" s="22">
        <f t="shared" si="5"/>
        <v>0.4763163746</v>
      </c>
      <c r="E338" s="22">
        <f t="shared" si="3"/>
        <v>0.001747462417</v>
      </c>
      <c r="F338" s="22">
        <f t="shared" si="6"/>
        <v>0.05423812331</v>
      </c>
      <c r="H338" s="22" t="str">
        <f t="shared" si="4"/>
        <v/>
      </c>
      <c r="I338" s="22" t="str">
        <f t="shared" si="1"/>
        <v>#N/A</v>
      </c>
      <c r="J338" s="22" t="str">
        <f t="shared" si="2"/>
        <v>#N/A</v>
      </c>
      <c r="K338" s="22" t="str">
        <f t="array" ref="K338">IF(H338="Crash",MATCH(TRUE, B339:B436 &gt;= B337, 0),"")</f>
        <v/>
      </c>
    </row>
    <row r="339" ht="15.75" customHeight="1">
      <c r="A339" s="32">
        <f>'EQUITY BACKTEST'!A342</f>
        <v>38520.66667</v>
      </c>
      <c r="B339" s="22">
        <f>'EQUITY BACKTEST'!B342</f>
        <v>1216.96</v>
      </c>
      <c r="C339" s="22">
        <f>1/'EQUITY BACKTEST'!E342</f>
        <v>0.814863103</v>
      </c>
      <c r="D339" s="22">
        <f t="shared" si="5"/>
        <v>0.756805118</v>
      </c>
      <c r="E339" s="22">
        <f t="shared" si="3"/>
        <v>0.01573311299</v>
      </c>
      <c r="F339" s="22">
        <f t="shared" si="6"/>
        <v>0.07046664028</v>
      </c>
      <c r="H339" s="22" t="str">
        <f t="shared" si="4"/>
        <v/>
      </c>
      <c r="I339" s="22" t="str">
        <f t="shared" si="1"/>
        <v>#N/A</v>
      </c>
      <c r="J339" s="22" t="str">
        <f t="shared" si="2"/>
        <v>#N/A</v>
      </c>
      <c r="K339" s="22" t="str">
        <f t="array" ref="K339">IF(H339="Crash",MATCH(TRUE, B340:B437 &gt;= B338, 0),"")</f>
        <v/>
      </c>
    </row>
    <row r="340" ht="15.75" customHeight="1">
      <c r="A340" s="32">
        <f>'EQUITY BACKTEST'!A343</f>
        <v>38527.66667</v>
      </c>
      <c r="B340" s="22">
        <f>'EQUITY BACKTEST'!B343</f>
        <v>1191.57</v>
      </c>
      <c r="C340" s="22">
        <f>1/'EQUITY BACKTEST'!E343</f>
        <v>0.8270614507</v>
      </c>
      <c r="D340" s="22">
        <f t="shared" si="5"/>
        <v>0.7477185295</v>
      </c>
      <c r="E340" s="22">
        <f t="shared" si="3"/>
        <v>-0.02086346306</v>
      </c>
      <c r="F340" s="22">
        <f t="shared" si="6"/>
        <v>0.05036890773</v>
      </c>
      <c r="H340" s="22" t="str">
        <f t="shared" si="4"/>
        <v/>
      </c>
      <c r="I340" s="22" t="str">
        <f t="shared" si="1"/>
        <v>#N/A</v>
      </c>
      <c r="J340" s="22" t="str">
        <f t="shared" si="2"/>
        <v>#N/A</v>
      </c>
      <c r="K340" s="22" t="str">
        <f t="array" ref="K340">IF(H340="Crash",MATCH(TRUE, B341:B438 &gt;= B339, 0),"")</f>
        <v/>
      </c>
    </row>
    <row r="341" ht="15.75" customHeight="1">
      <c r="A341" s="32">
        <f>'EQUITY BACKTEST'!A344</f>
        <v>38534.66667</v>
      </c>
      <c r="B341" s="22">
        <f>'EQUITY BACKTEST'!B344</f>
        <v>1194.44</v>
      </c>
      <c r="C341" s="22">
        <f>1/'EQUITY BACKTEST'!E344</f>
        <v>0.8381527114</v>
      </c>
      <c r="D341" s="22">
        <f t="shared" si="5"/>
        <v>0.7371317351</v>
      </c>
      <c r="E341" s="22">
        <f t="shared" si="3"/>
        <v>0.00240858699</v>
      </c>
      <c r="F341" s="22">
        <f t="shared" si="6"/>
        <v>0.06136593862</v>
      </c>
      <c r="H341" s="22" t="str">
        <f t="shared" si="4"/>
        <v/>
      </c>
      <c r="I341" s="22" t="str">
        <f t="shared" si="1"/>
        <v>#N/A</v>
      </c>
      <c r="J341" s="22" t="str">
        <f t="shared" si="2"/>
        <v>#N/A</v>
      </c>
      <c r="K341" s="22" t="str">
        <f t="array" ref="K341">IF(H341="Crash",MATCH(TRUE, B342:B439 &gt;= B340, 0),"")</f>
        <v/>
      </c>
    </row>
    <row r="342" ht="15.75" customHeight="1">
      <c r="A342" s="32">
        <f>'EQUITY BACKTEST'!A345</f>
        <v>38541.66667</v>
      </c>
      <c r="B342" s="22">
        <f>'EQUITY BACKTEST'!B345</f>
        <v>1211.86</v>
      </c>
      <c r="C342" s="22">
        <f>1/'EQUITY BACKTEST'!E345</f>
        <v>0.8350730689</v>
      </c>
      <c r="D342" s="22">
        <f t="shared" si="5"/>
        <v>0.8046435002</v>
      </c>
      <c r="E342" s="22">
        <f t="shared" si="3"/>
        <v>0.01458424031</v>
      </c>
      <c r="F342" s="22">
        <f t="shared" si="6"/>
        <v>0.08900890538</v>
      </c>
      <c r="H342" s="22" t="str">
        <f t="shared" si="4"/>
        <v/>
      </c>
      <c r="I342" s="22" t="str">
        <f t="shared" si="1"/>
        <v>#N/A</v>
      </c>
      <c r="J342" s="22" t="str">
        <f t="shared" si="2"/>
        <v>#N/A</v>
      </c>
      <c r="K342" s="22" t="str">
        <f t="array" ref="K342">IF(H342="Crash",MATCH(TRUE, B343:B440 &gt;= B341, 0),"")</f>
        <v/>
      </c>
    </row>
    <row r="343" ht="15.75" customHeight="1">
      <c r="A343" s="32">
        <f>'EQUITY BACKTEST'!A346</f>
        <v>38548.66667</v>
      </c>
      <c r="B343" s="22">
        <f>'EQUITY BACKTEST'!B346</f>
        <v>1227.92</v>
      </c>
      <c r="C343" s="22">
        <f>1/'EQUITY BACKTEST'!E346</f>
        <v>0.8306337736</v>
      </c>
      <c r="D343" s="22">
        <f t="shared" si="5"/>
        <v>0.7974647904</v>
      </c>
      <c r="E343" s="22">
        <f t="shared" si="3"/>
        <v>0.01325235588</v>
      </c>
      <c r="F343" s="22">
        <f t="shared" si="6"/>
        <v>0.1148821035</v>
      </c>
      <c r="H343" s="22" t="str">
        <f t="shared" si="4"/>
        <v/>
      </c>
      <c r="I343" s="22" t="str">
        <f t="shared" si="1"/>
        <v>#N/A</v>
      </c>
      <c r="J343" s="22" t="str">
        <f t="shared" si="2"/>
        <v>#N/A</v>
      </c>
      <c r="K343" s="22" t="str">
        <f t="array" ref="K343">IF(H343="Crash",MATCH(TRUE, B344:B441 &gt;= B342, 0),"")</f>
        <v/>
      </c>
    </row>
    <row r="344" ht="15.75" customHeight="1">
      <c r="A344" s="32">
        <f>'EQUITY BACKTEST'!A347</f>
        <v>38555.66667</v>
      </c>
      <c r="B344" s="22">
        <f>'EQUITY BACKTEST'!B347</f>
        <v>1233.68</v>
      </c>
      <c r="C344" s="22">
        <f>1/'EQUITY BACKTEST'!E347</f>
        <v>0.8296001327</v>
      </c>
      <c r="D344" s="22">
        <f t="shared" si="5"/>
        <v>0.7447650218</v>
      </c>
      <c r="E344" s="22">
        <f t="shared" si="3"/>
        <v>0.004690859339</v>
      </c>
      <c r="F344" s="22">
        <f t="shared" si="6"/>
        <v>0.1357761002</v>
      </c>
      <c r="H344" s="22" t="str">
        <f t="shared" si="4"/>
        <v/>
      </c>
      <c r="I344" s="22" t="str">
        <f t="shared" si="1"/>
        <v>#N/A</v>
      </c>
      <c r="J344" s="22" t="str">
        <f t="shared" si="2"/>
        <v>#N/A</v>
      </c>
      <c r="K344" s="22" t="str">
        <f t="array" ref="K344">IF(H344="Crash",MATCH(TRUE, B345:B442 &gt;= B343, 0),"")</f>
        <v/>
      </c>
    </row>
    <row r="345" ht="15.75" customHeight="1">
      <c r="A345" s="32">
        <f>'EQUITY BACKTEST'!A348</f>
        <v>38562.66667</v>
      </c>
      <c r="B345" s="22">
        <f>'EQUITY BACKTEST'!B348</f>
        <v>1234.18</v>
      </c>
      <c r="C345" s="22">
        <f>1/'EQUITY BACKTEST'!E348</f>
        <v>0.8248783304</v>
      </c>
      <c r="D345" s="22">
        <f t="shared" si="5"/>
        <v>0.6581305181</v>
      </c>
      <c r="E345" s="22">
        <f t="shared" si="3"/>
        <v>0.0004052914856</v>
      </c>
      <c r="F345" s="22">
        <f t="shared" si="6"/>
        <v>0.1202301855</v>
      </c>
      <c r="H345" s="22" t="str">
        <f t="shared" si="4"/>
        <v/>
      </c>
      <c r="I345" s="22" t="str">
        <f t="shared" si="1"/>
        <v>#N/A</v>
      </c>
      <c r="J345" s="22" t="str">
        <f t="shared" si="2"/>
        <v>#N/A</v>
      </c>
      <c r="K345" s="22" t="str">
        <f t="array" ref="K345">IF(H345="Crash",MATCH(TRUE, B346:B443 &gt;= B344, 0),"")</f>
        <v/>
      </c>
    </row>
    <row r="346" ht="15.75" customHeight="1">
      <c r="A346" s="32">
        <f>'EQUITY BACKTEST'!A349</f>
        <v>38569.66667</v>
      </c>
      <c r="B346" s="22">
        <f>'EQUITY BACKTEST'!B349</f>
        <v>1226.42</v>
      </c>
      <c r="C346" s="22">
        <f>1/'EQUITY BACKTEST'!E349</f>
        <v>0.8020532563</v>
      </c>
      <c r="D346" s="22">
        <f t="shared" si="5"/>
        <v>0.4507296881</v>
      </c>
      <c r="E346" s="22">
        <f t="shared" si="3"/>
        <v>-0.006287575556</v>
      </c>
      <c r="F346" s="22">
        <f t="shared" si="6"/>
        <v>0.1526828764</v>
      </c>
      <c r="H346" s="22" t="str">
        <f t="shared" si="4"/>
        <v/>
      </c>
      <c r="I346" s="22" t="str">
        <f t="shared" si="1"/>
        <v>#N/A</v>
      </c>
      <c r="J346" s="22" t="str">
        <f t="shared" si="2"/>
        <v>#N/A</v>
      </c>
      <c r="K346" s="22" t="str">
        <f t="array" ref="K346">IF(H346="Crash",MATCH(TRUE, B347:B444 &gt;= B345, 0),"")</f>
        <v/>
      </c>
    </row>
    <row r="347" ht="15.75" customHeight="1">
      <c r="A347" s="32">
        <f>'EQUITY BACKTEST'!A350</f>
        <v>38576.66667</v>
      </c>
      <c r="B347" s="22">
        <f>'EQUITY BACKTEST'!B350</f>
        <v>1230.39</v>
      </c>
      <c r="C347" s="22">
        <f>1/'EQUITY BACKTEST'!E350</f>
        <v>0.8040524242</v>
      </c>
      <c r="D347" s="22">
        <f t="shared" si="5"/>
        <v>0.0846664504</v>
      </c>
      <c r="E347" s="22">
        <f t="shared" si="3"/>
        <v>0.003237063975</v>
      </c>
      <c r="F347" s="22">
        <f t="shared" si="6"/>
        <v>0.1555127724</v>
      </c>
      <c r="H347" s="22" t="str">
        <f t="shared" si="4"/>
        <v/>
      </c>
      <c r="I347" s="22" t="str">
        <f t="shared" si="1"/>
        <v>#N/A</v>
      </c>
      <c r="J347" s="22" t="str">
        <f t="shared" si="2"/>
        <v>#N/A</v>
      </c>
      <c r="K347" s="22" t="str">
        <f t="array" ref="K347">IF(H347="Crash",MATCH(TRUE, B348:B445 &gt;= B346, 0),"")</f>
        <v/>
      </c>
    </row>
    <row r="348" ht="15.75" customHeight="1">
      <c r="A348" s="32">
        <f>'EQUITY BACKTEST'!A351</f>
        <v>38583.66667</v>
      </c>
      <c r="B348" s="22">
        <f>'EQUITY BACKTEST'!B351</f>
        <v>1219.71</v>
      </c>
      <c r="C348" s="22">
        <f>1/'EQUITY BACKTEST'!E351</f>
        <v>0.8233163181</v>
      </c>
      <c r="D348" s="22">
        <f t="shared" si="5"/>
        <v>-0.09541879915</v>
      </c>
      <c r="E348" s="22">
        <f t="shared" si="3"/>
        <v>-0.008680174579</v>
      </c>
      <c r="F348" s="22">
        <f t="shared" si="6"/>
        <v>0.1104930122</v>
      </c>
      <c r="H348" s="22" t="str">
        <f t="shared" si="4"/>
        <v/>
      </c>
      <c r="I348" s="22" t="str">
        <f t="shared" si="1"/>
        <v>#N/A</v>
      </c>
      <c r="J348" s="22" t="str">
        <f t="shared" si="2"/>
        <v>#N/A</v>
      </c>
      <c r="K348" s="22" t="str">
        <f t="array" ref="K348">IF(H348="Crash",MATCH(TRUE, B349:B446 &gt;= B347, 0),"")</f>
        <v/>
      </c>
    </row>
    <row r="349" ht="15.75" customHeight="1">
      <c r="A349" s="32">
        <f>'EQUITY BACKTEST'!A352</f>
        <v>38590.66667</v>
      </c>
      <c r="B349" s="22">
        <f>'EQUITY BACKTEST'!B352</f>
        <v>1205.1</v>
      </c>
      <c r="C349" s="22">
        <f>1/'EQUITY BACKTEST'!E352</f>
        <v>0.8138020833</v>
      </c>
      <c r="D349" s="22">
        <f t="shared" si="5"/>
        <v>-0.2765209697</v>
      </c>
      <c r="E349" s="22">
        <f t="shared" si="3"/>
        <v>-0.01197825713</v>
      </c>
      <c r="F349" s="22">
        <f t="shared" si="6"/>
        <v>0.08786119862</v>
      </c>
      <c r="H349" s="22" t="str">
        <f t="shared" si="4"/>
        <v/>
      </c>
      <c r="I349" s="22" t="str">
        <f t="shared" si="1"/>
        <v>#N/A</v>
      </c>
      <c r="J349" s="22" t="str">
        <f t="shared" si="2"/>
        <v>#N/A</v>
      </c>
      <c r="K349" s="22" t="str">
        <f t="array" ref="K349">IF(H349="Crash",MATCH(TRUE, B350:B447 &gt;= B348, 0),"")</f>
        <v/>
      </c>
    </row>
    <row r="350" ht="15.75" customHeight="1">
      <c r="A350" s="32">
        <f>'EQUITY BACKTEST'!A353</f>
        <v>38597.66667</v>
      </c>
      <c r="B350" s="22">
        <f>'EQUITY BACKTEST'!B353</f>
        <v>1218.02</v>
      </c>
      <c r="C350" s="22">
        <f>1/'EQUITY BACKTEST'!E353</f>
        <v>0.7984669435</v>
      </c>
      <c r="D350" s="22">
        <f t="shared" si="5"/>
        <v>-0.3095211728</v>
      </c>
      <c r="E350" s="22">
        <f t="shared" si="3"/>
        <v>0.01072110198</v>
      </c>
      <c r="F350" s="22">
        <f t="shared" si="6"/>
        <v>0.09373849483</v>
      </c>
      <c r="H350" s="22" t="str">
        <f t="shared" si="4"/>
        <v/>
      </c>
      <c r="I350" s="22" t="str">
        <f t="shared" si="1"/>
        <v>#N/A</v>
      </c>
      <c r="J350" s="22" t="str">
        <f t="shared" si="2"/>
        <v>#N/A</v>
      </c>
      <c r="K350" s="22" t="str">
        <f t="array" ref="K350">IF(H350="Crash",MATCH(TRUE, B351:B448 &gt;= B349, 0),"")</f>
        <v/>
      </c>
    </row>
    <row r="351" ht="15.75" customHeight="1">
      <c r="A351" s="32">
        <f>'EQUITY BACKTEST'!A354</f>
        <v>38604.66667</v>
      </c>
      <c r="B351" s="22">
        <f>'EQUITY BACKTEST'!B354</f>
        <v>1241.48</v>
      </c>
      <c r="C351" s="22">
        <f>1/'EQUITY BACKTEST'!E354</f>
        <v>0.807102502</v>
      </c>
      <c r="D351" s="22">
        <f t="shared" si="5"/>
        <v>-0.3764974331</v>
      </c>
      <c r="E351" s="22">
        <f t="shared" si="3"/>
        <v>0.01926076748</v>
      </c>
      <c r="F351" s="22">
        <f t="shared" si="6"/>
        <v>0.104598192</v>
      </c>
      <c r="H351" s="22" t="str">
        <f t="shared" si="4"/>
        <v/>
      </c>
      <c r="I351" s="22" t="str">
        <f t="shared" si="1"/>
        <v>#N/A</v>
      </c>
      <c r="J351" s="22" t="str">
        <f t="shared" si="2"/>
        <v>#N/A</v>
      </c>
      <c r="K351" s="22" t="str">
        <f t="array" ref="K351">IF(H351="Crash",MATCH(TRUE, B352:B449 &gt;= B350, 0),"")</f>
        <v/>
      </c>
    </row>
    <row r="352" ht="15.75" customHeight="1">
      <c r="A352" s="32">
        <f>'EQUITY BACKTEST'!A355</f>
        <v>38611.66667</v>
      </c>
      <c r="B352" s="22">
        <f>'EQUITY BACKTEST'!B355</f>
        <v>1237.91</v>
      </c>
      <c r="C352" s="22">
        <f>1/'EQUITY BACKTEST'!E355</f>
        <v>0.8174609662</v>
      </c>
      <c r="D352" s="22">
        <f t="shared" si="5"/>
        <v>-0.3770412884</v>
      </c>
      <c r="E352" s="22">
        <f t="shared" si="3"/>
        <v>-0.00287560009</v>
      </c>
      <c r="F352" s="22">
        <f t="shared" si="6"/>
        <v>0.09690310576</v>
      </c>
      <c r="H352" s="22" t="str">
        <f t="shared" si="4"/>
        <v/>
      </c>
      <c r="I352" s="22" t="str">
        <f t="shared" si="1"/>
        <v>#N/A</v>
      </c>
      <c r="J352" s="22" t="str">
        <f t="shared" si="2"/>
        <v>#N/A</v>
      </c>
      <c r="K352" s="22" t="str">
        <f t="array" ref="K352">IF(H352="Crash",MATCH(TRUE, B353:B450 &gt;= B351, 0),"")</f>
        <v/>
      </c>
    </row>
    <row r="353" ht="15.75" customHeight="1">
      <c r="A353" s="32">
        <f>'EQUITY BACKTEST'!A356</f>
        <v>38618.66667</v>
      </c>
      <c r="B353" s="22">
        <f>'EQUITY BACKTEST'!B356</f>
        <v>1215.29</v>
      </c>
      <c r="C353" s="22">
        <f>1/'EQUITY BACKTEST'!E356</f>
        <v>0.8308408109</v>
      </c>
      <c r="D353" s="22">
        <f t="shared" si="5"/>
        <v>-0.3670728922</v>
      </c>
      <c r="E353" s="22">
        <f t="shared" si="3"/>
        <v>-0.01827273388</v>
      </c>
      <c r="F353" s="22">
        <f t="shared" si="6"/>
        <v>0.09474736738</v>
      </c>
      <c r="H353" s="22" t="str">
        <f t="shared" si="4"/>
        <v/>
      </c>
      <c r="I353" s="22" t="str">
        <f t="shared" si="1"/>
        <v>#N/A</v>
      </c>
      <c r="J353" s="22" t="str">
        <f t="shared" si="2"/>
        <v>#N/A</v>
      </c>
      <c r="K353" s="22" t="str">
        <f t="array" ref="K353">IF(H353="Crash",MATCH(TRUE, B354:B451 &gt;= B352, 0),"")</f>
        <v/>
      </c>
    </row>
    <row r="354" ht="15.75" customHeight="1">
      <c r="A354" s="32">
        <f>'EQUITY BACKTEST'!A357</f>
        <v>38625.66667</v>
      </c>
      <c r="B354" s="22">
        <f>'EQUITY BACKTEST'!B357</f>
        <v>1228.81</v>
      </c>
      <c r="C354" s="22">
        <f>1/'EQUITY BACKTEST'!E357</f>
        <v>0.8316008316</v>
      </c>
      <c r="D354" s="22">
        <f t="shared" si="5"/>
        <v>-0.1185719618</v>
      </c>
      <c r="E354" s="22">
        <f t="shared" si="3"/>
        <v>0.01112491669</v>
      </c>
      <c r="F354" s="22">
        <f t="shared" si="6"/>
        <v>0.08600088378</v>
      </c>
      <c r="H354" s="22" t="str">
        <f t="shared" si="4"/>
        <v/>
      </c>
      <c r="I354" s="22" t="str">
        <f t="shared" si="1"/>
        <v>#N/A</v>
      </c>
      <c r="J354" s="22" t="str">
        <f t="shared" si="2"/>
        <v>#N/A</v>
      </c>
      <c r="K354" s="22" t="str">
        <f t="array" ref="K354">IF(H354="Crash",MATCH(TRUE, B355:B452 &gt;= B353, 0),"")</f>
        <v/>
      </c>
    </row>
    <row r="355" ht="15.75" customHeight="1">
      <c r="A355" s="32">
        <f>'EQUITY BACKTEST'!A358</f>
        <v>38632.66667</v>
      </c>
      <c r="B355" s="22">
        <f>'EQUITY BACKTEST'!B358</f>
        <v>1195.9</v>
      </c>
      <c r="C355" s="22">
        <f>1/'EQUITY BACKTEST'!E358</f>
        <v>0.8246062505</v>
      </c>
      <c r="D355" s="22">
        <f t="shared" si="5"/>
        <v>-0.08140375894</v>
      </c>
      <c r="E355" s="22">
        <f t="shared" si="3"/>
        <v>-0.02678200861</v>
      </c>
      <c r="F355" s="22">
        <f t="shared" si="6"/>
        <v>0.06573154865</v>
      </c>
      <c r="H355" s="22" t="str">
        <f t="shared" si="4"/>
        <v/>
      </c>
      <c r="I355" s="22" t="str">
        <f t="shared" si="1"/>
        <v>#N/A</v>
      </c>
      <c r="J355" s="22" t="str">
        <f t="shared" si="2"/>
        <v>#N/A</v>
      </c>
      <c r="K355" s="22" t="str">
        <f t="array" ref="K355">IF(H355="Crash",MATCH(TRUE, B356:B453 &gt;= B354, 0),"")</f>
        <v/>
      </c>
    </row>
    <row r="356" ht="15.75" customHeight="1">
      <c r="A356" s="32">
        <f>'EQUITY BACKTEST'!A359</f>
        <v>38639.66667</v>
      </c>
      <c r="B356" s="22">
        <f>'EQUITY BACKTEST'!B359</f>
        <v>1186.57</v>
      </c>
      <c r="C356" s="22">
        <f>1/'EQUITY BACKTEST'!E359</f>
        <v>0.82822594</v>
      </c>
      <c r="D356" s="22">
        <f t="shared" si="5"/>
        <v>-0.2451356254</v>
      </c>
      <c r="E356" s="22">
        <f t="shared" si="3"/>
        <v>-0.007801655657</v>
      </c>
      <c r="F356" s="22">
        <f t="shared" si="6"/>
        <v>0.0707182819</v>
      </c>
      <c r="H356" s="22" t="str">
        <f t="shared" si="4"/>
        <v/>
      </c>
      <c r="I356" s="22" t="str">
        <f t="shared" si="1"/>
        <v>#N/A</v>
      </c>
      <c r="J356" s="22" t="str">
        <f t="shared" si="2"/>
        <v>#N/A</v>
      </c>
      <c r="K356" s="22" t="str">
        <f t="array" ref="K356">IF(H356="Crash",MATCH(TRUE, B357:B454 &gt;= B355, 0),"")</f>
        <v/>
      </c>
    </row>
    <row r="357" ht="15.75" customHeight="1">
      <c r="A357" s="32">
        <f>'EQUITY BACKTEST'!A360</f>
        <v>38646.66667</v>
      </c>
      <c r="B357" s="22">
        <f>'EQUITY BACKTEST'!B360</f>
        <v>1179.59</v>
      </c>
      <c r="C357" s="22">
        <f>1/'EQUITY BACKTEST'!E360</f>
        <v>0.8357011533</v>
      </c>
      <c r="D357" s="22">
        <f t="shared" si="5"/>
        <v>-0.4854974258</v>
      </c>
      <c r="E357" s="22">
        <f t="shared" si="3"/>
        <v>-0.005882501664</v>
      </c>
      <c r="F357" s="22">
        <f t="shared" si="6"/>
        <v>0.07652362787</v>
      </c>
      <c r="H357" s="22" t="str">
        <f t="shared" si="4"/>
        <v/>
      </c>
      <c r="I357" s="22" t="str">
        <f t="shared" si="1"/>
        <v>#N/A</v>
      </c>
      <c r="J357" s="22" t="str">
        <f t="shared" si="2"/>
        <v>#N/A</v>
      </c>
      <c r="K357" s="22" t="str">
        <f t="array" ref="K357">IF(H357="Crash",MATCH(TRUE, B358:B455 &gt;= B356, 0),"")</f>
        <v/>
      </c>
    </row>
    <row r="358" ht="15.75" customHeight="1">
      <c r="A358" s="32">
        <f>'EQUITY BACKTEST'!A361</f>
        <v>38653.66667</v>
      </c>
      <c r="B358" s="22">
        <f>'EQUITY BACKTEST'!B361</f>
        <v>1198.41</v>
      </c>
      <c r="C358" s="22">
        <f>1/'EQUITY BACKTEST'!E361</f>
        <v>0.8290499088</v>
      </c>
      <c r="D358" s="22">
        <f t="shared" si="5"/>
        <v>-0.5770667675</v>
      </c>
      <c r="E358" s="22">
        <f t="shared" si="3"/>
        <v>0.01595469612</v>
      </c>
      <c r="F358" s="22">
        <f t="shared" si="6"/>
        <v>0.06035215006</v>
      </c>
      <c r="H358" s="22" t="str">
        <f t="shared" si="4"/>
        <v/>
      </c>
      <c r="I358" s="22" t="str">
        <f t="shared" si="1"/>
        <v>#N/A</v>
      </c>
      <c r="J358" s="22" t="str">
        <f t="shared" si="2"/>
        <v>#N/A</v>
      </c>
      <c r="K358" s="22" t="str">
        <f t="array" ref="K358">IF(H358="Crash",MATCH(TRUE, B359:B456 &gt;= B357, 0),"")</f>
        <v/>
      </c>
    </row>
    <row r="359" ht="15.75" customHeight="1">
      <c r="A359" s="32">
        <f>'EQUITY BACKTEST'!A362</f>
        <v>38660.66667</v>
      </c>
      <c r="B359" s="22">
        <f>'EQUITY BACKTEST'!B362</f>
        <v>1220.14</v>
      </c>
      <c r="C359" s="22">
        <f>1/'EQUITY BACKTEST'!E362</f>
        <v>0.8465966813</v>
      </c>
      <c r="D359" s="22">
        <f t="shared" si="5"/>
        <v>-0.4157079742</v>
      </c>
      <c r="E359" s="22">
        <f t="shared" si="3"/>
        <v>0.01813235871</v>
      </c>
      <c r="F359" s="22">
        <f t="shared" si="6"/>
        <v>0.04627970193</v>
      </c>
      <c r="H359" s="22" t="str">
        <f t="shared" si="4"/>
        <v/>
      </c>
      <c r="I359" s="22" t="str">
        <f t="shared" si="1"/>
        <v>#N/A</v>
      </c>
      <c r="J359" s="22" t="str">
        <f t="shared" si="2"/>
        <v>#N/A</v>
      </c>
      <c r="K359" s="22" t="str">
        <f t="array" ref="K359">IF(H359="Crash",MATCH(TRUE, B360:B457 &gt;= B358, 0),"")</f>
        <v/>
      </c>
    </row>
    <row r="360" ht="15.75" customHeight="1">
      <c r="A360" s="32">
        <f>'EQUITY BACKTEST'!A363</f>
        <v>38667.66667</v>
      </c>
      <c r="B360" s="22">
        <f>'EQUITY BACKTEST'!B363</f>
        <v>1234.72</v>
      </c>
      <c r="C360" s="22">
        <f>1/'EQUITY BACKTEST'!E363</f>
        <v>0.852151683</v>
      </c>
      <c r="D360" s="22">
        <f t="shared" si="5"/>
        <v>-0.1148228344</v>
      </c>
      <c r="E360" s="22">
        <f t="shared" si="3"/>
        <v>0.01194944842</v>
      </c>
      <c r="F360" s="22">
        <f t="shared" si="6"/>
        <v>0.04268812755</v>
      </c>
      <c r="H360" s="22" t="str">
        <f t="shared" si="4"/>
        <v/>
      </c>
      <c r="I360" s="22" t="str">
        <f t="shared" si="1"/>
        <v>#N/A</v>
      </c>
      <c r="J360" s="22" t="str">
        <f t="shared" si="2"/>
        <v>#N/A</v>
      </c>
      <c r="K360" s="22" t="str">
        <f t="array" ref="K360">IF(H360="Crash",MATCH(TRUE, B361:B458 &gt;= B359, 0),"")</f>
        <v/>
      </c>
    </row>
    <row r="361" ht="15.75" customHeight="1">
      <c r="A361" s="32">
        <f>'EQUITY BACKTEST'!A364</f>
        <v>38674.66667</v>
      </c>
      <c r="B361" s="22">
        <f>'EQUITY BACKTEST'!B364</f>
        <v>1248.27</v>
      </c>
      <c r="C361" s="22">
        <f>1/'EQUITY BACKTEST'!E364</f>
        <v>0.8493290301</v>
      </c>
      <c r="D361" s="22">
        <f t="shared" si="5"/>
        <v>0.08442830819</v>
      </c>
      <c r="E361" s="22">
        <f t="shared" si="3"/>
        <v>0.01097414798</v>
      </c>
      <c r="F361" s="22">
        <f t="shared" si="6"/>
        <v>0.0665874874</v>
      </c>
      <c r="H361" s="22" t="str">
        <f t="shared" si="4"/>
        <v/>
      </c>
      <c r="I361" s="22" t="str">
        <f t="shared" si="1"/>
        <v>#N/A</v>
      </c>
      <c r="J361" s="22" t="str">
        <f t="shared" si="2"/>
        <v>#N/A</v>
      </c>
      <c r="K361" s="22" t="str">
        <f t="array" ref="K361">IF(H361="Crash",MATCH(TRUE, B362:B459 &gt;= B360, 0),"")</f>
        <v/>
      </c>
    </row>
    <row r="362" ht="15.75" customHeight="1">
      <c r="A362" s="32">
        <f>'EQUITY BACKTEST'!A365</f>
        <v>38681.66667</v>
      </c>
      <c r="B362" s="22">
        <f>'EQUITY BACKTEST'!B365</f>
        <v>1268.25</v>
      </c>
      <c r="C362" s="22">
        <f>1/'EQUITY BACKTEST'!E365</f>
        <v>0.8532423208</v>
      </c>
      <c r="D362" s="22">
        <f t="shared" si="5"/>
        <v>0.2519987644</v>
      </c>
      <c r="E362" s="22">
        <f t="shared" si="3"/>
        <v>0.01600615252</v>
      </c>
      <c r="F362" s="22">
        <f t="shared" si="6"/>
        <v>0.07237982497</v>
      </c>
      <c r="H362" s="22" t="str">
        <f t="shared" si="4"/>
        <v/>
      </c>
      <c r="I362" s="22" t="str">
        <f t="shared" si="1"/>
        <v>#N/A</v>
      </c>
      <c r="J362" s="22" t="str">
        <f t="shared" si="2"/>
        <v>#N/A</v>
      </c>
      <c r="K362" s="22" t="str">
        <f t="array" ref="K362">IF(H362="Crash",MATCH(TRUE, B363:B460 &gt;= B361, 0),"")</f>
        <v/>
      </c>
    </row>
    <row r="363" ht="15.75" customHeight="1">
      <c r="A363" s="32">
        <f>'EQUITY BACKTEST'!A366</f>
        <v>38688.66667</v>
      </c>
      <c r="B363" s="22">
        <f>'EQUITY BACKTEST'!B366</f>
        <v>1265.08</v>
      </c>
      <c r="C363" s="22">
        <f>1/'EQUITY BACKTEST'!E366</f>
        <v>0.8540438979</v>
      </c>
      <c r="D363" s="22">
        <f t="shared" si="5"/>
        <v>0.3998598547</v>
      </c>
      <c r="E363" s="22">
        <f t="shared" si="3"/>
        <v>-0.002499507195</v>
      </c>
      <c r="F363" s="22">
        <f t="shared" si="6"/>
        <v>0.06204823829</v>
      </c>
      <c r="H363" s="22" t="str">
        <f t="shared" si="4"/>
        <v/>
      </c>
      <c r="I363" s="22" t="str">
        <f t="shared" si="1"/>
        <v>#N/A</v>
      </c>
      <c r="J363" s="22" t="str">
        <f t="shared" si="2"/>
        <v>#N/A</v>
      </c>
      <c r="K363" s="22" t="str">
        <f t="array" ref="K363">IF(H363="Crash",MATCH(TRUE, B364:B461 &gt;= B362, 0),"")</f>
        <v/>
      </c>
    </row>
    <row r="364" ht="15.75" customHeight="1">
      <c r="A364" s="32">
        <f>'EQUITY BACKTEST'!A367</f>
        <v>38695.66667</v>
      </c>
      <c r="B364" s="22">
        <f>'EQUITY BACKTEST'!B367</f>
        <v>1259.37</v>
      </c>
      <c r="C364" s="22">
        <f>1/'EQUITY BACKTEST'!E367</f>
        <v>0.8464533604</v>
      </c>
      <c r="D364" s="22">
        <f t="shared" si="5"/>
        <v>0.6403514573</v>
      </c>
      <c r="E364" s="22">
        <f t="shared" si="3"/>
        <v>-0.00451354855</v>
      </c>
      <c r="F364" s="22">
        <f t="shared" si="6"/>
        <v>0.06007575758</v>
      </c>
      <c r="H364" s="22" t="str">
        <f t="shared" si="4"/>
        <v/>
      </c>
      <c r="I364" s="22" t="str">
        <f t="shared" si="1"/>
        <v>#N/A</v>
      </c>
      <c r="J364" s="22" t="str">
        <f t="shared" si="2"/>
        <v>#N/A</v>
      </c>
      <c r="K364" s="22" t="str">
        <f t="array" ref="K364">IF(H364="Crash",MATCH(TRUE, B365:B462 &gt;= B363, 0),"")</f>
        <v/>
      </c>
    </row>
    <row r="365" ht="15.75" customHeight="1">
      <c r="A365" s="32">
        <f>'EQUITY BACKTEST'!A368</f>
        <v>38702.66667</v>
      </c>
      <c r="B365" s="22">
        <f>'EQUITY BACKTEST'!B368</f>
        <v>1267.32</v>
      </c>
      <c r="C365" s="22">
        <f>1/'EQUITY BACKTEST'!E368</f>
        <v>0.832570144</v>
      </c>
      <c r="D365" s="22">
        <f t="shared" si="5"/>
        <v>0.6770385958</v>
      </c>
      <c r="E365" s="22">
        <f t="shared" si="3"/>
        <v>0.00631268015</v>
      </c>
      <c r="F365" s="22">
        <f t="shared" si="6"/>
        <v>0.06121150207</v>
      </c>
      <c r="H365" s="22" t="str">
        <f t="shared" si="4"/>
        <v/>
      </c>
      <c r="I365" s="22" t="str">
        <f t="shared" si="1"/>
        <v>#N/A</v>
      </c>
      <c r="J365" s="22" t="str">
        <f t="shared" si="2"/>
        <v>#N/A</v>
      </c>
      <c r="K365" s="22" t="str">
        <f t="array" ref="K365">IF(H365="Crash",MATCH(TRUE, B366:B463 &gt;= B364, 0),"")</f>
        <v/>
      </c>
    </row>
    <row r="366" ht="15.75" customHeight="1">
      <c r="A366" s="32">
        <f>'EQUITY BACKTEST'!A369</f>
        <v>38709.66667</v>
      </c>
      <c r="B366" s="22">
        <f>'EQUITY BACKTEST'!B369</f>
        <v>1268.66</v>
      </c>
      <c r="C366" s="22">
        <f>1/'EQUITY BACKTEST'!E369</f>
        <v>0.8423890152</v>
      </c>
      <c r="D366" s="22">
        <f t="shared" si="5"/>
        <v>0.6525014431</v>
      </c>
      <c r="E366" s="22">
        <f t="shared" si="3"/>
        <v>0.001057349367</v>
      </c>
      <c r="F366" s="22">
        <f t="shared" si="6"/>
        <v>0.0483667044</v>
      </c>
      <c r="H366" s="22" t="str">
        <f t="shared" si="4"/>
        <v/>
      </c>
      <c r="I366" s="22" t="str">
        <f t="shared" si="1"/>
        <v>#N/A</v>
      </c>
      <c r="J366" s="22" t="str">
        <f t="shared" si="2"/>
        <v>#N/A</v>
      </c>
      <c r="K366" s="22" t="str">
        <f t="array" ref="K366">IF(H366="Crash",MATCH(TRUE, B367:B464 &gt;= B365, 0),"")</f>
        <v/>
      </c>
    </row>
    <row r="367" ht="15.75" customHeight="1">
      <c r="A367" s="32">
        <f>'EQUITY BACKTEST'!A370</f>
        <v>38716.66667</v>
      </c>
      <c r="B367" s="22">
        <f>'EQUITY BACKTEST'!B370</f>
        <v>1248.29</v>
      </c>
      <c r="C367" s="22">
        <f>1/'EQUITY BACKTEST'!E370</f>
        <v>0.8457374831</v>
      </c>
      <c r="D367" s="22">
        <f t="shared" si="5"/>
        <v>0.6715062748</v>
      </c>
      <c r="E367" s="22">
        <f t="shared" si="3"/>
        <v>-0.01605631138</v>
      </c>
      <c r="F367" s="22">
        <f t="shared" si="6"/>
        <v>0.0300102317</v>
      </c>
      <c r="H367" s="22" t="str">
        <f t="shared" si="4"/>
        <v/>
      </c>
      <c r="I367" s="22" t="str">
        <f t="shared" si="1"/>
        <v>#N/A</v>
      </c>
      <c r="J367" s="22" t="str">
        <f t="shared" si="2"/>
        <v>#N/A</v>
      </c>
      <c r="K367" s="22" t="str">
        <f t="array" ref="K367">IF(H367="Crash",MATCH(TRUE, B368:B465 &gt;= B366, 0),"")</f>
        <v/>
      </c>
    </row>
    <row r="368" ht="15.75" customHeight="1">
      <c r="A368" s="32">
        <f>'EQUITY BACKTEST'!A371</f>
        <v>38723.66667</v>
      </c>
      <c r="B368" s="22">
        <f>'EQUITY BACKTEST'!B371</f>
        <v>1285.45</v>
      </c>
      <c r="C368" s="22">
        <f>1/'EQUITY BACKTEST'!E371</f>
        <v>0.8229098091</v>
      </c>
      <c r="D368" s="22">
        <f t="shared" si="5"/>
        <v>0.2758719418</v>
      </c>
      <c r="E368" s="22">
        <f t="shared" si="3"/>
        <v>0.02976872361</v>
      </c>
      <c r="F368" s="22">
        <f t="shared" si="6"/>
        <v>0.08367968032</v>
      </c>
      <c r="H368" s="22" t="str">
        <f t="shared" si="4"/>
        <v/>
      </c>
      <c r="I368" s="22" t="str">
        <f t="shared" si="1"/>
        <v>#N/A</v>
      </c>
      <c r="J368" s="22" t="str">
        <f t="shared" si="2"/>
        <v>#N/A</v>
      </c>
      <c r="K368" s="22" t="str">
        <f t="array" ref="K368">IF(H368="Crash",MATCH(TRUE, B369:B466 &gt;= B367, 0),"")</f>
        <v/>
      </c>
    </row>
    <row r="369" ht="15.75" customHeight="1">
      <c r="A369" s="32">
        <f>'EQUITY BACKTEST'!A372</f>
        <v>38730.66667</v>
      </c>
      <c r="B369" s="22">
        <f>'EQUITY BACKTEST'!B372</f>
        <v>1287.61</v>
      </c>
      <c r="C369" s="22">
        <f>1/'EQUITY BACKTEST'!E372</f>
        <v>0.8252867872</v>
      </c>
      <c r="D369" s="22">
        <f t="shared" si="5"/>
        <v>-0.05852676177</v>
      </c>
      <c r="E369" s="22">
        <f t="shared" si="3"/>
        <v>0.001680345404</v>
      </c>
      <c r="F369" s="22">
        <f t="shared" si="6"/>
        <v>0.08704021072</v>
      </c>
      <c r="H369" s="22" t="str">
        <f t="shared" si="4"/>
        <v/>
      </c>
      <c r="I369" s="22" t="str">
        <f t="shared" si="1"/>
        <v>#N/A</v>
      </c>
      <c r="J369" s="22" t="str">
        <f t="shared" si="2"/>
        <v>#N/A</v>
      </c>
      <c r="K369" s="22" t="str">
        <f t="array" ref="K369">IF(H369="Crash",MATCH(TRUE, B370:B467 &gt;= B368, 0),"")</f>
        <v/>
      </c>
    </row>
    <row r="370" ht="15.75" customHeight="1">
      <c r="A370" s="32">
        <f>'EQUITY BACKTEST'!A373</f>
        <v>38737.66667</v>
      </c>
      <c r="B370" s="22">
        <f>'EQUITY BACKTEST'!B373</f>
        <v>1261.49</v>
      </c>
      <c r="C370" s="22">
        <f>1/'EQUITY BACKTEST'!E373</f>
        <v>0.8239947264</v>
      </c>
      <c r="D370" s="22">
        <f t="shared" si="5"/>
        <v>-0.2178025248</v>
      </c>
      <c r="E370" s="22">
        <f t="shared" si="3"/>
        <v>-0.0202856455</v>
      </c>
      <c r="F370" s="22">
        <f t="shared" si="6"/>
        <v>0.08016303184</v>
      </c>
      <c r="H370" s="22" t="str">
        <f t="shared" si="4"/>
        <v/>
      </c>
      <c r="I370" s="22" t="str">
        <f t="shared" si="1"/>
        <v>#N/A</v>
      </c>
      <c r="J370" s="22" t="str">
        <f t="shared" si="2"/>
        <v>#N/A</v>
      </c>
      <c r="K370" s="22" t="str">
        <f t="array" ref="K370">IF(H370="Crash",MATCH(TRUE, B371:B468 &gt;= B369, 0),"")</f>
        <v/>
      </c>
    </row>
    <row r="371" ht="15.75" customHeight="1">
      <c r="A371" s="32">
        <f>'EQUITY BACKTEST'!A374</f>
        <v>38744.66667</v>
      </c>
      <c r="B371" s="22">
        <f>'EQUITY BACKTEST'!B374</f>
        <v>1283.72</v>
      </c>
      <c r="C371" s="22">
        <f>1/'EQUITY BACKTEST'!E374</f>
        <v>0.8267195767</v>
      </c>
      <c r="D371" s="22">
        <f t="shared" si="5"/>
        <v>-0.6285514813</v>
      </c>
      <c r="E371" s="22">
        <f t="shared" si="3"/>
        <v>0.01762201841</v>
      </c>
      <c r="F371" s="22">
        <f t="shared" si="6"/>
        <v>0.09592268816</v>
      </c>
      <c r="H371" s="22" t="str">
        <f t="shared" si="4"/>
        <v/>
      </c>
      <c r="I371" s="22" t="str">
        <f t="shared" si="1"/>
        <v>#N/A</v>
      </c>
      <c r="J371" s="22" t="str">
        <f t="shared" si="2"/>
        <v>#N/A</v>
      </c>
      <c r="K371" s="22" t="str">
        <f t="array" ref="K371">IF(H371="Crash",MATCH(TRUE, B372:B469 &gt;= B370, 0),"")</f>
        <v/>
      </c>
    </row>
    <row r="372" ht="15.75" customHeight="1">
      <c r="A372" s="32">
        <f>'EQUITY BACKTEST'!A375</f>
        <v>38751.66667</v>
      </c>
      <c r="B372" s="22">
        <f>'EQUITY BACKTEST'!B375</f>
        <v>1264.03</v>
      </c>
      <c r="C372" s="22">
        <f>1/'EQUITY BACKTEST'!E375</f>
        <v>0.8316699933</v>
      </c>
      <c r="D372" s="22">
        <f t="shared" si="5"/>
        <v>-0.6716241741</v>
      </c>
      <c r="E372" s="22">
        <f t="shared" si="3"/>
        <v>-0.01533823575</v>
      </c>
      <c r="F372" s="22">
        <f t="shared" si="6"/>
        <v>0.05070530244</v>
      </c>
      <c r="H372" s="22" t="str">
        <f t="shared" si="4"/>
        <v/>
      </c>
      <c r="I372" s="22" t="str">
        <f t="shared" si="1"/>
        <v>#N/A</v>
      </c>
      <c r="J372" s="22" t="str">
        <f t="shared" si="2"/>
        <v>#N/A</v>
      </c>
      <c r="K372" s="22" t="str">
        <f t="array" ref="K372">IF(H372="Crash",MATCH(TRUE, B373:B470 &gt;= B371, 0),"")</f>
        <v/>
      </c>
    </row>
    <row r="373" ht="15.75" customHeight="1">
      <c r="A373" s="32">
        <f>'EQUITY BACKTEST'!A376</f>
        <v>38758.66667</v>
      </c>
      <c r="B373" s="22">
        <f>'EQUITY BACKTEST'!B376</f>
        <v>1266.99</v>
      </c>
      <c r="C373" s="22">
        <f>1/'EQUITY BACKTEST'!E376</f>
        <v>0.8289124668</v>
      </c>
      <c r="D373" s="22">
        <f t="shared" si="5"/>
        <v>-0.6100811269</v>
      </c>
      <c r="E373" s="22">
        <f t="shared" si="3"/>
        <v>0.002341716573</v>
      </c>
      <c r="F373" s="22">
        <f t="shared" si="6"/>
        <v>0.05118227827</v>
      </c>
      <c r="H373" s="22" t="str">
        <f t="shared" si="4"/>
        <v/>
      </c>
      <c r="I373" s="22" t="str">
        <f t="shared" si="1"/>
        <v>#N/A</v>
      </c>
      <c r="J373" s="22" t="str">
        <f t="shared" si="2"/>
        <v>#N/A</v>
      </c>
      <c r="K373" s="22" t="str">
        <f t="array" ref="K373">IF(H373="Crash",MATCH(TRUE, B374:B471 &gt;= B372, 0),"")</f>
        <v/>
      </c>
    </row>
    <row r="374" ht="15.75" customHeight="1">
      <c r="A374" s="32">
        <f>'EQUITY BACKTEST'!A377</f>
        <v>38765.66667</v>
      </c>
      <c r="B374" s="22">
        <f>'EQUITY BACKTEST'!B377</f>
        <v>1287.24</v>
      </c>
      <c r="C374" s="22">
        <f>1/'EQUITY BACKTEST'!E377</f>
        <v>0.8385744235</v>
      </c>
      <c r="D374" s="22">
        <f t="shared" si="5"/>
        <v>-0.4750873471</v>
      </c>
      <c r="E374" s="22">
        <f t="shared" si="3"/>
        <v>0.01598276229</v>
      </c>
      <c r="F374" s="22">
        <f t="shared" si="6"/>
        <v>0.07128055327</v>
      </c>
      <c r="H374" s="22" t="str">
        <f t="shared" si="4"/>
        <v/>
      </c>
      <c r="I374" s="22" t="str">
        <f t="shared" si="1"/>
        <v>#N/A</v>
      </c>
      <c r="J374" s="22" t="str">
        <f t="shared" si="2"/>
        <v>#N/A</v>
      </c>
      <c r="K374" s="22" t="str">
        <f t="array" ref="K374">IF(H374="Crash",MATCH(TRUE, B375:B472 &gt;= B373, 0),"")</f>
        <v/>
      </c>
    </row>
    <row r="375" ht="15.75" customHeight="1">
      <c r="A375" s="32">
        <f>'EQUITY BACKTEST'!A378</f>
        <v>38772.66667</v>
      </c>
      <c r="B375" s="22">
        <f>'EQUITY BACKTEST'!B378</f>
        <v>1289.43</v>
      </c>
      <c r="C375" s="22">
        <f>1/'EQUITY BACKTEST'!E378</f>
        <v>0.8422471153</v>
      </c>
      <c r="D375" s="22">
        <f t="shared" si="5"/>
        <v>-0.3773489684</v>
      </c>
      <c r="E375" s="22">
        <f t="shared" si="3"/>
        <v>0.00170131444</v>
      </c>
      <c r="F375" s="22">
        <f t="shared" si="6"/>
        <v>0.06443943634</v>
      </c>
      <c r="H375" s="22" t="str">
        <f t="shared" si="4"/>
        <v/>
      </c>
      <c r="I375" s="22" t="str">
        <f t="shared" si="1"/>
        <v>#N/A</v>
      </c>
      <c r="J375" s="22" t="str">
        <f t="shared" si="2"/>
        <v>#N/A</v>
      </c>
      <c r="K375" s="22" t="str">
        <f t="array" ref="K375">IF(H375="Crash",MATCH(TRUE, B376:B473 &gt;= B374, 0),"")</f>
        <v/>
      </c>
    </row>
    <row r="376" ht="15.75" customHeight="1">
      <c r="A376" s="32">
        <f>'EQUITY BACKTEST'!A379</f>
        <v>38779.66667</v>
      </c>
      <c r="B376" s="22">
        <f>'EQUITY BACKTEST'!B379</f>
        <v>1287.23</v>
      </c>
      <c r="C376" s="22">
        <f>1/'EQUITY BACKTEST'!E379</f>
        <v>0.8307027745</v>
      </c>
      <c r="D376" s="22">
        <f t="shared" si="5"/>
        <v>-0.3684787724</v>
      </c>
      <c r="E376" s="22">
        <f t="shared" si="3"/>
        <v>-0.00170618025</v>
      </c>
      <c r="F376" s="22">
        <f t="shared" si="6"/>
        <v>0.05327627402</v>
      </c>
      <c r="H376" s="22" t="str">
        <f t="shared" si="4"/>
        <v/>
      </c>
      <c r="I376" s="22" t="str">
        <f t="shared" si="1"/>
        <v>#N/A</v>
      </c>
      <c r="J376" s="22" t="str">
        <f t="shared" si="2"/>
        <v>#N/A</v>
      </c>
      <c r="K376" s="22" t="str">
        <f t="array" ref="K376">IF(H376="Crash",MATCH(TRUE, B377:B474 &gt;= B375, 0),"")</f>
        <v/>
      </c>
    </row>
    <row r="377" ht="15.75" customHeight="1">
      <c r="A377" s="32">
        <f>'EQUITY BACKTEST'!A380</f>
        <v>38786.66667</v>
      </c>
      <c r="B377" s="22">
        <f>'EQUITY BACKTEST'!B380</f>
        <v>1281.58</v>
      </c>
      <c r="C377" s="22">
        <f>1/'EQUITY BACKTEST'!E380</f>
        <v>0.8398421097</v>
      </c>
      <c r="D377" s="22">
        <f t="shared" si="5"/>
        <v>-0.2187609576</v>
      </c>
      <c r="E377" s="22">
        <f t="shared" si="3"/>
        <v>-0.004389269983</v>
      </c>
      <c r="F377" s="22">
        <f t="shared" si="6"/>
        <v>0.06791213919</v>
      </c>
      <c r="H377" s="22" t="str">
        <f t="shared" si="4"/>
        <v/>
      </c>
      <c r="I377" s="22" t="str">
        <f t="shared" si="1"/>
        <v>#N/A</v>
      </c>
      <c r="J377" s="22" t="str">
        <f t="shared" si="2"/>
        <v>#N/A</v>
      </c>
      <c r="K377" s="22" t="str">
        <f t="array" ref="K377">IF(H377="Crash",MATCH(TRUE, B378:B475 &gt;= B376, 0),"")</f>
        <v/>
      </c>
    </row>
    <row r="378" ht="15.75" customHeight="1">
      <c r="A378" s="32">
        <f>'EQUITY BACKTEST'!A381</f>
        <v>38793.66667</v>
      </c>
      <c r="B378" s="22">
        <f>'EQUITY BACKTEST'!B381</f>
        <v>1307.25</v>
      </c>
      <c r="C378" s="22">
        <f>1/'EQUITY BACKTEST'!E381</f>
        <v>0.8204118467</v>
      </c>
      <c r="D378" s="22">
        <f t="shared" si="5"/>
        <v>-0.4042125952</v>
      </c>
      <c r="E378" s="22">
        <f t="shared" si="3"/>
        <v>0.02002996301</v>
      </c>
      <c r="F378" s="22">
        <f t="shared" si="6"/>
        <v>0.09885260371</v>
      </c>
      <c r="H378" s="22" t="str">
        <f t="shared" si="4"/>
        <v/>
      </c>
      <c r="I378" s="22" t="str">
        <f t="shared" si="1"/>
        <v>#N/A</v>
      </c>
      <c r="J378" s="22" t="str">
        <f t="shared" si="2"/>
        <v>#N/A</v>
      </c>
      <c r="K378" s="22" t="str">
        <f t="array" ref="K378">IF(H378="Crash",MATCH(TRUE, B379:B476 &gt;= B377, 0),"")</f>
        <v/>
      </c>
    </row>
    <row r="379" ht="15.75" customHeight="1">
      <c r="A379" s="32">
        <f>'EQUITY BACKTEST'!A382</f>
        <v>38800.66667</v>
      </c>
      <c r="B379" s="22">
        <f>'EQUITY BACKTEST'!B382</f>
        <v>1302.95</v>
      </c>
      <c r="C379" s="22">
        <f>1/'EQUITY BACKTEST'!E382</f>
        <v>0.8311170213</v>
      </c>
      <c r="D379" s="22">
        <f t="shared" si="5"/>
        <v>-0.3416315267</v>
      </c>
      <c r="E379" s="22">
        <f t="shared" si="3"/>
        <v>-0.003289347868</v>
      </c>
      <c r="F379" s="22">
        <f t="shared" si="6"/>
        <v>0.1122825289</v>
      </c>
      <c r="H379" s="22" t="str">
        <f t="shared" si="4"/>
        <v/>
      </c>
      <c r="I379" s="22" t="str">
        <f t="shared" si="1"/>
        <v>#N/A</v>
      </c>
      <c r="J379" s="22" t="str">
        <f t="shared" si="2"/>
        <v>#N/A</v>
      </c>
      <c r="K379" s="22" t="str">
        <f t="array" ref="K379">IF(H379="Crash",MATCH(TRUE, B380:B477 &gt;= B378, 0),"")</f>
        <v/>
      </c>
    </row>
    <row r="380" ht="15.75" customHeight="1">
      <c r="A380" s="32">
        <f>'EQUITY BACKTEST'!A383</f>
        <v>38807.66667</v>
      </c>
      <c r="B380" s="22">
        <f>'EQUITY BACKTEST'!B383</f>
        <v>1294.83</v>
      </c>
      <c r="C380" s="22">
        <f>1/'EQUITY BACKTEST'!E383</f>
        <v>0.8256956486</v>
      </c>
      <c r="D380" s="22">
        <f t="shared" si="5"/>
        <v>-0.07158006578</v>
      </c>
      <c r="E380" s="22">
        <f t="shared" si="3"/>
        <v>-0.006232011973</v>
      </c>
      <c r="F380" s="22">
        <f t="shared" si="6"/>
        <v>0.1039371824</v>
      </c>
      <c r="H380" s="22" t="str">
        <f t="shared" si="4"/>
        <v/>
      </c>
      <c r="I380" s="22" t="str">
        <f t="shared" si="1"/>
        <v>#N/A</v>
      </c>
      <c r="J380" s="22" t="str">
        <f t="shared" si="2"/>
        <v>#N/A</v>
      </c>
      <c r="K380" s="22" t="str">
        <f t="array" ref="K380">IF(H380="Crash",MATCH(TRUE, B381:B478 &gt;= B379, 0),"")</f>
        <v/>
      </c>
    </row>
    <row r="381" ht="15.75" customHeight="1">
      <c r="A381" s="32">
        <f>'EQUITY BACKTEST'!A384</f>
        <v>38814.66667</v>
      </c>
      <c r="B381" s="22">
        <f>'EQUITY BACKTEST'!B384</f>
        <v>1295.5</v>
      </c>
      <c r="C381" s="22">
        <f>1/'EQUITY BACKTEST'!E384</f>
        <v>0.8266512358</v>
      </c>
      <c r="D381" s="22">
        <f t="shared" si="5"/>
        <v>-0.1012051446</v>
      </c>
      <c r="E381" s="22">
        <f t="shared" si="3"/>
        <v>0.0005174424442</v>
      </c>
      <c r="F381" s="22">
        <f t="shared" si="6"/>
        <v>0.09676600068</v>
      </c>
      <c r="H381" s="22" t="str">
        <f t="shared" si="4"/>
        <v/>
      </c>
      <c r="I381" s="22" t="str">
        <f t="shared" si="1"/>
        <v>#N/A</v>
      </c>
      <c r="J381" s="22" t="str">
        <f t="shared" si="2"/>
        <v>#N/A</v>
      </c>
      <c r="K381" s="22" t="str">
        <f t="array" ref="K381">IF(H381="Crash",MATCH(TRUE, B382:B479 &gt;= B380, 0),"")</f>
        <v/>
      </c>
    </row>
    <row r="382" ht="15.75" customHeight="1">
      <c r="A382" s="32">
        <f>'EQUITY BACKTEST'!A385</f>
        <v>38821.66667</v>
      </c>
      <c r="B382" s="22">
        <f>'EQUITY BACKTEST'!B385</f>
        <v>1270.52</v>
      </c>
      <c r="C382" s="22">
        <f>1/'EQUITY BACKTEST'!E385</f>
        <v>0.8259002313</v>
      </c>
      <c r="D382" s="22">
        <f t="shared" si="5"/>
        <v>-0.03289237846</v>
      </c>
      <c r="E382" s="22">
        <f t="shared" si="3"/>
        <v>-0.01928213045</v>
      </c>
      <c r="F382" s="22">
        <f t="shared" si="6"/>
        <v>0.1119357267</v>
      </c>
      <c r="H382" s="22" t="str">
        <f t="shared" si="4"/>
        <v/>
      </c>
      <c r="I382" s="22" t="str">
        <f t="shared" si="1"/>
        <v>#N/A</v>
      </c>
      <c r="J382" s="22" t="str">
        <f t="shared" si="2"/>
        <v>#N/A</v>
      </c>
      <c r="K382" s="22" t="str">
        <f t="array" ref="K382">IF(H382="Crash",MATCH(TRUE, B383:B480 &gt;= B381, 0),"")</f>
        <v/>
      </c>
    </row>
    <row r="383" ht="15.75" customHeight="1">
      <c r="A383" s="32">
        <f>'EQUITY BACKTEST'!A386</f>
        <v>38828.66667</v>
      </c>
      <c r="B383" s="22">
        <f>'EQUITY BACKTEST'!B386</f>
        <v>1311.28</v>
      </c>
      <c r="C383" s="22">
        <f>1/'EQUITY BACKTEST'!E386</f>
        <v>0.8105041336</v>
      </c>
      <c r="D383" s="22">
        <f t="shared" si="5"/>
        <v>-0.4441802938</v>
      </c>
      <c r="E383" s="22">
        <f t="shared" si="3"/>
        <v>0.03208135252</v>
      </c>
      <c r="F383" s="22">
        <f t="shared" si="6"/>
        <v>0.1381453321</v>
      </c>
      <c r="H383" s="22" t="str">
        <f t="shared" si="4"/>
        <v/>
      </c>
      <c r="I383" s="22" t="str">
        <f t="shared" si="1"/>
        <v>#N/A</v>
      </c>
      <c r="J383" s="22" t="str">
        <f t="shared" si="2"/>
        <v>#N/A</v>
      </c>
      <c r="K383" s="22" t="str">
        <f t="array" ref="K383">IF(H383="Crash",MATCH(TRUE, B384:B481 &gt;= B382, 0),"")</f>
        <v/>
      </c>
    </row>
    <row r="384" ht="15.75" customHeight="1">
      <c r="A384" s="32">
        <f>'EQUITY BACKTEST'!A387</f>
        <v>38835.66667</v>
      </c>
      <c r="B384" s="22">
        <f>'EQUITY BACKTEST'!B387</f>
        <v>1310.61</v>
      </c>
      <c r="C384" s="22">
        <f>1/'EQUITY BACKTEST'!E387</f>
        <v>0.7915776142</v>
      </c>
      <c r="D384" s="22">
        <f t="shared" si="5"/>
        <v>-0.5649391286</v>
      </c>
      <c r="E384" s="22">
        <f t="shared" si="3"/>
        <v>-0.0005109511317</v>
      </c>
      <c r="F384" s="22">
        <f t="shared" si="6"/>
        <v>0.1329126507</v>
      </c>
      <c r="H384" s="22" t="str">
        <f t="shared" si="4"/>
        <v/>
      </c>
      <c r="I384" s="22" t="str">
        <f t="shared" si="1"/>
        <v>#N/A</v>
      </c>
      <c r="J384" s="22" t="str">
        <f t="shared" si="2"/>
        <v>#N/A</v>
      </c>
      <c r="K384" s="22" t="str">
        <f t="array" ref="K384">IF(H384="Crash",MATCH(TRUE, B385:B482 &gt;= B383, 0),"")</f>
        <v/>
      </c>
    </row>
    <row r="385" ht="15.75" customHeight="1">
      <c r="A385" s="32">
        <f>'EQUITY BACKTEST'!A388</f>
        <v>38842.66667</v>
      </c>
      <c r="B385" s="22">
        <f>'EQUITY BACKTEST'!B388</f>
        <v>1325.76</v>
      </c>
      <c r="C385" s="22">
        <f>1/'EQUITY BACKTEST'!E388</f>
        <v>0.7859781498</v>
      </c>
      <c r="D385" s="22">
        <f t="shared" si="5"/>
        <v>-0.729853647</v>
      </c>
      <c r="E385" s="22">
        <f t="shared" si="3"/>
        <v>0.01155950283</v>
      </c>
      <c r="F385" s="22">
        <f t="shared" si="6"/>
        <v>0.1318222564</v>
      </c>
      <c r="H385" s="22" t="str">
        <f t="shared" si="4"/>
        <v/>
      </c>
      <c r="I385" s="22" t="str">
        <f t="shared" si="1"/>
        <v>#N/A</v>
      </c>
      <c r="J385" s="22" t="str">
        <f t="shared" si="2"/>
        <v>#N/A</v>
      </c>
      <c r="K385" s="22" t="str">
        <f t="array" ref="K385">IF(H385="Crash",MATCH(TRUE, B386:B483 &gt;= B384, 0),"")</f>
        <v/>
      </c>
    </row>
    <row r="386" ht="15.75" customHeight="1">
      <c r="A386" s="32">
        <f>'EQUITY BACKTEST'!A389</f>
        <v>38849.66667</v>
      </c>
      <c r="B386" s="22">
        <f>'EQUITY BACKTEST'!B389</f>
        <v>1291.24</v>
      </c>
      <c r="C386" s="22">
        <f>1/'EQUITY BACKTEST'!E389</f>
        <v>0.7742934572</v>
      </c>
      <c r="D386" s="22">
        <f t="shared" si="5"/>
        <v>-0.5505400475</v>
      </c>
      <c r="E386" s="22">
        <f t="shared" si="3"/>
        <v>-0.02603789524</v>
      </c>
      <c r="F386" s="22">
        <f t="shared" si="6"/>
        <v>0.1188769984</v>
      </c>
      <c r="H386" s="22" t="str">
        <f t="shared" si="4"/>
        <v/>
      </c>
      <c r="I386" s="22" t="str">
        <f t="shared" si="1"/>
        <v>#N/A</v>
      </c>
      <c r="J386" s="22" t="str">
        <f t="shared" si="2"/>
        <v>#N/A</v>
      </c>
      <c r="K386" s="22" t="str">
        <f t="array" ref="K386">IF(H386="Crash",MATCH(TRUE, B387:B484 &gt;= B385, 0),"")</f>
        <v/>
      </c>
    </row>
    <row r="387" ht="15.75" customHeight="1">
      <c r="A387" s="32">
        <f>'EQUITY BACKTEST'!A390</f>
        <v>38856.66667</v>
      </c>
      <c r="B387" s="22">
        <f>'EQUITY BACKTEST'!B390</f>
        <v>1267.03</v>
      </c>
      <c r="C387" s="22">
        <f>1/'EQUITY BACKTEST'!E390</f>
        <v>0.7835148476</v>
      </c>
      <c r="D387" s="22">
        <f t="shared" si="5"/>
        <v>-0.2119750824</v>
      </c>
      <c r="E387" s="22">
        <f t="shared" si="3"/>
        <v>-0.01874941916</v>
      </c>
      <c r="F387" s="22">
        <f t="shared" si="6"/>
        <v>0.06537568949</v>
      </c>
      <c r="H387" s="22" t="str">
        <f t="shared" si="4"/>
        <v/>
      </c>
      <c r="I387" s="22" t="str">
        <f t="shared" si="1"/>
        <v>#N/A</v>
      </c>
      <c r="J387" s="22" t="str">
        <f t="shared" si="2"/>
        <v>#N/A</v>
      </c>
      <c r="K387" s="22" t="str">
        <f t="array" ref="K387">IF(H387="Crash",MATCH(TRUE, B388:B485 &gt;= B386, 0),"")</f>
        <v/>
      </c>
    </row>
    <row r="388" ht="15.75" customHeight="1">
      <c r="A388" s="32">
        <f>'EQUITY BACKTEST'!A391</f>
        <v>38863.66667</v>
      </c>
      <c r="B388" s="22">
        <f>'EQUITY BACKTEST'!B391</f>
        <v>1280.16</v>
      </c>
      <c r="C388" s="22">
        <f>1/'EQUITY BACKTEST'!E391</f>
        <v>0.7853608733</v>
      </c>
      <c r="D388" s="22">
        <f t="shared" si="5"/>
        <v>-0.09157916345</v>
      </c>
      <c r="E388" s="22">
        <f t="shared" si="3"/>
        <v>0.01036281698</v>
      </c>
      <c r="F388" s="22">
        <f t="shared" si="6"/>
        <v>0.06788568378</v>
      </c>
      <c r="H388" s="22" t="str">
        <f t="shared" si="4"/>
        <v/>
      </c>
      <c r="I388" s="22" t="str">
        <f t="shared" si="1"/>
        <v>#N/A</v>
      </c>
      <c r="J388" s="22" t="str">
        <f t="shared" si="2"/>
        <v>#N/A</v>
      </c>
      <c r="K388" s="22" t="str">
        <f t="array" ref="K388">IF(H388="Crash",MATCH(TRUE, B389:B486 &gt;= B387, 0),"")</f>
        <v/>
      </c>
    </row>
    <row r="389" ht="15.75" customHeight="1">
      <c r="A389" s="32">
        <f>'EQUITY BACKTEST'!A392</f>
        <v>38870.66667</v>
      </c>
      <c r="B389" s="22">
        <f>'EQUITY BACKTEST'!B392</f>
        <v>1288.22</v>
      </c>
      <c r="C389" s="22">
        <f>1/'EQUITY BACKTEST'!E392</f>
        <v>0.7742335088</v>
      </c>
      <c r="D389" s="22">
        <f t="shared" si="5"/>
        <v>-0.01186978234</v>
      </c>
      <c r="E389" s="22">
        <f t="shared" si="3"/>
        <v>0.006296087989</v>
      </c>
      <c r="F389" s="22">
        <f t="shared" si="6"/>
        <v>0.07708901189</v>
      </c>
      <c r="H389" s="22" t="str">
        <f t="shared" si="4"/>
        <v/>
      </c>
      <c r="I389" s="22" t="str">
        <f t="shared" si="1"/>
        <v>#N/A</v>
      </c>
      <c r="J389" s="22" t="str">
        <f t="shared" si="2"/>
        <v>#N/A</v>
      </c>
      <c r="K389" s="22" t="str">
        <f t="array" ref="K389">IF(H389="Crash",MATCH(TRUE, B390:B487 &gt;= B388, 0),"")</f>
        <v/>
      </c>
    </row>
    <row r="390" ht="15.75" customHeight="1">
      <c r="A390" s="32">
        <f>'EQUITY BACKTEST'!A393</f>
        <v>38877.66667</v>
      </c>
      <c r="B390" s="22">
        <f>'EQUITY BACKTEST'!B393</f>
        <v>1252.3</v>
      </c>
      <c r="C390" s="22">
        <f>1/'EQUITY BACKTEST'!E393</f>
        <v>0.7912644406</v>
      </c>
      <c r="D390" s="22">
        <f t="shared" si="5"/>
        <v>0.1648802266</v>
      </c>
      <c r="E390" s="22">
        <f t="shared" si="3"/>
        <v>-0.02788343606</v>
      </c>
      <c r="F390" s="22">
        <f t="shared" si="6"/>
        <v>0.04522956991</v>
      </c>
      <c r="H390" s="22" t="str">
        <f t="shared" si="4"/>
        <v/>
      </c>
      <c r="I390" s="22" t="str">
        <f t="shared" si="1"/>
        <v>#N/A</v>
      </c>
      <c r="J390" s="22" t="str">
        <f t="shared" si="2"/>
        <v>#N/A</v>
      </c>
      <c r="K390" s="22" t="str">
        <f t="array" ref="K390">IF(H390="Crash",MATCH(TRUE, B391:B488 &gt;= B389, 0),"")</f>
        <v/>
      </c>
    </row>
    <row r="391" ht="15.75" customHeight="1">
      <c r="A391" s="32">
        <f>'EQUITY BACKTEST'!A394</f>
        <v>38884.66667</v>
      </c>
      <c r="B391" s="22">
        <f>'EQUITY BACKTEST'!B394</f>
        <v>1251.54</v>
      </c>
      <c r="C391" s="22">
        <f>1/'EQUITY BACKTEST'!E394</f>
        <v>0.7912644406</v>
      </c>
      <c r="D391" s="22">
        <f t="shared" si="5"/>
        <v>0.1583473011</v>
      </c>
      <c r="E391" s="22">
        <f t="shared" si="3"/>
        <v>-0.0006068833347</v>
      </c>
      <c r="F391" s="22">
        <f t="shared" si="6"/>
        <v>0.02841506705</v>
      </c>
      <c r="H391" s="22" t="str">
        <f t="shared" si="4"/>
        <v/>
      </c>
      <c r="I391" s="22" t="str">
        <f t="shared" si="1"/>
        <v>#N/A</v>
      </c>
      <c r="J391" s="22" t="str">
        <f t="shared" si="2"/>
        <v>#N/A</v>
      </c>
      <c r="K391" s="22" t="str">
        <f t="array" ref="K391">IF(H391="Crash",MATCH(TRUE, B392:B489 &gt;= B390, 0),"")</f>
        <v/>
      </c>
    </row>
    <row r="392" ht="15.75" customHeight="1">
      <c r="A392" s="32">
        <f>'EQUITY BACKTEST'!A395</f>
        <v>38891.66667</v>
      </c>
      <c r="B392" s="22">
        <f>'EQUITY BACKTEST'!B395</f>
        <v>1244.5</v>
      </c>
      <c r="C392" s="22">
        <f>1/'EQUITY BACKTEST'!E395</f>
        <v>0.7994883275</v>
      </c>
      <c r="D392" s="22">
        <f t="shared" si="5"/>
        <v>0.054555576</v>
      </c>
      <c r="E392" s="22">
        <f t="shared" si="3"/>
        <v>-0.005625069914</v>
      </c>
      <c r="F392" s="22">
        <f t="shared" si="6"/>
        <v>0.04442038655</v>
      </c>
      <c r="H392" s="22" t="str">
        <f t="shared" si="4"/>
        <v/>
      </c>
      <c r="I392" s="22" t="str">
        <f t="shared" si="1"/>
        <v>#N/A</v>
      </c>
      <c r="J392" s="22" t="str">
        <f t="shared" si="2"/>
        <v>#N/A</v>
      </c>
      <c r="K392" s="22" t="str">
        <f t="array" ref="K392">IF(H392="Crash",MATCH(TRUE, B393:B490 &gt;= B391, 0),"")</f>
        <v/>
      </c>
    </row>
    <row r="393" ht="15.75" customHeight="1">
      <c r="A393" s="32">
        <f>'EQUITY BACKTEST'!A396</f>
        <v>38898.66667</v>
      </c>
      <c r="B393" s="22">
        <f>'EQUITY BACKTEST'!B396</f>
        <v>1270.2</v>
      </c>
      <c r="C393" s="22">
        <f>1/'EQUITY BACKTEST'!E396</f>
        <v>0.7818608288</v>
      </c>
      <c r="D393" s="22">
        <f t="shared" si="5"/>
        <v>0.02054216626</v>
      </c>
      <c r="E393" s="22">
        <f t="shared" si="3"/>
        <v>0.0206508638</v>
      </c>
      <c r="F393" s="22">
        <f t="shared" si="6"/>
        <v>0.06342721275</v>
      </c>
      <c r="H393" s="22" t="str">
        <f t="shared" si="4"/>
        <v/>
      </c>
      <c r="I393" s="22" t="str">
        <f t="shared" si="1"/>
        <v>#N/A</v>
      </c>
      <c r="J393" s="22" t="str">
        <f t="shared" si="2"/>
        <v>#N/A</v>
      </c>
      <c r="K393" s="22" t="str">
        <f t="array" ref="K393">IF(H393="Crash",MATCH(TRUE, B394:B491 &gt;= B392, 0),"")</f>
        <v/>
      </c>
    </row>
    <row r="394" ht="15.75" customHeight="1">
      <c r="A394" s="32">
        <f>'EQUITY BACKTEST'!A397</f>
        <v>38905.66667</v>
      </c>
      <c r="B394" s="22">
        <f>'EQUITY BACKTEST'!B397</f>
        <v>1265.48</v>
      </c>
      <c r="C394" s="22">
        <f>1/'EQUITY BACKTEST'!E397</f>
        <v>0.78015291</v>
      </c>
      <c r="D394" s="22">
        <f t="shared" si="5"/>
        <v>-0.05416308049</v>
      </c>
      <c r="E394" s="22">
        <f t="shared" si="3"/>
        <v>-0.003715950244</v>
      </c>
      <c r="F394" s="22">
        <f t="shared" si="6"/>
        <v>0.04424603502</v>
      </c>
      <c r="H394" s="22" t="str">
        <f t="shared" si="4"/>
        <v/>
      </c>
      <c r="I394" s="22" t="str">
        <f t="shared" si="1"/>
        <v>#N/A</v>
      </c>
      <c r="J394" s="22" t="str">
        <f t="shared" si="2"/>
        <v>#N/A</v>
      </c>
      <c r="K394" s="22" t="str">
        <f t="array" ref="K394">IF(H394="Crash",MATCH(TRUE, B395:B492 &gt;= B393, 0),"")</f>
        <v/>
      </c>
    </row>
    <row r="395" ht="15.75" customHeight="1">
      <c r="A395" s="32">
        <f>'EQUITY BACKTEST'!A398</f>
        <v>38912.66667</v>
      </c>
      <c r="B395" s="22">
        <f>'EQUITY BACKTEST'!B398</f>
        <v>1236.2</v>
      </c>
      <c r="C395" s="22">
        <f>1/'EQUITY BACKTEST'!E398</f>
        <v>0.7905763301</v>
      </c>
      <c r="D395" s="22">
        <f t="shared" si="5"/>
        <v>-0.009711516126</v>
      </c>
      <c r="E395" s="22">
        <f t="shared" si="3"/>
        <v>-0.02313746563</v>
      </c>
      <c r="F395" s="22">
        <f t="shared" si="6"/>
        <v>0.0067431103</v>
      </c>
      <c r="H395" s="22" t="str">
        <f t="shared" si="4"/>
        <v/>
      </c>
      <c r="I395" s="22" t="str">
        <f t="shared" si="1"/>
        <v>#N/A</v>
      </c>
      <c r="J395" s="22" t="str">
        <f t="shared" si="2"/>
        <v>#N/A</v>
      </c>
      <c r="K395" s="22" t="str">
        <f t="array" ref="K395">IF(H395="Crash",MATCH(TRUE, B396:B493 &gt;= B394, 0),"")</f>
        <v/>
      </c>
    </row>
    <row r="396" ht="15.75" customHeight="1">
      <c r="A396" s="32">
        <f>'EQUITY BACKTEST'!A399</f>
        <v>38919.66667</v>
      </c>
      <c r="B396" s="22">
        <f>'EQUITY BACKTEST'!B399</f>
        <v>1240.29</v>
      </c>
      <c r="C396" s="22">
        <f>1/'EQUITY BACKTEST'!E399</f>
        <v>0.787835815</v>
      </c>
      <c r="D396" s="22">
        <f t="shared" si="5"/>
        <v>-0.4021792605</v>
      </c>
      <c r="E396" s="22">
        <f t="shared" si="3"/>
        <v>0.003308526128</v>
      </c>
      <c r="F396" s="22">
        <f t="shared" si="6"/>
        <v>0.00535795344</v>
      </c>
      <c r="H396" s="22" t="str">
        <f t="shared" si="4"/>
        <v/>
      </c>
      <c r="I396" s="22" t="str">
        <f t="shared" si="1"/>
        <v>#N/A</v>
      </c>
      <c r="J396" s="22" t="str">
        <f t="shared" si="2"/>
        <v>#N/A</v>
      </c>
      <c r="K396" s="22" t="str">
        <f t="array" ref="K396">IF(H396="Crash",MATCH(TRUE, B397:B494 &gt;= B395, 0),"")</f>
        <v/>
      </c>
    </row>
    <row r="397" ht="15.75" customHeight="1">
      <c r="A397" s="32">
        <f>'EQUITY BACKTEST'!A400</f>
        <v>38926.66667</v>
      </c>
      <c r="B397" s="22">
        <f>'EQUITY BACKTEST'!B400</f>
        <v>1278.55</v>
      </c>
      <c r="C397" s="22">
        <f>1/'EQUITY BACKTEST'!E400</f>
        <v>0.7846214202</v>
      </c>
      <c r="D397" s="22">
        <f t="shared" si="5"/>
        <v>-0.574850518</v>
      </c>
      <c r="E397" s="22">
        <f t="shared" si="3"/>
        <v>0.03084762435</v>
      </c>
      <c r="F397" s="22">
        <f t="shared" si="6"/>
        <v>0.0359509958</v>
      </c>
      <c r="H397" s="22" t="str">
        <f t="shared" si="4"/>
        <v/>
      </c>
      <c r="I397" s="22" t="str">
        <f t="shared" si="1"/>
        <v>#N/A</v>
      </c>
      <c r="J397" s="22" t="str">
        <f t="shared" si="2"/>
        <v>#N/A</v>
      </c>
      <c r="K397" s="22" t="str">
        <f t="array" ref="K397">IF(H397="Crash",MATCH(TRUE, B398:B495 &gt;= B396, 0),"")</f>
        <v/>
      </c>
    </row>
    <row r="398" ht="15.75" customHeight="1">
      <c r="A398" s="32">
        <f>'EQUITY BACKTEST'!A401</f>
        <v>38933.66667</v>
      </c>
      <c r="B398" s="22">
        <f>'EQUITY BACKTEST'!B401</f>
        <v>1279.36</v>
      </c>
      <c r="C398" s="22">
        <f>1/'EQUITY BACKTEST'!E401</f>
        <v>0.7768800497</v>
      </c>
      <c r="D398" s="22">
        <f t="shared" si="5"/>
        <v>-0.8296157105</v>
      </c>
      <c r="E398" s="22">
        <f t="shared" si="3"/>
        <v>0.0006335301709</v>
      </c>
      <c r="F398" s="22">
        <f t="shared" si="6"/>
        <v>0.04316628887</v>
      </c>
      <c r="H398" s="22" t="str">
        <f t="shared" si="4"/>
        <v/>
      </c>
      <c r="I398" s="22" t="str">
        <f t="shared" si="1"/>
        <v>#N/A</v>
      </c>
      <c r="J398" s="22" t="str">
        <f t="shared" si="2"/>
        <v>#N/A</v>
      </c>
      <c r="K398" s="22" t="str">
        <f t="array" ref="K398">IF(H398="Crash",MATCH(TRUE, B399:B496 &gt;= B397, 0),"")</f>
        <v/>
      </c>
    </row>
    <row r="399" ht="15.75" customHeight="1">
      <c r="A399" s="32">
        <f>'EQUITY BACKTEST'!A402</f>
        <v>38940.66667</v>
      </c>
      <c r="B399" s="22">
        <f>'EQUITY BACKTEST'!B402</f>
        <v>1266.74</v>
      </c>
      <c r="C399" s="22">
        <f>1/'EQUITY BACKTEST'!E402</f>
        <v>0.7865963974</v>
      </c>
      <c r="D399" s="22">
        <f t="shared" si="5"/>
        <v>-0.786977703</v>
      </c>
      <c r="E399" s="22">
        <f t="shared" si="3"/>
        <v>-0.009864307154</v>
      </c>
      <c r="F399" s="22">
        <f t="shared" si="6"/>
        <v>0.02954347808</v>
      </c>
      <c r="H399" s="22" t="str">
        <f t="shared" si="4"/>
        <v/>
      </c>
      <c r="I399" s="22" t="str">
        <f t="shared" si="1"/>
        <v>#N/A</v>
      </c>
      <c r="J399" s="22" t="str">
        <f t="shared" si="2"/>
        <v>#N/A</v>
      </c>
      <c r="K399" s="22" t="str">
        <f t="array" ref="K399">IF(H399="Crash",MATCH(TRUE, B400:B497 &gt;= B398, 0),"")</f>
        <v/>
      </c>
    </row>
    <row r="400" ht="15.75" customHeight="1">
      <c r="A400" s="32">
        <f>'EQUITY BACKTEST'!A403</f>
        <v>38947.66667</v>
      </c>
      <c r="B400" s="22">
        <f>'EQUITY BACKTEST'!B403</f>
        <v>1302.3</v>
      </c>
      <c r="C400" s="22">
        <f>1/'EQUITY BACKTEST'!E403</f>
        <v>0.7790588969</v>
      </c>
      <c r="D400" s="22">
        <f t="shared" si="5"/>
        <v>-0.7808496236</v>
      </c>
      <c r="E400" s="22">
        <f t="shared" si="3"/>
        <v>0.02807205899</v>
      </c>
      <c r="F400" s="22">
        <f t="shared" si="6"/>
        <v>0.06771281698</v>
      </c>
      <c r="H400" s="22" t="str">
        <f t="shared" si="4"/>
        <v/>
      </c>
      <c r="I400" s="22" t="str">
        <f t="shared" si="1"/>
        <v>#N/A</v>
      </c>
      <c r="J400" s="22" t="str">
        <f t="shared" si="2"/>
        <v>#N/A</v>
      </c>
      <c r="K400" s="22" t="str">
        <f t="array" ref="K400">IF(H400="Crash",MATCH(TRUE, B401:B498 &gt;= B399, 0),"")</f>
        <v/>
      </c>
    </row>
    <row r="401" ht="15.75" customHeight="1">
      <c r="A401" s="32">
        <f>'EQUITY BACKTEST'!A404</f>
        <v>38954.66667</v>
      </c>
      <c r="B401" s="22">
        <f>'EQUITY BACKTEST'!B404</f>
        <v>1295.09</v>
      </c>
      <c r="C401" s="22">
        <f>1/'EQUITY BACKTEST'!E404</f>
        <v>0.7841292245</v>
      </c>
      <c r="D401" s="22">
        <f t="shared" si="5"/>
        <v>-0.7520710226</v>
      </c>
      <c r="E401" s="22">
        <f t="shared" si="3"/>
        <v>-0.00553635875</v>
      </c>
      <c r="F401" s="22">
        <f t="shared" si="6"/>
        <v>0.07467430089</v>
      </c>
      <c r="H401" s="22" t="str">
        <f t="shared" si="4"/>
        <v/>
      </c>
      <c r="I401" s="22" t="str">
        <f t="shared" si="1"/>
        <v>#N/A</v>
      </c>
      <c r="J401" s="22" t="str">
        <f t="shared" si="2"/>
        <v>#N/A</v>
      </c>
      <c r="K401" s="22" t="str">
        <f t="array" ref="K401">IF(H401="Crash",MATCH(TRUE, B402:B499 &gt;= B400, 0),"")</f>
        <v/>
      </c>
    </row>
    <row r="402" ht="15.75" customHeight="1">
      <c r="A402" s="32">
        <f>'EQUITY BACKTEST'!A405</f>
        <v>38961.66667</v>
      </c>
      <c r="B402" s="22">
        <f>'EQUITY BACKTEST'!B405</f>
        <v>1311.01</v>
      </c>
      <c r="C402" s="22">
        <f>1/'EQUITY BACKTEST'!E405</f>
        <v>0.7792410192</v>
      </c>
      <c r="D402" s="22">
        <f t="shared" si="5"/>
        <v>-0.7455243751</v>
      </c>
      <c r="E402" s="22">
        <f t="shared" si="3"/>
        <v>0.01229258198</v>
      </c>
      <c r="F402" s="22">
        <f t="shared" si="6"/>
        <v>0.07634521601</v>
      </c>
      <c r="H402" s="22" t="str">
        <f t="shared" si="4"/>
        <v/>
      </c>
      <c r="I402" s="22" t="str">
        <f t="shared" si="1"/>
        <v>#N/A</v>
      </c>
      <c r="J402" s="22" t="str">
        <f t="shared" si="2"/>
        <v>#N/A</v>
      </c>
      <c r="K402" s="22" t="str">
        <f t="array" ref="K402">IF(H402="Crash",MATCH(TRUE, B403:B500 &gt;= B401, 0),"")</f>
        <v/>
      </c>
    </row>
    <row r="403" ht="15.75" customHeight="1">
      <c r="A403" s="32">
        <f>'EQUITY BACKTEST'!A406</f>
        <v>38968.66667</v>
      </c>
      <c r="B403" s="22">
        <f>'EQUITY BACKTEST'!B406</f>
        <v>1298.92</v>
      </c>
      <c r="C403" s="22">
        <f>1/'EQUITY BACKTEST'!E406</f>
        <v>0.7891414141</v>
      </c>
      <c r="D403" s="22">
        <f t="shared" si="5"/>
        <v>-0.62489596</v>
      </c>
      <c r="E403" s="22">
        <f t="shared" si="3"/>
        <v>-0.009221897621</v>
      </c>
      <c r="F403" s="22">
        <f t="shared" si="6"/>
        <v>0.04626735831</v>
      </c>
      <c r="H403" s="22" t="str">
        <f t="shared" si="4"/>
        <v/>
      </c>
      <c r="I403" s="22" t="str">
        <f t="shared" si="1"/>
        <v>#N/A</v>
      </c>
      <c r="J403" s="22" t="str">
        <f t="shared" si="2"/>
        <v>#N/A</v>
      </c>
      <c r="K403" s="22" t="str">
        <f t="array" ref="K403">IF(H403="Crash",MATCH(TRUE, B404:B501 &gt;= B402, 0),"")</f>
        <v/>
      </c>
    </row>
    <row r="404" ht="15.75" customHeight="1">
      <c r="A404" s="32">
        <f>'EQUITY BACKTEST'!A407</f>
        <v>38975.66667</v>
      </c>
      <c r="B404" s="22">
        <f>'EQUITY BACKTEST'!B407</f>
        <v>1319.87</v>
      </c>
      <c r="C404" s="22">
        <f>1/'EQUITY BACKTEST'!E407</f>
        <v>0.7908264136</v>
      </c>
      <c r="D404" s="22">
        <f t="shared" si="5"/>
        <v>-0.3868494844</v>
      </c>
      <c r="E404" s="22">
        <f t="shared" si="3"/>
        <v>0.01612878391</v>
      </c>
      <c r="F404" s="22">
        <f t="shared" si="6"/>
        <v>0.06620836733</v>
      </c>
      <c r="H404" s="22" t="str">
        <f t="shared" si="4"/>
        <v/>
      </c>
      <c r="I404" s="22" t="str">
        <f t="shared" si="1"/>
        <v>#N/A</v>
      </c>
      <c r="J404" s="22" t="str">
        <f t="shared" si="2"/>
        <v>#N/A</v>
      </c>
      <c r="K404" s="22" t="str">
        <f t="array" ref="K404">IF(H404="Crash",MATCH(TRUE, B405:B502 &gt;= B403, 0),"")</f>
        <v/>
      </c>
    </row>
    <row r="405" ht="15.75" customHeight="1">
      <c r="A405" s="32">
        <f>'EQUITY BACKTEST'!A408</f>
        <v>38982.66667</v>
      </c>
      <c r="B405" s="22">
        <f>'EQUITY BACKTEST'!B408</f>
        <v>1314.78</v>
      </c>
      <c r="C405" s="22">
        <f>1/'EQUITY BACKTEST'!E408</f>
        <v>0.7827175955</v>
      </c>
      <c r="D405" s="22">
        <f t="shared" si="5"/>
        <v>-0.2208218157</v>
      </c>
      <c r="E405" s="22">
        <f t="shared" si="3"/>
        <v>-0.003856440407</v>
      </c>
      <c r="F405" s="22">
        <f t="shared" si="6"/>
        <v>0.08186523381</v>
      </c>
      <c r="H405" s="22" t="str">
        <f t="shared" si="4"/>
        <v/>
      </c>
      <c r="I405" s="22" t="str">
        <f t="shared" si="1"/>
        <v>#N/A</v>
      </c>
      <c r="J405" s="22" t="str">
        <f t="shared" si="2"/>
        <v>#N/A</v>
      </c>
      <c r="K405" s="22" t="str">
        <f t="array" ref="K405">IF(H405="Crash",MATCH(TRUE, B406:B503 &gt;= B404, 0),"")</f>
        <v/>
      </c>
    </row>
    <row r="406" ht="15.75" customHeight="1">
      <c r="A406" s="32">
        <f>'EQUITY BACKTEST'!A409</f>
        <v>38989.66667</v>
      </c>
      <c r="B406" s="22">
        <f>'EQUITY BACKTEST'!B409</f>
        <v>1335.85</v>
      </c>
      <c r="C406" s="22">
        <f>1/'EQUITY BACKTEST'!E409</f>
        <v>0.7899518129</v>
      </c>
      <c r="D406" s="22">
        <f t="shared" si="5"/>
        <v>-0.0523570959</v>
      </c>
      <c r="E406" s="22">
        <f t="shared" si="3"/>
        <v>0.01602549476</v>
      </c>
      <c r="F406" s="22">
        <f t="shared" si="6"/>
        <v>0.08710866611</v>
      </c>
      <c r="H406" s="22" t="str">
        <f t="shared" si="4"/>
        <v/>
      </c>
      <c r="I406" s="22" t="str">
        <f t="shared" si="1"/>
        <v>#N/A</v>
      </c>
      <c r="J406" s="22" t="str">
        <f t="shared" si="2"/>
        <v>#N/A</v>
      </c>
      <c r="K406" s="22" t="str">
        <f t="array" ref="K406">IF(H406="Crash",MATCH(TRUE, B407:B504 &gt;= B405, 0),"")</f>
        <v/>
      </c>
    </row>
    <row r="407" ht="15.75" customHeight="1">
      <c r="A407" s="32">
        <f>'EQUITY BACKTEST'!A410</f>
        <v>38996.66667</v>
      </c>
      <c r="B407" s="22">
        <f>'EQUITY BACKTEST'!B410</f>
        <v>1349.58</v>
      </c>
      <c r="C407" s="22">
        <f>1/'EQUITY BACKTEST'!E410</f>
        <v>0.7935878105</v>
      </c>
      <c r="D407" s="22">
        <f t="shared" si="5"/>
        <v>0.1239813363</v>
      </c>
      <c r="E407" s="22">
        <f t="shared" si="3"/>
        <v>0.01027810009</v>
      </c>
      <c r="F407" s="22">
        <f t="shared" si="6"/>
        <v>0.1285057279</v>
      </c>
      <c r="H407" s="22" t="str">
        <f t="shared" si="4"/>
        <v/>
      </c>
      <c r="I407" s="22" t="str">
        <f t="shared" si="1"/>
        <v>#N/A</v>
      </c>
      <c r="J407" s="22" t="str">
        <f t="shared" si="2"/>
        <v>#N/A</v>
      </c>
      <c r="K407" s="22" t="str">
        <f t="array" ref="K407">IF(H407="Crash",MATCH(TRUE, B408:B505 &gt;= B406, 0),"")</f>
        <v/>
      </c>
    </row>
    <row r="408" ht="15.75" customHeight="1">
      <c r="A408" s="32">
        <f>'EQUITY BACKTEST'!A411</f>
        <v>39003.66667</v>
      </c>
      <c r="B408" s="22">
        <f>'EQUITY BACKTEST'!B411</f>
        <v>1365.62</v>
      </c>
      <c r="C408" s="22">
        <f>1/'EQUITY BACKTEST'!E411</f>
        <v>0.7980209081</v>
      </c>
      <c r="D408" s="22">
        <f t="shared" si="5"/>
        <v>0.5329197322</v>
      </c>
      <c r="E408" s="22">
        <f t="shared" si="3"/>
        <v>0.01188517909</v>
      </c>
      <c r="F408" s="22">
        <f t="shared" si="6"/>
        <v>0.1508971236</v>
      </c>
      <c r="H408" s="22" t="str">
        <f t="shared" si="4"/>
        <v/>
      </c>
      <c r="I408" s="22" t="str">
        <f t="shared" si="1"/>
        <v>#N/A</v>
      </c>
      <c r="J408" s="22" t="str">
        <f t="shared" si="2"/>
        <v>#N/A</v>
      </c>
      <c r="K408" s="22" t="str">
        <f t="array" ref="K408">IF(H408="Crash",MATCH(TRUE, B409:B506 &gt;= B407, 0),"")</f>
        <v/>
      </c>
    </row>
    <row r="409" ht="15.75" customHeight="1">
      <c r="A409" s="32">
        <f>'EQUITY BACKTEST'!A412</f>
        <v>39010.66667</v>
      </c>
      <c r="B409" s="22">
        <f>'EQUITY BACKTEST'!B412</f>
        <v>1368.6</v>
      </c>
      <c r="C409" s="22">
        <f>1/'EQUITY BACKTEST'!E412</f>
        <v>0.7929585283</v>
      </c>
      <c r="D409" s="22">
        <f t="shared" si="5"/>
        <v>0.7229361079</v>
      </c>
      <c r="E409" s="22">
        <f t="shared" si="3"/>
        <v>0.002182159019</v>
      </c>
      <c r="F409" s="22">
        <f t="shared" si="6"/>
        <v>0.1602336405</v>
      </c>
      <c r="H409" s="22" t="str">
        <f t="shared" si="4"/>
        <v/>
      </c>
      <c r="I409" s="22" t="str">
        <f t="shared" si="1"/>
        <v>#N/A</v>
      </c>
      <c r="J409" s="22" t="str">
        <f t="shared" si="2"/>
        <v>#N/A</v>
      </c>
      <c r="K409" s="22" t="str">
        <f t="array" ref="K409">IF(H409="Crash",MATCH(TRUE, B410:B507 &gt;= B408, 0),"")</f>
        <v/>
      </c>
    </row>
    <row r="410" ht="15.75" customHeight="1">
      <c r="A410" s="32">
        <f>'EQUITY BACKTEST'!A413</f>
        <v>39017.66667</v>
      </c>
      <c r="B410" s="22">
        <f>'EQUITY BACKTEST'!B413</f>
        <v>1377.34</v>
      </c>
      <c r="C410" s="22">
        <f>1/'EQUITY BACKTEST'!E413</f>
        <v>0.7849909726</v>
      </c>
      <c r="D410" s="22">
        <f t="shared" si="5"/>
        <v>0.6039527859</v>
      </c>
      <c r="E410" s="22">
        <f t="shared" si="3"/>
        <v>0.006386087973</v>
      </c>
      <c r="F410" s="22">
        <f t="shared" si="6"/>
        <v>0.149306164</v>
      </c>
      <c r="H410" s="22" t="str">
        <f t="shared" si="4"/>
        <v/>
      </c>
      <c r="I410" s="22" t="str">
        <f t="shared" si="1"/>
        <v>#N/A</v>
      </c>
      <c r="J410" s="22" t="str">
        <f t="shared" si="2"/>
        <v>#N/A</v>
      </c>
      <c r="K410" s="22" t="str">
        <f t="array" ref="K410">IF(H410="Crash",MATCH(TRUE, B411:B508 &gt;= B409, 0),"")</f>
        <v/>
      </c>
    </row>
    <row r="411" ht="15.75" customHeight="1">
      <c r="A411" s="32">
        <f>'EQUITY BACKTEST'!A414</f>
        <v>39024.66667</v>
      </c>
      <c r="B411" s="22">
        <f>'EQUITY BACKTEST'!B414</f>
        <v>1364.3</v>
      </c>
      <c r="C411" s="22">
        <f>1/'EQUITY BACKTEST'!E414</f>
        <v>0.7862871521</v>
      </c>
      <c r="D411" s="22">
        <f t="shared" si="5"/>
        <v>0.4788471675</v>
      </c>
      <c r="E411" s="22">
        <f t="shared" si="3"/>
        <v>-0.009467524359</v>
      </c>
      <c r="F411" s="22">
        <f t="shared" si="6"/>
        <v>0.1181503762</v>
      </c>
      <c r="H411" s="22" t="str">
        <f t="shared" si="4"/>
        <v/>
      </c>
      <c r="I411" s="22" t="str">
        <f t="shared" si="1"/>
        <v>#N/A</v>
      </c>
      <c r="J411" s="22" t="str">
        <f t="shared" si="2"/>
        <v>#N/A</v>
      </c>
      <c r="K411" s="22" t="str">
        <f t="array" ref="K411">IF(H411="Crash",MATCH(TRUE, B412:B509 &gt;= B410, 0),"")</f>
        <v/>
      </c>
    </row>
    <row r="412" ht="15.75" customHeight="1">
      <c r="A412" s="32">
        <f>'EQUITY BACKTEST'!A415</f>
        <v>39031.66667</v>
      </c>
      <c r="B412" s="22">
        <f>'EQUITY BACKTEST'!B415</f>
        <v>1380.9</v>
      </c>
      <c r="C412" s="22">
        <f>1/'EQUITY BACKTEST'!E415</f>
        <v>0.7782101167</v>
      </c>
      <c r="D412" s="22">
        <f t="shared" si="5"/>
        <v>0.2720212905</v>
      </c>
      <c r="E412" s="22">
        <f t="shared" si="3"/>
        <v>0.01216741186</v>
      </c>
      <c r="F412" s="22">
        <f t="shared" si="6"/>
        <v>0.1183912142</v>
      </c>
      <c r="H412" s="22" t="str">
        <f t="shared" si="4"/>
        <v/>
      </c>
      <c r="I412" s="22" t="str">
        <f t="shared" si="1"/>
        <v>#N/A</v>
      </c>
      <c r="J412" s="22" t="str">
        <f t="shared" si="2"/>
        <v>#N/A</v>
      </c>
      <c r="K412" s="22" t="str">
        <f t="array" ref="K412">IF(H412="Crash",MATCH(TRUE, B413:B510 &gt;= B411, 0),"")</f>
        <v/>
      </c>
    </row>
    <row r="413" ht="15.75" customHeight="1">
      <c r="A413" s="32">
        <f>'EQUITY BACKTEST'!A416</f>
        <v>39038.66667</v>
      </c>
      <c r="B413" s="22">
        <f>'EQUITY BACKTEST'!B416</f>
        <v>1401.2</v>
      </c>
      <c r="C413" s="22">
        <f>1/'EQUITY BACKTEST'!E416</f>
        <v>0.7784524366</v>
      </c>
      <c r="D413" s="22">
        <f t="shared" si="5"/>
        <v>-0.0627531687</v>
      </c>
      <c r="E413" s="22">
        <f t="shared" si="3"/>
        <v>0.01470055761</v>
      </c>
      <c r="F413" s="22">
        <f t="shared" si="6"/>
        <v>0.1225135588</v>
      </c>
      <c r="H413" s="22" t="str">
        <f t="shared" si="4"/>
        <v/>
      </c>
      <c r="I413" s="22" t="str">
        <f t="shared" si="1"/>
        <v>#N/A</v>
      </c>
      <c r="J413" s="22" t="str">
        <f t="shared" si="2"/>
        <v>#N/A</v>
      </c>
      <c r="K413" s="22" t="str">
        <f t="array" ref="K413">IF(H413="Crash",MATCH(TRUE, B414:B511 &gt;= B412, 0),"")</f>
        <v/>
      </c>
    </row>
    <row r="414" ht="15.75" customHeight="1">
      <c r="A414" s="32">
        <f>'EQUITY BACKTEST'!A417</f>
        <v>39045.66667</v>
      </c>
      <c r="B414" s="22">
        <f>'EQUITY BACKTEST'!B417</f>
        <v>1400.95</v>
      </c>
      <c r="C414" s="22">
        <f>1/'EQUITY BACKTEST'!E417</f>
        <v>0.7645844484</v>
      </c>
      <c r="D414" s="22">
        <f t="shared" si="5"/>
        <v>-0.3830028641</v>
      </c>
      <c r="E414" s="22">
        <f t="shared" si="3"/>
        <v>-0.0001784184984</v>
      </c>
      <c r="F414" s="22">
        <f t="shared" si="6"/>
        <v>0.1046323674</v>
      </c>
      <c r="H414" s="22" t="str">
        <f t="shared" si="4"/>
        <v/>
      </c>
      <c r="I414" s="22" t="str">
        <f t="shared" si="1"/>
        <v>#N/A</v>
      </c>
      <c r="J414" s="22" t="str">
        <f t="shared" si="2"/>
        <v>#N/A</v>
      </c>
      <c r="K414" s="22" t="str">
        <f t="array" ref="K414">IF(H414="Crash",MATCH(TRUE, B415:B512 &gt;= B413, 0),"")</f>
        <v/>
      </c>
    </row>
    <row r="415" ht="15.75" customHeight="1">
      <c r="A415" s="32">
        <f>'EQUITY BACKTEST'!A418</f>
        <v>39052.66667</v>
      </c>
      <c r="B415" s="22">
        <f>'EQUITY BACKTEST'!B418</f>
        <v>1396.71</v>
      </c>
      <c r="C415" s="22">
        <f>1/'EQUITY BACKTEST'!E418</f>
        <v>0.7500187505</v>
      </c>
      <c r="D415" s="22">
        <f t="shared" si="5"/>
        <v>-0.5619845409</v>
      </c>
      <c r="E415" s="22">
        <f t="shared" si="3"/>
        <v>-0.00302651772</v>
      </c>
      <c r="F415" s="22">
        <f t="shared" si="6"/>
        <v>0.1040487558</v>
      </c>
      <c r="H415" s="22" t="str">
        <f t="shared" si="4"/>
        <v/>
      </c>
      <c r="I415" s="22" t="str">
        <f t="shared" si="1"/>
        <v>#N/A</v>
      </c>
      <c r="J415" s="22" t="str">
        <f t="shared" si="2"/>
        <v>#N/A</v>
      </c>
      <c r="K415" s="22" t="str">
        <f t="array" ref="K415">IF(H415="Crash",MATCH(TRUE, B416:B513 &gt;= B414, 0),"")</f>
        <v/>
      </c>
    </row>
    <row r="416" ht="15.75" customHeight="1">
      <c r="A416" s="32">
        <f>'EQUITY BACKTEST'!A419</f>
        <v>39059.66667</v>
      </c>
      <c r="B416" s="22">
        <f>'EQUITY BACKTEST'!B419</f>
        <v>1409.84</v>
      </c>
      <c r="C416" s="22">
        <f>1/'EQUITY BACKTEST'!E419</f>
        <v>0.7467144564</v>
      </c>
      <c r="D416" s="22">
        <f t="shared" si="5"/>
        <v>-0.669862073</v>
      </c>
      <c r="E416" s="22">
        <f t="shared" si="3"/>
        <v>0.009400662987</v>
      </c>
      <c r="F416" s="22">
        <f t="shared" si="6"/>
        <v>0.1194803751</v>
      </c>
      <c r="H416" s="22" t="str">
        <f t="shared" si="4"/>
        <v/>
      </c>
      <c r="I416" s="22" t="str">
        <f t="shared" si="1"/>
        <v>#N/A</v>
      </c>
      <c r="J416" s="22" t="str">
        <f t="shared" si="2"/>
        <v>#N/A</v>
      </c>
      <c r="K416" s="22" t="str">
        <f t="array" ref="K416">IF(H416="Crash",MATCH(TRUE, B417:B514 &gt;= B415, 0),"")</f>
        <v/>
      </c>
    </row>
    <row r="417" ht="15.75" customHeight="1">
      <c r="A417" s="32">
        <f>'EQUITY BACKTEST'!A420</f>
        <v>39066.66667</v>
      </c>
      <c r="B417" s="22">
        <f>'EQUITY BACKTEST'!B420</f>
        <v>1427.09</v>
      </c>
      <c r="C417" s="22">
        <f>1/'EQUITY BACKTEST'!E420</f>
        <v>0.7637085688</v>
      </c>
      <c r="D417" s="22">
        <f t="shared" si="5"/>
        <v>-0.6850250079</v>
      </c>
      <c r="E417" s="22">
        <f t="shared" si="3"/>
        <v>0.01223543097</v>
      </c>
      <c r="F417" s="22">
        <f t="shared" si="6"/>
        <v>0.1260691854</v>
      </c>
      <c r="H417" s="22" t="str">
        <f t="shared" si="4"/>
        <v/>
      </c>
      <c r="I417" s="22" t="str">
        <f t="shared" si="1"/>
        <v>#N/A</v>
      </c>
      <c r="J417" s="22" t="str">
        <f t="shared" si="2"/>
        <v>#N/A</v>
      </c>
      <c r="K417" s="22" t="str">
        <f t="array" ref="K417">IF(H417="Crash",MATCH(TRUE, B418:B515 &gt;= B416, 0),"")</f>
        <v/>
      </c>
    </row>
    <row r="418" ht="15.75" customHeight="1">
      <c r="A418" s="32">
        <f>'EQUITY BACKTEST'!A421</f>
        <v>39073.66667</v>
      </c>
      <c r="B418" s="22">
        <f>'EQUITY BACKTEST'!B421</f>
        <v>1410.76</v>
      </c>
      <c r="C418" s="22">
        <f>1/'EQUITY BACKTEST'!E421</f>
        <v>0.7624275694</v>
      </c>
      <c r="D418" s="22">
        <f t="shared" si="5"/>
        <v>-0.7992392374</v>
      </c>
      <c r="E418" s="22">
        <f t="shared" si="3"/>
        <v>-0.01144286625</v>
      </c>
      <c r="F418" s="22">
        <f t="shared" si="6"/>
        <v>0.1120079454</v>
      </c>
      <c r="H418" s="22" t="str">
        <f t="shared" si="4"/>
        <v/>
      </c>
      <c r="I418" s="22" t="str">
        <f t="shared" si="1"/>
        <v>#N/A</v>
      </c>
      <c r="J418" s="22" t="str">
        <f t="shared" si="2"/>
        <v>#N/A</v>
      </c>
      <c r="K418" s="22" t="str">
        <f t="array" ref="K418">IF(H418="Crash",MATCH(TRUE, B419:B516 &gt;= B417, 0),"")</f>
        <v/>
      </c>
    </row>
    <row r="419" ht="15.75" customHeight="1">
      <c r="A419" s="32">
        <f>'EQUITY BACKTEST'!A422</f>
        <v>39080.66667</v>
      </c>
      <c r="B419" s="22">
        <f>'EQUITY BACKTEST'!B422</f>
        <v>1418.3</v>
      </c>
      <c r="C419" s="22">
        <f>1/'EQUITY BACKTEST'!E422</f>
        <v>0.7579777155</v>
      </c>
      <c r="D419" s="22">
        <f t="shared" si="5"/>
        <v>-0.832926294</v>
      </c>
      <c r="E419" s="22">
        <f t="shared" si="3"/>
        <v>0.005344636933</v>
      </c>
      <c r="F419" s="22">
        <f t="shared" si="6"/>
        <v>0.1361943138</v>
      </c>
      <c r="H419" s="22" t="str">
        <f t="shared" si="4"/>
        <v/>
      </c>
      <c r="I419" s="22" t="str">
        <f t="shared" si="1"/>
        <v>#N/A</v>
      </c>
      <c r="J419" s="22" t="str">
        <f t="shared" si="2"/>
        <v>#N/A</v>
      </c>
      <c r="K419" s="22" t="str">
        <f t="array" ref="K419">IF(H419="Crash",MATCH(TRUE, B420:B517 &gt;= B418, 0),"")</f>
        <v/>
      </c>
    </row>
    <row r="420" ht="15.75" customHeight="1">
      <c r="A420" s="32">
        <f>'EQUITY BACKTEST'!A423</f>
        <v>39087.66667</v>
      </c>
      <c r="B420" s="22">
        <f>'EQUITY BACKTEST'!B423</f>
        <v>1409.71</v>
      </c>
      <c r="C420" s="22">
        <f>1/'EQUITY BACKTEST'!E423</f>
        <v>0.7702973348</v>
      </c>
      <c r="D420" s="22">
        <f t="shared" si="5"/>
        <v>-0.7997365529</v>
      </c>
      <c r="E420" s="22">
        <f t="shared" si="3"/>
        <v>-0.00605654657</v>
      </c>
      <c r="F420" s="22">
        <f t="shared" si="6"/>
        <v>0.09666653701</v>
      </c>
      <c r="H420" s="22" t="str">
        <f t="shared" si="4"/>
        <v/>
      </c>
      <c r="I420" s="22" t="str">
        <f t="shared" si="1"/>
        <v>#N/A</v>
      </c>
      <c r="J420" s="22" t="str">
        <f t="shared" si="2"/>
        <v>#N/A</v>
      </c>
      <c r="K420" s="22" t="str">
        <f t="array" ref="K420">IF(H420="Crash",MATCH(TRUE, B421:B518 &gt;= B419, 0),"")</f>
        <v/>
      </c>
    </row>
    <row r="421" ht="15.75" customHeight="1">
      <c r="A421" s="32">
        <f>'EQUITY BACKTEST'!A424</f>
        <v>39094.66667</v>
      </c>
      <c r="B421" s="22">
        <f>'EQUITY BACKTEST'!B424</f>
        <v>1430.73</v>
      </c>
      <c r="C421" s="22">
        <f>1/'EQUITY BACKTEST'!E424</f>
        <v>0.773993808</v>
      </c>
      <c r="D421" s="22">
        <f t="shared" si="5"/>
        <v>-0.6377716242</v>
      </c>
      <c r="E421" s="22">
        <f t="shared" si="3"/>
        <v>0.01491086819</v>
      </c>
      <c r="F421" s="22">
        <f t="shared" si="6"/>
        <v>0.1111516686</v>
      </c>
      <c r="H421" s="22" t="str">
        <f t="shared" si="4"/>
        <v/>
      </c>
      <c r="I421" s="22" t="str">
        <f t="shared" si="1"/>
        <v>#N/A</v>
      </c>
      <c r="J421" s="22" t="str">
        <f t="shared" si="2"/>
        <v>#N/A</v>
      </c>
      <c r="K421" s="22" t="str">
        <f t="array" ref="K421">IF(H421="Crash",MATCH(TRUE, B422:B519 &gt;= B420, 0),"")</f>
        <v/>
      </c>
    </row>
    <row r="422" ht="15.75" customHeight="1">
      <c r="A422" s="32">
        <f>'EQUITY BACKTEST'!A425</f>
        <v>39101.66667</v>
      </c>
      <c r="B422" s="22">
        <f>'EQUITY BACKTEST'!B425</f>
        <v>1430.5</v>
      </c>
      <c r="C422" s="22">
        <f>1/'EQUITY BACKTEST'!E425</f>
        <v>0.7719027403</v>
      </c>
      <c r="D422" s="22">
        <f t="shared" si="5"/>
        <v>-0.4667368002</v>
      </c>
      <c r="E422" s="22">
        <f t="shared" si="3"/>
        <v>-0.000160757096</v>
      </c>
      <c r="F422" s="22">
        <f t="shared" si="6"/>
        <v>0.1339764881</v>
      </c>
      <c r="H422" s="22" t="str">
        <f t="shared" si="4"/>
        <v/>
      </c>
      <c r="I422" s="22" t="str">
        <f t="shared" si="1"/>
        <v>#N/A</v>
      </c>
      <c r="J422" s="22" t="str">
        <f t="shared" si="2"/>
        <v>#N/A</v>
      </c>
      <c r="K422" s="22" t="str">
        <f t="array" ref="K422">IF(H422="Crash",MATCH(TRUE, B423:B520 &gt;= B421, 0),"")</f>
        <v/>
      </c>
    </row>
    <row r="423" ht="15.75" customHeight="1">
      <c r="A423" s="32">
        <f>'EQUITY BACKTEST'!A426</f>
        <v>39108.66667</v>
      </c>
      <c r="B423" s="22">
        <f>'EQUITY BACKTEST'!B426</f>
        <v>1422.18</v>
      </c>
      <c r="C423" s="22">
        <f>1/'EQUITY BACKTEST'!E426</f>
        <v>0.7745933385</v>
      </c>
      <c r="D423" s="22">
        <f t="shared" si="5"/>
        <v>-0.3113988741</v>
      </c>
      <c r="E423" s="22">
        <f t="shared" si="3"/>
        <v>-0.0058161482</v>
      </c>
      <c r="F423" s="22">
        <f t="shared" si="6"/>
        <v>0.1078584115</v>
      </c>
      <c r="H423" s="22" t="str">
        <f t="shared" si="4"/>
        <v/>
      </c>
      <c r="I423" s="22" t="str">
        <f t="shared" si="1"/>
        <v>#N/A</v>
      </c>
      <c r="J423" s="22" t="str">
        <f t="shared" si="2"/>
        <v>#N/A</v>
      </c>
      <c r="K423" s="22" t="str">
        <f t="array" ref="K423">IF(H423="Crash",MATCH(TRUE, B424:B521 &gt;= B422, 0),"")</f>
        <v/>
      </c>
    </row>
    <row r="424" ht="15.75" customHeight="1">
      <c r="A424" s="32">
        <f>'EQUITY BACKTEST'!A427</f>
        <v>39115.66667</v>
      </c>
      <c r="B424" s="22">
        <f>'EQUITY BACKTEST'!B427</f>
        <v>1448.39</v>
      </c>
      <c r="C424" s="22">
        <f>1/'EQUITY BACKTEST'!E427</f>
        <v>0.7716049383</v>
      </c>
      <c r="D424" s="22">
        <f t="shared" si="5"/>
        <v>0.1074440625</v>
      </c>
      <c r="E424" s="22">
        <f t="shared" si="3"/>
        <v>0.01842945337</v>
      </c>
      <c r="F424" s="22">
        <f t="shared" si="6"/>
        <v>0.1458509687</v>
      </c>
      <c r="H424" s="22" t="str">
        <f t="shared" si="4"/>
        <v/>
      </c>
      <c r="I424" s="22" t="str">
        <f t="shared" si="1"/>
        <v>#N/A</v>
      </c>
      <c r="J424" s="22" t="str">
        <f t="shared" si="2"/>
        <v>#N/A</v>
      </c>
      <c r="K424" s="22" t="str">
        <f t="array" ref="K424">IF(H424="Crash",MATCH(TRUE, B425:B522 &gt;= B423, 0),"")</f>
        <v/>
      </c>
    </row>
    <row r="425" ht="15.75" customHeight="1">
      <c r="A425" s="32">
        <f>'EQUITY BACKTEST'!A428</f>
        <v>39122.66667</v>
      </c>
      <c r="B425" s="22">
        <f>'EQUITY BACKTEST'!B428</f>
        <v>1438.06</v>
      </c>
      <c r="C425" s="22">
        <f>1/'EQUITY BACKTEST'!E428</f>
        <v>0.7689941556</v>
      </c>
      <c r="D425" s="22">
        <f t="shared" si="5"/>
        <v>0.4021205859</v>
      </c>
      <c r="E425" s="22">
        <f t="shared" si="3"/>
        <v>-0.007132056974</v>
      </c>
      <c r="F425" s="22">
        <f t="shared" si="6"/>
        <v>0.1350207973</v>
      </c>
      <c r="H425" s="22" t="str">
        <f t="shared" si="4"/>
        <v/>
      </c>
      <c r="I425" s="22" t="str">
        <f t="shared" si="1"/>
        <v>#N/A</v>
      </c>
      <c r="J425" s="22" t="str">
        <f t="shared" si="2"/>
        <v>#N/A</v>
      </c>
      <c r="K425" s="22" t="str">
        <f t="array" ref="K425">IF(H425="Crash",MATCH(TRUE, B426:B523 &gt;= B424, 0),"")</f>
        <v/>
      </c>
    </row>
    <row r="426" ht="15.75" customHeight="1">
      <c r="A426" s="32">
        <f>'EQUITY BACKTEST'!A429</f>
        <v>39129.66667</v>
      </c>
      <c r="B426" s="22">
        <f>'EQUITY BACKTEST'!B429</f>
        <v>1455.54</v>
      </c>
      <c r="C426" s="22">
        <f>1/'EQUITY BACKTEST'!E429</f>
        <v>0.7609770946</v>
      </c>
      <c r="D426" s="22">
        <f t="shared" si="5"/>
        <v>0.4488051958</v>
      </c>
      <c r="E426" s="22">
        <f t="shared" si="3"/>
        <v>0.01215526473</v>
      </c>
      <c r="F426" s="22">
        <f t="shared" si="6"/>
        <v>0.1307448494</v>
      </c>
      <c r="H426" s="22" t="str">
        <f t="shared" si="4"/>
        <v/>
      </c>
      <c r="I426" s="22" t="str">
        <f t="shared" si="1"/>
        <v>#N/A</v>
      </c>
      <c r="J426" s="22" t="str">
        <f t="shared" si="2"/>
        <v>#N/A</v>
      </c>
      <c r="K426" s="22" t="str">
        <f t="array" ref="K426">IF(H426="Crash",MATCH(TRUE, B427:B524 &gt;= B425, 0),"")</f>
        <v/>
      </c>
    </row>
    <row r="427" ht="15.75" customHeight="1">
      <c r="A427" s="32">
        <f>'EQUITY BACKTEST'!A430</f>
        <v>39136.66667</v>
      </c>
      <c r="B427" s="22">
        <f>'EQUITY BACKTEST'!B430</f>
        <v>1451.19</v>
      </c>
      <c r="C427" s="22">
        <f>1/'EQUITY BACKTEST'!E430</f>
        <v>0.7595321282</v>
      </c>
      <c r="D427" s="22">
        <f t="shared" si="5"/>
        <v>0.3767440965</v>
      </c>
      <c r="E427" s="22">
        <f t="shared" si="3"/>
        <v>-0.002988581557</v>
      </c>
      <c r="F427" s="22">
        <f t="shared" si="6"/>
        <v>0.1254507806</v>
      </c>
      <c r="H427" s="22" t="str">
        <f t="shared" si="4"/>
        <v/>
      </c>
      <c r="I427" s="22" t="str">
        <f t="shared" si="1"/>
        <v>#N/A</v>
      </c>
      <c r="J427" s="22" t="str">
        <f t="shared" si="2"/>
        <v>#N/A</v>
      </c>
      <c r="K427" s="22" t="str">
        <f t="array" ref="K427">IF(H427="Crash",MATCH(TRUE, B428:B525 &gt;= B426, 0),"")</f>
        <v/>
      </c>
    </row>
    <row r="428" ht="15.75" customHeight="1">
      <c r="A428" s="32">
        <f>'EQUITY BACKTEST'!A431</f>
        <v>39143.66667</v>
      </c>
      <c r="B428" s="22">
        <f>'EQUITY BACKTEST'!B431</f>
        <v>1387.17</v>
      </c>
      <c r="C428" s="22">
        <f>1/'EQUITY BACKTEST'!E431</f>
        <v>0.7598206823</v>
      </c>
      <c r="D428" s="22">
        <f t="shared" si="5"/>
        <v>0.2557582761</v>
      </c>
      <c r="E428" s="22">
        <f t="shared" si="3"/>
        <v>-0.04411551899</v>
      </c>
      <c r="F428" s="22">
        <f t="shared" si="6"/>
        <v>0.07763958267</v>
      </c>
      <c r="H428" s="22" t="str">
        <f t="shared" si="4"/>
        <v/>
      </c>
      <c r="I428" s="22" t="str">
        <f t="shared" si="1"/>
        <v>#N/A</v>
      </c>
      <c r="J428" s="22" t="str">
        <f t="shared" si="2"/>
        <v>#N/A</v>
      </c>
      <c r="K428" s="22" t="str">
        <f t="array" ref="K428">IF(H428="Crash",MATCH(TRUE, B429:B526 &gt;= B427, 0),"")</f>
        <v/>
      </c>
    </row>
    <row r="429" ht="15.75" customHeight="1">
      <c r="A429" s="32">
        <f>'EQUITY BACKTEST'!A432</f>
        <v>39150.66667</v>
      </c>
      <c r="B429" s="22">
        <f>'EQUITY BACKTEST'!B432</f>
        <v>1402.85</v>
      </c>
      <c r="C429" s="22">
        <f>1/'EQUITY BACKTEST'!E432</f>
        <v>0.7625438463</v>
      </c>
      <c r="D429" s="22">
        <f t="shared" si="5"/>
        <v>0.170619994</v>
      </c>
      <c r="E429" s="22">
        <f t="shared" si="3"/>
        <v>0.01130358932</v>
      </c>
      <c r="F429" s="22">
        <f t="shared" si="6"/>
        <v>0.09462538429</v>
      </c>
      <c r="H429" s="22" t="str">
        <f t="shared" si="4"/>
        <v/>
      </c>
      <c r="I429" s="22" t="str">
        <f t="shared" si="1"/>
        <v>#N/A</v>
      </c>
      <c r="J429" s="22" t="str">
        <f t="shared" si="2"/>
        <v>#N/A</v>
      </c>
      <c r="K429" s="22" t="str">
        <f t="array" ref="K429">IF(H429="Crash",MATCH(TRUE, B430:B527 &gt;= B428, 0),"")</f>
        <v/>
      </c>
    </row>
    <row r="430" ht="15.75" customHeight="1">
      <c r="A430" s="32">
        <f>'EQUITY BACKTEST'!A433</f>
        <v>39157.66667</v>
      </c>
      <c r="B430" s="22">
        <f>'EQUITY BACKTEST'!B433</f>
        <v>1386.95</v>
      </c>
      <c r="C430" s="22">
        <f>1/'EQUITY BACKTEST'!E433</f>
        <v>0.7510326699</v>
      </c>
      <c r="D430" s="22">
        <f t="shared" si="5"/>
        <v>0.3975682531</v>
      </c>
      <c r="E430" s="22">
        <f t="shared" si="3"/>
        <v>-0.01133406993</v>
      </c>
      <c r="F430" s="22">
        <f t="shared" si="6"/>
        <v>0.06096768024</v>
      </c>
      <c r="H430" s="22" t="str">
        <f t="shared" si="4"/>
        <v/>
      </c>
      <c r="I430" s="22" t="str">
        <f t="shared" si="1"/>
        <v>#N/A</v>
      </c>
      <c r="J430" s="22" t="str">
        <f t="shared" si="2"/>
        <v>#N/A</v>
      </c>
      <c r="K430" s="22" t="str">
        <f t="array" ref="K430">IF(H430="Crash",MATCH(TRUE, B431:B528 &gt;= B429, 0),"")</f>
        <v/>
      </c>
    </row>
    <row r="431" ht="15.75" customHeight="1">
      <c r="A431" s="32">
        <f>'EQUITY BACKTEST'!A434</f>
        <v>39164.66667</v>
      </c>
      <c r="B431" s="22">
        <f>'EQUITY BACKTEST'!B434</f>
        <v>1436.11</v>
      </c>
      <c r="C431" s="22">
        <f>1/'EQUITY BACKTEST'!E434</f>
        <v>0.7529553497</v>
      </c>
      <c r="D431" s="22">
        <f t="shared" si="5"/>
        <v>0.2805998048</v>
      </c>
      <c r="E431" s="22">
        <f t="shared" si="3"/>
        <v>0.03544468077</v>
      </c>
      <c r="F431" s="22">
        <f t="shared" si="6"/>
        <v>0.1021988564</v>
      </c>
      <c r="H431" s="22" t="str">
        <f t="shared" si="4"/>
        <v/>
      </c>
      <c r="I431" s="22" t="str">
        <f t="shared" si="1"/>
        <v>#N/A</v>
      </c>
      <c r="J431" s="22" t="str">
        <f t="shared" si="2"/>
        <v>#N/A</v>
      </c>
      <c r="K431" s="22" t="str">
        <f t="array" ref="K431">IF(H431="Crash",MATCH(TRUE, B432:B529 &gt;= B430, 0),"")</f>
        <v/>
      </c>
    </row>
    <row r="432" ht="15.75" customHeight="1">
      <c r="A432" s="32">
        <f>'EQUITY BACKTEST'!A435</f>
        <v>39171.66667</v>
      </c>
      <c r="B432" s="22">
        <f>'EQUITY BACKTEST'!B435</f>
        <v>1420.86</v>
      </c>
      <c r="C432" s="22">
        <f>1/'EQUITY BACKTEST'!E435</f>
        <v>0.7487271638</v>
      </c>
      <c r="D432" s="22">
        <f t="shared" si="5"/>
        <v>0.2586574565</v>
      </c>
      <c r="E432" s="22">
        <f t="shared" si="3"/>
        <v>-0.01061896373</v>
      </c>
      <c r="F432" s="22">
        <f t="shared" si="6"/>
        <v>0.09733324066</v>
      </c>
      <c r="H432" s="22" t="str">
        <f t="shared" si="4"/>
        <v/>
      </c>
      <c r="I432" s="22" t="str">
        <f t="shared" si="1"/>
        <v>#N/A</v>
      </c>
      <c r="J432" s="22" t="str">
        <f t="shared" si="2"/>
        <v>#N/A</v>
      </c>
      <c r="K432" s="22" t="str">
        <f t="array" ref="K432">IF(H432="Crash",MATCH(TRUE, B433:B530 &gt;= B431, 0),"")</f>
        <v/>
      </c>
    </row>
    <row r="433" ht="15.75" customHeight="1">
      <c r="A433" s="32">
        <f>'EQUITY BACKTEST'!A436</f>
        <v>39178.66667</v>
      </c>
      <c r="B433" s="22">
        <f>'EQUITY BACKTEST'!B436</f>
        <v>1437.34</v>
      </c>
      <c r="C433" s="22">
        <f>1/'EQUITY BACKTEST'!E436</f>
        <v>0.7463800567</v>
      </c>
      <c r="D433" s="22">
        <f t="shared" si="5"/>
        <v>0.2112550062</v>
      </c>
      <c r="E433" s="22">
        <f t="shared" si="3"/>
        <v>0.01159860929</v>
      </c>
      <c r="F433" s="22">
        <f t="shared" si="6"/>
        <v>0.1094866847</v>
      </c>
      <c r="H433" s="22" t="str">
        <f t="shared" si="4"/>
        <v/>
      </c>
      <c r="I433" s="22" t="str">
        <f t="shared" si="1"/>
        <v>#N/A</v>
      </c>
      <c r="J433" s="22" t="str">
        <f t="shared" si="2"/>
        <v>#N/A</v>
      </c>
      <c r="K433" s="22" t="str">
        <f t="array" ref="K433">IF(H433="Crash",MATCH(TRUE, B434:B531 &gt;= B432, 0),"")</f>
        <v/>
      </c>
    </row>
    <row r="434" ht="15.75" customHeight="1">
      <c r="A434" s="32">
        <f>'EQUITY BACKTEST'!A437</f>
        <v>39185.66667</v>
      </c>
      <c r="B434" s="22">
        <f>'EQUITY BACKTEST'!B437</f>
        <v>1452.85</v>
      </c>
      <c r="C434" s="22">
        <f>1/'EQUITY BACKTEST'!E437</f>
        <v>0.7393168712</v>
      </c>
      <c r="D434" s="22">
        <f t="shared" si="5"/>
        <v>-0.004213194069</v>
      </c>
      <c r="E434" s="22">
        <f t="shared" si="3"/>
        <v>0.01079076628</v>
      </c>
      <c r="F434" s="22">
        <f t="shared" si="6"/>
        <v>0.1435081699</v>
      </c>
      <c r="H434" s="22" t="str">
        <f t="shared" si="4"/>
        <v/>
      </c>
      <c r="I434" s="22" t="str">
        <f t="shared" si="1"/>
        <v>#N/A</v>
      </c>
      <c r="J434" s="22" t="str">
        <f t="shared" si="2"/>
        <v>#N/A</v>
      </c>
      <c r="K434" s="22" t="str">
        <f t="array" ref="K434">IF(H434="Crash",MATCH(TRUE, B435:B532 &gt;= B433, 0),"")</f>
        <v/>
      </c>
    </row>
    <row r="435" ht="15.75" customHeight="1">
      <c r="A435" s="32">
        <f>'EQUITY BACKTEST'!A438</f>
        <v>39192.66667</v>
      </c>
      <c r="B435" s="22">
        <f>'EQUITY BACKTEST'!B438</f>
        <v>1484.35</v>
      </c>
      <c r="C435" s="22">
        <f>1/'EQUITY BACKTEST'!E438</f>
        <v>0.7361601885</v>
      </c>
      <c r="D435" s="22">
        <f t="shared" si="5"/>
        <v>-0.290991972</v>
      </c>
      <c r="E435" s="22">
        <f t="shared" si="3"/>
        <v>0.02168152252</v>
      </c>
      <c r="F435" s="22">
        <f t="shared" si="6"/>
        <v>0.1319855408</v>
      </c>
      <c r="H435" s="22" t="str">
        <f t="shared" si="4"/>
        <v/>
      </c>
      <c r="I435" s="22" t="str">
        <f t="shared" si="1"/>
        <v>#N/A</v>
      </c>
      <c r="J435" s="22" t="str">
        <f t="shared" si="2"/>
        <v>#N/A</v>
      </c>
      <c r="K435" s="22" t="str">
        <f t="array" ref="K435">IF(H435="Crash",MATCH(TRUE, B436:B533 &gt;= B434, 0),"")</f>
        <v/>
      </c>
    </row>
    <row r="436" ht="15.75" customHeight="1">
      <c r="A436" s="32">
        <f>'EQUITY BACKTEST'!A439</f>
        <v>39199.66667</v>
      </c>
      <c r="B436" s="22">
        <f>'EQUITY BACKTEST'!B439</f>
        <v>1494.07</v>
      </c>
      <c r="C436" s="22">
        <f>1/'EQUITY BACKTEST'!E439</f>
        <v>0.7324934076</v>
      </c>
      <c r="D436" s="22">
        <f t="shared" si="5"/>
        <v>-0.4611311542</v>
      </c>
      <c r="E436" s="22">
        <f t="shared" si="3"/>
        <v>0.006548320814</v>
      </c>
      <c r="F436" s="22">
        <f t="shared" si="6"/>
        <v>0.1399806197</v>
      </c>
      <c r="H436" s="22" t="str">
        <f t="shared" si="4"/>
        <v/>
      </c>
      <c r="I436" s="22" t="str">
        <f t="shared" si="1"/>
        <v>#N/A</v>
      </c>
      <c r="J436" s="22" t="str">
        <f t="shared" si="2"/>
        <v>#N/A</v>
      </c>
      <c r="K436" s="22" t="str">
        <f t="array" ref="K436">IF(H436="Crash",MATCH(TRUE, B437:B534 &gt;= B435, 0),"")</f>
        <v/>
      </c>
    </row>
    <row r="437" ht="15.75" customHeight="1">
      <c r="A437" s="32">
        <f>'EQUITY BACKTEST'!A440</f>
        <v>39206.66667</v>
      </c>
      <c r="B437" s="22">
        <f>'EQUITY BACKTEST'!B440</f>
        <v>1505.62</v>
      </c>
      <c r="C437" s="22">
        <f>1/'EQUITY BACKTEST'!E440</f>
        <v>0.7361059993</v>
      </c>
      <c r="D437" s="22">
        <f t="shared" si="5"/>
        <v>-0.6406137404</v>
      </c>
      <c r="E437" s="22">
        <f t="shared" si="3"/>
        <v>0.007730561486</v>
      </c>
      <c r="F437" s="22">
        <f t="shared" si="6"/>
        <v>0.1356655805</v>
      </c>
      <c r="H437" s="22" t="str">
        <f t="shared" si="4"/>
        <v/>
      </c>
      <c r="I437" s="22" t="str">
        <f t="shared" si="1"/>
        <v>#N/A</v>
      </c>
      <c r="J437" s="22" t="str">
        <f t="shared" si="2"/>
        <v>#N/A</v>
      </c>
      <c r="K437" s="22" t="str">
        <f t="array" ref="K437">IF(H437="Crash",MATCH(TRUE, B438:B535 &gt;= B436, 0),"")</f>
        <v/>
      </c>
    </row>
    <row r="438" ht="15.75" customHeight="1">
      <c r="A438" s="32">
        <f>'EQUITY BACKTEST'!A441</f>
        <v>39213.66667</v>
      </c>
      <c r="B438" s="22">
        <f>'EQUITY BACKTEST'!B441</f>
        <v>1505.85</v>
      </c>
      <c r="C438" s="22">
        <f>1/'EQUITY BACKTEST'!E441</f>
        <v>0.7394262053</v>
      </c>
      <c r="D438" s="22">
        <f t="shared" si="5"/>
        <v>-0.7272779564</v>
      </c>
      <c r="E438" s="22">
        <f t="shared" si="3"/>
        <v>0.0001527609888</v>
      </c>
      <c r="F438" s="22">
        <f t="shared" si="6"/>
        <v>0.1662045785</v>
      </c>
      <c r="H438" s="22" t="str">
        <f t="shared" si="4"/>
        <v/>
      </c>
      <c r="I438" s="22" t="str">
        <f t="shared" si="1"/>
        <v>#N/A</v>
      </c>
      <c r="J438" s="22" t="str">
        <f t="shared" si="2"/>
        <v>#N/A</v>
      </c>
      <c r="K438" s="22" t="str">
        <f t="array" ref="K438">IF(H438="Crash",MATCH(TRUE, B439:B536 &gt;= B437, 0),"")</f>
        <v/>
      </c>
    </row>
    <row r="439" ht="15.75" customHeight="1">
      <c r="A439" s="32">
        <f>'EQUITY BACKTEST'!A442</f>
        <v>39220.66667</v>
      </c>
      <c r="B439" s="22">
        <f>'EQUITY BACKTEST'!B442</f>
        <v>1522.75</v>
      </c>
      <c r="C439" s="22">
        <f>1/'EQUITY BACKTEST'!E442</f>
        <v>0.74019245</v>
      </c>
      <c r="D439" s="22">
        <f t="shared" si="5"/>
        <v>-0.7892251102</v>
      </c>
      <c r="E439" s="22">
        <f t="shared" si="3"/>
        <v>0.01122289737</v>
      </c>
      <c r="F439" s="22">
        <f t="shared" si="6"/>
        <v>0.2018263182</v>
      </c>
      <c r="H439" s="22" t="str">
        <f t="shared" si="4"/>
        <v/>
      </c>
      <c r="I439" s="22" t="str">
        <f t="shared" si="1"/>
        <v>#N/A</v>
      </c>
      <c r="J439" s="22" t="str">
        <f t="shared" si="2"/>
        <v>#N/A</v>
      </c>
      <c r="K439" s="22" t="str">
        <f t="array" ref="K439">IF(H439="Crash",MATCH(TRUE, B440:B537 &gt;= B438, 0),"")</f>
        <v/>
      </c>
    </row>
    <row r="440" ht="15.75" customHeight="1">
      <c r="A440" s="32">
        <f>'EQUITY BACKTEST'!A443</f>
        <v>39227.66667</v>
      </c>
      <c r="B440" s="22">
        <f>'EQUITY BACKTEST'!B443</f>
        <v>1515.73</v>
      </c>
      <c r="C440" s="22">
        <f>1/'EQUITY BACKTEST'!E443</f>
        <v>0.7437709186</v>
      </c>
      <c r="D440" s="22">
        <f t="shared" si="5"/>
        <v>-0.8136502817</v>
      </c>
      <c r="E440" s="22">
        <f t="shared" si="3"/>
        <v>-0.004610080447</v>
      </c>
      <c r="F440" s="22">
        <f t="shared" si="6"/>
        <v>0.1840160605</v>
      </c>
      <c r="H440" s="22" t="str">
        <f t="shared" si="4"/>
        <v/>
      </c>
      <c r="I440" s="22" t="str">
        <f t="shared" si="1"/>
        <v>#N/A</v>
      </c>
      <c r="J440" s="22" t="str">
        <f t="shared" si="2"/>
        <v>#N/A</v>
      </c>
      <c r="K440" s="22" t="str">
        <f t="array" ref="K440">IF(H440="Crash",MATCH(TRUE, B441:B538 &gt;= B439, 0),"")</f>
        <v/>
      </c>
    </row>
    <row r="441" ht="15.75" customHeight="1">
      <c r="A441" s="32">
        <f>'EQUITY BACKTEST'!A444</f>
        <v>39234.66667</v>
      </c>
      <c r="B441" s="22">
        <f>'EQUITY BACKTEST'!B444</f>
        <v>1536.34</v>
      </c>
      <c r="C441" s="22">
        <f>1/'EQUITY BACKTEST'!E444</f>
        <v>0.7442691277</v>
      </c>
      <c r="D441" s="22">
        <f t="shared" si="5"/>
        <v>-0.697951869</v>
      </c>
      <c r="E441" s="22">
        <f t="shared" si="3"/>
        <v>0.01359740851</v>
      </c>
      <c r="F441" s="22">
        <f t="shared" si="6"/>
        <v>0.1926068529</v>
      </c>
      <c r="H441" s="22" t="str">
        <f t="shared" si="4"/>
        <v/>
      </c>
      <c r="I441" s="22" t="str">
        <f t="shared" si="1"/>
        <v>#N/A</v>
      </c>
      <c r="J441" s="22" t="str">
        <f t="shared" si="2"/>
        <v>#N/A</v>
      </c>
      <c r="K441" s="22" t="str">
        <f t="array" ref="K441">IF(H441="Crash",MATCH(TRUE, B442:B539 &gt;= B440, 0),"")</f>
        <v/>
      </c>
    </row>
    <row r="442" ht="15.75" customHeight="1">
      <c r="A442" s="32">
        <f>'EQUITY BACKTEST'!A445</f>
        <v>39241.66667</v>
      </c>
      <c r="B442" s="22">
        <f>'EQUITY BACKTEST'!B445</f>
        <v>1507.67</v>
      </c>
      <c r="C442" s="22">
        <f>1/'EQUITY BACKTEST'!E445</f>
        <v>0.7477753683</v>
      </c>
      <c r="D442" s="22">
        <f t="shared" si="5"/>
        <v>-0.5528018685</v>
      </c>
      <c r="E442" s="22">
        <f t="shared" si="3"/>
        <v>-0.01866123384</v>
      </c>
      <c r="F442" s="22">
        <f t="shared" si="6"/>
        <v>0.2039207858</v>
      </c>
      <c r="H442" s="22" t="str">
        <f t="shared" si="4"/>
        <v/>
      </c>
      <c r="I442" s="22" t="str">
        <f t="shared" si="1"/>
        <v>#N/A</v>
      </c>
      <c r="J442" s="22" t="str">
        <f t="shared" si="2"/>
        <v>#N/A</v>
      </c>
      <c r="K442" s="22" t="str">
        <f t="array" ref="K442">IF(H442="Crash",MATCH(TRUE, B443:B540 &gt;= B441, 0),"")</f>
        <v/>
      </c>
    </row>
    <row r="443" ht="15.75" customHeight="1">
      <c r="A443" s="32">
        <f>'EQUITY BACKTEST'!A446</f>
        <v>39248.66667</v>
      </c>
      <c r="B443" s="22">
        <f>'EQUITY BACKTEST'!B446</f>
        <v>1532.91</v>
      </c>
      <c r="C443" s="22">
        <f>1/'EQUITY BACKTEST'!E446</f>
        <v>0.7476635514</v>
      </c>
      <c r="D443" s="22">
        <f t="shared" si="5"/>
        <v>-0.3122326452</v>
      </c>
      <c r="E443" s="22">
        <f t="shared" si="3"/>
        <v>0.01674106403</v>
      </c>
      <c r="F443" s="22">
        <f t="shared" si="6"/>
        <v>0.224819023</v>
      </c>
      <c r="H443" s="22" t="str">
        <f t="shared" si="4"/>
        <v/>
      </c>
      <c r="I443" s="22" t="str">
        <f t="shared" si="1"/>
        <v>#N/A</v>
      </c>
      <c r="J443" s="22" t="str">
        <f t="shared" si="2"/>
        <v>#N/A</v>
      </c>
      <c r="K443" s="22" t="str">
        <f t="array" ref="K443">IF(H443="Crash",MATCH(TRUE, B444:B541 &gt;= B442, 0),"")</f>
        <v/>
      </c>
    </row>
    <row r="444" ht="15.75" customHeight="1">
      <c r="A444" s="32">
        <f>'EQUITY BACKTEST'!A447</f>
        <v>39255.66667</v>
      </c>
      <c r="B444" s="22">
        <f>'EQUITY BACKTEST'!B447</f>
        <v>1502.56</v>
      </c>
      <c r="C444" s="22">
        <f>1/'EQUITY BACKTEST'!E447</f>
        <v>0.7426110203</v>
      </c>
      <c r="D444" s="22">
        <f t="shared" si="5"/>
        <v>-0.1296384939</v>
      </c>
      <c r="E444" s="22">
        <f t="shared" si="3"/>
        <v>-0.01979894449</v>
      </c>
      <c r="F444" s="22">
        <f t="shared" si="6"/>
        <v>0.2073603857</v>
      </c>
      <c r="H444" s="22" t="str">
        <f t="shared" si="4"/>
        <v/>
      </c>
      <c r="I444" s="22" t="str">
        <f t="shared" si="1"/>
        <v>#N/A</v>
      </c>
      <c r="J444" s="22" t="str">
        <f t="shared" si="2"/>
        <v>#N/A</v>
      </c>
      <c r="K444" s="22" t="str">
        <f t="array" ref="K444">IF(H444="Crash",MATCH(TRUE, B445:B542 &gt;= B443, 0),"")</f>
        <v/>
      </c>
    </row>
    <row r="445" ht="15.75" customHeight="1">
      <c r="A445" s="32">
        <f>'EQUITY BACKTEST'!A448</f>
        <v>39262.66667</v>
      </c>
      <c r="B445" s="22">
        <f>'EQUITY BACKTEST'!B448</f>
        <v>1503.35</v>
      </c>
      <c r="C445" s="22">
        <f>1/'EQUITY BACKTEST'!E448</f>
        <v>0.7389344565</v>
      </c>
      <c r="D445" s="22">
        <f t="shared" si="5"/>
        <v>0.1504921033</v>
      </c>
      <c r="E445" s="22">
        <f t="shared" si="3"/>
        <v>0.0005257693536</v>
      </c>
      <c r="F445" s="22">
        <f t="shared" si="6"/>
        <v>0.1835537711</v>
      </c>
      <c r="H445" s="22" t="str">
        <f t="shared" si="4"/>
        <v/>
      </c>
      <c r="I445" s="22" t="str">
        <f t="shared" si="1"/>
        <v>#N/A</v>
      </c>
      <c r="J445" s="22" t="str">
        <f t="shared" si="2"/>
        <v>#N/A</v>
      </c>
      <c r="K445" s="22" t="str">
        <f t="array" ref="K445">IF(H445="Crash",MATCH(TRUE, B446:B543 &gt;= B444, 0),"")</f>
        <v/>
      </c>
    </row>
    <row r="446" ht="15.75" customHeight="1">
      <c r="A446" s="32">
        <f>'EQUITY BACKTEST'!A449</f>
        <v>39269.66667</v>
      </c>
      <c r="B446" s="22">
        <f>'EQUITY BACKTEST'!B449</f>
        <v>1530.44</v>
      </c>
      <c r="C446" s="22">
        <f>1/'EQUITY BACKTEST'!E449</f>
        <v>0.734052705</v>
      </c>
      <c r="D446" s="22">
        <f t="shared" si="5"/>
        <v>0.3402797154</v>
      </c>
      <c r="E446" s="22">
        <f t="shared" si="3"/>
        <v>0.01801975588</v>
      </c>
      <c r="F446" s="22">
        <f t="shared" si="6"/>
        <v>0.2093750988</v>
      </c>
      <c r="H446" s="22" t="str">
        <f t="shared" si="4"/>
        <v/>
      </c>
      <c r="I446" s="22" t="str">
        <f t="shared" si="1"/>
        <v>#N/A</v>
      </c>
      <c r="J446" s="22" t="str">
        <f t="shared" si="2"/>
        <v>#N/A</v>
      </c>
      <c r="K446" s="22" t="str">
        <f t="array" ref="K446">IF(H446="Crash",MATCH(TRUE, B447:B544 &gt;= B445, 0),"")</f>
        <v/>
      </c>
    </row>
    <row r="447" ht="15.75" customHeight="1">
      <c r="A447" s="32">
        <f>'EQUITY BACKTEST'!A450</f>
        <v>39276.66667</v>
      </c>
      <c r="B447" s="22">
        <f>'EQUITY BACKTEST'!B450</f>
        <v>1552.5</v>
      </c>
      <c r="C447" s="22">
        <f>1/'EQUITY BACKTEST'!E450</f>
        <v>0.7256367462</v>
      </c>
      <c r="D447" s="22">
        <f t="shared" si="5"/>
        <v>-0.1099038449</v>
      </c>
      <c r="E447" s="22">
        <f t="shared" si="3"/>
        <v>0.01441415541</v>
      </c>
      <c r="F447" s="22">
        <f t="shared" si="6"/>
        <v>0.2558647468</v>
      </c>
      <c r="H447" s="22" t="str">
        <f t="shared" si="4"/>
        <v/>
      </c>
      <c r="I447" s="22" t="str">
        <f t="shared" si="1"/>
        <v>#N/A</v>
      </c>
      <c r="J447" s="22" t="str">
        <f t="shared" si="2"/>
        <v>#N/A</v>
      </c>
      <c r="K447" s="22" t="str">
        <f t="array" ref="K447">IF(H447="Crash",MATCH(TRUE, B448:B545 &gt;= B446, 0),"")</f>
        <v/>
      </c>
    </row>
    <row r="448" ht="15.75" customHeight="1">
      <c r="A448" s="32">
        <f>'EQUITY BACKTEST'!A451</f>
        <v>39283.66667</v>
      </c>
      <c r="B448" s="22">
        <f>'EQUITY BACKTEST'!B451</f>
        <v>1534.1</v>
      </c>
      <c r="C448" s="22">
        <f>1/'EQUITY BACKTEST'!E451</f>
        <v>0.7232749892</v>
      </c>
      <c r="D448" s="22">
        <f t="shared" si="5"/>
        <v>-0.3159258651</v>
      </c>
      <c r="E448" s="22">
        <f t="shared" si="3"/>
        <v>-0.01185185185</v>
      </c>
      <c r="F448" s="22">
        <f t="shared" si="6"/>
        <v>0.2368881471</v>
      </c>
      <c r="H448" s="22" t="str">
        <f t="shared" si="4"/>
        <v/>
      </c>
      <c r="I448" s="22" t="str">
        <f t="shared" si="1"/>
        <v>#N/A</v>
      </c>
      <c r="J448" s="22" t="str">
        <f t="shared" si="2"/>
        <v>#N/A</v>
      </c>
      <c r="K448" s="22" t="str">
        <f t="array" ref="K448">IF(H448="Crash",MATCH(TRUE, B449:B546 &gt;= B447, 0),"")</f>
        <v/>
      </c>
    </row>
    <row r="449" ht="15.75" customHeight="1">
      <c r="A449" s="32">
        <f>'EQUITY BACKTEST'!A452</f>
        <v>39290.66667</v>
      </c>
      <c r="B449" s="22">
        <f>'EQUITY BACKTEST'!B452</f>
        <v>1458.95</v>
      </c>
      <c r="C449" s="22">
        <f>1/'EQUITY BACKTEST'!E452</f>
        <v>0.7335142669</v>
      </c>
      <c r="D449" s="22">
        <f t="shared" si="5"/>
        <v>-0.1713870011</v>
      </c>
      <c r="E449" s="22">
        <f t="shared" si="3"/>
        <v>-0.04898637638</v>
      </c>
      <c r="F449" s="22">
        <f t="shared" si="6"/>
        <v>0.1410973368</v>
      </c>
      <c r="H449" s="22" t="str">
        <f t="shared" si="4"/>
        <v/>
      </c>
      <c r="I449" s="22" t="str">
        <f t="shared" si="1"/>
        <v>#N/A</v>
      </c>
      <c r="J449" s="22" t="str">
        <f t="shared" si="2"/>
        <v>#N/A</v>
      </c>
      <c r="K449" s="22" t="str">
        <f t="array" ref="K449">IF(H449="Crash",MATCH(TRUE, B450:B547 &gt;= B448, 0),"")</f>
        <v/>
      </c>
    </row>
    <row r="450" ht="15.75" customHeight="1">
      <c r="A450" s="32">
        <f>'EQUITY BACKTEST'!A453</f>
        <v>39297.66667</v>
      </c>
      <c r="B450" s="22">
        <f>'EQUITY BACKTEST'!B453</f>
        <v>1433.06</v>
      </c>
      <c r="C450" s="22">
        <f>1/'EQUITY BACKTEST'!E453</f>
        <v>0.7253735674</v>
      </c>
      <c r="D450" s="22">
        <f t="shared" si="5"/>
        <v>0.1878075397</v>
      </c>
      <c r="E450" s="22">
        <f t="shared" si="3"/>
        <v>-0.01774563899</v>
      </c>
      <c r="F450" s="22">
        <f t="shared" si="6"/>
        <v>0.1201381941</v>
      </c>
      <c r="H450" s="22" t="str">
        <f t="shared" si="4"/>
        <v/>
      </c>
      <c r="I450" s="22" t="str">
        <f t="shared" si="1"/>
        <v>#N/A</v>
      </c>
      <c r="J450" s="22" t="str">
        <f t="shared" si="2"/>
        <v>#N/A</v>
      </c>
      <c r="K450" s="22" t="str">
        <f t="array" ref="K450">IF(H450="Crash",MATCH(TRUE, B451:B548 &gt;= B449, 0),"")</f>
        <v/>
      </c>
    </row>
    <row r="451" ht="15.75" customHeight="1">
      <c r="A451" s="32">
        <f>'EQUITY BACKTEST'!A454</f>
        <v>39304.66667</v>
      </c>
      <c r="B451" s="22">
        <f>'EQUITY BACKTEST'!B454</f>
        <v>1453.64</v>
      </c>
      <c r="C451" s="22">
        <f>1/'EQUITY BACKTEST'!E454</f>
        <v>0.7301935013</v>
      </c>
      <c r="D451" s="22">
        <f t="shared" si="5"/>
        <v>0.2669259323</v>
      </c>
      <c r="E451" s="22">
        <f t="shared" si="3"/>
        <v>0.01436087812</v>
      </c>
      <c r="F451" s="22">
        <f t="shared" si="6"/>
        <v>0.1475440896</v>
      </c>
      <c r="H451" s="22" t="str">
        <f t="shared" si="4"/>
        <v/>
      </c>
      <c r="I451" s="22" t="str">
        <f t="shared" si="1"/>
        <v>#N/A</v>
      </c>
      <c r="J451" s="22" t="str">
        <f t="shared" si="2"/>
        <v>#N/A</v>
      </c>
      <c r="K451" s="22" t="str">
        <f t="array" ref="K451">IF(H451="Crash",MATCH(TRUE, B452:B549 &gt;= B450, 0),"")</f>
        <v/>
      </c>
    </row>
    <row r="452" ht="15.75" customHeight="1">
      <c r="A452" s="32">
        <f>'EQUITY BACKTEST'!A455</f>
        <v>39311.66667</v>
      </c>
      <c r="B452" s="22">
        <f>'EQUITY BACKTEST'!B455</f>
        <v>1445.94</v>
      </c>
      <c r="C452" s="22">
        <f>1/'EQUITY BACKTEST'!E455</f>
        <v>0.7412348973</v>
      </c>
      <c r="D452" s="22">
        <f t="shared" si="5"/>
        <v>0.1652561957</v>
      </c>
      <c r="E452" s="22">
        <f t="shared" si="3"/>
        <v>-0.005297047412</v>
      </c>
      <c r="F452" s="22">
        <f t="shared" si="6"/>
        <v>0.1102971666</v>
      </c>
      <c r="H452" s="22" t="str">
        <f t="shared" si="4"/>
        <v/>
      </c>
      <c r="I452" s="22" t="str">
        <f t="shared" si="1"/>
        <v>#N/A</v>
      </c>
      <c r="J452" s="22" t="str">
        <f t="shared" si="2"/>
        <v>#N/A</v>
      </c>
      <c r="K452" s="22" t="str">
        <f t="array" ref="K452">IF(H452="Crash",MATCH(TRUE, B453:B550 &gt;= B451, 0),"")</f>
        <v/>
      </c>
    </row>
    <row r="453" ht="15.75" customHeight="1">
      <c r="A453" s="32">
        <f>'EQUITY BACKTEST'!A456</f>
        <v>39318.66667</v>
      </c>
      <c r="B453" s="22">
        <f>'EQUITY BACKTEST'!B456</f>
        <v>1479.37</v>
      </c>
      <c r="C453" s="22">
        <f>1/'EQUITY BACKTEST'!E456</f>
        <v>0.7319036815</v>
      </c>
      <c r="D453" s="22">
        <f t="shared" si="5"/>
        <v>0.1593216697</v>
      </c>
      <c r="E453" s="22">
        <f t="shared" si="3"/>
        <v>0.02311990816</v>
      </c>
      <c r="F453" s="22">
        <f t="shared" si="6"/>
        <v>0.1422912693</v>
      </c>
      <c r="H453" s="22" t="str">
        <f t="shared" si="4"/>
        <v/>
      </c>
      <c r="I453" s="22" t="str">
        <f t="shared" si="1"/>
        <v>#N/A</v>
      </c>
      <c r="J453" s="22" t="str">
        <f t="shared" si="2"/>
        <v>#N/A</v>
      </c>
      <c r="K453" s="22" t="str">
        <f t="array" ref="K453">IF(H453="Crash",MATCH(TRUE, B454:B551 &gt;= B452, 0),"")</f>
        <v/>
      </c>
    </row>
    <row r="454" ht="15.75" customHeight="1">
      <c r="A454" s="32">
        <f>'EQUITY BACKTEST'!A457</f>
        <v>39325.66667</v>
      </c>
      <c r="B454" s="22">
        <f>'EQUITY BACKTEST'!B457</f>
        <v>1473.99</v>
      </c>
      <c r="C454" s="22">
        <f>1/'EQUITY BACKTEST'!E457</f>
        <v>0.7341604875</v>
      </c>
      <c r="D454" s="22">
        <f t="shared" si="5"/>
        <v>0.08380753948</v>
      </c>
      <c r="E454" s="22">
        <f t="shared" si="3"/>
        <v>-0.003636683183</v>
      </c>
      <c r="F454" s="22">
        <f t="shared" si="6"/>
        <v>0.1243163668</v>
      </c>
      <c r="H454" s="22" t="str">
        <f t="shared" si="4"/>
        <v/>
      </c>
      <c r="I454" s="22" t="str">
        <f t="shared" si="1"/>
        <v>#N/A</v>
      </c>
      <c r="J454" s="22" t="str">
        <f t="shared" si="2"/>
        <v>#N/A</v>
      </c>
      <c r="K454" s="22" t="str">
        <f t="array" ref="K454">IF(H454="Crash",MATCH(TRUE, B455:B552 &gt;= B453, 0),"")</f>
        <v/>
      </c>
    </row>
    <row r="455" ht="15.75" customHeight="1">
      <c r="A455" s="32">
        <f>'EQUITY BACKTEST'!A458</f>
        <v>39332.66667</v>
      </c>
      <c r="B455" s="22">
        <f>'EQUITY BACKTEST'!B458</f>
        <v>1453.55</v>
      </c>
      <c r="C455" s="22">
        <f>1/'EQUITY BACKTEST'!E458</f>
        <v>0.7263746641</v>
      </c>
      <c r="D455" s="22">
        <f t="shared" si="5"/>
        <v>0.1075243845</v>
      </c>
      <c r="E455" s="22">
        <f t="shared" si="3"/>
        <v>-0.01386712257</v>
      </c>
      <c r="F455" s="22">
        <f t="shared" si="6"/>
        <v>0.1190450528</v>
      </c>
      <c r="H455" s="22" t="str">
        <f t="shared" si="4"/>
        <v/>
      </c>
      <c r="I455" s="22" t="str">
        <f t="shared" si="1"/>
        <v>#N/A</v>
      </c>
      <c r="J455" s="22" t="str">
        <f t="shared" si="2"/>
        <v>#N/A</v>
      </c>
      <c r="K455" s="22" t="str">
        <f t="array" ref="K455">IF(H455="Crash",MATCH(TRUE, B456:B553 &gt;= B454, 0),"")</f>
        <v/>
      </c>
    </row>
    <row r="456" ht="15.75" customHeight="1">
      <c r="A456" s="32">
        <f>'EQUITY BACKTEST'!A459</f>
        <v>39339.66667</v>
      </c>
      <c r="B456" s="22">
        <f>'EQUITY BACKTEST'!B459</f>
        <v>1484.25</v>
      </c>
      <c r="C456" s="22">
        <f>1/'EQUITY BACKTEST'!E459</f>
        <v>0.7207726683</v>
      </c>
      <c r="D456" s="22">
        <f t="shared" si="5"/>
        <v>-0.09298667767</v>
      </c>
      <c r="E456" s="22">
        <f t="shared" si="3"/>
        <v>0.02112070448</v>
      </c>
      <c r="F456" s="22">
        <f t="shared" si="6"/>
        <v>0.1245425686</v>
      </c>
      <c r="H456" s="22" t="str">
        <f t="shared" si="4"/>
        <v/>
      </c>
      <c r="I456" s="22" t="str">
        <f t="shared" si="1"/>
        <v>#N/A</v>
      </c>
      <c r="J456" s="22" t="str">
        <f t="shared" si="2"/>
        <v>#N/A</v>
      </c>
      <c r="K456" s="22" t="str">
        <f t="array" ref="K456">IF(H456="Crash",MATCH(TRUE, B457:B554 &gt;= B455, 0),"")</f>
        <v/>
      </c>
    </row>
    <row r="457" ht="15.75" customHeight="1">
      <c r="A457" s="32">
        <f>'EQUITY BACKTEST'!A460</f>
        <v>39346.66667</v>
      </c>
      <c r="B457" s="22">
        <f>'EQUITY BACKTEST'!B460</f>
        <v>1525.75</v>
      </c>
      <c r="C457" s="22">
        <f>1/'EQUITY BACKTEST'!E460</f>
        <v>0.7097735822</v>
      </c>
      <c r="D457" s="22">
        <f t="shared" si="5"/>
        <v>-0.3371928566</v>
      </c>
      <c r="E457" s="22">
        <f t="shared" si="3"/>
        <v>0.02796024928</v>
      </c>
      <c r="F457" s="22">
        <f t="shared" si="6"/>
        <v>0.1604603051</v>
      </c>
      <c r="H457" s="22" t="str">
        <f t="shared" si="4"/>
        <v/>
      </c>
      <c r="I457" s="22" t="str">
        <f t="shared" si="1"/>
        <v>#N/A</v>
      </c>
      <c r="J457" s="22" t="str">
        <f t="shared" si="2"/>
        <v>#N/A</v>
      </c>
      <c r="K457" s="22" t="str">
        <f t="array" ref="K457">IF(H457="Crash",MATCH(TRUE, B458:B555 &gt;= B456, 0),"")</f>
        <v/>
      </c>
    </row>
    <row r="458" ht="15.75" customHeight="1">
      <c r="A458" s="32">
        <f>'EQUITY BACKTEST'!A461</f>
        <v>39353.66667</v>
      </c>
      <c r="B458" s="22">
        <f>'EQUITY BACKTEST'!B461</f>
        <v>1526.75</v>
      </c>
      <c r="C458" s="22">
        <f>1/'EQUITY BACKTEST'!E461</f>
        <v>0.7012622721</v>
      </c>
      <c r="D458" s="22">
        <f t="shared" si="5"/>
        <v>-0.4850392453</v>
      </c>
      <c r="E458" s="22">
        <f t="shared" si="3"/>
        <v>0.0006554153695</v>
      </c>
      <c r="F458" s="22">
        <f t="shared" si="6"/>
        <v>0.1429052663</v>
      </c>
      <c r="H458" s="22" t="str">
        <f t="shared" si="4"/>
        <v/>
      </c>
      <c r="I458" s="22" t="str">
        <f t="shared" si="1"/>
        <v>#N/A</v>
      </c>
      <c r="J458" s="22" t="str">
        <f t="shared" si="2"/>
        <v>#N/A</v>
      </c>
      <c r="K458" s="22" t="str">
        <f t="array" ref="K458">IF(H458="Crash",MATCH(TRUE, B459:B556 &gt;= B457, 0),"")</f>
        <v/>
      </c>
    </row>
    <row r="459" ht="15.75" customHeight="1">
      <c r="A459" s="32">
        <f>'EQUITY BACKTEST'!A462</f>
        <v>39360.66667</v>
      </c>
      <c r="B459" s="22">
        <f>'EQUITY BACKTEST'!B462</f>
        <v>1557.59</v>
      </c>
      <c r="C459" s="22">
        <f>1/'EQUITY BACKTEST'!E462</f>
        <v>0.7076640011</v>
      </c>
      <c r="D459" s="22">
        <f t="shared" si="5"/>
        <v>-0.6791719342</v>
      </c>
      <c r="E459" s="22">
        <f t="shared" si="3"/>
        <v>0.02019977075</v>
      </c>
      <c r="F459" s="22">
        <f t="shared" si="6"/>
        <v>0.1541294329</v>
      </c>
      <c r="H459" s="22" t="str">
        <f t="shared" si="4"/>
        <v/>
      </c>
      <c r="I459" s="22" t="str">
        <f t="shared" si="1"/>
        <v>#N/A</v>
      </c>
      <c r="J459" s="22" t="str">
        <f t="shared" si="2"/>
        <v>#N/A</v>
      </c>
      <c r="K459" s="22" t="str">
        <f t="array" ref="K459">IF(H459="Crash",MATCH(TRUE, B460:B557 &gt;= B458, 0),"")</f>
        <v/>
      </c>
    </row>
    <row r="460" ht="15.75" customHeight="1">
      <c r="A460" s="32">
        <f>'EQUITY BACKTEST'!A463</f>
        <v>39367.66667</v>
      </c>
      <c r="B460" s="22">
        <f>'EQUITY BACKTEST'!B463</f>
        <v>1561.8</v>
      </c>
      <c r="C460" s="22">
        <f>1/'EQUITY BACKTEST'!E463</f>
        <v>0.704920344</v>
      </c>
      <c r="D460" s="22">
        <f t="shared" si="5"/>
        <v>-0.8171514791</v>
      </c>
      <c r="E460" s="22">
        <f t="shared" si="3"/>
        <v>0.002702893573</v>
      </c>
      <c r="F460" s="22">
        <f t="shared" si="6"/>
        <v>0.1436563612</v>
      </c>
      <c r="H460" s="22" t="str">
        <f t="shared" si="4"/>
        <v/>
      </c>
      <c r="I460" s="22" t="str">
        <f t="shared" si="1"/>
        <v>#N/A</v>
      </c>
      <c r="J460" s="22" t="str">
        <f t="shared" si="2"/>
        <v>#N/A</v>
      </c>
      <c r="K460" s="22" t="str">
        <f t="array" ref="K460">IF(H460="Crash",MATCH(TRUE, B461:B558 &gt;= B459, 0),"")</f>
        <v/>
      </c>
    </row>
    <row r="461" ht="15.75" customHeight="1">
      <c r="A461" s="32">
        <f>'EQUITY BACKTEST'!A464</f>
        <v>39374.66667</v>
      </c>
      <c r="B461" s="22">
        <f>'EQUITY BACKTEST'!B464</f>
        <v>1500.63</v>
      </c>
      <c r="C461" s="22">
        <f>1/'EQUITY BACKTEST'!E464</f>
        <v>0.699643182</v>
      </c>
      <c r="D461" s="22">
        <f t="shared" si="5"/>
        <v>-0.8055086108</v>
      </c>
      <c r="E461" s="22">
        <f t="shared" si="3"/>
        <v>-0.03916634652</v>
      </c>
      <c r="F461" s="22">
        <f t="shared" si="6"/>
        <v>0.09647084612</v>
      </c>
      <c r="H461" s="22" t="str">
        <f t="shared" si="4"/>
        <v/>
      </c>
      <c r="I461" s="22" t="str">
        <f t="shared" si="1"/>
        <v>#N/A</v>
      </c>
      <c r="J461" s="22" t="str">
        <f t="shared" si="2"/>
        <v>#N/A</v>
      </c>
      <c r="K461" s="22" t="str">
        <f t="array" ref="K461">IF(H461="Crash",MATCH(TRUE, B462:B559 &gt;= B460, 0),"")</f>
        <v/>
      </c>
    </row>
    <row r="462" ht="15.75" customHeight="1">
      <c r="A462" s="32">
        <f>'EQUITY BACKTEST'!A465</f>
        <v>39381.66667</v>
      </c>
      <c r="B462" s="22">
        <f>'EQUITY BACKTEST'!B465</f>
        <v>1535.28</v>
      </c>
      <c r="C462" s="22">
        <f>1/'EQUITY BACKTEST'!E465</f>
        <v>0.6948787437</v>
      </c>
      <c r="D462" s="22">
        <f t="shared" si="5"/>
        <v>-0.8083682148</v>
      </c>
      <c r="E462" s="22">
        <f t="shared" si="3"/>
        <v>0.02309030207</v>
      </c>
      <c r="F462" s="22">
        <f t="shared" si="6"/>
        <v>0.1146703065</v>
      </c>
      <c r="H462" s="22" t="str">
        <f t="shared" si="4"/>
        <v/>
      </c>
      <c r="I462" s="22" t="str">
        <f t="shared" si="1"/>
        <v>#N/A</v>
      </c>
      <c r="J462" s="22" t="str">
        <f t="shared" si="2"/>
        <v>#N/A</v>
      </c>
      <c r="K462" s="22" t="str">
        <f t="array" ref="K462">IF(H462="Crash",MATCH(TRUE, B463:B560 &gt;= B461, 0),"")</f>
        <v/>
      </c>
    </row>
    <row r="463" ht="15.75" customHeight="1">
      <c r="A463" s="32">
        <f>'EQUITY BACKTEST'!A466</f>
        <v>39388.66667</v>
      </c>
      <c r="B463" s="22">
        <f>'EQUITY BACKTEST'!B466</f>
        <v>1509.65</v>
      </c>
      <c r="C463" s="22">
        <f>1/'EQUITY BACKTEST'!E466</f>
        <v>0.6903216899</v>
      </c>
      <c r="D463" s="22">
        <f t="shared" si="5"/>
        <v>-0.7748494297</v>
      </c>
      <c r="E463" s="22">
        <f t="shared" si="3"/>
        <v>-0.01669402324</v>
      </c>
      <c r="F463" s="22">
        <f t="shared" si="6"/>
        <v>0.1065381514</v>
      </c>
      <c r="H463" s="22" t="str">
        <f t="shared" si="4"/>
        <v/>
      </c>
      <c r="I463" s="22" t="str">
        <f t="shared" si="1"/>
        <v>#N/A</v>
      </c>
      <c r="J463" s="22" t="str">
        <f t="shared" si="2"/>
        <v>#N/A</v>
      </c>
      <c r="K463" s="22" t="str">
        <f t="array" ref="K463">IF(H463="Crash",MATCH(TRUE, B464:B561 &gt;= B462, 0),"")</f>
        <v/>
      </c>
    </row>
    <row r="464" ht="15.75" customHeight="1">
      <c r="A464" s="32">
        <f>'EQUITY BACKTEST'!A467</f>
        <v>39395.66667</v>
      </c>
      <c r="B464" s="22">
        <f>'EQUITY BACKTEST'!B467</f>
        <v>1453.7</v>
      </c>
      <c r="C464" s="22">
        <f>1/'EQUITY BACKTEST'!E467</f>
        <v>0.6815238874</v>
      </c>
      <c r="D464" s="22">
        <f t="shared" si="5"/>
        <v>-0.4408946521</v>
      </c>
      <c r="E464" s="22">
        <f t="shared" si="3"/>
        <v>-0.03706157056</v>
      </c>
      <c r="F464" s="22">
        <f t="shared" si="6"/>
        <v>0.05271924107</v>
      </c>
      <c r="H464" s="22" t="str">
        <f t="shared" si="4"/>
        <v/>
      </c>
      <c r="I464" s="22" t="str">
        <f t="shared" si="1"/>
        <v>#N/A</v>
      </c>
      <c r="J464" s="22" t="str">
        <f t="shared" si="2"/>
        <v>#N/A</v>
      </c>
      <c r="K464" s="22" t="str">
        <f t="array" ref="K464">IF(H464="Crash",MATCH(TRUE, B465:B562 &gt;= B463, 0),"")</f>
        <v/>
      </c>
    </row>
    <row r="465" ht="15.75" customHeight="1">
      <c r="A465" s="32">
        <f>'EQUITY BACKTEST'!A468</f>
        <v>39402.66667</v>
      </c>
      <c r="B465" s="22">
        <f>'EQUITY BACKTEST'!B468</f>
        <v>1458.74</v>
      </c>
      <c r="C465" s="22">
        <f>1/'EQUITY BACKTEST'!E468</f>
        <v>0.6834335703</v>
      </c>
      <c r="D465" s="22">
        <f t="shared" si="5"/>
        <v>-0.1191881411</v>
      </c>
      <c r="E465" s="22">
        <f t="shared" si="3"/>
        <v>0.003467015203</v>
      </c>
      <c r="F465" s="22">
        <f t="shared" si="6"/>
        <v>0.0410648016</v>
      </c>
      <c r="H465" s="22" t="str">
        <f t="shared" si="4"/>
        <v/>
      </c>
      <c r="I465" s="22" t="str">
        <f t="shared" si="1"/>
        <v>#N/A</v>
      </c>
      <c r="J465" s="22" t="str">
        <f t="shared" si="2"/>
        <v>#N/A</v>
      </c>
      <c r="K465" s="22" t="str">
        <f t="array" ref="K465">IF(H465="Crash",MATCH(TRUE, B466:B563 &gt;= B464, 0),"")</f>
        <v/>
      </c>
    </row>
    <row r="466" ht="15.75" customHeight="1">
      <c r="A466" s="32">
        <f>'EQUITY BACKTEST'!A469</f>
        <v>39409.66667</v>
      </c>
      <c r="B466" s="22">
        <f>'EQUITY BACKTEST'!B469</f>
        <v>1440.7</v>
      </c>
      <c r="C466" s="22">
        <f>1/'EQUITY BACKTEST'!E469</f>
        <v>0.6757213325</v>
      </c>
      <c r="D466" s="22">
        <f t="shared" si="5"/>
        <v>0.153646667</v>
      </c>
      <c r="E466" s="22">
        <f t="shared" si="3"/>
        <v>-0.01236683713</v>
      </c>
      <c r="F466" s="22">
        <f t="shared" si="6"/>
        <v>0.02837360363</v>
      </c>
      <c r="H466" s="22" t="str">
        <f t="shared" si="4"/>
        <v/>
      </c>
      <c r="I466" s="22" t="str">
        <f t="shared" si="1"/>
        <v>#N/A</v>
      </c>
      <c r="J466" s="22" t="str">
        <f t="shared" si="2"/>
        <v>#N/A</v>
      </c>
      <c r="K466" s="22" t="str">
        <f t="array" ref="K466">IF(H466="Crash",MATCH(TRUE, B467:B564 &gt;= B465, 0),"")</f>
        <v/>
      </c>
    </row>
    <row r="467" ht="15.75" customHeight="1">
      <c r="A467" s="32">
        <f>'EQUITY BACKTEST'!A470</f>
        <v>39416.66667</v>
      </c>
      <c r="B467" s="22">
        <f>'EQUITY BACKTEST'!B470</f>
        <v>1481.14</v>
      </c>
      <c r="C467" s="22">
        <f>1/'EQUITY BACKTEST'!E470</f>
        <v>0.6805498843</v>
      </c>
      <c r="D467" s="22">
        <f t="shared" si="5"/>
        <v>0.3287089971</v>
      </c>
      <c r="E467" s="22">
        <f t="shared" si="3"/>
        <v>0.02806968835</v>
      </c>
      <c r="F467" s="22">
        <f t="shared" si="6"/>
        <v>0.06044919847</v>
      </c>
      <c r="H467" s="22" t="str">
        <f t="shared" si="4"/>
        <v/>
      </c>
      <c r="I467" s="22" t="str">
        <f t="shared" si="1"/>
        <v>#N/A</v>
      </c>
      <c r="J467" s="22" t="str">
        <f t="shared" si="2"/>
        <v>#N/A</v>
      </c>
      <c r="K467" s="22" t="str">
        <f t="array" ref="K467">IF(H467="Crash",MATCH(TRUE, B468:B565 &gt;= B466, 0),"")</f>
        <v/>
      </c>
    </row>
    <row r="468" ht="15.75" customHeight="1">
      <c r="A468" s="32">
        <f>'EQUITY BACKTEST'!A471</f>
        <v>39423.66667</v>
      </c>
      <c r="B468" s="22">
        <f>'EQUITY BACKTEST'!B471</f>
        <v>1504.66</v>
      </c>
      <c r="C468" s="22">
        <f>1/'EQUITY BACKTEST'!E471</f>
        <v>0.6821747732</v>
      </c>
      <c r="D468" s="22">
        <f t="shared" si="5"/>
        <v>0.6135467208</v>
      </c>
      <c r="E468" s="22">
        <f t="shared" si="3"/>
        <v>0.01587966026</v>
      </c>
      <c r="F468" s="22">
        <f t="shared" si="6"/>
        <v>0.06725585882</v>
      </c>
      <c r="H468" s="22" t="str">
        <f t="shared" si="4"/>
        <v/>
      </c>
      <c r="I468" s="22" t="str">
        <f t="shared" si="1"/>
        <v>#N/A</v>
      </c>
      <c r="J468" s="22" t="str">
        <f t="shared" si="2"/>
        <v>#N/A</v>
      </c>
      <c r="K468" s="22" t="str">
        <f t="array" ref="K468">IF(H468="Crash",MATCH(TRUE, B469:B566 &gt;= B467, 0),"")</f>
        <v/>
      </c>
    </row>
    <row r="469" ht="15.75" customHeight="1">
      <c r="A469" s="32">
        <f>'EQUITY BACKTEST'!A472</f>
        <v>39430.66667</v>
      </c>
      <c r="B469" s="22">
        <f>'EQUITY BACKTEST'!B472</f>
        <v>1467.95</v>
      </c>
      <c r="C469" s="22">
        <f>1/'EQUITY BACKTEST'!E472</f>
        <v>0.6932889628</v>
      </c>
      <c r="D469" s="22">
        <f t="shared" si="5"/>
        <v>0.8210270249</v>
      </c>
      <c r="E469" s="22">
        <f t="shared" si="3"/>
        <v>-0.02439753831</v>
      </c>
      <c r="F469" s="22">
        <f t="shared" si="6"/>
        <v>0.02863169106</v>
      </c>
      <c r="H469" s="22" t="str">
        <f t="shared" si="4"/>
        <v/>
      </c>
      <c r="I469" s="22" t="str">
        <f t="shared" si="1"/>
        <v>#N/A</v>
      </c>
      <c r="J469" s="22" t="str">
        <f t="shared" si="2"/>
        <v>#N/A</v>
      </c>
      <c r="K469" s="22" t="str">
        <f t="array" ref="K469">IF(H469="Crash",MATCH(TRUE, B470:B567 &gt;= B468, 0),"")</f>
        <v/>
      </c>
    </row>
    <row r="470" ht="15.75" customHeight="1">
      <c r="A470" s="32">
        <f>'EQUITY BACKTEST'!A473</f>
        <v>39437.66667</v>
      </c>
      <c r="B470" s="22">
        <f>'EQUITY BACKTEST'!B473</f>
        <v>1484.46</v>
      </c>
      <c r="C470" s="22">
        <f>1/'EQUITY BACKTEST'!E473</f>
        <v>0.6954102921</v>
      </c>
      <c r="D470" s="22">
        <f t="shared" si="5"/>
        <v>0.8190898535</v>
      </c>
      <c r="E470" s="22">
        <f t="shared" si="3"/>
        <v>0.01124697708</v>
      </c>
      <c r="F470" s="22">
        <f t="shared" si="6"/>
        <v>0.05224134509</v>
      </c>
      <c r="H470" s="22" t="str">
        <f t="shared" si="4"/>
        <v/>
      </c>
      <c r="I470" s="22" t="str">
        <f t="shared" si="1"/>
        <v>#N/A</v>
      </c>
      <c r="J470" s="22" t="str">
        <f t="shared" si="2"/>
        <v>#N/A</v>
      </c>
      <c r="K470" s="22" t="str">
        <f t="array" ref="K470">IF(H470="Crash",MATCH(TRUE, B471:B568 &gt;= B469, 0),"")</f>
        <v/>
      </c>
    </row>
    <row r="471" ht="15.75" customHeight="1">
      <c r="A471" s="32">
        <f>'EQUITY BACKTEST'!A474</f>
        <v>39444.66667</v>
      </c>
      <c r="B471" s="22">
        <f>'EQUITY BACKTEST'!B474</f>
        <v>1478.49</v>
      </c>
      <c r="C471" s="22">
        <f>1/'EQUITY BACKTEST'!E474</f>
        <v>0.6797172376</v>
      </c>
      <c r="D471" s="22">
        <f t="shared" si="5"/>
        <v>0.8044808919</v>
      </c>
      <c r="E471" s="22">
        <f t="shared" si="3"/>
        <v>-0.004021664444</v>
      </c>
      <c r="F471" s="22">
        <f t="shared" si="6"/>
        <v>0.04243813016</v>
      </c>
      <c r="H471" s="22" t="str">
        <f t="shared" si="4"/>
        <v/>
      </c>
      <c r="I471" s="22" t="str">
        <f t="shared" si="1"/>
        <v>#N/A</v>
      </c>
      <c r="J471" s="22" t="str">
        <f t="shared" si="2"/>
        <v>#N/A</v>
      </c>
      <c r="K471" s="22" t="str">
        <f t="array" ref="K471">IF(H471="Crash",MATCH(TRUE, B472:B569 &gt;= B470, 0),"")</f>
        <v/>
      </c>
    </row>
    <row r="472" ht="15.75" customHeight="1">
      <c r="A472" s="32">
        <f>'EQUITY BACKTEST'!A475</f>
        <v>39451.66667</v>
      </c>
      <c r="B472" s="22">
        <f>'EQUITY BACKTEST'!B475</f>
        <v>1411.63</v>
      </c>
      <c r="C472" s="22">
        <f>1/'EQUITY BACKTEST'!E475</f>
        <v>0.6785641582</v>
      </c>
      <c r="D472" s="22">
        <f t="shared" si="5"/>
        <v>0.7534507451</v>
      </c>
      <c r="E472" s="22">
        <f t="shared" si="3"/>
        <v>-0.04522181415</v>
      </c>
      <c r="F472" s="22">
        <f t="shared" si="6"/>
        <v>0.001361982252</v>
      </c>
      <c r="H472" s="22" t="str">
        <f t="shared" si="4"/>
        <v/>
      </c>
      <c r="I472" s="22" t="str">
        <f t="shared" si="1"/>
        <v>#N/A</v>
      </c>
      <c r="J472" s="22" t="str">
        <f t="shared" si="2"/>
        <v>#N/A</v>
      </c>
      <c r="K472" s="22" t="str">
        <f t="array" ref="K472">IF(H472="Crash",MATCH(TRUE, B473:B570 &gt;= B471, 0),"")</f>
        <v/>
      </c>
    </row>
    <row r="473" ht="15.75" customHeight="1">
      <c r="A473" s="32">
        <f>'EQUITY BACKTEST'!A476</f>
        <v>39458.66667</v>
      </c>
      <c r="B473" s="22">
        <f>'EQUITY BACKTEST'!B476</f>
        <v>1401.02</v>
      </c>
      <c r="C473" s="22">
        <f>1/'EQUITY BACKTEST'!E476</f>
        <v>0.6764069264</v>
      </c>
      <c r="D473" s="22">
        <f t="shared" si="5"/>
        <v>0.6826691918</v>
      </c>
      <c r="E473" s="22">
        <f t="shared" si="3"/>
        <v>-0.007516133831</v>
      </c>
      <c r="F473" s="22">
        <f t="shared" si="6"/>
        <v>-0.02076562314</v>
      </c>
      <c r="H473" s="22" t="str">
        <f t="shared" si="4"/>
        <v/>
      </c>
      <c r="I473" s="22" t="str">
        <f t="shared" si="1"/>
        <v>#N/A</v>
      </c>
      <c r="J473" s="22" t="str">
        <f t="shared" si="2"/>
        <v>#N/A</v>
      </c>
      <c r="K473" s="22" t="str">
        <f t="array" ref="K473">IF(H473="Crash",MATCH(TRUE, B474:B571 &gt;= B472, 0),"")</f>
        <v/>
      </c>
    </row>
    <row r="474" ht="15.75" customHeight="1">
      <c r="A474" s="32">
        <f>'EQUITY BACKTEST'!A477</f>
        <v>39465.66667</v>
      </c>
      <c r="B474" s="22">
        <f>'EQUITY BACKTEST'!B477</f>
        <v>1325.19</v>
      </c>
      <c r="C474" s="22">
        <f>1/'EQUITY BACKTEST'!E477</f>
        <v>0.6842285323</v>
      </c>
      <c r="D474" s="22">
        <f t="shared" si="5"/>
        <v>0.4681542837</v>
      </c>
      <c r="E474" s="22">
        <f t="shared" si="3"/>
        <v>-0.05412485189</v>
      </c>
      <c r="F474" s="22">
        <f t="shared" si="6"/>
        <v>-0.07361761622</v>
      </c>
      <c r="H474" s="22" t="str">
        <f t="shared" si="4"/>
        <v>Crash</v>
      </c>
      <c r="I474" s="22">
        <f t="shared" si="1"/>
        <v>-5.412485189</v>
      </c>
      <c r="J474" s="22">
        <f t="shared" si="2"/>
        <v>46.81542837</v>
      </c>
      <c r="K474" s="22">
        <f t="array" ref="K474">IF(H474="Crash",MATCH(TRUE, B475:B572 &gt;= B473, 0),"")</f>
        <v>15</v>
      </c>
    </row>
    <row r="475" ht="15.75" customHeight="1">
      <c r="A475" s="32">
        <f>'EQUITY BACKTEST'!A478</f>
        <v>39472.66667</v>
      </c>
      <c r="B475" s="22">
        <f>'EQUITY BACKTEST'!B478</f>
        <v>1330.61</v>
      </c>
      <c r="C475" s="22">
        <f>1/'EQUITY BACKTEST'!E478</f>
        <v>0.681709728</v>
      </c>
      <c r="D475" s="22">
        <f t="shared" si="5"/>
        <v>0.3239697386</v>
      </c>
      <c r="E475" s="22">
        <f t="shared" si="3"/>
        <v>0.00408997955</v>
      </c>
      <c r="F475" s="22">
        <f t="shared" si="6"/>
        <v>-0.06438706774</v>
      </c>
      <c r="H475" s="22" t="str">
        <f t="shared" si="4"/>
        <v/>
      </c>
      <c r="I475" s="22" t="str">
        <f t="shared" si="1"/>
        <v>#N/A</v>
      </c>
      <c r="J475" s="22" t="str">
        <f t="shared" si="2"/>
        <v>#N/A</v>
      </c>
      <c r="K475" s="22" t="str">
        <f t="array" ref="K475">IF(H475="Crash",MATCH(TRUE, B476:B573 &gt;= B474, 0),"")</f>
        <v/>
      </c>
    </row>
    <row r="476" ht="15.75" customHeight="1">
      <c r="A476" s="32">
        <f>'EQUITY BACKTEST'!A479</f>
        <v>39479.66667</v>
      </c>
      <c r="B476" s="22">
        <f>'EQUITY BACKTEST'!B479</f>
        <v>1395.42</v>
      </c>
      <c r="C476" s="22">
        <f>1/'EQUITY BACKTEST'!E479</f>
        <v>0.6755387421</v>
      </c>
      <c r="D476" s="22">
        <f t="shared" si="5"/>
        <v>0.2824765551</v>
      </c>
      <c r="E476" s="22">
        <f t="shared" si="3"/>
        <v>0.04870698401</v>
      </c>
      <c r="F476" s="22">
        <f t="shared" si="6"/>
        <v>-0.03657164162</v>
      </c>
      <c r="H476" s="22" t="str">
        <f t="shared" si="4"/>
        <v/>
      </c>
      <c r="I476" s="22" t="str">
        <f t="shared" si="1"/>
        <v>#N/A</v>
      </c>
      <c r="J476" s="22" t="str">
        <f t="shared" si="2"/>
        <v>#N/A</v>
      </c>
      <c r="K476" s="22" t="str">
        <f t="array" ref="K476">IF(H476="Crash",MATCH(TRUE, B477:B574 &gt;= B475, 0),"")</f>
        <v/>
      </c>
    </row>
    <row r="477" ht="15.75" customHeight="1">
      <c r="A477" s="32">
        <f>'EQUITY BACKTEST'!A480</f>
        <v>39486.66667</v>
      </c>
      <c r="B477" s="22">
        <f>'EQUITY BACKTEST'!B480</f>
        <v>1331.29</v>
      </c>
      <c r="C477" s="22">
        <f>1/'EQUITY BACKTEST'!E480</f>
        <v>0.6896076133</v>
      </c>
      <c r="D477" s="22">
        <f t="shared" si="5"/>
        <v>0.1054849972</v>
      </c>
      <c r="E477" s="22">
        <f t="shared" si="3"/>
        <v>-0.0459574895</v>
      </c>
      <c r="F477" s="22">
        <f t="shared" si="6"/>
        <v>-0.074245859</v>
      </c>
      <c r="H477" s="22" t="str">
        <f t="shared" si="4"/>
        <v/>
      </c>
      <c r="I477" s="22" t="str">
        <f t="shared" si="1"/>
        <v>#N/A</v>
      </c>
      <c r="J477" s="22" t="str">
        <f t="shared" si="2"/>
        <v>#N/A</v>
      </c>
      <c r="K477" s="22" t="str">
        <f t="array" ref="K477">IF(H477="Crash",MATCH(TRUE, B478:B575 &gt;= B476, 0),"")</f>
        <v/>
      </c>
    </row>
    <row r="478" ht="15.75" customHeight="1">
      <c r="A478" s="32">
        <f>'EQUITY BACKTEST'!A481</f>
        <v>39493.66667</v>
      </c>
      <c r="B478" s="22">
        <f>'EQUITY BACKTEST'!B481</f>
        <v>1349.99</v>
      </c>
      <c r="C478" s="22">
        <f>1/'EQUITY BACKTEST'!E481</f>
        <v>0.6816632584</v>
      </c>
      <c r="D478" s="22">
        <f t="shared" si="5"/>
        <v>0.1111866309</v>
      </c>
      <c r="E478" s="22">
        <f t="shared" si="3"/>
        <v>0.0140465263</v>
      </c>
      <c r="F478" s="22">
        <f t="shared" si="6"/>
        <v>-0.07251604216</v>
      </c>
      <c r="H478" s="22" t="str">
        <f t="shared" si="4"/>
        <v/>
      </c>
      <c r="I478" s="22" t="str">
        <f t="shared" si="1"/>
        <v>#N/A</v>
      </c>
      <c r="J478" s="22" t="str">
        <f t="shared" si="2"/>
        <v>#N/A</v>
      </c>
      <c r="K478" s="22" t="str">
        <f t="array" ref="K478">IF(H478="Crash",MATCH(TRUE, B479:B576 &gt;= B477, 0),"")</f>
        <v/>
      </c>
    </row>
    <row r="479" ht="15.75" customHeight="1">
      <c r="A479" s="32">
        <f>'EQUITY BACKTEST'!A482</f>
        <v>39500.66667</v>
      </c>
      <c r="B479" s="22">
        <f>'EQUITY BACKTEST'!B482</f>
        <v>1353.11</v>
      </c>
      <c r="C479" s="22">
        <f>1/'EQUITY BACKTEST'!E482</f>
        <v>0.6745817593</v>
      </c>
      <c r="D479" s="22">
        <f t="shared" si="5"/>
        <v>0.2336132622</v>
      </c>
      <c r="E479" s="22">
        <f t="shared" si="3"/>
        <v>0.002311128231</v>
      </c>
      <c r="F479" s="22">
        <f t="shared" si="6"/>
        <v>-0.06758591225</v>
      </c>
      <c r="H479" s="22" t="str">
        <f t="shared" si="4"/>
        <v/>
      </c>
      <c r="I479" s="22" t="str">
        <f t="shared" si="1"/>
        <v>#N/A</v>
      </c>
      <c r="J479" s="22" t="str">
        <f t="shared" si="2"/>
        <v>#N/A</v>
      </c>
      <c r="K479" s="22" t="str">
        <f t="array" ref="K479">IF(H479="Crash",MATCH(TRUE, B480:B577 &gt;= B478, 0),"")</f>
        <v/>
      </c>
    </row>
    <row r="480" ht="15.75" customHeight="1">
      <c r="A480" s="32">
        <f>'EQUITY BACKTEST'!A483</f>
        <v>39507.66667</v>
      </c>
      <c r="B480" s="22">
        <f>'EQUITY BACKTEST'!B483</f>
        <v>1330.63</v>
      </c>
      <c r="C480" s="22">
        <f>1/'EQUITY BACKTEST'!E483</f>
        <v>0.6590654452</v>
      </c>
      <c r="D480" s="22">
        <f t="shared" si="5"/>
        <v>0.4006605241</v>
      </c>
      <c r="E480" s="22">
        <f t="shared" si="3"/>
        <v>-0.01661357909</v>
      </c>
      <c r="F480" s="22">
        <f t="shared" si="6"/>
        <v>-0.04075924364</v>
      </c>
      <c r="H480" s="22" t="str">
        <f t="shared" si="4"/>
        <v/>
      </c>
      <c r="I480" s="22" t="str">
        <f t="shared" si="1"/>
        <v>#N/A</v>
      </c>
      <c r="J480" s="22" t="str">
        <f t="shared" si="2"/>
        <v>#N/A</v>
      </c>
      <c r="K480" s="22" t="str">
        <f t="array" ref="K480">IF(H480="Crash",MATCH(TRUE, B481:B578 &gt;= B479, 0),"")</f>
        <v/>
      </c>
    </row>
    <row r="481" ht="15.75" customHeight="1">
      <c r="A481" s="32">
        <f>'EQUITY BACKTEST'!A484</f>
        <v>39514.66667</v>
      </c>
      <c r="B481" s="22">
        <f>'EQUITY BACKTEST'!B484</f>
        <v>1293.37</v>
      </c>
      <c r="C481" s="22">
        <f>1/'EQUITY BACKTEST'!E484</f>
        <v>0.6515506906</v>
      </c>
      <c r="D481" s="22">
        <f t="shared" si="5"/>
        <v>0.5691889322</v>
      </c>
      <c r="E481" s="22">
        <f t="shared" si="3"/>
        <v>-0.0280017736</v>
      </c>
      <c r="F481" s="22">
        <f t="shared" si="6"/>
        <v>-0.07804113056</v>
      </c>
      <c r="H481" s="22" t="str">
        <f t="shared" si="4"/>
        <v/>
      </c>
      <c r="I481" s="22" t="str">
        <f t="shared" si="1"/>
        <v>#N/A</v>
      </c>
      <c r="J481" s="22" t="str">
        <f t="shared" si="2"/>
        <v>#N/A</v>
      </c>
      <c r="K481" s="22" t="str">
        <f t="array" ref="K481">IF(H481="Crash",MATCH(TRUE, B482:B579 &gt;= B480, 0),"")</f>
        <v/>
      </c>
    </row>
    <row r="482" ht="15.75" customHeight="1">
      <c r="A482" s="32">
        <f>'EQUITY BACKTEST'!A485</f>
        <v>39521.66667</v>
      </c>
      <c r="B482" s="22">
        <f>'EQUITY BACKTEST'!B485</f>
        <v>1288.14</v>
      </c>
      <c r="C482" s="22">
        <f>1/'EQUITY BACKTEST'!E485</f>
        <v>0.6405329234</v>
      </c>
      <c r="D482" s="22">
        <f t="shared" si="5"/>
        <v>0.5931157392</v>
      </c>
      <c r="E482" s="22">
        <f t="shared" si="3"/>
        <v>-0.004043699792</v>
      </c>
      <c r="F482" s="22">
        <f t="shared" si="6"/>
        <v>-0.07124265475</v>
      </c>
      <c r="H482" s="22" t="str">
        <f t="shared" si="4"/>
        <v/>
      </c>
      <c r="I482" s="22" t="str">
        <f t="shared" si="1"/>
        <v>#N/A</v>
      </c>
      <c r="J482" s="22" t="str">
        <f t="shared" si="2"/>
        <v>#N/A</v>
      </c>
      <c r="K482" s="22" t="str">
        <f t="array" ref="K482">IF(H482="Crash",MATCH(TRUE, B483:B580 &gt;= B481, 0),"")</f>
        <v/>
      </c>
    </row>
    <row r="483" ht="15.75" customHeight="1">
      <c r="A483" s="32">
        <f>'EQUITY BACKTEST'!A486</f>
        <v>39527.66667</v>
      </c>
      <c r="B483" s="22">
        <f>'EQUITY BACKTEST'!B486</f>
        <v>1329.51</v>
      </c>
      <c r="C483" s="22">
        <f>1/'EQUITY BACKTEST'!E486</f>
        <v>0.6371861858</v>
      </c>
      <c r="D483" s="22">
        <f t="shared" si="5"/>
        <v>0.4738303892</v>
      </c>
      <c r="E483" s="22">
        <f t="shared" si="3"/>
        <v>0.03211607434</v>
      </c>
      <c r="F483" s="22">
        <f t="shared" si="6"/>
        <v>-0.07422829728</v>
      </c>
      <c r="H483" s="22" t="str">
        <f t="shared" si="4"/>
        <v/>
      </c>
      <c r="I483" s="22" t="str">
        <f t="shared" si="1"/>
        <v>#N/A</v>
      </c>
      <c r="J483" s="22" t="str">
        <f t="shared" si="2"/>
        <v>#N/A</v>
      </c>
      <c r="K483" s="22" t="str">
        <f t="array" ref="K483">IF(H483="Crash",MATCH(TRUE, B484:B581 &gt;= B482, 0),"")</f>
        <v/>
      </c>
    </row>
    <row r="484" ht="15.75" customHeight="1">
      <c r="A484" s="32">
        <f>'EQUITY BACKTEST'!A487</f>
        <v>39535.66667</v>
      </c>
      <c r="B484" s="22">
        <f>'EQUITY BACKTEST'!B487</f>
        <v>1315.22</v>
      </c>
      <c r="C484" s="22">
        <f>1/'EQUITY BACKTEST'!E487</f>
        <v>0.6347191368</v>
      </c>
      <c r="D484" s="22">
        <f t="shared" si="5"/>
        <v>0.5325575334</v>
      </c>
      <c r="E484" s="22">
        <f t="shared" si="3"/>
        <v>-0.01074832081</v>
      </c>
      <c r="F484" s="22">
        <f t="shared" si="6"/>
        <v>-0.07434933773</v>
      </c>
      <c r="H484" s="22" t="str">
        <f t="shared" si="4"/>
        <v/>
      </c>
      <c r="I484" s="22" t="str">
        <f t="shared" si="1"/>
        <v>#N/A</v>
      </c>
      <c r="J484" s="22" t="str">
        <f t="shared" si="2"/>
        <v>#N/A</v>
      </c>
      <c r="K484" s="22" t="str">
        <f t="array" ref="K484">IF(H484="Crash",MATCH(TRUE, B485:B582 &gt;= B483, 0),"")</f>
        <v/>
      </c>
    </row>
    <row r="485" ht="15.75" customHeight="1">
      <c r="A485" s="32">
        <f>'EQUITY BACKTEST'!A488</f>
        <v>39542.66667</v>
      </c>
      <c r="B485" s="22">
        <f>'EQUITY BACKTEST'!B488</f>
        <v>1370.4</v>
      </c>
      <c r="C485" s="22">
        <f>1/'EQUITY BACKTEST'!E488</f>
        <v>0.635687496</v>
      </c>
      <c r="D485" s="22">
        <f t="shared" si="5"/>
        <v>0.3523011925</v>
      </c>
      <c r="E485" s="22">
        <f t="shared" si="3"/>
        <v>0.04195495811</v>
      </c>
      <c r="F485" s="22">
        <f t="shared" si="6"/>
        <v>-0.0465721402</v>
      </c>
      <c r="H485" s="22" t="str">
        <f t="shared" si="4"/>
        <v/>
      </c>
      <c r="I485" s="22" t="str">
        <f t="shared" si="1"/>
        <v>#N/A</v>
      </c>
      <c r="J485" s="22" t="str">
        <f t="shared" si="2"/>
        <v>#N/A</v>
      </c>
      <c r="K485" s="22" t="str">
        <f t="array" ref="K485">IF(H485="Crash",MATCH(TRUE, B486:B583 &gt;= B484, 0),"")</f>
        <v/>
      </c>
    </row>
    <row r="486" ht="15.75" customHeight="1">
      <c r="A486" s="32">
        <f>'EQUITY BACKTEST'!A489</f>
        <v>39549.66667</v>
      </c>
      <c r="B486" s="22">
        <f>'EQUITY BACKTEST'!B489</f>
        <v>1332.83</v>
      </c>
      <c r="C486" s="22">
        <f>1/'EQUITY BACKTEST'!E489</f>
        <v>0.6321112516</v>
      </c>
      <c r="D486" s="22">
        <f t="shared" si="5"/>
        <v>0.2855639403</v>
      </c>
      <c r="E486" s="22">
        <f t="shared" si="3"/>
        <v>-0.02741535318</v>
      </c>
      <c r="F486" s="22">
        <f t="shared" si="6"/>
        <v>-0.08261004233</v>
      </c>
      <c r="H486" s="22" t="str">
        <f t="shared" si="4"/>
        <v/>
      </c>
      <c r="I486" s="22" t="str">
        <f t="shared" si="1"/>
        <v>#N/A</v>
      </c>
      <c r="J486" s="22" t="str">
        <f t="shared" si="2"/>
        <v>#N/A</v>
      </c>
      <c r="K486" s="22" t="str">
        <f t="array" ref="K486">IF(H486="Crash",MATCH(TRUE, B487:B584 &gt;= B485, 0),"")</f>
        <v/>
      </c>
    </row>
    <row r="487" ht="15.75" customHeight="1">
      <c r="A487" s="32">
        <f>'EQUITY BACKTEST'!A490</f>
        <v>39556.66667</v>
      </c>
      <c r="B487" s="22">
        <f>'EQUITY BACKTEST'!B490</f>
        <v>1390.33</v>
      </c>
      <c r="C487" s="22">
        <f>1/'EQUITY BACKTEST'!E490</f>
        <v>0.6356470887</v>
      </c>
      <c r="D487" s="22">
        <f t="shared" si="5"/>
        <v>0.1517803767</v>
      </c>
      <c r="E487" s="22">
        <f t="shared" si="3"/>
        <v>0.04314128584</v>
      </c>
      <c r="F487" s="22">
        <f t="shared" si="6"/>
        <v>-0.06334085627</v>
      </c>
      <c r="H487" s="22" t="str">
        <f t="shared" si="4"/>
        <v/>
      </c>
      <c r="I487" s="22" t="str">
        <f t="shared" si="1"/>
        <v>#N/A</v>
      </c>
      <c r="J487" s="22" t="str">
        <f t="shared" si="2"/>
        <v>#N/A</v>
      </c>
      <c r="K487" s="22" t="str">
        <f t="array" ref="K487">IF(H487="Crash",MATCH(TRUE, B488:B585 &gt;= B486, 0),"")</f>
        <v/>
      </c>
    </row>
    <row r="488" ht="15.75" customHeight="1">
      <c r="A488" s="32">
        <f>'EQUITY BACKTEST'!A491</f>
        <v>39563.66667</v>
      </c>
      <c r="B488" s="22">
        <f>'EQUITY BACKTEST'!B491</f>
        <v>1397.84</v>
      </c>
      <c r="C488" s="22">
        <f>1/'EQUITY BACKTEST'!E491</f>
        <v>0.6397543343</v>
      </c>
      <c r="D488" s="22">
        <f t="shared" si="5"/>
        <v>0.08538061401</v>
      </c>
      <c r="E488" s="22">
        <f t="shared" si="3"/>
        <v>0.005401595305</v>
      </c>
      <c r="F488" s="22">
        <f t="shared" si="6"/>
        <v>-0.06440795947</v>
      </c>
      <c r="H488" s="22" t="str">
        <f t="shared" si="4"/>
        <v/>
      </c>
      <c r="I488" s="22" t="str">
        <f t="shared" si="1"/>
        <v>#N/A</v>
      </c>
      <c r="J488" s="22" t="str">
        <f t="shared" si="2"/>
        <v>#N/A</v>
      </c>
      <c r="K488" s="22" t="str">
        <f t="array" ref="K488">IF(H488="Crash",MATCH(TRUE, B489:B586 &gt;= B487, 0),"")</f>
        <v/>
      </c>
    </row>
    <row r="489" ht="15.75" customHeight="1">
      <c r="A489" s="32">
        <f>'EQUITY BACKTEST'!A492</f>
        <v>39570.66667</v>
      </c>
      <c r="B489" s="22">
        <f>'EQUITY BACKTEST'!B492</f>
        <v>1413.9</v>
      </c>
      <c r="C489" s="22">
        <f>1/'EQUITY BACKTEST'!E492</f>
        <v>0.6481721545</v>
      </c>
      <c r="D489" s="22">
        <f t="shared" si="5"/>
        <v>-0.07481413158</v>
      </c>
      <c r="E489" s="22">
        <f t="shared" si="3"/>
        <v>0.0114891547</v>
      </c>
      <c r="F489" s="22">
        <f t="shared" si="6"/>
        <v>-0.06091842563</v>
      </c>
      <c r="H489" s="22" t="str">
        <f t="shared" si="4"/>
        <v/>
      </c>
      <c r="I489" s="22" t="str">
        <f t="shared" si="1"/>
        <v>#N/A</v>
      </c>
      <c r="J489" s="22" t="str">
        <f t="shared" si="2"/>
        <v>#N/A</v>
      </c>
      <c r="K489" s="22" t="str">
        <f t="array" ref="K489">IF(H489="Crash",MATCH(TRUE, B490:B587 &gt;= B488, 0),"")</f>
        <v/>
      </c>
    </row>
    <row r="490" ht="15.75" customHeight="1">
      <c r="A490" s="32">
        <f>'EQUITY BACKTEST'!A493</f>
        <v>39577.66667</v>
      </c>
      <c r="B490" s="22">
        <f>'EQUITY BACKTEST'!B493</f>
        <v>1388.28</v>
      </c>
      <c r="C490" s="22">
        <f>1/'EQUITY BACKTEST'!E493</f>
        <v>0.6457445435</v>
      </c>
      <c r="D490" s="22">
        <f t="shared" si="5"/>
        <v>-0.01752918143</v>
      </c>
      <c r="E490" s="22">
        <f t="shared" si="3"/>
        <v>-0.01812009336</v>
      </c>
      <c r="F490" s="22">
        <f t="shared" si="6"/>
        <v>-0.07807550553</v>
      </c>
      <c r="H490" s="22" t="str">
        <f t="shared" si="4"/>
        <v/>
      </c>
      <c r="I490" s="22" t="str">
        <f t="shared" si="1"/>
        <v>#N/A</v>
      </c>
      <c r="J490" s="22" t="str">
        <f t="shared" si="2"/>
        <v>#N/A</v>
      </c>
      <c r="K490" s="22" t="str">
        <f t="array" ref="K490">IF(H490="Crash",MATCH(TRUE, B491:B588 &gt;= B489, 0),"")</f>
        <v/>
      </c>
    </row>
    <row r="491" ht="15.75" customHeight="1">
      <c r="A491" s="32">
        <f>'EQUITY BACKTEST'!A494</f>
        <v>39584.66667</v>
      </c>
      <c r="B491" s="22">
        <f>'EQUITY BACKTEST'!B494</f>
        <v>1425.35</v>
      </c>
      <c r="C491" s="22">
        <f>1/'EQUITY BACKTEST'!E494</f>
        <v>0.6420545746</v>
      </c>
      <c r="D491" s="22">
        <f t="shared" si="5"/>
        <v>-0.0460324158</v>
      </c>
      <c r="E491" s="22">
        <f t="shared" si="3"/>
        <v>0.0267021062</v>
      </c>
      <c r="F491" s="22">
        <f t="shared" si="6"/>
        <v>-0.06396322443</v>
      </c>
      <c r="H491" s="22" t="str">
        <f t="shared" si="4"/>
        <v/>
      </c>
      <c r="I491" s="22" t="str">
        <f t="shared" si="1"/>
        <v>#N/A</v>
      </c>
      <c r="J491" s="22" t="str">
        <f t="shared" si="2"/>
        <v>#N/A</v>
      </c>
      <c r="K491" s="22" t="str">
        <f t="array" ref="K491">IF(H491="Crash",MATCH(TRUE, B492:B589 &gt;= B490, 0),"")</f>
        <v/>
      </c>
    </row>
    <row r="492" ht="15.75" customHeight="1">
      <c r="A492" s="32">
        <f>'EQUITY BACKTEST'!A495</f>
        <v>39591.66667</v>
      </c>
      <c r="B492" s="22">
        <f>'EQUITY BACKTEST'!B495</f>
        <v>1375.93</v>
      </c>
      <c r="C492" s="22">
        <f>1/'EQUITY BACKTEST'!E495</f>
        <v>0.6337537233</v>
      </c>
      <c r="D492" s="22">
        <f t="shared" si="5"/>
        <v>-0.0797152933</v>
      </c>
      <c r="E492" s="22">
        <f t="shared" si="3"/>
        <v>-0.03467218578</v>
      </c>
      <c r="F492" s="22">
        <f t="shared" si="6"/>
        <v>-0.09223278552</v>
      </c>
      <c r="H492" s="22" t="str">
        <f t="shared" si="4"/>
        <v/>
      </c>
      <c r="I492" s="22" t="str">
        <f t="shared" si="1"/>
        <v>#N/A</v>
      </c>
      <c r="J492" s="22" t="str">
        <f t="shared" si="2"/>
        <v>#N/A</v>
      </c>
      <c r="K492" s="22" t="str">
        <f t="array" ref="K492">IF(H492="Crash",MATCH(TRUE, B493:B590 &gt;= B491, 0),"")</f>
        <v/>
      </c>
    </row>
    <row r="493" ht="15.75" customHeight="1">
      <c r="A493" s="32">
        <f>'EQUITY BACKTEST'!A496</f>
        <v>39598.66667</v>
      </c>
      <c r="B493" s="22">
        <f>'EQUITY BACKTEST'!B496</f>
        <v>1400.38</v>
      </c>
      <c r="C493" s="22">
        <f>1/'EQUITY BACKTEST'!E496</f>
        <v>0.6435420555</v>
      </c>
      <c r="D493" s="22">
        <f t="shared" si="5"/>
        <v>0.0978289876</v>
      </c>
      <c r="E493" s="22">
        <f t="shared" si="3"/>
        <v>0.01776979934</v>
      </c>
      <c r="F493" s="22">
        <f t="shared" si="6"/>
        <v>-0.08849603603</v>
      </c>
      <c r="H493" s="22" t="str">
        <f t="shared" si="4"/>
        <v/>
      </c>
      <c r="I493" s="22" t="str">
        <f t="shared" si="1"/>
        <v>#N/A</v>
      </c>
      <c r="J493" s="22" t="str">
        <f t="shared" si="2"/>
        <v>#N/A</v>
      </c>
      <c r="K493" s="22" t="str">
        <f t="array" ref="K493">IF(H493="Crash",MATCH(TRUE, B494:B591 &gt;= B492, 0),"")</f>
        <v/>
      </c>
    </row>
    <row r="494" ht="15.75" customHeight="1">
      <c r="A494" s="32">
        <f>'EQUITY BACKTEST'!A497</f>
        <v>39605.66667</v>
      </c>
      <c r="B494" s="22">
        <f>'EQUITY BACKTEST'!B497</f>
        <v>1360.68</v>
      </c>
      <c r="C494" s="22">
        <f>1/'EQUITY BACKTEST'!E497</f>
        <v>0.6338340622</v>
      </c>
      <c r="D494" s="22">
        <f t="shared" si="5"/>
        <v>0.4949289449</v>
      </c>
      <c r="E494" s="22">
        <f t="shared" si="3"/>
        <v>-0.02834944801</v>
      </c>
      <c r="F494" s="22">
        <f t="shared" si="6"/>
        <v>-0.09749480987</v>
      </c>
      <c r="H494" s="22" t="str">
        <f t="shared" si="4"/>
        <v/>
      </c>
      <c r="I494" s="22" t="str">
        <f t="shared" si="1"/>
        <v>#N/A</v>
      </c>
      <c r="J494" s="22" t="str">
        <f t="shared" si="2"/>
        <v>#N/A</v>
      </c>
      <c r="K494" s="22" t="str">
        <f t="array" ref="K494">IF(H494="Crash",MATCH(TRUE, B495:B592 &gt;= B493, 0),"")</f>
        <v/>
      </c>
    </row>
    <row r="495" ht="15.75" customHeight="1">
      <c r="A495" s="32">
        <f>'EQUITY BACKTEST'!A498</f>
        <v>39612.66667</v>
      </c>
      <c r="B495" s="22">
        <f>'EQUITY BACKTEST'!B498</f>
        <v>1360.03</v>
      </c>
      <c r="C495" s="22">
        <f>1/'EQUITY BACKTEST'!E498</f>
        <v>0.6502796202</v>
      </c>
      <c r="D495" s="22">
        <f t="shared" si="5"/>
        <v>0.5112250672</v>
      </c>
      <c r="E495" s="22">
        <f t="shared" si="3"/>
        <v>-0.0004777023253</v>
      </c>
      <c r="F495" s="22">
        <f t="shared" si="6"/>
        <v>-0.1127789629</v>
      </c>
      <c r="H495" s="22" t="str">
        <f t="shared" si="4"/>
        <v/>
      </c>
      <c r="I495" s="22" t="str">
        <f t="shared" si="1"/>
        <v>#N/A</v>
      </c>
      <c r="J495" s="22" t="str">
        <f t="shared" si="2"/>
        <v>#N/A</v>
      </c>
      <c r="K495" s="22" t="str">
        <f t="array" ref="K495">IF(H495="Crash",MATCH(TRUE, B496:B593 &gt;= B494, 0),"")</f>
        <v/>
      </c>
    </row>
    <row r="496" ht="15.75" customHeight="1">
      <c r="A496" s="32">
        <f>'EQUITY BACKTEST'!A499</f>
        <v>39619.66667</v>
      </c>
      <c r="B496" s="22">
        <f>'EQUITY BACKTEST'!B499</f>
        <v>1317.93</v>
      </c>
      <c r="C496" s="22">
        <f>1/'EQUITY BACKTEST'!E499</f>
        <v>0.6401229036</v>
      </c>
      <c r="D496" s="22">
        <f t="shared" si="5"/>
        <v>0.4392163189</v>
      </c>
      <c r="E496" s="22">
        <f t="shared" si="3"/>
        <v>-0.03095519952</v>
      </c>
      <c r="F496" s="22">
        <f t="shared" si="6"/>
        <v>-0.1228769567</v>
      </c>
      <c r="H496" s="22" t="str">
        <f t="shared" si="4"/>
        <v/>
      </c>
      <c r="I496" s="22" t="str">
        <f t="shared" si="1"/>
        <v>#N/A</v>
      </c>
      <c r="J496" s="22" t="str">
        <f t="shared" si="2"/>
        <v>#N/A</v>
      </c>
      <c r="K496" s="22" t="str">
        <f t="array" ref="K496">IF(H496="Crash",MATCH(TRUE, B497:B594 &gt;= B495, 0),"")</f>
        <v/>
      </c>
    </row>
    <row r="497" ht="15.75" customHeight="1">
      <c r="A497" s="32">
        <f>'EQUITY BACKTEST'!A500</f>
        <v>39626.66667</v>
      </c>
      <c r="B497" s="22">
        <f>'EQUITY BACKTEST'!B500</f>
        <v>1278.38</v>
      </c>
      <c r="C497" s="22">
        <f>1/'EQUITY BACKTEST'!E500</f>
        <v>0.6350415952</v>
      </c>
      <c r="D497" s="22">
        <f t="shared" si="5"/>
        <v>0.4278222372</v>
      </c>
      <c r="E497" s="22">
        <f t="shared" si="3"/>
        <v>-0.03000918106</v>
      </c>
      <c r="F497" s="22">
        <f t="shared" si="6"/>
        <v>-0.1496457911</v>
      </c>
      <c r="H497" s="22" t="str">
        <f t="shared" si="4"/>
        <v/>
      </c>
      <c r="I497" s="22" t="str">
        <f t="shared" si="1"/>
        <v>#N/A</v>
      </c>
      <c r="J497" s="22" t="str">
        <f t="shared" si="2"/>
        <v>#N/A</v>
      </c>
      <c r="K497" s="22" t="str">
        <f t="array" ref="K497">IF(H497="Crash",MATCH(TRUE, B498:B595 &gt;= B496, 0),"")</f>
        <v/>
      </c>
    </row>
    <row r="498" ht="15.75" customHeight="1">
      <c r="A498" s="32">
        <f>'EQUITY BACKTEST'!A501</f>
        <v>39632.66667</v>
      </c>
      <c r="B498" s="22">
        <f>'EQUITY BACKTEST'!B501</f>
        <v>1262.9</v>
      </c>
      <c r="C498" s="22">
        <f>1/'EQUITY BACKTEST'!E501</f>
        <v>0.6366182837</v>
      </c>
      <c r="D498" s="22">
        <f t="shared" si="5"/>
        <v>0.4429770897</v>
      </c>
      <c r="E498" s="22">
        <f t="shared" si="3"/>
        <v>-0.01210907555</v>
      </c>
      <c r="F498" s="22">
        <f t="shared" si="6"/>
        <v>-0.1748124722</v>
      </c>
      <c r="H498" s="22" t="str">
        <f t="shared" si="4"/>
        <v/>
      </c>
      <c r="I498" s="22" t="str">
        <f t="shared" si="1"/>
        <v>#N/A</v>
      </c>
      <c r="J498" s="22" t="str">
        <f t="shared" si="2"/>
        <v>#N/A</v>
      </c>
      <c r="K498" s="22" t="str">
        <f t="array" ref="K498">IF(H498="Crash",MATCH(TRUE, B499:B596 &gt;= B497, 0),"")</f>
        <v/>
      </c>
    </row>
    <row r="499" ht="15.75" customHeight="1">
      <c r="A499" s="32">
        <f>'EQUITY BACKTEST'!A502</f>
        <v>39640.66667</v>
      </c>
      <c r="B499" s="22">
        <f>'EQUITY BACKTEST'!B502</f>
        <v>1239.49</v>
      </c>
      <c r="C499" s="22">
        <f>1/'EQUITY BACKTEST'!E502</f>
        <v>0.6273132175</v>
      </c>
      <c r="D499" s="22">
        <f t="shared" si="5"/>
        <v>0.5998270721</v>
      </c>
      <c r="E499" s="22">
        <f t="shared" si="3"/>
        <v>-0.01853670124</v>
      </c>
      <c r="F499" s="22">
        <f t="shared" si="6"/>
        <v>-0.2016167472</v>
      </c>
      <c r="H499" s="22" t="str">
        <f t="shared" si="4"/>
        <v/>
      </c>
      <c r="I499" s="22" t="str">
        <f t="shared" si="1"/>
        <v>#N/A</v>
      </c>
      <c r="J499" s="22" t="str">
        <f t="shared" si="2"/>
        <v>#N/A</v>
      </c>
      <c r="K499" s="22" t="str">
        <f t="array" ref="K499">IF(H499="Crash",MATCH(TRUE, B500:B597 &gt;= B498, 0),"")</f>
        <v/>
      </c>
    </row>
    <row r="500" ht="15.75" customHeight="1">
      <c r="A500" s="32">
        <f>'EQUITY BACKTEST'!A503</f>
        <v>39647.66667</v>
      </c>
      <c r="B500" s="22">
        <f>'EQUITY BACKTEST'!B503</f>
        <v>1260.68</v>
      </c>
      <c r="C500" s="22">
        <f>1/'EQUITY BACKTEST'!E503</f>
        <v>0.6308352258</v>
      </c>
      <c r="D500" s="22">
        <f t="shared" si="5"/>
        <v>0.6980540479</v>
      </c>
      <c r="E500" s="22">
        <f t="shared" si="3"/>
        <v>0.01709574099</v>
      </c>
      <c r="F500" s="22">
        <f t="shared" si="6"/>
        <v>-0.1782282772</v>
      </c>
      <c r="H500" s="22" t="str">
        <f t="shared" si="4"/>
        <v/>
      </c>
      <c r="I500" s="22" t="str">
        <f t="shared" si="1"/>
        <v>#N/A</v>
      </c>
      <c r="J500" s="22" t="str">
        <f t="shared" si="2"/>
        <v>#N/A</v>
      </c>
      <c r="K500" s="22" t="str">
        <f t="array" ref="K500">IF(H500="Crash",MATCH(TRUE, B501:B598 &gt;= B499, 0),"")</f>
        <v/>
      </c>
    </row>
    <row r="501" ht="15.75" customHeight="1">
      <c r="A501" s="32">
        <f>'EQUITY BACKTEST'!A504</f>
        <v>39654.66667</v>
      </c>
      <c r="B501" s="22">
        <f>'EQUITY BACKTEST'!B504</f>
        <v>1257.76</v>
      </c>
      <c r="C501" s="22">
        <f>1/'EQUITY BACKTEST'!E504</f>
        <v>0.6381213707</v>
      </c>
      <c r="D501" s="22">
        <f t="shared" si="5"/>
        <v>0.6802154795</v>
      </c>
      <c r="E501" s="22">
        <f t="shared" si="3"/>
        <v>-0.002316210299</v>
      </c>
      <c r="F501" s="22">
        <f t="shared" si="6"/>
        <v>-0.1379005449</v>
      </c>
      <c r="H501" s="22" t="str">
        <f t="shared" si="4"/>
        <v/>
      </c>
      <c r="I501" s="22" t="str">
        <f t="shared" si="1"/>
        <v>#N/A</v>
      </c>
      <c r="J501" s="22" t="str">
        <f t="shared" si="2"/>
        <v>#N/A</v>
      </c>
      <c r="K501" s="22" t="str">
        <f t="array" ref="K501">IF(H501="Crash",MATCH(TRUE, B502:B599 &gt;= B500, 0),"")</f>
        <v/>
      </c>
    </row>
    <row r="502" ht="15.75" customHeight="1">
      <c r="A502" s="32">
        <f>'EQUITY BACKTEST'!A505</f>
        <v>39661.66667</v>
      </c>
      <c r="B502" s="22">
        <f>'EQUITY BACKTEST'!B505</f>
        <v>1260.31</v>
      </c>
      <c r="C502" s="22">
        <f>1/'EQUITY BACKTEST'!E505</f>
        <v>0.6424670736</v>
      </c>
      <c r="D502" s="22">
        <f t="shared" si="5"/>
        <v>0.5359034414</v>
      </c>
      <c r="E502" s="22">
        <f t="shared" si="3"/>
        <v>0.002027413815</v>
      </c>
      <c r="F502" s="22">
        <f t="shared" si="6"/>
        <v>-0.1205462437</v>
      </c>
      <c r="H502" s="22" t="str">
        <f t="shared" si="4"/>
        <v/>
      </c>
      <c r="I502" s="22" t="str">
        <f t="shared" si="1"/>
        <v>#N/A</v>
      </c>
      <c r="J502" s="22" t="str">
        <f t="shared" si="2"/>
        <v>#N/A</v>
      </c>
      <c r="K502" s="22" t="str">
        <f t="array" ref="K502">IF(H502="Crash",MATCH(TRUE, B503:B600 &gt;= B501, 0),"")</f>
        <v/>
      </c>
    </row>
    <row r="503" ht="15.75" customHeight="1">
      <c r="A503" s="32">
        <f>'EQUITY BACKTEST'!A506</f>
        <v>39668.66667</v>
      </c>
      <c r="B503" s="22">
        <f>'EQUITY BACKTEST'!B506</f>
        <v>1296.32</v>
      </c>
      <c r="C503" s="22">
        <f>1/'EQUITY BACKTEST'!E506</f>
        <v>0.6646726487</v>
      </c>
      <c r="D503" s="22">
        <f t="shared" si="5"/>
        <v>0.2313106475</v>
      </c>
      <c r="E503" s="22">
        <f t="shared" si="3"/>
        <v>0.02857233538</v>
      </c>
      <c r="F503" s="22">
        <f t="shared" si="6"/>
        <v>-0.10822487</v>
      </c>
      <c r="H503" s="22" t="str">
        <f t="shared" si="4"/>
        <v/>
      </c>
      <c r="I503" s="22" t="str">
        <f t="shared" si="1"/>
        <v>#N/A</v>
      </c>
      <c r="J503" s="22" t="str">
        <f t="shared" si="2"/>
        <v>#N/A</v>
      </c>
      <c r="K503" s="22" t="str">
        <f t="array" ref="K503">IF(H503="Crash",MATCH(TRUE, B504:B601 &gt;= B502, 0),"")</f>
        <v/>
      </c>
    </row>
    <row r="504" ht="15.75" customHeight="1">
      <c r="A504" s="32">
        <f>'EQUITY BACKTEST'!A507</f>
        <v>39675.66667</v>
      </c>
      <c r="B504" s="22">
        <f>'EQUITY BACKTEST'!B507</f>
        <v>1298.2</v>
      </c>
      <c r="C504" s="22">
        <f>1/'EQUITY BACKTEST'!E507</f>
        <v>0.6805498843</v>
      </c>
      <c r="D504" s="22">
        <f t="shared" si="5"/>
        <v>0.1179214077</v>
      </c>
      <c r="E504" s="22">
        <f t="shared" si="3"/>
        <v>0.001450259195</v>
      </c>
      <c r="F504" s="22">
        <f t="shared" si="6"/>
        <v>-0.1021757473</v>
      </c>
      <c r="H504" s="22" t="str">
        <f t="shared" si="4"/>
        <v/>
      </c>
      <c r="I504" s="22" t="str">
        <f t="shared" si="1"/>
        <v>#N/A</v>
      </c>
      <c r="J504" s="22" t="str">
        <f t="shared" si="2"/>
        <v>#N/A</v>
      </c>
      <c r="K504" s="22" t="str">
        <f t="array" ref="K504">IF(H504="Crash",MATCH(TRUE, B505:B602 &gt;= B503, 0),"")</f>
        <v/>
      </c>
    </row>
    <row r="505" ht="15.75" customHeight="1">
      <c r="A505" s="32">
        <f>'EQUITY BACKTEST'!A508</f>
        <v>39682.66667</v>
      </c>
      <c r="B505" s="22">
        <f>'EQUITY BACKTEST'!B508</f>
        <v>1292.2</v>
      </c>
      <c r="C505" s="22">
        <f>1/'EQUITY BACKTEST'!E508</f>
        <v>0.6756756757</v>
      </c>
      <c r="D505" s="22">
        <f t="shared" si="5"/>
        <v>0.1604058212</v>
      </c>
      <c r="E505" s="22">
        <f t="shared" si="3"/>
        <v>-0.004621784009</v>
      </c>
      <c r="F505" s="22">
        <f t="shared" si="6"/>
        <v>-0.1265200727</v>
      </c>
      <c r="H505" s="22" t="str">
        <f t="shared" si="4"/>
        <v/>
      </c>
      <c r="I505" s="22" t="str">
        <f t="shared" si="1"/>
        <v>#N/A</v>
      </c>
      <c r="J505" s="22" t="str">
        <f t="shared" si="2"/>
        <v>#N/A</v>
      </c>
      <c r="K505" s="22" t="str">
        <f t="array" ref="K505">IF(H505="Crash",MATCH(TRUE, B506:B603 &gt;= B504, 0),"")</f>
        <v/>
      </c>
    </row>
    <row r="506" ht="15.75" customHeight="1">
      <c r="A506" s="32">
        <f>'EQUITY BACKTEST'!A509</f>
        <v>39689.66667</v>
      </c>
      <c r="B506" s="22">
        <f>'EQUITY BACKTEST'!B509</f>
        <v>1282.83</v>
      </c>
      <c r="C506" s="22">
        <f>1/'EQUITY BACKTEST'!E509</f>
        <v>0.68189567</v>
      </c>
      <c r="D506" s="22">
        <f t="shared" si="5"/>
        <v>0.1819725068</v>
      </c>
      <c r="E506" s="22">
        <f t="shared" si="3"/>
        <v>-0.007251199505</v>
      </c>
      <c r="F506" s="22">
        <f t="shared" si="6"/>
        <v>-0.1296888039</v>
      </c>
      <c r="H506" s="22" t="str">
        <f t="shared" si="4"/>
        <v/>
      </c>
      <c r="I506" s="22" t="str">
        <f t="shared" si="1"/>
        <v>#N/A</v>
      </c>
      <c r="J506" s="22" t="str">
        <f t="shared" si="2"/>
        <v>#N/A</v>
      </c>
      <c r="K506" s="22" t="str">
        <f t="array" ref="K506">IF(H506="Crash",MATCH(TRUE, B507:B604 &gt;= B505, 0),"")</f>
        <v/>
      </c>
    </row>
    <row r="507" ht="15.75" customHeight="1">
      <c r="A507" s="32">
        <f>'EQUITY BACKTEST'!A510</f>
        <v>39696.66667</v>
      </c>
      <c r="B507" s="22">
        <f>'EQUITY BACKTEST'!B510</f>
        <v>1242.31</v>
      </c>
      <c r="C507" s="22">
        <f>1/'EQUITY BACKTEST'!E510</f>
        <v>0.7008199594</v>
      </c>
      <c r="D507" s="22">
        <f t="shared" si="5"/>
        <v>0.08965999255</v>
      </c>
      <c r="E507" s="22">
        <f t="shared" si="3"/>
        <v>-0.03158641441</v>
      </c>
      <c r="F507" s="22">
        <f t="shared" si="6"/>
        <v>-0.1453269581</v>
      </c>
      <c r="H507" s="22" t="str">
        <f t="shared" si="4"/>
        <v/>
      </c>
      <c r="I507" s="22" t="str">
        <f t="shared" si="1"/>
        <v>#N/A</v>
      </c>
      <c r="J507" s="22" t="str">
        <f t="shared" si="2"/>
        <v>#N/A</v>
      </c>
      <c r="K507" s="22" t="str">
        <f t="array" ref="K507">IF(H507="Crash",MATCH(TRUE, B508:B605 &gt;= B506, 0),"")</f>
        <v/>
      </c>
    </row>
    <row r="508" ht="15.75" customHeight="1">
      <c r="A508" s="32">
        <f>'EQUITY BACKTEST'!A511</f>
        <v>39703.66667</v>
      </c>
      <c r="B508" s="22">
        <f>'EQUITY BACKTEST'!B511</f>
        <v>1251.7</v>
      </c>
      <c r="C508" s="22">
        <f>1/'EQUITY BACKTEST'!E511</f>
        <v>0.7028888733</v>
      </c>
      <c r="D508" s="22">
        <f t="shared" si="5"/>
        <v>0.02329707355</v>
      </c>
      <c r="E508" s="22">
        <f t="shared" si="3"/>
        <v>0.007558499891</v>
      </c>
      <c r="F508" s="22">
        <f t="shared" si="6"/>
        <v>-0.1566784571</v>
      </c>
      <c r="H508" s="22" t="str">
        <f t="shared" si="4"/>
        <v/>
      </c>
      <c r="I508" s="22" t="str">
        <f t="shared" si="1"/>
        <v>#N/A</v>
      </c>
      <c r="J508" s="22" t="str">
        <f t="shared" si="2"/>
        <v>#N/A</v>
      </c>
      <c r="K508" s="22" t="str">
        <f t="array" ref="K508">IF(H508="Crash",MATCH(TRUE, B509:B606 &gt;= B507, 0),"")</f>
        <v/>
      </c>
    </row>
    <row r="509" ht="15.75" customHeight="1">
      <c r="A509" s="32">
        <f>'EQUITY BACKTEST'!A512</f>
        <v>39710.66667</v>
      </c>
      <c r="B509" s="22">
        <f>'EQUITY BACKTEST'!B512</f>
        <v>1255.08</v>
      </c>
      <c r="C509" s="22">
        <f>1/'EQUITY BACKTEST'!E512</f>
        <v>0.6916585973</v>
      </c>
      <c r="D509" s="22">
        <f t="shared" si="5"/>
        <v>0.1006581017</v>
      </c>
      <c r="E509" s="22">
        <f t="shared" si="3"/>
        <v>0.002700327555</v>
      </c>
      <c r="F509" s="22">
        <f t="shared" si="6"/>
        <v>-0.1774012781</v>
      </c>
      <c r="H509" s="22" t="str">
        <f t="shared" si="4"/>
        <v/>
      </c>
      <c r="I509" s="22" t="str">
        <f t="shared" si="1"/>
        <v>#N/A</v>
      </c>
      <c r="J509" s="22" t="str">
        <f t="shared" si="2"/>
        <v>#N/A</v>
      </c>
      <c r="K509" s="22" t="str">
        <f t="array" ref="K509">IF(H509="Crash",MATCH(TRUE, B510:B607 &gt;= B508, 0),"")</f>
        <v/>
      </c>
    </row>
    <row r="510" ht="15.75" customHeight="1">
      <c r="A510" s="32">
        <f>'EQUITY BACKTEST'!A513</f>
        <v>39717.66667</v>
      </c>
      <c r="B510" s="22">
        <f>'EQUITY BACKTEST'!B513</f>
        <v>1213.27</v>
      </c>
      <c r="C510" s="22">
        <f>1/'EQUITY BACKTEST'!E513</f>
        <v>0.6855889209</v>
      </c>
      <c r="D510" s="22">
        <f t="shared" si="5"/>
        <v>-0.005533219536</v>
      </c>
      <c r="E510" s="22">
        <f t="shared" si="3"/>
        <v>-0.03331261752</v>
      </c>
      <c r="F510" s="22">
        <f t="shared" si="6"/>
        <v>-0.2053250368</v>
      </c>
      <c r="H510" s="22" t="str">
        <f t="shared" si="4"/>
        <v/>
      </c>
      <c r="I510" s="22" t="str">
        <f t="shared" si="1"/>
        <v>#N/A</v>
      </c>
      <c r="J510" s="22" t="str">
        <f t="shared" si="2"/>
        <v>#N/A</v>
      </c>
      <c r="K510" s="22" t="str">
        <f t="array" ref="K510">IF(H510="Crash",MATCH(TRUE, B511:B608 &gt;= B509, 0),"")</f>
        <v/>
      </c>
    </row>
    <row r="511" ht="15.75" customHeight="1">
      <c r="A511" s="32">
        <f>'EQUITY BACKTEST'!A514</f>
        <v>39724.66667</v>
      </c>
      <c r="B511" s="22">
        <f>'EQUITY BACKTEST'!B514</f>
        <v>1099.23</v>
      </c>
      <c r="C511" s="22">
        <f>1/'EQUITY BACKTEST'!E514</f>
        <v>0.7257420713</v>
      </c>
      <c r="D511" s="22">
        <f t="shared" si="5"/>
        <v>-0.4583584668</v>
      </c>
      <c r="E511" s="22">
        <f t="shared" si="3"/>
        <v>-0.09399391726</v>
      </c>
      <c r="F511" s="22">
        <f t="shared" si="6"/>
        <v>-0.2942751302</v>
      </c>
      <c r="H511" s="22" t="str">
        <f t="shared" si="4"/>
        <v>Crash</v>
      </c>
      <c r="I511" s="22">
        <f t="shared" si="1"/>
        <v>-9.399391726</v>
      </c>
      <c r="J511" s="22">
        <f t="shared" si="2"/>
        <v>-45.83584668</v>
      </c>
      <c r="K511" s="22">
        <f t="array" ref="K511">IF(H511="Crash",MATCH(TRUE, B512:B609 &gt;= B510, 0),"")</f>
        <v>81</v>
      </c>
    </row>
    <row r="512" ht="15.75" customHeight="1">
      <c r="A512" s="32">
        <f>'EQUITY BACKTEST'!A515</f>
        <v>39731.66667</v>
      </c>
      <c r="B512" s="22">
        <f>'EQUITY BACKTEST'!B515</f>
        <v>899.22</v>
      </c>
      <c r="C512" s="22">
        <f>1/'EQUITY BACKTEST'!E515</f>
        <v>0.7466029565</v>
      </c>
      <c r="D512" s="22">
        <f t="shared" si="5"/>
        <v>-0.7194192062</v>
      </c>
      <c r="E512" s="22">
        <f t="shared" si="3"/>
        <v>-0.181954641</v>
      </c>
      <c r="F512" s="22">
        <f t="shared" si="6"/>
        <v>-0.4242412601</v>
      </c>
      <c r="H512" s="22" t="str">
        <f t="shared" si="4"/>
        <v>Crash</v>
      </c>
      <c r="I512" s="22">
        <f t="shared" si="1"/>
        <v>-18.1954641</v>
      </c>
      <c r="J512" s="22">
        <f t="shared" si="2"/>
        <v>-71.94192062</v>
      </c>
      <c r="K512" s="22">
        <f t="array" ref="K512">IF(H512="Crash",MATCH(TRUE, B513:B610 &gt;= B511, 0),"")</f>
        <v>60</v>
      </c>
    </row>
    <row r="513" ht="15.75" customHeight="1">
      <c r="A513" s="32">
        <f>'EQUITY BACKTEST'!A516</f>
        <v>39738.66667</v>
      </c>
      <c r="B513" s="22">
        <f>'EQUITY BACKTEST'!B516</f>
        <v>940.55</v>
      </c>
      <c r="C513" s="22">
        <f>1/'EQUITY BACKTEST'!E516</f>
        <v>0.7458790184</v>
      </c>
      <c r="D513" s="22">
        <f t="shared" si="5"/>
        <v>-0.8244018485</v>
      </c>
      <c r="E513" s="22">
        <f t="shared" si="3"/>
        <v>0.045962056</v>
      </c>
      <c r="F513" s="22">
        <f t="shared" si="6"/>
        <v>-0.3732299101</v>
      </c>
      <c r="H513" s="22" t="str">
        <f t="shared" si="4"/>
        <v/>
      </c>
      <c r="I513" s="22" t="str">
        <f t="shared" si="1"/>
        <v>#N/A</v>
      </c>
      <c r="J513" s="22" t="str">
        <f t="shared" si="2"/>
        <v>#N/A</v>
      </c>
      <c r="K513" s="22" t="str">
        <f t="array" ref="K513">IF(H513="Crash",MATCH(TRUE, B514:B611 &gt;= B512, 0),"")</f>
        <v/>
      </c>
    </row>
    <row r="514" ht="15.75" customHeight="1">
      <c r="A514" s="32">
        <f>'EQUITY BACKTEST'!A517</f>
        <v>39745.66667</v>
      </c>
      <c r="B514" s="22">
        <f>'EQUITY BACKTEST'!B517</f>
        <v>876.77</v>
      </c>
      <c r="C514" s="22">
        <f>1/'EQUITY BACKTEST'!E517</f>
        <v>0.7922674695</v>
      </c>
      <c r="D514" s="22">
        <f t="shared" si="5"/>
        <v>-0.9090050323</v>
      </c>
      <c r="E514" s="22">
        <f t="shared" si="3"/>
        <v>-0.06781138695</v>
      </c>
      <c r="F514" s="22">
        <f t="shared" si="6"/>
        <v>-0.4289185035</v>
      </c>
      <c r="H514" s="22" t="str">
        <f t="shared" si="4"/>
        <v>Crash</v>
      </c>
      <c r="I514" s="22">
        <f t="shared" si="1"/>
        <v>-6.781138695</v>
      </c>
      <c r="J514" s="22">
        <f t="shared" si="2"/>
        <v>-90.90050323</v>
      </c>
      <c r="K514" s="22">
        <f t="array" ref="K514">IF(H514="Crash",MATCH(TRUE, B515:B612 &gt;= B513, 0),"")</f>
        <v>1</v>
      </c>
    </row>
    <row r="515" ht="15.75" customHeight="1">
      <c r="A515" s="32">
        <f>'EQUITY BACKTEST'!A518</f>
        <v>39752.66667</v>
      </c>
      <c r="B515" s="22">
        <f>'EQUITY BACKTEST'!B518</f>
        <v>968.75</v>
      </c>
      <c r="C515" s="22">
        <f>1/'EQUITY BACKTEST'!E518</f>
        <v>0.787835815</v>
      </c>
      <c r="D515" s="22">
        <f t="shared" si="5"/>
        <v>-0.9315247588</v>
      </c>
      <c r="E515" s="22">
        <f t="shared" si="3"/>
        <v>0.1049077865</v>
      </c>
      <c r="F515" s="22">
        <f t="shared" si="6"/>
        <v>-0.358294969</v>
      </c>
      <c r="H515" s="22" t="str">
        <f t="shared" si="4"/>
        <v/>
      </c>
      <c r="I515" s="22" t="str">
        <f t="shared" si="1"/>
        <v>#N/A</v>
      </c>
      <c r="J515" s="22" t="str">
        <f t="shared" si="2"/>
        <v>#N/A</v>
      </c>
      <c r="K515" s="22" t="str">
        <f t="array" ref="K515">IF(H515="Crash",MATCH(TRUE, B516:B613 &gt;= B514, 0),"")</f>
        <v/>
      </c>
    </row>
    <row r="516" ht="15.75" customHeight="1">
      <c r="A516" s="32">
        <f>'EQUITY BACKTEST'!A519</f>
        <v>39759.66667</v>
      </c>
      <c r="B516" s="22">
        <f>'EQUITY BACKTEST'!B519</f>
        <v>930.99</v>
      </c>
      <c r="C516" s="22">
        <f>1/'EQUITY BACKTEST'!E519</f>
        <v>0.7868439688</v>
      </c>
      <c r="D516" s="22">
        <f t="shared" si="5"/>
        <v>-0.9330285868</v>
      </c>
      <c r="E516" s="22">
        <f t="shared" si="3"/>
        <v>-0.03897806452</v>
      </c>
      <c r="F516" s="22">
        <f t="shared" si="6"/>
        <v>-0.3595721263</v>
      </c>
      <c r="H516" s="22" t="str">
        <f t="shared" si="4"/>
        <v/>
      </c>
      <c r="I516" s="22" t="str">
        <f t="shared" si="1"/>
        <v>#N/A</v>
      </c>
      <c r="J516" s="22" t="str">
        <f t="shared" si="2"/>
        <v>#N/A</v>
      </c>
      <c r="K516" s="22" t="str">
        <f t="array" ref="K516">IF(H516="Crash",MATCH(TRUE, B517:B614 &gt;= B515, 0),"")</f>
        <v/>
      </c>
    </row>
    <row r="517" ht="15.75" customHeight="1">
      <c r="A517" s="32">
        <f>'EQUITY BACKTEST'!A520</f>
        <v>39766.66667</v>
      </c>
      <c r="B517" s="22">
        <f>'EQUITY BACKTEST'!B520</f>
        <v>873.29</v>
      </c>
      <c r="C517" s="22">
        <f>1/'EQUITY BACKTEST'!E520</f>
        <v>0.7940919558</v>
      </c>
      <c r="D517" s="22">
        <f t="shared" si="5"/>
        <v>-0.9368125782</v>
      </c>
      <c r="E517" s="22">
        <f t="shared" si="3"/>
        <v>-0.0619770352</v>
      </c>
      <c r="F517" s="22">
        <f t="shared" si="6"/>
        <v>-0.4013395122</v>
      </c>
      <c r="H517" s="22" t="str">
        <f t="shared" si="4"/>
        <v>Crash</v>
      </c>
      <c r="I517" s="22">
        <f t="shared" si="1"/>
        <v>-6.19770352</v>
      </c>
      <c r="J517" s="22">
        <f t="shared" si="2"/>
        <v>-93.68125782</v>
      </c>
      <c r="K517" s="22">
        <f t="array" ref="K517">IF(H517="Crash",MATCH(TRUE, B518:B615 &gt;= B516, 0),"")</f>
        <v>7</v>
      </c>
    </row>
    <row r="518" ht="15.75" customHeight="1">
      <c r="A518" s="32">
        <f>'EQUITY BACKTEST'!A521</f>
        <v>39773.66667</v>
      </c>
      <c r="B518" s="22">
        <f>'EQUITY BACKTEST'!B521</f>
        <v>800.03</v>
      </c>
      <c r="C518" s="22">
        <f>1/'EQUITY BACKTEST'!E521</f>
        <v>0.7946598856</v>
      </c>
      <c r="D518" s="22">
        <f t="shared" si="5"/>
        <v>-0.9355812148</v>
      </c>
      <c r="E518" s="22">
        <f t="shared" si="3"/>
        <v>-0.08388965865</v>
      </c>
      <c r="F518" s="22">
        <f t="shared" si="6"/>
        <v>-0.4446935517</v>
      </c>
      <c r="H518" s="22" t="str">
        <f t="shared" si="4"/>
        <v>Crash</v>
      </c>
      <c r="I518" s="22">
        <f t="shared" si="1"/>
        <v>-8.388965865</v>
      </c>
      <c r="J518" s="22">
        <f t="shared" si="2"/>
        <v>-93.55812148</v>
      </c>
      <c r="K518" s="22">
        <f t="array" ref="K518">IF(H518="Crash",MATCH(TRUE, B519:B616 &gt;= B517, 0),"")</f>
        <v>1</v>
      </c>
    </row>
    <row r="519" ht="15.75" customHeight="1">
      <c r="A519" s="32">
        <f>'EQUITY BACKTEST'!A522</f>
        <v>39780.66667</v>
      </c>
      <c r="B519" s="22">
        <f>'EQUITY BACKTEST'!B522</f>
        <v>896.24</v>
      </c>
      <c r="C519" s="22">
        <f>1/'EQUITY BACKTEST'!E522</f>
        <v>0.787835815</v>
      </c>
      <c r="D519" s="22">
        <f t="shared" si="5"/>
        <v>-0.9272581172</v>
      </c>
      <c r="E519" s="22">
        <f t="shared" si="3"/>
        <v>0.1202579903</v>
      </c>
      <c r="F519" s="22">
        <f t="shared" si="6"/>
        <v>-0.3948985241</v>
      </c>
      <c r="H519" s="22" t="str">
        <f t="shared" si="4"/>
        <v/>
      </c>
      <c r="I519" s="22" t="str">
        <f t="shared" si="1"/>
        <v>#N/A</v>
      </c>
      <c r="J519" s="22" t="str">
        <f t="shared" si="2"/>
        <v>#N/A</v>
      </c>
      <c r="K519" s="22" t="str">
        <f t="array" ref="K519">IF(H519="Crash",MATCH(TRUE, B520:B617 &gt;= B518, 0),"")</f>
        <v/>
      </c>
    </row>
    <row r="520" ht="15.75" customHeight="1">
      <c r="A520" s="32">
        <f>'EQUITY BACKTEST'!A523</f>
        <v>39787.66667</v>
      </c>
      <c r="B520" s="22">
        <f>'EQUITY BACKTEST'!B523</f>
        <v>876.07</v>
      </c>
      <c r="C520" s="22">
        <f>1/'EQUITY BACKTEST'!E523</f>
        <v>0.7864726701</v>
      </c>
      <c r="D520" s="22">
        <f t="shared" si="5"/>
        <v>-0.9223611408</v>
      </c>
      <c r="E520" s="22">
        <f t="shared" si="3"/>
        <v>-0.02250513255</v>
      </c>
      <c r="F520" s="22">
        <f t="shared" si="6"/>
        <v>-0.4177621522</v>
      </c>
      <c r="H520" s="22" t="str">
        <f t="shared" si="4"/>
        <v/>
      </c>
      <c r="I520" s="22" t="str">
        <f t="shared" si="1"/>
        <v>#N/A</v>
      </c>
      <c r="J520" s="22" t="str">
        <f t="shared" si="2"/>
        <v>#N/A</v>
      </c>
      <c r="K520" s="22" t="str">
        <f t="array" ref="K520">IF(H520="Crash",MATCH(TRUE, B521:B618 &gt;= B519, 0),"")</f>
        <v/>
      </c>
    </row>
    <row r="521" ht="15.75" customHeight="1">
      <c r="A521" s="32">
        <f>'EQUITY BACKTEST'!A524</f>
        <v>39794.66667</v>
      </c>
      <c r="B521" s="22">
        <f>'EQUITY BACKTEST'!B524</f>
        <v>879.73</v>
      </c>
      <c r="C521" s="22">
        <f>1/'EQUITY BACKTEST'!E524</f>
        <v>0.7491759065</v>
      </c>
      <c r="D521" s="22">
        <f t="shared" si="5"/>
        <v>-0.8820000706</v>
      </c>
      <c r="E521" s="22">
        <f t="shared" si="3"/>
        <v>0.004177748353</v>
      </c>
      <c r="F521" s="22">
        <f t="shared" si="6"/>
        <v>-0.400708471</v>
      </c>
      <c r="H521" s="22" t="str">
        <f t="shared" si="4"/>
        <v/>
      </c>
      <c r="I521" s="22" t="str">
        <f t="shared" si="1"/>
        <v>#N/A</v>
      </c>
      <c r="J521" s="22" t="str">
        <f t="shared" si="2"/>
        <v>#N/A</v>
      </c>
      <c r="K521" s="22" t="str">
        <f t="array" ref="K521">IF(H521="Crash",MATCH(TRUE, B522:B619 &gt;= B520, 0),"")</f>
        <v/>
      </c>
    </row>
    <row r="522" ht="15.75" customHeight="1">
      <c r="A522" s="32">
        <f>'EQUITY BACKTEST'!A525</f>
        <v>39801.66667</v>
      </c>
      <c r="B522" s="22">
        <f>'EQUITY BACKTEST'!B525</f>
        <v>887.88</v>
      </c>
      <c r="C522" s="22">
        <f>1/'EQUITY BACKTEST'!E525</f>
        <v>0.7183391998</v>
      </c>
      <c r="D522" s="22">
        <f t="shared" si="5"/>
        <v>-0.7245744286</v>
      </c>
      <c r="E522" s="22">
        <f t="shared" si="3"/>
        <v>0.009264206063</v>
      </c>
      <c r="F522" s="22">
        <f t="shared" si="6"/>
        <v>-0.4018835132</v>
      </c>
      <c r="H522" s="22" t="str">
        <f t="shared" si="4"/>
        <v/>
      </c>
      <c r="I522" s="22" t="str">
        <f t="shared" si="1"/>
        <v>#N/A</v>
      </c>
      <c r="J522" s="22" t="str">
        <f t="shared" si="2"/>
        <v>#N/A</v>
      </c>
      <c r="K522" s="22" t="str">
        <f t="array" ref="K522">IF(H522="Crash",MATCH(TRUE, B523:B620 &gt;= B521, 0),"")</f>
        <v/>
      </c>
    </row>
    <row r="523" ht="15.75" customHeight="1">
      <c r="A523" s="32">
        <f>'EQUITY BACKTEST'!A526</f>
        <v>39808.66667</v>
      </c>
      <c r="B523" s="22">
        <f>'EQUITY BACKTEST'!B526</f>
        <v>872.8</v>
      </c>
      <c r="C523" s="22">
        <f>1/'EQUITY BACKTEST'!E526</f>
        <v>0.7131141696</v>
      </c>
      <c r="D523" s="22">
        <f t="shared" si="5"/>
        <v>-0.3358458735</v>
      </c>
      <c r="E523" s="22">
        <f t="shared" si="3"/>
        <v>-0.01698427715</v>
      </c>
      <c r="F523" s="22">
        <f t="shared" si="6"/>
        <v>-0.4096679721</v>
      </c>
      <c r="H523" s="22" t="str">
        <f t="shared" si="4"/>
        <v/>
      </c>
      <c r="I523" s="22" t="str">
        <f t="shared" si="1"/>
        <v>#N/A</v>
      </c>
      <c r="J523" s="22" t="str">
        <f t="shared" si="2"/>
        <v>#N/A</v>
      </c>
      <c r="K523" s="22" t="str">
        <f t="array" ref="K523">IF(H523="Crash",MATCH(TRUE, B524:B621 &gt;= B522, 0),"")</f>
        <v/>
      </c>
    </row>
    <row r="524" ht="15.75" customHeight="1">
      <c r="A524" s="32">
        <f>'EQUITY BACKTEST'!A527</f>
        <v>39815.66667</v>
      </c>
      <c r="B524" s="22">
        <f>'EQUITY BACKTEST'!B527</f>
        <v>931.8</v>
      </c>
      <c r="C524" s="22">
        <f>1/'EQUITY BACKTEST'!E527</f>
        <v>0.7184940365</v>
      </c>
      <c r="D524" s="22">
        <f t="shared" si="5"/>
        <v>-0.1723025266</v>
      </c>
      <c r="E524" s="22">
        <f t="shared" si="3"/>
        <v>0.06759853346</v>
      </c>
      <c r="F524" s="22">
        <f t="shared" si="6"/>
        <v>-0.3399120166</v>
      </c>
      <c r="H524" s="22" t="str">
        <f t="shared" si="4"/>
        <v/>
      </c>
      <c r="I524" s="22" t="str">
        <f t="shared" si="1"/>
        <v>#N/A</v>
      </c>
      <c r="J524" s="22" t="str">
        <f t="shared" si="2"/>
        <v>#N/A</v>
      </c>
      <c r="K524" s="22" t="str">
        <f t="array" ref="K524">IF(H524="Crash",MATCH(TRUE, B525:B622 &gt;= B523, 0),"")</f>
        <v/>
      </c>
    </row>
    <row r="525" ht="15.75" customHeight="1">
      <c r="A525" s="32">
        <f>'EQUITY BACKTEST'!A528</f>
        <v>39822.66667</v>
      </c>
      <c r="B525" s="22">
        <f>'EQUITY BACKTEST'!B528</f>
        <v>890.35</v>
      </c>
      <c r="C525" s="22">
        <f>1/'EQUITY BACKTEST'!E528</f>
        <v>0.7433838834</v>
      </c>
      <c r="D525" s="22">
        <f t="shared" si="5"/>
        <v>-0.1616878478</v>
      </c>
      <c r="E525" s="22">
        <f t="shared" si="3"/>
        <v>-0.04448379481</v>
      </c>
      <c r="F525" s="22">
        <f t="shared" si="6"/>
        <v>-0.3644987224</v>
      </c>
      <c r="H525" s="22" t="str">
        <f t="shared" si="4"/>
        <v/>
      </c>
      <c r="I525" s="22" t="str">
        <f t="shared" si="1"/>
        <v>#N/A</v>
      </c>
      <c r="J525" s="22" t="str">
        <f t="shared" si="2"/>
        <v>#N/A</v>
      </c>
      <c r="K525" s="22" t="str">
        <f t="array" ref="K525">IF(H525="Crash",MATCH(TRUE, B526:B623 &gt;= B524, 0),"")</f>
        <v/>
      </c>
    </row>
    <row r="526" ht="15.75" customHeight="1">
      <c r="A526" s="32">
        <f>'EQUITY BACKTEST'!A529</f>
        <v>39829.66667</v>
      </c>
      <c r="B526" s="22">
        <f>'EQUITY BACKTEST'!B529</f>
        <v>850.12</v>
      </c>
      <c r="C526" s="22">
        <f>1/'EQUITY BACKTEST'!E529</f>
        <v>0.7526153383</v>
      </c>
      <c r="D526" s="22">
        <f t="shared" si="5"/>
        <v>-0.08443026997</v>
      </c>
      <c r="E526" s="22">
        <f t="shared" si="3"/>
        <v>-0.04518447801</v>
      </c>
      <c r="F526" s="22">
        <f t="shared" si="6"/>
        <v>-0.3584919898</v>
      </c>
      <c r="H526" s="22" t="str">
        <f t="shared" si="4"/>
        <v/>
      </c>
      <c r="I526" s="22" t="str">
        <f t="shared" si="1"/>
        <v>#N/A</v>
      </c>
      <c r="J526" s="22" t="str">
        <f t="shared" si="2"/>
        <v>#N/A</v>
      </c>
      <c r="K526" s="22" t="str">
        <f t="array" ref="K526">IF(H526="Crash",MATCH(TRUE, B527:B624 &gt;= B525, 0),"")</f>
        <v/>
      </c>
    </row>
    <row r="527" ht="15.75" customHeight="1">
      <c r="A527" s="32">
        <f>'EQUITY BACKTEST'!A530</f>
        <v>39836.66667</v>
      </c>
      <c r="B527" s="22">
        <f>'EQUITY BACKTEST'!B530</f>
        <v>831.95</v>
      </c>
      <c r="C527" s="22">
        <f>1/'EQUITY BACKTEST'!E530</f>
        <v>0.771307366</v>
      </c>
      <c r="D527" s="22">
        <f t="shared" si="5"/>
        <v>-0.09429539259</v>
      </c>
      <c r="E527" s="22">
        <f t="shared" si="3"/>
        <v>-0.02137345316</v>
      </c>
      <c r="F527" s="22">
        <f t="shared" si="6"/>
        <v>-0.3747604482</v>
      </c>
      <c r="H527" s="22" t="str">
        <f t="shared" si="4"/>
        <v/>
      </c>
      <c r="I527" s="22" t="str">
        <f t="shared" si="1"/>
        <v>#N/A</v>
      </c>
      <c r="J527" s="22" t="str">
        <f t="shared" si="2"/>
        <v>#N/A</v>
      </c>
      <c r="K527" s="22" t="str">
        <f t="array" ref="K527">IF(H527="Crash",MATCH(TRUE, B528:B625 &gt;= B526, 0),"")</f>
        <v/>
      </c>
    </row>
    <row r="528" ht="15.75" customHeight="1">
      <c r="A528" s="32">
        <f>'EQUITY BACKTEST'!A531</f>
        <v>39843.66667</v>
      </c>
      <c r="B528" s="22">
        <f>'EQUITY BACKTEST'!B531</f>
        <v>825.88</v>
      </c>
      <c r="C528" s="22">
        <f>1/'EQUITY BACKTEST'!E531</f>
        <v>0.7792410192</v>
      </c>
      <c r="D528" s="22">
        <f t="shared" si="5"/>
        <v>-0.3451546358</v>
      </c>
      <c r="E528" s="22">
        <f t="shared" si="3"/>
        <v>-0.007296111545</v>
      </c>
      <c r="F528" s="22">
        <f t="shared" si="6"/>
        <v>-0.4081495177</v>
      </c>
      <c r="H528" s="22" t="str">
        <f t="shared" si="4"/>
        <v/>
      </c>
      <c r="I528" s="22" t="str">
        <f t="shared" si="1"/>
        <v>#N/A</v>
      </c>
      <c r="J528" s="22" t="str">
        <f t="shared" si="2"/>
        <v>#N/A</v>
      </c>
      <c r="K528" s="22" t="str">
        <f t="array" ref="K528">IF(H528="Crash",MATCH(TRUE, B529:B626 &gt;= B527, 0),"")</f>
        <v/>
      </c>
    </row>
    <row r="529" ht="15.75" customHeight="1">
      <c r="A529" s="32">
        <f>'EQUITY BACKTEST'!A532</f>
        <v>39850.66667</v>
      </c>
      <c r="B529" s="22">
        <f>'EQUITY BACKTEST'!B532</f>
        <v>868.6</v>
      </c>
      <c r="C529" s="22">
        <f>1/'EQUITY BACKTEST'!E532</f>
        <v>0.7738740133</v>
      </c>
      <c r="D529" s="22">
        <f t="shared" si="5"/>
        <v>-0.5283365395</v>
      </c>
      <c r="E529" s="22">
        <f t="shared" si="3"/>
        <v>0.0517266431</v>
      </c>
      <c r="F529" s="22">
        <f t="shared" si="6"/>
        <v>-0.3475501206</v>
      </c>
      <c r="H529" s="22" t="str">
        <f t="shared" si="4"/>
        <v/>
      </c>
      <c r="I529" s="22" t="str">
        <f t="shared" si="1"/>
        <v>#N/A</v>
      </c>
      <c r="J529" s="22" t="str">
        <f t="shared" si="2"/>
        <v>#N/A</v>
      </c>
      <c r="K529" s="22" t="str">
        <f t="array" ref="K529">IF(H529="Crash",MATCH(TRUE, B530:B627 &gt;= B528, 0),"")</f>
        <v/>
      </c>
    </row>
    <row r="530" ht="15.75" customHeight="1">
      <c r="A530" s="32">
        <f>'EQUITY BACKTEST'!A533</f>
        <v>39857.66667</v>
      </c>
      <c r="B530" s="22">
        <f>'EQUITY BACKTEST'!B533</f>
        <v>826.84</v>
      </c>
      <c r="C530" s="22">
        <f>1/'EQUITY BACKTEST'!E533</f>
        <v>0.7774840616</v>
      </c>
      <c r="D530" s="22">
        <f t="shared" si="5"/>
        <v>-0.6010722955</v>
      </c>
      <c r="E530" s="22">
        <f t="shared" si="3"/>
        <v>-0.04807736588</v>
      </c>
      <c r="F530" s="22">
        <f t="shared" si="6"/>
        <v>-0.387521389</v>
      </c>
      <c r="H530" s="22" t="str">
        <f t="shared" si="4"/>
        <v/>
      </c>
      <c r="I530" s="22" t="str">
        <f t="shared" si="1"/>
        <v>#N/A</v>
      </c>
      <c r="J530" s="22" t="str">
        <f t="shared" si="2"/>
        <v>#N/A</v>
      </c>
      <c r="K530" s="22" t="str">
        <f t="array" ref="K530">IF(H530="Crash",MATCH(TRUE, B531:B628 &gt;= B529, 0),"")</f>
        <v/>
      </c>
    </row>
    <row r="531" ht="15.75" customHeight="1">
      <c r="A531" s="32">
        <f>'EQUITY BACKTEST'!A534</f>
        <v>39864.66667</v>
      </c>
      <c r="B531" s="22">
        <f>'EQUITY BACKTEST'!B534</f>
        <v>770.05</v>
      </c>
      <c r="C531" s="22">
        <f>1/'EQUITY BACKTEST'!E534</f>
        <v>0.7734550236</v>
      </c>
      <c r="D531" s="22">
        <f t="shared" si="5"/>
        <v>-0.4925571622</v>
      </c>
      <c r="E531" s="22">
        <f t="shared" si="3"/>
        <v>-0.06868317933</v>
      </c>
      <c r="F531" s="22">
        <f t="shared" si="6"/>
        <v>-0.430903622</v>
      </c>
      <c r="H531" s="22" t="str">
        <f t="shared" si="4"/>
        <v>Crash</v>
      </c>
      <c r="I531" s="22">
        <f t="shared" si="1"/>
        <v>-6.868317933</v>
      </c>
      <c r="J531" s="22">
        <f t="shared" si="2"/>
        <v>-49.25571622</v>
      </c>
      <c r="K531" s="22">
        <f t="array" ref="K531">IF(H531="Crash",MATCH(TRUE, B532:B629 &gt;= B530, 0),"")</f>
        <v>6</v>
      </c>
    </row>
    <row r="532" ht="15.75" customHeight="1">
      <c r="A532" s="32">
        <f>'EQUITY BACKTEST'!A535</f>
        <v>39871.66667</v>
      </c>
      <c r="B532" s="22">
        <f>'EQUITY BACKTEST'!B535</f>
        <v>735.09</v>
      </c>
      <c r="C532" s="22">
        <f>1/'EQUITY BACKTEST'!E535</f>
        <v>0.7888923951</v>
      </c>
      <c r="D532" s="22">
        <f t="shared" si="5"/>
        <v>-0.6790851087</v>
      </c>
      <c r="E532" s="22">
        <f t="shared" si="3"/>
        <v>-0.04539964937</v>
      </c>
      <c r="F532" s="22">
        <f t="shared" si="6"/>
        <v>-0.4475624328</v>
      </c>
      <c r="H532" s="22" t="str">
        <f t="shared" si="4"/>
        <v/>
      </c>
      <c r="I532" s="22" t="str">
        <f t="shared" si="1"/>
        <v>#N/A</v>
      </c>
      <c r="J532" s="22" t="str">
        <f t="shared" si="2"/>
        <v>#N/A</v>
      </c>
      <c r="K532" s="22" t="str">
        <f t="array" ref="K532">IF(H532="Crash",MATCH(TRUE, B533:B630 &gt;= B531, 0),"")</f>
        <v/>
      </c>
    </row>
    <row r="533" ht="15.75" customHeight="1">
      <c r="A533" s="32">
        <f>'EQUITY BACKTEST'!A536</f>
        <v>39878.66667</v>
      </c>
      <c r="B533" s="22">
        <f>'EQUITY BACKTEST'!B536</f>
        <v>683.38</v>
      </c>
      <c r="C533" s="22">
        <f>1/'EQUITY BACKTEST'!E536</f>
        <v>0.791452315</v>
      </c>
      <c r="D533" s="22">
        <f t="shared" si="5"/>
        <v>-0.7871494535</v>
      </c>
      <c r="E533" s="22">
        <f t="shared" si="3"/>
        <v>-0.07034512781</v>
      </c>
      <c r="F533" s="22">
        <f t="shared" si="6"/>
        <v>-0.4716283817</v>
      </c>
      <c r="H533" s="22" t="str">
        <f t="shared" si="4"/>
        <v>Crash</v>
      </c>
      <c r="I533" s="22">
        <f t="shared" si="1"/>
        <v>-7.034512781</v>
      </c>
      <c r="J533" s="22">
        <f t="shared" si="2"/>
        <v>-78.71494535</v>
      </c>
      <c r="K533" s="22">
        <f t="array" ref="K533">IF(H533="Crash",MATCH(TRUE, B534:B631 &gt;= B532, 0),"")</f>
        <v>1</v>
      </c>
    </row>
    <row r="534" ht="15.75" customHeight="1">
      <c r="A534" s="32">
        <f>'EQUITY BACKTEST'!A537</f>
        <v>39885.66667</v>
      </c>
      <c r="B534" s="22">
        <f>'EQUITY BACKTEST'!B537</f>
        <v>756.55</v>
      </c>
      <c r="C534" s="22">
        <f>1/'EQUITY BACKTEST'!E537</f>
        <v>0.7735746886</v>
      </c>
      <c r="D534" s="22">
        <f t="shared" si="5"/>
        <v>-0.7885651687</v>
      </c>
      <c r="E534" s="22">
        <f t="shared" si="3"/>
        <v>0.1070707366</v>
      </c>
      <c r="F534" s="22">
        <f t="shared" si="6"/>
        <v>-0.4126802987</v>
      </c>
      <c r="H534" s="22" t="str">
        <f t="shared" si="4"/>
        <v/>
      </c>
      <c r="I534" s="22" t="str">
        <f t="shared" si="1"/>
        <v>#N/A</v>
      </c>
      <c r="J534" s="22" t="str">
        <f t="shared" si="2"/>
        <v>#N/A</v>
      </c>
      <c r="K534" s="22" t="str">
        <f t="array" ref="K534">IF(H534="Crash",MATCH(TRUE, B535:B632 &gt;= B533, 0),"")</f>
        <v/>
      </c>
    </row>
    <row r="535" ht="15.75" customHeight="1">
      <c r="A535" s="32">
        <f>'EQUITY BACKTEST'!A538</f>
        <v>39892.66667</v>
      </c>
      <c r="B535" s="22">
        <f>'EQUITY BACKTEST'!B538</f>
        <v>768.54</v>
      </c>
      <c r="C535" s="22">
        <f>1/'EQUITY BACKTEST'!E538</f>
        <v>0.7364312541</v>
      </c>
      <c r="D535" s="22">
        <f t="shared" si="5"/>
        <v>-0.6699804514</v>
      </c>
      <c r="E535" s="22">
        <f t="shared" si="3"/>
        <v>0.01584825854</v>
      </c>
      <c r="F535" s="22">
        <f t="shared" si="6"/>
        <v>-0.4219374055</v>
      </c>
      <c r="H535" s="22" t="str">
        <f t="shared" si="4"/>
        <v/>
      </c>
      <c r="I535" s="22" t="str">
        <f t="shared" si="1"/>
        <v>#N/A</v>
      </c>
      <c r="J535" s="22" t="str">
        <f t="shared" si="2"/>
        <v>#N/A</v>
      </c>
      <c r="K535" s="22" t="str">
        <f t="array" ref="K535">IF(H535="Crash",MATCH(TRUE, B536:B633 &gt;= B534, 0),"")</f>
        <v/>
      </c>
      <c r="L535" s="22">
        <f>C534/C528-1</f>
        <v>-0.007271602073</v>
      </c>
    </row>
    <row r="536" ht="15.75" customHeight="1">
      <c r="A536" s="32">
        <f>'EQUITY BACKTEST'!A539</f>
        <v>39899.66667</v>
      </c>
      <c r="B536" s="22">
        <f>'EQUITY BACKTEST'!B539</f>
        <v>815.94</v>
      </c>
      <c r="C536" s="22">
        <f>1/'EQUITY BACKTEST'!E539</f>
        <v>0.7525020694</v>
      </c>
      <c r="D536" s="22">
        <f t="shared" si="5"/>
        <v>-0.6581350409</v>
      </c>
      <c r="E536" s="22">
        <f t="shared" si="3"/>
        <v>0.0616753845</v>
      </c>
      <c r="F536" s="22">
        <f t="shared" si="6"/>
        <v>-0.3796170983</v>
      </c>
      <c r="H536" s="22" t="str">
        <f t="shared" si="4"/>
        <v/>
      </c>
      <c r="I536" s="22" t="str">
        <f t="shared" si="1"/>
        <v>#N/A</v>
      </c>
      <c r="J536" s="22" t="str">
        <f t="shared" si="2"/>
        <v>#N/A</v>
      </c>
      <c r="K536" s="22" t="str">
        <f t="array" ref="K536">IF(H536="Crash",MATCH(TRUE, B537:B634 &gt;= B535, 0),"")</f>
        <v/>
      </c>
    </row>
    <row r="537" ht="15.75" customHeight="1">
      <c r="A537" s="32">
        <f>'EQUITY BACKTEST'!A540</f>
        <v>39906.66667</v>
      </c>
      <c r="B537" s="22">
        <f>'EQUITY BACKTEST'!B540</f>
        <v>842.5</v>
      </c>
      <c r="C537" s="22">
        <f>1/'EQUITY BACKTEST'!E540</f>
        <v>0.7415097138</v>
      </c>
      <c r="D537" s="22">
        <f t="shared" si="5"/>
        <v>-0.5186411429</v>
      </c>
      <c r="E537" s="22">
        <f t="shared" si="3"/>
        <v>0.03255141309</v>
      </c>
      <c r="F537" s="22">
        <f t="shared" si="6"/>
        <v>-0.3852159953</v>
      </c>
      <c r="H537" s="22" t="str">
        <f t="shared" si="4"/>
        <v/>
      </c>
      <c r="I537" s="22" t="str">
        <f t="shared" si="1"/>
        <v>#N/A</v>
      </c>
      <c r="J537" s="22" t="str">
        <f t="shared" si="2"/>
        <v>#N/A</v>
      </c>
      <c r="K537" s="22" t="str">
        <f t="array" ref="K537">IF(H537="Crash",MATCH(TRUE, B538:B635 &gt;= B536, 0),"")</f>
        <v/>
      </c>
    </row>
    <row r="538" ht="15.75" customHeight="1">
      <c r="A538" s="32">
        <f>'EQUITY BACKTEST'!A541</f>
        <v>39912.66667</v>
      </c>
      <c r="B538" s="22">
        <f>'EQUITY BACKTEST'!B541</f>
        <v>856.56</v>
      </c>
      <c r="C538" s="22">
        <f>1/'EQUITY BACKTEST'!E541</f>
        <v>0.7591285205</v>
      </c>
      <c r="D538" s="22">
        <f t="shared" si="5"/>
        <v>-0.4454694175</v>
      </c>
      <c r="E538" s="22">
        <f t="shared" si="3"/>
        <v>0.0166884273</v>
      </c>
      <c r="F538" s="22">
        <f t="shared" si="6"/>
        <v>-0.3573373949</v>
      </c>
      <c r="H538" s="22" t="str">
        <f t="shared" si="4"/>
        <v/>
      </c>
      <c r="I538" s="22" t="str">
        <f t="shared" si="1"/>
        <v>#N/A</v>
      </c>
      <c r="J538" s="22" t="str">
        <f t="shared" si="2"/>
        <v>#N/A</v>
      </c>
      <c r="K538" s="22" t="str">
        <f t="array" ref="K538">IF(H538="Crash",MATCH(TRUE, B539:B636 &gt;= B537, 0),"")</f>
        <v/>
      </c>
    </row>
    <row r="539" ht="15.75" customHeight="1">
      <c r="A539" s="32">
        <f>'EQUITY BACKTEST'!A542</f>
        <v>39920.66667</v>
      </c>
      <c r="B539" s="22">
        <f>'EQUITY BACKTEST'!B542</f>
        <v>869.6</v>
      </c>
      <c r="C539" s="22">
        <f>1/'EQUITY BACKTEST'!E542</f>
        <v>0.7668711656</v>
      </c>
      <c r="D539" s="22">
        <f t="shared" si="5"/>
        <v>-0.3890648702</v>
      </c>
      <c r="E539" s="22">
        <f t="shared" si="3"/>
        <v>0.01522368544</v>
      </c>
      <c r="F539" s="22">
        <f t="shared" si="6"/>
        <v>-0.3745369804</v>
      </c>
      <c r="H539" s="22" t="str">
        <f t="shared" si="4"/>
        <v/>
      </c>
      <c r="I539" s="22" t="str">
        <f t="shared" si="1"/>
        <v>#N/A</v>
      </c>
      <c r="J539" s="22" t="str">
        <f t="shared" si="2"/>
        <v>#N/A</v>
      </c>
      <c r="K539" s="22" t="str">
        <f t="array" ref="K539">IF(H539="Crash",MATCH(TRUE, B540:B637 &gt;= B538, 0),"")</f>
        <v/>
      </c>
    </row>
    <row r="540" ht="15.75" customHeight="1">
      <c r="A540" s="32">
        <f>'EQUITY BACKTEST'!A543</f>
        <v>39927.66667</v>
      </c>
      <c r="B540" s="22">
        <f>'EQUITY BACKTEST'!B543</f>
        <v>866.23</v>
      </c>
      <c r="C540" s="22">
        <f>1/'EQUITY BACKTEST'!E543</f>
        <v>0.7544322897</v>
      </c>
      <c r="D540" s="22">
        <f t="shared" si="5"/>
        <v>-0.4408368845</v>
      </c>
      <c r="E540" s="22">
        <f t="shared" si="3"/>
        <v>-0.003875344986</v>
      </c>
      <c r="F540" s="22">
        <f t="shared" si="6"/>
        <v>-0.3803081898</v>
      </c>
      <c r="H540" s="22" t="str">
        <f t="shared" si="4"/>
        <v/>
      </c>
      <c r="I540" s="22" t="str">
        <f t="shared" si="1"/>
        <v>#N/A</v>
      </c>
      <c r="J540" s="22" t="str">
        <f t="shared" si="2"/>
        <v>#N/A</v>
      </c>
      <c r="K540" s="22" t="str">
        <f t="array" ref="K540">IF(H540="Crash",MATCH(TRUE, B541:B638 &gt;= B539, 0),"")</f>
        <v/>
      </c>
    </row>
    <row r="541" ht="15.75" customHeight="1">
      <c r="A541" s="32">
        <f>'EQUITY BACKTEST'!A544</f>
        <v>39934.66667</v>
      </c>
      <c r="B541" s="22">
        <f>'EQUITY BACKTEST'!B544</f>
        <v>877.52</v>
      </c>
      <c r="C541" s="22">
        <f>1/'EQUITY BACKTEST'!E544</f>
        <v>0.7540909434</v>
      </c>
      <c r="D541" s="22">
        <f t="shared" si="5"/>
        <v>-0.5042586385</v>
      </c>
      <c r="E541" s="22">
        <f t="shared" si="3"/>
        <v>0.01303348995</v>
      </c>
      <c r="F541" s="22">
        <f t="shared" si="6"/>
        <v>-0.3793620482</v>
      </c>
      <c r="H541" s="22" t="str">
        <f t="shared" si="4"/>
        <v/>
      </c>
      <c r="I541" s="22" t="str">
        <f t="shared" si="1"/>
        <v>#N/A</v>
      </c>
      <c r="J541" s="22" t="str">
        <f t="shared" si="2"/>
        <v>#N/A</v>
      </c>
      <c r="K541" s="22" t="str">
        <f t="array" ref="K541">IF(H541="Crash",MATCH(TRUE, B542:B639 &gt;= B540, 0),"")</f>
        <v/>
      </c>
    </row>
    <row r="542" ht="15.75" customHeight="1">
      <c r="A542" s="32">
        <f>'EQUITY BACKTEST'!A545</f>
        <v>39941.66667</v>
      </c>
      <c r="B542" s="22">
        <f>'EQUITY BACKTEST'!B545</f>
        <v>929.23</v>
      </c>
      <c r="C542" s="22">
        <f>1/'EQUITY BACKTEST'!E545</f>
        <v>0.7332991127</v>
      </c>
      <c r="D542" s="22">
        <f t="shared" si="5"/>
        <v>-0.6744682655</v>
      </c>
      <c r="E542" s="22">
        <f t="shared" si="3"/>
        <v>0.05892743185</v>
      </c>
      <c r="F542" s="22">
        <f t="shared" si="6"/>
        <v>-0.3306609618</v>
      </c>
      <c r="H542" s="22" t="str">
        <f t="shared" si="4"/>
        <v/>
      </c>
      <c r="I542" s="22" t="str">
        <f t="shared" si="1"/>
        <v>#N/A</v>
      </c>
      <c r="J542" s="22" t="str">
        <f t="shared" si="2"/>
        <v>#N/A</v>
      </c>
      <c r="K542" s="22" t="str">
        <f t="array" ref="K542">IF(H542="Crash",MATCH(TRUE, B543:B640 &gt;= B541, 0),"")</f>
        <v/>
      </c>
    </row>
    <row r="543" ht="15.75" customHeight="1">
      <c r="A543" s="32">
        <f>'EQUITY BACKTEST'!A546</f>
        <v>39948.66667</v>
      </c>
      <c r="B543" s="22">
        <f>'EQUITY BACKTEST'!B546</f>
        <v>882.88</v>
      </c>
      <c r="C543" s="22">
        <f>1/'EQUITY BACKTEST'!E546</f>
        <v>0.7407956145</v>
      </c>
      <c r="D543" s="22">
        <f t="shared" si="5"/>
        <v>-0.7330069266</v>
      </c>
      <c r="E543" s="22">
        <f t="shared" si="3"/>
        <v>-0.04988000818</v>
      </c>
      <c r="F543" s="22">
        <f t="shared" si="6"/>
        <v>-0.3805872242</v>
      </c>
      <c r="H543" s="22" t="str">
        <f t="shared" si="4"/>
        <v/>
      </c>
      <c r="I543" s="22" t="str">
        <f t="shared" si="1"/>
        <v>#N/A</v>
      </c>
      <c r="J543" s="22" t="str">
        <f t="shared" si="2"/>
        <v>#N/A</v>
      </c>
      <c r="K543" s="22" t="str">
        <f t="array" ref="K543">IF(H543="Crash",MATCH(TRUE, B544:B641 &gt;= B542, 0),"")</f>
        <v/>
      </c>
    </row>
    <row r="544" ht="15.75" customHeight="1">
      <c r="A544" s="32">
        <f>'EQUITY BACKTEST'!A547</f>
        <v>39955.66667</v>
      </c>
      <c r="B544" s="22">
        <f>'EQUITY BACKTEST'!B547</f>
        <v>887</v>
      </c>
      <c r="C544" s="22">
        <f>1/'EQUITY BACKTEST'!E547</f>
        <v>0.7142857143</v>
      </c>
      <c r="D544" s="22">
        <f t="shared" si="5"/>
        <v>-0.7182276922</v>
      </c>
      <c r="E544" s="22">
        <f t="shared" si="3"/>
        <v>0.00466654585</v>
      </c>
      <c r="F544" s="22">
        <f t="shared" si="6"/>
        <v>-0.355345112</v>
      </c>
      <c r="H544" s="22" t="str">
        <f t="shared" si="4"/>
        <v/>
      </c>
      <c r="I544" s="22" t="str">
        <f t="shared" si="1"/>
        <v>#N/A</v>
      </c>
      <c r="J544" s="22" t="str">
        <f t="shared" si="2"/>
        <v>#N/A</v>
      </c>
      <c r="K544" s="22" t="str">
        <f t="array" ref="K544">IF(H544="Crash",MATCH(TRUE, B545:B642 &gt;= B543, 0),"")</f>
        <v/>
      </c>
    </row>
    <row r="545" ht="15.75" customHeight="1">
      <c r="A545" s="32">
        <f>'EQUITY BACKTEST'!A548</f>
        <v>39962.66667</v>
      </c>
      <c r="B545" s="22">
        <f>'EQUITY BACKTEST'!B548</f>
        <v>919.14</v>
      </c>
      <c r="C545" s="22">
        <f>1/'EQUITY BACKTEST'!E548</f>
        <v>0.7065140596</v>
      </c>
      <c r="D545" s="22">
        <f t="shared" si="5"/>
        <v>-0.7003678278</v>
      </c>
      <c r="E545" s="22">
        <f t="shared" si="3"/>
        <v>0.03623449831</v>
      </c>
      <c r="F545" s="22">
        <f t="shared" si="6"/>
        <v>-0.3436495808</v>
      </c>
      <c r="H545" s="22" t="str">
        <f t="shared" si="4"/>
        <v/>
      </c>
      <c r="I545" s="22" t="str">
        <f t="shared" si="1"/>
        <v>#N/A</v>
      </c>
      <c r="J545" s="22" t="str">
        <f t="shared" si="2"/>
        <v>#N/A</v>
      </c>
      <c r="K545" s="22" t="str">
        <f t="array" ref="K545">IF(H545="Crash",MATCH(TRUE, B546:B643 &gt;= B544, 0),"")</f>
        <v/>
      </c>
    </row>
    <row r="546" ht="15.75" customHeight="1">
      <c r="A546" s="32">
        <f>'EQUITY BACKTEST'!A549</f>
        <v>39969.66667</v>
      </c>
      <c r="B546" s="22">
        <f>'EQUITY BACKTEST'!B549</f>
        <v>940.09</v>
      </c>
      <c r="C546" s="22">
        <f>1/'EQUITY BACKTEST'!E549</f>
        <v>0.7158708569</v>
      </c>
      <c r="D546" s="22">
        <f t="shared" si="5"/>
        <v>-0.598248772</v>
      </c>
      <c r="E546" s="22">
        <f t="shared" si="3"/>
        <v>0.02279304567</v>
      </c>
      <c r="F546" s="22">
        <f t="shared" si="6"/>
        <v>-0.3091028015</v>
      </c>
      <c r="H546" s="22" t="str">
        <f t="shared" si="4"/>
        <v/>
      </c>
      <c r="I546" s="22" t="str">
        <f t="shared" si="1"/>
        <v>#N/A</v>
      </c>
      <c r="J546" s="22" t="str">
        <f t="shared" si="2"/>
        <v>#N/A</v>
      </c>
      <c r="K546" s="22" t="str">
        <f t="array" ref="K546">IF(H546="Crash",MATCH(TRUE, B547:B644 &gt;= B545, 0),"")</f>
        <v/>
      </c>
    </row>
    <row r="547" ht="15.75" customHeight="1">
      <c r="A547" s="32">
        <f>'EQUITY BACKTEST'!A550</f>
        <v>39976.66667</v>
      </c>
      <c r="B547" s="22">
        <f>'EQUITY BACKTEST'!B550</f>
        <v>946.21</v>
      </c>
      <c r="C547" s="22">
        <f>1/'EQUITY BACKTEST'!E550</f>
        <v>0.7142857143</v>
      </c>
      <c r="D547" s="22">
        <f t="shared" si="5"/>
        <v>-0.5415270775</v>
      </c>
      <c r="E547" s="22">
        <f t="shared" si="3"/>
        <v>0.006510014999</v>
      </c>
      <c r="F547" s="22">
        <f t="shared" si="6"/>
        <v>-0.3042726999</v>
      </c>
      <c r="H547" s="22" t="str">
        <f t="shared" si="4"/>
        <v/>
      </c>
      <c r="I547" s="22" t="str">
        <f t="shared" si="1"/>
        <v>#N/A</v>
      </c>
      <c r="J547" s="22" t="str">
        <f t="shared" si="2"/>
        <v>#N/A</v>
      </c>
      <c r="K547" s="22" t="str">
        <f t="array" ref="K547">IF(H547="Crash",MATCH(TRUE, B548:B645 &gt;= B546, 0),"")</f>
        <v/>
      </c>
    </row>
    <row r="548" ht="15.75" customHeight="1">
      <c r="A548" s="32">
        <f>'EQUITY BACKTEST'!A551</f>
        <v>39983.66667</v>
      </c>
      <c r="B548" s="22">
        <f>'EQUITY BACKTEST'!B551</f>
        <v>921.23</v>
      </c>
      <c r="C548" s="22">
        <f>1/'EQUITY BACKTEST'!E551</f>
        <v>0.7171029043</v>
      </c>
      <c r="D548" s="22">
        <f t="shared" si="5"/>
        <v>-0.7430985633</v>
      </c>
      <c r="E548" s="22">
        <f t="shared" si="3"/>
        <v>-0.02640005918</v>
      </c>
      <c r="F548" s="22">
        <f t="shared" si="6"/>
        <v>-0.3010023294</v>
      </c>
      <c r="H548" s="22" t="str">
        <f t="shared" si="4"/>
        <v/>
      </c>
      <c r="I548" s="22" t="str">
        <f t="shared" si="1"/>
        <v>#N/A</v>
      </c>
      <c r="J548" s="22" t="str">
        <f t="shared" si="2"/>
        <v>#N/A</v>
      </c>
      <c r="K548" s="22" t="str">
        <f t="array" ref="K548">IF(H548="Crash",MATCH(TRUE, B549:B646 &gt;= B547, 0),"")</f>
        <v/>
      </c>
    </row>
    <row r="549" ht="15.75" customHeight="1">
      <c r="A549" s="32">
        <f>'EQUITY BACKTEST'!A552</f>
        <v>39990.66667</v>
      </c>
      <c r="B549" s="22">
        <f>'EQUITY BACKTEST'!B552</f>
        <v>918.9</v>
      </c>
      <c r="C549" s="22">
        <f>1/'EQUITY BACKTEST'!E552</f>
        <v>0.7118957785</v>
      </c>
      <c r="D549" s="22">
        <f t="shared" si="5"/>
        <v>-0.7642317678</v>
      </c>
      <c r="E549" s="22">
        <f t="shared" si="3"/>
        <v>-0.002529227229</v>
      </c>
      <c r="F549" s="22">
        <f t="shared" si="6"/>
        <v>-0.2811996433</v>
      </c>
      <c r="H549" s="22" t="str">
        <f t="shared" si="4"/>
        <v/>
      </c>
      <c r="I549" s="22" t="str">
        <f t="shared" si="1"/>
        <v>#N/A</v>
      </c>
      <c r="J549" s="22" t="str">
        <f t="shared" si="2"/>
        <v>#N/A</v>
      </c>
      <c r="K549" s="22" t="str">
        <f t="array" ref="K549">IF(H549="Crash",MATCH(TRUE, B550:B647 &gt;= B548, 0),"")</f>
        <v/>
      </c>
    </row>
    <row r="550" ht="15.75" customHeight="1">
      <c r="A550" s="32">
        <f>'EQUITY BACKTEST'!A553</f>
        <v>39996.66667</v>
      </c>
      <c r="B550" s="22">
        <f>'EQUITY BACKTEST'!B553</f>
        <v>896.42</v>
      </c>
      <c r="C550" s="22">
        <f>1/'EQUITY BACKTEST'!E553</f>
        <v>0.715000715</v>
      </c>
      <c r="D550" s="22">
        <f t="shared" si="5"/>
        <v>-0.778855099</v>
      </c>
      <c r="E550" s="22">
        <f t="shared" si="3"/>
        <v>-0.02446403308</v>
      </c>
      <c r="F550" s="22">
        <f t="shared" si="6"/>
        <v>-0.290189247</v>
      </c>
      <c r="H550" s="22" t="str">
        <f t="shared" si="4"/>
        <v/>
      </c>
      <c r="I550" s="22" t="str">
        <f t="shared" si="1"/>
        <v>#N/A</v>
      </c>
      <c r="J550" s="22" t="str">
        <f t="shared" si="2"/>
        <v>#N/A</v>
      </c>
      <c r="K550" s="22" t="str">
        <f t="array" ref="K550">IF(H550="Crash",MATCH(TRUE, B551:B648 &gt;= B549, 0),"")</f>
        <v/>
      </c>
    </row>
    <row r="551" ht="15.75" customHeight="1">
      <c r="A551" s="32">
        <f>'EQUITY BACKTEST'!A554</f>
        <v>40004.66667</v>
      </c>
      <c r="B551" s="22">
        <f>'EQUITY BACKTEST'!B554</f>
        <v>879.13</v>
      </c>
      <c r="C551" s="22">
        <f>1/'EQUITY BACKTEST'!E554</f>
        <v>0.7175660161</v>
      </c>
      <c r="D551" s="22">
        <f t="shared" si="5"/>
        <v>-0.6603162142</v>
      </c>
      <c r="E551" s="22">
        <f t="shared" si="3"/>
        <v>-0.01928783383</v>
      </c>
      <c r="F551" s="22">
        <f t="shared" si="6"/>
        <v>-0.2907324787</v>
      </c>
      <c r="H551" s="22" t="str">
        <f t="shared" si="4"/>
        <v/>
      </c>
      <c r="I551" s="22" t="str">
        <f t="shared" si="1"/>
        <v>#N/A</v>
      </c>
      <c r="J551" s="22" t="str">
        <f t="shared" si="2"/>
        <v>#N/A</v>
      </c>
      <c r="K551" s="22" t="str">
        <f t="array" ref="K551">IF(H551="Crash",MATCH(TRUE, B552:B649 &gt;= B550, 0),"")</f>
        <v/>
      </c>
    </row>
    <row r="552" ht="15.75" customHeight="1">
      <c r="A552" s="32">
        <f>'EQUITY BACKTEST'!A555</f>
        <v>40011.66667</v>
      </c>
      <c r="B552" s="22">
        <f>'EQUITY BACKTEST'!B555</f>
        <v>940.38</v>
      </c>
      <c r="C552" s="22">
        <f>1/'EQUITY BACKTEST'!E555</f>
        <v>0.7091695624</v>
      </c>
      <c r="D552" s="22">
        <f t="shared" si="5"/>
        <v>-0.6293696179</v>
      </c>
      <c r="E552" s="22">
        <f t="shared" si="3"/>
        <v>0.06967115216</v>
      </c>
      <c r="F552" s="22">
        <f t="shared" si="6"/>
        <v>-0.2540692325</v>
      </c>
      <c r="H552" s="22" t="str">
        <f t="shared" si="4"/>
        <v/>
      </c>
      <c r="I552" s="22" t="str">
        <f t="shared" si="1"/>
        <v>#N/A</v>
      </c>
      <c r="J552" s="22" t="str">
        <f t="shared" si="2"/>
        <v>#N/A</v>
      </c>
      <c r="K552" s="22" t="str">
        <f t="array" ref="K552">IF(H552="Crash",MATCH(TRUE, B553:B650 &gt;= B551, 0),"")</f>
        <v/>
      </c>
    </row>
    <row r="553" ht="15.75" customHeight="1">
      <c r="A553" s="32">
        <f>'EQUITY BACKTEST'!A556</f>
        <v>40018.66667</v>
      </c>
      <c r="B553" s="22">
        <f>'EQUITY BACKTEST'!B556</f>
        <v>979.26</v>
      </c>
      <c r="C553" s="22">
        <f>1/'EQUITY BACKTEST'!E556</f>
        <v>0.7041757623</v>
      </c>
      <c r="D553" s="22">
        <f t="shared" si="5"/>
        <v>-0.5756208407</v>
      </c>
      <c r="E553" s="22">
        <f t="shared" si="3"/>
        <v>0.0413449882</v>
      </c>
      <c r="F553" s="22">
        <f t="shared" si="6"/>
        <v>-0.2214253912</v>
      </c>
      <c r="H553" s="22" t="str">
        <f t="shared" si="4"/>
        <v/>
      </c>
      <c r="I553" s="22" t="str">
        <f t="shared" si="1"/>
        <v>#N/A</v>
      </c>
      <c r="J553" s="22" t="str">
        <f t="shared" si="2"/>
        <v>#N/A</v>
      </c>
      <c r="K553" s="22" t="str">
        <f t="array" ref="K553">IF(H553="Crash",MATCH(TRUE, B554:B651 &gt;= B552, 0),"")</f>
        <v/>
      </c>
    </row>
    <row r="554" ht="15.75" customHeight="1">
      <c r="A554" s="32">
        <f>'EQUITY BACKTEST'!A557</f>
        <v>40025.66667</v>
      </c>
      <c r="B554" s="22">
        <f>'EQUITY BACKTEST'!B557</f>
        <v>987.48</v>
      </c>
      <c r="C554" s="22">
        <f>1/'EQUITY BACKTEST'!E557</f>
        <v>0.7015574576</v>
      </c>
      <c r="D554" s="22">
        <f t="shared" si="5"/>
        <v>-0.573188616</v>
      </c>
      <c r="E554" s="22">
        <f t="shared" si="3"/>
        <v>0.008394093499</v>
      </c>
      <c r="F554" s="22">
        <f t="shared" si="6"/>
        <v>-0.2164784855</v>
      </c>
      <c r="H554" s="22" t="str">
        <f t="shared" si="4"/>
        <v/>
      </c>
      <c r="I554" s="22" t="str">
        <f t="shared" si="1"/>
        <v>#N/A</v>
      </c>
      <c r="J554" s="22" t="str">
        <f t="shared" si="2"/>
        <v>#N/A</v>
      </c>
      <c r="K554" s="22" t="str">
        <f t="array" ref="K554">IF(H554="Crash",MATCH(TRUE, B555:B652 &gt;= B553, 0),"")</f>
        <v/>
      </c>
    </row>
    <row r="555" ht="15.75" customHeight="1">
      <c r="A555" s="32">
        <f>'EQUITY BACKTEST'!A558</f>
        <v>40032.66667</v>
      </c>
      <c r="B555" s="22">
        <f>'EQUITY BACKTEST'!B558</f>
        <v>1010.48</v>
      </c>
      <c r="C555" s="22">
        <f>1/'EQUITY BACKTEST'!E558</f>
        <v>0.7058159232</v>
      </c>
      <c r="D555" s="22">
        <f t="shared" si="5"/>
        <v>-0.6747592278</v>
      </c>
      <c r="E555" s="22">
        <f t="shared" si="3"/>
        <v>0.02329161097</v>
      </c>
      <c r="F555" s="22">
        <f t="shared" si="6"/>
        <v>-0.2205011108</v>
      </c>
      <c r="H555" s="22" t="str">
        <f t="shared" si="4"/>
        <v/>
      </c>
      <c r="I555" s="22" t="str">
        <f t="shared" si="1"/>
        <v>#N/A</v>
      </c>
      <c r="J555" s="22" t="str">
        <f t="shared" si="2"/>
        <v>#N/A</v>
      </c>
      <c r="K555" s="22" t="str">
        <f t="array" ref="K555">IF(H555="Crash",MATCH(TRUE, B556:B653 &gt;= B554, 0),"")</f>
        <v/>
      </c>
    </row>
    <row r="556" ht="15.75" customHeight="1">
      <c r="A556" s="32">
        <f>'EQUITY BACKTEST'!A559</f>
        <v>40039.66667</v>
      </c>
      <c r="B556" s="22">
        <f>'EQUITY BACKTEST'!B559</f>
        <v>1004.09</v>
      </c>
      <c r="C556" s="22">
        <f>1/'EQUITY BACKTEST'!E559</f>
        <v>0.7034822371</v>
      </c>
      <c r="D556" s="22">
        <f t="shared" si="5"/>
        <v>-0.7926973405</v>
      </c>
      <c r="E556" s="22">
        <f t="shared" si="3"/>
        <v>-0.006323727338</v>
      </c>
      <c r="F556" s="22">
        <f t="shared" si="6"/>
        <v>-0.2265521491</v>
      </c>
      <c r="H556" s="22" t="str">
        <f t="shared" si="4"/>
        <v/>
      </c>
      <c r="I556" s="22" t="str">
        <f t="shared" si="1"/>
        <v>#N/A</v>
      </c>
      <c r="J556" s="22" t="str">
        <f t="shared" si="2"/>
        <v>#N/A</v>
      </c>
      <c r="K556" s="22" t="str">
        <f t="array" ref="K556">IF(H556="Crash",MATCH(TRUE, B557:B654 &gt;= B555, 0),"")</f>
        <v/>
      </c>
    </row>
    <row r="557" ht="15.75" customHeight="1">
      <c r="A557" s="32">
        <f>'EQUITY BACKTEST'!A560</f>
        <v>40046.66667</v>
      </c>
      <c r="B557" s="22">
        <f>'EQUITY BACKTEST'!B560</f>
        <v>1026.13</v>
      </c>
      <c r="C557" s="22">
        <f>1/'EQUITY BACKTEST'!E560</f>
        <v>0.6992029087</v>
      </c>
      <c r="D557" s="22">
        <f t="shared" si="5"/>
        <v>-0.8391904568</v>
      </c>
      <c r="E557" s="22">
        <f t="shared" si="3"/>
        <v>0.02195022359</v>
      </c>
      <c r="F557" s="22">
        <f t="shared" si="6"/>
        <v>-0.2059046587</v>
      </c>
      <c r="H557" s="22" t="str">
        <f t="shared" si="4"/>
        <v/>
      </c>
      <c r="I557" s="22" t="str">
        <f t="shared" si="1"/>
        <v>#N/A</v>
      </c>
      <c r="J557" s="22" t="str">
        <f t="shared" si="2"/>
        <v>#N/A</v>
      </c>
      <c r="K557" s="22" t="str">
        <f t="array" ref="K557">IF(H557="Crash",MATCH(TRUE, B558:B655 &gt;= B556, 0),"")</f>
        <v/>
      </c>
    </row>
    <row r="558" ht="15.75" customHeight="1">
      <c r="A558" s="32">
        <f>'EQUITY BACKTEST'!A561</f>
        <v>40053.66667</v>
      </c>
      <c r="B558" s="22">
        <f>'EQUITY BACKTEST'!B561</f>
        <v>1028.93</v>
      </c>
      <c r="C558" s="22">
        <f>1/'EQUITY BACKTEST'!E561</f>
        <v>0.6992029087</v>
      </c>
      <c r="D558" s="22">
        <f t="shared" si="5"/>
        <v>-0.9141205647</v>
      </c>
      <c r="E558" s="22">
        <f t="shared" si="3"/>
        <v>0.002728699093</v>
      </c>
      <c r="F558" s="22">
        <f t="shared" si="6"/>
        <v>-0.1979217823</v>
      </c>
      <c r="H558" s="22" t="str">
        <f t="shared" si="4"/>
        <v/>
      </c>
      <c r="I558" s="22" t="str">
        <f t="shared" si="1"/>
        <v>#N/A</v>
      </c>
      <c r="J558" s="22" t="str">
        <f t="shared" si="2"/>
        <v>#N/A</v>
      </c>
      <c r="K558" s="22" t="str">
        <f t="array" ref="K558">IF(H558="Crash",MATCH(TRUE, B559:B656 &gt;= B557, 0),"")</f>
        <v/>
      </c>
    </row>
    <row r="559" ht="15.75" customHeight="1">
      <c r="A559" s="32">
        <f>'EQUITY BACKTEST'!A562</f>
        <v>40060.66667</v>
      </c>
      <c r="B559" s="22">
        <f>'EQUITY BACKTEST'!B562</f>
        <v>1016.4</v>
      </c>
      <c r="C559" s="22">
        <f>1/'EQUITY BACKTEST'!E562</f>
        <v>0.7005744711</v>
      </c>
      <c r="D559" s="22">
        <f t="shared" si="5"/>
        <v>-0.9351941738</v>
      </c>
      <c r="E559" s="22">
        <f t="shared" si="3"/>
        <v>-0.01217769916</v>
      </c>
      <c r="F559" s="22">
        <f t="shared" si="6"/>
        <v>-0.181846721</v>
      </c>
      <c r="H559" s="22" t="str">
        <f t="shared" si="4"/>
        <v/>
      </c>
      <c r="I559" s="22" t="str">
        <f t="shared" si="1"/>
        <v>#N/A</v>
      </c>
      <c r="J559" s="22" t="str">
        <f t="shared" si="2"/>
        <v>#N/A</v>
      </c>
      <c r="K559" s="22" t="str">
        <f t="array" ref="K559">IF(H559="Crash",MATCH(TRUE, B560:B657 &gt;= B558, 0),"")</f>
        <v/>
      </c>
    </row>
    <row r="560" ht="15.75" customHeight="1">
      <c r="A560" s="32">
        <f>'EQUITY BACKTEST'!A563</f>
        <v>40067.66667</v>
      </c>
      <c r="B560" s="22">
        <f>'EQUITY BACKTEST'!B563</f>
        <v>1042.73</v>
      </c>
      <c r="C560" s="22">
        <f>1/'EQUITY BACKTEST'!E563</f>
        <v>0.6859181014</v>
      </c>
      <c r="D560" s="22">
        <f t="shared" si="5"/>
        <v>-0.9075317855</v>
      </c>
      <c r="E560" s="22">
        <f t="shared" si="3"/>
        <v>0.02590515545</v>
      </c>
      <c r="F560" s="22">
        <f t="shared" si="6"/>
        <v>-0.1669489494</v>
      </c>
      <c r="H560" s="22" t="str">
        <f t="shared" si="4"/>
        <v/>
      </c>
      <c r="I560" s="22" t="str">
        <f t="shared" si="1"/>
        <v>#N/A</v>
      </c>
      <c r="J560" s="22" t="str">
        <f t="shared" si="2"/>
        <v>#N/A</v>
      </c>
      <c r="K560" s="22" t="str">
        <f t="array" ref="K560">IF(H560="Crash",MATCH(TRUE, B561:B658 &gt;= B559, 0),"")</f>
        <v/>
      </c>
    </row>
    <row r="561" ht="15.75" customHeight="1">
      <c r="A561" s="32">
        <f>'EQUITY BACKTEST'!A564</f>
        <v>40074.66667</v>
      </c>
      <c r="B561" s="22">
        <f>'EQUITY BACKTEST'!B564</f>
        <v>1068.3</v>
      </c>
      <c r="C561" s="22">
        <f>1/'EQUITY BACKTEST'!E564</f>
        <v>0.6801333061</v>
      </c>
      <c r="D561" s="22">
        <f t="shared" si="5"/>
        <v>-0.9014883746</v>
      </c>
      <c r="E561" s="22">
        <f t="shared" si="3"/>
        <v>0.02452216777</v>
      </c>
      <c r="F561" s="22">
        <f t="shared" si="6"/>
        <v>-0.1488191988</v>
      </c>
      <c r="H561" s="22" t="str">
        <f t="shared" si="4"/>
        <v/>
      </c>
      <c r="I561" s="22" t="str">
        <f t="shared" si="1"/>
        <v>#N/A</v>
      </c>
      <c r="J561" s="22" t="str">
        <f t="shared" si="2"/>
        <v>#N/A</v>
      </c>
      <c r="K561" s="22" t="str">
        <f t="array" ref="K561">IF(H561="Crash",MATCH(TRUE, B562:B659 &gt;= B560, 0),"")</f>
        <v/>
      </c>
    </row>
    <row r="562" ht="15.75" customHeight="1">
      <c r="A562" s="32">
        <f>'EQUITY BACKTEST'!A565</f>
        <v>40081.66667</v>
      </c>
      <c r="B562" s="22">
        <f>'EQUITY BACKTEST'!B565</f>
        <v>1044.38</v>
      </c>
      <c r="C562" s="22">
        <f>1/'EQUITY BACKTEST'!E565</f>
        <v>0.68115251</v>
      </c>
      <c r="D562" s="22">
        <f t="shared" si="5"/>
        <v>-0.8809846056</v>
      </c>
      <c r="E562" s="22">
        <f t="shared" si="3"/>
        <v>-0.02239071422</v>
      </c>
      <c r="F562" s="22">
        <f t="shared" si="6"/>
        <v>-0.139202321</v>
      </c>
      <c r="H562" s="22" t="str">
        <f t="shared" si="4"/>
        <v/>
      </c>
      <c r="I562" s="22" t="str">
        <f t="shared" si="1"/>
        <v>#N/A</v>
      </c>
      <c r="J562" s="22" t="str">
        <f t="shared" si="2"/>
        <v>#N/A</v>
      </c>
      <c r="K562" s="22" t="str">
        <f t="array" ref="K562">IF(H562="Crash",MATCH(TRUE, B563:B660 &gt;= B561, 0),"")</f>
        <v/>
      </c>
    </row>
    <row r="563" ht="15.75" customHeight="1">
      <c r="A563" s="32">
        <f>'EQUITY BACKTEST'!A566</f>
        <v>40088.66667</v>
      </c>
      <c r="B563" s="22">
        <f>'EQUITY BACKTEST'!B566</f>
        <v>1025.21</v>
      </c>
      <c r="C563" s="22">
        <f>1/'EQUITY BACKTEST'!E566</f>
        <v>0.6855889209</v>
      </c>
      <c r="D563" s="22">
        <f t="shared" si="5"/>
        <v>-0.8516607329</v>
      </c>
      <c r="E563" s="22">
        <f t="shared" si="3"/>
        <v>-0.01835538789</v>
      </c>
      <c r="F563" s="22">
        <f t="shared" si="6"/>
        <v>-0.06733804572</v>
      </c>
      <c r="H563" s="22" t="str">
        <f t="shared" si="4"/>
        <v/>
      </c>
      <c r="I563" s="22" t="str">
        <f t="shared" si="1"/>
        <v>#N/A</v>
      </c>
      <c r="J563" s="22" t="str">
        <f t="shared" si="2"/>
        <v>#N/A</v>
      </c>
      <c r="K563" s="22" t="str">
        <f t="array" ref="K563">IF(H563="Crash",MATCH(TRUE, B564:B661 &gt;= B562, 0),"")</f>
        <v/>
      </c>
    </row>
    <row r="564" ht="15.75" customHeight="1">
      <c r="A564" s="32">
        <f>'EQUITY BACKTEST'!A567</f>
        <v>40095.66667</v>
      </c>
      <c r="B564" s="22">
        <f>'EQUITY BACKTEST'!B567</f>
        <v>1071.49</v>
      </c>
      <c r="C564" s="22">
        <f>1/'EQUITY BACKTEST'!E567</f>
        <v>0.6796248471</v>
      </c>
      <c r="D564" s="22">
        <f t="shared" si="5"/>
        <v>-0.8564359797</v>
      </c>
      <c r="E564" s="22">
        <f t="shared" si="3"/>
        <v>0.04514197091</v>
      </c>
      <c r="F564" s="22">
        <f t="shared" si="6"/>
        <v>0.1915771446</v>
      </c>
      <c r="H564" s="22" t="str">
        <f t="shared" si="4"/>
        <v/>
      </c>
      <c r="I564" s="22" t="str">
        <f t="shared" si="1"/>
        <v>#N/A</v>
      </c>
      <c r="J564" s="22" t="str">
        <f t="shared" si="2"/>
        <v>#N/A</v>
      </c>
      <c r="K564" s="22" t="str">
        <f t="array" ref="K564">IF(H564="Crash",MATCH(TRUE, B565:B662 &gt;= B563, 0),"")</f>
        <v/>
      </c>
    </row>
    <row r="565" ht="15.75" customHeight="1">
      <c r="A565" s="32">
        <f>'EQUITY BACKTEST'!A568</f>
        <v>40102.66667</v>
      </c>
      <c r="B565" s="22">
        <f>'EQUITY BACKTEST'!B568</f>
        <v>1087.68</v>
      </c>
      <c r="C565" s="22">
        <f>1/'EQUITY BACKTEST'!E568</f>
        <v>0.6715916723</v>
      </c>
      <c r="D565" s="22">
        <f t="shared" si="5"/>
        <v>-0.9006740373</v>
      </c>
      <c r="E565" s="22">
        <f t="shared" si="3"/>
        <v>0.01510980037</v>
      </c>
      <c r="F565" s="22">
        <f t="shared" si="6"/>
        <v>0.1564297486</v>
      </c>
      <c r="H565" s="22" t="str">
        <f t="shared" si="4"/>
        <v/>
      </c>
      <c r="I565" s="22" t="str">
        <f t="shared" si="1"/>
        <v>#N/A</v>
      </c>
      <c r="J565" s="22" t="str">
        <f t="shared" si="2"/>
        <v>#N/A</v>
      </c>
      <c r="K565" s="22" t="str">
        <f t="array" ref="K565">IF(H565="Crash",MATCH(TRUE, B566:B663 &gt;= B564, 0),"")</f>
        <v/>
      </c>
    </row>
    <row r="566" ht="15.75" customHeight="1">
      <c r="A566" s="32">
        <f>'EQUITY BACKTEST'!A569</f>
        <v>40109.66667</v>
      </c>
      <c r="B566" s="22">
        <f>'EQUITY BACKTEST'!B569</f>
        <v>1079.6</v>
      </c>
      <c r="C566" s="22">
        <f>1/'EQUITY BACKTEST'!E569</f>
        <v>0.6663557007</v>
      </c>
      <c r="D566" s="22">
        <f t="shared" si="5"/>
        <v>-0.9130071788</v>
      </c>
      <c r="E566" s="22">
        <f t="shared" si="3"/>
        <v>-0.007428655487</v>
      </c>
      <c r="F566" s="22">
        <f t="shared" si="6"/>
        <v>0.2313377511</v>
      </c>
      <c r="H566" s="22" t="str">
        <f t="shared" si="4"/>
        <v/>
      </c>
      <c r="I566" s="22" t="str">
        <f t="shared" si="1"/>
        <v>#N/A</v>
      </c>
      <c r="J566" s="22" t="str">
        <f t="shared" si="2"/>
        <v>#N/A</v>
      </c>
      <c r="K566" s="22" t="str">
        <f t="array" ref="K566">IF(H566="Crash",MATCH(TRUE, B567:B664 &gt;= B565, 0),"")</f>
        <v/>
      </c>
    </row>
    <row r="567" ht="15.75" customHeight="1">
      <c r="A567" s="32">
        <f>'EQUITY BACKTEST'!A570</f>
        <v>40116.66667</v>
      </c>
      <c r="B567" s="22">
        <f>'EQUITY BACKTEST'!B570</f>
        <v>1036.19</v>
      </c>
      <c r="C567" s="22">
        <f>1/'EQUITY BACKTEST'!E570</f>
        <v>0.6789327178</v>
      </c>
      <c r="D567" s="22">
        <f t="shared" si="5"/>
        <v>-0.8928651477</v>
      </c>
      <c r="E567" s="22">
        <f t="shared" si="3"/>
        <v>-0.04020933679</v>
      </c>
      <c r="F567" s="22">
        <f t="shared" si="6"/>
        <v>0.06961548387</v>
      </c>
      <c r="H567" s="22" t="str">
        <f t="shared" si="4"/>
        <v/>
      </c>
      <c r="I567" s="22" t="str">
        <f t="shared" si="1"/>
        <v>#N/A</v>
      </c>
      <c r="J567" s="22" t="str">
        <f t="shared" si="2"/>
        <v>#N/A</v>
      </c>
      <c r="K567" s="22" t="str">
        <f t="array" ref="K567">IF(H567="Crash",MATCH(TRUE, B568:B665 &gt;= B566, 0),"")</f>
        <v/>
      </c>
    </row>
    <row r="568" ht="15.75" customHeight="1">
      <c r="A568" s="32">
        <f>'EQUITY BACKTEST'!A571</f>
        <v>40123.66667</v>
      </c>
      <c r="B568" s="22">
        <f>'EQUITY BACKTEST'!B571</f>
        <v>1069.3</v>
      </c>
      <c r="C568" s="22">
        <f>1/'EQUITY BACKTEST'!E571</f>
        <v>0.6738544474</v>
      </c>
      <c r="D568" s="22">
        <f t="shared" si="5"/>
        <v>-0.8874139844</v>
      </c>
      <c r="E568" s="22">
        <f t="shared" si="3"/>
        <v>0.03195359924</v>
      </c>
      <c r="F568" s="22">
        <f t="shared" si="6"/>
        <v>0.1485622832</v>
      </c>
      <c r="H568" s="22" t="str">
        <f t="shared" si="4"/>
        <v/>
      </c>
      <c r="I568" s="22" t="str">
        <f t="shared" si="1"/>
        <v>#N/A</v>
      </c>
      <c r="J568" s="22" t="str">
        <f t="shared" si="2"/>
        <v>#N/A</v>
      </c>
      <c r="K568" s="22" t="str">
        <f t="array" ref="K568">IF(H568="Crash",MATCH(TRUE, B569:B666 &gt;= B567, 0),"")</f>
        <v/>
      </c>
    </row>
    <row r="569" ht="15.75" customHeight="1">
      <c r="A569" s="32">
        <f>'EQUITY BACKTEST'!A572</f>
        <v>40130.66667</v>
      </c>
      <c r="B569" s="22">
        <f>'EQUITY BACKTEST'!B572</f>
        <v>1093.48</v>
      </c>
      <c r="C569" s="22">
        <f>1/'EQUITY BACKTEST'!E572</f>
        <v>0.6710058378</v>
      </c>
      <c r="D569" s="22">
        <f t="shared" si="5"/>
        <v>-0.8644996033</v>
      </c>
      <c r="E569" s="22">
        <f t="shared" si="3"/>
        <v>0.02261292434</v>
      </c>
      <c r="F569" s="22">
        <f t="shared" si="6"/>
        <v>0.2521384649</v>
      </c>
      <c r="H569" s="22" t="str">
        <f t="shared" si="4"/>
        <v/>
      </c>
      <c r="I569" s="22" t="str">
        <f t="shared" si="1"/>
        <v>#N/A</v>
      </c>
      <c r="J569" s="22" t="str">
        <f t="shared" si="2"/>
        <v>#N/A</v>
      </c>
      <c r="K569" s="22" t="str">
        <f t="array" ref="K569">IF(H569="Crash",MATCH(TRUE, B570:B667 &gt;= B568, 0),"")</f>
        <v/>
      </c>
    </row>
    <row r="570" ht="15.75" customHeight="1">
      <c r="A570" s="32">
        <f>'EQUITY BACKTEST'!A573</f>
        <v>40137.66667</v>
      </c>
      <c r="B570" s="22">
        <f>'EQUITY BACKTEST'!B573</f>
        <v>1091.38</v>
      </c>
      <c r="C570" s="22">
        <f>1/'EQUITY BACKTEST'!E573</f>
        <v>0.6729475101</v>
      </c>
      <c r="D570" s="22">
        <f t="shared" si="5"/>
        <v>-0.8549060789</v>
      </c>
      <c r="E570" s="22">
        <f t="shared" si="3"/>
        <v>-0.001920474083</v>
      </c>
      <c r="F570" s="22">
        <f t="shared" si="6"/>
        <v>0.3641738435</v>
      </c>
      <c r="H570" s="22" t="str">
        <f t="shared" si="4"/>
        <v/>
      </c>
      <c r="I570" s="22" t="str">
        <f t="shared" si="1"/>
        <v>#N/A</v>
      </c>
      <c r="J570" s="22" t="str">
        <f t="shared" si="2"/>
        <v>#N/A</v>
      </c>
      <c r="K570" s="22" t="str">
        <f t="array" ref="K570">IF(H570="Crash",MATCH(TRUE, B571:B668 &gt;= B569, 0),"")</f>
        <v/>
      </c>
    </row>
    <row r="571" ht="15.75" customHeight="1">
      <c r="A571" s="32">
        <f>'EQUITY BACKTEST'!A574</f>
        <v>40144.66667</v>
      </c>
      <c r="B571" s="22">
        <f>'EQUITY BACKTEST'!B574</f>
        <v>1091.49</v>
      </c>
      <c r="C571" s="22">
        <f>1/'EQUITY BACKTEST'!E574</f>
        <v>0.6674230795</v>
      </c>
      <c r="D571" s="22">
        <f t="shared" si="5"/>
        <v>-0.8698235695</v>
      </c>
      <c r="E571" s="22">
        <f t="shared" si="3"/>
        <v>0.0001007898257</v>
      </c>
      <c r="F571" s="22">
        <f t="shared" si="6"/>
        <v>0.2178545925</v>
      </c>
      <c r="H571" s="22" t="str">
        <f t="shared" si="4"/>
        <v/>
      </c>
      <c r="I571" s="22" t="str">
        <f t="shared" si="1"/>
        <v>#N/A</v>
      </c>
      <c r="J571" s="22" t="str">
        <f t="shared" si="2"/>
        <v>#N/A</v>
      </c>
      <c r="K571" s="22" t="str">
        <f t="array" ref="K571">IF(H571="Crash",MATCH(TRUE, B572:B669 &gt;= B570, 0),"")</f>
        <v/>
      </c>
    </row>
    <row r="572" ht="15.75" customHeight="1">
      <c r="A572" s="32">
        <f>'EQUITY BACKTEST'!A575</f>
        <v>40151.66667</v>
      </c>
      <c r="B572" s="22">
        <f>'EQUITY BACKTEST'!B575</f>
        <v>1105.98</v>
      </c>
      <c r="C572" s="22">
        <f>1/'EQUITY BACKTEST'!E575</f>
        <v>0.6731740155</v>
      </c>
      <c r="D572" s="22">
        <f t="shared" si="5"/>
        <v>-0.8084066204</v>
      </c>
      <c r="E572" s="22">
        <f t="shared" si="3"/>
        <v>0.01327543083</v>
      </c>
      <c r="F572" s="22">
        <f t="shared" si="6"/>
        <v>0.2624333672</v>
      </c>
      <c r="H572" s="22" t="str">
        <f t="shared" si="4"/>
        <v/>
      </c>
      <c r="I572" s="22" t="str">
        <f t="shared" si="1"/>
        <v>#N/A</v>
      </c>
      <c r="J572" s="22" t="str">
        <f t="shared" si="2"/>
        <v>#N/A</v>
      </c>
      <c r="K572" s="22" t="str">
        <f t="array" ref="K572">IF(H572="Crash",MATCH(TRUE, B573:B670 &gt;= B571, 0),"")</f>
        <v/>
      </c>
    </row>
    <row r="573" ht="15.75" customHeight="1">
      <c r="A573" s="32">
        <f>'EQUITY BACKTEST'!A576</f>
        <v>40158.66667</v>
      </c>
      <c r="B573" s="22">
        <f>'EQUITY BACKTEST'!B576</f>
        <v>1106.41</v>
      </c>
      <c r="C573" s="22">
        <f>1/'EQUITY BACKTEST'!E576</f>
        <v>0.6841817187</v>
      </c>
      <c r="D573" s="22">
        <f t="shared" si="5"/>
        <v>-0.5184429724</v>
      </c>
      <c r="E573" s="22">
        <f t="shared" si="3"/>
        <v>0.0003887954574</v>
      </c>
      <c r="F573" s="22">
        <f t="shared" si="6"/>
        <v>0.2576699669</v>
      </c>
      <c r="H573" s="22" t="str">
        <f t="shared" si="4"/>
        <v/>
      </c>
      <c r="I573" s="22" t="str">
        <f t="shared" si="1"/>
        <v>#N/A</v>
      </c>
      <c r="J573" s="22" t="str">
        <f t="shared" si="2"/>
        <v>#N/A</v>
      </c>
      <c r="K573" s="22" t="str">
        <f t="array" ref="K573">IF(H573="Crash",MATCH(TRUE, B574:B671 &gt;= B572, 0),"")</f>
        <v/>
      </c>
    </row>
    <row r="574" ht="15.75" customHeight="1">
      <c r="A574" s="32">
        <f>'EQUITY BACKTEST'!A577</f>
        <v>40165.66667</v>
      </c>
      <c r="B574" s="22">
        <f>'EQUITY BACKTEST'!B577</f>
        <v>1102.47</v>
      </c>
      <c r="C574" s="22">
        <f>1/'EQUITY BACKTEST'!E577</f>
        <v>0.6971556051</v>
      </c>
      <c r="D574" s="22">
        <f t="shared" si="5"/>
        <v>-0.1520790814</v>
      </c>
      <c r="E574" s="22">
        <f t="shared" si="3"/>
        <v>-0.003561066874</v>
      </c>
      <c r="F574" s="22">
        <f t="shared" si="6"/>
        <v>0.241688066</v>
      </c>
      <c r="H574" s="22" t="str">
        <f t="shared" si="4"/>
        <v/>
      </c>
      <c r="I574" s="22" t="str">
        <f t="shared" si="1"/>
        <v>#N/A</v>
      </c>
      <c r="J574" s="22" t="str">
        <f t="shared" si="2"/>
        <v>#N/A</v>
      </c>
      <c r="K574" s="22" t="str">
        <f t="array" ref="K574">IF(H574="Crash",MATCH(TRUE, B575:B672 &gt;= B573, 0),"")</f>
        <v/>
      </c>
    </row>
    <row r="575" ht="15.75" customHeight="1">
      <c r="A575" s="32">
        <f>'EQUITY BACKTEST'!A578</f>
        <v>40171.66667</v>
      </c>
      <c r="B575" s="22">
        <f>'EQUITY BACKTEST'!B578</f>
        <v>1126.48</v>
      </c>
      <c r="C575" s="22">
        <f>1/'EQUITY BACKTEST'!E578</f>
        <v>0.6954102921</v>
      </c>
      <c r="D575" s="22">
        <f t="shared" si="5"/>
        <v>0.1565558352</v>
      </c>
      <c r="E575" s="22">
        <f t="shared" si="3"/>
        <v>0.02177837039</v>
      </c>
      <c r="F575" s="22">
        <f t="shared" si="6"/>
        <v>0.2906507791</v>
      </c>
      <c r="H575" s="22" t="str">
        <f t="shared" si="4"/>
        <v/>
      </c>
      <c r="I575" s="22" t="str">
        <f t="shared" si="1"/>
        <v>#N/A</v>
      </c>
      <c r="J575" s="22" t="str">
        <f t="shared" si="2"/>
        <v>#N/A</v>
      </c>
      <c r="K575" s="22" t="str">
        <f t="array" ref="K575">IF(H575="Crash",MATCH(TRUE, B576:B673 &gt;= B574, 0),"")</f>
        <v/>
      </c>
    </row>
    <row r="576" ht="15.75" customHeight="1">
      <c r="A576" s="32">
        <f>'EQUITY BACKTEST'!A579</f>
        <v>40178.66667</v>
      </c>
      <c r="B576" s="22">
        <f>'EQUITY BACKTEST'!B579</f>
        <v>1115.1</v>
      </c>
      <c r="C576" s="22">
        <f>1/'EQUITY BACKTEST'!E579</f>
        <v>0.6999370057</v>
      </c>
      <c r="D576" s="22">
        <f t="shared" si="5"/>
        <v>0.4822142962</v>
      </c>
      <c r="E576" s="22">
        <f t="shared" si="3"/>
        <v>-0.01010226546</v>
      </c>
      <c r="F576" s="22">
        <f t="shared" si="6"/>
        <v>0.1967160335</v>
      </c>
      <c r="H576" s="22" t="str">
        <f t="shared" si="4"/>
        <v/>
      </c>
      <c r="I576" s="22" t="str">
        <f t="shared" si="1"/>
        <v>#N/A</v>
      </c>
      <c r="J576" s="22" t="str">
        <f t="shared" si="2"/>
        <v>#N/A</v>
      </c>
      <c r="K576" s="22" t="str">
        <f t="array" ref="K576">IF(H576="Crash",MATCH(TRUE, B577:B674 &gt;= B575, 0),"")</f>
        <v/>
      </c>
    </row>
    <row r="577" ht="15.75" customHeight="1">
      <c r="A577" s="32">
        <f>'EQUITY BACKTEST'!A580</f>
        <v>40186.66667</v>
      </c>
      <c r="B577" s="22">
        <f>'EQUITY BACKTEST'!B580</f>
        <v>1144.98</v>
      </c>
      <c r="C577" s="22">
        <f>1/'EQUITY BACKTEST'!E580</f>
        <v>0.6943480072</v>
      </c>
      <c r="D577" s="22">
        <f t="shared" si="5"/>
        <v>0.5799641592</v>
      </c>
      <c r="E577" s="22">
        <f t="shared" si="3"/>
        <v>0.02679580307</v>
      </c>
      <c r="F577" s="22">
        <f t="shared" si="6"/>
        <v>0.2859886561</v>
      </c>
      <c r="H577" s="22" t="str">
        <f t="shared" si="4"/>
        <v/>
      </c>
      <c r="I577" s="22" t="str">
        <f t="shared" si="1"/>
        <v>#N/A</v>
      </c>
      <c r="J577" s="22" t="str">
        <f t="shared" si="2"/>
        <v>#N/A</v>
      </c>
      <c r="K577" s="22" t="str">
        <f t="array" ref="K577">IF(H577="Crash",MATCH(TRUE, B578:B675 &gt;= B576, 0),"")</f>
        <v/>
      </c>
    </row>
    <row r="578" ht="15.75" customHeight="1">
      <c r="A578" s="32">
        <f>'EQUITY BACKTEST'!A581</f>
        <v>40193.66667</v>
      </c>
      <c r="B578" s="22">
        <f>'EQUITY BACKTEST'!B581</f>
        <v>1136.03</v>
      </c>
      <c r="C578" s="22">
        <f>1/'EQUITY BACKTEST'!E581</f>
        <v>0.6951202558</v>
      </c>
      <c r="D578" s="22">
        <f t="shared" si="5"/>
        <v>0.6233982938</v>
      </c>
      <c r="E578" s="22">
        <f t="shared" si="3"/>
        <v>-0.007816730423</v>
      </c>
      <c r="F578" s="22">
        <f t="shared" si="6"/>
        <v>0.3363172258</v>
      </c>
      <c r="H578" s="22" t="str">
        <f t="shared" si="4"/>
        <v/>
      </c>
      <c r="I578" s="22" t="str">
        <f t="shared" si="1"/>
        <v>#N/A</v>
      </c>
      <c r="J578" s="22" t="str">
        <f t="shared" si="2"/>
        <v>#N/A</v>
      </c>
      <c r="K578" s="22" t="str">
        <f t="array" ref="K578">IF(H578="Crash",MATCH(TRUE, B579:B676 &gt;= B577, 0),"")</f>
        <v/>
      </c>
    </row>
    <row r="579" ht="15.75" customHeight="1">
      <c r="A579" s="32">
        <f>'EQUITY BACKTEST'!A582</f>
        <v>40200.66667</v>
      </c>
      <c r="B579" s="22">
        <f>'EQUITY BACKTEST'!B582</f>
        <v>1115.49</v>
      </c>
      <c r="C579" s="22">
        <f>1/'EQUITY BACKTEST'!E582</f>
        <v>0.7067137809</v>
      </c>
      <c r="D579" s="22">
        <f t="shared" si="5"/>
        <v>0.586111096</v>
      </c>
      <c r="E579" s="22">
        <f t="shared" si="3"/>
        <v>-0.01808050844</v>
      </c>
      <c r="F579" s="22">
        <f t="shared" si="6"/>
        <v>0.3408137508</v>
      </c>
      <c r="H579" s="22" t="str">
        <f t="shared" si="4"/>
        <v/>
      </c>
      <c r="I579" s="22" t="str">
        <f t="shared" si="1"/>
        <v>#N/A</v>
      </c>
      <c r="J579" s="22" t="str">
        <f t="shared" si="2"/>
        <v>#N/A</v>
      </c>
      <c r="K579" s="22" t="str">
        <f t="array" ref="K579">IF(H579="Crash",MATCH(TRUE, B580:B677 &gt;= B578, 0),"")</f>
        <v/>
      </c>
    </row>
    <row r="580" ht="15.75" customHeight="1">
      <c r="A580" s="32">
        <f>'EQUITY BACKTEST'!A583</f>
        <v>40207.66667</v>
      </c>
      <c r="B580" s="22">
        <f>'EQUITY BACKTEST'!B583</f>
        <v>1073.87</v>
      </c>
      <c r="C580" s="22">
        <f>1/'EQUITY BACKTEST'!E583</f>
        <v>0.7214486689</v>
      </c>
      <c r="D580" s="22">
        <f t="shared" si="5"/>
        <v>0.2385319469</v>
      </c>
      <c r="E580" s="22">
        <f t="shared" si="3"/>
        <v>-0.03731095752</v>
      </c>
      <c r="F580" s="22">
        <f t="shared" si="6"/>
        <v>0.3002736475</v>
      </c>
      <c r="H580" s="22" t="str">
        <f t="shared" si="4"/>
        <v/>
      </c>
      <c r="I580" s="22" t="str">
        <f t="shared" si="1"/>
        <v>#N/A</v>
      </c>
      <c r="J580" s="22" t="str">
        <f t="shared" si="2"/>
        <v>#N/A</v>
      </c>
      <c r="K580" s="22" t="str">
        <f t="array" ref="K580">IF(H580="Crash",MATCH(TRUE, B581:B678 &gt;= B579, 0),"")</f>
        <v/>
      </c>
    </row>
    <row r="581" ht="15.75" customHeight="1">
      <c r="A581" s="32">
        <f>'EQUITY BACKTEST'!A584</f>
        <v>40214.66667</v>
      </c>
      <c r="B581" s="22">
        <f>'EQUITY BACKTEST'!B584</f>
        <v>1066.19</v>
      </c>
      <c r="C581" s="22">
        <f>1/'EQUITY BACKTEST'!E584</f>
        <v>0.7350779183</v>
      </c>
      <c r="D581" s="22">
        <f t="shared" si="5"/>
        <v>-0.2375659777</v>
      </c>
      <c r="E581" s="22">
        <f t="shared" si="3"/>
        <v>-0.007151703651</v>
      </c>
      <c r="F581" s="22">
        <f t="shared" si="6"/>
        <v>0.2274810039</v>
      </c>
      <c r="H581" s="22" t="str">
        <f t="shared" si="4"/>
        <v/>
      </c>
      <c r="I581" s="22" t="str">
        <f t="shared" si="1"/>
        <v>#N/A</v>
      </c>
      <c r="J581" s="22" t="str">
        <f t="shared" si="2"/>
        <v>#N/A</v>
      </c>
      <c r="K581" s="22" t="str">
        <f t="array" ref="K581">IF(H581="Crash",MATCH(TRUE, B582:B679 &gt;= B580, 0),"")</f>
        <v/>
      </c>
    </row>
    <row r="582" ht="15.75" customHeight="1">
      <c r="A582" s="32">
        <f>'EQUITY BACKTEST'!A585</f>
        <v>40221.66667</v>
      </c>
      <c r="B582" s="22">
        <f>'EQUITY BACKTEST'!B585</f>
        <v>1075.51</v>
      </c>
      <c r="C582" s="22">
        <f>1/'EQUITY BACKTEST'!E585</f>
        <v>0.7344246884</v>
      </c>
      <c r="D582" s="22">
        <f t="shared" si="5"/>
        <v>-0.4292167061</v>
      </c>
      <c r="E582" s="22">
        <f t="shared" si="3"/>
        <v>0.008741406316</v>
      </c>
      <c r="F582" s="22">
        <f t="shared" si="6"/>
        <v>0.3007474239</v>
      </c>
      <c r="H582" s="22" t="str">
        <f t="shared" si="4"/>
        <v/>
      </c>
      <c r="I582" s="22" t="str">
        <f t="shared" si="1"/>
        <v>#N/A</v>
      </c>
      <c r="J582" s="22" t="str">
        <f t="shared" si="2"/>
        <v>#N/A</v>
      </c>
      <c r="K582" s="22" t="str">
        <f t="array" ref="K582">IF(H582="Crash",MATCH(TRUE, B583:B680 &gt;= B581, 0),"")</f>
        <v/>
      </c>
    </row>
    <row r="583" ht="15.75" customHeight="1">
      <c r="A583" s="32">
        <f>'EQUITY BACKTEST'!A586</f>
        <v>40228.66667</v>
      </c>
      <c r="B583" s="22">
        <f>'EQUITY BACKTEST'!B586</f>
        <v>1109.17</v>
      </c>
      <c r="C583" s="22">
        <f>1/'EQUITY BACKTEST'!E586</f>
        <v>0.7388252678</v>
      </c>
      <c r="D583" s="22">
        <f t="shared" si="5"/>
        <v>-0.4405491551</v>
      </c>
      <c r="E583" s="22">
        <f t="shared" si="3"/>
        <v>0.03129678013</v>
      </c>
      <c r="F583" s="22">
        <f t="shared" si="6"/>
        <v>0.4403869879</v>
      </c>
      <c r="H583" s="22" t="str">
        <f t="shared" si="4"/>
        <v/>
      </c>
      <c r="I583" s="22" t="str">
        <f t="shared" si="1"/>
        <v>#N/A</v>
      </c>
      <c r="J583" s="22" t="str">
        <f t="shared" si="2"/>
        <v>#N/A</v>
      </c>
      <c r="K583" s="22" t="str">
        <f t="array" ref="K583">IF(H583="Crash",MATCH(TRUE, B584:B681 &gt;= B582, 0),"")</f>
        <v/>
      </c>
    </row>
    <row r="584" ht="15.75" customHeight="1">
      <c r="A584" s="32">
        <f>'EQUITY BACKTEST'!A587</f>
        <v>40235.66667</v>
      </c>
      <c r="B584" s="22">
        <f>'EQUITY BACKTEST'!B587</f>
        <v>1104.49</v>
      </c>
      <c r="C584" s="22">
        <f>1/'EQUITY BACKTEST'!E587</f>
        <v>0.7322252325</v>
      </c>
      <c r="D584" s="22">
        <f t="shared" si="5"/>
        <v>-0.5734134571</v>
      </c>
      <c r="E584" s="22">
        <f t="shared" si="3"/>
        <v>-0.004219371242</v>
      </c>
      <c r="F584" s="22">
        <f t="shared" si="6"/>
        <v>0.5025235005</v>
      </c>
      <c r="H584" s="22" t="str">
        <f t="shared" si="4"/>
        <v/>
      </c>
      <c r="I584" s="22" t="str">
        <f t="shared" si="1"/>
        <v>#N/A</v>
      </c>
      <c r="J584" s="22" t="str">
        <f t="shared" si="2"/>
        <v>#N/A</v>
      </c>
      <c r="K584" s="22" t="str">
        <f t="array" ref="K584">IF(H584="Crash",MATCH(TRUE, B585:B682 &gt;= B583, 0),"")</f>
        <v/>
      </c>
    </row>
    <row r="585" ht="15.75" customHeight="1">
      <c r="A585" s="32">
        <f>'EQUITY BACKTEST'!A588</f>
        <v>40242.66667</v>
      </c>
      <c r="B585" s="22">
        <f>'EQUITY BACKTEST'!B588</f>
        <v>1138.7</v>
      </c>
      <c r="C585" s="22">
        <f>1/'EQUITY BACKTEST'!E588</f>
        <v>0.7349698662</v>
      </c>
      <c r="D585" s="22">
        <f t="shared" si="5"/>
        <v>-0.4637470778</v>
      </c>
      <c r="E585" s="22">
        <f t="shared" si="3"/>
        <v>0.03097357151</v>
      </c>
      <c r="F585" s="22">
        <f t="shared" si="6"/>
        <v>0.6662764494</v>
      </c>
      <c r="H585" s="22" t="str">
        <f t="shared" si="4"/>
        <v/>
      </c>
      <c r="I585" s="22" t="str">
        <f t="shared" si="1"/>
        <v>#N/A</v>
      </c>
      <c r="J585" s="22" t="str">
        <f t="shared" si="2"/>
        <v>#N/A</v>
      </c>
      <c r="K585" s="22" t="str">
        <f t="array" ref="K585">IF(H585="Crash",MATCH(TRUE, B586:B683 &gt;= B584, 0),"")</f>
        <v/>
      </c>
    </row>
    <row r="586" ht="15.75" customHeight="1">
      <c r="A586" s="32">
        <f>'EQUITY BACKTEST'!A589</f>
        <v>40249.66667</v>
      </c>
      <c r="B586" s="22">
        <f>'EQUITY BACKTEST'!B589</f>
        <v>1149.99</v>
      </c>
      <c r="C586" s="22">
        <f>1/'EQUITY BACKTEST'!E589</f>
        <v>0.7264802034</v>
      </c>
      <c r="D586" s="22">
        <f t="shared" si="5"/>
        <v>-0.4061054005</v>
      </c>
      <c r="E586" s="22">
        <f t="shared" si="3"/>
        <v>0.00991481514</v>
      </c>
      <c r="F586" s="22">
        <f t="shared" si="6"/>
        <v>0.5200449408</v>
      </c>
      <c r="H586" s="22" t="str">
        <f t="shared" si="4"/>
        <v/>
      </c>
      <c r="I586" s="22" t="str">
        <f t="shared" si="1"/>
        <v>#N/A</v>
      </c>
      <c r="J586" s="22" t="str">
        <f t="shared" si="2"/>
        <v>#N/A</v>
      </c>
      <c r="K586" s="22" t="str">
        <f t="array" ref="K586">IF(H586="Crash",MATCH(TRUE, B587:B684 &gt;= B585, 0),"")</f>
        <v/>
      </c>
    </row>
    <row r="587" ht="15.75" customHeight="1">
      <c r="A587" s="32">
        <f>'EQUITY BACKTEST'!A590</f>
        <v>40256.66667</v>
      </c>
      <c r="B587" s="22">
        <f>'EQUITY BACKTEST'!B590</f>
        <v>1159.9</v>
      </c>
      <c r="C587" s="22">
        <f>1/'EQUITY BACKTEST'!E590</f>
        <v>0.7390983001</v>
      </c>
      <c r="D587" s="22">
        <f t="shared" si="5"/>
        <v>-0.2607859003</v>
      </c>
      <c r="E587" s="22">
        <f t="shared" si="3"/>
        <v>0.008617466239</v>
      </c>
      <c r="F587" s="22">
        <f t="shared" si="6"/>
        <v>0.5092252843</v>
      </c>
      <c r="H587" s="22" t="str">
        <f t="shared" si="4"/>
        <v/>
      </c>
      <c r="I587" s="22" t="str">
        <f t="shared" si="1"/>
        <v>#N/A</v>
      </c>
      <c r="J587" s="22" t="str">
        <f t="shared" si="2"/>
        <v>#N/A</v>
      </c>
      <c r="K587" s="22" t="str">
        <f t="array" ref="K587">IF(H587="Crash",MATCH(TRUE, B588:B685 &gt;= B586, 0),"")</f>
        <v/>
      </c>
    </row>
    <row r="588" ht="15.75" customHeight="1">
      <c r="A588" s="32">
        <f>'EQUITY BACKTEST'!A591</f>
        <v>40263.66667</v>
      </c>
      <c r="B588" s="22">
        <f>'EQUITY BACKTEST'!B591</f>
        <v>1166.59</v>
      </c>
      <c r="C588" s="22">
        <f>1/'EQUITY BACKTEST'!E591</f>
        <v>0.7469933518</v>
      </c>
      <c r="D588" s="22">
        <f t="shared" si="5"/>
        <v>-0.03935134392</v>
      </c>
      <c r="E588" s="22">
        <f t="shared" si="3"/>
        <v>0.005767738598</v>
      </c>
      <c r="F588" s="22">
        <f t="shared" si="6"/>
        <v>0.4297497365</v>
      </c>
      <c r="H588" s="22" t="str">
        <f t="shared" si="4"/>
        <v/>
      </c>
      <c r="I588" s="22" t="str">
        <f t="shared" si="1"/>
        <v>#N/A</v>
      </c>
      <c r="J588" s="22" t="str">
        <f t="shared" si="2"/>
        <v>#N/A</v>
      </c>
      <c r="K588" s="22" t="str">
        <f t="array" ref="K588">IF(H588="Crash",MATCH(TRUE, B589:B686 &gt;= B587, 0),"")</f>
        <v/>
      </c>
    </row>
    <row r="589" ht="15.75" customHeight="1">
      <c r="A589" s="32">
        <f>'EQUITY BACKTEST'!A592</f>
        <v>40269.66667</v>
      </c>
      <c r="B589" s="22">
        <f>'EQUITY BACKTEST'!B592</f>
        <v>1178.1</v>
      </c>
      <c r="C589" s="22">
        <f>1/'EQUITY BACKTEST'!E592</f>
        <v>0.7407956145</v>
      </c>
      <c r="D589" s="22">
        <f t="shared" si="5"/>
        <v>0.0541275411</v>
      </c>
      <c r="E589" s="22">
        <f t="shared" si="3"/>
        <v>0.009866362647</v>
      </c>
      <c r="F589" s="22">
        <f t="shared" si="6"/>
        <v>0.3983382789</v>
      </c>
      <c r="H589" s="22" t="str">
        <f t="shared" si="4"/>
        <v/>
      </c>
      <c r="I589" s="22" t="str">
        <f t="shared" si="1"/>
        <v>#N/A</v>
      </c>
      <c r="J589" s="22" t="str">
        <f t="shared" si="2"/>
        <v>#N/A</v>
      </c>
      <c r="K589" s="22" t="str">
        <f t="array" ref="K589">IF(H589="Crash",MATCH(TRUE, B590:B687 &gt;= B588, 0),"")</f>
        <v/>
      </c>
    </row>
    <row r="590" ht="15.75" customHeight="1">
      <c r="A590" s="32">
        <f>'EQUITY BACKTEST'!A593</f>
        <v>40277.66667</v>
      </c>
      <c r="B590" s="22">
        <f>'EQUITY BACKTEST'!B593</f>
        <v>1194.37</v>
      </c>
      <c r="C590" s="22">
        <f>1/'EQUITY BACKTEST'!E593</f>
        <v>0.7407956145</v>
      </c>
      <c r="D590" s="22">
        <f t="shared" si="5"/>
        <v>0.2575410079</v>
      </c>
      <c r="E590" s="22">
        <f t="shared" si="3"/>
        <v>0.01381037263</v>
      </c>
      <c r="F590" s="22">
        <f t="shared" si="6"/>
        <v>0.394379845</v>
      </c>
      <c r="H590" s="22" t="str">
        <f t="shared" si="4"/>
        <v/>
      </c>
      <c r="I590" s="22" t="str">
        <f t="shared" si="1"/>
        <v>#N/A</v>
      </c>
      <c r="J590" s="22" t="str">
        <f t="shared" si="2"/>
        <v>#N/A</v>
      </c>
      <c r="K590" s="22" t="str">
        <f t="array" ref="K590">IF(H590="Crash",MATCH(TRUE, B591:B688 &gt;= B589, 0),"")</f>
        <v/>
      </c>
    </row>
    <row r="591" ht="15.75" customHeight="1">
      <c r="A591" s="32">
        <f>'EQUITY BACKTEST'!A594</f>
        <v>40284.66667</v>
      </c>
      <c r="B591" s="22">
        <f>'EQUITY BACKTEST'!B594</f>
        <v>1192.13</v>
      </c>
      <c r="C591" s="22">
        <f>1/'EQUITY BACKTEST'!E594</f>
        <v>0.7416747015</v>
      </c>
      <c r="D591" s="22">
        <f t="shared" si="5"/>
        <v>0.4709530357</v>
      </c>
      <c r="E591" s="22">
        <f t="shared" si="3"/>
        <v>-0.001875465727</v>
      </c>
      <c r="F591" s="22">
        <f t="shared" si="6"/>
        <v>0.3708946642</v>
      </c>
      <c r="H591" s="22" t="str">
        <f t="shared" si="4"/>
        <v/>
      </c>
      <c r="I591" s="22" t="str">
        <f t="shared" si="1"/>
        <v>#N/A</v>
      </c>
      <c r="J591" s="22" t="str">
        <f t="shared" si="2"/>
        <v>#N/A</v>
      </c>
      <c r="K591" s="22" t="str">
        <f t="array" ref="K591">IF(H591="Crash",MATCH(TRUE, B592:B689 &gt;= B590, 0),"")</f>
        <v/>
      </c>
    </row>
    <row r="592" ht="15.75" customHeight="1">
      <c r="A592" s="32">
        <f>'EQUITY BACKTEST'!A595</f>
        <v>40291.66667</v>
      </c>
      <c r="B592" s="22">
        <f>'EQUITY BACKTEST'!B595</f>
        <v>1217.28</v>
      </c>
      <c r="C592" s="22">
        <f>1/'EQUITY BACKTEST'!E595</f>
        <v>0.7473283013</v>
      </c>
      <c r="D592" s="22">
        <f t="shared" si="5"/>
        <v>0.6822147327</v>
      </c>
      <c r="E592" s="22">
        <f t="shared" si="3"/>
        <v>0.02109669247</v>
      </c>
      <c r="F592" s="22">
        <f t="shared" si="6"/>
        <v>0.4052618819</v>
      </c>
      <c r="H592" s="22" t="str">
        <f t="shared" si="4"/>
        <v/>
      </c>
      <c r="I592" s="22" t="str">
        <f t="shared" si="1"/>
        <v>#N/A</v>
      </c>
      <c r="J592" s="22" t="str">
        <f t="shared" si="2"/>
        <v>#N/A</v>
      </c>
      <c r="K592" s="22" t="str">
        <f t="array" ref="K592">IF(H592="Crash",MATCH(TRUE, B593:B690 &gt;= B591, 0),"")</f>
        <v/>
      </c>
    </row>
    <row r="593" ht="15.75" customHeight="1">
      <c r="A593" s="32">
        <f>'EQUITY BACKTEST'!A596</f>
        <v>40298.66667</v>
      </c>
      <c r="B593" s="22">
        <f>'EQUITY BACKTEST'!B596</f>
        <v>1186.69</v>
      </c>
      <c r="C593" s="22">
        <f>1/'EQUITY BACKTEST'!E596</f>
        <v>0.7518796992</v>
      </c>
      <c r="D593" s="22">
        <f t="shared" si="5"/>
        <v>0.6219552221</v>
      </c>
      <c r="E593" s="22">
        <f t="shared" si="3"/>
        <v>-0.02512979758</v>
      </c>
      <c r="F593" s="22">
        <f t="shared" si="6"/>
        <v>0.3523224542</v>
      </c>
      <c r="H593" s="22" t="str">
        <f t="shared" si="4"/>
        <v/>
      </c>
      <c r="I593" s="22" t="str">
        <f t="shared" si="1"/>
        <v>#N/A</v>
      </c>
      <c r="J593" s="22" t="str">
        <f t="shared" si="2"/>
        <v>#N/A</v>
      </c>
      <c r="K593" s="22" t="str">
        <f t="array" ref="K593">IF(H593="Crash",MATCH(TRUE, B594:B691 &gt;= B592, 0),"")</f>
        <v/>
      </c>
    </row>
    <row r="594" ht="15.75" customHeight="1">
      <c r="A594" s="32">
        <f>'EQUITY BACKTEST'!A597</f>
        <v>40305.66667</v>
      </c>
      <c r="B594" s="22">
        <f>'EQUITY BACKTEST'!B597</f>
        <v>1110.88</v>
      </c>
      <c r="C594" s="22">
        <f>1/'EQUITY BACKTEST'!E597</f>
        <v>0.7862871521</v>
      </c>
      <c r="D594" s="22">
        <f t="shared" si="5"/>
        <v>0.01598527515</v>
      </c>
      <c r="E594" s="22">
        <f t="shared" si="3"/>
        <v>-0.06388357532</v>
      </c>
      <c r="F594" s="22">
        <f t="shared" si="6"/>
        <v>0.1954844333</v>
      </c>
      <c r="H594" s="22" t="str">
        <f t="shared" si="4"/>
        <v>Crash</v>
      </c>
      <c r="I594" s="22">
        <f t="shared" si="1"/>
        <v>-6.388357532</v>
      </c>
      <c r="J594" s="22">
        <f t="shared" si="2"/>
        <v>1.598527515</v>
      </c>
      <c r="K594" s="22">
        <f t="array" ref="K594">IF(H594="Crash",MATCH(TRUE, B595:B692 &gt;= B593, 0),"")</f>
        <v>26</v>
      </c>
    </row>
    <row r="595" ht="15.75" customHeight="1">
      <c r="A595" s="32">
        <f>'EQUITY BACKTEST'!A598</f>
        <v>40312.66667</v>
      </c>
      <c r="B595" s="22">
        <f>'EQUITY BACKTEST'!B598</f>
        <v>1135.68</v>
      </c>
      <c r="C595" s="22">
        <f>1/'EQUITY BACKTEST'!E598</f>
        <v>0.809126952</v>
      </c>
      <c r="D595" s="22">
        <f t="shared" si="5"/>
        <v>-0.2015362202</v>
      </c>
      <c r="E595" s="22">
        <f t="shared" si="3"/>
        <v>0.02232464353</v>
      </c>
      <c r="F595" s="22">
        <f t="shared" si="6"/>
        <v>0.2863356289</v>
      </c>
      <c r="H595" s="22" t="str">
        <f t="shared" si="4"/>
        <v/>
      </c>
      <c r="I595" s="22" t="str">
        <f t="shared" si="1"/>
        <v>#N/A</v>
      </c>
      <c r="J595" s="22" t="str">
        <f t="shared" si="2"/>
        <v>#N/A</v>
      </c>
      <c r="K595" s="22" t="str">
        <f t="array" ref="K595">IF(H595="Crash",MATCH(TRUE, B596:B693 &gt;= B594, 0),"")</f>
        <v/>
      </c>
    </row>
    <row r="596" ht="15.75" customHeight="1">
      <c r="A596" s="32">
        <f>'EQUITY BACKTEST'!A599</f>
        <v>40319.66667</v>
      </c>
      <c r="B596" s="22">
        <f>'EQUITY BACKTEST'!B599</f>
        <v>1087.69</v>
      </c>
      <c r="C596" s="22">
        <f>1/'EQUITY BACKTEST'!E599</f>
        <v>0.794723039</v>
      </c>
      <c r="D596" s="22">
        <f t="shared" si="5"/>
        <v>-0.4597125603</v>
      </c>
      <c r="E596" s="22">
        <f t="shared" si="3"/>
        <v>-0.04225662158</v>
      </c>
      <c r="F596" s="22">
        <f t="shared" si="6"/>
        <v>0.2262570462</v>
      </c>
      <c r="H596" s="22" t="str">
        <f t="shared" si="4"/>
        <v/>
      </c>
      <c r="I596" s="22" t="str">
        <f t="shared" si="1"/>
        <v>#N/A</v>
      </c>
      <c r="J596" s="22" t="str">
        <f t="shared" si="2"/>
        <v>#N/A</v>
      </c>
      <c r="K596" s="22" t="str">
        <f t="array" ref="K596">IF(H596="Crash",MATCH(TRUE, B597:B694 &gt;= B595, 0),"")</f>
        <v/>
      </c>
    </row>
    <row r="597" ht="15.75" customHeight="1">
      <c r="A597" s="32">
        <f>'EQUITY BACKTEST'!A600</f>
        <v>40326.66667</v>
      </c>
      <c r="B597" s="22">
        <f>'EQUITY BACKTEST'!B600</f>
        <v>1089.41</v>
      </c>
      <c r="C597" s="22">
        <f>1/'EQUITY BACKTEST'!E600</f>
        <v>0.8086689309</v>
      </c>
      <c r="D597" s="22">
        <f t="shared" si="5"/>
        <v>-0.7142149439</v>
      </c>
      <c r="E597" s="22">
        <f t="shared" si="3"/>
        <v>0.001581332917</v>
      </c>
      <c r="F597" s="22">
        <f t="shared" si="6"/>
        <v>0.1852492547</v>
      </c>
      <c r="H597" s="22" t="str">
        <f t="shared" si="4"/>
        <v/>
      </c>
      <c r="I597" s="22" t="str">
        <f t="shared" si="1"/>
        <v>#N/A</v>
      </c>
      <c r="J597" s="22" t="str">
        <f t="shared" si="2"/>
        <v>#N/A</v>
      </c>
      <c r="K597" s="22" t="str">
        <f t="array" ref="K597">IF(H597="Crash",MATCH(TRUE, B598:B695 &gt;= B596, 0),"")</f>
        <v/>
      </c>
    </row>
    <row r="598" ht="15.75" customHeight="1">
      <c r="A598" s="32">
        <f>'EQUITY BACKTEST'!A601</f>
        <v>40333.66667</v>
      </c>
      <c r="B598" s="22">
        <f>'EQUITY BACKTEST'!B601</f>
        <v>1064.88</v>
      </c>
      <c r="C598" s="22">
        <f>1/'EQUITY BACKTEST'!E601</f>
        <v>0.8335417188</v>
      </c>
      <c r="D598" s="22">
        <f t="shared" si="5"/>
        <v>-0.8401573843</v>
      </c>
      <c r="E598" s="22">
        <f t="shared" si="3"/>
        <v>-0.02251677514</v>
      </c>
      <c r="F598" s="22">
        <f t="shared" si="6"/>
        <v>0.1327426098</v>
      </c>
      <c r="H598" s="22" t="str">
        <f t="shared" si="4"/>
        <v/>
      </c>
      <c r="I598" s="22" t="str">
        <f t="shared" si="1"/>
        <v>#N/A</v>
      </c>
      <c r="J598" s="22" t="str">
        <f t="shared" si="2"/>
        <v>#N/A</v>
      </c>
      <c r="K598" s="22" t="str">
        <f t="array" ref="K598">IF(H598="Crash",MATCH(TRUE, B599:B696 &gt;= B597, 0),"")</f>
        <v/>
      </c>
    </row>
    <row r="599" ht="15.75" customHeight="1">
      <c r="A599" s="32">
        <f>'EQUITY BACKTEST'!A602</f>
        <v>40340.66667</v>
      </c>
      <c r="B599" s="22">
        <f>'EQUITY BACKTEST'!B602</f>
        <v>1091.6</v>
      </c>
      <c r="C599" s="22">
        <f>1/'EQUITY BACKTEST'!E602</f>
        <v>0.8253549026</v>
      </c>
      <c r="D599" s="22">
        <f t="shared" si="5"/>
        <v>-0.901093497</v>
      </c>
      <c r="E599" s="22">
        <f t="shared" si="3"/>
        <v>0.02509202915</v>
      </c>
      <c r="F599" s="22">
        <f t="shared" si="6"/>
        <v>0.1536551083</v>
      </c>
      <c r="H599" s="22" t="str">
        <f t="shared" si="4"/>
        <v/>
      </c>
      <c r="I599" s="22" t="str">
        <f t="shared" si="1"/>
        <v>#N/A</v>
      </c>
      <c r="J599" s="22" t="str">
        <f t="shared" si="2"/>
        <v>#N/A</v>
      </c>
      <c r="K599" s="22" t="str">
        <f t="array" ref="K599">IF(H599="Crash",MATCH(TRUE, B600:B697 &gt;= B598, 0),"")</f>
        <v/>
      </c>
    </row>
    <row r="600" ht="15.75" customHeight="1">
      <c r="A600" s="32">
        <f>'EQUITY BACKTEST'!A603</f>
        <v>40347.66667</v>
      </c>
      <c r="B600" s="22">
        <f>'EQUITY BACKTEST'!B603</f>
        <v>1117.51</v>
      </c>
      <c r="C600" s="22">
        <f>1/'EQUITY BACKTEST'!E603</f>
        <v>0.8082244924</v>
      </c>
      <c r="D600" s="22">
        <f t="shared" si="5"/>
        <v>-0.9157211079</v>
      </c>
      <c r="E600" s="22">
        <f t="shared" si="3"/>
        <v>0.02373580066</v>
      </c>
      <c r="F600" s="22">
        <f t="shared" si="6"/>
        <v>0.2130629702</v>
      </c>
      <c r="H600" s="22" t="str">
        <f t="shared" si="4"/>
        <v/>
      </c>
      <c r="I600" s="22" t="str">
        <f t="shared" si="1"/>
        <v>#N/A</v>
      </c>
      <c r="J600" s="22" t="str">
        <f t="shared" si="2"/>
        <v>#N/A</v>
      </c>
      <c r="K600" s="22" t="str">
        <f t="array" ref="K600">IF(H600="Crash",MATCH(TRUE, B601:B698 &gt;= B599, 0),"")</f>
        <v/>
      </c>
    </row>
    <row r="601" ht="15.75" customHeight="1">
      <c r="A601" s="32">
        <f>'EQUITY BACKTEST'!A604</f>
        <v>40354.66667</v>
      </c>
      <c r="B601" s="22">
        <f>'EQUITY BACKTEST'!B604</f>
        <v>1076.76</v>
      </c>
      <c r="C601" s="22">
        <f>1/'EQUITY BACKTEST'!E604</f>
        <v>0.8081461128</v>
      </c>
      <c r="D601" s="22">
        <f t="shared" si="5"/>
        <v>-0.9178670397</v>
      </c>
      <c r="E601" s="22">
        <f t="shared" si="3"/>
        <v>-0.03646499808</v>
      </c>
      <c r="F601" s="22">
        <f t="shared" si="6"/>
        <v>0.1717923604</v>
      </c>
      <c r="H601" s="22" t="str">
        <f t="shared" si="4"/>
        <v/>
      </c>
      <c r="I601" s="22" t="str">
        <f t="shared" si="1"/>
        <v>#N/A</v>
      </c>
      <c r="J601" s="22" t="str">
        <f t="shared" si="2"/>
        <v>#N/A</v>
      </c>
      <c r="K601" s="22" t="str">
        <f t="array" ref="K601">IF(H601="Crash",MATCH(TRUE, B602:B699 &gt;= B600, 0),"")</f>
        <v/>
      </c>
    </row>
    <row r="602" ht="15.75" customHeight="1">
      <c r="A602" s="32">
        <f>'EQUITY BACKTEST'!A605</f>
        <v>40361.66667</v>
      </c>
      <c r="B602" s="22">
        <f>'EQUITY BACKTEST'!B605</f>
        <v>1022.58</v>
      </c>
      <c r="C602" s="22">
        <f>1/'EQUITY BACKTEST'!E605</f>
        <v>0.7952918721</v>
      </c>
      <c r="D602" s="22">
        <f t="shared" si="5"/>
        <v>-0.8225629366</v>
      </c>
      <c r="E602" s="22">
        <f t="shared" si="3"/>
        <v>-0.05031761953</v>
      </c>
      <c r="F602" s="22">
        <f t="shared" si="6"/>
        <v>0.1407376007</v>
      </c>
      <c r="H602" s="22" t="str">
        <f t="shared" si="4"/>
        <v>Crash</v>
      </c>
      <c r="I602" s="22">
        <f t="shared" si="1"/>
        <v>-5.031761953</v>
      </c>
      <c r="J602" s="22">
        <f t="shared" si="2"/>
        <v>-82.25629366</v>
      </c>
      <c r="K602" s="22">
        <f t="array" ref="K602">IF(H602="Crash",MATCH(TRUE, B603:B700 &gt;= B601, 0),"")</f>
        <v>1</v>
      </c>
    </row>
    <row r="603" ht="15.75" customHeight="1">
      <c r="A603" s="32">
        <f>'EQUITY BACKTEST'!A606</f>
        <v>40368.66667</v>
      </c>
      <c r="B603" s="22">
        <f>'EQUITY BACKTEST'!B606</f>
        <v>1077.96</v>
      </c>
      <c r="C603" s="22">
        <f>1/'EQUITY BACKTEST'!E606</f>
        <v>0.7910140801</v>
      </c>
      <c r="D603" s="22">
        <f t="shared" si="5"/>
        <v>-0.7745030273</v>
      </c>
      <c r="E603" s="22">
        <f t="shared" si="3"/>
        <v>0.05415713196</v>
      </c>
      <c r="F603" s="22">
        <f t="shared" si="6"/>
        <v>0.2261667785</v>
      </c>
      <c r="H603" s="22" t="str">
        <f t="shared" si="4"/>
        <v/>
      </c>
      <c r="I603" s="22" t="str">
        <f t="shared" si="1"/>
        <v>#N/A</v>
      </c>
      <c r="J603" s="22" t="str">
        <f t="shared" si="2"/>
        <v>#N/A</v>
      </c>
      <c r="K603" s="22" t="str">
        <f t="array" ref="K603">IF(H603="Crash",MATCH(TRUE, B604:B701 &gt;= B602, 0),"")</f>
        <v/>
      </c>
    </row>
    <row r="604" ht="15.75" customHeight="1">
      <c r="A604" s="32">
        <f>'EQUITY BACKTEST'!A607</f>
        <v>40375.66667</v>
      </c>
      <c r="B604" s="22">
        <f>'EQUITY BACKTEST'!B607</f>
        <v>1064.88</v>
      </c>
      <c r="C604" s="22">
        <f>1/'EQUITY BACKTEST'!E607</f>
        <v>0.7741136399</v>
      </c>
      <c r="D604" s="22">
        <f t="shared" si="5"/>
        <v>-0.6229455292</v>
      </c>
      <c r="E604" s="22">
        <f t="shared" si="3"/>
        <v>-0.01213403095</v>
      </c>
      <c r="F604" s="22">
        <f t="shared" si="6"/>
        <v>0.1323932878</v>
      </c>
      <c r="H604" s="22" t="str">
        <f t="shared" si="4"/>
        <v/>
      </c>
      <c r="I604" s="22" t="str">
        <f t="shared" si="1"/>
        <v>#N/A</v>
      </c>
      <c r="J604" s="22" t="str">
        <f t="shared" si="2"/>
        <v>#N/A</v>
      </c>
      <c r="K604" s="22" t="str">
        <f t="array" ref="K604">IF(H604="Crash",MATCH(TRUE, B605:B702 &gt;= B603, 0),"")</f>
        <v/>
      </c>
    </row>
    <row r="605" ht="15.75" customHeight="1">
      <c r="A605" s="32">
        <f>'EQUITY BACKTEST'!A608</f>
        <v>40382.66667</v>
      </c>
      <c r="B605" s="22">
        <f>'EQUITY BACKTEST'!B608</f>
        <v>1102.66</v>
      </c>
      <c r="C605" s="22">
        <f>1/'EQUITY BACKTEST'!E608</f>
        <v>0.7774840616</v>
      </c>
      <c r="D605" s="22">
        <f t="shared" si="5"/>
        <v>-0.4089475181</v>
      </c>
      <c r="E605" s="22">
        <f t="shared" si="3"/>
        <v>0.03547817594</v>
      </c>
      <c r="F605" s="22">
        <f t="shared" si="6"/>
        <v>0.1260135204</v>
      </c>
      <c r="H605" s="22" t="str">
        <f t="shared" si="4"/>
        <v/>
      </c>
      <c r="I605" s="22" t="str">
        <f t="shared" si="1"/>
        <v>#N/A</v>
      </c>
      <c r="J605" s="22" t="str">
        <f t="shared" si="2"/>
        <v>#N/A</v>
      </c>
      <c r="K605" s="22" t="str">
        <f t="array" ref="K605">IF(H605="Crash",MATCH(TRUE, B606:B703 &gt;= B604, 0),"")</f>
        <v/>
      </c>
    </row>
    <row r="606" ht="15.75" customHeight="1">
      <c r="A606" s="32">
        <f>'EQUITY BACKTEST'!A609</f>
        <v>40389.66667</v>
      </c>
      <c r="B606" s="22">
        <f>'EQUITY BACKTEST'!B609</f>
        <v>1101.6</v>
      </c>
      <c r="C606" s="22">
        <f>1/'EQUITY BACKTEST'!E609</f>
        <v>0.766988802</v>
      </c>
      <c r="D606" s="22">
        <f t="shared" si="5"/>
        <v>-0.02696283245</v>
      </c>
      <c r="E606" s="22">
        <f t="shared" si="3"/>
        <v>-0.0009613117371</v>
      </c>
      <c r="F606" s="22">
        <f t="shared" si="6"/>
        <v>0.1155668976</v>
      </c>
      <c r="H606" s="22" t="str">
        <f t="shared" si="4"/>
        <v/>
      </c>
      <c r="I606" s="22" t="str">
        <f t="shared" si="1"/>
        <v>#N/A</v>
      </c>
      <c r="J606" s="22" t="str">
        <f t="shared" si="2"/>
        <v>#N/A</v>
      </c>
      <c r="K606" s="22" t="str">
        <f t="array" ref="K606">IF(H606="Crash",MATCH(TRUE, B607:B704 &gt;= B605, 0),"")</f>
        <v/>
      </c>
    </row>
    <row r="607" ht="15.75" customHeight="1">
      <c r="A607" s="32">
        <f>'EQUITY BACKTEST'!A610</f>
        <v>40396.66667</v>
      </c>
      <c r="B607" s="22">
        <f>'EQUITY BACKTEST'!B610</f>
        <v>1121.64</v>
      </c>
      <c r="C607" s="22">
        <f>1/'EQUITY BACKTEST'!E610</f>
        <v>0.7531254707</v>
      </c>
      <c r="D607" s="22">
        <f t="shared" si="5"/>
        <v>-0.1721454366</v>
      </c>
      <c r="E607" s="22">
        <f t="shared" si="3"/>
        <v>0.01819172113</v>
      </c>
      <c r="F607" s="22">
        <f t="shared" si="6"/>
        <v>0.1100071253</v>
      </c>
      <c r="H607" s="22" t="str">
        <f t="shared" si="4"/>
        <v/>
      </c>
      <c r="I607" s="22" t="str">
        <f t="shared" si="1"/>
        <v>#N/A</v>
      </c>
      <c r="J607" s="22" t="str">
        <f t="shared" si="2"/>
        <v>#N/A</v>
      </c>
      <c r="K607" s="22" t="str">
        <f t="array" ref="K607">IF(H607="Crash",MATCH(TRUE, B608:B705 &gt;= B606, 0),"")</f>
        <v/>
      </c>
    </row>
    <row r="608" ht="15.75" customHeight="1">
      <c r="A608" s="32">
        <f>'EQUITY BACKTEST'!A611</f>
        <v>40403.66667</v>
      </c>
      <c r="B608" s="22">
        <f>'EQUITY BACKTEST'!B611</f>
        <v>1079.25</v>
      </c>
      <c r="C608" s="22">
        <f>1/'EQUITY BACKTEST'!E611</f>
        <v>0.7836990596</v>
      </c>
      <c r="D608" s="22">
        <f t="shared" si="5"/>
        <v>-0.2843041041</v>
      </c>
      <c r="E608" s="22">
        <f t="shared" si="3"/>
        <v>-0.03779287472</v>
      </c>
      <c r="F608" s="22">
        <f t="shared" si="6"/>
        <v>0.07485384776</v>
      </c>
      <c r="H608" s="22" t="str">
        <f t="shared" si="4"/>
        <v/>
      </c>
      <c r="I608" s="22" t="str">
        <f t="shared" si="1"/>
        <v>#N/A</v>
      </c>
      <c r="J608" s="22" t="str">
        <f t="shared" si="2"/>
        <v>#N/A</v>
      </c>
      <c r="K608" s="22" t="str">
        <f t="array" ref="K608">IF(H608="Crash",MATCH(TRUE, B609:B706 &gt;= B607, 0),"")</f>
        <v/>
      </c>
    </row>
    <row r="609" ht="15.75" customHeight="1">
      <c r="A609" s="32">
        <f>'EQUITY BACKTEST'!A612</f>
        <v>40410.66667</v>
      </c>
      <c r="B609" s="22">
        <f>'EQUITY BACKTEST'!B612</f>
        <v>1071.69</v>
      </c>
      <c r="C609" s="22">
        <f>1/'EQUITY BACKTEST'!E612</f>
        <v>0.7867201636</v>
      </c>
      <c r="D609" s="22">
        <f t="shared" si="5"/>
        <v>-0.2698987074</v>
      </c>
      <c r="E609" s="22">
        <f t="shared" si="3"/>
        <v>-0.007004864489</v>
      </c>
      <c r="F609" s="22">
        <f t="shared" si="6"/>
        <v>0.04439983238</v>
      </c>
      <c r="H609" s="22" t="str">
        <f t="shared" si="4"/>
        <v/>
      </c>
      <c r="I609" s="22" t="str">
        <f t="shared" si="1"/>
        <v>#N/A</v>
      </c>
      <c r="J609" s="22" t="str">
        <f t="shared" si="2"/>
        <v>#N/A</v>
      </c>
      <c r="K609" s="22" t="str">
        <f t="array" ref="K609">IF(H609="Crash",MATCH(TRUE, B610:B707 &gt;= B608, 0),"")</f>
        <v/>
      </c>
    </row>
    <row r="610" ht="15.75" customHeight="1">
      <c r="A610" s="32">
        <f>'EQUITY BACKTEST'!A613</f>
        <v>40417.66667</v>
      </c>
      <c r="B610" s="22">
        <f>'EQUITY BACKTEST'!B613</f>
        <v>1064.59</v>
      </c>
      <c r="C610" s="22">
        <f>1/'EQUITY BACKTEST'!E613</f>
        <v>0.7834534629</v>
      </c>
      <c r="D610" s="22">
        <f t="shared" si="5"/>
        <v>-0.2640180188</v>
      </c>
      <c r="E610" s="22">
        <f t="shared" si="3"/>
        <v>-0.006625050154</v>
      </c>
      <c r="F610" s="22">
        <f t="shared" si="6"/>
        <v>0.0346573625</v>
      </c>
      <c r="H610" s="22" t="str">
        <f t="shared" si="4"/>
        <v/>
      </c>
      <c r="I610" s="22" t="str">
        <f t="shared" si="1"/>
        <v>#N/A</v>
      </c>
      <c r="J610" s="22" t="str">
        <f t="shared" si="2"/>
        <v>#N/A</v>
      </c>
      <c r="K610" s="22" t="str">
        <f t="array" ref="K610">IF(H610="Crash",MATCH(TRUE, B611:B708 &gt;= B609, 0),"")</f>
        <v/>
      </c>
    </row>
    <row r="611" ht="15.75" customHeight="1">
      <c r="A611" s="32">
        <f>'EQUITY BACKTEST'!A614</f>
        <v>40424.66667</v>
      </c>
      <c r="B611" s="22">
        <f>'EQUITY BACKTEST'!B614</f>
        <v>1104.51</v>
      </c>
      <c r="C611" s="22">
        <f>1/'EQUITY BACKTEST'!E614</f>
        <v>0.7763372409</v>
      </c>
      <c r="D611" s="22">
        <f t="shared" si="5"/>
        <v>-0.225208523</v>
      </c>
      <c r="E611" s="22">
        <f t="shared" si="3"/>
        <v>0.03749800393</v>
      </c>
      <c r="F611" s="22">
        <f t="shared" si="6"/>
        <v>0.08668831169</v>
      </c>
      <c r="H611" s="22" t="str">
        <f t="shared" si="4"/>
        <v/>
      </c>
      <c r="I611" s="22" t="str">
        <f t="shared" si="1"/>
        <v>#N/A</v>
      </c>
      <c r="J611" s="22" t="str">
        <f t="shared" si="2"/>
        <v>#N/A</v>
      </c>
      <c r="K611" s="22" t="str">
        <f t="array" ref="K611">IF(H611="Crash",MATCH(TRUE, B612:B709 &gt;= B610, 0),"")</f>
        <v/>
      </c>
    </row>
    <row r="612" ht="15.75" customHeight="1">
      <c r="A612" s="32">
        <f>'EQUITY BACKTEST'!A615</f>
        <v>40431.66667</v>
      </c>
      <c r="B612" s="22">
        <f>'EQUITY BACKTEST'!B615</f>
        <v>1109.55</v>
      </c>
      <c r="C612" s="22">
        <f>1/'EQUITY BACKTEST'!E615</f>
        <v>0.7857311228</v>
      </c>
      <c r="D612" s="22">
        <f t="shared" si="5"/>
        <v>-0.3235388725</v>
      </c>
      <c r="E612" s="22">
        <f t="shared" si="3"/>
        <v>0.004563109433</v>
      </c>
      <c r="F612" s="22">
        <f t="shared" si="6"/>
        <v>0.06408178531</v>
      </c>
      <c r="H612" s="22" t="str">
        <f t="shared" si="4"/>
        <v/>
      </c>
      <c r="I612" s="22" t="str">
        <f t="shared" si="1"/>
        <v>#N/A</v>
      </c>
      <c r="J612" s="22" t="str">
        <f t="shared" si="2"/>
        <v>#N/A</v>
      </c>
      <c r="K612" s="22" t="str">
        <f t="array" ref="K612">IF(H612="Crash",MATCH(TRUE, B613:B710 &gt;= B611, 0),"")</f>
        <v/>
      </c>
    </row>
    <row r="613" ht="15.75" customHeight="1">
      <c r="A613" s="32">
        <f>'EQUITY BACKTEST'!A616</f>
        <v>40438.66667</v>
      </c>
      <c r="B613" s="22">
        <f>'EQUITY BACKTEST'!B616</f>
        <v>1125.59</v>
      </c>
      <c r="C613" s="22">
        <f>1/'EQUITY BACKTEST'!E616</f>
        <v>0.7666360012</v>
      </c>
      <c r="D613" s="22">
        <f t="shared" si="5"/>
        <v>-0.6416672901</v>
      </c>
      <c r="E613" s="22">
        <f t="shared" si="3"/>
        <v>0.01445631112</v>
      </c>
      <c r="F613" s="22">
        <f t="shared" si="6"/>
        <v>0.05362725826</v>
      </c>
      <c r="H613" s="22" t="str">
        <f t="shared" si="4"/>
        <v/>
      </c>
      <c r="I613" s="22" t="str">
        <f t="shared" si="1"/>
        <v>#N/A</v>
      </c>
      <c r="J613" s="22" t="str">
        <f t="shared" si="2"/>
        <v>#N/A</v>
      </c>
      <c r="K613" s="22" t="str">
        <f t="array" ref="K613">IF(H613="Crash",MATCH(TRUE, B614:B711 &gt;= B612, 0),"")</f>
        <v/>
      </c>
    </row>
    <row r="614" ht="15.75" customHeight="1">
      <c r="A614" s="32">
        <f>'EQUITY BACKTEST'!A617</f>
        <v>40445.66667</v>
      </c>
      <c r="B614" s="22">
        <f>'EQUITY BACKTEST'!B617</f>
        <v>1148.67</v>
      </c>
      <c r="C614" s="22">
        <f>1/'EQUITY BACKTEST'!E617</f>
        <v>0.7413447995</v>
      </c>
      <c r="D614" s="22">
        <f t="shared" si="5"/>
        <v>-0.8058796772</v>
      </c>
      <c r="E614" s="22">
        <f t="shared" si="3"/>
        <v>0.02050480193</v>
      </c>
      <c r="F614" s="22">
        <f t="shared" si="6"/>
        <v>0.09985828913</v>
      </c>
      <c r="H614" s="22" t="str">
        <f t="shared" si="4"/>
        <v/>
      </c>
      <c r="I614" s="22" t="str">
        <f t="shared" si="1"/>
        <v>#N/A</v>
      </c>
      <c r="J614" s="22" t="str">
        <f t="shared" si="2"/>
        <v>#N/A</v>
      </c>
      <c r="K614" s="22" t="str">
        <f t="array" ref="K614">IF(H614="Crash",MATCH(TRUE, B615:B712 &gt;= B613, 0),"")</f>
        <v/>
      </c>
    </row>
    <row r="615" ht="15.75" customHeight="1">
      <c r="A615" s="32">
        <f>'EQUITY BACKTEST'!A618</f>
        <v>40452.66667</v>
      </c>
      <c r="B615" s="22">
        <f>'EQUITY BACKTEST'!B618</f>
        <v>1146.24</v>
      </c>
      <c r="C615" s="22">
        <f>1/'EQUITY BACKTEST'!E618</f>
        <v>0.7251631617</v>
      </c>
      <c r="D615" s="22">
        <f t="shared" si="5"/>
        <v>-0.8252982771</v>
      </c>
      <c r="E615" s="22">
        <f t="shared" si="3"/>
        <v>-0.002115490089</v>
      </c>
      <c r="F615" s="22">
        <f t="shared" si="6"/>
        <v>0.1180538621</v>
      </c>
      <c r="H615" s="22" t="str">
        <f t="shared" si="4"/>
        <v/>
      </c>
      <c r="I615" s="22" t="str">
        <f t="shared" si="1"/>
        <v>#N/A</v>
      </c>
      <c r="J615" s="22" t="str">
        <f t="shared" si="2"/>
        <v>#N/A</v>
      </c>
      <c r="K615" s="22" t="str">
        <f t="array" ref="K615">IF(H615="Crash",MATCH(TRUE, B616:B713 &gt;= B614, 0),"")</f>
        <v/>
      </c>
    </row>
    <row r="616" ht="15.75" customHeight="1">
      <c r="A616" s="32">
        <f>'EQUITY BACKTEST'!A619</f>
        <v>40459.66667</v>
      </c>
      <c r="B616" s="22">
        <f>'EQUITY BACKTEST'!B619</f>
        <v>1165.15</v>
      </c>
      <c r="C616" s="22">
        <f>1/'EQUITY BACKTEST'!E619</f>
        <v>0.7183391998</v>
      </c>
      <c r="D616" s="22">
        <f t="shared" si="5"/>
        <v>-0.8682899251</v>
      </c>
      <c r="E616" s="22">
        <f t="shared" si="3"/>
        <v>0.01649741764</v>
      </c>
      <c r="F616" s="22">
        <f t="shared" si="6"/>
        <v>0.08741098844</v>
      </c>
      <c r="H616" s="22" t="str">
        <f t="shared" si="4"/>
        <v/>
      </c>
      <c r="I616" s="22" t="str">
        <f t="shared" si="1"/>
        <v>#N/A</v>
      </c>
      <c r="J616" s="22" t="str">
        <f t="shared" si="2"/>
        <v>#N/A</v>
      </c>
      <c r="K616" s="22" t="str">
        <f t="array" ref="K616">IF(H616="Crash",MATCH(TRUE, B617:B714 &gt;= B615, 0),"")</f>
        <v/>
      </c>
    </row>
    <row r="617" ht="15.75" customHeight="1">
      <c r="A617" s="32">
        <f>'EQUITY BACKTEST'!A620</f>
        <v>40466.66667</v>
      </c>
      <c r="B617" s="22">
        <f>'EQUITY BACKTEST'!B620</f>
        <v>1176.19</v>
      </c>
      <c r="C617" s="22">
        <f>1/'EQUITY BACKTEST'!E620</f>
        <v>0.714591968</v>
      </c>
      <c r="D617" s="22">
        <f t="shared" si="5"/>
        <v>-0.92565044</v>
      </c>
      <c r="E617" s="22">
        <f t="shared" si="3"/>
        <v>0.00947517487</v>
      </c>
      <c r="F617" s="22">
        <f t="shared" si="6"/>
        <v>0.08137503678</v>
      </c>
      <c r="H617" s="22" t="str">
        <f t="shared" si="4"/>
        <v/>
      </c>
      <c r="I617" s="22" t="str">
        <f t="shared" si="1"/>
        <v>#N/A</v>
      </c>
      <c r="J617" s="22" t="str">
        <f t="shared" si="2"/>
        <v>#N/A</v>
      </c>
      <c r="K617" s="22" t="str">
        <f t="array" ref="K617">IF(H617="Crash",MATCH(TRUE, B618:B715 &gt;= B616, 0),"")</f>
        <v/>
      </c>
    </row>
    <row r="618" ht="15.75" customHeight="1">
      <c r="A618" s="32">
        <f>'EQUITY BACKTEST'!A621</f>
        <v>40473.66667</v>
      </c>
      <c r="B618" s="22">
        <f>'EQUITY BACKTEST'!B621</f>
        <v>1183.08</v>
      </c>
      <c r="C618" s="22">
        <f>1/'EQUITY BACKTEST'!E621</f>
        <v>0.7165376899</v>
      </c>
      <c r="D618" s="22">
        <f t="shared" si="5"/>
        <v>-0.9386433908</v>
      </c>
      <c r="E618" s="22">
        <f t="shared" si="3"/>
        <v>0.005857897108</v>
      </c>
      <c r="F618" s="22">
        <f t="shared" si="6"/>
        <v>0.09585031493</v>
      </c>
      <c r="H618" s="22" t="str">
        <f t="shared" si="4"/>
        <v/>
      </c>
      <c r="I618" s="22" t="str">
        <f t="shared" si="1"/>
        <v>#N/A</v>
      </c>
      <c r="J618" s="22" t="str">
        <f t="shared" si="2"/>
        <v>#N/A</v>
      </c>
      <c r="K618" s="22" t="str">
        <f t="array" ref="K618">IF(H618="Crash",MATCH(TRUE, B619:B716 &gt;= B617, 0),"")</f>
        <v/>
      </c>
    </row>
    <row r="619" ht="15.75" customHeight="1">
      <c r="A619" s="32">
        <f>'EQUITY BACKTEST'!A622</f>
        <v>40480.66667</v>
      </c>
      <c r="B619" s="22">
        <f>'EQUITY BACKTEST'!B622</f>
        <v>1183.26</v>
      </c>
      <c r="C619" s="22">
        <f>1/'EQUITY BACKTEST'!E622</f>
        <v>0.7170514843</v>
      </c>
      <c r="D619" s="22">
        <f t="shared" si="5"/>
        <v>-0.9452192797</v>
      </c>
      <c r="E619" s="22">
        <f t="shared" si="3"/>
        <v>0.000152145248</v>
      </c>
      <c r="F619" s="22">
        <f t="shared" si="6"/>
        <v>0.1419334292</v>
      </c>
      <c r="H619" s="22" t="str">
        <f t="shared" si="4"/>
        <v/>
      </c>
      <c r="I619" s="22" t="str">
        <f t="shared" si="1"/>
        <v>#N/A</v>
      </c>
      <c r="J619" s="22" t="str">
        <f t="shared" si="2"/>
        <v>#N/A</v>
      </c>
      <c r="K619" s="22" t="str">
        <f t="array" ref="K619">IF(H619="Crash",MATCH(TRUE, B620:B717 &gt;= B618, 0),"")</f>
        <v/>
      </c>
    </row>
    <row r="620" ht="15.75" customHeight="1">
      <c r="A620" s="32">
        <f>'EQUITY BACKTEST'!A623</f>
        <v>40487.66667</v>
      </c>
      <c r="B620" s="22">
        <f>'EQUITY BACKTEST'!B623</f>
        <v>1225.85</v>
      </c>
      <c r="C620" s="22">
        <f>1/'EQUITY BACKTEST'!E623</f>
        <v>0.712722815</v>
      </c>
      <c r="D620" s="22">
        <f t="shared" si="5"/>
        <v>-0.9312096529</v>
      </c>
      <c r="E620" s="22">
        <f t="shared" si="3"/>
        <v>0.0359937799</v>
      </c>
      <c r="F620" s="22">
        <f t="shared" si="6"/>
        <v>0.1464041897</v>
      </c>
      <c r="H620" s="22" t="str">
        <f t="shared" si="4"/>
        <v/>
      </c>
      <c r="I620" s="22" t="str">
        <f t="shared" si="1"/>
        <v>#N/A</v>
      </c>
      <c r="J620" s="22" t="str">
        <f t="shared" si="2"/>
        <v>#N/A</v>
      </c>
      <c r="K620" s="22" t="str">
        <f t="array" ref="K620">IF(H620="Crash",MATCH(TRUE, B621:B718 &gt;= B619, 0),"")</f>
        <v/>
      </c>
    </row>
    <row r="621" ht="15.75" customHeight="1">
      <c r="A621" s="32">
        <f>'EQUITY BACKTEST'!A624</f>
        <v>40494.66667</v>
      </c>
      <c r="B621" s="22">
        <f>'EQUITY BACKTEST'!B624</f>
        <v>1199.21</v>
      </c>
      <c r="C621" s="22">
        <f>1/'EQUITY BACKTEST'!E624</f>
        <v>0.7306202966</v>
      </c>
      <c r="D621" s="22">
        <f t="shared" si="5"/>
        <v>-0.9083102635</v>
      </c>
      <c r="E621" s="22">
        <f t="shared" si="3"/>
        <v>-0.02173185953</v>
      </c>
      <c r="F621" s="22">
        <f t="shared" si="6"/>
        <v>0.09669129751</v>
      </c>
      <c r="H621" s="22" t="str">
        <f t="shared" si="4"/>
        <v/>
      </c>
      <c r="I621" s="22" t="str">
        <f t="shared" si="1"/>
        <v>#N/A</v>
      </c>
      <c r="J621" s="22" t="str">
        <f t="shared" si="2"/>
        <v>#N/A</v>
      </c>
      <c r="K621" s="22" t="str">
        <f t="array" ref="K621">IF(H621="Crash",MATCH(TRUE, B622:B719 &gt;= B620, 0),"")</f>
        <v/>
      </c>
    </row>
    <row r="622" ht="15.75" customHeight="1">
      <c r="A622" s="32">
        <f>'EQUITY BACKTEST'!A625</f>
        <v>40501.66667</v>
      </c>
      <c r="B622" s="22">
        <f>'EQUITY BACKTEST'!B625</f>
        <v>1199.73</v>
      </c>
      <c r="C622" s="22">
        <f>1/'EQUITY BACKTEST'!E625</f>
        <v>0.7306363112</v>
      </c>
      <c r="D622" s="22">
        <f t="shared" si="5"/>
        <v>-0.8748803569</v>
      </c>
      <c r="E622" s="22">
        <f t="shared" si="3"/>
        <v>0.000433618799</v>
      </c>
      <c r="F622" s="22">
        <f t="shared" si="6"/>
        <v>0.09927797834</v>
      </c>
      <c r="H622" s="22" t="str">
        <f t="shared" si="4"/>
        <v/>
      </c>
      <c r="I622" s="22" t="str">
        <f t="shared" si="1"/>
        <v>#N/A</v>
      </c>
      <c r="J622" s="22" t="str">
        <f t="shared" si="2"/>
        <v>#N/A</v>
      </c>
      <c r="K622" s="22" t="str">
        <f t="array" ref="K622">IF(H622="Crash",MATCH(TRUE, B623:B720 &gt;= B621, 0),"")</f>
        <v/>
      </c>
    </row>
    <row r="623" ht="15.75" customHeight="1">
      <c r="A623" s="32">
        <f>'EQUITY BACKTEST'!A626</f>
        <v>40508.66667</v>
      </c>
      <c r="B623" s="22">
        <f>'EQUITY BACKTEST'!B626</f>
        <v>1189.4</v>
      </c>
      <c r="C623" s="22">
        <f>1/'EQUITY BACKTEST'!E626</f>
        <v>0.7550588946</v>
      </c>
      <c r="D623" s="22">
        <f t="shared" si="5"/>
        <v>-0.7679419223</v>
      </c>
      <c r="E623" s="22">
        <f t="shared" si="3"/>
        <v>-0.008610270644</v>
      </c>
      <c r="F623" s="22">
        <f t="shared" si="6"/>
        <v>0.08970306645</v>
      </c>
      <c r="H623" s="22" t="str">
        <f t="shared" si="4"/>
        <v/>
      </c>
      <c r="I623" s="22" t="str">
        <f t="shared" si="1"/>
        <v>#N/A</v>
      </c>
      <c r="J623" s="22" t="str">
        <f t="shared" si="2"/>
        <v>#N/A</v>
      </c>
      <c r="K623" s="22" t="str">
        <f t="array" ref="K623">IF(H623="Crash",MATCH(TRUE, B624:B721 &gt;= B622, 0),"")</f>
        <v/>
      </c>
    </row>
    <row r="624" ht="15.75" customHeight="1">
      <c r="A624" s="32">
        <f>'EQUITY BACKTEST'!A627</f>
        <v>40515.66667</v>
      </c>
      <c r="B624" s="22">
        <f>'EQUITY BACKTEST'!B627</f>
        <v>1224.71</v>
      </c>
      <c r="C624" s="22">
        <f>1/'EQUITY BACKTEST'!E627</f>
        <v>0.7482789584</v>
      </c>
      <c r="D624" s="22">
        <f t="shared" si="5"/>
        <v>-0.5542190756</v>
      </c>
      <c r="E624" s="22">
        <f t="shared" si="3"/>
        <v>0.02968723726</v>
      </c>
      <c r="F624" s="22">
        <f t="shared" si="6"/>
        <v>0.107352755</v>
      </c>
      <c r="H624" s="22" t="str">
        <f t="shared" si="4"/>
        <v/>
      </c>
      <c r="I624" s="22" t="str">
        <f t="shared" si="1"/>
        <v>#N/A</v>
      </c>
      <c r="J624" s="22" t="str">
        <f t="shared" si="2"/>
        <v>#N/A</v>
      </c>
      <c r="K624" s="22" t="str">
        <f t="array" ref="K624">IF(H624="Crash",MATCH(TRUE, B625:B722 &gt;= B623, 0),"")</f>
        <v/>
      </c>
    </row>
    <row r="625" ht="15.75" customHeight="1">
      <c r="A625" s="32">
        <f>'EQUITY BACKTEST'!A628</f>
        <v>40522.66667</v>
      </c>
      <c r="B625" s="22">
        <f>'EQUITY BACKTEST'!B628</f>
        <v>1240.4</v>
      </c>
      <c r="C625" s="22">
        <f>1/'EQUITY BACKTEST'!E628</f>
        <v>0.7556865412</v>
      </c>
      <c r="D625" s="22">
        <f t="shared" si="5"/>
        <v>-0.05729701489</v>
      </c>
      <c r="E625" s="22">
        <f t="shared" si="3"/>
        <v>0.01281119612</v>
      </c>
      <c r="F625" s="22">
        <f t="shared" si="6"/>
        <v>0.1211033884</v>
      </c>
      <c r="H625" s="22" t="str">
        <f t="shared" si="4"/>
        <v/>
      </c>
      <c r="I625" s="22" t="str">
        <f t="shared" si="1"/>
        <v>#N/A</v>
      </c>
      <c r="J625" s="22" t="str">
        <f t="shared" si="2"/>
        <v>#N/A</v>
      </c>
      <c r="K625" s="22" t="str">
        <f t="array" ref="K625">IF(H625="Crash",MATCH(TRUE, B626:B723 &gt;= B624, 0),"")</f>
        <v/>
      </c>
    </row>
    <row r="626" ht="15.75" customHeight="1">
      <c r="A626" s="32">
        <f>'EQUITY BACKTEST'!A629</f>
        <v>40529.66667</v>
      </c>
      <c r="B626" s="22">
        <f>'EQUITY BACKTEST'!B629</f>
        <v>1243.91</v>
      </c>
      <c r="C626" s="22">
        <f>1/'EQUITY BACKTEST'!E629</f>
        <v>0.7583225904</v>
      </c>
      <c r="D626" s="22">
        <f t="shared" si="5"/>
        <v>0.4718476537</v>
      </c>
      <c r="E626" s="22">
        <f t="shared" si="3"/>
        <v>0.002829732344</v>
      </c>
      <c r="F626" s="22">
        <f t="shared" si="6"/>
        <v>0.1282937404</v>
      </c>
      <c r="H626" s="22" t="str">
        <f t="shared" si="4"/>
        <v/>
      </c>
      <c r="I626" s="22" t="str">
        <f t="shared" si="1"/>
        <v>#N/A</v>
      </c>
      <c r="J626" s="22" t="str">
        <f t="shared" si="2"/>
        <v>#N/A</v>
      </c>
      <c r="K626" s="22" t="str">
        <f t="array" ref="K626">IF(H626="Crash",MATCH(TRUE, B627:B724 &gt;= B625, 0),"")</f>
        <v/>
      </c>
    </row>
    <row r="627" ht="15.75" customHeight="1">
      <c r="A627" s="32">
        <f>'EQUITY BACKTEST'!A630</f>
        <v>40535.66667</v>
      </c>
      <c r="B627" s="22">
        <f>'EQUITY BACKTEST'!B630</f>
        <v>1256.77</v>
      </c>
      <c r="C627" s="22">
        <f>1/'EQUITY BACKTEST'!E630</f>
        <v>0.762195122</v>
      </c>
      <c r="D627" s="22">
        <f t="shared" si="5"/>
        <v>0.686873921</v>
      </c>
      <c r="E627" s="22">
        <f t="shared" si="3"/>
        <v>0.01033836853</v>
      </c>
      <c r="F627" s="22">
        <f t="shared" si="6"/>
        <v>0.1156611746</v>
      </c>
      <c r="H627" s="22" t="str">
        <f t="shared" si="4"/>
        <v/>
      </c>
      <c r="I627" s="22" t="str">
        <f t="shared" si="1"/>
        <v>#N/A</v>
      </c>
      <c r="J627" s="22" t="str">
        <f t="shared" si="2"/>
        <v>#N/A</v>
      </c>
      <c r="K627" s="22" t="str">
        <f t="array" ref="K627">IF(H627="Crash",MATCH(TRUE, B628:B725 &gt;= B626, 0),"")</f>
        <v/>
      </c>
    </row>
    <row r="628" ht="15.75" customHeight="1">
      <c r="A628" s="32">
        <f>'EQUITY BACKTEST'!A631</f>
        <v>40543.66667</v>
      </c>
      <c r="B628" s="22">
        <f>'EQUITY BACKTEST'!B631</f>
        <v>1257.64</v>
      </c>
      <c r="C628" s="22">
        <f>1/'EQUITY BACKTEST'!E631</f>
        <v>0.7470491558</v>
      </c>
      <c r="D628" s="22">
        <f t="shared" si="5"/>
        <v>0.7141876278</v>
      </c>
      <c r="E628" s="22">
        <f t="shared" si="3"/>
        <v>0.0006922507698</v>
      </c>
      <c r="F628" s="22">
        <f t="shared" si="6"/>
        <v>0.1278271007</v>
      </c>
      <c r="H628" s="22" t="str">
        <f t="shared" si="4"/>
        <v/>
      </c>
      <c r="I628" s="22" t="str">
        <f t="shared" si="1"/>
        <v>#N/A</v>
      </c>
      <c r="J628" s="22" t="str">
        <f t="shared" si="2"/>
        <v>#N/A</v>
      </c>
      <c r="K628" s="22" t="str">
        <f t="array" ref="K628">IF(H628="Crash",MATCH(TRUE, B629:B726 &gt;= B627, 0),"")</f>
        <v/>
      </c>
    </row>
    <row r="629" ht="15.75" customHeight="1">
      <c r="A629" s="32">
        <f>'EQUITY BACKTEST'!A632</f>
        <v>40550.66667</v>
      </c>
      <c r="B629" s="22">
        <f>'EQUITY BACKTEST'!B632</f>
        <v>1271.5</v>
      </c>
      <c r="C629" s="22">
        <f>1/'EQUITY BACKTEST'!E632</f>
        <v>0.7744133819</v>
      </c>
      <c r="D629" s="22">
        <f t="shared" si="5"/>
        <v>0.7593932412</v>
      </c>
      <c r="E629" s="22">
        <f t="shared" si="3"/>
        <v>0.01102064184</v>
      </c>
      <c r="F629" s="22">
        <f t="shared" si="6"/>
        <v>0.1104997467</v>
      </c>
      <c r="H629" s="22" t="str">
        <f t="shared" si="4"/>
        <v/>
      </c>
      <c r="I629" s="22" t="str">
        <f t="shared" si="1"/>
        <v>#N/A</v>
      </c>
      <c r="J629" s="22" t="str">
        <f t="shared" si="2"/>
        <v>#N/A</v>
      </c>
      <c r="K629" s="22" t="str">
        <f t="array" ref="K629">IF(H629="Crash",MATCH(TRUE, B630:B727 &gt;= B628, 0),"")</f>
        <v/>
      </c>
    </row>
    <row r="630" ht="15.75" customHeight="1">
      <c r="A630" s="32">
        <f>'EQUITY BACKTEST'!A633</f>
        <v>40557.66667</v>
      </c>
      <c r="B630" s="22">
        <f>'EQUITY BACKTEST'!B633</f>
        <v>1293.24</v>
      </c>
      <c r="C630" s="22">
        <f>1/'EQUITY BACKTEST'!E633</f>
        <v>0.7505253678</v>
      </c>
      <c r="D630" s="22">
        <f t="shared" si="5"/>
        <v>0.6617904643</v>
      </c>
      <c r="E630" s="22">
        <f t="shared" si="3"/>
        <v>0.01709791585</v>
      </c>
      <c r="F630" s="22">
        <f t="shared" si="6"/>
        <v>0.13838543</v>
      </c>
      <c r="H630" s="22" t="str">
        <f t="shared" si="4"/>
        <v/>
      </c>
      <c r="I630" s="22" t="str">
        <f t="shared" si="1"/>
        <v>#N/A</v>
      </c>
      <c r="J630" s="22" t="str">
        <f t="shared" si="2"/>
        <v>#N/A</v>
      </c>
      <c r="K630" s="22" t="str">
        <f t="array" ref="K630">IF(H630="Crash",MATCH(TRUE, B631:B728 &gt;= B629, 0),"")</f>
        <v/>
      </c>
    </row>
    <row r="631" ht="15.75" customHeight="1">
      <c r="A631" s="32">
        <f>'EQUITY BACKTEST'!A634</f>
        <v>40564.66667</v>
      </c>
      <c r="B631" s="22">
        <f>'EQUITY BACKTEST'!B634</f>
        <v>1283.35</v>
      </c>
      <c r="C631" s="22">
        <f>1/'EQUITY BACKTEST'!E634</f>
        <v>0.7365397363</v>
      </c>
      <c r="D631" s="22">
        <f t="shared" si="5"/>
        <v>0.4944137844</v>
      </c>
      <c r="E631" s="22">
        <f t="shared" si="3"/>
        <v>-0.007647459095</v>
      </c>
      <c r="F631" s="22">
        <f t="shared" si="6"/>
        <v>0.1504809546</v>
      </c>
      <c r="H631" s="22" t="str">
        <f t="shared" si="4"/>
        <v/>
      </c>
      <c r="I631" s="22" t="str">
        <f t="shared" si="1"/>
        <v>#N/A</v>
      </c>
      <c r="J631" s="22" t="str">
        <f t="shared" si="2"/>
        <v>#N/A</v>
      </c>
      <c r="K631" s="22" t="str">
        <f t="array" ref="K631">IF(H631="Crash",MATCH(TRUE, B632:B729 &gt;= B630, 0),"")</f>
        <v/>
      </c>
    </row>
    <row r="632" ht="15.75" customHeight="1">
      <c r="A632" s="32">
        <f>'EQUITY BACKTEST'!A635</f>
        <v>40571.66667</v>
      </c>
      <c r="B632" s="22">
        <f>'EQUITY BACKTEST'!B635</f>
        <v>1276.34</v>
      </c>
      <c r="C632" s="22">
        <f>1/'EQUITY BACKTEST'!E635</f>
        <v>0.7350779183</v>
      </c>
      <c r="D632" s="22">
        <f t="shared" si="5"/>
        <v>0.285210928</v>
      </c>
      <c r="E632" s="22">
        <f t="shared" si="3"/>
        <v>-0.005462266724</v>
      </c>
      <c r="F632" s="22">
        <f t="shared" si="6"/>
        <v>0.1885423748</v>
      </c>
      <c r="H632" s="22" t="str">
        <f t="shared" si="4"/>
        <v/>
      </c>
      <c r="I632" s="22" t="str">
        <f t="shared" si="1"/>
        <v>#N/A</v>
      </c>
      <c r="J632" s="22" t="str">
        <f t="shared" si="2"/>
        <v>#N/A</v>
      </c>
      <c r="K632" s="22" t="str">
        <f t="array" ref="K632">IF(H632="Crash",MATCH(TRUE, B633:B730 &gt;= B631, 0),"")</f>
        <v/>
      </c>
    </row>
    <row r="633" ht="15.75" customHeight="1">
      <c r="A633" s="32">
        <f>'EQUITY BACKTEST'!A636</f>
        <v>40578.66667</v>
      </c>
      <c r="B633" s="22">
        <f>'EQUITY BACKTEST'!B636</f>
        <v>1310.87</v>
      </c>
      <c r="C633" s="22">
        <f>1/'EQUITY BACKTEST'!E636</f>
        <v>0.736377025</v>
      </c>
      <c r="D633" s="22">
        <f t="shared" si="5"/>
        <v>0.08450455064</v>
      </c>
      <c r="E633" s="22">
        <f t="shared" si="3"/>
        <v>0.0270539198</v>
      </c>
      <c r="F633" s="22">
        <f t="shared" si="6"/>
        <v>0.2294900534</v>
      </c>
      <c r="H633" s="22" t="str">
        <f t="shared" si="4"/>
        <v/>
      </c>
      <c r="I633" s="22" t="str">
        <f t="shared" si="1"/>
        <v>#N/A</v>
      </c>
      <c r="J633" s="22" t="str">
        <f t="shared" si="2"/>
        <v>#N/A</v>
      </c>
      <c r="K633" s="22" t="str">
        <f t="array" ref="K633">IF(H633="Crash",MATCH(TRUE, B634:B731 &gt;= B632, 0),"")</f>
        <v/>
      </c>
    </row>
    <row r="634" ht="15.75" customHeight="1">
      <c r="A634" s="32">
        <f>'EQUITY BACKTEST'!A637</f>
        <v>40585.66667</v>
      </c>
      <c r="B634" s="22">
        <f>'EQUITY BACKTEST'!B637</f>
        <v>1329.15</v>
      </c>
      <c r="C634" s="22">
        <f>1/'EQUITY BACKTEST'!E637</f>
        <v>0.7382253064</v>
      </c>
      <c r="D634" s="22">
        <f t="shared" si="5"/>
        <v>-0.1890731521</v>
      </c>
      <c r="E634" s="22">
        <f t="shared" si="3"/>
        <v>0.01394493733</v>
      </c>
      <c r="F634" s="22">
        <f t="shared" si="6"/>
        <v>0.2358323028</v>
      </c>
      <c r="H634" s="22" t="str">
        <f t="shared" si="4"/>
        <v/>
      </c>
      <c r="I634" s="22" t="str">
        <f t="shared" si="1"/>
        <v>#N/A</v>
      </c>
      <c r="J634" s="22" t="str">
        <f t="shared" si="2"/>
        <v>#N/A</v>
      </c>
      <c r="K634" s="22" t="str">
        <f t="array" ref="K634">IF(H634="Crash",MATCH(TRUE, B635:B732 &gt;= B633, 0),"")</f>
        <v/>
      </c>
    </row>
    <row r="635" ht="15.75" customHeight="1">
      <c r="A635" s="32">
        <f>'EQUITY BACKTEST'!A638</f>
        <v>40592.66667</v>
      </c>
      <c r="B635" s="22">
        <f>'EQUITY BACKTEST'!B638</f>
        <v>1343.01</v>
      </c>
      <c r="C635" s="22">
        <f>1/'EQUITY BACKTEST'!E638</f>
        <v>0.7315288954</v>
      </c>
      <c r="D635" s="22">
        <f t="shared" si="5"/>
        <v>-0.565819855</v>
      </c>
      <c r="E635" s="22">
        <f t="shared" si="3"/>
        <v>0.01042771696</v>
      </c>
      <c r="F635" s="22">
        <f t="shared" si="6"/>
        <v>0.2108243101</v>
      </c>
      <c r="H635" s="22" t="str">
        <f t="shared" si="4"/>
        <v/>
      </c>
      <c r="I635" s="22" t="str">
        <f t="shared" si="1"/>
        <v>#N/A</v>
      </c>
      <c r="J635" s="22" t="str">
        <f t="shared" si="2"/>
        <v>#N/A</v>
      </c>
      <c r="K635" s="22" t="str">
        <f t="array" ref="K635">IF(H635="Crash",MATCH(TRUE, B636:B733 &gt;= B634, 0),"")</f>
        <v/>
      </c>
    </row>
    <row r="636" ht="15.75" customHeight="1">
      <c r="A636" s="32">
        <f>'EQUITY BACKTEST'!A639</f>
        <v>40599.66667</v>
      </c>
      <c r="B636" s="22">
        <f>'EQUITY BACKTEST'!B639</f>
        <v>1319.88</v>
      </c>
      <c r="C636" s="22">
        <f>1/'EQUITY BACKTEST'!E639</f>
        <v>0.7274314396</v>
      </c>
      <c r="D636" s="22">
        <f t="shared" si="5"/>
        <v>-0.6394476175</v>
      </c>
      <c r="E636" s="22">
        <f t="shared" si="3"/>
        <v>-0.01722250765</v>
      </c>
      <c r="F636" s="22">
        <f t="shared" si="6"/>
        <v>0.195013083</v>
      </c>
      <c r="H636" s="22" t="str">
        <f t="shared" si="4"/>
        <v/>
      </c>
      <c r="I636" s="22" t="str">
        <f t="shared" si="1"/>
        <v>#N/A</v>
      </c>
      <c r="J636" s="22" t="str">
        <f t="shared" si="2"/>
        <v>#N/A</v>
      </c>
      <c r="K636" s="22" t="str">
        <f t="array" ref="K636">IF(H636="Crash",MATCH(TRUE, B637:B734 &gt;= B635, 0),"")</f>
        <v/>
      </c>
    </row>
    <row r="637" ht="15.75" customHeight="1">
      <c r="A637" s="32">
        <f>'EQUITY BACKTEST'!A640</f>
        <v>40606.66667</v>
      </c>
      <c r="B637" s="22">
        <f>'EQUITY BACKTEST'!B640</f>
        <v>1321.15</v>
      </c>
      <c r="C637" s="22">
        <f>1/'EQUITY BACKTEST'!E640</f>
        <v>0.7151029748</v>
      </c>
      <c r="D637" s="22">
        <f t="shared" si="5"/>
        <v>-0.7200183838</v>
      </c>
      <c r="E637" s="22">
        <f t="shared" si="3"/>
        <v>0.0009622086856</v>
      </c>
      <c r="F637" s="22">
        <f t="shared" si="6"/>
        <v>0.1602265742</v>
      </c>
      <c r="H637" s="22" t="str">
        <f t="shared" si="4"/>
        <v/>
      </c>
      <c r="I637" s="22" t="str">
        <f t="shared" si="1"/>
        <v>#N/A</v>
      </c>
      <c r="J637" s="22" t="str">
        <f t="shared" si="2"/>
        <v>#N/A</v>
      </c>
      <c r="K637" s="22" t="str">
        <f t="array" ref="K637">IF(H637="Crash",MATCH(TRUE, B638:B735 &gt;= B636, 0),"")</f>
        <v/>
      </c>
    </row>
    <row r="638" ht="15.75" customHeight="1">
      <c r="A638" s="32">
        <f>'EQUITY BACKTEST'!A641</f>
        <v>40613.66667</v>
      </c>
      <c r="B638" s="22">
        <f>'EQUITY BACKTEST'!B641</f>
        <v>1304.28</v>
      </c>
      <c r="C638" s="22">
        <f>1/'EQUITY BACKTEST'!E641</f>
        <v>0.7214486689</v>
      </c>
      <c r="D638" s="22">
        <f t="shared" si="5"/>
        <v>-0.6974322073</v>
      </c>
      <c r="E638" s="22">
        <f t="shared" si="3"/>
        <v>-0.01276917837</v>
      </c>
      <c r="F638" s="22">
        <f t="shared" si="6"/>
        <v>0.1341663841</v>
      </c>
      <c r="H638" s="22" t="str">
        <f t="shared" si="4"/>
        <v/>
      </c>
      <c r="I638" s="22" t="str">
        <f t="shared" si="1"/>
        <v>#N/A</v>
      </c>
      <c r="J638" s="22" t="str">
        <f t="shared" si="2"/>
        <v>#N/A</v>
      </c>
      <c r="K638" s="22" t="str">
        <f t="array" ref="K638">IF(H638="Crash",MATCH(TRUE, B639:B736 &gt;= B637, 0),"")</f>
        <v/>
      </c>
    </row>
    <row r="639" ht="15.75" customHeight="1">
      <c r="A639" s="32">
        <f>'EQUITY BACKTEST'!A642</f>
        <v>40620.66667</v>
      </c>
      <c r="B639" s="22">
        <f>'EQUITY BACKTEST'!B642</f>
        <v>1279.2</v>
      </c>
      <c r="C639" s="22">
        <f>1/'EQUITY BACKTEST'!E642</f>
        <v>0.705148998</v>
      </c>
      <c r="D639" s="22">
        <f t="shared" si="5"/>
        <v>-0.4635933926</v>
      </c>
      <c r="E639" s="22">
        <f t="shared" si="3"/>
        <v>-0.01922899991</v>
      </c>
      <c r="F639" s="22">
        <f t="shared" si="6"/>
        <v>0.1028536943</v>
      </c>
      <c r="H639" s="22" t="str">
        <f t="shared" si="4"/>
        <v/>
      </c>
      <c r="I639" s="22" t="str">
        <f t="shared" si="1"/>
        <v>#N/A</v>
      </c>
      <c r="J639" s="22" t="str">
        <f t="shared" si="2"/>
        <v>#N/A</v>
      </c>
      <c r="K639" s="22" t="str">
        <f t="array" ref="K639">IF(H639="Crash",MATCH(TRUE, B640:B737 &gt;= B638, 0),"")</f>
        <v/>
      </c>
    </row>
    <row r="640" ht="15.75" customHeight="1">
      <c r="A640" s="32">
        <f>'EQUITY BACKTEST'!A643</f>
        <v>40627.66667</v>
      </c>
      <c r="B640" s="22">
        <f>'EQUITY BACKTEST'!B643</f>
        <v>1313.8</v>
      </c>
      <c r="C640" s="22">
        <f>1/'EQUITY BACKTEST'!E643</f>
        <v>0.7098743522</v>
      </c>
      <c r="D640" s="22">
        <f t="shared" si="5"/>
        <v>-0.38253713</v>
      </c>
      <c r="E640" s="22">
        <f t="shared" si="3"/>
        <v>0.0270481551</v>
      </c>
      <c r="F640" s="22">
        <f t="shared" si="6"/>
        <v>0.1261882924</v>
      </c>
      <c r="H640" s="22" t="str">
        <f t="shared" si="4"/>
        <v/>
      </c>
      <c r="I640" s="22" t="str">
        <f t="shared" si="1"/>
        <v>#N/A</v>
      </c>
      <c r="J640" s="22" t="str">
        <f t="shared" si="2"/>
        <v>#N/A</v>
      </c>
      <c r="K640" s="22" t="str">
        <f t="array" ref="K640">IF(H640="Crash",MATCH(TRUE, B641:B738 &gt;= B639, 0),"")</f>
        <v/>
      </c>
    </row>
    <row r="641" ht="15.75" customHeight="1">
      <c r="A641" s="32">
        <f>'EQUITY BACKTEST'!A644</f>
        <v>40634.66667</v>
      </c>
      <c r="B641" s="22">
        <f>'EQUITY BACKTEST'!B644</f>
        <v>1332.41</v>
      </c>
      <c r="C641" s="22">
        <f>1/'EQUITY BACKTEST'!E644</f>
        <v>0.7023458351</v>
      </c>
      <c r="D641" s="22">
        <f t="shared" si="5"/>
        <v>-0.412363162</v>
      </c>
      <c r="E641" s="22">
        <f t="shared" si="3"/>
        <v>0.01416501751</v>
      </c>
      <c r="F641" s="22">
        <f t="shared" si="6"/>
        <v>0.1309820898</v>
      </c>
      <c r="H641" s="22" t="str">
        <f t="shared" si="4"/>
        <v/>
      </c>
      <c r="I641" s="22" t="str">
        <f t="shared" si="1"/>
        <v>#N/A</v>
      </c>
      <c r="J641" s="22" t="str">
        <f t="shared" si="2"/>
        <v>#N/A</v>
      </c>
      <c r="K641" s="22" t="str">
        <f t="array" ref="K641">IF(H641="Crash",MATCH(TRUE, B642:B739 &gt;= B640, 0),"")</f>
        <v/>
      </c>
    </row>
    <row r="642" ht="15.75" customHeight="1">
      <c r="A642" s="32">
        <f>'EQUITY BACKTEST'!A645</f>
        <v>40641.66667</v>
      </c>
      <c r="B642" s="22">
        <f>'EQUITY BACKTEST'!B645</f>
        <v>1328.17</v>
      </c>
      <c r="C642" s="22">
        <f>1/'EQUITY BACKTEST'!E645</f>
        <v>0.6928086463</v>
      </c>
      <c r="D642" s="22">
        <f t="shared" si="5"/>
        <v>-0.26922845</v>
      </c>
      <c r="E642" s="22">
        <f t="shared" si="3"/>
        <v>-0.003182203676</v>
      </c>
      <c r="F642" s="22">
        <f t="shared" si="6"/>
        <v>0.1120255867</v>
      </c>
      <c r="H642" s="22" t="str">
        <f t="shared" si="4"/>
        <v/>
      </c>
      <c r="I642" s="22" t="str">
        <f t="shared" si="1"/>
        <v>#N/A</v>
      </c>
      <c r="J642" s="22" t="str">
        <f t="shared" si="2"/>
        <v>#N/A</v>
      </c>
      <c r="K642" s="22" t="str">
        <f t="array" ref="K642">IF(H642="Crash",MATCH(TRUE, B643:B740 &gt;= B641, 0),"")</f>
        <v/>
      </c>
    </row>
    <row r="643" ht="15.75" customHeight="1">
      <c r="A643" s="32">
        <f>'EQUITY BACKTEST'!A646</f>
        <v>40648.66667</v>
      </c>
      <c r="B643" s="22">
        <f>'EQUITY BACKTEST'!B646</f>
        <v>1319.68</v>
      </c>
      <c r="C643" s="22">
        <f>1/'EQUITY BACKTEST'!E646</f>
        <v>0.6930967563</v>
      </c>
      <c r="D643" s="22">
        <f t="shared" si="5"/>
        <v>-0.2082044675</v>
      </c>
      <c r="E643" s="22">
        <f t="shared" si="3"/>
        <v>-0.006392254004</v>
      </c>
      <c r="F643" s="22">
        <f t="shared" si="6"/>
        <v>0.1069933648</v>
      </c>
      <c r="H643" s="22" t="str">
        <f t="shared" si="4"/>
        <v/>
      </c>
      <c r="I643" s="22" t="str">
        <f t="shared" si="1"/>
        <v>#N/A</v>
      </c>
      <c r="J643" s="22" t="str">
        <f t="shared" si="2"/>
        <v>#N/A</v>
      </c>
      <c r="K643" s="22" t="str">
        <f t="array" ref="K643">IF(H643="Crash",MATCH(TRUE, B644:B741 &gt;= B642, 0),"")</f>
        <v/>
      </c>
    </row>
    <row r="644" ht="15.75" customHeight="1">
      <c r="A644" s="32">
        <f>'EQUITY BACKTEST'!A647</f>
        <v>40654.66667</v>
      </c>
      <c r="B644" s="22">
        <f>'EQUITY BACKTEST'!B647</f>
        <v>1337.38</v>
      </c>
      <c r="C644" s="22">
        <f>1/'EQUITY BACKTEST'!E647</f>
        <v>0.6868131868</v>
      </c>
      <c r="D644" s="22">
        <f t="shared" si="5"/>
        <v>-0.2204200249</v>
      </c>
      <c r="E644" s="22">
        <f t="shared" si="3"/>
        <v>0.01341234239</v>
      </c>
      <c r="F644" s="22">
        <f t="shared" si="6"/>
        <v>0.09866259201</v>
      </c>
      <c r="H644" s="22" t="str">
        <f t="shared" si="4"/>
        <v/>
      </c>
      <c r="I644" s="22" t="str">
        <f t="shared" si="1"/>
        <v>#N/A</v>
      </c>
      <c r="J644" s="22" t="str">
        <f t="shared" si="2"/>
        <v>#N/A</v>
      </c>
      <c r="K644" s="22" t="str">
        <f t="array" ref="K644">IF(H644="Crash",MATCH(TRUE, B645:B742 &gt;= B643, 0),"")</f>
        <v/>
      </c>
    </row>
    <row r="645" ht="15.75" customHeight="1">
      <c r="A645" s="32">
        <f>'EQUITY BACKTEST'!A648</f>
        <v>40662.66667</v>
      </c>
      <c r="B645" s="22">
        <f>'EQUITY BACKTEST'!B648</f>
        <v>1363.61</v>
      </c>
      <c r="C645" s="22">
        <f>1/'EQUITY BACKTEST'!E648</f>
        <v>0.6749004522</v>
      </c>
      <c r="D645" s="22">
        <f t="shared" si="5"/>
        <v>-0.3363946017</v>
      </c>
      <c r="E645" s="22">
        <f t="shared" si="3"/>
        <v>0.01961297462</v>
      </c>
      <c r="F645" s="22">
        <f t="shared" si="6"/>
        <v>0.1490869562</v>
      </c>
      <c r="H645" s="22" t="str">
        <f t="shared" si="4"/>
        <v/>
      </c>
      <c r="I645" s="22" t="str">
        <f t="shared" si="1"/>
        <v>#N/A</v>
      </c>
      <c r="J645" s="22" t="str">
        <f t="shared" si="2"/>
        <v>#N/A</v>
      </c>
      <c r="K645" s="22" t="str">
        <f t="array" ref="K645">IF(H645="Crash",MATCH(TRUE, B646:B743 &gt;= B644, 0),"")</f>
        <v/>
      </c>
    </row>
    <row r="646" ht="15.75" customHeight="1">
      <c r="A646" s="32">
        <f>'EQUITY BACKTEST'!A649</f>
        <v>40669.66667</v>
      </c>
      <c r="B646" s="22">
        <f>'EQUITY BACKTEST'!B649</f>
        <v>1340.2</v>
      </c>
      <c r="C646" s="22">
        <f>1/'EQUITY BACKTEST'!E649</f>
        <v>0.6900358819</v>
      </c>
      <c r="D646" s="22">
        <f t="shared" si="5"/>
        <v>-0.3323549175</v>
      </c>
      <c r="E646" s="22">
        <f t="shared" si="3"/>
        <v>-0.01716766524</v>
      </c>
      <c r="F646" s="22">
        <f t="shared" si="6"/>
        <v>0.2064309376</v>
      </c>
      <c r="H646" s="22" t="str">
        <f t="shared" si="4"/>
        <v/>
      </c>
      <c r="I646" s="22" t="str">
        <f t="shared" si="1"/>
        <v>#N/A</v>
      </c>
      <c r="J646" s="22" t="str">
        <f t="shared" si="2"/>
        <v>#N/A</v>
      </c>
      <c r="K646" s="22" t="str">
        <f t="array" ref="K646">IF(H646="Crash",MATCH(TRUE, B647:B744 &gt;= B645, 0),"")</f>
        <v/>
      </c>
    </row>
    <row r="647" ht="15.75" customHeight="1">
      <c r="A647" s="32">
        <f>'EQUITY BACKTEST'!A650</f>
        <v>40676.66667</v>
      </c>
      <c r="B647" s="22">
        <f>'EQUITY BACKTEST'!B650</f>
        <v>1337.77</v>
      </c>
      <c r="C647" s="22">
        <f>1/'EQUITY BACKTEST'!E650</f>
        <v>0.7083658001</v>
      </c>
      <c r="D647" s="22">
        <f t="shared" si="5"/>
        <v>-0.3938536302</v>
      </c>
      <c r="E647" s="22">
        <f t="shared" si="3"/>
        <v>-0.001813162215</v>
      </c>
      <c r="F647" s="22">
        <f t="shared" si="6"/>
        <v>0.1779462525</v>
      </c>
      <c r="H647" s="22" t="str">
        <f t="shared" si="4"/>
        <v/>
      </c>
      <c r="I647" s="22" t="str">
        <f t="shared" si="1"/>
        <v>#N/A</v>
      </c>
      <c r="J647" s="22" t="str">
        <f t="shared" si="2"/>
        <v>#N/A</v>
      </c>
      <c r="K647" s="22" t="str">
        <f t="array" ref="K647">IF(H647="Crash",MATCH(TRUE, B648:B745 &gt;= B646, 0),"")</f>
        <v/>
      </c>
    </row>
    <row r="648" ht="15.75" customHeight="1">
      <c r="A648" s="32">
        <f>'EQUITY BACKTEST'!A651</f>
        <v>40683.66667</v>
      </c>
      <c r="B648" s="22">
        <f>'EQUITY BACKTEST'!B651</f>
        <v>1333.27</v>
      </c>
      <c r="C648" s="22">
        <f>1/'EQUITY BACKTEST'!E651</f>
        <v>0.705716302</v>
      </c>
      <c r="D648" s="22">
        <f t="shared" si="5"/>
        <v>-0.5906449308</v>
      </c>
      <c r="E648" s="22">
        <f t="shared" si="3"/>
        <v>-0.003363806932</v>
      </c>
      <c r="F648" s="22">
        <f t="shared" si="6"/>
        <v>0.2257812428</v>
      </c>
      <c r="H648" s="22" t="str">
        <f t="shared" si="4"/>
        <v/>
      </c>
      <c r="I648" s="22" t="str">
        <f t="shared" si="1"/>
        <v>#N/A</v>
      </c>
      <c r="J648" s="22" t="str">
        <f t="shared" si="2"/>
        <v>#N/A</v>
      </c>
      <c r="K648" s="22" t="str">
        <f t="array" ref="K648">IF(H648="Crash",MATCH(TRUE, B649:B746 &gt;= B647, 0),"")</f>
        <v/>
      </c>
    </row>
    <row r="649" ht="15.75" customHeight="1">
      <c r="A649" s="32">
        <f>'EQUITY BACKTEST'!A652</f>
        <v>40690.66667</v>
      </c>
      <c r="B649" s="22">
        <f>'EQUITY BACKTEST'!B652</f>
        <v>1331.1</v>
      </c>
      <c r="C649" s="22">
        <f>1/'EQUITY BACKTEST'!E652</f>
        <v>0.7000840101</v>
      </c>
      <c r="D649" s="22">
        <f t="shared" si="5"/>
        <v>-0.6382984425</v>
      </c>
      <c r="E649" s="22">
        <f t="shared" si="3"/>
        <v>-0.00162757731</v>
      </c>
      <c r="F649" s="22">
        <f t="shared" si="6"/>
        <v>0.2218540311</v>
      </c>
      <c r="H649" s="22" t="str">
        <f t="shared" si="4"/>
        <v/>
      </c>
      <c r="I649" s="22" t="str">
        <f t="shared" si="1"/>
        <v>#N/A</v>
      </c>
      <c r="J649" s="22" t="str">
        <f t="shared" si="2"/>
        <v>#N/A</v>
      </c>
      <c r="K649" s="22" t="str">
        <f t="array" ref="K649">IF(H649="Crash",MATCH(TRUE, B650:B747 &gt;= B648, 0),"")</f>
        <v/>
      </c>
    </row>
    <row r="650" ht="15.75" customHeight="1">
      <c r="A650" s="32">
        <f>'EQUITY BACKTEST'!A653</f>
        <v>40697.66667</v>
      </c>
      <c r="B650" s="22">
        <f>'EQUITY BACKTEST'!B653</f>
        <v>1300.16</v>
      </c>
      <c r="C650" s="22">
        <f>1/'EQUITY BACKTEST'!E653</f>
        <v>0.6835269993</v>
      </c>
      <c r="D650" s="22">
        <f t="shared" si="5"/>
        <v>-0.4581240855</v>
      </c>
      <c r="E650" s="22">
        <f t="shared" si="3"/>
        <v>-0.02324393359</v>
      </c>
      <c r="F650" s="22">
        <f t="shared" si="6"/>
        <v>0.220945083</v>
      </c>
      <c r="H650" s="22" t="str">
        <f t="shared" si="4"/>
        <v/>
      </c>
      <c r="I650" s="22" t="str">
        <f t="shared" si="1"/>
        <v>#N/A</v>
      </c>
      <c r="J650" s="22" t="str">
        <f t="shared" si="2"/>
        <v>#N/A</v>
      </c>
      <c r="K650" s="22" t="str">
        <f t="array" ref="K650">IF(H650="Crash",MATCH(TRUE, B651:B748 &gt;= B649, 0),"")</f>
        <v/>
      </c>
    </row>
    <row r="651" ht="15.75" customHeight="1">
      <c r="A651" s="32">
        <f>'EQUITY BACKTEST'!A654</f>
        <v>40704.66667</v>
      </c>
      <c r="B651" s="22">
        <f>'EQUITY BACKTEST'!B654</f>
        <v>1270.98</v>
      </c>
      <c r="C651" s="22">
        <f>1/'EQUITY BACKTEST'!E654</f>
        <v>0.6962333774</v>
      </c>
      <c r="D651" s="22">
        <f t="shared" si="5"/>
        <v>-0.3030971084</v>
      </c>
      <c r="E651" s="22">
        <f t="shared" si="3"/>
        <v>-0.02244339158</v>
      </c>
      <c r="F651" s="22">
        <f t="shared" si="6"/>
        <v>0.1643275925</v>
      </c>
      <c r="H651" s="22" t="str">
        <f t="shared" si="4"/>
        <v/>
      </c>
      <c r="I651" s="22" t="str">
        <f t="shared" si="1"/>
        <v>#N/A</v>
      </c>
      <c r="J651" s="22" t="str">
        <f t="shared" si="2"/>
        <v>#N/A</v>
      </c>
      <c r="K651" s="22" t="str">
        <f t="array" ref="K651">IF(H651="Crash",MATCH(TRUE, B652:B749 &gt;= B650, 0),"")</f>
        <v/>
      </c>
    </row>
    <row r="652" ht="15.75" customHeight="1">
      <c r="A652" s="32">
        <f>'EQUITY BACKTEST'!A655</f>
        <v>40711.66667</v>
      </c>
      <c r="B652" s="22">
        <f>'EQUITY BACKTEST'!B655</f>
        <v>1271.5</v>
      </c>
      <c r="C652" s="22">
        <f>1/'EQUITY BACKTEST'!E655</f>
        <v>0.6981290142</v>
      </c>
      <c r="D652" s="22">
        <f t="shared" si="5"/>
        <v>-0.2134403493</v>
      </c>
      <c r="E652" s="22">
        <f t="shared" si="3"/>
        <v>0.0004091331099</v>
      </c>
      <c r="F652" s="22">
        <f t="shared" si="6"/>
        <v>0.1377974246</v>
      </c>
      <c r="H652" s="22" t="str">
        <f t="shared" si="4"/>
        <v/>
      </c>
      <c r="I652" s="22" t="str">
        <f t="shared" si="1"/>
        <v>#N/A</v>
      </c>
      <c r="J652" s="22" t="str">
        <f t="shared" si="2"/>
        <v>#N/A</v>
      </c>
      <c r="K652" s="22" t="str">
        <f t="array" ref="K652">IF(H652="Crash",MATCH(TRUE, B653:B750 &gt;= B651, 0),"")</f>
        <v/>
      </c>
    </row>
    <row r="653" ht="15.75" customHeight="1">
      <c r="A653" s="32">
        <f>'EQUITY BACKTEST'!A656</f>
        <v>40718.66667</v>
      </c>
      <c r="B653" s="22">
        <f>'EQUITY BACKTEST'!B656</f>
        <v>1268.45</v>
      </c>
      <c r="C653" s="22">
        <f>1/'EQUITY BACKTEST'!E656</f>
        <v>0.704920344</v>
      </c>
      <c r="D653" s="22">
        <f t="shared" si="5"/>
        <v>-0.3110783028</v>
      </c>
      <c r="E653" s="22">
        <f t="shared" si="3"/>
        <v>-0.002398741644</v>
      </c>
      <c r="F653" s="22">
        <f t="shared" si="6"/>
        <v>0.1780248152</v>
      </c>
      <c r="H653" s="22" t="str">
        <f t="shared" si="4"/>
        <v/>
      </c>
      <c r="I653" s="22" t="str">
        <f t="shared" si="1"/>
        <v>#N/A</v>
      </c>
      <c r="J653" s="22" t="str">
        <f t="shared" si="2"/>
        <v>#N/A</v>
      </c>
      <c r="K653" s="22" t="str">
        <f t="array" ref="K653">IF(H653="Crash",MATCH(TRUE, B654:B751 &gt;= B652, 0),"")</f>
        <v/>
      </c>
    </row>
    <row r="654" ht="15.75" customHeight="1">
      <c r="A654" s="32">
        <f>'EQUITY BACKTEST'!A657</f>
        <v>40725.66667</v>
      </c>
      <c r="B654" s="22">
        <f>'EQUITY BACKTEST'!B657</f>
        <v>1339.67</v>
      </c>
      <c r="C654" s="22">
        <f>1/'EQUITY BACKTEST'!E657</f>
        <v>0.6894174423</v>
      </c>
      <c r="D654" s="22">
        <f t="shared" si="5"/>
        <v>-0.3743718926</v>
      </c>
      <c r="E654" s="22">
        <f t="shared" si="3"/>
        <v>0.05614726635</v>
      </c>
      <c r="F654" s="22">
        <f t="shared" si="6"/>
        <v>0.3100882083</v>
      </c>
      <c r="H654" s="22" t="str">
        <f t="shared" si="4"/>
        <v/>
      </c>
      <c r="I654" s="22" t="str">
        <f t="shared" si="1"/>
        <v>#N/A</v>
      </c>
      <c r="J654" s="22" t="str">
        <f t="shared" si="2"/>
        <v>#N/A</v>
      </c>
      <c r="K654" s="22" t="str">
        <f t="array" ref="K654">IF(H654="Crash",MATCH(TRUE, B655:B752 &gt;= B653, 0),"")</f>
        <v/>
      </c>
    </row>
    <row r="655" ht="15.75" customHeight="1">
      <c r="A655" s="32">
        <f>'EQUITY BACKTEST'!A658</f>
        <v>40732.66667</v>
      </c>
      <c r="B655" s="22">
        <f>'EQUITY BACKTEST'!B658</f>
        <v>1343.8</v>
      </c>
      <c r="C655" s="22">
        <f>1/'EQUITY BACKTEST'!E658</f>
        <v>0.7011147725</v>
      </c>
      <c r="D655" s="22">
        <f t="shared" si="5"/>
        <v>-0.3108801985</v>
      </c>
      <c r="E655" s="22">
        <f t="shared" si="3"/>
        <v>0.003082848761</v>
      </c>
      <c r="F655" s="22">
        <f t="shared" si="6"/>
        <v>0.2466139745</v>
      </c>
      <c r="H655" s="22" t="str">
        <f t="shared" si="4"/>
        <v/>
      </c>
      <c r="I655" s="22" t="str">
        <f t="shared" si="1"/>
        <v>#N/A</v>
      </c>
      <c r="J655" s="22" t="str">
        <f t="shared" si="2"/>
        <v>#N/A</v>
      </c>
      <c r="K655" s="22" t="str">
        <f t="array" ref="K655">IF(H655="Crash",MATCH(TRUE, B656:B753 &gt;= B654, 0),"")</f>
        <v/>
      </c>
    </row>
    <row r="656" ht="15.75" customHeight="1">
      <c r="A656" s="32">
        <f>'EQUITY BACKTEST'!A659</f>
        <v>40739.66667</v>
      </c>
      <c r="B656" s="22">
        <f>'EQUITY BACKTEST'!B659</f>
        <v>1316.14</v>
      </c>
      <c r="C656" s="22">
        <f>1/'EQUITY BACKTEST'!E659</f>
        <v>0.7065140596</v>
      </c>
      <c r="D656" s="22">
        <f t="shared" si="5"/>
        <v>-0.3055695451</v>
      </c>
      <c r="E656" s="22">
        <f t="shared" si="3"/>
        <v>-0.02058342015</v>
      </c>
      <c r="F656" s="22">
        <f t="shared" si="6"/>
        <v>0.2359514687</v>
      </c>
      <c r="H656" s="22" t="str">
        <f t="shared" si="4"/>
        <v/>
      </c>
      <c r="I656" s="22" t="str">
        <f t="shared" si="1"/>
        <v>#N/A</v>
      </c>
      <c r="J656" s="22" t="str">
        <f t="shared" si="2"/>
        <v>#N/A</v>
      </c>
      <c r="K656" s="22" t="str">
        <f t="array" ref="K656">IF(H656="Crash",MATCH(TRUE, B657:B754 &gt;= B655, 0),"")</f>
        <v/>
      </c>
    </row>
    <row r="657" ht="15.75" customHeight="1">
      <c r="A657" s="32">
        <f>'EQUITY BACKTEST'!A660</f>
        <v>40746.66667</v>
      </c>
      <c r="B657" s="22">
        <f>'EQUITY BACKTEST'!B660</f>
        <v>1345.02</v>
      </c>
      <c r="C657" s="22">
        <f>1/'EQUITY BACKTEST'!E660</f>
        <v>0.6962333774</v>
      </c>
      <c r="D657" s="22">
        <f t="shared" si="5"/>
        <v>-0.2689232962</v>
      </c>
      <c r="E657" s="22">
        <f t="shared" si="3"/>
        <v>0.0219429544</v>
      </c>
      <c r="F657" s="22">
        <f t="shared" si="6"/>
        <v>0.2197957666</v>
      </c>
      <c r="H657" s="22" t="str">
        <f t="shared" si="4"/>
        <v/>
      </c>
      <c r="I657" s="22" t="str">
        <f t="shared" si="1"/>
        <v>#N/A</v>
      </c>
      <c r="J657" s="22" t="str">
        <f t="shared" si="2"/>
        <v>#N/A</v>
      </c>
      <c r="K657" s="22" t="str">
        <f t="array" ref="K657">IF(H657="Crash",MATCH(TRUE, B658:B755 &gt;= B656, 0),"")</f>
        <v/>
      </c>
    </row>
    <row r="658" ht="15.75" customHeight="1">
      <c r="A658" s="32">
        <f>'EQUITY BACKTEST'!A661</f>
        <v>40753.66667</v>
      </c>
      <c r="B658" s="22">
        <f>'EQUITY BACKTEST'!B661</f>
        <v>1292.28</v>
      </c>
      <c r="C658" s="22">
        <f>1/'EQUITY BACKTEST'!E661</f>
        <v>0.6952169077</v>
      </c>
      <c r="D658" s="22">
        <f t="shared" si="5"/>
        <v>0.02730899645</v>
      </c>
      <c r="E658" s="22">
        <f t="shared" si="3"/>
        <v>-0.03921131284</v>
      </c>
      <c r="F658" s="22">
        <f t="shared" si="6"/>
        <v>0.1730936819</v>
      </c>
      <c r="H658" s="22" t="str">
        <f t="shared" si="4"/>
        <v/>
      </c>
      <c r="I658" s="22" t="str">
        <f t="shared" si="1"/>
        <v>#N/A</v>
      </c>
      <c r="J658" s="22" t="str">
        <f t="shared" si="2"/>
        <v>#N/A</v>
      </c>
      <c r="K658" s="22" t="str">
        <f t="array" ref="K658">IF(H658="Crash",MATCH(TRUE, B659:B756 &gt;= B657, 0),"")</f>
        <v/>
      </c>
    </row>
    <row r="659" ht="15.75" customHeight="1">
      <c r="A659" s="32">
        <f>'EQUITY BACKTEST'!A662</f>
        <v>40760.66667</v>
      </c>
      <c r="B659" s="22">
        <f>'EQUITY BACKTEST'!B662</f>
        <v>1199.38</v>
      </c>
      <c r="C659" s="22">
        <f>1/'EQUITY BACKTEST'!E662</f>
        <v>0.7064641469</v>
      </c>
      <c r="D659" s="22">
        <f t="shared" si="5"/>
        <v>-0.1341553498</v>
      </c>
      <c r="E659" s="22">
        <f t="shared" si="3"/>
        <v>-0.07188844523</v>
      </c>
      <c r="F659" s="22">
        <f t="shared" si="6"/>
        <v>0.06930922578</v>
      </c>
      <c r="H659" s="22" t="str">
        <f t="shared" si="4"/>
        <v>Crash</v>
      </c>
      <c r="I659" s="22">
        <f t="shared" si="1"/>
        <v>-7.188844523</v>
      </c>
      <c r="J659" s="22">
        <f t="shared" si="2"/>
        <v>-13.41553498</v>
      </c>
      <c r="K659" s="22">
        <f t="array" ref="K659">IF(H659="Crash",MATCH(TRUE, B660:B757 &gt;= B658, 0),"")</f>
        <v>24</v>
      </c>
    </row>
    <row r="660" ht="15.75" customHeight="1">
      <c r="A660" s="32">
        <f>'EQUITY BACKTEST'!A663</f>
        <v>40767.66667</v>
      </c>
      <c r="B660" s="22">
        <f>'EQUITY BACKTEST'!B663</f>
        <v>1178.81</v>
      </c>
      <c r="C660" s="22">
        <f>1/'EQUITY BACKTEST'!E663</f>
        <v>0.7018036353</v>
      </c>
      <c r="D660" s="22">
        <f t="shared" si="5"/>
        <v>-0.2698752802</v>
      </c>
      <c r="E660" s="22">
        <f t="shared" si="3"/>
        <v>-0.01715052777</v>
      </c>
      <c r="F660" s="22">
        <f t="shared" si="6"/>
        <v>0.09224924716</v>
      </c>
      <c r="H660" s="22" t="str">
        <f t="shared" si="4"/>
        <v/>
      </c>
      <c r="I660" s="22" t="str">
        <f t="shared" si="1"/>
        <v>#N/A</v>
      </c>
      <c r="J660" s="22" t="str">
        <f t="shared" si="2"/>
        <v>#N/A</v>
      </c>
      <c r="K660" s="22" t="str">
        <f t="array" ref="K660">IF(H660="Crash",MATCH(TRUE, B661:B758 &gt;= B659, 0),"")</f>
        <v/>
      </c>
    </row>
    <row r="661" ht="15.75" customHeight="1">
      <c r="A661" s="32">
        <f>'EQUITY BACKTEST'!A664</f>
        <v>40774.66667</v>
      </c>
      <c r="B661" s="22">
        <f>'EQUITY BACKTEST'!B664</f>
        <v>1123.53</v>
      </c>
      <c r="C661" s="22">
        <f>1/'EQUITY BACKTEST'!E664</f>
        <v>0.6941552131</v>
      </c>
      <c r="D661" s="22">
        <f t="shared" si="5"/>
        <v>-0.1574319006</v>
      </c>
      <c r="E661" s="22">
        <f t="shared" si="3"/>
        <v>-0.04689474979</v>
      </c>
      <c r="F661" s="22">
        <f t="shared" si="6"/>
        <v>0.04837219718</v>
      </c>
      <c r="H661" s="22" t="str">
        <f t="shared" si="4"/>
        <v/>
      </c>
      <c r="I661" s="22" t="str">
        <f t="shared" si="1"/>
        <v>#N/A</v>
      </c>
      <c r="J661" s="22" t="str">
        <f t="shared" si="2"/>
        <v>#N/A</v>
      </c>
      <c r="K661" s="22" t="str">
        <f t="array" ref="K661">IF(H661="Crash",MATCH(TRUE, B662:B759 &gt;= B660, 0),"")</f>
        <v/>
      </c>
    </row>
    <row r="662" ht="15.75" customHeight="1">
      <c r="A662" s="32">
        <f>'EQUITY BACKTEST'!A665</f>
        <v>40781.66667</v>
      </c>
      <c r="B662" s="22">
        <f>'EQUITY BACKTEST'!B665</f>
        <v>1176.8</v>
      </c>
      <c r="C662" s="22">
        <f>1/'EQUITY BACKTEST'!E665</f>
        <v>0.6915151096</v>
      </c>
      <c r="D662" s="22">
        <f t="shared" si="5"/>
        <v>-0.07615940203</v>
      </c>
      <c r="E662" s="22">
        <f t="shared" si="3"/>
        <v>0.04741306418</v>
      </c>
      <c r="F662" s="22">
        <f t="shared" si="6"/>
        <v>0.1054020797</v>
      </c>
      <c r="H662" s="22" t="str">
        <f t="shared" si="4"/>
        <v/>
      </c>
      <c r="I662" s="22" t="str">
        <f t="shared" si="1"/>
        <v>#N/A</v>
      </c>
      <c r="J662" s="22" t="str">
        <f t="shared" si="2"/>
        <v>#N/A</v>
      </c>
      <c r="K662" s="22" t="str">
        <f t="array" ref="K662">IF(H662="Crash",MATCH(TRUE, B663:B760 &gt;= B661, 0),"")</f>
        <v/>
      </c>
    </row>
    <row r="663" ht="15.75" customHeight="1">
      <c r="A663" s="32">
        <f>'EQUITY BACKTEST'!A666</f>
        <v>40788.66667</v>
      </c>
      <c r="B663" s="22">
        <f>'EQUITY BACKTEST'!B666</f>
        <v>1173.97</v>
      </c>
      <c r="C663" s="22">
        <f>1/'EQUITY BACKTEST'!E666</f>
        <v>0.7046719752</v>
      </c>
      <c r="D663" s="22">
        <f t="shared" si="5"/>
        <v>-0.07742407468</v>
      </c>
      <c r="E663" s="22">
        <f t="shared" si="3"/>
        <v>-0.002404826649</v>
      </c>
      <c r="F663" s="22">
        <f t="shared" si="6"/>
        <v>0.06288761532</v>
      </c>
      <c r="H663" s="22" t="str">
        <f t="shared" si="4"/>
        <v/>
      </c>
      <c r="I663" s="22" t="str">
        <f t="shared" si="1"/>
        <v>#N/A</v>
      </c>
      <c r="J663" s="22" t="str">
        <f t="shared" si="2"/>
        <v>#N/A</v>
      </c>
      <c r="K663" s="22" t="str">
        <f t="array" ref="K663">IF(H663="Crash",MATCH(TRUE, B664:B761 &gt;= B662, 0),"")</f>
        <v/>
      </c>
    </row>
    <row r="664" ht="15.75" customHeight="1">
      <c r="A664" s="32">
        <f>'EQUITY BACKTEST'!A667</f>
        <v>40795.66667</v>
      </c>
      <c r="B664" s="22">
        <f>'EQUITY BACKTEST'!B667</f>
        <v>1154.23</v>
      </c>
      <c r="C664" s="22">
        <f>1/'EQUITY BACKTEST'!E667</f>
        <v>0.732386114</v>
      </c>
      <c r="D664" s="22">
        <f t="shared" si="5"/>
        <v>-0.3244573079</v>
      </c>
      <c r="E664" s="22">
        <f t="shared" si="3"/>
        <v>-0.01681473973</v>
      </c>
      <c r="F664" s="22">
        <f t="shared" si="6"/>
        <v>0.04026857735</v>
      </c>
      <c r="H664" s="22" t="str">
        <f t="shared" si="4"/>
        <v/>
      </c>
      <c r="I664" s="22" t="str">
        <f t="shared" si="1"/>
        <v>#N/A</v>
      </c>
      <c r="J664" s="22" t="str">
        <f t="shared" si="2"/>
        <v>#N/A</v>
      </c>
      <c r="K664" s="22" t="str">
        <f t="array" ref="K664">IF(H664="Crash",MATCH(TRUE, B665:B762 &gt;= B663, 0),"")</f>
        <v/>
      </c>
    </row>
    <row r="665" ht="15.75" customHeight="1">
      <c r="A665" s="32">
        <f>'EQUITY BACKTEST'!A668</f>
        <v>40802.66667</v>
      </c>
      <c r="B665" s="22">
        <f>'EQUITY BACKTEST'!B668</f>
        <v>1216.01</v>
      </c>
      <c r="C665" s="22">
        <f>1/'EQUITY BACKTEST'!E668</f>
        <v>0.7253209545</v>
      </c>
      <c r="D665" s="22">
        <f t="shared" si="5"/>
        <v>-0.3188670345</v>
      </c>
      <c r="E665" s="22">
        <f t="shared" si="3"/>
        <v>0.05352486073</v>
      </c>
      <c r="F665" s="22">
        <f t="shared" si="6"/>
        <v>0.08033120408</v>
      </c>
      <c r="H665" s="22" t="str">
        <f t="shared" si="4"/>
        <v/>
      </c>
      <c r="I665" s="22" t="str">
        <f t="shared" si="1"/>
        <v>#N/A</v>
      </c>
      <c r="J665" s="22" t="str">
        <f t="shared" si="2"/>
        <v>#N/A</v>
      </c>
      <c r="K665" s="22" t="str">
        <f t="array" ref="K665">IF(H665="Crash",MATCH(TRUE, B666:B763 &gt;= B664, 0),"")</f>
        <v/>
      </c>
    </row>
    <row r="666" ht="15.75" customHeight="1">
      <c r="A666" s="32">
        <f>'EQUITY BACKTEST'!A669</f>
        <v>40809.66667</v>
      </c>
      <c r="B666" s="22">
        <f>'EQUITY BACKTEST'!B669</f>
        <v>1136.43</v>
      </c>
      <c r="C666" s="22">
        <f>1/'EQUITY BACKTEST'!E669</f>
        <v>0.7400281211</v>
      </c>
      <c r="D666" s="22">
        <f t="shared" si="5"/>
        <v>-0.4477184623</v>
      </c>
      <c r="E666" s="22">
        <f t="shared" si="3"/>
        <v>-0.06544354076</v>
      </c>
      <c r="F666" s="22">
        <f t="shared" si="6"/>
        <v>-0.01065580193</v>
      </c>
      <c r="H666" s="22" t="str">
        <f t="shared" si="4"/>
        <v>Crash</v>
      </c>
      <c r="I666" s="22">
        <f t="shared" si="1"/>
        <v>-6.544354076</v>
      </c>
      <c r="J666" s="22">
        <f t="shared" si="2"/>
        <v>-44.77184623</v>
      </c>
      <c r="K666" s="22">
        <f t="array" ref="K666">IF(H666="Crash",MATCH(TRUE, B667:B764 &gt;= B665, 0),"")</f>
        <v>3</v>
      </c>
    </row>
    <row r="667" ht="15.75" customHeight="1">
      <c r="A667" s="32">
        <f>'EQUITY BACKTEST'!A670</f>
        <v>40816.66667</v>
      </c>
      <c r="B667" s="22">
        <f>'EQUITY BACKTEST'!B670</f>
        <v>1131.42</v>
      </c>
      <c r="C667" s="22">
        <f>1/'EQUITY BACKTEST'!E670</f>
        <v>0.7468259895</v>
      </c>
      <c r="D667" s="22">
        <f t="shared" si="5"/>
        <v>-0.4646841474</v>
      </c>
      <c r="E667" s="22">
        <f t="shared" si="3"/>
        <v>-0.004408542541</v>
      </c>
      <c r="F667" s="22">
        <f t="shared" si="6"/>
        <v>-0.01292922948</v>
      </c>
      <c r="H667" s="22" t="str">
        <f t="shared" si="4"/>
        <v/>
      </c>
      <c r="I667" s="22" t="str">
        <f t="shared" si="1"/>
        <v>#N/A</v>
      </c>
      <c r="J667" s="22" t="str">
        <f t="shared" si="2"/>
        <v>#N/A</v>
      </c>
      <c r="K667" s="22" t="str">
        <f t="array" ref="K667">IF(H667="Crash",MATCH(TRUE, B668:B765 &gt;= B666, 0),"")</f>
        <v/>
      </c>
    </row>
    <row r="668" ht="15.75" customHeight="1">
      <c r="A668" s="32">
        <f>'EQUITY BACKTEST'!A671</f>
        <v>40823.66667</v>
      </c>
      <c r="B668" s="22">
        <f>'EQUITY BACKTEST'!B671</f>
        <v>1155.46</v>
      </c>
      <c r="C668" s="22">
        <f>1/'EQUITY BACKTEST'!E671</f>
        <v>0.7470491558</v>
      </c>
      <c r="D668" s="22">
        <f t="shared" si="5"/>
        <v>-0.4755248321</v>
      </c>
      <c r="E668" s="22">
        <f t="shared" si="3"/>
        <v>0.02124763571</v>
      </c>
      <c r="F668" s="22">
        <f t="shared" si="6"/>
        <v>-0.008316525769</v>
      </c>
      <c r="H668" s="22" t="str">
        <f t="shared" si="4"/>
        <v/>
      </c>
      <c r="I668" s="22" t="str">
        <f t="shared" si="1"/>
        <v>#N/A</v>
      </c>
      <c r="J668" s="22" t="str">
        <f t="shared" si="2"/>
        <v>#N/A</v>
      </c>
      <c r="K668" s="22" t="str">
        <f t="array" ref="K668">IF(H668="Crash",MATCH(TRUE, B669:B766 &gt;= B667, 0),"")</f>
        <v/>
      </c>
    </row>
    <row r="669" ht="15.75" customHeight="1">
      <c r="A669" s="32">
        <f>'EQUITY BACKTEST'!A672</f>
        <v>40830.66667</v>
      </c>
      <c r="B669" s="22">
        <f>'EQUITY BACKTEST'!B672</f>
        <v>1224.58</v>
      </c>
      <c r="C669" s="22">
        <f>1/'EQUITY BACKTEST'!E672</f>
        <v>0.7216048492</v>
      </c>
      <c r="D669" s="22">
        <f t="shared" si="5"/>
        <v>-0.462692056</v>
      </c>
      <c r="E669" s="22">
        <f t="shared" si="3"/>
        <v>0.0598203313</v>
      </c>
      <c r="F669" s="22">
        <f t="shared" si="6"/>
        <v>0.0411413122</v>
      </c>
      <c r="H669" s="22" t="str">
        <f t="shared" si="4"/>
        <v/>
      </c>
      <c r="I669" s="22" t="str">
        <f t="shared" si="1"/>
        <v>#N/A</v>
      </c>
      <c r="J669" s="22" t="str">
        <f t="shared" si="2"/>
        <v>#N/A</v>
      </c>
      <c r="K669" s="22" t="str">
        <f t="array" ref="K669">IF(H669="Crash",MATCH(TRUE, B670:B767 &gt;= B668, 0),"")</f>
        <v/>
      </c>
    </row>
    <row r="670" ht="15.75" customHeight="1">
      <c r="A670" s="32">
        <f>'EQUITY BACKTEST'!A673</f>
        <v>40837.66667</v>
      </c>
      <c r="B670" s="22">
        <f>'EQUITY BACKTEST'!B673</f>
        <v>1238.25</v>
      </c>
      <c r="C670" s="22">
        <f>1/'EQUITY BACKTEST'!E673</f>
        <v>0.7208765859</v>
      </c>
      <c r="D670" s="22">
        <f t="shared" si="5"/>
        <v>-0.3505375201</v>
      </c>
      <c r="E670" s="22">
        <f t="shared" si="3"/>
        <v>0.01116301099</v>
      </c>
      <c r="F670" s="22">
        <f t="shared" si="6"/>
        <v>0.04663251851</v>
      </c>
      <c r="H670" s="22" t="str">
        <f t="shared" si="4"/>
        <v/>
      </c>
      <c r="I670" s="22" t="str">
        <f t="shared" si="1"/>
        <v>#N/A</v>
      </c>
      <c r="J670" s="22" t="str">
        <f t="shared" si="2"/>
        <v>#N/A</v>
      </c>
      <c r="K670" s="22" t="str">
        <f t="array" ref="K670">IF(H670="Crash",MATCH(TRUE, B671:B768 &gt;= B669, 0),"")</f>
        <v/>
      </c>
    </row>
    <row r="671" ht="15.75" customHeight="1">
      <c r="A671" s="32">
        <f>'EQUITY BACKTEST'!A674</f>
        <v>40844.66667</v>
      </c>
      <c r="B671" s="22">
        <f>'EQUITY BACKTEST'!B674</f>
        <v>1285.08</v>
      </c>
      <c r="C671" s="22">
        <f>1/'EQUITY BACKTEST'!E674</f>
        <v>0.7069635914</v>
      </c>
      <c r="D671" s="22">
        <f t="shared" si="5"/>
        <v>-0.2518597242</v>
      </c>
      <c r="E671" s="22">
        <f t="shared" si="3"/>
        <v>0.03781950333</v>
      </c>
      <c r="F671" s="22">
        <f t="shared" si="6"/>
        <v>0.08605040312</v>
      </c>
      <c r="H671" s="22" t="str">
        <f t="shared" si="4"/>
        <v/>
      </c>
      <c r="I671" s="22" t="str">
        <f t="shared" si="1"/>
        <v>#N/A</v>
      </c>
      <c r="J671" s="22" t="str">
        <f t="shared" si="2"/>
        <v>#N/A</v>
      </c>
      <c r="K671" s="22" t="str">
        <f t="array" ref="K671">IF(H671="Crash",MATCH(TRUE, B672:B769 &gt;= B670, 0),"")</f>
        <v/>
      </c>
    </row>
    <row r="672" ht="15.75" customHeight="1">
      <c r="A672" s="32">
        <f>'EQUITY BACKTEST'!A675</f>
        <v>40851.66667</v>
      </c>
      <c r="B672" s="22">
        <f>'EQUITY BACKTEST'!B675</f>
        <v>1253.23</v>
      </c>
      <c r="C672" s="22">
        <f>1/'EQUITY BACKTEST'!E675</f>
        <v>0.7274843591</v>
      </c>
      <c r="D672" s="22">
        <f t="shared" si="5"/>
        <v>-0.1738303196</v>
      </c>
      <c r="E672" s="22">
        <f t="shared" si="3"/>
        <v>-0.02478444922</v>
      </c>
      <c r="F672" s="22">
        <f t="shared" si="6"/>
        <v>0.02233552229</v>
      </c>
      <c r="H672" s="22" t="str">
        <f t="shared" si="4"/>
        <v/>
      </c>
      <c r="I672" s="22" t="str">
        <f t="shared" si="1"/>
        <v>#N/A</v>
      </c>
      <c r="J672" s="22" t="str">
        <f t="shared" si="2"/>
        <v>#N/A</v>
      </c>
      <c r="K672" s="22" t="str">
        <f t="array" ref="K672">IF(H672="Crash",MATCH(TRUE, B673:B770 &gt;= B671, 0),"")</f>
        <v/>
      </c>
    </row>
    <row r="673" ht="15.75" customHeight="1">
      <c r="A673" s="32">
        <f>'EQUITY BACKTEST'!A676</f>
        <v>40858.66667</v>
      </c>
      <c r="B673" s="22">
        <f>'EQUITY BACKTEST'!B676</f>
        <v>1263.85</v>
      </c>
      <c r="C673" s="22">
        <f>1/'EQUITY BACKTEST'!E676</f>
        <v>0.7257947452</v>
      </c>
      <c r="D673" s="22">
        <f t="shared" si="5"/>
        <v>-0.1593082316</v>
      </c>
      <c r="E673" s="22">
        <f t="shared" si="3"/>
        <v>0.008474102918</v>
      </c>
      <c r="F673" s="22">
        <f t="shared" si="6"/>
        <v>0.05390215225</v>
      </c>
      <c r="H673" s="22" t="str">
        <f t="shared" si="4"/>
        <v/>
      </c>
      <c r="I673" s="22" t="str">
        <f t="shared" si="1"/>
        <v>#N/A</v>
      </c>
      <c r="J673" s="22" t="str">
        <f t="shared" si="2"/>
        <v>#N/A</v>
      </c>
      <c r="K673" s="22" t="str">
        <f t="array" ref="K673">IF(H673="Crash",MATCH(TRUE, B674:B771 &gt;= B672, 0),"")</f>
        <v/>
      </c>
    </row>
    <row r="674" ht="15.75" customHeight="1">
      <c r="A674" s="32">
        <f>'EQUITY BACKTEST'!A677</f>
        <v>40865.66667</v>
      </c>
      <c r="B674" s="22">
        <f>'EQUITY BACKTEST'!B677</f>
        <v>1215.65</v>
      </c>
      <c r="C674" s="22">
        <f>1/'EQUITY BACKTEST'!E677</f>
        <v>0.7397544015</v>
      </c>
      <c r="D674" s="22">
        <f t="shared" si="5"/>
        <v>-0.3777129791</v>
      </c>
      <c r="E674" s="22">
        <f t="shared" si="3"/>
        <v>-0.0381374372</v>
      </c>
      <c r="F674" s="22">
        <f t="shared" si="6"/>
        <v>0.01326965234</v>
      </c>
      <c r="H674" s="22" t="str">
        <f t="shared" si="4"/>
        <v/>
      </c>
      <c r="I674" s="22" t="str">
        <f t="shared" si="1"/>
        <v>#N/A</v>
      </c>
      <c r="J674" s="22" t="str">
        <f t="shared" si="2"/>
        <v>#N/A</v>
      </c>
      <c r="K674" s="22" t="str">
        <f t="array" ref="K674">IF(H674="Crash",MATCH(TRUE, B675:B772 &gt;= B673, 0),"")</f>
        <v/>
      </c>
    </row>
    <row r="675" ht="15.75" customHeight="1">
      <c r="A675" s="32">
        <f>'EQUITY BACKTEST'!A678</f>
        <v>40872.66667</v>
      </c>
      <c r="B675" s="22">
        <f>'EQUITY BACKTEST'!B678</f>
        <v>1158.67</v>
      </c>
      <c r="C675" s="22">
        <f>1/'EQUITY BACKTEST'!E678</f>
        <v>0.7552299675</v>
      </c>
      <c r="D675" s="22">
        <f t="shared" si="5"/>
        <v>-0.6244961095</v>
      </c>
      <c r="E675" s="22">
        <f t="shared" si="3"/>
        <v>-0.04687204376</v>
      </c>
      <c r="F675" s="22">
        <f t="shared" si="6"/>
        <v>-0.02583655625</v>
      </c>
      <c r="H675" s="22" t="str">
        <f t="shared" si="4"/>
        <v/>
      </c>
      <c r="I675" s="22" t="str">
        <f t="shared" si="1"/>
        <v>#N/A</v>
      </c>
      <c r="J675" s="22" t="str">
        <f t="shared" si="2"/>
        <v>#N/A</v>
      </c>
      <c r="K675" s="22" t="str">
        <f t="array" ref="K675">IF(H675="Crash",MATCH(TRUE, B676:B773 &gt;= B674, 0),"")</f>
        <v/>
      </c>
    </row>
    <row r="676" ht="15.75" customHeight="1">
      <c r="A676" s="32">
        <f>'EQUITY BACKTEST'!A679</f>
        <v>40879.66667</v>
      </c>
      <c r="B676" s="22">
        <f>'EQUITY BACKTEST'!B679</f>
        <v>1244.28</v>
      </c>
      <c r="C676" s="22">
        <f>1/'EQUITY BACKTEST'!E679</f>
        <v>0.7460348249</v>
      </c>
      <c r="D676" s="22">
        <f t="shared" si="5"/>
        <v>-0.7122400243</v>
      </c>
      <c r="E676" s="22">
        <f t="shared" si="3"/>
        <v>0.07388643876</v>
      </c>
      <c r="F676" s="22">
        <f t="shared" si="6"/>
        <v>0.01597929306</v>
      </c>
      <c r="H676" s="22" t="str">
        <f t="shared" si="4"/>
        <v/>
      </c>
      <c r="I676" s="22" t="str">
        <f t="shared" si="1"/>
        <v>#N/A</v>
      </c>
      <c r="J676" s="22" t="str">
        <f t="shared" si="2"/>
        <v>#N/A</v>
      </c>
      <c r="K676" s="22" t="str">
        <f t="array" ref="K676">IF(H676="Crash",MATCH(TRUE, B677:B774 &gt;= B675, 0),"")</f>
        <v/>
      </c>
    </row>
    <row r="677" ht="15.75" customHeight="1">
      <c r="A677" s="32">
        <f>'EQUITY BACKTEST'!A680</f>
        <v>40886.66667</v>
      </c>
      <c r="B677" s="22">
        <f>'EQUITY BACKTEST'!B680</f>
        <v>1255.19</v>
      </c>
      <c r="C677" s="22">
        <f>1/'EQUITY BACKTEST'!E680</f>
        <v>0.7482229704</v>
      </c>
      <c r="D677" s="22">
        <f t="shared" si="5"/>
        <v>-0.6318608511</v>
      </c>
      <c r="E677" s="22">
        <f t="shared" si="3"/>
        <v>0.008768122931</v>
      </c>
      <c r="F677" s="22">
        <f t="shared" si="6"/>
        <v>0.01192357304</v>
      </c>
      <c r="H677" s="22" t="str">
        <f t="shared" si="4"/>
        <v/>
      </c>
      <c r="I677" s="22" t="str">
        <f t="shared" si="1"/>
        <v>#N/A</v>
      </c>
      <c r="J677" s="22" t="str">
        <f t="shared" si="2"/>
        <v>#N/A</v>
      </c>
      <c r="K677" s="22" t="str">
        <f t="array" ref="K677">IF(H677="Crash",MATCH(TRUE, B678:B775 &gt;= B676, 0),"")</f>
        <v/>
      </c>
    </row>
    <row r="678" ht="15.75" customHeight="1">
      <c r="A678" s="32">
        <f>'EQUITY BACKTEST'!A681</f>
        <v>40893.66667</v>
      </c>
      <c r="B678" s="22">
        <f>'EQUITY BACKTEST'!B681</f>
        <v>1219.66</v>
      </c>
      <c r="C678" s="22">
        <f>1/'EQUITY BACKTEST'!E681</f>
        <v>0.7666360012</v>
      </c>
      <c r="D678" s="22">
        <f t="shared" si="5"/>
        <v>-0.5282423012</v>
      </c>
      <c r="E678" s="22">
        <f t="shared" si="3"/>
        <v>-0.02830647153</v>
      </c>
      <c r="F678" s="22">
        <f t="shared" si="6"/>
        <v>-0.01949497954</v>
      </c>
      <c r="H678" s="22" t="str">
        <f t="shared" si="4"/>
        <v/>
      </c>
      <c r="I678" s="22" t="str">
        <f t="shared" si="1"/>
        <v>#N/A</v>
      </c>
      <c r="J678" s="22" t="str">
        <f t="shared" si="2"/>
        <v>#N/A</v>
      </c>
      <c r="K678" s="22" t="str">
        <f t="array" ref="K678">IF(H678="Crash",MATCH(TRUE, B679:B776 &gt;= B677, 0),"")</f>
        <v/>
      </c>
    </row>
    <row r="679" ht="15.75" customHeight="1">
      <c r="A679" s="32">
        <f>'EQUITY BACKTEST'!A682</f>
        <v>40900.66667</v>
      </c>
      <c r="B679" s="22">
        <f>'EQUITY BACKTEST'!B682</f>
        <v>1265.33</v>
      </c>
      <c r="C679" s="22">
        <f>1/'EQUITY BACKTEST'!E682</f>
        <v>0.7669299793</v>
      </c>
      <c r="D679" s="22">
        <f t="shared" si="5"/>
        <v>-0.3798540692</v>
      </c>
      <c r="E679" s="22">
        <f t="shared" si="3"/>
        <v>0.03744486168</v>
      </c>
      <c r="F679" s="22">
        <f t="shared" si="6"/>
        <v>0.006811111023</v>
      </c>
      <c r="H679" s="22" t="str">
        <f t="shared" si="4"/>
        <v/>
      </c>
      <c r="I679" s="22" t="str">
        <f t="shared" si="1"/>
        <v>#N/A</v>
      </c>
      <c r="J679" s="22" t="str">
        <f t="shared" si="2"/>
        <v>#N/A</v>
      </c>
      <c r="K679" s="22" t="str">
        <f t="array" ref="K679">IF(H679="Crash",MATCH(TRUE, B680:B777 &gt;= B678, 0),"")</f>
        <v/>
      </c>
    </row>
    <row r="680" ht="15.75" customHeight="1">
      <c r="A680" s="32">
        <f>'EQUITY BACKTEST'!A683</f>
        <v>40907.66667</v>
      </c>
      <c r="B680" s="22">
        <f>'EQUITY BACKTEST'!B683</f>
        <v>1257.6</v>
      </c>
      <c r="C680" s="22">
        <f>1/'EQUITY BACKTEST'!E683</f>
        <v>0.7717835919</v>
      </c>
      <c r="D680" s="22">
        <f t="shared" si="5"/>
        <v>-0.2617427357</v>
      </c>
      <c r="E680" s="22">
        <f t="shared" si="3"/>
        <v>-0.006109078264</v>
      </c>
      <c r="F680" s="22">
        <f t="shared" si="6"/>
        <v>-0.00003180560415</v>
      </c>
      <c r="H680" s="22" t="str">
        <f t="shared" si="4"/>
        <v/>
      </c>
      <c r="I680" s="22" t="str">
        <f t="shared" si="1"/>
        <v>#N/A</v>
      </c>
      <c r="J680" s="22" t="str">
        <f t="shared" si="2"/>
        <v>#N/A</v>
      </c>
      <c r="K680" s="22" t="str">
        <f t="array" ref="K680">IF(H680="Crash",MATCH(TRUE, B681:B778 &gt;= B679, 0),"")</f>
        <v/>
      </c>
    </row>
    <row r="681" ht="15.75" customHeight="1">
      <c r="A681" s="32">
        <f>'EQUITY BACKTEST'!A684</f>
        <v>40914.66667</v>
      </c>
      <c r="B681" s="22">
        <f>'EQUITY BACKTEST'!B684</f>
        <v>1277.81</v>
      </c>
      <c r="C681" s="22">
        <f>1/'EQUITY BACKTEST'!E684</f>
        <v>0.7860399308</v>
      </c>
      <c r="D681" s="22">
        <f t="shared" si="5"/>
        <v>-0.05403220986</v>
      </c>
      <c r="E681" s="22">
        <f t="shared" si="3"/>
        <v>0.01607029262</v>
      </c>
      <c r="F681" s="22">
        <f t="shared" si="6"/>
        <v>0.004962642548</v>
      </c>
      <c r="H681" s="22" t="str">
        <f t="shared" si="4"/>
        <v/>
      </c>
      <c r="I681" s="22" t="str">
        <f t="shared" si="1"/>
        <v>#N/A</v>
      </c>
      <c r="J681" s="22" t="str">
        <f t="shared" si="2"/>
        <v>#N/A</v>
      </c>
      <c r="K681" s="22" t="str">
        <f t="array" ref="K681">IF(H681="Crash",MATCH(TRUE, B682:B779 &gt;= B680, 0),"")</f>
        <v/>
      </c>
    </row>
    <row r="682" ht="15.75" customHeight="1">
      <c r="A682" s="32">
        <f>'EQUITY BACKTEST'!A685</f>
        <v>40921.66667</v>
      </c>
      <c r="B682" s="22">
        <f>'EQUITY BACKTEST'!B685</f>
        <v>1289.09</v>
      </c>
      <c r="C682" s="22">
        <f>1/'EQUITY BACKTEST'!E685</f>
        <v>0.7886435331</v>
      </c>
      <c r="D682" s="22">
        <f t="shared" si="5"/>
        <v>0.07001343354</v>
      </c>
      <c r="E682" s="22">
        <f t="shared" si="3"/>
        <v>0.008827603478</v>
      </c>
      <c r="F682" s="22">
        <f t="shared" si="6"/>
        <v>-0.003208994464</v>
      </c>
      <c r="H682" s="22" t="str">
        <f t="shared" si="4"/>
        <v/>
      </c>
      <c r="I682" s="22" t="str">
        <f t="shared" si="1"/>
        <v>#N/A</v>
      </c>
      <c r="J682" s="22" t="str">
        <f t="shared" si="2"/>
        <v>#N/A</v>
      </c>
      <c r="K682" s="22" t="str">
        <f t="array" ref="K682">IF(H682="Crash",MATCH(TRUE, B683:B780 &gt;= B681, 0),"")</f>
        <v/>
      </c>
    </row>
    <row r="683" ht="15.75" customHeight="1">
      <c r="A683" s="32">
        <f>'EQUITY BACKTEST'!A686</f>
        <v>40928.66667</v>
      </c>
      <c r="B683" s="22">
        <f>'EQUITY BACKTEST'!B686</f>
        <v>1315.38</v>
      </c>
      <c r="C683" s="22">
        <f>1/'EQUITY BACKTEST'!E686</f>
        <v>0.7724393635</v>
      </c>
      <c r="D683" s="22">
        <f t="shared" si="5"/>
        <v>0.1438323869</v>
      </c>
      <c r="E683" s="22">
        <f t="shared" si="3"/>
        <v>0.02039423159</v>
      </c>
      <c r="F683" s="22">
        <f t="shared" si="6"/>
        <v>0.02495811743</v>
      </c>
      <c r="H683" s="22" t="str">
        <f t="shared" si="4"/>
        <v/>
      </c>
      <c r="I683" s="22" t="str">
        <f t="shared" si="1"/>
        <v>#N/A</v>
      </c>
      <c r="J683" s="22" t="str">
        <f t="shared" si="2"/>
        <v>#N/A</v>
      </c>
      <c r="K683" s="22" t="str">
        <f t="array" ref="K683">IF(H683="Crash",MATCH(TRUE, B684:B781 &gt;= B682, 0),"")</f>
        <v/>
      </c>
    </row>
    <row r="684" ht="15.75" customHeight="1">
      <c r="A684" s="32">
        <f>'EQUITY BACKTEST'!A687</f>
        <v>40935.66667</v>
      </c>
      <c r="B684" s="22">
        <f>'EQUITY BACKTEST'!B687</f>
        <v>1316.32</v>
      </c>
      <c r="C684" s="22">
        <f>1/'EQUITY BACKTEST'!E687</f>
        <v>0.7581501137</v>
      </c>
      <c r="D684" s="22">
        <f t="shared" si="5"/>
        <v>0.3213356583</v>
      </c>
      <c r="E684" s="22">
        <f t="shared" si="3"/>
        <v>0.0007146223905</v>
      </c>
      <c r="F684" s="22">
        <f t="shared" si="6"/>
        <v>0.0313239419</v>
      </c>
      <c r="H684" s="22" t="str">
        <f t="shared" si="4"/>
        <v/>
      </c>
      <c r="I684" s="22" t="str">
        <f t="shared" si="1"/>
        <v>#N/A</v>
      </c>
      <c r="J684" s="22" t="str">
        <f t="shared" si="2"/>
        <v>#N/A</v>
      </c>
      <c r="K684" s="22" t="str">
        <f t="array" ref="K684">IF(H684="Crash",MATCH(TRUE, B685:B782 &gt;= B683, 0),"")</f>
        <v/>
      </c>
    </row>
    <row r="685" ht="15.75" customHeight="1">
      <c r="A685" s="32">
        <f>'EQUITY BACKTEST'!A688</f>
        <v>40942.66667</v>
      </c>
      <c r="B685" s="22">
        <f>'EQUITY BACKTEST'!B688</f>
        <v>1344.9</v>
      </c>
      <c r="C685" s="22">
        <f>1/'EQUITY BACKTEST'!E688</f>
        <v>0.7602828252</v>
      </c>
      <c r="D685" s="22">
        <f t="shared" si="5"/>
        <v>0.301312988</v>
      </c>
      <c r="E685" s="22">
        <f t="shared" si="3"/>
        <v>0.0217120457</v>
      </c>
      <c r="F685" s="22">
        <f t="shared" si="6"/>
        <v>0.02595985872</v>
      </c>
      <c r="H685" s="22" t="str">
        <f t="shared" si="4"/>
        <v/>
      </c>
      <c r="I685" s="22" t="str">
        <f t="shared" si="1"/>
        <v>#N/A</v>
      </c>
      <c r="J685" s="22" t="str">
        <f t="shared" si="2"/>
        <v>#N/A</v>
      </c>
      <c r="K685" s="22" t="str">
        <f t="array" ref="K685">IF(H685="Crash",MATCH(TRUE, B686:B783 &gt;= B684, 0),"")</f>
        <v/>
      </c>
    </row>
    <row r="686" ht="15.75" customHeight="1">
      <c r="A686" s="32">
        <f>'EQUITY BACKTEST'!A689</f>
        <v>40949.66667</v>
      </c>
      <c r="B686" s="22">
        <f>'EQUITY BACKTEST'!B689</f>
        <v>1342.64</v>
      </c>
      <c r="C686" s="22">
        <f>1/'EQUITY BACKTEST'!E689</f>
        <v>0.7578628268</v>
      </c>
      <c r="D686" s="22">
        <f t="shared" si="5"/>
        <v>0.295600541</v>
      </c>
      <c r="E686" s="22">
        <f t="shared" si="3"/>
        <v>-0.001680422336</v>
      </c>
      <c r="F686" s="22">
        <f t="shared" si="6"/>
        <v>0.01014934357</v>
      </c>
      <c r="H686" s="22" t="str">
        <f t="shared" si="4"/>
        <v/>
      </c>
      <c r="I686" s="22" t="str">
        <f t="shared" si="1"/>
        <v>#N/A</v>
      </c>
      <c r="J686" s="22" t="str">
        <f t="shared" si="2"/>
        <v>#N/A</v>
      </c>
      <c r="K686" s="22" t="str">
        <f t="array" ref="K686">IF(H686="Crash",MATCH(TRUE, B687:B784 &gt;= B685, 0),"")</f>
        <v/>
      </c>
    </row>
    <row r="687" ht="15.75" customHeight="1">
      <c r="A687" s="32">
        <f>'EQUITY BACKTEST'!A690</f>
        <v>40956.66667</v>
      </c>
      <c r="B687" s="22">
        <f>'EQUITY BACKTEST'!B690</f>
        <v>1361.23</v>
      </c>
      <c r="C687" s="22">
        <f>1/'EQUITY BACKTEST'!E690</f>
        <v>0.7609770946</v>
      </c>
      <c r="D687" s="22">
        <f t="shared" si="5"/>
        <v>0.1270251997</v>
      </c>
      <c r="E687" s="22">
        <f t="shared" si="3"/>
        <v>0.01384585593</v>
      </c>
      <c r="F687" s="22">
        <f t="shared" si="6"/>
        <v>0.01356654083</v>
      </c>
      <c r="H687" s="22" t="str">
        <f t="shared" si="4"/>
        <v/>
      </c>
      <c r="I687" s="22" t="str">
        <f t="shared" si="1"/>
        <v>#N/A</v>
      </c>
      <c r="J687" s="22" t="str">
        <f t="shared" si="2"/>
        <v>#N/A</v>
      </c>
      <c r="K687" s="22" t="str">
        <f t="array" ref="K687">IF(H687="Crash",MATCH(TRUE, B688:B785 &gt;= B686, 0),"")</f>
        <v/>
      </c>
    </row>
    <row r="688" ht="15.75" customHeight="1">
      <c r="A688" s="32">
        <f>'EQUITY BACKTEST'!A691</f>
        <v>40963.66667</v>
      </c>
      <c r="B688" s="22">
        <f>'EQUITY BACKTEST'!B691</f>
        <v>1365.74</v>
      </c>
      <c r="C688" s="22">
        <f>1/'EQUITY BACKTEST'!E691</f>
        <v>0.743660296</v>
      </c>
      <c r="D688" s="22">
        <f t="shared" si="5"/>
        <v>-0.203703429</v>
      </c>
      <c r="E688" s="22">
        <f t="shared" si="3"/>
        <v>0.003313179992</v>
      </c>
      <c r="F688" s="22">
        <f t="shared" si="6"/>
        <v>0.03474558293</v>
      </c>
      <c r="H688" s="22" t="str">
        <f t="shared" si="4"/>
        <v/>
      </c>
      <c r="I688" s="22" t="str">
        <f t="shared" si="1"/>
        <v>#N/A</v>
      </c>
      <c r="J688" s="22" t="str">
        <f t="shared" si="2"/>
        <v>#N/A</v>
      </c>
      <c r="K688" s="22" t="str">
        <f t="array" ref="K688">IF(H688="Crash",MATCH(TRUE, B689:B786 &gt;= B687, 0),"")</f>
        <v/>
      </c>
    </row>
    <row r="689" ht="15.75" customHeight="1">
      <c r="A689" s="32">
        <f>'EQUITY BACKTEST'!A692</f>
        <v>40970.66667</v>
      </c>
      <c r="B689" s="22">
        <f>'EQUITY BACKTEST'!B692</f>
        <v>1369.63</v>
      </c>
      <c r="C689" s="22">
        <f>1/'EQUITY BACKTEST'!E692</f>
        <v>0.7575183698</v>
      </c>
      <c r="D689" s="22">
        <f t="shared" si="5"/>
        <v>-0.4054569902</v>
      </c>
      <c r="E689" s="22">
        <f t="shared" si="3"/>
        <v>0.002848272731</v>
      </c>
      <c r="F689" s="22">
        <f t="shared" si="6"/>
        <v>0.03669530333</v>
      </c>
      <c r="H689" s="22" t="str">
        <f t="shared" si="4"/>
        <v/>
      </c>
      <c r="I689" s="22" t="str">
        <f t="shared" si="1"/>
        <v>#N/A</v>
      </c>
      <c r="J689" s="22" t="str">
        <f t="shared" si="2"/>
        <v>#N/A</v>
      </c>
      <c r="K689" s="22" t="str">
        <f t="array" ref="K689">IF(H689="Crash",MATCH(TRUE, B690:B787 &gt;= B688, 0),"")</f>
        <v/>
      </c>
    </row>
    <row r="690" ht="15.75" customHeight="1">
      <c r="A690" s="32">
        <f>'EQUITY BACKTEST'!A693</f>
        <v>40977.66667</v>
      </c>
      <c r="B690" s="22">
        <f>'EQUITY BACKTEST'!B693</f>
        <v>1370.87</v>
      </c>
      <c r="C690" s="22">
        <f>1/'EQUITY BACKTEST'!E693</f>
        <v>0.7621370322</v>
      </c>
      <c r="D690" s="22">
        <f t="shared" si="5"/>
        <v>-0.5866294923</v>
      </c>
      <c r="E690" s="22">
        <f t="shared" si="3"/>
        <v>0.0009053540007</v>
      </c>
      <c r="F690" s="22">
        <f t="shared" si="6"/>
        <v>0.05105498819</v>
      </c>
      <c r="H690" s="22" t="str">
        <f t="shared" si="4"/>
        <v/>
      </c>
      <c r="I690" s="22" t="str">
        <f t="shared" si="1"/>
        <v>#N/A</v>
      </c>
      <c r="J690" s="22" t="str">
        <f t="shared" si="2"/>
        <v>#N/A</v>
      </c>
      <c r="K690" s="22" t="str">
        <f t="array" ref="K690">IF(H690="Crash",MATCH(TRUE, B691:B788 &gt;= B689, 0),"")</f>
        <v/>
      </c>
    </row>
    <row r="691" ht="15.75" customHeight="1">
      <c r="A691" s="32">
        <f>'EQUITY BACKTEST'!A694</f>
        <v>40984.66667</v>
      </c>
      <c r="B691" s="22">
        <f>'EQUITY BACKTEST'!B694</f>
        <v>1404.17</v>
      </c>
      <c r="C691" s="22">
        <f>1/'EQUITY BACKTEST'!E694</f>
        <v>0.7590708972</v>
      </c>
      <c r="D691" s="22">
        <f t="shared" si="5"/>
        <v>-0.677882787</v>
      </c>
      <c r="E691" s="22">
        <f t="shared" si="3"/>
        <v>0.02429114358</v>
      </c>
      <c r="F691" s="22">
        <f t="shared" si="6"/>
        <v>0.09769387117</v>
      </c>
      <c r="H691" s="22" t="str">
        <f t="shared" si="4"/>
        <v/>
      </c>
      <c r="I691" s="22" t="str">
        <f t="shared" si="1"/>
        <v>#N/A</v>
      </c>
      <c r="J691" s="22" t="str">
        <f t="shared" si="2"/>
        <v>#N/A</v>
      </c>
      <c r="K691" s="22" t="str">
        <f t="array" ref="K691">IF(H691="Crash",MATCH(TRUE, B692:B789 &gt;= B690, 0),"")</f>
        <v/>
      </c>
    </row>
    <row r="692" ht="15.75" customHeight="1">
      <c r="A692" s="32">
        <f>'EQUITY BACKTEST'!A695</f>
        <v>40991.66667</v>
      </c>
      <c r="B692" s="22">
        <f>'EQUITY BACKTEST'!B695</f>
        <v>1397.11</v>
      </c>
      <c r="C692" s="22">
        <f>1/'EQUITY BACKTEST'!E695</f>
        <v>0.7537499058</v>
      </c>
      <c r="D692" s="22">
        <f t="shared" si="5"/>
        <v>-0.7431828407</v>
      </c>
      <c r="E692" s="22">
        <f t="shared" si="3"/>
        <v>-0.005027881239</v>
      </c>
      <c r="F692" s="22">
        <f t="shared" si="6"/>
        <v>0.06341147815</v>
      </c>
      <c r="H692" s="22" t="str">
        <f t="shared" si="4"/>
        <v/>
      </c>
      <c r="I692" s="22" t="str">
        <f t="shared" si="1"/>
        <v>#N/A</v>
      </c>
      <c r="J692" s="22" t="str">
        <f t="shared" si="2"/>
        <v>#N/A</v>
      </c>
      <c r="K692" s="22" t="str">
        <f t="array" ref="K692">IF(H692="Crash",MATCH(TRUE, B693:B790 &gt;= B691, 0),"")</f>
        <v/>
      </c>
    </row>
    <row r="693" ht="15.75" customHeight="1">
      <c r="A693" s="32">
        <f>'EQUITY BACKTEST'!A696</f>
        <v>40998.66667</v>
      </c>
      <c r="B693" s="22">
        <f>'EQUITY BACKTEST'!B696</f>
        <v>1408.47</v>
      </c>
      <c r="C693" s="22">
        <f>1/'EQUITY BACKTEST'!E696</f>
        <v>0.7496251874</v>
      </c>
      <c r="D693" s="22">
        <f t="shared" si="5"/>
        <v>-0.798927395</v>
      </c>
      <c r="E693" s="22">
        <f t="shared" si="3"/>
        <v>0.008131070567</v>
      </c>
      <c r="F693" s="22">
        <f t="shared" si="6"/>
        <v>0.05708453104</v>
      </c>
      <c r="H693" s="22" t="str">
        <f t="shared" si="4"/>
        <v/>
      </c>
      <c r="I693" s="22" t="str">
        <f t="shared" si="1"/>
        <v>#N/A</v>
      </c>
      <c r="J693" s="22" t="str">
        <f t="shared" si="2"/>
        <v>#N/A</v>
      </c>
      <c r="K693" s="22" t="str">
        <f t="array" ref="K693">IF(H693="Crash",MATCH(TRUE, B694:B791 &gt;= B692, 0),"")</f>
        <v/>
      </c>
    </row>
    <row r="694" ht="15.75" customHeight="1">
      <c r="A694" s="32">
        <f>'EQUITY BACKTEST'!A697</f>
        <v>41004.66667</v>
      </c>
      <c r="B694" s="22">
        <f>'EQUITY BACKTEST'!B697</f>
        <v>1398.08</v>
      </c>
      <c r="C694" s="22">
        <f>1/'EQUITY BACKTEST'!E697</f>
        <v>0.7637085688</v>
      </c>
      <c r="D694" s="22">
        <f t="shared" si="5"/>
        <v>-0.6554814655</v>
      </c>
      <c r="E694" s="22">
        <f t="shared" si="3"/>
        <v>-0.007376798938</v>
      </c>
      <c r="F694" s="22">
        <f t="shared" si="6"/>
        <v>0.0526363342</v>
      </c>
      <c r="H694" s="22" t="str">
        <f t="shared" si="4"/>
        <v/>
      </c>
      <c r="I694" s="22" t="str">
        <f t="shared" si="1"/>
        <v>#N/A</v>
      </c>
      <c r="J694" s="22" t="str">
        <f t="shared" si="2"/>
        <v>#N/A</v>
      </c>
      <c r="K694" s="22" t="str">
        <f t="array" ref="K694">IF(H694="Crash",MATCH(TRUE, B695:B792 &gt;= B693, 0),"")</f>
        <v/>
      </c>
    </row>
    <row r="695" ht="15.75" customHeight="1">
      <c r="A695" s="32">
        <f>'EQUITY BACKTEST'!A698</f>
        <v>41012.66667</v>
      </c>
      <c r="B695" s="22">
        <f>'EQUITY BACKTEST'!B698</f>
        <v>1370.26</v>
      </c>
      <c r="C695" s="22">
        <f>1/'EQUITY BACKTEST'!E698</f>
        <v>0.7644675484</v>
      </c>
      <c r="D695" s="22">
        <f t="shared" si="5"/>
        <v>-0.3888750867</v>
      </c>
      <c r="E695" s="22">
        <f t="shared" si="3"/>
        <v>-0.01989871824</v>
      </c>
      <c r="F695" s="22">
        <f t="shared" si="6"/>
        <v>0.03832747333</v>
      </c>
      <c r="H695" s="22" t="str">
        <f t="shared" si="4"/>
        <v/>
      </c>
      <c r="I695" s="22" t="str">
        <f t="shared" si="1"/>
        <v>#N/A</v>
      </c>
      <c r="J695" s="22" t="str">
        <f t="shared" si="2"/>
        <v>#N/A</v>
      </c>
      <c r="K695" s="22" t="str">
        <f t="array" ref="K695">IF(H695="Crash",MATCH(TRUE, B696:B793 &gt;= B694, 0),"")</f>
        <v/>
      </c>
    </row>
    <row r="696" ht="15.75" customHeight="1">
      <c r="A696" s="32">
        <f>'EQUITY BACKTEST'!A699</f>
        <v>41019.66667</v>
      </c>
      <c r="B696" s="22">
        <f>'EQUITY BACKTEST'!B699</f>
        <v>1378.53</v>
      </c>
      <c r="C696" s="22">
        <f>1/'EQUITY BACKTEST'!E699</f>
        <v>0.7567158532</v>
      </c>
      <c r="D696" s="22">
        <f t="shared" si="5"/>
        <v>-0.1427375396</v>
      </c>
      <c r="E696" s="22">
        <f t="shared" si="3"/>
        <v>0.006035350955</v>
      </c>
      <c r="F696" s="22">
        <f t="shared" si="6"/>
        <v>0.03076911573</v>
      </c>
      <c r="H696" s="22" t="str">
        <f t="shared" si="4"/>
        <v/>
      </c>
      <c r="I696" s="22" t="str">
        <f t="shared" si="1"/>
        <v>#N/A</v>
      </c>
      <c r="J696" s="22" t="str">
        <f t="shared" si="2"/>
        <v>#N/A</v>
      </c>
      <c r="K696" s="22" t="str">
        <f t="array" ref="K696">IF(H696="Crash",MATCH(TRUE, B697:B794 &gt;= B695, 0),"")</f>
        <v/>
      </c>
    </row>
    <row r="697" ht="15.75" customHeight="1">
      <c r="A697" s="32">
        <f>'EQUITY BACKTEST'!A700</f>
        <v>41026.66667</v>
      </c>
      <c r="B697" s="22">
        <f>'EQUITY BACKTEST'!B700</f>
        <v>1403.36</v>
      </c>
      <c r="C697" s="22">
        <f>1/'EQUITY BACKTEST'!E700</f>
        <v>0.7561436673</v>
      </c>
      <c r="D697" s="22">
        <f t="shared" si="5"/>
        <v>-0.1686773784</v>
      </c>
      <c r="E697" s="22">
        <f t="shared" si="3"/>
        <v>0.01801194026</v>
      </c>
      <c r="F697" s="22">
        <f t="shared" si="6"/>
        <v>0.02915056358</v>
      </c>
      <c r="H697" s="22" t="str">
        <f t="shared" si="4"/>
        <v/>
      </c>
      <c r="I697" s="22" t="str">
        <f t="shared" si="1"/>
        <v>#N/A</v>
      </c>
      <c r="J697" s="22" t="str">
        <f t="shared" si="2"/>
        <v>#N/A</v>
      </c>
      <c r="K697" s="22" t="str">
        <f t="array" ref="K697">IF(H697="Crash",MATCH(TRUE, B698:B795 &gt;= B696, 0),"")</f>
        <v/>
      </c>
    </row>
    <row r="698" ht="15.75" customHeight="1">
      <c r="A698" s="32">
        <f>'EQUITY BACKTEST'!A701</f>
        <v>41033.66667</v>
      </c>
      <c r="B698" s="22">
        <f>'EQUITY BACKTEST'!B701</f>
        <v>1369.1</v>
      </c>
      <c r="C698" s="22">
        <f>1/'EQUITY BACKTEST'!E701</f>
        <v>0.7644675484</v>
      </c>
      <c r="D698" s="22">
        <f t="shared" si="5"/>
        <v>-0.1603908149</v>
      </c>
      <c r="E698" s="22">
        <f t="shared" si="3"/>
        <v>-0.02441283776</v>
      </c>
      <c r="F698" s="22">
        <f t="shared" si="6"/>
        <v>0.02156394568</v>
      </c>
      <c r="H698" s="22" t="str">
        <f t="shared" si="4"/>
        <v/>
      </c>
      <c r="I698" s="22" t="str">
        <f t="shared" si="1"/>
        <v>#N/A</v>
      </c>
      <c r="J698" s="22" t="str">
        <f t="shared" si="2"/>
        <v>#N/A</v>
      </c>
      <c r="K698" s="22" t="str">
        <f t="array" ref="K698">IF(H698="Crash",MATCH(TRUE, B699:B796 &gt;= B697, 0),"")</f>
        <v/>
      </c>
    </row>
    <row r="699" ht="15.75" customHeight="1">
      <c r="A699" s="32">
        <f>'EQUITY BACKTEST'!A702</f>
        <v>41040.66667</v>
      </c>
      <c r="B699" s="22">
        <f>'EQUITY BACKTEST'!B702</f>
        <v>1353.39</v>
      </c>
      <c r="C699" s="22">
        <f>1/'EQUITY BACKTEST'!E702</f>
        <v>0.7743534149</v>
      </c>
      <c r="D699" s="22">
        <f t="shared" si="5"/>
        <v>-0.3996297523</v>
      </c>
      <c r="E699" s="22">
        <f t="shared" si="3"/>
        <v>-0.0114746914</v>
      </c>
      <c r="F699" s="22">
        <f t="shared" si="6"/>
        <v>0.01167614762</v>
      </c>
      <c r="H699" s="22" t="str">
        <f t="shared" si="4"/>
        <v/>
      </c>
      <c r="I699" s="22" t="str">
        <f t="shared" si="1"/>
        <v>#N/A</v>
      </c>
      <c r="J699" s="22" t="str">
        <f t="shared" si="2"/>
        <v>#N/A</v>
      </c>
      <c r="K699" s="22" t="str">
        <f t="array" ref="K699">IF(H699="Crash",MATCH(TRUE, B700:B797 &gt;= B698, 0),"")</f>
        <v/>
      </c>
    </row>
    <row r="700" ht="15.75" customHeight="1">
      <c r="A700" s="32">
        <f>'EQUITY BACKTEST'!A703</f>
        <v>41047.66667</v>
      </c>
      <c r="B700" s="22">
        <f>'EQUITY BACKTEST'!B703</f>
        <v>1295.22</v>
      </c>
      <c r="C700" s="22">
        <f>1/'EQUITY BACKTEST'!E703</f>
        <v>0.7824726135</v>
      </c>
      <c r="D700" s="22">
        <f t="shared" si="5"/>
        <v>-0.7039508895</v>
      </c>
      <c r="E700" s="22">
        <f t="shared" si="3"/>
        <v>-0.04298095893</v>
      </c>
      <c r="F700" s="22">
        <f t="shared" si="6"/>
        <v>-0.0285388556</v>
      </c>
      <c r="H700" s="22" t="str">
        <f t="shared" si="4"/>
        <v/>
      </c>
      <c r="I700" s="22" t="str">
        <f t="shared" si="1"/>
        <v>#N/A</v>
      </c>
      <c r="J700" s="22" t="str">
        <f t="shared" si="2"/>
        <v>#N/A</v>
      </c>
      <c r="K700" s="22" t="str">
        <f t="array" ref="K700">IF(H700="Crash",MATCH(TRUE, B701:B798 &gt;= B699, 0),"")</f>
        <v/>
      </c>
    </row>
    <row r="701" ht="15.75" customHeight="1">
      <c r="A701" s="32">
        <f>'EQUITY BACKTEST'!A704</f>
        <v>41054.66667</v>
      </c>
      <c r="B701" s="22">
        <f>'EQUITY BACKTEST'!B704</f>
        <v>1317.82</v>
      </c>
      <c r="C701" s="22">
        <f>1/'EQUITY BACKTEST'!E704</f>
        <v>0.7989134777</v>
      </c>
      <c r="D701" s="22">
        <f t="shared" si="5"/>
        <v>-0.8643007567</v>
      </c>
      <c r="E701" s="22">
        <f t="shared" si="3"/>
        <v>0.01744877318</v>
      </c>
      <c r="F701" s="22">
        <f t="shared" si="6"/>
        <v>-0.009976710991</v>
      </c>
      <c r="H701" s="22" t="str">
        <f t="shared" si="4"/>
        <v/>
      </c>
      <c r="I701" s="22" t="str">
        <f t="shared" si="1"/>
        <v>#N/A</v>
      </c>
      <c r="J701" s="22" t="str">
        <f t="shared" si="2"/>
        <v>#N/A</v>
      </c>
      <c r="K701" s="22" t="str">
        <f t="array" ref="K701">IF(H701="Crash",MATCH(TRUE, B702:B799 &gt;= B700, 0),"")</f>
        <v/>
      </c>
    </row>
    <row r="702" ht="15.75" customHeight="1">
      <c r="A702" s="32">
        <f>'EQUITY BACKTEST'!A705</f>
        <v>41061.66667</v>
      </c>
      <c r="B702" s="22">
        <f>'EQUITY BACKTEST'!B705</f>
        <v>1278.04</v>
      </c>
      <c r="C702" s="22">
        <f>1/'EQUITY BACKTEST'!E705</f>
        <v>0.8050881572</v>
      </c>
      <c r="D702" s="22">
        <f t="shared" si="5"/>
        <v>-0.9260358994</v>
      </c>
      <c r="E702" s="22">
        <f t="shared" si="3"/>
        <v>-0.03018621663</v>
      </c>
      <c r="F702" s="22">
        <f t="shared" si="6"/>
        <v>-0.01701329067</v>
      </c>
      <c r="H702" s="22" t="str">
        <f t="shared" si="4"/>
        <v/>
      </c>
      <c r="I702" s="22" t="str">
        <f t="shared" si="1"/>
        <v>#N/A</v>
      </c>
      <c r="J702" s="22" t="str">
        <f t="shared" si="2"/>
        <v>#N/A</v>
      </c>
      <c r="K702" s="22" t="str">
        <f t="array" ref="K702">IF(H702="Crash",MATCH(TRUE, B703:B800 &gt;= B701, 0),"")</f>
        <v/>
      </c>
    </row>
    <row r="703" ht="15.75" customHeight="1">
      <c r="A703" s="32">
        <f>'EQUITY BACKTEST'!A706</f>
        <v>41068.66667</v>
      </c>
      <c r="B703" s="22">
        <f>'EQUITY BACKTEST'!B706</f>
        <v>1325.66</v>
      </c>
      <c r="C703" s="22">
        <f>1/'EQUITY BACKTEST'!E706</f>
        <v>0.7991688644</v>
      </c>
      <c r="D703" s="22">
        <f t="shared" si="5"/>
        <v>-0.9155741701</v>
      </c>
      <c r="E703" s="22">
        <f t="shared" si="3"/>
        <v>0.03726017965</v>
      </c>
      <c r="F703" s="22">
        <f t="shared" si="6"/>
        <v>0.04302192009</v>
      </c>
      <c r="H703" s="22" t="str">
        <f t="shared" si="4"/>
        <v/>
      </c>
      <c r="I703" s="22" t="str">
        <f t="shared" si="1"/>
        <v>#N/A</v>
      </c>
      <c r="J703" s="22" t="str">
        <f t="shared" si="2"/>
        <v>#N/A</v>
      </c>
      <c r="K703" s="22" t="str">
        <f t="array" ref="K703">IF(H703="Crash",MATCH(TRUE, B704:B801 &gt;= B702, 0),"")</f>
        <v/>
      </c>
    </row>
    <row r="704" ht="15.75" customHeight="1">
      <c r="A704" s="32">
        <f>'EQUITY BACKTEST'!A707</f>
        <v>41075.66667</v>
      </c>
      <c r="B704" s="22">
        <f>'EQUITY BACKTEST'!B707</f>
        <v>1342.84</v>
      </c>
      <c r="C704" s="22">
        <f>1/'EQUITY BACKTEST'!E707</f>
        <v>0.7900142203</v>
      </c>
      <c r="D704" s="22">
        <f t="shared" si="5"/>
        <v>-0.9060184954</v>
      </c>
      <c r="E704" s="22">
        <f t="shared" si="3"/>
        <v>0.0129595824</v>
      </c>
      <c r="F704" s="22">
        <f t="shared" si="6"/>
        <v>0.05610696028</v>
      </c>
      <c r="H704" s="22" t="str">
        <f t="shared" si="4"/>
        <v/>
      </c>
      <c r="I704" s="22" t="str">
        <f t="shared" si="1"/>
        <v>#N/A</v>
      </c>
      <c r="J704" s="22" t="str">
        <f t="shared" si="2"/>
        <v>#N/A</v>
      </c>
      <c r="K704" s="22" t="str">
        <f t="array" ref="K704">IF(H704="Crash",MATCH(TRUE, B705:B802 &gt;= B703, 0),"")</f>
        <v/>
      </c>
    </row>
    <row r="705" ht="15.75" customHeight="1">
      <c r="A705" s="32">
        <f>'EQUITY BACKTEST'!A708</f>
        <v>41082.66667</v>
      </c>
      <c r="B705" s="22">
        <f>'EQUITY BACKTEST'!B708</f>
        <v>1335.02</v>
      </c>
      <c r="C705" s="22">
        <f>1/'EQUITY BACKTEST'!E708</f>
        <v>0.7952918721</v>
      </c>
      <c r="D705" s="22">
        <f t="shared" si="5"/>
        <v>-0.8883062399</v>
      </c>
      <c r="E705" s="22">
        <f t="shared" si="3"/>
        <v>-0.005823478598</v>
      </c>
      <c r="F705" s="22">
        <f t="shared" si="6"/>
        <v>0.05248137491</v>
      </c>
      <c r="H705" s="22" t="str">
        <f t="shared" si="4"/>
        <v/>
      </c>
      <c r="I705" s="22" t="str">
        <f t="shared" si="1"/>
        <v>#N/A</v>
      </c>
      <c r="J705" s="22" t="str">
        <f t="shared" si="2"/>
        <v>#N/A</v>
      </c>
      <c r="K705" s="22" t="str">
        <f t="array" ref="K705">IF(H705="Crash",MATCH(TRUE, B706:B803 &gt;= B704, 0),"")</f>
        <v/>
      </c>
    </row>
    <row r="706" ht="15.75" customHeight="1">
      <c r="A706" s="32">
        <f>'EQUITY BACKTEST'!A709</f>
        <v>41089.66667</v>
      </c>
      <c r="B706" s="22">
        <f>'EQUITY BACKTEST'!B709</f>
        <v>1362.16</v>
      </c>
      <c r="C706" s="22">
        <f>1/'EQUITY BACKTEST'!E709</f>
        <v>0.7898894155</v>
      </c>
      <c r="D706" s="22">
        <f t="shared" si="5"/>
        <v>-0.8282880095</v>
      </c>
      <c r="E706" s="22">
        <f t="shared" si="3"/>
        <v>0.02032928346</v>
      </c>
      <c r="F706" s="22">
        <f t="shared" si="6"/>
        <v>0.01678771638</v>
      </c>
      <c r="H706" s="22" t="str">
        <f t="shared" si="4"/>
        <v/>
      </c>
      <c r="I706" s="22" t="str">
        <f t="shared" si="1"/>
        <v>#N/A</v>
      </c>
      <c r="J706" s="22" t="str">
        <f t="shared" si="2"/>
        <v>#N/A</v>
      </c>
      <c r="K706" s="22" t="str">
        <f t="array" ref="K706">IF(H706="Crash",MATCH(TRUE, B707:B804 &gt;= B705, 0),"")</f>
        <v/>
      </c>
    </row>
    <row r="707" ht="15.75" customHeight="1">
      <c r="A707" s="32">
        <f>'EQUITY BACKTEST'!A710</f>
        <v>41096.66667</v>
      </c>
      <c r="B707" s="22">
        <f>'EQUITY BACKTEST'!B710</f>
        <v>1354.68</v>
      </c>
      <c r="C707" s="22">
        <f>1/'EQUITY BACKTEST'!E710</f>
        <v>0.8139345597</v>
      </c>
      <c r="D707" s="22">
        <f t="shared" si="5"/>
        <v>-0.6753574234</v>
      </c>
      <c r="E707" s="22">
        <f t="shared" si="3"/>
        <v>-0.005491278558</v>
      </c>
      <c r="F707" s="22">
        <f t="shared" si="6"/>
        <v>0.008096442923</v>
      </c>
      <c r="H707" s="22" t="str">
        <f t="shared" si="4"/>
        <v/>
      </c>
      <c r="I707" s="22" t="str">
        <f t="shared" si="1"/>
        <v>#N/A</v>
      </c>
      <c r="J707" s="22" t="str">
        <f t="shared" si="2"/>
        <v>#N/A</v>
      </c>
      <c r="K707" s="22" t="str">
        <f t="array" ref="K707">IF(H707="Crash",MATCH(TRUE, B708:B805 &gt;= B706, 0),"")</f>
        <v/>
      </c>
    </row>
    <row r="708" ht="15.75" customHeight="1">
      <c r="A708" s="32">
        <f>'EQUITY BACKTEST'!A711</f>
        <v>41103.66667</v>
      </c>
      <c r="B708" s="22">
        <f>'EQUITY BACKTEST'!B711</f>
        <v>1356.78</v>
      </c>
      <c r="C708" s="22">
        <f>1/'EQUITY BACKTEST'!E711</f>
        <v>0.8165264963</v>
      </c>
      <c r="D708" s="22">
        <f t="shared" si="5"/>
        <v>-0.5401914981</v>
      </c>
      <c r="E708" s="22">
        <f t="shared" si="3"/>
        <v>0.001550181593</v>
      </c>
      <c r="F708" s="22">
        <f t="shared" si="6"/>
        <v>0.03087817405</v>
      </c>
      <c r="H708" s="22" t="str">
        <f t="shared" si="4"/>
        <v/>
      </c>
      <c r="I708" s="22" t="str">
        <f t="shared" si="1"/>
        <v>#N/A</v>
      </c>
      <c r="J708" s="22" t="str">
        <f t="shared" si="2"/>
        <v>#N/A</v>
      </c>
      <c r="K708" s="22" t="str">
        <f t="array" ref="K708">IF(H708="Crash",MATCH(TRUE, B709:B806 &gt;= B707, 0),"")</f>
        <v/>
      </c>
    </row>
    <row r="709" ht="15.75" customHeight="1">
      <c r="A709" s="32">
        <f>'EQUITY BACKTEST'!A712</f>
        <v>41110.66667</v>
      </c>
      <c r="B709" s="22">
        <f>'EQUITY BACKTEST'!B712</f>
        <v>1362.66</v>
      </c>
      <c r="C709" s="22">
        <f>1/'EQUITY BACKTEST'!E712</f>
        <v>0.8227067051</v>
      </c>
      <c r="D709" s="22">
        <f t="shared" si="5"/>
        <v>-0.3340530798</v>
      </c>
      <c r="E709" s="22">
        <f t="shared" si="3"/>
        <v>0.004333790298</v>
      </c>
      <c r="F709" s="22">
        <f t="shared" si="6"/>
        <v>0.01311504662</v>
      </c>
      <c r="H709" s="22" t="str">
        <f t="shared" si="4"/>
        <v/>
      </c>
      <c r="I709" s="22" t="str">
        <f t="shared" si="1"/>
        <v>#N/A</v>
      </c>
      <c r="J709" s="22" t="str">
        <f t="shared" si="2"/>
        <v>#N/A</v>
      </c>
      <c r="K709" s="22" t="str">
        <f t="array" ref="K709">IF(H709="Crash",MATCH(TRUE, B710:B807 &gt;= B708, 0),"")</f>
        <v/>
      </c>
    </row>
    <row r="710" ht="15.75" customHeight="1">
      <c r="A710" s="32">
        <f>'EQUITY BACKTEST'!A713</f>
        <v>41117.66667</v>
      </c>
      <c r="B710" s="22">
        <f>'EQUITY BACKTEST'!B713</f>
        <v>1385.97</v>
      </c>
      <c r="C710" s="22">
        <f>1/'EQUITY BACKTEST'!E713</f>
        <v>0.8118860112</v>
      </c>
      <c r="D710" s="22">
        <f t="shared" si="5"/>
        <v>0.07895078746</v>
      </c>
      <c r="E710" s="22">
        <f t="shared" si="3"/>
        <v>0.01710624807</v>
      </c>
      <c r="F710" s="22">
        <f t="shared" si="6"/>
        <v>0.07249976785</v>
      </c>
      <c r="H710" s="22" t="str">
        <f t="shared" si="4"/>
        <v/>
      </c>
      <c r="I710" s="22" t="str">
        <f t="shared" si="1"/>
        <v>#N/A</v>
      </c>
      <c r="J710" s="22" t="str">
        <f t="shared" si="2"/>
        <v>#N/A</v>
      </c>
      <c r="K710" s="22" t="str">
        <f t="array" ref="K710">IF(H710="Crash",MATCH(TRUE, B711:B808 &gt;= B709, 0),"")</f>
        <v/>
      </c>
    </row>
    <row r="711" ht="15.75" customHeight="1">
      <c r="A711" s="32">
        <f>'EQUITY BACKTEST'!A714</f>
        <v>41124.66667</v>
      </c>
      <c r="B711" s="22">
        <f>'EQUITY BACKTEST'!B714</f>
        <v>1390.99</v>
      </c>
      <c r="C711" s="22">
        <f>1/'EQUITY BACKTEST'!E714</f>
        <v>0.8072979737</v>
      </c>
      <c r="D711" s="22">
        <f t="shared" si="5"/>
        <v>0.3293443065</v>
      </c>
      <c r="E711" s="22">
        <f t="shared" si="3"/>
        <v>0.00362201202</v>
      </c>
      <c r="F711" s="22">
        <f t="shared" si="6"/>
        <v>0.1597575414</v>
      </c>
      <c r="H711" s="22" t="str">
        <f t="shared" si="4"/>
        <v/>
      </c>
      <c r="I711" s="22" t="str">
        <f t="shared" si="1"/>
        <v>#N/A</v>
      </c>
      <c r="J711" s="22" t="str">
        <f t="shared" si="2"/>
        <v>#N/A</v>
      </c>
      <c r="K711" s="22" t="str">
        <f t="array" ref="K711">IF(H711="Crash",MATCH(TRUE, B712:B809 &gt;= B710, 0),"")</f>
        <v/>
      </c>
    </row>
    <row r="712" ht="15.75" customHeight="1">
      <c r="A712" s="32">
        <f>'EQUITY BACKTEST'!A715</f>
        <v>41131.66667</v>
      </c>
      <c r="B712" s="22">
        <f>'EQUITY BACKTEST'!B715</f>
        <v>1405.87</v>
      </c>
      <c r="C712" s="22">
        <f>1/'EQUITY BACKTEST'!E715</f>
        <v>0.8136696501</v>
      </c>
      <c r="D712" s="22">
        <f t="shared" si="5"/>
        <v>0.5126346225</v>
      </c>
      <c r="E712" s="22">
        <f t="shared" si="3"/>
        <v>0.01069741695</v>
      </c>
      <c r="F712" s="22">
        <f t="shared" si="6"/>
        <v>0.1926179791</v>
      </c>
      <c r="H712" s="22" t="str">
        <f t="shared" si="4"/>
        <v/>
      </c>
      <c r="I712" s="22" t="str">
        <f t="shared" si="1"/>
        <v>#N/A</v>
      </c>
      <c r="J712" s="22" t="str">
        <f t="shared" si="2"/>
        <v>#N/A</v>
      </c>
      <c r="K712" s="22" t="str">
        <f t="array" ref="K712">IF(H712="Crash",MATCH(TRUE, B713:B810 &gt;= B711, 0),"")</f>
        <v/>
      </c>
    </row>
    <row r="713" ht="15.75" customHeight="1">
      <c r="A713" s="32">
        <f>'EQUITY BACKTEST'!A716</f>
        <v>41138.66667</v>
      </c>
      <c r="B713" s="22">
        <f>'EQUITY BACKTEST'!B716</f>
        <v>1418.16</v>
      </c>
      <c r="C713" s="22">
        <f>1/'EQUITY BACKTEST'!E716</f>
        <v>0.8109642365</v>
      </c>
      <c r="D713" s="22">
        <f t="shared" si="5"/>
        <v>0.3987742413</v>
      </c>
      <c r="E713" s="22">
        <f t="shared" si="3"/>
        <v>0.008741917816</v>
      </c>
      <c r="F713" s="22">
        <f t="shared" si="6"/>
        <v>0.2622359884</v>
      </c>
      <c r="H713" s="22" t="str">
        <f t="shared" si="4"/>
        <v/>
      </c>
      <c r="I713" s="22" t="str">
        <f t="shared" si="1"/>
        <v>#N/A</v>
      </c>
      <c r="J713" s="22" t="str">
        <f t="shared" si="2"/>
        <v>#N/A</v>
      </c>
      <c r="K713" s="22" t="str">
        <f t="array" ref="K713">IF(H713="Crash",MATCH(TRUE, B714:B811 &gt;= B712, 0),"")</f>
        <v/>
      </c>
    </row>
    <row r="714" ht="15.75" customHeight="1">
      <c r="A714" s="32">
        <f>'EQUITY BACKTEST'!A717</f>
        <v>41145.66667</v>
      </c>
      <c r="B714" s="22">
        <f>'EQUITY BACKTEST'!B717</f>
        <v>1411.13</v>
      </c>
      <c r="C714" s="22">
        <f>1/'EQUITY BACKTEST'!E717</f>
        <v>0.7993605116</v>
      </c>
      <c r="D714" s="22">
        <f t="shared" si="5"/>
        <v>0.263776904</v>
      </c>
      <c r="E714" s="22">
        <f t="shared" si="3"/>
        <v>-0.004957127546</v>
      </c>
      <c r="F714" s="22">
        <f t="shared" si="6"/>
        <v>0.1991247451</v>
      </c>
      <c r="H714" s="22" t="str">
        <f t="shared" si="4"/>
        <v/>
      </c>
      <c r="I714" s="22" t="str">
        <f t="shared" si="1"/>
        <v>#N/A</v>
      </c>
      <c r="J714" s="22" t="str">
        <f t="shared" si="2"/>
        <v>#N/A</v>
      </c>
      <c r="K714" s="22" t="str">
        <f t="array" ref="K714">IF(H714="Crash",MATCH(TRUE, B715:B812 &gt;= B713, 0),"")</f>
        <v/>
      </c>
    </row>
    <row r="715" ht="15.75" customHeight="1">
      <c r="A715" s="32">
        <f>'EQUITY BACKTEST'!A718</f>
        <v>41152.66667</v>
      </c>
      <c r="B715" s="22">
        <f>'EQUITY BACKTEST'!B718</f>
        <v>1406.58</v>
      </c>
      <c r="C715" s="22">
        <f>1/'EQUITY BACKTEST'!E718</f>
        <v>0.794723039</v>
      </c>
      <c r="D715" s="22">
        <f t="shared" si="5"/>
        <v>0.2106114454</v>
      </c>
      <c r="E715" s="22">
        <f t="shared" si="3"/>
        <v>-0.003224366288</v>
      </c>
      <c r="F715" s="22">
        <f t="shared" si="6"/>
        <v>0.1981396458</v>
      </c>
      <c r="H715" s="22" t="str">
        <f t="shared" si="4"/>
        <v/>
      </c>
      <c r="I715" s="22" t="str">
        <f t="shared" si="1"/>
        <v>#N/A</v>
      </c>
      <c r="J715" s="22" t="str">
        <f t="shared" si="2"/>
        <v>#N/A</v>
      </c>
      <c r="K715" s="22" t="str">
        <f t="array" ref="K715">IF(H715="Crash",MATCH(TRUE, B716:B813 &gt;= B714, 0),"")</f>
        <v/>
      </c>
    </row>
    <row r="716" ht="15.75" customHeight="1">
      <c r="A716" s="32">
        <f>'EQUITY BACKTEST'!A719</f>
        <v>41159.66667</v>
      </c>
      <c r="B716" s="22">
        <f>'EQUITY BACKTEST'!B719</f>
        <v>1437.92</v>
      </c>
      <c r="C716" s="22">
        <f>1/'EQUITY BACKTEST'!E719</f>
        <v>0.7803355443</v>
      </c>
      <c r="D716" s="22">
        <f t="shared" si="5"/>
        <v>-0.1729415517</v>
      </c>
      <c r="E716" s="22">
        <f t="shared" si="3"/>
        <v>0.02228099362</v>
      </c>
      <c r="F716" s="22">
        <f t="shared" si="6"/>
        <v>0.2457829029</v>
      </c>
      <c r="H716" s="22" t="str">
        <f t="shared" si="4"/>
        <v/>
      </c>
      <c r="I716" s="22" t="str">
        <f t="shared" si="1"/>
        <v>#N/A</v>
      </c>
      <c r="J716" s="22" t="str">
        <f t="shared" si="2"/>
        <v>#N/A</v>
      </c>
      <c r="K716" s="22" t="str">
        <f t="array" ref="K716">IF(H716="Crash",MATCH(TRUE, B717:B814 &gt;= B715, 0),"")</f>
        <v/>
      </c>
    </row>
    <row r="717" ht="15.75" customHeight="1">
      <c r="A717" s="32">
        <f>'EQUITY BACKTEST'!A720</f>
        <v>41166.66667</v>
      </c>
      <c r="B717" s="22">
        <f>'EQUITY BACKTEST'!B720</f>
        <v>1465.77</v>
      </c>
      <c r="C717" s="22">
        <f>1/'EQUITY BACKTEST'!E720</f>
        <v>0.7618467164</v>
      </c>
      <c r="D717" s="22">
        <f t="shared" si="5"/>
        <v>-0.6067811958</v>
      </c>
      <c r="E717" s="22">
        <f t="shared" si="3"/>
        <v>0.01936825414</v>
      </c>
      <c r="F717" s="22">
        <f t="shared" si="6"/>
        <v>0.2053930478</v>
      </c>
      <c r="H717" s="22" t="str">
        <f t="shared" si="4"/>
        <v/>
      </c>
      <c r="I717" s="22" t="str">
        <f t="shared" si="1"/>
        <v>#N/A</v>
      </c>
      <c r="J717" s="22" t="str">
        <f t="shared" si="2"/>
        <v>#N/A</v>
      </c>
      <c r="K717" s="22" t="str">
        <f t="array" ref="K717">IF(H717="Crash",MATCH(TRUE, B718:B815 &gt;= B716, 0),"")</f>
        <v/>
      </c>
    </row>
    <row r="718" ht="15.75" customHeight="1">
      <c r="A718" s="32">
        <f>'EQUITY BACKTEST'!A721</f>
        <v>41173.66667</v>
      </c>
      <c r="B718" s="22">
        <f>'EQUITY BACKTEST'!B721</f>
        <v>1460.15</v>
      </c>
      <c r="C718" s="22">
        <f>1/'EQUITY BACKTEST'!E721</f>
        <v>0.7704753833</v>
      </c>
      <c r="D718" s="22">
        <f t="shared" si="5"/>
        <v>-0.7982588238</v>
      </c>
      <c r="E718" s="22">
        <f t="shared" si="3"/>
        <v>-0.003834162249</v>
      </c>
      <c r="F718" s="22">
        <f t="shared" si="6"/>
        <v>0.2848569644</v>
      </c>
      <c r="H718" s="22" t="str">
        <f t="shared" si="4"/>
        <v/>
      </c>
      <c r="I718" s="22" t="str">
        <f t="shared" si="1"/>
        <v>#N/A</v>
      </c>
      <c r="J718" s="22" t="str">
        <f t="shared" si="2"/>
        <v>#N/A</v>
      </c>
      <c r="K718" s="22" t="str">
        <f t="array" ref="K718">IF(H718="Crash",MATCH(TRUE, B719:B816 &gt;= B717, 0),"")</f>
        <v/>
      </c>
    </row>
    <row r="719" ht="15.75" customHeight="1">
      <c r="A719" s="32">
        <f>'EQUITY BACKTEST'!A722</f>
        <v>41180.66667</v>
      </c>
      <c r="B719" s="22">
        <f>'EQUITY BACKTEST'!B722</f>
        <v>1440.67</v>
      </c>
      <c r="C719" s="22">
        <f>1/'EQUITY BACKTEST'!E722</f>
        <v>0.7779679477</v>
      </c>
      <c r="D719" s="22">
        <f t="shared" si="5"/>
        <v>-0.9091808358</v>
      </c>
      <c r="E719" s="22">
        <f t="shared" si="3"/>
        <v>-0.01334109509</v>
      </c>
      <c r="F719" s="22">
        <f t="shared" si="6"/>
        <v>0.2733290909</v>
      </c>
      <c r="H719" s="22" t="str">
        <f t="shared" si="4"/>
        <v/>
      </c>
      <c r="I719" s="22" t="str">
        <f t="shared" si="1"/>
        <v>#N/A</v>
      </c>
      <c r="J719" s="22" t="str">
        <f t="shared" si="2"/>
        <v>#N/A</v>
      </c>
      <c r="K719" s="22" t="str">
        <f t="array" ref="K719">IF(H719="Crash",MATCH(TRUE, B720:B817 &gt;= B718, 0),"")</f>
        <v/>
      </c>
    </row>
    <row r="720" ht="15.75" customHeight="1">
      <c r="A720" s="32">
        <f>'EQUITY BACKTEST'!A723</f>
        <v>41187.66667</v>
      </c>
      <c r="B720" s="22">
        <f>'EQUITY BACKTEST'!B723</f>
        <v>1460.93</v>
      </c>
      <c r="C720" s="22">
        <f>1/'EQUITY BACKTEST'!E723</f>
        <v>0.7674008134</v>
      </c>
      <c r="D720" s="22">
        <f t="shared" si="5"/>
        <v>-0.9326636381</v>
      </c>
      <c r="E720" s="22">
        <f t="shared" si="3"/>
        <v>0.01406290129</v>
      </c>
      <c r="F720" s="22">
        <f t="shared" si="6"/>
        <v>0.2643708999</v>
      </c>
      <c r="H720" s="22" t="str">
        <f t="shared" si="4"/>
        <v/>
      </c>
      <c r="I720" s="22" t="str">
        <f t="shared" si="1"/>
        <v>#N/A</v>
      </c>
      <c r="J720" s="22" t="str">
        <f t="shared" si="2"/>
        <v>#N/A</v>
      </c>
      <c r="K720" s="22" t="str">
        <f t="array" ref="K720">IF(H720="Crash",MATCH(TRUE, B721:B818 &gt;= B719, 0),"")</f>
        <v/>
      </c>
    </row>
    <row r="721" ht="15.75" customHeight="1">
      <c r="A721" s="32">
        <f>'EQUITY BACKTEST'!A724</f>
        <v>41194.66667</v>
      </c>
      <c r="B721" s="22">
        <f>'EQUITY BACKTEST'!B724</f>
        <v>1428.59</v>
      </c>
      <c r="C721" s="22">
        <f>1/'EQUITY BACKTEST'!E724</f>
        <v>0.7720219254</v>
      </c>
      <c r="D721" s="22">
        <f t="shared" si="5"/>
        <v>-0.9215622961</v>
      </c>
      <c r="E721" s="22">
        <f t="shared" si="3"/>
        <v>-0.02213658423</v>
      </c>
      <c r="F721" s="22">
        <f t="shared" si="6"/>
        <v>0.1665958941</v>
      </c>
      <c r="H721" s="22" t="str">
        <f t="shared" si="4"/>
        <v/>
      </c>
      <c r="I721" s="22" t="str">
        <f t="shared" si="1"/>
        <v>#N/A</v>
      </c>
      <c r="J721" s="22" t="str">
        <f t="shared" si="2"/>
        <v>#N/A</v>
      </c>
      <c r="K721" s="22" t="str">
        <f t="array" ref="K721">IF(H721="Crash",MATCH(TRUE, B722:B819 &gt;= B720, 0),"")</f>
        <v/>
      </c>
    </row>
    <row r="722" ht="15.75" customHeight="1">
      <c r="A722" s="32">
        <f>'EQUITY BACKTEST'!A725</f>
        <v>41201.66667</v>
      </c>
      <c r="B722" s="22">
        <f>'EQUITY BACKTEST'!B725</f>
        <v>1433.19</v>
      </c>
      <c r="C722" s="22">
        <f>1/'EQUITY BACKTEST'!E725</f>
        <v>0.7680491551</v>
      </c>
      <c r="D722" s="22">
        <f t="shared" si="5"/>
        <v>-0.8832260895</v>
      </c>
      <c r="E722" s="22">
        <f t="shared" si="3"/>
        <v>0.003219958141</v>
      </c>
      <c r="F722" s="22">
        <f t="shared" si="6"/>
        <v>0.1574318595</v>
      </c>
      <c r="H722" s="22" t="str">
        <f t="shared" si="4"/>
        <v/>
      </c>
      <c r="I722" s="22" t="str">
        <f t="shared" si="1"/>
        <v>#N/A</v>
      </c>
      <c r="J722" s="22" t="str">
        <f t="shared" si="2"/>
        <v>#N/A</v>
      </c>
      <c r="K722" s="22" t="str">
        <f t="array" ref="K722">IF(H722="Crash",MATCH(TRUE, B723:B820 &gt;= B721, 0),"")</f>
        <v/>
      </c>
    </row>
    <row r="723" ht="15.75" customHeight="1">
      <c r="A723" s="32">
        <f>'EQUITY BACKTEST'!A726</f>
        <v>41208.66667</v>
      </c>
      <c r="B723" s="22">
        <f>'EQUITY BACKTEST'!B726</f>
        <v>1411.94</v>
      </c>
      <c r="C723" s="22">
        <f>1/'EQUITY BACKTEST'!E726</f>
        <v>0.7729767334</v>
      </c>
      <c r="D723" s="22">
        <f t="shared" si="5"/>
        <v>-0.7891660006</v>
      </c>
      <c r="E723" s="22">
        <f t="shared" si="3"/>
        <v>-0.0148270641</v>
      </c>
      <c r="F723" s="22">
        <f t="shared" si="6"/>
        <v>0.09871758957</v>
      </c>
      <c r="H723" s="22" t="str">
        <f t="shared" si="4"/>
        <v/>
      </c>
      <c r="I723" s="22" t="str">
        <f t="shared" si="1"/>
        <v>#N/A</v>
      </c>
      <c r="J723" s="22" t="str">
        <f t="shared" si="2"/>
        <v>#N/A</v>
      </c>
      <c r="K723" s="22" t="str">
        <f t="array" ref="K723">IF(H723="Crash",MATCH(TRUE, B724:B821 &gt;= B722, 0),"")</f>
        <v/>
      </c>
    </row>
    <row r="724" ht="15.75" customHeight="1">
      <c r="A724" s="32">
        <f>'EQUITY BACKTEST'!A727</f>
        <v>41215.66667</v>
      </c>
      <c r="B724" s="22">
        <f>'EQUITY BACKTEST'!B727</f>
        <v>1414.2</v>
      </c>
      <c r="C724" s="22">
        <f>1/'EQUITY BACKTEST'!E727</f>
        <v>0.7789375292</v>
      </c>
      <c r="D724" s="22">
        <f t="shared" si="5"/>
        <v>-0.7149384669</v>
      </c>
      <c r="E724" s="22">
        <f t="shared" si="3"/>
        <v>0.001600634588</v>
      </c>
      <c r="F724" s="22">
        <f t="shared" si="6"/>
        <v>0.1284441004</v>
      </c>
      <c r="H724" s="22" t="str">
        <f t="shared" si="4"/>
        <v/>
      </c>
      <c r="I724" s="22" t="str">
        <f t="shared" si="1"/>
        <v>#N/A</v>
      </c>
      <c r="J724" s="22" t="str">
        <f t="shared" si="2"/>
        <v>#N/A</v>
      </c>
      <c r="K724" s="22" t="str">
        <f t="array" ref="K724">IF(H724="Crash",MATCH(TRUE, B725:B822 &gt;= B723, 0),"")</f>
        <v/>
      </c>
    </row>
    <row r="725" ht="15.75" customHeight="1">
      <c r="A725" s="32">
        <f>'EQUITY BACKTEST'!A728</f>
        <v>41222.66667</v>
      </c>
      <c r="B725" s="22">
        <f>'EQUITY BACKTEST'!B728</f>
        <v>1379.85</v>
      </c>
      <c r="C725" s="22">
        <f>1/'EQUITY BACKTEST'!E728</f>
        <v>0.7870297497</v>
      </c>
      <c r="D725" s="22">
        <f t="shared" si="5"/>
        <v>-0.6232209344</v>
      </c>
      <c r="E725" s="22">
        <f t="shared" si="3"/>
        <v>-0.02428935087</v>
      </c>
      <c r="F725" s="22">
        <f t="shared" si="6"/>
        <v>0.09178304387</v>
      </c>
      <c r="H725" s="22" t="str">
        <f t="shared" si="4"/>
        <v/>
      </c>
      <c r="I725" s="22" t="str">
        <f t="shared" si="1"/>
        <v>#N/A</v>
      </c>
      <c r="J725" s="22" t="str">
        <f t="shared" si="2"/>
        <v>#N/A</v>
      </c>
      <c r="K725" s="22" t="str">
        <f t="array" ref="K725">IF(H725="Crash",MATCH(TRUE, B726:B823 &gt;= B724, 0),"")</f>
        <v/>
      </c>
    </row>
    <row r="726" ht="15.75" customHeight="1">
      <c r="A726" s="32">
        <f>'EQUITY BACKTEST'!A729</f>
        <v>41229.66667</v>
      </c>
      <c r="B726" s="22">
        <f>'EQUITY BACKTEST'!B729</f>
        <v>1359.88</v>
      </c>
      <c r="C726" s="22">
        <f>1/'EQUITY BACKTEST'!E729</f>
        <v>0.7847445656</v>
      </c>
      <c r="D726" s="22">
        <f t="shared" si="5"/>
        <v>-0.6688533425</v>
      </c>
      <c r="E726" s="22">
        <f t="shared" si="3"/>
        <v>-0.0144725876</v>
      </c>
      <c r="F726" s="22">
        <f t="shared" si="6"/>
        <v>0.1186443466</v>
      </c>
      <c r="H726" s="22" t="str">
        <f t="shared" si="4"/>
        <v/>
      </c>
      <c r="I726" s="22" t="str">
        <f t="shared" si="1"/>
        <v>#N/A</v>
      </c>
      <c r="J726" s="22" t="str">
        <f t="shared" si="2"/>
        <v>#N/A</v>
      </c>
      <c r="K726" s="22" t="str">
        <f t="array" ref="K726">IF(H726="Crash",MATCH(TRUE, B727:B824 &gt;= B725, 0),"")</f>
        <v/>
      </c>
    </row>
    <row r="727" ht="15.75" customHeight="1">
      <c r="A727" s="32">
        <f>'EQUITY BACKTEST'!A730</f>
        <v>41236.66667</v>
      </c>
      <c r="B727" s="22">
        <f>'EQUITY BACKTEST'!B730</f>
        <v>1409.15</v>
      </c>
      <c r="C727" s="22">
        <f>1/'EQUITY BACKTEST'!E730</f>
        <v>0.7708317274</v>
      </c>
      <c r="D727" s="22">
        <f t="shared" si="5"/>
        <v>-0.6971671111</v>
      </c>
      <c r="E727" s="22">
        <f t="shared" si="3"/>
        <v>0.03623113804</v>
      </c>
      <c r="F727" s="22">
        <f t="shared" si="6"/>
        <v>0.2161788948</v>
      </c>
      <c r="H727" s="22" t="str">
        <f t="shared" si="4"/>
        <v/>
      </c>
      <c r="I727" s="22" t="str">
        <f t="shared" si="1"/>
        <v>#N/A</v>
      </c>
      <c r="J727" s="22" t="str">
        <f t="shared" si="2"/>
        <v>#N/A</v>
      </c>
      <c r="K727" s="22" t="str">
        <f t="array" ref="K727">IF(H727="Crash",MATCH(TRUE, B728:B825 &gt;= B726, 0),"")</f>
        <v/>
      </c>
    </row>
    <row r="728" ht="15.75" customHeight="1">
      <c r="A728" s="32">
        <f>'EQUITY BACKTEST'!A731</f>
        <v>41243.66667</v>
      </c>
      <c r="B728" s="22">
        <f>'EQUITY BACKTEST'!B731</f>
        <v>1416.18</v>
      </c>
      <c r="C728" s="22">
        <f>1/'EQUITY BACKTEST'!E731</f>
        <v>0.7701786815</v>
      </c>
      <c r="D728" s="22">
        <f t="shared" si="5"/>
        <v>-0.7426714849</v>
      </c>
      <c r="E728" s="22">
        <f t="shared" si="3"/>
        <v>0.004988823049</v>
      </c>
      <c r="F728" s="22">
        <f t="shared" si="6"/>
        <v>0.1381521844</v>
      </c>
      <c r="H728" s="22" t="str">
        <f t="shared" si="4"/>
        <v/>
      </c>
      <c r="I728" s="22" t="str">
        <f t="shared" si="1"/>
        <v>#N/A</v>
      </c>
      <c r="J728" s="22" t="str">
        <f t="shared" si="2"/>
        <v>#N/A</v>
      </c>
      <c r="K728" s="22" t="str">
        <f t="array" ref="K728">IF(H728="Crash",MATCH(TRUE, B729:B826 &gt;= B727, 0),"")</f>
        <v/>
      </c>
    </row>
    <row r="729" ht="15.75" customHeight="1">
      <c r="A729" s="32">
        <f>'EQUITY BACKTEST'!A732</f>
        <v>41250.66667</v>
      </c>
      <c r="B729" s="22">
        <f>'EQUITY BACKTEST'!B732</f>
        <v>1418.07</v>
      </c>
      <c r="C729" s="22">
        <f>1/'EQUITY BACKTEST'!E732</f>
        <v>0.7735746886</v>
      </c>
      <c r="D729" s="22">
        <f t="shared" si="5"/>
        <v>-0.8098733039</v>
      </c>
      <c r="E729" s="22">
        <f t="shared" si="3"/>
        <v>0.001334576113</v>
      </c>
      <c r="F729" s="22">
        <f t="shared" si="6"/>
        <v>0.1297652148</v>
      </c>
      <c r="H729" s="22" t="str">
        <f t="shared" si="4"/>
        <v/>
      </c>
      <c r="I729" s="22" t="str">
        <f t="shared" si="1"/>
        <v>#N/A</v>
      </c>
      <c r="J729" s="22" t="str">
        <f t="shared" si="2"/>
        <v>#N/A</v>
      </c>
      <c r="K729" s="22" t="str">
        <f t="array" ref="K729">IF(H729="Crash",MATCH(TRUE, B730:B827 &gt;= B728, 0),"")</f>
        <v/>
      </c>
    </row>
    <row r="730" ht="15.75" customHeight="1">
      <c r="A730" s="32">
        <f>'EQUITY BACKTEST'!A733</f>
        <v>41278.66667</v>
      </c>
      <c r="B730" s="22">
        <f>'EQUITY BACKTEST'!B733</f>
        <v>1466.47</v>
      </c>
      <c r="C730" s="22">
        <f>1/'EQUITY BACKTEST'!E733</f>
        <v>0.7602828252</v>
      </c>
      <c r="D730" s="22">
        <f t="shared" si="5"/>
        <v>-0.8107817635</v>
      </c>
      <c r="E730" s="22">
        <f t="shared" si="3"/>
        <v>0.03413089622</v>
      </c>
      <c r="F730" s="22">
        <f t="shared" si="6"/>
        <v>0.202359674</v>
      </c>
      <c r="H730" s="22" t="str">
        <f t="shared" si="4"/>
        <v/>
      </c>
      <c r="I730" s="22" t="str">
        <f t="shared" si="1"/>
        <v>#N/A</v>
      </c>
      <c r="J730" s="22" t="str">
        <f t="shared" si="2"/>
        <v>#N/A</v>
      </c>
      <c r="K730" s="22" t="str">
        <f t="array" ref="K730">IF(H730="Crash",MATCH(TRUE, B731:B828 &gt;= B729, 0),"")</f>
        <v/>
      </c>
    </row>
    <row r="731" ht="15.75" customHeight="1">
      <c r="A731" s="32">
        <f>'EQUITY BACKTEST'!A734</f>
        <v>41285.66667</v>
      </c>
      <c r="B731" s="22">
        <f>'EQUITY BACKTEST'!B734</f>
        <v>1472.05</v>
      </c>
      <c r="C731" s="22">
        <f>1/'EQUITY BACKTEST'!E734</f>
        <v>0.7582650895</v>
      </c>
      <c r="D731" s="22">
        <f t="shared" si="5"/>
        <v>-0.8655323695</v>
      </c>
      <c r="E731" s="22">
        <f t="shared" si="3"/>
        <v>0.003805055678</v>
      </c>
      <c r="F731" s="22">
        <f t="shared" si="6"/>
        <v>0.1633724009</v>
      </c>
      <c r="H731" s="22" t="str">
        <f t="shared" si="4"/>
        <v/>
      </c>
      <c r="I731" s="22" t="str">
        <f t="shared" si="1"/>
        <v>#N/A</v>
      </c>
      <c r="J731" s="22" t="str">
        <f t="shared" si="2"/>
        <v>#N/A</v>
      </c>
      <c r="K731" s="22" t="str">
        <f t="array" ref="K731">IF(H731="Crash",MATCH(TRUE, B732:B829 &gt;= B730, 0),"")</f>
        <v/>
      </c>
    </row>
    <row r="732" ht="15.75" customHeight="1">
      <c r="A732" s="32">
        <f>'EQUITY BACKTEST'!A735</f>
        <v>41292.66667</v>
      </c>
      <c r="B732" s="22">
        <f>'EQUITY BACKTEST'!B735</f>
        <v>1485.98</v>
      </c>
      <c r="C732" s="22">
        <f>1/'EQUITY BACKTEST'!E735</f>
        <v>0.7567158532</v>
      </c>
      <c r="D732" s="22">
        <f t="shared" si="5"/>
        <v>-0.9417191991</v>
      </c>
      <c r="E732" s="22">
        <f t="shared" si="3"/>
        <v>0.009462993784</v>
      </c>
      <c r="F732" s="22">
        <f t="shared" si="6"/>
        <v>0.1815998728</v>
      </c>
      <c r="H732" s="22" t="str">
        <f t="shared" si="4"/>
        <v/>
      </c>
      <c r="I732" s="22" t="str">
        <f t="shared" si="1"/>
        <v>#N/A</v>
      </c>
      <c r="J732" s="22" t="str">
        <f t="shared" si="2"/>
        <v>#N/A</v>
      </c>
      <c r="K732" s="22" t="str">
        <f t="array" ref="K732">IF(H732="Crash",MATCH(TRUE, B733:B830 &gt;= B731, 0),"")</f>
        <v/>
      </c>
    </row>
    <row r="733" ht="15.75" customHeight="1">
      <c r="A733" s="32">
        <f>'EQUITY BACKTEST'!A736</f>
        <v>41299.66667</v>
      </c>
      <c r="B733" s="22">
        <f>'EQUITY BACKTEST'!B736</f>
        <v>1502.96</v>
      </c>
      <c r="C733" s="22">
        <f>1/'EQUITY BACKTEST'!E736</f>
        <v>0.7652865998</v>
      </c>
      <c r="D733" s="22">
        <f t="shared" si="5"/>
        <v>-0.8895701437</v>
      </c>
      <c r="E733" s="22">
        <f t="shared" si="3"/>
        <v>0.01142680251</v>
      </c>
      <c r="F733" s="22">
        <f t="shared" si="6"/>
        <v>0.1761999045</v>
      </c>
      <c r="H733" s="22" t="str">
        <f t="shared" si="4"/>
        <v/>
      </c>
      <c r="I733" s="22" t="str">
        <f t="shared" si="1"/>
        <v>#N/A</v>
      </c>
      <c r="J733" s="22" t="str">
        <f t="shared" si="2"/>
        <v>#N/A</v>
      </c>
      <c r="K733" s="22" t="str">
        <f t="array" ref="K733">IF(H733="Crash",MATCH(TRUE, B734:B831 &gt;= B732, 0),"")</f>
        <v/>
      </c>
    </row>
    <row r="734" ht="15.75" customHeight="1">
      <c r="A734" s="32">
        <f>'EQUITY BACKTEST'!A737</f>
        <v>41306.66667</v>
      </c>
      <c r="B734" s="22">
        <f>'EQUITY BACKTEST'!B737</f>
        <v>1513.17</v>
      </c>
      <c r="C734" s="22">
        <f>1/'EQUITY BACKTEST'!E737</f>
        <v>0.7496251874</v>
      </c>
      <c r="D734" s="22">
        <f t="shared" si="5"/>
        <v>-0.916966588</v>
      </c>
      <c r="E734" s="22">
        <f t="shared" si="3"/>
        <v>0.006793261298</v>
      </c>
      <c r="F734" s="22">
        <f t="shared" si="6"/>
        <v>0.1738280492</v>
      </c>
      <c r="H734" s="22" t="str">
        <f t="shared" si="4"/>
        <v/>
      </c>
      <c r="I734" s="22" t="str">
        <f t="shared" si="1"/>
        <v>#N/A</v>
      </c>
      <c r="J734" s="22" t="str">
        <f t="shared" si="2"/>
        <v>#N/A</v>
      </c>
      <c r="K734" s="22" t="str">
        <f t="array" ref="K734">IF(H734="Crash",MATCH(TRUE, B735:B832 &gt;= B733, 0),"")</f>
        <v/>
      </c>
    </row>
    <row r="735" ht="15.75" customHeight="1">
      <c r="A735" s="32">
        <f>'EQUITY BACKTEST'!A738</f>
        <v>41313.66667</v>
      </c>
      <c r="B735" s="22">
        <f>'EQUITY BACKTEST'!B738</f>
        <v>1517.93</v>
      </c>
      <c r="C735" s="22">
        <f>1/'EQUITY BACKTEST'!E738</f>
        <v>0.7510890792</v>
      </c>
      <c r="D735" s="22">
        <f t="shared" si="5"/>
        <v>-0.9325336371</v>
      </c>
      <c r="E735" s="22">
        <f t="shared" si="3"/>
        <v>0.003145713965</v>
      </c>
      <c r="F735" s="22">
        <f t="shared" si="6"/>
        <v>0.1539859204</v>
      </c>
      <c r="H735" s="22" t="str">
        <f t="shared" si="4"/>
        <v/>
      </c>
      <c r="I735" s="22" t="str">
        <f t="shared" si="1"/>
        <v>#N/A</v>
      </c>
      <c r="J735" s="22" t="str">
        <f t="shared" si="2"/>
        <v>#N/A</v>
      </c>
      <c r="K735" s="22" t="str">
        <f t="array" ref="K735">IF(H735="Crash",MATCH(TRUE, B736:B833 &gt;= B734, 0),"")</f>
        <v/>
      </c>
    </row>
    <row r="736" ht="15.75" customHeight="1">
      <c r="A736" s="32">
        <f>'EQUITY BACKTEST'!A739</f>
        <v>41320.66667</v>
      </c>
      <c r="B736" s="22">
        <f>'EQUITY BACKTEST'!B739</f>
        <v>1519.79</v>
      </c>
      <c r="C736" s="22">
        <f>1/'EQUITY BACKTEST'!E739</f>
        <v>0.7429420505</v>
      </c>
      <c r="D736" s="22">
        <f t="shared" si="5"/>
        <v>-0.9360037693</v>
      </c>
      <c r="E736" s="22">
        <f t="shared" si="3"/>
        <v>0.001225352948</v>
      </c>
      <c r="F736" s="22">
        <f t="shared" si="6"/>
        <v>0.1545748754</v>
      </c>
      <c r="H736" s="22" t="str">
        <f t="shared" si="4"/>
        <v/>
      </c>
      <c r="I736" s="22" t="str">
        <f t="shared" si="1"/>
        <v>#N/A</v>
      </c>
      <c r="J736" s="22" t="str">
        <f t="shared" si="2"/>
        <v>#N/A</v>
      </c>
      <c r="K736" s="22" t="str">
        <f t="array" ref="K736">IF(H736="Crash",MATCH(TRUE, B737:B834 &gt;= B735, 0),"")</f>
        <v/>
      </c>
    </row>
    <row r="737" ht="15.75" customHeight="1">
      <c r="A737" s="32">
        <f>'EQUITY BACKTEST'!A740</f>
        <v>41327.66667</v>
      </c>
      <c r="B737" s="22">
        <f>'EQUITY BACKTEST'!B740</f>
        <v>1515.6</v>
      </c>
      <c r="C737" s="22">
        <f>1/'EQUITY BACKTEST'!E740</f>
        <v>0.7330303475</v>
      </c>
      <c r="D737" s="22">
        <f t="shared" si="5"/>
        <v>-0.9096498933</v>
      </c>
      <c r="E737" s="22">
        <f t="shared" si="3"/>
        <v>-0.002756959843</v>
      </c>
      <c r="F737" s="22">
        <f t="shared" si="6"/>
        <v>0.1269239349</v>
      </c>
      <c r="H737" s="22" t="str">
        <f t="shared" si="4"/>
        <v/>
      </c>
      <c r="I737" s="22" t="str">
        <f t="shared" si="1"/>
        <v>#N/A</v>
      </c>
      <c r="J737" s="22" t="str">
        <f t="shared" si="2"/>
        <v>#N/A</v>
      </c>
      <c r="K737" s="22" t="str">
        <f t="array" ref="K737">IF(H737="Crash",MATCH(TRUE, B738:B835 &gt;= B736, 0),"")</f>
        <v/>
      </c>
    </row>
    <row r="738" ht="15.75" customHeight="1">
      <c r="A738" s="32">
        <f>'EQUITY BACKTEST'!A741</f>
        <v>41334.66667</v>
      </c>
      <c r="B738" s="22">
        <f>'EQUITY BACKTEST'!B741</f>
        <v>1518.2</v>
      </c>
      <c r="C738" s="22">
        <f>1/'EQUITY BACKTEST'!E741</f>
        <v>0.7483909594</v>
      </c>
      <c r="D738" s="22">
        <f t="shared" si="5"/>
        <v>-0.8942881245</v>
      </c>
      <c r="E738" s="22">
        <f t="shared" si="3"/>
        <v>0.001715492214</v>
      </c>
      <c r="F738" s="22">
        <f t="shared" si="6"/>
        <v>0.1307573139</v>
      </c>
      <c r="H738" s="22" t="str">
        <f t="shared" si="4"/>
        <v/>
      </c>
      <c r="I738" s="22" t="str">
        <f t="shared" si="1"/>
        <v>#N/A</v>
      </c>
      <c r="J738" s="22" t="str">
        <f t="shared" si="2"/>
        <v>#N/A</v>
      </c>
      <c r="K738" s="22" t="str">
        <f t="array" ref="K738">IF(H738="Crash",MATCH(TRUE, B739:B836 &gt;= B737, 0),"")</f>
        <v/>
      </c>
    </row>
    <row r="739" ht="15.75" customHeight="1">
      <c r="A739" s="32">
        <f>'EQUITY BACKTEST'!A742</f>
        <v>41341.66667</v>
      </c>
      <c r="B739" s="22">
        <f>'EQUITY BACKTEST'!B742</f>
        <v>1551.18</v>
      </c>
      <c r="C739" s="22">
        <f>1/'EQUITY BACKTEST'!E742</f>
        <v>0.7483349547</v>
      </c>
      <c r="D739" s="22">
        <f t="shared" si="5"/>
        <v>-0.8301456752</v>
      </c>
      <c r="E739" s="22">
        <f t="shared" si="3"/>
        <v>0.02172309314</v>
      </c>
      <c r="F739" s="22">
        <f t="shared" si="6"/>
        <v>0.1395429134</v>
      </c>
      <c r="H739" s="22" t="str">
        <f t="shared" si="4"/>
        <v/>
      </c>
      <c r="I739" s="22" t="str">
        <f t="shared" si="1"/>
        <v>#N/A</v>
      </c>
      <c r="J739" s="22" t="str">
        <f t="shared" si="2"/>
        <v>#N/A</v>
      </c>
      <c r="K739" s="22" t="str">
        <f t="array" ref="K739">IF(H739="Crash",MATCH(TRUE, B740:B837 &gt;= B738, 0),"")</f>
        <v/>
      </c>
    </row>
    <row r="740" ht="15.75" customHeight="1">
      <c r="A740" s="32">
        <f>'EQUITY BACKTEST'!A743</f>
        <v>41348.66667</v>
      </c>
      <c r="B740" s="22">
        <f>'EQUITY BACKTEST'!B743</f>
        <v>1560.7</v>
      </c>
      <c r="C740" s="22">
        <f>1/'EQUITY BACKTEST'!E743</f>
        <v>0.7580351728</v>
      </c>
      <c r="D740" s="22">
        <f t="shared" si="5"/>
        <v>-0.6847254417</v>
      </c>
      <c r="E740" s="22">
        <f t="shared" si="3"/>
        <v>0.006137263245</v>
      </c>
      <c r="F740" s="22">
        <f t="shared" si="6"/>
        <v>0.1427504503</v>
      </c>
      <c r="H740" s="22" t="str">
        <f t="shared" si="4"/>
        <v/>
      </c>
      <c r="I740" s="22" t="str">
        <f t="shared" si="1"/>
        <v>#N/A</v>
      </c>
      <c r="J740" s="22" t="str">
        <f t="shared" si="2"/>
        <v>#N/A</v>
      </c>
      <c r="K740" s="22" t="str">
        <f t="array" ref="K740">IF(H740="Crash",MATCH(TRUE, B741:B838 &gt;= B739, 0),"")</f>
        <v/>
      </c>
    </row>
    <row r="741" ht="15.75" customHeight="1">
      <c r="A741" s="32">
        <f>'EQUITY BACKTEST'!A744</f>
        <v>41355.66667</v>
      </c>
      <c r="B741" s="22">
        <f>'EQUITY BACKTEST'!B744</f>
        <v>1556.89</v>
      </c>
      <c r="C741" s="22">
        <f>1/'EQUITY BACKTEST'!E744</f>
        <v>0.7681671532</v>
      </c>
      <c r="D741" s="22">
        <f t="shared" si="5"/>
        <v>-0.3869881594</v>
      </c>
      <c r="E741" s="22">
        <f t="shared" si="3"/>
        <v>-0.002441212277</v>
      </c>
      <c r="F741" s="22">
        <f t="shared" si="6"/>
        <v>0.1367230566</v>
      </c>
      <c r="H741" s="22" t="str">
        <f t="shared" si="4"/>
        <v/>
      </c>
      <c r="I741" s="22" t="str">
        <f t="shared" si="1"/>
        <v>#N/A</v>
      </c>
      <c r="J741" s="22" t="str">
        <f t="shared" si="2"/>
        <v>#N/A</v>
      </c>
      <c r="K741" s="22" t="str">
        <f t="array" ref="K741">IF(H741="Crash",MATCH(TRUE, B742:B839 &gt;= B740, 0),"")</f>
        <v/>
      </c>
    </row>
    <row r="742" ht="15.75" customHeight="1">
      <c r="A742" s="32">
        <f>'EQUITY BACKTEST'!A745</f>
        <v>41361.66667</v>
      </c>
      <c r="B742" s="22">
        <f>'EQUITY BACKTEST'!B745</f>
        <v>1569.19</v>
      </c>
      <c r="C742" s="22">
        <f>1/'EQUITY BACKTEST'!E745</f>
        <v>0.768816791</v>
      </c>
      <c r="D742" s="22">
        <f t="shared" si="5"/>
        <v>0.1367644202</v>
      </c>
      <c r="E742" s="22">
        <f t="shared" si="3"/>
        <v>0.007900365472</v>
      </c>
      <c r="F742" s="22">
        <f t="shared" si="6"/>
        <v>0.1446672551</v>
      </c>
      <c r="H742" s="22" t="str">
        <f t="shared" si="4"/>
        <v/>
      </c>
      <c r="I742" s="22" t="str">
        <f t="shared" si="1"/>
        <v>#N/A</v>
      </c>
      <c r="J742" s="22" t="str">
        <f t="shared" si="2"/>
        <v>#N/A</v>
      </c>
      <c r="K742" s="22" t="str">
        <f t="array" ref="K742">IF(H742="Crash",MATCH(TRUE, B743:B840 &gt;= B741, 0),"")</f>
        <v/>
      </c>
    </row>
    <row r="743" ht="15.75" customHeight="1">
      <c r="A743" s="32">
        <f>'EQUITY BACKTEST'!A746</f>
        <v>41369.66667</v>
      </c>
      <c r="B743" s="22">
        <f>'EQUITY BACKTEST'!B746</f>
        <v>1553.28</v>
      </c>
      <c r="C743" s="22">
        <f>1/'EQUITY BACKTEST'!E746</f>
        <v>0.7647013841</v>
      </c>
      <c r="D743" s="22">
        <f t="shared" si="5"/>
        <v>0.3079528504</v>
      </c>
      <c r="E743" s="22">
        <f t="shared" si="3"/>
        <v>-0.01013898891</v>
      </c>
      <c r="F743" s="22">
        <f t="shared" si="6"/>
        <v>0.1061908458</v>
      </c>
      <c r="H743" s="22" t="str">
        <f t="shared" si="4"/>
        <v/>
      </c>
      <c r="I743" s="22" t="str">
        <f t="shared" si="1"/>
        <v>#N/A</v>
      </c>
      <c r="J743" s="22" t="str">
        <f t="shared" si="2"/>
        <v>#N/A</v>
      </c>
      <c r="K743" s="22" t="str">
        <f t="array" ref="K743">IF(H743="Crash",MATCH(TRUE, B744:B841 &gt;= B742, 0),"")</f>
        <v/>
      </c>
    </row>
    <row r="744" ht="15.75" customHeight="1">
      <c r="A744" s="32">
        <f>'EQUITY BACKTEST'!A747</f>
        <v>41376.66667</v>
      </c>
      <c r="B744" s="22">
        <f>'EQUITY BACKTEST'!B747</f>
        <v>1588.85</v>
      </c>
      <c r="C744" s="22">
        <f>1/'EQUITY BACKTEST'!E747</f>
        <v>0.769882208</v>
      </c>
      <c r="D744" s="22">
        <f t="shared" si="5"/>
        <v>0.5357381492</v>
      </c>
      <c r="E744" s="22">
        <f t="shared" si="3"/>
        <v>0.02289992789</v>
      </c>
      <c r="F744" s="22">
        <f t="shared" si="6"/>
        <v>0.1372404463</v>
      </c>
      <c r="H744" s="22" t="str">
        <f t="shared" si="4"/>
        <v/>
      </c>
      <c r="I744" s="22" t="str">
        <f t="shared" si="1"/>
        <v>#N/A</v>
      </c>
      <c r="J744" s="22" t="str">
        <f t="shared" si="2"/>
        <v>#N/A</v>
      </c>
      <c r="K744" s="22" t="str">
        <f t="array" ref="K744">IF(H744="Crash",MATCH(TRUE, B745:B842 &gt;= B743, 0),"")</f>
        <v/>
      </c>
    </row>
    <row r="745" ht="15.75" customHeight="1">
      <c r="A745" s="32">
        <f>'EQUITY BACKTEST'!A748</f>
        <v>41383.66667</v>
      </c>
      <c r="B745" s="22">
        <f>'EQUITY BACKTEST'!B748</f>
        <v>1555.25</v>
      </c>
      <c r="C745" s="22">
        <f>1/'EQUITY BACKTEST'!E748</f>
        <v>0.7800312012</v>
      </c>
      <c r="D745" s="22">
        <f t="shared" si="5"/>
        <v>0.6184431785</v>
      </c>
      <c r="E745" s="22">
        <f t="shared" si="3"/>
        <v>-0.02114737074</v>
      </c>
      <c r="F745" s="22">
        <f t="shared" si="6"/>
        <v>0.1042123723</v>
      </c>
      <c r="H745" s="22" t="str">
        <f t="shared" si="4"/>
        <v/>
      </c>
      <c r="I745" s="22" t="str">
        <f t="shared" si="1"/>
        <v>#N/A</v>
      </c>
      <c r="J745" s="22" t="str">
        <f t="shared" si="2"/>
        <v>#N/A</v>
      </c>
      <c r="K745" s="22" t="str">
        <f t="array" ref="K745">IF(H745="Crash",MATCH(TRUE, B746:B843 &gt;= B744, 0),"")</f>
        <v/>
      </c>
    </row>
    <row r="746" ht="15.75" customHeight="1">
      <c r="A746" s="32">
        <f>'EQUITY BACKTEST'!A749</f>
        <v>41390.66667</v>
      </c>
      <c r="B746" s="22">
        <f>'EQUITY BACKTEST'!B749</f>
        <v>1582.24</v>
      </c>
      <c r="C746" s="22">
        <f>1/'EQUITY BACKTEST'!E749</f>
        <v>0.773933906</v>
      </c>
      <c r="D746" s="22">
        <f t="shared" si="5"/>
        <v>0.8038692607</v>
      </c>
      <c r="E746" s="22">
        <f t="shared" si="3"/>
        <v>0.01735412313</v>
      </c>
      <c r="F746" s="22">
        <f t="shared" si="6"/>
        <v>0.1317235065</v>
      </c>
      <c r="H746" s="22" t="str">
        <f t="shared" si="4"/>
        <v/>
      </c>
      <c r="I746" s="22" t="str">
        <f t="shared" si="1"/>
        <v>#N/A</v>
      </c>
      <c r="J746" s="22" t="str">
        <f t="shared" si="2"/>
        <v>#N/A</v>
      </c>
      <c r="K746" s="22" t="str">
        <f t="array" ref="K746">IF(H746="Crash",MATCH(TRUE, B747:B844 &gt;= B745, 0),"")</f>
        <v/>
      </c>
    </row>
    <row r="747" ht="15.75" customHeight="1">
      <c r="A747" s="32">
        <f>'EQUITY BACKTEST'!A750</f>
        <v>41397.66667</v>
      </c>
      <c r="B747" s="22">
        <f>'EQUITY BACKTEST'!B750</f>
        <v>1614.42</v>
      </c>
      <c r="C747" s="22">
        <f>1/'EQUITY BACKTEST'!E750</f>
        <v>0.7627765065</v>
      </c>
      <c r="D747" s="22">
        <f t="shared" si="5"/>
        <v>0.692860661</v>
      </c>
      <c r="E747" s="22">
        <f t="shared" si="3"/>
        <v>0.02033825463</v>
      </c>
      <c r="F747" s="22">
        <f t="shared" si="6"/>
        <v>0.1781851619</v>
      </c>
      <c r="H747" s="22" t="str">
        <f t="shared" si="4"/>
        <v/>
      </c>
      <c r="I747" s="22" t="str">
        <f t="shared" si="1"/>
        <v>#N/A</v>
      </c>
      <c r="J747" s="22" t="str">
        <f t="shared" si="2"/>
        <v>#N/A</v>
      </c>
      <c r="K747" s="22" t="str">
        <f t="array" ref="K747">IF(H747="Crash",MATCH(TRUE, B748:B845 &gt;= B746, 0),"")</f>
        <v/>
      </c>
    </row>
    <row r="748" ht="15.75" customHeight="1">
      <c r="A748" s="32">
        <f>'EQUITY BACKTEST'!A751</f>
        <v>41404.66667</v>
      </c>
      <c r="B748" s="22">
        <f>'EQUITY BACKTEST'!B751</f>
        <v>1633.7</v>
      </c>
      <c r="C748" s="22">
        <f>1/'EQUITY BACKTEST'!E751</f>
        <v>0.7661661048</v>
      </c>
      <c r="D748" s="22">
        <f t="shared" si="5"/>
        <v>0.620734574</v>
      </c>
      <c r="E748" s="22">
        <f t="shared" si="3"/>
        <v>0.0119423694</v>
      </c>
      <c r="F748" s="22">
        <f t="shared" si="6"/>
        <v>0.185102972</v>
      </c>
      <c r="H748" s="22" t="str">
        <f t="shared" si="4"/>
        <v/>
      </c>
      <c r="I748" s="22" t="str">
        <f t="shared" si="1"/>
        <v>#N/A</v>
      </c>
      <c r="J748" s="22" t="str">
        <f t="shared" si="2"/>
        <v>#N/A</v>
      </c>
      <c r="K748" s="22" t="str">
        <f t="array" ref="K748">IF(H748="Crash",MATCH(TRUE, B749:B846 &gt;= B747, 0),"")</f>
        <v/>
      </c>
    </row>
    <row r="749" ht="15.75" customHeight="1">
      <c r="A749" s="32">
        <f>'EQUITY BACKTEST'!A752</f>
        <v>41411.66667</v>
      </c>
      <c r="B749" s="22">
        <f>'EQUITY BACKTEST'!B752</f>
        <v>1666.12</v>
      </c>
      <c r="C749" s="22">
        <f>1/'EQUITY BACKTEST'!E752</f>
        <v>0.7675186123</v>
      </c>
      <c r="D749" s="22">
        <f t="shared" si="5"/>
        <v>0.5055444011</v>
      </c>
      <c r="E749" s="22">
        <f t="shared" si="3"/>
        <v>0.0198445247</v>
      </c>
      <c r="F749" s="22">
        <f t="shared" si="6"/>
        <v>0.1872363471</v>
      </c>
      <c r="H749" s="22" t="str">
        <f t="shared" si="4"/>
        <v/>
      </c>
      <c r="I749" s="22" t="str">
        <f t="shared" si="1"/>
        <v>#N/A</v>
      </c>
      <c r="J749" s="22" t="str">
        <f t="shared" si="2"/>
        <v>#N/A</v>
      </c>
      <c r="K749" s="22" t="str">
        <f t="array" ref="K749">IF(H749="Crash",MATCH(TRUE, B750:B847 &gt;= B748, 0),"")</f>
        <v/>
      </c>
    </row>
    <row r="750" ht="15.75" customHeight="1">
      <c r="A750" s="32">
        <f>'EQUITY BACKTEST'!A753</f>
        <v>41418.66667</v>
      </c>
      <c r="B750" s="22">
        <f>'EQUITY BACKTEST'!B753</f>
        <v>1649.6</v>
      </c>
      <c r="C750" s="22">
        <f>1/'EQUITY BACKTEST'!E753</f>
        <v>0.7624275694</v>
      </c>
      <c r="D750" s="22">
        <f t="shared" si="5"/>
        <v>0.269020818</v>
      </c>
      <c r="E750" s="22">
        <f t="shared" si="3"/>
        <v>-0.009915252203</v>
      </c>
      <c r="F750" s="22">
        <f t="shared" si="6"/>
        <v>0.2048791177</v>
      </c>
      <c r="H750" s="22" t="str">
        <f t="shared" si="4"/>
        <v/>
      </c>
      <c r="I750" s="22" t="str">
        <f t="shared" si="1"/>
        <v>#N/A</v>
      </c>
      <c r="J750" s="22" t="str">
        <f t="shared" si="2"/>
        <v>#N/A</v>
      </c>
      <c r="K750" s="22" t="str">
        <f t="array" ref="K750">IF(H750="Crash",MATCH(TRUE, B751:B848 &gt;= B749, 0),"")</f>
        <v/>
      </c>
    </row>
    <row r="751" ht="15.75" customHeight="1">
      <c r="A751" s="32">
        <f>'EQUITY BACKTEST'!A754</f>
        <v>41425.66667</v>
      </c>
      <c r="B751" s="22">
        <f>'EQUITY BACKTEST'!B754</f>
        <v>1630.74</v>
      </c>
      <c r="C751" s="22">
        <f>1/'EQUITY BACKTEST'!E754</f>
        <v>0.7697044335</v>
      </c>
      <c r="D751" s="22">
        <f t="shared" si="5"/>
        <v>0.06867636771</v>
      </c>
      <c r="E751" s="22">
        <f t="shared" si="3"/>
        <v>-0.01143307468</v>
      </c>
      <c r="F751" s="22">
        <f t="shared" si="6"/>
        <v>0.2049298428</v>
      </c>
      <c r="H751" s="22" t="str">
        <f t="shared" si="4"/>
        <v/>
      </c>
      <c r="I751" s="22" t="str">
        <f t="shared" si="1"/>
        <v>#N/A</v>
      </c>
      <c r="J751" s="22" t="str">
        <f t="shared" si="2"/>
        <v>#N/A</v>
      </c>
      <c r="K751" s="22" t="str">
        <f t="array" ref="K751">IF(H751="Crash",MATCH(TRUE, B752:B849 &gt;= B750, 0),"")</f>
        <v/>
      </c>
    </row>
    <row r="752" ht="15.75" customHeight="1">
      <c r="A752" s="32">
        <f>'EQUITY BACKTEST'!A755</f>
        <v>41432.66667</v>
      </c>
      <c r="B752" s="22">
        <f>'EQUITY BACKTEST'!B755</f>
        <v>1643.38</v>
      </c>
      <c r="C752" s="22">
        <f>1/'EQUITY BACKTEST'!E755</f>
        <v>0.7789375292</v>
      </c>
      <c r="D752" s="22">
        <f t="shared" si="5"/>
        <v>-0.02346258193</v>
      </c>
      <c r="E752" s="22">
        <f t="shared" si="3"/>
        <v>0.007751082331</v>
      </c>
      <c r="F752" s="22">
        <f t="shared" si="6"/>
        <v>0.2688037553</v>
      </c>
      <c r="H752" s="22" t="str">
        <f t="shared" si="4"/>
        <v/>
      </c>
      <c r="I752" s="22" t="str">
        <f t="shared" si="1"/>
        <v>#N/A</v>
      </c>
      <c r="J752" s="22" t="str">
        <f t="shared" si="2"/>
        <v>#N/A</v>
      </c>
      <c r="K752" s="22" t="str">
        <f t="array" ref="K752">IF(H752="Crash",MATCH(TRUE, B753:B850 &gt;= B751, 0),"")</f>
        <v/>
      </c>
    </row>
    <row r="753" ht="15.75" customHeight="1">
      <c r="A753" s="32">
        <f>'EQUITY BACKTEST'!A756</f>
        <v>41439.66667</v>
      </c>
      <c r="B753" s="22">
        <f>'EQUITY BACKTEST'!B756</f>
        <v>1626.73</v>
      </c>
      <c r="C753" s="22">
        <f>1/'EQUITY BACKTEST'!E756</f>
        <v>0.7733353956</v>
      </c>
      <c r="D753" s="22">
        <f t="shared" si="5"/>
        <v>-0.1671676302</v>
      </c>
      <c r="E753" s="22">
        <f t="shared" si="3"/>
        <v>-0.01013155813</v>
      </c>
      <c r="F753" s="22">
        <f t="shared" si="6"/>
        <v>0.2344098587</v>
      </c>
      <c r="H753" s="22" t="str">
        <f t="shared" si="4"/>
        <v/>
      </c>
      <c r="I753" s="22" t="str">
        <f t="shared" si="1"/>
        <v>#N/A</v>
      </c>
      <c r="J753" s="22" t="str">
        <f t="shared" si="2"/>
        <v>#N/A</v>
      </c>
      <c r="K753" s="22" t="str">
        <f t="array" ref="K753">IF(H753="Crash",MATCH(TRUE, B754:B851 &gt;= B752, 0),"")</f>
        <v/>
      </c>
    </row>
    <row r="754" ht="15.75" customHeight="1">
      <c r="A754" s="32">
        <f>'EQUITY BACKTEST'!A757</f>
        <v>41446.66667</v>
      </c>
      <c r="B754" s="22">
        <f>'EQUITY BACKTEST'!B757</f>
        <v>1592.43</v>
      </c>
      <c r="C754" s="22">
        <f>1/'EQUITY BACKTEST'!E757</f>
        <v>0.7695267411</v>
      </c>
      <c r="D754" s="22">
        <f t="shared" si="5"/>
        <v>-0.2101539689</v>
      </c>
      <c r="E754" s="22">
        <f t="shared" si="3"/>
        <v>-0.02108524463</v>
      </c>
      <c r="F754" s="22">
        <f t="shared" si="6"/>
        <v>0.2459938656</v>
      </c>
      <c r="H754" s="22" t="str">
        <f t="shared" si="4"/>
        <v/>
      </c>
      <c r="I754" s="22" t="str">
        <f t="shared" si="1"/>
        <v>#N/A</v>
      </c>
      <c r="J754" s="22" t="str">
        <f t="shared" si="2"/>
        <v>#N/A</v>
      </c>
      <c r="K754" s="22" t="str">
        <f t="array" ref="K754">IF(H754="Crash",MATCH(TRUE, B755:B852 &gt;= B753, 0),"")</f>
        <v/>
      </c>
    </row>
    <row r="755" ht="15.75" customHeight="1">
      <c r="A755" s="32">
        <f>'EQUITY BACKTEST'!A758</f>
        <v>41453.66667</v>
      </c>
      <c r="B755" s="22">
        <f>'EQUITY BACKTEST'!B758</f>
        <v>1606.28</v>
      </c>
      <c r="C755" s="22">
        <f>1/'EQUITY BACKTEST'!E758</f>
        <v>0.7563152322</v>
      </c>
      <c r="D755" s="22">
        <f t="shared" si="5"/>
        <v>-0.1753994299</v>
      </c>
      <c r="E755" s="22">
        <f t="shared" si="3"/>
        <v>0.008697399572</v>
      </c>
      <c r="F755" s="22">
        <f t="shared" si="6"/>
        <v>0.211683237</v>
      </c>
      <c r="H755" s="22" t="str">
        <f t="shared" si="4"/>
        <v/>
      </c>
      <c r="I755" s="22" t="str">
        <f t="shared" si="1"/>
        <v>#N/A</v>
      </c>
      <c r="J755" s="22" t="str">
        <f t="shared" si="2"/>
        <v>#N/A</v>
      </c>
      <c r="K755" s="22" t="str">
        <f t="array" ref="K755">IF(H755="Crash",MATCH(TRUE, B756:B853 &gt;= B754, 0),"")</f>
        <v/>
      </c>
    </row>
    <row r="756" ht="15.75" customHeight="1">
      <c r="A756" s="32">
        <f>'EQUITY BACKTEST'!A759</f>
        <v>41460.66667</v>
      </c>
      <c r="B756" s="22">
        <f>'EQUITY BACKTEST'!B759</f>
        <v>1631.89</v>
      </c>
      <c r="C756" s="22">
        <f>1/'EQUITY BACKTEST'!E759</f>
        <v>0.7492881762</v>
      </c>
      <c r="D756" s="22">
        <f t="shared" si="5"/>
        <v>-0.3298266877</v>
      </c>
      <c r="E756" s="22">
        <f t="shared" si="3"/>
        <v>0.01594367109</v>
      </c>
      <c r="F756" s="22">
        <f t="shared" si="6"/>
        <v>0.2152527479</v>
      </c>
      <c r="H756" s="22" t="str">
        <f t="shared" si="4"/>
        <v/>
      </c>
      <c r="I756" s="22" t="str">
        <f t="shared" si="1"/>
        <v>#N/A</v>
      </c>
      <c r="J756" s="22" t="str">
        <f t="shared" si="2"/>
        <v>#N/A</v>
      </c>
      <c r="K756" s="22" t="str">
        <f t="array" ref="K756">IF(H756="Crash",MATCH(TRUE, B757:B854 &gt;= B755, 0),"")</f>
        <v/>
      </c>
    </row>
    <row r="757" ht="15.75" customHeight="1">
      <c r="A757" s="32">
        <f>'EQUITY BACKTEST'!A760</f>
        <v>41467.66667</v>
      </c>
      <c r="B757" s="22">
        <f>'EQUITY BACKTEST'!B760</f>
        <v>1680.19</v>
      </c>
      <c r="C757" s="22">
        <f>1/'EQUITY BACKTEST'!E760</f>
        <v>0.7620789514</v>
      </c>
      <c r="D757" s="22">
        <f t="shared" si="5"/>
        <v>-0.3611418187</v>
      </c>
      <c r="E757" s="22">
        <f t="shared" si="3"/>
        <v>0.02959758317</v>
      </c>
      <c r="F757" s="22">
        <f t="shared" si="6"/>
        <v>0.2585504337</v>
      </c>
      <c r="H757" s="22" t="str">
        <f t="shared" si="4"/>
        <v/>
      </c>
      <c r="I757" s="22" t="str">
        <f t="shared" si="1"/>
        <v>#N/A</v>
      </c>
      <c r="J757" s="22" t="str">
        <f t="shared" si="2"/>
        <v>#N/A</v>
      </c>
      <c r="K757" s="22" t="str">
        <f t="array" ref="K757">IF(H757="Crash",MATCH(TRUE, B758:B855 &gt;= B756, 0),"")</f>
        <v/>
      </c>
    </row>
    <row r="758" ht="15.75" customHeight="1">
      <c r="A758" s="32">
        <f>'EQUITY BACKTEST'!A761</f>
        <v>41474.66667</v>
      </c>
      <c r="B758" s="22">
        <f>'EQUITY BACKTEST'!B761</f>
        <v>1692.09</v>
      </c>
      <c r="C758" s="22">
        <f>1/'EQUITY BACKTEST'!E761</f>
        <v>0.7686985933</v>
      </c>
      <c r="D758" s="22">
        <f t="shared" si="5"/>
        <v>-0.05541413277</v>
      </c>
      <c r="E758" s="22">
        <f t="shared" si="3"/>
        <v>0.007082532333</v>
      </c>
      <c r="F758" s="22">
        <f t="shared" si="6"/>
        <v>0.2422109003</v>
      </c>
      <c r="H758" s="22" t="str">
        <f t="shared" si="4"/>
        <v/>
      </c>
      <c r="I758" s="22" t="str">
        <f t="shared" si="1"/>
        <v>#N/A</v>
      </c>
      <c r="J758" s="22" t="str">
        <f t="shared" si="2"/>
        <v>#N/A</v>
      </c>
      <c r="K758" s="22" t="str">
        <f t="array" ref="K758">IF(H758="Crash",MATCH(TRUE, B759:B856 &gt;= B757, 0),"")</f>
        <v/>
      </c>
    </row>
    <row r="759" ht="15.75" customHeight="1">
      <c r="A759" s="32">
        <f>'EQUITY BACKTEST'!A762</f>
        <v>41481.66667</v>
      </c>
      <c r="B759" s="22">
        <f>'EQUITY BACKTEST'!B762</f>
        <v>1691.65</v>
      </c>
      <c r="C759" s="22">
        <f>1/'EQUITY BACKTEST'!E762</f>
        <v>0.7793017456</v>
      </c>
      <c r="D759" s="22">
        <f t="shared" si="5"/>
        <v>0.2945789749</v>
      </c>
      <c r="E759" s="22">
        <f t="shared" si="3"/>
        <v>-0.0002600334498</v>
      </c>
      <c r="F759" s="22">
        <f t="shared" si="6"/>
        <v>0.2487450911</v>
      </c>
      <c r="H759" s="22" t="str">
        <f t="shared" si="4"/>
        <v/>
      </c>
      <c r="I759" s="22" t="str">
        <f t="shared" si="1"/>
        <v>#N/A</v>
      </c>
      <c r="J759" s="22" t="str">
        <f t="shared" si="2"/>
        <v>#N/A</v>
      </c>
      <c r="K759" s="22" t="str">
        <f t="array" ref="K759">IF(H759="Crash",MATCH(TRUE, B760:B857 &gt;= B758, 0),"")</f>
        <v/>
      </c>
    </row>
    <row r="760" ht="15.75" customHeight="1">
      <c r="A760" s="32">
        <f>'EQUITY BACKTEST'!A763</f>
        <v>41488.66667</v>
      </c>
      <c r="B760" s="22">
        <f>'EQUITY BACKTEST'!B763</f>
        <v>1709.67</v>
      </c>
      <c r="C760" s="22">
        <f>1/'EQUITY BACKTEST'!E763</f>
        <v>0.7653451707</v>
      </c>
      <c r="D760" s="22">
        <f t="shared" si="5"/>
        <v>0.2057918616</v>
      </c>
      <c r="E760" s="22">
        <f t="shared" si="3"/>
        <v>0.0106523217</v>
      </c>
      <c r="F760" s="22">
        <f t="shared" si="6"/>
        <v>0.2600937514</v>
      </c>
      <c r="H760" s="22" t="str">
        <f t="shared" si="4"/>
        <v/>
      </c>
      <c r="I760" s="22" t="str">
        <f t="shared" si="1"/>
        <v>#N/A</v>
      </c>
      <c r="J760" s="22" t="str">
        <f t="shared" si="2"/>
        <v>#N/A</v>
      </c>
      <c r="K760" s="22" t="str">
        <f t="array" ref="K760">IF(H760="Crash",MATCH(TRUE, B761:B858 &gt;= B759, 0),"")</f>
        <v/>
      </c>
    </row>
    <row r="761" ht="15.75" customHeight="1">
      <c r="A761" s="32">
        <f>'EQUITY BACKTEST'!A764</f>
        <v>41495.66667</v>
      </c>
      <c r="B761" s="22">
        <f>'EQUITY BACKTEST'!B764</f>
        <v>1691.42</v>
      </c>
      <c r="C761" s="22">
        <f>1/'EQUITY BACKTEST'!E764</f>
        <v>0.7608034084</v>
      </c>
      <c r="D761" s="22">
        <f t="shared" si="5"/>
        <v>0.1316256358</v>
      </c>
      <c r="E761" s="22">
        <f t="shared" si="3"/>
        <v>-0.01067457463</v>
      </c>
      <c r="F761" s="22">
        <f t="shared" si="6"/>
        <v>0.2412634113</v>
      </c>
      <c r="H761" s="22" t="str">
        <f t="shared" si="4"/>
        <v/>
      </c>
      <c r="I761" s="22" t="str">
        <f t="shared" si="1"/>
        <v>#N/A</v>
      </c>
      <c r="J761" s="22" t="str">
        <f t="shared" si="2"/>
        <v>#N/A</v>
      </c>
      <c r="K761" s="22" t="str">
        <f t="array" ref="K761">IF(H761="Crash",MATCH(TRUE, B762:B859 &gt;= B760, 0),"")</f>
        <v/>
      </c>
    </row>
    <row r="762" ht="15.75" customHeight="1">
      <c r="A762" s="32">
        <f>'EQUITY BACKTEST'!A765</f>
        <v>41502.66667</v>
      </c>
      <c r="B762" s="22">
        <f>'EQUITY BACKTEST'!B765</f>
        <v>1655.83</v>
      </c>
      <c r="C762" s="22">
        <f>1/'EQUITY BACKTEST'!E765</f>
        <v>0.7531254707</v>
      </c>
      <c r="D762" s="22">
        <f t="shared" si="5"/>
        <v>0.1120496866</v>
      </c>
      <c r="E762" s="22">
        <f t="shared" si="3"/>
        <v>-0.02104149176</v>
      </c>
      <c r="F762" s="22">
        <f t="shared" si="6"/>
        <v>0.1947083992</v>
      </c>
      <c r="H762" s="22" t="str">
        <f t="shared" si="4"/>
        <v/>
      </c>
      <c r="I762" s="22" t="str">
        <f t="shared" si="1"/>
        <v>#N/A</v>
      </c>
      <c r="J762" s="22" t="str">
        <f t="shared" si="2"/>
        <v>#N/A</v>
      </c>
      <c r="K762" s="22" t="str">
        <f t="array" ref="K762">IF(H762="Crash",MATCH(TRUE, B763:B860 &gt;= B761, 0),"")</f>
        <v/>
      </c>
    </row>
    <row r="763" ht="15.75" customHeight="1">
      <c r="A763" s="32">
        <f>'EQUITY BACKTEST'!A766</f>
        <v>41509.66667</v>
      </c>
      <c r="B763" s="22">
        <f>'EQUITY BACKTEST'!B766</f>
        <v>1663.5</v>
      </c>
      <c r="C763" s="22">
        <f>1/'EQUITY BACKTEST'!E766</f>
        <v>0.7529553497</v>
      </c>
      <c r="D763" s="22">
        <f t="shared" si="5"/>
        <v>0.07722888794</v>
      </c>
      <c r="E763" s="22">
        <f t="shared" si="3"/>
        <v>0.004632118031</v>
      </c>
      <c r="F763" s="22">
        <f t="shared" si="6"/>
        <v>0.1959108261</v>
      </c>
      <c r="H763" s="22" t="str">
        <f t="shared" si="4"/>
        <v/>
      </c>
      <c r="I763" s="22" t="str">
        <f t="shared" si="1"/>
        <v>#N/A</v>
      </c>
      <c r="J763" s="22" t="str">
        <f t="shared" si="2"/>
        <v>#N/A</v>
      </c>
      <c r="K763" s="22" t="str">
        <f t="array" ref="K763">IF(H763="Crash",MATCH(TRUE, B764:B861 &gt;= B762, 0),"")</f>
        <v/>
      </c>
    </row>
    <row r="764" ht="15.75" customHeight="1">
      <c r="A764" s="32">
        <f>'EQUITY BACKTEST'!A767</f>
        <v>41516.66667</v>
      </c>
      <c r="B764" s="22">
        <f>'EQUITY BACKTEST'!B767</f>
        <v>1632.97</v>
      </c>
      <c r="C764" s="22">
        <f>1/'EQUITY BACKTEST'!E767</f>
        <v>0.7495689978</v>
      </c>
      <c r="D764" s="22">
        <f t="shared" si="5"/>
        <v>0.172338893</v>
      </c>
      <c r="E764" s="22">
        <f t="shared" si="3"/>
        <v>-0.01835287045</v>
      </c>
      <c r="F764" s="22">
        <f t="shared" si="6"/>
        <v>0.1615369842</v>
      </c>
      <c r="H764" s="22" t="str">
        <f t="shared" si="4"/>
        <v/>
      </c>
      <c r="I764" s="22" t="str">
        <f t="shared" si="1"/>
        <v>#N/A</v>
      </c>
      <c r="J764" s="22" t="str">
        <f t="shared" si="2"/>
        <v>#N/A</v>
      </c>
      <c r="K764" s="22" t="str">
        <f t="array" ref="K764">IF(H764="Crash",MATCH(TRUE, B765:B862 &gt;= B763, 0),"")</f>
        <v/>
      </c>
    </row>
    <row r="765" ht="15.75" customHeight="1">
      <c r="A765" s="32">
        <f>'EQUITY BACKTEST'!A768</f>
        <v>41523.66667</v>
      </c>
      <c r="B765" s="22">
        <f>'EQUITY BACKTEST'!B768</f>
        <v>1655.17</v>
      </c>
      <c r="C765" s="22">
        <f>1/'EQUITY BACKTEST'!E768</f>
        <v>0.7502438292</v>
      </c>
      <c r="D765" s="22">
        <f t="shared" si="5"/>
        <v>0.2341989611</v>
      </c>
      <c r="E765" s="22">
        <f t="shared" si="3"/>
        <v>0.0135948609</v>
      </c>
      <c r="F765" s="22">
        <f t="shared" si="6"/>
        <v>0.1671250071</v>
      </c>
      <c r="H765" s="22" t="str">
        <f t="shared" si="4"/>
        <v/>
      </c>
      <c r="I765" s="22" t="str">
        <f t="shared" si="1"/>
        <v>#N/A</v>
      </c>
      <c r="J765" s="22" t="str">
        <f t="shared" si="2"/>
        <v>#N/A</v>
      </c>
      <c r="K765" s="22" t="str">
        <f t="array" ref="K765">IF(H765="Crash",MATCH(TRUE, B766:B863 &gt;= B764, 0),"")</f>
        <v/>
      </c>
    </row>
    <row r="766" ht="15.75" customHeight="1">
      <c r="A766" s="32">
        <f>'EQUITY BACKTEST'!A769</f>
        <v>41530.66667</v>
      </c>
      <c r="B766" s="22">
        <f>'EQUITY BACKTEST'!B769</f>
        <v>1687.99</v>
      </c>
      <c r="C766" s="22">
        <f>1/'EQUITY BACKTEST'!E769</f>
        <v>0.7473283013</v>
      </c>
      <c r="D766" s="22">
        <f t="shared" si="5"/>
        <v>0.2524472219</v>
      </c>
      <c r="E766" s="22">
        <f t="shared" si="3"/>
        <v>0.01982877892</v>
      </c>
      <c r="F766" s="22">
        <f t="shared" si="6"/>
        <v>0.1961973737</v>
      </c>
      <c r="H766" s="22" t="str">
        <f t="shared" si="4"/>
        <v/>
      </c>
      <c r="I766" s="22" t="str">
        <f t="shared" si="1"/>
        <v>#N/A</v>
      </c>
      <c r="J766" s="22" t="str">
        <f t="shared" si="2"/>
        <v>#N/A</v>
      </c>
      <c r="K766" s="22" t="str">
        <f t="array" ref="K766">IF(H766="Crash",MATCH(TRUE, B767:B864 &gt;= B765, 0),"")</f>
        <v/>
      </c>
    </row>
    <row r="767" ht="15.75" customHeight="1">
      <c r="A767" s="32">
        <f>'EQUITY BACKTEST'!A770</f>
        <v>41537.66667</v>
      </c>
      <c r="B767" s="22">
        <f>'EQUITY BACKTEST'!B770</f>
        <v>1709.91</v>
      </c>
      <c r="C767" s="22">
        <f>1/'EQUITY BACKTEST'!E770</f>
        <v>0.7563152322</v>
      </c>
      <c r="D767" s="22">
        <f t="shared" si="5"/>
        <v>0.5063623518</v>
      </c>
      <c r="E767" s="22">
        <f t="shared" si="3"/>
        <v>0.01298585892</v>
      </c>
      <c r="F767" s="22">
        <f t="shared" si="6"/>
        <v>0.2156507273</v>
      </c>
      <c r="H767" s="22" t="str">
        <f t="shared" si="4"/>
        <v/>
      </c>
      <c r="I767" s="22" t="str">
        <f t="shared" si="1"/>
        <v>#N/A</v>
      </c>
      <c r="J767" s="22" t="str">
        <f t="shared" si="2"/>
        <v>#N/A</v>
      </c>
      <c r="K767" s="22" t="str">
        <f t="array" ref="K767">IF(H767="Crash",MATCH(TRUE, B768:B865 &gt;= B766, 0),"")</f>
        <v/>
      </c>
    </row>
    <row r="768" ht="15.75" customHeight="1">
      <c r="A768" s="32">
        <f>'EQUITY BACKTEST'!A771</f>
        <v>41544.66667</v>
      </c>
      <c r="B768" s="22">
        <f>'EQUITY BACKTEST'!B771</f>
        <v>1691.75</v>
      </c>
      <c r="C768" s="22">
        <f>1/'EQUITY BACKTEST'!E771</f>
        <v>0.7587829122</v>
      </c>
      <c r="D768" s="22">
        <f t="shared" si="5"/>
        <v>0.5904005705</v>
      </c>
      <c r="E768" s="22">
        <f t="shared" si="3"/>
        <v>-0.01062044201</v>
      </c>
      <c r="F768" s="22">
        <f t="shared" si="6"/>
        <v>0.1765258151</v>
      </c>
      <c r="H768" s="22" t="str">
        <f t="shared" si="4"/>
        <v/>
      </c>
      <c r="I768" s="22" t="str">
        <f t="shared" si="1"/>
        <v>#N/A</v>
      </c>
      <c r="J768" s="22" t="str">
        <f t="shared" si="2"/>
        <v>#N/A</v>
      </c>
      <c r="K768" s="22" t="str">
        <f t="array" ref="K768">IF(H768="Crash",MATCH(TRUE, B769:B866 &gt;= B767, 0),"")</f>
        <v/>
      </c>
    </row>
    <row r="769" ht="15.75" customHeight="1">
      <c r="A769" s="32">
        <f>'EQUITY BACKTEST'!A772</f>
        <v>41551.66667</v>
      </c>
      <c r="B769" s="22">
        <f>'EQUITY BACKTEST'!B772</f>
        <v>1690.5</v>
      </c>
      <c r="C769" s="22">
        <f>1/'EQUITY BACKTEST'!E772</f>
        <v>0.7519927809</v>
      </c>
      <c r="D769" s="22">
        <f t="shared" si="5"/>
        <v>0.4986436647</v>
      </c>
      <c r="E769" s="22">
        <f t="shared" si="3"/>
        <v>-0.0007388798581</v>
      </c>
      <c r="F769" s="22">
        <f t="shared" si="6"/>
        <v>0.1533187335</v>
      </c>
      <c r="H769" s="22" t="str">
        <f t="shared" si="4"/>
        <v/>
      </c>
      <c r="I769" s="22" t="str">
        <f t="shared" si="1"/>
        <v>#N/A</v>
      </c>
      <c r="J769" s="22" t="str">
        <f t="shared" si="2"/>
        <v>#N/A</v>
      </c>
      <c r="K769" s="22" t="str">
        <f t="array" ref="K769">IF(H769="Crash",MATCH(TRUE, B770:B867 &gt;= B768, 0),"")</f>
        <v/>
      </c>
    </row>
    <row r="770" ht="15.75" customHeight="1">
      <c r="A770" s="32">
        <f>'EQUITY BACKTEST'!A773</f>
        <v>41558.66667</v>
      </c>
      <c r="B770" s="22">
        <f>'EQUITY BACKTEST'!B773</f>
        <v>1703.2</v>
      </c>
      <c r="C770" s="22">
        <f>1/'EQUITY BACKTEST'!E773</f>
        <v>0.7394808844</v>
      </c>
      <c r="D770" s="22">
        <f t="shared" si="5"/>
        <v>0.2935460636</v>
      </c>
      <c r="E770" s="22">
        <f t="shared" si="3"/>
        <v>0.007512570245</v>
      </c>
      <c r="F770" s="22">
        <f t="shared" si="6"/>
        <v>0.1664555011</v>
      </c>
      <c r="H770" s="22" t="str">
        <f t="shared" si="4"/>
        <v/>
      </c>
      <c r="I770" s="22" t="str">
        <f t="shared" si="1"/>
        <v>#N/A</v>
      </c>
      <c r="J770" s="22" t="str">
        <f t="shared" si="2"/>
        <v>#N/A</v>
      </c>
      <c r="K770" s="22" t="str">
        <f t="array" ref="K770">IF(H770="Crash",MATCH(TRUE, B771:B868 &gt;= B769, 0),"")</f>
        <v/>
      </c>
    </row>
    <row r="771" ht="15.75" customHeight="1">
      <c r="A771" s="32">
        <f>'EQUITY BACKTEST'!A774</f>
        <v>41565.66667</v>
      </c>
      <c r="B771" s="22">
        <f>'EQUITY BACKTEST'!B774</f>
        <v>1744.5</v>
      </c>
      <c r="C771" s="22">
        <f>1/'EQUITY BACKTEST'!E774</f>
        <v>0.7394262053</v>
      </c>
      <c r="D771" s="22">
        <f t="shared" si="5"/>
        <v>-0.05263983517</v>
      </c>
      <c r="E771" s="22">
        <f t="shared" si="3"/>
        <v>0.02424847346</v>
      </c>
      <c r="F771" s="22">
        <f t="shared" si="6"/>
        <v>0.2108949308</v>
      </c>
      <c r="H771" s="22" t="str">
        <f t="shared" si="4"/>
        <v/>
      </c>
      <c r="I771" s="22" t="str">
        <f t="shared" si="1"/>
        <v>#N/A</v>
      </c>
      <c r="J771" s="22" t="str">
        <f t="shared" si="2"/>
        <v>#N/A</v>
      </c>
      <c r="K771" s="22" t="str">
        <f t="array" ref="K771">IF(H771="Crash",MATCH(TRUE, B772:B869 &gt;= B770, 0),"")</f>
        <v/>
      </c>
    </row>
    <row r="772" ht="15.75" customHeight="1">
      <c r="A772" s="32">
        <f>'EQUITY BACKTEST'!A775</f>
        <v>41572.66667</v>
      </c>
      <c r="B772" s="22">
        <f>'EQUITY BACKTEST'!B775</f>
        <v>1759.77</v>
      </c>
      <c r="C772" s="22">
        <f>1/'EQUITY BACKTEST'!E775</f>
        <v>0.7376263185</v>
      </c>
      <c r="D772" s="22">
        <f t="shared" si="5"/>
        <v>-0.3630427993</v>
      </c>
      <c r="E772" s="22">
        <f t="shared" si="3"/>
        <v>0.00875322442</v>
      </c>
      <c r="F772" s="22">
        <f t="shared" si="6"/>
        <v>0.204554633</v>
      </c>
      <c r="H772" s="22" t="str">
        <f t="shared" si="4"/>
        <v/>
      </c>
      <c r="I772" s="22" t="str">
        <f t="shared" si="1"/>
        <v>#N/A</v>
      </c>
      <c r="J772" s="22" t="str">
        <f t="shared" si="2"/>
        <v>#N/A</v>
      </c>
      <c r="K772" s="22" t="str">
        <f t="array" ref="K772">IF(H772="Crash",MATCH(TRUE, B773:B870 &gt;= B771, 0),"")</f>
        <v/>
      </c>
    </row>
    <row r="773" ht="15.75" customHeight="1">
      <c r="A773" s="32">
        <f>'EQUITY BACKTEST'!A776</f>
        <v>41579.66667</v>
      </c>
      <c r="B773" s="22">
        <f>'EQUITY BACKTEST'!B776</f>
        <v>1761.64</v>
      </c>
      <c r="C773" s="22">
        <f>1/'EQUITY BACKTEST'!E776</f>
        <v>0.7384978953</v>
      </c>
      <c r="D773" s="22">
        <f t="shared" si="5"/>
        <v>-0.6066729734</v>
      </c>
      <c r="E773" s="22">
        <f t="shared" si="3"/>
        <v>0.001062638868</v>
      </c>
      <c r="F773" s="22">
        <f t="shared" si="6"/>
        <v>0.2331319693</v>
      </c>
      <c r="H773" s="22" t="str">
        <f t="shared" si="4"/>
        <v/>
      </c>
      <c r="I773" s="22" t="str">
        <f t="shared" si="1"/>
        <v>#N/A</v>
      </c>
      <c r="J773" s="22" t="str">
        <f t="shared" si="2"/>
        <v>#N/A</v>
      </c>
      <c r="K773" s="22" t="str">
        <f t="array" ref="K773">IF(H773="Crash",MATCH(TRUE, B774:B871 &gt;= B772, 0),"")</f>
        <v/>
      </c>
    </row>
    <row r="774" ht="15.75" customHeight="1">
      <c r="A774" s="32">
        <f>'EQUITY BACKTEST'!A777</f>
        <v>41586.66667</v>
      </c>
      <c r="B774" s="22">
        <f>'EQUITY BACKTEST'!B777</f>
        <v>1770.61</v>
      </c>
      <c r="C774" s="22">
        <f>1/'EQUITY BACKTEST'!E777</f>
        <v>0.7308872972</v>
      </c>
      <c r="D774" s="22">
        <f t="shared" si="5"/>
        <v>-0.7432063408</v>
      </c>
      <c r="E774" s="22">
        <f t="shared" si="3"/>
        <v>0.005091846234</v>
      </c>
      <c r="F774" s="22">
        <f t="shared" si="6"/>
        <v>0.2354328456</v>
      </c>
      <c r="H774" s="22" t="str">
        <f t="shared" si="4"/>
        <v/>
      </c>
      <c r="I774" s="22" t="str">
        <f t="shared" si="1"/>
        <v>#N/A</v>
      </c>
      <c r="J774" s="22" t="str">
        <f t="shared" si="2"/>
        <v>#N/A</v>
      </c>
      <c r="K774" s="22" t="str">
        <f t="array" ref="K774">IF(H774="Crash",MATCH(TRUE, B775:B872 &gt;= B773, 0),"")</f>
        <v/>
      </c>
    </row>
    <row r="775" ht="15.75" customHeight="1">
      <c r="A775" s="32">
        <f>'EQUITY BACKTEST'!A778</f>
        <v>41593.66667</v>
      </c>
      <c r="B775" s="22">
        <f>'EQUITY BACKTEST'!B778</f>
        <v>1798.18</v>
      </c>
      <c r="C775" s="22">
        <f>1/'EQUITY BACKTEST'!E778</f>
        <v>0.7244277021</v>
      </c>
      <c r="D775" s="22">
        <f t="shared" si="5"/>
        <v>-0.8055276883</v>
      </c>
      <c r="E775" s="22">
        <f t="shared" si="3"/>
        <v>0.01557090494</v>
      </c>
      <c r="F775" s="22">
        <f t="shared" si="6"/>
        <v>0.2735527005</v>
      </c>
      <c r="H775" s="22" t="str">
        <f t="shared" si="4"/>
        <v/>
      </c>
      <c r="I775" s="22" t="str">
        <f t="shared" si="1"/>
        <v>#N/A</v>
      </c>
      <c r="J775" s="22" t="str">
        <f t="shared" si="2"/>
        <v>#N/A</v>
      </c>
      <c r="K775" s="22" t="str">
        <f t="array" ref="K775">IF(H775="Crash",MATCH(TRUE, B776:B873 &gt;= B774, 0),"")</f>
        <v/>
      </c>
    </row>
    <row r="776" ht="15.75" customHeight="1">
      <c r="A776" s="32">
        <f>'EQUITY BACKTEST'!A779</f>
        <v>41600.66667</v>
      </c>
      <c r="B776" s="22">
        <f>'EQUITY BACKTEST'!B779</f>
        <v>1804.76</v>
      </c>
      <c r="C776" s="22">
        <f>1/'EQUITY BACKTEST'!E779</f>
        <v>0.7414547342</v>
      </c>
      <c r="D776" s="22">
        <f t="shared" si="5"/>
        <v>-0.7321208933</v>
      </c>
      <c r="E776" s="22">
        <f t="shared" si="3"/>
        <v>0.003659255469</v>
      </c>
      <c r="F776" s="22">
        <f t="shared" si="6"/>
        <v>0.2761702729</v>
      </c>
      <c r="H776" s="22" t="str">
        <f t="shared" si="4"/>
        <v/>
      </c>
      <c r="I776" s="22" t="str">
        <f t="shared" si="1"/>
        <v>#N/A</v>
      </c>
      <c r="J776" s="22" t="str">
        <f t="shared" si="2"/>
        <v>#N/A</v>
      </c>
      <c r="K776" s="22" t="str">
        <f t="array" ref="K776">IF(H776="Crash",MATCH(TRUE, B777:B874 &gt;= B775, 0),"")</f>
        <v/>
      </c>
    </row>
    <row r="777" ht="15.75" customHeight="1">
      <c r="A777" s="32">
        <f>'EQUITY BACKTEST'!A780</f>
        <v>41607.66667</v>
      </c>
      <c r="B777" s="22">
        <f>'EQUITY BACKTEST'!B780</f>
        <v>1805.81</v>
      </c>
      <c r="C777" s="22">
        <f>1/'EQUITY BACKTEST'!E780</f>
        <v>0.7480550569</v>
      </c>
      <c r="D777" s="22">
        <f t="shared" si="5"/>
        <v>-0.6254979081</v>
      </c>
      <c r="E777" s="22">
        <f t="shared" si="3"/>
        <v>0.0005817948093</v>
      </c>
      <c r="F777" s="22">
        <f t="shared" si="6"/>
        <v>0.308700221</v>
      </c>
      <c r="H777" s="22" t="str">
        <f t="shared" si="4"/>
        <v/>
      </c>
      <c r="I777" s="22" t="str">
        <f t="shared" si="1"/>
        <v>#N/A</v>
      </c>
      <c r="J777" s="22" t="str">
        <f t="shared" si="2"/>
        <v>#N/A</v>
      </c>
      <c r="K777" s="22" t="str">
        <f t="array" ref="K777">IF(H777="Crash",MATCH(TRUE, B778:B875 &gt;= B776, 0),"")</f>
        <v/>
      </c>
    </row>
    <row r="778" ht="15.75" customHeight="1">
      <c r="A778" s="32">
        <f>'EQUITY BACKTEST'!A781</f>
        <v>41614.66667</v>
      </c>
      <c r="B778" s="22">
        <f>'EQUITY BACKTEST'!B781</f>
        <v>1805.09</v>
      </c>
      <c r="C778" s="22">
        <f>1/'EQUITY BACKTEST'!E781</f>
        <v>0.7410151908</v>
      </c>
      <c r="D778" s="22">
        <f t="shared" si="5"/>
        <v>-0.5912917469</v>
      </c>
      <c r="E778" s="22">
        <f t="shared" si="3"/>
        <v>-0.0003987130429</v>
      </c>
      <c r="F778" s="22">
        <f t="shared" si="6"/>
        <v>0.3273891814</v>
      </c>
      <c r="H778" s="22" t="str">
        <f t="shared" si="4"/>
        <v/>
      </c>
      <c r="I778" s="22" t="str">
        <f t="shared" si="1"/>
        <v>#N/A</v>
      </c>
      <c r="J778" s="22" t="str">
        <f t="shared" si="2"/>
        <v>#N/A</v>
      </c>
      <c r="K778" s="22" t="str">
        <f t="array" ref="K778">IF(H778="Crash",MATCH(TRUE, B779:B876 &gt;= B777, 0),"")</f>
        <v/>
      </c>
    </row>
    <row r="779" ht="15.75" customHeight="1">
      <c r="A779" s="32">
        <f>'EQUITY BACKTEST'!A782</f>
        <v>41621.66667</v>
      </c>
      <c r="B779" s="22">
        <f>'EQUITY BACKTEST'!B782</f>
        <v>1775.32</v>
      </c>
      <c r="C779" s="22">
        <f>1/'EQUITY BACKTEST'!E782</f>
        <v>0.7376807318</v>
      </c>
      <c r="D779" s="22">
        <f t="shared" si="5"/>
        <v>-0.5946495952</v>
      </c>
      <c r="E779" s="22">
        <f t="shared" si="3"/>
        <v>-0.01649225246</v>
      </c>
      <c r="F779" s="22">
        <f t="shared" si="6"/>
        <v>0.2598516836</v>
      </c>
      <c r="H779" s="22" t="str">
        <f t="shared" si="4"/>
        <v/>
      </c>
      <c r="I779" s="22" t="str">
        <f t="shared" si="1"/>
        <v>#N/A</v>
      </c>
      <c r="J779" s="22" t="str">
        <f t="shared" si="2"/>
        <v>#N/A</v>
      </c>
      <c r="K779" s="22" t="str">
        <f t="array" ref="K779">IF(H779="Crash",MATCH(TRUE, B780:B877 &gt;= B778, 0),"")</f>
        <v/>
      </c>
    </row>
    <row r="780" ht="15.75" customHeight="1">
      <c r="A780" s="32">
        <f>'EQUITY BACKTEST'!A783</f>
        <v>41628.66667</v>
      </c>
      <c r="B780" s="22">
        <f>'EQUITY BACKTEST'!B783</f>
        <v>1818.31</v>
      </c>
      <c r="C780" s="22">
        <f>1/'EQUITY BACKTEST'!E783</f>
        <v>0.7357268982</v>
      </c>
      <c r="D780" s="22">
        <f t="shared" si="5"/>
        <v>-0.5507258954</v>
      </c>
      <c r="E780" s="22">
        <f t="shared" si="3"/>
        <v>0.02421535273</v>
      </c>
      <c r="F780" s="22">
        <f t="shared" si="6"/>
        <v>0.2839540171</v>
      </c>
      <c r="H780" s="22" t="str">
        <f t="shared" si="4"/>
        <v/>
      </c>
      <c r="I780" s="22" t="str">
        <f t="shared" si="1"/>
        <v>#N/A</v>
      </c>
      <c r="J780" s="22" t="str">
        <f t="shared" si="2"/>
        <v>#N/A</v>
      </c>
      <c r="K780" s="22" t="str">
        <f t="array" ref="K780">IF(H780="Crash",MATCH(TRUE, B781:B878 &gt;= B779, 0),"")</f>
        <v/>
      </c>
    </row>
    <row r="781" ht="15.75" customHeight="1">
      <c r="A781" s="32">
        <f>'EQUITY BACKTEST'!A784</f>
        <v>41635.66667</v>
      </c>
      <c r="B781" s="22">
        <f>'EQUITY BACKTEST'!B784</f>
        <v>1841.4</v>
      </c>
      <c r="C781" s="22">
        <f>1/'EQUITY BACKTEST'!E784</f>
        <v>0.7297672043</v>
      </c>
      <c r="D781" s="22">
        <f t="shared" si="5"/>
        <v>-0.4599280578</v>
      </c>
      <c r="E781" s="22">
        <f t="shared" si="3"/>
        <v>0.01269860475</v>
      </c>
      <c r="F781" s="22">
        <f t="shared" si="6"/>
        <v>0.2985254607</v>
      </c>
      <c r="H781" s="22" t="str">
        <f t="shared" si="4"/>
        <v/>
      </c>
      <c r="I781" s="22" t="str">
        <f t="shared" si="1"/>
        <v>#N/A</v>
      </c>
      <c r="J781" s="22" t="str">
        <f t="shared" si="2"/>
        <v>#N/A</v>
      </c>
      <c r="K781" s="22" t="str">
        <f t="array" ref="K781">IF(H781="Crash",MATCH(TRUE, B782:B879 &gt;= B780, 0),"")</f>
        <v/>
      </c>
    </row>
    <row r="782" ht="15.75" customHeight="1">
      <c r="A782" s="32">
        <f>'EQUITY BACKTEST'!A785</f>
        <v>41642.66667</v>
      </c>
      <c r="B782" s="22">
        <f>'EQUITY BACKTEST'!B785</f>
        <v>1831.37</v>
      </c>
      <c r="C782" s="22">
        <f>1/'EQUITY BACKTEST'!E785</f>
        <v>0.7277490721</v>
      </c>
      <c r="D782" s="22">
        <f t="shared" si="5"/>
        <v>-0.3046407566</v>
      </c>
      <c r="E782" s="22">
        <f t="shared" si="3"/>
        <v>-0.005446942544</v>
      </c>
      <c r="F782" s="22">
        <f t="shared" si="6"/>
        <v>0.2488288202</v>
      </c>
      <c r="H782" s="22" t="str">
        <f t="shared" si="4"/>
        <v/>
      </c>
      <c r="I782" s="22" t="str">
        <f t="shared" si="1"/>
        <v>#N/A</v>
      </c>
      <c r="J782" s="22" t="str">
        <f t="shared" si="2"/>
        <v>#N/A</v>
      </c>
      <c r="K782" s="22" t="str">
        <f t="array" ref="K782">IF(H782="Crash",MATCH(TRUE, B783:B880 &gt;= B781, 0),"")</f>
        <v/>
      </c>
    </row>
    <row r="783" ht="15.75" customHeight="1">
      <c r="A783" s="32">
        <f>'EQUITY BACKTEST'!A786</f>
        <v>41649.66667</v>
      </c>
      <c r="B783" s="22">
        <f>'EQUITY BACKTEST'!B786</f>
        <v>1842.37</v>
      </c>
      <c r="C783" s="22">
        <f>1/'EQUITY BACKTEST'!E786</f>
        <v>0.7314753859</v>
      </c>
      <c r="D783" s="22">
        <f t="shared" si="5"/>
        <v>-0.3284647782</v>
      </c>
      <c r="E783" s="22">
        <f t="shared" si="3"/>
        <v>0.006006432343</v>
      </c>
      <c r="F783" s="22">
        <f t="shared" si="6"/>
        <v>0.2515675419</v>
      </c>
      <c r="H783" s="22" t="str">
        <f t="shared" si="4"/>
        <v/>
      </c>
      <c r="I783" s="22" t="str">
        <f t="shared" si="1"/>
        <v>#N/A</v>
      </c>
      <c r="J783" s="22" t="str">
        <f t="shared" si="2"/>
        <v>#N/A</v>
      </c>
      <c r="K783" s="22" t="str">
        <f t="array" ref="K783">IF(H783="Crash",MATCH(TRUE, B784:B881 &gt;= B782, 0),"")</f>
        <v/>
      </c>
    </row>
    <row r="784" ht="15.75" customHeight="1">
      <c r="A784" s="32">
        <f>'EQUITY BACKTEST'!A787</f>
        <v>41656.66667</v>
      </c>
      <c r="B784" s="22">
        <f>'EQUITY BACKTEST'!B787</f>
        <v>1838.7</v>
      </c>
      <c r="C784" s="22">
        <f>1/'EQUITY BACKTEST'!E787</f>
        <v>0.7277490721</v>
      </c>
      <c r="D784" s="22">
        <f t="shared" si="5"/>
        <v>-0.3614294854</v>
      </c>
      <c r="E784" s="22">
        <f t="shared" si="3"/>
        <v>-0.001991999436</v>
      </c>
      <c r="F784" s="22">
        <f t="shared" si="6"/>
        <v>0.2373652404</v>
      </c>
      <c r="H784" s="22" t="str">
        <f t="shared" si="4"/>
        <v/>
      </c>
      <c r="I784" s="22" t="str">
        <f t="shared" si="1"/>
        <v>#N/A</v>
      </c>
      <c r="J784" s="22" t="str">
        <f t="shared" si="2"/>
        <v>#N/A</v>
      </c>
      <c r="K784" s="22" t="str">
        <f t="array" ref="K784">IF(H784="Crash",MATCH(TRUE, B785:B882 &gt;= B783, 0),"")</f>
        <v/>
      </c>
    </row>
    <row r="785" ht="15.75" customHeight="1">
      <c r="A785" s="32">
        <f>'EQUITY BACKTEST'!A788</f>
        <v>41663.66667</v>
      </c>
      <c r="B785" s="22">
        <f>'EQUITY BACKTEST'!B788</f>
        <v>1790.29</v>
      </c>
      <c r="C785" s="22">
        <f>1/'EQUITY BACKTEST'!E788</f>
        <v>0.7359976448</v>
      </c>
      <c r="D785" s="22">
        <f t="shared" si="5"/>
        <v>-0.3480417753</v>
      </c>
      <c r="E785" s="22">
        <f t="shared" si="3"/>
        <v>-0.02632838418</v>
      </c>
      <c r="F785" s="22">
        <f t="shared" si="6"/>
        <v>0.1911760792</v>
      </c>
      <c r="H785" s="22" t="str">
        <f t="shared" si="4"/>
        <v/>
      </c>
      <c r="I785" s="22" t="str">
        <f t="shared" si="1"/>
        <v>#N/A</v>
      </c>
      <c r="J785" s="22" t="str">
        <f t="shared" si="2"/>
        <v>#N/A</v>
      </c>
      <c r="K785" s="22" t="str">
        <f t="array" ref="K785">IF(H785="Crash",MATCH(TRUE, B786:B883 &gt;= B784, 0),"")</f>
        <v/>
      </c>
    </row>
    <row r="786" ht="15.75" customHeight="1">
      <c r="A786" s="32">
        <f>'EQUITY BACKTEST'!A789</f>
        <v>41670.66667</v>
      </c>
      <c r="B786" s="22">
        <f>'EQUITY BACKTEST'!B789</f>
        <v>1782.59</v>
      </c>
      <c r="C786" s="22">
        <f>1/'EQUITY BACKTEST'!E789</f>
        <v>0.7315288954</v>
      </c>
      <c r="D786" s="22">
        <f t="shared" si="5"/>
        <v>-0.2543860162</v>
      </c>
      <c r="E786" s="22">
        <f t="shared" si="3"/>
        <v>-0.004300979171</v>
      </c>
      <c r="F786" s="22">
        <f t="shared" si="6"/>
        <v>0.1780500539</v>
      </c>
      <c r="H786" s="22" t="str">
        <f t="shared" si="4"/>
        <v/>
      </c>
      <c r="I786" s="22" t="str">
        <f t="shared" si="1"/>
        <v>#N/A</v>
      </c>
      <c r="J786" s="22" t="str">
        <f t="shared" si="2"/>
        <v>#N/A</v>
      </c>
      <c r="K786" s="22" t="str">
        <f t="array" ref="K786">IF(H786="Crash",MATCH(TRUE, B787:B884 &gt;= B785, 0),"")</f>
        <v/>
      </c>
    </row>
    <row r="787" ht="15.75" customHeight="1">
      <c r="A787" s="32">
        <f>'EQUITY BACKTEST'!A790</f>
        <v>41677.66667</v>
      </c>
      <c r="B787" s="22">
        <f>'EQUITY BACKTEST'!B790</f>
        <v>1797.02</v>
      </c>
      <c r="C787" s="22">
        <f>1/'EQUITY BACKTEST'!E790</f>
        <v>0.7385524372</v>
      </c>
      <c r="D787" s="22">
        <f t="shared" si="5"/>
        <v>-0.3820210809</v>
      </c>
      <c r="E787" s="22">
        <f t="shared" si="3"/>
        <v>0.008094962947</v>
      </c>
      <c r="F787" s="22">
        <f t="shared" si="6"/>
        <v>0.1838622334</v>
      </c>
      <c r="H787" s="22" t="str">
        <f t="shared" si="4"/>
        <v/>
      </c>
      <c r="I787" s="22" t="str">
        <f t="shared" si="1"/>
        <v>#N/A</v>
      </c>
      <c r="J787" s="22" t="str">
        <f t="shared" si="2"/>
        <v>#N/A</v>
      </c>
      <c r="K787" s="22" t="str">
        <f t="array" ref="K787">IF(H787="Crash",MATCH(TRUE, B788:B885 &gt;= B786, 0),"")</f>
        <v/>
      </c>
    </row>
    <row r="788" ht="15.75" customHeight="1">
      <c r="A788" s="32">
        <f>'EQUITY BACKTEST'!A791</f>
        <v>41684.66667</v>
      </c>
      <c r="B788" s="22">
        <f>'EQUITY BACKTEST'!B791</f>
        <v>1838.63</v>
      </c>
      <c r="C788" s="22">
        <f>1/'EQUITY BACKTEST'!E791</f>
        <v>0.731261426</v>
      </c>
      <c r="D788" s="22">
        <f t="shared" si="5"/>
        <v>-0.5459716994</v>
      </c>
      <c r="E788" s="22">
        <f t="shared" si="3"/>
        <v>0.02315500106</v>
      </c>
      <c r="F788" s="22">
        <f t="shared" si="6"/>
        <v>0.2097921423</v>
      </c>
      <c r="H788" s="22" t="str">
        <f t="shared" si="4"/>
        <v/>
      </c>
      <c r="I788" s="22" t="str">
        <f t="shared" si="1"/>
        <v>#N/A</v>
      </c>
      <c r="J788" s="22" t="str">
        <f t="shared" si="2"/>
        <v>#N/A</v>
      </c>
      <c r="K788" s="22" t="str">
        <f t="array" ref="K788">IF(H788="Crash",MATCH(TRUE, B789:B886 &gt;= B787, 0),"")</f>
        <v/>
      </c>
    </row>
    <row r="789" ht="15.75" customHeight="1">
      <c r="A789" s="32">
        <f>'EQUITY BACKTEST'!A792</f>
        <v>41691.66667</v>
      </c>
      <c r="B789" s="22">
        <f>'EQUITY BACKTEST'!B792</f>
        <v>1836.25</v>
      </c>
      <c r="C789" s="22">
        <f>1/'EQUITY BACKTEST'!E792</f>
        <v>0.7414547342</v>
      </c>
      <c r="D789" s="22">
        <f t="shared" si="5"/>
        <v>-0.4194678696</v>
      </c>
      <c r="E789" s="22">
        <f t="shared" si="3"/>
        <v>-0.001294442057</v>
      </c>
      <c r="F789" s="22">
        <f t="shared" si="6"/>
        <v>0.2115663764</v>
      </c>
      <c r="H789" s="22" t="str">
        <f t="shared" si="4"/>
        <v/>
      </c>
      <c r="I789" s="22" t="str">
        <f t="shared" si="1"/>
        <v>#N/A</v>
      </c>
      <c r="J789" s="22" t="str">
        <f t="shared" si="2"/>
        <v>#N/A</v>
      </c>
      <c r="K789" s="22" t="str">
        <f t="array" ref="K789">IF(H789="Crash",MATCH(TRUE, B790:B887 &gt;= B788, 0),"")</f>
        <v/>
      </c>
    </row>
    <row r="790" ht="15.75" customHeight="1">
      <c r="A790" s="32">
        <f>'EQUITY BACKTEST'!A793</f>
        <v>41698.66667</v>
      </c>
      <c r="B790" s="22">
        <f>'EQUITY BACKTEST'!B793</f>
        <v>1859.45</v>
      </c>
      <c r="C790" s="22">
        <f>1/'EQUITY BACKTEST'!E793</f>
        <v>0.7334604665</v>
      </c>
      <c r="D790" s="22">
        <f t="shared" si="5"/>
        <v>-0.4182167543</v>
      </c>
      <c r="E790" s="22">
        <f t="shared" si="3"/>
        <v>0.0126344452</v>
      </c>
      <c r="F790" s="22">
        <f t="shared" si="6"/>
        <v>0.2247727572</v>
      </c>
      <c r="H790" s="22" t="str">
        <f t="shared" si="4"/>
        <v/>
      </c>
      <c r="I790" s="22" t="str">
        <f t="shared" si="1"/>
        <v>#N/A</v>
      </c>
      <c r="J790" s="22" t="str">
        <f t="shared" si="2"/>
        <v>#N/A</v>
      </c>
      <c r="K790" s="22" t="str">
        <f t="array" ref="K790">IF(H790="Crash",MATCH(TRUE, B791:B888 &gt;= B789, 0),"")</f>
        <v/>
      </c>
    </row>
    <row r="791" ht="15.75" customHeight="1">
      <c r="A791" s="32">
        <f>'EQUITY BACKTEST'!A794</f>
        <v>41705.66667</v>
      </c>
      <c r="B791" s="22">
        <f>'EQUITY BACKTEST'!B794</f>
        <v>1878.04</v>
      </c>
      <c r="C791" s="22">
        <f>1/'EQUITY BACKTEST'!E794</f>
        <v>0.7304068366</v>
      </c>
      <c r="D791" s="22">
        <f t="shared" si="5"/>
        <v>-0.432377375</v>
      </c>
      <c r="E791" s="22">
        <f t="shared" si="3"/>
        <v>0.00999757993</v>
      </c>
      <c r="F791" s="22">
        <f t="shared" si="6"/>
        <v>0.2107170025</v>
      </c>
      <c r="H791" s="22" t="str">
        <f t="shared" si="4"/>
        <v/>
      </c>
      <c r="I791" s="22" t="str">
        <f t="shared" si="1"/>
        <v>#N/A</v>
      </c>
      <c r="J791" s="22" t="str">
        <f t="shared" si="2"/>
        <v>#N/A</v>
      </c>
      <c r="K791" s="22" t="str">
        <f t="array" ref="K791">IF(H791="Crash",MATCH(TRUE, B792:B889 &gt;= B790, 0),"")</f>
        <v/>
      </c>
    </row>
    <row r="792" ht="15.75" customHeight="1">
      <c r="A792" s="32">
        <f>'EQUITY BACKTEST'!A795</f>
        <v>41712.66667</v>
      </c>
      <c r="B792" s="22">
        <f>'EQUITY BACKTEST'!B795</f>
        <v>1841.13</v>
      </c>
      <c r="C792" s="22">
        <f>1/'EQUITY BACKTEST'!E795</f>
        <v>0.7278550113</v>
      </c>
      <c r="D792" s="22">
        <f t="shared" si="5"/>
        <v>-0.3574907534</v>
      </c>
      <c r="E792" s="22">
        <f t="shared" si="3"/>
        <v>-0.01965346851</v>
      </c>
      <c r="F792" s="22">
        <f t="shared" si="6"/>
        <v>0.1796821939</v>
      </c>
      <c r="H792" s="22" t="str">
        <f t="shared" si="4"/>
        <v/>
      </c>
      <c r="I792" s="22" t="str">
        <f t="shared" si="1"/>
        <v>#N/A</v>
      </c>
      <c r="J792" s="22" t="str">
        <f t="shared" si="2"/>
        <v>#N/A</v>
      </c>
      <c r="K792" s="22" t="str">
        <f t="array" ref="K792">IF(H792="Crash",MATCH(TRUE, B793:B890 &gt;= B791, 0),"")</f>
        <v/>
      </c>
    </row>
    <row r="793" ht="15.75" customHeight="1">
      <c r="A793" s="32">
        <f>'EQUITY BACKTEST'!A796</f>
        <v>41719.66667</v>
      </c>
      <c r="B793" s="22">
        <f>'EQUITY BACKTEST'!B796</f>
        <v>1866.4</v>
      </c>
      <c r="C793" s="22">
        <f>1/'EQUITY BACKTEST'!E796</f>
        <v>0.7246376812</v>
      </c>
      <c r="D793" s="22">
        <f t="shared" si="5"/>
        <v>-0.4376837436</v>
      </c>
      <c r="E793" s="22">
        <f t="shared" si="3"/>
        <v>0.01372526655</v>
      </c>
      <c r="F793" s="22">
        <f t="shared" si="6"/>
        <v>0.1988001721</v>
      </c>
      <c r="H793" s="22" t="str">
        <f t="shared" si="4"/>
        <v/>
      </c>
      <c r="I793" s="22" t="str">
        <f t="shared" si="1"/>
        <v>#N/A</v>
      </c>
      <c r="J793" s="22" t="str">
        <f t="shared" si="2"/>
        <v>#N/A</v>
      </c>
      <c r="K793" s="22" t="str">
        <f t="array" ref="K793">IF(H793="Crash",MATCH(TRUE, B794:B891 &gt;= B792, 0),"")</f>
        <v/>
      </c>
    </row>
    <row r="794" ht="15.75" customHeight="1">
      <c r="A794" s="32">
        <f>'EQUITY BACKTEST'!A797</f>
        <v>41726.66667</v>
      </c>
      <c r="B794" s="22">
        <f>'EQUITY BACKTEST'!B797</f>
        <v>1857.62</v>
      </c>
      <c r="C794" s="22">
        <f>1/'EQUITY BACKTEST'!E797</f>
        <v>0.7205130053</v>
      </c>
      <c r="D794" s="22">
        <f t="shared" si="5"/>
        <v>-0.4771473302</v>
      </c>
      <c r="E794" s="22">
        <f t="shared" si="3"/>
        <v>-0.004704243463</v>
      </c>
      <c r="F794" s="22">
        <f t="shared" si="6"/>
        <v>0.1838082068</v>
      </c>
      <c r="H794" s="22" t="str">
        <f t="shared" si="4"/>
        <v/>
      </c>
      <c r="I794" s="22" t="str">
        <f t="shared" si="1"/>
        <v>#N/A</v>
      </c>
      <c r="J794" s="22" t="str">
        <f t="shared" si="2"/>
        <v>#N/A</v>
      </c>
      <c r="K794" s="22" t="str">
        <f t="array" ref="K794">IF(H794="Crash",MATCH(TRUE, B795:B892 &gt;= B793, 0),"")</f>
        <v/>
      </c>
    </row>
    <row r="795" ht="15.75" customHeight="1">
      <c r="A795" s="32">
        <f>'EQUITY BACKTEST'!A798</f>
        <v>41733.66667</v>
      </c>
      <c r="B795" s="22">
        <f>'EQUITY BACKTEST'!B798</f>
        <v>1865.09</v>
      </c>
      <c r="C795" s="22">
        <f>1/'EQUITY BACKTEST'!E798</f>
        <v>0.7187005893</v>
      </c>
      <c r="D795" s="22">
        <f t="shared" si="5"/>
        <v>-0.5441749726</v>
      </c>
      <c r="E795" s="22">
        <f t="shared" si="3"/>
        <v>0.004021274534</v>
      </c>
      <c r="F795" s="22">
        <f t="shared" si="6"/>
        <v>0.200742944</v>
      </c>
      <c r="H795" s="22" t="str">
        <f t="shared" si="4"/>
        <v/>
      </c>
      <c r="I795" s="22" t="str">
        <f t="shared" si="1"/>
        <v>#N/A</v>
      </c>
      <c r="J795" s="22" t="str">
        <f t="shared" si="2"/>
        <v>#N/A</v>
      </c>
      <c r="K795" s="22" t="str">
        <f t="array" ref="K795">IF(H795="Crash",MATCH(TRUE, B796:B893 &gt;= B794, 0),"")</f>
        <v/>
      </c>
    </row>
    <row r="796" ht="15.75" customHeight="1">
      <c r="A796" s="32">
        <f>'EQUITY BACKTEST'!A799</f>
        <v>41740.66667</v>
      </c>
      <c r="B796" s="22">
        <f>'EQUITY BACKTEST'!B799</f>
        <v>1815.69</v>
      </c>
      <c r="C796" s="22">
        <f>1/'EQUITY BACKTEST'!E799</f>
        <v>0.7247952453</v>
      </c>
      <c r="D796" s="22">
        <f t="shared" si="5"/>
        <v>-0.479963223</v>
      </c>
      <c r="E796" s="22">
        <f t="shared" si="3"/>
        <v>-0.02648665748</v>
      </c>
      <c r="F796" s="22">
        <f t="shared" si="6"/>
        <v>0.1427699279</v>
      </c>
      <c r="H796" s="22" t="str">
        <f t="shared" si="4"/>
        <v/>
      </c>
      <c r="I796" s="22" t="str">
        <f t="shared" si="1"/>
        <v>#N/A</v>
      </c>
      <c r="J796" s="22" t="str">
        <f t="shared" si="2"/>
        <v>#N/A</v>
      </c>
      <c r="K796" s="22" t="str">
        <f t="array" ref="K796">IF(H796="Crash",MATCH(TRUE, B797:B894 &gt;= B795, 0),"")</f>
        <v/>
      </c>
    </row>
    <row r="797" ht="15.75" customHeight="1">
      <c r="A797" s="32">
        <f>'EQUITY BACKTEST'!A800</f>
        <v>41746.66667</v>
      </c>
      <c r="B797" s="22">
        <f>'EQUITY BACKTEST'!B800</f>
        <v>1864.85</v>
      </c>
      <c r="C797" s="22">
        <f>1/'EQUITY BACKTEST'!E800</f>
        <v>0.7271669575</v>
      </c>
      <c r="D797" s="22">
        <f t="shared" si="5"/>
        <v>-0.4898814905</v>
      </c>
      <c r="E797" s="22">
        <f t="shared" si="3"/>
        <v>0.02707510643</v>
      </c>
      <c r="F797" s="22">
        <f t="shared" si="6"/>
        <v>0.199067674</v>
      </c>
      <c r="H797" s="22" t="str">
        <f t="shared" si="4"/>
        <v/>
      </c>
      <c r="I797" s="22" t="str">
        <f t="shared" si="1"/>
        <v>#N/A</v>
      </c>
      <c r="J797" s="22" t="str">
        <f t="shared" si="2"/>
        <v>#N/A</v>
      </c>
      <c r="K797" s="22" t="str">
        <f t="array" ref="K797">IF(H797="Crash",MATCH(TRUE, B798:B895 &gt;= B796, 0),"")</f>
        <v/>
      </c>
    </row>
    <row r="798" ht="15.75" customHeight="1">
      <c r="A798" s="32">
        <f>'EQUITY BACKTEST'!A801</f>
        <v>41754.66667</v>
      </c>
      <c r="B798" s="22">
        <f>'EQUITY BACKTEST'!B801</f>
        <v>1863.4</v>
      </c>
      <c r="C798" s="22">
        <f>1/'EQUITY BACKTEST'!E801</f>
        <v>0.7296607078</v>
      </c>
      <c r="D798" s="22">
        <f t="shared" si="5"/>
        <v>-0.4111290937</v>
      </c>
      <c r="E798" s="22">
        <f t="shared" si="3"/>
        <v>-0.0007775424297</v>
      </c>
      <c r="F798" s="22">
        <f t="shared" si="6"/>
        <v>0.1776974416</v>
      </c>
      <c r="H798" s="22" t="str">
        <f t="shared" si="4"/>
        <v/>
      </c>
      <c r="I798" s="22" t="str">
        <f t="shared" si="1"/>
        <v>#N/A</v>
      </c>
      <c r="J798" s="22" t="str">
        <f t="shared" si="2"/>
        <v>#N/A</v>
      </c>
      <c r="K798" s="22" t="str">
        <f t="array" ref="K798">IF(H798="Crash",MATCH(TRUE, B799:B896 &gt;= B797, 0),"")</f>
        <v/>
      </c>
    </row>
    <row r="799" ht="15.75" customHeight="1">
      <c r="A799" s="32">
        <f>'EQUITY BACKTEST'!A802</f>
        <v>41761.66667</v>
      </c>
      <c r="B799" s="22">
        <f>'EQUITY BACKTEST'!B802</f>
        <v>1881.14</v>
      </c>
      <c r="C799" s="22">
        <f>1/'EQUITY BACKTEST'!E802</f>
        <v>0.7202535292</v>
      </c>
      <c r="D799" s="22">
        <f t="shared" si="5"/>
        <v>-0.5171498193</v>
      </c>
      <c r="E799" s="22">
        <f t="shared" si="3"/>
        <v>0.009520231834</v>
      </c>
      <c r="F799" s="22">
        <f t="shared" si="6"/>
        <v>0.1652110355</v>
      </c>
      <c r="H799" s="22" t="str">
        <f t="shared" si="4"/>
        <v/>
      </c>
      <c r="I799" s="22" t="str">
        <f t="shared" si="1"/>
        <v>#N/A</v>
      </c>
      <c r="J799" s="22" t="str">
        <f t="shared" si="2"/>
        <v>#N/A</v>
      </c>
      <c r="K799" s="22" t="str">
        <f t="array" ref="K799">IF(H799="Crash",MATCH(TRUE, B800:B897 &gt;= B798, 0),"")</f>
        <v/>
      </c>
    </row>
    <row r="800" ht="15.75" customHeight="1">
      <c r="A800" s="32">
        <f>'EQUITY BACKTEST'!A803</f>
        <v>41768.66667</v>
      </c>
      <c r="B800" s="22">
        <f>'EQUITY BACKTEST'!B803</f>
        <v>1878.48</v>
      </c>
      <c r="C800" s="22">
        <f>1/'EQUITY BACKTEST'!E803</f>
        <v>0.7239032865</v>
      </c>
      <c r="D800" s="22">
        <f t="shared" si="5"/>
        <v>-0.3600736132</v>
      </c>
      <c r="E800" s="22">
        <f t="shared" si="3"/>
        <v>-0.00141403617</v>
      </c>
      <c r="F800" s="22">
        <f t="shared" si="6"/>
        <v>0.1498316704</v>
      </c>
      <c r="H800" s="22" t="str">
        <f t="shared" si="4"/>
        <v/>
      </c>
      <c r="I800" s="22" t="str">
        <f t="shared" si="1"/>
        <v>#N/A</v>
      </c>
      <c r="J800" s="22" t="str">
        <f t="shared" si="2"/>
        <v>#N/A</v>
      </c>
      <c r="K800" s="22" t="str">
        <f t="array" ref="K800">IF(H800="Crash",MATCH(TRUE, B801:B898 &gt;= B799, 0),"")</f>
        <v/>
      </c>
    </row>
    <row r="801" ht="15.75" customHeight="1">
      <c r="A801" s="32">
        <f>'EQUITY BACKTEST'!A804</f>
        <v>41775.66667</v>
      </c>
      <c r="B801" s="22">
        <f>'EQUITY BACKTEST'!B804</f>
        <v>1877.86</v>
      </c>
      <c r="C801" s="22">
        <f>1/'EQUITY BACKTEST'!E804</f>
        <v>0.7229089858</v>
      </c>
      <c r="D801" s="22">
        <f t="shared" si="5"/>
        <v>-0.3547479443</v>
      </c>
      <c r="E801" s="22">
        <f t="shared" si="3"/>
        <v>-0.0003300540863</v>
      </c>
      <c r="F801" s="22">
        <f t="shared" si="6"/>
        <v>0.1270856841</v>
      </c>
      <c r="H801" s="22" t="str">
        <f t="shared" si="4"/>
        <v/>
      </c>
      <c r="I801" s="22" t="str">
        <f t="shared" si="1"/>
        <v>#N/A</v>
      </c>
      <c r="J801" s="22" t="str">
        <f t="shared" si="2"/>
        <v>#N/A</v>
      </c>
      <c r="K801" s="22" t="str">
        <f t="array" ref="K801">IF(H801="Crash",MATCH(TRUE, B802:B899 &gt;= B800, 0),"")</f>
        <v/>
      </c>
    </row>
    <row r="802" ht="15.75" customHeight="1">
      <c r="A802" s="32">
        <f>'EQUITY BACKTEST'!A805</f>
        <v>41782.66667</v>
      </c>
      <c r="B802" s="22">
        <f>'EQUITY BACKTEST'!B805</f>
        <v>1900.53</v>
      </c>
      <c r="C802" s="22">
        <f>1/'EQUITY BACKTEST'!E805</f>
        <v>0.7209805335</v>
      </c>
      <c r="D802" s="22">
        <f t="shared" si="5"/>
        <v>-0.2448226251</v>
      </c>
      <c r="E802" s="22">
        <f t="shared" si="3"/>
        <v>0.01207225246</v>
      </c>
      <c r="F802" s="22">
        <f t="shared" si="6"/>
        <v>0.1521156644</v>
      </c>
      <c r="H802" s="22" t="str">
        <f t="shared" si="4"/>
        <v/>
      </c>
      <c r="I802" s="22" t="str">
        <f t="shared" si="1"/>
        <v>#N/A</v>
      </c>
      <c r="J802" s="22" t="str">
        <f t="shared" si="2"/>
        <v>#N/A</v>
      </c>
      <c r="K802" s="22" t="str">
        <f t="array" ref="K802">IF(H802="Crash",MATCH(TRUE, B803:B900 &gt;= B801, 0),"")</f>
        <v/>
      </c>
    </row>
    <row r="803" ht="15.75" customHeight="1">
      <c r="A803" s="32">
        <f>'EQUITY BACKTEST'!A806</f>
        <v>41789.66667</v>
      </c>
      <c r="B803" s="22">
        <f>'EQUITY BACKTEST'!B806</f>
        <v>1923.57</v>
      </c>
      <c r="C803" s="22">
        <f>1/'EQUITY BACKTEST'!E806</f>
        <v>0.7267970056</v>
      </c>
      <c r="D803" s="22">
        <f t="shared" si="5"/>
        <v>-0.0726746209</v>
      </c>
      <c r="E803" s="22">
        <f t="shared" si="3"/>
        <v>0.01212293413</v>
      </c>
      <c r="F803" s="22">
        <f t="shared" si="6"/>
        <v>0.1795687847</v>
      </c>
      <c r="H803" s="22" t="str">
        <f t="shared" si="4"/>
        <v/>
      </c>
      <c r="I803" s="22" t="str">
        <f t="shared" si="1"/>
        <v>#N/A</v>
      </c>
      <c r="J803" s="22" t="str">
        <f t="shared" si="2"/>
        <v>#N/A</v>
      </c>
      <c r="K803" s="22" t="str">
        <f t="array" ref="K803">IF(H803="Crash",MATCH(TRUE, B804:B901 &gt;= B802, 0),"")</f>
        <v/>
      </c>
    </row>
    <row r="804" ht="15.75" customHeight="1">
      <c r="A804" s="32">
        <f>'EQUITY BACKTEST'!A807</f>
        <v>41796.66667</v>
      </c>
      <c r="B804" s="22">
        <f>'EQUITY BACKTEST'!B807</f>
        <v>1949.44</v>
      </c>
      <c r="C804" s="22">
        <f>1/'EQUITY BACKTEST'!E807</f>
        <v>0.7302468234</v>
      </c>
      <c r="D804" s="22">
        <f t="shared" si="5"/>
        <v>0.2127822335</v>
      </c>
      <c r="E804" s="22">
        <f t="shared" si="3"/>
        <v>0.01344895169</v>
      </c>
      <c r="F804" s="22">
        <f t="shared" si="6"/>
        <v>0.186238119</v>
      </c>
      <c r="H804" s="22" t="str">
        <f t="shared" si="4"/>
        <v/>
      </c>
      <c r="I804" s="22" t="str">
        <f t="shared" si="1"/>
        <v>#N/A</v>
      </c>
      <c r="J804" s="22" t="str">
        <f t="shared" si="2"/>
        <v>#N/A</v>
      </c>
      <c r="K804" s="22" t="str">
        <f t="array" ref="K804">IF(H804="Crash",MATCH(TRUE, B805:B902 &gt;= B803, 0),"")</f>
        <v/>
      </c>
    </row>
    <row r="805" ht="15.75" customHeight="1">
      <c r="A805" s="32">
        <f>'EQUITY BACKTEST'!A808</f>
        <v>41803.66667</v>
      </c>
      <c r="B805" s="22">
        <f>'EQUITY BACKTEST'!B808</f>
        <v>1936.16</v>
      </c>
      <c r="C805" s="22">
        <f>1/'EQUITY BACKTEST'!E808</f>
        <v>0.7338910906</v>
      </c>
      <c r="D805" s="22">
        <f t="shared" si="5"/>
        <v>0.4957497151</v>
      </c>
      <c r="E805" s="22">
        <f t="shared" si="3"/>
        <v>-0.006812212738</v>
      </c>
      <c r="F805" s="22">
        <f t="shared" si="6"/>
        <v>0.1902159547</v>
      </c>
      <c r="H805" s="22" t="str">
        <f t="shared" si="4"/>
        <v/>
      </c>
      <c r="I805" s="22" t="str">
        <f t="shared" si="1"/>
        <v>#N/A</v>
      </c>
      <c r="J805" s="22" t="str">
        <f t="shared" si="2"/>
        <v>#N/A</v>
      </c>
      <c r="K805" s="22" t="str">
        <f t="array" ref="K805">IF(H805="Crash",MATCH(TRUE, B806:B903 &gt;= B804, 0),"")</f>
        <v/>
      </c>
    </row>
    <row r="806" ht="15.75" customHeight="1">
      <c r="A806" s="32">
        <f>'EQUITY BACKTEST'!A809</f>
        <v>41810.66667</v>
      </c>
      <c r="B806" s="22">
        <f>'EQUITY BACKTEST'!B809</f>
        <v>1962.87</v>
      </c>
      <c r="C806" s="22">
        <f>1/'EQUITY BACKTEST'!E809</f>
        <v>0.7336757153</v>
      </c>
      <c r="D806" s="22">
        <f t="shared" si="5"/>
        <v>0.6205351714</v>
      </c>
      <c r="E806" s="22">
        <f t="shared" si="3"/>
        <v>0.01379534749</v>
      </c>
      <c r="F806" s="22">
        <f t="shared" si="6"/>
        <v>0.2326256099</v>
      </c>
      <c r="H806" s="22" t="str">
        <f t="shared" si="4"/>
        <v/>
      </c>
      <c r="I806" s="22" t="str">
        <f t="shared" si="1"/>
        <v>#N/A</v>
      </c>
      <c r="J806" s="22" t="str">
        <f t="shared" si="2"/>
        <v>#N/A</v>
      </c>
      <c r="K806" s="22" t="str">
        <f t="array" ref="K806">IF(H806="Crash",MATCH(TRUE, B807:B904 &gt;= B805, 0),"")</f>
        <v/>
      </c>
    </row>
    <row r="807" ht="15.75" customHeight="1">
      <c r="A807" s="32">
        <f>'EQUITY BACKTEST'!A810</f>
        <v>41817.66667</v>
      </c>
      <c r="B807" s="22">
        <f>'EQUITY BACKTEST'!B810</f>
        <v>1960.96</v>
      </c>
      <c r="C807" s="22">
        <f>1/'EQUITY BACKTEST'!E810</f>
        <v>0.7330840847</v>
      </c>
      <c r="D807" s="22">
        <f t="shared" si="5"/>
        <v>0.6555280654</v>
      </c>
      <c r="E807" s="22">
        <f t="shared" si="3"/>
        <v>-0.0009730649508</v>
      </c>
      <c r="F807" s="22">
        <f t="shared" si="6"/>
        <v>0.2208083273</v>
      </c>
      <c r="H807" s="22" t="str">
        <f t="shared" si="4"/>
        <v/>
      </c>
      <c r="I807" s="22" t="str">
        <f t="shared" si="1"/>
        <v>#N/A</v>
      </c>
      <c r="J807" s="22" t="str">
        <f t="shared" si="2"/>
        <v>#N/A</v>
      </c>
      <c r="K807" s="22" t="str">
        <f t="array" ref="K807">IF(H807="Crash",MATCH(TRUE, B808:B905 &gt;= B806, 0),"")</f>
        <v/>
      </c>
    </row>
    <row r="808" ht="15.75" customHeight="1">
      <c r="A808" s="32">
        <f>'EQUITY BACKTEST'!A811</f>
        <v>41823.66667</v>
      </c>
      <c r="B808" s="22">
        <f>'EQUITY BACKTEST'!B811</f>
        <v>1985.44</v>
      </c>
      <c r="C808" s="22">
        <f>1/'EQUITY BACKTEST'!E811</f>
        <v>0.7386069872</v>
      </c>
      <c r="D808" s="22">
        <f t="shared" si="5"/>
        <v>0.7302181938</v>
      </c>
      <c r="E808" s="22">
        <f t="shared" si="3"/>
        <v>0.01248368146</v>
      </c>
      <c r="F808" s="22">
        <f t="shared" si="6"/>
        <v>0.2166506321</v>
      </c>
      <c r="H808" s="22" t="str">
        <f t="shared" si="4"/>
        <v/>
      </c>
      <c r="I808" s="22" t="str">
        <f t="shared" si="1"/>
        <v>#N/A</v>
      </c>
      <c r="J808" s="22" t="str">
        <f t="shared" si="2"/>
        <v>#N/A</v>
      </c>
      <c r="K808" s="22" t="str">
        <f t="array" ref="K808">IF(H808="Crash",MATCH(TRUE, B809:B906 &gt;= B807, 0),"")</f>
        <v/>
      </c>
    </row>
    <row r="809" ht="15.75" customHeight="1">
      <c r="A809" s="32">
        <f>'EQUITY BACKTEST'!A812</f>
        <v>41831.66667</v>
      </c>
      <c r="B809" s="22">
        <f>'EQUITY BACKTEST'!B812</f>
        <v>1967.57</v>
      </c>
      <c r="C809" s="22">
        <f>1/'EQUITY BACKTEST'!E812</f>
        <v>0.7352941176</v>
      </c>
      <c r="D809" s="22">
        <f t="shared" si="5"/>
        <v>0.7962118038</v>
      </c>
      <c r="E809" s="22">
        <f t="shared" si="3"/>
        <v>-0.009000523813</v>
      </c>
      <c r="F809" s="22">
        <f t="shared" si="6"/>
        <v>0.17104018</v>
      </c>
      <c r="H809" s="22" t="str">
        <f t="shared" si="4"/>
        <v/>
      </c>
      <c r="I809" s="22" t="str">
        <f t="shared" si="1"/>
        <v>#N/A</v>
      </c>
      <c r="J809" s="22" t="str">
        <f t="shared" si="2"/>
        <v>#N/A</v>
      </c>
      <c r="K809" s="22" t="str">
        <f t="array" ref="K809">IF(H809="Crash",MATCH(TRUE, B810:B907 &gt;= B808, 0),"")</f>
        <v/>
      </c>
    </row>
    <row r="810" ht="15.75" customHeight="1">
      <c r="A810" s="32">
        <f>'EQUITY BACKTEST'!A813</f>
        <v>41838.66667</v>
      </c>
      <c r="B810" s="22">
        <f>'EQUITY BACKTEST'!B813</f>
        <v>1978.22</v>
      </c>
      <c r="C810" s="22">
        <f>1/'EQUITY BACKTEST'!E813</f>
        <v>0.7328691829</v>
      </c>
      <c r="D810" s="22">
        <f t="shared" si="5"/>
        <v>0.8228986329</v>
      </c>
      <c r="E810" s="22">
        <f t="shared" si="3"/>
        <v>0.005412768034</v>
      </c>
      <c r="F810" s="22">
        <f t="shared" si="6"/>
        <v>0.1690985704</v>
      </c>
      <c r="H810" s="22" t="str">
        <f t="shared" si="4"/>
        <v/>
      </c>
      <c r="I810" s="22" t="str">
        <f t="shared" si="1"/>
        <v>#N/A</v>
      </c>
      <c r="J810" s="22" t="str">
        <f t="shared" si="2"/>
        <v>#N/A</v>
      </c>
      <c r="K810" s="22" t="str">
        <f t="array" ref="K810">IF(H810="Crash",MATCH(TRUE, B811:B908 &gt;= B809, 0),"")</f>
        <v/>
      </c>
    </row>
    <row r="811" ht="15.75" customHeight="1">
      <c r="A811" s="32">
        <f>'EQUITY BACKTEST'!A814</f>
        <v>41845.66667</v>
      </c>
      <c r="B811" s="22">
        <f>'EQUITY BACKTEST'!B814</f>
        <v>1978.34</v>
      </c>
      <c r="C811" s="22">
        <f>1/'EQUITY BACKTEST'!E814</f>
        <v>0.7355104442</v>
      </c>
      <c r="D811" s="22">
        <f t="shared" si="5"/>
        <v>0.93437077</v>
      </c>
      <c r="E811" s="22">
        <f t="shared" si="3"/>
        <v>0.00006066059387</v>
      </c>
      <c r="F811" s="22">
        <f t="shared" si="6"/>
        <v>0.1694735909</v>
      </c>
      <c r="H811" s="22" t="str">
        <f t="shared" si="4"/>
        <v/>
      </c>
      <c r="I811" s="22" t="str">
        <f t="shared" si="1"/>
        <v>#N/A</v>
      </c>
      <c r="J811" s="22" t="str">
        <f t="shared" si="2"/>
        <v>#N/A</v>
      </c>
      <c r="K811" s="22" t="str">
        <f t="array" ref="K811">IF(H811="Crash",MATCH(TRUE, B812:B909 &gt;= B810, 0),"")</f>
        <v/>
      </c>
    </row>
    <row r="812" ht="15.75" customHeight="1">
      <c r="A812" s="32">
        <f>'EQUITY BACKTEST'!A815</f>
        <v>41852.66667</v>
      </c>
      <c r="B812" s="22">
        <f>'EQUITY BACKTEST'!B815</f>
        <v>1925.15</v>
      </c>
      <c r="C812" s="22">
        <f>1/'EQUITY BACKTEST'!E815</f>
        <v>0.734861846</v>
      </c>
      <c r="D812" s="22">
        <f t="shared" si="5"/>
        <v>0.8671842281</v>
      </c>
      <c r="E812" s="22">
        <f t="shared" si="3"/>
        <v>-0.0268861773</v>
      </c>
      <c r="F812" s="22">
        <f t="shared" si="6"/>
        <v>0.1260360186</v>
      </c>
      <c r="H812" s="22" t="str">
        <f t="shared" si="4"/>
        <v/>
      </c>
      <c r="I812" s="22" t="str">
        <f t="shared" si="1"/>
        <v>#N/A</v>
      </c>
      <c r="J812" s="22" t="str">
        <f t="shared" si="2"/>
        <v>#N/A</v>
      </c>
      <c r="K812" s="22" t="str">
        <f t="array" ref="K812">IF(H812="Crash",MATCH(TRUE, B813:B910 &gt;= B811, 0),"")</f>
        <v/>
      </c>
    </row>
    <row r="813" ht="15.75" customHeight="1">
      <c r="A813" s="32">
        <f>'EQUITY BACKTEST'!A816</f>
        <v>41859.66667</v>
      </c>
      <c r="B813" s="22">
        <f>'EQUITY BACKTEST'!B816</f>
        <v>1931.59</v>
      </c>
      <c r="C813" s="22">
        <f>1/'EQUITY BACKTEST'!E816</f>
        <v>0.7394808844</v>
      </c>
      <c r="D813" s="22">
        <f t="shared" si="5"/>
        <v>0.723866609</v>
      </c>
      <c r="E813" s="22">
        <f t="shared" si="3"/>
        <v>0.003345193881</v>
      </c>
      <c r="F813" s="22">
        <f t="shared" si="6"/>
        <v>0.1419931182</v>
      </c>
      <c r="H813" s="22" t="str">
        <f t="shared" si="4"/>
        <v/>
      </c>
      <c r="I813" s="22" t="str">
        <f t="shared" si="1"/>
        <v>#N/A</v>
      </c>
      <c r="J813" s="22" t="str">
        <f t="shared" si="2"/>
        <v>#N/A</v>
      </c>
      <c r="K813" s="22" t="str">
        <f t="array" ref="K813">IF(H813="Crash",MATCH(TRUE, B814:B911 &gt;= B812, 0),"")</f>
        <v/>
      </c>
    </row>
    <row r="814" ht="15.75" customHeight="1">
      <c r="A814" s="32">
        <f>'EQUITY BACKTEST'!A817</f>
        <v>41866.66667</v>
      </c>
      <c r="B814" s="22">
        <f>'EQUITY BACKTEST'!B817</f>
        <v>1955.06</v>
      </c>
      <c r="C814" s="22">
        <f>1/'EQUITY BACKTEST'!E817</f>
        <v>0.7446016381</v>
      </c>
      <c r="D814" s="22">
        <f t="shared" si="5"/>
        <v>0.5367372788</v>
      </c>
      <c r="E814" s="22">
        <f t="shared" si="3"/>
        <v>0.01215061167</v>
      </c>
      <c r="F814" s="22">
        <f t="shared" si="6"/>
        <v>0.1807129959</v>
      </c>
      <c r="H814" s="22" t="str">
        <f t="shared" si="4"/>
        <v/>
      </c>
      <c r="I814" s="22" t="str">
        <f t="shared" si="1"/>
        <v>#N/A</v>
      </c>
      <c r="J814" s="22" t="str">
        <f t="shared" si="2"/>
        <v>#N/A</v>
      </c>
      <c r="K814" s="22" t="str">
        <f t="array" ref="K814">IF(H814="Crash",MATCH(TRUE, B815:B912 &gt;= B813, 0),"")</f>
        <v/>
      </c>
    </row>
    <row r="815" ht="15.75" customHeight="1">
      <c r="A815" s="32">
        <f>'EQUITY BACKTEST'!A818</f>
        <v>41873.66667</v>
      </c>
      <c r="B815" s="22">
        <f>'EQUITY BACKTEST'!B818</f>
        <v>1988.4</v>
      </c>
      <c r="C815" s="22">
        <f>1/'EQUITY BACKTEST'!E818</f>
        <v>0.7446016381</v>
      </c>
      <c r="D815" s="22">
        <f t="shared" si="5"/>
        <v>0.4050055506</v>
      </c>
      <c r="E815" s="22">
        <f t="shared" si="3"/>
        <v>0.01705318507</v>
      </c>
      <c r="F815" s="22">
        <f t="shared" si="6"/>
        <v>0.1953110911</v>
      </c>
      <c r="H815" s="22" t="str">
        <f t="shared" si="4"/>
        <v/>
      </c>
      <c r="I815" s="22" t="str">
        <f t="shared" si="1"/>
        <v>#N/A</v>
      </c>
      <c r="J815" s="22" t="str">
        <f t="shared" si="2"/>
        <v>#N/A</v>
      </c>
      <c r="K815" s="22" t="str">
        <f t="array" ref="K815">IF(H815="Crash",MATCH(TRUE, B816:B913 &gt;= B814, 0),"")</f>
        <v/>
      </c>
    </row>
    <row r="816" ht="15.75" customHeight="1">
      <c r="A816" s="32">
        <f>'EQUITY BACKTEST'!A819</f>
        <v>41880.66667</v>
      </c>
      <c r="B816" s="22">
        <f>'EQUITY BACKTEST'!B819</f>
        <v>2003.37</v>
      </c>
      <c r="C816" s="22">
        <f>1/'EQUITY BACKTEST'!E819</f>
        <v>0.7457677679</v>
      </c>
      <c r="D816" s="22">
        <f t="shared" si="5"/>
        <v>0.4287135983</v>
      </c>
      <c r="E816" s="22">
        <f t="shared" si="3"/>
        <v>0.007528666264</v>
      </c>
      <c r="F816" s="22">
        <f t="shared" si="6"/>
        <v>0.2268259674</v>
      </c>
      <c r="H816" s="22" t="str">
        <f t="shared" si="4"/>
        <v/>
      </c>
      <c r="I816" s="22" t="str">
        <f t="shared" si="1"/>
        <v>#N/A</v>
      </c>
      <c r="J816" s="22" t="str">
        <f t="shared" si="2"/>
        <v>#N/A</v>
      </c>
      <c r="K816" s="22" t="str">
        <f t="array" ref="K816">IF(H816="Crash",MATCH(TRUE, B817:B914 &gt;= B815, 0),"")</f>
        <v/>
      </c>
    </row>
    <row r="817" ht="15.75" customHeight="1">
      <c r="A817" s="32">
        <f>'EQUITY BACKTEST'!A820</f>
        <v>41887.66667</v>
      </c>
      <c r="B817" s="22">
        <f>'EQUITY BACKTEST'!B820</f>
        <v>2007.71</v>
      </c>
      <c r="C817" s="22">
        <f>1/'EQUITY BACKTEST'!E820</f>
        <v>0.7466308284</v>
      </c>
      <c r="D817" s="22">
        <f t="shared" si="5"/>
        <v>0.5276484987</v>
      </c>
      <c r="E817" s="22">
        <f t="shared" si="3"/>
        <v>0.002166349701</v>
      </c>
      <c r="F817" s="22">
        <f t="shared" si="6"/>
        <v>0.2129932273</v>
      </c>
      <c r="H817" s="22" t="str">
        <f t="shared" si="4"/>
        <v/>
      </c>
      <c r="I817" s="22" t="str">
        <f t="shared" si="1"/>
        <v>#N/A</v>
      </c>
      <c r="J817" s="22" t="str">
        <f t="shared" si="2"/>
        <v>#N/A</v>
      </c>
      <c r="K817" s="22" t="str">
        <f t="array" ref="K817">IF(H817="Crash",MATCH(TRUE, B818:B915 &gt;= B816, 0),"")</f>
        <v/>
      </c>
    </row>
    <row r="818" ht="15.75" customHeight="1">
      <c r="A818" s="32">
        <f>'EQUITY BACKTEST'!A821</f>
        <v>41894.66667</v>
      </c>
      <c r="B818" s="22">
        <f>'EQUITY BACKTEST'!B821</f>
        <v>1985.54</v>
      </c>
      <c r="C818" s="22">
        <f>1/'EQUITY BACKTEST'!E821</f>
        <v>0.7550018875</v>
      </c>
      <c r="D818" s="22">
        <f t="shared" si="5"/>
        <v>0.4687820905</v>
      </c>
      <c r="E818" s="22">
        <f t="shared" si="3"/>
        <v>-0.01104243143</v>
      </c>
      <c r="F818" s="22">
        <f t="shared" si="6"/>
        <v>0.176274741</v>
      </c>
      <c r="H818" s="22" t="str">
        <f t="shared" si="4"/>
        <v/>
      </c>
      <c r="I818" s="22" t="str">
        <f t="shared" si="1"/>
        <v>#N/A</v>
      </c>
      <c r="J818" s="22" t="str">
        <f t="shared" si="2"/>
        <v>#N/A</v>
      </c>
      <c r="K818" s="22" t="str">
        <f t="array" ref="K818">IF(H818="Crash",MATCH(TRUE, B819:B916 &gt;= B817, 0),"")</f>
        <v/>
      </c>
    </row>
    <row r="819" ht="15.75" customHeight="1">
      <c r="A819" s="32">
        <f>'EQUITY BACKTEST'!A822</f>
        <v>41901.66667</v>
      </c>
      <c r="B819" s="22">
        <f>'EQUITY BACKTEST'!B822</f>
        <v>2010.4</v>
      </c>
      <c r="C819" s="22">
        <f>1/'EQUITY BACKTEST'!E822</f>
        <v>0.7612667479</v>
      </c>
      <c r="D819" s="22">
        <f t="shared" si="5"/>
        <v>0.5785851007</v>
      </c>
      <c r="E819" s="22">
        <f t="shared" si="3"/>
        <v>0.01252052338</v>
      </c>
      <c r="F819" s="22">
        <f t="shared" si="6"/>
        <v>0.1757343954</v>
      </c>
      <c r="H819" s="22" t="str">
        <f t="shared" si="4"/>
        <v/>
      </c>
      <c r="I819" s="22" t="str">
        <f t="shared" si="1"/>
        <v>#N/A</v>
      </c>
      <c r="J819" s="22" t="str">
        <f t="shared" si="2"/>
        <v>#N/A</v>
      </c>
      <c r="K819" s="22" t="str">
        <f t="array" ref="K819">IF(H819="Crash",MATCH(TRUE, B820:B917 &gt;= B818, 0),"")</f>
        <v/>
      </c>
    </row>
    <row r="820" ht="15.75" customHeight="1">
      <c r="A820" s="32">
        <f>'EQUITY BACKTEST'!A823</f>
        <v>41908.66667</v>
      </c>
      <c r="B820" s="22">
        <f>'EQUITY BACKTEST'!B823</f>
        <v>1982.85</v>
      </c>
      <c r="C820" s="22">
        <f>1/'EQUITY BACKTEST'!E823</f>
        <v>0.7722604062</v>
      </c>
      <c r="D820" s="22">
        <f t="shared" si="5"/>
        <v>0.4479151199</v>
      </c>
      <c r="E820" s="22">
        <f t="shared" si="3"/>
        <v>-0.01370374055</v>
      </c>
      <c r="F820" s="22">
        <f t="shared" si="6"/>
        <v>0.1720703414</v>
      </c>
      <c r="H820" s="22" t="str">
        <f t="shared" si="4"/>
        <v/>
      </c>
      <c r="I820" s="22" t="str">
        <f t="shared" si="1"/>
        <v>#N/A</v>
      </c>
      <c r="J820" s="22" t="str">
        <f t="shared" si="2"/>
        <v>#N/A</v>
      </c>
      <c r="K820" s="22" t="str">
        <f t="array" ref="K820">IF(H820="Crash",MATCH(TRUE, B821:B918 &gt;= B819, 0),"")</f>
        <v/>
      </c>
    </row>
    <row r="821" ht="15.75" customHeight="1">
      <c r="A821" s="32">
        <f>'EQUITY BACKTEST'!A824</f>
        <v>41915.66667</v>
      </c>
      <c r="B821" s="22">
        <f>'EQUITY BACKTEST'!B824</f>
        <v>1967.9</v>
      </c>
      <c r="C821" s="22">
        <f>1/'EQUITY BACKTEST'!E824</f>
        <v>0.7723797019</v>
      </c>
      <c r="D821" s="22">
        <f t="shared" si="5"/>
        <v>0.3485761742</v>
      </c>
      <c r="E821" s="22">
        <f t="shared" si="3"/>
        <v>-0.00753965252</v>
      </c>
      <c r="F821" s="22">
        <f t="shared" si="6"/>
        <v>0.1640934635</v>
      </c>
      <c r="H821" s="22" t="str">
        <f t="shared" si="4"/>
        <v/>
      </c>
      <c r="I821" s="22" t="str">
        <f t="shared" si="1"/>
        <v>#N/A</v>
      </c>
      <c r="J821" s="22" t="str">
        <f t="shared" si="2"/>
        <v>#N/A</v>
      </c>
      <c r="K821" s="22" t="str">
        <f t="array" ref="K821">IF(H821="Crash",MATCH(TRUE, B822:B919 &gt;= B820, 0),"")</f>
        <v/>
      </c>
    </row>
    <row r="822" ht="15.75" customHeight="1">
      <c r="A822" s="32">
        <f>'EQUITY BACKTEST'!A825</f>
        <v>41922.66667</v>
      </c>
      <c r="B822" s="22">
        <f>'EQUITY BACKTEST'!B825</f>
        <v>1906.13</v>
      </c>
      <c r="C822" s="22">
        <f>1/'EQUITY BACKTEST'!E825</f>
        <v>0.7794839816</v>
      </c>
      <c r="D822" s="22">
        <f t="shared" si="5"/>
        <v>-0.09599920197</v>
      </c>
      <c r="E822" s="22">
        <f t="shared" si="3"/>
        <v>-0.03138879008</v>
      </c>
      <c r="F822" s="22">
        <f t="shared" si="6"/>
        <v>0.1191463128</v>
      </c>
      <c r="H822" s="22" t="str">
        <f t="shared" si="4"/>
        <v/>
      </c>
      <c r="I822" s="22" t="str">
        <f t="shared" si="1"/>
        <v>#N/A</v>
      </c>
      <c r="J822" s="22" t="str">
        <f t="shared" si="2"/>
        <v>#N/A</v>
      </c>
      <c r="K822" s="22" t="str">
        <f t="array" ref="K822">IF(H822="Crash",MATCH(TRUE, B823:B920 &gt;= B821, 0),"")</f>
        <v/>
      </c>
    </row>
    <row r="823" ht="15.75" customHeight="1">
      <c r="A823" s="32">
        <f>'EQUITY BACKTEST'!A826</f>
        <v>41929.66667</v>
      </c>
      <c r="B823" s="22">
        <f>'EQUITY BACKTEST'!B826</f>
        <v>1886.76</v>
      </c>
      <c r="C823" s="22">
        <f>1/'EQUITY BACKTEST'!E826</f>
        <v>0.7884569897</v>
      </c>
      <c r="D823" s="22">
        <f t="shared" si="5"/>
        <v>-0.3769317654</v>
      </c>
      <c r="E823" s="22">
        <f t="shared" si="3"/>
        <v>-0.01016195118</v>
      </c>
      <c r="F823" s="22">
        <f t="shared" si="6"/>
        <v>0.08154772141</v>
      </c>
      <c r="H823" s="22" t="str">
        <f t="shared" si="4"/>
        <v/>
      </c>
      <c r="I823" s="22" t="str">
        <f t="shared" si="1"/>
        <v>#N/A</v>
      </c>
      <c r="J823" s="22" t="str">
        <f t="shared" si="2"/>
        <v>#N/A</v>
      </c>
      <c r="K823" s="22" t="str">
        <f t="array" ref="K823">IF(H823="Crash",MATCH(TRUE, B824:B921 &gt;= B822, 0),"")</f>
        <v/>
      </c>
    </row>
    <row r="824" ht="15.75" customHeight="1">
      <c r="A824" s="32">
        <f>'EQUITY BACKTEST'!A827</f>
        <v>41936.66667</v>
      </c>
      <c r="B824" s="22">
        <f>'EQUITY BACKTEST'!B827</f>
        <v>1964.58</v>
      </c>
      <c r="C824" s="22">
        <f>1/'EQUITY BACKTEST'!E827</f>
        <v>0.7991050024</v>
      </c>
      <c r="D824" s="22">
        <f t="shared" si="5"/>
        <v>-0.2895939489</v>
      </c>
      <c r="E824" s="22">
        <f t="shared" si="3"/>
        <v>0.04124530942</v>
      </c>
      <c r="F824" s="22">
        <f t="shared" si="6"/>
        <v>0.1163845275</v>
      </c>
      <c r="H824" s="22" t="str">
        <f t="shared" si="4"/>
        <v/>
      </c>
      <c r="I824" s="22" t="str">
        <f t="shared" si="1"/>
        <v>#N/A</v>
      </c>
      <c r="J824" s="22" t="str">
        <f t="shared" si="2"/>
        <v>#N/A</v>
      </c>
      <c r="K824" s="22" t="str">
        <f t="array" ref="K824">IF(H824="Crash",MATCH(TRUE, B825:B922 &gt;= B823, 0),"")</f>
        <v/>
      </c>
    </row>
    <row r="825" ht="15.75" customHeight="1">
      <c r="A825" s="32">
        <f>'EQUITY BACKTEST'!A828</f>
        <v>41943.66667</v>
      </c>
      <c r="B825" s="22">
        <f>'EQUITY BACKTEST'!B828</f>
        <v>2018.05</v>
      </c>
      <c r="C825" s="22">
        <f>1/'EQUITY BACKTEST'!E828</f>
        <v>0.7919537499</v>
      </c>
      <c r="D825" s="22">
        <f t="shared" si="5"/>
        <v>-0.2408981823</v>
      </c>
      <c r="E825" s="22">
        <f t="shared" si="3"/>
        <v>0.02721701331</v>
      </c>
      <c r="F825" s="22">
        <f t="shared" si="6"/>
        <v>0.1455518721</v>
      </c>
      <c r="H825" s="22" t="str">
        <f t="shared" si="4"/>
        <v/>
      </c>
      <c r="I825" s="22" t="str">
        <f t="shared" si="1"/>
        <v>#N/A</v>
      </c>
      <c r="J825" s="22" t="str">
        <f t="shared" si="2"/>
        <v>#N/A</v>
      </c>
      <c r="K825" s="22" t="str">
        <f t="array" ref="K825">IF(H825="Crash",MATCH(TRUE, B826:B923 &gt;= B824, 0),"")</f>
        <v/>
      </c>
    </row>
    <row r="826" ht="15.75" customHeight="1">
      <c r="A826" s="32">
        <f>'EQUITY BACKTEST'!A829</f>
        <v>41950.66667</v>
      </c>
      <c r="B826" s="22">
        <f>'EQUITY BACKTEST'!B829</f>
        <v>2031.92</v>
      </c>
      <c r="C826" s="22">
        <f>1/'EQUITY BACKTEST'!E829</f>
        <v>0.7838219157</v>
      </c>
      <c r="D826" s="22">
        <f t="shared" si="5"/>
        <v>-0.2540463323</v>
      </c>
      <c r="E826" s="22">
        <f t="shared" si="3"/>
        <v>0.006872971433</v>
      </c>
      <c r="F826" s="22">
        <f t="shared" si="6"/>
        <v>0.1475819068</v>
      </c>
      <c r="H826" s="22" t="str">
        <f t="shared" si="4"/>
        <v/>
      </c>
      <c r="I826" s="22" t="str">
        <f t="shared" si="1"/>
        <v>#N/A</v>
      </c>
      <c r="J826" s="22" t="str">
        <f t="shared" si="2"/>
        <v>#N/A</v>
      </c>
      <c r="K826" s="22" t="str">
        <f t="array" ref="K826">IF(H826="Crash",MATCH(TRUE, B827:B924 &gt;= B825, 0),"")</f>
        <v/>
      </c>
    </row>
    <row r="827" ht="15.75" customHeight="1">
      <c r="A827" s="32">
        <f>'EQUITY BACKTEST'!A830</f>
        <v>41957.66667</v>
      </c>
      <c r="B827" s="22">
        <f>'EQUITY BACKTEST'!B830</f>
        <v>2039.82</v>
      </c>
      <c r="C827" s="22">
        <f>1/'EQUITY BACKTEST'!E830</f>
        <v>0.7893282816</v>
      </c>
      <c r="D827" s="22">
        <f t="shared" si="5"/>
        <v>-0.1974759372</v>
      </c>
      <c r="E827" s="22">
        <f t="shared" si="3"/>
        <v>0.003887948344</v>
      </c>
      <c r="F827" s="22">
        <f t="shared" si="6"/>
        <v>0.1343803179</v>
      </c>
      <c r="H827" s="22" t="str">
        <f t="shared" si="4"/>
        <v/>
      </c>
      <c r="I827" s="22" t="str">
        <f t="shared" si="1"/>
        <v>#N/A</v>
      </c>
      <c r="J827" s="22" t="str">
        <f t="shared" si="2"/>
        <v>#N/A</v>
      </c>
      <c r="K827" s="22" t="str">
        <f t="array" ref="K827">IF(H827="Crash",MATCH(TRUE, B828:B925 &gt;= B826, 0),"")</f>
        <v/>
      </c>
    </row>
    <row r="828" ht="15.75" customHeight="1">
      <c r="A828" s="32">
        <f>'EQUITY BACKTEST'!A831</f>
        <v>41964.66667</v>
      </c>
      <c r="B828" s="22">
        <f>'EQUITY BACKTEST'!B831</f>
        <v>2063.5</v>
      </c>
      <c r="C828" s="22">
        <f>1/'EQUITY BACKTEST'!E831</f>
        <v>0.7985307035</v>
      </c>
      <c r="D828" s="22">
        <f t="shared" si="5"/>
        <v>-0.008478700277</v>
      </c>
      <c r="E828" s="22">
        <f t="shared" si="3"/>
        <v>0.01160886745</v>
      </c>
      <c r="F828" s="22">
        <f t="shared" si="6"/>
        <v>0.1433653228</v>
      </c>
      <c r="H828" s="22" t="str">
        <f t="shared" si="4"/>
        <v/>
      </c>
      <c r="I828" s="22" t="str">
        <f t="shared" si="1"/>
        <v>#N/A</v>
      </c>
      <c r="J828" s="22" t="str">
        <f t="shared" si="2"/>
        <v>#N/A</v>
      </c>
      <c r="K828" s="22" t="str">
        <f t="array" ref="K828">IF(H828="Crash",MATCH(TRUE, B829:B926 &gt;= B827, 0),"")</f>
        <v/>
      </c>
    </row>
    <row r="829" ht="15.75" customHeight="1">
      <c r="A829" s="32">
        <f>'EQUITY BACKTEST'!A832</f>
        <v>41971.66667</v>
      </c>
      <c r="B829" s="22">
        <f>'EQUITY BACKTEST'!B832</f>
        <v>2067.56</v>
      </c>
      <c r="C829" s="22">
        <f>1/'EQUITY BACKTEST'!E832</f>
        <v>0.8030258012</v>
      </c>
      <c r="D829" s="22">
        <f t="shared" si="5"/>
        <v>0.18523397</v>
      </c>
      <c r="E829" s="22">
        <f t="shared" si="3"/>
        <v>0.001967530894</v>
      </c>
      <c r="F829" s="22">
        <f t="shared" si="6"/>
        <v>0.1449488041</v>
      </c>
      <c r="H829" s="22" t="str">
        <f t="shared" si="4"/>
        <v/>
      </c>
      <c r="I829" s="22" t="str">
        <f t="shared" si="1"/>
        <v>#N/A</v>
      </c>
      <c r="J829" s="22" t="str">
        <f t="shared" si="2"/>
        <v>#N/A</v>
      </c>
      <c r="K829" s="22" t="str">
        <f t="array" ref="K829">IF(H829="Crash",MATCH(TRUE, B830:B927 &gt;= B828, 0),"")</f>
        <v/>
      </c>
    </row>
    <row r="830" ht="15.75" customHeight="1">
      <c r="A830" s="32">
        <f>'EQUITY BACKTEST'!A833</f>
        <v>41978.66667</v>
      </c>
      <c r="B830" s="22">
        <f>'EQUITY BACKTEST'!B833</f>
        <v>2075.37</v>
      </c>
      <c r="C830" s="22">
        <f>1/'EQUITY BACKTEST'!E833</f>
        <v>0.7984669435</v>
      </c>
      <c r="D830" s="22">
        <f t="shared" si="5"/>
        <v>0.3522777783</v>
      </c>
      <c r="E830" s="22">
        <f t="shared" si="3"/>
        <v>0.003777399447</v>
      </c>
      <c r="F830" s="22">
        <f t="shared" si="6"/>
        <v>0.1497321463</v>
      </c>
      <c r="H830" s="22" t="str">
        <f t="shared" si="4"/>
        <v/>
      </c>
      <c r="I830" s="22" t="str">
        <f t="shared" si="1"/>
        <v>#N/A</v>
      </c>
      <c r="J830" s="22" t="str">
        <f t="shared" si="2"/>
        <v>#N/A</v>
      </c>
      <c r="K830" s="22" t="str">
        <f t="array" ref="K830">IF(H830="Crash",MATCH(TRUE, B831:B928 &gt;= B829, 0),"")</f>
        <v/>
      </c>
    </row>
    <row r="831" ht="15.75" customHeight="1">
      <c r="A831" s="32">
        <f>'EQUITY BACKTEST'!A834</f>
        <v>41985.66667</v>
      </c>
      <c r="B831" s="22">
        <f>'EQUITY BACKTEST'!B834</f>
        <v>2002.33</v>
      </c>
      <c r="C831" s="22">
        <f>1/'EQUITY BACKTEST'!E834</f>
        <v>0.807102502</v>
      </c>
      <c r="D831" s="22">
        <f t="shared" si="5"/>
        <v>0.3471929028</v>
      </c>
      <c r="E831" s="22">
        <f t="shared" si="3"/>
        <v>-0.03519372449</v>
      </c>
      <c r="F831" s="22">
        <f t="shared" si="6"/>
        <v>0.1278699051</v>
      </c>
      <c r="H831" s="22" t="str">
        <f t="shared" si="4"/>
        <v/>
      </c>
      <c r="I831" s="22" t="str">
        <f t="shared" si="1"/>
        <v>#N/A</v>
      </c>
      <c r="J831" s="22" t="str">
        <f t="shared" si="2"/>
        <v>#N/A</v>
      </c>
      <c r="K831" s="22" t="str">
        <f t="array" ref="K831">IF(H831="Crash",MATCH(TRUE, B832:B929 &gt;= B830, 0),"")</f>
        <v/>
      </c>
    </row>
    <row r="832" ht="15.75" customHeight="1">
      <c r="A832" s="32">
        <f>'EQUITY BACKTEST'!A835</f>
        <v>41992.66667</v>
      </c>
      <c r="B832" s="22">
        <f>'EQUITY BACKTEST'!B835</f>
        <v>2070.65</v>
      </c>
      <c r="C832" s="22">
        <f>1/'EQUITY BACKTEST'!E835</f>
        <v>0.8032128514</v>
      </c>
      <c r="D832" s="22">
        <f t="shared" si="5"/>
        <v>0.5155978486</v>
      </c>
      <c r="E832" s="22">
        <f t="shared" si="3"/>
        <v>0.03412024991</v>
      </c>
      <c r="F832" s="22">
        <f t="shared" si="6"/>
        <v>0.1387772162</v>
      </c>
      <c r="H832" s="22" t="str">
        <f t="shared" si="4"/>
        <v/>
      </c>
      <c r="I832" s="22" t="str">
        <f t="shared" si="1"/>
        <v>#N/A</v>
      </c>
      <c r="J832" s="22" t="str">
        <f t="shared" si="2"/>
        <v>#N/A</v>
      </c>
      <c r="K832" s="22" t="str">
        <f t="array" ref="K832">IF(H832="Crash",MATCH(TRUE, B833:B930 &gt;= B831, 0),"")</f>
        <v/>
      </c>
    </row>
    <row r="833" ht="15.75" customHeight="1">
      <c r="A833" s="32">
        <f>'EQUITY BACKTEST'!A836</f>
        <v>41999.66667</v>
      </c>
      <c r="B833" s="22">
        <f>'EQUITY BACKTEST'!B836</f>
        <v>2088.77</v>
      </c>
      <c r="C833" s="22">
        <f>1/'EQUITY BACKTEST'!E836</f>
        <v>0.814000814</v>
      </c>
      <c r="D833" s="22">
        <f t="shared" si="5"/>
        <v>0.6044634569</v>
      </c>
      <c r="E833" s="22">
        <f t="shared" si="3"/>
        <v>0.008750875329</v>
      </c>
      <c r="F833" s="22">
        <f t="shared" si="6"/>
        <v>0.1343380037</v>
      </c>
      <c r="H833" s="22" t="str">
        <f t="shared" si="4"/>
        <v/>
      </c>
      <c r="I833" s="22" t="str">
        <f t="shared" si="1"/>
        <v>#N/A</v>
      </c>
      <c r="J833" s="22" t="str">
        <f t="shared" si="2"/>
        <v>#N/A</v>
      </c>
      <c r="K833" s="22" t="str">
        <f t="array" ref="K833">IF(H833="Crash",MATCH(TRUE, B834:B931 &gt;= B832, 0),"")</f>
        <v/>
      </c>
    </row>
    <row r="834" ht="15.75" customHeight="1">
      <c r="A834" s="32">
        <f>'EQUITY BACKTEST'!A837</f>
        <v>42006.66667</v>
      </c>
      <c r="B834" s="22">
        <f>'EQUITY BACKTEST'!B837</f>
        <v>2058.2</v>
      </c>
      <c r="C834" s="22">
        <f>1/'EQUITY BACKTEST'!E837</f>
        <v>0.8024394158</v>
      </c>
      <c r="D834" s="22">
        <f t="shared" si="5"/>
        <v>0.6138876376</v>
      </c>
      <c r="E834" s="22">
        <f t="shared" si="3"/>
        <v>-0.01463540744</v>
      </c>
      <c r="F834" s="22">
        <f t="shared" si="6"/>
        <v>0.1238580953</v>
      </c>
      <c r="H834" s="22" t="str">
        <f t="shared" si="4"/>
        <v/>
      </c>
      <c r="I834" s="22" t="str">
        <f t="shared" si="1"/>
        <v>#N/A</v>
      </c>
      <c r="J834" s="22" t="str">
        <f t="shared" si="2"/>
        <v>#N/A</v>
      </c>
      <c r="K834" s="22" t="str">
        <f t="array" ref="K834">IF(H834="Crash",MATCH(TRUE, B835:B932 &gt;= B833, 0),"")</f>
        <v/>
      </c>
    </row>
    <row r="835" ht="15.75" customHeight="1">
      <c r="A835" s="32">
        <f>'EQUITY BACKTEST'!A838</f>
        <v>42013.66667</v>
      </c>
      <c r="B835" s="22">
        <f>'EQUITY BACKTEST'!B838</f>
        <v>2044.81</v>
      </c>
      <c r="C835" s="22">
        <f>1/'EQUITY BACKTEST'!E838</f>
        <v>0.8178621084</v>
      </c>
      <c r="D835" s="22">
        <f t="shared" si="5"/>
        <v>0.4228941495</v>
      </c>
      <c r="E835" s="22">
        <f t="shared" si="3"/>
        <v>-0.006505684579</v>
      </c>
      <c r="F835" s="22">
        <f t="shared" si="6"/>
        <v>0.1098802086</v>
      </c>
      <c r="H835" s="22" t="str">
        <f t="shared" si="4"/>
        <v/>
      </c>
      <c r="I835" s="22" t="str">
        <f t="shared" si="1"/>
        <v>#N/A</v>
      </c>
      <c r="J835" s="22" t="str">
        <f t="shared" si="2"/>
        <v>#N/A</v>
      </c>
      <c r="K835" s="22" t="str">
        <f t="array" ref="K835">IF(H835="Crash",MATCH(TRUE, B836:B933 &gt;= B834, 0),"")</f>
        <v/>
      </c>
    </row>
    <row r="836" ht="15.75" customHeight="1">
      <c r="A836" s="32">
        <f>'EQUITY BACKTEST'!A839</f>
        <v>42020.66667</v>
      </c>
      <c r="B836" s="22">
        <f>'EQUITY BACKTEST'!B839</f>
        <v>2019.42</v>
      </c>
      <c r="C836" s="22">
        <f>1/'EQUITY BACKTEST'!E839</f>
        <v>0.8209506609</v>
      </c>
      <c r="D836" s="22">
        <f t="shared" si="5"/>
        <v>0.1176277333</v>
      </c>
      <c r="E836" s="22">
        <f t="shared" si="3"/>
        <v>-0.01241680156</v>
      </c>
      <c r="F836" s="22">
        <f t="shared" si="6"/>
        <v>0.09828683309</v>
      </c>
      <c r="H836" s="22" t="str">
        <f t="shared" si="4"/>
        <v/>
      </c>
      <c r="I836" s="22" t="str">
        <f t="shared" si="1"/>
        <v>#N/A</v>
      </c>
      <c r="J836" s="22" t="str">
        <f t="shared" si="2"/>
        <v>#N/A</v>
      </c>
      <c r="K836" s="22" t="str">
        <f t="array" ref="K836">IF(H836="Crash",MATCH(TRUE, B837:B934 &gt;= B835, 0),"")</f>
        <v/>
      </c>
    </row>
    <row r="837" ht="15.75" customHeight="1">
      <c r="A837" s="32">
        <f>'EQUITY BACKTEST'!A840</f>
        <v>42027.66667</v>
      </c>
      <c r="B837" s="22">
        <f>'EQUITY BACKTEST'!B840</f>
        <v>2051.82</v>
      </c>
      <c r="C837" s="22">
        <f>1/'EQUITY BACKTEST'!E840</f>
        <v>0.8334722454</v>
      </c>
      <c r="D837" s="22">
        <f t="shared" si="5"/>
        <v>0.08506551459</v>
      </c>
      <c r="E837" s="22">
        <f t="shared" si="3"/>
        <v>0.01604421071</v>
      </c>
      <c r="F837" s="22">
        <f t="shared" si="6"/>
        <v>0.1460824783</v>
      </c>
      <c r="H837" s="22" t="str">
        <f t="shared" si="4"/>
        <v/>
      </c>
      <c r="I837" s="22" t="str">
        <f t="shared" si="1"/>
        <v>#N/A</v>
      </c>
      <c r="J837" s="22" t="str">
        <f t="shared" si="2"/>
        <v>#N/A</v>
      </c>
      <c r="K837" s="22" t="str">
        <f t="array" ref="K837">IF(H837="Crash",MATCH(TRUE, B838:B935 &gt;= B836, 0),"")</f>
        <v/>
      </c>
    </row>
    <row r="838" ht="15.75" customHeight="1">
      <c r="A838" s="32">
        <f>'EQUITY BACKTEST'!A841</f>
        <v>42034.66667</v>
      </c>
      <c r="B838" s="22">
        <f>'EQUITY BACKTEST'!B841</f>
        <v>1994.99</v>
      </c>
      <c r="C838" s="22">
        <f>1/'EQUITY BACKTEST'!E841</f>
        <v>0.8447372867</v>
      </c>
      <c r="D838" s="22">
        <f t="shared" si="5"/>
        <v>-0.3580586481</v>
      </c>
      <c r="E838" s="22">
        <f t="shared" si="3"/>
        <v>-0.02769736137</v>
      </c>
      <c r="F838" s="22">
        <f t="shared" si="6"/>
        <v>0.1191524692</v>
      </c>
      <c r="H838" s="22" t="str">
        <f t="shared" si="4"/>
        <v/>
      </c>
      <c r="I838" s="22" t="str">
        <f t="shared" si="1"/>
        <v>#N/A</v>
      </c>
      <c r="J838" s="22" t="str">
        <f t="shared" si="2"/>
        <v>#N/A</v>
      </c>
      <c r="K838" s="22" t="str">
        <f t="array" ref="K838">IF(H838="Crash",MATCH(TRUE, B839:B936 &gt;= B837, 0),"")</f>
        <v/>
      </c>
    </row>
    <row r="839" ht="15.75" customHeight="1">
      <c r="A839" s="32">
        <f>'EQUITY BACKTEST'!A842</f>
        <v>42041.66667</v>
      </c>
      <c r="B839" s="22">
        <f>'EQUITY BACKTEST'!B842</f>
        <v>2055.47</v>
      </c>
      <c r="C839" s="22">
        <f>1/'EQUITY BACKTEST'!E842</f>
        <v>0.8642295394</v>
      </c>
      <c r="D839" s="22">
        <f t="shared" si="5"/>
        <v>-0.2967614013</v>
      </c>
      <c r="E839" s="22">
        <f t="shared" si="3"/>
        <v>0.03031594143</v>
      </c>
      <c r="F839" s="22">
        <f t="shared" si="6"/>
        <v>0.1438214377</v>
      </c>
      <c r="H839" s="22" t="str">
        <f t="shared" si="4"/>
        <v/>
      </c>
      <c r="I839" s="22" t="str">
        <f t="shared" si="1"/>
        <v>#N/A</v>
      </c>
      <c r="J839" s="22" t="str">
        <f t="shared" si="2"/>
        <v>#N/A</v>
      </c>
      <c r="K839" s="22" t="str">
        <f t="array" ref="K839">IF(H839="Crash",MATCH(TRUE, B840:B937 &gt;= B838, 0),"")</f>
        <v/>
      </c>
    </row>
    <row r="840" ht="15.75" customHeight="1">
      <c r="A840" s="32">
        <f>'EQUITY BACKTEST'!A843</f>
        <v>42048.66667</v>
      </c>
      <c r="B840" s="22">
        <f>'EQUITY BACKTEST'!B843</f>
        <v>2096.99</v>
      </c>
      <c r="C840" s="22">
        <f>1/'EQUITY BACKTEST'!E843</f>
        <v>0.8928571429</v>
      </c>
      <c r="D840" s="22">
        <f t="shared" si="5"/>
        <v>0.08817801845</v>
      </c>
      <c r="E840" s="22">
        <f t="shared" si="3"/>
        <v>0.02019975967</v>
      </c>
      <c r="F840" s="22">
        <f t="shared" si="6"/>
        <v>0.140517668</v>
      </c>
      <c r="H840" s="22" t="str">
        <f t="shared" si="4"/>
        <v/>
      </c>
      <c r="I840" s="22" t="str">
        <f t="shared" si="1"/>
        <v>#N/A</v>
      </c>
      <c r="J840" s="22" t="str">
        <f t="shared" si="2"/>
        <v>#N/A</v>
      </c>
      <c r="K840" s="22" t="str">
        <f t="array" ref="K840">IF(H840="Crash",MATCH(TRUE, B841:B938 &gt;= B839, 0),"")</f>
        <v/>
      </c>
    </row>
    <row r="841" ht="15.75" customHeight="1">
      <c r="A841" s="32">
        <f>'EQUITY BACKTEST'!A844</f>
        <v>42055.66667</v>
      </c>
      <c r="B841" s="22">
        <f>'EQUITY BACKTEST'!B844</f>
        <v>2110.3</v>
      </c>
      <c r="C841" s="22">
        <f>1/'EQUITY BACKTEST'!E844</f>
        <v>0.8860535176</v>
      </c>
      <c r="D841" s="22">
        <f t="shared" si="5"/>
        <v>0.3303948545</v>
      </c>
      <c r="E841" s="22">
        <f t="shared" si="3"/>
        <v>0.006347192881</v>
      </c>
      <c r="F841" s="22">
        <f t="shared" si="6"/>
        <v>0.1492443839</v>
      </c>
      <c r="H841" s="22" t="str">
        <f t="shared" si="4"/>
        <v/>
      </c>
      <c r="I841" s="22" t="str">
        <f t="shared" si="1"/>
        <v>#N/A</v>
      </c>
      <c r="J841" s="22" t="str">
        <f t="shared" si="2"/>
        <v>#N/A</v>
      </c>
      <c r="K841" s="22" t="str">
        <f t="array" ref="K841">IF(H841="Crash",MATCH(TRUE, B842:B939 &gt;= B840, 0),"")</f>
        <v/>
      </c>
    </row>
    <row r="842" ht="15.75" customHeight="1">
      <c r="A842" s="32">
        <f>'EQUITY BACKTEST'!A845</f>
        <v>42062.66667</v>
      </c>
      <c r="B842" s="22">
        <f>'EQUITY BACKTEST'!B845</f>
        <v>2104.5</v>
      </c>
      <c r="C842" s="22">
        <f>1/'EQUITY BACKTEST'!E845</f>
        <v>0.8842514811</v>
      </c>
      <c r="D842" s="22">
        <f t="shared" si="5"/>
        <v>0.462202167</v>
      </c>
      <c r="E842" s="22">
        <f t="shared" si="3"/>
        <v>-0.002748424395</v>
      </c>
      <c r="F842" s="22">
        <f t="shared" si="6"/>
        <v>0.1317862809</v>
      </c>
      <c r="H842" s="22" t="str">
        <f t="shared" si="4"/>
        <v/>
      </c>
      <c r="I842" s="22" t="str">
        <f t="shared" si="1"/>
        <v>#N/A</v>
      </c>
      <c r="J842" s="22" t="str">
        <f t="shared" si="2"/>
        <v>#N/A</v>
      </c>
      <c r="K842" s="22" t="str">
        <f t="array" ref="K842">IF(H842="Crash",MATCH(TRUE, B843:B940 &gt;= B841, 0),"")</f>
        <v/>
      </c>
    </row>
    <row r="843" ht="15.75" customHeight="1">
      <c r="A843" s="32">
        <f>'EQUITY BACKTEST'!A846</f>
        <v>42069.66667</v>
      </c>
      <c r="B843" s="22">
        <f>'EQUITY BACKTEST'!B846</f>
        <v>2071.26</v>
      </c>
      <c r="C843" s="22">
        <f>1/'EQUITY BACKTEST'!E846</f>
        <v>0.8788890842</v>
      </c>
      <c r="D843" s="22">
        <f t="shared" si="5"/>
        <v>0.5384517288</v>
      </c>
      <c r="E843" s="22">
        <f t="shared" si="3"/>
        <v>-0.01579472559</v>
      </c>
      <c r="F843" s="22">
        <f t="shared" si="6"/>
        <v>0.1028838576</v>
      </c>
      <c r="H843" s="22" t="str">
        <f t="shared" si="4"/>
        <v/>
      </c>
      <c r="I843" s="22" t="str">
        <f t="shared" si="1"/>
        <v>#N/A</v>
      </c>
      <c r="J843" s="22" t="str">
        <f t="shared" si="2"/>
        <v>#N/A</v>
      </c>
      <c r="K843" s="22" t="str">
        <f t="array" ref="K843">IF(H843="Crash",MATCH(TRUE, B844:B941 &gt;= B842, 0),"")</f>
        <v/>
      </c>
    </row>
    <row r="844" ht="15.75" customHeight="1">
      <c r="A844" s="32">
        <f>'EQUITY BACKTEST'!A847</f>
        <v>42076.66667</v>
      </c>
      <c r="B844" s="22">
        <f>'EQUITY BACKTEST'!B847</f>
        <v>2053.4</v>
      </c>
      <c r="C844" s="22">
        <f>1/'EQUITY BACKTEST'!E847</f>
        <v>0.8787346221</v>
      </c>
      <c r="D844" s="22">
        <f t="shared" si="5"/>
        <v>0.4268394832</v>
      </c>
      <c r="E844" s="22">
        <f t="shared" si="3"/>
        <v>-0.008622770681</v>
      </c>
      <c r="F844" s="22">
        <f t="shared" si="6"/>
        <v>0.1152933253</v>
      </c>
      <c r="H844" s="22" t="str">
        <f t="shared" si="4"/>
        <v/>
      </c>
      <c r="I844" s="22" t="str">
        <f t="shared" si="1"/>
        <v>#N/A</v>
      </c>
      <c r="J844" s="22" t="str">
        <f t="shared" si="2"/>
        <v>#N/A</v>
      </c>
      <c r="K844" s="22" t="str">
        <f t="array" ref="K844">IF(H844="Crash",MATCH(TRUE, B845:B942 &gt;= B843, 0),"")</f>
        <v/>
      </c>
    </row>
    <row r="845" ht="15.75" customHeight="1">
      <c r="A845" s="32">
        <f>'EQUITY BACKTEST'!A848</f>
        <v>42083.66667</v>
      </c>
      <c r="B845" s="22">
        <f>'EQUITY BACKTEST'!B848</f>
        <v>2108.1</v>
      </c>
      <c r="C845" s="22">
        <f>1/'EQUITY BACKTEST'!E848</f>
        <v>0.8936550492</v>
      </c>
      <c r="D845" s="22">
        <f t="shared" si="5"/>
        <v>0.5574375895</v>
      </c>
      <c r="E845" s="22">
        <f t="shared" si="3"/>
        <v>0.0266387455</v>
      </c>
      <c r="F845" s="22">
        <f t="shared" si="6"/>
        <v>0.1295006429</v>
      </c>
      <c r="H845" s="22" t="str">
        <f t="shared" si="4"/>
        <v/>
      </c>
      <c r="I845" s="22" t="str">
        <f t="shared" si="1"/>
        <v>#N/A</v>
      </c>
      <c r="J845" s="22" t="str">
        <f t="shared" si="2"/>
        <v>#N/A</v>
      </c>
      <c r="K845" s="22" t="str">
        <f t="array" ref="K845">IF(H845="Crash",MATCH(TRUE, B846:B943 &gt;= B844, 0),"")</f>
        <v/>
      </c>
    </row>
    <row r="846" ht="15.75" customHeight="1">
      <c r="A846" s="32">
        <f>'EQUITY BACKTEST'!A849</f>
        <v>42090.66667</v>
      </c>
      <c r="B846" s="22">
        <f>'EQUITY BACKTEST'!B849</f>
        <v>2061.02</v>
      </c>
      <c r="C846" s="22">
        <f>1/'EQUITY BACKTEST'!E849</f>
        <v>0.9221689414</v>
      </c>
      <c r="D846" s="22">
        <f t="shared" si="5"/>
        <v>0.5857644265</v>
      </c>
      <c r="E846" s="22">
        <f t="shared" si="3"/>
        <v>-0.02233290641</v>
      </c>
      <c r="F846" s="22">
        <f t="shared" si="6"/>
        <v>0.1094949451</v>
      </c>
      <c r="H846" s="22" t="str">
        <f t="shared" si="4"/>
        <v/>
      </c>
      <c r="I846" s="22" t="str">
        <f t="shared" si="1"/>
        <v>#N/A</v>
      </c>
      <c r="J846" s="22" t="str">
        <f t="shared" si="2"/>
        <v>#N/A</v>
      </c>
      <c r="K846" s="22" t="str">
        <f t="array" ref="K846">IF(H846="Crash",MATCH(TRUE, B847:B944 &gt;= B845, 0),"")</f>
        <v/>
      </c>
    </row>
    <row r="847" ht="15.75" customHeight="1">
      <c r="A847" s="32">
        <f>'EQUITY BACKTEST'!A850</f>
        <v>42096.66667</v>
      </c>
      <c r="B847" s="22">
        <f>'EQUITY BACKTEST'!B850</f>
        <v>2066.96</v>
      </c>
      <c r="C847" s="22">
        <f>1/'EQUITY BACKTEST'!E850</f>
        <v>0.9528346832</v>
      </c>
      <c r="D847" s="22">
        <f t="shared" si="5"/>
        <v>0.5316986961</v>
      </c>
      <c r="E847" s="22">
        <f t="shared" si="3"/>
        <v>0.002882068102</v>
      </c>
      <c r="F847" s="22">
        <f t="shared" si="6"/>
        <v>0.1082360637</v>
      </c>
      <c r="H847" s="22" t="str">
        <f t="shared" si="4"/>
        <v/>
      </c>
      <c r="I847" s="22" t="str">
        <f t="shared" si="1"/>
        <v>#N/A</v>
      </c>
      <c r="J847" s="22" t="str">
        <f t="shared" si="2"/>
        <v>#N/A</v>
      </c>
      <c r="K847" s="22" t="str">
        <f t="array" ref="K847">IF(H847="Crash",MATCH(TRUE, B848:B945 &gt;= B846, 0),"")</f>
        <v/>
      </c>
    </row>
    <row r="848" ht="15.75" customHeight="1">
      <c r="A848" s="32">
        <f>'EQUITY BACKTEST'!A851</f>
        <v>42104.66667</v>
      </c>
      <c r="B848" s="22">
        <f>'EQUITY BACKTEST'!B851</f>
        <v>2102.06</v>
      </c>
      <c r="C848" s="22">
        <f>1/'EQUITY BACKTEST'!E851</f>
        <v>0.9247272055</v>
      </c>
      <c r="D848" s="22">
        <f t="shared" si="5"/>
        <v>0.560665782</v>
      </c>
      <c r="E848" s="22">
        <f t="shared" si="3"/>
        <v>0.0169814607</v>
      </c>
      <c r="F848" s="22">
        <f t="shared" si="6"/>
        <v>0.1577196548</v>
      </c>
      <c r="H848" s="22" t="str">
        <f t="shared" si="4"/>
        <v/>
      </c>
      <c r="I848" s="22" t="str">
        <f t="shared" si="1"/>
        <v>#N/A</v>
      </c>
      <c r="J848" s="22" t="str">
        <f t="shared" si="2"/>
        <v>#N/A</v>
      </c>
      <c r="K848" s="22" t="str">
        <f t="array" ref="K848">IF(H848="Crash",MATCH(TRUE, B849:B946 &gt;= B847, 0),"")</f>
        <v/>
      </c>
    </row>
    <row r="849" ht="15.75" customHeight="1">
      <c r="A849" s="32">
        <f>'EQUITY BACKTEST'!A852</f>
        <v>42111.66667</v>
      </c>
      <c r="B849" s="22">
        <f>'EQUITY BACKTEST'!B852</f>
        <v>2081.18</v>
      </c>
      <c r="C849" s="22">
        <f>1/'EQUITY BACKTEST'!E852</f>
        <v>0.9180207473</v>
      </c>
      <c r="D849" s="22">
        <f t="shared" si="5"/>
        <v>0.4482221832</v>
      </c>
      <c r="E849" s="22">
        <f t="shared" si="3"/>
        <v>-0.009933113232</v>
      </c>
      <c r="F849" s="22">
        <f t="shared" si="6"/>
        <v>0.1160039681</v>
      </c>
      <c r="H849" s="22" t="str">
        <f t="shared" si="4"/>
        <v/>
      </c>
      <c r="I849" s="22" t="str">
        <f t="shared" si="1"/>
        <v>#N/A</v>
      </c>
      <c r="J849" s="22" t="str">
        <f t="shared" si="2"/>
        <v>#N/A</v>
      </c>
      <c r="K849" s="22" t="str">
        <f t="array" ref="K849">IF(H849="Crash",MATCH(TRUE, B850:B947 &gt;= B848, 0),"")</f>
        <v/>
      </c>
    </row>
    <row r="850" ht="15.75" customHeight="1">
      <c r="A850" s="32">
        <f>'EQUITY BACKTEST'!A853</f>
        <v>42118.66667</v>
      </c>
      <c r="B850" s="22">
        <f>'EQUITY BACKTEST'!B853</f>
        <v>2117.69</v>
      </c>
      <c r="C850" s="22">
        <f>1/'EQUITY BACKTEST'!E853</f>
        <v>0.9121590805</v>
      </c>
      <c r="D850" s="22">
        <f t="shared" si="5"/>
        <v>0.4355026855</v>
      </c>
      <c r="E850" s="22">
        <f t="shared" si="3"/>
        <v>0.01754293237</v>
      </c>
      <c r="F850" s="22">
        <f t="shared" si="6"/>
        <v>0.1364656005</v>
      </c>
      <c r="H850" s="22" t="str">
        <f t="shared" si="4"/>
        <v/>
      </c>
      <c r="I850" s="22" t="str">
        <f t="shared" si="1"/>
        <v>#N/A</v>
      </c>
      <c r="J850" s="22" t="str">
        <f t="shared" si="2"/>
        <v>#N/A</v>
      </c>
      <c r="K850" s="22" t="str">
        <f t="array" ref="K850">IF(H850="Crash",MATCH(TRUE, B851:B948 &gt;= B849, 0),"")</f>
        <v/>
      </c>
    </row>
    <row r="851" ht="15.75" customHeight="1">
      <c r="A851" s="32">
        <f>'EQUITY BACKTEST'!A854</f>
        <v>42125.66667</v>
      </c>
      <c r="B851" s="22">
        <f>'EQUITY BACKTEST'!B854</f>
        <v>2108.29</v>
      </c>
      <c r="C851" s="22">
        <f>1/'EQUITY BACKTEST'!E854</f>
        <v>0.9426847662</v>
      </c>
      <c r="D851" s="22">
        <f t="shared" si="5"/>
        <v>0.1675125645</v>
      </c>
      <c r="E851" s="22">
        <f t="shared" si="3"/>
        <v>-0.00443879888</v>
      </c>
      <c r="F851" s="22">
        <f t="shared" si="6"/>
        <v>0.1207512466</v>
      </c>
      <c r="H851" s="22" t="str">
        <f t="shared" si="4"/>
        <v/>
      </c>
      <c r="I851" s="22" t="str">
        <f t="shared" si="1"/>
        <v>#N/A</v>
      </c>
      <c r="J851" s="22" t="str">
        <f t="shared" si="2"/>
        <v>#N/A</v>
      </c>
      <c r="K851" s="22" t="str">
        <f t="array" ref="K851">IF(H851="Crash",MATCH(TRUE, B852:B949 &gt;= B850, 0),"")</f>
        <v/>
      </c>
    </row>
    <row r="852" ht="15.75" customHeight="1">
      <c r="A852" s="32">
        <f>'EQUITY BACKTEST'!A855</f>
        <v>42132.66667</v>
      </c>
      <c r="B852" s="22">
        <f>'EQUITY BACKTEST'!B855</f>
        <v>2116.1</v>
      </c>
      <c r="C852" s="22">
        <f>1/'EQUITY BACKTEST'!E855</f>
        <v>0.9255831174</v>
      </c>
      <c r="D852" s="22">
        <f t="shared" si="5"/>
        <v>0.04848443789</v>
      </c>
      <c r="E852" s="22">
        <f t="shared" si="3"/>
        <v>0.003704423964</v>
      </c>
      <c r="F852" s="22">
        <f t="shared" si="6"/>
        <v>0.1264958903</v>
      </c>
      <c r="H852" s="22" t="str">
        <f t="shared" si="4"/>
        <v/>
      </c>
      <c r="I852" s="22" t="str">
        <f t="shared" si="1"/>
        <v>#N/A</v>
      </c>
      <c r="J852" s="22" t="str">
        <f t="shared" si="2"/>
        <v>#N/A</v>
      </c>
      <c r="K852" s="22" t="str">
        <f t="array" ref="K852">IF(H852="Crash",MATCH(TRUE, B853:B950 &gt;= B851, 0),"")</f>
        <v/>
      </c>
    </row>
    <row r="853" ht="15.75" customHeight="1">
      <c r="A853" s="32">
        <f>'EQUITY BACKTEST'!A856</f>
        <v>42139.66667</v>
      </c>
      <c r="B853" s="22">
        <f>'EQUITY BACKTEST'!B856</f>
        <v>2122.73</v>
      </c>
      <c r="C853" s="22">
        <f>1/'EQUITY BACKTEST'!E856</f>
        <v>0.919751667</v>
      </c>
      <c r="D853" s="22">
        <f t="shared" si="5"/>
        <v>0.09777871916</v>
      </c>
      <c r="E853" s="22">
        <f t="shared" si="3"/>
        <v>0.003133122253</v>
      </c>
      <c r="F853" s="22">
        <f t="shared" si="6"/>
        <v>0.1303984323</v>
      </c>
      <c r="H853" s="22" t="str">
        <f t="shared" si="4"/>
        <v/>
      </c>
      <c r="I853" s="22" t="str">
        <f t="shared" si="1"/>
        <v>#N/A</v>
      </c>
      <c r="J853" s="22" t="str">
        <f t="shared" si="2"/>
        <v>#N/A</v>
      </c>
      <c r="K853" s="22" t="str">
        <f t="array" ref="K853">IF(H853="Crash",MATCH(TRUE, B854:B951 &gt;= B852, 0),"")</f>
        <v/>
      </c>
    </row>
    <row r="854" ht="15.75" customHeight="1">
      <c r="A854" s="32">
        <f>'EQUITY BACKTEST'!A857</f>
        <v>42146.66667</v>
      </c>
      <c r="B854" s="22">
        <f>'EQUITY BACKTEST'!B857</f>
        <v>2126.06</v>
      </c>
      <c r="C854" s="22">
        <f>1/'EQUITY BACKTEST'!E857</f>
        <v>0.8932559178</v>
      </c>
      <c r="D854" s="22">
        <f t="shared" si="5"/>
        <v>0.0716894104</v>
      </c>
      <c r="E854" s="22">
        <f t="shared" si="3"/>
        <v>0.001568734601</v>
      </c>
      <c r="F854" s="22">
        <f t="shared" si="6"/>
        <v>0.1186668982</v>
      </c>
      <c r="H854" s="22" t="str">
        <f t="shared" si="4"/>
        <v/>
      </c>
      <c r="I854" s="22" t="str">
        <f t="shared" si="1"/>
        <v>#N/A</v>
      </c>
      <c r="J854" s="22" t="str">
        <f t="shared" si="2"/>
        <v>#N/A</v>
      </c>
      <c r="K854" s="22" t="str">
        <f t="array" ref="K854">IF(H854="Crash",MATCH(TRUE, B855:B952 &gt;= B853, 0),"")</f>
        <v/>
      </c>
    </row>
    <row r="855" ht="15.75" customHeight="1">
      <c r="A855" s="32">
        <f>'EQUITY BACKTEST'!A858</f>
        <v>42153.66667</v>
      </c>
      <c r="B855" s="22">
        <f>'EQUITY BACKTEST'!B858</f>
        <v>2107.39</v>
      </c>
      <c r="C855" s="22">
        <f>1/'EQUITY BACKTEST'!E858</f>
        <v>0.8934953538</v>
      </c>
      <c r="D855" s="22">
        <f t="shared" si="5"/>
        <v>0.07818567082</v>
      </c>
      <c r="E855" s="22">
        <f t="shared" si="3"/>
        <v>-0.008781501933</v>
      </c>
      <c r="F855" s="22">
        <f t="shared" si="6"/>
        <v>0.09556189793</v>
      </c>
      <c r="H855" s="22" t="str">
        <f t="shared" si="4"/>
        <v/>
      </c>
      <c r="I855" s="22" t="str">
        <f t="shared" si="1"/>
        <v>#N/A</v>
      </c>
      <c r="J855" s="22" t="str">
        <f t="shared" si="2"/>
        <v>#N/A</v>
      </c>
      <c r="K855" s="22" t="str">
        <f t="array" ref="K855">IF(H855="Crash",MATCH(TRUE, B856:B953 &gt;= B854, 0),"")</f>
        <v/>
      </c>
    </row>
    <row r="856" ht="15.75" customHeight="1">
      <c r="A856" s="32">
        <f>'EQUITY BACKTEST'!A859</f>
        <v>42160.66667</v>
      </c>
      <c r="B856" s="22">
        <f>'EQUITY BACKTEST'!B859</f>
        <v>2092.83</v>
      </c>
      <c r="C856" s="22">
        <f>1/'EQUITY BACKTEST'!E859</f>
        <v>0.873591334</v>
      </c>
      <c r="D856" s="22">
        <f t="shared" si="5"/>
        <v>-0.02080929674</v>
      </c>
      <c r="E856" s="22">
        <f t="shared" si="3"/>
        <v>-0.006909020162</v>
      </c>
      <c r="F856" s="22">
        <f t="shared" si="6"/>
        <v>0.07355445666</v>
      </c>
      <c r="H856" s="22" t="str">
        <f t="shared" si="4"/>
        <v/>
      </c>
      <c r="I856" s="22" t="str">
        <f t="shared" si="1"/>
        <v>#N/A</v>
      </c>
      <c r="J856" s="22" t="str">
        <f t="shared" si="2"/>
        <v>#N/A</v>
      </c>
      <c r="K856" s="22" t="str">
        <f t="array" ref="K856">IF(H856="Crash",MATCH(TRUE, B857:B954 &gt;= B855, 0),"")</f>
        <v/>
      </c>
    </row>
    <row r="857" ht="15.75" customHeight="1">
      <c r="A857" s="32">
        <f>'EQUITY BACKTEST'!A860</f>
        <v>42167.66667</v>
      </c>
      <c r="B857" s="22">
        <f>'EQUITY BACKTEST'!B860</f>
        <v>2094.11</v>
      </c>
      <c r="C857" s="22">
        <f>1/'EQUITY BACKTEST'!E860</f>
        <v>0.9081002543</v>
      </c>
      <c r="D857" s="22">
        <f t="shared" si="5"/>
        <v>-0.3133146021</v>
      </c>
      <c r="E857" s="22">
        <f t="shared" si="3"/>
        <v>0.0006116120277</v>
      </c>
      <c r="F857" s="22">
        <f t="shared" si="6"/>
        <v>0.08157900174</v>
      </c>
      <c r="H857" s="22" t="str">
        <f t="shared" si="4"/>
        <v/>
      </c>
      <c r="I857" s="22" t="str">
        <f t="shared" si="1"/>
        <v>#N/A</v>
      </c>
      <c r="J857" s="22" t="str">
        <f t="shared" si="2"/>
        <v>#N/A</v>
      </c>
      <c r="K857" s="22" t="str">
        <f t="array" ref="K857">IF(H857="Crash",MATCH(TRUE, B858:B955 &gt;= B856, 0),"")</f>
        <v/>
      </c>
    </row>
    <row r="858" ht="15.75" customHeight="1">
      <c r="A858" s="32">
        <f>'EQUITY BACKTEST'!A861</f>
        <v>42174.66667</v>
      </c>
      <c r="B858" s="22">
        <f>'EQUITY BACKTEST'!B861</f>
        <v>2109.99</v>
      </c>
      <c r="C858" s="22">
        <f>1/'EQUITY BACKTEST'!E861</f>
        <v>0.9097525473</v>
      </c>
      <c r="D858" s="22">
        <f t="shared" si="5"/>
        <v>-0.3020032277</v>
      </c>
      <c r="E858" s="22">
        <f t="shared" si="3"/>
        <v>0.007583173759</v>
      </c>
      <c r="F858" s="22">
        <f t="shared" si="6"/>
        <v>0.07495147412</v>
      </c>
      <c r="H858" s="22" t="str">
        <f t="shared" si="4"/>
        <v/>
      </c>
      <c r="I858" s="22" t="str">
        <f t="shared" si="1"/>
        <v>#N/A</v>
      </c>
      <c r="J858" s="22" t="str">
        <f t="shared" si="2"/>
        <v>#N/A</v>
      </c>
      <c r="K858" s="22" t="str">
        <f t="array" ref="K858">IF(H858="Crash",MATCH(TRUE, B859:B956 &gt;= B857, 0),"")</f>
        <v/>
      </c>
    </row>
    <row r="859" ht="15.75" customHeight="1">
      <c r="A859" s="32">
        <f>'EQUITY BACKTEST'!A862</f>
        <v>42181.66667</v>
      </c>
      <c r="B859" s="22">
        <f>'EQUITY BACKTEST'!B862</f>
        <v>2101.49</v>
      </c>
      <c r="C859" s="22">
        <f>1/'EQUITY BACKTEST'!E862</f>
        <v>0.8997660608</v>
      </c>
      <c r="D859" s="22">
        <f t="shared" si="5"/>
        <v>-0.2862605714</v>
      </c>
      <c r="E859" s="22">
        <f t="shared" si="3"/>
        <v>-0.004028455111</v>
      </c>
      <c r="F859" s="22">
        <f t="shared" si="6"/>
        <v>0.07166387892</v>
      </c>
      <c r="H859" s="22" t="str">
        <f t="shared" si="4"/>
        <v/>
      </c>
      <c r="I859" s="22" t="str">
        <f t="shared" si="1"/>
        <v>#N/A</v>
      </c>
      <c r="J859" s="22" t="str">
        <f t="shared" si="2"/>
        <v>#N/A</v>
      </c>
      <c r="K859" s="22" t="str">
        <f t="array" ref="K859">IF(H859="Crash",MATCH(TRUE, B860:B957 &gt;= B858, 0),"")</f>
        <v/>
      </c>
    </row>
    <row r="860" ht="15.75" customHeight="1">
      <c r="A860" s="32">
        <f>'EQUITY BACKTEST'!A863</f>
        <v>42187.66667</v>
      </c>
      <c r="B860" s="22">
        <f>'EQUITY BACKTEST'!B863</f>
        <v>2076.78</v>
      </c>
      <c r="C860" s="22">
        <f>1/'EQUITY BACKTEST'!E863</f>
        <v>0.8880206021</v>
      </c>
      <c r="D860" s="22">
        <f t="shared" si="5"/>
        <v>0.2858858084</v>
      </c>
      <c r="E860" s="22">
        <f t="shared" si="3"/>
        <v>-0.01175832386</v>
      </c>
      <c r="F860" s="22">
        <f t="shared" si="6"/>
        <v>0.04600491579</v>
      </c>
      <c r="H860" s="22" t="str">
        <f t="shared" si="4"/>
        <v/>
      </c>
      <c r="I860" s="22" t="str">
        <f t="shared" si="1"/>
        <v>#N/A</v>
      </c>
      <c r="J860" s="22" t="str">
        <f t="shared" si="2"/>
        <v>#N/A</v>
      </c>
      <c r="K860" s="22" t="str">
        <f t="array" ref="K860">IF(H860="Crash",MATCH(TRUE, B861:B958 &gt;= B859, 0),"")</f>
        <v/>
      </c>
    </row>
    <row r="861" ht="15.75" customHeight="1">
      <c r="A861" s="32">
        <f>'EQUITY BACKTEST'!A864</f>
        <v>42195.66667</v>
      </c>
      <c r="B861" s="22">
        <f>'EQUITY BACKTEST'!B864</f>
        <v>2076.62</v>
      </c>
      <c r="C861" s="22">
        <f>1/'EQUITY BACKTEST'!E864</f>
        <v>0.8811349018</v>
      </c>
      <c r="D861" s="22">
        <f t="shared" si="5"/>
        <v>0.425680061</v>
      </c>
      <c r="E861" s="22">
        <f t="shared" si="3"/>
        <v>-0.0000770423444</v>
      </c>
      <c r="F861" s="22">
        <f t="shared" si="6"/>
        <v>0.05542369522</v>
      </c>
      <c r="H861" s="22" t="str">
        <f t="shared" si="4"/>
        <v/>
      </c>
      <c r="I861" s="22" t="str">
        <f t="shared" si="1"/>
        <v>#N/A</v>
      </c>
      <c r="J861" s="22" t="str">
        <f t="shared" si="2"/>
        <v>#N/A</v>
      </c>
      <c r="K861" s="22" t="str">
        <f t="array" ref="K861">IF(H861="Crash",MATCH(TRUE, B862:B959 &gt;= B860, 0),"")</f>
        <v/>
      </c>
    </row>
    <row r="862" ht="15.75" customHeight="1">
      <c r="A862" s="32">
        <f>'EQUITY BACKTEST'!A865</f>
        <v>42202.66667</v>
      </c>
      <c r="B862" s="22">
        <f>'EQUITY BACKTEST'!B865</f>
        <v>2126.64</v>
      </c>
      <c r="C862" s="22">
        <f>1/'EQUITY BACKTEST'!E865</f>
        <v>0.8956560681</v>
      </c>
      <c r="D862" s="22">
        <f t="shared" si="5"/>
        <v>0.4658703551</v>
      </c>
      <c r="E862" s="22">
        <f t="shared" si="3"/>
        <v>0.02408721865</v>
      </c>
      <c r="F862" s="22">
        <f t="shared" si="6"/>
        <v>0.07502704451</v>
      </c>
      <c r="H862" s="22" t="str">
        <f t="shared" si="4"/>
        <v/>
      </c>
      <c r="I862" s="22" t="str">
        <f t="shared" si="1"/>
        <v>#N/A</v>
      </c>
      <c r="J862" s="22" t="str">
        <f t="shared" si="2"/>
        <v>#N/A</v>
      </c>
      <c r="K862" s="22" t="str">
        <f t="array" ref="K862">IF(H862="Crash",MATCH(TRUE, B863:B960 &gt;= B861, 0),"")</f>
        <v/>
      </c>
    </row>
    <row r="863" ht="15.75" customHeight="1">
      <c r="A863" s="32">
        <f>'EQUITY BACKTEST'!A866</f>
        <v>42209.66667</v>
      </c>
      <c r="B863" s="22">
        <f>'EQUITY BACKTEST'!B866</f>
        <v>2079.65</v>
      </c>
      <c r="C863" s="22">
        <f>1/'EQUITY BACKTEST'!E866</f>
        <v>0.8997660608</v>
      </c>
      <c r="D863" s="22">
        <f t="shared" si="5"/>
        <v>0.4307963293</v>
      </c>
      <c r="E863" s="22">
        <f t="shared" si="3"/>
        <v>-0.02209588835</v>
      </c>
      <c r="F863" s="22">
        <f t="shared" si="6"/>
        <v>0.05120959997</v>
      </c>
      <c r="H863" s="22" t="str">
        <f t="shared" si="4"/>
        <v/>
      </c>
      <c r="I863" s="22" t="str">
        <f t="shared" si="1"/>
        <v>#N/A</v>
      </c>
      <c r="J863" s="22" t="str">
        <f t="shared" si="2"/>
        <v>#N/A</v>
      </c>
      <c r="K863" s="22" t="str">
        <f t="array" ref="K863">IF(H863="Crash",MATCH(TRUE, B864:B961 &gt;= B862, 0),"")</f>
        <v/>
      </c>
    </row>
    <row r="864" ht="15.75" customHeight="1">
      <c r="A864" s="32">
        <f>'EQUITY BACKTEST'!A867</f>
        <v>42216.66667</v>
      </c>
      <c r="B864" s="22">
        <f>'EQUITY BACKTEST'!B867</f>
        <v>2103.84</v>
      </c>
      <c r="C864" s="22">
        <f>1/'EQUITY BACKTEST'!E867</f>
        <v>0.8964188069</v>
      </c>
      <c r="D864" s="22">
        <f t="shared" si="5"/>
        <v>0.4881127247</v>
      </c>
      <c r="E864" s="22">
        <f t="shared" si="3"/>
        <v>0.01163176496</v>
      </c>
      <c r="F864" s="22">
        <f t="shared" si="6"/>
        <v>0.0928187414</v>
      </c>
      <c r="H864" s="22" t="str">
        <f t="shared" si="4"/>
        <v/>
      </c>
      <c r="I864" s="22" t="str">
        <f t="shared" si="1"/>
        <v>#N/A</v>
      </c>
      <c r="J864" s="22" t="str">
        <f t="shared" si="2"/>
        <v>#N/A</v>
      </c>
      <c r="K864" s="22" t="str">
        <f t="array" ref="K864">IF(H864="Crash",MATCH(TRUE, B865:B962 &gt;= B863, 0),"")</f>
        <v/>
      </c>
    </row>
    <row r="865" ht="15.75" customHeight="1">
      <c r="A865" s="32">
        <f>'EQUITY BACKTEST'!A868</f>
        <v>42223.66667</v>
      </c>
      <c r="B865" s="22">
        <f>'EQUITY BACKTEST'!B868</f>
        <v>2077.57</v>
      </c>
      <c r="C865" s="22">
        <f>1/'EQUITY BACKTEST'!E868</f>
        <v>0.9236168837</v>
      </c>
      <c r="D865" s="22">
        <f t="shared" si="5"/>
        <v>0.1653303715</v>
      </c>
      <c r="E865" s="22">
        <f t="shared" si="3"/>
        <v>-0.012486691</v>
      </c>
      <c r="F865" s="22">
        <f t="shared" si="6"/>
        <v>0.07557504439</v>
      </c>
      <c r="H865" s="22" t="str">
        <f t="shared" si="4"/>
        <v/>
      </c>
      <c r="I865" s="22" t="str">
        <f t="shared" si="1"/>
        <v>#N/A</v>
      </c>
      <c r="J865" s="22" t="str">
        <f t="shared" si="2"/>
        <v>#N/A</v>
      </c>
      <c r="K865" s="22" t="str">
        <f t="array" ref="K865">IF(H865="Crash",MATCH(TRUE, B866:B963 &gt;= B864, 0),"")</f>
        <v/>
      </c>
    </row>
    <row r="866" ht="15.75" customHeight="1">
      <c r="A866" s="32">
        <f>'EQUITY BACKTEST'!A869</f>
        <v>42230.66667</v>
      </c>
      <c r="B866" s="22">
        <f>'EQUITY BACKTEST'!B869</f>
        <v>2091.54</v>
      </c>
      <c r="C866" s="22">
        <f>1/'EQUITY BACKTEST'!E869</f>
        <v>0.9107468124</v>
      </c>
      <c r="D866" s="22">
        <f t="shared" si="5"/>
        <v>-0.03050395838</v>
      </c>
      <c r="E866" s="22">
        <f t="shared" si="3"/>
        <v>0.006724201832</v>
      </c>
      <c r="F866" s="22">
        <f t="shared" si="6"/>
        <v>0.06980859922</v>
      </c>
      <c r="H866" s="22" t="str">
        <f t="shared" si="4"/>
        <v/>
      </c>
      <c r="I866" s="22" t="str">
        <f t="shared" si="1"/>
        <v>#N/A</v>
      </c>
      <c r="J866" s="22" t="str">
        <f t="shared" si="2"/>
        <v>#N/A</v>
      </c>
      <c r="K866" s="22" t="str">
        <f t="array" ref="K866">IF(H866="Crash",MATCH(TRUE, B867:B964 &gt;= B865, 0),"")</f>
        <v/>
      </c>
    </row>
    <row r="867" ht="15.75" customHeight="1">
      <c r="A867" s="32">
        <f>'EQUITY BACKTEST'!A870</f>
        <v>42237.66667</v>
      </c>
      <c r="B867" s="22">
        <f>'EQUITY BACKTEST'!B870</f>
        <v>1970.89</v>
      </c>
      <c r="C867" s="22">
        <f>1/'EQUITY BACKTEST'!E870</f>
        <v>0.9104980424</v>
      </c>
      <c r="D867" s="22">
        <f t="shared" si="5"/>
        <v>-0.2174978298</v>
      </c>
      <c r="E867" s="22">
        <f t="shared" si="3"/>
        <v>-0.05768476816</v>
      </c>
      <c r="F867" s="22">
        <f t="shared" si="6"/>
        <v>-0.008806075236</v>
      </c>
      <c r="H867" s="22" t="str">
        <f t="shared" si="4"/>
        <v>Crash</v>
      </c>
      <c r="I867" s="22">
        <f t="shared" si="1"/>
        <v>-5.768476816</v>
      </c>
      <c r="J867" s="22">
        <f t="shared" si="2"/>
        <v>-21.74978298</v>
      </c>
      <c r="K867" s="22">
        <f t="array" ref="K867">IF(H867="Crash",MATCH(TRUE, B868:B965 &gt;= B866, 0),"")</f>
        <v>11</v>
      </c>
    </row>
    <row r="868" ht="15.75" customHeight="1">
      <c r="A868" s="32">
        <f>'EQUITY BACKTEST'!A871</f>
        <v>42244.66667</v>
      </c>
      <c r="B868" s="22">
        <f>'EQUITY BACKTEST'!B871</f>
        <v>1988.87</v>
      </c>
      <c r="C868" s="22">
        <f>1/'EQUITY BACKTEST'!E871</f>
        <v>0.9119927041</v>
      </c>
      <c r="D868" s="22">
        <f t="shared" si="5"/>
        <v>-0.2994666797</v>
      </c>
      <c r="E868" s="22">
        <f t="shared" si="3"/>
        <v>0.009122782093</v>
      </c>
      <c r="F868" s="22">
        <f t="shared" si="6"/>
        <v>-0.0072378043</v>
      </c>
      <c r="H868" s="22" t="str">
        <f t="shared" si="4"/>
        <v/>
      </c>
      <c r="I868" s="22" t="str">
        <f t="shared" si="1"/>
        <v>#N/A</v>
      </c>
      <c r="J868" s="22" t="str">
        <f t="shared" si="2"/>
        <v>#N/A</v>
      </c>
      <c r="K868" s="22" t="str">
        <f t="array" ref="K868">IF(H868="Crash",MATCH(TRUE, B869:B966 &gt;= B867, 0),"")</f>
        <v/>
      </c>
    </row>
    <row r="869" ht="15.75" customHeight="1">
      <c r="A869" s="32">
        <f>'EQUITY BACKTEST'!A872</f>
        <v>42251.66667</v>
      </c>
      <c r="B869" s="22">
        <f>'EQUITY BACKTEST'!B872</f>
        <v>1921.22</v>
      </c>
      <c r="C869" s="22">
        <f>1/'EQUITY BACKTEST'!E872</f>
        <v>0.9005763689</v>
      </c>
      <c r="D869" s="22">
        <f t="shared" si="5"/>
        <v>-0.1713632538</v>
      </c>
      <c r="E869" s="22">
        <f t="shared" si="3"/>
        <v>-0.03401428952</v>
      </c>
      <c r="F869" s="22">
        <f t="shared" si="6"/>
        <v>-0.04307893072</v>
      </c>
      <c r="H869" s="22" t="str">
        <f t="shared" si="4"/>
        <v/>
      </c>
      <c r="I869" s="22" t="str">
        <f t="shared" si="1"/>
        <v>#N/A</v>
      </c>
      <c r="J869" s="22" t="str">
        <f t="shared" si="2"/>
        <v>#N/A</v>
      </c>
      <c r="K869" s="22" t="str">
        <f t="array" ref="K869">IF(H869="Crash",MATCH(TRUE, B870:B967 &gt;= B868, 0),"")</f>
        <v/>
      </c>
    </row>
    <row r="870" ht="15.75" customHeight="1">
      <c r="A870" s="32">
        <f>'EQUITY BACKTEST'!A873</f>
        <v>42258.66667</v>
      </c>
      <c r="B870" s="22">
        <f>'EQUITY BACKTEST'!B873</f>
        <v>1961.05</v>
      </c>
      <c r="C870" s="22">
        <f>1/'EQUITY BACKTEST'!E873</f>
        <v>0.8785030308</v>
      </c>
      <c r="D870" s="22">
        <f t="shared" si="5"/>
        <v>0.05469136816</v>
      </c>
      <c r="E870" s="22">
        <f t="shared" si="3"/>
        <v>0.02073161845</v>
      </c>
      <c r="F870" s="22">
        <f t="shared" si="6"/>
        <v>-0.01233417609</v>
      </c>
      <c r="H870" s="22" t="str">
        <f t="shared" si="4"/>
        <v/>
      </c>
      <c r="I870" s="22" t="str">
        <f t="shared" si="1"/>
        <v>#N/A</v>
      </c>
      <c r="J870" s="22" t="str">
        <f t="shared" si="2"/>
        <v>#N/A</v>
      </c>
      <c r="K870" s="22" t="str">
        <f t="array" ref="K870">IF(H870="Crash",MATCH(TRUE, B871:B968 &gt;= B869, 0),"")</f>
        <v/>
      </c>
    </row>
    <row r="871" ht="15.75" customHeight="1">
      <c r="A871" s="32">
        <f>'EQUITY BACKTEST'!A874</f>
        <v>42265.66667</v>
      </c>
      <c r="B871" s="22">
        <f>'EQUITY BACKTEST'!B874</f>
        <v>1958.03</v>
      </c>
      <c r="C871" s="22">
        <f>1/'EQUITY BACKTEST'!E874</f>
        <v>0.8943743851</v>
      </c>
      <c r="D871" s="22">
        <f t="shared" si="5"/>
        <v>0.04155077341</v>
      </c>
      <c r="E871" s="22">
        <f t="shared" si="3"/>
        <v>-0.001539991331</v>
      </c>
      <c r="F871" s="22">
        <f t="shared" si="6"/>
        <v>-0.02604954238</v>
      </c>
      <c r="H871" s="22" t="str">
        <f t="shared" si="4"/>
        <v/>
      </c>
      <c r="I871" s="22" t="str">
        <f t="shared" si="1"/>
        <v>#N/A</v>
      </c>
      <c r="J871" s="22" t="str">
        <f t="shared" si="2"/>
        <v>#N/A</v>
      </c>
      <c r="K871" s="22" t="str">
        <f t="array" ref="K871">IF(H871="Crash",MATCH(TRUE, B872:B969 &gt;= B870, 0),"")</f>
        <v/>
      </c>
    </row>
    <row r="872" ht="15.75" customHeight="1">
      <c r="A872" s="32">
        <f>'EQUITY BACKTEST'!A875</f>
        <v>42272.66667</v>
      </c>
      <c r="B872" s="22">
        <f>'EQUITY BACKTEST'!B875</f>
        <v>1931.34</v>
      </c>
      <c r="C872" s="22">
        <f>1/'EQUITY BACKTEST'!E875</f>
        <v>0.8968609865</v>
      </c>
      <c r="D872" s="22">
        <f t="shared" si="5"/>
        <v>0.05764247831</v>
      </c>
      <c r="E872" s="22">
        <f t="shared" si="3"/>
        <v>-0.01363104753</v>
      </c>
      <c r="F872" s="22">
        <f t="shared" si="6"/>
        <v>-0.02597775929</v>
      </c>
      <c r="H872" s="22" t="str">
        <f t="shared" si="4"/>
        <v/>
      </c>
      <c r="I872" s="22" t="str">
        <f t="shared" si="1"/>
        <v>#N/A</v>
      </c>
      <c r="J872" s="22" t="str">
        <f t="shared" si="2"/>
        <v>#N/A</v>
      </c>
      <c r="K872" s="22" t="str">
        <f t="array" ref="K872">IF(H872="Crash",MATCH(TRUE, B873:B970 &gt;= B871, 0),"")</f>
        <v/>
      </c>
    </row>
    <row r="873" ht="15.75" customHeight="1">
      <c r="A873" s="32">
        <f>'EQUITY BACKTEST'!A876</f>
        <v>42279.66667</v>
      </c>
      <c r="B873" s="22">
        <f>'EQUITY BACKTEST'!B876</f>
        <v>1951.36</v>
      </c>
      <c r="C873" s="22">
        <f>1/'EQUITY BACKTEST'!E876</f>
        <v>0.8819664324</v>
      </c>
      <c r="D873" s="22">
        <f t="shared" si="5"/>
        <v>0.2053572024</v>
      </c>
      <c r="E873" s="22">
        <f t="shared" si="3"/>
        <v>0.01036585997</v>
      </c>
      <c r="F873" s="22">
        <f t="shared" si="6"/>
        <v>-0.008404898623</v>
      </c>
      <c r="H873" s="22" t="str">
        <f t="shared" si="4"/>
        <v/>
      </c>
      <c r="I873" s="22" t="str">
        <f t="shared" si="1"/>
        <v>#N/A</v>
      </c>
      <c r="J873" s="22" t="str">
        <f t="shared" si="2"/>
        <v>#N/A</v>
      </c>
      <c r="K873" s="22" t="str">
        <f t="array" ref="K873">IF(H873="Crash",MATCH(TRUE, B874:B971 &gt;= B872, 0),"")</f>
        <v/>
      </c>
    </row>
    <row r="874" ht="15.75" customHeight="1">
      <c r="A874" s="32">
        <f>'EQUITY BACKTEST'!A877</f>
        <v>42286.66667</v>
      </c>
      <c r="B874" s="22">
        <f>'EQUITY BACKTEST'!B877</f>
        <v>2014.89</v>
      </c>
      <c r="C874" s="22">
        <f>1/'EQUITY BACKTEST'!E877</f>
        <v>0.8847991506</v>
      </c>
      <c r="D874" s="22">
        <f t="shared" si="5"/>
        <v>0.3138647227</v>
      </c>
      <c r="E874" s="22">
        <f t="shared" si="3"/>
        <v>0.03255678091</v>
      </c>
      <c r="F874" s="22">
        <f t="shared" si="6"/>
        <v>0.05705801808</v>
      </c>
      <c r="H874" s="22" t="str">
        <f t="shared" si="4"/>
        <v/>
      </c>
      <c r="I874" s="22" t="str">
        <f t="shared" si="1"/>
        <v>#N/A</v>
      </c>
      <c r="J874" s="22" t="str">
        <f t="shared" si="2"/>
        <v>#N/A</v>
      </c>
      <c r="K874" s="22" t="str">
        <f t="array" ref="K874">IF(H874="Crash",MATCH(TRUE, B875:B972 &gt;= B873, 0),"")</f>
        <v/>
      </c>
    </row>
    <row r="875" ht="15.75" customHeight="1">
      <c r="A875" s="32">
        <f>'EQUITY BACKTEST'!A878</f>
        <v>42293.66667</v>
      </c>
      <c r="B875" s="22">
        <f>'EQUITY BACKTEST'!B878</f>
        <v>2033.11</v>
      </c>
      <c r="C875" s="22">
        <f>1/'EQUITY BACKTEST'!E878</f>
        <v>0.8934155276</v>
      </c>
      <c r="D875" s="22">
        <f t="shared" si="5"/>
        <v>0.3752558776</v>
      </c>
      <c r="E875" s="22">
        <f t="shared" si="3"/>
        <v>0.009042677268</v>
      </c>
      <c r="F875" s="22">
        <f t="shared" si="6"/>
        <v>0.07756683415</v>
      </c>
      <c r="H875" s="22" t="str">
        <f t="shared" si="4"/>
        <v/>
      </c>
      <c r="I875" s="22" t="str">
        <f t="shared" si="1"/>
        <v>#N/A</v>
      </c>
      <c r="J875" s="22" t="str">
        <f t="shared" si="2"/>
        <v>#N/A</v>
      </c>
      <c r="K875" s="22" t="str">
        <f t="array" ref="K875">IF(H875="Crash",MATCH(TRUE, B876:B973 &gt;= B874, 0),"")</f>
        <v/>
      </c>
    </row>
    <row r="876" ht="15.75" customHeight="1">
      <c r="A876" s="32">
        <f>'EQUITY BACKTEST'!A879</f>
        <v>42300.66667</v>
      </c>
      <c r="B876" s="22">
        <f>'EQUITY BACKTEST'!B879</f>
        <v>2075.15</v>
      </c>
      <c r="C876" s="22">
        <f>1/'EQUITY BACKTEST'!E879</f>
        <v>0.8921402444</v>
      </c>
      <c r="D876" s="22">
        <f t="shared" si="5"/>
        <v>0.3214192364</v>
      </c>
      <c r="E876" s="22">
        <f t="shared" si="3"/>
        <v>0.02067768099</v>
      </c>
      <c r="F876" s="22">
        <f t="shared" si="6"/>
        <v>0.05628174979</v>
      </c>
      <c r="H876" s="22" t="str">
        <f t="shared" si="4"/>
        <v/>
      </c>
      <c r="I876" s="22" t="str">
        <f t="shared" si="1"/>
        <v>#N/A</v>
      </c>
      <c r="J876" s="22" t="str">
        <f t="shared" si="2"/>
        <v>#N/A</v>
      </c>
      <c r="K876" s="22" t="str">
        <f t="array" ref="K876">IF(H876="Crash",MATCH(TRUE, B877:B974 &gt;= B875, 0),"")</f>
        <v/>
      </c>
    </row>
    <row r="877" ht="15.75" customHeight="1">
      <c r="A877" s="32">
        <f>'EQUITY BACKTEST'!A880</f>
        <v>42307.66667</v>
      </c>
      <c r="B877" s="22">
        <f>'EQUITY BACKTEST'!B880</f>
        <v>2079.36</v>
      </c>
      <c r="C877" s="22">
        <f>1/'EQUITY BACKTEST'!E880</f>
        <v>0.8807468733</v>
      </c>
      <c r="D877" s="22">
        <f t="shared" si="5"/>
        <v>0.2047133117</v>
      </c>
      <c r="E877" s="22">
        <f t="shared" si="3"/>
        <v>0.002028769005</v>
      </c>
      <c r="F877" s="22">
        <f t="shared" si="6"/>
        <v>0.03038081316</v>
      </c>
      <c r="H877" s="22" t="str">
        <f t="shared" si="4"/>
        <v/>
      </c>
      <c r="I877" s="22" t="str">
        <f t="shared" si="1"/>
        <v>#N/A</v>
      </c>
      <c r="J877" s="22" t="str">
        <f t="shared" si="2"/>
        <v>#N/A</v>
      </c>
      <c r="K877" s="22" t="str">
        <f t="array" ref="K877">IF(H877="Crash",MATCH(TRUE, B878:B975 &gt;= B876, 0),"")</f>
        <v/>
      </c>
    </row>
    <row r="878" ht="15.75" customHeight="1">
      <c r="A878" s="32">
        <f>'EQUITY BACKTEST'!A881</f>
        <v>42314.66667</v>
      </c>
      <c r="B878" s="22">
        <f>'EQUITY BACKTEST'!B881</f>
        <v>2099.2</v>
      </c>
      <c r="C878" s="22">
        <f>1/'EQUITY BACKTEST'!E881</f>
        <v>0.8809408448</v>
      </c>
      <c r="D878" s="22">
        <f t="shared" si="5"/>
        <v>-0.1418346251</v>
      </c>
      <c r="E878" s="22">
        <f t="shared" si="3"/>
        <v>0.009541397353</v>
      </c>
      <c r="F878" s="22">
        <f t="shared" si="6"/>
        <v>0.03311153982</v>
      </c>
      <c r="H878" s="22" t="str">
        <f t="shared" si="4"/>
        <v/>
      </c>
      <c r="I878" s="22" t="str">
        <f t="shared" si="1"/>
        <v>#N/A</v>
      </c>
      <c r="J878" s="22" t="str">
        <f t="shared" si="2"/>
        <v>#N/A</v>
      </c>
      <c r="K878" s="22" t="str">
        <f t="array" ref="K878">IF(H878="Crash",MATCH(TRUE, B879:B976 &gt;= B877, 0),"")</f>
        <v/>
      </c>
    </row>
    <row r="879" ht="15.75" customHeight="1">
      <c r="A879" s="32">
        <f>'EQUITY BACKTEST'!A882</f>
        <v>42321.66667</v>
      </c>
      <c r="B879" s="22">
        <f>'EQUITY BACKTEST'!B882</f>
        <v>2023.04</v>
      </c>
      <c r="C879" s="22">
        <f>1/'EQUITY BACKTEST'!E882</f>
        <v>0.907935355</v>
      </c>
      <c r="D879" s="22">
        <f t="shared" si="5"/>
        <v>-0.3075050167</v>
      </c>
      <c r="E879" s="22">
        <f t="shared" si="3"/>
        <v>-0.0362804878</v>
      </c>
      <c r="F879" s="22">
        <f t="shared" si="6"/>
        <v>-0.008226216039</v>
      </c>
      <c r="H879" s="22" t="str">
        <f t="shared" si="4"/>
        <v/>
      </c>
      <c r="I879" s="22" t="str">
        <f t="shared" si="1"/>
        <v>#N/A</v>
      </c>
      <c r="J879" s="22" t="str">
        <f t="shared" si="2"/>
        <v>#N/A</v>
      </c>
      <c r="K879" s="22" t="str">
        <f t="array" ref="K879">IF(H879="Crash",MATCH(TRUE, B880:B977 &gt;= B878, 0),"")</f>
        <v/>
      </c>
    </row>
    <row r="880" ht="15.75" customHeight="1">
      <c r="A880" s="32">
        <f>'EQUITY BACKTEST'!A883</f>
        <v>42328.66667</v>
      </c>
      <c r="B880" s="22">
        <f>'EQUITY BACKTEST'!B883</f>
        <v>2089.17</v>
      </c>
      <c r="C880" s="22">
        <f>1/'EQUITY BACKTEST'!E883</f>
        <v>0.9085953116</v>
      </c>
      <c r="D880" s="22">
        <f t="shared" si="5"/>
        <v>-0.07776003504</v>
      </c>
      <c r="E880" s="22">
        <f t="shared" si="3"/>
        <v>0.03268842929</v>
      </c>
      <c r="F880" s="22">
        <f t="shared" si="6"/>
        <v>0.01244002908</v>
      </c>
      <c r="H880" s="22" t="str">
        <f t="shared" si="4"/>
        <v/>
      </c>
      <c r="I880" s="22" t="str">
        <f t="shared" si="1"/>
        <v>#N/A</v>
      </c>
      <c r="J880" s="22" t="str">
        <f t="shared" si="2"/>
        <v>#N/A</v>
      </c>
      <c r="K880" s="22" t="str">
        <f t="array" ref="K880">IF(H880="Crash",MATCH(TRUE, B881:B978 &gt;= B879, 0),"")</f>
        <v/>
      </c>
    </row>
    <row r="881" ht="15.75" customHeight="1">
      <c r="A881" s="32">
        <f>'EQUITY BACKTEST'!A884</f>
        <v>42335.66667</v>
      </c>
      <c r="B881" s="22">
        <f>'EQUITY BACKTEST'!B884</f>
        <v>2090.11</v>
      </c>
      <c r="C881" s="22">
        <f>1/'EQUITY BACKTEST'!E884</f>
        <v>0.9310553512</v>
      </c>
      <c r="D881" s="22">
        <f t="shared" si="5"/>
        <v>0.2214194117</v>
      </c>
      <c r="E881" s="22">
        <f t="shared" si="3"/>
        <v>0.0004499394496</v>
      </c>
      <c r="F881" s="22">
        <f t="shared" si="6"/>
        <v>0.01090657587</v>
      </c>
      <c r="H881" s="22" t="str">
        <f t="shared" si="4"/>
        <v/>
      </c>
      <c r="I881" s="22" t="str">
        <f t="shared" si="1"/>
        <v>#N/A</v>
      </c>
      <c r="J881" s="22" t="str">
        <f t="shared" si="2"/>
        <v>#N/A</v>
      </c>
      <c r="K881" s="22" t="str">
        <f t="array" ref="K881">IF(H881="Crash",MATCH(TRUE, B882:B979 &gt;= B880, 0),"")</f>
        <v/>
      </c>
    </row>
    <row r="882" ht="15.75" customHeight="1">
      <c r="A882" s="32">
        <f>'EQUITY BACKTEST'!A885</f>
        <v>42342.66667</v>
      </c>
      <c r="B882" s="22">
        <f>'EQUITY BACKTEST'!B885</f>
        <v>2091.69</v>
      </c>
      <c r="C882" s="22">
        <f>1/'EQUITY BACKTEST'!E885</f>
        <v>0.9289363679</v>
      </c>
      <c r="D882" s="22">
        <f t="shared" si="5"/>
        <v>0.4061239955</v>
      </c>
      <c r="E882" s="22">
        <f t="shared" si="3"/>
        <v>0.0007559410749</v>
      </c>
      <c r="F882" s="22">
        <f t="shared" si="6"/>
        <v>0.007863658047</v>
      </c>
      <c r="H882" s="22" t="str">
        <f t="shared" si="4"/>
        <v/>
      </c>
      <c r="I882" s="22" t="str">
        <f t="shared" si="1"/>
        <v>#N/A</v>
      </c>
      <c r="J882" s="22" t="str">
        <f t="shared" si="2"/>
        <v>#N/A</v>
      </c>
      <c r="K882" s="22" t="str">
        <f t="array" ref="K882">IF(H882="Crash",MATCH(TRUE, B883:B980 &gt;= B881, 0),"")</f>
        <v/>
      </c>
    </row>
    <row r="883" ht="15.75" customHeight="1">
      <c r="A883" s="32">
        <f>'EQUITY BACKTEST'!A886</f>
        <v>42349.66667</v>
      </c>
      <c r="B883" s="22">
        <f>'EQUITY BACKTEST'!B886</f>
        <v>2012.37</v>
      </c>
      <c r="C883" s="22">
        <f>1/'EQUITY BACKTEST'!E886</f>
        <v>0.9392317085</v>
      </c>
      <c r="D883" s="22">
        <f t="shared" si="5"/>
        <v>0.2130601777</v>
      </c>
      <c r="E883" s="22">
        <f t="shared" si="3"/>
        <v>-0.03792148932</v>
      </c>
      <c r="F883" s="22">
        <f t="shared" si="6"/>
        <v>0.005014158505</v>
      </c>
      <c r="H883" s="22" t="str">
        <f t="shared" si="4"/>
        <v/>
      </c>
      <c r="I883" s="22" t="str">
        <f t="shared" si="1"/>
        <v>#N/A</v>
      </c>
      <c r="J883" s="22" t="str">
        <f t="shared" si="2"/>
        <v>#N/A</v>
      </c>
      <c r="K883" s="22" t="str">
        <f t="array" ref="K883">IF(H883="Crash",MATCH(TRUE, B884:B981 &gt;= B882, 0),"")</f>
        <v/>
      </c>
    </row>
    <row r="884" ht="15.75" customHeight="1">
      <c r="A884" s="32">
        <f>'EQUITY BACKTEST'!A887</f>
        <v>42356.66667</v>
      </c>
      <c r="B884" s="22">
        <f>'EQUITY BACKTEST'!B887</f>
        <v>2005.55</v>
      </c>
      <c r="C884" s="22">
        <f>1/'EQUITY BACKTEST'!E887</f>
        <v>0.9441979039</v>
      </c>
      <c r="D884" s="22">
        <f t="shared" si="5"/>
        <v>0.06957644122</v>
      </c>
      <c r="E884" s="22">
        <f t="shared" si="3"/>
        <v>-0.003389038795</v>
      </c>
      <c r="F884" s="22">
        <f t="shared" si="6"/>
        <v>-0.03143940309</v>
      </c>
      <c r="H884" s="22" t="str">
        <f t="shared" si="4"/>
        <v/>
      </c>
      <c r="I884" s="22" t="str">
        <f t="shared" si="1"/>
        <v>#N/A</v>
      </c>
      <c r="J884" s="22" t="str">
        <f t="shared" si="2"/>
        <v>#N/A</v>
      </c>
      <c r="K884" s="22" t="str">
        <f t="array" ref="K884">IF(H884="Crash",MATCH(TRUE, B885:B982 &gt;= B883, 0),"")</f>
        <v/>
      </c>
    </row>
    <row r="885" ht="15.75" customHeight="1">
      <c r="A885" s="32">
        <f>'EQUITY BACKTEST'!A888</f>
        <v>42362.66667</v>
      </c>
      <c r="B885" s="22">
        <f>'EQUITY BACKTEST'!B888</f>
        <v>2060.99</v>
      </c>
      <c r="C885" s="22">
        <f>1/'EQUITY BACKTEST'!E888</f>
        <v>0.9189909479</v>
      </c>
      <c r="D885" s="22">
        <f t="shared" si="5"/>
        <v>0.01887390723</v>
      </c>
      <c r="E885" s="22">
        <f t="shared" si="3"/>
        <v>0.02764328987</v>
      </c>
      <c r="F885" s="22">
        <f t="shared" si="6"/>
        <v>-0.01329969312</v>
      </c>
      <c r="H885" s="22" t="str">
        <f t="shared" si="4"/>
        <v/>
      </c>
      <c r="I885" s="22" t="str">
        <f t="shared" si="1"/>
        <v>#N/A</v>
      </c>
      <c r="J885" s="22" t="str">
        <f t="shared" si="2"/>
        <v>#N/A</v>
      </c>
      <c r="K885" s="22" t="str">
        <f t="array" ref="K885">IF(H885="Crash",MATCH(TRUE, B886:B983 &gt;= B884, 0),"")</f>
        <v/>
      </c>
    </row>
    <row r="886" ht="15.75" customHeight="1">
      <c r="A886" s="32">
        <f>'EQUITY BACKTEST'!A889</f>
        <v>42369.66667</v>
      </c>
      <c r="B886" s="22">
        <f>'EQUITY BACKTEST'!B889</f>
        <v>2043.94</v>
      </c>
      <c r="C886" s="22">
        <f>1/'EQUITY BACKTEST'!E889</f>
        <v>0.9097525473</v>
      </c>
      <c r="D886" s="22">
        <f t="shared" si="5"/>
        <v>-0.2643809304</v>
      </c>
      <c r="E886" s="22">
        <f t="shared" si="3"/>
        <v>-0.008272723303</v>
      </c>
      <c r="F886" s="22">
        <f t="shared" si="6"/>
        <v>-0.006928384025</v>
      </c>
      <c r="H886" s="22" t="str">
        <f t="shared" si="4"/>
        <v/>
      </c>
      <c r="I886" s="22" t="str">
        <f t="shared" si="1"/>
        <v>#N/A</v>
      </c>
      <c r="J886" s="22" t="str">
        <f t="shared" si="2"/>
        <v>#N/A</v>
      </c>
      <c r="K886" s="22" t="str">
        <f t="array" ref="K886">IF(H886="Crash",MATCH(TRUE, B887:B984 &gt;= B885, 0),"")</f>
        <v/>
      </c>
    </row>
    <row r="887" ht="15.75" customHeight="1">
      <c r="A887" s="32">
        <f>'EQUITY BACKTEST'!A890</f>
        <v>42377.66667</v>
      </c>
      <c r="B887" s="22">
        <f>'EQUITY BACKTEST'!B890</f>
        <v>1922.03</v>
      </c>
      <c r="C887" s="22">
        <f>1/'EQUITY BACKTEST'!E890</f>
        <v>0.920276451</v>
      </c>
      <c r="D887" s="22">
        <f t="shared" si="5"/>
        <v>-0.3688149921</v>
      </c>
      <c r="E887" s="22">
        <f t="shared" si="3"/>
        <v>-0.05964460796</v>
      </c>
      <c r="F887" s="22">
        <f t="shared" si="6"/>
        <v>-0.06004469853</v>
      </c>
      <c r="H887" s="22" t="str">
        <f t="shared" si="4"/>
        <v>Crash</v>
      </c>
      <c r="I887" s="22">
        <f t="shared" si="1"/>
        <v>-5.964460796</v>
      </c>
      <c r="J887" s="22">
        <f t="shared" si="2"/>
        <v>-36.88149921</v>
      </c>
      <c r="K887" s="22">
        <f t="array" ref="K887">IF(H887="Crash",MATCH(TRUE, B888:B985 &gt;= B886, 0),"")</f>
        <v>10</v>
      </c>
    </row>
    <row r="888" ht="15.75" customHeight="1">
      <c r="A888" s="32">
        <f>'EQUITY BACKTEST'!A891</f>
        <v>42384.66667</v>
      </c>
      <c r="B888" s="22">
        <f>'EQUITY BACKTEST'!B891</f>
        <v>1880.33</v>
      </c>
      <c r="C888" s="22">
        <f>1/'EQUITY BACKTEST'!E891</f>
        <v>0.911410864</v>
      </c>
      <c r="D888" s="22">
        <f t="shared" si="5"/>
        <v>-0.2769266424</v>
      </c>
      <c r="E888" s="22">
        <f t="shared" si="3"/>
        <v>-0.0216958112</v>
      </c>
      <c r="F888" s="22">
        <f t="shared" si="6"/>
        <v>-0.06887621198</v>
      </c>
      <c r="H888" s="22" t="str">
        <f t="shared" si="4"/>
        <v/>
      </c>
      <c r="I888" s="22" t="str">
        <f t="shared" si="1"/>
        <v>#N/A</v>
      </c>
      <c r="J888" s="22" t="str">
        <f t="shared" si="2"/>
        <v>#N/A</v>
      </c>
      <c r="K888" s="22" t="str">
        <f t="array" ref="K888">IF(H888="Crash",MATCH(TRUE, B889:B986 &gt;= B887, 0),"")</f>
        <v/>
      </c>
    </row>
    <row r="889" ht="15.75" customHeight="1">
      <c r="A889" s="32">
        <f>'EQUITY BACKTEST'!A892</f>
        <v>42391.66667</v>
      </c>
      <c r="B889" s="22">
        <f>'EQUITY BACKTEST'!B892</f>
        <v>1906.9</v>
      </c>
      <c r="C889" s="22">
        <f>1/'EQUITY BACKTEST'!E892</f>
        <v>0.9248383845</v>
      </c>
      <c r="D889" s="22">
        <f t="shared" si="5"/>
        <v>-0.2734975283</v>
      </c>
      <c r="E889" s="22">
        <f t="shared" si="3"/>
        <v>0.01413049837</v>
      </c>
      <c r="F889" s="22">
        <f t="shared" si="6"/>
        <v>-0.07062997729</v>
      </c>
      <c r="H889" s="22" t="str">
        <f t="shared" si="4"/>
        <v/>
      </c>
      <c r="I889" s="22" t="str">
        <f t="shared" si="1"/>
        <v>#N/A</v>
      </c>
      <c r="J889" s="22" t="str">
        <f t="shared" si="2"/>
        <v>#N/A</v>
      </c>
      <c r="K889" s="22" t="str">
        <f t="array" ref="K889">IF(H889="Crash",MATCH(TRUE, B890:B987 &gt;= B888, 0),"")</f>
        <v/>
      </c>
    </row>
    <row r="890" ht="15.75" customHeight="1">
      <c r="A890" s="32">
        <f>'EQUITY BACKTEST'!A893</f>
        <v>42398.66667</v>
      </c>
      <c r="B890" s="22">
        <f>'EQUITY BACKTEST'!B893</f>
        <v>1940.24</v>
      </c>
      <c r="C890" s="22">
        <f>1/'EQUITY BACKTEST'!E893</f>
        <v>0.9159186664</v>
      </c>
      <c r="D890" s="22">
        <f t="shared" si="5"/>
        <v>-0.1645218652</v>
      </c>
      <c r="E890" s="22">
        <f t="shared" si="3"/>
        <v>0.01748387435</v>
      </c>
      <c r="F890" s="22">
        <f t="shared" si="6"/>
        <v>-0.02744374659</v>
      </c>
      <c r="H890" s="22" t="str">
        <f t="shared" si="4"/>
        <v/>
      </c>
      <c r="I890" s="22" t="str">
        <f t="shared" si="1"/>
        <v>#N/A</v>
      </c>
      <c r="J890" s="22" t="str">
        <f t="shared" si="2"/>
        <v>#N/A</v>
      </c>
      <c r="K890" s="22" t="str">
        <f t="array" ref="K890">IF(H890="Crash",MATCH(TRUE, B891:B988 &gt;= B889, 0),"")</f>
        <v/>
      </c>
    </row>
    <row r="891" ht="15.75" customHeight="1">
      <c r="A891" s="32">
        <f>'EQUITY BACKTEST'!A894</f>
        <v>42405.66667</v>
      </c>
      <c r="B891" s="22">
        <f>'EQUITY BACKTEST'!B894</f>
        <v>1880.05</v>
      </c>
      <c r="C891" s="22">
        <f>1/'EQUITY BACKTEST'!E894</f>
        <v>0.9165482792</v>
      </c>
      <c r="D891" s="22">
        <f t="shared" si="5"/>
        <v>0.1477463115</v>
      </c>
      <c r="E891" s="22">
        <f t="shared" si="3"/>
        <v>-0.03102193543</v>
      </c>
      <c r="F891" s="22">
        <f t="shared" si="6"/>
        <v>-0.08534301157</v>
      </c>
      <c r="H891" s="22" t="str">
        <f t="shared" si="4"/>
        <v/>
      </c>
      <c r="I891" s="22" t="str">
        <f t="shared" si="1"/>
        <v>#N/A</v>
      </c>
      <c r="J891" s="22" t="str">
        <f t="shared" si="2"/>
        <v>#N/A</v>
      </c>
      <c r="K891" s="22" t="str">
        <f t="array" ref="K891">IF(H891="Crash",MATCH(TRUE, B892:B989 &gt;= B890, 0),"")</f>
        <v/>
      </c>
    </row>
    <row r="892" ht="15.75" customHeight="1">
      <c r="A892" s="32">
        <f>'EQUITY BACKTEST'!A895</f>
        <v>42412.66667</v>
      </c>
      <c r="B892" s="22">
        <f>'EQUITY BACKTEST'!B895</f>
        <v>1864.78</v>
      </c>
      <c r="C892" s="22">
        <f>1/'EQUITY BACKTEST'!E895</f>
        <v>0.9260974254</v>
      </c>
      <c r="D892" s="22">
        <f t="shared" si="5"/>
        <v>0.1408382747</v>
      </c>
      <c r="E892" s="22">
        <f t="shared" si="3"/>
        <v>-0.008122124412</v>
      </c>
      <c r="F892" s="22">
        <f t="shared" si="6"/>
        <v>-0.1107349105</v>
      </c>
      <c r="H892" s="22" t="str">
        <f t="shared" si="4"/>
        <v/>
      </c>
      <c r="I892" s="22" t="str">
        <f t="shared" si="1"/>
        <v>#N/A</v>
      </c>
      <c r="J892" s="22" t="str">
        <f t="shared" si="2"/>
        <v>#N/A</v>
      </c>
      <c r="K892" s="22" t="str">
        <f t="array" ref="K892">IF(H892="Crash",MATCH(TRUE, B893:B990 &gt;= B891, 0),"")</f>
        <v/>
      </c>
    </row>
    <row r="893" ht="15.75" customHeight="1">
      <c r="A893" s="32">
        <f>'EQUITY BACKTEST'!A896</f>
        <v>42419.66667</v>
      </c>
      <c r="B893" s="22">
        <f>'EQUITY BACKTEST'!B896</f>
        <v>1917.78</v>
      </c>
      <c r="C893" s="22">
        <f>1/'EQUITY BACKTEST'!E896</f>
        <v>0.9233695602</v>
      </c>
      <c r="D893" s="22">
        <f t="shared" si="5"/>
        <v>0.3230164134</v>
      </c>
      <c r="E893" s="22">
        <f t="shared" si="3"/>
        <v>0.02842158324</v>
      </c>
      <c r="F893" s="22">
        <f t="shared" si="6"/>
        <v>-0.09122873525</v>
      </c>
      <c r="H893" s="22" t="str">
        <f t="shared" si="4"/>
        <v/>
      </c>
      <c r="I893" s="22" t="str">
        <f t="shared" si="1"/>
        <v>#N/A</v>
      </c>
      <c r="J893" s="22" t="str">
        <f t="shared" si="2"/>
        <v>#N/A</v>
      </c>
      <c r="K893" s="22" t="str">
        <f t="array" ref="K893">IF(H893="Crash",MATCH(TRUE, B894:B991 &gt;= B892, 0),"")</f>
        <v/>
      </c>
    </row>
    <row r="894" ht="15.75" customHeight="1">
      <c r="A894" s="32">
        <f>'EQUITY BACKTEST'!A897</f>
        <v>42426.66667</v>
      </c>
      <c r="B894" s="22">
        <f>'EQUITY BACKTEST'!B897</f>
        <v>1948.05</v>
      </c>
      <c r="C894" s="22">
        <f>1/'EQUITY BACKTEST'!E897</f>
        <v>0.8962741882</v>
      </c>
      <c r="D894" s="22">
        <f t="shared" si="5"/>
        <v>0.2373658268</v>
      </c>
      <c r="E894" s="22">
        <f t="shared" si="3"/>
        <v>0.01578387511</v>
      </c>
      <c r="F894" s="22">
        <f t="shared" si="6"/>
        <v>-0.0743406985</v>
      </c>
      <c r="H894" s="22" t="str">
        <f t="shared" si="4"/>
        <v/>
      </c>
      <c r="I894" s="22" t="str">
        <f t="shared" si="1"/>
        <v>#N/A</v>
      </c>
      <c r="J894" s="22" t="str">
        <f t="shared" si="2"/>
        <v>#N/A</v>
      </c>
      <c r="K894" s="22" t="str">
        <f t="array" ref="K894">IF(H894="Crash",MATCH(TRUE, B895:B992 &gt;= B893, 0),"")</f>
        <v/>
      </c>
    </row>
    <row r="895" ht="15.75" customHeight="1">
      <c r="A895" s="32">
        <f>'EQUITY BACKTEST'!A898</f>
        <v>42433.66667</v>
      </c>
      <c r="B895" s="22">
        <f>'EQUITY BACKTEST'!B898</f>
        <v>1999.99</v>
      </c>
      <c r="C895" s="22">
        <f>1/'EQUITY BACKTEST'!E898</f>
        <v>0.8886124317</v>
      </c>
      <c r="D895" s="22">
        <f t="shared" si="5"/>
        <v>0.003678996158</v>
      </c>
      <c r="E895" s="22">
        <f t="shared" si="3"/>
        <v>0.02666256</v>
      </c>
      <c r="F895" s="22">
        <f t="shared" si="6"/>
        <v>-0.03440900708</v>
      </c>
      <c r="H895" s="22" t="str">
        <f t="shared" si="4"/>
        <v/>
      </c>
      <c r="I895" s="22" t="str">
        <f t="shared" si="1"/>
        <v>#N/A</v>
      </c>
      <c r="J895" s="22" t="str">
        <f t="shared" si="2"/>
        <v>#N/A</v>
      </c>
      <c r="K895" s="22" t="str">
        <f t="array" ref="K895">IF(H895="Crash",MATCH(TRUE, B896:B993 &gt;= B894, 0),"")</f>
        <v/>
      </c>
    </row>
    <row r="896" ht="15.75" customHeight="1">
      <c r="A896" s="32">
        <f>'EQUITY BACKTEST'!A899</f>
        <v>42440.66667</v>
      </c>
      <c r="B896" s="22">
        <f>'EQUITY BACKTEST'!B899</f>
        <v>2022.19</v>
      </c>
      <c r="C896" s="22">
        <f>1/'EQUITY BACKTEST'!E899</f>
        <v>0.8985371815</v>
      </c>
      <c r="D896" s="22">
        <f t="shared" si="5"/>
        <v>-0.220537205</v>
      </c>
      <c r="E896" s="22">
        <f t="shared" si="3"/>
        <v>0.0111000555</v>
      </c>
      <c r="F896" s="22">
        <f t="shared" si="6"/>
        <v>-0.01519918184</v>
      </c>
      <c r="H896" s="22" t="str">
        <f t="shared" si="4"/>
        <v/>
      </c>
      <c r="I896" s="22" t="str">
        <f t="shared" si="1"/>
        <v>#N/A</v>
      </c>
      <c r="J896" s="22" t="str">
        <f t="shared" si="2"/>
        <v>#N/A</v>
      </c>
      <c r="K896" s="22" t="str">
        <f t="array" ref="K896">IF(H896="Crash",MATCH(TRUE, B897:B994 &gt;= B895, 0),"")</f>
        <v/>
      </c>
    </row>
    <row r="897" ht="15.75" customHeight="1">
      <c r="A897" s="32">
        <f>'EQUITY BACKTEST'!A900</f>
        <v>42447.66667</v>
      </c>
      <c r="B897" s="22">
        <f>'EQUITY BACKTEST'!B900</f>
        <v>2049.58</v>
      </c>
      <c r="C897" s="22">
        <f>1/'EQUITY BACKTEST'!E900</f>
        <v>0.9149800534</v>
      </c>
      <c r="D897" s="22">
        <f t="shared" si="5"/>
        <v>-0.4061496722</v>
      </c>
      <c r="E897" s="22">
        <f t="shared" si="3"/>
        <v>0.01354472132</v>
      </c>
      <c r="F897" s="22">
        <f t="shared" si="6"/>
        <v>-0.02775959395</v>
      </c>
      <c r="H897" s="22" t="str">
        <f t="shared" si="4"/>
        <v/>
      </c>
      <c r="I897" s="22" t="str">
        <f t="shared" si="1"/>
        <v>#N/A</v>
      </c>
      <c r="J897" s="22" t="str">
        <f t="shared" si="2"/>
        <v>#N/A</v>
      </c>
      <c r="K897" s="22" t="str">
        <f t="array" ref="K897">IF(H897="Crash",MATCH(TRUE, B898:B995 &gt;= B896, 0),"")</f>
        <v/>
      </c>
    </row>
    <row r="898" ht="15.75" customHeight="1">
      <c r="A898" s="32">
        <f>'EQUITY BACKTEST'!A901</f>
        <v>42453.66667</v>
      </c>
      <c r="B898" s="22">
        <f>'EQUITY BACKTEST'!B901</f>
        <v>2035.94</v>
      </c>
      <c r="C898" s="22">
        <f>1/'EQUITY BACKTEST'!E901</f>
        <v>0.9086283347</v>
      </c>
      <c r="D898" s="22">
        <f t="shared" si="5"/>
        <v>-0.5342553471</v>
      </c>
      <c r="E898" s="22">
        <f t="shared" si="3"/>
        <v>-0.006655022005</v>
      </c>
      <c r="F898" s="22">
        <f t="shared" si="6"/>
        <v>-0.01216873199</v>
      </c>
      <c r="H898" s="22" t="str">
        <f t="shared" si="4"/>
        <v/>
      </c>
      <c r="I898" s="22" t="str">
        <f t="shared" si="1"/>
        <v>#N/A</v>
      </c>
      <c r="J898" s="22" t="str">
        <f t="shared" si="2"/>
        <v>#N/A</v>
      </c>
      <c r="K898" s="22" t="str">
        <f t="array" ref="K898">IF(H898="Crash",MATCH(TRUE, B899:B996 &gt;= B897, 0),"")</f>
        <v/>
      </c>
    </row>
    <row r="899" ht="15.75" customHeight="1">
      <c r="A899" s="32">
        <f>'EQUITY BACKTEST'!A902</f>
        <v>42461.66667</v>
      </c>
      <c r="B899" s="22">
        <f>'EQUITY BACKTEST'!B902</f>
        <v>2072.78</v>
      </c>
      <c r="C899" s="22">
        <f>1/'EQUITY BACKTEST'!E902</f>
        <v>0.8971828459</v>
      </c>
      <c r="D899" s="22">
        <f t="shared" si="5"/>
        <v>-0.6240832134</v>
      </c>
      <c r="E899" s="22">
        <f t="shared" si="3"/>
        <v>0.0180948358</v>
      </c>
      <c r="F899" s="22">
        <f t="shared" si="6"/>
        <v>0.00281572938</v>
      </c>
      <c r="H899" s="22" t="str">
        <f t="shared" si="4"/>
        <v/>
      </c>
      <c r="I899" s="22" t="str">
        <f t="shared" si="1"/>
        <v>#N/A</v>
      </c>
      <c r="J899" s="22" t="str">
        <f t="shared" si="2"/>
        <v>#N/A</v>
      </c>
      <c r="K899" s="22" t="str">
        <f t="array" ref="K899">IF(H899="Crash",MATCH(TRUE, B900:B997 &gt;= B898, 0),"")</f>
        <v/>
      </c>
    </row>
    <row r="900" ht="15.75" customHeight="1">
      <c r="A900" s="32">
        <f>'EQUITY BACKTEST'!A903</f>
        <v>42468.66667</v>
      </c>
      <c r="B900" s="22">
        <f>'EQUITY BACKTEST'!B903</f>
        <v>2047.6</v>
      </c>
      <c r="C900" s="22">
        <f>1/'EQUITY BACKTEST'!E903</f>
        <v>0.8873744365</v>
      </c>
      <c r="D900" s="22">
        <f t="shared" si="5"/>
        <v>-0.6653041674</v>
      </c>
      <c r="E900" s="22">
        <f t="shared" si="3"/>
        <v>-0.01214793659</v>
      </c>
      <c r="F900" s="22">
        <f t="shared" si="6"/>
        <v>-0.0259079189</v>
      </c>
      <c r="H900" s="22" t="str">
        <f t="shared" si="4"/>
        <v/>
      </c>
      <c r="I900" s="22" t="str">
        <f t="shared" si="1"/>
        <v>#N/A</v>
      </c>
      <c r="J900" s="22" t="str">
        <f t="shared" si="2"/>
        <v>#N/A</v>
      </c>
      <c r="K900" s="22" t="str">
        <f t="array" ref="K900">IF(H900="Crash",MATCH(TRUE, B901:B998 &gt;= B899, 0),"")</f>
        <v/>
      </c>
    </row>
    <row r="901" ht="15.75" customHeight="1">
      <c r="A901" s="32">
        <f>'EQUITY BACKTEST'!A904</f>
        <v>42475.66667</v>
      </c>
      <c r="B901" s="22">
        <f>'EQUITY BACKTEST'!B904</f>
        <v>2080.73</v>
      </c>
      <c r="C901" s="22">
        <f>1/'EQUITY BACKTEST'!E904</f>
        <v>0.8960894656</v>
      </c>
      <c r="D901" s="22">
        <f t="shared" si="5"/>
        <v>-0.7080250389</v>
      </c>
      <c r="E901" s="22">
        <f t="shared" si="3"/>
        <v>0.01617991795</v>
      </c>
      <c r="F901" s="22">
        <f t="shared" si="6"/>
        <v>-0.0002162234886</v>
      </c>
      <c r="H901" s="22" t="str">
        <f t="shared" si="4"/>
        <v/>
      </c>
      <c r="I901" s="22" t="str">
        <f t="shared" si="1"/>
        <v>#N/A</v>
      </c>
      <c r="J901" s="22" t="str">
        <f t="shared" si="2"/>
        <v>#N/A</v>
      </c>
      <c r="K901" s="22" t="str">
        <f t="array" ref="K901">IF(H901="Crash",MATCH(TRUE, B902:B999 &gt;= B900, 0),"")</f>
        <v/>
      </c>
    </row>
    <row r="902" ht="15.75" customHeight="1">
      <c r="A902" s="32">
        <f>'EQUITY BACKTEST'!A905</f>
        <v>42482.66667</v>
      </c>
      <c r="B902" s="22">
        <f>'EQUITY BACKTEST'!B905</f>
        <v>2091.58</v>
      </c>
      <c r="C902" s="22">
        <f>1/'EQUITY BACKTEST'!E905</f>
        <v>0.8778244</v>
      </c>
      <c r="D902" s="22">
        <f t="shared" si="5"/>
        <v>-0.7265932891</v>
      </c>
      <c r="E902" s="22">
        <f t="shared" si="3"/>
        <v>0.005214516059</v>
      </c>
      <c r="F902" s="22">
        <f t="shared" si="6"/>
        <v>-0.01232947221</v>
      </c>
      <c r="H902" s="22" t="str">
        <f t="shared" si="4"/>
        <v/>
      </c>
      <c r="I902" s="22" t="str">
        <f t="shared" si="1"/>
        <v>#N/A</v>
      </c>
      <c r="J902" s="22" t="str">
        <f t="shared" si="2"/>
        <v>#N/A</v>
      </c>
      <c r="K902" s="22" t="str">
        <f t="array" ref="K902">IF(H902="Crash",MATCH(TRUE, B903:B1000 &gt;= B901, 0),"")</f>
        <v/>
      </c>
    </row>
    <row r="903" ht="15.75" customHeight="1">
      <c r="A903" s="32">
        <f>'EQUITY BACKTEST'!A906</f>
        <v>42489.66667</v>
      </c>
      <c r="B903" s="22">
        <f>'EQUITY BACKTEST'!B906</f>
        <v>2065.3</v>
      </c>
      <c r="C903" s="22">
        <f>1/'EQUITY BACKTEST'!E906</f>
        <v>0.8775932882</v>
      </c>
      <c r="D903" s="22">
        <f t="shared" si="5"/>
        <v>-0.7238285787</v>
      </c>
      <c r="E903" s="22">
        <f t="shared" si="3"/>
        <v>-0.01256466403</v>
      </c>
      <c r="F903" s="22">
        <f t="shared" si="6"/>
        <v>-0.02039093294</v>
      </c>
      <c r="H903" s="22" t="str">
        <f t="shared" si="4"/>
        <v/>
      </c>
      <c r="I903" s="22" t="str">
        <f t="shared" si="1"/>
        <v>#N/A</v>
      </c>
      <c r="J903" s="22" t="str">
        <f t="shared" si="2"/>
        <v>#N/A</v>
      </c>
      <c r="K903" s="22" t="str">
        <f t="array" ref="K903">IF(H903="Crash",MATCH(TRUE, B904:B1001 &gt;= B902, 0),"")</f>
        <v/>
      </c>
    </row>
    <row r="904" ht="15.75" customHeight="1">
      <c r="A904" s="32">
        <f>'EQUITY BACKTEST'!A907</f>
        <v>42496.66667</v>
      </c>
      <c r="B904" s="22">
        <f>'EQUITY BACKTEST'!B907</f>
        <v>2057.14</v>
      </c>
      <c r="C904" s="22">
        <f>1/'EQUITY BACKTEST'!E907</f>
        <v>0.8862498338</v>
      </c>
      <c r="D904" s="22">
        <f t="shared" si="5"/>
        <v>-0.7048530766</v>
      </c>
      <c r="E904" s="22">
        <f t="shared" si="3"/>
        <v>-0.003950999855</v>
      </c>
      <c r="F904" s="22">
        <f t="shared" si="6"/>
        <v>-0.02786257738</v>
      </c>
      <c r="H904" s="22" t="str">
        <f t="shared" si="4"/>
        <v/>
      </c>
      <c r="I904" s="22" t="str">
        <f t="shared" si="1"/>
        <v>#N/A</v>
      </c>
      <c r="J904" s="22" t="str">
        <f t="shared" si="2"/>
        <v>#N/A</v>
      </c>
      <c r="K904" s="22" t="str">
        <f t="array" ref="K904">IF(H904="Crash",MATCH(TRUE, B905:B1002 &gt;= B903, 0),"")</f>
        <v/>
      </c>
    </row>
    <row r="905" ht="15.75" customHeight="1">
      <c r="A905" s="32">
        <f>'EQUITY BACKTEST'!A908</f>
        <v>42503.66667</v>
      </c>
      <c r="B905" s="22">
        <f>'EQUITY BACKTEST'!B908</f>
        <v>2046.61</v>
      </c>
      <c r="C905" s="22">
        <f>1/'EQUITY BACKTEST'!E908</f>
        <v>0.8911861688</v>
      </c>
      <c r="D905" s="22">
        <f t="shared" si="5"/>
        <v>-0.5604006309</v>
      </c>
      <c r="E905" s="22">
        <f t="shared" si="3"/>
        <v>-0.005118757109</v>
      </c>
      <c r="F905" s="22">
        <f t="shared" si="6"/>
        <v>-0.03585948284</v>
      </c>
      <c r="H905" s="22" t="str">
        <f t="shared" si="4"/>
        <v/>
      </c>
      <c r="I905" s="22" t="str">
        <f t="shared" si="1"/>
        <v>#N/A</v>
      </c>
      <c r="J905" s="22" t="str">
        <f t="shared" si="2"/>
        <v>#N/A</v>
      </c>
      <c r="K905" s="22" t="str">
        <f t="array" ref="K905">IF(H905="Crash",MATCH(TRUE, B906:B1003 &gt;= B904, 0),"")</f>
        <v/>
      </c>
    </row>
    <row r="906" ht="15.75" customHeight="1">
      <c r="A906" s="32">
        <f>'EQUITY BACKTEST'!A909</f>
        <v>42510.66667</v>
      </c>
      <c r="B906" s="22">
        <f>'EQUITY BACKTEST'!B909</f>
        <v>2052.32</v>
      </c>
      <c r="C906" s="22">
        <f>1/'EQUITY BACKTEST'!E909</f>
        <v>0.873591334</v>
      </c>
      <c r="D906" s="22">
        <f t="shared" si="5"/>
        <v>-0.2483904461</v>
      </c>
      <c r="E906" s="22">
        <f t="shared" si="3"/>
        <v>0.002789979527</v>
      </c>
      <c r="F906" s="22">
        <f t="shared" si="6"/>
        <v>-0.03468387534</v>
      </c>
      <c r="H906" s="22" t="str">
        <f t="shared" si="4"/>
        <v/>
      </c>
      <c r="I906" s="22" t="str">
        <f t="shared" si="1"/>
        <v>#N/A</v>
      </c>
      <c r="J906" s="22" t="str">
        <f t="shared" si="2"/>
        <v>#N/A</v>
      </c>
      <c r="K906" s="22" t="str">
        <f t="array" ref="K906">IF(H906="Crash",MATCH(TRUE, B907:B1004 &gt;= B905, 0),"")</f>
        <v/>
      </c>
    </row>
    <row r="907" ht="15.75" customHeight="1">
      <c r="A907" s="32">
        <f>'EQUITY BACKTEST'!A910</f>
        <v>42517.66667</v>
      </c>
      <c r="B907" s="22">
        <f>'EQUITY BACKTEST'!B910</f>
        <v>2099.06</v>
      </c>
      <c r="C907" s="22">
        <f>1/'EQUITY BACKTEST'!E910</f>
        <v>0.8769545124</v>
      </c>
      <c r="D907" s="22">
        <f t="shared" si="5"/>
        <v>-0.3667050447</v>
      </c>
      <c r="E907" s="22">
        <f t="shared" si="3"/>
        <v>0.02277422624</v>
      </c>
      <c r="F907" s="22">
        <f t="shared" si="6"/>
        <v>-0.003952756728</v>
      </c>
      <c r="H907" s="22" t="str">
        <f t="shared" si="4"/>
        <v/>
      </c>
      <c r="I907" s="22" t="str">
        <f t="shared" si="1"/>
        <v>#N/A</v>
      </c>
      <c r="J907" s="22" t="str">
        <f t="shared" si="2"/>
        <v>#N/A</v>
      </c>
      <c r="K907" s="22" t="str">
        <f t="array" ref="K907">IF(H907="Crash",MATCH(TRUE, B908:B1005 &gt;= B906, 0),"")</f>
        <v/>
      </c>
    </row>
    <row r="908" ht="15.75" customHeight="1">
      <c r="A908" s="32">
        <f>'EQUITY BACKTEST'!A911</f>
        <v>42524.66667</v>
      </c>
      <c r="B908" s="22">
        <f>'EQUITY BACKTEST'!B911</f>
        <v>2099.13</v>
      </c>
      <c r="C908" s="22">
        <f>1/'EQUITY BACKTEST'!E911</f>
        <v>0.8844782905</v>
      </c>
      <c r="D908" s="22">
        <f t="shared" si="5"/>
        <v>-0.4979092329</v>
      </c>
      <c r="E908" s="22">
        <f t="shared" si="3"/>
        <v>0.00003334826065</v>
      </c>
      <c r="F908" s="22">
        <f t="shared" si="6"/>
        <v>0.003010277949</v>
      </c>
      <c r="H908" s="22" t="str">
        <f t="shared" si="4"/>
        <v/>
      </c>
      <c r="I908" s="22" t="str">
        <f t="shared" si="1"/>
        <v>#N/A</v>
      </c>
      <c r="J908" s="22" t="str">
        <f t="shared" si="2"/>
        <v>#N/A</v>
      </c>
      <c r="K908" s="22" t="str">
        <f t="array" ref="K908">IF(H908="Crash",MATCH(TRUE, B909:B1006 &gt;= B907, 0),"")</f>
        <v/>
      </c>
    </row>
    <row r="909" ht="15.75" customHeight="1">
      <c r="A909" s="32">
        <f>'EQUITY BACKTEST'!A912</f>
        <v>42531.66667</v>
      </c>
      <c r="B909" s="22">
        <f>'EQUITY BACKTEST'!B912</f>
        <v>2096.07</v>
      </c>
      <c r="C909" s="22">
        <f>1/'EQUITY BACKTEST'!E912</f>
        <v>0.8911067546</v>
      </c>
      <c r="D909" s="22">
        <f t="shared" si="5"/>
        <v>-0.421787641</v>
      </c>
      <c r="E909" s="22">
        <f t="shared" si="3"/>
        <v>-0.001457746781</v>
      </c>
      <c r="F909" s="22">
        <f t="shared" si="6"/>
        <v>0.000935958474</v>
      </c>
      <c r="H909" s="22" t="str">
        <f t="shared" si="4"/>
        <v/>
      </c>
      <c r="I909" s="22" t="str">
        <f t="shared" si="1"/>
        <v>#N/A</v>
      </c>
      <c r="J909" s="22" t="str">
        <f t="shared" si="2"/>
        <v>#N/A</v>
      </c>
      <c r="K909" s="22" t="str">
        <f t="array" ref="K909">IF(H909="Crash",MATCH(TRUE, B910:B1007 &gt;= B908, 0),"")</f>
        <v/>
      </c>
    </row>
    <row r="910" ht="15.75" customHeight="1">
      <c r="A910" s="32">
        <f>'EQUITY BACKTEST'!A913</f>
        <v>42538.66667</v>
      </c>
      <c r="B910" s="22">
        <f>'EQUITY BACKTEST'!B913</f>
        <v>2071.22</v>
      </c>
      <c r="C910" s="22">
        <f>1/'EQUITY BACKTEST'!E913</f>
        <v>0.9000009</v>
      </c>
      <c r="D910" s="22">
        <f t="shared" si="5"/>
        <v>-0.3225321025</v>
      </c>
      <c r="E910" s="22">
        <f t="shared" si="3"/>
        <v>-0.01185552009</v>
      </c>
      <c r="F910" s="22">
        <f t="shared" si="6"/>
        <v>-0.01837449467</v>
      </c>
      <c r="H910" s="22" t="str">
        <f t="shared" si="4"/>
        <v/>
      </c>
      <c r="I910" s="22" t="str">
        <f t="shared" si="1"/>
        <v>#N/A</v>
      </c>
      <c r="J910" s="22" t="str">
        <f t="shared" si="2"/>
        <v>#N/A</v>
      </c>
      <c r="K910" s="22" t="str">
        <f t="array" ref="K910">IF(H910="Crash",MATCH(TRUE, B911:B1008 &gt;= B909, 0),"")</f>
        <v/>
      </c>
    </row>
    <row r="911" ht="15.75" customHeight="1">
      <c r="A911" s="32">
        <f>'EQUITY BACKTEST'!A914</f>
        <v>42545.66667</v>
      </c>
      <c r="B911" s="22">
        <f>'EQUITY BACKTEST'!B914</f>
        <v>2037.41</v>
      </c>
      <c r="C911" s="22">
        <f>1/'EQUITY BACKTEST'!E914</f>
        <v>0.8798634452</v>
      </c>
      <c r="D911" s="22">
        <f t="shared" si="5"/>
        <v>0.04880771653</v>
      </c>
      <c r="E911" s="22">
        <f t="shared" si="3"/>
        <v>-0.01632371259</v>
      </c>
      <c r="F911" s="22">
        <f t="shared" si="6"/>
        <v>-0.03049265045</v>
      </c>
      <c r="H911" s="22" t="str">
        <f t="shared" si="4"/>
        <v/>
      </c>
      <c r="I911" s="22" t="str">
        <f t="shared" si="1"/>
        <v>#N/A</v>
      </c>
      <c r="J911" s="22" t="str">
        <f t="shared" si="2"/>
        <v>#N/A</v>
      </c>
      <c r="K911" s="22" t="str">
        <f t="array" ref="K911">IF(H911="Crash",MATCH(TRUE, B912:B1009 &gt;= B910, 0),"")</f>
        <v/>
      </c>
    </row>
    <row r="912" ht="15.75" customHeight="1">
      <c r="A912" s="32">
        <f>'EQUITY BACKTEST'!A915</f>
        <v>42552.66667</v>
      </c>
      <c r="B912" s="22">
        <f>'EQUITY BACKTEST'!B915</f>
        <v>2102.95</v>
      </c>
      <c r="C912" s="22">
        <f>1/'EQUITY BACKTEST'!E915</f>
        <v>0.8887940842</v>
      </c>
      <c r="D912" s="22">
        <f t="shared" si="5"/>
        <v>0.08470342354</v>
      </c>
      <c r="E912" s="22">
        <f t="shared" si="3"/>
        <v>0.0321682921</v>
      </c>
      <c r="F912" s="22">
        <f t="shared" si="6"/>
        <v>0.01260123846</v>
      </c>
      <c r="H912" s="22" t="str">
        <f t="shared" si="4"/>
        <v/>
      </c>
      <c r="I912" s="22" t="str">
        <f t="shared" si="1"/>
        <v>#N/A</v>
      </c>
      <c r="J912" s="22" t="str">
        <f t="shared" si="2"/>
        <v>#N/A</v>
      </c>
      <c r="K912" s="22" t="str">
        <f t="array" ref="K912">IF(H912="Crash",MATCH(TRUE, B913:B1010 &gt;= B911, 0),"")</f>
        <v/>
      </c>
    </row>
    <row r="913" ht="15.75" customHeight="1">
      <c r="A913" s="32">
        <f>'EQUITY BACKTEST'!A916</f>
        <v>42559.66667</v>
      </c>
      <c r="B913" s="22">
        <f>'EQUITY BACKTEST'!B916</f>
        <v>2129.9</v>
      </c>
      <c r="C913" s="22">
        <f>1/'EQUITY BACKTEST'!E916</f>
        <v>0.8870281011</v>
      </c>
      <c r="D913" s="22">
        <f t="shared" si="5"/>
        <v>0.1277776619</v>
      </c>
      <c r="E913" s="22">
        <f t="shared" si="3"/>
        <v>0.01281533084</v>
      </c>
      <c r="F913" s="22">
        <f t="shared" si="6"/>
        <v>0.02565707737</v>
      </c>
      <c r="H913" s="22" t="str">
        <f t="shared" si="4"/>
        <v/>
      </c>
      <c r="I913" s="22" t="str">
        <f t="shared" si="1"/>
        <v>#N/A</v>
      </c>
      <c r="J913" s="22" t="str">
        <f t="shared" si="2"/>
        <v>#N/A</v>
      </c>
      <c r="K913" s="22" t="str">
        <f t="array" ref="K913">IF(H913="Crash",MATCH(TRUE, B914:B1011 &gt;= B912, 0),"")</f>
        <v/>
      </c>
    </row>
    <row r="914" ht="15.75" customHeight="1">
      <c r="A914" s="32">
        <f>'EQUITY BACKTEST'!A917</f>
        <v>42566.66667</v>
      </c>
      <c r="B914" s="22">
        <f>'EQUITY BACKTEST'!B917</f>
        <v>2161.74</v>
      </c>
      <c r="C914" s="22">
        <f>1/'EQUITY BACKTEST'!E917</f>
        <v>0.8939746111</v>
      </c>
      <c r="D914" s="22">
        <f t="shared" si="5"/>
        <v>0.3123380602</v>
      </c>
      <c r="E914" s="22">
        <f t="shared" si="3"/>
        <v>0.01494905864</v>
      </c>
      <c r="F914" s="22">
        <f t="shared" si="6"/>
        <v>0.01650490915</v>
      </c>
      <c r="H914" s="22" t="str">
        <f t="shared" si="4"/>
        <v/>
      </c>
      <c r="I914" s="22" t="str">
        <f t="shared" si="1"/>
        <v>#N/A</v>
      </c>
      <c r="J914" s="22" t="str">
        <f t="shared" si="2"/>
        <v>#N/A</v>
      </c>
      <c r="K914" s="22" t="str">
        <f t="array" ref="K914">IF(H914="Crash",MATCH(TRUE, B915:B1012 &gt;= B913, 0),"")</f>
        <v/>
      </c>
    </row>
    <row r="915" ht="15.75" customHeight="1">
      <c r="A915" s="32">
        <f>'EQUITY BACKTEST'!A918</f>
        <v>42573.66667</v>
      </c>
      <c r="B915" s="22">
        <f>'EQUITY BACKTEST'!B918</f>
        <v>2175.03</v>
      </c>
      <c r="C915" s="22">
        <f>1/'EQUITY BACKTEST'!E918</f>
        <v>0.8978030759</v>
      </c>
      <c r="D915" s="22">
        <f t="shared" si="5"/>
        <v>0.4894335939</v>
      </c>
      <c r="E915" s="22">
        <f t="shared" si="3"/>
        <v>0.006147825363</v>
      </c>
      <c r="F915" s="22">
        <f t="shared" si="6"/>
        <v>0.04586348664</v>
      </c>
      <c r="H915" s="22" t="str">
        <f t="shared" si="4"/>
        <v/>
      </c>
      <c r="I915" s="22" t="str">
        <f t="shared" si="1"/>
        <v>#N/A</v>
      </c>
      <c r="J915" s="22" t="str">
        <f t="shared" si="2"/>
        <v>#N/A</v>
      </c>
      <c r="K915" s="22" t="str">
        <f t="array" ref="K915">IF(H915="Crash",MATCH(TRUE, B916:B1013 &gt;= B914, 0),"")</f>
        <v/>
      </c>
    </row>
    <row r="916" ht="15.75" customHeight="1">
      <c r="A916" s="32">
        <f>'EQUITY BACKTEST'!A919</f>
        <v>42580.66667</v>
      </c>
      <c r="B916" s="22">
        <f>'EQUITY BACKTEST'!B919</f>
        <v>2173.6</v>
      </c>
      <c r="C916" s="22">
        <f>1/'EQUITY BACKTEST'!E919</f>
        <v>0.9049937555</v>
      </c>
      <c r="D916" s="22">
        <f t="shared" si="5"/>
        <v>0.5922720427</v>
      </c>
      <c r="E916" s="22">
        <f t="shared" si="3"/>
        <v>-0.0006574621959</v>
      </c>
      <c r="F916" s="22">
        <f t="shared" si="6"/>
        <v>0.03315841509</v>
      </c>
      <c r="H916" s="22" t="str">
        <f t="shared" si="4"/>
        <v/>
      </c>
      <c r="I916" s="22" t="str">
        <f t="shared" si="1"/>
        <v>#N/A</v>
      </c>
      <c r="J916" s="22" t="str">
        <f t="shared" si="2"/>
        <v>#N/A</v>
      </c>
      <c r="K916" s="22" t="str">
        <f t="array" ref="K916">IF(H916="Crash",MATCH(TRUE, B917:B1014 &gt;= B915, 0),"")</f>
        <v/>
      </c>
    </row>
    <row r="917" ht="15.75" customHeight="1">
      <c r="A917" s="32">
        <f>'EQUITY BACKTEST'!A920</f>
        <v>42587.66667</v>
      </c>
      <c r="B917" s="22">
        <f>'EQUITY BACKTEST'!B920</f>
        <v>2182.87</v>
      </c>
      <c r="C917" s="22">
        <f>1/'EQUITY BACKTEST'!E920</f>
        <v>0.9072681249</v>
      </c>
      <c r="D917" s="22">
        <f t="shared" si="5"/>
        <v>0.6765920295</v>
      </c>
      <c r="E917" s="22">
        <f t="shared" si="3"/>
        <v>0.004264814133</v>
      </c>
      <c r="F917" s="22">
        <f t="shared" si="6"/>
        <v>0.05068421281</v>
      </c>
      <c r="H917" s="22" t="str">
        <f t="shared" si="4"/>
        <v/>
      </c>
      <c r="I917" s="22" t="str">
        <f t="shared" si="1"/>
        <v>#N/A</v>
      </c>
      <c r="J917" s="22" t="str">
        <f t="shared" si="2"/>
        <v>#N/A</v>
      </c>
      <c r="K917" s="22" t="str">
        <f t="array" ref="K917">IF(H917="Crash",MATCH(TRUE, B918:B1015 &gt;= B916, 0),"")</f>
        <v/>
      </c>
    </row>
    <row r="918" ht="15.75" customHeight="1">
      <c r="A918" s="32">
        <f>'EQUITY BACKTEST'!A921</f>
        <v>42594.66667</v>
      </c>
      <c r="B918" s="22">
        <f>'EQUITY BACKTEST'!B921</f>
        <v>2184.05</v>
      </c>
      <c r="C918" s="22">
        <f>1/'EQUITY BACKTEST'!E921</f>
        <v>0.9111451272</v>
      </c>
      <c r="D918" s="22">
        <f t="shared" si="5"/>
        <v>0.7788999587</v>
      </c>
      <c r="E918" s="22">
        <f t="shared" si="3"/>
        <v>0.0005405727322</v>
      </c>
      <c r="F918" s="22">
        <f t="shared" si="6"/>
        <v>0.04423056695</v>
      </c>
      <c r="H918" s="22" t="str">
        <f t="shared" si="4"/>
        <v/>
      </c>
      <c r="I918" s="22" t="str">
        <f t="shared" si="1"/>
        <v>#N/A</v>
      </c>
      <c r="J918" s="22" t="str">
        <f t="shared" si="2"/>
        <v>#N/A</v>
      </c>
      <c r="K918" s="22" t="str">
        <f t="array" ref="K918">IF(H918="Crash",MATCH(TRUE, B919:B1016 &gt;= B917, 0),"")</f>
        <v/>
      </c>
    </row>
    <row r="919" ht="15.75" customHeight="1">
      <c r="A919" s="32">
        <f>'EQUITY BACKTEST'!A922</f>
        <v>42601.66667</v>
      </c>
      <c r="B919" s="22">
        <f>'EQUITY BACKTEST'!B922</f>
        <v>2183.87</v>
      </c>
      <c r="C919" s="22">
        <f>1/'EQUITY BACKTEST'!E922</f>
        <v>0.8950788564</v>
      </c>
      <c r="D919" s="22">
        <f t="shared" si="5"/>
        <v>0.7029839917</v>
      </c>
      <c r="E919" s="22">
        <f t="shared" si="3"/>
        <v>-0.00008241569561</v>
      </c>
      <c r="F919" s="22">
        <f t="shared" si="6"/>
        <v>0.1080628549</v>
      </c>
      <c r="H919" s="22" t="str">
        <f t="shared" si="4"/>
        <v/>
      </c>
      <c r="I919" s="22" t="str">
        <f t="shared" si="1"/>
        <v>#N/A</v>
      </c>
      <c r="J919" s="22" t="str">
        <f t="shared" si="2"/>
        <v>#N/A</v>
      </c>
      <c r="K919" s="22" t="str">
        <f t="array" ref="K919">IF(H919="Crash",MATCH(TRUE, B920:B1017 &gt;= B918, 0),"")</f>
        <v/>
      </c>
    </row>
    <row r="920" ht="15.75" customHeight="1">
      <c r="A920" s="32">
        <f>'EQUITY BACKTEST'!A923</f>
        <v>42608.66667</v>
      </c>
      <c r="B920" s="22">
        <f>'EQUITY BACKTEST'!B923</f>
        <v>2169.04</v>
      </c>
      <c r="C920" s="22">
        <f>1/'EQUITY BACKTEST'!E923</f>
        <v>0.9019979254</v>
      </c>
      <c r="D920" s="22">
        <f t="shared" si="5"/>
        <v>0.7223792642</v>
      </c>
      <c r="E920" s="22">
        <f t="shared" si="3"/>
        <v>-0.006790697248</v>
      </c>
      <c r="F920" s="22">
        <f t="shared" si="6"/>
        <v>0.0905891285</v>
      </c>
      <c r="H920" s="22" t="str">
        <f t="shared" si="4"/>
        <v/>
      </c>
      <c r="I920" s="22" t="str">
        <f t="shared" si="1"/>
        <v>#N/A</v>
      </c>
      <c r="J920" s="22" t="str">
        <f t="shared" si="2"/>
        <v>#N/A</v>
      </c>
      <c r="K920" s="22" t="str">
        <f t="array" ref="K920">IF(H920="Crash",MATCH(TRUE, B921:B1018 &gt;= B919, 0),"")</f>
        <v/>
      </c>
    </row>
    <row r="921" ht="15.75" customHeight="1">
      <c r="A921" s="32">
        <f>'EQUITY BACKTEST'!A924</f>
        <v>42615.66667</v>
      </c>
      <c r="B921" s="22">
        <f>'EQUITY BACKTEST'!B924</f>
        <v>2179.98</v>
      </c>
      <c r="C921" s="22">
        <f>1/'EQUITY BACKTEST'!E924</f>
        <v>0.8958245617</v>
      </c>
      <c r="D921" s="22">
        <f t="shared" si="5"/>
        <v>0.6814839934</v>
      </c>
      <c r="E921" s="22">
        <f t="shared" si="3"/>
        <v>0.005043705971</v>
      </c>
      <c r="F921" s="22">
        <f t="shared" si="6"/>
        <v>0.1346852521</v>
      </c>
      <c r="H921" s="22" t="str">
        <f t="shared" si="4"/>
        <v/>
      </c>
      <c r="I921" s="22" t="str">
        <f t="shared" si="1"/>
        <v>#N/A</v>
      </c>
      <c r="J921" s="22" t="str">
        <f t="shared" si="2"/>
        <v>#N/A</v>
      </c>
      <c r="K921" s="22" t="str">
        <f t="array" ref="K921">IF(H921="Crash",MATCH(TRUE, B922:B1019 &gt;= B920, 0),"")</f>
        <v/>
      </c>
    </row>
    <row r="922" ht="15.75" customHeight="1">
      <c r="A922" s="32">
        <f>'EQUITY BACKTEST'!A925</f>
        <v>42622.66667</v>
      </c>
      <c r="B922" s="22">
        <f>'EQUITY BACKTEST'!B925</f>
        <v>2127.81</v>
      </c>
      <c r="C922" s="22">
        <f>1/'EQUITY BACKTEST'!E925</f>
        <v>0.8831893735</v>
      </c>
      <c r="D922" s="22">
        <f t="shared" si="5"/>
        <v>0.6485256096</v>
      </c>
      <c r="E922" s="22">
        <f t="shared" si="3"/>
        <v>-0.02393141221</v>
      </c>
      <c r="F922" s="22">
        <f t="shared" si="6"/>
        <v>0.08503607761</v>
      </c>
      <c r="H922" s="22" t="str">
        <f t="shared" si="4"/>
        <v/>
      </c>
      <c r="I922" s="22" t="str">
        <f t="shared" si="1"/>
        <v>#N/A</v>
      </c>
      <c r="J922" s="22" t="str">
        <f t="shared" si="2"/>
        <v>#N/A</v>
      </c>
      <c r="K922" s="22" t="str">
        <f t="array" ref="K922">IF(H922="Crash",MATCH(TRUE, B923:B1020 &gt;= B921, 0),"")</f>
        <v/>
      </c>
    </row>
    <row r="923" ht="15.75" customHeight="1">
      <c r="A923" s="32">
        <f>'EQUITY BACKTEST'!A926</f>
        <v>42629.66667</v>
      </c>
      <c r="B923" s="22">
        <f>'EQUITY BACKTEST'!B926</f>
        <v>2139.16</v>
      </c>
      <c r="C923" s="22">
        <f>1/'EQUITY BACKTEST'!E926</f>
        <v>0.8932798556</v>
      </c>
      <c r="D923" s="22">
        <f t="shared" si="5"/>
        <v>0.8058976534</v>
      </c>
      <c r="E923" s="22">
        <f t="shared" si="3"/>
        <v>0.005334122878</v>
      </c>
      <c r="F923" s="22">
        <f t="shared" si="6"/>
        <v>0.09250624352</v>
      </c>
      <c r="H923" s="22" t="str">
        <f t="shared" si="4"/>
        <v/>
      </c>
      <c r="I923" s="22" t="str">
        <f t="shared" si="1"/>
        <v>#N/A</v>
      </c>
      <c r="J923" s="22" t="str">
        <f t="shared" si="2"/>
        <v>#N/A</v>
      </c>
      <c r="K923" s="22" t="str">
        <f t="array" ref="K923">IF(H923="Crash",MATCH(TRUE, B924:B1021 &gt;= B922, 0),"")</f>
        <v/>
      </c>
    </row>
    <row r="924" ht="15.75" customHeight="1">
      <c r="A924" s="32">
        <f>'EQUITY BACKTEST'!A927</f>
        <v>42636.66667</v>
      </c>
      <c r="B924" s="22">
        <f>'EQUITY BACKTEST'!B927</f>
        <v>2164.69</v>
      </c>
      <c r="C924" s="22">
        <f>1/'EQUITY BACKTEST'!E927</f>
        <v>0.8966197436</v>
      </c>
      <c r="D924" s="22">
        <f t="shared" si="5"/>
        <v>0.7718037054</v>
      </c>
      <c r="E924" s="22">
        <f t="shared" si="3"/>
        <v>0.01193459115</v>
      </c>
      <c r="F924" s="22">
        <f t="shared" si="6"/>
        <v>0.1208228484</v>
      </c>
      <c r="H924" s="22" t="str">
        <f t="shared" si="4"/>
        <v/>
      </c>
      <c r="I924" s="22" t="str">
        <f t="shared" si="1"/>
        <v>#N/A</v>
      </c>
      <c r="J924" s="22" t="str">
        <f t="shared" si="2"/>
        <v>#N/A</v>
      </c>
      <c r="K924" s="22" t="str">
        <f t="array" ref="K924">IF(H924="Crash",MATCH(TRUE, B925:B1022 &gt;= B923, 0),"")</f>
        <v/>
      </c>
    </row>
    <row r="925" ht="15.75" customHeight="1">
      <c r="A925" s="32">
        <f>'EQUITY BACKTEST'!A928</f>
        <v>42643.66667</v>
      </c>
      <c r="B925" s="22">
        <f>'EQUITY BACKTEST'!B928</f>
        <v>2168.27</v>
      </c>
      <c r="C925" s="22">
        <f>1/'EQUITY BACKTEST'!E928</f>
        <v>0.8905512512</v>
      </c>
      <c r="D925" s="22">
        <f t="shared" si="5"/>
        <v>0.762164775</v>
      </c>
      <c r="E925" s="22">
        <f t="shared" si="3"/>
        <v>0.001653816482</v>
      </c>
      <c r="F925" s="22">
        <f t="shared" si="6"/>
        <v>0.1111583716</v>
      </c>
      <c r="H925" s="22" t="str">
        <f t="shared" si="4"/>
        <v/>
      </c>
      <c r="I925" s="22" t="str">
        <f t="shared" si="1"/>
        <v>#N/A</v>
      </c>
      <c r="J925" s="22" t="str">
        <f t="shared" si="2"/>
        <v>#N/A</v>
      </c>
      <c r="K925" s="22" t="str">
        <f t="array" ref="K925">IF(H925="Crash",MATCH(TRUE, B926:B1023 &gt;= B924, 0),"")</f>
        <v/>
      </c>
    </row>
    <row r="926" ht="15.75" customHeight="1">
      <c r="A926" s="32">
        <f>'EQUITY BACKTEST'!A929</f>
        <v>42650.66667</v>
      </c>
      <c r="B926" s="22">
        <f>'EQUITY BACKTEST'!B929</f>
        <v>2153.74</v>
      </c>
      <c r="C926" s="22">
        <f>1/'EQUITY BACKTEST'!E929</f>
        <v>0.8964188069</v>
      </c>
      <c r="D926" s="22">
        <f t="shared" ref="D926:D1343" si="7">CORREL($B926:$B978,$C926:$C978)</f>
        <v>-0.4939335452</v>
      </c>
      <c r="E926" s="22">
        <f t="shared" si="3"/>
        <v>-0.006701194962</v>
      </c>
      <c r="F926" s="22">
        <f t="shared" si="6"/>
        <v>0.06891195053</v>
      </c>
      <c r="H926" s="22" t="str">
        <f t="shared" si="4"/>
        <v/>
      </c>
      <c r="I926" s="22" t="str">
        <f t="shared" si="1"/>
        <v>#N/A</v>
      </c>
      <c r="J926" s="22" t="str">
        <f t="shared" si="2"/>
        <v>#N/A</v>
      </c>
      <c r="K926" s="22" t="str">
        <f t="array" ref="K926">IF(H926="Crash",MATCH(TRUE, B927:B1024 &gt;= B925, 0),"")</f>
        <v/>
      </c>
    </row>
    <row r="927" ht="15.75" customHeight="1">
      <c r="A927" s="32">
        <f>'EQUITY BACKTEST'!A930</f>
        <v>42657.66667</v>
      </c>
      <c r="B927" s="22">
        <f>'EQUITY BACKTEST'!B930</f>
        <v>2132.98</v>
      </c>
      <c r="C927" s="22">
        <f>1/'EQUITY BACKTEST'!E930</f>
        <v>0.8911861688</v>
      </c>
      <c r="D927" s="22">
        <f t="shared" si="7"/>
        <v>-0.5486731392</v>
      </c>
      <c r="E927" s="22">
        <f t="shared" si="3"/>
        <v>-0.009639046496</v>
      </c>
      <c r="F927" s="22">
        <f t="shared" si="6"/>
        <v>0.04912178879</v>
      </c>
      <c r="H927" s="22" t="str">
        <f t="shared" si="4"/>
        <v/>
      </c>
      <c r="I927" s="22" t="str">
        <f t="shared" si="1"/>
        <v>#N/A</v>
      </c>
      <c r="J927" s="22" t="str">
        <f t="shared" si="2"/>
        <v>#N/A</v>
      </c>
      <c r="K927" s="22" t="str">
        <f t="array" ref="K927">IF(H927="Crash",MATCH(TRUE, B928:B1025 &gt;= B926, 0),"")</f>
        <v/>
      </c>
    </row>
    <row r="928" ht="15.75" customHeight="1">
      <c r="A928" s="32">
        <f>'EQUITY BACKTEST'!A931</f>
        <v>42664.66667</v>
      </c>
      <c r="B928" s="22">
        <f>'EQUITY BACKTEST'!B931</f>
        <v>2141.16</v>
      </c>
      <c r="C928" s="22">
        <f>1/'EQUITY BACKTEST'!E931</f>
        <v>0.8903133903</v>
      </c>
      <c r="D928" s="22">
        <f t="shared" si="7"/>
        <v>-0.6089313566</v>
      </c>
      <c r="E928" s="22">
        <f t="shared" si="3"/>
        <v>0.003835010174</v>
      </c>
      <c r="F928" s="22">
        <f t="shared" si="6"/>
        <v>0.03180974869</v>
      </c>
      <c r="H928" s="22" t="str">
        <f t="shared" si="4"/>
        <v/>
      </c>
      <c r="I928" s="22" t="str">
        <f t="shared" si="1"/>
        <v>#N/A</v>
      </c>
      <c r="J928" s="22" t="str">
        <f t="shared" si="2"/>
        <v>#N/A</v>
      </c>
      <c r="K928" s="22" t="str">
        <f t="array" ref="K928">IF(H928="Crash",MATCH(TRUE, B929:B1026 &gt;= B927, 0),"")</f>
        <v/>
      </c>
    </row>
    <row r="929" ht="15.75" customHeight="1">
      <c r="A929" s="32">
        <f>'EQUITY BACKTEST'!A932</f>
        <v>42671.66667</v>
      </c>
      <c r="B929" s="22">
        <f>'EQUITY BACKTEST'!B932</f>
        <v>2126.41</v>
      </c>
      <c r="C929" s="22">
        <f>1/'EQUITY BACKTEST'!E932</f>
        <v>0.8928890318</v>
      </c>
      <c r="D929" s="22">
        <f t="shared" si="7"/>
        <v>-0.6646725659</v>
      </c>
      <c r="E929" s="22">
        <f t="shared" si="3"/>
        <v>-0.006888789254</v>
      </c>
      <c r="F929" s="22">
        <f t="shared" si="6"/>
        <v>0.02262715451</v>
      </c>
      <c r="H929" s="22" t="str">
        <f t="shared" si="4"/>
        <v/>
      </c>
      <c r="I929" s="22" t="str">
        <f t="shared" si="1"/>
        <v>#N/A</v>
      </c>
      <c r="J929" s="22" t="str">
        <f t="shared" si="2"/>
        <v>#N/A</v>
      </c>
      <c r="K929" s="22" t="str">
        <f t="array" ref="K929">IF(H929="Crash",MATCH(TRUE, B930:B1027 &gt;= B928, 0),"")</f>
        <v/>
      </c>
    </row>
    <row r="930" ht="15.75" customHeight="1">
      <c r="A930" s="32">
        <f>'EQUITY BACKTEST'!A933</f>
        <v>42678.66667</v>
      </c>
      <c r="B930" s="22">
        <f>'EQUITY BACKTEST'!B933</f>
        <v>2085.18</v>
      </c>
      <c r="C930" s="22">
        <f>1/'EQUITY BACKTEST'!E933</f>
        <v>0.9116601331</v>
      </c>
      <c r="D930" s="22">
        <f t="shared" si="7"/>
        <v>-0.7252741848</v>
      </c>
      <c r="E930" s="22">
        <f t="shared" si="3"/>
        <v>-0.01938948745</v>
      </c>
      <c r="F930" s="22">
        <f t="shared" si="6"/>
        <v>-0.006678734756</v>
      </c>
      <c r="H930" s="22" t="str">
        <f t="shared" si="4"/>
        <v/>
      </c>
      <c r="I930" s="22" t="str">
        <f t="shared" si="1"/>
        <v>#N/A</v>
      </c>
      <c r="J930" s="22" t="str">
        <f t="shared" si="2"/>
        <v>#N/A</v>
      </c>
      <c r="K930" s="22" t="str">
        <f t="array" ref="K930">IF(H930="Crash",MATCH(TRUE, B931:B1028 &gt;= B929, 0),"")</f>
        <v/>
      </c>
    </row>
    <row r="931" ht="15.75" customHeight="1">
      <c r="A931" s="32">
        <f>'EQUITY BACKTEST'!A934</f>
        <v>42685.66667</v>
      </c>
      <c r="B931" s="22">
        <f>'EQUITY BACKTEST'!B934</f>
        <v>2164.45</v>
      </c>
      <c r="C931" s="22">
        <f>1/'EQUITY BACKTEST'!E934</f>
        <v>0.9187798603</v>
      </c>
      <c r="D931" s="22">
        <f t="shared" si="7"/>
        <v>-0.7786791642</v>
      </c>
      <c r="E931" s="22">
        <f t="shared" si="3"/>
        <v>0.0380159027</v>
      </c>
      <c r="F931" s="22">
        <f t="shared" si="6"/>
        <v>0.06989975482</v>
      </c>
      <c r="H931" s="22" t="str">
        <f t="shared" si="4"/>
        <v/>
      </c>
      <c r="I931" s="22" t="str">
        <f t="shared" si="1"/>
        <v>#N/A</v>
      </c>
      <c r="J931" s="22" t="str">
        <f t="shared" si="2"/>
        <v>#N/A</v>
      </c>
      <c r="K931" s="22" t="str">
        <f t="array" ref="K931">IF(H931="Crash",MATCH(TRUE, B932:B1029 &gt;= B930, 0),"")</f>
        <v/>
      </c>
    </row>
    <row r="932" ht="15.75" customHeight="1">
      <c r="A932" s="32">
        <f>'EQUITY BACKTEST'!A935</f>
        <v>42692.66667</v>
      </c>
      <c r="B932" s="22">
        <f>'EQUITY BACKTEST'!B935</f>
        <v>2181.9</v>
      </c>
      <c r="C932" s="22">
        <f>1/'EQUITY BACKTEST'!E935</f>
        <v>0.9102494083</v>
      </c>
      <c r="D932" s="22">
        <f t="shared" si="7"/>
        <v>-0.8013108919</v>
      </c>
      <c r="E932" s="22">
        <f t="shared" si="3"/>
        <v>0.008062094296</v>
      </c>
      <c r="F932" s="22">
        <f t="shared" si="6"/>
        <v>0.04438604805</v>
      </c>
      <c r="H932" s="22" t="str">
        <f t="shared" si="4"/>
        <v/>
      </c>
      <c r="I932" s="22" t="str">
        <f t="shared" si="1"/>
        <v>#N/A</v>
      </c>
      <c r="J932" s="22" t="str">
        <f t="shared" si="2"/>
        <v>#N/A</v>
      </c>
      <c r="K932" s="22" t="str">
        <f t="array" ref="K932">IF(H932="Crash",MATCH(TRUE, B933:B1030 &gt;= B931, 0),"")</f>
        <v/>
      </c>
    </row>
    <row r="933" ht="15.75" customHeight="1">
      <c r="A933" s="32">
        <f>'EQUITY BACKTEST'!A936</f>
        <v>42699.66667</v>
      </c>
      <c r="B933" s="22">
        <f>'EQUITY BACKTEST'!B936</f>
        <v>2213.35</v>
      </c>
      <c r="C933" s="22">
        <f>1/'EQUITY BACKTEST'!E936</f>
        <v>0.8979078747</v>
      </c>
      <c r="D933" s="22">
        <f t="shared" si="7"/>
        <v>-0.8272510788</v>
      </c>
      <c r="E933" s="22">
        <f t="shared" si="3"/>
        <v>0.01441404281</v>
      </c>
      <c r="F933" s="22">
        <f t="shared" si="6"/>
        <v>0.05896340384</v>
      </c>
      <c r="H933" s="22" t="str">
        <f t="shared" si="4"/>
        <v/>
      </c>
      <c r="I933" s="22" t="str">
        <f t="shared" si="1"/>
        <v>#N/A</v>
      </c>
      <c r="J933" s="22" t="str">
        <f t="shared" si="2"/>
        <v>#N/A</v>
      </c>
      <c r="K933" s="22" t="str">
        <f t="array" ref="K933">IF(H933="Crash",MATCH(TRUE, B934:B1031 &gt;= B932, 0),"")</f>
        <v/>
      </c>
    </row>
    <row r="934" ht="15.75" customHeight="1">
      <c r="A934" s="32">
        <f>'EQUITY BACKTEST'!A937</f>
        <v>42706.66667</v>
      </c>
      <c r="B934" s="22">
        <f>'EQUITY BACKTEST'!B937</f>
        <v>2191.95</v>
      </c>
      <c r="C934" s="22">
        <f>1/'EQUITY BACKTEST'!E937</f>
        <v>0.9211241399</v>
      </c>
      <c r="D934" s="22">
        <f t="shared" si="7"/>
        <v>-0.8538146252</v>
      </c>
      <c r="E934" s="22">
        <f t="shared" si="3"/>
        <v>-0.009668601893</v>
      </c>
      <c r="F934" s="22">
        <f t="shared" si="6"/>
        <v>0.04793253302</v>
      </c>
      <c r="H934" s="22" t="str">
        <f t="shared" si="4"/>
        <v/>
      </c>
      <c r="I934" s="22" t="str">
        <f t="shared" si="1"/>
        <v>#N/A</v>
      </c>
      <c r="J934" s="22" t="str">
        <f t="shared" si="2"/>
        <v>#N/A</v>
      </c>
      <c r="K934" s="22" t="str">
        <f t="array" ref="K934">IF(H934="Crash",MATCH(TRUE, B935:B1032 &gt;= B933, 0),"")</f>
        <v/>
      </c>
    </row>
    <row r="935" ht="15.75" customHeight="1">
      <c r="A935" s="32">
        <f>'EQUITY BACKTEST'!A938</f>
        <v>42713.66667</v>
      </c>
      <c r="B935" s="22">
        <f>'EQUITY BACKTEST'!B938</f>
        <v>2259.53</v>
      </c>
      <c r="C935" s="22">
        <f>1/'EQUITY BACKTEST'!E938</f>
        <v>0.9445011145</v>
      </c>
      <c r="D935" s="22">
        <f t="shared" si="7"/>
        <v>-0.8719874769</v>
      </c>
      <c r="E935" s="22">
        <f t="shared" si="3"/>
        <v>0.03083099523</v>
      </c>
      <c r="F935" s="22">
        <f t="shared" si="6"/>
        <v>0.1228203561</v>
      </c>
      <c r="H935" s="22" t="str">
        <f t="shared" si="4"/>
        <v/>
      </c>
      <c r="I935" s="22" t="str">
        <f t="shared" si="1"/>
        <v>#N/A</v>
      </c>
      <c r="J935" s="22" t="str">
        <f t="shared" si="2"/>
        <v>#N/A</v>
      </c>
      <c r="K935" s="22" t="str">
        <f t="array" ref="K935">IF(H935="Crash",MATCH(TRUE, B936:B1033 &gt;= B934, 0),"")</f>
        <v/>
      </c>
    </row>
    <row r="936" ht="15.75" customHeight="1">
      <c r="A936" s="32">
        <f>'EQUITY BACKTEST'!A939</f>
        <v>42720.66667</v>
      </c>
      <c r="B936" s="22">
        <f>'EQUITY BACKTEST'!B939</f>
        <v>2258.07</v>
      </c>
      <c r="C936" s="22">
        <f>1/'EQUITY BACKTEST'!E939</f>
        <v>0.9441533305</v>
      </c>
      <c r="D936" s="22">
        <f t="shared" si="7"/>
        <v>-0.8707677081</v>
      </c>
      <c r="E936" s="22">
        <f t="shared" si="3"/>
        <v>-0.0006461520759</v>
      </c>
      <c r="F936" s="22">
        <f t="shared" si="6"/>
        <v>0.1259105981</v>
      </c>
      <c r="H936" s="22" t="str">
        <f t="shared" si="4"/>
        <v/>
      </c>
      <c r="I936" s="22" t="str">
        <f t="shared" si="1"/>
        <v>#N/A</v>
      </c>
      <c r="J936" s="22" t="str">
        <f t="shared" si="2"/>
        <v>#N/A</v>
      </c>
      <c r="K936" s="22" t="str">
        <f t="array" ref="K936">IF(H936="Crash",MATCH(TRUE, B937:B1034 &gt;= B935, 0),"")</f>
        <v/>
      </c>
    </row>
    <row r="937" ht="15.75" customHeight="1">
      <c r="A937" s="32">
        <f>'EQUITY BACKTEST'!A940</f>
        <v>42727.66667</v>
      </c>
      <c r="B937" s="22">
        <f>'EQUITY BACKTEST'!B940</f>
        <v>2263.79</v>
      </c>
      <c r="C937" s="22">
        <f>1/'EQUITY BACKTEST'!E940</f>
        <v>0.937866354</v>
      </c>
      <c r="D937" s="22">
        <f t="shared" si="7"/>
        <v>-0.86774868</v>
      </c>
      <c r="E937" s="22">
        <f t="shared" si="3"/>
        <v>0.002533136705</v>
      </c>
      <c r="F937" s="22">
        <f t="shared" si="6"/>
        <v>0.09839931295</v>
      </c>
      <c r="H937" s="22" t="str">
        <f t="shared" si="4"/>
        <v/>
      </c>
      <c r="I937" s="22" t="str">
        <f t="shared" si="1"/>
        <v>#N/A</v>
      </c>
      <c r="J937" s="22" t="str">
        <f t="shared" si="2"/>
        <v>#N/A</v>
      </c>
      <c r="K937" s="22" t="str">
        <f t="array" ref="K937">IF(H937="Crash",MATCH(TRUE, B938:B1035 &gt;= B936, 0),"")</f>
        <v/>
      </c>
    </row>
    <row r="938" ht="15.75" customHeight="1">
      <c r="A938" s="32">
        <f>'EQUITY BACKTEST'!A941</f>
        <v>42734.66667</v>
      </c>
      <c r="B938" s="22">
        <f>'EQUITY BACKTEST'!B941</f>
        <v>2238.83</v>
      </c>
      <c r="C938" s="22">
        <f>1/'EQUITY BACKTEST'!E941</f>
        <v>0.9470593806</v>
      </c>
      <c r="D938" s="22">
        <f t="shared" si="7"/>
        <v>-0.8631138669</v>
      </c>
      <c r="E938" s="22">
        <f t="shared" si="3"/>
        <v>-0.01102575769</v>
      </c>
      <c r="F938" s="22">
        <f t="shared" si="6"/>
        <v>0.09535015705</v>
      </c>
      <c r="H938" s="22" t="str">
        <f t="shared" si="4"/>
        <v/>
      </c>
      <c r="I938" s="22" t="str">
        <f t="shared" si="1"/>
        <v>#N/A</v>
      </c>
      <c r="J938" s="22" t="str">
        <f t="shared" si="2"/>
        <v>#N/A</v>
      </c>
      <c r="K938" s="22" t="str">
        <f t="array" ref="K938">IF(H938="Crash",MATCH(TRUE, B939:B1036 &gt;= B937, 0),"")</f>
        <v/>
      </c>
    </row>
    <row r="939" ht="15.75" customHeight="1">
      <c r="A939" s="32">
        <f>'EQUITY BACKTEST'!A942</f>
        <v>42741.66667</v>
      </c>
      <c r="B939" s="22">
        <f>'EQUITY BACKTEST'!B942</f>
        <v>2276.98</v>
      </c>
      <c r="C939" s="22">
        <f>1/'EQUITY BACKTEST'!E942</f>
        <v>0.9567546881</v>
      </c>
      <c r="D939" s="22">
        <f t="shared" si="7"/>
        <v>-0.8464681624</v>
      </c>
      <c r="E939" s="22">
        <f t="shared" si="3"/>
        <v>0.01704015044</v>
      </c>
      <c r="F939" s="22">
        <f t="shared" si="6"/>
        <v>0.1846745368</v>
      </c>
      <c r="H939" s="22" t="str">
        <f t="shared" si="4"/>
        <v/>
      </c>
      <c r="I939" s="22" t="str">
        <f t="shared" si="1"/>
        <v>#N/A</v>
      </c>
      <c r="J939" s="22" t="str">
        <f t="shared" si="2"/>
        <v>#N/A</v>
      </c>
      <c r="K939" s="22" t="str">
        <f t="array" ref="K939">IF(H939="Crash",MATCH(TRUE, B940:B1037 &gt;= B938, 0),"")</f>
        <v/>
      </c>
    </row>
    <row r="940" ht="15.75" customHeight="1">
      <c r="A940" s="32">
        <f>'EQUITY BACKTEST'!A943</f>
        <v>42748.66667</v>
      </c>
      <c r="B940" s="22">
        <f>'EQUITY BACKTEST'!B943</f>
        <v>2274.64</v>
      </c>
      <c r="C940" s="22">
        <f>1/'EQUITY BACKTEST'!E943</f>
        <v>0.9563886764</v>
      </c>
      <c r="D940" s="22">
        <f t="shared" si="7"/>
        <v>-0.8280899897</v>
      </c>
      <c r="E940" s="22">
        <f t="shared" si="3"/>
        <v>-0.001027677011</v>
      </c>
      <c r="F940" s="22">
        <f t="shared" si="6"/>
        <v>0.2097025522</v>
      </c>
      <c r="H940" s="22" t="str">
        <f t="shared" si="4"/>
        <v/>
      </c>
      <c r="I940" s="22" t="str">
        <f t="shared" si="1"/>
        <v>#N/A</v>
      </c>
      <c r="J940" s="22" t="str">
        <f t="shared" si="2"/>
        <v>#N/A</v>
      </c>
      <c r="K940" s="22" t="str">
        <f t="array" ref="K940">IF(H940="Crash",MATCH(TRUE, B941:B1038 &gt;= B939, 0),"")</f>
        <v/>
      </c>
    </row>
    <row r="941" ht="15.75" customHeight="1">
      <c r="A941" s="32">
        <f>'EQUITY BACKTEST'!A944</f>
        <v>42755.66667</v>
      </c>
      <c r="B941" s="22">
        <f>'EQUITY BACKTEST'!B944</f>
        <v>2271.31</v>
      </c>
      <c r="C941" s="22">
        <f>1/'EQUITY BACKTEST'!E944</f>
        <v>0.9508414947</v>
      </c>
      <c r="D941" s="22">
        <f t="shared" si="7"/>
        <v>-0.8162665644</v>
      </c>
      <c r="E941" s="22">
        <f t="shared" si="3"/>
        <v>-0.001463967925</v>
      </c>
      <c r="F941" s="22">
        <f t="shared" si="6"/>
        <v>0.1911007394</v>
      </c>
      <c r="H941" s="22" t="str">
        <f t="shared" si="4"/>
        <v/>
      </c>
      <c r="I941" s="22" t="str">
        <f t="shared" si="1"/>
        <v>#N/A</v>
      </c>
      <c r="J941" s="22" t="str">
        <f t="shared" si="2"/>
        <v>#N/A</v>
      </c>
      <c r="K941" s="22" t="str">
        <f t="array" ref="K941">IF(H941="Crash",MATCH(TRUE, B942:B1039 &gt;= B940, 0),"")</f>
        <v/>
      </c>
    </row>
    <row r="942" ht="15.75" customHeight="1">
      <c r="A942" s="32">
        <f>'EQUITY BACKTEST'!A945</f>
        <v>42762.66667</v>
      </c>
      <c r="B942" s="22">
        <f>'EQUITY BACKTEST'!B945</f>
        <v>2294.69</v>
      </c>
      <c r="C942" s="22">
        <f>1/'EQUITY BACKTEST'!E945</f>
        <v>0.9496676163</v>
      </c>
      <c r="D942" s="22">
        <f t="shared" si="7"/>
        <v>-0.8006834532</v>
      </c>
      <c r="E942" s="22">
        <f t="shared" si="3"/>
        <v>0.0102936191</v>
      </c>
      <c r="F942" s="22">
        <f t="shared" si="6"/>
        <v>0.1826835855</v>
      </c>
      <c r="H942" s="22" t="str">
        <f t="shared" si="4"/>
        <v/>
      </c>
      <c r="I942" s="22" t="str">
        <f t="shared" si="1"/>
        <v>#N/A</v>
      </c>
      <c r="J942" s="22" t="str">
        <f t="shared" si="2"/>
        <v>#N/A</v>
      </c>
      <c r="K942" s="22" t="str">
        <f t="array" ref="K942">IF(H942="Crash",MATCH(TRUE, B943:B1040 &gt;= B941, 0),"")</f>
        <v/>
      </c>
    </row>
    <row r="943" ht="15.75" customHeight="1">
      <c r="A943" s="32">
        <f>'EQUITY BACKTEST'!A946</f>
        <v>42769.66667</v>
      </c>
      <c r="B943" s="22">
        <f>'EQUITY BACKTEST'!B946</f>
        <v>2297.42</v>
      </c>
      <c r="C943" s="22">
        <f>1/'EQUITY BACKTEST'!E946</f>
        <v>0.9395847036</v>
      </c>
      <c r="D943" s="22">
        <f t="shared" si="7"/>
        <v>-0.8022269571</v>
      </c>
      <c r="E943" s="22">
        <f t="shared" si="3"/>
        <v>0.001189703184</v>
      </c>
      <c r="F943" s="22">
        <f t="shared" si="6"/>
        <v>0.2219994149</v>
      </c>
      <c r="H943" s="22" t="str">
        <f t="shared" si="4"/>
        <v/>
      </c>
      <c r="I943" s="22" t="str">
        <f t="shared" si="1"/>
        <v>#N/A</v>
      </c>
      <c r="J943" s="22" t="str">
        <f t="shared" si="2"/>
        <v>#N/A</v>
      </c>
      <c r="K943" s="22" t="str">
        <f t="array" ref="K943">IF(H943="Crash",MATCH(TRUE, B944:B1041 &gt;= B942, 0),"")</f>
        <v/>
      </c>
    </row>
    <row r="944" ht="15.75" customHeight="1">
      <c r="A944" s="32">
        <f>'EQUITY BACKTEST'!A947</f>
        <v>42776.66667</v>
      </c>
      <c r="B944" s="22">
        <f>'EQUITY BACKTEST'!B947</f>
        <v>2316.1</v>
      </c>
      <c r="C944" s="22">
        <f>1/'EQUITY BACKTEST'!E947</f>
        <v>0.9344921035</v>
      </c>
      <c r="D944" s="22">
        <f t="shared" si="7"/>
        <v>-0.7959992712</v>
      </c>
      <c r="E944" s="22">
        <f t="shared" si="3"/>
        <v>0.008130859834</v>
      </c>
      <c r="F944" s="22">
        <f t="shared" si="6"/>
        <v>0.2420231877</v>
      </c>
      <c r="H944" s="22" t="str">
        <f t="shared" si="4"/>
        <v/>
      </c>
      <c r="I944" s="22" t="str">
        <f t="shared" si="1"/>
        <v>#N/A</v>
      </c>
      <c r="J944" s="22" t="str">
        <f t="shared" si="2"/>
        <v>#N/A</v>
      </c>
      <c r="K944" s="22" t="str">
        <f t="array" ref="K944">IF(H944="Crash",MATCH(TRUE, B945:B1042 &gt;= B943, 0),"")</f>
        <v/>
      </c>
    </row>
    <row r="945" ht="15.75" customHeight="1">
      <c r="A945" s="32">
        <f>'EQUITY BACKTEST'!A948</f>
        <v>42783.66667</v>
      </c>
      <c r="B945" s="22">
        <f>'EQUITY BACKTEST'!B948</f>
        <v>2351.16</v>
      </c>
      <c r="C945" s="22">
        <f>1/'EQUITY BACKTEST'!E948</f>
        <v>0.9348415444</v>
      </c>
      <c r="D945" s="22">
        <f t="shared" si="7"/>
        <v>-0.7998540548</v>
      </c>
      <c r="E945" s="22">
        <f t="shared" si="3"/>
        <v>0.01513751565</v>
      </c>
      <c r="F945" s="22">
        <f t="shared" si="6"/>
        <v>0.2259800394</v>
      </c>
      <c r="H945" s="22" t="str">
        <f t="shared" si="4"/>
        <v/>
      </c>
      <c r="I945" s="22" t="str">
        <f t="shared" si="1"/>
        <v>#N/A</v>
      </c>
      <c r="J945" s="22" t="str">
        <f t="shared" si="2"/>
        <v>#N/A</v>
      </c>
      <c r="K945" s="22" t="str">
        <f t="array" ref="K945">IF(H945="Crash",MATCH(TRUE, B946:B1043 &gt;= B944, 0),"")</f>
        <v/>
      </c>
    </row>
    <row r="946" ht="15.75" customHeight="1">
      <c r="A946" s="32">
        <f>'EQUITY BACKTEST'!A949</f>
        <v>42790.66667</v>
      </c>
      <c r="B946" s="22">
        <f>'EQUITY BACKTEST'!B949</f>
        <v>2367.34</v>
      </c>
      <c r="C946" s="22">
        <f>1/'EQUITY BACKTEST'!E949</f>
        <v>0.9270418096</v>
      </c>
      <c r="D946" s="22">
        <f t="shared" si="7"/>
        <v>-0.805081888</v>
      </c>
      <c r="E946" s="22">
        <f t="shared" si="3"/>
        <v>0.006881709454</v>
      </c>
      <c r="F946" s="22">
        <f t="shared" si="6"/>
        <v>0.2152357486</v>
      </c>
      <c r="H946" s="22" t="str">
        <f t="shared" si="4"/>
        <v/>
      </c>
      <c r="I946" s="22" t="str">
        <f t="shared" si="1"/>
        <v>#N/A</v>
      </c>
      <c r="J946" s="22" t="str">
        <f t="shared" si="2"/>
        <v>#N/A</v>
      </c>
      <c r="K946" s="22" t="str">
        <f t="array" ref="K946">IF(H946="Crash",MATCH(TRUE, B947:B1044 &gt;= B945, 0),"")</f>
        <v/>
      </c>
    </row>
    <row r="947" ht="15.75" customHeight="1">
      <c r="A947" s="32">
        <f>'EQUITY BACKTEST'!A950</f>
        <v>42797.66667</v>
      </c>
      <c r="B947" s="22">
        <f>'EQUITY BACKTEST'!B950</f>
        <v>2383.12</v>
      </c>
      <c r="C947" s="22">
        <f>1/'EQUITY BACKTEST'!E950</f>
        <v>0.9400263207</v>
      </c>
      <c r="D947" s="22">
        <f t="shared" si="7"/>
        <v>-0.8060837108</v>
      </c>
      <c r="E947" s="22">
        <f t="shared" si="3"/>
        <v>0.006665709193</v>
      </c>
      <c r="F947" s="22">
        <f t="shared" si="6"/>
        <v>0.1915659578</v>
      </c>
      <c r="H947" s="22" t="str">
        <f t="shared" si="4"/>
        <v/>
      </c>
      <c r="I947" s="22" t="str">
        <f t="shared" si="1"/>
        <v>#N/A</v>
      </c>
      <c r="J947" s="22" t="str">
        <f t="shared" si="2"/>
        <v>#N/A</v>
      </c>
      <c r="K947" s="22" t="str">
        <f t="array" ref="K947">IF(H947="Crash",MATCH(TRUE, B948:B1045 &gt;= B946, 0),"")</f>
        <v/>
      </c>
    </row>
    <row r="948" ht="15.75" customHeight="1">
      <c r="A948" s="32">
        <f>'EQUITY BACKTEST'!A951</f>
        <v>42804.66667</v>
      </c>
      <c r="B948" s="22">
        <f>'EQUITY BACKTEST'!B951</f>
        <v>2372.6</v>
      </c>
      <c r="C948" s="22">
        <f>1/'EQUITY BACKTEST'!E951</f>
        <v>0.9421518749</v>
      </c>
      <c r="D948" s="22">
        <f t="shared" si="7"/>
        <v>-0.8125690876</v>
      </c>
      <c r="E948" s="22">
        <f t="shared" si="3"/>
        <v>-0.004414381147</v>
      </c>
      <c r="F948" s="22">
        <f t="shared" si="6"/>
        <v>0.1732824314</v>
      </c>
      <c r="H948" s="22" t="str">
        <f t="shared" si="4"/>
        <v/>
      </c>
      <c r="I948" s="22" t="str">
        <f t="shared" si="1"/>
        <v>#N/A</v>
      </c>
      <c r="J948" s="22" t="str">
        <f t="shared" si="2"/>
        <v>#N/A</v>
      </c>
      <c r="K948" s="22" t="str">
        <f t="array" ref="K948">IF(H948="Crash",MATCH(TRUE, B949:B1046 &gt;= B947, 0),"")</f>
        <v/>
      </c>
    </row>
    <row r="949" ht="15.75" customHeight="1">
      <c r="A949" s="32">
        <f>'EQUITY BACKTEST'!A952</f>
        <v>42811.66667</v>
      </c>
      <c r="B949" s="22">
        <f>'EQUITY BACKTEST'!B952</f>
        <v>2378.25</v>
      </c>
      <c r="C949" s="22">
        <f>1/'EQUITY BACKTEST'!E952</f>
        <v>0.9468800303</v>
      </c>
      <c r="D949" s="22">
        <f t="shared" si="7"/>
        <v>-0.8153403667</v>
      </c>
      <c r="E949" s="22">
        <f t="shared" si="3"/>
        <v>0.002381353789</v>
      </c>
      <c r="F949" s="22">
        <f t="shared" si="6"/>
        <v>0.1603596834</v>
      </c>
      <c r="H949" s="22" t="str">
        <f t="shared" si="4"/>
        <v/>
      </c>
      <c r="I949" s="22" t="str">
        <f t="shared" si="1"/>
        <v>#N/A</v>
      </c>
      <c r="J949" s="22" t="str">
        <f t="shared" si="2"/>
        <v>#N/A</v>
      </c>
      <c r="K949" s="22" t="str">
        <f t="array" ref="K949">IF(H949="Crash",MATCH(TRUE, B950:B1047 &gt;= B948, 0),"")</f>
        <v/>
      </c>
    </row>
    <row r="950" ht="15.75" customHeight="1">
      <c r="A950" s="32">
        <f>'EQUITY BACKTEST'!A953</f>
        <v>42818.66667</v>
      </c>
      <c r="B950" s="22">
        <f>'EQUITY BACKTEST'!B953</f>
        <v>2343.98</v>
      </c>
      <c r="C950" s="22">
        <f>1/'EQUITY BACKTEST'!E953</f>
        <v>0.9414422896</v>
      </c>
      <c r="D950" s="22">
        <f t="shared" si="7"/>
        <v>-0.8064194325</v>
      </c>
      <c r="E950" s="22">
        <f t="shared" si="3"/>
        <v>-0.01440975507</v>
      </c>
      <c r="F950" s="22">
        <f t="shared" si="6"/>
        <v>0.1513011189</v>
      </c>
      <c r="H950" s="22" t="str">
        <f t="shared" si="4"/>
        <v/>
      </c>
      <c r="I950" s="22" t="str">
        <f t="shared" si="1"/>
        <v>#N/A</v>
      </c>
      <c r="J950" s="22" t="str">
        <f t="shared" si="2"/>
        <v>#N/A</v>
      </c>
      <c r="K950" s="22" t="str">
        <f t="array" ref="K950">IF(H950="Crash",MATCH(TRUE, B951:B1048 &gt;= B949, 0),"")</f>
        <v/>
      </c>
    </row>
    <row r="951" ht="15.75" customHeight="1">
      <c r="A951" s="32">
        <f>'EQUITY BACKTEST'!A954</f>
        <v>42825.66667</v>
      </c>
      <c r="B951" s="22">
        <f>'EQUITY BACKTEST'!B954</f>
        <v>2362.72</v>
      </c>
      <c r="C951" s="22">
        <f>1/'EQUITY BACKTEST'!E954</f>
        <v>0.9369349111</v>
      </c>
      <c r="D951" s="22">
        <f t="shared" si="7"/>
        <v>-0.7984389461</v>
      </c>
      <c r="E951" s="22">
        <f t="shared" si="3"/>
        <v>0.007994948762</v>
      </c>
      <c r="F951" s="22">
        <f t="shared" si="6"/>
        <v>0.139879775</v>
      </c>
      <c r="H951" s="22" t="str">
        <f t="shared" si="4"/>
        <v/>
      </c>
      <c r="I951" s="22" t="str">
        <f t="shared" si="1"/>
        <v>#N/A</v>
      </c>
      <c r="J951" s="22" t="str">
        <f t="shared" si="2"/>
        <v>#N/A</v>
      </c>
      <c r="K951" s="22" t="str">
        <f t="array" ref="K951">IF(H951="Crash",MATCH(TRUE, B952:B1049 &gt;= B950, 0),"")</f>
        <v/>
      </c>
    </row>
    <row r="952" ht="15.75" customHeight="1">
      <c r="A952" s="32">
        <f>'EQUITY BACKTEST'!A955</f>
        <v>42832.66667</v>
      </c>
      <c r="B952" s="22">
        <f>'EQUITY BACKTEST'!B955</f>
        <v>2355.54</v>
      </c>
      <c r="C952" s="22">
        <f>1/'EQUITY BACKTEST'!E955</f>
        <v>0.9308386857</v>
      </c>
      <c r="D952" s="22">
        <f t="shared" si="7"/>
        <v>-0.787211602</v>
      </c>
      <c r="E952" s="22">
        <f t="shared" si="3"/>
        <v>-0.003038870454</v>
      </c>
      <c r="F952" s="22">
        <f t="shared" si="6"/>
        <v>0.1503907013</v>
      </c>
      <c r="H952" s="22" t="str">
        <f t="shared" si="4"/>
        <v/>
      </c>
      <c r="I952" s="22" t="str">
        <f t="shared" si="1"/>
        <v>#N/A</v>
      </c>
      <c r="J952" s="22" t="str">
        <f t="shared" si="2"/>
        <v>#N/A</v>
      </c>
      <c r="K952" s="22" t="str">
        <f t="array" ref="K952">IF(H952="Crash",MATCH(TRUE, B953:B1050 &gt;= B951, 0),"")</f>
        <v/>
      </c>
    </row>
    <row r="953" ht="15.75" customHeight="1">
      <c r="A953" s="32">
        <f>'EQUITY BACKTEST'!A956</f>
        <v>42838.66667</v>
      </c>
      <c r="B953" s="22">
        <f>'EQUITY BACKTEST'!B956</f>
        <v>2328.95</v>
      </c>
      <c r="C953" s="22">
        <f>1/'EQUITY BACKTEST'!E956</f>
        <v>0.9255831174</v>
      </c>
      <c r="D953" s="22">
        <f t="shared" si="7"/>
        <v>-0.7787591681</v>
      </c>
      <c r="E953" s="22">
        <f t="shared" si="3"/>
        <v>-0.01128828209</v>
      </c>
      <c r="F953" s="22">
        <f t="shared" si="6"/>
        <v>0.1192946706</v>
      </c>
      <c r="H953" s="22" t="str">
        <f t="shared" si="4"/>
        <v/>
      </c>
      <c r="I953" s="22" t="str">
        <f t="shared" si="1"/>
        <v>#N/A</v>
      </c>
      <c r="J953" s="22" t="str">
        <f t="shared" si="2"/>
        <v>#N/A</v>
      </c>
      <c r="K953" s="22" t="str">
        <f t="array" ref="K953">IF(H953="Crash",MATCH(TRUE, B954:B1051 &gt;= B952, 0),"")</f>
        <v/>
      </c>
    </row>
    <row r="954" ht="15.75" customHeight="1">
      <c r="A954" s="32">
        <f>'EQUITY BACKTEST'!A957</f>
        <v>42846.66667</v>
      </c>
      <c r="B954" s="22">
        <f>'EQUITY BACKTEST'!B957</f>
        <v>2348.69</v>
      </c>
      <c r="C954" s="22">
        <f>1/'EQUITY BACKTEST'!E957</f>
        <v>0.9386498461</v>
      </c>
      <c r="D954" s="22">
        <f t="shared" si="7"/>
        <v>-0.7683869163</v>
      </c>
      <c r="E954" s="22">
        <f t="shared" si="3"/>
        <v>0.008475922626</v>
      </c>
      <c r="F954" s="22">
        <f t="shared" si="6"/>
        <v>0.1229262089</v>
      </c>
      <c r="H954" s="22" t="str">
        <f t="shared" si="4"/>
        <v/>
      </c>
      <c r="I954" s="22" t="str">
        <f t="shared" si="1"/>
        <v>#N/A</v>
      </c>
      <c r="J954" s="22" t="str">
        <f t="shared" si="2"/>
        <v>#N/A</v>
      </c>
      <c r="K954" s="22" t="str">
        <f t="array" ref="K954">IF(H954="Crash",MATCH(TRUE, B955:B1052 &gt;= B953, 0),"")</f>
        <v/>
      </c>
    </row>
    <row r="955" ht="15.75" customHeight="1">
      <c r="A955" s="32">
        <f>'EQUITY BACKTEST'!A958</f>
        <v>42853.66667</v>
      </c>
      <c r="B955" s="22">
        <f>'EQUITY BACKTEST'!B958</f>
        <v>2384.2</v>
      </c>
      <c r="C955" s="22">
        <f>1/'EQUITY BACKTEST'!E958</f>
        <v>0.9442870633</v>
      </c>
      <c r="D955" s="22">
        <f t="shared" si="7"/>
        <v>-0.7569754726</v>
      </c>
      <c r="E955" s="22">
        <f t="shared" si="3"/>
        <v>0.01511906637</v>
      </c>
      <c r="F955" s="22">
        <f t="shared" si="6"/>
        <v>0.1544085605</v>
      </c>
      <c r="H955" s="22" t="str">
        <f t="shared" si="4"/>
        <v/>
      </c>
      <c r="I955" s="22" t="str">
        <f t="shared" si="1"/>
        <v>#N/A</v>
      </c>
      <c r="J955" s="22" t="str">
        <f t="shared" si="2"/>
        <v>#N/A</v>
      </c>
      <c r="K955" s="22" t="str">
        <f t="array" ref="K955">IF(H955="Crash",MATCH(TRUE, B956:B1053 &gt;= B954, 0),"")</f>
        <v/>
      </c>
    </row>
    <row r="956" ht="15.75" customHeight="1">
      <c r="A956" s="32">
        <f>'EQUITY BACKTEST'!A959</f>
        <v>42860.66667</v>
      </c>
      <c r="B956" s="22">
        <f>'EQUITY BACKTEST'!B959</f>
        <v>2399.29</v>
      </c>
      <c r="C956" s="22">
        <f>1/'EQUITY BACKTEST'!E959</f>
        <v>0.9423294384</v>
      </c>
      <c r="D956" s="22">
        <f t="shared" si="7"/>
        <v>-0.7502439192</v>
      </c>
      <c r="E956" s="22">
        <f t="shared" si="3"/>
        <v>0.006329167016</v>
      </c>
      <c r="F956" s="22">
        <f t="shared" si="6"/>
        <v>0.1663231477</v>
      </c>
      <c r="H956" s="22" t="str">
        <f t="shared" si="4"/>
        <v/>
      </c>
      <c r="I956" s="22" t="str">
        <f t="shared" si="1"/>
        <v>#N/A</v>
      </c>
      <c r="J956" s="22" t="str">
        <f t="shared" si="2"/>
        <v>#N/A</v>
      </c>
      <c r="K956" s="22" t="str">
        <f t="array" ref="K956">IF(H956="Crash",MATCH(TRUE, B957:B1054 &gt;= B955, 0),"")</f>
        <v/>
      </c>
    </row>
    <row r="957" ht="15.75" customHeight="1">
      <c r="A957" s="32">
        <f>'EQUITY BACKTEST'!A960</f>
        <v>42867.66667</v>
      </c>
      <c r="B957" s="22">
        <f>'EQUITY BACKTEST'!B960</f>
        <v>2390.9</v>
      </c>
      <c r="C957" s="22">
        <f>1/'EQUITY BACKTEST'!E960</f>
        <v>0.9327488107</v>
      </c>
      <c r="D957" s="22">
        <f t="shared" si="7"/>
        <v>-0.7506537277</v>
      </c>
      <c r="E957" s="22">
        <f t="shared" si="3"/>
        <v>-0.003496867823</v>
      </c>
      <c r="F957" s="22">
        <f t="shared" si="6"/>
        <v>0.1682245274</v>
      </c>
      <c r="H957" s="22" t="str">
        <f t="shared" si="4"/>
        <v/>
      </c>
      <c r="I957" s="22" t="str">
        <f t="shared" si="1"/>
        <v>#N/A</v>
      </c>
      <c r="J957" s="22" t="str">
        <f t="shared" si="2"/>
        <v>#N/A</v>
      </c>
      <c r="K957" s="22" t="str">
        <f t="array" ref="K957">IF(H957="Crash",MATCH(TRUE, B958:B1055 &gt;= B956, 0),"")</f>
        <v/>
      </c>
    </row>
    <row r="958" ht="15.75" customHeight="1">
      <c r="A958" s="32">
        <f>'EQUITY BACKTEST'!A961</f>
        <v>42874.66667</v>
      </c>
      <c r="B958" s="22">
        <f>'EQUITY BACKTEST'!B961</f>
        <v>2381.73</v>
      </c>
      <c r="C958" s="22">
        <f>1/'EQUITY BACKTEST'!E961</f>
        <v>0.9180207473</v>
      </c>
      <c r="D958" s="22">
        <f t="shared" si="7"/>
        <v>-0.7434850152</v>
      </c>
      <c r="E958" s="22">
        <f t="shared" si="3"/>
        <v>-0.0038353758</v>
      </c>
      <c r="F958" s="22">
        <f t="shared" si="6"/>
        <v>0.1605061589</v>
      </c>
      <c r="H958" s="22" t="str">
        <f t="shared" si="4"/>
        <v/>
      </c>
      <c r="I958" s="22" t="str">
        <f t="shared" si="1"/>
        <v>#N/A</v>
      </c>
      <c r="J958" s="22" t="str">
        <f t="shared" si="2"/>
        <v>#N/A</v>
      </c>
      <c r="K958" s="22" t="str">
        <f t="array" ref="K958">IF(H958="Crash",MATCH(TRUE, B959:B1056 &gt;= B957, 0),"")</f>
        <v/>
      </c>
    </row>
    <row r="959" ht="15.75" customHeight="1">
      <c r="A959" s="32">
        <f>'EQUITY BACKTEST'!A962</f>
        <v>42881.66667</v>
      </c>
      <c r="B959" s="22">
        <f>'EQUITY BACKTEST'!B962</f>
        <v>2415.82</v>
      </c>
      <c r="C959" s="22">
        <f>1/'EQUITY BACKTEST'!E962</f>
        <v>0.9094216079</v>
      </c>
      <c r="D959" s="22">
        <f t="shared" si="7"/>
        <v>-0.7252645118</v>
      </c>
      <c r="E959" s="22">
        <f t="shared" si="3"/>
        <v>0.01431312533</v>
      </c>
      <c r="F959" s="22">
        <f t="shared" si="6"/>
        <v>0.1509056435</v>
      </c>
      <c r="H959" s="22" t="str">
        <f t="shared" si="4"/>
        <v/>
      </c>
      <c r="I959" s="22" t="str">
        <f t="shared" si="1"/>
        <v>#N/A</v>
      </c>
      <c r="J959" s="22" t="str">
        <f t="shared" si="2"/>
        <v>#N/A</v>
      </c>
      <c r="K959" s="22" t="str">
        <f t="array" ref="K959">IF(H959="Crash",MATCH(TRUE, B960:B1057 &gt;= B958, 0),"")</f>
        <v/>
      </c>
    </row>
    <row r="960" ht="15.75" customHeight="1">
      <c r="A960" s="32">
        <f>'EQUITY BACKTEST'!A963</f>
        <v>42888.66667</v>
      </c>
      <c r="B960" s="22">
        <f>'EQUITY BACKTEST'!B963</f>
        <v>2439.07</v>
      </c>
      <c r="C960" s="22">
        <f>1/'EQUITY BACKTEST'!E963</f>
        <v>0.9147457007</v>
      </c>
      <c r="D960" s="22">
        <f t="shared" si="7"/>
        <v>-0.7087199598</v>
      </c>
      <c r="E960" s="22">
        <f t="shared" si="3"/>
        <v>0.009624061395</v>
      </c>
      <c r="F960" s="22">
        <f t="shared" si="6"/>
        <v>0.1619432813</v>
      </c>
      <c r="H960" s="22" t="str">
        <f t="shared" si="4"/>
        <v/>
      </c>
      <c r="I960" s="22" t="str">
        <f t="shared" si="1"/>
        <v>#N/A</v>
      </c>
      <c r="J960" s="22" t="str">
        <f t="shared" si="2"/>
        <v>#N/A</v>
      </c>
      <c r="K960" s="22" t="str">
        <f t="array" ref="K960">IF(H960="Crash",MATCH(TRUE, B961:B1058 &gt;= B959, 0),"")</f>
        <v/>
      </c>
    </row>
    <row r="961" ht="15.75" customHeight="1">
      <c r="A961" s="32">
        <f>'EQUITY BACKTEST'!A964</f>
        <v>42895.66667</v>
      </c>
      <c r="B961" s="22">
        <f>'EQUITY BACKTEST'!B964</f>
        <v>2431.77</v>
      </c>
      <c r="C961" s="22">
        <f>1/'EQUITY BACKTEST'!E964</f>
        <v>0.8922994557</v>
      </c>
      <c r="D961" s="22">
        <f t="shared" si="7"/>
        <v>-0.6807604379</v>
      </c>
      <c r="E961" s="22">
        <f t="shared" si="3"/>
        <v>-0.002992944032</v>
      </c>
      <c r="F961" s="22">
        <f t="shared" si="6"/>
        <v>0.160156865</v>
      </c>
      <c r="H961" s="22" t="str">
        <f t="shared" si="4"/>
        <v/>
      </c>
      <c r="I961" s="22" t="str">
        <f t="shared" si="1"/>
        <v>#N/A</v>
      </c>
      <c r="J961" s="22" t="str">
        <f t="shared" si="2"/>
        <v>#N/A</v>
      </c>
      <c r="K961" s="22" t="str">
        <f t="array" ref="K961">IF(H961="Crash",MATCH(TRUE, B962:B1059 &gt;= B960, 0),"")</f>
        <v/>
      </c>
    </row>
    <row r="962" ht="15.75" customHeight="1">
      <c r="A962" s="32">
        <f>'EQUITY BACKTEST'!A965</f>
        <v>42902.66667</v>
      </c>
      <c r="B962" s="22">
        <f>'EQUITY BACKTEST'!B965</f>
        <v>2433.15</v>
      </c>
      <c r="C962" s="22">
        <f>1/'EQUITY BACKTEST'!E965</f>
        <v>0.8942944017</v>
      </c>
      <c r="D962" s="22">
        <f t="shared" si="7"/>
        <v>-0.6331744909</v>
      </c>
      <c r="E962" s="22">
        <f t="shared" si="3"/>
        <v>0.0005674878792</v>
      </c>
      <c r="F962" s="22">
        <f t="shared" si="6"/>
        <v>0.1747424223</v>
      </c>
      <c r="H962" s="22" t="str">
        <f t="shared" si="4"/>
        <v/>
      </c>
      <c r="I962" s="22" t="str">
        <f t="shared" si="1"/>
        <v>#N/A</v>
      </c>
      <c r="J962" s="22" t="str">
        <f t="shared" si="2"/>
        <v>#N/A</v>
      </c>
      <c r="K962" s="22" t="str">
        <f t="array" ref="K962">IF(H962="Crash",MATCH(TRUE, B963:B1060 &gt;= B961, 0),"")</f>
        <v/>
      </c>
    </row>
    <row r="963" ht="15.75" customHeight="1">
      <c r="A963" s="32">
        <f>'EQUITY BACKTEST'!A966</f>
        <v>42909.66667</v>
      </c>
      <c r="B963" s="22">
        <f>'EQUITY BACKTEST'!B966</f>
        <v>2438.3</v>
      </c>
      <c r="C963" s="22">
        <f>1/'EQUITY BACKTEST'!E966</f>
        <v>0.8862891075</v>
      </c>
      <c r="D963" s="22">
        <f t="shared" si="7"/>
        <v>-0.5897150325</v>
      </c>
      <c r="E963" s="22">
        <f t="shared" si="3"/>
        <v>0.002116597826</v>
      </c>
      <c r="F963" s="22">
        <f t="shared" si="6"/>
        <v>0.1967645197</v>
      </c>
      <c r="H963" s="22" t="str">
        <f t="shared" si="4"/>
        <v/>
      </c>
      <c r="I963" s="22" t="str">
        <f t="shared" si="1"/>
        <v>#N/A</v>
      </c>
      <c r="J963" s="22" t="str">
        <f t="shared" si="2"/>
        <v>#N/A</v>
      </c>
      <c r="K963" s="22" t="str">
        <f t="array" ref="K963">IF(H963="Crash",MATCH(TRUE, B964:B1061 &gt;= B962, 0),"")</f>
        <v/>
      </c>
    </row>
    <row r="964" ht="15.75" customHeight="1">
      <c r="A964" s="32">
        <f>'EQUITY BACKTEST'!A967</f>
        <v>42916.66667</v>
      </c>
      <c r="B964" s="22">
        <f>'EQUITY BACKTEST'!B967</f>
        <v>2423.41</v>
      </c>
      <c r="C964" s="22">
        <f>1/'EQUITY BACKTEST'!E967</f>
        <v>0.8934953538</v>
      </c>
      <c r="D964" s="22">
        <f t="shared" si="7"/>
        <v>-0.5569877666</v>
      </c>
      <c r="E964" s="22">
        <f t="shared" si="3"/>
        <v>-0.006106713694</v>
      </c>
      <c r="F964" s="22">
        <f t="shared" si="6"/>
        <v>0.152385934</v>
      </c>
      <c r="H964" s="22" t="str">
        <f t="shared" si="4"/>
        <v/>
      </c>
      <c r="I964" s="22" t="str">
        <f t="shared" si="1"/>
        <v>#N/A</v>
      </c>
      <c r="J964" s="22" t="str">
        <f t="shared" si="2"/>
        <v>#N/A</v>
      </c>
      <c r="K964" s="22" t="str">
        <f t="array" ref="K964">IF(H964="Crash",MATCH(TRUE, B965:B1062 &gt;= B963, 0),"")</f>
        <v/>
      </c>
    </row>
    <row r="965" ht="15.75" customHeight="1">
      <c r="A965" s="32">
        <f>'EQUITY BACKTEST'!A968</f>
        <v>42923.66667</v>
      </c>
      <c r="B965" s="22">
        <f>'EQUITY BACKTEST'!B968</f>
        <v>2425.18</v>
      </c>
      <c r="C965" s="22">
        <f>1/'EQUITY BACKTEST'!E968</f>
        <v>0.8941344778</v>
      </c>
      <c r="D965" s="22">
        <f t="shared" si="7"/>
        <v>-0.4928512822</v>
      </c>
      <c r="E965" s="22">
        <f t="shared" si="3"/>
        <v>0.0007303757928</v>
      </c>
      <c r="F965" s="22">
        <f t="shared" si="6"/>
        <v>0.1386356167</v>
      </c>
      <c r="H965" s="22" t="str">
        <f t="shared" si="4"/>
        <v/>
      </c>
      <c r="I965" s="22" t="str">
        <f t="shared" si="1"/>
        <v>#N/A</v>
      </c>
      <c r="J965" s="22" t="str">
        <f t="shared" si="2"/>
        <v>#N/A</v>
      </c>
      <c r="K965" s="22" t="str">
        <f t="array" ref="K965">IF(H965="Crash",MATCH(TRUE, B966:B1063 &gt;= B964, 0),"")</f>
        <v/>
      </c>
    </row>
    <row r="966" ht="15.75" customHeight="1">
      <c r="A966" s="32">
        <f>'EQUITY BACKTEST'!A969</f>
        <v>42930.66667</v>
      </c>
      <c r="B966" s="22">
        <f>'EQUITY BACKTEST'!B969</f>
        <v>2459.27</v>
      </c>
      <c r="C966" s="22">
        <f>1/'EQUITY BACKTEST'!E969</f>
        <v>0.8934953538</v>
      </c>
      <c r="D966" s="22">
        <f t="shared" si="7"/>
        <v>-0.4139039082</v>
      </c>
      <c r="E966" s="22">
        <f t="shared" si="3"/>
        <v>0.01405668858</v>
      </c>
      <c r="F966" s="22">
        <f t="shared" si="6"/>
        <v>0.1376344981</v>
      </c>
      <c r="H966" s="22" t="str">
        <f t="shared" si="4"/>
        <v/>
      </c>
      <c r="I966" s="22" t="str">
        <f t="shared" si="1"/>
        <v>#N/A</v>
      </c>
      <c r="J966" s="22" t="str">
        <f t="shared" si="2"/>
        <v>#N/A</v>
      </c>
      <c r="K966" s="22" t="str">
        <f t="array" ref="K966">IF(H966="Crash",MATCH(TRUE, B967:B1064 &gt;= B965, 0),"")</f>
        <v/>
      </c>
    </row>
    <row r="967" ht="15.75" customHeight="1">
      <c r="A967" s="32">
        <f>'EQUITY BACKTEST'!A970</f>
        <v>42937.66667</v>
      </c>
      <c r="B967" s="22">
        <f>'EQUITY BACKTEST'!B970</f>
        <v>2472.54</v>
      </c>
      <c r="C967" s="22">
        <f>1/'EQUITY BACKTEST'!E970</f>
        <v>0.8751969193</v>
      </c>
      <c r="D967" s="22">
        <f t="shared" si="7"/>
        <v>-0.3385977567</v>
      </c>
      <c r="E967" s="22">
        <f t="shared" si="3"/>
        <v>0.005395910168</v>
      </c>
      <c r="F967" s="22">
        <f t="shared" si="6"/>
        <v>0.1367843202</v>
      </c>
      <c r="H967" s="22" t="str">
        <f t="shared" si="4"/>
        <v/>
      </c>
      <c r="I967" s="22" t="str">
        <f t="shared" si="1"/>
        <v>#N/A</v>
      </c>
      <c r="J967" s="22" t="str">
        <f t="shared" si="2"/>
        <v>#N/A</v>
      </c>
      <c r="K967" s="22" t="str">
        <f t="array" ref="K967">IF(H967="Crash",MATCH(TRUE, B968:B1065 &gt;= B966, 0),"")</f>
        <v/>
      </c>
    </row>
    <row r="968" ht="15.75" customHeight="1">
      <c r="A968" s="32">
        <f>'EQUITY BACKTEST'!A971</f>
        <v>42944.66667</v>
      </c>
      <c r="B968" s="22">
        <f>'EQUITY BACKTEST'!B971</f>
        <v>2472.1</v>
      </c>
      <c r="C968" s="22">
        <f>1/'EQUITY BACKTEST'!E971</f>
        <v>0.8774238835</v>
      </c>
      <c r="D968" s="22">
        <f t="shared" si="7"/>
        <v>-0.27461771</v>
      </c>
      <c r="E968" s="22">
        <f t="shared" si="3"/>
        <v>-0.0001779546539</v>
      </c>
      <c r="F968" s="22">
        <f t="shared" si="6"/>
        <v>0.1373297755</v>
      </c>
      <c r="H968" s="22" t="str">
        <f t="shared" si="4"/>
        <v/>
      </c>
      <c r="I968" s="22" t="str">
        <f t="shared" si="1"/>
        <v>#N/A</v>
      </c>
      <c r="J968" s="22" t="str">
        <f t="shared" si="2"/>
        <v>#N/A</v>
      </c>
      <c r="K968" s="22" t="str">
        <f t="array" ref="K968">IF(H968="Crash",MATCH(TRUE, B969:B1066 &gt;= B967, 0),"")</f>
        <v/>
      </c>
    </row>
    <row r="969" ht="15.75" customHeight="1">
      <c r="A969" s="32">
        <f>'EQUITY BACKTEST'!A972</f>
        <v>42951.66667</v>
      </c>
      <c r="B969" s="22">
        <f>'EQUITY BACKTEST'!B972</f>
        <v>2476.83</v>
      </c>
      <c r="C969" s="22">
        <f>1/'EQUITY BACKTEST'!E972</f>
        <v>0.8720676725</v>
      </c>
      <c r="D969" s="22">
        <f t="shared" si="7"/>
        <v>-0.1907814116</v>
      </c>
      <c r="E969" s="22">
        <f t="shared" si="3"/>
        <v>0.00191335302</v>
      </c>
      <c r="F969" s="22">
        <f t="shared" si="6"/>
        <v>0.1346667461</v>
      </c>
      <c r="H969" s="22" t="str">
        <f t="shared" si="4"/>
        <v/>
      </c>
      <c r="I969" s="22" t="str">
        <f t="shared" si="1"/>
        <v>#N/A</v>
      </c>
      <c r="J969" s="22" t="str">
        <f t="shared" si="2"/>
        <v>#N/A</v>
      </c>
      <c r="K969" s="22" t="str">
        <f t="array" ref="K969">IF(H969="Crash",MATCH(TRUE, B970:B1067 &gt;= B968, 0),"")</f>
        <v/>
      </c>
    </row>
    <row r="970" ht="15.75" customHeight="1">
      <c r="A970" s="32">
        <f>'EQUITY BACKTEST'!A973</f>
        <v>42958.66667</v>
      </c>
      <c r="B970" s="22">
        <f>'EQUITY BACKTEST'!B973</f>
        <v>2441.32</v>
      </c>
      <c r="C970" s="22">
        <f>1/'EQUITY BACKTEST'!E973</f>
        <v>0.8576329331</v>
      </c>
      <c r="D970" s="22">
        <f t="shared" si="7"/>
        <v>-0.1132121467</v>
      </c>
      <c r="E970" s="22">
        <f t="shared" si="3"/>
        <v>-0.01433687415</v>
      </c>
      <c r="F970" s="22">
        <f t="shared" si="6"/>
        <v>0.1177949223</v>
      </c>
      <c r="H970" s="22" t="str">
        <f t="shared" si="4"/>
        <v/>
      </c>
      <c r="I970" s="22" t="str">
        <f t="shared" si="1"/>
        <v>#N/A</v>
      </c>
      <c r="J970" s="22" t="str">
        <f t="shared" si="2"/>
        <v>#N/A</v>
      </c>
      <c r="K970" s="22" t="str">
        <f t="array" ref="K970">IF(H970="Crash",MATCH(TRUE, B971:B1068 &gt;= B969, 0),"")</f>
        <v/>
      </c>
    </row>
    <row r="971" ht="15.75" customHeight="1">
      <c r="A971" s="32">
        <f>'EQUITY BACKTEST'!A974</f>
        <v>42965.66667</v>
      </c>
      <c r="B971" s="22">
        <f>'EQUITY BACKTEST'!B974</f>
        <v>2425.55</v>
      </c>
      <c r="C971" s="22">
        <f>1/'EQUITY BACKTEST'!E974</f>
        <v>0.8508465924</v>
      </c>
      <c r="D971" s="22">
        <f t="shared" si="7"/>
        <v>-0.03769861171</v>
      </c>
      <c r="E971" s="22">
        <f t="shared" si="3"/>
        <v>-0.006459620205</v>
      </c>
      <c r="F971" s="22">
        <f t="shared" si="6"/>
        <v>0.1106659279</v>
      </c>
      <c r="H971" s="22" t="str">
        <f t="shared" si="4"/>
        <v/>
      </c>
      <c r="I971" s="22" t="str">
        <f t="shared" si="1"/>
        <v>#N/A</v>
      </c>
      <c r="J971" s="22" t="str">
        <f t="shared" si="2"/>
        <v>#N/A</v>
      </c>
      <c r="K971" s="22" t="str">
        <f t="array" ref="K971">IF(H971="Crash",MATCH(TRUE, B972:B1069 &gt;= B970, 0),"")</f>
        <v/>
      </c>
    </row>
    <row r="972" ht="15.75" customHeight="1">
      <c r="A972" s="32">
        <f>'EQUITY BACKTEST'!A975</f>
        <v>42972.66667</v>
      </c>
      <c r="B972" s="22">
        <f>'EQUITY BACKTEST'!B975</f>
        <v>2443.05</v>
      </c>
      <c r="C972" s="22">
        <f>1/'EQUITY BACKTEST'!E975</f>
        <v>0.8494011722</v>
      </c>
      <c r="D972" s="22">
        <f t="shared" si="7"/>
        <v>0.04340603886</v>
      </c>
      <c r="E972" s="22">
        <f t="shared" si="3"/>
        <v>0.007214858486</v>
      </c>
      <c r="F972" s="22">
        <f t="shared" si="6"/>
        <v>0.1263277763</v>
      </c>
      <c r="H972" s="22" t="str">
        <f t="shared" si="4"/>
        <v/>
      </c>
      <c r="I972" s="22" t="str">
        <f t="shared" si="1"/>
        <v>#N/A</v>
      </c>
      <c r="J972" s="22" t="str">
        <f t="shared" si="2"/>
        <v>#N/A</v>
      </c>
      <c r="K972" s="22" t="str">
        <f t="array" ref="K972">IF(H972="Crash",MATCH(TRUE, B973:B1070 &gt;= B971, 0),"")</f>
        <v/>
      </c>
    </row>
    <row r="973" ht="15.75" customHeight="1">
      <c r="A973" s="32">
        <f>'EQUITY BACKTEST'!A976</f>
        <v>42979.66667</v>
      </c>
      <c r="B973" s="22">
        <f>'EQUITY BACKTEST'!B976</f>
        <v>2476.55</v>
      </c>
      <c r="C973" s="22">
        <f>1/'EQUITY BACKTEST'!E976</f>
        <v>0.8461668641</v>
      </c>
      <c r="D973" s="22">
        <f t="shared" si="7"/>
        <v>0.1435941423</v>
      </c>
      <c r="E973" s="22">
        <f t="shared" si="3"/>
        <v>0.01371236774</v>
      </c>
      <c r="F973" s="22">
        <f t="shared" si="6"/>
        <v>0.1360425325</v>
      </c>
      <c r="H973" s="22" t="str">
        <f t="shared" si="4"/>
        <v/>
      </c>
      <c r="I973" s="22" t="str">
        <f t="shared" si="1"/>
        <v>#N/A</v>
      </c>
      <c r="J973" s="22" t="str">
        <f t="shared" si="2"/>
        <v>#N/A</v>
      </c>
      <c r="K973" s="22" t="str">
        <f t="array" ref="K973">IF(H973="Crash",MATCH(TRUE, B974:B1071 &gt;= B972, 0),"")</f>
        <v/>
      </c>
    </row>
    <row r="974" ht="15.75" customHeight="1">
      <c r="A974" s="32">
        <f>'EQUITY BACKTEST'!A977</f>
        <v>42986.66667</v>
      </c>
      <c r="B974" s="22">
        <f>'EQUITY BACKTEST'!B977</f>
        <v>2461.43</v>
      </c>
      <c r="C974" s="22">
        <f>1/'EQUITY BACKTEST'!E977</f>
        <v>0.8503401361</v>
      </c>
      <c r="D974" s="22">
        <f t="shared" si="7"/>
        <v>0.2135033766</v>
      </c>
      <c r="E974" s="22">
        <f t="shared" si="3"/>
        <v>-0.006105267408</v>
      </c>
      <c r="F974" s="22">
        <f t="shared" si="6"/>
        <v>0.1567903149</v>
      </c>
      <c r="H974" s="22" t="str">
        <f t="shared" si="4"/>
        <v/>
      </c>
      <c r="I974" s="22" t="str">
        <f t="shared" si="1"/>
        <v>#N/A</v>
      </c>
      <c r="J974" s="22" t="str">
        <f t="shared" si="2"/>
        <v>#N/A</v>
      </c>
      <c r="K974" s="22" t="str">
        <f t="array" ref="K974">IF(H974="Crash",MATCH(TRUE, B975:B1072 &gt;= B973, 0),"")</f>
        <v/>
      </c>
    </row>
    <row r="975" ht="15.75" customHeight="1">
      <c r="A975" s="32">
        <f>'EQUITY BACKTEST'!A978</f>
        <v>42993.66667</v>
      </c>
      <c r="B975" s="22">
        <f>'EQUITY BACKTEST'!B978</f>
        <v>2500.23</v>
      </c>
      <c r="C975" s="22">
        <f>1/'EQUITY BACKTEST'!E978</f>
        <v>0.8386447501</v>
      </c>
      <c r="D975" s="22">
        <f t="shared" si="7"/>
        <v>0.2798524688</v>
      </c>
      <c r="E975" s="22">
        <f t="shared" si="3"/>
        <v>0.01576319457</v>
      </c>
      <c r="F975" s="22">
        <f t="shared" si="6"/>
        <v>0.1687905533</v>
      </c>
      <c r="H975" s="22" t="str">
        <f t="shared" si="4"/>
        <v/>
      </c>
      <c r="I975" s="22" t="str">
        <f t="shared" si="1"/>
        <v>#N/A</v>
      </c>
      <c r="J975" s="22" t="str">
        <f t="shared" si="2"/>
        <v>#N/A</v>
      </c>
      <c r="K975" s="22" t="str">
        <f t="array" ref="K975">IF(H975="Crash",MATCH(TRUE, B976:B1073 &gt;= B974, 0),"")</f>
        <v/>
      </c>
    </row>
    <row r="976" ht="15.75" customHeight="1">
      <c r="A976" s="32">
        <f>'EQUITY BACKTEST'!A979</f>
        <v>43000.66667</v>
      </c>
      <c r="B976" s="22">
        <f>'EQUITY BACKTEST'!B979</f>
        <v>2502.22</v>
      </c>
      <c r="C976" s="22">
        <f>1/'EQUITY BACKTEST'!E979</f>
        <v>0.8430992328</v>
      </c>
      <c r="D976" s="22">
        <f t="shared" si="7"/>
        <v>0.3183306799</v>
      </c>
      <c r="E976" s="22">
        <f t="shared" si="3"/>
        <v>0.0007959267747</v>
      </c>
      <c r="F976" s="22">
        <f t="shared" si="6"/>
        <v>0.1559253288</v>
      </c>
      <c r="H976" s="22" t="str">
        <f t="shared" si="4"/>
        <v/>
      </c>
      <c r="I976" s="22" t="str">
        <f t="shared" si="1"/>
        <v>#N/A</v>
      </c>
      <c r="J976" s="22" t="str">
        <f t="shared" si="2"/>
        <v>#N/A</v>
      </c>
      <c r="K976" s="22" t="str">
        <f t="array" ref="K976">IF(H976="Crash",MATCH(TRUE, B977:B1074 &gt;= B975, 0),"")</f>
        <v/>
      </c>
    </row>
    <row r="977" ht="15.75" customHeight="1">
      <c r="A977" s="32">
        <f>'EQUITY BACKTEST'!A980</f>
        <v>43007.66667</v>
      </c>
      <c r="B977" s="22">
        <f>'EQUITY BACKTEST'!B980</f>
        <v>2519.36</v>
      </c>
      <c r="C977" s="22">
        <f>1/'EQUITY BACKTEST'!E980</f>
        <v>0.8308408109</v>
      </c>
      <c r="D977" s="22">
        <f t="shared" si="7"/>
        <v>0.3670311999</v>
      </c>
      <c r="E977" s="22">
        <f t="shared" si="3"/>
        <v>0.006849917273</v>
      </c>
      <c r="F977" s="22">
        <f t="shared" si="6"/>
        <v>0.1619217164</v>
      </c>
      <c r="H977" s="22" t="str">
        <f t="shared" si="4"/>
        <v/>
      </c>
      <c r="I977" s="22" t="str">
        <f t="shared" si="1"/>
        <v>#N/A</v>
      </c>
      <c r="J977" s="22" t="str">
        <f t="shared" si="2"/>
        <v>#N/A</v>
      </c>
      <c r="K977" s="22" t="str">
        <f t="array" ref="K977">IF(H977="Crash",MATCH(TRUE, B978:B1075 &gt;= B976, 0),"")</f>
        <v/>
      </c>
    </row>
    <row r="978" ht="15.75" customHeight="1">
      <c r="A978" s="32">
        <f>'EQUITY BACKTEST'!A981</f>
        <v>43014.66667</v>
      </c>
      <c r="B978" s="22">
        <f>'EQUITY BACKTEST'!B981</f>
        <v>2549.33</v>
      </c>
      <c r="C978" s="22">
        <f>1/'EQUITY BACKTEST'!E981</f>
        <v>0.8372404555</v>
      </c>
      <c r="D978" s="22">
        <f t="shared" si="7"/>
        <v>0.382109514</v>
      </c>
      <c r="E978" s="22">
        <f t="shared" si="3"/>
        <v>0.01189587832</v>
      </c>
      <c r="F978" s="22">
        <f t="shared" si="6"/>
        <v>0.1836758383</v>
      </c>
      <c r="H978" s="22" t="str">
        <f t="shared" si="4"/>
        <v/>
      </c>
      <c r="I978" s="22" t="str">
        <f t="shared" si="1"/>
        <v>#N/A</v>
      </c>
      <c r="J978" s="22" t="str">
        <f t="shared" si="2"/>
        <v>#N/A</v>
      </c>
      <c r="K978" s="22" t="str">
        <f t="array" ref="K978">IF(H978="Crash",MATCH(TRUE, B979:B1076 &gt;= B977, 0),"")</f>
        <v/>
      </c>
    </row>
    <row r="979" ht="15.75" customHeight="1">
      <c r="A979" s="32">
        <f>'EQUITY BACKTEST'!A982</f>
        <v>43021.66667</v>
      </c>
      <c r="B979" s="22">
        <f>'EQUITY BACKTEST'!B982</f>
        <v>2553.17</v>
      </c>
      <c r="C979" s="22">
        <f>1/'EQUITY BACKTEST'!E982</f>
        <v>0.8368901163</v>
      </c>
      <c r="D979" s="22">
        <f t="shared" si="7"/>
        <v>0.3908697133</v>
      </c>
      <c r="E979" s="22">
        <f t="shared" si="3"/>
        <v>0.00150627812</v>
      </c>
      <c r="F979" s="22">
        <f t="shared" si="6"/>
        <v>0.1969966901</v>
      </c>
      <c r="H979" s="22" t="str">
        <f t="shared" si="4"/>
        <v/>
      </c>
      <c r="I979" s="22" t="str">
        <f t="shared" si="1"/>
        <v>#N/A</v>
      </c>
      <c r="J979" s="22" t="str">
        <f t="shared" si="2"/>
        <v>#N/A</v>
      </c>
      <c r="K979" s="22" t="str">
        <f t="array" ref="K979">IF(H979="Crash",MATCH(TRUE, B980:B1077 &gt;= B978, 0),"")</f>
        <v/>
      </c>
    </row>
    <row r="980" ht="15.75" customHeight="1">
      <c r="A980" s="32">
        <f>'EQUITY BACKTEST'!A983</f>
        <v>43028.66667</v>
      </c>
      <c r="B980" s="22">
        <f>'EQUITY BACKTEST'!B983</f>
        <v>2575.21</v>
      </c>
      <c r="C980" s="22">
        <f>1/'EQUITY BACKTEST'!E983</f>
        <v>0.8465393471</v>
      </c>
      <c r="D980" s="22">
        <f t="shared" si="7"/>
        <v>0.3994666634</v>
      </c>
      <c r="E980" s="22">
        <f t="shared" si="3"/>
        <v>0.008632405989</v>
      </c>
      <c r="F980" s="22">
        <f t="shared" si="6"/>
        <v>0.2027172187</v>
      </c>
      <c r="H980" s="22" t="str">
        <f t="shared" si="4"/>
        <v/>
      </c>
      <c r="I980" s="22" t="str">
        <f t="shared" si="1"/>
        <v>#N/A</v>
      </c>
      <c r="J980" s="22" t="str">
        <f t="shared" si="2"/>
        <v>#N/A</v>
      </c>
      <c r="K980" s="22" t="str">
        <f t="array" ref="K980">IF(H980="Crash",MATCH(TRUE, B981:B1078 &gt;= B979, 0),"")</f>
        <v/>
      </c>
    </row>
    <row r="981" ht="15.75" customHeight="1">
      <c r="A981" s="32">
        <f>'EQUITY BACKTEST'!A984</f>
        <v>43035.66667</v>
      </c>
      <c r="B981" s="22">
        <f>'EQUITY BACKTEST'!B984</f>
        <v>2581.07</v>
      </c>
      <c r="C981" s="22">
        <f>1/'EQUITY BACKTEST'!E984</f>
        <v>0.8523695875</v>
      </c>
      <c r="D981" s="22">
        <f t="shared" si="7"/>
        <v>0.3906344109</v>
      </c>
      <c r="E981" s="22">
        <f t="shared" si="3"/>
        <v>0.002275542577</v>
      </c>
      <c r="F981" s="22">
        <f t="shared" si="6"/>
        <v>0.213815774</v>
      </c>
      <c r="H981" s="22" t="str">
        <f t="shared" si="4"/>
        <v/>
      </c>
      <c r="I981" s="22" t="str">
        <f t="shared" si="1"/>
        <v>#N/A</v>
      </c>
      <c r="J981" s="22" t="str">
        <f t="shared" si="2"/>
        <v>#N/A</v>
      </c>
      <c r="K981" s="22" t="str">
        <f t="array" ref="K981">IF(H981="Crash",MATCH(TRUE, B982:B1079 &gt;= B980, 0),"")</f>
        <v/>
      </c>
    </row>
    <row r="982" ht="15.75" customHeight="1">
      <c r="A982" s="32">
        <f>'EQUITY BACKTEST'!A985</f>
        <v>43042.66667</v>
      </c>
      <c r="B982" s="22">
        <f>'EQUITY BACKTEST'!B985</f>
        <v>2587.84</v>
      </c>
      <c r="C982" s="22">
        <f>1/'EQUITY BACKTEST'!E985</f>
        <v>0.8460236887</v>
      </c>
      <c r="D982" s="22">
        <f t="shared" si="7"/>
        <v>0.410729505</v>
      </c>
      <c r="E982" s="22">
        <f t="shared" si="3"/>
        <v>0.002622943198</v>
      </c>
      <c r="F982" s="22">
        <f t="shared" si="6"/>
        <v>0.2410631216</v>
      </c>
      <c r="H982" s="22" t="str">
        <f t="shared" si="4"/>
        <v/>
      </c>
      <c r="I982" s="22" t="str">
        <f t="shared" si="1"/>
        <v>#N/A</v>
      </c>
      <c r="J982" s="22" t="str">
        <f t="shared" si="2"/>
        <v>#N/A</v>
      </c>
      <c r="K982" s="22" t="str">
        <f t="array" ref="K982">IF(H982="Crash",MATCH(TRUE, B983:B1080 &gt;= B981, 0),"")</f>
        <v/>
      </c>
    </row>
    <row r="983" ht="15.75" customHeight="1">
      <c r="A983" s="32">
        <f>'EQUITY BACKTEST'!A986</f>
        <v>43049.66667</v>
      </c>
      <c r="B983" s="22">
        <f>'EQUITY BACKTEST'!B986</f>
        <v>2582.3</v>
      </c>
      <c r="C983" s="22">
        <f>1/'EQUITY BACKTEST'!E986</f>
        <v>0.8488964346</v>
      </c>
      <c r="D983" s="22">
        <f t="shared" si="7"/>
        <v>0.4315608783</v>
      </c>
      <c r="E983" s="22">
        <f t="shared" si="3"/>
        <v>-0.002140781501</v>
      </c>
      <c r="F983" s="22">
        <f t="shared" si="6"/>
        <v>0.1930513525</v>
      </c>
      <c r="H983" s="22" t="str">
        <f t="shared" si="4"/>
        <v/>
      </c>
      <c r="I983" s="22" t="str">
        <f t="shared" si="1"/>
        <v>#N/A</v>
      </c>
      <c r="J983" s="22" t="str">
        <f t="shared" si="2"/>
        <v>#N/A</v>
      </c>
      <c r="K983" s="22" t="str">
        <f t="array" ref="K983">IF(H983="Crash",MATCH(TRUE, B984:B1081 &gt;= B982, 0),"")</f>
        <v/>
      </c>
    </row>
    <row r="984" ht="15.75" customHeight="1">
      <c r="A984" s="32">
        <f>'EQUITY BACKTEST'!A987</f>
        <v>43056.66667</v>
      </c>
      <c r="B984" s="22">
        <f>'EQUITY BACKTEST'!B987</f>
        <v>2578.85</v>
      </c>
      <c r="C984" s="22">
        <f>1/'EQUITY BACKTEST'!E987</f>
        <v>0.8614748449</v>
      </c>
      <c r="D984" s="22">
        <f t="shared" si="7"/>
        <v>0.443214063</v>
      </c>
      <c r="E984" s="22">
        <f t="shared" si="3"/>
        <v>-0.001336018278</v>
      </c>
      <c r="F984" s="22">
        <f t="shared" si="6"/>
        <v>0.1819285943</v>
      </c>
      <c r="H984" s="22" t="str">
        <f t="shared" si="4"/>
        <v/>
      </c>
      <c r="I984" s="22" t="str">
        <f t="shared" si="1"/>
        <v>#N/A</v>
      </c>
      <c r="J984" s="22" t="str">
        <f t="shared" si="2"/>
        <v>#N/A</v>
      </c>
      <c r="K984" s="22" t="str">
        <f t="array" ref="K984">IF(H984="Crash",MATCH(TRUE, B985:B1082 &gt;= B983, 0),"")</f>
        <v/>
      </c>
    </row>
    <row r="985" ht="15.75" customHeight="1">
      <c r="A985" s="32">
        <f>'EQUITY BACKTEST'!A988</f>
        <v>43063.54167</v>
      </c>
      <c r="B985" s="22">
        <f>'EQUITY BACKTEST'!B988</f>
        <v>2602.42</v>
      </c>
      <c r="C985" s="22">
        <f>1/'EQUITY BACKTEST'!E988</f>
        <v>0.8607333448</v>
      </c>
      <c r="D985" s="22">
        <f t="shared" si="7"/>
        <v>0.434401129</v>
      </c>
      <c r="E985" s="22">
        <f t="shared" si="3"/>
        <v>0.009139732827</v>
      </c>
      <c r="F985" s="22">
        <f t="shared" si="6"/>
        <v>0.1757833149</v>
      </c>
      <c r="H985" s="22" t="str">
        <f t="shared" si="4"/>
        <v/>
      </c>
      <c r="I985" s="22" t="str">
        <f t="shared" si="1"/>
        <v>#N/A</v>
      </c>
      <c r="J985" s="22" t="str">
        <f t="shared" si="2"/>
        <v>#N/A</v>
      </c>
      <c r="K985" s="22" t="str">
        <f t="array" ref="K985">IF(H985="Crash",MATCH(TRUE, B986:B1083 &gt;= B984, 0),"")</f>
        <v/>
      </c>
    </row>
    <row r="986" ht="15.75" customHeight="1">
      <c r="A986" s="32">
        <f>'EQUITY BACKTEST'!A989</f>
        <v>43070.66667</v>
      </c>
      <c r="B986" s="22">
        <f>'EQUITY BACKTEST'!B989</f>
        <v>2642.22</v>
      </c>
      <c r="C986" s="22">
        <f>1/'EQUITY BACKTEST'!E989</f>
        <v>0.8572653236</v>
      </c>
      <c r="D986" s="22">
        <f t="shared" si="7"/>
        <v>0.4661118118</v>
      </c>
      <c r="E986" s="22">
        <f t="shared" si="3"/>
        <v>0.01529345763</v>
      </c>
      <c r="F986" s="22">
        <f t="shared" si="6"/>
        <v>0.2054198317</v>
      </c>
      <c r="H986" s="22" t="str">
        <f t="shared" si="4"/>
        <v/>
      </c>
      <c r="I986" s="22" t="str">
        <f t="shared" si="1"/>
        <v>#N/A</v>
      </c>
      <c r="J986" s="22" t="str">
        <f t="shared" si="2"/>
        <v>#N/A</v>
      </c>
      <c r="K986" s="22" t="str">
        <f t="array" ref="K986">IF(H986="Crash",MATCH(TRUE, B987:B1084 &gt;= B985, 0),"")</f>
        <v/>
      </c>
    </row>
    <row r="987" ht="15.75" customHeight="1">
      <c r="A987" s="32">
        <f>'EQUITY BACKTEST'!A990</f>
        <v>43077.66667</v>
      </c>
      <c r="B987" s="22">
        <f>'EQUITY BACKTEST'!B990</f>
        <v>2651.5</v>
      </c>
      <c r="C987" s="22">
        <f>1/'EQUITY BACKTEST'!E990</f>
        <v>0.8477234387</v>
      </c>
      <c r="D987" s="22">
        <f t="shared" si="7"/>
        <v>0.4353225898</v>
      </c>
      <c r="E987" s="22">
        <f t="shared" si="3"/>
        <v>0.003512198076</v>
      </c>
      <c r="F987" s="22">
        <f t="shared" si="6"/>
        <v>0.1734741296</v>
      </c>
      <c r="H987" s="22" t="str">
        <f t="shared" si="4"/>
        <v/>
      </c>
      <c r="I987" s="22" t="str">
        <f t="shared" si="1"/>
        <v>#N/A</v>
      </c>
      <c r="J987" s="22" t="str">
        <f t="shared" si="2"/>
        <v>#N/A</v>
      </c>
      <c r="K987" s="22" t="str">
        <f t="array" ref="K987">IF(H987="Crash",MATCH(TRUE, B988:B1085 &gt;= B986, 0),"")</f>
        <v/>
      </c>
    </row>
    <row r="988" ht="15.75" customHeight="1">
      <c r="A988" s="32">
        <f>'EQUITY BACKTEST'!A991</f>
        <v>43084.66667</v>
      </c>
      <c r="B988" s="22">
        <f>'EQUITY BACKTEST'!B991</f>
        <v>2675.81</v>
      </c>
      <c r="C988" s="22">
        <f>1/'EQUITY BACKTEST'!E991</f>
        <v>0.8382229673</v>
      </c>
      <c r="D988" s="22">
        <f t="shared" si="7"/>
        <v>0.368545928</v>
      </c>
      <c r="E988" s="22">
        <f t="shared" si="3"/>
        <v>0.009168395248</v>
      </c>
      <c r="F988" s="22">
        <f t="shared" si="6"/>
        <v>0.1849986936</v>
      </c>
      <c r="H988" s="22" t="str">
        <f t="shared" si="4"/>
        <v/>
      </c>
      <c r="I988" s="22" t="str">
        <f t="shared" si="1"/>
        <v>#N/A</v>
      </c>
      <c r="J988" s="22" t="str">
        <f t="shared" si="2"/>
        <v>#N/A</v>
      </c>
      <c r="K988" s="22" t="str">
        <f t="array" ref="K988">IF(H988="Crash",MATCH(TRUE, B989:B1086 &gt;= B987, 0),"")</f>
        <v/>
      </c>
    </row>
    <row r="989" ht="15.75" customHeight="1">
      <c r="A989" s="32">
        <f>'EQUITY BACKTEST'!A992</f>
        <v>43091.66667</v>
      </c>
      <c r="B989" s="22">
        <f>'EQUITY BACKTEST'!B992</f>
        <v>2683.34</v>
      </c>
      <c r="C989" s="22">
        <f>1/'EQUITY BACKTEST'!E992</f>
        <v>0.8409014464</v>
      </c>
      <c r="D989" s="22">
        <f t="shared" si="7"/>
        <v>0.2130054861</v>
      </c>
      <c r="E989" s="22">
        <f t="shared" si="3"/>
        <v>0.002814101151</v>
      </c>
      <c r="F989" s="22">
        <f t="shared" si="6"/>
        <v>0.1853307948</v>
      </c>
      <c r="H989" s="22" t="str">
        <f t="shared" si="4"/>
        <v/>
      </c>
      <c r="I989" s="22" t="str">
        <f t="shared" si="1"/>
        <v>#N/A</v>
      </c>
      <c r="J989" s="22" t="str">
        <f t="shared" si="2"/>
        <v>#N/A</v>
      </c>
      <c r="K989" s="22" t="str">
        <f t="array" ref="K989">IF(H989="Crash",MATCH(TRUE, B990:B1087 &gt;= B988, 0),"")</f>
        <v/>
      </c>
    </row>
    <row r="990" ht="15.75" customHeight="1">
      <c r="A990" s="32">
        <f>'EQUITY BACKTEST'!A993</f>
        <v>43098.66667</v>
      </c>
      <c r="B990" s="22">
        <f>'EQUITY BACKTEST'!B993</f>
        <v>2673.61</v>
      </c>
      <c r="C990" s="22">
        <f>1/'EQUITY BACKTEST'!E993</f>
        <v>0.8500510031</v>
      </c>
      <c r="D990" s="22">
        <f t="shared" si="7"/>
        <v>0.1307080103</v>
      </c>
      <c r="E990" s="22">
        <f t="shared" si="3"/>
        <v>-0.003626077948</v>
      </c>
      <c r="F990" s="22">
        <f t="shared" si="6"/>
        <v>0.1941996489</v>
      </c>
      <c r="H990" s="22" t="str">
        <f t="shared" si="4"/>
        <v/>
      </c>
      <c r="I990" s="22" t="str">
        <f t="shared" si="1"/>
        <v>#N/A</v>
      </c>
      <c r="J990" s="22" t="str">
        <f t="shared" si="2"/>
        <v>#N/A</v>
      </c>
      <c r="K990" s="22" t="str">
        <f t="array" ref="K990">IF(H990="Crash",MATCH(TRUE, B991:B1088 &gt;= B989, 0),"")</f>
        <v/>
      </c>
    </row>
    <row r="991" ht="15.75" customHeight="1">
      <c r="A991" s="32">
        <f>'EQUITY BACKTEST'!A994</f>
        <v>43105.66667</v>
      </c>
      <c r="B991" s="22">
        <f>'EQUITY BACKTEST'!B994</f>
        <v>2743.15</v>
      </c>
      <c r="C991" s="22">
        <f>1/'EQUITY BACKTEST'!E994</f>
        <v>0.8506367016</v>
      </c>
      <c r="D991" s="22">
        <f t="shared" si="7"/>
        <v>0.06931936554</v>
      </c>
      <c r="E991" s="22">
        <f t="shared" si="3"/>
        <v>0.02600977704</v>
      </c>
      <c r="F991" s="22">
        <f t="shared" si="6"/>
        <v>0.204731706</v>
      </c>
      <c r="H991" s="22" t="str">
        <f t="shared" si="4"/>
        <v/>
      </c>
      <c r="I991" s="22" t="str">
        <f t="shared" si="1"/>
        <v>#N/A</v>
      </c>
      <c r="J991" s="22" t="str">
        <f t="shared" si="2"/>
        <v>#N/A</v>
      </c>
      <c r="K991" s="22" t="str">
        <f t="array" ref="K991">IF(H991="Crash",MATCH(TRUE, B992:B1089 &gt;= B990, 0),"")</f>
        <v/>
      </c>
    </row>
    <row r="992" ht="15.75" customHeight="1">
      <c r="A992" s="32">
        <f>'EQUITY BACKTEST'!A995</f>
        <v>43112.66667</v>
      </c>
      <c r="B992" s="22">
        <f>'EQUITY BACKTEST'!B995</f>
        <v>2786.24</v>
      </c>
      <c r="C992" s="22">
        <f>1/'EQUITY BACKTEST'!E995</f>
        <v>0.8433125316</v>
      </c>
      <c r="D992" s="22">
        <f t="shared" si="7"/>
        <v>0.03591402894</v>
      </c>
      <c r="E992" s="22">
        <f t="shared" si="3"/>
        <v>0.01570821865</v>
      </c>
      <c r="F992" s="22">
        <f t="shared" si="6"/>
        <v>0.2249147118</v>
      </c>
      <c r="H992" s="22" t="str">
        <f t="shared" si="4"/>
        <v/>
      </c>
      <c r="I992" s="22" t="str">
        <f t="shared" si="1"/>
        <v>#N/A</v>
      </c>
      <c r="J992" s="22" t="str">
        <f t="shared" si="2"/>
        <v>#N/A</v>
      </c>
      <c r="K992" s="22" t="str">
        <f t="array" ref="K992">IF(H992="Crash",MATCH(TRUE, B993:B1090 &gt;= B991, 0),"")</f>
        <v/>
      </c>
    </row>
    <row r="993" ht="15.75" customHeight="1">
      <c r="A993" s="32">
        <f>'EQUITY BACKTEST'!A996</f>
        <v>43119.66667</v>
      </c>
      <c r="B993" s="22">
        <f>'EQUITY BACKTEST'!B996</f>
        <v>2810.3</v>
      </c>
      <c r="C993" s="22">
        <f>1/'EQUITY BACKTEST'!E996</f>
        <v>0.8335417188</v>
      </c>
      <c r="D993" s="22">
        <f t="shared" si="7"/>
        <v>0.02469566232</v>
      </c>
      <c r="E993" s="22">
        <f t="shared" si="3"/>
        <v>0.008635293442</v>
      </c>
      <c r="F993" s="22">
        <f t="shared" si="6"/>
        <v>0.2373035825</v>
      </c>
      <c r="H993" s="22" t="str">
        <f t="shared" si="4"/>
        <v/>
      </c>
      <c r="I993" s="22" t="str">
        <f t="shared" si="1"/>
        <v>#N/A</v>
      </c>
      <c r="J993" s="22" t="str">
        <f t="shared" si="2"/>
        <v>#N/A</v>
      </c>
      <c r="K993" s="22" t="str">
        <f t="array" ref="K993">IF(H993="Crash",MATCH(TRUE, B994:B1091 &gt;= B992, 0),"")</f>
        <v/>
      </c>
    </row>
    <row r="994" ht="15.75" customHeight="1">
      <c r="A994" s="32">
        <f>'EQUITY BACKTEST'!A997</f>
        <v>43126.66667</v>
      </c>
      <c r="B994" s="22">
        <f>'EQUITY BACKTEST'!B997</f>
        <v>2872.87</v>
      </c>
      <c r="C994" s="22">
        <f>1/'EQUITY BACKTEST'!E997</f>
        <v>0.8313934154</v>
      </c>
      <c r="D994" s="22">
        <f t="shared" si="7"/>
        <v>0.01784028741</v>
      </c>
      <c r="E994" s="22">
        <f t="shared" si="3"/>
        <v>0.02226452692</v>
      </c>
      <c r="F994" s="22">
        <f t="shared" si="6"/>
        <v>0.2519643176</v>
      </c>
      <c r="H994" s="22" t="str">
        <f t="shared" si="4"/>
        <v/>
      </c>
      <c r="I994" s="22" t="str">
        <f t="shared" si="1"/>
        <v>#N/A</v>
      </c>
      <c r="J994" s="22" t="str">
        <f t="shared" si="2"/>
        <v>#N/A</v>
      </c>
      <c r="K994" s="22" t="str">
        <f t="array" ref="K994">IF(H994="Crash",MATCH(TRUE, B995:B1092 &gt;= B993, 0),"")</f>
        <v/>
      </c>
    </row>
    <row r="995" ht="15.75" customHeight="1">
      <c r="A995" s="32">
        <f>'EQUITY BACKTEST'!A998</f>
        <v>43133.66667</v>
      </c>
      <c r="B995" s="22">
        <f>'EQUITY BACKTEST'!B998</f>
        <v>2762.13</v>
      </c>
      <c r="C995" s="22">
        <f>1/'EQUITY BACKTEST'!E998</f>
        <v>0.8200082001</v>
      </c>
      <c r="D995" s="22">
        <f t="shared" si="7"/>
        <v>0.03037034638</v>
      </c>
      <c r="E995" s="22">
        <f t="shared" si="3"/>
        <v>-0.03854681903</v>
      </c>
      <c r="F995" s="22">
        <f t="shared" si="6"/>
        <v>0.2022747256</v>
      </c>
      <c r="H995" s="22" t="str">
        <f t="shared" si="4"/>
        <v/>
      </c>
      <c r="I995" s="22" t="str">
        <f t="shared" si="1"/>
        <v>#N/A</v>
      </c>
      <c r="J995" s="22" t="str">
        <f t="shared" si="2"/>
        <v>#N/A</v>
      </c>
      <c r="K995" s="22" t="str">
        <f t="array" ref="K995">IF(H995="Crash",MATCH(TRUE, B996:B1093 &gt;= B994, 0),"")</f>
        <v/>
      </c>
    </row>
    <row r="996" ht="15.75" customHeight="1">
      <c r="A996" s="32">
        <f>'EQUITY BACKTEST'!A999</f>
        <v>43140.66667</v>
      </c>
      <c r="B996" s="22">
        <f>'EQUITY BACKTEST'!B999</f>
        <v>2619.55</v>
      </c>
      <c r="C996" s="22">
        <f>1/'EQUITY BACKTEST'!E999</f>
        <v>0.8183306056</v>
      </c>
      <c r="D996" s="22">
        <f t="shared" si="7"/>
        <v>0.03271092432</v>
      </c>
      <c r="E996" s="22">
        <f t="shared" si="3"/>
        <v>-0.05161958344</v>
      </c>
      <c r="F996" s="22">
        <f t="shared" si="6"/>
        <v>0.131017659</v>
      </c>
      <c r="H996" s="22" t="str">
        <f t="shared" si="4"/>
        <v>Crash</v>
      </c>
      <c r="I996" s="22">
        <f t="shared" si="1"/>
        <v>-5.161958344</v>
      </c>
      <c r="J996" s="22">
        <f t="shared" si="2"/>
        <v>3.271092432</v>
      </c>
      <c r="K996" s="22">
        <f t="array" ref="K996">IF(H996="Crash",MATCH(TRUE, B997:B1094 &gt;= B995, 0),"")</f>
        <v>4</v>
      </c>
    </row>
    <row r="997" ht="15.75" customHeight="1">
      <c r="A997" s="32">
        <f>'EQUITY BACKTEST'!A1000</f>
        <v>43147.66667</v>
      </c>
      <c r="B997" s="22">
        <f>'EQUITY BACKTEST'!B1000</f>
        <v>2732.22</v>
      </c>
      <c r="C997" s="22">
        <f>1/'EQUITY BACKTEST'!E1000</f>
        <v>0.8051659447</v>
      </c>
      <c r="D997" s="22">
        <f t="shared" si="7"/>
        <v>0.01754347756</v>
      </c>
      <c r="E997" s="22">
        <f t="shared" si="3"/>
        <v>0.04301120421</v>
      </c>
      <c r="F997" s="22">
        <f t="shared" si="6"/>
        <v>0.1620731894</v>
      </c>
      <c r="H997" s="22" t="str">
        <f t="shared" si="4"/>
        <v/>
      </c>
      <c r="I997" s="22" t="str">
        <f t="shared" si="1"/>
        <v>#N/A</v>
      </c>
      <c r="J997" s="22" t="str">
        <f t="shared" si="2"/>
        <v>#N/A</v>
      </c>
      <c r="K997" s="22" t="str">
        <f t="array" ref="K997">IF(H997="Crash",MATCH(TRUE, B998:B1095 &gt;= B996, 0),"")</f>
        <v/>
      </c>
    </row>
    <row r="998" ht="15.75" customHeight="1">
      <c r="A998" s="32">
        <f>'EQUITY BACKTEST'!A1001</f>
        <v>43154.66667</v>
      </c>
      <c r="B998" s="22">
        <f>'EQUITY BACKTEST'!B1001</f>
        <v>2747.3</v>
      </c>
      <c r="C998" s="22">
        <f>1/'EQUITY BACKTEST'!E1001</f>
        <v>0.8025038119</v>
      </c>
      <c r="D998" s="22">
        <f t="shared" si="7"/>
        <v>0.02724606116</v>
      </c>
      <c r="E998" s="22">
        <f t="shared" si="3"/>
        <v>0.005519321285</v>
      </c>
      <c r="F998" s="22">
        <f t="shared" si="6"/>
        <v>0.1605008153</v>
      </c>
      <c r="H998" s="22" t="str">
        <f t="shared" si="4"/>
        <v/>
      </c>
      <c r="I998" s="22" t="str">
        <f t="shared" si="1"/>
        <v>#N/A</v>
      </c>
      <c r="J998" s="22" t="str">
        <f t="shared" si="2"/>
        <v>#N/A</v>
      </c>
      <c r="K998" s="22" t="str">
        <f t="array" ref="K998">IF(H998="Crash",MATCH(TRUE, B999:B1096 &gt;= B997, 0),"")</f>
        <v/>
      </c>
    </row>
    <row r="999" ht="15.75" customHeight="1">
      <c r="A999" s="32">
        <f>'EQUITY BACKTEST'!A1002</f>
        <v>43161.66667</v>
      </c>
      <c r="B999" s="22">
        <f>'EQUITY BACKTEST'!B1002</f>
        <v>2691.25</v>
      </c>
      <c r="C999" s="22">
        <f>1/'EQUITY BACKTEST'!E1002</f>
        <v>0.8167265599</v>
      </c>
      <c r="D999" s="22">
        <f t="shared" si="7"/>
        <v>0.04807801354</v>
      </c>
      <c r="E999" s="22">
        <f t="shared" si="3"/>
        <v>-0.02040184909</v>
      </c>
      <c r="F999" s="22">
        <f t="shared" si="6"/>
        <v>0.1292968881</v>
      </c>
      <c r="H999" s="22" t="str">
        <f t="shared" si="4"/>
        <v/>
      </c>
      <c r="I999" s="22" t="str">
        <f t="shared" si="1"/>
        <v>#N/A</v>
      </c>
      <c r="J999" s="22" t="str">
        <f t="shared" si="2"/>
        <v>#N/A</v>
      </c>
      <c r="K999" s="22" t="str">
        <f t="array" ref="K999">IF(H999="Crash",MATCH(TRUE, B1000:B1097 &gt;= B998, 0),"")</f>
        <v/>
      </c>
    </row>
    <row r="1000" ht="15.75" customHeight="1">
      <c r="A1000" s="32">
        <f>'EQUITY BACKTEST'!A1003</f>
        <v>43168.66667</v>
      </c>
      <c r="B1000" s="22">
        <f>'EQUITY BACKTEST'!B1003</f>
        <v>2786.57</v>
      </c>
      <c r="C1000" s="22">
        <f>1/'EQUITY BACKTEST'!E1003</f>
        <v>0.8060615831</v>
      </c>
      <c r="D1000" s="22">
        <f t="shared" si="7"/>
        <v>0.03924317368</v>
      </c>
      <c r="E1000" s="22">
        <f t="shared" si="3"/>
        <v>0.03541848583</v>
      </c>
      <c r="F1000" s="22">
        <f t="shared" si="6"/>
        <v>0.174479474</v>
      </c>
      <c r="H1000" s="22" t="str">
        <f t="shared" si="4"/>
        <v/>
      </c>
      <c r="I1000" s="22" t="str">
        <f t="shared" si="1"/>
        <v>#N/A</v>
      </c>
      <c r="J1000" s="22" t="str">
        <f t="shared" si="2"/>
        <v>#N/A</v>
      </c>
      <c r="K1000" s="22" t="str">
        <f t="array" ref="K1000">IF(H1000="Crash",MATCH(TRUE, B1001:B1098 &gt;= B999, 0),"")</f>
        <v/>
      </c>
    </row>
    <row r="1001" ht="15.75" customHeight="1">
      <c r="A1001" s="32">
        <f>'EQUITY BACKTEST'!A1004</f>
        <v>43175.66667</v>
      </c>
      <c r="B1001" s="22">
        <f>'EQUITY BACKTEST'!B1004</f>
        <v>2752.01</v>
      </c>
      <c r="C1001" s="22">
        <f>1/'EQUITY BACKTEST'!E1004</f>
        <v>0.8134710811</v>
      </c>
      <c r="D1001" s="22">
        <f t="shared" si="7"/>
        <v>0.07598261184</v>
      </c>
      <c r="E1001" s="22">
        <f t="shared" si="3"/>
        <v>-0.0124023441</v>
      </c>
      <c r="F1001" s="22">
        <f t="shared" si="6"/>
        <v>0.1571575738</v>
      </c>
      <c r="H1001" s="22" t="str">
        <f t="shared" si="4"/>
        <v/>
      </c>
      <c r="I1001" s="22" t="str">
        <f t="shared" si="1"/>
        <v>#N/A</v>
      </c>
      <c r="J1001" s="22" t="str">
        <f t="shared" si="2"/>
        <v>#N/A</v>
      </c>
      <c r="K1001" s="22" t="str">
        <f t="array" ref="K1001">IF(H1001="Crash",MATCH(TRUE, B1002:B1099 &gt;= B1000, 0),"")</f>
        <v/>
      </c>
    </row>
    <row r="1002" ht="15.75" customHeight="1">
      <c r="A1002" s="32">
        <f>'EQUITY BACKTEST'!A1005</f>
        <v>43182.66667</v>
      </c>
      <c r="B1002" s="22">
        <f>'EQUITY BACKTEST'!B1005</f>
        <v>2588.26</v>
      </c>
      <c r="C1002" s="22">
        <f>1/'EQUITY BACKTEST'!E1005</f>
        <v>0.8118860112</v>
      </c>
      <c r="D1002" s="22">
        <f t="shared" si="7"/>
        <v>0.093790529</v>
      </c>
      <c r="E1002" s="22">
        <f t="shared" si="3"/>
        <v>-0.05950196402</v>
      </c>
      <c r="F1002" s="22">
        <f t="shared" si="6"/>
        <v>0.1042159063</v>
      </c>
      <c r="H1002" s="22" t="str">
        <f t="shared" si="4"/>
        <v>Crash</v>
      </c>
      <c r="I1002" s="22">
        <f t="shared" si="1"/>
        <v>-5.950196402</v>
      </c>
      <c r="J1002" s="22">
        <f t="shared" si="2"/>
        <v>9.3790529</v>
      </c>
      <c r="K1002" s="22">
        <f t="array" ref="K1002">IF(H1002="Crash",MATCH(TRUE, B1003:B1100 &gt;= B1001, 0),"")</f>
        <v>11</v>
      </c>
    </row>
    <row r="1003" ht="15.75" customHeight="1">
      <c r="A1003" s="32">
        <f>'EQUITY BACKTEST'!A1006</f>
        <v>43188.66667</v>
      </c>
      <c r="B1003" s="22">
        <f>'EQUITY BACKTEST'!B1006</f>
        <v>2640.87</v>
      </c>
      <c r="C1003" s="22">
        <f>1/'EQUITY BACKTEST'!E1006</f>
        <v>0.8126117341</v>
      </c>
      <c r="D1003" s="22">
        <f t="shared" si="7"/>
        <v>0.06654638196</v>
      </c>
      <c r="E1003" s="22">
        <f t="shared" si="3"/>
        <v>0.02032639688</v>
      </c>
      <c r="F1003" s="22">
        <f t="shared" si="6"/>
        <v>0.117724487</v>
      </c>
      <c r="H1003" s="22" t="str">
        <f t="shared" si="4"/>
        <v/>
      </c>
      <c r="I1003" s="22" t="str">
        <f t="shared" si="1"/>
        <v>#N/A</v>
      </c>
      <c r="J1003" s="22" t="str">
        <f t="shared" si="2"/>
        <v>#N/A</v>
      </c>
      <c r="K1003" s="22" t="str">
        <f t="array" ref="K1003">IF(H1003="Crash",MATCH(TRUE, B1004:B1101 &gt;= B1002, 0),"")</f>
        <v/>
      </c>
    </row>
    <row r="1004" ht="15.75" customHeight="1">
      <c r="A1004" s="32">
        <f>'EQUITY BACKTEST'!A1007</f>
        <v>43196.66667</v>
      </c>
      <c r="B1004" s="22">
        <f>'EQUITY BACKTEST'!B1007</f>
        <v>2604.47</v>
      </c>
      <c r="C1004" s="22">
        <f>1/'EQUITY BACKTEST'!E1007</f>
        <v>0.813404913</v>
      </c>
      <c r="D1004" s="22">
        <f t="shared" si="7"/>
        <v>0.05614536621</v>
      </c>
      <c r="E1004" s="22">
        <f t="shared" si="3"/>
        <v>-0.01378333655</v>
      </c>
      <c r="F1004" s="22">
        <f t="shared" si="6"/>
        <v>0.1056785281</v>
      </c>
      <c r="H1004" s="22" t="str">
        <f t="shared" si="4"/>
        <v/>
      </c>
      <c r="I1004" s="22" t="str">
        <f t="shared" si="1"/>
        <v>#N/A</v>
      </c>
      <c r="J1004" s="22" t="str">
        <f t="shared" si="2"/>
        <v>#N/A</v>
      </c>
      <c r="K1004" s="22" t="str">
        <f t="array" ref="K1004">IF(H1004="Crash",MATCH(TRUE, B1005:B1102 &gt;= B1003, 0),"")</f>
        <v/>
      </c>
    </row>
    <row r="1005" ht="15.75" customHeight="1">
      <c r="A1005" s="32">
        <f>'EQUITY BACKTEST'!A1008</f>
        <v>43203.66667</v>
      </c>
      <c r="B1005" s="22">
        <f>'EQUITY BACKTEST'!B1008</f>
        <v>2656.3</v>
      </c>
      <c r="C1005" s="22">
        <f>1/'EQUITY BACKTEST'!E1008</f>
        <v>0.8093234056</v>
      </c>
      <c r="D1005" s="22">
        <f t="shared" si="7"/>
        <v>0.03197882478</v>
      </c>
      <c r="E1005" s="22">
        <f t="shared" si="3"/>
        <v>0.019900402</v>
      </c>
      <c r="F1005" s="22">
        <f t="shared" si="6"/>
        <v>0.1405569033</v>
      </c>
      <c r="H1005" s="22" t="str">
        <f t="shared" si="4"/>
        <v/>
      </c>
      <c r="I1005" s="22" t="str">
        <f t="shared" si="1"/>
        <v>#N/A</v>
      </c>
      <c r="J1005" s="22" t="str">
        <f t="shared" si="2"/>
        <v>#N/A</v>
      </c>
      <c r="K1005" s="22" t="str">
        <f t="array" ref="K1005">IF(H1005="Crash",MATCH(TRUE, B1006:B1103 &gt;= B1004, 0),"")</f>
        <v/>
      </c>
    </row>
    <row r="1006" ht="15.75" customHeight="1">
      <c r="A1006" s="32">
        <f>'EQUITY BACKTEST'!A1009</f>
        <v>43210.66667</v>
      </c>
      <c r="B1006" s="22">
        <f>'EQUITY BACKTEST'!B1009</f>
        <v>2670.14</v>
      </c>
      <c r="C1006" s="22">
        <f>1/'EQUITY BACKTEST'!E1009</f>
        <v>0.8110957904</v>
      </c>
      <c r="D1006" s="22">
        <f t="shared" si="7"/>
        <v>0.02548792023</v>
      </c>
      <c r="E1006" s="22">
        <f t="shared" si="3"/>
        <v>0.005210254866</v>
      </c>
      <c r="F1006" s="22">
        <f t="shared" si="6"/>
        <v>0.1368635282</v>
      </c>
      <c r="H1006" s="22" t="str">
        <f t="shared" si="4"/>
        <v/>
      </c>
      <c r="I1006" s="22" t="str">
        <f t="shared" si="1"/>
        <v>#N/A</v>
      </c>
      <c r="J1006" s="22" t="str">
        <f t="shared" si="2"/>
        <v>#N/A</v>
      </c>
      <c r="K1006" s="22" t="str">
        <f t="array" ref="K1006">IF(H1006="Crash",MATCH(TRUE, B1007:B1104 &gt;= B1005, 0),"")</f>
        <v/>
      </c>
    </row>
    <row r="1007" ht="15.75" customHeight="1">
      <c r="A1007" s="32">
        <f>'EQUITY BACKTEST'!A1010</f>
        <v>43217.66667</v>
      </c>
      <c r="B1007" s="22">
        <f>'EQUITY BACKTEST'!B1010</f>
        <v>2669.91</v>
      </c>
      <c r="C1007" s="22">
        <f>1/'EQUITY BACKTEST'!E1010</f>
        <v>0.8132064731</v>
      </c>
      <c r="D1007" s="22">
        <f t="shared" si="7"/>
        <v>0.0276334003</v>
      </c>
      <c r="E1007" s="22">
        <f t="shared" si="3"/>
        <v>-0.00008613780551</v>
      </c>
      <c r="F1007" s="22">
        <f t="shared" si="6"/>
        <v>0.1198347454</v>
      </c>
      <c r="H1007" s="22" t="str">
        <f t="shared" si="4"/>
        <v/>
      </c>
      <c r="I1007" s="22" t="str">
        <f t="shared" si="1"/>
        <v>#N/A</v>
      </c>
      <c r="J1007" s="22" t="str">
        <f t="shared" si="2"/>
        <v>#N/A</v>
      </c>
      <c r="K1007" s="22" t="str">
        <f t="array" ref="K1007">IF(H1007="Crash",MATCH(TRUE, B1008:B1105 &gt;= B1006, 0),"")</f>
        <v/>
      </c>
    </row>
    <row r="1008" ht="15.75" customHeight="1">
      <c r="A1008" s="32">
        <f>'EQUITY BACKTEST'!A1011</f>
        <v>43224.66667</v>
      </c>
      <c r="B1008" s="22">
        <f>'EQUITY BACKTEST'!B1011</f>
        <v>2663.42</v>
      </c>
      <c r="C1008" s="22">
        <f>1/'EQUITY BACKTEST'!E1011</f>
        <v>0.8100445525</v>
      </c>
      <c r="D1008" s="22">
        <f t="shared" si="7"/>
        <v>0.01475458102</v>
      </c>
      <c r="E1008" s="22">
        <f t="shared" si="3"/>
        <v>-0.002430793547</v>
      </c>
      <c r="F1008" s="22">
        <f t="shared" si="6"/>
        <v>0.110086734</v>
      </c>
      <c r="H1008" s="22" t="str">
        <f t="shared" si="4"/>
        <v/>
      </c>
      <c r="I1008" s="22" t="str">
        <f t="shared" si="1"/>
        <v>#N/A</v>
      </c>
      <c r="J1008" s="22" t="str">
        <f t="shared" si="2"/>
        <v>#N/A</v>
      </c>
      <c r="K1008" s="22" t="str">
        <f t="array" ref="K1008">IF(H1008="Crash",MATCH(TRUE, B1009:B1106 &gt;= B1007, 0),"")</f>
        <v/>
      </c>
    </row>
    <row r="1009" ht="15.75" customHeight="1">
      <c r="A1009" s="32">
        <f>'EQUITY BACKTEST'!A1012</f>
        <v>43231.66667</v>
      </c>
      <c r="B1009" s="22">
        <f>'EQUITY BACKTEST'!B1012</f>
        <v>2727.72</v>
      </c>
      <c r="C1009" s="22">
        <f>1/'EQUITY BACKTEST'!E1012</f>
        <v>0.8126777733</v>
      </c>
      <c r="D1009" s="22">
        <f t="shared" si="7"/>
        <v>-0.01702625848</v>
      </c>
      <c r="E1009" s="22">
        <f t="shared" si="3"/>
        <v>0.02414189275</v>
      </c>
      <c r="F1009" s="22">
        <f t="shared" si="6"/>
        <v>0.1408758208</v>
      </c>
      <c r="H1009" s="22" t="str">
        <f t="shared" si="4"/>
        <v/>
      </c>
      <c r="I1009" s="22" t="str">
        <f t="shared" si="1"/>
        <v>#N/A</v>
      </c>
      <c r="J1009" s="22" t="str">
        <f t="shared" si="2"/>
        <v>#N/A</v>
      </c>
      <c r="K1009" s="22" t="str">
        <f t="array" ref="K1009">IF(H1009="Crash",MATCH(TRUE, B1010:B1107 &gt;= B1008, 0),"")</f>
        <v/>
      </c>
    </row>
    <row r="1010" ht="15.75" customHeight="1">
      <c r="A1010" s="32">
        <f>'EQUITY BACKTEST'!A1013</f>
        <v>43238.66667</v>
      </c>
      <c r="B1010" s="22">
        <f>'EQUITY BACKTEST'!B1013</f>
        <v>2712.97</v>
      </c>
      <c r="C1010" s="22">
        <f>1/'EQUITY BACKTEST'!E1013</f>
        <v>0.8233841087</v>
      </c>
      <c r="D1010" s="22">
        <f t="shared" si="7"/>
        <v>-0.01639933905</v>
      </c>
      <c r="E1010" s="22">
        <f t="shared" si="3"/>
        <v>-0.005407446512</v>
      </c>
      <c r="F1010" s="22">
        <f t="shared" si="6"/>
        <v>0.139075378</v>
      </c>
      <c r="H1010" s="22" t="str">
        <f t="shared" si="4"/>
        <v/>
      </c>
      <c r="I1010" s="22" t="str">
        <f t="shared" si="1"/>
        <v>#N/A</v>
      </c>
      <c r="J1010" s="22" t="str">
        <f t="shared" si="2"/>
        <v>#N/A</v>
      </c>
      <c r="K1010" s="22" t="str">
        <f t="array" ref="K1010">IF(H1010="Crash",MATCH(TRUE, B1011:B1108 &gt;= B1009, 0),"")</f>
        <v/>
      </c>
    </row>
    <row r="1011" ht="15.75" customHeight="1">
      <c r="A1011" s="32">
        <f>'EQUITY BACKTEST'!A1014</f>
        <v>43245.66667</v>
      </c>
      <c r="B1011" s="22">
        <f>'EQUITY BACKTEST'!B1014</f>
        <v>2721.33</v>
      </c>
      <c r="C1011" s="22">
        <f>1/'EQUITY BACKTEST'!E1014</f>
        <v>0.8354218881</v>
      </c>
      <c r="D1011" s="22">
        <f t="shared" si="7"/>
        <v>-0.03613608857</v>
      </c>
      <c r="E1011" s="22">
        <f t="shared" si="3"/>
        <v>0.003081493714</v>
      </c>
      <c r="F1011" s="22">
        <f t="shared" si="6"/>
        <v>0.1264622364</v>
      </c>
      <c r="H1011" s="22" t="str">
        <f t="shared" si="4"/>
        <v/>
      </c>
      <c r="I1011" s="22" t="str">
        <f t="shared" si="1"/>
        <v>#N/A</v>
      </c>
      <c r="J1011" s="22" t="str">
        <f t="shared" si="2"/>
        <v>#N/A</v>
      </c>
      <c r="K1011" s="22" t="str">
        <f t="array" ref="K1011">IF(H1011="Crash",MATCH(TRUE, B1012:B1109 &gt;= B1010, 0),"")</f>
        <v/>
      </c>
    </row>
    <row r="1012" ht="15.75" customHeight="1">
      <c r="A1012" s="32">
        <f>'EQUITY BACKTEST'!A1015</f>
        <v>43252.66667</v>
      </c>
      <c r="B1012" s="22">
        <f>'EQUITY BACKTEST'!B1015</f>
        <v>2734.62</v>
      </c>
      <c r="C1012" s="22">
        <f>1/'EQUITY BACKTEST'!E1015</f>
        <v>0.8361903169</v>
      </c>
      <c r="D1012" s="22">
        <f t="shared" si="7"/>
        <v>-0.06540500833</v>
      </c>
      <c r="E1012" s="22">
        <f t="shared" si="3"/>
        <v>0.004883641455</v>
      </c>
      <c r="F1012" s="22">
        <f t="shared" si="6"/>
        <v>0.1211732341</v>
      </c>
      <c r="H1012" s="22" t="str">
        <f t="shared" si="4"/>
        <v/>
      </c>
      <c r="I1012" s="22" t="str">
        <f t="shared" si="1"/>
        <v>#N/A</v>
      </c>
      <c r="J1012" s="22" t="str">
        <f t="shared" si="2"/>
        <v>#N/A</v>
      </c>
      <c r="K1012" s="22" t="str">
        <f t="array" ref="K1012">IF(H1012="Crash",MATCH(TRUE, B1013:B1110 &gt;= B1011, 0),"")</f>
        <v/>
      </c>
    </row>
    <row r="1013" ht="15.75" customHeight="1">
      <c r="A1013" s="32">
        <f>'EQUITY BACKTEST'!A1016</f>
        <v>43259.66667</v>
      </c>
      <c r="B1013" s="22">
        <f>'EQUITY BACKTEST'!B1016</f>
        <v>2779.03</v>
      </c>
      <c r="C1013" s="22">
        <f>1/'EQUITY BACKTEST'!E1016</f>
        <v>0.8482483671</v>
      </c>
      <c r="D1013" s="22">
        <f t="shared" si="7"/>
        <v>-0.05789998647</v>
      </c>
      <c r="E1013" s="22">
        <f t="shared" si="3"/>
        <v>0.01623991633</v>
      </c>
      <c r="F1013" s="22">
        <f t="shared" si="6"/>
        <v>0.142801334</v>
      </c>
      <c r="H1013" s="22" t="str">
        <f t="shared" si="4"/>
        <v/>
      </c>
      <c r="I1013" s="22" t="str">
        <f t="shared" si="1"/>
        <v>#N/A</v>
      </c>
      <c r="J1013" s="22" t="str">
        <f t="shared" si="2"/>
        <v>#N/A</v>
      </c>
      <c r="K1013" s="22" t="str">
        <f t="array" ref="K1013">IF(H1013="Crash",MATCH(TRUE, B1014:B1111 &gt;= B1012, 0),"")</f>
        <v/>
      </c>
    </row>
    <row r="1014" ht="15.75" customHeight="1">
      <c r="A1014" s="32">
        <f>'EQUITY BACKTEST'!A1017</f>
        <v>43266.66667</v>
      </c>
      <c r="B1014" s="22">
        <f>'EQUITY BACKTEST'!B1017</f>
        <v>2779.66</v>
      </c>
      <c r="C1014" s="22">
        <f>1/'EQUITY BACKTEST'!E1017</f>
        <v>0.858000858</v>
      </c>
      <c r="D1014" s="22">
        <f t="shared" si="7"/>
        <v>-0.03201745453</v>
      </c>
      <c r="E1014" s="22">
        <f t="shared" si="3"/>
        <v>0.0002266978046</v>
      </c>
      <c r="F1014" s="22">
        <f t="shared" si="6"/>
        <v>0.1424120995</v>
      </c>
      <c r="H1014" s="22" t="str">
        <f t="shared" si="4"/>
        <v/>
      </c>
      <c r="I1014" s="22" t="str">
        <f t="shared" si="1"/>
        <v>#N/A</v>
      </c>
      <c r="J1014" s="22" t="str">
        <f t="shared" si="2"/>
        <v>#N/A</v>
      </c>
      <c r="K1014" s="22" t="str">
        <f t="array" ref="K1014">IF(H1014="Crash",MATCH(TRUE, B1015:B1112 &gt;= B1013, 0),"")</f>
        <v/>
      </c>
    </row>
    <row r="1015" ht="15.75" customHeight="1">
      <c r="A1015" s="32">
        <f>'EQUITY BACKTEST'!A1018</f>
        <v>43273.66667</v>
      </c>
      <c r="B1015" s="22">
        <f>'EQUITY BACKTEST'!B1018</f>
        <v>2754.88</v>
      </c>
      <c r="C1015" s="22">
        <f>1/'EQUITY BACKTEST'!E1018</f>
        <v>0.8557907078</v>
      </c>
      <c r="D1015" s="22">
        <f t="shared" si="7"/>
        <v>0.007500614395</v>
      </c>
      <c r="E1015" s="22">
        <f t="shared" si="3"/>
        <v>-0.008914759359</v>
      </c>
      <c r="F1015" s="22">
        <f t="shared" si="6"/>
        <v>0.1298363614</v>
      </c>
      <c r="H1015" s="22" t="str">
        <f t="shared" si="4"/>
        <v/>
      </c>
      <c r="I1015" s="22" t="str">
        <f t="shared" si="1"/>
        <v>#N/A</v>
      </c>
      <c r="J1015" s="22" t="str">
        <f t="shared" si="2"/>
        <v>#N/A</v>
      </c>
      <c r="K1015" s="22" t="str">
        <f t="array" ref="K1015">IF(H1015="Crash",MATCH(TRUE, B1016:B1113 &gt;= B1014, 0),"")</f>
        <v/>
      </c>
    </row>
    <row r="1016" ht="15.75" customHeight="1">
      <c r="A1016" s="32">
        <f>'EQUITY BACKTEST'!A1019</f>
        <v>43280.66667</v>
      </c>
      <c r="B1016" s="22">
        <f>'EQUITY BACKTEST'!B1019</f>
        <v>2718.37</v>
      </c>
      <c r="C1016" s="22">
        <f>1/'EQUITY BACKTEST'!E1019</f>
        <v>0.8493290301</v>
      </c>
      <c r="D1016" s="22">
        <f t="shared" si="7"/>
        <v>0.01491161822</v>
      </c>
      <c r="E1016" s="22">
        <f t="shared" si="3"/>
        <v>-0.01325284586</v>
      </c>
      <c r="F1016" s="22">
        <f t="shared" si="6"/>
        <v>0.1217127931</v>
      </c>
      <c r="H1016" s="22" t="str">
        <f t="shared" si="4"/>
        <v/>
      </c>
      <c r="I1016" s="22" t="str">
        <f t="shared" si="1"/>
        <v>#N/A</v>
      </c>
      <c r="J1016" s="22" t="str">
        <f t="shared" si="2"/>
        <v>#N/A</v>
      </c>
      <c r="K1016" s="22" t="str">
        <f t="array" ref="K1016">IF(H1016="Crash",MATCH(TRUE, B1017:B1114 &gt;= B1015, 0),"")</f>
        <v/>
      </c>
    </row>
    <row r="1017" ht="15.75" customHeight="1">
      <c r="A1017" s="32">
        <f>'EQUITY BACKTEST'!A1020</f>
        <v>43287.66667</v>
      </c>
      <c r="B1017" s="22">
        <f>'EQUITY BACKTEST'!B1020</f>
        <v>2759.82</v>
      </c>
      <c r="C1017" s="22">
        <f>1/'EQUITY BACKTEST'!E1020</f>
        <v>0.860659265</v>
      </c>
      <c r="D1017" s="22">
        <f t="shared" si="7"/>
        <v>0.02954954637</v>
      </c>
      <c r="E1017" s="22">
        <f t="shared" si="3"/>
        <v>0.01524810824</v>
      </c>
      <c r="F1017" s="22">
        <f t="shared" si="6"/>
        <v>0.1379856341</v>
      </c>
      <c r="H1017" s="22" t="str">
        <f t="shared" si="4"/>
        <v/>
      </c>
      <c r="I1017" s="22" t="str">
        <f t="shared" si="1"/>
        <v>#N/A</v>
      </c>
      <c r="J1017" s="22" t="str">
        <f t="shared" si="2"/>
        <v>#N/A</v>
      </c>
      <c r="K1017" s="22" t="str">
        <f t="array" ref="K1017">IF(H1017="Crash",MATCH(TRUE, B1018:B1115 &gt;= B1016, 0),"")</f>
        <v/>
      </c>
    </row>
    <row r="1018" ht="15.75" customHeight="1">
      <c r="A1018" s="32">
        <f>'EQUITY BACKTEST'!A1021</f>
        <v>43294.66667</v>
      </c>
      <c r="B1018" s="22">
        <f>'EQUITY BACKTEST'!B1021</f>
        <v>2801.31</v>
      </c>
      <c r="C1018" s="22">
        <f>1/'EQUITY BACKTEST'!E1021</f>
        <v>0.8572653236</v>
      </c>
      <c r="D1018" s="22">
        <f t="shared" si="7"/>
        <v>0.02859691331</v>
      </c>
      <c r="E1018" s="22">
        <f t="shared" si="3"/>
        <v>0.01503358915</v>
      </c>
      <c r="F1018" s="22">
        <f t="shared" si="6"/>
        <v>0.1390819227</v>
      </c>
      <c r="H1018" s="22" t="str">
        <f t="shared" si="4"/>
        <v/>
      </c>
      <c r="I1018" s="22" t="str">
        <f t="shared" si="1"/>
        <v>#N/A</v>
      </c>
      <c r="J1018" s="22" t="str">
        <f t="shared" si="2"/>
        <v>#N/A</v>
      </c>
      <c r="K1018" s="22" t="str">
        <f t="array" ref="K1018">IF(H1018="Crash",MATCH(TRUE, B1019:B1116 &gt;= B1017, 0),"")</f>
        <v/>
      </c>
    </row>
    <row r="1019" ht="15.75" customHeight="1">
      <c r="A1019" s="32">
        <f>'EQUITY BACKTEST'!A1022</f>
        <v>43301.66667</v>
      </c>
      <c r="B1019" s="22">
        <f>'EQUITY BACKTEST'!B1022</f>
        <v>2801.83</v>
      </c>
      <c r="C1019" s="22">
        <f>1/'EQUITY BACKTEST'!E1022</f>
        <v>0.854554777</v>
      </c>
      <c r="D1019" s="22">
        <f t="shared" si="7"/>
        <v>0.0340791195</v>
      </c>
      <c r="E1019" s="22">
        <f t="shared" si="3"/>
        <v>0.0001856274386</v>
      </c>
      <c r="F1019" s="22">
        <f t="shared" si="6"/>
        <v>0.1331788363</v>
      </c>
      <c r="H1019" s="22" t="str">
        <f t="shared" si="4"/>
        <v/>
      </c>
      <c r="I1019" s="22" t="str">
        <f t="shared" si="1"/>
        <v>#N/A</v>
      </c>
      <c r="J1019" s="22" t="str">
        <f t="shared" si="2"/>
        <v>#N/A</v>
      </c>
      <c r="K1019" s="22" t="str">
        <f t="array" ref="K1019">IF(H1019="Crash",MATCH(TRUE, B1020:B1117 &gt;= B1018, 0),"")</f>
        <v/>
      </c>
    </row>
    <row r="1020" ht="15.75" customHeight="1">
      <c r="A1020" s="32">
        <f>'EQUITY BACKTEST'!A1023</f>
        <v>43308.66667</v>
      </c>
      <c r="B1020" s="22">
        <f>'EQUITY BACKTEST'!B1023</f>
        <v>2818.82</v>
      </c>
      <c r="C1020" s="22">
        <f>1/'EQUITY BACKTEST'!E1023</f>
        <v>0.8508465924</v>
      </c>
      <c r="D1020" s="22">
        <f t="shared" si="7"/>
        <v>0.07021339687</v>
      </c>
      <c r="E1020" s="22">
        <f t="shared" si="3"/>
        <v>0.006063893955</v>
      </c>
      <c r="F1020" s="22">
        <f t="shared" si="6"/>
        <v>0.140253226</v>
      </c>
      <c r="H1020" s="22" t="str">
        <f t="shared" si="4"/>
        <v/>
      </c>
      <c r="I1020" s="22" t="str">
        <f t="shared" si="1"/>
        <v>#N/A</v>
      </c>
      <c r="J1020" s="22" t="str">
        <f t="shared" si="2"/>
        <v>#N/A</v>
      </c>
      <c r="K1020" s="22" t="str">
        <f t="array" ref="K1020">IF(H1020="Crash",MATCH(TRUE, B1021:B1118 &gt;= B1019, 0),"")</f>
        <v/>
      </c>
    </row>
    <row r="1021" ht="15.75" customHeight="1">
      <c r="A1021" s="32">
        <f>'EQUITY BACKTEST'!A1024</f>
        <v>43315.66667</v>
      </c>
      <c r="B1021" s="22">
        <f>'EQUITY BACKTEST'!B1024</f>
        <v>2840.35</v>
      </c>
      <c r="C1021" s="22">
        <f>1/'EQUITY BACKTEST'!E1024</f>
        <v>0.8548469824</v>
      </c>
      <c r="D1021" s="22">
        <f t="shared" si="7"/>
        <v>0.09052747418</v>
      </c>
      <c r="E1021" s="22">
        <f t="shared" si="3"/>
        <v>0.007637947794</v>
      </c>
      <c r="F1021" s="22">
        <f t="shared" si="6"/>
        <v>0.1467682481</v>
      </c>
      <c r="H1021" s="22" t="str">
        <f t="shared" si="4"/>
        <v/>
      </c>
      <c r="I1021" s="22" t="str">
        <f t="shared" si="1"/>
        <v>#N/A</v>
      </c>
      <c r="J1021" s="22" t="str">
        <f t="shared" si="2"/>
        <v>#N/A</v>
      </c>
      <c r="K1021" s="22" t="str">
        <f t="array" ref="K1021">IF(H1021="Crash",MATCH(TRUE, B1022:B1119 &gt;= B1020, 0),"")</f>
        <v/>
      </c>
    </row>
    <row r="1022" ht="15.75" customHeight="1">
      <c r="A1022" s="32">
        <f>'EQUITY BACKTEST'!A1025</f>
        <v>43322.66667</v>
      </c>
      <c r="B1022" s="22">
        <f>'EQUITY BACKTEST'!B1025</f>
        <v>2833.28</v>
      </c>
      <c r="C1022" s="22">
        <f>1/'EQUITY BACKTEST'!E1025</f>
        <v>0.8526603001</v>
      </c>
      <c r="D1022" s="22">
        <f t="shared" si="7"/>
        <v>0.1194738928</v>
      </c>
      <c r="E1022" s="22">
        <f t="shared" si="3"/>
        <v>-0.002489129861</v>
      </c>
      <c r="F1022" s="22">
        <f t="shared" si="6"/>
        <v>0.160552488</v>
      </c>
      <c r="H1022" s="22" t="str">
        <f t="shared" si="4"/>
        <v/>
      </c>
      <c r="I1022" s="22" t="str">
        <f t="shared" si="1"/>
        <v>#N/A</v>
      </c>
      <c r="J1022" s="22" t="str">
        <f t="shared" si="2"/>
        <v>#N/A</v>
      </c>
      <c r="K1022" s="22" t="str">
        <f t="array" ref="K1022">IF(H1022="Crash",MATCH(TRUE, B1023:B1120 &gt;= B1021, 0),"")</f>
        <v/>
      </c>
    </row>
    <row r="1023" ht="15.75" customHeight="1">
      <c r="A1023" s="32">
        <f>'EQUITY BACKTEST'!A1026</f>
        <v>43329.66667</v>
      </c>
      <c r="B1023" s="22">
        <f>'EQUITY BACKTEST'!B1026</f>
        <v>2850.13</v>
      </c>
      <c r="C1023" s="22">
        <f>1/'EQUITY BACKTEST'!E1026</f>
        <v>0.856824608</v>
      </c>
      <c r="D1023" s="22">
        <f t="shared" si="7"/>
        <v>0.1489718873</v>
      </c>
      <c r="E1023" s="22">
        <f t="shared" si="3"/>
        <v>0.00594717077</v>
      </c>
      <c r="F1023" s="22">
        <f t="shared" si="6"/>
        <v>0.1750448352</v>
      </c>
      <c r="H1023" s="22" t="str">
        <f t="shared" si="4"/>
        <v/>
      </c>
      <c r="I1023" s="22" t="str">
        <f t="shared" si="1"/>
        <v>#N/A</v>
      </c>
      <c r="J1023" s="22" t="str">
        <f t="shared" si="2"/>
        <v>#N/A</v>
      </c>
      <c r="K1023" s="22" t="str">
        <f t="array" ref="K1023">IF(H1023="Crash",MATCH(TRUE, B1024:B1121 &gt;= B1022, 0),"")</f>
        <v/>
      </c>
    </row>
    <row r="1024" ht="15.75" customHeight="1">
      <c r="A1024" s="32">
        <f>'EQUITY BACKTEST'!A1027</f>
        <v>43336.66667</v>
      </c>
      <c r="B1024" s="22">
        <f>'EQUITY BACKTEST'!B1027</f>
        <v>2874.69</v>
      </c>
      <c r="C1024" s="22">
        <f>1/'EQUITY BACKTEST'!E1027</f>
        <v>0.863632438</v>
      </c>
      <c r="D1024" s="22">
        <f t="shared" si="7"/>
        <v>0.1718304278</v>
      </c>
      <c r="E1024" s="22">
        <f t="shared" si="3"/>
        <v>0.008617150797</v>
      </c>
      <c r="F1024" s="22">
        <f t="shared" si="6"/>
        <v>0.1766807884</v>
      </c>
      <c r="H1024" s="22" t="str">
        <f t="shared" si="4"/>
        <v/>
      </c>
      <c r="I1024" s="22" t="str">
        <f t="shared" si="1"/>
        <v>#N/A</v>
      </c>
      <c r="J1024" s="22" t="str">
        <f t="shared" si="2"/>
        <v>#N/A</v>
      </c>
      <c r="K1024" s="22" t="str">
        <f t="array" ref="K1024">IF(H1024="Crash",MATCH(TRUE, B1025:B1122 &gt;= B1023, 0),"")</f>
        <v/>
      </c>
    </row>
    <row r="1025" ht="15.75" customHeight="1">
      <c r="A1025" s="32">
        <f>'EQUITY BACKTEST'!A1028</f>
        <v>43343.66667</v>
      </c>
      <c r="B1025" s="22">
        <f>'EQUITY BACKTEST'!B1028</f>
        <v>2901.52</v>
      </c>
      <c r="C1025" s="22">
        <f>1/'EQUITY BACKTEST'!E1028</f>
        <v>0.8756567426</v>
      </c>
      <c r="D1025" s="22">
        <f t="shared" si="7"/>
        <v>0.1945382256</v>
      </c>
      <c r="E1025" s="22">
        <f t="shared" si="3"/>
        <v>0.009333180273</v>
      </c>
      <c r="F1025" s="22">
        <f t="shared" si="6"/>
        <v>0.1715975854</v>
      </c>
      <c r="H1025" s="22" t="str">
        <f t="shared" si="4"/>
        <v/>
      </c>
      <c r="I1025" s="22" t="str">
        <f t="shared" si="1"/>
        <v>#N/A</v>
      </c>
      <c r="J1025" s="22" t="str">
        <f t="shared" si="2"/>
        <v>#N/A</v>
      </c>
      <c r="K1025" s="22" t="str">
        <f t="array" ref="K1025">IF(H1025="Crash",MATCH(TRUE, B1026:B1123 &gt;= B1024, 0),"")</f>
        <v/>
      </c>
    </row>
    <row r="1026" ht="15.75" customHeight="1">
      <c r="A1026" s="32">
        <f>'EQUITY BACKTEST'!A1029</f>
        <v>43350.66667</v>
      </c>
      <c r="B1026" s="22">
        <f>'EQUITY BACKTEST'!B1029</f>
        <v>2871.68</v>
      </c>
      <c r="C1026" s="22">
        <f>1/'EQUITY BACKTEST'!E1029</f>
        <v>0.8736676568</v>
      </c>
      <c r="D1026" s="22">
        <f t="shared" si="7"/>
        <v>0.2353322931</v>
      </c>
      <c r="E1026" s="22">
        <f t="shared" si="3"/>
        <v>-0.0102842648</v>
      </c>
      <c r="F1026" s="22">
        <f t="shared" si="6"/>
        <v>0.1666714065</v>
      </c>
      <c r="H1026" s="22" t="str">
        <f t="shared" si="4"/>
        <v/>
      </c>
      <c r="I1026" s="22" t="str">
        <f t="shared" si="1"/>
        <v>#N/A</v>
      </c>
      <c r="J1026" s="22" t="str">
        <f t="shared" si="2"/>
        <v>#N/A</v>
      </c>
      <c r="K1026" s="22" t="str">
        <f t="array" ref="K1026">IF(H1026="Crash",MATCH(TRUE, B1027:B1124 &gt;= B1025, 0),"")</f>
        <v/>
      </c>
    </row>
    <row r="1027" ht="15.75" customHeight="1">
      <c r="A1027" s="32">
        <f>'EQUITY BACKTEST'!A1030</f>
        <v>43357.66667</v>
      </c>
      <c r="B1027" s="22">
        <f>'EQUITY BACKTEST'!B1030</f>
        <v>2904.98</v>
      </c>
      <c r="C1027" s="22">
        <f>1/'EQUITY BACKTEST'!E1030</f>
        <v>0.8597713008</v>
      </c>
      <c r="D1027" s="22">
        <f t="shared" si="7"/>
        <v>0.2579072322</v>
      </c>
      <c r="E1027" s="22">
        <f t="shared" si="3"/>
        <v>0.01159599955</v>
      </c>
      <c r="F1027" s="22">
        <f t="shared" si="6"/>
        <v>0.1618851066</v>
      </c>
      <c r="H1027" s="22" t="str">
        <f t="shared" si="4"/>
        <v/>
      </c>
      <c r="I1027" s="22" t="str">
        <f t="shared" si="1"/>
        <v>#N/A</v>
      </c>
      <c r="J1027" s="22" t="str">
        <f t="shared" si="2"/>
        <v>#N/A</v>
      </c>
      <c r="K1027" s="22" t="str">
        <f t="array" ref="K1027">IF(H1027="Crash",MATCH(TRUE, B1028:B1125 &gt;= B1026, 0),"")</f>
        <v/>
      </c>
    </row>
    <row r="1028" ht="15.75" customHeight="1">
      <c r="A1028" s="32">
        <f>'EQUITY BACKTEST'!A1031</f>
        <v>43364.66667</v>
      </c>
      <c r="B1028" s="22">
        <f>'EQUITY BACKTEST'!B1031</f>
        <v>2929.67</v>
      </c>
      <c r="C1028" s="22">
        <f>1/'EQUITY BACKTEST'!E1031</f>
        <v>0.8605851979</v>
      </c>
      <c r="D1028" s="22">
        <f t="shared" si="7"/>
        <v>0.3292127106</v>
      </c>
      <c r="E1028" s="22">
        <f t="shared" si="3"/>
        <v>0.008499197929</v>
      </c>
      <c r="F1028" s="22">
        <f t="shared" si="6"/>
        <v>0.1708283045</v>
      </c>
      <c r="H1028" s="22" t="str">
        <f t="shared" si="4"/>
        <v/>
      </c>
      <c r="I1028" s="22" t="str">
        <f t="shared" si="1"/>
        <v>#N/A</v>
      </c>
      <c r="J1028" s="22" t="str">
        <f t="shared" si="2"/>
        <v>#N/A</v>
      </c>
      <c r="K1028" s="22" t="str">
        <f t="array" ref="K1028">IF(H1028="Crash",MATCH(TRUE, B1029:B1126 &gt;= B1027, 0),"")</f>
        <v/>
      </c>
    </row>
    <row r="1029" ht="15.75" customHeight="1">
      <c r="A1029" s="32">
        <f>'EQUITY BACKTEST'!A1032</f>
        <v>43371.66667</v>
      </c>
      <c r="B1029" s="22">
        <f>'EQUITY BACKTEST'!B1032</f>
        <v>2913.98</v>
      </c>
      <c r="C1029" s="22">
        <f>1/'EQUITY BACKTEST'!E1032</f>
        <v>0.8643042351</v>
      </c>
      <c r="D1029" s="22">
        <f t="shared" si="7"/>
        <v>0.3905103478</v>
      </c>
      <c r="E1029" s="22">
        <f t="shared" si="3"/>
        <v>-0.00535555199</v>
      </c>
      <c r="F1029" s="22">
        <f t="shared" si="6"/>
        <v>0.1566350184</v>
      </c>
      <c r="H1029" s="22" t="str">
        <f t="shared" si="4"/>
        <v/>
      </c>
      <c r="I1029" s="22" t="str">
        <f t="shared" si="1"/>
        <v>#N/A</v>
      </c>
      <c r="J1029" s="22" t="str">
        <f t="shared" si="2"/>
        <v>#N/A</v>
      </c>
      <c r="K1029" s="22" t="str">
        <f t="array" ref="K1029">IF(H1029="Crash",MATCH(TRUE, B1030:B1127 &gt;= B1028, 0),"")</f>
        <v/>
      </c>
    </row>
    <row r="1030" ht="15.75" customHeight="1">
      <c r="A1030" s="32">
        <f>'EQUITY BACKTEST'!A1033</f>
        <v>43378.66667</v>
      </c>
      <c r="B1030" s="22">
        <f>'EQUITY BACKTEST'!B1033</f>
        <v>2885.57</v>
      </c>
      <c r="C1030" s="22">
        <f>1/'EQUITY BACKTEST'!E1033</f>
        <v>0.8596973865</v>
      </c>
      <c r="D1030" s="22">
        <f t="shared" si="7"/>
        <v>0.4372449153</v>
      </c>
      <c r="E1030" s="22">
        <f t="shared" si="3"/>
        <v>-0.009749552159</v>
      </c>
      <c r="F1030" s="22">
        <f t="shared" si="6"/>
        <v>0.1318934779</v>
      </c>
      <c r="H1030" s="22" t="str">
        <f t="shared" si="4"/>
        <v/>
      </c>
      <c r="I1030" s="22" t="str">
        <f t="shared" si="1"/>
        <v>#N/A</v>
      </c>
      <c r="J1030" s="22" t="str">
        <f t="shared" si="2"/>
        <v>#N/A</v>
      </c>
      <c r="K1030" s="22" t="str">
        <f t="array" ref="K1030">IF(H1030="Crash",MATCH(TRUE, B1031:B1128 &gt;= B1029, 0),"")</f>
        <v/>
      </c>
    </row>
    <row r="1031" ht="15.75" customHeight="1">
      <c r="A1031" s="32">
        <f>'EQUITY BACKTEST'!A1034</f>
        <v>43385.66667</v>
      </c>
      <c r="B1031" s="22">
        <f>'EQUITY BACKTEST'!B1034</f>
        <v>2767.13</v>
      </c>
      <c r="C1031" s="22">
        <f>1/'EQUITY BACKTEST'!E1034</f>
        <v>0.8497620666</v>
      </c>
      <c r="D1031" s="22">
        <f t="shared" si="7"/>
        <v>0.4961159662</v>
      </c>
      <c r="E1031" s="22">
        <f t="shared" si="3"/>
        <v>-0.04104561664</v>
      </c>
      <c r="F1031" s="22">
        <f t="shared" si="6"/>
        <v>0.08380170533</v>
      </c>
      <c r="H1031" s="22" t="str">
        <f t="shared" si="4"/>
        <v/>
      </c>
      <c r="I1031" s="22" t="str">
        <f t="shared" si="1"/>
        <v>#N/A</v>
      </c>
      <c r="J1031" s="22" t="str">
        <f t="shared" si="2"/>
        <v>#N/A</v>
      </c>
      <c r="K1031" s="22" t="str">
        <f t="array" ref="K1031">IF(H1031="Crash",MATCH(TRUE, B1032:B1129 &gt;= B1030, 0),"")</f>
        <v/>
      </c>
    </row>
    <row r="1032" ht="15.75" customHeight="1">
      <c r="A1032" s="32">
        <f>'EQUITY BACKTEST'!A1035</f>
        <v>43392.66667</v>
      </c>
      <c r="B1032" s="22">
        <f>'EQUITY BACKTEST'!B1035</f>
        <v>2767.78</v>
      </c>
      <c r="C1032" s="22">
        <f>1/'EQUITY BACKTEST'!E1035</f>
        <v>0.8605851979</v>
      </c>
      <c r="D1032" s="22">
        <f t="shared" si="7"/>
        <v>0.5406891557</v>
      </c>
      <c r="E1032" s="22">
        <f t="shared" si="3"/>
        <v>0.0002349004203</v>
      </c>
      <c r="F1032" s="22">
        <f t="shared" si="6"/>
        <v>0.07477836759</v>
      </c>
      <c r="H1032" s="22" t="str">
        <f t="shared" si="4"/>
        <v/>
      </c>
      <c r="I1032" s="22" t="str">
        <f t="shared" si="1"/>
        <v>#N/A</v>
      </c>
      <c r="J1032" s="22" t="str">
        <f t="shared" si="2"/>
        <v>#N/A</v>
      </c>
      <c r="K1032" s="22" t="str">
        <f t="array" ref="K1032">IF(H1032="Crash",MATCH(TRUE, B1033:B1130 &gt;= B1031, 0),"")</f>
        <v/>
      </c>
    </row>
    <row r="1033" ht="15.75" customHeight="1">
      <c r="A1033" s="32">
        <f>'EQUITY BACKTEST'!A1036</f>
        <v>43399.66667</v>
      </c>
      <c r="B1033" s="22">
        <f>'EQUITY BACKTEST'!B1036</f>
        <v>2658.69</v>
      </c>
      <c r="C1033" s="22">
        <f>1/'EQUITY BACKTEST'!E1036</f>
        <v>0.8672274738</v>
      </c>
      <c r="D1033" s="22">
        <f t="shared" si="7"/>
        <v>0.5741576365</v>
      </c>
      <c r="E1033" s="22">
        <f t="shared" si="3"/>
        <v>-0.0394142598</v>
      </c>
      <c r="F1033" s="22">
        <f t="shared" si="6"/>
        <v>0.03007279927</v>
      </c>
      <c r="H1033" s="22" t="str">
        <f t="shared" si="4"/>
        <v/>
      </c>
      <c r="I1033" s="22" t="str">
        <f t="shared" si="1"/>
        <v>#N/A</v>
      </c>
      <c r="J1033" s="22" t="str">
        <f t="shared" si="2"/>
        <v>#N/A</v>
      </c>
      <c r="K1033" s="22" t="str">
        <f t="array" ref="K1033">IF(H1033="Crash",MATCH(TRUE, B1034:B1131 &gt;= B1032, 0),"")</f>
        <v/>
      </c>
    </row>
    <row r="1034" ht="15.75" customHeight="1">
      <c r="A1034" s="32">
        <f>'EQUITY BACKTEST'!A1037</f>
        <v>43406.66667</v>
      </c>
      <c r="B1034" s="22">
        <f>'EQUITY BACKTEST'!B1037</f>
        <v>2723.06</v>
      </c>
      <c r="C1034" s="22">
        <f>1/'EQUITY BACKTEST'!E1037</f>
        <v>0.8640801866</v>
      </c>
      <c r="D1034" s="22">
        <f t="shared" si="7"/>
        <v>0.5822774837</v>
      </c>
      <c r="E1034" s="22">
        <f t="shared" si="3"/>
        <v>0.02421117167</v>
      </c>
      <c r="F1034" s="22">
        <f t="shared" si="6"/>
        <v>0.05225207123</v>
      </c>
      <c r="H1034" s="22" t="str">
        <f t="shared" si="4"/>
        <v/>
      </c>
      <c r="I1034" s="22" t="str">
        <f t="shared" si="1"/>
        <v>#N/A</v>
      </c>
      <c r="J1034" s="22" t="str">
        <f t="shared" si="2"/>
        <v>#N/A</v>
      </c>
      <c r="K1034" s="22" t="str">
        <f t="array" ref="K1034">IF(H1034="Crash",MATCH(TRUE, B1035:B1132 &gt;= B1033, 0),"")</f>
        <v/>
      </c>
    </row>
    <row r="1035" ht="15.75" customHeight="1">
      <c r="A1035" s="32">
        <f>'EQUITY BACKTEST'!A1038</f>
        <v>43413.66667</v>
      </c>
      <c r="B1035" s="22">
        <f>'EQUITY BACKTEST'!B1038</f>
        <v>2781.01</v>
      </c>
      <c r="C1035" s="22">
        <f>1/'EQUITY BACKTEST'!E1038</f>
        <v>0.8674531575</v>
      </c>
      <c r="D1035" s="22">
        <f t="shared" si="7"/>
        <v>0.5826158073</v>
      </c>
      <c r="E1035" s="22">
        <f t="shared" si="3"/>
        <v>0.0212812057</v>
      </c>
      <c r="F1035" s="22">
        <f t="shared" si="6"/>
        <v>0.07695078031</v>
      </c>
      <c r="H1035" s="22" t="str">
        <f t="shared" si="4"/>
        <v/>
      </c>
      <c r="I1035" s="22" t="str">
        <f t="shared" si="1"/>
        <v>#N/A</v>
      </c>
      <c r="J1035" s="22" t="str">
        <f t="shared" si="2"/>
        <v>#N/A</v>
      </c>
      <c r="K1035" s="22" t="str">
        <f t="array" ref="K1035">IF(H1035="Crash",MATCH(TRUE, B1036:B1133 &gt;= B1034, 0),"")</f>
        <v/>
      </c>
    </row>
    <row r="1036" ht="15.75" customHeight="1">
      <c r="A1036" s="32">
        <f>'EQUITY BACKTEST'!A1039</f>
        <v>43420.66667</v>
      </c>
      <c r="B1036" s="22">
        <f>'EQUITY BACKTEST'!B1039</f>
        <v>2736.27</v>
      </c>
      <c r="C1036" s="22">
        <f>1/'EQUITY BACKTEST'!E1039</f>
        <v>0.8754267706</v>
      </c>
      <c r="D1036" s="22">
        <f t="shared" si="7"/>
        <v>0.6086471064</v>
      </c>
      <c r="E1036" s="22">
        <f t="shared" si="3"/>
        <v>-0.01608768038</v>
      </c>
      <c r="F1036" s="22">
        <f t="shared" si="6"/>
        <v>0.06104271284</v>
      </c>
      <c r="H1036" s="22" t="str">
        <f t="shared" si="4"/>
        <v/>
      </c>
      <c r="I1036" s="22" t="str">
        <f t="shared" si="1"/>
        <v>#N/A</v>
      </c>
      <c r="J1036" s="22" t="str">
        <f t="shared" si="2"/>
        <v>#N/A</v>
      </c>
      <c r="K1036" s="22" t="str">
        <f t="array" ref="K1036">IF(H1036="Crash",MATCH(TRUE, B1037:B1134 &gt;= B1035, 0),"")</f>
        <v/>
      </c>
    </row>
    <row r="1037" ht="15.75" customHeight="1">
      <c r="A1037" s="32">
        <f>'EQUITY BACKTEST'!A1040</f>
        <v>43427.54167</v>
      </c>
      <c r="B1037" s="22">
        <f>'EQUITY BACKTEST'!B1040</f>
        <v>2632.56</v>
      </c>
      <c r="C1037" s="22">
        <f>1/'EQUITY BACKTEST'!E1040</f>
        <v>0.8782715616</v>
      </c>
      <c r="D1037" s="22">
        <f t="shared" si="7"/>
        <v>0.6067865172</v>
      </c>
      <c r="E1037" s="22">
        <f t="shared" si="3"/>
        <v>-0.03790196143</v>
      </c>
      <c r="F1037" s="22">
        <f t="shared" si="6"/>
        <v>0.01158152796</v>
      </c>
      <c r="H1037" s="22" t="str">
        <f t="shared" si="4"/>
        <v/>
      </c>
      <c r="I1037" s="22" t="str">
        <f t="shared" si="1"/>
        <v>#N/A</v>
      </c>
      <c r="J1037" s="22" t="str">
        <f t="shared" si="2"/>
        <v>#N/A</v>
      </c>
      <c r="K1037" s="22" t="str">
        <f t="array" ref="K1037">IF(H1037="Crash",MATCH(TRUE, B1038:B1135 &gt;= B1036, 0),"")</f>
        <v/>
      </c>
    </row>
    <row r="1038" ht="15.75" customHeight="1">
      <c r="A1038" s="32">
        <f>'EQUITY BACKTEST'!A1041</f>
        <v>43434.66667</v>
      </c>
      <c r="B1038" s="22">
        <f>'EQUITY BACKTEST'!B1041</f>
        <v>2760.17</v>
      </c>
      <c r="C1038" s="22">
        <f>1/'EQUITY BACKTEST'!E1041</f>
        <v>0.8821453776</v>
      </c>
      <c r="D1038" s="22">
        <f t="shared" si="7"/>
        <v>0.619964514</v>
      </c>
      <c r="E1038" s="22">
        <f t="shared" si="3"/>
        <v>0.04847372899</v>
      </c>
      <c r="F1038" s="22">
        <f t="shared" si="6"/>
        <v>0.04464049171</v>
      </c>
      <c r="H1038" s="22" t="str">
        <f t="shared" si="4"/>
        <v/>
      </c>
      <c r="I1038" s="22" t="str">
        <f t="shared" si="1"/>
        <v>#N/A</v>
      </c>
      <c r="J1038" s="22" t="str">
        <f t="shared" si="2"/>
        <v>#N/A</v>
      </c>
      <c r="K1038" s="22" t="str">
        <f t="array" ref="K1038">IF(H1038="Crash",MATCH(TRUE, B1039:B1136 &gt;= B1037, 0),"")</f>
        <v/>
      </c>
    </row>
    <row r="1039" ht="15.75" customHeight="1">
      <c r="A1039" s="32">
        <f>'EQUITY BACKTEST'!A1042</f>
        <v>43441.66667</v>
      </c>
      <c r="B1039" s="22">
        <f>'EQUITY BACKTEST'!B1042</f>
        <v>2633.08</v>
      </c>
      <c r="C1039" s="22">
        <f>1/'EQUITY BACKTEST'!E1042</f>
        <v>0.8757334267</v>
      </c>
      <c r="D1039" s="22">
        <f t="shared" si="7"/>
        <v>0.6342754505</v>
      </c>
      <c r="E1039" s="22">
        <f t="shared" si="3"/>
        <v>-0.04604426539</v>
      </c>
      <c r="F1039" s="22">
        <f t="shared" si="6"/>
        <v>-0.006947011126</v>
      </c>
      <c r="H1039" s="22" t="str">
        <f t="shared" si="4"/>
        <v/>
      </c>
      <c r="I1039" s="22" t="str">
        <f t="shared" si="1"/>
        <v>#N/A</v>
      </c>
      <c r="J1039" s="22" t="str">
        <f t="shared" si="2"/>
        <v>#N/A</v>
      </c>
      <c r="K1039" s="22" t="str">
        <f t="array" ref="K1039">IF(H1039="Crash",MATCH(TRUE, B1040:B1137 &gt;= B1038, 0),"")</f>
        <v/>
      </c>
    </row>
    <row r="1040" ht="15.75" customHeight="1">
      <c r="A1040" s="32">
        <f>'EQUITY BACKTEST'!A1043</f>
        <v>43448.66667</v>
      </c>
      <c r="B1040" s="22">
        <f>'EQUITY BACKTEST'!B1043</f>
        <v>2599.95</v>
      </c>
      <c r="C1040" s="22">
        <f>1/'EQUITY BACKTEST'!E1043</f>
        <v>0.8816009874</v>
      </c>
      <c r="D1040" s="22">
        <f t="shared" si="7"/>
        <v>0.6407444321</v>
      </c>
      <c r="E1040" s="22">
        <f t="shared" si="3"/>
        <v>-0.0125822231</v>
      </c>
      <c r="F1040" s="22">
        <f t="shared" si="6"/>
        <v>-0.02835029393</v>
      </c>
      <c r="H1040" s="22" t="str">
        <f t="shared" si="4"/>
        <v/>
      </c>
      <c r="I1040" s="22" t="str">
        <f t="shared" si="1"/>
        <v>#N/A</v>
      </c>
      <c r="J1040" s="22" t="str">
        <f t="shared" si="2"/>
        <v>#N/A</v>
      </c>
      <c r="K1040" s="22" t="str">
        <f t="array" ref="K1040">IF(H1040="Crash",MATCH(TRUE, B1041:B1138 &gt;= B1039, 0),"")</f>
        <v/>
      </c>
    </row>
    <row r="1041" ht="15.75" customHeight="1">
      <c r="A1041" s="32">
        <f>'EQUITY BACKTEST'!A1044</f>
        <v>43455.66667</v>
      </c>
      <c r="B1041" s="22">
        <f>'EQUITY BACKTEST'!B1044</f>
        <v>2416.62</v>
      </c>
      <c r="C1041" s="22">
        <f>1/'EQUITY BACKTEST'!E1044</f>
        <v>0.8833922261</v>
      </c>
      <c r="D1041" s="22">
        <f t="shared" si="7"/>
        <v>0.6561082724</v>
      </c>
      <c r="E1041" s="22">
        <f t="shared" si="3"/>
        <v>-0.07051289448</v>
      </c>
      <c r="F1041" s="22">
        <f t="shared" si="6"/>
        <v>-0.09939851081</v>
      </c>
      <c r="H1041" s="22" t="str">
        <f t="shared" si="4"/>
        <v>Crash</v>
      </c>
      <c r="I1041" s="22">
        <f t="shared" si="1"/>
        <v>-7.051289448</v>
      </c>
      <c r="J1041" s="22">
        <f t="shared" si="2"/>
        <v>65.61082724</v>
      </c>
      <c r="K1041" s="22">
        <f t="array" ref="K1041">IF(H1041="Crash",MATCH(TRUE, B1042:B1139 &gt;= B1040, 0),"")</f>
        <v>4</v>
      </c>
    </row>
    <row r="1042" ht="15.75" customHeight="1">
      <c r="A1042" s="32">
        <f>'EQUITY BACKTEST'!A1045</f>
        <v>43462.66667</v>
      </c>
      <c r="B1042" s="22">
        <f>'EQUITY BACKTEST'!B1045</f>
        <v>2485.74</v>
      </c>
      <c r="C1042" s="22">
        <f>1/'EQUITY BACKTEST'!E1045</f>
        <v>0.8788890842</v>
      </c>
      <c r="D1042" s="22">
        <f t="shared" si="7"/>
        <v>0.6875454978</v>
      </c>
      <c r="E1042" s="22">
        <f t="shared" si="3"/>
        <v>0.02860193162</v>
      </c>
      <c r="F1042" s="22">
        <f t="shared" si="6"/>
        <v>-0.07026828894</v>
      </c>
      <c r="H1042" s="22" t="str">
        <f t="shared" si="4"/>
        <v/>
      </c>
      <c r="I1042" s="22" t="str">
        <f t="shared" si="1"/>
        <v>#N/A</v>
      </c>
      <c r="J1042" s="22" t="str">
        <f t="shared" si="2"/>
        <v>#N/A</v>
      </c>
      <c r="K1042" s="22" t="str">
        <f t="array" ref="K1042">IF(H1042="Crash",MATCH(TRUE, B1043:B1140 &gt;= B1041, 0),"")</f>
        <v/>
      </c>
    </row>
    <row r="1043" ht="15.75" customHeight="1">
      <c r="A1043" s="32">
        <f>'EQUITY BACKTEST'!A1046</f>
        <v>43469.66667</v>
      </c>
      <c r="B1043" s="22">
        <f>'EQUITY BACKTEST'!B1046</f>
        <v>2531.94</v>
      </c>
      <c r="C1043" s="22">
        <f>1/'EQUITY BACKTEST'!E1046</f>
        <v>0.8842514811</v>
      </c>
      <c r="D1043" s="22">
        <f t="shared" si="7"/>
        <v>0.6839665044</v>
      </c>
      <c r="E1043" s="22">
        <f t="shared" si="3"/>
        <v>0.01858601463</v>
      </c>
      <c r="F1043" s="22">
        <f t="shared" si="6"/>
        <v>-0.07699542497</v>
      </c>
      <c r="H1043" s="22" t="str">
        <f t="shared" si="4"/>
        <v/>
      </c>
      <c r="I1043" s="22" t="str">
        <f t="shared" si="1"/>
        <v>#N/A</v>
      </c>
      <c r="J1043" s="22" t="str">
        <f t="shared" si="2"/>
        <v>#N/A</v>
      </c>
      <c r="K1043" s="22" t="str">
        <f t="array" ref="K1043">IF(H1043="Crash",MATCH(TRUE, B1044:B1141 &gt;= B1042, 0),"")</f>
        <v/>
      </c>
    </row>
    <row r="1044" ht="15.75" customHeight="1">
      <c r="A1044" s="32">
        <f>'EQUITY BACKTEST'!A1047</f>
        <v>43476.66667</v>
      </c>
      <c r="B1044" s="22">
        <f>'EQUITY BACKTEST'!B1047</f>
        <v>2596.26</v>
      </c>
      <c r="C1044" s="22">
        <f>1/'EQUITY BACKTEST'!E1047</f>
        <v>0.8785802144</v>
      </c>
      <c r="D1044" s="22">
        <f t="shared" si="7"/>
        <v>0.7014804974</v>
      </c>
      <c r="E1044" s="22">
        <f t="shared" si="3"/>
        <v>0.02540344558</v>
      </c>
      <c r="F1044" s="22">
        <f t="shared" si="6"/>
        <v>-0.06818508097</v>
      </c>
      <c r="H1044" s="22" t="str">
        <f t="shared" si="4"/>
        <v/>
      </c>
      <c r="I1044" s="22" t="str">
        <f t="shared" si="1"/>
        <v>#N/A</v>
      </c>
      <c r="J1044" s="22" t="str">
        <f t="shared" si="2"/>
        <v>#N/A</v>
      </c>
      <c r="K1044" s="22" t="str">
        <f t="array" ref="K1044">IF(H1044="Crash",MATCH(TRUE, B1045:B1142 &gt;= B1043, 0),"")</f>
        <v/>
      </c>
    </row>
    <row r="1045" ht="15.75" customHeight="1">
      <c r="A1045" s="32">
        <f>'EQUITY BACKTEST'!A1048</f>
        <v>43483.66667</v>
      </c>
      <c r="B1045" s="22">
        <f>'EQUITY BACKTEST'!B1048</f>
        <v>2670.71</v>
      </c>
      <c r="C1045" s="22">
        <f>1/'EQUITY BACKTEST'!E1048</f>
        <v>0.8742022904</v>
      </c>
      <c r="D1045" s="22">
        <f t="shared" si="7"/>
        <v>0.6622529547</v>
      </c>
      <c r="E1045" s="22">
        <f t="shared" si="3"/>
        <v>0.02867586451</v>
      </c>
      <c r="F1045" s="22">
        <f t="shared" si="6"/>
        <v>-0.04967085365</v>
      </c>
      <c r="H1045" s="22" t="str">
        <f t="shared" si="4"/>
        <v/>
      </c>
      <c r="I1045" s="22" t="str">
        <f t="shared" si="1"/>
        <v>#N/A</v>
      </c>
      <c r="J1045" s="22" t="str">
        <f t="shared" si="2"/>
        <v>#N/A</v>
      </c>
      <c r="K1045" s="22" t="str">
        <f t="array" ref="K1045">IF(H1045="Crash",MATCH(TRUE, B1046:B1143 &gt;= B1044, 0),"")</f>
        <v/>
      </c>
    </row>
    <row r="1046" ht="15.75" customHeight="1">
      <c r="A1046" s="32">
        <f>'EQUITY BACKTEST'!A1049</f>
        <v>43490.66667</v>
      </c>
      <c r="B1046" s="22">
        <f>'EQUITY BACKTEST'!B1049</f>
        <v>2664.76</v>
      </c>
      <c r="C1046" s="22">
        <f>1/'EQUITY BACKTEST'!E1049</f>
        <v>0.8776549061</v>
      </c>
      <c r="D1046" s="22">
        <f t="shared" si="7"/>
        <v>0.6278905306</v>
      </c>
      <c r="E1046" s="22">
        <f t="shared" si="3"/>
        <v>-0.002227871989</v>
      </c>
      <c r="F1046" s="22">
        <f t="shared" si="6"/>
        <v>-0.07243975537</v>
      </c>
      <c r="H1046" s="22" t="str">
        <f t="shared" si="4"/>
        <v/>
      </c>
      <c r="I1046" s="22" t="str">
        <f t="shared" si="1"/>
        <v>#N/A</v>
      </c>
      <c r="J1046" s="22" t="str">
        <f t="shared" si="2"/>
        <v>#N/A</v>
      </c>
      <c r="K1046" s="22" t="str">
        <f t="array" ref="K1046">IF(H1046="Crash",MATCH(TRUE, B1047:B1144 &gt;= B1045, 0),"")</f>
        <v/>
      </c>
    </row>
    <row r="1047" ht="15.75" customHeight="1">
      <c r="A1047" s="32">
        <f>'EQUITY BACKTEST'!A1050</f>
        <v>43497.66667</v>
      </c>
      <c r="B1047" s="22">
        <f>'EQUITY BACKTEST'!B1050</f>
        <v>2706.53</v>
      </c>
      <c r="C1047" s="22">
        <f>1/'EQUITY BACKTEST'!E1050</f>
        <v>0.8719916289</v>
      </c>
      <c r="D1047" s="22">
        <f t="shared" si="7"/>
        <v>0.6099486706</v>
      </c>
      <c r="E1047" s="22">
        <f t="shared" si="3"/>
        <v>0.01567495759</v>
      </c>
      <c r="F1047" s="22">
        <f t="shared" si="6"/>
        <v>-0.0201293929</v>
      </c>
      <c r="H1047" s="22" t="str">
        <f t="shared" si="4"/>
        <v/>
      </c>
      <c r="I1047" s="22" t="str">
        <f t="shared" si="1"/>
        <v>#N/A</v>
      </c>
      <c r="J1047" s="22" t="str">
        <f t="shared" si="2"/>
        <v>#N/A</v>
      </c>
      <c r="K1047" s="22" t="str">
        <f t="array" ref="K1047">IF(H1047="Crash",MATCH(TRUE, B1048:B1145 &gt;= B1046, 0),"")</f>
        <v/>
      </c>
    </row>
    <row r="1048" ht="15.75" customHeight="1">
      <c r="A1048" s="32">
        <f>'EQUITY BACKTEST'!A1051</f>
        <v>43504.66667</v>
      </c>
      <c r="B1048" s="22">
        <f>'EQUITY BACKTEST'!B1051</f>
        <v>2707.88</v>
      </c>
      <c r="C1048" s="22">
        <f>1/'EQUITY BACKTEST'!E1051</f>
        <v>0.8800492828</v>
      </c>
      <c r="D1048" s="22">
        <f t="shared" si="7"/>
        <v>0.5862296293</v>
      </c>
      <c r="E1048" s="22">
        <f t="shared" si="3"/>
        <v>0.0004987936583</v>
      </c>
      <c r="F1048" s="22">
        <f t="shared" si="6"/>
        <v>0.03371953198</v>
      </c>
      <c r="H1048" s="22" t="str">
        <f t="shared" si="4"/>
        <v/>
      </c>
      <c r="I1048" s="22" t="str">
        <f t="shared" si="1"/>
        <v>#N/A</v>
      </c>
      <c r="J1048" s="22" t="str">
        <f t="shared" si="2"/>
        <v>#N/A</v>
      </c>
      <c r="K1048" s="22" t="str">
        <f t="array" ref="K1048">IF(H1048="Crash",MATCH(TRUE, B1049:B1146 &gt;= B1047, 0),"")</f>
        <v/>
      </c>
    </row>
    <row r="1049" ht="15.75" customHeight="1">
      <c r="A1049" s="32">
        <f>'EQUITY BACKTEST'!A1052</f>
        <v>43511.66667</v>
      </c>
      <c r="B1049" s="22">
        <f>'EQUITY BACKTEST'!B1052</f>
        <v>2775.6</v>
      </c>
      <c r="C1049" s="22">
        <f>1/'EQUITY BACKTEST'!E1052</f>
        <v>0.8767315448</v>
      </c>
      <c r="D1049" s="22">
        <f t="shared" si="7"/>
        <v>0.5861320825</v>
      </c>
      <c r="E1049" s="22">
        <f t="shared" si="3"/>
        <v>0.02500849373</v>
      </c>
      <c r="F1049" s="22">
        <f t="shared" si="6"/>
        <v>0.01587719876</v>
      </c>
      <c r="H1049" s="22" t="str">
        <f t="shared" si="4"/>
        <v/>
      </c>
      <c r="I1049" s="22" t="str">
        <f t="shared" si="1"/>
        <v>#N/A</v>
      </c>
      <c r="J1049" s="22" t="str">
        <f t="shared" si="2"/>
        <v>#N/A</v>
      </c>
      <c r="K1049" s="22" t="str">
        <f t="array" ref="K1049">IF(H1049="Crash",MATCH(TRUE, B1050:B1147 &gt;= B1048, 0),"")</f>
        <v/>
      </c>
    </row>
    <row r="1050" ht="15.75" customHeight="1">
      <c r="A1050" s="32">
        <f>'EQUITY BACKTEST'!A1053</f>
        <v>43518.66667</v>
      </c>
      <c r="B1050" s="22">
        <f>'EQUITY BACKTEST'!B1053</f>
        <v>2792.67</v>
      </c>
      <c r="C1050" s="22">
        <f>1/'EQUITY BACKTEST'!E1053</f>
        <v>0.8729050279</v>
      </c>
      <c r="D1050" s="22">
        <f t="shared" si="7"/>
        <v>0.5691947321</v>
      </c>
      <c r="E1050" s="22">
        <f t="shared" si="3"/>
        <v>0.006150021617</v>
      </c>
      <c r="F1050" s="22">
        <f t="shared" si="6"/>
        <v>0.01651439595</v>
      </c>
      <c r="H1050" s="22" t="str">
        <f t="shared" si="4"/>
        <v/>
      </c>
      <c r="I1050" s="22" t="str">
        <f t="shared" si="1"/>
        <v>#N/A</v>
      </c>
      <c r="J1050" s="22" t="str">
        <f t="shared" si="2"/>
        <v>#N/A</v>
      </c>
      <c r="K1050" s="22" t="str">
        <f t="array" ref="K1050">IF(H1050="Crash",MATCH(TRUE, B1051:B1148 &gt;= B1049, 0),"")</f>
        <v/>
      </c>
    </row>
    <row r="1051" ht="15.75" customHeight="1">
      <c r="A1051" s="32">
        <f>'EQUITY BACKTEST'!A1054</f>
        <v>43525.66667</v>
      </c>
      <c r="B1051" s="22">
        <f>'EQUITY BACKTEST'!B1054</f>
        <v>2803.69</v>
      </c>
      <c r="C1051" s="22">
        <f>1/'EQUITY BACKTEST'!E1054</f>
        <v>0.8826904405</v>
      </c>
      <c r="D1051" s="22">
        <f t="shared" si="7"/>
        <v>0.5146363372</v>
      </c>
      <c r="E1051" s="22">
        <f t="shared" si="3"/>
        <v>0.003946044466</v>
      </c>
      <c r="F1051" s="22">
        <f t="shared" si="6"/>
        <v>0.04177984208</v>
      </c>
      <c r="H1051" s="22" t="str">
        <f t="shared" si="4"/>
        <v/>
      </c>
      <c r="I1051" s="22" t="str">
        <f t="shared" si="1"/>
        <v>#N/A</v>
      </c>
      <c r="J1051" s="22" t="str">
        <f t="shared" si="2"/>
        <v>#N/A</v>
      </c>
      <c r="K1051" s="22" t="str">
        <f t="array" ref="K1051">IF(H1051="Crash",MATCH(TRUE, B1052:B1149 &gt;= B1050, 0),"")</f>
        <v/>
      </c>
    </row>
    <row r="1052" ht="15.75" customHeight="1">
      <c r="A1052" s="32">
        <f>'EQUITY BACKTEST'!A1055</f>
        <v>43532.66667</v>
      </c>
      <c r="B1052" s="22">
        <f>'EQUITY BACKTEST'!B1055</f>
        <v>2743.07</v>
      </c>
      <c r="C1052" s="22">
        <f>1/'EQUITY BACKTEST'!E1055</f>
        <v>0.8853474989</v>
      </c>
      <c r="D1052" s="22">
        <f t="shared" si="7"/>
        <v>0.4484101141</v>
      </c>
      <c r="E1052" s="22">
        <f t="shared" si="3"/>
        <v>-0.02162150594</v>
      </c>
      <c r="F1052" s="22">
        <f t="shared" si="6"/>
        <v>-0.01561058936</v>
      </c>
      <c r="H1052" s="22" t="str">
        <f t="shared" si="4"/>
        <v/>
      </c>
      <c r="I1052" s="22" t="str">
        <f t="shared" si="1"/>
        <v>#N/A</v>
      </c>
      <c r="J1052" s="22" t="str">
        <f t="shared" si="2"/>
        <v>#N/A</v>
      </c>
      <c r="K1052" s="22" t="str">
        <f t="array" ref="K1052">IF(H1052="Crash",MATCH(TRUE, B1053:B1150 &gt;= B1051, 0),"")</f>
        <v/>
      </c>
    </row>
    <row r="1053" ht="15.75" customHeight="1">
      <c r="A1053" s="32">
        <f>'EQUITY BACKTEST'!A1056</f>
        <v>43539.66667</v>
      </c>
      <c r="B1053" s="22">
        <f>'EQUITY BACKTEST'!B1056</f>
        <v>2822.48</v>
      </c>
      <c r="C1053" s="22">
        <f>1/'EQUITY BACKTEST'!E1056</f>
        <v>0.8818342152</v>
      </c>
      <c r="D1053" s="22">
        <f t="shared" si="7"/>
        <v>0.3064800324</v>
      </c>
      <c r="E1053" s="22">
        <f t="shared" si="3"/>
        <v>0.02894931591</v>
      </c>
      <c r="F1053" s="22">
        <f t="shared" si="6"/>
        <v>0.02560673835</v>
      </c>
      <c r="H1053" s="22" t="str">
        <f t="shared" si="4"/>
        <v/>
      </c>
      <c r="I1053" s="22" t="str">
        <f t="shared" si="1"/>
        <v>#N/A</v>
      </c>
      <c r="J1053" s="22" t="str">
        <f t="shared" si="2"/>
        <v>#N/A</v>
      </c>
      <c r="K1053" s="22" t="str">
        <f t="array" ref="K1053">IF(H1053="Crash",MATCH(TRUE, B1054:B1151 &gt;= B1052, 0),"")</f>
        <v/>
      </c>
    </row>
    <row r="1054" ht="15.75" customHeight="1">
      <c r="A1054" s="32">
        <f>'EQUITY BACKTEST'!A1057</f>
        <v>43546.66667</v>
      </c>
      <c r="B1054" s="22">
        <f>'EQUITY BACKTEST'!B1057</f>
        <v>2800.71</v>
      </c>
      <c r="C1054" s="22">
        <f>1/'EQUITY BACKTEST'!E1057</f>
        <v>0.8790436006</v>
      </c>
      <c r="D1054" s="22">
        <f t="shared" si="7"/>
        <v>0.1742894297</v>
      </c>
      <c r="E1054" s="22">
        <f t="shared" si="3"/>
        <v>-0.007713075026</v>
      </c>
      <c r="F1054" s="22">
        <f t="shared" si="6"/>
        <v>0.08208217103</v>
      </c>
      <c r="H1054" s="22" t="str">
        <f t="shared" si="4"/>
        <v/>
      </c>
      <c r="I1054" s="22" t="str">
        <f t="shared" si="1"/>
        <v>#N/A</v>
      </c>
      <c r="J1054" s="22" t="str">
        <f t="shared" si="2"/>
        <v>#N/A</v>
      </c>
      <c r="K1054" s="22" t="str">
        <f t="array" ref="K1054">IF(H1054="Crash",MATCH(TRUE, B1055:B1152 &gt;= B1053, 0),"")</f>
        <v/>
      </c>
    </row>
    <row r="1055" ht="15.75" customHeight="1">
      <c r="A1055" s="32">
        <f>'EQUITY BACKTEST'!A1058</f>
        <v>43553.66667</v>
      </c>
      <c r="B1055" s="22">
        <f>'EQUITY BACKTEST'!B1058</f>
        <v>2834.4</v>
      </c>
      <c r="C1055" s="22">
        <f>1/'EQUITY BACKTEST'!E1058</f>
        <v>0.8898380495</v>
      </c>
      <c r="D1055" s="22">
        <f t="shared" si="7"/>
        <v>0.1835670987</v>
      </c>
      <c r="E1055" s="22">
        <f t="shared" si="3"/>
        <v>0.01202909262</v>
      </c>
      <c r="F1055" s="22">
        <f t="shared" si="6"/>
        <v>0.07328266821</v>
      </c>
      <c r="H1055" s="22" t="str">
        <f t="shared" si="4"/>
        <v/>
      </c>
      <c r="I1055" s="22" t="str">
        <f t="shared" si="1"/>
        <v>#N/A</v>
      </c>
      <c r="J1055" s="22" t="str">
        <f t="shared" si="2"/>
        <v>#N/A</v>
      </c>
      <c r="K1055" s="22" t="str">
        <f t="array" ref="K1055">IF(H1055="Crash",MATCH(TRUE, B1056:B1153 &gt;= B1054, 0),"")</f>
        <v/>
      </c>
    </row>
    <row r="1056" ht="15.75" customHeight="1">
      <c r="A1056" s="32">
        <f>'EQUITY BACKTEST'!A1059</f>
        <v>43560.66667</v>
      </c>
      <c r="B1056" s="22">
        <f>'EQUITY BACKTEST'!B1059</f>
        <v>2892.74</v>
      </c>
      <c r="C1056" s="22">
        <f>1/'EQUITY BACKTEST'!E1059</f>
        <v>0.8816787163</v>
      </c>
      <c r="D1056" s="22">
        <f t="shared" si="7"/>
        <v>0.1635086294</v>
      </c>
      <c r="E1056" s="22">
        <f t="shared" si="3"/>
        <v>0.0205828394</v>
      </c>
      <c r="F1056" s="22">
        <f t="shared" si="6"/>
        <v>0.1106827877</v>
      </c>
      <c r="H1056" s="22" t="str">
        <f t="shared" si="4"/>
        <v/>
      </c>
      <c r="I1056" s="22" t="str">
        <f t="shared" si="1"/>
        <v>#N/A</v>
      </c>
      <c r="J1056" s="22" t="str">
        <f t="shared" si="2"/>
        <v>#N/A</v>
      </c>
      <c r="K1056" s="22" t="str">
        <f t="array" ref="K1056">IF(H1056="Crash",MATCH(TRUE, B1057:B1154 &gt;= B1055, 0),"")</f>
        <v/>
      </c>
    </row>
    <row r="1057" ht="15.75" customHeight="1">
      <c r="A1057" s="32">
        <f>'EQUITY BACKTEST'!A1060</f>
        <v>43567.66667</v>
      </c>
      <c r="B1057" s="22">
        <f>'EQUITY BACKTEST'!B1060</f>
        <v>2907.41</v>
      </c>
      <c r="C1057" s="22">
        <f>1/'EQUITY BACKTEST'!E1060</f>
        <v>0.8839388314</v>
      </c>
      <c r="D1057" s="22">
        <f t="shared" si="7"/>
        <v>0.08652125399</v>
      </c>
      <c r="E1057" s="22">
        <f t="shared" si="3"/>
        <v>0.005071316468</v>
      </c>
      <c r="F1057" s="22">
        <f t="shared" si="6"/>
        <v>0.09453374995</v>
      </c>
      <c r="H1057" s="22" t="str">
        <f t="shared" si="4"/>
        <v/>
      </c>
      <c r="I1057" s="22" t="str">
        <f t="shared" si="1"/>
        <v>#N/A</v>
      </c>
      <c r="J1057" s="22" t="str">
        <f t="shared" si="2"/>
        <v>#N/A</v>
      </c>
      <c r="K1057" s="22" t="str">
        <f t="array" ref="K1057">IF(H1057="Crash",MATCH(TRUE, B1058:B1155 &gt;= B1056, 0),"")</f>
        <v/>
      </c>
    </row>
    <row r="1058" ht="15.75" customHeight="1">
      <c r="A1058" s="32">
        <f>'EQUITY BACKTEST'!A1061</f>
        <v>43573.66667</v>
      </c>
      <c r="B1058" s="22">
        <f>'EQUITY BACKTEST'!B1061</f>
        <v>2905.03</v>
      </c>
      <c r="C1058" s="22">
        <f>1/'EQUITY BACKTEST'!E1061</f>
        <v>0.8904719501</v>
      </c>
      <c r="D1058" s="22">
        <f t="shared" si="7"/>
        <v>0.08043519214</v>
      </c>
      <c r="E1058" s="22">
        <f t="shared" si="3"/>
        <v>-0.0008185979962</v>
      </c>
      <c r="F1058" s="22">
        <f t="shared" si="6"/>
        <v>0.08796917016</v>
      </c>
      <c r="H1058" s="22" t="str">
        <f t="shared" si="4"/>
        <v/>
      </c>
      <c r="I1058" s="22" t="str">
        <f t="shared" si="1"/>
        <v>#N/A</v>
      </c>
      <c r="J1058" s="22" t="str">
        <f t="shared" si="2"/>
        <v>#N/A</v>
      </c>
      <c r="K1058" s="22" t="str">
        <f t="array" ref="K1058">IF(H1058="Crash",MATCH(TRUE, B1059:B1156 &gt;= B1057, 0),"")</f>
        <v/>
      </c>
    </row>
    <row r="1059" ht="15.75" customHeight="1">
      <c r="A1059" s="32">
        <f>'EQUITY BACKTEST'!A1062</f>
        <v>43581.66667</v>
      </c>
      <c r="B1059" s="22">
        <f>'EQUITY BACKTEST'!B1062</f>
        <v>2939.88</v>
      </c>
      <c r="C1059" s="22">
        <f>1/'EQUITY BACKTEST'!E1062</f>
        <v>0.8904719501</v>
      </c>
      <c r="D1059" s="22">
        <f t="shared" si="7"/>
        <v>0.03715469702</v>
      </c>
      <c r="E1059" s="22">
        <f t="shared" si="3"/>
        <v>0.01199643377</v>
      </c>
      <c r="F1059" s="22">
        <f t="shared" si="6"/>
        <v>0.1011157679</v>
      </c>
      <c r="H1059" s="22" t="str">
        <f t="shared" si="4"/>
        <v/>
      </c>
      <c r="I1059" s="22" t="str">
        <f t="shared" si="1"/>
        <v>#N/A</v>
      </c>
      <c r="J1059" s="22" t="str">
        <f t="shared" si="2"/>
        <v>#N/A</v>
      </c>
      <c r="K1059" s="22" t="str">
        <f t="array" ref="K1059">IF(H1059="Crash",MATCH(TRUE, B1060:B1157 &gt;= B1058, 0),"")</f>
        <v/>
      </c>
    </row>
    <row r="1060" ht="15.75" customHeight="1">
      <c r="A1060" s="32">
        <f>'EQUITY BACKTEST'!A1063</f>
        <v>43588.66667</v>
      </c>
      <c r="B1060" s="22">
        <f>'EQUITY BACKTEST'!B1063</f>
        <v>2945.64</v>
      </c>
      <c r="C1060" s="22">
        <f>1/'EQUITY BACKTEST'!E1063</f>
        <v>0.8835483301</v>
      </c>
      <c r="D1060" s="22">
        <f t="shared" si="7"/>
        <v>0.01453137023</v>
      </c>
      <c r="E1060" s="22">
        <f t="shared" si="3"/>
        <v>0.001959263643</v>
      </c>
      <c r="F1060" s="22">
        <f t="shared" si="6"/>
        <v>0.1059615081</v>
      </c>
      <c r="H1060" s="22" t="str">
        <f t="shared" si="4"/>
        <v/>
      </c>
      <c r="I1060" s="22" t="str">
        <f t="shared" si="1"/>
        <v>#N/A</v>
      </c>
      <c r="J1060" s="22" t="str">
        <f t="shared" si="2"/>
        <v>#N/A</v>
      </c>
      <c r="K1060" s="22" t="str">
        <f t="array" ref="K1060">IF(H1060="Crash",MATCH(TRUE, B1061:B1158 &gt;= B1059, 0),"")</f>
        <v/>
      </c>
    </row>
    <row r="1061" ht="15.75" customHeight="1">
      <c r="A1061" s="32">
        <f>'EQUITY BACKTEST'!A1064</f>
        <v>43595.66667</v>
      </c>
      <c r="B1061" s="22">
        <f>'EQUITY BACKTEST'!B1064</f>
        <v>2881.4</v>
      </c>
      <c r="C1061" s="22">
        <f>1/'EQUITY BACKTEST'!E1064</f>
        <v>0.8893632159</v>
      </c>
      <c r="D1061" s="22">
        <f t="shared" si="7"/>
        <v>0.0003096637476</v>
      </c>
      <c r="E1061" s="22">
        <f t="shared" si="3"/>
        <v>-0.02180850342</v>
      </c>
      <c r="F1061" s="22">
        <f t="shared" si="6"/>
        <v>0.05634009356</v>
      </c>
      <c r="H1061" s="22" t="str">
        <f t="shared" si="4"/>
        <v/>
      </c>
      <c r="I1061" s="22" t="str">
        <f t="shared" si="1"/>
        <v>#N/A</v>
      </c>
      <c r="J1061" s="22" t="str">
        <f t="shared" si="2"/>
        <v>#N/A</v>
      </c>
      <c r="K1061" s="22" t="str">
        <f t="array" ref="K1061">IF(H1061="Crash",MATCH(TRUE, B1062:B1159 &gt;= B1060, 0),"")</f>
        <v/>
      </c>
    </row>
    <row r="1062" ht="15.75" customHeight="1">
      <c r="A1062" s="32">
        <f>'EQUITY BACKTEST'!A1065</f>
        <v>43602.66667</v>
      </c>
      <c r="B1062" s="22">
        <f>'EQUITY BACKTEST'!B1065</f>
        <v>2859.53</v>
      </c>
      <c r="C1062" s="22">
        <f>1/'EQUITY BACKTEST'!E1065</f>
        <v>0.897827258</v>
      </c>
      <c r="D1062" s="22">
        <f t="shared" si="7"/>
        <v>-0.03060970821</v>
      </c>
      <c r="E1062" s="22">
        <f t="shared" si="3"/>
        <v>-0.007590060387</v>
      </c>
      <c r="F1062" s="22">
        <f t="shared" si="6"/>
        <v>0.05402197592</v>
      </c>
      <c r="H1062" s="22" t="str">
        <f t="shared" si="4"/>
        <v/>
      </c>
      <c r="I1062" s="22" t="str">
        <f t="shared" si="1"/>
        <v>#N/A</v>
      </c>
      <c r="J1062" s="22" t="str">
        <f t="shared" si="2"/>
        <v>#N/A</v>
      </c>
      <c r="K1062" s="22" t="str">
        <f t="array" ref="K1062">IF(H1062="Crash",MATCH(TRUE, B1063:B1160 &gt;= B1061, 0),"")</f>
        <v/>
      </c>
    </row>
    <row r="1063" ht="15.75" customHeight="1">
      <c r="A1063" s="32">
        <f>'EQUITY BACKTEST'!A1066</f>
        <v>43609.66667</v>
      </c>
      <c r="B1063" s="22">
        <f>'EQUITY BACKTEST'!B1066</f>
        <v>2826.06</v>
      </c>
      <c r="C1063" s="22">
        <f>1/'EQUITY BACKTEST'!E1066</f>
        <v>0.8920606601</v>
      </c>
      <c r="D1063" s="22">
        <f t="shared" si="7"/>
        <v>-0.03404396067</v>
      </c>
      <c r="E1063" s="22">
        <f t="shared" si="3"/>
        <v>-0.01170472071</v>
      </c>
      <c r="F1063" s="22">
        <f t="shared" si="6"/>
        <v>0.03848485851</v>
      </c>
      <c r="H1063" s="22" t="str">
        <f t="shared" si="4"/>
        <v/>
      </c>
      <c r="I1063" s="22" t="str">
        <f t="shared" si="1"/>
        <v>#N/A</v>
      </c>
      <c r="J1063" s="22" t="str">
        <f t="shared" si="2"/>
        <v>#N/A</v>
      </c>
      <c r="K1063" s="22" t="str">
        <f t="array" ref="K1063">IF(H1063="Crash",MATCH(TRUE, B1064:B1161 &gt;= B1062, 0),"")</f>
        <v/>
      </c>
    </row>
    <row r="1064" ht="15.75" customHeight="1">
      <c r="A1064" s="32">
        <f>'EQUITY BACKTEST'!A1067</f>
        <v>43616.66667</v>
      </c>
      <c r="B1064" s="22">
        <f>'EQUITY BACKTEST'!B1067</f>
        <v>2752.06</v>
      </c>
      <c r="C1064" s="22">
        <f>1/'EQUITY BACKTEST'!E1067</f>
        <v>0.8904719501</v>
      </c>
      <c r="D1064" s="22">
        <f t="shared" si="7"/>
        <v>-0.04161598691</v>
      </c>
      <c r="E1064" s="22">
        <f t="shared" si="3"/>
        <v>-0.02618486515</v>
      </c>
      <c r="F1064" s="22">
        <f t="shared" si="6"/>
        <v>0.00637748572</v>
      </c>
      <c r="H1064" s="22" t="str">
        <f t="shared" si="4"/>
        <v/>
      </c>
      <c r="I1064" s="22" t="str">
        <f t="shared" si="1"/>
        <v>#N/A</v>
      </c>
      <c r="J1064" s="22" t="str">
        <f t="shared" si="2"/>
        <v>#N/A</v>
      </c>
      <c r="K1064" s="22" t="str">
        <f t="array" ref="K1064">IF(H1064="Crash",MATCH(TRUE, B1065:B1162 &gt;= B1063, 0),"")</f>
        <v/>
      </c>
    </row>
    <row r="1065" ht="15.75" customHeight="1">
      <c r="A1065" s="32">
        <f>'EQUITY BACKTEST'!A1068</f>
        <v>43623.66667</v>
      </c>
      <c r="B1065" s="22">
        <f>'EQUITY BACKTEST'!B1068</f>
        <v>2873.34</v>
      </c>
      <c r="C1065" s="22">
        <f>1/'EQUITY BACKTEST'!E1068</f>
        <v>0.8956560681</v>
      </c>
      <c r="D1065" s="22">
        <f t="shared" si="7"/>
        <v>-0.02731141152</v>
      </c>
      <c r="E1065" s="22">
        <f t="shared" si="3"/>
        <v>0.04406880664</v>
      </c>
      <c r="F1065" s="22">
        <f t="shared" si="6"/>
        <v>0.03393630152</v>
      </c>
      <c r="H1065" s="22" t="str">
        <f t="shared" si="4"/>
        <v/>
      </c>
      <c r="I1065" s="22" t="str">
        <f t="shared" si="1"/>
        <v>#N/A</v>
      </c>
      <c r="J1065" s="22" t="str">
        <f t="shared" si="2"/>
        <v>#N/A</v>
      </c>
      <c r="K1065" s="22" t="str">
        <f t="array" ref="K1065">IF(H1065="Crash",MATCH(TRUE, B1066:B1163 &gt;= B1064, 0),"")</f>
        <v/>
      </c>
    </row>
    <row r="1066" ht="15.75" customHeight="1">
      <c r="A1066" s="32">
        <f>'EQUITY BACKTEST'!A1069</f>
        <v>43630.66667</v>
      </c>
      <c r="B1066" s="22">
        <f>'EQUITY BACKTEST'!B1069</f>
        <v>2886.98</v>
      </c>
      <c r="C1066" s="22">
        <f>1/'EQUITY BACKTEST'!E1069</f>
        <v>0.8926977325</v>
      </c>
      <c r="D1066" s="22">
        <f t="shared" si="7"/>
        <v>-0.0290831378</v>
      </c>
      <c r="E1066" s="22">
        <f t="shared" si="3"/>
        <v>0.004747088754</v>
      </c>
      <c r="F1066" s="22">
        <f t="shared" si="6"/>
        <v>0.03860903852</v>
      </c>
      <c r="H1066" s="22" t="str">
        <f t="shared" si="4"/>
        <v/>
      </c>
      <c r="I1066" s="22" t="str">
        <f t="shared" si="1"/>
        <v>#N/A</v>
      </c>
      <c r="J1066" s="22" t="str">
        <f t="shared" si="2"/>
        <v>#N/A</v>
      </c>
      <c r="K1066" s="22" t="str">
        <f t="array" ref="K1066">IF(H1066="Crash",MATCH(TRUE, B1067:B1164 &gt;= B1065, 0),"")</f>
        <v/>
      </c>
    </row>
    <row r="1067" ht="15.75" customHeight="1">
      <c r="A1067" s="32">
        <f>'EQUITY BACKTEST'!A1070</f>
        <v>43637.66667</v>
      </c>
      <c r="B1067" s="22">
        <f>'EQUITY BACKTEST'!B1070</f>
        <v>2950.46</v>
      </c>
      <c r="C1067" s="22">
        <f>1/'EQUITY BACKTEST'!E1070</f>
        <v>0.8931761343</v>
      </c>
      <c r="D1067" s="22">
        <f t="shared" si="7"/>
        <v>-0.03947869926</v>
      </c>
      <c r="E1067" s="22">
        <f t="shared" si="3"/>
        <v>0.0219883754</v>
      </c>
      <c r="F1067" s="22">
        <f t="shared" si="6"/>
        <v>0.07099401789</v>
      </c>
      <c r="H1067" s="22" t="str">
        <f t="shared" si="4"/>
        <v/>
      </c>
      <c r="I1067" s="22" t="str">
        <f t="shared" si="1"/>
        <v>#N/A</v>
      </c>
      <c r="J1067" s="22" t="str">
        <f t="shared" si="2"/>
        <v>#N/A</v>
      </c>
      <c r="K1067" s="22" t="str">
        <f t="array" ref="K1067">IF(H1067="Crash",MATCH(TRUE, B1068:B1165 &gt;= B1066, 0),"")</f>
        <v/>
      </c>
    </row>
    <row r="1068" ht="15.75" customHeight="1">
      <c r="A1068" s="32">
        <f>'EQUITY BACKTEST'!A1071</f>
        <v>43644.66667</v>
      </c>
      <c r="B1068" s="22">
        <f>'EQUITY BACKTEST'!B1071</f>
        <v>2941.76</v>
      </c>
      <c r="C1068" s="22">
        <f>1/'EQUITY BACKTEST'!E1071</f>
        <v>0.8819119852</v>
      </c>
      <c r="D1068" s="22">
        <f t="shared" si="7"/>
        <v>-0.04326492699</v>
      </c>
      <c r="E1068" s="22">
        <f t="shared" si="3"/>
        <v>-0.002948692746</v>
      </c>
      <c r="F1068" s="22">
        <f t="shared" si="6"/>
        <v>0.0821779228</v>
      </c>
      <c r="H1068" s="22" t="str">
        <f t="shared" si="4"/>
        <v/>
      </c>
      <c r="I1068" s="22" t="str">
        <f t="shared" si="1"/>
        <v>#N/A</v>
      </c>
      <c r="J1068" s="22" t="str">
        <f t="shared" si="2"/>
        <v>#N/A</v>
      </c>
      <c r="K1068" s="22" t="str">
        <f t="array" ref="K1068">IF(H1068="Crash",MATCH(TRUE, B1069:B1166 &gt;= B1067, 0),"")</f>
        <v/>
      </c>
    </row>
    <row r="1069" ht="15.75" customHeight="1">
      <c r="A1069" s="32">
        <f>'EQUITY BACKTEST'!A1072</f>
        <v>43651.66667</v>
      </c>
      <c r="B1069" s="22">
        <f>'EQUITY BACKTEST'!B1072</f>
        <v>2990.41</v>
      </c>
      <c r="C1069" s="22">
        <f>1/'EQUITY BACKTEST'!E1072</f>
        <v>0.890154887</v>
      </c>
      <c r="D1069" s="22">
        <f t="shared" si="7"/>
        <v>-0.06741894033</v>
      </c>
      <c r="E1069" s="22">
        <f t="shared" si="3"/>
        <v>0.01653771892</v>
      </c>
      <c r="F1069" s="22">
        <f t="shared" si="6"/>
        <v>0.08355255053</v>
      </c>
      <c r="H1069" s="22" t="str">
        <f t="shared" si="4"/>
        <v/>
      </c>
      <c r="I1069" s="22" t="str">
        <f t="shared" si="1"/>
        <v>#N/A</v>
      </c>
      <c r="J1069" s="22" t="str">
        <f t="shared" si="2"/>
        <v>#N/A</v>
      </c>
      <c r="K1069" s="22" t="str">
        <f t="array" ref="K1069">IF(H1069="Crash",MATCH(TRUE, B1070:B1167 &gt;= B1068, 0),"")</f>
        <v/>
      </c>
    </row>
    <row r="1070" ht="15.75" customHeight="1">
      <c r="A1070" s="32">
        <f>'EQUITY BACKTEST'!A1073</f>
        <v>43658.66667</v>
      </c>
      <c r="B1070" s="22">
        <f>'EQUITY BACKTEST'!B1073</f>
        <v>3013.77</v>
      </c>
      <c r="C1070" s="22">
        <f>1/'EQUITY BACKTEST'!E1073</f>
        <v>0.8777319407</v>
      </c>
      <c r="D1070" s="22">
        <f t="shared" si="7"/>
        <v>-0.08007951146</v>
      </c>
      <c r="E1070" s="22">
        <f t="shared" si="3"/>
        <v>0.007811637869</v>
      </c>
      <c r="F1070" s="22">
        <f t="shared" si="6"/>
        <v>0.0758430877</v>
      </c>
      <c r="H1070" s="22" t="str">
        <f t="shared" si="4"/>
        <v/>
      </c>
      <c r="I1070" s="22" t="str">
        <f t="shared" si="1"/>
        <v>#N/A</v>
      </c>
      <c r="J1070" s="22" t="str">
        <f t="shared" si="2"/>
        <v>#N/A</v>
      </c>
      <c r="K1070" s="22" t="str">
        <f t="array" ref="K1070">IF(H1070="Crash",MATCH(TRUE, B1071:B1168 &gt;= B1069, 0),"")</f>
        <v/>
      </c>
    </row>
    <row r="1071" ht="15.75" customHeight="1">
      <c r="A1071" s="32">
        <f>'EQUITY BACKTEST'!A1074</f>
        <v>43665.66667</v>
      </c>
      <c r="B1071" s="22">
        <f>'EQUITY BACKTEST'!B1074</f>
        <v>2976.61</v>
      </c>
      <c r="C1071" s="22">
        <f>1/'EQUITY BACKTEST'!E1074</f>
        <v>0.8781944322</v>
      </c>
      <c r="D1071" s="22">
        <f t="shared" si="7"/>
        <v>-0.1013737733</v>
      </c>
      <c r="E1071" s="22">
        <f t="shared" si="3"/>
        <v>-0.01233007164</v>
      </c>
      <c r="F1071" s="22">
        <f t="shared" si="6"/>
        <v>0.06238065836</v>
      </c>
      <c r="H1071" s="22" t="str">
        <f t="shared" si="4"/>
        <v/>
      </c>
      <c r="I1071" s="22" t="str">
        <f t="shared" si="1"/>
        <v>#N/A</v>
      </c>
      <c r="J1071" s="22" t="str">
        <f t="shared" si="2"/>
        <v>#N/A</v>
      </c>
      <c r="K1071" s="22" t="str">
        <f t="array" ref="K1071">IF(H1071="Crash",MATCH(TRUE, B1072:B1169 &gt;= B1070, 0),"")</f>
        <v/>
      </c>
    </row>
    <row r="1072" ht="15.75" customHeight="1">
      <c r="A1072" s="32">
        <f>'EQUITY BACKTEST'!A1075</f>
        <v>43672.66667</v>
      </c>
      <c r="B1072" s="22">
        <f>'EQUITY BACKTEST'!B1075</f>
        <v>3025.86</v>
      </c>
      <c r="C1072" s="22">
        <f>1/'EQUITY BACKTEST'!E1075</f>
        <v>0.8904719501</v>
      </c>
      <c r="D1072" s="22">
        <f t="shared" si="7"/>
        <v>-0.1337365757</v>
      </c>
      <c r="E1072" s="22">
        <f t="shared" si="3"/>
        <v>0.01654566772</v>
      </c>
      <c r="F1072" s="22">
        <f t="shared" si="6"/>
        <v>0.07344917377</v>
      </c>
      <c r="H1072" s="22" t="str">
        <f t="shared" si="4"/>
        <v/>
      </c>
      <c r="I1072" s="22" t="str">
        <f t="shared" si="1"/>
        <v>#N/A</v>
      </c>
      <c r="J1072" s="22" t="str">
        <f t="shared" si="2"/>
        <v>#N/A</v>
      </c>
      <c r="K1072" s="22" t="str">
        <f t="array" ref="K1072">IF(H1072="Crash",MATCH(TRUE, B1073:B1170 &gt;= B1071, 0),"")</f>
        <v/>
      </c>
    </row>
    <row r="1073" ht="15.75" customHeight="1">
      <c r="A1073" s="32">
        <f>'EQUITY BACKTEST'!A1076</f>
        <v>43679.66667</v>
      </c>
      <c r="B1073" s="22">
        <f>'EQUITY BACKTEST'!B1076</f>
        <v>2932.05</v>
      </c>
      <c r="C1073" s="22">
        <f>1/'EQUITY BACKTEST'!E1076</f>
        <v>0.8861320337</v>
      </c>
      <c r="D1073" s="22">
        <f t="shared" si="7"/>
        <v>-0.1647684731</v>
      </c>
      <c r="E1073" s="22">
        <f t="shared" si="3"/>
        <v>-0.03100275624</v>
      </c>
      <c r="F1073" s="22">
        <f t="shared" si="6"/>
        <v>0.03228475364</v>
      </c>
      <c r="H1073" s="22" t="str">
        <f t="shared" si="4"/>
        <v/>
      </c>
      <c r="I1073" s="22" t="str">
        <f t="shared" si="1"/>
        <v>#N/A</v>
      </c>
      <c r="J1073" s="22" t="str">
        <f t="shared" si="2"/>
        <v>#N/A</v>
      </c>
      <c r="K1073" s="22" t="str">
        <f t="array" ref="K1073">IF(H1073="Crash",MATCH(TRUE, B1074:B1171 &gt;= B1072, 0),"")</f>
        <v/>
      </c>
    </row>
    <row r="1074" ht="15.75" customHeight="1">
      <c r="A1074" s="32">
        <f>'EQUITY BACKTEST'!A1077</f>
        <v>43686.66667</v>
      </c>
      <c r="B1074" s="22">
        <f>'EQUITY BACKTEST'!B1077</f>
        <v>2918.65</v>
      </c>
      <c r="C1074" s="22">
        <f>1/'EQUITY BACKTEST'!E1077</f>
        <v>0.8907892393</v>
      </c>
      <c r="D1074" s="22">
        <f t="shared" si="7"/>
        <v>-0.2334432527</v>
      </c>
      <c r="E1074" s="22">
        <f t="shared" si="3"/>
        <v>-0.004570181272</v>
      </c>
      <c r="F1074" s="22">
        <f t="shared" si="6"/>
        <v>0.03013115541</v>
      </c>
      <c r="H1074" s="22" t="str">
        <f t="shared" si="4"/>
        <v/>
      </c>
      <c r="I1074" s="22" t="str">
        <f t="shared" si="1"/>
        <v>#N/A</v>
      </c>
      <c r="J1074" s="22" t="str">
        <f t="shared" si="2"/>
        <v>#N/A</v>
      </c>
      <c r="K1074" s="22" t="str">
        <f t="array" ref="K1074">IF(H1074="Crash",MATCH(TRUE, B1075:B1172 &gt;= B1073, 0),"")</f>
        <v/>
      </c>
    </row>
    <row r="1075" ht="15.75" customHeight="1">
      <c r="A1075" s="32">
        <f>'EQUITY BACKTEST'!A1078</f>
        <v>43693.66667</v>
      </c>
      <c r="B1075" s="22">
        <f>'EQUITY BACKTEST'!B1078</f>
        <v>2888.68</v>
      </c>
      <c r="C1075" s="22">
        <f>1/'EQUITY BACKTEST'!E1078</f>
        <v>0.8972633468</v>
      </c>
      <c r="D1075" s="22">
        <f t="shared" si="7"/>
        <v>-0.3094539757</v>
      </c>
      <c r="E1075" s="22">
        <f t="shared" si="3"/>
        <v>-0.01026844603</v>
      </c>
      <c r="F1075" s="22">
        <f t="shared" si="6"/>
        <v>0.01352569883</v>
      </c>
      <c r="H1075" s="22" t="str">
        <f t="shared" si="4"/>
        <v/>
      </c>
      <c r="I1075" s="22" t="str">
        <f t="shared" si="1"/>
        <v>#N/A</v>
      </c>
      <c r="J1075" s="22" t="str">
        <f t="shared" si="2"/>
        <v>#N/A</v>
      </c>
      <c r="K1075" s="22" t="str">
        <f t="array" ref="K1075">IF(H1075="Crash",MATCH(TRUE, B1076:B1173 &gt;= B1074, 0),"")</f>
        <v/>
      </c>
    </row>
    <row r="1076" ht="15.75" customHeight="1">
      <c r="A1076" s="32">
        <f>'EQUITY BACKTEST'!A1079</f>
        <v>43700.66667</v>
      </c>
      <c r="B1076" s="22">
        <f>'EQUITY BACKTEST'!B1079</f>
        <v>2847.11</v>
      </c>
      <c r="C1076" s="22">
        <f>1/'EQUITY BACKTEST'!E1079</f>
        <v>0.8987148378</v>
      </c>
      <c r="D1076" s="22">
        <f t="shared" si="7"/>
        <v>-0.3723098512</v>
      </c>
      <c r="E1076" s="22">
        <f t="shared" si="3"/>
        <v>-0.01439065594</v>
      </c>
      <c r="F1076" s="22">
        <f t="shared" si="6"/>
        <v>-0.00959407797</v>
      </c>
      <c r="H1076" s="22" t="str">
        <f t="shared" si="4"/>
        <v/>
      </c>
      <c r="I1076" s="22" t="str">
        <f t="shared" si="1"/>
        <v>#N/A</v>
      </c>
      <c r="J1076" s="22" t="str">
        <f t="shared" si="2"/>
        <v>#N/A</v>
      </c>
      <c r="K1076" s="22" t="str">
        <f t="array" ref="K1076">IF(H1076="Crash",MATCH(TRUE, B1077:B1174 &gt;= B1075, 0),"")</f>
        <v/>
      </c>
    </row>
    <row r="1077" ht="15.75" customHeight="1">
      <c r="A1077" s="32">
        <f>'EQUITY BACKTEST'!A1080</f>
        <v>43707.66667</v>
      </c>
      <c r="B1077" s="22">
        <f>'EQUITY BACKTEST'!B1080</f>
        <v>2926.46</v>
      </c>
      <c r="C1077" s="22">
        <f>1/'EQUITY BACKTEST'!E1080</f>
        <v>0.8842514811</v>
      </c>
      <c r="D1077" s="22">
        <f t="shared" si="7"/>
        <v>-0.4431929209</v>
      </c>
      <c r="E1077" s="22">
        <f t="shared" si="3"/>
        <v>0.02787036679</v>
      </c>
      <c r="F1077" s="22">
        <f t="shared" si="6"/>
        <v>0.008595494775</v>
      </c>
      <c r="H1077" s="22" t="str">
        <f t="shared" si="4"/>
        <v/>
      </c>
      <c r="I1077" s="22" t="str">
        <f t="shared" si="1"/>
        <v>#N/A</v>
      </c>
      <c r="J1077" s="22" t="str">
        <f t="shared" si="2"/>
        <v>#N/A</v>
      </c>
      <c r="K1077" s="22" t="str">
        <f t="array" ref="K1077">IF(H1077="Crash",MATCH(TRUE, B1078:B1175 &gt;= B1076, 0),"")</f>
        <v/>
      </c>
    </row>
    <row r="1078" ht="15.75" customHeight="1">
      <c r="A1078" s="32">
        <f>'EQUITY BACKTEST'!A1081</f>
        <v>43714.66667</v>
      </c>
      <c r="B1078" s="22">
        <f>'EQUITY BACKTEST'!B1081</f>
        <v>2978.71</v>
      </c>
      <c r="C1078" s="22">
        <f>1/'EQUITY BACKTEST'!E1081</f>
        <v>0.9014693951</v>
      </c>
      <c r="D1078" s="22">
        <f t="shared" si="7"/>
        <v>-0.4951665597</v>
      </c>
      <c r="E1078" s="22">
        <f t="shared" si="3"/>
        <v>0.01785433596</v>
      </c>
      <c r="F1078" s="22">
        <f t="shared" si="6"/>
        <v>0.03727086583</v>
      </c>
      <c r="H1078" s="22" t="str">
        <f t="shared" si="4"/>
        <v/>
      </c>
      <c r="I1078" s="22" t="str">
        <f t="shared" si="1"/>
        <v>#N/A</v>
      </c>
      <c r="J1078" s="22" t="str">
        <f t="shared" si="2"/>
        <v>#N/A</v>
      </c>
      <c r="K1078" s="22" t="str">
        <f t="array" ref="K1078">IF(H1078="Crash",MATCH(TRUE, B1079:B1176 &gt;= B1077, 0),"")</f>
        <v/>
      </c>
    </row>
    <row r="1079" ht="15.75" customHeight="1">
      <c r="A1079" s="32">
        <f>'EQUITY BACKTEST'!A1082</f>
        <v>43721.66667</v>
      </c>
      <c r="B1079" s="22">
        <f>'EQUITY BACKTEST'!B1082</f>
        <v>3007.39</v>
      </c>
      <c r="C1079" s="22">
        <f>1/'EQUITY BACKTEST'!E1082</f>
        <v>0.8902341316</v>
      </c>
      <c r="D1079" s="22">
        <f t="shared" si="7"/>
        <v>-0.5107260206</v>
      </c>
      <c r="E1079" s="22">
        <f t="shared" si="3"/>
        <v>0.009628329042</v>
      </c>
      <c r="F1079" s="22">
        <f t="shared" si="6"/>
        <v>0.03525325476</v>
      </c>
      <c r="H1079" s="22" t="str">
        <f t="shared" si="4"/>
        <v/>
      </c>
      <c r="I1079" s="22" t="str">
        <f t="shared" si="1"/>
        <v>#N/A</v>
      </c>
      <c r="J1079" s="22" t="str">
        <f t="shared" si="2"/>
        <v>#N/A</v>
      </c>
      <c r="K1079" s="22" t="str">
        <f t="array" ref="K1079">IF(H1079="Crash",MATCH(TRUE, B1080:B1177 &gt;= B1078, 0),"")</f>
        <v/>
      </c>
    </row>
    <row r="1080" ht="15.75" customHeight="1">
      <c r="A1080" s="32">
        <f>'EQUITY BACKTEST'!A1083</f>
        <v>43728.66667</v>
      </c>
      <c r="B1080" s="22">
        <f>'EQUITY BACKTEST'!B1083</f>
        <v>2992.07</v>
      </c>
      <c r="C1080" s="22">
        <f>1/'EQUITY BACKTEST'!E1083</f>
        <v>0.9083477155</v>
      </c>
      <c r="D1080" s="22">
        <f t="shared" si="7"/>
        <v>-0.5227275738</v>
      </c>
      <c r="E1080" s="22">
        <f t="shared" si="3"/>
        <v>-0.005094118156</v>
      </c>
      <c r="F1080" s="22">
        <f t="shared" si="6"/>
        <v>0.02129932723</v>
      </c>
      <c r="H1080" s="22" t="str">
        <f t="shared" si="4"/>
        <v/>
      </c>
      <c r="I1080" s="22" t="str">
        <f t="shared" si="1"/>
        <v>#N/A</v>
      </c>
      <c r="J1080" s="22" t="str">
        <f t="shared" si="2"/>
        <v>#N/A</v>
      </c>
      <c r="K1080" s="22" t="str">
        <f t="array" ref="K1080">IF(H1080="Crash",MATCH(TRUE, B1081:B1178 &gt;= B1079, 0),"")</f>
        <v/>
      </c>
    </row>
    <row r="1081" ht="15.75" customHeight="1">
      <c r="A1081" s="32">
        <f>'EQUITY BACKTEST'!A1084</f>
        <v>43735.66667</v>
      </c>
      <c r="B1081" s="22">
        <f>'EQUITY BACKTEST'!B1084</f>
        <v>2961.79</v>
      </c>
      <c r="C1081" s="22">
        <f>1/'EQUITY BACKTEST'!E1084</f>
        <v>0.8988764045</v>
      </c>
      <c r="D1081" s="22">
        <f t="shared" si="7"/>
        <v>-0.5272211702</v>
      </c>
      <c r="E1081" s="22">
        <f t="shared" si="3"/>
        <v>-0.01012008409</v>
      </c>
      <c r="F1081" s="22">
        <f t="shared" si="6"/>
        <v>0.0164071133</v>
      </c>
      <c r="H1081" s="22" t="str">
        <f t="shared" si="4"/>
        <v/>
      </c>
      <c r="I1081" s="22" t="str">
        <f t="shared" si="1"/>
        <v>#N/A</v>
      </c>
      <c r="J1081" s="22" t="str">
        <f t="shared" si="2"/>
        <v>#N/A</v>
      </c>
      <c r="K1081" s="22" t="str">
        <f t="array" ref="K1081">IF(H1081="Crash",MATCH(TRUE, B1082:B1179 &gt;= B1080, 0),"")</f>
        <v/>
      </c>
    </row>
    <row r="1082" ht="15.75" customHeight="1">
      <c r="A1082" s="32">
        <f>'EQUITY BACKTEST'!A1085</f>
        <v>43742.66667</v>
      </c>
      <c r="B1082" s="22">
        <f>'EQUITY BACKTEST'!B1085</f>
        <v>2952.01</v>
      </c>
      <c r="C1082" s="22">
        <f>1/'EQUITY BACKTEST'!E1085</f>
        <v>0.896458987</v>
      </c>
      <c r="D1082" s="22">
        <f t="shared" si="7"/>
        <v>-0.5403863702</v>
      </c>
      <c r="E1082" s="22">
        <f t="shared" si="3"/>
        <v>-0.003302057202</v>
      </c>
      <c r="F1082" s="22">
        <f t="shared" si="6"/>
        <v>0.02302491362</v>
      </c>
      <c r="H1082" s="22" t="str">
        <f t="shared" si="4"/>
        <v/>
      </c>
      <c r="I1082" s="22" t="str">
        <f t="shared" si="1"/>
        <v>#N/A</v>
      </c>
      <c r="J1082" s="22" t="str">
        <f t="shared" si="2"/>
        <v>#N/A</v>
      </c>
      <c r="K1082" s="22" t="str">
        <f t="array" ref="K1082">IF(H1082="Crash",MATCH(TRUE, B1083:B1180 &gt;= B1081, 0),"")</f>
        <v/>
      </c>
    </row>
    <row r="1083" ht="15.75" customHeight="1">
      <c r="A1083" s="32">
        <f>'EQUITY BACKTEST'!A1086</f>
        <v>43749.66667</v>
      </c>
      <c r="B1083" s="22">
        <f>'EQUITY BACKTEST'!B1086</f>
        <v>2970.27</v>
      </c>
      <c r="C1083" s="22">
        <f>1/'EQUITY BACKTEST'!E1086</f>
        <v>0.907935355</v>
      </c>
      <c r="D1083" s="22">
        <f t="shared" si="7"/>
        <v>-0.5667034134</v>
      </c>
      <c r="E1083" s="22">
        <f t="shared" si="3"/>
        <v>0.006185615902</v>
      </c>
      <c r="F1083" s="22">
        <f t="shared" si="6"/>
        <v>0.07341180212</v>
      </c>
      <c r="H1083" s="22" t="str">
        <f t="shared" si="4"/>
        <v/>
      </c>
      <c r="I1083" s="22" t="str">
        <f t="shared" si="1"/>
        <v>#N/A</v>
      </c>
      <c r="J1083" s="22" t="str">
        <f t="shared" si="2"/>
        <v>#N/A</v>
      </c>
      <c r="K1083" s="22" t="str">
        <f t="array" ref="K1083">IF(H1083="Crash",MATCH(TRUE, B1084:B1181 &gt;= B1082, 0),"")</f>
        <v/>
      </c>
    </row>
    <row r="1084" ht="15.75" customHeight="1">
      <c r="A1084" s="32">
        <f>'EQUITY BACKTEST'!A1087</f>
        <v>43756.66667</v>
      </c>
      <c r="B1084" s="22">
        <f>'EQUITY BACKTEST'!B1087</f>
        <v>2986.2</v>
      </c>
      <c r="C1084" s="22">
        <f>1/'EQUITY BACKTEST'!E1087</f>
        <v>0.9141603437</v>
      </c>
      <c r="D1084" s="22">
        <f t="shared" si="7"/>
        <v>-0.5804618942</v>
      </c>
      <c r="E1084" s="22">
        <f t="shared" si="3"/>
        <v>0.005363148805</v>
      </c>
      <c r="F1084" s="22">
        <f t="shared" si="6"/>
        <v>0.0789152317</v>
      </c>
      <c r="H1084" s="22" t="str">
        <f t="shared" si="4"/>
        <v/>
      </c>
      <c r="I1084" s="22" t="str">
        <f t="shared" si="1"/>
        <v>#N/A</v>
      </c>
      <c r="J1084" s="22" t="str">
        <f t="shared" si="2"/>
        <v>#N/A</v>
      </c>
      <c r="K1084" s="22" t="str">
        <f t="array" ref="K1084">IF(H1084="Crash",MATCH(TRUE, B1085:B1182 &gt;= B1083, 0),"")</f>
        <v/>
      </c>
    </row>
    <row r="1085" ht="15.75" customHeight="1">
      <c r="A1085" s="32">
        <f>'EQUITY BACKTEST'!A1088</f>
        <v>43763.66667</v>
      </c>
      <c r="B1085" s="22">
        <f>'EQUITY BACKTEST'!B1088</f>
        <v>3022.55</v>
      </c>
      <c r="C1085" s="22">
        <f>1/'EQUITY BACKTEST'!E1088</f>
        <v>0.9109127346</v>
      </c>
      <c r="D1085" s="22">
        <f t="shared" si="7"/>
        <v>-0.5934331638</v>
      </c>
      <c r="E1085" s="22">
        <f t="shared" si="3"/>
        <v>0.01217266091</v>
      </c>
      <c r="F1085" s="22">
        <f t="shared" si="6"/>
        <v>0.1368568731</v>
      </c>
      <c r="H1085" s="22" t="str">
        <f t="shared" si="4"/>
        <v/>
      </c>
      <c r="I1085" s="22" t="str">
        <f t="shared" si="1"/>
        <v>#N/A</v>
      </c>
      <c r="J1085" s="22" t="str">
        <f t="shared" si="2"/>
        <v>#N/A</v>
      </c>
      <c r="K1085" s="22" t="str">
        <f t="array" ref="K1085">IF(H1085="Crash",MATCH(TRUE, B1086:B1183 &gt;= B1084, 0),"")</f>
        <v/>
      </c>
    </row>
    <row r="1086" ht="15.75" customHeight="1">
      <c r="A1086" s="32">
        <f>'EQUITY BACKTEST'!A1089</f>
        <v>43770.66667</v>
      </c>
      <c r="B1086" s="22">
        <f>'EQUITY BACKTEST'!B1089</f>
        <v>3066.91</v>
      </c>
      <c r="C1086" s="22">
        <f>1/'EQUITY BACKTEST'!E1089</f>
        <v>0.9061910976</v>
      </c>
      <c r="D1086" s="22">
        <f t="shared" si="7"/>
        <v>-0.589628947</v>
      </c>
      <c r="E1086" s="22">
        <f t="shared" si="3"/>
        <v>0.01467634944</v>
      </c>
      <c r="F1086" s="22">
        <f t="shared" si="6"/>
        <v>0.1262733836</v>
      </c>
      <c r="H1086" s="22" t="str">
        <f t="shared" si="4"/>
        <v/>
      </c>
      <c r="I1086" s="22" t="str">
        <f t="shared" si="1"/>
        <v>#N/A</v>
      </c>
      <c r="J1086" s="22" t="str">
        <f t="shared" si="2"/>
        <v>#N/A</v>
      </c>
      <c r="K1086" s="22" t="str">
        <f t="array" ref="K1086">IF(H1086="Crash",MATCH(TRUE, B1087:B1184 &gt;= B1085, 0),"")</f>
        <v/>
      </c>
    </row>
    <row r="1087" ht="15.75" customHeight="1">
      <c r="A1087" s="32">
        <f>'EQUITY BACKTEST'!A1090</f>
        <v>43777.66667</v>
      </c>
      <c r="B1087" s="22">
        <f>'EQUITY BACKTEST'!B1090</f>
        <v>3093.08</v>
      </c>
      <c r="C1087" s="22">
        <f>1/'EQUITY BACKTEST'!E1090</f>
        <v>0.8942144326</v>
      </c>
      <c r="D1087" s="22">
        <f t="shared" si="7"/>
        <v>-0.6043032513</v>
      </c>
      <c r="E1087" s="22">
        <f t="shared" si="3"/>
        <v>0.008533018576</v>
      </c>
      <c r="F1087" s="22">
        <f t="shared" si="6"/>
        <v>0.1122146271</v>
      </c>
      <c r="H1087" s="22" t="str">
        <f t="shared" si="4"/>
        <v/>
      </c>
      <c r="I1087" s="22" t="str">
        <f t="shared" si="1"/>
        <v>#N/A</v>
      </c>
      <c r="J1087" s="22" t="str">
        <f t="shared" si="2"/>
        <v>#N/A</v>
      </c>
      <c r="K1087" s="22" t="str">
        <f t="array" ref="K1087">IF(H1087="Crash",MATCH(TRUE, B1088:B1185 &gt;= B1086, 0),"")</f>
        <v/>
      </c>
    </row>
    <row r="1088" ht="15.75" customHeight="1">
      <c r="A1088" s="32">
        <f>'EQUITY BACKTEST'!A1091</f>
        <v>43784.66667</v>
      </c>
      <c r="B1088" s="22">
        <f>'EQUITY BACKTEST'!B1091</f>
        <v>3120.46</v>
      </c>
      <c r="C1088" s="22">
        <f>1/'EQUITY BACKTEST'!E1091</f>
        <v>0.9026085387</v>
      </c>
      <c r="D1088" s="22">
        <f t="shared" si="7"/>
        <v>-0.6249813221</v>
      </c>
      <c r="E1088" s="22">
        <f t="shared" si="3"/>
        <v>0.008852018053</v>
      </c>
      <c r="F1088" s="22">
        <f t="shared" si="6"/>
        <v>0.1404064657</v>
      </c>
      <c r="H1088" s="22" t="str">
        <f t="shared" si="4"/>
        <v/>
      </c>
      <c r="I1088" s="22" t="str">
        <f t="shared" si="1"/>
        <v>#N/A</v>
      </c>
      <c r="J1088" s="22" t="str">
        <f t="shared" si="2"/>
        <v>#N/A</v>
      </c>
      <c r="K1088" s="22" t="str">
        <f t="array" ref="K1088">IF(H1088="Crash",MATCH(TRUE, B1089:B1186 &gt;= B1087, 0),"")</f>
        <v/>
      </c>
    </row>
    <row r="1089" ht="15.75" customHeight="1">
      <c r="A1089" s="32">
        <f>'EQUITY BACKTEST'!A1092</f>
        <v>43791.66667</v>
      </c>
      <c r="B1089" s="22">
        <f>'EQUITY BACKTEST'!B1092</f>
        <v>3110.29</v>
      </c>
      <c r="C1089" s="22">
        <f>1/'EQUITY BACKTEST'!E1092</f>
        <v>0.8955758553</v>
      </c>
      <c r="D1089" s="22">
        <f t="shared" si="7"/>
        <v>-0.6371622608</v>
      </c>
      <c r="E1089" s="22">
        <f t="shared" si="3"/>
        <v>-0.003259134871</v>
      </c>
      <c r="F1089" s="22">
        <f t="shared" si="6"/>
        <v>0.1814697481</v>
      </c>
      <c r="H1089" s="22" t="str">
        <f t="shared" si="4"/>
        <v/>
      </c>
      <c r="I1089" s="22" t="str">
        <f t="shared" si="1"/>
        <v>#N/A</v>
      </c>
      <c r="J1089" s="22" t="str">
        <f t="shared" si="2"/>
        <v>#N/A</v>
      </c>
      <c r="K1089" s="22" t="str">
        <f t="array" ref="K1089">IF(H1089="Crash",MATCH(TRUE, B1090:B1187 &gt;= B1088, 0),"")</f>
        <v/>
      </c>
    </row>
    <row r="1090" ht="15.75" customHeight="1">
      <c r="A1090" s="32">
        <f>'EQUITY BACKTEST'!A1093</f>
        <v>43798.54167</v>
      </c>
      <c r="B1090" s="22">
        <f>'EQUITY BACKTEST'!B1093</f>
        <v>3140.98</v>
      </c>
      <c r="C1090" s="22">
        <f>1/'EQUITY BACKTEST'!E1093</f>
        <v>0.9074739555</v>
      </c>
      <c r="D1090" s="22">
        <f t="shared" si="7"/>
        <v>-0.6556669613</v>
      </c>
      <c r="E1090" s="22">
        <f t="shared" si="3"/>
        <v>0.009867247106</v>
      </c>
      <c r="F1090" s="22">
        <f t="shared" si="6"/>
        <v>0.1379661398</v>
      </c>
      <c r="H1090" s="22" t="str">
        <f t="shared" si="4"/>
        <v/>
      </c>
      <c r="I1090" s="22" t="str">
        <f t="shared" si="1"/>
        <v>#N/A</v>
      </c>
      <c r="J1090" s="22" t="str">
        <f t="shared" si="2"/>
        <v>#N/A</v>
      </c>
      <c r="K1090" s="22" t="str">
        <f t="array" ref="K1090">IF(H1090="Crash",MATCH(TRUE, B1091:B1188 &gt;= B1089, 0),"")</f>
        <v/>
      </c>
    </row>
    <row r="1091" ht="15.75" customHeight="1">
      <c r="A1091" s="32">
        <f>'EQUITY BACKTEST'!A1094</f>
        <v>43805.66667</v>
      </c>
      <c r="B1091" s="22">
        <f>'EQUITY BACKTEST'!B1094</f>
        <v>3145.91</v>
      </c>
      <c r="C1091" s="22">
        <f>1/'EQUITY BACKTEST'!E1094</f>
        <v>0.9049773756</v>
      </c>
      <c r="D1091" s="22">
        <f t="shared" si="7"/>
        <v>-0.6736227675</v>
      </c>
      <c r="E1091" s="22">
        <f t="shared" si="3"/>
        <v>0.001569573827</v>
      </c>
      <c r="F1091" s="22">
        <f t="shared" si="6"/>
        <v>0.1947643064</v>
      </c>
      <c r="H1091" s="22" t="str">
        <f t="shared" si="4"/>
        <v/>
      </c>
      <c r="I1091" s="22" t="str">
        <f t="shared" si="1"/>
        <v>#N/A</v>
      </c>
      <c r="J1091" s="22" t="str">
        <f t="shared" si="2"/>
        <v>#N/A</v>
      </c>
      <c r="K1091" s="22" t="str">
        <f t="array" ref="K1091">IF(H1091="Crash",MATCH(TRUE, B1092:B1189 &gt;= B1090, 0),"")</f>
        <v/>
      </c>
    </row>
    <row r="1092" ht="15.75" customHeight="1">
      <c r="A1092" s="32">
        <f>'EQUITY BACKTEST'!A1095</f>
        <v>43812.66667</v>
      </c>
      <c r="B1092" s="22">
        <f>'EQUITY BACKTEST'!B1095</f>
        <v>3168.8</v>
      </c>
      <c r="C1092" s="22">
        <f>1/'EQUITY BACKTEST'!E1095</f>
        <v>0.9074739555</v>
      </c>
      <c r="D1092" s="22">
        <f t="shared" si="7"/>
        <v>-0.6890829043</v>
      </c>
      <c r="E1092" s="22">
        <f t="shared" si="3"/>
        <v>0.007276114066</v>
      </c>
      <c r="F1092" s="22">
        <f t="shared" si="6"/>
        <v>0.2187926691</v>
      </c>
      <c r="H1092" s="22" t="str">
        <f t="shared" si="4"/>
        <v/>
      </c>
      <c r="I1092" s="22" t="str">
        <f t="shared" si="1"/>
        <v>#N/A</v>
      </c>
      <c r="J1092" s="22" t="str">
        <f t="shared" si="2"/>
        <v>#N/A</v>
      </c>
      <c r="K1092" s="22" t="str">
        <f t="array" ref="K1092">IF(H1092="Crash",MATCH(TRUE, B1093:B1190 &gt;= B1091, 0),"")</f>
        <v/>
      </c>
    </row>
    <row r="1093" ht="15.75" customHeight="1">
      <c r="A1093" s="32">
        <f>'EQUITY BACKTEST'!A1096</f>
        <v>43819.66667</v>
      </c>
      <c r="B1093" s="22">
        <f>'EQUITY BACKTEST'!B1096</f>
        <v>3221.22</v>
      </c>
      <c r="C1093" s="22">
        <f>1/'EQUITY BACKTEST'!E1096</f>
        <v>0.9074739555</v>
      </c>
      <c r="D1093" s="22">
        <f t="shared" si="7"/>
        <v>-0.7079519402</v>
      </c>
      <c r="E1093" s="22">
        <f t="shared" si="3"/>
        <v>0.01654253976</v>
      </c>
      <c r="F1093" s="22">
        <f t="shared" si="6"/>
        <v>0.3329443603</v>
      </c>
      <c r="H1093" s="22" t="str">
        <f t="shared" si="4"/>
        <v/>
      </c>
      <c r="I1093" s="22" t="str">
        <f t="shared" si="1"/>
        <v>#N/A</v>
      </c>
      <c r="J1093" s="22" t="str">
        <f t="shared" si="2"/>
        <v>#N/A</v>
      </c>
      <c r="K1093" s="22" t="str">
        <f t="array" ref="K1093">IF(H1093="Crash",MATCH(TRUE, B1094:B1191 &gt;= B1092, 0),"")</f>
        <v/>
      </c>
    </row>
    <row r="1094" ht="15.75" customHeight="1">
      <c r="A1094" s="32">
        <f>'EQUITY BACKTEST'!A1097</f>
        <v>43826.66667</v>
      </c>
      <c r="B1094" s="22">
        <f>'EQUITY BACKTEST'!B1097</f>
        <v>3240.02</v>
      </c>
      <c r="C1094" s="22">
        <f>1/'EQUITY BACKTEST'!E1097</f>
        <v>0.9045271584</v>
      </c>
      <c r="D1094" s="22">
        <f t="shared" si="7"/>
        <v>-0.7284128599</v>
      </c>
      <c r="E1094" s="22">
        <f t="shared" si="3"/>
        <v>0.005836298049</v>
      </c>
      <c r="F1094" s="22">
        <f t="shared" si="6"/>
        <v>0.3034428379</v>
      </c>
      <c r="H1094" s="22" t="str">
        <f t="shared" si="4"/>
        <v/>
      </c>
      <c r="I1094" s="22" t="str">
        <f t="shared" si="1"/>
        <v>#N/A</v>
      </c>
      <c r="J1094" s="22" t="str">
        <f t="shared" si="2"/>
        <v>#N/A</v>
      </c>
      <c r="K1094" s="22" t="str">
        <f t="array" ref="K1094">IF(H1094="Crash",MATCH(TRUE, B1095:B1192 &gt;= B1093, 0),"")</f>
        <v/>
      </c>
    </row>
    <row r="1095" ht="15.75" customHeight="1">
      <c r="A1095" s="32">
        <f>'EQUITY BACKTEST'!A1098</f>
        <v>43833.66667</v>
      </c>
      <c r="B1095" s="22">
        <f>'EQUITY BACKTEST'!B1098</f>
        <v>3234.85</v>
      </c>
      <c r="C1095" s="22">
        <f>1/'EQUITY BACKTEST'!E1098</f>
        <v>0.8995232527</v>
      </c>
      <c r="D1095" s="22">
        <f t="shared" si="7"/>
        <v>-0.7486694592</v>
      </c>
      <c r="E1095" s="22">
        <f t="shared" si="3"/>
        <v>-0.001595669163</v>
      </c>
      <c r="F1095" s="22">
        <f t="shared" si="6"/>
        <v>0.2776171631</v>
      </c>
      <c r="H1095" s="22" t="str">
        <f t="shared" si="4"/>
        <v/>
      </c>
      <c r="I1095" s="22" t="str">
        <f t="shared" si="1"/>
        <v>#N/A</v>
      </c>
      <c r="J1095" s="22" t="str">
        <f t="shared" si="2"/>
        <v>#N/A</v>
      </c>
      <c r="K1095" s="22" t="str">
        <f t="array" ref="K1095">IF(H1095="Crash",MATCH(TRUE, B1096:B1193 &gt;= B1094, 0),"")</f>
        <v/>
      </c>
    </row>
    <row r="1096" ht="15.75" customHeight="1">
      <c r="A1096" s="32">
        <f>'EQUITY BACKTEST'!A1099</f>
        <v>43840.66667</v>
      </c>
      <c r="B1096" s="22">
        <f>'EQUITY BACKTEST'!B1099</f>
        <v>3265.35</v>
      </c>
      <c r="C1096" s="22">
        <f>1/'EQUITY BACKTEST'!E1099</f>
        <v>0.9028122602</v>
      </c>
      <c r="D1096" s="22">
        <f t="shared" si="7"/>
        <v>-0.768339822</v>
      </c>
      <c r="E1096" s="22">
        <f t="shared" si="3"/>
        <v>0.009428567012</v>
      </c>
      <c r="F1096" s="22">
        <f t="shared" si="6"/>
        <v>0.257713018</v>
      </c>
      <c r="H1096" s="22" t="str">
        <f t="shared" si="4"/>
        <v/>
      </c>
      <c r="I1096" s="22" t="str">
        <f t="shared" si="1"/>
        <v>#N/A</v>
      </c>
      <c r="J1096" s="22" t="str">
        <f t="shared" si="2"/>
        <v>#N/A</v>
      </c>
      <c r="K1096" s="22" t="str">
        <f t="array" ref="K1096">IF(H1096="Crash",MATCH(TRUE, B1097:B1194 &gt;= B1095, 0),"")</f>
        <v/>
      </c>
    </row>
    <row r="1097" ht="15.75" customHeight="1">
      <c r="A1097" s="32">
        <f>'EQUITY BACKTEST'!A1100</f>
        <v>43847.66667</v>
      </c>
      <c r="B1097" s="22">
        <f>'EQUITY BACKTEST'!B1100</f>
        <v>3329.62</v>
      </c>
      <c r="C1097" s="22">
        <f>1/'EQUITY BACKTEST'!E1100</f>
        <v>0.8946944618</v>
      </c>
      <c r="D1097" s="22">
        <f t="shared" si="7"/>
        <v>-0.7849512216</v>
      </c>
      <c r="E1097" s="22">
        <f t="shared" si="3"/>
        <v>0.01968242302</v>
      </c>
      <c r="F1097" s="22">
        <f t="shared" si="6"/>
        <v>0.2467171651</v>
      </c>
      <c r="H1097" s="22" t="str">
        <f t="shared" si="4"/>
        <v/>
      </c>
      <c r="I1097" s="22" t="str">
        <f t="shared" si="1"/>
        <v>#N/A</v>
      </c>
      <c r="J1097" s="22" t="str">
        <f t="shared" si="2"/>
        <v>#N/A</v>
      </c>
      <c r="K1097" s="22" t="str">
        <f t="array" ref="K1097">IF(H1097="Crash",MATCH(TRUE, B1098:B1195 &gt;= B1096, 0),"")</f>
        <v/>
      </c>
    </row>
    <row r="1098" ht="15.75" customHeight="1">
      <c r="A1098" s="32">
        <f>'EQUITY BACKTEST'!A1101</f>
        <v>43854.66667</v>
      </c>
      <c r="B1098" s="22">
        <f>'EQUITY BACKTEST'!B1101</f>
        <v>3295.47</v>
      </c>
      <c r="C1098" s="22">
        <f>1/'EQUITY BACKTEST'!E1101</f>
        <v>0.8966197436</v>
      </c>
      <c r="D1098" s="22">
        <f t="shared" si="7"/>
        <v>-0.7979111728</v>
      </c>
      <c r="E1098" s="22">
        <f t="shared" si="3"/>
        <v>-0.01025642566</v>
      </c>
      <c r="F1098" s="22">
        <f t="shared" si="6"/>
        <v>0.2366854801</v>
      </c>
      <c r="H1098" s="22" t="str">
        <f t="shared" si="4"/>
        <v/>
      </c>
      <c r="I1098" s="22" t="str">
        <f t="shared" si="1"/>
        <v>#N/A</v>
      </c>
      <c r="J1098" s="22" t="str">
        <f t="shared" si="2"/>
        <v>#N/A</v>
      </c>
      <c r="K1098" s="22" t="str">
        <f t="array" ref="K1098">IF(H1098="Crash",MATCH(TRUE, B1099:B1196 &gt;= B1097, 0),"")</f>
        <v/>
      </c>
    </row>
    <row r="1099" ht="15.75" customHeight="1">
      <c r="A1099" s="32">
        <f>'EQUITY BACKTEST'!A1102</f>
        <v>43861.66667</v>
      </c>
      <c r="B1099" s="22">
        <f>'EQUITY BACKTEST'!B1102</f>
        <v>3225.52</v>
      </c>
      <c r="C1099" s="22">
        <f>1/'EQUITY BACKTEST'!E1102</f>
        <v>0.8991997123</v>
      </c>
      <c r="D1099" s="22">
        <f t="shared" si="7"/>
        <v>-0.8092459179</v>
      </c>
      <c r="E1099" s="22">
        <f t="shared" si="3"/>
        <v>-0.02122610735</v>
      </c>
      <c r="F1099" s="22">
        <f t="shared" si="6"/>
        <v>0.1917547561</v>
      </c>
      <c r="H1099" s="22" t="str">
        <f t="shared" si="4"/>
        <v/>
      </c>
      <c r="I1099" s="22" t="str">
        <f t="shared" si="1"/>
        <v>#N/A</v>
      </c>
      <c r="J1099" s="22" t="str">
        <f t="shared" si="2"/>
        <v>#N/A</v>
      </c>
      <c r="K1099" s="22" t="str">
        <f t="array" ref="K1099">IF(H1099="Crash",MATCH(TRUE, B1100:B1197 &gt;= B1098, 0),"")</f>
        <v/>
      </c>
    </row>
    <row r="1100" ht="15.75" customHeight="1">
      <c r="A1100" s="32">
        <f>'EQUITY BACKTEST'!A1103</f>
        <v>43868.66667</v>
      </c>
      <c r="B1100" s="22">
        <f>'EQUITY BACKTEST'!B1103</f>
        <v>3327.71</v>
      </c>
      <c r="C1100" s="22">
        <f>1/'EQUITY BACKTEST'!E1103</f>
        <v>0.9017945712</v>
      </c>
      <c r="D1100" s="22">
        <f t="shared" si="7"/>
        <v>-0.818811091</v>
      </c>
      <c r="E1100" s="22">
        <f t="shared" si="3"/>
        <v>0.03168171334</v>
      </c>
      <c r="F1100" s="22">
        <f t="shared" si="6"/>
        <v>0.2288986218</v>
      </c>
      <c r="H1100" s="22" t="str">
        <f t="shared" si="4"/>
        <v/>
      </c>
      <c r="I1100" s="22" t="str">
        <f t="shared" si="1"/>
        <v>#N/A</v>
      </c>
      <c r="J1100" s="22" t="str">
        <f t="shared" si="2"/>
        <v>#N/A</v>
      </c>
      <c r="K1100" s="22" t="str">
        <f t="array" ref="K1100">IF(H1100="Crash",MATCH(TRUE, B1101:B1198 &gt;= B1099, 0),"")</f>
        <v/>
      </c>
    </row>
    <row r="1101" ht="15.75" customHeight="1">
      <c r="A1101" s="32">
        <f>'EQUITY BACKTEST'!A1104</f>
        <v>43875.66667</v>
      </c>
      <c r="B1101" s="22">
        <f>'EQUITY BACKTEST'!B1104</f>
        <v>3380.16</v>
      </c>
      <c r="C1101" s="22">
        <f>1/'EQUITY BACKTEST'!E1104</f>
        <v>0.9069472157</v>
      </c>
      <c r="D1101" s="22">
        <f t="shared" si="7"/>
        <v>-0.8329993276</v>
      </c>
      <c r="E1101" s="22">
        <f t="shared" si="3"/>
        <v>0.0157615898</v>
      </c>
      <c r="F1101" s="22">
        <f t="shared" si="6"/>
        <v>0.2178123649</v>
      </c>
      <c r="H1101" s="22" t="str">
        <f t="shared" si="4"/>
        <v/>
      </c>
      <c r="I1101" s="22" t="str">
        <f t="shared" si="1"/>
        <v>#N/A</v>
      </c>
      <c r="J1101" s="22" t="str">
        <f t="shared" si="2"/>
        <v>#N/A</v>
      </c>
      <c r="K1101" s="22" t="str">
        <f t="array" ref="K1101">IF(H1101="Crash",MATCH(TRUE, B1102:B1199 &gt;= B1100, 0),"")</f>
        <v/>
      </c>
    </row>
    <row r="1102" ht="15.75" customHeight="1">
      <c r="A1102" s="32">
        <f>'EQUITY BACKTEST'!A1105</f>
        <v>43882.66667</v>
      </c>
      <c r="B1102" s="22">
        <f>'EQUITY BACKTEST'!B1105</f>
        <v>3337.75</v>
      </c>
      <c r="C1102" s="22">
        <f>1/'EQUITY BACKTEST'!E1105</f>
        <v>0.9013150186</v>
      </c>
      <c r="D1102" s="22">
        <f t="shared" si="7"/>
        <v>-0.8520512488</v>
      </c>
      <c r="E1102" s="22">
        <f t="shared" si="3"/>
        <v>-0.01254674335</v>
      </c>
      <c r="F1102" s="22">
        <f t="shared" si="6"/>
        <v>0.1951823882</v>
      </c>
      <c r="H1102" s="22" t="str">
        <f t="shared" si="4"/>
        <v/>
      </c>
      <c r="I1102" s="22" t="str">
        <f t="shared" si="1"/>
        <v>#N/A</v>
      </c>
      <c r="J1102" s="22" t="str">
        <f t="shared" si="2"/>
        <v>#N/A</v>
      </c>
      <c r="K1102" s="22" t="str">
        <f t="array" ref="K1102">IF(H1102="Crash",MATCH(TRUE, B1103:B1200 &gt;= B1101, 0),"")</f>
        <v/>
      </c>
    </row>
    <row r="1103" ht="15.75" customHeight="1">
      <c r="A1103" s="32">
        <f>'EQUITY BACKTEST'!A1106</f>
        <v>43889.66667</v>
      </c>
      <c r="B1103" s="22">
        <f>'EQUITY BACKTEST'!B1106</f>
        <v>2954.22</v>
      </c>
      <c r="C1103" s="22">
        <f>1/'EQUITY BACKTEST'!E1106</f>
        <v>0.9139097057</v>
      </c>
      <c r="D1103" s="22">
        <f t="shared" si="7"/>
        <v>-0.8637779199</v>
      </c>
      <c r="E1103" s="22">
        <f t="shared" si="3"/>
        <v>-0.1149067486</v>
      </c>
      <c r="F1103" s="22">
        <f t="shared" si="6"/>
        <v>0.05368995859</v>
      </c>
      <c r="H1103" s="22" t="str">
        <f t="shared" si="4"/>
        <v>Crash</v>
      </c>
      <c r="I1103" s="22">
        <f t="shared" si="1"/>
        <v>-11.49067486</v>
      </c>
      <c r="J1103" s="22">
        <f t="shared" si="2"/>
        <v>-86.37779199</v>
      </c>
      <c r="K1103" s="22">
        <f t="array" ref="K1103">IF(H1103="Crash",MATCH(TRUE, B1104:B1201 &gt;= B1102, 0),"")</f>
        <v>23</v>
      </c>
    </row>
    <row r="1104" ht="15.75" customHeight="1">
      <c r="A1104" s="32">
        <f>'EQUITY BACKTEST'!A1107</f>
        <v>43896.66667</v>
      </c>
      <c r="B1104" s="22">
        <f>'EQUITY BACKTEST'!B1107</f>
        <v>2972.37</v>
      </c>
      <c r="C1104" s="22">
        <f>1/'EQUITY BACKTEST'!E1107</f>
        <v>0.9233525083</v>
      </c>
      <c r="D1104" s="22">
        <f t="shared" si="7"/>
        <v>-0.8660344029</v>
      </c>
      <c r="E1104" s="22">
        <f t="shared" si="3"/>
        <v>0.006143753681</v>
      </c>
      <c r="F1104" s="22">
        <f t="shared" si="6"/>
        <v>0.08359247121</v>
      </c>
      <c r="H1104" s="22" t="str">
        <f t="shared" si="4"/>
        <v/>
      </c>
      <c r="I1104" s="22" t="str">
        <f t="shared" si="1"/>
        <v>#N/A</v>
      </c>
      <c r="J1104" s="22" t="str">
        <f t="shared" si="2"/>
        <v>#N/A</v>
      </c>
      <c r="K1104" s="22" t="str">
        <f t="array" ref="K1104">IF(H1104="Crash",MATCH(TRUE, B1105:B1202 &gt;= B1103, 0),"")</f>
        <v/>
      </c>
    </row>
    <row r="1105" ht="15.75" customHeight="1">
      <c r="A1105" s="32">
        <f>'EQUITY BACKTEST'!A1108</f>
        <v>43903.66667</v>
      </c>
      <c r="B1105" s="22">
        <f>'EQUITY BACKTEST'!B1108</f>
        <v>2711.02</v>
      </c>
      <c r="C1105" s="22">
        <f>1/'EQUITY BACKTEST'!E1108</f>
        <v>0.9220584032</v>
      </c>
      <c r="D1105" s="22">
        <f t="shared" si="7"/>
        <v>-0.8700463307</v>
      </c>
      <c r="E1105" s="22">
        <f t="shared" si="3"/>
        <v>-0.08792646945</v>
      </c>
      <c r="F1105" s="22">
        <f t="shared" si="6"/>
        <v>-0.03949009382</v>
      </c>
      <c r="H1105" s="22" t="str">
        <f t="shared" si="4"/>
        <v>Crash</v>
      </c>
      <c r="I1105" s="22">
        <f t="shared" si="1"/>
        <v>-8.792646945</v>
      </c>
      <c r="J1105" s="22">
        <f t="shared" si="2"/>
        <v>-87.00463307</v>
      </c>
      <c r="K1105" s="22">
        <f t="array" ref="K1105">IF(H1105="Crash",MATCH(TRUE, B1106:B1203 &gt;= B1104, 0),"")</f>
        <v>11</v>
      </c>
    </row>
    <row r="1106" ht="15.75" customHeight="1">
      <c r="A1106" s="32">
        <f>'EQUITY BACKTEST'!A1109</f>
        <v>43910.66667</v>
      </c>
      <c r="B1106" s="22">
        <f>'EQUITY BACKTEST'!B1109</f>
        <v>2304.92</v>
      </c>
      <c r="C1106" s="22">
        <f>1/'EQUITY BACKTEST'!E1109</f>
        <v>0.9068649678</v>
      </c>
      <c r="D1106" s="22">
        <f t="shared" si="7"/>
        <v>-0.8661458081</v>
      </c>
      <c r="E1106" s="22">
        <f t="shared" si="3"/>
        <v>-0.1497960177</v>
      </c>
      <c r="F1106" s="22">
        <f t="shared" si="6"/>
        <v>-0.1770229692</v>
      </c>
      <c r="H1106" s="22" t="str">
        <f t="shared" si="4"/>
        <v>Crash</v>
      </c>
      <c r="I1106" s="22">
        <f t="shared" si="1"/>
        <v>-14.97960177</v>
      </c>
      <c r="J1106" s="22">
        <f t="shared" si="2"/>
        <v>-86.61458081</v>
      </c>
      <c r="K1106" s="22">
        <f t="array" ref="K1106">IF(H1106="Crash",MATCH(TRUE, B1107:B1204 &gt;= B1105, 0),"")</f>
        <v>3</v>
      </c>
    </row>
    <row r="1107" ht="15.75" customHeight="1">
      <c r="A1107" s="32">
        <f>'EQUITY BACKTEST'!A1110</f>
        <v>43917.66667</v>
      </c>
      <c r="B1107" s="22">
        <f>'EQUITY BACKTEST'!B1110</f>
        <v>2541.47</v>
      </c>
      <c r="C1107" s="22">
        <f>1/'EQUITY BACKTEST'!E1110</f>
        <v>0.8861320337</v>
      </c>
      <c r="D1107" s="22">
        <f t="shared" si="7"/>
        <v>-0.8725831519</v>
      </c>
      <c r="E1107" s="22">
        <f t="shared" si="3"/>
        <v>0.1026282908</v>
      </c>
      <c r="F1107" s="22">
        <f t="shared" si="6"/>
        <v>-0.1033481513</v>
      </c>
      <c r="H1107" s="22" t="str">
        <f t="shared" si="4"/>
        <v/>
      </c>
      <c r="I1107" s="22" t="str">
        <f t="shared" si="1"/>
        <v>#N/A</v>
      </c>
      <c r="J1107" s="22" t="str">
        <f t="shared" si="2"/>
        <v>#N/A</v>
      </c>
      <c r="K1107" s="22" t="str">
        <f t="array" ref="K1107">IF(H1107="Crash",MATCH(TRUE, B1108:B1205 &gt;= B1106, 0),"")</f>
        <v/>
      </c>
    </row>
    <row r="1108" ht="15.75" customHeight="1">
      <c r="A1108" s="32">
        <f>'EQUITY BACKTEST'!A1111</f>
        <v>43924.66667</v>
      </c>
      <c r="B1108" s="22">
        <f>'EQUITY BACKTEST'!B1111</f>
        <v>2488.65</v>
      </c>
      <c r="C1108" s="22">
        <f>1/'EQUITY BACKTEST'!E1111</f>
        <v>0.8975049363</v>
      </c>
      <c r="D1108" s="22">
        <f t="shared" si="7"/>
        <v>-0.8868334989</v>
      </c>
      <c r="E1108" s="22">
        <f t="shared" si="3"/>
        <v>-0.02078324749</v>
      </c>
      <c r="F1108" s="22">
        <f t="shared" si="6"/>
        <v>-0.1396910887</v>
      </c>
      <c r="H1108" s="22" t="str">
        <f t="shared" si="4"/>
        <v/>
      </c>
      <c r="I1108" s="22" t="str">
        <f t="shared" si="1"/>
        <v>#N/A</v>
      </c>
      <c r="J1108" s="22" t="str">
        <f t="shared" si="2"/>
        <v>#N/A</v>
      </c>
      <c r="K1108" s="22" t="str">
        <f t="array" ref="K1108">IF(H1108="Crash",MATCH(TRUE, B1109:B1206 &gt;= B1107, 0),"")</f>
        <v/>
      </c>
    </row>
    <row r="1109" ht="15.75" customHeight="1">
      <c r="A1109" s="32">
        <f>'EQUITY BACKTEST'!A1112</f>
        <v>43930.66667</v>
      </c>
      <c r="B1109" s="22">
        <f>'EQUITY BACKTEST'!B1112</f>
        <v>2789.82</v>
      </c>
      <c r="C1109" s="22">
        <f>1/'EQUITY BACKTEST'!E1112</f>
        <v>0.9292816653</v>
      </c>
      <c r="D1109" s="22">
        <f t="shared" si="7"/>
        <v>-0.8918089172</v>
      </c>
      <c r="E1109" s="22">
        <f t="shared" si="3"/>
        <v>0.1210174191</v>
      </c>
      <c r="F1109" s="22">
        <f t="shared" si="6"/>
        <v>-0.04044493209</v>
      </c>
      <c r="H1109" s="22" t="str">
        <f t="shared" si="4"/>
        <v/>
      </c>
      <c r="I1109" s="22" t="str">
        <f t="shared" si="1"/>
        <v>#N/A</v>
      </c>
      <c r="J1109" s="22" t="str">
        <f t="shared" si="2"/>
        <v>#N/A</v>
      </c>
      <c r="K1109" s="22" t="str">
        <f t="array" ref="K1109">IF(H1109="Crash",MATCH(TRUE, B1110:B1207 &gt;= B1108, 0),"")</f>
        <v/>
      </c>
    </row>
    <row r="1110" ht="15.75" customHeight="1">
      <c r="A1110" s="32">
        <f>'EQUITY BACKTEST'!A1113</f>
        <v>43938.66667</v>
      </c>
      <c r="B1110" s="22">
        <f>'EQUITY BACKTEST'!B1113</f>
        <v>2874.56</v>
      </c>
      <c r="C1110" s="22">
        <f>1/'EQUITY BACKTEST'!E1113</f>
        <v>0.8955758553</v>
      </c>
      <c r="D1110" s="22">
        <f t="shared" si="7"/>
        <v>-0.8644311556</v>
      </c>
      <c r="E1110" s="22">
        <f t="shared" si="3"/>
        <v>0.03037471952</v>
      </c>
      <c r="F1110" s="22">
        <f t="shared" si="6"/>
        <v>-0.01048870408</v>
      </c>
      <c r="H1110" s="22" t="str">
        <f t="shared" si="4"/>
        <v/>
      </c>
      <c r="I1110" s="22" t="str">
        <f t="shared" si="1"/>
        <v>#N/A</v>
      </c>
      <c r="J1110" s="22" t="str">
        <f t="shared" si="2"/>
        <v>#N/A</v>
      </c>
      <c r="K1110" s="22" t="str">
        <f t="array" ref="K1110">IF(H1110="Crash",MATCH(TRUE, B1111:B1208 &gt;= B1109, 0),"")</f>
        <v/>
      </c>
    </row>
    <row r="1111" ht="15.75" customHeight="1">
      <c r="A1111" s="32">
        <f>'EQUITY BACKTEST'!A1114</f>
        <v>43945.66667</v>
      </c>
      <c r="B1111" s="22">
        <f>'EQUITY BACKTEST'!B1114</f>
        <v>2836.74</v>
      </c>
      <c r="C1111" s="22">
        <f>1/'EQUITY BACKTEST'!E1114</f>
        <v>0.9260116677</v>
      </c>
      <c r="D1111" s="22">
        <f t="shared" si="7"/>
        <v>-0.8412471593</v>
      </c>
      <c r="E1111" s="22">
        <f t="shared" si="3"/>
        <v>-0.01315679617</v>
      </c>
      <c r="F1111" s="22">
        <f t="shared" si="6"/>
        <v>-0.03508306461</v>
      </c>
      <c r="H1111" s="22" t="str">
        <f t="shared" si="4"/>
        <v/>
      </c>
      <c r="I1111" s="22" t="str">
        <f t="shared" si="1"/>
        <v>#N/A</v>
      </c>
      <c r="J1111" s="22" t="str">
        <f t="shared" si="2"/>
        <v>#N/A</v>
      </c>
      <c r="K1111" s="22" t="str">
        <f t="array" ref="K1111">IF(H1111="Crash",MATCH(TRUE, B1112:B1209 &gt;= B1110, 0),"")</f>
        <v/>
      </c>
    </row>
    <row r="1112" ht="15.75" customHeight="1">
      <c r="A1112" s="32">
        <f>'EQUITY BACKTEST'!A1115</f>
        <v>43952.66667</v>
      </c>
      <c r="B1112" s="22">
        <f>'EQUITY BACKTEST'!B1115</f>
        <v>2830.71</v>
      </c>
      <c r="C1112" s="22">
        <f>1/'EQUITY BACKTEST'!E1115</f>
        <v>0.9144947417</v>
      </c>
      <c r="D1112" s="22">
        <f t="shared" si="7"/>
        <v>-0.8191340218</v>
      </c>
      <c r="E1112" s="22">
        <f t="shared" si="3"/>
        <v>-0.002125679477</v>
      </c>
      <c r="F1112" s="22">
        <f t="shared" si="6"/>
        <v>-0.03901698782</v>
      </c>
      <c r="H1112" s="22" t="str">
        <f t="shared" si="4"/>
        <v/>
      </c>
      <c r="I1112" s="22" t="str">
        <f t="shared" si="1"/>
        <v>#N/A</v>
      </c>
      <c r="J1112" s="22" t="str">
        <f t="shared" si="2"/>
        <v>#N/A</v>
      </c>
      <c r="K1112" s="22" t="str">
        <f t="array" ref="K1112">IF(H1112="Crash",MATCH(TRUE, B1113:B1210 &gt;= B1111, 0),"")</f>
        <v/>
      </c>
    </row>
    <row r="1113" ht="15.75" customHeight="1">
      <c r="A1113" s="32">
        <f>'EQUITY BACKTEST'!A1116</f>
        <v>43959.66667</v>
      </c>
      <c r="B1113" s="22">
        <f>'EQUITY BACKTEST'!B1116</f>
        <v>2929.8</v>
      </c>
      <c r="C1113" s="22">
        <f>1/'EQUITY BACKTEST'!E1116</f>
        <v>0.9196247931</v>
      </c>
      <c r="D1113" s="22">
        <f t="shared" si="7"/>
        <v>-0.7993339429</v>
      </c>
      <c r="E1113" s="22">
        <f t="shared" si="3"/>
        <v>0.03500535201</v>
      </c>
      <c r="F1113" s="22">
        <f t="shared" si="6"/>
        <v>0.01679739016</v>
      </c>
      <c r="H1113" s="22" t="str">
        <f t="shared" si="4"/>
        <v/>
      </c>
      <c r="I1113" s="22" t="str">
        <f t="shared" si="1"/>
        <v>#N/A</v>
      </c>
      <c r="J1113" s="22" t="str">
        <f t="shared" si="2"/>
        <v>#N/A</v>
      </c>
      <c r="K1113" s="22" t="str">
        <f t="array" ref="K1113">IF(H1113="Crash",MATCH(TRUE, B1114:B1211 &gt;= B1112, 0),"")</f>
        <v/>
      </c>
    </row>
    <row r="1114" ht="15.75" customHeight="1">
      <c r="A1114" s="32">
        <f>'EQUITY BACKTEST'!A1117</f>
        <v>43966.66667</v>
      </c>
      <c r="B1114" s="22">
        <f>'EQUITY BACKTEST'!B1117</f>
        <v>2863.7</v>
      </c>
      <c r="C1114" s="22">
        <f>1/'EQUITY BACKTEST'!E1117</f>
        <v>0.9240436149</v>
      </c>
      <c r="D1114" s="22">
        <f t="shared" si="7"/>
        <v>-0.7878000703</v>
      </c>
      <c r="E1114" s="22">
        <f t="shared" si="3"/>
        <v>-0.02256126698</v>
      </c>
      <c r="F1114" s="22">
        <f t="shared" si="6"/>
        <v>0.001458281606</v>
      </c>
      <c r="H1114" s="22" t="str">
        <f t="shared" si="4"/>
        <v/>
      </c>
      <c r="I1114" s="22" t="str">
        <f t="shared" si="1"/>
        <v>#N/A</v>
      </c>
      <c r="J1114" s="22" t="str">
        <f t="shared" si="2"/>
        <v>#N/A</v>
      </c>
      <c r="K1114" s="22" t="str">
        <f t="array" ref="K1114">IF(H1114="Crash",MATCH(TRUE, B1115:B1212 &gt;= B1113, 0),"")</f>
        <v/>
      </c>
    </row>
    <row r="1115" ht="15.75" customHeight="1">
      <c r="A1115" s="32">
        <f>'EQUITY BACKTEST'!A1118</f>
        <v>43973.66667</v>
      </c>
      <c r="B1115" s="22">
        <f>'EQUITY BACKTEST'!B1118</f>
        <v>2955.45</v>
      </c>
      <c r="C1115" s="22">
        <f>1/'EQUITY BACKTEST'!E1118</f>
        <v>0.9014693951</v>
      </c>
      <c r="D1115" s="22">
        <f t="shared" si="7"/>
        <v>-0.7678741407</v>
      </c>
      <c r="E1115" s="22">
        <f t="shared" si="3"/>
        <v>0.03203897056</v>
      </c>
      <c r="F1115" s="22">
        <f t="shared" si="6"/>
        <v>0.04578459056</v>
      </c>
      <c r="H1115" s="22" t="str">
        <f t="shared" si="4"/>
        <v/>
      </c>
      <c r="I1115" s="22" t="str">
        <f t="shared" si="1"/>
        <v>#N/A</v>
      </c>
      <c r="J1115" s="22" t="str">
        <f t="shared" si="2"/>
        <v>#N/A</v>
      </c>
      <c r="K1115" s="22" t="str">
        <f t="array" ref="K1115">IF(H1115="Crash",MATCH(TRUE, B1116:B1213 &gt;= B1114, 0),"")</f>
        <v/>
      </c>
    </row>
    <row r="1116" ht="15.75" customHeight="1">
      <c r="A1116" s="32">
        <f>'EQUITY BACKTEST'!A1119</f>
        <v>43980.66667</v>
      </c>
      <c r="B1116" s="22">
        <f>'EQUITY BACKTEST'!B1119</f>
        <v>3044.31</v>
      </c>
      <c r="C1116" s="22">
        <f>1/'EQUITY BACKTEST'!E1119</f>
        <v>0.9116601331</v>
      </c>
      <c r="D1116" s="22">
        <f t="shared" si="7"/>
        <v>-0.7576988783</v>
      </c>
      <c r="E1116" s="22">
        <f t="shared" si="3"/>
        <v>0.03006648734</v>
      </c>
      <c r="F1116" s="22">
        <f t="shared" si="6"/>
        <v>0.1061931789</v>
      </c>
      <c r="H1116" s="22" t="str">
        <f t="shared" si="4"/>
        <v/>
      </c>
      <c r="I1116" s="22" t="str">
        <f t="shared" si="1"/>
        <v>#N/A</v>
      </c>
      <c r="J1116" s="22" t="str">
        <f t="shared" si="2"/>
        <v>#N/A</v>
      </c>
      <c r="K1116" s="22" t="str">
        <f t="array" ref="K1116">IF(H1116="Crash",MATCH(TRUE, B1117:B1214 &gt;= B1115, 0),"")</f>
        <v/>
      </c>
    </row>
    <row r="1117" ht="15.75" customHeight="1">
      <c r="A1117" s="32">
        <f>'EQUITY BACKTEST'!A1120</f>
        <v>43987.66667</v>
      </c>
      <c r="B1117" s="22">
        <f>'EQUITY BACKTEST'!B1120</f>
        <v>3193.93</v>
      </c>
      <c r="C1117" s="22">
        <f>1/'EQUITY BACKTEST'!E1120</f>
        <v>0.9250180379</v>
      </c>
      <c r="D1117" s="22">
        <f t="shared" si="7"/>
        <v>-0.7471197945</v>
      </c>
      <c r="E1117" s="22">
        <f t="shared" si="3"/>
        <v>0.04914742585</v>
      </c>
      <c r="F1117" s="22">
        <f t="shared" si="6"/>
        <v>0.1115739871</v>
      </c>
      <c r="H1117" s="22" t="str">
        <f t="shared" si="4"/>
        <v/>
      </c>
      <c r="I1117" s="22" t="str">
        <f t="shared" si="1"/>
        <v>#N/A</v>
      </c>
      <c r="J1117" s="22" t="str">
        <f t="shared" si="2"/>
        <v>#N/A</v>
      </c>
      <c r="K1117" s="22" t="str">
        <f t="array" ref="K1117">IF(H1117="Crash",MATCH(TRUE, B1118:B1215 &gt;= B1116, 0),"")</f>
        <v/>
      </c>
    </row>
    <row r="1118" ht="15.75" customHeight="1">
      <c r="A1118" s="32">
        <f>'EQUITY BACKTEST'!A1121</f>
        <v>43994.66667</v>
      </c>
      <c r="B1118" s="22">
        <f>'EQUITY BACKTEST'!B1121</f>
        <v>3041.31</v>
      </c>
      <c r="C1118" s="22">
        <f>1/'EQUITY BACKTEST'!E1121</f>
        <v>0.9177679883</v>
      </c>
      <c r="D1118" s="22">
        <f t="shared" si="7"/>
        <v>-0.7580591396</v>
      </c>
      <c r="E1118" s="22">
        <f t="shared" si="3"/>
        <v>-0.04778439102</v>
      </c>
      <c r="F1118" s="22">
        <f t="shared" si="6"/>
        <v>0.05345724598</v>
      </c>
      <c r="H1118" s="22" t="str">
        <f t="shared" si="4"/>
        <v/>
      </c>
      <c r="I1118" s="22" t="str">
        <f t="shared" si="1"/>
        <v>#N/A</v>
      </c>
      <c r="J1118" s="22" t="str">
        <f t="shared" si="2"/>
        <v>#N/A</v>
      </c>
      <c r="K1118" s="22" t="str">
        <f t="array" ref="K1118">IF(H1118="Crash",MATCH(TRUE, B1119:B1216 &gt;= B1117, 0),"")</f>
        <v/>
      </c>
    </row>
    <row r="1119" ht="15.75" customHeight="1">
      <c r="A1119" s="32">
        <f>'EQUITY BACKTEST'!A1122</f>
        <v>44001.66667</v>
      </c>
      <c r="B1119" s="22">
        <f>'EQUITY BACKTEST'!B1122</f>
        <v>3097.74</v>
      </c>
      <c r="C1119" s="22">
        <f>1/'EQUITY BACKTEST'!E1122</f>
        <v>0.9008116313</v>
      </c>
      <c r="D1119" s="22">
        <f t="shared" si="7"/>
        <v>-0.752216086</v>
      </c>
      <c r="E1119" s="22">
        <f t="shared" si="3"/>
        <v>0.01855450447</v>
      </c>
      <c r="F1119" s="22">
        <f t="shared" si="6"/>
        <v>0.04991763996</v>
      </c>
      <c r="H1119" s="22" t="str">
        <f t="shared" si="4"/>
        <v/>
      </c>
      <c r="I1119" s="22" t="str">
        <f t="shared" si="1"/>
        <v>#N/A</v>
      </c>
      <c r="J1119" s="22" t="str">
        <f t="shared" si="2"/>
        <v>#N/A</v>
      </c>
      <c r="K1119" s="22" t="str">
        <f t="array" ref="K1119">IF(H1119="Crash",MATCH(TRUE, B1120:B1217 &gt;= B1118, 0),"")</f>
        <v/>
      </c>
    </row>
    <row r="1120" ht="15.75" customHeight="1">
      <c r="A1120" s="32">
        <f>'EQUITY BACKTEST'!A1123</f>
        <v>44008.66667</v>
      </c>
      <c r="B1120" s="22">
        <f>'EQUITY BACKTEST'!B1123</f>
        <v>3009.05</v>
      </c>
      <c r="C1120" s="22">
        <f>1/'EQUITY BACKTEST'!E1123</f>
        <v>0.8866191439</v>
      </c>
      <c r="D1120" s="22">
        <f t="shared" si="7"/>
        <v>-0.7428113959</v>
      </c>
      <c r="E1120" s="22">
        <f t="shared" si="3"/>
        <v>-0.02863055001</v>
      </c>
      <c r="F1120" s="22">
        <f t="shared" si="6"/>
        <v>0.02287406179</v>
      </c>
      <c r="H1120" s="22" t="str">
        <f t="shared" si="4"/>
        <v/>
      </c>
      <c r="I1120" s="22" t="str">
        <f t="shared" si="1"/>
        <v>#N/A</v>
      </c>
      <c r="J1120" s="22" t="str">
        <f t="shared" si="2"/>
        <v>#N/A</v>
      </c>
      <c r="K1120" s="22" t="str">
        <f t="array" ref="K1120">IF(H1120="Crash",MATCH(TRUE, B1121:B1218 &gt;= B1119, 0),"")</f>
        <v/>
      </c>
    </row>
    <row r="1121" ht="15.75" customHeight="1">
      <c r="A1121" s="32">
        <f>'EQUITY BACKTEST'!A1124</f>
        <v>44014.66667</v>
      </c>
      <c r="B1121" s="22">
        <f>'EQUITY BACKTEST'!B1124</f>
        <v>3130.01</v>
      </c>
      <c r="C1121" s="22">
        <f>1/'EQUITY BACKTEST'!E1124</f>
        <v>0.8883361464</v>
      </c>
      <c r="D1121" s="22">
        <f t="shared" si="7"/>
        <v>-0.7215892314</v>
      </c>
      <c r="E1121" s="22">
        <f t="shared" si="3"/>
        <v>0.04019873382</v>
      </c>
      <c r="F1121" s="22">
        <f t="shared" si="6"/>
        <v>0.04668256192</v>
      </c>
      <c r="H1121" s="22" t="str">
        <f t="shared" si="4"/>
        <v/>
      </c>
      <c r="I1121" s="22" t="str">
        <f t="shared" si="1"/>
        <v>#N/A</v>
      </c>
      <c r="J1121" s="22" t="str">
        <f t="shared" si="2"/>
        <v>#N/A</v>
      </c>
      <c r="K1121" s="22" t="str">
        <f t="array" ref="K1121">IF(H1121="Crash",MATCH(TRUE, B1122:B1219 &gt;= B1120, 0),"")</f>
        <v/>
      </c>
    </row>
    <row r="1122" ht="15.75" customHeight="1">
      <c r="A1122" s="32">
        <f>'EQUITY BACKTEST'!A1125</f>
        <v>44022.66667</v>
      </c>
      <c r="B1122" s="22">
        <f>'EQUITY BACKTEST'!B1125</f>
        <v>3185.04</v>
      </c>
      <c r="C1122" s="22">
        <f>1/'EQUITY BACKTEST'!E1125</f>
        <v>0.8946784526</v>
      </c>
      <c r="D1122" s="22">
        <f t="shared" si="7"/>
        <v>-0.6765082065</v>
      </c>
      <c r="E1122" s="22">
        <f t="shared" si="3"/>
        <v>0.01758141348</v>
      </c>
      <c r="F1122" s="22">
        <f t="shared" si="6"/>
        <v>0.05682915418</v>
      </c>
      <c r="H1122" s="22" t="str">
        <f t="shared" si="4"/>
        <v/>
      </c>
      <c r="I1122" s="22" t="str">
        <f t="shared" si="1"/>
        <v>#N/A</v>
      </c>
      <c r="J1122" s="22" t="str">
        <f t="shared" si="2"/>
        <v>#N/A</v>
      </c>
      <c r="K1122" s="22" t="str">
        <f t="array" ref="K1122">IF(H1122="Crash",MATCH(TRUE, B1123:B1220 &gt;= B1121, 0),"")</f>
        <v/>
      </c>
    </row>
    <row r="1123" ht="15.75" customHeight="1">
      <c r="A1123" s="32">
        <f>'EQUITY BACKTEST'!A1126</f>
        <v>44029.66667</v>
      </c>
      <c r="B1123" s="22">
        <f>'EQUITY BACKTEST'!B1126</f>
        <v>3224.73</v>
      </c>
      <c r="C1123" s="22">
        <f>1/'EQUITY BACKTEST'!E1126</f>
        <v>0.8913370948</v>
      </c>
      <c r="D1123" s="22">
        <f t="shared" si="7"/>
        <v>-0.6442988359</v>
      </c>
      <c r="E1123" s="22">
        <f t="shared" si="3"/>
        <v>0.01246138196</v>
      </c>
      <c r="F1123" s="22">
        <f t="shared" si="6"/>
        <v>0.08335657006</v>
      </c>
      <c r="H1123" s="22" t="str">
        <f t="shared" si="4"/>
        <v/>
      </c>
      <c r="I1123" s="22" t="str">
        <f t="shared" si="1"/>
        <v>#N/A</v>
      </c>
      <c r="J1123" s="22" t="str">
        <f t="shared" si="2"/>
        <v>#N/A</v>
      </c>
      <c r="K1123" s="22" t="str">
        <f t="array" ref="K1123">IF(H1123="Crash",MATCH(TRUE, B1124:B1221 &gt;= B1122, 0),"")</f>
        <v/>
      </c>
    </row>
    <row r="1124" ht="15.75" customHeight="1">
      <c r="A1124" s="32">
        <f>'EQUITY BACKTEST'!A1127</f>
        <v>44036.66667</v>
      </c>
      <c r="B1124" s="22">
        <f>'EQUITY BACKTEST'!B1127</f>
        <v>3215.63</v>
      </c>
      <c r="C1124" s="22">
        <f>1/'EQUITY BACKTEST'!E1127</f>
        <v>0.8894423197</v>
      </c>
      <c r="D1124" s="22">
        <f t="shared" si="7"/>
        <v>-0.5964044</v>
      </c>
      <c r="E1124" s="22">
        <f t="shared" si="3"/>
        <v>-0.002821941682</v>
      </c>
      <c r="F1124" s="22">
        <f t="shared" si="6"/>
        <v>0.06271605428</v>
      </c>
      <c r="H1124" s="22" t="str">
        <f t="shared" si="4"/>
        <v/>
      </c>
      <c r="I1124" s="22" t="str">
        <f t="shared" si="1"/>
        <v>#N/A</v>
      </c>
      <c r="J1124" s="22" t="str">
        <f t="shared" si="2"/>
        <v>#N/A</v>
      </c>
      <c r="K1124" s="22" t="str">
        <f t="array" ref="K1124">IF(H1124="Crash",MATCH(TRUE, B1125:B1222 &gt;= B1123, 0),"")</f>
        <v/>
      </c>
    </row>
    <row r="1125" ht="15.75" customHeight="1">
      <c r="A1125" s="32">
        <f>'EQUITY BACKTEST'!A1128</f>
        <v>44043.66667</v>
      </c>
      <c r="B1125" s="22">
        <f>'EQUITY BACKTEST'!B1128</f>
        <v>3271.12</v>
      </c>
      <c r="C1125" s="22">
        <f>1/'EQUITY BACKTEST'!E1128</f>
        <v>0.8850340738</v>
      </c>
      <c r="D1125" s="22">
        <f t="shared" si="7"/>
        <v>-0.5429499503</v>
      </c>
      <c r="E1125" s="22">
        <f t="shared" si="3"/>
        <v>0.01725633857</v>
      </c>
      <c r="F1125" s="22">
        <f t="shared" si="6"/>
        <v>0.1156426391</v>
      </c>
      <c r="H1125" s="22" t="str">
        <f t="shared" si="4"/>
        <v/>
      </c>
      <c r="I1125" s="22" t="str">
        <f t="shared" si="1"/>
        <v>#N/A</v>
      </c>
      <c r="J1125" s="22" t="str">
        <f t="shared" si="2"/>
        <v>#N/A</v>
      </c>
      <c r="K1125" s="22" t="str">
        <f t="array" ref="K1125">IF(H1125="Crash",MATCH(TRUE, B1126:B1223 &gt;= B1124, 0),"")</f>
        <v/>
      </c>
    </row>
    <row r="1126" ht="15.75" customHeight="1">
      <c r="A1126" s="32">
        <f>'EQUITY BACKTEST'!A1129</f>
        <v>44050.66667</v>
      </c>
      <c r="B1126" s="22">
        <f>'EQUITY BACKTEST'!B1129</f>
        <v>3351.28</v>
      </c>
      <c r="C1126" s="22">
        <f>1/'EQUITY BACKTEST'!E1129</f>
        <v>0.8753041682</v>
      </c>
      <c r="D1126" s="22">
        <f t="shared" si="7"/>
        <v>-0.4694622563</v>
      </c>
      <c r="E1126" s="22">
        <f t="shared" si="3"/>
        <v>0.02450536819</v>
      </c>
      <c r="F1126" s="22">
        <f t="shared" si="6"/>
        <v>0.1482294897</v>
      </c>
      <c r="H1126" s="22" t="str">
        <f t="shared" si="4"/>
        <v/>
      </c>
      <c r="I1126" s="22" t="str">
        <f t="shared" si="1"/>
        <v>#N/A</v>
      </c>
      <c r="J1126" s="22" t="str">
        <f t="shared" si="2"/>
        <v>#N/A</v>
      </c>
      <c r="K1126" s="22" t="str">
        <f t="array" ref="K1126">IF(H1126="Crash",MATCH(TRUE, B1127:B1224 &gt;= B1125, 0),"")</f>
        <v/>
      </c>
    </row>
    <row r="1127" ht="15.75" customHeight="1">
      <c r="A1127" s="32">
        <f>'EQUITY BACKTEST'!A1130</f>
        <v>44057.66667</v>
      </c>
      <c r="B1127" s="22">
        <f>'EQUITY BACKTEST'!B1130</f>
        <v>3372.85</v>
      </c>
      <c r="C1127" s="22">
        <f>1/'EQUITY BACKTEST'!E1130</f>
        <v>0.8579346082</v>
      </c>
      <c r="D1127" s="22">
        <f t="shared" si="7"/>
        <v>-0.3831346902</v>
      </c>
      <c r="E1127" s="22">
        <f t="shared" si="3"/>
        <v>0.006436346709</v>
      </c>
      <c r="F1127" s="22">
        <f t="shared" si="6"/>
        <v>0.1676094271</v>
      </c>
      <c r="H1127" s="22" t="str">
        <f t="shared" si="4"/>
        <v/>
      </c>
      <c r="I1127" s="22" t="str">
        <f t="shared" si="1"/>
        <v>#N/A</v>
      </c>
      <c r="J1127" s="22" t="str">
        <f t="shared" si="2"/>
        <v>#N/A</v>
      </c>
      <c r="K1127" s="22" t="str">
        <f t="array" ref="K1127">IF(H1127="Crash",MATCH(TRUE, B1128:B1225 &gt;= B1126, 0),"")</f>
        <v/>
      </c>
    </row>
    <row r="1128" ht="15.75" customHeight="1">
      <c r="A1128" s="32">
        <f>'EQUITY BACKTEST'!A1131</f>
        <v>44064.66667</v>
      </c>
      <c r="B1128" s="22">
        <f>'EQUITY BACKTEST'!B1131</f>
        <v>3397.16</v>
      </c>
      <c r="C1128" s="22">
        <f>1/'EQUITY BACKTEST'!E1131</f>
        <v>0.8494805426</v>
      </c>
      <c r="D1128" s="22">
        <f t="shared" si="7"/>
        <v>-0.3280604678</v>
      </c>
      <c r="E1128" s="22">
        <f t="shared" si="3"/>
        <v>0.007207554442</v>
      </c>
      <c r="F1128" s="22">
        <f t="shared" si="6"/>
        <v>0.1931959074</v>
      </c>
      <c r="H1128" s="22" t="str">
        <f t="shared" si="4"/>
        <v/>
      </c>
      <c r="I1128" s="22" t="str">
        <f t="shared" si="1"/>
        <v>#N/A</v>
      </c>
      <c r="J1128" s="22" t="str">
        <f t="shared" si="2"/>
        <v>#N/A</v>
      </c>
      <c r="K1128" s="22" t="str">
        <f t="array" ref="K1128">IF(H1128="Crash",MATCH(TRUE, B1129:B1226 &gt;= B1127, 0),"")</f>
        <v/>
      </c>
    </row>
    <row r="1129" ht="15.75" customHeight="1">
      <c r="A1129" s="32">
        <f>'EQUITY BACKTEST'!A1132</f>
        <v>44071.66667</v>
      </c>
      <c r="B1129" s="22">
        <f>'EQUITY BACKTEST'!B1132</f>
        <v>3508.01</v>
      </c>
      <c r="C1129" s="22">
        <f>1/'EQUITY BACKTEST'!E1132</f>
        <v>0.8484642797</v>
      </c>
      <c r="D1129" s="22">
        <f t="shared" si="7"/>
        <v>-0.2563184564</v>
      </c>
      <c r="E1129" s="22">
        <f t="shared" si="3"/>
        <v>0.03263019699</v>
      </c>
      <c r="F1129" s="22">
        <f t="shared" si="6"/>
        <v>0.198721322</v>
      </c>
      <c r="H1129" s="22" t="str">
        <f t="shared" si="4"/>
        <v/>
      </c>
      <c r="I1129" s="22" t="str">
        <f t="shared" si="1"/>
        <v>#N/A</v>
      </c>
      <c r="J1129" s="22" t="str">
        <f t="shared" si="2"/>
        <v>#N/A</v>
      </c>
      <c r="K1129" s="22" t="str">
        <f t="array" ref="K1129">IF(H1129="Crash",MATCH(TRUE, B1130:B1227 &gt;= B1128, 0),"")</f>
        <v/>
      </c>
    </row>
    <row r="1130" ht="15.75" customHeight="1">
      <c r="A1130" s="32">
        <f>'EQUITY BACKTEST'!A1133</f>
        <v>44078.66667</v>
      </c>
      <c r="B1130" s="22">
        <f>'EQUITY BACKTEST'!B1133</f>
        <v>3426.96</v>
      </c>
      <c r="C1130" s="22">
        <f>1/'EQUITY BACKTEST'!E1133</f>
        <v>0.8445375312</v>
      </c>
      <c r="D1130" s="22">
        <f t="shared" si="7"/>
        <v>-0.198391142</v>
      </c>
      <c r="E1130" s="22">
        <f t="shared" si="3"/>
        <v>-0.02310426709</v>
      </c>
      <c r="F1130" s="22">
        <f t="shared" si="6"/>
        <v>0.1504846058</v>
      </c>
      <c r="H1130" s="22" t="str">
        <f t="shared" si="4"/>
        <v/>
      </c>
      <c r="I1130" s="22" t="str">
        <f t="shared" si="1"/>
        <v>#N/A</v>
      </c>
      <c r="J1130" s="22" t="str">
        <f t="shared" si="2"/>
        <v>#N/A</v>
      </c>
      <c r="K1130" s="22" t="str">
        <f t="array" ref="K1130">IF(H1130="Crash",MATCH(TRUE, B1131:B1228 &gt;= B1129, 0),"")</f>
        <v/>
      </c>
    </row>
    <row r="1131" ht="15.75" customHeight="1">
      <c r="A1131" s="32">
        <f>'EQUITY BACKTEST'!A1134</f>
        <v>44085.66667</v>
      </c>
      <c r="B1131" s="22">
        <f>'EQUITY BACKTEST'!B1134</f>
        <v>3340.97</v>
      </c>
      <c r="C1131" s="22">
        <f>1/'EQUITY BACKTEST'!E1134</f>
        <v>0.8482627579</v>
      </c>
      <c r="D1131" s="22">
        <f t="shared" si="7"/>
        <v>-0.13280155</v>
      </c>
      <c r="E1131" s="22">
        <f t="shared" si="3"/>
        <v>-0.02509221001</v>
      </c>
      <c r="F1131" s="22">
        <f t="shared" si="6"/>
        <v>0.1109201002</v>
      </c>
      <c r="H1131" s="22" t="str">
        <f t="shared" si="4"/>
        <v/>
      </c>
      <c r="I1131" s="22" t="str">
        <f t="shared" si="1"/>
        <v>#N/A</v>
      </c>
      <c r="J1131" s="22" t="str">
        <f t="shared" si="2"/>
        <v>#N/A</v>
      </c>
      <c r="K1131" s="22" t="str">
        <f t="array" ref="K1131">IF(H1131="Crash",MATCH(TRUE, B1132:B1229 &gt;= B1130, 0),"")</f>
        <v/>
      </c>
    </row>
    <row r="1132" ht="15.75" customHeight="1">
      <c r="A1132" s="32">
        <f>'EQUITY BACKTEST'!A1135</f>
        <v>44092.66667</v>
      </c>
      <c r="B1132" s="22">
        <f>'EQUITY BACKTEST'!B1135</f>
        <v>3319.47</v>
      </c>
      <c r="C1132" s="22">
        <f>1/'EQUITY BACKTEST'!E1135</f>
        <v>0.8408731627</v>
      </c>
      <c r="D1132" s="22">
        <f t="shared" si="7"/>
        <v>-0.07967513246</v>
      </c>
      <c r="E1132" s="22">
        <f t="shared" si="3"/>
        <v>-0.006435256827</v>
      </c>
      <c r="F1132" s="22">
        <f t="shared" si="6"/>
        <v>0.1094225737</v>
      </c>
      <c r="H1132" s="22" t="str">
        <f t="shared" si="4"/>
        <v/>
      </c>
      <c r="I1132" s="22" t="str">
        <f t="shared" si="1"/>
        <v>#N/A</v>
      </c>
      <c r="J1132" s="22" t="str">
        <f t="shared" si="2"/>
        <v>#N/A</v>
      </c>
      <c r="K1132" s="22" t="str">
        <f t="array" ref="K1132">IF(H1132="Crash",MATCH(TRUE, B1133:B1230 &gt;= B1131, 0),"")</f>
        <v/>
      </c>
    </row>
    <row r="1133" ht="15.75" customHeight="1">
      <c r="A1133" s="32">
        <f>'EQUITY BACKTEST'!A1136</f>
        <v>44099.66667</v>
      </c>
      <c r="B1133" s="22">
        <f>'EQUITY BACKTEST'!B1136</f>
        <v>3298.46</v>
      </c>
      <c r="C1133" s="22">
        <f>1/'EQUITY BACKTEST'!E1136</f>
        <v>0.8450442381</v>
      </c>
      <c r="D1133" s="22">
        <f t="shared" si="7"/>
        <v>-0.05895306577</v>
      </c>
      <c r="E1133" s="22">
        <f t="shared" si="3"/>
        <v>-0.006329323657</v>
      </c>
      <c r="F1133" s="22">
        <f t="shared" si="6"/>
        <v>0.1136711246</v>
      </c>
      <c r="H1133" s="22" t="str">
        <f t="shared" si="4"/>
        <v/>
      </c>
      <c r="I1133" s="22" t="str">
        <f t="shared" si="1"/>
        <v>#N/A</v>
      </c>
      <c r="J1133" s="22" t="str">
        <f t="shared" si="2"/>
        <v>#N/A</v>
      </c>
      <c r="K1133" s="22" t="str">
        <f t="array" ref="K1133">IF(H1133="Crash",MATCH(TRUE, B1134:B1231 &gt;= B1132, 0),"")</f>
        <v/>
      </c>
    </row>
    <row r="1134" ht="15.75" customHeight="1">
      <c r="A1134" s="32">
        <f>'EQUITY BACKTEST'!A1137</f>
        <v>44106.66667</v>
      </c>
      <c r="B1134" s="22">
        <f>'EQUITY BACKTEST'!B1137</f>
        <v>3348.44</v>
      </c>
      <c r="C1134" s="22">
        <f>1/'EQUITY BACKTEST'!E1137</f>
        <v>0.8448157879</v>
      </c>
      <c r="D1134" s="22">
        <f t="shared" si="7"/>
        <v>-0.01776375439</v>
      </c>
      <c r="E1134" s="22">
        <f t="shared" si="3"/>
        <v>0.01515252572</v>
      </c>
      <c r="F1134" s="22">
        <f t="shared" si="6"/>
        <v>0.1342915505</v>
      </c>
      <c r="H1134" s="22" t="str">
        <f t="shared" si="4"/>
        <v/>
      </c>
      <c r="I1134" s="22" t="str">
        <f t="shared" si="1"/>
        <v>#N/A</v>
      </c>
      <c r="J1134" s="22" t="str">
        <f t="shared" si="2"/>
        <v>#N/A</v>
      </c>
      <c r="K1134" s="22" t="str">
        <f t="array" ref="K1134">IF(H1134="Crash",MATCH(TRUE, B1135:B1232 &gt;= B1133, 0),"")</f>
        <v/>
      </c>
    </row>
    <row r="1135" ht="15.75" customHeight="1">
      <c r="A1135" s="32">
        <f>'EQUITY BACKTEST'!A1138</f>
        <v>44113.66667</v>
      </c>
      <c r="B1135" s="22">
        <f>'EQUITY BACKTEST'!B1138</f>
        <v>3477.13</v>
      </c>
      <c r="C1135" s="22">
        <f>1/'EQUITY BACKTEST'!E1138</f>
        <v>0.844730151</v>
      </c>
      <c r="D1135" s="22">
        <f t="shared" si="7"/>
        <v>0.03506664696</v>
      </c>
      <c r="E1135" s="22">
        <f t="shared" si="3"/>
        <v>0.03843282245</v>
      </c>
      <c r="F1135" s="22">
        <f t="shared" si="6"/>
        <v>0.1706444195</v>
      </c>
      <c r="H1135" s="22" t="str">
        <f t="shared" si="4"/>
        <v/>
      </c>
      <c r="I1135" s="22" t="str">
        <f t="shared" si="1"/>
        <v>#N/A</v>
      </c>
      <c r="J1135" s="22" t="str">
        <f t="shared" si="2"/>
        <v>#N/A</v>
      </c>
      <c r="K1135" s="22" t="str">
        <f t="array" ref="K1135">IF(H1135="Crash",MATCH(TRUE, B1136:B1233 &gt;= B1134, 0),"")</f>
        <v/>
      </c>
    </row>
    <row r="1136" ht="15.75" customHeight="1">
      <c r="A1136" s="32">
        <f>'EQUITY BACKTEST'!A1139</f>
        <v>44120.66667</v>
      </c>
      <c r="B1136" s="22">
        <f>'EQUITY BACKTEST'!B1139</f>
        <v>3483.81</v>
      </c>
      <c r="C1136" s="22">
        <f>1/'EQUITY BACKTEST'!E1139</f>
        <v>0.8600522912</v>
      </c>
      <c r="D1136" s="22">
        <f t="shared" si="7"/>
        <v>0.08788512695</v>
      </c>
      <c r="E1136" s="22">
        <f t="shared" si="3"/>
        <v>0.001921124606</v>
      </c>
      <c r="F1136" s="22">
        <f t="shared" si="6"/>
        <v>0.166636528</v>
      </c>
      <c r="H1136" s="22" t="str">
        <f t="shared" si="4"/>
        <v/>
      </c>
      <c r="I1136" s="22" t="str">
        <f t="shared" si="1"/>
        <v>#N/A</v>
      </c>
      <c r="J1136" s="22" t="str">
        <f t="shared" si="2"/>
        <v>#N/A</v>
      </c>
      <c r="K1136" s="22" t="str">
        <f t="array" ref="K1136">IF(H1136="Crash",MATCH(TRUE, B1137:B1234 &gt;= B1135, 0),"")</f>
        <v/>
      </c>
    </row>
    <row r="1137" ht="15.75" customHeight="1">
      <c r="A1137" s="32">
        <f>'EQUITY BACKTEST'!A1140</f>
        <v>44127.66667</v>
      </c>
      <c r="B1137" s="22">
        <f>'EQUITY BACKTEST'!B1140</f>
        <v>3465.39</v>
      </c>
      <c r="C1137" s="22">
        <f>1/'EQUITY BACKTEST'!E1140</f>
        <v>0.8535773426</v>
      </c>
      <c r="D1137" s="22">
        <f t="shared" si="7"/>
        <v>0.2097197729</v>
      </c>
      <c r="E1137" s="22">
        <f t="shared" si="3"/>
        <v>-0.00528731475</v>
      </c>
      <c r="F1137" s="22">
        <f t="shared" si="6"/>
        <v>0.1465120511</v>
      </c>
      <c r="H1137" s="22" t="str">
        <f t="shared" si="4"/>
        <v/>
      </c>
      <c r="I1137" s="22" t="str">
        <f t="shared" si="1"/>
        <v>#N/A</v>
      </c>
      <c r="J1137" s="22" t="str">
        <f t="shared" si="2"/>
        <v>#N/A</v>
      </c>
      <c r="K1137" s="22" t="str">
        <f t="array" ref="K1137">IF(H1137="Crash",MATCH(TRUE, B1138:B1235 &gt;= B1136, 0),"")</f>
        <v/>
      </c>
    </row>
    <row r="1138" ht="15.75" customHeight="1">
      <c r="A1138" s="32">
        <f>'EQUITY BACKTEST'!A1141</f>
        <v>44134.66667</v>
      </c>
      <c r="B1138" s="22">
        <f>'EQUITY BACKTEST'!B1141</f>
        <v>3269.96</v>
      </c>
      <c r="C1138" s="22">
        <f>1/'EQUITY BACKTEST'!E1141</f>
        <v>0.8456516592</v>
      </c>
      <c r="D1138" s="22">
        <f t="shared" si="7"/>
        <v>0.3180672196</v>
      </c>
      <c r="E1138" s="22">
        <f t="shared" si="3"/>
        <v>-0.05639480693</v>
      </c>
      <c r="F1138" s="22">
        <f t="shared" si="6"/>
        <v>0.06620670316</v>
      </c>
      <c r="H1138" s="22" t="str">
        <f t="shared" si="4"/>
        <v>Crash</v>
      </c>
      <c r="I1138" s="22">
        <f t="shared" si="1"/>
        <v>-5.639480693</v>
      </c>
      <c r="J1138" s="22">
        <f t="shared" si="2"/>
        <v>31.80672196</v>
      </c>
      <c r="K1138" s="22">
        <f t="array" ref="K1138">IF(H1138="Crash",MATCH(TRUE, B1139:B1236 &gt;= B1137, 0),"")</f>
        <v>1</v>
      </c>
    </row>
    <row r="1139" ht="15.75" customHeight="1">
      <c r="A1139" s="32">
        <f>'EQUITY BACKTEST'!A1142</f>
        <v>44141.66667</v>
      </c>
      <c r="B1139" s="22">
        <f>'EQUITY BACKTEST'!B1142</f>
        <v>3509.44</v>
      </c>
      <c r="C1139" s="22">
        <f>1/'EQUITY BACKTEST'!E1142</f>
        <v>0.8540220167</v>
      </c>
      <c r="D1139" s="22">
        <f t="shared" si="7"/>
        <v>0.4160729549</v>
      </c>
      <c r="E1139" s="22">
        <f t="shared" si="3"/>
        <v>0.07323636986</v>
      </c>
      <c r="F1139" s="22">
        <f t="shared" si="6"/>
        <v>0.134610162</v>
      </c>
      <c r="H1139" s="22" t="str">
        <f t="shared" si="4"/>
        <v/>
      </c>
      <c r="I1139" s="22" t="str">
        <f t="shared" si="1"/>
        <v>#N/A</v>
      </c>
      <c r="J1139" s="22" t="str">
        <f t="shared" si="2"/>
        <v>#N/A</v>
      </c>
      <c r="K1139" s="22" t="str">
        <f t="array" ref="K1139">IF(H1139="Crash",MATCH(TRUE, B1140:B1237 &gt;= B1138, 0),"")</f>
        <v/>
      </c>
    </row>
    <row r="1140" ht="15.75" customHeight="1">
      <c r="A1140" s="32">
        <f>'EQUITY BACKTEST'!A1143</f>
        <v>44148.66667</v>
      </c>
      <c r="B1140" s="22">
        <f>'EQUITY BACKTEST'!B1143</f>
        <v>3585.15</v>
      </c>
      <c r="C1140" s="22">
        <f>1/'EQUITY BACKTEST'!E1143</f>
        <v>0.8435828651</v>
      </c>
      <c r="D1140" s="22">
        <f t="shared" si="7"/>
        <v>0.5154991688</v>
      </c>
      <c r="E1140" s="22">
        <f t="shared" si="3"/>
        <v>0.02157324245</v>
      </c>
      <c r="F1140" s="22">
        <f t="shared" si="6"/>
        <v>0.1489171468</v>
      </c>
      <c r="H1140" s="22" t="str">
        <f t="shared" si="4"/>
        <v/>
      </c>
      <c r="I1140" s="22" t="str">
        <f t="shared" si="1"/>
        <v>#N/A</v>
      </c>
      <c r="J1140" s="22" t="str">
        <f t="shared" si="2"/>
        <v>#N/A</v>
      </c>
      <c r="K1140" s="22" t="str">
        <f t="array" ref="K1140">IF(H1140="Crash",MATCH(TRUE, B1141:B1238 &gt;= B1139, 0),"")</f>
        <v/>
      </c>
    </row>
    <row r="1141" ht="15.75" customHeight="1">
      <c r="A1141" s="32">
        <f>'EQUITY BACKTEST'!A1144</f>
        <v>44155.66667</v>
      </c>
      <c r="B1141" s="22">
        <f>'EQUITY BACKTEST'!B1144</f>
        <v>3557.54</v>
      </c>
      <c r="C1141" s="22">
        <f>1/'EQUITY BACKTEST'!E1144</f>
        <v>0.8565310493</v>
      </c>
      <c r="D1141" s="22">
        <f t="shared" si="7"/>
        <v>0.5774404548</v>
      </c>
      <c r="E1141" s="22">
        <f t="shared" si="3"/>
        <v>-0.007701211944</v>
      </c>
      <c r="F1141" s="22">
        <f t="shared" si="6"/>
        <v>0.1437968807</v>
      </c>
      <c r="H1141" s="22" t="str">
        <f t="shared" si="4"/>
        <v/>
      </c>
      <c r="I1141" s="22" t="str">
        <f t="shared" si="1"/>
        <v>#N/A</v>
      </c>
      <c r="J1141" s="22" t="str">
        <f t="shared" si="2"/>
        <v>#N/A</v>
      </c>
      <c r="K1141" s="22" t="str">
        <f t="array" ref="K1141">IF(H1141="Crash",MATCH(TRUE, B1142:B1239 &gt;= B1140, 0),"")</f>
        <v/>
      </c>
    </row>
    <row r="1142" ht="15.75" customHeight="1">
      <c r="A1142" s="32">
        <f>'EQUITY BACKTEST'!A1145</f>
        <v>44162.54167</v>
      </c>
      <c r="B1142" s="22">
        <f>'EQUITY BACKTEST'!B1145</f>
        <v>3638.35</v>
      </c>
      <c r="C1142" s="22">
        <f>1/'EQUITY BACKTEST'!E1145</f>
        <v>0.8423180593</v>
      </c>
      <c r="D1142" s="22">
        <f t="shared" si="7"/>
        <v>0.6771170659</v>
      </c>
      <c r="E1142" s="22">
        <f t="shared" si="3"/>
        <v>0.02271513462</v>
      </c>
      <c r="F1142" s="22">
        <f t="shared" si="6"/>
        <v>0.1583486683</v>
      </c>
      <c r="H1142" s="22" t="str">
        <f t="shared" si="4"/>
        <v/>
      </c>
      <c r="I1142" s="22" t="str">
        <f t="shared" si="1"/>
        <v>#N/A</v>
      </c>
      <c r="J1142" s="22" t="str">
        <f t="shared" si="2"/>
        <v>#N/A</v>
      </c>
      <c r="K1142" s="22" t="str">
        <f t="array" ref="K1142">IF(H1142="Crash",MATCH(TRUE, B1143:B1240 &gt;= B1141, 0),"")</f>
        <v/>
      </c>
    </row>
    <row r="1143" ht="15.75" customHeight="1">
      <c r="A1143" s="32">
        <f>'EQUITY BACKTEST'!A1146</f>
        <v>44169.66667</v>
      </c>
      <c r="B1143" s="22">
        <f>'EQUITY BACKTEST'!B1146</f>
        <v>3699.12</v>
      </c>
      <c r="C1143" s="22">
        <f>1/'EQUITY BACKTEST'!E1146</f>
        <v>0.845487212</v>
      </c>
      <c r="D1143" s="22">
        <f t="shared" si="7"/>
        <v>0.711276486</v>
      </c>
      <c r="E1143" s="22">
        <f t="shared" si="3"/>
        <v>0.01670262619</v>
      </c>
      <c r="F1143" s="22">
        <f t="shared" si="6"/>
        <v>0.1758505488</v>
      </c>
      <c r="H1143" s="22" t="str">
        <f t="shared" si="4"/>
        <v/>
      </c>
      <c r="I1143" s="22" t="str">
        <f t="shared" si="1"/>
        <v>#N/A</v>
      </c>
      <c r="J1143" s="22" t="str">
        <f t="shared" si="2"/>
        <v>#N/A</v>
      </c>
      <c r="K1143" s="22" t="str">
        <f t="array" ref="K1143">IF(H1143="Crash",MATCH(TRUE, B1144:B1241 &gt;= B1142, 0),"")</f>
        <v/>
      </c>
    </row>
    <row r="1144" ht="15.75" customHeight="1">
      <c r="A1144" s="32">
        <f>'EQUITY BACKTEST'!A1147</f>
        <v>44176.66667</v>
      </c>
      <c r="B1144" s="22">
        <f>'EQUITY BACKTEST'!B1147</f>
        <v>3663.46</v>
      </c>
      <c r="C1144" s="22">
        <f>1/'EQUITY BACKTEST'!E1147</f>
        <v>0.8436967416</v>
      </c>
      <c r="D1144" s="22">
        <f t="shared" si="7"/>
        <v>0.7557945644</v>
      </c>
      <c r="E1144" s="22">
        <f t="shared" si="3"/>
        <v>-0.009640130626</v>
      </c>
      <c r="F1144" s="22">
        <f t="shared" si="6"/>
        <v>0.1561032568</v>
      </c>
      <c r="H1144" s="22" t="str">
        <f t="shared" si="4"/>
        <v/>
      </c>
      <c r="I1144" s="22" t="str">
        <f t="shared" si="1"/>
        <v>#N/A</v>
      </c>
      <c r="J1144" s="22" t="str">
        <f t="shared" si="2"/>
        <v>#N/A</v>
      </c>
      <c r="K1144" s="22" t="str">
        <f t="array" ref="K1144">IF(H1144="Crash",MATCH(TRUE, B1145:B1242 &gt;= B1143, 0),"")</f>
        <v/>
      </c>
    </row>
    <row r="1145" ht="15.75" customHeight="1">
      <c r="A1145" s="32">
        <f>'EQUITY BACKTEST'!A1148</f>
        <v>44183.66667</v>
      </c>
      <c r="B1145" s="22">
        <f>'EQUITY BACKTEST'!B1148</f>
        <v>3709.41</v>
      </c>
      <c r="C1145" s="22">
        <f>1/'EQUITY BACKTEST'!E1148</f>
        <v>0.8359806052</v>
      </c>
      <c r="D1145" s="22">
        <f t="shared" si="7"/>
        <v>0.7904893197</v>
      </c>
      <c r="E1145" s="22">
        <f t="shared" si="3"/>
        <v>0.01254278742</v>
      </c>
      <c r="F1145" s="22">
        <f t="shared" si="6"/>
        <v>0.15155438</v>
      </c>
      <c r="H1145" s="22" t="str">
        <f t="shared" si="4"/>
        <v/>
      </c>
      <c r="I1145" s="22" t="str">
        <f t="shared" si="1"/>
        <v>#N/A</v>
      </c>
      <c r="J1145" s="22" t="str">
        <f t="shared" si="2"/>
        <v>#N/A</v>
      </c>
      <c r="K1145" s="22" t="str">
        <f t="array" ref="K1145">IF(H1145="Crash",MATCH(TRUE, B1146:B1243 &gt;= B1144, 0),"")</f>
        <v/>
      </c>
    </row>
    <row r="1146" ht="15.75" customHeight="1">
      <c r="A1146" s="32">
        <f>'EQUITY BACKTEST'!A1149</f>
        <v>44188.66667</v>
      </c>
      <c r="B1146" s="22">
        <f>'EQUITY BACKTEST'!B1149</f>
        <v>3690.01</v>
      </c>
      <c r="C1146" s="22">
        <f>1/'EQUITY BACKTEST'!E1149</f>
        <v>0.8250825083</v>
      </c>
      <c r="D1146" s="22">
        <f t="shared" si="7"/>
        <v>0.8146559231</v>
      </c>
      <c r="E1146" s="22">
        <f t="shared" si="3"/>
        <v>-0.005229942228</v>
      </c>
      <c r="F1146" s="22">
        <f t="shared" si="6"/>
        <v>0.1388849452</v>
      </c>
      <c r="H1146" s="22" t="str">
        <f t="shared" si="4"/>
        <v/>
      </c>
      <c r="I1146" s="22" t="str">
        <f t="shared" si="1"/>
        <v>#N/A</v>
      </c>
      <c r="J1146" s="22" t="str">
        <f t="shared" si="2"/>
        <v>#N/A</v>
      </c>
      <c r="K1146" s="22" t="str">
        <f t="array" ref="K1146">IF(H1146="Crash",MATCH(TRUE, B1147:B1244 &gt;= B1145, 0),"")</f>
        <v/>
      </c>
    </row>
    <row r="1147" ht="15.75" customHeight="1">
      <c r="A1147" s="32">
        <f>'EQUITY BACKTEST'!A1150</f>
        <v>44196.66667</v>
      </c>
      <c r="B1147" s="22">
        <f>'EQUITY BACKTEST'!B1150</f>
        <v>3756.07</v>
      </c>
      <c r="C1147" s="22">
        <f>1/'EQUITY BACKTEST'!E1150</f>
        <v>0.8255593164</v>
      </c>
      <c r="D1147" s="22">
        <f t="shared" si="7"/>
        <v>0.8265276689</v>
      </c>
      <c r="E1147" s="22">
        <f t="shared" si="3"/>
        <v>0.01790239051</v>
      </c>
      <c r="F1147" s="22">
        <f t="shared" si="6"/>
        <v>0.1611264819</v>
      </c>
      <c r="H1147" s="22" t="str">
        <f t="shared" si="4"/>
        <v/>
      </c>
      <c r="I1147" s="22" t="str">
        <f t="shared" si="1"/>
        <v>#N/A</v>
      </c>
      <c r="J1147" s="22" t="str">
        <f t="shared" si="2"/>
        <v>#N/A</v>
      </c>
      <c r="K1147" s="22" t="str">
        <f t="array" ref="K1147">IF(H1147="Crash",MATCH(TRUE, B1148:B1245 &gt;= B1146, 0),"")</f>
        <v/>
      </c>
    </row>
    <row r="1148" ht="15.75" customHeight="1">
      <c r="A1148" s="32">
        <f>'EQUITY BACKTEST'!A1151</f>
        <v>44204.66667</v>
      </c>
      <c r="B1148" s="22">
        <f>'EQUITY BACKTEST'!B1151</f>
        <v>3824.68</v>
      </c>
      <c r="C1148" s="22">
        <f>1/'EQUITY BACKTEST'!E1151</f>
        <v>0.8160134479</v>
      </c>
      <c r="D1148" s="22">
        <f t="shared" si="7"/>
        <v>0.8280982368</v>
      </c>
      <c r="E1148" s="22">
        <f t="shared" si="3"/>
        <v>0.01826643273</v>
      </c>
      <c r="F1148" s="22">
        <f t="shared" si="6"/>
        <v>0.1712925108</v>
      </c>
      <c r="H1148" s="22" t="str">
        <f t="shared" si="4"/>
        <v/>
      </c>
      <c r="I1148" s="22" t="str">
        <f t="shared" si="1"/>
        <v>#N/A</v>
      </c>
      <c r="J1148" s="22" t="str">
        <f t="shared" si="2"/>
        <v>#N/A</v>
      </c>
      <c r="K1148" s="22" t="str">
        <f t="array" ref="K1148">IF(H1148="Crash",MATCH(TRUE, B1149:B1246 &gt;= B1147, 0),"")</f>
        <v/>
      </c>
    </row>
    <row r="1149" ht="15.75" customHeight="1">
      <c r="A1149" s="32">
        <f>'EQUITY BACKTEST'!A1152</f>
        <v>44211.66667</v>
      </c>
      <c r="B1149" s="22">
        <f>'EQUITY BACKTEST'!B1152</f>
        <v>3768.25</v>
      </c>
      <c r="C1149" s="22">
        <f>1/'EQUITY BACKTEST'!E1152</f>
        <v>0.8229775327</v>
      </c>
      <c r="D1149" s="22">
        <f t="shared" si="7"/>
        <v>0.824601143</v>
      </c>
      <c r="E1149" s="22">
        <f t="shared" si="3"/>
        <v>-0.01475417551</v>
      </c>
      <c r="F1149" s="22">
        <f t="shared" si="6"/>
        <v>0.1317357536</v>
      </c>
      <c r="H1149" s="22" t="str">
        <f t="shared" si="4"/>
        <v/>
      </c>
      <c r="I1149" s="22" t="str">
        <f t="shared" si="1"/>
        <v>#N/A</v>
      </c>
      <c r="J1149" s="22" t="str">
        <f t="shared" si="2"/>
        <v>#N/A</v>
      </c>
      <c r="K1149" s="22" t="str">
        <f t="array" ref="K1149">IF(H1149="Crash",MATCH(TRUE, B1150:B1247 &gt;= B1148, 0),"")</f>
        <v/>
      </c>
    </row>
    <row r="1150" ht="15.75" customHeight="1">
      <c r="A1150" s="32">
        <f>'EQUITY BACKTEST'!A1153</f>
        <v>44218.66667</v>
      </c>
      <c r="B1150" s="22">
        <f>'EQUITY BACKTEST'!B1153</f>
        <v>3841.47</v>
      </c>
      <c r="C1150" s="22">
        <f>1/'EQUITY BACKTEST'!E1153</f>
        <v>0.8325840077</v>
      </c>
      <c r="D1150" s="22">
        <f t="shared" si="7"/>
        <v>0.8085436322</v>
      </c>
      <c r="E1150" s="22">
        <f t="shared" si="3"/>
        <v>0.01943077025</v>
      </c>
      <c r="F1150" s="22">
        <f t="shared" si="6"/>
        <v>0.1656819816</v>
      </c>
      <c r="H1150" s="22" t="str">
        <f t="shared" si="4"/>
        <v/>
      </c>
      <c r="I1150" s="22" t="str">
        <f t="shared" si="1"/>
        <v>#N/A</v>
      </c>
      <c r="J1150" s="22" t="str">
        <f t="shared" si="2"/>
        <v>#N/A</v>
      </c>
      <c r="K1150" s="22" t="str">
        <f t="array" ref="K1150">IF(H1150="Crash",MATCH(TRUE, B1151:B1248 &gt;= B1149, 0),"")</f>
        <v/>
      </c>
    </row>
    <row r="1151" ht="15.75" customHeight="1">
      <c r="A1151" s="32">
        <f>'EQUITY BACKTEST'!A1154</f>
        <v>44225.66667</v>
      </c>
      <c r="B1151" s="22">
        <f>'EQUITY BACKTEST'!B1154</f>
        <v>3714.24</v>
      </c>
      <c r="C1151" s="22">
        <f>1/'EQUITY BACKTEST'!E1154</f>
        <v>0.8182636445</v>
      </c>
      <c r="D1151" s="22">
        <f t="shared" si="7"/>
        <v>0.8027396815</v>
      </c>
      <c r="E1151" s="22">
        <f t="shared" si="3"/>
        <v>-0.0331201337</v>
      </c>
      <c r="F1151" s="22">
        <f t="shared" si="6"/>
        <v>0.1515166547</v>
      </c>
      <c r="H1151" s="22" t="str">
        <f t="shared" si="4"/>
        <v/>
      </c>
      <c r="I1151" s="22" t="str">
        <f t="shared" si="1"/>
        <v>#N/A</v>
      </c>
      <c r="J1151" s="22" t="str">
        <f t="shared" si="2"/>
        <v>#N/A</v>
      </c>
      <c r="K1151" s="22" t="str">
        <f t="array" ref="K1151">IF(H1151="Crash",MATCH(TRUE, B1152:B1249 &gt;= B1150, 0),"")</f>
        <v/>
      </c>
    </row>
    <row r="1152" ht="15.75" customHeight="1">
      <c r="A1152" s="32">
        <f>'EQUITY BACKTEST'!A1155</f>
        <v>44232.66667</v>
      </c>
      <c r="B1152" s="22">
        <f>'EQUITY BACKTEST'!B1155</f>
        <v>3886.83</v>
      </c>
      <c r="C1152" s="22">
        <f>1/'EQUITY BACKTEST'!E1155</f>
        <v>0.8281573499</v>
      </c>
      <c r="D1152" s="22">
        <f t="shared" si="7"/>
        <v>0.7948507707</v>
      </c>
      <c r="E1152" s="22">
        <f t="shared" si="3"/>
        <v>0.04646711036</v>
      </c>
      <c r="F1152" s="22">
        <f t="shared" si="6"/>
        <v>0.1680194488</v>
      </c>
      <c r="H1152" s="22" t="str">
        <f t="shared" si="4"/>
        <v/>
      </c>
      <c r="I1152" s="22" t="str">
        <f t="shared" si="1"/>
        <v>#N/A</v>
      </c>
      <c r="J1152" s="22" t="str">
        <f t="shared" si="2"/>
        <v>#N/A</v>
      </c>
      <c r="K1152" s="22" t="str">
        <f t="array" ref="K1152">IF(H1152="Crash",MATCH(TRUE, B1153:B1250 &gt;= B1151, 0),"")</f>
        <v/>
      </c>
    </row>
    <row r="1153" ht="15.75" customHeight="1">
      <c r="A1153" s="32">
        <f>'EQUITY BACKTEST'!A1156</f>
        <v>44239.66667</v>
      </c>
      <c r="B1153" s="22">
        <f>'EQUITY BACKTEST'!B1156</f>
        <v>3934.83</v>
      </c>
      <c r="C1153" s="22">
        <f>1/'EQUITY BACKTEST'!E1156</f>
        <v>0.8255320554</v>
      </c>
      <c r="D1153" s="22">
        <f t="shared" si="7"/>
        <v>0.7811649871</v>
      </c>
      <c r="E1153" s="22">
        <f t="shared" si="3"/>
        <v>0.01234939527</v>
      </c>
      <c r="F1153" s="22">
        <f t="shared" si="6"/>
        <v>0.1640957824</v>
      </c>
      <c r="H1153" s="22" t="str">
        <f t="shared" si="4"/>
        <v/>
      </c>
      <c r="I1153" s="22" t="str">
        <f t="shared" si="1"/>
        <v>#N/A</v>
      </c>
      <c r="J1153" s="22" t="str">
        <f t="shared" si="2"/>
        <v>#N/A</v>
      </c>
      <c r="K1153" s="22" t="str">
        <f t="array" ref="K1153">IF(H1153="Crash",MATCH(TRUE, B1154:B1251 &gt;= B1152, 0),"")</f>
        <v/>
      </c>
    </row>
    <row r="1154" ht="15.75" customHeight="1">
      <c r="A1154" s="32">
        <f>'EQUITY BACKTEST'!A1157</f>
        <v>44246.66667</v>
      </c>
      <c r="B1154" s="22">
        <f>'EQUITY BACKTEST'!B1157</f>
        <v>3906.71</v>
      </c>
      <c r="C1154" s="22">
        <f>1/'EQUITY BACKTEST'!E1157</f>
        <v>0.8239947264</v>
      </c>
      <c r="D1154" s="22">
        <f t="shared" si="7"/>
        <v>0.7355224994</v>
      </c>
      <c r="E1154" s="22">
        <f t="shared" si="3"/>
        <v>-0.007146433264</v>
      </c>
      <c r="F1154" s="22">
        <f t="shared" si="6"/>
        <v>0.1704621377</v>
      </c>
      <c r="H1154" s="22" t="str">
        <f t="shared" si="4"/>
        <v/>
      </c>
      <c r="I1154" s="22" t="str">
        <f t="shared" si="1"/>
        <v>#N/A</v>
      </c>
      <c r="J1154" s="22" t="str">
        <f t="shared" si="2"/>
        <v>#N/A</v>
      </c>
      <c r="K1154" s="22" t="str">
        <f t="array" ref="K1154">IF(H1154="Crash",MATCH(TRUE, B1155:B1252 &gt;= B1153, 0),"")</f>
        <v/>
      </c>
    </row>
    <row r="1155" ht="15.75" customHeight="1">
      <c r="A1155" s="32">
        <f>'EQUITY BACKTEST'!A1158</f>
        <v>44253.66667</v>
      </c>
      <c r="B1155" s="22">
        <f>'EQUITY BACKTEST'!B1158</f>
        <v>3811.15</v>
      </c>
      <c r="C1155" s="22">
        <f>1/'EQUITY BACKTEST'!E1158</f>
        <v>0.8305578857</v>
      </c>
      <c r="D1155" s="22">
        <f t="shared" si="7"/>
        <v>0.7197338259</v>
      </c>
      <c r="E1155" s="22">
        <f t="shared" si="3"/>
        <v>-0.02446047953</v>
      </c>
      <c r="F1155" s="22">
        <f t="shared" si="6"/>
        <v>0.2900697985</v>
      </c>
      <c r="H1155" s="22" t="str">
        <f t="shared" si="4"/>
        <v/>
      </c>
      <c r="I1155" s="22" t="str">
        <f t="shared" si="1"/>
        <v>#N/A</v>
      </c>
      <c r="J1155" s="22" t="str">
        <f t="shared" si="2"/>
        <v>#N/A</v>
      </c>
      <c r="K1155" s="22" t="str">
        <f t="array" ref="K1155">IF(H1155="Crash",MATCH(TRUE, B1156:B1253 &gt;= B1154, 0),"")</f>
        <v/>
      </c>
    </row>
    <row r="1156" ht="15.75" customHeight="1">
      <c r="A1156" s="32">
        <f>'EQUITY BACKTEST'!A1159</f>
        <v>44260.66667</v>
      </c>
      <c r="B1156" s="22">
        <f>'EQUITY BACKTEST'!B1159</f>
        <v>3841.94</v>
      </c>
      <c r="C1156" s="22">
        <f>1/'EQUITY BACKTEST'!E1159</f>
        <v>0.82515059</v>
      </c>
      <c r="D1156" s="22">
        <f t="shared" si="7"/>
        <v>0.7023836721</v>
      </c>
      <c r="E1156" s="22">
        <f t="shared" si="3"/>
        <v>0.008078926308</v>
      </c>
      <c r="F1156" s="22">
        <f t="shared" si="6"/>
        <v>0.2925510619</v>
      </c>
      <c r="H1156" s="22" t="str">
        <f t="shared" si="4"/>
        <v/>
      </c>
      <c r="I1156" s="22" t="str">
        <f t="shared" si="1"/>
        <v>#N/A</v>
      </c>
      <c r="J1156" s="22" t="str">
        <f t="shared" si="2"/>
        <v>#N/A</v>
      </c>
      <c r="K1156" s="22" t="str">
        <f t="array" ref="K1156">IF(H1156="Crash",MATCH(TRUE, B1157:B1254 &gt;= B1155, 0),"")</f>
        <v/>
      </c>
    </row>
    <row r="1157" ht="15.75" customHeight="1">
      <c r="A1157" s="32">
        <f>'EQUITY BACKTEST'!A1160</f>
        <v>44267.66667</v>
      </c>
      <c r="B1157" s="22">
        <f>'EQUITY BACKTEST'!B1160</f>
        <v>3943.34</v>
      </c>
      <c r="C1157" s="22">
        <f>1/'EQUITY BACKTEST'!E1160</f>
        <v>0.82515059</v>
      </c>
      <c r="D1157" s="22">
        <f t="shared" si="7"/>
        <v>0.6507178999</v>
      </c>
      <c r="E1157" s="22">
        <f t="shared" si="3"/>
        <v>0.02639291608</v>
      </c>
      <c r="F1157" s="22">
        <f t="shared" si="6"/>
        <v>0.4545595385</v>
      </c>
      <c r="H1157" s="22" t="str">
        <f t="shared" si="4"/>
        <v/>
      </c>
      <c r="I1157" s="22" t="str">
        <f t="shared" si="1"/>
        <v>#N/A</v>
      </c>
      <c r="J1157" s="22" t="str">
        <f t="shared" si="2"/>
        <v>#N/A</v>
      </c>
      <c r="K1157" s="22" t="str">
        <f t="array" ref="K1157">IF(H1157="Crash",MATCH(TRUE, B1158:B1255 &gt;= B1156, 0),"")</f>
        <v/>
      </c>
    </row>
    <row r="1158" ht="15.75" customHeight="1">
      <c r="A1158" s="32">
        <f>'EQUITY BACKTEST'!A1161</f>
        <v>44274.66667</v>
      </c>
      <c r="B1158" s="22">
        <f>'EQUITY BACKTEST'!B1161</f>
        <v>3913.1</v>
      </c>
      <c r="C1158" s="22">
        <f>1/'EQUITY BACKTEST'!E1161</f>
        <v>0.8285347363</v>
      </c>
      <c r="D1158" s="22">
        <f t="shared" si="7"/>
        <v>0.6299497988</v>
      </c>
      <c r="E1158" s="22">
        <f t="shared" si="3"/>
        <v>-0.007668626089</v>
      </c>
      <c r="F1158" s="22">
        <f t="shared" si="6"/>
        <v>0.6977161897</v>
      </c>
      <c r="H1158" s="22" t="str">
        <f t="shared" si="4"/>
        <v/>
      </c>
      <c r="I1158" s="22" t="str">
        <f t="shared" si="1"/>
        <v>#N/A</v>
      </c>
      <c r="J1158" s="22" t="str">
        <f t="shared" si="2"/>
        <v>#N/A</v>
      </c>
      <c r="K1158" s="22" t="str">
        <f t="array" ref="K1158">IF(H1158="Crash",MATCH(TRUE, B1159:B1256 &gt;= B1157, 0),"")</f>
        <v/>
      </c>
    </row>
    <row r="1159" ht="15.75" customHeight="1">
      <c r="A1159" s="32">
        <f>'EQUITY BACKTEST'!A1162</f>
        <v>44281.66667</v>
      </c>
      <c r="B1159" s="22">
        <f>'EQUITY BACKTEST'!B1162</f>
        <v>3974.54</v>
      </c>
      <c r="C1159" s="22">
        <f>1/'EQUITY BACKTEST'!E1162</f>
        <v>0.8397151686</v>
      </c>
      <c r="D1159" s="22">
        <f t="shared" si="7"/>
        <v>0.6087857001</v>
      </c>
      <c r="E1159" s="22">
        <f t="shared" si="3"/>
        <v>0.01570110654</v>
      </c>
      <c r="F1159" s="22">
        <f t="shared" si="6"/>
        <v>0.5638744506</v>
      </c>
      <c r="H1159" s="22" t="str">
        <f t="shared" si="4"/>
        <v/>
      </c>
      <c r="I1159" s="22" t="str">
        <f t="shared" si="1"/>
        <v>#N/A</v>
      </c>
      <c r="J1159" s="22" t="str">
        <f t="shared" si="2"/>
        <v>#N/A</v>
      </c>
      <c r="K1159" s="22" t="str">
        <f t="array" ref="K1159">IF(H1159="Crash",MATCH(TRUE, B1160:B1257 &gt;= B1158, 0),"")</f>
        <v/>
      </c>
    </row>
    <row r="1160" ht="15.75" customHeight="1">
      <c r="A1160" s="32">
        <f>'EQUITY BACKTEST'!A1163</f>
        <v>44287.66667</v>
      </c>
      <c r="B1160" s="22">
        <f>'EQUITY BACKTEST'!B1163</f>
        <v>4019.87</v>
      </c>
      <c r="C1160" s="22">
        <f>1/'EQUITY BACKTEST'!E1163</f>
        <v>0.8366590531</v>
      </c>
      <c r="D1160" s="22">
        <f t="shared" si="7"/>
        <v>0.6054224918</v>
      </c>
      <c r="E1160" s="22">
        <f t="shared" si="3"/>
        <v>0.01140509342</v>
      </c>
      <c r="F1160" s="22">
        <f t="shared" si="6"/>
        <v>0.6152813775</v>
      </c>
      <c r="H1160" s="22" t="str">
        <f t="shared" si="4"/>
        <v/>
      </c>
      <c r="I1160" s="22" t="str">
        <f t="shared" si="1"/>
        <v>#N/A</v>
      </c>
      <c r="J1160" s="22" t="str">
        <f t="shared" si="2"/>
        <v>#N/A</v>
      </c>
      <c r="K1160" s="22" t="str">
        <f t="array" ref="K1160">IF(H1160="Crash",MATCH(TRUE, B1161:B1258 &gt;= B1159, 0),"")</f>
        <v/>
      </c>
    </row>
    <row r="1161" ht="15.75" customHeight="1">
      <c r="A1161" s="32">
        <f>'EQUITY BACKTEST'!A1164</f>
        <v>44295.66667</v>
      </c>
      <c r="B1161" s="22">
        <f>'EQUITY BACKTEST'!B1164</f>
        <v>4128.8</v>
      </c>
      <c r="C1161" s="22">
        <f>1/'EQUITY BACKTEST'!E1164</f>
        <v>0.8371002846</v>
      </c>
      <c r="D1161" s="22">
        <f t="shared" si="7"/>
        <v>0.5935541046</v>
      </c>
      <c r="E1161" s="22">
        <f t="shared" si="3"/>
        <v>0.02709789123</v>
      </c>
      <c r="F1161" s="22">
        <f t="shared" si="6"/>
        <v>0.4799521116</v>
      </c>
      <c r="H1161" s="22" t="str">
        <f t="shared" si="4"/>
        <v/>
      </c>
      <c r="I1161" s="22" t="str">
        <f t="shared" si="1"/>
        <v>#N/A</v>
      </c>
      <c r="J1161" s="22" t="str">
        <f t="shared" si="2"/>
        <v>#N/A</v>
      </c>
      <c r="K1161" s="22" t="str">
        <f t="array" ref="K1161">IF(H1161="Crash",MATCH(TRUE, B1162:B1259 &gt;= B1160, 0),"")</f>
        <v/>
      </c>
    </row>
    <row r="1162" ht="15.75" customHeight="1">
      <c r="A1162" s="32">
        <f>'EQUITY BACKTEST'!A1165</f>
        <v>44302.66667</v>
      </c>
      <c r="B1162" s="22">
        <f>'EQUITY BACKTEST'!B1165</f>
        <v>4185.47</v>
      </c>
      <c r="C1162" s="22">
        <f>1/'EQUITY BACKTEST'!E1165</f>
        <v>0.8458805617</v>
      </c>
      <c r="D1162" s="22">
        <f t="shared" si="7"/>
        <v>0.5534080086</v>
      </c>
      <c r="E1162" s="22">
        <f t="shared" si="3"/>
        <v>0.01372553769</v>
      </c>
      <c r="F1162" s="22">
        <f t="shared" si="6"/>
        <v>0.4560384894</v>
      </c>
      <c r="H1162" s="22" t="str">
        <f t="shared" si="4"/>
        <v/>
      </c>
      <c r="I1162" s="22" t="str">
        <f t="shared" si="1"/>
        <v>#N/A</v>
      </c>
      <c r="J1162" s="22" t="str">
        <f t="shared" si="2"/>
        <v>#N/A</v>
      </c>
      <c r="K1162" s="22" t="str">
        <f t="array" ref="K1162">IF(H1162="Crash",MATCH(TRUE, B1163:B1260 &gt;= B1161, 0),"")</f>
        <v/>
      </c>
    </row>
    <row r="1163" ht="15.75" customHeight="1">
      <c r="A1163" s="32">
        <f>'EQUITY BACKTEST'!A1166</f>
        <v>44309.66667</v>
      </c>
      <c r="B1163" s="22">
        <f>'EQUITY BACKTEST'!B1166</f>
        <v>4180.17</v>
      </c>
      <c r="C1163" s="22">
        <f>1/'EQUITY BACKTEST'!E1166</f>
        <v>0.8502678344</v>
      </c>
      <c r="D1163" s="22">
        <f t="shared" si="7"/>
        <v>0.4975768305</v>
      </c>
      <c r="E1163" s="22">
        <f t="shared" si="3"/>
        <v>-0.001266285507</v>
      </c>
      <c r="F1163" s="22">
        <f t="shared" si="6"/>
        <v>0.4735823516</v>
      </c>
      <c r="H1163" s="22" t="str">
        <f t="shared" si="4"/>
        <v/>
      </c>
      <c r="I1163" s="22" t="str">
        <f t="shared" si="1"/>
        <v>#N/A</v>
      </c>
      <c r="J1163" s="22" t="str">
        <f t="shared" si="2"/>
        <v>#N/A</v>
      </c>
      <c r="K1163" s="22" t="str">
        <f t="array" ref="K1163">IF(H1163="Crash",MATCH(TRUE, B1164:B1261 &gt;= B1162, 0),"")</f>
        <v/>
      </c>
    </row>
    <row r="1164" ht="15.75" customHeight="1">
      <c r="A1164" s="32">
        <f>'EQUITY BACKTEST'!A1167</f>
        <v>44316.66667</v>
      </c>
      <c r="B1164" s="22">
        <f>'EQUITY BACKTEST'!B1167</f>
        <v>4181.17</v>
      </c>
      <c r="C1164" s="22">
        <f>1/'EQUITY BACKTEST'!E1167</f>
        <v>0.8403361345</v>
      </c>
      <c r="D1164" s="22">
        <f t="shared" si="7"/>
        <v>0.3869792305</v>
      </c>
      <c r="E1164" s="22">
        <f t="shared" si="3"/>
        <v>0.0002392247205</v>
      </c>
      <c r="F1164" s="22">
        <f t="shared" si="6"/>
        <v>0.4770746562</v>
      </c>
      <c r="H1164" s="22" t="str">
        <f t="shared" si="4"/>
        <v/>
      </c>
      <c r="I1164" s="22" t="str">
        <f t="shared" si="1"/>
        <v>#N/A</v>
      </c>
      <c r="J1164" s="22" t="str">
        <f t="shared" si="2"/>
        <v>#N/A</v>
      </c>
      <c r="K1164" s="22" t="str">
        <f t="array" ref="K1164">IF(H1164="Crash",MATCH(TRUE, B1165:B1262 &gt;= B1163, 0),"")</f>
        <v/>
      </c>
    </row>
    <row r="1165" ht="15.75" customHeight="1">
      <c r="A1165" s="32">
        <f>'EQUITY BACKTEST'!A1168</f>
        <v>44323.66667</v>
      </c>
      <c r="B1165" s="22">
        <f>'EQUITY BACKTEST'!B1168</f>
        <v>4232.6</v>
      </c>
      <c r="C1165" s="22">
        <f>1/'EQUITY BACKTEST'!E1168</f>
        <v>0.8345852112</v>
      </c>
      <c r="D1165" s="22">
        <f t="shared" si="7"/>
        <v>0.2682412681</v>
      </c>
      <c r="E1165" s="22">
        <f t="shared" si="3"/>
        <v>0.01230038482</v>
      </c>
      <c r="F1165" s="22">
        <f t="shared" si="6"/>
        <v>0.4446719913</v>
      </c>
      <c r="H1165" s="22" t="str">
        <f t="shared" si="4"/>
        <v/>
      </c>
      <c r="I1165" s="22" t="str">
        <f t="shared" si="1"/>
        <v>#N/A</v>
      </c>
      <c r="J1165" s="22" t="str">
        <f t="shared" si="2"/>
        <v>#N/A</v>
      </c>
      <c r="K1165" s="22" t="str">
        <f t="shared" ref="K1165:K1775" si="8">IF(C1166="Crash", COUNTIF(A1166:A2000, "&gt;=" &amp; A1165), "")</f>
        <v/>
      </c>
    </row>
    <row r="1166" ht="15.75" customHeight="1">
      <c r="A1166" s="32">
        <f>'EQUITY BACKTEST'!A1169</f>
        <v>44330.66667</v>
      </c>
      <c r="B1166" s="22">
        <f>'EQUITY BACKTEST'!B1169</f>
        <v>4173.85</v>
      </c>
      <c r="C1166" s="22">
        <f>1/'EQUITY BACKTEST'!E1169</f>
        <v>0.8266512358</v>
      </c>
      <c r="D1166" s="22">
        <f t="shared" si="7"/>
        <v>0.1349617091</v>
      </c>
      <c r="E1166" s="22">
        <f t="shared" si="3"/>
        <v>-0.01388035723</v>
      </c>
      <c r="F1166" s="22">
        <f t="shared" si="6"/>
        <v>0.4575025317</v>
      </c>
      <c r="H1166" s="22" t="str">
        <f t="shared" si="4"/>
        <v/>
      </c>
      <c r="I1166" s="22" t="str">
        <f t="shared" si="1"/>
        <v>#N/A</v>
      </c>
      <c r="J1166" s="22" t="str">
        <f t="shared" si="2"/>
        <v>#N/A</v>
      </c>
      <c r="K1166" s="22" t="str">
        <f t="shared" si="8"/>
        <v/>
      </c>
    </row>
    <row r="1167" ht="15.75" customHeight="1">
      <c r="A1167" s="32">
        <f>'EQUITY BACKTEST'!A1170</f>
        <v>44337.66667</v>
      </c>
      <c r="B1167" s="22">
        <f>'EQUITY BACKTEST'!B1170</f>
        <v>4155.86</v>
      </c>
      <c r="C1167" s="22">
        <f>1/'EQUITY BACKTEST'!E1170</f>
        <v>0.8319467554</v>
      </c>
      <c r="D1167" s="22">
        <f t="shared" si="7"/>
        <v>-0.05536501592</v>
      </c>
      <c r="E1167" s="22">
        <f t="shared" si="3"/>
        <v>-0.004310169268</v>
      </c>
      <c r="F1167" s="22">
        <f t="shared" si="6"/>
        <v>0.4061682654</v>
      </c>
      <c r="H1167" s="22" t="str">
        <f t="shared" si="4"/>
        <v/>
      </c>
      <c r="I1167" s="22" t="str">
        <f t="shared" si="1"/>
        <v>#N/A</v>
      </c>
      <c r="J1167" s="22" t="str">
        <f t="shared" si="2"/>
        <v>#N/A</v>
      </c>
      <c r="K1167" s="22" t="str">
        <f t="shared" si="8"/>
        <v/>
      </c>
    </row>
    <row r="1168" ht="15.75" customHeight="1">
      <c r="A1168" s="32">
        <f>'EQUITY BACKTEST'!A1171</f>
        <v>44344.66667</v>
      </c>
      <c r="B1168" s="22">
        <f>'EQUITY BACKTEST'!B1171</f>
        <v>4204.11</v>
      </c>
      <c r="C1168" s="22">
        <f>1/'EQUITY BACKTEST'!E1171</f>
        <v>0.8223007976</v>
      </c>
      <c r="D1168" s="22">
        <f t="shared" si="7"/>
        <v>-0.1522526347</v>
      </c>
      <c r="E1168" s="22">
        <f t="shared" si="3"/>
        <v>0.01161011199</v>
      </c>
      <c r="F1168" s="22">
        <f t="shared" si="6"/>
        <v>0.3809730284</v>
      </c>
      <c r="H1168" s="22" t="str">
        <f t="shared" si="4"/>
        <v/>
      </c>
      <c r="I1168" s="22" t="str">
        <f t="shared" si="1"/>
        <v>#N/A</v>
      </c>
      <c r="J1168" s="22" t="str">
        <f t="shared" si="2"/>
        <v>#N/A</v>
      </c>
      <c r="K1168" s="22" t="str">
        <f t="shared" si="8"/>
        <v/>
      </c>
    </row>
    <row r="1169" ht="15.75" customHeight="1">
      <c r="A1169" s="32">
        <f>'EQUITY BACKTEST'!A1172</f>
        <v>44351.66667</v>
      </c>
      <c r="B1169" s="22">
        <f>'EQUITY BACKTEST'!B1172</f>
        <v>4229.89</v>
      </c>
      <c r="C1169" s="22">
        <f>1/'EQUITY BACKTEST'!E1172</f>
        <v>0.823411228</v>
      </c>
      <c r="D1169" s="22">
        <f t="shared" si="7"/>
        <v>-0.2593605538</v>
      </c>
      <c r="E1169" s="22">
        <f t="shared" si="3"/>
        <v>0.006132094546</v>
      </c>
      <c r="F1169" s="22">
        <f t="shared" si="6"/>
        <v>0.3243527566</v>
      </c>
      <c r="H1169" s="22" t="str">
        <f t="shared" si="4"/>
        <v/>
      </c>
      <c r="I1169" s="22" t="str">
        <f t="shared" si="1"/>
        <v>#N/A</v>
      </c>
      <c r="J1169" s="22" t="str">
        <f t="shared" si="2"/>
        <v>#N/A</v>
      </c>
      <c r="K1169" s="22" t="str">
        <f t="shared" si="8"/>
        <v/>
      </c>
    </row>
    <row r="1170" ht="15.75" customHeight="1">
      <c r="A1170" s="32">
        <f>'EQUITY BACKTEST'!A1173</f>
        <v>44358.66667</v>
      </c>
      <c r="B1170" s="22">
        <f>'EQUITY BACKTEST'!B1173</f>
        <v>4247.44</v>
      </c>
      <c r="C1170" s="22">
        <f>1/'EQUITY BACKTEST'!E1173</f>
        <v>0.821085475</v>
      </c>
      <c r="D1170" s="22">
        <f t="shared" si="7"/>
        <v>-0.3695780364</v>
      </c>
      <c r="E1170" s="22">
        <f t="shared" si="3"/>
        <v>0.004149044065</v>
      </c>
      <c r="F1170" s="22">
        <f t="shared" si="6"/>
        <v>0.3965823938</v>
      </c>
      <c r="H1170" s="22" t="str">
        <f t="shared" si="4"/>
        <v/>
      </c>
      <c r="I1170" s="22" t="str">
        <f t="shared" si="1"/>
        <v>#N/A</v>
      </c>
      <c r="J1170" s="22" t="str">
        <f t="shared" si="2"/>
        <v>#N/A</v>
      </c>
      <c r="K1170" s="22" t="str">
        <f t="shared" si="8"/>
        <v/>
      </c>
    </row>
    <row r="1171" ht="15.75" customHeight="1">
      <c r="A1171" s="32">
        <f>'EQUITY BACKTEST'!A1174</f>
        <v>44365.66667</v>
      </c>
      <c r="B1171" s="22">
        <f>'EQUITY BACKTEST'!B1174</f>
        <v>4166.45</v>
      </c>
      <c r="C1171" s="22">
        <f>1/'EQUITY BACKTEST'!E1174</f>
        <v>0.8202032464</v>
      </c>
      <c r="D1171" s="22">
        <f t="shared" si="7"/>
        <v>-0.4539603836</v>
      </c>
      <c r="E1171" s="22">
        <f t="shared" si="3"/>
        <v>-0.01906795623</v>
      </c>
      <c r="F1171" s="22">
        <f t="shared" si="6"/>
        <v>0.344996675</v>
      </c>
      <c r="H1171" s="22" t="str">
        <f t="shared" si="4"/>
        <v/>
      </c>
      <c r="I1171" s="22" t="str">
        <f t="shared" si="1"/>
        <v>#N/A</v>
      </c>
      <c r="J1171" s="22" t="str">
        <f t="shared" si="2"/>
        <v>#N/A</v>
      </c>
      <c r="K1171" s="22" t="str">
        <f t="shared" si="8"/>
        <v/>
      </c>
    </row>
    <row r="1172" ht="15.75" customHeight="1">
      <c r="A1172" s="32">
        <f>'EQUITY BACKTEST'!A1175</f>
        <v>44372.66667</v>
      </c>
      <c r="B1172" s="22">
        <f>'EQUITY BACKTEST'!B1175</f>
        <v>4280.7</v>
      </c>
      <c r="C1172" s="22">
        <f>1/'EQUITY BACKTEST'!E1175</f>
        <v>0.82204393</v>
      </c>
      <c r="D1172" s="22">
        <f t="shared" si="7"/>
        <v>-0.5377510467</v>
      </c>
      <c r="E1172" s="22">
        <f t="shared" si="3"/>
        <v>0.02742142591</v>
      </c>
      <c r="F1172" s="22">
        <f t="shared" si="6"/>
        <v>0.4226084645</v>
      </c>
      <c r="H1172" s="22" t="str">
        <f t="shared" si="4"/>
        <v/>
      </c>
      <c r="I1172" s="22" t="str">
        <f t="shared" si="1"/>
        <v>#N/A</v>
      </c>
      <c r="J1172" s="22" t="str">
        <f t="shared" si="2"/>
        <v>#N/A</v>
      </c>
      <c r="K1172" s="22" t="str">
        <f t="shared" si="8"/>
        <v/>
      </c>
    </row>
    <row r="1173" ht="15.75" customHeight="1">
      <c r="A1173" s="32">
        <f>'EQUITY BACKTEST'!A1176</f>
        <v>44379.66667</v>
      </c>
      <c r="B1173" s="22">
        <f>'EQUITY BACKTEST'!B1176</f>
        <v>4352.34</v>
      </c>
      <c r="C1173" s="22">
        <f>1/'EQUITY BACKTEST'!E1176</f>
        <v>0.8261049153</v>
      </c>
      <c r="D1173" s="22">
        <f t="shared" si="7"/>
        <v>-0.6095343765</v>
      </c>
      <c r="E1173" s="22">
        <f t="shared" si="3"/>
        <v>0.01673558063</v>
      </c>
      <c r="F1173" s="22">
        <f t="shared" si="6"/>
        <v>0.3905195191</v>
      </c>
      <c r="H1173" s="22" t="str">
        <f t="shared" si="4"/>
        <v/>
      </c>
      <c r="I1173" s="22" t="str">
        <f t="shared" si="1"/>
        <v>#N/A</v>
      </c>
      <c r="J1173" s="22" t="str">
        <f t="shared" si="2"/>
        <v>#N/A</v>
      </c>
      <c r="K1173" s="22" t="str">
        <f t="shared" si="8"/>
        <v/>
      </c>
    </row>
    <row r="1174" ht="15.75" customHeight="1">
      <c r="A1174" s="32">
        <f>'EQUITY BACKTEST'!A1177</f>
        <v>44386.66667</v>
      </c>
      <c r="B1174" s="22">
        <f>'EQUITY BACKTEST'!B1177</f>
        <v>4369.55</v>
      </c>
      <c r="C1174" s="22">
        <f>1/'EQUITY BACKTEST'!E1177</f>
        <v>0.8432769743</v>
      </c>
      <c r="D1174" s="22">
        <f t="shared" si="7"/>
        <v>-0.6578869314</v>
      </c>
      <c r="E1174" s="22">
        <f t="shared" si="3"/>
        <v>0.003954194755</v>
      </c>
      <c r="F1174" s="22">
        <f t="shared" si="6"/>
        <v>0.3718979981</v>
      </c>
      <c r="H1174" s="22" t="str">
        <f t="shared" si="4"/>
        <v/>
      </c>
      <c r="I1174" s="22" t="str">
        <f t="shared" si="1"/>
        <v>#N/A</v>
      </c>
      <c r="J1174" s="22" t="str">
        <f t="shared" si="2"/>
        <v>#N/A</v>
      </c>
      <c r="K1174" s="22" t="str">
        <f t="shared" si="8"/>
        <v/>
      </c>
    </row>
    <row r="1175" ht="15.75" customHeight="1">
      <c r="A1175" s="32">
        <f>'EQUITY BACKTEST'!A1178</f>
        <v>44393.66667</v>
      </c>
      <c r="B1175" s="22">
        <f>'EQUITY BACKTEST'!B1178</f>
        <v>4327.16</v>
      </c>
      <c r="C1175" s="22">
        <f>1/'EQUITY BACKTEST'!E1178</f>
        <v>0.8378016086</v>
      </c>
      <c r="D1175" s="22">
        <f t="shared" si="7"/>
        <v>-0.6888195049</v>
      </c>
      <c r="E1175" s="22">
        <f t="shared" si="3"/>
        <v>-0.009701227815</v>
      </c>
      <c r="F1175" s="22">
        <f t="shared" si="6"/>
        <v>0.3418673811</v>
      </c>
      <c r="H1175" s="22" t="str">
        <f t="shared" si="4"/>
        <v/>
      </c>
      <c r="I1175" s="22" t="str">
        <f t="shared" si="1"/>
        <v>#N/A</v>
      </c>
      <c r="J1175" s="22" t="str">
        <f t="shared" si="2"/>
        <v>#N/A</v>
      </c>
      <c r="K1175" s="22" t="str">
        <f t="shared" si="8"/>
        <v/>
      </c>
    </row>
    <row r="1176" ht="15.75" customHeight="1">
      <c r="A1176" s="32">
        <f>'EQUITY BACKTEST'!A1179</f>
        <v>44400.66667</v>
      </c>
      <c r="B1176" s="22">
        <f>'EQUITY BACKTEST'!B1179</f>
        <v>4411.79</v>
      </c>
      <c r="C1176" s="22">
        <f>1/'EQUITY BACKTEST'!E1179</f>
        <v>0.8428860418</v>
      </c>
      <c r="D1176" s="22">
        <f t="shared" si="7"/>
        <v>-0.722377922</v>
      </c>
      <c r="E1176" s="22">
        <f t="shared" si="3"/>
        <v>0.01955786243</v>
      </c>
      <c r="F1176" s="22">
        <f t="shared" si="6"/>
        <v>0.3719830951</v>
      </c>
      <c r="H1176" s="22" t="str">
        <f t="shared" si="4"/>
        <v/>
      </c>
      <c r="I1176" s="22" t="str">
        <f t="shared" si="1"/>
        <v>#N/A</v>
      </c>
      <c r="J1176" s="22" t="str">
        <f t="shared" si="2"/>
        <v>#N/A</v>
      </c>
      <c r="K1176" s="22" t="str">
        <f t="shared" si="8"/>
        <v/>
      </c>
    </row>
    <row r="1177" ht="15.75" customHeight="1">
      <c r="A1177" s="32">
        <f>'EQUITY BACKTEST'!A1180</f>
        <v>44407.66667</v>
      </c>
      <c r="B1177" s="22">
        <f>'EQUITY BACKTEST'!B1180</f>
        <v>4395.26</v>
      </c>
      <c r="C1177" s="22">
        <f>1/'EQUITY BACKTEST'!E1180</f>
        <v>0.842034355</v>
      </c>
      <c r="D1177" s="22">
        <f t="shared" si="7"/>
        <v>-0.7234876155</v>
      </c>
      <c r="E1177" s="22">
        <f t="shared" si="3"/>
        <v>-0.003746778518</v>
      </c>
      <c r="F1177" s="22">
        <f t="shared" si="6"/>
        <v>0.3436559955</v>
      </c>
      <c r="H1177" s="22" t="str">
        <f t="shared" si="4"/>
        <v/>
      </c>
      <c r="I1177" s="22" t="str">
        <f t="shared" si="1"/>
        <v>#N/A</v>
      </c>
      <c r="J1177" s="22" t="str">
        <f t="shared" si="2"/>
        <v>#N/A</v>
      </c>
      <c r="K1177" s="22" t="str">
        <f t="shared" si="8"/>
        <v/>
      </c>
    </row>
    <row r="1178" ht="15.75" customHeight="1">
      <c r="A1178" s="32">
        <f>'EQUITY BACKTEST'!A1181</f>
        <v>44414.66667</v>
      </c>
      <c r="B1178" s="22">
        <f>'EQUITY BACKTEST'!B1181</f>
        <v>4436.52</v>
      </c>
      <c r="C1178" s="22">
        <f>1/'EQUITY BACKTEST'!E1181</f>
        <v>0.8470269355</v>
      </c>
      <c r="D1178" s="22">
        <f t="shared" si="7"/>
        <v>-0.7224265301</v>
      </c>
      <c r="E1178" s="22">
        <f t="shared" si="3"/>
        <v>0.009387385502</v>
      </c>
      <c r="F1178" s="22">
        <f t="shared" si="6"/>
        <v>0.3238285073</v>
      </c>
      <c r="H1178" s="22" t="str">
        <f t="shared" si="4"/>
        <v/>
      </c>
      <c r="I1178" s="22" t="str">
        <f t="shared" si="1"/>
        <v>#N/A</v>
      </c>
      <c r="J1178" s="22" t="str">
        <f t="shared" si="2"/>
        <v>#N/A</v>
      </c>
      <c r="K1178" s="22" t="str">
        <f t="shared" si="8"/>
        <v/>
      </c>
    </row>
    <row r="1179" ht="15.75" customHeight="1">
      <c r="A1179" s="32">
        <f>'EQUITY BACKTEST'!A1182</f>
        <v>44421.66667</v>
      </c>
      <c r="B1179" s="22">
        <f>'EQUITY BACKTEST'!B1182</f>
        <v>4468</v>
      </c>
      <c r="C1179" s="22">
        <f>1/'EQUITY BACKTEST'!E1182</f>
        <v>0.8495454932</v>
      </c>
      <c r="D1179" s="22">
        <f t="shared" si="7"/>
        <v>-0.707391415</v>
      </c>
      <c r="E1179" s="22">
        <f t="shared" si="3"/>
        <v>0.007095651547</v>
      </c>
      <c r="F1179" s="22">
        <f t="shared" si="6"/>
        <v>0.3246957321</v>
      </c>
      <c r="H1179" s="22" t="str">
        <f t="shared" si="4"/>
        <v/>
      </c>
      <c r="I1179" s="22" t="str">
        <f t="shared" si="1"/>
        <v>#N/A</v>
      </c>
      <c r="J1179" s="22" t="str">
        <f t="shared" si="2"/>
        <v>#N/A</v>
      </c>
      <c r="K1179" s="22" t="str">
        <f t="shared" si="8"/>
        <v/>
      </c>
    </row>
    <row r="1180" ht="15.75" customHeight="1">
      <c r="A1180" s="32">
        <f>'EQUITY BACKTEST'!A1183</f>
        <v>44428.66667</v>
      </c>
      <c r="B1180" s="22">
        <f>'EQUITY BACKTEST'!B1183</f>
        <v>4441.67</v>
      </c>
      <c r="C1180" s="22">
        <f>1/'EQUITY BACKTEST'!E1183</f>
        <v>0.842530963</v>
      </c>
      <c r="D1180" s="22">
        <f t="shared" si="7"/>
        <v>-0.6987748046</v>
      </c>
      <c r="E1180" s="22">
        <f t="shared" si="3"/>
        <v>-0.00589301701</v>
      </c>
      <c r="F1180" s="22">
        <f t="shared" si="6"/>
        <v>0.3074656478</v>
      </c>
      <c r="H1180" s="22" t="str">
        <f t="shared" si="4"/>
        <v/>
      </c>
      <c r="I1180" s="22" t="str">
        <f t="shared" si="1"/>
        <v>#N/A</v>
      </c>
      <c r="J1180" s="22" t="str">
        <f t="shared" si="2"/>
        <v>#N/A</v>
      </c>
      <c r="K1180" s="22" t="str">
        <f t="shared" si="8"/>
        <v/>
      </c>
    </row>
    <row r="1181" ht="15.75" customHeight="1">
      <c r="A1181" s="32">
        <f>'EQUITY BACKTEST'!A1184</f>
        <v>44435.66667</v>
      </c>
      <c r="B1181" s="22">
        <f>'EQUITY BACKTEST'!B1184</f>
        <v>4509.37</v>
      </c>
      <c r="C1181" s="22">
        <f>1/'EQUITY BACKTEST'!E1184</f>
        <v>0.8503401361</v>
      </c>
      <c r="D1181" s="22">
        <f t="shared" si="7"/>
        <v>-0.7096729783</v>
      </c>
      <c r="E1181" s="22">
        <f t="shared" si="3"/>
        <v>0.01524201483</v>
      </c>
      <c r="F1181" s="22">
        <f t="shared" si="6"/>
        <v>0.2854495854</v>
      </c>
      <c r="H1181" s="22" t="str">
        <f t="shared" si="4"/>
        <v/>
      </c>
      <c r="I1181" s="22" t="str">
        <f t="shared" si="1"/>
        <v>#N/A</v>
      </c>
      <c r="J1181" s="22" t="str">
        <f t="shared" si="2"/>
        <v>#N/A</v>
      </c>
      <c r="K1181" s="22" t="str">
        <f t="shared" si="8"/>
        <v/>
      </c>
    </row>
    <row r="1182" ht="15.75" customHeight="1">
      <c r="A1182" s="32">
        <f>'EQUITY BACKTEST'!A1185</f>
        <v>44442.66667</v>
      </c>
      <c r="B1182" s="22">
        <f>'EQUITY BACKTEST'!B1185</f>
        <v>4535.43</v>
      </c>
      <c r="C1182" s="22">
        <f>1/'EQUITY BACKTEST'!E1185</f>
        <v>0.8481764207</v>
      </c>
      <c r="D1182" s="22">
        <f t="shared" si="7"/>
        <v>-0.7214506831</v>
      </c>
      <c r="E1182" s="22">
        <f t="shared" si="3"/>
        <v>0.005779077787</v>
      </c>
      <c r="F1182" s="22">
        <f t="shared" si="6"/>
        <v>0.3234557742</v>
      </c>
      <c r="H1182" s="22" t="str">
        <f t="shared" si="4"/>
        <v/>
      </c>
      <c r="I1182" s="22" t="str">
        <f t="shared" si="1"/>
        <v>#N/A</v>
      </c>
      <c r="J1182" s="22" t="str">
        <f t="shared" si="2"/>
        <v>#N/A</v>
      </c>
      <c r="K1182" s="22" t="str">
        <f t="shared" si="8"/>
        <v/>
      </c>
    </row>
    <row r="1183" ht="15.75" customHeight="1">
      <c r="A1183" s="32">
        <f>'EQUITY BACKTEST'!A1186</f>
        <v>44449.66667</v>
      </c>
      <c r="B1183" s="22">
        <f>'EQUITY BACKTEST'!B1186</f>
        <v>4458.58</v>
      </c>
      <c r="C1183" s="22">
        <f>1/'EQUITY BACKTEST'!E1186</f>
        <v>0.8555856912</v>
      </c>
      <c r="D1183" s="22">
        <f t="shared" si="7"/>
        <v>-0.7196814813</v>
      </c>
      <c r="E1183" s="22">
        <f t="shared" si="3"/>
        <v>-0.01694436911</v>
      </c>
      <c r="F1183" s="22">
        <f t="shared" si="6"/>
        <v>0.3345166224</v>
      </c>
      <c r="H1183" s="22" t="str">
        <f t="shared" si="4"/>
        <v/>
      </c>
      <c r="I1183" s="22" t="str">
        <f t="shared" si="1"/>
        <v>#N/A</v>
      </c>
      <c r="J1183" s="22" t="str">
        <f t="shared" si="2"/>
        <v>#N/A</v>
      </c>
      <c r="K1183" s="22" t="str">
        <f t="shared" si="8"/>
        <v/>
      </c>
    </row>
    <row r="1184" ht="15.75" customHeight="1">
      <c r="A1184" s="32">
        <f>'EQUITY BACKTEST'!A1187</f>
        <v>44456.66667</v>
      </c>
      <c r="B1184" s="22">
        <f>'EQUITY BACKTEST'!B1187</f>
        <v>4432.99</v>
      </c>
      <c r="C1184" s="22">
        <f>1/'EQUITY BACKTEST'!E1187</f>
        <v>0.8477449983</v>
      </c>
      <c r="D1184" s="22">
        <f t="shared" si="7"/>
        <v>-0.7351106675</v>
      </c>
      <c r="E1184" s="22">
        <f t="shared" si="3"/>
        <v>-0.005739495534</v>
      </c>
      <c r="F1184" s="22">
        <f t="shared" si="6"/>
        <v>0.3354511413</v>
      </c>
      <c r="H1184" s="22" t="str">
        <f t="shared" si="4"/>
        <v/>
      </c>
      <c r="I1184" s="22" t="str">
        <f t="shared" si="1"/>
        <v>#N/A</v>
      </c>
      <c r="J1184" s="22" t="str">
        <f t="shared" si="2"/>
        <v>#N/A</v>
      </c>
      <c r="K1184" s="22" t="str">
        <f t="shared" si="8"/>
        <v/>
      </c>
    </row>
    <row r="1185" ht="15.75" customHeight="1">
      <c r="A1185" s="32">
        <f>'EQUITY BACKTEST'!A1188</f>
        <v>44463.66667</v>
      </c>
      <c r="B1185" s="22">
        <f>'EQUITY BACKTEST'!B1188</f>
        <v>4455.48</v>
      </c>
      <c r="C1185" s="22">
        <f>1/'EQUITY BACKTEST'!E1188</f>
        <v>0.8418642241</v>
      </c>
      <c r="D1185" s="22">
        <f t="shared" si="7"/>
        <v>-0.7593429049</v>
      </c>
      <c r="E1185" s="22">
        <f t="shared" si="3"/>
        <v>0.005073325227</v>
      </c>
      <c r="F1185" s="22">
        <f t="shared" si="6"/>
        <v>0.3507758166</v>
      </c>
      <c r="H1185" s="22" t="str">
        <f t="shared" si="4"/>
        <v/>
      </c>
      <c r="I1185" s="22" t="str">
        <f t="shared" si="1"/>
        <v>#N/A</v>
      </c>
      <c r="J1185" s="22" t="str">
        <f t="shared" si="2"/>
        <v>#N/A</v>
      </c>
      <c r="K1185" s="22" t="str">
        <f t="shared" si="8"/>
        <v/>
      </c>
    </row>
    <row r="1186" ht="15.75" customHeight="1">
      <c r="A1186" s="32">
        <f>'EQUITY BACKTEST'!A1189</f>
        <v>44470.66667</v>
      </c>
      <c r="B1186" s="22">
        <f>'EQUITY BACKTEST'!B1189</f>
        <v>4357.04</v>
      </c>
      <c r="C1186" s="22">
        <f>1/'EQUITY BACKTEST'!E1189</f>
        <v>0.8466970349</v>
      </c>
      <c r="D1186" s="22">
        <f t="shared" si="7"/>
        <v>-0.7746888058</v>
      </c>
      <c r="E1186" s="22">
        <f t="shared" si="3"/>
        <v>-0.02209414025</v>
      </c>
      <c r="F1186" s="22">
        <f t="shared" si="6"/>
        <v>0.3012148941</v>
      </c>
      <c r="H1186" s="22" t="str">
        <f t="shared" si="4"/>
        <v/>
      </c>
      <c r="I1186" s="22" t="str">
        <f t="shared" si="1"/>
        <v>#N/A</v>
      </c>
      <c r="J1186" s="22" t="str">
        <f t="shared" si="2"/>
        <v>#N/A</v>
      </c>
      <c r="K1186" s="22" t="str">
        <f t="shared" si="8"/>
        <v/>
      </c>
    </row>
    <row r="1187" ht="15.75" customHeight="1">
      <c r="A1187" s="32">
        <f>'EQUITY BACKTEST'!A1190</f>
        <v>44477.66667</v>
      </c>
      <c r="B1187" s="22">
        <f>'EQUITY BACKTEST'!B1190</f>
        <v>4391.34</v>
      </c>
      <c r="C1187" s="22">
        <f>1/'EQUITY BACKTEST'!E1190</f>
        <v>0.8530749085</v>
      </c>
      <c r="D1187" s="22">
        <f t="shared" si="7"/>
        <v>-0.7990945447</v>
      </c>
      <c r="E1187" s="22">
        <f t="shared" si="3"/>
        <v>0.007872316986</v>
      </c>
      <c r="F1187" s="22">
        <f t="shared" si="6"/>
        <v>0.2629208571</v>
      </c>
      <c r="H1187" s="22" t="str">
        <f t="shared" si="4"/>
        <v/>
      </c>
      <c r="I1187" s="22" t="str">
        <f t="shared" si="1"/>
        <v>#N/A</v>
      </c>
      <c r="J1187" s="22" t="str">
        <f t="shared" si="2"/>
        <v>#N/A</v>
      </c>
      <c r="K1187" s="22" t="str">
        <f t="shared" si="8"/>
        <v/>
      </c>
    </row>
    <row r="1188" ht="15.75" customHeight="1">
      <c r="A1188" s="32">
        <f>'EQUITY BACKTEST'!A1191</f>
        <v>44484.66667</v>
      </c>
      <c r="B1188" s="22">
        <f>'EQUITY BACKTEST'!B1191</f>
        <v>4471.37</v>
      </c>
      <c r="C1188" s="22">
        <f>1/'EQUITY BACKTEST'!E1191</f>
        <v>0.8532496011</v>
      </c>
      <c r="D1188" s="22">
        <f t="shared" si="7"/>
        <v>-0.8219414037</v>
      </c>
      <c r="E1188" s="22">
        <f t="shared" si="3"/>
        <v>0.0182245055</v>
      </c>
      <c r="F1188" s="22">
        <f t="shared" si="6"/>
        <v>0.283471257</v>
      </c>
      <c r="H1188" s="22" t="str">
        <f t="shared" si="4"/>
        <v/>
      </c>
      <c r="I1188" s="22" t="str">
        <f t="shared" si="1"/>
        <v>#N/A</v>
      </c>
      <c r="J1188" s="22" t="str">
        <f t="shared" si="2"/>
        <v>#N/A</v>
      </c>
      <c r="K1188" s="22" t="str">
        <f t="shared" si="8"/>
        <v/>
      </c>
    </row>
    <row r="1189" ht="15.75" customHeight="1">
      <c r="A1189" s="32">
        <f>'EQUITY BACKTEST'!A1192</f>
        <v>44491.66667</v>
      </c>
      <c r="B1189" s="22">
        <f>'EQUITY BACKTEST'!B1192</f>
        <v>4544.9</v>
      </c>
      <c r="C1189" s="22">
        <f>1/'EQUITY BACKTEST'!E1192</f>
        <v>0.8627383315</v>
      </c>
      <c r="D1189" s="22">
        <f t="shared" si="7"/>
        <v>-0.8309202895</v>
      </c>
      <c r="E1189" s="22">
        <f t="shared" si="3"/>
        <v>0.01644462435</v>
      </c>
      <c r="F1189" s="22">
        <f t="shared" si="6"/>
        <v>0.3115118356</v>
      </c>
      <c r="H1189" s="22" t="str">
        <f t="shared" si="4"/>
        <v/>
      </c>
      <c r="I1189" s="22" t="str">
        <f t="shared" si="1"/>
        <v>#N/A</v>
      </c>
      <c r="J1189" s="22" t="str">
        <f t="shared" si="2"/>
        <v>#N/A</v>
      </c>
      <c r="K1189" s="22" t="str">
        <f t="shared" si="8"/>
        <v/>
      </c>
    </row>
    <row r="1190" ht="15.75" customHeight="1">
      <c r="A1190" s="32">
        <f>'EQUITY BACKTEST'!A1193</f>
        <v>44498.66667</v>
      </c>
      <c r="B1190" s="22">
        <f>'EQUITY BACKTEST'!B1193</f>
        <v>4605.38</v>
      </c>
      <c r="C1190" s="22">
        <f>1/'EQUITY BACKTEST'!E1193</f>
        <v>0.8643789437</v>
      </c>
      <c r="D1190" s="22">
        <f t="shared" si="7"/>
        <v>-0.8260299667</v>
      </c>
      <c r="E1190" s="22">
        <f t="shared" si="3"/>
        <v>0.01330722348</v>
      </c>
      <c r="F1190" s="22">
        <f t="shared" si="6"/>
        <v>0.4083903167</v>
      </c>
      <c r="H1190" s="22" t="str">
        <f t="shared" si="4"/>
        <v/>
      </c>
      <c r="I1190" s="22" t="str">
        <f t="shared" si="1"/>
        <v>#N/A</v>
      </c>
      <c r="J1190" s="22" t="str">
        <f t="shared" si="2"/>
        <v>#N/A</v>
      </c>
      <c r="K1190" s="22" t="str">
        <f t="shared" si="8"/>
        <v/>
      </c>
    </row>
    <row r="1191" ht="15.75" customHeight="1">
      <c r="A1191" s="32">
        <f>'EQUITY BACKTEST'!A1194</f>
        <v>44505.66667</v>
      </c>
      <c r="B1191" s="22">
        <f>'EQUITY BACKTEST'!B1194</f>
        <v>4697.53</v>
      </c>
      <c r="C1191" s="22">
        <f>1/'EQUITY BACKTEST'!E1194</f>
        <v>0.8621135576</v>
      </c>
      <c r="D1191" s="22">
        <f t="shared" si="7"/>
        <v>-0.8265324473</v>
      </c>
      <c r="E1191" s="22">
        <f t="shared" si="3"/>
        <v>0.02000920662</v>
      </c>
      <c r="F1191" s="22">
        <f t="shared" si="6"/>
        <v>0.3385411918</v>
      </c>
      <c r="H1191" s="22" t="str">
        <f t="shared" si="4"/>
        <v/>
      </c>
      <c r="I1191" s="22" t="str">
        <f t="shared" si="1"/>
        <v>#N/A</v>
      </c>
      <c r="J1191" s="22" t="str">
        <f t="shared" si="2"/>
        <v>#N/A</v>
      </c>
      <c r="K1191" s="22" t="str">
        <f t="shared" si="8"/>
        <v/>
      </c>
    </row>
    <row r="1192" ht="15.75" customHeight="1">
      <c r="A1192" s="32">
        <f>'EQUITY BACKTEST'!A1195</f>
        <v>44512.66667</v>
      </c>
      <c r="B1192" s="22">
        <f>'EQUITY BACKTEST'!B1195</f>
        <v>4682.85</v>
      </c>
      <c r="C1192" s="22">
        <f>1/'EQUITY BACKTEST'!E1195</f>
        <v>0.8590327291</v>
      </c>
      <c r="D1192" s="22">
        <f t="shared" si="7"/>
        <v>-0.8156593772</v>
      </c>
      <c r="E1192" s="22">
        <f t="shared" si="3"/>
        <v>-0.003125046567</v>
      </c>
      <c r="F1192" s="22">
        <f t="shared" si="6"/>
        <v>0.3061796578</v>
      </c>
      <c r="H1192" s="22" t="str">
        <f t="shared" si="4"/>
        <v/>
      </c>
      <c r="I1192" s="22" t="str">
        <f t="shared" si="1"/>
        <v>#N/A</v>
      </c>
      <c r="J1192" s="22" t="str">
        <f t="shared" si="2"/>
        <v>#N/A</v>
      </c>
      <c r="K1192" s="22" t="str">
        <f t="shared" si="8"/>
        <v/>
      </c>
    </row>
    <row r="1193" ht="15.75" customHeight="1">
      <c r="A1193" s="32">
        <f>'EQUITY BACKTEST'!A1196</f>
        <v>44519.66667</v>
      </c>
      <c r="B1193" s="22">
        <f>'EQUITY BACKTEST'!B1196</f>
        <v>4697.96</v>
      </c>
      <c r="C1193" s="22">
        <f>1/'EQUITY BACKTEST'!E1196</f>
        <v>0.8660258076</v>
      </c>
      <c r="D1193" s="22">
        <f t="shared" si="7"/>
        <v>-0.8076730262</v>
      </c>
      <c r="E1193" s="22">
        <f t="shared" si="3"/>
        <v>0.003226667521</v>
      </c>
      <c r="F1193" s="22">
        <f t="shared" si="6"/>
        <v>0.3205642101</v>
      </c>
      <c r="H1193" s="22" t="str">
        <f t="shared" si="4"/>
        <v/>
      </c>
      <c r="I1193" s="22" t="str">
        <f t="shared" si="1"/>
        <v>#N/A</v>
      </c>
      <c r="J1193" s="22" t="str">
        <f t="shared" si="2"/>
        <v>#N/A</v>
      </c>
      <c r="K1193" s="22" t="str">
        <f t="shared" si="8"/>
        <v/>
      </c>
    </row>
    <row r="1194" ht="15.75" customHeight="1">
      <c r="A1194" s="32">
        <f>'EQUITY BACKTEST'!A1197</f>
        <v>44526.54167</v>
      </c>
      <c r="B1194" s="22">
        <f>'EQUITY BACKTEST'!B1197</f>
        <v>4594.62</v>
      </c>
      <c r="C1194" s="22">
        <f>1/'EQUITY BACKTEST'!E1197</f>
        <v>0.8658008658</v>
      </c>
      <c r="D1194" s="22">
        <f t="shared" si="7"/>
        <v>-0.7932598344</v>
      </c>
      <c r="E1194" s="22">
        <f t="shared" si="3"/>
        <v>-0.02199678158</v>
      </c>
      <c r="F1194" s="22">
        <f t="shared" si="6"/>
        <v>0.2628306787</v>
      </c>
      <c r="H1194" s="22" t="str">
        <f t="shared" si="4"/>
        <v/>
      </c>
      <c r="I1194" s="22" t="str">
        <f t="shared" si="1"/>
        <v>#N/A</v>
      </c>
      <c r="J1194" s="22" t="str">
        <f t="shared" si="2"/>
        <v>#N/A</v>
      </c>
      <c r="K1194" s="22" t="str">
        <f t="shared" si="8"/>
        <v/>
      </c>
    </row>
    <row r="1195" ht="15.75" customHeight="1">
      <c r="A1195" s="32">
        <f>'EQUITY BACKTEST'!A1198</f>
        <v>44533.66667</v>
      </c>
      <c r="B1195" s="22">
        <f>'EQUITY BACKTEST'!B1198</f>
        <v>4538.43</v>
      </c>
      <c r="C1195" s="22">
        <f>1/'EQUITY BACKTEST'!E1198</f>
        <v>0.8736752898</v>
      </c>
      <c r="D1195" s="22">
        <f t="shared" si="7"/>
        <v>-0.7859520699</v>
      </c>
      <c r="E1195" s="22">
        <f t="shared" si="3"/>
        <v>-0.01222952061</v>
      </c>
      <c r="F1195" s="22">
        <f t="shared" si="6"/>
        <v>0.2268945046</v>
      </c>
      <c r="H1195" s="22" t="str">
        <f t="shared" si="4"/>
        <v/>
      </c>
      <c r="I1195" s="22" t="str">
        <f t="shared" si="1"/>
        <v>#N/A</v>
      </c>
      <c r="J1195" s="22" t="str">
        <f t="shared" si="2"/>
        <v>#N/A</v>
      </c>
      <c r="K1195" s="22" t="str">
        <f t="shared" si="8"/>
        <v/>
      </c>
    </row>
    <row r="1196" ht="15.75" customHeight="1">
      <c r="A1196" s="32">
        <f>'EQUITY BACKTEST'!A1199</f>
        <v>44540.66667</v>
      </c>
      <c r="B1196" s="22">
        <f>'EQUITY BACKTEST'!B1199</f>
        <v>4712.02</v>
      </c>
      <c r="C1196" s="22">
        <f>1/'EQUITY BACKTEST'!E1199</f>
        <v>0.8860535176</v>
      </c>
      <c r="D1196" s="22">
        <f t="shared" si="7"/>
        <v>-0.7804641368</v>
      </c>
      <c r="E1196" s="22">
        <f t="shared" si="3"/>
        <v>0.03824890987</v>
      </c>
      <c r="F1196" s="22">
        <f t="shared" si="6"/>
        <v>0.2862212226</v>
      </c>
      <c r="H1196" s="22" t="str">
        <f t="shared" si="4"/>
        <v/>
      </c>
      <c r="I1196" s="22" t="str">
        <f t="shared" si="1"/>
        <v>#N/A</v>
      </c>
      <c r="J1196" s="22" t="str">
        <f t="shared" si="2"/>
        <v>#N/A</v>
      </c>
      <c r="K1196" s="22" t="str">
        <f t="shared" si="8"/>
        <v/>
      </c>
    </row>
    <row r="1197" ht="15.75" customHeight="1">
      <c r="A1197" s="32">
        <f>'EQUITY BACKTEST'!A1200</f>
        <v>44547.66667</v>
      </c>
      <c r="B1197" s="22">
        <f>'EQUITY BACKTEST'!B1200</f>
        <v>4620.64</v>
      </c>
      <c r="C1197" s="22">
        <f>1/'EQUITY BACKTEST'!E1200</f>
        <v>0.8834702712</v>
      </c>
      <c r="D1197" s="22">
        <f t="shared" si="7"/>
        <v>-0.772990325</v>
      </c>
      <c r="E1197" s="22">
        <f t="shared" si="3"/>
        <v>-0.01939295674</v>
      </c>
      <c r="F1197" s="22">
        <f t="shared" si="6"/>
        <v>0.2456536215</v>
      </c>
      <c r="H1197" s="22" t="str">
        <f t="shared" si="4"/>
        <v/>
      </c>
      <c r="I1197" s="22" t="str">
        <f t="shared" si="1"/>
        <v>#N/A</v>
      </c>
      <c r="J1197" s="22" t="str">
        <f t="shared" si="2"/>
        <v>#N/A</v>
      </c>
      <c r="K1197" s="22" t="str">
        <f t="shared" si="8"/>
        <v/>
      </c>
    </row>
    <row r="1198" ht="15.75" customHeight="1">
      <c r="A1198" s="32">
        <f>'EQUITY BACKTEST'!A1201</f>
        <v>44553.66667</v>
      </c>
      <c r="B1198" s="22">
        <f>'EQUITY BACKTEST'!B1201</f>
        <v>4725.79</v>
      </c>
      <c r="C1198" s="22">
        <f>1/'EQUITY BACKTEST'!E1201</f>
        <v>0.8839388314</v>
      </c>
      <c r="D1198" s="22">
        <f t="shared" si="7"/>
        <v>-0.7598254172</v>
      </c>
      <c r="E1198" s="22">
        <f t="shared" si="3"/>
        <v>0.02275658783</v>
      </c>
      <c r="F1198" s="22">
        <f t="shared" si="6"/>
        <v>0.2806984263</v>
      </c>
      <c r="H1198" s="22" t="str">
        <f t="shared" si="4"/>
        <v/>
      </c>
      <c r="I1198" s="22" t="str">
        <f t="shared" si="1"/>
        <v>#N/A</v>
      </c>
      <c r="J1198" s="22" t="str">
        <f t="shared" si="2"/>
        <v>#N/A</v>
      </c>
      <c r="K1198" s="22" t="str">
        <f t="shared" si="8"/>
        <v/>
      </c>
    </row>
    <row r="1199" ht="15.75" customHeight="1">
      <c r="A1199" s="32">
        <f>'EQUITY BACKTEST'!A1202</f>
        <v>44561.66667</v>
      </c>
      <c r="B1199" s="22">
        <f>'EQUITY BACKTEST'!B1202</f>
        <v>4766.18</v>
      </c>
      <c r="C1199" s="22">
        <f>1/'EQUITY BACKTEST'!E1202</f>
        <v>0.8837044892</v>
      </c>
      <c r="D1199" s="22">
        <f t="shared" si="7"/>
        <v>-0.7458817811</v>
      </c>
      <c r="E1199" s="22">
        <f t="shared" si="3"/>
        <v>0.008546719173</v>
      </c>
      <c r="F1199" s="22">
        <f t="shared" si="6"/>
        <v>0.2689273629</v>
      </c>
      <c r="H1199" s="22" t="str">
        <f t="shared" si="4"/>
        <v/>
      </c>
      <c r="I1199" s="22" t="str">
        <f t="shared" si="1"/>
        <v>#N/A</v>
      </c>
      <c r="J1199" s="22" t="str">
        <f t="shared" si="2"/>
        <v>#N/A</v>
      </c>
      <c r="K1199" s="22" t="str">
        <f t="shared" si="8"/>
        <v/>
      </c>
    </row>
    <row r="1200" ht="15.75" customHeight="1">
      <c r="A1200" s="32">
        <f>'EQUITY BACKTEST'!A1203</f>
        <v>44568.66667</v>
      </c>
      <c r="B1200" s="22">
        <f>'EQUITY BACKTEST'!B1203</f>
        <v>4677.03</v>
      </c>
      <c r="C1200" s="22">
        <f>1/'EQUITY BACKTEST'!E1203</f>
        <v>0.8897588753</v>
      </c>
      <c r="D1200" s="22">
        <f t="shared" si="7"/>
        <v>-0.7320356185</v>
      </c>
      <c r="E1200" s="22">
        <f t="shared" si="3"/>
        <v>-0.01870470691</v>
      </c>
      <c r="F1200" s="22">
        <f t="shared" si="6"/>
        <v>0.2228552454</v>
      </c>
      <c r="H1200" s="22" t="str">
        <f t="shared" si="4"/>
        <v/>
      </c>
      <c r="I1200" s="22" t="str">
        <f t="shared" si="1"/>
        <v>#N/A</v>
      </c>
      <c r="J1200" s="22" t="str">
        <f t="shared" si="2"/>
        <v>#N/A</v>
      </c>
      <c r="K1200" s="22" t="str">
        <f t="shared" si="8"/>
        <v/>
      </c>
    </row>
    <row r="1201" ht="15.75" customHeight="1">
      <c r="A1201" s="32">
        <f>'EQUITY BACKTEST'!A1204</f>
        <v>44575.66667</v>
      </c>
      <c r="B1201" s="22">
        <f>'EQUITY BACKTEST'!B1204</f>
        <v>4662.85</v>
      </c>
      <c r="C1201" s="22">
        <f>1/'EQUITY BACKTEST'!E1204</f>
        <v>0.8833141949</v>
      </c>
      <c r="D1201" s="22">
        <f t="shared" si="7"/>
        <v>-0.7205944</v>
      </c>
      <c r="E1201" s="22">
        <f t="shared" si="3"/>
        <v>-0.003031838581</v>
      </c>
      <c r="F1201" s="22">
        <f t="shared" si="6"/>
        <v>0.2374046308</v>
      </c>
      <c r="H1201" s="22" t="str">
        <f t="shared" si="4"/>
        <v/>
      </c>
      <c r="I1201" s="22" t="str">
        <f t="shared" si="1"/>
        <v>#N/A</v>
      </c>
      <c r="J1201" s="22" t="str">
        <f t="shared" si="2"/>
        <v>#N/A</v>
      </c>
      <c r="K1201" s="22" t="str">
        <f t="shared" si="8"/>
        <v/>
      </c>
    </row>
    <row r="1202" ht="15.75" customHeight="1">
      <c r="A1202" s="32">
        <f>'EQUITY BACKTEST'!A1205</f>
        <v>44582.66667</v>
      </c>
      <c r="B1202" s="22">
        <f>'EQUITY BACKTEST'!B1205</f>
        <v>4397.94</v>
      </c>
      <c r="C1202" s="22">
        <f>1/'EQUITY BACKTEST'!E1205</f>
        <v>0.879275477</v>
      </c>
      <c r="D1202" s="22">
        <f t="shared" si="7"/>
        <v>-0.7022212689</v>
      </c>
      <c r="E1202" s="22">
        <f t="shared" si="3"/>
        <v>-0.0568128934</v>
      </c>
      <c r="F1202" s="22">
        <f t="shared" si="6"/>
        <v>0.1448586088</v>
      </c>
      <c r="H1202" s="22" t="str">
        <f t="shared" si="4"/>
        <v>Crash</v>
      </c>
      <c r="I1202" s="22">
        <f t="shared" si="1"/>
        <v>-5.68128934</v>
      </c>
      <c r="J1202" s="22">
        <f t="shared" si="2"/>
        <v>-70.22212689</v>
      </c>
      <c r="K1202" s="22" t="str">
        <f t="shared" si="8"/>
        <v/>
      </c>
    </row>
    <row r="1203" ht="15.75" customHeight="1">
      <c r="A1203" s="32">
        <f>'EQUITY BACKTEST'!A1206</f>
        <v>44589.66667</v>
      </c>
      <c r="B1203" s="22">
        <f>'EQUITY BACKTEST'!B1206</f>
        <v>4431.85</v>
      </c>
      <c r="C1203" s="22">
        <f>1/'EQUITY BACKTEST'!E1206</f>
        <v>0.8802816901</v>
      </c>
      <c r="D1203" s="22">
        <f t="shared" si="7"/>
        <v>-0.690123471</v>
      </c>
      <c r="E1203" s="22">
        <f t="shared" si="3"/>
        <v>0.007710428064</v>
      </c>
      <c r="F1203" s="22">
        <f t="shared" si="6"/>
        <v>0.1932050702</v>
      </c>
      <c r="H1203" s="22" t="str">
        <f t="shared" si="4"/>
        <v/>
      </c>
      <c r="I1203" s="22" t="str">
        <f t="shared" si="1"/>
        <v>#N/A</v>
      </c>
      <c r="J1203" s="22" t="str">
        <f t="shared" si="2"/>
        <v>#N/A</v>
      </c>
      <c r="K1203" s="22" t="str">
        <f t="shared" si="8"/>
        <v/>
      </c>
    </row>
    <row r="1204" ht="15.75" customHeight="1">
      <c r="A1204" s="32">
        <f>'EQUITY BACKTEST'!A1207</f>
        <v>44596.66667</v>
      </c>
      <c r="B1204" s="22">
        <f>'EQUITY BACKTEST'!B1207</f>
        <v>4500.53</v>
      </c>
      <c r="C1204" s="22">
        <f>1/'EQUITY BACKTEST'!E1207</f>
        <v>0.8760402979</v>
      </c>
      <c r="D1204" s="22">
        <f t="shared" si="7"/>
        <v>-0.6758990802</v>
      </c>
      <c r="E1204" s="22">
        <f t="shared" si="3"/>
        <v>0.01549691438</v>
      </c>
      <c r="F1204" s="22">
        <f t="shared" si="6"/>
        <v>0.1578921641</v>
      </c>
      <c r="H1204" s="22" t="str">
        <f t="shared" si="4"/>
        <v/>
      </c>
      <c r="I1204" s="22" t="str">
        <f t="shared" si="1"/>
        <v>#N/A</v>
      </c>
      <c r="J1204" s="22" t="str">
        <f t="shared" si="2"/>
        <v>#N/A</v>
      </c>
      <c r="K1204" s="22" t="str">
        <f t="shared" si="8"/>
        <v/>
      </c>
    </row>
    <row r="1205" ht="15.75" customHeight="1">
      <c r="A1205" s="32">
        <f>'EQUITY BACKTEST'!A1208</f>
        <v>44603.66667</v>
      </c>
      <c r="B1205" s="22">
        <f>'EQUITY BACKTEST'!B1208</f>
        <v>4418.64</v>
      </c>
      <c r="C1205" s="22">
        <f>1/'EQUITY BACKTEST'!E1208</f>
        <v>0.8816009874</v>
      </c>
      <c r="D1205" s="22">
        <f t="shared" si="7"/>
        <v>-0.6532559376</v>
      </c>
      <c r="E1205" s="22">
        <f t="shared" si="3"/>
        <v>-0.01819563474</v>
      </c>
      <c r="F1205" s="22">
        <f t="shared" si="6"/>
        <v>0.1229557567</v>
      </c>
      <c r="H1205" s="22" t="str">
        <f t="shared" si="4"/>
        <v/>
      </c>
      <c r="I1205" s="22" t="str">
        <f t="shared" si="1"/>
        <v>#N/A</v>
      </c>
      <c r="J1205" s="22" t="str">
        <f t="shared" si="2"/>
        <v>#N/A</v>
      </c>
      <c r="K1205" s="22" t="str">
        <f t="shared" si="8"/>
        <v/>
      </c>
    </row>
    <row r="1206" ht="15.75" customHeight="1">
      <c r="A1206" s="32">
        <f>'EQUITY BACKTEST'!A1209</f>
        <v>44610.66667</v>
      </c>
      <c r="B1206" s="22">
        <f>'EQUITY BACKTEST'!B1209</f>
        <v>4348.87</v>
      </c>
      <c r="C1206" s="22">
        <f>1/'EQUITY BACKTEST'!E1209</f>
        <v>0.8978595029</v>
      </c>
      <c r="D1206" s="22">
        <f t="shared" si="7"/>
        <v>-0.6331034164</v>
      </c>
      <c r="E1206" s="22">
        <f t="shared" si="3"/>
        <v>-0.01578992631</v>
      </c>
      <c r="F1206" s="22">
        <f t="shared" si="6"/>
        <v>0.113179632</v>
      </c>
      <c r="H1206" s="22" t="str">
        <f t="shared" si="4"/>
        <v/>
      </c>
      <c r="I1206" s="22" t="str">
        <f t="shared" si="1"/>
        <v>#N/A</v>
      </c>
      <c r="J1206" s="22" t="str">
        <f t="shared" si="2"/>
        <v>#N/A</v>
      </c>
      <c r="K1206" s="22" t="str">
        <f t="shared" si="8"/>
        <v/>
      </c>
    </row>
    <row r="1207" ht="15.75" customHeight="1">
      <c r="A1207" s="32">
        <f>'EQUITY BACKTEST'!A1210</f>
        <v>44617.66667</v>
      </c>
      <c r="B1207" s="22">
        <f>'EQUITY BACKTEST'!B1210</f>
        <v>4384.65</v>
      </c>
      <c r="C1207" s="22">
        <f>1/'EQUITY BACKTEST'!E1210</f>
        <v>0.8735150245</v>
      </c>
      <c r="D1207" s="22">
        <f t="shared" si="7"/>
        <v>-0.6124039654</v>
      </c>
      <c r="E1207" s="22">
        <f t="shared" si="3"/>
        <v>0.008227424595</v>
      </c>
      <c r="F1207" s="22">
        <f t="shared" si="6"/>
        <v>0.1504795141</v>
      </c>
      <c r="H1207" s="22" t="str">
        <f t="shared" si="4"/>
        <v/>
      </c>
      <c r="I1207" s="22" t="str">
        <f t="shared" si="1"/>
        <v>#N/A</v>
      </c>
      <c r="J1207" s="22" t="str">
        <f t="shared" si="2"/>
        <v>#N/A</v>
      </c>
      <c r="K1207" s="22" t="str">
        <f t="shared" si="8"/>
        <v/>
      </c>
    </row>
    <row r="1208" ht="15.75" customHeight="1">
      <c r="A1208" s="32">
        <f>'EQUITY BACKTEST'!A1211</f>
        <v>44624.66667</v>
      </c>
      <c r="B1208" s="22">
        <f>'EQUITY BACKTEST'!B1211</f>
        <v>4328.87</v>
      </c>
      <c r="C1208" s="22">
        <f>1/'EQUITY BACKTEST'!E1211</f>
        <v>0.8814300321</v>
      </c>
      <c r="D1208" s="22">
        <f t="shared" si="7"/>
        <v>-0.5886516897</v>
      </c>
      <c r="E1208" s="22">
        <f t="shared" si="3"/>
        <v>-0.01272165395</v>
      </c>
      <c r="F1208" s="22">
        <f t="shared" si="6"/>
        <v>0.1267406571</v>
      </c>
      <c r="H1208" s="22" t="str">
        <f t="shared" si="4"/>
        <v/>
      </c>
      <c r="I1208" s="22" t="str">
        <f t="shared" si="1"/>
        <v>#N/A</v>
      </c>
      <c r="J1208" s="22" t="str">
        <f t="shared" si="2"/>
        <v>#N/A</v>
      </c>
      <c r="K1208" s="22" t="str">
        <f t="shared" si="8"/>
        <v/>
      </c>
    </row>
    <row r="1209" ht="15.75" customHeight="1">
      <c r="A1209" s="32">
        <f>'EQUITY BACKTEST'!A1212</f>
        <v>44631.66667</v>
      </c>
      <c r="B1209" s="22">
        <f>'EQUITY BACKTEST'!B1212</f>
        <v>4204.31</v>
      </c>
      <c r="C1209" s="22">
        <f>1/'EQUITY BACKTEST'!E1212</f>
        <v>0.8844469995</v>
      </c>
      <c r="D1209" s="22">
        <f t="shared" si="7"/>
        <v>-0.5561785348</v>
      </c>
      <c r="E1209" s="22">
        <f t="shared" si="3"/>
        <v>-0.02877425287</v>
      </c>
      <c r="F1209" s="22">
        <f t="shared" si="6"/>
        <v>0.06617993883</v>
      </c>
      <c r="H1209" s="22" t="str">
        <f t="shared" si="4"/>
        <v/>
      </c>
      <c r="I1209" s="22" t="str">
        <f t="shared" si="1"/>
        <v>#N/A</v>
      </c>
      <c r="J1209" s="22" t="str">
        <f t="shared" si="2"/>
        <v>#N/A</v>
      </c>
      <c r="K1209" s="22" t="str">
        <f t="shared" si="8"/>
        <v/>
      </c>
    </row>
    <row r="1210" ht="15.75" customHeight="1">
      <c r="A1210" s="32">
        <f>'EQUITY BACKTEST'!A1213</f>
        <v>44638.66667</v>
      </c>
      <c r="B1210" s="22">
        <f>'EQUITY BACKTEST'!B1213</f>
        <v>4463.12</v>
      </c>
      <c r="C1210" s="22">
        <f>1/'EQUITY BACKTEST'!E1213</f>
        <v>0.8872327211</v>
      </c>
      <c r="D1210" s="22">
        <f t="shared" si="7"/>
        <v>-0.5439388727</v>
      </c>
      <c r="E1210" s="22">
        <f t="shared" si="3"/>
        <v>0.06155825807</v>
      </c>
      <c r="F1210" s="22">
        <f t="shared" si="6"/>
        <v>0.1405586364</v>
      </c>
      <c r="H1210" s="22" t="str">
        <f t="shared" si="4"/>
        <v/>
      </c>
      <c r="I1210" s="22" t="str">
        <f t="shared" si="1"/>
        <v>#N/A</v>
      </c>
      <c r="J1210" s="22" t="str">
        <f t="shared" si="2"/>
        <v>#N/A</v>
      </c>
      <c r="K1210" s="22" t="str">
        <f t="shared" si="8"/>
        <v/>
      </c>
    </row>
    <row r="1211" ht="15.75" customHeight="1">
      <c r="A1211" s="32">
        <f>'EQUITY BACKTEST'!A1214</f>
        <v>44645.66667</v>
      </c>
      <c r="B1211" s="22">
        <f>'EQUITY BACKTEST'!B1214</f>
        <v>4543.06</v>
      </c>
      <c r="C1211" s="22">
        <f>1/'EQUITY BACKTEST'!E1214</f>
        <v>0.9154155987</v>
      </c>
      <c r="D1211" s="22">
        <f t="shared" si="7"/>
        <v>-0.5031728601</v>
      </c>
      <c r="E1211" s="22">
        <f t="shared" si="3"/>
        <v>0.01791123698</v>
      </c>
      <c r="F1211" s="22">
        <f t="shared" si="6"/>
        <v>0.1430404525</v>
      </c>
      <c r="H1211" s="22" t="str">
        <f t="shared" si="4"/>
        <v/>
      </c>
      <c r="I1211" s="22" t="str">
        <f t="shared" si="1"/>
        <v>#N/A</v>
      </c>
      <c r="J1211" s="22" t="str">
        <f t="shared" si="2"/>
        <v>#N/A</v>
      </c>
      <c r="K1211" s="22" t="str">
        <f t="shared" si="8"/>
        <v/>
      </c>
    </row>
    <row r="1212" ht="15.75" customHeight="1">
      <c r="A1212" s="32">
        <f>'EQUITY BACKTEST'!A1215</f>
        <v>44652.66667</v>
      </c>
      <c r="B1212" s="22">
        <f>'EQUITY BACKTEST'!B1215</f>
        <v>4545.86</v>
      </c>
      <c r="C1212" s="22">
        <f>1/'EQUITY BACKTEST'!E1215</f>
        <v>0.9163383121</v>
      </c>
      <c r="D1212" s="22">
        <f t="shared" si="7"/>
        <v>-0.4839878254</v>
      </c>
      <c r="E1212" s="22">
        <f t="shared" si="3"/>
        <v>0.0006163246798</v>
      </c>
      <c r="F1212" s="22">
        <f t="shared" si="6"/>
        <v>0.130847515</v>
      </c>
      <c r="H1212" s="22" t="str">
        <f t="shared" si="4"/>
        <v/>
      </c>
      <c r="I1212" s="22" t="str">
        <f t="shared" si="1"/>
        <v>#N/A</v>
      </c>
      <c r="J1212" s="22" t="str">
        <f t="shared" si="2"/>
        <v>#N/A</v>
      </c>
      <c r="K1212" s="22" t="str">
        <f t="shared" si="8"/>
        <v/>
      </c>
    </row>
    <row r="1213" ht="15.75" customHeight="1">
      <c r="A1213" s="32">
        <f>'EQUITY BACKTEST'!A1216</f>
        <v>44659.66667</v>
      </c>
      <c r="B1213" s="22">
        <f>'EQUITY BACKTEST'!B1216</f>
        <v>4488.28</v>
      </c>
      <c r="C1213" s="22">
        <f>1/'EQUITY BACKTEST'!E1216</f>
        <v>0.9034239769</v>
      </c>
      <c r="D1213" s="22">
        <f t="shared" si="7"/>
        <v>-0.4661786573</v>
      </c>
      <c r="E1213" s="22">
        <f t="shared" si="3"/>
        <v>-0.01266647015</v>
      </c>
      <c r="F1213" s="22">
        <f t="shared" si="6"/>
        <v>0.08706645999</v>
      </c>
      <c r="H1213" s="22" t="str">
        <f t="shared" si="4"/>
        <v/>
      </c>
      <c r="I1213" s="22" t="str">
        <f t="shared" si="1"/>
        <v>#N/A</v>
      </c>
      <c r="J1213" s="22" t="str">
        <f t="shared" si="2"/>
        <v>#N/A</v>
      </c>
      <c r="K1213" s="22" t="str">
        <f t="shared" si="8"/>
        <v/>
      </c>
    </row>
    <row r="1214" ht="15.75" customHeight="1">
      <c r="A1214" s="32">
        <f>'EQUITY BACKTEST'!A1217</f>
        <v>44665.66667</v>
      </c>
      <c r="B1214" s="22">
        <f>'EQUITY BACKTEST'!B1217</f>
        <v>4392.59</v>
      </c>
      <c r="C1214" s="22">
        <f>1/'EQUITY BACKTEST'!E1217</f>
        <v>0.9104980424</v>
      </c>
      <c r="D1214" s="22">
        <f t="shared" si="7"/>
        <v>-0.4324106806</v>
      </c>
      <c r="E1214" s="22">
        <f t="shared" si="3"/>
        <v>-0.02131997112</v>
      </c>
      <c r="F1214" s="22">
        <f t="shared" si="6"/>
        <v>0.04948548192</v>
      </c>
      <c r="H1214" s="22" t="str">
        <f t="shared" si="4"/>
        <v/>
      </c>
      <c r="I1214" s="22" t="str">
        <f t="shared" si="1"/>
        <v>#N/A</v>
      </c>
      <c r="J1214" s="22" t="str">
        <f t="shared" si="2"/>
        <v>#N/A</v>
      </c>
      <c r="K1214" s="22" t="str">
        <f t="shared" si="8"/>
        <v/>
      </c>
    </row>
    <row r="1215" ht="15.75" customHeight="1">
      <c r="A1215" s="32">
        <f>'EQUITY BACKTEST'!A1218</f>
        <v>44673.66667</v>
      </c>
      <c r="B1215" s="22">
        <f>'EQUITY BACKTEST'!B1218</f>
        <v>4271.78</v>
      </c>
      <c r="C1215" s="22">
        <f>1/'EQUITY BACKTEST'!E1218</f>
        <v>0.905715062</v>
      </c>
      <c r="D1215" s="22">
        <f t="shared" si="7"/>
        <v>-0.4089489871</v>
      </c>
      <c r="E1215" s="22">
        <f t="shared" si="3"/>
        <v>-0.02750313596</v>
      </c>
      <c r="F1215" s="22">
        <f t="shared" si="6"/>
        <v>0.02191537665</v>
      </c>
      <c r="H1215" s="22" t="str">
        <f t="shared" si="4"/>
        <v/>
      </c>
      <c r="I1215" s="22" t="str">
        <f t="shared" si="1"/>
        <v>#N/A</v>
      </c>
      <c r="J1215" s="22" t="str">
        <f t="shared" si="2"/>
        <v>#N/A</v>
      </c>
      <c r="K1215" s="22" t="str">
        <f t="shared" si="8"/>
        <v/>
      </c>
    </row>
    <row r="1216" ht="15.75" customHeight="1">
      <c r="A1216" s="32">
        <f>'EQUITY BACKTEST'!A1219</f>
        <v>44680.66667</v>
      </c>
      <c r="B1216" s="22">
        <f>'EQUITY BACKTEST'!B1219</f>
        <v>4131.93</v>
      </c>
      <c r="C1216" s="22">
        <f>1/'EQUITY BACKTEST'!E1219</f>
        <v>0.9196501651</v>
      </c>
      <c r="D1216" s="22">
        <f t="shared" si="7"/>
        <v>-0.3957864722</v>
      </c>
      <c r="E1216" s="22">
        <f t="shared" si="3"/>
        <v>-0.03273810917</v>
      </c>
      <c r="F1216" s="22">
        <f t="shared" si="6"/>
        <v>-0.01177660798</v>
      </c>
      <c r="H1216" s="22" t="str">
        <f t="shared" si="4"/>
        <v/>
      </c>
      <c r="I1216" s="22" t="str">
        <f t="shared" si="1"/>
        <v>#N/A</v>
      </c>
      <c r="J1216" s="22" t="str">
        <f t="shared" si="2"/>
        <v>#N/A</v>
      </c>
      <c r="K1216" s="22" t="str">
        <f t="shared" si="8"/>
        <v/>
      </c>
    </row>
    <row r="1217" ht="15.75" customHeight="1">
      <c r="A1217" s="32">
        <f>'EQUITY BACKTEST'!A1220</f>
        <v>44687.66667</v>
      </c>
      <c r="B1217" s="22">
        <f>'EQUITY BACKTEST'!B1220</f>
        <v>4123.34</v>
      </c>
      <c r="C1217" s="22">
        <f>1/'EQUITY BACKTEST'!E1220</f>
        <v>0.9250779378</v>
      </c>
      <c r="D1217" s="22">
        <f t="shared" si="7"/>
        <v>-0.4011070515</v>
      </c>
      <c r="E1217" s="22">
        <f t="shared" si="3"/>
        <v>-0.002078931637</v>
      </c>
      <c r="F1217" s="22">
        <f t="shared" si="6"/>
        <v>-0.02581392052</v>
      </c>
      <c r="H1217" s="22" t="str">
        <f t="shared" si="4"/>
        <v/>
      </c>
      <c r="I1217" s="22" t="str">
        <f t="shared" si="1"/>
        <v>#N/A</v>
      </c>
      <c r="J1217" s="22" t="str">
        <f t="shared" si="2"/>
        <v>#N/A</v>
      </c>
      <c r="K1217" s="22" t="str">
        <f t="shared" si="8"/>
        <v/>
      </c>
    </row>
    <row r="1218" ht="15.75" customHeight="1">
      <c r="A1218" s="32">
        <f>'EQUITY BACKTEST'!A1221</f>
        <v>44694.66667</v>
      </c>
      <c r="B1218" s="22">
        <f>'EQUITY BACKTEST'!B1221</f>
        <v>4023.89</v>
      </c>
      <c r="C1218" s="22">
        <f>1/'EQUITY BACKTEST'!E1221</f>
        <v>0.9260974254</v>
      </c>
      <c r="D1218" s="22">
        <f t="shared" si="7"/>
        <v>-0.4068116564</v>
      </c>
      <c r="E1218" s="22">
        <f t="shared" si="3"/>
        <v>-0.0241187969</v>
      </c>
      <c r="F1218" s="22">
        <f t="shared" si="6"/>
        <v>-0.03592845934</v>
      </c>
      <c r="H1218" s="22" t="str">
        <f t="shared" si="4"/>
        <v/>
      </c>
      <c r="I1218" s="22" t="str">
        <f t="shared" si="1"/>
        <v>#N/A</v>
      </c>
      <c r="J1218" s="22" t="str">
        <f t="shared" si="2"/>
        <v>#N/A</v>
      </c>
      <c r="K1218" s="22" t="str">
        <f t="shared" si="8"/>
        <v/>
      </c>
    </row>
    <row r="1219" ht="15.75" customHeight="1">
      <c r="A1219" s="32">
        <f>'EQUITY BACKTEST'!A1222</f>
        <v>44701.66667</v>
      </c>
      <c r="B1219" s="22">
        <f>'EQUITY BACKTEST'!B1222</f>
        <v>3901.36</v>
      </c>
      <c r="C1219" s="22">
        <f>1/'EQUITY BACKTEST'!E1222</f>
        <v>0.9486765961</v>
      </c>
      <c r="D1219" s="22">
        <f t="shared" si="7"/>
        <v>-0.4302916955</v>
      </c>
      <c r="E1219" s="22">
        <f t="shared" si="3"/>
        <v>-0.03045063359</v>
      </c>
      <c r="F1219" s="22">
        <f t="shared" si="6"/>
        <v>-0.06123882903</v>
      </c>
      <c r="H1219" s="22" t="str">
        <f t="shared" si="4"/>
        <v/>
      </c>
      <c r="I1219" s="22" t="str">
        <f t="shared" si="1"/>
        <v>#N/A</v>
      </c>
      <c r="J1219" s="22" t="str">
        <f t="shared" si="2"/>
        <v>#N/A</v>
      </c>
      <c r="K1219" s="22" t="str">
        <f t="shared" si="8"/>
        <v/>
      </c>
    </row>
    <row r="1220" ht="15.75" customHeight="1">
      <c r="A1220" s="32">
        <f>'EQUITY BACKTEST'!A1223</f>
        <v>44708.66667</v>
      </c>
      <c r="B1220" s="22">
        <f>'EQUITY BACKTEST'!B1223</f>
        <v>4158.24</v>
      </c>
      <c r="C1220" s="22">
        <f>1/'EQUITY BACKTEST'!E1223</f>
        <v>0.9492889826</v>
      </c>
      <c r="D1220" s="22">
        <f t="shared" si="7"/>
        <v>-0.4547082123</v>
      </c>
      <c r="E1220" s="22">
        <f t="shared" si="3"/>
        <v>0.06584370578</v>
      </c>
      <c r="F1220" s="22">
        <f t="shared" si="6"/>
        <v>-0.01091075162</v>
      </c>
      <c r="H1220" s="22" t="str">
        <f t="shared" si="4"/>
        <v/>
      </c>
      <c r="I1220" s="22" t="str">
        <f t="shared" si="1"/>
        <v>#N/A</v>
      </c>
      <c r="J1220" s="22" t="str">
        <f t="shared" si="2"/>
        <v>#N/A</v>
      </c>
      <c r="K1220" s="22" t="str">
        <f t="shared" si="8"/>
        <v/>
      </c>
    </row>
    <row r="1221" ht="15.75" customHeight="1">
      <c r="A1221" s="32">
        <f>'EQUITY BACKTEST'!A1224</f>
        <v>44715.66667</v>
      </c>
      <c r="B1221" s="22">
        <f>'EQUITY BACKTEST'!B1224</f>
        <v>4108.54</v>
      </c>
      <c r="C1221" s="22">
        <f>1/'EQUITY BACKTEST'!E1224</f>
        <v>0.9607716918</v>
      </c>
      <c r="D1221" s="22">
        <f t="shared" si="7"/>
        <v>-0.4755304447</v>
      </c>
      <c r="E1221" s="22">
        <f t="shared" si="3"/>
        <v>-0.01195217207</v>
      </c>
      <c r="F1221" s="22">
        <f t="shared" si="6"/>
        <v>-0.0286886893</v>
      </c>
      <c r="H1221" s="22" t="str">
        <f t="shared" si="4"/>
        <v/>
      </c>
      <c r="I1221" s="22" t="str">
        <f t="shared" si="1"/>
        <v>#N/A</v>
      </c>
      <c r="J1221" s="22" t="str">
        <f t="shared" si="2"/>
        <v>#N/A</v>
      </c>
      <c r="K1221" s="22" t="str">
        <f t="shared" si="8"/>
        <v/>
      </c>
    </row>
    <row r="1222" ht="15.75" customHeight="1">
      <c r="A1222" s="32">
        <f>'EQUITY BACKTEST'!A1225</f>
        <v>44722.66667</v>
      </c>
      <c r="B1222" s="22">
        <f>'EQUITY BACKTEST'!B1225</f>
        <v>3900.86</v>
      </c>
      <c r="C1222" s="22">
        <f>1/'EQUITY BACKTEST'!E1225</f>
        <v>0.9469876323</v>
      </c>
      <c r="D1222" s="22">
        <f t="shared" si="7"/>
        <v>-0.4912547126</v>
      </c>
      <c r="E1222" s="22">
        <f t="shared" si="3"/>
        <v>-0.05054836998</v>
      </c>
      <c r="F1222" s="22">
        <f t="shared" si="6"/>
        <v>-0.08159738572</v>
      </c>
      <c r="H1222" s="22" t="str">
        <f t="shared" si="4"/>
        <v>Crash</v>
      </c>
      <c r="I1222" s="22">
        <f t="shared" si="1"/>
        <v>-5.054836998</v>
      </c>
      <c r="J1222" s="22">
        <f t="shared" si="2"/>
        <v>-49.12547126</v>
      </c>
      <c r="K1222" s="22" t="str">
        <f t="shared" si="8"/>
        <v/>
      </c>
    </row>
    <row r="1223" ht="15.75" customHeight="1">
      <c r="A1223" s="32">
        <f>'EQUITY BACKTEST'!A1226</f>
        <v>44729.66667</v>
      </c>
      <c r="B1223" s="22">
        <f>'EQUITY BACKTEST'!B1226</f>
        <v>3674.84</v>
      </c>
      <c r="C1223" s="22">
        <f>1/'EQUITY BACKTEST'!E1226</f>
        <v>0.9318275001</v>
      </c>
      <c r="D1223" s="22">
        <f t="shared" si="7"/>
        <v>-0.4963368759</v>
      </c>
      <c r="E1223" s="22">
        <f t="shared" si="3"/>
        <v>-0.05794106941</v>
      </c>
      <c r="F1223" s="22">
        <f t="shared" si="6"/>
        <v>-0.1179925356</v>
      </c>
      <c r="H1223" s="22" t="str">
        <f t="shared" si="4"/>
        <v>Crash</v>
      </c>
      <c r="I1223" s="22">
        <f t="shared" si="1"/>
        <v>-5.794106941</v>
      </c>
      <c r="J1223" s="22">
        <f t="shared" si="2"/>
        <v>-49.63368759</v>
      </c>
      <c r="K1223" s="22" t="str">
        <f t="shared" si="8"/>
        <v/>
      </c>
    </row>
    <row r="1224" ht="15.75" customHeight="1">
      <c r="A1224" s="32">
        <f>'EQUITY BACKTEST'!A1227</f>
        <v>44736.66667</v>
      </c>
      <c r="B1224" s="22">
        <f>'EQUITY BACKTEST'!B1227</f>
        <v>3911.74</v>
      </c>
      <c r="C1224" s="22">
        <f>1/'EQUITY BACKTEST'!E1227</f>
        <v>0.9330098899</v>
      </c>
      <c r="D1224" s="22">
        <f t="shared" si="7"/>
        <v>-0.539233223</v>
      </c>
      <c r="E1224" s="22">
        <f t="shared" si="3"/>
        <v>0.06446539169</v>
      </c>
      <c r="F1224" s="22">
        <f t="shared" si="6"/>
        <v>-0.08619151073</v>
      </c>
      <c r="H1224" s="22" t="str">
        <f t="shared" si="4"/>
        <v/>
      </c>
      <c r="I1224" s="22" t="str">
        <f t="shared" si="1"/>
        <v>#N/A</v>
      </c>
      <c r="J1224" s="22" t="str">
        <f t="shared" si="2"/>
        <v>#N/A</v>
      </c>
      <c r="K1224" s="22" t="str">
        <f t="shared" si="8"/>
        <v/>
      </c>
    </row>
    <row r="1225" ht="15.75" customHeight="1">
      <c r="A1225" s="32">
        <f>'EQUITY BACKTEST'!A1228</f>
        <v>44743.66667</v>
      </c>
      <c r="B1225" s="22">
        <f>'EQUITY BACKTEST'!B1228</f>
        <v>3825.33</v>
      </c>
      <c r="C1225" s="22">
        <f>1/'EQUITY BACKTEST'!E1228</f>
        <v>0.9506607092</v>
      </c>
      <c r="D1225" s="22">
        <f t="shared" si="7"/>
        <v>-0.5494920939</v>
      </c>
      <c r="E1225" s="22">
        <f t="shared" si="3"/>
        <v>-0.02208991395</v>
      </c>
      <c r="F1225" s="22">
        <f t="shared" si="6"/>
        <v>-0.1210865879</v>
      </c>
      <c r="H1225" s="22" t="str">
        <f t="shared" si="4"/>
        <v/>
      </c>
      <c r="I1225" s="22" t="str">
        <f t="shared" si="1"/>
        <v>#N/A</v>
      </c>
      <c r="J1225" s="22" t="str">
        <f t="shared" si="2"/>
        <v>#N/A</v>
      </c>
      <c r="K1225" s="22" t="str">
        <f t="shared" si="8"/>
        <v/>
      </c>
    </row>
    <row r="1226" ht="15.75" customHeight="1">
      <c r="A1226" s="32">
        <f>'EQUITY BACKTEST'!A1229</f>
        <v>44750.66667</v>
      </c>
      <c r="B1226" s="22">
        <f>'EQUITY BACKTEST'!B1229</f>
        <v>3899.38</v>
      </c>
      <c r="C1226" s="22">
        <f>1/'EQUITY BACKTEST'!E1229</f>
        <v>0.9528346832</v>
      </c>
      <c r="D1226" s="22">
        <f t="shared" si="7"/>
        <v>-0.5733623317</v>
      </c>
      <c r="E1226" s="22">
        <f t="shared" si="3"/>
        <v>0.01935780704</v>
      </c>
      <c r="F1226" s="22">
        <f t="shared" si="6"/>
        <v>-0.1076014693</v>
      </c>
      <c r="H1226" s="22" t="str">
        <f t="shared" si="4"/>
        <v/>
      </c>
      <c r="I1226" s="22" t="str">
        <f t="shared" si="1"/>
        <v>#N/A</v>
      </c>
      <c r="J1226" s="22" t="str">
        <f t="shared" si="2"/>
        <v>#N/A</v>
      </c>
      <c r="K1226" s="22" t="str">
        <f t="shared" si="8"/>
        <v/>
      </c>
    </row>
    <row r="1227" ht="15.75" customHeight="1">
      <c r="A1227" s="32">
        <f>'EQUITY BACKTEST'!A1230</f>
        <v>44757.66667</v>
      </c>
      <c r="B1227" s="22">
        <f>'EQUITY BACKTEST'!B1230</f>
        <v>3863.16</v>
      </c>
      <c r="C1227" s="22">
        <f>1/'EQUITY BACKTEST'!E1230</f>
        <v>0.9462886559</v>
      </c>
      <c r="D1227" s="22">
        <f t="shared" si="7"/>
        <v>-0.5875815314</v>
      </c>
      <c r="E1227" s="22">
        <f t="shared" si="3"/>
        <v>-0.009288656145</v>
      </c>
      <c r="F1227" s="22">
        <f t="shared" si="6"/>
        <v>-0.1072296841</v>
      </c>
      <c r="H1227" s="22" t="str">
        <f t="shared" si="4"/>
        <v/>
      </c>
      <c r="I1227" s="22" t="str">
        <f t="shared" si="1"/>
        <v>#N/A</v>
      </c>
      <c r="J1227" s="22" t="str">
        <f t="shared" si="2"/>
        <v>#N/A</v>
      </c>
      <c r="K1227" s="22" t="str">
        <f t="shared" si="8"/>
        <v/>
      </c>
    </row>
    <row r="1228" ht="15.75" customHeight="1">
      <c r="A1228" s="32">
        <f>'EQUITY BACKTEST'!A1231</f>
        <v>44764.66667</v>
      </c>
      <c r="B1228" s="22">
        <f>'EQUITY BACKTEST'!B1231</f>
        <v>3961.63</v>
      </c>
      <c r="C1228" s="22">
        <f>1/'EQUITY BACKTEST'!E1231</f>
        <v>0.9590302286</v>
      </c>
      <c r="D1228" s="22">
        <f t="shared" si="7"/>
        <v>-0.6039000084</v>
      </c>
      <c r="E1228" s="22">
        <f t="shared" si="3"/>
        <v>0.02548949565</v>
      </c>
      <c r="F1228" s="22">
        <f t="shared" si="6"/>
        <v>-0.1020356817</v>
      </c>
      <c r="H1228" s="22" t="str">
        <f t="shared" si="4"/>
        <v/>
      </c>
      <c r="I1228" s="22" t="str">
        <f t="shared" si="1"/>
        <v>#N/A</v>
      </c>
      <c r="J1228" s="22" t="str">
        <f t="shared" si="2"/>
        <v>#N/A</v>
      </c>
      <c r="K1228" s="22" t="str">
        <f t="shared" si="8"/>
        <v/>
      </c>
    </row>
    <row r="1229" ht="15.75" customHeight="1">
      <c r="A1229" s="32">
        <f>'EQUITY BACKTEST'!A1232</f>
        <v>44771.66667</v>
      </c>
      <c r="B1229" s="22">
        <f>'EQUITY BACKTEST'!B1232</f>
        <v>4130.29</v>
      </c>
      <c r="C1229" s="22">
        <f>1/'EQUITY BACKTEST'!E1232</f>
        <v>0.9820288716</v>
      </c>
      <c r="D1229" s="22">
        <f t="shared" si="7"/>
        <v>-0.6138182637</v>
      </c>
      <c r="E1229" s="22">
        <f t="shared" si="3"/>
        <v>0.0425733852</v>
      </c>
      <c r="F1229" s="22">
        <f t="shared" si="6"/>
        <v>-0.06028539836</v>
      </c>
      <c r="H1229" s="22" t="str">
        <f t="shared" si="4"/>
        <v/>
      </c>
      <c r="I1229" s="22" t="str">
        <f t="shared" si="1"/>
        <v>#N/A</v>
      </c>
      <c r="J1229" s="22" t="str">
        <f t="shared" si="2"/>
        <v>#N/A</v>
      </c>
      <c r="K1229" s="22" t="str">
        <f t="shared" si="8"/>
        <v/>
      </c>
    </row>
    <row r="1230" ht="15.75" customHeight="1">
      <c r="A1230" s="32">
        <f>'EQUITY BACKTEST'!A1233</f>
        <v>44778.66667</v>
      </c>
      <c r="B1230" s="22">
        <f>'EQUITY BACKTEST'!B1233</f>
        <v>4145.19</v>
      </c>
      <c r="C1230" s="22">
        <f>1/'EQUITY BACKTEST'!E1233</f>
        <v>0.9906286529</v>
      </c>
      <c r="D1230" s="22">
        <f t="shared" si="7"/>
        <v>-0.6416186601</v>
      </c>
      <c r="E1230" s="22">
        <f t="shared" si="3"/>
        <v>0.003607494873</v>
      </c>
      <c r="F1230" s="22">
        <f t="shared" si="6"/>
        <v>-0.06566633307</v>
      </c>
      <c r="H1230" s="22" t="str">
        <f t="shared" si="4"/>
        <v/>
      </c>
      <c r="I1230" s="22" t="str">
        <f t="shared" si="1"/>
        <v>#N/A</v>
      </c>
      <c r="J1230" s="22" t="str">
        <f t="shared" si="2"/>
        <v>#N/A</v>
      </c>
      <c r="K1230" s="22" t="str">
        <f t="shared" si="8"/>
        <v/>
      </c>
    </row>
    <row r="1231" ht="15.75" customHeight="1">
      <c r="A1231" s="32">
        <f>'EQUITY BACKTEST'!A1234</f>
        <v>44785.66667</v>
      </c>
      <c r="B1231" s="22">
        <f>'EQUITY BACKTEST'!B1234</f>
        <v>4280.15</v>
      </c>
      <c r="C1231" s="22">
        <f>1/'EQUITY BACKTEST'!E1234</f>
        <v>0.9792401097</v>
      </c>
      <c r="D1231" s="22">
        <f t="shared" si="7"/>
        <v>-0.6679764292</v>
      </c>
      <c r="E1231" s="22">
        <f t="shared" si="3"/>
        <v>0.03255821808</v>
      </c>
      <c r="F1231" s="22">
        <f t="shared" si="6"/>
        <v>-0.04204341987</v>
      </c>
      <c r="H1231" s="22" t="str">
        <f t="shared" si="4"/>
        <v/>
      </c>
      <c r="I1231" s="22" t="str">
        <f t="shared" si="1"/>
        <v>#N/A</v>
      </c>
      <c r="J1231" s="22" t="str">
        <f t="shared" si="2"/>
        <v>#N/A</v>
      </c>
      <c r="K1231" s="22" t="str">
        <f t="shared" si="8"/>
        <v/>
      </c>
    </row>
    <row r="1232" ht="15.75" customHeight="1">
      <c r="A1232" s="32">
        <f>'EQUITY BACKTEST'!A1235</f>
        <v>44792.66667</v>
      </c>
      <c r="B1232" s="22">
        <f>'EQUITY BACKTEST'!B1235</f>
        <v>4228.48</v>
      </c>
      <c r="C1232" s="22">
        <f>1/'EQUITY BACKTEST'!E1235</f>
        <v>0.9778612219</v>
      </c>
      <c r="D1232" s="22">
        <f t="shared" si="7"/>
        <v>-0.6962612187</v>
      </c>
      <c r="E1232" s="22">
        <f t="shared" si="3"/>
        <v>-0.01207200682</v>
      </c>
      <c r="F1232" s="22">
        <f t="shared" si="6"/>
        <v>-0.04799771257</v>
      </c>
      <c r="H1232" s="22" t="str">
        <f t="shared" si="4"/>
        <v/>
      </c>
      <c r="I1232" s="22" t="str">
        <f t="shared" si="1"/>
        <v>#N/A</v>
      </c>
      <c r="J1232" s="22" t="str">
        <f t="shared" si="2"/>
        <v>#N/A</v>
      </c>
      <c r="K1232" s="22" t="str">
        <f t="shared" si="8"/>
        <v/>
      </c>
    </row>
    <row r="1233" ht="15.75" customHeight="1">
      <c r="A1233" s="32">
        <f>'EQUITY BACKTEST'!A1236</f>
        <v>44799.66667</v>
      </c>
      <c r="B1233" s="22">
        <f>'EQUITY BACKTEST'!B1236</f>
        <v>4057.66</v>
      </c>
      <c r="C1233" s="22">
        <f>1/'EQUITY BACKTEST'!E1236</f>
        <v>0.9823279207</v>
      </c>
      <c r="D1233" s="22">
        <f t="shared" si="7"/>
        <v>-0.718296488</v>
      </c>
      <c r="E1233" s="22">
        <f t="shared" si="3"/>
        <v>-0.04039749508</v>
      </c>
      <c r="F1233" s="22">
        <f t="shared" si="6"/>
        <v>-0.1001714208</v>
      </c>
      <c r="H1233" s="22" t="str">
        <f t="shared" si="4"/>
        <v/>
      </c>
      <c r="I1233" s="22" t="str">
        <f t="shared" si="1"/>
        <v>#N/A</v>
      </c>
      <c r="J1233" s="22" t="str">
        <f t="shared" si="2"/>
        <v>#N/A</v>
      </c>
      <c r="K1233" s="22" t="str">
        <f t="shared" si="8"/>
        <v/>
      </c>
    </row>
    <row r="1234" ht="15.75" customHeight="1">
      <c r="A1234" s="32">
        <f>'EQUITY BACKTEST'!A1237</f>
        <v>44806.66667</v>
      </c>
      <c r="B1234" s="22">
        <f>'EQUITY BACKTEST'!B1237</f>
        <v>3924.26</v>
      </c>
      <c r="C1234" s="22">
        <f>1/'EQUITY BACKTEST'!E1237</f>
        <v>0.974449923</v>
      </c>
      <c r="D1234" s="22">
        <f t="shared" si="7"/>
        <v>-0.7246843936</v>
      </c>
      <c r="E1234" s="22">
        <f t="shared" si="3"/>
        <v>-0.03287609115</v>
      </c>
      <c r="F1234" s="22">
        <f t="shared" si="6"/>
        <v>-0.1347545878</v>
      </c>
      <c r="H1234" s="22" t="str">
        <f t="shared" si="4"/>
        <v/>
      </c>
      <c r="I1234" s="22" t="str">
        <f t="shared" si="1"/>
        <v>#N/A</v>
      </c>
      <c r="J1234" s="22" t="str">
        <f t="shared" si="2"/>
        <v>#N/A</v>
      </c>
      <c r="K1234" s="22" t="str">
        <f t="shared" si="8"/>
        <v/>
      </c>
    </row>
    <row r="1235" ht="15.75" customHeight="1">
      <c r="A1235" s="32">
        <f>'EQUITY BACKTEST'!A1238</f>
        <v>44813.66667</v>
      </c>
      <c r="B1235" s="22">
        <f>'EQUITY BACKTEST'!B1238</f>
        <v>4067.36</v>
      </c>
      <c r="C1235" s="22">
        <f>1/'EQUITY BACKTEST'!E1238</f>
        <v>0.9964129135</v>
      </c>
      <c r="D1235" s="22">
        <f t="shared" si="7"/>
        <v>-0.7233146596</v>
      </c>
      <c r="E1235" s="22">
        <f t="shared" si="3"/>
        <v>0.03646547375</v>
      </c>
      <c r="F1235" s="22">
        <f t="shared" si="6"/>
        <v>-0.08774542567</v>
      </c>
      <c r="H1235" s="22" t="str">
        <f t="shared" si="4"/>
        <v/>
      </c>
      <c r="I1235" s="22" t="str">
        <f t="shared" si="1"/>
        <v>#N/A</v>
      </c>
      <c r="J1235" s="22" t="str">
        <f t="shared" si="2"/>
        <v>#N/A</v>
      </c>
      <c r="K1235" s="22" t="str">
        <f t="shared" si="8"/>
        <v/>
      </c>
    </row>
    <row r="1236" ht="15.75" customHeight="1">
      <c r="A1236" s="32">
        <f>'EQUITY BACKTEST'!A1239</f>
        <v>44820.66667</v>
      </c>
      <c r="B1236" s="22">
        <f>'EQUITY BACKTEST'!B1239</f>
        <v>3873.33</v>
      </c>
      <c r="C1236" s="22">
        <f>1/'EQUITY BACKTEST'!E1239</f>
        <v>1.003613007</v>
      </c>
      <c r="D1236" s="22">
        <f t="shared" si="7"/>
        <v>-0.729602344</v>
      </c>
      <c r="E1236" s="22">
        <f t="shared" si="3"/>
        <v>-0.04770416191</v>
      </c>
      <c r="F1236" s="22">
        <f t="shared" si="6"/>
        <v>-0.1262488749</v>
      </c>
      <c r="H1236" s="22" t="str">
        <f t="shared" si="4"/>
        <v/>
      </c>
      <c r="I1236" s="22" t="str">
        <f t="shared" si="1"/>
        <v>#N/A</v>
      </c>
      <c r="J1236" s="22" t="str">
        <f t="shared" si="2"/>
        <v>#N/A</v>
      </c>
      <c r="K1236" s="22" t="str">
        <f t="shared" si="8"/>
        <v/>
      </c>
    </row>
    <row r="1237" ht="15.75" customHeight="1">
      <c r="A1237" s="32">
        <f>'EQUITY BACKTEST'!A1240</f>
        <v>44827.66667</v>
      </c>
      <c r="B1237" s="22">
        <f>'EQUITY BACKTEST'!B1240</f>
        <v>3693.23</v>
      </c>
      <c r="C1237" s="22">
        <f>1/'EQUITY BACKTEST'!E1240</f>
        <v>1.004924128</v>
      </c>
      <c r="D1237" s="22">
        <f t="shared" si="7"/>
        <v>-0.7260145332</v>
      </c>
      <c r="E1237" s="22">
        <f t="shared" si="3"/>
        <v>-0.04649745826</v>
      </c>
      <c r="F1237" s="22">
        <f t="shared" si="6"/>
        <v>-0.1710814547</v>
      </c>
      <c r="H1237" s="22" t="str">
        <f t="shared" si="4"/>
        <v/>
      </c>
      <c r="I1237" s="22" t="str">
        <f t="shared" si="1"/>
        <v>#N/A</v>
      </c>
      <c r="J1237" s="22" t="str">
        <f t="shared" si="2"/>
        <v>#N/A</v>
      </c>
      <c r="K1237" s="22" t="str">
        <f t="shared" si="8"/>
        <v/>
      </c>
    </row>
    <row r="1238" ht="15.75" customHeight="1">
      <c r="A1238" s="32">
        <f>'EQUITY BACKTEST'!A1241</f>
        <v>44834.66667</v>
      </c>
      <c r="B1238" s="22">
        <f>'EQUITY BACKTEST'!B1241</f>
        <v>3585.62</v>
      </c>
      <c r="C1238" s="22">
        <f>1/'EQUITY BACKTEST'!E1241</f>
        <v>0.9851246183</v>
      </c>
      <c r="D1238" s="22">
        <f t="shared" si="7"/>
        <v>-0.7105806981</v>
      </c>
      <c r="E1238" s="22">
        <f t="shared" si="3"/>
        <v>-0.0291370968</v>
      </c>
      <c r="F1238" s="22">
        <f t="shared" si="6"/>
        <v>-0.1770513927</v>
      </c>
      <c r="H1238" s="22" t="str">
        <f t="shared" si="4"/>
        <v/>
      </c>
      <c r="I1238" s="22" t="str">
        <f t="shared" si="1"/>
        <v>#N/A</v>
      </c>
      <c r="J1238" s="22" t="str">
        <f t="shared" si="2"/>
        <v>#N/A</v>
      </c>
      <c r="K1238" s="22" t="str">
        <f t="shared" si="8"/>
        <v/>
      </c>
    </row>
    <row r="1239" ht="15.75" customHeight="1">
      <c r="A1239" s="32">
        <f>'EQUITY BACKTEST'!A1242</f>
        <v>44841.66667</v>
      </c>
      <c r="B1239" s="22">
        <f>'EQUITY BACKTEST'!B1242</f>
        <v>3639.66</v>
      </c>
      <c r="C1239" s="22">
        <f>1/'EQUITY BACKTEST'!E1242</f>
        <v>0.9990808456</v>
      </c>
      <c r="D1239" s="22">
        <f t="shared" si="7"/>
        <v>-0.6999514204</v>
      </c>
      <c r="E1239" s="22">
        <f t="shared" si="3"/>
        <v>0.01507131263</v>
      </c>
      <c r="F1239" s="22">
        <f t="shared" si="6"/>
        <v>-0.1711732637</v>
      </c>
      <c r="H1239" s="22" t="str">
        <f t="shared" si="4"/>
        <v/>
      </c>
      <c r="I1239" s="22" t="str">
        <f t="shared" si="1"/>
        <v>#N/A</v>
      </c>
      <c r="J1239" s="22" t="str">
        <f t="shared" si="2"/>
        <v>#N/A</v>
      </c>
      <c r="K1239" s="22" t="str">
        <f t="shared" si="8"/>
        <v/>
      </c>
    </row>
    <row r="1240" ht="15.75" customHeight="1">
      <c r="A1240" s="32">
        <f>'EQUITY BACKTEST'!A1243</f>
        <v>44848.66667</v>
      </c>
      <c r="B1240" s="22">
        <f>'EQUITY BACKTEST'!B1243</f>
        <v>3583.07</v>
      </c>
      <c r="C1240" s="22">
        <f>1/'EQUITY BACKTEST'!E1243</f>
        <v>1.032098256</v>
      </c>
      <c r="D1240" s="22">
        <f t="shared" si="7"/>
        <v>-0.6780112782</v>
      </c>
      <c r="E1240" s="22">
        <f t="shared" si="3"/>
        <v>-0.0155481556</v>
      </c>
      <c r="F1240" s="22">
        <f t="shared" si="6"/>
        <v>-0.1986639442</v>
      </c>
      <c r="H1240" s="22" t="str">
        <f t="shared" si="4"/>
        <v/>
      </c>
      <c r="I1240" s="22" t="str">
        <f t="shared" si="1"/>
        <v>#N/A</v>
      </c>
      <c r="J1240" s="22" t="str">
        <f t="shared" si="2"/>
        <v>#N/A</v>
      </c>
      <c r="K1240" s="22" t="str">
        <f t="shared" si="8"/>
        <v/>
      </c>
    </row>
    <row r="1241" ht="15.75" customHeight="1">
      <c r="A1241" s="32">
        <f>'EQUITY BACKTEST'!A1244</f>
        <v>44855.66667</v>
      </c>
      <c r="B1241" s="22">
        <f>'EQUITY BACKTEST'!B1244</f>
        <v>3752.75</v>
      </c>
      <c r="C1241" s="22">
        <f>1/'EQUITY BACKTEST'!E1244</f>
        <v>1.020304051</v>
      </c>
      <c r="D1241" s="22">
        <f t="shared" si="7"/>
        <v>-0.6321690092</v>
      </c>
      <c r="E1241" s="22">
        <f t="shared" si="3"/>
        <v>0.04735603826</v>
      </c>
      <c r="F1241" s="22">
        <f t="shared" si="6"/>
        <v>-0.1742942639</v>
      </c>
      <c r="H1241" s="22" t="str">
        <f t="shared" si="4"/>
        <v/>
      </c>
      <c r="I1241" s="22" t="str">
        <f t="shared" si="1"/>
        <v>#N/A</v>
      </c>
      <c r="J1241" s="22" t="str">
        <f t="shared" si="2"/>
        <v>#N/A</v>
      </c>
      <c r="K1241" s="22" t="str">
        <f t="shared" si="8"/>
        <v/>
      </c>
    </row>
    <row r="1242" ht="15.75" customHeight="1">
      <c r="A1242" s="32">
        <f>'EQUITY BACKTEST'!A1245</f>
        <v>44862.66667</v>
      </c>
      <c r="B1242" s="22">
        <f>'EQUITY BACKTEST'!B1245</f>
        <v>3901.06</v>
      </c>
      <c r="C1242" s="22">
        <f>1/'EQUITY BACKTEST'!E1245</f>
        <v>1.026272578</v>
      </c>
      <c r="D1242" s="22">
        <f t="shared" si="7"/>
        <v>-0.5998545149</v>
      </c>
      <c r="E1242" s="22">
        <f t="shared" si="3"/>
        <v>0.03952035174</v>
      </c>
      <c r="F1242" s="22">
        <f t="shared" si="6"/>
        <v>-0.152934177</v>
      </c>
      <c r="H1242" s="22" t="str">
        <f t="shared" si="4"/>
        <v/>
      </c>
      <c r="I1242" s="22" t="str">
        <f t="shared" si="1"/>
        <v>#N/A</v>
      </c>
      <c r="J1242" s="22" t="str">
        <f t="shared" si="2"/>
        <v>#N/A</v>
      </c>
      <c r="K1242" s="22" t="str">
        <f t="shared" si="8"/>
        <v/>
      </c>
    </row>
    <row r="1243" ht="15.75" customHeight="1">
      <c r="A1243" s="32">
        <f>'EQUITY BACKTEST'!A1246</f>
        <v>44869.66667</v>
      </c>
      <c r="B1243" s="22">
        <f>'EQUITY BACKTEST'!B1246</f>
        <v>3770.55</v>
      </c>
      <c r="C1243" s="22">
        <f>1/'EQUITY BACKTEST'!E1246</f>
        <v>1.029018317</v>
      </c>
      <c r="D1243" s="22">
        <f t="shared" si="7"/>
        <v>-0.5718332462</v>
      </c>
      <c r="E1243" s="22">
        <f t="shared" si="3"/>
        <v>-0.03345500966</v>
      </c>
      <c r="F1243" s="22">
        <f t="shared" si="6"/>
        <v>-0.1973334923</v>
      </c>
      <c r="H1243" s="22" t="str">
        <f t="shared" si="4"/>
        <v/>
      </c>
      <c r="I1243" s="22" t="str">
        <f t="shared" si="1"/>
        <v>#N/A</v>
      </c>
      <c r="J1243" s="22" t="str">
        <f t="shared" si="2"/>
        <v>#N/A</v>
      </c>
      <c r="K1243" s="22" t="str">
        <f t="shared" si="8"/>
        <v/>
      </c>
    </row>
    <row r="1244" ht="15.75" customHeight="1">
      <c r="A1244" s="32">
        <f>'EQUITY BACKTEST'!A1247</f>
        <v>44876.66667</v>
      </c>
      <c r="B1244" s="22">
        <f>'EQUITY BACKTEST'!B1247</f>
        <v>3992.93</v>
      </c>
      <c r="C1244" s="22">
        <f>1/'EQUITY BACKTEST'!E1247</f>
        <v>1.014744234</v>
      </c>
      <c r="D1244" s="22">
        <f t="shared" si="7"/>
        <v>-0.5099414907</v>
      </c>
      <c r="E1244" s="22">
        <f t="shared" si="3"/>
        <v>0.05897813316</v>
      </c>
      <c r="F1244" s="22">
        <f t="shared" si="6"/>
        <v>-0.1473290838</v>
      </c>
      <c r="H1244" s="22" t="str">
        <f t="shared" si="4"/>
        <v/>
      </c>
      <c r="I1244" s="22" t="str">
        <f t="shared" si="1"/>
        <v>#N/A</v>
      </c>
      <c r="J1244" s="22" t="str">
        <f t="shared" si="2"/>
        <v>#N/A</v>
      </c>
      <c r="K1244" s="22" t="str">
        <f t="shared" si="8"/>
        <v/>
      </c>
    </row>
    <row r="1245" ht="15.75" customHeight="1">
      <c r="A1245" s="32">
        <f>'EQUITY BACKTEST'!A1248</f>
        <v>44883.66667</v>
      </c>
      <c r="B1245" s="22">
        <f>'EQUITY BACKTEST'!B1248</f>
        <v>3965.34</v>
      </c>
      <c r="C1245" s="22">
        <f>1/'EQUITY BACKTEST'!E1248</f>
        <v>1.004005984</v>
      </c>
      <c r="D1245" s="22">
        <f t="shared" si="7"/>
        <v>-0.4773722966</v>
      </c>
      <c r="E1245" s="22">
        <f t="shared" si="3"/>
        <v>-0.006909712918</v>
      </c>
      <c r="F1245" s="22">
        <f t="shared" si="6"/>
        <v>-0.1559442822</v>
      </c>
      <c r="H1245" s="22" t="str">
        <f t="shared" si="4"/>
        <v/>
      </c>
      <c r="I1245" s="22" t="str">
        <f t="shared" si="1"/>
        <v>#N/A</v>
      </c>
      <c r="J1245" s="22" t="str">
        <f t="shared" si="2"/>
        <v>#N/A</v>
      </c>
      <c r="K1245" s="22" t="str">
        <f t="shared" si="8"/>
        <v/>
      </c>
    </row>
    <row r="1246" ht="15.75" customHeight="1">
      <c r="A1246" s="32">
        <f>'EQUITY BACKTEST'!A1249</f>
        <v>44890.54167</v>
      </c>
      <c r="B1246" s="22">
        <f>'EQUITY BACKTEST'!B1249</f>
        <v>4026.12</v>
      </c>
      <c r="C1246" s="22">
        <f>1/'EQUITY BACKTEST'!E1249</f>
        <v>1.017293998</v>
      </c>
      <c r="D1246" s="22">
        <f t="shared" si="7"/>
        <v>-0.4459233126</v>
      </c>
      <c r="E1246" s="22">
        <f t="shared" si="3"/>
        <v>0.01532781552</v>
      </c>
      <c r="F1246" s="22">
        <f t="shared" si="6"/>
        <v>-0.1237316688</v>
      </c>
      <c r="H1246" s="22" t="str">
        <f t="shared" si="4"/>
        <v/>
      </c>
      <c r="I1246" s="22" t="str">
        <f t="shared" si="1"/>
        <v>#N/A</v>
      </c>
      <c r="J1246" s="22" t="str">
        <f t="shared" si="2"/>
        <v>#N/A</v>
      </c>
      <c r="K1246" s="22" t="str">
        <f t="shared" si="8"/>
        <v/>
      </c>
    </row>
    <row r="1247" ht="15.75" customHeight="1">
      <c r="A1247" s="32">
        <f>'EQUITY BACKTEST'!A1250</f>
        <v>44897.66667</v>
      </c>
      <c r="B1247" s="22">
        <f>'EQUITY BACKTEST'!B1250</f>
        <v>4071.7</v>
      </c>
      <c r="C1247" s="22">
        <f>1/'EQUITY BACKTEST'!E1250</f>
        <v>0.9652509653</v>
      </c>
      <c r="D1247" s="22">
        <f t="shared" si="7"/>
        <v>-0.4402837682</v>
      </c>
      <c r="E1247" s="22">
        <f t="shared" si="3"/>
        <v>0.01132107339</v>
      </c>
      <c r="F1247" s="22">
        <f t="shared" si="6"/>
        <v>-0.1028395282</v>
      </c>
      <c r="H1247" s="22" t="str">
        <f t="shared" si="4"/>
        <v/>
      </c>
      <c r="I1247" s="22" t="str">
        <f t="shared" si="1"/>
        <v>#N/A</v>
      </c>
      <c r="J1247" s="22" t="str">
        <f t="shared" si="2"/>
        <v>#N/A</v>
      </c>
      <c r="K1247" s="22" t="str">
        <f t="shared" si="8"/>
        <v/>
      </c>
    </row>
    <row r="1248" ht="15.75" customHeight="1">
      <c r="A1248" s="32">
        <f>'EQUITY BACKTEST'!A1251</f>
        <v>44904.66667</v>
      </c>
      <c r="B1248" s="22">
        <f>'EQUITY BACKTEST'!B1251</f>
        <v>3934.38</v>
      </c>
      <c r="C1248" s="22">
        <f>1/'EQUITY BACKTEST'!E1251</f>
        <v>0.9667440062</v>
      </c>
      <c r="D1248" s="22">
        <f t="shared" si="7"/>
        <v>-0.4411482642</v>
      </c>
      <c r="E1248" s="22">
        <f t="shared" si="3"/>
        <v>-0.03372547093</v>
      </c>
      <c r="F1248" s="22">
        <f t="shared" si="6"/>
        <v>-0.1650332554</v>
      </c>
      <c r="H1248" s="22" t="str">
        <f t="shared" si="4"/>
        <v/>
      </c>
      <c r="I1248" s="22" t="str">
        <f t="shared" si="1"/>
        <v>#N/A</v>
      </c>
      <c r="J1248" s="22" t="str">
        <f t="shared" si="2"/>
        <v>#N/A</v>
      </c>
      <c r="K1248" s="22" t="str">
        <f t="shared" si="8"/>
        <v/>
      </c>
    </row>
    <row r="1249" ht="15.75" customHeight="1">
      <c r="A1249" s="32">
        <f>'EQUITY BACKTEST'!A1252</f>
        <v>44911.66667</v>
      </c>
      <c r="B1249" s="22">
        <f>'EQUITY BACKTEST'!B1252</f>
        <v>3852.36</v>
      </c>
      <c r="C1249" s="22">
        <f>1/'EQUITY BACKTEST'!E1252</f>
        <v>0.960338039</v>
      </c>
      <c r="D1249" s="22">
        <f t="shared" si="7"/>
        <v>-0.422018527</v>
      </c>
      <c r="E1249" s="22">
        <f t="shared" si="3"/>
        <v>-0.02084699495</v>
      </c>
      <c r="F1249" s="22">
        <f t="shared" si="6"/>
        <v>-0.166271339</v>
      </c>
      <c r="H1249" s="22" t="str">
        <f t="shared" si="4"/>
        <v/>
      </c>
      <c r="I1249" s="22" t="str">
        <f t="shared" si="1"/>
        <v>#N/A</v>
      </c>
      <c r="J1249" s="22" t="str">
        <f t="shared" si="2"/>
        <v>#N/A</v>
      </c>
      <c r="K1249" s="22" t="str">
        <f t="shared" si="8"/>
        <v/>
      </c>
    </row>
    <row r="1250" ht="15.75" customHeight="1">
      <c r="A1250" s="32">
        <f>'EQUITY BACKTEST'!A1253</f>
        <v>44918.66667</v>
      </c>
      <c r="B1250" s="22">
        <f>'EQUITY BACKTEST'!B1253</f>
        <v>3844.82</v>
      </c>
      <c r="C1250" s="22">
        <f>1/'EQUITY BACKTEST'!E1253</f>
        <v>0.9491268033</v>
      </c>
      <c r="D1250" s="22">
        <f t="shared" si="7"/>
        <v>-0.3797269918</v>
      </c>
      <c r="E1250" s="22">
        <f t="shared" si="3"/>
        <v>-0.001957241795</v>
      </c>
      <c r="F1250" s="22">
        <f t="shared" si="6"/>
        <v>-0.186417509</v>
      </c>
      <c r="H1250" s="22" t="str">
        <f t="shared" si="4"/>
        <v/>
      </c>
      <c r="I1250" s="22" t="str">
        <f t="shared" si="1"/>
        <v>#N/A</v>
      </c>
      <c r="J1250" s="22" t="str">
        <f t="shared" si="2"/>
        <v>#N/A</v>
      </c>
      <c r="K1250" s="22" t="str">
        <f t="shared" si="8"/>
        <v/>
      </c>
    </row>
    <row r="1251" ht="15.75" customHeight="1">
      <c r="A1251" s="32">
        <f>'EQUITY BACKTEST'!A1254</f>
        <v>44925.66667</v>
      </c>
      <c r="B1251" s="22">
        <f>'EQUITY BACKTEST'!B1254</f>
        <v>3839.5</v>
      </c>
      <c r="C1251" s="22">
        <f>1/'EQUITY BACKTEST'!E1254</f>
        <v>0.9487666034</v>
      </c>
      <c r="D1251" s="22">
        <f t="shared" si="7"/>
        <v>-0.319650153</v>
      </c>
      <c r="E1251" s="22">
        <f t="shared" si="3"/>
        <v>-0.00138367986</v>
      </c>
      <c r="F1251" s="22">
        <f t="shared" si="6"/>
        <v>-0.1944282423</v>
      </c>
      <c r="H1251" s="22" t="str">
        <f t="shared" si="4"/>
        <v/>
      </c>
      <c r="I1251" s="22" t="str">
        <f t="shared" si="1"/>
        <v>#N/A</v>
      </c>
      <c r="J1251" s="22" t="str">
        <f t="shared" si="2"/>
        <v>#N/A</v>
      </c>
      <c r="K1251" s="22" t="str">
        <f t="shared" si="8"/>
        <v/>
      </c>
    </row>
    <row r="1252" ht="15.75" customHeight="1">
      <c r="A1252" s="32">
        <f>'EQUITY BACKTEST'!A1255</f>
        <v>44932.66667</v>
      </c>
      <c r="B1252" s="22">
        <f>'EQUITY BACKTEST'!B1255</f>
        <v>3895.08</v>
      </c>
      <c r="C1252" s="22">
        <f>1/'EQUITY BACKTEST'!E1255</f>
        <v>0.9440196356</v>
      </c>
      <c r="D1252" s="22">
        <f t="shared" si="7"/>
        <v>-0.2857192841</v>
      </c>
      <c r="E1252" s="22">
        <f t="shared" si="3"/>
        <v>0.01447584321</v>
      </c>
      <c r="F1252" s="22">
        <f t="shared" si="6"/>
        <v>-0.1671894343</v>
      </c>
      <c r="H1252" s="22" t="str">
        <f t="shared" si="4"/>
        <v/>
      </c>
      <c r="I1252" s="22" t="str">
        <f t="shared" si="1"/>
        <v>#N/A</v>
      </c>
      <c r="J1252" s="22" t="str">
        <f t="shared" si="2"/>
        <v>#N/A</v>
      </c>
      <c r="K1252" s="22" t="str">
        <f t="shared" si="8"/>
        <v/>
      </c>
    </row>
    <row r="1253" ht="15.75" customHeight="1">
      <c r="A1253" s="32">
        <f>'EQUITY BACKTEST'!A1256</f>
        <v>44939.66667</v>
      </c>
      <c r="B1253" s="22">
        <f>'EQUITY BACKTEST'!B1256</f>
        <v>3999.09</v>
      </c>
      <c r="C1253" s="22">
        <f>1/'EQUITY BACKTEST'!E1256</f>
        <v>0.9376465073</v>
      </c>
      <c r="D1253" s="22">
        <f t="shared" si="7"/>
        <v>-0.2834978149</v>
      </c>
      <c r="E1253" s="22">
        <f t="shared" si="3"/>
        <v>0.02670291753</v>
      </c>
      <c r="F1253" s="22">
        <f t="shared" si="6"/>
        <v>-0.1423507083</v>
      </c>
      <c r="H1253" s="22" t="str">
        <f t="shared" si="4"/>
        <v/>
      </c>
      <c r="I1253" s="22" t="str">
        <f t="shared" si="1"/>
        <v>#N/A</v>
      </c>
      <c r="J1253" s="22" t="str">
        <f t="shared" si="2"/>
        <v>#N/A</v>
      </c>
      <c r="K1253" s="22" t="str">
        <f t="shared" si="8"/>
        <v/>
      </c>
    </row>
    <row r="1254" ht="15.75" customHeight="1">
      <c r="A1254" s="32">
        <f>'EQUITY BACKTEST'!A1257</f>
        <v>44946.66667</v>
      </c>
      <c r="B1254" s="22">
        <f>'EQUITY BACKTEST'!B1257</f>
        <v>3972.61</v>
      </c>
      <c r="C1254" s="22">
        <f>1/'EQUITY BACKTEST'!E1257</f>
        <v>0.9324009324</v>
      </c>
      <c r="D1254" s="22">
        <f t="shared" si="7"/>
        <v>-0.3015334496</v>
      </c>
      <c r="E1254" s="22">
        <f t="shared" si="3"/>
        <v>-0.006621506393</v>
      </c>
      <c r="F1254" s="22">
        <f t="shared" si="6"/>
        <v>-0.09671118751</v>
      </c>
      <c r="H1254" s="22" t="str">
        <f t="shared" si="4"/>
        <v/>
      </c>
      <c r="I1254" s="22" t="str">
        <f t="shared" si="1"/>
        <v>#N/A</v>
      </c>
      <c r="J1254" s="22" t="str">
        <f t="shared" si="2"/>
        <v>#N/A</v>
      </c>
      <c r="K1254" s="22" t="str">
        <f t="shared" si="8"/>
        <v/>
      </c>
    </row>
    <row r="1255" ht="15.75" customHeight="1">
      <c r="A1255" s="32">
        <f>'EQUITY BACKTEST'!A1258</f>
        <v>44953.66667</v>
      </c>
      <c r="B1255" s="22">
        <f>'EQUITY BACKTEST'!B1258</f>
        <v>4070.56</v>
      </c>
      <c r="C1255" s="22">
        <f>1/'EQUITY BACKTEST'!E1258</f>
        <v>0.9379103358</v>
      </c>
      <c r="D1255" s="22">
        <f t="shared" si="7"/>
        <v>-0.3044520642</v>
      </c>
      <c r="E1255" s="22">
        <f t="shared" si="3"/>
        <v>0.02465633425</v>
      </c>
      <c r="F1255" s="22">
        <f t="shared" si="6"/>
        <v>-0.08152126087</v>
      </c>
      <c r="H1255" s="22" t="str">
        <f t="shared" si="4"/>
        <v/>
      </c>
      <c r="I1255" s="22" t="str">
        <f t="shared" si="1"/>
        <v>#N/A</v>
      </c>
      <c r="J1255" s="22" t="str">
        <f t="shared" si="2"/>
        <v>#N/A</v>
      </c>
      <c r="K1255" s="22" t="str">
        <f t="shared" si="8"/>
        <v/>
      </c>
    </row>
    <row r="1256" ht="15.75" customHeight="1">
      <c r="A1256" s="32">
        <f>'EQUITY BACKTEST'!A1259</f>
        <v>44960.66667</v>
      </c>
      <c r="B1256" s="22">
        <f>'EQUITY BACKTEST'!B1259</f>
        <v>4136.48</v>
      </c>
      <c r="C1256" s="22">
        <f>1/'EQUITY BACKTEST'!E1259</f>
        <v>0.9223390518</v>
      </c>
      <c r="D1256" s="22">
        <f t="shared" si="7"/>
        <v>-0.3031630466</v>
      </c>
      <c r="E1256" s="22">
        <f t="shared" si="3"/>
        <v>0.01619433198</v>
      </c>
      <c r="F1256" s="22">
        <f t="shared" si="6"/>
        <v>-0.0808904729</v>
      </c>
      <c r="H1256" s="22" t="str">
        <f t="shared" si="4"/>
        <v/>
      </c>
      <c r="I1256" s="22" t="str">
        <f t="shared" si="1"/>
        <v>#N/A</v>
      </c>
      <c r="J1256" s="22" t="str">
        <f t="shared" si="2"/>
        <v>#N/A</v>
      </c>
      <c r="K1256" s="22" t="str">
        <f t="shared" si="8"/>
        <v/>
      </c>
    </row>
    <row r="1257" ht="15.75" customHeight="1">
      <c r="A1257" s="32">
        <f>'EQUITY BACKTEST'!A1260</f>
        <v>44967.66667</v>
      </c>
      <c r="B1257" s="22">
        <f>'EQUITY BACKTEST'!B1260</f>
        <v>4090.46</v>
      </c>
      <c r="C1257" s="22">
        <f>1/'EQUITY BACKTEST'!E1260</f>
        <v>0.9194556822</v>
      </c>
      <c r="D1257" s="22">
        <f t="shared" si="7"/>
        <v>-0.3062249043</v>
      </c>
      <c r="E1257" s="22">
        <f t="shared" si="3"/>
        <v>-0.01112540131</v>
      </c>
      <c r="F1257" s="22">
        <f t="shared" si="6"/>
        <v>-0.07427172162</v>
      </c>
      <c r="H1257" s="22" t="str">
        <f t="shared" si="4"/>
        <v/>
      </c>
      <c r="I1257" s="22" t="str">
        <f t="shared" si="1"/>
        <v>#N/A</v>
      </c>
      <c r="J1257" s="22" t="str">
        <f t="shared" si="2"/>
        <v>#N/A</v>
      </c>
      <c r="K1257" s="22" t="str">
        <f t="shared" si="8"/>
        <v/>
      </c>
    </row>
    <row r="1258" ht="15.75" customHeight="1">
      <c r="A1258" s="32">
        <f>'EQUITY BACKTEST'!A1261</f>
        <v>44974.66667</v>
      </c>
      <c r="B1258" s="22">
        <f>'EQUITY BACKTEST'!B1261</f>
        <v>4079.09</v>
      </c>
      <c r="C1258" s="22">
        <f>1/'EQUITY BACKTEST'!E1261</f>
        <v>0.919878576</v>
      </c>
      <c r="D1258" s="22">
        <f t="shared" si="7"/>
        <v>-0.3035089193</v>
      </c>
      <c r="E1258" s="22">
        <f t="shared" si="3"/>
        <v>-0.002779638476</v>
      </c>
      <c r="F1258" s="22">
        <f t="shared" si="6"/>
        <v>-0.06203450552</v>
      </c>
      <c r="H1258" s="22" t="str">
        <f t="shared" si="4"/>
        <v/>
      </c>
      <c r="I1258" s="22" t="str">
        <f t="shared" si="1"/>
        <v>#N/A</v>
      </c>
      <c r="J1258" s="22" t="str">
        <f t="shared" si="2"/>
        <v>#N/A</v>
      </c>
      <c r="K1258" s="22" t="str">
        <f t="shared" si="8"/>
        <v/>
      </c>
    </row>
    <row r="1259" ht="15.75" customHeight="1">
      <c r="A1259" s="32">
        <f>'EQUITY BACKTEST'!A1262</f>
        <v>44981.66667</v>
      </c>
      <c r="B1259" s="22">
        <f>'EQUITY BACKTEST'!B1262</f>
        <v>3970.04</v>
      </c>
      <c r="C1259" s="22">
        <f>1/'EQUITY BACKTEST'!E1262</f>
        <v>0.9240436149</v>
      </c>
      <c r="D1259" s="22">
        <f t="shared" si="7"/>
        <v>-0.2844907312</v>
      </c>
      <c r="E1259" s="22">
        <f t="shared" si="3"/>
        <v>-0.02673390389</v>
      </c>
      <c r="F1259" s="22">
        <f t="shared" si="6"/>
        <v>-0.09455942892</v>
      </c>
      <c r="H1259" s="22" t="str">
        <f t="shared" si="4"/>
        <v/>
      </c>
      <c r="I1259" s="22" t="str">
        <f t="shared" si="1"/>
        <v>#N/A</v>
      </c>
      <c r="J1259" s="22" t="str">
        <f t="shared" si="2"/>
        <v>#N/A</v>
      </c>
      <c r="K1259" s="22" t="str">
        <f t="shared" si="8"/>
        <v/>
      </c>
    </row>
    <row r="1260" ht="15.75" customHeight="1">
      <c r="A1260" s="32">
        <f>'EQUITY BACKTEST'!A1263</f>
        <v>44988.66667</v>
      </c>
      <c r="B1260" s="22">
        <f>'EQUITY BACKTEST'!B1263</f>
        <v>4045.64</v>
      </c>
      <c r="C1260" s="22">
        <f>1/'EQUITY BACKTEST'!E1263</f>
        <v>0.9349289454</v>
      </c>
      <c r="D1260" s="22">
        <f t="shared" si="7"/>
        <v>-0.2493001082</v>
      </c>
      <c r="E1260" s="22">
        <f t="shared" si="3"/>
        <v>0.01904262929</v>
      </c>
      <c r="F1260" s="22">
        <f t="shared" si="6"/>
        <v>-0.06542816024</v>
      </c>
      <c r="H1260" s="22" t="str">
        <f t="shared" si="4"/>
        <v/>
      </c>
      <c r="I1260" s="22" t="str">
        <f t="shared" si="1"/>
        <v>#N/A</v>
      </c>
      <c r="J1260" s="22" t="str">
        <f t="shared" si="2"/>
        <v>#N/A</v>
      </c>
      <c r="K1260" s="22" t="str">
        <f t="shared" si="8"/>
        <v/>
      </c>
    </row>
    <row r="1261" ht="15.75" customHeight="1">
      <c r="A1261" s="32">
        <f>'EQUITY BACKTEST'!A1264</f>
        <v>44995.66667</v>
      </c>
      <c r="B1261" s="22">
        <f>'EQUITY BACKTEST'!B1264</f>
        <v>3861.59</v>
      </c>
      <c r="C1261" s="22">
        <f>1/'EQUITY BACKTEST'!E1264</f>
        <v>0.9332711153</v>
      </c>
      <c r="D1261" s="22">
        <f t="shared" si="7"/>
        <v>-0.20438484</v>
      </c>
      <c r="E1261" s="22">
        <f t="shared" si="3"/>
        <v>-0.04549342008</v>
      </c>
      <c r="F1261" s="22">
        <f t="shared" si="6"/>
        <v>-0.0815163487</v>
      </c>
      <c r="H1261" s="22" t="str">
        <f t="shared" si="4"/>
        <v/>
      </c>
      <c r="I1261" s="22" t="str">
        <f t="shared" si="1"/>
        <v>#N/A</v>
      </c>
      <c r="J1261" s="22" t="str">
        <f t="shared" si="2"/>
        <v>#N/A</v>
      </c>
      <c r="K1261" s="22" t="str">
        <f t="shared" si="8"/>
        <v/>
      </c>
    </row>
    <row r="1262" ht="15.75" customHeight="1">
      <c r="A1262" s="32">
        <f>'EQUITY BACKTEST'!A1265</f>
        <v>45002.66667</v>
      </c>
      <c r="B1262" s="22">
        <f>'EQUITY BACKTEST'!B1265</f>
        <v>3916.64</v>
      </c>
      <c r="C1262" s="22">
        <f>1/'EQUITY BACKTEST'!E1265</f>
        <v>0.9459842967</v>
      </c>
      <c r="D1262" s="22">
        <f t="shared" si="7"/>
        <v>-0.1730259706</v>
      </c>
      <c r="E1262" s="22">
        <f t="shared" si="3"/>
        <v>0.01425578583</v>
      </c>
      <c r="F1262" s="22">
        <f t="shared" si="6"/>
        <v>-0.1224434924</v>
      </c>
      <c r="H1262" s="22" t="str">
        <f t="shared" si="4"/>
        <v/>
      </c>
      <c r="I1262" s="22" t="str">
        <f t="shared" si="1"/>
        <v>#N/A</v>
      </c>
      <c r="J1262" s="22" t="str">
        <f t="shared" si="2"/>
        <v>#N/A</v>
      </c>
      <c r="K1262" s="22" t="str">
        <f t="shared" si="8"/>
        <v/>
      </c>
    </row>
    <row r="1263" ht="15.75" customHeight="1">
      <c r="A1263" s="32">
        <f>'EQUITY BACKTEST'!A1266</f>
        <v>45009.66667</v>
      </c>
      <c r="B1263" s="22">
        <f>'EQUITY BACKTEST'!B1266</f>
        <v>3970.99</v>
      </c>
      <c r="C1263" s="22">
        <f>1/'EQUITY BACKTEST'!E1266</f>
        <v>0.9390553104</v>
      </c>
      <c r="D1263" s="22">
        <f t="shared" si="7"/>
        <v>-0.114794215</v>
      </c>
      <c r="E1263" s="22">
        <f t="shared" si="3"/>
        <v>0.01387669022</v>
      </c>
      <c r="F1263" s="22">
        <f t="shared" si="6"/>
        <v>-0.1259217356</v>
      </c>
      <c r="H1263" s="22" t="str">
        <f t="shared" si="4"/>
        <v/>
      </c>
      <c r="I1263" s="22" t="str">
        <f t="shared" si="1"/>
        <v>#N/A</v>
      </c>
      <c r="J1263" s="22" t="str">
        <f t="shared" si="2"/>
        <v>#N/A</v>
      </c>
      <c r="K1263" s="22" t="str">
        <f t="shared" si="8"/>
        <v/>
      </c>
    </row>
    <row r="1264" ht="15.75" customHeight="1">
      <c r="A1264" s="32">
        <f>'EQUITY BACKTEST'!A1267</f>
        <v>45016.66667</v>
      </c>
      <c r="B1264" s="22">
        <f>'EQUITY BACKTEST'!B1267</f>
        <v>4109.31</v>
      </c>
      <c r="C1264" s="22">
        <f>1/'EQUITY BACKTEST'!E1267</f>
        <v>0.9394081729</v>
      </c>
      <c r="D1264" s="22">
        <f t="shared" si="7"/>
        <v>-0.09498815447</v>
      </c>
      <c r="E1264" s="22">
        <f t="shared" si="3"/>
        <v>0.0348326236</v>
      </c>
      <c r="F1264" s="22">
        <f t="shared" si="6"/>
        <v>-0.09603243391</v>
      </c>
      <c r="H1264" s="22" t="str">
        <f t="shared" si="4"/>
        <v/>
      </c>
      <c r="I1264" s="22" t="str">
        <f t="shared" si="1"/>
        <v>#N/A</v>
      </c>
      <c r="J1264" s="22" t="str">
        <f t="shared" si="2"/>
        <v>#N/A</v>
      </c>
      <c r="K1264" s="22" t="str">
        <f t="shared" si="8"/>
        <v/>
      </c>
    </row>
    <row r="1265" ht="15.75" customHeight="1">
      <c r="A1265" s="32">
        <f>'EQUITY BACKTEST'!A1268</f>
        <v>45022.66667</v>
      </c>
      <c r="B1265" s="22">
        <f>'EQUITY BACKTEST'!B1268</f>
        <v>4105.02</v>
      </c>
      <c r="C1265" s="22">
        <f>1/'EQUITY BACKTEST'!E1268</f>
        <v>0.9281603861</v>
      </c>
      <c r="D1265" s="22">
        <f t="shared" si="7"/>
        <v>-0.06870763048</v>
      </c>
      <c r="E1265" s="22">
        <f t="shared" si="3"/>
        <v>-0.001043970886</v>
      </c>
      <c r="F1265" s="22">
        <f t="shared" si="6"/>
        <v>-0.08539128575</v>
      </c>
      <c r="H1265" s="22" t="str">
        <f t="shared" si="4"/>
        <v/>
      </c>
      <c r="I1265" s="22" t="str">
        <f t="shared" si="1"/>
        <v>#N/A</v>
      </c>
      <c r="J1265" s="22" t="str">
        <f t="shared" si="2"/>
        <v>#N/A</v>
      </c>
      <c r="K1265" s="22" t="str">
        <f t="shared" si="8"/>
        <v/>
      </c>
    </row>
    <row r="1266" ht="15.75" customHeight="1">
      <c r="A1266" s="32">
        <f>'EQUITY BACKTEST'!A1269</f>
        <v>45030.66667</v>
      </c>
      <c r="B1266" s="22">
        <f>'EQUITY BACKTEST'!B1269</f>
        <v>4137.64</v>
      </c>
      <c r="C1266" s="22">
        <f>1/'EQUITY BACKTEST'!E1269</f>
        <v>0.9275577405</v>
      </c>
      <c r="D1266" s="22">
        <f t="shared" si="7"/>
        <v>-0.05307037128</v>
      </c>
      <c r="E1266" s="22">
        <f t="shared" si="3"/>
        <v>0.007946368105</v>
      </c>
      <c r="F1266" s="22">
        <f t="shared" si="6"/>
        <v>-0.05804092802</v>
      </c>
      <c r="H1266" s="22" t="str">
        <f t="shared" si="4"/>
        <v/>
      </c>
      <c r="I1266" s="22" t="str">
        <f t="shared" si="1"/>
        <v>#N/A</v>
      </c>
      <c r="J1266" s="22" t="str">
        <f t="shared" si="2"/>
        <v>#N/A</v>
      </c>
      <c r="K1266" s="22" t="str">
        <f t="shared" si="8"/>
        <v/>
      </c>
    </row>
    <row r="1267" ht="15.75" customHeight="1">
      <c r="A1267" s="32">
        <f>'EQUITY BACKTEST'!A1270</f>
        <v>45037.66667</v>
      </c>
      <c r="B1267" s="22">
        <f>'EQUITY BACKTEST'!B1270</f>
        <v>4133.52</v>
      </c>
      <c r="C1267" s="22">
        <f>1/'EQUITY BACKTEST'!E1270</f>
        <v>0.9200478425</v>
      </c>
      <c r="D1267" s="22">
        <f t="shared" si="7"/>
        <v>-0.03075618422</v>
      </c>
      <c r="E1267" s="22">
        <f t="shared" si="3"/>
        <v>-0.0009957367001</v>
      </c>
      <c r="F1267" s="22">
        <f t="shared" si="6"/>
        <v>-0.03236589899</v>
      </c>
      <c r="H1267" s="22" t="str">
        <f t="shared" si="4"/>
        <v/>
      </c>
      <c r="I1267" s="22" t="str">
        <f t="shared" si="1"/>
        <v>#N/A</v>
      </c>
      <c r="J1267" s="22" t="str">
        <f t="shared" si="2"/>
        <v>#N/A</v>
      </c>
      <c r="K1267" s="22" t="str">
        <f t="shared" si="8"/>
        <v/>
      </c>
    </row>
    <row r="1268" ht="15.75" customHeight="1">
      <c r="A1268" s="32">
        <f>'EQUITY BACKTEST'!A1271</f>
        <v>45044.66667</v>
      </c>
      <c r="B1268" s="22">
        <f>'EQUITY BACKTEST'!B1271</f>
        <v>4169.48</v>
      </c>
      <c r="C1268" s="22">
        <f>1/'EQUITY BACKTEST'!E1271</f>
        <v>0.9096697899</v>
      </c>
      <c r="D1268" s="22">
        <f t="shared" si="7"/>
        <v>-0.02860459569</v>
      </c>
      <c r="E1268" s="22">
        <f t="shared" si="3"/>
        <v>0.008699607115</v>
      </c>
      <c r="F1268" s="22">
        <f t="shared" si="6"/>
        <v>0.009087762861</v>
      </c>
      <c r="H1268" s="22" t="str">
        <f t="shared" si="4"/>
        <v/>
      </c>
      <c r="I1268" s="22" t="str">
        <f t="shared" si="1"/>
        <v>#N/A</v>
      </c>
      <c r="J1268" s="22" t="str">
        <f t="shared" si="2"/>
        <v>#N/A</v>
      </c>
      <c r="K1268" s="22" t="str">
        <f t="shared" si="8"/>
        <v/>
      </c>
    </row>
    <row r="1269" ht="15.75" customHeight="1">
      <c r="A1269" s="32">
        <f>'EQUITY BACKTEST'!A1272</f>
        <v>45051.66667</v>
      </c>
      <c r="B1269" s="22">
        <f>'EQUITY BACKTEST'!B1272</f>
        <v>4136.25</v>
      </c>
      <c r="C1269" s="22">
        <f>1/'EQUITY BACKTEST'!E1272</f>
        <v>0.900819746</v>
      </c>
      <c r="D1269" s="22">
        <f t="shared" si="7"/>
        <v>-0.01369850368</v>
      </c>
      <c r="E1269" s="22">
        <f t="shared" si="3"/>
        <v>-0.007969818778</v>
      </c>
      <c r="F1269" s="22">
        <f t="shared" si="6"/>
        <v>0.003130956943</v>
      </c>
      <c r="H1269" s="22" t="str">
        <f t="shared" si="4"/>
        <v/>
      </c>
      <c r="I1269" s="22" t="str">
        <f t="shared" si="1"/>
        <v>#N/A</v>
      </c>
      <c r="J1269" s="22" t="str">
        <f t="shared" si="2"/>
        <v>#N/A</v>
      </c>
      <c r="K1269" s="22" t="str">
        <f t="shared" si="8"/>
        <v/>
      </c>
    </row>
    <row r="1270" ht="15.75" customHeight="1">
      <c r="A1270" s="32">
        <f>'EQUITY BACKTEST'!A1273</f>
        <v>45058.66667</v>
      </c>
      <c r="B1270" s="22">
        <f>'EQUITY BACKTEST'!B1273</f>
        <v>4124.08</v>
      </c>
      <c r="C1270" s="22">
        <f>1/'EQUITY BACKTEST'!E1273</f>
        <v>0.901306895</v>
      </c>
      <c r="D1270" s="22">
        <f t="shared" si="7"/>
        <v>-0.01754750773</v>
      </c>
      <c r="E1270" s="22">
        <f t="shared" si="3"/>
        <v>-0.002942278634</v>
      </c>
      <c r="F1270" s="22">
        <f t="shared" si="6"/>
        <v>0.02489879196</v>
      </c>
      <c r="H1270" s="22" t="str">
        <f t="shared" si="4"/>
        <v/>
      </c>
      <c r="I1270" s="22" t="str">
        <f t="shared" si="1"/>
        <v>#N/A</v>
      </c>
      <c r="J1270" s="22" t="str">
        <f t="shared" si="2"/>
        <v>#N/A</v>
      </c>
      <c r="K1270" s="22" t="str">
        <f t="shared" si="8"/>
        <v/>
      </c>
    </row>
    <row r="1271" ht="15.75" customHeight="1">
      <c r="A1271" s="32">
        <f>'EQUITY BACKTEST'!A1274</f>
        <v>45065.66667</v>
      </c>
      <c r="B1271" s="22">
        <f>'EQUITY BACKTEST'!B1274</f>
        <v>4191.98</v>
      </c>
      <c r="C1271" s="22">
        <f>1/'EQUITY BACKTEST'!E1274</f>
        <v>0.8987956139</v>
      </c>
      <c r="D1271" s="22">
        <f t="shared" si="7"/>
        <v>-0.02879784038</v>
      </c>
      <c r="E1271" s="22">
        <f t="shared" si="3"/>
        <v>0.01646427809</v>
      </c>
      <c r="F1271" s="22">
        <f t="shared" si="6"/>
        <v>0.07449197203</v>
      </c>
      <c r="H1271" s="22" t="str">
        <f t="shared" si="4"/>
        <v/>
      </c>
      <c r="I1271" s="22" t="str">
        <f t="shared" si="1"/>
        <v>#N/A</v>
      </c>
      <c r="J1271" s="22" t="str">
        <f t="shared" si="2"/>
        <v>#N/A</v>
      </c>
      <c r="K1271" s="22" t="str">
        <f t="shared" si="8"/>
        <v/>
      </c>
    </row>
    <row r="1272" ht="15.75" customHeight="1">
      <c r="A1272" s="32">
        <f>'EQUITY BACKTEST'!A1275</f>
        <v>45072.66667</v>
      </c>
      <c r="B1272" s="22">
        <f>'EQUITY BACKTEST'!B1275</f>
        <v>4205.45</v>
      </c>
      <c r="C1272" s="22">
        <f>1/'EQUITY BACKTEST'!E1275</f>
        <v>0.9076057361</v>
      </c>
      <c r="D1272" s="22">
        <f t="shared" si="7"/>
        <v>-0.06363161087</v>
      </c>
      <c r="E1272" s="22">
        <f t="shared" si="3"/>
        <v>0.003213278689</v>
      </c>
      <c r="F1272" s="22">
        <f t="shared" si="6"/>
        <v>0.01135336104</v>
      </c>
      <c r="H1272" s="22" t="str">
        <f t="shared" si="4"/>
        <v/>
      </c>
      <c r="I1272" s="22" t="str">
        <f t="shared" si="1"/>
        <v>#N/A</v>
      </c>
      <c r="J1272" s="22" t="str">
        <f t="shared" si="2"/>
        <v>#N/A</v>
      </c>
      <c r="K1272" s="22" t="str">
        <f t="shared" si="8"/>
        <v/>
      </c>
    </row>
    <row r="1273" ht="15.75" customHeight="1">
      <c r="A1273" s="32">
        <f>'EQUITY BACKTEST'!A1276</f>
        <v>45079.66667</v>
      </c>
      <c r="B1273" s="22">
        <f>'EQUITY BACKTEST'!B1276</f>
        <v>4282.37</v>
      </c>
      <c r="C1273" s="22">
        <f>1/'EQUITY BACKTEST'!E1276</f>
        <v>0.9144111192</v>
      </c>
      <c r="D1273" s="22">
        <f t="shared" si="7"/>
        <v>-0.08702138708</v>
      </c>
      <c r="E1273" s="22">
        <f t="shared" si="3"/>
        <v>0.01829055155</v>
      </c>
      <c r="F1273" s="22">
        <f t="shared" si="6"/>
        <v>0.04230943352</v>
      </c>
      <c r="H1273" s="22" t="str">
        <f t="shared" si="4"/>
        <v/>
      </c>
      <c r="I1273" s="22" t="str">
        <f t="shared" si="1"/>
        <v>#N/A</v>
      </c>
      <c r="J1273" s="22" t="str">
        <f t="shared" si="2"/>
        <v>#N/A</v>
      </c>
      <c r="K1273" s="22" t="str">
        <f t="shared" si="8"/>
        <v/>
      </c>
    </row>
    <row r="1274" ht="15.75" customHeight="1">
      <c r="A1274" s="32">
        <f>'EQUITY BACKTEST'!A1277</f>
        <v>45086.66667</v>
      </c>
      <c r="B1274" s="22">
        <f>'EQUITY BACKTEST'!B1277</f>
        <v>4298.86</v>
      </c>
      <c r="C1274" s="22">
        <f>1/'EQUITY BACKTEST'!E1277</f>
        <v>0.924556213</v>
      </c>
      <c r="D1274" s="22">
        <f t="shared" si="7"/>
        <v>-0.1158840928</v>
      </c>
      <c r="E1274" s="22">
        <f t="shared" si="3"/>
        <v>0.003850671474</v>
      </c>
      <c r="F1274" s="22">
        <f t="shared" si="6"/>
        <v>0.1020287834</v>
      </c>
      <c r="H1274" s="22" t="str">
        <f t="shared" si="4"/>
        <v/>
      </c>
      <c r="I1274" s="22" t="str">
        <f t="shared" si="1"/>
        <v>#N/A</v>
      </c>
      <c r="J1274" s="22" t="str">
        <f t="shared" si="2"/>
        <v>#N/A</v>
      </c>
      <c r="K1274" s="22" t="str">
        <f t="shared" si="8"/>
        <v/>
      </c>
    </row>
    <row r="1275" ht="15.75" customHeight="1">
      <c r="A1275" s="32">
        <f>'EQUITY BACKTEST'!A1278</f>
        <v>45093.66667</v>
      </c>
      <c r="B1275" s="22">
        <f>'EQUITY BACKTEST'!B1278</f>
        <v>4409.59</v>
      </c>
      <c r="C1275" s="22">
        <f>1/'EQUITY BACKTEST'!E1278</f>
        <v>0.9320533134</v>
      </c>
      <c r="D1275" s="22">
        <f t="shared" si="7"/>
        <v>-0.1152424418</v>
      </c>
      <c r="E1275" s="22">
        <f t="shared" si="3"/>
        <v>0.02575799165</v>
      </c>
      <c r="F1275" s="22">
        <f t="shared" si="6"/>
        <v>0.1999406777</v>
      </c>
      <c r="H1275" s="22" t="str">
        <f t="shared" si="4"/>
        <v/>
      </c>
      <c r="I1275" s="22" t="str">
        <f t="shared" si="1"/>
        <v>#N/A</v>
      </c>
      <c r="J1275" s="22" t="str">
        <f t="shared" si="2"/>
        <v>#N/A</v>
      </c>
      <c r="K1275" s="22" t="str">
        <f t="shared" si="8"/>
        <v/>
      </c>
    </row>
    <row r="1276" ht="15.75" customHeight="1">
      <c r="A1276" s="32">
        <f>'EQUITY BACKTEST'!A1279</f>
        <v>45100.66667</v>
      </c>
      <c r="B1276" s="22">
        <f>'EQUITY BACKTEST'!B1279</f>
        <v>4348.33</v>
      </c>
      <c r="C1276" s="22">
        <f>1/'EQUITY BACKTEST'!E1279</f>
        <v>0.9325748391</v>
      </c>
      <c r="D1276" s="22">
        <f t="shared" si="7"/>
        <v>-0.1056306827</v>
      </c>
      <c r="E1276" s="22">
        <f t="shared" si="3"/>
        <v>-0.01389244805</v>
      </c>
      <c r="F1276" s="22">
        <f t="shared" si="6"/>
        <v>0.1116101786</v>
      </c>
      <c r="H1276" s="22" t="str">
        <f t="shared" si="4"/>
        <v/>
      </c>
      <c r="I1276" s="22" t="str">
        <f t="shared" si="1"/>
        <v>#N/A</v>
      </c>
      <c r="J1276" s="22" t="str">
        <f t="shared" si="2"/>
        <v>#N/A</v>
      </c>
      <c r="K1276" s="22" t="str">
        <f t="shared" si="8"/>
        <v/>
      </c>
    </row>
    <row r="1277" ht="15.75" customHeight="1">
      <c r="A1277" s="32">
        <f>'EQUITY BACKTEST'!A1280</f>
        <v>45107.66667</v>
      </c>
      <c r="B1277" s="22">
        <f>'EQUITY BACKTEST'!B1280</f>
        <v>4450.38</v>
      </c>
      <c r="C1277" s="22">
        <f>1/'EQUITY BACKTEST'!E1280</f>
        <v>0.9300595238</v>
      </c>
      <c r="D1277" s="22">
        <f t="shared" si="7"/>
        <v>-0.08065228373</v>
      </c>
      <c r="E1277" s="22">
        <f t="shared" si="3"/>
        <v>0.02346877997</v>
      </c>
      <c r="F1277" s="22">
        <f t="shared" si="6"/>
        <v>0.1633976677</v>
      </c>
      <c r="H1277" s="22" t="str">
        <f t="shared" si="4"/>
        <v/>
      </c>
      <c r="I1277" s="22" t="str">
        <f t="shared" si="1"/>
        <v>#N/A</v>
      </c>
      <c r="J1277" s="22" t="str">
        <f t="shared" si="2"/>
        <v>#N/A</v>
      </c>
      <c r="K1277" s="22" t="str">
        <f t="shared" si="8"/>
        <v/>
      </c>
    </row>
    <row r="1278" ht="15.75" customHeight="1">
      <c r="A1278" s="32">
        <f>'EQUITY BACKTEST'!A1281</f>
        <v>45114.66667</v>
      </c>
      <c r="B1278" s="22">
        <f>'EQUITY BACKTEST'!B1281</f>
        <v>4398.95</v>
      </c>
      <c r="C1278" s="22">
        <f>1/'EQUITY BACKTEST'!E1281</f>
        <v>0.9120758847</v>
      </c>
      <c r="D1278" s="22">
        <f t="shared" si="7"/>
        <v>-0.03767029938</v>
      </c>
      <c r="E1278" s="22">
        <f t="shared" si="3"/>
        <v>-0.01155631654</v>
      </c>
      <c r="F1278" s="22">
        <f t="shared" si="6"/>
        <v>0.1281152388</v>
      </c>
      <c r="H1278" s="22" t="str">
        <f t="shared" si="4"/>
        <v/>
      </c>
      <c r="I1278" s="22" t="str">
        <f t="shared" si="1"/>
        <v>#N/A</v>
      </c>
      <c r="J1278" s="22" t="str">
        <f t="shared" si="2"/>
        <v>#N/A</v>
      </c>
      <c r="K1278" s="22" t="str">
        <f t="shared" si="8"/>
        <v/>
      </c>
    </row>
    <row r="1279" ht="15.75" customHeight="1">
      <c r="A1279" s="32">
        <f>'EQUITY BACKTEST'!A1282</f>
        <v>45121.66667</v>
      </c>
      <c r="B1279" s="22">
        <f>'EQUITY BACKTEST'!B1282</f>
        <v>4505.42</v>
      </c>
      <c r="C1279" s="22">
        <f>1/'EQUITY BACKTEST'!E1282</f>
        <v>0.9147457007</v>
      </c>
      <c r="D1279" s="22">
        <f t="shared" si="7"/>
        <v>-0.0181238444</v>
      </c>
      <c r="E1279" s="22">
        <f t="shared" si="3"/>
        <v>0.02420350311</v>
      </c>
      <c r="F1279" s="22">
        <f t="shared" si="6"/>
        <v>0.166252498</v>
      </c>
      <c r="H1279" s="22" t="str">
        <f t="shared" si="4"/>
        <v/>
      </c>
      <c r="I1279" s="22" t="str">
        <f t="shared" si="1"/>
        <v>#N/A</v>
      </c>
      <c r="J1279" s="22" t="str">
        <f t="shared" si="2"/>
        <v>#N/A</v>
      </c>
      <c r="K1279" s="22" t="str">
        <f t="shared" si="8"/>
        <v/>
      </c>
    </row>
    <row r="1280" ht="15.75" customHeight="1">
      <c r="A1280" s="32">
        <f>'EQUITY BACKTEST'!A1283</f>
        <v>45128.66667</v>
      </c>
      <c r="B1280" s="22">
        <f>'EQUITY BACKTEST'!B1283</f>
        <v>4536.34</v>
      </c>
      <c r="C1280" s="22">
        <f>1/'EQUITY BACKTEST'!E1283</f>
        <v>0.9157509158</v>
      </c>
      <c r="D1280" s="22">
        <f t="shared" si="7"/>
        <v>-0.00611701082</v>
      </c>
      <c r="E1280" s="22">
        <f t="shared" si="3"/>
        <v>0.006862845195</v>
      </c>
      <c r="F1280" s="22">
        <f t="shared" si="6"/>
        <v>0.1450690751</v>
      </c>
      <c r="H1280" s="22" t="str">
        <f t="shared" si="4"/>
        <v/>
      </c>
      <c r="I1280" s="22" t="str">
        <f t="shared" si="1"/>
        <v>#N/A</v>
      </c>
      <c r="J1280" s="22" t="str">
        <f t="shared" si="2"/>
        <v>#N/A</v>
      </c>
      <c r="K1280" s="22" t="str">
        <f t="shared" si="8"/>
        <v/>
      </c>
    </row>
    <row r="1281" ht="15.75" customHeight="1">
      <c r="A1281" s="32">
        <f>'EQUITY BACKTEST'!A1284</f>
        <v>45135.66667</v>
      </c>
      <c r="B1281" s="22">
        <f>'EQUITY BACKTEST'!B1284</f>
        <v>4582.23</v>
      </c>
      <c r="C1281" s="22">
        <f>1/'EQUITY BACKTEST'!E1284</f>
        <v>0.9116601331</v>
      </c>
      <c r="D1281" s="22">
        <f t="shared" si="7"/>
        <v>-0.01865726658</v>
      </c>
      <c r="E1281" s="22">
        <f t="shared" si="3"/>
        <v>0.01011608477</v>
      </c>
      <c r="F1281" s="22">
        <f t="shared" si="6"/>
        <v>0.1094208881</v>
      </c>
      <c r="H1281" s="22" t="str">
        <f t="shared" si="4"/>
        <v/>
      </c>
      <c r="I1281" s="22" t="str">
        <f t="shared" si="1"/>
        <v>#N/A</v>
      </c>
      <c r="J1281" s="22" t="str">
        <f t="shared" si="2"/>
        <v>#N/A</v>
      </c>
      <c r="K1281" s="22" t="str">
        <f t="shared" si="8"/>
        <v/>
      </c>
    </row>
    <row r="1282" ht="15.75" customHeight="1">
      <c r="A1282" s="32">
        <f>'EQUITY BACKTEST'!A1285</f>
        <v>45142.66667</v>
      </c>
      <c r="B1282" s="22">
        <f>'EQUITY BACKTEST'!B1285</f>
        <v>4478.03</v>
      </c>
      <c r="C1282" s="22">
        <f>1/'EQUITY BACKTEST'!E1285</f>
        <v>0.8900756564</v>
      </c>
      <c r="D1282" s="22">
        <f t="shared" si="7"/>
        <v>-0.04617013345</v>
      </c>
      <c r="E1282" s="22">
        <f t="shared" si="3"/>
        <v>-0.0227400196</v>
      </c>
      <c r="F1282" s="22">
        <f t="shared" si="6"/>
        <v>0.080295475</v>
      </c>
      <c r="H1282" s="22" t="str">
        <f t="shared" si="4"/>
        <v/>
      </c>
      <c r="I1282" s="22" t="str">
        <f t="shared" si="1"/>
        <v>#N/A</v>
      </c>
      <c r="J1282" s="22" t="str">
        <f t="shared" si="2"/>
        <v>#N/A</v>
      </c>
      <c r="K1282" s="22" t="str">
        <f t="shared" si="8"/>
        <v/>
      </c>
    </row>
    <row r="1283" ht="15.75" customHeight="1">
      <c r="A1283" s="32">
        <f>'EQUITY BACKTEST'!A1286</f>
        <v>45149.66667</v>
      </c>
      <c r="B1283" s="22">
        <f>'EQUITY BACKTEST'!B1286</f>
        <v>4464.05</v>
      </c>
      <c r="C1283" s="22">
        <f>1/'EQUITY BACKTEST'!E1286</f>
        <v>0.8987148378</v>
      </c>
      <c r="D1283" s="22">
        <f t="shared" si="7"/>
        <v>-0.1173539666</v>
      </c>
      <c r="E1283" s="22">
        <f t="shared" si="3"/>
        <v>-0.003121908518</v>
      </c>
      <c r="F1283" s="22">
        <f t="shared" si="6"/>
        <v>0.04296578391</v>
      </c>
      <c r="H1283" s="22" t="str">
        <f t="shared" si="4"/>
        <v/>
      </c>
      <c r="I1283" s="22" t="str">
        <f t="shared" si="1"/>
        <v>#N/A</v>
      </c>
      <c r="J1283" s="22" t="str">
        <f t="shared" si="2"/>
        <v>#N/A</v>
      </c>
      <c r="K1283" s="22" t="str">
        <f t="shared" si="8"/>
        <v/>
      </c>
    </row>
    <row r="1284" ht="15.75" customHeight="1">
      <c r="A1284" s="32">
        <f>'EQUITY BACKTEST'!A1287</f>
        <v>45156.66667</v>
      </c>
      <c r="B1284" s="22">
        <f>'EQUITY BACKTEST'!B1287</f>
        <v>4369.71</v>
      </c>
      <c r="C1284" s="22">
        <f>1/'EQUITY BACKTEST'!E1287</f>
        <v>0.9062075215</v>
      </c>
      <c r="D1284" s="22">
        <f t="shared" si="7"/>
        <v>-0.1832121793</v>
      </c>
      <c r="E1284" s="22">
        <f t="shared" si="3"/>
        <v>-0.02113327584</v>
      </c>
      <c r="F1284" s="22">
        <f t="shared" si="6"/>
        <v>0.03339970864</v>
      </c>
      <c r="H1284" s="22" t="str">
        <f t="shared" si="4"/>
        <v/>
      </c>
      <c r="I1284" s="22" t="str">
        <f t="shared" si="1"/>
        <v>#N/A</v>
      </c>
      <c r="J1284" s="22" t="str">
        <f t="shared" si="2"/>
        <v>#N/A</v>
      </c>
      <c r="K1284" s="22" t="str">
        <f t="shared" si="8"/>
        <v/>
      </c>
    </row>
    <row r="1285" ht="15.75" customHeight="1">
      <c r="A1285" s="32">
        <f>'EQUITY BACKTEST'!A1288</f>
        <v>45163.66667</v>
      </c>
      <c r="B1285" s="22">
        <f>'EQUITY BACKTEST'!B1288</f>
        <v>4405.71</v>
      </c>
      <c r="C1285" s="22">
        <f>1/'EQUITY BACKTEST'!E1288</f>
        <v>0.9070294785</v>
      </c>
      <c r="D1285" s="22">
        <f t="shared" si="7"/>
        <v>-0.2566291191</v>
      </c>
      <c r="E1285" s="22">
        <f t="shared" si="3"/>
        <v>0.008238532992</v>
      </c>
      <c r="F1285" s="22">
        <f t="shared" si="6"/>
        <v>0.08577603841</v>
      </c>
      <c r="H1285" s="22" t="str">
        <f t="shared" si="4"/>
        <v/>
      </c>
      <c r="I1285" s="22" t="str">
        <f t="shared" si="1"/>
        <v>#N/A</v>
      </c>
      <c r="J1285" s="22" t="str">
        <f t="shared" si="2"/>
        <v>#N/A</v>
      </c>
      <c r="K1285" s="22" t="str">
        <f t="shared" si="8"/>
        <v/>
      </c>
    </row>
    <row r="1286" ht="15.75" customHeight="1">
      <c r="A1286" s="32">
        <f>'EQUITY BACKTEST'!A1289</f>
        <v>45170.66667</v>
      </c>
      <c r="B1286" s="22">
        <f>'EQUITY BACKTEST'!B1289</f>
        <v>4515.77</v>
      </c>
      <c r="C1286" s="22">
        <f>1/'EQUITY BACKTEST'!E1289</f>
        <v>0.9121590805</v>
      </c>
      <c r="D1286" s="22">
        <f t="shared" si="7"/>
        <v>-0.3311207389</v>
      </c>
      <c r="E1286" s="22">
        <f t="shared" si="3"/>
        <v>0.02498121756</v>
      </c>
      <c r="F1286" s="22">
        <f t="shared" si="6"/>
        <v>0.1507316029</v>
      </c>
      <c r="H1286" s="22" t="str">
        <f t="shared" si="4"/>
        <v/>
      </c>
      <c r="I1286" s="22" t="str">
        <f t="shared" si="1"/>
        <v>#N/A</v>
      </c>
      <c r="J1286" s="22" t="str">
        <f t="shared" si="2"/>
        <v>#N/A</v>
      </c>
      <c r="K1286" s="22" t="str">
        <f t="shared" si="8"/>
        <v/>
      </c>
    </row>
    <row r="1287" ht="15.75" customHeight="1">
      <c r="A1287" s="32">
        <f>'EQUITY BACKTEST'!A1290</f>
        <v>45177.66667</v>
      </c>
      <c r="B1287" s="22">
        <f>'EQUITY BACKTEST'!B1290</f>
        <v>4457.49</v>
      </c>
      <c r="C1287" s="22">
        <f>1/'EQUITY BACKTEST'!E1290</f>
        <v>0.9182736455</v>
      </c>
      <c r="D1287" s="22">
        <f t="shared" si="7"/>
        <v>-0.3855359954</v>
      </c>
      <c r="E1287" s="22">
        <f t="shared" si="3"/>
        <v>-0.01290588316</v>
      </c>
      <c r="F1287" s="22">
        <f t="shared" si="6"/>
        <v>0.09591725345</v>
      </c>
      <c r="H1287" s="22" t="str">
        <f t="shared" si="4"/>
        <v/>
      </c>
      <c r="I1287" s="22" t="str">
        <f t="shared" si="1"/>
        <v>#N/A</v>
      </c>
      <c r="J1287" s="22" t="str">
        <f t="shared" si="2"/>
        <v>#N/A</v>
      </c>
      <c r="K1287" s="22" t="str">
        <f t="shared" si="8"/>
        <v/>
      </c>
    </row>
    <row r="1288" ht="15.75" customHeight="1">
      <c r="A1288" s="32">
        <f>'EQUITY BACKTEST'!A1291</f>
        <v>45184.66667</v>
      </c>
      <c r="B1288" s="22">
        <f>'EQUITY BACKTEST'!B1291</f>
        <v>4450.32</v>
      </c>
      <c r="C1288" s="22">
        <f>1/'EQUITY BACKTEST'!E1291</f>
        <v>0.9264406152</v>
      </c>
      <c r="D1288" s="22">
        <f t="shared" si="7"/>
        <v>-0.4461509855</v>
      </c>
      <c r="E1288" s="22">
        <f t="shared" si="3"/>
        <v>-0.001608528567</v>
      </c>
      <c r="F1288" s="22">
        <f t="shared" si="6"/>
        <v>0.1489648442</v>
      </c>
      <c r="H1288" s="22" t="str">
        <f t="shared" si="4"/>
        <v/>
      </c>
      <c r="I1288" s="22" t="str">
        <f t="shared" si="1"/>
        <v>#N/A</v>
      </c>
      <c r="J1288" s="22" t="str">
        <f t="shared" si="2"/>
        <v>#N/A</v>
      </c>
      <c r="K1288" s="22" t="str">
        <f t="shared" si="8"/>
        <v/>
      </c>
    </row>
    <row r="1289" ht="15.75" customHeight="1">
      <c r="A1289" s="32">
        <f>'EQUITY BACKTEST'!A1292</f>
        <v>45191.66667</v>
      </c>
      <c r="B1289" s="22">
        <f>'EQUITY BACKTEST'!B1292</f>
        <v>4320.06</v>
      </c>
      <c r="C1289" s="22">
        <f>1/'EQUITY BACKTEST'!E1292</f>
        <v>0.9262689885</v>
      </c>
      <c r="D1289" s="22">
        <f t="shared" si="7"/>
        <v>-0.4777059006</v>
      </c>
      <c r="E1289" s="22">
        <f t="shared" si="3"/>
        <v>-0.02926980532</v>
      </c>
      <c r="F1289" s="22">
        <f t="shared" si="6"/>
        <v>0.1697240627</v>
      </c>
      <c r="H1289" s="22" t="str">
        <f t="shared" si="4"/>
        <v/>
      </c>
      <c r="I1289" s="22" t="str">
        <f t="shared" si="1"/>
        <v>#N/A</v>
      </c>
      <c r="J1289" s="22" t="str">
        <f t="shared" si="2"/>
        <v>#N/A</v>
      </c>
      <c r="K1289" s="22" t="str">
        <f t="shared" si="8"/>
        <v/>
      </c>
    </row>
    <row r="1290" ht="15.75" customHeight="1">
      <c r="A1290" s="32">
        <f>'EQUITY BACKTEST'!A1293</f>
        <v>45198.66667</v>
      </c>
      <c r="B1290" s="22">
        <f>'EQUITY BACKTEST'!B1293</f>
        <v>4288.05</v>
      </c>
      <c r="C1290" s="22">
        <f>1/'EQUITY BACKTEST'!E1293</f>
        <v>0.9335324869</v>
      </c>
      <c r="D1290" s="22">
        <f t="shared" si="7"/>
        <v>-0.5131771614</v>
      </c>
      <c r="E1290" s="22">
        <f t="shared" si="3"/>
        <v>-0.007409619311</v>
      </c>
      <c r="F1290" s="22">
        <f t="shared" si="6"/>
        <v>0.195901964</v>
      </c>
      <c r="H1290" s="22" t="str">
        <f t="shared" si="4"/>
        <v/>
      </c>
      <c r="I1290" s="22" t="str">
        <f t="shared" si="1"/>
        <v>#N/A</v>
      </c>
      <c r="J1290" s="22" t="str">
        <f t="shared" si="2"/>
        <v>#N/A</v>
      </c>
      <c r="K1290" s="22" t="str">
        <f t="shared" si="8"/>
        <v/>
      </c>
    </row>
    <row r="1291" ht="15.75" customHeight="1">
      <c r="A1291" s="32">
        <f>'EQUITY BACKTEST'!A1294</f>
        <v>45205.66667</v>
      </c>
      <c r="B1291" s="22">
        <f>'EQUITY BACKTEST'!B1294</f>
        <v>4308.5</v>
      </c>
      <c r="C1291" s="22">
        <f>1/'EQUITY BACKTEST'!E1294</f>
        <v>0.9370314843</v>
      </c>
      <c r="D1291" s="22">
        <f t="shared" si="7"/>
        <v>-0.529009438</v>
      </c>
      <c r="E1291" s="22">
        <f t="shared" si="3"/>
        <v>0.004769067525</v>
      </c>
      <c r="F1291" s="22">
        <f t="shared" si="6"/>
        <v>0.1837644176</v>
      </c>
      <c r="H1291" s="22" t="str">
        <f t="shared" si="4"/>
        <v/>
      </c>
      <c r="I1291" s="22" t="str">
        <f t="shared" si="1"/>
        <v>#N/A</v>
      </c>
      <c r="J1291" s="22" t="str">
        <f t="shared" si="2"/>
        <v>#N/A</v>
      </c>
      <c r="K1291" s="22" t="str">
        <f t="shared" si="8"/>
        <v/>
      </c>
    </row>
    <row r="1292" ht="15.75" customHeight="1">
      <c r="A1292" s="32">
        <f>'EQUITY BACKTEST'!A1295</f>
        <v>45212.66667</v>
      </c>
      <c r="B1292" s="22">
        <f>'EQUITY BACKTEST'!B1295</f>
        <v>4327.78</v>
      </c>
      <c r="C1292" s="22">
        <f>1/'EQUITY BACKTEST'!E1295</f>
        <v>0.9371192953</v>
      </c>
      <c r="D1292" s="22">
        <f t="shared" si="7"/>
        <v>-0.002328822753</v>
      </c>
      <c r="E1292" s="22">
        <f t="shared" si="3"/>
        <v>0.004474875247</v>
      </c>
      <c r="F1292" s="22">
        <f t="shared" si="6"/>
        <v>0.2078413204</v>
      </c>
      <c r="H1292" s="22" t="str">
        <f t="shared" si="4"/>
        <v/>
      </c>
      <c r="I1292" s="22" t="str">
        <f t="shared" si="1"/>
        <v>#N/A</v>
      </c>
      <c r="J1292" s="22" t="str">
        <f t="shared" si="2"/>
        <v>#N/A</v>
      </c>
      <c r="K1292" s="22" t="str">
        <f t="shared" si="8"/>
        <v/>
      </c>
    </row>
    <row r="1293" ht="15.75" customHeight="1">
      <c r="A1293" s="32">
        <f>'EQUITY BACKTEST'!A1296</f>
        <v>45219.66667</v>
      </c>
      <c r="B1293" s="22">
        <f>'EQUITY BACKTEST'!B1296</f>
        <v>4224.16</v>
      </c>
      <c r="C1293" s="22">
        <f>1/'EQUITY BACKTEST'!E1296</f>
        <v>0.9447331129</v>
      </c>
      <c r="D1293" s="22">
        <f t="shared" si="7"/>
        <v>0.1644868488</v>
      </c>
      <c r="E1293" s="22">
        <f t="shared" si="3"/>
        <v>-0.02394299156</v>
      </c>
      <c r="F1293" s="22">
        <f t="shared" si="6"/>
        <v>0.125617214</v>
      </c>
      <c r="H1293" s="22" t="str">
        <f t="shared" si="4"/>
        <v/>
      </c>
      <c r="I1293" s="22" t="str">
        <f t="shared" si="1"/>
        <v>#N/A</v>
      </c>
      <c r="J1293" s="22" t="str">
        <f t="shared" si="2"/>
        <v>#N/A</v>
      </c>
      <c r="K1293" s="22" t="str">
        <f t="shared" si="8"/>
        <v/>
      </c>
    </row>
    <row r="1294" ht="15.75" customHeight="1">
      <c r="A1294" s="32">
        <f>'EQUITY BACKTEST'!A1297</f>
        <v>45226.66667</v>
      </c>
      <c r="B1294" s="22">
        <f>'EQUITY BACKTEST'!B1297</f>
        <v>4117.37</v>
      </c>
      <c r="C1294" s="22">
        <f>1/'EQUITY BACKTEST'!E1297</f>
        <v>0.9433962264</v>
      </c>
      <c r="D1294" s="22">
        <f t="shared" si="7"/>
        <v>0.2669623154</v>
      </c>
      <c r="E1294" s="22">
        <f t="shared" si="3"/>
        <v>-0.02528076588</v>
      </c>
      <c r="F1294" s="22">
        <f t="shared" si="6"/>
        <v>0.0554490318</v>
      </c>
      <c r="H1294" s="22" t="str">
        <f t="shared" si="4"/>
        <v/>
      </c>
      <c r="I1294" s="22" t="str">
        <f t="shared" si="1"/>
        <v>#N/A</v>
      </c>
      <c r="J1294" s="22" t="str">
        <f t="shared" si="2"/>
        <v>#N/A</v>
      </c>
      <c r="K1294" s="22" t="str">
        <f t="shared" si="8"/>
        <v/>
      </c>
    </row>
    <row r="1295" ht="15.75" customHeight="1">
      <c r="A1295" s="32">
        <f>'EQUITY BACKTEST'!A1298</f>
        <v>45233.66667</v>
      </c>
      <c r="B1295" s="22">
        <f>'EQUITY BACKTEST'!B1298</f>
        <v>4358.34</v>
      </c>
      <c r="C1295" s="22">
        <f>1/'EQUITY BACKTEST'!E1298</f>
        <v>0.9513842641</v>
      </c>
      <c r="D1295" s="22">
        <f t="shared" si="7"/>
        <v>0.3437987792</v>
      </c>
      <c r="E1295" s="22">
        <f t="shared" si="3"/>
        <v>0.05852522363</v>
      </c>
      <c r="F1295" s="22">
        <f t="shared" si="6"/>
        <v>0.1558897243</v>
      </c>
      <c r="H1295" s="22" t="str">
        <f t="shared" si="4"/>
        <v/>
      </c>
      <c r="I1295" s="22" t="str">
        <f t="shared" si="1"/>
        <v>#N/A</v>
      </c>
      <c r="J1295" s="22" t="str">
        <f t="shared" si="2"/>
        <v>#N/A</v>
      </c>
      <c r="K1295" s="22" t="str">
        <f t="shared" si="8"/>
        <v/>
      </c>
    </row>
    <row r="1296" ht="15.75" customHeight="1">
      <c r="A1296" s="32">
        <f>'EQUITY BACKTEST'!A1299</f>
        <v>45240.66667</v>
      </c>
      <c r="B1296" s="22">
        <f>'EQUITY BACKTEST'!B1299</f>
        <v>4415.24</v>
      </c>
      <c r="C1296" s="22">
        <f>1/'EQUITY BACKTEST'!E1299</f>
        <v>0.943129303</v>
      </c>
      <c r="D1296" s="22">
        <f t="shared" si="7"/>
        <v>0.4356174516</v>
      </c>
      <c r="E1296" s="22">
        <f t="shared" si="3"/>
        <v>0.01305542936</v>
      </c>
      <c r="F1296" s="22">
        <f t="shared" si="6"/>
        <v>0.1057644386</v>
      </c>
      <c r="H1296" s="22" t="str">
        <f t="shared" si="4"/>
        <v/>
      </c>
      <c r="I1296" s="22" t="str">
        <f t="shared" si="1"/>
        <v>#N/A</v>
      </c>
      <c r="J1296" s="22" t="str">
        <f t="shared" si="2"/>
        <v>#N/A</v>
      </c>
      <c r="K1296" s="22" t="str">
        <f t="shared" si="8"/>
        <v/>
      </c>
    </row>
    <row r="1297" ht="15.75" customHeight="1">
      <c r="A1297" s="32">
        <f>'EQUITY BACKTEST'!A1300</f>
        <v>45247.66667</v>
      </c>
      <c r="B1297" s="22">
        <f>'EQUITY BACKTEST'!B1300</f>
        <v>4514.02</v>
      </c>
      <c r="C1297" s="22">
        <f>1/'EQUITY BACKTEST'!E1300</f>
        <v>0.9453582908</v>
      </c>
      <c r="D1297" s="22">
        <f t="shared" si="7"/>
        <v>0.4957041885</v>
      </c>
      <c r="E1297" s="22">
        <f t="shared" si="3"/>
        <v>0.02237250976</v>
      </c>
      <c r="F1297" s="22">
        <f t="shared" si="6"/>
        <v>0.1383689671</v>
      </c>
      <c r="H1297" s="22" t="str">
        <f t="shared" si="4"/>
        <v/>
      </c>
      <c r="I1297" s="22" t="str">
        <f t="shared" si="1"/>
        <v>#N/A</v>
      </c>
      <c r="J1297" s="22" t="str">
        <f t="shared" si="2"/>
        <v>#N/A</v>
      </c>
      <c r="K1297" s="22" t="str">
        <f t="shared" si="8"/>
        <v/>
      </c>
    </row>
    <row r="1298" ht="15.75" customHeight="1">
      <c r="A1298" s="32">
        <f>'EQUITY BACKTEST'!A1301</f>
        <v>45254.54167</v>
      </c>
      <c r="B1298" s="22">
        <f>'EQUITY BACKTEST'!B1301</f>
        <v>4559.34</v>
      </c>
      <c r="C1298" s="22">
        <f>1/'EQUITY BACKTEST'!E1301</f>
        <v>0.9315323707</v>
      </c>
      <c r="D1298" s="22">
        <f t="shared" si="7"/>
        <v>0.5181131325</v>
      </c>
      <c r="E1298" s="22">
        <f t="shared" si="3"/>
        <v>0.01003983146</v>
      </c>
      <c r="F1298" s="22">
        <f t="shared" si="6"/>
        <v>0.1324401657</v>
      </c>
      <c r="H1298" s="22" t="str">
        <f t="shared" si="4"/>
        <v/>
      </c>
      <c r="I1298" s="22" t="str">
        <f t="shared" si="1"/>
        <v>#N/A</v>
      </c>
      <c r="J1298" s="22" t="str">
        <f t="shared" si="2"/>
        <v>#N/A</v>
      </c>
      <c r="K1298" s="22" t="str">
        <f t="shared" si="8"/>
        <v/>
      </c>
    </row>
    <row r="1299" ht="15.75" customHeight="1">
      <c r="A1299" s="32">
        <f>'EQUITY BACKTEST'!A1302</f>
        <v>45261.66667</v>
      </c>
      <c r="B1299" s="22">
        <f>'EQUITY BACKTEST'!B1302</f>
        <v>4594.63</v>
      </c>
      <c r="C1299" s="22">
        <f>1/'EQUITY BACKTEST'!E1302</f>
        <v>0.9333582229</v>
      </c>
      <c r="D1299" s="22">
        <f t="shared" si="7"/>
        <v>0.5320231902</v>
      </c>
      <c r="E1299" s="22">
        <f t="shared" si="3"/>
        <v>0.007740155373</v>
      </c>
      <c r="F1299" s="22">
        <f t="shared" si="6"/>
        <v>0.1284303853</v>
      </c>
      <c r="H1299" s="22" t="str">
        <f t="shared" si="4"/>
        <v/>
      </c>
      <c r="I1299" s="22" t="str">
        <f t="shared" si="1"/>
        <v>#N/A</v>
      </c>
      <c r="J1299" s="22" t="str">
        <f t="shared" si="2"/>
        <v>#N/A</v>
      </c>
      <c r="K1299" s="22" t="str">
        <f t="shared" si="8"/>
        <v/>
      </c>
    </row>
    <row r="1300" ht="15.75" customHeight="1">
      <c r="A1300" s="32">
        <f>'EQUITY BACKTEST'!A1303</f>
        <v>45268.66667</v>
      </c>
      <c r="B1300" s="22">
        <f>'EQUITY BACKTEST'!B1303</f>
        <v>4604.37</v>
      </c>
      <c r="C1300" s="22">
        <f>1/'EQUITY BACKTEST'!E1303</f>
        <v>0.9160864786</v>
      </c>
      <c r="D1300" s="22">
        <f t="shared" si="7"/>
        <v>0.5478625022</v>
      </c>
      <c r="E1300" s="22">
        <f t="shared" si="3"/>
        <v>0.002119866018</v>
      </c>
      <c r="F1300" s="22">
        <f t="shared" si="6"/>
        <v>0.1702911259</v>
      </c>
      <c r="H1300" s="22" t="str">
        <f t="shared" si="4"/>
        <v/>
      </c>
      <c r="I1300" s="22" t="str">
        <f t="shared" si="1"/>
        <v>#N/A</v>
      </c>
      <c r="J1300" s="22" t="str">
        <f t="shared" si="2"/>
        <v>#N/A</v>
      </c>
      <c r="K1300" s="22" t="str">
        <f t="shared" si="8"/>
        <v/>
      </c>
    </row>
    <row r="1301" ht="15.75" customHeight="1">
      <c r="A1301" s="32">
        <f>'EQUITY BACKTEST'!A1304</f>
        <v>45275.66667</v>
      </c>
      <c r="B1301" s="22">
        <f>'EQUITY BACKTEST'!B1304</f>
        <v>4719.19</v>
      </c>
      <c r="C1301" s="22">
        <f>1/'EQUITY BACKTEST'!E1304</f>
        <v>0.9134088418</v>
      </c>
      <c r="D1301" s="22">
        <f t="shared" si="7"/>
        <v>0.5546283518</v>
      </c>
      <c r="E1301" s="22">
        <f t="shared" si="3"/>
        <v>0.02493717924</v>
      </c>
      <c r="F1301" s="22">
        <f t="shared" si="6"/>
        <v>0.2250127195</v>
      </c>
      <c r="H1301" s="22" t="str">
        <f t="shared" si="4"/>
        <v/>
      </c>
      <c r="I1301" s="22" t="str">
        <f t="shared" si="1"/>
        <v>#N/A</v>
      </c>
      <c r="J1301" s="22" t="str">
        <f t="shared" si="2"/>
        <v>#N/A</v>
      </c>
      <c r="K1301" s="22" t="str">
        <f t="shared" si="8"/>
        <v/>
      </c>
    </row>
    <row r="1302" ht="15.75" customHeight="1">
      <c r="A1302" s="32">
        <f>'EQUITY BACKTEST'!A1305</f>
        <v>45282.66667</v>
      </c>
      <c r="B1302" s="22">
        <f>'EQUITY BACKTEST'!B1305</f>
        <v>4754.63</v>
      </c>
      <c r="C1302" s="22">
        <f>1/'EQUITY BACKTEST'!E1305</f>
        <v>0.9181893306</v>
      </c>
      <c r="D1302" s="22">
        <f t="shared" si="7"/>
        <v>0.556880894</v>
      </c>
      <c r="E1302" s="22">
        <f t="shared" si="3"/>
        <v>0.007509763328</v>
      </c>
      <c r="F1302" s="22">
        <f t="shared" si="6"/>
        <v>0.2366326642</v>
      </c>
      <c r="H1302" s="22" t="str">
        <f t="shared" si="4"/>
        <v/>
      </c>
      <c r="I1302" s="22" t="str">
        <f t="shared" si="1"/>
        <v>#N/A</v>
      </c>
      <c r="J1302" s="22" t="str">
        <f t="shared" si="2"/>
        <v>#N/A</v>
      </c>
      <c r="K1302" s="22" t="str">
        <f t="shared" si="8"/>
        <v/>
      </c>
    </row>
    <row r="1303" ht="15.75" customHeight="1">
      <c r="A1303" s="32">
        <f>'EQUITY BACKTEST'!A1306</f>
        <v>45289.66667</v>
      </c>
      <c r="B1303" s="22">
        <f>'EQUITY BACKTEST'!B1306</f>
        <v>4769.83</v>
      </c>
      <c r="C1303" s="22">
        <f>1/'EQUITY BACKTEST'!E1306</f>
        <v>0.9283327144</v>
      </c>
      <c r="D1303" s="22">
        <f t="shared" si="7"/>
        <v>0.5613853835</v>
      </c>
      <c r="E1303" s="22">
        <f t="shared" si="3"/>
        <v>0.00319688388</v>
      </c>
      <c r="F1303" s="22">
        <f t="shared" si="6"/>
        <v>0.2423049876</v>
      </c>
      <c r="H1303" s="22" t="str">
        <f t="shared" si="4"/>
        <v/>
      </c>
      <c r="I1303" s="22" t="str">
        <f t="shared" si="1"/>
        <v>#N/A</v>
      </c>
      <c r="J1303" s="22" t="str">
        <f t="shared" si="2"/>
        <v>#N/A</v>
      </c>
      <c r="K1303" s="22" t="str">
        <f t="shared" si="8"/>
        <v/>
      </c>
    </row>
    <row r="1304" ht="15.75" customHeight="1">
      <c r="A1304" s="32">
        <f>'EQUITY BACKTEST'!A1307</f>
        <v>45296.66667</v>
      </c>
      <c r="B1304" s="22">
        <f>'EQUITY BACKTEST'!B1307</f>
        <v>4697.24</v>
      </c>
      <c r="C1304" s="22">
        <f>1/'EQUITY BACKTEST'!E1307</f>
        <v>0.9168423948</v>
      </c>
      <c r="D1304" s="22">
        <f t="shared" si="7"/>
        <v>0.5724436668</v>
      </c>
      <c r="E1304" s="22">
        <f t="shared" si="3"/>
        <v>-0.01521857173</v>
      </c>
      <c r="F1304" s="22">
        <f t="shared" si="6"/>
        <v>0.2059418549</v>
      </c>
      <c r="H1304" s="22" t="str">
        <f t="shared" si="4"/>
        <v/>
      </c>
      <c r="I1304" s="22" t="str">
        <f t="shared" si="1"/>
        <v>#N/A</v>
      </c>
      <c r="J1304" s="22" t="str">
        <f t="shared" si="2"/>
        <v>#N/A</v>
      </c>
      <c r="K1304" s="22" t="str">
        <f t="shared" si="8"/>
        <v/>
      </c>
    </row>
    <row r="1305" ht="15.75" customHeight="1">
      <c r="A1305" s="32">
        <f>'EQUITY BACKTEST'!A1308</f>
        <v>45303.66667</v>
      </c>
      <c r="B1305" s="22">
        <f>'EQUITY BACKTEST'!B1308</f>
        <v>4783.83</v>
      </c>
      <c r="C1305" s="22">
        <f>1/'EQUITY BACKTEST'!E1308</f>
        <v>0.9070294785</v>
      </c>
      <c r="D1305" s="22">
        <f t="shared" si="7"/>
        <v>0.5825855952</v>
      </c>
      <c r="E1305" s="22">
        <f t="shared" si="3"/>
        <v>0.01843422946</v>
      </c>
      <c r="F1305" s="22">
        <f t="shared" si="6"/>
        <v>0.1962296422</v>
      </c>
      <c r="H1305" s="22" t="str">
        <f t="shared" si="4"/>
        <v/>
      </c>
      <c r="I1305" s="22" t="str">
        <f t="shared" si="1"/>
        <v>#N/A</v>
      </c>
      <c r="J1305" s="22" t="str">
        <f t="shared" si="2"/>
        <v>#N/A</v>
      </c>
      <c r="K1305" s="22" t="str">
        <f t="shared" si="8"/>
        <v/>
      </c>
    </row>
    <row r="1306" ht="15.75" customHeight="1">
      <c r="A1306" s="32">
        <f>'EQUITY BACKTEST'!A1309</f>
        <v>45310.66667</v>
      </c>
      <c r="B1306" s="22">
        <f>'EQUITY BACKTEST'!B1309</f>
        <v>4839.81</v>
      </c>
      <c r="C1306" s="22">
        <f>1/'EQUITY BACKTEST'!E1309</f>
        <v>0.9046499005</v>
      </c>
      <c r="D1306" s="22">
        <f t="shared" si="7"/>
        <v>0.5841525835</v>
      </c>
      <c r="E1306" s="22">
        <f t="shared" si="3"/>
        <v>0.01170192085</v>
      </c>
      <c r="F1306" s="22">
        <f t="shared" si="6"/>
        <v>0.2182947735</v>
      </c>
      <c r="H1306" s="22" t="str">
        <f t="shared" si="4"/>
        <v/>
      </c>
      <c r="I1306" s="22" t="str">
        <f t="shared" si="1"/>
        <v>#N/A</v>
      </c>
      <c r="J1306" s="22" t="str">
        <f t="shared" si="2"/>
        <v>#N/A</v>
      </c>
      <c r="K1306" s="22" t="str">
        <f t="shared" si="8"/>
        <v/>
      </c>
    </row>
    <row r="1307" ht="15.75" customHeight="1">
      <c r="A1307" s="32">
        <f>'EQUITY BACKTEST'!A1310</f>
        <v>45317.66667</v>
      </c>
      <c r="B1307" s="22">
        <f>'EQUITY BACKTEST'!B1310</f>
        <v>4890.97</v>
      </c>
      <c r="C1307" s="22">
        <f>1/'EQUITY BACKTEST'!E1310</f>
        <v>0.9127418766</v>
      </c>
      <c r="D1307" s="22">
        <f t="shared" si="7"/>
        <v>0.5830286568</v>
      </c>
      <c r="E1307" s="22">
        <f t="shared" si="3"/>
        <v>0.0105706629</v>
      </c>
      <c r="F1307" s="22">
        <f t="shared" si="6"/>
        <v>0.2015472073</v>
      </c>
      <c r="H1307" s="22" t="str">
        <f t="shared" si="4"/>
        <v/>
      </c>
      <c r="I1307" s="22" t="str">
        <f t="shared" si="1"/>
        <v>#N/A</v>
      </c>
      <c r="J1307" s="22" t="str">
        <f t="shared" si="2"/>
        <v>#N/A</v>
      </c>
      <c r="K1307" s="22" t="str">
        <f t="shared" si="8"/>
        <v/>
      </c>
    </row>
    <row r="1308" ht="15.75" customHeight="1">
      <c r="A1308" s="32">
        <f>'EQUITY BACKTEST'!A1311</f>
        <v>45324.66667</v>
      </c>
      <c r="B1308" s="22">
        <f>'EQUITY BACKTEST'!B1311</f>
        <v>4958.61</v>
      </c>
      <c r="C1308" s="22">
        <f>1/'EQUITY BACKTEST'!E1311</f>
        <v>0.9120758847</v>
      </c>
      <c r="D1308" s="22">
        <f t="shared" si="7"/>
        <v>0.5852222024</v>
      </c>
      <c r="E1308" s="22">
        <f t="shared" si="3"/>
        <v>0.01382956755</v>
      </c>
      <c r="F1308" s="22">
        <f t="shared" si="6"/>
        <v>0.1987511121</v>
      </c>
      <c r="H1308" s="22" t="str">
        <f t="shared" si="4"/>
        <v/>
      </c>
      <c r="I1308" s="22" t="str">
        <f t="shared" si="1"/>
        <v>#N/A</v>
      </c>
      <c r="J1308" s="22" t="str">
        <f t="shared" si="2"/>
        <v>#N/A</v>
      </c>
      <c r="K1308" s="22" t="str">
        <f t="shared" si="8"/>
        <v/>
      </c>
    </row>
    <row r="1309" ht="15.75" customHeight="1">
      <c r="A1309" s="32">
        <f>'EQUITY BACKTEST'!A1312</f>
        <v>45331.66667</v>
      </c>
      <c r="B1309" s="22">
        <f>'EQUITY BACKTEST'!B1312</f>
        <v>5026.61</v>
      </c>
      <c r="C1309" s="22">
        <f>1/'EQUITY BACKTEST'!E1312</f>
        <v>0.9163383121</v>
      </c>
      <c r="D1309" s="22">
        <f t="shared" si="7"/>
        <v>0.5850117564</v>
      </c>
      <c r="E1309" s="22">
        <f t="shared" si="3"/>
        <v>0.01371352052</v>
      </c>
      <c r="F1309" s="22">
        <f t="shared" si="6"/>
        <v>0.2288617906</v>
      </c>
      <c r="H1309" s="22" t="str">
        <f t="shared" si="4"/>
        <v/>
      </c>
      <c r="I1309" s="22" t="str">
        <f t="shared" si="1"/>
        <v>#N/A</v>
      </c>
      <c r="J1309" s="22" t="str">
        <f t="shared" si="2"/>
        <v>#N/A</v>
      </c>
      <c r="K1309" s="22" t="str">
        <f t="shared" si="8"/>
        <v/>
      </c>
    </row>
    <row r="1310" ht="15.75" customHeight="1">
      <c r="A1310" s="32">
        <f>'EQUITY BACKTEST'!A1313</f>
        <v>45338.66667</v>
      </c>
      <c r="B1310" s="22">
        <f>'EQUITY BACKTEST'!B1313</f>
        <v>5005.57</v>
      </c>
      <c r="C1310" s="22">
        <f>1/'EQUITY BACKTEST'!E1313</f>
        <v>0.920640766</v>
      </c>
      <c r="D1310" s="22">
        <f t="shared" si="7"/>
        <v>0.5848109952</v>
      </c>
      <c r="E1310" s="22">
        <f t="shared" si="3"/>
        <v>-0.004185723579</v>
      </c>
      <c r="F1310" s="22">
        <f t="shared" si="6"/>
        <v>0.2271290901</v>
      </c>
      <c r="H1310" s="22" t="str">
        <f t="shared" si="4"/>
        <v/>
      </c>
      <c r="I1310" s="22" t="str">
        <f t="shared" si="1"/>
        <v>#N/A</v>
      </c>
      <c r="J1310" s="22" t="str">
        <f t="shared" si="2"/>
        <v>#N/A</v>
      </c>
      <c r="K1310" s="22" t="str">
        <f t="shared" si="8"/>
        <v/>
      </c>
    </row>
    <row r="1311" ht="15.75" customHeight="1">
      <c r="A1311" s="32">
        <f>'EQUITY BACKTEST'!A1314</f>
        <v>45345.66667</v>
      </c>
      <c r="B1311" s="22">
        <f>'EQUITY BACKTEST'!B1314</f>
        <v>5088.8</v>
      </c>
      <c r="C1311" s="22">
        <f>1/'EQUITY BACKTEST'!E1314</f>
        <v>0.9254974549</v>
      </c>
      <c r="D1311" s="22">
        <f t="shared" si="7"/>
        <v>0.588276779</v>
      </c>
      <c r="E1311" s="22">
        <f t="shared" si="3"/>
        <v>0.01662747699</v>
      </c>
      <c r="F1311" s="22">
        <f t="shared" si="6"/>
        <v>0.2818006871</v>
      </c>
      <c r="H1311" s="22" t="str">
        <f t="shared" si="4"/>
        <v/>
      </c>
      <c r="I1311" s="22" t="str">
        <f t="shared" si="1"/>
        <v>#N/A</v>
      </c>
      <c r="J1311" s="22" t="str">
        <f t="shared" si="2"/>
        <v>#N/A</v>
      </c>
      <c r="K1311" s="22" t="str">
        <f t="shared" si="8"/>
        <v/>
      </c>
    </row>
    <row r="1312" ht="15.75" customHeight="1">
      <c r="A1312" s="32">
        <f>'EQUITY BACKTEST'!A1315</f>
        <v>45352.66667</v>
      </c>
      <c r="B1312" s="22">
        <f>'EQUITY BACKTEST'!B1315</f>
        <v>5137.08</v>
      </c>
      <c r="C1312" s="22">
        <f>1/'EQUITY BACKTEST'!E1315</f>
        <v>0.9294544103</v>
      </c>
      <c r="D1312" s="22">
        <f t="shared" si="7"/>
        <v>0.5909724423</v>
      </c>
      <c r="E1312" s="22">
        <f t="shared" si="3"/>
        <v>0.009487501965</v>
      </c>
      <c r="F1312" s="22">
        <f t="shared" si="6"/>
        <v>0.2697817898</v>
      </c>
      <c r="H1312" s="22" t="str">
        <f t="shared" si="4"/>
        <v/>
      </c>
      <c r="I1312" s="22" t="str">
        <f t="shared" si="1"/>
        <v>#N/A</v>
      </c>
      <c r="J1312" s="22" t="str">
        <f t="shared" si="2"/>
        <v>#N/A</v>
      </c>
      <c r="K1312" s="22" t="str">
        <f t="shared" si="8"/>
        <v/>
      </c>
    </row>
    <row r="1313" ht="15.75" customHeight="1">
      <c r="A1313" s="32">
        <f>'EQUITY BACKTEST'!A1316</f>
        <v>45359.66667</v>
      </c>
      <c r="B1313" s="22">
        <f>'EQUITY BACKTEST'!B1316</f>
        <v>5123.69</v>
      </c>
      <c r="C1313" s="22">
        <f>1/'EQUITY BACKTEST'!E1316</f>
        <v>0.9282120779</v>
      </c>
      <c r="D1313" s="22">
        <f t="shared" si="7"/>
        <v>0.5938033888</v>
      </c>
      <c r="E1313" s="22">
        <f t="shared" si="3"/>
        <v>-0.002606539123</v>
      </c>
      <c r="F1313" s="22">
        <f t="shared" si="6"/>
        <v>0.3268342833</v>
      </c>
      <c r="H1313" s="22" t="str">
        <f t="shared" si="4"/>
        <v/>
      </c>
      <c r="I1313" s="22" t="str">
        <f t="shared" si="1"/>
        <v>#N/A</v>
      </c>
      <c r="J1313" s="22" t="str">
        <f t="shared" si="2"/>
        <v>#N/A</v>
      </c>
      <c r="K1313" s="22" t="str">
        <f t="shared" si="8"/>
        <v/>
      </c>
    </row>
    <row r="1314" ht="15.75" customHeight="1">
      <c r="A1314" s="32">
        <f>'EQUITY BACKTEST'!A1317</f>
        <v>45366.66667</v>
      </c>
      <c r="B1314" s="22">
        <f>'EQUITY BACKTEST'!B1317</f>
        <v>5117.09</v>
      </c>
      <c r="C1314" s="22">
        <f>1/'EQUITY BACKTEST'!E1317</f>
        <v>0.9229349331</v>
      </c>
      <c r="D1314" s="22">
        <f t="shared" si="7"/>
        <v>0.5972899443</v>
      </c>
      <c r="E1314" s="22">
        <f t="shared" si="3"/>
        <v>-0.001288134138</v>
      </c>
      <c r="F1314" s="22">
        <f t="shared" si="6"/>
        <v>0.3064999591</v>
      </c>
      <c r="H1314" s="22" t="str">
        <f t="shared" si="4"/>
        <v/>
      </c>
      <c r="I1314" s="22" t="str">
        <f t="shared" si="1"/>
        <v>#N/A</v>
      </c>
      <c r="J1314" s="22" t="str">
        <f t="shared" si="2"/>
        <v>#N/A</v>
      </c>
      <c r="K1314" s="22" t="str">
        <f t="shared" si="8"/>
        <v/>
      </c>
    </row>
    <row r="1315" ht="15.75" customHeight="1">
      <c r="A1315" s="32">
        <f>'EQUITY BACKTEST'!A1318</f>
        <v>45373.66667</v>
      </c>
      <c r="B1315" s="22">
        <f>'EQUITY BACKTEST'!B1318</f>
        <v>5234.18</v>
      </c>
      <c r="C1315" s="22">
        <f>1/'EQUITY BACKTEST'!E1318</f>
        <v>0.92140422</v>
      </c>
      <c r="D1315" s="22">
        <f t="shared" si="7"/>
        <v>0.59925205</v>
      </c>
      <c r="E1315" s="22">
        <f t="shared" si="3"/>
        <v>0.02288214591</v>
      </c>
      <c r="F1315" s="22">
        <f t="shared" si="6"/>
        <v>0.3181045533</v>
      </c>
      <c r="H1315" s="22" t="str">
        <f t="shared" si="4"/>
        <v/>
      </c>
      <c r="I1315" s="22" t="str">
        <f t="shared" si="1"/>
        <v>#N/A</v>
      </c>
      <c r="J1315" s="22" t="str">
        <f t="shared" si="2"/>
        <v>#N/A</v>
      </c>
      <c r="K1315" s="22" t="str">
        <f t="shared" si="8"/>
        <v/>
      </c>
    </row>
    <row r="1316" ht="15.75" customHeight="1">
      <c r="A1316" s="32">
        <f>'EQUITY BACKTEST'!A1319</f>
        <v>45379.66667</v>
      </c>
      <c r="B1316" s="22">
        <f>'EQUITY BACKTEST'!B1319</f>
        <v>5254.35</v>
      </c>
      <c r="C1316" s="22">
        <f>1/'EQUITY BACKTEST'!E1319</f>
        <v>0.9139097057</v>
      </c>
      <c r="D1316" s="22">
        <f t="shared" si="7"/>
        <v>0.5968512769</v>
      </c>
      <c r="E1316" s="22">
        <f t="shared" si="3"/>
        <v>0.003853516692</v>
      </c>
      <c r="F1316" s="22">
        <f t="shared" si="6"/>
        <v>0.27864532</v>
      </c>
      <c r="H1316" s="22" t="str">
        <f t="shared" si="4"/>
        <v/>
      </c>
      <c r="I1316" s="22" t="str">
        <f t="shared" si="1"/>
        <v>#N/A</v>
      </c>
      <c r="J1316" s="22" t="str">
        <f t="shared" si="2"/>
        <v>#N/A</v>
      </c>
      <c r="K1316" s="22" t="str">
        <f t="shared" si="8"/>
        <v/>
      </c>
    </row>
    <row r="1317" ht="15.75" customHeight="1">
      <c r="A1317" s="32">
        <f>'EQUITY BACKTEST'!A1320</f>
        <v>45387.66667</v>
      </c>
      <c r="B1317" s="22">
        <f>'EQUITY BACKTEST'!B1320</f>
        <v>5204.34</v>
      </c>
      <c r="C1317" s="22">
        <f>1/'EQUITY BACKTEST'!E1320</f>
        <v>0.9177679883</v>
      </c>
      <c r="D1317" s="22">
        <f t="shared" si="7"/>
        <v>0.5918411634</v>
      </c>
      <c r="E1317" s="22">
        <f t="shared" si="3"/>
        <v>-0.009517828085</v>
      </c>
      <c r="F1317" s="22">
        <f t="shared" si="6"/>
        <v>0.2677989389</v>
      </c>
      <c r="H1317" s="22" t="str">
        <f t="shared" si="4"/>
        <v/>
      </c>
      <c r="I1317" s="22" t="str">
        <f t="shared" si="1"/>
        <v>#N/A</v>
      </c>
      <c r="J1317" s="22" t="str">
        <f t="shared" si="2"/>
        <v>#N/A</v>
      </c>
      <c r="K1317" s="22" t="str">
        <f t="shared" si="8"/>
        <v/>
      </c>
    </row>
    <row r="1318" ht="15.75" customHeight="1">
      <c r="A1318" s="32">
        <f>'EQUITY BACKTEST'!A1321</f>
        <v>45394.66667</v>
      </c>
      <c r="B1318" s="22">
        <f>'EQUITY BACKTEST'!B1321</f>
        <v>5123.41</v>
      </c>
      <c r="C1318" s="22">
        <f>1/'EQUITY BACKTEST'!E1321</f>
        <v>0.9207255317</v>
      </c>
      <c r="D1318" s="22">
        <f t="shared" si="7"/>
        <v>0.58825907</v>
      </c>
      <c r="E1318" s="22">
        <f t="shared" si="3"/>
        <v>-0.01555048287</v>
      </c>
      <c r="F1318" s="22">
        <f t="shared" si="6"/>
        <v>0.2382445065</v>
      </c>
      <c r="H1318" s="22" t="str">
        <f t="shared" si="4"/>
        <v/>
      </c>
      <c r="I1318" s="22" t="str">
        <f t="shared" si="1"/>
        <v>#N/A</v>
      </c>
      <c r="J1318" s="22" t="str">
        <f t="shared" si="2"/>
        <v>#N/A</v>
      </c>
      <c r="K1318" s="22" t="str">
        <f t="shared" si="8"/>
        <v/>
      </c>
    </row>
    <row r="1319" ht="15.75" customHeight="1">
      <c r="A1319" s="32">
        <f>'EQUITY BACKTEST'!A1322</f>
        <v>45401.66667</v>
      </c>
      <c r="B1319" s="22">
        <f>'EQUITY BACKTEST'!B1322</f>
        <v>4967.23</v>
      </c>
      <c r="C1319" s="22">
        <f>1/'EQUITY BACKTEST'!E1322</f>
        <v>0.9260116677</v>
      </c>
      <c r="D1319" s="22">
        <f t="shared" si="7"/>
        <v>0.5894056789</v>
      </c>
      <c r="E1319" s="22">
        <f t="shared" si="3"/>
        <v>-0.03048360369</v>
      </c>
      <c r="F1319" s="22">
        <f t="shared" si="6"/>
        <v>0.2016949235</v>
      </c>
      <c r="H1319" s="22" t="str">
        <f t="shared" si="4"/>
        <v/>
      </c>
      <c r="I1319" s="22" t="str">
        <f t="shared" si="1"/>
        <v>#N/A</v>
      </c>
      <c r="J1319" s="22" t="str">
        <f t="shared" si="2"/>
        <v>#N/A</v>
      </c>
      <c r="K1319" s="22" t="str">
        <f t="shared" si="8"/>
        <v/>
      </c>
    </row>
    <row r="1320" ht="15.75" customHeight="1">
      <c r="A1320" s="32">
        <f>'EQUITY BACKTEST'!A1323</f>
        <v>45408.66667</v>
      </c>
      <c r="B1320" s="22">
        <f>'EQUITY BACKTEST'!B1323</f>
        <v>5099.96</v>
      </c>
      <c r="C1320" s="22">
        <f>1/'EQUITY BACKTEST'!E1323</f>
        <v>0.9218289086</v>
      </c>
      <c r="D1320" s="22">
        <f t="shared" si="7"/>
        <v>0.6139727599</v>
      </c>
      <c r="E1320" s="22">
        <f t="shared" si="3"/>
        <v>0.02672113029</v>
      </c>
      <c r="F1320" s="22">
        <f t="shared" si="6"/>
        <v>0.2231645193</v>
      </c>
      <c r="H1320" s="22" t="str">
        <f t="shared" si="4"/>
        <v/>
      </c>
      <c r="I1320" s="22" t="str">
        <f t="shared" si="1"/>
        <v>#N/A</v>
      </c>
      <c r="J1320" s="22" t="str">
        <f t="shared" si="2"/>
        <v>#N/A</v>
      </c>
      <c r="K1320" s="22" t="str">
        <f t="shared" si="8"/>
        <v/>
      </c>
    </row>
    <row r="1321" ht="15.75" customHeight="1">
      <c r="A1321" s="32">
        <f>'EQUITY BACKTEST'!A1324</f>
        <v>45415.66667</v>
      </c>
      <c r="B1321" s="22">
        <f>'EQUITY BACKTEST'!B1324</f>
        <v>5127.79</v>
      </c>
      <c r="C1321" s="22">
        <f>1/'EQUITY BACKTEST'!E1324</f>
        <v>0.9372071228</v>
      </c>
      <c r="D1321" s="22">
        <f t="shared" si="7"/>
        <v>0.6255663481</v>
      </c>
      <c r="E1321" s="22">
        <f t="shared" si="3"/>
        <v>0.005456905544</v>
      </c>
      <c r="F1321" s="22">
        <f t="shared" si="6"/>
        <v>0.2397195527</v>
      </c>
      <c r="H1321" s="22" t="str">
        <f t="shared" si="4"/>
        <v/>
      </c>
      <c r="I1321" s="22" t="str">
        <f t="shared" si="1"/>
        <v>#N/A</v>
      </c>
      <c r="J1321" s="22" t="str">
        <f t="shared" si="2"/>
        <v>#N/A</v>
      </c>
      <c r="K1321" s="22" t="str">
        <f t="shared" si="8"/>
        <v/>
      </c>
    </row>
    <row r="1322" ht="15.75" customHeight="1">
      <c r="A1322" s="32">
        <f>'EQUITY BACKTEST'!A1325</f>
        <v>45422.66667</v>
      </c>
      <c r="B1322" s="22">
        <f>'EQUITY BACKTEST'!B1325</f>
        <v>5222.68</v>
      </c>
      <c r="C1322" s="22">
        <f>1/'EQUITY BACKTEST'!E1325</f>
        <v>0.9372949667</v>
      </c>
      <c r="D1322" s="22">
        <f t="shared" si="7"/>
        <v>0.6529974307</v>
      </c>
      <c r="E1322" s="22">
        <f t="shared" si="3"/>
        <v>0.01850504798</v>
      </c>
      <c r="F1322" s="22">
        <f t="shared" si="6"/>
        <v>0.266386685</v>
      </c>
      <c r="H1322" s="22" t="str">
        <f t="shared" si="4"/>
        <v/>
      </c>
      <c r="I1322" s="22" t="str">
        <f t="shared" si="1"/>
        <v>#N/A</v>
      </c>
      <c r="J1322" s="22" t="str">
        <f t="shared" si="2"/>
        <v>#N/A</v>
      </c>
      <c r="K1322" s="22" t="str">
        <f t="shared" si="8"/>
        <v/>
      </c>
    </row>
    <row r="1323" ht="15.75" customHeight="1">
      <c r="A1323" s="32">
        <f>'EQUITY BACKTEST'!A1326</f>
        <v>45429.66667</v>
      </c>
      <c r="B1323" s="22">
        <f>'EQUITY BACKTEST'!B1326</f>
        <v>5303.27</v>
      </c>
      <c r="C1323" s="22">
        <f>1/'EQUITY BACKTEST'!E1326</f>
        <v>0.9350163628</v>
      </c>
      <c r="D1323" s="22">
        <f t="shared" si="7"/>
        <v>0.6721681703</v>
      </c>
      <c r="E1323" s="22">
        <f t="shared" si="3"/>
        <v>0.015430775</v>
      </c>
      <c r="F1323" s="22">
        <f t="shared" si="6"/>
        <v>0.2650990701</v>
      </c>
      <c r="H1323" s="22" t="str">
        <f t="shared" si="4"/>
        <v/>
      </c>
      <c r="I1323" s="22" t="str">
        <f t="shared" si="1"/>
        <v>#N/A</v>
      </c>
      <c r="J1323" s="22" t="str">
        <f t="shared" si="2"/>
        <v>#N/A</v>
      </c>
      <c r="K1323" s="22" t="str">
        <f t="shared" si="8"/>
        <v/>
      </c>
    </row>
    <row r="1324" ht="15.75" customHeight="1">
      <c r="A1324" s="32">
        <f>'EQUITY BACKTEST'!A1327</f>
        <v>45436.66667</v>
      </c>
      <c r="B1324" s="22">
        <f>'EQUITY BACKTEST'!B1327</f>
        <v>5304.72</v>
      </c>
      <c r="C1324" s="22">
        <f>1/'EQUITY BACKTEST'!E1327</f>
        <v>0.9284189026</v>
      </c>
      <c r="D1324" s="22">
        <f t="shared" si="7"/>
        <v>0.6822598323</v>
      </c>
      <c r="E1324" s="22">
        <f t="shared" si="3"/>
        <v>0.000273416213</v>
      </c>
      <c r="F1324" s="22">
        <f t="shared" si="6"/>
        <v>0.2613917654</v>
      </c>
      <c r="H1324" s="22" t="str">
        <f t="shared" si="4"/>
        <v/>
      </c>
      <c r="I1324" s="22" t="str">
        <f t="shared" si="1"/>
        <v>#N/A</v>
      </c>
      <c r="J1324" s="22" t="str">
        <f t="shared" si="2"/>
        <v>#N/A</v>
      </c>
      <c r="K1324" s="22" t="str">
        <f t="shared" si="8"/>
        <v/>
      </c>
    </row>
    <row r="1325" ht="15.75" customHeight="1">
      <c r="A1325" s="32">
        <f>'EQUITY BACKTEST'!A1328</f>
        <v>45443.66667</v>
      </c>
      <c r="B1325" s="22">
        <f>'EQUITY BACKTEST'!B1328</f>
        <v>5277.51</v>
      </c>
      <c r="C1325" s="22">
        <f>1/'EQUITY BACKTEST'!E1328</f>
        <v>0.9271277582</v>
      </c>
      <c r="D1325" s="22">
        <f t="shared" si="7"/>
        <v>0.6907141288</v>
      </c>
      <c r="E1325" s="22">
        <f t="shared" si="3"/>
        <v>-0.0051293942</v>
      </c>
      <c r="F1325" s="22">
        <f t="shared" si="6"/>
        <v>0.2323806677</v>
      </c>
      <c r="H1325" s="22" t="str">
        <f t="shared" si="4"/>
        <v/>
      </c>
      <c r="I1325" s="22" t="str">
        <f t="shared" si="1"/>
        <v>#N/A</v>
      </c>
      <c r="J1325" s="22" t="str">
        <f t="shared" si="2"/>
        <v>#N/A</v>
      </c>
      <c r="K1325" s="22" t="str">
        <f t="shared" si="8"/>
        <v/>
      </c>
    </row>
    <row r="1326" ht="15.75" customHeight="1">
      <c r="A1326" s="32">
        <f>'EQUITY BACKTEST'!A1329</f>
        <v>45450.66667</v>
      </c>
      <c r="B1326" s="22">
        <f>'EQUITY BACKTEST'!B1329</f>
        <v>5346.99</v>
      </c>
      <c r="C1326" s="22">
        <f>1/'EQUITY BACKTEST'!E1329</f>
        <v>0.9183579759</v>
      </c>
      <c r="D1326" s="22">
        <f t="shared" si="7"/>
        <v>0.7064396967</v>
      </c>
      <c r="E1326" s="22">
        <f t="shared" si="3"/>
        <v>0.01316529954</v>
      </c>
      <c r="F1326" s="22">
        <f t="shared" si="6"/>
        <v>0.2438158023</v>
      </c>
      <c r="H1326" s="22" t="str">
        <f t="shared" si="4"/>
        <v/>
      </c>
      <c r="I1326" s="22" t="str">
        <f t="shared" si="1"/>
        <v>#N/A</v>
      </c>
      <c r="J1326" s="22" t="str">
        <f t="shared" si="2"/>
        <v>#N/A</v>
      </c>
      <c r="K1326" s="22" t="str">
        <f t="shared" si="8"/>
        <v/>
      </c>
    </row>
    <row r="1327" ht="15.75" customHeight="1">
      <c r="A1327" s="32">
        <f>'EQUITY BACKTEST'!A1330</f>
        <v>45457.66667</v>
      </c>
      <c r="B1327" s="22">
        <f>'EQUITY BACKTEST'!B1330</f>
        <v>5431.6</v>
      </c>
      <c r="C1327" s="22">
        <f>1/'EQUITY BACKTEST'!E1330</f>
        <v>0.9219138932</v>
      </c>
      <c r="D1327" s="22">
        <f t="shared" si="7"/>
        <v>0.7095652373</v>
      </c>
      <c r="E1327" s="22">
        <f t="shared" si="3"/>
        <v>0.01582385604</v>
      </c>
      <c r="F1327" s="22">
        <f t="shared" si="6"/>
        <v>0.2317698471</v>
      </c>
      <c r="H1327" s="22" t="str">
        <f t="shared" si="4"/>
        <v/>
      </c>
      <c r="I1327" s="22" t="str">
        <f t="shared" si="1"/>
        <v>#N/A</v>
      </c>
      <c r="J1327" s="22" t="str">
        <f t="shared" si="2"/>
        <v>#N/A</v>
      </c>
      <c r="K1327" s="22" t="str">
        <f t="shared" si="8"/>
        <v/>
      </c>
    </row>
    <row r="1328" ht="15.75" customHeight="1">
      <c r="A1328" s="32">
        <f>'EQUITY BACKTEST'!A1331</f>
        <v>45464.66667</v>
      </c>
      <c r="B1328" s="22">
        <f>'EQUITY BACKTEST'!B1331</f>
        <v>5464.62</v>
      </c>
      <c r="C1328" s="22">
        <f>1/'EQUITY BACKTEST'!E1331</f>
        <v>0.9212344542</v>
      </c>
      <c r="D1328" s="22">
        <f t="shared" si="7"/>
        <v>0.7072197795</v>
      </c>
      <c r="E1328" s="22">
        <f t="shared" si="3"/>
        <v>0.006079240003</v>
      </c>
      <c r="F1328" s="22">
        <f t="shared" si="6"/>
        <v>0.2567169465</v>
      </c>
      <c r="H1328" s="22" t="str">
        <f t="shared" si="4"/>
        <v/>
      </c>
      <c r="I1328" s="22" t="str">
        <f t="shared" si="1"/>
        <v>#N/A</v>
      </c>
      <c r="J1328" s="22" t="str">
        <f t="shared" si="2"/>
        <v>#N/A</v>
      </c>
      <c r="K1328" s="22" t="str">
        <f t="shared" si="8"/>
        <v/>
      </c>
    </row>
    <row r="1329" ht="15.75" customHeight="1">
      <c r="A1329" s="32">
        <f>'EQUITY BACKTEST'!A1332</f>
        <v>45471.66667</v>
      </c>
      <c r="B1329" s="22">
        <f>'EQUITY BACKTEST'!B1332</f>
        <v>5460.48</v>
      </c>
      <c r="C1329" s="22">
        <f>1/'EQUITY BACKTEST'!E1332</f>
        <v>0.9254974549</v>
      </c>
      <c r="D1329" s="22">
        <f t="shared" si="7"/>
        <v>0.7026496137</v>
      </c>
      <c r="E1329" s="22">
        <f t="shared" si="3"/>
        <v>-0.0007576007115</v>
      </c>
      <c r="F1329" s="22">
        <f t="shared" si="6"/>
        <v>0.2269693824</v>
      </c>
      <c r="H1329" s="22" t="str">
        <f t="shared" si="4"/>
        <v/>
      </c>
      <c r="I1329" s="22" t="str">
        <f t="shared" si="1"/>
        <v>#N/A</v>
      </c>
      <c r="J1329" s="22" t="str">
        <f t="shared" si="2"/>
        <v>#N/A</v>
      </c>
      <c r="K1329" s="22" t="str">
        <f t="shared" si="8"/>
        <v/>
      </c>
    </row>
    <row r="1330" ht="15.75" customHeight="1">
      <c r="A1330" s="32">
        <f>'EQUITY BACKTEST'!A1333</f>
        <v>45478.66667</v>
      </c>
      <c r="B1330" s="22">
        <f>'EQUITY BACKTEST'!B1333</f>
        <v>5567.19</v>
      </c>
      <c r="C1330" s="22">
        <f>1/'EQUITY BACKTEST'!E1333</f>
        <v>0.9331840239</v>
      </c>
      <c r="D1330" s="22">
        <f t="shared" si="7"/>
        <v>0.6994127032</v>
      </c>
      <c r="E1330" s="22">
        <f t="shared" si="3"/>
        <v>0.01954223805</v>
      </c>
      <c r="F1330" s="22">
        <f t="shared" si="6"/>
        <v>0.2655724662</v>
      </c>
      <c r="H1330" s="22" t="str">
        <f t="shared" si="4"/>
        <v/>
      </c>
      <c r="I1330" s="22" t="str">
        <f t="shared" si="1"/>
        <v>#N/A</v>
      </c>
      <c r="J1330" s="22" t="str">
        <f t="shared" si="2"/>
        <v>#N/A</v>
      </c>
      <c r="K1330" s="22" t="str">
        <f t="shared" si="8"/>
        <v/>
      </c>
    </row>
    <row r="1331" ht="15.75" customHeight="1">
      <c r="A1331" s="32">
        <f>'EQUITY BACKTEST'!A1334</f>
        <v>45485.66667</v>
      </c>
      <c r="B1331" s="22">
        <f>'EQUITY BACKTEST'!B1334</f>
        <v>5615.35</v>
      </c>
      <c r="C1331" s="22">
        <f>1/'EQUITY BACKTEST'!E1334</f>
        <v>0.9353661959</v>
      </c>
      <c r="D1331" s="22">
        <f t="shared" si="7"/>
        <v>0.6961298515</v>
      </c>
      <c r="E1331" s="22">
        <f t="shared" si="3"/>
        <v>0.008650683738</v>
      </c>
      <c r="F1331" s="22">
        <f t="shared" si="6"/>
        <v>0.2463543909</v>
      </c>
      <c r="H1331" s="22" t="str">
        <f t="shared" si="4"/>
        <v/>
      </c>
      <c r="I1331" s="22" t="str">
        <f t="shared" si="1"/>
        <v>#N/A</v>
      </c>
      <c r="J1331" s="22" t="str">
        <f t="shared" si="2"/>
        <v>#N/A</v>
      </c>
      <c r="K1331" s="22" t="str">
        <f t="shared" si="8"/>
        <v/>
      </c>
    </row>
    <row r="1332" ht="15.75" customHeight="1">
      <c r="A1332" s="32">
        <f>'EQUITY BACKTEST'!A1335</f>
        <v>45492.66667</v>
      </c>
      <c r="B1332" s="22">
        <f>'EQUITY BACKTEST'!B1335</f>
        <v>5505</v>
      </c>
      <c r="C1332" s="22">
        <f>1/'EQUITY BACKTEST'!E1335</f>
        <v>0.9329228473</v>
      </c>
      <c r="D1332" s="22">
        <f t="shared" si="7"/>
        <v>0.6954794379</v>
      </c>
      <c r="E1332" s="22">
        <f t="shared" si="3"/>
        <v>-0.019651491</v>
      </c>
      <c r="F1332" s="22">
        <f t="shared" si="6"/>
        <v>0.2135333771</v>
      </c>
      <c r="H1332" s="22" t="str">
        <f t="shared" si="4"/>
        <v/>
      </c>
      <c r="I1332" s="22" t="str">
        <f t="shared" si="1"/>
        <v>#N/A</v>
      </c>
      <c r="J1332" s="22" t="str">
        <f t="shared" si="2"/>
        <v>#N/A</v>
      </c>
      <c r="K1332" s="22" t="str">
        <f t="shared" si="8"/>
        <v/>
      </c>
    </row>
    <row r="1333" ht="15.75" customHeight="1">
      <c r="A1333" s="32">
        <f>'EQUITY BACKTEST'!A1336</f>
        <v>45499.66667</v>
      </c>
      <c r="B1333" s="22">
        <f>'EQUITY BACKTEST'!B1336</f>
        <v>5459.1</v>
      </c>
      <c r="C1333" s="22">
        <f>1/'EQUITY BACKTEST'!E1336</f>
        <v>0.9225943353</v>
      </c>
      <c r="D1333" s="22">
        <f t="shared" si="7"/>
        <v>0.691029185</v>
      </c>
      <c r="E1333" s="22">
        <f t="shared" si="3"/>
        <v>-0.008337874659</v>
      </c>
      <c r="F1333" s="22">
        <f t="shared" si="6"/>
        <v>0.1913631572</v>
      </c>
      <c r="H1333" s="22" t="str">
        <f t="shared" si="4"/>
        <v/>
      </c>
      <c r="I1333" s="22" t="str">
        <f t="shared" si="1"/>
        <v>#N/A</v>
      </c>
      <c r="J1333" s="22" t="str">
        <f t="shared" si="2"/>
        <v>#N/A</v>
      </c>
      <c r="K1333" s="22" t="str">
        <f t="shared" si="8"/>
        <v/>
      </c>
    </row>
    <row r="1334" ht="15.75" customHeight="1">
      <c r="A1334" s="32">
        <f>'EQUITY BACKTEST'!A1337</f>
        <v>45506.66667</v>
      </c>
      <c r="B1334" s="22">
        <f>'EQUITY BACKTEST'!B1337</f>
        <v>5346.56</v>
      </c>
      <c r="C1334" s="22">
        <f>1/'EQUITY BACKTEST'!E1337</f>
        <v>0.9158347834</v>
      </c>
      <c r="D1334" s="22">
        <f t="shared" si="7"/>
        <v>0.6836536204</v>
      </c>
      <c r="E1334" s="22">
        <f t="shared" si="3"/>
        <v>-0.02061511971</v>
      </c>
      <c r="F1334" s="22">
        <f t="shared" si="6"/>
        <v>0.1939535912</v>
      </c>
      <c r="H1334" s="22" t="str">
        <f t="shared" si="4"/>
        <v/>
      </c>
      <c r="I1334" s="22" t="str">
        <f t="shared" si="1"/>
        <v>#N/A</v>
      </c>
      <c r="J1334" s="22" t="str">
        <f t="shared" si="2"/>
        <v>#N/A</v>
      </c>
      <c r="K1334" s="22" t="str">
        <f t="shared" si="8"/>
        <v/>
      </c>
    </row>
    <row r="1335" ht="15.75" customHeight="1">
      <c r="A1335" s="32">
        <f>'EQUITY BACKTEST'!A1338</f>
        <v>45513.66667</v>
      </c>
      <c r="B1335" s="22">
        <f>'EQUITY BACKTEST'!B1338</f>
        <v>5344.16</v>
      </c>
      <c r="C1335" s="22">
        <f>1/'EQUITY BACKTEST'!E1338</f>
        <v>0.9182736455</v>
      </c>
      <c r="D1335" s="22">
        <f t="shared" si="7"/>
        <v>0.6890101857</v>
      </c>
      <c r="E1335" s="22">
        <f t="shared" si="3"/>
        <v>-0.0004488867608</v>
      </c>
      <c r="F1335" s="22">
        <f t="shared" si="6"/>
        <v>0.1971550498</v>
      </c>
      <c r="H1335" s="22" t="str">
        <f t="shared" si="4"/>
        <v/>
      </c>
      <c r="I1335" s="22" t="str">
        <f t="shared" si="1"/>
        <v>#N/A</v>
      </c>
      <c r="J1335" s="22" t="str">
        <f t="shared" si="2"/>
        <v>#N/A</v>
      </c>
      <c r="K1335" s="22" t="str">
        <f t="shared" si="8"/>
        <v/>
      </c>
    </row>
    <row r="1336" ht="15.75" customHeight="1">
      <c r="A1336" s="32">
        <f>'EQUITY BACKTEST'!A1339</f>
        <v>45520.66667</v>
      </c>
      <c r="B1336" s="22">
        <f>'EQUITY BACKTEST'!B1339</f>
        <v>5554.25</v>
      </c>
      <c r="C1336" s="22">
        <f>1/'EQUITY BACKTEST'!E1339</f>
        <v>0.9199632015</v>
      </c>
      <c r="D1336" s="22">
        <f t="shared" si="7"/>
        <v>0.7195037881</v>
      </c>
      <c r="E1336" s="22">
        <f t="shared" si="3"/>
        <v>0.03931207149</v>
      </c>
      <c r="F1336" s="22">
        <f t="shared" si="6"/>
        <v>0.2710797742</v>
      </c>
      <c r="H1336" s="22" t="str">
        <f t="shared" si="4"/>
        <v/>
      </c>
      <c r="I1336" s="22" t="str">
        <f t="shared" si="1"/>
        <v>#N/A</v>
      </c>
      <c r="J1336" s="22" t="str">
        <f t="shared" si="2"/>
        <v>#N/A</v>
      </c>
      <c r="K1336" s="22" t="str">
        <f t="shared" si="8"/>
        <v/>
      </c>
    </row>
    <row r="1337" ht="15.75" customHeight="1">
      <c r="A1337" s="32">
        <f>'EQUITY BACKTEST'!A1340</f>
        <v>45527.66667</v>
      </c>
      <c r="B1337" s="22">
        <f>'EQUITY BACKTEST'!B1340</f>
        <v>5634.61</v>
      </c>
      <c r="C1337" s="22">
        <f>1/'EQUITY BACKTEST'!E1340</f>
        <v>0.9161704077</v>
      </c>
      <c r="D1337" s="22">
        <f t="shared" si="7"/>
        <v>0.7061607792</v>
      </c>
      <c r="E1337" s="22">
        <f t="shared" si="3"/>
        <v>0.01446820003</v>
      </c>
      <c r="F1337" s="22">
        <f t="shared" si="6"/>
        <v>0.278933475</v>
      </c>
      <c r="H1337" s="22" t="str">
        <f t="shared" si="4"/>
        <v/>
      </c>
      <c r="I1337" s="22" t="str">
        <f t="shared" si="1"/>
        <v>#N/A</v>
      </c>
      <c r="J1337" s="22" t="str">
        <f t="shared" si="2"/>
        <v>#N/A</v>
      </c>
      <c r="K1337" s="22" t="str">
        <f t="shared" si="8"/>
        <v/>
      </c>
    </row>
    <row r="1338" ht="15.75" customHeight="1">
      <c r="A1338" s="32">
        <f>'EQUITY BACKTEST'!A1341</f>
        <v>45534.66667</v>
      </c>
      <c r="B1338" s="22">
        <f>'EQUITY BACKTEST'!B1341</f>
        <v>5648.4</v>
      </c>
      <c r="C1338" s="22">
        <f>1/'EQUITY BACKTEST'!E1341</f>
        <v>0.9154155987</v>
      </c>
      <c r="D1338" s="22">
        <f t="shared" si="7"/>
        <v>0.6907987904</v>
      </c>
      <c r="E1338" s="22">
        <f t="shared" si="3"/>
        <v>0.002447374352</v>
      </c>
      <c r="F1338" s="22">
        <f t="shared" si="6"/>
        <v>0.2508165828</v>
      </c>
      <c r="H1338" s="22" t="str">
        <f t="shared" si="4"/>
        <v/>
      </c>
      <c r="I1338" s="22" t="str">
        <f t="shared" si="1"/>
        <v>#N/A</v>
      </c>
      <c r="J1338" s="22" t="str">
        <f t="shared" si="2"/>
        <v>#N/A</v>
      </c>
      <c r="K1338" s="22" t="str">
        <f t="shared" si="8"/>
        <v/>
      </c>
    </row>
    <row r="1339" ht="15.75" customHeight="1">
      <c r="A1339" s="32">
        <f>'EQUITY BACKTEST'!A1342</f>
        <v>45541.66667</v>
      </c>
      <c r="B1339" s="22">
        <f>'EQUITY BACKTEST'!B1342</f>
        <v>5408.42</v>
      </c>
      <c r="C1339" s="22">
        <f>1/'EQUITY BACKTEST'!E1342</f>
        <v>0.9066183137</v>
      </c>
      <c r="D1339" s="22">
        <f t="shared" si="7"/>
        <v>0.673899049</v>
      </c>
      <c r="E1339" s="22">
        <f t="shared" si="3"/>
        <v>-0.04248636782</v>
      </c>
      <c r="F1339" s="22">
        <f t="shared" si="6"/>
        <v>0.2133330641</v>
      </c>
      <c r="H1339" s="22" t="str">
        <f t="shared" si="4"/>
        <v/>
      </c>
      <c r="I1339" s="22" t="str">
        <f t="shared" si="1"/>
        <v>#N/A</v>
      </c>
      <c r="J1339" s="22" t="str">
        <f t="shared" si="2"/>
        <v>#N/A</v>
      </c>
      <c r="K1339" s="22" t="str">
        <f t="shared" si="8"/>
        <v/>
      </c>
    </row>
    <row r="1340" ht="15.75" customHeight="1">
      <c r="A1340" s="32">
        <f>'EQUITY BACKTEST'!A1343</f>
        <v>45548.66667</v>
      </c>
      <c r="B1340" s="22">
        <f>'EQUITY BACKTEST'!B1343</f>
        <v>5626.02</v>
      </c>
      <c r="C1340" s="22">
        <f>1/'EQUITY BACKTEST'!E1343</f>
        <v>0.8934953538</v>
      </c>
      <c r="D1340" s="22">
        <f t="shared" si="7"/>
        <v>0.6898060474</v>
      </c>
      <c r="E1340" s="22">
        <f t="shared" si="3"/>
        <v>0.04023356174</v>
      </c>
      <c r="F1340" s="22">
        <f t="shared" si="6"/>
        <v>0.2641832497</v>
      </c>
      <c r="H1340" s="22" t="str">
        <f t="shared" si="4"/>
        <v/>
      </c>
      <c r="I1340" s="22" t="str">
        <f t="shared" si="1"/>
        <v>#N/A</v>
      </c>
      <c r="J1340" s="22" t="str">
        <f t="shared" si="2"/>
        <v>#N/A</v>
      </c>
      <c r="K1340" s="22" t="str">
        <f t="shared" si="8"/>
        <v/>
      </c>
    </row>
    <row r="1341" ht="15.75" customHeight="1">
      <c r="A1341" s="32">
        <f>'EQUITY BACKTEST'!A1344</f>
        <v>45555.66667</v>
      </c>
      <c r="B1341" s="22">
        <f>'EQUITY BACKTEST'!B1344</f>
        <v>5702.55</v>
      </c>
      <c r="C1341" s="22">
        <f>1/'EQUITY BACKTEST'!E1344</f>
        <v>0.9042408898</v>
      </c>
      <c r="D1341" s="22">
        <f t="shared" si="7"/>
        <v>0.6011086728</v>
      </c>
      <c r="E1341" s="22">
        <f t="shared" si="3"/>
        <v>0.01360286668</v>
      </c>
      <c r="F1341" s="22">
        <f t="shared" si="6"/>
        <v>0.3200163887</v>
      </c>
      <c r="H1341" s="22" t="str">
        <f t="shared" si="4"/>
        <v/>
      </c>
      <c r="I1341" s="22" t="str">
        <f t="shared" si="1"/>
        <v>#N/A</v>
      </c>
      <c r="J1341" s="22" t="str">
        <f t="shared" si="2"/>
        <v>#N/A</v>
      </c>
      <c r="K1341" s="22" t="str">
        <f t="shared" si="8"/>
        <v/>
      </c>
    </row>
    <row r="1342" ht="15.75" customHeight="1">
      <c r="A1342" s="32">
        <f>'EQUITY BACKTEST'!A1345</f>
        <v>45562.66667</v>
      </c>
      <c r="B1342" s="22">
        <f>'EQUITY BACKTEST'!B1345</f>
        <v>5738.17</v>
      </c>
      <c r="C1342" s="22">
        <f>1/'EQUITY BACKTEST'!E1345</f>
        <v>0.9018759019</v>
      </c>
      <c r="D1342" s="22">
        <f t="shared" si="7"/>
        <v>0.4956580802</v>
      </c>
      <c r="E1342" s="22">
        <f t="shared" si="3"/>
        <v>0.006246328397</v>
      </c>
      <c r="F1342" s="22">
        <f t="shared" si="6"/>
        <v>0.3381770269</v>
      </c>
      <c r="H1342" s="22" t="str">
        <f t="shared" si="4"/>
        <v/>
      </c>
      <c r="I1342" s="22" t="str">
        <f t="shared" si="1"/>
        <v>#N/A</v>
      </c>
      <c r="J1342" s="22" t="str">
        <f t="shared" si="2"/>
        <v>#N/A</v>
      </c>
      <c r="K1342" s="22" t="str">
        <f t="shared" si="8"/>
        <v/>
      </c>
    </row>
    <row r="1343" ht="15.75" customHeight="1">
      <c r="A1343" s="32">
        <f>'EQUITY BACKTEST'!A1346</f>
        <v>45569.66667</v>
      </c>
      <c r="B1343" s="22">
        <f>'EQUITY BACKTEST'!B1346</f>
        <v>5751.07</v>
      </c>
      <c r="C1343" s="22">
        <f>1/'EQUITY BACKTEST'!E1346</f>
        <v>0.9024456277</v>
      </c>
      <c r="D1343" s="22">
        <f t="shared" si="7"/>
        <v>0.3546832756</v>
      </c>
      <c r="E1343" s="22">
        <f t="shared" si="3"/>
        <v>0.002248103489</v>
      </c>
      <c r="F1343" s="22">
        <f t="shared" si="6"/>
        <v>0.3348195428</v>
      </c>
      <c r="H1343" s="22" t="str">
        <f t="shared" si="4"/>
        <v/>
      </c>
      <c r="I1343" s="22" t="str">
        <f t="shared" si="1"/>
        <v>#N/A</v>
      </c>
      <c r="J1343" s="22" t="str">
        <f t="shared" si="2"/>
        <v>#N/A</v>
      </c>
      <c r="K1343" s="22" t="str">
        <f t="shared" si="8"/>
        <v/>
      </c>
    </row>
    <row r="1344" ht="15.75" customHeight="1">
      <c r="A1344" s="32">
        <f>'EQUITY BACKTEST'!A1347</f>
        <v>45576.66667</v>
      </c>
      <c r="B1344" s="22">
        <f>'EQUITY BACKTEST'!B1347</f>
        <v>5815.03</v>
      </c>
      <c r="C1344" s="22">
        <f>'EQUITY BACKTEST'!E1347</f>
        <v>1.1169</v>
      </c>
      <c r="I1344" s="22" t="str">
        <f t="shared" si="1"/>
        <v>#N/A</v>
      </c>
      <c r="J1344" s="22" t="str">
        <f t="shared" si="2"/>
        <v>#N/A</v>
      </c>
      <c r="K1344" s="22" t="str">
        <f t="shared" si="8"/>
        <v/>
      </c>
    </row>
    <row r="1345" ht="15.75" customHeight="1">
      <c r="A1345" s="32">
        <f>'EQUITY BACKTEST'!A1348</f>
        <v>45583.66667</v>
      </c>
      <c r="B1345" s="22">
        <f>'EQUITY BACKTEST'!B1348</f>
        <v>5864.67</v>
      </c>
      <c r="C1345" s="22">
        <f>'EQUITY BACKTEST'!E1348</f>
        <v>1.117</v>
      </c>
      <c r="I1345" s="22" t="str">
        <f t="shared" si="1"/>
        <v>#N/A</v>
      </c>
      <c r="J1345" s="22" t="str">
        <f t="shared" si="2"/>
        <v>#N/A</v>
      </c>
      <c r="K1345" s="22" t="str">
        <f t="shared" si="8"/>
        <v/>
      </c>
    </row>
    <row r="1346" ht="15.75" customHeight="1">
      <c r="A1346" s="32">
        <f>'EQUITY BACKTEST'!A1349</f>
        <v>45590.66667</v>
      </c>
      <c r="B1346" s="22">
        <f>'EQUITY BACKTEST'!B1349</f>
        <v>5808.12</v>
      </c>
      <c r="C1346" s="22">
        <f>'EQUITY BACKTEST'!E1349</f>
        <v>1.0981</v>
      </c>
      <c r="I1346" s="22" t="str">
        <f t="shared" si="1"/>
        <v>#N/A</v>
      </c>
      <c r="J1346" s="22" t="str">
        <f t="shared" si="2"/>
        <v>#N/A</v>
      </c>
      <c r="K1346" s="22" t="str">
        <f t="shared" si="8"/>
        <v/>
      </c>
    </row>
    <row r="1347" ht="15.75" customHeight="1">
      <c r="A1347" s="32">
        <f>'EQUITY BACKTEST'!A1350</f>
        <v>45597.66667</v>
      </c>
      <c r="B1347" s="22">
        <f>'EQUITY BACKTEST'!B1350</f>
        <v>5728.8</v>
      </c>
      <c r="C1347" s="22">
        <f>'EQUITY BACKTEST'!E1350</f>
        <v>1.0943</v>
      </c>
      <c r="I1347" s="22" t="str">
        <f t="shared" si="1"/>
        <v>#N/A</v>
      </c>
      <c r="J1347" s="22" t="str">
        <f t="shared" si="2"/>
        <v>#N/A</v>
      </c>
      <c r="K1347" s="22" t="str">
        <f t="shared" si="8"/>
        <v/>
      </c>
    </row>
    <row r="1348" ht="15.75" customHeight="1">
      <c r="A1348" s="32">
        <f>'EQUITY BACKTEST'!A1351</f>
        <v>45604.66667</v>
      </c>
      <c r="B1348" s="22">
        <f>'EQUITY BACKTEST'!B1351</f>
        <v>5995.54</v>
      </c>
      <c r="C1348" s="22">
        <f>'EQUITY BACKTEST'!E1351</f>
        <v>1.087</v>
      </c>
      <c r="I1348" s="22" t="str">
        <f t="shared" si="1"/>
        <v>#N/A</v>
      </c>
      <c r="J1348" s="22" t="str">
        <f t="shared" si="2"/>
        <v>#N/A</v>
      </c>
      <c r="K1348" s="22" t="str">
        <f t="shared" si="8"/>
        <v/>
      </c>
    </row>
    <row r="1349" ht="15.75" customHeight="1">
      <c r="A1349" s="32">
        <f>'EQUITY BACKTEST'!A1352</f>
        <v>45611.66667</v>
      </c>
      <c r="B1349" s="22">
        <f>'EQUITY BACKTEST'!B1352</f>
        <v>5870.62</v>
      </c>
      <c r="C1349" s="22">
        <f>'EQUITY BACKTEST'!E1352</f>
        <v>1.0801</v>
      </c>
      <c r="I1349" s="22" t="str">
        <f t="shared" si="1"/>
        <v>#N/A</v>
      </c>
      <c r="J1349" s="22" t="str">
        <f t="shared" si="2"/>
        <v>#N/A</v>
      </c>
      <c r="K1349" s="22" t="str">
        <f t="shared" si="8"/>
        <v/>
      </c>
    </row>
    <row r="1350" ht="15.75" customHeight="1">
      <c r="A1350" s="32" t="str">
        <f>'EQUITY BACKTEST'!A1353</f>
        <v/>
      </c>
      <c r="B1350" s="22" t="str">
        <f>'EQUITY BACKTEST'!B1353</f>
        <v/>
      </c>
      <c r="C1350" s="22">
        <f>'EQUITY BACKTEST'!E1353</f>
        <v>1.0873</v>
      </c>
      <c r="I1350" s="22" t="str">
        <f t="shared" si="1"/>
        <v>#N/A</v>
      </c>
      <c r="J1350" s="22" t="str">
        <f t="shared" si="2"/>
        <v>#N/A</v>
      </c>
      <c r="K1350" s="22" t="str">
        <f t="shared" si="8"/>
        <v/>
      </c>
    </row>
    <row r="1351" ht="15.75" customHeight="1">
      <c r="A1351" s="32" t="str">
        <f>'EQUITY BACKTEST'!A1354</f>
        <v/>
      </c>
      <c r="B1351" s="22" t="str">
        <f>'EQUITY BACKTEST'!B1354</f>
        <v/>
      </c>
      <c r="C1351" s="22">
        <f>'EQUITY BACKTEST'!E1354</f>
        <v>1.0717</v>
      </c>
      <c r="I1351" s="22" t="str">
        <f t="shared" si="1"/>
        <v>#N/A</v>
      </c>
      <c r="J1351" s="22" t="str">
        <f t="shared" si="2"/>
        <v>#N/A</v>
      </c>
      <c r="K1351" s="22" t="str">
        <f t="shared" si="8"/>
        <v/>
      </c>
    </row>
    <row r="1352" ht="15.75" customHeight="1">
      <c r="A1352" s="32" t="str">
        <f>'EQUITY BACKTEST'!A1355</f>
        <v/>
      </c>
      <c r="B1352" s="22" t="str">
        <f>'EQUITY BACKTEST'!B1355</f>
        <v/>
      </c>
      <c r="C1352" s="22">
        <f>'EQUITY BACKTEST'!E1355</f>
        <v>1.05445</v>
      </c>
      <c r="I1352" s="22" t="str">
        <f t="shared" si="1"/>
        <v>#N/A</v>
      </c>
      <c r="J1352" s="22" t="str">
        <f t="shared" si="2"/>
        <v>#N/A</v>
      </c>
      <c r="K1352" s="22" t="str">
        <f t="shared" si="8"/>
        <v/>
      </c>
    </row>
    <row r="1353" ht="15.75" customHeight="1">
      <c r="A1353" s="32" t="str">
        <f>'EQUITY BACKTEST'!A1356</f>
        <v/>
      </c>
      <c r="B1353" s="22" t="str">
        <f>'EQUITY BACKTEST'!B1356</f>
        <v/>
      </c>
      <c r="C1353" s="22" t="str">
        <f>'EQUITY BACKTEST'!E1356</f>
        <v/>
      </c>
      <c r="I1353" s="22" t="str">
        <f t="shared" si="1"/>
        <v>#N/A</v>
      </c>
      <c r="J1353" s="22" t="str">
        <f t="shared" si="2"/>
        <v>#N/A</v>
      </c>
      <c r="K1353" s="22" t="str">
        <f t="shared" si="8"/>
        <v/>
      </c>
    </row>
    <row r="1354" ht="15.75" customHeight="1">
      <c r="A1354" s="32" t="str">
        <f>'EQUITY BACKTEST'!A1357</f>
        <v/>
      </c>
      <c r="B1354" s="22" t="str">
        <f>'EQUITY BACKTEST'!B1357</f>
        <v/>
      </c>
      <c r="C1354" s="22" t="str">
        <f>'EQUITY BACKTEST'!E1357</f>
        <v/>
      </c>
      <c r="I1354" s="22" t="str">
        <f t="shared" si="1"/>
        <v>#N/A</v>
      </c>
      <c r="J1354" s="22" t="str">
        <f t="shared" si="2"/>
        <v>#N/A</v>
      </c>
      <c r="K1354" s="22" t="str">
        <f t="shared" si="8"/>
        <v/>
      </c>
    </row>
    <row r="1355" ht="15.75" customHeight="1">
      <c r="A1355" s="32" t="str">
        <f>'EQUITY BACKTEST'!A1358</f>
        <v/>
      </c>
      <c r="B1355" s="22" t="str">
        <f>'EQUITY BACKTEST'!B1358</f>
        <v/>
      </c>
      <c r="C1355" s="22" t="str">
        <f>'EQUITY BACKTEST'!E1358</f>
        <v/>
      </c>
      <c r="I1355" s="22" t="str">
        <f t="shared" si="1"/>
        <v>#N/A</v>
      </c>
      <c r="J1355" s="22" t="str">
        <f t="shared" si="2"/>
        <v>#N/A</v>
      </c>
      <c r="K1355" s="22" t="str">
        <f t="shared" si="8"/>
        <v/>
      </c>
    </row>
    <row r="1356" ht="15.75" customHeight="1">
      <c r="A1356" s="32" t="str">
        <f>'EQUITY BACKTEST'!A1359</f>
        <v/>
      </c>
      <c r="B1356" s="22" t="str">
        <f>'EQUITY BACKTEST'!B1359</f>
        <v/>
      </c>
      <c r="C1356" s="22" t="str">
        <f>'EQUITY BACKTEST'!E1359</f>
        <v/>
      </c>
      <c r="I1356" s="22" t="str">
        <f t="shared" si="1"/>
        <v>#N/A</v>
      </c>
      <c r="J1356" s="22" t="str">
        <f t="shared" si="2"/>
        <v>#N/A</v>
      </c>
      <c r="K1356" s="22" t="str">
        <f t="shared" si="8"/>
        <v/>
      </c>
    </row>
    <row r="1357" ht="15.75" customHeight="1">
      <c r="A1357" s="32" t="str">
        <f>'EQUITY BACKTEST'!A1360</f>
        <v/>
      </c>
      <c r="B1357" s="22" t="str">
        <f>'EQUITY BACKTEST'!B1360</f>
        <v/>
      </c>
      <c r="C1357" s="22" t="str">
        <f>'EQUITY BACKTEST'!E1360</f>
        <v/>
      </c>
      <c r="I1357" s="22" t="str">
        <f t="shared" si="1"/>
        <v>#N/A</v>
      </c>
      <c r="J1357" s="22" t="str">
        <f t="shared" si="2"/>
        <v>#N/A</v>
      </c>
      <c r="K1357" s="22" t="str">
        <f t="shared" si="8"/>
        <v/>
      </c>
    </row>
    <row r="1358" ht="15.75" customHeight="1">
      <c r="A1358" s="32" t="str">
        <f>'EQUITY BACKTEST'!A1361</f>
        <v/>
      </c>
      <c r="B1358" s="22" t="str">
        <f>'EQUITY BACKTEST'!B1361</f>
        <v/>
      </c>
      <c r="C1358" s="22" t="str">
        <f>'EQUITY BACKTEST'!E1361</f>
        <v/>
      </c>
      <c r="I1358" s="22" t="str">
        <f t="shared" si="1"/>
        <v>#N/A</v>
      </c>
      <c r="J1358" s="22" t="str">
        <f t="shared" si="2"/>
        <v>#N/A</v>
      </c>
      <c r="K1358" s="22" t="str">
        <f t="shared" si="8"/>
        <v/>
      </c>
    </row>
    <row r="1359" ht="15.75" customHeight="1">
      <c r="A1359" s="32" t="str">
        <f>'EQUITY BACKTEST'!A1362</f>
        <v/>
      </c>
      <c r="B1359" s="22" t="str">
        <f>'EQUITY BACKTEST'!B1362</f>
        <v/>
      </c>
      <c r="C1359" s="22" t="str">
        <f>'EQUITY BACKTEST'!E1362</f>
        <v/>
      </c>
      <c r="I1359" s="22" t="str">
        <f t="shared" si="1"/>
        <v>#N/A</v>
      </c>
      <c r="J1359" s="22" t="str">
        <f t="shared" si="2"/>
        <v>#N/A</v>
      </c>
      <c r="K1359" s="22" t="str">
        <f t="shared" si="8"/>
        <v/>
      </c>
    </row>
    <row r="1360" ht="15.75" customHeight="1">
      <c r="A1360" s="32" t="str">
        <f>'EQUITY BACKTEST'!A1363</f>
        <v/>
      </c>
      <c r="B1360" s="22" t="str">
        <f>'EQUITY BACKTEST'!B1363</f>
        <v/>
      </c>
      <c r="C1360" s="22" t="str">
        <f>'EQUITY BACKTEST'!E1363</f>
        <v/>
      </c>
      <c r="I1360" s="22" t="str">
        <f t="shared" si="1"/>
        <v>#N/A</v>
      </c>
      <c r="J1360" s="22" t="str">
        <f t="shared" si="2"/>
        <v>#N/A</v>
      </c>
      <c r="K1360" s="22" t="str">
        <f t="shared" si="8"/>
        <v/>
      </c>
    </row>
    <row r="1361" ht="15.75" customHeight="1">
      <c r="A1361" s="32" t="str">
        <f>'EQUITY BACKTEST'!A1364</f>
        <v/>
      </c>
      <c r="B1361" s="22" t="str">
        <f>'EQUITY BACKTEST'!B1364</f>
        <v/>
      </c>
      <c r="C1361" s="22" t="str">
        <f>'EQUITY BACKTEST'!E1364</f>
        <v/>
      </c>
      <c r="I1361" s="22" t="str">
        <f t="shared" si="1"/>
        <v>#N/A</v>
      </c>
      <c r="J1361" s="22" t="str">
        <f t="shared" si="2"/>
        <v>#N/A</v>
      </c>
      <c r="K1361" s="22" t="str">
        <f t="shared" si="8"/>
        <v/>
      </c>
    </row>
    <row r="1362" ht="15.75" customHeight="1">
      <c r="A1362" s="32" t="str">
        <f>'EQUITY BACKTEST'!A1365</f>
        <v/>
      </c>
      <c r="B1362" s="22" t="str">
        <f>'EQUITY BACKTEST'!B1365</f>
        <v/>
      </c>
      <c r="C1362" s="22" t="str">
        <f>'EQUITY BACKTEST'!E1365</f>
        <v/>
      </c>
      <c r="I1362" s="22" t="str">
        <f t="shared" si="1"/>
        <v>#N/A</v>
      </c>
      <c r="J1362" s="22" t="str">
        <f t="shared" si="2"/>
        <v>#N/A</v>
      </c>
      <c r="K1362" s="22" t="str">
        <f t="shared" si="8"/>
        <v/>
      </c>
    </row>
    <row r="1363" ht="15.75" customHeight="1">
      <c r="A1363" s="32" t="str">
        <f>'EQUITY BACKTEST'!A1366</f>
        <v/>
      </c>
      <c r="B1363" s="22" t="str">
        <f>'EQUITY BACKTEST'!B1366</f>
        <v/>
      </c>
      <c r="C1363" s="22" t="str">
        <f>'EQUITY BACKTEST'!E1366</f>
        <v/>
      </c>
      <c r="I1363" s="22" t="str">
        <f t="shared" si="1"/>
        <v>#N/A</v>
      </c>
      <c r="J1363" s="22" t="str">
        <f t="shared" si="2"/>
        <v>#N/A</v>
      </c>
      <c r="K1363" s="22" t="str">
        <f t="shared" si="8"/>
        <v/>
      </c>
    </row>
    <row r="1364" ht="15.75" customHeight="1">
      <c r="A1364" s="32" t="str">
        <f>'EQUITY BACKTEST'!A1367</f>
        <v/>
      </c>
      <c r="B1364" s="22" t="str">
        <f>'EQUITY BACKTEST'!B1367</f>
        <v/>
      </c>
      <c r="C1364" s="22" t="str">
        <f>'EQUITY BACKTEST'!E1367</f>
        <v/>
      </c>
      <c r="I1364" s="22" t="str">
        <f t="shared" si="1"/>
        <v>#N/A</v>
      </c>
      <c r="J1364" s="22" t="str">
        <f t="shared" si="2"/>
        <v>#N/A</v>
      </c>
      <c r="K1364" s="22" t="str">
        <f t="shared" si="8"/>
        <v/>
      </c>
    </row>
    <row r="1365" ht="15.75" customHeight="1">
      <c r="A1365" s="32" t="str">
        <f>'EQUITY BACKTEST'!A1368</f>
        <v/>
      </c>
      <c r="B1365" s="22" t="str">
        <f>'EQUITY BACKTEST'!B1368</f>
        <v/>
      </c>
      <c r="C1365" s="22" t="str">
        <f>'EQUITY BACKTEST'!E1368</f>
        <v/>
      </c>
      <c r="I1365" s="22" t="str">
        <f t="shared" si="1"/>
        <v>#N/A</v>
      </c>
      <c r="J1365" s="22" t="str">
        <f t="shared" si="2"/>
        <v>#N/A</v>
      </c>
      <c r="K1365" s="22" t="str">
        <f t="shared" si="8"/>
        <v/>
      </c>
    </row>
    <row r="1366" ht="15.75" customHeight="1">
      <c r="A1366" s="32" t="str">
        <f>'EQUITY BACKTEST'!A1369</f>
        <v/>
      </c>
      <c r="B1366" s="22" t="str">
        <f>'EQUITY BACKTEST'!B1369</f>
        <v/>
      </c>
      <c r="C1366" s="22" t="str">
        <f>'EQUITY BACKTEST'!E1369</f>
        <v/>
      </c>
      <c r="I1366" s="22" t="str">
        <f t="shared" si="1"/>
        <v>#N/A</v>
      </c>
      <c r="J1366" s="22" t="str">
        <f t="shared" si="2"/>
        <v>#N/A</v>
      </c>
      <c r="K1366" s="22" t="str">
        <f t="shared" si="8"/>
        <v/>
      </c>
    </row>
    <row r="1367" ht="15.75" customHeight="1">
      <c r="A1367" s="32" t="str">
        <f>'EQUITY BACKTEST'!A1370</f>
        <v/>
      </c>
      <c r="B1367" s="22" t="str">
        <f>'EQUITY BACKTEST'!B1370</f>
        <v/>
      </c>
      <c r="C1367" s="22" t="str">
        <f>'EQUITY BACKTEST'!E1370</f>
        <v/>
      </c>
      <c r="I1367" s="22" t="str">
        <f t="shared" si="1"/>
        <v>#N/A</v>
      </c>
      <c r="J1367" s="22" t="str">
        <f t="shared" si="2"/>
        <v>#N/A</v>
      </c>
      <c r="K1367" s="22" t="str">
        <f t="shared" si="8"/>
        <v/>
      </c>
    </row>
    <row r="1368" ht="15.75" customHeight="1">
      <c r="A1368" s="32" t="str">
        <f>'EQUITY BACKTEST'!A1371</f>
        <v/>
      </c>
      <c r="B1368" s="22" t="str">
        <f>'EQUITY BACKTEST'!B1371</f>
        <v/>
      </c>
      <c r="C1368" s="22" t="str">
        <f>'EQUITY BACKTEST'!E1371</f>
        <v/>
      </c>
      <c r="I1368" s="22" t="str">
        <f t="shared" si="1"/>
        <v>#N/A</v>
      </c>
      <c r="J1368" s="22" t="str">
        <f t="shared" si="2"/>
        <v>#N/A</v>
      </c>
      <c r="K1368" s="22" t="str">
        <f t="shared" si="8"/>
        <v/>
      </c>
    </row>
    <row r="1369" ht="15.75" customHeight="1">
      <c r="A1369" s="32" t="str">
        <f>'EQUITY BACKTEST'!A1372</f>
        <v/>
      </c>
      <c r="B1369" s="22" t="str">
        <f>'EQUITY BACKTEST'!B1372</f>
        <v/>
      </c>
      <c r="C1369" s="22" t="str">
        <f>'EQUITY BACKTEST'!E1372</f>
        <v/>
      </c>
      <c r="I1369" s="22" t="str">
        <f t="shared" si="1"/>
        <v>#N/A</v>
      </c>
      <c r="J1369" s="22" t="str">
        <f t="shared" si="2"/>
        <v>#N/A</v>
      </c>
      <c r="K1369" s="22" t="str">
        <f t="shared" si="8"/>
        <v/>
      </c>
    </row>
    <row r="1370" ht="15.75" customHeight="1">
      <c r="A1370" s="32" t="str">
        <f>'EQUITY BACKTEST'!A1373</f>
        <v/>
      </c>
      <c r="B1370" s="22" t="str">
        <f>'EQUITY BACKTEST'!B1373</f>
        <v/>
      </c>
      <c r="C1370" s="22" t="str">
        <f>'EQUITY BACKTEST'!E1373</f>
        <v/>
      </c>
      <c r="I1370" s="22" t="str">
        <f t="shared" si="1"/>
        <v>#N/A</v>
      </c>
      <c r="J1370" s="22" t="str">
        <f t="shared" si="2"/>
        <v>#N/A</v>
      </c>
      <c r="K1370" s="22" t="str">
        <f t="shared" si="8"/>
        <v/>
      </c>
    </row>
    <row r="1371" ht="15.75" customHeight="1">
      <c r="A1371" s="32" t="str">
        <f>'EQUITY BACKTEST'!A1374</f>
        <v/>
      </c>
      <c r="B1371" s="22" t="str">
        <f>'EQUITY BACKTEST'!B1374</f>
        <v/>
      </c>
      <c r="C1371" s="22" t="str">
        <f>'EQUITY BACKTEST'!E1374</f>
        <v/>
      </c>
      <c r="I1371" s="22" t="str">
        <f t="shared" si="1"/>
        <v>#N/A</v>
      </c>
      <c r="J1371" s="22" t="str">
        <f t="shared" si="2"/>
        <v>#N/A</v>
      </c>
      <c r="K1371" s="22" t="str">
        <f t="shared" si="8"/>
        <v/>
      </c>
    </row>
    <row r="1372" ht="15.75" customHeight="1">
      <c r="A1372" s="32" t="str">
        <f>'EQUITY BACKTEST'!A1375</f>
        <v/>
      </c>
      <c r="B1372" s="22" t="str">
        <f>'EQUITY BACKTEST'!B1375</f>
        <v/>
      </c>
      <c r="C1372" s="22" t="str">
        <f>'EQUITY BACKTEST'!E1375</f>
        <v/>
      </c>
      <c r="I1372" s="22" t="str">
        <f t="shared" si="1"/>
        <v>#N/A</v>
      </c>
      <c r="J1372" s="22" t="str">
        <f t="shared" si="2"/>
        <v>#N/A</v>
      </c>
      <c r="K1372" s="22" t="str">
        <f t="shared" si="8"/>
        <v/>
      </c>
    </row>
    <row r="1373" ht="15.75" customHeight="1">
      <c r="A1373" s="32" t="str">
        <f>'EQUITY BACKTEST'!A1376</f>
        <v/>
      </c>
      <c r="B1373" s="22" t="str">
        <f>'EQUITY BACKTEST'!B1376</f>
        <v/>
      </c>
      <c r="C1373" s="22" t="str">
        <f>'EQUITY BACKTEST'!E1376</f>
        <v/>
      </c>
      <c r="I1373" s="22" t="str">
        <f t="shared" si="1"/>
        <v>#N/A</v>
      </c>
      <c r="J1373" s="22" t="str">
        <f t="shared" si="2"/>
        <v>#N/A</v>
      </c>
      <c r="K1373" s="22" t="str">
        <f t="shared" si="8"/>
        <v/>
      </c>
    </row>
    <row r="1374" ht="15.75" customHeight="1">
      <c r="A1374" s="32" t="str">
        <f>'EQUITY BACKTEST'!A1377</f>
        <v/>
      </c>
      <c r="B1374" s="22" t="str">
        <f>'EQUITY BACKTEST'!B1377</f>
        <v/>
      </c>
      <c r="C1374" s="22" t="str">
        <f>'EQUITY BACKTEST'!E1377</f>
        <v/>
      </c>
      <c r="I1374" s="22" t="str">
        <f t="shared" si="1"/>
        <v>#N/A</v>
      </c>
      <c r="J1374" s="22" t="str">
        <f t="shared" si="2"/>
        <v>#N/A</v>
      </c>
      <c r="K1374" s="22" t="str">
        <f t="shared" si="8"/>
        <v/>
      </c>
    </row>
    <row r="1375" ht="15.75" customHeight="1">
      <c r="A1375" s="32" t="str">
        <f>'EQUITY BACKTEST'!A1378</f>
        <v/>
      </c>
      <c r="B1375" s="22" t="str">
        <f>'EQUITY BACKTEST'!B1378</f>
        <v/>
      </c>
      <c r="C1375" s="22" t="str">
        <f>'EQUITY BACKTEST'!E1378</f>
        <v/>
      </c>
      <c r="I1375" s="22" t="str">
        <f t="shared" si="1"/>
        <v>#N/A</v>
      </c>
      <c r="J1375" s="22" t="str">
        <f t="shared" si="2"/>
        <v>#N/A</v>
      </c>
      <c r="K1375" s="22" t="str">
        <f t="shared" si="8"/>
        <v/>
      </c>
    </row>
    <row r="1376" ht="15.75" customHeight="1">
      <c r="A1376" s="32" t="str">
        <f>'EQUITY BACKTEST'!A1379</f>
        <v/>
      </c>
      <c r="B1376" s="22" t="str">
        <f>'EQUITY BACKTEST'!B1379</f>
        <v/>
      </c>
      <c r="C1376" s="22" t="str">
        <f>'EQUITY BACKTEST'!E1379</f>
        <v/>
      </c>
      <c r="I1376" s="22" t="str">
        <f t="shared" si="1"/>
        <v>#N/A</v>
      </c>
      <c r="J1376" s="22" t="str">
        <f t="shared" si="2"/>
        <v>#N/A</v>
      </c>
      <c r="K1376" s="22" t="str">
        <f t="shared" si="8"/>
        <v/>
      </c>
    </row>
    <row r="1377" ht="15.75" customHeight="1">
      <c r="A1377" s="32" t="str">
        <f>'EQUITY BACKTEST'!A1380</f>
        <v/>
      </c>
      <c r="B1377" s="22" t="str">
        <f>'EQUITY BACKTEST'!B1380</f>
        <v/>
      </c>
      <c r="C1377" s="22" t="str">
        <f>'EQUITY BACKTEST'!E1380</f>
        <v/>
      </c>
      <c r="I1377" s="22" t="str">
        <f t="shared" si="1"/>
        <v>#N/A</v>
      </c>
      <c r="J1377" s="22" t="str">
        <f t="shared" si="2"/>
        <v>#N/A</v>
      </c>
      <c r="K1377" s="22" t="str">
        <f t="shared" si="8"/>
        <v/>
      </c>
    </row>
    <row r="1378" ht="15.75" customHeight="1">
      <c r="A1378" s="32" t="str">
        <f>'EQUITY BACKTEST'!A1381</f>
        <v/>
      </c>
      <c r="B1378" s="22" t="str">
        <f>'EQUITY BACKTEST'!B1381</f>
        <v/>
      </c>
      <c r="C1378" s="22" t="str">
        <f>'EQUITY BACKTEST'!E1381</f>
        <v/>
      </c>
      <c r="I1378" s="22" t="str">
        <f t="shared" si="1"/>
        <v>#N/A</v>
      </c>
      <c r="J1378" s="22" t="str">
        <f t="shared" si="2"/>
        <v>#N/A</v>
      </c>
      <c r="K1378" s="22" t="str">
        <f t="shared" si="8"/>
        <v/>
      </c>
    </row>
    <row r="1379" ht="15.75" customHeight="1">
      <c r="A1379" s="32" t="str">
        <f>'EQUITY BACKTEST'!A1382</f>
        <v/>
      </c>
      <c r="B1379" s="22" t="str">
        <f>'EQUITY BACKTEST'!B1382</f>
        <v/>
      </c>
      <c r="C1379" s="22" t="str">
        <f>'EQUITY BACKTEST'!E1382</f>
        <v/>
      </c>
      <c r="I1379" s="22" t="str">
        <f t="shared" si="1"/>
        <v>#N/A</v>
      </c>
      <c r="J1379" s="22" t="str">
        <f t="shared" si="2"/>
        <v>#N/A</v>
      </c>
      <c r="K1379" s="22" t="str">
        <f t="shared" si="8"/>
        <v/>
      </c>
    </row>
    <row r="1380" ht="15.75" customHeight="1">
      <c r="A1380" s="32" t="str">
        <f>'EQUITY BACKTEST'!A1383</f>
        <v/>
      </c>
      <c r="B1380" s="22" t="str">
        <f>'EQUITY BACKTEST'!B1383</f>
        <v/>
      </c>
      <c r="C1380" s="22" t="str">
        <f>'EQUITY BACKTEST'!E1383</f>
        <v/>
      </c>
      <c r="I1380" s="22" t="str">
        <f t="shared" si="1"/>
        <v>#N/A</v>
      </c>
      <c r="J1380" s="22" t="str">
        <f t="shared" si="2"/>
        <v>#N/A</v>
      </c>
      <c r="K1380" s="22" t="str">
        <f t="shared" si="8"/>
        <v/>
      </c>
    </row>
    <row r="1381" ht="15.75" customHeight="1">
      <c r="A1381" s="32" t="str">
        <f>'EQUITY BACKTEST'!A1384</f>
        <v/>
      </c>
      <c r="B1381" s="22" t="str">
        <f>'EQUITY BACKTEST'!B1384</f>
        <v/>
      </c>
      <c r="C1381" s="22" t="str">
        <f>'EQUITY BACKTEST'!E1384</f>
        <v/>
      </c>
      <c r="I1381" s="22" t="str">
        <f t="shared" si="1"/>
        <v>#N/A</v>
      </c>
      <c r="J1381" s="22" t="str">
        <f t="shared" si="2"/>
        <v>#N/A</v>
      </c>
      <c r="K1381" s="22" t="str">
        <f t="shared" si="8"/>
        <v/>
      </c>
    </row>
    <row r="1382" ht="15.75" customHeight="1">
      <c r="A1382" s="32" t="str">
        <f>'EQUITY BACKTEST'!A1385</f>
        <v/>
      </c>
      <c r="B1382" s="22" t="str">
        <f>'EQUITY BACKTEST'!B1385</f>
        <v/>
      </c>
      <c r="C1382" s="22" t="str">
        <f>'EQUITY BACKTEST'!E1385</f>
        <v/>
      </c>
      <c r="I1382" s="22" t="str">
        <f t="shared" si="1"/>
        <v>#N/A</v>
      </c>
      <c r="J1382" s="22" t="str">
        <f t="shared" si="2"/>
        <v>#N/A</v>
      </c>
      <c r="K1382" s="22" t="str">
        <f t="shared" si="8"/>
        <v/>
      </c>
    </row>
    <row r="1383" ht="15.75" customHeight="1">
      <c r="A1383" s="32" t="str">
        <f>'EQUITY BACKTEST'!A1386</f>
        <v/>
      </c>
      <c r="B1383" s="22" t="str">
        <f>'EQUITY BACKTEST'!B1386</f>
        <v/>
      </c>
      <c r="C1383" s="22" t="str">
        <f>'EQUITY BACKTEST'!E1386</f>
        <v/>
      </c>
      <c r="I1383" s="22" t="str">
        <f t="shared" si="1"/>
        <v>#N/A</v>
      </c>
      <c r="J1383" s="22" t="str">
        <f t="shared" si="2"/>
        <v>#N/A</v>
      </c>
      <c r="K1383" s="22" t="str">
        <f t="shared" si="8"/>
        <v/>
      </c>
    </row>
    <row r="1384" ht="15.75" customHeight="1">
      <c r="A1384" s="32" t="str">
        <f>'EQUITY BACKTEST'!A1387</f>
        <v/>
      </c>
      <c r="B1384" s="22" t="str">
        <f>'EQUITY BACKTEST'!B1387</f>
        <v/>
      </c>
      <c r="C1384" s="22" t="str">
        <f>'EQUITY BACKTEST'!E1387</f>
        <v/>
      </c>
      <c r="I1384" s="22" t="str">
        <f t="shared" si="1"/>
        <v>#N/A</v>
      </c>
      <c r="J1384" s="22" t="str">
        <f t="shared" si="2"/>
        <v>#N/A</v>
      </c>
      <c r="K1384" s="22" t="str">
        <f t="shared" si="8"/>
        <v/>
      </c>
    </row>
    <row r="1385" ht="15.75" customHeight="1">
      <c r="A1385" s="32" t="str">
        <f>'EQUITY BACKTEST'!A1388</f>
        <v/>
      </c>
      <c r="B1385" s="22" t="str">
        <f>'EQUITY BACKTEST'!B1388</f>
        <v/>
      </c>
      <c r="C1385" s="22" t="str">
        <f>'EQUITY BACKTEST'!E1388</f>
        <v/>
      </c>
      <c r="I1385" s="22" t="str">
        <f t="shared" si="1"/>
        <v>#N/A</v>
      </c>
      <c r="J1385" s="22" t="str">
        <f t="shared" si="2"/>
        <v>#N/A</v>
      </c>
      <c r="K1385" s="22" t="str">
        <f t="shared" si="8"/>
        <v/>
      </c>
    </row>
    <row r="1386" ht="15.75" customHeight="1">
      <c r="A1386" s="32" t="str">
        <f>'EQUITY BACKTEST'!A1389</f>
        <v/>
      </c>
      <c r="B1386" s="22" t="str">
        <f>'EQUITY BACKTEST'!B1389</f>
        <v/>
      </c>
      <c r="C1386" s="22" t="str">
        <f>'EQUITY BACKTEST'!E1389</f>
        <v/>
      </c>
      <c r="I1386" s="22" t="str">
        <f t="shared" si="1"/>
        <v>#N/A</v>
      </c>
      <c r="J1386" s="22" t="str">
        <f t="shared" si="2"/>
        <v>#N/A</v>
      </c>
      <c r="K1386" s="22" t="str">
        <f t="shared" si="8"/>
        <v/>
      </c>
    </row>
    <row r="1387" ht="15.75" customHeight="1">
      <c r="A1387" s="32" t="str">
        <f>'EQUITY BACKTEST'!A1390</f>
        <v/>
      </c>
      <c r="B1387" s="22" t="str">
        <f>'EQUITY BACKTEST'!B1390</f>
        <v/>
      </c>
      <c r="C1387" s="22" t="str">
        <f>'EQUITY BACKTEST'!E1390</f>
        <v/>
      </c>
      <c r="I1387" s="22" t="str">
        <f t="shared" si="1"/>
        <v>#N/A</v>
      </c>
      <c r="J1387" s="22" t="str">
        <f t="shared" si="2"/>
        <v>#N/A</v>
      </c>
      <c r="K1387" s="22" t="str">
        <f t="shared" si="8"/>
        <v/>
      </c>
    </row>
    <row r="1388" ht="15.75" customHeight="1">
      <c r="A1388" s="32" t="str">
        <f>'EQUITY BACKTEST'!A1391</f>
        <v/>
      </c>
      <c r="B1388" s="22" t="str">
        <f>'EQUITY BACKTEST'!B1391</f>
        <v/>
      </c>
      <c r="C1388" s="22" t="str">
        <f>'EQUITY BACKTEST'!E1391</f>
        <v/>
      </c>
      <c r="I1388" s="22" t="str">
        <f t="shared" si="1"/>
        <v>#N/A</v>
      </c>
      <c r="J1388" s="22" t="str">
        <f t="shared" si="2"/>
        <v>#N/A</v>
      </c>
      <c r="K1388" s="22" t="str">
        <f t="shared" si="8"/>
        <v/>
      </c>
    </row>
    <row r="1389" ht="15.75" customHeight="1">
      <c r="A1389" s="32" t="str">
        <f>'EQUITY BACKTEST'!A1392</f>
        <v/>
      </c>
      <c r="B1389" s="22" t="str">
        <f>'EQUITY BACKTEST'!B1392</f>
        <v/>
      </c>
      <c r="C1389" s="22" t="str">
        <f>'EQUITY BACKTEST'!E1392</f>
        <v/>
      </c>
      <c r="I1389" s="22" t="str">
        <f t="shared" si="1"/>
        <v>#N/A</v>
      </c>
      <c r="J1389" s="22" t="str">
        <f t="shared" si="2"/>
        <v>#N/A</v>
      </c>
      <c r="K1389" s="22" t="str">
        <f t="shared" si="8"/>
        <v/>
      </c>
    </row>
    <row r="1390" ht="15.75" customHeight="1">
      <c r="A1390" s="32" t="str">
        <f>'EQUITY BACKTEST'!A1393</f>
        <v/>
      </c>
      <c r="B1390" s="22" t="str">
        <f>'EQUITY BACKTEST'!B1393</f>
        <v/>
      </c>
      <c r="C1390" s="22" t="str">
        <f>'EQUITY BACKTEST'!E1393</f>
        <v/>
      </c>
      <c r="I1390" s="22" t="str">
        <f t="shared" si="1"/>
        <v>#N/A</v>
      </c>
      <c r="J1390" s="22" t="str">
        <f t="shared" si="2"/>
        <v>#N/A</v>
      </c>
      <c r="K1390" s="22" t="str">
        <f t="shared" si="8"/>
        <v/>
      </c>
    </row>
    <row r="1391" ht="15.75" customHeight="1">
      <c r="A1391" s="32" t="str">
        <f>'EQUITY BACKTEST'!A1394</f>
        <v/>
      </c>
      <c r="B1391" s="22" t="str">
        <f>'EQUITY BACKTEST'!B1394</f>
        <v/>
      </c>
      <c r="C1391" s="22" t="str">
        <f>'EQUITY BACKTEST'!E1394</f>
        <v/>
      </c>
      <c r="I1391" s="22" t="str">
        <f t="shared" si="1"/>
        <v>#N/A</v>
      </c>
      <c r="J1391" s="22" t="str">
        <f t="shared" si="2"/>
        <v>#N/A</v>
      </c>
      <c r="K1391" s="22" t="str">
        <f t="shared" si="8"/>
        <v/>
      </c>
    </row>
    <row r="1392" ht="15.75" customHeight="1">
      <c r="A1392" s="32" t="str">
        <f>'EQUITY BACKTEST'!A1395</f>
        <v/>
      </c>
      <c r="B1392" s="22" t="str">
        <f>'EQUITY BACKTEST'!B1395</f>
        <v/>
      </c>
      <c r="C1392" s="22" t="str">
        <f>'EQUITY BACKTEST'!E1395</f>
        <v/>
      </c>
      <c r="I1392" s="22" t="str">
        <f t="shared" si="1"/>
        <v>#N/A</v>
      </c>
      <c r="J1392" s="22" t="str">
        <f t="shared" si="2"/>
        <v>#N/A</v>
      </c>
      <c r="K1392" s="22" t="str">
        <f t="shared" si="8"/>
        <v/>
      </c>
    </row>
    <row r="1393" ht="15.75" customHeight="1">
      <c r="A1393" s="32" t="str">
        <f>'EQUITY BACKTEST'!A1396</f>
        <v/>
      </c>
      <c r="B1393" s="22" t="str">
        <f>'EQUITY BACKTEST'!B1396</f>
        <v/>
      </c>
      <c r="C1393" s="22" t="str">
        <f>'EQUITY BACKTEST'!E1396</f>
        <v/>
      </c>
      <c r="I1393" s="22" t="str">
        <f t="shared" si="1"/>
        <v>#N/A</v>
      </c>
      <c r="J1393" s="22" t="str">
        <f t="shared" si="2"/>
        <v>#N/A</v>
      </c>
      <c r="K1393" s="22" t="str">
        <f t="shared" si="8"/>
        <v/>
      </c>
    </row>
    <row r="1394" ht="15.75" customHeight="1">
      <c r="A1394" s="32" t="str">
        <f>'EQUITY BACKTEST'!A1397</f>
        <v/>
      </c>
      <c r="B1394" s="22" t="str">
        <f>'EQUITY BACKTEST'!B1397</f>
        <v/>
      </c>
      <c r="C1394" s="22" t="str">
        <f>'EQUITY BACKTEST'!E1397</f>
        <v/>
      </c>
      <c r="I1394" s="22" t="str">
        <f t="shared" si="1"/>
        <v>#N/A</v>
      </c>
      <c r="J1394" s="22" t="str">
        <f t="shared" si="2"/>
        <v>#N/A</v>
      </c>
      <c r="K1394" s="22" t="str">
        <f t="shared" si="8"/>
        <v/>
      </c>
    </row>
    <row r="1395" ht="15.75" customHeight="1">
      <c r="A1395" s="32" t="str">
        <f>'EQUITY BACKTEST'!A1398</f>
        <v/>
      </c>
      <c r="B1395" s="22" t="str">
        <f>'EQUITY BACKTEST'!B1398</f>
        <v/>
      </c>
      <c r="C1395" s="22" t="str">
        <f>'EQUITY BACKTEST'!E1398</f>
        <v/>
      </c>
      <c r="I1395" s="22" t="str">
        <f t="shared" si="1"/>
        <v>#N/A</v>
      </c>
      <c r="J1395" s="22" t="str">
        <f t="shared" si="2"/>
        <v>#N/A</v>
      </c>
      <c r="K1395" s="22" t="str">
        <f t="shared" si="8"/>
        <v/>
      </c>
    </row>
    <row r="1396" ht="15.75" customHeight="1">
      <c r="A1396" s="32" t="str">
        <f>'EQUITY BACKTEST'!A1399</f>
        <v/>
      </c>
      <c r="B1396" s="22" t="str">
        <f>'EQUITY BACKTEST'!B1399</f>
        <v/>
      </c>
      <c r="C1396" s="22" t="str">
        <f>'EQUITY BACKTEST'!E1399</f>
        <v/>
      </c>
      <c r="I1396" s="22" t="str">
        <f t="shared" si="1"/>
        <v>#N/A</v>
      </c>
      <c r="J1396" s="22" t="str">
        <f t="shared" si="2"/>
        <v>#N/A</v>
      </c>
      <c r="K1396" s="22" t="str">
        <f t="shared" si="8"/>
        <v/>
      </c>
    </row>
    <row r="1397" ht="15.75" customHeight="1">
      <c r="A1397" s="32" t="str">
        <f>'EQUITY BACKTEST'!A1400</f>
        <v/>
      </c>
      <c r="B1397" s="22" t="str">
        <f>'EQUITY BACKTEST'!B1400</f>
        <v/>
      </c>
      <c r="C1397" s="22" t="str">
        <f>'EQUITY BACKTEST'!E1400</f>
        <v/>
      </c>
      <c r="I1397" s="22" t="str">
        <f t="shared" si="1"/>
        <v>#N/A</v>
      </c>
      <c r="J1397" s="22" t="str">
        <f t="shared" si="2"/>
        <v>#N/A</v>
      </c>
      <c r="K1397" s="22" t="str">
        <f t="shared" si="8"/>
        <v/>
      </c>
    </row>
    <row r="1398" ht="15.75" customHeight="1">
      <c r="A1398" s="32" t="str">
        <f>'EQUITY BACKTEST'!A1401</f>
        <v/>
      </c>
      <c r="B1398" s="22" t="str">
        <f>'EQUITY BACKTEST'!B1401</f>
        <v/>
      </c>
      <c r="C1398" s="22" t="str">
        <f>'EQUITY BACKTEST'!E1401</f>
        <v/>
      </c>
      <c r="I1398" s="22" t="str">
        <f t="shared" si="1"/>
        <v>#N/A</v>
      </c>
      <c r="J1398" s="22" t="str">
        <f t="shared" si="2"/>
        <v>#N/A</v>
      </c>
      <c r="K1398" s="22" t="str">
        <f t="shared" si="8"/>
        <v/>
      </c>
    </row>
    <row r="1399" ht="15.75" customHeight="1">
      <c r="A1399" s="32" t="str">
        <f>'EQUITY BACKTEST'!A1402</f>
        <v/>
      </c>
      <c r="B1399" s="22" t="str">
        <f>'EQUITY BACKTEST'!B1402</f>
        <v/>
      </c>
      <c r="C1399" s="22" t="str">
        <f>'EQUITY BACKTEST'!E1402</f>
        <v/>
      </c>
      <c r="I1399" s="22" t="str">
        <f t="shared" si="1"/>
        <v>#N/A</v>
      </c>
      <c r="J1399" s="22" t="str">
        <f t="shared" si="2"/>
        <v>#N/A</v>
      </c>
      <c r="K1399" s="22" t="str">
        <f t="shared" si="8"/>
        <v/>
      </c>
    </row>
    <row r="1400" ht="15.75" customHeight="1">
      <c r="A1400" s="32" t="str">
        <f>'EQUITY BACKTEST'!A1403</f>
        <v/>
      </c>
      <c r="B1400" s="22" t="str">
        <f>'EQUITY BACKTEST'!B1403</f>
        <v/>
      </c>
      <c r="C1400" s="22" t="str">
        <f>'EQUITY BACKTEST'!E1403</f>
        <v/>
      </c>
      <c r="I1400" s="22" t="str">
        <f t="shared" si="1"/>
        <v>#N/A</v>
      </c>
      <c r="J1400" s="22" t="str">
        <f t="shared" si="2"/>
        <v>#N/A</v>
      </c>
      <c r="K1400" s="22" t="str">
        <f t="shared" si="8"/>
        <v/>
      </c>
    </row>
    <row r="1401" ht="15.75" customHeight="1">
      <c r="A1401" s="32" t="str">
        <f>'EQUITY BACKTEST'!A1404</f>
        <v/>
      </c>
      <c r="B1401" s="22" t="str">
        <f>'EQUITY BACKTEST'!B1404</f>
        <v/>
      </c>
      <c r="C1401" s="22" t="str">
        <f>'EQUITY BACKTEST'!E1404</f>
        <v/>
      </c>
      <c r="I1401" s="22" t="str">
        <f t="shared" si="1"/>
        <v>#N/A</v>
      </c>
      <c r="J1401" s="22" t="str">
        <f t="shared" si="2"/>
        <v>#N/A</v>
      </c>
      <c r="K1401" s="22" t="str">
        <f t="shared" si="8"/>
        <v/>
      </c>
    </row>
    <row r="1402" ht="15.75" customHeight="1">
      <c r="A1402" s="32" t="str">
        <f>'EQUITY BACKTEST'!A1405</f>
        <v/>
      </c>
      <c r="B1402" s="22" t="str">
        <f>'EQUITY BACKTEST'!B1405</f>
        <v/>
      </c>
      <c r="C1402" s="22" t="str">
        <f>'EQUITY BACKTEST'!E1405</f>
        <v/>
      </c>
      <c r="I1402" s="22" t="str">
        <f t="shared" si="1"/>
        <v>#N/A</v>
      </c>
      <c r="J1402" s="22" t="str">
        <f t="shared" si="2"/>
        <v>#N/A</v>
      </c>
      <c r="K1402" s="22" t="str">
        <f t="shared" si="8"/>
        <v/>
      </c>
    </row>
    <row r="1403" ht="15.75" customHeight="1">
      <c r="A1403" s="32" t="str">
        <f>'EQUITY BACKTEST'!A1406</f>
        <v/>
      </c>
      <c r="B1403" s="22" t="str">
        <f>'EQUITY BACKTEST'!B1406</f>
        <v/>
      </c>
      <c r="C1403" s="22" t="str">
        <f>'EQUITY BACKTEST'!E1406</f>
        <v/>
      </c>
      <c r="I1403" s="22" t="str">
        <f t="shared" si="1"/>
        <v>#N/A</v>
      </c>
      <c r="J1403" s="22" t="str">
        <f t="shared" si="2"/>
        <v>#N/A</v>
      </c>
      <c r="K1403" s="22" t="str">
        <f t="shared" si="8"/>
        <v/>
      </c>
    </row>
    <row r="1404" ht="15.75" customHeight="1">
      <c r="A1404" s="32" t="str">
        <f>'EQUITY BACKTEST'!A1407</f>
        <v/>
      </c>
      <c r="B1404" s="22" t="str">
        <f>'EQUITY BACKTEST'!B1407</f>
        <v/>
      </c>
      <c r="C1404" s="22" t="str">
        <f>'EQUITY BACKTEST'!E1407</f>
        <v/>
      </c>
      <c r="I1404" s="22" t="str">
        <f t="shared" si="1"/>
        <v>#N/A</v>
      </c>
      <c r="J1404" s="22" t="str">
        <f t="shared" si="2"/>
        <v>#N/A</v>
      </c>
      <c r="K1404" s="22" t="str">
        <f t="shared" si="8"/>
        <v/>
      </c>
    </row>
    <row r="1405" ht="15.75" customHeight="1">
      <c r="A1405" s="32" t="str">
        <f>'EQUITY BACKTEST'!A1408</f>
        <v/>
      </c>
      <c r="B1405" s="22" t="str">
        <f>'EQUITY BACKTEST'!B1408</f>
        <v/>
      </c>
      <c r="C1405" s="22" t="str">
        <f>'EQUITY BACKTEST'!E1408</f>
        <v/>
      </c>
      <c r="I1405" s="22" t="str">
        <f t="shared" si="1"/>
        <v>#N/A</v>
      </c>
      <c r="J1405" s="22" t="str">
        <f t="shared" si="2"/>
        <v>#N/A</v>
      </c>
      <c r="K1405" s="22" t="str">
        <f t="shared" si="8"/>
        <v/>
      </c>
    </row>
    <row r="1406" ht="15.75" customHeight="1">
      <c r="A1406" s="32" t="str">
        <f>'EQUITY BACKTEST'!A1409</f>
        <v/>
      </c>
      <c r="B1406" s="22" t="str">
        <f>'EQUITY BACKTEST'!B1409</f>
        <v/>
      </c>
      <c r="C1406" s="22" t="str">
        <f>'EQUITY BACKTEST'!E1409</f>
        <v/>
      </c>
      <c r="I1406" s="22" t="str">
        <f t="shared" si="1"/>
        <v>#N/A</v>
      </c>
      <c r="J1406" s="22" t="str">
        <f t="shared" si="2"/>
        <v>#N/A</v>
      </c>
      <c r="K1406" s="22" t="str">
        <f t="shared" si="8"/>
        <v/>
      </c>
    </row>
    <row r="1407" ht="15.75" customHeight="1">
      <c r="A1407" s="32" t="str">
        <f>'EQUITY BACKTEST'!A1410</f>
        <v/>
      </c>
      <c r="B1407" s="22" t="str">
        <f>'EQUITY BACKTEST'!B1410</f>
        <v/>
      </c>
      <c r="C1407" s="22" t="str">
        <f>'EQUITY BACKTEST'!E1410</f>
        <v/>
      </c>
      <c r="I1407" s="22" t="str">
        <f t="shared" si="1"/>
        <v>#N/A</v>
      </c>
      <c r="J1407" s="22" t="str">
        <f t="shared" si="2"/>
        <v>#N/A</v>
      </c>
      <c r="K1407" s="22" t="str">
        <f t="shared" si="8"/>
        <v/>
      </c>
    </row>
    <row r="1408" ht="15.75" customHeight="1">
      <c r="A1408" s="32" t="str">
        <f>'EQUITY BACKTEST'!A1411</f>
        <v/>
      </c>
      <c r="B1408" s="22" t="str">
        <f>'EQUITY BACKTEST'!B1411</f>
        <v/>
      </c>
      <c r="C1408" s="22" t="str">
        <f>'EQUITY BACKTEST'!E1411</f>
        <v/>
      </c>
      <c r="I1408" s="22" t="str">
        <f t="shared" si="1"/>
        <v>#N/A</v>
      </c>
      <c r="J1408" s="22" t="str">
        <f t="shared" si="2"/>
        <v>#N/A</v>
      </c>
      <c r="K1408" s="22" t="str">
        <f t="shared" si="8"/>
        <v/>
      </c>
    </row>
    <row r="1409" ht="15.75" customHeight="1">
      <c r="A1409" s="32" t="str">
        <f>'EQUITY BACKTEST'!A1412</f>
        <v/>
      </c>
      <c r="B1409" s="22" t="str">
        <f>'EQUITY BACKTEST'!B1412</f>
        <v/>
      </c>
      <c r="C1409" s="22" t="str">
        <f>'EQUITY BACKTEST'!E1412</f>
        <v/>
      </c>
      <c r="I1409" s="22" t="str">
        <f t="shared" si="1"/>
        <v>#N/A</v>
      </c>
      <c r="J1409" s="22" t="str">
        <f t="shared" si="2"/>
        <v>#N/A</v>
      </c>
      <c r="K1409" s="22" t="str">
        <f t="shared" si="8"/>
        <v/>
      </c>
    </row>
    <row r="1410" ht="15.75" customHeight="1">
      <c r="A1410" s="32" t="str">
        <f>'EQUITY BACKTEST'!A1413</f>
        <v/>
      </c>
      <c r="B1410" s="22" t="str">
        <f>'EQUITY BACKTEST'!B1413</f>
        <v/>
      </c>
      <c r="C1410" s="22" t="str">
        <f>'EQUITY BACKTEST'!E1413</f>
        <v/>
      </c>
      <c r="I1410" s="22" t="str">
        <f t="shared" si="1"/>
        <v>#N/A</v>
      </c>
      <c r="J1410" s="22" t="str">
        <f t="shared" si="2"/>
        <v>#N/A</v>
      </c>
      <c r="K1410" s="22" t="str">
        <f t="shared" si="8"/>
        <v/>
      </c>
    </row>
    <row r="1411" ht="15.75" customHeight="1">
      <c r="A1411" s="32" t="str">
        <f>'EQUITY BACKTEST'!A1414</f>
        <v/>
      </c>
      <c r="B1411" s="22" t="str">
        <f>'EQUITY BACKTEST'!B1414</f>
        <v/>
      </c>
      <c r="C1411" s="22" t="str">
        <f>'EQUITY BACKTEST'!E1414</f>
        <v/>
      </c>
      <c r="I1411" s="22" t="str">
        <f t="shared" si="1"/>
        <v>#N/A</v>
      </c>
      <c r="J1411" s="22" t="str">
        <f t="shared" si="2"/>
        <v>#N/A</v>
      </c>
      <c r="K1411" s="22" t="str">
        <f t="shared" si="8"/>
        <v/>
      </c>
    </row>
    <row r="1412" ht="15.75" customHeight="1">
      <c r="A1412" s="32" t="str">
        <f>'EQUITY BACKTEST'!A1415</f>
        <v/>
      </c>
      <c r="B1412" s="22" t="str">
        <f>'EQUITY BACKTEST'!B1415</f>
        <v/>
      </c>
      <c r="C1412" s="22" t="str">
        <f>'EQUITY BACKTEST'!E1415</f>
        <v/>
      </c>
      <c r="I1412" s="22" t="str">
        <f t="shared" si="1"/>
        <v>#N/A</v>
      </c>
      <c r="J1412" s="22" t="str">
        <f t="shared" si="2"/>
        <v>#N/A</v>
      </c>
      <c r="K1412" s="22" t="str">
        <f t="shared" si="8"/>
        <v/>
      </c>
    </row>
    <row r="1413" ht="15.75" customHeight="1">
      <c r="A1413" s="32" t="str">
        <f>'EQUITY BACKTEST'!A1416</f>
        <v/>
      </c>
      <c r="B1413" s="22" t="str">
        <f>'EQUITY BACKTEST'!B1416</f>
        <v/>
      </c>
      <c r="C1413" s="22" t="str">
        <f>'EQUITY BACKTEST'!E1416</f>
        <v/>
      </c>
      <c r="I1413" s="22" t="str">
        <f t="shared" si="1"/>
        <v>#N/A</v>
      </c>
      <c r="J1413" s="22" t="str">
        <f t="shared" si="2"/>
        <v>#N/A</v>
      </c>
      <c r="K1413" s="22" t="str">
        <f t="shared" si="8"/>
        <v/>
      </c>
    </row>
    <row r="1414" ht="15.75" customHeight="1">
      <c r="A1414" s="32" t="str">
        <f>'EQUITY BACKTEST'!A1417</f>
        <v/>
      </c>
      <c r="B1414" s="22" t="str">
        <f>'EQUITY BACKTEST'!B1417</f>
        <v/>
      </c>
      <c r="C1414" s="22" t="str">
        <f>'EQUITY BACKTEST'!E1417</f>
        <v/>
      </c>
      <c r="I1414" s="22" t="str">
        <f t="shared" si="1"/>
        <v>#N/A</v>
      </c>
      <c r="J1414" s="22" t="str">
        <f t="shared" si="2"/>
        <v>#N/A</v>
      </c>
      <c r="K1414" s="22" t="str">
        <f t="shared" si="8"/>
        <v/>
      </c>
    </row>
    <row r="1415" ht="15.75" customHeight="1">
      <c r="A1415" s="32" t="str">
        <f>'EQUITY BACKTEST'!A1418</f>
        <v/>
      </c>
      <c r="B1415" s="22" t="str">
        <f>'EQUITY BACKTEST'!B1418</f>
        <v/>
      </c>
      <c r="C1415" s="22" t="str">
        <f>'EQUITY BACKTEST'!E1418</f>
        <v/>
      </c>
      <c r="I1415" s="22" t="str">
        <f t="shared" si="1"/>
        <v>#N/A</v>
      </c>
      <c r="J1415" s="22" t="str">
        <f t="shared" si="2"/>
        <v>#N/A</v>
      </c>
      <c r="K1415" s="22" t="str">
        <f t="shared" si="8"/>
        <v/>
      </c>
    </row>
    <row r="1416" ht="15.75" customHeight="1">
      <c r="A1416" s="32" t="str">
        <f>'EQUITY BACKTEST'!A1419</f>
        <v/>
      </c>
      <c r="B1416" s="22" t="str">
        <f>'EQUITY BACKTEST'!B1419</f>
        <v/>
      </c>
      <c r="C1416" s="22" t="str">
        <f>'EQUITY BACKTEST'!E1419</f>
        <v/>
      </c>
      <c r="I1416" s="22" t="str">
        <f t="shared" si="1"/>
        <v>#N/A</v>
      </c>
      <c r="J1416" s="22" t="str">
        <f t="shared" si="2"/>
        <v>#N/A</v>
      </c>
      <c r="K1416" s="22" t="str">
        <f t="shared" si="8"/>
        <v/>
      </c>
    </row>
    <row r="1417" ht="15.75" customHeight="1">
      <c r="A1417" s="32" t="str">
        <f>'EQUITY BACKTEST'!A1420</f>
        <v/>
      </c>
      <c r="B1417" s="22" t="str">
        <f>'EQUITY BACKTEST'!B1420</f>
        <v/>
      </c>
      <c r="C1417" s="22" t="str">
        <f>'EQUITY BACKTEST'!E1420</f>
        <v/>
      </c>
      <c r="I1417" s="22" t="str">
        <f t="shared" si="1"/>
        <v>#N/A</v>
      </c>
      <c r="J1417" s="22" t="str">
        <f t="shared" si="2"/>
        <v>#N/A</v>
      </c>
      <c r="K1417" s="22" t="str">
        <f t="shared" si="8"/>
        <v/>
      </c>
    </row>
    <row r="1418" ht="15.75" customHeight="1">
      <c r="A1418" s="32" t="str">
        <f>'EQUITY BACKTEST'!A1421</f>
        <v/>
      </c>
      <c r="B1418" s="22" t="str">
        <f>'EQUITY BACKTEST'!B1421</f>
        <v/>
      </c>
      <c r="C1418" s="22" t="str">
        <f>'EQUITY BACKTEST'!E1421</f>
        <v/>
      </c>
      <c r="I1418" s="22" t="str">
        <f t="shared" si="1"/>
        <v>#N/A</v>
      </c>
      <c r="J1418" s="22" t="str">
        <f t="shared" si="2"/>
        <v>#N/A</v>
      </c>
      <c r="K1418" s="22" t="str">
        <f t="shared" si="8"/>
        <v/>
      </c>
    </row>
    <row r="1419" ht="15.75" customHeight="1">
      <c r="A1419" s="32" t="str">
        <f>'EQUITY BACKTEST'!A1422</f>
        <v/>
      </c>
      <c r="B1419" s="22" t="str">
        <f>'EQUITY BACKTEST'!B1422</f>
        <v/>
      </c>
      <c r="C1419" s="22" t="str">
        <f>'EQUITY BACKTEST'!E1422</f>
        <v/>
      </c>
      <c r="I1419" s="22" t="str">
        <f t="shared" si="1"/>
        <v>#N/A</v>
      </c>
      <c r="J1419" s="22" t="str">
        <f t="shared" si="2"/>
        <v>#N/A</v>
      </c>
      <c r="K1419" s="22" t="str">
        <f t="shared" si="8"/>
        <v/>
      </c>
    </row>
    <row r="1420" ht="15.75" customHeight="1">
      <c r="A1420" s="32" t="str">
        <f>'EQUITY BACKTEST'!A1423</f>
        <v/>
      </c>
      <c r="B1420" s="22" t="str">
        <f>'EQUITY BACKTEST'!B1423</f>
        <v/>
      </c>
      <c r="C1420" s="22" t="str">
        <f>'EQUITY BACKTEST'!E1423</f>
        <v/>
      </c>
      <c r="I1420" s="22" t="str">
        <f t="shared" si="1"/>
        <v>#N/A</v>
      </c>
      <c r="J1420" s="22" t="str">
        <f t="shared" si="2"/>
        <v>#N/A</v>
      </c>
      <c r="K1420" s="22" t="str">
        <f t="shared" si="8"/>
        <v/>
      </c>
    </row>
    <row r="1421" ht="15.75" customHeight="1">
      <c r="A1421" s="32" t="str">
        <f>'EQUITY BACKTEST'!A1424</f>
        <v/>
      </c>
      <c r="B1421" s="22" t="str">
        <f>'EQUITY BACKTEST'!B1424</f>
        <v/>
      </c>
      <c r="C1421" s="22" t="str">
        <f>'EQUITY BACKTEST'!E1424</f>
        <v/>
      </c>
      <c r="I1421" s="22" t="str">
        <f t="shared" si="1"/>
        <v>#N/A</v>
      </c>
      <c r="J1421" s="22" t="str">
        <f t="shared" si="2"/>
        <v>#N/A</v>
      </c>
      <c r="K1421" s="22" t="str">
        <f t="shared" si="8"/>
        <v/>
      </c>
    </row>
    <row r="1422" ht="15.75" customHeight="1">
      <c r="A1422" s="32" t="str">
        <f>'EQUITY BACKTEST'!A1425</f>
        <v/>
      </c>
      <c r="B1422" s="22" t="str">
        <f>'EQUITY BACKTEST'!B1425</f>
        <v/>
      </c>
      <c r="C1422" s="22" t="str">
        <f>'EQUITY BACKTEST'!E1425</f>
        <v/>
      </c>
      <c r="I1422" s="22" t="str">
        <f t="shared" si="1"/>
        <v>#N/A</v>
      </c>
      <c r="J1422" s="22" t="str">
        <f t="shared" si="2"/>
        <v>#N/A</v>
      </c>
      <c r="K1422" s="22" t="str">
        <f t="shared" si="8"/>
        <v/>
      </c>
    </row>
    <row r="1423" ht="15.75" customHeight="1">
      <c r="A1423" s="32" t="str">
        <f>'EQUITY BACKTEST'!A1426</f>
        <v/>
      </c>
      <c r="B1423" s="22" t="str">
        <f>'EQUITY BACKTEST'!B1426</f>
        <v/>
      </c>
      <c r="C1423" s="22" t="str">
        <f>'EQUITY BACKTEST'!E1426</f>
        <v/>
      </c>
      <c r="I1423" s="22" t="str">
        <f t="shared" si="1"/>
        <v>#N/A</v>
      </c>
      <c r="J1423" s="22" t="str">
        <f t="shared" si="2"/>
        <v>#N/A</v>
      </c>
      <c r="K1423" s="22" t="str">
        <f t="shared" si="8"/>
        <v/>
      </c>
    </row>
    <row r="1424" ht="15.75" customHeight="1">
      <c r="A1424" s="32" t="str">
        <f>'EQUITY BACKTEST'!A1427</f>
        <v/>
      </c>
      <c r="B1424" s="22" t="str">
        <f>'EQUITY BACKTEST'!B1427</f>
        <v/>
      </c>
      <c r="C1424" s="22" t="str">
        <f>'EQUITY BACKTEST'!E1427</f>
        <v/>
      </c>
      <c r="I1424" s="22" t="str">
        <f t="shared" si="1"/>
        <v>#N/A</v>
      </c>
      <c r="J1424" s="22" t="str">
        <f t="shared" si="2"/>
        <v>#N/A</v>
      </c>
      <c r="K1424" s="22" t="str">
        <f t="shared" si="8"/>
        <v/>
      </c>
    </row>
    <row r="1425" ht="15.75" customHeight="1">
      <c r="A1425" s="32" t="str">
        <f>'EQUITY BACKTEST'!A1428</f>
        <v/>
      </c>
      <c r="B1425" s="22" t="str">
        <f>'EQUITY BACKTEST'!B1428</f>
        <v/>
      </c>
      <c r="C1425" s="22" t="str">
        <f>'EQUITY BACKTEST'!E1428</f>
        <v/>
      </c>
      <c r="I1425" s="22" t="str">
        <f t="shared" si="1"/>
        <v>#N/A</v>
      </c>
      <c r="J1425" s="22" t="str">
        <f t="shared" si="2"/>
        <v>#N/A</v>
      </c>
      <c r="K1425" s="22" t="str">
        <f t="shared" si="8"/>
        <v/>
      </c>
    </row>
    <row r="1426" ht="15.75" customHeight="1">
      <c r="A1426" s="32" t="str">
        <f>'EQUITY BACKTEST'!A1429</f>
        <v/>
      </c>
      <c r="B1426" s="22" t="str">
        <f>'EQUITY BACKTEST'!B1429</f>
        <v/>
      </c>
      <c r="C1426" s="22" t="str">
        <f>'EQUITY BACKTEST'!E1429</f>
        <v/>
      </c>
      <c r="I1426" s="22" t="str">
        <f t="shared" si="1"/>
        <v>#N/A</v>
      </c>
      <c r="J1426" s="22" t="str">
        <f t="shared" si="2"/>
        <v>#N/A</v>
      </c>
      <c r="K1426" s="22" t="str">
        <f t="shared" si="8"/>
        <v/>
      </c>
    </row>
    <row r="1427" ht="15.75" customHeight="1">
      <c r="A1427" s="32" t="str">
        <f>'EQUITY BACKTEST'!A1430</f>
        <v/>
      </c>
      <c r="B1427" s="22" t="str">
        <f>'EQUITY BACKTEST'!B1430</f>
        <v/>
      </c>
      <c r="C1427" s="22" t="str">
        <f>'EQUITY BACKTEST'!E1430</f>
        <v/>
      </c>
      <c r="I1427" s="22" t="str">
        <f t="shared" si="1"/>
        <v>#N/A</v>
      </c>
      <c r="J1427" s="22" t="str">
        <f t="shared" si="2"/>
        <v>#N/A</v>
      </c>
      <c r="K1427" s="22" t="str">
        <f t="shared" si="8"/>
        <v/>
      </c>
    </row>
    <row r="1428" ht="15.75" customHeight="1">
      <c r="A1428" s="32" t="str">
        <f>'EQUITY BACKTEST'!A1431</f>
        <v/>
      </c>
      <c r="B1428" s="22" t="str">
        <f>'EQUITY BACKTEST'!B1431</f>
        <v/>
      </c>
      <c r="C1428" s="22" t="str">
        <f>'EQUITY BACKTEST'!E1431</f>
        <v/>
      </c>
      <c r="I1428" s="22" t="str">
        <f t="shared" si="1"/>
        <v>#N/A</v>
      </c>
      <c r="J1428" s="22" t="str">
        <f t="shared" si="2"/>
        <v>#N/A</v>
      </c>
      <c r="K1428" s="22" t="str">
        <f t="shared" si="8"/>
        <v/>
      </c>
    </row>
    <row r="1429" ht="15.75" customHeight="1">
      <c r="A1429" s="32" t="str">
        <f>'EQUITY BACKTEST'!A1432</f>
        <v/>
      </c>
      <c r="B1429" s="22" t="str">
        <f>'EQUITY BACKTEST'!B1432</f>
        <v/>
      </c>
      <c r="C1429" s="22" t="str">
        <f>'EQUITY BACKTEST'!E1432</f>
        <v/>
      </c>
      <c r="I1429" s="22" t="str">
        <f t="shared" si="1"/>
        <v>#N/A</v>
      </c>
      <c r="J1429" s="22" t="str">
        <f t="shared" si="2"/>
        <v>#N/A</v>
      </c>
      <c r="K1429" s="22" t="str">
        <f t="shared" si="8"/>
        <v/>
      </c>
    </row>
    <row r="1430" ht="15.75" customHeight="1">
      <c r="A1430" s="32" t="str">
        <f>'EQUITY BACKTEST'!A1433</f>
        <v/>
      </c>
      <c r="B1430" s="22" t="str">
        <f>'EQUITY BACKTEST'!B1433</f>
        <v/>
      </c>
      <c r="C1430" s="22" t="str">
        <f>'EQUITY BACKTEST'!E1433</f>
        <v/>
      </c>
      <c r="I1430" s="22" t="str">
        <f t="shared" si="1"/>
        <v>#N/A</v>
      </c>
      <c r="J1430" s="22" t="str">
        <f t="shared" si="2"/>
        <v>#N/A</v>
      </c>
      <c r="K1430" s="22" t="str">
        <f t="shared" si="8"/>
        <v/>
      </c>
    </row>
    <row r="1431" ht="15.75" customHeight="1">
      <c r="A1431" s="32" t="str">
        <f>'EQUITY BACKTEST'!A1434</f>
        <v/>
      </c>
      <c r="B1431" s="22" t="str">
        <f>'EQUITY BACKTEST'!B1434</f>
        <v/>
      </c>
      <c r="C1431" s="22" t="str">
        <f>'EQUITY BACKTEST'!E1434</f>
        <v/>
      </c>
      <c r="I1431" s="22" t="str">
        <f t="shared" si="1"/>
        <v>#N/A</v>
      </c>
      <c r="J1431" s="22" t="str">
        <f t="shared" si="2"/>
        <v>#N/A</v>
      </c>
      <c r="K1431" s="22" t="str">
        <f t="shared" si="8"/>
        <v/>
      </c>
    </row>
    <row r="1432" ht="15.75" customHeight="1">
      <c r="A1432" s="32" t="str">
        <f>'EQUITY BACKTEST'!A1435</f>
        <v/>
      </c>
      <c r="B1432" s="22" t="str">
        <f>'EQUITY BACKTEST'!B1435</f>
        <v/>
      </c>
      <c r="C1432" s="22" t="str">
        <f>'EQUITY BACKTEST'!E1435</f>
        <v/>
      </c>
      <c r="I1432" s="22" t="str">
        <f t="shared" si="1"/>
        <v>#N/A</v>
      </c>
      <c r="J1432" s="22" t="str">
        <f t="shared" si="2"/>
        <v>#N/A</v>
      </c>
      <c r="K1432" s="22" t="str">
        <f t="shared" si="8"/>
        <v/>
      </c>
    </row>
    <row r="1433" ht="15.75" customHeight="1">
      <c r="A1433" s="32" t="str">
        <f>'EQUITY BACKTEST'!A1436</f>
        <v/>
      </c>
      <c r="B1433" s="22" t="str">
        <f>'EQUITY BACKTEST'!B1436</f>
        <v/>
      </c>
      <c r="C1433" s="22" t="str">
        <f>'EQUITY BACKTEST'!E1436</f>
        <v/>
      </c>
      <c r="I1433" s="22" t="str">
        <f t="shared" si="1"/>
        <v>#N/A</v>
      </c>
      <c r="J1433" s="22" t="str">
        <f t="shared" si="2"/>
        <v>#N/A</v>
      </c>
      <c r="K1433" s="22" t="str">
        <f t="shared" si="8"/>
        <v/>
      </c>
    </row>
    <row r="1434" ht="15.75" customHeight="1">
      <c r="A1434" s="32" t="str">
        <f>'EQUITY BACKTEST'!A1437</f>
        <v/>
      </c>
      <c r="B1434" s="22" t="str">
        <f>'EQUITY BACKTEST'!B1437</f>
        <v/>
      </c>
      <c r="C1434" s="22" t="str">
        <f>'EQUITY BACKTEST'!E1437</f>
        <v/>
      </c>
      <c r="I1434" s="22" t="str">
        <f t="shared" si="1"/>
        <v>#N/A</v>
      </c>
      <c r="J1434" s="22" t="str">
        <f t="shared" si="2"/>
        <v>#N/A</v>
      </c>
      <c r="K1434" s="22" t="str">
        <f t="shared" si="8"/>
        <v/>
      </c>
    </row>
    <row r="1435" ht="15.75" customHeight="1">
      <c r="A1435" s="32" t="str">
        <f>'EQUITY BACKTEST'!A1438</f>
        <v/>
      </c>
      <c r="B1435" s="22" t="str">
        <f>'EQUITY BACKTEST'!B1438</f>
        <v/>
      </c>
      <c r="C1435" s="22" t="str">
        <f>'EQUITY BACKTEST'!E1438</f>
        <v/>
      </c>
      <c r="I1435" s="22" t="str">
        <f t="shared" si="1"/>
        <v>#N/A</v>
      </c>
      <c r="J1435" s="22" t="str">
        <f t="shared" si="2"/>
        <v>#N/A</v>
      </c>
      <c r="K1435" s="22" t="str">
        <f t="shared" si="8"/>
        <v/>
      </c>
    </row>
    <row r="1436" ht="15.75" customHeight="1">
      <c r="A1436" s="32" t="str">
        <f>'EQUITY BACKTEST'!A1439</f>
        <v/>
      </c>
      <c r="B1436" s="22" t="str">
        <f>'EQUITY BACKTEST'!B1439</f>
        <v/>
      </c>
      <c r="C1436" s="22" t="str">
        <f>'EQUITY BACKTEST'!E1439</f>
        <v/>
      </c>
      <c r="I1436" s="22" t="str">
        <f t="shared" si="1"/>
        <v>#N/A</v>
      </c>
      <c r="J1436" s="22" t="str">
        <f t="shared" si="2"/>
        <v>#N/A</v>
      </c>
      <c r="K1436" s="22" t="str">
        <f t="shared" si="8"/>
        <v/>
      </c>
    </row>
    <row r="1437" ht="15.75" customHeight="1">
      <c r="A1437" s="32" t="str">
        <f>'EQUITY BACKTEST'!A1440</f>
        <v/>
      </c>
      <c r="B1437" s="22" t="str">
        <f>'EQUITY BACKTEST'!B1440</f>
        <v/>
      </c>
      <c r="C1437" s="22" t="str">
        <f>'EQUITY BACKTEST'!E1440</f>
        <v/>
      </c>
      <c r="I1437" s="22" t="str">
        <f t="shared" si="1"/>
        <v>#N/A</v>
      </c>
      <c r="J1437" s="22" t="str">
        <f t="shared" si="2"/>
        <v>#N/A</v>
      </c>
      <c r="K1437" s="22" t="str">
        <f t="shared" si="8"/>
        <v/>
      </c>
    </row>
    <row r="1438" ht="15.75" customHeight="1">
      <c r="A1438" s="32" t="str">
        <f>'EQUITY BACKTEST'!A1441</f>
        <v/>
      </c>
      <c r="B1438" s="22" t="str">
        <f>'EQUITY BACKTEST'!B1441</f>
        <v/>
      </c>
      <c r="C1438" s="22" t="str">
        <f>'EQUITY BACKTEST'!E1441</f>
        <v/>
      </c>
      <c r="I1438" s="22" t="str">
        <f t="shared" si="1"/>
        <v>#N/A</v>
      </c>
      <c r="J1438" s="22" t="str">
        <f t="shared" si="2"/>
        <v>#N/A</v>
      </c>
      <c r="K1438" s="22" t="str">
        <f t="shared" si="8"/>
        <v/>
      </c>
    </row>
    <row r="1439" ht="15.75" customHeight="1">
      <c r="A1439" s="32" t="str">
        <f>'EQUITY BACKTEST'!A1442</f>
        <v/>
      </c>
      <c r="B1439" s="22" t="str">
        <f>'EQUITY BACKTEST'!B1442</f>
        <v/>
      </c>
      <c r="C1439" s="22" t="str">
        <f>'EQUITY BACKTEST'!E1442</f>
        <v/>
      </c>
      <c r="I1439" s="22" t="str">
        <f t="shared" si="1"/>
        <v>#N/A</v>
      </c>
      <c r="J1439" s="22" t="str">
        <f t="shared" si="2"/>
        <v>#N/A</v>
      </c>
      <c r="K1439" s="22" t="str">
        <f t="shared" si="8"/>
        <v/>
      </c>
    </row>
    <row r="1440" ht="15.75" customHeight="1">
      <c r="A1440" s="32" t="str">
        <f>'EQUITY BACKTEST'!A1443</f>
        <v/>
      </c>
      <c r="B1440" s="22" t="str">
        <f>'EQUITY BACKTEST'!B1443</f>
        <v/>
      </c>
      <c r="C1440" s="22" t="str">
        <f>'EQUITY BACKTEST'!E1443</f>
        <v/>
      </c>
      <c r="I1440" s="22" t="str">
        <f t="shared" si="1"/>
        <v>#N/A</v>
      </c>
      <c r="J1440" s="22" t="str">
        <f t="shared" si="2"/>
        <v>#N/A</v>
      </c>
      <c r="K1440" s="22" t="str">
        <f t="shared" si="8"/>
        <v/>
      </c>
    </row>
    <row r="1441" ht="15.75" customHeight="1">
      <c r="A1441" s="32" t="str">
        <f>'EQUITY BACKTEST'!A1444</f>
        <v/>
      </c>
      <c r="B1441" s="22" t="str">
        <f>'EQUITY BACKTEST'!B1444</f>
        <v/>
      </c>
      <c r="C1441" s="22" t="str">
        <f>'EQUITY BACKTEST'!E1444</f>
        <v/>
      </c>
      <c r="I1441" s="22" t="str">
        <f t="shared" si="1"/>
        <v>#N/A</v>
      </c>
      <c r="J1441" s="22" t="str">
        <f t="shared" si="2"/>
        <v>#N/A</v>
      </c>
      <c r="K1441" s="22" t="str">
        <f t="shared" si="8"/>
        <v/>
      </c>
    </row>
    <row r="1442" ht="15.75" customHeight="1">
      <c r="A1442" s="32" t="str">
        <f>'EQUITY BACKTEST'!A1445</f>
        <v/>
      </c>
      <c r="B1442" s="22" t="str">
        <f>'EQUITY BACKTEST'!B1445</f>
        <v/>
      </c>
      <c r="C1442" s="22" t="str">
        <f>'EQUITY BACKTEST'!E1445</f>
        <v/>
      </c>
      <c r="I1442" s="22" t="str">
        <f t="shared" si="1"/>
        <v>#N/A</v>
      </c>
      <c r="J1442" s="22" t="str">
        <f t="shared" si="2"/>
        <v>#N/A</v>
      </c>
      <c r="K1442" s="22" t="str">
        <f t="shared" si="8"/>
        <v/>
      </c>
    </row>
    <row r="1443" ht="15.75" customHeight="1">
      <c r="A1443" s="32" t="str">
        <f>'EQUITY BACKTEST'!A1446</f>
        <v/>
      </c>
      <c r="B1443" s="22" t="str">
        <f>'EQUITY BACKTEST'!B1446</f>
        <v/>
      </c>
      <c r="C1443" s="22" t="str">
        <f>'EQUITY BACKTEST'!E1446</f>
        <v/>
      </c>
      <c r="I1443" s="22" t="str">
        <f t="shared" si="1"/>
        <v>#N/A</v>
      </c>
      <c r="J1443" s="22" t="str">
        <f t="shared" si="2"/>
        <v>#N/A</v>
      </c>
      <c r="K1443" s="22" t="str">
        <f t="shared" si="8"/>
        <v/>
      </c>
    </row>
    <row r="1444" ht="15.75" customHeight="1">
      <c r="A1444" s="32" t="str">
        <f>'EQUITY BACKTEST'!A1447</f>
        <v/>
      </c>
      <c r="B1444" s="22" t="str">
        <f>'EQUITY BACKTEST'!B1447</f>
        <v/>
      </c>
      <c r="C1444" s="22" t="str">
        <f>'EQUITY BACKTEST'!E1447</f>
        <v/>
      </c>
      <c r="I1444" s="22" t="str">
        <f t="shared" si="1"/>
        <v>#N/A</v>
      </c>
      <c r="J1444" s="22" t="str">
        <f t="shared" si="2"/>
        <v>#N/A</v>
      </c>
      <c r="K1444" s="22" t="str">
        <f t="shared" si="8"/>
        <v/>
      </c>
    </row>
    <row r="1445" ht="15.75" customHeight="1">
      <c r="A1445" s="32" t="str">
        <f>'EQUITY BACKTEST'!A1448</f>
        <v/>
      </c>
      <c r="B1445" s="22" t="str">
        <f>'EQUITY BACKTEST'!B1448</f>
        <v/>
      </c>
      <c r="C1445" s="22" t="str">
        <f>'EQUITY BACKTEST'!E1448</f>
        <v/>
      </c>
      <c r="I1445" s="22" t="str">
        <f t="shared" si="1"/>
        <v>#N/A</v>
      </c>
      <c r="J1445" s="22" t="str">
        <f t="shared" si="2"/>
        <v>#N/A</v>
      </c>
      <c r="K1445" s="22" t="str">
        <f t="shared" si="8"/>
        <v/>
      </c>
    </row>
    <row r="1446" ht="15.75" customHeight="1">
      <c r="A1446" s="32" t="str">
        <f>'EQUITY BACKTEST'!A1449</f>
        <v/>
      </c>
      <c r="B1446" s="22" t="str">
        <f>'EQUITY BACKTEST'!B1449</f>
        <v/>
      </c>
      <c r="C1446" s="22" t="str">
        <f>'EQUITY BACKTEST'!E1449</f>
        <v/>
      </c>
      <c r="I1446" s="22" t="str">
        <f t="shared" si="1"/>
        <v>#N/A</v>
      </c>
      <c r="J1446" s="22" t="str">
        <f t="shared" si="2"/>
        <v>#N/A</v>
      </c>
      <c r="K1446" s="22" t="str">
        <f t="shared" si="8"/>
        <v/>
      </c>
    </row>
    <row r="1447" ht="15.75" customHeight="1">
      <c r="A1447" s="32" t="str">
        <f>'EQUITY BACKTEST'!A1450</f>
        <v/>
      </c>
      <c r="B1447" s="22" t="str">
        <f>'EQUITY BACKTEST'!B1450</f>
        <v/>
      </c>
      <c r="C1447" s="22" t="str">
        <f>'EQUITY BACKTEST'!E1450</f>
        <v/>
      </c>
      <c r="I1447" s="22" t="str">
        <f t="shared" si="1"/>
        <v>#N/A</v>
      </c>
      <c r="J1447" s="22" t="str">
        <f t="shared" si="2"/>
        <v>#N/A</v>
      </c>
      <c r="K1447" s="22" t="str">
        <f t="shared" si="8"/>
        <v/>
      </c>
    </row>
    <row r="1448" ht="15.75" customHeight="1">
      <c r="A1448" s="32" t="str">
        <f>'EQUITY BACKTEST'!A1451</f>
        <v/>
      </c>
      <c r="B1448" s="22" t="str">
        <f>'EQUITY BACKTEST'!B1451</f>
        <v/>
      </c>
      <c r="C1448" s="22" t="str">
        <f>'EQUITY BACKTEST'!E1451</f>
        <v/>
      </c>
      <c r="I1448" s="22" t="str">
        <f t="shared" si="1"/>
        <v>#N/A</v>
      </c>
      <c r="J1448" s="22" t="str">
        <f t="shared" si="2"/>
        <v>#N/A</v>
      </c>
      <c r="K1448" s="22" t="str">
        <f t="shared" si="8"/>
        <v/>
      </c>
    </row>
    <row r="1449" ht="15.75" customHeight="1">
      <c r="A1449" s="32" t="str">
        <f>'EQUITY BACKTEST'!A1452</f>
        <v/>
      </c>
      <c r="B1449" s="22" t="str">
        <f>'EQUITY BACKTEST'!B1452</f>
        <v/>
      </c>
      <c r="C1449" s="22" t="str">
        <f>'EQUITY BACKTEST'!E1452</f>
        <v/>
      </c>
      <c r="I1449" s="22" t="str">
        <f t="shared" si="1"/>
        <v>#N/A</v>
      </c>
      <c r="J1449" s="22" t="str">
        <f t="shared" si="2"/>
        <v>#N/A</v>
      </c>
      <c r="K1449" s="22" t="str">
        <f t="shared" si="8"/>
        <v/>
      </c>
    </row>
    <row r="1450" ht="15.75" customHeight="1">
      <c r="A1450" s="32" t="str">
        <f>'EQUITY BACKTEST'!A1453</f>
        <v/>
      </c>
      <c r="B1450" s="22" t="str">
        <f>'EQUITY BACKTEST'!B1453</f>
        <v/>
      </c>
      <c r="C1450" s="22" t="str">
        <f>'EQUITY BACKTEST'!E1453</f>
        <v/>
      </c>
      <c r="I1450" s="22" t="str">
        <f t="shared" si="1"/>
        <v>#N/A</v>
      </c>
      <c r="J1450" s="22" t="str">
        <f t="shared" si="2"/>
        <v>#N/A</v>
      </c>
      <c r="K1450" s="22" t="str">
        <f t="shared" si="8"/>
        <v/>
      </c>
    </row>
    <row r="1451" ht="15.75" customHeight="1">
      <c r="A1451" s="32" t="str">
        <f>'EQUITY BACKTEST'!A1454</f>
        <v/>
      </c>
      <c r="B1451" s="22" t="str">
        <f>'EQUITY BACKTEST'!B1454</f>
        <v/>
      </c>
      <c r="C1451" s="22" t="str">
        <f>'EQUITY BACKTEST'!E1454</f>
        <v/>
      </c>
      <c r="I1451" s="22" t="str">
        <f t="shared" si="1"/>
        <v>#N/A</v>
      </c>
      <c r="J1451" s="22" t="str">
        <f t="shared" si="2"/>
        <v>#N/A</v>
      </c>
      <c r="K1451" s="22" t="str">
        <f t="shared" si="8"/>
        <v/>
      </c>
    </row>
    <row r="1452" ht="15.75" customHeight="1">
      <c r="A1452" s="32" t="str">
        <f>'EQUITY BACKTEST'!A1455</f>
        <v/>
      </c>
      <c r="B1452" s="22" t="str">
        <f>'EQUITY BACKTEST'!B1455</f>
        <v/>
      </c>
      <c r="C1452" s="22" t="str">
        <f>'EQUITY BACKTEST'!E1455</f>
        <v/>
      </c>
      <c r="I1452" s="22" t="str">
        <f t="shared" si="1"/>
        <v>#N/A</v>
      </c>
      <c r="J1452" s="22" t="str">
        <f t="shared" si="2"/>
        <v>#N/A</v>
      </c>
      <c r="K1452" s="22" t="str">
        <f t="shared" si="8"/>
        <v/>
      </c>
    </row>
    <row r="1453" ht="15.75" customHeight="1">
      <c r="A1453" s="32" t="str">
        <f>'EQUITY BACKTEST'!A1456</f>
        <v/>
      </c>
      <c r="B1453" s="22" t="str">
        <f>'EQUITY BACKTEST'!B1456</f>
        <v/>
      </c>
      <c r="C1453" s="22" t="str">
        <f>'EQUITY BACKTEST'!E1456</f>
        <v/>
      </c>
      <c r="I1453" s="22" t="str">
        <f t="shared" si="1"/>
        <v>#N/A</v>
      </c>
      <c r="J1453" s="22" t="str">
        <f t="shared" si="2"/>
        <v>#N/A</v>
      </c>
      <c r="K1453" s="22" t="str">
        <f t="shared" si="8"/>
        <v/>
      </c>
    </row>
    <row r="1454" ht="15.75" customHeight="1">
      <c r="A1454" s="32" t="str">
        <f>'EQUITY BACKTEST'!A1457</f>
        <v/>
      </c>
      <c r="B1454" s="22" t="str">
        <f>'EQUITY BACKTEST'!B1457</f>
        <v/>
      </c>
      <c r="C1454" s="22" t="str">
        <f>'EQUITY BACKTEST'!E1457</f>
        <v/>
      </c>
      <c r="I1454" s="22" t="str">
        <f t="shared" si="1"/>
        <v>#N/A</v>
      </c>
      <c r="J1454" s="22" t="str">
        <f t="shared" si="2"/>
        <v>#N/A</v>
      </c>
      <c r="K1454" s="22" t="str">
        <f t="shared" si="8"/>
        <v/>
      </c>
    </row>
    <row r="1455" ht="15.75" customHeight="1">
      <c r="A1455" s="32" t="str">
        <f>'EQUITY BACKTEST'!A1458</f>
        <v/>
      </c>
      <c r="B1455" s="22" t="str">
        <f>'EQUITY BACKTEST'!B1458</f>
        <v/>
      </c>
      <c r="C1455" s="22" t="str">
        <f>'EQUITY BACKTEST'!E1458</f>
        <v/>
      </c>
      <c r="I1455" s="22" t="str">
        <f t="shared" si="1"/>
        <v>#N/A</v>
      </c>
      <c r="J1455" s="22" t="str">
        <f t="shared" si="2"/>
        <v>#N/A</v>
      </c>
      <c r="K1455" s="22" t="str">
        <f t="shared" si="8"/>
        <v/>
      </c>
    </row>
    <row r="1456" ht="15.75" customHeight="1">
      <c r="A1456" s="32" t="str">
        <f>'EQUITY BACKTEST'!A1459</f>
        <v/>
      </c>
      <c r="B1456" s="22" t="str">
        <f>'EQUITY BACKTEST'!B1459</f>
        <v/>
      </c>
      <c r="C1456" s="22" t="str">
        <f>'EQUITY BACKTEST'!E1459</f>
        <v/>
      </c>
      <c r="I1456" s="22" t="str">
        <f t="shared" si="1"/>
        <v>#N/A</v>
      </c>
      <c r="J1456" s="22" t="str">
        <f t="shared" si="2"/>
        <v>#N/A</v>
      </c>
      <c r="K1456" s="22" t="str">
        <f t="shared" si="8"/>
        <v/>
      </c>
    </row>
    <row r="1457" ht="15.75" customHeight="1">
      <c r="A1457" s="32" t="str">
        <f>'EQUITY BACKTEST'!A1460</f>
        <v/>
      </c>
      <c r="B1457" s="22" t="str">
        <f>'EQUITY BACKTEST'!B1460</f>
        <v/>
      </c>
      <c r="C1457" s="22" t="str">
        <f>'EQUITY BACKTEST'!E1460</f>
        <v/>
      </c>
      <c r="I1457" s="22" t="str">
        <f t="shared" si="1"/>
        <v>#N/A</v>
      </c>
      <c r="J1457" s="22" t="str">
        <f t="shared" si="2"/>
        <v>#N/A</v>
      </c>
      <c r="K1457" s="22" t="str">
        <f t="shared" si="8"/>
        <v/>
      </c>
    </row>
    <row r="1458" ht="15.75" customHeight="1">
      <c r="A1458" s="32" t="str">
        <f>'EQUITY BACKTEST'!A1461</f>
        <v/>
      </c>
      <c r="B1458" s="22" t="str">
        <f>'EQUITY BACKTEST'!B1461</f>
        <v/>
      </c>
      <c r="C1458" s="22" t="str">
        <f>'EQUITY BACKTEST'!E1461</f>
        <v/>
      </c>
      <c r="I1458" s="22" t="str">
        <f t="shared" si="1"/>
        <v>#N/A</v>
      </c>
      <c r="J1458" s="22" t="str">
        <f t="shared" si="2"/>
        <v>#N/A</v>
      </c>
      <c r="K1458" s="22" t="str">
        <f t="shared" si="8"/>
        <v/>
      </c>
    </row>
    <row r="1459" ht="15.75" customHeight="1">
      <c r="A1459" s="32" t="str">
        <f>'EQUITY BACKTEST'!A1462</f>
        <v/>
      </c>
      <c r="B1459" s="22" t="str">
        <f>'EQUITY BACKTEST'!B1462</f>
        <v/>
      </c>
      <c r="C1459" s="22" t="str">
        <f>'EQUITY BACKTEST'!E1462</f>
        <v/>
      </c>
      <c r="I1459" s="22" t="str">
        <f t="shared" si="1"/>
        <v>#N/A</v>
      </c>
      <c r="J1459" s="22" t="str">
        <f t="shared" si="2"/>
        <v>#N/A</v>
      </c>
      <c r="K1459" s="22" t="str">
        <f t="shared" si="8"/>
        <v/>
      </c>
    </row>
    <row r="1460" ht="15.75" customHeight="1">
      <c r="A1460" s="32" t="str">
        <f>'EQUITY BACKTEST'!A1463</f>
        <v/>
      </c>
      <c r="B1460" s="22" t="str">
        <f>'EQUITY BACKTEST'!B1463</f>
        <v/>
      </c>
      <c r="C1460" s="22" t="str">
        <f>'EQUITY BACKTEST'!E1463</f>
        <v/>
      </c>
      <c r="I1460" s="22" t="str">
        <f t="shared" si="1"/>
        <v>#N/A</v>
      </c>
      <c r="J1460" s="22" t="str">
        <f t="shared" si="2"/>
        <v>#N/A</v>
      </c>
      <c r="K1460" s="22" t="str">
        <f t="shared" si="8"/>
        <v/>
      </c>
    </row>
    <row r="1461" ht="15.75" customHeight="1">
      <c r="A1461" s="32" t="str">
        <f>'EQUITY BACKTEST'!A1464</f>
        <v/>
      </c>
      <c r="B1461" s="22" t="str">
        <f>'EQUITY BACKTEST'!B1464</f>
        <v/>
      </c>
      <c r="C1461" s="22" t="str">
        <f>'EQUITY BACKTEST'!E1464</f>
        <v/>
      </c>
      <c r="I1461" s="22" t="str">
        <f t="shared" si="1"/>
        <v>#N/A</v>
      </c>
      <c r="J1461" s="22" t="str">
        <f t="shared" si="2"/>
        <v>#N/A</v>
      </c>
      <c r="K1461" s="22" t="str">
        <f t="shared" si="8"/>
        <v/>
      </c>
    </row>
    <row r="1462" ht="15.75" customHeight="1">
      <c r="A1462" s="32" t="str">
        <f>'EQUITY BACKTEST'!A1465</f>
        <v/>
      </c>
      <c r="B1462" s="22" t="str">
        <f>'EQUITY BACKTEST'!B1465</f>
        <v/>
      </c>
      <c r="C1462" s="22" t="str">
        <f>'EQUITY BACKTEST'!E1465</f>
        <v/>
      </c>
      <c r="I1462" s="22" t="str">
        <f t="shared" si="1"/>
        <v>#N/A</v>
      </c>
      <c r="J1462" s="22" t="str">
        <f t="shared" si="2"/>
        <v>#N/A</v>
      </c>
      <c r="K1462" s="22" t="str">
        <f t="shared" si="8"/>
        <v/>
      </c>
    </row>
    <row r="1463" ht="15.75" customHeight="1">
      <c r="A1463" s="32" t="str">
        <f>'EQUITY BACKTEST'!A1466</f>
        <v/>
      </c>
      <c r="B1463" s="22" t="str">
        <f>'EQUITY BACKTEST'!B1466</f>
        <v/>
      </c>
      <c r="C1463" s="22" t="str">
        <f>'EQUITY BACKTEST'!E1466</f>
        <v/>
      </c>
      <c r="I1463" s="22" t="str">
        <f t="shared" si="1"/>
        <v>#N/A</v>
      </c>
      <c r="J1463" s="22" t="str">
        <f t="shared" si="2"/>
        <v>#N/A</v>
      </c>
      <c r="K1463" s="22" t="str">
        <f t="shared" si="8"/>
        <v/>
      </c>
    </row>
    <row r="1464" ht="15.75" customHeight="1">
      <c r="A1464" s="32" t="str">
        <f>'EQUITY BACKTEST'!A1467</f>
        <v/>
      </c>
      <c r="B1464" s="22" t="str">
        <f>'EQUITY BACKTEST'!B1467</f>
        <v/>
      </c>
      <c r="C1464" s="22" t="str">
        <f>'EQUITY BACKTEST'!E1467</f>
        <v/>
      </c>
      <c r="I1464" s="22" t="str">
        <f t="shared" si="1"/>
        <v>#N/A</v>
      </c>
      <c r="J1464" s="22" t="str">
        <f t="shared" si="2"/>
        <v>#N/A</v>
      </c>
      <c r="K1464" s="22" t="str">
        <f t="shared" si="8"/>
        <v/>
      </c>
    </row>
    <row r="1465" ht="15.75" customHeight="1">
      <c r="A1465" s="32" t="str">
        <f>'EQUITY BACKTEST'!A1468</f>
        <v/>
      </c>
      <c r="B1465" s="22" t="str">
        <f>'EQUITY BACKTEST'!B1468</f>
        <v/>
      </c>
      <c r="C1465" s="22" t="str">
        <f>'EQUITY BACKTEST'!E1468</f>
        <v/>
      </c>
      <c r="I1465" s="22" t="str">
        <f t="shared" si="1"/>
        <v>#N/A</v>
      </c>
      <c r="J1465" s="22" t="str">
        <f t="shared" si="2"/>
        <v>#N/A</v>
      </c>
      <c r="K1465" s="22" t="str">
        <f t="shared" si="8"/>
        <v/>
      </c>
    </row>
    <row r="1466" ht="15.75" customHeight="1">
      <c r="A1466" s="32" t="str">
        <f>'EQUITY BACKTEST'!A1469</f>
        <v/>
      </c>
      <c r="B1466" s="22" t="str">
        <f>'EQUITY BACKTEST'!B1469</f>
        <v/>
      </c>
      <c r="C1466" s="22" t="str">
        <f>'EQUITY BACKTEST'!E1469</f>
        <v/>
      </c>
      <c r="I1466" s="22" t="str">
        <f t="shared" si="1"/>
        <v>#N/A</v>
      </c>
      <c r="J1466" s="22" t="str">
        <f t="shared" si="2"/>
        <v>#N/A</v>
      </c>
      <c r="K1466" s="22" t="str">
        <f t="shared" si="8"/>
        <v/>
      </c>
    </row>
    <row r="1467" ht="15.75" customHeight="1">
      <c r="A1467" s="32" t="str">
        <f>'EQUITY BACKTEST'!A1470</f>
        <v/>
      </c>
      <c r="B1467" s="22" t="str">
        <f>'EQUITY BACKTEST'!B1470</f>
        <v/>
      </c>
      <c r="C1467" s="22" t="str">
        <f>'EQUITY BACKTEST'!E1470</f>
        <v/>
      </c>
      <c r="I1467" s="22" t="str">
        <f t="shared" si="1"/>
        <v>#N/A</v>
      </c>
      <c r="J1467" s="22" t="str">
        <f t="shared" si="2"/>
        <v>#N/A</v>
      </c>
      <c r="K1467" s="22" t="str">
        <f t="shared" si="8"/>
        <v/>
      </c>
    </row>
    <row r="1468" ht="15.75" customHeight="1">
      <c r="A1468" s="32" t="str">
        <f>'EQUITY BACKTEST'!A1471</f>
        <v/>
      </c>
      <c r="B1468" s="22" t="str">
        <f>'EQUITY BACKTEST'!B1471</f>
        <v/>
      </c>
      <c r="C1468" s="22" t="str">
        <f>'EQUITY BACKTEST'!E1471</f>
        <v/>
      </c>
      <c r="I1468" s="22" t="str">
        <f t="shared" si="1"/>
        <v>#N/A</v>
      </c>
      <c r="J1468" s="22" t="str">
        <f t="shared" si="2"/>
        <v>#N/A</v>
      </c>
      <c r="K1468" s="22" t="str">
        <f t="shared" si="8"/>
        <v/>
      </c>
    </row>
    <row r="1469" ht="15.75" customHeight="1">
      <c r="A1469" s="32" t="str">
        <f>'EQUITY BACKTEST'!A1472</f>
        <v/>
      </c>
      <c r="B1469" s="22" t="str">
        <f>'EQUITY BACKTEST'!B1472</f>
        <v/>
      </c>
      <c r="C1469" s="22" t="str">
        <f>'EQUITY BACKTEST'!E1472</f>
        <v/>
      </c>
      <c r="I1469" s="22" t="str">
        <f t="shared" si="1"/>
        <v>#N/A</v>
      </c>
      <c r="J1469" s="22" t="str">
        <f t="shared" si="2"/>
        <v>#N/A</v>
      </c>
      <c r="K1469" s="22" t="str">
        <f t="shared" si="8"/>
        <v/>
      </c>
    </row>
    <row r="1470" ht="15.75" customHeight="1">
      <c r="A1470" s="32" t="str">
        <f>'EQUITY BACKTEST'!A1473</f>
        <v/>
      </c>
      <c r="B1470" s="22" t="str">
        <f>'EQUITY BACKTEST'!B1473</f>
        <v/>
      </c>
      <c r="C1470" s="22" t="str">
        <f>'EQUITY BACKTEST'!E1473</f>
        <v/>
      </c>
      <c r="I1470" s="22" t="str">
        <f t="shared" si="1"/>
        <v>#N/A</v>
      </c>
      <c r="J1470" s="22" t="str">
        <f t="shared" si="2"/>
        <v>#N/A</v>
      </c>
      <c r="K1470" s="22" t="str">
        <f t="shared" si="8"/>
        <v/>
      </c>
    </row>
    <row r="1471" ht="15.75" customHeight="1">
      <c r="A1471" s="32" t="str">
        <f>'EQUITY BACKTEST'!A1474</f>
        <v/>
      </c>
      <c r="B1471" s="22" t="str">
        <f>'EQUITY BACKTEST'!B1474</f>
        <v/>
      </c>
      <c r="C1471" s="22" t="str">
        <f>'EQUITY BACKTEST'!E1474</f>
        <v/>
      </c>
      <c r="I1471" s="22" t="str">
        <f t="shared" si="1"/>
        <v>#N/A</v>
      </c>
      <c r="J1471" s="22" t="str">
        <f t="shared" si="2"/>
        <v>#N/A</v>
      </c>
      <c r="K1471" s="22" t="str">
        <f t="shared" si="8"/>
        <v/>
      </c>
    </row>
    <row r="1472" ht="15.75" customHeight="1">
      <c r="A1472" s="32" t="str">
        <f>'EQUITY BACKTEST'!A1475</f>
        <v/>
      </c>
      <c r="B1472" s="22" t="str">
        <f>'EQUITY BACKTEST'!B1475</f>
        <v/>
      </c>
      <c r="C1472" s="22" t="str">
        <f>'EQUITY BACKTEST'!E1475</f>
        <v/>
      </c>
      <c r="I1472" s="22" t="str">
        <f t="shared" si="1"/>
        <v>#N/A</v>
      </c>
      <c r="J1472" s="22" t="str">
        <f t="shared" si="2"/>
        <v>#N/A</v>
      </c>
      <c r="K1472" s="22" t="str">
        <f t="shared" si="8"/>
        <v/>
      </c>
    </row>
    <row r="1473" ht="15.75" customHeight="1">
      <c r="A1473" s="32" t="str">
        <f>'EQUITY BACKTEST'!A1476</f>
        <v/>
      </c>
      <c r="B1473" s="22" t="str">
        <f>'EQUITY BACKTEST'!B1476</f>
        <v/>
      </c>
      <c r="C1473" s="22" t="str">
        <f>'EQUITY BACKTEST'!E1476</f>
        <v/>
      </c>
      <c r="I1473" s="22" t="str">
        <f t="shared" si="1"/>
        <v>#N/A</v>
      </c>
      <c r="J1473" s="22" t="str">
        <f t="shared" si="2"/>
        <v>#N/A</v>
      </c>
      <c r="K1473" s="22" t="str">
        <f t="shared" si="8"/>
        <v/>
      </c>
    </row>
    <row r="1474" ht="15.75" customHeight="1">
      <c r="A1474" s="32" t="str">
        <f>'EQUITY BACKTEST'!A1477</f>
        <v/>
      </c>
      <c r="B1474" s="22" t="str">
        <f>'EQUITY BACKTEST'!B1477</f>
        <v/>
      </c>
      <c r="C1474" s="22" t="str">
        <f>'EQUITY BACKTEST'!E1477</f>
        <v/>
      </c>
      <c r="I1474" s="22" t="str">
        <f t="shared" si="1"/>
        <v>#N/A</v>
      </c>
      <c r="J1474" s="22" t="str">
        <f t="shared" si="2"/>
        <v>#N/A</v>
      </c>
      <c r="K1474" s="22" t="str">
        <f t="shared" si="8"/>
        <v/>
      </c>
    </row>
    <row r="1475" ht="15.75" customHeight="1">
      <c r="A1475" s="32" t="str">
        <f>'EQUITY BACKTEST'!A1478</f>
        <v/>
      </c>
      <c r="B1475" s="22" t="str">
        <f>'EQUITY BACKTEST'!B1478</f>
        <v/>
      </c>
      <c r="C1475" s="22" t="str">
        <f>'EQUITY BACKTEST'!E1478</f>
        <v/>
      </c>
      <c r="I1475" s="22" t="str">
        <f t="shared" si="1"/>
        <v>#N/A</v>
      </c>
      <c r="J1475" s="22" t="str">
        <f t="shared" si="2"/>
        <v>#N/A</v>
      </c>
      <c r="K1475" s="22" t="str">
        <f t="shared" si="8"/>
        <v/>
      </c>
    </row>
    <row r="1476" ht="15.75" customHeight="1">
      <c r="A1476" s="32" t="str">
        <f>'EQUITY BACKTEST'!A1479</f>
        <v/>
      </c>
      <c r="B1476" s="22" t="str">
        <f>'EQUITY BACKTEST'!B1479</f>
        <v/>
      </c>
      <c r="C1476" s="22" t="str">
        <f>'EQUITY BACKTEST'!E1479</f>
        <v/>
      </c>
      <c r="I1476" s="22" t="str">
        <f t="shared" si="1"/>
        <v>#N/A</v>
      </c>
      <c r="J1476" s="22" t="str">
        <f t="shared" si="2"/>
        <v>#N/A</v>
      </c>
      <c r="K1476" s="22" t="str">
        <f t="shared" si="8"/>
        <v/>
      </c>
    </row>
    <row r="1477" ht="15.75" customHeight="1">
      <c r="A1477" s="32" t="str">
        <f>'EQUITY BACKTEST'!A1480</f>
        <v/>
      </c>
      <c r="B1477" s="22" t="str">
        <f>'EQUITY BACKTEST'!B1480</f>
        <v/>
      </c>
      <c r="C1477" s="22" t="str">
        <f>'EQUITY BACKTEST'!E1480</f>
        <v/>
      </c>
      <c r="I1477" s="22" t="str">
        <f t="shared" si="1"/>
        <v>#N/A</v>
      </c>
      <c r="J1477" s="22" t="str">
        <f t="shared" si="2"/>
        <v>#N/A</v>
      </c>
      <c r="K1477" s="22" t="str">
        <f t="shared" si="8"/>
        <v/>
      </c>
    </row>
    <row r="1478" ht="15.75" customHeight="1">
      <c r="A1478" s="32" t="str">
        <f>'EQUITY BACKTEST'!A1481</f>
        <v/>
      </c>
      <c r="B1478" s="22" t="str">
        <f>'EQUITY BACKTEST'!B1481</f>
        <v/>
      </c>
      <c r="C1478" s="22" t="str">
        <f>'EQUITY BACKTEST'!E1481</f>
        <v/>
      </c>
      <c r="I1478" s="22" t="str">
        <f t="shared" si="1"/>
        <v>#N/A</v>
      </c>
      <c r="J1478" s="22" t="str">
        <f t="shared" si="2"/>
        <v>#N/A</v>
      </c>
      <c r="K1478" s="22" t="str">
        <f t="shared" si="8"/>
        <v/>
      </c>
    </row>
    <row r="1479" ht="15.75" customHeight="1">
      <c r="A1479" s="32" t="str">
        <f>'EQUITY BACKTEST'!A1482</f>
        <v/>
      </c>
      <c r="B1479" s="22" t="str">
        <f>'EQUITY BACKTEST'!B1482</f>
        <v/>
      </c>
      <c r="C1479" s="22" t="str">
        <f>'EQUITY BACKTEST'!E1482</f>
        <v/>
      </c>
      <c r="I1479" s="22" t="str">
        <f t="shared" si="1"/>
        <v>#N/A</v>
      </c>
      <c r="J1479" s="22" t="str">
        <f t="shared" si="2"/>
        <v>#N/A</v>
      </c>
      <c r="K1479" s="22" t="str">
        <f t="shared" si="8"/>
        <v/>
      </c>
    </row>
    <row r="1480" ht="15.75" customHeight="1">
      <c r="A1480" s="32" t="str">
        <f>'EQUITY BACKTEST'!A1483</f>
        <v/>
      </c>
      <c r="B1480" s="22" t="str">
        <f>'EQUITY BACKTEST'!B1483</f>
        <v/>
      </c>
      <c r="C1480" s="22" t="str">
        <f>'EQUITY BACKTEST'!E1483</f>
        <v/>
      </c>
      <c r="I1480" s="22" t="str">
        <f t="shared" si="1"/>
        <v>#N/A</v>
      </c>
      <c r="J1480" s="22" t="str">
        <f t="shared" si="2"/>
        <v>#N/A</v>
      </c>
      <c r="K1480" s="22" t="str">
        <f t="shared" si="8"/>
        <v/>
      </c>
    </row>
    <row r="1481" ht="15.75" customHeight="1">
      <c r="A1481" s="32" t="str">
        <f>'EQUITY BACKTEST'!A1484</f>
        <v/>
      </c>
      <c r="B1481" s="22" t="str">
        <f>'EQUITY BACKTEST'!B1484</f>
        <v/>
      </c>
      <c r="C1481" s="22" t="str">
        <f>'EQUITY BACKTEST'!E1484</f>
        <v/>
      </c>
      <c r="I1481" s="22" t="str">
        <f t="shared" si="1"/>
        <v>#N/A</v>
      </c>
      <c r="J1481" s="22" t="str">
        <f t="shared" si="2"/>
        <v>#N/A</v>
      </c>
      <c r="K1481" s="22" t="str">
        <f t="shared" si="8"/>
        <v/>
      </c>
    </row>
    <row r="1482" ht="15.75" customHeight="1">
      <c r="A1482" s="32" t="str">
        <f>'EQUITY BACKTEST'!A1485</f>
        <v/>
      </c>
      <c r="B1482" s="22" t="str">
        <f>'EQUITY BACKTEST'!B1485</f>
        <v/>
      </c>
      <c r="C1482" s="22" t="str">
        <f>'EQUITY BACKTEST'!E1485</f>
        <v/>
      </c>
      <c r="I1482" s="22" t="str">
        <f t="shared" si="1"/>
        <v>#N/A</v>
      </c>
      <c r="J1482" s="22" t="str">
        <f t="shared" si="2"/>
        <v>#N/A</v>
      </c>
      <c r="K1482" s="22" t="str">
        <f t="shared" si="8"/>
        <v/>
      </c>
    </row>
    <row r="1483" ht="15.75" customHeight="1">
      <c r="A1483" s="32" t="str">
        <f>'EQUITY BACKTEST'!A1486</f>
        <v/>
      </c>
      <c r="B1483" s="22" t="str">
        <f>'EQUITY BACKTEST'!B1486</f>
        <v/>
      </c>
      <c r="C1483" s="22" t="str">
        <f>'EQUITY BACKTEST'!E1486</f>
        <v/>
      </c>
      <c r="I1483" s="22" t="str">
        <f t="shared" si="1"/>
        <v>#N/A</v>
      </c>
      <c r="J1483" s="22" t="str">
        <f t="shared" si="2"/>
        <v>#N/A</v>
      </c>
      <c r="K1483" s="22" t="str">
        <f t="shared" si="8"/>
        <v/>
      </c>
    </row>
    <row r="1484" ht="15.75" customHeight="1">
      <c r="A1484" s="32" t="str">
        <f>'EQUITY BACKTEST'!A1487</f>
        <v/>
      </c>
      <c r="B1484" s="22" t="str">
        <f>'EQUITY BACKTEST'!B1487</f>
        <v/>
      </c>
      <c r="C1484" s="22" t="str">
        <f>'EQUITY BACKTEST'!E1487</f>
        <v/>
      </c>
      <c r="I1484" s="22" t="str">
        <f t="shared" si="1"/>
        <v>#N/A</v>
      </c>
      <c r="J1484" s="22" t="str">
        <f t="shared" si="2"/>
        <v>#N/A</v>
      </c>
      <c r="K1484" s="22" t="str">
        <f t="shared" si="8"/>
        <v/>
      </c>
    </row>
    <row r="1485" ht="15.75" customHeight="1">
      <c r="A1485" s="32" t="str">
        <f>'EQUITY BACKTEST'!A1488</f>
        <v/>
      </c>
      <c r="B1485" s="22" t="str">
        <f>'EQUITY BACKTEST'!B1488</f>
        <v/>
      </c>
      <c r="C1485" s="22" t="str">
        <f>'EQUITY BACKTEST'!E1488</f>
        <v/>
      </c>
      <c r="I1485" s="22" t="str">
        <f t="shared" si="1"/>
        <v>#N/A</v>
      </c>
      <c r="J1485" s="22" t="str">
        <f t="shared" si="2"/>
        <v>#N/A</v>
      </c>
      <c r="K1485" s="22" t="str">
        <f t="shared" si="8"/>
        <v/>
      </c>
    </row>
    <row r="1486" ht="15.75" customHeight="1">
      <c r="A1486" s="32" t="str">
        <f>'EQUITY BACKTEST'!A1489</f>
        <v/>
      </c>
      <c r="B1486" s="22" t="str">
        <f>'EQUITY BACKTEST'!B1489</f>
        <v/>
      </c>
      <c r="C1486" s="22" t="str">
        <f>'EQUITY BACKTEST'!E1489</f>
        <v/>
      </c>
      <c r="I1486" s="22" t="str">
        <f t="shared" si="1"/>
        <v>#N/A</v>
      </c>
      <c r="J1486" s="22" t="str">
        <f t="shared" si="2"/>
        <v>#N/A</v>
      </c>
      <c r="K1486" s="22" t="str">
        <f t="shared" si="8"/>
        <v/>
      </c>
    </row>
    <row r="1487" ht="15.75" customHeight="1">
      <c r="A1487" s="32" t="str">
        <f>'EQUITY BACKTEST'!A1490</f>
        <v/>
      </c>
      <c r="B1487" s="22" t="str">
        <f>'EQUITY BACKTEST'!B1490</f>
        <v/>
      </c>
      <c r="C1487" s="22" t="str">
        <f>'EQUITY BACKTEST'!E1490</f>
        <v/>
      </c>
      <c r="I1487" s="22" t="str">
        <f t="shared" si="1"/>
        <v>#N/A</v>
      </c>
      <c r="J1487" s="22" t="str">
        <f t="shared" si="2"/>
        <v>#N/A</v>
      </c>
      <c r="K1487" s="22" t="str">
        <f t="shared" si="8"/>
        <v/>
      </c>
    </row>
    <row r="1488" ht="15.75" customHeight="1">
      <c r="A1488" s="32" t="str">
        <f>'EQUITY BACKTEST'!A1491</f>
        <v/>
      </c>
      <c r="B1488" s="22" t="str">
        <f>'EQUITY BACKTEST'!B1491</f>
        <v/>
      </c>
      <c r="C1488" s="22" t="str">
        <f>'EQUITY BACKTEST'!E1491</f>
        <v/>
      </c>
      <c r="I1488" s="22" t="str">
        <f t="shared" si="1"/>
        <v>#N/A</v>
      </c>
      <c r="J1488" s="22" t="str">
        <f t="shared" si="2"/>
        <v>#N/A</v>
      </c>
      <c r="K1488" s="22" t="str">
        <f t="shared" si="8"/>
        <v/>
      </c>
    </row>
    <row r="1489" ht="15.75" customHeight="1">
      <c r="A1489" s="32" t="str">
        <f>'EQUITY BACKTEST'!A1492</f>
        <v/>
      </c>
      <c r="B1489" s="22" t="str">
        <f>'EQUITY BACKTEST'!B1492</f>
        <v/>
      </c>
      <c r="C1489" s="22" t="str">
        <f>'EQUITY BACKTEST'!E1492</f>
        <v/>
      </c>
      <c r="I1489" s="22" t="str">
        <f t="shared" si="1"/>
        <v>#N/A</v>
      </c>
      <c r="J1489" s="22" t="str">
        <f t="shared" si="2"/>
        <v>#N/A</v>
      </c>
      <c r="K1489" s="22" t="str">
        <f t="shared" si="8"/>
        <v/>
      </c>
    </row>
    <row r="1490" ht="15.75" customHeight="1">
      <c r="A1490" s="32" t="str">
        <f>'EQUITY BACKTEST'!A1493</f>
        <v/>
      </c>
      <c r="B1490" s="22" t="str">
        <f>'EQUITY BACKTEST'!B1493</f>
        <v/>
      </c>
      <c r="C1490" s="22" t="str">
        <f>'EQUITY BACKTEST'!E1493</f>
        <v/>
      </c>
      <c r="I1490" s="22" t="str">
        <f t="shared" si="1"/>
        <v>#N/A</v>
      </c>
      <c r="J1490" s="22" t="str">
        <f t="shared" si="2"/>
        <v>#N/A</v>
      </c>
      <c r="K1490" s="22" t="str">
        <f t="shared" si="8"/>
        <v/>
      </c>
    </row>
    <row r="1491" ht="15.75" customHeight="1">
      <c r="A1491" s="32" t="str">
        <f>'EQUITY BACKTEST'!A1494</f>
        <v/>
      </c>
      <c r="B1491" s="22" t="str">
        <f>'EQUITY BACKTEST'!B1494</f>
        <v/>
      </c>
      <c r="C1491" s="22" t="str">
        <f>'EQUITY BACKTEST'!E1494</f>
        <v/>
      </c>
      <c r="I1491" s="22" t="str">
        <f t="shared" si="1"/>
        <v>#N/A</v>
      </c>
      <c r="J1491" s="22" t="str">
        <f t="shared" si="2"/>
        <v>#N/A</v>
      </c>
      <c r="K1491" s="22" t="str">
        <f t="shared" si="8"/>
        <v/>
      </c>
    </row>
    <row r="1492" ht="15.75" customHeight="1">
      <c r="A1492" s="32" t="str">
        <f>'EQUITY BACKTEST'!A1495</f>
        <v/>
      </c>
      <c r="B1492" s="22" t="str">
        <f>'EQUITY BACKTEST'!B1495</f>
        <v/>
      </c>
      <c r="C1492" s="22" t="str">
        <f>'EQUITY BACKTEST'!E1495</f>
        <v/>
      </c>
      <c r="I1492" s="22" t="str">
        <f t="shared" si="1"/>
        <v>#N/A</v>
      </c>
      <c r="J1492" s="22" t="str">
        <f t="shared" si="2"/>
        <v>#N/A</v>
      </c>
      <c r="K1492" s="22" t="str">
        <f t="shared" si="8"/>
        <v/>
      </c>
    </row>
    <row r="1493" ht="15.75" customHeight="1">
      <c r="A1493" s="32" t="str">
        <f>'EQUITY BACKTEST'!A1496</f>
        <v/>
      </c>
      <c r="B1493" s="22" t="str">
        <f>'EQUITY BACKTEST'!B1496</f>
        <v/>
      </c>
      <c r="C1493" s="22" t="str">
        <f>'EQUITY BACKTEST'!E1496</f>
        <v/>
      </c>
      <c r="I1493" s="22" t="str">
        <f t="shared" si="1"/>
        <v>#N/A</v>
      </c>
      <c r="J1493" s="22" t="str">
        <f t="shared" si="2"/>
        <v>#N/A</v>
      </c>
      <c r="K1493" s="22" t="str">
        <f t="shared" si="8"/>
        <v/>
      </c>
    </row>
    <row r="1494" ht="15.75" customHeight="1">
      <c r="A1494" s="32" t="str">
        <f>'EQUITY BACKTEST'!A1497</f>
        <v/>
      </c>
      <c r="B1494" s="22" t="str">
        <f>'EQUITY BACKTEST'!B1497</f>
        <v/>
      </c>
      <c r="C1494" s="22" t="str">
        <f>'EQUITY BACKTEST'!E1497</f>
        <v/>
      </c>
      <c r="I1494" s="22" t="str">
        <f t="shared" si="1"/>
        <v>#N/A</v>
      </c>
      <c r="J1494" s="22" t="str">
        <f t="shared" si="2"/>
        <v>#N/A</v>
      </c>
      <c r="K1494" s="22" t="str">
        <f t="shared" si="8"/>
        <v/>
      </c>
    </row>
    <row r="1495" ht="15.75" customHeight="1">
      <c r="A1495" s="32" t="str">
        <f>'EQUITY BACKTEST'!A1498</f>
        <v/>
      </c>
      <c r="B1495" s="22" t="str">
        <f>'EQUITY BACKTEST'!B1498</f>
        <v/>
      </c>
      <c r="C1495" s="22" t="str">
        <f>'EQUITY BACKTEST'!E1498</f>
        <v/>
      </c>
      <c r="I1495" s="22" t="str">
        <f t="shared" si="1"/>
        <v>#N/A</v>
      </c>
      <c r="J1495" s="22" t="str">
        <f t="shared" si="2"/>
        <v>#N/A</v>
      </c>
      <c r="K1495" s="22" t="str">
        <f t="shared" si="8"/>
        <v/>
      </c>
    </row>
    <row r="1496" ht="15.75" customHeight="1">
      <c r="A1496" s="32" t="str">
        <f>'EQUITY BACKTEST'!A1499</f>
        <v/>
      </c>
      <c r="B1496" s="22" t="str">
        <f>'EQUITY BACKTEST'!B1499</f>
        <v/>
      </c>
      <c r="C1496" s="22" t="str">
        <f>'EQUITY BACKTEST'!E1499</f>
        <v/>
      </c>
      <c r="I1496" s="22" t="str">
        <f t="shared" si="1"/>
        <v>#N/A</v>
      </c>
      <c r="J1496" s="22" t="str">
        <f t="shared" si="2"/>
        <v>#N/A</v>
      </c>
      <c r="K1496" s="22" t="str">
        <f t="shared" si="8"/>
        <v/>
      </c>
    </row>
    <row r="1497" ht="15.75" customHeight="1">
      <c r="A1497" s="32" t="str">
        <f>'EQUITY BACKTEST'!A1500</f>
        <v/>
      </c>
      <c r="B1497" s="22" t="str">
        <f>'EQUITY BACKTEST'!B1500</f>
        <v/>
      </c>
      <c r="C1497" s="22" t="str">
        <f>'EQUITY BACKTEST'!E1500</f>
        <v/>
      </c>
      <c r="I1497" s="22" t="str">
        <f t="shared" si="1"/>
        <v>#N/A</v>
      </c>
      <c r="J1497" s="22" t="str">
        <f t="shared" si="2"/>
        <v>#N/A</v>
      </c>
      <c r="K1497" s="22" t="str">
        <f t="shared" si="8"/>
        <v/>
      </c>
    </row>
    <row r="1498" ht="15.75" customHeight="1">
      <c r="A1498" s="32" t="str">
        <f>'EQUITY BACKTEST'!A1501</f>
        <v/>
      </c>
      <c r="B1498" s="22" t="str">
        <f>'EQUITY BACKTEST'!B1501</f>
        <v/>
      </c>
      <c r="C1498" s="22" t="str">
        <f>'EQUITY BACKTEST'!E1501</f>
        <v/>
      </c>
      <c r="I1498" s="22" t="str">
        <f t="shared" si="1"/>
        <v>#N/A</v>
      </c>
      <c r="J1498" s="22" t="str">
        <f t="shared" si="2"/>
        <v>#N/A</v>
      </c>
      <c r="K1498" s="22" t="str">
        <f t="shared" si="8"/>
        <v/>
      </c>
    </row>
    <row r="1499" ht="15.75" customHeight="1">
      <c r="A1499" s="32" t="str">
        <f>'EQUITY BACKTEST'!A1502</f>
        <v/>
      </c>
      <c r="B1499" s="22" t="str">
        <f>'EQUITY BACKTEST'!B1502</f>
        <v/>
      </c>
      <c r="C1499" s="22" t="str">
        <f>'EQUITY BACKTEST'!E1502</f>
        <v/>
      </c>
      <c r="I1499" s="22" t="str">
        <f t="shared" si="1"/>
        <v>#N/A</v>
      </c>
      <c r="J1499" s="22" t="str">
        <f t="shared" si="2"/>
        <v>#N/A</v>
      </c>
      <c r="K1499" s="22" t="str">
        <f t="shared" si="8"/>
        <v/>
      </c>
    </row>
    <row r="1500" ht="15.75" customHeight="1">
      <c r="A1500" s="32" t="str">
        <f>'EQUITY BACKTEST'!A1503</f>
        <v/>
      </c>
      <c r="B1500" s="22" t="str">
        <f>'EQUITY BACKTEST'!B1503</f>
        <v/>
      </c>
      <c r="C1500" s="22" t="str">
        <f>'EQUITY BACKTEST'!E1503</f>
        <v/>
      </c>
      <c r="I1500" s="22" t="str">
        <f t="shared" si="1"/>
        <v>#N/A</v>
      </c>
      <c r="J1500" s="22" t="str">
        <f t="shared" si="2"/>
        <v>#N/A</v>
      </c>
      <c r="K1500" s="22" t="str">
        <f t="shared" si="8"/>
        <v/>
      </c>
    </row>
    <row r="1501" ht="15.75" customHeight="1">
      <c r="A1501" s="32" t="str">
        <f>'EQUITY BACKTEST'!A1504</f>
        <v/>
      </c>
      <c r="B1501" s="22" t="str">
        <f>'EQUITY BACKTEST'!B1504</f>
        <v/>
      </c>
      <c r="C1501" s="22" t="str">
        <f>'EQUITY BACKTEST'!E1504</f>
        <v/>
      </c>
      <c r="I1501" s="22" t="str">
        <f t="shared" si="1"/>
        <v>#N/A</v>
      </c>
      <c r="J1501" s="22" t="str">
        <f t="shared" si="2"/>
        <v>#N/A</v>
      </c>
      <c r="K1501" s="22" t="str">
        <f t="shared" si="8"/>
        <v/>
      </c>
    </row>
    <row r="1502" ht="15.75" customHeight="1">
      <c r="A1502" s="32" t="str">
        <f>'EQUITY BACKTEST'!A1505</f>
        <v/>
      </c>
      <c r="B1502" s="22" t="str">
        <f>'EQUITY BACKTEST'!B1505</f>
        <v/>
      </c>
      <c r="C1502" s="22" t="str">
        <f>'EQUITY BACKTEST'!E1505</f>
        <v/>
      </c>
      <c r="I1502" s="22" t="str">
        <f t="shared" si="1"/>
        <v>#N/A</v>
      </c>
      <c r="J1502" s="22" t="str">
        <f t="shared" si="2"/>
        <v>#N/A</v>
      </c>
      <c r="K1502" s="22" t="str">
        <f t="shared" si="8"/>
        <v/>
      </c>
    </row>
    <row r="1503" ht="15.75" customHeight="1">
      <c r="A1503" s="32" t="str">
        <f>'EQUITY BACKTEST'!A1506</f>
        <v/>
      </c>
      <c r="B1503" s="22" t="str">
        <f>'EQUITY BACKTEST'!B1506</f>
        <v/>
      </c>
      <c r="C1503" s="22" t="str">
        <f>'EQUITY BACKTEST'!E1506</f>
        <v/>
      </c>
      <c r="I1503" s="22" t="str">
        <f t="shared" si="1"/>
        <v>#N/A</v>
      </c>
      <c r="J1503" s="22" t="str">
        <f t="shared" si="2"/>
        <v>#N/A</v>
      </c>
      <c r="K1503" s="22" t="str">
        <f t="shared" si="8"/>
        <v/>
      </c>
    </row>
    <row r="1504" ht="15.75" customHeight="1">
      <c r="A1504" s="32" t="str">
        <f>'EQUITY BACKTEST'!A1507</f>
        <v/>
      </c>
      <c r="B1504" s="22" t="str">
        <f>'EQUITY BACKTEST'!B1507</f>
        <v/>
      </c>
      <c r="C1504" s="22" t="str">
        <f>'EQUITY BACKTEST'!E1507</f>
        <v/>
      </c>
      <c r="I1504" s="22" t="str">
        <f t="shared" si="1"/>
        <v>#N/A</v>
      </c>
      <c r="J1504" s="22" t="str">
        <f t="shared" si="2"/>
        <v>#N/A</v>
      </c>
      <c r="K1504" s="22" t="str">
        <f t="shared" si="8"/>
        <v/>
      </c>
    </row>
    <row r="1505" ht="15.75" customHeight="1">
      <c r="A1505" s="32" t="str">
        <f>'EQUITY BACKTEST'!A1508</f>
        <v/>
      </c>
      <c r="B1505" s="22" t="str">
        <f>'EQUITY BACKTEST'!B1508</f>
        <v/>
      </c>
      <c r="C1505" s="22" t="str">
        <f>'EQUITY BACKTEST'!E1508</f>
        <v/>
      </c>
      <c r="I1505" s="22" t="str">
        <f t="shared" si="1"/>
        <v>#N/A</v>
      </c>
      <c r="J1505" s="22" t="str">
        <f t="shared" si="2"/>
        <v>#N/A</v>
      </c>
      <c r="K1505" s="22" t="str">
        <f t="shared" si="8"/>
        <v/>
      </c>
    </row>
    <row r="1506" ht="15.75" customHeight="1">
      <c r="A1506" s="32" t="str">
        <f>'EQUITY BACKTEST'!A1509</f>
        <v/>
      </c>
      <c r="B1506" s="22" t="str">
        <f>'EQUITY BACKTEST'!B1509</f>
        <v/>
      </c>
      <c r="C1506" s="22" t="str">
        <f>'EQUITY BACKTEST'!E1509</f>
        <v/>
      </c>
      <c r="I1506" s="22" t="str">
        <f t="shared" si="1"/>
        <v>#N/A</v>
      </c>
      <c r="J1506" s="22" t="str">
        <f t="shared" si="2"/>
        <v>#N/A</v>
      </c>
      <c r="K1506" s="22" t="str">
        <f t="shared" si="8"/>
        <v/>
      </c>
    </row>
    <row r="1507" ht="15.75" customHeight="1">
      <c r="A1507" s="32" t="str">
        <f>'EQUITY BACKTEST'!A1510</f>
        <v/>
      </c>
      <c r="B1507" s="22" t="str">
        <f>'EQUITY BACKTEST'!B1510</f>
        <v/>
      </c>
      <c r="C1507" s="22" t="str">
        <f>'EQUITY BACKTEST'!E1510</f>
        <v/>
      </c>
      <c r="I1507" s="22" t="str">
        <f t="shared" si="1"/>
        <v>#N/A</v>
      </c>
      <c r="J1507" s="22" t="str">
        <f t="shared" si="2"/>
        <v>#N/A</v>
      </c>
      <c r="K1507" s="22" t="str">
        <f t="shared" si="8"/>
        <v/>
      </c>
    </row>
    <row r="1508" ht="15.75" customHeight="1">
      <c r="A1508" s="32" t="str">
        <f>'EQUITY BACKTEST'!A1511</f>
        <v/>
      </c>
      <c r="B1508" s="22" t="str">
        <f>'EQUITY BACKTEST'!B1511</f>
        <v/>
      </c>
      <c r="C1508" s="22" t="str">
        <f>'EQUITY BACKTEST'!E1511</f>
        <v/>
      </c>
      <c r="I1508" s="22" t="str">
        <f t="shared" si="1"/>
        <v>#N/A</v>
      </c>
      <c r="J1508" s="22" t="str">
        <f t="shared" si="2"/>
        <v>#N/A</v>
      </c>
      <c r="K1508" s="22" t="str">
        <f t="shared" si="8"/>
        <v/>
      </c>
    </row>
    <row r="1509" ht="15.75" customHeight="1">
      <c r="A1509" s="32" t="str">
        <f>'EQUITY BACKTEST'!A1512</f>
        <v/>
      </c>
      <c r="B1509" s="22" t="str">
        <f>'EQUITY BACKTEST'!B1512</f>
        <v/>
      </c>
      <c r="C1509" s="22" t="str">
        <f>'EQUITY BACKTEST'!E1512</f>
        <v/>
      </c>
      <c r="I1509" s="22" t="str">
        <f t="shared" si="1"/>
        <v>#N/A</v>
      </c>
      <c r="J1509" s="22" t="str">
        <f t="shared" si="2"/>
        <v>#N/A</v>
      </c>
      <c r="K1509" s="22" t="str">
        <f t="shared" si="8"/>
        <v/>
      </c>
    </row>
    <row r="1510" ht="15.75" customHeight="1">
      <c r="A1510" s="32" t="str">
        <f>'EQUITY BACKTEST'!A1513</f>
        <v/>
      </c>
      <c r="B1510" s="22" t="str">
        <f>'EQUITY BACKTEST'!B1513</f>
        <v/>
      </c>
      <c r="C1510" s="22" t="str">
        <f>'EQUITY BACKTEST'!E1513</f>
        <v/>
      </c>
      <c r="I1510" s="22" t="str">
        <f t="shared" si="1"/>
        <v>#N/A</v>
      </c>
      <c r="J1510" s="22" t="str">
        <f t="shared" si="2"/>
        <v>#N/A</v>
      </c>
      <c r="K1510" s="22" t="str">
        <f t="shared" si="8"/>
        <v/>
      </c>
    </row>
    <row r="1511" ht="15.75" customHeight="1">
      <c r="A1511" s="32" t="str">
        <f>'EQUITY BACKTEST'!A1514</f>
        <v/>
      </c>
      <c r="B1511" s="22" t="str">
        <f>'EQUITY BACKTEST'!B1514</f>
        <v/>
      </c>
      <c r="C1511" s="22" t="str">
        <f>'EQUITY BACKTEST'!E1514</f>
        <v/>
      </c>
      <c r="I1511" s="22" t="str">
        <f t="shared" si="1"/>
        <v>#N/A</v>
      </c>
      <c r="J1511" s="22" t="str">
        <f t="shared" si="2"/>
        <v>#N/A</v>
      </c>
      <c r="K1511" s="22" t="str">
        <f t="shared" si="8"/>
        <v/>
      </c>
    </row>
    <row r="1512" ht="15.75" customHeight="1">
      <c r="A1512" s="32" t="str">
        <f>'EQUITY BACKTEST'!A1515</f>
        <v/>
      </c>
      <c r="B1512" s="22" t="str">
        <f>'EQUITY BACKTEST'!B1515</f>
        <v/>
      </c>
      <c r="C1512" s="22" t="str">
        <f>'EQUITY BACKTEST'!E1515</f>
        <v/>
      </c>
      <c r="I1512" s="22" t="str">
        <f t="shared" si="1"/>
        <v>#N/A</v>
      </c>
      <c r="J1512" s="22" t="str">
        <f t="shared" si="2"/>
        <v>#N/A</v>
      </c>
      <c r="K1512" s="22" t="str">
        <f t="shared" si="8"/>
        <v/>
      </c>
    </row>
    <row r="1513" ht="15.75" customHeight="1">
      <c r="A1513" s="32" t="str">
        <f>'EQUITY BACKTEST'!A1516</f>
        <v/>
      </c>
      <c r="B1513" s="22" t="str">
        <f>'EQUITY BACKTEST'!B1516</f>
        <v/>
      </c>
      <c r="C1513" s="22" t="str">
        <f>'EQUITY BACKTEST'!E1516</f>
        <v/>
      </c>
      <c r="I1513" s="22" t="str">
        <f t="shared" si="1"/>
        <v>#N/A</v>
      </c>
      <c r="J1513" s="22" t="str">
        <f t="shared" si="2"/>
        <v>#N/A</v>
      </c>
      <c r="K1513" s="22" t="str">
        <f t="shared" si="8"/>
        <v/>
      </c>
    </row>
    <row r="1514" ht="15.75" customHeight="1">
      <c r="A1514" s="32" t="str">
        <f>'EQUITY BACKTEST'!A1517</f>
        <v/>
      </c>
      <c r="B1514" s="22" t="str">
        <f>'EQUITY BACKTEST'!B1517</f>
        <v/>
      </c>
      <c r="C1514" s="22" t="str">
        <f>'EQUITY BACKTEST'!E1517</f>
        <v/>
      </c>
      <c r="I1514" s="22" t="str">
        <f t="shared" si="1"/>
        <v>#N/A</v>
      </c>
      <c r="J1514" s="22" t="str">
        <f t="shared" si="2"/>
        <v>#N/A</v>
      </c>
      <c r="K1514" s="22" t="str">
        <f t="shared" si="8"/>
        <v/>
      </c>
    </row>
    <row r="1515" ht="15.75" customHeight="1">
      <c r="A1515" s="32" t="str">
        <f>'EQUITY BACKTEST'!A1518</f>
        <v/>
      </c>
      <c r="B1515" s="22" t="str">
        <f>'EQUITY BACKTEST'!B1518</f>
        <v/>
      </c>
      <c r="C1515" s="22" t="str">
        <f>'EQUITY BACKTEST'!E1518</f>
        <v/>
      </c>
      <c r="I1515" s="22" t="str">
        <f t="shared" si="1"/>
        <v>#N/A</v>
      </c>
      <c r="J1515" s="22" t="str">
        <f t="shared" si="2"/>
        <v>#N/A</v>
      </c>
      <c r="K1515" s="22" t="str">
        <f t="shared" si="8"/>
        <v/>
      </c>
    </row>
    <row r="1516" ht="15.75" customHeight="1">
      <c r="A1516" s="32" t="str">
        <f>'EQUITY BACKTEST'!A1519</f>
        <v/>
      </c>
      <c r="B1516" s="22" t="str">
        <f>'EQUITY BACKTEST'!B1519</f>
        <v/>
      </c>
      <c r="C1516" s="22" t="str">
        <f>'EQUITY BACKTEST'!E1519</f>
        <v/>
      </c>
      <c r="I1516" s="22" t="str">
        <f t="shared" si="1"/>
        <v>#N/A</v>
      </c>
      <c r="J1516" s="22" t="str">
        <f t="shared" si="2"/>
        <v>#N/A</v>
      </c>
      <c r="K1516" s="22" t="str">
        <f t="shared" si="8"/>
        <v/>
      </c>
    </row>
    <row r="1517" ht="15.75" customHeight="1">
      <c r="A1517" s="32" t="str">
        <f>'EQUITY BACKTEST'!A1520</f>
        <v/>
      </c>
      <c r="B1517" s="22" t="str">
        <f>'EQUITY BACKTEST'!B1520</f>
        <v/>
      </c>
      <c r="C1517" s="22" t="str">
        <f>'EQUITY BACKTEST'!E1520</f>
        <v/>
      </c>
      <c r="I1517" s="22" t="str">
        <f t="shared" si="1"/>
        <v>#N/A</v>
      </c>
      <c r="J1517" s="22" t="str">
        <f t="shared" si="2"/>
        <v>#N/A</v>
      </c>
      <c r="K1517" s="22" t="str">
        <f t="shared" si="8"/>
        <v/>
      </c>
    </row>
    <row r="1518" ht="15.75" customHeight="1">
      <c r="A1518" s="32" t="str">
        <f>'EQUITY BACKTEST'!A1521</f>
        <v/>
      </c>
      <c r="B1518" s="22" t="str">
        <f>'EQUITY BACKTEST'!B1521</f>
        <v/>
      </c>
      <c r="C1518" s="22" t="str">
        <f>'EQUITY BACKTEST'!E1521</f>
        <v/>
      </c>
      <c r="I1518" s="22" t="str">
        <f t="shared" si="1"/>
        <v>#N/A</v>
      </c>
      <c r="J1518" s="22" t="str">
        <f t="shared" si="2"/>
        <v>#N/A</v>
      </c>
      <c r="K1518" s="22" t="str">
        <f t="shared" si="8"/>
        <v/>
      </c>
    </row>
    <row r="1519" ht="15.75" customHeight="1">
      <c r="A1519" s="32" t="str">
        <f>'EQUITY BACKTEST'!A1522</f>
        <v/>
      </c>
      <c r="B1519" s="22" t="str">
        <f>'EQUITY BACKTEST'!B1522</f>
        <v/>
      </c>
      <c r="C1519" s="22" t="str">
        <f>'EQUITY BACKTEST'!E1522</f>
        <v/>
      </c>
      <c r="I1519" s="22" t="str">
        <f t="shared" si="1"/>
        <v>#N/A</v>
      </c>
      <c r="J1519" s="22" t="str">
        <f t="shared" si="2"/>
        <v>#N/A</v>
      </c>
      <c r="K1519" s="22" t="str">
        <f t="shared" si="8"/>
        <v/>
      </c>
    </row>
    <row r="1520" ht="15.75" customHeight="1">
      <c r="A1520" s="32" t="str">
        <f>'EQUITY BACKTEST'!A1523</f>
        <v/>
      </c>
      <c r="B1520" s="22" t="str">
        <f>'EQUITY BACKTEST'!B1523</f>
        <v/>
      </c>
      <c r="C1520" s="22" t="str">
        <f>'EQUITY BACKTEST'!E1523</f>
        <v/>
      </c>
      <c r="I1520" s="22" t="str">
        <f t="shared" si="1"/>
        <v>#N/A</v>
      </c>
      <c r="J1520" s="22" t="str">
        <f t="shared" si="2"/>
        <v>#N/A</v>
      </c>
      <c r="K1520" s="22" t="str">
        <f t="shared" si="8"/>
        <v/>
      </c>
    </row>
    <row r="1521" ht="15.75" customHeight="1">
      <c r="A1521" s="32" t="str">
        <f>'EQUITY BACKTEST'!A1524</f>
        <v/>
      </c>
      <c r="B1521" s="22" t="str">
        <f>'EQUITY BACKTEST'!B1524</f>
        <v/>
      </c>
      <c r="C1521" s="22" t="str">
        <f>'EQUITY BACKTEST'!E1524</f>
        <v/>
      </c>
      <c r="I1521" s="22" t="str">
        <f t="shared" si="1"/>
        <v>#N/A</v>
      </c>
      <c r="J1521" s="22" t="str">
        <f t="shared" si="2"/>
        <v>#N/A</v>
      </c>
      <c r="K1521" s="22" t="str">
        <f t="shared" si="8"/>
        <v/>
      </c>
    </row>
    <row r="1522" ht="15.75" customHeight="1">
      <c r="A1522" s="32" t="str">
        <f>'EQUITY BACKTEST'!A1525</f>
        <v/>
      </c>
      <c r="B1522" s="22" t="str">
        <f>'EQUITY BACKTEST'!B1525</f>
        <v/>
      </c>
      <c r="C1522" s="22" t="str">
        <f>'EQUITY BACKTEST'!E1525</f>
        <v/>
      </c>
      <c r="I1522" s="22" t="str">
        <f t="shared" si="1"/>
        <v>#N/A</v>
      </c>
      <c r="J1522" s="22" t="str">
        <f t="shared" si="2"/>
        <v>#N/A</v>
      </c>
      <c r="K1522" s="22" t="str">
        <f t="shared" si="8"/>
        <v/>
      </c>
    </row>
    <row r="1523" ht="15.75" customHeight="1">
      <c r="A1523" s="32" t="str">
        <f>'EQUITY BACKTEST'!A1526</f>
        <v/>
      </c>
      <c r="B1523" s="22" t="str">
        <f>'EQUITY BACKTEST'!B1526</f>
        <v/>
      </c>
      <c r="C1523" s="22" t="str">
        <f>'EQUITY BACKTEST'!E1526</f>
        <v/>
      </c>
      <c r="I1523" s="22" t="str">
        <f t="shared" si="1"/>
        <v>#N/A</v>
      </c>
      <c r="J1523" s="22" t="str">
        <f t="shared" si="2"/>
        <v>#N/A</v>
      </c>
      <c r="K1523" s="22" t="str">
        <f t="shared" si="8"/>
        <v/>
      </c>
    </row>
    <row r="1524" ht="15.75" customHeight="1">
      <c r="A1524" s="32" t="str">
        <f>'EQUITY BACKTEST'!A1527</f>
        <v/>
      </c>
      <c r="B1524" s="22" t="str">
        <f>'EQUITY BACKTEST'!B1527</f>
        <v/>
      </c>
      <c r="C1524" s="22" t="str">
        <f>'EQUITY BACKTEST'!E1527</f>
        <v/>
      </c>
      <c r="I1524" s="22" t="str">
        <f t="shared" si="1"/>
        <v>#N/A</v>
      </c>
      <c r="J1524" s="22" t="str">
        <f t="shared" si="2"/>
        <v>#N/A</v>
      </c>
      <c r="K1524" s="22" t="str">
        <f t="shared" si="8"/>
        <v/>
      </c>
    </row>
    <row r="1525" ht="15.75" customHeight="1">
      <c r="A1525" s="32" t="str">
        <f>'EQUITY BACKTEST'!A1528</f>
        <v/>
      </c>
      <c r="B1525" s="22" t="str">
        <f>'EQUITY BACKTEST'!B1528</f>
        <v/>
      </c>
      <c r="C1525" s="22" t="str">
        <f>'EQUITY BACKTEST'!E1528</f>
        <v/>
      </c>
      <c r="I1525" s="22" t="str">
        <f t="shared" si="1"/>
        <v>#N/A</v>
      </c>
      <c r="J1525" s="22" t="str">
        <f t="shared" si="2"/>
        <v>#N/A</v>
      </c>
      <c r="K1525" s="22" t="str">
        <f t="shared" si="8"/>
        <v/>
      </c>
    </row>
    <row r="1526" ht="15.75" customHeight="1">
      <c r="A1526" s="32" t="str">
        <f>'EQUITY BACKTEST'!A1529</f>
        <v/>
      </c>
      <c r="B1526" s="22" t="str">
        <f>'EQUITY BACKTEST'!B1529</f>
        <v/>
      </c>
      <c r="C1526" s="22" t="str">
        <f>'EQUITY BACKTEST'!E1529</f>
        <v/>
      </c>
      <c r="I1526" s="22" t="str">
        <f t="shared" si="1"/>
        <v>#N/A</v>
      </c>
      <c r="J1526" s="22" t="str">
        <f t="shared" si="2"/>
        <v>#N/A</v>
      </c>
      <c r="K1526" s="22" t="str">
        <f t="shared" si="8"/>
        <v/>
      </c>
    </row>
    <row r="1527" ht="15.75" customHeight="1">
      <c r="A1527" s="32" t="str">
        <f>'EQUITY BACKTEST'!A1530</f>
        <v/>
      </c>
      <c r="B1527" s="22" t="str">
        <f>'EQUITY BACKTEST'!B1530</f>
        <v/>
      </c>
      <c r="C1527" s="22" t="str">
        <f>'EQUITY BACKTEST'!E1530</f>
        <v/>
      </c>
      <c r="I1527" s="22" t="str">
        <f t="shared" si="1"/>
        <v>#N/A</v>
      </c>
      <c r="J1527" s="22" t="str">
        <f t="shared" si="2"/>
        <v>#N/A</v>
      </c>
      <c r="K1527" s="22" t="str">
        <f t="shared" si="8"/>
        <v/>
      </c>
    </row>
    <row r="1528" ht="15.75" customHeight="1">
      <c r="A1528" s="32" t="str">
        <f>'EQUITY BACKTEST'!A1531</f>
        <v/>
      </c>
      <c r="B1528" s="22" t="str">
        <f>'EQUITY BACKTEST'!B1531</f>
        <v/>
      </c>
      <c r="C1528" s="22" t="str">
        <f>'EQUITY BACKTEST'!E1531</f>
        <v/>
      </c>
      <c r="I1528" s="22" t="str">
        <f t="shared" si="1"/>
        <v>#N/A</v>
      </c>
      <c r="J1528" s="22" t="str">
        <f t="shared" si="2"/>
        <v>#N/A</v>
      </c>
      <c r="K1528" s="22" t="str">
        <f t="shared" si="8"/>
        <v/>
      </c>
    </row>
    <row r="1529" ht="15.75" customHeight="1">
      <c r="A1529" s="32" t="str">
        <f>'EQUITY BACKTEST'!A1532</f>
        <v/>
      </c>
      <c r="B1529" s="22" t="str">
        <f>'EQUITY BACKTEST'!B1532</f>
        <v/>
      </c>
      <c r="C1529" s="22" t="str">
        <f>'EQUITY BACKTEST'!E1532</f>
        <v/>
      </c>
      <c r="I1529" s="22" t="str">
        <f t="shared" si="1"/>
        <v>#N/A</v>
      </c>
      <c r="J1529" s="22" t="str">
        <f t="shared" si="2"/>
        <v>#N/A</v>
      </c>
      <c r="K1529" s="22" t="str">
        <f t="shared" si="8"/>
        <v/>
      </c>
    </row>
    <row r="1530" ht="15.75" customHeight="1">
      <c r="A1530" s="32" t="str">
        <f>'EQUITY BACKTEST'!A1533</f>
        <v/>
      </c>
      <c r="B1530" s="22" t="str">
        <f>'EQUITY BACKTEST'!B1533</f>
        <v/>
      </c>
      <c r="C1530" s="22" t="str">
        <f>'EQUITY BACKTEST'!E1533</f>
        <v/>
      </c>
      <c r="I1530" s="22" t="str">
        <f t="shared" si="1"/>
        <v>#N/A</v>
      </c>
      <c r="J1530" s="22" t="str">
        <f t="shared" si="2"/>
        <v>#N/A</v>
      </c>
      <c r="K1530" s="22" t="str">
        <f t="shared" si="8"/>
        <v/>
      </c>
    </row>
    <row r="1531" ht="15.75" customHeight="1">
      <c r="A1531" s="32" t="str">
        <f>'EQUITY BACKTEST'!A1534</f>
        <v/>
      </c>
      <c r="B1531" s="22" t="str">
        <f>'EQUITY BACKTEST'!B1534</f>
        <v/>
      </c>
      <c r="C1531" s="22" t="str">
        <f>'EQUITY BACKTEST'!E1534</f>
        <v/>
      </c>
      <c r="I1531" s="22" t="str">
        <f t="shared" si="1"/>
        <v>#N/A</v>
      </c>
      <c r="J1531" s="22" t="str">
        <f t="shared" si="2"/>
        <v>#N/A</v>
      </c>
      <c r="K1531" s="22" t="str">
        <f t="shared" si="8"/>
        <v/>
      </c>
    </row>
    <row r="1532" ht="15.75" customHeight="1">
      <c r="A1532" s="32" t="str">
        <f>'EQUITY BACKTEST'!A1535</f>
        <v/>
      </c>
      <c r="B1532" s="22" t="str">
        <f>'EQUITY BACKTEST'!B1535</f>
        <v/>
      </c>
      <c r="C1532" s="22" t="str">
        <f>'EQUITY BACKTEST'!E1535</f>
        <v/>
      </c>
      <c r="I1532" s="22" t="str">
        <f t="shared" si="1"/>
        <v>#N/A</v>
      </c>
      <c r="J1532" s="22" t="str">
        <f t="shared" si="2"/>
        <v>#N/A</v>
      </c>
      <c r="K1532" s="22" t="str">
        <f t="shared" si="8"/>
        <v/>
      </c>
    </row>
    <row r="1533" ht="15.75" customHeight="1">
      <c r="A1533" s="32" t="str">
        <f>'EQUITY BACKTEST'!A1536</f>
        <v/>
      </c>
      <c r="B1533" s="22" t="str">
        <f>'EQUITY BACKTEST'!B1536</f>
        <v/>
      </c>
      <c r="C1533" s="22" t="str">
        <f>'EQUITY BACKTEST'!E1536</f>
        <v/>
      </c>
      <c r="I1533" s="22" t="str">
        <f t="shared" si="1"/>
        <v>#N/A</v>
      </c>
      <c r="J1533" s="22" t="str">
        <f t="shared" si="2"/>
        <v>#N/A</v>
      </c>
      <c r="K1533" s="22" t="str">
        <f t="shared" si="8"/>
        <v/>
      </c>
    </row>
    <row r="1534" ht="15.75" customHeight="1">
      <c r="A1534" s="32" t="str">
        <f>'EQUITY BACKTEST'!A1537</f>
        <v/>
      </c>
      <c r="B1534" s="22" t="str">
        <f>'EQUITY BACKTEST'!B1537</f>
        <v/>
      </c>
      <c r="C1534" s="22" t="str">
        <f>'EQUITY BACKTEST'!E1537</f>
        <v/>
      </c>
      <c r="I1534" s="22" t="str">
        <f t="shared" si="1"/>
        <v>#N/A</v>
      </c>
      <c r="J1534" s="22" t="str">
        <f t="shared" si="2"/>
        <v>#N/A</v>
      </c>
      <c r="K1534" s="22" t="str">
        <f t="shared" si="8"/>
        <v/>
      </c>
    </row>
    <row r="1535" ht="15.75" customHeight="1">
      <c r="A1535" s="32" t="str">
        <f>'EQUITY BACKTEST'!A1538</f>
        <v/>
      </c>
      <c r="B1535" s="22" t="str">
        <f>'EQUITY BACKTEST'!B1538</f>
        <v/>
      </c>
      <c r="C1535" s="22" t="str">
        <f>'EQUITY BACKTEST'!E1538</f>
        <v/>
      </c>
      <c r="I1535" s="22" t="str">
        <f t="shared" si="1"/>
        <v>#N/A</v>
      </c>
      <c r="J1535" s="22" t="str">
        <f t="shared" si="2"/>
        <v>#N/A</v>
      </c>
      <c r="K1535" s="22" t="str">
        <f t="shared" si="8"/>
        <v/>
      </c>
    </row>
    <row r="1536" ht="15.75" customHeight="1">
      <c r="A1536" s="32" t="str">
        <f>'EQUITY BACKTEST'!A1539</f>
        <v/>
      </c>
      <c r="B1536" s="22" t="str">
        <f>'EQUITY BACKTEST'!B1539</f>
        <v/>
      </c>
      <c r="C1536" s="22" t="str">
        <f>'EQUITY BACKTEST'!E1539</f>
        <v/>
      </c>
      <c r="I1536" s="22" t="str">
        <f t="shared" si="1"/>
        <v>#N/A</v>
      </c>
      <c r="J1536" s="22" t="str">
        <f t="shared" si="2"/>
        <v>#N/A</v>
      </c>
      <c r="K1536" s="22" t="str">
        <f t="shared" si="8"/>
        <v/>
      </c>
    </row>
    <row r="1537" ht="15.75" customHeight="1">
      <c r="A1537" s="32" t="str">
        <f>'EQUITY BACKTEST'!A1540</f>
        <v/>
      </c>
      <c r="B1537" s="22" t="str">
        <f>'EQUITY BACKTEST'!B1540</f>
        <v/>
      </c>
      <c r="C1537" s="22" t="str">
        <f>'EQUITY BACKTEST'!E1540</f>
        <v/>
      </c>
      <c r="I1537" s="22" t="str">
        <f t="shared" si="1"/>
        <v>#N/A</v>
      </c>
      <c r="J1537" s="22" t="str">
        <f t="shared" si="2"/>
        <v>#N/A</v>
      </c>
      <c r="K1537" s="22" t="str">
        <f t="shared" si="8"/>
        <v/>
      </c>
    </row>
    <row r="1538" ht="15.75" customHeight="1">
      <c r="A1538" s="32" t="str">
        <f>'EQUITY BACKTEST'!A1541</f>
        <v/>
      </c>
      <c r="B1538" s="22" t="str">
        <f>'EQUITY BACKTEST'!B1541</f>
        <v/>
      </c>
      <c r="C1538" s="22" t="str">
        <f>'EQUITY BACKTEST'!E1541</f>
        <v/>
      </c>
      <c r="I1538" s="22" t="str">
        <f t="shared" si="1"/>
        <v>#N/A</v>
      </c>
      <c r="J1538" s="22" t="str">
        <f t="shared" si="2"/>
        <v>#N/A</v>
      </c>
      <c r="K1538" s="22" t="str">
        <f t="shared" si="8"/>
        <v/>
      </c>
    </row>
    <row r="1539" ht="15.75" customHeight="1">
      <c r="A1539" s="32" t="str">
        <f>'EQUITY BACKTEST'!A1542</f>
        <v/>
      </c>
      <c r="B1539" s="22" t="str">
        <f>'EQUITY BACKTEST'!B1542</f>
        <v/>
      </c>
      <c r="C1539" s="22" t="str">
        <f>'EQUITY BACKTEST'!E1542</f>
        <v/>
      </c>
      <c r="I1539" s="22" t="str">
        <f t="shared" si="1"/>
        <v>#N/A</v>
      </c>
      <c r="J1539" s="22" t="str">
        <f t="shared" si="2"/>
        <v>#N/A</v>
      </c>
      <c r="K1539" s="22" t="str">
        <f t="shared" si="8"/>
        <v/>
      </c>
    </row>
    <row r="1540" ht="15.75" customHeight="1">
      <c r="A1540" s="32" t="str">
        <f>'EQUITY BACKTEST'!A1543</f>
        <v/>
      </c>
      <c r="B1540" s="22" t="str">
        <f>'EQUITY BACKTEST'!B1543</f>
        <v/>
      </c>
      <c r="C1540" s="22" t="str">
        <f>'EQUITY BACKTEST'!E1543</f>
        <v/>
      </c>
      <c r="I1540" s="22" t="str">
        <f t="shared" si="1"/>
        <v>#N/A</v>
      </c>
      <c r="J1540" s="22" t="str">
        <f t="shared" si="2"/>
        <v>#N/A</v>
      </c>
      <c r="K1540" s="22" t="str">
        <f t="shared" si="8"/>
        <v/>
      </c>
    </row>
    <row r="1541" ht="15.75" customHeight="1">
      <c r="A1541" s="32" t="str">
        <f>'EQUITY BACKTEST'!A1544</f>
        <v/>
      </c>
      <c r="B1541" s="22" t="str">
        <f>'EQUITY BACKTEST'!B1544</f>
        <v/>
      </c>
      <c r="C1541" s="22" t="str">
        <f>'EQUITY BACKTEST'!E1544</f>
        <v/>
      </c>
      <c r="I1541" s="22" t="str">
        <f t="shared" si="1"/>
        <v>#N/A</v>
      </c>
      <c r="J1541" s="22" t="str">
        <f t="shared" si="2"/>
        <v>#N/A</v>
      </c>
      <c r="K1541" s="22" t="str">
        <f t="shared" si="8"/>
        <v/>
      </c>
    </row>
    <row r="1542" ht="15.75" customHeight="1">
      <c r="A1542" s="32" t="str">
        <f>'EQUITY BACKTEST'!A1545</f>
        <v/>
      </c>
      <c r="B1542" s="22" t="str">
        <f>'EQUITY BACKTEST'!B1545</f>
        <v/>
      </c>
      <c r="C1542" s="22" t="str">
        <f>'EQUITY BACKTEST'!E1545</f>
        <v/>
      </c>
      <c r="I1542" s="22" t="str">
        <f t="shared" si="1"/>
        <v>#N/A</v>
      </c>
      <c r="J1542" s="22" t="str">
        <f t="shared" si="2"/>
        <v>#N/A</v>
      </c>
      <c r="K1542" s="22" t="str">
        <f t="shared" si="8"/>
        <v/>
      </c>
    </row>
    <row r="1543" ht="15.75" customHeight="1">
      <c r="A1543" s="32" t="str">
        <f>'EQUITY BACKTEST'!A1546</f>
        <v/>
      </c>
      <c r="B1543" s="22" t="str">
        <f>'EQUITY BACKTEST'!B1546</f>
        <v/>
      </c>
      <c r="C1543" s="22" t="str">
        <f>'EQUITY BACKTEST'!E1546</f>
        <v/>
      </c>
      <c r="I1543" s="22" t="str">
        <f t="shared" si="1"/>
        <v>#N/A</v>
      </c>
      <c r="J1543" s="22" t="str">
        <f t="shared" si="2"/>
        <v>#N/A</v>
      </c>
      <c r="K1543" s="22" t="str">
        <f t="shared" si="8"/>
        <v/>
      </c>
    </row>
    <row r="1544" ht="15.75" customHeight="1">
      <c r="A1544" s="32" t="str">
        <f>'EQUITY BACKTEST'!A1547</f>
        <v/>
      </c>
      <c r="B1544" s="22" t="str">
        <f>'EQUITY BACKTEST'!B1547</f>
        <v/>
      </c>
      <c r="C1544" s="22" t="str">
        <f>'EQUITY BACKTEST'!E1547</f>
        <v/>
      </c>
      <c r="I1544" s="22" t="str">
        <f t="shared" si="1"/>
        <v>#N/A</v>
      </c>
      <c r="J1544" s="22" t="str">
        <f t="shared" si="2"/>
        <v>#N/A</v>
      </c>
      <c r="K1544" s="22" t="str">
        <f t="shared" si="8"/>
        <v/>
      </c>
    </row>
    <row r="1545" ht="15.75" customHeight="1">
      <c r="A1545" s="32" t="str">
        <f>'EQUITY BACKTEST'!A1548</f>
        <v/>
      </c>
      <c r="B1545" s="22" t="str">
        <f>'EQUITY BACKTEST'!B1548</f>
        <v/>
      </c>
      <c r="C1545" s="22" t="str">
        <f>'EQUITY BACKTEST'!E1548</f>
        <v/>
      </c>
      <c r="I1545" s="22" t="str">
        <f t="shared" si="1"/>
        <v>#N/A</v>
      </c>
      <c r="J1545" s="22" t="str">
        <f t="shared" si="2"/>
        <v>#N/A</v>
      </c>
      <c r="K1545" s="22" t="str">
        <f t="shared" si="8"/>
        <v/>
      </c>
    </row>
    <row r="1546" ht="15.75" customHeight="1">
      <c r="A1546" s="32" t="str">
        <f>'EQUITY BACKTEST'!A1549</f>
        <v/>
      </c>
      <c r="B1546" s="22" t="str">
        <f>'EQUITY BACKTEST'!B1549</f>
        <v/>
      </c>
      <c r="C1546" s="22" t="str">
        <f>'EQUITY BACKTEST'!E1549</f>
        <v/>
      </c>
      <c r="I1546" s="22" t="str">
        <f t="shared" si="1"/>
        <v>#N/A</v>
      </c>
      <c r="J1546" s="22" t="str">
        <f t="shared" si="2"/>
        <v>#N/A</v>
      </c>
      <c r="K1546" s="22" t="str">
        <f t="shared" si="8"/>
        <v/>
      </c>
    </row>
    <row r="1547" ht="15.75" customHeight="1">
      <c r="A1547" s="32" t="str">
        <f>'EQUITY BACKTEST'!A1550</f>
        <v/>
      </c>
      <c r="B1547" s="22" t="str">
        <f>'EQUITY BACKTEST'!B1550</f>
        <v/>
      </c>
      <c r="C1547" s="22" t="str">
        <f>'EQUITY BACKTEST'!E1550</f>
        <v/>
      </c>
      <c r="I1547" s="22" t="str">
        <f t="shared" si="1"/>
        <v>#N/A</v>
      </c>
      <c r="J1547" s="22" t="str">
        <f t="shared" si="2"/>
        <v>#N/A</v>
      </c>
      <c r="K1547" s="22" t="str">
        <f t="shared" si="8"/>
        <v/>
      </c>
    </row>
    <row r="1548" ht="15.75" customHeight="1">
      <c r="A1548" s="32" t="str">
        <f>'EQUITY BACKTEST'!A1551</f>
        <v/>
      </c>
      <c r="B1548" s="22" t="str">
        <f>'EQUITY BACKTEST'!B1551</f>
        <v/>
      </c>
      <c r="C1548" s="22" t="str">
        <f>'EQUITY BACKTEST'!E1551</f>
        <v/>
      </c>
      <c r="I1548" s="22" t="str">
        <f t="shared" si="1"/>
        <v>#N/A</v>
      </c>
      <c r="J1548" s="22" t="str">
        <f t="shared" si="2"/>
        <v>#N/A</v>
      </c>
      <c r="K1548" s="22" t="str">
        <f t="shared" si="8"/>
        <v/>
      </c>
    </row>
    <row r="1549" ht="15.75" customHeight="1">
      <c r="A1549" s="32" t="str">
        <f>'EQUITY BACKTEST'!A1552</f>
        <v/>
      </c>
      <c r="B1549" s="22" t="str">
        <f>'EQUITY BACKTEST'!B1552</f>
        <v/>
      </c>
      <c r="C1549" s="22" t="str">
        <f>'EQUITY BACKTEST'!E1552</f>
        <v/>
      </c>
      <c r="I1549" s="22" t="str">
        <f t="shared" si="1"/>
        <v>#N/A</v>
      </c>
      <c r="J1549" s="22" t="str">
        <f t="shared" si="2"/>
        <v>#N/A</v>
      </c>
      <c r="K1549" s="22" t="str">
        <f t="shared" si="8"/>
        <v/>
      </c>
    </row>
    <row r="1550" ht="15.75" customHeight="1">
      <c r="A1550" s="32" t="str">
        <f>'EQUITY BACKTEST'!A1553</f>
        <v/>
      </c>
      <c r="B1550" s="22" t="str">
        <f>'EQUITY BACKTEST'!B1553</f>
        <v/>
      </c>
      <c r="C1550" s="22" t="str">
        <f>'EQUITY BACKTEST'!E1553</f>
        <v/>
      </c>
      <c r="I1550" s="22" t="str">
        <f t="shared" si="1"/>
        <v>#N/A</v>
      </c>
      <c r="J1550" s="22" t="str">
        <f t="shared" si="2"/>
        <v>#N/A</v>
      </c>
      <c r="K1550" s="22" t="str">
        <f t="shared" si="8"/>
        <v/>
      </c>
    </row>
    <row r="1551" ht="15.75" customHeight="1">
      <c r="A1551" s="32" t="str">
        <f>'EQUITY BACKTEST'!A1554</f>
        <v/>
      </c>
      <c r="B1551" s="22" t="str">
        <f>'EQUITY BACKTEST'!B1554</f>
        <v/>
      </c>
      <c r="C1551" s="22" t="str">
        <f>'EQUITY BACKTEST'!E1554</f>
        <v/>
      </c>
      <c r="I1551" s="22" t="str">
        <f t="shared" si="1"/>
        <v>#N/A</v>
      </c>
      <c r="J1551" s="22" t="str">
        <f t="shared" si="2"/>
        <v>#N/A</v>
      </c>
      <c r="K1551" s="22" t="str">
        <f t="shared" si="8"/>
        <v/>
      </c>
    </row>
    <row r="1552" ht="15.75" customHeight="1">
      <c r="A1552" s="32" t="str">
        <f>'EQUITY BACKTEST'!A1555</f>
        <v/>
      </c>
      <c r="B1552" s="22" t="str">
        <f>'EQUITY BACKTEST'!B1555</f>
        <v/>
      </c>
      <c r="C1552" s="22" t="str">
        <f>'EQUITY BACKTEST'!E1555</f>
        <v/>
      </c>
      <c r="I1552" s="22" t="str">
        <f t="shared" si="1"/>
        <v>#N/A</v>
      </c>
      <c r="J1552" s="22" t="str">
        <f t="shared" si="2"/>
        <v>#N/A</v>
      </c>
      <c r="K1552" s="22" t="str">
        <f t="shared" si="8"/>
        <v/>
      </c>
    </row>
    <row r="1553" ht="15.75" customHeight="1">
      <c r="A1553" s="32" t="str">
        <f>'EQUITY BACKTEST'!A1556</f>
        <v/>
      </c>
      <c r="B1553" s="22" t="str">
        <f>'EQUITY BACKTEST'!B1556</f>
        <v/>
      </c>
      <c r="C1553" s="22" t="str">
        <f>'EQUITY BACKTEST'!E1556</f>
        <v/>
      </c>
      <c r="I1553" s="22" t="str">
        <f t="shared" si="1"/>
        <v>#N/A</v>
      </c>
      <c r="J1553" s="22" t="str">
        <f t="shared" si="2"/>
        <v>#N/A</v>
      </c>
      <c r="K1553" s="22" t="str">
        <f t="shared" si="8"/>
        <v/>
      </c>
    </row>
    <row r="1554" ht="15.75" customHeight="1">
      <c r="A1554" s="32" t="str">
        <f>'EQUITY BACKTEST'!A1557</f>
        <v/>
      </c>
      <c r="B1554" s="22" t="str">
        <f>'EQUITY BACKTEST'!B1557</f>
        <v/>
      </c>
      <c r="C1554" s="22" t="str">
        <f>'EQUITY BACKTEST'!E1557</f>
        <v/>
      </c>
      <c r="I1554" s="22" t="str">
        <f t="shared" si="1"/>
        <v>#N/A</v>
      </c>
      <c r="J1554" s="22" t="str">
        <f t="shared" si="2"/>
        <v>#N/A</v>
      </c>
      <c r="K1554" s="22" t="str">
        <f t="shared" si="8"/>
        <v/>
      </c>
    </row>
    <row r="1555" ht="15.75" customHeight="1">
      <c r="A1555" s="32" t="str">
        <f>'EQUITY BACKTEST'!A1558</f>
        <v/>
      </c>
      <c r="B1555" s="22" t="str">
        <f>'EQUITY BACKTEST'!B1558</f>
        <v/>
      </c>
      <c r="C1555" s="22" t="str">
        <f>'EQUITY BACKTEST'!E1558</f>
        <v/>
      </c>
      <c r="I1555" s="22" t="str">
        <f t="shared" si="1"/>
        <v>#N/A</v>
      </c>
      <c r="J1555" s="22" t="str">
        <f t="shared" si="2"/>
        <v>#N/A</v>
      </c>
      <c r="K1555" s="22" t="str">
        <f t="shared" si="8"/>
        <v/>
      </c>
    </row>
    <row r="1556" ht="15.75" customHeight="1">
      <c r="A1556" s="32" t="str">
        <f>'EQUITY BACKTEST'!A1559</f>
        <v/>
      </c>
      <c r="B1556" s="22" t="str">
        <f>'EQUITY BACKTEST'!B1559</f>
        <v/>
      </c>
      <c r="C1556" s="22" t="str">
        <f>'EQUITY BACKTEST'!E1559</f>
        <v/>
      </c>
      <c r="I1556" s="22" t="str">
        <f t="shared" si="1"/>
        <v>#N/A</v>
      </c>
      <c r="J1556" s="22" t="str">
        <f t="shared" si="2"/>
        <v>#N/A</v>
      </c>
      <c r="K1556" s="22" t="str">
        <f t="shared" si="8"/>
        <v/>
      </c>
    </row>
    <row r="1557" ht="15.75" customHeight="1">
      <c r="A1557" s="32" t="str">
        <f>'EQUITY BACKTEST'!A1560</f>
        <v/>
      </c>
      <c r="B1557" s="22" t="str">
        <f>'EQUITY BACKTEST'!B1560</f>
        <v/>
      </c>
      <c r="C1557" s="22" t="str">
        <f>'EQUITY BACKTEST'!E1560</f>
        <v/>
      </c>
      <c r="I1557" s="22" t="str">
        <f t="shared" si="1"/>
        <v>#N/A</v>
      </c>
      <c r="J1557" s="22" t="str">
        <f t="shared" si="2"/>
        <v>#N/A</v>
      </c>
      <c r="K1557" s="22" t="str">
        <f t="shared" si="8"/>
        <v/>
      </c>
    </row>
    <row r="1558" ht="15.75" customHeight="1">
      <c r="A1558" s="32" t="str">
        <f>'EQUITY BACKTEST'!A1561</f>
        <v/>
      </c>
      <c r="B1558" s="22" t="str">
        <f>'EQUITY BACKTEST'!B1561</f>
        <v/>
      </c>
      <c r="C1558" s="22" t="str">
        <f>'EQUITY BACKTEST'!E1561</f>
        <v/>
      </c>
      <c r="I1558" s="22" t="str">
        <f t="shared" si="1"/>
        <v>#N/A</v>
      </c>
      <c r="J1558" s="22" t="str">
        <f t="shared" si="2"/>
        <v>#N/A</v>
      </c>
      <c r="K1558" s="22" t="str">
        <f t="shared" si="8"/>
        <v/>
      </c>
    </row>
    <row r="1559" ht="15.75" customHeight="1">
      <c r="A1559" s="32" t="str">
        <f>'EQUITY BACKTEST'!A1562</f>
        <v/>
      </c>
      <c r="B1559" s="22" t="str">
        <f>'EQUITY BACKTEST'!B1562</f>
        <v/>
      </c>
      <c r="C1559" s="22" t="str">
        <f>'EQUITY BACKTEST'!E1562</f>
        <v/>
      </c>
      <c r="I1559" s="22" t="str">
        <f t="shared" si="1"/>
        <v>#N/A</v>
      </c>
      <c r="J1559" s="22" t="str">
        <f t="shared" si="2"/>
        <v>#N/A</v>
      </c>
      <c r="K1559" s="22" t="str">
        <f t="shared" si="8"/>
        <v/>
      </c>
    </row>
    <row r="1560" ht="15.75" customHeight="1">
      <c r="A1560" s="32" t="str">
        <f>'EQUITY BACKTEST'!A1563</f>
        <v/>
      </c>
      <c r="B1560" s="22" t="str">
        <f>'EQUITY BACKTEST'!B1563</f>
        <v/>
      </c>
      <c r="C1560" s="22" t="str">
        <f>'EQUITY BACKTEST'!E1563</f>
        <v/>
      </c>
      <c r="I1560" s="22" t="str">
        <f t="shared" si="1"/>
        <v>#N/A</v>
      </c>
      <c r="J1560" s="22" t="str">
        <f t="shared" si="2"/>
        <v>#N/A</v>
      </c>
      <c r="K1560" s="22" t="str">
        <f t="shared" si="8"/>
        <v/>
      </c>
    </row>
    <row r="1561" ht="15.75" customHeight="1">
      <c r="A1561" s="32" t="str">
        <f>'EQUITY BACKTEST'!A1564</f>
        <v/>
      </c>
      <c r="B1561" s="22" t="str">
        <f>'EQUITY BACKTEST'!B1564</f>
        <v/>
      </c>
      <c r="C1561" s="22" t="str">
        <f>'EQUITY BACKTEST'!E1564</f>
        <v/>
      </c>
      <c r="I1561" s="22" t="str">
        <f t="shared" si="1"/>
        <v>#N/A</v>
      </c>
      <c r="J1561" s="22" t="str">
        <f t="shared" si="2"/>
        <v>#N/A</v>
      </c>
      <c r="K1561" s="22" t="str">
        <f t="shared" si="8"/>
        <v/>
      </c>
    </row>
    <row r="1562" ht="15.75" customHeight="1">
      <c r="A1562" s="32" t="str">
        <f>'EQUITY BACKTEST'!A1565</f>
        <v/>
      </c>
      <c r="B1562" s="22" t="str">
        <f>'EQUITY BACKTEST'!B1565</f>
        <v/>
      </c>
      <c r="C1562" s="22" t="str">
        <f>'EQUITY BACKTEST'!E1565</f>
        <v/>
      </c>
      <c r="I1562" s="22" t="str">
        <f t="shared" si="1"/>
        <v>#N/A</v>
      </c>
      <c r="J1562" s="22" t="str">
        <f t="shared" si="2"/>
        <v>#N/A</v>
      </c>
      <c r="K1562" s="22" t="str">
        <f t="shared" si="8"/>
        <v/>
      </c>
    </row>
    <row r="1563" ht="15.75" customHeight="1">
      <c r="A1563" s="32" t="str">
        <f>'EQUITY BACKTEST'!A1566</f>
        <v/>
      </c>
      <c r="B1563" s="22" t="str">
        <f>'EQUITY BACKTEST'!B1566</f>
        <v/>
      </c>
      <c r="C1563" s="22" t="str">
        <f>'EQUITY BACKTEST'!E1566</f>
        <v/>
      </c>
      <c r="I1563" s="22" t="str">
        <f t="shared" si="1"/>
        <v>#N/A</v>
      </c>
      <c r="J1563" s="22" t="str">
        <f t="shared" si="2"/>
        <v>#N/A</v>
      </c>
      <c r="K1563" s="22" t="str">
        <f t="shared" si="8"/>
        <v/>
      </c>
    </row>
    <row r="1564" ht="15.75" customHeight="1">
      <c r="A1564" s="32" t="str">
        <f>'EQUITY BACKTEST'!A1567</f>
        <v/>
      </c>
      <c r="B1564" s="22" t="str">
        <f>'EQUITY BACKTEST'!B1567</f>
        <v/>
      </c>
      <c r="C1564" s="22" t="str">
        <f>'EQUITY BACKTEST'!E1567</f>
        <v/>
      </c>
      <c r="I1564" s="22" t="str">
        <f t="shared" si="1"/>
        <v>#N/A</v>
      </c>
      <c r="J1564" s="22" t="str">
        <f t="shared" si="2"/>
        <v>#N/A</v>
      </c>
      <c r="K1564" s="22" t="str">
        <f t="shared" si="8"/>
        <v/>
      </c>
    </row>
    <row r="1565" ht="15.75" customHeight="1">
      <c r="A1565" s="32" t="str">
        <f>'EQUITY BACKTEST'!A1568</f>
        <v/>
      </c>
      <c r="B1565" s="22" t="str">
        <f>'EQUITY BACKTEST'!B1568</f>
        <v/>
      </c>
      <c r="C1565" s="22" t="str">
        <f>'EQUITY BACKTEST'!E1568</f>
        <v/>
      </c>
      <c r="I1565" s="22" t="str">
        <f t="shared" si="1"/>
        <v>#N/A</v>
      </c>
      <c r="J1565" s="22" t="str">
        <f t="shared" si="2"/>
        <v>#N/A</v>
      </c>
      <c r="K1565" s="22" t="str">
        <f t="shared" si="8"/>
        <v/>
      </c>
    </row>
    <row r="1566" ht="15.75" customHeight="1">
      <c r="A1566" s="32" t="str">
        <f>'EQUITY BACKTEST'!A1569</f>
        <v/>
      </c>
      <c r="B1566" s="22" t="str">
        <f>'EQUITY BACKTEST'!B1569</f>
        <v/>
      </c>
      <c r="C1566" s="22" t="str">
        <f>'EQUITY BACKTEST'!E1569</f>
        <v/>
      </c>
      <c r="I1566" s="22" t="str">
        <f t="shared" si="1"/>
        <v>#N/A</v>
      </c>
      <c r="J1566" s="22" t="str">
        <f t="shared" si="2"/>
        <v>#N/A</v>
      </c>
      <c r="K1566" s="22" t="str">
        <f t="shared" si="8"/>
        <v/>
      </c>
    </row>
    <row r="1567" ht="15.75" customHeight="1">
      <c r="A1567" s="32" t="str">
        <f>'EQUITY BACKTEST'!A1570</f>
        <v/>
      </c>
      <c r="B1567" s="22" t="str">
        <f>'EQUITY BACKTEST'!B1570</f>
        <v/>
      </c>
      <c r="C1567" s="22" t="str">
        <f>'EQUITY BACKTEST'!E1570</f>
        <v/>
      </c>
      <c r="I1567" s="22" t="str">
        <f t="shared" si="1"/>
        <v>#N/A</v>
      </c>
      <c r="J1567" s="22" t="str">
        <f t="shared" si="2"/>
        <v>#N/A</v>
      </c>
      <c r="K1567" s="22" t="str">
        <f t="shared" si="8"/>
        <v/>
      </c>
    </row>
    <row r="1568" ht="15.75" customHeight="1">
      <c r="A1568" s="32" t="str">
        <f>'EQUITY BACKTEST'!A1571</f>
        <v/>
      </c>
      <c r="B1568" s="22" t="str">
        <f>'EQUITY BACKTEST'!B1571</f>
        <v/>
      </c>
      <c r="C1568" s="22" t="str">
        <f>'EQUITY BACKTEST'!E1571</f>
        <v/>
      </c>
      <c r="I1568" s="22" t="str">
        <f t="shared" si="1"/>
        <v>#N/A</v>
      </c>
      <c r="J1568" s="22" t="str">
        <f t="shared" si="2"/>
        <v>#N/A</v>
      </c>
      <c r="K1568" s="22" t="str">
        <f t="shared" si="8"/>
        <v/>
      </c>
    </row>
    <row r="1569" ht="15.75" customHeight="1">
      <c r="A1569" s="32" t="str">
        <f>'EQUITY BACKTEST'!A1572</f>
        <v/>
      </c>
      <c r="B1569" s="22" t="str">
        <f>'EQUITY BACKTEST'!B1572</f>
        <v/>
      </c>
      <c r="C1569" s="22" t="str">
        <f>'EQUITY BACKTEST'!E1572</f>
        <v/>
      </c>
      <c r="I1569" s="22" t="str">
        <f t="shared" si="1"/>
        <v>#N/A</v>
      </c>
      <c r="J1569" s="22" t="str">
        <f t="shared" si="2"/>
        <v>#N/A</v>
      </c>
      <c r="K1569" s="22" t="str">
        <f t="shared" si="8"/>
        <v/>
      </c>
    </row>
    <row r="1570" ht="15.75" customHeight="1">
      <c r="A1570" s="32" t="str">
        <f>'EQUITY BACKTEST'!A1573</f>
        <v/>
      </c>
      <c r="B1570" s="22" t="str">
        <f>'EQUITY BACKTEST'!B1573</f>
        <v/>
      </c>
      <c r="C1570" s="22" t="str">
        <f>'EQUITY BACKTEST'!E1573</f>
        <v/>
      </c>
      <c r="I1570" s="22" t="str">
        <f t="shared" si="1"/>
        <v>#N/A</v>
      </c>
      <c r="J1570" s="22" t="str">
        <f t="shared" si="2"/>
        <v>#N/A</v>
      </c>
      <c r="K1570" s="22" t="str">
        <f t="shared" si="8"/>
        <v/>
      </c>
    </row>
    <row r="1571" ht="15.75" customHeight="1">
      <c r="A1571" s="32" t="str">
        <f>'EQUITY BACKTEST'!A1574</f>
        <v/>
      </c>
      <c r="B1571" s="22" t="str">
        <f>'EQUITY BACKTEST'!B1574</f>
        <v/>
      </c>
      <c r="C1571" s="22" t="str">
        <f>'EQUITY BACKTEST'!E1574</f>
        <v/>
      </c>
      <c r="I1571" s="22" t="str">
        <f t="shared" si="1"/>
        <v>#N/A</v>
      </c>
      <c r="J1571" s="22" t="str">
        <f t="shared" si="2"/>
        <v>#N/A</v>
      </c>
      <c r="K1571" s="22" t="str">
        <f t="shared" si="8"/>
        <v/>
      </c>
    </row>
    <row r="1572" ht="15.75" customHeight="1">
      <c r="A1572" s="32" t="str">
        <f>'EQUITY BACKTEST'!A1575</f>
        <v/>
      </c>
      <c r="B1572" s="22" t="str">
        <f>'EQUITY BACKTEST'!B1575</f>
        <v/>
      </c>
      <c r="C1572" s="22" t="str">
        <f>'EQUITY BACKTEST'!E1575</f>
        <v/>
      </c>
      <c r="I1572" s="22" t="str">
        <f t="shared" si="1"/>
        <v>#N/A</v>
      </c>
      <c r="J1572" s="22" t="str">
        <f t="shared" si="2"/>
        <v>#N/A</v>
      </c>
      <c r="K1572" s="22" t="str">
        <f t="shared" si="8"/>
        <v/>
      </c>
    </row>
    <row r="1573" ht="15.75" customHeight="1">
      <c r="A1573" s="32" t="str">
        <f>'EQUITY BACKTEST'!A1576</f>
        <v/>
      </c>
      <c r="B1573" s="22" t="str">
        <f>'EQUITY BACKTEST'!B1576</f>
        <v/>
      </c>
      <c r="C1573" s="22" t="str">
        <f>'EQUITY BACKTEST'!E1576</f>
        <v/>
      </c>
      <c r="I1573" s="22" t="str">
        <f t="shared" si="1"/>
        <v>#N/A</v>
      </c>
      <c r="J1573" s="22" t="str">
        <f t="shared" si="2"/>
        <v>#N/A</v>
      </c>
      <c r="K1573" s="22" t="str">
        <f t="shared" si="8"/>
        <v/>
      </c>
    </row>
    <row r="1574" ht="15.75" customHeight="1">
      <c r="A1574" s="32" t="str">
        <f>'EQUITY BACKTEST'!A1577</f>
        <v/>
      </c>
      <c r="B1574" s="22" t="str">
        <f>'EQUITY BACKTEST'!B1577</f>
        <v/>
      </c>
      <c r="C1574" s="22" t="str">
        <f>'EQUITY BACKTEST'!E1577</f>
        <v/>
      </c>
      <c r="I1574" s="22" t="str">
        <f t="shared" si="1"/>
        <v>#N/A</v>
      </c>
      <c r="J1574" s="22" t="str">
        <f t="shared" si="2"/>
        <v>#N/A</v>
      </c>
      <c r="K1574" s="22" t="str">
        <f t="shared" si="8"/>
        <v/>
      </c>
    </row>
    <row r="1575" ht="15.75" customHeight="1">
      <c r="A1575" s="32" t="str">
        <f>'EQUITY BACKTEST'!A1578</f>
        <v/>
      </c>
      <c r="B1575" s="22" t="str">
        <f>'EQUITY BACKTEST'!B1578</f>
        <v/>
      </c>
      <c r="C1575" s="22" t="str">
        <f>'EQUITY BACKTEST'!E1578</f>
        <v/>
      </c>
      <c r="I1575" s="22" t="str">
        <f t="shared" si="1"/>
        <v>#N/A</v>
      </c>
      <c r="J1575" s="22" t="str">
        <f t="shared" si="2"/>
        <v>#N/A</v>
      </c>
      <c r="K1575" s="22" t="str">
        <f t="shared" si="8"/>
        <v/>
      </c>
    </row>
    <row r="1576" ht="15.75" customHeight="1">
      <c r="A1576" s="32" t="str">
        <f>'EQUITY BACKTEST'!A1579</f>
        <v/>
      </c>
      <c r="B1576" s="22" t="str">
        <f>'EQUITY BACKTEST'!B1579</f>
        <v/>
      </c>
      <c r="C1576" s="22" t="str">
        <f>'EQUITY BACKTEST'!E1579</f>
        <v/>
      </c>
      <c r="I1576" s="22" t="str">
        <f t="shared" si="1"/>
        <v>#N/A</v>
      </c>
      <c r="J1576" s="22" t="str">
        <f t="shared" si="2"/>
        <v>#N/A</v>
      </c>
      <c r="K1576" s="22" t="str">
        <f t="shared" si="8"/>
        <v/>
      </c>
    </row>
    <row r="1577" ht="15.75" customHeight="1">
      <c r="A1577" s="32" t="str">
        <f>'EQUITY BACKTEST'!A1580</f>
        <v/>
      </c>
      <c r="B1577" s="22" t="str">
        <f>'EQUITY BACKTEST'!B1580</f>
        <v/>
      </c>
      <c r="C1577" s="22" t="str">
        <f>'EQUITY BACKTEST'!E1580</f>
        <v/>
      </c>
      <c r="I1577" s="22" t="str">
        <f t="shared" si="1"/>
        <v>#N/A</v>
      </c>
      <c r="J1577" s="22" t="str">
        <f t="shared" si="2"/>
        <v>#N/A</v>
      </c>
      <c r="K1577" s="22" t="str">
        <f t="shared" si="8"/>
        <v/>
      </c>
    </row>
    <row r="1578" ht="15.75" customHeight="1">
      <c r="A1578" s="32" t="str">
        <f>'EQUITY BACKTEST'!A1581</f>
        <v/>
      </c>
      <c r="B1578" s="22" t="str">
        <f>'EQUITY BACKTEST'!B1581</f>
        <v/>
      </c>
      <c r="C1578" s="22" t="str">
        <f>'EQUITY BACKTEST'!E1581</f>
        <v/>
      </c>
      <c r="I1578" s="22" t="str">
        <f t="shared" si="1"/>
        <v>#N/A</v>
      </c>
      <c r="J1578" s="22" t="str">
        <f t="shared" si="2"/>
        <v>#N/A</v>
      </c>
      <c r="K1578" s="22" t="str">
        <f t="shared" si="8"/>
        <v/>
      </c>
    </row>
    <row r="1579" ht="15.75" customHeight="1">
      <c r="A1579" s="32" t="str">
        <f>'EQUITY BACKTEST'!A1582</f>
        <v/>
      </c>
      <c r="B1579" s="22" t="str">
        <f>'EQUITY BACKTEST'!B1582</f>
        <v/>
      </c>
      <c r="C1579" s="22" t="str">
        <f>'EQUITY BACKTEST'!E1582</f>
        <v/>
      </c>
      <c r="I1579" s="22" t="str">
        <f t="shared" si="1"/>
        <v>#N/A</v>
      </c>
      <c r="J1579" s="22" t="str">
        <f t="shared" si="2"/>
        <v>#N/A</v>
      </c>
      <c r="K1579" s="22" t="str">
        <f t="shared" si="8"/>
        <v/>
      </c>
    </row>
    <row r="1580" ht="15.75" customHeight="1">
      <c r="A1580" s="32" t="str">
        <f>'EQUITY BACKTEST'!A1583</f>
        <v/>
      </c>
      <c r="B1580" s="22" t="str">
        <f>'EQUITY BACKTEST'!B1583</f>
        <v/>
      </c>
      <c r="C1580" s="22" t="str">
        <f>'EQUITY BACKTEST'!E1583</f>
        <v/>
      </c>
      <c r="I1580" s="22" t="str">
        <f t="shared" si="1"/>
        <v>#N/A</v>
      </c>
      <c r="J1580" s="22" t="str">
        <f t="shared" si="2"/>
        <v>#N/A</v>
      </c>
      <c r="K1580" s="22" t="str">
        <f t="shared" si="8"/>
        <v/>
      </c>
    </row>
    <row r="1581" ht="15.75" customHeight="1">
      <c r="A1581" s="32" t="str">
        <f>'EQUITY BACKTEST'!A1584</f>
        <v/>
      </c>
      <c r="B1581" s="22" t="str">
        <f>'EQUITY BACKTEST'!B1584</f>
        <v/>
      </c>
      <c r="C1581" s="22" t="str">
        <f>'EQUITY BACKTEST'!E1584</f>
        <v/>
      </c>
      <c r="I1581" s="22" t="str">
        <f t="shared" si="1"/>
        <v>#N/A</v>
      </c>
      <c r="J1581" s="22" t="str">
        <f t="shared" si="2"/>
        <v>#N/A</v>
      </c>
      <c r="K1581" s="22" t="str">
        <f t="shared" si="8"/>
        <v/>
      </c>
    </row>
    <row r="1582" ht="15.75" customHeight="1">
      <c r="A1582" s="32" t="str">
        <f>'EQUITY BACKTEST'!A1585</f>
        <v/>
      </c>
      <c r="B1582" s="22" t="str">
        <f>'EQUITY BACKTEST'!B1585</f>
        <v/>
      </c>
      <c r="C1582" s="22" t="str">
        <f>'EQUITY BACKTEST'!E1585</f>
        <v/>
      </c>
      <c r="I1582" s="22" t="str">
        <f t="shared" si="1"/>
        <v>#N/A</v>
      </c>
      <c r="J1582" s="22" t="str">
        <f t="shared" si="2"/>
        <v>#N/A</v>
      </c>
      <c r="K1582" s="22" t="str">
        <f t="shared" si="8"/>
        <v/>
      </c>
    </row>
    <row r="1583" ht="15.75" customHeight="1">
      <c r="A1583" s="32" t="str">
        <f>'EQUITY BACKTEST'!A1586</f>
        <v/>
      </c>
      <c r="B1583" s="22" t="str">
        <f>'EQUITY BACKTEST'!B1586</f>
        <v/>
      </c>
      <c r="C1583" s="22" t="str">
        <f>'EQUITY BACKTEST'!E1586</f>
        <v/>
      </c>
      <c r="I1583" s="22" t="str">
        <f t="shared" si="1"/>
        <v>#N/A</v>
      </c>
      <c r="J1583" s="22" t="str">
        <f t="shared" si="2"/>
        <v>#N/A</v>
      </c>
      <c r="K1583" s="22" t="str">
        <f t="shared" si="8"/>
        <v/>
      </c>
    </row>
    <row r="1584" ht="15.75" customHeight="1">
      <c r="A1584" s="32" t="str">
        <f>'EQUITY BACKTEST'!A1587</f>
        <v/>
      </c>
      <c r="B1584" s="22" t="str">
        <f>'EQUITY BACKTEST'!B1587</f>
        <v/>
      </c>
      <c r="C1584" s="22" t="str">
        <f>'EQUITY BACKTEST'!E1587</f>
        <v/>
      </c>
      <c r="I1584" s="22" t="str">
        <f t="shared" si="1"/>
        <v>#N/A</v>
      </c>
      <c r="J1584" s="22" t="str">
        <f t="shared" si="2"/>
        <v>#N/A</v>
      </c>
      <c r="K1584" s="22" t="str">
        <f t="shared" si="8"/>
        <v/>
      </c>
    </row>
    <row r="1585" ht="15.75" customHeight="1">
      <c r="A1585" s="32" t="str">
        <f>'EQUITY BACKTEST'!A1588</f>
        <v/>
      </c>
      <c r="B1585" s="22" t="str">
        <f>'EQUITY BACKTEST'!B1588</f>
        <v/>
      </c>
      <c r="C1585" s="22" t="str">
        <f>'EQUITY BACKTEST'!E1588</f>
        <v/>
      </c>
      <c r="I1585" s="22" t="str">
        <f t="shared" si="1"/>
        <v>#N/A</v>
      </c>
      <c r="J1585" s="22" t="str">
        <f t="shared" si="2"/>
        <v>#N/A</v>
      </c>
      <c r="K1585" s="22" t="str">
        <f t="shared" si="8"/>
        <v/>
      </c>
    </row>
    <row r="1586" ht="15.75" customHeight="1">
      <c r="A1586" s="32" t="str">
        <f>'EQUITY BACKTEST'!A1589</f>
        <v/>
      </c>
      <c r="B1586" s="22" t="str">
        <f>'EQUITY BACKTEST'!B1589</f>
        <v/>
      </c>
      <c r="C1586" s="22" t="str">
        <f>'EQUITY BACKTEST'!E1589</f>
        <v/>
      </c>
      <c r="I1586" s="22" t="str">
        <f t="shared" si="1"/>
        <v>#N/A</v>
      </c>
      <c r="J1586" s="22" t="str">
        <f t="shared" si="2"/>
        <v>#N/A</v>
      </c>
      <c r="K1586" s="22" t="str">
        <f t="shared" si="8"/>
        <v/>
      </c>
    </row>
    <row r="1587" ht="15.75" customHeight="1">
      <c r="A1587" s="32" t="str">
        <f>'EQUITY BACKTEST'!A1590</f>
        <v/>
      </c>
      <c r="B1587" s="22" t="str">
        <f>'EQUITY BACKTEST'!B1590</f>
        <v/>
      </c>
      <c r="C1587" s="22" t="str">
        <f>'EQUITY BACKTEST'!E1590</f>
        <v/>
      </c>
      <c r="I1587" s="22" t="str">
        <f t="shared" si="1"/>
        <v>#N/A</v>
      </c>
      <c r="J1587" s="22" t="str">
        <f t="shared" si="2"/>
        <v>#N/A</v>
      </c>
      <c r="K1587" s="22" t="str">
        <f t="shared" si="8"/>
        <v/>
      </c>
    </row>
    <row r="1588" ht="15.75" customHeight="1">
      <c r="A1588" s="32" t="str">
        <f>'EQUITY BACKTEST'!A1591</f>
        <v/>
      </c>
      <c r="B1588" s="22" t="str">
        <f>'EQUITY BACKTEST'!B1591</f>
        <v/>
      </c>
      <c r="C1588" s="22" t="str">
        <f>'EQUITY BACKTEST'!E1591</f>
        <v/>
      </c>
      <c r="I1588" s="22" t="str">
        <f t="shared" si="1"/>
        <v>#N/A</v>
      </c>
      <c r="J1588" s="22" t="str">
        <f t="shared" si="2"/>
        <v>#N/A</v>
      </c>
      <c r="K1588" s="22" t="str">
        <f t="shared" si="8"/>
        <v/>
      </c>
    </row>
    <row r="1589" ht="15.75" customHeight="1">
      <c r="A1589" s="32" t="str">
        <f>'EQUITY BACKTEST'!A1592</f>
        <v/>
      </c>
      <c r="B1589" s="22" t="str">
        <f>'EQUITY BACKTEST'!B1592</f>
        <v/>
      </c>
      <c r="C1589" s="22" t="str">
        <f>'EQUITY BACKTEST'!E1592</f>
        <v/>
      </c>
      <c r="I1589" s="22" t="str">
        <f t="shared" si="1"/>
        <v>#N/A</v>
      </c>
      <c r="J1589" s="22" t="str">
        <f t="shared" si="2"/>
        <v>#N/A</v>
      </c>
      <c r="K1589" s="22" t="str">
        <f t="shared" si="8"/>
        <v/>
      </c>
    </row>
    <row r="1590" ht="15.75" customHeight="1">
      <c r="A1590" s="32" t="str">
        <f>'EQUITY BACKTEST'!A1593</f>
        <v/>
      </c>
      <c r="B1590" s="22" t="str">
        <f>'EQUITY BACKTEST'!B1593</f>
        <v/>
      </c>
      <c r="C1590" s="22" t="str">
        <f>'EQUITY BACKTEST'!E1593</f>
        <v/>
      </c>
      <c r="I1590" s="22" t="str">
        <f t="shared" si="1"/>
        <v>#N/A</v>
      </c>
      <c r="J1590" s="22" t="str">
        <f t="shared" si="2"/>
        <v>#N/A</v>
      </c>
      <c r="K1590" s="22" t="str">
        <f t="shared" si="8"/>
        <v/>
      </c>
    </row>
    <row r="1591" ht="15.75" customHeight="1">
      <c r="A1591" s="32" t="str">
        <f>'EQUITY BACKTEST'!A1594</f>
        <v/>
      </c>
      <c r="B1591" s="22" t="str">
        <f>'EQUITY BACKTEST'!B1594</f>
        <v/>
      </c>
      <c r="C1591" s="22" t="str">
        <f>'EQUITY BACKTEST'!E1594</f>
        <v/>
      </c>
      <c r="I1591" s="22" t="str">
        <f t="shared" si="1"/>
        <v>#N/A</v>
      </c>
      <c r="J1591" s="22" t="str">
        <f t="shared" si="2"/>
        <v>#N/A</v>
      </c>
      <c r="K1591" s="22" t="str">
        <f t="shared" si="8"/>
        <v/>
      </c>
    </row>
    <row r="1592" ht="15.75" customHeight="1">
      <c r="A1592" s="32" t="str">
        <f>'EQUITY BACKTEST'!A1595</f>
        <v/>
      </c>
      <c r="B1592" s="22" t="str">
        <f>'EQUITY BACKTEST'!B1595</f>
        <v/>
      </c>
      <c r="C1592" s="22" t="str">
        <f>'EQUITY BACKTEST'!E1595</f>
        <v/>
      </c>
      <c r="I1592" s="22" t="str">
        <f t="shared" si="1"/>
        <v>#N/A</v>
      </c>
      <c r="J1592" s="22" t="str">
        <f t="shared" si="2"/>
        <v>#N/A</v>
      </c>
      <c r="K1592" s="22" t="str">
        <f t="shared" si="8"/>
        <v/>
      </c>
    </row>
    <row r="1593" ht="15.75" customHeight="1">
      <c r="A1593" s="32" t="str">
        <f>'EQUITY BACKTEST'!A1596</f>
        <v/>
      </c>
      <c r="B1593" s="22" t="str">
        <f>'EQUITY BACKTEST'!B1596</f>
        <v/>
      </c>
      <c r="C1593" s="22" t="str">
        <f>'EQUITY BACKTEST'!E1596</f>
        <v/>
      </c>
      <c r="I1593" s="22" t="str">
        <f t="shared" si="1"/>
        <v>#N/A</v>
      </c>
      <c r="J1593" s="22" t="str">
        <f t="shared" si="2"/>
        <v>#N/A</v>
      </c>
      <c r="K1593" s="22" t="str">
        <f t="shared" si="8"/>
        <v/>
      </c>
    </row>
    <row r="1594" ht="15.75" customHeight="1">
      <c r="A1594" s="32" t="str">
        <f>'EQUITY BACKTEST'!A1597</f>
        <v/>
      </c>
      <c r="B1594" s="22" t="str">
        <f>'EQUITY BACKTEST'!B1597</f>
        <v/>
      </c>
      <c r="C1594" s="22" t="str">
        <f>'EQUITY BACKTEST'!E1597</f>
        <v/>
      </c>
      <c r="I1594" s="22" t="str">
        <f t="shared" si="1"/>
        <v>#N/A</v>
      </c>
      <c r="J1594" s="22" t="str">
        <f t="shared" si="2"/>
        <v>#N/A</v>
      </c>
      <c r="K1594" s="22" t="str">
        <f t="shared" si="8"/>
        <v/>
      </c>
    </row>
    <row r="1595" ht="15.75" customHeight="1">
      <c r="A1595" s="32" t="str">
        <f>'EQUITY BACKTEST'!A1598</f>
        <v/>
      </c>
      <c r="B1595" s="22" t="str">
        <f>'EQUITY BACKTEST'!B1598</f>
        <v/>
      </c>
      <c r="C1595" s="22" t="str">
        <f>'EQUITY BACKTEST'!E1598</f>
        <v/>
      </c>
      <c r="I1595" s="22" t="str">
        <f t="shared" si="1"/>
        <v>#N/A</v>
      </c>
      <c r="J1595" s="22" t="str">
        <f t="shared" si="2"/>
        <v>#N/A</v>
      </c>
      <c r="K1595" s="22" t="str">
        <f t="shared" si="8"/>
        <v/>
      </c>
    </row>
    <row r="1596" ht="15.75" customHeight="1">
      <c r="A1596" s="32" t="str">
        <f>'EQUITY BACKTEST'!A1599</f>
        <v/>
      </c>
      <c r="B1596" s="22" t="str">
        <f>'EQUITY BACKTEST'!B1599</f>
        <v/>
      </c>
      <c r="C1596" s="22" t="str">
        <f>'EQUITY BACKTEST'!E1599</f>
        <v/>
      </c>
      <c r="I1596" s="22" t="str">
        <f t="shared" si="1"/>
        <v>#N/A</v>
      </c>
      <c r="J1596" s="22" t="str">
        <f t="shared" si="2"/>
        <v>#N/A</v>
      </c>
      <c r="K1596" s="22" t="str">
        <f t="shared" si="8"/>
        <v/>
      </c>
    </row>
    <row r="1597" ht="15.75" customHeight="1">
      <c r="A1597" s="32" t="str">
        <f>'EQUITY BACKTEST'!A1600</f>
        <v/>
      </c>
      <c r="B1597" s="22" t="str">
        <f>'EQUITY BACKTEST'!B1600</f>
        <v/>
      </c>
      <c r="C1597" s="22" t="str">
        <f>'EQUITY BACKTEST'!E1600</f>
        <v/>
      </c>
      <c r="I1597" s="22" t="str">
        <f t="shared" si="1"/>
        <v>#N/A</v>
      </c>
      <c r="J1597" s="22" t="str">
        <f t="shared" si="2"/>
        <v>#N/A</v>
      </c>
      <c r="K1597" s="22" t="str">
        <f t="shared" si="8"/>
        <v/>
      </c>
    </row>
    <row r="1598" ht="15.75" customHeight="1">
      <c r="A1598" s="32" t="str">
        <f>'EQUITY BACKTEST'!A1601</f>
        <v/>
      </c>
      <c r="B1598" s="22" t="str">
        <f>'EQUITY BACKTEST'!B1601</f>
        <v/>
      </c>
      <c r="C1598" s="22" t="str">
        <f>'EQUITY BACKTEST'!E1601</f>
        <v/>
      </c>
      <c r="I1598" s="22" t="str">
        <f t="shared" si="1"/>
        <v>#N/A</v>
      </c>
      <c r="J1598" s="22" t="str">
        <f t="shared" si="2"/>
        <v>#N/A</v>
      </c>
      <c r="K1598" s="22" t="str">
        <f t="shared" si="8"/>
        <v/>
      </c>
    </row>
    <row r="1599" ht="15.75" customHeight="1">
      <c r="A1599" s="32" t="str">
        <f>'EQUITY BACKTEST'!A1602</f>
        <v/>
      </c>
      <c r="B1599" s="22" t="str">
        <f>'EQUITY BACKTEST'!B1602</f>
        <v/>
      </c>
      <c r="C1599" s="22" t="str">
        <f>'EQUITY BACKTEST'!E1602</f>
        <v/>
      </c>
      <c r="I1599" s="22" t="str">
        <f t="shared" si="1"/>
        <v>#N/A</v>
      </c>
      <c r="J1599" s="22" t="str">
        <f t="shared" si="2"/>
        <v>#N/A</v>
      </c>
      <c r="K1599" s="22" t="str">
        <f t="shared" si="8"/>
        <v/>
      </c>
    </row>
    <row r="1600" ht="15.75" customHeight="1">
      <c r="A1600" s="32" t="str">
        <f>'EQUITY BACKTEST'!A1603</f>
        <v/>
      </c>
      <c r="B1600" s="22" t="str">
        <f>'EQUITY BACKTEST'!B1603</f>
        <v/>
      </c>
      <c r="C1600" s="22" t="str">
        <f>'EQUITY BACKTEST'!E1603</f>
        <v/>
      </c>
      <c r="I1600" s="22" t="str">
        <f t="shared" si="1"/>
        <v>#N/A</v>
      </c>
      <c r="J1600" s="22" t="str">
        <f t="shared" si="2"/>
        <v>#N/A</v>
      </c>
      <c r="K1600" s="22" t="str">
        <f t="shared" si="8"/>
        <v/>
      </c>
    </row>
    <row r="1601" ht="15.75" customHeight="1">
      <c r="A1601" s="32" t="str">
        <f>'EQUITY BACKTEST'!A1604</f>
        <v/>
      </c>
      <c r="B1601" s="22" t="str">
        <f>'EQUITY BACKTEST'!B1604</f>
        <v/>
      </c>
      <c r="C1601" s="22" t="str">
        <f>'EQUITY BACKTEST'!E1604</f>
        <v/>
      </c>
      <c r="I1601" s="22" t="str">
        <f t="shared" si="1"/>
        <v>#N/A</v>
      </c>
      <c r="J1601" s="22" t="str">
        <f t="shared" si="2"/>
        <v>#N/A</v>
      </c>
      <c r="K1601" s="22" t="str">
        <f t="shared" si="8"/>
        <v/>
      </c>
    </row>
    <row r="1602" ht="15.75" customHeight="1">
      <c r="A1602" s="32" t="str">
        <f>'EQUITY BACKTEST'!A1605</f>
        <v/>
      </c>
      <c r="B1602" s="22" t="str">
        <f>'EQUITY BACKTEST'!B1605</f>
        <v/>
      </c>
      <c r="C1602" s="22" t="str">
        <f>'EQUITY BACKTEST'!E1605</f>
        <v/>
      </c>
      <c r="I1602" s="22" t="str">
        <f t="shared" si="1"/>
        <v>#N/A</v>
      </c>
      <c r="J1602" s="22" t="str">
        <f t="shared" si="2"/>
        <v>#N/A</v>
      </c>
      <c r="K1602" s="22" t="str">
        <f t="shared" si="8"/>
        <v/>
      </c>
    </row>
    <row r="1603" ht="15.75" customHeight="1">
      <c r="A1603" s="32" t="str">
        <f>'EQUITY BACKTEST'!A1606</f>
        <v/>
      </c>
      <c r="B1603" s="22" t="str">
        <f>'EQUITY BACKTEST'!B1606</f>
        <v/>
      </c>
      <c r="C1603" s="22" t="str">
        <f>'EQUITY BACKTEST'!E1606</f>
        <v/>
      </c>
      <c r="I1603" s="22" t="str">
        <f t="shared" si="1"/>
        <v>#N/A</v>
      </c>
      <c r="J1603" s="22" t="str">
        <f t="shared" si="2"/>
        <v>#N/A</v>
      </c>
      <c r="K1603" s="22" t="str">
        <f t="shared" si="8"/>
        <v/>
      </c>
    </row>
    <row r="1604" ht="15.75" customHeight="1">
      <c r="A1604" s="32" t="str">
        <f>'EQUITY BACKTEST'!A1607</f>
        <v/>
      </c>
      <c r="B1604" s="22" t="str">
        <f>'EQUITY BACKTEST'!B1607</f>
        <v/>
      </c>
      <c r="C1604" s="22" t="str">
        <f>'EQUITY BACKTEST'!E1607</f>
        <v/>
      </c>
      <c r="I1604" s="22" t="str">
        <f t="shared" si="1"/>
        <v>#N/A</v>
      </c>
      <c r="J1604" s="22" t="str">
        <f t="shared" si="2"/>
        <v>#N/A</v>
      </c>
      <c r="K1604" s="22" t="str">
        <f t="shared" si="8"/>
        <v/>
      </c>
    </row>
    <row r="1605" ht="15.75" customHeight="1">
      <c r="A1605" s="32" t="str">
        <f>'EQUITY BACKTEST'!A1608</f>
        <v/>
      </c>
      <c r="B1605" s="22" t="str">
        <f>'EQUITY BACKTEST'!B1608</f>
        <v/>
      </c>
      <c r="C1605" s="22" t="str">
        <f>'EQUITY BACKTEST'!E1608</f>
        <v/>
      </c>
      <c r="I1605" s="22" t="str">
        <f t="shared" si="1"/>
        <v>#N/A</v>
      </c>
      <c r="J1605" s="22" t="str">
        <f t="shared" si="2"/>
        <v>#N/A</v>
      </c>
      <c r="K1605" s="22" t="str">
        <f t="shared" si="8"/>
        <v/>
      </c>
    </row>
    <row r="1606" ht="15.75" customHeight="1">
      <c r="A1606" s="32" t="str">
        <f>'EQUITY BACKTEST'!A1609</f>
        <v/>
      </c>
      <c r="B1606" s="22" t="str">
        <f>'EQUITY BACKTEST'!B1609</f>
        <v/>
      </c>
      <c r="C1606" s="22" t="str">
        <f>'EQUITY BACKTEST'!E1609</f>
        <v/>
      </c>
      <c r="I1606" s="22" t="str">
        <f t="shared" si="1"/>
        <v>#N/A</v>
      </c>
      <c r="J1606" s="22" t="str">
        <f t="shared" si="2"/>
        <v>#N/A</v>
      </c>
      <c r="K1606" s="22" t="str">
        <f t="shared" si="8"/>
        <v/>
      </c>
    </row>
    <row r="1607" ht="15.75" customHeight="1">
      <c r="A1607" s="32" t="str">
        <f>'EQUITY BACKTEST'!A1610</f>
        <v/>
      </c>
      <c r="B1607" s="22" t="str">
        <f>'EQUITY BACKTEST'!B1610</f>
        <v/>
      </c>
      <c r="C1607" s="22" t="str">
        <f>'EQUITY BACKTEST'!E1610</f>
        <v/>
      </c>
      <c r="I1607" s="22" t="str">
        <f t="shared" si="1"/>
        <v>#N/A</v>
      </c>
      <c r="J1607" s="22" t="str">
        <f t="shared" si="2"/>
        <v>#N/A</v>
      </c>
      <c r="K1607" s="22" t="str">
        <f t="shared" si="8"/>
        <v/>
      </c>
    </row>
    <row r="1608" ht="15.75" customHeight="1">
      <c r="A1608" s="32" t="str">
        <f>'EQUITY BACKTEST'!A1611</f>
        <v/>
      </c>
      <c r="B1608" s="22" t="str">
        <f>'EQUITY BACKTEST'!B1611</f>
        <v/>
      </c>
      <c r="C1608" s="22" t="str">
        <f>'EQUITY BACKTEST'!E1611</f>
        <v/>
      </c>
      <c r="I1608" s="22" t="str">
        <f t="shared" si="1"/>
        <v>#N/A</v>
      </c>
      <c r="J1608" s="22" t="str">
        <f t="shared" si="2"/>
        <v>#N/A</v>
      </c>
      <c r="K1608" s="22" t="str">
        <f t="shared" si="8"/>
        <v/>
      </c>
    </row>
    <row r="1609" ht="15.75" customHeight="1">
      <c r="A1609" s="32" t="str">
        <f>'EQUITY BACKTEST'!A1612</f>
        <v/>
      </c>
      <c r="B1609" s="22" t="str">
        <f>'EQUITY BACKTEST'!B1612</f>
        <v/>
      </c>
      <c r="C1609" s="22" t="str">
        <f>'EQUITY BACKTEST'!E1612</f>
        <v/>
      </c>
      <c r="I1609" s="22" t="str">
        <f t="shared" si="1"/>
        <v>#N/A</v>
      </c>
      <c r="J1609" s="22" t="str">
        <f t="shared" si="2"/>
        <v>#N/A</v>
      </c>
      <c r="K1609" s="22" t="str">
        <f t="shared" si="8"/>
        <v/>
      </c>
    </row>
    <row r="1610" ht="15.75" customHeight="1">
      <c r="A1610" s="32" t="str">
        <f>'EQUITY BACKTEST'!A1613</f>
        <v/>
      </c>
      <c r="B1610" s="22" t="str">
        <f>'EQUITY BACKTEST'!B1613</f>
        <v/>
      </c>
      <c r="C1610" s="22" t="str">
        <f>'EQUITY BACKTEST'!E1613</f>
        <v/>
      </c>
      <c r="I1610" s="22" t="str">
        <f t="shared" si="1"/>
        <v>#N/A</v>
      </c>
      <c r="J1610" s="22" t="str">
        <f t="shared" si="2"/>
        <v>#N/A</v>
      </c>
      <c r="K1610" s="22" t="str">
        <f t="shared" si="8"/>
        <v/>
      </c>
    </row>
    <row r="1611" ht="15.75" customHeight="1">
      <c r="A1611" s="32" t="str">
        <f>'EQUITY BACKTEST'!A1614</f>
        <v/>
      </c>
      <c r="B1611" s="22" t="str">
        <f>'EQUITY BACKTEST'!B1614</f>
        <v/>
      </c>
      <c r="C1611" s="22" t="str">
        <f>'EQUITY BACKTEST'!E1614</f>
        <v/>
      </c>
      <c r="I1611" s="22" t="str">
        <f t="shared" si="1"/>
        <v>#N/A</v>
      </c>
      <c r="J1611" s="22" t="str">
        <f t="shared" si="2"/>
        <v>#N/A</v>
      </c>
      <c r="K1611" s="22" t="str">
        <f t="shared" si="8"/>
        <v/>
      </c>
    </row>
    <row r="1612" ht="15.75" customHeight="1">
      <c r="A1612" s="32" t="str">
        <f>'EQUITY BACKTEST'!A1615</f>
        <v/>
      </c>
      <c r="B1612" s="22" t="str">
        <f>'EQUITY BACKTEST'!B1615</f>
        <v/>
      </c>
      <c r="C1612" s="22" t="str">
        <f>'EQUITY BACKTEST'!E1615</f>
        <v/>
      </c>
      <c r="I1612" s="22" t="str">
        <f t="shared" si="1"/>
        <v>#N/A</v>
      </c>
      <c r="J1612" s="22" t="str">
        <f t="shared" si="2"/>
        <v>#N/A</v>
      </c>
      <c r="K1612" s="22" t="str">
        <f t="shared" si="8"/>
        <v/>
      </c>
    </row>
    <row r="1613" ht="15.75" customHeight="1">
      <c r="A1613" s="32" t="str">
        <f>'EQUITY BACKTEST'!A1616</f>
        <v/>
      </c>
      <c r="B1613" s="22" t="str">
        <f>'EQUITY BACKTEST'!B1616</f>
        <v/>
      </c>
      <c r="C1613" s="22" t="str">
        <f>'EQUITY BACKTEST'!E1616</f>
        <v/>
      </c>
      <c r="I1613" s="22" t="str">
        <f t="shared" si="1"/>
        <v>#N/A</v>
      </c>
      <c r="J1613" s="22" t="str">
        <f t="shared" si="2"/>
        <v>#N/A</v>
      </c>
      <c r="K1613" s="22" t="str">
        <f t="shared" si="8"/>
        <v/>
      </c>
    </row>
    <row r="1614" ht="15.75" customHeight="1">
      <c r="A1614" s="32" t="str">
        <f>'EQUITY BACKTEST'!A1617</f>
        <v/>
      </c>
      <c r="B1614" s="22" t="str">
        <f>'EQUITY BACKTEST'!B1617</f>
        <v/>
      </c>
      <c r="C1614" s="22" t="str">
        <f>'EQUITY BACKTEST'!E1617</f>
        <v/>
      </c>
      <c r="I1614" s="22" t="str">
        <f t="shared" si="1"/>
        <v>#N/A</v>
      </c>
      <c r="J1614" s="22" t="str">
        <f t="shared" si="2"/>
        <v>#N/A</v>
      </c>
      <c r="K1614" s="22" t="str">
        <f t="shared" si="8"/>
        <v/>
      </c>
    </row>
    <row r="1615" ht="15.75" customHeight="1">
      <c r="A1615" s="32" t="str">
        <f>'EQUITY BACKTEST'!A1618</f>
        <v/>
      </c>
      <c r="B1615" s="22" t="str">
        <f>'EQUITY BACKTEST'!B1618</f>
        <v/>
      </c>
      <c r="C1615" s="22" t="str">
        <f>'EQUITY BACKTEST'!E1618</f>
        <v/>
      </c>
      <c r="I1615" s="22" t="str">
        <f t="shared" si="1"/>
        <v>#N/A</v>
      </c>
      <c r="J1615" s="22" t="str">
        <f t="shared" si="2"/>
        <v>#N/A</v>
      </c>
      <c r="K1615" s="22" t="str">
        <f t="shared" si="8"/>
        <v/>
      </c>
    </row>
    <row r="1616" ht="15.75" customHeight="1">
      <c r="A1616" s="32" t="str">
        <f>'EQUITY BACKTEST'!A1619</f>
        <v/>
      </c>
      <c r="B1616" s="22" t="str">
        <f>'EQUITY BACKTEST'!B1619</f>
        <v/>
      </c>
      <c r="C1616" s="22" t="str">
        <f>'EQUITY BACKTEST'!E1619</f>
        <v/>
      </c>
      <c r="I1616" s="22" t="str">
        <f t="shared" si="1"/>
        <v>#N/A</v>
      </c>
      <c r="J1616" s="22" t="str">
        <f t="shared" si="2"/>
        <v>#N/A</v>
      </c>
      <c r="K1616" s="22" t="str">
        <f t="shared" si="8"/>
        <v/>
      </c>
    </row>
    <row r="1617" ht="15.75" customHeight="1">
      <c r="A1617" s="32" t="str">
        <f>'EQUITY BACKTEST'!A1620</f>
        <v/>
      </c>
      <c r="B1617" s="22" t="str">
        <f>'EQUITY BACKTEST'!B1620</f>
        <v/>
      </c>
      <c r="C1617" s="22" t="str">
        <f>'EQUITY BACKTEST'!E1620</f>
        <v/>
      </c>
      <c r="I1617" s="22" t="str">
        <f t="shared" si="1"/>
        <v>#N/A</v>
      </c>
      <c r="J1617" s="22" t="str">
        <f t="shared" si="2"/>
        <v>#N/A</v>
      </c>
      <c r="K1617" s="22" t="str">
        <f t="shared" si="8"/>
        <v/>
      </c>
    </row>
    <row r="1618" ht="15.75" customHeight="1">
      <c r="A1618" s="32" t="str">
        <f>'EQUITY BACKTEST'!A1621</f>
        <v/>
      </c>
      <c r="B1618" s="22" t="str">
        <f>'EQUITY BACKTEST'!B1621</f>
        <v/>
      </c>
      <c r="C1618" s="22" t="str">
        <f>'EQUITY BACKTEST'!E1621</f>
        <v/>
      </c>
      <c r="I1618" s="22" t="str">
        <f t="shared" si="1"/>
        <v>#N/A</v>
      </c>
      <c r="J1618" s="22" t="str">
        <f t="shared" si="2"/>
        <v>#N/A</v>
      </c>
      <c r="K1618" s="22" t="str">
        <f t="shared" si="8"/>
        <v/>
      </c>
    </row>
    <row r="1619" ht="15.75" customHeight="1">
      <c r="A1619" s="32" t="str">
        <f>'EQUITY BACKTEST'!A1622</f>
        <v/>
      </c>
      <c r="B1619" s="22" t="str">
        <f>'EQUITY BACKTEST'!B1622</f>
        <v/>
      </c>
      <c r="C1619" s="22" t="str">
        <f>'EQUITY BACKTEST'!E1622</f>
        <v/>
      </c>
      <c r="I1619" s="22" t="str">
        <f t="shared" si="1"/>
        <v>#N/A</v>
      </c>
      <c r="J1619" s="22" t="str">
        <f t="shared" si="2"/>
        <v>#N/A</v>
      </c>
      <c r="K1619" s="22" t="str">
        <f t="shared" si="8"/>
        <v/>
      </c>
    </row>
    <row r="1620" ht="15.75" customHeight="1">
      <c r="A1620" s="32" t="str">
        <f>'EQUITY BACKTEST'!A1623</f>
        <v/>
      </c>
      <c r="B1620" s="22" t="str">
        <f>'EQUITY BACKTEST'!B1623</f>
        <v/>
      </c>
      <c r="C1620" s="22" t="str">
        <f>'EQUITY BACKTEST'!E1623</f>
        <v/>
      </c>
      <c r="I1620" s="22" t="str">
        <f t="shared" si="1"/>
        <v>#N/A</v>
      </c>
      <c r="J1620" s="22" t="str">
        <f t="shared" si="2"/>
        <v>#N/A</v>
      </c>
      <c r="K1620" s="22" t="str">
        <f t="shared" si="8"/>
        <v/>
      </c>
    </row>
    <row r="1621" ht="15.75" customHeight="1">
      <c r="A1621" s="32" t="str">
        <f>'EQUITY BACKTEST'!A1624</f>
        <v/>
      </c>
      <c r="B1621" s="22" t="str">
        <f>'EQUITY BACKTEST'!B1624</f>
        <v/>
      </c>
      <c r="C1621" s="22" t="str">
        <f>'EQUITY BACKTEST'!E1624</f>
        <v/>
      </c>
      <c r="I1621" s="22" t="str">
        <f t="shared" si="1"/>
        <v>#N/A</v>
      </c>
      <c r="J1621" s="22" t="str">
        <f t="shared" si="2"/>
        <v>#N/A</v>
      </c>
      <c r="K1621" s="22" t="str">
        <f t="shared" si="8"/>
        <v/>
      </c>
    </row>
    <row r="1622" ht="15.75" customHeight="1">
      <c r="A1622" s="32" t="str">
        <f>'EQUITY BACKTEST'!A1625</f>
        <v/>
      </c>
      <c r="B1622" s="22" t="str">
        <f>'EQUITY BACKTEST'!B1625</f>
        <v/>
      </c>
      <c r="C1622" s="22" t="str">
        <f>'EQUITY BACKTEST'!E1625</f>
        <v/>
      </c>
      <c r="I1622" s="22" t="str">
        <f t="shared" si="1"/>
        <v>#N/A</v>
      </c>
      <c r="J1622" s="22" t="str">
        <f t="shared" si="2"/>
        <v>#N/A</v>
      </c>
      <c r="K1622" s="22" t="str">
        <f t="shared" si="8"/>
        <v/>
      </c>
    </row>
    <row r="1623" ht="15.75" customHeight="1">
      <c r="A1623" s="32" t="str">
        <f>'EQUITY BACKTEST'!A1626</f>
        <v/>
      </c>
      <c r="B1623" s="22" t="str">
        <f>'EQUITY BACKTEST'!B1626</f>
        <v/>
      </c>
      <c r="C1623" s="22" t="str">
        <f>'EQUITY BACKTEST'!E1626</f>
        <v/>
      </c>
      <c r="I1623" s="22" t="str">
        <f t="shared" si="1"/>
        <v>#N/A</v>
      </c>
      <c r="J1623" s="22" t="str">
        <f t="shared" si="2"/>
        <v>#N/A</v>
      </c>
      <c r="K1623" s="22" t="str">
        <f t="shared" si="8"/>
        <v/>
      </c>
    </row>
    <row r="1624" ht="15.75" customHeight="1">
      <c r="A1624" s="32" t="str">
        <f>'EQUITY BACKTEST'!A1627</f>
        <v/>
      </c>
      <c r="B1624" s="22" t="str">
        <f>'EQUITY BACKTEST'!B1627</f>
        <v/>
      </c>
      <c r="C1624" s="22" t="str">
        <f>'EQUITY BACKTEST'!E1627</f>
        <v/>
      </c>
      <c r="I1624" s="22" t="str">
        <f t="shared" si="1"/>
        <v>#N/A</v>
      </c>
      <c r="J1624" s="22" t="str">
        <f t="shared" si="2"/>
        <v>#N/A</v>
      </c>
      <c r="K1624" s="22" t="str">
        <f t="shared" si="8"/>
        <v/>
      </c>
    </row>
    <row r="1625" ht="15.75" customHeight="1">
      <c r="A1625" s="32" t="str">
        <f>'EQUITY BACKTEST'!A1628</f>
        <v/>
      </c>
      <c r="B1625" s="22" t="str">
        <f>'EQUITY BACKTEST'!B1628</f>
        <v/>
      </c>
      <c r="C1625" s="22" t="str">
        <f>'EQUITY BACKTEST'!E1628</f>
        <v/>
      </c>
      <c r="I1625" s="22" t="str">
        <f t="shared" si="1"/>
        <v>#N/A</v>
      </c>
      <c r="J1625" s="22" t="str">
        <f t="shared" si="2"/>
        <v>#N/A</v>
      </c>
      <c r="K1625" s="22" t="str">
        <f t="shared" si="8"/>
        <v/>
      </c>
    </row>
    <row r="1626" ht="15.75" customHeight="1">
      <c r="A1626" s="32" t="str">
        <f>'EQUITY BACKTEST'!A1629</f>
        <v/>
      </c>
      <c r="B1626" s="22" t="str">
        <f>'EQUITY BACKTEST'!B1629</f>
        <v/>
      </c>
      <c r="C1626" s="22" t="str">
        <f>'EQUITY BACKTEST'!E1629</f>
        <v/>
      </c>
      <c r="I1626" s="22" t="str">
        <f t="shared" si="1"/>
        <v>#N/A</v>
      </c>
      <c r="J1626" s="22" t="str">
        <f t="shared" si="2"/>
        <v>#N/A</v>
      </c>
      <c r="K1626" s="22" t="str">
        <f t="shared" si="8"/>
        <v/>
      </c>
    </row>
    <row r="1627" ht="15.75" customHeight="1">
      <c r="A1627" s="32" t="str">
        <f>'EQUITY BACKTEST'!A1630</f>
        <v/>
      </c>
      <c r="B1627" s="22" t="str">
        <f>'EQUITY BACKTEST'!B1630</f>
        <v/>
      </c>
      <c r="C1627" s="22" t="str">
        <f>'EQUITY BACKTEST'!E1630</f>
        <v/>
      </c>
      <c r="I1627" s="22" t="str">
        <f t="shared" si="1"/>
        <v>#N/A</v>
      </c>
      <c r="J1627" s="22" t="str">
        <f t="shared" si="2"/>
        <v>#N/A</v>
      </c>
      <c r="K1627" s="22" t="str">
        <f t="shared" si="8"/>
        <v/>
      </c>
    </row>
    <row r="1628" ht="15.75" customHeight="1">
      <c r="A1628" s="32" t="str">
        <f>'EQUITY BACKTEST'!A1631</f>
        <v/>
      </c>
      <c r="B1628" s="22" t="str">
        <f>'EQUITY BACKTEST'!B1631</f>
        <v/>
      </c>
      <c r="C1628" s="22" t="str">
        <f>'EQUITY BACKTEST'!E1631</f>
        <v/>
      </c>
      <c r="I1628" s="22" t="str">
        <f t="shared" si="1"/>
        <v>#N/A</v>
      </c>
      <c r="J1628" s="22" t="str">
        <f t="shared" si="2"/>
        <v>#N/A</v>
      </c>
      <c r="K1628" s="22" t="str">
        <f t="shared" si="8"/>
        <v/>
      </c>
    </row>
    <row r="1629" ht="15.75" customHeight="1">
      <c r="A1629" s="32" t="str">
        <f>'EQUITY BACKTEST'!A1632</f>
        <v/>
      </c>
      <c r="B1629" s="22" t="str">
        <f>'EQUITY BACKTEST'!B1632</f>
        <v/>
      </c>
      <c r="C1629" s="22" t="str">
        <f>'EQUITY BACKTEST'!E1632</f>
        <v/>
      </c>
      <c r="I1629" s="22" t="str">
        <f t="shared" si="1"/>
        <v>#N/A</v>
      </c>
      <c r="J1629" s="22" t="str">
        <f t="shared" si="2"/>
        <v>#N/A</v>
      </c>
      <c r="K1629" s="22" t="str">
        <f t="shared" si="8"/>
        <v/>
      </c>
    </row>
    <row r="1630" ht="15.75" customHeight="1">
      <c r="A1630" s="32" t="str">
        <f>'EQUITY BACKTEST'!A1633</f>
        <v/>
      </c>
      <c r="B1630" s="22" t="str">
        <f>'EQUITY BACKTEST'!B1633</f>
        <v/>
      </c>
      <c r="C1630" s="22" t="str">
        <f>'EQUITY BACKTEST'!E1633</f>
        <v/>
      </c>
      <c r="I1630" s="22" t="str">
        <f t="shared" si="1"/>
        <v>#N/A</v>
      </c>
      <c r="J1630" s="22" t="str">
        <f t="shared" si="2"/>
        <v>#N/A</v>
      </c>
      <c r="K1630" s="22" t="str">
        <f t="shared" si="8"/>
        <v/>
      </c>
    </row>
    <row r="1631" ht="15.75" customHeight="1">
      <c r="A1631" s="32" t="str">
        <f>'EQUITY BACKTEST'!A1634</f>
        <v/>
      </c>
      <c r="B1631" s="22" t="str">
        <f>'EQUITY BACKTEST'!B1634</f>
        <v/>
      </c>
      <c r="C1631" s="22" t="str">
        <f>'EQUITY BACKTEST'!E1634</f>
        <v/>
      </c>
      <c r="I1631" s="22" t="str">
        <f t="shared" si="1"/>
        <v>#N/A</v>
      </c>
      <c r="J1631" s="22" t="str">
        <f t="shared" si="2"/>
        <v>#N/A</v>
      </c>
      <c r="K1631" s="22" t="str">
        <f t="shared" si="8"/>
        <v/>
      </c>
    </row>
    <row r="1632" ht="15.75" customHeight="1">
      <c r="A1632" s="32" t="str">
        <f>'EQUITY BACKTEST'!A1635</f>
        <v/>
      </c>
      <c r="B1632" s="22" t="str">
        <f>'EQUITY BACKTEST'!B1635</f>
        <v/>
      </c>
      <c r="C1632" s="22" t="str">
        <f>'EQUITY BACKTEST'!E1635</f>
        <v/>
      </c>
      <c r="I1632" s="22" t="str">
        <f t="shared" si="1"/>
        <v>#N/A</v>
      </c>
      <c r="J1632" s="22" t="str">
        <f t="shared" si="2"/>
        <v>#N/A</v>
      </c>
      <c r="K1632" s="22" t="str">
        <f t="shared" si="8"/>
        <v/>
      </c>
    </row>
    <row r="1633" ht="15.75" customHeight="1">
      <c r="A1633" s="32" t="str">
        <f>'EQUITY BACKTEST'!A1636</f>
        <v/>
      </c>
      <c r="B1633" s="22" t="str">
        <f>'EQUITY BACKTEST'!B1636</f>
        <v/>
      </c>
      <c r="C1633" s="22" t="str">
        <f>'EQUITY BACKTEST'!E1636</f>
        <v/>
      </c>
      <c r="I1633" s="22" t="str">
        <f t="shared" si="1"/>
        <v>#N/A</v>
      </c>
      <c r="J1633" s="22" t="str">
        <f t="shared" si="2"/>
        <v>#N/A</v>
      </c>
      <c r="K1633" s="22" t="str">
        <f t="shared" si="8"/>
        <v/>
      </c>
    </row>
    <row r="1634" ht="15.75" customHeight="1">
      <c r="A1634" s="32" t="str">
        <f>'EQUITY BACKTEST'!A1637</f>
        <v/>
      </c>
      <c r="B1634" s="22" t="str">
        <f>'EQUITY BACKTEST'!B1637</f>
        <v/>
      </c>
      <c r="C1634" s="22" t="str">
        <f>'EQUITY BACKTEST'!E1637</f>
        <v/>
      </c>
      <c r="I1634" s="22" t="str">
        <f t="shared" si="1"/>
        <v>#N/A</v>
      </c>
      <c r="J1634" s="22" t="str">
        <f t="shared" si="2"/>
        <v>#N/A</v>
      </c>
      <c r="K1634" s="22" t="str">
        <f t="shared" si="8"/>
        <v/>
      </c>
    </row>
    <row r="1635" ht="15.75" customHeight="1">
      <c r="A1635" s="32" t="str">
        <f>'EQUITY BACKTEST'!A1638</f>
        <v/>
      </c>
      <c r="B1635" s="22" t="str">
        <f>'EQUITY BACKTEST'!B1638</f>
        <v/>
      </c>
      <c r="C1635" s="22" t="str">
        <f>'EQUITY BACKTEST'!E1638</f>
        <v/>
      </c>
      <c r="I1635" s="22" t="str">
        <f t="shared" si="1"/>
        <v>#N/A</v>
      </c>
      <c r="J1635" s="22" t="str">
        <f t="shared" si="2"/>
        <v>#N/A</v>
      </c>
      <c r="K1635" s="22" t="str">
        <f t="shared" si="8"/>
        <v/>
      </c>
    </row>
    <row r="1636" ht="15.75" customHeight="1">
      <c r="A1636" s="32" t="str">
        <f>'EQUITY BACKTEST'!A1639</f>
        <v/>
      </c>
      <c r="B1636" s="22" t="str">
        <f>'EQUITY BACKTEST'!B1639</f>
        <v/>
      </c>
      <c r="C1636" s="22" t="str">
        <f>'EQUITY BACKTEST'!E1639</f>
        <v/>
      </c>
      <c r="I1636" s="22" t="str">
        <f t="shared" si="1"/>
        <v>#N/A</v>
      </c>
      <c r="J1636" s="22" t="str">
        <f t="shared" si="2"/>
        <v>#N/A</v>
      </c>
      <c r="K1636" s="22" t="str">
        <f t="shared" si="8"/>
        <v/>
      </c>
    </row>
    <row r="1637" ht="15.75" customHeight="1">
      <c r="A1637" s="32" t="str">
        <f>'EQUITY BACKTEST'!A1640</f>
        <v/>
      </c>
      <c r="B1637" s="22" t="str">
        <f>'EQUITY BACKTEST'!B1640</f>
        <v/>
      </c>
      <c r="C1637" s="22" t="str">
        <f>'EQUITY BACKTEST'!E1640</f>
        <v/>
      </c>
      <c r="I1637" s="22" t="str">
        <f t="shared" si="1"/>
        <v>#N/A</v>
      </c>
      <c r="J1637" s="22" t="str">
        <f t="shared" si="2"/>
        <v>#N/A</v>
      </c>
      <c r="K1637" s="22" t="str">
        <f t="shared" si="8"/>
        <v/>
      </c>
    </row>
    <row r="1638" ht="15.75" customHeight="1">
      <c r="A1638" s="32" t="str">
        <f>'EQUITY BACKTEST'!A1641</f>
        <v/>
      </c>
      <c r="B1638" s="22" t="str">
        <f>'EQUITY BACKTEST'!B1641</f>
        <v/>
      </c>
      <c r="C1638" s="22" t="str">
        <f>'EQUITY BACKTEST'!E1641</f>
        <v/>
      </c>
      <c r="I1638" s="22" t="str">
        <f t="shared" si="1"/>
        <v>#N/A</v>
      </c>
      <c r="J1638" s="22" t="str">
        <f t="shared" si="2"/>
        <v>#N/A</v>
      </c>
      <c r="K1638" s="22" t="str">
        <f t="shared" si="8"/>
        <v/>
      </c>
    </row>
    <row r="1639" ht="15.75" customHeight="1">
      <c r="A1639" s="32" t="str">
        <f>'EQUITY BACKTEST'!A1642</f>
        <v/>
      </c>
      <c r="B1639" s="22" t="str">
        <f>'EQUITY BACKTEST'!B1642</f>
        <v/>
      </c>
      <c r="C1639" s="22" t="str">
        <f>'EQUITY BACKTEST'!E1642</f>
        <v/>
      </c>
      <c r="I1639" s="22" t="str">
        <f t="shared" si="1"/>
        <v>#N/A</v>
      </c>
      <c r="J1639" s="22" t="str">
        <f t="shared" si="2"/>
        <v>#N/A</v>
      </c>
      <c r="K1639" s="22" t="str">
        <f t="shared" si="8"/>
        <v/>
      </c>
    </row>
    <row r="1640" ht="15.75" customHeight="1">
      <c r="A1640" s="32" t="str">
        <f>'EQUITY BACKTEST'!A1643</f>
        <v/>
      </c>
      <c r="B1640" s="22" t="str">
        <f>'EQUITY BACKTEST'!B1643</f>
        <v/>
      </c>
      <c r="C1640" s="22" t="str">
        <f>'EQUITY BACKTEST'!E1643</f>
        <v/>
      </c>
      <c r="I1640" s="22" t="str">
        <f t="shared" si="1"/>
        <v>#N/A</v>
      </c>
      <c r="J1640" s="22" t="str">
        <f t="shared" si="2"/>
        <v>#N/A</v>
      </c>
      <c r="K1640" s="22" t="str">
        <f t="shared" si="8"/>
        <v/>
      </c>
    </row>
    <row r="1641" ht="15.75" customHeight="1">
      <c r="A1641" s="32" t="str">
        <f>'EQUITY BACKTEST'!A1644</f>
        <v/>
      </c>
      <c r="B1641" s="22" t="str">
        <f>'EQUITY BACKTEST'!B1644</f>
        <v/>
      </c>
      <c r="C1641" s="22" t="str">
        <f>'EQUITY BACKTEST'!E1644</f>
        <v/>
      </c>
      <c r="I1641" s="22" t="str">
        <f t="shared" si="1"/>
        <v>#N/A</v>
      </c>
      <c r="J1641" s="22" t="str">
        <f t="shared" si="2"/>
        <v>#N/A</v>
      </c>
      <c r="K1641" s="22" t="str">
        <f t="shared" si="8"/>
        <v/>
      </c>
    </row>
    <row r="1642" ht="15.75" customHeight="1">
      <c r="A1642" s="32" t="str">
        <f>'EQUITY BACKTEST'!A1645</f>
        <v/>
      </c>
      <c r="B1642" s="22" t="str">
        <f>'EQUITY BACKTEST'!B1645</f>
        <v/>
      </c>
      <c r="C1642" s="22" t="str">
        <f>'EQUITY BACKTEST'!E1645</f>
        <v/>
      </c>
      <c r="I1642" s="22" t="str">
        <f t="shared" si="1"/>
        <v>#N/A</v>
      </c>
      <c r="J1642" s="22" t="str">
        <f t="shared" si="2"/>
        <v>#N/A</v>
      </c>
      <c r="K1642" s="22" t="str">
        <f t="shared" si="8"/>
        <v/>
      </c>
    </row>
    <row r="1643" ht="15.75" customHeight="1">
      <c r="A1643" s="32" t="str">
        <f>'EQUITY BACKTEST'!A1646</f>
        <v/>
      </c>
      <c r="B1643" s="22" t="str">
        <f>'EQUITY BACKTEST'!B1646</f>
        <v/>
      </c>
      <c r="C1643" s="22" t="str">
        <f>'EQUITY BACKTEST'!E1646</f>
        <v/>
      </c>
      <c r="I1643" s="22" t="str">
        <f t="shared" si="1"/>
        <v>#N/A</v>
      </c>
      <c r="J1643" s="22" t="str">
        <f t="shared" si="2"/>
        <v>#N/A</v>
      </c>
      <c r="K1643" s="22" t="str">
        <f t="shared" si="8"/>
        <v/>
      </c>
    </row>
    <row r="1644" ht="15.75" customHeight="1">
      <c r="A1644" s="32" t="str">
        <f>'EQUITY BACKTEST'!A1647</f>
        <v/>
      </c>
      <c r="B1644" s="22" t="str">
        <f>'EQUITY BACKTEST'!B1647</f>
        <v/>
      </c>
      <c r="C1644" s="22" t="str">
        <f>'EQUITY BACKTEST'!E1647</f>
        <v/>
      </c>
      <c r="I1644" s="22" t="str">
        <f t="shared" si="1"/>
        <v>#N/A</v>
      </c>
      <c r="J1644" s="22" t="str">
        <f t="shared" si="2"/>
        <v>#N/A</v>
      </c>
      <c r="K1644" s="22" t="str">
        <f t="shared" si="8"/>
        <v/>
      </c>
    </row>
    <row r="1645" ht="15.75" customHeight="1">
      <c r="A1645" s="32" t="str">
        <f>'EQUITY BACKTEST'!A1648</f>
        <v/>
      </c>
      <c r="B1645" s="22" t="str">
        <f>'EQUITY BACKTEST'!B1648</f>
        <v/>
      </c>
      <c r="C1645" s="22" t="str">
        <f>'EQUITY BACKTEST'!E1648</f>
        <v/>
      </c>
      <c r="I1645" s="22" t="str">
        <f t="shared" si="1"/>
        <v>#N/A</v>
      </c>
      <c r="J1645" s="22" t="str">
        <f t="shared" si="2"/>
        <v>#N/A</v>
      </c>
      <c r="K1645" s="22" t="str">
        <f t="shared" si="8"/>
        <v/>
      </c>
    </row>
    <row r="1646" ht="15.75" customHeight="1">
      <c r="A1646" s="32" t="str">
        <f>'EQUITY BACKTEST'!A1649</f>
        <v/>
      </c>
      <c r="B1646" s="22" t="str">
        <f>'EQUITY BACKTEST'!B1649</f>
        <v/>
      </c>
      <c r="C1646" s="22" t="str">
        <f>'EQUITY BACKTEST'!E1649</f>
        <v/>
      </c>
      <c r="I1646" s="22" t="str">
        <f t="shared" si="1"/>
        <v>#N/A</v>
      </c>
      <c r="J1646" s="22" t="str">
        <f t="shared" si="2"/>
        <v>#N/A</v>
      </c>
      <c r="K1646" s="22" t="str">
        <f t="shared" si="8"/>
        <v/>
      </c>
    </row>
    <row r="1647" ht="15.75" customHeight="1">
      <c r="A1647" s="32" t="str">
        <f>'EQUITY BACKTEST'!A1650</f>
        <v/>
      </c>
      <c r="B1647" s="22" t="str">
        <f>'EQUITY BACKTEST'!B1650</f>
        <v/>
      </c>
      <c r="C1647" s="22" t="str">
        <f>'EQUITY BACKTEST'!E1650</f>
        <v/>
      </c>
      <c r="I1647" s="22" t="str">
        <f t="shared" si="1"/>
        <v>#N/A</v>
      </c>
      <c r="J1647" s="22" t="str">
        <f t="shared" si="2"/>
        <v>#N/A</v>
      </c>
      <c r="K1647" s="22" t="str">
        <f t="shared" si="8"/>
        <v/>
      </c>
    </row>
    <row r="1648" ht="15.75" customHeight="1">
      <c r="A1648" s="32" t="str">
        <f>'EQUITY BACKTEST'!A1651</f>
        <v/>
      </c>
      <c r="B1648" s="22" t="str">
        <f>'EQUITY BACKTEST'!B1651</f>
        <v/>
      </c>
      <c r="C1648" s="22" t="str">
        <f>'EQUITY BACKTEST'!E1651</f>
        <v/>
      </c>
      <c r="I1648" s="22" t="str">
        <f t="shared" si="1"/>
        <v>#N/A</v>
      </c>
      <c r="J1648" s="22" t="str">
        <f t="shared" si="2"/>
        <v>#N/A</v>
      </c>
      <c r="K1648" s="22" t="str">
        <f t="shared" si="8"/>
        <v/>
      </c>
    </row>
    <row r="1649" ht="15.75" customHeight="1">
      <c r="A1649" s="32" t="str">
        <f>'EQUITY BACKTEST'!A1652</f>
        <v/>
      </c>
      <c r="B1649" s="22" t="str">
        <f>'EQUITY BACKTEST'!B1652</f>
        <v/>
      </c>
      <c r="C1649" s="22" t="str">
        <f>'EQUITY BACKTEST'!E1652</f>
        <v/>
      </c>
      <c r="I1649" s="22" t="str">
        <f t="shared" si="1"/>
        <v>#N/A</v>
      </c>
      <c r="J1649" s="22" t="str">
        <f t="shared" si="2"/>
        <v>#N/A</v>
      </c>
      <c r="K1649" s="22" t="str">
        <f t="shared" si="8"/>
        <v/>
      </c>
    </row>
    <row r="1650" ht="15.75" customHeight="1">
      <c r="A1650" s="32" t="str">
        <f>'EQUITY BACKTEST'!A1653</f>
        <v/>
      </c>
      <c r="B1650" s="22" t="str">
        <f>'EQUITY BACKTEST'!B1653</f>
        <v/>
      </c>
      <c r="C1650" s="22" t="str">
        <f>'EQUITY BACKTEST'!E1653</f>
        <v/>
      </c>
      <c r="I1650" s="22" t="str">
        <f t="shared" si="1"/>
        <v>#N/A</v>
      </c>
      <c r="J1650" s="22" t="str">
        <f t="shared" si="2"/>
        <v>#N/A</v>
      </c>
      <c r="K1650" s="22" t="str">
        <f t="shared" si="8"/>
        <v/>
      </c>
    </row>
    <row r="1651" ht="15.75" customHeight="1">
      <c r="A1651" s="32" t="str">
        <f>'EQUITY BACKTEST'!A1654</f>
        <v/>
      </c>
      <c r="B1651" s="22" t="str">
        <f>'EQUITY BACKTEST'!B1654</f>
        <v/>
      </c>
      <c r="C1651" s="22" t="str">
        <f>'EQUITY BACKTEST'!E1654</f>
        <v/>
      </c>
      <c r="I1651" s="22" t="str">
        <f t="shared" si="1"/>
        <v>#N/A</v>
      </c>
      <c r="J1651" s="22" t="str">
        <f t="shared" si="2"/>
        <v>#N/A</v>
      </c>
      <c r="K1651" s="22" t="str">
        <f t="shared" si="8"/>
        <v/>
      </c>
    </row>
    <row r="1652" ht="15.75" customHeight="1">
      <c r="A1652" s="32" t="str">
        <f>'EQUITY BACKTEST'!A1655</f>
        <v/>
      </c>
      <c r="B1652" s="22" t="str">
        <f>'EQUITY BACKTEST'!B1655</f>
        <v/>
      </c>
      <c r="C1652" s="22" t="str">
        <f>'EQUITY BACKTEST'!E1655</f>
        <v/>
      </c>
      <c r="I1652" s="22" t="str">
        <f t="shared" si="1"/>
        <v>#N/A</v>
      </c>
      <c r="J1652" s="22" t="str">
        <f t="shared" si="2"/>
        <v>#N/A</v>
      </c>
      <c r="K1652" s="22" t="str">
        <f t="shared" si="8"/>
        <v/>
      </c>
    </row>
    <row r="1653" ht="15.75" customHeight="1">
      <c r="A1653" s="32" t="str">
        <f>'EQUITY BACKTEST'!A1656</f>
        <v/>
      </c>
      <c r="B1653" s="22" t="str">
        <f>'EQUITY BACKTEST'!B1656</f>
        <v/>
      </c>
      <c r="C1653" s="22" t="str">
        <f>'EQUITY BACKTEST'!E1656</f>
        <v/>
      </c>
      <c r="I1653" s="22" t="str">
        <f t="shared" si="1"/>
        <v>#N/A</v>
      </c>
      <c r="J1653" s="22" t="str">
        <f t="shared" si="2"/>
        <v>#N/A</v>
      </c>
      <c r="K1653" s="22" t="str">
        <f t="shared" si="8"/>
        <v/>
      </c>
    </row>
    <row r="1654" ht="15.75" customHeight="1">
      <c r="A1654" s="32" t="str">
        <f>'EQUITY BACKTEST'!A1657</f>
        <v/>
      </c>
      <c r="B1654" s="22" t="str">
        <f>'EQUITY BACKTEST'!B1657</f>
        <v/>
      </c>
      <c r="C1654" s="22" t="str">
        <f>'EQUITY BACKTEST'!E1657</f>
        <v/>
      </c>
      <c r="I1654" s="22" t="str">
        <f t="shared" si="1"/>
        <v>#N/A</v>
      </c>
      <c r="J1654" s="22" t="str">
        <f t="shared" si="2"/>
        <v>#N/A</v>
      </c>
      <c r="K1654" s="22" t="str">
        <f t="shared" si="8"/>
        <v/>
      </c>
    </row>
    <row r="1655" ht="15.75" customHeight="1">
      <c r="A1655" s="32" t="str">
        <f>'EQUITY BACKTEST'!A1658</f>
        <v/>
      </c>
      <c r="B1655" s="22" t="str">
        <f>'EQUITY BACKTEST'!B1658</f>
        <v/>
      </c>
      <c r="C1655" s="22" t="str">
        <f>'EQUITY BACKTEST'!E1658</f>
        <v/>
      </c>
      <c r="I1655" s="22" t="str">
        <f t="shared" si="1"/>
        <v>#N/A</v>
      </c>
      <c r="J1655" s="22" t="str">
        <f t="shared" si="2"/>
        <v>#N/A</v>
      </c>
      <c r="K1655" s="22" t="str">
        <f t="shared" si="8"/>
        <v/>
      </c>
    </row>
    <row r="1656" ht="15.75" customHeight="1">
      <c r="A1656" s="32" t="str">
        <f>'EQUITY BACKTEST'!A1659</f>
        <v/>
      </c>
      <c r="B1656" s="22" t="str">
        <f>'EQUITY BACKTEST'!B1659</f>
        <v/>
      </c>
      <c r="C1656" s="22" t="str">
        <f>'EQUITY BACKTEST'!E1659</f>
        <v/>
      </c>
      <c r="I1656" s="22" t="str">
        <f t="shared" si="1"/>
        <v>#N/A</v>
      </c>
      <c r="J1656" s="22" t="str">
        <f t="shared" si="2"/>
        <v>#N/A</v>
      </c>
      <c r="K1656" s="22" t="str">
        <f t="shared" si="8"/>
        <v/>
      </c>
    </row>
    <row r="1657" ht="15.75" customHeight="1">
      <c r="A1657" s="32" t="str">
        <f>'EQUITY BACKTEST'!A1660</f>
        <v/>
      </c>
      <c r="B1657" s="22" t="str">
        <f>'EQUITY BACKTEST'!B1660</f>
        <v/>
      </c>
      <c r="C1657" s="22" t="str">
        <f>'EQUITY BACKTEST'!E1660</f>
        <v/>
      </c>
      <c r="I1657" s="22" t="str">
        <f t="shared" si="1"/>
        <v>#N/A</v>
      </c>
      <c r="J1657" s="22" t="str">
        <f t="shared" si="2"/>
        <v>#N/A</v>
      </c>
      <c r="K1657" s="22" t="str">
        <f t="shared" si="8"/>
        <v/>
      </c>
    </row>
    <row r="1658" ht="15.75" customHeight="1">
      <c r="A1658" s="32" t="str">
        <f>'EQUITY BACKTEST'!A1661</f>
        <v/>
      </c>
      <c r="B1658" s="22" t="str">
        <f>'EQUITY BACKTEST'!B1661</f>
        <v/>
      </c>
      <c r="C1658" s="22" t="str">
        <f>'EQUITY BACKTEST'!E1661</f>
        <v/>
      </c>
      <c r="I1658" s="22" t="str">
        <f t="shared" si="1"/>
        <v>#N/A</v>
      </c>
      <c r="J1658" s="22" t="str">
        <f t="shared" si="2"/>
        <v>#N/A</v>
      </c>
      <c r="K1658" s="22" t="str">
        <f t="shared" si="8"/>
        <v/>
      </c>
    </row>
    <row r="1659" ht="15.75" customHeight="1">
      <c r="A1659" s="32" t="str">
        <f>'EQUITY BACKTEST'!A1662</f>
        <v/>
      </c>
      <c r="B1659" s="22" t="str">
        <f>'EQUITY BACKTEST'!B1662</f>
        <v/>
      </c>
      <c r="C1659" s="22" t="str">
        <f>'EQUITY BACKTEST'!E1662</f>
        <v/>
      </c>
      <c r="I1659" s="22" t="str">
        <f t="shared" si="1"/>
        <v>#N/A</v>
      </c>
      <c r="J1659" s="22" t="str">
        <f t="shared" si="2"/>
        <v>#N/A</v>
      </c>
      <c r="K1659" s="22" t="str">
        <f t="shared" si="8"/>
        <v/>
      </c>
    </row>
    <row r="1660" ht="15.75" customHeight="1">
      <c r="A1660" s="32" t="str">
        <f>'EQUITY BACKTEST'!A1663</f>
        <v/>
      </c>
      <c r="B1660" s="22" t="str">
        <f>'EQUITY BACKTEST'!B1663</f>
        <v/>
      </c>
      <c r="C1660" s="22" t="str">
        <f>'EQUITY BACKTEST'!E1663</f>
        <v/>
      </c>
      <c r="I1660" s="22" t="str">
        <f t="shared" si="1"/>
        <v>#N/A</v>
      </c>
      <c r="J1660" s="22" t="str">
        <f t="shared" si="2"/>
        <v>#N/A</v>
      </c>
      <c r="K1660" s="22" t="str">
        <f t="shared" si="8"/>
        <v/>
      </c>
    </row>
    <row r="1661" ht="15.75" customHeight="1">
      <c r="A1661" s="32" t="str">
        <f>'EQUITY BACKTEST'!A1664</f>
        <v/>
      </c>
      <c r="B1661" s="22" t="str">
        <f>'EQUITY BACKTEST'!B1664</f>
        <v/>
      </c>
      <c r="C1661" s="22" t="str">
        <f>'EQUITY BACKTEST'!E1664</f>
        <v/>
      </c>
      <c r="I1661" s="22" t="str">
        <f t="shared" si="1"/>
        <v>#N/A</v>
      </c>
      <c r="J1661" s="22" t="str">
        <f t="shared" si="2"/>
        <v>#N/A</v>
      </c>
      <c r="K1661" s="22" t="str">
        <f t="shared" si="8"/>
        <v/>
      </c>
    </row>
    <row r="1662" ht="15.75" customHeight="1">
      <c r="A1662" s="32" t="str">
        <f>'EQUITY BACKTEST'!A1665</f>
        <v/>
      </c>
      <c r="B1662" s="22" t="str">
        <f>'EQUITY BACKTEST'!B1665</f>
        <v/>
      </c>
      <c r="C1662" s="22" t="str">
        <f>'EQUITY BACKTEST'!E1665</f>
        <v/>
      </c>
      <c r="I1662" s="22" t="str">
        <f t="shared" si="1"/>
        <v>#N/A</v>
      </c>
      <c r="J1662" s="22" t="str">
        <f t="shared" si="2"/>
        <v>#N/A</v>
      </c>
      <c r="K1662" s="22" t="str">
        <f t="shared" si="8"/>
        <v/>
      </c>
    </row>
    <row r="1663" ht="15.75" customHeight="1">
      <c r="A1663" s="32" t="str">
        <f>'EQUITY BACKTEST'!A1666</f>
        <v/>
      </c>
      <c r="B1663" s="22" t="str">
        <f>'EQUITY BACKTEST'!B1666</f>
        <v/>
      </c>
      <c r="C1663" s="22" t="str">
        <f>'EQUITY BACKTEST'!E1666</f>
        <v/>
      </c>
      <c r="I1663" s="22" t="str">
        <f t="shared" si="1"/>
        <v>#N/A</v>
      </c>
      <c r="J1663" s="22" t="str">
        <f t="shared" si="2"/>
        <v>#N/A</v>
      </c>
      <c r="K1663" s="22" t="str">
        <f t="shared" si="8"/>
        <v/>
      </c>
    </row>
    <row r="1664" ht="15.75" customHeight="1">
      <c r="A1664" s="32" t="str">
        <f>'EQUITY BACKTEST'!A1667</f>
        <v/>
      </c>
      <c r="B1664" s="22" t="str">
        <f>'EQUITY BACKTEST'!B1667</f>
        <v/>
      </c>
      <c r="C1664" s="22" t="str">
        <f>'EQUITY BACKTEST'!E1667</f>
        <v/>
      </c>
      <c r="I1664" s="22" t="str">
        <f t="shared" si="1"/>
        <v>#N/A</v>
      </c>
      <c r="J1664" s="22" t="str">
        <f t="shared" si="2"/>
        <v>#N/A</v>
      </c>
      <c r="K1664" s="22" t="str">
        <f t="shared" si="8"/>
        <v/>
      </c>
    </row>
    <row r="1665" ht="15.75" customHeight="1">
      <c r="A1665" s="32" t="str">
        <f>'EQUITY BACKTEST'!A1668</f>
        <v/>
      </c>
      <c r="B1665" s="22" t="str">
        <f>'EQUITY BACKTEST'!B1668</f>
        <v/>
      </c>
      <c r="C1665" s="22" t="str">
        <f>'EQUITY BACKTEST'!E1668</f>
        <v/>
      </c>
      <c r="I1665" s="22" t="str">
        <f t="shared" si="1"/>
        <v>#N/A</v>
      </c>
      <c r="J1665" s="22" t="str">
        <f t="shared" si="2"/>
        <v>#N/A</v>
      </c>
      <c r="K1665" s="22" t="str">
        <f t="shared" si="8"/>
        <v/>
      </c>
    </row>
    <row r="1666" ht="15.75" customHeight="1">
      <c r="A1666" s="32" t="str">
        <f>'EQUITY BACKTEST'!A1669</f>
        <v/>
      </c>
      <c r="B1666" s="22" t="str">
        <f>'EQUITY BACKTEST'!B1669</f>
        <v/>
      </c>
      <c r="C1666" s="22" t="str">
        <f>'EQUITY BACKTEST'!E1669</f>
        <v/>
      </c>
      <c r="I1666" s="22" t="str">
        <f t="shared" si="1"/>
        <v>#N/A</v>
      </c>
      <c r="J1666" s="22" t="str">
        <f t="shared" si="2"/>
        <v>#N/A</v>
      </c>
      <c r="K1666" s="22" t="str">
        <f t="shared" si="8"/>
        <v/>
      </c>
    </row>
    <row r="1667" ht="15.75" customHeight="1">
      <c r="A1667" s="32" t="str">
        <f>'EQUITY BACKTEST'!A1670</f>
        <v/>
      </c>
      <c r="B1667" s="22" t="str">
        <f>'EQUITY BACKTEST'!B1670</f>
        <v/>
      </c>
      <c r="C1667" s="22" t="str">
        <f>'EQUITY BACKTEST'!E1670</f>
        <v/>
      </c>
      <c r="I1667" s="22" t="str">
        <f t="shared" si="1"/>
        <v>#N/A</v>
      </c>
      <c r="J1667" s="22" t="str">
        <f t="shared" si="2"/>
        <v>#N/A</v>
      </c>
      <c r="K1667" s="22" t="str">
        <f t="shared" si="8"/>
        <v/>
      </c>
    </row>
    <row r="1668" ht="15.75" customHeight="1">
      <c r="A1668" s="32" t="str">
        <f>'EQUITY BACKTEST'!A1671</f>
        <v/>
      </c>
      <c r="B1668" s="22" t="str">
        <f>'EQUITY BACKTEST'!B1671</f>
        <v/>
      </c>
      <c r="C1668" s="22" t="str">
        <f>'EQUITY BACKTEST'!E1671</f>
        <v/>
      </c>
      <c r="I1668" s="22" t="str">
        <f t="shared" si="1"/>
        <v>#N/A</v>
      </c>
      <c r="J1668" s="22" t="str">
        <f t="shared" si="2"/>
        <v>#N/A</v>
      </c>
      <c r="K1668" s="22" t="str">
        <f t="shared" si="8"/>
        <v/>
      </c>
    </row>
    <row r="1669" ht="15.75" customHeight="1">
      <c r="A1669" s="32" t="str">
        <f>'EQUITY BACKTEST'!A1672</f>
        <v/>
      </c>
      <c r="B1669" s="22" t="str">
        <f>'EQUITY BACKTEST'!B1672</f>
        <v/>
      </c>
      <c r="C1669" s="22" t="str">
        <f>'EQUITY BACKTEST'!E1672</f>
        <v/>
      </c>
      <c r="I1669" s="22" t="str">
        <f t="shared" si="1"/>
        <v>#N/A</v>
      </c>
      <c r="J1669" s="22" t="str">
        <f t="shared" si="2"/>
        <v>#N/A</v>
      </c>
      <c r="K1669" s="22" t="str">
        <f t="shared" si="8"/>
        <v/>
      </c>
    </row>
    <row r="1670" ht="15.75" customHeight="1">
      <c r="A1670" s="32" t="str">
        <f>'EQUITY BACKTEST'!A1673</f>
        <v/>
      </c>
      <c r="B1670" s="22" t="str">
        <f>'EQUITY BACKTEST'!B1673</f>
        <v/>
      </c>
      <c r="C1670" s="22" t="str">
        <f>'EQUITY BACKTEST'!E1673</f>
        <v/>
      </c>
      <c r="I1670" s="22" t="str">
        <f t="shared" si="1"/>
        <v>#N/A</v>
      </c>
      <c r="J1670" s="22" t="str">
        <f t="shared" si="2"/>
        <v>#N/A</v>
      </c>
      <c r="K1670" s="22" t="str">
        <f t="shared" si="8"/>
        <v/>
      </c>
    </row>
    <row r="1671" ht="15.75" customHeight="1">
      <c r="A1671" s="32" t="str">
        <f>'EQUITY BACKTEST'!A1674</f>
        <v/>
      </c>
      <c r="B1671" s="22" t="str">
        <f>'EQUITY BACKTEST'!B1674</f>
        <v/>
      </c>
      <c r="C1671" s="22" t="str">
        <f>'EQUITY BACKTEST'!E1674</f>
        <v/>
      </c>
      <c r="I1671" s="22" t="str">
        <f t="shared" si="1"/>
        <v>#N/A</v>
      </c>
      <c r="J1671" s="22" t="str">
        <f t="shared" si="2"/>
        <v>#N/A</v>
      </c>
      <c r="K1671" s="22" t="str">
        <f t="shared" si="8"/>
        <v/>
      </c>
    </row>
    <row r="1672" ht="15.75" customHeight="1">
      <c r="A1672" s="32" t="str">
        <f>'EQUITY BACKTEST'!A1675</f>
        <v/>
      </c>
      <c r="B1672" s="22" t="str">
        <f>'EQUITY BACKTEST'!B1675</f>
        <v/>
      </c>
      <c r="C1672" s="22" t="str">
        <f>'EQUITY BACKTEST'!E1675</f>
        <v/>
      </c>
      <c r="I1672" s="22" t="str">
        <f t="shared" si="1"/>
        <v>#N/A</v>
      </c>
      <c r="J1672" s="22" t="str">
        <f t="shared" si="2"/>
        <v>#N/A</v>
      </c>
      <c r="K1672" s="22" t="str">
        <f t="shared" si="8"/>
        <v/>
      </c>
    </row>
    <row r="1673" ht="15.75" customHeight="1">
      <c r="A1673" s="32" t="str">
        <f>'EQUITY BACKTEST'!A1676</f>
        <v/>
      </c>
      <c r="B1673" s="22" t="str">
        <f>'EQUITY BACKTEST'!B1676</f>
        <v/>
      </c>
      <c r="C1673" s="22" t="str">
        <f>'EQUITY BACKTEST'!E1676</f>
        <v/>
      </c>
      <c r="I1673" s="22" t="str">
        <f t="shared" si="1"/>
        <v>#N/A</v>
      </c>
      <c r="J1673" s="22" t="str">
        <f t="shared" si="2"/>
        <v>#N/A</v>
      </c>
      <c r="K1673" s="22" t="str">
        <f t="shared" si="8"/>
        <v/>
      </c>
    </row>
    <row r="1674" ht="15.75" customHeight="1">
      <c r="A1674" s="32" t="str">
        <f>'EQUITY BACKTEST'!A1677</f>
        <v/>
      </c>
      <c r="B1674" s="22" t="str">
        <f>'EQUITY BACKTEST'!B1677</f>
        <v/>
      </c>
      <c r="C1674" s="22" t="str">
        <f>'EQUITY BACKTEST'!E1677</f>
        <v/>
      </c>
      <c r="I1674" s="22" t="str">
        <f t="shared" si="1"/>
        <v>#N/A</v>
      </c>
      <c r="J1674" s="22" t="str">
        <f t="shared" si="2"/>
        <v>#N/A</v>
      </c>
      <c r="K1674" s="22" t="str">
        <f t="shared" si="8"/>
        <v/>
      </c>
    </row>
    <row r="1675" ht="15.75" customHeight="1">
      <c r="A1675" s="32" t="str">
        <f>'EQUITY BACKTEST'!A1678</f>
        <v/>
      </c>
      <c r="B1675" s="22" t="str">
        <f>'EQUITY BACKTEST'!B1678</f>
        <v/>
      </c>
      <c r="C1675" s="22" t="str">
        <f>'EQUITY BACKTEST'!E1678</f>
        <v/>
      </c>
      <c r="I1675" s="22" t="str">
        <f t="shared" si="1"/>
        <v>#N/A</v>
      </c>
      <c r="J1675" s="22" t="str">
        <f t="shared" si="2"/>
        <v>#N/A</v>
      </c>
      <c r="K1675" s="22" t="str">
        <f t="shared" si="8"/>
        <v/>
      </c>
    </row>
    <row r="1676" ht="15.75" customHeight="1">
      <c r="A1676" s="32" t="str">
        <f>'EQUITY BACKTEST'!A1679</f>
        <v/>
      </c>
      <c r="B1676" s="22" t="str">
        <f>'EQUITY BACKTEST'!B1679</f>
        <v/>
      </c>
      <c r="C1676" s="22" t="str">
        <f>'EQUITY BACKTEST'!E1679</f>
        <v/>
      </c>
      <c r="I1676" s="22" t="str">
        <f t="shared" si="1"/>
        <v>#N/A</v>
      </c>
      <c r="J1676" s="22" t="str">
        <f t="shared" si="2"/>
        <v>#N/A</v>
      </c>
      <c r="K1676" s="22" t="str">
        <f t="shared" si="8"/>
        <v/>
      </c>
    </row>
    <row r="1677" ht="15.75" customHeight="1">
      <c r="A1677" s="32" t="str">
        <f>'EQUITY BACKTEST'!A1680</f>
        <v/>
      </c>
      <c r="B1677" s="22" t="str">
        <f>'EQUITY BACKTEST'!B1680</f>
        <v/>
      </c>
      <c r="C1677" s="22" t="str">
        <f>'EQUITY BACKTEST'!E1680</f>
        <v/>
      </c>
      <c r="I1677" s="22" t="str">
        <f t="shared" si="1"/>
        <v>#N/A</v>
      </c>
      <c r="J1677" s="22" t="str">
        <f t="shared" si="2"/>
        <v>#N/A</v>
      </c>
      <c r="K1677" s="22" t="str">
        <f t="shared" si="8"/>
        <v/>
      </c>
    </row>
    <row r="1678" ht="15.75" customHeight="1">
      <c r="A1678" s="32" t="str">
        <f>'EQUITY BACKTEST'!A1681</f>
        <v/>
      </c>
      <c r="B1678" s="22" t="str">
        <f>'EQUITY BACKTEST'!B1681</f>
        <v/>
      </c>
      <c r="C1678" s="22" t="str">
        <f>'EQUITY BACKTEST'!E1681</f>
        <v/>
      </c>
      <c r="I1678" s="22" t="str">
        <f t="shared" si="1"/>
        <v>#N/A</v>
      </c>
      <c r="J1678" s="22" t="str">
        <f t="shared" si="2"/>
        <v>#N/A</v>
      </c>
      <c r="K1678" s="22" t="str">
        <f t="shared" si="8"/>
        <v/>
      </c>
    </row>
    <row r="1679" ht="15.75" customHeight="1">
      <c r="A1679" s="32" t="str">
        <f>'EQUITY BACKTEST'!A1682</f>
        <v/>
      </c>
      <c r="B1679" s="22" t="str">
        <f>'EQUITY BACKTEST'!B1682</f>
        <v/>
      </c>
      <c r="C1679" s="22" t="str">
        <f>'EQUITY BACKTEST'!E1682</f>
        <v/>
      </c>
      <c r="I1679" s="22" t="str">
        <f t="shared" si="1"/>
        <v>#N/A</v>
      </c>
      <c r="J1679" s="22" t="str">
        <f t="shared" si="2"/>
        <v>#N/A</v>
      </c>
      <c r="K1679" s="22" t="str">
        <f t="shared" si="8"/>
        <v/>
      </c>
    </row>
    <row r="1680" ht="15.75" customHeight="1">
      <c r="A1680" s="32" t="str">
        <f>'EQUITY BACKTEST'!A1683</f>
        <v/>
      </c>
      <c r="B1680" s="22" t="str">
        <f>'EQUITY BACKTEST'!B1683</f>
        <v/>
      </c>
      <c r="C1680" s="22" t="str">
        <f>'EQUITY BACKTEST'!E1683</f>
        <v/>
      </c>
      <c r="I1680" s="22" t="str">
        <f t="shared" si="1"/>
        <v>#N/A</v>
      </c>
      <c r="J1680" s="22" t="str">
        <f t="shared" si="2"/>
        <v>#N/A</v>
      </c>
      <c r="K1680" s="22" t="str">
        <f t="shared" si="8"/>
        <v/>
      </c>
    </row>
    <row r="1681" ht="15.75" customHeight="1">
      <c r="A1681" s="32" t="str">
        <f>'EQUITY BACKTEST'!A1684</f>
        <v/>
      </c>
      <c r="B1681" s="22" t="str">
        <f>'EQUITY BACKTEST'!B1684</f>
        <v/>
      </c>
      <c r="C1681" s="22" t="str">
        <f>'EQUITY BACKTEST'!E1684</f>
        <v/>
      </c>
      <c r="I1681" s="22" t="str">
        <f t="shared" si="1"/>
        <v>#N/A</v>
      </c>
      <c r="J1681" s="22" t="str">
        <f t="shared" si="2"/>
        <v>#N/A</v>
      </c>
      <c r="K1681" s="22" t="str">
        <f t="shared" si="8"/>
        <v/>
      </c>
    </row>
    <row r="1682" ht="15.75" customHeight="1">
      <c r="A1682" s="32" t="str">
        <f>'EQUITY BACKTEST'!A1685</f>
        <v/>
      </c>
      <c r="B1682" s="22" t="str">
        <f>'EQUITY BACKTEST'!B1685</f>
        <v/>
      </c>
      <c r="C1682" s="22" t="str">
        <f>'EQUITY BACKTEST'!E1685</f>
        <v/>
      </c>
      <c r="I1682" s="22" t="str">
        <f t="shared" si="1"/>
        <v>#N/A</v>
      </c>
      <c r="J1682" s="22" t="str">
        <f t="shared" si="2"/>
        <v>#N/A</v>
      </c>
      <c r="K1682" s="22" t="str">
        <f t="shared" si="8"/>
        <v/>
      </c>
    </row>
    <row r="1683" ht="15.75" customHeight="1">
      <c r="A1683" s="32" t="str">
        <f>'EQUITY BACKTEST'!A1686</f>
        <v/>
      </c>
      <c r="B1683" s="22" t="str">
        <f>'EQUITY BACKTEST'!B1686</f>
        <v/>
      </c>
      <c r="C1683" s="22" t="str">
        <f>'EQUITY BACKTEST'!E1686</f>
        <v/>
      </c>
      <c r="I1683" s="22" t="str">
        <f t="shared" si="1"/>
        <v>#N/A</v>
      </c>
      <c r="J1683" s="22" t="str">
        <f t="shared" si="2"/>
        <v>#N/A</v>
      </c>
      <c r="K1683" s="22" t="str">
        <f t="shared" si="8"/>
        <v/>
      </c>
    </row>
    <row r="1684" ht="15.75" customHeight="1">
      <c r="A1684" s="32" t="str">
        <f>'EQUITY BACKTEST'!A1687</f>
        <v/>
      </c>
      <c r="B1684" s="22" t="str">
        <f>'EQUITY BACKTEST'!B1687</f>
        <v/>
      </c>
      <c r="C1684" s="22" t="str">
        <f>'EQUITY BACKTEST'!E1687</f>
        <v/>
      </c>
      <c r="I1684" s="22" t="str">
        <f t="shared" si="1"/>
        <v>#N/A</v>
      </c>
      <c r="J1684" s="22" t="str">
        <f t="shared" si="2"/>
        <v>#N/A</v>
      </c>
      <c r="K1684" s="22" t="str">
        <f t="shared" si="8"/>
        <v/>
      </c>
    </row>
    <row r="1685" ht="15.75" customHeight="1">
      <c r="A1685" s="32" t="str">
        <f>'EQUITY BACKTEST'!A1688</f>
        <v/>
      </c>
      <c r="B1685" s="22" t="str">
        <f>'EQUITY BACKTEST'!B1688</f>
        <v/>
      </c>
      <c r="C1685" s="22" t="str">
        <f>'EQUITY BACKTEST'!E1688</f>
        <v/>
      </c>
      <c r="I1685" s="22" t="str">
        <f t="shared" si="1"/>
        <v>#N/A</v>
      </c>
      <c r="J1685" s="22" t="str">
        <f t="shared" si="2"/>
        <v>#N/A</v>
      </c>
      <c r="K1685" s="22" t="str">
        <f t="shared" si="8"/>
        <v/>
      </c>
    </row>
    <row r="1686" ht="15.75" customHeight="1">
      <c r="A1686" s="32" t="str">
        <f>'EQUITY BACKTEST'!A1689</f>
        <v/>
      </c>
      <c r="B1686" s="22" t="str">
        <f>'EQUITY BACKTEST'!B1689</f>
        <v/>
      </c>
      <c r="C1686" s="22" t="str">
        <f>'EQUITY BACKTEST'!E1689</f>
        <v/>
      </c>
      <c r="I1686" s="22" t="str">
        <f t="shared" si="1"/>
        <v>#N/A</v>
      </c>
      <c r="J1686" s="22" t="str">
        <f t="shared" si="2"/>
        <v>#N/A</v>
      </c>
      <c r="K1686" s="22" t="str">
        <f t="shared" si="8"/>
        <v/>
      </c>
    </row>
    <row r="1687" ht="15.75" customHeight="1">
      <c r="A1687" s="32" t="str">
        <f>'EQUITY BACKTEST'!A1690</f>
        <v/>
      </c>
      <c r="B1687" s="22" t="str">
        <f>'EQUITY BACKTEST'!B1690</f>
        <v/>
      </c>
      <c r="C1687" s="22" t="str">
        <f>'EQUITY BACKTEST'!E1690</f>
        <v/>
      </c>
      <c r="I1687" s="22" t="str">
        <f t="shared" si="1"/>
        <v>#N/A</v>
      </c>
      <c r="J1687" s="22" t="str">
        <f t="shared" si="2"/>
        <v>#N/A</v>
      </c>
      <c r="K1687" s="22" t="str">
        <f t="shared" si="8"/>
        <v/>
      </c>
    </row>
    <row r="1688" ht="15.75" customHeight="1">
      <c r="A1688" s="32" t="str">
        <f>'EQUITY BACKTEST'!A1691</f>
        <v/>
      </c>
      <c r="B1688" s="22" t="str">
        <f>'EQUITY BACKTEST'!B1691</f>
        <v/>
      </c>
      <c r="C1688" s="22" t="str">
        <f>'EQUITY BACKTEST'!E1691</f>
        <v/>
      </c>
      <c r="I1688" s="22" t="str">
        <f t="shared" si="1"/>
        <v>#N/A</v>
      </c>
      <c r="J1688" s="22" t="str">
        <f t="shared" si="2"/>
        <v>#N/A</v>
      </c>
      <c r="K1688" s="22" t="str">
        <f t="shared" si="8"/>
        <v/>
      </c>
    </row>
    <row r="1689" ht="15.75" customHeight="1">
      <c r="A1689" s="32" t="str">
        <f>'EQUITY BACKTEST'!A1692</f>
        <v/>
      </c>
      <c r="B1689" s="22" t="str">
        <f>'EQUITY BACKTEST'!B1692</f>
        <v/>
      </c>
      <c r="C1689" s="22" t="str">
        <f>'EQUITY BACKTEST'!E1692</f>
        <v/>
      </c>
      <c r="I1689" s="22" t="str">
        <f t="shared" si="1"/>
        <v>#N/A</v>
      </c>
      <c r="J1689" s="22" t="str">
        <f t="shared" si="2"/>
        <v>#N/A</v>
      </c>
      <c r="K1689" s="22" t="str">
        <f t="shared" si="8"/>
        <v/>
      </c>
    </row>
    <row r="1690" ht="15.75" customHeight="1">
      <c r="A1690" s="32" t="str">
        <f>'EQUITY BACKTEST'!A1693</f>
        <v/>
      </c>
      <c r="B1690" s="22" t="str">
        <f>'EQUITY BACKTEST'!B1693</f>
        <v/>
      </c>
      <c r="C1690" s="22" t="str">
        <f>'EQUITY BACKTEST'!E1693</f>
        <v/>
      </c>
      <c r="I1690" s="22" t="str">
        <f t="shared" si="1"/>
        <v>#N/A</v>
      </c>
      <c r="J1690" s="22" t="str">
        <f t="shared" si="2"/>
        <v>#N/A</v>
      </c>
      <c r="K1690" s="22" t="str">
        <f t="shared" si="8"/>
        <v/>
      </c>
    </row>
    <row r="1691" ht="15.75" customHeight="1">
      <c r="A1691" s="32" t="str">
        <f>'EQUITY BACKTEST'!A1694</f>
        <v/>
      </c>
      <c r="B1691" s="22" t="str">
        <f>'EQUITY BACKTEST'!B1694</f>
        <v/>
      </c>
      <c r="C1691" s="22" t="str">
        <f>'EQUITY BACKTEST'!E1694</f>
        <v/>
      </c>
      <c r="I1691" s="22" t="str">
        <f t="shared" si="1"/>
        <v>#N/A</v>
      </c>
      <c r="J1691" s="22" t="str">
        <f t="shared" si="2"/>
        <v>#N/A</v>
      </c>
      <c r="K1691" s="22" t="str">
        <f t="shared" si="8"/>
        <v/>
      </c>
    </row>
    <row r="1692" ht="15.75" customHeight="1">
      <c r="A1692" s="32" t="str">
        <f>'EQUITY BACKTEST'!A1695</f>
        <v/>
      </c>
      <c r="B1692" s="22" t="str">
        <f>'EQUITY BACKTEST'!B1695</f>
        <v/>
      </c>
      <c r="C1692" s="22" t="str">
        <f>'EQUITY BACKTEST'!E1695</f>
        <v/>
      </c>
      <c r="I1692" s="22" t="str">
        <f t="shared" si="1"/>
        <v>#N/A</v>
      </c>
      <c r="J1692" s="22" t="str">
        <f t="shared" si="2"/>
        <v>#N/A</v>
      </c>
      <c r="K1692" s="22" t="str">
        <f t="shared" si="8"/>
        <v/>
      </c>
    </row>
    <row r="1693" ht="15.75" customHeight="1">
      <c r="A1693" s="32" t="str">
        <f>'EQUITY BACKTEST'!A1696</f>
        <v/>
      </c>
      <c r="B1693" s="22" t="str">
        <f>'EQUITY BACKTEST'!B1696</f>
        <v/>
      </c>
      <c r="C1693" s="22" t="str">
        <f>'EQUITY BACKTEST'!E1696</f>
        <v/>
      </c>
      <c r="I1693" s="22" t="str">
        <f t="shared" si="1"/>
        <v>#N/A</v>
      </c>
      <c r="J1693" s="22" t="str">
        <f t="shared" si="2"/>
        <v>#N/A</v>
      </c>
      <c r="K1693" s="22" t="str">
        <f t="shared" si="8"/>
        <v/>
      </c>
    </row>
    <row r="1694" ht="15.75" customHeight="1">
      <c r="A1694" s="32" t="str">
        <f>'EQUITY BACKTEST'!A1697</f>
        <v/>
      </c>
      <c r="B1694" s="22" t="str">
        <f>'EQUITY BACKTEST'!B1697</f>
        <v/>
      </c>
      <c r="C1694" s="22" t="str">
        <f>'EQUITY BACKTEST'!E1697</f>
        <v/>
      </c>
      <c r="I1694" s="22" t="str">
        <f t="shared" si="1"/>
        <v>#N/A</v>
      </c>
      <c r="J1694" s="22" t="str">
        <f t="shared" si="2"/>
        <v>#N/A</v>
      </c>
      <c r="K1694" s="22" t="str">
        <f t="shared" si="8"/>
        <v/>
      </c>
    </row>
    <row r="1695" ht="15.75" customHeight="1">
      <c r="A1695" s="32" t="str">
        <f>'EQUITY BACKTEST'!A1698</f>
        <v/>
      </c>
      <c r="B1695" s="22" t="str">
        <f>'EQUITY BACKTEST'!B1698</f>
        <v/>
      </c>
      <c r="C1695" s="22" t="str">
        <f>'EQUITY BACKTEST'!E1698</f>
        <v/>
      </c>
      <c r="I1695" s="22" t="str">
        <f t="shared" si="1"/>
        <v>#N/A</v>
      </c>
      <c r="J1695" s="22" t="str">
        <f t="shared" si="2"/>
        <v>#N/A</v>
      </c>
      <c r="K1695" s="22" t="str">
        <f t="shared" si="8"/>
        <v/>
      </c>
    </row>
    <row r="1696" ht="15.75" customHeight="1">
      <c r="A1696" s="32" t="str">
        <f>'EQUITY BACKTEST'!A1699</f>
        <v/>
      </c>
      <c r="B1696" s="22" t="str">
        <f>'EQUITY BACKTEST'!B1699</f>
        <v/>
      </c>
      <c r="C1696" s="22" t="str">
        <f>'EQUITY BACKTEST'!E1699</f>
        <v/>
      </c>
      <c r="I1696" s="22" t="str">
        <f t="shared" si="1"/>
        <v>#N/A</v>
      </c>
      <c r="J1696" s="22" t="str">
        <f t="shared" si="2"/>
        <v>#N/A</v>
      </c>
      <c r="K1696" s="22" t="str">
        <f t="shared" si="8"/>
        <v/>
      </c>
    </row>
    <row r="1697" ht="15.75" customHeight="1">
      <c r="A1697" s="32" t="str">
        <f>'EQUITY BACKTEST'!A1700</f>
        <v/>
      </c>
      <c r="B1697" s="22" t="str">
        <f>'EQUITY BACKTEST'!B1700</f>
        <v/>
      </c>
      <c r="C1697" s="22" t="str">
        <f>'EQUITY BACKTEST'!E1700</f>
        <v/>
      </c>
      <c r="I1697" s="22" t="str">
        <f t="shared" si="1"/>
        <v>#N/A</v>
      </c>
      <c r="J1697" s="22" t="str">
        <f t="shared" si="2"/>
        <v>#N/A</v>
      </c>
      <c r="K1697" s="22" t="str">
        <f t="shared" si="8"/>
        <v/>
      </c>
    </row>
    <row r="1698" ht="15.75" customHeight="1">
      <c r="A1698" s="32" t="str">
        <f>'EQUITY BACKTEST'!A1701</f>
        <v/>
      </c>
      <c r="B1698" s="22" t="str">
        <f>'EQUITY BACKTEST'!B1701</f>
        <v/>
      </c>
      <c r="C1698" s="22" t="str">
        <f>'EQUITY BACKTEST'!E1701</f>
        <v/>
      </c>
      <c r="I1698" s="22" t="str">
        <f t="shared" si="1"/>
        <v>#N/A</v>
      </c>
      <c r="J1698" s="22" t="str">
        <f t="shared" si="2"/>
        <v>#N/A</v>
      </c>
      <c r="K1698" s="22" t="str">
        <f t="shared" si="8"/>
        <v/>
      </c>
    </row>
    <row r="1699" ht="15.75" customHeight="1">
      <c r="A1699" s="32" t="str">
        <f>'EQUITY BACKTEST'!A1702</f>
        <v/>
      </c>
      <c r="B1699" s="22" t="str">
        <f>'EQUITY BACKTEST'!B1702</f>
        <v/>
      </c>
      <c r="C1699" s="22" t="str">
        <f>'EQUITY BACKTEST'!E1702</f>
        <v/>
      </c>
      <c r="I1699" s="22" t="str">
        <f t="shared" si="1"/>
        <v>#N/A</v>
      </c>
      <c r="J1699" s="22" t="str">
        <f t="shared" si="2"/>
        <v>#N/A</v>
      </c>
      <c r="K1699" s="22" t="str">
        <f t="shared" si="8"/>
        <v/>
      </c>
    </row>
    <row r="1700" ht="15.75" customHeight="1">
      <c r="A1700" s="32" t="str">
        <f>'EQUITY BACKTEST'!A1703</f>
        <v/>
      </c>
      <c r="B1700" s="22" t="str">
        <f>'EQUITY BACKTEST'!B1703</f>
        <v/>
      </c>
      <c r="C1700" s="22" t="str">
        <f>'EQUITY BACKTEST'!E1703</f>
        <v/>
      </c>
      <c r="I1700" s="22" t="str">
        <f t="shared" si="1"/>
        <v>#N/A</v>
      </c>
      <c r="J1700" s="22" t="str">
        <f t="shared" si="2"/>
        <v>#N/A</v>
      </c>
      <c r="K1700" s="22" t="str">
        <f t="shared" si="8"/>
        <v/>
      </c>
    </row>
    <row r="1701" ht="15.75" customHeight="1">
      <c r="A1701" s="32" t="str">
        <f>'EQUITY BACKTEST'!A1704</f>
        <v/>
      </c>
      <c r="B1701" s="22" t="str">
        <f>'EQUITY BACKTEST'!B1704</f>
        <v/>
      </c>
      <c r="C1701" s="22" t="str">
        <f>'EQUITY BACKTEST'!E1704</f>
        <v/>
      </c>
      <c r="I1701" s="22" t="str">
        <f t="shared" si="1"/>
        <v>#N/A</v>
      </c>
      <c r="J1701" s="22" t="str">
        <f t="shared" si="2"/>
        <v>#N/A</v>
      </c>
      <c r="K1701" s="22" t="str">
        <f t="shared" si="8"/>
        <v/>
      </c>
    </row>
    <row r="1702" ht="15.75" customHeight="1">
      <c r="A1702" s="32" t="str">
        <f>'EQUITY BACKTEST'!A1705</f>
        <v/>
      </c>
      <c r="B1702" s="22" t="str">
        <f>'EQUITY BACKTEST'!B1705</f>
        <v/>
      </c>
      <c r="C1702" s="22" t="str">
        <f>'EQUITY BACKTEST'!E1705</f>
        <v/>
      </c>
      <c r="I1702" s="22" t="str">
        <f t="shared" si="1"/>
        <v>#N/A</v>
      </c>
      <c r="J1702" s="22" t="str">
        <f t="shared" si="2"/>
        <v>#N/A</v>
      </c>
      <c r="K1702" s="22" t="str">
        <f t="shared" si="8"/>
        <v/>
      </c>
    </row>
    <row r="1703" ht="15.75" customHeight="1">
      <c r="A1703" s="32" t="str">
        <f>'EQUITY BACKTEST'!A1706</f>
        <v/>
      </c>
      <c r="B1703" s="22" t="str">
        <f>'EQUITY BACKTEST'!B1706</f>
        <v/>
      </c>
      <c r="C1703" s="22" t="str">
        <f>'EQUITY BACKTEST'!E1706</f>
        <v/>
      </c>
      <c r="I1703" s="22" t="str">
        <f t="shared" si="1"/>
        <v>#N/A</v>
      </c>
      <c r="J1703" s="22" t="str">
        <f t="shared" si="2"/>
        <v>#N/A</v>
      </c>
      <c r="K1703" s="22" t="str">
        <f t="shared" si="8"/>
        <v/>
      </c>
    </row>
    <row r="1704" ht="15.75" customHeight="1">
      <c r="A1704" s="32" t="str">
        <f>'EQUITY BACKTEST'!A1707</f>
        <v/>
      </c>
      <c r="B1704" s="22" t="str">
        <f>'EQUITY BACKTEST'!B1707</f>
        <v/>
      </c>
      <c r="C1704" s="22" t="str">
        <f>'EQUITY BACKTEST'!E1707</f>
        <v/>
      </c>
      <c r="I1704" s="22" t="str">
        <f t="shared" si="1"/>
        <v>#N/A</v>
      </c>
      <c r="J1704" s="22" t="str">
        <f t="shared" si="2"/>
        <v>#N/A</v>
      </c>
      <c r="K1704" s="22" t="str">
        <f t="shared" si="8"/>
        <v/>
      </c>
    </row>
    <row r="1705" ht="15.75" customHeight="1">
      <c r="A1705" s="32" t="str">
        <f>'EQUITY BACKTEST'!A1708</f>
        <v/>
      </c>
      <c r="B1705" s="22" t="str">
        <f>'EQUITY BACKTEST'!B1708</f>
        <v/>
      </c>
      <c r="C1705" s="22" t="str">
        <f>'EQUITY BACKTEST'!E1708</f>
        <v/>
      </c>
      <c r="I1705" s="22" t="str">
        <f t="shared" si="1"/>
        <v>#N/A</v>
      </c>
      <c r="J1705" s="22" t="str">
        <f t="shared" si="2"/>
        <v>#N/A</v>
      </c>
      <c r="K1705" s="22" t="str">
        <f t="shared" si="8"/>
        <v/>
      </c>
    </row>
    <row r="1706" ht="15.75" customHeight="1">
      <c r="A1706" s="32" t="str">
        <f>'EQUITY BACKTEST'!A1709</f>
        <v/>
      </c>
      <c r="B1706" s="22" t="str">
        <f>'EQUITY BACKTEST'!B1709</f>
        <v/>
      </c>
      <c r="C1706" s="22" t="str">
        <f>'EQUITY BACKTEST'!E1709</f>
        <v/>
      </c>
      <c r="I1706" s="22" t="str">
        <f t="shared" si="1"/>
        <v>#N/A</v>
      </c>
      <c r="J1706" s="22" t="str">
        <f t="shared" si="2"/>
        <v>#N/A</v>
      </c>
      <c r="K1706" s="22" t="str">
        <f t="shared" si="8"/>
        <v/>
      </c>
    </row>
    <row r="1707" ht="15.75" customHeight="1">
      <c r="A1707" s="32" t="str">
        <f>'EQUITY BACKTEST'!A1710</f>
        <v/>
      </c>
      <c r="B1707" s="22" t="str">
        <f>'EQUITY BACKTEST'!B1710</f>
        <v/>
      </c>
      <c r="C1707" s="22" t="str">
        <f>'EQUITY BACKTEST'!E1710</f>
        <v/>
      </c>
      <c r="I1707" s="22" t="str">
        <f t="shared" si="1"/>
        <v>#N/A</v>
      </c>
      <c r="J1707" s="22" t="str">
        <f t="shared" si="2"/>
        <v>#N/A</v>
      </c>
      <c r="K1707" s="22" t="str">
        <f t="shared" si="8"/>
        <v/>
      </c>
    </row>
    <row r="1708" ht="15.75" customHeight="1">
      <c r="A1708" s="32" t="str">
        <f>'EQUITY BACKTEST'!A1711</f>
        <v/>
      </c>
      <c r="B1708" s="22" t="str">
        <f>'EQUITY BACKTEST'!B1711</f>
        <v/>
      </c>
      <c r="C1708" s="22" t="str">
        <f>'EQUITY BACKTEST'!E1711</f>
        <v/>
      </c>
      <c r="I1708" s="22" t="str">
        <f t="shared" si="1"/>
        <v>#N/A</v>
      </c>
      <c r="J1708" s="22" t="str">
        <f t="shared" si="2"/>
        <v>#N/A</v>
      </c>
      <c r="K1708" s="22" t="str">
        <f t="shared" si="8"/>
        <v/>
      </c>
    </row>
    <row r="1709" ht="15.75" customHeight="1">
      <c r="A1709" s="32" t="str">
        <f>'EQUITY BACKTEST'!A1712</f>
        <v/>
      </c>
      <c r="B1709" s="22" t="str">
        <f>'EQUITY BACKTEST'!B1712</f>
        <v/>
      </c>
      <c r="C1709" s="22" t="str">
        <f>'EQUITY BACKTEST'!E1712</f>
        <v/>
      </c>
      <c r="I1709" s="22" t="str">
        <f t="shared" si="1"/>
        <v>#N/A</v>
      </c>
      <c r="J1709" s="22" t="str">
        <f t="shared" si="2"/>
        <v>#N/A</v>
      </c>
      <c r="K1709" s="22" t="str">
        <f t="shared" si="8"/>
        <v/>
      </c>
    </row>
    <row r="1710" ht="15.75" customHeight="1">
      <c r="A1710" s="32" t="str">
        <f>'EQUITY BACKTEST'!A1713</f>
        <v/>
      </c>
      <c r="B1710" s="22" t="str">
        <f>'EQUITY BACKTEST'!B1713</f>
        <v/>
      </c>
      <c r="C1710" s="22" t="str">
        <f>'EQUITY BACKTEST'!E1713</f>
        <v/>
      </c>
      <c r="I1710" s="22" t="str">
        <f t="shared" si="1"/>
        <v>#N/A</v>
      </c>
      <c r="J1710" s="22" t="str">
        <f t="shared" si="2"/>
        <v>#N/A</v>
      </c>
      <c r="K1710" s="22" t="str">
        <f t="shared" si="8"/>
        <v/>
      </c>
    </row>
    <row r="1711" ht="15.75" customHeight="1">
      <c r="A1711" s="32" t="str">
        <f>'EQUITY BACKTEST'!A1714</f>
        <v/>
      </c>
      <c r="B1711" s="22" t="str">
        <f>'EQUITY BACKTEST'!B1714</f>
        <v/>
      </c>
      <c r="C1711" s="22" t="str">
        <f>'EQUITY BACKTEST'!E1714</f>
        <v/>
      </c>
      <c r="I1711" s="22" t="str">
        <f t="shared" si="1"/>
        <v>#N/A</v>
      </c>
      <c r="J1711" s="22" t="str">
        <f t="shared" si="2"/>
        <v>#N/A</v>
      </c>
      <c r="K1711" s="22" t="str">
        <f t="shared" si="8"/>
        <v/>
      </c>
    </row>
    <row r="1712" ht="15.75" customHeight="1">
      <c r="A1712" s="32" t="str">
        <f>'EQUITY BACKTEST'!A1715</f>
        <v/>
      </c>
      <c r="B1712" s="22" t="str">
        <f>'EQUITY BACKTEST'!B1715</f>
        <v/>
      </c>
      <c r="C1712" s="22" t="str">
        <f>'EQUITY BACKTEST'!E1715</f>
        <v/>
      </c>
      <c r="I1712" s="22" t="str">
        <f t="shared" si="1"/>
        <v>#N/A</v>
      </c>
      <c r="J1712" s="22" t="str">
        <f t="shared" si="2"/>
        <v>#N/A</v>
      </c>
      <c r="K1712" s="22" t="str">
        <f t="shared" si="8"/>
        <v/>
      </c>
    </row>
    <row r="1713" ht="15.75" customHeight="1">
      <c r="A1713" s="32" t="str">
        <f>'EQUITY BACKTEST'!A1716</f>
        <v/>
      </c>
      <c r="B1713" s="22" t="str">
        <f>'EQUITY BACKTEST'!B1716</f>
        <v/>
      </c>
      <c r="C1713" s="22" t="str">
        <f>'EQUITY BACKTEST'!E1716</f>
        <v/>
      </c>
      <c r="I1713" s="22" t="str">
        <f t="shared" si="1"/>
        <v>#N/A</v>
      </c>
      <c r="J1713" s="22" t="str">
        <f t="shared" si="2"/>
        <v>#N/A</v>
      </c>
      <c r="K1713" s="22" t="str">
        <f t="shared" si="8"/>
        <v/>
      </c>
    </row>
    <row r="1714" ht="15.75" customHeight="1">
      <c r="A1714" s="32" t="str">
        <f>'EQUITY BACKTEST'!A1717</f>
        <v/>
      </c>
      <c r="B1714" s="22" t="str">
        <f>'EQUITY BACKTEST'!B1717</f>
        <v/>
      </c>
      <c r="C1714" s="22" t="str">
        <f>'EQUITY BACKTEST'!E1717</f>
        <v/>
      </c>
      <c r="I1714" s="22" t="str">
        <f t="shared" si="1"/>
        <v>#N/A</v>
      </c>
      <c r="J1714" s="22" t="str">
        <f t="shared" si="2"/>
        <v>#N/A</v>
      </c>
      <c r="K1714" s="22" t="str">
        <f t="shared" si="8"/>
        <v/>
      </c>
    </row>
    <row r="1715" ht="15.75" customHeight="1">
      <c r="A1715" s="32" t="str">
        <f>'EQUITY BACKTEST'!A1718</f>
        <v/>
      </c>
      <c r="B1715" s="22" t="str">
        <f>'EQUITY BACKTEST'!B1718</f>
        <v/>
      </c>
      <c r="C1715" s="22" t="str">
        <f>'EQUITY BACKTEST'!E1718</f>
        <v/>
      </c>
      <c r="I1715" s="22" t="str">
        <f t="shared" si="1"/>
        <v>#N/A</v>
      </c>
      <c r="J1715" s="22" t="str">
        <f t="shared" si="2"/>
        <v>#N/A</v>
      </c>
      <c r="K1715" s="22" t="str">
        <f t="shared" si="8"/>
        <v/>
      </c>
    </row>
    <row r="1716" ht="15.75" customHeight="1">
      <c r="A1716" s="32" t="str">
        <f>'EQUITY BACKTEST'!A1719</f>
        <v/>
      </c>
      <c r="B1716" s="22" t="str">
        <f>'EQUITY BACKTEST'!B1719</f>
        <v/>
      </c>
      <c r="C1716" s="22" t="str">
        <f>'EQUITY BACKTEST'!E1719</f>
        <v/>
      </c>
      <c r="I1716" s="22" t="str">
        <f t="shared" si="1"/>
        <v>#N/A</v>
      </c>
      <c r="J1716" s="22" t="str">
        <f t="shared" si="2"/>
        <v>#N/A</v>
      </c>
      <c r="K1716" s="22" t="str">
        <f t="shared" si="8"/>
        <v/>
      </c>
    </row>
    <row r="1717" ht="15.75" customHeight="1">
      <c r="A1717" s="32" t="str">
        <f>'EQUITY BACKTEST'!A1720</f>
        <v/>
      </c>
      <c r="B1717" s="22" t="str">
        <f>'EQUITY BACKTEST'!B1720</f>
        <v/>
      </c>
      <c r="C1717" s="22" t="str">
        <f>'EQUITY BACKTEST'!E1720</f>
        <v/>
      </c>
      <c r="I1717" s="22" t="str">
        <f t="shared" si="1"/>
        <v>#N/A</v>
      </c>
      <c r="J1717" s="22" t="str">
        <f t="shared" si="2"/>
        <v>#N/A</v>
      </c>
      <c r="K1717" s="22" t="str">
        <f t="shared" si="8"/>
        <v/>
      </c>
    </row>
    <row r="1718" ht="15.75" customHeight="1">
      <c r="A1718" s="32" t="str">
        <f>'EQUITY BACKTEST'!A1721</f>
        <v/>
      </c>
      <c r="B1718" s="22" t="str">
        <f>'EQUITY BACKTEST'!B1721</f>
        <v/>
      </c>
      <c r="C1718" s="22" t="str">
        <f>'EQUITY BACKTEST'!E1721</f>
        <v/>
      </c>
      <c r="I1718" s="22" t="str">
        <f t="shared" si="1"/>
        <v>#N/A</v>
      </c>
      <c r="J1718" s="22" t="str">
        <f t="shared" si="2"/>
        <v>#N/A</v>
      </c>
      <c r="K1718" s="22" t="str">
        <f t="shared" si="8"/>
        <v/>
      </c>
    </row>
    <row r="1719" ht="15.75" customHeight="1">
      <c r="A1719" s="32" t="str">
        <f>'EQUITY BACKTEST'!A1722</f>
        <v/>
      </c>
      <c r="B1719" s="22" t="str">
        <f>'EQUITY BACKTEST'!B1722</f>
        <v/>
      </c>
      <c r="C1719" s="22" t="str">
        <f>'EQUITY BACKTEST'!E1722</f>
        <v/>
      </c>
      <c r="I1719" s="22" t="str">
        <f t="shared" si="1"/>
        <v>#N/A</v>
      </c>
      <c r="J1719" s="22" t="str">
        <f t="shared" si="2"/>
        <v>#N/A</v>
      </c>
      <c r="K1719" s="22" t="str">
        <f t="shared" si="8"/>
        <v/>
      </c>
    </row>
    <row r="1720" ht="15.75" customHeight="1">
      <c r="A1720" s="32" t="str">
        <f>'EQUITY BACKTEST'!A1723</f>
        <v/>
      </c>
      <c r="B1720" s="22" t="str">
        <f>'EQUITY BACKTEST'!B1723</f>
        <v/>
      </c>
      <c r="C1720" s="22" t="str">
        <f>'EQUITY BACKTEST'!E1723</f>
        <v/>
      </c>
      <c r="I1720" s="22" t="str">
        <f t="shared" si="1"/>
        <v>#N/A</v>
      </c>
      <c r="J1720" s="22" t="str">
        <f t="shared" si="2"/>
        <v>#N/A</v>
      </c>
      <c r="K1720" s="22" t="str">
        <f t="shared" si="8"/>
        <v/>
      </c>
    </row>
    <row r="1721" ht="15.75" customHeight="1">
      <c r="A1721" s="32" t="str">
        <f>'EQUITY BACKTEST'!A1724</f>
        <v/>
      </c>
      <c r="B1721" s="22" t="str">
        <f>'EQUITY BACKTEST'!B1724</f>
        <v/>
      </c>
      <c r="C1721" s="22" t="str">
        <f>'EQUITY BACKTEST'!E1724</f>
        <v/>
      </c>
      <c r="I1721" s="22" t="str">
        <f t="shared" si="1"/>
        <v>#N/A</v>
      </c>
      <c r="J1721" s="22" t="str">
        <f t="shared" si="2"/>
        <v>#N/A</v>
      </c>
      <c r="K1721" s="22" t="str">
        <f t="shared" si="8"/>
        <v/>
      </c>
    </row>
    <row r="1722" ht="15.75" customHeight="1">
      <c r="A1722" s="32" t="str">
        <f>'EQUITY BACKTEST'!A1725</f>
        <v/>
      </c>
      <c r="B1722" s="22" t="str">
        <f>'EQUITY BACKTEST'!B1725</f>
        <v/>
      </c>
      <c r="C1722" s="22" t="str">
        <f>'EQUITY BACKTEST'!E1725</f>
        <v/>
      </c>
      <c r="I1722" s="22" t="str">
        <f t="shared" si="1"/>
        <v>#N/A</v>
      </c>
      <c r="J1722" s="22" t="str">
        <f t="shared" si="2"/>
        <v>#N/A</v>
      </c>
      <c r="K1722" s="22" t="str">
        <f t="shared" si="8"/>
        <v/>
      </c>
    </row>
    <row r="1723" ht="15.75" customHeight="1">
      <c r="A1723" s="32" t="str">
        <f>'EQUITY BACKTEST'!A1726</f>
        <v/>
      </c>
      <c r="B1723" s="22" t="str">
        <f>'EQUITY BACKTEST'!B1726</f>
        <v/>
      </c>
      <c r="C1723" s="22" t="str">
        <f>'EQUITY BACKTEST'!E1726</f>
        <v/>
      </c>
      <c r="I1723" s="22" t="str">
        <f t="shared" si="1"/>
        <v>#N/A</v>
      </c>
      <c r="J1723" s="22" t="str">
        <f t="shared" si="2"/>
        <v>#N/A</v>
      </c>
      <c r="K1723" s="22" t="str">
        <f t="shared" si="8"/>
        <v/>
      </c>
    </row>
    <row r="1724" ht="15.75" customHeight="1">
      <c r="A1724" s="32" t="str">
        <f>'EQUITY BACKTEST'!A1727</f>
        <v/>
      </c>
      <c r="B1724" s="22" t="str">
        <f>'EQUITY BACKTEST'!B1727</f>
        <v/>
      </c>
      <c r="C1724" s="22" t="str">
        <f>'EQUITY BACKTEST'!E1727</f>
        <v/>
      </c>
      <c r="I1724" s="22" t="str">
        <f t="shared" si="1"/>
        <v>#N/A</v>
      </c>
      <c r="J1724" s="22" t="str">
        <f t="shared" si="2"/>
        <v>#N/A</v>
      </c>
      <c r="K1724" s="22" t="str">
        <f t="shared" si="8"/>
        <v/>
      </c>
    </row>
    <row r="1725" ht="15.75" customHeight="1">
      <c r="A1725" s="32" t="str">
        <f>'EQUITY BACKTEST'!A1728</f>
        <v/>
      </c>
      <c r="B1725" s="22" t="str">
        <f>'EQUITY BACKTEST'!B1728</f>
        <v/>
      </c>
      <c r="C1725" s="22" t="str">
        <f>'EQUITY BACKTEST'!E1728</f>
        <v/>
      </c>
      <c r="I1725" s="22" t="str">
        <f t="shared" si="1"/>
        <v>#N/A</v>
      </c>
      <c r="J1725" s="22" t="str">
        <f t="shared" si="2"/>
        <v>#N/A</v>
      </c>
      <c r="K1725" s="22" t="str">
        <f t="shared" si="8"/>
        <v/>
      </c>
    </row>
    <row r="1726" ht="15.75" customHeight="1">
      <c r="A1726" s="32" t="str">
        <f>'EQUITY BACKTEST'!A1729</f>
        <v/>
      </c>
      <c r="B1726" s="22" t="str">
        <f>'EQUITY BACKTEST'!B1729</f>
        <v/>
      </c>
      <c r="C1726" s="22" t="str">
        <f>'EQUITY BACKTEST'!E1729</f>
        <v/>
      </c>
      <c r="I1726" s="22" t="str">
        <f t="shared" si="1"/>
        <v>#N/A</v>
      </c>
      <c r="J1726" s="22" t="str">
        <f t="shared" si="2"/>
        <v>#N/A</v>
      </c>
      <c r="K1726" s="22" t="str">
        <f t="shared" si="8"/>
        <v/>
      </c>
    </row>
    <row r="1727" ht="15.75" customHeight="1">
      <c r="A1727" s="32" t="str">
        <f>'EQUITY BACKTEST'!A1730</f>
        <v/>
      </c>
      <c r="B1727" s="22" t="str">
        <f>'EQUITY BACKTEST'!B1730</f>
        <v/>
      </c>
      <c r="C1727" s="22" t="str">
        <f>'EQUITY BACKTEST'!E1730</f>
        <v/>
      </c>
      <c r="I1727" s="22" t="str">
        <f t="shared" si="1"/>
        <v>#N/A</v>
      </c>
      <c r="J1727" s="22" t="str">
        <f t="shared" si="2"/>
        <v>#N/A</v>
      </c>
      <c r="K1727" s="22" t="str">
        <f t="shared" si="8"/>
        <v/>
      </c>
    </row>
    <row r="1728" ht="15.75" customHeight="1">
      <c r="A1728" s="32" t="str">
        <f>'EQUITY BACKTEST'!A1731</f>
        <v/>
      </c>
      <c r="B1728" s="22" t="str">
        <f>'EQUITY BACKTEST'!B1731</f>
        <v/>
      </c>
      <c r="C1728" s="22" t="str">
        <f>'EQUITY BACKTEST'!E1731</f>
        <v/>
      </c>
      <c r="I1728" s="22" t="str">
        <f t="shared" si="1"/>
        <v>#N/A</v>
      </c>
      <c r="J1728" s="22" t="str">
        <f t="shared" si="2"/>
        <v>#N/A</v>
      </c>
      <c r="K1728" s="22" t="str">
        <f t="shared" si="8"/>
        <v/>
      </c>
    </row>
    <row r="1729" ht="15.75" customHeight="1">
      <c r="A1729" s="32" t="str">
        <f>'EQUITY BACKTEST'!A1732</f>
        <v/>
      </c>
      <c r="B1729" s="22" t="str">
        <f>'EQUITY BACKTEST'!B1732</f>
        <v/>
      </c>
      <c r="C1729" s="22" t="str">
        <f>'EQUITY BACKTEST'!E1732</f>
        <v/>
      </c>
      <c r="I1729" s="22" t="str">
        <f t="shared" si="1"/>
        <v>#N/A</v>
      </c>
      <c r="J1729" s="22" t="str">
        <f t="shared" si="2"/>
        <v>#N/A</v>
      </c>
      <c r="K1729" s="22" t="str">
        <f t="shared" si="8"/>
        <v/>
      </c>
    </row>
    <row r="1730" ht="15.75" customHeight="1">
      <c r="A1730" s="32" t="str">
        <f>'EQUITY BACKTEST'!A1733</f>
        <v/>
      </c>
      <c r="B1730" s="22" t="str">
        <f>'EQUITY BACKTEST'!B1733</f>
        <v/>
      </c>
      <c r="C1730" s="22" t="str">
        <f>'EQUITY BACKTEST'!E1733</f>
        <v/>
      </c>
      <c r="I1730" s="22" t="str">
        <f t="shared" si="1"/>
        <v>#N/A</v>
      </c>
      <c r="J1730" s="22" t="str">
        <f t="shared" si="2"/>
        <v>#N/A</v>
      </c>
      <c r="K1730" s="22" t="str">
        <f t="shared" si="8"/>
        <v/>
      </c>
    </row>
    <row r="1731" ht="15.75" customHeight="1">
      <c r="A1731" s="32" t="str">
        <f>'EQUITY BACKTEST'!A1734</f>
        <v/>
      </c>
      <c r="B1731" s="22" t="str">
        <f>'EQUITY BACKTEST'!B1734</f>
        <v/>
      </c>
      <c r="C1731" s="22" t="str">
        <f>'EQUITY BACKTEST'!E1734</f>
        <v/>
      </c>
      <c r="I1731" s="22" t="str">
        <f t="shared" si="1"/>
        <v>#N/A</v>
      </c>
      <c r="J1731" s="22" t="str">
        <f t="shared" si="2"/>
        <v>#N/A</v>
      </c>
      <c r="K1731" s="22" t="str">
        <f t="shared" si="8"/>
        <v/>
      </c>
    </row>
    <row r="1732" ht="15.75" customHeight="1">
      <c r="A1732" s="32" t="str">
        <f>'EQUITY BACKTEST'!A1735</f>
        <v/>
      </c>
      <c r="B1732" s="22" t="str">
        <f>'EQUITY BACKTEST'!B1735</f>
        <v/>
      </c>
      <c r="C1732" s="22" t="str">
        <f>'EQUITY BACKTEST'!E1735</f>
        <v/>
      </c>
      <c r="I1732" s="22" t="str">
        <f t="shared" si="1"/>
        <v>#N/A</v>
      </c>
      <c r="J1732" s="22" t="str">
        <f t="shared" si="2"/>
        <v>#N/A</v>
      </c>
      <c r="K1732" s="22" t="str">
        <f t="shared" si="8"/>
        <v/>
      </c>
    </row>
    <row r="1733" ht="15.75" customHeight="1">
      <c r="A1733" s="32" t="str">
        <f>'EQUITY BACKTEST'!A1736</f>
        <v/>
      </c>
      <c r="B1733" s="22" t="str">
        <f>'EQUITY BACKTEST'!B1736</f>
        <v/>
      </c>
      <c r="C1733" s="22" t="str">
        <f>'EQUITY BACKTEST'!E1736</f>
        <v/>
      </c>
      <c r="I1733" s="22" t="str">
        <f t="shared" si="1"/>
        <v>#N/A</v>
      </c>
      <c r="J1733" s="22" t="str">
        <f t="shared" si="2"/>
        <v>#N/A</v>
      </c>
      <c r="K1733" s="22" t="str">
        <f t="shared" si="8"/>
        <v/>
      </c>
    </row>
    <row r="1734" ht="15.75" customHeight="1">
      <c r="A1734" s="32" t="str">
        <f>'EQUITY BACKTEST'!A1737</f>
        <v/>
      </c>
      <c r="B1734" s="22" t="str">
        <f>'EQUITY BACKTEST'!B1737</f>
        <v/>
      </c>
      <c r="C1734" s="22" t="str">
        <f>'EQUITY BACKTEST'!E1737</f>
        <v/>
      </c>
      <c r="I1734" s="22" t="str">
        <f t="shared" si="1"/>
        <v>#N/A</v>
      </c>
      <c r="J1734" s="22" t="str">
        <f t="shared" si="2"/>
        <v>#N/A</v>
      </c>
      <c r="K1734" s="22" t="str">
        <f t="shared" si="8"/>
        <v/>
      </c>
    </row>
    <row r="1735" ht="15.75" customHeight="1">
      <c r="A1735" s="32" t="str">
        <f>'EQUITY BACKTEST'!A1738</f>
        <v/>
      </c>
      <c r="B1735" s="22" t="str">
        <f>'EQUITY BACKTEST'!B1738</f>
        <v/>
      </c>
      <c r="C1735" s="22" t="str">
        <f>'EQUITY BACKTEST'!E1738</f>
        <v/>
      </c>
      <c r="I1735" s="22" t="str">
        <f t="shared" si="1"/>
        <v>#N/A</v>
      </c>
      <c r="J1735" s="22" t="str">
        <f t="shared" si="2"/>
        <v>#N/A</v>
      </c>
      <c r="K1735" s="22" t="str">
        <f t="shared" si="8"/>
        <v/>
      </c>
    </row>
    <row r="1736" ht="15.75" customHeight="1">
      <c r="A1736" s="32" t="str">
        <f>'EQUITY BACKTEST'!A1739</f>
        <v/>
      </c>
      <c r="B1736" s="22" t="str">
        <f>'EQUITY BACKTEST'!B1739</f>
        <v/>
      </c>
      <c r="C1736" s="22" t="str">
        <f>'EQUITY BACKTEST'!E1739</f>
        <v/>
      </c>
      <c r="I1736" s="22" t="str">
        <f t="shared" si="1"/>
        <v>#N/A</v>
      </c>
      <c r="J1736" s="22" t="str">
        <f t="shared" si="2"/>
        <v>#N/A</v>
      </c>
      <c r="K1736" s="22" t="str">
        <f t="shared" si="8"/>
        <v/>
      </c>
    </row>
    <row r="1737" ht="15.75" customHeight="1">
      <c r="A1737" s="32" t="str">
        <f>'EQUITY BACKTEST'!A1740</f>
        <v/>
      </c>
      <c r="B1737" s="22" t="str">
        <f>'EQUITY BACKTEST'!B1740</f>
        <v/>
      </c>
      <c r="C1737" s="22" t="str">
        <f>'EQUITY BACKTEST'!E1740</f>
        <v/>
      </c>
      <c r="I1737" s="22" t="str">
        <f t="shared" si="1"/>
        <v>#N/A</v>
      </c>
      <c r="J1737" s="22" t="str">
        <f t="shared" si="2"/>
        <v>#N/A</v>
      </c>
      <c r="K1737" s="22" t="str">
        <f t="shared" si="8"/>
        <v/>
      </c>
    </row>
    <row r="1738" ht="15.75" customHeight="1">
      <c r="A1738" s="32" t="str">
        <f>'EQUITY BACKTEST'!A1741</f>
        <v/>
      </c>
      <c r="B1738" s="22" t="str">
        <f>'EQUITY BACKTEST'!B1741</f>
        <v/>
      </c>
      <c r="C1738" s="22" t="str">
        <f>'EQUITY BACKTEST'!E1741</f>
        <v/>
      </c>
      <c r="I1738" s="22" t="str">
        <f t="shared" si="1"/>
        <v>#N/A</v>
      </c>
      <c r="J1738" s="22" t="str">
        <f t="shared" si="2"/>
        <v>#N/A</v>
      </c>
      <c r="K1738" s="22" t="str">
        <f t="shared" si="8"/>
        <v/>
      </c>
    </row>
    <row r="1739" ht="15.75" customHeight="1">
      <c r="A1739" s="32" t="str">
        <f>'EQUITY BACKTEST'!A1742</f>
        <v/>
      </c>
      <c r="B1739" s="22" t="str">
        <f>'EQUITY BACKTEST'!B1742</f>
        <v/>
      </c>
      <c r="C1739" s="22" t="str">
        <f>'EQUITY BACKTEST'!E1742</f>
        <v/>
      </c>
      <c r="I1739" s="22" t="str">
        <f t="shared" si="1"/>
        <v>#N/A</v>
      </c>
      <c r="J1739" s="22" t="str">
        <f t="shared" si="2"/>
        <v>#N/A</v>
      </c>
      <c r="K1739" s="22" t="str">
        <f t="shared" si="8"/>
        <v/>
      </c>
    </row>
    <row r="1740" ht="15.75" customHeight="1">
      <c r="A1740" s="32" t="str">
        <f>'EQUITY BACKTEST'!A1743</f>
        <v/>
      </c>
      <c r="B1740" s="22" t="str">
        <f>'EQUITY BACKTEST'!B1743</f>
        <v/>
      </c>
      <c r="C1740" s="22" t="str">
        <f>'EQUITY BACKTEST'!E1743</f>
        <v/>
      </c>
      <c r="I1740" s="22" t="str">
        <f t="shared" si="1"/>
        <v>#N/A</v>
      </c>
      <c r="J1740" s="22" t="str">
        <f t="shared" si="2"/>
        <v>#N/A</v>
      </c>
      <c r="K1740" s="22" t="str">
        <f t="shared" si="8"/>
        <v/>
      </c>
    </row>
    <row r="1741" ht="15.75" customHeight="1">
      <c r="A1741" s="32" t="str">
        <f>'EQUITY BACKTEST'!A1744</f>
        <v/>
      </c>
      <c r="B1741" s="22" t="str">
        <f>'EQUITY BACKTEST'!B1744</f>
        <v/>
      </c>
      <c r="C1741" s="22" t="str">
        <f>'EQUITY BACKTEST'!E1744</f>
        <v/>
      </c>
      <c r="I1741" s="22" t="str">
        <f t="shared" si="1"/>
        <v>#N/A</v>
      </c>
      <c r="J1741" s="22" t="str">
        <f t="shared" si="2"/>
        <v>#N/A</v>
      </c>
      <c r="K1741" s="22" t="str">
        <f t="shared" si="8"/>
        <v/>
      </c>
    </row>
    <row r="1742" ht="15.75" customHeight="1">
      <c r="A1742" s="32" t="str">
        <f>'EQUITY BACKTEST'!A1745</f>
        <v/>
      </c>
      <c r="B1742" s="22" t="str">
        <f>'EQUITY BACKTEST'!B1745</f>
        <v/>
      </c>
      <c r="C1742" s="22" t="str">
        <f>'EQUITY BACKTEST'!E1745</f>
        <v/>
      </c>
      <c r="I1742" s="22" t="str">
        <f t="shared" si="1"/>
        <v>#N/A</v>
      </c>
      <c r="J1742" s="22" t="str">
        <f t="shared" si="2"/>
        <v>#N/A</v>
      </c>
      <c r="K1742" s="22" t="str">
        <f t="shared" si="8"/>
        <v/>
      </c>
    </row>
    <row r="1743" ht="15.75" customHeight="1">
      <c r="A1743" s="32" t="str">
        <f>'EQUITY BACKTEST'!A1746</f>
        <v/>
      </c>
      <c r="B1743" s="22" t="str">
        <f>'EQUITY BACKTEST'!B1746</f>
        <v/>
      </c>
      <c r="C1743" s="22" t="str">
        <f>'EQUITY BACKTEST'!E1746</f>
        <v/>
      </c>
      <c r="I1743" s="22" t="str">
        <f t="shared" si="1"/>
        <v>#N/A</v>
      </c>
      <c r="J1743" s="22" t="str">
        <f t="shared" si="2"/>
        <v>#N/A</v>
      </c>
      <c r="K1743" s="22" t="str">
        <f t="shared" si="8"/>
        <v/>
      </c>
    </row>
    <row r="1744" ht="15.75" customHeight="1">
      <c r="A1744" s="32" t="str">
        <f>'EQUITY BACKTEST'!A1747</f>
        <v/>
      </c>
      <c r="B1744" s="22" t="str">
        <f>'EQUITY BACKTEST'!B1747</f>
        <v/>
      </c>
      <c r="C1744" s="22" t="str">
        <f>'EQUITY BACKTEST'!E1747</f>
        <v/>
      </c>
      <c r="I1744" s="22" t="str">
        <f t="shared" si="1"/>
        <v>#N/A</v>
      </c>
      <c r="J1744" s="22" t="str">
        <f t="shared" si="2"/>
        <v>#N/A</v>
      </c>
      <c r="K1744" s="22" t="str">
        <f t="shared" si="8"/>
        <v/>
      </c>
    </row>
    <row r="1745" ht="15.75" customHeight="1">
      <c r="A1745" s="32" t="str">
        <f>'EQUITY BACKTEST'!A1748</f>
        <v/>
      </c>
      <c r="B1745" s="22" t="str">
        <f>'EQUITY BACKTEST'!B1748</f>
        <v/>
      </c>
      <c r="C1745" s="22" t="str">
        <f>'EQUITY BACKTEST'!E1748</f>
        <v/>
      </c>
      <c r="I1745" s="22" t="str">
        <f t="shared" si="1"/>
        <v>#N/A</v>
      </c>
      <c r="J1745" s="22" t="str">
        <f t="shared" si="2"/>
        <v>#N/A</v>
      </c>
      <c r="K1745" s="22" t="str">
        <f t="shared" si="8"/>
        <v/>
      </c>
    </row>
    <row r="1746" ht="15.75" customHeight="1">
      <c r="A1746" s="32" t="str">
        <f>'EQUITY BACKTEST'!A1749</f>
        <v/>
      </c>
      <c r="B1746" s="22" t="str">
        <f>'EQUITY BACKTEST'!B1749</f>
        <v/>
      </c>
      <c r="C1746" s="22" t="str">
        <f>'EQUITY BACKTEST'!E1749</f>
        <v/>
      </c>
      <c r="I1746" s="22" t="str">
        <f t="shared" si="1"/>
        <v>#N/A</v>
      </c>
      <c r="J1746" s="22" t="str">
        <f t="shared" si="2"/>
        <v>#N/A</v>
      </c>
      <c r="K1746" s="22" t="str">
        <f t="shared" si="8"/>
        <v/>
      </c>
    </row>
    <row r="1747" ht="15.75" customHeight="1">
      <c r="A1747" s="32" t="str">
        <f>'EQUITY BACKTEST'!A1750</f>
        <v/>
      </c>
      <c r="B1747" s="22" t="str">
        <f>'EQUITY BACKTEST'!B1750</f>
        <v/>
      </c>
      <c r="C1747" s="22" t="str">
        <f>'EQUITY BACKTEST'!E1750</f>
        <v/>
      </c>
      <c r="I1747" s="22" t="str">
        <f t="shared" si="1"/>
        <v>#N/A</v>
      </c>
      <c r="J1747" s="22" t="str">
        <f t="shared" si="2"/>
        <v>#N/A</v>
      </c>
      <c r="K1747" s="22" t="str">
        <f t="shared" si="8"/>
        <v/>
      </c>
    </row>
    <row r="1748" ht="15.75" customHeight="1">
      <c r="A1748" s="32" t="str">
        <f>'EQUITY BACKTEST'!A1751</f>
        <v/>
      </c>
      <c r="B1748" s="22" t="str">
        <f>'EQUITY BACKTEST'!B1751</f>
        <v/>
      </c>
      <c r="C1748" s="22" t="str">
        <f>'EQUITY BACKTEST'!E1751</f>
        <v/>
      </c>
      <c r="I1748" s="22" t="str">
        <f t="shared" si="1"/>
        <v>#N/A</v>
      </c>
      <c r="J1748" s="22" t="str">
        <f t="shared" si="2"/>
        <v>#N/A</v>
      </c>
      <c r="K1748" s="22" t="str">
        <f t="shared" si="8"/>
        <v/>
      </c>
    </row>
    <row r="1749" ht="15.75" customHeight="1">
      <c r="A1749" s="32" t="str">
        <f>'EQUITY BACKTEST'!A1752</f>
        <v/>
      </c>
      <c r="B1749" s="22" t="str">
        <f>'EQUITY BACKTEST'!B1752</f>
        <v/>
      </c>
      <c r="C1749" s="22" t="str">
        <f>'EQUITY BACKTEST'!E1752</f>
        <v/>
      </c>
      <c r="I1749" s="22" t="str">
        <f t="shared" si="1"/>
        <v>#N/A</v>
      </c>
      <c r="J1749" s="22" t="str">
        <f t="shared" si="2"/>
        <v>#N/A</v>
      </c>
      <c r="K1749" s="22" t="str">
        <f t="shared" si="8"/>
        <v/>
      </c>
    </row>
    <row r="1750" ht="15.75" customHeight="1">
      <c r="A1750" s="32" t="str">
        <f>'EQUITY BACKTEST'!A1753</f>
        <v/>
      </c>
      <c r="B1750" s="22" t="str">
        <f>'EQUITY BACKTEST'!B1753</f>
        <v/>
      </c>
      <c r="C1750" s="22" t="str">
        <f>'EQUITY BACKTEST'!E1753</f>
        <v/>
      </c>
      <c r="I1750" s="22" t="str">
        <f t="shared" si="1"/>
        <v>#N/A</v>
      </c>
      <c r="J1750" s="22" t="str">
        <f t="shared" si="2"/>
        <v>#N/A</v>
      </c>
      <c r="K1750" s="22" t="str">
        <f t="shared" si="8"/>
        <v/>
      </c>
    </row>
    <row r="1751" ht="15.75" customHeight="1">
      <c r="A1751" s="32" t="str">
        <f>'EQUITY BACKTEST'!A1754</f>
        <v/>
      </c>
      <c r="B1751" s="22" t="str">
        <f>'EQUITY BACKTEST'!B1754</f>
        <v/>
      </c>
      <c r="C1751" s="22" t="str">
        <f>'EQUITY BACKTEST'!E1754</f>
        <v/>
      </c>
      <c r="I1751" s="22" t="str">
        <f t="shared" si="1"/>
        <v>#N/A</v>
      </c>
      <c r="J1751" s="22" t="str">
        <f t="shared" si="2"/>
        <v>#N/A</v>
      </c>
      <c r="K1751" s="22" t="str">
        <f t="shared" si="8"/>
        <v/>
      </c>
    </row>
    <row r="1752" ht="15.75" customHeight="1">
      <c r="A1752" s="32" t="str">
        <f>'EQUITY BACKTEST'!A1755</f>
        <v/>
      </c>
      <c r="B1752" s="22" t="str">
        <f>'EQUITY BACKTEST'!B1755</f>
        <v/>
      </c>
      <c r="C1752" s="22" t="str">
        <f>'EQUITY BACKTEST'!E1755</f>
        <v/>
      </c>
      <c r="I1752" s="22" t="str">
        <f t="shared" si="1"/>
        <v>#N/A</v>
      </c>
      <c r="J1752" s="22" t="str">
        <f t="shared" si="2"/>
        <v>#N/A</v>
      </c>
      <c r="K1752" s="22" t="str">
        <f t="shared" si="8"/>
        <v/>
      </c>
    </row>
    <row r="1753" ht="15.75" customHeight="1">
      <c r="A1753" s="32" t="str">
        <f>'EQUITY BACKTEST'!A1756</f>
        <v/>
      </c>
      <c r="B1753" s="22" t="str">
        <f>'EQUITY BACKTEST'!B1756</f>
        <v/>
      </c>
      <c r="C1753" s="22" t="str">
        <f>'EQUITY BACKTEST'!E1756</f>
        <v/>
      </c>
      <c r="I1753" s="22" t="str">
        <f t="shared" si="1"/>
        <v>#N/A</v>
      </c>
      <c r="J1753" s="22" t="str">
        <f t="shared" si="2"/>
        <v>#N/A</v>
      </c>
      <c r="K1753" s="22" t="str">
        <f t="shared" si="8"/>
        <v/>
      </c>
    </row>
    <row r="1754" ht="15.75" customHeight="1">
      <c r="A1754" s="32" t="str">
        <f>'EQUITY BACKTEST'!A1757</f>
        <v/>
      </c>
      <c r="B1754" s="22" t="str">
        <f>'EQUITY BACKTEST'!B1757</f>
        <v/>
      </c>
      <c r="C1754" s="22" t="str">
        <f>'EQUITY BACKTEST'!E1757</f>
        <v/>
      </c>
      <c r="I1754" s="22" t="str">
        <f t="shared" si="1"/>
        <v>#N/A</v>
      </c>
      <c r="J1754" s="22" t="str">
        <f t="shared" si="2"/>
        <v>#N/A</v>
      </c>
      <c r="K1754" s="22" t="str">
        <f t="shared" si="8"/>
        <v/>
      </c>
    </row>
    <row r="1755" ht="15.75" customHeight="1">
      <c r="A1755" s="32" t="str">
        <f>'EQUITY BACKTEST'!A1758</f>
        <v/>
      </c>
      <c r="B1755" s="22" t="str">
        <f>'EQUITY BACKTEST'!B1758</f>
        <v/>
      </c>
      <c r="C1755" s="22" t="str">
        <f>'EQUITY BACKTEST'!E1758</f>
        <v/>
      </c>
      <c r="I1755" s="22" t="str">
        <f t="shared" si="1"/>
        <v>#N/A</v>
      </c>
      <c r="J1755" s="22" t="str">
        <f t="shared" si="2"/>
        <v>#N/A</v>
      </c>
      <c r="K1755" s="22" t="str">
        <f t="shared" si="8"/>
        <v/>
      </c>
    </row>
    <row r="1756" ht="15.75" customHeight="1">
      <c r="A1756" s="32" t="str">
        <f>'EQUITY BACKTEST'!A1759</f>
        <v/>
      </c>
      <c r="B1756" s="22" t="str">
        <f>'EQUITY BACKTEST'!B1759</f>
        <v/>
      </c>
      <c r="C1756" s="22" t="str">
        <f>'EQUITY BACKTEST'!E1759</f>
        <v/>
      </c>
      <c r="I1756" s="22" t="str">
        <f t="shared" si="1"/>
        <v>#N/A</v>
      </c>
      <c r="J1756" s="22" t="str">
        <f t="shared" si="2"/>
        <v>#N/A</v>
      </c>
      <c r="K1756" s="22" t="str">
        <f t="shared" si="8"/>
        <v/>
      </c>
    </row>
    <row r="1757" ht="15.75" customHeight="1">
      <c r="A1757" s="32" t="str">
        <f>'EQUITY BACKTEST'!A1760</f>
        <v/>
      </c>
      <c r="B1757" s="22" t="str">
        <f>'EQUITY BACKTEST'!B1760</f>
        <v/>
      </c>
      <c r="C1757" s="22" t="str">
        <f>'EQUITY BACKTEST'!E1760</f>
        <v/>
      </c>
      <c r="I1757" s="22" t="str">
        <f t="shared" si="1"/>
        <v>#N/A</v>
      </c>
      <c r="J1757" s="22" t="str">
        <f t="shared" si="2"/>
        <v>#N/A</v>
      </c>
      <c r="K1757" s="22" t="str">
        <f t="shared" si="8"/>
        <v/>
      </c>
    </row>
    <row r="1758" ht="15.75" customHeight="1">
      <c r="A1758" s="32" t="str">
        <f>'EQUITY BACKTEST'!A1761</f>
        <v/>
      </c>
      <c r="B1758" s="22" t="str">
        <f>'EQUITY BACKTEST'!B1761</f>
        <v/>
      </c>
      <c r="C1758" s="22" t="str">
        <f>'EQUITY BACKTEST'!E1761</f>
        <v/>
      </c>
      <c r="I1758" s="22" t="str">
        <f t="shared" si="1"/>
        <v>#N/A</v>
      </c>
      <c r="J1758" s="22" t="str">
        <f t="shared" si="2"/>
        <v>#N/A</v>
      </c>
      <c r="K1758" s="22" t="str">
        <f t="shared" si="8"/>
        <v/>
      </c>
    </row>
    <row r="1759" ht="15.75" customHeight="1">
      <c r="A1759" s="32" t="str">
        <f>'EQUITY BACKTEST'!A1762</f>
        <v/>
      </c>
      <c r="B1759" s="22" t="str">
        <f>'EQUITY BACKTEST'!B1762</f>
        <v/>
      </c>
      <c r="C1759" s="22" t="str">
        <f>'EQUITY BACKTEST'!E1762</f>
        <v/>
      </c>
      <c r="I1759" s="22" t="str">
        <f t="shared" si="1"/>
        <v>#N/A</v>
      </c>
      <c r="J1759" s="22" t="str">
        <f t="shared" si="2"/>
        <v>#N/A</v>
      </c>
      <c r="K1759" s="22" t="str">
        <f t="shared" si="8"/>
        <v/>
      </c>
    </row>
    <row r="1760" ht="15.75" customHeight="1">
      <c r="A1760" s="32" t="str">
        <f>'EQUITY BACKTEST'!A1763</f>
        <v/>
      </c>
      <c r="B1760" s="22" t="str">
        <f>'EQUITY BACKTEST'!B1763</f>
        <v/>
      </c>
      <c r="C1760" s="22" t="str">
        <f>'EQUITY BACKTEST'!E1763</f>
        <v/>
      </c>
      <c r="I1760" s="22" t="str">
        <f t="shared" si="1"/>
        <v>#N/A</v>
      </c>
      <c r="J1760" s="22" t="str">
        <f t="shared" si="2"/>
        <v>#N/A</v>
      </c>
      <c r="K1760" s="22" t="str">
        <f t="shared" si="8"/>
        <v/>
      </c>
    </row>
    <row r="1761" ht="15.75" customHeight="1">
      <c r="A1761" s="32" t="str">
        <f>'EQUITY BACKTEST'!A1764</f>
        <v/>
      </c>
      <c r="B1761" s="22" t="str">
        <f>'EQUITY BACKTEST'!B1764</f>
        <v/>
      </c>
      <c r="C1761" s="22" t="str">
        <f>'EQUITY BACKTEST'!E1764</f>
        <v/>
      </c>
      <c r="I1761" s="22" t="str">
        <f t="shared" si="1"/>
        <v>#N/A</v>
      </c>
      <c r="J1761" s="22" t="str">
        <f t="shared" si="2"/>
        <v>#N/A</v>
      </c>
      <c r="K1761" s="22" t="str">
        <f t="shared" si="8"/>
        <v/>
      </c>
    </row>
    <row r="1762" ht="15.75" customHeight="1">
      <c r="A1762" s="32" t="str">
        <f>'EQUITY BACKTEST'!A1765</f>
        <v/>
      </c>
      <c r="B1762" s="22" t="str">
        <f>'EQUITY BACKTEST'!B1765</f>
        <v/>
      </c>
      <c r="C1762" s="22" t="str">
        <f>'EQUITY BACKTEST'!E1765</f>
        <v/>
      </c>
      <c r="I1762" s="22" t="str">
        <f t="shared" si="1"/>
        <v>#N/A</v>
      </c>
      <c r="J1762" s="22" t="str">
        <f t="shared" si="2"/>
        <v>#N/A</v>
      </c>
      <c r="K1762" s="22" t="str">
        <f t="shared" si="8"/>
        <v/>
      </c>
    </row>
    <row r="1763" ht="15.75" customHeight="1">
      <c r="A1763" s="32" t="str">
        <f>'EQUITY BACKTEST'!A1766</f>
        <v/>
      </c>
      <c r="B1763" s="22" t="str">
        <f>'EQUITY BACKTEST'!B1766</f>
        <v/>
      </c>
      <c r="C1763" s="22" t="str">
        <f>'EQUITY BACKTEST'!E1766</f>
        <v/>
      </c>
      <c r="I1763" s="22" t="str">
        <f t="shared" si="1"/>
        <v>#N/A</v>
      </c>
      <c r="J1763" s="22" t="str">
        <f t="shared" si="2"/>
        <v>#N/A</v>
      </c>
      <c r="K1763" s="22" t="str">
        <f t="shared" si="8"/>
        <v/>
      </c>
    </row>
    <row r="1764" ht="15.75" customHeight="1">
      <c r="A1764" s="32" t="str">
        <f>'EQUITY BACKTEST'!A1767</f>
        <v/>
      </c>
      <c r="B1764" s="22" t="str">
        <f>'EQUITY BACKTEST'!B1767</f>
        <v/>
      </c>
      <c r="C1764" s="22" t="str">
        <f>'EQUITY BACKTEST'!E1767</f>
        <v/>
      </c>
      <c r="I1764" s="22" t="str">
        <f t="shared" si="1"/>
        <v>#N/A</v>
      </c>
      <c r="J1764" s="22" t="str">
        <f t="shared" si="2"/>
        <v>#N/A</v>
      </c>
      <c r="K1764" s="22" t="str">
        <f t="shared" si="8"/>
        <v/>
      </c>
    </row>
    <row r="1765" ht="15.75" customHeight="1">
      <c r="A1765" s="32" t="str">
        <f>'EQUITY BACKTEST'!A1768</f>
        <v/>
      </c>
      <c r="B1765" s="22" t="str">
        <f>'EQUITY BACKTEST'!B1768</f>
        <v/>
      </c>
      <c r="C1765" s="22" t="str">
        <f>'EQUITY BACKTEST'!E1768</f>
        <v/>
      </c>
      <c r="I1765" s="22" t="str">
        <f t="shared" si="1"/>
        <v>#N/A</v>
      </c>
      <c r="J1765" s="22" t="str">
        <f t="shared" si="2"/>
        <v>#N/A</v>
      </c>
      <c r="K1765" s="22" t="str">
        <f t="shared" si="8"/>
        <v/>
      </c>
    </row>
    <row r="1766" ht="15.75" customHeight="1">
      <c r="A1766" s="32" t="str">
        <f>'EQUITY BACKTEST'!A1769</f>
        <v/>
      </c>
      <c r="B1766" s="22" t="str">
        <f>'EQUITY BACKTEST'!B1769</f>
        <v/>
      </c>
      <c r="C1766" s="22" t="str">
        <f>'EQUITY BACKTEST'!E1769</f>
        <v/>
      </c>
      <c r="I1766" s="22" t="str">
        <f t="shared" si="1"/>
        <v>#N/A</v>
      </c>
      <c r="J1766" s="22" t="str">
        <f t="shared" si="2"/>
        <v>#N/A</v>
      </c>
      <c r="K1766" s="22" t="str">
        <f t="shared" si="8"/>
        <v/>
      </c>
    </row>
    <row r="1767" ht="15.75" customHeight="1">
      <c r="A1767" s="32" t="str">
        <f>'EQUITY BACKTEST'!A1770</f>
        <v/>
      </c>
      <c r="B1767" s="22" t="str">
        <f>'EQUITY BACKTEST'!B1770</f>
        <v/>
      </c>
      <c r="C1767" s="22" t="str">
        <f>'EQUITY BACKTEST'!E1770</f>
        <v/>
      </c>
      <c r="I1767" s="22" t="str">
        <f t="shared" si="1"/>
        <v>#N/A</v>
      </c>
      <c r="J1767" s="22" t="str">
        <f t="shared" si="2"/>
        <v>#N/A</v>
      </c>
      <c r="K1767" s="22" t="str">
        <f t="shared" si="8"/>
        <v/>
      </c>
    </row>
    <row r="1768" ht="15.75" customHeight="1">
      <c r="A1768" s="32" t="str">
        <f>'EQUITY BACKTEST'!A1771</f>
        <v/>
      </c>
      <c r="B1768" s="22" t="str">
        <f>'EQUITY BACKTEST'!B1771</f>
        <v/>
      </c>
      <c r="C1768" s="22" t="str">
        <f>'EQUITY BACKTEST'!E1771</f>
        <v/>
      </c>
      <c r="I1768" s="22" t="str">
        <f t="shared" si="1"/>
        <v>#N/A</v>
      </c>
      <c r="J1768" s="22" t="str">
        <f t="shared" si="2"/>
        <v>#N/A</v>
      </c>
      <c r="K1768" s="22" t="str">
        <f t="shared" si="8"/>
        <v/>
      </c>
    </row>
    <row r="1769" ht="15.75" customHeight="1">
      <c r="A1769" s="32" t="str">
        <f>'EQUITY BACKTEST'!A1772</f>
        <v/>
      </c>
      <c r="B1769" s="22" t="str">
        <f>'EQUITY BACKTEST'!B1772</f>
        <v/>
      </c>
      <c r="C1769" s="22" t="str">
        <f>'EQUITY BACKTEST'!E1772</f>
        <v/>
      </c>
      <c r="I1769" s="22" t="str">
        <f t="shared" si="1"/>
        <v>#N/A</v>
      </c>
      <c r="J1769" s="22" t="str">
        <f t="shared" si="2"/>
        <v>#N/A</v>
      </c>
      <c r="K1769" s="22" t="str">
        <f t="shared" si="8"/>
        <v/>
      </c>
    </row>
    <row r="1770" ht="15.75" customHeight="1">
      <c r="A1770" s="32" t="str">
        <f>'EQUITY BACKTEST'!A1773</f>
        <v/>
      </c>
      <c r="B1770" s="22" t="str">
        <f>'EQUITY BACKTEST'!B1773</f>
        <v/>
      </c>
      <c r="C1770" s="22" t="str">
        <f>'EQUITY BACKTEST'!E1773</f>
        <v/>
      </c>
      <c r="I1770" s="22" t="str">
        <f t="shared" si="1"/>
        <v>#N/A</v>
      </c>
      <c r="J1770" s="22" t="str">
        <f t="shared" si="2"/>
        <v>#N/A</v>
      </c>
      <c r="K1770" s="22" t="str">
        <f t="shared" si="8"/>
        <v/>
      </c>
    </row>
    <row r="1771" ht="15.75" customHeight="1">
      <c r="A1771" s="32" t="str">
        <f>'EQUITY BACKTEST'!A1774</f>
        <v/>
      </c>
      <c r="B1771" s="22" t="str">
        <f>'EQUITY BACKTEST'!B1774</f>
        <v/>
      </c>
      <c r="C1771" s="22" t="str">
        <f>'EQUITY BACKTEST'!E1774</f>
        <v/>
      </c>
      <c r="I1771" s="22" t="str">
        <f t="shared" si="1"/>
        <v>#N/A</v>
      </c>
      <c r="J1771" s="22" t="str">
        <f t="shared" si="2"/>
        <v>#N/A</v>
      </c>
      <c r="K1771" s="22" t="str">
        <f t="shared" si="8"/>
        <v/>
      </c>
    </row>
    <row r="1772" ht="15.75" customHeight="1">
      <c r="A1772" s="32" t="str">
        <f>'EQUITY BACKTEST'!A1775</f>
        <v/>
      </c>
      <c r="B1772" s="22" t="str">
        <f>'EQUITY BACKTEST'!B1775</f>
        <v/>
      </c>
      <c r="C1772" s="22" t="str">
        <f>'EQUITY BACKTEST'!E1775</f>
        <v/>
      </c>
      <c r="I1772" s="22" t="str">
        <f t="shared" si="1"/>
        <v>#N/A</v>
      </c>
      <c r="J1772" s="22" t="str">
        <f t="shared" si="2"/>
        <v>#N/A</v>
      </c>
      <c r="K1772" s="22" t="str">
        <f t="shared" si="8"/>
        <v/>
      </c>
    </row>
    <row r="1773" ht="15.75" customHeight="1">
      <c r="A1773" s="32" t="str">
        <f>'EQUITY BACKTEST'!A1776</f>
        <v/>
      </c>
      <c r="B1773" s="22" t="str">
        <f>'EQUITY BACKTEST'!B1776</f>
        <v/>
      </c>
      <c r="C1773" s="22" t="str">
        <f>'EQUITY BACKTEST'!E1776</f>
        <v/>
      </c>
      <c r="I1773" s="22" t="str">
        <f t="shared" si="1"/>
        <v>#N/A</v>
      </c>
      <c r="J1773" s="22" t="str">
        <f t="shared" si="2"/>
        <v>#N/A</v>
      </c>
      <c r="K1773" s="22" t="str">
        <f t="shared" si="8"/>
        <v/>
      </c>
    </row>
    <row r="1774" ht="15.75" customHeight="1">
      <c r="A1774" s="32" t="str">
        <f>'EQUITY BACKTEST'!A1777</f>
        <v/>
      </c>
      <c r="B1774" s="22" t="str">
        <f>'EQUITY BACKTEST'!B1777</f>
        <v/>
      </c>
      <c r="C1774" s="22" t="str">
        <f>'EQUITY BACKTEST'!E1777</f>
        <v/>
      </c>
      <c r="I1774" s="22" t="str">
        <f t="shared" si="1"/>
        <v>#N/A</v>
      </c>
      <c r="J1774" s="22" t="str">
        <f t="shared" si="2"/>
        <v>#N/A</v>
      </c>
      <c r="K1774" s="22" t="str">
        <f t="shared" si="8"/>
        <v/>
      </c>
    </row>
    <row r="1775" ht="15.75" customHeight="1">
      <c r="A1775" s="32" t="str">
        <f>'EQUITY BACKTEST'!A1778</f>
        <v/>
      </c>
      <c r="B1775" s="22" t="str">
        <f>'EQUITY BACKTEST'!B1778</f>
        <v/>
      </c>
      <c r="C1775" s="22" t="str">
        <f>'EQUITY BACKTEST'!E1778</f>
        <v/>
      </c>
      <c r="I1775" s="22" t="str">
        <f t="shared" si="1"/>
        <v>#N/A</v>
      </c>
      <c r="J1775" s="22" t="str">
        <f t="shared" si="2"/>
        <v>#N/A</v>
      </c>
      <c r="K1775" s="22" t="str">
        <f t="shared" si="8"/>
        <v/>
      </c>
    </row>
    <row r="1776" ht="15.75" customHeight="1">
      <c r="A1776" s="32" t="str">
        <f>'EQUITY BACKTEST'!A1779</f>
        <v/>
      </c>
      <c r="B1776" s="22" t="str">
        <f>'EQUITY BACKTEST'!B1779</f>
        <v/>
      </c>
      <c r="C1776" s="22" t="str">
        <f>'EQUITY BACKTEST'!E1779</f>
        <v/>
      </c>
    </row>
    <row r="1777" ht="15.75" customHeight="1">
      <c r="A1777" s="32" t="str">
        <f>'EQUITY BACKTEST'!A1780</f>
        <v/>
      </c>
      <c r="B1777" s="22" t="str">
        <f>'EQUITY BACKTEST'!B1780</f>
        <v/>
      </c>
      <c r="C1777" s="22" t="str">
        <f>'EQUITY BACKTEST'!E1780</f>
        <v/>
      </c>
    </row>
    <row r="1778" ht="15.75" customHeight="1">
      <c r="A1778" s="32" t="str">
        <f>'EQUITY BACKTEST'!A1781</f>
        <v/>
      </c>
      <c r="B1778" s="22" t="str">
        <f>'EQUITY BACKTEST'!B1781</f>
        <v/>
      </c>
      <c r="C1778" s="22" t="str">
        <f>'EQUITY BACKTEST'!E1781</f>
        <v/>
      </c>
    </row>
    <row r="1779" ht="15.75" customHeight="1">
      <c r="A1779" s="32" t="str">
        <f>'EQUITY BACKTEST'!A1782</f>
        <v/>
      </c>
      <c r="B1779" s="22" t="str">
        <f>'EQUITY BACKTEST'!B1782</f>
        <v/>
      </c>
      <c r="C1779" s="22" t="str">
        <f>'EQUITY BACKTEST'!E1782</f>
        <v/>
      </c>
    </row>
    <row r="1780" ht="15.75" customHeight="1">
      <c r="A1780" s="32" t="str">
        <f>'EQUITY BACKTEST'!A1783</f>
        <v/>
      </c>
      <c r="B1780" s="22" t="str">
        <f>'EQUITY BACKTEST'!B1783</f>
        <v/>
      </c>
      <c r="C1780" s="22" t="str">
        <f>'EQUITY BACKTEST'!E1783</f>
        <v/>
      </c>
    </row>
    <row r="1781" ht="15.75" customHeight="1">
      <c r="A1781" s="32" t="str">
        <f>'EQUITY BACKTEST'!A1784</f>
        <v/>
      </c>
      <c r="B1781" s="22" t="str">
        <f>'EQUITY BACKTEST'!B1784</f>
        <v/>
      </c>
      <c r="C1781" s="22" t="str">
        <f>'EQUITY BACKTEST'!E1784</f>
        <v/>
      </c>
    </row>
    <row r="1782" ht="15.75" customHeight="1">
      <c r="A1782" s="32" t="str">
        <f>'EQUITY BACKTEST'!A1785</f>
        <v/>
      </c>
      <c r="B1782" s="22" t="str">
        <f>'EQUITY BACKTEST'!B1785</f>
        <v/>
      </c>
      <c r="C1782" s="22" t="str">
        <f>'EQUITY BACKTEST'!E1785</f>
        <v/>
      </c>
    </row>
    <row r="1783" ht="15.75" customHeight="1">
      <c r="A1783" s="32" t="str">
        <f>'EQUITY BACKTEST'!A1786</f>
        <v/>
      </c>
      <c r="B1783" s="22" t="str">
        <f>'EQUITY BACKTEST'!B1786</f>
        <v/>
      </c>
      <c r="C1783" s="22" t="str">
        <f>'EQUITY BACKTEST'!E1786</f>
        <v/>
      </c>
    </row>
    <row r="1784" ht="15.75" customHeight="1">
      <c r="A1784" s="32" t="str">
        <f>'EQUITY BACKTEST'!A1787</f>
        <v/>
      </c>
      <c r="B1784" s="22" t="str">
        <f>'EQUITY BACKTEST'!B1787</f>
        <v/>
      </c>
      <c r="C1784" s="22" t="str">
        <f>'EQUITY BACKTEST'!E1787</f>
        <v/>
      </c>
    </row>
    <row r="1785" ht="15.75" customHeight="1">
      <c r="A1785" s="32" t="str">
        <f>'EQUITY BACKTEST'!A1788</f>
        <v/>
      </c>
      <c r="B1785" s="22" t="str">
        <f>'EQUITY BACKTEST'!B1788</f>
        <v/>
      </c>
      <c r="C1785" s="22" t="str">
        <f>'EQUITY BACKTEST'!E1788</f>
        <v/>
      </c>
    </row>
    <row r="1786" ht="15.75" customHeight="1">
      <c r="A1786" s="32" t="str">
        <f>'EQUITY BACKTEST'!A1789</f>
        <v/>
      </c>
      <c r="B1786" s="22" t="str">
        <f>'EQUITY BACKTEST'!B1789</f>
        <v/>
      </c>
      <c r="C1786" s="22" t="str">
        <f>'EQUITY BACKTEST'!E1789</f>
        <v/>
      </c>
    </row>
    <row r="1787" ht="15.75" customHeight="1">
      <c r="A1787" s="32" t="str">
        <f>'EQUITY BACKTEST'!A1790</f>
        <v/>
      </c>
      <c r="B1787" s="22" t="str">
        <f>'EQUITY BACKTEST'!B1790</f>
        <v/>
      </c>
      <c r="C1787" s="22" t="str">
        <f>'EQUITY BACKTEST'!E1790</f>
        <v/>
      </c>
    </row>
    <row r="1788" ht="15.75" customHeight="1">
      <c r="A1788" s="32" t="str">
        <f>'EQUITY BACKTEST'!A1791</f>
        <v/>
      </c>
      <c r="B1788" s="22" t="str">
        <f>'EQUITY BACKTEST'!B1791</f>
        <v/>
      </c>
      <c r="C1788" s="22" t="str">
        <f>'EQUITY BACKTEST'!E1791</f>
        <v/>
      </c>
    </row>
    <row r="1789" ht="15.75" customHeight="1">
      <c r="A1789" s="32" t="str">
        <f>'EQUITY BACKTEST'!A1792</f>
        <v/>
      </c>
      <c r="B1789" s="22" t="str">
        <f>'EQUITY BACKTEST'!B1792</f>
        <v/>
      </c>
      <c r="C1789" s="22" t="str">
        <f>'EQUITY BACKTEST'!E1792</f>
        <v/>
      </c>
    </row>
    <row r="1790" ht="15.75" customHeight="1">
      <c r="A1790" s="32" t="str">
        <f>'EQUITY BACKTEST'!A1793</f>
        <v/>
      </c>
      <c r="B1790" s="22" t="str">
        <f>'EQUITY BACKTEST'!B1793</f>
        <v/>
      </c>
      <c r="C1790" s="22" t="str">
        <f>'EQUITY BACKTEST'!E1793</f>
        <v/>
      </c>
    </row>
    <row r="1791" ht="15.75" customHeight="1">
      <c r="A1791" s="32" t="str">
        <f>'EQUITY BACKTEST'!A1794</f>
        <v/>
      </c>
      <c r="B1791" s="22" t="str">
        <f>'EQUITY BACKTEST'!B1794</f>
        <v/>
      </c>
      <c r="C1791" s="22" t="str">
        <f>'EQUITY BACKTEST'!E1794</f>
        <v/>
      </c>
    </row>
    <row r="1792" ht="15.75" customHeight="1">
      <c r="A1792" s="32" t="str">
        <f>'EQUITY BACKTEST'!A1795</f>
        <v/>
      </c>
      <c r="B1792" s="22" t="str">
        <f>'EQUITY BACKTEST'!B1795</f>
        <v/>
      </c>
      <c r="C1792" s="22" t="str">
        <f>'EQUITY BACKTEST'!E1795</f>
        <v/>
      </c>
    </row>
    <row r="1793" ht="15.75" customHeight="1">
      <c r="A1793" s="32" t="str">
        <f>'EQUITY BACKTEST'!A1796</f>
        <v/>
      </c>
      <c r="B1793" s="22" t="str">
        <f>'EQUITY BACKTEST'!B1796</f>
        <v/>
      </c>
      <c r="C1793" s="22" t="str">
        <f>'EQUITY BACKTEST'!E1796</f>
        <v/>
      </c>
    </row>
    <row r="1794" ht="15.75" customHeight="1">
      <c r="A1794" s="32" t="str">
        <f>'EQUITY BACKTEST'!A1797</f>
        <v/>
      </c>
      <c r="B1794" s="22" t="str">
        <f>'EQUITY BACKTEST'!B1797</f>
        <v/>
      </c>
      <c r="C1794" s="22" t="str">
        <f>'EQUITY BACKTEST'!E1797</f>
        <v/>
      </c>
    </row>
    <row r="1795" ht="15.75" customHeight="1">
      <c r="A1795" s="32" t="str">
        <f>'EQUITY BACKTEST'!A1798</f>
        <v/>
      </c>
      <c r="B1795" s="22" t="str">
        <f>'EQUITY BACKTEST'!B1798</f>
        <v/>
      </c>
      <c r="C1795" s="22" t="str">
        <f>'EQUITY BACKTEST'!E1798</f>
        <v/>
      </c>
    </row>
    <row r="1796" ht="15.75" customHeight="1">
      <c r="A1796" s="32" t="str">
        <f>'EQUITY BACKTEST'!A1799</f>
        <v/>
      </c>
      <c r="B1796" s="22" t="str">
        <f>'EQUITY BACKTEST'!B1799</f>
        <v/>
      </c>
      <c r="C1796" s="22" t="str">
        <f>'EQUITY BACKTEST'!E1799</f>
        <v/>
      </c>
    </row>
    <row r="1797" ht="15.75" customHeight="1">
      <c r="A1797" s="32" t="str">
        <f>'EQUITY BACKTEST'!A1800</f>
        <v/>
      </c>
      <c r="B1797" s="22" t="str">
        <f>'EQUITY BACKTEST'!B1800</f>
        <v/>
      </c>
      <c r="C1797" s="22" t="str">
        <f>'EQUITY BACKTEST'!E1800</f>
        <v/>
      </c>
    </row>
    <row r="1798" ht="15.75" customHeight="1">
      <c r="A1798" s="32" t="str">
        <f>'EQUITY BACKTEST'!A1801</f>
        <v/>
      </c>
      <c r="B1798" s="22" t="str">
        <f>'EQUITY BACKTEST'!B1801</f>
        <v/>
      </c>
      <c r="C1798" s="22" t="str">
        <f>'EQUITY BACKTEST'!E1801</f>
        <v/>
      </c>
    </row>
    <row r="1799" ht="15.75" customHeight="1">
      <c r="A1799" s="32" t="str">
        <f>'EQUITY BACKTEST'!A1802</f>
        <v/>
      </c>
      <c r="B1799" s="22" t="str">
        <f>'EQUITY BACKTEST'!B1802</f>
        <v/>
      </c>
      <c r="C1799" s="22" t="str">
        <f>'EQUITY BACKTEST'!E1802</f>
        <v/>
      </c>
    </row>
    <row r="1800" ht="15.75" customHeight="1">
      <c r="A1800" s="32" t="str">
        <f>'EQUITY BACKTEST'!A1803</f>
        <v/>
      </c>
      <c r="B1800" s="22" t="str">
        <f>'EQUITY BACKTEST'!B1803</f>
        <v/>
      </c>
      <c r="C1800" s="22" t="str">
        <f>'EQUITY BACKTEST'!E1803</f>
        <v/>
      </c>
    </row>
    <row r="1801" ht="15.75" customHeight="1">
      <c r="A1801" s="32" t="str">
        <f>'EQUITY BACKTEST'!A1804</f>
        <v/>
      </c>
      <c r="B1801" s="22" t="str">
        <f>'EQUITY BACKTEST'!B1804</f>
        <v/>
      </c>
      <c r="C1801" s="22" t="str">
        <f>'EQUITY BACKTEST'!E1804</f>
        <v/>
      </c>
    </row>
    <row r="1802" ht="15.75" customHeight="1">
      <c r="A1802" s="32" t="str">
        <f>'EQUITY BACKTEST'!A1805</f>
        <v/>
      </c>
      <c r="B1802" s="22" t="str">
        <f>'EQUITY BACKTEST'!B1805</f>
        <v/>
      </c>
      <c r="C1802" s="22" t="str">
        <f>'EQUITY BACKTEST'!E1805</f>
        <v/>
      </c>
    </row>
    <row r="1803" ht="15.75" customHeight="1">
      <c r="A1803" s="32" t="str">
        <f>'EQUITY BACKTEST'!A1806</f>
        <v/>
      </c>
      <c r="B1803" s="22" t="str">
        <f>'EQUITY BACKTEST'!B1806</f>
        <v/>
      </c>
      <c r="C1803" s="22" t="str">
        <f>'EQUITY BACKTEST'!E1806</f>
        <v/>
      </c>
    </row>
    <row r="1804" ht="15.75" customHeight="1">
      <c r="A1804" s="32" t="str">
        <f>'EQUITY BACKTEST'!A1807</f>
        <v/>
      </c>
      <c r="B1804" s="22" t="str">
        <f>'EQUITY BACKTEST'!B1807</f>
        <v/>
      </c>
      <c r="C1804" s="22" t="str">
        <f>'EQUITY BACKTEST'!E1807</f>
        <v/>
      </c>
    </row>
    <row r="1805" ht="15.75" customHeight="1">
      <c r="A1805" s="32" t="str">
        <f>'EQUITY BACKTEST'!A1808</f>
        <v/>
      </c>
      <c r="B1805" s="22" t="str">
        <f>'EQUITY BACKTEST'!B1808</f>
        <v/>
      </c>
      <c r="C1805" s="22" t="str">
        <f>'EQUITY BACKTEST'!E1808</f>
        <v/>
      </c>
    </row>
    <row r="1806" ht="15.75" customHeight="1">
      <c r="A1806" s="32" t="str">
        <f>'EQUITY BACKTEST'!A1809</f>
        <v/>
      </c>
      <c r="B1806" s="22" t="str">
        <f>'EQUITY BACKTEST'!B1809</f>
        <v/>
      </c>
      <c r="C1806" s="22" t="str">
        <f>'EQUITY BACKTEST'!E1809</f>
        <v/>
      </c>
    </row>
    <row r="1807" ht="15.75" customHeight="1">
      <c r="A1807" s="32" t="str">
        <f>'EQUITY BACKTEST'!A1810</f>
        <v/>
      </c>
      <c r="B1807" s="22" t="str">
        <f>'EQUITY BACKTEST'!B1810</f>
        <v/>
      </c>
      <c r="C1807" s="22" t="str">
        <f>'EQUITY BACKTEST'!E1810</f>
        <v/>
      </c>
    </row>
    <row r="1808" ht="15.75" customHeight="1">
      <c r="A1808" s="32" t="str">
        <f>'EQUITY BACKTEST'!A1811</f>
        <v/>
      </c>
      <c r="B1808" s="22" t="str">
        <f>'EQUITY BACKTEST'!B1811</f>
        <v/>
      </c>
      <c r="C1808" s="22" t="str">
        <f>'EQUITY BACKTEST'!E1811</f>
        <v/>
      </c>
    </row>
    <row r="1809" ht="15.75" customHeight="1">
      <c r="A1809" s="32" t="str">
        <f>'EQUITY BACKTEST'!A1812</f>
        <v/>
      </c>
      <c r="B1809" s="22" t="str">
        <f>'EQUITY BACKTEST'!B1812</f>
        <v/>
      </c>
      <c r="C1809" s="22" t="str">
        <f>'EQUITY BACKTEST'!E1812</f>
        <v/>
      </c>
    </row>
    <row r="1810" ht="15.75" customHeight="1">
      <c r="A1810" s="32" t="str">
        <f>'EQUITY BACKTEST'!A1813</f>
        <v/>
      </c>
      <c r="B1810" s="22" t="str">
        <f>'EQUITY BACKTEST'!B1813</f>
        <v/>
      </c>
      <c r="C1810" s="22" t="str">
        <f>'EQUITY BACKTEST'!E1813</f>
        <v/>
      </c>
    </row>
    <row r="1811" ht="15.75" customHeight="1">
      <c r="A1811" s="32" t="str">
        <f>'EQUITY BACKTEST'!A1814</f>
        <v/>
      </c>
      <c r="B1811" s="22" t="str">
        <f>'EQUITY BACKTEST'!B1814</f>
        <v/>
      </c>
      <c r="C1811" s="22" t="str">
        <f>'EQUITY BACKTEST'!E1814</f>
        <v/>
      </c>
    </row>
    <row r="1812" ht="15.75" customHeight="1">
      <c r="A1812" s="32" t="str">
        <f>'EQUITY BACKTEST'!A1815</f>
        <v/>
      </c>
      <c r="B1812" s="22" t="str">
        <f>'EQUITY BACKTEST'!B1815</f>
        <v/>
      </c>
      <c r="C1812" s="22" t="str">
        <f>'EQUITY BACKTEST'!E1815</f>
        <v/>
      </c>
    </row>
    <row r="1813" ht="15.75" customHeight="1">
      <c r="A1813" s="32" t="str">
        <f>'EQUITY BACKTEST'!A1816</f>
        <v/>
      </c>
      <c r="B1813" s="22" t="str">
        <f>'EQUITY BACKTEST'!B1816</f>
        <v/>
      </c>
      <c r="C1813" s="22" t="str">
        <f>'EQUITY BACKTEST'!E1816</f>
        <v/>
      </c>
    </row>
    <row r="1814" ht="15.75" customHeight="1">
      <c r="A1814" s="32" t="str">
        <f>'EQUITY BACKTEST'!A1817</f>
        <v/>
      </c>
      <c r="B1814" s="22" t="str">
        <f>'EQUITY BACKTEST'!B1817</f>
        <v/>
      </c>
      <c r="C1814" s="22" t="str">
        <f>'EQUITY BACKTEST'!E1817</f>
        <v/>
      </c>
    </row>
    <row r="1815" ht="15.75" customHeight="1">
      <c r="A1815" s="32" t="str">
        <f>'EQUITY BACKTEST'!A1818</f>
        <v/>
      </c>
      <c r="B1815" s="22" t="str">
        <f>'EQUITY BACKTEST'!B1818</f>
        <v/>
      </c>
      <c r="C1815" s="22" t="str">
        <f>'EQUITY BACKTEST'!E1818</f>
        <v/>
      </c>
    </row>
    <row r="1816" ht="15.75" customHeight="1">
      <c r="A1816" s="32" t="str">
        <f>'EQUITY BACKTEST'!A1819</f>
        <v/>
      </c>
      <c r="B1816" s="22" t="str">
        <f>'EQUITY BACKTEST'!B1819</f>
        <v/>
      </c>
      <c r="C1816" s="22" t="str">
        <f>'EQUITY BACKTEST'!E1819</f>
        <v/>
      </c>
    </row>
    <row r="1817" ht="15.75" customHeight="1">
      <c r="A1817" s="32" t="str">
        <f>'EQUITY BACKTEST'!A1820</f>
        <v/>
      </c>
      <c r="B1817" s="22" t="str">
        <f>'EQUITY BACKTEST'!B1820</f>
        <v/>
      </c>
      <c r="C1817" s="22" t="str">
        <f>'EQUITY BACKTEST'!E1820</f>
        <v/>
      </c>
    </row>
    <row r="1818" ht="15.75" customHeight="1">
      <c r="A1818" s="32" t="str">
        <f>'EQUITY BACKTEST'!A1821</f>
        <v/>
      </c>
      <c r="B1818" s="22" t="str">
        <f>'EQUITY BACKTEST'!B1821</f>
        <v/>
      </c>
      <c r="C1818" s="22" t="str">
        <f>'EQUITY BACKTEST'!E1821</f>
        <v/>
      </c>
    </row>
    <row r="1819" ht="15.75" customHeight="1">
      <c r="A1819" s="32" t="str">
        <f>'EQUITY BACKTEST'!A1822</f>
        <v/>
      </c>
      <c r="B1819" s="22" t="str">
        <f>'EQUITY BACKTEST'!B1822</f>
        <v/>
      </c>
      <c r="C1819" s="22" t="str">
        <f>'EQUITY BACKTEST'!E1822</f>
        <v/>
      </c>
    </row>
    <row r="1820" ht="15.75" customHeight="1">
      <c r="A1820" s="32" t="str">
        <f>'EQUITY BACKTEST'!A1823</f>
        <v/>
      </c>
      <c r="B1820" s="22" t="str">
        <f>'EQUITY BACKTEST'!B1823</f>
        <v/>
      </c>
      <c r="C1820" s="22" t="str">
        <f>'EQUITY BACKTEST'!E1823</f>
        <v/>
      </c>
    </row>
    <row r="1821" ht="15.75" customHeight="1">
      <c r="A1821" s="32" t="str">
        <f>'EQUITY BACKTEST'!A1824</f>
        <v/>
      </c>
      <c r="B1821" s="22" t="str">
        <f>'EQUITY BACKTEST'!B1824</f>
        <v/>
      </c>
      <c r="C1821" s="22" t="str">
        <f>'EQUITY BACKTEST'!E1824</f>
        <v/>
      </c>
    </row>
    <row r="1822" ht="15.75" customHeight="1">
      <c r="A1822" s="22" t="str">
        <f>'EQUITY BACKTEST'!A1825</f>
        <v/>
      </c>
      <c r="B1822" s="22" t="str">
        <f>'EQUITY BACKTEST'!B1825</f>
        <v/>
      </c>
      <c r="C1822" s="22" t="str">
        <f>'EQUITY BACKTEST'!E1825</f>
        <v/>
      </c>
    </row>
    <row r="1823" ht="15.75" customHeight="1">
      <c r="A1823" s="22" t="str">
        <f>'EQUITY BACKTEST'!A1826</f>
        <v/>
      </c>
      <c r="B1823" s="22" t="str">
        <f>'EQUITY BACKTEST'!B1826</f>
        <v/>
      </c>
      <c r="C1823" s="22" t="str">
        <f>'EQUITY BACKTEST'!E1826</f>
        <v/>
      </c>
    </row>
    <row r="1824" ht="15.75" customHeight="1">
      <c r="A1824" s="22" t="str">
        <f>'EQUITY BACKTEST'!A1827</f>
        <v/>
      </c>
      <c r="B1824" s="22" t="str">
        <f>'EQUITY BACKTEST'!B1827</f>
        <v/>
      </c>
      <c r="C1824" s="22" t="str">
        <f>'EQUITY BACKTEST'!E1827</f>
        <v/>
      </c>
    </row>
    <row r="1825" ht="15.75" customHeight="1">
      <c r="A1825" s="22" t="str">
        <f>'EQUITY BACKTEST'!A1828</f>
        <v/>
      </c>
      <c r="B1825" s="22" t="str">
        <f>'EQUITY BACKTEST'!B1828</f>
        <v/>
      </c>
      <c r="C1825" s="22" t="str">
        <f>'EQUITY BACKTEST'!E1828</f>
        <v/>
      </c>
    </row>
    <row r="1826" ht="15.75" customHeight="1">
      <c r="A1826" s="22" t="str">
        <f>'EQUITY BACKTEST'!A1829</f>
        <v/>
      </c>
      <c r="B1826" s="22" t="str">
        <f>'EQUITY BACKTEST'!B1829</f>
        <v/>
      </c>
      <c r="C1826" s="22" t="str">
        <f>'EQUITY BACKTEST'!E1829</f>
        <v/>
      </c>
    </row>
    <row r="1827" ht="15.75" customHeight="1">
      <c r="A1827" s="22" t="str">
        <f>'EQUITY BACKTEST'!A1830</f>
        <v/>
      </c>
      <c r="B1827" s="22" t="str">
        <f>'EQUITY BACKTEST'!B1830</f>
        <v/>
      </c>
      <c r="C1827" s="22" t="str">
        <f>'EQUITY BACKTEST'!E1830</f>
        <v/>
      </c>
    </row>
    <row r="1828" ht="15.75" customHeight="1">
      <c r="A1828" s="22" t="str">
        <f>'EQUITY BACKTEST'!A1831</f>
        <v/>
      </c>
      <c r="B1828" s="22" t="str">
        <f>'EQUITY BACKTEST'!B1831</f>
        <v/>
      </c>
      <c r="C1828" s="22" t="str">
        <f>'EQUITY BACKTEST'!E1831</f>
        <v/>
      </c>
    </row>
    <row r="1829" ht="15.75" customHeight="1">
      <c r="A1829" s="22" t="str">
        <f>'EQUITY BACKTEST'!A1832</f>
        <v/>
      </c>
      <c r="B1829" s="22" t="str">
        <f>'EQUITY BACKTEST'!B1832</f>
        <v/>
      </c>
      <c r="C1829" s="22" t="str">
        <f>'EQUITY BACKTEST'!E1832</f>
        <v/>
      </c>
    </row>
    <row r="1830" ht="15.75" customHeight="1">
      <c r="A1830" s="22" t="str">
        <f>'EQUITY BACKTEST'!A1833</f>
        <v/>
      </c>
      <c r="B1830" s="22" t="str">
        <f>'EQUITY BACKTEST'!B1833</f>
        <v/>
      </c>
      <c r="C1830" s="22" t="str">
        <f>'EQUITY BACKTEST'!E1833</f>
        <v/>
      </c>
    </row>
    <row r="1831" ht="15.75" customHeight="1">
      <c r="A1831" s="22" t="str">
        <f>'EQUITY BACKTEST'!A1834</f>
        <v/>
      </c>
      <c r="B1831" s="22" t="str">
        <f>'EQUITY BACKTEST'!B1834</f>
        <v/>
      </c>
      <c r="C1831" s="22" t="str">
        <f>'EQUITY BACKTEST'!E1834</f>
        <v/>
      </c>
    </row>
    <row r="1832" ht="15.75" customHeight="1">
      <c r="A1832" s="22" t="str">
        <f>'EQUITY BACKTEST'!A1835</f>
        <v/>
      </c>
      <c r="B1832" s="22" t="str">
        <f>'EQUITY BACKTEST'!B1835</f>
        <v/>
      </c>
      <c r="C1832" s="22" t="str">
        <f>'EQUITY BACKTEST'!E1835</f>
        <v/>
      </c>
    </row>
    <row r="1833" ht="15.75" customHeight="1">
      <c r="A1833" s="22" t="str">
        <f>'EQUITY BACKTEST'!A1836</f>
        <v/>
      </c>
      <c r="B1833" s="22" t="str">
        <f>'EQUITY BACKTEST'!B1836</f>
        <v/>
      </c>
      <c r="C1833" s="22" t="str">
        <f>'EQUITY BACKTEST'!E1836</f>
        <v/>
      </c>
    </row>
    <row r="1834" ht="15.75" customHeight="1">
      <c r="A1834" s="22" t="str">
        <f>'EQUITY BACKTEST'!A1837</f>
        <v/>
      </c>
      <c r="B1834" s="22" t="str">
        <f>'EQUITY BACKTEST'!B1837</f>
        <v/>
      </c>
      <c r="C1834" s="22" t="str">
        <f>'EQUITY BACKTEST'!E1837</f>
        <v/>
      </c>
    </row>
    <row r="1835" ht="15.75" customHeight="1">
      <c r="A1835" s="22" t="str">
        <f>'EQUITY BACKTEST'!A1838</f>
        <v/>
      </c>
      <c r="B1835" s="22" t="str">
        <f>'EQUITY BACKTEST'!B1838</f>
        <v/>
      </c>
      <c r="C1835" s="22" t="str">
        <f>'EQUITY BACKTEST'!E1838</f>
        <v/>
      </c>
    </row>
    <row r="1836" ht="15.75" customHeight="1">
      <c r="A1836" s="22" t="str">
        <f>'EQUITY BACKTEST'!A1839</f>
        <v/>
      </c>
      <c r="B1836" s="22" t="str">
        <f>'EQUITY BACKTEST'!B1839</f>
        <v/>
      </c>
      <c r="C1836" s="22" t="str">
        <f>'EQUITY BACKTEST'!E1839</f>
        <v/>
      </c>
    </row>
    <row r="1837" ht="15.75" customHeight="1">
      <c r="A1837" s="22" t="str">
        <f>'EQUITY BACKTEST'!A1840</f>
        <v/>
      </c>
      <c r="B1837" s="22" t="str">
        <f>'EQUITY BACKTEST'!B1840</f>
        <v/>
      </c>
      <c r="C1837" s="22" t="str">
        <f>'EQUITY BACKTEST'!E1840</f>
        <v/>
      </c>
    </row>
    <row r="1838" ht="15.75" customHeight="1">
      <c r="A1838" s="22" t="str">
        <f>'EQUITY BACKTEST'!A1841</f>
        <v/>
      </c>
      <c r="B1838" s="22" t="str">
        <f>'EQUITY BACKTEST'!B1841</f>
        <v/>
      </c>
      <c r="C1838" s="22" t="str">
        <f>'EQUITY BACKTEST'!E1841</f>
        <v/>
      </c>
    </row>
    <row r="1839" ht="15.75" customHeight="1">
      <c r="A1839" s="22" t="str">
        <f>'EQUITY BACKTEST'!A1842</f>
        <v/>
      </c>
      <c r="B1839" s="22" t="str">
        <f>'EQUITY BACKTEST'!B1842</f>
        <v/>
      </c>
      <c r="C1839" s="22" t="str">
        <f>'EQUITY BACKTEST'!E1842</f>
        <v/>
      </c>
    </row>
    <row r="1840" ht="15.75" customHeight="1">
      <c r="A1840" s="22" t="str">
        <f>'EQUITY BACKTEST'!A1843</f>
        <v/>
      </c>
      <c r="B1840" s="22" t="str">
        <f>'EQUITY BACKTEST'!B1843</f>
        <v/>
      </c>
      <c r="C1840" s="22" t="str">
        <f>'EQUITY BACKTEST'!E1843</f>
        <v/>
      </c>
    </row>
    <row r="1841" ht="15.75" customHeight="1">
      <c r="A1841" s="22" t="str">
        <f>'EQUITY BACKTEST'!A1844</f>
        <v/>
      </c>
      <c r="B1841" s="22" t="str">
        <f>'EQUITY BACKTEST'!B1844</f>
        <v/>
      </c>
      <c r="C1841" s="22" t="str">
        <f>'EQUITY BACKTEST'!E1844</f>
        <v/>
      </c>
    </row>
    <row r="1842" ht="15.75" customHeight="1">
      <c r="A1842" s="22" t="str">
        <f>'EQUITY BACKTEST'!A1845</f>
        <v/>
      </c>
      <c r="B1842" s="22" t="str">
        <f>'EQUITY BACKTEST'!B1845</f>
        <v/>
      </c>
      <c r="C1842" s="22" t="str">
        <f>'EQUITY BACKTEST'!E1845</f>
        <v/>
      </c>
    </row>
    <row r="1843" ht="15.75" customHeight="1">
      <c r="A1843" s="22" t="str">
        <f>'EQUITY BACKTEST'!A1846</f>
        <v/>
      </c>
      <c r="B1843" s="22" t="str">
        <f>'EQUITY BACKTEST'!B1846</f>
        <v/>
      </c>
      <c r="C1843" s="22" t="str">
        <f>'EQUITY BACKTEST'!E1846</f>
        <v/>
      </c>
    </row>
    <row r="1844" ht="15.75" customHeight="1">
      <c r="A1844" s="22" t="str">
        <f>'EQUITY BACKTEST'!A1847</f>
        <v/>
      </c>
      <c r="B1844" s="22" t="str">
        <f>'EQUITY BACKTEST'!B1847</f>
        <v/>
      </c>
      <c r="C1844" s="22" t="str">
        <f>'EQUITY BACKTEST'!E1847</f>
        <v/>
      </c>
    </row>
    <row r="1845" ht="15.75" customHeight="1">
      <c r="A1845" s="22" t="str">
        <f>'EQUITY BACKTEST'!A1848</f>
        <v/>
      </c>
      <c r="B1845" s="22" t="str">
        <f>'EQUITY BACKTEST'!B1848</f>
        <v/>
      </c>
      <c r="C1845" s="22" t="str">
        <f>'EQUITY BACKTEST'!E1848</f>
        <v/>
      </c>
    </row>
    <row r="1846" ht="15.75" customHeight="1">
      <c r="A1846" s="22" t="str">
        <f>'EQUITY BACKTEST'!A1849</f>
        <v/>
      </c>
      <c r="B1846" s="22" t="str">
        <f>'EQUITY BACKTEST'!B1849</f>
        <v/>
      </c>
      <c r="C1846" s="22" t="str">
        <f>'EQUITY BACKTEST'!E1849</f>
        <v/>
      </c>
    </row>
    <row r="1847" ht="15.75" customHeight="1">
      <c r="A1847" s="22" t="str">
        <f>'EQUITY BACKTEST'!A1850</f>
        <v/>
      </c>
      <c r="B1847" s="22" t="str">
        <f>'EQUITY BACKTEST'!B1850</f>
        <v/>
      </c>
      <c r="C1847" s="22" t="str">
        <f>'EQUITY BACKTEST'!E1850</f>
        <v/>
      </c>
    </row>
    <row r="1848" ht="15.75" customHeight="1">
      <c r="A1848" s="22" t="str">
        <f>'EQUITY BACKTEST'!A1851</f>
        <v/>
      </c>
      <c r="B1848" s="22" t="str">
        <f>'EQUITY BACKTEST'!B1851</f>
        <v/>
      </c>
      <c r="C1848" s="22" t="str">
        <f>'EQUITY BACKTEST'!E1851</f>
        <v/>
      </c>
    </row>
    <row r="1849" ht="15.75" customHeight="1">
      <c r="A1849" s="22" t="str">
        <f>'EQUITY BACKTEST'!A1852</f>
        <v/>
      </c>
      <c r="B1849" s="22" t="str">
        <f>'EQUITY BACKTEST'!B1852</f>
        <v/>
      </c>
      <c r="C1849" s="22" t="str">
        <f>'EQUITY BACKTEST'!E1852</f>
        <v/>
      </c>
    </row>
    <row r="1850" ht="15.75" customHeight="1">
      <c r="A1850" s="22" t="str">
        <f>'EQUITY BACKTEST'!A1853</f>
        <v/>
      </c>
      <c r="B1850" s="22" t="str">
        <f>'EQUITY BACKTEST'!B1853</f>
        <v/>
      </c>
      <c r="C1850" s="22" t="str">
        <f>'EQUITY BACKTEST'!E1853</f>
        <v/>
      </c>
    </row>
    <row r="1851" ht="15.75" customHeight="1">
      <c r="A1851" s="22" t="str">
        <f>'EQUITY BACKTEST'!A1854</f>
        <v/>
      </c>
      <c r="B1851" s="22" t="str">
        <f>'EQUITY BACKTEST'!B1854</f>
        <v/>
      </c>
      <c r="C1851" s="22" t="str">
        <f>'EQUITY BACKTEST'!E1854</f>
        <v/>
      </c>
    </row>
    <row r="1852" ht="15.75" customHeight="1">
      <c r="A1852" s="22" t="str">
        <f>'EQUITY BACKTEST'!A1855</f>
        <v/>
      </c>
      <c r="B1852" s="22" t="str">
        <f>'EQUITY BACKTEST'!B1855</f>
        <v/>
      </c>
      <c r="C1852" s="22" t="str">
        <f>'EQUITY BACKTEST'!E1855</f>
        <v/>
      </c>
    </row>
    <row r="1853" ht="15.75" customHeight="1">
      <c r="A1853" s="22" t="str">
        <f>'EQUITY BACKTEST'!A1856</f>
        <v/>
      </c>
      <c r="B1853" s="22" t="str">
        <f>'EQUITY BACKTEST'!B1856</f>
        <v/>
      </c>
      <c r="C1853" s="22" t="str">
        <f>'EQUITY BACKTEST'!E1856</f>
        <v/>
      </c>
    </row>
    <row r="1854" ht="15.75" customHeight="1">
      <c r="A1854" s="22" t="str">
        <f>'EQUITY BACKTEST'!A1857</f>
        <v/>
      </c>
      <c r="B1854" s="22" t="str">
        <f>'EQUITY BACKTEST'!B1857</f>
        <v/>
      </c>
      <c r="C1854" s="22" t="str">
        <f>'EQUITY BACKTEST'!E1857</f>
        <v/>
      </c>
    </row>
    <row r="1855" ht="15.75" customHeight="1">
      <c r="A1855" s="22" t="str">
        <f>'EQUITY BACKTEST'!A1858</f>
        <v/>
      </c>
      <c r="B1855" s="22" t="str">
        <f>'EQUITY BACKTEST'!B1858</f>
        <v/>
      </c>
      <c r="C1855" s="22" t="str">
        <f>'EQUITY BACKTEST'!E1858</f>
        <v/>
      </c>
    </row>
    <row r="1856" ht="15.75" customHeight="1">
      <c r="A1856" s="22" t="str">
        <f>'EQUITY BACKTEST'!A1859</f>
        <v/>
      </c>
      <c r="B1856" s="22" t="str">
        <f>'EQUITY BACKTEST'!B1859</f>
        <v/>
      </c>
      <c r="C1856" s="22" t="str">
        <f>'EQUITY BACKTEST'!E1859</f>
        <v/>
      </c>
    </row>
    <row r="1857" ht="15.75" customHeight="1">
      <c r="A1857" s="22" t="str">
        <f>'EQUITY BACKTEST'!A1860</f>
        <v/>
      </c>
      <c r="B1857" s="22" t="str">
        <f>'EQUITY BACKTEST'!B1860</f>
        <v/>
      </c>
      <c r="C1857" s="22" t="str">
        <f>'EQUITY BACKTEST'!E1860</f>
        <v/>
      </c>
    </row>
    <row r="1858" ht="15.75" customHeight="1">
      <c r="A1858" s="22" t="str">
        <f>'EQUITY BACKTEST'!A1861</f>
        <v/>
      </c>
      <c r="B1858" s="22" t="str">
        <f>'EQUITY BACKTEST'!B1861</f>
        <v/>
      </c>
      <c r="C1858" s="22" t="str">
        <f>'EQUITY BACKTEST'!E1861</f>
        <v/>
      </c>
    </row>
    <row r="1859" ht="15.75" customHeight="1">
      <c r="A1859" s="22" t="str">
        <f>'EQUITY BACKTEST'!A1862</f>
        <v/>
      </c>
      <c r="B1859" s="22" t="str">
        <f>'EQUITY BACKTEST'!B1862</f>
        <v/>
      </c>
      <c r="C1859" s="22" t="str">
        <f>'EQUITY BACKTEST'!E1862</f>
        <v/>
      </c>
    </row>
    <row r="1860" ht="15.75" customHeight="1">
      <c r="A1860" s="22" t="str">
        <f>'EQUITY BACKTEST'!A1863</f>
        <v/>
      </c>
      <c r="B1860" s="22" t="str">
        <f>'EQUITY BACKTEST'!B1863</f>
        <v/>
      </c>
      <c r="C1860" s="22" t="str">
        <f>'EQUITY BACKTEST'!E1863</f>
        <v/>
      </c>
    </row>
    <row r="1861" ht="15.75" customHeight="1">
      <c r="A1861" s="22" t="str">
        <f>'EQUITY BACKTEST'!A1864</f>
        <v/>
      </c>
      <c r="B1861" s="22" t="str">
        <f>'EQUITY BACKTEST'!B1864</f>
        <v/>
      </c>
      <c r="C1861" s="22" t="str">
        <f>'EQUITY BACKTEST'!E1864</f>
        <v/>
      </c>
    </row>
    <row r="1862" ht="15.75" customHeight="1">
      <c r="A1862" s="22" t="str">
        <f>'EQUITY BACKTEST'!A1865</f>
        <v/>
      </c>
      <c r="B1862" s="22" t="str">
        <f>'EQUITY BACKTEST'!B1865</f>
        <v/>
      </c>
      <c r="C1862" s="22" t="str">
        <f>'EQUITY BACKTEST'!E1865</f>
        <v/>
      </c>
    </row>
    <row r="1863" ht="15.75" customHeight="1">
      <c r="A1863" s="22" t="str">
        <f>'EQUITY BACKTEST'!A1866</f>
        <v/>
      </c>
      <c r="B1863" s="22" t="str">
        <f>'EQUITY BACKTEST'!B1866</f>
        <v/>
      </c>
      <c r="C1863" s="22" t="str">
        <f>'EQUITY BACKTEST'!E1866</f>
        <v/>
      </c>
    </row>
    <row r="1864" ht="15.75" customHeight="1">
      <c r="A1864" s="22" t="str">
        <f>'EQUITY BACKTEST'!A1867</f>
        <v/>
      </c>
      <c r="B1864" s="22" t="str">
        <f>'EQUITY BACKTEST'!B1867</f>
        <v/>
      </c>
      <c r="C1864" s="22" t="str">
        <f>'EQUITY BACKTEST'!E1867</f>
        <v/>
      </c>
    </row>
    <row r="1865" ht="15.75" customHeight="1">
      <c r="A1865" s="22" t="str">
        <f>'EQUITY BACKTEST'!A1868</f>
        <v/>
      </c>
      <c r="B1865" s="22" t="str">
        <f>'EQUITY BACKTEST'!B1868</f>
        <v/>
      </c>
      <c r="C1865" s="22" t="str">
        <f>'EQUITY BACKTEST'!E1868</f>
        <v/>
      </c>
    </row>
    <row r="1866" ht="15.75" customHeight="1">
      <c r="A1866" s="22" t="str">
        <f>'EQUITY BACKTEST'!A1869</f>
        <v/>
      </c>
      <c r="B1866" s="22" t="str">
        <f>'EQUITY BACKTEST'!B1869</f>
        <v/>
      </c>
      <c r="C1866" s="22" t="str">
        <f>'EQUITY BACKTEST'!E1869</f>
        <v/>
      </c>
    </row>
    <row r="1867" ht="15.75" customHeight="1">
      <c r="A1867" s="22" t="str">
        <f>'EQUITY BACKTEST'!A1870</f>
        <v/>
      </c>
      <c r="B1867" s="22" t="str">
        <f>'EQUITY BACKTEST'!B1870</f>
        <v/>
      </c>
      <c r="C1867" s="22" t="str">
        <f>'EQUITY BACKTEST'!E1870</f>
        <v/>
      </c>
    </row>
    <row r="1868" ht="15.75" customHeight="1">
      <c r="A1868" s="22" t="str">
        <f>'EQUITY BACKTEST'!A1871</f>
        <v/>
      </c>
      <c r="B1868" s="22" t="str">
        <f>'EQUITY BACKTEST'!B1871</f>
        <v/>
      </c>
      <c r="C1868" s="22" t="str">
        <f>'EQUITY BACKTEST'!E1871</f>
        <v/>
      </c>
    </row>
    <row r="1869" ht="15.75" customHeight="1">
      <c r="A1869" s="22" t="str">
        <f>'EQUITY BACKTEST'!A1872</f>
        <v/>
      </c>
      <c r="B1869" s="22" t="str">
        <f>'EQUITY BACKTEST'!B1872</f>
        <v/>
      </c>
      <c r="C1869" s="22" t="str">
        <f>'EQUITY BACKTEST'!E1872</f>
        <v/>
      </c>
    </row>
    <row r="1870" ht="15.75" customHeight="1">
      <c r="A1870" s="22" t="str">
        <f>'EQUITY BACKTEST'!A1873</f>
        <v/>
      </c>
      <c r="B1870" s="22" t="str">
        <f>'EQUITY BACKTEST'!B1873</f>
        <v/>
      </c>
      <c r="C1870" s="22" t="str">
        <f>'EQUITY BACKTEST'!E1873</f>
        <v/>
      </c>
    </row>
    <row r="1871" ht="15.75" customHeight="1">
      <c r="A1871" s="22" t="str">
        <f>'EQUITY BACKTEST'!A1874</f>
        <v/>
      </c>
      <c r="B1871" s="22" t="str">
        <f>'EQUITY BACKTEST'!B1874</f>
        <v/>
      </c>
      <c r="C1871" s="22" t="str">
        <f>'EQUITY BACKTEST'!E1874</f>
        <v/>
      </c>
    </row>
    <row r="1872" ht="15.75" customHeight="1">
      <c r="A1872" s="22" t="str">
        <f>'EQUITY BACKTEST'!A1875</f>
        <v/>
      </c>
      <c r="B1872" s="22" t="str">
        <f>'EQUITY BACKTEST'!B1875</f>
        <v/>
      </c>
      <c r="C1872" s="22" t="str">
        <f>'EQUITY BACKTEST'!E1875</f>
        <v/>
      </c>
    </row>
    <row r="1873" ht="15.75" customHeight="1">
      <c r="A1873" s="22" t="str">
        <f>'EQUITY BACKTEST'!A1876</f>
        <v/>
      </c>
      <c r="B1873" s="22" t="str">
        <f>'EQUITY BACKTEST'!B1876</f>
        <v/>
      </c>
      <c r="C1873" s="22" t="str">
        <f>'EQUITY BACKTEST'!E1876</f>
        <v/>
      </c>
    </row>
    <row r="1874" ht="15.75" customHeight="1">
      <c r="A1874" s="22" t="str">
        <f>'EQUITY BACKTEST'!A1877</f>
        <v/>
      </c>
      <c r="B1874" s="22" t="str">
        <f>'EQUITY BACKTEST'!B1877</f>
        <v/>
      </c>
      <c r="C1874" s="22" t="str">
        <f>'EQUITY BACKTEST'!E1877</f>
        <v/>
      </c>
    </row>
    <row r="1875" ht="15.75" customHeight="1">
      <c r="A1875" s="22" t="str">
        <f>'EQUITY BACKTEST'!A1878</f>
        <v/>
      </c>
      <c r="B1875" s="22" t="str">
        <f>'EQUITY BACKTEST'!B1878</f>
        <v/>
      </c>
      <c r="C1875" s="22" t="str">
        <f>'EQUITY BACKTEST'!E1878</f>
        <v/>
      </c>
    </row>
    <row r="1876" ht="15.75" customHeight="1">
      <c r="A1876" s="22" t="str">
        <f>'EQUITY BACKTEST'!A1879</f>
        <v/>
      </c>
      <c r="B1876" s="22" t="str">
        <f>'EQUITY BACKTEST'!B1879</f>
        <v/>
      </c>
      <c r="C1876" s="22" t="str">
        <f>'EQUITY BACKTEST'!E1879</f>
        <v/>
      </c>
    </row>
    <row r="1877" ht="15.75" customHeight="1">
      <c r="A1877" s="22" t="str">
        <f>'EQUITY BACKTEST'!A1880</f>
        <v/>
      </c>
      <c r="B1877" s="22" t="str">
        <f>'EQUITY BACKTEST'!B1880</f>
        <v/>
      </c>
      <c r="C1877" s="22" t="str">
        <f>'EQUITY BACKTEST'!E1880</f>
        <v/>
      </c>
    </row>
    <row r="1878" ht="15.75" customHeight="1">
      <c r="A1878" s="22" t="str">
        <f>'EQUITY BACKTEST'!A1881</f>
        <v/>
      </c>
      <c r="B1878" s="22" t="str">
        <f>'EQUITY BACKTEST'!B1881</f>
        <v/>
      </c>
      <c r="C1878" s="22" t="str">
        <f>'EQUITY BACKTEST'!E1881</f>
        <v/>
      </c>
    </row>
    <row r="1879" ht="15.75" customHeight="1">
      <c r="A1879" s="22" t="str">
        <f>'EQUITY BACKTEST'!A1882</f>
        <v/>
      </c>
      <c r="B1879" s="22" t="str">
        <f>'EQUITY BACKTEST'!B1882</f>
        <v/>
      </c>
      <c r="C1879" s="22" t="str">
        <f>'EQUITY BACKTEST'!E1882</f>
        <v/>
      </c>
    </row>
    <row r="1880" ht="15.75" customHeight="1">
      <c r="A1880" s="22" t="str">
        <f>'EQUITY BACKTEST'!A1883</f>
        <v/>
      </c>
      <c r="B1880" s="22" t="str">
        <f>'EQUITY BACKTEST'!B1883</f>
        <v/>
      </c>
      <c r="C1880" s="22" t="str">
        <f>'EQUITY BACKTEST'!E1883</f>
        <v/>
      </c>
    </row>
    <row r="1881" ht="15.75" customHeight="1">
      <c r="A1881" s="22" t="str">
        <f>'EQUITY BACKTEST'!A1884</f>
        <v/>
      </c>
      <c r="B1881" s="22" t="str">
        <f>'EQUITY BACKTEST'!B1884</f>
        <v/>
      </c>
      <c r="C1881" s="22" t="str">
        <f>'EQUITY BACKTEST'!E1884</f>
        <v/>
      </c>
    </row>
    <row r="1882" ht="15.75" customHeight="1">
      <c r="A1882" s="22" t="str">
        <f>'EQUITY BACKTEST'!A1885</f>
        <v/>
      </c>
      <c r="B1882" s="22" t="str">
        <f>'EQUITY BACKTEST'!B1885</f>
        <v/>
      </c>
      <c r="C1882" s="22" t="str">
        <f>'EQUITY BACKTEST'!E1885</f>
        <v/>
      </c>
    </row>
    <row r="1883" ht="15.75" customHeight="1">
      <c r="A1883" s="22" t="str">
        <f>'EQUITY BACKTEST'!A1886</f>
        <v/>
      </c>
      <c r="B1883" s="22" t="str">
        <f>'EQUITY BACKTEST'!B1886</f>
        <v/>
      </c>
      <c r="C1883" s="22" t="str">
        <f>'EQUITY BACKTEST'!E1886</f>
        <v/>
      </c>
    </row>
    <row r="1884" ht="15.75" customHeight="1">
      <c r="A1884" s="22" t="str">
        <f>'EQUITY BACKTEST'!A1887</f>
        <v/>
      </c>
      <c r="B1884" s="22" t="str">
        <f>'EQUITY BACKTEST'!B1887</f>
        <v/>
      </c>
      <c r="C1884" s="22" t="str">
        <f>'EQUITY BACKTEST'!E1887</f>
        <v/>
      </c>
    </row>
    <row r="1885" ht="15.75" customHeight="1">
      <c r="A1885" s="22" t="str">
        <f>'EQUITY BACKTEST'!A1888</f>
        <v/>
      </c>
      <c r="B1885" s="22" t="str">
        <f>'EQUITY BACKTEST'!B1888</f>
        <v/>
      </c>
      <c r="C1885" s="22" t="str">
        <f>'EQUITY BACKTEST'!E1888</f>
        <v/>
      </c>
    </row>
    <row r="1886" ht="15.75" customHeight="1">
      <c r="A1886" s="22" t="str">
        <f>'EQUITY BACKTEST'!A1889</f>
        <v/>
      </c>
      <c r="B1886" s="22" t="str">
        <f>'EQUITY BACKTEST'!B1889</f>
        <v/>
      </c>
      <c r="C1886" s="22" t="str">
        <f>'EQUITY BACKTEST'!E1889</f>
        <v/>
      </c>
    </row>
    <row r="1887" ht="15.75" customHeight="1">
      <c r="A1887" s="22" t="str">
        <f>'EQUITY BACKTEST'!A1890</f>
        <v/>
      </c>
      <c r="B1887" s="22" t="str">
        <f>'EQUITY BACKTEST'!B1890</f>
        <v/>
      </c>
      <c r="C1887" s="22" t="str">
        <f>'EQUITY BACKTEST'!E1890</f>
        <v/>
      </c>
    </row>
    <row r="1888" ht="15.75" customHeight="1">
      <c r="A1888" s="22" t="str">
        <f>'EQUITY BACKTEST'!A1891</f>
        <v/>
      </c>
      <c r="B1888" s="22" t="str">
        <f>'EQUITY BACKTEST'!B1891</f>
        <v/>
      </c>
      <c r="C1888" s="22" t="str">
        <f>'EQUITY BACKTEST'!E1891</f>
        <v/>
      </c>
    </row>
    <row r="1889" ht="15.75" customHeight="1">
      <c r="A1889" s="22" t="str">
        <f>'EQUITY BACKTEST'!A1892</f>
        <v/>
      </c>
      <c r="B1889" s="22" t="str">
        <f>'EQUITY BACKTEST'!B1892</f>
        <v/>
      </c>
      <c r="C1889" s="22" t="str">
        <f>'EQUITY BACKTEST'!E1892</f>
        <v/>
      </c>
    </row>
    <row r="1890" ht="15.75" customHeight="1">
      <c r="A1890" s="22" t="str">
        <f>'EQUITY BACKTEST'!A1893</f>
        <v/>
      </c>
      <c r="B1890" s="22" t="str">
        <f>'EQUITY BACKTEST'!B1893</f>
        <v/>
      </c>
      <c r="C1890" s="22" t="str">
        <f>'EQUITY BACKTEST'!E1893</f>
        <v/>
      </c>
    </row>
    <row r="1891" ht="15.75" customHeight="1">
      <c r="A1891" s="22" t="str">
        <f>'EQUITY BACKTEST'!A1894</f>
        <v/>
      </c>
      <c r="B1891" s="22" t="str">
        <f>'EQUITY BACKTEST'!B1894</f>
        <v/>
      </c>
      <c r="C1891" s="22" t="str">
        <f>'EQUITY BACKTEST'!E1894</f>
        <v/>
      </c>
    </row>
    <row r="1892" ht="15.75" customHeight="1">
      <c r="A1892" s="22" t="str">
        <f>'EQUITY BACKTEST'!A1895</f>
        <v/>
      </c>
      <c r="B1892" s="22" t="str">
        <f>'EQUITY BACKTEST'!B1895</f>
        <v/>
      </c>
      <c r="C1892" s="22" t="str">
        <f>'EQUITY BACKTEST'!E1895</f>
        <v/>
      </c>
    </row>
    <row r="1893" ht="15.75" customHeight="1">
      <c r="A1893" s="22" t="str">
        <f>'EQUITY BACKTEST'!A1896</f>
        <v/>
      </c>
      <c r="B1893" s="22" t="str">
        <f>'EQUITY BACKTEST'!B1896</f>
        <v/>
      </c>
      <c r="C1893" s="22" t="str">
        <f>'EQUITY BACKTEST'!E1896</f>
        <v/>
      </c>
    </row>
    <row r="1894" ht="15.75" customHeight="1">
      <c r="A1894" s="22" t="str">
        <f>'EQUITY BACKTEST'!A1897</f>
        <v/>
      </c>
      <c r="B1894" s="22" t="str">
        <f>'EQUITY BACKTEST'!B1897</f>
        <v/>
      </c>
      <c r="C1894" s="22" t="str">
        <f>'EQUITY BACKTEST'!E1897</f>
        <v/>
      </c>
    </row>
    <row r="1895" ht="15.75" customHeight="1">
      <c r="A1895" s="22" t="str">
        <f>'EQUITY BACKTEST'!A1898</f>
        <v/>
      </c>
      <c r="B1895" s="22" t="str">
        <f>'EQUITY BACKTEST'!B1898</f>
        <v/>
      </c>
      <c r="C1895" s="22" t="str">
        <f>'EQUITY BACKTEST'!E1898</f>
        <v/>
      </c>
    </row>
    <row r="1896" ht="15.75" customHeight="1">
      <c r="A1896" s="22" t="str">
        <f>'EQUITY BACKTEST'!A1899</f>
        <v/>
      </c>
      <c r="B1896" s="22" t="str">
        <f>'EQUITY BACKTEST'!B1899</f>
        <v/>
      </c>
      <c r="C1896" s="22" t="str">
        <f>'EQUITY BACKTEST'!E1899</f>
        <v/>
      </c>
    </row>
    <row r="1897" ht="15.75" customHeight="1">
      <c r="A1897" s="22" t="str">
        <f>'EQUITY BACKTEST'!A1900</f>
        <v/>
      </c>
      <c r="B1897" s="22" t="str">
        <f>'EQUITY BACKTEST'!B1900</f>
        <v/>
      </c>
      <c r="C1897" s="22" t="str">
        <f>'EQUITY BACKTEST'!E1900</f>
        <v/>
      </c>
    </row>
    <row r="1898" ht="15.75" customHeight="1">
      <c r="A1898" s="22" t="str">
        <f>'EQUITY BACKTEST'!A1901</f>
        <v/>
      </c>
      <c r="B1898" s="22" t="str">
        <f>'EQUITY BACKTEST'!B1901</f>
        <v/>
      </c>
      <c r="C1898" s="22" t="str">
        <f>'EQUITY BACKTEST'!E1901</f>
        <v/>
      </c>
    </row>
    <row r="1899" ht="15.75" customHeight="1">
      <c r="A1899" s="22" t="str">
        <f>'EQUITY BACKTEST'!A1902</f>
        <v/>
      </c>
      <c r="B1899" s="22" t="str">
        <f>'EQUITY BACKTEST'!B1902</f>
        <v/>
      </c>
      <c r="C1899" s="22" t="str">
        <f>'EQUITY BACKTEST'!E1902</f>
        <v/>
      </c>
    </row>
    <row r="1900" ht="15.75" customHeight="1">
      <c r="A1900" s="22" t="str">
        <f>'EQUITY BACKTEST'!A1903</f>
        <v/>
      </c>
      <c r="B1900" s="22" t="str">
        <f>'EQUITY BACKTEST'!B1903</f>
        <v/>
      </c>
      <c r="C1900" s="22" t="str">
        <f>'EQUITY BACKTEST'!E1903</f>
        <v/>
      </c>
    </row>
    <row r="1901" ht="15.75" customHeight="1">
      <c r="A1901" s="22" t="str">
        <f>'EQUITY BACKTEST'!A1904</f>
        <v/>
      </c>
      <c r="B1901" s="22" t="str">
        <f>'EQUITY BACKTEST'!B1904</f>
        <v/>
      </c>
      <c r="C1901" s="22" t="str">
        <f>'EQUITY BACKTEST'!E1904</f>
        <v/>
      </c>
    </row>
    <row r="1902" ht="15.75" customHeight="1">
      <c r="A1902" s="22" t="str">
        <f>'EQUITY BACKTEST'!A1905</f>
        <v/>
      </c>
      <c r="B1902" s="22" t="str">
        <f>'EQUITY BACKTEST'!B1905</f>
        <v/>
      </c>
      <c r="C1902" s="22" t="str">
        <f>'EQUITY BACKTEST'!E1905</f>
        <v/>
      </c>
    </row>
    <row r="1903" ht="15.75" customHeight="1">
      <c r="A1903" s="22" t="str">
        <f>'EQUITY BACKTEST'!A1906</f>
        <v/>
      </c>
      <c r="B1903" s="22" t="str">
        <f>'EQUITY BACKTEST'!B1906</f>
        <v/>
      </c>
      <c r="C1903" s="22" t="str">
        <f>'EQUITY BACKTEST'!E1906</f>
        <v/>
      </c>
    </row>
    <row r="1904" ht="15.75" customHeight="1">
      <c r="A1904" s="22" t="str">
        <f>'EQUITY BACKTEST'!A1907</f>
        <v/>
      </c>
      <c r="B1904" s="22" t="str">
        <f>'EQUITY BACKTEST'!B1907</f>
        <v/>
      </c>
      <c r="C1904" s="22" t="str">
        <f>'EQUITY BACKTEST'!E1907</f>
        <v/>
      </c>
    </row>
    <row r="1905" ht="15.75" customHeight="1">
      <c r="A1905" s="22" t="str">
        <f>'EQUITY BACKTEST'!A1908</f>
        <v/>
      </c>
      <c r="B1905" s="22" t="str">
        <f>'EQUITY BACKTEST'!B1908</f>
        <v/>
      </c>
      <c r="C1905" s="22" t="str">
        <f>'EQUITY BACKTEST'!E1908</f>
        <v/>
      </c>
    </row>
    <row r="1906" ht="15.75" customHeight="1">
      <c r="A1906" s="22" t="str">
        <f>'EQUITY BACKTEST'!A1909</f>
        <v/>
      </c>
      <c r="B1906" s="22" t="str">
        <f>'EQUITY BACKTEST'!B1909</f>
        <v/>
      </c>
      <c r="C1906" s="22" t="str">
        <f>'EQUITY BACKTEST'!E1909</f>
        <v/>
      </c>
    </row>
    <row r="1907" ht="15.75" customHeight="1">
      <c r="A1907" s="22" t="str">
        <f>'EQUITY BACKTEST'!A1910</f>
        <v/>
      </c>
      <c r="B1907" s="22" t="str">
        <f>'EQUITY BACKTEST'!B1910</f>
        <v/>
      </c>
      <c r="C1907" s="22" t="str">
        <f>'EQUITY BACKTEST'!E1910</f>
        <v/>
      </c>
    </row>
    <row r="1908" ht="15.75" customHeight="1">
      <c r="A1908" s="22" t="str">
        <f>'EQUITY BACKTEST'!A1911</f>
        <v/>
      </c>
      <c r="B1908" s="22" t="str">
        <f>'EQUITY BACKTEST'!B1911</f>
        <v/>
      </c>
      <c r="C1908" s="22" t="str">
        <f>'EQUITY BACKTEST'!E1911</f>
        <v/>
      </c>
    </row>
    <row r="1909" ht="15.75" customHeight="1">
      <c r="A1909" s="22" t="str">
        <f>'EQUITY BACKTEST'!A1912</f>
        <v/>
      </c>
      <c r="B1909" s="22" t="str">
        <f>'EQUITY BACKTEST'!B1912</f>
        <v/>
      </c>
      <c r="C1909" s="22" t="str">
        <f>'EQUITY BACKTEST'!E1912</f>
        <v/>
      </c>
    </row>
    <row r="1910" ht="15.75" customHeight="1">
      <c r="A1910" s="22" t="str">
        <f>'EQUITY BACKTEST'!A1913</f>
        <v/>
      </c>
      <c r="B1910" s="22" t="str">
        <f>'EQUITY BACKTEST'!B1913</f>
        <v/>
      </c>
      <c r="C1910" s="22" t="str">
        <f>'EQUITY BACKTEST'!E1913</f>
        <v/>
      </c>
    </row>
    <row r="1911" ht="15.75" customHeight="1">
      <c r="A1911" s="22" t="str">
        <f>'EQUITY BACKTEST'!A1914</f>
        <v/>
      </c>
      <c r="B1911" s="22" t="str">
        <f>'EQUITY BACKTEST'!B1914</f>
        <v/>
      </c>
      <c r="C1911" s="22" t="str">
        <f>'EQUITY BACKTEST'!E1914</f>
        <v/>
      </c>
    </row>
    <row r="1912" ht="15.75" customHeight="1">
      <c r="A1912" s="22" t="str">
        <f>'EQUITY BACKTEST'!A1915</f>
        <v/>
      </c>
      <c r="B1912" s="22" t="str">
        <f>'EQUITY BACKTEST'!B1915</f>
        <v/>
      </c>
      <c r="C1912" s="22" t="str">
        <f>'EQUITY BACKTEST'!E1915</f>
        <v/>
      </c>
    </row>
    <row r="1913" ht="15.75" customHeight="1">
      <c r="A1913" s="22" t="str">
        <f>'EQUITY BACKTEST'!A1916</f>
        <v/>
      </c>
      <c r="B1913" s="22" t="str">
        <f>'EQUITY BACKTEST'!B1916</f>
        <v/>
      </c>
      <c r="C1913" s="22" t="str">
        <f>'EQUITY BACKTEST'!E1916</f>
        <v/>
      </c>
    </row>
    <row r="1914" ht="15.75" customHeight="1">
      <c r="A1914" s="22" t="str">
        <f>'EQUITY BACKTEST'!A1917</f>
        <v/>
      </c>
      <c r="B1914" s="22" t="str">
        <f>'EQUITY BACKTEST'!B1917</f>
        <v/>
      </c>
      <c r="C1914" s="22" t="str">
        <f>'EQUITY BACKTEST'!E1917</f>
        <v/>
      </c>
    </row>
    <row r="1915" ht="15.75" customHeight="1">
      <c r="A1915" s="22" t="str">
        <f>'EQUITY BACKTEST'!A1918</f>
        <v/>
      </c>
      <c r="B1915" s="22" t="str">
        <f>'EQUITY BACKTEST'!B1918</f>
        <v/>
      </c>
      <c r="C1915" s="22" t="str">
        <f>'EQUITY BACKTEST'!E1918</f>
        <v/>
      </c>
    </row>
    <row r="1916" ht="15.75" customHeight="1">
      <c r="A1916" s="22" t="str">
        <f>'EQUITY BACKTEST'!A1919</f>
        <v/>
      </c>
      <c r="B1916" s="22" t="str">
        <f>'EQUITY BACKTEST'!B1919</f>
        <v/>
      </c>
      <c r="C1916" s="22" t="str">
        <f>'EQUITY BACKTEST'!E1919</f>
        <v/>
      </c>
    </row>
    <row r="1917" ht="15.75" customHeight="1">
      <c r="A1917" s="22" t="str">
        <f>'EQUITY BACKTEST'!A1920</f>
        <v/>
      </c>
      <c r="B1917" s="22" t="str">
        <f>'EQUITY BACKTEST'!B1920</f>
        <v/>
      </c>
      <c r="C1917" s="22" t="str">
        <f>'EQUITY BACKTEST'!E1920</f>
        <v/>
      </c>
    </row>
    <row r="1918" ht="15.75" customHeight="1">
      <c r="A1918" s="22" t="str">
        <f>'EQUITY BACKTEST'!A1921</f>
        <v/>
      </c>
      <c r="B1918" s="22" t="str">
        <f>'EQUITY BACKTEST'!B1921</f>
        <v/>
      </c>
      <c r="C1918" s="22" t="str">
        <f>'EQUITY BACKTEST'!E1921</f>
        <v/>
      </c>
    </row>
    <row r="1919" ht="15.75" customHeight="1">
      <c r="A1919" s="22" t="str">
        <f>'EQUITY BACKTEST'!A1922</f>
        <v/>
      </c>
      <c r="B1919" s="22" t="str">
        <f>'EQUITY BACKTEST'!B1922</f>
        <v/>
      </c>
      <c r="C1919" s="22" t="str">
        <f>'EQUITY BACKTEST'!E1922</f>
        <v/>
      </c>
    </row>
    <row r="1920" ht="15.75" customHeight="1">
      <c r="A1920" s="22" t="str">
        <f>'EQUITY BACKTEST'!A1923</f>
        <v/>
      </c>
      <c r="B1920" s="22" t="str">
        <f>'EQUITY BACKTEST'!B1923</f>
        <v/>
      </c>
      <c r="C1920" s="22" t="str">
        <f>'EQUITY BACKTEST'!E1923</f>
        <v/>
      </c>
    </row>
    <row r="1921" ht="15.75" customHeight="1">
      <c r="A1921" s="22" t="str">
        <f>'EQUITY BACKTEST'!A1924</f>
        <v/>
      </c>
      <c r="B1921" s="22" t="str">
        <f>'EQUITY BACKTEST'!B1924</f>
        <v/>
      </c>
      <c r="C1921" s="22" t="str">
        <f>'EQUITY BACKTEST'!E1924</f>
        <v/>
      </c>
    </row>
    <row r="1922" ht="15.75" customHeight="1">
      <c r="A1922" s="22" t="str">
        <f>'EQUITY BACKTEST'!A1925</f>
        <v/>
      </c>
      <c r="B1922" s="22" t="str">
        <f>'EQUITY BACKTEST'!B1925</f>
        <v/>
      </c>
      <c r="C1922" s="22" t="str">
        <f>'EQUITY BACKTEST'!E1925</f>
        <v/>
      </c>
    </row>
    <row r="1923" ht="15.75" customHeight="1">
      <c r="A1923" s="22" t="str">
        <f>'EQUITY BACKTEST'!A1926</f>
        <v/>
      </c>
      <c r="B1923" s="22" t="str">
        <f>'EQUITY BACKTEST'!B1926</f>
        <v/>
      </c>
      <c r="C1923" s="22" t="str">
        <f>'EQUITY BACKTEST'!E1926</f>
        <v/>
      </c>
    </row>
    <row r="1924" ht="15.75" customHeight="1">
      <c r="A1924" s="22" t="str">
        <f>'EQUITY BACKTEST'!A1927</f>
        <v/>
      </c>
      <c r="B1924" s="22" t="str">
        <f>'EQUITY BACKTEST'!B1927</f>
        <v/>
      </c>
      <c r="C1924" s="22" t="str">
        <f>'EQUITY BACKTEST'!E1927</f>
        <v/>
      </c>
    </row>
    <row r="1925" ht="15.75" customHeight="1">
      <c r="A1925" s="22" t="str">
        <f>'EQUITY BACKTEST'!A1928</f>
        <v/>
      </c>
      <c r="B1925" s="22" t="str">
        <f>'EQUITY BACKTEST'!B1928</f>
        <v/>
      </c>
      <c r="C1925" s="22" t="str">
        <f>'EQUITY BACKTEST'!E1928</f>
        <v/>
      </c>
    </row>
    <row r="1926" ht="15.75" customHeight="1">
      <c r="A1926" s="22" t="str">
        <f>'EQUITY BACKTEST'!A1929</f>
        <v/>
      </c>
      <c r="B1926" s="22" t="str">
        <f>'EQUITY BACKTEST'!B1929</f>
        <v/>
      </c>
      <c r="C1926" s="22" t="str">
        <f>'EQUITY BACKTEST'!E1929</f>
        <v/>
      </c>
    </row>
    <row r="1927" ht="15.75" customHeight="1">
      <c r="A1927" s="22" t="str">
        <f>'EQUITY BACKTEST'!A1930</f>
        <v/>
      </c>
      <c r="B1927" s="22" t="str">
        <f>'EQUITY BACKTEST'!B1930</f>
        <v/>
      </c>
      <c r="C1927" s="22" t="str">
        <f>'EQUITY BACKTEST'!E1930</f>
        <v/>
      </c>
    </row>
    <row r="1928" ht="15.75" customHeight="1">
      <c r="A1928" s="22" t="str">
        <f>'EQUITY BACKTEST'!A1931</f>
        <v/>
      </c>
      <c r="B1928" s="22" t="str">
        <f>'EQUITY BACKTEST'!B1931</f>
        <v/>
      </c>
      <c r="C1928" s="22" t="str">
        <f>'EQUITY BACKTEST'!E1931</f>
        <v/>
      </c>
    </row>
    <row r="1929" ht="15.75" customHeight="1">
      <c r="A1929" s="22" t="str">
        <f>'EQUITY BACKTEST'!A1932</f>
        <v/>
      </c>
      <c r="B1929" s="22" t="str">
        <f>'EQUITY BACKTEST'!B1932</f>
        <v/>
      </c>
      <c r="C1929" s="22" t="str">
        <f>'EQUITY BACKTEST'!E1932</f>
        <v/>
      </c>
    </row>
    <row r="1930" ht="15.75" customHeight="1">
      <c r="A1930" s="22" t="str">
        <f>'EQUITY BACKTEST'!A1933</f>
        <v/>
      </c>
      <c r="B1930" s="22" t="str">
        <f>'EQUITY BACKTEST'!B1933</f>
        <v/>
      </c>
      <c r="C1930" s="22" t="str">
        <f>'EQUITY BACKTEST'!E1933</f>
        <v/>
      </c>
    </row>
    <row r="1931" ht="15.75" customHeight="1">
      <c r="A1931" s="22" t="str">
        <f>'EQUITY BACKTEST'!A1934</f>
        <v/>
      </c>
      <c r="B1931" s="22" t="str">
        <f>'EQUITY BACKTEST'!B1934</f>
        <v/>
      </c>
      <c r="C1931" s="22" t="str">
        <f>'EQUITY BACKTEST'!E1934</f>
        <v/>
      </c>
    </row>
    <row r="1932" ht="15.75" customHeight="1">
      <c r="A1932" s="22" t="str">
        <f>'EQUITY BACKTEST'!A1935</f>
        <v/>
      </c>
      <c r="B1932" s="22" t="str">
        <f>'EQUITY BACKTEST'!B1935</f>
        <v/>
      </c>
      <c r="C1932" s="22" t="str">
        <f>'EQUITY BACKTEST'!E1935</f>
        <v/>
      </c>
    </row>
    <row r="1933" ht="15.75" customHeight="1">
      <c r="A1933" s="22" t="str">
        <f>'EQUITY BACKTEST'!A1936</f>
        <v/>
      </c>
      <c r="B1933" s="22" t="str">
        <f>'EQUITY BACKTEST'!B1936</f>
        <v/>
      </c>
      <c r="C1933" s="22" t="str">
        <f>'EQUITY BACKTEST'!E1936</f>
        <v/>
      </c>
    </row>
    <row r="1934" ht="15.75" customHeight="1">
      <c r="A1934" s="22" t="str">
        <f>'EQUITY BACKTEST'!A1937</f>
        <v/>
      </c>
      <c r="B1934" s="22" t="str">
        <f>'EQUITY BACKTEST'!B1937</f>
        <v/>
      </c>
      <c r="C1934" s="22" t="str">
        <f>'EQUITY BACKTEST'!E1937</f>
        <v/>
      </c>
    </row>
    <row r="1935" ht="15.75" customHeight="1">
      <c r="A1935" s="22" t="str">
        <f>'EQUITY BACKTEST'!A1938</f>
        <v/>
      </c>
      <c r="B1935" s="22" t="str">
        <f>'EQUITY BACKTEST'!B1938</f>
        <v/>
      </c>
      <c r="C1935" s="22" t="str">
        <f>'EQUITY BACKTEST'!E1938</f>
        <v/>
      </c>
    </row>
    <row r="1936" ht="15.75" customHeight="1">
      <c r="A1936" s="22" t="str">
        <f>'EQUITY BACKTEST'!A1939</f>
        <v/>
      </c>
      <c r="B1936" s="22" t="str">
        <f>'EQUITY BACKTEST'!B1939</f>
        <v/>
      </c>
      <c r="C1936" s="22" t="str">
        <f>'EQUITY BACKTEST'!E1939</f>
        <v/>
      </c>
    </row>
    <row r="1937" ht="15.75" customHeight="1">
      <c r="A1937" s="22" t="str">
        <f>'EQUITY BACKTEST'!A1940</f>
        <v/>
      </c>
      <c r="B1937" s="22" t="str">
        <f>'EQUITY BACKTEST'!B1940</f>
        <v/>
      </c>
      <c r="C1937" s="22" t="str">
        <f>'EQUITY BACKTEST'!E1940</f>
        <v/>
      </c>
    </row>
    <row r="1938" ht="15.75" customHeight="1">
      <c r="A1938" s="22" t="str">
        <f>'EQUITY BACKTEST'!A1941</f>
        <v/>
      </c>
      <c r="B1938" s="22" t="str">
        <f>'EQUITY BACKTEST'!B1941</f>
        <v/>
      </c>
      <c r="C1938" s="22" t="str">
        <f>'EQUITY BACKTEST'!E1941</f>
        <v/>
      </c>
    </row>
    <row r="1939" ht="15.75" customHeight="1">
      <c r="A1939" s="22" t="str">
        <f>'EQUITY BACKTEST'!A1942</f>
        <v/>
      </c>
      <c r="B1939" s="22" t="str">
        <f>'EQUITY BACKTEST'!B1942</f>
        <v/>
      </c>
      <c r="C1939" s="22" t="str">
        <f>'EQUITY BACKTEST'!E1942</f>
        <v/>
      </c>
    </row>
    <row r="1940" ht="15.75" customHeight="1">
      <c r="A1940" s="22" t="str">
        <f>'EQUITY BACKTEST'!A1943</f>
        <v/>
      </c>
      <c r="B1940" s="22" t="str">
        <f>'EQUITY BACKTEST'!B1943</f>
        <v/>
      </c>
      <c r="C1940" s="22" t="str">
        <f>'EQUITY BACKTEST'!E1943</f>
        <v/>
      </c>
    </row>
    <row r="1941" ht="15.75" customHeight="1">
      <c r="A1941" s="22" t="str">
        <f>'EQUITY BACKTEST'!A1944</f>
        <v/>
      </c>
      <c r="B1941" s="22" t="str">
        <f>'EQUITY BACKTEST'!B1944</f>
        <v/>
      </c>
      <c r="C1941" s="22" t="str">
        <f>'EQUITY BACKTEST'!E1944</f>
        <v/>
      </c>
    </row>
    <row r="1942" ht="15.75" customHeight="1">
      <c r="A1942" s="22" t="str">
        <f>'EQUITY BACKTEST'!A1945</f>
        <v/>
      </c>
      <c r="B1942" s="22" t="str">
        <f>'EQUITY BACKTEST'!B1945</f>
        <v/>
      </c>
      <c r="C1942" s="22" t="str">
        <f>'EQUITY BACKTEST'!E1945</f>
        <v/>
      </c>
    </row>
    <row r="1943" ht="15.75" customHeight="1">
      <c r="A1943" s="22" t="str">
        <f>'EQUITY BACKTEST'!A1946</f>
        <v/>
      </c>
      <c r="B1943" s="22" t="str">
        <f>'EQUITY BACKTEST'!B1946</f>
        <v/>
      </c>
      <c r="C1943" s="22" t="str">
        <f>'EQUITY BACKTEST'!E1946</f>
        <v/>
      </c>
    </row>
    <row r="1944" ht="15.75" customHeight="1">
      <c r="A1944" s="22" t="str">
        <f>'EQUITY BACKTEST'!A1947</f>
        <v/>
      </c>
      <c r="B1944" s="22" t="str">
        <f>'EQUITY BACKTEST'!B1947</f>
        <v/>
      </c>
      <c r="C1944" s="22" t="str">
        <f>'EQUITY BACKTEST'!E1947</f>
        <v/>
      </c>
    </row>
    <row r="1945" ht="15.75" customHeight="1">
      <c r="A1945" s="22" t="str">
        <f>'EQUITY BACKTEST'!A1948</f>
        <v/>
      </c>
      <c r="B1945" s="22" t="str">
        <f>'EQUITY BACKTEST'!B1948</f>
        <v/>
      </c>
      <c r="C1945" s="22" t="str">
        <f>'EQUITY BACKTEST'!E1948</f>
        <v/>
      </c>
    </row>
    <row r="1946" ht="15.75" customHeight="1">
      <c r="A1946" s="22" t="str">
        <f>'EQUITY BACKTEST'!A1949</f>
        <v/>
      </c>
      <c r="B1946" s="22" t="str">
        <f>'EQUITY BACKTEST'!B1949</f>
        <v/>
      </c>
      <c r="C1946" s="22" t="str">
        <f>'EQUITY BACKTEST'!E1949</f>
        <v/>
      </c>
    </row>
    <row r="1947" ht="15.75" customHeight="1">
      <c r="A1947" s="22" t="str">
        <f>'EQUITY BACKTEST'!A1950</f>
        <v/>
      </c>
      <c r="B1947" s="22" t="str">
        <f>'EQUITY BACKTEST'!B1950</f>
        <v/>
      </c>
      <c r="C1947" s="22" t="str">
        <f>'EQUITY BACKTEST'!E1950</f>
        <v/>
      </c>
    </row>
    <row r="1948" ht="15.75" customHeight="1">
      <c r="A1948" s="22" t="str">
        <f>'EQUITY BACKTEST'!A1951</f>
        <v/>
      </c>
      <c r="B1948" s="22" t="str">
        <f>'EQUITY BACKTEST'!B1951</f>
        <v/>
      </c>
      <c r="C1948" s="22" t="str">
        <f>'EQUITY BACKTEST'!E1951</f>
        <v/>
      </c>
    </row>
    <row r="1949" ht="15.75" customHeight="1">
      <c r="A1949" s="22" t="str">
        <f>'EQUITY BACKTEST'!A1952</f>
        <v/>
      </c>
      <c r="B1949" s="22" t="str">
        <f>'EQUITY BACKTEST'!B1952</f>
        <v/>
      </c>
      <c r="C1949" s="22" t="str">
        <f>'EQUITY BACKTEST'!E1952</f>
        <v/>
      </c>
    </row>
    <row r="1950" ht="15.75" customHeight="1">
      <c r="A1950" s="22" t="str">
        <f>'EQUITY BACKTEST'!A1953</f>
        <v/>
      </c>
      <c r="B1950" s="22" t="str">
        <f>'EQUITY BACKTEST'!B1953</f>
        <v/>
      </c>
      <c r="C1950" s="22" t="str">
        <f>'EQUITY BACKTEST'!E1953</f>
        <v/>
      </c>
    </row>
    <row r="1951" ht="15.75" customHeight="1">
      <c r="A1951" s="22" t="str">
        <f>'EQUITY BACKTEST'!A1954</f>
        <v/>
      </c>
      <c r="B1951" s="22" t="str">
        <f>'EQUITY BACKTEST'!B1954</f>
        <v/>
      </c>
      <c r="C1951" s="22" t="str">
        <f>'EQUITY BACKTEST'!E1954</f>
        <v/>
      </c>
    </row>
    <row r="1952" ht="15.75" customHeight="1">
      <c r="A1952" s="22" t="str">
        <f>'EQUITY BACKTEST'!A1955</f>
        <v/>
      </c>
      <c r="B1952" s="22" t="str">
        <f>'EQUITY BACKTEST'!B1955</f>
        <v/>
      </c>
      <c r="C1952" s="22" t="str">
        <f>'EQUITY BACKTEST'!E1955</f>
        <v/>
      </c>
    </row>
    <row r="1953" ht="15.75" customHeight="1">
      <c r="A1953" s="22" t="str">
        <f>'EQUITY BACKTEST'!A1956</f>
        <v/>
      </c>
      <c r="B1953" s="22" t="str">
        <f>'EQUITY BACKTEST'!B1956</f>
        <v/>
      </c>
      <c r="C1953" s="22" t="str">
        <f>'EQUITY BACKTEST'!E1956</f>
        <v/>
      </c>
    </row>
    <row r="1954" ht="15.75" customHeight="1">
      <c r="A1954" s="22" t="str">
        <f>'EQUITY BACKTEST'!A1957</f>
        <v/>
      </c>
      <c r="B1954" s="22" t="str">
        <f>'EQUITY BACKTEST'!B1957</f>
        <v/>
      </c>
      <c r="C1954" s="22" t="str">
        <f>'EQUITY BACKTEST'!E1957</f>
        <v/>
      </c>
    </row>
    <row r="1955" ht="15.75" customHeight="1">
      <c r="A1955" s="22" t="str">
        <f>'EQUITY BACKTEST'!A1958</f>
        <v/>
      </c>
      <c r="B1955" s="22" t="str">
        <f>'EQUITY BACKTEST'!B1958</f>
        <v/>
      </c>
      <c r="C1955" s="22" t="str">
        <f>'EQUITY BACKTEST'!E1958</f>
        <v/>
      </c>
    </row>
    <row r="1956" ht="15.75" customHeight="1">
      <c r="A1956" s="22" t="str">
        <f>'EQUITY BACKTEST'!A1959</f>
        <v/>
      </c>
      <c r="B1956" s="22" t="str">
        <f>'EQUITY BACKTEST'!B1959</f>
        <v/>
      </c>
      <c r="C1956" s="22" t="str">
        <f>'EQUITY BACKTEST'!E1959</f>
        <v/>
      </c>
    </row>
    <row r="1957" ht="15.75" customHeight="1">
      <c r="A1957" s="22" t="str">
        <f>'EQUITY BACKTEST'!A1960</f>
        <v/>
      </c>
      <c r="B1957" s="22" t="str">
        <f>'EQUITY BACKTEST'!B1960</f>
        <v/>
      </c>
      <c r="C1957" s="22" t="str">
        <f>'EQUITY BACKTEST'!E1960</f>
        <v/>
      </c>
    </row>
    <row r="1958" ht="15.75" customHeight="1">
      <c r="A1958" s="22" t="str">
        <f>'EQUITY BACKTEST'!A1961</f>
        <v/>
      </c>
      <c r="B1958" s="22" t="str">
        <f>'EQUITY BACKTEST'!B1961</f>
        <v/>
      </c>
      <c r="C1958" s="22" t="str">
        <f>'EQUITY BACKTEST'!E1961</f>
        <v/>
      </c>
    </row>
    <row r="1959" ht="15.75" customHeight="1">
      <c r="A1959" s="22" t="str">
        <f>'EQUITY BACKTEST'!A1962</f>
        <v/>
      </c>
      <c r="B1959" s="22" t="str">
        <f>'EQUITY BACKTEST'!B1962</f>
        <v/>
      </c>
      <c r="C1959" s="22" t="str">
        <f>'EQUITY BACKTEST'!E1962</f>
        <v/>
      </c>
    </row>
    <row r="1960" ht="15.75" customHeight="1">
      <c r="A1960" s="22" t="str">
        <f>'EQUITY BACKTEST'!A1963</f>
        <v/>
      </c>
      <c r="B1960" s="22" t="str">
        <f>'EQUITY BACKTEST'!B1963</f>
        <v/>
      </c>
      <c r="C1960" s="22" t="str">
        <f>'EQUITY BACKTEST'!E1963</f>
        <v/>
      </c>
    </row>
    <row r="1961" ht="15.75" customHeight="1">
      <c r="A1961" s="22" t="str">
        <f>'EQUITY BACKTEST'!A1964</f>
        <v/>
      </c>
      <c r="B1961" s="22" t="str">
        <f>'EQUITY BACKTEST'!B1964</f>
        <v/>
      </c>
      <c r="C1961" s="22" t="str">
        <f>'EQUITY BACKTEST'!E1964</f>
        <v/>
      </c>
    </row>
    <row r="1962" ht="15.75" customHeight="1">
      <c r="A1962" s="22" t="str">
        <f>'EQUITY BACKTEST'!A1965</f>
        <v/>
      </c>
      <c r="B1962" s="22" t="str">
        <f>'EQUITY BACKTEST'!B1965</f>
        <v/>
      </c>
      <c r="C1962" s="22" t="str">
        <f>'EQUITY BACKTEST'!E1965</f>
        <v/>
      </c>
    </row>
    <row r="1963" ht="15.75" customHeight="1">
      <c r="A1963" s="22" t="str">
        <f>'EQUITY BACKTEST'!A1966</f>
        <v/>
      </c>
      <c r="B1963" s="22" t="str">
        <f>'EQUITY BACKTEST'!B1966</f>
        <v/>
      </c>
      <c r="C1963" s="22" t="str">
        <f>'EQUITY BACKTEST'!E1966</f>
        <v/>
      </c>
    </row>
    <row r="1964" ht="15.75" customHeight="1">
      <c r="A1964" s="22" t="str">
        <f>'EQUITY BACKTEST'!A1967</f>
        <v/>
      </c>
      <c r="B1964" s="22" t="str">
        <f>'EQUITY BACKTEST'!B1967</f>
        <v/>
      </c>
      <c r="C1964" s="22" t="str">
        <f>'EQUITY BACKTEST'!E1967</f>
        <v/>
      </c>
    </row>
    <row r="1965" ht="15.75" customHeight="1">
      <c r="A1965" s="22" t="str">
        <f>'EQUITY BACKTEST'!A1968</f>
        <v/>
      </c>
      <c r="B1965" s="22" t="str">
        <f>'EQUITY BACKTEST'!B1968</f>
        <v/>
      </c>
      <c r="C1965" s="22" t="str">
        <f>'EQUITY BACKTEST'!E1968</f>
        <v/>
      </c>
    </row>
    <row r="1966" ht="15.75" customHeight="1">
      <c r="A1966" s="22" t="str">
        <f>'EQUITY BACKTEST'!A1969</f>
        <v/>
      </c>
      <c r="B1966" s="22" t="str">
        <f>'EQUITY BACKTEST'!B1969</f>
        <v/>
      </c>
      <c r="C1966" s="22" t="str">
        <f>'EQUITY BACKTEST'!E1969</f>
        <v/>
      </c>
    </row>
    <row r="1967" ht="15.75" customHeight="1">
      <c r="A1967" s="22" t="str">
        <f>'EQUITY BACKTEST'!A1970</f>
        <v/>
      </c>
      <c r="B1967" s="22" t="str">
        <f>'EQUITY BACKTEST'!B1970</f>
        <v/>
      </c>
      <c r="C1967" s="22" t="str">
        <f>'EQUITY BACKTEST'!E1970</f>
        <v/>
      </c>
    </row>
    <row r="1968" ht="15.75" customHeight="1">
      <c r="A1968" s="22" t="str">
        <f>'EQUITY BACKTEST'!A1971</f>
        <v/>
      </c>
      <c r="B1968" s="22" t="str">
        <f>'EQUITY BACKTEST'!B1971</f>
        <v/>
      </c>
      <c r="C1968" s="22" t="str">
        <f>'EQUITY BACKTEST'!E1971</f>
        <v/>
      </c>
    </row>
    <row r="1969" ht="15.75" customHeight="1">
      <c r="A1969" s="22" t="str">
        <f>'EQUITY BACKTEST'!A1972</f>
        <v/>
      </c>
      <c r="B1969" s="22" t="str">
        <f>'EQUITY BACKTEST'!B1972</f>
        <v/>
      </c>
      <c r="C1969" s="22" t="str">
        <f>'EQUITY BACKTEST'!E1972</f>
        <v/>
      </c>
    </row>
    <row r="1970" ht="15.75" customHeight="1">
      <c r="A1970" s="22" t="str">
        <f>'EQUITY BACKTEST'!A1973</f>
        <v/>
      </c>
      <c r="B1970" s="22" t="str">
        <f>'EQUITY BACKTEST'!B1973</f>
        <v/>
      </c>
      <c r="C1970" s="22" t="str">
        <f>'EQUITY BACKTEST'!E1973</f>
        <v/>
      </c>
    </row>
    <row r="1971" ht="15.75" customHeight="1">
      <c r="A1971" s="22" t="str">
        <f>'EQUITY BACKTEST'!A1974</f>
        <v/>
      </c>
      <c r="B1971" s="22" t="str">
        <f>'EQUITY BACKTEST'!B1974</f>
        <v/>
      </c>
      <c r="C1971" s="22" t="str">
        <f>'EQUITY BACKTEST'!E1974</f>
        <v/>
      </c>
    </row>
    <row r="1972" ht="15.75" customHeight="1">
      <c r="A1972" s="22" t="str">
        <f>'EQUITY BACKTEST'!A1975</f>
        <v/>
      </c>
      <c r="B1972" s="22" t="str">
        <f>'EQUITY BACKTEST'!B1975</f>
        <v/>
      </c>
      <c r="C1972" s="22" t="str">
        <f>'EQUITY BACKTEST'!E1975</f>
        <v/>
      </c>
    </row>
    <row r="1973" ht="15.75" customHeight="1">
      <c r="A1973" s="22" t="str">
        <f>'EQUITY BACKTEST'!A1976</f>
        <v/>
      </c>
      <c r="B1973" s="22" t="str">
        <f>'EQUITY BACKTEST'!B1976</f>
        <v/>
      </c>
      <c r="C1973" s="22" t="str">
        <f>'EQUITY BACKTEST'!E1976</f>
        <v/>
      </c>
    </row>
    <row r="1974" ht="15.75" customHeight="1">
      <c r="A1974" s="22" t="str">
        <f>'EQUITY BACKTEST'!A1977</f>
        <v/>
      </c>
      <c r="B1974" s="22" t="str">
        <f>'EQUITY BACKTEST'!B1977</f>
        <v/>
      </c>
      <c r="C1974" s="22" t="str">
        <f>'EQUITY BACKTEST'!E1977</f>
        <v/>
      </c>
    </row>
    <row r="1975" ht="15.75" customHeight="1">
      <c r="A1975" s="22" t="str">
        <f>'EQUITY BACKTEST'!A1978</f>
        <v/>
      </c>
      <c r="B1975" s="22" t="str">
        <f>'EQUITY BACKTEST'!B1978</f>
        <v/>
      </c>
      <c r="C1975" s="22" t="str">
        <f>'EQUITY BACKTEST'!E1978</f>
        <v/>
      </c>
    </row>
    <row r="1976" ht="15.75" customHeight="1">
      <c r="A1976" s="22" t="str">
        <f>'EQUITY BACKTEST'!A1979</f>
        <v/>
      </c>
      <c r="B1976" s="22" t="str">
        <f>'EQUITY BACKTEST'!B1979</f>
        <v/>
      </c>
      <c r="C1976" s="22" t="str">
        <f>'EQUITY BACKTEST'!E1979</f>
        <v/>
      </c>
    </row>
    <row r="1977" ht="15.75" customHeight="1">
      <c r="A1977" s="22" t="str">
        <f>'EQUITY BACKTEST'!A1980</f>
        <v/>
      </c>
      <c r="B1977" s="22" t="str">
        <f>'EQUITY BACKTEST'!B1980</f>
        <v/>
      </c>
      <c r="C1977" s="22" t="str">
        <f>'EQUITY BACKTEST'!E1980</f>
        <v/>
      </c>
    </row>
    <row r="1978" ht="15.75" customHeight="1">
      <c r="A1978" s="22" t="str">
        <f>'EQUITY BACKTEST'!A1981</f>
        <v/>
      </c>
      <c r="B1978" s="22" t="str">
        <f>'EQUITY BACKTEST'!B1981</f>
        <v/>
      </c>
      <c r="C1978" s="22" t="str">
        <f>'EQUITY BACKTEST'!E1981</f>
        <v/>
      </c>
    </row>
    <row r="1979" ht="15.75" customHeight="1">
      <c r="A1979" s="22" t="str">
        <f>'EQUITY BACKTEST'!A1982</f>
        <v/>
      </c>
      <c r="B1979" s="22" t="str">
        <f>'EQUITY BACKTEST'!B1982</f>
        <v/>
      </c>
      <c r="C1979" s="22" t="str">
        <f>'EQUITY BACKTEST'!E1982</f>
        <v/>
      </c>
    </row>
    <row r="1980" ht="15.75" customHeight="1">
      <c r="A1980" s="22" t="str">
        <f>'EQUITY BACKTEST'!A1983</f>
        <v/>
      </c>
      <c r="B1980" s="22" t="str">
        <f>'EQUITY BACKTEST'!B1983</f>
        <v/>
      </c>
      <c r="C1980" s="22" t="str">
        <f>'EQUITY BACKTEST'!E1983</f>
        <v/>
      </c>
    </row>
    <row r="1981" ht="15.75" customHeight="1">
      <c r="A1981" s="22" t="str">
        <f>'EQUITY BACKTEST'!A1984</f>
        <v/>
      </c>
      <c r="B1981" s="22" t="str">
        <f>'EQUITY BACKTEST'!B1984</f>
        <v/>
      </c>
      <c r="C1981" s="22" t="str">
        <f>'EQUITY BACKTEST'!E1984</f>
        <v/>
      </c>
    </row>
    <row r="1982" ht="15.75" customHeight="1">
      <c r="A1982" s="22" t="str">
        <f>'EQUITY BACKTEST'!A1985</f>
        <v/>
      </c>
      <c r="B1982" s="22" t="str">
        <f>'EQUITY BACKTEST'!B1985</f>
        <v/>
      </c>
      <c r="C1982" s="22" t="str">
        <f>'EQUITY BACKTEST'!E1985</f>
        <v/>
      </c>
    </row>
    <row r="1983" ht="15.75" customHeight="1">
      <c r="A1983" s="22" t="str">
        <f>'EQUITY BACKTEST'!A1986</f>
        <v/>
      </c>
      <c r="B1983" s="22" t="str">
        <f>'EQUITY BACKTEST'!B1986</f>
        <v/>
      </c>
      <c r="C1983" s="22" t="str">
        <f>'EQUITY BACKTEST'!E1986</f>
        <v/>
      </c>
    </row>
    <row r="1984" ht="15.75" customHeight="1">
      <c r="A1984" s="22" t="str">
        <f>'EQUITY BACKTEST'!A1987</f>
        <v/>
      </c>
      <c r="B1984" s="22" t="str">
        <f>'EQUITY BACKTEST'!B1987</f>
        <v/>
      </c>
      <c r="C1984" s="22" t="str">
        <f>'EQUITY BACKTEST'!E1987</f>
        <v/>
      </c>
    </row>
    <row r="1985" ht="15.75" customHeight="1">
      <c r="A1985" s="22" t="str">
        <f>'EQUITY BACKTEST'!A1988</f>
        <v/>
      </c>
      <c r="B1985" s="22" t="str">
        <f>'EQUITY BACKTEST'!B1988</f>
        <v/>
      </c>
      <c r="C1985" s="22" t="str">
        <f>'EQUITY BACKTEST'!E1988</f>
        <v/>
      </c>
    </row>
    <row r="1986" ht="15.75" customHeight="1">
      <c r="A1986" s="22" t="str">
        <f>'EQUITY BACKTEST'!A1989</f>
        <v/>
      </c>
      <c r="B1986" s="22" t="str">
        <f>'EQUITY BACKTEST'!B1989</f>
        <v/>
      </c>
      <c r="C1986" s="22" t="str">
        <f>'EQUITY BACKTEST'!E1989</f>
        <v/>
      </c>
    </row>
    <row r="1987" ht="15.75" customHeight="1">
      <c r="A1987" s="22" t="str">
        <f>'EQUITY BACKTEST'!A1990</f>
        <v/>
      </c>
      <c r="B1987" s="22" t="str">
        <f>'EQUITY BACKTEST'!B1990</f>
        <v/>
      </c>
      <c r="C1987" s="22" t="str">
        <f>'EQUITY BACKTEST'!E1990</f>
        <v/>
      </c>
    </row>
    <row r="1988" ht="15.75" customHeight="1">
      <c r="A1988" s="22" t="str">
        <f>'EQUITY BACKTEST'!A1991</f>
        <v/>
      </c>
      <c r="B1988" s="22" t="str">
        <f>'EQUITY BACKTEST'!B1991</f>
        <v/>
      </c>
      <c r="C1988" s="22" t="str">
        <f>'EQUITY BACKTEST'!E1991</f>
        <v/>
      </c>
    </row>
    <row r="1989" ht="15.75" customHeight="1">
      <c r="A1989" s="22" t="str">
        <f>'EQUITY BACKTEST'!A1992</f>
        <v/>
      </c>
      <c r="B1989" s="22" t="str">
        <f>'EQUITY BACKTEST'!B1992</f>
        <v/>
      </c>
      <c r="C1989" s="22" t="str">
        <f>'EQUITY BACKTEST'!E1992</f>
        <v/>
      </c>
    </row>
    <row r="1990" ht="15.75" customHeight="1">
      <c r="A1990" s="22" t="str">
        <f>'EQUITY BACKTEST'!A1993</f>
        <v/>
      </c>
      <c r="B1990" s="22" t="str">
        <f>'EQUITY BACKTEST'!B1993</f>
        <v/>
      </c>
      <c r="C1990" s="22" t="str">
        <f>'EQUITY BACKTEST'!E1993</f>
        <v/>
      </c>
    </row>
    <row r="1991" ht="15.75" customHeight="1">
      <c r="A1991" s="22" t="str">
        <f>'EQUITY BACKTEST'!A1994</f>
        <v/>
      </c>
      <c r="B1991" s="22" t="str">
        <f>'EQUITY BACKTEST'!B1994</f>
        <v/>
      </c>
      <c r="C1991" s="22" t="str">
        <f>'EQUITY BACKTEST'!E1994</f>
        <v/>
      </c>
    </row>
    <row r="1992" ht="15.75" customHeight="1">
      <c r="A1992" s="22" t="str">
        <f>'EQUITY BACKTEST'!A1995</f>
        <v/>
      </c>
      <c r="B1992" s="22" t="str">
        <f>'EQUITY BACKTEST'!B1995</f>
        <v/>
      </c>
      <c r="C1992" s="22" t="str">
        <f>'EQUITY BACKTEST'!E1995</f>
        <v/>
      </c>
    </row>
    <row r="1993" ht="15.75" customHeight="1">
      <c r="A1993" s="22" t="str">
        <f>'EQUITY BACKTEST'!A1996</f>
        <v/>
      </c>
      <c r="B1993" s="22" t="str">
        <f>'EQUITY BACKTEST'!B1996</f>
        <v/>
      </c>
      <c r="C1993" s="22" t="str">
        <f>'EQUITY BACKTEST'!E1996</f>
        <v/>
      </c>
    </row>
    <row r="1994" ht="15.75" customHeight="1">
      <c r="A1994" s="22" t="str">
        <f>'EQUITY BACKTEST'!A1997</f>
        <v/>
      </c>
      <c r="B1994" s="22" t="str">
        <f>'EQUITY BACKTEST'!B1997</f>
        <v/>
      </c>
      <c r="C1994" s="22" t="str">
        <f>'EQUITY BACKTEST'!E1997</f>
        <v/>
      </c>
    </row>
    <row r="1995" ht="15.75" customHeight="1">
      <c r="A1995" s="22" t="str">
        <f>'EQUITY BACKTEST'!A1998</f>
        <v/>
      </c>
      <c r="B1995" s="22" t="str">
        <f>'EQUITY BACKTEST'!B1998</f>
        <v/>
      </c>
      <c r="C1995" s="22" t="str">
        <f>'EQUITY BACKTEST'!E1998</f>
        <v/>
      </c>
    </row>
    <row r="1996" ht="15.75" customHeight="1">
      <c r="A1996" s="22" t="str">
        <f>'EQUITY BACKTEST'!A1999</f>
        <v/>
      </c>
      <c r="B1996" s="22" t="str">
        <f>'EQUITY BACKTEST'!B1999</f>
        <v/>
      </c>
      <c r="C1996" s="22" t="str">
        <f>'EQUITY BACKTEST'!E1999</f>
        <v/>
      </c>
    </row>
    <row r="1997" ht="15.75" customHeight="1">
      <c r="A1997" s="22" t="str">
        <f>'EQUITY BACKTEST'!A2000</f>
        <v/>
      </c>
      <c r="B1997" s="22" t="str">
        <f>'EQUITY BACKTEST'!B2000</f>
        <v/>
      </c>
      <c r="C1997" s="22" t="str">
        <f>'EQUITY BACKTEST'!E2000</f>
        <v/>
      </c>
    </row>
    <row r="1998" ht="15.75" customHeight="1">
      <c r="A1998" s="22" t="str">
        <f>'EQUITY BACKTEST'!A2001</f>
        <v/>
      </c>
      <c r="B1998" s="22" t="str">
        <f>'EQUITY BACKTEST'!B2001</f>
        <v/>
      </c>
      <c r="C1998" s="22" t="str">
        <f>'EQUITY BACKTEST'!E2001</f>
        <v/>
      </c>
    </row>
    <row r="1999" ht="15.75" customHeight="1">
      <c r="A1999" s="22" t="str">
        <f>'EQUITY BACKTEST'!A2002</f>
        <v/>
      </c>
      <c r="B1999" s="22" t="str">
        <f>'EQUITY BACKTEST'!B2002</f>
        <v/>
      </c>
      <c r="C1999" s="22" t="str">
        <f>'EQUITY BACKTEST'!E2002</f>
        <v/>
      </c>
    </row>
    <row r="2000" ht="15.75" customHeight="1">
      <c r="A2000" s="22" t="str">
        <f>'EQUITY BACKTEST'!A2003</f>
        <v/>
      </c>
      <c r="B2000" s="22" t="str">
        <f>'EQUITY BACKTEST'!B2003</f>
        <v/>
      </c>
      <c r="C2000" s="22" t="str">
        <f>'EQUITY BACKTEST'!E2003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9.0"/>
    <col customWidth="1" min="6" max="6" width="20.75"/>
    <col customWidth="1" min="7" max="7" width="24.0"/>
  </cols>
  <sheetData>
    <row r="1" ht="15.75" customHeight="1">
      <c r="A1" s="22" t="str">
        <f>'EQUITY BACKTEST'!A4</f>
        <v>Date</v>
      </c>
      <c r="B1" s="22" t="s">
        <v>96</v>
      </c>
      <c r="C1" s="22" t="s">
        <v>166</v>
      </c>
      <c r="D1" s="22" t="s">
        <v>167</v>
      </c>
      <c r="E1" s="22" t="s">
        <v>168</v>
      </c>
      <c r="F1" s="22" t="s">
        <v>175</v>
      </c>
      <c r="G1" s="22" t="s">
        <v>170</v>
      </c>
      <c r="H1" s="22" t="s">
        <v>171</v>
      </c>
      <c r="I1" s="22" t="s">
        <v>97</v>
      </c>
      <c r="J1" s="22"/>
      <c r="K1" s="22">
        <v>-0.1</v>
      </c>
    </row>
    <row r="2" ht="15.75" customHeight="1">
      <c r="A2" s="32">
        <f>'EQUITY BACKTEST'!A5</f>
        <v>36160.66667</v>
      </c>
      <c r="B2" s="22">
        <f>'EQUITY BACKTEST'!B5</f>
        <v>1229.4</v>
      </c>
      <c r="C2" s="22">
        <f>1/'EQUITY BACKTEST'!E5</f>
        <v>0.8561643836</v>
      </c>
      <c r="D2" s="22">
        <f t="shared" ref="D2:D1343" si="1">CORREL($B2:$B54,$C2:$C54)</f>
        <v>0.8712497596</v>
      </c>
    </row>
    <row r="3" ht="15.75" customHeight="1">
      <c r="A3" s="32">
        <f>'EQUITY BACKTEST'!A6</f>
        <v>36168.66667</v>
      </c>
      <c r="B3" s="22">
        <f>'EQUITY BACKTEST'!B6</f>
        <v>1275.09</v>
      </c>
      <c r="C3" s="22">
        <f>1/'EQUITY BACKTEST'!E6</f>
        <v>0.8635578584</v>
      </c>
      <c r="D3" s="22">
        <f t="shared" si="1"/>
        <v>0.865017727</v>
      </c>
      <c r="E3" s="22">
        <f t="shared" ref="E3:F3" si="2">IF(A3&lt;&gt;"", (B3 - B2) / B2, "")</f>
        <v>0.03716447047</v>
      </c>
      <c r="F3" s="22">
        <f t="shared" si="2"/>
        <v>0.008635578584</v>
      </c>
      <c r="H3" s="22" t="str">
        <f t="shared" ref="H3:H1343" si="4">IF(E3 &lt; $K$1, "Crash", "")</f>
        <v/>
      </c>
      <c r="K3" s="42"/>
    </row>
    <row r="4" ht="15.75" customHeight="1">
      <c r="A4" s="32">
        <f>'EQUITY BACKTEST'!A7</f>
        <v>36174.66667</v>
      </c>
      <c r="B4" s="22">
        <f>'EQUITY BACKTEST'!B7</f>
        <v>1212.19</v>
      </c>
      <c r="C4" s="22">
        <f>1/'EQUITY BACKTEST'!E7</f>
        <v>0.8650519031</v>
      </c>
      <c r="D4" s="22">
        <f t="shared" si="1"/>
        <v>0.8816996324</v>
      </c>
      <c r="E4" s="22">
        <f t="shared" ref="E4:F4" si="3">IF(A4&lt;&gt;"", (B4 - B3) / B3, "")</f>
        <v>-0.04932985123</v>
      </c>
      <c r="F4" s="22">
        <f t="shared" si="3"/>
        <v>0.001730103806</v>
      </c>
      <c r="H4" s="22" t="str">
        <f t="shared" si="4"/>
        <v/>
      </c>
    </row>
    <row r="5" ht="15.75" customHeight="1">
      <c r="A5" s="32">
        <f>'EQUITY BACKTEST'!A8</f>
        <v>36182.66667</v>
      </c>
      <c r="B5" s="22">
        <f>'EQUITY BACKTEST'!B8</f>
        <v>1225.19</v>
      </c>
      <c r="C5" s="22">
        <f>1/'EQUITY BACKTEST'!E8</f>
        <v>0.8631851532</v>
      </c>
      <c r="D5" s="22">
        <f t="shared" si="1"/>
        <v>0.8785696938</v>
      </c>
      <c r="E5" s="22">
        <f t="shared" ref="E5:F5" si="5">IF(A5&lt;&gt;"", (B5 - B4) / B4, "")</f>
        <v>0.01072439139</v>
      </c>
      <c r="F5" s="22">
        <f t="shared" si="5"/>
        <v>-0.002157962883</v>
      </c>
      <c r="H5" s="22" t="str">
        <f t="shared" si="4"/>
        <v/>
      </c>
    </row>
    <row r="6" ht="15.75" customHeight="1">
      <c r="A6" s="32">
        <f>'EQUITY BACKTEST'!A9</f>
        <v>36189.66667</v>
      </c>
      <c r="B6" s="22">
        <f>'EQUITY BACKTEST'!B9</f>
        <v>1279.64</v>
      </c>
      <c r="C6" s="22">
        <f>1/'EQUITY BACKTEST'!E9</f>
        <v>0.8798944127</v>
      </c>
      <c r="D6" s="22">
        <f t="shared" si="1"/>
        <v>0.8330696341</v>
      </c>
      <c r="E6" s="22">
        <f t="shared" ref="E6:F6" si="6">IF(A6&lt;&gt;"", (B6 - B5) / B5, "")</f>
        <v>0.04444208653</v>
      </c>
      <c r="F6" s="22">
        <f t="shared" si="6"/>
        <v>0.01935767708</v>
      </c>
      <c r="H6" s="22" t="str">
        <f t="shared" si="4"/>
        <v/>
      </c>
    </row>
    <row r="7" ht="15.75" customHeight="1">
      <c r="A7" s="32">
        <f>'EQUITY BACKTEST'!A10</f>
        <v>36196.66667</v>
      </c>
      <c r="B7" s="22">
        <f>'EQUITY BACKTEST'!B10</f>
        <v>1239.4</v>
      </c>
      <c r="C7" s="22">
        <f>1/'EQUITY BACKTEST'!E10</f>
        <v>0.8883361464</v>
      </c>
      <c r="D7" s="22">
        <f t="shared" si="1"/>
        <v>0.8411839998</v>
      </c>
      <c r="E7" s="22">
        <f t="shared" ref="E7:F7" si="7">IF(A7&lt;&gt;"", (B7 - B6) / B6, "")</f>
        <v>-0.03144634428</v>
      </c>
      <c r="F7" s="22">
        <f t="shared" si="7"/>
        <v>0.009594030381</v>
      </c>
      <c r="H7" s="22" t="str">
        <f t="shared" si="4"/>
        <v/>
      </c>
      <c r="J7" s="22">
        <f>IFERROR(__xludf.DUMMYFUNCTION("CORREL(FILTER(E2:E2000, H2:H2000=""Crash""), FILTER(F2:F2000, H2:H2000=""Crash""))"),-0.4109594087850636)</f>
        <v>-0.4109594088</v>
      </c>
    </row>
    <row r="8" ht="15.75" customHeight="1">
      <c r="A8" s="32">
        <f>'EQUITY BACKTEST'!A11</f>
        <v>36203.66667</v>
      </c>
      <c r="B8" s="22">
        <f>'EQUITY BACKTEST'!B11</f>
        <v>1230.14</v>
      </c>
      <c r="C8" s="22">
        <f>1/'EQUITY BACKTEST'!E11</f>
        <v>0.8847208706</v>
      </c>
      <c r="D8" s="22">
        <f t="shared" si="1"/>
        <v>0.8206513585</v>
      </c>
      <c r="E8" s="22">
        <f t="shared" ref="E8:F8" si="8">IF(A8&lt;&gt;"", (B8 - B7) / B7, "")</f>
        <v>-0.007471357108</v>
      </c>
      <c r="F8" s="22">
        <f t="shared" si="8"/>
        <v>-0.004069716005</v>
      </c>
      <c r="H8" s="22" t="str">
        <f t="shared" si="4"/>
        <v/>
      </c>
    </row>
    <row r="9" ht="15.75" customHeight="1">
      <c r="A9" s="32">
        <f>'EQUITY BACKTEST'!A12</f>
        <v>36210.66667</v>
      </c>
      <c r="B9" s="22">
        <f>'EQUITY BACKTEST'!B12</f>
        <v>1239.16</v>
      </c>
      <c r="C9" s="22">
        <f>1/'EQUITY BACKTEST'!E12</f>
        <v>0.9045680687</v>
      </c>
      <c r="D9" s="22">
        <f t="shared" si="1"/>
        <v>0.770340948</v>
      </c>
      <c r="E9" s="22">
        <f t="shared" ref="E9:F9" si="9">IF(A9&lt;&gt;"", (B9 - B8) / B8, "")</f>
        <v>0.00733249874</v>
      </c>
      <c r="F9" s="22">
        <f t="shared" si="9"/>
        <v>0.0224332881</v>
      </c>
      <c r="H9" s="22" t="str">
        <f t="shared" si="4"/>
        <v/>
      </c>
    </row>
    <row r="10" ht="15.75" customHeight="1">
      <c r="A10" s="32">
        <f>'EQUITY BACKTEST'!A13</f>
        <v>36217.66667</v>
      </c>
      <c r="B10" s="22">
        <f>'EQUITY BACKTEST'!B13</f>
        <v>1238.33</v>
      </c>
      <c r="C10" s="22">
        <f>1/'EQUITY BACKTEST'!E13</f>
        <v>0.9072763564</v>
      </c>
      <c r="D10" s="22">
        <f t="shared" si="1"/>
        <v>0.7002876442</v>
      </c>
      <c r="E10" s="22">
        <f t="shared" ref="E10:F10" si="10">IF(A10&lt;&gt;"", (B10 - B9) / B9, "")</f>
        <v>-0.00066980858</v>
      </c>
      <c r="F10" s="22">
        <f t="shared" si="10"/>
        <v>0.002994011976</v>
      </c>
      <c r="H10" s="22" t="str">
        <f t="shared" si="4"/>
        <v/>
      </c>
    </row>
    <row r="11" ht="15.75" customHeight="1">
      <c r="A11" s="32">
        <f>'EQUITY BACKTEST'!A14</f>
        <v>36224.66667</v>
      </c>
      <c r="B11" s="22">
        <f>'EQUITY BACKTEST'!B14</f>
        <v>1275.46</v>
      </c>
      <c r="C11" s="22">
        <f>1/'EQUITY BACKTEST'!E14</f>
        <v>0.9246417013</v>
      </c>
      <c r="D11" s="22">
        <f t="shared" si="1"/>
        <v>0.67664925</v>
      </c>
      <c r="E11" s="22">
        <f t="shared" ref="E11:F11" si="11">IF(A11&lt;&gt;"", (B11 - B10) / B10, "")</f>
        <v>0.02998392997</v>
      </c>
      <c r="F11" s="22">
        <f t="shared" si="11"/>
        <v>0.01914008322</v>
      </c>
      <c r="H11" s="22" t="str">
        <f t="shared" si="4"/>
        <v/>
      </c>
    </row>
    <row r="12" ht="15.75" customHeight="1">
      <c r="A12" s="32">
        <f>'EQUITY BACKTEST'!A15</f>
        <v>36231.66667</v>
      </c>
      <c r="B12" s="22">
        <f>'EQUITY BACKTEST'!B15</f>
        <v>1294.59</v>
      </c>
      <c r="C12" s="22">
        <f>1/'EQUITY BACKTEST'!E15</f>
        <v>0.9174311927</v>
      </c>
      <c r="D12" s="22">
        <f t="shared" si="1"/>
        <v>0.6579092022</v>
      </c>
      <c r="E12" s="22">
        <f t="shared" ref="E12:F12" si="12">IF(A12&lt;&gt;"", (B12 - B11) / B11, "")</f>
        <v>0.01499851034</v>
      </c>
      <c r="F12" s="22">
        <f t="shared" si="12"/>
        <v>-0.007798165138</v>
      </c>
      <c r="H12" s="22" t="str">
        <f t="shared" si="4"/>
        <v/>
      </c>
    </row>
    <row r="13" ht="15.75" customHeight="1">
      <c r="A13" s="32">
        <f>'EQUITY BACKTEST'!A16</f>
        <v>36238.66667</v>
      </c>
      <c r="B13" s="22">
        <f>'EQUITY BACKTEST'!B16</f>
        <v>1299.29</v>
      </c>
      <c r="C13" s="22">
        <f>1/'EQUITY BACKTEST'!E16</f>
        <v>0.9185266832</v>
      </c>
      <c r="D13" s="22">
        <f t="shared" si="1"/>
        <v>0.6715154292</v>
      </c>
      <c r="E13" s="22">
        <f t="shared" ref="E13:F13" si="13">IF(A13&lt;&gt;"", (B13 - B12) / B12, "")</f>
        <v>0.003630493052</v>
      </c>
      <c r="F13" s="22">
        <f t="shared" si="13"/>
        <v>0.001194084688</v>
      </c>
      <c r="H13" s="22" t="str">
        <f t="shared" si="4"/>
        <v/>
      </c>
    </row>
    <row r="14" ht="15.75" customHeight="1">
      <c r="A14" s="32">
        <f>'EQUITY BACKTEST'!A17</f>
        <v>36245.66667</v>
      </c>
      <c r="B14" s="22">
        <f>'EQUITY BACKTEST'!B17</f>
        <v>1282.8</v>
      </c>
      <c r="C14" s="22">
        <f>1/'EQUITY BACKTEST'!E17</f>
        <v>0.9291953169</v>
      </c>
      <c r="D14" s="22">
        <f t="shared" si="1"/>
        <v>0.6836369115</v>
      </c>
      <c r="E14" s="22">
        <f t="shared" ref="E14:F14" si="14">IF(A14&lt;&gt;"", (B14 - B13) / B13, "")</f>
        <v>-0.01269154692</v>
      </c>
      <c r="F14" s="22">
        <f t="shared" si="14"/>
        <v>0.01161494146</v>
      </c>
      <c r="H14" s="22" t="str">
        <f t="shared" si="4"/>
        <v/>
      </c>
    </row>
    <row r="15" ht="15.75" customHeight="1">
      <c r="A15" s="32">
        <f>'EQUITY BACKTEST'!A18</f>
        <v>36251.66667</v>
      </c>
      <c r="B15" s="22">
        <f>'EQUITY BACKTEST'!B18</f>
        <v>1293.77</v>
      </c>
      <c r="C15" s="22">
        <f>1/'EQUITY BACKTEST'!E18</f>
        <v>0.9272997033</v>
      </c>
      <c r="D15" s="22">
        <f t="shared" si="1"/>
        <v>0.7030939848</v>
      </c>
      <c r="E15" s="22">
        <f t="shared" ref="E15:F15" si="15">IF(A15&lt;&gt;"", (B15 - B14) / B14, "")</f>
        <v>0.008551605862</v>
      </c>
      <c r="F15" s="22">
        <f t="shared" si="15"/>
        <v>-0.002040059347</v>
      </c>
      <c r="H15" s="22" t="str">
        <f t="shared" si="4"/>
        <v/>
      </c>
    </row>
    <row r="16" ht="15.75" customHeight="1">
      <c r="A16" s="32">
        <f>'EQUITY BACKTEST'!A19</f>
        <v>36259.66667</v>
      </c>
      <c r="B16" s="22">
        <f>'EQUITY BACKTEST'!B19</f>
        <v>1348.35</v>
      </c>
      <c r="C16" s="22">
        <f>1/'EQUITY BACKTEST'!E19</f>
        <v>0.9266123054</v>
      </c>
      <c r="D16" s="22">
        <f t="shared" si="1"/>
        <v>0.7220753348</v>
      </c>
      <c r="E16" s="22">
        <f t="shared" ref="E16:F16" si="16">IF(A16&lt;&gt;"", (B16 - B15) / B15, "")</f>
        <v>0.04218678745</v>
      </c>
      <c r="F16" s="22">
        <f t="shared" si="16"/>
        <v>-0.0007412898443</v>
      </c>
      <c r="H16" s="22" t="str">
        <f t="shared" si="4"/>
        <v/>
      </c>
    </row>
    <row r="17" ht="15.75" customHeight="1">
      <c r="A17" s="32">
        <f>'EQUITY BACKTEST'!A20</f>
        <v>36266.66667</v>
      </c>
      <c r="B17" s="22">
        <f>'EQUITY BACKTEST'!B20</f>
        <v>1318.77</v>
      </c>
      <c r="C17" s="22">
        <f>1/'EQUITY BACKTEST'!E20</f>
        <v>0.9349289454</v>
      </c>
      <c r="D17" s="22">
        <f t="shared" si="1"/>
        <v>0.690268006</v>
      </c>
      <c r="E17" s="22">
        <f t="shared" ref="E17:F17" si="17">IF(A17&lt;&gt;"", (B17 - B16) / B16, "")</f>
        <v>-0.02193792413</v>
      </c>
      <c r="F17" s="22">
        <f t="shared" si="17"/>
        <v>0.008975317876</v>
      </c>
      <c r="H17" s="22" t="str">
        <f t="shared" si="4"/>
        <v/>
      </c>
    </row>
    <row r="18" ht="15.75" customHeight="1">
      <c r="A18" s="32">
        <f>'EQUITY BACKTEST'!A21</f>
        <v>36273.66667</v>
      </c>
      <c r="B18" s="22">
        <f>'EQUITY BACKTEST'!B21</f>
        <v>1356.8</v>
      </c>
      <c r="C18" s="22">
        <f>1/'EQUITY BACKTEST'!E21</f>
        <v>0.942951438</v>
      </c>
      <c r="D18" s="22">
        <f t="shared" si="1"/>
        <v>0.6829486763</v>
      </c>
      <c r="E18" s="22">
        <f t="shared" ref="E18:F18" si="18">IF(A18&lt;&gt;"", (B18 - B17) / B17, "")</f>
        <v>0.02883747735</v>
      </c>
      <c r="F18" s="22">
        <f t="shared" si="18"/>
        <v>0.008580858086</v>
      </c>
      <c r="H18" s="22" t="str">
        <f t="shared" si="4"/>
        <v/>
      </c>
    </row>
    <row r="19" ht="15.75" customHeight="1">
      <c r="A19" s="32">
        <f>'EQUITY BACKTEST'!A22</f>
        <v>36280.66667</v>
      </c>
      <c r="B19" s="22">
        <f>'EQUITY BACKTEST'!B22</f>
        <v>1335.18</v>
      </c>
      <c r="C19" s="22">
        <f>1/'EQUITY BACKTEST'!E22</f>
        <v>0.9461633078</v>
      </c>
      <c r="D19" s="22">
        <f t="shared" si="1"/>
        <v>0.6827996921</v>
      </c>
      <c r="E19" s="22">
        <f t="shared" ref="E19:F19" si="19">IF(A19&lt;&gt;"", (B19 - B18) / B18, "")</f>
        <v>-0.01593455189</v>
      </c>
      <c r="F19" s="22">
        <f t="shared" si="19"/>
        <v>0.003406187908</v>
      </c>
      <c r="H19" s="22" t="str">
        <f t="shared" si="4"/>
        <v/>
      </c>
    </row>
    <row r="20" ht="15.75" customHeight="1">
      <c r="A20" s="32">
        <f>'EQUITY BACKTEST'!A23</f>
        <v>36287.66667</v>
      </c>
      <c r="B20" s="22">
        <f>'EQUITY BACKTEST'!B23</f>
        <v>1345</v>
      </c>
      <c r="C20" s="22">
        <f>1/'EQUITY BACKTEST'!E23</f>
        <v>0.929800093</v>
      </c>
      <c r="D20" s="22">
        <f t="shared" si="1"/>
        <v>0.6623089995</v>
      </c>
      <c r="E20" s="22">
        <f t="shared" ref="E20:F20" si="20">IF(A20&lt;&gt;"", (B20 - B19) / B19, "")</f>
        <v>0.007354813583</v>
      </c>
      <c r="F20" s="22">
        <f t="shared" si="20"/>
        <v>-0.01729428173</v>
      </c>
      <c r="H20" s="22" t="str">
        <f t="shared" si="4"/>
        <v/>
      </c>
    </row>
    <row r="21" ht="15.75" customHeight="1">
      <c r="A21" s="32">
        <f>'EQUITY BACKTEST'!A24</f>
        <v>36294.66667</v>
      </c>
      <c r="B21" s="22">
        <f>'EQUITY BACKTEST'!B24</f>
        <v>1337.8</v>
      </c>
      <c r="C21" s="22">
        <f>1/'EQUITY BACKTEST'!E24</f>
        <v>0.9385265134</v>
      </c>
      <c r="D21" s="22">
        <f t="shared" si="1"/>
        <v>0.6526218141</v>
      </c>
      <c r="E21" s="22">
        <f t="shared" ref="E21:F21" si="21">IF(A21&lt;&gt;"", (B21 - B20) / B20, "")</f>
        <v>-0.005353159851</v>
      </c>
      <c r="F21" s="22">
        <f t="shared" si="21"/>
        <v>0.009385265134</v>
      </c>
      <c r="H21" s="22" t="str">
        <f t="shared" si="4"/>
        <v/>
      </c>
    </row>
    <row r="22" ht="15.75" customHeight="1">
      <c r="A22" s="32">
        <f>'EQUITY BACKTEST'!A25</f>
        <v>36301.66667</v>
      </c>
      <c r="B22" s="22">
        <f>'EQUITY BACKTEST'!B25</f>
        <v>1330.29</v>
      </c>
      <c r="C22" s="22">
        <f>1/'EQUITY BACKTEST'!E25</f>
        <v>0.9444654326</v>
      </c>
      <c r="D22" s="22">
        <f t="shared" si="1"/>
        <v>0.6225218538</v>
      </c>
      <c r="E22" s="22">
        <f t="shared" ref="E22:F22" si="22">IF(A22&lt;&gt;"", (B22 - B21) / B21, "")</f>
        <v>-0.005613694125</v>
      </c>
      <c r="F22" s="22">
        <f t="shared" si="22"/>
        <v>0.006327918398</v>
      </c>
      <c r="H22" s="22" t="str">
        <f t="shared" si="4"/>
        <v/>
      </c>
    </row>
    <row r="23" ht="15.75" customHeight="1">
      <c r="A23" s="32">
        <f>'EQUITY BACKTEST'!A26</f>
        <v>36308.66667</v>
      </c>
      <c r="B23" s="22">
        <f>'EQUITY BACKTEST'!B26</f>
        <v>1301.85</v>
      </c>
      <c r="C23" s="22">
        <f>1/'EQUITY BACKTEST'!E26</f>
        <v>0.9589566552</v>
      </c>
      <c r="D23" s="22">
        <f t="shared" si="1"/>
        <v>0.5982598333</v>
      </c>
      <c r="E23" s="22">
        <f t="shared" ref="E23:F23" si="23">IF(A23&lt;&gt;"", (B23 - B22) / B22, "")</f>
        <v>-0.0213787971</v>
      </c>
      <c r="F23" s="22">
        <f t="shared" si="23"/>
        <v>0.01534330648</v>
      </c>
      <c r="H23" s="22" t="str">
        <f t="shared" si="4"/>
        <v/>
      </c>
    </row>
    <row r="24" ht="15.75" customHeight="1">
      <c r="A24" s="32">
        <f>'EQUITY BACKTEST'!A27</f>
        <v>36315.66667</v>
      </c>
      <c r="B24" s="22">
        <f>'EQUITY BACKTEST'!B27</f>
        <v>1327.4</v>
      </c>
      <c r="C24" s="22">
        <f>1/'EQUITY BACKTEST'!E27</f>
        <v>0.964041261</v>
      </c>
      <c r="D24" s="22">
        <f t="shared" si="1"/>
        <v>0.6081909298</v>
      </c>
      <c r="E24" s="22">
        <f t="shared" ref="E24:F24" si="24">IF(A24&lt;&gt;"", (B24 - B23) / B23, "")</f>
        <v>0.01962591696</v>
      </c>
      <c r="F24" s="22">
        <f t="shared" si="24"/>
        <v>0.005302226935</v>
      </c>
      <c r="H24" s="22" t="str">
        <f t="shared" si="4"/>
        <v/>
      </c>
    </row>
    <row r="25" ht="15.75" customHeight="1">
      <c r="A25" s="32">
        <f>'EQUITY BACKTEST'!A28</f>
        <v>36322.66667</v>
      </c>
      <c r="B25" s="22">
        <f>'EQUITY BACKTEST'!B28</f>
        <v>1293.67</v>
      </c>
      <c r="C25" s="22">
        <f>1/'EQUITY BACKTEST'!E28</f>
        <v>0.9516558812</v>
      </c>
      <c r="D25" s="22">
        <f t="shared" si="1"/>
        <v>0.6131863795</v>
      </c>
      <c r="E25" s="22">
        <f t="shared" ref="E25:F25" si="25">IF(A25&lt;&gt;"", (B25 - B24) / B24, "")</f>
        <v>-0.02541057707</v>
      </c>
      <c r="F25" s="22">
        <f t="shared" si="25"/>
        <v>-0.0128473544</v>
      </c>
      <c r="H25" s="22" t="str">
        <f t="shared" si="4"/>
        <v/>
      </c>
    </row>
    <row r="26" ht="15.75" customHeight="1">
      <c r="A26" s="32">
        <f>'EQUITY BACKTEST'!A29</f>
        <v>36329.66667</v>
      </c>
      <c r="B26" s="22">
        <f>'EQUITY BACKTEST'!B29</f>
        <v>1342.84</v>
      </c>
      <c r="C26" s="22">
        <f>1/'EQUITY BACKTEST'!E29</f>
        <v>0.962000962</v>
      </c>
      <c r="D26" s="22">
        <f t="shared" si="1"/>
        <v>0.6116632577</v>
      </c>
      <c r="E26" s="22">
        <f t="shared" ref="E26:F26" si="26">IF(A26&lt;&gt;"", (B26 - B25) / B25, "")</f>
        <v>0.03800814736</v>
      </c>
      <c r="F26" s="22">
        <f t="shared" si="26"/>
        <v>0.01087061087</v>
      </c>
      <c r="H26" s="22" t="str">
        <f t="shared" si="4"/>
        <v/>
      </c>
    </row>
    <row r="27" ht="15.75" customHeight="1">
      <c r="A27" s="32">
        <f>'EQUITY BACKTEST'!A30</f>
        <v>36336.66667</v>
      </c>
      <c r="B27" s="22">
        <f>'EQUITY BACKTEST'!B30</f>
        <v>1315.31</v>
      </c>
      <c r="C27" s="22">
        <f>1/'EQUITY BACKTEST'!E30</f>
        <v>0.9589566552</v>
      </c>
      <c r="D27" s="22">
        <f t="shared" si="1"/>
        <v>0.6128899569</v>
      </c>
      <c r="E27" s="22">
        <f t="shared" ref="E27:F27" si="27">IF(A27&lt;&gt;"", (B27 - B26) / B26, "")</f>
        <v>-0.02050132555</v>
      </c>
      <c r="F27" s="22">
        <f t="shared" si="27"/>
        <v>-0.003164556962</v>
      </c>
      <c r="H27" s="22" t="str">
        <f t="shared" si="4"/>
        <v/>
      </c>
    </row>
    <row r="28" ht="15.75" customHeight="1">
      <c r="A28" s="32">
        <f>'EQUITY BACKTEST'!A31</f>
        <v>36343.66667</v>
      </c>
      <c r="B28" s="22">
        <f>'EQUITY BACKTEST'!B31</f>
        <v>1391.22</v>
      </c>
      <c r="C28" s="22">
        <f>1/'EQUITY BACKTEST'!E31</f>
        <v>0.9761811792</v>
      </c>
      <c r="D28" s="22">
        <f t="shared" si="1"/>
        <v>0.6128134517</v>
      </c>
      <c r="E28" s="22">
        <f t="shared" ref="E28:F28" si="28">IF(A28&lt;&gt;"", (B28 - B27) / B27, "")</f>
        <v>0.05771263048</v>
      </c>
      <c r="F28" s="22">
        <f t="shared" si="28"/>
        <v>0.0179617337</v>
      </c>
      <c r="H28" s="22" t="str">
        <f t="shared" si="4"/>
        <v/>
      </c>
    </row>
    <row r="29" ht="15.75" customHeight="1">
      <c r="A29" s="32">
        <f>'EQUITY BACKTEST'!A32</f>
        <v>36350.66667</v>
      </c>
      <c r="B29" s="22">
        <f>'EQUITY BACKTEST'!B32</f>
        <v>1403.28</v>
      </c>
      <c r="C29" s="22">
        <f>1/'EQUITY BACKTEST'!E32</f>
        <v>0.9808729769</v>
      </c>
      <c r="D29" s="22">
        <f t="shared" si="1"/>
        <v>0.6228873019</v>
      </c>
      <c r="E29" s="22">
        <f t="shared" ref="E29:F29" si="29">IF(A29&lt;&gt;"", (B29 - B28) / B28, "")</f>
        <v>0.008668650537</v>
      </c>
      <c r="F29" s="22">
        <f t="shared" si="29"/>
        <v>0.004806277587</v>
      </c>
      <c r="H29" s="22" t="str">
        <f t="shared" si="4"/>
        <v/>
      </c>
    </row>
    <row r="30" ht="15.75" customHeight="1">
      <c r="A30" s="32">
        <f>'EQUITY BACKTEST'!A33</f>
        <v>36357.66667</v>
      </c>
      <c r="B30" s="22">
        <f>'EQUITY BACKTEST'!B33</f>
        <v>1418.78</v>
      </c>
      <c r="C30" s="22">
        <f>1/'EQUITY BACKTEST'!E33</f>
        <v>0.9809691976</v>
      </c>
      <c r="D30" s="22">
        <f t="shared" si="1"/>
        <v>0.6377339162</v>
      </c>
      <c r="E30" s="22">
        <f t="shared" ref="E30:F30" si="30">IF(A30&lt;&gt;"", (B30 - B29) / B29, "")</f>
        <v>0.01104555042</v>
      </c>
      <c r="F30" s="22">
        <f t="shared" si="30"/>
        <v>0.00009809691976</v>
      </c>
      <c r="H30" s="22" t="str">
        <f t="shared" si="4"/>
        <v/>
      </c>
    </row>
    <row r="31" ht="15.75" customHeight="1">
      <c r="A31" s="32">
        <f>'EQUITY BACKTEST'!A34</f>
        <v>36364.66667</v>
      </c>
      <c r="B31" s="22">
        <f>'EQUITY BACKTEST'!B34</f>
        <v>1356.94</v>
      </c>
      <c r="C31" s="22">
        <f>1/'EQUITY BACKTEST'!E34</f>
        <v>0.9503896598</v>
      </c>
      <c r="D31" s="22">
        <f t="shared" si="1"/>
        <v>0.6514265806</v>
      </c>
      <c r="E31" s="22">
        <f t="shared" ref="E31:F31" si="31">IF(A31&lt;&gt;"", (B31 - B30) / B30, "")</f>
        <v>-0.04358674354</v>
      </c>
      <c r="F31" s="22">
        <f t="shared" si="31"/>
        <v>-0.03117278084</v>
      </c>
      <c r="H31" s="22" t="str">
        <f t="shared" si="4"/>
        <v/>
      </c>
    </row>
    <row r="32" ht="15.75" customHeight="1">
      <c r="A32" s="32">
        <f>'EQUITY BACKTEST'!A35</f>
        <v>36371.66667</v>
      </c>
      <c r="B32" s="22">
        <f>'EQUITY BACKTEST'!B35</f>
        <v>1328.72</v>
      </c>
      <c r="C32" s="22">
        <f>1/'EQUITY BACKTEST'!E35</f>
        <v>0.9341429239</v>
      </c>
      <c r="D32" s="22">
        <f t="shared" si="1"/>
        <v>0.6412167076</v>
      </c>
      <c r="E32" s="22">
        <f t="shared" ref="E32:F32" si="32">IF(A32&lt;&gt;"", (B32 - B31) / B31, "")</f>
        <v>-0.02079679278</v>
      </c>
      <c r="F32" s="22">
        <f t="shared" si="32"/>
        <v>-0.01709481551</v>
      </c>
      <c r="H32" s="22" t="str">
        <f t="shared" si="4"/>
        <v/>
      </c>
    </row>
    <row r="33" ht="15.75" customHeight="1">
      <c r="A33" s="32">
        <f>'EQUITY BACKTEST'!A36</f>
        <v>36378.66667</v>
      </c>
      <c r="B33" s="22">
        <f>'EQUITY BACKTEST'!B36</f>
        <v>1300.33</v>
      </c>
      <c r="C33" s="22">
        <f>1/'EQUITY BACKTEST'!E36</f>
        <v>0.9320533134</v>
      </c>
      <c r="D33" s="22">
        <f t="shared" si="1"/>
        <v>0.636585504</v>
      </c>
      <c r="E33" s="22">
        <f t="shared" ref="E33:F33" si="33">IF(A33&lt;&gt;"", (B33 - B32) / B32, "")</f>
        <v>-0.02136642784</v>
      </c>
      <c r="F33" s="22">
        <f t="shared" si="33"/>
        <v>-0.002236927952</v>
      </c>
      <c r="H33" s="22" t="str">
        <f t="shared" si="4"/>
        <v/>
      </c>
    </row>
    <row r="34" ht="15.75" customHeight="1">
      <c r="A34" s="32">
        <f>'EQUITY BACKTEST'!A37</f>
        <v>36385.66667</v>
      </c>
      <c r="B34" s="22">
        <f>'EQUITY BACKTEST'!B37</f>
        <v>1327.68</v>
      </c>
      <c r="C34" s="22">
        <f>1/'EQUITY BACKTEST'!E37</f>
        <v>0.9461633078</v>
      </c>
      <c r="D34" s="22">
        <f t="shared" si="1"/>
        <v>0.6278263957</v>
      </c>
      <c r="E34" s="22">
        <f t="shared" ref="E34:F34" si="34">IF(A34&lt;&gt;"", (B34 - B33) / B33, "")</f>
        <v>0.02103312236</v>
      </c>
      <c r="F34" s="22">
        <f t="shared" si="34"/>
        <v>0.01513861292</v>
      </c>
      <c r="H34" s="22" t="str">
        <f t="shared" si="4"/>
        <v/>
      </c>
    </row>
    <row r="35" ht="15.75" customHeight="1">
      <c r="A35" s="32">
        <f>'EQUITY BACKTEST'!A38</f>
        <v>36392.66667</v>
      </c>
      <c r="B35" s="22">
        <f>'EQUITY BACKTEST'!B38</f>
        <v>1336.61</v>
      </c>
      <c r="C35" s="22">
        <f>1/'EQUITY BACKTEST'!E38</f>
        <v>0.9368559116</v>
      </c>
      <c r="D35" s="22">
        <f t="shared" si="1"/>
        <v>0.6296077409</v>
      </c>
      <c r="E35" s="22">
        <f t="shared" ref="E35:F35" si="35">IF(A35&lt;&gt;"", (B35 - B34) / B34, "")</f>
        <v>0.006726018318</v>
      </c>
      <c r="F35" s="22">
        <f t="shared" si="35"/>
        <v>-0.009836987071</v>
      </c>
      <c r="H35" s="22" t="str">
        <f t="shared" si="4"/>
        <v/>
      </c>
    </row>
    <row r="36" ht="15.75" customHeight="1">
      <c r="A36" s="32">
        <f>'EQUITY BACKTEST'!A39</f>
        <v>36399.66667</v>
      </c>
      <c r="B36" s="22">
        <f>'EQUITY BACKTEST'!B39</f>
        <v>1348.27</v>
      </c>
      <c r="C36" s="22">
        <f>1/'EQUITY BACKTEST'!E39</f>
        <v>0.9557488292</v>
      </c>
      <c r="D36" s="22">
        <f t="shared" si="1"/>
        <v>0.6337240257</v>
      </c>
      <c r="E36" s="22">
        <f t="shared" ref="E36:F36" si="36">IF(A36&lt;&gt;"", (B36 - B35) / B35, "")</f>
        <v>0.008723561847</v>
      </c>
      <c r="F36" s="22">
        <f t="shared" si="36"/>
        <v>0.0201663003</v>
      </c>
      <c r="H36" s="22" t="str">
        <f t="shared" si="4"/>
        <v/>
      </c>
    </row>
    <row r="37" ht="15.75" customHeight="1">
      <c r="A37" s="32">
        <f>'EQUITY BACKTEST'!A40</f>
        <v>36406.66667</v>
      </c>
      <c r="B37" s="22">
        <f>'EQUITY BACKTEST'!B40</f>
        <v>1357.24</v>
      </c>
      <c r="C37" s="22">
        <f>1/'EQUITY BACKTEST'!E40</f>
        <v>0.9426847662</v>
      </c>
      <c r="D37" s="22">
        <f t="shared" si="1"/>
        <v>0.6428664684</v>
      </c>
      <c r="E37" s="22">
        <f t="shared" ref="E37:F37" si="37">IF(A37&lt;&gt;"", (B37 - B36) / B36, "")</f>
        <v>0.006652970102</v>
      </c>
      <c r="F37" s="22">
        <f t="shared" si="37"/>
        <v>-0.01366892911</v>
      </c>
      <c r="H37" s="22" t="str">
        <f t="shared" si="4"/>
        <v/>
      </c>
    </row>
    <row r="38" ht="15.75" customHeight="1">
      <c r="A38" s="32">
        <f>'EQUITY BACKTEST'!A41</f>
        <v>36413.66667</v>
      </c>
      <c r="B38" s="22">
        <f>'EQUITY BACKTEST'!B41</f>
        <v>1351.66</v>
      </c>
      <c r="C38" s="22">
        <f>1/'EQUITY BACKTEST'!E41</f>
        <v>0.9649715333</v>
      </c>
      <c r="D38" s="22">
        <f t="shared" si="1"/>
        <v>0.6449180115</v>
      </c>
      <c r="E38" s="22">
        <f t="shared" ref="E38:F38" si="38">IF(A38&lt;&gt;"", (B38 - B37) / B37, "")</f>
        <v>-0.004111284666</v>
      </c>
      <c r="F38" s="22">
        <f t="shared" si="38"/>
        <v>0.02364180257</v>
      </c>
      <c r="H38" s="22" t="str">
        <f t="shared" si="4"/>
        <v/>
      </c>
    </row>
    <row r="39" ht="15.75" customHeight="1">
      <c r="A39" s="32">
        <f>'EQUITY BACKTEST'!A42</f>
        <v>36420.66667</v>
      </c>
      <c r="B39" s="22">
        <f>'EQUITY BACKTEST'!B42</f>
        <v>1335.42</v>
      </c>
      <c r="C39" s="22">
        <f>1/'EQUITY BACKTEST'!E42</f>
        <v>0.9596928983</v>
      </c>
      <c r="D39" s="22">
        <f t="shared" si="1"/>
        <v>0.6286208843</v>
      </c>
      <c r="E39" s="22">
        <f t="shared" ref="E39:F39" si="39">IF(A39&lt;&gt;"", (B39 - B38) / B38, "")</f>
        <v>-0.01201485581</v>
      </c>
      <c r="F39" s="22">
        <f t="shared" si="39"/>
        <v>-0.00547024952</v>
      </c>
      <c r="H39" s="22" t="str">
        <f t="shared" si="4"/>
        <v/>
      </c>
    </row>
    <row r="40" ht="15.75" customHeight="1">
      <c r="A40" s="32">
        <f>'EQUITY BACKTEST'!A43</f>
        <v>36427.66667</v>
      </c>
      <c r="B40" s="22">
        <f>'EQUITY BACKTEST'!B43</f>
        <v>1277.36</v>
      </c>
      <c r="C40" s="22">
        <f>1/'EQUITY BACKTEST'!E43</f>
        <v>0.9587727709</v>
      </c>
      <c r="D40" s="22">
        <f t="shared" si="1"/>
        <v>0.6092207071</v>
      </c>
      <c r="E40" s="22">
        <f t="shared" ref="E40:F40" si="40">IF(A40&lt;&gt;"", (B40 - B39) / B39, "")</f>
        <v>-0.04347695856</v>
      </c>
      <c r="F40" s="22">
        <f t="shared" si="40"/>
        <v>-0.0009587727709</v>
      </c>
      <c r="H40" s="22" t="str">
        <f t="shared" si="4"/>
        <v/>
      </c>
    </row>
    <row r="41" ht="15.75" customHeight="1">
      <c r="A41" s="32">
        <f>'EQUITY BACKTEST'!A44</f>
        <v>36434.66667</v>
      </c>
      <c r="B41" s="22">
        <f>'EQUITY BACKTEST'!B44</f>
        <v>1282.81</v>
      </c>
      <c r="C41" s="22">
        <f>1/'EQUITY BACKTEST'!E44</f>
        <v>0.9320533134</v>
      </c>
      <c r="D41" s="22">
        <f t="shared" si="1"/>
        <v>0.5827085135</v>
      </c>
      <c r="E41" s="22">
        <f t="shared" ref="E41:F41" si="41">IF(A41&lt;&gt;"", (B41 - B40) / B40, "")</f>
        <v>0.004266612388</v>
      </c>
      <c r="F41" s="22">
        <f t="shared" si="41"/>
        <v>-0.02786839407</v>
      </c>
      <c r="H41" s="22" t="str">
        <f t="shared" si="4"/>
        <v/>
      </c>
    </row>
    <row r="42" ht="15.75" customHeight="1">
      <c r="A42" s="32">
        <f>'EQUITY BACKTEST'!A45</f>
        <v>36441.66667</v>
      </c>
      <c r="B42" s="22">
        <f>'EQUITY BACKTEST'!B45</f>
        <v>1336.02</v>
      </c>
      <c r="C42" s="22">
        <f>1/'EQUITY BACKTEST'!E45</f>
        <v>0.9410878976</v>
      </c>
      <c r="D42" s="22">
        <f t="shared" si="1"/>
        <v>0.5163331224</v>
      </c>
      <c r="E42" s="22">
        <f t="shared" ref="E42:F42" si="42">IF(A42&lt;&gt;"", (B42 - B41) / B41, "")</f>
        <v>0.04147925258</v>
      </c>
      <c r="F42" s="22">
        <f t="shared" si="42"/>
        <v>0.009693205345</v>
      </c>
      <c r="H42" s="22" t="str">
        <f t="shared" si="4"/>
        <v/>
      </c>
    </row>
    <row r="43" ht="15.75" customHeight="1">
      <c r="A43" s="32">
        <f>'EQUITY BACKTEST'!A46</f>
        <v>36448.66667</v>
      </c>
      <c r="B43" s="22">
        <f>'EQUITY BACKTEST'!B46</f>
        <v>1247.41</v>
      </c>
      <c r="C43" s="22">
        <f>1/'EQUITY BACKTEST'!E46</f>
        <v>0.9211495947</v>
      </c>
      <c r="D43" s="22">
        <f t="shared" si="1"/>
        <v>0.425971103</v>
      </c>
      <c r="E43" s="22">
        <f t="shared" ref="E43:F43" si="43">IF(A43&lt;&gt;"", (B43 - B42) / B42, "")</f>
        <v>-0.06632385743</v>
      </c>
      <c r="F43" s="22">
        <f t="shared" si="43"/>
        <v>-0.02118644068</v>
      </c>
      <c r="H43" s="22" t="str">
        <f t="shared" si="4"/>
        <v/>
      </c>
    </row>
    <row r="44" ht="15.75" customHeight="1">
      <c r="A44" s="32">
        <f>'EQUITY BACKTEST'!A47</f>
        <v>36455.66667</v>
      </c>
      <c r="B44" s="22">
        <f>'EQUITY BACKTEST'!B47</f>
        <v>1301.65</v>
      </c>
      <c r="C44" s="22">
        <f>1/'EQUITY BACKTEST'!E47</f>
        <v>0.9347541597</v>
      </c>
      <c r="D44" s="22">
        <f t="shared" si="1"/>
        <v>0.296176348</v>
      </c>
      <c r="E44" s="22">
        <f t="shared" ref="E44:F44" si="44">IF(A44&lt;&gt;"", (B44 - B43) / B43, "")</f>
        <v>0.0434820949</v>
      </c>
      <c r="F44" s="22">
        <f t="shared" si="44"/>
        <v>0.01476911572</v>
      </c>
      <c r="H44" s="22" t="str">
        <f t="shared" si="4"/>
        <v/>
      </c>
    </row>
    <row r="45" ht="15.75" customHeight="1">
      <c r="A45" s="32">
        <f>'EQUITY BACKTEST'!A48</f>
        <v>36462.66667</v>
      </c>
      <c r="B45" s="22">
        <f>'EQUITY BACKTEST'!B48</f>
        <v>1362.93</v>
      </c>
      <c r="C45" s="22">
        <f>1/'EQUITY BACKTEST'!E48</f>
        <v>0.9494872769</v>
      </c>
      <c r="D45" s="22">
        <f t="shared" si="1"/>
        <v>0.1579085132</v>
      </c>
      <c r="E45" s="22">
        <f t="shared" ref="E45:F45" si="45">IF(A45&lt;&gt;"", (B45 - B44) / B44, "")</f>
        <v>0.04707870779</v>
      </c>
      <c r="F45" s="22">
        <f t="shared" si="45"/>
        <v>0.0157614888</v>
      </c>
      <c r="H45" s="22" t="str">
        <f t="shared" si="4"/>
        <v/>
      </c>
    </row>
    <row r="46" ht="15.75" customHeight="1">
      <c r="A46" s="32">
        <f>'EQUITY BACKTEST'!A49</f>
        <v>36469.66667</v>
      </c>
      <c r="B46" s="22">
        <f>'EQUITY BACKTEST'!B49</f>
        <v>1370.22</v>
      </c>
      <c r="C46" s="22">
        <f>1/'EQUITY BACKTEST'!E49</f>
        <v>0.9576709443</v>
      </c>
      <c r="D46" s="22">
        <f t="shared" si="1"/>
        <v>0.1032366385</v>
      </c>
      <c r="E46" s="22">
        <f t="shared" ref="E46:F46" si="46">IF(A46&lt;&gt;"", (B46 - B45) / B45, "")</f>
        <v>0.005348770663</v>
      </c>
      <c r="F46" s="22">
        <f t="shared" si="46"/>
        <v>0.008619038498</v>
      </c>
      <c r="H46" s="22" t="str">
        <f t="shared" si="4"/>
        <v/>
      </c>
    </row>
    <row r="47" ht="15.75" customHeight="1">
      <c r="A47" s="32">
        <f>'EQUITY BACKTEST'!A50</f>
        <v>36476.66667</v>
      </c>
      <c r="B47" s="22">
        <f>'EQUITY BACKTEST'!B50</f>
        <v>1396.04</v>
      </c>
      <c r="C47" s="22">
        <f>1/'EQUITY BACKTEST'!E50</f>
        <v>0.9692740138</v>
      </c>
      <c r="D47" s="22">
        <f t="shared" si="1"/>
        <v>0.009518638252</v>
      </c>
      <c r="E47" s="22">
        <f t="shared" ref="E47:F47" si="47">IF(A47&lt;&gt;"", (B47 - B46) / B46, "")</f>
        <v>0.01884368933</v>
      </c>
      <c r="F47" s="22">
        <f t="shared" si="47"/>
        <v>0.01211592517</v>
      </c>
      <c r="H47" s="22" t="str">
        <f t="shared" si="4"/>
        <v/>
      </c>
    </row>
    <row r="48" ht="15.75" customHeight="1">
      <c r="A48" s="32">
        <f>'EQUITY BACKTEST'!A51</f>
        <v>36482.66667</v>
      </c>
      <c r="B48" s="22">
        <f>'EQUITY BACKTEST'!B51</f>
        <v>1424.93</v>
      </c>
      <c r="C48" s="22">
        <f>1/'EQUITY BACKTEST'!E51</f>
        <v>0.9712509713</v>
      </c>
      <c r="D48" s="22">
        <f t="shared" si="1"/>
        <v>-0.06469854179</v>
      </c>
      <c r="E48" s="22">
        <f t="shared" ref="E48:F48" si="48">IF(A48&lt;&gt;"", (B48 - B47) / B47, "")</f>
        <v>0.02069424945</v>
      </c>
      <c r="F48" s="22">
        <f t="shared" si="48"/>
        <v>0.00203962704</v>
      </c>
      <c r="H48" s="22" t="str">
        <f t="shared" si="4"/>
        <v/>
      </c>
    </row>
    <row r="49" ht="15.75" customHeight="1">
      <c r="A49" s="32">
        <f>'EQUITY BACKTEST'!A52</f>
        <v>36490.66667</v>
      </c>
      <c r="B49" s="22">
        <f>'EQUITY BACKTEST'!B52</f>
        <v>1416.62</v>
      </c>
      <c r="C49" s="22">
        <f>1/'EQUITY BACKTEST'!E52</f>
        <v>0.9832841691</v>
      </c>
      <c r="D49" s="22">
        <f t="shared" si="1"/>
        <v>-0.1402118528</v>
      </c>
      <c r="E49" s="22">
        <f t="shared" ref="E49:F49" si="49">IF(A49&lt;&gt;"", (B49 - B48) / B48, "")</f>
        <v>-0.005831865425</v>
      </c>
      <c r="F49" s="22">
        <f t="shared" si="49"/>
        <v>0.01238938053</v>
      </c>
      <c r="H49" s="22" t="str">
        <f t="shared" si="4"/>
        <v/>
      </c>
    </row>
    <row r="50" ht="15.75" customHeight="1">
      <c r="A50" s="32">
        <f>'EQUITY BACKTEST'!A53</f>
        <v>36497.66667</v>
      </c>
      <c r="B50" s="22">
        <f>'EQUITY BACKTEST'!B53</f>
        <v>1433.3</v>
      </c>
      <c r="C50" s="22">
        <f>1/'EQUITY BACKTEST'!E53</f>
        <v>0.9971083857</v>
      </c>
      <c r="D50" s="22">
        <f t="shared" si="1"/>
        <v>-0.1887961837</v>
      </c>
      <c r="E50" s="22">
        <f t="shared" ref="E50:F50" si="50">IF(A50&lt;&gt;"", (B50 - B49) / B49, "")</f>
        <v>0.01177450551</v>
      </c>
      <c r="F50" s="22">
        <f t="shared" si="50"/>
        <v>0.01405922824</v>
      </c>
      <c r="H50" s="22" t="str">
        <f t="shared" si="4"/>
        <v/>
      </c>
    </row>
    <row r="51" ht="15.75" customHeight="1">
      <c r="A51" s="32">
        <f>'EQUITY BACKTEST'!A54</f>
        <v>36504.66667</v>
      </c>
      <c r="B51" s="22">
        <f>'EQUITY BACKTEST'!B54</f>
        <v>1417.04</v>
      </c>
      <c r="C51" s="22">
        <f>1/'EQUITY BACKTEST'!E54</f>
        <v>0.9871668312</v>
      </c>
      <c r="D51" s="22">
        <f t="shared" si="1"/>
        <v>-0.2060514591</v>
      </c>
      <c r="E51" s="22">
        <f t="shared" ref="E51:F51" si="51">IF(A51&lt;&gt;"", (B51 - B50) / B50, "")</f>
        <v>-0.01134444987</v>
      </c>
      <c r="F51" s="22">
        <f t="shared" si="51"/>
        <v>-0.009970384995</v>
      </c>
      <c r="H51" s="22" t="str">
        <f t="shared" si="4"/>
        <v/>
      </c>
    </row>
    <row r="52" ht="15.75" customHeight="1">
      <c r="A52" s="32">
        <f>'EQUITY BACKTEST'!A55</f>
        <v>36511.66667</v>
      </c>
      <c r="B52" s="22">
        <f>'EQUITY BACKTEST'!B55</f>
        <v>1421.06</v>
      </c>
      <c r="C52" s="22">
        <f>1/'EQUITY BACKTEST'!E55</f>
        <v>0.9928514694</v>
      </c>
      <c r="D52" s="22">
        <f t="shared" si="1"/>
        <v>-0.2330821976</v>
      </c>
      <c r="E52" s="22">
        <f t="shared" ref="E52:F52" si="52">IF(A52&lt;&gt;"", (B52 - B51) / B51, "")</f>
        <v>0.002836899452</v>
      </c>
      <c r="F52" s="22">
        <f t="shared" si="52"/>
        <v>0.005758538523</v>
      </c>
      <c r="H52" s="22" t="str">
        <f t="shared" si="4"/>
        <v/>
      </c>
    </row>
    <row r="53" ht="15.75" customHeight="1">
      <c r="A53" s="32">
        <f>'EQUITY BACKTEST'!A56</f>
        <v>36517.66667</v>
      </c>
      <c r="B53" s="22">
        <f>'EQUITY BACKTEST'!B56</f>
        <v>1458.34</v>
      </c>
      <c r="C53" s="22">
        <f>1/'EQUITY BACKTEST'!E56</f>
        <v>0.98697197</v>
      </c>
      <c r="D53" s="22">
        <f t="shared" si="1"/>
        <v>-0.2318989688</v>
      </c>
      <c r="E53" s="22">
        <f t="shared" ref="E53:F53" si="53">IF(A53&lt;&gt;"", (B53 - B52) / B52, "")</f>
        <v>0.02623393805</v>
      </c>
      <c r="F53" s="22">
        <f t="shared" si="53"/>
        <v>-0.00592183182</v>
      </c>
      <c r="H53" s="22" t="str">
        <f t="shared" si="4"/>
        <v/>
      </c>
    </row>
    <row r="54" ht="15.75" customHeight="1">
      <c r="A54" s="32">
        <f>'EQUITY BACKTEST'!A57</f>
        <v>36525.66667</v>
      </c>
      <c r="B54" s="22">
        <f>'EQUITY BACKTEST'!B57</f>
        <v>1469.25</v>
      </c>
      <c r="C54" s="22">
        <f>1/'EQUITY BACKTEST'!E57</f>
        <v>0.994925878</v>
      </c>
      <c r="D54" s="22">
        <f t="shared" si="1"/>
        <v>-0.2017148645</v>
      </c>
      <c r="E54" s="22">
        <f t="shared" ref="E54:F54" si="54">IF(A54&lt;&gt;"", (B54 - B53) / B53, "")</f>
        <v>0.007481108658</v>
      </c>
      <c r="F54" s="22">
        <f t="shared" si="54"/>
        <v>0.008058899612</v>
      </c>
      <c r="H54" s="22" t="str">
        <f t="shared" si="4"/>
        <v/>
      </c>
    </row>
    <row r="55" ht="15.75" customHeight="1">
      <c r="A55" s="32">
        <f>'EQUITY BACKTEST'!A58</f>
        <v>36532.66667</v>
      </c>
      <c r="B55" s="22">
        <f>'EQUITY BACKTEST'!B58</f>
        <v>1441.46</v>
      </c>
      <c r="C55" s="22">
        <f>1/'EQUITY BACKTEST'!E58</f>
        <v>0.9712509713</v>
      </c>
      <c r="D55" s="22">
        <f t="shared" si="1"/>
        <v>-0.1498951968</v>
      </c>
      <c r="E55" s="22">
        <f t="shared" ref="E55:F55" si="55">IF(A55&lt;&gt;"", (B55 - B54) / B54, "")</f>
        <v>-0.01891441212</v>
      </c>
      <c r="F55" s="22">
        <f t="shared" si="55"/>
        <v>-0.0237956488</v>
      </c>
      <c r="H55" s="22" t="str">
        <f t="shared" si="4"/>
        <v/>
      </c>
    </row>
    <row r="56" ht="15.75" customHeight="1">
      <c r="A56" s="32">
        <f>'EQUITY BACKTEST'!A59</f>
        <v>36539.66667</v>
      </c>
      <c r="B56" s="22">
        <f>'EQUITY BACKTEST'!B59</f>
        <v>1465.16</v>
      </c>
      <c r="C56" s="22">
        <f>1/'EQUITY BACKTEST'!E59</f>
        <v>0.9881422925</v>
      </c>
      <c r="D56" s="22">
        <f t="shared" si="1"/>
        <v>-0.1174013522</v>
      </c>
      <c r="E56" s="22">
        <f t="shared" ref="E56:F56" si="56">IF(A56&lt;&gt;"", (B56 - B55) / B55, "")</f>
        <v>0.01644166331</v>
      </c>
      <c r="F56" s="22">
        <f t="shared" si="56"/>
        <v>0.01739130435</v>
      </c>
      <c r="H56" s="22" t="str">
        <f t="shared" si="4"/>
        <v/>
      </c>
    </row>
    <row r="57" ht="15.75" customHeight="1">
      <c r="A57" s="32">
        <f>'EQUITY BACKTEST'!A60</f>
        <v>36546.66667</v>
      </c>
      <c r="B57" s="22">
        <f>'EQUITY BACKTEST'!B60</f>
        <v>1441.35</v>
      </c>
      <c r="C57" s="22">
        <f>1/'EQUITY BACKTEST'!E60</f>
        <v>0.9915716411</v>
      </c>
      <c r="D57" s="22">
        <f t="shared" si="1"/>
        <v>-0.08641785678</v>
      </c>
      <c r="E57" s="22">
        <f t="shared" ref="E57:F57" si="57">IF(A57&lt;&gt;"", (B57 - B56) / B56, "")</f>
        <v>-0.0162507849</v>
      </c>
      <c r="F57" s="22">
        <f t="shared" si="57"/>
        <v>0.003470500744</v>
      </c>
      <c r="H57" s="22" t="str">
        <f t="shared" si="4"/>
        <v/>
      </c>
    </row>
    <row r="58" ht="15.75" customHeight="1">
      <c r="A58" s="32">
        <f>'EQUITY BACKTEST'!A61</f>
        <v>36553.66667</v>
      </c>
      <c r="B58" s="22">
        <f>'EQUITY BACKTEST'!B61</f>
        <v>1360.15</v>
      </c>
      <c r="C58" s="22">
        <f>1/'EQUITY BACKTEST'!E61</f>
        <v>1.025115325</v>
      </c>
      <c r="D58" s="22">
        <f t="shared" si="1"/>
        <v>-0.07229570191</v>
      </c>
      <c r="E58" s="22">
        <f t="shared" ref="E58:F58" si="58">IF(A58&lt;&gt;"", (B58 - B57) / B57, "")</f>
        <v>-0.05633607382</v>
      </c>
      <c r="F58" s="22">
        <f t="shared" si="58"/>
        <v>0.03382880574</v>
      </c>
      <c r="H58" s="22" t="str">
        <f t="shared" si="4"/>
        <v/>
      </c>
    </row>
    <row r="59" ht="15.75" customHeight="1">
      <c r="A59" s="32">
        <f>'EQUITY BACKTEST'!A62</f>
        <v>36560.66667</v>
      </c>
      <c r="B59" s="22">
        <f>'EQUITY BACKTEST'!B62</f>
        <v>1424.37</v>
      </c>
      <c r="C59" s="22">
        <f>1/'EQUITY BACKTEST'!E62</f>
        <v>1.018122582</v>
      </c>
      <c r="D59" s="22">
        <f t="shared" si="1"/>
        <v>-0.08600326951</v>
      </c>
      <c r="E59" s="22">
        <f t="shared" ref="E59:F59" si="59">IF(A59&lt;&gt;"", (B59 - B58) / B58, "")</f>
        <v>0.04721538066</v>
      </c>
      <c r="F59" s="22">
        <f t="shared" si="59"/>
        <v>-0.006821421299</v>
      </c>
      <c r="H59" s="22" t="str">
        <f t="shared" si="4"/>
        <v/>
      </c>
    </row>
    <row r="60" ht="15.75" customHeight="1">
      <c r="A60" s="32">
        <f>'EQUITY BACKTEST'!A63</f>
        <v>36567.66667</v>
      </c>
      <c r="B60" s="22">
        <f>'EQUITY BACKTEST'!B63</f>
        <v>1387.11</v>
      </c>
      <c r="C60" s="22">
        <f>1/'EQUITY BACKTEST'!E63</f>
        <v>1.012248203</v>
      </c>
      <c r="D60" s="22">
        <f t="shared" si="1"/>
        <v>-0.07631521312</v>
      </c>
      <c r="E60" s="22">
        <f t="shared" ref="E60:F60" si="60">IF(A60&lt;&gt;"", (B60 - B59) / B59, "")</f>
        <v>-0.02615893342</v>
      </c>
      <c r="F60" s="22">
        <f t="shared" si="60"/>
        <v>-0.005769814759</v>
      </c>
      <c r="H60" s="22" t="str">
        <f t="shared" si="4"/>
        <v/>
      </c>
    </row>
    <row r="61" ht="15.75" customHeight="1">
      <c r="A61" s="32">
        <f>'EQUITY BACKTEST'!A64</f>
        <v>36574.66667</v>
      </c>
      <c r="B61" s="22">
        <f>'EQUITY BACKTEST'!B64</f>
        <v>1346.07</v>
      </c>
      <c r="C61" s="22">
        <f>1/'EQUITY BACKTEST'!E64</f>
        <v>1.014919314</v>
      </c>
      <c r="D61" s="22">
        <f t="shared" si="1"/>
        <v>-0.08965540328</v>
      </c>
      <c r="E61" s="22">
        <f t="shared" ref="E61:F61" si="61">IF(A61&lt;&gt;"", (B61 - B60) / B60, "")</f>
        <v>-0.02958669464</v>
      </c>
      <c r="F61" s="22">
        <f t="shared" si="61"/>
        <v>0.002638790216</v>
      </c>
      <c r="H61" s="22" t="str">
        <f t="shared" si="4"/>
        <v/>
      </c>
    </row>
    <row r="62" ht="15.75" customHeight="1">
      <c r="A62" s="32">
        <f>'EQUITY BACKTEST'!A65</f>
        <v>36581.66667</v>
      </c>
      <c r="B62" s="22">
        <f>'EQUITY BACKTEST'!B65</f>
        <v>1333.36</v>
      </c>
      <c r="C62" s="22">
        <f>1/'EQUITY BACKTEST'!E65</f>
        <v>1.026272578</v>
      </c>
      <c r="D62" s="22">
        <f t="shared" si="1"/>
        <v>-0.1117246672</v>
      </c>
      <c r="E62" s="22">
        <f t="shared" ref="E62:F62" si="62">IF(A62&lt;&gt;"", (B62 - B61) / B61, "")</f>
        <v>-0.009442302406</v>
      </c>
      <c r="F62" s="22">
        <f t="shared" si="62"/>
        <v>0.0111863711</v>
      </c>
      <c r="H62" s="22" t="str">
        <f t="shared" si="4"/>
        <v/>
      </c>
    </row>
    <row r="63" ht="15.75" customHeight="1">
      <c r="A63" s="32">
        <f>'EQUITY BACKTEST'!A66</f>
        <v>36588.66667</v>
      </c>
      <c r="B63" s="22">
        <f>'EQUITY BACKTEST'!B66</f>
        <v>1409.17</v>
      </c>
      <c r="C63" s="22">
        <f>1/'EQUITY BACKTEST'!E66</f>
        <v>1.039717197</v>
      </c>
      <c r="D63" s="22">
        <f t="shared" si="1"/>
        <v>-0.1124086343</v>
      </c>
      <c r="E63" s="22">
        <f t="shared" ref="E63:F63" si="63">IF(A63&lt;&gt;"", (B63 - B62) / B62, "")</f>
        <v>0.05685636287</v>
      </c>
      <c r="F63" s="22">
        <f t="shared" si="63"/>
        <v>0.01310043668</v>
      </c>
      <c r="H63" s="22" t="str">
        <f t="shared" si="4"/>
        <v/>
      </c>
    </row>
    <row r="64" ht="15.75" customHeight="1">
      <c r="A64" s="32">
        <f>'EQUITY BACKTEST'!A67</f>
        <v>36595.66667</v>
      </c>
      <c r="B64" s="22">
        <f>'EQUITY BACKTEST'!B67</f>
        <v>1395.07</v>
      </c>
      <c r="C64" s="22">
        <f>1/'EQUITY BACKTEST'!E67</f>
        <v>1.03755966</v>
      </c>
      <c r="D64" s="22">
        <f t="shared" si="1"/>
        <v>-0.08517871133</v>
      </c>
      <c r="E64" s="22">
        <f t="shared" ref="E64:F64" si="64">IF(A64&lt;&gt;"", (B64 - B63) / B63, "")</f>
        <v>-0.01000588999</v>
      </c>
      <c r="F64" s="22">
        <f t="shared" si="64"/>
        <v>-0.002075119319</v>
      </c>
      <c r="H64" s="22" t="str">
        <f t="shared" si="4"/>
        <v/>
      </c>
    </row>
    <row r="65" ht="15.75" customHeight="1">
      <c r="A65" s="32">
        <f>'EQUITY BACKTEST'!A68</f>
        <v>36602.66667</v>
      </c>
      <c r="B65" s="22">
        <f>'EQUITY BACKTEST'!B68</f>
        <v>1464.47</v>
      </c>
      <c r="C65" s="22">
        <f>1/'EQUITY BACKTEST'!E68</f>
        <v>1.030184403</v>
      </c>
      <c r="D65" s="22">
        <f t="shared" si="1"/>
        <v>-0.1045764</v>
      </c>
      <c r="E65" s="22">
        <f t="shared" ref="E65:F65" si="65">IF(A65&lt;&gt;"", (B65 - B64) / B64, "")</f>
        <v>0.0497466077</v>
      </c>
      <c r="F65" s="22">
        <f t="shared" si="65"/>
        <v>-0.007108272381</v>
      </c>
      <c r="H65" s="22" t="str">
        <f t="shared" si="4"/>
        <v/>
      </c>
    </row>
    <row r="66" ht="15.75" customHeight="1">
      <c r="A66" s="32">
        <f>'EQUITY BACKTEST'!A69</f>
        <v>36609.66667</v>
      </c>
      <c r="B66" s="22">
        <f>'EQUITY BACKTEST'!B69</f>
        <v>1527.54</v>
      </c>
      <c r="C66" s="22">
        <f>1/'EQUITY BACKTEST'!E69</f>
        <v>1.023541453</v>
      </c>
      <c r="D66" s="22">
        <f t="shared" si="1"/>
        <v>-0.1087409896</v>
      </c>
      <c r="E66" s="22">
        <f t="shared" ref="E66:F66" si="66">IF(A66&lt;&gt;"", (B66 - B65) / B65, "")</f>
        <v>0.04306677501</v>
      </c>
      <c r="F66" s="22">
        <f t="shared" si="66"/>
        <v>-0.006448311157</v>
      </c>
      <c r="H66" s="22" t="str">
        <f t="shared" si="4"/>
        <v/>
      </c>
    </row>
    <row r="67" ht="15.75" customHeight="1">
      <c r="A67" s="32">
        <f>'EQUITY BACKTEST'!A70</f>
        <v>36616.66667</v>
      </c>
      <c r="B67" s="22">
        <f>'EQUITY BACKTEST'!B70</f>
        <v>1498.58</v>
      </c>
      <c r="C67" s="22">
        <f>1/'EQUITY BACKTEST'!E70</f>
        <v>1.046134533</v>
      </c>
      <c r="D67" s="22">
        <f t="shared" si="1"/>
        <v>-0.1033850859</v>
      </c>
      <c r="E67" s="22">
        <f t="shared" ref="E67:F67" si="67">IF(A67&lt;&gt;"", (B67 - B66) / B66, "")</f>
        <v>-0.01895858701</v>
      </c>
      <c r="F67" s="22">
        <f t="shared" si="67"/>
        <v>0.02207343864</v>
      </c>
      <c r="H67" s="22" t="str">
        <f t="shared" si="4"/>
        <v/>
      </c>
    </row>
    <row r="68" ht="15.75" customHeight="1">
      <c r="A68" s="32">
        <f>'EQUITY BACKTEST'!A71</f>
        <v>36623.66667</v>
      </c>
      <c r="B68" s="22">
        <f>'EQUITY BACKTEST'!B71</f>
        <v>1516.35</v>
      </c>
      <c r="C68" s="22">
        <f>1/'EQUITY BACKTEST'!E71</f>
        <v>1.047449461</v>
      </c>
      <c r="D68" s="22">
        <f t="shared" si="1"/>
        <v>-0.0762548117</v>
      </c>
      <c r="E68" s="22">
        <f t="shared" ref="E68:F68" si="68">IF(A68&lt;&gt;"", (B68 - B67) / B67, "")</f>
        <v>0.01185789214</v>
      </c>
      <c r="F68" s="22">
        <f t="shared" si="68"/>
        <v>0.001256939353</v>
      </c>
      <c r="H68" s="22" t="str">
        <f t="shared" si="4"/>
        <v/>
      </c>
    </row>
    <row r="69" ht="15.75" customHeight="1">
      <c r="A69" s="32">
        <f>'EQUITY BACKTEST'!A72</f>
        <v>36630.66667</v>
      </c>
      <c r="B69" s="22">
        <f>'EQUITY BACKTEST'!B72</f>
        <v>1357.52</v>
      </c>
      <c r="C69" s="22">
        <f>1/'EQUITY BACKTEST'!E72</f>
        <v>1.041124414</v>
      </c>
      <c r="D69" s="22">
        <f t="shared" si="1"/>
        <v>-0.06135342746</v>
      </c>
      <c r="E69" s="22">
        <f t="shared" ref="E69:F69" si="69">IF(A69&lt;&gt;"", (B69 - B68) / B68, "")</f>
        <v>-0.1047449467</v>
      </c>
      <c r="F69" s="22">
        <f t="shared" si="69"/>
        <v>-0.006038521603</v>
      </c>
      <c r="H69" s="22" t="str">
        <f t="shared" si="4"/>
        <v>Crash</v>
      </c>
    </row>
    <row r="70" ht="15.75" customHeight="1">
      <c r="A70" s="32">
        <f>'EQUITY BACKTEST'!A73</f>
        <v>36636.66667</v>
      </c>
      <c r="B70" s="22">
        <f>'EQUITY BACKTEST'!B73</f>
        <v>1434.55</v>
      </c>
      <c r="C70" s="22">
        <f>1/'EQUITY BACKTEST'!E73</f>
        <v>1.066666667</v>
      </c>
      <c r="D70" s="22">
        <f t="shared" si="1"/>
        <v>-0.06890122688</v>
      </c>
      <c r="E70" s="22">
        <f t="shared" ref="E70:F70" si="70">IF(A70&lt;&gt;"", (B70 - B69) / B69, "")</f>
        <v>0.05674317874</v>
      </c>
      <c r="F70" s="22">
        <f t="shared" si="70"/>
        <v>0.02453333333</v>
      </c>
      <c r="H70" s="22" t="str">
        <f t="shared" si="4"/>
        <v/>
      </c>
    </row>
    <row r="71" ht="15.75" customHeight="1">
      <c r="A71" s="32">
        <f>'EQUITY BACKTEST'!A74</f>
        <v>36644.66667</v>
      </c>
      <c r="B71" s="22">
        <f>'EQUITY BACKTEST'!B74</f>
        <v>1452.43</v>
      </c>
      <c r="C71" s="22">
        <f>1/'EQUITY BACKTEST'!E74</f>
        <v>1.097453907</v>
      </c>
      <c r="D71" s="22">
        <f t="shared" si="1"/>
        <v>-0.06698885591</v>
      </c>
      <c r="E71" s="22">
        <f t="shared" ref="E71:F71" si="71">IF(A71&lt;&gt;"", (B71 - B70) / B70, "")</f>
        <v>0.01246383883</v>
      </c>
      <c r="F71" s="22">
        <f t="shared" si="71"/>
        <v>0.02886303775</v>
      </c>
      <c r="H71" s="22" t="str">
        <f t="shared" si="4"/>
        <v/>
      </c>
    </row>
    <row r="72" ht="15.75" customHeight="1">
      <c r="A72" s="32">
        <f>'EQUITY BACKTEST'!A75</f>
        <v>36651.66667</v>
      </c>
      <c r="B72" s="22">
        <f>'EQUITY BACKTEST'!B75</f>
        <v>1432.63</v>
      </c>
      <c r="C72" s="22">
        <f>1/'EQUITY BACKTEST'!E75</f>
        <v>1.113585746</v>
      </c>
      <c r="D72" s="22">
        <f t="shared" si="1"/>
        <v>-0.0698253381</v>
      </c>
      <c r="E72" s="22">
        <f t="shared" ref="E72:F72" si="72">IF(A72&lt;&gt;"", (B72 - B71) / B71, "")</f>
        <v>-0.01363232651</v>
      </c>
      <c r="F72" s="22">
        <f t="shared" si="72"/>
        <v>0.01469933185</v>
      </c>
      <c r="H72" s="22" t="str">
        <f t="shared" si="4"/>
        <v/>
      </c>
    </row>
    <row r="73" ht="15.75" customHeight="1">
      <c r="A73" s="32">
        <f>'EQUITY BACKTEST'!A76</f>
        <v>36658.66667</v>
      </c>
      <c r="B73" s="22">
        <f>'EQUITY BACKTEST'!B76</f>
        <v>1420.96</v>
      </c>
      <c r="C73" s="22">
        <f>1/'EQUITY BACKTEST'!E76</f>
        <v>1.087902524</v>
      </c>
      <c r="D73" s="22">
        <f t="shared" si="1"/>
        <v>-0.08943352519</v>
      </c>
      <c r="E73" s="22">
        <f t="shared" ref="E73:F73" si="73">IF(A73&lt;&gt;"", (B73 - B72) / B72, "")</f>
        <v>-0.008145857619</v>
      </c>
      <c r="F73" s="22">
        <f t="shared" si="73"/>
        <v>-0.02306353351</v>
      </c>
      <c r="H73" s="22" t="str">
        <f t="shared" si="4"/>
        <v/>
      </c>
    </row>
    <row r="74" ht="15.75" customHeight="1">
      <c r="A74" s="32">
        <f>'EQUITY BACKTEST'!A77</f>
        <v>36665.66667</v>
      </c>
      <c r="B74" s="22">
        <f>'EQUITY BACKTEST'!B77</f>
        <v>1406.95</v>
      </c>
      <c r="C74" s="22">
        <f>1/'EQUITY BACKTEST'!E77</f>
        <v>1.116071429</v>
      </c>
      <c r="D74" s="22">
        <f t="shared" si="1"/>
        <v>-0.09303895636</v>
      </c>
      <c r="E74" s="22">
        <f t="shared" ref="E74:F74" si="74">IF(A74&lt;&gt;"", (B74 - B73) / B73, "")</f>
        <v>-0.009859531584</v>
      </c>
      <c r="F74" s="22">
        <f t="shared" si="74"/>
        <v>0.02589285714</v>
      </c>
      <c r="H74" s="22" t="str">
        <f t="shared" si="4"/>
        <v/>
      </c>
    </row>
    <row r="75" ht="15.75" customHeight="1">
      <c r="A75" s="32">
        <f>'EQUITY BACKTEST'!A78</f>
        <v>36672.66667</v>
      </c>
      <c r="B75" s="22">
        <f>'EQUITY BACKTEST'!B78</f>
        <v>1378.02</v>
      </c>
      <c r="C75" s="22">
        <f>1/'EQUITY BACKTEST'!E78</f>
        <v>1.071237279</v>
      </c>
      <c r="D75" s="22">
        <f t="shared" si="1"/>
        <v>-0.1109762543</v>
      </c>
      <c r="E75" s="22">
        <f t="shared" ref="E75:F75" si="75">IF(A75&lt;&gt;"", (B75 - B74) / B74, "")</f>
        <v>-0.02056220903</v>
      </c>
      <c r="F75" s="22">
        <f t="shared" si="75"/>
        <v>-0.04017139796</v>
      </c>
      <c r="H75" s="22" t="str">
        <f t="shared" si="4"/>
        <v/>
      </c>
    </row>
    <row r="76" ht="15.75" customHeight="1">
      <c r="A76" s="32">
        <f>'EQUITY BACKTEST'!A79</f>
        <v>36679.66667</v>
      </c>
      <c r="B76" s="22">
        <f>'EQUITY BACKTEST'!B79</f>
        <v>1477.26</v>
      </c>
      <c r="C76" s="22">
        <f>1/'EQUITY BACKTEST'!E79</f>
        <v>1.05965879</v>
      </c>
      <c r="D76" s="22">
        <f t="shared" si="1"/>
        <v>-0.1320117328</v>
      </c>
      <c r="E76" s="22">
        <f t="shared" ref="E76:F76" si="76">IF(A76&lt;&gt;"", (B76 - B75) / B75, "")</f>
        <v>0.07201637132</v>
      </c>
      <c r="F76" s="22">
        <f t="shared" si="76"/>
        <v>-0.01080851966</v>
      </c>
      <c r="H76" s="22" t="str">
        <f t="shared" si="4"/>
        <v/>
      </c>
    </row>
    <row r="77" ht="15.75" customHeight="1">
      <c r="A77" s="32">
        <f>'EQUITY BACKTEST'!A80</f>
        <v>36686.66667</v>
      </c>
      <c r="B77" s="22">
        <f>'EQUITY BACKTEST'!B80</f>
        <v>1456.95</v>
      </c>
      <c r="C77" s="22">
        <f>1/'EQUITY BACKTEST'!E80</f>
        <v>1.049758556</v>
      </c>
      <c r="D77" s="22">
        <f t="shared" si="1"/>
        <v>-0.1275095895</v>
      </c>
      <c r="E77" s="22">
        <f t="shared" ref="E77:F77" si="77">IF(A77&lt;&gt;"", (B77 - B76) / B76, "")</f>
        <v>-0.01374842614</v>
      </c>
      <c r="F77" s="22">
        <f t="shared" si="77"/>
        <v>-0.009342851144</v>
      </c>
      <c r="H77" s="22" t="str">
        <f t="shared" si="4"/>
        <v/>
      </c>
    </row>
    <row r="78" ht="15.75" customHeight="1">
      <c r="A78" s="32">
        <f>'EQUITY BACKTEST'!A81</f>
        <v>36693.66667</v>
      </c>
      <c r="B78" s="22">
        <f>'EQUITY BACKTEST'!B81</f>
        <v>1464.47</v>
      </c>
      <c r="C78" s="22">
        <f>1/'EQUITY BACKTEST'!E81</f>
        <v>1.03777501</v>
      </c>
      <c r="D78" s="22">
        <f t="shared" si="1"/>
        <v>-0.1243865604</v>
      </c>
      <c r="E78" s="22">
        <f t="shared" ref="E78:F78" si="78">IF(A78&lt;&gt;"", (B78 - B77) / B77, "")</f>
        <v>0.005161467449</v>
      </c>
      <c r="F78" s="22">
        <f t="shared" si="78"/>
        <v>-0.01141552511</v>
      </c>
      <c r="H78" s="22" t="str">
        <f t="shared" si="4"/>
        <v/>
      </c>
    </row>
    <row r="79" ht="15.75" customHeight="1">
      <c r="A79" s="32">
        <f>'EQUITY BACKTEST'!A82</f>
        <v>36700.66667</v>
      </c>
      <c r="B79" s="22">
        <f>'EQUITY BACKTEST'!B82</f>
        <v>1441.54</v>
      </c>
      <c r="C79" s="22">
        <f>1/'EQUITY BACKTEST'!E82</f>
        <v>1.067919692</v>
      </c>
      <c r="D79" s="22">
        <f t="shared" si="1"/>
        <v>-0.1114405316</v>
      </c>
      <c r="E79" s="22">
        <f t="shared" ref="E79:F79" si="79">IF(A79&lt;&gt;"", (B79 - B78) / B78, "")</f>
        <v>-0.01565754164</v>
      </c>
      <c r="F79" s="22">
        <f t="shared" si="79"/>
        <v>0.02904741563</v>
      </c>
      <c r="H79" s="22" t="str">
        <f t="shared" si="4"/>
        <v/>
      </c>
    </row>
    <row r="80" ht="15.75" customHeight="1">
      <c r="A80" s="32">
        <f>'EQUITY BACKTEST'!A83</f>
        <v>36707.66667</v>
      </c>
      <c r="B80" s="22">
        <f>'EQUITY BACKTEST'!B83</f>
        <v>1454.6</v>
      </c>
      <c r="C80" s="22">
        <f>1/'EQUITY BACKTEST'!E83</f>
        <v>1.047339757</v>
      </c>
      <c r="D80" s="22">
        <f t="shared" si="1"/>
        <v>-0.1165624814</v>
      </c>
      <c r="E80" s="22">
        <f t="shared" ref="E80:F80" si="80">IF(A80&lt;&gt;"", (B80 - B79) / B79, "")</f>
        <v>0.009059755539</v>
      </c>
      <c r="F80" s="22">
        <f t="shared" si="80"/>
        <v>-0.01927105153</v>
      </c>
      <c r="H80" s="22" t="str">
        <f t="shared" si="4"/>
        <v/>
      </c>
    </row>
    <row r="81" ht="15.75" customHeight="1">
      <c r="A81" s="32">
        <f>'EQUITY BACKTEST'!A84</f>
        <v>36714.66667</v>
      </c>
      <c r="B81" s="22">
        <f>'EQUITY BACKTEST'!B84</f>
        <v>1478.9</v>
      </c>
      <c r="C81" s="22">
        <f>1/'EQUITY BACKTEST'!E84</f>
        <v>1.055854714</v>
      </c>
      <c r="D81" s="22">
        <f t="shared" si="1"/>
        <v>-0.1155723388</v>
      </c>
      <c r="E81" s="22">
        <f t="shared" ref="E81:F81" si="81">IF(A81&lt;&gt;"", (B81 - B80) / B80, "")</f>
        <v>0.01670562354</v>
      </c>
      <c r="F81" s="22">
        <f t="shared" si="81"/>
        <v>0.008130081301</v>
      </c>
      <c r="H81" s="22" t="str">
        <f t="shared" si="4"/>
        <v/>
      </c>
    </row>
    <row r="82" ht="15.75" customHeight="1">
      <c r="A82" s="32">
        <f>'EQUITY BACKTEST'!A85</f>
        <v>36721.66667</v>
      </c>
      <c r="B82" s="22">
        <f>'EQUITY BACKTEST'!B85</f>
        <v>1509.9</v>
      </c>
      <c r="C82" s="22">
        <f>1/'EQUITY BACKTEST'!E85</f>
        <v>1.06643916</v>
      </c>
      <c r="D82" s="22">
        <f t="shared" si="1"/>
        <v>-0.09741767891</v>
      </c>
      <c r="E82" s="22">
        <f t="shared" ref="E82:F82" si="82">IF(A82&lt;&gt;"", (B82 - B81) / B81, "")</f>
        <v>0.02096152546</v>
      </c>
      <c r="F82" s="22">
        <f t="shared" si="82"/>
        <v>0.0100245281</v>
      </c>
      <c r="H82" s="22" t="str">
        <f t="shared" si="4"/>
        <v/>
      </c>
    </row>
    <row r="83" ht="15.75" customHeight="1">
      <c r="A83" s="32">
        <f>'EQUITY BACKTEST'!A86</f>
        <v>36728.66667</v>
      </c>
      <c r="B83" s="22">
        <f>'EQUITY BACKTEST'!B86</f>
        <v>1480.11</v>
      </c>
      <c r="C83" s="22">
        <f>1/'EQUITY BACKTEST'!E86</f>
        <v>1.067008109</v>
      </c>
      <c r="D83" s="22">
        <f t="shared" si="1"/>
        <v>-0.06306537145</v>
      </c>
      <c r="E83" s="22">
        <f t="shared" ref="E83:F83" si="83">IF(A83&lt;&gt;"", (B83 - B82) / B82, "")</f>
        <v>-0.01972978343</v>
      </c>
      <c r="F83" s="22">
        <f t="shared" si="83"/>
        <v>0.0005335040546</v>
      </c>
      <c r="H83" s="22" t="str">
        <f t="shared" si="4"/>
        <v/>
      </c>
    </row>
    <row r="84" ht="15.75" customHeight="1">
      <c r="A84" s="32">
        <f>'EQUITY BACKTEST'!A87</f>
        <v>36735.66667</v>
      </c>
      <c r="B84" s="22">
        <f>'EQUITY BACKTEST'!B87</f>
        <v>1419.89</v>
      </c>
      <c r="C84" s="22">
        <f>1/'EQUITY BACKTEST'!E87</f>
        <v>1.083188908</v>
      </c>
      <c r="D84" s="22">
        <f t="shared" si="1"/>
        <v>-0.02722013243</v>
      </c>
      <c r="E84" s="22">
        <f t="shared" ref="E84:F84" si="84">IF(A84&lt;&gt;"", (B84 - B83) / B83, "")</f>
        <v>-0.04068616522</v>
      </c>
      <c r="F84" s="22">
        <f t="shared" si="84"/>
        <v>0.01516464471</v>
      </c>
      <c r="H84" s="22" t="str">
        <f t="shared" si="4"/>
        <v/>
      </c>
    </row>
    <row r="85" ht="15.75" customHeight="1">
      <c r="A85" s="32">
        <f>'EQUITY BACKTEST'!A88</f>
        <v>36742.66667</v>
      </c>
      <c r="B85" s="22">
        <f>'EQUITY BACKTEST'!B88</f>
        <v>1462.93</v>
      </c>
      <c r="C85" s="22">
        <f>1/'EQUITY BACKTEST'!E88</f>
        <v>1.102049813</v>
      </c>
      <c r="D85" s="22">
        <f t="shared" si="1"/>
        <v>-0.006912332361</v>
      </c>
      <c r="E85" s="22">
        <f t="shared" ref="E85:F85" si="85">IF(A85&lt;&gt;"", (B85 - B84) / B84, "")</f>
        <v>0.03031220728</v>
      </c>
      <c r="F85" s="22">
        <f t="shared" si="85"/>
        <v>0.01741238704</v>
      </c>
      <c r="H85" s="22" t="str">
        <f t="shared" si="4"/>
        <v/>
      </c>
    </row>
    <row r="86" ht="15.75" customHeight="1">
      <c r="A86" s="32">
        <f>'EQUITY BACKTEST'!A89</f>
        <v>36749.66667</v>
      </c>
      <c r="B86" s="22">
        <f>'EQUITY BACKTEST'!B89</f>
        <v>1471.84</v>
      </c>
      <c r="C86" s="22">
        <f>1/'EQUITY BACKTEST'!E89</f>
        <v>1.108156028</v>
      </c>
      <c r="D86" s="22">
        <f t="shared" si="1"/>
        <v>0.01720752541</v>
      </c>
      <c r="E86" s="22">
        <f t="shared" ref="E86:F86" si="86">IF(A86&lt;&gt;"", (B86 - B85) / B85, "")</f>
        <v>0.006090516976</v>
      </c>
      <c r="F86" s="22">
        <f t="shared" si="86"/>
        <v>0.005540780142</v>
      </c>
      <c r="H86" s="22" t="str">
        <f t="shared" si="4"/>
        <v/>
      </c>
    </row>
    <row r="87" ht="15.75" customHeight="1">
      <c r="A87" s="32">
        <f>'EQUITY BACKTEST'!A90</f>
        <v>36756.66667</v>
      </c>
      <c r="B87" s="22">
        <f>'EQUITY BACKTEST'!B90</f>
        <v>1491.7</v>
      </c>
      <c r="C87" s="22">
        <f>1/'EQUITY BACKTEST'!E90</f>
        <v>1.103752759</v>
      </c>
      <c r="D87" s="22">
        <f t="shared" si="1"/>
        <v>0.05972113495</v>
      </c>
      <c r="E87" s="22">
        <f t="shared" ref="E87:F87" si="87">IF(A87&lt;&gt;"", (B87 - B86) / B86, "")</f>
        <v>0.01349331449</v>
      </c>
      <c r="F87" s="22">
        <f t="shared" si="87"/>
        <v>-0.003973509934</v>
      </c>
      <c r="H87" s="22" t="str">
        <f t="shared" si="4"/>
        <v/>
      </c>
    </row>
    <row r="88" ht="15.75" customHeight="1">
      <c r="A88" s="32">
        <f>'EQUITY BACKTEST'!A91</f>
        <v>36763.66667</v>
      </c>
      <c r="B88" s="22">
        <f>'EQUITY BACKTEST'!B91</f>
        <v>1506.46</v>
      </c>
      <c r="C88" s="22">
        <f>1/'EQUITY BACKTEST'!E91</f>
        <v>1.10864745</v>
      </c>
      <c r="D88" s="22">
        <f t="shared" si="1"/>
        <v>0.1026171894</v>
      </c>
      <c r="E88" s="22">
        <f t="shared" ref="E88:F88" si="88">IF(A88&lt;&gt;"", (B88 - B87) / B87, "")</f>
        <v>0.009894750955</v>
      </c>
      <c r="F88" s="22">
        <f t="shared" si="88"/>
        <v>0.0044345898</v>
      </c>
      <c r="H88" s="22" t="str">
        <f t="shared" si="4"/>
        <v/>
      </c>
    </row>
    <row r="89" ht="15.75" customHeight="1">
      <c r="A89" s="32">
        <f>'EQUITY BACKTEST'!A92</f>
        <v>36770.66667</v>
      </c>
      <c r="B89" s="22">
        <f>'EQUITY BACKTEST'!B92</f>
        <v>1520.77</v>
      </c>
      <c r="C89" s="22">
        <f>1/'EQUITY BACKTEST'!E92</f>
        <v>1.111852346</v>
      </c>
      <c r="D89" s="22">
        <f t="shared" si="1"/>
        <v>0.1501813859</v>
      </c>
      <c r="E89" s="22">
        <f t="shared" ref="E89:F89" si="89">IF(A89&lt;&gt;"", (B89 - B88) / B88, "")</f>
        <v>0.009499090583</v>
      </c>
      <c r="F89" s="22">
        <f t="shared" si="89"/>
        <v>0.0028908161</v>
      </c>
      <c r="H89" s="22" t="str">
        <f t="shared" si="4"/>
        <v/>
      </c>
    </row>
    <row r="90" ht="15.75" customHeight="1">
      <c r="A90" s="32">
        <f>'EQUITY BACKTEST'!A93</f>
        <v>36777.66667</v>
      </c>
      <c r="B90" s="22">
        <f>'EQUITY BACKTEST'!B93</f>
        <v>1494.64</v>
      </c>
      <c r="C90" s="22">
        <f>1/'EQUITY BACKTEST'!E93</f>
        <v>1.150218542</v>
      </c>
      <c r="D90" s="22">
        <f t="shared" si="1"/>
        <v>0.1934477673</v>
      </c>
      <c r="E90" s="22">
        <f t="shared" ref="E90:F90" si="90">IF(A90&lt;&gt;"", (B90 - B89) / B89, "")</f>
        <v>-0.01718208539</v>
      </c>
      <c r="F90" s="22">
        <f t="shared" si="90"/>
        <v>0.03450655625</v>
      </c>
      <c r="H90" s="22" t="str">
        <f t="shared" si="4"/>
        <v/>
      </c>
    </row>
    <row r="91" ht="15.75" customHeight="1">
      <c r="A91" s="32">
        <f>'EQUITY BACKTEST'!A94</f>
        <v>36784.66667</v>
      </c>
      <c r="B91" s="22">
        <f>'EQUITY BACKTEST'!B94</f>
        <v>1465.79</v>
      </c>
      <c r="C91" s="22">
        <f>1/'EQUITY BACKTEST'!E94</f>
        <v>1.171097318</v>
      </c>
      <c r="D91" s="22">
        <f t="shared" si="1"/>
        <v>0.2073241133</v>
      </c>
      <c r="E91" s="22">
        <f t="shared" ref="E91:F91" si="91">IF(A91&lt;&gt;"", (B91 - B90) / B90, "")</f>
        <v>-0.01930230691</v>
      </c>
      <c r="F91" s="22">
        <f t="shared" si="91"/>
        <v>0.01815200843</v>
      </c>
      <c r="H91" s="22" t="str">
        <f t="shared" si="4"/>
        <v/>
      </c>
    </row>
    <row r="92" ht="15.75" customHeight="1">
      <c r="A92" s="32">
        <f>'EQUITY BACKTEST'!A95</f>
        <v>36791.66667</v>
      </c>
      <c r="B92" s="22">
        <f>'EQUITY BACKTEST'!B95</f>
        <v>1448.71</v>
      </c>
      <c r="C92" s="22">
        <f>1/'EQUITY BACKTEST'!E95</f>
        <v>1.141031492</v>
      </c>
      <c r="D92" s="22">
        <f t="shared" si="1"/>
        <v>0.2009145655</v>
      </c>
      <c r="E92" s="22">
        <f t="shared" ref="E92:F92" si="92">IF(A92&lt;&gt;"", (B92 - B91) / B91, "")</f>
        <v>-0.01165241951</v>
      </c>
      <c r="F92" s="22">
        <f t="shared" si="92"/>
        <v>-0.02567320858</v>
      </c>
      <c r="H92" s="22" t="str">
        <f t="shared" si="4"/>
        <v/>
      </c>
    </row>
    <row r="93" ht="15.75" customHeight="1">
      <c r="A93" s="32">
        <f>'EQUITY BACKTEST'!A96</f>
        <v>36798.66667</v>
      </c>
      <c r="B93" s="22">
        <f>'EQUITY BACKTEST'!B96</f>
        <v>1436.51</v>
      </c>
      <c r="C93" s="22">
        <f>1/'EQUITY BACKTEST'!E96</f>
        <v>1.131093768</v>
      </c>
      <c r="D93" s="22">
        <f t="shared" si="1"/>
        <v>0.2116310636</v>
      </c>
      <c r="E93" s="22">
        <f t="shared" ref="E93:F93" si="93">IF(A93&lt;&gt;"", (B93 - B92) / B92, "")</f>
        <v>-0.008421285143</v>
      </c>
      <c r="F93" s="22">
        <f t="shared" si="93"/>
        <v>-0.008709422011</v>
      </c>
      <c r="H93" s="22" t="str">
        <f t="shared" si="4"/>
        <v/>
      </c>
    </row>
    <row r="94" ht="15.75" customHeight="1">
      <c r="A94" s="32">
        <f>'EQUITY BACKTEST'!A97</f>
        <v>36805.66667</v>
      </c>
      <c r="B94" s="22">
        <f>'EQUITY BACKTEST'!B97</f>
        <v>1408.99</v>
      </c>
      <c r="C94" s="22">
        <f>1/'EQUITY BACKTEST'!E97</f>
        <v>1.151808339</v>
      </c>
      <c r="D94" s="22">
        <f t="shared" si="1"/>
        <v>0.2339198814</v>
      </c>
      <c r="E94" s="22">
        <f t="shared" ref="E94:F94" si="94">IF(A94&lt;&gt;"", (B94 - B93) / B93, "")</f>
        <v>-0.01915754154</v>
      </c>
      <c r="F94" s="22">
        <f t="shared" si="94"/>
        <v>0.01831375259</v>
      </c>
      <c r="H94" s="22" t="str">
        <f t="shared" si="4"/>
        <v/>
      </c>
    </row>
    <row r="95" ht="15.75" customHeight="1">
      <c r="A95" s="32">
        <f>'EQUITY BACKTEST'!A98</f>
        <v>36812.66667</v>
      </c>
      <c r="B95" s="22">
        <f>'EQUITY BACKTEST'!B98</f>
        <v>1374.12</v>
      </c>
      <c r="C95" s="22">
        <f>1/'EQUITY BACKTEST'!E98</f>
        <v>1.167951413</v>
      </c>
      <c r="D95" s="22">
        <f t="shared" si="1"/>
        <v>0.2309319709</v>
      </c>
      <c r="E95" s="22">
        <f t="shared" ref="E95:F95" si="95">IF(A95&lt;&gt;"", (B95 - B94) / B94, "")</f>
        <v>-0.02474822391</v>
      </c>
      <c r="F95" s="22">
        <f t="shared" si="95"/>
        <v>0.01401541696</v>
      </c>
      <c r="H95" s="22" t="str">
        <f t="shared" si="4"/>
        <v/>
      </c>
    </row>
    <row r="96" ht="15.75" customHeight="1">
      <c r="A96" s="32">
        <f>'EQUITY BACKTEST'!A99</f>
        <v>36819.66667</v>
      </c>
      <c r="B96" s="22">
        <f>'EQUITY BACKTEST'!B99</f>
        <v>1396.9</v>
      </c>
      <c r="C96" s="22">
        <f>1/'EQUITY BACKTEST'!E99</f>
        <v>1.187648456</v>
      </c>
      <c r="D96" s="22">
        <f t="shared" si="1"/>
        <v>0.2092055467</v>
      </c>
      <c r="E96" s="22">
        <f t="shared" ref="E96:F96" si="96">IF(A96&lt;&gt;"", (B96 - B95) / B95, "")</f>
        <v>0.01657788257</v>
      </c>
      <c r="F96" s="22">
        <f t="shared" si="96"/>
        <v>0.01686460808</v>
      </c>
      <c r="H96" s="22" t="str">
        <f t="shared" si="4"/>
        <v/>
      </c>
    </row>
    <row r="97" ht="15.75" customHeight="1">
      <c r="A97" s="32">
        <f>'EQUITY BACKTEST'!A100</f>
        <v>36826.66667</v>
      </c>
      <c r="B97" s="22">
        <f>'EQUITY BACKTEST'!B100</f>
        <v>1379.56</v>
      </c>
      <c r="C97" s="22">
        <f>1/'EQUITY BACKTEST'!E100</f>
        <v>1.193317422</v>
      </c>
      <c r="D97" s="22">
        <f t="shared" si="1"/>
        <v>0.1638773783</v>
      </c>
      <c r="E97" s="22">
        <f t="shared" ref="E97:F97" si="97">IF(A97&lt;&gt;"", (B97 - B96) / B96, "")</f>
        <v>-0.01241320066</v>
      </c>
      <c r="F97" s="22">
        <f t="shared" si="97"/>
        <v>0.00477326969</v>
      </c>
      <c r="H97" s="22" t="str">
        <f t="shared" si="4"/>
        <v/>
      </c>
    </row>
    <row r="98" ht="15.75" customHeight="1">
      <c r="A98" s="32">
        <f>'EQUITY BACKTEST'!A101</f>
        <v>36833.66667</v>
      </c>
      <c r="B98" s="22">
        <f>'EQUITY BACKTEST'!B101</f>
        <v>1426.69</v>
      </c>
      <c r="C98" s="22">
        <f>1/'EQUITY BACKTEST'!E101</f>
        <v>1.153801777</v>
      </c>
      <c r="D98" s="22">
        <f t="shared" si="1"/>
        <v>0.1219598979</v>
      </c>
      <c r="E98" s="22">
        <f t="shared" ref="E98:F98" si="98">IF(A98&lt;&gt;"", (B98 - B97) / B97, "")</f>
        <v>0.03416306648</v>
      </c>
      <c r="F98" s="22">
        <f t="shared" si="98"/>
        <v>-0.033114111</v>
      </c>
      <c r="H98" s="22" t="str">
        <f t="shared" si="4"/>
        <v/>
      </c>
    </row>
    <row r="99" ht="15.75" customHeight="1">
      <c r="A99" s="32">
        <f>'EQUITY BACKTEST'!A102</f>
        <v>36840.66667</v>
      </c>
      <c r="B99" s="22">
        <f>'EQUITY BACKTEST'!B102</f>
        <v>1365.97</v>
      </c>
      <c r="C99" s="22">
        <f>1/'EQUITY BACKTEST'!E102</f>
        <v>1.162925922</v>
      </c>
      <c r="D99" s="22">
        <f t="shared" si="1"/>
        <v>0.08799758423</v>
      </c>
      <c r="E99" s="22">
        <f t="shared" ref="E99:F99" si="99">IF(A99&lt;&gt;"", (B99 - B98) / B98, "")</f>
        <v>-0.04256005159</v>
      </c>
      <c r="F99" s="22">
        <f t="shared" si="99"/>
        <v>0.007907896267</v>
      </c>
      <c r="H99" s="22" t="str">
        <f t="shared" si="4"/>
        <v/>
      </c>
    </row>
    <row r="100" ht="15.75" customHeight="1">
      <c r="A100" s="32">
        <f>'EQUITY BACKTEST'!A103</f>
        <v>36847.66667</v>
      </c>
      <c r="B100" s="22">
        <f>'EQUITY BACKTEST'!B103</f>
        <v>1367.72</v>
      </c>
      <c r="C100" s="22">
        <f>1/'EQUITY BACKTEST'!E103</f>
        <v>1.174122344</v>
      </c>
      <c r="D100" s="22">
        <f t="shared" si="1"/>
        <v>0.04759731739</v>
      </c>
      <c r="E100" s="22">
        <f t="shared" ref="E100:F100" si="100">IF(A100&lt;&gt;"", (B100 - B99) / B99, "")</f>
        <v>0.001281140874</v>
      </c>
      <c r="F100" s="22">
        <f t="shared" si="100"/>
        <v>0.009627803217</v>
      </c>
      <c r="H100" s="22" t="str">
        <f t="shared" si="4"/>
        <v/>
      </c>
    </row>
    <row r="101" ht="15.75" customHeight="1">
      <c r="A101" s="32">
        <f>'EQUITY BACKTEST'!A104</f>
        <v>36854.66667</v>
      </c>
      <c r="B101" s="22">
        <f>'EQUITY BACKTEST'!B104</f>
        <v>1341.77</v>
      </c>
      <c r="C101" s="22">
        <f>1/'EQUITY BACKTEST'!E104</f>
        <v>1.194457716</v>
      </c>
      <c r="D101" s="22">
        <f t="shared" si="1"/>
        <v>-0.008994458034</v>
      </c>
      <c r="E101" s="22">
        <f t="shared" ref="E101:F101" si="101">IF(A101&lt;&gt;"", (B101 - B100) / B100, "")</f>
        <v>-0.01897318165</v>
      </c>
      <c r="F101" s="22">
        <f t="shared" si="101"/>
        <v>0.01731963688</v>
      </c>
      <c r="H101" s="22" t="str">
        <f t="shared" si="4"/>
        <v/>
      </c>
    </row>
    <row r="102" ht="15.75" customHeight="1">
      <c r="A102" s="32">
        <f>'EQUITY BACKTEST'!A105</f>
        <v>36861.66667</v>
      </c>
      <c r="B102" s="22">
        <f>'EQUITY BACKTEST'!B105</f>
        <v>1315.18</v>
      </c>
      <c r="C102" s="22">
        <f>1/'EQUITY BACKTEST'!E105</f>
        <v>1.138044839</v>
      </c>
      <c r="D102" s="22">
        <f t="shared" si="1"/>
        <v>-0.07295367741</v>
      </c>
      <c r="E102" s="22">
        <f t="shared" ref="E102:F102" si="102">IF(A102&lt;&gt;"", (B102 - B101) / B101, "")</f>
        <v>-0.01981710725</v>
      </c>
      <c r="F102" s="22">
        <f t="shared" si="102"/>
        <v>-0.04722886082</v>
      </c>
      <c r="H102" s="22" t="str">
        <f t="shared" si="4"/>
        <v/>
      </c>
    </row>
    <row r="103" ht="15.75" customHeight="1">
      <c r="A103" s="32">
        <f>'EQUITY BACKTEST'!A106</f>
        <v>36868.66667</v>
      </c>
      <c r="B103" s="22">
        <f>'EQUITY BACKTEST'!B106</f>
        <v>1369.73</v>
      </c>
      <c r="C103" s="22">
        <f>1/'EQUITY BACKTEST'!E106</f>
        <v>1.126760563</v>
      </c>
      <c r="D103" s="22">
        <f t="shared" si="1"/>
        <v>-0.09211829167</v>
      </c>
      <c r="E103" s="22">
        <f t="shared" ref="E103:F103" si="103">IF(A103&lt;&gt;"", (B103 - B102) / B102, "")</f>
        <v>0.04147721224</v>
      </c>
      <c r="F103" s="22">
        <f t="shared" si="103"/>
        <v>-0.009915492958</v>
      </c>
      <c r="H103" s="22" t="str">
        <f t="shared" si="4"/>
        <v/>
      </c>
    </row>
    <row r="104" ht="15.75" customHeight="1">
      <c r="A104" s="32">
        <f>'EQUITY BACKTEST'!A107</f>
        <v>36875.66667</v>
      </c>
      <c r="B104" s="22">
        <f>'EQUITY BACKTEST'!B107</f>
        <v>1312.1</v>
      </c>
      <c r="C104" s="22">
        <f>1/'EQUITY BACKTEST'!E107</f>
        <v>1.116694584</v>
      </c>
      <c r="D104" s="22">
        <f t="shared" si="1"/>
        <v>-0.1041483965</v>
      </c>
      <c r="E104" s="22">
        <f t="shared" ref="E104:F104" si="104">IF(A104&lt;&gt;"", (B104 - B103) / B103, "")</f>
        <v>-0.04207398538</v>
      </c>
      <c r="F104" s="22">
        <f t="shared" si="104"/>
        <v>-0.008933556672</v>
      </c>
      <c r="H104" s="22" t="str">
        <f t="shared" si="4"/>
        <v/>
      </c>
    </row>
    <row r="105" ht="15.75" customHeight="1">
      <c r="A105" s="32">
        <f>'EQUITY BACKTEST'!A108</f>
        <v>36882.66667</v>
      </c>
      <c r="B105" s="22">
        <f>'EQUITY BACKTEST'!B108</f>
        <v>1305.9</v>
      </c>
      <c r="C105" s="22">
        <f>1/'EQUITY BACKTEST'!E108</f>
        <v>1.082485386</v>
      </c>
      <c r="D105" s="22">
        <f t="shared" si="1"/>
        <v>-0.1105220737</v>
      </c>
      <c r="E105" s="22">
        <f t="shared" ref="E105:F105" si="105">IF(A105&lt;&gt;"", (B105 - B104) / B104, "")</f>
        <v>-0.0047252496</v>
      </c>
      <c r="F105" s="22">
        <f t="shared" si="105"/>
        <v>-0.03063433644</v>
      </c>
      <c r="H105" s="22" t="str">
        <f t="shared" si="4"/>
        <v/>
      </c>
    </row>
    <row r="106" ht="15.75" customHeight="1">
      <c r="A106" s="32">
        <f>'EQUITY BACKTEST'!A109</f>
        <v>36889.66667</v>
      </c>
      <c r="B106" s="22">
        <f>'EQUITY BACKTEST'!B109</f>
        <v>1320.41</v>
      </c>
      <c r="C106" s="22">
        <f>1/'EQUITY BACKTEST'!E109</f>
        <v>1.062586335</v>
      </c>
      <c r="D106" s="22">
        <f t="shared" si="1"/>
        <v>-0.09243668201</v>
      </c>
      <c r="E106" s="22">
        <f t="shared" ref="E106:F106" si="106">IF(A106&lt;&gt;"", (B106 - B105) / B105, "")</f>
        <v>0.01111111111</v>
      </c>
      <c r="F106" s="22">
        <f t="shared" si="106"/>
        <v>-0.0183827436</v>
      </c>
      <c r="H106" s="22" t="str">
        <f t="shared" si="4"/>
        <v/>
      </c>
    </row>
    <row r="107" ht="15.75" customHeight="1">
      <c r="A107" s="32">
        <f>'EQUITY BACKTEST'!A110</f>
        <v>36896.66667</v>
      </c>
      <c r="B107" s="22">
        <f>'EQUITY BACKTEST'!B110</f>
        <v>1298.34</v>
      </c>
      <c r="C107" s="22">
        <f>1/'EQUITY BACKTEST'!E110</f>
        <v>1.046243984</v>
      </c>
      <c r="D107" s="22">
        <f t="shared" si="1"/>
        <v>-0.04975211584</v>
      </c>
      <c r="E107" s="22">
        <f t="shared" ref="E107:F107" si="107">IF(A107&lt;&gt;"", (B107 - B106) / B106, "")</f>
        <v>-0.01671450534</v>
      </c>
      <c r="F107" s="22">
        <f t="shared" si="107"/>
        <v>-0.01537978657</v>
      </c>
      <c r="H107" s="22" t="str">
        <f t="shared" si="4"/>
        <v/>
      </c>
    </row>
    <row r="108" ht="15.75" customHeight="1">
      <c r="A108" s="32">
        <f>'EQUITY BACKTEST'!A111</f>
        <v>36903.66667</v>
      </c>
      <c r="B108" s="22">
        <f>'EQUITY BACKTEST'!B111</f>
        <v>1318.55</v>
      </c>
      <c r="C108" s="22">
        <f>1/'EQUITY BACKTEST'!E111</f>
        <v>1.048327917</v>
      </c>
      <c r="D108" s="22">
        <f t="shared" si="1"/>
        <v>0.00256775533</v>
      </c>
      <c r="E108" s="22">
        <f t="shared" ref="E108:F108" si="108">IF(A108&lt;&gt;"", (B108 - B107) / B107, "")</f>
        <v>0.01556603047</v>
      </c>
      <c r="F108" s="22">
        <f t="shared" si="108"/>
        <v>0.001991823042</v>
      </c>
      <c r="H108" s="22" t="str">
        <f t="shared" si="4"/>
        <v/>
      </c>
    </row>
    <row r="109" ht="15.75" customHeight="1">
      <c r="A109" s="32">
        <f>'EQUITY BACKTEST'!A112</f>
        <v>36910.66667</v>
      </c>
      <c r="B109" s="22">
        <f>'EQUITY BACKTEST'!B112</f>
        <v>1342.55</v>
      </c>
      <c r="C109" s="22">
        <f>1/'EQUITY BACKTEST'!E112</f>
        <v>1.069518717</v>
      </c>
      <c r="D109" s="22">
        <f t="shared" si="1"/>
        <v>0.07023574828</v>
      </c>
      <c r="E109" s="22">
        <f t="shared" ref="E109:F109" si="109">IF(A109&lt;&gt;"", (B109 - B108) / B108, "")</f>
        <v>0.0182018126</v>
      </c>
      <c r="F109" s="22">
        <f t="shared" si="109"/>
        <v>0.02021390374</v>
      </c>
      <c r="H109" s="22" t="str">
        <f t="shared" si="4"/>
        <v/>
      </c>
    </row>
    <row r="110" ht="15.75" customHeight="1">
      <c r="A110" s="32">
        <f>'EQUITY BACKTEST'!A113</f>
        <v>36917.66667</v>
      </c>
      <c r="B110" s="22">
        <f>'EQUITY BACKTEST'!B113</f>
        <v>1354.94</v>
      </c>
      <c r="C110" s="22">
        <f>1/'EQUITY BACKTEST'!E113</f>
        <v>1.082133968</v>
      </c>
      <c r="D110" s="22">
        <f t="shared" si="1"/>
        <v>0.1258726883</v>
      </c>
      <c r="E110" s="22">
        <f t="shared" ref="E110:F110" si="110">IF(A110&lt;&gt;"", (B110 - B109) / B109, "")</f>
        <v>0.009228706566</v>
      </c>
      <c r="F110" s="22">
        <f t="shared" si="110"/>
        <v>0.01179526025</v>
      </c>
      <c r="H110" s="22" t="str">
        <f t="shared" si="4"/>
        <v/>
      </c>
    </row>
    <row r="111" ht="15.75" customHeight="1">
      <c r="A111" s="32">
        <f>'EQUITY BACKTEST'!A114</f>
        <v>36924.66667</v>
      </c>
      <c r="B111" s="22">
        <f>'EQUITY BACKTEST'!B114</f>
        <v>1349.47</v>
      </c>
      <c r="C111" s="22">
        <f>1/'EQUITY BACKTEST'!E114</f>
        <v>1.068947087</v>
      </c>
      <c r="D111" s="22">
        <f t="shared" si="1"/>
        <v>0.1739182448</v>
      </c>
      <c r="E111" s="22">
        <f t="shared" ref="E111:F111" si="111">IF(A111&lt;&gt;"", (B111 - B110) / B110, "")</f>
        <v>-0.004037079133</v>
      </c>
      <c r="F111" s="22">
        <f t="shared" si="111"/>
        <v>-0.01218599679</v>
      </c>
      <c r="H111" s="22" t="str">
        <f t="shared" si="4"/>
        <v/>
      </c>
    </row>
    <row r="112" ht="15.75" customHeight="1">
      <c r="A112" s="32">
        <f>'EQUITY BACKTEST'!A115</f>
        <v>36931.66667</v>
      </c>
      <c r="B112" s="22">
        <f>'EQUITY BACKTEST'!B115</f>
        <v>1314.76</v>
      </c>
      <c r="C112" s="22">
        <f>1/'EQUITY BACKTEST'!E115</f>
        <v>1.081899816</v>
      </c>
      <c r="D112" s="22">
        <f t="shared" si="1"/>
        <v>0.2582054763</v>
      </c>
      <c r="E112" s="22">
        <f t="shared" ref="E112:F112" si="112">IF(A112&lt;&gt;"", (B112 - B111) / B111, "")</f>
        <v>-0.02572120907</v>
      </c>
      <c r="F112" s="22">
        <f t="shared" si="112"/>
        <v>0.01211727794</v>
      </c>
      <c r="H112" s="22" t="str">
        <f t="shared" si="4"/>
        <v/>
      </c>
    </row>
    <row r="113" ht="15.75" customHeight="1">
      <c r="A113" s="32">
        <f>'EQUITY BACKTEST'!A116</f>
        <v>36938.66667</v>
      </c>
      <c r="B113" s="22">
        <f>'EQUITY BACKTEST'!B116</f>
        <v>1301.47</v>
      </c>
      <c r="C113" s="22">
        <f>1/'EQUITY BACKTEST'!E116</f>
        <v>1.094451133</v>
      </c>
      <c r="D113" s="22">
        <f t="shared" si="1"/>
        <v>0.3187124704</v>
      </c>
      <c r="E113" s="22">
        <f t="shared" ref="E113:F113" si="113">IF(A113&lt;&gt;"", (B113 - B112) / B112, "")</f>
        <v>-0.01010830874</v>
      </c>
      <c r="F113" s="22">
        <f t="shared" si="113"/>
        <v>0.01160118201</v>
      </c>
      <c r="H113" s="22" t="str">
        <f t="shared" si="4"/>
        <v/>
      </c>
    </row>
    <row r="114" ht="15.75" customHeight="1">
      <c r="A114" s="32">
        <f>'EQUITY BACKTEST'!A117</f>
        <v>36945.66667</v>
      </c>
      <c r="B114" s="22">
        <f>'EQUITY BACKTEST'!B117</f>
        <v>1245.47</v>
      </c>
      <c r="C114" s="22">
        <f>1/'EQUITY BACKTEST'!E117</f>
        <v>1.088139282</v>
      </c>
      <c r="D114" s="22">
        <f t="shared" si="1"/>
        <v>0.3595812212</v>
      </c>
      <c r="E114" s="22">
        <f t="shared" ref="E114:F114" si="114">IF(A114&lt;&gt;"", (B114 - B113) / B113, "")</f>
        <v>-0.04302826804</v>
      </c>
      <c r="F114" s="22">
        <f t="shared" si="114"/>
        <v>-0.005767138194</v>
      </c>
      <c r="H114" s="22" t="str">
        <f t="shared" si="4"/>
        <v/>
      </c>
    </row>
    <row r="115" ht="15.75" customHeight="1">
      <c r="A115" s="32">
        <f>'EQUITY BACKTEST'!A118</f>
        <v>36952.66667</v>
      </c>
      <c r="B115" s="22">
        <f>'EQUITY BACKTEST'!B118</f>
        <v>1234.18</v>
      </c>
      <c r="C115" s="22">
        <f>1/'EQUITY BACKTEST'!E118</f>
        <v>1.069061364</v>
      </c>
      <c r="D115" s="22">
        <f t="shared" si="1"/>
        <v>0.3908458459</v>
      </c>
      <c r="E115" s="22">
        <f t="shared" ref="E115:F115" si="115">IF(A115&lt;&gt;"", (B115 - B114) / B114, "")</f>
        <v>-0.00906485102</v>
      </c>
      <c r="F115" s="22">
        <f t="shared" si="115"/>
        <v>-0.01753260637</v>
      </c>
      <c r="H115" s="22" t="str">
        <f t="shared" si="4"/>
        <v/>
      </c>
    </row>
    <row r="116" ht="15.75" customHeight="1">
      <c r="A116" s="32">
        <f>'EQUITY BACKTEST'!A119</f>
        <v>36959.66667</v>
      </c>
      <c r="B116" s="22">
        <f>'EQUITY BACKTEST'!B119</f>
        <v>1233.42</v>
      </c>
      <c r="C116" s="22">
        <f>1/'EQUITY BACKTEST'!E119</f>
        <v>1.071581655</v>
      </c>
      <c r="D116" s="22">
        <f t="shared" si="1"/>
        <v>0.4602738954</v>
      </c>
      <c r="E116" s="22">
        <f t="shared" ref="E116:F116" si="116">IF(A116&lt;&gt;"", (B116 - B115) / B115, "")</f>
        <v>-0.0006157934823</v>
      </c>
      <c r="F116" s="22">
        <f t="shared" si="116"/>
        <v>0.00235747964</v>
      </c>
      <c r="H116" s="22" t="str">
        <f t="shared" si="4"/>
        <v/>
      </c>
    </row>
    <row r="117" ht="15.75" customHeight="1">
      <c r="A117" s="32">
        <f>'EQUITY BACKTEST'!A120</f>
        <v>36966.66667</v>
      </c>
      <c r="B117" s="22">
        <f>'EQUITY BACKTEST'!B120</f>
        <v>1150.55</v>
      </c>
      <c r="C117" s="22">
        <f>1/'EQUITY BACKTEST'!E120</f>
        <v>1.115448968</v>
      </c>
      <c r="D117" s="22">
        <f t="shared" si="1"/>
        <v>0.5383473141</v>
      </c>
      <c r="E117" s="22">
        <f t="shared" ref="E117:F117" si="117">IF(A117&lt;&gt;"", (B117 - B116) / B116, "")</f>
        <v>-0.06718717063</v>
      </c>
      <c r="F117" s="22">
        <f t="shared" si="117"/>
        <v>0.04093697713</v>
      </c>
      <c r="H117" s="22" t="str">
        <f t="shared" si="4"/>
        <v/>
      </c>
    </row>
    <row r="118" ht="15.75" customHeight="1">
      <c r="A118" s="32">
        <f>'EQUITY BACKTEST'!A121</f>
        <v>36973.66667</v>
      </c>
      <c r="B118" s="22">
        <f>'EQUITY BACKTEST'!B121</f>
        <v>1139.85</v>
      </c>
      <c r="C118" s="22">
        <f>1/'EQUITY BACKTEST'!E121</f>
        <v>1.124227094</v>
      </c>
      <c r="D118" s="22">
        <f t="shared" si="1"/>
        <v>0.536869796</v>
      </c>
      <c r="E118" s="22">
        <f t="shared" ref="E118:F118" si="118">IF(A118&lt;&gt;"", (B118 - B117) / B117, "")</f>
        <v>-0.009299900048</v>
      </c>
      <c r="F118" s="22">
        <f t="shared" si="118"/>
        <v>0.007869589657</v>
      </c>
      <c r="H118" s="22" t="str">
        <f t="shared" si="4"/>
        <v/>
      </c>
    </row>
    <row r="119" ht="15.75" customHeight="1">
      <c r="A119" s="32">
        <f>'EQUITY BACKTEST'!A122</f>
        <v>36980.66667</v>
      </c>
      <c r="B119" s="22">
        <f>'EQUITY BACKTEST'!B122</f>
        <v>1160.33</v>
      </c>
      <c r="C119" s="22">
        <f>1/'EQUITY BACKTEST'!E122</f>
        <v>1.14246544</v>
      </c>
      <c r="D119" s="22">
        <f t="shared" si="1"/>
        <v>0.5309154229</v>
      </c>
      <c r="E119" s="22">
        <f t="shared" ref="E119:F119" si="119">IF(A119&lt;&gt;"", (B119 - B118) / B118, "")</f>
        <v>0.0179672764</v>
      </c>
      <c r="F119" s="22">
        <f t="shared" si="119"/>
        <v>0.01622300925</v>
      </c>
      <c r="H119" s="22" t="str">
        <f t="shared" si="4"/>
        <v/>
      </c>
    </row>
    <row r="120" ht="15.75" customHeight="1">
      <c r="A120" s="32">
        <f>'EQUITY BACKTEST'!A123</f>
        <v>36987.66667</v>
      </c>
      <c r="B120" s="22">
        <f>'EQUITY BACKTEST'!B123</f>
        <v>1128.43</v>
      </c>
      <c r="C120" s="22">
        <f>1/'EQUITY BACKTEST'!E123</f>
        <v>1.10619469</v>
      </c>
      <c r="D120" s="22">
        <f t="shared" si="1"/>
        <v>0.5268601326</v>
      </c>
      <c r="E120" s="22">
        <f t="shared" ref="E120:F120" si="120">IF(A120&lt;&gt;"", (B120 - B119) / B119, "")</f>
        <v>-0.02749217895</v>
      </c>
      <c r="F120" s="22">
        <f t="shared" si="120"/>
        <v>-0.03174778761</v>
      </c>
      <c r="H120" s="22" t="str">
        <f t="shared" si="4"/>
        <v/>
      </c>
    </row>
    <row r="121" ht="15.75" customHeight="1">
      <c r="A121" s="32">
        <f>'EQUITY BACKTEST'!A124</f>
        <v>36993.66667</v>
      </c>
      <c r="B121" s="22">
        <f>'EQUITY BACKTEST'!B124</f>
        <v>1183.5</v>
      </c>
      <c r="C121" s="22">
        <f>1/'EQUITY BACKTEST'!E124</f>
        <v>1.126126126</v>
      </c>
      <c r="D121" s="22">
        <f t="shared" si="1"/>
        <v>0.5191895368</v>
      </c>
      <c r="E121" s="22">
        <f t="shared" ref="E121:F121" si="121">IF(A121&lt;&gt;"", (B121 - B120) / B120, "")</f>
        <v>0.04880231827</v>
      </c>
      <c r="F121" s="22">
        <f t="shared" si="121"/>
        <v>0.01801801802</v>
      </c>
      <c r="H121" s="22" t="str">
        <f t="shared" si="4"/>
        <v/>
      </c>
    </row>
    <row r="122" ht="15.75" customHeight="1">
      <c r="A122" s="32">
        <f>'EQUITY BACKTEST'!A125</f>
        <v>37001.66667</v>
      </c>
      <c r="B122" s="22">
        <f>'EQUITY BACKTEST'!B125</f>
        <v>1242.95</v>
      </c>
      <c r="C122" s="22">
        <f>1/'EQUITY BACKTEST'!E125</f>
        <v>1.109508488</v>
      </c>
      <c r="D122" s="22">
        <f t="shared" si="1"/>
        <v>0.5236766775</v>
      </c>
      <c r="E122" s="22">
        <f t="shared" ref="E122:F122" si="122">IF(A122&lt;&gt;"", (B122 - B121) / B121, "")</f>
        <v>0.05023236164</v>
      </c>
      <c r="F122" s="22">
        <f t="shared" si="122"/>
        <v>-0.01475646289</v>
      </c>
      <c r="H122" s="22" t="str">
        <f t="shared" si="4"/>
        <v/>
      </c>
    </row>
    <row r="123" ht="15.75" customHeight="1">
      <c r="A123" s="32">
        <f>'EQUITY BACKTEST'!A126</f>
        <v>37008.66667</v>
      </c>
      <c r="B123" s="22">
        <f>'EQUITY BACKTEST'!B126</f>
        <v>1253.07</v>
      </c>
      <c r="C123" s="22">
        <f>1/'EQUITY BACKTEST'!E126</f>
        <v>1.123848056</v>
      </c>
      <c r="D123" s="22">
        <f t="shared" si="1"/>
        <v>0.5681255598</v>
      </c>
      <c r="E123" s="22">
        <f t="shared" ref="E123:F123" si="123">IF(A123&lt;&gt;"", (B123 - B122) / B122, "")</f>
        <v>0.008141920431</v>
      </c>
      <c r="F123" s="22">
        <f t="shared" si="123"/>
        <v>0.01292425264</v>
      </c>
      <c r="H123" s="22" t="str">
        <f t="shared" si="4"/>
        <v/>
      </c>
    </row>
    <row r="124" ht="15.75" customHeight="1">
      <c r="A124" s="32">
        <f>'EQUITY BACKTEST'!A127</f>
        <v>37015.66667</v>
      </c>
      <c r="B124" s="22">
        <f>'EQUITY BACKTEST'!B127</f>
        <v>1266.59</v>
      </c>
      <c r="C124" s="22">
        <f>1/'EQUITY BACKTEST'!E127</f>
        <v>1.121076233</v>
      </c>
      <c r="D124" s="22">
        <f t="shared" si="1"/>
        <v>0.6049527804</v>
      </c>
      <c r="E124" s="22">
        <f t="shared" ref="E124:F124" si="124">IF(A124&lt;&gt;"", (B124 - B123) / B123, "")</f>
        <v>0.01078950099</v>
      </c>
      <c r="F124" s="22">
        <f t="shared" si="124"/>
        <v>-0.002466367713</v>
      </c>
      <c r="H124" s="22" t="str">
        <f t="shared" si="4"/>
        <v/>
      </c>
    </row>
    <row r="125" ht="15.75" customHeight="1">
      <c r="A125" s="32">
        <f>'EQUITY BACKTEST'!A128</f>
        <v>37022.66667</v>
      </c>
      <c r="B125" s="22">
        <f>'EQUITY BACKTEST'!B128</f>
        <v>1245.65</v>
      </c>
      <c r="C125" s="22">
        <f>1/'EQUITY BACKTEST'!E128</f>
        <v>1.143379831</v>
      </c>
      <c r="D125" s="22">
        <f t="shared" si="1"/>
        <v>0.6530948274</v>
      </c>
      <c r="E125" s="22">
        <f t="shared" ref="E125:F125" si="125">IF(A125&lt;&gt;"", (B125 - B124) / B124, "")</f>
        <v>-0.0165325796</v>
      </c>
      <c r="F125" s="22">
        <f t="shared" si="125"/>
        <v>0.01989480906</v>
      </c>
      <c r="H125" s="22" t="str">
        <f t="shared" si="4"/>
        <v/>
      </c>
    </row>
    <row r="126" ht="15.75" customHeight="1">
      <c r="A126" s="32">
        <f>'EQUITY BACKTEST'!A129</f>
        <v>37029.66667</v>
      </c>
      <c r="B126" s="22">
        <f>'EQUITY BACKTEST'!B129</f>
        <v>1291.96</v>
      </c>
      <c r="C126" s="22">
        <f>1/'EQUITY BACKTEST'!E129</f>
        <v>1.138952164</v>
      </c>
      <c r="D126" s="22">
        <f t="shared" si="1"/>
        <v>0.6546993301</v>
      </c>
      <c r="E126" s="22">
        <f t="shared" ref="E126:F126" si="126">IF(A126&lt;&gt;"", (B126 - B125) / B125, "")</f>
        <v>0.03717737727</v>
      </c>
      <c r="F126" s="22">
        <f t="shared" si="126"/>
        <v>-0.003872437358</v>
      </c>
      <c r="H126" s="22" t="str">
        <f t="shared" si="4"/>
        <v/>
      </c>
    </row>
    <row r="127" ht="15.75" customHeight="1">
      <c r="A127" s="32">
        <f>'EQUITY BACKTEST'!A130</f>
        <v>37036.66667</v>
      </c>
      <c r="B127" s="22">
        <f>'EQUITY BACKTEST'!B130</f>
        <v>1277.89</v>
      </c>
      <c r="C127" s="22">
        <f>1/'EQUITY BACKTEST'!E130</f>
        <v>1.16184501</v>
      </c>
      <c r="D127" s="22">
        <f t="shared" si="1"/>
        <v>0.6829549026</v>
      </c>
      <c r="E127" s="22">
        <f t="shared" ref="E127:F127" si="127">IF(A127&lt;&gt;"", (B127 - B126) / B126, "")</f>
        <v>-0.01089043004</v>
      </c>
      <c r="F127" s="22">
        <f t="shared" si="127"/>
        <v>0.02009991867</v>
      </c>
      <c r="H127" s="22" t="str">
        <f t="shared" si="4"/>
        <v/>
      </c>
    </row>
    <row r="128" ht="15.75" customHeight="1">
      <c r="A128" s="32">
        <f>'EQUITY BACKTEST'!A131</f>
        <v>37043.66667</v>
      </c>
      <c r="B128" s="22">
        <f>'EQUITY BACKTEST'!B131</f>
        <v>1260.67</v>
      </c>
      <c r="C128" s="22">
        <f>1/'EQUITY BACKTEST'!E131</f>
        <v>1.179941003</v>
      </c>
      <c r="D128" s="22">
        <f t="shared" si="1"/>
        <v>0.683824255</v>
      </c>
      <c r="E128" s="22">
        <f t="shared" ref="E128:F128" si="128">IF(A128&lt;&gt;"", (B128 - B127) / B127, "")</f>
        <v>-0.01347533825</v>
      </c>
      <c r="F128" s="22">
        <f t="shared" si="128"/>
        <v>0.01557522124</v>
      </c>
      <c r="H128" s="22" t="str">
        <f t="shared" si="4"/>
        <v/>
      </c>
    </row>
    <row r="129" ht="15.75" customHeight="1">
      <c r="A129" s="32">
        <f>'EQUITY BACKTEST'!A132</f>
        <v>37050.66667</v>
      </c>
      <c r="B129" s="22">
        <f>'EQUITY BACKTEST'!B132</f>
        <v>1264.97</v>
      </c>
      <c r="C129" s="22">
        <f>1/'EQUITY BACKTEST'!E132</f>
        <v>1.175088132</v>
      </c>
      <c r="D129" s="22">
        <f t="shared" si="1"/>
        <v>0.6829770438</v>
      </c>
      <c r="E129" s="22">
        <f t="shared" ref="E129:F129" si="129">IF(A129&lt;&gt;"", (B129 - B128) / B128, "")</f>
        <v>0.003410884688</v>
      </c>
      <c r="F129" s="22">
        <f t="shared" si="129"/>
        <v>-0.004112808461</v>
      </c>
      <c r="H129" s="22" t="str">
        <f t="shared" si="4"/>
        <v/>
      </c>
    </row>
    <row r="130" ht="15.75" customHeight="1">
      <c r="A130" s="32">
        <f>'EQUITY BACKTEST'!A133</f>
        <v>37057.66667</v>
      </c>
      <c r="B130" s="22">
        <f>'EQUITY BACKTEST'!B133</f>
        <v>1214.36</v>
      </c>
      <c r="C130" s="22">
        <f>1/'EQUITY BACKTEST'!E133</f>
        <v>1.160362033</v>
      </c>
      <c r="D130" s="22">
        <f t="shared" si="1"/>
        <v>0.6888505017</v>
      </c>
      <c r="E130" s="22">
        <f t="shared" ref="E130:F130" si="130">IF(A130&lt;&gt;"", (B130 - B129) / B129, "")</f>
        <v>-0.04000885396</v>
      </c>
      <c r="F130" s="22">
        <f t="shared" si="130"/>
        <v>-0.01253190996</v>
      </c>
      <c r="H130" s="22" t="str">
        <f t="shared" si="4"/>
        <v/>
      </c>
    </row>
    <row r="131" ht="15.75" customHeight="1">
      <c r="A131" s="32">
        <f>'EQUITY BACKTEST'!A134</f>
        <v>37064.66667</v>
      </c>
      <c r="B131" s="22">
        <f>'EQUITY BACKTEST'!B134</f>
        <v>1225.35</v>
      </c>
      <c r="C131" s="22">
        <f>1/'EQUITY BACKTEST'!E134</f>
        <v>1.166997316</v>
      </c>
      <c r="D131" s="22">
        <f t="shared" si="1"/>
        <v>0.715197289</v>
      </c>
      <c r="E131" s="22">
        <f t="shared" ref="E131:F131" si="131">IF(A131&lt;&gt;"", (B131 - B130) / B130, "")</f>
        <v>0.009050034586</v>
      </c>
      <c r="F131" s="22">
        <f t="shared" si="131"/>
        <v>0.005718286848</v>
      </c>
      <c r="H131" s="22" t="str">
        <f t="shared" si="4"/>
        <v/>
      </c>
    </row>
    <row r="132" ht="15.75" customHeight="1">
      <c r="A132" s="32">
        <f>'EQUITY BACKTEST'!A135</f>
        <v>37071.66667</v>
      </c>
      <c r="B132" s="22">
        <f>'EQUITY BACKTEST'!B135</f>
        <v>1226.99</v>
      </c>
      <c r="C132" s="22">
        <f>1/'EQUITY BACKTEST'!E135</f>
        <v>1.177856302</v>
      </c>
      <c r="D132" s="22">
        <f t="shared" si="1"/>
        <v>0.7322093713</v>
      </c>
      <c r="E132" s="22">
        <f t="shared" ref="E132:F132" si="132">IF(A132&lt;&gt;"", (B132 - B131) / B131, "")</f>
        <v>0.001338393112</v>
      </c>
      <c r="F132" s="22">
        <f t="shared" si="132"/>
        <v>0.009305064782</v>
      </c>
      <c r="H132" s="22" t="str">
        <f t="shared" si="4"/>
        <v/>
      </c>
    </row>
    <row r="133" ht="15.75" customHeight="1">
      <c r="A133" s="32">
        <f>'EQUITY BACKTEST'!A136</f>
        <v>37078.66667</v>
      </c>
      <c r="B133" s="22">
        <f>'EQUITY BACKTEST'!B136</f>
        <v>1190.59</v>
      </c>
      <c r="C133" s="22">
        <f>1/'EQUITY BACKTEST'!E136</f>
        <v>1.180219521</v>
      </c>
      <c r="D133" s="22">
        <f t="shared" si="1"/>
        <v>0.7414099936</v>
      </c>
      <c r="E133" s="22">
        <f t="shared" ref="E133:F133" si="133">IF(A133&lt;&gt;"", (B133 - B132) / B132, "")</f>
        <v>-0.02966609345</v>
      </c>
      <c r="F133" s="22">
        <f t="shared" si="133"/>
        <v>0.002006373185</v>
      </c>
      <c r="H133" s="22" t="str">
        <f t="shared" si="4"/>
        <v/>
      </c>
    </row>
    <row r="134" ht="15.75" customHeight="1">
      <c r="A134" s="32">
        <f>'EQUITY BACKTEST'!A137</f>
        <v>37085.66667</v>
      </c>
      <c r="B134" s="22">
        <f>'EQUITY BACKTEST'!B137</f>
        <v>1215.68</v>
      </c>
      <c r="C134" s="22">
        <f>1/'EQUITY BACKTEST'!E137</f>
        <v>1.170823089</v>
      </c>
      <c r="D134" s="22">
        <f t="shared" si="1"/>
        <v>0.7737906839</v>
      </c>
      <c r="E134" s="22">
        <f t="shared" ref="E134:F134" si="134">IF(A134&lt;&gt;"", (B134 - B133) / B133, "")</f>
        <v>0.02107358537</v>
      </c>
      <c r="F134" s="22">
        <f t="shared" si="134"/>
        <v>-0.007961597003</v>
      </c>
      <c r="H134" s="22" t="str">
        <f t="shared" si="4"/>
        <v/>
      </c>
    </row>
    <row r="135" ht="15.75" customHeight="1">
      <c r="A135" s="32">
        <f>'EQUITY BACKTEST'!A138</f>
        <v>37092.66667</v>
      </c>
      <c r="B135" s="22">
        <f>'EQUITY BACKTEST'!B138</f>
        <v>1210.85</v>
      </c>
      <c r="C135" s="22">
        <f>1/'EQUITY BACKTEST'!E138</f>
        <v>1.147842057</v>
      </c>
      <c r="D135" s="22">
        <f t="shared" si="1"/>
        <v>0.8071305408</v>
      </c>
      <c r="E135" s="22">
        <f t="shared" ref="E135:F135" si="135">IF(A135&lt;&gt;"", (B135 - B134) / B134, "")</f>
        <v>-0.003973085022</v>
      </c>
      <c r="F135" s="22">
        <f t="shared" si="135"/>
        <v>-0.01962809917</v>
      </c>
      <c r="H135" s="22" t="str">
        <f t="shared" si="4"/>
        <v/>
      </c>
    </row>
    <row r="136" ht="15.75" customHeight="1">
      <c r="A136" s="32">
        <f>'EQUITY BACKTEST'!A139</f>
        <v>37099.66667</v>
      </c>
      <c r="B136" s="22">
        <f>'EQUITY BACKTEST'!B139</f>
        <v>1205.82</v>
      </c>
      <c r="C136" s="22">
        <f>1/'EQUITY BACKTEST'!E139</f>
        <v>1.140250855</v>
      </c>
      <c r="D136" s="22">
        <f t="shared" si="1"/>
        <v>0.8224552344</v>
      </c>
      <c r="E136" s="22">
        <f t="shared" ref="E136:F136" si="136">IF(A136&lt;&gt;"", (B136 - B135) / B135, "")</f>
        <v>-0.004154106619</v>
      </c>
      <c r="F136" s="22">
        <f t="shared" si="136"/>
        <v>-0.00661345496</v>
      </c>
      <c r="H136" s="22" t="str">
        <f t="shared" si="4"/>
        <v/>
      </c>
    </row>
    <row r="137" ht="15.75" customHeight="1">
      <c r="A137" s="32">
        <f>'EQUITY BACKTEST'!A140</f>
        <v>37106.66667</v>
      </c>
      <c r="B137" s="22">
        <f>'EQUITY BACKTEST'!B140</f>
        <v>1214.35</v>
      </c>
      <c r="C137" s="22">
        <f>1/'EQUITY BACKTEST'!E140</f>
        <v>1.13147771</v>
      </c>
      <c r="D137" s="22">
        <f t="shared" si="1"/>
        <v>0.8365164915</v>
      </c>
      <c r="E137" s="22">
        <f t="shared" ref="E137:F137" si="137">IF(A137&lt;&gt;"", (B137 - B136) / B136, "")</f>
        <v>0.007074024315</v>
      </c>
      <c r="F137" s="22">
        <f t="shared" si="137"/>
        <v>-0.007694048427</v>
      </c>
      <c r="H137" s="22" t="str">
        <f t="shared" si="4"/>
        <v/>
      </c>
    </row>
    <row r="138" ht="15.75" customHeight="1">
      <c r="A138" s="32">
        <f>'EQUITY BACKTEST'!A141</f>
        <v>37113.66667</v>
      </c>
      <c r="B138" s="22">
        <f>'EQUITY BACKTEST'!B141</f>
        <v>1190.16</v>
      </c>
      <c r="C138" s="22">
        <f>1/'EQUITY BACKTEST'!E141</f>
        <v>1.120197155</v>
      </c>
      <c r="D138" s="22">
        <f t="shared" si="1"/>
        <v>0.8475033237</v>
      </c>
      <c r="E138" s="22">
        <f t="shared" ref="E138:F138" si="138">IF(A138&lt;&gt;"", (B138 - B137) / B137, "")</f>
        <v>-0.01992012188</v>
      </c>
      <c r="F138" s="22">
        <f t="shared" si="138"/>
        <v>-0.009969754677</v>
      </c>
      <c r="H138" s="22" t="str">
        <f t="shared" si="4"/>
        <v/>
      </c>
    </row>
    <row r="139" ht="15.75" customHeight="1">
      <c r="A139" s="32">
        <f>'EQUITY BACKTEST'!A142</f>
        <v>37120.66667</v>
      </c>
      <c r="B139" s="22">
        <f>'EQUITY BACKTEST'!B142</f>
        <v>1161.97</v>
      </c>
      <c r="C139" s="22">
        <f>1/'EQUITY BACKTEST'!E142</f>
        <v>1.090155892</v>
      </c>
      <c r="D139" s="22">
        <f t="shared" si="1"/>
        <v>0.8608635482</v>
      </c>
      <c r="E139" s="22">
        <f t="shared" ref="E139:F139" si="139">IF(A139&lt;&gt;"", (B139 - B138) / B138, "")</f>
        <v>-0.02368589097</v>
      </c>
      <c r="F139" s="22">
        <f t="shared" si="139"/>
        <v>-0.02681783495</v>
      </c>
      <c r="H139" s="22" t="str">
        <f t="shared" si="4"/>
        <v/>
      </c>
    </row>
    <row r="140" ht="15.75" customHeight="1">
      <c r="A140" s="32">
        <f>'EQUITY BACKTEST'!A143</f>
        <v>37127.66667</v>
      </c>
      <c r="B140" s="22">
        <f>'EQUITY BACKTEST'!B143</f>
        <v>1184.93</v>
      </c>
      <c r="C140" s="22">
        <f>1/'EQUITY BACKTEST'!E143</f>
        <v>1.094930472</v>
      </c>
      <c r="D140" s="22">
        <f t="shared" si="1"/>
        <v>0.8787193621</v>
      </c>
      <c r="E140" s="22">
        <f t="shared" ref="E140:F140" si="140">IF(A140&lt;&gt;"", (B140 - B139) / B139, "")</f>
        <v>0.01975954629</v>
      </c>
      <c r="F140" s="22">
        <f t="shared" si="140"/>
        <v>0.004379721888</v>
      </c>
      <c r="H140" s="22" t="str">
        <f t="shared" si="4"/>
        <v/>
      </c>
    </row>
    <row r="141" ht="15.75" customHeight="1">
      <c r="A141" s="32">
        <f>'EQUITY BACKTEST'!A144</f>
        <v>37134.66667</v>
      </c>
      <c r="B141" s="22">
        <f>'EQUITY BACKTEST'!B144</f>
        <v>1133.58</v>
      </c>
      <c r="C141" s="22">
        <f>1/'EQUITY BACKTEST'!E144</f>
        <v>1.096250822</v>
      </c>
      <c r="D141" s="22">
        <f t="shared" si="1"/>
        <v>0.9001999366</v>
      </c>
      <c r="E141" s="22">
        <f t="shared" ref="E141:F141" si="141">IF(A141&lt;&gt;"", (B141 - B140) / B140, "")</f>
        <v>-0.04333589326</v>
      </c>
      <c r="F141" s="22">
        <f t="shared" si="141"/>
        <v>0.001205875904</v>
      </c>
      <c r="H141" s="22" t="str">
        <f t="shared" si="4"/>
        <v/>
      </c>
    </row>
    <row r="142" ht="15.75" customHeight="1">
      <c r="A142" s="32">
        <f>'EQUITY BACKTEST'!A145</f>
        <v>37141.66667</v>
      </c>
      <c r="B142" s="22">
        <f>'EQUITY BACKTEST'!B145</f>
        <v>1085.78</v>
      </c>
      <c r="C142" s="22">
        <f>1/'EQUITY BACKTEST'!E145</f>
        <v>1.10631707</v>
      </c>
      <c r="D142" s="22">
        <f t="shared" si="1"/>
        <v>0.9094112001</v>
      </c>
      <c r="E142" s="22">
        <f t="shared" ref="E142:F142" si="142">IF(A142&lt;&gt;"", (B142 - B141) / B141, "")</f>
        <v>-0.042167293</v>
      </c>
      <c r="F142" s="22">
        <f t="shared" si="142"/>
        <v>0.009182431685</v>
      </c>
      <c r="H142" s="22" t="str">
        <f t="shared" si="4"/>
        <v/>
      </c>
    </row>
    <row r="143" ht="15.75" customHeight="1">
      <c r="A143" s="32">
        <f>'EQUITY BACKTEST'!A146</f>
        <v>37145.66667</v>
      </c>
      <c r="B143" s="22">
        <f>'EQUITY BACKTEST'!B146</f>
        <v>1092.54</v>
      </c>
      <c r="C143" s="22">
        <f>1/'EQUITY BACKTEST'!E146</f>
        <v>1.086956522</v>
      </c>
      <c r="D143" s="22">
        <f t="shared" si="1"/>
        <v>0.9108467005</v>
      </c>
      <c r="E143" s="22">
        <f t="shared" ref="E143:F143" si="143">IF(A143&lt;&gt;"", (B143 - B142) / B142, "")</f>
        <v>0.006225938956</v>
      </c>
      <c r="F143" s="22">
        <f t="shared" si="143"/>
        <v>-0.0175</v>
      </c>
      <c r="H143" s="22" t="str">
        <f t="shared" si="4"/>
        <v/>
      </c>
    </row>
    <row r="144" ht="15.75" customHeight="1">
      <c r="A144" s="32">
        <f>'EQUITY BACKTEST'!A147</f>
        <v>37155.66667</v>
      </c>
      <c r="B144" s="22">
        <f>'EQUITY BACKTEST'!B147</f>
        <v>965.8</v>
      </c>
      <c r="C144" s="22">
        <f>1/'EQUITY BACKTEST'!E147</f>
        <v>1.094211621</v>
      </c>
      <c r="D144" s="22">
        <f t="shared" si="1"/>
        <v>0.9141020761</v>
      </c>
      <c r="E144" s="22">
        <f t="shared" ref="E144:F144" si="144">IF(A144&lt;&gt;"", (B144 - B143) / B143, "")</f>
        <v>-0.116004906</v>
      </c>
      <c r="F144" s="22">
        <f t="shared" si="144"/>
        <v>0.006674690885</v>
      </c>
      <c r="H144" s="22" t="str">
        <f t="shared" si="4"/>
        <v>Crash</v>
      </c>
    </row>
    <row r="145" ht="15.75" customHeight="1">
      <c r="A145" s="32">
        <f>'EQUITY BACKTEST'!A148</f>
        <v>37162.66667</v>
      </c>
      <c r="B145" s="22">
        <f>'EQUITY BACKTEST'!B148</f>
        <v>1040.94</v>
      </c>
      <c r="C145" s="22">
        <f>1/'EQUITY BACKTEST'!E148</f>
        <v>1.097815347</v>
      </c>
      <c r="D145" s="22">
        <f t="shared" si="1"/>
        <v>0.9201137416</v>
      </c>
      <c r="E145" s="22">
        <f t="shared" ref="E145:F145" si="145">IF(A145&lt;&gt;"", (B145 - B144) / B144, "")</f>
        <v>0.07780078691</v>
      </c>
      <c r="F145" s="22">
        <f t="shared" si="145"/>
        <v>0.003293446042</v>
      </c>
      <c r="H145" s="22" t="str">
        <f t="shared" si="4"/>
        <v/>
      </c>
    </row>
    <row r="146" ht="15.75" customHeight="1">
      <c r="A146" s="32">
        <f>'EQUITY BACKTEST'!A149</f>
        <v>37169.66667</v>
      </c>
      <c r="B146" s="22">
        <f>'EQUITY BACKTEST'!B149</f>
        <v>1071.38</v>
      </c>
      <c r="C146" s="22">
        <f>1/'EQUITY BACKTEST'!E149</f>
        <v>1.089561996</v>
      </c>
      <c r="D146" s="22">
        <f t="shared" si="1"/>
        <v>0.9160566895</v>
      </c>
      <c r="E146" s="22">
        <f t="shared" ref="E146:F146" si="146">IF(A146&lt;&gt;"", (B146 - B145) / B145, "")</f>
        <v>0.02924279978</v>
      </c>
      <c r="F146" s="22">
        <f t="shared" si="146"/>
        <v>-0.007517977773</v>
      </c>
      <c r="H146" s="22" t="str">
        <f t="shared" si="4"/>
        <v/>
      </c>
    </row>
    <row r="147" ht="15.75" customHeight="1">
      <c r="A147" s="32">
        <f>'EQUITY BACKTEST'!A150</f>
        <v>37176.66667</v>
      </c>
      <c r="B147" s="22">
        <f>'EQUITY BACKTEST'!B150</f>
        <v>1091.65</v>
      </c>
      <c r="C147" s="22">
        <f>1/'EQUITY BACKTEST'!E150</f>
        <v>1.09805644</v>
      </c>
      <c r="D147" s="22">
        <f t="shared" si="1"/>
        <v>0.9187847106</v>
      </c>
      <c r="E147" s="22">
        <f t="shared" ref="E147:F147" si="147">IF(A147&lt;&gt;"", (B147 - B146) / B146, "")</f>
        <v>0.01891952435</v>
      </c>
      <c r="F147" s="22">
        <f t="shared" si="147"/>
        <v>0.007796200725</v>
      </c>
      <c r="H147" s="22" t="str">
        <f t="shared" si="4"/>
        <v/>
      </c>
    </row>
    <row r="148" ht="15.75" customHeight="1">
      <c r="A148" s="32">
        <f>'EQUITY BACKTEST'!A151</f>
        <v>37183.66667</v>
      </c>
      <c r="B148" s="22">
        <f>'EQUITY BACKTEST'!B151</f>
        <v>1073.48</v>
      </c>
      <c r="C148" s="22">
        <f>1/'EQUITY BACKTEST'!E151</f>
        <v>1.113213848</v>
      </c>
      <c r="D148" s="22">
        <f t="shared" si="1"/>
        <v>0.9206040342</v>
      </c>
      <c r="E148" s="22">
        <f t="shared" ref="E148:F148" si="148">IF(A148&lt;&gt;"", (B148 - B147) / B147, "")</f>
        <v>-0.01664452892</v>
      </c>
      <c r="F148" s="22">
        <f t="shared" si="148"/>
        <v>0.01380385172</v>
      </c>
      <c r="H148" s="22" t="str">
        <f t="shared" si="4"/>
        <v/>
      </c>
    </row>
    <row r="149" ht="15.75" customHeight="1">
      <c r="A149" s="32">
        <f>'EQUITY BACKTEST'!A152</f>
        <v>37190.66667</v>
      </c>
      <c r="B149" s="22">
        <f>'EQUITY BACKTEST'!B152</f>
        <v>1104.61</v>
      </c>
      <c r="C149" s="22">
        <f>1/'EQUITY BACKTEST'!E152</f>
        <v>1.119820829</v>
      </c>
      <c r="D149" s="22">
        <f t="shared" si="1"/>
        <v>0.9228186086</v>
      </c>
      <c r="E149" s="22">
        <f t="shared" ref="E149:F149" si="149">IF(A149&lt;&gt;"", (B149 - B148) / B148, "")</f>
        <v>0.02899914297</v>
      </c>
      <c r="F149" s="22">
        <f t="shared" si="149"/>
        <v>0.005935050392</v>
      </c>
      <c r="H149" s="22" t="str">
        <f t="shared" si="4"/>
        <v/>
      </c>
    </row>
    <row r="150" ht="15.75" customHeight="1">
      <c r="A150" s="32">
        <f>'EQUITY BACKTEST'!A153</f>
        <v>37197.66667</v>
      </c>
      <c r="B150" s="22">
        <f>'EQUITY BACKTEST'!B153</f>
        <v>1087.2</v>
      </c>
      <c r="C150" s="22">
        <f>1/'EQUITY BACKTEST'!E153</f>
        <v>1.106806862</v>
      </c>
      <c r="D150" s="22">
        <f t="shared" si="1"/>
        <v>0.9239066544</v>
      </c>
      <c r="E150" s="22">
        <f t="shared" ref="E150:F150" si="150">IF(A150&lt;&gt;"", (B150 - B149) / B149, "")</f>
        <v>-0.01576121889</v>
      </c>
      <c r="F150" s="22">
        <f t="shared" si="150"/>
        <v>-0.01162147205</v>
      </c>
      <c r="H150" s="22" t="str">
        <f t="shared" si="4"/>
        <v/>
      </c>
    </row>
    <row r="151" ht="15.75" customHeight="1">
      <c r="A151" s="32">
        <f>'EQUITY BACKTEST'!A154</f>
        <v>37204.66667</v>
      </c>
      <c r="B151" s="22">
        <f>'EQUITY BACKTEST'!B154</f>
        <v>1120.31</v>
      </c>
      <c r="C151" s="22">
        <f>1/'EQUITY BACKTEST'!E154</f>
        <v>1.118568233</v>
      </c>
      <c r="D151" s="22">
        <f t="shared" si="1"/>
        <v>0.9235072683</v>
      </c>
      <c r="E151" s="22">
        <f t="shared" ref="E151:F151" si="151">IF(A151&lt;&gt;"", (B151 - B150) / B150, "")</f>
        <v>0.03045437822</v>
      </c>
      <c r="F151" s="22">
        <f t="shared" si="151"/>
        <v>0.01062639821</v>
      </c>
      <c r="H151" s="22" t="str">
        <f t="shared" si="4"/>
        <v/>
      </c>
    </row>
    <row r="152" ht="15.75" customHeight="1">
      <c r="A152" s="32">
        <f>'EQUITY BACKTEST'!A155</f>
        <v>37211.66667</v>
      </c>
      <c r="B152" s="22">
        <f>'EQUITY BACKTEST'!B155</f>
        <v>1138.65</v>
      </c>
      <c r="C152" s="22">
        <f>1/'EQUITY BACKTEST'!E155</f>
        <v>1.13147771</v>
      </c>
      <c r="D152" s="22">
        <f t="shared" si="1"/>
        <v>0.9223023644</v>
      </c>
      <c r="E152" s="22">
        <f t="shared" ref="E152:F152" si="152">IF(A152&lt;&gt;"", (B152 - B151) / B151, "")</f>
        <v>0.01637046889</v>
      </c>
      <c r="F152" s="22">
        <f t="shared" si="152"/>
        <v>0.01154107264</v>
      </c>
      <c r="H152" s="22" t="str">
        <f t="shared" si="4"/>
        <v/>
      </c>
    </row>
    <row r="153" ht="15.75" customHeight="1">
      <c r="A153" s="32">
        <f>'EQUITY BACKTEST'!A156</f>
        <v>37218.66667</v>
      </c>
      <c r="B153" s="22">
        <f>'EQUITY BACKTEST'!B156</f>
        <v>1150.34</v>
      </c>
      <c r="C153" s="22">
        <f>1/'EQUITY BACKTEST'!E156</f>
        <v>1.138952164</v>
      </c>
      <c r="D153" s="22">
        <f t="shared" si="1"/>
        <v>0.9203301888</v>
      </c>
      <c r="E153" s="22">
        <f t="shared" ref="E153:F153" si="153">IF(A153&lt;&gt;"", (B153 - B152) / B152, "")</f>
        <v>0.01026654371</v>
      </c>
      <c r="F153" s="22">
        <f t="shared" si="153"/>
        <v>0.006605922551</v>
      </c>
      <c r="H153" s="22" t="str">
        <f t="shared" si="4"/>
        <v/>
      </c>
    </row>
    <row r="154" ht="15.75" customHeight="1">
      <c r="A154" s="32">
        <f>'EQUITY BACKTEST'!A157</f>
        <v>37225.66667</v>
      </c>
      <c r="B154" s="22">
        <f>'EQUITY BACKTEST'!B157</f>
        <v>1139.45</v>
      </c>
      <c r="C154" s="22">
        <f>1/'EQUITY BACKTEST'!E157</f>
        <v>1.115697869</v>
      </c>
      <c r="D154" s="22">
        <f t="shared" si="1"/>
        <v>0.9177664933</v>
      </c>
      <c r="E154" s="22">
        <f t="shared" ref="E154:F154" si="154">IF(A154&lt;&gt;"", (B154 - B153) / B153, "")</f>
        <v>-0.009466766347</v>
      </c>
      <c r="F154" s="22">
        <f t="shared" si="154"/>
        <v>-0.020417271</v>
      </c>
      <c r="H154" s="22" t="str">
        <f t="shared" si="4"/>
        <v/>
      </c>
    </row>
    <row r="155" ht="15.75" customHeight="1">
      <c r="A155" s="32">
        <f>'EQUITY BACKTEST'!A158</f>
        <v>37232.66667</v>
      </c>
      <c r="B155" s="22">
        <f>'EQUITY BACKTEST'!B158</f>
        <v>1158.31</v>
      </c>
      <c r="C155" s="22">
        <f>1/'EQUITY BACKTEST'!E158</f>
        <v>1.123721766</v>
      </c>
      <c r="D155" s="22">
        <f t="shared" si="1"/>
        <v>0.9170150584</v>
      </c>
      <c r="E155" s="22">
        <f t="shared" ref="E155:F155" si="155">IF(A155&lt;&gt;"", (B155 - B154) / B154, "")</f>
        <v>0.01655184519</v>
      </c>
      <c r="F155" s="22">
        <f t="shared" si="155"/>
        <v>0.007191819306</v>
      </c>
      <c r="H155" s="22" t="str">
        <f t="shared" si="4"/>
        <v/>
      </c>
    </row>
    <row r="156" ht="15.75" customHeight="1">
      <c r="A156" s="32">
        <f>'EQUITY BACKTEST'!A159</f>
        <v>37239.66667</v>
      </c>
      <c r="B156" s="22">
        <f>'EQUITY BACKTEST'!B159</f>
        <v>1123.07</v>
      </c>
      <c r="C156" s="22">
        <f>1/'EQUITY BACKTEST'!E159</f>
        <v>1.108524554</v>
      </c>
      <c r="D156" s="22">
        <f t="shared" si="1"/>
        <v>0.9163694153</v>
      </c>
      <c r="E156" s="22">
        <f t="shared" ref="E156:F156" si="156">IF(A156&lt;&gt;"", (B156 - B155) / B155, "")</f>
        <v>-0.03042363443</v>
      </c>
      <c r="F156" s="22">
        <f t="shared" si="156"/>
        <v>-0.01352399956</v>
      </c>
      <c r="H156" s="22" t="str">
        <f t="shared" si="4"/>
        <v/>
      </c>
    </row>
    <row r="157" ht="15.75" customHeight="1">
      <c r="A157" s="32">
        <f>'EQUITY BACKTEST'!A160</f>
        <v>37246.66667</v>
      </c>
      <c r="B157" s="22">
        <f>'EQUITY BACKTEST'!B160</f>
        <v>1144.89</v>
      </c>
      <c r="C157" s="22">
        <f>1/'EQUITY BACKTEST'!E160</f>
        <v>1.125492403</v>
      </c>
      <c r="D157" s="22">
        <f t="shared" si="1"/>
        <v>0.9154523097</v>
      </c>
      <c r="E157" s="22">
        <f t="shared" ref="E157:F157" si="157">IF(A157&lt;&gt;"", (B157 - B156) / B156, "")</f>
        <v>0.01942888689</v>
      </c>
      <c r="F157" s="22">
        <f t="shared" si="157"/>
        <v>0.01530669668</v>
      </c>
      <c r="H157" s="22" t="str">
        <f t="shared" si="4"/>
        <v/>
      </c>
    </row>
    <row r="158" ht="15.75" customHeight="1">
      <c r="A158" s="32">
        <f>'EQUITY BACKTEST'!A161</f>
        <v>37253.66667</v>
      </c>
      <c r="B158" s="22">
        <f>'EQUITY BACKTEST'!B161</f>
        <v>1161.02</v>
      </c>
      <c r="C158" s="22">
        <f>1/'EQUITY BACKTEST'!E161</f>
        <v>1.130198915</v>
      </c>
      <c r="D158" s="22">
        <f t="shared" si="1"/>
        <v>0.9132830874</v>
      </c>
      <c r="E158" s="22">
        <f t="shared" ref="E158:F158" si="158">IF(A158&lt;&gt;"", (B158 - B157) / B157, "")</f>
        <v>0.01408868974</v>
      </c>
      <c r="F158" s="22">
        <f t="shared" si="158"/>
        <v>0.004181735986</v>
      </c>
      <c r="H158" s="22" t="str">
        <f t="shared" si="4"/>
        <v/>
      </c>
    </row>
    <row r="159" ht="15.75" customHeight="1">
      <c r="A159" s="32">
        <f>'EQUITY BACKTEST'!A162</f>
        <v>37260.66667</v>
      </c>
      <c r="B159" s="22">
        <f>'EQUITY BACKTEST'!B162</f>
        <v>1172.51</v>
      </c>
      <c r="C159" s="22">
        <f>1/'EQUITY BACKTEST'!E162</f>
        <v>1.11831805</v>
      </c>
      <c r="D159" s="22">
        <f t="shared" si="1"/>
        <v>0.9070209723</v>
      </c>
      <c r="E159" s="22">
        <f t="shared" ref="E159:F159" si="159">IF(A159&lt;&gt;"", (B159 - B158) / B158, "")</f>
        <v>0.009896470345</v>
      </c>
      <c r="F159" s="22">
        <f t="shared" si="159"/>
        <v>-0.01051218967</v>
      </c>
      <c r="H159" s="22" t="str">
        <f t="shared" si="4"/>
        <v/>
      </c>
    </row>
    <row r="160" ht="15.75" customHeight="1">
      <c r="A160" s="32">
        <f>'EQUITY BACKTEST'!A163</f>
        <v>37267.66667</v>
      </c>
      <c r="B160" s="22">
        <f>'EQUITY BACKTEST'!B163</f>
        <v>1145.6</v>
      </c>
      <c r="C160" s="22">
        <f>1/'EQUITY BACKTEST'!E163</f>
        <v>1.121201928</v>
      </c>
      <c r="D160" s="22">
        <f t="shared" si="1"/>
        <v>0.8972093978</v>
      </c>
      <c r="E160" s="22">
        <f t="shared" ref="E160:F160" si="160">IF(A160&lt;&gt;"", (B160 - B159) / B159, "")</f>
        <v>-0.02295076375</v>
      </c>
      <c r="F160" s="22">
        <f t="shared" si="160"/>
        <v>0.002578764435</v>
      </c>
      <c r="H160" s="22" t="str">
        <f t="shared" si="4"/>
        <v/>
      </c>
    </row>
    <row r="161" ht="15.75" customHeight="1">
      <c r="A161" s="32">
        <f>'EQUITY BACKTEST'!A164</f>
        <v>37274.66667</v>
      </c>
      <c r="B161" s="22">
        <f>'EQUITY BACKTEST'!B164</f>
        <v>1127.58</v>
      </c>
      <c r="C161" s="22">
        <f>1/'EQUITY BACKTEST'!E164</f>
        <v>1.131221719</v>
      </c>
      <c r="D161" s="22">
        <f t="shared" si="1"/>
        <v>0.8890582895</v>
      </c>
      <c r="E161" s="22">
        <f t="shared" ref="E161:F161" si="161">IF(A161&lt;&gt;"", (B161 - B160) / B160, "")</f>
        <v>-0.0157297486</v>
      </c>
      <c r="F161" s="22">
        <f t="shared" si="161"/>
        <v>0.008936651584</v>
      </c>
      <c r="H161" s="22" t="str">
        <f t="shared" si="4"/>
        <v/>
      </c>
    </row>
    <row r="162" ht="15.75" customHeight="1">
      <c r="A162" s="32">
        <f>'EQUITY BACKTEST'!A165</f>
        <v>37281.66667</v>
      </c>
      <c r="B162" s="22">
        <f>'EQUITY BACKTEST'!B165</f>
        <v>1133.28</v>
      </c>
      <c r="C162" s="22">
        <f>1/'EQUITY BACKTEST'!E165</f>
        <v>1.157139551</v>
      </c>
      <c r="D162" s="22">
        <f t="shared" si="1"/>
        <v>0.8844980713</v>
      </c>
      <c r="E162" s="22">
        <f t="shared" ref="E162:F162" si="162">IF(A162&lt;&gt;"", (B162 - B161) / B161, "")</f>
        <v>0.005055073698</v>
      </c>
      <c r="F162" s="22">
        <f t="shared" si="162"/>
        <v>0.02291136311</v>
      </c>
      <c r="H162" s="22" t="str">
        <f t="shared" si="4"/>
        <v/>
      </c>
    </row>
    <row r="163" ht="15.75" customHeight="1">
      <c r="A163" s="32">
        <f>'EQUITY BACKTEST'!A166</f>
        <v>37288.66667</v>
      </c>
      <c r="B163" s="22">
        <f>'EQUITY BACKTEST'!B166</f>
        <v>1122.2</v>
      </c>
      <c r="C163" s="22">
        <f>1/'EQUITY BACKTEST'!E166</f>
        <v>1.160496693</v>
      </c>
      <c r="D163" s="22">
        <f t="shared" si="1"/>
        <v>0.8804563877</v>
      </c>
      <c r="E163" s="22">
        <f t="shared" ref="E163:F163" si="163">IF(A163&lt;&gt;"", (B163 - B162) / B162, "")</f>
        <v>-0.009776930679</v>
      </c>
      <c r="F163" s="22">
        <f t="shared" si="163"/>
        <v>0.002901241731</v>
      </c>
      <c r="H163" s="22" t="str">
        <f t="shared" si="4"/>
        <v/>
      </c>
    </row>
    <row r="164" ht="15.75" customHeight="1">
      <c r="A164" s="32">
        <f>'EQUITY BACKTEST'!A167</f>
        <v>37295.66667</v>
      </c>
      <c r="B164" s="22">
        <f>'EQUITY BACKTEST'!B167</f>
        <v>1096.22</v>
      </c>
      <c r="C164" s="22">
        <f>1/'EQUITY BACKTEST'!E167</f>
        <v>1.147578609</v>
      </c>
      <c r="D164" s="22">
        <f t="shared" si="1"/>
        <v>0.8797019815</v>
      </c>
      <c r="E164" s="22">
        <f t="shared" ref="E164:F164" si="164">IF(A164&lt;&gt;"", (B164 - B163) / B163, "")</f>
        <v>-0.02315095348</v>
      </c>
      <c r="F164" s="22">
        <f t="shared" si="164"/>
        <v>-0.01113151251</v>
      </c>
      <c r="H164" s="22" t="str">
        <f t="shared" si="4"/>
        <v/>
      </c>
    </row>
    <row r="165" ht="15.75" customHeight="1">
      <c r="A165" s="32">
        <f>'EQUITY BACKTEST'!A168</f>
        <v>37302.66667</v>
      </c>
      <c r="B165" s="22">
        <f>'EQUITY BACKTEST'!B168</f>
        <v>1104.18</v>
      </c>
      <c r="C165" s="22">
        <f>1/'EQUITY BACKTEST'!E168</f>
        <v>1.145475372</v>
      </c>
      <c r="D165" s="22">
        <f t="shared" si="1"/>
        <v>0.8798865269</v>
      </c>
      <c r="E165" s="22">
        <f t="shared" ref="E165:F165" si="165">IF(A165&lt;&gt;"", (B165 - B164) / B164, "")</f>
        <v>0.007261316159</v>
      </c>
      <c r="F165" s="22">
        <f t="shared" si="165"/>
        <v>-0.001832760596</v>
      </c>
      <c r="H165" s="22" t="str">
        <f t="shared" si="4"/>
        <v/>
      </c>
    </row>
    <row r="166" ht="15.75" customHeight="1">
      <c r="A166" s="32">
        <f>'EQUITY BACKTEST'!A169</f>
        <v>37309.66667</v>
      </c>
      <c r="B166" s="22">
        <f>'EQUITY BACKTEST'!B169</f>
        <v>1089.84</v>
      </c>
      <c r="C166" s="22">
        <f>1/'EQUITY BACKTEST'!E169</f>
        <v>1.143249114</v>
      </c>
      <c r="D166" s="22">
        <f t="shared" si="1"/>
        <v>0.8774725197</v>
      </c>
      <c r="E166" s="22">
        <f t="shared" ref="E166:F166" si="166">IF(A166&lt;&gt;"", (B166 - B165) / B165, "")</f>
        <v>-0.01298701299</v>
      </c>
      <c r="F166" s="22">
        <f t="shared" si="166"/>
        <v>-0.001943523494</v>
      </c>
      <c r="H166" s="22" t="str">
        <f t="shared" si="4"/>
        <v/>
      </c>
    </row>
    <row r="167" ht="15.75" customHeight="1">
      <c r="A167" s="32">
        <f>'EQUITY BACKTEST'!A170</f>
        <v>37316.66667</v>
      </c>
      <c r="B167" s="22">
        <f>'EQUITY BACKTEST'!B170</f>
        <v>1131.78</v>
      </c>
      <c r="C167" s="22">
        <f>1/'EQUITY BACKTEST'!E170</f>
        <v>1.156203029</v>
      </c>
      <c r="D167" s="22">
        <f t="shared" si="1"/>
        <v>0.8764159265</v>
      </c>
      <c r="E167" s="22">
        <f t="shared" ref="E167:F167" si="167">IF(A167&lt;&gt;"", (B167 - B166) / B166, "")</f>
        <v>0.03848271306</v>
      </c>
      <c r="F167" s="22">
        <f t="shared" si="167"/>
        <v>0.01133078969</v>
      </c>
      <c r="H167" s="22" t="str">
        <f t="shared" si="4"/>
        <v/>
      </c>
    </row>
    <row r="168" ht="15.75" customHeight="1">
      <c r="A168" s="32">
        <f>'EQUITY BACKTEST'!A171</f>
        <v>37323.66667</v>
      </c>
      <c r="B168" s="22">
        <f>'EQUITY BACKTEST'!B171</f>
        <v>1164.31</v>
      </c>
      <c r="C168" s="22">
        <f>1/'EQUITY BACKTEST'!E171</f>
        <v>1.14416476</v>
      </c>
      <c r="D168" s="22">
        <f t="shared" si="1"/>
        <v>0.8708010133</v>
      </c>
      <c r="E168" s="22">
        <f t="shared" ref="E168:F168" si="168">IF(A168&lt;&gt;"", (B168 - B167) / B167, "")</f>
        <v>0.02874233508</v>
      </c>
      <c r="F168" s="22">
        <f t="shared" si="168"/>
        <v>-0.01041189931</v>
      </c>
      <c r="H168" s="22" t="str">
        <f t="shared" si="4"/>
        <v/>
      </c>
    </row>
    <row r="169" ht="15.75" customHeight="1">
      <c r="A169" s="32">
        <f>'EQUITY BACKTEST'!A172</f>
        <v>37330.66667</v>
      </c>
      <c r="B169" s="22">
        <f>'EQUITY BACKTEST'!B172</f>
        <v>1166.16</v>
      </c>
      <c r="C169" s="22">
        <f>1/'EQUITY BACKTEST'!E172</f>
        <v>1.133786848</v>
      </c>
      <c r="D169" s="22">
        <f t="shared" si="1"/>
        <v>0.8640092291</v>
      </c>
      <c r="E169" s="22">
        <f t="shared" ref="E169:F169" si="169">IF(A169&lt;&gt;"", (B169 - B168) / B168, "")</f>
        <v>0.001588923912</v>
      </c>
      <c r="F169" s="22">
        <f t="shared" si="169"/>
        <v>-0.009070294785</v>
      </c>
      <c r="H169" s="22" t="str">
        <f t="shared" si="4"/>
        <v/>
      </c>
    </row>
    <row r="170" ht="15.75" customHeight="1">
      <c r="A170" s="32">
        <f>'EQUITY BACKTEST'!A173</f>
        <v>37337.66667</v>
      </c>
      <c r="B170" s="22">
        <f>'EQUITY BACKTEST'!B173</f>
        <v>1148.7</v>
      </c>
      <c r="C170" s="22">
        <f>1/'EQUITY BACKTEST'!E173</f>
        <v>1.13960114</v>
      </c>
      <c r="D170" s="22">
        <f t="shared" si="1"/>
        <v>0.8525171724</v>
      </c>
      <c r="E170" s="22">
        <f t="shared" ref="E170:F170" si="170">IF(A170&lt;&gt;"", (B170 - B169) / B169, "")</f>
        <v>-0.01497221651</v>
      </c>
      <c r="F170" s="22">
        <f t="shared" si="170"/>
        <v>0.005128205128</v>
      </c>
      <c r="H170" s="22" t="str">
        <f t="shared" si="4"/>
        <v/>
      </c>
    </row>
    <row r="171" ht="15.75" customHeight="1">
      <c r="A171" s="32">
        <f>'EQUITY BACKTEST'!A174</f>
        <v>37343.66667</v>
      </c>
      <c r="B171" s="22">
        <f>'EQUITY BACKTEST'!B174</f>
        <v>1147.39</v>
      </c>
      <c r="C171" s="22">
        <f>1/'EQUITY BACKTEST'!E174</f>
        <v>1.14902907</v>
      </c>
      <c r="D171" s="22">
        <f t="shared" si="1"/>
        <v>0.8393629848</v>
      </c>
      <c r="E171" s="22">
        <f t="shared" ref="E171:F171" si="171">IF(A171&lt;&gt;"", (B171 - B170) / B170, "")</f>
        <v>-0.001140419605</v>
      </c>
      <c r="F171" s="22">
        <f t="shared" si="171"/>
        <v>0.008273009307</v>
      </c>
      <c r="H171" s="22" t="str">
        <f t="shared" si="4"/>
        <v/>
      </c>
    </row>
    <row r="172" ht="15.75" customHeight="1">
      <c r="A172" s="32">
        <f>'EQUITY BACKTEST'!A175</f>
        <v>37351.66667</v>
      </c>
      <c r="B172" s="22">
        <f>'EQUITY BACKTEST'!B175</f>
        <v>1122.73</v>
      </c>
      <c r="C172" s="22">
        <f>1/'EQUITY BACKTEST'!E175</f>
        <v>1.138303927</v>
      </c>
      <c r="D172" s="22">
        <f t="shared" si="1"/>
        <v>0.8196277277</v>
      </c>
      <c r="E172" s="22">
        <f t="shared" ref="E172:F172" si="172">IF(A172&lt;&gt;"", (B172 - B171) / B171, "")</f>
        <v>-0.02149225634</v>
      </c>
      <c r="F172" s="22">
        <f t="shared" si="172"/>
        <v>-0.009334092203</v>
      </c>
      <c r="H172" s="22" t="str">
        <f t="shared" si="4"/>
        <v/>
      </c>
    </row>
    <row r="173" ht="15.75" customHeight="1">
      <c r="A173" s="32">
        <f>'EQUITY BACKTEST'!A176</f>
        <v>37358.66667</v>
      </c>
      <c r="B173" s="22">
        <f>'EQUITY BACKTEST'!B176</f>
        <v>1111.01</v>
      </c>
      <c r="C173" s="22">
        <f>1/'EQUITY BACKTEST'!E176</f>
        <v>1.135589371</v>
      </c>
      <c r="D173" s="22">
        <f t="shared" si="1"/>
        <v>0.8006691262</v>
      </c>
      <c r="E173" s="22">
        <f t="shared" ref="E173:F173" si="173">IF(A173&lt;&gt;"", (B173 - B172) / B172, "")</f>
        <v>-0.01043884104</v>
      </c>
      <c r="F173" s="22">
        <f t="shared" si="173"/>
        <v>-0.002384737679</v>
      </c>
      <c r="H173" s="22" t="str">
        <f t="shared" si="4"/>
        <v/>
      </c>
    </row>
    <row r="174" ht="15.75" customHeight="1">
      <c r="A174" s="32">
        <f>'EQUITY BACKTEST'!A177</f>
        <v>37365.66667</v>
      </c>
      <c r="B174" s="22">
        <f>'EQUITY BACKTEST'!B177</f>
        <v>1125.17</v>
      </c>
      <c r="C174" s="22">
        <f>1/'EQUITY BACKTEST'!E177</f>
        <v>1.121453404</v>
      </c>
      <c r="D174" s="22">
        <f t="shared" si="1"/>
        <v>0.7705051803</v>
      </c>
      <c r="E174" s="22">
        <f t="shared" ref="E174:F174" si="174">IF(A174&lt;&gt;"", (B174 - B173) / B173, "")</f>
        <v>0.01274515981</v>
      </c>
      <c r="F174" s="22">
        <f t="shared" si="174"/>
        <v>-0.01244813278</v>
      </c>
      <c r="H174" s="22" t="str">
        <f t="shared" si="4"/>
        <v/>
      </c>
    </row>
    <row r="175" ht="15.75" customHeight="1">
      <c r="A175" s="32">
        <f>'EQUITY BACKTEST'!A178</f>
        <v>37372.66667</v>
      </c>
      <c r="B175" s="22">
        <f>'EQUITY BACKTEST'!B178</f>
        <v>1076.32</v>
      </c>
      <c r="C175" s="22">
        <f>1/'EQUITY BACKTEST'!E178</f>
        <v>1.109262341</v>
      </c>
      <c r="D175" s="22">
        <f t="shared" si="1"/>
        <v>0.7297027115</v>
      </c>
      <c r="E175" s="22">
        <f t="shared" ref="E175:F175" si="175">IF(A175&lt;&gt;"", (B175 - B174) / B174, "")</f>
        <v>-0.04341566163</v>
      </c>
      <c r="F175" s="22">
        <f t="shared" si="175"/>
        <v>-0.01087077094</v>
      </c>
      <c r="H175" s="22" t="str">
        <f t="shared" si="4"/>
        <v/>
      </c>
    </row>
    <row r="176" ht="15.75" customHeight="1">
      <c r="A176" s="32">
        <f>'EQUITY BACKTEST'!A179</f>
        <v>37379.66667</v>
      </c>
      <c r="B176" s="22">
        <f>'EQUITY BACKTEST'!B179</f>
        <v>1073.43</v>
      </c>
      <c r="C176" s="22">
        <f>1/'EQUITY BACKTEST'!E179</f>
        <v>1.090393632</v>
      </c>
      <c r="D176" s="22">
        <f t="shared" si="1"/>
        <v>0.6693005962</v>
      </c>
      <c r="E176" s="22">
        <f t="shared" ref="E176:F176" si="176">IF(A176&lt;&gt;"", (B176 - B175) / B175, "")</f>
        <v>-0.002685075071</v>
      </c>
      <c r="F176" s="22">
        <f t="shared" si="176"/>
        <v>-0.01701014066</v>
      </c>
      <c r="H176" s="22" t="str">
        <f t="shared" si="4"/>
        <v/>
      </c>
    </row>
    <row r="177" ht="15.75" customHeight="1">
      <c r="A177" s="32">
        <f>'EQUITY BACKTEST'!A180</f>
        <v>37386.66667</v>
      </c>
      <c r="B177" s="22">
        <f>'EQUITY BACKTEST'!B180</f>
        <v>1054.99</v>
      </c>
      <c r="C177" s="22">
        <f>1/'EQUITY BACKTEST'!E180</f>
        <v>1.094211621</v>
      </c>
      <c r="D177" s="22">
        <f t="shared" si="1"/>
        <v>0.5960657216</v>
      </c>
      <c r="E177" s="22">
        <f t="shared" ref="E177:F177" si="177">IF(A177&lt;&gt;"", (B177 - B176) / B176, "")</f>
        <v>-0.01717857708</v>
      </c>
      <c r="F177" s="22">
        <f t="shared" si="177"/>
        <v>0.003501477186</v>
      </c>
      <c r="H177" s="22" t="str">
        <f t="shared" si="4"/>
        <v/>
      </c>
    </row>
    <row r="178" ht="15.75" customHeight="1">
      <c r="A178" s="32">
        <f>'EQUITY BACKTEST'!A181</f>
        <v>37393.66667</v>
      </c>
      <c r="B178" s="22">
        <f>'EQUITY BACKTEST'!B181</f>
        <v>1106.59</v>
      </c>
      <c r="C178" s="22">
        <f>1/'EQUITY BACKTEST'!E181</f>
        <v>1.086248099</v>
      </c>
      <c r="D178" s="22">
        <f t="shared" si="1"/>
        <v>0.5068891</v>
      </c>
      <c r="E178" s="22">
        <f t="shared" ref="E178:F178" si="178">IF(A178&lt;&gt;"", (B178 - B177) / B177, "")</f>
        <v>0.04891041621</v>
      </c>
      <c r="F178" s="22">
        <f t="shared" si="178"/>
        <v>-0.007277862264</v>
      </c>
      <c r="H178" s="22" t="str">
        <f t="shared" si="4"/>
        <v/>
      </c>
    </row>
    <row r="179" ht="15.75" customHeight="1">
      <c r="A179" s="32">
        <f>'EQUITY BACKTEST'!A182</f>
        <v>37400.66667</v>
      </c>
      <c r="B179" s="22">
        <f>'EQUITY BACKTEST'!B182</f>
        <v>1083.82</v>
      </c>
      <c r="C179" s="22">
        <f>1/'EQUITY BACKTEST'!E182</f>
        <v>1.087074682</v>
      </c>
      <c r="D179" s="22">
        <f t="shared" si="1"/>
        <v>0.4016042435</v>
      </c>
      <c r="E179" s="22">
        <f t="shared" ref="E179:F179" si="179">IF(A179&lt;&gt;"", (B179 - B178) / B178, "")</f>
        <v>-0.0205767267</v>
      </c>
      <c r="F179" s="22">
        <f t="shared" si="179"/>
        <v>0.0007609522774</v>
      </c>
      <c r="H179" s="22" t="str">
        <f t="shared" si="4"/>
        <v/>
      </c>
    </row>
    <row r="180" ht="15.75" customHeight="1">
      <c r="A180" s="32">
        <f>'EQUITY BACKTEST'!A183</f>
        <v>37407.66667</v>
      </c>
      <c r="B180" s="22">
        <f>'EQUITY BACKTEST'!B183</f>
        <v>1067.14</v>
      </c>
      <c r="C180" s="22">
        <f>1/'EQUITY BACKTEST'!E183</f>
        <v>1.071352046</v>
      </c>
      <c r="D180" s="22">
        <f t="shared" si="1"/>
        <v>0.2590889695</v>
      </c>
      <c r="E180" s="22">
        <f t="shared" ref="E180:F180" si="180">IF(A180&lt;&gt;"", (B180 - B179) / B179, "")</f>
        <v>-0.01539000941</v>
      </c>
      <c r="F180" s="22">
        <f t="shared" si="180"/>
        <v>-0.01446325262</v>
      </c>
      <c r="H180" s="22" t="str">
        <f t="shared" si="4"/>
        <v/>
      </c>
    </row>
    <row r="181" ht="15.75" customHeight="1">
      <c r="A181" s="32">
        <f>'EQUITY BACKTEST'!A184</f>
        <v>37414.66667</v>
      </c>
      <c r="B181" s="22">
        <f>'EQUITY BACKTEST'!B184</f>
        <v>1027.53</v>
      </c>
      <c r="C181" s="22">
        <f>1/'EQUITY BACKTEST'!E184</f>
        <v>1.061571125</v>
      </c>
      <c r="D181" s="22">
        <f t="shared" si="1"/>
        <v>0.09814256534</v>
      </c>
      <c r="E181" s="22">
        <f t="shared" ref="E181:F181" si="181">IF(A181&lt;&gt;"", (B181 - B180) / B180, "")</f>
        <v>-0.03711790393</v>
      </c>
      <c r="F181" s="22">
        <f t="shared" si="181"/>
        <v>-0.009129511677</v>
      </c>
      <c r="H181" s="22" t="str">
        <f t="shared" si="4"/>
        <v/>
      </c>
    </row>
    <row r="182" ht="15.75" customHeight="1">
      <c r="A182" s="32">
        <f>'EQUITY BACKTEST'!A185</f>
        <v>37421.66667</v>
      </c>
      <c r="B182" s="22">
        <f>'EQUITY BACKTEST'!B185</f>
        <v>1007.27</v>
      </c>
      <c r="C182" s="22">
        <f>1/'EQUITY BACKTEST'!E185</f>
        <v>1.05764146</v>
      </c>
      <c r="D182" s="22">
        <f t="shared" si="1"/>
        <v>-0.05548462884</v>
      </c>
      <c r="E182" s="22">
        <f t="shared" ref="E182:F182" si="182">IF(A182&lt;&gt;"", (B182 - B181) / B181, "")</f>
        <v>-0.01971718587</v>
      </c>
      <c r="F182" s="22">
        <f t="shared" si="182"/>
        <v>-0.003701745108</v>
      </c>
      <c r="H182" s="22" t="str">
        <f t="shared" si="4"/>
        <v/>
      </c>
    </row>
    <row r="183" ht="15.75" customHeight="1">
      <c r="A183" s="32">
        <f>'EQUITY BACKTEST'!A186</f>
        <v>37428.66667</v>
      </c>
      <c r="B183" s="22">
        <f>'EQUITY BACKTEST'!B186</f>
        <v>989.14</v>
      </c>
      <c r="C183" s="22">
        <f>1/'EQUITY BACKTEST'!E186</f>
        <v>1.031353135</v>
      </c>
      <c r="D183" s="22">
        <f t="shared" si="1"/>
        <v>-0.1904372234</v>
      </c>
      <c r="E183" s="22">
        <f t="shared" ref="E183:F183" si="183">IF(A183&lt;&gt;"", (B183 - B182) / B182, "")</f>
        <v>-0.01799914621</v>
      </c>
      <c r="F183" s="22">
        <f t="shared" si="183"/>
        <v>-0.02485561056</v>
      </c>
      <c r="H183" s="22" t="str">
        <f t="shared" si="4"/>
        <v/>
      </c>
    </row>
    <row r="184" ht="15.75" customHeight="1">
      <c r="A184" s="32">
        <f>'EQUITY BACKTEST'!A187</f>
        <v>37435.66667</v>
      </c>
      <c r="B184" s="22">
        <f>'EQUITY BACKTEST'!B187</f>
        <v>989.6</v>
      </c>
      <c r="C184" s="22">
        <f>1/'EQUITY BACKTEST'!E187</f>
        <v>1.009489198</v>
      </c>
      <c r="D184" s="22">
        <f t="shared" si="1"/>
        <v>-0.2790887389</v>
      </c>
      <c r="E184" s="22">
        <f t="shared" ref="E184:F184" si="184">IF(A184&lt;&gt;"", (B184 - B183) / B183, "")</f>
        <v>0.0004650504479</v>
      </c>
      <c r="F184" s="22">
        <f t="shared" si="184"/>
        <v>-0.02119927317</v>
      </c>
      <c r="H184" s="22" t="str">
        <f t="shared" si="4"/>
        <v/>
      </c>
    </row>
    <row r="185" ht="15.75" customHeight="1">
      <c r="A185" s="32">
        <f>'EQUITY BACKTEST'!A188</f>
        <v>37442.66667</v>
      </c>
      <c r="B185" s="22">
        <f>'EQUITY BACKTEST'!B188</f>
        <v>989.03</v>
      </c>
      <c r="C185" s="22">
        <f>1/'EQUITY BACKTEST'!E188</f>
        <v>1.027115859</v>
      </c>
      <c r="D185" s="22">
        <f t="shared" si="1"/>
        <v>-0.3587062055</v>
      </c>
      <c r="E185" s="22">
        <f t="shared" ref="E185:F185" si="185">IF(A185&lt;&gt;"", (B185 - B184) / B184, "")</f>
        <v>-0.0005759902991</v>
      </c>
      <c r="F185" s="22">
        <f t="shared" si="185"/>
        <v>0.0174609696</v>
      </c>
      <c r="H185" s="22" t="str">
        <f t="shared" si="4"/>
        <v/>
      </c>
    </row>
    <row r="186" ht="15.75" customHeight="1">
      <c r="A186" s="32">
        <f>'EQUITY BACKTEST'!A189</f>
        <v>37449.66667</v>
      </c>
      <c r="B186" s="22">
        <f>'EQUITY BACKTEST'!B189</f>
        <v>921.4</v>
      </c>
      <c r="C186" s="22">
        <f>1/'EQUITY BACKTEST'!E189</f>
        <v>1.008776354</v>
      </c>
      <c r="D186" s="22">
        <f t="shared" si="1"/>
        <v>-0.4453167546</v>
      </c>
      <c r="E186" s="22">
        <f t="shared" ref="E186:F186" si="186">IF(A186&lt;&gt;"", (B186 - B185) / B185, "")</f>
        <v>-0.06838013003</v>
      </c>
      <c r="F186" s="22">
        <f t="shared" si="186"/>
        <v>-0.01785534147</v>
      </c>
      <c r="H186" s="22" t="str">
        <f t="shared" si="4"/>
        <v/>
      </c>
    </row>
    <row r="187" ht="15.75" customHeight="1">
      <c r="A187" s="32">
        <f>'EQUITY BACKTEST'!A190</f>
        <v>37456.66667</v>
      </c>
      <c r="B187" s="22">
        <f>'EQUITY BACKTEST'!B190</f>
        <v>847.5</v>
      </c>
      <c r="C187" s="22">
        <f>1/'EQUITY BACKTEST'!E190</f>
        <v>0.9909820632</v>
      </c>
      <c r="D187" s="22">
        <f t="shared" si="1"/>
        <v>-0.4765775809</v>
      </c>
      <c r="E187" s="22">
        <f t="shared" ref="E187:F187" si="187">IF(A187&lt;&gt;"", (B187 - B186) / B186, "")</f>
        <v>-0.08020403733</v>
      </c>
      <c r="F187" s="22">
        <f t="shared" si="187"/>
        <v>-0.01763948073</v>
      </c>
      <c r="H187" s="22" t="str">
        <f t="shared" si="4"/>
        <v/>
      </c>
    </row>
    <row r="188" ht="15.75" customHeight="1">
      <c r="A188" s="32">
        <f>'EQUITY BACKTEST'!A191</f>
        <v>37463.66667</v>
      </c>
      <c r="B188" s="22">
        <f>'EQUITY BACKTEST'!B191</f>
        <v>852.83</v>
      </c>
      <c r="C188" s="22">
        <f>1/'EQUITY BACKTEST'!E191</f>
        <v>1.014404545</v>
      </c>
      <c r="D188" s="22">
        <f t="shared" si="1"/>
        <v>-0.4938814137</v>
      </c>
      <c r="E188" s="22">
        <f t="shared" ref="E188:F188" si="188">IF(A188&lt;&gt;"", (B188 - B187) / B187, "")</f>
        <v>0.006289085546</v>
      </c>
      <c r="F188" s="22">
        <f t="shared" si="188"/>
        <v>0.02363562589</v>
      </c>
      <c r="H188" s="22" t="str">
        <f t="shared" si="4"/>
        <v/>
      </c>
    </row>
    <row r="189" ht="15.75" customHeight="1">
      <c r="A189" s="32">
        <f>'EQUITY BACKTEST'!A192</f>
        <v>37470.66667</v>
      </c>
      <c r="B189" s="22">
        <f>'EQUITY BACKTEST'!B192</f>
        <v>864.24</v>
      </c>
      <c r="C189" s="22">
        <f>1/'EQUITY BACKTEST'!E192</f>
        <v>1.015228426</v>
      </c>
      <c r="D189" s="22">
        <f t="shared" si="1"/>
        <v>-0.4966740065</v>
      </c>
      <c r="E189" s="22">
        <f t="shared" ref="E189:F189" si="189">IF(A189&lt;&gt;"", (B189 - B188) / B188, "")</f>
        <v>0.01337898526</v>
      </c>
      <c r="F189" s="22">
        <f t="shared" si="189"/>
        <v>0.0008121827411</v>
      </c>
      <c r="H189" s="22" t="str">
        <f t="shared" si="4"/>
        <v/>
      </c>
    </row>
    <row r="190" ht="15.75" customHeight="1">
      <c r="A190" s="32">
        <f>'EQUITY BACKTEST'!A193</f>
        <v>37477.66667</v>
      </c>
      <c r="B190" s="22">
        <f>'EQUITY BACKTEST'!B193</f>
        <v>908.6</v>
      </c>
      <c r="C190" s="22">
        <f>1/'EQUITY BACKTEST'!E193</f>
        <v>1.031885254</v>
      </c>
      <c r="D190" s="22">
        <f t="shared" si="1"/>
        <v>-0.500942729</v>
      </c>
      <c r="E190" s="22">
        <f t="shared" ref="E190:F190" si="190">IF(A190&lt;&gt;"", (B190 - B189) / B189, "")</f>
        <v>0.05132833472</v>
      </c>
      <c r="F190" s="22">
        <f t="shared" si="190"/>
        <v>0.01640697554</v>
      </c>
      <c r="H190" s="22" t="str">
        <f t="shared" si="4"/>
        <v/>
      </c>
    </row>
    <row r="191" ht="15.75" customHeight="1">
      <c r="A191" s="32">
        <f>'EQUITY BACKTEST'!A194</f>
        <v>37484.66667</v>
      </c>
      <c r="B191" s="22">
        <f>'EQUITY BACKTEST'!B194</f>
        <v>928.76</v>
      </c>
      <c r="C191" s="22">
        <f>1/'EQUITY BACKTEST'!E194</f>
        <v>1.012760786</v>
      </c>
      <c r="D191" s="22">
        <f t="shared" si="1"/>
        <v>-0.5236370847</v>
      </c>
      <c r="E191" s="22">
        <f t="shared" ref="E191:F191" si="191">IF(A191&lt;&gt;"", (B191 - B190) / B190, "")</f>
        <v>0.02218798151</v>
      </c>
      <c r="F191" s="22">
        <f t="shared" si="191"/>
        <v>-0.01853352238</v>
      </c>
      <c r="H191" s="22" t="str">
        <f t="shared" si="4"/>
        <v/>
      </c>
    </row>
    <row r="192" ht="15.75" customHeight="1">
      <c r="A192" s="32">
        <f>'EQUITY BACKTEST'!A195</f>
        <v>37491.66667</v>
      </c>
      <c r="B192" s="22">
        <f>'EQUITY BACKTEST'!B195</f>
        <v>940.87</v>
      </c>
      <c r="C192" s="22">
        <f>1/'EQUITY BACKTEST'!E195</f>
        <v>1.028806584</v>
      </c>
      <c r="D192" s="22">
        <f t="shared" si="1"/>
        <v>-0.5382739279</v>
      </c>
      <c r="E192" s="22">
        <f t="shared" ref="E192:F192" si="192">IF(A192&lt;&gt;"", (B192 - B191) / B191, "")</f>
        <v>0.01303889056</v>
      </c>
      <c r="F192" s="22">
        <f t="shared" si="192"/>
        <v>0.0158436214</v>
      </c>
      <c r="H192" s="22" t="str">
        <f t="shared" si="4"/>
        <v/>
      </c>
    </row>
    <row r="193" ht="15.75" customHeight="1">
      <c r="A193" s="32">
        <f>'EQUITY BACKTEST'!A196</f>
        <v>37498.66667</v>
      </c>
      <c r="B193" s="22">
        <f>'EQUITY BACKTEST'!B196</f>
        <v>916.07</v>
      </c>
      <c r="C193" s="22">
        <f>1/'EQUITY BACKTEST'!E196</f>
        <v>1.020095889</v>
      </c>
      <c r="D193" s="22">
        <f t="shared" si="1"/>
        <v>-0.5676733739</v>
      </c>
      <c r="E193" s="22">
        <f t="shared" ref="E193:F193" si="193">IF(A193&lt;&gt;"", (B193 - B192) / B192, "")</f>
        <v>-0.02635858301</v>
      </c>
      <c r="F193" s="22">
        <f t="shared" si="193"/>
        <v>-0.008466795879</v>
      </c>
      <c r="H193" s="22" t="str">
        <f t="shared" si="4"/>
        <v/>
      </c>
    </row>
    <row r="194" ht="15.75" customHeight="1">
      <c r="A194" s="32">
        <f>'EQUITY BACKTEST'!A197</f>
        <v>37505.66667</v>
      </c>
      <c r="B194" s="22">
        <f>'EQUITY BACKTEST'!B197</f>
        <v>893.91</v>
      </c>
      <c r="C194" s="22">
        <f>1/'EQUITY BACKTEST'!E197</f>
        <v>1.019887812</v>
      </c>
      <c r="D194" s="22">
        <f t="shared" si="1"/>
        <v>-0.5826845622</v>
      </c>
      <c r="E194" s="22">
        <f t="shared" ref="E194:F194" si="194">IF(A194&lt;&gt;"", (B194 - B193) / B193, "")</f>
        <v>-0.02419029113</v>
      </c>
      <c r="F194" s="22">
        <f t="shared" si="194"/>
        <v>-0.0002039775625</v>
      </c>
      <c r="H194" s="22" t="str">
        <f t="shared" si="4"/>
        <v/>
      </c>
    </row>
    <row r="195" ht="15.75" customHeight="1">
      <c r="A195" s="32">
        <f>'EQUITY BACKTEST'!A198</f>
        <v>37512.66667</v>
      </c>
      <c r="B195" s="22">
        <f>'EQUITY BACKTEST'!B198</f>
        <v>889.79</v>
      </c>
      <c r="C195" s="22">
        <f>1/'EQUITY BACKTEST'!E198</f>
        <v>1.030290542</v>
      </c>
      <c r="D195" s="22">
        <f t="shared" si="1"/>
        <v>-0.5940017392</v>
      </c>
      <c r="E195" s="22">
        <f t="shared" ref="E195:F195" si="195">IF(A195&lt;&gt;"", (B195 - B194) / B194, "")</f>
        <v>-0.004608965108</v>
      </c>
      <c r="F195" s="22">
        <f t="shared" si="195"/>
        <v>0.01019987637</v>
      </c>
      <c r="H195" s="22" t="str">
        <f t="shared" si="4"/>
        <v/>
      </c>
    </row>
    <row r="196" ht="15.75" customHeight="1">
      <c r="A196" s="32">
        <f>'EQUITY BACKTEST'!A199</f>
        <v>37519.66667</v>
      </c>
      <c r="B196" s="22">
        <f>'EQUITY BACKTEST'!B199</f>
        <v>845.39</v>
      </c>
      <c r="C196" s="22">
        <f>1/'EQUITY BACKTEST'!E199</f>
        <v>1.018122582</v>
      </c>
      <c r="D196" s="22">
        <f t="shared" si="1"/>
        <v>-0.6071646399</v>
      </c>
      <c r="E196" s="22">
        <f t="shared" ref="E196:F196" si="196">IF(A196&lt;&gt;"", (B196 - B195) / B195, "")</f>
        <v>-0.04989941447</v>
      </c>
      <c r="F196" s="22">
        <f t="shared" si="196"/>
        <v>-0.01181022195</v>
      </c>
      <c r="H196" s="22" t="str">
        <f t="shared" si="4"/>
        <v/>
      </c>
    </row>
    <row r="197" ht="15.75" customHeight="1">
      <c r="A197" s="32">
        <f>'EQUITY BACKTEST'!A200</f>
        <v>37526.66667</v>
      </c>
      <c r="B197" s="22">
        <f>'EQUITY BACKTEST'!B200</f>
        <v>827.36</v>
      </c>
      <c r="C197" s="22">
        <f>1/'EQUITY BACKTEST'!E200</f>
        <v>1.021659174</v>
      </c>
      <c r="D197" s="22">
        <f t="shared" si="1"/>
        <v>-0.6028579459</v>
      </c>
      <c r="E197" s="22">
        <f t="shared" ref="E197:F197" si="197">IF(A197&lt;&gt;"", (B197 - B196) / B196, "")</f>
        <v>-0.02132743468</v>
      </c>
      <c r="F197" s="22">
        <f t="shared" si="197"/>
        <v>0.003473641193</v>
      </c>
      <c r="H197" s="22" t="str">
        <f t="shared" si="4"/>
        <v/>
      </c>
    </row>
    <row r="198" ht="15.75" customHeight="1">
      <c r="A198" s="32">
        <f>'EQUITY BACKTEST'!A201</f>
        <v>37533.66667</v>
      </c>
      <c r="B198" s="22">
        <f>'EQUITY BACKTEST'!B201</f>
        <v>800.62</v>
      </c>
      <c r="C198" s="22">
        <f>1/'EQUITY BACKTEST'!E201</f>
        <v>1.021554806</v>
      </c>
      <c r="D198" s="22">
        <f t="shared" si="1"/>
        <v>-0.5954006744</v>
      </c>
      <c r="E198" s="22">
        <f t="shared" ref="E198:F198" si="198">IF(A198&lt;&gt;"", (B198 - B197) / B197, "")</f>
        <v>-0.03231966738</v>
      </c>
      <c r="F198" s="22">
        <f t="shared" si="198"/>
        <v>-0.0001021554806</v>
      </c>
      <c r="H198" s="22" t="str">
        <f t="shared" si="4"/>
        <v/>
      </c>
    </row>
    <row r="199" ht="15.75" customHeight="1">
      <c r="A199" s="32">
        <f>'EQUITY BACKTEST'!A202</f>
        <v>37540.66667</v>
      </c>
      <c r="B199" s="22">
        <f>'EQUITY BACKTEST'!B202</f>
        <v>835.32</v>
      </c>
      <c r="C199" s="22">
        <f>1/'EQUITY BACKTEST'!E202</f>
        <v>1.013171226</v>
      </c>
      <c r="D199" s="22">
        <f t="shared" si="1"/>
        <v>-0.5842431672</v>
      </c>
      <c r="E199" s="22">
        <f t="shared" ref="E199:F199" si="199">IF(A199&lt;&gt;"", (B199 - B198) / B198, "")</f>
        <v>0.04334141041</v>
      </c>
      <c r="F199" s="22">
        <f t="shared" si="199"/>
        <v>-0.00820668693</v>
      </c>
      <c r="H199" s="22" t="str">
        <f t="shared" si="4"/>
        <v/>
      </c>
    </row>
    <row r="200" ht="15.75" customHeight="1">
      <c r="A200" s="32">
        <f>'EQUITY BACKTEST'!A203</f>
        <v>37547.66667</v>
      </c>
      <c r="B200" s="22">
        <f>'EQUITY BACKTEST'!B203</f>
        <v>884.38</v>
      </c>
      <c r="C200" s="22">
        <f>1/'EQUITY BACKTEST'!E203</f>
        <v>1.029336078</v>
      </c>
      <c r="D200" s="22">
        <f t="shared" si="1"/>
        <v>-0.5775509431</v>
      </c>
      <c r="E200" s="22">
        <f t="shared" ref="E200:F200" si="200">IF(A200&lt;&gt;"", (B200 - B199) / B199, "")</f>
        <v>0.05873198295</v>
      </c>
      <c r="F200" s="22">
        <f t="shared" si="200"/>
        <v>0.01595470921</v>
      </c>
      <c r="H200" s="22" t="str">
        <f t="shared" si="4"/>
        <v/>
      </c>
    </row>
    <row r="201" ht="15.75" customHeight="1">
      <c r="A201" s="32">
        <f>'EQUITY BACKTEST'!A204</f>
        <v>37554.66667</v>
      </c>
      <c r="B201" s="22">
        <f>'EQUITY BACKTEST'!B204</f>
        <v>897.65</v>
      </c>
      <c r="C201" s="22">
        <f>1/'EQUITY BACKTEST'!E204</f>
        <v>1.02406554</v>
      </c>
      <c r="D201" s="22">
        <f t="shared" si="1"/>
        <v>-0.5916518651</v>
      </c>
      <c r="E201" s="22">
        <f t="shared" ref="E201:F201" si="201">IF(A201&lt;&gt;"", (B201 - B200) / B200, "")</f>
        <v>0.01500486216</v>
      </c>
      <c r="F201" s="22">
        <f t="shared" si="201"/>
        <v>-0.005120327701</v>
      </c>
      <c r="H201" s="22" t="str">
        <f t="shared" si="4"/>
        <v/>
      </c>
    </row>
    <row r="202" ht="15.75" customHeight="1">
      <c r="A202" s="32">
        <f>'EQUITY BACKTEST'!A205</f>
        <v>37561.66667</v>
      </c>
      <c r="B202" s="22">
        <f>'EQUITY BACKTEST'!B205</f>
        <v>900.96</v>
      </c>
      <c r="C202" s="22">
        <f>1/'EQUITY BACKTEST'!E205</f>
        <v>1.004016064</v>
      </c>
      <c r="D202" s="22">
        <f t="shared" si="1"/>
        <v>-0.6086268299</v>
      </c>
      <c r="E202" s="22">
        <f t="shared" ref="E202:F202" si="202">IF(A202&lt;&gt;"", (B202 - B201) / B201, "")</f>
        <v>0.003687406005</v>
      </c>
      <c r="F202" s="22">
        <f t="shared" si="202"/>
        <v>-0.01957831325</v>
      </c>
      <c r="H202" s="22" t="str">
        <f t="shared" si="4"/>
        <v/>
      </c>
    </row>
    <row r="203" ht="15.75" customHeight="1">
      <c r="A203" s="32">
        <f>'EQUITY BACKTEST'!A206</f>
        <v>37568.66667</v>
      </c>
      <c r="B203" s="22">
        <f>'EQUITY BACKTEST'!B206</f>
        <v>894.73</v>
      </c>
      <c r="C203" s="22">
        <f>1/'EQUITY BACKTEST'!E206</f>
        <v>0.9839614287</v>
      </c>
      <c r="D203" s="22">
        <f t="shared" si="1"/>
        <v>-0.6198962161</v>
      </c>
      <c r="E203" s="22">
        <f t="shared" ref="E203:F203" si="203">IF(A203&lt;&gt;"", (B203 - B202) / B202, "")</f>
        <v>-0.006914846386</v>
      </c>
      <c r="F203" s="22">
        <f t="shared" si="203"/>
        <v>-0.019974417</v>
      </c>
      <c r="H203" s="22" t="str">
        <f t="shared" si="4"/>
        <v/>
      </c>
    </row>
    <row r="204" ht="15.75" customHeight="1">
      <c r="A204" s="32">
        <f>'EQUITY BACKTEST'!A207</f>
        <v>37575.66667</v>
      </c>
      <c r="B204" s="22">
        <f>'EQUITY BACKTEST'!B207</f>
        <v>909.74</v>
      </c>
      <c r="C204" s="22">
        <f>1/'EQUITY BACKTEST'!E207</f>
        <v>0.9905894007</v>
      </c>
      <c r="D204" s="22">
        <f t="shared" si="1"/>
        <v>-0.6312746282</v>
      </c>
      <c r="E204" s="22">
        <f t="shared" ref="E204:F204" si="204">IF(A204&lt;&gt;"", (B204 - B203) / B203, "")</f>
        <v>0.01677601064</v>
      </c>
      <c r="F204" s="22">
        <f t="shared" si="204"/>
        <v>0.006736007925</v>
      </c>
      <c r="H204" s="22" t="str">
        <f t="shared" si="4"/>
        <v/>
      </c>
    </row>
    <row r="205" ht="15.75" customHeight="1">
      <c r="A205" s="32">
        <f>'EQUITY BACKTEST'!A208</f>
        <v>37582.66667</v>
      </c>
      <c r="B205" s="22">
        <f>'EQUITY BACKTEST'!B208</f>
        <v>930.55</v>
      </c>
      <c r="C205" s="22">
        <f>1/'EQUITY BACKTEST'!E208</f>
        <v>1.003310926</v>
      </c>
      <c r="D205" s="22">
        <f t="shared" si="1"/>
        <v>-0.6499159467</v>
      </c>
      <c r="E205" s="22">
        <f t="shared" ref="E205:F205" si="205">IF(A205&lt;&gt;"", (B205 - B204) / B204, "")</f>
        <v>0.02287466749</v>
      </c>
      <c r="F205" s="22">
        <f t="shared" si="205"/>
        <v>0.01284237985</v>
      </c>
      <c r="H205" s="22" t="str">
        <f t="shared" si="4"/>
        <v/>
      </c>
    </row>
    <row r="206" ht="15.75" customHeight="1">
      <c r="A206" s="32">
        <f>'EQUITY BACKTEST'!A209</f>
        <v>37589.66667</v>
      </c>
      <c r="B206" s="22">
        <f>'EQUITY BACKTEST'!B209</f>
        <v>936.31</v>
      </c>
      <c r="C206" s="22">
        <f>1/'EQUITY BACKTEST'!E209</f>
        <v>1.00623868</v>
      </c>
      <c r="D206" s="22">
        <f t="shared" si="1"/>
        <v>-0.6904616858</v>
      </c>
      <c r="E206" s="22">
        <f t="shared" ref="E206:F206" si="206">IF(A206&lt;&gt;"", (B206 - B205) / B205, "")</f>
        <v>0.006189887701</v>
      </c>
      <c r="F206" s="22">
        <f t="shared" si="206"/>
        <v>0.002918092171</v>
      </c>
      <c r="H206" s="22" t="str">
        <f t="shared" si="4"/>
        <v/>
      </c>
    </row>
    <row r="207" ht="15.75" customHeight="1">
      <c r="A207" s="32">
        <f>'EQUITY BACKTEST'!A210</f>
        <v>37596.66667</v>
      </c>
      <c r="B207" s="22">
        <f>'EQUITY BACKTEST'!B210</f>
        <v>912.23</v>
      </c>
      <c r="C207" s="22">
        <f>1/'EQUITY BACKTEST'!E210</f>
        <v>0.9909820632</v>
      </c>
      <c r="D207" s="22">
        <f t="shared" si="1"/>
        <v>-0.7421098038</v>
      </c>
      <c r="E207" s="22">
        <f t="shared" ref="E207:F207" si="207">IF(A207&lt;&gt;"", (B207 - B206) / B206, "")</f>
        <v>-0.02571797802</v>
      </c>
      <c r="F207" s="22">
        <f t="shared" si="207"/>
        <v>-0.01516202557</v>
      </c>
      <c r="H207" s="22" t="str">
        <f t="shared" si="4"/>
        <v/>
      </c>
    </row>
    <row r="208" ht="15.75" customHeight="1">
      <c r="A208" s="32">
        <f>'EQUITY BACKTEST'!A211</f>
        <v>37603.66667</v>
      </c>
      <c r="B208" s="22">
        <f>'EQUITY BACKTEST'!B211</f>
        <v>889.48</v>
      </c>
      <c r="C208" s="22">
        <f>1/'EQUITY BACKTEST'!E211</f>
        <v>0.9767532721</v>
      </c>
      <c r="D208" s="22">
        <f t="shared" si="1"/>
        <v>-0.7741218305</v>
      </c>
      <c r="E208" s="22">
        <f t="shared" ref="E208:F208" si="208">IF(A208&lt;&gt;"", (B208 - B207) / B207, "")</f>
        <v>-0.02493888603</v>
      </c>
      <c r="F208" s="22">
        <f t="shared" si="208"/>
        <v>-0.0143582731</v>
      </c>
      <c r="H208" s="22" t="str">
        <f t="shared" si="4"/>
        <v/>
      </c>
    </row>
    <row r="209" ht="15.75" customHeight="1">
      <c r="A209" s="32">
        <f>'EQUITY BACKTEST'!A212</f>
        <v>37610.66667</v>
      </c>
      <c r="B209" s="22">
        <f>'EQUITY BACKTEST'!B212</f>
        <v>895.76</v>
      </c>
      <c r="C209" s="22">
        <f>1/'EQUITY BACKTEST'!E212</f>
        <v>0.9746588694</v>
      </c>
      <c r="D209" s="22">
        <f t="shared" si="1"/>
        <v>-0.7919561767</v>
      </c>
      <c r="E209" s="22">
        <f t="shared" ref="E209:F209" si="209">IF(A209&lt;&gt;"", (B209 - B208) / B208, "")</f>
        <v>0.007060304897</v>
      </c>
      <c r="F209" s="22">
        <f t="shared" si="209"/>
        <v>-0.002144249513</v>
      </c>
      <c r="H209" s="22" t="str">
        <f t="shared" si="4"/>
        <v/>
      </c>
    </row>
    <row r="210" ht="15.75" customHeight="1">
      <c r="A210" s="32">
        <f>'EQUITY BACKTEST'!A213</f>
        <v>37617.66667</v>
      </c>
      <c r="B210" s="22">
        <f>'EQUITY BACKTEST'!B213</f>
        <v>875.4</v>
      </c>
      <c r="C210" s="22">
        <f>1/'EQUITY BACKTEST'!E213</f>
        <v>0.9576709443</v>
      </c>
      <c r="D210" s="22">
        <f t="shared" si="1"/>
        <v>-0.8114923881</v>
      </c>
      <c r="E210" s="22">
        <f t="shared" ref="E210:F210" si="210">IF(A210&lt;&gt;"", (B210 - B209) / B209, "")</f>
        <v>-0.02272930249</v>
      </c>
      <c r="F210" s="22">
        <f t="shared" si="210"/>
        <v>-0.01742961119</v>
      </c>
      <c r="H210" s="22" t="str">
        <f t="shared" si="4"/>
        <v/>
      </c>
    </row>
    <row r="211" ht="15.75" customHeight="1">
      <c r="A211" s="32">
        <f>'EQUITY BACKTEST'!A214</f>
        <v>37624.66667</v>
      </c>
      <c r="B211" s="22">
        <f>'EQUITY BACKTEST'!B214</f>
        <v>908.59</v>
      </c>
      <c r="C211" s="22">
        <f>1/'EQUITY BACKTEST'!E214</f>
        <v>0.9594166747</v>
      </c>
      <c r="D211" s="22">
        <f t="shared" si="1"/>
        <v>-0.8209636269</v>
      </c>
      <c r="E211" s="22">
        <f t="shared" ref="E211:F211" si="211">IF(A211&lt;&gt;"", (B211 - B210) / B210, "")</f>
        <v>0.03791409641</v>
      </c>
      <c r="F211" s="22">
        <f t="shared" si="211"/>
        <v>0.001822891682</v>
      </c>
      <c r="H211" s="22" t="str">
        <f t="shared" si="4"/>
        <v/>
      </c>
    </row>
    <row r="212" ht="15.75" customHeight="1">
      <c r="A212" s="32">
        <f>'EQUITY BACKTEST'!A215</f>
        <v>37631.66667</v>
      </c>
      <c r="B212" s="22">
        <f>'EQUITY BACKTEST'!B215</f>
        <v>927.57</v>
      </c>
      <c r="C212" s="22">
        <f>1/'EQUITY BACKTEST'!E215</f>
        <v>0.9459842967</v>
      </c>
      <c r="D212" s="22">
        <f t="shared" si="1"/>
        <v>-0.8395119623</v>
      </c>
      <c r="E212" s="22">
        <f t="shared" ref="E212:F212" si="212">IF(A212&lt;&gt;"", (B212 - B211) / B211, "")</f>
        <v>0.02088951012</v>
      </c>
      <c r="F212" s="22">
        <f t="shared" si="212"/>
        <v>-0.01400056759</v>
      </c>
      <c r="H212" s="22" t="str">
        <f t="shared" si="4"/>
        <v/>
      </c>
    </row>
    <row r="213" ht="15.75" customHeight="1">
      <c r="A213" s="32">
        <f>'EQUITY BACKTEST'!A216</f>
        <v>37638.66667</v>
      </c>
      <c r="B213" s="22">
        <f>'EQUITY BACKTEST'!B216</f>
        <v>901.78</v>
      </c>
      <c r="C213" s="22">
        <f>1/'EQUITY BACKTEST'!E216</f>
        <v>0.9372071228</v>
      </c>
      <c r="D213" s="22">
        <f t="shared" si="1"/>
        <v>-0.8555386374</v>
      </c>
      <c r="E213" s="22">
        <f t="shared" ref="E213:F213" si="213">IF(A213&lt;&gt;"", (B213 - B212) / B212, "")</f>
        <v>-0.02780383152</v>
      </c>
      <c r="F213" s="22">
        <f t="shared" si="213"/>
        <v>-0.009278350515</v>
      </c>
      <c r="H213" s="22" t="str">
        <f t="shared" si="4"/>
        <v/>
      </c>
    </row>
    <row r="214" ht="15.75" customHeight="1">
      <c r="A214" s="32">
        <f>'EQUITY BACKTEST'!A217</f>
        <v>37645.66667</v>
      </c>
      <c r="B214" s="22">
        <f>'EQUITY BACKTEST'!B217</f>
        <v>861.4</v>
      </c>
      <c r="C214" s="22">
        <f>1/'EQUITY BACKTEST'!E217</f>
        <v>0.9237021984</v>
      </c>
      <c r="D214" s="22">
        <f t="shared" si="1"/>
        <v>-0.8647119899</v>
      </c>
      <c r="E214" s="22">
        <f t="shared" ref="E214:F214" si="214">IF(A214&lt;&gt;"", (B214 - B213) / B213, "")</f>
        <v>-0.04477810552</v>
      </c>
      <c r="F214" s="22">
        <f t="shared" si="214"/>
        <v>-0.0144097543</v>
      </c>
      <c r="H214" s="22" t="str">
        <f t="shared" si="4"/>
        <v/>
      </c>
    </row>
    <row r="215" ht="15.75" customHeight="1">
      <c r="A215" s="32">
        <f>'EQUITY BACKTEST'!A218</f>
        <v>37652.66667</v>
      </c>
      <c r="B215" s="22">
        <f>'EQUITY BACKTEST'!B218</f>
        <v>855.7</v>
      </c>
      <c r="C215" s="22">
        <f>1/'EQUITY BACKTEST'!E218</f>
        <v>0.928591327</v>
      </c>
      <c r="D215" s="22">
        <f t="shared" si="1"/>
        <v>-0.8682099854</v>
      </c>
      <c r="E215" s="22">
        <f t="shared" ref="E215:F215" si="215">IF(A215&lt;&gt;"", (B215 - B214) / B214, "")</f>
        <v>-0.006617134897</v>
      </c>
      <c r="F215" s="22">
        <f t="shared" si="215"/>
        <v>0.005292970564</v>
      </c>
      <c r="H215" s="22" t="str">
        <f t="shared" si="4"/>
        <v/>
      </c>
    </row>
    <row r="216" ht="15.75" customHeight="1">
      <c r="A216" s="32">
        <f>'EQUITY BACKTEST'!A219</f>
        <v>37659.66667</v>
      </c>
      <c r="B216" s="22">
        <f>'EQUITY BACKTEST'!B219</f>
        <v>829.69</v>
      </c>
      <c r="C216" s="22">
        <f>1/'EQUITY BACKTEST'!E219</f>
        <v>0.924556213</v>
      </c>
      <c r="D216" s="22">
        <f t="shared" si="1"/>
        <v>-0.8717817677</v>
      </c>
      <c r="E216" s="22">
        <f t="shared" ref="E216:F216" si="216">IF(A216&lt;&gt;"", (B216 - B215) / B215, "")</f>
        <v>-0.03039616688</v>
      </c>
      <c r="F216" s="22">
        <f t="shared" si="216"/>
        <v>-0.004345414201</v>
      </c>
      <c r="H216" s="22" t="str">
        <f t="shared" si="4"/>
        <v/>
      </c>
    </row>
    <row r="217" ht="15.75" customHeight="1">
      <c r="A217" s="32">
        <f>'EQUITY BACKTEST'!A220</f>
        <v>37666.66667</v>
      </c>
      <c r="B217" s="22">
        <f>'EQUITY BACKTEST'!B220</f>
        <v>834.89</v>
      </c>
      <c r="C217" s="22">
        <f>1/'EQUITY BACKTEST'!E220</f>
        <v>0.9267840593</v>
      </c>
      <c r="D217" s="22">
        <f t="shared" si="1"/>
        <v>-0.8765295414</v>
      </c>
      <c r="E217" s="22">
        <f t="shared" ref="E217:F217" si="217">IF(A217&lt;&gt;"", (B217 - B216) / B216, "")</f>
        <v>0.006267401078</v>
      </c>
      <c r="F217" s="22">
        <f t="shared" si="217"/>
        <v>0.002409638554</v>
      </c>
      <c r="H217" s="22" t="str">
        <f t="shared" si="4"/>
        <v/>
      </c>
    </row>
    <row r="218" ht="15.75" customHeight="1">
      <c r="A218" s="32">
        <f>'EQUITY BACKTEST'!A221</f>
        <v>37673.66667</v>
      </c>
      <c r="B218" s="22">
        <f>'EQUITY BACKTEST'!B221</f>
        <v>848.17</v>
      </c>
      <c r="C218" s="22">
        <f>1/'EQUITY BACKTEST'!E221</f>
        <v>0.9293680297</v>
      </c>
      <c r="D218" s="22">
        <f t="shared" si="1"/>
        <v>-0.8784423788</v>
      </c>
      <c r="E218" s="22">
        <f t="shared" ref="E218:F218" si="218">IF(A218&lt;&gt;"", (B218 - B217) / B217, "")</f>
        <v>0.01590628706</v>
      </c>
      <c r="F218" s="22">
        <f t="shared" si="218"/>
        <v>0.002788104089</v>
      </c>
      <c r="H218" s="22" t="str">
        <f t="shared" si="4"/>
        <v/>
      </c>
    </row>
    <row r="219" ht="15.75" customHeight="1">
      <c r="A219" s="32">
        <f>'EQUITY BACKTEST'!A222</f>
        <v>37680.66667</v>
      </c>
      <c r="B219" s="22">
        <f>'EQUITY BACKTEST'!B222</f>
        <v>841.15</v>
      </c>
      <c r="C219" s="22">
        <f>1/'EQUITY BACKTEST'!E222</f>
        <v>0.9255831174</v>
      </c>
      <c r="D219" s="22">
        <f t="shared" si="1"/>
        <v>-0.8779946099</v>
      </c>
      <c r="E219" s="22">
        <f t="shared" ref="E219:F219" si="219">IF(A219&lt;&gt;"", (B219 - B218) / B218, "")</f>
        <v>-0.008276642654</v>
      </c>
      <c r="F219" s="22">
        <f t="shared" si="219"/>
        <v>-0.004072565716</v>
      </c>
      <c r="H219" s="22" t="str">
        <f t="shared" si="4"/>
        <v/>
      </c>
    </row>
    <row r="220" ht="15.75" customHeight="1">
      <c r="A220" s="32">
        <f>'EQUITY BACKTEST'!A223</f>
        <v>37687.66667</v>
      </c>
      <c r="B220" s="22">
        <f>'EQUITY BACKTEST'!B223</f>
        <v>828.89</v>
      </c>
      <c r="C220" s="22">
        <f>1/'EQUITY BACKTEST'!E223</f>
        <v>0.9084302326</v>
      </c>
      <c r="D220" s="22">
        <f t="shared" si="1"/>
        <v>-0.8758136011</v>
      </c>
      <c r="E220" s="22">
        <f t="shared" ref="E220:F220" si="220">IF(A220&lt;&gt;"", (B220 - B219) / B219, "")</f>
        <v>-0.01457528384</v>
      </c>
      <c r="F220" s="22">
        <f t="shared" si="220"/>
        <v>-0.01853197674</v>
      </c>
      <c r="H220" s="22" t="str">
        <f t="shared" si="4"/>
        <v/>
      </c>
    </row>
    <row r="221" ht="15.75" customHeight="1">
      <c r="A221" s="32">
        <f>'EQUITY BACKTEST'!A224</f>
        <v>37694.66667</v>
      </c>
      <c r="B221" s="22">
        <f>'EQUITY BACKTEST'!B224</f>
        <v>833.27</v>
      </c>
      <c r="C221" s="22">
        <f>1/'EQUITY BACKTEST'!E224</f>
        <v>0.9310986965</v>
      </c>
      <c r="D221" s="22">
        <f t="shared" si="1"/>
        <v>-0.8818895288</v>
      </c>
      <c r="E221" s="22">
        <f t="shared" ref="E221:F221" si="221">IF(A221&lt;&gt;"", (B221 - B220) / B220, "")</f>
        <v>0.005284175222</v>
      </c>
      <c r="F221" s="22">
        <f t="shared" si="221"/>
        <v>0.02495344507</v>
      </c>
      <c r="H221" s="22" t="str">
        <f t="shared" si="4"/>
        <v/>
      </c>
    </row>
    <row r="222" ht="15.75" customHeight="1">
      <c r="A222" s="32">
        <f>'EQUITY BACKTEST'!A225</f>
        <v>37701.66667</v>
      </c>
      <c r="B222" s="22">
        <f>'EQUITY BACKTEST'!B225</f>
        <v>895.9</v>
      </c>
      <c r="C222" s="22">
        <f>1/'EQUITY BACKTEST'!E225</f>
        <v>0.9505703422</v>
      </c>
      <c r="D222" s="22">
        <f t="shared" si="1"/>
        <v>-0.8784654757</v>
      </c>
      <c r="E222" s="22">
        <f t="shared" ref="E222:F222" si="222">IF(A222&lt;&gt;"", (B222 - B221) / B221, "")</f>
        <v>0.07516171229</v>
      </c>
      <c r="F222" s="22">
        <f t="shared" si="222"/>
        <v>0.02091254753</v>
      </c>
      <c r="H222" s="22" t="str">
        <f t="shared" si="4"/>
        <v/>
      </c>
    </row>
    <row r="223" ht="15.75" customHeight="1">
      <c r="A223" s="32">
        <f>'EQUITY BACKTEST'!A226</f>
        <v>37708.66667</v>
      </c>
      <c r="B223" s="22">
        <f>'EQUITY BACKTEST'!B226</f>
        <v>863.5</v>
      </c>
      <c r="C223" s="22">
        <f>1/'EQUITY BACKTEST'!E226</f>
        <v>0.9279881218</v>
      </c>
      <c r="D223" s="22">
        <f t="shared" si="1"/>
        <v>-0.8737074678</v>
      </c>
      <c r="E223" s="22">
        <f t="shared" ref="E223:F223" si="223">IF(A223&lt;&gt;"", (B223 - B222) / B222, "")</f>
        <v>-0.03616475053</v>
      </c>
      <c r="F223" s="22">
        <f t="shared" si="223"/>
        <v>-0.02375649592</v>
      </c>
      <c r="H223" s="22" t="str">
        <f t="shared" si="4"/>
        <v/>
      </c>
    </row>
    <row r="224" ht="15.75" customHeight="1">
      <c r="A224" s="32">
        <f>'EQUITY BACKTEST'!A227</f>
        <v>37715.66667</v>
      </c>
      <c r="B224" s="22">
        <f>'EQUITY BACKTEST'!B227</f>
        <v>878.85</v>
      </c>
      <c r="C224" s="22">
        <f>1/'EQUITY BACKTEST'!E227</f>
        <v>0.9317927693</v>
      </c>
      <c r="D224" s="22">
        <f t="shared" si="1"/>
        <v>-0.8623043437</v>
      </c>
      <c r="E224" s="22">
        <f t="shared" ref="E224:F224" si="224">IF(A224&lt;&gt;"", (B224 - B223) / B223, "")</f>
        <v>0.01777649102</v>
      </c>
      <c r="F224" s="22">
        <f t="shared" si="224"/>
        <v>0.004099888185</v>
      </c>
      <c r="H224" s="22" t="str">
        <f t="shared" si="4"/>
        <v/>
      </c>
    </row>
    <row r="225" ht="15.75" customHeight="1">
      <c r="A225" s="32">
        <f>'EQUITY BACKTEST'!A228</f>
        <v>37722.66667</v>
      </c>
      <c r="B225" s="22">
        <f>'EQUITY BACKTEST'!B228</f>
        <v>868.3</v>
      </c>
      <c r="C225" s="22">
        <f>1/'EQUITY BACKTEST'!E228</f>
        <v>0.9299730308</v>
      </c>
      <c r="D225" s="22">
        <f t="shared" si="1"/>
        <v>-0.8483395953</v>
      </c>
      <c r="E225" s="22">
        <f t="shared" ref="E225:F225" si="225">IF(A225&lt;&gt;"", (B225 - B224) / B224, "")</f>
        <v>-0.01200432383</v>
      </c>
      <c r="F225" s="22">
        <f t="shared" si="225"/>
        <v>-0.001952943365</v>
      </c>
      <c r="H225" s="22" t="str">
        <f t="shared" si="4"/>
        <v/>
      </c>
    </row>
    <row r="226" ht="15.75" customHeight="1">
      <c r="A226" s="32">
        <f>'EQUITY BACKTEST'!A229</f>
        <v>37728.66667</v>
      </c>
      <c r="B226" s="22">
        <f>'EQUITY BACKTEST'!B229</f>
        <v>893.58</v>
      </c>
      <c r="C226" s="22">
        <f>1/'EQUITY BACKTEST'!E229</f>
        <v>0.9186954525</v>
      </c>
      <c r="D226" s="22">
        <f t="shared" si="1"/>
        <v>-0.8283721257</v>
      </c>
      <c r="E226" s="22">
        <f t="shared" ref="E226:F226" si="226">IF(A226&lt;&gt;"", (B226 - B225) / B225, "")</f>
        <v>0.0291143614</v>
      </c>
      <c r="F226" s="22">
        <f t="shared" si="226"/>
        <v>-0.01212677997</v>
      </c>
      <c r="H226" s="22" t="str">
        <f t="shared" si="4"/>
        <v/>
      </c>
    </row>
    <row r="227" ht="15.75" customHeight="1">
      <c r="A227" s="32">
        <f>'EQUITY BACKTEST'!A230</f>
        <v>37736.66667</v>
      </c>
      <c r="B227" s="22">
        <f>'EQUITY BACKTEST'!B230</f>
        <v>898.81</v>
      </c>
      <c r="C227" s="22">
        <f>1/'EQUITY BACKTEST'!E230</f>
        <v>0.9061254078</v>
      </c>
      <c r="D227" s="22">
        <f t="shared" si="1"/>
        <v>-0.8022586844</v>
      </c>
      <c r="E227" s="22">
        <f t="shared" ref="E227:F227" si="227">IF(A227&lt;&gt;"", (B227 - B226) / B226, "")</f>
        <v>0.005852861523</v>
      </c>
      <c r="F227" s="22">
        <f t="shared" si="227"/>
        <v>-0.01368249366</v>
      </c>
      <c r="H227" s="22" t="str">
        <f t="shared" si="4"/>
        <v/>
      </c>
    </row>
    <row r="228" ht="15.75" customHeight="1">
      <c r="A228" s="32">
        <f>'EQUITY BACKTEST'!A231</f>
        <v>37743.66667</v>
      </c>
      <c r="B228" s="22">
        <f>'EQUITY BACKTEST'!B231</f>
        <v>930.08</v>
      </c>
      <c r="C228" s="22">
        <f>1/'EQUITY BACKTEST'!E231</f>
        <v>0.8906305664</v>
      </c>
      <c r="D228" s="22">
        <f t="shared" si="1"/>
        <v>-0.7886304167</v>
      </c>
      <c r="E228" s="22">
        <f t="shared" ref="E228:F228" si="228">IF(A228&lt;&gt;"", (B228 - B227) / B227, "")</f>
        <v>0.03479044514</v>
      </c>
      <c r="F228" s="22">
        <f t="shared" si="228"/>
        <v>-0.01710010688</v>
      </c>
      <c r="H228" s="22" t="str">
        <f t="shared" si="4"/>
        <v/>
      </c>
    </row>
    <row r="229" ht="15.75" customHeight="1">
      <c r="A229" s="32">
        <f>'EQUITY BACKTEST'!A232</f>
        <v>37750.66667</v>
      </c>
      <c r="B229" s="22">
        <f>'EQUITY BACKTEST'!B232</f>
        <v>933.41</v>
      </c>
      <c r="C229" s="22">
        <f>1/'EQUITY BACKTEST'!E232</f>
        <v>0.8705493166</v>
      </c>
      <c r="D229" s="22">
        <f t="shared" si="1"/>
        <v>-0.7781240722</v>
      </c>
      <c r="E229" s="22">
        <f t="shared" ref="E229:F229" si="229">IF(A229&lt;&gt;"", (B229 - B228) / B228, "")</f>
        <v>0.003580337175</v>
      </c>
      <c r="F229" s="22">
        <f t="shared" si="229"/>
        <v>-0.0225472273</v>
      </c>
      <c r="H229" s="22" t="str">
        <f t="shared" si="4"/>
        <v/>
      </c>
    </row>
    <row r="230" ht="15.75" customHeight="1">
      <c r="A230" s="32">
        <f>'EQUITY BACKTEST'!A233</f>
        <v>37757.66667</v>
      </c>
      <c r="B230" s="22">
        <f>'EQUITY BACKTEST'!B233</f>
        <v>944.3</v>
      </c>
      <c r="C230" s="22">
        <f>1/'EQUITY BACKTEST'!E233</f>
        <v>0.8624407072</v>
      </c>
      <c r="D230" s="22">
        <f t="shared" si="1"/>
        <v>-0.7793305332</v>
      </c>
      <c r="E230" s="22">
        <f t="shared" ref="E230:F230" si="230">IF(A230&lt;&gt;"", (B230 - B229) / B229, "")</f>
        <v>0.01166689879</v>
      </c>
      <c r="F230" s="22">
        <f t="shared" si="230"/>
        <v>-0.009314359638</v>
      </c>
      <c r="H230" s="22" t="str">
        <f t="shared" si="4"/>
        <v/>
      </c>
    </row>
    <row r="231" ht="15.75" customHeight="1">
      <c r="A231" s="32">
        <f>'EQUITY BACKTEST'!A234</f>
        <v>37764.66667</v>
      </c>
      <c r="B231" s="22">
        <f>'EQUITY BACKTEST'!B234</f>
        <v>933.22</v>
      </c>
      <c r="C231" s="22">
        <f>1/'EQUITY BACKTEST'!E234</f>
        <v>0.8446659346</v>
      </c>
      <c r="D231" s="22">
        <f t="shared" si="1"/>
        <v>-0.7874212037</v>
      </c>
      <c r="E231" s="22">
        <f t="shared" ref="E231:F231" si="231">IF(A231&lt;&gt;"", (B231 - B230) / B230, "")</f>
        <v>-0.01173355925</v>
      </c>
      <c r="F231" s="22">
        <f t="shared" si="231"/>
        <v>-0.0206098488</v>
      </c>
      <c r="H231" s="22" t="str">
        <f t="shared" si="4"/>
        <v/>
      </c>
    </row>
    <row r="232" ht="15.75" customHeight="1">
      <c r="A232" s="32">
        <f>'EQUITY BACKTEST'!A235</f>
        <v>37771.66667</v>
      </c>
      <c r="B232" s="22">
        <f>'EQUITY BACKTEST'!B235</f>
        <v>963.59</v>
      </c>
      <c r="C232" s="22">
        <f>1/'EQUITY BACKTEST'!E235</f>
        <v>0.8486803021</v>
      </c>
      <c r="D232" s="22">
        <f t="shared" si="1"/>
        <v>-0.8212102729</v>
      </c>
      <c r="E232" s="22">
        <f t="shared" ref="E232:F232" si="232">IF(A232&lt;&gt;"", (B232 - B231) / B231, "")</f>
        <v>0.03254323739</v>
      </c>
      <c r="F232" s="22">
        <f t="shared" si="232"/>
        <v>0.004752609692</v>
      </c>
      <c r="H232" s="22" t="str">
        <f t="shared" si="4"/>
        <v/>
      </c>
    </row>
    <row r="233" ht="15.75" customHeight="1">
      <c r="A233" s="32">
        <f>'EQUITY BACKTEST'!A236</f>
        <v>37778.66667</v>
      </c>
      <c r="B233" s="22">
        <f>'EQUITY BACKTEST'!B236</f>
        <v>987.76</v>
      </c>
      <c r="C233" s="22">
        <f>1/'EQUITY BACKTEST'!E236</f>
        <v>0.8548469824</v>
      </c>
      <c r="D233" s="22">
        <f t="shared" si="1"/>
        <v>-0.8407203253</v>
      </c>
      <c r="E233" s="22">
        <f t="shared" ref="E233:F233" si="233">IF(A233&lt;&gt;"", (B233 - B232) / B232, "")</f>
        <v>0.02508328231</v>
      </c>
      <c r="F233" s="22">
        <f t="shared" si="233"/>
        <v>0.00726619935</v>
      </c>
      <c r="H233" s="22" t="str">
        <f t="shared" si="4"/>
        <v/>
      </c>
    </row>
    <row r="234" ht="15.75" customHeight="1">
      <c r="A234" s="32">
        <f>'EQUITY BACKTEST'!A237</f>
        <v>37785.66667</v>
      </c>
      <c r="B234" s="22">
        <f>'EQUITY BACKTEST'!B237</f>
        <v>988.61</v>
      </c>
      <c r="C234" s="22">
        <f>1/'EQUITY BACKTEST'!E237</f>
        <v>0.8426729586</v>
      </c>
      <c r="D234" s="22">
        <f t="shared" si="1"/>
        <v>-0.8414289804</v>
      </c>
      <c r="E234" s="22">
        <f t="shared" ref="E234:F234" si="234">IF(A234&lt;&gt;"", (B234 - B233) / B233, "")</f>
        <v>0.000860532923</v>
      </c>
      <c r="F234" s="22">
        <f t="shared" si="234"/>
        <v>-0.014241173</v>
      </c>
      <c r="H234" s="22" t="str">
        <f t="shared" si="4"/>
        <v/>
      </c>
    </row>
    <row r="235" ht="15.75" customHeight="1">
      <c r="A235" s="32">
        <f>'EQUITY BACKTEST'!A238</f>
        <v>37792.66667</v>
      </c>
      <c r="B235" s="22">
        <f>'EQUITY BACKTEST'!B238</f>
        <v>995.69</v>
      </c>
      <c r="C235" s="22">
        <f>1/'EQUITY BACKTEST'!E238</f>
        <v>0.8618460743</v>
      </c>
      <c r="D235" s="22">
        <f t="shared" si="1"/>
        <v>-0.8552008461</v>
      </c>
      <c r="E235" s="22">
        <f t="shared" ref="E235:F235" si="235">IF(A235&lt;&gt;"", (B235 - B234) / B234, "")</f>
        <v>0.007161570286</v>
      </c>
      <c r="F235" s="22">
        <f t="shared" si="235"/>
        <v>0.02275273636</v>
      </c>
      <c r="H235" s="22" t="str">
        <f t="shared" si="4"/>
        <v/>
      </c>
    </row>
    <row r="236" ht="15.75" customHeight="1">
      <c r="A236" s="32">
        <f>'EQUITY BACKTEST'!A239</f>
        <v>37799.66667</v>
      </c>
      <c r="B236" s="22">
        <f>'EQUITY BACKTEST'!B239</f>
        <v>976.22</v>
      </c>
      <c r="C236" s="22">
        <f>1/'EQUITY BACKTEST'!E239</f>
        <v>0.8748906387</v>
      </c>
      <c r="D236" s="22">
        <f t="shared" si="1"/>
        <v>-0.8575847444</v>
      </c>
      <c r="E236" s="22">
        <f t="shared" ref="E236:F236" si="236">IF(A236&lt;&gt;"", (B236 - B235) / B235, "")</f>
        <v>-0.01955427894</v>
      </c>
      <c r="F236" s="22">
        <f t="shared" si="236"/>
        <v>0.01513560805</v>
      </c>
      <c r="H236" s="22" t="str">
        <f t="shared" si="4"/>
        <v/>
      </c>
    </row>
    <row r="237" ht="15.75" customHeight="1">
      <c r="A237" s="32">
        <f>'EQUITY BACKTEST'!A240</f>
        <v>37805.66667</v>
      </c>
      <c r="B237" s="22">
        <f>'EQUITY BACKTEST'!B240</f>
        <v>985.7</v>
      </c>
      <c r="C237" s="22">
        <f>1/'EQUITY BACKTEST'!E240</f>
        <v>0.8701705534</v>
      </c>
      <c r="D237" s="22">
        <f t="shared" si="1"/>
        <v>-0.8590465966</v>
      </c>
      <c r="E237" s="22">
        <f t="shared" ref="E237:F237" si="237">IF(A237&lt;&gt;"", (B237 - B236) / B236, "")</f>
        <v>0.009710925816</v>
      </c>
      <c r="F237" s="22">
        <f t="shared" si="237"/>
        <v>-0.005395057431</v>
      </c>
      <c r="H237" s="22" t="str">
        <f t="shared" si="4"/>
        <v/>
      </c>
    </row>
    <row r="238" ht="15.75" customHeight="1">
      <c r="A238" s="32">
        <f>'EQUITY BACKTEST'!A241</f>
        <v>37813.66667</v>
      </c>
      <c r="B238" s="22">
        <f>'EQUITY BACKTEST'!B241</f>
        <v>998.13</v>
      </c>
      <c r="C238" s="22">
        <f>1/'EQUITY BACKTEST'!E241</f>
        <v>0.8866820358</v>
      </c>
      <c r="D238" s="22">
        <f t="shared" si="1"/>
        <v>-0.8601004898</v>
      </c>
      <c r="E238" s="22">
        <f t="shared" ref="E238:F238" si="238">IF(A238&lt;&gt;"", (B238 - B237) / B237, "")</f>
        <v>0.01261032769</v>
      </c>
      <c r="F238" s="22">
        <f t="shared" si="238"/>
        <v>0.01897499557</v>
      </c>
      <c r="H238" s="22" t="str">
        <f t="shared" si="4"/>
        <v/>
      </c>
    </row>
    <row r="239" ht="15.75" customHeight="1">
      <c r="A239" s="32">
        <f>'EQUITY BACKTEST'!A242</f>
        <v>37820.66667</v>
      </c>
      <c r="B239" s="22">
        <f>'EQUITY BACKTEST'!B242</f>
        <v>993.32</v>
      </c>
      <c r="C239" s="22">
        <f>1/'EQUITY BACKTEST'!E242</f>
        <v>0.8880206021</v>
      </c>
      <c r="D239" s="22">
        <f t="shared" si="1"/>
        <v>-0.8518833871</v>
      </c>
      <c r="E239" s="22">
        <f t="shared" ref="E239:F239" si="239">IF(A239&lt;&gt;"", (B239 - B238) / B238, "")</f>
        <v>-0.004819011552</v>
      </c>
      <c r="F239" s="22">
        <f t="shared" si="239"/>
        <v>0.001509635024</v>
      </c>
      <c r="H239" s="22" t="str">
        <f t="shared" si="4"/>
        <v/>
      </c>
    </row>
    <row r="240" ht="15.75" customHeight="1">
      <c r="A240" s="32">
        <f>'EQUITY BACKTEST'!A243</f>
        <v>37827.66667</v>
      </c>
      <c r="B240" s="22">
        <f>'EQUITY BACKTEST'!B243</f>
        <v>998.68</v>
      </c>
      <c r="C240" s="22">
        <f>1/'EQUITY BACKTEST'!E243</f>
        <v>0.8688097307</v>
      </c>
      <c r="D240" s="22">
        <f t="shared" si="1"/>
        <v>-0.8441590068</v>
      </c>
      <c r="E240" s="22">
        <f t="shared" ref="E240:F240" si="240">IF(A240&lt;&gt;"", (B240 - B239) / B239, "")</f>
        <v>0.005396045585</v>
      </c>
      <c r="F240" s="22">
        <f t="shared" si="240"/>
        <v>-0.02163336229</v>
      </c>
      <c r="H240" s="22" t="str">
        <f t="shared" si="4"/>
        <v/>
      </c>
    </row>
    <row r="241" ht="15.75" customHeight="1">
      <c r="A241" s="32">
        <f>'EQUITY BACKTEST'!A244</f>
        <v>37834.66667</v>
      </c>
      <c r="B241" s="22">
        <f>'EQUITY BACKTEST'!B244</f>
        <v>980.15</v>
      </c>
      <c r="C241" s="22">
        <f>1/'EQUITY BACKTEST'!E244</f>
        <v>0.8865248227</v>
      </c>
      <c r="D241" s="22">
        <f t="shared" si="1"/>
        <v>-0.8420151552</v>
      </c>
      <c r="E241" s="22">
        <f t="shared" ref="E241:F241" si="241">IF(A241&lt;&gt;"", (B241 - B240) / B240, "")</f>
        <v>-0.01855449193</v>
      </c>
      <c r="F241" s="22">
        <f t="shared" si="241"/>
        <v>0.02039007092</v>
      </c>
      <c r="H241" s="22" t="str">
        <f t="shared" si="4"/>
        <v/>
      </c>
    </row>
    <row r="242" ht="15.75" customHeight="1">
      <c r="A242" s="32">
        <f>'EQUITY BACKTEST'!A245</f>
        <v>37841.66667</v>
      </c>
      <c r="B242" s="22">
        <f>'EQUITY BACKTEST'!B245</f>
        <v>977.59</v>
      </c>
      <c r="C242" s="22">
        <f>1/'EQUITY BACKTEST'!E245</f>
        <v>0.8843296781</v>
      </c>
      <c r="D242" s="22">
        <f t="shared" si="1"/>
        <v>-0.8228331895</v>
      </c>
      <c r="E242" s="22">
        <f t="shared" ref="E242:F242" si="242">IF(A242&lt;&gt;"", (B242 - B241) / B241, "")</f>
        <v>-0.002611845126</v>
      </c>
      <c r="F242" s="22">
        <f t="shared" si="242"/>
        <v>-0.002476123099</v>
      </c>
      <c r="H242" s="22" t="str">
        <f t="shared" si="4"/>
        <v/>
      </c>
    </row>
    <row r="243" ht="15.75" customHeight="1">
      <c r="A243" s="32">
        <f>'EQUITY BACKTEST'!A246</f>
        <v>37848.66667</v>
      </c>
      <c r="B243" s="22">
        <f>'EQUITY BACKTEST'!B246</f>
        <v>990.68</v>
      </c>
      <c r="C243" s="22">
        <f>1/'EQUITY BACKTEST'!E246</f>
        <v>0.8880206021</v>
      </c>
      <c r="D243" s="22">
        <f t="shared" si="1"/>
        <v>-0.7998389312</v>
      </c>
      <c r="E243" s="22">
        <f t="shared" ref="E243:F243" si="243">IF(A243&lt;&gt;"", (B243 - B242) / B242, "")</f>
        <v>0.0133900715</v>
      </c>
      <c r="F243" s="22">
        <f t="shared" si="243"/>
        <v>0.00417369683</v>
      </c>
      <c r="H243" s="22" t="str">
        <f t="shared" si="4"/>
        <v/>
      </c>
    </row>
    <row r="244" ht="15.75" customHeight="1">
      <c r="A244" s="32">
        <f>'EQUITY BACKTEST'!A247</f>
        <v>37855.66667</v>
      </c>
      <c r="B244" s="22">
        <f>'EQUITY BACKTEST'!B247</f>
        <v>993.05</v>
      </c>
      <c r="C244" s="22">
        <f>1/'EQUITY BACKTEST'!E247</f>
        <v>0.9193711501</v>
      </c>
      <c r="D244" s="22">
        <f t="shared" si="1"/>
        <v>-0.7842402886</v>
      </c>
      <c r="E244" s="22">
        <f t="shared" ref="E244:F244" si="244">IF(A244&lt;&gt;"", (B244 - B243) / B243, "")</f>
        <v>0.002392296201</v>
      </c>
      <c r="F244" s="22">
        <f t="shared" si="244"/>
        <v>0.03530385217</v>
      </c>
      <c r="H244" s="22" t="str">
        <f t="shared" si="4"/>
        <v/>
      </c>
    </row>
    <row r="245" ht="15.75" customHeight="1">
      <c r="A245" s="32">
        <f>'EQUITY BACKTEST'!A248</f>
        <v>37862.66667</v>
      </c>
      <c r="B245" s="22">
        <f>'EQUITY BACKTEST'!B248</f>
        <v>1008.02</v>
      </c>
      <c r="C245" s="22">
        <f>1/'EQUITY BACKTEST'!E248</f>
        <v>0.9109957183</v>
      </c>
      <c r="D245" s="22">
        <f t="shared" si="1"/>
        <v>-0.7573343886</v>
      </c>
      <c r="E245" s="22">
        <f t="shared" ref="E245:F245" si="245">IF(A245&lt;&gt;"", (B245 - B244) / B244, "")</f>
        <v>0.01507476965</v>
      </c>
      <c r="F245" s="22">
        <f t="shared" si="245"/>
        <v>-0.009109957183</v>
      </c>
      <c r="H245" s="22" t="str">
        <f t="shared" si="4"/>
        <v/>
      </c>
    </row>
    <row r="246" ht="15.75" customHeight="1">
      <c r="A246" s="32">
        <f>'EQUITY BACKTEST'!A249</f>
        <v>37869.66667</v>
      </c>
      <c r="B246" s="22">
        <f>'EQUITY BACKTEST'!B249</f>
        <v>1021.37</v>
      </c>
      <c r="C246" s="22">
        <f>1/'EQUITY BACKTEST'!E249</f>
        <v>0.9002520706</v>
      </c>
      <c r="D246" s="22">
        <f t="shared" si="1"/>
        <v>-0.7321624072</v>
      </c>
      <c r="E246" s="22">
        <f t="shared" ref="E246:F246" si="246">IF(A246&lt;&gt;"", (B246 - B245) / B245, "")</f>
        <v>0.01324378485</v>
      </c>
      <c r="F246" s="22">
        <f t="shared" si="246"/>
        <v>-0.01179330212</v>
      </c>
      <c r="H246" s="22" t="str">
        <f t="shared" si="4"/>
        <v/>
      </c>
    </row>
    <row r="247" ht="15.75" customHeight="1">
      <c r="A247" s="32">
        <f>'EQUITY BACKTEST'!A250</f>
        <v>37876.66667</v>
      </c>
      <c r="B247" s="22">
        <f>'EQUITY BACKTEST'!B250</f>
        <v>1018.63</v>
      </c>
      <c r="C247" s="22">
        <f>1/'EQUITY BACKTEST'!E250</f>
        <v>0.885818053</v>
      </c>
      <c r="D247" s="22">
        <f t="shared" si="1"/>
        <v>-0.7133568341</v>
      </c>
      <c r="E247" s="22">
        <f t="shared" ref="E247:F247" si="247">IF(A247&lt;&gt;"", (B247 - B246) / B246, "")</f>
        <v>-0.002682671314</v>
      </c>
      <c r="F247" s="22">
        <f t="shared" si="247"/>
        <v>-0.01603330676</v>
      </c>
      <c r="H247" s="22" t="str">
        <f t="shared" si="4"/>
        <v/>
      </c>
    </row>
    <row r="248" ht="15.75" customHeight="1">
      <c r="A248" s="32">
        <f>'EQUITY BACKTEST'!A251</f>
        <v>37883.66667</v>
      </c>
      <c r="B248" s="22">
        <f>'EQUITY BACKTEST'!B251</f>
        <v>1036.3</v>
      </c>
      <c r="C248" s="22">
        <f>1/'EQUITY BACKTEST'!E251</f>
        <v>0.8791208791</v>
      </c>
      <c r="D248" s="22">
        <f t="shared" si="1"/>
        <v>-0.6841552942</v>
      </c>
      <c r="E248" s="22">
        <f t="shared" ref="E248:F248" si="248">IF(A248&lt;&gt;"", (B248 - B247) / B247, "")</f>
        <v>0.01734682858</v>
      </c>
      <c r="F248" s="22">
        <f t="shared" si="248"/>
        <v>-0.00756043956</v>
      </c>
      <c r="H248" s="22" t="str">
        <f t="shared" si="4"/>
        <v/>
      </c>
    </row>
    <row r="249" ht="15.75" customHeight="1">
      <c r="A249" s="32">
        <f>'EQUITY BACKTEST'!A252</f>
        <v>37890.66667</v>
      </c>
      <c r="B249" s="22">
        <f>'EQUITY BACKTEST'!B252</f>
        <v>996.85</v>
      </c>
      <c r="C249" s="22">
        <f>1/'EQUITY BACKTEST'!E252</f>
        <v>0.872600349</v>
      </c>
      <c r="D249" s="22">
        <f t="shared" si="1"/>
        <v>-0.6634167921</v>
      </c>
      <c r="E249" s="22">
        <f t="shared" ref="E249:F249" si="249">IF(A249&lt;&gt;"", (B249 - B248) / B248, "")</f>
        <v>-0.03806812699</v>
      </c>
      <c r="F249" s="22">
        <f t="shared" si="249"/>
        <v>-0.007417102967</v>
      </c>
      <c r="H249" s="22" t="str">
        <f t="shared" si="4"/>
        <v/>
      </c>
    </row>
    <row r="250" ht="15.75" customHeight="1">
      <c r="A250" s="32">
        <f>'EQUITY BACKTEST'!A253</f>
        <v>37897.66667</v>
      </c>
      <c r="B250" s="22">
        <f>'EQUITY BACKTEST'!B253</f>
        <v>1029.85</v>
      </c>
      <c r="C250" s="22">
        <f>1/'EQUITY BACKTEST'!E253</f>
        <v>0.8638562543</v>
      </c>
      <c r="D250" s="22">
        <f t="shared" si="1"/>
        <v>-0.6212753886</v>
      </c>
      <c r="E250" s="22">
        <f t="shared" ref="E250:F250" si="250">IF(A250&lt;&gt;"", (B250 - B249) / B249, "")</f>
        <v>0.03310427848</v>
      </c>
      <c r="F250" s="22">
        <f t="shared" si="250"/>
        <v>-0.01002073255</v>
      </c>
      <c r="H250" s="22" t="str">
        <f t="shared" si="4"/>
        <v/>
      </c>
    </row>
    <row r="251" ht="15.75" customHeight="1">
      <c r="A251" s="32">
        <f>'EQUITY BACKTEST'!A254</f>
        <v>37904.66667</v>
      </c>
      <c r="B251" s="22">
        <f>'EQUITY BACKTEST'!B254</f>
        <v>1038.06</v>
      </c>
      <c r="C251" s="22">
        <f>1/'EQUITY BACKTEST'!E254</f>
        <v>0.8472422266</v>
      </c>
      <c r="D251" s="22">
        <f t="shared" si="1"/>
        <v>-0.5889883548</v>
      </c>
      <c r="E251" s="22">
        <f t="shared" ref="E251:F251" si="251">IF(A251&lt;&gt;"", (B251 - B250) / B250, "")</f>
        <v>0.007972034762</v>
      </c>
      <c r="F251" s="22">
        <f t="shared" si="251"/>
        <v>-0.01923239854</v>
      </c>
      <c r="H251" s="22" t="str">
        <f t="shared" si="4"/>
        <v/>
      </c>
    </row>
    <row r="252" ht="15.75" customHeight="1">
      <c r="A252" s="32">
        <f>'EQUITY BACKTEST'!A255</f>
        <v>37911.66667</v>
      </c>
      <c r="B252" s="22">
        <f>'EQUITY BACKTEST'!B255</f>
        <v>1039.32</v>
      </c>
      <c r="C252" s="22">
        <f>1/'EQUITY BACKTEST'!E255</f>
        <v>0.8563110122</v>
      </c>
      <c r="D252" s="22">
        <f t="shared" si="1"/>
        <v>-0.5642819387</v>
      </c>
      <c r="E252" s="22">
        <f t="shared" ref="E252:F252" si="252">IF(A252&lt;&gt;"", (B252 - B251) / B251, "")</f>
        <v>0.00121380267</v>
      </c>
      <c r="F252" s="22">
        <f t="shared" si="252"/>
        <v>0.01070388765</v>
      </c>
      <c r="H252" s="22" t="str">
        <f t="shared" si="4"/>
        <v/>
      </c>
    </row>
    <row r="253" ht="15.75" customHeight="1">
      <c r="A253" s="32">
        <f>'EQUITY BACKTEST'!A256</f>
        <v>37918.66667</v>
      </c>
      <c r="B253" s="22">
        <f>'EQUITY BACKTEST'!B256</f>
        <v>1028.91</v>
      </c>
      <c r="C253" s="22">
        <f>1/'EQUITY BACKTEST'!E256</f>
        <v>0.8491126773</v>
      </c>
      <c r="D253" s="22">
        <f t="shared" si="1"/>
        <v>-0.5025834073</v>
      </c>
      <c r="E253" s="22">
        <f t="shared" ref="E253:F253" si="253">IF(A253&lt;&gt;"", (B253 - B252) / B252, "")</f>
        <v>-0.01001616442</v>
      </c>
      <c r="F253" s="22">
        <f t="shared" si="253"/>
        <v>-0.008406215505</v>
      </c>
      <c r="H253" s="22" t="str">
        <f t="shared" si="4"/>
        <v/>
      </c>
    </row>
    <row r="254" ht="15.75" customHeight="1">
      <c r="A254" s="32">
        <f>'EQUITY BACKTEST'!A257</f>
        <v>37925.66667</v>
      </c>
      <c r="B254" s="22">
        <f>'EQUITY BACKTEST'!B257</f>
        <v>1050.71</v>
      </c>
      <c r="C254" s="22">
        <f>1/'EQUITY BACKTEST'!E257</f>
        <v>0.8635578584</v>
      </c>
      <c r="D254" s="22">
        <f t="shared" si="1"/>
        <v>-0.4717854804</v>
      </c>
      <c r="E254" s="22">
        <f t="shared" ref="E254:F254" si="254">IF(A254&lt;&gt;"", (B254 - B253) / B253, "")</f>
        <v>0.02118747024</v>
      </c>
      <c r="F254" s="22">
        <f t="shared" si="254"/>
        <v>0.01701208981</v>
      </c>
      <c r="H254" s="22" t="str">
        <f t="shared" si="4"/>
        <v/>
      </c>
    </row>
    <row r="255" ht="15.75" customHeight="1">
      <c r="A255" s="32">
        <f>'EQUITY BACKTEST'!A258</f>
        <v>37932.66667</v>
      </c>
      <c r="B255" s="22">
        <f>'EQUITY BACKTEST'!B258</f>
        <v>1053.21</v>
      </c>
      <c r="C255" s="22">
        <f>1/'EQUITY BACKTEST'!E258</f>
        <v>0.8682062858</v>
      </c>
      <c r="D255" s="22">
        <f t="shared" si="1"/>
        <v>-0.465723631</v>
      </c>
      <c r="E255" s="22">
        <f t="shared" ref="E255:F255" si="255">IF(A255&lt;&gt;"", (B255 - B254) / B254, "")</f>
        <v>0.002379343492</v>
      </c>
      <c r="F255" s="22">
        <f t="shared" si="255"/>
        <v>0.005382878972</v>
      </c>
      <c r="H255" s="22" t="str">
        <f t="shared" si="4"/>
        <v/>
      </c>
    </row>
    <row r="256" ht="15.75" customHeight="1">
      <c r="A256" s="32">
        <f>'EQUITY BACKTEST'!A259</f>
        <v>37939.66667</v>
      </c>
      <c r="B256" s="22">
        <f>'EQUITY BACKTEST'!B259</f>
        <v>1050.35</v>
      </c>
      <c r="C256" s="22">
        <f>1/'EQUITY BACKTEST'!E259</f>
        <v>0.8492569002</v>
      </c>
      <c r="D256" s="22">
        <f t="shared" si="1"/>
        <v>-0.4659199653</v>
      </c>
      <c r="E256" s="22">
        <f t="shared" ref="E256:F256" si="256">IF(A256&lt;&gt;"", (B256 - B255) / B255, "")</f>
        <v>-0.002715507828</v>
      </c>
      <c r="F256" s="22">
        <f t="shared" si="256"/>
        <v>-0.02182590234</v>
      </c>
      <c r="H256" s="22" t="str">
        <f t="shared" si="4"/>
        <v/>
      </c>
    </row>
    <row r="257" ht="15.75" customHeight="1">
      <c r="A257" s="32">
        <f>'EQUITY BACKTEST'!A260</f>
        <v>37946.66667</v>
      </c>
      <c r="B257" s="22">
        <f>'EQUITY BACKTEST'!B260</f>
        <v>1035.28</v>
      </c>
      <c r="C257" s="22">
        <f>1/'EQUITY BACKTEST'!E260</f>
        <v>0.8391373668</v>
      </c>
      <c r="D257" s="22">
        <f t="shared" si="1"/>
        <v>-0.467626761</v>
      </c>
      <c r="E257" s="22">
        <f t="shared" ref="E257:F257" si="257">IF(A257&lt;&gt;"", (B257 - B256) / B256, "")</f>
        <v>-0.01434759842</v>
      </c>
      <c r="F257" s="22">
        <f t="shared" si="257"/>
        <v>-0.01191575061</v>
      </c>
      <c r="H257" s="22" t="str">
        <f t="shared" si="4"/>
        <v/>
      </c>
    </row>
    <row r="258" ht="15.75" customHeight="1">
      <c r="A258" s="32">
        <f>'EQUITY BACKTEST'!A261</f>
        <v>37953.66667</v>
      </c>
      <c r="B258" s="22">
        <f>'EQUITY BACKTEST'!B261</f>
        <v>1058.2</v>
      </c>
      <c r="C258" s="22">
        <f>1/'EQUITY BACKTEST'!E261</f>
        <v>0.8342370902</v>
      </c>
      <c r="D258" s="22">
        <f t="shared" si="1"/>
        <v>-0.5008870614</v>
      </c>
      <c r="E258" s="22">
        <f t="shared" ref="E258:F258" si="258">IF(A258&lt;&gt;"", (B258 - B257) / B257, "")</f>
        <v>0.02213893826</v>
      </c>
      <c r="F258" s="22">
        <f t="shared" si="258"/>
        <v>-0.005839659631</v>
      </c>
      <c r="H258" s="22" t="str">
        <f t="shared" si="4"/>
        <v/>
      </c>
    </row>
    <row r="259" ht="15.75" customHeight="1">
      <c r="A259" s="32">
        <f>'EQUITY BACKTEST'!A262</f>
        <v>37960.66667</v>
      </c>
      <c r="B259" s="22">
        <f>'EQUITY BACKTEST'!B262</f>
        <v>1061.5</v>
      </c>
      <c r="C259" s="22">
        <f>1/'EQUITY BACKTEST'!E262</f>
        <v>0.8208832704</v>
      </c>
      <c r="D259" s="22">
        <f t="shared" si="1"/>
        <v>-0.5510489452</v>
      </c>
      <c r="E259" s="22">
        <f t="shared" ref="E259:F259" si="259">IF(A259&lt;&gt;"", (B259 - B258) / B258, "")</f>
        <v>0.003118503119</v>
      </c>
      <c r="F259" s="22">
        <f t="shared" si="259"/>
        <v>-0.01600722377</v>
      </c>
      <c r="H259" s="22" t="str">
        <f t="shared" si="4"/>
        <v/>
      </c>
    </row>
    <row r="260" ht="15.75" customHeight="1">
      <c r="A260" s="32">
        <f>'EQUITY BACKTEST'!A263</f>
        <v>37967.66667</v>
      </c>
      <c r="B260" s="22">
        <f>'EQUITY BACKTEST'!B263</f>
        <v>1074.14</v>
      </c>
      <c r="C260" s="22">
        <f>1/'EQUITY BACKTEST'!E263</f>
        <v>0.8145975888</v>
      </c>
      <c r="D260" s="22">
        <f t="shared" si="1"/>
        <v>-0.596566649</v>
      </c>
      <c r="E260" s="22">
        <f t="shared" ref="E260:F260" si="260">IF(A260&lt;&gt;"", (B260 - B259) / B259, "")</f>
        <v>0.01190767781</v>
      </c>
      <c r="F260" s="22">
        <f t="shared" si="260"/>
        <v>-0.007657217335</v>
      </c>
      <c r="H260" s="22" t="str">
        <f t="shared" si="4"/>
        <v/>
      </c>
    </row>
    <row r="261" ht="15.75" customHeight="1">
      <c r="A261" s="32">
        <f>'EQUITY BACKTEST'!A264</f>
        <v>37974.66667</v>
      </c>
      <c r="B261" s="22">
        <f>'EQUITY BACKTEST'!B264</f>
        <v>1088.67</v>
      </c>
      <c r="C261" s="22">
        <f>1/'EQUITY BACKTEST'!E264</f>
        <v>0.8078196946</v>
      </c>
      <c r="D261" s="22">
        <f t="shared" si="1"/>
        <v>-0.6446072008</v>
      </c>
      <c r="E261" s="22">
        <f t="shared" ref="E261:F261" si="261">IF(A261&lt;&gt;"", (B261 - B260) / B260, "")</f>
        <v>0.01352710075</v>
      </c>
      <c r="F261" s="22">
        <f t="shared" si="261"/>
        <v>-0.008320542855</v>
      </c>
      <c r="H261" s="22" t="str">
        <f t="shared" si="4"/>
        <v/>
      </c>
    </row>
    <row r="262" ht="15.75" customHeight="1">
      <c r="A262" s="32">
        <f>'EQUITY BACKTEST'!A265</f>
        <v>37981.66667</v>
      </c>
      <c r="B262" s="22">
        <f>'EQUITY BACKTEST'!B265</f>
        <v>1095.89</v>
      </c>
      <c r="C262" s="22">
        <f>1/'EQUITY BACKTEST'!E265</f>
        <v>0.8051529791</v>
      </c>
      <c r="D262" s="22">
        <f t="shared" si="1"/>
        <v>-0.6979484895</v>
      </c>
      <c r="E262" s="22">
        <f t="shared" ref="E262:F262" si="262">IF(A262&lt;&gt;"", (B262 - B261) / B261, "")</f>
        <v>0.006631945401</v>
      </c>
      <c r="F262" s="22">
        <f t="shared" si="262"/>
        <v>-0.003301127214</v>
      </c>
      <c r="H262" s="22" t="str">
        <f t="shared" si="4"/>
        <v/>
      </c>
    </row>
    <row r="263" ht="15.75" customHeight="1">
      <c r="A263" s="32">
        <f>'EQUITY BACKTEST'!A266</f>
        <v>37988.66667</v>
      </c>
      <c r="B263" s="22">
        <f>'EQUITY BACKTEST'!B266</f>
        <v>1108.49</v>
      </c>
      <c r="C263" s="22">
        <f>1/'EQUITY BACKTEST'!E266</f>
        <v>0.7943442688</v>
      </c>
      <c r="D263" s="22">
        <f t="shared" si="1"/>
        <v>-0.7394500752</v>
      </c>
      <c r="E263" s="22">
        <f t="shared" ref="E263:F263" si="263">IF(A263&lt;&gt;"", (B263 - B262) / B262, "")</f>
        <v>0.01149750431</v>
      </c>
      <c r="F263" s="22">
        <f t="shared" si="263"/>
        <v>-0.01342441814</v>
      </c>
      <c r="H263" s="22" t="str">
        <f t="shared" si="4"/>
        <v/>
      </c>
    </row>
    <row r="264" ht="15.75" customHeight="1">
      <c r="A264" s="32">
        <f>'EQUITY BACKTEST'!A267</f>
        <v>37995.66667</v>
      </c>
      <c r="B264" s="22">
        <f>'EQUITY BACKTEST'!B267</f>
        <v>1121.86</v>
      </c>
      <c r="C264" s="22">
        <f>1/'EQUITY BACKTEST'!E267</f>
        <v>0.7803355443</v>
      </c>
      <c r="D264" s="22">
        <f t="shared" si="1"/>
        <v>-0.7586310772</v>
      </c>
      <c r="E264" s="22">
        <f t="shared" ref="E264:F264" si="264">IF(A264&lt;&gt;"", (B264 - B263) / B263, "")</f>
        <v>0.01206145297</v>
      </c>
      <c r="F264" s="22">
        <f t="shared" si="264"/>
        <v>-0.0176355833</v>
      </c>
      <c r="H264" s="22" t="str">
        <f t="shared" si="4"/>
        <v/>
      </c>
    </row>
    <row r="265" ht="15.75" customHeight="1">
      <c r="A265" s="32">
        <f>'EQUITY BACKTEST'!A268</f>
        <v>38002.66667</v>
      </c>
      <c r="B265" s="22">
        <f>'EQUITY BACKTEST'!B268</f>
        <v>1139.82</v>
      </c>
      <c r="C265" s="22">
        <f>1/'EQUITY BACKTEST'!E268</f>
        <v>0.8069722402</v>
      </c>
      <c r="D265" s="22">
        <f t="shared" si="1"/>
        <v>-0.778620321</v>
      </c>
      <c r="E265" s="22">
        <f t="shared" ref="E265:F265" si="265">IF(A265&lt;&gt;"", (B265 - B264) / B264, "")</f>
        <v>0.0160091277</v>
      </c>
      <c r="F265" s="22">
        <f t="shared" si="265"/>
        <v>0.03413492576</v>
      </c>
      <c r="H265" s="22" t="str">
        <f t="shared" si="4"/>
        <v/>
      </c>
    </row>
    <row r="266" ht="15.75" customHeight="1">
      <c r="A266" s="32">
        <f>'EQUITY BACKTEST'!A269</f>
        <v>38009.66667</v>
      </c>
      <c r="B266" s="22">
        <f>'EQUITY BACKTEST'!B269</f>
        <v>1141.55</v>
      </c>
      <c r="C266" s="22">
        <f>1/'EQUITY BACKTEST'!E269</f>
        <v>0.7949757532</v>
      </c>
      <c r="D266" s="22">
        <f t="shared" si="1"/>
        <v>-0.783989902</v>
      </c>
      <c r="E266" s="22">
        <f t="shared" ref="E266:F266" si="266">IF(A266&lt;&gt;"", (B266 - B265) / B265, "")</f>
        <v>0.00151778351</v>
      </c>
      <c r="F266" s="22">
        <f t="shared" si="266"/>
        <v>-0.01486604659</v>
      </c>
      <c r="H266" s="22" t="str">
        <f t="shared" si="4"/>
        <v/>
      </c>
    </row>
    <row r="267" ht="15.75" customHeight="1">
      <c r="A267" s="32">
        <f>'EQUITY BACKTEST'!A270</f>
        <v>38016.66667</v>
      </c>
      <c r="B267" s="22">
        <f>'EQUITY BACKTEST'!B270</f>
        <v>1131.12</v>
      </c>
      <c r="C267" s="22">
        <f>1/'EQUITY BACKTEST'!E270</f>
        <v>0.8018603159</v>
      </c>
      <c r="D267" s="22">
        <f t="shared" si="1"/>
        <v>-0.7888453813</v>
      </c>
      <c r="E267" s="22">
        <f t="shared" ref="E267:F267" si="267">IF(A267&lt;&gt;"", (B267 - B266) / B266, "")</f>
        <v>-0.009136700101</v>
      </c>
      <c r="F267" s="22">
        <f t="shared" si="267"/>
        <v>0.008660091412</v>
      </c>
      <c r="H267" s="22" t="str">
        <f t="shared" si="4"/>
        <v/>
      </c>
    </row>
    <row r="268" ht="15.75" customHeight="1">
      <c r="A268" s="32">
        <f>'EQUITY BACKTEST'!A271</f>
        <v>38023.66667</v>
      </c>
      <c r="B268" s="22">
        <f>'EQUITY BACKTEST'!B271</f>
        <v>1142.76</v>
      </c>
      <c r="C268" s="22">
        <f>1/'EQUITY BACKTEST'!E271</f>
        <v>0.7870916962</v>
      </c>
      <c r="D268" s="22">
        <f t="shared" si="1"/>
        <v>-0.7862914611</v>
      </c>
      <c r="E268" s="22">
        <f t="shared" ref="E268:F268" si="268">IF(A268&lt;&gt;"", (B268 - B267) / B267, "")</f>
        <v>0.01029068534</v>
      </c>
      <c r="F268" s="22">
        <f t="shared" si="268"/>
        <v>-0.01841794569</v>
      </c>
      <c r="H268" s="22" t="str">
        <f t="shared" si="4"/>
        <v/>
      </c>
    </row>
    <row r="269" ht="15.75" customHeight="1">
      <c r="A269" s="32">
        <f>'EQUITY BACKTEST'!A272</f>
        <v>38030.66667</v>
      </c>
      <c r="B269" s="22">
        <f>'EQUITY BACKTEST'!B272</f>
        <v>1145.81</v>
      </c>
      <c r="C269" s="22">
        <f>1/'EQUITY BACKTEST'!E272</f>
        <v>0.7859781498</v>
      </c>
      <c r="D269" s="22">
        <f t="shared" si="1"/>
        <v>-0.7841822995</v>
      </c>
      <c r="E269" s="22">
        <f t="shared" ref="E269:F269" si="269">IF(A269&lt;&gt;"", (B269 - B268) / B268, "")</f>
        <v>0.002668976863</v>
      </c>
      <c r="F269" s="22">
        <f t="shared" si="269"/>
        <v>-0.00141476067</v>
      </c>
      <c r="H269" s="22" t="str">
        <f t="shared" si="4"/>
        <v/>
      </c>
    </row>
    <row r="270" ht="15.75" customHeight="1">
      <c r="A270" s="32">
        <f>'EQUITY BACKTEST'!A273</f>
        <v>38037.66667</v>
      </c>
      <c r="B270" s="22">
        <f>'EQUITY BACKTEST'!B273</f>
        <v>1144.11</v>
      </c>
      <c r="C270" s="22">
        <f>1/'EQUITY BACKTEST'!E273</f>
        <v>0.7975753709</v>
      </c>
      <c r="D270" s="22">
        <f t="shared" si="1"/>
        <v>-0.7895202867</v>
      </c>
      <c r="E270" s="22">
        <f t="shared" ref="E270:F270" si="270">IF(A270&lt;&gt;"", (B270 - B269) / B269, "")</f>
        <v>-0.001483666576</v>
      </c>
      <c r="F270" s="22">
        <f t="shared" si="270"/>
        <v>0.01475514436</v>
      </c>
      <c r="H270" s="22" t="str">
        <f t="shared" si="4"/>
        <v/>
      </c>
    </row>
    <row r="271" ht="15.75" customHeight="1">
      <c r="A271" s="32">
        <f>'EQUITY BACKTEST'!A274</f>
        <v>38044.66667</v>
      </c>
      <c r="B271" s="22">
        <f>'EQUITY BACKTEST'!B274</f>
        <v>1144.94</v>
      </c>
      <c r="C271" s="22">
        <f>1/'EQUITY BACKTEST'!E274</f>
        <v>0.8007046201</v>
      </c>
      <c r="D271" s="22">
        <f t="shared" si="1"/>
        <v>-0.7994631787</v>
      </c>
      <c r="E271" s="22">
        <f t="shared" ref="E271:F271" si="271">IF(A271&lt;&gt;"", (B271 - B270) / B270, "")</f>
        <v>0.0007254547203</v>
      </c>
      <c r="F271" s="22">
        <f t="shared" si="271"/>
        <v>0.003923452638</v>
      </c>
      <c r="H271" s="22" t="str">
        <f t="shared" si="4"/>
        <v/>
      </c>
    </row>
    <row r="272" ht="15.75" customHeight="1">
      <c r="A272" s="32">
        <f>'EQUITY BACKTEST'!A275</f>
        <v>38051.66667</v>
      </c>
      <c r="B272" s="22">
        <f>'EQUITY BACKTEST'!B275</f>
        <v>1156.86</v>
      </c>
      <c r="C272" s="22">
        <f>1/'EQUITY BACKTEST'!E275</f>
        <v>0.8088651622</v>
      </c>
      <c r="D272" s="22">
        <f t="shared" si="1"/>
        <v>-0.8081107412</v>
      </c>
      <c r="E272" s="22">
        <f t="shared" ref="E272:F272" si="272">IF(A272&lt;&gt;"", (B272 - B271) / B271, "")</f>
        <v>0.01041102591</v>
      </c>
      <c r="F272" s="22">
        <f t="shared" si="272"/>
        <v>0.01019170104</v>
      </c>
      <c r="H272" s="22" t="str">
        <f t="shared" si="4"/>
        <v/>
      </c>
    </row>
    <row r="273" ht="15.75" customHeight="1">
      <c r="A273" s="32">
        <f>'EQUITY BACKTEST'!A276</f>
        <v>38058.66667</v>
      </c>
      <c r="B273" s="22">
        <f>'EQUITY BACKTEST'!B276</f>
        <v>1120.6</v>
      </c>
      <c r="C273" s="22">
        <f>1/'EQUITY BACKTEST'!E276</f>
        <v>0.8183975775</v>
      </c>
      <c r="D273" s="22">
        <f t="shared" si="1"/>
        <v>-0.8200474429</v>
      </c>
      <c r="E273" s="22">
        <f t="shared" ref="E273:F273" si="273">IF(A273&lt;&gt;"", (B273 - B272) / B272, "")</f>
        <v>-0.0313434642</v>
      </c>
      <c r="F273" s="22">
        <f t="shared" si="273"/>
        <v>0.01178492512</v>
      </c>
      <c r="H273" s="22" t="str">
        <f t="shared" si="4"/>
        <v/>
      </c>
    </row>
    <row r="274" ht="15.75" customHeight="1">
      <c r="A274" s="32">
        <f>'EQUITY BACKTEST'!A277</f>
        <v>38065.66667</v>
      </c>
      <c r="B274" s="22">
        <f>'EQUITY BACKTEST'!B277</f>
        <v>1109.74</v>
      </c>
      <c r="C274" s="22">
        <f>1/'EQUITY BACKTEST'!E277</f>
        <v>0.8142659393</v>
      </c>
      <c r="D274" s="22">
        <f t="shared" si="1"/>
        <v>-0.8236598481</v>
      </c>
      <c r="E274" s="22">
        <f t="shared" ref="E274:F274" si="274">IF(A274&lt;&gt;"", (B274 - B273) / B273, "")</f>
        <v>-0.009691236837</v>
      </c>
      <c r="F274" s="22">
        <f t="shared" si="274"/>
        <v>-0.005048448823</v>
      </c>
      <c r="H274" s="22" t="str">
        <f t="shared" si="4"/>
        <v/>
      </c>
    </row>
    <row r="275" ht="15.75" customHeight="1">
      <c r="A275" s="32">
        <f>'EQUITY BACKTEST'!A278</f>
        <v>38072.66667</v>
      </c>
      <c r="B275" s="22">
        <f>'EQUITY BACKTEST'!B278</f>
        <v>1108.02</v>
      </c>
      <c r="C275" s="22">
        <f>1/'EQUITY BACKTEST'!E278</f>
        <v>0.8254230293</v>
      </c>
      <c r="D275" s="22">
        <f t="shared" si="1"/>
        <v>-0.8242232874</v>
      </c>
      <c r="E275" s="22">
        <f t="shared" ref="E275:F275" si="275">IF(A275&lt;&gt;"", (B275 - B274) / B274, "")</f>
        <v>-0.001549912592</v>
      </c>
      <c r="F275" s="22">
        <f t="shared" si="275"/>
        <v>0.01370202229</v>
      </c>
      <c r="H275" s="22" t="str">
        <f t="shared" si="4"/>
        <v/>
      </c>
    </row>
    <row r="276" ht="15.75" customHeight="1">
      <c r="A276" s="32">
        <f>'EQUITY BACKTEST'!A279</f>
        <v>38079.66667</v>
      </c>
      <c r="B276" s="22">
        <f>'EQUITY BACKTEST'!B279</f>
        <v>1141.8</v>
      </c>
      <c r="C276" s="22">
        <f>1/'EQUITY BACKTEST'!E279</f>
        <v>0.8250144378</v>
      </c>
      <c r="D276" s="22">
        <f t="shared" si="1"/>
        <v>-0.8229498268</v>
      </c>
      <c r="E276" s="22">
        <f t="shared" ref="E276:F276" si="276">IF(A276&lt;&gt;"", (B276 - B275) / B275, "")</f>
        <v>0.03048681432</v>
      </c>
      <c r="F276" s="22">
        <f t="shared" si="276"/>
        <v>-0.0004950086627</v>
      </c>
      <c r="H276" s="22" t="str">
        <f t="shared" si="4"/>
        <v/>
      </c>
    </row>
    <row r="277" ht="15.75" customHeight="1">
      <c r="A277" s="32">
        <f>'EQUITY BACKTEST'!A280</f>
        <v>38085.66667</v>
      </c>
      <c r="B277" s="22">
        <f>'EQUITY BACKTEST'!B280</f>
        <v>1139.33</v>
      </c>
      <c r="C277" s="22">
        <f>1/'EQUITY BACKTEST'!E280</f>
        <v>0.8266512358</v>
      </c>
      <c r="D277" s="22">
        <f t="shared" si="1"/>
        <v>-0.829198511</v>
      </c>
      <c r="E277" s="22">
        <f t="shared" ref="E277:F277" si="277">IF(A277&lt;&gt;"", (B277 - B276) / B276, "")</f>
        <v>-0.002163251007</v>
      </c>
      <c r="F277" s="22">
        <f t="shared" si="277"/>
        <v>0.001983962966</v>
      </c>
      <c r="H277" s="22" t="str">
        <f t="shared" si="4"/>
        <v/>
      </c>
    </row>
    <row r="278" ht="15.75" customHeight="1">
      <c r="A278" s="32">
        <f>'EQUITY BACKTEST'!A281</f>
        <v>38093.66667</v>
      </c>
      <c r="B278" s="22">
        <f>'EQUITY BACKTEST'!B281</f>
        <v>1134.56</v>
      </c>
      <c r="C278" s="22">
        <f>1/'EQUITY BACKTEST'!E281</f>
        <v>0.8347245409</v>
      </c>
      <c r="D278" s="22">
        <f t="shared" si="1"/>
        <v>-0.8316321329</v>
      </c>
      <c r="E278" s="22">
        <f t="shared" ref="E278:F278" si="278">IF(A278&lt;&gt;"", (B278 - B277) / B277, "")</f>
        <v>-0.004186671114</v>
      </c>
      <c r="F278" s="22">
        <f t="shared" si="278"/>
        <v>0.009766277129</v>
      </c>
      <c r="H278" s="22" t="str">
        <f t="shared" si="4"/>
        <v/>
      </c>
    </row>
    <row r="279" ht="15.75" customHeight="1">
      <c r="A279" s="32">
        <f>'EQUITY BACKTEST'!A282</f>
        <v>38100.66667</v>
      </c>
      <c r="B279" s="22">
        <f>'EQUITY BACKTEST'!B282</f>
        <v>1140.6</v>
      </c>
      <c r="C279" s="22">
        <f>1/'EQUITY BACKTEST'!E282</f>
        <v>0.8444519507</v>
      </c>
      <c r="D279" s="22">
        <f t="shared" si="1"/>
        <v>-0.8355881318</v>
      </c>
      <c r="E279" s="22">
        <f t="shared" ref="E279:F279" si="279">IF(A279&lt;&gt;"", (B279 - B278) / B278, "")</f>
        <v>0.005323649697</v>
      </c>
      <c r="F279" s="22">
        <f t="shared" si="279"/>
        <v>0.01165343692</v>
      </c>
      <c r="H279" s="22" t="str">
        <f t="shared" si="4"/>
        <v/>
      </c>
    </row>
    <row r="280" ht="15.75" customHeight="1">
      <c r="A280" s="32">
        <f>'EQUITY BACKTEST'!A283</f>
        <v>38107.66667</v>
      </c>
      <c r="B280" s="22">
        <f>'EQUITY BACKTEST'!B283</f>
        <v>1107.24</v>
      </c>
      <c r="C280" s="22">
        <f>1/'EQUITY BACKTEST'!E283</f>
        <v>0.8347245409</v>
      </c>
      <c r="D280" s="22">
        <f t="shared" si="1"/>
        <v>-0.8543400446</v>
      </c>
      <c r="E280" s="22">
        <f t="shared" ref="E280:F280" si="280">IF(A280&lt;&gt;"", (B280 - B279) / B279, "")</f>
        <v>-0.02924776433</v>
      </c>
      <c r="F280" s="22">
        <f t="shared" si="280"/>
        <v>-0.01151919866</v>
      </c>
      <c r="H280" s="22" t="str">
        <f t="shared" si="4"/>
        <v/>
      </c>
    </row>
    <row r="281" ht="15.75" customHeight="1">
      <c r="A281" s="32">
        <f>'EQUITY BACKTEST'!A284</f>
        <v>38114.66667</v>
      </c>
      <c r="B281" s="22">
        <f>'EQUITY BACKTEST'!B284</f>
        <v>1098.7</v>
      </c>
      <c r="C281" s="22">
        <f>1/'EQUITY BACKTEST'!E284</f>
        <v>0.8421052632</v>
      </c>
      <c r="D281" s="22">
        <f t="shared" si="1"/>
        <v>-0.8525407128</v>
      </c>
      <c r="E281" s="22">
        <f t="shared" ref="E281:F281" si="281">IF(A281&lt;&gt;"", (B281 - B280) / B280, "")</f>
        <v>-0.007712871645</v>
      </c>
      <c r="F281" s="22">
        <f t="shared" si="281"/>
        <v>0.008842105263</v>
      </c>
      <c r="H281" s="22" t="str">
        <f t="shared" si="4"/>
        <v/>
      </c>
    </row>
    <row r="282" ht="15.75" customHeight="1">
      <c r="A282" s="32">
        <f>'EQUITY BACKTEST'!A285</f>
        <v>38121.66667</v>
      </c>
      <c r="B282" s="22">
        <f>'EQUITY BACKTEST'!B285</f>
        <v>1095.7</v>
      </c>
      <c r="C282" s="22">
        <f>1/'EQUITY BACKTEST'!E285</f>
        <v>0.8411843876</v>
      </c>
      <c r="D282" s="22">
        <f t="shared" si="1"/>
        <v>-0.8487622784</v>
      </c>
      <c r="E282" s="22">
        <f t="shared" ref="E282:F282" si="282">IF(A282&lt;&gt;"", (B282 - B281) / B281, "")</f>
        <v>-0.002730499681</v>
      </c>
      <c r="F282" s="22">
        <f t="shared" si="282"/>
        <v>-0.001093539704</v>
      </c>
      <c r="H282" s="22" t="str">
        <f t="shared" si="4"/>
        <v/>
      </c>
    </row>
    <row r="283" ht="15.75" customHeight="1">
      <c r="A283" s="32">
        <f>'EQUITY BACKTEST'!A286</f>
        <v>38128.66667</v>
      </c>
      <c r="B283" s="22">
        <f>'EQUITY BACKTEST'!B286</f>
        <v>1093.56</v>
      </c>
      <c r="C283" s="22">
        <f>1/'EQUITY BACKTEST'!E286</f>
        <v>0.8319467554</v>
      </c>
      <c r="D283" s="22">
        <f t="shared" si="1"/>
        <v>-0.8304432656</v>
      </c>
      <c r="E283" s="22">
        <f t="shared" ref="E283:F283" si="283">IF(A283&lt;&gt;"", (B283 - B282) / B282, "")</f>
        <v>-0.001953089349</v>
      </c>
      <c r="F283" s="22">
        <f t="shared" si="283"/>
        <v>-0.01098169717</v>
      </c>
      <c r="H283" s="22" t="str">
        <f t="shared" si="4"/>
        <v/>
      </c>
    </row>
    <row r="284" ht="15.75" customHeight="1">
      <c r="A284" s="32">
        <f>'EQUITY BACKTEST'!A287</f>
        <v>38135.66667</v>
      </c>
      <c r="B284" s="22">
        <f>'EQUITY BACKTEST'!B287</f>
        <v>1120.68</v>
      </c>
      <c r="C284" s="22">
        <f>1/'EQUITY BACKTEST'!E287</f>
        <v>0.8188666885</v>
      </c>
      <c r="D284" s="22">
        <f t="shared" si="1"/>
        <v>-0.80637654</v>
      </c>
      <c r="E284" s="22">
        <f t="shared" ref="E284:F284" si="284">IF(A284&lt;&gt;"", (B284 - B283) / B283, "")</f>
        <v>0.02479973664</v>
      </c>
      <c r="F284" s="22">
        <f t="shared" si="284"/>
        <v>-0.01572224042</v>
      </c>
      <c r="H284" s="22" t="str">
        <f t="shared" si="4"/>
        <v/>
      </c>
    </row>
    <row r="285" ht="15.75" customHeight="1">
      <c r="A285" s="32">
        <f>'EQUITY BACKTEST'!A288</f>
        <v>38142.66667</v>
      </c>
      <c r="B285" s="22">
        <f>'EQUITY BACKTEST'!B288</f>
        <v>1122.5</v>
      </c>
      <c r="C285" s="22">
        <f>1/'EQUITY BACKTEST'!E288</f>
        <v>0.8151287903</v>
      </c>
      <c r="D285" s="22">
        <f t="shared" si="1"/>
        <v>-0.7645074184</v>
      </c>
      <c r="E285" s="22">
        <f t="shared" ref="E285:F285" si="285">IF(A285&lt;&gt;"", (B285 - B284) / B284, "")</f>
        <v>0.001624013992</v>
      </c>
      <c r="F285" s="22">
        <f t="shared" si="285"/>
        <v>-0.004564721226</v>
      </c>
      <c r="H285" s="22" t="str">
        <f t="shared" si="4"/>
        <v/>
      </c>
    </row>
    <row r="286" ht="15.75" customHeight="1">
      <c r="A286" s="32">
        <f>'EQUITY BACKTEST'!A289</f>
        <v>38148.66667</v>
      </c>
      <c r="B286" s="22">
        <f>'EQUITY BACKTEST'!B289</f>
        <v>1136.47</v>
      </c>
      <c r="C286" s="22">
        <f>1/'EQUITY BACKTEST'!E289</f>
        <v>0.8331250521</v>
      </c>
      <c r="D286" s="22">
        <f t="shared" si="1"/>
        <v>-0.7142051941</v>
      </c>
      <c r="E286" s="22">
        <f t="shared" ref="E286:F286" si="286">IF(A286&lt;&gt;"", (B286 - B285) / B285, "")</f>
        <v>0.0124454343</v>
      </c>
      <c r="F286" s="22">
        <f t="shared" si="286"/>
        <v>0.02207781388</v>
      </c>
      <c r="H286" s="22" t="str">
        <f t="shared" si="4"/>
        <v/>
      </c>
    </row>
    <row r="287" ht="15.75" customHeight="1">
      <c r="A287" s="32">
        <f>'EQUITY BACKTEST'!A290</f>
        <v>38156.66667</v>
      </c>
      <c r="B287" s="22">
        <f>'EQUITY BACKTEST'!B290</f>
        <v>1136.85</v>
      </c>
      <c r="C287" s="22">
        <f>1/'EQUITY BACKTEST'!E290</f>
        <v>0.823723229</v>
      </c>
      <c r="D287" s="22">
        <f t="shared" si="1"/>
        <v>-0.6707297983</v>
      </c>
      <c r="E287" s="22">
        <f t="shared" ref="E287:F287" si="287">IF(A287&lt;&gt;"", (B287 - B286) / B286, "")</f>
        <v>0.0003343687031</v>
      </c>
      <c r="F287" s="22">
        <f t="shared" si="287"/>
        <v>-0.01128500824</v>
      </c>
      <c r="H287" s="22" t="str">
        <f t="shared" si="4"/>
        <v/>
      </c>
    </row>
    <row r="288" ht="15.75" customHeight="1">
      <c r="A288" s="32">
        <f>'EQUITY BACKTEST'!A291</f>
        <v>38163.66667</v>
      </c>
      <c r="B288" s="22">
        <f>'EQUITY BACKTEST'!B291</f>
        <v>1134.43</v>
      </c>
      <c r="C288" s="22">
        <f>1/'EQUITY BACKTEST'!E291</f>
        <v>0.8200082001</v>
      </c>
      <c r="D288" s="22">
        <f t="shared" si="1"/>
        <v>-0.6314078171</v>
      </c>
      <c r="E288" s="22">
        <f t="shared" ref="E288:F288" si="288">IF(A288&lt;&gt;"", (B288 - B287) / B287, "")</f>
        <v>-0.002128688921</v>
      </c>
      <c r="F288" s="22">
        <f t="shared" si="288"/>
        <v>-0.0045100451</v>
      </c>
      <c r="H288" s="22" t="str">
        <f t="shared" si="4"/>
        <v/>
      </c>
    </row>
    <row r="289" ht="15.75" customHeight="1">
      <c r="A289" s="32">
        <f>'EQUITY BACKTEST'!A292</f>
        <v>38170.66667</v>
      </c>
      <c r="B289" s="22">
        <f>'EQUITY BACKTEST'!B292</f>
        <v>1125.38</v>
      </c>
      <c r="C289" s="22">
        <f>1/'EQUITY BACKTEST'!E292</f>
        <v>0.8122816993</v>
      </c>
      <c r="D289" s="22">
        <f t="shared" si="1"/>
        <v>-0.5757859027</v>
      </c>
      <c r="E289" s="22">
        <f t="shared" ref="E289:F289" si="289">IF(A289&lt;&gt;"", (B289 - B288) / B288, "")</f>
        <v>-0.007977574641</v>
      </c>
      <c r="F289" s="22">
        <f t="shared" si="289"/>
        <v>-0.009422467712</v>
      </c>
      <c r="H289" s="22" t="str">
        <f t="shared" si="4"/>
        <v/>
      </c>
    </row>
    <row r="290" ht="15.75" customHeight="1">
      <c r="A290" s="32">
        <f>'EQUITY BACKTEST'!A293</f>
        <v>38177.66667</v>
      </c>
      <c r="B290" s="22">
        <f>'EQUITY BACKTEST'!B293</f>
        <v>1112.81</v>
      </c>
      <c r="C290" s="22">
        <f>1/'EQUITY BACKTEST'!E293</f>
        <v>0.8056070249</v>
      </c>
      <c r="D290" s="22">
        <f t="shared" si="1"/>
        <v>-0.5089335396</v>
      </c>
      <c r="E290" s="22">
        <f t="shared" ref="E290:F290" si="290">IF(A290&lt;&gt;"", (B290 - B289) / B289, "")</f>
        <v>-0.0111695605</v>
      </c>
      <c r="F290" s="22">
        <f t="shared" si="290"/>
        <v>-0.008217191654</v>
      </c>
      <c r="H290" s="22" t="str">
        <f t="shared" si="4"/>
        <v/>
      </c>
    </row>
    <row r="291" ht="15.75" customHeight="1">
      <c r="A291" s="32">
        <f>'EQUITY BACKTEST'!A294</f>
        <v>38184.66667</v>
      </c>
      <c r="B291" s="22">
        <f>'EQUITY BACKTEST'!B294</f>
        <v>1101.39</v>
      </c>
      <c r="C291" s="22">
        <f>1/'EQUITY BACKTEST'!E294</f>
        <v>0.803083842</v>
      </c>
      <c r="D291" s="22">
        <f t="shared" si="1"/>
        <v>-0.4398860542</v>
      </c>
      <c r="E291" s="22">
        <f t="shared" ref="E291:F291" si="291">IF(A291&lt;&gt;"", (B291 - B290) / B290, "")</f>
        <v>-0.01026230893</v>
      </c>
      <c r="F291" s="22">
        <f t="shared" si="291"/>
        <v>-0.003132026984</v>
      </c>
      <c r="H291" s="22" t="str">
        <f t="shared" si="4"/>
        <v/>
      </c>
    </row>
    <row r="292" ht="15.75" customHeight="1">
      <c r="A292" s="32">
        <f>'EQUITY BACKTEST'!A295</f>
        <v>38191.66667</v>
      </c>
      <c r="B292" s="22">
        <f>'EQUITY BACKTEST'!B295</f>
        <v>1086.2</v>
      </c>
      <c r="C292" s="22">
        <f>1/'EQUITY BACKTEST'!E295</f>
        <v>0.8262414277</v>
      </c>
      <c r="D292" s="22">
        <f t="shared" si="1"/>
        <v>-0.375211843</v>
      </c>
      <c r="E292" s="22">
        <f t="shared" ref="E292:F292" si="292">IF(A292&lt;&gt;"", (B292 - B291) / B291, "")</f>
        <v>-0.01379166326</v>
      </c>
      <c r="F292" s="22">
        <f t="shared" si="292"/>
        <v>0.02883582583</v>
      </c>
      <c r="H292" s="22" t="str">
        <f t="shared" si="4"/>
        <v/>
      </c>
    </row>
    <row r="293" ht="15.75" customHeight="1">
      <c r="A293" s="32">
        <f>'EQUITY BACKTEST'!A296</f>
        <v>38198.66667</v>
      </c>
      <c r="B293" s="22">
        <f>'EQUITY BACKTEST'!B296</f>
        <v>1101.72</v>
      </c>
      <c r="C293" s="22">
        <f>1/'EQUITY BACKTEST'!E296</f>
        <v>0.832570144</v>
      </c>
      <c r="D293" s="22">
        <f t="shared" si="1"/>
        <v>-0.2976699942</v>
      </c>
      <c r="E293" s="22">
        <f t="shared" ref="E293:F293" si="293">IF(A293&lt;&gt;"", (B293 - B292) / B292, "")</f>
        <v>0.01428834469</v>
      </c>
      <c r="F293" s="22">
        <f t="shared" si="293"/>
        <v>0.007659645325</v>
      </c>
      <c r="H293" s="22" t="str">
        <f t="shared" si="4"/>
        <v/>
      </c>
    </row>
    <row r="294" ht="15.75" customHeight="1">
      <c r="A294" s="32">
        <f>'EQUITY BACKTEST'!A297</f>
        <v>38205.66667</v>
      </c>
      <c r="B294" s="22">
        <f>'EQUITY BACKTEST'!B297</f>
        <v>1063.97</v>
      </c>
      <c r="C294" s="22">
        <f>1/'EQUITY BACKTEST'!E297</f>
        <v>0.8129420372</v>
      </c>
      <c r="D294" s="22">
        <f t="shared" si="1"/>
        <v>-0.2475440149</v>
      </c>
      <c r="E294" s="22">
        <f t="shared" ref="E294:F294" si="294">IF(A294&lt;&gt;"", (B294 - B293) / B293, "")</f>
        <v>-0.03426460444</v>
      </c>
      <c r="F294" s="22">
        <f t="shared" si="294"/>
        <v>-0.02357531908</v>
      </c>
      <c r="H294" s="22" t="str">
        <f t="shared" si="4"/>
        <v/>
      </c>
    </row>
    <row r="295" ht="15.75" customHeight="1">
      <c r="A295" s="32">
        <f>'EQUITY BACKTEST'!A298</f>
        <v>38212.66667</v>
      </c>
      <c r="B295" s="22">
        <f>'EQUITY BACKTEST'!B298</f>
        <v>1064.8</v>
      </c>
      <c r="C295" s="22">
        <f>1/'EQUITY BACKTEST'!E298</f>
        <v>0.808276754</v>
      </c>
      <c r="D295" s="22">
        <f t="shared" si="1"/>
        <v>-0.2014771297</v>
      </c>
      <c r="E295" s="22">
        <f t="shared" ref="E295:F295" si="295">IF(A295&lt;&gt;"", (B295 - B294) / B294, "")</f>
        <v>0.0007800971832</v>
      </c>
      <c r="F295" s="22">
        <f t="shared" si="295"/>
        <v>-0.005738764953</v>
      </c>
      <c r="H295" s="22" t="str">
        <f t="shared" si="4"/>
        <v/>
      </c>
    </row>
    <row r="296" ht="15.75" customHeight="1">
      <c r="A296" s="32">
        <f>'EQUITY BACKTEST'!A299</f>
        <v>38219.66667</v>
      </c>
      <c r="B296" s="22">
        <f>'EQUITY BACKTEST'!B299</f>
        <v>1098.35</v>
      </c>
      <c r="C296" s="22">
        <f>1/'EQUITY BACKTEST'!E299</f>
        <v>0.812083807</v>
      </c>
      <c r="D296" s="22">
        <f t="shared" si="1"/>
        <v>-0.1477479492</v>
      </c>
      <c r="E296" s="22">
        <f t="shared" ref="E296:F296" si="296">IF(A296&lt;&gt;"", (B296 - B295) / B295, "")</f>
        <v>0.03150826446</v>
      </c>
      <c r="F296" s="22">
        <f t="shared" si="296"/>
        <v>0.004710086081</v>
      </c>
      <c r="H296" s="22" t="str">
        <f t="shared" si="4"/>
        <v/>
      </c>
    </row>
    <row r="297" ht="15.75" customHeight="1">
      <c r="A297" s="32">
        <f>'EQUITY BACKTEST'!A300</f>
        <v>38226.66667</v>
      </c>
      <c r="B297" s="22">
        <f>'EQUITY BACKTEST'!B300</f>
        <v>1107.77</v>
      </c>
      <c r="C297" s="22">
        <f>1/'EQUITY BACKTEST'!E300</f>
        <v>0.8325008325</v>
      </c>
      <c r="D297" s="22">
        <f t="shared" si="1"/>
        <v>-0.1073150201</v>
      </c>
      <c r="E297" s="22">
        <f t="shared" ref="E297:F297" si="297">IF(A297&lt;&gt;"", (B297 - B296) / B296, "")</f>
        <v>0.008576501115</v>
      </c>
      <c r="F297" s="22">
        <f t="shared" si="297"/>
        <v>0.02514152514</v>
      </c>
      <c r="H297" s="22" t="str">
        <f t="shared" si="4"/>
        <v/>
      </c>
    </row>
    <row r="298" ht="15.75" customHeight="1">
      <c r="A298" s="32">
        <f>'EQUITY BACKTEST'!A301</f>
        <v>38233.66667</v>
      </c>
      <c r="B298" s="22">
        <f>'EQUITY BACKTEST'!B301</f>
        <v>1113.63</v>
      </c>
      <c r="C298" s="22">
        <f>1/'EQUITY BACKTEST'!E301</f>
        <v>0.829806655</v>
      </c>
      <c r="D298" s="22">
        <f t="shared" si="1"/>
        <v>-0.04511728177</v>
      </c>
      <c r="E298" s="22">
        <f t="shared" ref="E298:F298" si="298">IF(A298&lt;&gt;"", (B298 - B297) / B297, "")</f>
        <v>0.00528990675</v>
      </c>
      <c r="F298" s="22">
        <f t="shared" si="298"/>
        <v>-0.003236245955</v>
      </c>
      <c r="H298" s="22" t="str">
        <f t="shared" si="4"/>
        <v/>
      </c>
    </row>
    <row r="299" ht="15.75" customHeight="1">
      <c r="A299" s="32">
        <f>'EQUITY BACKTEST'!A302</f>
        <v>38240.66667</v>
      </c>
      <c r="B299" s="22">
        <f>'EQUITY BACKTEST'!B302</f>
        <v>1123.92</v>
      </c>
      <c r="C299" s="22">
        <f>1/'EQUITY BACKTEST'!E302</f>
        <v>0.8153281696</v>
      </c>
      <c r="D299" s="22">
        <f t="shared" si="1"/>
        <v>0.03178756732</v>
      </c>
      <c r="E299" s="22">
        <f t="shared" ref="E299:F299" si="299">IF(A299&lt;&gt;"", (B299 - B298) / B298, "")</f>
        <v>0.0092400528</v>
      </c>
      <c r="F299" s="22">
        <f t="shared" si="299"/>
        <v>-0.01744802283</v>
      </c>
      <c r="H299" s="22" t="str">
        <f t="shared" si="4"/>
        <v/>
      </c>
    </row>
    <row r="300" ht="15.75" customHeight="1">
      <c r="A300" s="32">
        <f>'EQUITY BACKTEST'!A303</f>
        <v>38247.66667</v>
      </c>
      <c r="B300" s="22">
        <f>'EQUITY BACKTEST'!B303</f>
        <v>1128.55</v>
      </c>
      <c r="C300" s="22">
        <f>1/'EQUITY BACKTEST'!E303</f>
        <v>0.820815891</v>
      </c>
      <c r="D300" s="22">
        <f t="shared" si="1"/>
        <v>0.09580803244</v>
      </c>
      <c r="E300" s="22">
        <f t="shared" ref="E300:F300" si="300">IF(A300&lt;&gt;"", (B300 - B299) / B299, "")</f>
        <v>0.004119510285</v>
      </c>
      <c r="F300" s="22">
        <f t="shared" si="300"/>
        <v>0.006730690306</v>
      </c>
      <c r="H300" s="22" t="str">
        <f t="shared" si="4"/>
        <v/>
      </c>
    </row>
    <row r="301" ht="15.75" customHeight="1">
      <c r="A301" s="32">
        <f>'EQUITY BACKTEST'!A304</f>
        <v>38254.66667</v>
      </c>
      <c r="B301" s="22">
        <f>'EQUITY BACKTEST'!B304</f>
        <v>1110.11</v>
      </c>
      <c r="C301" s="22">
        <f>1/'EQUITY BACKTEST'!E304</f>
        <v>0.814995925</v>
      </c>
      <c r="D301" s="22">
        <f t="shared" si="1"/>
        <v>0.158942037</v>
      </c>
      <c r="E301" s="22">
        <f t="shared" ref="E301:F301" si="301">IF(A301&lt;&gt;"", (B301 - B300) / B300, "")</f>
        <v>-0.01633955075</v>
      </c>
      <c r="F301" s="22">
        <f t="shared" si="301"/>
        <v>-0.007090464548</v>
      </c>
      <c r="H301" s="22" t="str">
        <f t="shared" si="4"/>
        <v/>
      </c>
    </row>
    <row r="302" ht="15.75" customHeight="1">
      <c r="A302" s="32">
        <f>'EQUITY BACKTEST'!A305</f>
        <v>38261.66667</v>
      </c>
      <c r="B302" s="22">
        <f>'EQUITY BACKTEST'!B305</f>
        <v>1131.5</v>
      </c>
      <c r="C302" s="22">
        <f>1/'EQUITY BACKTEST'!E305</f>
        <v>0.806907125</v>
      </c>
      <c r="D302" s="22">
        <f t="shared" si="1"/>
        <v>0.2409136225</v>
      </c>
      <c r="E302" s="22">
        <f t="shared" ref="E302:F302" si="302">IF(A302&lt;&gt;"", (B302 - B301) / B301, "")</f>
        <v>0.01926836079</v>
      </c>
      <c r="F302" s="22">
        <f t="shared" si="302"/>
        <v>-0.009924957637</v>
      </c>
      <c r="H302" s="22" t="str">
        <f t="shared" si="4"/>
        <v/>
      </c>
    </row>
    <row r="303" ht="15.75" customHeight="1">
      <c r="A303" s="32">
        <f>'EQUITY BACKTEST'!A306</f>
        <v>38268.66667</v>
      </c>
      <c r="B303" s="22">
        <f>'EQUITY BACKTEST'!B306</f>
        <v>1122.14</v>
      </c>
      <c r="C303" s="22">
        <f>1/'EQUITY BACKTEST'!E306</f>
        <v>0.8063865817</v>
      </c>
      <c r="D303" s="22">
        <f t="shared" si="1"/>
        <v>0.2724820856</v>
      </c>
      <c r="E303" s="22">
        <f t="shared" ref="E303:F303" si="303">IF(A303&lt;&gt;"", (B303 - B302) / B302, "")</f>
        <v>-0.008272205038</v>
      </c>
      <c r="F303" s="22">
        <f t="shared" si="303"/>
        <v>-0.0006451092654</v>
      </c>
      <c r="H303" s="22" t="str">
        <f t="shared" si="4"/>
        <v/>
      </c>
    </row>
    <row r="304" ht="15.75" customHeight="1">
      <c r="A304" s="32">
        <f>'EQUITY BACKTEST'!A307</f>
        <v>38275.66667</v>
      </c>
      <c r="B304" s="22">
        <f>'EQUITY BACKTEST'!B307</f>
        <v>1108.2</v>
      </c>
      <c r="C304" s="22">
        <f>1/'EQUITY BACKTEST'!E307</f>
        <v>0.8016032064</v>
      </c>
      <c r="D304" s="22">
        <f t="shared" si="1"/>
        <v>0.3035391573</v>
      </c>
      <c r="E304" s="22">
        <f t="shared" ref="E304:F304" si="304">IF(A304&lt;&gt;"", (B304 - B303) / B303, "")</f>
        <v>-0.01242269236</v>
      </c>
      <c r="F304" s="22">
        <f t="shared" si="304"/>
        <v>-0.005931863727</v>
      </c>
      <c r="H304" s="22" t="str">
        <f t="shared" si="4"/>
        <v/>
      </c>
    </row>
    <row r="305" ht="15.75" customHeight="1">
      <c r="A305" s="32">
        <f>'EQUITY BACKTEST'!A308</f>
        <v>38282.66667</v>
      </c>
      <c r="B305" s="22">
        <f>'EQUITY BACKTEST'!B308</f>
        <v>1095.74</v>
      </c>
      <c r="C305" s="22">
        <f>1/'EQUITY BACKTEST'!E308</f>
        <v>0.7882705344</v>
      </c>
      <c r="D305" s="22">
        <f t="shared" si="1"/>
        <v>0.3306439292</v>
      </c>
      <c r="E305" s="22">
        <f t="shared" ref="E305:F305" si="305">IF(A305&lt;&gt;"", (B305 - B304) / B304, "")</f>
        <v>-0.01124345786</v>
      </c>
      <c r="F305" s="22">
        <f t="shared" si="305"/>
        <v>-0.01663250828</v>
      </c>
      <c r="H305" s="22" t="str">
        <f t="shared" si="4"/>
        <v/>
      </c>
    </row>
    <row r="306" ht="15.75" customHeight="1">
      <c r="A306" s="32">
        <f>'EQUITY BACKTEST'!A309</f>
        <v>38289.66667</v>
      </c>
      <c r="B306" s="22">
        <f>'EQUITY BACKTEST'!B309</f>
        <v>1130.2</v>
      </c>
      <c r="C306" s="22">
        <f>1/'EQUITY BACKTEST'!E309</f>
        <v>0.7816774799</v>
      </c>
      <c r="D306" s="22">
        <f t="shared" si="1"/>
        <v>0.3710678784</v>
      </c>
      <c r="E306" s="22">
        <f t="shared" ref="E306:F306" si="306">IF(A306&lt;&gt;"", (B306 - B305) / B305, "")</f>
        <v>0.03144906638</v>
      </c>
      <c r="F306" s="22">
        <f t="shared" si="306"/>
        <v>-0.008363949035</v>
      </c>
      <c r="H306" s="22" t="str">
        <f t="shared" si="4"/>
        <v/>
      </c>
    </row>
    <row r="307" ht="15.75" customHeight="1">
      <c r="A307" s="32">
        <f>'EQUITY BACKTEST'!A310</f>
        <v>38296.66667</v>
      </c>
      <c r="B307" s="22">
        <f>'EQUITY BACKTEST'!B310</f>
        <v>1166.17</v>
      </c>
      <c r="C307" s="22">
        <f>1/'EQUITY BACKTEST'!E310</f>
        <v>0.7714263674</v>
      </c>
      <c r="D307" s="22">
        <f t="shared" si="1"/>
        <v>0.4020567551</v>
      </c>
      <c r="E307" s="22">
        <f t="shared" ref="E307:F307" si="307">IF(A307&lt;&gt;"", (B307 - B306) / B306, "")</f>
        <v>0.03182622545</v>
      </c>
      <c r="F307" s="22">
        <f t="shared" si="307"/>
        <v>-0.01311424825</v>
      </c>
      <c r="H307" s="22" t="str">
        <f t="shared" si="4"/>
        <v/>
      </c>
    </row>
    <row r="308" ht="15.75" customHeight="1">
      <c r="A308" s="32">
        <f>'EQUITY BACKTEST'!A311</f>
        <v>38303.66667</v>
      </c>
      <c r="B308" s="22">
        <f>'EQUITY BACKTEST'!B311</f>
        <v>1184.17</v>
      </c>
      <c r="C308" s="22">
        <f>1/'EQUITY BACKTEST'!E311</f>
        <v>0.7718431615</v>
      </c>
      <c r="D308" s="22">
        <f t="shared" si="1"/>
        <v>0.4268986513</v>
      </c>
      <c r="E308" s="22">
        <f t="shared" ref="E308:F308" si="308">IF(A308&lt;&gt;"", (B308 - B307) / B307, "")</f>
        <v>0.01543514239</v>
      </c>
      <c r="F308" s="22">
        <f t="shared" si="308"/>
        <v>0.000540290213</v>
      </c>
      <c r="H308" s="22" t="str">
        <f t="shared" si="4"/>
        <v/>
      </c>
    </row>
    <row r="309" ht="15.75" customHeight="1">
      <c r="A309" s="32">
        <f>'EQUITY BACKTEST'!A312</f>
        <v>38310.66667</v>
      </c>
      <c r="B309" s="22">
        <f>'EQUITY BACKTEST'!B312</f>
        <v>1170.34</v>
      </c>
      <c r="C309" s="22">
        <f>1/'EQUITY BACKTEST'!E312</f>
        <v>0.7672241829</v>
      </c>
      <c r="D309" s="22">
        <f t="shared" si="1"/>
        <v>0.4589443789</v>
      </c>
      <c r="E309" s="22">
        <f t="shared" ref="E309:F309" si="309">IF(A309&lt;&gt;"", (B309 - B308) / B308, "")</f>
        <v>-0.01167906635</v>
      </c>
      <c r="F309" s="22">
        <f t="shared" si="309"/>
        <v>-0.005984348627</v>
      </c>
      <c r="H309" s="22" t="str">
        <f t="shared" si="4"/>
        <v/>
      </c>
    </row>
    <row r="310" ht="15.75" customHeight="1">
      <c r="A310" s="32">
        <f>'EQUITY BACKTEST'!A313</f>
        <v>38317.66667</v>
      </c>
      <c r="B310" s="22">
        <f>'EQUITY BACKTEST'!B313</f>
        <v>1182.65</v>
      </c>
      <c r="C310" s="22">
        <f>1/'EQUITY BACKTEST'!E313</f>
        <v>0.7525020694</v>
      </c>
      <c r="D310" s="22">
        <f t="shared" si="1"/>
        <v>0.4920196305</v>
      </c>
      <c r="E310" s="22">
        <f t="shared" ref="E310:F310" si="310">IF(A310&lt;&gt;"", (B310 - B309) / B309, "")</f>
        <v>0.01051831092</v>
      </c>
      <c r="F310" s="22">
        <f t="shared" si="310"/>
        <v>-0.01918880277</v>
      </c>
      <c r="H310" s="22" t="str">
        <f t="shared" si="4"/>
        <v/>
      </c>
    </row>
    <row r="311" ht="15.75" customHeight="1">
      <c r="A311" s="32">
        <f>'EQUITY BACKTEST'!A314</f>
        <v>38324.66667</v>
      </c>
      <c r="B311" s="22">
        <f>'EQUITY BACKTEST'!B314</f>
        <v>1191.17</v>
      </c>
      <c r="C311" s="22">
        <f>1/'EQUITY BACKTEST'!E314</f>
        <v>0.7429420505</v>
      </c>
      <c r="D311" s="22">
        <f t="shared" si="1"/>
        <v>0.5195779636</v>
      </c>
      <c r="E311" s="22">
        <f t="shared" ref="E311:F311" si="311">IF(A311&lt;&gt;"", (B311 - B310) / B310, "")</f>
        <v>0.007204160149</v>
      </c>
      <c r="F311" s="22">
        <f t="shared" si="311"/>
        <v>-0.01270430906</v>
      </c>
      <c r="H311" s="22" t="str">
        <f t="shared" si="4"/>
        <v/>
      </c>
    </row>
    <row r="312" ht="15.75" customHeight="1">
      <c r="A312" s="32">
        <f>'EQUITY BACKTEST'!A315</f>
        <v>38331.66667</v>
      </c>
      <c r="B312" s="22">
        <f>'EQUITY BACKTEST'!B315</f>
        <v>1188</v>
      </c>
      <c r="C312" s="22">
        <f>1/'EQUITY BACKTEST'!E315</f>
        <v>0.7567158532</v>
      </c>
      <c r="D312" s="22">
        <f t="shared" si="1"/>
        <v>0.5431783408</v>
      </c>
      <c r="E312" s="22">
        <f t="shared" ref="E312:F312" si="312">IF(A312&lt;&gt;"", (B312 - B311) / B311, "")</f>
        <v>-0.002661249024</v>
      </c>
      <c r="F312" s="22">
        <f t="shared" si="312"/>
        <v>0.0185395384</v>
      </c>
      <c r="H312" s="22" t="str">
        <f t="shared" si="4"/>
        <v/>
      </c>
    </row>
    <row r="313" ht="15.75" customHeight="1">
      <c r="A313" s="32">
        <f>'EQUITY BACKTEST'!A316</f>
        <v>38338.66667</v>
      </c>
      <c r="B313" s="22">
        <f>'EQUITY BACKTEST'!B316</f>
        <v>1194.22</v>
      </c>
      <c r="C313" s="22">
        <f>1/'EQUITY BACKTEST'!E316</f>
        <v>0.7512583577</v>
      </c>
      <c r="D313" s="22">
        <f t="shared" si="1"/>
        <v>0.549205897</v>
      </c>
      <c r="E313" s="22">
        <f t="shared" ref="E313:F313" si="313">IF(A313&lt;&gt;"", (B313 - B312) / B312, "")</f>
        <v>0.005235690236</v>
      </c>
      <c r="F313" s="22">
        <f t="shared" si="313"/>
        <v>-0.007212080234</v>
      </c>
      <c r="H313" s="22" t="str">
        <f t="shared" si="4"/>
        <v/>
      </c>
    </row>
    <row r="314" ht="15.75" customHeight="1">
      <c r="A314" s="32">
        <f>'EQUITY BACKTEST'!A317</f>
        <v>38344.66667</v>
      </c>
      <c r="B314" s="22">
        <f>'EQUITY BACKTEST'!B317</f>
        <v>1210.13</v>
      </c>
      <c r="C314" s="22">
        <f>1/'EQUITY BACKTEST'!E317</f>
        <v>0.7392622163</v>
      </c>
      <c r="D314" s="22">
        <f t="shared" si="1"/>
        <v>0.5672170386</v>
      </c>
      <c r="E314" s="22">
        <f t="shared" ref="E314:F314" si="314">IF(A314&lt;&gt;"", (B314 - B313) / B313, "")</f>
        <v>0.01332250339</v>
      </c>
      <c r="F314" s="22">
        <f t="shared" si="314"/>
        <v>-0.01596806387</v>
      </c>
      <c r="H314" s="22" t="str">
        <f t="shared" si="4"/>
        <v/>
      </c>
    </row>
    <row r="315" ht="15.75" customHeight="1">
      <c r="A315" s="32">
        <f>'EQUITY BACKTEST'!A318</f>
        <v>38352.66667</v>
      </c>
      <c r="B315" s="22">
        <f>'EQUITY BACKTEST'!B318</f>
        <v>1211.92</v>
      </c>
      <c r="C315" s="22">
        <f>1/'EQUITY BACKTEST'!E318</f>
        <v>0.7373000074</v>
      </c>
      <c r="D315" s="22">
        <f t="shared" si="1"/>
        <v>0.6042998236</v>
      </c>
      <c r="E315" s="22">
        <f t="shared" ref="E315:F315" si="315">IF(A315&lt;&gt;"", (B315 - B314) / B314, "")</f>
        <v>0.001479179923</v>
      </c>
      <c r="F315" s="22">
        <f t="shared" si="315"/>
        <v>-0.002654280027</v>
      </c>
      <c r="H315" s="22" t="str">
        <f t="shared" si="4"/>
        <v/>
      </c>
    </row>
    <row r="316" ht="15.75" customHeight="1">
      <c r="A316" s="32">
        <f>'EQUITY BACKTEST'!A319</f>
        <v>38359.66667</v>
      </c>
      <c r="B316" s="22">
        <f>'EQUITY BACKTEST'!B319</f>
        <v>1186.19</v>
      </c>
      <c r="C316" s="22">
        <f>1/'EQUITY BACKTEST'!E319</f>
        <v>0.764935363</v>
      </c>
      <c r="D316" s="22">
        <f t="shared" si="1"/>
        <v>0.6237088031</v>
      </c>
      <c r="E316" s="22">
        <f t="shared" ref="E316:F316" si="316">IF(A316&lt;&gt;"", (B316 - B315) / B315, "")</f>
        <v>-0.02123077431</v>
      </c>
      <c r="F316" s="22">
        <f t="shared" si="316"/>
        <v>0.03748183279</v>
      </c>
      <c r="H316" s="22" t="str">
        <f t="shared" si="4"/>
        <v/>
      </c>
    </row>
    <row r="317" ht="15.75" customHeight="1">
      <c r="A317" s="32">
        <f>'EQUITY BACKTEST'!A320</f>
        <v>38366.66667</v>
      </c>
      <c r="B317" s="22">
        <f>'EQUITY BACKTEST'!B320</f>
        <v>1184.51</v>
      </c>
      <c r="C317" s="22">
        <f>1/'EQUITY BACKTEST'!E320</f>
        <v>0.7634753397</v>
      </c>
      <c r="D317" s="22">
        <f t="shared" si="1"/>
        <v>0.6115123666</v>
      </c>
      <c r="E317" s="22">
        <f t="shared" ref="E317:F317" si="317">IF(A317&lt;&gt;"", (B317 - B316) / B316, "")</f>
        <v>-0.001416299244</v>
      </c>
      <c r="F317" s="22">
        <f t="shared" si="317"/>
        <v>-0.001908688349</v>
      </c>
      <c r="H317" s="22" t="str">
        <f t="shared" si="4"/>
        <v/>
      </c>
    </row>
    <row r="318" ht="15.75" customHeight="1">
      <c r="A318" s="32">
        <f>'EQUITY BACKTEST'!A321</f>
        <v>38373.66667</v>
      </c>
      <c r="B318" s="22">
        <f>'EQUITY BACKTEST'!B321</f>
        <v>1167.87</v>
      </c>
      <c r="C318" s="22">
        <f>1/'EQUITY BACKTEST'!E321</f>
        <v>0.7695859628</v>
      </c>
      <c r="D318" s="22">
        <f t="shared" si="1"/>
        <v>0.6061121516</v>
      </c>
      <c r="E318" s="22">
        <f t="shared" ref="E318:F318" si="318">IF(A318&lt;&gt;"", (B318 - B317) / B317, "")</f>
        <v>-0.01404800297</v>
      </c>
      <c r="F318" s="22">
        <f t="shared" si="318"/>
        <v>0.008003694013</v>
      </c>
      <c r="H318" s="22" t="str">
        <f t="shared" si="4"/>
        <v/>
      </c>
    </row>
    <row r="319" ht="15.75" customHeight="1">
      <c r="A319" s="32">
        <f>'EQUITY BACKTEST'!A322</f>
        <v>38380.66667</v>
      </c>
      <c r="B319" s="22">
        <f>'EQUITY BACKTEST'!B322</f>
        <v>1171.36</v>
      </c>
      <c r="C319" s="22">
        <f>1/'EQUITY BACKTEST'!E322</f>
        <v>0.766812361</v>
      </c>
      <c r="D319" s="22">
        <f t="shared" si="1"/>
        <v>0.5906644865</v>
      </c>
      <c r="E319" s="22">
        <f t="shared" ref="E319:F319" si="319">IF(A319&lt;&gt;"", (B319 - B318) / B318, "")</f>
        <v>0.002988346306</v>
      </c>
      <c r="F319" s="22">
        <f t="shared" si="319"/>
        <v>-0.003604018097</v>
      </c>
      <c r="H319" s="22" t="str">
        <f t="shared" si="4"/>
        <v/>
      </c>
    </row>
    <row r="320" ht="15.75" customHeight="1">
      <c r="A320" s="32">
        <f>'EQUITY BACKTEST'!A323</f>
        <v>38387.66667</v>
      </c>
      <c r="B320" s="22">
        <f>'EQUITY BACKTEST'!B323</f>
        <v>1203.03</v>
      </c>
      <c r="C320" s="22">
        <f>1/'EQUITY BACKTEST'!E323</f>
        <v>0.7779679477</v>
      </c>
      <c r="D320" s="22">
        <f t="shared" si="1"/>
        <v>0.5820491591</v>
      </c>
      <c r="E320" s="22">
        <f t="shared" ref="E320:F320" si="320">IF(A320&lt;&gt;"", (B320 - B319) / B319, "")</f>
        <v>0.0270369485</v>
      </c>
      <c r="F320" s="22">
        <f t="shared" si="320"/>
        <v>0.01454800062</v>
      </c>
      <c r="H320" s="22" t="str">
        <f t="shared" si="4"/>
        <v/>
      </c>
    </row>
    <row r="321" ht="15.75" customHeight="1">
      <c r="A321" s="32">
        <f>'EQUITY BACKTEST'!A324</f>
        <v>38394.66667</v>
      </c>
      <c r="B321" s="22">
        <f>'EQUITY BACKTEST'!B324</f>
        <v>1205.3</v>
      </c>
      <c r="C321" s="22">
        <f>1/'EQUITY BACKTEST'!E324</f>
        <v>0.7780890134</v>
      </c>
      <c r="D321" s="22">
        <f t="shared" si="1"/>
        <v>0.5844705412</v>
      </c>
      <c r="E321" s="22">
        <f t="shared" ref="E321:F321" si="321">IF(A321&lt;&gt;"", (B321 - B320) / B320, "")</f>
        <v>0.001886902239</v>
      </c>
      <c r="F321" s="22">
        <f t="shared" si="321"/>
        <v>0.0001556178027</v>
      </c>
      <c r="H321" s="22" t="str">
        <f t="shared" si="4"/>
        <v/>
      </c>
    </row>
    <row r="322" ht="15.75" customHeight="1">
      <c r="A322" s="32">
        <f>'EQUITY BACKTEST'!A325</f>
        <v>38401.66667</v>
      </c>
      <c r="B322" s="22">
        <f>'EQUITY BACKTEST'!B325</f>
        <v>1201.59</v>
      </c>
      <c r="C322" s="22">
        <f>1/'EQUITY BACKTEST'!E325</f>
        <v>0.7682851875</v>
      </c>
      <c r="D322" s="22">
        <f t="shared" si="1"/>
        <v>0.5923381424</v>
      </c>
      <c r="E322" s="22">
        <f t="shared" ref="E322:F322" si="322">IF(A322&lt;&gt;"", (B322 - B321) / B321, "")</f>
        <v>-0.003078071849</v>
      </c>
      <c r="F322" s="22">
        <f t="shared" si="322"/>
        <v>-0.01259987707</v>
      </c>
      <c r="H322" s="22" t="str">
        <f t="shared" si="4"/>
        <v/>
      </c>
    </row>
    <row r="323" ht="15.75" customHeight="1">
      <c r="A323" s="32">
        <f>'EQUITY BACKTEST'!A326</f>
        <v>38408.66667</v>
      </c>
      <c r="B323" s="22">
        <f>'EQUITY BACKTEST'!B326</f>
        <v>1211.37</v>
      </c>
      <c r="C323" s="22">
        <f>1/'EQUITY BACKTEST'!E326</f>
        <v>0.7552870091</v>
      </c>
      <c r="D323" s="22">
        <f t="shared" si="1"/>
        <v>0.6024897705</v>
      </c>
      <c r="E323" s="22">
        <f t="shared" ref="E323:F323" si="323">IF(A323&lt;&gt;"", (B323 - B322) / B322, "")</f>
        <v>0.008139215539</v>
      </c>
      <c r="F323" s="22">
        <f t="shared" si="323"/>
        <v>-0.016918429</v>
      </c>
      <c r="H323" s="22" t="str">
        <f t="shared" si="4"/>
        <v/>
      </c>
    </row>
    <row r="324" ht="15.75" customHeight="1">
      <c r="A324" s="32">
        <f>'EQUITY BACKTEST'!A327</f>
        <v>38415.66667</v>
      </c>
      <c r="B324" s="22">
        <f>'EQUITY BACKTEST'!B327</f>
        <v>1222.12</v>
      </c>
      <c r="C324" s="22">
        <f>1/'EQUITY BACKTEST'!E327</f>
        <v>0.7551729346</v>
      </c>
      <c r="D324" s="22">
        <f t="shared" si="1"/>
        <v>0.617290937</v>
      </c>
      <c r="E324" s="22">
        <f t="shared" ref="E324:F324" si="324">IF(A324&lt;&gt;"", (B324 - B323) / B323, "")</f>
        <v>0.008874249816</v>
      </c>
      <c r="F324" s="22">
        <f t="shared" si="324"/>
        <v>-0.0001510345869</v>
      </c>
      <c r="H324" s="22" t="str">
        <f t="shared" si="4"/>
        <v/>
      </c>
    </row>
    <row r="325" ht="15.75" customHeight="1">
      <c r="A325" s="32">
        <f>'EQUITY BACKTEST'!A328</f>
        <v>38422.66667</v>
      </c>
      <c r="B325" s="22">
        <f>'EQUITY BACKTEST'!B328</f>
        <v>1200.08</v>
      </c>
      <c r="C325" s="22">
        <f>1/'EQUITY BACKTEST'!E328</f>
        <v>0.7426110203</v>
      </c>
      <c r="D325" s="22">
        <f t="shared" si="1"/>
        <v>0.6530355773</v>
      </c>
      <c r="E325" s="22">
        <f t="shared" ref="E325:F325" si="325">IF(A325&lt;&gt;"", (B325 - B324) / B324, "")</f>
        <v>-0.01803423559</v>
      </c>
      <c r="F325" s="22">
        <f t="shared" si="325"/>
        <v>-0.01663448686</v>
      </c>
      <c r="H325" s="22" t="str">
        <f t="shared" si="4"/>
        <v/>
      </c>
    </row>
    <row r="326" ht="15.75" customHeight="1">
      <c r="A326" s="32">
        <f>'EQUITY BACKTEST'!A329</f>
        <v>38429.66667</v>
      </c>
      <c r="B326" s="22">
        <f>'EQUITY BACKTEST'!B329</f>
        <v>1189.65</v>
      </c>
      <c r="C326" s="22">
        <f>1/'EQUITY BACKTEST'!E329</f>
        <v>0.7510326699</v>
      </c>
      <c r="D326" s="22">
        <f t="shared" si="1"/>
        <v>0.6536668556</v>
      </c>
      <c r="E326" s="22">
        <f t="shared" ref="E326:F326" si="326">IF(A326&lt;&gt;"", (B326 - B325) / B325, "")</f>
        <v>-0.008691087261</v>
      </c>
      <c r="F326" s="22">
        <f t="shared" si="326"/>
        <v>0.01134059332</v>
      </c>
      <c r="H326" s="22" t="str">
        <f t="shared" si="4"/>
        <v/>
      </c>
    </row>
    <row r="327" ht="15.75" customHeight="1">
      <c r="A327" s="32">
        <f>'EQUITY BACKTEST'!A330</f>
        <v>38435.66667</v>
      </c>
      <c r="B327" s="22">
        <f>'EQUITY BACKTEST'!B330</f>
        <v>1171.42</v>
      </c>
      <c r="C327" s="22">
        <f>1/'EQUITY BACKTEST'!E330</f>
        <v>0.7721411474</v>
      </c>
      <c r="D327" s="22">
        <f t="shared" si="1"/>
        <v>0.6571602843</v>
      </c>
      <c r="E327" s="22">
        <f t="shared" ref="E327:F327" si="327">IF(A327&lt;&gt;"", (B327 - B326) / B326, "")</f>
        <v>-0.01532383474</v>
      </c>
      <c r="F327" s="22">
        <f t="shared" si="327"/>
        <v>0.02810593777</v>
      </c>
      <c r="H327" s="22" t="str">
        <f t="shared" si="4"/>
        <v/>
      </c>
    </row>
    <row r="328" ht="15.75" customHeight="1">
      <c r="A328" s="32">
        <f>'EQUITY BACKTEST'!A331</f>
        <v>38443.66667</v>
      </c>
      <c r="B328" s="22">
        <f>'EQUITY BACKTEST'!B331</f>
        <v>1172.92</v>
      </c>
      <c r="C328" s="22">
        <f>1/'EQUITY BACKTEST'!E331</f>
        <v>0.7747133561</v>
      </c>
      <c r="D328" s="22">
        <f t="shared" si="1"/>
        <v>0.6334591909</v>
      </c>
      <c r="E328" s="22">
        <f t="shared" ref="E328:F328" si="328">IF(A328&lt;&gt;"", (B328 - B327) / B327, "")</f>
        <v>0.001280497174</v>
      </c>
      <c r="F328" s="22">
        <f t="shared" si="328"/>
        <v>0.003331267431</v>
      </c>
      <c r="H328" s="22" t="str">
        <f t="shared" si="4"/>
        <v/>
      </c>
    </row>
    <row r="329" ht="15.75" customHeight="1">
      <c r="A329" s="32">
        <f>'EQUITY BACKTEST'!A332</f>
        <v>38450.66667</v>
      </c>
      <c r="B329" s="22">
        <f>'EQUITY BACKTEST'!B332</f>
        <v>1181.2</v>
      </c>
      <c r="C329" s="22">
        <f>1/'EQUITY BACKTEST'!E332</f>
        <v>0.7766990291</v>
      </c>
      <c r="D329" s="22">
        <f t="shared" si="1"/>
        <v>0.6093376904</v>
      </c>
      <c r="E329" s="22">
        <f t="shared" ref="E329:F329" si="329">IF(A329&lt;&gt;"", (B329 - B328) / B328, "")</f>
        <v>0.007059304982</v>
      </c>
      <c r="F329" s="22">
        <f t="shared" si="329"/>
        <v>0.002563106796</v>
      </c>
      <c r="H329" s="22" t="str">
        <f t="shared" si="4"/>
        <v/>
      </c>
    </row>
    <row r="330" ht="15.75" customHeight="1">
      <c r="A330" s="32">
        <f>'EQUITY BACKTEST'!A333</f>
        <v>38457.66667</v>
      </c>
      <c r="B330" s="22">
        <f>'EQUITY BACKTEST'!B333</f>
        <v>1142.62</v>
      </c>
      <c r="C330" s="22">
        <f>1/'EQUITY BACKTEST'!E333</f>
        <v>0.7773027594</v>
      </c>
      <c r="D330" s="22">
        <f t="shared" si="1"/>
        <v>0.5931638365</v>
      </c>
      <c r="E330" s="22">
        <f t="shared" ref="E330:F330" si="330">IF(A330&lt;&gt;"", (B330 - B329) / B329, "")</f>
        <v>-0.03266169997</v>
      </c>
      <c r="F330" s="22">
        <f t="shared" si="330"/>
        <v>0.0007773027594</v>
      </c>
      <c r="H330" s="22" t="str">
        <f t="shared" si="4"/>
        <v/>
      </c>
    </row>
    <row r="331" ht="15.75" customHeight="1">
      <c r="A331" s="32">
        <f>'EQUITY BACKTEST'!A334</f>
        <v>38464.66667</v>
      </c>
      <c r="B331" s="22">
        <f>'EQUITY BACKTEST'!B334</f>
        <v>1152.12</v>
      </c>
      <c r="C331" s="22">
        <f>1/'EQUITY BACKTEST'!E334</f>
        <v>0.7659900421</v>
      </c>
      <c r="D331" s="22">
        <f t="shared" si="1"/>
        <v>0.5077468215</v>
      </c>
      <c r="E331" s="22">
        <f t="shared" ref="E331:F331" si="331">IF(A331&lt;&gt;"", (B331 - B330) / B330, "")</f>
        <v>0.008314225202</v>
      </c>
      <c r="F331" s="22">
        <f t="shared" si="331"/>
        <v>-0.0145538108</v>
      </c>
      <c r="H331" s="22" t="str">
        <f t="shared" si="4"/>
        <v/>
      </c>
    </row>
    <row r="332" ht="15.75" customHeight="1">
      <c r="A332" s="32">
        <f>'EQUITY BACKTEST'!A335</f>
        <v>38471.66667</v>
      </c>
      <c r="B332" s="22">
        <f>'EQUITY BACKTEST'!B335</f>
        <v>1156.85</v>
      </c>
      <c r="C332" s="22">
        <f>1/'EQUITY BACKTEST'!E335</f>
        <v>0.7770611547</v>
      </c>
      <c r="D332" s="22">
        <f t="shared" si="1"/>
        <v>0.3607148334</v>
      </c>
      <c r="E332" s="22">
        <f t="shared" ref="E332:F332" si="332">IF(A332&lt;&gt;"", (B332 - B331) / B331, "")</f>
        <v>0.004105475124</v>
      </c>
      <c r="F332" s="22">
        <f t="shared" si="332"/>
        <v>0.01445333748</v>
      </c>
      <c r="H332" s="22" t="str">
        <f t="shared" si="4"/>
        <v/>
      </c>
    </row>
    <row r="333" ht="15.75" customHeight="1">
      <c r="A333" s="32">
        <f>'EQUITY BACKTEST'!A336</f>
        <v>38478.66667</v>
      </c>
      <c r="B333" s="22">
        <f>'EQUITY BACKTEST'!B336</f>
        <v>1171.35</v>
      </c>
      <c r="C333" s="22">
        <f>1/'EQUITY BACKTEST'!E336</f>
        <v>0.7806401249</v>
      </c>
      <c r="D333" s="22">
        <f t="shared" si="1"/>
        <v>0.1801003396</v>
      </c>
      <c r="E333" s="22">
        <f t="shared" ref="E333:F333" si="333">IF(A333&lt;&gt;"", (B333 - B332) / B332, "")</f>
        <v>0.01253403639</v>
      </c>
      <c r="F333" s="22">
        <f t="shared" si="333"/>
        <v>0.004605776737</v>
      </c>
      <c r="H333" s="22" t="str">
        <f t="shared" si="4"/>
        <v/>
      </c>
    </row>
    <row r="334" ht="15.75" customHeight="1">
      <c r="A334" s="32">
        <f>'EQUITY BACKTEST'!A337</f>
        <v>38485.66667</v>
      </c>
      <c r="B334" s="22">
        <f>'EQUITY BACKTEST'!B337</f>
        <v>1154.05</v>
      </c>
      <c r="C334" s="22">
        <f>1/'EQUITY BACKTEST'!E337</f>
        <v>0.7927699382</v>
      </c>
      <c r="D334" s="22">
        <f t="shared" si="1"/>
        <v>0.03509628439</v>
      </c>
      <c r="E334" s="22">
        <f t="shared" ref="E334:F334" si="334">IF(A334&lt;&gt;"", (B334 - B333) / B333, "")</f>
        <v>-0.01476928331</v>
      </c>
      <c r="F334" s="22">
        <f t="shared" si="334"/>
        <v>0.01553829079</v>
      </c>
      <c r="H334" s="22" t="str">
        <f t="shared" si="4"/>
        <v/>
      </c>
    </row>
    <row r="335" ht="15.75" customHeight="1">
      <c r="A335" s="32">
        <f>'EQUITY BACKTEST'!A338</f>
        <v>38492.66667</v>
      </c>
      <c r="B335" s="22">
        <f>'EQUITY BACKTEST'!B338</f>
        <v>1189.28</v>
      </c>
      <c r="C335" s="22">
        <f>1/'EQUITY BACKTEST'!E338</f>
        <v>0.796812749</v>
      </c>
      <c r="D335" s="22">
        <f t="shared" si="1"/>
        <v>-0.06469897597</v>
      </c>
      <c r="E335" s="22">
        <f t="shared" ref="E335:F335" si="335">IF(A335&lt;&gt;"", (B335 - B334) / B334, "")</f>
        <v>0.03052727352</v>
      </c>
      <c r="F335" s="22">
        <f t="shared" si="335"/>
        <v>0.005099601594</v>
      </c>
      <c r="H335" s="22" t="str">
        <f t="shared" si="4"/>
        <v/>
      </c>
    </row>
    <row r="336" ht="15.75" customHeight="1">
      <c r="A336" s="32">
        <f>'EQUITY BACKTEST'!A339</f>
        <v>38499.66667</v>
      </c>
      <c r="B336" s="22">
        <f>'EQUITY BACKTEST'!B339</f>
        <v>1198.78</v>
      </c>
      <c r="C336" s="22">
        <f>1/'EQUITY BACKTEST'!E339</f>
        <v>0.7951021706</v>
      </c>
      <c r="D336" s="22">
        <f t="shared" si="1"/>
        <v>-0.1402800884</v>
      </c>
      <c r="E336" s="22">
        <f t="shared" ref="E336:F336" si="336">IF(A336&lt;&gt;"", (B336 - B335) / B335, "")</f>
        <v>0.007988026369</v>
      </c>
      <c r="F336" s="22">
        <f t="shared" si="336"/>
        <v>-0.002146775861</v>
      </c>
      <c r="H336" s="22" t="str">
        <f t="shared" si="4"/>
        <v/>
      </c>
    </row>
    <row r="337" ht="15.75" customHeight="1">
      <c r="A337" s="32">
        <f>'EQUITY BACKTEST'!A340</f>
        <v>38506.66667</v>
      </c>
      <c r="B337" s="22">
        <f>'EQUITY BACKTEST'!B340</f>
        <v>1196.02</v>
      </c>
      <c r="C337" s="22">
        <f>1/'EQUITY BACKTEST'!E340</f>
        <v>0.81799591</v>
      </c>
      <c r="D337" s="22">
        <f t="shared" si="1"/>
        <v>-0.2218940618</v>
      </c>
      <c r="E337" s="22">
        <f t="shared" ref="E337:F337" si="337">IF(A337&lt;&gt;"", (B337 - B336) / B336, "")</f>
        <v>-0.002302340713</v>
      </c>
      <c r="F337" s="22">
        <f t="shared" si="337"/>
        <v>0.02879345603</v>
      </c>
      <c r="H337" s="22" t="str">
        <f t="shared" si="4"/>
        <v/>
      </c>
    </row>
    <row r="338" ht="15.75" customHeight="1">
      <c r="A338" s="32">
        <f>'EQUITY BACKTEST'!A341</f>
        <v>38513.66667</v>
      </c>
      <c r="B338" s="22">
        <f>'EQUITY BACKTEST'!B341</f>
        <v>1198.11</v>
      </c>
      <c r="C338" s="22">
        <f>1/'EQUITY BACKTEST'!E341</f>
        <v>0.8244023083</v>
      </c>
      <c r="D338" s="22">
        <f t="shared" si="1"/>
        <v>-0.2292165363</v>
      </c>
      <c r="E338" s="22">
        <f t="shared" ref="E338:F338" si="338">IF(A338&lt;&gt;"", (B338 - B337) / B337, "")</f>
        <v>0.001747462417</v>
      </c>
      <c r="F338" s="22">
        <f t="shared" si="338"/>
        <v>0.007831821929</v>
      </c>
      <c r="H338" s="22" t="str">
        <f t="shared" si="4"/>
        <v/>
      </c>
    </row>
    <row r="339" ht="15.75" customHeight="1">
      <c r="A339" s="32">
        <f>'EQUITY BACKTEST'!A342</f>
        <v>38520.66667</v>
      </c>
      <c r="B339" s="22">
        <f>'EQUITY BACKTEST'!B342</f>
        <v>1216.96</v>
      </c>
      <c r="C339" s="22">
        <f>1/'EQUITY BACKTEST'!E342</f>
        <v>0.814863103</v>
      </c>
      <c r="D339" s="22">
        <f t="shared" si="1"/>
        <v>-0.2255087921</v>
      </c>
      <c r="E339" s="22">
        <f t="shared" ref="E339:F339" si="339">IF(A339&lt;&gt;"", (B339 - B338) / B338, "")</f>
        <v>0.01573311299</v>
      </c>
      <c r="F339" s="22">
        <f t="shared" si="339"/>
        <v>-0.01157105606</v>
      </c>
      <c r="H339" s="22" t="str">
        <f t="shared" si="4"/>
        <v/>
      </c>
    </row>
    <row r="340" ht="15.75" customHeight="1">
      <c r="A340" s="32">
        <f>'EQUITY BACKTEST'!A343</f>
        <v>38527.66667</v>
      </c>
      <c r="B340" s="22">
        <f>'EQUITY BACKTEST'!B343</f>
        <v>1191.57</v>
      </c>
      <c r="C340" s="22">
        <f>1/'EQUITY BACKTEST'!E343</f>
        <v>0.8270614507</v>
      </c>
      <c r="D340" s="22">
        <f t="shared" si="1"/>
        <v>-0.2269096665</v>
      </c>
      <c r="E340" s="22">
        <f t="shared" ref="E340:F340" si="340">IF(A340&lt;&gt;"", (B340 - B339) / B339, "")</f>
        <v>-0.02086346306</v>
      </c>
      <c r="F340" s="22">
        <f t="shared" si="340"/>
        <v>0.01496981226</v>
      </c>
      <c r="H340" s="22" t="str">
        <f t="shared" si="4"/>
        <v/>
      </c>
    </row>
    <row r="341" ht="15.75" customHeight="1">
      <c r="A341" s="32">
        <f>'EQUITY BACKTEST'!A344</f>
        <v>38534.66667</v>
      </c>
      <c r="B341" s="22">
        <f>'EQUITY BACKTEST'!B344</f>
        <v>1194.44</v>
      </c>
      <c r="C341" s="22">
        <f>1/'EQUITY BACKTEST'!E344</f>
        <v>0.8381527114</v>
      </c>
      <c r="D341" s="22">
        <f t="shared" si="1"/>
        <v>-0.2329938219</v>
      </c>
      <c r="E341" s="22">
        <f t="shared" ref="E341:F341" si="341">IF(A341&lt;&gt;"", (B341 - B340) / B340, "")</f>
        <v>0.00240858699</v>
      </c>
      <c r="F341" s="22">
        <f t="shared" si="341"/>
        <v>0.01341044338</v>
      </c>
      <c r="H341" s="22" t="str">
        <f t="shared" si="4"/>
        <v/>
      </c>
    </row>
    <row r="342" ht="15.75" customHeight="1">
      <c r="A342" s="32">
        <f>'EQUITY BACKTEST'!A345</f>
        <v>38541.66667</v>
      </c>
      <c r="B342" s="22">
        <f>'EQUITY BACKTEST'!B345</f>
        <v>1211.86</v>
      </c>
      <c r="C342" s="22">
        <f>1/'EQUITY BACKTEST'!E345</f>
        <v>0.8350730689</v>
      </c>
      <c r="D342" s="22">
        <f t="shared" si="1"/>
        <v>-0.2162922684</v>
      </c>
      <c r="E342" s="22">
        <f t="shared" ref="E342:F342" si="342">IF(A342&lt;&gt;"", (B342 - B341) / B341, "")</f>
        <v>0.01458424031</v>
      </c>
      <c r="F342" s="22">
        <f t="shared" si="342"/>
        <v>-0.003674321503</v>
      </c>
      <c r="H342" s="22" t="str">
        <f t="shared" si="4"/>
        <v/>
      </c>
    </row>
    <row r="343" ht="15.75" customHeight="1">
      <c r="A343" s="32">
        <f>'EQUITY BACKTEST'!A346</f>
        <v>38548.66667</v>
      </c>
      <c r="B343" s="22">
        <f>'EQUITY BACKTEST'!B346</f>
        <v>1227.92</v>
      </c>
      <c r="C343" s="22">
        <f>1/'EQUITY BACKTEST'!E346</f>
        <v>0.8306337736</v>
      </c>
      <c r="D343" s="22">
        <f t="shared" si="1"/>
        <v>-0.1839580285</v>
      </c>
      <c r="E343" s="22">
        <f t="shared" ref="E343:F343" si="343">IF(A343&lt;&gt;"", (B343 - B342) / B342, "")</f>
        <v>0.01325235588</v>
      </c>
      <c r="F343" s="22">
        <f t="shared" si="343"/>
        <v>-0.005316056151</v>
      </c>
      <c r="H343" s="22" t="str">
        <f t="shared" si="4"/>
        <v/>
      </c>
    </row>
    <row r="344" ht="15.75" customHeight="1">
      <c r="A344" s="32">
        <f>'EQUITY BACKTEST'!A347</f>
        <v>38555.66667</v>
      </c>
      <c r="B344" s="22">
        <f>'EQUITY BACKTEST'!B347</f>
        <v>1233.68</v>
      </c>
      <c r="C344" s="22">
        <f>1/'EQUITY BACKTEST'!E347</f>
        <v>0.8296001327</v>
      </c>
      <c r="D344" s="22">
        <f t="shared" si="1"/>
        <v>-0.1603191374</v>
      </c>
      <c r="E344" s="22">
        <f t="shared" ref="E344:F344" si="344">IF(A344&lt;&gt;"", (B344 - B343) / B343, "")</f>
        <v>0.004690859339</v>
      </c>
      <c r="F344" s="22">
        <f t="shared" si="344"/>
        <v>-0.001244400199</v>
      </c>
      <c r="H344" s="22" t="str">
        <f t="shared" si="4"/>
        <v/>
      </c>
    </row>
    <row r="345" ht="15.75" customHeight="1">
      <c r="A345" s="32">
        <f>'EQUITY BACKTEST'!A348</f>
        <v>38562.66667</v>
      </c>
      <c r="B345" s="22">
        <f>'EQUITY BACKTEST'!B348</f>
        <v>1234.18</v>
      </c>
      <c r="C345" s="22">
        <f>1/'EQUITY BACKTEST'!E348</f>
        <v>0.8248783304</v>
      </c>
      <c r="D345" s="22">
        <f t="shared" si="1"/>
        <v>-0.16818147</v>
      </c>
      <c r="E345" s="22">
        <f t="shared" ref="E345:F345" si="345">IF(A345&lt;&gt;"", (B345 - B344) / B344, "")</f>
        <v>0.0004052914856</v>
      </c>
      <c r="F345" s="22">
        <f t="shared" si="345"/>
        <v>-0.00569166048</v>
      </c>
      <c r="H345" s="22" t="str">
        <f t="shared" si="4"/>
        <v/>
      </c>
    </row>
    <row r="346" ht="15.75" customHeight="1">
      <c r="A346" s="32">
        <f>'EQUITY BACKTEST'!A349</f>
        <v>38569.66667</v>
      </c>
      <c r="B346" s="22">
        <f>'EQUITY BACKTEST'!B349</f>
        <v>1226.42</v>
      </c>
      <c r="C346" s="22">
        <f>1/'EQUITY BACKTEST'!E349</f>
        <v>0.8020532563</v>
      </c>
      <c r="D346" s="22">
        <f t="shared" si="1"/>
        <v>-0.1796374129</v>
      </c>
      <c r="E346" s="22">
        <f t="shared" ref="E346:F346" si="346">IF(A346&lt;&gt;"", (B346 - B345) / B345, "")</f>
        <v>-0.006287575556</v>
      </c>
      <c r="F346" s="22">
        <f t="shared" si="346"/>
        <v>-0.02767083734</v>
      </c>
      <c r="H346" s="22" t="str">
        <f t="shared" si="4"/>
        <v/>
      </c>
    </row>
    <row r="347" ht="15.75" customHeight="1">
      <c r="A347" s="32">
        <f>'EQUITY BACKTEST'!A350</f>
        <v>38576.66667</v>
      </c>
      <c r="B347" s="22">
        <f>'EQUITY BACKTEST'!B350</f>
        <v>1230.39</v>
      </c>
      <c r="C347" s="22">
        <f>1/'EQUITY BACKTEST'!E350</f>
        <v>0.8040524242</v>
      </c>
      <c r="D347" s="22">
        <f t="shared" si="1"/>
        <v>-0.195993413</v>
      </c>
      <c r="E347" s="22">
        <f t="shared" ref="E347:F347" si="347">IF(A347&lt;&gt;"", (B347 - B346) / B346, "")</f>
        <v>0.003237063975</v>
      </c>
      <c r="F347" s="22">
        <f t="shared" si="347"/>
        <v>0.002492562515</v>
      </c>
      <c r="H347" s="22" t="str">
        <f t="shared" si="4"/>
        <v/>
      </c>
    </row>
    <row r="348" ht="15.75" customHeight="1">
      <c r="A348" s="32">
        <f>'EQUITY BACKTEST'!A351</f>
        <v>38583.66667</v>
      </c>
      <c r="B348" s="22">
        <f>'EQUITY BACKTEST'!B351</f>
        <v>1219.71</v>
      </c>
      <c r="C348" s="22">
        <f>1/'EQUITY BACKTEST'!E351</f>
        <v>0.8233163181</v>
      </c>
      <c r="D348" s="22">
        <f t="shared" si="1"/>
        <v>-0.235587395</v>
      </c>
      <c r="E348" s="22">
        <f t="shared" ref="E348:F348" si="348">IF(A348&lt;&gt;"", (B348 - B347) / B347, "")</f>
        <v>-0.008680174579</v>
      </c>
      <c r="F348" s="22">
        <f t="shared" si="348"/>
        <v>0.02395850486</v>
      </c>
      <c r="H348" s="22" t="str">
        <f t="shared" si="4"/>
        <v/>
      </c>
    </row>
    <row r="349" ht="15.75" customHeight="1">
      <c r="A349" s="32">
        <f>'EQUITY BACKTEST'!A352</f>
        <v>38590.66667</v>
      </c>
      <c r="B349" s="22">
        <f>'EQUITY BACKTEST'!B352</f>
        <v>1205.1</v>
      </c>
      <c r="C349" s="22">
        <f>1/'EQUITY BACKTEST'!E352</f>
        <v>0.8138020833</v>
      </c>
      <c r="D349" s="22">
        <f t="shared" si="1"/>
        <v>-0.250393513</v>
      </c>
      <c r="E349" s="22">
        <f t="shared" ref="E349:F349" si="349">IF(A349&lt;&gt;"", (B349 - B348) / B348, "")</f>
        <v>-0.01197825713</v>
      </c>
      <c r="F349" s="22">
        <f t="shared" si="349"/>
        <v>-0.01155598958</v>
      </c>
      <c r="H349" s="22" t="str">
        <f t="shared" si="4"/>
        <v/>
      </c>
    </row>
    <row r="350" ht="15.75" customHeight="1">
      <c r="A350" s="32">
        <f>'EQUITY BACKTEST'!A353</f>
        <v>38597.66667</v>
      </c>
      <c r="B350" s="22">
        <f>'EQUITY BACKTEST'!B353</f>
        <v>1218.02</v>
      </c>
      <c r="C350" s="22">
        <f>1/'EQUITY BACKTEST'!E353</f>
        <v>0.7984669435</v>
      </c>
      <c r="D350" s="22">
        <f t="shared" si="1"/>
        <v>-0.2884801556</v>
      </c>
      <c r="E350" s="22">
        <f t="shared" ref="E350:F350" si="350">IF(A350&lt;&gt;"", (B350 - B349) / B349, "")</f>
        <v>0.01072110198</v>
      </c>
      <c r="F350" s="22">
        <f t="shared" si="350"/>
        <v>-0.01884381987</v>
      </c>
      <c r="H350" s="22" t="str">
        <f t="shared" si="4"/>
        <v/>
      </c>
    </row>
    <row r="351" ht="15.75" customHeight="1">
      <c r="A351" s="32">
        <f>'EQUITY BACKTEST'!A354</f>
        <v>38604.66667</v>
      </c>
      <c r="B351" s="22">
        <f>'EQUITY BACKTEST'!B354</f>
        <v>1241.48</v>
      </c>
      <c r="C351" s="22">
        <f>1/'EQUITY BACKTEST'!E354</f>
        <v>0.807102502</v>
      </c>
      <c r="D351" s="22">
        <f t="shared" si="1"/>
        <v>-0.3267045774</v>
      </c>
      <c r="E351" s="22">
        <f t="shared" ref="E351:F351" si="351">IF(A351&lt;&gt;"", (B351 - B350) / B350, "")</f>
        <v>0.01926076748</v>
      </c>
      <c r="F351" s="22">
        <f t="shared" si="351"/>
        <v>0.01081517353</v>
      </c>
      <c r="H351" s="22" t="str">
        <f t="shared" si="4"/>
        <v/>
      </c>
    </row>
    <row r="352" ht="15.75" customHeight="1">
      <c r="A352" s="32">
        <f>'EQUITY BACKTEST'!A355</f>
        <v>38611.66667</v>
      </c>
      <c r="B352" s="22">
        <f>'EQUITY BACKTEST'!B355</f>
        <v>1237.91</v>
      </c>
      <c r="C352" s="22">
        <f>1/'EQUITY BACKTEST'!E355</f>
        <v>0.8174609662</v>
      </c>
      <c r="D352" s="22">
        <f t="shared" si="1"/>
        <v>-0.3503074242</v>
      </c>
      <c r="E352" s="22">
        <f t="shared" ref="E352:F352" si="352">IF(A352&lt;&gt;"", (B352 - B351) / B351, "")</f>
        <v>-0.00287560009</v>
      </c>
      <c r="F352" s="22">
        <f t="shared" si="352"/>
        <v>0.01283413717</v>
      </c>
      <c r="H352" s="22" t="str">
        <f t="shared" si="4"/>
        <v/>
      </c>
    </row>
    <row r="353" ht="15.75" customHeight="1">
      <c r="A353" s="32">
        <f>'EQUITY BACKTEST'!A356</f>
        <v>38618.66667</v>
      </c>
      <c r="B353" s="22">
        <f>'EQUITY BACKTEST'!B356</f>
        <v>1215.29</v>
      </c>
      <c r="C353" s="22">
        <f>1/'EQUITY BACKTEST'!E356</f>
        <v>0.8308408109</v>
      </c>
      <c r="D353" s="22">
        <f t="shared" si="1"/>
        <v>-0.3711915115</v>
      </c>
      <c r="E353" s="22">
        <f t="shared" ref="E353:F353" si="353">IF(A353&lt;&gt;"", (B353 - B352) / B352, "")</f>
        <v>-0.01827273388</v>
      </c>
      <c r="F353" s="22">
        <f t="shared" si="353"/>
        <v>0.01636756397</v>
      </c>
      <c r="H353" s="22" t="str">
        <f t="shared" si="4"/>
        <v/>
      </c>
    </row>
    <row r="354" ht="15.75" customHeight="1">
      <c r="A354" s="32">
        <f>'EQUITY BACKTEST'!A357</f>
        <v>38625.66667</v>
      </c>
      <c r="B354" s="22">
        <f>'EQUITY BACKTEST'!B357</f>
        <v>1228.81</v>
      </c>
      <c r="C354" s="22">
        <f>1/'EQUITY BACKTEST'!E357</f>
        <v>0.8316008316</v>
      </c>
      <c r="D354" s="22">
        <f t="shared" si="1"/>
        <v>-0.3782088687</v>
      </c>
      <c r="E354" s="22">
        <f t="shared" ref="E354:F354" si="354">IF(A354&lt;&gt;"", (B354 - B353) / B353, "")</f>
        <v>0.01112491669</v>
      </c>
      <c r="F354" s="22">
        <f t="shared" si="354"/>
        <v>0.0009147609148</v>
      </c>
      <c r="H354" s="22" t="str">
        <f t="shared" si="4"/>
        <v/>
      </c>
    </row>
    <row r="355" ht="15.75" customHeight="1">
      <c r="A355" s="32">
        <f>'EQUITY BACKTEST'!A358</f>
        <v>38632.66667</v>
      </c>
      <c r="B355" s="22">
        <f>'EQUITY BACKTEST'!B358</f>
        <v>1195.9</v>
      </c>
      <c r="C355" s="22">
        <f>1/'EQUITY BACKTEST'!E358</f>
        <v>0.8246062505</v>
      </c>
      <c r="D355" s="22">
        <f t="shared" si="1"/>
        <v>-0.3794837384</v>
      </c>
      <c r="E355" s="22">
        <f t="shared" ref="E355:F355" si="355">IF(A355&lt;&gt;"", (B355 - B354) / B354, "")</f>
        <v>-0.02678200861</v>
      </c>
      <c r="F355" s="22">
        <f t="shared" si="355"/>
        <v>-0.008410983755</v>
      </c>
      <c r="H355" s="22" t="str">
        <f t="shared" si="4"/>
        <v/>
      </c>
    </row>
    <row r="356" ht="15.75" customHeight="1">
      <c r="A356" s="32">
        <f>'EQUITY BACKTEST'!A359</f>
        <v>38639.66667</v>
      </c>
      <c r="B356" s="22">
        <f>'EQUITY BACKTEST'!B359</f>
        <v>1186.57</v>
      </c>
      <c r="C356" s="22">
        <f>1/'EQUITY BACKTEST'!E359</f>
        <v>0.82822594</v>
      </c>
      <c r="D356" s="22">
        <f t="shared" si="1"/>
        <v>-0.3790721502</v>
      </c>
      <c r="E356" s="22">
        <f t="shared" ref="E356:F356" si="356">IF(A356&lt;&gt;"", (B356 - B355) / B355, "")</f>
        <v>-0.007801655657</v>
      </c>
      <c r="F356" s="22">
        <f t="shared" si="356"/>
        <v>0.004389597482</v>
      </c>
      <c r="H356" s="22" t="str">
        <f t="shared" si="4"/>
        <v/>
      </c>
    </row>
    <row r="357" ht="15.75" customHeight="1">
      <c r="A357" s="32">
        <f>'EQUITY BACKTEST'!A360</f>
        <v>38646.66667</v>
      </c>
      <c r="B357" s="22">
        <f>'EQUITY BACKTEST'!B360</f>
        <v>1179.59</v>
      </c>
      <c r="C357" s="22">
        <f>1/'EQUITY BACKTEST'!E360</f>
        <v>0.8357011533</v>
      </c>
      <c r="D357" s="22">
        <f t="shared" si="1"/>
        <v>-0.3818183031</v>
      </c>
      <c r="E357" s="22">
        <f t="shared" ref="E357:F357" si="357">IF(A357&lt;&gt;"", (B357 - B356) / B356, "")</f>
        <v>-0.005882501664</v>
      </c>
      <c r="F357" s="22">
        <f t="shared" si="357"/>
        <v>0.009025572455</v>
      </c>
      <c r="H357" s="22" t="str">
        <f t="shared" si="4"/>
        <v/>
      </c>
    </row>
    <row r="358" ht="15.75" customHeight="1">
      <c r="A358" s="32">
        <f>'EQUITY BACKTEST'!A361</f>
        <v>38653.66667</v>
      </c>
      <c r="B358" s="22">
        <f>'EQUITY BACKTEST'!B361</f>
        <v>1198.41</v>
      </c>
      <c r="C358" s="22">
        <f>1/'EQUITY BACKTEST'!E361</f>
        <v>0.8290499088</v>
      </c>
      <c r="D358" s="22">
        <f t="shared" si="1"/>
        <v>-0.3827851136</v>
      </c>
      <c r="E358" s="22">
        <f t="shared" ref="E358:F358" si="358">IF(A358&lt;&gt;"", (B358 - B357) / B357, "")</f>
        <v>0.01595469612</v>
      </c>
      <c r="F358" s="22">
        <f t="shared" si="358"/>
        <v>-0.007958879125</v>
      </c>
      <c r="H358" s="22" t="str">
        <f t="shared" si="4"/>
        <v/>
      </c>
    </row>
    <row r="359" ht="15.75" customHeight="1">
      <c r="A359" s="32">
        <f>'EQUITY BACKTEST'!A362</f>
        <v>38660.66667</v>
      </c>
      <c r="B359" s="22">
        <f>'EQUITY BACKTEST'!B362</f>
        <v>1220.14</v>
      </c>
      <c r="C359" s="22">
        <f>1/'EQUITY BACKTEST'!E362</f>
        <v>0.8465966813</v>
      </c>
      <c r="D359" s="22">
        <f t="shared" si="1"/>
        <v>-0.3890475071</v>
      </c>
      <c r="E359" s="22">
        <f t="shared" ref="E359:F359" si="359">IF(A359&lt;&gt;"", (B359 - B358) / B358, "")</f>
        <v>0.01813235871</v>
      </c>
      <c r="F359" s="22">
        <f t="shared" si="359"/>
        <v>0.02116491703</v>
      </c>
      <c r="H359" s="22" t="str">
        <f t="shared" si="4"/>
        <v/>
      </c>
    </row>
    <row r="360" ht="15.75" customHeight="1">
      <c r="A360" s="32">
        <f>'EQUITY BACKTEST'!A363</f>
        <v>38667.66667</v>
      </c>
      <c r="B360" s="22">
        <f>'EQUITY BACKTEST'!B363</f>
        <v>1234.72</v>
      </c>
      <c r="C360" s="22">
        <f>1/'EQUITY BACKTEST'!E363</f>
        <v>0.852151683</v>
      </c>
      <c r="D360" s="22">
        <f t="shared" si="1"/>
        <v>-0.3850311844</v>
      </c>
      <c r="E360" s="22">
        <f t="shared" ref="E360:F360" si="360">IF(A360&lt;&gt;"", (B360 - B359) / B359, "")</f>
        <v>0.01194944842</v>
      </c>
      <c r="F360" s="22">
        <f t="shared" si="360"/>
        <v>0.006561567959</v>
      </c>
      <c r="H360" s="22" t="str">
        <f t="shared" si="4"/>
        <v/>
      </c>
    </row>
    <row r="361" ht="15.75" customHeight="1">
      <c r="A361" s="32">
        <f>'EQUITY BACKTEST'!A364</f>
        <v>38674.66667</v>
      </c>
      <c r="B361" s="22">
        <f>'EQUITY BACKTEST'!B364</f>
        <v>1248.27</v>
      </c>
      <c r="C361" s="22">
        <f>1/'EQUITY BACKTEST'!E364</f>
        <v>0.8493290301</v>
      </c>
      <c r="D361" s="22">
        <f t="shared" si="1"/>
        <v>-0.3806356605</v>
      </c>
      <c r="E361" s="22">
        <f t="shared" ref="E361:F361" si="361">IF(A361&lt;&gt;"", (B361 - B360) / B360, "")</f>
        <v>0.01097414798</v>
      </c>
      <c r="F361" s="22">
        <f t="shared" si="361"/>
        <v>-0.003312383217</v>
      </c>
      <c r="H361" s="22" t="str">
        <f t="shared" si="4"/>
        <v/>
      </c>
    </row>
    <row r="362" ht="15.75" customHeight="1">
      <c r="A362" s="32">
        <f>'EQUITY BACKTEST'!A365</f>
        <v>38681.66667</v>
      </c>
      <c r="B362" s="22">
        <f>'EQUITY BACKTEST'!B365</f>
        <v>1268.25</v>
      </c>
      <c r="C362" s="22">
        <f>1/'EQUITY BACKTEST'!E365</f>
        <v>0.8532423208</v>
      </c>
      <c r="D362" s="22">
        <f t="shared" si="1"/>
        <v>-0.4047099225</v>
      </c>
      <c r="E362" s="22">
        <f t="shared" ref="E362:F362" si="362">IF(A362&lt;&gt;"", (B362 - B361) / B361, "")</f>
        <v>0.01600615252</v>
      </c>
      <c r="F362" s="22">
        <f t="shared" si="362"/>
        <v>0.004607508532</v>
      </c>
      <c r="H362" s="22" t="str">
        <f t="shared" si="4"/>
        <v/>
      </c>
    </row>
    <row r="363" ht="15.75" customHeight="1">
      <c r="A363" s="32">
        <f>'EQUITY BACKTEST'!A366</f>
        <v>38688.66667</v>
      </c>
      <c r="B363" s="22">
        <f>'EQUITY BACKTEST'!B366</f>
        <v>1265.08</v>
      </c>
      <c r="C363" s="22">
        <f>1/'EQUITY BACKTEST'!E366</f>
        <v>0.8540438979</v>
      </c>
      <c r="D363" s="22">
        <f t="shared" si="1"/>
        <v>-0.4512070544</v>
      </c>
      <c r="E363" s="22">
        <f t="shared" ref="E363:F363" si="363">IF(A363&lt;&gt;"", (B363 - B362) / B362, "")</f>
        <v>-0.002499507195</v>
      </c>
      <c r="F363" s="22">
        <f t="shared" si="363"/>
        <v>0.0009394482876</v>
      </c>
      <c r="H363" s="22" t="str">
        <f t="shared" si="4"/>
        <v/>
      </c>
    </row>
    <row r="364" ht="15.75" customHeight="1">
      <c r="A364" s="32">
        <f>'EQUITY BACKTEST'!A367</f>
        <v>38695.66667</v>
      </c>
      <c r="B364" s="22">
        <f>'EQUITY BACKTEST'!B367</f>
        <v>1259.37</v>
      </c>
      <c r="C364" s="22">
        <f>1/'EQUITY BACKTEST'!E367</f>
        <v>0.8464533604</v>
      </c>
      <c r="D364" s="22">
        <f t="shared" si="1"/>
        <v>-0.4957891504</v>
      </c>
      <c r="E364" s="22">
        <f t="shared" ref="E364:F364" si="364">IF(A364&lt;&gt;"", (B364 - B363) / B363, "")</f>
        <v>-0.00451354855</v>
      </c>
      <c r="F364" s="22">
        <f t="shared" si="364"/>
        <v>-0.008887760284</v>
      </c>
      <c r="H364" s="22" t="str">
        <f t="shared" si="4"/>
        <v/>
      </c>
    </row>
    <row r="365" ht="15.75" customHeight="1">
      <c r="A365" s="32">
        <f>'EQUITY BACKTEST'!A368</f>
        <v>38702.66667</v>
      </c>
      <c r="B365" s="22">
        <f>'EQUITY BACKTEST'!B368</f>
        <v>1267.32</v>
      </c>
      <c r="C365" s="22">
        <f>1/'EQUITY BACKTEST'!E368</f>
        <v>0.832570144</v>
      </c>
      <c r="D365" s="22">
        <f t="shared" si="1"/>
        <v>-0.5122293584</v>
      </c>
      <c r="E365" s="22">
        <f t="shared" ref="E365:F365" si="365">IF(A365&lt;&gt;"", (B365 - B364) / B364, "")</f>
        <v>0.00631268015</v>
      </c>
      <c r="F365" s="22">
        <f t="shared" si="365"/>
        <v>-0.01640163184</v>
      </c>
      <c r="H365" s="22" t="str">
        <f t="shared" si="4"/>
        <v/>
      </c>
    </row>
    <row r="366" ht="15.75" customHeight="1">
      <c r="A366" s="32">
        <f>'EQUITY BACKTEST'!A369</f>
        <v>38709.66667</v>
      </c>
      <c r="B366" s="22">
        <f>'EQUITY BACKTEST'!B369</f>
        <v>1268.66</v>
      </c>
      <c r="C366" s="22">
        <f>1/'EQUITY BACKTEST'!E369</f>
        <v>0.8423890152</v>
      </c>
      <c r="D366" s="22">
        <f t="shared" si="1"/>
        <v>-0.5296758611</v>
      </c>
      <c r="E366" s="22">
        <f t="shared" ref="E366:F366" si="366">IF(A366&lt;&gt;"", (B366 - B365) / B365, "")</f>
        <v>0.001057349367</v>
      </c>
      <c r="F366" s="22">
        <f t="shared" si="366"/>
        <v>0.01179344621</v>
      </c>
      <c r="H366" s="22" t="str">
        <f t="shared" si="4"/>
        <v/>
      </c>
    </row>
    <row r="367" ht="15.75" customHeight="1">
      <c r="A367" s="32">
        <f>'EQUITY BACKTEST'!A370</f>
        <v>38716.66667</v>
      </c>
      <c r="B367" s="22">
        <f>'EQUITY BACKTEST'!B370</f>
        <v>1248.29</v>
      </c>
      <c r="C367" s="22">
        <f>1/'EQUITY BACKTEST'!E370</f>
        <v>0.8457374831</v>
      </c>
      <c r="D367" s="22">
        <f t="shared" si="1"/>
        <v>-0.5500531107</v>
      </c>
      <c r="E367" s="22">
        <f t="shared" ref="E367:F367" si="367">IF(A367&lt;&gt;"", (B367 - B366) / B366, "")</f>
        <v>-0.01605631138</v>
      </c>
      <c r="F367" s="22">
        <f t="shared" si="367"/>
        <v>0.003974966171</v>
      </c>
      <c r="H367" s="22" t="str">
        <f t="shared" si="4"/>
        <v/>
      </c>
    </row>
    <row r="368" ht="15.75" customHeight="1">
      <c r="A368" s="32">
        <f>'EQUITY BACKTEST'!A371</f>
        <v>38723.66667</v>
      </c>
      <c r="B368" s="22">
        <f>'EQUITY BACKTEST'!B371</f>
        <v>1285.45</v>
      </c>
      <c r="C368" s="22">
        <f>1/'EQUITY BACKTEST'!E371</f>
        <v>0.8229098091</v>
      </c>
      <c r="D368" s="22">
        <f t="shared" si="1"/>
        <v>-0.545254173</v>
      </c>
      <c r="E368" s="22">
        <f t="shared" ref="E368:F368" si="368">IF(A368&lt;&gt;"", (B368 - B367) / B367, "")</f>
        <v>0.02976872361</v>
      </c>
      <c r="F368" s="22">
        <f t="shared" si="368"/>
        <v>-0.02699144174</v>
      </c>
      <c r="H368" s="22" t="str">
        <f t="shared" si="4"/>
        <v/>
      </c>
    </row>
    <row r="369" ht="15.75" customHeight="1">
      <c r="A369" s="32">
        <f>'EQUITY BACKTEST'!A372</f>
        <v>38730.66667</v>
      </c>
      <c r="B369" s="22">
        <f>'EQUITY BACKTEST'!B372</f>
        <v>1287.61</v>
      </c>
      <c r="C369" s="22">
        <f>1/'EQUITY BACKTEST'!E372</f>
        <v>0.8252867872</v>
      </c>
      <c r="D369" s="22">
        <f t="shared" si="1"/>
        <v>-0.5485879646</v>
      </c>
      <c r="E369" s="22">
        <f t="shared" ref="E369:F369" si="369">IF(A369&lt;&gt;"", (B369 - B368) / B368, "")</f>
        <v>0.001680345404</v>
      </c>
      <c r="F369" s="22">
        <f t="shared" si="369"/>
        <v>0.002888503755</v>
      </c>
      <c r="H369" s="22" t="str">
        <f t="shared" si="4"/>
        <v/>
      </c>
    </row>
    <row r="370" ht="15.75" customHeight="1">
      <c r="A370" s="32">
        <f>'EQUITY BACKTEST'!A373</f>
        <v>38737.66667</v>
      </c>
      <c r="B370" s="22">
        <f>'EQUITY BACKTEST'!B373</f>
        <v>1261.49</v>
      </c>
      <c r="C370" s="22">
        <f>1/'EQUITY BACKTEST'!E373</f>
        <v>0.8239947264</v>
      </c>
      <c r="D370" s="22">
        <f t="shared" si="1"/>
        <v>-0.5547036067</v>
      </c>
      <c r="E370" s="22">
        <f t="shared" ref="E370:F370" si="370">IF(A370&lt;&gt;"", (B370 - B369) / B369, "")</f>
        <v>-0.0202856455</v>
      </c>
      <c r="F370" s="22">
        <f t="shared" si="370"/>
        <v>-0.00156558998</v>
      </c>
      <c r="H370" s="22" t="str">
        <f t="shared" si="4"/>
        <v/>
      </c>
    </row>
    <row r="371" ht="15.75" customHeight="1">
      <c r="A371" s="32">
        <f>'EQUITY BACKTEST'!A374</f>
        <v>38744.66667</v>
      </c>
      <c r="B371" s="22">
        <f>'EQUITY BACKTEST'!B374</f>
        <v>1283.72</v>
      </c>
      <c r="C371" s="22">
        <f>1/'EQUITY BACKTEST'!E374</f>
        <v>0.8267195767</v>
      </c>
      <c r="D371" s="22">
        <f t="shared" si="1"/>
        <v>-0.5497769615</v>
      </c>
      <c r="E371" s="22">
        <f t="shared" ref="E371:F371" si="371">IF(A371&lt;&gt;"", (B371 - B370) / B370, "")</f>
        <v>0.01762201841</v>
      </c>
      <c r="F371" s="22">
        <f t="shared" si="371"/>
        <v>0.003306878307</v>
      </c>
      <c r="H371" s="22" t="str">
        <f t="shared" si="4"/>
        <v/>
      </c>
    </row>
    <row r="372" ht="15.75" customHeight="1">
      <c r="A372" s="32">
        <f>'EQUITY BACKTEST'!A375</f>
        <v>38751.66667</v>
      </c>
      <c r="B372" s="22">
        <f>'EQUITY BACKTEST'!B375</f>
        <v>1264.03</v>
      </c>
      <c r="C372" s="22">
        <f>1/'EQUITY BACKTEST'!E375</f>
        <v>0.8316699933</v>
      </c>
      <c r="D372" s="22">
        <f t="shared" si="1"/>
        <v>-0.551760463</v>
      </c>
      <c r="E372" s="22">
        <f t="shared" ref="E372:F372" si="372">IF(A372&lt;&gt;"", (B372 - B371) / B371, "")</f>
        <v>-0.01533823575</v>
      </c>
      <c r="F372" s="22">
        <f t="shared" si="372"/>
        <v>0.005988023952</v>
      </c>
      <c r="H372" s="22" t="str">
        <f t="shared" si="4"/>
        <v/>
      </c>
    </row>
    <row r="373" ht="15.75" customHeight="1">
      <c r="A373" s="32">
        <f>'EQUITY BACKTEST'!A376</f>
        <v>38758.66667</v>
      </c>
      <c r="B373" s="22">
        <f>'EQUITY BACKTEST'!B376</f>
        <v>1266.99</v>
      </c>
      <c r="C373" s="22">
        <f>1/'EQUITY BACKTEST'!E376</f>
        <v>0.8289124668</v>
      </c>
      <c r="D373" s="22">
        <f t="shared" si="1"/>
        <v>-0.5495574436</v>
      </c>
      <c r="E373" s="22">
        <f t="shared" ref="E373:F373" si="373">IF(A373&lt;&gt;"", (B373 - B372) / B372, "")</f>
        <v>0.002341716573</v>
      </c>
      <c r="F373" s="22">
        <f t="shared" si="373"/>
        <v>-0.003315649867</v>
      </c>
      <c r="H373" s="22" t="str">
        <f t="shared" si="4"/>
        <v/>
      </c>
    </row>
    <row r="374" ht="15.75" customHeight="1">
      <c r="A374" s="32">
        <f>'EQUITY BACKTEST'!A377</f>
        <v>38765.66667</v>
      </c>
      <c r="B374" s="22">
        <f>'EQUITY BACKTEST'!B377</f>
        <v>1287.24</v>
      </c>
      <c r="C374" s="22">
        <f>1/'EQUITY BACKTEST'!E377</f>
        <v>0.8385744235</v>
      </c>
      <c r="D374" s="22">
        <f t="shared" si="1"/>
        <v>-0.5557214906</v>
      </c>
      <c r="E374" s="22">
        <f t="shared" ref="E374:F374" si="374">IF(A374&lt;&gt;"", (B374 - B373) / B373, "")</f>
        <v>0.01598276229</v>
      </c>
      <c r="F374" s="22">
        <f t="shared" si="374"/>
        <v>0.01165618449</v>
      </c>
      <c r="H374" s="22" t="str">
        <f t="shared" si="4"/>
        <v/>
      </c>
    </row>
    <row r="375" ht="15.75" customHeight="1">
      <c r="A375" s="32">
        <f>'EQUITY BACKTEST'!A378</f>
        <v>38772.66667</v>
      </c>
      <c r="B375" s="22">
        <f>'EQUITY BACKTEST'!B378</f>
        <v>1289.43</v>
      </c>
      <c r="C375" s="22">
        <f>1/'EQUITY BACKTEST'!E378</f>
        <v>0.8422471153</v>
      </c>
      <c r="D375" s="22">
        <f t="shared" si="1"/>
        <v>-0.5729634117</v>
      </c>
      <c r="E375" s="22">
        <f t="shared" ref="E375:F375" si="375">IF(A375&lt;&gt;"", (B375 - B374) / B374, "")</f>
        <v>0.00170131444</v>
      </c>
      <c r="F375" s="22">
        <f t="shared" si="375"/>
        <v>0.004379685</v>
      </c>
      <c r="H375" s="22" t="str">
        <f t="shared" si="4"/>
        <v/>
      </c>
    </row>
    <row r="376" ht="15.75" customHeight="1">
      <c r="A376" s="32">
        <f>'EQUITY BACKTEST'!A379</f>
        <v>38779.66667</v>
      </c>
      <c r="B376" s="22">
        <f>'EQUITY BACKTEST'!B379</f>
        <v>1287.23</v>
      </c>
      <c r="C376" s="22">
        <f>1/'EQUITY BACKTEST'!E379</f>
        <v>0.8307027745</v>
      </c>
      <c r="D376" s="22">
        <f t="shared" si="1"/>
        <v>-0.5848508189</v>
      </c>
      <c r="E376" s="22">
        <f t="shared" ref="E376:F376" si="376">IF(A376&lt;&gt;"", (B376 - B375) / B375, "")</f>
        <v>-0.00170618025</v>
      </c>
      <c r="F376" s="22">
        <f t="shared" si="376"/>
        <v>-0.01370659578</v>
      </c>
      <c r="H376" s="22" t="str">
        <f t="shared" si="4"/>
        <v/>
      </c>
    </row>
    <row r="377" ht="15.75" customHeight="1">
      <c r="A377" s="32">
        <f>'EQUITY BACKTEST'!A380</f>
        <v>38786.66667</v>
      </c>
      <c r="B377" s="22">
        <f>'EQUITY BACKTEST'!B380</f>
        <v>1281.58</v>
      </c>
      <c r="C377" s="22">
        <f>1/'EQUITY BACKTEST'!E380</f>
        <v>0.8398421097</v>
      </c>
      <c r="D377" s="22">
        <f t="shared" si="1"/>
        <v>-0.591858312</v>
      </c>
      <c r="E377" s="22">
        <f t="shared" ref="E377:F377" si="377">IF(A377&lt;&gt;"", (B377 - B376) / B376, "")</f>
        <v>-0.004389269983</v>
      </c>
      <c r="F377" s="22">
        <f t="shared" si="377"/>
        <v>0.01100193164</v>
      </c>
      <c r="H377" s="22" t="str">
        <f t="shared" si="4"/>
        <v/>
      </c>
    </row>
    <row r="378" ht="15.75" customHeight="1">
      <c r="A378" s="32">
        <f>'EQUITY BACKTEST'!A381</f>
        <v>38793.66667</v>
      </c>
      <c r="B378" s="22">
        <f>'EQUITY BACKTEST'!B381</f>
        <v>1307.25</v>
      </c>
      <c r="C378" s="22">
        <f>1/'EQUITY BACKTEST'!E381</f>
        <v>0.8204118467</v>
      </c>
      <c r="D378" s="22">
        <f t="shared" si="1"/>
        <v>-0.5988252519</v>
      </c>
      <c r="E378" s="22">
        <f t="shared" ref="E378:F378" si="378">IF(A378&lt;&gt;"", (B378 - B377) / B377, "")</f>
        <v>0.02002996301</v>
      </c>
      <c r="F378" s="22">
        <f t="shared" si="378"/>
        <v>-0.02313561408</v>
      </c>
      <c r="H378" s="22" t="str">
        <f t="shared" si="4"/>
        <v/>
      </c>
    </row>
    <row r="379" ht="15.75" customHeight="1">
      <c r="A379" s="32">
        <f>'EQUITY BACKTEST'!A382</f>
        <v>38800.66667</v>
      </c>
      <c r="B379" s="22">
        <f>'EQUITY BACKTEST'!B382</f>
        <v>1302.95</v>
      </c>
      <c r="C379" s="22">
        <f>1/'EQUITY BACKTEST'!E382</f>
        <v>0.8311170213</v>
      </c>
      <c r="D379" s="22">
        <f t="shared" si="1"/>
        <v>-0.6200643735</v>
      </c>
      <c r="E379" s="22">
        <f t="shared" ref="E379:F379" si="379">IF(A379&lt;&gt;"", (B379 - B378) / B378, "")</f>
        <v>-0.003289347868</v>
      </c>
      <c r="F379" s="22">
        <f t="shared" si="379"/>
        <v>0.01304853723</v>
      </c>
      <c r="H379" s="22" t="str">
        <f t="shared" si="4"/>
        <v/>
      </c>
    </row>
    <row r="380" ht="15.75" customHeight="1">
      <c r="A380" s="32">
        <f>'EQUITY BACKTEST'!A383</f>
        <v>38807.66667</v>
      </c>
      <c r="B380" s="22">
        <f>'EQUITY BACKTEST'!B383</f>
        <v>1294.83</v>
      </c>
      <c r="C380" s="22">
        <f>1/'EQUITY BACKTEST'!E383</f>
        <v>0.8256956486</v>
      </c>
      <c r="D380" s="22">
        <f t="shared" si="1"/>
        <v>-0.6470627028</v>
      </c>
      <c r="E380" s="22">
        <f t="shared" ref="E380:F380" si="380">IF(A380&lt;&gt;"", (B380 - B379) / B379, "")</f>
        <v>-0.006232011973</v>
      </c>
      <c r="F380" s="22">
        <f t="shared" si="380"/>
        <v>-0.006522995624</v>
      </c>
      <c r="H380" s="22" t="str">
        <f t="shared" si="4"/>
        <v/>
      </c>
    </row>
    <row r="381" ht="15.75" customHeight="1">
      <c r="A381" s="32">
        <f>'EQUITY BACKTEST'!A384</f>
        <v>38814.66667</v>
      </c>
      <c r="B381" s="22">
        <f>'EQUITY BACKTEST'!B384</f>
        <v>1295.5</v>
      </c>
      <c r="C381" s="22">
        <f>1/'EQUITY BACKTEST'!E384</f>
        <v>0.8266512358</v>
      </c>
      <c r="D381" s="22">
        <f t="shared" si="1"/>
        <v>-0.6699824524</v>
      </c>
      <c r="E381" s="22">
        <f t="shared" ref="E381:F381" si="381">IF(A381&lt;&gt;"", (B381 - B380) / B380, "")</f>
        <v>0.0005174424442</v>
      </c>
      <c r="F381" s="22">
        <f t="shared" si="381"/>
        <v>0.00115731173</v>
      </c>
      <c r="H381" s="22" t="str">
        <f t="shared" si="4"/>
        <v/>
      </c>
    </row>
    <row r="382" ht="15.75" customHeight="1">
      <c r="A382" s="32">
        <f>'EQUITY BACKTEST'!A385</f>
        <v>38821.66667</v>
      </c>
      <c r="B382" s="22">
        <f>'EQUITY BACKTEST'!B385</f>
        <v>1270.52</v>
      </c>
      <c r="C382" s="22">
        <f>1/'EQUITY BACKTEST'!E385</f>
        <v>0.8259002313</v>
      </c>
      <c r="D382" s="22">
        <f t="shared" si="1"/>
        <v>-0.7009581922</v>
      </c>
      <c r="E382" s="22">
        <f t="shared" ref="E382:F382" si="382">IF(A382&lt;&gt;"", (B382 - B381) / B381, "")</f>
        <v>-0.01928213045</v>
      </c>
      <c r="F382" s="22">
        <f t="shared" si="382"/>
        <v>-0.0009084902544</v>
      </c>
      <c r="H382" s="22" t="str">
        <f t="shared" si="4"/>
        <v/>
      </c>
    </row>
    <row r="383" ht="15.75" customHeight="1">
      <c r="A383" s="32">
        <f>'EQUITY BACKTEST'!A386</f>
        <v>38828.66667</v>
      </c>
      <c r="B383" s="22">
        <f>'EQUITY BACKTEST'!B386</f>
        <v>1311.28</v>
      </c>
      <c r="C383" s="22">
        <f>1/'EQUITY BACKTEST'!E386</f>
        <v>0.8105041336</v>
      </c>
      <c r="D383" s="22">
        <f t="shared" si="1"/>
        <v>-0.7266278945</v>
      </c>
      <c r="E383" s="22">
        <f t="shared" ref="E383:F383" si="383">IF(A383&lt;&gt;"", (B383 - B382) / B382, "")</f>
        <v>0.03208135252</v>
      </c>
      <c r="F383" s="22">
        <f t="shared" si="383"/>
        <v>-0.01864159507</v>
      </c>
      <c r="H383" s="22" t="str">
        <f t="shared" si="4"/>
        <v/>
      </c>
    </row>
    <row r="384" ht="15.75" customHeight="1">
      <c r="A384" s="32">
        <f>'EQUITY BACKTEST'!A387</f>
        <v>38835.66667</v>
      </c>
      <c r="B384" s="22">
        <f>'EQUITY BACKTEST'!B387</f>
        <v>1310.61</v>
      </c>
      <c r="C384" s="22">
        <f>1/'EQUITY BACKTEST'!E387</f>
        <v>0.7915776142</v>
      </c>
      <c r="D384" s="22">
        <f t="shared" si="1"/>
        <v>-0.7578798353</v>
      </c>
      <c r="E384" s="22">
        <f t="shared" ref="E384:F384" si="384">IF(A384&lt;&gt;"", (B384 - B383) / B383, "")</f>
        <v>-0.0005109511317</v>
      </c>
      <c r="F384" s="22">
        <f t="shared" si="384"/>
        <v>-0.02335153962</v>
      </c>
      <c r="H384" s="22" t="str">
        <f t="shared" si="4"/>
        <v/>
      </c>
    </row>
    <row r="385" ht="15.75" customHeight="1">
      <c r="A385" s="32">
        <f>'EQUITY BACKTEST'!A388</f>
        <v>38842.66667</v>
      </c>
      <c r="B385" s="22">
        <f>'EQUITY BACKTEST'!B388</f>
        <v>1325.76</v>
      </c>
      <c r="C385" s="22">
        <f>1/'EQUITY BACKTEST'!E388</f>
        <v>0.7859781498</v>
      </c>
      <c r="D385" s="22">
        <f t="shared" si="1"/>
        <v>-0.7745819442</v>
      </c>
      <c r="E385" s="22">
        <f t="shared" ref="E385:F385" si="385">IF(A385&lt;&gt;"", (B385 - B384) / B384, "")</f>
        <v>0.01155950283</v>
      </c>
      <c r="F385" s="22">
        <f t="shared" si="385"/>
        <v>-0.007073803348</v>
      </c>
      <c r="H385" s="22" t="str">
        <f t="shared" si="4"/>
        <v/>
      </c>
    </row>
    <row r="386" ht="15.75" customHeight="1">
      <c r="A386" s="32">
        <f>'EQUITY BACKTEST'!A389</f>
        <v>38849.66667</v>
      </c>
      <c r="B386" s="22">
        <f>'EQUITY BACKTEST'!B389</f>
        <v>1291.24</v>
      </c>
      <c r="C386" s="22">
        <f>1/'EQUITY BACKTEST'!E389</f>
        <v>0.7742934572</v>
      </c>
      <c r="D386" s="22">
        <f t="shared" si="1"/>
        <v>-0.7879995803</v>
      </c>
      <c r="E386" s="22">
        <f t="shared" ref="E386:F386" si="386">IF(A386&lt;&gt;"", (B386 - B385) / B385, "")</f>
        <v>-0.02603789524</v>
      </c>
      <c r="F386" s="22">
        <f t="shared" si="386"/>
        <v>-0.01486643438</v>
      </c>
      <c r="H386" s="22" t="str">
        <f t="shared" si="4"/>
        <v/>
      </c>
    </row>
    <row r="387" ht="15.75" customHeight="1">
      <c r="A387" s="32">
        <f>'EQUITY BACKTEST'!A390</f>
        <v>38856.66667</v>
      </c>
      <c r="B387" s="22">
        <f>'EQUITY BACKTEST'!B390</f>
        <v>1267.03</v>
      </c>
      <c r="C387" s="22">
        <f>1/'EQUITY BACKTEST'!E390</f>
        <v>0.7835148476</v>
      </c>
      <c r="D387" s="22">
        <f t="shared" si="1"/>
        <v>-0.8050004472</v>
      </c>
      <c r="E387" s="22">
        <f t="shared" ref="E387:F387" si="387">IF(A387&lt;&gt;"", (B387 - B386) / B386, "")</f>
        <v>-0.01874941916</v>
      </c>
      <c r="F387" s="22">
        <f t="shared" si="387"/>
        <v>0.01190942568</v>
      </c>
      <c r="H387" s="22" t="str">
        <f t="shared" si="4"/>
        <v/>
      </c>
    </row>
    <row r="388" ht="15.75" customHeight="1">
      <c r="A388" s="32">
        <f>'EQUITY BACKTEST'!A391</f>
        <v>38863.66667</v>
      </c>
      <c r="B388" s="22">
        <f>'EQUITY BACKTEST'!B391</f>
        <v>1280.16</v>
      </c>
      <c r="C388" s="22">
        <f>1/'EQUITY BACKTEST'!E391</f>
        <v>0.7853608733</v>
      </c>
      <c r="D388" s="22">
        <f t="shared" si="1"/>
        <v>-0.8131479012</v>
      </c>
      <c r="E388" s="22">
        <f t="shared" ref="E388:F388" si="388">IF(A388&lt;&gt;"", (B388 - B387) / B387, "")</f>
        <v>0.01036281698</v>
      </c>
      <c r="F388" s="22">
        <f t="shared" si="388"/>
        <v>0.00235608262</v>
      </c>
      <c r="H388" s="22" t="str">
        <f t="shared" si="4"/>
        <v/>
      </c>
    </row>
    <row r="389" ht="15.75" customHeight="1">
      <c r="A389" s="32">
        <f>'EQUITY BACKTEST'!A392</f>
        <v>38870.66667</v>
      </c>
      <c r="B389" s="22">
        <f>'EQUITY BACKTEST'!B392</f>
        <v>1288.22</v>
      </c>
      <c r="C389" s="22">
        <f>1/'EQUITY BACKTEST'!E392</f>
        <v>0.7742335088</v>
      </c>
      <c r="D389" s="22">
        <f t="shared" si="1"/>
        <v>-0.8174392944</v>
      </c>
      <c r="E389" s="22">
        <f t="shared" ref="E389:F389" si="389">IF(A389&lt;&gt;"", (B389 - B388) / B388, "")</f>
        <v>0.006296087989</v>
      </c>
      <c r="F389" s="22">
        <f t="shared" si="389"/>
        <v>-0.01416847321</v>
      </c>
      <c r="H389" s="22" t="str">
        <f t="shared" si="4"/>
        <v/>
      </c>
    </row>
    <row r="390" ht="15.75" customHeight="1">
      <c r="A390" s="32">
        <f>'EQUITY BACKTEST'!A393</f>
        <v>38877.66667</v>
      </c>
      <c r="B390" s="22">
        <f>'EQUITY BACKTEST'!B393</f>
        <v>1252.3</v>
      </c>
      <c r="C390" s="22">
        <f>1/'EQUITY BACKTEST'!E393</f>
        <v>0.7912644406</v>
      </c>
      <c r="D390" s="22">
        <f t="shared" si="1"/>
        <v>-0.8268207294</v>
      </c>
      <c r="E390" s="22">
        <f t="shared" ref="E390:F390" si="390">IF(A390&lt;&gt;"", (B390 - B389) / B389, "")</f>
        <v>-0.02788343606</v>
      </c>
      <c r="F390" s="22">
        <f t="shared" si="390"/>
        <v>0.02199715145</v>
      </c>
      <c r="H390" s="22" t="str">
        <f t="shared" si="4"/>
        <v/>
      </c>
    </row>
    <row r="391" ht="15.75" customHeight="1">
      <c r="A391" s="32">
        <f>'EQUITY BACKTEST'!A394</f>
        <v>38884.66667</v>
      </c>
      <c r="B391" s="22">
        <f>'EQUITY BACKTEST'!B394</f>
        <v>1251.54</v>
      </c>
      <c r="C391" s="22">
        <f>1/'EQUITY BACKTEST'!E394</f>
        <v>0.7912644406</v>
      </c>
      <c r="D391" s="22">
        <f t="shared" si="1"/>
        <v>-0.824823233</v>
      </c>
      <c r="E391" s="22">
        <f t="shared" ref="E391:F391" si="391">IF(A391&lt;&gt;"", (B391 - B390) / B390, "")</f>
        <v>-0.0006068833347</v>
      </c>
      <c r="F391" s="22">
        <f t="shared" si="391"/>
        <v>0</v>
      </c>
      <c r="H391" s="22" t="str">
        <f t="shared" si="4"/>
        <v/>
      </c>
    </row>
    <row r="392" ht="15.75" customHeight="1">
      <c r="A392" s="32">
        <f>'EQUITY BACKTEST'!A395</f>
        <v>38891.66667</v>
      </c>
      <c r="B392" s="22">
        <f>'EQUITY BACKTEST'!B395</f>
        <v>1244.5</v>
      </c>
      <c r="C392" s="22">
        <f>1/'EQUITY BACKTEST'!E395</f>
        <v>0.7994883275</v>
      </c>
      <c r="D392" s="22">
        <f t="shared" si="1"/>
        <v>-0.8252460637</v>
      </c>
      <c r="E392" s="22">
        <f t="shared" ref="E392:F392" si="392">IF(A392&lt;&gt;"", (B392 - B391) / B391, "")</f>
        <v>-0.005625069914</v>
      </c>
      <c r="F392" s="22">
        <f t="shared" si="392"/>
        <v>0.01039334826</v>
      </c>
      <c r="H392" s="22" t="str">
        <f t="shared" si="4"/>
        <v/>
      </c>
    </row>
    <row r="393" ht="15.75" customHeight="1">
      <c r="A393" s="32">
        <f>'EQUITY BACKTEST'!A396</f>
        <v>38898.66667</v>
      </c>
      <c r="B393" s="22">
        <f>'EQUITY BACKTEST'!B396</f>
        <v>1270.2</v>
      </c>
      <c r="C393" s="22">
        <f>1/'EQUITY BACKTEST'!E396</f>
        <v>0.7818608288</v>
      </c>
      <c r="D393" s="22">
        <f t="shared" si="1"/>
        <v>-0.8208616763</v>
      </c>
      <c r="E393" s="22">
        <f t="shared" ref="E393:F393" si="393">IF(A393&lt;&gt;"", (B393 - B392) / B392, "")</f>
        <v>0.0206508638</v>
      </c>
      <c r="F393" s="22">
        <f t="shared" si="393"/>
        <v>-0.02204847537</v>
      </c>
      <c r="H393" s="22" t="str">
        <f t="shared" si="4"/>
        <v/>
      </c>
    </row>
    <row r="394" ht="15.75" customHeight="1">
      <c r="A394" s="32">
        <f>'EQUITY BACKTEST'!A397</f>
        <v>38905.66667</v>
      </c>
      <c r="B394" s="22">
        <f>'EQUITY BACKTEST'!B397</f>
        <v>1265.48</v>
      </c>
      <c r="C394" s="22">
        <f>1/'EQUITY BACKTEST'!E397</f>
        <v>0.78015291</v>
      </c>
      <c r="D394" s="22">
        <f t="shared" si="1"/>
        <v>-0.8293782751</v>
      </c>
      <c r="E394" s="22">
        <f t="shared" ref="E394:F394" si="394">IF(A394&lt;&gt;"", (B394 - B393) / B393, "")</f>
        <v>-0.003715950244</v>
      </c>
      <c r="F394" s="22">
        <f t="shared" si="394"/>
        <v>-0.002184428148</v>
      </c>
      <c r="H394" s="22" t="str">
        <f t="shared" si="4"/>
        <v/>
      </c>
    </row>
    <row r="395" ht="15.75" customHeight="1">
      <c r="A395" s="32">
        <f>'EQUITY BACKTEST'!A398</f>
        <v>38912.66667</v>
      </c>
      <c r="B395" s="22">
        <f>'EQUITY BACKTEST'!B398</f>
        <v>1236.2</v>
      </c>
      <c r="C395" s="22">
        <f>1/'EQUITY BACKTEST'!E398</f>
        <v>0.7905763301</v>
      </c>
      <c r="D395" s="22">
        <f t="shared" si="1"/>
        <v>-0.8426922822</v>
      </c>
      <c r="E395" s="22">
        <f t="shared" ref="E395:F395" si="395">IF(A395&lt;&gt;"", (B395 - B394) / B394, "")</f>
        <v>-0.02313746563</v>
      </c>
      <c r="F395" s="22">
        <f t="shared" si="395"/>
        <v>0.01336073998</v>
      </c>
      <c r="H395" s="22" t="str">
        <f t="shared" si="4"/>
        <v/>
      </c>
    </row>
    <row r="396" ht="15.75" customHeight="1">
      <c r="A396" s="32">
        <f>'EQUITY BACKTEST'!A399</f>
        <v>38919.66667</v>
      </c>
      <c r="B396" s="22">
        <f>'EQUITY BACKTEST'!B399</f>
        <v>1240.29</v>
      </c>
      <c r="C396" s="22">
        <f>1/'EQUITY BACKTEST'!E399</f>
        <v>0.787835815</v>
      </c>
      <c r="D396" s="22">
        <f t="shared" si="1"/>
        <v>-0.8463894229</v>
      </c>
      <c r="E396" s="22">
        <f t="shared" ref="E396:F396" si="396">IF(A396&lt;&gt;"", (B396 - B395) / B395, "")</f>
        <v>0.003308526128</v>
      </c>
      <c r="F396" s="22">
        <f t="shared" si="396"/>
        <v>-0.003466477586</v>
      </c>
      <c r="H396" s="22" t="str">
        <f t="shared" si="4"/>
        <v/>
      </c>
    </row>
    <row r="397" ht="15.75" customHeight="1">
      <c r="A397" s="32">
        <f>'EQUITY BACKTEST'!A400</f>
        <v>38926.66667</v>
      </c>
      <c r="B397" s="22">
        <f>'EQUITY BACKTEST'!B400</f>
        <v>1278.55</v>
      </c>
      <c r="C397" s="22">
        <f>1/'EQUITY BACKTEST'!E400</f>
        <v>0.7846214202</v>
      </c>
      <c r="D397" s="22">
        <f t="shared" si="1"/>
        <v>-0.8420698443</v>
      </c>
      <c r="E397" s="22">
        <f t="shared" ref="E397:F397" si="397">IF(A397&lt;&gt;"", (B397 - B396) / B396, "")</f>
        <v>0.03084762435</v>
      </c>
      <c r="F397" s="22">
        <f t="shared" si="397"/>
        <v>-0.004080031385</v>
      </c>
      <c r="H397" s="22" t="str">
        <f t="shared" si="4"/>
        <v/>
      </c>
    </row>
    <row r="398" ht="15.75" customHeight="1">
      <c r="A398" s="32">
        <f>'EQUITY BACKTEST'!A401</f>
        <v>38933.66667</v>
      </c>
      <c r="B398" s="22">
        <f>'EQUITY BACKTEST'!B401</f>
        <v>1279.36</v>
      </c>
      <c r="C398" s="22">
        <f>1/'EQUITY BACKTEST'!E401</f>
        <v>0.7768800497</v>
      </c>
      <c r="D398" s="22">
        <f t="shared" si="1"/>
        <v>-0.8209746417</v>
      </c>
      <c r="E398" s="22">
        <f t="shared" ref="E398:F398" si="398">IF(A398&lt;&gt;"", (B398 - B397) / B397, "")</f>
        <v>0.0006335301709</v>
      </c>
      <c r="F398" s="22">
        <f t="shared" si="398"/>
        <v>-0.009866376631</v>
      </c>
      <c r="H398" s="22" t="str">
        <f t="shared" si="4"/>
        <v/>
      </c>
    </row>
    <row r="399" ht="15.75" customHeight="1">
      <c r="A399" s="32">
        <f>'EQUITY BACKTEST'!A402</f>
        <v>38940.66667</v>
      </c>
      <c r="B399" s="22">
        <f>'EQUITY BACKTEST'!B402</f>
        <v>1266.74</v>
      </c>
      <c r="C399" s="22">
        <f>1/'EQUITY BACKTEST'!E402</f>
        <v>0.7865963974</v>
      </c>
      <c r="D399" s="22">
        <f t="shared" si="1"/>
        <v>-0.8203141404</v>
      </c>
      <c r="E399" s="22">
        <f t="shared" ref="E399:F399" si="399">IF(A399&lt;&gt;"", (B399 - B398) / B398, "")</f>
        <v>-0.009864307154</v>
      </c>
      <c r="F399" s="22">
        <f t="shared" si="399"/>
        <v>0.01250688272</v>
      </c>
      <c r="H399" s="22" t="str">
        <f t="shared" si="4"/>
        <v/>
      </c>
    </row>
    <row r="400" ht="15.75" customHeight="1">
      <c r="A400" s="32">
        <f>'EQUITY BACKTEST'!A403</f>
        <v>38947.66667</v>
      </c>
      <c r="B400" s="22">
        <f>'EQUITY BACKTEST'!B403</f>
        <v>1302.3</v>
      </c>
      <c r="C400" s="22">
        <f>1/'EQUITY BACKTEST'!E403</f>
        <v>0.7790588969</v>
      </c>
      <c r="D400" s="22">
        <f t="shared" si="1"/>
        <v>-0.8157199001</v>
      </c>
      <c r="E400" s="22">
        <f t="shared" ref="E400:F400" si="400">IF(A400&lt;&gt;"", (B400 - B399) / B399, "")</f>
        <v>0.02807205899</v>
      </c>
      <c r="F400" s="22">
        <f t="shared" si="400"/>
        <v>-0.009582424431</v>
      </c>
      <c r="H400" s="22" t="str">
        <f t="shared" si="4"/>
        <v/>
      </c>
    </row>
    <row r="401" ht="15.75" customHeight="1">
      <c r="A401" s="32">
        <f>'EQUITY BACKTEST'!A404</f>
        <v>38954.66667</v>
      </c>
      <c r="B401" s="22">
        <f>'EQUITY BACKTEST'!B404</f>
        <v>1295.09</v>
      </c>
      <c r="C401" s="22">
        <f>1/'EQUITY BACKTEST'!E404</f>
        <v>0.7841292245</v>
      </c>
      <c r="D401" s="22">
        <f t="shared" si="1"/>
        <v>-0.8167399384</v>
      </c>
      <c r="E401" s="22">
        <f t="shared" ref="E401:F401" si="401">IF(A401&lt;&gt;"", (B401 - B400) / B400, "")</f>
        <v>-0.00553635875</v>
      </c>
      <c r="F401" s="22">
        <f t="shared" si="401"/>
        <v>0.006508272563</v>
      </c>
      <c r="H401" s="22" t="str">
        <f t="shared" si="4"/>
        <v/>
      </c>
    </row>
    <row r="402" ht="15.75" customHeight="1">
      <c r="A402" s="32">
        <f>'EQUITY BACKTEST'!A405</f>
        <v>38961.66667</v>
      </c>
      <c r="B402" s="22">
        <f>'EQUITY BACKTEST'!B405</f>
        <v>1311.01</v>
      </c>
      <c r="C402" s="22">
        <f>1/'EQUITY BACKTEST'!E405</f>
        <v>0.7792410192</v>
      </c>
      <c r="D402" s="22">
        <f t="shared" si="1"/>
        <v>-0.8135799421</v>
      </c>
      <c r="E402" s="22">
        <f t="shared" ref="E402:F402" si="402">IF(A402&lt;&gt;"", (B402 - B401) / B401, "")</f>
        <v>0.01229258198</v>
      </c>
      <c r="F402" s="22">
        <f t="shared" si="402"/>
        <v>-0.006233928154</v>
      </c>
      <c r="H402" s="22" t="str">
        <f t="shared" si="4"/>
        <v/>
      </c>
    </row>
    <row r="403" ht="15.75" customHeight="1">
      <c r="A403" s="32">
        <f>'EQUITY BACKTEST'!A406</f>
        <v>38968.66667</v>
      </c>
      <c r="B403" s="22">
        <f>'EQUITY BACKTEST'!B406</f>
        <v>1298.92</v>
      </c>
      <c r="C403" s="22">
        <f>1/'EQUITY BACKTEST'!E406</f>
        <v>0.7891414141</v>
      </c>
      <c r="D403" s="22">
        <f t="shared" si="1"/>
        <v>-0.8033382373</v>
      </c>
      <c r="E403" s="22">
        <f t="shared" ref="E403:F403" si="403">IF(A403&lt;&gt;"", (B403 - B402) / B402, "")</f>
        <v>-0.009221897621</v>
      </c>
      <c r="F403" s="22">
        <f t="shared" si="403"/>
        <v>0.01270517677</v>
      </c>
      <c r="H403" s="22" t="str">
        <f t="shared" si="4"/>
        <v/>
      </c>
    </row>
    <row r="404" ht="15.75" customHeight="1">
      <c r="A404" s="32">
        <f>'EQUITY BACKTEST'!A407</f>
        <v>38975.66667</v>
      </c>
      <c r="B404" s="22">
        <f>'EQUITY BACKTEST'!B407</f>
        <v>1319.87</v>
      </c>
      <c r="C404" s="22">
        <f>1/'EQUITY BACKTEST'!E407</f>
        <v>0.7908264136</v>
      </c>
      <c r="D404" s="22">
        <f t="shared" si="1"/>
        <v>-0.7918690657</v>
      </c>
      <c r="E404" s="22">
        <f t="shared" ref="E404:F404" si="404">IF(A404&lt;&gt;"", (B404 - B403) / B403, "")</f>
        <v>0.01612878391</v>
      </c>
      <c r="F404" s="22">
        <f t="shared" si="404"/>
        <v>0.002135231317</v>
      </c>
      <c r="H404" s="22" t="str">
        <f t="shared" si="4"/>
        <v/>
      </c>
    </row>
    <row r="405" ht="15.75" customHeight="1">
      <c r="A405" s="32">
        <f>'EQUITY BACKTEST'!A408</f>
        <v>38982.66667</v>
      </c>
      <c r="B405" s="22">
        <f>'EQUITY BACKTEST'!B408</f>
        <v>1314.78</v>
      </c>
      <c r="C405" s="22">
        <f>1/'EQUITY BACKTEST'!E408</f>
        <v>0.7827175955</v>
      </c>
      <c r="D405" s="22">
        <f t="shared" si="1"/>
        <v>-0.7870935387</v>
      </c>
      <c r="E405" s="22">
        <f t="shared" ref="E405:F405" si="405">IF(A405&lt;&gt;"", (B405 - B404) / B404, "")</f>
        <v>-0.003856440407</v>
      </c>
      <c r="F405" s="22">
        <f t="shared" si="405"/>
        <v>-0.0102536005</v>
      </c>
      <c r="H405" s="22" t="str">
        <f t="shared" si="4"/>
        <v/>
      </c>
    </row>
    <row r="406" ht="15.75" customHeight="1">
      <c r="A406" s="32">
        <f>'EQUITY BACKTEST'!A409</f>
        <v>38989.66667</v>
      </c>
      <c r="B406" s="22">
        <f>'EQUITY BACKTEST'!B409</f>
        <v>1335.85</v>
      </c>
      <c r="C406" s="22">
        <f>1/'EQUITY BACKTEST'!E409</f>
        <v>0.7899518129</v>
      </c>
      <c r="D406" s="22">
        <f t="shared" si="1"/>
        <v>-0.7877514082</v>
      </c>
      <c r="E406" s="22">
        <f t="shared" ref="E406:F406" si="406">IF(A406&lt;&gt;"", (B406 - B405) / B405, "")</f>
        <v>0.01602549476</v>
      </c>
      <c r="F406" s="22">
        <f t="shared" si="406"/>
        <v>0.009242436211</v>
      </c>
      <c r="H406" s="22" t="str">
        <f t="shared" si="4"/>
        <v/>
      </c>
    </row>
    <row r="407" ht="15.75" customHeight="1">
      <c r="A407" s="32">
        <f>'EQUITY BACKTEST'!A410</f>
        <v>38996.66667</v>
      </c>
      <c r="B407" s="22">
        <f>'EQUITY BACKTEST'!B410</f>
        <v>1349.58</v>
      </c>
      <c r="C407" s="22">
        <f>1/'EQUITY BACKTEST'!E410</f>
        <v>0.7935878105</v>
      </c>
      <c r="D407" s="22">
        <f t="shared" si="1"/>
        <v>-0.7890879944</v>
      </c>
      <c r="E407" s="22">
        <f t="shared" ref="E407:F407" si="407">IF(A407&lt;&gt;"", (B407 - B406) / B406, "")</f>
        <v>0.01027810009</v>
      </c>
      <c r="F407" s="22">
        <f t="shared" si="407"/>
        <v>0.004602809301</v>
      </c>
      <c r="H407" s="22" t="str">
        <f t="shared" si="4"/>
        <v/>
      </c>
    </row>
    <row r="408" ht="15.75" customHeight="1">
      <c r="A408" s="32">
        <f>'EQUITY BACKTEST'!A411</f>
        <v>39003.66667</v>
      </c>
      <c r="B408" s="22">
        <f>'EQUITY BACKTEST'!B411</f>
        <v>1365.62</v>
      </c>
      <c r="C408" s="22">
        <f>1/'EQUITY BACKTEST'!E411</f>
        <v>0.7980209081</v>
      </c>
      <c r="D408" s="22">
        <f t="shared" si="1"/>
        <v>-0.7894674477</v>
      </c>
      <c r="E408" s="22">
        <f t="shared" ref="E408:F408" si="408">IF(A408&lt;&gt;"", (B408 - B407) / B407, "")</f>
        <v>0.01188517909</v>
      </c>
      <c r="F408" s="22">
        <f t="shared" si="408"/>
        <v>0.005586146357</v>
      </c>
      <c r="H408" s="22" t="str">
        <f t="shared" si="4"/>
        <v/>
      </c>
    </row>
    <row r="409" ht="15.75" customHeight="1">
      <c r="A409" s="32">
        <f>'EQUITY BACKTEST'!A412</f>
        <v>39010.66667</v>
      </c>
      <c r="B409" s="22">
        <f>'EQUITY BACKTEST'!B412</f>
        <v>1368.6</v>
      </c>
      <c r="C409" s="22">
        <f>1/'EQUITY BACKTEST'!E412</f>
        <v>0.7929585283</v>
      </c>
      <c r="D409" s="22">
        <f t="shared" si="1"/>
        <v>-0.7687155852</v>
      </c>
      <c r="E409" s="22">
        <f t="shared" ref="E409:F409" si="409">IF(A409&lt;&gt;"", (B409 - B408) / B408, "")</f>
        <v>0.002182159019</v>
      </c>
      <c r="F409" s="22">
        <f t="shared" si="409"/>
        <v>-0.006343668226</v>
      </c>
      <c r="H409" s="22" t="str">
        <f t="shared" si="4"/>
        <v/>
      </c>
    </row>
    <row r="410" ht="15.75" customHeight="1">
      <c r="A410" s="32">
        <f>'EQUITY BACKTEST'!A413</f>
        <v>39017.66667</v>
      </c>
      <c r="B410" s="22">
        <f>'EQUITY BACKTEST'!B413</f>
        <v>1377.34</v>
      </c>
      <c r="C410" s="22">
        <f>1/'EQUITY BACKTEST'!E413</f>
        <v>0.7849909726</v>
      </c>
      <c r="D410" s="22">
        <f t="shared" si="1"/>
        <v>-0.7617866724</v>
      </c>
      <c r="E410" s="22">
        <f t="shared" ref="E410:F410" si="410">IF(A410&lt;&gt;"", (B410 - B409) / B409, "")</f>
        <v>0.006386087973</v>
      </c>
      <c r="F410" s="22">
        <f t="shared" si="410"/>
        <v>-0.01004788445</v>
      </c>
      <c r="H410" s="22" t="str">
        <f t="shared" si="4"/>
        <v/>
      </c>
    </row>
    <row r="411" ht="15.75" customHeight="1">
      <c r="A411" s="32">
        <f>'EQUITY BACKTEST'!A414</f>
        <v>39024.66667</v>
      </c>
      <c r="B411" s="22">
        <f>'EQUITY BACKTEST'!B414</f>
        <v>1364.3</v>
      </c>
      <c r="C411" s="22">
        <f>1/'EQUITY BACKTEST'!E414</f>
        <v>0.7862871521</v>
      </c>
      <c r="D411" s="22">
        <f t="shared" si="1"/>
        <v>-0.7415026928</v>
      </c>
      <c r="E411" s="22">
        <f t="shared" ref="E411:F411" si="411">IF(A411&lt;&gt;"", (B411 - B410) / B410, "")</f>
        <v>-0.009467524359</v>
      </c>
      <c r="F411" s="22">
        <f t="shared" si="411"/>
        <v>0.001651203019</v>
      </c>
      <c r="H411" s="22" t="str">
        <f t="shared" si="4"/>
        <v/>
      </c>
    </row>
    <row r="412" ht="15.75" customHeight="1">
      <c r="A412" s="32">
        <f>'EQUITY BACKTEST'!A415</f>
        <v>39031.66667</v>
      </c>
      <c r="B412" s="22">
        <f>'EQUITY BACKTEST'!B415</f>
        <v>1380.9</v>
      </c>
      <c r="C412" s="22">
        <f>1/'EQUITY BACKTEST'!E415</f>
        <v>0.7782101167</v>
      </c>
      <c r="D412" s="22">
        <f t="shared" si="1"/>
        <v>-0.6628595377</v>
      </c>
      <c r="E412" s="22">
        <f t="shared" ref="E412:F412" si="412">IF(A412&lt;&gt;"", (B412 - B411) / B411, "")</f>
        <v>0.01216741186</v>
      </c>
      <c r="F412" s="22">
        <f t="shared" si="412"/>
        <v>-0.01027237354</v>
      </c>
      <c r="H412" s="22" t="str">
        <f t="shared" si="4"/>
        <v/>
      </c>
    </row>
    <row r="413" ht="15.75" customHeight="1">
      <c r="A413" s="32">
        <f>'EQUITY BACKTEST'!A416</f>
        <v>39038.66667</v>
      </c>
      <c r="B413" s="22">
        <f>'EQUITY BACKTEST'!B416</f>
        <v>1401.2</v>
      </c>
      <c r="C413" s="22">
        <f>1/'EQUITY BACKTEST'!E416</f>
        <v>0.7784524366</v>
      </c>
      <c r="D413" s="22">
        <f t="shared" si="1"/>
        <v>-0.6018811151</v>
      </c>
      <c r="E413" s="22">
        <f t="shared" ref="E413:F413" si="413">IF(A413&lt;&gt;"", (B413 - B412) / B412, "")</f>
        <v>0.01470055761</v>
      </c>
      <c r="F413" s="22">
        <f t="shared" si="413"/>
        <v>0.0003113809746</v>
      </c>
      <c r="H413" s="22" t="str">
        <f t="shared" si="4"/>
        <v/>
      </c>
    </row>
    <row r="414" ht="15.75" customHeight="1">
      <c r="A414" s="32">
        <f>'EQUITY BACKTEST'!A417</f>
        <v>39045.66667</v>
      </c>
      <c r="B414" s="22">
        <f>'EQUITY BACKTEST'!B417</f>
        <v>1400.95</v>
      </c>
      <c r="C414" s="22">
        <f>1/'EQUITY BACKTEST'!E417</f>
        <v>0.7645844484</v>
      </c>
      <c r="D414" s="22">
        <f t="shared" si="1"/>
        <v>-0.5202044089</v>
      </c>
      <c r="E414" s="22">
        <f t="shared" ref="E414:F414" si="414">IF(A414&lt;&gt;"", (B414 - B413) / B413, "")</f>
        <v>-0.0001784184984</v>
      </c>
      <c r="F414" s="22">
        <f t="shared" si="414"/>
        <v>-0.01781481765</v>
      </c>
      <c r="H414" s="22" t="str">
        <f t="shared" si="4"/>
        <v/>
      </c>
    </row>
    <row r="415" ht="15.75" customHeight="1">
      <c r="A415" s="32">
        <f>'EQUITY BACKTEST'!A418</f>
        <v>39052.66667</v>
      </c>
      <c r="B415" s="22">
        <f>'EQUITY BACKTEST'!B418</f>
        <v>1396.71</v>
      </c>
      <c r="C415" s="22">
        <f>1/'EQUITY BACKTEST'!E418</f>
        <v>0.7500187505</v>
      </c>
      <c r="D415" s="22">
        <f t="shared" si="1"/>
        <v>-0.4926757182</v>
      </c>
      <c r="E415" s="22">
        <f t="shared" ref="E415:F415" si="415">IF(A415&lt;&gt;"", (B415 - B414) / B414, "")</f>
        <v>-0.00302651772</v>
      </c>
      <c r="F415" s="22">
        <f t="shared" si="415"/>
        <v>-0.01905047626</v>
      </c>
      <c r="H415" s="22" t="str">
        <f t="shared" si="4"/>
        <v/>
      </c>
    </row>
    <row r="416" ht="15.75" customHeight="1">
      <c r="A416" s="32">
        <f>'EQUITY BACKTEST'!A419</f>
        <v>39059.66667</v>
      </c>
      <c r="B416" s="22">
        <f>'EQUITY BACKTEST'!B419</f>
        <v>1409.84</v>
      </c>
      <c r="C416" s="22">
        <f>1/'EQUITY BACKTEST'!E419</f>
        <v>0.7467144564</v>
      </c>
      <c r="D416" s="22">
        <f t="shared" si="1"/>
        <v>-0.4947196965</v>
      </c>
      <c r="E416" s="22">
        <f t="shared" ref="E416:F416" si="416">IF(A416&lt;&gt;"", (B416 - B415) / B415, "")</f>
        <v>0.009400662987</v>
      </c>
      <c r="F416" s="22">
        <f t="shared" si="416"/>
        <v>-0.004405615293</v>
      </c>
      <c r="H416" s="22" t="str">
        <f t="shared" si="4"/>
        <v/>
      </c>
    </row>
    <row r="417" ht="15.75" customHeight="1">
      <c r="A417" s="32">
        <f>'EQUITY BACKTEST'!A420</f>
        <v>39066.66667</v>
      </c>
      <c r="B417" s="22">
        <f>'EQUITY BACKTEST'!B420</f>
        <v>1427.09</v>
      </c>
      <c r="C417" s="22">
        <f>1/'EQUITY BACKTEST'!E420</f>
        <v>0.7637085688</v>
      </c>
      <c r="D417" s="22">
        <f t="shared" si="1"/>
        <v>-0.4787375474</v>
      </c>
      <c r="E417" s="22">
        <f t="shared" ref="E417:F417" si="417">IF(A417&lt;&gt;"", (B417 - B416) / B416, "")</f>
        <v>0.01223543097</v>
      </c>
      <c r="F417" s="22">
        <f t="shared" si="417"/>
        <v>0.02275851535</v>
      </c>
      <c r="H417" s="22" t="str">
        <f t="shared" si="4"/>
        <v/>
      </c>
    </row>
    <row r="418" ht="15.75" customHeight="1">
      <c r="A418" s="32">
        <f>'EQUITY BACKTEST'!A421</f>
        <v>39073.66667</v>
      </c>
      <c r="B418" s="22">
        <f>'EQUITY BACKTEST'!B421</f>
        <v>1410.76</v>
      </c>
      <c r="C418" s="22">
        <f>1/'EQUITY BACKTEST'!E421</f>
        <v>0.7624275694</v>
      </c>
      <c r="D418" s="22">
        <f t="shared" si="1"/>
        <v>-0.4645457916</v>
      </c>
      <c r="E418" s="22">
        <f t="shared" ref="E418:F418" si="418">IF(A418&lt;&gt;"", (B418 - B417) / B417, "")</f>
        <v>-0.01144286625</v>
      </c>
      <c r="F418" s="22">
        <f t="shared" si="418"/>
        <v>-0.001677340653</v>
      </c>
      <c r="H418" s="22" t="str">
        <f t="shared" si="4"/>
        <v/>
      </c>
    </row>
    <row r="419" ht="15.75" customHeight="1">
      <c r="A419" s="32">
        <f>'EQUITY BACKTEST'!A422</f>
        <v>39080.66667</v>
      </c>
      <c r="B419" s="22">
        <f>'EQUITY BACKTEST'!B422</f>
        <v>1418.3</v>
      </c>
      <c r="C419" s="22">
        <f>1/'EQUITY BACKTEST'!E422</f>
        <v>0.7579777155</v>
      </c>
      <c r="D419" s="22">
        <f t="shared" si="1"/>
        <v>-0.4362090028</v>
      </c>
      <c r="E419" s="22">
        <f t="shared" ref="E419:F419" si="419">IF(A419&lt;&gt;"", (B419 - B418) / B418, "")</f>
        <v>0.005344636933</v>
      </c>
      <c r="F419" s="22">
        <f t="shared" si="419"/>
        <v>-0.005836428409</v>
      </c>
      <c r="H419" s="22" t="str">
        <f t="shared" si="4"/>
        <v/>
      </c>
    </row>
    <row r="420" ht="15.75" customHeight="1">
      <c r="A420" s="32">
        <f>'EQUITY BACKTEST'!A423</f>
        <v>39087.66667</v>
      </c>
      <c r="B420" s="22">
        <f>'EQUITY BACKTEST'!B423</f>
        <v>1409.71</v>
      </c>
      <c r="C420" s="22">
        <f>1/'EQUITY BACKTEST'!E423</f>
        <v>0.7702973348</v>
      </c>
      <c r="D420" s="22">
        <f t="shared" si="1"/>
        <v>-0.3529758564</v>
      </c>
      <c r="E420" s="22">
        <f t="shared" ref="E420:F420" si="420">IF(A420&lt;&gt;"", (B420 - B419) / B419, "")</f>
        <v>-0.00605654657</v>
      </c>
      <c r="F420" s="22">
        <f t="shared" si="420"/>
        <v>0.01625327376</v>
      </c>
      <c r="H420" s="22" t="str">
        <f t="shared" si="4"/>
        <v/>
      </c>
    </row>
    <row r="421" ht="15.75" customHeight="1">
      <c r="A421" s="32">
        <f>'EQUITY BACKTEST'!A424</f>
        <v>39094.66667</v>
      </c>
      <c r="B421" s="22">
        <f>'EQUITY BACKTEST'!B424</f>
        <v>1430.73</v>
      </c>
      <c r="C421" s="22">
        <f>1/'EQUITY BACKTEST'!E424</f>
        <v>0.773993808</v>
      </c>
      <c r="D421" s="22">
        <f t="shared" si="1"/>
        <v>-0.2510908134</v>
      </c>
      <c r="E421" s="22">
        <f t="shared" ref="E421:F421" si="421">IF(A421&lt;&gt;"", (B421 - B420) / B420, "")</f>
        <v>0.01491086819</v>
      </c>
      <c r="F421" s="22">
        <f t="shared" si="421"/>
        <v>0.00479876161</v>
      </c>
      <c r="H421" s="22" t="str">
        <f t="shared" si="4"/>
        <v/>
      </c>
    </row>
    <row r="422" ht="15.75" customHeight="1">
      <c r="A422" s="32">
        <f>'EQUITY BACKTEST'!A425</f>
        <v>39101.66667</v>
      </c>
      <c r="B422" s="22">
        <f>'EQUITY BACKTEST'!B425</f>
        <v>1430.5</v>
      </c>
      <c r="C422" s="22">
        <f>1/'EQUITY BACKTEST'!E425</f>
        <v>0.7719027403</v>
      </c>
      <c r="D422" s="22">
        <f t="shared" si="1"/>
        <v>-0.1191855685</v>
      </c>
      <c r="E422" s="22">
        <f t="shared" ref="E422:F422" si="422">IF(A422&lt;&gt;"", (B422 - B421) / B421, "")</f>
        <v>-0.000160757096</v>
      </c>
      <c r="F422" s="22">
        <f t="shared" si="422"/>
        <v>-0.002701659591</v>
      </c>
      <c r="H422" s="22" t="str">
        <f t="shared" si="4"/>
        <v/>
      </c>
    </row>
    <row r="423" ht="15.75" customHeight="1">
      <c r="A423" s="32">
        <f>'EQUITY BACKTEST'!A426</f>
        <v>39108.66667</v>
      </c>
      <c r="B423" s="22">
        <f>'EQUITY BACKTEST'!B426</f>
        <v>1422.18</v>
      </c>
      <c r="C423" s="22">
        <f>1/'EQUITY BACKTEST'!E426</f>
        <v>0.7745933385</v>
      </c>
      <c r="D423" s="22">
        <f t="shared" si="1"/>
        <v>-0.01035166695</v>
      </c>
      <c r="E423" s="22">
        <f t="shared" ref="E423:F423" si="423">IF(A423&lt;&gt;"", (B423 - B422) / B422, "")</f>
        <v>-0.0058161482</v>
      </c>
      <c r="F423" s="22">
        <f t="shared" si="423"/>
        <v>0.003485670023</v>
      </c>
      <c r="H423" s="22" t="str">
        <f t="shared" si="4"/>
        <v/>
      </c>
    </row>
    <row r="424" ht="15.75" customHeight="1">
      <c r="A424" s="32">
        <f>'EQUITY BACKTEST'!A427</f>
        <v>39115.66667</v>
      </c>
      <c r="B424" s="22">
        <f>'EQUITY BACKTEST'!B427</f>
        <v>1448.39</v>
      </c>
      <c r="C424" s="22">
        <f>1/'EQUITY BACKTEST'!E427</f>
        <v>0.7716049383</v>
      </c>
      <c r="D424" s="22">
        <f t="shared" si="1"/>
        <v>0.06618947136</v>
      </c>
      <c r="E424" s="22">
        <f t="shared" ref="E424:F424" si="424">IF(A424&lt;&gt;"", (B424 - B423) / B423, "")</f>
        <v>0.01842945337</v>
      </c>
      <c r="F424" s="22">
        <f t="shared" si="424"/>
        <v>-0.003858024691</v>
      </c>
      <c r="H424" s="22" t="str">
        <f t="shared" si="4"/>
        <v/>
      </c>
    </row>
    <row r="425" ht="15.75" customHeight="1">
      <c r="A425" s="32">
        <f>'EQUITY BACKTEST'!A428</f>
        <v>39122.66667</v>
      </c>
      <c r="B425" s="22">
        <f>'EQUITY BACKTEST'!B428</f>
        <v>1438.06</v>
      </c>
      <c r="C425" s="22">
        <f>1/'EQUITY BACKTEST'!E428</f>
        <v>0.7689941556</v>
      </c>
      <c r="D425" s="22">
        <f t="shared" si="1"/>
        <v>0.1290317022</v>
      </c>
      <c r="E425" s="22">
        <f t="shared" ref="E425:F425" si="425">IF(A425&lt;&gt;"", (B425 - B424) / B424, "")</f>
        <v>-0.007132056974</v>
      </c>
      <c r="F425" s="22">
        <f t="shared" si="425"/>
        <v>-0.003383574285</v>
      </c>
      <c r="H425" s="22" t="str">
        <f t="shared" si="4"/>
        <v/>
      </c>
    </row>
    <row r="426" ht="15.75" customHeight="1">
      <c r="A426" s="32">
        <f>'EQUITY BACKTEST'!A429</f>
        <v>39129.66667</v>
      </c>
      <c r="B426" s="22">
        <f>'EQUITY BACKTEST'!B429</f>
        <v>1455.54</v>
      </c>
      <c r="C426" s="22">
        <f>1/'EQUITY BACKTEST'!E429</f>
        <v>0.7609770946</v>
      </c>
      <c r="D426" s="22">
        <f t="shared" si="1"/>
        <v>0.1952439282</v>
      </c>
      <c r="E426" s="22">
        <f t="shared" ref="E426:F426" si="426">IF(A426&lt;&gt;"", (B426 - B425) / B425, "")</f>
        <v>0.01215526473</v>
      </c>
      <c r="F426" s="22">
        <f t="shared" si="426"/>
        <v>-0.0104253862</v>
      </c>
      <c r="H426" s="22" t="str">
        <f t="shared" si="4"/>
        <v/>
      </c>
    </row>
    <row r="427" ht="15.75" customHeight="1">
      <c r="A427" s="32">
        <f>'EQUITY BACKTEST'!A430</f>
        <v>39136.66667</v>
      </c>
      <c r="B427" s="22">
        <f>'EQUITY BACKTEST'!B430</f>
        <v>1451.19</v>
      </c>
      <c r="C427" s="22">
        <f>1/'EQUITY BACKTEST'!E430</f>
        <v>0.7595321282</v>
      </c>
      <c r="D427" s="22">
        <f t="shared" si="1"/>
        <v>0.249111084</v>
      </c>
      <c r="E427" s="22">
        <f t="shared" ref="E427:F427" si="427">IF(A427&lt;&gt;"", (B427 - B426) / B426, "")</f>
        <v>-0.002988581557</v>
      </c>
      <c r="F427" s="22">
        <f t="shared" si="427"/>
        <v>-0.001898830321</v>
      </c>
      <c r="H427" s="22" t="str">
        <f t="shared" si="4"/>
        <v/>
      </c>
    </row>
    <row r="428" ht="15.75" customHeight="1">
      <c r="A428" s="32">
        <f>'EQUITY BACKTEST'!A431</f>
        <v>39143.66667</v>
      </c>
      <c r="B428" s="22">
        <f>'EQUITY BACKTEST'!B431</f>
        <v>1387.17</v>
      </c>
      <c r="C428" s="22">
        <f>1/'EQUITY BACKTEST'!E431</f>
        <v>0.7598206823</v>
      </c>
      <c r="D428" s="22">
        <f t="shared" si="1"/>
        <v>0.3211904162</v>
      </c>
      <c r="E428" s="22">
        <f t="shared" ref="E428:F428" si="428">IF(A428&lt;&gt;"", (B428 - B427) / B427, "")</f>
        <v>-0.04411551899</v>
      </c>
      <c r="F428" s="22">
        <f t="shared" si="428"/>
        <v>0.0003799103412</v>
      </c>
      <c r="H428" s="22" t="str">
        <f t="shared" si="4"/>
        <v/>
      </c>
    </row>
    <row r="429" ht="15.75" customHeight="1">
      <c r="A429" s="32">
        <f>'EQUITY BACKTEST'!A432</f>
        <v>39150.66667</v>
      </c>
      <c r="B429" s="22">
        <f>'EQUITY BACKTEST'!B432</f>
        <v>1402.85</v>
      </c>
      <c r="C429" s="22">
        <f>1/'EQUITY BACKTEST'!E432</f>
        <v>0.7625438463</v>
      </c>
      <c r="D429" s="22">
        <f t="shared" si="1"/>
        <v>0.435994654</v>
      </c>
      <c r="E429" s="22">
        <f t="shared" ref="E429:F429" si="429">IF(A429&lt;&gt;"", (B429 - B428) / B428, "")</f>
        <v>0.01130358932</v>
      </c>
      <c r="F429" s="22">
        <f t="shared" si="429"/>
        <v>0.003583956077</v>
      </c>
      <c r="H429" s="22" t="str">
        <f t="shared" si="4"/>
        <v/>
      </c>
    </row>
    <row r="430" ht="15.75" customHeight="1">
      <c r="A430" s="32">
        <f>'EQUITY BACKTEST'!A433</f>
        <v>39157.66667</v>
      </c>
      <c r="B430" s="22">
        <f>'EQUITY BACKTEST'!B433</f>
        <v>1386.95</v>
      </c>
      <c r="C430" s="22">
        <f>1/'EQUITY BACKTEST'!E433</f>
        <v>0.7510326699</v>
      </c>
      <c r="D430" s="22">
        <f t="shared" si="1"/>
        <v>0.5393050877</v>
      </c>
      <c r="E430" s="22">
        <f t="shared" ref="E430:F430" si="430">IF(A430&lt;&gt;"", (B430 - B429) / B429, "")</f>
        <v>-0.01133406993</v>
      </c>
      <c r="F430" s="22">
        <f t="shared" si="430"/>
        <v>-0.01509575667</v>
      </c>
      <c r="H430" s="22" t="str">
        <f t="shared" si="4"/>
        <v/>
      </c>
    </row>
    <row r="431" ht="15.75" customHeight="1">
      <c r="A431" s="32">
        <f>'EQUITY BACKTEST'!A434</f>
        <v>39164.66667</v>
      </c>
      <c r="B431" s="22">
        <f>'EQUITY BACKTEST'!B434</f>
        <v>1436.11</v>
      </c>
      <c r="C431" s="22">
        <f>1/'EQUITY BACKTEST'!E434</f>
        <v>0.7529553497</v>
      </c>
      <c r="D431" s="22">
        <f t="shared" si="1"/>
        <v>0.6137120724</v>
      </c>
      <c r="E431" s="22">
        <f t="shared" ref="E431:F431" si="431">IF(A431&lt;&gt;"", (B431 - B430) / B430, "")</f>
        <v>0.03544468077</v>
      </c>
      <c r="F431" s="22">
        <f t="shared" si="431"/>
        <v>0.002560048189</v>
      </c>
      <c r="H431" s="22" t="str">
        <f t="shared" si="4"/>
        <v/>
      </c>
    </row>
    <row r="432" ht="15.75" customHeight="1">
      <c r="A432" s="32">
        <f>'EQUITY BACKTEST'!A435</f>
        <v>39171.66667</v>
      </c>
      <c r="B432" s="22">
        <f>'EQUITY BACKTEST'!B435</f>
        <v>1420.86</v>
      </c>
      <c r="C432" s="22">
        <f>1/'EQUITY BACKTEST'!E435</f>
        <v>0.7487271638</v>
      </c>
      <c r="D432" s="22">
        <f t="shared" si="1"/>
        <v>0.6643312393</v>
      </c>
      <c r="E432" s="22">
        <f t="shared" ref="E432:F432" si="432">IF(A432&lt;&gt;"", (B432 - B431) / B431, "")</f>
        <v>-0.01061896373</v>
      </c>
      <c r="F432" s="22">
        <f t="shared" si="432"/>
        <v>-0.005615453729</v>
      </c>
      <c r="H432" s="22" t="str">
        <f t="shared" si="4"/>
        <v/>
      </c>
    </row>
    <row r="433" ht="15.75" customHeight="1">
      <c r="A433" s="32">
        <f>'EQUITY BACKTEST'!A436</f>
        <v>39178.66667</v>
      </c>
      <c r="B433" s="22">
        <f>'EQUITY BACKTEST'!B436</f>
        <v>1437.34</v>
      </c>
      <c r="C433" s="22">
        <f>1/'EQUITY BACKTEST'!E436</f>
        <v>0.7463800567</v>
      </c>
      <c r="D433" s="22">
        <f t="shared" si="1"/>
        <v>0.6968838075</v>
      </c>
      <c r="E433" s="22">
        <f t="shared" ref="E433:F433" si="433">IF(A433&lt;&gt;"", (B433 - B432) / B432, "")</f>
        <v>0.01159860929</v>
      </c>
      <c r="F433" s="22">
        <f t="shared" si="433"/>
        <v>-0.003134796238</v>
      </c>
      <c r="H433" s="22" t="str">
        <f t="shared" si="4"/>
        <v/>
      </c>
    </row>
    <row r="434" ht="15.75" customHeight="1">
      <c r="A434" s="32">
        <f>'EQUITY BACKTEST'!A437</f>
        <v>39185.66667</v>
      </c>
      <c r="B434" s="22">
        <f>'EQUITY BACKTEST'!B437</f>
        <v>1452.85</v>
      </c>
      <c r="C434" s="22">
        <f>1/'EQUITY BACKTEST'!E437</f>
        <v>0.7393168712</v>
      </c>
      <c r="D434" s="22">
        <f t="shared" si="1"/>
        <v>0.7302043289</v>
      </c>
      <c r="E434" s="22">
        <f t="shared" ref="E434:F434" si="434">IF(A434&lt;&gt;"", (B434 - B433) / B433, "")</f>
        <v>0.01079076628</v>
      </c>
      <c r="F434" s="22">
        <f t="shared" si="434"/>
        <v>-0.009463255952</v>
      </c>
      <c r="H434" s="22" t="str">
        <f t="shared" si="4"/>
        <v/>
      </c>
    </row>
    <row r="435" ht="15.75" customHeight="1">
      <c r="A435" s="32">
        <f>'EQUITY BACKTEST'!A438</f>
        <v>39192.66667</v>
      </c>
      <c r="B435" s="22">
        <f>'EQUITY BACKTEST'!B438</f>
        <v>1484.35</v>
      </c>
      <c r="C435" s="22">
        <f>1/'EQUITY BACKTEST'!E438</f>
        <v>0.7361601885</v>
      </c>
      <c r="D435" s="22">
        <f t="shared" si="1"/>
        <v>0.7377082194</v>
      </c>
      <c r="E435" s="22">
        <f t="shared" ref="E435:F435" si="435">IF(A435&lt;&gt;"", (B435 - B434) / B434, "")</f>
        <v>0.02168152252</v>
      </c>
      <c r="F435" s="22">
        <f t="shared" si="435"/>
        <v>-0.004269729093</v>
      </c>
      <c r="H435" s="22" t="str">
        <f t="shared" si="4"/>
        <v/>
      </c>
    </row>
    <row r="436" ht="15.75" customHeight="1">
      <c r="A436" s="32">
        <f>'EQUITY BACKTEST'!A439</f>
        <v>39199.66667</v>
      </c>
      <c r="B436" s="22">
        <f>'EQUITY BACKTEST'!B439</f>
        <v>1494.07</v>
      </c>
      <c r="C436" s="22">
        <f>1/'EQUITY BACKTEST'!E439</f>
        <v>0.7324934076</v>
      </c>
      <c r="D436" s="22">
        <f t="shared" si="1"/>
        <v>0.7366231941</v>
      </c>
      <c r="E436" s="22">
        <f t="shared" ref="E436:F436" si="436">IF(A436&lt;&gt;"", (B436 - B435) / B435, "")</f>
        <v>0.006548320814</v>
      </c>
      <c r="F436" s="22">
        <f t="shared" si="436"/>
        <v>-0.004980955171</v>
      </c>
      <c r="H436" s="22" t="str">
        <f t="shared" si="4"/>
        <v/>
      </c>
    </row>
    <row r="437" ht="15.75" customHeight="1">
      <c r="A437" s="32">
        <f>'EQUITY BACKTEST'!A440</f>
        <v>39206.66667</v>
      </c>
      <c r="B437" s="22">
        <f>'EQUITY BACKTEST'!B440</f>
        <v>1505.62</v>
      </c>
      <c r="C437" s="22">
        <f>1/'EQUITY BACKTEST'!E440</f>
        <v>0.7361059993</v>
      </c>
      <c r="D437" s="22">
        <f t="shared" si="1"/>
        <v>0.7319395853</v>
      </c>
      <c r="E437" s="22">
        <f t="shared" ref="E437:F437" si="437">IF(A437&lt;&gt;"", (B437 - B436) / B436, "")</f>
        <v>0.007730561486</v>
      </c>
      <c r="F437" s="22">
        <f t="shared" si="437"/>
        <v>0.004931910195</v>
      </c>
      <c r="H437" s="22" t="str">
        <f t="shared" si="4"/>
        <v/>
      </c>
    </row>
    <row r="438" ht="15.75" customHeight="1">
      <c r="A438" s="32">
        <f>'EQUITY BACKTEST'!A441</f>
        <v>39213.66667</v>
      </c>
      <c r="B438" s="22">
        <f>'EQUITY BACKTEST'!B441</f>
        <v>1505.85</v>
      </c>
      <c r="C438" s="22">
        <f>1/'EQUITY BACKTEST'!E441</f>
        <v>0.7394262053</v>
      </c>
      <c r="D438" s="22">
        <f t="shared" si="1"/>
        <v>0.7312089132</v>
      </c>
      <c r="E438" s="22">
        <f t="shared" ref="E438:F438" si="438">IF(A438&lt;&gt;"", (B438 - B437) / B437, "")</f>
        <v>0.0001527609888</v>
      </c>
      <c r="F438" s="22">
        <f t="shared" si="438"/>
        <v>0.004510499852</v>
      </c>
      <c r="H438" s="22" t="str">
        <f t="shared" si="4"/>
        <v/>
      </c>
    </row>
    <row r="439" ht="15.75" customHeight="1">
      <c r="A439" s="32">
        <f>'EQUITY BACKTEST'!A442</f>
        <v>39220.66667</v>
      </c>
      <c r="B439" s="22">
        <f>'EQUITY BACKTEST'!B442</f>
        <v>1522.75</v>
      </c>
      <c r="C439" s="22">
        <f>1/'EQUITY BACKTEST'!E442</f>
        <v>0.74019245</v>
      </c>
      <c r="D439" s="22">
        <f t="shared" si="1"/>
        <v>0.7198712621</v>
      </c>
      <c r="E439" s="22">
        <f t="shared" ref="E439:F439" si="439">IF(A439&lt;&gt;"", (B439 - B438) / B438, "")</f>
        <v>0.01122289737</v>
      </c>
      <c r="F439" s="22">
        <f t="shared" si="439"/>
        <v>0.00103626943</v>
      </c>
      <c r="H439" s="22" t="str">
        <f t="shared" si="4"/>
        <v/>
      </c>
    </row>
    <row r="440" ht="15.75" customHeight="1">
      <c r="A440" s="32">
        <f>'EQUITY BACKTEST'!A443</f>
        <v>39227.66667</v>
      </c>
      <c r="B440" s="22">
        <f>'EQUITY BACKTEST'!B443</f>
        <v>1515.73</v>
      </c>
      <c r="C440" s="22">
        <f>1/'EQUITY BACKTEST'!E443</f>
        <v>0.7437709186</v>
      </c>
      <c r="D440" s="22">
        <f t="shared" si="1"/>
        <v>0.7170305628</v>
      </c>
      <c r="E440" s="22">
        <f t="shared" ref="E440:F440" si="440">IF(A440&lt;&gt;"", (B440 - B439) / B439, "")</f>
        <v>-0.004610080447</v>
      </c>
      <c r="F440" s="22">
        <f t="shared" si="440"/>
        <v>0.004834510971</v>
      </c>
      <c r="H440" s="22" t="str">
        <f t="shared" si="4"/>
        <v/>
      </c>
    </row>
    <row r="441" ht="15.75" customHeight="1">
      <c r="A441" s="32">
        <f>'EQUITY BACKTEST'!A444</f>
        <v>39234.66667</v>
      </c>
      <c r="B441" s="22">
        <f>'EQUITY BACKTEST'!B444</f>
        <v>1536.34</v>
      </c>
      <c r="C441" s="22">
        <f>1/'EQUITY BACKTEST'!E444</f>
        <v>0.7442691277</v>
      </c>
      <c r="D441" s="22">
        <f t="shared" si="1"/>
        <v>0.7106996222</v>
      </c>
      <c r="E441" s="22">
        <f t="shared" ref="E441:F441" si="441">IF(A441&lt;&gt;"", (B441 - B440) / B440, "")</f>
        <v>0.01359740851</v>
      </c>
      <c r="F441" s="22">
        <f t="shared" si="441"/>
        <v>0.0006698422149</v>
      </c>
      <c r="H441" s="22" t="str">
        <f t="shared" si="4"/>
        <v/>
      </c>
    </row>
    <row r="442" ht="15.75" customHeight="1">
      <c r="A442" s="32">
        <f>'EQUITY BACKTEST'!A445</f>
        <v>39241.66667</v>
      </c>
      <c r="B442" s="22">
        <f>'EQUITY BACKTEST'!B445</f>
        <v>1507.67</v>
      </c>
      <c r="C442" s="22">
        <f>1/'EQUITY BACKTEST'!E445</f>
        <v>0.7477753683</v>
      </c>
      <c r="D442" s="22">
        <f t="shared" si="1"/>
        <v>0.7070736637</v>
      </c>
      <c r="E442" s="22">
        <f t="shared" ref="E442:F442" si="442">IF(A442&lt;&gt;"", (B442 - B441) / B441, "")</f>
        <v>-0.01866123384</v>
      </c>
      <c r="F442" s="22">
        <f t="shared" si="442"/>
        <v>0.00471098482</v>
      </c>
      <c r="H442" s="22" t="str">
        <f t="shared" si="4"/>
        <v/>
      </c>
    </row>
    <row r="443" ht="15.75" customHeight="1">
      <c r="A443" s="32">
        <f>'EQUITY BACKTEST'!A446</f>
        <v>39248.66667</v>
      </c>
      <c r="B443" s="22">
        <f>'EQUITY BACKTEST'!B446</f>
        <v>1532.91</v>
      </c>
      <c r="C443" s="22">
        <f>1/'EQUITY BACKTEST'!E446</f>
        <v>0.7476635514</v>
      </c>
      <c r="D443" s="22">
        <f t="shared" si="1"/>
        <v>0.7074537804</v>
      </c>
      <c r="E443" s="22">
        <f t="shared" ref="E443:F443" si="443">IF(A443&lt;&gt;"", (B443 - B442) / B442, "")</f>
        <v>0.01674106403</v>
      </c>
      <c r="F443" s="22">
        <f t="shared" si="443"/>
        <v>-0.0001495327103</v>
      </c>
      <c r="H443" s="22" t="str">
        <f t="shared" si="4"/>
        <v/>
      </c>
    </row>
    <row r="444" ht="15.75" customHeight="1">
      <c r="A444" s="32">
        <f>'EQUITY BACKTEST'!A447</f>
        <v>39255.66667</v>
      </c>
      <c r="B444" s="22">
        <f>'EQUITY BACKTEST'!B447</f>
        <v>1502.56</v>
      </c>
      <c r="C444" s="22">
        <f>1/'EQUITY BACKTEST'!E447</f>
        <v>0.7426110203</v>
      </c>
      <c r="D444" s="22">
        <f t="shared" si="1"/>
        <v>0.705871978</v>
      </c>
      <c r="E444" s="22">
        <f t="shared" ref="E444:F444" si="444">IF(A444&lt;&gt;"", (B444 - B443) / B443, "")</f>
        <v>-0.01979894449</v>
      </c>
      <c r="F444" s="22">
        <f t="shared" si="444"/>
        <v>-0.006757760285</v>
      </c>
      <c r="H444" s="22" t="str">
        <f t="shared" si="4"/>
        <v/>
      </c>
    </row>
    <row r="445" ht="15.75" customHeight="1">
      <c r="A445" s="32">
        <f>'EQUITY BACKTEST'!A448</f>
        <v>39262.66667</v>
      </c>
      <c r="B445" s="22">
        <f>'EQUITY BACKTEST'!B448</f>
        <v>1503.35</v>
      </c>
      <c r="C445" s="22">
        <f>1/'EQUITY BACKTEST'!E448</f>
        <v>0.7389344565</v>
      </c>
      <c r="D445" s="22">
        <f t="shared" si="1"/>
        <v>0.7129902872</v>
      </c>
      <c r="E445" s="22">
        <f t="shared" ref="E445:F445" si="445">IF(A445&lt;&gt;"", (B445 - B444) / B444, "")</f>
        <v>0.0005257693536</v>
      </c>
      <c r="F445" s="22">
        <f t="shared" si="445"/>
        <v>-0.004950860859</v>
      </c>
      <c r="H445" s="22" t="str">
        <f t="shared" si="4"/>
        <v/>
      </c>
    </row>
    <row r="446" ht="15.75" customHeight="1">
      <c r="A446" s="32">
        <f>'EQUITY BACKTEST'!A449</f>
        <v>39269.66667</v>
      </c>
      <c r="B446" s="22">
        <f>'EQUITY BACKTEST'!B449</f>
        <v>1530.44</v>
      </c>
      <c r="C446" s="22">
        <f>1/'EQUITY BACKTEST'!E449</f>
        <v>0.734052705</v>
      </c>
      <c r="D446" s="22">
        <f t="shared" si="1"/>
        <v>0.7172930724</v>
      </c>
      <c r="E446" s="22">
        <f t="shared" ref="E446:F446" si="446">IF(A446&lt;&gt;"", (B446 - B445) / B445, "")</f>
        <v>0.01801975588</v>
      </c>
      <c r="F446" s="22">
        <f t="shared" si="446"/>
        <v>-0.006606474345</v>
      </c>
      <c r="H446" s="22" t="str">
        <f t="shared" si="4"/>
        <v/>
      </c>
    </row>
    <row r="447" ht="15.75" customHeight="1">
      <c r="A447" s="32">
        <f>'EQUITY BACKTEST'!A450</f>
        <v>39276.66667</v>
      </c>
      <c r="B447" s="22">
        <f>'EQUITY BACKTEST'!B450</f>
        <v>1552.5</v>
      </c>
      <c r="C447" s="22">
        <f>1/'EQUITY BACKTEST'!E450</f>
        <v>0.7256367462</v>
      </c>
      <c r="D447" s="22">
        <f t="shared" si="1"/>
        <v>0.7202779763</v>
      </c>
      <c r="E447" s="22">
        <f t="shared" ref="E447:F447" si="447">IF(A447&lt;&gt;"", (B447 - B446) / B446, "")</f>
        <v>0.01441415541</v>
      </c>
      <c r="F447" s="22">
        <f t="shared" si="447"/>
        <v>-0.01146506059</v>
      </c>
      <c r="H447" s="22" t="str">
        <f t="shared" si="4"/>
        <v/>
      </c>
    </row>
    <row r="448" ht="15.75" customHeight="1">
      <c r="A448" s="32">
        <f>'EQUITY BACKTEST'!A451</f>
        <v>39283.66667</v>
      </c>
      <c r="B448" s="22">
        <f>'EQUITY BACKTEST'!B451</f>
        <v>1534.1</v>
      </c>
      <c r="C448" s="22">
        <f>1/'EQUITY BACKTEST'!E451</f>
        <v>0.7232749892</v>
      </c>
      <c r="D448" s="22">
        <f t="shared" si="1"/>
        <v>0.719446772</v>
      </c>
      <c r="E448" s="22">
        <f t="shared" ref="E448:F448" si="448">IF(A448&lt;&gt;"", (B448 - B447) / B447, "")</f>
        <v>-0.01185185185</v>
      </c>
      <c r="F448" s="22">
        <f t="shared" si="448"/>
        <v>-0.003254737451</v>
      </c>
      <c r="H448" s="22" t="str">
        <f t="shared" si="4"/>
        <v/>
      </c>
    </row>
    <row r="449" ht="15.75" customHeight="1">
      <c r="A449" s="32">
        <f>'EQUITY BACKTEST'!A452</f>
        <v>39290.66667</v>
      </c>
      <c r="B449" s="22">
        <f>'EQUITY BACKTEST'!B452</f>
        <v>1458.95</v>
      </c>
      <c r="C449" s="22">
        <f>1/'EQUITY BACKTEST'!E452</f>
        <v>0.7335142669</v>
      </c>
      <c r="D449" s="22">
        <f t="shared" si="1"/>
        <v>0.7151518907</v>
      </c>
      <c r="E449" s="22">
        <f t="shared" ref="E449:F449" si="449">IF(A449&lt;&gt;"", (B449 - B448) / B448, "")</f>
        <v>-0.04898637638</v>
      </c>
      <c r="F449" s="22">
        <f t="shared" si="449"/>
        <v>0.01415682535</v>
      </c>
      <c r="H449" s="22" t="str">
        <f t="shared" si="4"/>
        <v/>
      </c>
    </row>
    <row r="450" ht="15.75" customHeight="1">
      <c r="A450" s="32">
        <f>'EQUITY BACKTEST'!A453</f>
        <v>39297.66667</v>
      </c>
      <c r="B450" s="22">
        <f>'EQUITY BACKTEST'!B453</f>
        <v>1433.06</v>
      </c>
      <c r="C450" s="22">
        <f>1/'EQUITY BACKTEST'!E453</f>
        <v>0.7253735674</v>
      </c>
      <c r="D450" s="22">
        <f t="shared" si="1"/>
        <v>0.7222270907</v>
      </c>
      <c r="E450" s="22">
        <f t="shared" ref="E450:F450" si="450">IF(A450&lt;&gt;"", (B450 - B449) / B449, "")</f>
        <v>-0.01774563899</v>
      </c>
      <c r="F450" s="22">
        <f t="shared" si="450"/>
        <v>-0.01109821558</v>
      </c>
      <c r="H450" s="22" t="str">
        <f t="shared" si="4"/>
        <v/>
      </c>
    </row>
    <row r="451" ht="15.75" customHeight="1">
      <c r="A451" s="32">
        <f>'EQUITY BACKTEST'!A454</f>
        <v>39304.66667</v>
      </c>
      <c r="B451" s="22">
        <f>'EQUITY BACKTEST'!B454</f>
        <v>1453.64</v>
      </c>
      <c r="C451" s="22">
        <f>1/'EQUITY BACKTEST'!E454</f>
        <v>0.7301935013</v>
      </c>
      <c r="D451" s="22">
        <f t="shared" si="1"/>
        <v>0.7246741636</v>
      </c>
      <c r="E451" s="22">
        <f t="shared" ref="E451:F451" si="451">IF(A451&lt;&gt;"", (B451 - B450) / B450, "")</f>
        <v>0.01436087812</v>
      </c>
      <c r="F451" s="22">
        <f t="shared" si="451"/>
        <v>0.006644760862</v>
      </c>
      <c r="H451" s="22" t="str">
        <f t="shared" si="4"/>
        <v/>
      </c>
    </row>
    <row r="452" ht="15.75" customHeight="1">
      <c r="A452" s="32">
        <f>'EQUITY BACKTEST'!A455</f>
        <v>39311.66667</v>
      </c>
      <c r="B452" s="22">
        <f>'EQUITY BACKTEST'!B455</f>
        <v>1445.94</v>
      </c>
      <c r="C452" s="22">
        <f>1/'EQUITY BACKTEST'!E455</f>
        <v>0.7412348973</v>
      </c>
      <c r="D452" s="22">
        <f t="shared" si="1"/>
        <v>0.7126143855</v>
      </c>
      <c r="E452" s="22">
        <f t="shared" ref="E452:F452" si="452">IF(A452&lt;&gt;"", (B452 - B451) / B451, "")</f>
        <v>-0.005297047412</v>
      </c>
      <c r="F452" s="22">
        <f t="shared" si="452"/>
        <v>0.01512119191</v>
      </c>
      <c r="H452" s="22" t="str">
        <f t="shared" si="4"/>
        <v/>
      </c>
    </row>
    <row r="453" ht="15.75" customHeight="1">
      <c r="A453" s="32">
        <f>'EQUITY BACKTEST'!A456</f>
        <v>39318.66667</v>
      </c>
      <c r="B453" s="22">
        <f>'EQUITY BACKTEST'!B456</f>
        <v>1479.37</v>
      </c>
      <c r="C453" s="22">
        <f>1/'EQUITY BACKTEST'!E456</f>
        <v>0.7319036815</v>
      </c>
      <c r="D453" s="22">
        <f t="shared" si="1"/>
        <v>0.7126596232</v>
      </c>
      <c r="E453" s="22">
        <f t="shared" ref="E453:F453" si="453">IF(A453&lt;&gt;"", (B453 - B452) / B452, "")</f>
        <v>0.02311990816</v>
      </c>
      <c r="F453" s="22">
        <f t="shared" si="453"/>
        <v>-0.01258874332</v>
      </c>
      <c r="H453" s="22" t="str">
        <f t="shared" si="4"/>
        <v/>
      </c>
    </row>
    <row r="454" ht="15.75" customHeight="1">
      <c r="A454" s="32">
        <f>'EQUITY BACKTEST'!A457</f>
        <v>39325.66667</v>
      </c>
      <c r="B454" s="22">
        <f>'EQUITY BACKTEST'!B457</f>
        <v>1473.99</v>
      </c>
      <c r="C454" s="22">
        <f>1/'EQUITY BACKTEST'!E457</f>
        <v>0.7341604875</v>
      </c>
      <c r="D454" s="22">
        <f t="shared" si="1"/>
        <v>0.6880299303</v>
      </c>
      <c r="E454" s="22">
        <f t="shared" ref="E454:F454" si="454">IF(A454&lt;&gt;"", (B454 - B453) / B453, "")</f>
        <v>-0.003636683183</v>
      </c>
      <c r="F454" s="22">
        <f t="shared" si="454"/>
        <v>0.003083474047</v>
      </c>
      <c r="H454" s="22" t="str">
        <f t="shared" si="4"/>
        <v/>
      </c>
    </row>
    <row r="455" ht="15.75" customHeight="1">
      <c r="A455" s="32">
        <f>'EQUITY BACKTEST'!A458</f>
        <v>39332.66667</v>
      </c>
      <c r="B455" s="22">
        <f>'EQUITY BACKTEST'!B458</f>
        <v>1453.55</v>
      </c>
      <c r="C455" s="22">
        <f>1/'EQUITY BACKTEST'!E458</f>
        <v>0.7263746641</v>
      </c>
      <c r="D455" s="22">
        <f t="shared" si="1"/>
        <v>0.6244677608</v>
      </c>
      <c r="E455" s="22">
        <f t="shared" ref="E455:F455" si="455">IF(A455&lt;&gt;"", (B455 - B454) / B454, "")</f>
        <v>-0.01386712257</v>
      </c>
      <c r="F455" s="22">
        <f t="shared" si="455"/>
        <v>-0.0106050701</v>
      </c>
      <c r="H455" s="22" t="str">
        <f t="shared" si="4"/>
        <v/>
      </c>
    </row>
    <row r="456" ht="15.75" customHeight="1">
      <c r="A456" s="32">
        <f>'EQUITY BACKTEST'!A459</f>
        <v>39339.66667</v>
      </c>
      <c r="B456" s="22">
        <f>'EQUITY BACKTEST'!B459</f>
        <v>1484.25</v>
      </c>
      <c r="C456" s="22">
        <f>1/'EQUITY BACKTEST'!E459</f>
        <v>0.7207726683</v>
      </c>
      <c r="D456" s="22">
        <f t="shared" si="1"/>
        <v>0.5651869002</v>
      </c>
      <c r="E456" s="22">
        <f t="shared" ref="E456:F456" si="456">IF(A456&lt;&gt;"", (B456 - B455) / B455, "")</f>
        <v>0.02112070448</v>
      </c>
      <c r="F456" s="22">
        <f t="shared" si="456"/>
        <v>-0.007712267551</v>
      </c>
      <c r="H456" s="22" t="str">
        <f t="shared" si="4"/>
        <v/>
      </c>
    </row>
    <row r="457" ht="15.75" customHeight="1">
      <c r="A457" s="32">
        <f>'EQUITY BACKTEST'!A460</f>
        <v>39346.66667</v>
      </c>
      <c r="B457" s="22">
        <f>'EQUITY BACKTEST'!B460</f>
        <v>1525.75</v>
      </c>
      <c r="C457" s="22">
        <f>1/'EQUITY BACKTEST'!E460</f>
        <v>0.7097735822</v>
      </c>
      <c r="D457" s="22">
        <f t="shared" si="1"/>
        <v>0.5107013028</v>
      </c>
      <c r="E457" s="22">
        <f t="shared" ref="E457:F457" si="457">IF(A457&lt;&gt;"", (B457 - B456) / B456, "")</f>
        <v>0.02796024928</v>
      </c>
      <c r="F457" s="22">
        <f t="shared" si="457"/>
        <v>-0.01526013202</v>
      </c>
      <c r="H457" s="22" t="str">
        <f t="shared" si="4"/>
        <v/>
      </c>
    </row>
    <row r="458" ht="15.75" customHeight="1">
      <c r="A458" s="32">
        <f>'EQUITY BACKTEST'!A461</f>
        <v>39353.66667</v>
      </c>
      <c r="B458" s="22">
        <f>'EQUITY BACKTEST'!B461</f>
        <v>1526.75</v>
      </c>
      <c r="C458" s="22">
        <f>1/'EQUITY BACKTEST'!E461</f>
        <v>0.7012622721</v>
      </c>
      <c r="D458" s="22">
        <f t="shared" si="1"/>
        <v>0.441624491</v>
      </c>
      <c r="E458" s="22">
        <f t="shared" ref="E458:F458" si="458">IF(A458&lt;&gt;"", (B458 - B457) / B457, "")</f>
        <v>0.0006554153695</v>
      </c>
      <c r="F458" s="22">
        <f t="shared" si="458"/>
        <v>-0.01199158485</v>
      </c>
      <c r="H458" s="22" t="str">
        <f t="shared" si="4"/>
        <v/>
      </c>
    </row>
    <row r="459" ht="15.75" customHeight="1">
      <c r="A459" s="32">
        <f>'EQUITY BACKTEST'!A462</f>
        <v>39360.66667</v>
      </c>
      <c r="B459" s="22">
        <f>'EQUITY BACKTEST'!B462</f>
        <v>1557.59</v>
      </c>
      <c r="C459" s="22">
        <f>1/'EQUITY BACKTEST'!E462</f>
        <v>0.7076640011</v>
      </c>
      <c r="D459" s="22">
        <f t="shared" si="1"/>
        <v>0.2450677792</v>
      </c>
      <c r="E459" s="22">
        <f t="shared" ref="E459:F459" si="459">IF(A459&lt;&gt;"", (B459 - B458) / B458, "")</f>
        <v>0.02019977075</v>
      </c>
      <c r="F459" s="22">
        <f t="shared" si="459"/>
        <v>0.009128865615</v>
      </c>
      <c r="H459" s="22" t="str">
        <f t="shared" si="4"/>
        <v/>
      </c>
    </row>
    <row r="460" ht="15.75" customHeight="1">
      <c r="A460" s="32">
        <f>'EQUITY BACKTEST'!A463</f>
        <v>39367.66667</v>
      </c>
      <c r="B460" s="22">
        <f>'EQUITY BACKTEST'!B463</f>
        <v>1561.8</v>
      </c>
      <c r="C460" s="22">
        <f>1/'EQUITY BACKTEST'!E463</f>
        <v>0.704920344</v>
      </c>
      <c r="D460" s="22">
        <f t="shared" si="1"/>
        <v>-0.0740283555</v>
      </c>
      <c r="E460" s="22">
        <f t="shared" ref="E460:F460" si="460">IF(A460&lt;&gt;"", (B460 - B459) / B459, "")</f>
        <v>0.002702893573</v>
      </c>
      <c r="F460" s="22">
        <f t="shared" si="460"/>
        <v>-0.003877061892</v>
      </c>
      <c r="H460" s="22" t="str">
        <f t="shared" si="4"/>
        <v/>
      </c>
    </row>
    <row r="461" ht="15.75" customHeight="1">
      <c r="A461" s="32">
        <f>'EQUITY BACKTEST'!A464</f>
        <v>39374.66667</v>
      </c>
      <c r="B461" s="22">
        <f>'EQUITY BACKTEST'!B464</f>
        <v>1500.63</v>
      </c>
      <c r="C461" s="22">
        <f>1/'EQUITY BACKTEST'!E464</f>
        <v>0.699643182</v>
      </c>
      <c r="D461" s="22">
        <f t="shared" si="1"/>
        <v>-0.2764867575</v>
      </c>
      <c r="E461" s="22">
        <f t="shared" ref="E461:F461" si="461">IF(A461&lt;&gt;"", (B461 - B460) / B460, "")</f>
        <v>-0.03916634652</v>
      </c>
      <c r="F461" s="22">
        <f t="shared" si="461"/>
        <v>-0.007486182047</v>
      </c>
      <c r="H461" s="22" t="str">
        <f t="shared" si="4"/>
        <v/>
      </c>
    </row>
    <row r="462" ht="15.75" customHeight="1">
      <c r="A462" s="32">
        <f>'EQUITY BACKTEST'!A465</f>
        <v>39381.66667</v>
      </c>
      <c r="B462" s="22">
        <f>'EQUITY BACKTEST'!B465</f>
        <v>1535.28</v>
      </c>
      <c r="C462" s="22">
        <f>1/'EQUITY BACKTEST'!E465</f>
        <v>0.6948787437</v>
      </c>
      <c r="D462" s="22">
        <f t="shared" si="1"/>
        <v>-0.4746989978</v>
      </c>
      <c r="E462" s="22">
        <f t="shared" ref="E462:F462" si="462">IF(A462&lt;&gt;"", (B462 - B461) / B461, "")</f>
        <v>0.02309030207</v>
      </c>
      <c r="F462" s="22">
        <f t="shared" si="462"/>
        <v>-0.006809811688</v>
      </c>
      <c r="H462" s="22" t="str">
        <f t="shared" si="4"/>
        <v/>
      </c>
    </row>
    <row r="463" ht="15.75" customHeight="1">
      <c r="A463" s="32">
        <f>'EQUITY BACKTEST'!A466</f>
        <v>39388.66667</v>
      </c>
      <c r="B463" s="22">
        <f>'EQUITY BACKTEST'!B466</f>
        <v>1509.65</v>
      </c>
      <c r="C463" s="22">
        <f>1/'EQUITY BACKTEST'!E466</f>
        <v>0.6903216899</v>
      </c>
      <c r="D463" s="22">
        <f t="shared" si="1"/>
        <v>-0.5823915281</v>
      </c>
      <c r="E463" s="22">
        <f t="shared" ref="E463:F463" si="463">IF(A463&lt;&gt;"", (B463 - B462) / B462, "")</f>
        <v>-0.01669402324</v>
      </c>
      <c r="F463" s="22">
        <f t="shared" si="463"/>
        <v>-0.006558056054</v>
      </c>
      <c r="H463" s="22" t="str">
        <f t="shared" si="4"/>
        <v/>
      </c>
    </row>
    <row r="464" ht="15.75" customHeight="1">
      <c r="A464" s="32">
        <f>'EQUITY BACKTEST'!A467</f>
        <v>39395.66667</v>
      </c>
      <c r="B464" s="22">
        <f>'EQUITY BACKTEST'!B467</f>
        <v>1453.7</v>
      </c>
      <c r="C464" s="22">
        <f>1/'EQUITY BACKTEST'!E467</f>
        <v>0.6815238874</v>
      </c>
      <c r="D464" s="22">
        <f t="shared" si="1"/>
        <v>-0.6623570872</v>
      </c>
      <c r="E464" s="22">
        <f t="shared" ref="E464:F464" si="464">IF(A464&lt;&gt;"", (B464 - B463) / B463, "")</f>
        <v>-0.03706157056</v>
      </c>
      <c r="F464" s="22">
        <f t="shared" si="464"/>
        <v>-0.01274449669</v>
      </c>
      <c r="H464" s="22" t="str">
        <f t="shared" si="4"/>
        <v/>
      </c>
    </row>
    <row r="465" ht="15.75" customHeight="1">
      <c r="A465" s="32">
        <f>'EQUITY BACKTEST'!A468</f>
        <v>39402.66667</v>
      </c>
      <c r="B465" s="22">
        <f>'EQUITY BACKTEST'!B468</f>
        <v>1458.74</v>
      </c>
      <c r="C465" s="22">
        <f>1/'EQUITY BACKTEST'!E468</f>
        <v>0.6834335703</v>
      </c>
      <c r="D465" s="22">
        <f t="shared" si="1"/>
        <v>-0.7194041211</v>
      </c>
      <c r="E465" s="22">
        <f t="shared" ref="E465:F465" si="465">IF(A465&lt;&gt;"", (B465 - B464) / B464, "")</f>
        <v>0.003467015203</v>
      </c>
      <c r="F465" s="22">
        <f t="shared" si="465"/>
        <v>0.002802077638</v>
      </c>
      <c r="H465" s="22" t="str">
        <f t="shared" si="4"/>
        <v/>
      </c>
    </row>
    <row r="466" ht="15.75" customHeight="1">
      <c r="A466" s="32">
        <f>'EQUITY BACKTEST'!A469</f>
        <v>39409.66667</v>
      </c>
      <c r="B466" s="22">
        <f>'EQUITY BACKTEST'!B469</f>
        <v>1440.7</v>
      </c>
      <c r="C466" s="22">
        <f>1/'EQUITY BACKTEST'!E469</f>
        <v>0.6757213325</v>
      </c>
      <c r="D466" s="22">
        <f t="shared" si="1"/>
        <v>-0.7676168783</v>
      </c>
      <c r="E466" s="22">
        <f t="shared" ref="E466:F466" si="466">IF(A466&lt;&gt;"", (B466 - B465) / B465, "")</f>
        <v>-0.01236683713</v>
      </c>
      <c r="F466" s="22">
        <f t="shared" si="466"/>
        <v>-0.01128454625</v>
      </c>
      <c r="H466" s="22" t="str">
        <f t="shared" si="4"/>
        <v/>
      </c>
    </row>
    <row r="467" ht="15.75" customHeight="1">
      <c r="A467" s="32">
        <f>'EQUITY BACKTEST'!A470</f>
        <v>39416.66667</v>
      </c>
      <c r="B467" s="22">
        <f>'EQUITY BACKTEST'!B470</f>
        <v>1481.14</v>
      </c>
      <c r="C467" s="22">
        <f>1/'EQUITY BACKTEST'!E470</f>
        <v>0.6805498843</v>
      </c>
      <c r="D467" s="22">
        <f t="shared" si="1"/>
        <v>-0.7941633149</v>
      </c>
      <c r="E467" s="22">
        <f t="shared" ref="E467:F467" si="467">IF(A467&lt;&gt;"", (B467 - B466) / B466, "")</f>
        <v>0.02806968835</v>
      </c>
      <c r="F467" s="22">
        <f t="shared" si="467"/>
        <v>0.007145773785</v>
      </c>
      <c r="H467" s="22" t="str">
        <f t="shared" si="4"/>
        <v/>
      </c>
    </row>
    <row r="468" ht="15.75" customHeight="1">
      <c r="A468" s="32">
        <f>'EQUITY BACKTEST'!A471</f>
        <v>39423.66667</v>
      </c>
      <c r="B468" s="22">
        <f>'EQUITY BACKTEST'!B471</f>
        <v>1504.66</v>
      </c>
      <c r="C468" s="22">
        <f>1/'EQUITY BACKTEST'!E471</f>
        <v>0.6821747732</v>
      </c>
      <c r="D468" s="22">
        <f t="shared" si="1"/>
        <v>-0.8220309207</v>
      </c>
      <c r="E468" s="22">
        <f t="shared" ref="E468:F468" si="468">IF(A468&lt;&gt;"", (B468 - B467) / B467, "")</f>
        <v>0.01587966026</v>
      </c>
      <c r="F468" s="22">
        <f t="shared" si="468"/>
        <v>0.002387611706</v>
      </c>
      <c r="H468" s="22" t="str">
        <f t="shared" si="4"/>
        <v/>
      </c>
    </row>
    <row r="469" ht="15.75" customHeight="1">
      <c r="A469" s="32">
        <f>'EQUITY BACKTEST'!A472</f>
        <v>39430.66667</v>
      </c>
      <c r="B469" s="22">
        <f>'EQUITY BACKTEST'!B472</f>
        <v>1467.95</v>
      </c>
      <c r="C469" s="22">
        <f>1/'EQUITY BACKTEST'!E472</f>
        <v>0.6932889628</v>
      </c>
      <c r="D469" s="22">
        <f t="shared" si="1"/>
        <v>-0.8407982726</v>
      </c>
      <c r="E469" s="22">
        <f t="shared" ref="E469:F469" si="469">IF(A469&lt;&gt;"", (B469 - B468) / B468, "")</f>
        <v>-0.02439753831</v>
      </c>
      <c r="F469" s="22">
        <f t="shared" si="469"/>
        <v>0.01629229063</v>
      </c>
      <c r="H469" s="22" t="str">
        <f t="shared" si="4"/>
        <v/>
      </c>
    </row>
    <row r="470" ht="15.75" customHeight="1">
      <c r="A470" s="32">
        <f>'EQUITY BACKTEST'!A473</f>
        <v>39437.66667</v>
      </c>
      <c r="B470" s="22">
        <f>'EQUITY BACKTEST'!B473</f>
        <v>1484.46</v>
      </c>
      <c r="C470" s="22">
        <f>1/'EQUITY BACKTEST'!E473</f>
        <v>0.6954102921</v>
      </c>
      <c r="D470" s="22">
        <f t="shared" si="1"/>
        <v>-0.8489407332</v>
      </c>
      <c r="E470" s="22">
        <f t="shared" ref="E470:F470" si="470">IF(A470&lt;&gt;"", (B470 - B469) / B469, "")</f>
        <v>0.01124697708</v>
      </c>
      <c r="F470" s="22">
        <f t="shared" si="470"/>
        <v>0.003059805285</v>
      </c>
      <c r="H470" s="22" t="str">
        <f t="shared" si="4"/>
        <v/>
      </c>
    </row>
    <row r="471" ht="15.75" customHeight="1">
      <c r="A471" s="32">
        <f>'EQUITY BACKTEST'!A474</f>
        <v>39444.66667</v>
      </c>
      <c r="B471" s="22">
        <f>'EQUITY BACKTEST'!B474</f>
        <v>1478.49</v>
      </c>
      <c r="C471" s="22">
        <f>1/'EQUITY BACKTEST'!E474</f>
        <v>0.6797172376</v>
      </c>
      <c r="D471" s="22">
        <f t="shared" si="1"/>
        <v>-0.8582008523</v>
      </c>
      <c r="E471" s="22">
        <f t="shared" ref="E471:F471" si="471">IF(A471&lt;&gt;"", (B471 - B470) / B470, "")</f>
        <v>-0.004021664444</v>
      </c>
      <c r="F471" s="22">
        <f t="shared" si="471"/>
        <v>-0.02256661229</v>
      </c>
      <c r="H471" s="22" t="str">
        <f t="shared" si="4"/>
        <v/>
      </c>
    </row>
    <row r="472" ht="15.75" customHeight="1">
      <c r="A472" s="32">
        <f>'EQUITY BACKTEST'!A475</f>
        <v>39451.66667</v>
      </c>
      <c r="B472" s="22">
        <f>'EQUITY BACKTEST'!B475</f>
        <v>1411.63</v>
      </c>
      <c r="C472" s="22">
        <f>1/'EQUITY BACKTEST'!E475</f>
        <v>0.6785641582</v>
      </c>
      <c r="D472" s="22">
        <f t="shared" si="1"/>
        <v>-0.8674601453</v>
      </c>
      <c r="E472" s="22">
        <f t="shared" ref="E472:F472" si="472">IF(A472&lt;&gt;"", (B472 - B471) / B471, "")</f>
        <v>-0.04522181415</v>
      </c>
      <c r="F472" s="22">
        <f t="shared" si="472"/>
        <v>-0.001696410396</v>
      </c>
      <c r="H472" s="22" t="str">
        <f t="shared" si="4"/>
        <v/>
      </c>
    </row>
    <row r="473" ht="15.75" customHeight="1">
      <c r="A473" s="32">
        <f>'EQUITY BACKTEST'!A476</f>
        <v>39458.66667</v>
      </c>
      <c r="B473" s="22">
        <f>'EQUITY BACKTEST'!B476</f>
        <v>1401.02</v>
      </c>
      <c r="C473" s="22">
        <f>1/'EQUITY BACKTEST'!E476</f>
        <v>0.6764069264</v>
      </c>
      <c r="D473" s="22">
        <f t="shared" si="1"/>
        <v>-0.875968393</v>
      </c>
      <c r="E473" s="22">
        <f t="shared" ref="E473:F473" si="473">IF(A473&lt;&gt;"", (B473 - B472) / B472, "")</f>
        <v>-0.007516133831</v>
      </c>
      <c r="F473" s="22">
        <f t="shared" si="473"/>
        <v>-0.003179112554</v>
      </c>
      <c r="H473" s="22" t="str">
        <f t="shared" si="4"/>
        <v/>
      </c>
    </row>
    <row r="474" ht="15.75" customHeight="1">
      <c r="A474" s="32">
        <f>'EQUITY BACKTEST'!A477</f>
        <v>39465.66667</v>
      </c>
      <c r="B474" s="22">
        <f>'EQUITY BACKTEST'!B477</f>
        <v>1325.19</v>
      </c>
      <c r="C474" s="22">
        <f>1/'EQUITY BACKTEST'!E477</f>
        <v>0.6842285323</v>
      </c>
      <c r="D474" s="22">
        <f t="shared" si="1"/>
        <v>-0.883847116</v>
      </c>
      <c r="E474" s="22">
        <f t="shared" ref="E474:F474" si="474">IF(A474&lt;&gt;"", (B474 - B473) / B473, "")</f>
        <v>-0.05412485189</v>
      </c>
      <c r="F474" s="22">
        <f t="shared" si="474"/>
        <v>0.0115634622</v>
      </c>
      <c r="H474" s="22" t="str">
        <f t="shared" si="4"/>
        <v/>
      </c>
    </row>
    <row r="475" ht="15.75" customHeight="1">
      <c r="A475" s="32">
        <f>'EQUITY BACKTEST'!A478</f>
        <v>39472.66667</v>
      </c>
      <c r="B475" s="22">
        <f>'EQUITY BACKTEST'!B478</f>
        <v>1330.61</v>
      </c>
      <c r="C475" s="22">
        <f>1/'EQUITY BACKTEST'!E478</f>
        <v>0.681709728</v>
      </c>
      <c r="D475" s="22">
        <f t="shared" si="1"/>
        <v>-0.8920201261</v>
      </c>
      <c r="E475" s="22">
        <f t="shared" ref="E475:F475" si="475">IF(A475&lt;&gt;"", (B475 - B474) / B474, "")</f>
        <v>0.00408997955</v>
      </c>
      <c r="F475" s="22">
        <f t="shared" si="475"/>
        <v>-0.003681232531</v>
      </c>
      <c r="H475" s="22" t="str">
        <f t="shared" si="4"/>
        <v/>
      </c>
    </row>
    <row r="476" ht="15.75" customHeight="1">
      <c r="A476" s="32">
        <f>'EQUITY BACKTEST'!A479</f>
        <v>39479.66667</v>
      </c>
      <c r="B476" s="22">
        <f>'EQUITY BACKTEST'!B479</f>
        <v>1395.42</v>
      </c>
      <c r="C476" s="22">
        <f>1/'EQUITY BACKTEST'!E479</f>
        <v>0.6755387421</v>
      </c>
      <c r="D476" s="22">
        <f t="shared" si="1"/>
        <v>-0.8999566552</v>
      </c>
      <c r="E476" s="22">
        <f t="shared" ref="E476:F476" si="476">IF(A476&lt;&gt;"", (B476 - B475) / B475, "")</f>
        <v>0.04870698401</v>
      </c>
      <c r="F476" s="22">
        <f t="shared" si="476"/>
        <v>-0.009052219145</v>
      </c>
      <c r="H476" s="22" t="str">
        <f t="shared" si="4"/>
        <v/>
      </c>
    </row>
    <row r="477" ht="15.75" customHeight="1">
      <c r="A477" s="32">
        <f>'EQUITY BACKTEST'!A480</f>
        <v>39486.66667</v>
      </c>
      <c r="B477" s="22">
        <f>'EQUITY BACKTEST'!B480</f>
        <v>1331.29</v>
      </c>
      <c r="C477" s="22">
        <f>1/'EQUITY BACKTEST'!E480</f>
        <v>0.6896076133</v>
      </c>
      <c r="D477" s="22">
        <f t="shared" si="1"/>
        <v>-0.9083534012</v>
      </c>
      <c r="E477" s="22">
        <f t="shared" ref="E477:F477" si="477">IF(A477&lt;&gt;"", (B477 - B476) / B476, "")</f>
        <v>-0.0459574895</v>
      </c>
      <c r="F477" s="22">
        <f t="shared" si="477"/>
        <v>0.02082614992</v>
      </c>
      <c r="H477" s="22" t="str">
        <f t="shared" si="4"/>
        <v/>
      </c>
    </row>
    <row r="478" ht="15.75" customHeight="1">
      <c r="A478" s="32">
        <f>'EQUITY BACKTEST'!A481</f>
        <v>39493.66667</v>
      </c>
      <c r="B478" s="22">
        <f>'EQUITY BACKTEST'!B481</f>
        <v>1349.99</v>
      </c>
      <c r="C478" s="22">
        <f>1/'EQUITY BACKTEST'!E481</f>
        <v>0.6816632584</v>
      </c>
      <c r="D478" s="22">
        <f t="shared" si="1"/>
        <v>-0.9165093941</v>
      </c>
      <c r="E478" s="22">
        <f t="shared" ref="E478:F478" si="478">IF(A478&lt;&gt;"", (B478 - B477) / B477, "")</f>
        <v>0.0140465263</v>
      </c>
      <c r="F478" s="22">
        <f t="shared" si="478"/>
        <v>-0.01152010907</v>
      </c>
      <c r="H478" s="22" t="str">
        <f t="shared" si="4"/>
        <v/>
      </c>
    </row>
    <row r="479" ht="15.75" customHeight="1">
      <c r="A479" s="32">
        <f>'EQUITY BACKTEST'!A482</f>
        <v>39500.66667</v>
      </c>
      <c r="B479" s="22">
        <f>'EQUITY BACKTEST'!B482</f>
        <v>1353.11</v>
      </c>
      <c r="C479" s="22">
        <f>1/'EQUITY BACKTEST'!E482</f>
        <v>0.6745817593</v>
      </c>
      <c r="D479" s="22">
        <f t="shared" si="1"/>
        <v>-0.9222683274</v>
      </c>
      <c r="E479" s="22">
        <f t="shared" ref="E479:F479" si="479">IF(A479&lt;&gt;"", (B479 - B478) / B478, "")</f>
        <v>0.002311128231</v>
      </c>
      <c r="F479" s="22">
        <f t="shared" si="479"/>
        <v>-0.01038855909</v>
      </c>
      <c r="H479" s="22" t="str">
        <f t="shared" si="4"/>
        <v/>
      </c>
    </row>
    <row r="480" ht="15.75" customHeight="1">
      <c r="A480" s="32">
        <f>'EQUITY BACKTEST'!A483</f>
        <v>39507.66667</v>
      </c>
      <c r="B480" s="22">
        <f>'EQUITY BACKTEST'!B483</f>
        <v>1330.63</v>
      </c>
      <c r="C480" s="22">
        <f>1/'EQUITY BACKTEST'!E483</f>
        <v>0.6590654452</v>
      </c>
      <c r="D480" s="22">
        <f t="shared" si="1"/>
        <v>-0.9279439914</v>
      </c>
      <c r="E480" s="22">
        <f t="shared" ref="E480:F480" si="480">IF(A480&lt;&gt;"", (B480 - B479) / B479, "")</f>
        <v>-0.01661357909</v>
      </c>
      <c r="F480" s="22">
        <f t="shared" si="480"/>
        <v>-0.02300138404</v>
      </c>
      <c r="H480" s="22" t="str">
        <f t="shared" si="4"/>
        <v/>
      </c>
    </row>
    <row r="481" ht="15.75" customHeight="1">
      <c r="A481" s="32">
        <f>'EQUITY BACKTEST'!A484</f>
        <v>39514.66667</v>
      </c>
      <c r="B481" s="22">
        <f>'EQUITY BACKTEST'!B484</f>
        <v>1293.37</v>
      </c>
      <c r="C481" s="22">
        <f>1/'EQUITY BACKTEST'!E484</f>
        <v>0.6515506906</v>
      </c>
      <c r="D481" s="22">
        <f t="shared" si="1"/>
        <v>-0.9298464329</v>
      </c>
      <c r="E481" s="22">
        <f t="shared" ref="E481:F481" si="481">IF(A481&lt;&gt;"", (B481 - B480) / B480, "")</f>
        <v>-0.0280017736</v>
      </c>
      <c r="F481" s="22">
        <f t="shared" si="481"/>
        <v>-0.01140213709</v>
      </c>
      <c r="H481" s="22" t="str">
        <f t="shared" si="4"/>
        <v/>
      </c>
    </row>
    <row r="482" ht="15.75" customHeight="1">
      <c r="A482" s="32">
        <f>'EQUITY BACKTEST'!A485</f>
        <v>39521.66667</v>
      </c>
      <c r="B482" s="22">
        <f>'EQUITY BACKTEST'!B485</f>
        <v>1288.14</v>
      </c>
      <c r="C482" s="22">
        <f>1/'EQUITY BACKTEST'!E485</f>
        <v>0.6405329234</v>
      </c>
      <c r="D482" s="22">
        <f t="shared" si="1"/>
        <v>-0.9301542936</v>
      </c>
      <c r="E482" s="22">
        <f t="shared" ref="E482:F482" si="482">IF(A482&lt;&gt;"", (B482 - B481) / B481, "")</f>
        <v>-0.004043699792</v>
      </c>
      <c r="F482" s="22">
        <f t="shared" si="482"/>
        <v>-0.01691006918</v>
      </c>
      <c r="H482" s="22" t="str">
        <f t="shared" si="4"/>
        <v/>
      </c>
    </row>
    <row r="483" ht="15.75" customHeight="1">
      <c r="A483" s="32">
        <f>'EQUITY BACKTEST'!A486</f>
        <v>39527.66667</v>
      </c>
      <c r="B483" s="22">
        <f>'EQUITY BACKTEST'!B486</f>
        <v>1329.51</v>
      </c>
      <c r="C483" s="22">
        <f>1/'EQUITY BACKTEST'!E486</f>
        <v>0.6371861858</v>
      </c>
      <c r="D483" s="22">
        <f t="shared" si="1"/>
        <v>-0.923605015</v>
      </c>
      <c r="E483" s="22">
        <f t="shared" ref="E483:F483" si="483">IF(A483&lt;&gt;"", (B483 - B482) / B482, "")</f>
        <v>0.03211607434</v>
      </c>
      <c r="F483" s="22">
        <f t="shared" si="483"/>
        <v>-0.005224926724</v>
      </c>
      <c r="H483" s="22" t="str">
        <f t="shared" si="4"/>
        <v/>
      </c>
    </row>
    <row r="484" ht="15.75" customHeight="1">
      <c r="A484" s="32">
        <f>'EQUITY BACKTEST'!A487</f>
        <v>39535.66667</v>
      </c>
      <c r="B484" s="22">
        <f>'EQUITY BACKTEST'!B487</f>
        <v>1315.22</v>
      </c>
      <c r="C484" s="22">
        <f>1/'EQUITY BACKTEST'!E487</f>
        <v>0.6347191368</v>
      </c>
      <c r="D484" s="22">
        <f t="shared" si="1"/>
        <v>-0.9220113186</v>
      </c>
      <c r="E484" s="22">
        <f t="shared" ref="E484:F484" si="484">IF(A484&lt;&gt;"", (B484 - B483) / B483, "")</f>
        <v>-0.01074832081</v>
      </c>
      <c r="F484" s="22">
        <f t="shared" si="484"/>
        <v>-0.003871786734</v>
      </c>
      <c r="H484" s="22" t="str">
        <f t="shared" si="4"/>
        <v/>
      </c>
    </row>
    <row r="485" ht="15.75" customHeight="1">
      <c r="A485" s="32">
        <f>'EQUITY BACKTEST'!A488</f>
        <v>39542.66667</v>
      </c>
      <c r="B485" s="22">
        <f>'EQUITY BACKTEST'!B488</f>
        <v>1370.4</v>
      </c>
      <c r="C485" s="22">
        <f>1/'EQUITY BACKTEST'!E488</f>
        <v>0.635687496</v>
      </c>
      <c r="D485" s="22">
        <f t="shared" si="1"/>
        <v>-0.9197922161</v>
      </c>
      <c r="E485" s="22">
        <f t="shared" ref="E485:F485" si="485">IF(A485&lt;&gt;"", (B485 - B484) / B484, "")</f>
        <v>0.04195495811</v>
      </c>
      <c r="F485" s="22">
        <f t="shared" si="485"/>
        <v>0.00152564999</v>
      </c>
      <c r="H485" s="22" t="str">
        <f t="shared" si="4"/>
        <v/>
      </c>
    </row>
    <row r="486" ht="15.75" customHeight="1">
      <c r="A486" s="32">
        <f>'EQUITY BACKTEST'!A489</f>
        <v>39549.66667</v>
      </c>
      <c r="B486" s="22">
        <f>'EQUITY BACKTEST'!B489</f>
        <v>1332.83</v>
      </c>
      <c r="C486" s="22">
        <f>1/'EQUITY BACKTEST'!E489</f>
        <v>0.6321112516</v>
      </c>
      <c r="D486" s="22">
        <f t="shared" si="1"/>
        <v>-0.9185276189</v>
      </c>
      <c r="E486" s="22">
        <f t="shared" ref="E486:F486" si="486">IF(A486&lt;&gt;"", (B486 - B485) / B485, "")</f>
        <v>-0.02741535318</v>
      </c>
      <c r="F486" s="22">
        <f t="shared" si="486"/>
        <v>-0.005625790139</v>
      </c>
      <c r="H486" s="22" t="str">
        <f t="shared" si="4"/>
        <v/>
      </c>
    </row>
    <row r="487" ht="15.75" customHeight="1">
      <c r="A487" s="32">
        <f>'EQUITY BACKTEST'!A490</f>
        <v>39556.66667</v>
      </c>
      <c r="B487" s="22">
        <f>'EQUITY BACKTEST'!B490</f>
        <v>1390.33</v>
      </c>
      <c r="C487" s="22">
        <f>1/'EQUITY BACKTEST'!E490</f>
        <v>0.6356470887</v>
      </c>
      <c r="D487" s="22">
        <f t="shared" si="1"/>
        <v>-0.9178694659</v>
      </c>
      <c r="E487" s="22">
        <f t="shared" ref="E487:F487" si="487">IF(A487&lt;&gt;"", (B487 - B486) / B486, "")</f>
        <v>0.04314128584</v>
      </c>
      <c r="F487" s="22">
        <f t="shared" si="487"/>
        <v>0.005593694381</v>
      </c>
      <c r="H487" s="22" t="str">
        <f t="shared" si="4"/>
        <v/>
      </c>
    </row>
    <row r="488" ht="15.75" customHeight="1">
      <c r="A488" s="32">
        <f>'EQUITY BACKTEST'!A491</f>
        <v>39563.66667</v>
      </c>
      <c r="B488" s="22">
        <f>'EQUITY BACKTEST'!B491</f>
        <v>1397.84</v>
      </c>
      <c r="C488" s="22">
        <f>1/'EQUITY BACKTEST'!E491</f>
        <v>0.6397543343</v>
      </c>
      <c r="D488" s="22">
        <f t="shared" si="1"/>
        <v>-0.9155896628</v>
      </c>
      <c r="E488" s="22">
        <f t="shared" ref="E488:F488" si="488">IF(A488&lt;&gt;"", (B488 - B487) / B487, "")</f>
        <v>0.005401595305</v>
      </c>
      <c r="F488" s="22">
        <f t="shared" si="488"/>
        <v>0.006461518777</v>
      </c>
      <c r="H488" s="22" t="str">
        <f t="shared" si="4"/>
        <v/>
      </c>
    </row>
    <row r="489" ht="15.75" customHeight="1">
      <c r="A489" s="32">
        <f>'EQUITY BACKTEST'!A492</f>
        <v>39570.66667</v>
      </c>
      <c r="B489" s="22">
        <f>'EQUITY BACKTEST'!B492</f>
        <v>1413.9</v>
      </c>
      <c r="C489" s="22">
        <f>1/'EQUITY BACKTEST'!E492</f>
        <v>0.6481721545</v>
      </c>
      <c r="D489" s="22">
        <f t="shared" si="1"/>
        <v>-0.9132607221</v>
      </c>
      <c r="E489" s="22">
        <f t="shared" ref="E489:F489" si="489">IF(A489&lt;&gt;"", (B489 - B488) / B488, "")</f>
        <v>0.0114891547</v>
      </c>
      <c r="F489" s="22">
        <f t="shared" si="489"/>
        <v>0.01315789474</v>
      </c>
      <c r="H489" s="22" t="str">
        <f t="shared" si="4"/>
        <v/>
      </c>
    </row>
    <row r="490" ht="15.75" customHeight="1">
      <c r="A490" s="32">
        <f>'EQUITY BACKTEST'!A493</f>
        <v>39577.66667</v>
      </c>
      <c r="B490" s="22">
        <f>'EQUITY BACKTEST'!B493</f>
        <v>1388.28</v>
      </c>
      <c r="C490" s="22">
        <f>1/'EQUITY BACKTEST'!E493</f>
        <v>0.6457445435</v>
      </c>
      <c r="D490" s="22">
        <f t="shared" si="1"/>
        <v>-0.9109830049</v>
      </c>
      <c r="E490" s="22">
        <f t="shared" ref="E490:F490" si="490">IF(A490&lt;&gt;"", (B490 - B489) / B489, "")</f>
        <v>-0.01812009336</v>
      </c>
      <c r="F490" s="22">
        <f t="shared" si="490"/>
        <v>-0.003745318352</v>
      </c>
      <c r="H490" s="22" t="str">
        <f t="shared" si="4"/>
        <v/>
      </c>
    </row>
    <row r="491" ht="15.75" customHeight="1">
      <c r="A491" s="32">
        <f>'EQUITY BACKTEST'!A494</f>
        <v>39584.66667</v>
      </c>
      <c r="B491" s="22">
        <f>'EQUITY BACKTEST'!B494</f>
        <v>1425.35</v>
      </c>
      <c r="C491" s="22">
        <f>1/'EQUITY BACKTEST'!E494</f>
        <v>0.6420545746</v>
      </c>
      <c r="D491" s="22">
        <f t="shared" si="1"/>
        <v>-0.9075495665</v>
      </c>
      <c r="E491" s="22">
        <f t="shared" ref="E491:F491" si="491">IF(A491&lt;&gt;"", (B491 - B490) / B490, "")</f>
        <v>0.0267021062</v>
      </c>
      <c r="F491" s="22">
        <f t="shared" si="491"/>
        <v>-0.005714285714</v>
      </c>
      <c r="H491" s="22" t="str">
        <f t="shared" si="4"/>
        <v/>
      </c>
    </row>
    <row r="492" ht="15.75" customHeight="1">
      <c r="A492" s="32">
        <f>'EQUITY BACKTEST'!A495</f>
        <v>39591.66667</v>
      </c>
      <c r="B492" s="22">
        <f>'EQUITY BACKTEST'!B495</f>
        <v>1375.93</v>
      </c>
      <c r="C492" s="22">
        <f>1/'EQUITY BACKTEST'!E495</f>
        <v>0.6337537233</v>
      </c>
      <c r="D492" s="22">
        <f t="shared" si="1"/>
        <v>-0.8989427004</v>
      </c>
      <c r="E492" s="22">
        <f t="shared" ref="E492:F492" si="492">IF(A492&lt;&gt;"", (B492 - B491) / B491, "")</f>
        <v>-0.03467218578</v>
      </c>
      <c r="F492" s="22">
        <f t="shared" si="492"/>
        <v>-0.01292857596</v>
      </c>
      <c r="H492" s="22" t="str">
        <f t="shared" si="4"/>
        <v/>
      </c>
    </row>
    <row r="493" ht="15.75" customHeight="1">
      <c r="A493" s="32">
        <f>'EQUITY BACKTEST'!A496</f>
        <v>39598.66667</v>
      </c>
      <c r="B493" s="22">
        <f>'EQUITY BACKTEST'!B496</f>
        <v>1400.38</v>
      </c>
      <c r="C493" s="22">
        <f>1/'EQUITY BACKTEST'!E496</f>
        <v>0.6435420555</v>
      </c>
      <c r="D493" s="22">
        <f t="shared" si="1"/>
        <v>-0.8881602038</v>
      </c>
      <c r="E493" s="22">
        <f t="shared" ref="E493:F493" si="493">IF(A493&lt;&gt;"", (B493 - B492) / B492, "")</f>
        <v>0.01776979934</v>
      </c>
      <c r="F493" s="22">
        <f t="shared" si="493"/>
        <v>0.01544500933</v>
      </c>
      <c r="H493" s="22" t="str">
        <f t="shared" si="4"/>
        <v/>
      </c>
    </row>
    <row r="494" ht="15.75" customHeight="1">
      <c r="A494" s="32">
        <f>'EQUITY BACKTEST'!A497</f>
        <v>39605.66667</v>
      </c>
      <c r="B494" s="22">
        <f>'EQUITY BACKTEST'!B497</f>
        <v>1360.68</v>
      </c>
      <c r="C494" s="22">
        <f>1/'EQUITY BACKTEST'!E497</f>
        <v>0.6338340622</v>
      </c>
      <c r="D494" s="22">
        <f t="shared" si="1"/>
        <v>-0.8809257653</v>
      </c>
      <c r="E494" s="22">
        <f t="shared" ref="E494:F494" si="494">IF(A494&lt;&gt;"", (B494 - B493) / B493, "")</f>
        <v>-0.02834944801</v>
      </c>
      <c r="F494" s="22">
        <f t="shared" si="494"/>
        <v>-0.01508525068</v>
      </c>
      <c r="H494" s="22" t="str">
        <f t="shared" si="4"/>
        <v/>
      </c>
    </row>
    <row r="495" ht="15.75" customHeight="1">
      <c r="A495" s="32">
        <f>'EQUITY BACKTEST'!A498</f>
        <v>39612.66667</v>
      </c>
      <c r="B495" s="22">
        <f>'EQUITY BACKTEST'!B498</f>
        <v>1360.03</v>
      </c>
      <c r="C495" s="22">
        <f>1/'EQUITY BACKTEST'!E498</f>
        <v>0.6502796202</v>
      </c>
      <c r="D495" s="22">
        <f t="shared" si="1"/>
        <v>-0.8711688297</v>
      </c>
      <c r="E495" s="22">
        <f t="shared" ref="E495:F495" si="495">IF(A495&lt;&gt;"", (B495 - B494) / B494, "")</f>
        <v>-0.0004777023253</v>
      </c>
      <c r="F495" s="22">
        <f t="shared" si="495"/>
        <v>0.02594615685</v>
      </c>
      <c r="H495" s="22" t="str">
        <f t="shared" si="4"/>
        <v/>
      </c>
    </row>
    <row r="496" ht="15.75" customHeight="1">
      <c r="A496" s="32">
        <f>'EQUITY BACKTEST'!A499</f>
        <v>39619.66667</v>
      </c>
      <c r="B496" s="22">
        <f>'EQUITY BACKTEST'!B499</f>
        <v>1317.93</v>
      </c>
      <c r="C496" s="22">
        <f>1/'EQUITY BACKTEST'!E499</f>
        <v>0.6401229036</v>
      </c>
      <c r="D496" s="22">
        <f t="shared" si="1"/>
        <v>-0.8622077672</v>
      </c>
      <c r="E496" s="22">
        <f t="shared" ref="E496:F496" si="496">IF(A496&lt;&gt;"", (B496 - B495) / B495, "")</f>
        <v>-0.03095519952</v>
      </c>
      <c r="F496" s="22">
        <f t="shared" si="496"/>
        <v>-0.01561899885</v>
      </c>
      <c r="H496" s="22" t="str">
        <f t="shared" si="4"/>
        <v/>
      </c>
    </row>
    <row r="497" ht="15.75" customHeight="1">
      <c r="A497" s="32">
        <f>'EQUITY BACKTEST'!A500</f>
        <v>39626.66667</v>
      </c>
      <c r="B497" s="22">
        <f>'EQUITY BACKTEST'!B500</f>
        <v>1278.38</v>
      </c>
      <c r="C497" s="22">
        <f>1/'EQUITY BACKTEST'!E500</f>
        <v>0.6350415952</v>
      </c>
      <c r="D497" s="22">
        <f t="shared" si="1"/>
        <v>-0.8492152425</v>
      </c>
      <c r="E497" s="22">
        <f t="shared" ref="E497:F497" si="497">IF(A497&lt;&gt;"", (B497 - B496) / B496, "")</f>
        <v>-0.03000918106</v>
      </c>
      <c r="F497" s="22">
        <f t="shared" si="497"/>
        <v>-0.00793801994</v>
      </c>
      <c r="H497" s="22" t="str">
        <f t="shared" si="4"/>
        <v/>
      </c>
    </row>
    <row r="498" ht="15.75" customHeight="1">
      <c r="A498" s="32">
        <f>'EQUITY BACKTEST'!A501</f>
        <v>39632.66667</v>
      </c>
      <c r="B498" s="22">
        <f>'EQUITY BACKTEST'!B501</f>
        <v>1262.9</v>
      </c>
      <c r="C498" s="22">
        <f>1/'EQUITY BACKTEST'!E501</f>
        <v>0.6366182837</v>
      </c>
      <c r="D498" s="22">
        <f t="shared" si="1"/>
        <v>-0.835073629</v>
      </c>
      <c r="E498" s="22">
        <f t="shared" ref="E498:F498" si="498">IF(A498&lt;&gt;"", (B498 - B497) / B497, "")</f>
        <v>-0.01210907555</v>
      </c>
      <c r="F498" s="22">
        <f t="shared" si="498"/>
        <v>0.002482811306</v>
      </c>
      <c r="H498" s="22" t="str">
        <f t="shared" si="4"/>
        <v/>
      </c>
    </row>
    <row r="499" ht="15.75" customHeight="1">
      <c r="A499" s="32">
        <f>'EQUITY BACKTEST'!A502</f>
        <v>39640.66667</v>
      </c>
      <c r="B499" s="22">
        <f>'EQUITY BACKTEST'!B502</f>
        <v>1239.49</v>
      </c>
      <c r="C499" s="22">
        <f>1/'EQUITY BACKTEST'!E502</f>
        <v>0.6273132175</v>
      </c>
      <c r="D499" s="22">
        <f t="shared" si="1"/>
        <v>-0.819308108</v>
      </c>
      <c r="E499" s="22">
        <f t="shared" ref="E499:F499" si="499">IF(A499&lt;&gt;"", (B499 - B498) / B498, "")</f>
        <v>-0.01853670124</v>
      </c>
      <c r="F499" s="22">
        <f t="shared" si="499"/>
        <v>-0.01461639797</v>
      </c>
      <c r="H499" s="22" t="str">
        <f t="shared" si="4"/>
        <v/>
      </c>
    </row>
    <row r="500" ht="15.75" customHeight="1">
      <c r="A500" s="32">
        <f>'EQUITY BACKTEST'!A503</f>
        <v>39647.66667</v>
      </c>
      <c r="B500" s="22">
        <f>'EQUITY BACKTEST'!B503</f>
        <v>1260.68</v>
      </c>
      <c r="C500" s="22">
        <f>1/'EQUITY BACKTEST'!E503</f>
        <v>0.6308352258</v>
      </c>
      <c r="D500" s="22">
        <f t="shared" si="1"/>
        <v>-0.8066998171</v>
      </c>
      <c r="E500" s="22">
        <f t="shared" ref="E500:F500" si="500">IF(A500&lt;&gt;"", (B500 - B499) / B499, "")</f>
        <v>0.01709574099</v>
      </c>
      <c r="F500" s="22">
        <f t="shared" si="500"/>
        <v>0.00561443351</v>
      </c>
      <c r="H500" s="22" t="str">
        <f t="shared" si="4"/>
        <v/>
      </c>
    </row>
    <row r="501" ht="15.75" customHeight="1">
      <c r="A501" s="32">
        <f>'EQUITY BACKTEST'!A504</f>
        <v>39654.66667</v>
      </c>
      <c r="B501" s="22">
        <f>'EQUITY BACKTEST'!B504</f>
        <v>1257.76</v>
      </c>
      <c r="C501" s="22">
        <f>1/'EQUITY BACKTEST'!E504</f>
        <v>0.6381213707</v>
      </c>
      <c r="D501" s="22">
        <f t="shared" si="1"/>
        <v>-0.7904765874</v>
      </c>
      <c r="E501" s="22">
        <f t="shared" ref="E501:F501" si="501">IF(A501&lt;&gt;"", (B501 - B500) / B500, "")</f>
        <v>-0.002316210299</v>
      </c>
      <c r="F501" s="22">
        <f t="shared" si="501"/>
        <v>0.01154999681</v>
      </c>
      <c r="H501" s="22" t="str">
        <f t="shared" si="4"/>
        <v/>
      </c>
    </row>
    <row r="502" ht="15.75" customHeight="1">
      <c r="A502" s="32">
        <f>'EQUITY BACKTEST'!A505</f>
        <v>39661.66667</v>
      </c>
      <c r="B502" s="22">
        <f>'EQUITY BACKTEST'!B505</f>
        <v>1260.31</v>
      </c>
      <c r="C502" s="22">
        <f>1/'EQUITY BACKTEST'!E505</f>
        <v>0.6424670736</v>
      </c>
      <c r="D502" s="22">
        <f t="shared" si="1"/>
        <v>-0.7711225035</v>
      </c>
      <c r="E502" s="22">
        <f t="shared" ref="E502:F502" si="502">IF(A502&lt;&gt;"", (B502 - B501) / B501, "")</f>
        <v>0.002027413815</v>
      </c>
      <c r="F502" s="22">
        <f t="shared" si="502"/>
        <v>0.00681015098</v>
      </c>
      <c r="H502" s="22" t="str">
        <f t="shared" si="4"/>
        <v/>
      </c>
    </row>
    <row r="503" ht="15.75" customHeight="1">
      <c r="A503" s="32">
        <f>'EQUITY BACKTEST'!A506</f>
        <v>39668.66667</v>
      </c>
      <c r="B503" s="22">
        <f>'EQUITY BACKTEST'!B506</f>
        <v>1296.32</v>
      </c>
      <c r="C503" s="22">
        <f>1/'EQUITY BACKTEST'!E506</f>
        <v>0.6646726487</v>
      </c>
      <c r="D503" s="22">
        <f t="shared" si="1"/>
        <v>-0.7500925289</v>
      </c>
      <c r="E503" s="22">
        <f t="shared" ref="E503:F503" si="503">IF(A503&lt;&gt;"", (B503 - B502) / B502, "")</f>
        <v>0.02857233538</v>
      </c>
      <c r="F503" s="22">
        <f t="shared" si="503"/>
        <v>0.03456297773</v>
      </c>
      <c r="H503" s="22" t="str">
        <f t="shared" si="4"/>
        <v/>
      </c>
    </row>
    <row r="504" ht="15.75" customHeight="1">
      <c r="A504" s="32">
        <f>'EQUITY BACKTEST'!A507</f>
        <v>39675.66667</v>
      </c>
      <c r="B504" s="22">
        <f>'EQUITY BACKTEST'!B507</f>
        <v>1298.2</v>
      </c>
      <c r="C504" s="22">
        <f>1/'EQUITY BACKTEST'!E507</f>
        <v>0.6805498843</v>
      </c>
      <c r="D504" s="22">
        <f t="shared" si="1"/>
        <v>-0.7262286985</v>
      </c>
      <c r="E504" s="22">
        <f t="shared" ref="E504:F504" si="504">IF(A504&lt;&gt;"", (B504 - B503) / B503, "")</f>
        <v>0.001450259195</v>
      </c>
      <c r="F504" s="22">
        <f t="shared" si="504"/>
        <v>0.02388730094</v>
      </c>
      <c r="H504" s="22" t="str">
        <f t="shared" si="4"/>
        <v/>
      </c>
    </row>
    <row r="505" ht="15.75" customHeight="1">
      <c r="A505" s="32">
        <f>'EQUITY BACKTEST'!A508</f>
        <v>39682.66667</v>
      </c>
      <c r="B505" s="22">
        <f>'EQUITY BACKTEST'!B508</f>
        <v>1292.2</v>
      </c>
      <c r="C505" s="22">
        <f>1/'EQUITY BACKTEST'!E508</f>
        <v>0.6756756757</v>
      </c>
      <c r="D505" s="22">
        <f t="shared" si="1"/>
        <v>-0.7108704768</v>
      </c>
      <c r="E505" s="22">
        <f t="shared" ref="E505:F505" si="505">IF(A505&lt;&gt;"", (B505 - B504) / B504, "")</f>
        <v>-0.004621784009</v>
      </c>
      <c r="F505" s="22">
        <f t="shared" si="505"/>
        <v>-0.007162162162</v>
      </c>
      <c r="H505" s="22" t="str">
        <f t="shared" si="4"/>
        <v/>
      </c>
    </row>
    <row r="506" ht="15.75" customHeight="1">
      <c r="A506" s="32">
        <f>'EQUITY BACKTEST'!A509</f>
        <v>39689.66667</v>
      </c>
      <c r="B506" s="22">
        <f>'EQUITY BACKTEST'!B509</f>
        <v>1282.83</v>
      </c>
      <c r="C506" s="22">
        <f>1/'EQUITY BACKTEST'!E509</f>
        <v>0.68189567</v>
      </c>
      <c r="D506" s="22">
        <f t="shared" si="1"/>
        <v>-0.6907847708</v>
      </c>
      <c r="E506" s="22">
        <f t="shared" ref="E506:F506" si="506">IF(A506&lt;&gt;"", (B506 - B505) / B505, "")</f>
        <v>-0.007251199505</v>
      </c>
      <c r="F506" s="22">
        <f t="shared" si="506"/>
        <v>0.009205591544</v>
      </c>
      <c r="H506" s="22" t="str">
        <f t="shared" si="4"/>
        <v/>
      </c>
    </row>
    <row r="507" ht="15.75" customHeight="1">
      <c r="A507" s="32">
        <f>'EQUITY BACKTEST'!A510</f>
        <v>39696.66667</v>
      </c>
      <c r="B507" s="22">
        <f>'EQUITY BACKTEST'!B510</f>
        <v>1242.31</v>
      </c>
      <c r="C507" s="22">
        <f>1/'EQUITY BACKTEST'!E510</f>
        <v>0.7008199594</v>
      </c>
      <c r="D507" s="22">
        <f t="shared" si="1"/>
        <v>-0.6736239198</v>
      </c>
      <c r="E507" s="22">
        <f t="shared" ref="E507:F507" si="507">IF(A507&lt;&gt;"", (B507 - B506) / B506, "")</f>
        <v>-0.03158641441</v>
      </c>
      <c r="F507" s="22">
        <f t="shared" si="507"/>
        <v>0.02775247039</v>
      </c>
      <c r="H507" s="22" t="str">
        <f t="shared" si="4"/>
        <v/>
      </c>
    </row>
    <row r="508" ht="15.75" customHeight="1">
      <c r="A508" s="32">
        <f>'EQUITY BACKTEST'!A511</f>
        <v>39703.66667</v>
      </c>
      <c r="B508" s="22">
        <f>'EQUITY BACKTEST'!B511</f>
        <v>1251.7</v>
      </c>
      <c r="C508" s="22">
        <f>1/'EQUITY BACKTEST'!E511</f>
        <v>0.7028888733</v>
      </c>
      <c r="D508" s="22">
        <f t="shared" si="1"/>
        <v>-0.6791976223</v>
      </c>
      <c r="E508" s="22">
        <f t="shared" ref="E508:F508" si="508">IF(A508&lt;&gt;"", (B508 - B507) / B507, "")</f>
        <v>0.007558499891</v>
      </c>
      <c r="F508" s="22">
        <f t="shared" si="508"/>
        <v>0.002952133268</v>
      </c>
      <c r="H508" s="22" t="str">
        <f t="shared" si="4"/>
        <v/>
      </c>
    </row>
    <row r="509" ht="15.75" customHeight="1">
      <c r="A509" s="32">
        <f>'EQUITY BACKTEST'!A512</f>
        <v>39710.66667</v>
      </c>
      <c r="B509" s="22">
        <f>'EQUITY BACKTEST'!B512</f>
        <v>1255.08</v>
      </c>
      <c r="C509" s="22">
        <f>1/'EQUITY BACKTEST'!E512</f>
        <v>0.6916585973</v>
      </c>
      <c r="D509" s="22">
        <f t="shared" si="1"/>
        <v>-0.7000561903</v>
      </c>
      <c r="E509" s="22">
        <f t="shared" ref="E509:F509" si="509">IF(A509&lt;&gt;"", (B509 - B508) / B508, "")</f>
        <v>0.002700327555</v>
      </c>
      <c r="F509" s="22">
        <f t="shared" si="509"/>
        <v>-0.0159773136</v>
      </c>
      <c r="H509" s="22" t="str">
        <f t="shared" si="4"/>
        <v/>
      </c>
    </row>
    <row r="510" ht="15.75" customHeight="1">
      <c r="A510" s="32">
        <f>'EQUITY BACKTEST'!A513</f>
        <v>39717.66667</v>
      </c>
      <c r="B510" s="22">
        <f>'EQUITY BACKTEST'!B513</f>
        <v>1213.27</v>
      </c>
      <c r="C510" s="22">
        <f>1/'EQUITY BACKTEST'!E513</f>
        <v>0.6855889209</v>
      </c>
      <c r="D510" s="22">
        <f t="shared" si="1"/>
        <v>-0.7137752062</v>
      </c>
      <c r="E510" s="22">
        <f t="shared" ref="E510:F510" si="510">IF(A510&lt;&gt;"", (B510 - B509) / B509, "")</f>
        <v>-0.03331261752</v>
      </c>
      <c r="F510" s="22">
        <f t="shared" si="510"/>
        <v>-0.008775538187</v>
      </c>
      <c r="H510" s="22" t="str">
        <f t="shared" si="4"/>
        <v/>
      </c>
    </row>
    <row r="511" ht="15.75" customHeight="1">
      <c r="A511" s="32">
        <f>'EQUITY BACKTEST'!A514</f>
        <v>39724.66667</v>
      </c>
      <c r="B511" s="22">
        <f>'EQUITY BACKTEST'!B514</f>
        <v>1099.23</v>
      </c>
      <c r="C511" s="22">
        <f>1/'EQUITY BACKTEST'!E514</f>
        <v>0.7257420713</v>
      </c>
      <c r="D511" s="22">
        <f t="shared" si="1"/>
        <v>-0.7184928163</v>
      </c>
      <c r="E511" s="22">
        <f t="shared" ref="E511:F511" si="511">IF(A511&lt;&gt;"", (B511 - B510) / B510, "")</f>
        <v>-0.09399391726</v>
      </c>
      <c r="F511" s="22">
        <f t="shared" si="511"/>
        <v>0.05856738515</v>
      </c>
      <c r="H511" s="22" t="str">
        <f t="shared" si="4"/>
        <v/>
      </c>
    </row>
    <row r="512" ht="15.75" customHeight="1">
      <c r="A512" s="32">
        <f>'EQUITY BACKTEST'!A515</f>
        <v>39731.66667</v>
      </c>
      <c r="B512" s="22">
        <f>'EQUITY BACKTEST'!B515</f>
        <v>899.22</v>
      </c>
      <c r="C512" s="22">
        <f>1/'EQUITY BACKTEST'!E515</f>
        <v>0.7466029565</v>
      </c>
      <c r="D512" s="22">
        <f t="shared" si="1"/>
        <v>-0.754770172</v>
      </c>
      <c r="E512" s="22">
        <f t="shared" ref="E512:F512" si="512">IF(A512&lt;&gt;"", (B512 - B511) / B511, "")</f>
        <v>-0.181954641</v>
      </c>
      <c r="F512" s="22">
        <f t="shared" si="512"/>
        <v>0.02874421383</v>
      </c>
      <c r="H512" s="22" t="str">
        <f t="shared" si="4"/>
        <v>Crash</v>
      </c>
    </row>
    <row r="513" ht="15.75" customHeight="1">
      <c r="A513" s="32">
        <f>'EQUITY BACKTEST'!A516</f>
        <v>39738.66667</v>
      </c>
      <c r="B513" s="22">
        <f>'EQUITY BACKTEST'!B516</f>
        <v>940.55</v>
      </c>
      <c r="C513" s="22">
        <f>1/'EQUITY BACKTEST'!E516</f>
        <v>0.7458790184</v>
      </c>
      <c r="D513" s="22">
        <f t="shared" si="1"/>
        <v>-0.7714753179</v>
      </c>
      <c r="E513" s="22">
        <f t="shared" ref="E513:F513" si="513">IF(A513&lt;&gt;"", (B513 - B512) / B512, "")</f>
        <v>0.045962056</v>
      </c>
      <c r="F513" s="22">
        <f t="shared" si="513"/>
        <v>-0.000969642724</v>
      </c>
      <c r="H513" s="22" t="str">
        <f t="shared" si="4"/>
        <v/>
      </c>
    </row>
    <row r="514" ht="15.75" customHeight="1">
      <c r="A514" s="32">
        <f>'EQUITY BACKTEST'!A517</f>
        <v>39745.66667</v>
      </c>
      <c r="B514" s="22">
        <f>'EQUITY BACKTEST'!B517</f>
        <v>876.77</v>
      </c>
      <c r="C514" s="22">
        <f>1/'EQUITY BACKTEST'!E517</f>
        <v>0.7922674695</v>
      </c>
      <c r="D514" s="22">
        <f t="shared" si="1"/>
        <v>-0.7891512283</v>
      </c>
      <c r="E514" s="22">
        <f t="shared" ref="E514:F514" si="514">IF(A514&lt;&gt;"", (B514 - B513) / B513, "")</f>
        <v>-0.06781138695</v>
      </c>
      <c r="F514" s="22">
        <f t="shared" si="514"/>
        <v>0.06219299636</v>
      </c>
      <c r="H514" s="22" t="str">
        <f t="shared" si="4"/>
        <v/>
      </c>
    </row>
    <row r="515" ht="15.75" customHeight="1">
      <c r="A515" s="32">
        <f>'EQUITY BACKTEST'!A518</f>
        <v>39752.66667</v>
      </c>
      <c r="B515" s="22">
        <f>'EQUITY BACKTEST'!B518</f>
        <v>968.75</v>
      </c>
      <c r="C515" s="22">
        <f>1/'EQUITY BACKTEST'!E518</f>
        <v>0.787835815</v>
      </c>
      <c r="D515" s="22">
        <f t="shared" si="1"/>
        <v>-0.8042807552</v>
      </c>
      <c r="E515" s="22">
        <f t="shared" ref="E515:F515" si="515">IF(A515&lt;&gt;"", (B515 - B514) / B514, "")</f>
        <v>0.1049077865</v>
      </c>
      <c r="F515" s="22">
        <f t="shared" si="515"/>
        <v>-0.005593634287</v>
      </c>
      <c r="H515" s="22" t="str">
        <f t="shared" si="4"/>
        <v/>
      </c>
    </row>
    <row r="516" ht="15.75" customHeight="1">
      <c r="A516" s="32">
        <f>'EQUITY BACKTEST'!A519</f>
        <v>39759.66667</v>
      </c>
      <c r="B516" s="22">
        <f>'EQUITY BACKTEST'!B519</f>
        <v>930.99</v>
      </c>
      <c r="C516" s="22">
        <f>1/'EQUITY BACKTEST'!E519</f>
        <v>0.7868439688</v>
      </c>
      <c r="D516" s="22">
        <f t="shared" si="1"/>
        <v>-0.8478483263</v>
      </c>
      <c r="E516" s="22">
        <f t="shared" ref="E516:F516" si="516">IF(A516&lt;&gt;"", (B516 - B515) / B515, "")</f>
        <v>-0.03897806452</v>
      </c>
      <c r="F516" s="22">
        <f t="shared" si="516"/>
        <v>-0.00125895035</v>
      </c>
      <c r="H516" s="22" t="str">
        <f t="shared" si="4"/>
        <v/>
      </c>
    </row>
    <row r="517" ht="15.75" customHeight="1">
      <c r="A517" s="32">
        <f>'EQUITY BACKTEST'!A520</f>
        <v>39766.66667</v>
      </c>
      <c r="B517" s="22">
        <f>'EQUITY BACKTEST'!B520</f>
        <v>873.29</v>
      </c>
      <c r="C517" s="22">
        <f>1/'EQUITY BACKTEST'!E520</f>
        <v>0.7940919558</v>
      </c>
      <c r="D517" s="22">
        <f t="shared" si="1"/>
        <v>-0.8772082304</v>
      </c>
      <c r="E517" s="22">
        <f t="shared" ref="E517:F517" si="517">IF(A517&lt;&gt;"", (B517 - B516) / B516, "")</f>
        <v>-0.0619770352</v>
      </c>
      <c r="F517" s="22">
        <f t="shared" si="517"/>
        <v>0.009211466688</v>
      </c>
      <c r="H517" s="22" t="str">
        <f t="shared" si="4"/>
        <v/>
      </c>
    </row>
    <row r="518" ht="15.75" customHeight="1">
      <c r="A518" s="32">
        <f>'EQUITY BACKTEST'!A521</f>
        <v>39773.66667</v>
      </c>
      <c r="B518" s="22">
        <f>'EQUITY BACKTEST'!B521</f>
        <v>800.03</v>
      </c>
      <c r="C518" s="22">
        <f>1/'EQUITY BACKTEST'!E521</f>
        <v>0.7946598856</v>
      </c>
      <c r="D518" s="22">
        <f t="shared" si="1"/>
        <v>-0.894009932</v>
      </c>
      <c r="E518" s="22">
        <f t="shared" ref="E518:F518" si="518">IF(A518&lt;&gt;"", (B518 - B517) / B517, "")</f>
        <v>-0.08388965865</v>
      </c>
      <c r="F518" s="22">
        <f t="shared" si="518"/>
        <v>0.000715193897</v>
      </c>
      <c r="H518" s="22" t="str">
        <f t="shared" si="4"/>
        <v/>
      </c>
    </row>
    <row r="519" ht="15.75" customHeight="1">
      <c r="A519" s="32">
        <f>'EQUITY BACKTEST'!A522</f>
        <v>39780.66667</v>
      </c>
      <c r="B519" s="22">
        <f>'EQUITY BACKTEST'!B522</f>
        <v>896.24</v>
      </c>
      <c r="C519" s="22">
        <f>1/'EQUITY BACKTEST'!E522</f>
        <v>0.787835815</v>
      </c>
      <c r="D519" s="22">
        <f t="shared" si="1"/>
        <v>-0.8977011551</v>
      </c>
      <c r="E519" s="22">
        <f t="shared" ref="E519:F519" si="519">IF(A519&lt;&gt;"", (B519 - B518) / B518, "")</f>
        <v>0.1202579903</v>
      </c>
      <c r="F519" s="22">
        <f t="shared" si="519"/>
        <v>-0.008587410384</v>
      </c>
      <c r="H519" s="22" t="str">
        <f t="shared" si="4"/>
        <v/>
      </c>
    </row>
    <row r="520" ht="15.75" customHeight="1">
      <c r="A520" s="32">
        <f>'EQUITY BACKTEST'!A523</f>
        <v>39787.66667</v>
      </c>
      <c r="B520" s="22">
        <f>'EQUITY BACKTEST'!B523</f>
        <v>876.07</v>
      </c>
      <c r="C520" s="22">
        <f>1/'EQUITY BACKTEST'!E523</f>
        <v>0.7864726701</v>
      </c>
      <c r="D520" s="22">
        <f t="shared" si="1"/>
        <v>-0.916997477</v>
      </c>
      <c r="E520" s="22">
        <f t="shared" ref="E520:F520" si="520">IF(A520&lt;&gt;"", (B520 - B519) / B519, "")</f>
        <v>-0.02250513255</v>
      </c>
      <c r="F520" s="22">
        <f t="shared" si="520"/>
        <v>-0.001730239874</v>
      </c>
      <c r="H520" s="22" t="str">
        <f t="shared" si="4"/>
        <v/>
      </c>
    </row>
    <row r="521" ht="15.75" customHeight="1">
      <c r="A521" s="32">
        <f>'EQUITY BACKTEST'!A524</f>
        <v>39794.66667</v>
      </c>
      <c r="B521" s="22">
        <f>'EQUITY BACKTEST'!B524</f>
        <v>879.73</v>
      </c>
      <c r="C521" s="22">
        <f>1/'EQUITY BACKTEST'!E524</f>
        <v>0.7491759065</v>
      </c>
      <c r="D521" s="22">
        <f t="shared" si="1"/>
        <v>-0.9283255861</v>
      </c>
      <c r="E521" s="22">
        <f t="shared" ref="E521:F521" si="521">IF(A521&lt;&gt;"", (B521 - B520) / B520, "")</f>
        <v>0.004177748353</v>
      </c>
      <c r="F521" s="22">
        <f t="shared" si="521"/>
        <v>-0.04742283488</v>
      </c>
      <c r="H521" s="22" t="str">
        <f t="shared" si="4"/>
        <v/>
      </c>
    </row>
    <row r="522" ht="15.75" customHeight="1">
      <c r="A522" s="32">
        <f>'EQUITY BACKTEST'!A525</f>
        <v>39801.66667</v>
      </c>
      <c r="B522" s="22">
        <f>'EQUITY BACKTEST'!B525</f>
        <v>887.88</v>
      </c>
      <c r="C522" s="22">
        <f>1/'EQUITY BACKTEST'!E525</f>
        <v>0.7183391998</v>
      </c>
      <c r="D522" s="22">
        <f t="shared" si="1"/>
        <v>-0.9228692848</v>
      </c>
      <c r="E522" s="22">
        <f t="shared" ref="E522:F522" si="522">IF(A522&lt;&gt;"", (B522 - B521) / B521, "")</f>
        <v>0.009264206063</v>
      </c>
      <c r="F522" s="22">
        <f t="shared" si="522"/>
        <v>-0.04116083615</v>
      </c>
      <c r="H522" s="22" t="str">
        <f t="shared" si="4"/>
        <v/>
      </c>
    </row>
    <row r="523" ht="15.75" customHeight="1">
      <c r="A523" s="32">
        <f>'EQUITY BACKTEST'!A526</f>
        <v>39808.66667</v>
      </c>
      <c r="B523" s="22">
        <f>'EQUITY BACKTEST'!B526</f>
        <v>872.8</v>
      </c>
      <c r="C523" s="22">
        <f>1/'EQUITY BACKTEST'!E526</f>
        <v>0.7131141696</v>
      </c>
      <c r="D523" s="22">
        <f t="shared" si="1"/>
        <v>-0.9181140667</v>
      </c>
      <c r="E523" s="22">
        <f t="shared" ref="E523:F523" si="523">IF(A523&lt;&gt;"", (B523 - B522) / B522, "")</f>
        <v>-0.01698427715</v>
      </c>
      <c r="F523" s="22">
        <f t="shared" si="523"/>
        <v>-0.00727376453</v>
      </c>
      <c r="H523" s="22" t="str">
        <f t="shared" si="4"/>
        <v/>
      </c>
    </row>
    <row r="524" ht="15.75" customHeight="1">
      <c r="A524" s="32">
        <f>'EQUITY BACKTEST'!A527</f>
        <v>39815.66667</v>
      </c>
      <c r="B524" s="22">
        <f>'EQUITY BACKTEST'!B527</f>
        <v>931.8</v>
      </c>
      <c r="C524" s="22">
        <f>1/'EQUITY BACKTEST'!E527</f>
        <v>0.7184940365</v>
      </c>
      <c r="D524" s="22">
        <f t="shared" si="1"/>
        <v>-0.9171646523</v>
      </c>
      <c r="E524" s="22">
        <f t="shared" ref="E524:F524" si="524">IF(A524&lt;&gt;"", (B524 - B523) / B523, "")</f>
        <v>0.06759853346</v>
      </c>
      <c r="F524" s="22">
        <f t="shared" si="524"/>
        <v>0.007544187383</v>
      </c>
      <c r="H524" s="22" t="str">
        <f t="shared" si="4"/>
        <v/>
      </c>
    </row>
    <row r="525" ht="15.75" customHeight="1">
      <c r="A525" s="32">
        <f>'EQUITY BACKTEST'!A528</f>
        <v>39822.66667</v>
      </c>
      <c r="B525" s="22">
        <f>'EQUITY BACKTEST'!B528</f>
        <v>890.35</v>
      </c>
      <c r="C525" s="22">
        <f>1/'EQUITY BACKTEST'!E528</f>
        <v>0.7433838834</v>
      </c>
      <c r="D525" s="22">
        <f t="shared" si="1"/>
        <v>-0.9103808525</v>
      </c>
      <c r="E525" s="22">
        <f t="shared" ref="E525:F525" si="525">IF(A525&lt;&gt;"", (B525 - B524) / B524, "")</f>
        <v>-0.04448379481</v>
      </c>
      <c r="F525" s="22">
        <f t="shared" si="525"/>
        <v>0.03464168897</v>
      </c>
      <c r="H525" s="22" t="str">
        <f t="shared" si="4"/>
        <v/>
      </c>
    </row>
    <row r="526" ht="15.75" customHeight="1">
      <c r="A526" s="32">
        <f>'EQUITY BACKTEST'!A529</f>
        <v>39829.66667</v>
      </c>
      <c r="B526" s="22">
        <f>'EQUITY BACKTEST'!B529</f>
        <v>850.12</v>
      </c>
      <c r="C526" s="22">
        <f>1/'EQUITY BACKTEST'!E529</f>
        <v>0.7526153383</v>
      </c>
      <c r="D526" s="22">
        <f t="shared" si="1"/>
        <v>-0.9045550981</v>
      </c>
      <c r="E526" s="22">
        <f t="shared" ref="E526:F526" si="526">IF(A526&lt;&gt;"", (B526 - B525) / B525, "")</f>
        <v>-0.04518447801</v>
      </c>
      <c r="F526" s="22">
        <f t="shared" si="526"/>
        <v>0.01241815308</v>
      </c>
      <c r="H526" s="22" t="str">
        <f t="shared" si="4"/>
        <v/>
      </c>
    </row>
    <row r="527" ht="15.75" customHeight="1">
      <c r="A527" s="32">
        <f>'EQUITY BACKTEST'!A530</f>
        <v>39836.66667</v>
      </c>
      <c r="B527" s="22">
        <f>'EQUITY BACKTEST'!B530</f>
        <v>831.95</v>
      </c>
      <c r="C527" s="22">
        <f>1/'EQUITY BACKTEST'!E530</f>
        <v>0.771307366</v>
      </c>
      <c r="D527" s="22">
        <f t="shared" si="1"/>
        <v>-0.8948009529</v>
      </c>
      <c r="E527" s="22">
        <f t="shared" ref="E527:F527" si="527">IF(A527&lt;&gt;"", (B527 - B526) / B526, "")</f>
        <v>-0.02137345316</v>
      </c>
      <c r="F527" s="22">
        <f t="shared" si="527"/>
        <v>0.02483609718</v>
      </c>
      <c r="H527" s="22" t="str">
        <f t="shared" si="4"/>
        <v/>
      </c>
    </row>
    <row r="528" ht="15.75" customHeight="1">
      <c r="A528" s="32">
        <f>'EQUITY BACKTEST'!A531</f>
        <v>39843.66667</v>
      </c>
      <c r="B528" s="22">
        <f>'EQUITY BACKTEST'!B531</f>
        <v>825.88</v>
      </c>
      <c r="C528" s="22">
        <f>1/'EQUITY BACKTEST'!E531</f>
        <v>0.7792410192</v>
      </c>
      <c r="D528" s="22">
        <f t="shared" si="1"/>
        <v>-0.8830794718</v>
      </c>
      <c r="E528" s="22">
        <f t="shared" ref="E528:F528" si="528">IF(A528&lt;&gt;"", (B528 - B527) / B527, "")</f>
        <v>-0.007296111545</v>
      </c>
      <c r="F528" s="22">
        <f t="shared" si="528"/>
        <v>0.01028598145</v>
      </c>
      <c r="H528" s="22" t="str">
        <f t="shared" si="4"/>
        <v/>
      </c>
    </row>
    <row r="529" ht="15.75" customHeight="1">
      <c r="A529" s="32">
        <f>'EQUITY BACKTEST'!A532</f>
        <v>39850.66667</v>
      </c>
      <c r="B529" s="22">
        <f>'EQUITY BACKTEST'!B532</f>
        <v>868.6</v>
      </c>
      <c r="C529" s="22">
        <f>1/'EQUITY BACKTEST'!E532</f>
        <v>0.7738740133</v>
      </c>
      <c r="D529" s="22">
        <f t="shared" si="1"/>
        <v>-0.8641785674</v>
      </c>
      <c r="E529" s="22">
        <f t="shared" ref="E529:F529" si="529">IF(A529&lt;&gt;"", (B529 - B528) / B528, "")</f>
        <v>0.0517266431</v>
      </c>
      <c r="F529" s="22">
        <f t="shared" si="529"/>
        <v>-0.006887478718</v>
      </c>
      <c r="H529" s="22" t="str">
        <f t="shared" si="4"/>
        <v/>
      </c>
    </row>
    <row r="530" ht="15.75" customHeight="1">
      <c r="A530" s="32">
        <f>'EQUITY BACKTEST'!A533</f>
        <v>39857.66667</v>
      </c>
      <c r="B530" s="22">
        <f>'EQUITY BACKTEST'!B533</f>
        <v>826.84</v>
      </c>
      <c r="C530" s="22">
        <f>1/'EQUITY BACKTEST'!E533</f>
        <v>0.7774840616</v>
      </c>
      <c r="D530" s="22">
        <f t="shared" si="1"/>
        <v>-0.8476882864</v>
      </c>
      <c r="E530" s="22">
        <f t="shared" ref="E530:F530" si="530">IF(A530&lt;&gt;"", (B530 - B529) / B529, "")</f>
        <v>-0.04807736588</v>
      </c>
      <c r="F530" s="22">
        <f t="shared" si="530"/>
        <v>0.004664904369</v>
      </c>
      <c r="H530" s="22" t="str">
        <f t="shared" si="4"/>
        <v/>
      </c>
    </row>
    <row r="531" ht="15.75" customHeight="1">
      <c r="A531" s="32">
        <f>'EQUITY BACKTEST'!A534</f>
        <v>39864.66667</v>
      </c>
      <c r="B531" s="22">
        <f>'EQUITY BACKTEST'!B534</f>
        <v>770.05</v>
      </c>
      <c r="C531" s="22">
        <f>1/'EQUITY BACKTEST'!E534</f>
        <v>0.7734550236</v>
      </c>
      <c r="D531" s="22">
        <f t="shared" si="1"/>
        <v>-0.8128667424</v>
      </c>
      <c r="E531" s="22">
        <f t="shared" ref="E531:F531" si="531">IF(A531&lt;&gt;"", (B531 - B530) / B530, "")</f>
        <v>-0.06868317933</v>
      </c>
      <c r="F531" s="22">
        <f t="shared" si="531"/>
        <v>-0.005182148658</v>
      </c>
      <c r="H531" s="22" t="str">
        <f t="shared" si="4"/>
        <v/>
      </c>
    </row>
    <row r="532" ht="15.75" customHeight="1">
      <c r="A532" s="32">
        <f>'EQUITY BACKTEST'!A535</f>
        <v>39871.66667</v>
      </c>
      <c r="B532" s="22">
        <f>'EQUITY BACKTEST'!B535</f>
        <v>735.09</v>
      </c>
      <c r="C532" s="22">
        <f>1/'EQUITY BACKTEST'!E535</f>
        <v>0.7888923951</v>
      </c>
      <c r="D532" s="22">
        <f t="shared" si="1"/>
        <v>-0.7766645369</v>
      </c>
      <c r="E532" s="22">
        <f t="shared" ref="E532:F532" si="532">IF(A532&lt;&gt;"", (B532 - B531) / B531, "")</f>
        <v>-0.04539964937</v>
      </c>
      <c r="F532" s="22">
        <f t="shared" si="532"/>
        <v>0.0199589776</v>
      </c>
      <c r="H532" s="22" t="str">
        <f t="shared" si="4"/>
        <v/>
      </c>
    </row>
    <row r="533" ht="15.75" customHeight="1">
      <c r="A533" s="32">
        <f>'EQUITY BACKTEST'!A536</f>
        <v>39878.66667</v>
      </c>
      <c r="B533" s="22">
        <f>'EQUITY BACKTEST'!B536</f>
        <v>683.38</v>
      </c>
      <c r="C533" s="22">
        <f>1/'EQUITY BACKTEST'!E536</f>
        <v>0.791452315</v>
      </c>
      <c r="D533" s="22">
        <f t="shared" si="1"/>
        <v>-0.7153335929</v>
      </c>
      <c r="E533" s="22">
        <f t="shared" ref="E533:F533" si="533">IF(A533&lt;&gt;"", (B533 - B532) / B532, "")</f>
        <v>-0.07034512781</v>
      </c>
      <c r="F533" s="22">
        <f t="shared" si="533"/>
        <v>0.003244954491</v>
      </c>
      <c r="H533" s="22" t="str">
        <f t="shared" si="4"/>
        <v/>
      </c>
    </row>
    <row r="534" ht="15.75" customHeight="1">
      <c r="A534" s="32">
        <f>'EQUITY BACKTEST'!A537</f>
        <v>39885.66667</v>
      </c>
      <c r="B534" s="22">
        <f>'EQUITY BACKTEST'!B537</f>
        <v>756.55</v>
      </c>
      <c r="C534" s="22">
        <f>1/'EQUITY BACKTEST'!E537</f>
        <v>0.7735746886</v>
      </c>
      <c r="D534" s="22">
        <f t="shared" si="1"/>
        <v>-0.6362412981</v>
      </c>
      <c r="E534" s="22">
        <f t="shared" ref="E534:F534" si="534">IF(A534&lt;&gt;"", (B534 - B533) / B533, "")</f>
        <v>0.1070707366</v>
      </c>
      <c r="F534" s="22">
        <f t="shared" si="534"/>
        <v>-0.02258838091</v>
      </c>
      <c r="H534" s="22" t="str">
        <f t="shared" si="4"/>
        <v/>
      </c>
    </row>
    <row r="535" ht="15.75" customHeight="1">
      <c r="A535" s="32">
        <f>'EQUITY BACKTEST'!A538</f>
        <v>39892.66667</v>
      </c>
      <c r="B535" s="22">
        <f>'EQUITY BACKTEST'!B538</f>
        <v>768.54</v>
      </c>
      <c r="C535" s="22">
        <f>1/'EQUITY BACKTEST'!E538</f>
        <v>0.7364312541</v>
      </c>
      <c r="D535" s="22">
        <f t="shared" si="1"/>
        <v>-0.5426030874</v>
      </c>
      <c r="E535" s="22">
        <f t="shared" ref="E535:F535" si="535">IF(A535&lt;&gt;"", (B535 - B534) / B534, "")</f>
        <v>0.01584825854</v>
      </c>
      <c r="F535" s="22">
        <f t="shared" si="535"/>
        <v>-0.04801531777</v>
      </c>
      <c r="H535" s="22" t="str">
        <f t="shared" si="4"/>
        <v/>
      </c>
      <c r="I535" s="22">
        <f>B534/B528-1</f>
        <v>-0.08394682036</v>
      </c>
      <c r="K535" s="22">
        <f>C534/C528-1</f>
        <v>-0.007271602073</v>
      </c>
    </row>
    <row r="536" ht="15.75" customHeight="1">
      <c r="A536" s="32">
        <f>'EQUITY BACKTEST'!A539</f>
        <v>39899.66667</v>
      </c>
      <c r="B536" s="22">
        <f>'EQUITY BACKTEST'!B539</f>
        <v>815.94</v>
      </c>
      <c r="C536" s="22">
        <f>1/'EQUITY BACKTEST'!E539</f>
        <v>0.7525020694</v>
      </c>
      <c r="D536" s="22">
        <f t="shared" si="1"/>
        <v>-0.4683182698</v>
      </c>
      <c r="E536" s="22">
        <f t="shared" ref="E536:F536" si="536">IF(A536&lt;&gt;"", (B536 - B535) / B535, "")</f>
        <v>0.0616753845</v>
      </c>
      <c r="F536" s="22">
        <f t="shared" si="536"/>
        <v>0.02182256001</v>
      </c>
      <c r="H536" s="22" t="str">
        <f t="shared" si="4"/>
        <v/>
      </c>
    </row>
    <row r="537" ht="15.75" customHeight="1">
      <c r="A537" s="32">
        <f>'EQUITY BACKTEST'!A540</f>
        <v>39906.66667</v>
      </c>
      <c r="B537" s="22">
        <f>'EQUITY BACKTEST'!B540</f>
        <v>842.5</v>
      </c>
      <c r="C537" s="22">
        <f>1/'EQUITY BACKTEST'!E540</f>
        <v>0.7415097138</v>
      </c>
      <c r="D537" s="22">
        <f t="shared" si="1"/>
        <v>-0.3798796002</v>
      </c>
      <c r="E537" s="22">
        <f t="shared" ref="E537:F537" si="537">IF(A537&lt;&gt;"", (B537 - B536) / B536, "")</f>
        <v>0.03255141309</v>
      </c>
      <c r="F537" s="22">
        <f t="shared" si="537"/>
        <v>-0.01460774136</v>
      </c>
      <c r="H537" s="22" t="str">
        <f t="shared" si="4"/>
        <v/>
      </c>
    </row>
    <row r="538" ht="15.75" customHeight="1">
      <c r="A538" s="32">
        <f>'EQUITY BACKTEST'!A541</f>
        <v>39912.66667</v>
      </c>
      <c r="B538" s="22">
        <f>'EQUITY BACKTEST'!B541</f>
        <v>856.56</v>
      </c>
      <c r="C538" s="22">
        <f>1/'EQUITY BACKTEST'!E541</f>
        <v>0.7591285205</v>
      </c>
      <c r="D538" s="22">
        <f t="shared" si="1"/>
        <v>-0.2987242319</v>
      </c>
      <c r="E538" s="22">
        <f t="shared" ref="E538:F538" si="538">IF(A538&lt;&gt;"", (B538 - B537) / B537, "")</f>
        <v>0.0166884273</v>
      </c>
      <c r="F538" s="22">
        <f t="shared" si="538"/>
        <v>0.02376072269</v>
      </c>
      <c r="H538" s="22" t="str">
        <f t="shared" si="4"/>
        <v/>
      </c>
    </row>
    <row r="539" ht="15.75" customHeight="1">
      <c r="A539" s="32">
        <f>'EQUITY BACKTEST'!A542</f>
        <v>39920.66667</v>
      </c>
      <c r="B539" s="22">
        <f>'EQUITY BACKTEST'!B542</f>
        <v>869.6</v>
      </c>
      <c r="C539" s="22">
        <f>1/'EQUITY BACKTEST'!E542</f>
        <v>0.7668711656</v>
      </c>
      <c r="D539" s="22">
        <f t="shared" si="1"/>
        <v>-0.1982693853</v>
      </c>
      <c r="E539" s="22">
        <f t="shared" ref="E539:F539" si="539">IF(A539&lt;&gt;"", (B539 - B538) / B538, "")</f>
        <v>0.01522368544</v>
      </c>
      <c r="F539" s="22">
        <f t="shared" si="539"/>
        <v>0.0101993865</v>
      </c>
      <c r="H539" s="22" t="str">
        <f t="shared" si="4"/>
        <v/>
      </c>
    </row>
    <row r="540" ht="15.75" customHeight="1">
      <c r="A540" s="32">
        <f>'EQUITY BACKTEST'!A543</f>
        <v>39927.66667</v>
      </c>
      <c r="B540" s="22">
        <f>'EQUITY BACKTEST'!B543</f>
        <v>866.23</v>
      </c>
      <c r="C540" s="22">
        <f>1/'EQUITY BACKTEST'!E543</f>
        <v>0.7544322897</v>
      </c>
      <c r="D540" s="22">
        <f t="shared" si="1"/>
        <v>-0.06985712434</v>
      </c>
      <c r="E540" s="22">
        <f t="shared" ref="E540:F540" si="540">IF(A540&lt;&gt;"", (B540 - B539) / B539, "")</f>
        <v>-0.003875344986</v>
      </c>
      <c r="F540" s="22">
        <f t="shared" si="540"/>
        <v>-0.01622029423</v>
      </c>
      <c r="H540" s="22" t="str">
        <f t="shared" si="4"/>
        <v/>
      </c>
    </row>
    <row r="541" ht="15.75" customHeight="1">
      <c r="A541" s="32">
        <f>'EQUITY BACKTEST'!A544</f>
        <v>39934.66667</v>
      </c>
      <c r="B541" s="22">
        <f>'EQUITY BACKTEST'!B544</f>
        <v>877.52</v>
      </c>
      <c r="C541" s="22">
        <f>1/'EQUITY BACKTEST'!E544</f>
        <v>0.7540909434</v>
      </c>
      <c r="D541" s="22">
        <f t="shared" si="1"/>
        <v>0.0453703322</v>
      </c>
      <c r="E541" s="22">
        <f t="shared" ref="E541:F541" si="541">IF(A541&lt;&gt;"", (B541 - B540) / B540, "")</f>
        <v>0.01303348995</v>
      </c>
      <c r="F541" s="22">
        <f t="shared" si="541"/>
        <v>-0.000452454566</v>
      </c>
      <c r="H541" s="22" t="str">
        <f t="shared" si="4"/>
        <v/>
      </c>
    </row>
    <row r="542" ht="15.75" customHeight="1">
      <c r="A542" s="32">
        <f>'EQUITY BACKTEST'!A545</f>
        <v>39941.66667</v>
      </c>
      <c r="B542" s="22">
        <f>'EQUITY BACKTEST'!B545</f>
        <v>929.23</v>
      </c>
      <c r="C542" s="22">
        <f>1/'EQUITY BACKTEST'!E545</f>
        <v>0.7332991127</v>
      </c>
      <c r="D542" s="22">
        <f t="shared" si="1"/>
        <v>0.1424265024</v>
      </c>
      <c r="E542" s="22">
        <f t="shared" ref="E542:F542" si="542">IF(A542&lt;&gt;"", (B542 - B541) / B541, "")</f>
        <v>0.05892743185</v>
      </c>
      <c r="F542" s="22">
        <f t="shared" si="542"/>
        <v>-0.02757204664</v>
      </c>
      <c r="H542" s="22" t="str">
        <f t="shared" si="4"/>
        <v/>
      </c>
    </row>
    <row r="543" ht="15.75" customHeight="1">
      <c r="A543" s="32">
        <f>'EQUITY BACKTEST'!A546</f>
        <v>39948.66667</v>
      </c>
      <c r="B543" s="22">
        <f>'EQUITY BACKTEST'!B546</f>
        <v>882.88</v>
      </c>
      <c r="C543" s="22">
        <f>1/'EQUITY BACKTEST'!E546</f>
        <v>0.7407956145</v>
      </c>
      <c r="D543" s="22">
        <f t="shared" si="1"/>
        <v>0.2057351527</v>
      </c>
      <c r="E543" s="22">
        <f t="shared" ref="E543:F543" si="543">IF(A543&lt;&gt;"", (B543 - B542) / B542, "")</f>
        <v>-0.04988000818</v>
      </c>
      <c r="F543" s="22">
        <f t="shared" si="543"/>
        <v>0.01022297948</v>
      </c>
      <c r="H543" s="22" t="str">
        <f t="shared" si="4"/>
        <v/>
      </c>
    </row>
    <row r="544" ht="15.75" customHeight="1">
      <c r="A544" s="32">
        <f>'EQUITY BACKTEST'!A547</f>
        <v>39955.66667</v>
      </c>
      <c r="B544" s="22">
        <f>'EQUITY BACKTEST'!B547</f>
        <v>887</v>
      </c>
      <c r="C544" s="22">
        <f>1/'EQUITY BACKTEST'!E547</f>
        <v>0.7142857143</v>
      </c>
      <c r="D544" s="22">
        <f t="shared" si="1"/>
        <v>0.253378663</v>
      </c>
      <c r="E544" s="22">
        <f t="shared" ref="E544:F544" si="544">IF(A544&lt;&gt;"", (B544 - B543) / B543, "")</f>
        <v>0.00466654585</v>
      </c>
      <c r="F544" s="22">
        <f t="shared" si="544"/>
        <v>-0.03578571429</v>
      </c>
      <c r="H544" s="22" t="str">
        <f t="shared" si="4"/>
        <v/>
      </c>
    </row>
    <row r="545" ht="15.75" customHeight="1">
      <c r="A545" s="32">
        <f>'EQUITY BACKTEST'!A548</f>
        <v>39962.66667</v>
      </c>
      <c r="B545" s="22">
        <f>'EQUITY BACKTEST'!B548</f>
        <v>919.14</v>
      </c>
      <c r="C545" s="22">
        <f>1/'EQUITY BACKTEST'!E548</f>
        <v>0.7065140596</v>
      </c>
      <c r="D545" s="22">
        <f t="shared" si="1"/>
        <v>0.260998382</v>
      </c>
      <c r="E545" s="22">
        <f t="shared" ref="E545:F545" si="545">IF(A545&lt;&gt;"", (B545 - B544) / B544, "")</f>
        <v>0.03623449831</v>
      </c>
      <c r="F545" s="22">
        <f t="shared" si="545"/>
        <v>-0.01088031652</v>
      </c>
      <c r="H545" s="22" t="str">
        <f t="shared" si="4"/>
        <v/>
      </c>
    </row>
    <row r="546" ht="15.75" customHeight="1">
      <c r="A546" s="32">
        <f>'EQUITY BACKTEST'!A549</f>
        <v>39969.66667</v>
      </c>
      <c r="B546" s="22">
        <f>'EQUITY BACKTEST'!B549</f>
        <v>940.09</v>
      </c>
      <c r="C546" s="22">
        <f>1/'EQUITY BACKTEST'!E549</f>
        <v>0.7158708569</v>
      </c>
      <c r="D546" s="22">
        <f t="shared" si="1"/>
        <v>0.2322607304</v>
      </c>
      <c r="E546" s="22">
        <f t="shared" ref="E546:F546" si="546">IF(A546&lt;&gt;"", (B546 - B545) / B545, "")</f>
        <v>0.02279304567</v>
      </c>
      <c r="F546" s="22">
        <f t="shared" si="546"/>
        <v>0.01324361085</v>
      </c>
      <c r="H546" s="22" t="str">
        <f t="shared" si="4"/>
        <v/>
      </c>
    </row>
    <row r="547" ht="15.75" customHeight="1">
      <c r="A547" s="32">
        <f>'EQUITY BACKTEST'!A550</f>
        <v>39976.66667</v>
      </c>
      <c r="B547" s="22">
        <f>'EQUITY BACKTEST'!B550</f>
        <v>946.21</v>
      </c>
      <c r="C547" s="22">
        <f>1/'EQUITY BACKTEST'!E550</f>
        <v>0.7142857143</v>
      </c>
      <c r="D547" s="22">
        <f t="shared" si="1"/>
        <v>0.2337065386</v>
      </c>
      <c r="E547" s="22">
        <f t="shared" ref="E547:F547" si="547">IF(A547&lt;&gt;"", (B547 - B546) / B546, "")</f>
        <v>0.006510014999</v>
      </c>
      <c r="F547" s="22">
        <f t="shared" si="547"/>
        <v>-0.002214285714</v>
      </c>
      <c r="H547" s="22" t="str">
        <f t="shared" si="4"/>
        <v/>
      </c>
    </row>
    <row r="548" ht="15.75" customHeight="1">
      <c r="A548" s="32">
        <f>'EQUITY BACKTEST'!A551</f>
        <v>39983.66667</v>
      </c>
      <c r="B548" s="22">
        <f>'EQUITY BACKTEST'!B551</f>
        <v>921.23</v>
      </c>
      <c r="C548" s="22">
        <f>1/'EQUITY BACKTEST'!E551</f>
        <v>0.7171029043</v>
      </c>
      <c r="D548" s="22">
        <f t="shared" si="1"/>
        <v>0.2480616054</v>
      </c>
      <c r="E548" s="22">
        <f t="shared" ref="E548:F548" si="548">IF(A548&lt;&gt;"", (B548 - B547) / B547, "")</f>
        <v>-0.02640005918</v>
      </c>
      <c r="F548" s="22">
        <f t="shared" si="548"/>
        <v>0.003944065973</v>
      </c>
      <c r="H548" s="22" t="str">
        <f t="shared" si="4"/>
        <v/>
      </c>
    </row>
    <row r="549" ht="15.75" customHeight="1">
      <c r="A549" s="32">
        <f>'EQUITY BACKTEST'!A552</f>
        <v>39990.66667</v>
      </c>
      <c r="B549" s="22">
        <f>'EQUITY BACKTEST'!B552</f>
        <v>918.9</v>
      </c>
      <c r="C549" s="22">
        <f>1/'EQUITY BACKTEST'!E552</f>
        <v>0.7118957785</v>
      </c>
      <c r="D549" s="22">
        <f t="shared" si="1"/>
        <v>0.2450857825</v>
      </c>
      <c r="E549" s="22">
        <f t="shared" ref="E549:F549" si="549">IF(A549&lt;&gt;"", (B549 - B548) / B548, "")</f>
        <v>-0.002529227229</v>
      </c>
      <c r="F549" s="22">
        <f t="shared" si="549"/>
        <v>-0.00726133694</v>
      </c>
      <c r="H549" s="22" t="str">
        <f t="shared" si="4"/>
        <v/>
      </c>
    </row>
    <row r="550" ht="15.75" customHeight="1">
      <c r="A550" s="32">
        <f>'EQUITY BACKTEST'!A553</f>
        <v>39996.66667</v>
      </c>
      <c r="B550" s="22">
        <f>'EQUITY BACKTEST'!B553</f>
        <v>896.42</v>
      </c>
      <c r="C550" s="22">
        <f>1/'EQUITY BACKTEST'!E553</f>
        <v>0.715000715</v>
      </c>
      <c r="D550" s="22">
        <f t="shared" si="1"/>
        <v>0.2138816558</v>
      </c>
      <c r="E550" s="22">
        <f t="shared" ref="E550:F550" si="550">IF(A550&lt;&gt;"", (B550 - B549) / B549, "")</f>
        <v>-0.02446403308</v>
      </c>
      <c r="F550" s="22">
        <f t="shared" si="550"/>
        <v>0.004361504362</v>
      </c>
      <c r="H550" s="22" t="str">
        <f t="shared" si="4"/>
        <v/>
      </c>
    </row>
    <row r="551" ht="15.75" customHeight="1">
      <c r="A551" s="32">
        <f>'EQUITY BACKTEST'!A554</f>
        <v>40004.66667</v>
      </c>
      <c r="B551" s="22">
        <f>'EQUITY BACKTEST'!B554</f>
        <v>879.13</v>
      </c>
      <c r="C551" s="22">
        <f>1/'EQUITY BACKTEST'!E554</f>
        <v>0.7175660161</v>
      </c>
      <c r="D551" s="22">
        <f t="shared" si="1"/>
        <v>0.2130504662</v>
      </c>
      <c r="E551" s="22">
        <f t="shared" ref="E551:F551" si="551">IF(A551&lt;&gt;"", (B551 - B550) / B550, "")</f>
        <v>-0.01928783383</v>
      </c>
      <c r="F551" s="22">
        <f t="shared" si="551"/>
        <v>0.00358783008</v>
      </c>
      <c r="H551" s="22" t="str">
        <f t="shared" si="4"/>
        <v/>
      </c>
    </row>
    <row r="552" ht="15.75" customHeight="1">
      <c r="A552" s="32">
        <f>'EQUITY BACKTEST'!A555</f>
        <v>40011.66667</v>
      </c>
      <c r="B552" s="22">
        <f>'EQUITY BACKTEST'!B555</f>
        <v>940.38</v>
      </c>
      <c r="C552" s="22">
        <f>1/'EQUITY BACKTEST'!E555</f>
        <v>0.7091695624</v>
      </c>
      <c r="D552" s="22">
        <f t="shared" si="1"/>
        <v>0.2166876359</v>
      </c>
      <c r="E552" s="22">
        <f t="shared" ref="E552:F552" si="552">IF(A552&lt;&gt;"", (B552 - B551) / B551, "")</f>
        <v>0.06967115216</v>
      </c>
      <c r="F552" s="22">
        <f t="shared" si="552"/>
        <v>-0.01170129778</v>
      </c>
      <c r="H552" s="22" t="str">
        <f t="shared" si="4"/>
        <v/>
      </c>
    </row>
    <row r="553" ht="15.75" customHeight="1">
      <c r="A553" s="32">
        <f>'EQUITY BACKTEST'!A556</f>
        <v>40018.66667</v>
      </c>
      <c r="B553" s="22">
        <f>'EQUITY BACKTEST'!B556</f>
        <v>979.26</v>
      </c>
      <c r="C553" s="22">
        <f>1/'EQUITY BACKTEST'!E556</f>
        <v>0.7041757623</v>
      </c>
      <c r="D553" s="22">
        <f t="shared" si="1"/>
        <v>0.2154171247</v>
      </c>
      <c r="E553" s="22">
        <f t="shared" ref="E553:F553" si="553">IF(A553&lt;&gt;"", (B553 - B552) / B552, "")</f>
        <v>0.0413449882</v>
      </c>
      <c r="F553" s="22">
        <f t="shared" si="553"/>
        <v>-0.007041757623</v>
      </c>
      <c r="H553" s="22" t="str">
        <f t="shared" si="4"/>
        <v/>
      </c>
    </row>
    <row r="554" ht="15.75" customHeight="1">
      <c r="A554" s="32">
        <f>'EQUITY BACKTEST'!A557</f>
        <v>40025.66667</v>
      </c>
      <c r="B554" s="22">
        <f>'EQUITY BACKTEST'!B557</f>
        <v>987.48</v>
      </c>
      <c r="C554" s="22">
        <f>1/'EQUITY BACKTEST'!E557</f>
        <v>0.7015574576</v>
      </c>
      <c r="D554" s="22">
        <f t="shared" si="1"/>
        <v>0.2063195449</v>
      </c>
      <c r="E554" s="22">
        <f t="shared" ref="E554:F554" si="554">IF(A554&lt;&gt;"", (B554 - B553) / B553, "")</f>
        <v>0.008394093499</v>
      </c>
      <c r="F554" s="22">
        <f t="shared" si="554"/>
        <v>-0.003718254525</v>
      </c>
      <c r="H554" s="22" t="str">
        <f t="shared" si="4"/>
        <v/>
      </c>
    </row>
    <row r="555" ht="15.75" customHeight="1">
      <c r="A555" s="32">
        <f>'EQUITY BACKTEST'!A558</f>
        <v>40032.66667</v>
      </c>
      <c r="B555" s="22">
        <f>'EQUITY BACKTEST'!B558</f>
        <v>1010.48</v>
      </c>
      <c r="C555" s="22">
        <f>1/'EQUITY BACKTEST'!E558</f>
        <v>0.7058159232</v>
      </c>
      <c r="D555" s="22">
        <f t="shared" si="1"/>
        <v>0.1967979657</v>
      </c>
      <c r="E555" s="22">
        <f t="shared" ref="E555:F555" si="555">IF(A555&lt;&gt;"", (B555 - B554) / B554, "")</f>
        <v>0.02329161097</v>
      </c>
      <c r="F555" s="22">
        <f t="shared" si="555"/>
        <v>0.00607001694</v>
      </c>
      <c r="H555" s="22" t="str">
        <f t="shared" si="4"/>
        <v/>
      </c>
    </row>
    <row r="556" ht="15.75" customHeight="1">
      <c r="A556" s="32">
        <f>'EQUITY BACKTEST'!A559</f>
        <v>40039.66667</v>
      </c>
      <c r="B556" s="22">
        <f>'EQUITY BACKTEST'!B559</f>
        <v>1004.09</v>
      </c>
      <c r="C556" s="22">
        <f>1/'EQUITY BACKTEST'!E559</f>
        <v>0.7034822371</v>
      </c>
      <c r="D556" s="22">
        <f t="shared" si="1"/>
        <v>0.1755151928</v>
      </c>
      <c r="E556" s="22">
        <f t="shared" ref="E556:F556" si="556">IF(A556&lt;&gt;"", (B556 - B555) / B555, "")</f>
        <v>-0.006323727338</v>
      </c>
      <c r="F556" s="22">
        <f t="shared" si="556"/>
        <v>-0.003306366514</v>
      </c>
      <c r="H556" s="22" t="str">
        <f t="shared" si="4"/>
        <v/>
      </c>
    </row>
    <row r="557" ht="15.75" customHeight="1">
      <c r="A557" s="32">
        <f>'EQUITY BACKTEST'!A560</f>
        <v>40046.66667</v>
      </c>
      <c r="B557" s="22">
        <f>'EQUITY BACKTEST'!B560</f>
        <v>1026.13</v>
      </c>
      <c r="C557" s="22">
        <f>1/'EQUITY BACKTEST'!E560</f>
        <v>0.6992029087</v>
      </c>
      <c r="D557" s="22">
        <f t="shared" si="1"/>
        <v>0.1453523976</v>
      </c>
      <c r="E557" s="22">
        <f t="shared" ref="E557:F557" si="557">IF(A557&lt;&gt;"", (B557 - B556) / B556, "")</f>
        <v>0.02195022359</v>
      </c>
      <c r="F557" s="22">
        <f t="shared" si="557"/>
        <v>-0.006083065306</v>
      </c>
      <c r="H557" s="22" t="str">
        <f t="shared" si="4"/>
        <v/>
      </c>
    </row>
    <row r="558" ht="15.75" customHeight="1">
      <c r="A558" s="32">
        <f>'EQUITY BACKTEST'!A561</f>
        <v>40053.66667</v>
      </c>
      <c r="B558" s="22">
        <f>'EQUITY BACKTEST'!B561</f>
        <v>1028.93</v>
      </c>
      <c r="C558" s="22">
        <f>1/'EQUITY BACKTEST'!E561</f>
        <v>0.6992029087</v>
      </c>
      <c r="D558" s="22">
        <f t="shared" si="1"/>
        <v>0.1110435539</v>
      </c>
      <c r="E558" s="22">
        <f t="shared" ref="E558:F558" si="558">IF(A558&lt;&gt;"", (B558 - B557) / B557, "")</f>
        <v>0.002728699093</v>
      </c>
      <c r="F558" s="22">
        <f t="shared" si="558"/>
        <v>0</v>
      </c>
      <c r="H558" s="22" t="str">
        <f t="shared" si="4"/>
        <v/>
      </c>
    </row>
    <row r="559" ht="15.75" customHeight="1">
      <c r="A559" s="32">
        <f>'EQUITY BACKTEST'!A562</f>
        <v>40060.66667</v>
      </c>
      <c r="B559" s="22">
        <f>'EQUITY BACKTEST'!B562</f>
        <v>1016.4</v>
      </c>
      <c r="C559" s="22">
        <f>1/'EQUITY BACKTEST'!E562</f>
        <v>0.7005744711</v>
      </c>
      <c r="D559" s="22">
        <f t="shared" si="1"/>
        <v>0.09296287969</v>
      </c>
      <c r="E559" s="22">
        <f t="shared" ref="E559:F559" si="559">IF(A559&lt;&gt;"", (B559 - B558) / B558, "")</f>
        <v>-0.01217769916</v>
      </c>
      <c r="F559" s="22">
        <f t="shared" si="559"/>
        <v>0.001961608519</v>
      </c>
      <c r="H559" s="22" t="str">
        <f t="shared" si="4"/>
        <v/>
      </c>
    </row>
    <row r="560" ht="15.75" customHeight="1">
      <c r="A560" s="32">
        <f>'EQUITY BACKTEST'!A563</f>
        <v>40067.66667</v>
      </c>
      <c r="B560" s="22">
        <f>'EQUITY BACKTEST'!B563</f>
        <v>1042.73</v>
      </c>
      <c r="C560" s="22">
        <f>1/'EQUITY BACKTEST'!E563</f>
        <v>0.6859181014</v>
      </c>
      <c r="D560" s="22">
        <f t="shared" si="1"/>
        <v>0.07198129273</v>
      </c>
      <c r="E560" s="22">
        <f t="shared" ref="E560:F560" si="560">IF(A560&lt;&gt;"", (B560 - B559) / B559, "")</f>
        <v>0.02590515545</v>
      </c>
      <c r="F560" s="22">
        <f t="shared" si="560"/>
        <v>-0.02092050209</v>
      </c>
      <c r="H560" s="22" t="str">
        <f t="shared" si="4"/>
        <v/>
      </c>
    </row>
    <row r="561" ht="15.75" customHeight="1">
      <c r="A561" s="32">
        <f>'EQUITY BACKTEST'!A564</f>
        <v>40074.66667</v>
      </c>
      <c r="B561" s="22">
        <f>'EQUITY BACKTEST'!B564</f>
        <v>1068.3</v>
      </c>
      <c r="C561" s="22">
        <f>1/'EQUITY BACKTEST'!E564</f>
        <v>0.6801333061</v>
      </c>
      <c r="D561" s="22">
        <f t="shared" si="1"/>
        <v>0.05058652387</v>
      </c>
      <c r="E561" s="22">
        <f t="shared" ref="E561:F561" si="561">IF(A561&lt;&gt;"", (B561 - B560) / B560, "")</f>
        <v>0.02452216777</v>
      </c>
      <c r="F561" s="22">
        <f t="shared" si="561"/>
        <v>-0.008433652996</v>
      </c>
      <c r="H561" s="22" t="str">
        <f t="shared" si="4"/>
        <v/>
      </c>
    </row>
    <row r="562" ht="15.75" customHeight="1">
      <c r="A562" s="32">
        <f>'EQUITY BACKTEST'!A565</f>
        <v>40081.66667</v>
      </c>
      <c r="B562" s="22">
        <f>'EQUITY BACKTEST'!B565</f>
        <v>1044.38</v>
      </c>
      <c r="C562" s="22">
        <f>1/'EQUITY BACKTEST'!E565</f>
        <v>0.68115251</v>
      </c>
      <c r="D562" s="22">
        <f t="shared" si="1"/>
        <v>0.03194408754</v>
      </c>
      <c r="E562" s="22">
        <f t="shared" ref="E562:F562" si="562">IF(A562&lt;&gt;"", (B562 - B561) / B561, "")</f>
        <v>-0.02239071422</v>
      </c>
      <c r="F562" s="22">
        <f t="shared" si="562"/>
        <v>0.001498535522</v>
      </c>
      <c r="H562" s="22" t="str">
        <f t="shared" si="4"/>
        <v/>
      </c>
    </row>
    <row r="563" ht="15.75" customHeight="1">
      <c r="A563" s="32">
        <f>'EQUITY BACKTEST'!A566</f>
        <v>40088.66667</v>
      </c>
      <c r="B563" s="22">
        <f>'EQUITY BACKTEST'!B566</f>
        <v>1025.21</v>
      </c>
      <c r="C563" s="22">
        <f>1/'EQUITY BACKTEST'!E566</f>
        <v>0.6855889209</v>
      </c>
      <c r="D563" s="22">
        <f t="shared" si="1"/>
        <v>-0.00785743411</v>
      </c>
      <c r="E563" s="22">
        <f t="shared" ref="E563:F563" si="563">IF(A563&lt;&gt;"", (B563 - B562) / B562, "")</f>
        <v>-0.01835538789</v>
      </c>
      <c r="F563" s="22">
        <f t="shared" si="563"/>
        <v>0.006513094748</v>
      </c>
      <c r="H563" s="22" t="str">
        <f t="shared" si="4"/>
        <v/>
      </c>
    </row>
    <row r="564" ht="15.75" customHeight="1">
      <c r="A564" s="32">
        <f>'EQUITY BACKTEST'!A567</f>
        <v>40095.66667</v>
      </c>
      <c r="B564" s="22">
        <f>'EQUITY BACKTEST'!B567</f>
        <v>1071.49</v>
      </c>
      <c r="C564" s="22">
        <f>1/'EQUITY BACKTEST'!E567</f>
        <v>0.6796248471</v>
      </c>
      <c r="D564" s="22">
        <f t="shared" si="1"/>
        <v>-0.06603532017</v>
      </c>
      <c r="E564" s="22">
        <f t="shared" ref="E564:F564" si="564">IF(A564&lt;&gt;"", (B564 - B563) / B563, "")</f>
        <v>0.04514197091</v>
      </c>
      <c r="F564" s="22">
        <f t="shared" si="564"/>
        <v>-0.008699198043</v>
      </c>
      <c r="H564" s="22" t="str">
        <f t="shared" si="4"/>
        <v/>
      </c>
    </row>
    <row r="565" ht="15.75" customHeight="1">
      <c r="A565" s="32">
        <f>'EQUITY BACKTEST'!A568</f>
        <v>40102.66667</v>
      </c>
      <c r="B565" s="22">
        <f>'EQUITY BACKTEST'!B568</f>
        <v>1087.68</v>
      </c>
      <c r="C565" s="22">
        <f>1/'EQUITY BACKTEST'!E568</f>
        <v>0.6715916723</v>
      </c>
      <c r="D565" s="22">
        <f t="shared" si="1"/>
        <v>-0.1073381343</v>
      </c>
      <c r="E565" s="22">
        <f t="shared" ref="E565:F565" si="565">IF(A565&lt;&gt;"", (B565 - B564) / B564, "")</f>
        <v>0.01510980037</v>
      </c>
      <c r="F565" s="22">
        <f t="shared" si="565"/>
        <v>-0.01182001343</v>
      </c>
      <c r="H565" s="22" t="str">
        <f t="shared" si="4"/>
        <v/>
      </c>
    </row>
    <row r="566" ht="15.75" customHeight="1">
      <c r="A566" s="32">
        <f>'EQUITY BACKTEST'!A569</f>
        <v>40109.66667</v>
      </c>
      <c r="B566" s="22">
        <f>'EQUITY BACKTEST'!B569</f>
        <v>1079.6</v>
      </c>
      <c r="C566" s="22">
        <f>1/'EQUITY BACKTEST'!E569</f>
        <v>0.6663557007</v>
      </c>
      <c r="D566" s="22">
        <f t="shared" si="1"/>
        <v>-0.1423236521</v>
      </c>
      <c r="E566" s="22">
        <f t="shared" ref="E566:F566" si="566">IF(A566&lt;&gt;"", (B566 - B565) / B565, "")</f>
        <v>-0.007428655487</v>
      </c>
      <c r="F566" s="22">
        <f t="shared" si="566"/>
        <v>-0.007796361698</v>
      </c>
      <c r="H566" s="22" t="str">
        <f t="shared" si="4"/>
        <v/>
      </c>
    </row>
    <row r="567" ht="15.75" customHeight="1">
      <c r="A567" s="32">
        <f>'EQUITY BACKTEST'!A570</f>
        <v>40116.66667</v>
      </c>
      <c r="B567" s="22">
        <f>'EQUITY BACKTEST'!B570</f>
        <v>1036.19</v>
      </c>
      <c r="C567" s="22">
        <f>1/'EQUITY BACKTEST'!E570</f>
        <v>0.6789327178</v>
      </c>
      <c r="D567" s="22">
        <f t="shared" si="1"/>
        <v>-0.1879174884</v>
      </c>
      <c r="E567" s="22">
        <f t="shared" ref="E567:F567" si="567">IF(A567&lt;&gt;"", (B567 - B566) / B566, "")</f>
        <v>-0.04020933679</v>
      </c>
      <c r="F567" s="22">
        <f t="shared" si="567"/>
        <v>0.01887432955</v>
      </c>
      <c r="H567" s="22" t="str">
        <f t="shared" si="4"/>
        <v/>
      </c>
    </row>
    <row r="568" ht="15.75" customHeight="1">
      <c r="A568" s="32">
        <f>'EQUITY BACKTEST'!A571</f>
        <v>40123.66667</v>
      </c>
      <c r="B568" s="22">
        <f>'EQUITY BACKTEST'!B571</f>
        <v>1069.3</v>
      </c>
      <c r="C568" s="22">
        <f>1/'EQUITY BACKTEST'!E571</f>
        <v>0.6738544474</v>
      </c>
      <c r="D568" s="22">
        <f t="shared" si="1"/>
        <v>-0.2713319026</v>
      </c>
      <c r="E568" s="22">
        <f t="shared" ref="E568:F568" si="568">IF(A568&lt;&gt;"", (B568 - B567) / B567, "")</f>
        <v>0.03195359924</v>
      </c>
      <c r="F568" s="22">
        <f t="shared" si="568"/>
        <v>-0.007479784367</v>
      </c>
      <c r="H568" s="22" t="str">
        <f t="shared" si="4"/>
        <v/>
      </c>
    </row>
    <row r="569" ht="15.75" customHeight="1">
      <c r="A569" s="32">
        <f>'EQUITY BACKTEST'!A572</f>
        <v>40130.66667</v>
      </c>
      <c r="B569" s="22">
        <f>'EQUITY BACKTEST'!B572</f>
        <v>1093.48</v>
      </c>
      <c r="C569" s="22">
        <f>1/'EQUITY BACKTEST'!E572</f>
        <v>0.6710058378</v>
      </c>
      <c r="D569" s="22">
        <f t="shared" si="1"/>
        <v>-0.3207473943</v>
      </c>
      <c r="E569" s="22">
        <f t="shared" ref="E569:F569" si="569">IF(A569&lt;&gt;"", (B569 - B568) / B568, "")</f>
        <v>0.02261292434</v>
      </c>
      <c r="F569" s="22">
        <f t="shared" si="569"/>
        <v>-0.004227336778</v>
      </c>
      <c r="H569" s="22" t="str">
        <f t="shared" si="4"/>
        <v/>
      </c>
    </row>
    <row r="570" ht="15.75" customHeight="1">
      <c r="A570" s="32">
        <f>'EQUITY BACKTEST'!A573</f>
        <v>40137.66667</v>
      </c>
      <c r="B570" s="22">
        <f>'EQUITY BACKTEST'!B573</f>
        <v>1091.38</v>
      </c>
      <c r="C570" s="22">
        <f>1/'EQUITY BACKTEST'!E573</f>
        <v>0.6729475101</v>
      </c>
      <c r="D570" s="22">
        <f t="shared" si="1"/>
        <v>-0.3564764803</v>
      </c>
      <c r="E570" s="22">
        <f t="shared" ref="E570:F570" si="570">IF(A570&lt;&gt;"", (B570 - B569) / B569, "")</f>
        <v>-0.001920474083</v>
      </c>
      <c r="F570" s="22">
        <f t="shared" si="570"/>
        <v>0.002893674293</v>
      </c>
      <c r="H570" s="22" t="str">
        <f t="shared" si="4"/>
        <v/>
      </c>
    </row>
    <row r="571" ht="15.75" customHeight="1">
      <c r="A571" s="32">
        <f>'EQUITY BACKTEST'!A574</f>
        <v>40144.66667</v>
      </c>
      <c r="B571" s="22">
        <f>'EQUITY BACKTEST'!B574</f>
        <v>1091.49</v>
      </c>
      <c r="C571" s="22">
        <f>1/'EQUITY BACKTEST'!E574</f>
        <v>0.6674230795</v>
      </c>
      <c r="D571" s="22">
        <f t="shared" si="1"/>
        <v>-0.3831973868</v>
      </c>
      <c r="E571" s="22">
        <f t="shared" ref="E571:F571" si="571">IF(A571&lt;&gt;"", (B571 - B570) / B570, "")</f>
        <v>0.0001007898257</v>
      </c>
      <c r="F571" s="22">
        <f t="shared" si="571"/>
        <v>-0.008209303878</v>
      </c>
      <c r="H571" s="22" t="str">
        <f t="shared" si="4"/>
        <v/>
      </c>
    </row>
    <row r="572" ht="15.75" customHeight="1">
      <c r="A572" s="32">
        <f>'EQUITY BACKTEST'!A575</f>
        <v>40151.66667</v>
      </c>
      <c r="B572" s="22">
        <f>'EQUITY BACKTEST'!B575</f>
        <v>1105.98</v>
      </c>
      <c r="C572" s="22">
        <f>1/'EQUITY BACKTEST'!E575</f>
        <v>0.6731740155</v>
      </c>
      <c r="D572" s="22">
        <f t="shared" si="1"/>
        <v>-0.4156127263</v>
      </c>
      <c r="E572" s="22">
        <f t="shared" ref="E572:F572" si="572">IF(A572&lt;&gt;"", (B572 - B571) / B571, "")</f>
        <v>0.01327543083</v>
      </c>
      <c r="F572" s="22">
        <f t="shared" si="572"/>
        <v>0.008616627398</v>
      </c>
      <c r="H572" s="22" t="str">
        <f t="shared" si="4"/>
        <v/>
      </c>
    </row>
    <row r="573" ht="15.75" customHeight="1">
      <c r="A573" s="32">
        <f>'EQUITY BACKTEST'!A576</f>
        <v>40158.66667</v>
      </c>
      <c r="B573" s="22">
        <f>'EQUITY BACKTEST'!B576</f>
        <v>1106.41</v>
      </c>
      <c r="C573" s="22">
        <f>1/'EQUITY BACKTEST'!E576</f>
        <v>0.6841817187</v>
      </c>
      <c r="D573" s="22">
        <f t="shared" si="1"/>
        <v>-0.4255198395</v>
      </c>
      <c r="E573" s="22">
        <f t="shared" ref="E573:F573" si="573">IF(A573&lt;&gt;"", (B573 - B572) / B572, "")</f>
        <v>0.0003887954574</v>
      </c>
      <c r="F573" s="22">
        <f t="shared" si="573"/>
        <v>0.01635194308</v>
      </c>
      <c r="H573" s="22" t="str">
        <f t="shared" si="4"/>
        <v/>
      </c>
    </row>
    <row r="574" ht="15.75" customHeight="1">
      <c r="A574" s="32">
        <f>'EQUITY BACKTEST'!A577</f>
        <v>40165.66667</v>
      </c>
      <c r="B574" s="22">
        <f>'EQUITY BACKTEST'!B577</f>
        <v>1102.47</v>
      </c>
      <c r="C574" s="22">
        <f>1/'EQUITY BACKTEST'!E577</f>
        <v>0.6971556051</v>
      </c>
      <c r="D574" s="22">
        <f t="shared" si="1"/>
        <v>-0.4314663972</v>
      </c>
      <c r="E574" s="22">
        <f t="shared" ref="E574:F574" si="574">IF(A574&lt;&gt;"", (B574 - B573) / B573, "")</f>
        <v>-0.003561066874</v>
      </c>
      <c r="F574" s="22">
        <f t="shared" si="574"/>
        <v>0.01896263246</v>
      </c>
      <c r="H574" s="22" t="str">
        <f t="shared" si="4"/>
        <v/>
      </c>
    </row>
    <row r="575" ht="15.75" customHeight="1">
      <c r="A575" s="32">
        <f>'EQUITY BACKTEST'!A578</f>
        <v>40171.66667</v>
      </c>
      <c r="B575" s="22">
        <f>'EQUITY BACKTEST'!B578</f>
        <v>1126.48</v>
      </c>
      <c r="C575" s="22">
        <f>1/'EQUITY BACKTEST'!E578</f>
        <v>0.6954102921</v>
      </c>
      <c r="D575" s="22">
        <f t="shared" si="1"/>
        <v>-0.4287853062</v>
      </c>
      <c r="E575" s="22">
        <f t="shared" ref="E575:F575" si="575">IF(A575&lt;&gt;"", (B575 - B574) / B574, "")</f>
        <v>0.02177837039</v>
      </c>
      <c r="F575" s="22">
        <f t="shared" si="575"/>
        <v>-0.002503477051</v>
      </c>
      <c r="H575" s="22" t="str">
        <f t="shared" si="4"/>
        <v/>
      </c>
    </row>
    <row r="576" ht="15.75" customHeight="1">
      <c r="A576" s="32">
        <f>'EQUITY BACKTEST'!A579</f>
        <v>40178.66667</v>
      </c>
      <c r="B576" s="22">
        <f>'EQUITY BACKTEST'!B579</f>
        <v>1115.1</v>
      </c>
      <c r="C576" s="22">
        <f>1/'EQUITY BACKTEST'!E579</f>
        <v>0.6999370057</v>
      </c>
      <c r="D576" s="22">
        <f t="shared" si="1"/>
        <v>-0.4365752926</v>
      </c>
      <c r="E576" s="22">
        <f t="shared" ref="E576:F576" si="576">IF(A576&lt;&gt;"", (B576 - B575) / B575, "")</f>
        <v>-0.01010226546</v>
      </c>
      <c r="F576" s="22">
        <f t="shared" si="576"/>
        <v>0.006509414153</v>
      </c>
      <c r="H576" s="22" t="str">
        <f t="shared" si="4"/>
        <v/>
      </c>
    </row>
    <row r="577" ht="15.75" customHeight="1">
      <c r="A577" s="32">
        <f>'EQUITY BACKTEST'!A580</f>
        <v>40186.66667</v>
      </c>
      <c r="B577" s="22">
        <f>'EQUITY BACKTEST'!B580</f>
        <v>1144.98</v>
      </c>
      <c r="C577" s="22">
        <f>1/'EQUITY BACKTEST'!E580</f>
        <v>0.6943480072</v>
      </c>
      <c r="D577" s="22">
        <f t="shared" si="1"/>
        <v>-0.4160125765</v>
      </c>
      <c r="E577" s="22">
        <f t="shared" ref="E577:F577" si="577">IF(A577&lt;&gt;"", (B577 - B576) / B576, "")</f>
        <v>0.02679580307</v>
      </c>
      <c r="F577" s="22">
        <f t="shared" si="577"/>
        <v>-0.007985002083</v>
      </c>
      <c r="H577" s="22" t="str">
        <f t="shared" si="4"/>
        <v/>
      </c>
    </row>
    <row r="578" ht="15.75" customHeight="1">
      <c r="A578" s="32">
        <f>'EQUITY BACKTEST'!A581</f>
        <v>40193.66667</v>
      </c>
      <c r="B578" s="22">
        <f>'EQUITY BACKTEST'!B581</f>
        <v>1136.03</v>
      </c>
      <c r="C578" s="22">
        <f>1/'EQUITY BACKTEST'!E581</f>
        <v>0.6951202558</v>
      </c>
      <c r="D578" s="22">
        <f t="shared" si="1"/>
        <v>-0.4141608042</v>
      </c>
      <c r="E578" s="22">
        <f t="shared" ref="E578:F578" si="578">IF(A578&lt;&gt;"", (B578 - B577) / B577, "")</f>
        <v>-0.007816730423</v>
      </c>
      <c r="F578" s="22">
        <f t="shared" si="578"/>
        <v>0.001112192409</v>
      </c>
      <c r="H578" s="22" t="str">
        <f t="shared" si="4"/>
        <v/>
      </c>
    </row>
    <row r="579" ht="15.75" customHeight="1">
      <c r="A579" s="32">
        <f>'EQUITY BACKTEST'!A582</f>
        <v>40200.66667</v>
      </c>
      <c r="B579" s="22">
        <f>'EQUITY BACKTEST'!B582</f>
        <v>1115.49</v>
      </c>
      <c r="C579" s="22">
        <f>1/'EQUITY BACKTEST'!E582</f>
        <v>0.7067137809</v>
      </c>
      <c r="D579" s="22">
        <f t="shared" si="1"/>
        <v>-0.4421473924</v>
      </c>
      <c r="E579" s="22">
        <f t="shared" ref="E579:F579" si="579">IF(A579&lt;&gt;"", (B579 - B578) / B578, "")</f>
        <v>-0.01808050844</v>
      </c>
      <c r="F579" s="22">
        <f t="shared" si="579"/>
        <v>0.01667844523</v>
      </c>
      <c r="H579" s="22" t="str">
        <f t="shared" si="4"/>
        <v/>
      </c>
    </row>
    <row r="580" ht="15.75" customHeight="1">
      <c r="A580" s="32">
        <f>'EQUITY BACKTEST'!A583</f>
        <v>40207.66667</v>
      </c>
      <c r="B580" s="22">
        <f>'EQUITY BACKTEST'!B583</f>
        <v>1073.87</v>
      </c>
      <c r="C580" s="22">
        <f>1/'EQUITY BACKTEST'!E583</f>
        <v>0.7214486689</v>
      </c>
      <c r="D580" s="22">
        <f t="shared" si="1"/>
        <v>-0.4796170067</v>
      </c>
      <c r="E580" s="22">
        <f t="shared" ref="E580:F580" si="580">IF(A580&lt;&gt;"", (B580 - B579) / B579, "")</f>
        <v>-0.03731095752</v>
      </c>
      <c r="F580" s="22">
        <f t="shared" si="580"/>
        <v>0.02084986653</v>
      </c>
      <c r="H580" s="22" t="str">
        <f t="shared" si="4"/>
        <v/>
      </c>
    </row>
    <row r="581" ht="15.75" customHeight="1">
      <c r="A581" s="32">
        <f>'EQUITY BACKTEST'!A584</f>
        <v>40214.66667</v>
      </c>
      <c r="B581" s="22">
        <f>'EQUITY BACKTEST'!B584</f>
        <v>1066.19</v>
      </c>
      <c r="C581" s="22">
        <f>1/'EQUITY BACKTEST'!E584</f>
        <v>0.7350779183</v>
      </c>
      <c r="D581" s="22">
        <f t="shared" si="1"/>
        <v>-0.5230035893</v>
      </c>
      <c r="E581" s="22">
        <f t="shared" ref="E581:F581" si="581">IF(A581&lt;&gt;"", (B581 - B580) / B580, "")</f>
        <v>-0.007151703651</v>
      </c>
      <c r="F581" s="22">
        <f t="shared" si="581"/>
        <v>0.0188915025</v>
      </c>
      <c r="H581" s="22" t="str">
        <f t="shared" si="4"/>
        <v/>
      </c>
    </row>
    <row r="582" ht="15.75" customHeight="1">
      <c r="A582" s="32">
        <f>'EQUITY BACKTEST'!A585</f>
        <v>40221.66667</v>
      </c>
      <c r="B582" s="22">
        <f>'EQUITY BACKTEST'!B585</f>
        <v>1075.51</v>
      </c>
      <c r="C582" s="22">
        <f>1/'EQUITY BACKTEST'!E585</f>
        <v>0.7344246884</v>
      </c>
      <c r="D582" s="22">
        <f t="shared" si="1"/>
        <v>-0.55193008</v>
      </c>
      <c r="E582" s="22">
        <f t="shared" ref="E582:F582" si="582">IF(A582&lt;&gt;"", (B582 - B581) / B581, "")</f>
        <v>0.008741406316</v>
      </c>
      <c r="F582" s="22">
        <f t="shared" si="582"/>
        <v>-0.000888653873</v>
      </c>
      <c r="H582" s="22" t="str">
        <f t="shared" si="4"/>
        <v/>
      </c>
    </row>
    <row r="583" ht="15.75" customHeight="1">
      <c r="A583" s="32">
        <f>'EQUITY BACKTEST'!A586</f>
        <v>40228.66667</v>
      </c>
      <c r="B583" s="22">
        <f>'EQUITY BACKTEST'!B586</f>
        <v>1109.17</v>
      </c>
      <c r="C583" s="22">
        <f>1/'EQUITY BACKTEST'!E586</f>
        <v>0.7388252678</v>
      </c>
      <c r="D583" s="22">
        <f t="shared" si="1"/>
        <v>-0.5853047462</v>
      </c>
      <c r="E583" s="22">
        <f t="shared" ref="E583:F583" si="583">IF(A583&lt;&gt;"", (B583 - B582) / B582, "")</f>
        <v>0.03129678013</v>
      </c>
      <c r="F583" s="22">
        <f t="shared" si="583"/>
        <v>0.005991872922</v>
      </c>
      <c r="H583" s="22" t="str">
        <f t="shared" si="4"/>
        <v/>
      </c>
    </row>
    <row r="584" ht="15.75" customHeight="1">
      <c r="A584" s="32">
        <f>'EQUITY BACKTEST'!A587</f>
        <v>40235.66667</v>
      </c>
      <c r="B584" s="22">
        <f>'EQUITY BACKTEST'!B587</f>
        <v>1104.49</v>
      </c>
      <c r="C584" s="22">
        <f>1/'EQUITY BACKTEST'!E587</f>
        <v>0.7322252325</v>
      </c>
      <c r="D584" s="22">
        <f t="shared" si="1"/>
        <v>-0.6100579194</v>
      </c>
      <c r="E584" s="22">
        <f t="shared" ref="E584:F584" si="584">IF(A584&lt;&gt;"", (B584 - B583) / B583, "")</f>
        <v>-0.004219371242</v>
      </c>
      <c r="F584" s="22">
        <f t="shared" si="584"/>
        <v>-0.008933147836</v>
      </c>
      <c r="H584" s="22" t="str">
        <f t="shared" si="4"/>
        <v/>
      </c>
    </row>
    <row r="585" ht="15.75" customHeight="1">
      <c r="A585" s="32">
        <f>'EQUITY BACKTEST'!A588</f>
        <v>40242.66667</v>
      </c>
      <c r="B585" s="22">
        <f>'EQUITY BACKTEST'!B588</f>
        <v>1138.7</v>
      </c>
      <c r="C585" s="22">
        <f>1/'EQUITY BACKTEST'!E588</f>
        <v>0.7349698662</v>
      </c>
      <c r="D585" s="22">
        <f t="shared" si="1"/>
        <v>-0.6488992826</v>
      </c>
      <c r="E585" s="22">
        <f t="shared" ref="E585:F585" si="585">IF(A585&lt;&gt;"", (B585 - B584) / B584, "")</f>
        <v>0.03097357151</v>
      </c>
      <c r="F585" s="22">
        <f t="shared" si="585"/>
        <v>0.003748346318</v>
      </c>
      <c r="H585" s="22" t="str">
        <f t="shared" si="4"/>
        <v/>
      </c>
    </row>
    <row r="586" ht="15.75" customHeight="1">
      <c r="A586" s="32">
        <f>'EQUITY BACKTEST'!A589</f>
        <v>40249.66667</v>
      </c>
      <c r="B586" s="22">
        <f>'EQUITY BACKTEST'!B589</f>
        <v>1149.99</v>
      </c>
      <c r="C586" s="22">
        <f>1/'EQUITY BACKTEST'!E589</f>
        <v>0.7264802034</v>
      </c>
      <c r="D586" s="22">
        <f t="shared" si="1"/>
        <v>-0.6706002652</v>
      </c>
      <c r="E586" s="22">
        <f t="shared" ref="E586:F586" si="586">IF(A586&lt;&gt;"", (B586 - B585) / B585, "")</f>
        <v>0.00991481514</v>
      </c>
      <c r="F586" s="22">
        <f t="shared" si="586"/>
        <v>-0.01155103523</v>
      </c>
      <c r="H586" s="22" t="str">
        <f t="shared" si="4"/>
        <v/>
      </c>
    </row>
    <row r="587" ht="15.75" customHeight="1">
      <c r="A587" s="32">
        <f>'EQUITY BACKTEST'!A590</f>
        <v>40256.66667</v>
      </c>
      <c r="B587" s="22">
        <f>'EQUITY BACKTEST'!B590</f>
        <v>1159.9</v>
      </c>
      <c r="C587" s="22">
        <f>1/'EQUITY BACKTEST'!E590</f>
        <v>0.7390983001</v>
      </c>
      <c r="D587" s="22">
        <f t="shared" si="1"/>
        <v>-0.6947093617</v>
      </c>
      <c r="E587" s="22">
        <f t="shared" ref="E587:F587" si="587">IF(A587&lt;&gt;"", (B587 - B586) / B586, "")</f>
        <v>0.008617466239</v>
      </c>
      <c r="F587" s="22">
        <f t="shared" si="587"/>
        <v>0.01736881005</v>
      </c>
      <c r="H587" s="22" t="str">
        <f t="shared" si="4"/>
        <v/>
      </c>
    </row>
    <row r="588" ht="15.75" customHeight="1">
      <c r="A588" s="32">
        <f>'EQUITY BACKTEST'!A591</f>
        <v>40263.66667</v>
      </c>
      <c r="B588" s="22">
        <f>'EQUITY BACKTEST'!B591</f>
        <v>1166.59</v>
      </c>
      <c r="C588" s="22">
        <f>1/'EQUITY BACKTEST'!E591</f>
        <v>0.7469933518</v>
      </c>
      <c r="D588" s="22">
        <f t="shared" si="1"/>
        <v>-0.7127044897</v>
      </c>
      <c r="E588" s="22">
        <f t="shared" ref="E588:F588" si="588">IF(A588&lt;&gt;"", (B588 - B587) / B587, "")</f>
        <v>0.005767738598</v>
      </c>
      <c r="F588" s="22">
        <f t="shared" si="588"/>
        <v>0.01068200493</v>
      </c>
      <c r="H588" s="22" t="str">
        <f t="shared" si="4"/>
        <v/>
      </c>
    </row>
    <row r="589" ht="15.75" customHeight="1">
      <c r="A589" s="32">
        <f>'EQUITY BACKTEST'!A592</f>
        <v>40269.66667</v>
      </c>
      <c r="B589" s="22">
        <f>'EQUITY BACKTEST'!B592</f>
        <v>1178.1</v>
      </c>
      <c r="C589" s="22">
        <f>1/'EQUITY BACKTEST'!E592</f>
        <v>0.7407956145</v>
      </c>
      <c r="D589" s="22">
        <f t="shared" si="1"/>
        <v>-0.7294822275</v>
      </c>
      <c r="E589" s="22">
        <f t="shared" ref="E589:F589" si="589">IF(A589&lt;&gt;"", (B589 - B588) / B588, "")</f>
        <v>0.009866362647</v>
      </c>
      <c r="F589" s="22">
        <f t="shared" si="589"/>
        <v>-0.008296910882</v>
      </c>
      <c r="H589" s="22" t="str">
        <f t="shared" si="4"/>
        <v/>
      </c>
    </row>
    <row r="590" ht="15.75" customHeight="1">
      <c r="A590" s="32">
        <f>'EQUITY BACKTEST'!A593</f>
        <v>40277.66667</v>
      </c>
      <c r="B590" s="22">
        <f>'EQUITY BACKTEST'!B593</f>
        <v>1194.37</v>
      </c>
      <c r="C590" s="22">
        <f>1/'EQUITY BACKTEST'!E593</f>
        <v>0.7407956145</v>
      </c>
      <c r="D590" s="22">
        <f t="shared" si="1"/>
        <v>-0.7457834258</v>
      </c>
      <c r="E590" s="22">
        <f t="shared" ref="E590:F590" si="590">IF(A590&lt;&gt;"", (B590 - B589) / B589, "")</f>
        <v>0.01381037263</v>
      </c>
      <c r="F590" s="22">
        <f t="shared" si="590"/>
        <v>0</v>
      </c>
      <c r="H590" s="22" t="str">
        <f t="shared" si="4"/>
        <v/>
      </c>
    </row>
    <row r="591" ht="15.75" customHeight="1">
      <c r="A591" s="32">
        <f>'EQUITY BACKTEST'!A594</f>
        <v>40284.66667</v>
      </c>
      <c r="B591" s="22">
        <f>'EQUITY BACKTEST'!B594</f>
        <v>1192.13</v>
      </c>
      <c r="C591" s="22">
        <f>1/'EQUITY BACKTEST'!E594</f>
        <v>0.7416747015</v>
      </c>
      <c r="D591" s="22">
        <f t="shared" si="1"/>
        <v>-0.7575764507</v>
      </c>
      <c r="E591" s="22">
        <f t="shared" ref="E591:F591" si="591">IF(A591&lt;&gt;"", (B591 - B590) / B590, "")</f>
        <v>-0.001875465727</v>
      </c>
      <c r="F591" s="22">
        <f t="shared" si="591"/>
        <v>0.001186679522</v>
      </c>
      <c r="H591" s="22" t="str">
        <f t="shared" si="4"/>
        <v/>
      </c>
    </row>
    <row r="592" ht="15.75" customHeight="1">
      <c r="A592" s="32">
        <f>'EQUITY BACKTEST'!A595</f>
        <v>40291.66667</v>
      </c>
      <c r="B592" s="22">
        <f>'EQUITY BACKTEST'!B595</f>
        <v>1217.28</v>
      </c>
      <c r="C592" s="22">
        <f>1/'EQUITY BACKTEST'!E595</f>
        <v>0.7473283013</v>
      </c>
      <c r="D592" s="22">
        <f t="shared" si="1"/>
        <v>-0.7707098119</v>
      </c>
      <c r="E592" s="22">
        <f t="shared" ref="E592:F592" si="592">IF(A592&lt;&gt;"", (B592 - B591) / B591, "")</f>
        <v>0.02109669247</v>
      </c>
      <c r="F592" s="22">
        <f t="shared" si="592"/>
        <v>0.007622748673</v>
      </c>
      <c r="H592" s="22" t="str">
        <f t="shared" si="4"/>
        <v/>
      </c>
    </row>
    <row r="593" ht="15.75" customHeight="1">
      <c r="A593" s="32">
        <f>'EQUITY BACKTEST'!A596</f>
        <v>40298.66667</v>
      </c>
      <c r="B593" s="22">
        <f>'EQUITY BACKTEST'!B596</f>
        <v>1186.69</v>
      </c>
      <c r="C593" s="22">
        <f>1/'EQUITY BACKTEST'!E596</f>
        <v>0.7518796992</v>
      </c>
      <c r="D593" s="22">
        <f t="shared" si="1"/>
        <v>-0.7854288384</v>
      </c>
      <c r="E593" s="22">
        <f t="shared" ref="E593:F593" si="593">IF(A593&lt;&gt;"", (B593 - B592) / B592, "")</f>
        <v>-0.02512979758</v>
      </c>
      <c r="F593" s="22">
        <f t="shared" si="593"/>
        <v>0.006090225564</v>
      </c>
      <c r="H593" s="22" t="str">
        <f t="shared" si="4"/>
        <v/>
      </c>
    </row>
    <row r="594" ht="15.75" customHeight="1">
      <c r="A594" s="32">
        <f>'EQUITY BACKTEST'!A597</f>
        <v>40305.66667</v>
      </c>
      <c r="B594" s="22">
        <f>'EQUITY BACKTEST'!B597</f>
        <v>1110.88</v>
      </c>
      <c r="C594" s="22">
        <f>1/'EQUITY BACKTEST'!E597</f>
        <v>0.7862871521</v>
      </c>
      <c r="D594" s="22">
        <f t="shared" si="1"/>
        <v>-0.7945885195</v>
      </c>
      <c r="E594" s="22">
        <f t="shared" ref="E594:F594" si="594">IF(A594&lt;&gt;"", (B594 - B593) / B593, "")</f>
        <v>-0.06388357532</v>
      </c>
      <c r="F594" s="22">
        <f t="shared" si="594"/>
        <v>0.04576191225</v>
      </c>
      <c r="H594" s="22" t="str">
        <f t="shared" si="4"/>
        <v/>
      </c>
    </row>
    <row r="595" ht="15.75" customHeight="1">
      <c r="A595" s="32">
        <f>'EQUITY BACKTEST'!A598</f>
        <v>40312.66667</v>
      </c>
      <c r="B595" s="22">
        <f>'EQUITY BACKTEST'!B598</f>
        <v>1135.68</v>
      </c>
      <c r="C595" s="22">
        <f>1/'EQUITY BACKTEST'!E598</f>
        <v>0.809126952</v>
      </c>
      <c r="D595" s="22">
        <f t="shared" si="1"/>
        <v>-0.7962887278</v>
      </c>
      <c r="E595" s="22">
        <f t="shared" ref="E595:F595" si="595">IF(A595&lt;&gt;"", (B595 - B594) / B594, "")</f>
        <v>0.02232464353</v>
      </c>
      <c r="F595" s="22">
        <f t="shared" si="595"/>
        <v>0.02904765758</v>
      </c>
      <c r="H595" s="22" t="str">
        <f t="shared" si="4"/>
        <v/>
      </c>
    </row>
    <row r="596" ht="15.75" customHeight="1">
      <c r="A596" s="32">
        <f>'EQUITY BACKTEST'!A599</f>
        <v>40319.66667</v>
      </c>
      <c r="B596" s="22">
        <f>'EQUITY BACKTEST'!B599</f>
        <v>1087.69</v>
      </c>
      <c r="C596" s="22">
        <f>1/'EQUITY BACKTEST'!E599</f>
        <v>0.794723039</v>
      </c>
      <c r="D596" s="22">
        <f t="shared" si="1"/>
        <v>-0.8034891378</v>
      </c>
      <c r="E596" s="22">
        <f t="shared" ref="E596:F596" si="596">IF(A596&lt;&gt;"", (B596 - B595) / B595, "")</f>
        <v>-0.04225662158</v>
      </c>
      <c r="F596" s="22">
        <f t="shared" si="596"/>
        <v>-0.01780179607</v>
      </c>
      <c r="H596" s="22" t="str">
        <f t="shared" si="4"/>
        <v/>
      </c>
    </row>
    <row r="597" ht="15.75" customHeight="1">
      <c r="A597" s="32">
        <f>'EQUITY BACKTEST'!A600</f>
        <v>40326.66667</v>
      </c>
      <c r="B597" s="22">
        <f>'EQUITY BACKTEST'!B600</f>
        <v>1089.41</v>
      </c>
      <c r="C597" s="22">
        <f>1/'EQUITY BACKTEST'!E600</f>
        <v>0.8086689309</v>
      </c>
      <c r="D597" s="22">
        <f t="shared" si="1"/>
        <v>-0.8032634661</v>
      </c>
      <c r="E597" s="22">
        <f t="shared" ref="E597:F597" si="597">IF(A597&lt;&gt;"", (B597 - B596) / B596, "")</f>
        <v>0.001581332917</v>
      </c>
      <c r="F597" s="22">
        <f t="shared" si="597"/>
        <v>0.0175481158</v>
      </c>
      <c r="H597" s="22" t="str">
        <f t="shared" si="4"/>
        <v/>
      </c>
    </row>
    <row r="598" ht="15.75" customHeight="1">
      <c r="A598" s="32">
        <f>'EQUITY BACKTEST'!A601</f>
        <v>40333.66667</v>
      </c>
      <c r="B598" s="22">
        <f>'EQUITY BACKTEST'!B601</f>
        <v>1064.88</v>
      </c>
      <c r="C598" s="22">
        <f>1/'EQUITY BACKTEST'!E601</f>
        <v>0.8335417188</v>
      </c>
      <c r="D598" s="22">
        <f t="shared" si="1"/>
        <v>-0.7982241059</v>
      </c>
      <c r="E598" s="22">
        <f t="shared" ref="E598:F598" si="598">IF(A598&lt;&gt;"", (B598 - B597) / B597, "")</f>
        <v>-0.02251677514</v>
      </c>
      <c r="F598" s="22">
        <f t="shared" si="598"/>
        <v>0.03075768942</v>
      </c>
      <c r="H598" s="22" t="str">
        <f t="shared" si="4"/>
        <v/>
      </c>
    </row>
    <row r="599" ht="15.75" customHeight="1">
      <c r="A599" s="32">
        <f>'EQUITY BACKTEST'!A602</f>
        <v>40340.66667</v>
      </c>
      <c r="B599" s="22">
        <f>'EQUITY BACKTEST'!B602</f>
        <v>1091.6</v>
      </c>
      <c r="C599" s="22">
        <f>1/'EQUITY BACKTEST'!E602</f>
        <v>0.8253549026</v>
      </c>
      <c r="D599" s="22">
        <f t="shared" si="1"/>
        <v>-0.7893123963</v>
      </c>
      <c r="E599" s="22">
        <f t="shared" ref="E599:F599" si="599">IF(A599&lt;&gt;"", (B599 - B598) / B598, "")</f>
        <v>0.02509202915</v>
      </c>
      <c r="F599" s="22">
        <f t="shared" si="599"/>
        <v>-0.009821723341</v>
      </c>
      <c r="H599" s="22" t="str">
        <f t="shared" si="4"/>
        <v/>
      </c>
    </row>
    <row r="600" ht="15.75" customHeight="1">
      <c r="A600" s="32">
        <f>'EQUITY BACKTEST'!A603</f>
        <v>40347.66667</v>
      </c>
      <c r="B600" s="22">
        <f>'EQUITY BACKTEST'!B603</f>
        <v>1117.51</v>
      </c>
      <c r="C600" s="22">
        <f>1/'EQUITY BACKTEST'!E603</f>
        <v>0.8082244924</v>
      </c>
      <c r="D600" s="22">
        <f t="shared" si="1"/>
        <v>-0.7850082066</v>
      </c>
      <c r="E600" s="22">
        <f t="shared" ref="E600:F600" si="600">IF(A600&lt;&gt;"", (B600 - B599) / B599, "")</f>
        <v>0.02373580066</v>
      </c>
      <c r="F600" s="22">
        <f t="shared" si="600"/>
        <v>-0.02075520497</v>
      </c>
      <c r="H600" s="22" t="str">
        <f t="shared" si="4"/>
        <v/>
      </c>
    </row>
    <row r="601" ht="15.75" customHeight="1">
      <c r="A601" s="32">
        <f>'EQUITY BACKTEST'!A604</f>
        <v>40354.66667</v>
      </c>
      <c r="B601" s="22">
        <f>'EQUITY BACKTEST'!B604</f>
        <v>1076.76</v>
      </c>
      <c r="C601" s="22">
        <f>1/'EQUITY BACKTEST'!E604</f>
        <v>0.8081461128</v>
      </c>
      <c r="D601" s="22">
        <f t="shared" si="1"/>
        <v>-0.7829682618</v>
      </c>
      <c r="E601" s="22">
        <f t="shared" ref="E601:F601" si="601">IF(A601&lt;&gt;"", (B601 - B600) / B600, "")</f>
        <v>-0.03646499808</v>
      </c>
      <c r="F601" s="22">
        <f t="shared" si="601"/>
        <v>-0.00009697753354</v>
      </c>
      <c r="H601" s="22" t="str">
        <f t="shared" si="4"/>
        <v/>
      </c>
    </row>
    <row r="602" ht="15.75" customHeight="1">
      <c r="A602" s="32">
        <f>'EQUITY BACKTEST'!A605</f>
        <v>40361.66667</v>
      </c>
      <c r="B602" s="22">
        <f>'EQUITY BACKTEST'!B605</f>
        <v>1022.58</v>
      </c>
      <c r="C602" s="22">
        <f>1/'EQUITY BACKTEST'!E605</f>
        <v>0.7952918721</v>
      </c>
      <c r="D602" s="22">
        <f t="shared" si="1"/>
        <v>-0.7778005751</v>
      </c>
      <c r="E602" s="22">
        <f t="shared" ref="E602:F602" si="602">IF(A602&lt;&gt;"", (B602 - B601) / B601, "")</f>
        <v>-0.05031761953</v>
      </c>
      <c r="F602" s="22">
        <f t="shared" si="602"/>
        <v>-0.01590583744</v>
      </c>
      <c r="H602" s="22" t="str">
        <f t="shared" si="4"/>
        <v/>
      </c>
    </row>
    <row r="603" ht="15.75" customHeight="1">
      <c r="A603" s="32">
        <f>'EQUITY BACKTEST'!A606</f>
        <v>40368.66667</v>
      </c>
      <c r="B603" s="22">
        <f>'EQUITY BACKTEST'!B606</f>
        <v>1077.96</v>
      </c>
      <c r="C603" s="22">
        <f>1/'EQUITY BACKTEST'!E606</f>
        <v>0.7910140801</v>
      </c>
      <c r="D603" s="22">
        <f t="shared" si="1"/>
        <v>-0.7643005107</v>
      </c>
      <c r="E603" s="22">
        <f t="shared" ref="E603:F603" si="603">IF(A603&lt;&gt;"", (B603 - B602) / B602, "")</f>
        <v>0.05415713196</v>
      </c>
      <c r="F603" s="22">
        <f t="shared" si="603"/>
        <v>-0.005378895744</v>
      </c>
      <c r="H603" s="22" t="str">
        <f t="shared" si="4"/>
        <v/>
      </c>
    </row>
    <row r="604" ht="15.75" customHeight="1">
      <c r="A604" s="32">
        <f>'EQUITY BACKTEST'!A607</f>
        <v>40375.66667</v>
      </c>
      <c r="B604" s="22">
        <f>'EQUITY BACKTEST'!B607</f>
        <v>1064.88</v>
      </c>
      <c r="C604" s="22">
        <f>1/'EQUITY BACKTEST'!E607</f>
        <v>0.7741136399</v>
      </c>
      <c r="D604" s="22">
        <f t="shared" si="1"/>
        <v>-0.7520193078</v>
      </c>
      <c r="E604" s="22">
        <f t="shared" ref="E604:F604" si="604">IF(A604&lt;&gt;"", (B604 - B603) / B603, "")</f>
        <v>-0.01213403095</v>
      </c>
      <c r="F604" s="22">
        <f t="shared" si="604"/>
        <v>-0.02136553646</v>
      </c>
      <c r="H604" s="22" t="str">
        <f t="shared" si="4"/>
        <v/>
      </c>
    </row>
    <row r="605" ht="15.75" customHeight="1">
      <c r="A605" s="32">
        <f>'EQUITY BACKTEST'!A608</f>
        <v>40382.66667</v>
      </c>
      <c r="B605" s="22">
        <f>'EQUITY BACKTEST'!B608</f>
        <v>1102.66</v>
      </c>
      <c r="C605" s="22">
        <f>1/'EQUITY BACKTEST'!E608</f>
        <v>0.7774840616</v>
      </c>
      <c r="D605" s="22">
        <f t="shared" si="1"/>
        <v>-0.7462535797</v>
      </c>
      <c r="E605" s="22">
        <f t="shared" ref="E605:F605" si="605">IF(A605&lt;&gt;"", (B605 - B604) / B604, "")</f>
        <v>0.03547817594</v>
      </c>
      <c r="F605" s="22">
        <f t="shared" si="605"/>
        <v>0.004353910745</v>
      </c>
      <c r="H605" s="22" t="str">
        <f t="shared" si="4"/>
        <v/>
      </c>
    </row>
    <row r="606" ht="15.75" customHeight="1">
      <c r="A606" s="32">
        <f>'EQUITY BACKTEST'!A609</f>
        <v>40389.66667</v>
      </c>
      <c r="B606" s="22">
        <f>'EQUITY BACKTEST'!B609</f>
        <v>1101.6</v>
      </c>
      <c r="C606" s="22">
        <f>1/'EQUITY BACKTEST'!E609</f>
        <v>0.766988802</v>
      </c>
      <c r="D606" s="22">
        <f t="shared" si="1"/>
        <v>-0.7333019028</v>
      </c>
      <c r="E606" s="22">
        <f t="shared" ref="E606:F606" si="606">IF(A606&lt;&gt;"", (B606 - B605) / B605, "")</f>
        <v>-0.0009613117371</v>
      </c>
      <c r="F606" s="22">
        <f t="shared" si="606"/>
        <v>-0.01349900291</v>
      </c>
      <c r="H606" s="22" t="str">
        <f t="shared" si="4"/>
        <v/>
      </c>
    </row>
    <row r="607" ht="15.75" customHeight="1">
      <c r="A607" s="32">
        <f>'EQUITY BACKTEST'!A610</f>
        <v>40396.66667</v>
      </c>
      <c r="B607" s="22">
        <f>'EQUITY BACKTEST'!B610</f>
        <v>1121.64</v>
      </c>
      <c r="C607" s="22">
        <f>1/'EQUITY BACKTEST'!E610</f>
        <v>0.7531254707</v>
      </c>
      <c r="D607" s="22">
        <f t="shared" si="1"/>
        <v>-0.708643655</v>
      </c>
      <c r="E607" s="22">
        <f t="shared" ref="E607:F607" si="607">IF(A607&lt;&gt;"", (B607 - B606) / B606, "")</f>
        <v>0.01819172113</v>
      </c>
      <c r="F607" s="22">
        <f t="shared" si="607"/>
        <v>-0.0180750113</v>
      </c>
      <c r="H607" s="22" t="str">
        <f t="shared" si="4"/>
        <v/>
      </c>
    </row>
    <row r="608" ht="15.75" customHeight="1">
      <c r="A608" s="32">
        <f>'EQUITY BACKTEST'!A611</f>
        <v>40403.66667</v>
      </c>
      <c r="B608" s="22">
        <f>'EQUITY BACKTEST'!B611</f>
        <v>1079.25</v>
      </c>
      <c r="C608" s="22">
        <f>1/'EQUITY BACKTEST'!E611</f>
        <v>0.7836990596</v>
      </c>
      <c r="D608" s="22">
        <f t="shared" si="1"/>
        <v>-0.6802499365</v>
      </c>
      <c r="E608" s="22">
        <f t="shared" ref="E608:F608" si="608">IF(A608&lt;&gt;"", (B608 - B607) / B607, "")</f>
        <v>-0.03779287472</v>
      </c>
      <c r="F608" s="22">
        <f t="shared" si="608"/>
        <v>0.04059561129</v>
      </c>
      <c r="H608" s="22" t="str">
        <f t="shared" si="4"/>
        <v/>
      </c>
    </row>
    <row r="609" ht="15.75" customHeight="1">
      <c r="A609" s="32">
        <f>'EQUITY BACKTEST'!A612</f>
        <v>40410.66667</v>
      </c>
      <c r="B609" s="22">
        <f>'EQUITY BACKTEST'!B612</f>
        <v>1071.69</v>
      </c>
      <c r="C609" s="22">
        <f>1/'EQUITY BACKTEST'!E612</f>
        <v>0.7867201636</v>
      </c>
      <c r="D609" s="22">
        <f t="shared" si="1"/>
        <v>-0.598002845</v>
      </c>
      <c r="E609" s="22">
        <f t="shared" ref="E609:F609" si="609">IF(A609&lt;&gt;"", (B609 - B608) / B608, "")</f>
        <v>-0.007004864489</v>
      </c>
      <c r="F609" s="22">
        <f t="shared" si="609"/>
        <v>0.003854928802</v>
      </c>
      <c r="H609" s="22" t="str">
        <f t="shared" si="4"/>
        <v/>
      </c>
    </row>
    <row r="610" ht="15.75" customHeight="1">
      <c r="A610" s="32">
        <f>'EQUITY BACKTEST'!A613</f>
        <v>40417.66667</v>
      </c>
      <c r="B610" s="22">
        <f>'EQUITY BACKTEST'!B613</f>
        <v>1064.59</v>
      </c>
      <c r="C610" s="22">
        <f>1/'EQUITY BACKTEST'!E613</f>
        <v>0.7834534629</v>
      </c>
      <c r="D610" s="22">
        <f t="shared" si="1"/>
        <v>-0.5225385245</v>
      </c>
      <c r="E610" s="22">
        <f t="shared" ref="E610:F610" si="610">IF(A610&lt;&gt;"", (B610 - B609) / B609, "")</f>
        <v>-0.006625050154</v>
      </c>
      <c r="F610" s="22">
        <f t="shared" si="610"/>
        <v>-0.004152303353</v>
      </c>
      <c r="H610" s="22" t="str">
        <f t="shared" si="4"/>
        <v/>
      </c>
    </row>
    <row r="611" ht="15.75" customHeight="1">
      <c r="A611" s="32">
        <f>'EQUITY BACKTEST'!A614</f>
        <v>40424.66667</v>
      </c>
      <c r="B611" s="22">
        <f>'EQUITY BACKTEST'!B614</f>
        <v>1104.51</v>
      </c>
      <c r="C611" s="22">
        <f>1/'EQUITY BACKTEST'!E614</f>
        <v>0.7763372409</v>
      </c>
      <c r="D611" s="22">
        <f t="shared" si="1"/>
        <v>-0.4462120529</v>
      </c>
      <c r="E611" s="22">
        <f t="shared" ref="E611:F611" si="611">IF(A611&lt;&gt;"", (B611 - B610) / B610, "")</f>
        <v>0.03749800393</v>
      </c>
      <c r="F611" s="22">
        <f t="shared" si="611"/>
        <v>-0.009083145719</v>
      </c>
      <c r="H611" s="22" t="str">
        <f t="shared" si="4"/>
        <v/>
      </c>
    </row>
    <row r="612" ht="15.75" customHeight="1">
      <c r="A612" s="32">
        <f>'EQUITY BACKTEST'!A615</f>
        <v>40431.66667</v>
      </c>
      <c r="B612" s="22">
        <f>'EQUITY BACKTEST'!B615</f>
        <v>1109.55</v>
      </c>
      <c r="C612" s="22">
        <f>1/'EQUITY BACKTEST'!E615</f>
        <v>0.7857311228</v>
      </c>
      <c r="D612" s="22">
        <f t="shared" si="1"/>
        <v>-0.4000603616</v>
      </c>
      <c r="E612" s="22">
        <f t="shared" ref="E612:F612" si="612">IF(A612&lt;&gt;"", (B612 - B611) / B611, "")</f>
        <v>0.004563109433</v>
      </c>
      <c r="F612" s="22">
        <f t="shared" si="612"/>
        <v>0.01210025929</v>
      </c>
      <c r="H612" s="22" t="str">
        <f t="shared" si="4"/>
        <v/>
      </c>
    </row>
    <row r="613" ht="15.75" customHeight="1">
      <c r="A613" s="32">
        <f>'EQUITY BACKTEST'!A616</f>
        <v>40438.66667</v>
      </c>
      <c r="B613" s="22">
        <f>'EQUITY BACKTEST'!B616</f>
        <v>1125.59</v>
      </c>
      <c r="C613" s="22">
        <f>1/'EQUITY BACKTEST'!E616</f>
        <v>0.7666360012</v>
      </c>
      <c r="D613" s="22">
        <f t="shared" si="1"/>
        <v>-0.3334048569</v>
      </c>
      <c r="E613" s="22">
        <f t="shared" ref="E613:F613" si="613">IF(A613&lt;&gt;"", (B613 - B612) / B612, "")</f>
        <v>0.01445631112</v>
      </c>
      <c r="F613" s="22">
        <f t="shared" si="613"/>
        <v>-0.02430236124</v>
      </c>
      <c r="H613" s="22" t="str">
        <f t="shared" si="4"/>
        <v/>
      </c>
    </row>
    <row r="614" ht="15.75" customHeight="1">
      <c r="A614" s="32">
        <f>'EQUITY BACKTEST'!A617</f>
        <v>40445.66667</v>
      </c>
      <c r="B614" s="22">
        <f>'EQUITY BACKTEST'!B617</f>
        <v>1148.67</v>
      </c>
      <c r="C614" s="22">
        <f>1/'EQUITY BACKTEST'!E617</f>
        <v>0.7413447995</v>
      </c>
      <c r="D614" s="22">
        <f t="shared" si="1"/>
        <v>-0.3004491442</v>
      </c>
      <c r="E614" s="22">
        <f t="shared" ref="E614:F614" si="614">IF(A614&lt;&gt;"", (B614 - B613) / B613, "")</f>
        <v>0.02050480193</v>
      </c>
      <c r="F614" s="22">
        <f t="shared" si="614"/>
        <v>-0.03298984358</v>
      </c>
      <c r="H614" s="22" t="str">
        <f t="shared" si="4"/>
        <v/>
      </c>
    </row>
    <row r="615" ht="15.75" customHeight="1">
      <c r="A615" s="32">
        <f>'EQUITY BACKTEST'!A618</f>
        <v>40452.66667</v>
      </c>
      <c r="B615" s="22">
        <f>'EQUITY BACKTEST'!B618</f>
        <v>1146.24</v>
      </c>
      <c r="C615" s="22">
        <f>1/'EQUITY BACKTEST'!E618</f>
        <v>0.7251631617</v>
      </c>
      <c r="D615" s="22">
        <f t="shared" si="1"/>
        <v>-0.3096343063</v>
      </c>
      <c r="E615" s="22">
        <f t="shared" ref="E615:F615" si="615">IF(A615&lt;&gt;"", (B615 - B614) / B614, "")</f>
        <v>-0.002115490089</v>
      </c>
      <c r="F615" s="22">
        <f t="shared" si="615"/>
        <v>-0.02182741117</v>
      </c>
      <c r="H615" s="22" t="str">
        <f t="shared" si="4"/>
        <v/>
      </c>
    </row>
    <row r="616" ht="15.75" customHeight="1">
      <c r="A616" s="32">
        <f>'EQUITY BACKTEST'!A619</f>
        <v>40459.66667</v>
      </c>
      <c r="B616" s="22">
        <f>'EQUITY BACKTEST'!B619</f>
        <v>1165.15</v>
      </c>
      <c r="C616" s="22">
        <f>1/'EQUITY BACKTEST'!E619</f>
        <v>0.7183391998</v>
      </c>
      <c r="D616" s="22">
        <f t="shared" si="1"/>
        <v>-0.3327514535</v>
      </c>
      <c r="E616" s="22">
        <f t="shared" ref="E616:F616" si="616">IF(A616&lt;&gt;"", (B616 - B615) / B615, "")</f>
        <v>0.01649741764</v>
      </c>
      <c r="F616" s="22">
        <f t="shared" si="616"/>
        <v>-0.009410243517</v>
      </c>
      <c r="H616" s="22" t="str">
        <f t="shared" si="4"/>
        <v/>
      </c>
    </row>
    <row r="617" ht="15.75" customHeight="1">
      <c r="A617" s="32">
        <f>'EQUITY BACKTEST'!A620</f>
        <v>40466.66667</v>
      </c>
      <c r="B617" s="22">
        <f>'EQUITY BACKTEST'!B620</f>
        <v>1176.19</v>
      </c>
      <c r="C617" s="22">
        <f>1/'EQUITY BACKTEST'!E620</f>
        <v>0.714591968</v>
      </c>
      <c r="D617" s="22">
        <f t="shared" si="1"/>
        <v>-0.339372638</v>
      </c>
      <c r="E617" s="22">
        <f t="shared" ref="E617:F617" si="617">IF(A617&lt;&gt;"", (B617 - B616) / B616, "")</f>
        <v>0.00947517487</v>
      </c>
      <c r="F617" s="22">
        <f t="shared" si="617"/>
        <v>-0.005216521366</v>
      </c>
      <c r="H617" s="22" t="str">
        <f t="shared" si="4"/>
        <v/>
      </c>
    </row>
    <row r="618" ht="15.75" customHeight="1">
      <c r="A618" s="32">
        <f>'EQUITY BACKTEST'!A621</f>
        <v>40473.66667</v>
      </c>
      <c r="B618" s="22">
        <f>'EQUITY BACKTEST'!B621</f>
        <v>1183.08</v>
      </c>
      <c r="C618" s="22">
        <f>1/'EQUITY BACKTEST'!E621</f>
        <v>0.7165376899</v>
      </c>
      <c r="D618" s="22">
        <f t="shared" si="1"/>
        <v>-0.3489009179</v>
      </c>
      <c r="E618" s="22">
        <f t="shared" ref="E618:F618" si="618">IF(A618&lt;&gt;"", (B618 - B617) / B617, "")</f>
        <v>0.005857897108</v>
      </c>
      <c r="F618" s="22">
        <f t="shared" si="618"/>
        <v>0.002722843222</v>
      </c>
      <c r="H618" s="22" t="str">
        <f t="shared" si="4"/>
        <v/>
      </c>
    </row>
    <row r="619" ht="15.75" customHeight="1">
      <c r="A619" s="32">
        <f>'EQUITY BACKTEST'!A622</f>
        <v>40480.66667</v>
      </c>
      <c r="B619" s="22">
        <f>'EQUITY BACKTEST'!B622</f>
        <v>1183.26</v>
      </c>
      <c r="C619" s="22">
        <f>1/'EQUITY BACKTEST'!E622</f>
        <v>0.7170514843</v>
      </c>
      <c r="D619" s="22">
        <f t="shared" si="1"/>
        <v>-0.3573722371</v>
      </c>
      <c r="E619" s="22">
        <f t="shared" ref="E619:F619" si="619">IF(A619&lt;&gt;"", (B619 - B618) / B618, "")</f>
        <v>0.000152145248</v>
      </c>
      <c r="F619" s="22">
        <f t="shared" si="619"/>
        <v>0.0007170514843</v>
      </c>
      <c r="H619" s="22" t="str">
        <f t="shared" si="4"/>
        <v/>
      </c>
    </row>
    <row r="620" ht="15.75" customHeight="1">
      <c r="A620" s="32">
        <f>'EQUITY BACKTEST'!A623</f>
        <v>40487.66667</v>
      </c>
      <c r="B620" s="22">
        <f>'EQUITY BACKTEST'!B623</f>
        <v>1225.85</v>
      </c>
      <c r="C620" s="22">
        <f>1/'EQUITY BACKTEST'!E623</f>
        <v>0.712722815</v>
      </c>
      <c r="D620" s="22">
        <f t="shared" si="1"/>
        <v>-0.364745271</v>
      </c>
      <c r="E620" s="22">
        <f t="shared" ref="E620:F620" si="620">IF(A620&lt;&gt;"", (B620 - B619) / B619, "")</f>
        <v>0.0359937799</v>
      </c>
      <c r="F620" s="22">
        <f t="shared" si="620"/>
        <v>-0.006036762243</v>
      </c>
      <c r="H620" s="22" t="str">
        <f t="shared" si="4"/>
        <v/>
      </c>
    </row>
    <row r="621" ht="15.75" customHeight="1">
      <c r="A621" s="32">
        <f>'EQUITY BACKTEST'!A624</f>
        <v>40494.66667</v>
      </c>
      <c r="B621" s="22">
        <f>'EQUITY BACKTEST'!B624</f>
        <v>1199.21</v>
      </c>
      <c r="C621" s="22">
        <f>1/'EQUITY BACKTEST'!E624</f>
        <v>0.7306202966</v>
      </c>
      <c r="D621" s="22">
        <f t="shared" si="1"/>
        <v>-0.3691217233</v>
      </c>
      <c r="E621" s="22">
        <f t="shared" ref="E621:F621" si="621">IF(A621&lt;&gt;"", (B621 - B620) / B620, "")</f>
        <v>-0.02173185953</v>
      </c>
      <c r="F621" s="22">
        <f t="shared" si="621"/>
        <v>0.0251114196</v>
      </c>
      <c r="H621" s="22" t="str">
        <f t="shared" si="4"/>
        <v/>
      </c>
    </row>
    <row r="622" ht="15.75" customHeight="1">
      <c r="A622" s="32">
        <f>'EQUITY BACKTEST'!A625</f>
        <v>40501.66667</v>
      </c>
      <c r="B622" s="22">
        <f>'EQUITY BACKTEST'!B625</f>
        <v>1199.73</v>
      </c>
      <c r="C622" s="22">
        <f>1/'EQUITY BACKTEST'!E625</f>
        <v>0.7306363112</v>
      </c>
      <c r="D622" s="22">
        <f t="shared" si="1"/>
        <v>-0.372255887</v>
      </c>
      <c r="E622" s="22">
        <f t="shared" ref="E622:F622" si="622">IF(A622&lt;&gt;"", (B622 - B621) / B621, "")</f>
        <v>0.000433618799</v>
      </c>
      <c r="F622" s="22">
        <f t="shared" si="622"/>
        <v>0.00002191908933</v>
      </c>
      <c r="H622" s="22" t="str">
        <f t="shared" si="4"/>
        <v/>
      </c>
    </row>
    <row r="623" ht="15.75" customHeight="1">
      <c r="A623" s="32">
        <f>'EQUITY BACKTEST'!A626</f>
        <v>40508.66667</v>
      </c>
      <c r="B623" s="22">
        <f>'EQUITY BACKTEST'!B626</f>
        <v>1189.4</v>
      </c>
      <c r="C623" s="22">
        <f>1/'EQUITY BACKTEST'!E626</f>
        <v>0.7550588946</v>
      </c>
      <c r="D623" s="22">
        <f t="shared" si="1"/>
        <v>-0.3967457888</v>
      </c>
      <c r="E623" s="22">
        <f t="shared" ref="E623:F623" si="623">IF(A623&lt;&gt;"", (B623 - B622) / B622, "")</f>
        <v>-0.008610270644</v>
      </c>
      <c r="F623" s="22">
        <f t="shared" si="623"/>
        <v>0.03342645726</v>
      </c>
      <c r="H623" s="22" t="str">
        <f t="shared" si="4"/>
        <v/>
      </c>
    </row>
    <row r="624" ht="15.75" customHeight="1">
      <c r="A624" s="32">
        <f>'EQUITY BACKTEST'!A627</f>
        <v>40515.66667</v>
      </c>
      <c r="B624" s="22">
        <f>'EQUITY BACKTEST'!B627</f>
        <v>1224.71</v>
      </c>
      <c r="C624" s="22">
        <f>1/'EQUITY BACKTEST'!E627</f>
        <v>0.7482789584</v>
      </c>
      <c r="D624" s="22">
        <f t="shared" si="1"/>
        <v>-0.3788184819</v>
      </c>
      <c r="E624" s="22">
        <f t="shared" ref="E624:F624" si="624">IF(A624&lt;&gt;"", (B624 - B623) / B623, "")</f>
        <v>0.02968723726</v>
      </c>
      <c r="F624" s="22">
        <f t="shared" si="624"/>
        <v>-0.008979347501</v>
      </c>
      <c r="H624" s="22" t="str">
        <f t="shared" si="4"/>
        <v/>
      </c>
    </row>
    <row r="625" ht="15.75" customHeight="1">
      <c r="A625" s="32">
        <f>'EQUITY BACKTEST'!A628</f>
        <v>40522.66667</v>
      </c>
      <c r="B625" s="22">
        <f>'EQUITY BACKTEST'!B628</f>
        <v>1240.4</v>
      </c>
      <c r="C625" s="22">
        <f>1/'EQUITY BACKTEST'!E628</f>
        <v>0.7556865412</v>
      </c>
      <c r="D625" s="22">
        <f t="shared" si="1"/>
        <v>-0.3693674</v>
      </c>
      <c r="E625" s="22">
        <f t="shared" ref="E625:F625" si="625">IF(A625&lt;&gt;"", (B625 - B624) / B624, "")</f>
        <v>0.01281119612</v>
      </c>
      <c r="F625" s="22">
        <f t="shared" si="625"/>
        <v>0.00989949369</v>
      </c>
      <c r="H625" s="22" t="str">
        <f t="shared" si="4"/>
        <v/>
      </c>
    </row>
    <row r="626" ht="15.75" customHeight="1">
      <c r="A626" s="32">
        <f>'EQUITY BACKTEST'!A629</f>
        <v>40529.66667</v>
      </c>
      <c r="B626" s="22">
        <f>'EQUITY BACKTEST'!B629</f>
        <v>1243.91</v>
      </c>
      <c r="C626" s="22">
        <f>1/'EQUITY BACKTEST'!E629</f>
        <v>0.7583225904</v>
      </c>
      <c r="D626" s="22">
        <f t="shared" si="1"/>
        <v>-0.3780420714</v>
      </c>
      <c r="E626" s="22">
        <f t="shared" ref="E626:F626" si="626">IF(A626&lt;&gt;"", (B626 - B625) / B625, "")</f>
        <v>0.002829732344</v>
      </c>
      <c r="F626" s="22">
        <f t="shared" si="626"/>
        <v>0.003488283916</v>
      </c>
      <c r="H626" s="22" t="str">
        <f t="shared" si="4"/>
        <v/>
      </c>
    </row>
    <row r="627" ht="15.75" customHeight="1">
      <c r="A627" s="32">
        <f>'EQUITY BACKTEST'!A630</f>
        <v>40535.66667</v>
      </c>
      <c r="B627" s="22">
        <f>'EQUITY BACKTEST'!B630</f>
        <v>1256.77</v>
      </c>
      <c r="C627" s="22">
        <f>1/'EQUITY BACKTEST'!E630</f>
        <v>0.762195122</v>
      </c>
      <c r="D627" s="22">
        <f t="shared" si="1"/>
        <v>-0.3643789812</v>
      </c>
      <c r="E627" s="22">
        <f t="shared" ref="E627:F627" si="627">IF(A627&lt;&gt;"", (B627 - B626) / B626, "")</f>
        <v>0.01033836853</v>
      </c>
      <c r="F627" s="22">
        <f t="shared" si="627"/>
        <v>0.005106707317</v>
      </c>
      <c r="H627" s="22" t="str">
        <f t="shared" si="4"/>
        <v/>
      </c>
    </row>
    <row r="628" ht="15.75" customHeight="1">
      <c r="A628" s="32">
        <f>'EQUITY BACKTEST'!A631</f>
        <v>40543.66667</v>
      </c>
      <c r="B628" s="22">
        <f>'EQUITY BACKTEST'!B631</f>
        <v>1257.64</v>
      </c>
      <c r="C628" s="22">
        <f>1/'EQUITY BACKTEST'!E631</f>
        <v>0.7470491558</v>
      </c>
      <c r="D628" s="22">
        <f t="shared" si="1"/>
        <v>-0.3600498751</v>
      </c>
      <c r="E628" s="22">
        <f t="shared" ref="E628:F628" si="628">IF(A628&lt;&gt;"", (B628 - B627) / B627, "")</f>
        <v>0.0006922507698</v>
      </c>
      <c r="F628" s="22">
        <f t="shared" si="628"/>
        <v>-0.01987150755</v>
      </c>
      <c r="H628" s="22" t="str">
        <f t="shared" si="4"/>
        <v/>
      </c>
    </row>
    <row r="629" ht="15.75" customHeight="1">
      <c r="A629" s="32">
        <f>'EQUITY BACKTEST'!A632</f>
        <v>40550.66667</v>
      </c>
      <c r="B629" s="22">
        <f>'EQUITY BACKTEST'!B632</f>
        <v>1271.5</v>
      </c>
      <c r="C629" s="22">
        <f>1/'EQUITY BACKTEST'!E632</f>
        <v>0.7744133819</v>
      </c>
      <c r="D629" s="22">
        <f t="shared" si="1"/>
        <v>-0.3313582774</v>
      </c>
      <c r="E629" s="22">
        <f t="shared" ref="E629:F629" si="629">IF(A629&lt;&gt;"", (B629 - B628) / B628, "")</f>
        <v>0.01102064184</v>
      </c>
      <c r="F629" s="22">
        <f t="shared" si="629"/>
        <v>0.03662975296</v>
      </c>
      <c r="H629" s="22" t="str">
        <f t="shared" si="4"/>
        <v/>
      </c>
    </row>
    <row r="630" ht="15.75" customHeight="1">
      <c r="A630" s="32">
        <f>'EQUITY BACKTEST'!A633</f>
        <v>40557.66667</v>
      </c>
      <c r="B630" s="22">
        <f>'EQUITY BACKTEST'!B633</f>
        <v>1293.24</v>
      </c>
      <c r="C630" s="22">
        <f>1/'EQUITY BACKTEST'!E633</f>
        <v>0.7505253678</v>
      </c>
      <c r="D630" s="22">
        <f t="shared" si="1"/>
        <v>-0.3099109583</v>
      </c>
      <c r="E630" s="22">
        <f t="shared" ref="E630:F630" si="630">IF(A630&lt;&gt;"", (B630 - B629) / B629, "")</f>
        <v>0.01709791585</v>
      </c>
      <c r="F630" s="22">
        <f t="shared" si="630"/>
        <v>-0.03084659261</v>
      </c>
      <c r="H630" s="22" t="str">
        <f t="shared" si="4"/>
        <v/>
      </c>
    </row>
    <row r="631" ht="15.75" customHeight="1">
      <c r="A631" s="32">
        <f>'EQUITY BACKTEST'!A634</f>
        <v>40564.66667</v>
      </c>
      <c r="B631" s="22">
        <f>'EQUITY BACKTEST'!B634</f>
        <v>1283.35</v>
      </c>
      <c r="C631" s="22">
        <f>1/'EQUITY BACKTEST'!E634</f>
        <v>0.7365397363</v>
      </c>
      <c r="D631" s="22">
        <f t="shared" si="1"/>
        <v>-0.2840822558</v>
      </c>
      <c r="E631" s="22">
        <f t="shared" ref="E631:F631" si="631">IF(A631&lt;&gt;"", (B631 - B630) / B630, "")</f>
        <v>-0.007647459095</v>
      </c>
      <c r="F631" s="22">
        <f t="shared" si="631"/>
        <v>-0.01863445533</v>
      </c>
      <c r="H631" s="22" t="str">
        <f t="shared" si="4"/>
        <v/>
      </c>
    </row>
    <row r="632" ht="15.75" customHeight="1">
      <c r="A632" s="32">
        <f>'EQUITY BACKTEST'!A635</f>
        <v>40571.66667</v>
      </c>
      <c r="B632" s="22">
        <f>'EQUITY BACKTEST'!B635</f>
        <v>1276.34</v>
      </c>
      <c r="C632" s="22">
        <f>1/'EQUITY BACKTEST'!E635</f>
        <v>0.7350779183</v>
      </c>
      <c r="D632" s="22">
        <f t="shared" si="1"/>
        <v>-0.2631079884</v>
      </c>
      <c r="E632" s="22">
        <f t="shared" ref="E632:F632" si="632">IF(A632&lt;&gt;"", (B632 - B631) / B631, "")</f>
        <v>-0.005462266724</v>
      </c>
      <c r="F632" s="22">
        <f t="shared" si="632"/>
        <v>-0.001984710379</v>
      </c>
      <c r="H632" s="22" t="str">
        <f t="shared" si="4"/>
        <v/>
      </c>
    </row>
    <row r="633" ht="15.75" customHeight="1">
      <c r="A633" s="32">
        <f>'EQUITY BACKTEST'!A636</f>
        <v>40578.66667</v>
      </c>
      <c r="B633" s="22">
        <f>'EQUITY BACKTEST'!B636</f>
        <v>1310.87</v>
      </c>
      <c r="C633" s="22">
        <f>1/'EQUITY BACKTEST'!E636</f>
        <v>0.736377025</v>
      </c>
      <c r="D633" s="22">
        <f t="shared" si="1"/>
        <v>-0.2275923497</v>
      </c>
      <c r="E633" s="22">
        <f t="shared" ref="E633:F633" si="633">IF(A633&lt;&gt;"", (B633 - B632) / B632, "")</f>
        <v>0.0270539198</v>
      </c>
      <c r="F633" s="22">
        <f t="shared" si="633"/>
        <v>0.00176730486</v>
      </c>
      <c r="H633" s="22" t="str">
        <f t="shared" si="4"/>
        <v/>
      </c>
    </row>
    <row r="634" ht="15.75" customHeight="1">
      <c r="A634" s="32">
        <f>'EQUITY BACKTEST'!A637</f>
        <v>40585.66667</v>
      </c>
      <c r="B634" s="22">
        <f>'EQUITY BACKTEST'!B637</f>
        <v>1329.15</v>
      </c>
      <c r="C634" s="22">
        <f>1/'EQUITY BACKTEST'!E637</f>
        <v>0.7382253064</v>
      </c>
      <c r="D634" s="22">
        <f t="shared" si="1"/>
        <v>-0.2033726744</v>
      </c>
      <c r="E634" s="22">
        <f t="shared" ref="E634:F634" si="634">IF(A634&lt;&gt;"", (B634 - B633) / B633, "")</f>
        <v>0.01394493733</v>
      </c>
      <c r="F634" s="22">
        <f t="shared" si="634"/>
        <v>0.002509966042</v>
      </c>
      <c r="H634" s="22" t="str">
        <f t="shared" si="4"/>
        <v/>
      </c>
    </row>
    <row r="635" ht="15.75" customHeight="1">
      <c r="A635" s="32">
        <f>'EQUITY BACKTEST'!A638</f>
        <v>40592.66667</v>
      </c>
      <c r="B635" s="22">
        <f>'EQUITY BACKTEST'!B638</f>
        <v>1343.01</v>
      </c>
      <c r="C635" s="22">
        <f>1/'EQUITY BACKTEST'!E638</f>
        <v>0.7315288954</v>
      </c>
      <c r="D635" s="22">
        <f t="shared" si="1"/>
        <v>-0.1740125054</v>
      </c>
      <c r="E635" s="22">
        <f t="shared" ref="E635:F635" si="635">IF(A635&lt;&gt;"", (B635 - B634) / B634, "")</f>
        <v>0.01042771696</v>
      </c>
      <c r="F635" s="22">
        <f t="shared" si="635"/>
        <v>-0.009070958303</v>
      </c>
      <c r="H635" s="22" t="str">
        <f t="shared" si="4"/>
        <v/>
      </c>
    </row>
    <row r="636" ht="15.75" customHeight="1">
      <c r="A636" s="32">
        <f>'EQUITY BACKTEST'!A639</f>
        <v>40599.66667</v>
      </c>
      <c r="B636" s="22">
        <f>'EQUITY BACKTEST'!B639</f>
        <v>1319.88</v>
      </c>
      <c r="C636" s="22">
        <f>1/'EQUITY BACKTEST'!E639</f>
        <v>0.7274314396</v>
      </c>
      <c r="D636" s="22">
        <f t="shared" si="1"/>
        <v>-0.1592677782</v>
      </c>
      <c r="E636" s="22">
        <f t="shared" ref="E636:F636" si="636">IF(A636&lt;&gt;"", (B636 - B635) / B635, "")</f>
        <v>-0.01722250765</v>
      </c>
      <c r="F636" s="22">
        <f t="shared" si="636"/>
        <v>-0.005601222085</v>
      </c>
      <c r="H636" s="22" t="str">
        <f t="shared" si="4"/>
        <v/>
      </c>
    </row>
    <row r="637" ht="15.75" customHeight="1">
      <c r="A637" s="32">
        <f>'EQUITY BACKTEST'!A640</f>
        <v>40606.66667</v>
      </c>
      <c r="B637" s="22">
        <f>'EQUITY BACKTEST'!B640</f>
        <v>1321.15</v>
      </c>
      <c r="C637" s="22">
        <f>1/'EQUITY BACKTEST'!E640</f>
        <v>0.7151029748</v>
      </c>
      <c r="D637" s="22">
        <f t="shared" si="1"/>
        <v>-0.1260246031</v>
      </c>
      <c r="E637" s="22">
        <f t="shared" ref="E637:F637" si="637">IF(A637&lt;&gt;"", (B637 - B636) / B636, "")</f>
        <v>0.0009622086856</v>
      </c>
      <c r="F637" s="22">
        <f t="shared" si="637"/>
        <v>-0.0169479405</v>
      </c>
      <c r="H637" s="22" t="str">
        <f t="shared" si="4"/>
        <v/>
      </c>
    </row>
    <row r="638" ht="15.75" customHeight="1">
      <c r="A638" s="32">
        <f>'EQUITY BACKTEST'!A641</f>
        <v>40613.66667</v>
      </c>
      <c r="B638" s="22">
        <f>'EQUITY BACKTEST'!B641</f>
        <v>1304.28</v>
      </c>
      <c r="C638" s="22">
        <f>1/'EQUITY BACKTEST'!E641</f>
        <v>0.7214486689</v>
      </c>
      <c r="D638" s="22">
        <f t="shared" si="1"/>
        <v>-0.0852331637</v>
      </c>
      <c r="E638" s="22">
        <f t="shared" ref="E638:F638" si="638">IF(A638&lt;&gt;"", (B638 - B637) / B637, "")</f>
        <v>-0.01276917837</v>
      </c>
      <c r="F638" s="22">
        <f t="shared" si="638"/>
        <v>0.008873818628</v>
      </c>
      <c r="H638" s="22" t="str">
        <f t="shared" si="4"/>
        <v/>
      </c>
    </row>
    <row r="639" ht="15.75" customHeight="1">
      <c r="A639" s="32">
        <f>'EQUITY BACKTEST'!A642</f>
        <v>40620.66667</v>
      </c>
      <c r="B639" s="22">
        <f>'EQUITY BACKTEST'!B642</f>
        <v>1279.2</v>
      </c>
      <c r="C639" s="22">
        <f>1/'EQUITY BACKTEST'!E642</f>
        <v>0.705148998</v>
      </c>
      <c r="D639" s="22">
        <f t="shared" si="1"/>
        <v>-0.04262403171</v>
      </c>
      <c r="E639" s="22">
        <f t="shared" ref="E639:F639" si="639">IF(A639&lt;&gt;"", (B639 - B638) / B638, "")</f>
        <v>-0.01922899991</v>
      </c>
      <c r="F639" s="22">
        <f t="shared" si="639"/>
        <v>-0.0225929739</v>
      </c>
      <c r="H639" s="22" t="str">
        <f t="shared" si="4"/>
        <v/>
      </c>
    </row>
    <row r="640" ht="15.75" customHeight="1">
      <c r="A640" s="32">
        <f>'EQUITY BACKTEST'!A643</f>
        <v>40627.66667</v>
      </c>
      <c r="B640" s="22">
        <f>'EQUITY BACKTEST'!B643</f>
        <v>1313.8</v>
      </c>
      <c r="C640" s="22">
        <f>1/'EQUITY BACKTEST'!E643</f>
        <v>0.7098743522</v>
      </c>
      <c r="D640" s="22">
        <f t="shared" si="1"/>
        <v>-0.01275488362</v>
      </c>
      <c r="E640" s="22">
        <f t="shared" ref="E640:F640" si="640">IF(A640&lt;&gt;"", (B640 - B639) / B639, "")</f>
        <v>0.0270481551</v>
      </c>
      <c r="F640" s="22">
        <f t="shared" si="640"/>
        <v>0.006701213885</v>
      </c>
      <c r="H640" s="22" t="str">
        <f t="shared" si="4"/>
        <v/>
      </c>
    </row>
    <row r="641" ht="15.75" customHeight="1">
      <c r="A641" s="32">
        <f>'EQUITY BACKTEST'!A644</f>
        <v>40634.66667</v>
      </c>
      <c r="B641" s="22">
        <f>'EQUITY BACKTEST'!B644</f>
        <v>1332.41</v>
      </c>
      <c r="C641" s="22">
        <f>1/'EQUITY BACKTEST'!E644</f>
        <v>0.7023458351</v>
      </c>
      <c r="D641" s="22">
        <f t="shared" si="1"/>
        <v>0.01672508488</v>
      </c>
      <c r="E641" s="22">
        <f t="shared" ref="E641:F641" si="641">IF(A641&lt;&gt;"", (B641 - B640) / B640, "")</f>
        <v>0.01416501751</v>
      </c>
      <c r="F641" s="22">
        <f t="shared" si="641"/>
        <v>-0.01060542211</v>
      </c>
      <c r="H641" s="22" t="str">
        <f t="shared" si="4"/>
        <v/>
      </c>
    </row>
    <row r="642" ht="15.75" customHeight="1">
      <c r="A642" s="32">
        <f>'EQUITY BACKTEST'!A645</f>
        <v>40641.66667</v>
      </c>
      <c r="B642" s="22">
        <f>'EQUITY BACKTEST'!B645</f>
        <v>1328.17</v>
      </c>
      <c r="C642" s="22">
        <f>1/'EQUITY BACKTEST'!E645</f>
        <v>0.6928086463</v>
      </c>
      <c r="D642" s="22">
        <f t="shared" si="1"/>
        <v>0.06054460162</v>
      </c>
      <c r="E642" s="22">
        <f t="shared" ref="E642:F642" si="642">IF(A642&lt;&gt;"", (B642 - B641) / B641, "")</f>
        <v>-0.003182203676</v>
      </c>
      <c r="F642" s="22">
        <f t="shared" si="642"/>
        <v>-0.01357904947</v>
      </c>
      <c r="H642" s="22" t="str">
        <f t="shared" si="4"/>
        <v/>
      </c>
    </row>
    <row r="643" ht="15.75" customHeight="1">
      <c r="A643" s="32">
        <f>'EQUITY BACKTEST'!A646</f>
        <v>40648.66667</v>
      </c>
      <c r="B643" s="22">
        <f>'EQUITY BACKTEST'!B646</f>
        <v>1319.68</v>
      </c>
      <c r="C643" s="22">
        <f>1/'EQUITY BACKTEST'!E646</f>
        <v>0.6930967563</v>
      </c>
      <c r="D643" s="22">
        <f t="shared" si="1"/>
        <v>0.09811386604</v>
      </c>
      <c r="E643" s="22">
        <f t="shared" ref="E643:F643" si="643">IF(A643&lt;&gt;"", (B643 - B642) / B642, "")</f>
        <v>-0.006392254004</v>
      </c>
      <c r="F643" s="22">
        <f t="shared" si="643"/>
        <v>0.0004158580538</v>
      </c>
      <c r="H643" s="22" t="str">
        <f t="shared" si="4"/>
        <v/>
      </c>
    </row>
    <row r="644" ht="15.75" customHeight="1">
      <c r="A644" s="32">
        <f>'EQUITY BACKTEST'!A647</f>
        <v>40654.66667</v>
      </c>
      <c r="B644" s="22">
        <f>'EQUITY BACKTEST'!B647</f>
        <v>1337.38</v>
      </c>
      <c r="C644" s="22">
        <f>1/'EQUITY BACKTEST'!E647</f>
        <v>0.6868131868</v>
      </c>
      <c r="D644" s="22">
        <f t="shared" si="1"/>
        <v>0.1283475027</v>
      </c>
      <c r="E644" s="22">
        <f t="shared" ref="E644:F644" si="644">IF(A644&lt;&gt;"", (B644 - B643) / B643, "")</f>
        <v>0.01341234239</v>
      </c>
      <c r="F644" s="22">
        <f t="shared" si="644"/>
        <v>-0.009065934066</v>
      </c>
      <c r="H644" s="22" t="str">
        <f t="shared" si="4"/>
        <v/>
      </c>
    </row>
    <row r="645" ht="15.75" customHeight="1">
      <c r="A645" s="32">
        <f>'EQUITY BACKTEST'!A648</f>
        <v>40662.66667</v>
      </c>
      <c r="B645" s="22">
        <f>'EQUITY BACKTEST'!B648</f>
        <v>1363.61</v>
      </c>
      <c r="C645" s="22">
        <f>1/'EQUITY BACKTEST'!E648</f>
        <v>0.6749004522</v>
      </c>
      <c r="D645" s="22">
        <f t="shared" si="1"/>
        <v>0.1698025982</v>
      </c>
      <c r="E645" s="22">
        <f t="shared" ref="E645:F645" si="645">IF(A645&lt;&gt;"", (B645 - B644) / B644, "")</f>
        <v>0.01961297462</v>
      </c>
      <c r="F645" s="22">
        <f t="shared" si="645"/>
        <v>-0.01734494162</v>
      </c>
      <c r="H645" s="22" t="str">
        <f t="shared" si="4"/>
        <v/>
      </c>
    </row>
    <row r="646" ht="15.75" customHeight="1">
      <c r="A646" s="32">
        <f>'EQUITY BACKTEST'!A649</f>
        <v>40669.66667</v>
      </c>
      <c r="B646" s="22">
        <f>'EQUITY BACKTEST'!B649</f>
        <v>1340.2</v>
      </c>
      <c r="C646" s="22">
        <f>1/'EQUITY BACKTEST'!E649</f>
        <v>0.6900358819</v>
      </c>
      <c r="D646" s="22">
        <f t="shared" si="1"/>
        <v>0.2319648401</v>
      </c>
      <c r="E646" s="22">
        <f t="shared" ref="E646:F646" si="646">IF(A646&lt;&gt;"", (B646 - B645) / B645, "")</f>
        <v>-0.01716766524</v>
      </c>
      <c r="F646" s="22">
        <f t="shared" si="646"/>
        <v>0.02242616616</v>
      </c>
      <c r="H646" s="22" t="str">
        <f t="shared" si="4"/>
        <v/>
      </c>
    </row>
    <row r="647" ht="15.75" customHeight="1">
      <c r="A647" s="32">
        <f>'EQUITY BACKTEST'!A650</f>
        <v>40676.66667</v>
      </c>
      <c r="B647" s="22">
        <f>'EQUITY BACKTEST'!B650</f>
        <v>1337.77</v>
      </c>
      <c r="C647" s="22">
        <f>1/'EQUITY BACKTEST'!E650</f>
        <v>0.7083658001</v>
      </c>
      <c r="D647" s="22">
        <f t="shared" si="1"/>
        <v>0.274038952</v>
      </c>
      <c r="E647" s="22">
        <f t="shared" ref="E647:F647" si="647">IF(A647&lt;&gt;"", (B647 - B646) / B646, "")</f>
        <v>-0.001813162215</v>
      </c>
      <c r="F647" s="22">
        <f t="shared" si="647"/>
        <v>0.0265637175</v>
      </c>
      <c r="H647" s="22" t="str">
        <f t="shared" si="4"/>
        <v/>
      </c>
    </row>
    <row r="648" ht="15.75" customHeight="1">
      <c r="A648" s="32">
        <f>'EQUITY BACKTEST'!A651</f>
        <v>40683.66667</v>
      </c>
      <c r="B648" s="22">
        <f>'EQUITY BACKTEST'!B651</f>
        <v>1333.27</v>
      </c>
      <c r="C648" s="22">
        <f>1/'EQUITY BACKTEST'!E651</f>
        <v>0.705716302</v>
      </c>
      <c r="D648" s="22">
        <f t="shared" si="1"/>
        <v>0.2864025229</v>
      </c>
      <c r="E648" s="22">
        <f t="shared" ref="E648:F648" si="648">IF(A648&lt;&gt;"", (B648 - B647) / B647, "")</f>
        <v>-0.003363806932</v>
      </c>
      <c r="F648" s="22">
        <f t="shared" si="648"/>
        <v>-0.003740296401</v>
      </c>
      <c r="H648" s="22" t="str">
        <f t="shared" si="4"/>
        <v/>
      </c>
    </row>
    <row r="649" ht="15.75" customHeight="1">
      <c r="A649" s="32">
        <f>'EQUITY BACKTEST'!A652</f>
        <v>40690.66667</v>
      </c>
      <c r="B649" s="22">
        <f>'EQUITY BACKTEST'!B652</f>
        <v>1331.1</v>
      </c>
      <c r="C649" s="22">
        <f>1/'EQUITY BACKTEST'!E652</f>
        <v>0.7000840101</v>
      </c>
      <c r="D649" s="22">
        <f t="shared" si="1"/>
        <v>0.3068501089</v>
      </c>
      <c r="E649" s="22">
        <f t="shared" ref="E649:F649" si="649">IF(A649&lt;&gt;"", (B649 - B648) / B648, "")</f>
        <v>-0.00162757731</v>
      </c>
      <c r="F649" s="22">
        <f t="shared" si="649"/>
        <v>-0.007980957715</v>
      </c>
      <c r="H649" s="22" t="str">
        <f t="shared" si="4"/>
        <v/>
      </c>
    </row>
    <row r="650" ht="15.75" customHeight="1">
      <c r="A650" s="32">
        <f>'EQUITY BACKTEST'!A653</f>
        <v>40697.66667</v>
      </c>
      <c r="B650" s="22">
        <f>'EQUITY BACKTEST'!B653</f>
        <v>1300.16</v>
      </c>
      <c r="C650" s="22">
        <f>1/'EQUITY BACKTEST'!E653</f>
        <v>0.6835269993</v>
      </c>
      <c r="D650" s="22">
        <f t="shared" si="1"/>
        <v>0.3108892532</v>
      </c>
      <c r="E650" s="22">
        <f t="shared" ref="E650:F650" si="650">IF(A650&lt;&gt;"", (B650 - B649) / B649, "")</f>
        <v>-0.02324393359</v>
      </c>
      <c r="F650" s="22">
        <f t="shared" si="650"/>
        <v>-0.02365003418</v>
      </c>
      <c r="H650" s="22" t="str">
        <f t="shared" si="4"/>
        <v/>
      </c>
    </row>
    <row r="651" ht="15.75" customHeight="1">
      <c r="A651" s="32">
        <f>'EQUITY BACKTEST'!A654</f>
        <v>40704.66667</v>
      </c>
      <c r="B651" s="22">
        <f>'EQUITY BACKTEST'!B654</f>
        <v>1270.98</v>
      </c>
      <c r="C651" s="22">
        <f>1/'EQUITY BACKTEST'!E654</f>
        <v>0.6962333774</v>
      </c>
      <c r="D651" s="22">
        <f t="shared" si="1"/>
        <v>0.336044037</v>
      </c>
      <c r="E651" s="22">
        <f t="shared" ref="E651:F651" si="651">IF(A651&lt;&gt;"", (B651 - B650) / B650, "")</f>
        <v>-0.02244339158</v>
      </c>
      <c r="F651" s="22">
        <f t="shared" si="651"/>
        <v>0.01858943118</v>
      </c>
      <c r="H651" s="22" t="str">
        <f t="shared" si="4"/>
        <v/>
      </c>
    </row>
    <row r="652" ht="15.75" customHeight="1">
      <c r="A652" s="32">
        <f>'EQUITY BACKTEST'!A655</f>
        <v>40711.66667</v>
      </c>
      <c r="B652" s="22">
        <f>'EQUITY BACKTEST'!B655</f>
        <v>1271.5</v>
      </c>
      <c r="C652" s="22">
        <f>1/'EQUITY BACKTEST'!E655</f>
        <v>0.6981290142</v>
      </c>
      <c r="D652" s="22">
        <f t="shared" si="1"/>
        <v>0.350424776</v>
      </c>
      <c r="E652" s="22">
        <f t="shared" ref="E652:F652" si="652">IF(A652&lt;&gt;"", (B652 - B651) / B651, "")</f>
        <v>0.0004091331099</v>
      </c>
      <c r="F652" s="22">
        <f t="shared" si="652"/>
        <v>0.002722703156</v>
      </c>
      <c r="H652" s="22" t="str">
        <f t="shared" si="4"/>
        <v/>
      </c>
    </row>
    <row r="653" ht="15.75" customHeight="1">
      <c r="A653" s="32">
        <f>'EQUITY BACKTEST'!A656</f>
        <v>40718.66667</v>
      </c>
      <c r="B653" s="22">
        <f>'EQUITY BACKTEST'!B656</f>
        <v>1268.45</v>
      </c>
      <c r="C653" s="22">
        <f>1/'EQUITY BACKTEST'!E656</f>
        <v>0.704920344</v>
      </c>
      <c r="D653" s="22">
        <f t="shared" si="1"/>
        <v>0.3618815898</v>
      </c>
      <c r="E653" s="22">
        <f t="shared" ref="E653:F653" si="653">IF(A653&lt;&gt;"", (B653 - B652) / B652, "")</f>
        <v>-0.002398741644</v>
      </c>
      <c r="F653" s="22">
        <f t="shared" si="653"/>
        <v>0.009727900747</v>
      </c>
      <c r="H653" s="22" t="str">
        <f t="shared" si="4"/>
        <v/>
      </c>
    </row>
    <row r="654" ht="15.75" customHeight="1">
      <c r="A654" s="32">
        <f>'EQUITY BACKTEST'!A657</f>
        <v>40725.66667</v>
      </c>
      <c r="B654" s="22">
        <f>'EQUITY BACKTEST'!B657</f>
        <v>1339.67</v>
      </c>
      <c r="C654" s="22">
        <f>1/'EQUITY BACKTEST'!E657</f>
        <v>0.6894174423</v>
      </c>
      <c r="D654" s="22">
        <f t="shared" si="1"/>
        <v>0.3769775458</v>
      </c>
      <c r="E654" s="22">
        <f t="shared" ref="E654:F654" si="654">IF(A654&lt;&gt;"", (B654 - B653) / B653, "")</f>
        <v>0.05614726635</v>
      </c>
      <c r="F654" s="22">
        <f t="shared" si="654"/>
        <v>-0.02199241641</v>
      </c>
      <c r="H654" s="22" t="str">
        <f t="shared" si="4"/>
        <v/>
      </c>
    </row>
    <row r="655" ht="15.75" customHeight="1">
      <c r="A655" s="32">
        <f>'EQUITY BACKTEST'!A658</f>
        <v>40732.66667</v>
      </c>
      <c r="B655" s="22">
        <f>'EQUITY BACKTEST'!B658</f>
        <v>1343.8</v>
      </c>
      <c r="C655" s="22">
        <f>1/'EQUITY BACKTEST'!E658</f>
        <v>0.7011147725</v>
      </c>
      <c r="D655" s="22">
        <f t="shared" si="1"/>
        <v>0.4278862417</v>
      </c>
      <c r="E655" s="22">
        <f t="shared" ref="E655:F655" si="655">IF(A655&lt;&gt;"", (B655 - B654) / B654, "")</f>
        <v>0.003082848761</v>
      </c>
      <c r="F655" s="22">
        <f t="shared" si="655"/>
        <v>0.01696697749</v>
      </c>
      <c r="H655" s="22" t="str">
        <f t="shared" si="4"/>
        <v/>
      </c>
    </row>
    <row r="656" ht="15.75" customHeight="1">
      <c r="A656" s="32">
        <f>'EQUITY BACKTEST'!A659</f>
        <v>40739.66667</v>
      </c>
      <c r="B656" s="22">
        <f>'EQUITY BACKTEST'!B659</f>
        <v>1316.14</v>
      </c>
      <c r="C656" s="22">
        <f>1/'EQUITY BACKTEST'!E659</f>
        <v>0.7065140596</v>
      </c>
      <c r="D656" s="22">
        <f t="shared" si="1"/>
        <v>0.4722103764</v>
      </c>
      <c r="E656" s="22">
        <f t="shared" ref="E656:F656" si="656">IF(A656&lt;&gt;"", (B656 - B655) / B655, "")</f>
        <v>-0.02058342015</v>
      </c>
      <c r="F656" s="22">
        <f t="shared" si="656"/>
        <v>0.00770100325</v>
      </c>
      <c r="H656" s="22" t="str">
        <f t="shared" si="4"/>
        <v/>
      </c>
    </row>
    <row r="657" ht="15.75" customHeight="1">
      <c r="A657" s="32">
        <f>'EQUITY BACKTEST'!A660</f>
        <v>40746.66667</v>
      </c>
      <c r="B657" s="22">
        <f>'EQUITY BACKTEST'!B660</f>
        <v>1345.02</v>
      </c>
      <c r="C657" s="22">
        <f>1/'EQUITY BACKTEST'!E660</f>
        <v>0.6962333774</v>
      </c>
      <c r="D657" s="22">
        <f t="shared" si="1"/>
        <v>0.5029968055</v>
      </c>
      <c r="E657" s="22">
        <f t="shared" ref="E657:F657" si="657">IF(A657&lt;&gt;"", (B657 - B656) / B656, "")</f>
        <v>0.0219429544</v>
      </c>
      <c r="F657" s="22">
        <f t="shared" si="657"/>
        <v>-0.01455127759</v>
      </c>
      <c r="H657" s="22" t="str">
        <f t="shared" si="4"/>
        <v/>
      </c>
    </row>
    <row r="658" ht="15.75" customHeight="1">
      <c r="A658" s="32">
        <f>'EQUITY BACKTEST'!A661</f>
        <v>40753.66667</v>
      </c>
      <c r="B658" s="22">
        <f>'EQUITY BACKTEST'!B661</f>
        <v>1292.28</v>
      </c>
      <c r="C658" s="22">
        <f>1/'EQUITY BACKTEST'!E661</f>
        <v>0.6952169077</v>
      </c>
      <c r="D658" s="22">
        <f t="shared" si="1"/>
        <v>0.5606092589</v>
      </c>
      <c r="E658" s="22">
        <f t="shared" ref="E658:F658" si="658">IF(A658&lt;&gt;"", (B658 - B657) / B657, "")</f>
        <v>-0.03921131284</v>
      </c>
      <c r="F658" s="22">
        <f t="shared" si="658"/>
        <v>-0.001459955506</v>
      </c>
      <c r="H658" s="22" t="str">
        <f t="shared" si="4"/>
        <v/>
      </c>
    </row>
    <row r="659" ht="15.75" customHeight="1">
      <c r="A659" s="32">
        <f>'EQUITY BACKTEST'!A662</f>
        <v>40760.66667</v>
      </c>
      <c r="B659" s="22">
        <f>'EQUITY BACKTEST'!B662</f>
        <v>1199.38</v>
      </c>
      <c r="C659" s="22">
        <f>1/'EQUITY BACKTEST'!E662</f>
        <v>0.7064641469</v>
      </c>
      <c r="D659" s="22">
        <f t="shared" si="1"/>
        <v>0.5950549842</v>
      </c>
      <c r="E659" s="22">
        <f t="shared" ref="E659:F659" si="659">IF(A659&lt;&gt;"", (B659 - B658) / B658, "")</f>
        <v>-0.07188844523</v>
      </c>
      <c r="F659" s="22">
        <f t="shared" si="659"/>
        <v>0.01617802897</v>
      </c>
      <c r="H659" s="22" t="str">
        <f t="shared" si="4"/>
        <v/>
      </c>
    </row>
    <row r="660" ht="15.75" customHeight="1">
      <c r="A660" s="32">
        <f>'EQUITY BACKTEST'!A663</f>
        <v>40767.66667</v>
      </c>
      <c r="B660" s="22">
        <f>'EQUITY BACKTEST'!B663</f>
        <v>1178.81</v>
      </c>
      <c r="C660" s="22">
        <f>1/'EQUITY BACKTEST'!E663</f>
        <v>0.7018036353</v>
      </c>
      <c r="D660" s="22">
        <f t="shared" si="1"/>
        <v>0.5987642374</v>
      </c>
      <c r="E660" s="22">
        <f t="shared" ref="E660:F660" si="660">IF(A660&lt;&gt;"", (B660 - B659) / B659, "")</f>
        <v>-0.01715052777</v>
      </c>
      <c r="F660" s="22">
        <f t="shared" si="660"/>
        <v>-0.006596954172</v>
      </c>
      <c r="H660" s="22" t="str">
        <f t="shared" si="4"/>
        <v/>
      </c>
    </row>
    <row r="661" ht="15.75" customHeight="1">
      <c r="A661" s="32">
        <f>'EQUITY BACKTEST'!A664</f>
        <v>40774.66667</v>
      </c>
      <c r="B661" s="22">
        <f>'EQUITY BACKTEST'!B664</f>
        <v>1123.53</v>
      </c>
      <c r="C661" s="22">
        <f>1/'EQUITY BACKTEST'!E664</f>
        <v>0.6941552131</v>
      </c>
      <c r="D661" s="22">
        <f t="shared" si="1"/>
        <v>0.5963255226</v>
      </c>
      <c r="E661" s="22">
        <f t="shared" ref="E661:F661" si="661">IF(A661&lt;&gt;"", (B661 - B660) / B660, "")</f>
        <v>-0.04689474979</v>
      </c>
      <c r="F661" s="22">
        <f t="shared" si="661"/>
        <v>-0.01089823685</v>
      </c>
      <c r="H661" s="22" t="str">
        <f t="shared" si="4"/>
        <v/>
      </c>
    </row>
    <row r="662" ht="15.75" customHeight="1">
      <c r="A662" s="32">
        <f>'EQUITY BACKTEST'!A665</f>
        <v>40781.66667</v>
      </c>
      <c r="B662" s="22">
        <f>'EQUITY BACKTEST'!B665</f>
        <v>1176.8</v>
      </c>
      <c r="C662" s="22">
        <f>1/'EQUITY BACKTEST'!E665</f>
        <v>0.6915151096</v>
      </c>
      <c r="D662" s="22">
        <f t="shared" si="1"/>
        <v>0.5702469748</v>
      </c>
      <c r="E662" s="22">
        <f t="shared" ref="E662:F662" si="662">IF(A662&lt;&gt;"", (B662 - B661) / B661, "")</f>
        <v>0.04741306418</v>
      </c>
      <c r="F662" s="22">
        <f t="shared" si="662"/>
        <v>-0.003803333103</v>
      </c>
      <c r="H662" s="22" t="str">
        <f t="shared" si="4"/>
        <v/>
      </c>
    </row>
    <row r="663" ht="15.75" customHeight="1">
      <c r="A663" s="32">
        <f>'EQUITY BACKTEST'!A666</f>
        <v>40788.66667</v>
      </c>
      <c r="B663" s="22">
        <f>'EQUITY BACKTEST'!B666</f>
        <v>1173.97</v>
      </c>
      <c r="C663" s="22">
        <f>1/'EQUITY BACKTEST'!E666</f>
        <v>0.7046719752</v>
      </c>
      <c r="D663" s="22">
        <f t="shared" si="1"/>
        <v>0.5504723826</v>
      </c>
      <c r="E663" s="22">
        <f t="shared" ref="E663:F663" si="663">IF(A663&lt;&gt;"", (B663 - B662) / B662, "")</f>
        <v>-0.002404826649</v>
      </c>
      <c r="F663" s="22">
        <f t="shared" si="663"/>
        <v>0.01902614333</v>
      </c>
      <c r="H663" s="22" t="str">
        <f t="shared" si="4"/>
        <v/>
      </c>
    </row>
    <row r="664" ht="15.75" customHeight="1">
      <c r="A664" s="32">
        <f>'EQUITY BACKTEST'!A667</f>
        <v>40795.66667</v>
      </c>
      <c r="B664" s="22">
        <f>'EQUITY BACKTEST'!B667</f>
        <v>1154.23</v>
      </c>
      <c r="C664" s="22">
        <f>1/'EQUITY BACKTEST'!E667</f>
        <v>0.732386114</v>
      </c>
      <c r="D664" s="22">
        <f t="shared" si="1"/>
        <v>0.5187379148</v>
      </c>
      <c r="E664" s="22">
        <f t="shared" ref="E664:F664" si="664">IF(A664&lt;&gt;"", (B664 - B663) / B663, "")</f>
        <v>-0.01681473973</v>
      </c>
      <c r="F664" s="22">
        <f t="shared" si="664"/>
        <v>0.03932913432</v>
      </c>
      <c r="H664" s="22" t="str">
        <f t="shared" si="4"/>
        <v/>
      </c>
    </row>
    <row r="665" ht="15.75" customHeight="1">
      <c r="A665" s="32">
        <f>'EQUITY BACKTEST'!A668</f>
        <v>40802.66667</v>
      </c>
      <c r="B665" s="22">
        <f>'EQUITY BACKTEST'!B668</f>
        <v>1216.01</v>
      </c>
      <c r="C665" s="22">
        <f>1/'EQUITY BACKTEST'!E668</f>
        <v>0.7253209545</v>
      </c>
      <c r="D665" s="22">
        <f t="shared" si="1"/>
        <v>0.4724526544</v>
      </c>
      <c r="E665" s="22">
        <f t="shared" ref="E665:F665" si="665">IF(A665&lt;&gt;"", (B665 - B664) / B664, "")</f>
        <v>0.05352486073</v>
      </c>
      <c r="F665" s="22">
        <f t="shared" si="665"/>
        <v>-0.009646768695</v>
      </c>
      <c r="H665" s="22" t="str">
        <f t="shared" si="4"/>
        <v/>
      </c>
    </row>
    <row r="666" ht="15.75" customHeight="1">
      <c r="A666" s="32">
        <f>'EQUITY BACKTEST'!A669</f>
        <v>40809.66667</v>
      </c>
      <c r="B666" s="22">
        <f>'EQUITY BACKTEST'!B669</f>
        <v>1136.43</v>
      </c>
      <c r="C666" s="22">
        <f>1/'EQUITY BACKTEST'!E669</f>
        <v>0.7400281211</v>
      </c>
      <c r="D666" s="22">
        <f t="shared" si="1"/>
        <v>0.4401090194</v>
      </c>
      <c r="E666" s="22">
        <f t="shared" ref="E666:F666" si="666">IF(A666&lt;&gt;"", (B666 - B665) / B665, "")</f>
        <v>-0.06544354076</v>
      </c>
      <c r="F666" s="22">
        <f t="shared" si="666"/>
        <v>0.02027677052</v>
      </c>
      <c r="H666" s="22" t="str">
        <f t="shared" si="4"/>
        <v/>
      </c>
    </row>
    <row r="667" ht="15.75" customHeight="1">
      <c r="A667" s="32">
        <f>'EQUITY BACKTEST'!A670</f>
        <v>40816.66667</v>
      </c>
      <c r="B667" s="22">
        <f>'EQUITY BACKTEST'!B670</f>
        <v>1131.42</v>
      </c>
      <c r="C667" s="22">
        <f>1/'EQUITY BACKTEST'!E670</f>
        <v>0.7468259895</v>
      </c>
      <c r="D667" s="22">
        <f t="shared" si="1"/>
        <v>0.4180273854</v>
      </c>
      <c r="E667" s="22">
        <f t="shared" ref="E667:F667" si="667">IF(A667&lt;&gt;"", (B667 - B666) / B666, "")</f>
        <v>-0.004408542541</v>
      </c>
      <c r="F667" s="22">
        <f t="shared" si="667"/>
        <v>0.009185959671</v>
      </c>
      <c r="H667" s="22" t="str">
        <f t="shared" si="4"/>
        <v/>
      </c>
    </row>
    <row r="668" ht="15.75" customHeight="1">
      <c r="A668" s="32">
        <f>'EQUITY BACKTEST'!A671</f>
        <v>40823.66667</v>
      </c>
      <c r="B668" s="22">
        <f>'EQUITY BACKTEST'!B671</f>
        <v>1155.46</v>
      </c>
      <c r="C668" s="22">
        <f>1/'EQUITY BACKTEST'!E671</f>
        <v>0.7470491558</v>
      </c>
      <c r="D668" s="22">
        <f t="shared" si="1"/>
        <v>0.3898958975</v>
      </c>
      <c r="E668" s="22">
        <f t="shared" ref="E668:F668" si="668">IF(A668&lt;&gt;"", (B668 - B667) / B667, "")</f>
        <v>0.02124763571</v>
      </c>
      <c r="F668" s="22">
        <f t="shared" si="668"/>
        <v>0.0002988196623</v>
      </c>
      <c r="H668" s="22" t="str">
        <f t="shared" si="4"/>
        <v/>
      </c>
    </row>
    <row r="669" ht="15.75" customHeight="1">
      <c r="A669" s="32">
        <f>'EQUITY BACKTEST'!A672</f>
        <v>40830.66667</v>
      </c>
      <c r="B669" s="22">
        <f>'EQUITY BACKTEST'!B672</f>
        <v>1224.58</v>
      </c>
      <c r="C669" s="22">
        <f>1/'EQUITY BACKTEST'!E672</f>
        <v>0.7216048492</v>
      </c>
      <c r="D669" s="22">
        <f t="shared" si="1"/>
        <v>0.3688706604</v>
      </c>
      <c r="E669" s="22">
        <f t="shared" ref="E669:F669" si="669">IF(A669&lt;&gt;"", (B669 - B668) / B668, "")</f>
        <v>0.0598203313</v>
      </c>
      <c r="F669" s="22">
        <f t="shared" si="669"/>
        <v>-0.03405974888</v>
      </c>
      <c r="H669" s="22" t="str">
        <f t="shared" si="4"/>
        <v/>
      </c>
    </row>
    <row r="670" ht="15.75" customHeight="1">
      <c r="A670" s="32">
        <f>'EQUITY BACKTEST'!A673</f>
        <v>40837.66667</v>
      </c>
      <c r="B670" s="22">
        <f>'EQUITY BACKTEST'!B673</f>
        <v>1238.25</v>
      </c>
      <c r="C670" s="22">
        <f>1/'EQUITY BACKTEST'!E673</f>
        <v>0.7208765859</v>
      </c>
      <c r="D670" s="22">
        <f t="shared" si="1"/>
        <v>0.3209022355</v>
      </c>
      <c r="E670" s="22">
        <f t="shared" ref="E670:F670" si="670">IF(A670&lt;&gt;"", (B670 - B669) / B669, "")</f>
        <v>0.01116301099</v>
      </c>
      <c r="F670" s="22">
        <f t="shared" si="670"/>
        <v>-0.00100922722</v>
      </c>
      <c r="H670" s="22" t="str">
        <f t="shared" si="4"/>
        <v/>
      </c>
    </row>
    <row r="671" ht="15.75" customHeight="1">
      <c r="A671" s="32">
        <f>'EQUITY BACKTEST'!A674</f>
        <v>40844.66667</v>
      </c>
      <c r="B671" s="22">
        <f>'EQUITY BACKTEST'!B674</f>
        <v>1285.08</v>
      </c>
      <c r="C671" s="22">
        <f>1/'EQUITY BACKTEST'!E674</f>
        <v>0.7069635914</v>
      </c>
      <c r="D671" s="22">
        <f t="shared" si="1"/>
        <v>0.2770774602</v>
      </c>
      <c r="E671" s="22">
        <f t="shared" ref="E671:F671" si="671">IF(A671&lt;&gt;"", (B671 - B670) / B670, "")</f>
        <v>0.03781950333</v>
      </c>
      <c r="F671" s="22">
        <f t="shared" si="671"/>
        <v>-0.01930010604</v>
      </c>
      <c r="H671" s="22" t="str">
        <f t="shared" si="4"/>
        <v/>
      </c>
    </row>
    <row r="672" ht="15.75" customHeight="1">
      <c r="A672" s="32">
        <f>'EQUITY BACKTEST'!A675</f>
        <v>40851.66667</v>
      </c>
      <c r="B672" s="22">
        <f>'EQUITY BACKTEST'!B675</f>
        <v>1253.23</v>
      </c>
      <c r="C672" s="22">
        <f>1/'EQUITY BACKTEST'!E675</f>
        <v>0.7274843591</v>
      </c>
      <c r="D672" s="22">
        <f t="shared" si="1"/>
        <v>0.2502169546</v>
      </c>
      <c r="E672" s="22">
        <f t="shared" ref="E672:F672" si="672">IF(A672&lt;&gt;"", (B672 - B671) / B671, "")</f>
        <v>-0.02478444922</v>
      </c>
      <c r="F672" s="22">
        <f t="shared" si="672"/>
        <v>0.02902662593</v>
      </c>
      <c r="H672" s="22" t="str">
        <f t="shared" si="4"/>
        <v/>
      </c>
    </row>
    <row r="673" ht="15.75" customHeight="1">
      <c r="A673" s="32">
        <f>'EQUITY BACKTEST'!A676</f>
        <v>40858.66667</v>
      </c>
      <c r="B673" s="22">
        <f>'EQUITY BACKTEST'!B676</f>
        <v>1263.85</v>
      </c>
      <c r="C673" s="22">
        <f>1/'EQUITY BACKTEST'!E676</f>
        <v>0.7257947452</v>
      </c>
      <c r="D673" s="22">
        <f t="shared" si="1"/>
        <v>0.2095822083</v>
      </c>
      <c r="E673" s="22">
        <f t="shared" ref="E673:F673" si="673">IF(A673&lt;&gt;"", (B673 - B672) / B672, "")</f>
        <v>0.008474102918</v>
      </c>
      <c r="F673" s="22">
        <f t="shared" si="673"/>
        <v>-0.002322543185</v>
      </c>
      <c r="H673" s="22" t="str">
        <f t="shared" si="4"/>
        <v/>
      </c>
    </row>
    <row r="674" ht="15.75" customHeight="1">
      <c r="A674" s="32">
        <f>'EQUITY BACKTEST'!A677</f>
        <v>40865.66667</v>
      </c>
      <c r="B674" s="22">
        <f>'EQUITY BACKTEST'!B677</f>
        <v>1215.65</v>
      </c>
      <c r="C674" s="22">
        <f>1/'EQUITY BACKTEST'!E677</f>
        <v>0.7397544015</v>
      </c>
      <c r="D674" s="22">
        <f t="shared" si="1"/>
        <v>0.162958845</v>
      </c>
      <c r="E674" s="22">
        <f t="shared" ref="E674:F674" si="674">IF(A674&lt;&gt;"", (B674 - B673) / B673, "")</f>
        <v>-0.0381374372</v>
      </c>
      <c r="F674" s="22">
        <f t="shared" si="674"/>
        <v>0.01923361444</v>
      </c>
      <c r="H674" s="22" t="str">
        <f t="shared" si="4"/>
        <v/>
      </c>
    </row>
    <row r="675" ht="15.75" customHeight="1">
      <c r="A675" s="32">
        <f>'EQUITY BACKTEST'!A678</f>
        <v>40872.66667</v>
      </c>
      <c r="B675" s="22">
        <f>'EQUITY BACKTEST'!B678</f>
        <v>1158.67</v>
      </c>
      <c r="C675" s="22">
        <f>1/'EQUITY BACKTEST'!E678</f>
        <v>0.7552299675</v>
      </c>
      <c r="D675" s="22">
        <f t="shared" si="1"/>
        <v>0.09432776582</v>
      </c>
      <c r="E675" s="22">
        <f t="shared" ref="E675:F675" si="675">IF(A675&lt;&gt;"", (B675 - B674) / B674, "")</f>
        <v>-0.04687204376</v>
      </c>
      <c r="F675" s="22">
        <f t="shared" si="675"/>
        <v>0.0209198701</v>
      </c>
      <c r="H675" s="22" t="str">
        <f t="shared" si="4"/>
        <v/>
      </c>
    </row>
    <row r="676" ht="15.75" customHeight="1">
      <c r="A676" s="32">
        <f>'EQUITY BACKTEST'!A679</f>
        <v>40879.66667</v>
      </c>
      <c r="B676" s="22">
        <f>'EQUITY BACKTEST'!B679</f>
        <v>1244.28</v>
      </c>
      <c r="C676" s="22">
        <f>1/'EQUITY BACKTEST'!E679</f>
        <v>0.7460348249</v>
      </c>
      <c r="D676" s="22">
        <f t="shared" si="1"/>
        <v>0.02726016113</v>
      </c>
      <c r="E676" s="22">
        <f t="shared" ref="E676:F676" si="676">IF(A676&lt;&gt;"", (B676 - B675) / B675, "")</f>
        <v>0.07388643876</v>
      </c>
      <c r="F676" s="22">
        <f t="shared" si="676"/>
        <v>-0.01217528834</v>
      </c>
      <c r="H676" s="22" t="str">
        <f t="shared" si="4"/>
        <v/>
      </c>
    </row>
    <row r="677" ht="15.75" customHeight="1">
      <c r="A677" s="32">
        <f>'EQUITY BACKTEST'!A680</f>
        <v>40886.66667</v>
      </c>
      <c r="B677" s="22">
        <f>'EQUITY BACKTEST'!B680</f>
        <v>1255.19</v>
      </c>
      <c r="C677" s="22">
        <f>1/'EQUITY BACKTEST'!E680</f>
        <v>0.7482229704</v>
      </c>
      <c r="D677" s="22">
        <f t="shared" si="1"/>
        <v>-0.04008385659</v>
      </c>
      <c r="E677" s="22">
        <f t="shared" ref="E677:F677" si="677">IF(A677&lt;&gt;"", (B677 - B676) / B676, "")</f>
        <v>0.008768122931</v>
      </c>
      <c r="F677" s="22">
        <f t="shared" si="677"/>
        <v>0.002933034044</v>
      </c>
      <c r="H677" s="22" t="str">
        <f t="shared" si="4"/>
        <v/>
      </c>
    </row>
    <row r="678" ht="15.75" customHeight="1">
      <c r="A678" s="32">
        <f>'EQUITY BACKTEST'!A681</f>
        <v>40893.66667</v>
      </c>
      <c r="B678" s="22">
        <f>'EQUITY BACKTEST'!B681</f>
        <v>1219.66</v>
      </c>
      <c r="C678" s="22">
        <f>1/'EQUITY BACKTEST'!E681</f>
        <v>0.7666360012</v>
      </c>
      <c r="D678" s="22">
        <f t="shared" si="1"/>
        <v>-0.1302964914</v>
      </c>
      <c r="E678" s="22">
        <f t="shared" ref="E678:F678" si="678">IF(A678&lt;&gt;"", (B678 - B677) / B677, "")</f>
        <v>-0.02830647153</v>
      </c>
      <c r="F678" s="22">
        <f t="shared" si="678"/>
        <v>0.02460901564</v>
      </c>
      <c r="H678" s="22" t="str">
        <f t="shared" si="4"/>
        <v/>
      </c>
    </row>
    <row r="679" ht="15.75" customHeight="1">
      <c r="A679" s="32">
        <f>'EQUITY BACKTEST'!A682</f>
        <v>40900.66667</v>
      </c>
      <c r="B679" s="22">
        <f>'EQUITY BACKTEST'!B682</f>
        <v>1265.33</v>
      </c>
      <c r="C679" s="22">
        <f>1/'EQUITY BACKTEST'!E682</f>
        <v>0.7669299793</v>
      </c>
      <c r="D679" s="22">
        <f t="shared" si="1"/>
        <v>-0.2025004401</v>
      </c>
      <c r="E679" s="22">
        <f t="shared" ref="E679:F679" si="679">IF(A679&lt;&gt;"", (B679 - B678) / B678, "")</f>
        <v>0.03744486168</v>
      </c>
      <c r="F679" s="22">
        <f t="shared" si="679"/>
        <v>0.0003834649896</v>
      </c>
      <c r="H679" s="22" t="str">
        <f t="shared" si="4"/>
        <v/>
      </c>
    </row>
    <row r="680" ht="15.75" customHeight="1">
      <c r="A680" s="32">
        <f>'EQUITY BACKTEST'!A683</f>
        <v>40907.66667</v>
      </c>
      <c r="B680" s="22">
        <f>'EQUITY BACKTEST'!B683</f>
        <v>1257.6</v>
      </c>
      <c r="C680" s="22">
        <f>1/'EQUITY BACKTEST'!E683</f>
        <v>0.7717835919</v>
      </c>
      <c r="D680" s="22">
        <f t="shared" si="1"/>
        <v>-0.2652016169</v>
      </c>
      <c r="E680" s="22">
        <f t="shared" ref="E680:F680" si="680">IF(A680&lt;&gt;"", (B680 - B679) / B679, "")</f>
        <v>-0.006109078264</v>
      </c>
      <c r="F680" s="22">
        <f t="shared" si="680"/>
        <v>0.006328625453</v>
      </c>
      <c r="H680" s="22" t="str">
        <f t="shared" si="4"/>
        <v/>
      </c>
    </row>
    <row r="681" ht="15.75" customHeight="1">
      <c r="A681" s="32">
        <f>'EQUITY BACKTEST'!A684</f>
        <v>40914.66667</v>
      </c>
      <c r="B681" s="22">
        <f>'EQUITY BACKTEST'!B684</f>
        <v>1277.81</v>
      </c>
      <c r="C681" s="22">
        <f>1/'EQUITY BACKTEST'!E684</f>
        <v>0.7860399308</v>
      </c>
      <c r="D681" s="22">
        <f t="shared" si="1"/>
        <v>-0.3063573286</v>
      </c>
      <c r="E681" s="22">
        <f t="shared" ref="E681:F681" si="681">IF(A681&lt;&gt;"", (B681 - B680) / B680, "")</f>
        <v>0.01607029262</v>
      </c>
      <c r="F681" s="22">
        <f t="shared" si="681"/>
        <v>0.01847193837</v>
      </c>
      <c r="H681" s="22" t="str">
        <f t="shared" si="4"/>
        <v/>
      </c>
    </row>
    <row r="682" ht="15.75" customHeight="1">
      <c r="A682" s="32">
        <f>'EQUITY BACKTEST'!A685</f>
        <v>40921.66667</v>
      </c>
      <c r="B682" s="22">
        <f>'EQUITY BACKTEST'!B685</f>
        <v>1289.09</v>
      </c>
      <c r="C682" s="22">
        <f>1/'EQUITY BACKTEST'!E685</f>
        <v>0.7886435331</v>
      </c>
      <c r="D682" s="22">
        <f t="shared" si="1"/>
        <v>-0.3419614482</v>
      </c>
      <c r="E682" s="22">
        <f t="shared" ref="E682:F682" si="682">IF(A682&lt;&gt;"", (B682 - B681) / B681, "")</f>
        <v>0.008827603478</v>
      </c>
      <c r="F682" s="22">
        <f t="shared" si="682"/>
        <v>0.003312302839</v>
      </c>
      <c r="H682" s="22" t="str">
        <f t="shared" si="4"/>
        <v/>
      </c>
    </row>
    <row r="683" ht="15.75" customHeight="1">
      <c r="A683" s="32">
        <f>'EQUITY BACKTEST'!A686</f>
        <v>40928.66667</v>
      </c>
      <c r="B683" s="22">
        <f>'EQUITY BACKTEST'!B686</f>
        <v>1315.38</v>
      </c>
      <c r="C683" s="22">
        <f>1/'EQUITY BACKTEST'!E686</f>
        <v>0.7724393635</v>
      </c>
      <c r="D683" s="22">
        <f t="shared" si="1"/>
        <v>-0.3660561455</v>
      </c>
      <c r="E683" s="22">
        <f t="shared" ref="E683:F683" si="683">IF(A683&lt;&gt;"", (B683 - B682) / B682, "")</f>
        <v>0.02039423159</v>
      </c>
      <c r="F683" s="22">
        <f t="shared" si="683"/>
        <v>-0.02054688707</v>
      </c>
      <c r="H683" s="22" t="str">
        <f t="shared" si="4"/>
        <v/>
      </c>
    </row>
    <row r="684" ht="15.75" customHeight="1">
      <c r="A684" s="32">
        <f>'EQUITY BACKTEST'!A687</f>
        <v>40935.66667</v>
      </c>
      <c r="B684" s="22">
        <f>'EQUITY BACKTEST'!B687</f>
        <v>1316.32</v>
      </c>
      <c r="C684" s="22">
        <f>1/'EQUITY BACKTEST'!E687</f>
        <v>0.7581501137</v>
      </c>
      <c r="D684" s="22">
        <f t="shared" si="1"/>
        <v>-0.4187194278</v>
      </c>
      <c r="E684" s="22">
        <f t="shared" ref="E684:F684" si="684">IF(A684&lt;&gt;"", (B684 - B683) / B683, "")</f>
        <v>0.0007146223905</v>
      </c>
      <c r="F684" s="22">
        <f t="shared" si="684"/>
        <v>-0.01849886277</v>
      </c>
      <c r="H684" s="22" t="str">
        <f t="shared" si="4"/>
        <v/>
      </c>
    </row>
    <row r="685" ht="15.75" customHeight="1">
      <c r="A685" s="32">
        <f>'EQUITY BACKTEST'!A688</f>
        <v>40942.66667</v>
      </c>
      <c r="B685" s="22">
        <f>'EQUITY BACKTEST'!B688</f>
        <v>1344.9</v>
      </c>
      <c r="C685" s="22">
        <f>1/'EQUITY BACKTEST'!E688</f>
        <v>0.7602828252</v>
      </c>
      <c r="D685" s="22">
        <f t="shared" si="1"/>
        <v>-0.4962536025</v>
      </c>
      <c r="E685" s="22">
        <f t="shared" ref="E685:F685" si="685">IF(A685&lt;&gt;"", (B685 - B684) / B684, "")</f>
        <v>0.0217120457</v>
      </c>
      <c r="F685" s="22">
        <f t="shared" si="685"/>
        <v>0.002813046453</v>
      </c>
      <c r="H685" s="22" t="str">
        <f t="shared" si="4"/>
        <v/>
      </c>
    </row>
    <row r="686" ht="15.75" customHeight="1">
      <c r="A686" s="32">
        <f>'EQUITY BACKTEST'!A689</f>
        <v>40949.66667</v>
      </c>
      <c r="B686" s="22">
        <f>'EQUITY BACKTEST'!B689</f>
        <v>1342.64</v>
      </c>
      <c r="C686" s="22">
        <f>1/'EQUITY BACKTEST'!E689</f>
        <v>0.7578628268</v>
      </c>
      <c r="D686" s="22">
        <f t="shared" si="1"/>
        <v>-0.5365302666</v>
      </c>
      <c r="E686" s="22">
        <f t="shared" ref="E686:F686" si="686">IF(A686&lt;&gt;"", (B686 - B685) / B685, "")</f>
        <v>-0.001680422336</v>
      </c>
      <c r="F686" s="22">
        <f t="shared" si="686"/>
        <v>-0.003183023873</v>
      </c>
      <c r="H686" s="22" t="str">
        <f t="shared" si="4"/>
        <v/>
      </c>
    </row>
    <row r="687" ht="15.75" customHeight="1">
      <c r="A687" s="32">
        <f>'EQUITY BACKTEST'!A690</f>
        <v>40956.66667</v>
      </c>
      <c r="B687" s="22">
        <f>'EQUITY BACKTEST'!B690</f>
        <v>1361.23</v>
      </c>
      <c r="C687" s="22">
        <f>1/'EQUITY BACKTEST'!E690</f>
        <v>0.7609770946</v>
      </c>
      <c r="D687" s="22">
        <f t="shared" si="1"/>
        <v>-0.578896327</v>
      </c>
      <c r="E687" s="22">
        <f t="shared" ref="E687:F687" si="687">IF(A687&lt;&gt;"", (B687 - B686) / B686, "")</f>
        <v>0.01384585593</v>
      </c>
      <c r="F687" s="22">
        <f t="shared" si="687"/>
        <v>0.004109276311</v>
      </c>
      <c r="H687" s="22" t="str">
        <f t="shared" si="4"/>
        <v/>
      </c>
    </row>
    <row r="688" ht="15.75" customHeight="1">
      <c r="A688" s="32">
        <f>'EQUITY BACKTEST'!A691</f>
        <v>40963.66667</v>
      </c>
      <c r="B688" s="22">
        <f>'EQUITY BACKTEST'!B691</f>
        <v>1365.74</v>
      </c>
      <c r="C688" s="22">
        <f>1/'EQUITY BACKTEST'!E691</f>
        <v>0.743660296</v>
      </c>
      <c r="D688" s="22">
        <f t="shared" si="1"/>
        <v>-0.5937173331</v>
      </c>
      <c r="E688" s="22">
        <f t="shared" ref="E688:F688" si="688">IF(A688&lt;&gt;"", (B688 - B687) / B687, "")</f>
        <v>0.003313179992</v>
      </c>
      <c r="F688" s="22">
        <f t="shared" si="688"/>
        <v>-0.02275600506</v>
      </c>
      <c r="H688" s="22" t="str">
        <f t="shared" si="4"/>
        <v/>
      </c>
    </row>
    <row r="689" ht="15.75" customHeight="1">
      <c r="A689" s="32">
        <f>'EQUITY BACKTEST'!A692</f>
        <v>40970.66667</v>
      </c>
      <c r="B689" s="22">
        <f>'EQUITY BACKTEST'!B692</f>
        <v>1369.63</v>
      </c>
      <c r="C689" s="22">
        <f>1/'EQUITY BACKTEST'!E692</f>
        <v>0.7575183698</v>
      </c>
      <c r="D689" s="22">
        <f t="shared" si="1"/>
        <v>-0.6145719372</v>
      </c>
      <c r="E689" s="22">
        <f t="shared" ref="E689:F689" si="689">IF(A689&lt;&gt;"", (B689 - B688) / B688, "")</f>
        <v>0.002848272731</v>
      </c>
      <c r="F689" s="22">
        <f t="shared" si="689"/>
        <v>0.0186349519</v>
      </c>
      <c r="H689" s="22" t="str">
        <f t="shared" si="4"/>
        <v/>
      </c>
    </row>
    <row r="690" ht="15.75" customHeight="1">
      <c r="A690" s="32">
        <f>'EQUITY BACKTEST'!A693</f>
        <v>40977.66667</v>
      </c>
      <c r="B690" s="22">
        <f>'EQUITY BACKTEST'!B693</f>
        <v>1370.87</v>
      </c>
      <c r="C690" s="22">
        <f>1/'EQUITY BACKTEST'!E693</f>
        <v>0.7621370322</v>
      </c>
      <c r="D690" s="22">
        <f t="shared" si="1"/>
        <v>-0.6164954648</v>
      </c>
      <c r="E690" s="22">
        <f t="shared" ref="E690:F690" si="690">IF(A690&lt;&gt;"", (B690 - B689) / B689, "")</f>
        <v>0.0009053540007</v>
      </c>
      <c r="F690" s="22">
        <f t="shared" si="690"/>
        <v>0.006097096258</v>
      </c>
      <c r="H690" s="22" t="str">
        <f t="shared" si="4"/>
        <v/>
      </c>
    </row>
    <row r="691" ht="15.75" customHeight="1">
      <c r="A691" s="32">
        <f>'EQUITY BACKTEST'!A694</f>
        <v>40984.66667</v>
      </c>
      <c r="B691" s="22">
        <f>'EQUITY BACKTEST'!B694</f>
        <v>1404.17</v>
      </c>
      <c r="C691" s="22">
        <f>1/'EQUITY BACKTEST'!E694</f>
        <v>0.7590708972</v>
      </c>
      <c r="D691" s="22">
        <f t="shared" si="1"/>
        <v>-0.6263188578</v>
      </c>
      <c r="E691" s="22">
        <f t="shared" ref="E691:F691" si="691">IF(A691&lt;&gt;"", (B691 - B690) / B690, "")</f>
        <v>0.02429114358</v>
      </c>
      <c r="F691" s="22">
        <f t="shared" si="691"/>
        <v>-0.004023075755</v>
      </c>
      <c r="H691" s="22" t="str">
        <f t="shared" si="4"/>
        <v/>
      </c>
    </row>
    <row r="692" ht="15.75" customHeight="1">
      <c r="A692" s="32">
        <f>'EQUITY BACKTEST'!A695</f>
        <v>40991.66667</v>
      </c>
      <c r="B692" s="22">
        <f>'EQUITY BACKTEST'!B695</f>
        <v>1397.11</v>
      </c>
      <c r="C692" s="22">
        <f>1/'EQUITY BACKTEST'!E695</f>
        <v>0.7537499058</v>
      </c>
      <c r="D692" s="22">
        <f t="shared" si="1"/>
        <v>-0.6162122723</v>
      </c>
      <c r="E692" s="22">
        <f t="shared" ref="E692:F692" si="692">IF(A692&lt;&gt;"", (B692 - B691) / B691, "")</f>
        <v>-0.005027881239</v>
      </c>
      <c r="F692" s="22">
        <f t="shared" si="692"/>
        <v>-0.007009874124</v>
      </c>
      <c r="H692" s="22" t="str">
        <f t="shared" si="4"/>
        <v/>
      </c>
    </row>
    <row r="693" ht="15.75" customHeight="1">
      <c r="A693" s="32">
        <f>'EQUITY BACKTEST'!A696</f>
        <v>40998.66667</v>
      </c>
      <c r="B693" s="22">
        <f>'EQUITY BACKTEST'!B696</f>
        <v>1408.47</v>
      </c>
      <c r="C693" s="22">
        <f>1/'EQUITY BACKTEST'!E696</f>
        <v>0.7496251874</v>
      </c>
      <c r="D693" s="22">
        <f t="shared" si="1"/>
        <v>-0.6095211936</v>
      </c>
      <c r="E693" s="22">
        <f t="shared" ref="E693:F693" si="693">IF(A693&lt;&gt;"", (B693 - B692) / B692, "")</f>
        <v>0.008131070567</v>
      </c>
      <c r="F693" s="22">
        <f t="shared" si="693"/>
        <v>-0.005472263868</v>
      </c>
      <c r="H693" s="22" t="str">
        <f t="shared" si="4"/>
        <v/>
      </c>
    </row>
    <row r="694" ht="15.75" customHeight="1">
      <c r="A694" s="32">
        <f>'EQUITY BACKTEST'!A697</f>
        <v>41004.66667</v>
      </c>
      <c r="B694" s="22">
        <f>'EQUITY BACKTEST'!B697</f>
        <v>1398.08</v>
      </c>
      <c r="C694" s="22">
        <f>1/'EQUITY BACKTEST'!E697</f>
        <v>0.7637085688</v>
      </c>
      <c r="D694" s="22">
        <f t="shared" si="1"/>
        <v>-0.6096417809</v>
      </c>
      <c r="E694" s="22">
        <f t="shared" ref="E694:F694" si="694">IF(A694&lt;&gt;"", (B694 - B693) / B693, "")</f>
        <v>-0.007376798938</v>
      </c>
      <c r="F694" s="22">
        <f t="shared" si="694"/>
        <v>0.01878723079</v>
      </c>
      <c r="H694" s="22" t="str">
        <f t="shared" si="4"/>
        <v/>
      </c>
    </row>
    <row r="695" ht="15.75" customHeight="1">
      <c r="A695" s="32">
        <f>'EQUITY BACKTEST'!A698</f>
        <v>41012.66667</v>
      </c>
      <c r="B695" s="22">
        <f>'EQUITY BACKTEST'!B698</f>
        <v>1370.26</v>
      </c>
      <c r="C695" s="22">
        <f>1/'EQUITY BACKTEST'!E698</f>
        <v>0.7644675484</v>
      </c>
      <c r="D695" s="22">
        <f t="shared" si="1"/>
        <v>-0.615641566</v>
      </c>
      <c r="E695" s="22">
        <f t="shared" ref="E695:F695" si="695">IF(A695&lt;&gt;"", (B695 - B694) / B694, "")</f>
        <v>-0.01989871824</v>
      </c>
      <c r="F695" s="22">
        <f t="shared" si="695"/>
        <v>0.0009938078129</v>
      </c>
      <c r="H695" s="22" t="str">
        <f t="shared" si="4"/>
        <v/>
      </c>
    </row>
    <row r="696" ht="15.75" customHeight="1">
      <c r="A696" s="32">
        <f>'EQUITY BACKTEST'!A699</f>
        <v>41019.66667</v>
      </c>
      <c r="B696" s="22">
        <f>'EQUITY BACKTEST'!B699</f>
        <v>1378.53</v>
      </c>
      <c r="C696" s="22">
        <f>1/'EQUITY BACKTEST'!E699</f>
        <v>0.7567158532</v>
      </c>
      <c r="D696" s="22">
        <f t="shared" si="1"/>
        <v>-0.6205993911</v>
      </c>
      <c r="E696" s="22">
        <f t="shared" ref="E696:F696" si="696">IF(A696&lt;&gt;"", (B696 - B695) / B695, "")</f>
        <v>0.006035350955</v>
      </c>
      <c r="F696" s="22">
        <f t="shared" si="696"/>
        <v>-0.01013999243</v>
      </c>
      <c r="H696" s="22" t="str">
        <f t="shared" si="4"/>
        <v/>
      </c>
    </row>
    <row r="697" ht="15.75" customHeight="1">
      <c r="A697" s="32">
        <f>'EQUITY BACKTEST'!A700</f>
        <v>41026.66667</v>
      </c>
      <c r="B697" s="22">
        <f>'EQUITY BACKTEST'!B700</f>
        <v>1403.36</v>
      </c>
      <c r="C697" s="22">
        <f>1/'EQUITY BACKTEST'!E700</f>
        <v>0.7561436673</v>
      </c>
      <c r="D697" s="22">
        <f t="shared" si="1"/>
        <v>-0.6266521001</v>
      </c>
      <c r="E697" s="22">
        <f t="shared" ref="E697:F697" si="697">IF(A697&lt;&gt;"", (B697 - B696) / B696, "")</f>
        <v>0.01801194026</v>
      </c>
      <c r="F697" s="22">
        <f t="shared" si="697"/>
        <v>-0.0007561436673</v>
      </c>
      <c r="H697" s="22" t="str">
        <f t="shared" si="4"/>
        <v/>
      </c>
    </row>
    <row r="698" ht="15.75" customHeight="1">
      <c r="A698" s="32">
        <f>'EQUITY BACKTEST'!A701</f>
        <v>41033.66667</v>
      </c>
      <c r="B698" s="22">
        <f>'EQUITY BACKTEST'!B701</f>
        <v>1369.1</v>
      </c>
      <c r="C698" s="22">
        <f>1/'EQUITY BACKTEST'!E701</f>
        <v>0.7644675484</v>
      </c>
      <c r="D698" s="22">
        <f t="shared" si="1"/>
        <v>-0.6419849634</v>
      </c>
      <c r="E698" s="22">
        <f t="shared" ref="E698:F698" si="698">IF(A698&lt;&gt;"", (B698 - B697) / B697, "")</f>
        <v>-0.02441283776</v>
      </c>
      <c r="F698" s="22">
        <f t="shared" si="698"/>
        <v>0.0110083327</v>
      </c>
      <c r="H698" s="22" t="str">
        <f t="shared" si="4"/>
        <v/>
      </c>
    </row>
    <row r="699" ht="15.75" customHeight="1">
      <c r="A699" s="32">
        <f>'EQUITY BACKTEST'!A702</f>
        <v>41040.66667</v>
      </c>
      <c r="B699" s="22">
        <f>'EQUITY BACKTEST'!B702</f>
        <v>1353.39</v>
      </c>
      <c r="C699" s="22">
        <f>1/'EQUITY BACKTEST'!E702</f>
        <v>0.7743534149</v>
      </c>
      <c r="D699" s="22">
        <f t="shared" si="1"/>
        <v>-0.6508206635</v>
      </c>
      <c r="E699" s="22">
        <f t="shared" ref="E699:F699" si="699">IF(A699&lt;&gt;"", (B699 - B698) / B698, "")</f>
        <v>-0.0114746914</v>
      </c>
      <c r="F699" s="22">
        <f t="shared" si="699"/>
        <v>0.01293170203</v>
      </c>
      <c r="H699" s="22" t="str">
        <f t="shared" si="4"/>
        <v/>
      </c>
    </row>
    <row r="700" ht="15.75" customHeight="1">
      <c r="A700" s="32">
        <f>'EQUITY BACKTEST'!A703</f>
        <v>41047.66667</v>
      </c>
      <c r="B700" s="22">
        <f>'EQUITY BACKTEST'!B703</f>
        <v>1295.22</v>
      </c>
      <c r="C700" s="22">
        <f>1/'EQUITY BACKTEST'!E703</f>
        <v>0.7824726135</v>
      </c>
      <c r="D700" s="22">
        <f t="shared" si="1"/>
        <v>-0.6368970783</v>
      </c>
      <c r="E700" s="22">
        <f t="shared" ref="E700:F700" si="700">IF(A700&lt;&gt;"", (B700 - B699) / B699, "")</f>
        <v>-0.04298095893</v>
      </c>
      <c r="F700" s="22">
        <f t="shared" si="700"/>
        <v>0.01048513302</v>
      </c>
      <c r="H700" s="22" t="str">
        <f t="shared" si="4"/>
        <v/>
      </c>
    </row>
    <row r="701" ht="15.75" customHeight="1">
      <c r="A701" s="32">
        <f>'EQUITY BACKTEST'!A704</f>
        <v>41054.66667</v>
      </c>
      <c r="B701" s="22">
        <f>'EQUITY BACKTEST'!B704</f>
        <v>1317.82</v>
      </c>
      <c r="C701" s="22">
        <f>1/'EQUITY BACKTEST'!E704</f>
        <v>0.7989134777</v>
      </c>
      <c r="D701" s="22">
        <f t="shared" si="1"/>
        <v>-0.6365134897</v>
      </c>
      <c r="E701" s="22">
        <f t="shared" ref="E701:F701" si="701">IF(A701&lt;&gt;"", (B701 - B700) / B700, "")</f>
        <v>0.01744877318</v>
      </c>
      <c r="F701" s="22">
        <f t="shared" si="701"/>
        <v>0.02101142446</v>
      </c>
      <c r="H701" s="22" t="str">
        <f t="shared" si="4"/>
        <v/>
      </c>
    </row>
    <row r="702" ht="15.75" customHeight="1">
      <c r="A702" s="32">
        <f>'EQUITY BACKTEST'!A705</f>
        <v>41061.66667</v>
      </c>
      <c r="B702" s="22">
        <f>'EQUITY BACKTEST'!B705</f>
        <v>1278.04</v>
      </c>
      <c r="C702" s="22">
        <f>1/'EQUITY BACKTEST'!E705</f>
        <v>0.8050881572</v>
      </c>
      <c r="D702" s="22">
        <f t="shared" si="1"/>
        <v>-0.6246366294</v>
      </c>
      <c r="E702" s="22">
        <f t="shared" ref="E702:F702" si="702">IF(A702&lt;&gt;"", (B702 - B701) / B701, "")</f>
        <v>-0.03018621663</v>
      </c>
      <c r="F702" s="22">
        <f t="shared" si="702"/>
        <v>0.007728846309</v>
      </c>
      <c r="H702" s="22" t="str">
        <f t="shared" si="4"/>
        <v/>
      </c>
    </row>
    <row r="703" ht="15.75" customHeight="1">
      <c r="A703" s="32">
        <f>'EQUITY BACKTEST'!A706</f>
        <v>41068.66667</v>
      </c>
      <c r="B703" s="22">
        <f>'EQUITY BACKTEST'!B706</f>
        <v>1325.66</v>
      </c>
      <c r="C703" s="22">
        <f>1/'EQUITY BACKTEST'!E706</f>
        <v>0.7991688644</v>
      </c>
      <c r="D703" s="22">
        <f t="shared" si="1"/>
        <v>-0.6142605051</v>
      </c>
      <c r="E703" s="22">
        <f t="shared" ref="E703:F703" si="703">IF(A703&lt;&gt;"", (B703 - B702) / B702, "")</f>
        <v>0.03726017965</v>
      </c>
      <c r="F703" s="22">
        <f t="shared" si="703"/>
        <v>-0.007352353552</v>
      </c>
      <c r="H703" s="22" t="str">
        <f t="shared" si="4"/>
        <v/>
      </c>
    </row>
    <row r="704" ht="15.75" customHeight="1">
      <c r="A704" s="32">
        <f>'EQUITY BACKTEST'!A707</f>
        <v>41075.66667</v>
      </c>
      <c r="B704" s="22">
        <f>'EQUITY BACKTEST'!B707</f>
        <v>1342.84</v>
      </c>
      <c r="C704" s="22">
        <f>1/'EQUITY BACKTEST'!E707</f>
        <v>0.7900142203</v>
      </c>
      <c r="D704" s="22">
        <f t="shared" si="1"/>
        <v>-0.6151609621</v>
      </c>
      <c r="E704" s="22">
        <f t="shared" ref="E704:F704" si="704">IF(A704&lt;&gt;"", (B704 - B703) / B703, "")</f>
        <v>0.0129595824</v>
      </c>
      <c r="F704" s="22">
        <f t="shared" si="704"/>
        <v>-0.01145520619</v>
      </c>
      <c r="H704" s="22" t="str">
        <f t="shared" si="4"/>
        <v/>
      </c>
    </row>
    <row r="705" ht="15.75" customHeight="1">
      <c r="A705" s="32">
        <f>'EQUITY BACKTEST'!A708</f>
        <v>41082.66667</v>
      </c>
      <c r="B705" s="22">
        <f>'EQUITY BACKTEST'!B708</f>
        <v>1335.02</v>
      </c>
      <c r="C705" s="22">
        <f>1/'EQUITY BACKTEST'!E708</f>
        <v>0.7952918721</v>
      </c>
      <c r="D705" s="22">
        <f t="shared" si="1"/>
        <v>-0.6077685878</v>
      </c>
      <c r="E705" s="22">
        <f t="shared" ref="E705:F705" si="705">IF(A705&lt;&gt;"", (B705 - B704) / B704, "")</f>
        <v>-0.005823478598</v>
      </c>
      <c r="F705" s="22">
        <f t="shared" si="705"/>
        <v>0.006680451726</v>
      </c>
      <c r="H705" s="22" t="str">
        <f t="shared" si="4"/>
        <v/>
      </c>
    </row>
    <row r="706" ht="15.75" customHeight="1">
      <c r="A706" s="32">
        <f>'EQUITY BACKTEST'!A709</f>
        <v>41089.66667</v>
      </c>
      <c r="B706" s="22">
        <f>'EQUITY BACKTEST'!B709</f>
        <v>1362.16</v>
      </c>
      <c r="C706" s="22">
        <f>1/'EQUITY BACKTEST'!E709</f>
        <v>0.7898894155</v>
      </c>
      <c r="D706" s="22">
        <f t="shared" si="1"/>
        <v>-0.5829085183</v>
      </c>
      <c r="E706" s="22">
        <f t="shared" ref="E706:F706" si="706">IF(A706&lt;&gt;"", (B706 - B705) / B705, "")</f>
        <v>0.02032928346</v>
      </c>
      <c r="F706" s="22">
        <f t="shared" si="706"/>
        <v>-0.006793048973</v>
      </c>
      <c r="H706" s="22" t="str">
        <f t="shared" si="4"/>
        <v/>
      </c>
    </row>
    <row r="707" ht="15.75" customHeight="1">
      <c r="A707" s="32">
        <f>'EQUITY BACKTEST'!A710</f>
        <v>41096.66667</v>
      </c>
      <c r="B707" s="22">
        <f>'EQUITY BACKTEST'!B710</f>
        <v>1354.68</v>
      </c>
      <c r="C707" s="22">
        <f>1/'EQUITY BACKTEST'!E710</f>
        <v>0.8139345597</v>
      </c>
      <c r="D707" s="22">
        <f t="shared" si="1"/>
        <v>-0.5447843588</v>
      </c>
      <c r="E707" s="22">
        <f t="shared" ref="E707:F707" si="707">IF(A707&lt;&gt;"", (B707 - B706) / B706, "")</f>
        <v>-0.005491278558</v>
      </c>
      <c r="F707" s="22">
        <f t="shared" si="707"/>
        <v>0.03044115253</v>
      </c>
      <c r="H707" s="22" t="str">
        <f t="shared" si="4"/>
        <v/>
      </c>
    </row>
    <row r="708" ht="15.75" customHeight="1">
      <c r="A708" s="32">
        <f>'EQUITY BACKTEST'!A711</f>
        <v>41103.66667</v>
      </c>
      <c r="B708" s="22">
        <f>'EQUITY BACKTEST'!B711</f>
        <v>1356.78</v>
      </c>
      <c r="C708" s="22">
        <f>1/'EQUITY BACKTEST'!E711</f>
        <v>0.8165264963</v>
      </c>
      <c r="D708" s="22">
        <f t="shared" si="1"/>
        <v>-0.5115150125</v>
      </c>
      <c r="E708" s="22">
        <f t="shared" ref="E708:F708" si="708">IF(A708&lt;&gt;"", (B708 - B707) / B707, "")</f>
        <v>0.001550181593</v>
      </c>
      <c r="F708" s="22">
        <f t="shared" si="708"/>
        <v>0.003184453336</v>
      </c>
      <c r="H708" s="22" t="str">
        <f t="shared" si="4"/>
        <v/>
      </c>
    </row>
    <row r="709" ht="15.75" customHeight="1">
      <c r="A709" s="32">
        <f>'EQUITY BACKTEST'!A712</f>
        <v>41110.66667</v>
      </c>
      <c r="B709" s="22">
        <f>'EQUITY BACKTEST'!B712</f>
        <v>1362.66</v>
      </c>
      <c r="C709" s="22">
        <f>1/'EQUITY BACKTEST'!E712</f>
        <v>0.8227067051</v>
      </c>
      <c r="D709" s="22">
        <f t="shared" si="1"/>
        <v>-0.4828530933</v>
      </c>
      <c r="E709" s="22">
        <f t="shared" ref="E709:F709" si="709">IF(A709&lt;&gt;"", (B709 - B708) / B708, "")</f>
        <v>0.004333790298</v>
      </c>
      <c r="F709" s="22">
        <f t="shared" si="709"/>
        <v>0.007568901687</v>
      </c>
      <c r="H709" s="22" t="str">
        <f t="shared" si="4"/>
        <v/>
      </c>
    </row>
    <row r="710" ht="15.75" customHeight="1">
      <c r="A710" s="32">
        <f>'EQUITY BACKTEST'!A713</f>
        <v>41117.66667</v>
      </c>
      <c r="B710" s="22">
        <f>'EQUITY BACKTEST'!B713</f>
        <v>1385.97</v>
      </c>
      <c r="C710" s="22">
        <f>1/'EQUITY BACKTEST'!E713</f>
        <v>0.8118860112</v>
      </c>
      <c r="D710" s="22">
        <f t="shared" si="1"/>
        <v>-0.4577895565</v>
      </c>
      <c r="E710" s="22">
        <f t="shared" ref="E710:F710" si="710">IF(A710&lt;&gt;"", (B710 - B709) / B709, "")</f>
        <v>0.01710624807</v>
      </c>
      <c r="F710" s="22">
        <f t="shared" si="710"/>
        <v>-0.01315255338</v>
      </c>
      <c r="H710" s="22" t="str">
        <f t="shared" si="4"/>
        <v/>
      </c>
    </row>
    <row r="711" ht="15.75" customHeight="1">
      <c r="A711" s="32">
        <f>'EQUITY BACKTEST'!A714</f>
        <v>41124.66667</v>
      </c>
      <c r="B711" s="22">
        <f>'EQUITY BACKTEST'!B714</f>
        <v>1390.99</v>
      </c>
      <c r="C711" s="22">
        <f>1/'EQUITY BACKTEST'!E714</f>
        <v>0.8072979737</v>
      </c>
      <c r="D711" s="22">
        <f t="shared" si="1"/>
        <v>-0.4398629705</v>
      </c>
      <c r="E711" s="22">
        <f t="shared" ref="E711:F711" si="711">IF(A711&lt;&gt;"", (B711 - B710) / B710, "")</f>
        <v>0.00362201202</v>
      </c>
      <c r="F711" s="22">
        <f t="shared" si="711"/>
        <v>-0.005651085816</v>
      </c>
      <c r="H711" s="22" t="str">
        <f t="shared" si="4"/>
        <v/>
      </c>
    </row>
    <row r="712" ht="15.75" customHeight="1">
      <c r="A712" s="32">
        <f>'EQUITY BACKTEST'!A715</f>
        <v>41131.66667</v>
      </c>
      <c r="B712" s="22">
        <f>'EQUITY BACKTEST'!B715</f>
        <v>1405.87</v>
      </c>
      <c r="C712" s="22">
        <f>1/'EQUITY BACKTEST'!E715</f>
        <v>0.8136696501</v>
      </c>
      <c r="D712" s="22">
        <f t="shared" si="1"/>
        <v>-0.4198841598</v>
      </c>
      <c r="E712" s="22">
        <f t="shared" ref="E712:F712" si="712">IF(A712&lt;&gt;"", (B712 - B711) / B711, "")</f>
        <v>0.01069741695</v>
      </c>
      <c r="F712" s="22">
        <f t="shared" si="712"/>
        <v>0.007892595606</v>
      </c>
      <c r="H712" s="22" t="str">
        <f t="shared" si="4"/>
        <v/>
      </c>
    </row>
    <row r="713" ht="15.75" customHeight="1">
      <c r="A713" s="32">
        <f>'EQUITY BACKTEST'!A716</f>
        <v>41138.66667</v>
      </c>
      <c r="B713" s="22">
        <f>'EQUITY BACKTEST'!B716</f>
        <v>1418.16</v>
      </c>
      <c r="C713" s="22">
        <f>1/'EQUITY BACKTEST'!E716</f>
        <v>0.8109642365</v>
      </c>
      <c r="D713" s="22">
        <f t="shared" si="1"/>
        <v>-0.4024347444</v>
      </c>
      <c r="E713" s="22">
        <f t="shared" ref="E713:F713" si="713">IF(A713&lt;&gt;"", (B713 - B712) / B712, "")</f>
        <v>0.008741917816</v>
      </c>
      <c r="F713" s="22">
        <f t="shared" si="713"/>
        <v>-0.00332495337</v>
      </c>
      <c r="H713" s="22" t="str">
        <f t="shared" si="4"/>
        <v/>
      </c>
    </row>
    <row r="714" ht="15.75" customHeight="1">
      <c r="A714" s="32">
        <f>'EQUITY BACKTEST'!A717</f>
        <v>41145.66667</v>
      </c>
      <c r="B714" s="22">
        <f>'EQUITY BACKTEST'!B717</f>
        <v>1411.13</v>
      </c>
      <c r="C714" s="22">
        <f>1/'EQUITY BACKTEST'!E717</f>
        <v>0.7993605116</v>
      </c>
      <c r="D714" s="22">
        <f t="shared" si="1"/>
        <v>-0.3954207441</v>
      </c>
      <c r="E714" s="22">
        <f t="shared" ref="E714:F714" si="714">IF(A714&lt;&gt;"", (B714 - B713) / B713, "")</f>
        <v>-0.004957127546</v>
      </c>
      <c r="F714" s="22">
        <f t="shared" si="714"/>
        <v>-0.01430855316</v>
      </c>
      <c r="H714" s="22" t="str">
        <f t="shared" si="4"/>
        <v/>
      </c>
    </row>
    <row r="715" ht="15.75" customHeight="1">
      <c r="A715" s="32">
        <f>'EQUITY BACKTEST'!A718</f>
        <v>41152.66667</v>
      </c>
      <c r="B715" s="22">
        <f>'EQUITY BACKTEST'!B718</f>
        <v>1406.58</v>
      </c>
      <c r="C715" s="22">
        <f>1/'EQUITY BACKTEST'!E718</f>
        <v>0.794723039</v>
      </c>
      <c r="D715" s="22">
        <f t="shared" si="1"/>
        <v>-0.3695121387</v>
      </c>
      <c r="E715" s="22">
        <f t="shared" ref="E715:F715" si="715">IF(A715&lt;&gt;"", (B715 - B714) / B714, "")</f>
        <v>-0.003224366288</v>
      </c>
      <c r="F715" s="22">
        <f t="shared" si="715"/>
        <v>-0.005801478185</v>
      </c>
      <c r="H715" s="22" t="str">
        <f t="shared" si="4"/>
        <v/>
      </c>
    </row>
    <row r="716" ht="15.75" customHeight="1">
      <c r="A716" s="32">
        <f>'EQUITY BACKTEST'!A719</f>
        <v>41159.66667</v>
      </c>
      <c r="B716" s="22">
        <f>'EQUITY BACKTEST'!B719</f>
        <v>1437.92</v>
      </c>
      <c r="C716" s="22">
        <f>1/'EQUITY BACKTEST'!E719</f>
        <v>0.7803355443</v>
      </c>
      <c r="D716" s="22">
        <f t="shared" si="1"/>
        <v>-0.3333077359</v>
      </c>
      <c r="E716" s="22">
        <f t="shared" ref="E716:F716" si="716">IF(A716&lt;&gt;"", (B716 - B715) / B715, "")</f>
        <v>0.02228099362</v>
      </c>
      <c r="F716" s="22">
        <f t="shared" si="716"/>
        <v>-0.01810378463</v>
      </c>
      <c r="H716" s="22" t="str">
        <f t="shared" si="4"/>
        <v/>
      </c>
    </row>
    <row r="717" ht="15.75" customHeight="1">
      <c r="A717" s="32">
        <f>'EQUITY BACKTEST'!A720</f>
        <v>41166.66667</v>
      </c>
      <c r="B717" s="22">
        <f>'EQUITY BACKTEST'!B720</f>
        <v>1465.77</v>
      </c>
      <c r="C717" s="22">
        <f>1/'EQUITY BACKTEST'!E720</f>
        <v>0.7618467164</v>
      </c>
      <c r="D717" s="22">
        <f t="shared" si="1"/>
        <v>-0.3287303068</v>
      </c>
      <c r="E717" s="22">
        <f t="shared" ref="E717:F717" si="717">IF(A717&lt;&gt;"", (B717 - B716) / B716, "")</f>
        <v>0.01936825414</v>
      </c>
      <c r="F717" s="22">
        <f t="shared" si="717"/>
        <v>-0.02369343288</v>
      </c>
      <c r="H717" s="22" t="str">
        <f t="shared" si="4"/>
        <v/>
      </c>
    </row>
    <row r="718" ht="15.75" customHeight="1">
      <c r="A718" s="32">
        <f>'EQUITY BACKTEST'!A721</f>
        <v>41173.66667</v>
      </c>
      <c r="B718" s="22">
        <f>'EQUITY BACKTEST'!B721</f>
        <v>1460.15</v>
      </c>
      <c r="C718" s="22">
        <f>1/'EQUITY BACKTEST'!E721</f>
        <v>0.7704753833</v>
      </c>
      <c r="D718" s="22">
        <f t="shared" si="1"/>
        <v>-0.3679717814</v>
      </c>
      <c r="E718" s="22">
        <f t="shared" ref="E718:F718" si="718">IF(A718&lt;&gt;"", (B718 - B717) / B717, "")</f>
        <v>-0.003834162249</v>
      </c>
      <c r="F718" s="22">
        <f t="shared" si="718"/>
        <v>0.01132598813</v>
      </c>
      <c r="H718" s="22" t="str">
        <f t="shared" si="4"/>
        <v/>
      </c>
    </row>
    <row r="719" ht="15.75" customHeight="1">
      <c r="A719" s="32">
        <f>'EQUITY BACKTEST'!A722</f>
        <v>41180.66667</v>
      </c>
      <c r="B719" s="22">
        <f>'EQUITY BACKTEST'!B722</f>
        <v>1440.67</v>
      </c>
      <c r="C719" s="22">
        <f>1/'EQUITY BACKTEST'!E722</f>
        <v>0.7779679477</v>
      </c>
      <c r="D719" s="22">
        <f t="shared" si="1"/>
        <v>-0.3999139205</v>
      </c>
      <c r="E719" s="22">
        <f t="shared" ref="E719:F719" si="719">IF(A719&lt;&gt;"", (B719 - B718) / B718, "")</f>
        <v>-0.01334109509</v>
      </c>
      <c r="F719" s="22">
        <f t="shared" si="719"/>
        <v>0.009724599347</v>
      </c>
      <c r="H719" s="22" t="str">
        <f t="shared" si="4"/>
        <v/>
      </c>
    </row>
    <row r="720" ht="15.75" customHeight="1">
      <c r="A720" s="32">
        <f>'EQUITY BACKTEST'!A723</f>
        <v>41187.66667</v>
      </c>
      <c r="B720" s="22">
        <f>'EQUITY BACKTEST'!B723</f>
        <v>1460.93</v>
      </c>
      <c r="C720" s="22">
        <f>1/'EQUITY BACKTEST'!E723</f>
        <v>0.7674008134</v>
      </c>
      <c r="D720" s="22">
        <f t="shared" si="1"/>
        <v>-0.4213783737</v>
      </c>
      <c r="E720" s="22">
        <f t="shared" ref="E720:F720" si="720">IF(A720&lt;&gt;"", (B720 - B719) / B719, "")</f>
        <v>0.01406290129</v>
      </c>
      <c r="F720" s="22">
        <f t="shared" si="720"/>
        <v>-0.0135829944</v>
      </c>
      <c r="H720" s="22" t="str">
        <f t="shared" si="4"/>
        <v/>
      </c>
    </row>
    <row r="721" ht="15.75" customHeight="1">
      <c r="A721" s="32">
        <f>'EQUITY BACKTEST'!A724</f>
        <v>41194.66667</v>
      </c>
      <c r="B721" s="22">
        <f>'EQUITY BACKTEST'!B724</f>
        <v>1428.59</v>
      </c>
      <c r="C721" s="22">
        <f>1/'EQUITY BACKTEST'!E724</f>
        <v>0.7720219254</v>
      </c>
      <c r="D721" s="22">
        <f t="shared" si="1"/>
        <v>-0.4509811709</v>
      </c>
      <c r="E721" s="22">
        <f t="shared" ref="E721:F721" si="721">IF(A721&lt;&gt;"", (B721 - B720) / B720, "")</f>
        <v>-0.02213658423</v>
      </c>
      <c r="F721" s="22">
        <f t="shared" si="721"/>
        <v>0.006021771018</v>
      </c>
      <c r="H721" s="22" t="str">
        <f t="shared" si="4"/>
        <v/>
      </c>
    </row>
    <row r="722" ht="15.75" customHeight="1">
      <c r="A722" s="32">
        <f>'EQUITY BACKTEST'!A725</f>
        <v>41201.66667</v>
      </c>
      <c r="B722" s="22">
        <f>'EQUITY BACKTEST'!B725</f>
        <v>1433.19</v>
      </c>
      <c r="C722" s="22">
        <f>1/'EQUITY BACKTEST'!E725</f>
        <v>0.7680491551</v>
      </c>
      <c r="D722" s="22">
        <f t="shared" si="1"/>
        <v>-0.4785852276</v>
      </c>
      <c r="E722" s="22">
        <f t="shared" ref="E722:F722" si="722">IF(A722&lt;&gt;"", (B722 - B721) / B721, "")</f>
        <v>0.003219958141</v>
      </c>
      <c r="F722" s="22">
        <f t="shared" si="722"/>
        <v>-0.005145929339</v>
      </c>
      <c r="H722" s="22" t="str">
        <f t="shared" si="4"/>
        <v/>
      </c>
    </row>
    <row r="723" ht="15.75" customHeight="1">
      <c r="A723" s="32">
        <f>'EQUITY BACKTEST'!A726</f>
        <v>41208.66667</v>
      </c>
      <c r="B723" s="22">
        <f>'EQUITY BACKTEST'!B726</f>
        <v>1411.94</v>
      </c>
      <c r="C723" s="22">
        <f>1/'EQUITY BACKTEST'!E726</f>
        <v>0.7729767334</v>
      </c>
      <c r="D723" s="22">
        <f t="shared" si="1"/>
        <v>-0.5184827102</v>
      </c>
      <c r="E723" s="22">
        <f t="shared" ref="E723:F723" si="723">IF(A723&lt;&gt;"", (B723 - B722) / B722, "")</f>
        <v>-0.0148270641</v>
      </c>
      <c r="F723" s="22">
        <f t="shared" si="723"/>
        <v>0.006415706887</v>
      </c>
      <c r="H723" s="22" t="str">
        <f t="shared" si="4"/>
        <v/>
      </c>
    </row>
    <row r="724" ht="15.75" customHeight="1">
      <c r="A724" s="32">
        <f>'EQUITY BACKTEST'!A727</f>
        <v>41215.66667</v>
      </c>
      <c r="B724" s="22">
        <f>'EQUITY BACKTEST'!B727</f>
        <v>1414.2</v>
      </c>
      <c r="C724" s="22">
        <f>1/'EQUITY BACKTEST'!E727</f>
        <v>0.7789375292</v>
      </c>
      <c r="D724" s="22">
        <f t="shared" si="1"/>
        <v>-0.5257953325</v>
      </c>
      <c r="E724" s="22">
        <f t="shared" ref="E724:F724" si="724">IF(A724&lt;&gt;"", (B724 - B723) / B723, "")</f>
        <v>0.001600634588</v>
      </c>
      <c r="F724" s="22">
        <f t="shared" si="724"/>
        <v>0.007711481539</v>
      </c>
      <c r="H724" s="22" t="str">
        <f t="shared" si="4"/>
        <v/>
      </c>
    </row>
    <row r="725" ht="15.75" customHeight="1">
      <c r="A725" s="32">
        <f>'EQUITY BACKTEST'!A728</f>
        <v>41222.66667</v>
      </c>
      <c r="B725" s="22">
        <f>'EQUITY BACKTEST'!B728</f>
        <v>1379.85</v>
      </c>
      <c r="C725" s="22">
        <f>1/'EQUITY BACKTEST'!E728</f>
        <v>0.7870297497</v>
      </c>
      <c r="D725" s="22">
        <f t="shared" si="1"/>
        <v>-0.5105875802</v>
      </c>
      <c r="E725" s="22">
        <f t="shared" ref="E725:F725" si="725">IF(A725&lt;&gt;"", (B725 - B724) / B724, "")</f>
        <v>-0.02428935087</v>
      </c>
      <c r="F725" s="22">
        <f t="shared" si="725"/>
        <v>0.0103887927</v>
      </c>
      <c r="H725" s="22" t="str">
        <f t="shared" si="4"/>
        <v/>
      </c>
    </row>
    <row r="726" ht="15.75" customHeight="1">
      <c r="A726" s="32">
        <f>'EQUITY BACKTEST'!A729</f>
        <v>41229.66667</v>
      </c>
      <c r="B726" s="22">
        <f>'EQUITY BACKTEST'!B729</f>
        <v>1359.88</v>
      </c>
      <c r="C726" s="22">
        <f>1/'EQUITY BACKTEST'!E729</f>
        <v>0.7847445656</v>
      </c>
      <c r="D726" s="22">
        <f t="shared" si="1"/>
        <v>-0.4872501946</v>
      </c>
      <c r="E726" s="22">
        <f t="shared" ref="E726:F726" si="726">IF(A726&lt;&gt;"", (B726 - B725) / B725, "")</f>
        <v>-0.0144725876</v>
      </c>
      <c r="F726" s="22">
        <f t="shared" si="726"/>
        <v>-0.002903554893</v>
      </c>
      <c r="H726" s="22" t="str">
        <f t="shared" si="4"/>
        <v/>
      </c>
    </row>
    <row r="727" ht="15.75" customHeight="1">
      <c r="A727" s="32">
        <f>'EQUITY BACKTEST'!A730</f>
        <v>41236.66667</v>
      </c>
      <c r="B727" s="22">
        <f>'EQUITY BACKTEST'!B730</f>
        <v>1409.15</v>
      </c>
      <c r="C727" s="22">
        <f>1/'EQUITY BACKTEST'!E730</f>
        <v>0.7708317274</v>
      </c>
      <c r="D727" s="22">
        <f t="shared" si="1"/>
        <v>-0.4586950929</v>
      </c>
      <c r="E727" s="22">
        <f t="shared" ref="E727:F727" si="727">IF(A727&lt;&gt;"", (B727 - B726) / B726, "")</f>
        <v>0.03623113804</v>
      </c>
      <c r="F727" s="22">
        <f t="shared" si="727"/>
        <v>-0.01772912973</v>
      </c>
      <c r="H727" s="22" t="str">
        <f t="shared" si="4"/>
        <v/>
      </c>
    </row>
    <row r="728" ht="15.75" customHeight="1">
      <c r="A728" s="32">
        <f>'EQUITY BACKTEST'!A731</f>
        <v>41243.66667</v>
      </c>
      <c r="B728" s="22">
        <f>'EQUITY BACKTEST'!B731</f>
        <v>1416.18</v>
      </c>
      <c r="C728" s="22">
        <f>1/'EQUITY BACKTEST'!E731</f>
        <v>0.7701786815</v>
      </c>
      <c r="D728" s="22">
        <f t="shared" si="1"/>
        <v>-0.4680587442</v>
      </c>
      <c r="E728" s="22">
        <f t="shared" ref="E728:F728" si="728">IF(A728&lt;&gt;"", (B728 - B727) / B727, "")</f>
        <v>0.004988823049</v>
      </c>
      <c r="F728" s="22">
        <f t="shared" si="728"/>
        <v>-0.0008471965496</v>
      </c>
      <c r="H728" s="22" t="str">
        <f t="shared" si="4"/>
        <v/>
      </c>
    </row>
    <row r="729" ht="15.75" customHeight="1">
      <c r="A729" s="32">
        <f>'EQUITY BACKTEST'!A732</f>
        <v>41250.66667</v>
      </c>
      <c r="B729" s="22">
        <f>'EQUITY BACKTEST'!B732</f>
        <v>1418.07</v>
      </c>
      <c r="C729" s="22">
        <f>1/'EQUITY BACKTEST'!E732</f>
        <v>0.7735746886</v>
      </c>
      <c r="D729" s="22">
        <f t="shared" si="1"/>
        <v>-0.4875505983</v>
      </c>
      <c r="E729" s="22">
        <f t="shared" ref="E729:F729" si="729">IF(A729&lt;&gt;"", (B729 - B728) / B728, "")</f>
        <v>0.001334576113</v>
      </c>
      <c r="F729" s="22">
        <f t="shared" si="729"/>
        <v>0.004409375725</v>
      </c>
      <c r="H729" s="22" t="str">
        <f t="shared" si="4"/>
        <v/>
      </c>
    </row>
    <row r="730" ht="15.75" customHeight="1">
      <c r="A730" s="32">
        <f>'EQUITY BACKTEST'!A733</f>
        <v>41278.66667</v>
      </c>
      <c r="B730" s="22">
        <f>'EQUITY BACKTEST'!B733</f>
        <v>1466.47</v>
      </c>
      <c r="C730" s="22">
        <f>1/'EQUITY BACKTEST'!E733</f>
        <v>0.7602828252</v>
      </c>
      <c r="D730" s="22">
        <f t="shared" si="1"/>
        <v>-0.4962284752</v>
      </c>
      <c r="E730" s="22">
        <f t="shared" ref="E730:F730" si="730">IF(A730&lt;&gt;"", (B730 - B729) / B729, "")</f>
        <v>0.03413089622</v>
      </c>
      <c r="F730" s="22">
        <f t="shared" si="730"/>
        <v>-0.01718239185</v>
      </c>
      <c r="H730" s="22" t="str">
        <f t="shared" si="4"/>
        <v/>
      </c>
    </row>
    <row r="731" ht="15.75" customHeight="1">
      <c r="A731" s="32">
        <f>'EQUITY BACKTEST'!A734</f>
        <v>41285.66667</v>
      </c>
      <c r="B731" s="22">
        <f>'EQUITY BACKTEST'!B734</f>
        <v>1472.05</v>
      </c>
      <c r="C731" s="22">
        <f>1/'EQUITY BACKTEST'!E734</f>
        <v>0.7582650895</v>
      </c>
      <c r="D731" s="22">
        <f t="shared" si="1"/>
        <v>-0.5253046215</v>
      </c>
      <c r="E731" s="22">
        <f t="shared" ref="E731:F731" si="731">IF(A731&lt;&gt;"", (B731 - B730) / B730, "")</f>
        <v>0.003805055678</v>
      </c>
      <c r="F731" s="22">
        <f t="shared" si="731"/>
        <v>-0.002653927813</v>
      </c>
      <c r="H731" s="22" t="str">
        <f t="shared" si="4"/>
        <v/>
      </c>
    </row>
    <row r="732" ht="15.75" customHeight="1">
      <c r="A732" s="32">
        <f>'EQUITY BACKTEST'!A735</f>
        <v>41292.66667</v>
      </c>
      <c r="B732" s="22">
        <f>'EQUITY BACKTEST'!B735</f>
        <v>1485.98</v>
      </c>
      <c r="C732" s="22">
        <f>1/'EQUITY BACKTEST'!E735</f>
        <v>0.7567158532</v>
      </c>
      <c r="D732" s="22">
        <f t="shared" si="1"/>
        <v>-0.5589046719</v>
      </c>
      <c r="E732" s="22">
        <f t="shared" ref="E732:F732" si="732">IF(A732&lt;&gt;"", (B732 - B731) / B731, "")</f>
        <v>0.009462993784</v>
      </c>
      <c r="F732" s="22">
        <f t="shared" si="732"/>
        <v>-0.002043132804</v>
      </c>
      <c r="H732" s="22" t="str">
        <f t="shared" si="4"/>
        <v/>
      </c>
    </row>
    <row r="733" ht="15.75" customHeight="1">
      <c r="A733" s="32">
        <f>'EQUITY BACKTEST'!A736</f>
        <v>41299.66667</v>
      </c>
      <c r="B733" s="22">
        <f>'EQUITY BACKTEST'!B736</f>
        <v>1502.96</v>
      </c>
      <c r="C733" s="22">
        <f>1/'EQUITY BACKTEST'!E736</f>
        <v>0.7652865998</v>
      </c>
      <c r="D733" s="22">
        <f t="shared" si="1"/>
        <v>-0.5795588119</v>
      </c>
      <c r="E733" s="22">
        <f t="shared" ref="E733:F733" si="733">IF(A733&lt;&gt;"", (B733 - B732) / B732, "")</f>
        <v>0.01142680251</v>
      </c>
      <c r="F733" s="22">
        <f t="shared" si="733"/>
        <v>0.01132624168</v>
      </c>
      <c r="H733" s="22" t="str">
        <f t="shared" si="4"/>
        <v/>
      </c>
    </row>
    <row r="734" ht="15.75" customHeight="1">
      <c r="A734" s="32">
        <f>'EQUITY BACKTEST'!A737</f>
        <v>41306.66667</v>
      </c>
      <c r="B734" s="22">
        <f>'EQUITY BACKTEST'!B737</f>
        <v>1513.17</v>
      </c>
      <c r="C734" s="22">
        <f>1/'EQUITY BACKTEST'!E737</f>
        <v>0.7496251874</v>
      </c>
      <c r="D734" s="22">
        <f t="shared" si="1"/>
        <v>-0.5841523267</v>
      </c>
      <c r="E734" s="22">
        <f t="shared" ref="E734:F734" si="734">IF(A734&lt;&gt;"", (B734 - B733) / B733, "")</f>
        <v>0.006793261298</v>
      </c>
      <c r="F734" s="22">
        <f t="shared" si="734"/>
        <v>-0.02046476762</v>
      </c>
      <c r="H734" s="22" t="str">
        <f t="shared" si="4"/>
        <v/>
      </c>
    </row>
    <row r="735" ht="15.75" customHeight="1">
      <c r="A735" s="32">
        <f>'EQUITY BACKTEST'!A738</f>
        <v>41313.66667</v>
      </c>
      <c r="B735" s="22">
        <f>'EQUITY BACKTEST'!B738</f>
        <v>1517.93</v>
      </c>
      <c r="C735" s="22">
        <f>1/'EQUITY BACKTEST'!E738</f>
        <v>0.7510890792</v>
      </c>
      <c r="D735" s="22">
        <f t="shared" si="1"/>
        <v>-0.6129551046</v>
      </c>
      <c r="E735" s="22">
        <f t="shared" ref="E735:F735" si="735">IF(A735&lt;&gt;"", (B735 - B734) / B734, "")</f>
        <v>0.003145713965</v>
      </c>
      <c r="F735" s="22">
        <f t="shared" si="735"/>
        <v>0.001952831606</v>
      </c>
      <c r="H735" s="22" t="str">
        <f t="shared" si="4"/>
        <v/>
      </c>
    </row>
    <row r="736" ht="15.75" customHeight="1">
      <c r="A736" s="32">
        <f>'EQUITY BACKTEST'!A739</f>
        <v>41320.66667</v>
      </c>
      <c r="B736" s="22">
        <f>'EQUITY BACKTEST'!B739</f>
        <v>1519.79</v>
      </c>
      <c r="C736" s="22">
        <f>1/'EQUITY BACKTEST'!E739</f>
        <v>0.7429420505</v>
      </c>
      <c r="D736" s="22">
        <f t="shared" si="1"/>
        <v>-0.6461583057</v>
      </c>
      <c r="E736" s="22">
        <f t="shared" ref="E736:F736" si="736">IF(A736&lt;&gt;"", (B736 - B735) / B735, "")</f>
        <v>0.001225352948</v>
      </c>
      <c r="F736" s="22">
        <f t="shared" si="736"/>
        <v>-0.01084695394</v>
      </c>
      <c r="H736" s="22" t="str">
        <f t="shared" si="4"/>
        <v/>
      </c>
    </row>
    <row r="737" ht="15.75" customHeight="1">
      <c r="A737" s="32">
        <f>'EQUITY BACKTEST'!A740</f>
        <v>41327.66667</v>
      </c>
      <c r="B737" s="22">
        <f>'EQUITY BACKTEST'!B740</f>
        <v>1515.6</v>
      </c>
      <c r="C737" s="22">
        <f>1/'EQUITY BACKTEST'!E740</f>
        <v>0.7330303475</v>
      </c>
      <c r="D737" s="22">
        <f t="shared" si="1"/>
        <v>-0.6872078504</v>
      </c>
      <c r="E737" s="22">
        <f t="shared" ref="E737:F737" si="737">IF(A737&lt;&gt;"", (B737 - B736) / B736, "")</f>
        <v>-0.002756959843</v>
      </c>
      <c r="F737" s="22">
        <f t="shared" si="737"/>
        <v>-0.01334115232</v>
      </c>
      <c r="H737" s="22" t="str">
        <f t="shared" si="4"/>
        <v/>
      </c>
    </row>
    <row r="738" ht="15.75" customHeight="1">
      <c r="A738" s="32">
        <f>'EQUITY BACKTEST'!A741</f>
        <v>41334.66667</v>
      </c>
      <c r="B738" s="22">
        <f>'EQUITY BACKTEST'!B741</f>
        <v>1518.2</v>
      </c>
      <c r="C738" s="22">
        <f>1/'EQUITY BACKTEST'!E741</f>
        <v>0.7483909594</v>
      </c>
      <c r="D738" s="22">
        <f t="shared" si="1"/>
        <v>-0.7712570226</v>
      </c>
      <c r="E738" s="22">
        <f t="shared" ref="E738:F738" si="738">IF(A738&lt;&gt;"", (B738 - B737) / B737, "")</f>
        <v>0.001715492214</v>
      </c>
      <c r="F738" s="22">
        <f t="shared" si="738"/>
        <v>0.02095494686</v>
      </c>
      <c r="H738" s="22" t="str">
        <f t="shared" si="4"/>
        <v/>
      </c>
    </row>
    <row r="739" ht="15.75" customHeight="1">
      <c r="A739" s="32">
        <f>'EQUITY BACKTEST'!A742</f>
        <v>41341.66667</v>
      </c>
      <c r="B739" s="22">
        <f>'EQUITY BACKTEST'!B742</f>
        <v>1551.18</v>
      </c>
      <c r="C739" s="22">
        <f>1/'EQUITY BACKTEST'!E742</f>
        <v>0.7483349547</v>
      </c>
      <c r="D739" s="22">
        <f t="shared" si="1"/>
        <v>-0.813804978</v>
      </c>
      <c r="E739" s="22">
        <f t="shared" ref="E739:F739" si="739">IF(A739&lt;&gt;"", (B739 - B738) / B738, "")</f>
        <v>0.02172309314</v>
      </c>
      <c r="F739" s="22">
        <f t="shared" si="739"/>
        <v>-0.00007483349547</v>
      </c>
      <c r="H739" s="22" t="str">
        <f t="shared" si="4"/>
        <v/>
      </c>
    </row>
    <row r="740" ht="15.75" customHeight="1">
      <c r="A740" s="32">
        <f>'EQUITY BACKTEST'!A743</f>
        <v>41348.66667</v>
      </c>
      <c r="B740" s="22">
        <f>'EQUITY BACKTEST'!B743</f>
        <v>1560.7</v>
      </c>
      <c r="C740" s="22">
        <f>1/'EQUITY BACKTEST'!E743</f>
        <v>0.7580351728</v>
      </c>
      <c r="D740" s="22">
        <f t="shared" si="1"/>
        <v>-0.8469877861</v>
      </c>
      <c r="E740" s="22">
        <f t="shared" ref="E740:F740" si="740">IF(A740&lt;&gt;"", (B740 - B739) / B739, "")</f>
        <v>0.006137263245</v>
      </c>
      <c r="F740" s="22">
        <f t="shared" si="740"/>
        <v>0.01296240146</v>
      </c>
      <c r="H740" s="22" t="str">
        <f t="shared" si="4"/>
        <v/>
      </c>
    </row>
    <row r="741" ht="15.75" customHeight="1">
      <c r="A741" s="32">
        <f>'EQUITY BACKTEST'!A744</f>
        <v>41355.66667</v>
      </c>
      <c r="B741" s="22">
        <f>'EQUITY BACKTEST'!B744</f>
        <v>1556.89</v>
      </c>
      <c r="C741" s="22">
        <f>1/'EQUITY BACKTEST'!E744</f>
        <v>0.7681671532</v>
      </c>
      <c r="D741" s="22">
        <f t="shared" si="1"/>
        <v>-0.8626288328</v>
      </c>
      <c r="E741" s="22">
        <f t="shared" ref="E741:F741" si="741">IF(A741&lt;&gt;"", (B741 - B740) / B740, "")</f>
        <v>-0.002441212277</v>
      </c>
      <c r="F741" s="22">
        <f t="shared" si="741"/>
        <v>0.01336610847</v>
      </c>
      <c r="H741" s="22" t="str">
        <f t="shared" si="4"/>
        <v/>
      </c>
    </row>
    <row r="742" ht="15.75" customHeight="1">
      <c r="A742" s="32">
        <f>'EQUITY BACKTEST'!A745</f>
        <v>41361.66667</v>
      </c>
      <c r="B742" s="22">
        <f>'EQUITY BACKTEST'!B745</f>
        <v>1569.19</v>
      </c>
      <c r="C742" s="22">
        <f>1/'EQUITY BACKTEST'!E745</f>
        <v>0.768816791</v>
      </c>
      <c r="D742" s="22">
        <f t="shared" si="1"/>
        <v>-0.8666928533</v>
      </c>
      <c r="E742" s="22">
        <f t="shared" ref="E742:F742" si="742">IF(A742&lt;&gt;"", (B742 - B741) / B741, "")</f>
        <v>0.007900365472</v>
      </c>
      <c r="F742" s="22">
        <f t="shared" si="742"/>
        <v>0.0008456984701</v>
      </c>
      <c r="H742" s="22" t="str">
        <f t="shared" si="4"/>
        <v/>
      </c>
    </row>
    <row r="743" ht="15.75" customHeight="1">
      <c r="A743" s="32">
        <f>'EQUITY BACKTEST'!A746</f>
        <v>41369.66667</v>
      </c>
      <c r="B743" s="22">
        <f>'EQUITY BACKTEST'!B746</f>
        <v>1553.28</v>
      </c>
      <c r="C743" s="22">
        <f>1/'EQUITY BACKTEST'!E746</f>
        <v>0.7647013841</v>
      </c>
      <c r="D743" s="22">
        <f t="shared" si="1"/>
        <v>-0.8696311674</v>
      </c>
      <c r="E743" s="22">
        <f t="shared" ref="E743:F743" si="743">IF(A743&lt;&gt;"", (B743 - B742) / B742, "")</f>
        <v>-0.01013898891</v>
      </c>
      <c r="F743" s="22">
        <f t="shared" si="743"/>
        <v>-0.005352909689</v>
      </c>
      <c r="H743" s="22" t="str">
        <f t="shared" si="4"/>
        <v/>
      </c>
    </row>
    <row r="744" ht="15.75" customHeight="1">
      <c r="A744" s="32">
        <f>'EQUITY BACKTEST'!A747</f>
        <v>41376.66667</v>
      </c>
      <c r="B744" s="22">
        <f>'EQUITY BACKTEST'!B747</f>
        <v>1588.85</v>
      </c>
      <c r="C744" s="22">
        <f>1/'EQUITY BACKTEST'!E747</f>
        <v>0.769882208</v>
      </c>
      <c r="D744" s="22">
        <f t="shared" si="1"/>
        <v>-0.8738131315</v>
      </c>
      <c r="E744" s="22">
        <f t="shared" ref="E744:F744" si="744">IF(A744&lt;&gt;"", (B744 - B743) / B743, "")</f>
        <v>0.02289992789</v>
      </c>
      <c r="F744" s="22">
        <f t="shared" si="744"/>
        <v>0.006774963431</v>
      </c>
      <c r="H744" s="22" t="str">
        <f t="shared" si="4"/>
        <v/>
      </c>
    </row>
    <row r="745" ht="15.75" customHeight="1">
      <c r="A745" s="32">
        <f>'EQUITY BACKTEST'!A748</f>
        <v>41383.66667</v>
      </c>
      <c r="B745" s="22">
        <f>'EQUITY BACKTEST'!B748</f>
        <v>1555.25</v>
      </c>
      <c r="C745" s="22">
        <f>1/'EQUITY BACKTEST'!E748</f>
        <v>0.7800312012</v>
      </c>
      <c r="D745" s="22">
        <f t="shared" si="1"/>
        <v>-0.8728870765</v>
      </c>
      <c r="E745" s="22">
        <f t="shared" ref="E745:F745" si="745">IF(A745&lt;&gt;"", (B745 - B744) / B744, "")</f>
        <v>-0.02114737074</v>
      </c>
      <c r="F745" s="22">
        <f t="shared" si="745"/>
        <v>0.0131825273</v>
      </c>
      <c r="H745" s="22" t="str">
        <f t="shared" si="4"/>
        <v/>
      </c>
    </row>
    <row r="746" ht="15.75" customHeight="1">
      <c r="A746" s="32">
        <f>'EQUITY BACKTEST'!A749</f>
        <v>41390.66667</v>
      </c>
      <c r="B746" s="22">
        <f>'EQUITY BACKTEST'!B749</f>
        <v>1582.24</v>
      </c>
      <c r="C746" s="22">
        <f>1/'EQUITY BACKTEST'!E749</f>
        <v>0.773933906</v>
      </c>
      <c r="D746" s="22">
        <f t="shared" si="1"/>
        <v>-0.8649763476</v>
      </c>
      <c r="E746" s="22">
        <f t="shared" ref="E746:F746" si="746">IF(A746&lt;&gt;"", (B746 - B745) / B745, "")</f>
        <v>0.01735412313</v>
      </c>
      <c r="F746" s="22">
        <f t="shared" si="746"/>
        <v>-0.007816732451</v>
      </c>
      <c r="H746" s="22" t="str">
        <f t="shared" si="4"/>
        <v/>
      </c>
    </row>
    <row r="747" ht="15.75" customHeight="1">
      <c r="A747" s="32">
        <f>'EQUITY BACKTEST'!A750</f>
        <v>41397.66667</v>
      </c>
      <c r="B747" s="22">
        <f>'EQUITY BACKTEST'!B750</f>
        <v>1614.42</v>
      </c>
      <c r="C747" s="22">
        <f>1/'EQUITY BACKTEST'!E750</f>
        <v>0.7627765065</v>
      </c>
      <c r="D747" s="22">
        <f t="shared" si="1"/>
        <v>-0.8628971509</v>
      </c>
      <c r="E747" s="22">
        <f t="shared" ref="E747:F747" si="747">IF(A747&lt;&gt;"", (B747 - B746) / B746, "")</f>
        <v>0.02033825463</v>
      </c>
      <c r="F747" s="22">
        <f t="shared" si="747"/>
        <v>-0.01441647597</v>
      </c>
      <c r="H747" s="22" t="str">
        <f t="shared" si="4"/>
        <v/>
      </c>
    </row>
    <row r="748" ht="15.75" customHeight="1">
      <c r="A748" s="32">
        <f>'EQUITY BACKTEST'!A751</f>
        <v>41404.66667</v>
      </c>
      <c r="B748" s="22">
        <f>'EQUITY BACKTEST'!B751</f>
        <v>1633.7</v>
      </c>
      <c r="C748" s="22">
        <f>1/'EQUITY BACKTEST'!E751</f>
        <v>0.7661661048</v>
      </c>
      <c r="D748" s="22">
        <f t="shared" si="1"/>
        <v>-0.864486166</v>
      </c>
      <c r="E748" s="22">
        <f t="shared" ref="E748:F748" si="748">IF(A748&lt;&gt;"", (B748 - B747) / B747, "")</f>
        <v>0.0119423694</v>
      </c>
      <c r="F748" s="22">
        <f t="shared" si="748"/>
        <v>0.004443763408</v>
      </c>
      <c r="H748" s="22" t="str">
        <f t="shared" si="4"/>
        <v/>
      </c>
    </row>
    <row r="749" ht="15.75" customHeight="1">
      <c r="A749" s="32">
        <f>'EQUITY BACKTEST'!A752</f>
        <v>41411.66667</v>
      </c>
      <c r="B749" s="22">
        <f>'EQUITY BACKTEST'!B752</f>
        <v>1666.12</v>
      </c>
      <c r="C749" s="22">
        <f>1/'EQUITY BACKTEST'!E752</f>
        <v>0.7675186123</v>
      </c>
      <c r="D749" s="22">
        <f t="shared" si="1"/>
        <v>-0.8640064023</v>
      </c>
      <c r="E749" s="22">
        <f t="shared" ref="E749:F749" si="749">IF(A749&lt;&gt;"", (B749 - B748) / B748, "")</f>
        <v>0.0198445247</v>
      </c>
      <c r="F749" s="22">
        <f t="shared" si="749"/>
        <v>0.001765292808</v>
      </c>
      <c r="H749" s="22" t="str">
        <f t="shared" si="4"/>
        <v/>
      </c>
    </row>
    <row r="750" ht="15.75" customHeight="1">
      <c r="A750" s="32">
        <f>'EQUITY BACKTEST'!A753</f>
        <v>41418.66667</v>
      </c>
      <c r="B750" s="22">
        <f>'EQUITY BACKTEST'!B753</f>
        <v>1649.6</v>
      </c>
      <c r="C750" s="22">
        <f>1/'EQUITY BACKTEST'!E753</f>
        <v>0.7624275694</v>
      </c>
      <c r="D750" s="22">
        <f t="shared" si="1"/>
        <v>-0.8661949655</v>
      </c>
      <c r="E750" s="22">
        <f t="shared" ref="E750:F750" si="750">IF(A750&lt;&gt;"", (B750 - B749) / B749, "")</f>
        <v>-0.009915252203</v>
      </c>
      <c r="F750" s="22">
        <f t="shared" si="750"/>
        <v>-0.006633119854</v>
      </c>
      <c r="H750" s="22" t="str">
        <f t="shared" si="4"/>
        <v/>
      </c>
    </row>
    <row r="751" ht="15.75" customHeight="1">
      <c r="A751" s="32">
        <f>'EQUITY BACKTEST'!A754</f>
        <v>41425.66667</v>
      </c>
      <c r="B751" s="22">
        <f>'EQUITY BACKTEST'!B754</f>
        <v>1630.74</v>
      </c>
      <c r="C751" s="22">
        <f>1/'EQUITY BACKTEST'!E754</f>
        <v>0.7697044335</v>
      </c>
      <c r="D751" s="22">
        <f t="shared" si="1"/>
        <v>-0.8606942838</v>
      </c>
      <c r="E751" s="22">
        <f t="shared" ref="E751:F751" si="751">IF(A751&lt;&gt;"", (B751 - B750) / B750, "")</f>
        <v>-0.01143307468</v>
      </c>
      <c r="F751" s="22">
        <f t="shared" si="751"/>
        <v>0.009544334975</v>
      </c>
      <c r="H751" s="22" t="str">
        <f t="shared" si="4"/>
        <v/>
      </c>
    </row>
    <row r="752" ht="15.75" customHeight="1">
      <c r="A752" s="32">
        <f>'EQUITY BACKTEST'!A755</f>
        <v>41432.66667</v>
      </c>
      <c r="B752" s="22">
        <f>'EQUITY BACKTEST'!B755</f>
        <v>1643.38</v>
      </c>
      <c r="C752" s="22">
        <f>1/'EQUITY BACKTEST'!E755</f>
        <v>0.7789375292</v>
      </c>
      <c r="D752" s="22">
        <f t="shared" si="1"/>
        <v>-0.8442020549</v>
      </c>
      <c r="E752" s="22">
        <f t="shared" ref="E752:F752" si="752">IF(A752&lt;&gt;"", (B752 - B751) / B751, "")</f>
        <v>0.007751082331</v>
      </c>
      <c r="F752" s="22">
        <f t="shared" si="752"/>
        <v>0.01199563795</v>
      </c>
      <c r="H752" s="22" t="str">
        <f t="shared" si="4"/>
        <v/>
      </c>
    </row>
    <row r="753" ht="15.75" customHeight="1">
      <c r="A753" s="32">
        <f>'EQUITY BACKTEST'!A756</f>
        <v>41439.66667</v>
      </c>
      <c r="B753" s="22">
        <f>'EQUITY BACKTEST'!B756</f>
        <v>1626.73</v>
      </c>
      <c r="C753" s="22">
        <f>1/'EQUITY BACKTEST'!E756</f>
        <v>0.7733353956</v>
      </c>
      <c r="D753" s="22">
        <f t="shared" si="1"/>
        <v>-0.8301147097</v>
      </c>
      <c r="E753" s="22">
        <f t="shared" ref="E753:F753" si="753">IF(A753&lt;&gt;"", (B753 - B752) / B752, "")</f>
        <v>-0.01013155813</v>
      </c>
      <c r="F753" s="22">
        <f t="shared" si="753"/>
        <v>-0.007192019179</v>
      </c>
      <c r="H753" s="22" t="str">
        <f t="shared" si="4"/>
        <v/>
      </c>
    </row>
    <row r="754" ht="15.75" customHeight="1">
      <c r="A754" s="32">
        <f>'EQUITY BACKTEST'!A757</f>
        <v>41446.66667</v>
      </c>
      <c r="B754" s="22">
        <f>'EQUITY BACKTEST'!B757</f>
        <v>1592.43</v>
      </c>
      <c r="C754" s="22">
        <f>1/'EQUITY BACKTEST'!E757</f>
        <v>0.7695267411</v>
      </c>
      <c r="D754" s="22">
        <f t="shared" si="1"/>
        <v>-0.80431175</v>
      </c>
      <c r="E754" s="22">
        <f t="shared" ref="E754:F754" si="754">IF(A754&lt;&gt;"", (B754 - B753) / B753, "")</f>
        <v>-0.02108524463</v>
      </c>
      <c r="F754" s="22">
        <f t="shared" si="754"/>
        <v>-0.004924971143</v>
      </c>
      <c r="H754" s="22" t="str">
        <f t="shared" si="4"/>
        <v/>
      </c>
    </row>
    <row r="755" ht="15.75" customHeight="1">
      <c r="A755" s="32">
        <f>'EQUITY BACKTEST'!A758</f>
        <v>41453.66667</v>
      </c>
      <c r="B755" s="22">
        <f>'EQUITY BACKTEST'!B758</f>
        <v>1606.28</v>
      </c>
      <c r="C755" s="22">
        <f>1/'EQUITY BACKTEST'!E758</f>
        <v>0.7563152322</v>
      </c>
      <c r="D755" s="22">
        <f t="shared" si="1"/>
        <v>-0.7740900587</v>
      </c>
      <c r="E755" s="22">
        <f t="shared" ref="E755:F755" si="755">IF(A755&lt;&gt;"", (B755 - B754) / B754, "")</f>
        <v>0.008697399572</v>
      </c>
      <c r="F755" s="22">
        <f t="shared" si="755"/>
        <v>-0.01716835577</v>
      </c>
      <c r="H755" s="22" t="str">
        <f t="shared" si="4"/>
        <v/>
      </c>
    </row>
    <row r="756" ht="15.75" customHeight="1">
      <c r="A756" s="32">
        <f>'EQUITY BACKTEST'!A759</f>
        <v>41460.66667</v>
      </c>
      <c r="B756" s="22">
        <f>'EQUITY BACKTEST'!B759</f>
        <v>1631.89</v>
      </c>
      <c r="C756" s="22">
        <f>1/'EQUITY BACKTEST'!E759</f>
        <v>0.7492881762</v>
      </c>
      <c r="D756" s="22">
        <f t="shared" si="1"/>
        <v>-0.7360514521</v>
      </c>
      <c r="E756" s="22">
        <f t="shared" ref="E756:F756" si="756">IF(A756&lt;&gt;"", (B756 - B755) / B755, "")</f>
        <v>0.01594367109</v>
      </c>
      <c r="F756" s="22">
        <f t="shared" si="756"/>
        <v>-0.009291173385</v>
      </c>
      <c r="H756" s="22" t="str">
        <f t="shared" si="4"/>
        <v/>
      </c>
    </row>
    <row r="757" ht="15.75" customHeight="1">
      <c r="A757" s="32">
        <f>'EQUITY BACKTEST'!A760</f>
        <v>41467.66667</v>
      </c>
      <c r="B757" s="22">
        <f>'EQUITY BACKTEST'!B760</f>
        <v>1680.19</v>
      </c>
      <c r="C757" s="22">
        <f>1/'EQUITY BACKTEST'!E760</f>
        <v>0.7620789514</v>
      </c>
      <c r="D757" s="22">
        <f t="shared" si="1"/>
        <v>-0.7211488639</v>
      </c>
      <c r="E757" s="22">
        <f t="shared" ref="E757:F757" si="757">IF(A757&lt;&gt;"", (B757 - B756) / B756, "")</f>
        <v>0.02959758317</v>
      </c>
      <c r="F757" s="22">
        <f t="shared" si="757"/>
        <v>0.01707056851</v>
      </c>
      <c r="H757" s="22" t="str">
        <f t="shared" si="4"/>
        <v/>
      </c>
    </row>
    <row r="758" ht="15.75" customHeight="1">
      <c r="A758" s="32">
        <f>'EQUITY BACKTEST'!A761</f>
        <v>41474.66667</v>
      </c>
      <c r="B758" s="22">
        <f>'EQUITY BACKTEST'!B761</f>
        <v>1692.09</v>
      </c>
      <c r="C758" s="22">
        <f>1/'EQUITY BACKTEST'!E761</f>
        <v>0.7686985933</v>
      </c>
      <c r="D758" s="22">
        <f t="shared" si="1"/>
        <v>-0.6980858185</v>
      </c>
      <c r="E758" s="22">
        <f t="shared" ref="E758:F758" si="758">IF(A758&lt;&gt;"", (B758 - B757) / B757, "")</f>
        <v>0.007082532333</v>
      </c>
      <c r="F758" s="22">
        <f t="shared" si="758"/>
        <v>0.008686294104</v>
      </c>
      <c r="H758" s="22" t="str">
        <f t="shared" si="4"/>
        <v/>
      </c>
    </row>
    <row r="759" ht="15.75" customHeight="1">
      <c r="A759" s="32">
        <f>'EQUITY BACKTEST'!A762</f>
        <v>41481.66667</v>
      </c>
      <c r="B759" s="22">
        <f>'EQUITY BACKTEST'!B762</f>
        <v>1691.65</v>
      </c>
      <c r="C759" s="22">
        <f>1/'EQUITY BACKTEST'!E762</f>
        <v>0.7793017456</v>
      </c>
      <c r="D759" s="22">
        <f t="shared" si="1"/>
        <v>-0.6721824364</v>
      </c>
      <c r="E759" s="22">
        <f t="shared" ref="E759:F759" si="759">IF(A759&lt;&gt;"", (B759 - B758) / B758, "")</f>
        <v>-0.0002600334498</v>
      </c>
      <c r="F759" s="22">
        <f t="shared" si="759"/>
        <v>0.0137936409</v>
      </c>
      <c r="H759" s="22" t="str">
        <f t="shared" si="4"/>
        <v/>
      </c>
    </row>
    <row r="760" ht="15.75" customHeight="1">
      <c r="A760" s="32">
        <f>'EQUITY BACKTEST'!A763</f>
        <v>41488.66667</v>
      </c>
      <c r="B760" s="22">
        <f>'EQUITY BACKTEST'!B763</f>
        <v>1709.67</v>
      </c>
      <c r="C760" s="22">
        <f>1/'EQUITY BACKTEST'!E763</f>
        <v>0.7653451707</v>
      </c>
      <c r="D760" s="22">
        <f t="shared" si="1"/>
        <v>-0.6693799574</v>
      </c>
      <c r="E760" s="22">
        <f t="shared" ref="E760:F760" si="760">IF(A760&lt;&gt;"", (B760 - B759) / B759, "")</f>
        <v>0.0106523217</v>
      </c>
      <c r="F760" s="22">
        <f t="shared" si="760"/>
        <v>-0.01790907699</v>
      </c>
      <c r="H760" s="22" t="str">
        <f t="shared" si="4"/>
        <v/>
      </c>
    </row>
    <row r="761" ht="15.75" customHeight="1">
      <c r="A761" s="32">
        <f>'EQUITY BACKTEST'!A764</f>
        <v>41495.66667</v>
      </c>
      <c r="B761" s="22">
        <f>'EQUITY BACKTEST'!B764</f>
        <v>1691.42</v>
      </c>
      <c r="C761" s="22">
        <f>1/'EQUITY BACKTEST'!E764</f>
        <v>0.7608034084</v>
      </c>
      <c r="D761" s="22">
        <f t="shared" si="1"/>
        <v>-0.6463293711</v>
      </c>
      <c r="E761" s="22">
        <f t="shared" ref="E761:F761" si="761">IF(A761&lt;&gt;"", (B761 - B760) / B760, "")</f>
        <v>-0.01067457463</v>
      </c>
      <c r="F761" s="22">
        <f t="shared" si="761"/>
        <v>-0.005934266586</v>
      </c>
      <c r="H761" s="22" t="str">
        <f t="shared" si="4"/>
        <v/>
      </c>
    </row>
    <row r="762" ht="15.75" customHeight="1">
      <c r="A762" s="32">
        <f>'EQUITY BACKTEST'!A765</f>
        <v>41502.66667</v>
      </c>
      <c r="B762" s="22">
        <f>'EQUITY BACKTEST'!B765</f>
        <v>1655.83</v>
      </c>
      <c r="C762" s="22">
        <f>1/'EQUITY BACKTEST'!E765</f>
        <v>0.7531254707</v>
      </c>
      <c r="D762" s="22">
        <f t="shared" si="1"/>
        <v>-0.5872136365</v>
      </c>
      <c r="E762" s="22">
        <f t="shared" ref="E762:F762" si="762">IF(A762&lt;&gt;"", (B762 - B761) / B761, "")</f>
        <v>-0.02104149176</v>
      </c>
      <c r="F762" s="22">
        <f t="shared" si="762"/>
        <v>-0.01009188131</v>
      </c>
      <c r="H762" s="22" t="str">
        <f t="shared" si="4"/>
        <v/>
      </c>
    </row>
    <row r="763" ht="15.75" customHeight="1">
      <c r="A763" s="32">
        <f>'EQUITY BACKTEST'!A766</f>
        <v>41509.66667</v>
      </c>
      <c r="B763" s="22">
        <f>'EQUITY BACKTEST'!B766</f>
        <v>1663.5</v>
      </c>
      <c r="C763" s="22">
        <f>1/'EQUITY BACKTEST'!E766</f>
        <v>0.7529553497</v>
      </c>
      <c r="D763" s="22">
        <f t="shared" si="1"/>
        <v>-0.5070409484</v>
      </c>
      <c r="E763" s="22">
        <f t="shared" ref="E763:F763" si="763">IF(A763&lt;&gt;"", (B763 - B762) / B762, "")</f>
        <v>0.004632118031</v>
      </c>
      <c r="F763" s="22">
        <f t="shared" si="763"/>
        <v>-0.0002258866049</v>
      </c>
      <c r="H763" s="22" t="str">
        <f t="shared" si="4"/>
        <v/>
      </c>
    </row>
    <row r="764" ht="15.75" customHeight="1">
      <c r="A764" s="32">
        <f>'EQUITY BACKTEST'!A767</f>
        <v>41516.66667</v>
      </c>
      <c r="B764" s="22">
        <f>'EQUITY BACKTEST'!B767</f>
        <v>1632.97</v>
      </c>
      <c r="C764" s="22">
        <f>1/'EQUITY BACKTEST'!E767</f>
        <v>0.7495689978</v>
      </c>
      <c r="D764" s="22">
        <f t="shared" si="1"/>
        <v>-0.4128249166</v>
      </c>
      <c r="E764" s="22">
        <f t="shared" ref="E764:F764" si="764">IF(A764&lt;&gt;"", (B764 - B763) / B763, "")</f>
        <v>-0.01835287045</v>
      </c>
      <c r="F764" s="22">
        <f t="shared" si="764"/>
        <v>-0.004497413987</v>
      </c>
      <c r="H764" s="22" t="str">
        <f t="shared" si="4"/>
        <v/>
      </c>
    </row>
    <row r="765" ht="15.75" customHeight="1">
      <c r="A765" s="32">
        <f>'EQUITY BACKTEST'!A768</f>
        <v>41523.66667</v>
      </c>
      <c r="B765" s="22">
        <f>'EQUITY BACKTEST'!B768</f>
        <v>1655.17</v>
      </c>
      <c r="C765" s="22">
        <f>1/'EQUITY BACKTEST'!E768</f>
        <v>0.7502438292</v>
      </c>
      <c r="D765" s="22">
        <f t="shared" si="1"/>
        <v>-0.3123176245</v>
      </c>
      <c r="E765" s="22">
        <f t="shared" ref="E765:F765" si="765">IF(A765&lt;&gt;"", (B765 - B764) / B764, "")</f>
        <v>0.0135948609</v>
      </c>
      <c r="F765" s="22">
        <f t="shared" si="765"/>
        <v>0.0009002925951</v>
      </c>
      <c r="H765" s="22" t="str">
        <f t="shared" si="4"/>
        <v/>
      </c>
    </row>
    <row r="766" ht="15.75" customHeight="1">
      <c r="A766" s="32">
        <f>'EQUITY BACKTEST'!A769</f>
        <v>41530.66667</v>
      </c>
      <c r="B766" s="22">
        <f>'EQUITY BACKTEST'!B769</f>
        <v>1687.99</v>
      </c>
      <c r="C766" s="22">
        <f>1/'EQUITY BACKTEST'!E769</f>
        <v>0.7473283013</v>
      </c>
      <c r="D766" s="22">
        <f t="shared" si="1"/>
        <v>-0.1847772043</v>
      </c>
      <c r="E766" s="22">
        <f t="shared" ref="E766:F766" si="766">IF(A766&lt;&gt;"", (B766 - B765) / B765, "")</f>
        <v>0.01982877892</v>
      </c>
      <c r="F766" s="22">
        <f t="shared" si="766"/>
        <v>-0.003886107167</v>
      </c>
      <c r="H766" s="22" t="str">
        <f t="shared" si="4"/>
        <v/>
      </c>
    </row>
    <row r="767" ht="15.75" customHeight="1">
      <c r="A767" s="32">
        <f>'EQUITY BACKTEST'!A770</f>
        <v>41537.66667</v>
      </c>
      <c r="B767" s="22">
        <f>'EQUITY BACKTEST'!B770</f>
        <v>1709.91</v>
      </c>
      <c r="C767" s="22">
        <f>1/'EQUITY BACKTEST'!E770</f>
        <v>0.7563152322</v>
      </c>
      <c r="D767" s="22">
        <f t="shared" si="1"/>
        <v>-0.04449117248</v>
      </c>
      <c r="E767" s="22">
        <f t="shared" ref="E767:F767" si="767">IF(A767&lt;&gt;"", (B767 - B766) / B766, "")</f>
        <v>0.01298585892</v>
      </c>
      <c r="F767" s="22">
        <f t="shared" si="767"/>
        <v>0.01202541219</v>
      </c>
      <c r="H767" s="22" t="str">
        <f t="shared" si="4"/>
        <v/>
      </c>
    </row>
    <row r="768" ht="15.75" customHeight="1">
      <c r="A768" s="32">
        <f>'EQUITY BACKTEST'!A771</f>
        <v>41544.66667</v>
      </c>
      <c r="B768" s="22">
        <f>'EQUITY BACKTEST'!B771</f>
        <v>1691.75</v>
      </c>
      <c r="C768" s="22">
        <f>1/'EQUITY BACKTEST'!E771</f>
        <v>0.7587829122</v>
      </c>
      <c r="D768" s="22">
        <f t="shared" si="1"/>
        <v>0.1136336638</v>
      </c>
      <c r="E768" s="22">
        <f t="shared" ref="E768:F768" si="768">IF(A768&lt;&gt;"", (B768 - B767) / B767, "")</f>
        <v>-0.01062044201</v>
      </c>
      <c r="F768" s="22">
        <f t="shared" si="768"/>
        <v>0.003262766522</v>
      </c>
      <c r="H768" s="22" t="str">
        <f t="shared" si="4"/>
        <v/>
      </c>
    </row>
    <row r="769" ht="15.75" customHeight="1">
      <c r="A769" s="32">
        <f>'EQUITY BACKTEST'!A772</f>
        <v>41551.66667</v>
      </c>
      <c r="B769" s="22">
        <f>'EQUITY BACKTEST'!B772</f>
        <v>1690.5</v>
      </c>
      <c r="C769" s="22">
        <f>1/'EQUITY BACKTEST'!E772</f>
        <v>0.7519927809</v>
      </c>
      <c r="D769" s="22">
        <f t="shared" si="1"/>
        <v>0.2626292178</v>
      </c>
      <c r="E769" s="22">
        <f t="shared" ref="E769:F769" si="769">IF(A769&lt;&gt;"", (B769 - B768) / B768, "")</f>
        <v>-0.0007388798581</v>
      </c>
      <c r="F769" s="22">
        <f t="shared" si="769"/>
        <v>-0.008948714092</v>
      </c>
      <c r="H769" s="22" t="str">
        <f t="shared" si="4"/>
        <v/>
      </c>
    </row>
    <row r="770" ht="15.75" customHeight="1">
      <c r="A770" s="32">
        <f>'EQUITY BACKTEST'!A773</f>
        <v>41558.66667</v>
      </c>
      <c r="B770" s="22">
        <f>'EQUITY BACKTEST'!B773</f>
        <v>1703.2</v>
      </c>
      <c r="C770" s="22">
        <f>1/'EQUITY BACKTEST'!E773</f>
        <v>0.7394808844</v>
      </c>
      <c r="D770" s="22">
        <f t="shared" si="1"/>
        <v>0.3276513882</v>
      </c>
      <c r="E770" s="22">
        <f t="shared" ref="E770:F770" si="770">IF(A770&lt;&gt;"", (B770 - B769) / B769, "")</f>
        <v>0.007512570245</v>
      </c>
      <c r="F770" s="22">
        <f t="shared" si="770"/>
        <v>-0.0166383199</v>
      </c>
      <c r="H770" s="22" t="str">
        <f t="shared" si="4"/>
        <v/>
      </c>
    </row>
    <row r="771" ht="15.75" customHeight="1">
      <c r="A771" s="32">
        <f>'EQUITY BACKTEST'!A774</f>
        <v>41565.66667</v>
      </c>
      <c r="B771" s="22">
        <f>'EQUITY BACKTEST'!B774</f>
        <v>1744.5</v>
      </c>
      <c r="C771" s="22">
        <f>1/'EQUITY BACKTEST'!E774</f>
        <v>0.7394262053</v>
      </c>
      <c r="D771" s="22">
        <f t="shared" si="1"/>
        <v>0.3149900305</v>
      </c>
      <c r="E771" s="22">
        <f t="shared" ref="E771:F771" si="771">IF(A771&lt;&gt;"", (B771 - B770) / B770, "")</f>
        <v>0.02424847346</v>
      </c>
      <c r="F771" s="22">
        <f t="shared" si="771"/>
        <v>-0.00007394262053</v>
      </c>
      <c r="H771" s="22" t="str">
        <f t="shared" si="4"/>
        <v/>
      </c>
    </row>
    <row r="772" ht="15.75" customHeight="1">
      <c r="A772" s="32">
        <f>'EQUITY BACKTEST'!A775</f>
        <v>41572.66667</v>
      </c>
      <c r="B772" s="22">
        <f>'EQUITY BACKTEST'!B775</f>
        <v>1759.77</v>
      </c>
      <c r="C772" s="22">
        <f>1/'EQUITY BACKTEST'!E775</f>
        <v>0.7376263185</v>
      </c>
      <c r="D772" s="22">
        <f t="shared" si="1"/>
        <v>0.3576158274</v>
      </c>
      <c r="E772" s="22">
        <f t="shared" ref="E772:F772" si="772">IF(A772&lt;&gt;"", (B772 - B771) / B771, "")</f>
        <v>0.00875322442</v>
      </c>
      <c r="F772" s="22">
        <f t="shared" si="772"/>
        <v>-0.002434166851</v>
      </c>
      <c r="H772" s="22" t="str">
        <f t="shared" si="4"/>
        <v/>
      </c>
    </row>
    <row r="773" ht="15.75" customHeight="1">
      <c r="A773" s="32">
        <f>'EQUITY BACKTEST'!A776</f>
        <v>41579.66667</v>
      </c>
      <c r="B773" s="22">
        <f>'EQUITY BACKTEST'!B776</f>
        <v>1761.64</v>
      </c>
      <c r="C773" s="22">
        <f>1/'EQUITY BACKTEST'!E776</f>
        <v>0.7384978953</v>
      </c>
      <c r="D773" s="22">
        <f t="shared" si="1"/>
        <v>0.421661585</v>
      </c>
      <c r="E773" s="22">
        <f t="shared" ref="E773:F773" si="773">IF(A773&lt;&gt;"", (B773 - B772) / B772, "")</f>
        <v>0.001062638868</v>
      </c>
      <c r="F773" s="22">
        <f t="shared" si="773"/>
        <v>0.001181596632</v>
      </c>
      <c r="H773" s="22" t="str">
        <f t="shared" si="4"/>
        <v/>
      </c>
    </row>
    <row r="774" ht="15.75" customHeight="1">
      <c r="A774" s="32">
        <f>'EQUITY BACKTEST'!A777</f>
        <v>41586.66667</v>
      </c>
      <c r="B774" s="22">
        <f>'EQUITY BACKTEST'!B777</f>
        <v>1770.61</v>
      </c>
      <c r="C774" s="22">
        <f>1/'EQUITY BACKTEST'!E777</f>
        <v>0.7308872972</v>
      </c>
      <c r="D774" s="22">
        <f t="shared" si="1"/>
        <v>0.4771039621</v>
      </c>
      <c r="E774" s="22">
        <f t="shared" ref="E774:F774" si="774">IF(A774&lt;&gt;"", (B774 - B773) / B773, "")</f>
        <v>0.005091846234</v>
      </c>
      <c r="F774" s="22">
        <f t="shared" si="774"/>
        <v>-0.01030551089</v>
      </c>
      <c r="H774" s="22" t="str">
        <f t="shared" si="4"/>
        <v/>
      </c>
    </row>
    <row r="775" ht="15.75" customHeight="1">
      <c r="A775" s="32">
        <f>'EQUITY BACKTEST'!A778</f>
        <v>41593.66667</v>
      </c>
      <c r="B775" s="22">
        <f>'EQUITY BACKTEST'!B778</f>
        <v>1798.18</v>
      </c>
      <c r="C775" s="22">
        <f>1/'EQUITY BACKTEST'!E778</f>
        <v>0.7244277021</v>
      </c>
      <c r="D775" s="22">
        <f t="shared" si="1"/>
        <v>0.5184936639</v>
      </c>
      <c r="E775" s="22">
        <f t="shared" ref="E775:F775" si="775">IF(A775&lt;&gt;"", (B775 - B774) / B774, "")</f>
        <v>0.01557090494</v>
      </c>
      <c r="F775" s="22">
        <f t="shared" si="775"/>
        <v>-0.008838017966</v>
      </c>
      <c r="H775" s="22" t="str">
        <f t="shared" si="4"/>
        <v/>
      </c>
    </row>
    <row r="776" ht="15.75" customHeight="1">
      <c r="A776" s="32">
        <f>'EQUITY BACKTEST'!A779</f>
        <v>41600.66667</v>
      </c>
      <c r="B776" s="22">
        <f>'EQUITY BACKTEST'!B779</f>
        <v>1804.76</v>
      </c>
      <c r="C776" s="22">
        <f>1/'EQUITY BACKTEST'!E779</f>
        <v>0.7414547342</v>
      </c>
      <c r="D776" s="22">
        <f t="shared" si="1"/>
        <v>0.5578839038</v>
      </c>
      <c r="E776" s="22">
        <f t="shared" ref="E776:F776" si="776">IF(A776&lt;&gt;"", (B776 - B775) / B775, "")</f>
        <v>0.003659255469</v>
      </c>
      <c r="F776" s="22">
        <f t="shared" si="776"/>
        <v>0.02350411507</v>
      </c>
      <c r="H776" s="22" t="str">
        <f t="shared" si="4"/>
        <v/>
      </c>
    </row>
    <row r="777" ht="15.75" customHeight="1">
      <c r="A777" s="32">
        <f>'EQUITY BACKTEST'!A780</f>
        <v>41607.66667</v>
      </c>
      <c r="B777" s="22">
        <f>'EQUITY BACKTEST'!B780</f>
        <v>1805.81</v>
      </c>
      <c r="C777" s="22">
        <f>1/'EQUITY BACKTEST'!E780</f>
        <v>0.7480550569</v>
      </c>
      <c r="D777" s="22">
        <f t="shared" si="1"/>
        <v>0.6066084395</v>
      </c>
      <c r="E777" s="22">
        <f t="shared" ref="E777:F777" si="777">IF(A777&lt;&gt;"", (B777 - B776) / B776, "")</f>
        <v>0.0005817948093</v>
      </c>
      <c r="F777" s="22">
        <f t="shared" si="777"/>
        <v>0.008901855177</v>
      </c>
      <c r="H777" s="22" t="str">
        <f t="shared" si="4"/>
        <v/>
      </c>
    </row>
    <row r="778" ht="15.75" customHeight="1">
      <c r="A778" s="32">
        <f>'EQUITY BACKTEST'!A781</f>
        <v>41614.66667</v>
      </c>
      <c r="B778" s="22">
        <f>'EQUITY BACKTEST'!B781</f>
        <v>1805.09</v>
      </c>
      <c r="C778" s="22">
        <f>1/'EQUITY BACKTEST'!E781</f>
        <v>0.7410151908</v>
      </c>
      <c r="D778" s="22">
        <f t="shared" si="1"/>
        <v>0.6535492432</v>
      </c>
      <c r="E778" s="22">
        <f t="shared" ref="E778:F778" si="778">IF(A778&lt;&gt;"", (B778 - B777) / B777, "")</f>
        <v>-0.0003987130429</v>
      </c>
      <c r="F778" s="22">
        <f t="shared" si="778"/>
        <v>-0.009410892923</v>
      </c>
      <c r="H778" s="22" t="str">
        <f t="shared" si="4"/>
        <v/>
      </c>
    </row>
    <row r="779" ht="15.75" customHeight="1">
      <c r="A779" s="32">
        <f>'EQUITY BACKTEST'!A782</f>
        <v>41621.66667</v>
      </c>
      <c r="B779" s="22">
        <f>'EQUITY BACKTEST'!B782</f>
        <v>1775.32</v>
      </c>
      <c r="C779" s="22">
        <f>1/'EQUITY BACKTEST'!E782</f>
        <v>0.7376807318</v>
      </c>
      <c r="D779" s="22">
        <f t="shared" si="1"/>
        <v>0.6658083428</v>
      </c>
      <c r="E779" s="22">
        <f t="shared" ref="E779:F779" si="779">IF(A779&lt;&gt;"", (B779 - B778) / B778, "")</f>
        <v>-0.01649225246</v>
      </c>
      <c r="F779" s="22">
        <f t="shared" si="779"/>
        <v>-0.004499852464</v>
      </c>
      <c r="H779" s="22" t="str">
        <f t="shared" si="4"/>
        <v/>
      </c>
    </row>
    <row r="780" ht="15.75" customHeight="1">
      <c r="A780" s="32">
        <f>'EQUITY BACKTEST'!A783</f>
        <v>41628.66667</v>
      </c>
      <c r="B780" s="22">
        <f>'EQUITY BACKTEST'!B783</f>
        <v>1818.31</v>
      </c>
      <c r="C780" s="22">
        <f>1/'EQUITY BACKTEST'!E783</f>
        <v>0.7357268982</v>
      </c>
      <c r="D780" s="22">
        <f t="shared" si="1"/>
        <v>0.6996940306</v>
      </c>
      <c r="E780" s="22">
        <f t="shared" ref="E780:F780" si="780">IF(A780&lt;&gt;"", (B780 - B779) / B779, "")</f>
        <v>0.02421535273</v>
      </c>
      <c r="F780" s="22">
        <f t="shared" si="780"/>
        <v>-0.002648616833</v>
      </c>
      <c r="H780" s="22" t="str">
        <f t="shared" si="4"/>
        <v/>
      </c>
    </row>
    <row r="781" ht="15.75" customHeight="1">
      <c r="A781" s="32">
        <f>'EQUITY BACKTEST'!A784</f>
        <v>41635.66667</v>
      </c>
      <c r="B781" s="22">
        <f>'EQUITY BACKTEST'!B784</f>
        <v>1841.4</v>
      </c>
      <c r="C781" s="22">
        <f>1/'EQUITY BACKTEST'!E784</f>
        <v>0.7297672043</v>
      </c>
      <c r="D781" s="22">
        <f t="shared" si="1"/>
        <v>0.7267195641</v>
      </c>
      <c r="E781" s="22">
        <f t="shared" ref="E781:F781" si="781">IF(A781&lt;&gt;"", (B781 - B780) / B780, "")</f>
        <v>0.01269860475</v>
      </c>
      <c r="F781" s="22">
        <f t="shared" si="781"/>
        <v>-0.008100415967</v>
      </c>
      <c r="H781" s="22" t="str">
        <f t="shared" si="4"/>
        <v/>
      </c>
    </row>
    <row r="782" ht="15.75" customHeight="1">
      <c r="A782" s="32">
        <f>'EQUITY BACKTEST'!A785</f>
        <v>41642.66667</v>
      </c>
      <c r="B782" s="22">
        <f>'EQUITY BACKTEST'!B785</f>
        <v>1831.37</v>
      </c>
      <c r="C782" s="22">
        <f>1/'EQUITY BACKTEST'!E785</f>
        <v>0.7277490721</v>
      </c>
      <c r="D782" s="22">
        <f t="shared" si="1"/>
        <v>0.7377859912</v>
      </c>
      <c r="E782" s="22">
        <f t="shared" ref="E782:F782" si="782">IF(A782&lt;&gt;"", (B782 - B781) / B781, "")</f>
        <v>-0.005446942544</v>
      </c>
      <c r="F782" s="22">
        <f t="shared" si="782"/>
        <v>-0.002765446474</v>
      </c>
      <c r="H782" s="22" t="str">
        <f t="shared" si="4"/>
        <v/>
      </c>
    </row>
    <row r="783" ht="15.75" customHeight="1">
      <c r="A783" s="32">
        <f>'EQUITY BACKTEST'!A786</f>
        <v>41649.66667</v>
      </c>
      <c r="B783" s="22">
        <f>'EQUITY BACKTEST'!B786</f>
        <v>1842.37</v>
      </c>
      <c r="C783" s="22">
        <f>1/'EQUITY BACKTEST'!E786</f>
        <v>0.7314753859</v>
      </c>
      <c r="D783" s="22">
        <f t="shared" si="1"/>
        <v>0.7430605062</v>
      </c>
      <c r="E783" s="22">
        <f t="shared" ref="E783:F783" si="783">IF(A783&lt;&gt;"", (B783 - B782) / B782, "")</f>
        <v>0.006006432343</v>
      </c>
      <c r="F783" s="22">
        <f t="shared" si="783"/>
        <v>0.005120327701</v>
      </c>
      <c r="H783" s="22" t="str">
        <f t="shared" si="4"/>
        <v/>
      </c>
    </row>
    <row r="784" ht="15.75" customHeight="1">
      <c r="A784" s="32">
        <f>'EQUITY BACKTEST'!A787</f>
        <v>41656.66667</v>
      </c>
      <c r="B784" s="22">
        <f>'EQUITY BACKTEST'!B787</f>
        <v>1838.7</v>
      </c>
      <c r="C784" s="22">
        <f>1/'EQUITY BACKTEST'!E787</f>
        <v>0.7277490721</v>
      </c>
      <c r="D784" s="22">
        <f t="shared" si="1"/>
        <v>0.740570515</v>
      </c>
      <c r="E784" s="22">
        <f t="shared" ref="E784:F784" si="784">IF(A784&lt;&gt;"", (B784 - B783) / B783, "")</f>
        <v>-0.001991999436</v>
      </c>
      <c r="F784" s="22">
        <f t="shared" si="784"/>
        <v>-0.005094243505</v>
      </c>
      <c r="H784" s="22" t="str">
        <f t="shared" si="4"/>
        <v/>
      </c>
    </row>
    <row r="785" ht="15.75" customHeight="1">
      <c r="A785" s="32">
        <f>'EQUITY BACKTEST'!A788</f>
        <v>41663.66667</v>
      </c>
      <c r="B785" s="22">
        <f>'EQUITY BACKTEST'!B788</f>
        <v>1790.29</v>
      </c>
      <c r="C785" s="22">
        <f>1/'EQUITY BACKTEST'!E788</f>
        <v>0.7359976448</v>
      </c>
      <c r="D785" s="22">
        <f t="shared" si="1"/>
        <v>0.7437604402</v>
      </c>
      <c r="E785" s="22">
        <f t="shared" ref="E785:F785" si="785">IF(A785&lt;&gt;"", (B785 - B784) / B784, "")</f>
        <v>-0.02632838418</v>
      </c>
      <c r="F785" s="22">
        <f t="shared" si="785"/>
        <v>0.01133436373</v>
      </c>
      <c r="H785" s="22" t="str">
        <f t="shared" si="4"/>
        <v/>
      </c>
    </row>
    <row r="786" ht="15.75" customHeight="1">
      <c r="A786" s="32">
        <f>'EQUITY BACKTEST'!A789</f>
        <v>41670.66667</v>
      </c>
      <c r="B786" s="22">
        <f>'EQUITY BACKTEST'!B789</f>
        <v>1782.59</v>
      </c>
      <c r="C786" s="22">
        <f>1/'EQUITY BACKTEST'!E789</f>
        <v>0.7315288954</v>
      </c>
      <c r="D786" s="22">
        <f t="shared" si="1"/>
        <v>0.7303667446</v>
      </c>
      <c r="E786" s="22">
        <f t="shared" ref="E786:F786" si="786">IF(A786&lt;&gt;"", (B786 - B785) / B785, "")</f>
        <v>-0.004300979171</v>
      </c>
      <c r="F786" s="22">
        <f t="shared" si="786"/>
        <v>-0.006071689832</v>
      </c>
      <c r="H786" s="22" t="str">
        <f t="shared" si="4"/>
        <v/>
      </c>
    </row>
    <row r="787" ht="15.75" customHeight="1">
      <c r="A787" s="32">
        <f>'EQUITY BACKTEST'!A790</f>
        <v>41677.66667</v>
      </c>
      <c r="B787" s="22">
        <f>'EQUITY BACKTEST'!B790</f>
        <v>1797.02</v>
      </c>
      <c r="C787" s="22">
        <f>1/'EQUITY BACKTEST'!E790</f>
        <v>0.7385524372</v>
      </c>
      <c r="D787" s="22">
        <f t="shared" si="1"/>
        <v>0.7379728198</v>
      </c>
      <c r="E787" s="22">
        <f t="shared" ref="E787:F787" si="787">IF(A787&lt;&gt;"", (B787 - B786) / B786, "")</f>
        <v>0.008094962947</v>
      </c>
      <c r="F787" s="22">
        <f t="shared" si="787"/>
        <v>0.009601181684</v>
      </c>
      <c r="H787" s="22" t="str">
        <f t="shared" si="4"/>
        <v/>
      </c>
    </row>
    <row r="788" ht="15.75" customHeight="1">
      <c r="A788" s="32">
        <f>'EQUITY BACKTEST'!A791</f>
        <v>41684.66667</v>
      </c>
      <c r="B788" s="22">
        <f>'EQUITY BACKTEST'!B791</f>
        <v>1838.63</v>
      </c>
      <c r="C788" s="22">
        <f>1/'EQUITY BACKTEST'!E791</f>
        <v>0.731261426</v>
      </c>
      <c r="D788" s="22">
        <f t="shared" si="1"/>
        <v>0.7607152847</v>
      </c>
      <c r="E788" s="22">
        <f t="shared" ref="E788:F788" si="788">IF(A788&lt;&gt;"", (B788 - B787) / B787, "")</f>
        <v>0.02315500106</v>
      </c>
      <c r="F788" s="22">
        <f t="shared" si="788"/>
        <v>-0.00987202925</v>
      </c>
      <c r="H788" s="22" t="str">
        <f t="shared" si="4"/>
        <v/>
      </c>
    </row>
    <row r="789" ht="15.75" customHeight="1">
      <c r="A789" s="32">
        <f>'EQUITY BACKTEST'!A792</f>
        <v>41691.66667</v>
      </c>
      <c r="B789" s="22">
        <f>'EQUITY BACKTEST'!B792</f>
        <v>1836.25</v>
      </c>
      <c r="C789" s="22">
        <f>1/'EQUITY BACKTEST'!E792</f>
        <v>0.7414547342</v>
      </c>
      <c r="D789" s="22">
        <f t="shared" si="1"/>
        <v>0.7779736903</v>
      </c>
      <c r="E789" s="22">
        <f t="shared" ref="E789:F789" si="789">IF(A789&lt;&gt;"", (B789 - B788) / B788, "")</f>
        <v>-0.001294442057</v>
      </c>
      <c r="F789" s="22">
        <f t="shared" si="789"/>
        <v>0.013939349</v>
      </c>
      <c r="H789" s="22" t="str">
        <f t="shared" si="4"/>
        <v/>
      </c>
    </row>
    <row r="790" ht="15.75" customHeight="1">
      <c r="A790" s="32">
        <f>'EQUITY BACKTEST'!A793</f>
        <v>41698.66667</v>
      </c>
      <c r="B790" s="22">
        <f>'EQUITY BACKTEST'!B793</f>
        <v>1859.45</v>
      </c>
      <c r="C790" s="22">
        <f>1/'EQUITY BACKTEST'!E793</f>
        <v>0.7334604665</v>
      </c>
      <c r="D790" s="22">
        <f t="shared" si="1"/>
        <v>0.7970125956</v>
      </c>
      <c r="E790" s="22">
        <f t="shared" ref="E790:F790" si="790">IF(A790&lt;&gt;"", (B790 - B789) / B789, "")</f>
        <v>0.0126344452</v>
      </c>
      <c r="F790" s="22">
        <f t="shared" si="790"/>
        <v>-0.01078186886</v>
      </c>
      <c r="H790" s="22" t="str">
        <f t="shared" si="4"/>
        <v/>
      </c>
    </row>
    <row r="791" ht="15.75" customHeight="1">
      <c r="A791" s="32">
        <f>'EQUITY BACKTEST'!A794</f>
        <v>41705.66667</v>
      </c>
      <c r="B791" s="22">
        <f>'EQUITY BACKTEST'!B794</f>
        <v>1878.04</v>
      </c>
      <c r="C791" s="22">
        <f>1/'EQUITY BACKTEST'!E794</f>
        <v>0.7304068366</v>
      </c>
      <c r="D791" s="22">
        <f t="shared" si="1"/>
        <v>0.8002991214</v>
      </c>
      <c r="E791" s="22">
        <f t="shared" ref="E791:F791" si="791">IF(A791&lt;&gt;"", (B791 - B790) / B790, "")</f>
        <v>0.00999757993</v>
      </c>
      <c r="F791" s="22">
        <f t="shared" si="791"/>
        <v>-0.004163318969</v>
      </c>
      <c r="H791" s="22" t="str">
        <f t="shared" si="4"/>
        <v/>
      </c>
    </row>
    <row r="792" ht="15.75" customHeight="1">
      <c r="A792" s="32">
        <f>'EQUITY BACKTEST'!A795</f>
        <v>41712.66667</v>
      </c>
      <c r="B792" s="22">
        <f>'EQUITY BACKTEST'!B795</f>
        <v>1841.13</v>
      </c>
      <c r="C792" s="22">
        <f>1/'EQUITY BACKTEST'!E795</f>
        <v>0.7278550113</v>
      </c>
      <c r="D792" s="22">
        <f t="shared" si="1"/>
        <v>0.7965657361</v>
      </c>
      <c r="E792" s="22">
        <f t="shared" ref="E792:F792" si="792">IF(A792&lt;&gt;"", (B792 - B791) / B791, "")</f>
        <v>-0.01965346851</v>
      </c>
      <c r="F792" s="22">
        <f t="shared" si="792"/>
        <v>-0.003493704054</v>
      </c>
      <c r="H792" s="22" t="str">
        <f t="shared" si="4"/>
        <v/>
      </c>
    </row>
    <row r="793" ht="15.75" customHeight="1">
      <c r="A793" s="32">
        <f>'EQUITY BACKTEST'!A796</f>
        <v>41719.66667</v>
      </c>
      <c r="B793" s="22">
        <f>'EQUITY BACKTEST'!B796</f>
        <v>1866.4</v>
      </c>
      <c r="C793" s="22">
        <f>1/'EQUITY BACKTEST'!E796</f>
        <v>0.7246376812</v>
      </c>
      <c r="D793" s="22">
        <f t="shared" si="1"/>
        <v>0.8077113468</v>
      </c>
      <c r="E793" s="22">
        <f t="shared" ref="E793:F793" si="793">IF(A793&lt;&gt;"", (B793 - B792) / B792, "")</f>
        <v>0.01372526655</v>
      </c>
      <c r="F793" s="22">
        <f t="shared" si="793"/>
        <v>-0.004420289855</v>
      </c>
      <c r="H793" s="22" t="str">
        <f t="shared" si="4"/>
        <v/>
      </c>
    </row>
    <row r="794" ht="15.75" customHeight="1">
      <c r="A794" s="32">
        <f>'EQUITY BACKTEST'!A797</f>
        <v>41726.66667</v>
      </c>
      <c r="B794" s="22">
        <f>'EQUITY BACKTEST'!B797</f>
        <v>1857.62</v>
      </c>
      <c r="C794" s="22">
        <f>1/'EQUITY BACKTEST'!E797</f>
        <v>0.7205130053</v>
      </c>
      <c r="D794" s="22">
        <f t="shared" si="1"/>
        <v>0.7947285172</v>
      </c>
      <c r="E794" s="22">
        <f t="shared" ref="E794:F794" si="794">IF(A794&lt;&gt;"", (B794 - B793) / B793, "")</f>
        <v>-0.004704243463</v>
      </c>
      <c r="F794" s="22">
        <f t="shared" si="794"/>
        <v>-0.005692052742</v>
      </c>
      <c r="H794" s="22" t="str">
        <f t="shared" si="4"/>
        <v/>
      </c>
    </row>
    <row r="795" ht="15.75" customHeight="1">
      <c r="A795" s="32">
        <f>'EQUITY BACKTEST'!A798</f>
        <v>41733.66667</v>
      </c>
      <c r="B795" s="22">
        <f>'EQUITY BACKTEST'!B798</f>
        <v>1865.09</v>
      </c>
      <c r="C795" s="22">
        <f>1/'EQUITY BACKTEST'!E798</f>
        <v>0.7187005893</v>
      </c>
      <c r="D795" s="22">
        <f t="shared" si="1"/>
        <v>0.7772217163</v>
      </c>
      <c r="E795" s="22">
        <f t="shared" ref="E795:F795" si="795">IF(A795&lt;&gt;"", (B795 - B794) / B794, "")</f>
        <v>0.004021274534</v>
      </c>
      <c r="F795" s="22">
        <f t="shared" si="795"/>
        <v>-0.002515452063</v>
      </c>
      <c r="H795" s="22" t="str">
        <f t="shared" si="4"/>
        <v/>
      </c>
    </row>
    <row r="796" ht="15.75" customHeight="1">
      <c r="A796" s="32">
        <f>'EQUITY BACKTEST'!A799</f>
        <v>41740.66667</v>
      </c>
      <c r="B796" s="22">
        <f>'EQUITY BACKTEST'!B799</f>
        <v>1815.69</v>
      </c>
      <c r="C796" s="22">
        <f>1/'EQUITY BACKTEST'!E799</f>
        <v>0.7247952453</v>
      </c>
      <c r="D796" s="22">
        <f t="shared" si="1"/>
        <v>0.7814211029</v>
      </c>
      <c r="E796" s="22">
        <f t="shared" ref="E796:F796" si="796">IF(A796&lt;&gt;"", (B796 - B795) / B795, "")</f>
        <v>-0.02648665748</v>
      </c>
      <c r="F796" s="22">
        <f t="shared" si="796"/>
        <v>0.008480104371</v>
      </c>
      <c r="H796" s="22" t="str">
        <f t="shared" si="4"/>
        <v/>
      </c>
    </row>
    <row r="797" ht="15.75" customHeight="1">
      <c r="A797" s="32">
        <f>'EQUITY BACKTEST'!A800</f>
        <v>41746.66667</v>
      </c>
      <c r="B797" s="22">
        <f>'EQUITY BACKTEST'!B800</f>
        <v>1864.85</v>
      </c>
      <c r="C797" s="22">
        <f>1/'EQUITY BACKTEST'!E800</f>
        <v>0.7271669575</v>
      </c>
      <c r="D797" s="22">
        <f t="shared" si="1"/>
        <v>0.7908009962</v>
      </c>
      <c r="E797" s="22">
        <f t="shared" ref="E797:F797" si="797">IF(A797&lt;&gt;"", (B797 - B796) / B796, "")</f>
        <v>0.02707510643</v>
      </c>
      <c r="F797" s="22">
        <f t="shared" si="797"/>
        <v>0.003272251309</v>
      </c>
      <c r="H797" s="22" t="str">
        <f t="shared" si="4"/>
        <v/>
      </c>
    </row>
    <row r="798" ht="15.75" customHeight="1">
      <c r="A798" s="32">
        <f>'EQUITY BACKTEST'!A801</f>
        <v>41754.66667</v>
      </c>
      <c r="B798" s="22">
        <f>'EQUITY BACKTEST'!B801</f>
        <v>1863.4</v>
      </c>
      <c r="C798" s="22">
        <f>1/'EQUITY BACKTEST'!E801</f>
        <v>0.7296607078</v>
      </c>
      <c r="D798" s="22">
        <f t="shared" si="1"/>
        <v>0.8004370652</v>
      </c>
      <c r="E798" s="22">
        <f t="shared" ref="E798:F798" si="798">IF(A798&lt;&gt;"", (B798 - B797) / B797, "")</f>
        <v>-0.0007775424297</v>
      </c>
      <c r="F798" s="22">
        <f t="shared" si="798"/>
        <v>0.003429405327</v>
      </c>
      <c r="H798" s="22" t="str">
        <f t="shared" si="4"/>
        <v/>
      </c>
    </row>
    <row r="799" ht="15.75" customHeight="1">
      <c r="A799" s="32">
        <f>'EQUITY BACKTEST'!A802</f>
        <v>41761.66667</v>
      </c>
      <c r="B799" s="22">
        <f>'EQUITY BACKTEST'!B802</f>
        <v>1881.14</v>
      </c>
      <c r="C799" s="22">
        <f>1/'EQUITY BACKTEST'!E802</f>
        <v>0.7202535292</v>
      </c>
      <c r="D799" s="22">
        <f t="shared" si="1"/>
        <v>0.8087740491</v>
      </c>
      <c r="E799" s="22">
        <f t="shared" ref="E799:F799" si="799">IF(A799&lt;&gt;"", (B799 - B798) / B798, "")</f>
        <v>0.009520231834</v>
      </c>
      <c r="F799" s="22">
        <f t="shared" si="799"/>
        <v>-0.01289253817</v>
      </c>
      <c r="H799" s="22" t="str">
        <f t="shared" si="4"/>
        <v/>
      </c>
    </row>
    <row r="800" ht="15.75" customHeight="1">
      <c r="A800" s="32">
        <f>'EQUITY BACKTEST'!A803</f>
        <v>41768.66667</v>
      </c>
      <c r="B800" s="22">
        <f>'EQUITY BACKTEST'!B803</f>
        <v>1878.48</v>
      </c>
      <c r="C800" s="22">
        <f>1/'EQUITY BACKTEST'!E803</f>
        <v>0.7239032865</v>
      </c>
      <c r="D800" s="22">
        <f t="shared" si="1"/>
        <v>0.8137704584</v>
      </c>
      <c r="E800" s="22">
        <f t="shared" ref="E800:F800" si="800">IF(A800&lt;&gt;"", (B800 - B799) / B799, "")</f>
        <v>-0.00141403617</v>
      </c>
      <c r="F800" s="22">
        <f t="shared" si="800"/>
        <v>0.005067323006</v>
      </c>
      <c r="H800" s="22" t="str">
        <f t="shared" si="4"/>
        <v/>
      </c>
    </row>
    <row r="801" ht="15.75" customHeight="1">
      <c r="A801" s="32">
        <f>'EQUITY BACKTEST'!A804</f>
        <v>41775.66667</v>
      </c>
      <c r="B801" s="22">
        <f>'EQUITY BACKTEST'!B804</f>
        <v>1877.86</v>
      </c>
      <c r="C801" s="22">
        <f>1/'EQUITY BACKTEST'!E804</f>
        <v>0.7229089858</v>
      </c>
      <c r="D801" s="22">
        <f t="shared" si="1"/>
        <v>0.8199691128</v>
      </c>
      <c r="E801" s="22">
        <f t="shared" ref="E801:F801" si="801">IF(A801&lt;&gt;"", (B801 - B800) / B800, "")</f>
        <v>-0.0003300540863</v>
      </c>
      <c r="F801" s="22">
        <f t="shared" si="801"/>
        <v>-0.001373527073</v>
      </c>
      <c r="H801" s="22" t="str">
        <f t="shared" si="4"/>
        <v/>
      </c>
    </row>
    <row r="802" ht="15.75" customHeight="1">
      <c r="A802" s="32">
        <f>'EQUITY BACKTEST'!A805</f>
        <v>41782.66667</v>
      </c>
      <c r="B802" s="22">
        <f>'EQUITY BACKTEST'!B805</f>
        <v>1900.53</v>
      </c>
      <c r="C802" s="22">
        <f>1/'EQUITY BACKTEST'!E805</f>
        <v>0.7209805335</v>
      </c>
      <c r="D802" s="22">
        <f t="shared" si="1"/>
        <v>0.8224869466</v>
      </c>
      <c r="E802" s="22">
        <f t="shared" ref="E802:F802" si="802">IF(A802&lt;&gt;"", (B802 - B801) / B801, "")</f>
        <v>0.01207225246</v>
      </c>
      <c r="F802" s="22">
        <f t="shared" si="802"/>
        <v>-0.002667627974</v>
      </c>
      <c r="H802" s="22" t="str">
        <f t="shared" si="4"/>
        <v/>
      </c>
    </row>
    <row r="803" ht="15.75" customHeight="1">
      <c r="A803" s="32">
        <f>'EQUITY BACKTEST'!A806</f>
        <v>41789.66667</v>
      </c>
      <c r="B803" s="22">
        <f>'EQUITY BACKTEST'!B806</f>
        <v>1923.57</v>
      </c>
      <c r="C803" s="22">
        <f>1/'EQUITY BACKTEST'!E806</f>
        <v>0.7267970056</v>
      </c>
      <c r="D803" s="22">
        <f t="shared" si="1"/>
        <v>0.821532788</v>
      </c>
      <c r="E803" s="22">
        <f t="shared" ref="E803:F803" si="803">IF(A803&lt;&gt;"", (B803 - B802) / B802, "")</f>
        <v>0.01212293413</v>
      </c>
      <c r="F803" s="22">
        <f t="shared" si="803"/>
        <v>0.008067446762</v>
      </c>
      <c r="H803" s="22" t="str">
        <f t="shared" si="4"/>
        <v/>
      </c>
    </row>
    <row r="804" ht="15.75" customHeight="1">
      <c r="A804" s="32">
        <f>'EQUITY BACKTEST'!A807</f>
        <v>41796.66667</v>
      </c>
      <c r="B804" s="22">
        <f>'EQUITY BACKTEST'!B807</f>
        <v>1949.44</v>
      </c>
      <c r="C804" s="22">
        <f>1/'EQUITY BACKTEST'!E807</f>
        <v>0.7302468234</v>
      </c>
      <c r="D804" s="22">
        <f t="shared" si="1"/>
        <v>0.8178882877</v>
      </c>
      <c r="E804" s="22">
        <f t="shared" ref="E804:F804" si="804">IF(A804&lt;&gt;"", (B804 - B803) / B803, "")</f>
        <v>0.01344895169</v>
      </c>
      <c r="F804" s="22">
        <f t="shared" si="804"/>
        <v>0.004746604352</v>
      </c>
      <c r="H804" s="22" t="str">
        <f t="shared" si="4"/>
        <v/>
      </c>
    </row>
    <row r="805" ht="15.75" customHeight="1">
      <c r="A805" s="32">
        <f>'EQUITY BACKTEST'!A808</f>
        <v>41803.66667</v>
      </c>
      <c r="B805" s="22">
        <f>'EQUITY BACKTEST'!B808</f>
        <v>1936.16</v>
      </c>
      <c r="C805" s="22">
        <f>1/'EQUITY BACKTEST'!E808</f>
        <v>0.7338910906</v>
      </c>
      <c r="D805" s="22">
        <f t="shared" si="1"/>
        <v>0.8159589087</v>
      </c>
      <c r="E805" s="22">
        <f t="shared" ref="E805:F805" si="805">IF(A805&lt;&gt;"", (B805 - B804) / B804, "")</f>
        <v>-0.006812212738</v>
      </c>
      <c r="F805" s="22">
        <f t="shared" si="805"/>
        <v>0.004990459416</v>
      </c>
      <c r="H805" s="22" t="str">
        <f t="shared" si="4"/>
        <v/>
      </c>
    </row>
    <row r="806" ht="15.75" customHeight="1">
      <c r="A806" s="32">
        <f>'EQUITY BACKTEST'!A809</f>
        <v>41810.66667</v>
      </c>
      <c r="B806" s="22">
        <f>'EQUITY BACKTEST'!B809</f>
        <v>1962.87</v>
      </c>
      <c r="C806" s="22">
        <f>1/'EQUITY BACKTEST'!E809</f>
        <v>0.7336757153</v>
      </c>
      <c r="D806" s="22">
        <f t="shared" si="1"/>
        <v>0.8148979492</v>
      </c>
      <c r="E806" s="22">
        <f t="shared" ref="E806:F806" si="806">IF(A806&lt;&gt;"", (B806 - B805) / B805, "")</f>
        <v>0.01379534749</v>
      </c>
      <c r="F806" s="22">
        <f t="shared" si="806"/>
        <v>-0.0002934702861</v>
      </c>
      <c r="H806" s="22" t="str">
        <f t="shared" si="4"/>
        <v/>
      </c>
    </row>
    <row r="807" ht="15.75" customHeight="1">
      <c r="A807" s="32">
        <f>'EQUITY BACKTEST'!A810</f>
        <v>41817.66667</v>
      </c>
      <c r="B807" s="22">
        <f>'EQUITY BACKTEST'!B810</f>
        <v>1960.96</v>
      </c>
      <c r="C807" s="22">
        <f>1/'EQUITY BACKTEST'!E810</f>
        <v>0.7330840847</v>
      </c>
      <c r="D807" s="22">
        <f t="shared" si="1"/>
        <v>0.8134077285</v>
      </c>
      <c r="E807" s="22">
        <f t="shared" ref="E807:F807" si="807">IF(A807&lt;&gt;"", (B807 - B806) / B806, "")</f>
        <v>-0.0009730649508</v>
      </c>
      <c r="F807" s="22">
        <f t="shared" si="807"/>
        <v>-0.0008063924932</v>
      </c>
      <c r="H807" s="22" t="str">
        <f t="shared" si="4"/>
        <v/>
      </c>
    </row>
    <row r="808" ht="15.75" customHeight="1">
      <c r="A808" s="32">
        <f>'EQUITY BACKTEST'!A811</f>
        <v>41823.66667</v>
      </c>
      <c r="B808" s="22">
        <f>'EQUITY BACKTEST'!B811</f>
        <v>1985.44</v>
      </c>
      <c r="C808" s="22">
        <f>1/'EQUITY BACKTEST'!E811</f>
        <v>0.7386069872</v>
      </c>
      <c r="D808" s="22">
        <f t="shared" si="1"/>
        <v>0.8085503218</v>
      </c>
      <c r="E808" s="22">
        <f t="shared" ref="E808:F808" si="808">IF(A808&lt;&gt;"", (B808 - B807) / B807, "")</f>
        <v>0.01248368146</v>
      </c>
      <c r="F808" s="22">
        <f t="shared" si="808"/>
        <v>0.00753379127</v>
      </c>
      <c r="H808" s="22" t="str">
        <f t="shared" si="4"/>
        <v/>
      </c>
    </row>
    <row r="809" ht="15.75" customHeight="1">
      <c r="A809" s="32">
        <f>'EQUITY BACKTEST'!A812</f>
        <v>41831.66667</v>
      </c>
      <c r="B809" s="22">
        <f>'EQUITY BACKTEST'!B812</f>
        <v>1967.57</v>
      </c>
      <c r="C809" s="22">
        <f>1/'EQUITY BACKTEST'!E812</f>
        <v>0.7352941176</v>
      </c>
      <c r="D809" s="22">
        <f t="shared" si="1"/>
        <v>0.807038335</v>
      </c>
      <c r="E809" s="22">
        <f t="shared" ref="E809:F809" si="809">IF(A809&lt;&gt;"", (B809 - B808) / B808, "")</f>
        <v>-0.009000523813</v>
      </c>
      <c r="F809" s="22">
        <f t="shared" si="809"/>
        <v>-0.004485294118</v>
      </c>
      <c r="H809" s="22" t="str">
        <f t="shared" si="4"/>
        <v/>
      </c>
    </row>
    <row r="810" ht="15.75" customHeight="1">
      <c r="A810" s="32">
        <f>'EQUITY BACKTEST'!A813</f>
        <v>41838.66667</v>
      </c>
      <c r="B810" s="22">
        <f>'EQUITY BACKTEST'!B813</f>
        <v>1978.22</v>
      </c>
      <c r="C810" s="22">
        <f>1/'EQUITY BACKTEST'!E813</f>
        <v>0.7328691829</v>
      </c>
      <c r="D810" s="22">
        <f t="shared" si="1"/>
        <v>0.8038847285</v>
      </c>
      <c r="E810" s="22">
        <f t="shared" ref="E810:F810" si="810">IF(A810&lt;&gt;"", (B810 - B809) / B809, "")</f>
        <v>0.005412768034</v>
      </c>
      <c r="F810" s="22">
        <f t="shared" si="810"/>
        <v>-0.003297911323</v>
      </c>
      <c r="H810" s="22" t="str">
        <f t="shared" si="4"/>
        <v/>
      </c>
    </row>
    <row r="811" ht="15.75" customHeight="1">
      <c r="A811" s="32">
        <f>'EQUITY BACKTEST'!A814</f>
        <v>41845.66667</v>
      </c>
      <c r="B811" s="22">
        <f>'EQUITY BACKTEST'!B814</f>
        <v>1978.34</v>
      </c>
      <c r="C811" s="22">
        <f>1/'EQUITY BACKTEST'!E814</f>
        <v>0.7355104442</v>
      </c>
      <c r="D811" s="22">
        <f t="shared" si="1"/>
        <v>0.7997829968</v>
      </c>
      <c r="E811" s="22">
        <f t="shared" ref="E811:F811" si="811">IF(A811&lt;&gt;"", (B811 - B810) / B810, "")</f>
        <v>0.00006066059387</v>
      </c>
      <c r="F811" s="22">
        <f t="shared" si="811"/>
        <v>0.003604001177</v>
      </c>
      <c r="H811" s="22" t="str">
        <f t="shared" si="4"/>
        <v/>
      </c>
    </row>
    <row r="812" ht="15.75" customHeight="1">
      <c r="A812" s="32">
        <f>'EQUITY BACKTEST'!A815</f>
        <v>41852.66667</v>
      </c>
      <c r="B812" s="22">
        <f>'EQUITY BACKTEST'!B815</f>
        <v>1925.15</v>
      </c>
      <c r="C812" s="22">
        <f>1/'EQUITY BACKTEST'!E815</f>
        <v>0.734861846</v>
      </c>
      <c r="D812" s="22">
        <f t="shared" si="1"/>
        <v>0.7973925269</v>
      </c>
      <c r="E812" s="22">
        <f t="shared" ref="E812:F812" si="812">IF(A812&lt;&gt;"", (B812 - B811) / B811, "")</f>
        <v>-0.0268861773</v>
      </c>
      <c r="F812" s="22">
        <f t="shared" si="812"/>
        <v>-0.0008818342152</v>
      </c>
      <c r="H812" s="22" t="str">
        <f t="shared" si="4"/>
        <v/>
      </c>
    </row>
    <row r="813" ht="15.75" customHeight="1">
      <c r="A813" s="32">
        <f>'EQUITY BACKTEST'!A816</f>
        <v>41859.66667</v>
      </c>
      <c r="B813" s="22">
        <f>'EQUITY BACKTEST'!B816</f>
        <v>1931.59</v>
      </c>
      <c r="C813" s="22">
        <f>1/'EQUITY BACKTEST'!E816</f>
        <v>0.7394808844</v>
      </c>
      <c r="D813" s="22">
        <f t="shared" si="1"/>
        <v>0.7814647502</v>
      </c>
      <c r="E813" s="22">
        <f t="shared" ref="E813:F813" si="813">IF(A813&lt;&gt;"", (B813 - B812) / B812, "")</f>
        <v>0.003345193881</v>
      </c>
      <c r="F813" s="22">
        <f t="shared" si="813"/>
        <v>0.006285587518</v>
      </c>
      <c r="H813" s="22" t="str">
        <f t="shared" si="4"/>
        <v/>
      </c>
    </row>
    <row r="814" ht="15.75" customHeight="1">
      <c r="A814" s="32">
        <f>'EQUITY BACKTEST'!A817</f>
        <v>41866.66667</v>
      </c>
      <c r="B814" s="22">
        <f>'EQUITY BACKTEST'!B817</f>
        <v>1955.06</v>
      </c>
      <c r="C814" s="22">
        <f>1/'EQUITY BACKTEST'!E817</f>
        <v>0.7446016381</v>
      </c>
      <c r="D814" s="22">
        <f t="shared" si="1"/>
        <v>0.7689412373</v>
      </c>
      <c r="E814" s="22">
        <f t="shared" ref="E814:F814" si="814">IF(A814&lt;&gt;"", (B814 - B813) / B813, "")</f>
        <v>0.01215061167</v>
      </c>
      <c r="F814" s="22">
        <f t="shared" si="814"/>
        <v>0.006924795235</v>
      </c>
      <c r="H814" s="22" t="str">
        <f t="shared" si="4"/>
        <v/>
      </c>
    </row>
    <row r="815" ht="15.75" customHeight="1">
      <c r="A815" s="32">
        <f>'EQUITY BACKTEST'!A818</f>
        <v>41873.66667</v>
      </c>
      <c r="B815" s="22">
        <f>'EQUITY BACKTEST'!B818</f>
        <v>1988.4</v>
      </c>
      <c r="C815" s="22">
        <f>1/'EQUITY BACKTEST'!E818</f>
        <v>0.7446016381</v>
      </c>
      <c r="D815" s="22">
        <f t="shared" si="1"/>
        <v>0.7023922019</v>
      </c>
      <c r="E815" s="22">
        <f t="shared" ref="E815:F815" si="815">IF(A815&lt;&gt;"", (B815 - B814) / B814, "")</f>
        <v>0.01705318507</v>
      </c>
      <c r="F815" s="22">
        <f t="shared" si="815"/>
        <v>0</v>
      </c>
      <c r="H815" s="22" t="str">
        <f t="shared" si="4"/>
        <v/>
      </c>
    </row>
    <row r="816" ht="15.75" customHeight="1">
      <c r="A816" s="32">
        <f>'EQUITY BACKTEST'!A819</f>
        <v>41880.66667</v>
      </c>
      <c r="B816" s="22">
        <f>'EQUITY BACKTEST'!B819</f>
        <v>2003.37</v>
      </c>
      <c r="C816" s="22">
        <f>1/'EQUITY BACKTEST'!E819</f>
        <v>0.7457677679</v>
      </c>
      <c r="D816" s="22">
        <f t="shared" si="1"/>
        <v>0.6537060257</v>
      </c>
      <c r="E816" s="22">
        <f t="shared" ref="E816:F816" si="816">IF(A816&lt;&gt;"", (B816 - B815) / B815, "")</f>
        <v>0.007528666264</v>
      </c>
      <c r="F816" s="22">
        <f t="shared" si="816"/>
        <v>0.001566112313</v>
      </c>
      <c r="H816" s="22" t="str">
        <f t="shared" si="4"/>
        <v/>
      </c>
    </row>
    <row r="817" ht="15.75" customHeight="1">
      <c r="A817" s="32">
        <f>'EQUITY BACKTEST'!A820</f>
        <v>41887.66667</v>
      </c>
      <c r="B817" s="22">
        <f>'EQUITY BACKTEST'!B820</f>
        <v>2007.71</v>
      </c>
      <c r="C817" s="22">
        <f>1/'EQUITY BACKTEST'!E820</f>
        <v>0.7466308284</v>
      </c>
      <c r="D817" s="22">
        <f t="shared" si="1"/>
        <v>0.5775734722</v>
      </c>
      <c r="E817" s="22">
        <f t="shared" ref="E817:F817" si="817">IF(A817&lt;&gt;"", (B817 - B816) / B816, "")</f>
        <v>0.002166349701</v>
      </c>
      <c r="F817" s="22">
        <f t="shared" si="817"/>
        <v>0.001157277784</v>
      </c>
      <c r="H817" s="22" t="str">
        <f t="shared" si="4"/>
        <v/>
      </c>
    </row>
    <row r="818" ht="15.75" customHeight="1">
      <c r="A818" s="32">
        <f>'EQUITY BACKTEST'!A821</f>
        <v>41894.66667</v>
      </c>
      <c r="B818" s="22">
        <f>'EQUITY BACKTEST'!B821</f>
        <v>1985.54</v>
      </c>
      <c r="C818" s="22">
        <f>1/'EQUITY BACKTEST'!E821</f>
        <v>0.7550018875</v>
      </c>
      <c r="D818" s="22">
        <f t="shared" si="1"/>
        <v>0.5482620398</v>
      </c>
      <c r="E818" s="22">
        <f t="shared" ref="E818:F818" si="818">IF(A818&lt;&gt;"", (B818 - B817) / B817, "")</f>
        <v>-0.01104243143</v>
      </c>
      <c r="F818" s="22">
        <f t="shared" si="818"/>
        <v>0.01121177803</v>
      </c>
      <c r="H818" s="22" t="str">
        <f t="shared" si="4"/>
        <v/>
      </c>
    </row>
    <row r="819" ht="15.75" customHeight="1">
      <c r="A819" s="32">
        <f>'EQUITY BACKTEST'!A822</f>
        <v>41901.66667</v>
      </c>
      <c r="B819" s="22">
        <f>'EQUITY BACKTEST'!B822</f>
        <v>2010.4</v>
      </c>
      <c r="C819" s="22">
        <f>1/'EQUITY BACKTEST'!E822</f>
        <v>0.7612667479</v>
      </c>
      <c r="D819" s="22">
        <f t="shared" si="1"/>
        <v>0.4991594481</v>
      </c>
      <c r="E819" s="22">
        <f t="shared" ref="E819:F819" si="819">IF(A819&lt;&gt;"", (B819 - B818) / B818, "")</f>
        <v>0.01252052338</v>
      </c>
      <c r="F819" s="22">
        <f t="shared" si="819"/>
        <v>0.008297807552</v>
      </c>
      <c r="H819" s="22" t="str">
        <f t="shared" si="4"/>
        <v/>
      </c>
    </row>
    <row r="820" ht="15.75" customHeight="1">
      <c r="A820" s="32">
        <f>'EQUITY BACKTEST'!A823</f>
        <v>41908.66667</v>
      </c>
      <c r="B820" s="22">
        <f>'EQUITY BACKTEST'!B823</f>
        <v>1982.85</v>
      </c>
      <c r="C820" s="22">
        <f>1/'EQUITY BACKTEST'!E823</f>
        <v>0.7722604062</v>
      </c>
      <c r="D820" s="22">
        <f t="shared" si="1"/>
        <v>0.4506584203</v>
      </c>
      <c r="E820" s="22">
        <f t="shared" ref="E820:F820" si="820">IF(A820&lt;&gt;"", (B820 - B819) / B819, "")</f>
        <v>-0.01370374055</v>
      </c>
      <c r="F820" s="22">
        <f t="shared" si="820"/>
        <v>0.0144412696</v>
      </c>
      <c r="H820" s="22" t="str">
        <f t="shared" si="4"/>
        <v/>
      </c>
    </row>
    <row r="821" ht="15.75" customHeight="1">
      <c r="A821" s="32">
        <f>'EQUITY BACKTEST'!A824</f>
        <v>41915.66667</v>
      </c>
      <c r="B821" s="22">
        <f>'EQUITY BACKTEST'!B824</f>
        <v>1967.9</v>
      </c>
      <c r="C821" s="22">
        <f>1/'EQUITY BACKTEST'!E824</f>
        <v>0.7723797019</v>
      </c>
      <c r="D821" s="22">
        <f t="shared" si="1"/>
        <v>0.4113693536</v>
      </c>
      <c r="E821" s="22">
        <f t="shared" ref="E821:F821" si="821">IF(A821&lt;&gt;"", (B821 - B820) / B820, "")</f>
        <v>-0.00753965252</v>
      </c>
      <c r="F821" s="22">
        <f t="shared" si="821"/>
        <v>0.0001544759404</v>
      </c>
      <c r="H821" s="22" t="str">
        <f t="shared" si="4"/>
        <v/>
      </c>
    </row>
    <row r="822" ht="15.75" customHeight="1">
      <c r="A822" s="32">
        <f>'EQUITY BACKTEST'!A825</f>
        <v>41922.66667</v>
      </c>
      <c r="B822" s="22">
        <f>'EQUITY BACKTEST'!B825</f>
        <v>1906.13</v>
      </c>
      <c r="C822" s="22">
        <f>1/'EQUITY BACKTEST'!E825</f>
        <v>0.7794839816</v>
      </c>
      <c r="D822" s="22">
        <f t="shared" si="1"/>
        <v>0.377715549</v>
      </c>
      <c r="E822" s="22">
        <f t="shared" ref="E822:F822" si="822">IF(A822&lt;&gt;"", (B822 - B821) / B821, "")</f>
        <v>-0.03138879008</v>
      </c>
      <c r="F822" s="22">
        <f t="shared" si="822"/>
        <v>0.009197910983</v>
      </c>
      <c r="H822" s="22" t="str">
        <f t="shared" si="4"/>
        <v/>
      </c>
    </row>
    <row r="823" ht="15.75" customHeight="1">
      <c r="A823" s="32">
        <f>'EQUITY BACKTEST'!A826</f>
        <v>41929.66667</v>
      </c>
      <c r="B823" s="22">
        <f>'EQUITY BACKTEST'!B826</f>
        <v>1886.76</v>
      </c>
      <c r="C823" s="22">
        <f>1/'EQUITY BACKTEST'!E826</f>
        <v>0.7884569897</v>
      </c>
      <c r="D823" s="22">
        <f t="shared" si="1"/>
        <v>0.3171380816</v>
      </c>
      <c r="E823" s="22">
        <f t="shared" ref="E823:F823" si="823">IF(A823&lt;&gt;"", (B823 - B822) / B822, "")</f>
        <v>-0.01016195118</v>
      </c>
      <c r="F823" s="22">
        <f t="shared" si="823"/>
        <v>0.01151147205</v>
      </c>
      <c r="H823" s="22" t="str">
        <f t="shared" si="4"/>
        <v/>
      </c>
    </row>
    <row r="824" ht="15.75" customHeight="1">
      <c r="A824" s="32">
        <f>'EQUITY BACKTEST'!A827</f>
        <v>41936.66667</v>
      </c>
      <c r="B824" s="22">
        <f>'EQUITY BACKTEST'!B827</f>
        <v>1964.58</v>
      </c>
      <c r="C824" s="22">
        <f>1/'EQUITY BACKTEST'!E827</f>
        <v>0.7991050024</v>
      </c>
      <c r="D824" s="22">
        <f t="shared" si="1"/>
        <v>0.2483623232</v>
      </c>
      <c r="E824" s="22">
        <f t="shared" ref="E824:F824" si="824">IF(A824&lt;&gt;"", (B824 - B823) / B823, "")</f>
        <v>0.04124530942</v>
      </c>
      <c r="F824" s="22">
        <f t="shared" si="824"/>
        <v>0.01350487454</v>
      </c>
      <c r="H824" s="22" t="str">
        <f t="shared" si="4"/>
        <v/>
      </c>
    </row>
    <row r="825" ht="15.75" customHeight="1">
      <c r="A825" s="32">
        <f>'EQUITY BACKTEST'!A828</f>
        <v>41943.66667</v>
      </c>
      <c r="B825" s="22">
        <f>'EQUITY BACKTEST'!B828</f>
        <v>2018.05</v>
      </c>
      <c r="C825" s="22">
        <f>1/'EQUITY BACKTEST'!E828</f>
        <v>0.7919537499</v>
      </c>
      <c r="D825" s="22">
        <f t="shared" si="1"/>
        <v>0.2054217814</v>
      </c>
      <c r="E825" s="22">
        <f t="shared" ref="E825:F825" si="825">IF(A825&lt;&gt;"", (B825 - B824) / B824, "")</f>
        <v>0.02721701331</v>
      </c>
      <c r="F825" s="22">
        <f t="shared" si="825"/>
        <v>-0.008949077374</v>
      </c>
      <c r="H825" s="22" t="str">
        <f t="shared" si="4"/>
        <v/>
      </c>
    </row>
    <row r="826" ht="15.75" customHeight="1">
      <c r="A826" s="32">
        <f>'EQUITY BACKTEST'!A829</f>
        <v>41950.66667</v>
      </c>
      <c r="B826" s="22">
        <f>'EQUITY BACKTEST'!B829</f>
        <v>2031.92</v>
      </c>
      <c r="C826" s="22">
        <f>1/'EQUITY BACKTEST'!E829</f>
        <v>0.7838219157</v>
      </c>
      <c r="D826" s="22">
        <f t="shared" si="1"/>
        <v>0.1842884166</v>
      </c>
      <c r="E826" s="22">
        <f t="shared" ref="E826:F826" si="826">IF(A826&lt;&gt;"", (B826 - B825) / B825, "")</f>
        <v>0.006872971433</v>
      </c>
      <c r="F826" s="22">
        <f t="shared" si="826"/>
        <v>-0.0102680671</v>
      </c>
      <c r="H826" s="22" t="str">
        <f t="shared" si="4"/>
        <v/>
      </c>
    </row>
    <row r="827" ht="15.75" customHeight="1">
      <c r="A827" s="32">
        <f>'EQUITY BACKTEST'!A830</f>
        <v>41957.66667</v>
      </c>
      <c r="B827" s="22">
        <f>'EQUITY BACKTEST'!B830</f>
        <v>2039.82</v>
      </c>
      <c r="C827" s="22">
        <f>1/'EQUITY BACKTEST'!E830</f>
        <v>0.7893282816</v>
      </c>
      <c r="D827" s="22">
        <f t="shared" si="1"/>
        <v>0.1579371439</v>
      </c>
      <c r="E827" s="22">
        <f t="shared" ref="E827:F827" si="827">IF(A827&lt;&gt;"", (B827 - B826) / B826, "")</f>
        <v>0.003887948344</v>
      </c>
      <c r="F827" s="22">
        <f t="shared" si="827"/>
        <v>0.007025021707</v>
      </c>
      <c r="H827" s="22" t="str">
        <f t="shared" si="4"/>
        <v/>
      </c>
    </row>
    <row r="828" ht="15.75" customHeight="1">
      <c r="A828" s="32">
        <f>'EQUITY BACKTEST'!A831</f>
        <v>41964.66667</v>
      </c>
      <c r="B828" s="22">
        <f>'EQUITY BACKTEST'!B831</f>
        <v>2063.5</v>
      </c>
      <c r="C828" s="22">
        <f>1/'EQUITY BACKTEST'!E831</f>
        <v>0.7985307035</v>
      </c>
      <c r="D828" s="22">
        <f t="shared" si="1"/>
        <v>0.1539342005</v>
      </c>
      <c r="E828" s="22">
        <f t="shared" ref="E828:F828" si="828">IF(A828&lt;&gt;"", (B828 - B827) / B827, "")</f>
        <v>0.01160886745</v>
      </c>
      <c r="F828" s="22">
        <f t="shared" si="828"/>
        <v>0.01165854827</v>
      </c>
      <c r="H828" s="22" t="str">
        <f t="shared" si="4"/>
        <v/>
      </c>
    </row>
    <row r="829" ht="15.75" customHeight="1">
      <c r="A829" s="32">
        <f>'EQUITY BACKTEST'!A832</f>
        <v>41971.66667</v>
      </c>
      <c r="B829" s="22">
        <f>'EQUITY BACKTEST'!B832</f>
        <v>2067.56</v>
      </c>
      <c r="C829" s="22">
        <f>1/'EQUITY BACKTEST'!E832</f>
        <v>0.8030258012</v>
      </c>
      <c r="D829" s="22">
        <f t="shared" si="1"/>
        <v>0.1721539342</v>
      </c>
      <c r="E829" s="22">
        <f t="shared" ref="E829:F829" si="829">IF(A829&lt;&gt;"", (B829 - B828) / B828, "")</f>
        <v>0.001967530894</v>
      </c>
      <c r="F829" s="22">
        <f t="shared" si="829"/>
        <v>0.005629210867</v>
      </c>
      <c r="H829" s="22" t="str">
        <f t="shared" si="4"/>
        <v/>
      </c>
    </row>
    <row r="830" ht="15.75" customHeight="1">
      <c r="A830" s="32">
        <f>'EQUITY BACKTEST'!A833</f>
        <v>41978.66667</v>
      </c>
      <c r="B830" s="22">
        <f>'EQUITY BACKTEST'!B833</f>
        <v>2075.37</v>
      </c>
      <c r="C830" s="22">
        <f>1/'EQUITY BACKTEST'!E833</f>
        <v>0.7984669435</v>
      </c>
      <c r="D830" s="22">
        <f t="shared" si="1"/>
        <v>0.1937914971</v>
      </c>
      <c r="E830" s="22">
        <f t="shared" ref="E830:F830" si="830">IF(A830&lt;&gt;"", (B830 - B829) / B829, "")</f>
        <v>0.003777399447</v>
      </c>
      <c r="F830" s="22">
        <f t="shared" si="830"/>
        <v>-0.005677099968</v>
      </c>
      <c r="H830" s="22" t="str">
        <f t="shared" si="4"/>
        <v/>
      </c>
    </row>
    <row r="831" ht="15.75" customHeight="1">
      <c r="A831" s="32">
        <f>'EQUITY BACKTEST'!A834</f>
        <v>41985.66667</v>
      </c>
      <c r="B831" s="22">
        <f>'EQUITY BACKTEST'!B834</f>
        <v>2002.33</v>
      </c>
      <c r="C831" s="22">
        <f>1/'EQUITY BACKTEST'!E834</f>
        <v>0.807102502</v>
      </c>
      <c r="D831" s="22">
        <f t="shared" si="1"/>
        <v>0.1861470431</v>
      </c>
      <c r="E831" s="22">
        <f t="shared" ref="E831:F831" si="831">IF(A831&lt;&gt;"", (B831 - B830) / B830, "")</f>
        <v>-0.03519372449</v>
      </c>
      <c r="F831" s="22">
        <f t="shared" si="831"/>
        <v>0.01081517353</v>
      </c>
      <c r="H831" s="22" t="str">
        <f t="shared" si="4"/>
        <v/>
      </c>
    </row>
    <row r="832" ht="15.75" customHeight="1">
      <c r="A832" s="32">
        <f>'EQUITY BACKTEST'!A835</f>
        <v>41992.66667</v>
      </c>
      <c r="B832" s="22">
        <f>'EQUITY BACKTEST'!B835</f>
        <v>2070.65</v>
      </c>
      <c r="C832" s="22">
        <f>1/'EQUITY BACKTEST'!E835</f>
        <v>0.8032128514</v>
      </c>
      <c r="D832" s="22">
        <f t="shared" si="1"/>
        <v>0.1097825044</v>
      </c>
      <c r="E832" s="22">
        <f t="shared" ref="E832:F832" si="832">IF(A832&lt;&gt;"", (B832 - B831) / B831, "")</f>
        <v>0.03412024991</v>
      </c>
      <c r="F832" s="22">
        <f t="shared" si="832"/>
        <v>-0.004819277108</v>
      </c>
      <c r="H832" s="22" t="str">
        <f t="shared" si="4"/>
        <v/>
      </c>
    </row>
    <row r="833" ht="15.75" customHeight="1">
      <c r="A833" s="32">
        <f>'EQUITY BACKTEST'!A836</f>
        <v>41999.66667</v>
      </c>
      <c r="B833" s="22">
        <f>'EQUITY BACKTEST'!B836</f>
        <v>2088.77</v>
      </c>
      <c r="C833" s="22">
        <f>1/'EQUITY BACKTEST'!E836</f>
        <v>0.814000814</v>
      </c>
      <c r="D833" s="22">
        <f t="shared" si="1"/>
        <v>0.1258011829</v>
      </c>
      <c r="E833" s="22">
        <f t="shared" ref="E833:F833" si="833">IF(A833&lt;&gt;"", (B833 - B832) / B832, "")</f>
        <v>0.008750875329</v>
      </c>
      <c r="F833" s="22">
        <f t="shared" si="833"/>
        <v>0.01343101343</v>
      </c>
      <c r="H833" s="22" t="str">
        <f t="shared" si="4"/>
        <v/>
      </c>
    </row>
    <row r="834" ht="15.75" customHeight="1">
      <c r="A834" s="32">
        <f>'EQUITY BACKTEST'!A837</f>
        <v>42006.66667</v>
      </c>
      <c r="B834" s="22">
        <f>'EQUITY BACKTEST'!B837</f>
        <v>2058.2</v>
      </c>
      <c r="C834" s="22">
        <f>1/'EQUITY BACKTEST'!E837</f>
        <v>0.8024394158</v>
      </c>
      <c r="D834" s="22">
        <f t="shared" si="1"/>
        <v>0.1574043173</v>
      </c>
      <c r="E834" s="22">
        <f t="shared" ref="E834:F834" si="834">IF(A834&lt;&gt;"", (B834 - B833) / B833, "")</f>
        <v>-0.01463540744</v>
      </c>
      <c r="F834" s="22">
        <f t="shared" si="834"/>
        <v>-0.01420317766</v>
      </c>
      <c r="H834" s="22" t="str">
        <f t="shared" si="4"/>
        <v/>
      </c>
    </row>
    <row r="835" ht="15.75" customHeight="1">
      <c r="A835" s="32">
        <f>'EQUITY BACKTEST'!A838</f>
        <v>42013.66667</v>
      </c>
      <c r="B835" s="22">
        <f>'EQUITY BACKTEST'!B838</f>
        <v>2044.81</v>
      </c>
      <c r="C835" s="22">
        <f>1/'EQUITY BACKTEST'!E838</f>
        <v>0.8178621084</v>
      </c>
      <c r="D835" s="22">
        <f t="shared" si="1"/>
        <v>0.1226558035</v>
      </c>
      <c r="E835" s="22">
        <f t="shared" ref="E835:F835" si="835">IF(A835&lt;&gt;"", (B835 - B834) / B834, "")</f>
        <v>-0.006505684579</v>
      </c>
      <c r="F835" s="22">
        <f t="shared" si="835"/>
        <v>0.01921975955</v>
      </c>
      <c r="H835" s="22" t="str">
        <f t="shared" si="4"/>
        <v/>
      </c>
    </row>
    <row r="836" ht="15.75" customHeight="1">
      <c r="A836" s="32">
        <f>'EQUITY BACKTEST'!A839</f>
        <v>42020.66667</v>
      </c>
      <c r="B836" s="22">
        <f>'EQUITY BACKTEST'!B839</f>
        <v>2019.42</v>
      </c>
      <c r="C836" s="22">
        <f>1/'EQUITY BACKTEST'!E839</f>
        <v>0.8209506609</v>
      </c>
      <c r="D836" s="22">
        <f t="shared" si="1"/>
        <v>0.08466008327</v>
      </c>
      <c r="E836" s="22">
        <f t="shared" ref="E836:F836" si="836">IF(A836&lt;&gt;"", (B836 - B835) / B835, "")</f>
        <v>-0.01241680156</v>
      </c>
      <c r="F836" s="22">
        <f t="shared" si="836"/>
        <v>0.00377637304</v>
      </c>
      <c r="H836" s="22" t="str">
        <f t="shared" si="4"/>
        <v/>
      </c>
    </row>
    <row r="837" ht="15.75" customHeight="1">
      <c r="A837" s="32">
        <f>'EQUITY BACKTEST'!A840</f>
        <v>42027.66667</v>
      </c>
      <c r="B837" s="22">
        <f>'EQUITY BACKTEST'!B840</f>
        <v>2051.82</v>
      </c>
      <c r="C837" s="22">
        <f>1/'EQUITY BACKTEST'!E840</f>
        <v>0.8334722454</v>
      </c>
      <c r="D837" s="22">
        <f t="shared" si="1"/>
        <v>0.008736393865</v>
      </c>
      <c r="E837" s="22">
        <f t="shared" ref="E837:F837" si="837">IF(A837&lt;&gt;"", (B837 - B836) / B836, "")</f>
        <v>0.01604421071</v>
      </c>
      <c r="F837" s="22">
        <f t="shared" si="837"/>
        <v>0.01525254209</v>
      </c>
      <c r="H837" s="22" t="str">
        <f t="shared" si="4"/>
        <v/>
      </c>
    </row>
    <row r="838" ht="15.75" customHeight="1">
      <c r="A838" s="32">
        <f>'EQUITY BACKTEST'!A841</f>
        <v>42034.66667</v>
      </c>
      <c r="B838" s="22">
        <f>'EQUITY BACKTEST'!B841</f>
        <v>1994.99</v>
      </c>
      <c r="C838" s="22">
        <f>1/'EQUITY BACKTEST'!E841</f>
        <v>0.8447372867</v>
      </c>
      <c r="D838" s="22">
        <f t="shared" si="1"/>
        <v>-0.01058246508</v>
      </c>
      <c r="E838" s="22">
        <f t="shared" ref="E838:F838" si="838">IF(A838&lt;&gt;"", (B838 - B837) / B837, "")</f>
        <v>-0.02769736137</v>
      </c>
      <c r="F838" s="22">
        <f t="shared" si="838"/>
        <v>0.01351579659</v>
      </c>
      <c r="H838" s="22" t="str">
        <f t="shared" si="4"/>
        <v/>
      </c>
    </row>
    <row r="839" ht="15.75" customHeight="1">
      <c r="A839" s="32">
        <f>'EQUITY BACKTEST'!A842</f>
        <v>42041.66667</v>
      </c>
      <c r="B839" s="22">
        <f>'EQUITY BACKTEST'!B842</f>
        <v>2055.47</v>
      </c>
      <c r="C839" s="22">
        <f>1/'EQUITY BACKTEST'!E842</f>
        <v>0.8642295394</v>
      </c>
      <c r="D839" s="22">
        <f t="shared" si="1"/>
        <v>-0.08465445136</v>
      </c>
      <c r="E839" s="22">
        <f t="shared" ref="E839:F839" si="839">IF(A839&lt;&gt;"", (B839 - B838) / B838, "")</f>
        <v>0.03031594143</v>
      </c>
      <c r="F839" s="22">
        <f t="shared" si="839"/>
        <v>0.0230749287</v>
      </c>
      <c r="H839" s="22" t="str">
        <f t="shared" si="4"/>
        <v/>
      </c>
    </row>
    <row r="840" ht="15.75" customHeight="1">
      <c r="A840" s="32">
        <f>'EQUITY BACKTEST'!A843</f>
        <v>42048.66667</v>
      </c>
      <c r="B840" s="22">
        <f>'EQUITY BACKTEST'!B843</f>
        <v>2096.99</v>
      </c>
      <c r="C840" s="22">
        <f>1/'EQUITY BACKTEST'!E843</f>
        <v>0.8928571429</v>
      </c>
      <c r="D840" s="22">
        <f t="shared" si="1"/>
        <v>-0.1278971476</v>
      </c>
      <c r="E840" s="22">
        <f t="shared" ref="E840:F840" si="840">IF(A840&lt;&gt;"", (B840 - B839) / B839, "")</f>
        <v>0.02019975967</v>
      </c>
      <c r="F840" s="22">
        <f t="shared" si="840"/>
        <v>0.033125</v>
      </c>
      <c r="H840" s="22" t="str">
        <f t="shared" si="4"/>
        <v/>
      </c>
    </row>
    <row r="841" ht="15.75" customHeight="1">
      <c r="A841" s="32">
        <f>'EQUITY BACKTEST'!A844</f>
        <v>42055.66667</v>
      </c>
      <c r="B841" s="22">
        <f>'EQUITY BACKTEST'!B844</f>
        <v>2110.3</v>
      </c>
      <c r="C841" s="22">
        <f>1/'EQUITY BACKTEST'!E844</f>
        <v>0.8860535176</v>
      </c>
      <c r="D841" s="22">
        <f t="shared" si="1"/>
        <v>-0.1434236091</v>
      </c>
      <c r="E841" s="22">
        <f t="shared" ref="E841:F841" si="841">IF(A841&lt;&gt;"", (B841 - B840) / B840, "")</f>
        <v>0.006347192881</v>
      </c>
      <c r="F841" s="22">
        <f t="shared" si="841"/>
        <v>-0.007620060252</v>
      </c>
      <c r="H841" s="22" t="str">
        <f t="shared" si="4"/>
        <v/>
      </c>
    </row>
    <row r="842" ht="15.75" customHeight="1">
      <c r="A842" s="32">
        <f>'EQUITY BACKTEST'!A845</f>
        <v>42062.66667</v>
      </c>
      <c r="B842" s="22">
        <f>'EQUITY BACKTEST'!B845</f>
        <v>2104.5</v>
      </c>
      <c r="C842" s="22">
        <f>1/'EQUITY BACKTEST'!E845</f>
        <v>0.8842514811</v>
      </c>
      <c r="D842" s="22">
        <f t="shared" si="1"/>
        <v>-0.1123078694</v>
      </c>
      <c r="E842" s="22">
        <f t="shared" ref="E842:F842" si="842">IF(A842&lt;&gt;"", (B842 - B841) / B841, "")</f>
        <v>-0.002748424395</v>
      </c>
      <c r="F842" s="22">
        <f t="shared" si="842"/>
        <v>-0.002033778407</v>
      </c>
      <c r="H842" s="22" t="str">
        <f t="shared" si="4"/>
        <v/>
      </c>
    </row>
    <row r="843" ht="15.75" customHeight="1">
      <c r="A843" s="32">
        <f>'EQUITY BACKTEST'!A846</f>
        <v>42069.66667</v>
      </c>
      <c r="B843" s="22">
        <f>'EQUITY BACKTEST'!B846</f>
        <v>2071.26</v>
      </c>
      <c r="C843" s="22">
        <f>1/'EQUITY BACKTEST'!E846</f>
        <v>0.8788890842</v>
      </c>
      <c r="D843" s="22">
        <f t="shared" si="1"/>
        <v>-0.08441558115</v>
      </c>
      <c r="E843" s="22">
        <f t="shared" ref="E843:F843" si="843">IF(A843&lt;&gt;"", (B843 - B842) / B842, "")</f>
        <v>-0.01579472559</v>
      </c>
      <c r="F843" s="22">
        <f t="shared" si="843"/>
        <v>-0.006064334681</v>
      </c>
      <c r="H843" s="22" t="str">
        <f t="shared" si="4"/>
        <v/>
      </c>
    </row>
    <row r="844" ht="15.75" customHeight="1">
      <c r="A844" s="32">
        <f>'EQUITY BACKTEST'!A847</f>
        <v>42076.66667</v>
      </c>
      <c r="B844" s="22">
        <f>'EQUITY BACKTEST'!B847</f>
        <v>2053.4</v>
      </c>
      <c r="C844" s="22">
        <f>1/'EQUITY BACKTEST'!E847</f>
        <v>0.8787346221</v>
      </c>
      <c r="D844" s="22">
        <f t="shared" si="1"/>
        <v>-0.07124456071</v>
      </c>
      <c r="E844" s="22">
        <f t="shared" ref="E844:F844" si="844">IF(A844&lt;&gt;"", (B844 - B843) / B843, "")</f>
        <v>-0.008622770681</v>
      </c>
      <c r="F844" s="22">
        <f t="shared" si="844"/>
        <v>-0.0001757469244</v>
      </c>
      <c r="H844" s="22" t="str">
        <f t="shared" si="4"/>
        <v/>
      </c>
    </row>
    <row r="845" ht="15.75" customHeight="1">
      <c r="A845" s="32">
        <f>'EQUITY BACKTEST'!A848</f>
        <v>42083.66667</v>
      </c>
      <c r="B845" s="22">
        <f>'EQUITY BACKTEST'!B848</f>
        <v>2108.1</v>
      </c>
      <c r="C845" s="22">
        <f>1/'EQUITY BACKTEST'!E848</f>
        <v>0.8936550492</v>
      </c>
      <c r="D845" s="22">
        <f t="shared" si="1"/>
        <v>-0.0642719982</v>
      </c>
      <c r="E845" s="22">
        <f t="shared" ref="E845:F845" si="845">IF(A845&lt;&gt;"", (B845 - B844) / B844, "")</f>
        <v>0.0266387455</v>
      </c>
      <c r="F845" s="22">
        <f t="shared" si="845"/>
        <v>0.01697944593</v>
      </c>
      <c r="H845" s="22" t="str">
        <f t="shared" si="4"/>
        <v/>
      </c>
    </row>
    <row r="846" ht="15.75" customHeight="1">
      <c r="A846" s="32">
        <f>'EQUITY BACKTEST'!A849</f>
        <v>42090.66667</v>
      </c>
      <c r="B846" s="22">
        <f>'EQUITY BACKTEST'!B849</f>
        <v>2061.02</v>
      </c>
      <c r="C846" s="22">
        <f>1/'EQUITY BACKTEST'!E849</f>
        <v>0.9221689414</v>
      </c>
      <c r="D846" s="22">
        <f t="shared" si="1"/>
        <v>-0.05047538352</v>
      </c>
      <c r="E846" s="22">
        <f t="shared" ref="E846:F846" si="846">IF(A846&lt;&gt;"", (B846 - B845) / B845, "")</f>
        <v>-0.02233290641</v>
      </c>
      <c r="F846" s="22">
        <f t="shared" si="846"/>
        <v>0.03190704537</v>
      </c>
      <c r="H846" s="22" t="str">
        <f t="shared" si="4"/>
        <v/>
      </c>
    </row>
    <row r="847" ht="15.75" customHeight="1">
      <c r="A847" s="32">
        <f>'EQUITY BACKTEST'!A850</f>
        <v>42096.66667</v>
      </c>
      <c r="B847" s="22">
        <f>'EQUITY BACKTEST'!B850</f>
        <v>2066.96</v>
      </c>
      <c r="C847" s="22">
        <f>1/'EQUITY BACKTEST'!E850</f>
        <v>0.9528346832</v>
      </c>
      <c r="D847" s="22">
        <f t="shared" si="1"/>
        <v>-0.06170099342</v>
      </c>
      <c r="E847" s="22">
        <f t="shared" ref="E847:F847" si="847">IF(A847&lt;&gt;"", (B847 - B846) / B846, "")</f>
        <v>0.002882068102</v>
      </c>
      <c r="F847" s="22">
        <f t="shared" si="847"/>
        <v>0.03325393044</v>
      </c>
      <c r="H847" s="22" t="str">
        <f t="shared" si="4"/>
        <v/>
      </c>
    </row>
    <row r="848" ht="15.75" customHeight="1">
      <c r="A848" s="32">
        <f>'EQUITY BACKTEST'!A851</f>
        <v>42104.66667</v>
      </c>
      <c r="B848" s="22">
        <f>'EQUITY BACKTEST'!B851</f>
        <v>2102.06</v>
      </c>
      <c r="C848" s="22">
        <f>1/'EQUITY BACKTEST'!E851</f>
        <v>0.9247272055</v>
      </c>
      <c r="D848" s="22">
        <f t="shared" si="1"/>
        <v>-0.09125945733</v>
      </c>
      <c r="E848" s="22">
        <f t="shared" ref="E848:F848" si="848">IF(A848&lt;&gt;"", (B848 - B847) / B847, "")</f>
        <v>0.0169814607</v>
      </c>
      <c r="F848" s="22">
        <f t="shared" si="848"/>
        <v>-0.02949879785</v>
      </c>
      <c r="H848" s="22" t="str">
        <f t="shared" si="4"/>
        <v/>
      </c>
    </row>
    <row r="849" ht="15.75" customHeight="1">
      <c r="A849" s="32">
        <f>'EQUITY BACKTEST'!A852</f>
        <v>42111.66667</v>
      </c>
      <c r="B849" s="22">
        <f>'EQUITY BACKTEST'!B852</f>
        <v>2081.18</v>
      </c>
      <c r="C849" s="22">
        <f>1/'EQUITY BACKTEST'!E852</f>
        <v>0.9180207473</v>
      </c>
      <c r="D849" s="22">
        <f t="shared" si="1"/>
        <v>-0.1184602875</v>
      </c>
      <c r="E849" s="22">
        <f t="shared" ref="E849:F849" si="849">IF(A849&lt;&gt;"", (B849 - B848) / B848, "")</f>
        <v>-0.009933113232</v>
      </c>
      <c r="F849" s="22">
        <f t="shared" si="849"/>
        <v>-0.007252363903</v>
      </c>
      <c r="H849" s="22" t="str">
        <f t="shared" si="4"/>
        <v/>
      </c>
    </row>
    <row r="850" ht="15.75" customHeight="1">
      <c r="A850" s="32">
        <f>'EQUITY BACKTEST'!A853</f>
        <v>42118.66667</v>
      </c>
      <c r="B850" s="22">
        <f>'EQUITY BACKTEST'!B853</f>
        <v>2117.69</v>
      </c>
      <c r="C850" s="22">
        <f>1/'EQUITY BACKTEST'!E853</f>
        <v>0.9121590805</v>
      </c>
      <c r="D850" s="22">
        <f t="shared" si="1"/>
        <v>-0.1481775977</v>
      </c>
      <c r="E850" s="22">
        <f t="shared" ref="E850:F850" si="850">IF(A850&lt;&gt;"", (B850 - B849) / B849, "")</f>
        <v>0.01754293237</v>
      </c>
      <c r="F850" s="22">
        <f t="shared" si="850"/>
        <v>-0.006385113564</v>
      </c>
      <c r="H850" s="22" t="str">
        <f t="shared" si="4"/>
        <v/>
      </c>
    </row>
    <row r="851" ht="15.75" customHeight="1">
      <c r="A851" s="32">
        <f>'EQUITY BACKTEST'!A854</f>
        <v>42125.66667</v>
      </c>
      <c r="B851" s="22">
        <f>'EQUITY BACKTEST'!B854</f>
        <v>2108.29</v>
      </c>
      <c r="C851" s="22">
        <f>1/'EQUITY BACKTEST'!E854</f>
        <v>0.9426847662</v>
      </c>
      <c r="D851" s="22">
        <f t="shared" si="1"/>
        <v>-0.1682344073</v>
      </c>
      <c r="E851" s="22">
        <f t="shared" ref="E851:F851" si="851">IF(A851&lt;&gt;"", (B851 - B850) / B850, "")</f>
        <v>-0.00443879888</v>
      </c>
      <c r="F851" s="22">
        <f t="shared" si="851"/>
        <v>0.0334653092</v>
      </c>
      <c r="H851" s="22" t="str">
        <f t="shared" si="4"/>
        <v/>
      </c>
    </row>
    <row r="852" ht="15.75" customHeight="1">
      <c r="A852" s="32">
        <f>'EQUITY BACKTEST'!A855</f>
        <v>42132.66667</v>
      </c>
      <c r="B852" s="22">
        <f>'EQUITY BACKTEST'!B855</f>
        <v>2116.1</v>
      </c>
      <c r="C852" s="22">
        <f>1/'EQUITY BACKTEST'!E855</f>
        <v>0.9255831174</v>
      </c>
      <c r="D852" s="22">
        <f t="shared" si="1"/>
        <v>-0.2276274415</v>
      </c>
      <c r="E852" s="22">
        <f t="shared" ref="E852:F852" si="852">IF(A852&lt;&gt;"", (B852 - B851) / B851, "")</f>
        <v>0.003704423964</v>
      </c>
      <c r="F852" s="22">
        <f t="shared" si="852"/>
        <v>-0.0181414291</v>
      </c>
      <c r="H852" s="22" t="str">
        <f t="shared" si="4"/>
        <v/>
      </c>
    </row>
    <row r="853" ht="15.75" customHeight="1">
      <c r="A853" s="32">
        <f>'EQUITY BACKTEST'!A856</f>
        <v>42139.66667</v>
      </c>
      <c r="B853" s="22">
        <f>'EQUITY BACKTEST'!B856</f>
        <v>2122.73</v>
      </c>
      <c r="C853" s="22">
        <f>1/'EQUITY BACKTEST'!E856</f>
        <v>0.919751667</v>
      </c>
      <c r="D853" s="22">
        <f t="shared" si="1"/>
        <v>-0.2658843303</v>
      </c>
      <c r="E853" s="22">
        <f t="shared" ref="E853:F853" si="853">IF(A853&lt;&gt;"", (B853 - B852) / B852, "")</f>
        <v>0.003133122253</v>
      </c>
      <c r="F853" s="22">
        <f t="shared" si="853"/>
        <v>-0.006300298919</v>
      </c>
      <c r="H853" s="22" t="str">
        <f t="shared" si="4"/>
        <v/>
      </c>
    </row>
    <row r="854" ht="15.75" customHeight="1">
      <c r="A854" s="32">
        <f>'EQUITY BACKTEST'!A857</f>
        <v>42146.66667</v>
      </c>
      <c r="B854" s="22">
        <f>'EQUITY BACKTEST'!B857</f>
        <v>2126.06</v>
      </c>
      <c r="C854" s="22">
        <f>1/'EQUITY BACKTEST'!E857</f>
        <v>0.8932559178</v>
      </c>
      <c r="D854" s="22">
        <f t="shared" si="1"/>
        <v>-0.3004706201</v>
      </c>
      <c r="E854" s="22">
        <f t="shared" ref="E854:F854" si="854">IF(A854&lt;&gt;"", (B854 - B853) / B853, "")</f>
        <v>0.001568734601</v>
      </c>
      <c r="F854" s="22">
        <f t="shared" si="854"/>
        <v>-0.02880750335</v>
      </c>
      <c r="H854" s="22" t="str">
        <f t="shared" si="4"/>
        <v/>
      </c>
    </row>
    <row r="855" ht="15.75" customHeight="1">
      <c r="A855" s="32">
        <f>'EQUITY BACKTEST'!A858</f>
        <v>42153.66667</v>
      </c>
      <c r="B855" s="22">
        <f>'EQUITY BACKTEST'!B858</f>
        <v>2107.39</v>
      </c>
      <c r="C855" s="22">
        <f>1/'EQUITY BACKTEST'!E858</f>
        <v>0.8934953538</v>
      </c>
      <c r="D855" s="22">
        <f t="shared" si="1"/>
        <v>-0.3119525928</v>
      </c>
      <c r="E855" s="22">
        <f t="shared" ref="E855:F855" si="855">IF(A855&lt;&gt;"", (B855 - B854) / B854, "")</f>
        <v>-0.008781501933</v>
      </c>
      <c r="F855" s="22">
        <f t="shared" si="855"/>
        <v>0.0002680486061</v>
      </c>
      <c r="H855" s="22" t="str">
        <f t="shared" si="4"/>
        <v/>
      </c>
    </row>
    <row r="856" ht="15.75" customHeight="1">
      <c r="A856" s="32">
        <f>'EQUITY BACKTEST'!A859</f>
        <v>42160.66667</v>
      </c>
      <c r="B856" s="22">
        <f>'EQUITY BACKTEST'!B859</f>
        <v>2092.83</v>
      </c>
      <c r="C856" s="22">
        <f>1/'EQUITY BACKTEST'!E859</f>
        <v>0.873591334</v>
      </c>
      <c r="D856" s="22">
        <f t="shared" si="1"/>
        <v>-0.3192482987</v>
      </c>
      <c r="E856" s="22">
        <f t="shared" ref="E856:F856" si="856">IF(A856&lt;&gt;"", (B856 - B855) / B855, "")</f>
        <v>-0.006909020162</v>
      </c>
      <c r="F856" s="22">
        <f t="shared" si="856"/>
        <v>-0.02227657902</v>
      </c>
      <c r="H856" s="22" t="str">
        <f t="shared" si="4"/>
        <v/>
      </c>
    </row>
    <row r="857" ht="15.75" customHeight="1">
      <c r="A857" s="32">
        <f>'EQUITY BACKTEST'!A860</f>
        <v>42167.66667</v>
      </c>
      <c r="B857" s="22">
        <f>'EQUITY BACKTEST'!B860</f>
        <v>2094.11</v>
      </c>
      <c r="C857" s="22">
        <f>1/'EQUITY BACKTEST'!E860</f>
        <v>0.9081002543</v>
      </c>
      <c r="D857" s="22">
        <f t="shared" si="1"/>
        <v>-0.3087182887</v>
      </c>
      <c r="E857" s="22">
        <f t="shared" ref="E857:F857" si="857">IF(A857&lt;&gt;"", (B857 - B856) / B856, "")</f>
        <v>0.0006116120277</v>
      </c>
      <c r="F857" s="22">
        <f t="shared" si="857"/>
        <v>0.03950236106</v>
      </c>
      <c r="H857" s="22" t="str">
        <f t="shared" si="4"/>
        <v/>
      </c>
    </row>
    <row r="858" ht="15.75" customHeight="1">
      <c r="A858" s="32">
        <f>'EQUITY BACKTEST'!A861</f>
        <v>42174.66667</v>
      </c>
      <c r="B858" s="22">
        <f>'EQUITY BACKTEST'!B861</f>
        <v>2109.99</v>
      </c>
      <c r="C858" s="22">
        <f>1/'EQUITY BACKTEST'!E861</f>
        <v>0.9097525473</v>
      </c>
      <c r="D858" s="22">
        <f t="shared" si="1"/>
        <v>-0.3183555409</v>
      </c>
      <c r="E858" s="22">
        <f t="shared" ref="E858:F858" si="858">IF(A858&lt;&gt;"", (B858 - B857) / B857, "")</f>
        <v>0.007583173759</v>
      </c>
      <c r="F858" s="22">
        <f t="shared" si="858"/>
        <v>0.001819505095</v>
      </c>
      <c r="H858" s="22" t="str">
        <f t="shared" si="4"/>
        <v/>
      </c>
    </row>
    <row r="859" ht="15.75" customHeight="1">
      <c r="A859" s="32">
        <f>'EQUITY BACKTEST'!A862</f>
        <v>42181.66667</v>
      </c>
      <c r="B859" s="22">
        <f>'EQUITY BACKTEST'!B862</f>
        <v>2101.49</v>
      </c>
      <c r="C859" s="22">
        <f>1/'EQUITY BACKTEST'!E862</f>
        <v>0.8997660608</v>
      </c>
      <c r="D859" s="22">
        <f t="shared" si="1"/>
        <v>-0.3329067623</v>
      </c>
      <c r="E859" s="22">
        <f t="shared" ref="E859:F859" si="859">IF(A859&lt;&gt;"", (B859 - B858) / B858, "")</f>
        <v>-0.004028455111</v>
      </c>
      <c r="F859" s="22">
        <f t="shared" si="859"/>
        <v>-0.01097714594</v>
      </c>
      <c r="H859" s="22" t="str">
        <f t="shared" si="4"/>
        <v/>
      </c>
    </row>
    <row r="860" ht="15.75" customHeight="1">
      <c r="A860" s="32">
        <f>'EQUITY BACKTEST'!A863</f>
        <v>42187.66667</v>
      </c>
      <c r="B860" s="22">
        <f>'EQUITY BACKTEST'!B863</f>
        <v>2076.78</v>
      </c>
      <c r="C860" s="22">
        <f>1/'EQUITY BACKTEST'!E863</f>
        <v>0.8880206021</v>
      </c>
      <c r="D860" s="22">
        <f t="shared" si="1"/>
        <v>-0.3443790117</v>
      </c>
      <c r="E860" s="22">
        <f t="shared" ref="E860:F860" si="860">IF(A860&lt;&gt;"", (B860 - B859) / B859, "")</f>
        <v>-0.01175832386</v>
      </c>
      <c r="F860" s="22">
        <f t="shared" si="860"/>
        <v>-0.01305390285</v>
      </c>
      <c r="H860" s="22" t="str">
        <f t="shared" si="4"/>
        <v/>
      </c>
    </row>
    <row r="861" ht="15.75" customHeight="1">
      <c r="A861" s="32">
        <f>'EQUITY BACKTEST'!A864</f>
        <v>42195.66667</v>
      </c>
      <c r="B861" s="22">
        <f>'EQUITY BACKTEST'!B864</f>
        <v>2076.62</v>
      </c>
      <c r="C861" s="22">
        <f>1/'EQUITY BACKTEST'!E864</f>
        <v>0.8811349018</v>
      </c>
      <c r="D861" s="22">
        <f t="shared" si="1"/>
        <v>-0.3507969803</v>
      </c>
      <c r="E861" s="22">
        <f t="shared" ref="E861:F861" si="861">IF(A861&lt;&gt;"", (B861 - B860) / B860, "")</f>
        <v>-0.0000770423444</v>
      </c>
      <c r="F861" s="22">
        <f t="shared" si="861"/>
        <v>-0.007753987135</v>
      </c>
      <c r="H861" s="22" t="str">
        <f t="shared" si="4"/>
        <v/>
      </c>
    </row>
    <row r="862" ht="15.75" customHeight="1">
      <c r="A862" s="32">
        <f>'EQUITY BACKTEST'!A865</f>
        <v>42202.66667</v>
      </c>
      <c r="B862" s="22">
        <f>'EQUITY BACKTEST'!B865</f>
        <v>2126.64</v>
      </c>
      <c r="C862" s="22">
        <f>1/'EQUITY BACKTEST'!E865</f>
        <v>0.8956560681</v>
      </c>
      <c r="D862" s="22">
        <f t="shared" si="1"/>
        <v>-0.3442102416</v>
      </c>
      <c r="E862" s="22">
        <f t="shared" ref="E862:F862" si="862">IF(A862&lt;&gt;"", (B862 - B861) / B861, "")</f>
        <v>0.02408721865</v>
      </c>
      <c r="F862" s="22">
        <f t="shared" si="862"/>
        <v>0.01648007165</v>
      </c>
      <c r="H862" s="22" t="str">
        <f t="shared" si="4"/>
        <v/>
      </c>
    </row>
    <row r="863" ht="15.75" customHeight="1">
      <c r="A863" s="32">
        <f>'EQUITY BACKTEST'!A866</f>
        <v>42209.66667</v>
      </c>
      <c r="B863" s="22">
        <f>'EQUITY BACKTEST'!B866</f>
        <v>2079.65</v>
      </c>
      <c r="C863" s="22">
        <f>1/'EQUITY BACKTEST'!E866</f>
        <v>0.8997660608</v>
      </c>
      <c r="D863" s="22">
        <f t="shared" si="1"/>
        <v>-0.3366106324</v>
      </c>
      <c r="E863" s="22">
        <f t="shared" ref="E863:F863" si="863">IF(A863&lt;&gt;"", (B863 - B862) / B862, "")</f>
        <v>-0.02209588835</v>
      </c>
      <c r="F863" s="22">
        <f t="shared" si="863"/>
        <v>0.00458880691</v>
      </c>
      <c r="H863" s="22" t="str">
        <f t="shared" si="4"/>
        <v/>
      </c>
    </row>
    <row r="864" ht="15.75" customHeight="1">
      <c r="A864" s="32">
        <f>'EQUITY BACKTEST'!A867</f>
        <v>42216.66667</v>
      </c>
      <c r="B864" s="22">
        <f>'EQUITY BACKTEST'!B867</f>
        <v>2103.84</v>
      </c>
      <c r="C864" s="22">
        <f>1/'EQUITY BACKTEST'!E867</f>
        <v>0.8964188069</v>
      </c>
      <c r="D864" s="22">
        <f t="shared" si="1"/>
        <v>-0.3176180664</v>
      </c>
      <c r="E864" s="22">
        <f t="shared" ref="E864:F864" si="864">IF(A864&lt;&gt;"", (B864 - B863) / B863, "")</f>
        <v>0.01163176496</v>
      </c>
      <c r="F864" s="22">
        <f t="shared" si="864"/>
        <v>-0.003720138048</v>
      </c>
      <c r="H864" s="22" t="str">
        <f t="shared" si="4"/>
        <v/>
      </c>
    </row>
    <row r="865" ht="15.75" customHeight="1">
      <c r="A865" s="32">
        <f>'EQUITY BACKTEST'!A868</f>
        <v>42223.66667</v>
      </c>
      <c r="B865" s="22">
        <f>'EQUITY BACKTEST'!B868</f>
        <v>2077.57</v>
      </c>
      <c r="C865" s="22">
        <f>1/'EQUITY BACKTEST'!E868</f>
        <v>0.9236168837</v>
      </c>
      <c r="D865" s="22">
        <f t="shared" si="1"/>
        <v>-0.2914179171</v>
      </c>
      <c r="E865" s="22">
        <f t="shared" ref="E865:F865" si="865">IF(A865&lt;&gt;"", (B865 - B864) / B864, "")</f>
        <v>-0.012486691</v>
      </c>
      <c r="F865" s="22">
        <f t="shared" si="865"/>
        <v>0.03034081463</v>
      </c>
      <c r="H865" s="22" t="str">
        <f t="shared" si="4"/>
        <v/>
      </c>
    </row>
    <row r="866" ht="15.75" customHeight="1">
      <c r="A866" s="32">
        <f>'EQUITY BACKTEST'!A869</f>
        <v>42230.66667</v>
      </c>
      <c r="B866" s="22">
        <f>'EQUITY BACKTEST'!B869</f>
        <v>2091.54</v>
      </c>
      <c r="C866" s="22">
        <f>1/'EQUITY BACKTEST'!E869</f>
        <v>0.9107468124</v>
      </c>
      <c r="D866" s="22">
        <f t="shared" si="1"/>
        <v>-0.2791978306</v>
      </c>
      <c r="E866" s="22">
        <f t="shared" ref="E866:F866" si="866">IF(A866&lt;&gt;"", (B866 - B865) / B865, "")</f>
        <v>0.006724201832</v>
      </c>
      <c r="F866" s="22">
        <f t="shared" si="866"/>
        <v>-0.01393442623</v>
      </c>
      <c r="H866" s="22" t="str">
        <f t="shared" si="4"/>
        <v/>
      </c>
    </row>
    <row r="867" ht="15.75" customHeight="1">
      <c r="A867" s="32">
        <f>'EQUITY BACKTEST'!A870</f>
        <v>42237.66667</v>
      </c>
      <c r="B867" s="22">
        <f>'EQUITY BACKTEST'!B870</f>
        <v>1970.89</v>
      </c>
      <c r="C867" s="22">
        <f>1/'EQUITY BACKTEST'!E870</f>
        <v>0.9104980424</v>
      </c>
      <c r="D867" s="22">
        <f t="shared" si="1"/>
        <v>-0.2913766099</v>
      </c>
      <c r="E867" s="22">
        <f t="shared" ref="E867:F867" si="867">IF(A867&lt;&gt;"", (B867 - B866) / B866, "")</f>
        <v>-0.05768476816</v>
      </c>
      <c r="F867" s="22">
        <f t="shared" si="867"/>
        <v>-0.0002731494127</v>
      </c>
      <c r="H867" s="22" t="str">
        <f t="shared" si="4"/>
        <v/>
      </c>
    </row>
    <row r="868" ht="15.75" customHeight="1">
      <c r="A868" s="32">
        <f>'EQUITY BACKTEST'!A871</f>
        <v>42244.66667</v>
      </c>
      <c r="B868" s="22">
        <f>'EQUITY BACKTEST'!B871</f>
        <v>1988.87</v>
      </c>
      <c r="C868" s="22">
        <f>1/'EQUITY BACKTEST'!E871</f>
        <v>0.9119927041</v>
      </c>
      <c r="D868" s="22">
        <f t="shared" si="1"/>
        <v>-0.2766282747</v>
      </c>
      <c r="E868" s="22">
        <f t="shared" ref="E868:F868" si="868">IF(A868&lt;&gt;"", (B868 - B867) / B867, "")</f>
        <v>0.009122782093</v>
      </c>
      <c r="F868" s="22">
        <f t="shared" si="868"/>
        <v>0.001641586867</v>
      </c>
      <c r="H868" s="22" t="str">
        <f t="shared" si="4"/>
        <v/>
      </c>
    </row>
    <row r="869" ht="15.75" customHeight="1">
      <c r="A869" s="32">
        <f>'EQUITY BACKTEST'!A872</f>
        <v>42251.66667</v>
      </c>
      <c r="B869" s="22">
        <f>'EQUITY BACKTEST'!B872</f>
        <v>1921.22</v>
      </c>
      <c r="C869" s="22">
        <f>1/'EQUITY BACKTEST'!E872</f>
        <v>0.9005763689</v>
      </c>
      <c r="D869" s="22">
        <f t="shared" si="1"/>
        <v>-0.2723369093</v>
      </c>
      <c r="E869" s="22">
        <f t="shared" ref="E869:F869" si="869">IF(A869&lt;&gt;"", (B869 - B868) / B868, "")</f>
        <v>-0.03401428952</v>
      </c>
      <c r="F869" s="22">
        <f t="shared" si="869"/>
        <v>-0.01251801153</v>
      </c>
      <c r="H869" s="22" t="str">
        <f t="shared" si="4"/>
        <v/>
      </c>
    </row>
    <row r="870" ht="15.75" customHeight="1">
      <c r="A870" s="32">
        <f>'EQUITY BACKTEST'!A873</f>
        <v>42258.66667</v>
      </c>
      <c r="B870" s="22">
        <f>'EQUITY BACKTEST'!B873</f>
        <v>1961.05</v>
      </c>
      <c r="C870" s="22">
        <f>1/'EQUITY BACKTEST'!E873</f>
        <v>0.8785030308</v>
      </c>
      <c r="D870" s="22">
        <f t="shared" si="1"/>
        <v>-0.2905026134</v>
      </c>
      <c r="E870" s="22">
        <f t="shared" ref="E870:F870" si="870">IF(A870&lt;&gt;"", (B870 - B869) / B869, "")</f>
        <v>0.02073161845</v>
      </c>
      <c r="F870" s="22">
        <f t="shared" si="870"/>
        <v>-0.02451023456</v>
      </c>
      <c r="H870" s="22" t="str">
        <f t="shared" si="4"/>
        <v/>
      </c>
    </row>
    <row r="871" ht="15.75" customHeight="1">
      <c r="A871" s="32">
        <f>'EQUITY BACKTEST'!A874</f>
        <v>42265.66667</v>
      </c>
      <c r="B871" s="22">
        <f>'EQUITY BACKTEST'!B874</f>
        <v>1958.03</v>
      </c>
      <c r="C871" s="22">
        <f>1/'EQUITY BACKTEST'!E874</f>
        <v>0.8943743851</v>
      </c>
      <c r="D871" s="22">
        <f t="shared" si="1"/>
        <v>-0.328425422</v>
      </c>
      <c r="E871" s="22">
        <f t="shared" ref="E871:F871" si="871">IF(A871&lt;&gt;"", (B871 - B870) / B870, "")</f>
        <v>-0.001539991331</v>
      </c>
      <c r="F871" s="22">
        <f t="shared" si="871"/>
        <v>0.01806636258</v>
      </c>
      <c r="H871" s="22" t="str">
        <f t="shared" si="4"/>
        <v/>
      </c>
    </row>
    <row r="872" ht="15.75" customHeight="1">
      <c r="A872" s="32">
        <f>'EQUITY BACKTEST'!A875</f>
        <v>42272.66667</v>
      </c>
      <c r="B872" s="22">
        <f>'EQUITY BACKTEST'!B875</f>
        <v>1931.34</v>
      </c>
      <c r="C872" s="22">
        <f>1/'EQUITY BACKTEST'!E875</f>
        <v>0.8968609865</v>
      </c>
      <c r="D872" s="22">
        <f t="shared" si="1"/>
        <v>-0.340452041</v>
      </c>
      <c r="E872" s="22">
        <f t="shared" ref="E872:F872" si="872">IF(A872&lt;&gt;"", (B872 - B871) / B871, "")</f>
        <v>-0.01363104753</v>
      </c>
      <c r="F872" s="22">
        <f t="shared" si="872"/>
        <v>0.002780269058</v>
      </c>
      <c r="H872" s="22" t="str">
        <f t="shared" si="4"/>
        <v/>
      </c>
    </row>
    <row r="873" ht="15.75" customHeight="1">
      <c r="A873" s="32">
        <f>'EQUITY BACKTEST'!A876</f>
        <v>42279.66667</v>
      </c>
      <c r="B873" s="22">
        <f>'EQUITY BACKTEST'!B876</f>
        <v>1951.36</v>
      </c>
      <c r="C873" s="22">
        <f>1/'EQUITY BACKTEST'!E876</f>
        <v>0.8819664324</v>
      </c>
      <c r="D873" s="22">
        <f t="shared" si="1"/>
        <v>-0.3613633821</v>
      </c>
      <c r="E873" s="22">
        <f t="shared" ref="E873:F873" si="873">IF(A873&lt;&gt;"", (B873 - B872) / B872, "")</f>
        <v>0.01036585997</v>
      </c>
      <c r="F873" s="22">
        <f t="shared" si="873"/>
        <v>-0.01660742792</v>
      </c>
      <c r="H873" s="22" t="str">
        <f t="shared" si="4"/>
        <v/>
      </c>
    </row>
    <row r="874" ht="15.75" customHeight="1">
      <c r="A874" s="32">
        <f>'EQUITY BACKTEST'!A877</f>
        <v>42286.66667</v>
      </c>
      <c r="B874" s="22">
        <f>'EQUITY BACKTEST'!B877</f>
        <v>2014.89</v>
      </c>
      <c r="C874" s="22">
        <f>1/'EQUITY BACKTEST'!E877</f>
        <v>0.8847991506</v>
      </c>
      <c r="D874" s="22">
        <f t="shared" si="1"/>
        <v>-0.3996477547</v>
      </c>
      <c r="E874" s="22">
        <f t="shared" ref="E874:F874" si="874">IF(A874&lt;&gt;"", (B874 - B873) / B873, "")</f>
        <v>0.03255678091</v>
      </c>
      <c r="F874" s="22">
        <f t="shared" si="874"/>
        <v>0.003211820917</v>
      </c>
      <c r="H874" s="22" t="str">
        <f t="shared" si="4"/>
        <v/>
      </c>
    </row>
    <row r="875" ht="15.75" customHeight="1">
      <c r="A875" s="32">
        <f>'EQUITY BACKTEST'!A878</f>
        <v>42293.66667</v>
      </c>
      <c r="B875" s="22">
        <f>'EQUITY BACKTEST'!B878</f>
        <v>2033.11</v>
      </c>
      <c r="C875" s="22">
        <f>1/'EQUITY BACKTEST'!E878</f>
        <v>0.8934155276</v>
      </c>
      <c r="D875" s="22">
        <f t="shared" si="1"/>
        <v>-0.4201132409</v>
      </c>
      <c r="E875" s="22">
        <f t="shared" ref="E875:F875" si="875">IF(A875&lt;&gt;"", (B875 - B874) / B874, "")</f>
        <v>0.009042677268</v>
      </c>
      <c r="F875" s="22">
        <f t="shared" si="875"/>
        <v>0.00973822925</v>
      </c>
      <c r="H875" s="22" t="str">
        <f t="shared" si="4"/>
        <v/>
      </c>
    </row>
    <row r="876" ht="15.75" customHeight="1">
      <c r="A876" s="32">
        <f>'EQUITY BACKTEST'!A879</f>
        <v>42300.66667</v>
      </c>
      <c r="B876" s="22">
        <f>'EQUITY BACKTEST'!B879</f>
        <v>2075.15</v>
      </c>
      <c r="C876" s="22">
        <f>1/'EQUITY BACKTEST'!E879</f>
        <v>0.8921402444</v>
      </c>
      <c r="D876" s="22">
        <f t="shared" si="1"/>
        <v>-0.4305012921</v>
      </c>
      <c r="E876" s="22">
        <f t="shared" ref="E876:F876" si="876">IF(A876&lt;&gt;"", (B876 - B875) / B875, "")</f>
        <v>0.02067768099</v>
      </c>
      <c r="F876" s="22">
        <f t="shared" si="876"/>
        <v>-0.001427424391</v>
      </c>
      <c r="H876" s="22" t="str">
        <f t="shared" si="4"/>
        <v/>
      </c>
    </row>
    <row r="877" ht="15.75" customHeight="1">
      <c r="A877" s="32">
        <f>'EQUITY BACKTEST'!A880</f>
        <v>42307.66667</v>
      </c>
      <c r="B877" s="22">
        <f>'EQUITY BACKTEST'!B880</f>
        <v>2079.36</v>
      </c>
      <c r="C877" s="22">
        <f>1/'EQUITY BACKTEST'!E880</f>
        <v>0.8807468733</v>
      </c>
      <c r="D877" s="22">
        <f t="shared" si="1"/>
        <v>-0.4340764474</v>
      </c>
      <c r="E877" s="22">
        <f t="shared" ref="E877:F877" si="877">IF(A877&lt;&gt;"", (B877 - B876) / B876, "")</f>
        <v>0.002028769005</v>
      </c>
      <c r="F877" s="22">
        <f t="shared" si="877"/>
        <v>-0.01277082966</v>
      </c>
      <c r="H877" s="22" t="str">
        <f t="shared" si="4"/>
        <v/>
      </c>
    </row>
    <row r="878" ht="15.75" customHeight="1">
      <c r="A878" s="32">
        <f>'EQUITY BACKTEST'!A881</f>
        <v>42314.66667</v>
      </c>
      <c r="B878" s="22">
        <f>'EQUITY BACKTEST'!B881</f>
        <v>2099.2</v>
      </c>
      <c r="C878" s="22">
        <f>1/'EQUITY BACKTEST'!E881</f>
        <v>0.8809408448</v>
      </c>
      <c r="D878" s="22">
        <f t="shared" si="1"/>
        <v>-0.4334343167</v>
      </c>
      <c r="E878" s="22">
        <f t="shared" ref="E878:F878" si="878">IF(A878&lt;&gt;"", (B878 - B877) / B877, "")</f>
        <v>0.009541397353</v>
      </c>
      <c r="F878" s="22">
        <f t="shared" si="878"/>
        <v>0.0002202352112</v>
      </c>
      <c r="H878" s="22" t="str">
        <f t="shared" si="4"/>
        <v/>
      </c>
    </row>
    <row r="879" ht="15.75" customHeight="1">
      <c r="A879" s="32">
        <f>'EQUITY BACKTEST'!A882</f>
        <v>42321.66667</v>
      </c>
      <c r="B879" s="22">
        <f>'EQUITY BACKTEST'!B882</f>
        <v>2023.04</v>
      </c>
      <c r="C879" s="22">
        <f>1/'EQUITY BACKTEST'!E882</f>
        <v>0.907935355</v>
      </c>
      <c r="D879" s="22">
        <f t="shared" si="1"/>
        <v>-0.4012033392</v>
      </c>
      <c r="E879" s="22">
        <f t="shared" ref="E879:F879" si="879">IF(A879&lt;&gt;"", (B879 - B878) / B878, "")</f>
        <v>-0.0362804878</v>
      </c>
      <c r="F879" s="22">
        <f t="shared" si="879"/>
        <v>0.03064281823</v>
      </c>
      <c r="H879" s="22" t="str">
        <f t="shared" si="4"/>
        <v/>
      </c>
    </row>
    <row r="880" ht="15.75" customHeight="1">
      <c r="A880" s="32">
        <f>'EQUITY BACKTEST'!A883</f>
        <v>42328.66667</v>
      </c>
      <c r="B880" s="22">
        <f>'EQUITY BACKTEST'!B883</f>
        <v>2089.17</v>
      </c>
      <c r="C880" s="22">
        <f>1/'EQUITY BACKTEST'!E883</f>
        <v>0.9085953116</v>
      </c>
      <c r="D880" s="22">
        <f t="shared" si="1"/>
        <v>-0.3800474018</v>
      </c>
      <c r="E880" s="22">
        <f t="shared" ref="E880:F880" si="880">IF(A880&lt;&gt;"", (B880 - B879) / B879, "")</f>
        <v>0.03268842929</v>
      </c>
      <c r="F880" s="22">
        <f t="shared" si="880"/>
        <v>0.0007268762493</v>
      </c>
      <c r="H880" s="22" t="str">
        <f t="shared" si="4"/>
        <v/>
      </c>
    </row>
    <row r="881" ht="15.75" customHeight="1">
      <c r="A881" s="32">
        <f>'EQUITY BACKTEST'!A884</f>
        <v>42335.66667</v>
      </c>
      <c r="B881" s="22">
        <f>'EQUITY BACKTEST'!B884</f>
        <v>2090.11</v>
      </c>
      <c r="C881" s="22">
        <f>1/'EQUITY BACKTEST'!E884</f>
        <v>0.9310553512</v>
      </c>
      <c r="D881" s="22">
        <f t="shared" si="1"/>
        <v>-0.3801438114</v>
      </c>
      <c r="E881" s="22">
        <f t="shared" ref="E881:F881" si="881">IF(A881&lt;&gt;"", (B881 - B880) / B880, "")</f>
        <v>0.0004499394496</v>
      </c>
      <c r="F881" s="22">
        <f t="shared" si="881"/>
        <v>0.02471951958</v>
      </c>
      <c r="H881" s="22" t="str">
        <f t="shared" si="4"/>
        <v/>
      </c>
    </row>
    <row r="882" ht="15.75" customHeight="1">
      <c r="A882" s="32">
        <f>'EQUITY BACKTEST'!A885</f>
        <v>42342.66667</v>
      </c>
      <c r="B882" s="22">
        <f>'EQUITY BACKTEST'!B885</f>
        <v>2091.69</v>
      </c>
      <c r="C882" s="22">
        <f>1/'EQUITY BACKTEST'!E885</f>
        <v>0.9289363679</v>
      </c>
      <c r="D882" s="22">
        <f t="shared" si="1"/>
        <v>-0.357035299</v>
      </c>
      <c r="E882" s="22">
        <f t="shared" ref="E882:F882" si="882">IF(A882&lt;&gt;"", (B882 - B881) / B881, "")</f>
        <v>0.0007559410749</v>
      </c>
      <c r="F882" s="22">
        <f t="shared" si="882"/>
        <v>-0.002275894101</v>
      </c>
      <c r="H882" s="22" t="str">
        <f t="shared" si="4"/>
        <v/>
      </c>
    </row>
    <row r="883" ht="15.75" customHeight="1">
      <c r="A883" s="32">
        <f>'EQUITY BACKTEST'!A886</f>
        <v>42349.66667</v>
      </c>
      <c r="B883" s="22">
        <f>'EQUITY BACKTEST'!B886</f>
        <v>2012.37</v>
      </c>
      <c r="C883" s="22">
        <f>1/'EQUITY BACKTEST'!E886</f>
        <v>0.9392317085</v>
      </c>
      <c r="D883" s="22">
        <f t="shared" si="1"/>
        <v>-0.2430317616</v>
      </c>
      <c r="E883" s="22">
        <f t="shared" ref="E883:F883" si="883">IF(A883&lt;&gt;"", (B883 - B882) / B882, "")</f>
        <v>-0.03792148932</v>
      </c>
      <c r="F883" s="22">
        <f t="shared" si="883"/>
        <v>0.01108293416</v>
      </c>
      <c r="H883" s="22" t="str">
        <f t="shared" si="4"/>
        <v/>
      </c>
    </row>
    <row r="884" ht="15.75" customHeight="1">
      <c r="A884" s="32">
        <f>'EQUITY BACKTEST'!A887</f>
        <v>42356.66667</v>
      </c>
      <c r="B884" s="22">
        <f>'EQUITY BACKTEST'!B887</f>
        <v>2005.55</v>
      </c>
      <c r="C884" s="22">
        <f>1/'EQUITY BACKTEST'!E887</f>
        <v>0.9441979039</v>
      </c>
      <c r="D884" s="22">
        <f t="shared" si="1"/>
        <v>-0.1177710886</v>
      </c>
      <c r="E884" s="22">
        <f t="shared" ref="E884:F884" si="884">IF(A884&lt;&gt;"", (B884 - B883) / B883, "")</f>
        <v>-0.003389038795</v>
      </c>
      <c r="F884" s="22">
        <f t="shared" si="884"/>
        <v>0.005287508262</v>
      </c>
      <c r="H884" s="22" t="str">
        <f t="shared" si="4"/>
        <v/>
      </c>
    </row>
    <row r="885" ht="15.75" customHeight="1">
      <c r="A885" s="32">
        <f>'EQUITY BACKTEST'!A888</f>
        <v>42362.66667</v>
      </c>
      <c r="B885" s="22">
        <f>'EQUITY BACKTEST'!B888</f>
        <v>2060.99</v>
      </c>
      <c r="C885" s="22">
        <f>1/'EQUITY BACKTEST'!E888</f>
        <v>0.9189909479</v>
      </c>
      <c r="D885" s="22">
        <f t="shared" si="1"/>
        <v>-0.004405626275</v>
      </c>
      <c r="E885" s="22">
        <f t="shared" ref="E885:F885" si="885">IF(A885&lt;&gt;"", (B885 - B884) / B884, "")</f>
        <v>0.02764328987</v>
      </c>
      <c r="F885" s="22">
        <f t="shared" si="885"/>
        <v>-0.02669668704</v>
      </c>
      <c r="H885" s="22" t="str">
        <f t="shared" si="4"/>
        <v/>
      </c>
    </row>
    <row r="886" ht="15.75" customHeight="1">
      <c r="A886" s="32">
        <f>'EQUITY BACKTEST'!A889</f>
        <v>42369.66667</v>
      </c>
      <c r="B886" s="22">
        <f>'EQUITY BACKTEST'!B889</f>
        <v>2043.94</v>
      </c>
      <c r="C886" s="22">
        <f>1/'EQUITY BACKTEST'!E889</f>
        <v>0.9097525473</v>
      </c>
      <c r="D886" s="22">
        <f t="shared" si="1"/>
        <v>0.07159831709</v>
      </c>
      <c r="E886" s="22">
        <f t="shared" ref="E886:F886" si="886">IF(A886&lt;&gt;"", (B886 - B885) / B885, "")</f>
        <v>-0.008272723303</v>
      </c>
      <c r="F886" s="22">
        <f t="shared" si="886"/>
        <v>-0.01005276565</v>
      </c>
      <c r="H886" s="22" t="str">
        <f t="shared" si="4"/>
        <v/>
      </c>
    </row>
    <row r="887" ht="15.75" customHeight="1">
      <c r="A887" s="32">
        <f>'EQUITY BACKTEST'!A890</f>
        <v>42377.66667</v>
      </c>
      <c r="B887" s="22">
        <f>'EQUITY BACKTEST'!B890</f>
        <v>1922.03</v>
      </c>
      <c r="C887" s="22">
        <f>1/'EQUITY BACKTEST'!E890</f>
        <v>0.920276451</v>
      </c>
      <c r="D887" s="22">
        <f t="shared" si="1"/>
        <v>0.1609399294</v>
      </c>
      <c r="E887" s="22">
        <f t="shared" ref="E887:F887" si="887">IF(A887&lt;&gt;"", (B887 - B886) / B886, "")</f>
        <v>-0.05964460796</v>
      </c>
      <c r="F887" s="22">
        <f t="shared" si="887"/>
        <v>0.01156787499</v>
      </c>
      <c r="H887" s="22" t="str">
        <f t="shared" si="4"/>
        <v/>
      </c>
    </row>
    <row r="888" ht="15.75" customHeight="1">
      <c r="A888" s="32">
        <f>'EQUITY BACKTEST'!A891</f>
        <v>42384.66667</v>
      </c>
      <c r="B888" s="22">
        <f>'EQUITY BACKTEST'!B891</f>
        <v>1880.33</v>
      </c>
      <c r="C888" s="22">
        <f>1/'EQUITY BACKTEST'!E891</f>
        <v>0.911410864</v>
      </c>
      <c r="D888" s="22">
        <f t="shared" si="1"/>
        <v>0.260917425</v>
      </c>
      <c r="E888" s="22">
        <f t="shared" ref="E888:F888" si="888">IF(A888&lt;&gt;"", (B888 - B887) / B887, "")</f>
        <v>-0.0216958112</v>
      </c>
      <c r="F888" s="22">
        <f t="shared" si="888"/>
        <v>-0.009633612833</v>
      </c>
      <c r="H888" s="22" t="str">
        <f t="shared" si="4"/>
        <v/>
      </c>
    </row>
    <row r="889" ht="15.75" customHeight="1">
      <c r="A889" s="32">
        <f>'EQUITY BACKTEST'!A892</f>
        <v>42391.66667</v>
      </c>
      <c r="B889" s="22">
        <f>'EQUITY BACKTEST'!B892</f>
        <v>1906.9</v>
      </c>
      <c r="C889" s="22">
        <f>1/'EQUITY BACKTEST'!E892</f>
        <v>0.9248383845</v>
      </c>
      <c r="D889" s="22">
        <f t="shared" si="1"/>
        <v>0.3358227914</v>
      </c>
      <c r="E889" s="22">
        <f t="shared" ref="E889:F889" si="889">IF(A889&lt;&gt;"", (B889 - B888) / B888, "")</f>
        <v>0.01413049837</v>
      </c>
      <c r="F889" s="22">
        <f t="shared" si="889"/>
        <v>0.01473267546</v>
      </c>
      <c r="H889" s="22" t="str">
        <f t="shared" si="4"/>
        <v/>
      </c>
    </row>
    <row r="890" ht="15.75" customHeight="1">
      <c r="A890" s="32">
        <f>'EQUITY BACKTEST'!A893</f>
        <v>42398.66667</v>
      </c>
      <c r="B890" s="22">
        <f>'EQUITY BACKTEST'!B893</f>
        <v>1940.24</v>
      </c>
      <c r="C890" s="22">
        <f>1/'EQUITY BACKTEST'!E893</f>
        <v>0.9159186664</v>
      </c>
      <c r="D890" s="22">
        <f t="shared" si="1"/>
        <v>0.4334790892</v>
      </c>
      <c r="E890" s="22">
        <f t="shared" ref="E890:F890" si="890">IF(A890&lt;&gt;"", (B890 - B889) / B889, "")</f>
        <v>0.01748387435</v>
      </c>
      <c r="F890" s="22">
        <f t="shared" si="890"/>
        <v>-0.009644623557</v>
      </c>
      <c r="H890" s="22" t="str">
        <f t="shared" si="4"/>
        <v/>
      </c>
    </row>
    <row r="891" ht="15.75" customHeight="1">
      <c r="A891" s="32">
        <f>'EQUITY BACKTEST'!A894</f>
        <v>42405.66667</v>
      </c>
      <c r="B891" s="22">
        <f>'EQUITY BACKTEST'!B894</f>
        <v>1880.05</v>
      </c>
      <c r="C891" s="22">
        <f>1/'EQUITY BACKTEST'!E894</f>
        <v>0.9165482792</v>
      </c>
      <c r="D891" s="22">
        <f t="shared" si="1"/>
        <v>0.4927934824</v>
      </c>
      <c r="E891" s="22">
        <f t="shared" ref="E891:F891" si="891">IF(A891&lt;&gt;"", (B891 - B890) / B890, "")</f>
        <v>-0.03102193543</v>
      </c>
      <c r="F891" s="22">
        <f t="shared" si="891"/>
        <v>0.0006874112094</v>
      </c>
      <c r="H891" s="22" t="str">
        <f t="shared" si="4"/>
        <v/>
      </c>
    </row>
    <row r="892" ht="15.75" customHeight="1">
      <c r="A892" s="32">
        <f>'EQUITY BACKTEST'!A895</f>
        <v>42412.66667</v>
      </c>
      <c r="B892" s="22">
        <f>'EQUITY BACKTEST'!B895</f>
        <v>1864.78</v>
      </c>
      <c r="C892" s="22">
        <f>1/'EQUITY BACKTEST'!E895</f>
        <v>0.9260974254</v>
      </c>
      <c r="D892" s="22">
        <f t="shared" si="1"/>
        <v>0.5690257299</v>
      </c>
      <c r="E892" s="22">
        <f t="shared" ref="E892:F892" si="892">IF(A892&lt;&gt;"", (B892 - B891) / B891, "")</f>
        <v>-0.008122124412</v>
      </c>
      <c r="F892" s="22">
        <f t="shared" si="892"/>
        <v>0.01041859604</v>
      </c>
      <c r="H892" s="22" t="str">
        <f t="shared" si="4"/>
        <v/>
      </c>
    </row>
    <row r="893" ht="15.75" customHeight="1">
      <c r="A893" s="32">
        <f>'EQUITY BACKTEST'!A896</f>
        <v>42419.66667</v>
      </c>
      <c r="B893" s="22">
        <f>'EQUITY BACKTEST'!B896</f>
        <v>1917.78</v>
      </c>
      <c r="C893" s="22">
        <f>1/'EQUITY BACKTEST'!E896</f>
        <v>0.9233695602</v>
      </c>
      <c r="D893" s="22">
        <f t="shared" si="1"/>
        <v>0.6850285359</v>
      </c>
      <c r="E893" s="22">
        <f t="shared" ref="E893:F893" si="893">IF(A893&lt;&gt;"", (B893 - B892) / B892, "")</f>
        <v>0.02842158324</v>
      </c>
      <c r="F893" s="22">
        <f t="shared" si="893"/>
        <v>-0.002945548897</v>
      </c>
      <c r="H893" s="22" t="str">
        <f t="shared" si="4"/>
        <v/>
      </c>
    </row>
    <row r="894" ht="15.75" customHeight="1">
      <c r="A894" s="32">
        <f>'EQUITY BACKTEST'!A897</f>
        <v>42426.66667</v>
      </c>
      <c r="B894" s="22">
        <f>'EQUITY BACKTEST'!B897</f>
        <v>1948.05</v>
      </c>
      <c r="C894" s="22">
        <f>1/'EQUITY BACKTEST'!E897</f>
        <v>0.8962741882</v>
      </c>
      <c r="D894" s="22">
        <f t="shared" si="1"/>
        <v>0.7624750302</v>
      </c>
      <c r="E894" s="22">
        <f t="shared" ref="E894:F894" si="894">IF(A894&lt;&gt;"", (B894 - B893) / B893, "")</f>
        <v>0.01578387511</v>
      </c>
      <c r="F894" s="22">
        <f t="shared" si="894"/>
        <v>-0.02934401692</v>
      </c>
      <c r="H894" s="22" t="str">
        <f t="shared" si="4"/>
        <v/>
      </c>
    </row>
    <row r="895" ht="15.75" customHeight="1">
      <c r="A895" s="32">
        <f>'EQUITY BACKTEST'!A898</f>
        <v>42433.66667</v>
      </c>
      <c r="B895" s="22">
        <f>'EQUITY BACKTEST'!B898</f>
        <v>1999.99</v>
      </c>
      <c r="C895" s="22">
        <f>1/'EQUITY BACKTEST'!E898</f>
        <v>0.8886124317</v>
      </c>
      <c r="D895" s="22">
        <f t="shared" si="1"/>
        <v>0.7892936687</v>
      </c>
      <c r="E895" s="22">
        <f t="shared" ref="E895:F895" si="895">IF(A895&lt;&gt;"", (B895 - B894) / B894, "")</f>
        <v>0.02666256</v>
      </c>
      <c r="F895" s="22">
        <f t="shared" si="895"/>
        <v>-0.008548451593</v>
      </c>
      <c r="H895" s="22" t="str">
        <f t="shared" si="4"/>
        <v/>
      </c>
    </row>
    <row r="896" ht="15.75" customHeight="1">
      <c r="A896" s="32">
        <f>'EQUITY BACKTEST'!A899</f>
        <v>42440.66667</v>
      </c>
      <c r="B896" s="22">
        <f>'EQUITY BACKTEST'!B899</f>
        <v>2022.19</v>
      </c>
      <c r="C896" s="22">
        <f>1/'EQUITY BACKTEST'!E899</f>
        <v>0.8985371815</v>
      </c>
      <c r="D896" s="22">
        <f t="shared" si="1"/>
        <v>0.7989645818</v>
      </c>
      <c r="E896" s="22">
        <f t="shared" ref="E896:F896" si="896">IF(A896&lt;&gt;"", (B896 - B895) / B895, "")</f>
        <v>0.0111000555</v>
      </c>
      <c r="F896" s="22">
        <f t="shared" si="896"/>
        <v>0.01116881717</v>
      </c>
      <c r="H896" s="22" t="str">
        <f t="shared" si="4"/>
        <v/>
      </c>
    </row>
    <row r="897" ht="15.75" customHeight="1">
      <c r="A897" s="32">
        <f>'EQUITY BACKTEST'!A900</f>
        <v>42447.66667</v>
      </c>
      <c r="B897" s="22">
        <f>'EQUITY BACKTEST'!B900</f>
        <v>2049.58</v>
      </c>
      <c r="C897" s="22">
        <f>1/'EQUITY BACKTEST'!E900</f>
        <v>0.9149800534</v>
      </c>
      <c r="D897" s="22">
        <f t="shared" si="1"/>
        <v>0.8165218133</v>
      </c>
      <c r="E897" s="22">
        <f t="shared" ref="E897:F897" si="897">IF(A897&lt;&gt;"", (B897 - B896) / B896, "")</f>
        <v>0.01354472132</v>
      </c>
      <c r="F897" s="22">
        <f t="shared" si="897"/>
        <v>0.01829960107</v>
      </c>
      <c r="H897" s="22" t="str">
        <f t="shared" si="4"/>
        <v/>
      </c>
    </row>
    <row r="898" ht="15.75" customHeight="1">
      <c r="A898" s="32">
        <f>'EQUITY BACKTEST'!A901</f>
        <v>42453.66667</v>
      </c>
      <c r="B898" s="22">
        <f>'EQUITY BACKTEST'!B901</f>
        <v>2035.94</v>
      </c>
      <c r="C898" s="22">
        <f>1/'EQUITY BACKTEST'!E901</f>
        <v>0.9086283347</v>
      </c>
      <c r="D898" s="22">
        <f t="shared" si="1"/>
        <v>0.842080177</v>
      </c>
      <c r="E898" s="22">
        <f t="shared" ref="E898:F898" si="898">IF(A898&lt;&gt;"", (B898 - B897) / B897, "")</f>
        <v>-0.006655022005</v>
      </c>
      <c r="F898" s="22">
        <f t="shared" si="898"/>
        <v>-0.006941920477</v>
      </c>
      <c r="H898" s="22" t="str">
        <f t="shared" si="4"/>
        <v/>
      </c>
    </row>
    <row r="899" ht="15.75" customHeight="1">
      <c r="A899" s="32">
        <f>'EQUITY BACKTEST'!A902</f>
        <v>42461.66667</v>
      </c>
      <c r="B899" s="22">
        <f>'EQUITY BACKTEST'!B902</f>
        <v>2072.78</v>
      </c>
      <c r="C899" s="22">
        <f>1/'EQUITY BACKTEST'!E902</f>
        <v>0.8971828459</v>
      </c>
      <c r="D899" s="22">
        <f t="shared" si="1"/>
        <v>0.8600457511</v>
      </c>
      <c r="E899" s="22">
        <f t="shared" ref="E899:F899" si="899">IF(A899&lt;&gt;"", (B899 - B898) / B898, "")</f>
        <v>0.0180948358</v>
      </c>
      <c r="F899" s="22">
        <f t="shared" si="899"/>
        <v>-0.01259644716</v>
      </c>
      <c r="H899" s="22" t="str">
        <f t="shared" si="4"/>
        <v/>
      </c>
    </row>
    <row r="900" ht="15.75" customHeight="1">
      <c r="A900" s="32">
        <f>'EQUITY BACKTEST'!A903</f>
        <v>42468.66667</v>
      </c>
      <c r="B900" s="22">
        <f>'EQUITY BACKTEST'!B903</f>
        <v>2047.6</v>
      </c>
      <c r="C900" s="22">
        <f>1/'EQUITY BACKTEST'!E903</f>
        <v>0.8873744365</v>
      </c>
      <c r="D900" s="22">
        <f t="shared" si="1"/>
        <v>0.8596060659</v>
      </c>
      <c r="E900" s="22">
        <f t="shared" ref="E900:F900" si="900">IF(A900&lt;&gt;"", (B900 - B899) / B899, "")</f>
        <v>-0.01214793659</v>
      </c>
      <c r="F900" s="22">
        <f t="shared" si="900"/>
        <v>-0.01093245306</v>
      </c>
      <c r="H900" s="22" t="str">
        <f t="shared" si="4"/>
        <v/>
      </c>
    </row>
    <row r="901" ht="15.75" customHeight="1">
      <c r="A901" s="32">
        <f>'EQUITY BACKTEST'!A904</f>
        <v>42475.66667</v>
      </c>
      <c r="B901" s="22">
        <f>'EQUITY BACKTEST'!B904</f>
        <v>2080.73</v>
      </c>
      <c r="C901" s="22">
        <f>1/'EQUITY BACKTEST'!E904</f>
        <v>0.8960894656</v>
      </c>
      <c r="D901" s="22">
        <f t="shared" si="1"/>
        <v>0.8555399942</v>
      </c>
      <c r="E901" s="22">
        <f t="shared" ref="E901:F901" si="901">IF(A901&lt;&gt;"", (B901 - B900) / B900, "")</f>
        <v>0.01617991795</v>
      </c>
      <c r="F901" s="22">
        <f t="shared" si="901"/>
        <v>0.009821140543</v>
      </c>
      <c r="H901" s="22" t="str">
        <f t="shared" si="4"/>
        <v/>
      </c>
    </row>
    <row r="902" ht="15.75" customHeight="1">
      <c r="A902" s="32">
        <f>'EQUITY BACKTEST'!A905</f>
        <v>42482.66667</v>
      </c>
      <c r="B902" s="22">
        <f>'EQUITY BACKTEST'!B905</f>
        <v>2091.58</v>
      </c>
      <c r="C902" s="22">
        <f>1/'EQUITY BACKTEST'!E905</f>
        <v>0.8778244</v>
      </c>
      <c r="D902" s="22">
        <f t="shared" si="1"/>
        <v>0.8589741898</v>
      </c>
      <c r="E902" s="22">
        <f t="shared" ref="E902:F902" si="902">IF(A902&lt;&gt;"", (B902 - B901) / B901, "")</f>
        <v>0.005214516059</v>
      </c>
      <c r="F902" s="22">
        <f t="shared" si="902"/>
        <v>-0.02038308257</v>
      </c>
      <c r="H902" s="22" t="str">
        <f t="shared" si="4"/>
        <v/>
      </c>
    </row>
    <row r="903" ht="15.75" customHeight="1">
      <c r="A903" s="32">
        <f>'EQUITY BACKTEST'!A906</f>
        <v>42489.66667</v>
      </c>
      <c r="B903" s="22">
        <f>'EQUITY BACKTEST'!B906</f>
        <v>2065.3</v>
      </c>
      <c r="C903" s="22">
        <f>1/'EQUITY BACKTEST'!E906</f>
        <v>0.8775932882</v>
      </c>
      <c r="D903" s="22">
        <f t="shared" si="1"/>
        <v>0.8595253648</v>
      </c>
      <c r="E903" s="22">
        <f t="shared" ref="E903:F903" si="903">IF(A903&lt;&gt;"", (B903 - B902) / B902, "")</f>
        <v>-0.01256466403</v>
      </c>
      <c r="F903" s="22">
        <f t="shared" si="903"/>
        <v>-0.0002632779864</v>
      </c>
      <c r="H903" s="22" t="str">
        <f t="shared" si="4"/>
        <v/>
      </c>
    </row>
    <row r="904" ht="15.75" customHeight="1">
      <c r="A904" s="32">
        <f>'EQUITY BACKTEST'!A907</f>
        <v>42496.66667</v>
      </c>
      <c r="B904" s="22">
        <f>'EQUITY BACKTEST'!B907</f>
        <v>2057.14</v>
      </c>
      <c r="C904" s="22">
        <f>1/'EQUITY BACKTEST'!E907</f>
        <v>0.8862498338</v>
      </c>
      <c r="D904" s="22">
        <f t="shared" si="1"/>
        <v>0.8559709149</v>
      </c>
      <c r="E904" s="22">
        <f t="shared" ref="E904:F904" si="904">IF(A904&lt;&gt;"", (B904 - B903) / B903, "")</f>
        <v>-0.003950999855</v>
      </c>
      <c r="F904" s="22">
        <f t="shared" si="904"/>
        <v>0.009863960651</v>
      </c>
      <c r="H904" s="22" t="str">
        <f t="shared" si="4"/>
        <v/>
      </c>
    </row>
    <row r="905" ht="15.75" customHeight="1">
      <c r="A905" s="32">
        <f>'EQUITY BACKTEST'!A908</f>
        <v>42503.66667</v>
      </c>
      <c r="B905" s="22">
        <f>'EQUITY BACKTEST'!B908</f>
        <v>2046.61</v>
      </c>
      <c r="C905" s="22">
        <f>1/'EQUITY BACKTEST'!E908</f>
        <v>0.8911861688</v>
      </c>
      <c r="D905" s="22">
        <f t="shared" si="1"/>
        <v>0.8482319418</v>
      </c>
      <c r="E905" s="22">
        <f t="shared" ref="E905:F905" si="905">IF(A905&lt;&gt;"", (B905 - B904) / B904, "")</f>
        <v>-0.005118757109</v>
      </c>
      <c r="F905" s="22">
        <f t="shared" si="905"/>
        <v>0.005569913555</v>
      </c>
      <c r="H905" s="22" t="str">
        <f t="shared" si="4"/>
        <v/>
      </c>
    </row>
    <row r="906" ht="15.75" customHeight="1">
      <c r="A906" s="32">
        <f>'EQUITY BACKTEST'!A909</f>
        <v>42510.66667</v>
      </c>
      <c r="B906" s="22">
        <f>'EQUITY BACKTEST'!B909</f>
        <v>2052.32</v>
      </c>
      <c r="C906" s="22">
        <f>1/'EQUITY BACKTEST'!E909</f>
        <v>0.873591334</v>
      </c>
      <c r="D906" s="22">
        <f t="shared" si="1"/>
        <v>0.8312455862</v>
      </c>
      <c r="E906" s="22">
        <f t="shared" ref="E906:F906" si="906">IF(A906&lt;&gt;"", (B906 - B905) / B905, "")</f>
        <v>0.002789979527</v>
      </c>
      <c r="F906" s="22">
        <f t="shared" si="906"/>
        <v>-0.01974316415</v>
      </c>
      <c r="H906" s="22" t="str">
        <f t="shared" si="4"/>
        <v/>
      </c>
    </row>
    <row r="907" ht="15.75" customHeight="1">
      <c r="A907" s="32">
        <f>'EQUITY BACKTEST'!A910</f>
        <v>42517.66667</v>
      </c>
      <c r="B907" s="22">
        <f>'EQUITY BACKTEST'!B910</f>
        <v>2099.06</v>
      </c>
      <c r="C907" s="22">
        <f>1/'EQUITY BACKTEST'!E910</f>
        <v>0.8769545124</v>
      </c>
      <c r="D907" s="22">
        <f t="shared" si="1"/>
        <v>0.7860752019</v>
      </c>
      <c r="E907" s="22">
        <f t="shared" ref="E907:F907" si="907">IF(A907&lt;&gt;"", (B907 - B906) / B906, "")</f>
        <v>0.02277422624</v>
      </c>
      <c r="F907" s="22">
        <f t="shared" si="907"/>
        <v>0.003849830309</v>
      </c>
      <c r="H907" s="22" t="str">
        <f t="shared" si="4"/>
        <v/>
      </c>
    </row>
    <row r="908" ht="15.75" customHeight="1">
      <c r="A908" s="32">
        <f>'EQUITY BACKTEST'!A911</f>
        <v>42524.66667</v>
      </c>
      <c r="B908" s="22">
        <f>'EQUITY BACKTEST'!B911</f>
        <v>2099.13</v>
      </c>
      <c r="C908" s="22">
        <f>1/'EQUITY BACKTEST'!E911</f>
        <v>0.8844782905</v>
      </c>
      <c r="D908" s="22">
        <f t="shared" si="1"/>
        <v>0.747491948</v>
      </c>
      <c r="E908" s="22">
        <f t="shared" ref="E908:F908" si="908">IF(A908&lt;&gt;"", (B908 - B907) / B907, "")</f>
        <v>0.00003334826065</v>
      </c>
      <c r="F908" s="22">
        <f t="shared" si="908"/>
        <v>0.008579439418</v>
      </c>
      <c r="H908" s="22" t="str">
        <f t="shared" si="4"/>
        <v/>
      </c>
    </row>
    <row r="909" ht="15.75" customHeight="1">
      <c r="A909" s="32">
        <f>'EQUITY BACKTEST'!A912</f>
        <v>42531.66667</v>
      </c>
      <c r="B909" s="22">
        <f>'EQUITY BACKTEST'!B912</f>
        <v>2096.07</v>
      </c>
      <c r="C909" s="22">
        <f>1/'EQUITY BACKTEST'!E912</f>
        <v>0.8911067546</v>
      </c>
      <c r="D909" s="22">
        <f t="shared" si="1"/>
        <v>0.6718197959</v>
      </c>
      <c r="E909" s="22">
        <f t="shared" ref="E909:F909" si="909">IF(A909&lt;&gt;"", (B909 - B908) / B908, "")</f>
        <v>-0.001457746781</v>
      </c>
      <c r="F909" s="22">
        <f t="shared" si="909"/>
        <v>0.007494207806</v>
      </c>
      <c r="H909" s="22" t="str">
        <f t="shared" si="4"/>
        <v/>
      </c>
    </row>
    <row r="910" ht="15.75" customHeight="1">
      <c r="A910" s="32">
        <f>'EQUITY BACKTEST'!A913</f>
        <v>42538.66667</v>
      </c>
      <c r="B910" s="22">
        <f>'EQUITY BACKTEST'!B913</f>
        <v>2071.22</v>
      </c>
      <c r="C910" s="22">
        <f>1/'EQUITY BACKTEST'!E913</f>
        <v>0.9000009</v>
      </c>
      <c r="D910" s="22">
        <f t="shared" si="1"/>
        <v>0.6047806846</v>
      </c>
      <c r="E910" s="22">
        <f t="shared" ref="E910:F910" si="910">IF(A910&lt;&gt;"", (B910 - B909) / B909, "")</f>
        <v>-0.01185552009</v>
      </c>
      <c r="F910" s="22">
        <f t="shared" si="910"/>
        <v>0.009981009981</v>
      </c>
      <c r="H910" s="22" t="str">
        <f t="shared" si="4"/>
        <v/>
      </c>
    </row>
    <row r="911" ht="15.75" customHeight="1">
      <c r="A911" s="32">
        <f>'EQUITY BACKTEST'!A914</f>
        <v>42545.66667</v>
      </c>
      <c r="B911" s="22">
        <f>'EQUITY BACKTEST'!B914</f>
        <v>2037.41</v>
      </c>
      <c r="C911" s="22">
        <f>1/'EQUITY BACKTEST'!E914</f>
        <v>0.8798634452</v>
      </c>
      <c r="D911" s="22">
        <f t="shared" si="1"/>
        <v>0.5308348094</v>
      </c>
      <c r="E911" s="22">
        <f t="shared" ref="E911:F911" si="911">IF(A911&lt;&gt;"", (B911 - B910) / B910, "")</f>
        <v>-0.01632371259</v>
      </c>
      <c r="F911" s="22">
        <f t="shared" si="911"/>
        <v>-0.02237492741</v>
      </c>
      <c r="H911" s="22" t="str">
        <f t="shared" si="4"/>
        <v/>
      </c>
    </row>
    <row r="912" ht="15.75" customHeight="1">
      <c r="A912" s="32">
        <f>'EQUITY BACKTEST'!A915</f>
        <v>42552.66667</v>
      </c>
      <c r="B912" s="22">
        <f>'EQUITY BACKTEST'!B915</f>
        <v>2102.95</v>
      </c>
      <c r="C912" s="22">
        <f>1/'EQUITY BACKTEST'!E915</f>
        <v>0.8887940842</v>
      </c>
      <c r="D912" s="22">
        <f t="shared" si="1"/>
        <v>0.4539889899</v>
      </c>
      <c r="E912" s="22">
        <f t="shared" ref="E912:F912" si="912">IF(A912&lt;&gt;"", (B912 - B911) / B911, "")</f>
        <v>0.0321682921</v>
      </c>
      <c r="F912" s="22">
        <f t="shared" si="912"/>
        <v>0.01015002844</v>
      </c>
      <c r="H912" s="22" t="str">
        <f t="shared" si="4"/>
        <v/>
      </c>
    </row>
    <row r="913" ht="15.75" customHeight="1">
      <c r="A913" s="32">
        <f>'EQUITY BACKTEST'!A916</f>
        <v>42559.66667</v>
      </c>
      <c r="B913" s="22">
        <f>'EQUITY BACKTEST'!B916</f>
        <v>2129.9</v>
      </c>
      <c r="C913" s="22">
        <f>1/'EQUITY BACKTEST'!E916</f>
        <v>0.8870281011</v>
      </c>
      <c r="D913" s="22">
        <f t="shared" si="1"/>
        <v>0.3912165653</v>
      </c>
      <c r="E913" s="22">
        <f t="shared" ref="E913:F913" si="913">IF(A913&lt;&gt;"", (B913 - B912) / B912, "")</f>
        <v>0.01281533084</v>
      </c>
      <c r="F913" s="22">
        <f t="shared" si="913"/>
        <v>-0.001986942946</v>
      </c>
      <c r="H913" s="22" t="str">
        <f t="shared" si="4"/>
        <v/>
      </c>
    </row>
    <row r="914" ht="15.75" customHeight="1">
      <c r="A914" s="32">
        <f>'EQUITY BACKTEST'!A917</f>
        <v>42566.66667</v>
      </c>
      <c r="B914" s="22">
        <f>'EQUITY BACKTEST'!B917</f>
        <v>2161.74</v>
      </c>
      <c r="C914" s="22">
        <f>1/'EQUITY BACKTEST'!E917</f>
        <v>0.8939746111</v>
      </c>
      <c r="D914" s="22">
        <f t="shared" si="1"/>
        <v>0.3199547764</v>
      </c>
      <c r="E914" s="22">
        <f t="shared" ref="E914:F914" si="914">IF(A914&lt;&gt;"", (B914 - B913) / B913, "")</f>
        <v>0.01494905864</v>
      </c>
      <c r="F914" s="22">
        <f t="shared" si="914"/>
        <v>0.007831217593</v>
      </c>
      <c r="H914" s="22" t="str">
        <f t="shared" si="4"/>
        <v/>
      </c>
    </row>
    <row r="915" ht="15.75" customHeight="1">
      <c r="A915" s="32">
        <f>'EQUITY BACKTEST'!A918</f>
        <v>42573.66667</v>
      </c>
      <c r="B915" s="22">
        <f>'EQUITY BACKTEST'!B918</f>
        <v>2175.03</v>
      </c>
      <c r="C915" s="22">
        <f>1/'EQUITY BACKTEST'!E918</f>
        <v>0.8978030759</v>
      </c>
      <c r="D915" s="22">
        <f t="shared" si="1"/>
        <v>0.2251027927</v>
      </c>
      <c r="E915" s="22">
        <f t="shared" ref="E915:F915" si="915">IF(A915&lt;&gt;"", (B915 - B914) / B914, "")</f>
        <v>0.006147825363</v>
      </c>
      <c r="F915" s="22">
        <f t="shared" si="915"/>
        <v>0.004282520672</v>
      </c>
      <c r="H915" s="22" t="str">
        <f t="shared" si="4"/>
        <v/>
      </c>
    </row>
    <row r="916" ht="15.75" customHeight="1">
      <c r="A916" s="32">
        <f>'EQUITY BACKTEST'!A919</f>
        <v>42580.66667</v>
      </c>
      <c r="B916" s="22">
        <f>'EQUITY BACKTEST'!B919</f>
        <v>2173.6</v>
      </c>
      <c r="C916" s="22">
        <f>1/'EQUITY BACKTEST'!E919</f>
        <v>0.9049937555</v>
      </c>
      <c r="D916" s="22">
        <f t="shared" si="1"/>
        <v>0.1476968609</v>
      </c>
      <c r="E916" s="22">
        <f t="shared" ref="E916:F916" si="916">IF(A916&lt;&gt;"", (B916 - B915) / B915, "")</f>
        <v>-0.0006574621959</v>
      </c>
      <c r="F916" s="22">
        <f t="shared" si="916"/>
        <v>0.008009194737</v>
      </c>
      <c r="H916" s="22" t="str">
        <f t="shared" si="4"/>
        <v/>
      </c>
    </row>
    <row r="917" ht="15.75" customHeight="1">
      <c r="A917" s="32">
        <f>'EQUITY BACKTEST'!A920</f>
        <v>42587.66667</v>
      </c>
      <c r="B917" s="22">
        <f>'EQUITY BACKTEST'!B920</f>
        <v>2182.87</v>
      </c>
      <c r="C917" s="22">
        <f>1/'EQUITY BACKTEST'!E920</f>
        <v>0.9072681249</v>
      </c>
      <c r="D917" s="22">
        <f t="shared" si="1"/>
        <v>0.0746313855</v>
      </c>
      <c r="E917" s="22">
        <f t="shared" ref="E917:F917" si="917">IF(A917&lt;&gt;"", (B917 - B916) / B916, "")</f>
        <v>0.004264814133</v>
      </c>
      <c r="F917" s="22">
        <f t="shared" si="917"/>
        <v>0.002513132706</v>
      </c>
      <c r="H917" s="22" t="str">
        <f t="shared" si="4"/>
        <v/>
      </c>
    </row>
    <row r="918" ht="15.75" customHeight="1">
      <c r="A918" s="32">
        <f>'EQUITY BACKTEST'!A921</f>
        <v>42594.66667</v>
      </c>
      <c r="B918" s="22">
        <f>'EQUITY BACKTEST'!B921</f>
        <v>2184.05</v>
      </c>
      <c r="C918" s="22">
        <f>1/'EQUITY BACKTEST'!E921</f>
        <v>0.9111451272</v>
      </c>
      <c r="D918" s="22">
        <f t="shared" si="1"/>
        <v>0.00946905461</v>
      </c>
      <c r="E918" s="22">
        <f t="shared" ref="E918:F918" si="918">IF(A918&lt;&gt;"", (B918 - B917) / B917, "")</f>
        <v>0.0005405727322</v>
      </c>
      <c r="F918" s="22">
        <f t="shared" si="918"/>
        <v>0.004273270647</v>
      </c>
      <c r="H918" s="22" t="str">
        <f t="shared" si="4"/>
        <v/>
      </c>
    </row>
    <row r="919" ht="15.75" customHeight="1">
      <c r="A919" s="32">
        <f>'EQUITY BACKTEST'!A922</f>
        <v>42601.66667</v>
      </c>
      <c r="B919" s="22">
        <f>'EQUITY BACKTEST'!B922</f>
        <v>2183.87</v>
      </c>
      <c r="C919" s="22">
        <f>1/'EQUITY BACKTEST'!E922</f>
        <v>0.8950788564</v>
      </c>
      <c r="D919" s="22">
        <f t="shared" si="1"/>
        <v>-0.04228924665</v>
      </c>
      <c r="E919" s="22">
        <f t="shared" ref="E919:F919" si="919">IF(A919&lt;&gt;"", (B919 - B918) / B918, "")</f>
        <v>-0.00008241569561</v>
      </c>
      <c r="F919" s="22">
        <f t="shared" si="919"/>
        <v>-0.01763305347</v>
      </c>
      <c r="H919" s="22" t="str">
        <f t="shared" si="4"/>
        <v/>
      </c>
    </row>
    <row r="920" ht="15.75" customHeight="1">
      <c r="A920" s="32">
        <f>'EQUITY BACKTEST'!A923</f>
        <v>42608.66667</v>
      </c>
      <c r="B920" s="22">
        <f>'EQUITY BACKTEST'!B923</f>
        <v>2169.04</v>
      </c>
      <c r="C920" s="22">
        <f>1/'EQUITY BACKTEST'!E923</f>
        <v>0.9019979254</v>
      </c>
      <c r="D920" s="22">
        <f t="shared" si="1"/>
        <v>-0.1052118168</v>
      </c>
      <c r="E920" s="22">
        <f t="shared" ref="E920:F920" si="920">IF(A920&lt;&gt;"", (B920 - B919) / B919, "")</f>
        <v>-0.006790697248</v>
      </c>
      <c r="F920" s="22">
        <f t="shared" si="920"/>
        <v>0.007730122221</v>
      </c>
      <c r="H920" s="22" t="str">
        <f t="shared" si="4"/>
        <v/>
      </c>
    </row>
    <row r="921" ht="15.75" customHeight="1">
      <c r="A921" s="32">
        <f>'EQUITY BACKTEST'!A924</f>
        <v>42615.66667</v>
      </c>
      <c r="B921" s="22">
        <f>'EQUITY BACKTEST'!B924</f>
        <v>2179.98</v>
      </c>
      <c r="C921" s="22">
        <f>1/'EQUITY BACKTEST'!E924</f>
        <v>0.8958245617</v>
      </c>
      <c r="D921" s="22">
        <f t="shared" si="1"/>
        <v>-0.1693111364</v>
      </c>
      <c r="E921" s="22">
        <f t="shared" ref="E921:F921" si="921">IF(A921&lt;&gt;"", (B921 - B920) / B920, "")</f>
        <v>0.005043705971</v>
      </c>
      <c r="F921" s="22">
        <f t="shared" si="921"/>
        <v>-0.006844099652</v>
      </c>
      <c r="H921" s="22" t="str">
        <f t="shared" si="4"/>
        <v/>
      </c>
    </row>
    <row r="922" ht="15.75" customHeight="1">
      <c r="A922" s="32">
        <f>'EQUITY BACKTEST'!A925</f>
        <v>42622.66667</v>
      </c>
      <c r="B922" s="22">
        <f>'EQUITY BACKTEST'!B925</f>
        <v>2127.81</v>
      </c>
      <c r="C922" s="22">
        <f>1/'EQUITY BACKTEST'!E925</f>
        <v>0.8831893735</v>
      </c>
      <c r="D922" s="22">
        <f t="shared" si="1"/>
        <v>-0.2222972738</v>
      </c>
      <c r="E922" s="22">
        <f t="shared" ref="E922:F922" si="922">IF(A922&lt;&gt;"", (B922 - B921) / B921, "")</f>
        <v>-0.02393141221</v>
      </c>
      <c r="F922" s="22">
        <f t="shared" si="922"/>
        <v>-0.01410453429</v>
      </c>
      <c r="H922" s="22" t="str">
        <f t="shared" si="4"/>
        <v/>
      </c>
    </row>
    <row r="923" ht="15.75" customHeight="1">
      <c r="A923" s="32">
        <f>'EQUITY BACKTEST'!A926</f>
        <v>42629.66667</v>
      </c>
      <c r="B923" s="22">
        <f>'EQUITY BACKTEST'!B926</f>
        <v>2139.16</v>
      </c>
      <c r="C923" s="22">
        <f>1/'EQUITY BACKTEST'!E926</f>
        <v>0.8932798556</v>
      </c>
      <c r="D923" s="22">
        <f t="shared" si="1"/>
        <v>-0.3083503288</v>
      </c>
      <c r="E923" s="22">
        <f t="shared" ref="E923:F923" si="923">IF(A923&lt;&gt;"", (B923 - B922) / B922, "")</f>
        <v>0.005334122878</v>
      </c>
      <c r="F923" s="22">
        <f t="shared" si="923"/>
        <v>0.01142504935</v>
      </c>
      <c r="H923" s="22" t="str">
        <f t="shared" si="4"/>
        <v/>
      </c>
    </row>
    <row r="924" ht="15.75" customHeight="1">
      <c r="A924" s="32">
        <f>'EQUITY BACKTEST'!A927</f>
        <v>42636.66667</v>
      </c>
      <c r="B924" s="22">
        <f>'EQUITY BACKTEST'!B927</f>
        <v>2164.69</v>
      </c>
      <c r="C924" s="22">
        <f>1/'EQUITY BACKTEST'!E927</f>
        <v>0.8966197436</v>
      </c>
      <c r="D924" s="22">
        <f t="shared" si="1"/>
        <v>-0.3724606713</v>
      </c>
      <c r="E924" s="22">
        <f t="shared" ref="E924:F924" si="924">IF(A924&lt;&gt;"", (B924 - B923) / B923, "")</f>
        <v>0.01193459115</v>
      </c>
      <c r="F924" s="22">
        <f t="shared" si="924"/>
        <v>0.003738904331</v>
      </c>
      <c r="H924" s="22" t="str">
        <f t="shared" si="4"/>
        <v/>
      </c>
    </row>
    <row r="925" ht="15.75" customHeight="1">
      <c r="A925" s="32">
        <f>'EQUITY BACKTEST'!A928</f>
        <v>42643.66667</v>
      </c>
      <c r="B925" s="22">
        <f>'EQUITY BACKTEST'!B928</f>
        <v>2168.27</v>
      </c>
      <c r="C925" s="22">
        <f>1/'EQUITY BACKTEST'!E928</f>
        <v>0.8905512512</v>
      </c>
      <c r="D925" s="22">
        <f t="shared" si="1"/>
        <v>-0.4319596837</v>
      </c>
      <c r="E925" s="22">
        <f t="shared" ref="E925:F925" si="925">IF(A925&lt;&gt;"", (B925 - B924) / B924, "")</f>
        <v>0.001653816482</v>
      </c>
      <c r="F925" s="22">
        <f t="shared" si="925"/>
        <v>-0.006768189509</v>
      </c>
      <c r="H925" s="22" t="str">
        <f t="shared" si="4"/>
        <v/>
      </c>
    </row>
    <row r="926" ht="15.75" customHeight="1">
      <c r="A926" s="32">
        <f>'EQUITY BACKTEST'!A929</f>
        <v>42650.66667</v>
      </c>
      <c r="B926" s="22">
        <f>'EQUITY BACKTEST'!B929</f>
        <v>2153.74</v>
      </c>
      <c r="C926" s="22">
        <f>1/'EQUITY BACKTEST'!E929</f>
        <v>0.8964188069</v>
      </c>
      <c r="D926" s="22">
        <f t="shared" si="1"/>
        <v>-0.4939335452</v>
      </c>
      <c r="E926" s="22">
        <f t="shared" ref="E926:F926" si="926">IF(A926&lt;&gt;"", (B926 - B925) / B925, "")</f>
        <v>-0.006701194962</v>
      </c>
      <c r="F926" s="22">
        <f t="shared" si="926"/>
        <v>0.00658867823</v>
      </c>
      <c r="H926" s="22" t="str">
        <f t="shared" si="4"/>
        <v/>
      </c>
    </row>
    <row r="927" ht="15.75" customHeight="1">
      <c r="A927" s="32">
        <f>'EQUITY BACKTEST'!A930</f>
        <v>42657.66667</v>
      </c>
      <c r="B927" s="22">
        <f>'EQUITY BACKTEST'!B930</f>
        <v>2132.98</v>
      </c>
      <c r="C927" s="22">
        <f>1/'EQUITY BACKTEST'!E930</f>
        <v>0.8911861688</v>
      </c>
      <c r="D927" s="22">
        <f t="shared" si="1"/>
        <v>-0.5486731392</v>
      </c>
      <c r="E927" s="22">
        <f t="shared" ref="E927:F927" si="927">IF(A927&lt;&gt;"", (B927 - B926) / B926, "")</f>
        <v>-0.009639046496</v>
      </c>
      <c r="F927" s="22">
        <f t="shared" si="927"/>
        <v>-0.005837269406</v>
      </c>
      <c r="H927" s="22" t="str">
        <f t="shared" si="4"/>
        <v/>
      </c>
    </row>
    <row r="928" ht="15.75" customHeight="1">
      <c r="A928" s="32">
        <f>'EQUITY BACKTEST'!A931</f>
        <v>42664.66667</v>
      </c>
      <c r="B928" s="22">
        <f>'EQUITY BACKTEST'!B931</f>
        <v>2141.16</v>
      </c>
      <c r="C928" s="22">
        <f>1/'EQUITY BACKTEST'!E931</f>
        <v>0.8903133903</v>
      </c>
      <c r="D928" s="22">
        <f t="shared" si="1"/>
        <v>-0.6089313566</v>
      </c>
      <c r="E928" s="22">
        <f t="shared" ref="E928:F928" si="928">IF(A928&lt;&gt;"", (B928 - B927) / B927, "")</f>
        <v>0.003835010174</v>
      </c>
      <c r="F928" s="22">
        <f t="shared" si="928"/>
        <v>-0.0009793447293</v>
      </c>
      <c r="H928" s="22" t="str">
        <f t="shared" si="4"/>
        <v/>
      </c>
    </row>
    <row r="929" ht="15.75" customHeight="1">
      <c r="A929" s="32">
        <f>'EQUITY BACKTEST'!A932</f>
        <v>42671.66667</v>
      </c>
      <c r="B929" s="22">
        <f>'EQUITY BACKTEST'!B932</f>
        <v>2126.41</v>
      </c>
      <c r="C929" s="22">
        <f>1/'EQUITY BACKTEST'!E932</f>
        <v>0.8928890318</v>
      </c>
      <c r="D929" s="22">
        <f t="shared" si="1"/>
        <v>-0.6646725659</v>
      </c>
      <c r="E929" s="22">
        <f t="shared" ref="E929:F929" si="929">IF(A929&lt;&gt;"", (B929 - B928) / B928, "")</f>
        <v>-0.006888789254</v>
      </c>
      <c r="F929" s="22">
        <f t="shared" si="929"/>
        <v>0.002892960463</v>
      </c>
      <c r="H929" s="22" t="str">
        <f t="shared" si="4"/>
        <v/>
      </c>
    </row>
    <row r="930" ht="15.75" customHeight="1">
      <c r="A930" s="32">
        <f>'EQUITY BACKTEST'!A933</f>
        <v>42678.66667</v>
      </c>
      <c r="B930" s="22">
        <f>'EQUITY BACKTEST'!B933</f>
        <v>2085.18</v>
      </c>
      <c r="C930" s="22">
        <f>1/'EQUITY BACKTEST'!E933</f>
        <v>0.9116601331</v>
      </c>
      <c r="D930" s="22">
        <f t="shared" si="1"/>
        <v>-0.7252741848</v>
      </c>
      <c r="E930" s="22">
        <f t="shared" ref="E930:F930" si="930">IF(A930&lt;&gt;"", (B930 - B929) / B929, "")</f>
        <v>-0.01938948745</v>
      </c>
      <c r="F930" s="22">
        <f t="shared" si="930"/>
        <v>0.02102288267</v>
      </c>
      <c r="H930" s="22" t="str">
        <f t="shared" si="4"/>
        <v/>
      </c>
    </row>
    <row r="931" ht="15.75" customHeight="1">
      <c r="A931" s="32">
        <f>'EQUITY BACKTEST'!A934</f>
        <v>42685.66667</v>
      </c>
      <c r="B931" s="22">
        <f>'EQUITY BACKTEST'!B934</f>
        <v>2164.45</v>
      </c>
      <c r="C931" s="22">
        <f>1/'EQUITY BACKTEST'!E934</f>
        <v>0.9187798603</v>
      </c>
      <c r="D931" s="22">
        <f t="shared" si="1"/>
        <v>-0.7786791642</v>
      </c>
      <c r="E931" s="22">
        <f t="shared" ref="E931:F931" si="931">IF(A931&lt;&gt;"", (B931 - B930) / B930, "")</f>
        <v>0.0380159027</v>
      </c>
      <c r="F931" s="22">
        <f t="shared" si="931"/>
        <v>0.007809628813</v>
      </c>
      <c r="H931" s="22" t="str">
        <f t="shared" si="4"/>
        <v/>
      </c>
    </row>
    <row r="932" ht="15.75" customHeight="1">
      <c r="A932" s="32">
        <f>'EQUITY BACKTEST'!A935</f>
        <v>42692.66667</v>
      </c>
      <c r="B932" s="22">
        <f>'EQUITY BACKTEST'!B935</f>
        <v>2181.9</v>
      </c>
      <c r="C932" s="22">
        <f>1/'EQUITY BACKTEST'!E935</f>
        <v>0.9102494083</v>
      </c>
      <c r="D932" s="22">
        <f t="shared" si="1"/>
        <v>-0.8013108919</v>
      </c>
      <c r="E932" s="22">
        <f t="shared" ref="E932:F932" si="932">IF(A932&lt;&gt;"", (B932 - B931) / B931, "")</f>
        <v>0.008062094296</v>
      </c>
      <c r="F932" s="22">
        <f t="shared" si="932"/>
        <v>-0.009284543965</v>
      </c>
      <c r="H932" s="22" t="str">
        <f t="shared" si="4"/>
        <v/>
      </c>
    </row>
    <row r="933" ht="15.75" customHeight="1">
      <c r="A933" s="32">
        <f>'EQUITY BACKTEST'!A936</f>
        <v>42699.66667</v>
      </c>
      <c r="B933" s="22">
        <f>'EQUITY BACKTEST'!B936</f>
        <v>2213.35</v>
      </c>
      <c r="C933" s="22">
        <f>1/'EQUITY BACKTEST'!E936</f>
        <v>0.8979078747</v>
      </c>
      <c r="D933" s="22">
        <f t="shared" si="1"/>
        <v>-0.8272510788</v>
      </c>
      <c r="E933" s="22">
        <f t="shared" ref="E933:F933" si="933">IF(A933&lt;&gt;"", (B933 - B932) / B932, "")</f>
        <v>0.01441404281</v>
      </c>
      <c r="F933" s="22">
        <f t="shared" si="933"/>
        <v>-0.01355840891</v>
      </c>
      <c r="H933" s="22" t="str">
        <f t="shared" si="4"/>
        <v/>
      </c>
    </row>
    <row r="934" ht="15.75" customHeight="1">
      <c r="A934" s="32">
        <f>'EQUITY BACKTEST'!A937</f>
        <v>42706.66667</v>
      </c>
      <c r="B934" s="22">
        <f>'EQUITY BACKTEST'!B937</f>
        <v>2191.95</v>
      </c>
      <c r="C934" s="22">
        <f>1/'EQUITY BACKTEST'!E937</f>
        <v>0.9211241399</v>
      </c>
      <c r="D934" s="22">
        <f t="shared" si="1"/>
        <v>-0.8538146252</v>
      </c>
      <c r="E934" s="22">
        <f t="shared" ref="E934:F934" si="934">IF(A934&lt;&gt;"", (B934 - B933) / B933, "")</f>
        <v>-0.009668601893</v>
      </c>
      <c r="F934" s="22">
        <f t="shared" si="934"/>
        <v>0.02585595461</v>
      </c>
      <c r="H934" s="22" t="str">
        <f t="shared" si="4"/>
        <v/>
      </c>
    </row>
    <row r="935" ht="15.75" customHeight="1">
      <c r="A935" s="32">
        <f>'EQUITY BACKTEST'!A938</f>
        <v>42713.66667</v>
      </c>
      <c r="B935" s="22">
        <f>'EQUITY BACKTEST'!B938</f>
        <v>2259.53</v>
      </c>
      <c r="C935" s="22">
        <f>1/'EQUITY BACKTEST'!E938</f>
        <v>0.9445011145</v>
      </c>
      <c r="D935" s="22">
        <f t="shared" si="1"/>
        <v>-0.8719874769</v>
      </c>
      <c r="E935" s="22">
        <f t="shared" ref="E935:F935" si="935">IF(A935&lt;&gt;"", (B935 - B934) / B934, "")</f>
        <v>0.03083099523</v>
      </c>
      <c r="F935" s="22">
        <f t="shared" si="935"/>
        <v>0.02537874495</v>
      </c>
      <c r="H935" s="22" t="str">
        <f t="shared" si="4"/>
        <v/>
      </c>
    </row>
    <row r="936" ht="15.75" customHeight="1">
      <c r="A936" s="32">
        <f>'EQUITY BACKTEST'!A939</f>
        <v>42720.66667</v>
      </c>
      <c r="B936" s="22">
        <f>'EQUITY BACKTEST'!B939</f>
        <v>2258.07</v>
      </c>
      <c r="C936" s="22">
        <f>1/'EQUITY BACKTEST'!E939</f>
        <v>0.9441533305</v>
      </c>
      <c r="D936" s="22">
        <f t="shared" si="1"/>
        <v>-0.8707677081</v>
      </c>
      <c r="E936" s="22">
        <f t="shared" ref="E936:F936" si="936">IF(A936&lt;&gt;"", (B936 - B935) / B935, "")</f>
        <v>-0.0006461520759</v>
      </c>
      <c r="F936" s="22">
        <f t="shared" si="936"/>
        <v>-0.0003682197989</v>
      </c>
      <c r="H936" s="22" t="str">
        <f t="shared" si="4"/>
        <v/>
      </c>
    </row>
    <row r="937" ht="15.75" customHeight="1">
      <c r="A937" s="32">
        <f>'EQUITY BACKTEST'!A940</f>
        <v>42727.66667</v>
      </c>
      <c r="B937" s="22">
        <f>'EQUITY BACKTEST'!B940</f>
        <v>2263.79</v>
      </c>
      <c r="C937" s="22">
        <f>1/'EQUITY BACKTEST'!E940</f>
        <v>0.937866354</v>
      </c>
      <c r="D937" s="22">
        <f t="shared" si="1"/>
        <v>-0.86774868</v>
      </c>
      <c r="E937" s="22">
        <f t="shared" ref="E937:F937" si="937">IF(A937&lt;&gt;"", (B937 - B936) / B936, "")</f>
        <v>0.002533136705</v>
      </c>
      <c r="F937" s="22">
        <f t="shared" si="937"/>
        <v>-0.006658851114</v>
      </c>
      <c r="H937" s="22" t="str">
        <f t="shared" si="4"/>
        <v/>
      </c>
    </row>
    <row r="938" ht="15.75" customHeight="1">
      <c r="A938" s="32">
        <f>'EQUITY BACKTEST'!A941</f>
        <v>42734.66667</v>
      </c>
      <c r="B938" s="22">
        <f>'EQUITY BACKTEST'!B941</f>
        <v>2238.83</v>
      </c>
      <c r="C938" s="22">
        <f>1/'EQUITY BACKTEST'!E941</f>
        <v>0.9470593806</v>
      </c>
      <c r="D938" s="22">
        <f t="shared" si="1"/>
        <v>-0.8631138669</v>
      </c>
      <c r="E938" s="22">
        <f t="shared" ref="E938:F938" si="938">IF(A938&lt;&gt;"", (B938 - B937) / B937, "")</f>
        <v>-0.01102575769</v>
      </c>
      <c r="F938" s="22">
        <f t="shared" si="938"/>
        <v>0.009802064589</v>
      </c>
      <c r="H938" s="22" t="str">
        <f t="shared" si="4"/>
        <v/>
      </c>
    </row>
    <row r="939" ht="15.75" customHeight="1">
      <c r="A939" s="32">
        <f>'EQUITY BACKTEST'!A942</f>
        <v>42741.66667</v>
      </c>
      <c r="B939" s="22">
        <f>'EQUITY BACKTEST'!B942</f>
        <v>2276.98</v>
      </c>
      <c r="C939" s="22">
        <f>1/'EQUITY BACKTEST'!E942</f>
        <v>0.9567546881</v>
      </c>
      <c r="D939" s="22">
        <f t="shared" si="1"/>
        <v>-0.8464681624</v>
      </c>
      <c r="E939" s="22">
        <f t="shared" ref="E939:F939" si="939">IF(A939&lt;&gt;"", (B939 - B938) / B938, "")</f>
        <v>0.01704015044</v>
      </c>
      <c r="F939" s="22">
        <f t="shared" si="939"/>
        <v>0.01023727516</v>
      </c>
      <c r="H939" s="22" t="str">
        <f t="shared" si="4"/>
        <v/>
      </c>
    </row>
    <row r="940" ht="15.75" customHeight="1">
      <c r="A940" s="32">
        <f>'EQUITY BACKTEST'!A943</f>
        <v>42748.66667</v>
      </c>
      <c r="B940" s="22">
        <f>'EQUITY BACKTEST'!B943</f>
        <v>2274.64</v>
      </c>
      <c r="C940" s="22">
        <f>1/'EQUITY BACKTEST'!E943</f>
        <v>0.9563886764</v>
      </c>
      <c r="D940" s="22">
        <f t="shared" si="1"/>
        <v>-0.8280899897</v>
      </c>
      <c r="E940" s="22">
        <f t="shared" ref="E940:F940" si="940">IF(A940&lt;&gt;"", (B940 - B939) / B939, "")</f>
        <v>-0.001027677011</v>
      </c>
      <c r="F940" s="22">
        <f t="shared" si="940"/>
        <v>-0.0003825554705</v>
      </c>
      <c r="H940" s="22" t="str">
        <f t="shared" si="4"/>
        <v/>
      </c>
    </row>
    <row r="941" ht="15.75" customHeight="1">
      <c r="A941" s="32">
        <f>'EQUITY BACKTEST'!A944</f>
        <v>42755.66667</v>
      </c>
      <c r="B941" s="22">
        <f>'EQUITY BACKTEST'!B944</f>
        <v>2271.31</v>
      </c>
      <c r="C941" s="22">
        <f>1/'EQUITY BACKTEST'!E944</f>
        <v>0.9508414947</v>
      </c>
      <c r="D941" s="22">
        <f t="shared" si="1"/>
        <v>-0.8162665644</v>
      </c>
      <c r="E941" s="22">
        <f t="shared" ref="E941:F941" si="941">IF(A941&lt;&gt;"", (B941 - B940) / B940, "")</f>
        <v>-0.001463967925</v>
      </c>
      <c r="F941" s="22">
        <f t="shared" si="941"/>
        <v>-0.005800133118</v>
      </c>
      <c r="H941" s="22" t="str">
        <f t="shared" si="4"/>
        <v/>
      </c>
    </row>
    <row r="942" ht="15.75" customHeight="1">
      <c r="A942" s="32">
        <f>'EQUITY BACKTEST'!A945</f>
        <v>42762.66667</v>
      </c>
      <c r="B942" s="22">
        <f>'EQUITY BACKTEST'!B945</f>
        <v>2294.69</v>
      </c>
      <c r="C942" s="22">
        <f>1/'EQUITY BACKTEST'!E945</f>
        <v>0.9496676163</v>
      </c>
      <c r="D942" s="22">
        <f t="shared" si="1"/>
        <v>-0.8006834532</v>
      </c>
      <c r="E942" s="22">
        <f t="shared" ref="E942:F942" si="942">IF(A942&lt;&gt;"", (B942 - B941) / B941, "")</f>
        <v>0.0102936191</v>
      </c>
      <c r="F942" s="22">
        <f t="shared" si="942"/>
        <v>-0.001234567901</v>
      </c>
      <c r="H942" s="22" t="str">
        <f t="shared" si="4"/>
        <v/>
      </c>
    </row>
    <row r="943" ht="15.75" customHeight="1">
      <c r="A943" s="32">
        <f>'EQUITY BACKTEST'!A946</f>
        <v>42769.66667</v>
      </c>
      <c r="B943" s="22">
        <f>'EQUITY BACKTEST'!B946</f>
        <v>2297.42</v>
      </c>
      <c r="C943" s="22">
        <f>1/'EQUITY BACKTEST'!E946</f>
        <v>0.9395847036</v>
      </c>
      <c r="D943" s="22">
        <f t="shared" si="1"/>
        <v>-0.8022269571</v>
      </c>
      <c r="E943" s="22">
        <f t="shared" ref="E943:F943" si="943">IF(A943&lt;&gt;"", (B943 - B942) / B942, "")</f>
        <v>0.001189703184</v>
      </c>
      <c r="F943" s="22">
        <f t="shared" si="943"/>
        <v>-0.01061730715</v>
      </c>
      <c r="H943" s="22" t="str">
        <f t="shared" si="4"/>
        <v/>
      </c>
    </row>
    <row r="944" ht="15.75" customHeight="1">
      <c r="A944" s="32">
        <f>'EQUITY BACKTEST'!A947</f>
        <v>42776.66667</v>
      </c>
      <c r="B944" s="22">
        <f>'EQUITY BACKTEST'!B947</f>
        <v>2316.1</v>
      </c>
      <c r="C944" s="22">
        <f>1/'EQUITY BACKTEST'!E947</f>
        <v>0.9344921035</v>
      </c>
      <c r="D944" s="22">
        <f t="shared" si="1"/>
        <v>-0.7959992712</v>
      </c>
      <c r="E944" s="22">
        <f t="shared" ref="E944:F944" si="944">IF(A944&lt;&gt;"", (B944 - B943) / B943, "")</f>
        <v>0.008130859834</v>
      </c>
      <c r="F944" s="22">
        <f t="shared" si="944"/>
        <v>-0.005420054201</v>
      </c>
      <c r="H944" s="22" t="str">
        <f t="shared" si="4"/>
        <v/>
      </c>
    </row>
    <row r="945" ht="15.75" customHeight="1">
      <c r="A945" s="32">
        <f>'EQUITY BACKTEST'!A948</f>
        <v>42783.66667</v>
      </c>
      <c r="B945" s="22">
        <f>'EQUITY BACKTEST'!B948</f>
        <v>2351.16</v>
      </c>
      <c r="C945" s="22">
        <f>1/'EQUITY BACKTEST'!E948</f>
        <v>0.9348415444</v>
      </c>
      <c r="D945" s="22">
        <f t="shared" si="1"/>
        <v>-0.7998540548</v>
      </c>
      <c r="E945" s="22">
        <f t="shared" ref="E945:F945" si="945">IF(A945&lt;&gt;"", (B945 - B944) / B944, "")</f>
        <v>0.01513751565</v>
      </c>
      <c r="F945" s="22">
        <f t="shared" si="945"/>
        <v>0.0003739366177</v>
      </c>
      <c r="H945" s="22" t="str">
        <f t="shared" si="4"/>
        <v/>
      </c>
    </row>
    <row r="946" ht="15.75" customHeight="1">
      <c r="A946" s="32">
        <f>'EQUITY BACKTEST'!A949</f>
        <v>42790.66667</v>
      </c>
      <c r="B946" s="22">
        <f>'EQUITY BACKTEST'!B949</f>
        <v>2367.34</v>
      </c>
      <c r="C946" s="22">
        <f>1/'EQUITY BACKTEST'!E949</f>
        <v>0.9270418096</v>
      </c>
      <c r="D946" s="22">
        <f t="shared" si="1"/>
        <v>-0.805081888</v>
      </c>
      <c r="E946" s="22">
        <f t="shared" ref="E946:F946" si="946">IF(A946&lt;&gt;"", (B946 - B945) / B945, "")</f>
        <v>0.006881709454</v>
      </c>
      <c r="F946" s="22">
        <f t="shared" si="946"/>
        <v>-0.008343376286</v>
      </c>
      <c r="H946" s="22" t="str">
        <f t="shared" si="4"/>
        <v/>
      </c>
    </row>
    <row r="947" ht="15.75" customHeight="1">
      <c r="A947" s="32">
        <f>'EQUITY BACKTEST'!A950</f>
        <v>42797.66667</v>
      </c>
      <c r="B947" s="22">
        <f>'EQUITY BACKTEST'!B950</f>
        <v>2383.12</v>
      </c>
      <c r="C947" s="22">
        <f>1/'EQUITY BACKTEST'!E950</f>
        <v>0.9400263207</v>
      </c>
      <c r="D947" s="22">
        <f t="shared" si="1"/>
        <v>-0.8060837108</v>
      </c>
      <c r="E947" s="22">
        <f t="shared" ref="E947:F947" si="947">IF(A947&lt;&gt;"", (B947 - B946) / B946, "")</f>
        <v>0.006665709193</v>
      </c>
      <c r="F947" s="22">
        <f t="shared" si="947"/>
        <v>0.01400639218</v>
      </c>
      <c r="H947" s="22" t="str">
        <f t="shared" si="4"/>
        <v/>
      </c>
    </row>
    <row r="948" ht="15.75" customHeight="1">
      <c r="A948" s="32">
        <f>'EQUITY BACKTEST'!A951</f>
        <v>42804.66667</v>
      </c>
      <c r="B948" s="22">
        <f>'EQUITY BACKTEST'!B951</f>
        <v>2372.6</v>
      </c>
      <c r="C948" s="22">
        <f>1/'EQUITY BACKTEST'!E951</f>
        <v>0.9421518749</v>
      </c>
      <c r="D948" s="22">
        <f t="shared" si="1"/>
        <v>-0.8125690876</v>
      </c>
      <c r="E948" s="22">
        <f t="shared" ref="E948:F948" si="948">IF(A948&lt;&gt;"", (B948 - B947) / B947, "")</f>
        <v>-0.004414381147</v>
      </c>
      <c r="F948" s="22">
        <f t="shared" si="948"/>
        <v>0.0022611645</v>
      </c>
      <c r="H948" s="22" t="str">
        <f t="shared" si="4"/>
        <v/>
      </c>
    </row>
    <row r="949" ht="15.75" customHeight="1">
      <c r="A949" s="32">
        <f>'EQUITY BACKTEST'!A952</f>
        <v>42811.66667</v>
      </c>
      <c r="B949" s="22">
        <f>'EQUITY BACKTEST'!B952</f>
        <v>2378.25</v>
      </c>
      <c r="C949" s="22">
        <f>1/'EQUITY BACKTEST'!E952</f>
        <v>0.9468800303</v>
      </c>
      <c r="D949" s="22">
        <f t="shared" si="1"/>
        <v>-0.8153403667</v>
      </c>
      <c r="E949" s="22">
        <f t="shared" ref="E949:F949" si="949">IF(A949&lt;&gt;"", (B949 - B948) / B948, "")</f>
        <v>0.002381353789</v>
      </c>
      <c r="F949" s="22">
        <f t="shared" si="949"/>
        <v>0.005018464161</v>
      </c>
      <c r="H949" s="22" t="str">
        <f t="shared" si="4"/>
        <v/>
      </c>
    </row>
    <row r="950" ht="15.75" customHeight="1">
      <c r="A950" s="32">
        <f>'EQUITY BACKTEST'!A953</f>
        <v>42818.66667</v>
      </c>
      <c r="B950" s="22">
        <f>'EQUITY BACKTEST'!B953</f>
        <v>2343.98</v>
      </c>
      <c r="C950" s="22">
        <f>1/'EQUITY BACKTEST'!E953</f>
        <v>0.9414422896</v>
      </c>
      <c r="D950" s="22">
        <f t="shared" si="1"/>
        <v>-0.8064194325</v>
      </c>
      <c r="E950" s="22">
        <f t="shared" ref="E950:F950" si="950">IF(A950&lt;&gt;"", (B950 - B949) / B949, "")</f>
        <v>-0.01440975507</v>
      </c>
      <c r="F950" s="22">
        <f t="shared" si="950"/>
        <v>-0.005742797966</v>
      </c>
      <c r="H950" s="22" t="str">
        <f t="shared" si="4"/>
        <v/>
      </c>
    </row>
    <row r="951" ht="15.75" customHeight="1">
      <c r="A951" s="32">
        <f>'EQUITY BACKTEST'!A954</f>
        <v>42825.66667</v>
      </c>
      <c r="B951" s="22">
        <f>'EQUITY BACKTEST'!B954</f>
        <v>2362.72</v>
      </c>
      <c r="C951" s="22">
        <f>1/'EQUITY BACKTEST'!E954</f>
        <v>0.9369349111</v>
      </c>
      <c r="D951" s="22">
        <f t="shared" si="1"/>
        <v>-0.7984389461</v>
      </c>
      <c r="E951" s="22">
        <f t="shared" ref="E951:F951" si="951">IF(A951&lt;&gt;"", (B951 - B950) / B950, "")</f>
        <v>0.007994948762</v>
      </c>
      <c r="F951" s="22">
        <f t="shared" si="951"/>
        <v>-0.004787737396</v>
      </c>
      <c r="H951" s="22" t="str">
        <f t="shared" si="4"/>
        <v/>
      </c>
    </row>
    <row r="952" ht="15.75" customHeight="1">
      <c r="A952" s="32">
        <f>'EQUITY BACKTEST'!A955</f>
        <v>42832.66667</v>
      </c>
      <c r="B952" s="22">
        <f>'EQUITY BACKTEST'!B955</f>
        <v>2355.54</v>
      </c>
      <c r="C952" s="22">
        <f>1/'EQUITY BACKTEST'!E955</f>
        <v>0.9308386857</v>
      </c>
      <c r="D952" s="22">
        <f t="shared" si="1"/>
        <v>-0.787211602</v>
      </c>
      <c r="E952" s="22">
        <f t="shared" ref="E952:F952" si="952">IF(A952&lt;&gt;"", (B952 - B951) / B951, "")</f>
        <v>-0.003038870454</v>
      </c>
      <c r="F952" s="22">
        <f t="shared" si="952"/>
        <v>-0.006506562413</v>
      </c>
      <c r="H952" s="22" t="str">
        <f t="shared" si="4"/>
        <v/>
      </c>
    </row>
    <row r="953" ht="15.75" customHeight="1">
      <c r="A953" s="32">
        <f>'EQUITY BACKTEST'!A956</f>
        <v>42838.66667</v>
      </c>
      <c r="B953" s="22">
        <f>'EQUITY BACKTEST'!B956</f>
        <v>2328.95</v>
      </c>
      <c r="C953" s="22">
        <f>1/'EQUITY BACKTEST'!E956</f>
        <v>0.9255831174</v>
      </c>
      <c r="D953" s="22">
        <f t="shared" si="1"/>
        <v>-0.7787591681</v>
      </c>
      <c r="E953" s="22">
        <f t="shared" ref="E953:F953" si="953">IF(A953&lt;&gt;"", (B953 - B952) / B952, "")</f>
        <v>-0.01128828209</v>
      </c>
      <c r="F953" s="22">
        <f t="shared" si="953"/>
        <v>-0.005646057016</v>
      </c>
      <c r="H953" s="22" t="str">
        <f t="shared" si="4"/>
        <v/>
      </c>
    </row>
    <row r="954" ht="15.75" customHeight="1">
      <c r="A954" s="32">
        <f>'EQUITY BACKTEST'!A957</f>
        <v>42846.66667</v>
      </c>
      <c r="B954" s="22">
        <f>'EQUITY BACKTEST'!B957</f>
        <v>2348.69</v>
      </c>
      <c r="C954" s="22">
        <f>1/'EQUITY BACKTEST'!E957</f>
        <v>0.9386498461</v>
      </c>
      <c r="D954" s="22">
        <f t="shared" si="1"/>
        <v>-0.7683869163</v>
      </c>
      <c r="E954" s="22">
        <f t="shared" ref="E954:F954" si="954">IF(A954&lt;&gt;"", (B954 - B953) / B953, "")</f>
        <v>0.008475922626</v>
      </c>
      <c r="F954" s="22">
        <f t="shared" si="954"/>
        <v>0.01411729368</v>
      </c>
      <c r="H954" s="22" t="str">
        <f t="shared" si="4"/>
        <v/>
      </c>
    </row>
    <row r="955" ht="15.75" customHeight="1">
      <c r="A955" s="32">
        <f>'EQUITY BACKTEST'!A958</f>
        <v>42853.66667</v>
      </c>
      <c r="B955" s="22">
        <f>'EQUITY BACKTEST'!B958</f>
        <v>2384.2</v>
      </c>
      <c r="C955" s="22">
        <f>1/'EQUITY BACKTEST'!E958</f>
        <v>0.9442870633</v>
      </c>
      <c r="D955" s="22">
        <f t="shared" si="1"/>
        <v>-0.7569754726</v>
      </c>
      <c r="E955" s="22">
        <f t="shared" ref="E955:F955" si="955">IF(A955&lt;&gt;"", (B955 - B954) / B954, "")</f>
        <v>0.01511906637</v>
      </c>
      <c r="F955" s="22">
        <f t="shared" si="955"/>
        <v>0.006005665722</v>
      </c>
      <c r="H955" s="22" t="str">
        <f t="shared" si="4"/>
        <v/>
      </c>
    </row>
    <row r="956" ht="15.75" customHeight="1">
      <c r="A956" s="32">
        <f>'EQUITY BACKTEST'!A959</f>
        <v>42860.66667</v>
      </c>
      <c r="B956" s="22">
        <f>'EQUITY BACKTEST'!B959</f>
        <v>2399.29</v>
      </c>
      <c r="C956" s="22">
        <f>1/'EQUITY BACKTEST'!E959</f>
        <v>0.9423294384</v>
      </c>
      <c r="D956" s="22">
        <f t="shared" si="1"/>
        <v>-0.7502439192</v>
      </c>
      <c r="E956" s="22">
        <f t="shared" ref="E956:F956" si="956">IF(A956&lt;&gt;"", (B956 - B955) / B955, "")</f>
        <v>0.006329167016</v>
      </c>
      <c r="F956" s="22">
        <f t="shared" si="956"/>
        <v>-0.002073124764</v>
      </c>
      <c r="H956" s="22" t="str">
        <f t="shared" si="4"/>
        <v/>
      </c>
    </row>
    <row r="957" ht="15.75" customHeight="1">
      <c r="A957" s="32">
        <f>'EQUITY BACKTEST'!A960</f>
        <v>42867.66667</v>
      </c>
      <c r="B957" s="22">
        <f>'EQUITY BACKTEST'!B960</f>
        <v>2390.9</v>
      </c>
      <c r="C957" s="22">
        <f>1/'EQUITY BACKTEST'!E960</f>
        <v>0.9327488107</v>
      </c>
      <c r="D957" s="22">
        <f t="shared" si="1"/>
        <v>-0.7506537277</v>
      </c>
      <c r="E957" s="22">
        <f t="shared" ref="E957:F957" si="957">IF(A957&lt;&gt;"", (B957 - B956) / B956, "")</f>
        <v>-0.003496867823</v>
      </c>
      <c r="F957" s="22">
        <f t="shared" si="957"/>
        <v>-0.01016696204</v>
      </c>
      <c r="H957" s="22" t="str">
        <f t="shared" si="4"/>
        <v/>
      </c>
    </row>
    <row r="958" ht="15.75" customHeight="1">
      <c r="A958" s="32">
        <f>'EQUITY BACKTEST'!A961</f>
        <v>42874.66667</v>
      </c>
      <c r="B958" s="22">
        <f>'EQUITY BACKTEST'!B961</f>
        <v>2381.73</v>
      </c>
      <c r="C958" s="22">
        <f>1/'EQUITY BACKTEST'!E961</f>
        <v>0.9180207473</v>
      </c>
      <c r="D958" s="22">
        <f t="shared" si="1"/>
        <v>-0.7434850152</v>
      </c>
      <c r="E958" s="22">
        <f t="shared" ref="E958:F958" si="958">IF(A958&lt;&gt;"", (B958 - B957) / B957, "")</f>
        <v>-0.0038353758</v>
      </c>
      <c r="F958" s="22">
        <f t="shared" si="958"/>
        <v>-0.01578995685</v>
      </c>
      <c r="H958" s="22" t="str">
        <f t="shared" si="4"/>
        <v/>
      </c>
    </row>
    <row r="959" ht="15.75" customHeight="1">
      <c r="A959" s="32">
        <f>'EQUITY BACKTEST'!A962</f>
        <v>42881.66667</v>
      </c>
      <c r="B959" s="22">
        <f>'EQUITY BACKTEST'!B962</f>
        <v>2415.82</v>
      </c>
      <c r="C959" s="22">
        <f>1/'EQUITY BACKTEST'!E962</f>
        <v>0.9094216079</v>
      </c>
      <c r="D959" s="22">
        <f t="shared" si="1"/>
        <v>-0.7252645118</v>
      </c>
      <c r="E959" s="22">
        <f t="shared" ref="E959:F959" si="959">IF(A959&lt;&gt;"", (B959 - B958) / B958, "")</f>
        <v>0.01431312533</v>
      </c>
      <c r="F959" s="22">
        <f t="shared" si="959"/>
        <v>-0.009367042561</v>
      </c>
      <c r="H959" s="22" t="str">
        <f t="shared" si="4"/>
        <v/>
      </c>
    </row>
    <row r="960" ht="15.75" customHeight="1">
      <c r="A960" s="32">
        <f>'EQUITY BACKTEST'!A963</f>
        <v>42888.66667</v>
      </c>
      <c r="B960" s="22">
        <f>'EQUITY BACKTEST'!B963</f>
        <v>2439.07</v>
      </c>
      <c r="C960" s="22">
        <f>1/'EQUITY BACKTEST'!E963</f>
        <v>0.9147457007</v>
      </c>
      <c r="D960" s="22">
        <f t="shared" si="1"/>
        <v>-0.7087199598</v>
      </c>
      <c r="E960" s="22">
        <f t="shared" ref="E960:F960" si="960">IF(A960&lt;&gt;"", (B960 - B959) / B959, "")</f>
        <v>0.009624061395</v>
      </c>
      <c r="F960" s="22">
        <f t="shared" si="960"/>
        <v>0.005854372484</v>
      </c>
      <c r="H960" s="22" t="str">
        <f t="shared" si="4"/>
        <v/>
      </c>
    </row>
    <row r="961" ht="15.75" customHeight="1">
      <c r="A961" s="32">
        <f>'EQUITY BACKTEST'!A964</f>
        <v>42895.66667</v>
      </c>
      <c r="B961" s="22">
        <f>'EQUITY BACKTEST'!B964</f>
        <v>2431.77</v>
      </c>
      <c r="C961" s="22">
        <f>1/'EQUITY BACKTEST'!E964</f>
        <v>0.8922994557</v>
      </c>
      <c r="D961" s="22">
        <f t="shared" si="1"/>
        <v>-0.6807604379</v>
      </c>
      <c r="E961" s="22">
        <f t="shared" ref="E961:F961" si="961">IF(A961&lt;&gt;"", (B961 - B960) / B960, "")</f>
        <v>-0.002992944032</v>
      </c>
      <c r="F961" s="22">
        <f t="shared" si="961"/>
        <v>-0.02453823503</v>
      </c>
      <c r="H961" s="22" t="str">
        <f t="shared" si="4"/>
        <v/>
      </c>
    </row>
    <row r="962" ht="15.75" customHeight="1">
      <c r="A962" s="32">
        <f>'EQUITY BACKTEST'!A965</f>
        <v>42902.66667</v>
      </c>
      <c r="B962" s="22">
        <f>'EQUITY BACKTEST'!B965</f>
        <v>2433.15</v>
      </c>
      <c r="C962" s="22">
        <f>1/'EQUITY BACKTEST'!E965</f>
        <v>0.8942944017</v>
      </c>
      <c r="D962" s="22">
        <f t="shared" si="1"/>
        <v>-0.6331744909</v>
      </c>
      <c r="E962" s="22">
        <f t="shared" ref="E962:F962" si="962">IF(A962&lt;&gt;"", (B962 - B961) / B961, "")</f>
        <v>0.0005674878792</v>
      </c>
      <c r="F962" s="22">
        <f t="shared" si="962"/>
        <v>0.002235736004</v>
      </c>
      <c r="H962" s="22" t="str">
        <f t="shared" si="4"/>
        <v/>
      </c>
    </row>
    <row r="963" ht="15.75" customHeight="1">
      <c r="A963" s="32">
        <f>'EQUITY BACKTEST'!A966</f>
        <v>42909.66667</v>
      </c>
      <c r="B963" s="22">
        <f>'EQUITY BACKTEST'!B966</f>
        <v>2438.3</v>
      </c>
      <c r="C963" s="22">
        <f>1/'EQUITY BACKTEST'!E966</f>
        <v>0.8862891075</v>
      </c>
      <c r="D963" s="22">
        <f t="shared" si="1"/>
        <v>-0.5897150325</v>
      </c>
      <c r="E963" s="22">
        <f t="shared" ref="E963:F963" si="963">IF(A963&lt;&gt;"", (B963 - B962) / B962, "")</f>
        <v>0.002116597826</v>
      </c>
      <c r="F963" s="22">
        <f t="shared" si="963"/>
        <v>-0.008951519986</v>
      </c>
      <c r="H963" s="22" t="str">
        <f t="shared" si="4"/>
        <v/>
      </c>
    </row>
    <row r="964" ht="15.75" customHeight="1">
      <c r="A964" s="32">
        <f>'EQUITY BACKTEST'!A967</f>
        <v>42916.66667</v>
      </c>
      <c r="B964" s="22">
        <f>'EQUITY BACKTEST'!B967</f>
        <v>2423.41</v>
      </c>
      <c r="C964" s="22">
        <f>1/'EQUITY BACKTEST'!E967</f>
        <v>0.8934953538</v>
      </c>
      <c r="D964" s="22">
        <f t="shared" si="1"/>
        <v>-0.5569877666</v>
      </c>
      <c r="E964" s="22">
        <f t="shared" ref="E964:F964" si="964">IF(A964&lt;&gt;"", (B964 - B963) / B963, "")</f>
        <v>-0.006106713694</v>
      </c>
      <c r="F964" s="22">
        <f t="shared" si="964"/>
        <v>0.00813080772</v>
      </c>
      <c r="H964" s="22" t="str">
        <f t="shared" si="4"/>
        <v/>
      </c>
    </row>
    <row r="965" ht="15.75" customHeight="1">
      <c r="A965" s="32">
        <f>'EQUITY BACKTEST'!A968</f>
        <v>42923.66667</v>
      </c>
      <c r="B965" s="22">
        <f>'EQUITY BACKTEST'!B968</f>
        <v>2425.18</v>
      </c>
      <c r="C965" s="22">
        <f>1/'EQUITY BACKTEST'!E968</f>
        <v>0.8941344778</v>
      </c>
      <c r="D965" s="22">
        <f t="shared" si="1"/>
        <v>-0.4928512822</v>
      </c>
      <c r="E965" s="22">
        <f t="shared" ref="E965:F965" si="965">IF(A965&lt;&gt;"", (B965 - B964) / B964, "")</f>
        <v>0.0007303757928</v>
      </c>
      <c r="F965" s="22">
        <f t="shared" si="965"/>
        <v>0.0007153075823</v>
      </c>
      <c r="H965" s="22" t="str">
        <f t="shared" si="4"/>
        <v/>
      </c>
    </row>
    <row r="966" ht="15.75" customHeight="1">
      <c r="A966" s="32">
        <f>'EQUITY BACKTEST'!A969</f>
        <v>42930.66667</v>
      </c>
      <c r="B966" s="22">
        <f>'EQUITY BACKTEST'!B969</f>
        <v>2459.27</v>
      </c>
      <c r="C966" s="22">
        <f>1/'EQUITY BACKTEST'!E969</f>
        <v>0.8934953538</v>
      </c>
      <c r="D966" s="22">
        <f t="shared" si="1"/>
        <v>-0.4139039082</v>
      </c>
      <c r="E966" s="22">
        <f t="shared" ref="E966:F966" si="966">IF(A966&lt;&gt;"", (B966 - B965) / B965, "")</f>
        <v>0.01405668858</v>
      </c>
      <c r="F966" s="22">
        <f t="shared" si="966"/>
        <v>-0.0007147962831</v>
      </c>
      <c r="H966" s="22" t="str">
        <f t="shared" si="4"/>
        <v/>
      </c>
    </row>
    <row r="967" ht="15.75" customHeight="1">
      <c r="A967" s="32">
        <f>'EQUITY BACKTEST'!A970</f>
        <v>42937.66667</v>
      </c>
      <c r="B967" s="22">
        <f>'EQUITY BACKTEST'!B970</f>
        <v>2472.54</v>
      </c>
      <c r="C967" s="22">
        <f>1/'EQUITY BACKTEST'!E970</f>
        <v>0.8751969193</v>
      </c>
      <c r="D967" s="22">
        <f t="shared" si="1"/>
        <v>-0.3385977567</v>
      </c>
      <c r="E967" s="22">
        <f t="shared" ref="E967:F967" si="967">IF(A967&lt;&gt;"", (B967 - B966) / B966, "")</f>
        <v>0.005395910168</v>
      </c>
      <c r="F967" s="22">
        <f t="shared" si="967"/>
        <v>-0.02047960791</v>
      </c>
      <c r="H967" s="22" t="str">
        <f t="shared" si="4"/>
        <v/>
      </c>
    </row>
    <row r="968" ht="15.75" customHeight="1">
      <c r="A968" s="32">
        <f>'EQUITY BACKTEST'!A971</f>
        <v>42944.66667</v>
      </c>
      <c r="B968" s="22">
        <f>'EQUITY BACKTEST'!B971</f>
        <v>2472.1</v>
      </c>
      <c r="C968" s="22">
        <f>1/'EQUITY BACKTEST'!E971</f>
        <v>0.8774238835</v>
      </c>
      <c r="D968" s="22">
        <f t="shared" si="1"/>
        <v>-0.27461771</v>
      </c>
      <c r="E968" s="22">
        <f t="shared" ref="E968:F968" si="968">IF(A968&lt;&gt;"", (B968 - B967) / B967, "")</f>
        <v>-0.0001779546539</v>
      </c>
      <c r="F968" s="22">
        <f t="shared" si="968"/>
        <v>0.002544529262</v>
      </c>
      <c r="H968" s="22" t="str">
        <f t="shared" si="4"/>
        <v/>
      </c>
    </row>
    <row r="969" ht="15.75" customHeight="1">
      <c r="A969" s="32">
        <f>'EQUITY BACKTEST'!A972</f>
        <v>42951.66667</v>
      </c>
      <c r="B969" s="22">
        <f>'EQUITY BACKTEST'!B972</f>
        <v>2476.83</v>
      </c>
      <c r="C969" s="22">
        <f>1/'EQUITY BACKTEST'!E972</f>
        <v>0.8720676725</v>
      </c>
      <c r="D969" s="22">
        <f t="shared" si="1"/>
        <v>-0.1907814116</v>
      </c>
      <c r="E969" s="22">
        <f t="shared" ref="E969:F969" si="969">IF(A969&lt;&gt;"", (B969 - B968) / B968, "")</f>
        <v>0.00191335302</v>
      </c>
      <c r="F969" s="22">
        <f t="shared" si="969"/>
        <v>-0.006104473707</v>
      </c>
      <c r="H969" s="22" t="str">
        <f t="shared" si="4"/>
        <v/>
      </c>
    </row>
    <row r="970" ht="15.75" customHeight="1">
      <c r="A970" s="32">
        <f>'EQUITY BACKTEST'!A973</f>
        <v>42958.66667</v>
      </c>
      <c r="B970" s="22">
        <f>'EQUITY BACKTEST'!B973</f>
        <v>2441.32</v>
      </c>
      <c r="C970" s="22">
        <f>1/'EQUITY BACKTEST'!E973</f>
        <v>0.8576329331</v>
      </c>
      <c r="D970" s="22">
        <f t="shared" si="1"/>
        <v>-0.1132121467</v>
      </c>
      <c r="E970" s="22">
        <f t="shared" ref="E970:F970" si="970">IF(A970&lt;&gt;"", (B970 - B969) / B969, "")</f>
        <v>-0.01433687415</v>
      </c>
      <c r="F970" s="22">
        <f t="shared" si="970"/>
        <v>-0.01655231561</v>
      </c>
      <c r="H970" s="22" t="str">
        <f t="shared" si="4"/>
        <v/>
      </c>
    </row>
    <row r="971" ht="15.75" customHeight="1">
      <c r="A971" s="32">
        <f>'EQUITY BACKTEST'!A974</f>
        <v>42965.66667</v>
      </c>
      <c r="B971" s="22">
        <f>'EQUITY BACKTEST'!B974</f>
        <v>2425.55</v>
      </c>
      <c r="C971" s="22">
        <f>1/'EQUITY BACKTEST'!E974</f>
        <v>0.8508465924</v>
      </c>
      <c r="D971" s="22">
        <f t="shared" si="1"/>
        <v>-0.03769861171</v>
      </c>
      <c r="E971" s="22">
        <f t="shared" ref="E971:F971" si="971">IF(A971&lt;&gt;"", (B971 - B970) / B970, "")</f>
        <v>-0.006459620205</v>
      </c>
      <c r="F971" s="22">
        <f t="shared" si="971"/>
        <v>-0.007912873309</v>
      </c>
      <c r="H971" s="22" t="str">
        <f t="shared" si="4"/>
        <v/>
      </c>
    </row>
    <row r="972" ht="15.75" customHeight="1">
      <c r="A972" s="32">
        <f>'EQUITY BACKTEST'!A975</f>
        <v>42972.66667</v>
      </c>
      <c r="B972" s="22">
        <f>'EQUITY BACKTEST'!B975</f>
        <v>2443.05</v>
      </c>
      <c r="C972" s="22">
        <f>1/'EQUITY BACKTEST'!E975</f>
        <v>0.8494011722</v>
      </c>
      <c r="D972" s="22">
        <f t="shared" si="1"/>
        <v>0.04340603886</v>
      </c>
      <c r="E972" s="22">
        <f t="shared" ref="E972:F972" si="972">IF(A972&lt;&gt;"", (B972 - B971) / B971, "")</f>
        <v>0.007214858486</v>
      </c>
      <c r="F972" s="22">
        <f t="shared" si="972"/>
        <v>-0.001698802344</v>
      </c>
      <c r="H972" s="22" t="str">
        <f t="shared" si="4"/>
        <v/>
      </c>
    </row>
    <row r="973" ht="15.75" customHeight="1">
      <c r="A973" s="32">
        <f>'EQUITY BACKTEST'!A976</f>
        <v>42979.66667</v>
      </c>
      <c r="B973" s="22">
        <f>'EQUITY BACKTEST'!B976</f>
        <v>2476.55</v>
      </c>
      <c r="C973" s="22">
        <f>1/'EQUITY BACKTEST'!E976</f>
        <v>0.8461668641</v>
      </c>
      <c r="D973" s="22">
        <f t="shared" si="1"/>
        <v>0.1435941423</v>
      </c>
      <c r="E973" s="22">
        <f t="shared" ref="E973:F973" si="973">IF(A973&lt;&gt;"", (B973 - B972) / B972, "")</f>
        <v>0.01371236774</v>
      </c>
      <c r="F973" s="22">
        <f t="shared" si="973"/>
        <v>-0.003807750888</v>
      </c>
      <c r="H973" s="22" t="str">
        <f t="shared" si="4"/>
        <v/>
      </c>
    </row>
    <row r="974" ht="15.75" customHeight="1">
      <c r="A974" s="32">
        <f>'EQUITY BACKTEST'!A977</f>
        <v>42986.66667</v>
      </c>
      <c r="B974" s="22">
        <f>'EQUITY BACKTEST'!B977</f>
        <v>2461.43</v>
      </c>
      <c r="C974" s="22">
        <f>1/'EQUITY BACKTEST'!E977</f>
        <v>0.8503401361</v>
      </c>
      <c r="D974" s="22">
        <f t="shared" si="1"/>
        <v>0.2135033766</v>
      </c>
      <c r="E974" s="22">
        <f t="shared" ref="E974:F974" si="974">IF(A974&lt;&gt;"", (B974 - B973) / B973, "")</f>
        <v>-0.006105267408</v>
      </c>
      <c r="F974" s="22">
        <f t="shared" si="974"/>
        <v>0.004931972789</v>
      </c>
      <c r="H974" s="22" t="str">
        <f t="shared" si="4"/>
        <v/>
      </c>
    </row>
    <row r="975" ht="15.75" customHeight="1">
      <c r="A975" s="32">
        <f>'EQUITY BACKTEST'!A978</f>
        <v>42993.66667</v>
      </c>
      <c r="B975" s="22">
        <f>'EQUITY BACKTEST'!B978</f>
        <v>2500.23</v>
      </c>
      <c r="C975" s="22">
        <f>1/'EQUITY BACKTEST'!E978</f>
        <v>0.8386447501</v>
      </c>
      <c r="D975" s="22">
        <f t="shared" si="1"/>
        <v>0.2798524688</v>
      </c>
      <c r="E975" s="22">
        <f t="shared" ref="E975:F975" si="975">IF(A975&lt;&gt;"", (B975 - B974) / B974, "")</f>
        <v>0.01576319457</v>
      </c>
      <c r="F975" s="22">
        <f t="shared" si="975"/>
        <v>-0.0137537739</v>
      </c>
      <c r="H975" s="22" t="str">
        <f t="shared" si="4"/>
        <v/>
      </c>
    </row>
    <row r="976" ht="15.75" customHeight="1">
      <c r="A976" s="32">
        <f>'EQUITY BACKTEST'!A979</f>
        <v>43000.66667</v>
      </c>
      <c r="B976" s="22">
        <f>'EQUITY BACKTEST'!B979</f>
        <v>2502.22</v>
      </c>
      <c r="C976" s="22">
        <f>1/'EQUITY BACKTEST'!E979</f>
        <v>0.8430992328</v>
      </c>
      <c r="D976" s="22">
        <f t="shared" si="1"/>
        <v>0.3183306799</v>
      </c>
      <c r="E976" s="22">
        <f t="shared" ref="E976:F976" si="976">IF(A976&lt;&gt;"", (B976 - B975) / B975, "")</f>
        <v>0.0007959267747</v>
      </c>
      <c r="F976" s="22">
        <f t="shared" si="976"/>
        <v>0.005311525167</v>
      </c>
      <c r="H976" s="22" t="str">
        <f t="shared" si="4"/>
        <v/>
      </c>
    </row>
    <row r="977" ht="15.75" customHeight="1">
      <c r="A977" s="32">
        <f>'EQUITY BACKTEST'!A980</f>
        <v>43007.66667</v>
      </c>
      <c r="B977" s="22">
        <f>'EQUITY BACKTEST'!B980</f>
        <v>2519.36</v>
      </c>
      <c r="C977" s="22">
        <f>1/'EQUITY BACKTEST'!E980</f>
        <v>0.8308408109</v>
      </c>
      <c r="D977" s="22">
        <f t="shared" si="1"/>
        <v>0.3670311999</v>
      </c>
      <c r="E977" s="22">
        <f t="shared" ref="E977:F977" si="977">IF(A977&lt;&gt;"", (B977 - B976) / B976, "")</f>
        <v>0.006849917273</v>
      </c>
      <c r="F977" s="22">
        <f t="shared" si="977"/>
        <v>-0.01453971419</v>
      </c>
      <c r="H977" s="22" t="str">
        <f t="shared" si="4"/>
        <v/>
      </c>
    </row>
    <row r="978" ht="15.75" customHeight="1">
      <c r="A978" s="32">
        <f>'EQUITY BACKTEST'!A981</f>
        <v>43014.66667</v>
      </c>
      <c r="B978" s="22">
        <f>'EQUITY BACKTEST'!B981</f>
        <v>2549.33</v>
      </c>
      <c r="C978" s="22">
        <f>1/'EQUITY BACKTEST'!E981</f>
        <v>0.8372404555</v>
      </c>
      <c r="D978" s="22">
        <f t="shared" si="1"/>
        <v>0.382109514</v>
      </c>
      <c r="E978" s="22">
        <f t="shared" ref="E978:F978" si="978">IF(A978&lt;&gt;"", (B978 - B977) / B977, "")</f>
        <v>0.01189587832</v>
      </c>
      <c r="F978" s="22">
        <f t="shared" si="978"/>
        <v>0.00770261219</v>
      </c>
      <c r="H978" s="22" t="str">
        <f t="shared" si="4"/>
        <v/>
      </c>
    </row>
    <row r="979" ht="15.75" customHeight="1">
      <c r="A979" s="32">
        <f>'EQUITY BACKTEST'!A982</f>
        <v>43021.66667</v>
      </c>
      <c r="B979" s="22">
        <f>'EQUITY BACKTEST'!B982</f>
        <v>2553.17</v>
      </c>
      <c r="C979" s="22">
        <f>1/'EQUITY BACKTEST'!E982</f>
        <v>0.8368901163</v>
      </c>
      <c r="D979" s="22">
        <f t="shared" si="1"/>
        <v>0.3908697133</v>
      </c>
      <c r="E979" s="22">
        <f t="shared" ref="E979:F979" si="979">IF(A979&lt;&gt;"", (B979 - B978) / B978, "")</f>
        <v>0.00150627812</v>
      </c>
      <c r="F979" s="22">
        <f t="shared" si="979"/>
        <v>-0.0004184450582</v>
      </c>
      <c r="H979" s="22" t="str">
        <f t="shared" si="4"/>
        <v/>
      </c>
    </row>
    <row r="980" ht="15.75" customHeight="1">
      <c r="A980" s="32">
        <f>'EQUITY BACKTEST'!A983</f>
        <v>43028.66667</v>
      </c>
      <c r="B980" s="22">
        <f>'EQUITY BACKTEST'!B983</f>
        <v>2575.21</v>
      </c>
      <c r="C980" s="22">
        <f>1/'EQUITY BACKTEST'!E983</f>
        <v>0.8465393471</v>
      </c>
      <c r="D980" s="22">
        <f t="shared" si="1"/>
        <v>0.3994666634</v>
      </c>
      <c r="E980" s="22">
        <f t="shared" ref="E980:F980" si="980">IF(A980&lt;&gt;"", (B980 - B979) / B979, "")</f>
        <v>0.008632405989</v>
      </c>
      <c r="F980" s="22">
        <f t="shared" si="980"/>
        <v>0.01152986591</v>
      </c>
      <c r="H980" s="22" t="str">
        <f t="shared" si="4"/>
        <v/>
      </c>
    </row>
    <row r="981" ht="15.75" customHeight="1">
      <c r="A981" s="32">
        <f>'EQUITY BACKTEST'!A984</f>
        <v>43035.66667</v>
      </c>
      <c r="B981" s="22">
        <f>'EQUITY BACKTEST'!B984</f>
        <v>2581.07</v>
      </c>
      <c r="C981" s="22">
        <f>1/'EQUITY BACKTEST'!E984</f>
        <v>0.8523695875</v>
      </c>
      <c r="D981" s="22">
        <f t="shared" si="1"/>
        <v>0.3906344109</v>
      </c>
      <c r="E981" s="22">
        <f t="shared" ref="E981:F981" si="981">IF(A981&lt;&gt;"", (B981 - B980) / B980, "")</f>
        <v>0.002275542577</v>
      </c>
      <c r="F981" s="22">
        <f t="shared" si="981"/>
        <v>0.006887146267</v>
      </c>
      <c r="H981" s="22" t="str">
        <f t="shared" si="4"/>
        <v/>
      </c>
    </row>
    <row r="982" ht="15.75" customHeight="1">
      <c r="A982" s="32">
        <f>'EQUITY BACKTEST'!A985</f>
        <v>43042.66667</v>
      </c>
      <c r="B982" s="22">
        <f>'EQUITY BACKTEST'!B985</f>
        <v>2587.84</v>
      </c>
      <c r="C982" s="22">
        <f>1/'EQUITY BACKTEST'!E985</f>
        <v>0.8460236887</v>
      </c>
      <c r="D982" s="22">
        <f t="shared" si="1"/>
        <v>0.410729505</v>
      </c>
      <c r="E982" s="22">
        <f t="shared" ref="E982:F982" si="982">IF(A982&lt;&gt;"", (B982 - B981) / B981, "")</f>
        <v>0.002622943198</v>
      </c>
      <c r="F982" s="22">
        <f t="shared" si="982"/>
        <v>-0.00744500846</v>
      </c>
      <c r="H982" s="22" t="str">
        <f t="shared" si="4"/>
        <v/>
      </c>
    </row>
    <row r="983" ht="15.75" customHeight="1">
      <c r="A983" s="32">
        <f>'EQUITY BACKTEST'!A986</f>
        <v>43049.66667</v>
      </c>
      <c r="B983" s="22">
        <f>'EQUITY BACKTEST'!B986</f>
        <v>2582.3</v>
      </c>
      <c r="C983" s="22">
        <f>1/'EQUITY BACKTEST'!E986</f>
        <v>0.8488964346</v>
      </c>
      <c r="D983" s="22">
        <f t="shared" si="1"/>
        <v>0.4315608783</v>
      </c>
      <c r="E983" s="22">
        <f t="shared" ref="E983:F983" si="983">IF(A983&lt;&gt;"", (B983 - B982) / B982, "")</f>
        <v>-0.002140781501</v>
      </c>
      <c r="F983" s="22">
        <f t="shared" si="983"/>
        <v>0.003395585739</v>
      </c>
      <c r="H983" s="22" t="str">
        <f t="shared" si="4"/>
        <v/>
      </c>
    </row>
    <row r="984" ht="15.75" customHeight="1">
      <c r="A984" s="32">
        <f>'EQUITY BACKTEST'!A987</f>
        <v>43056.66667</v>
      </c>
      <c r="B984" s="22">
        <f>'EQUITY BACKTEST'!B987</f>
        <v>2578.85</v>
      </c>
      <c r="C984" s="22">
        <f>1/'EQUITY BACKTEST'!E987</f>
        <v>0.8614748449</v>
      </c>
      <c r="D984" s="22">
        <f t="shared" si="1"/>
        <v>0.443214063</v>
      </c>
      <c r="E984" s="22">
        <f t="shared" ref="E984:F984" si="984">IF(A984&lt;&gt;"", (B984 - B983) / B983, "")</f>
        <v>-0.001336018278</v>
      </c>
      <c r="F984" s="22">
        <f t="shared" si="984"/>
        <v>0.01481736733</v>
      </c>
      <c r="H984" s="22" t="str">
        <f t="shared" si="4"/>
        <v/>
      </c>
    </row>
    <row r="985" ht="15.75" customHeight="1">
      <c r="A985" s="32">
        <f>'EQUITY BACKTEST'!A988</f>
        <v>43063.54167</v>
      </c>
      <c r="B985" s="22">
        <f>'EQUITY BACKTEST'!B988</f>
        <v>2602.42</v>
      </c>
      <c r="C985" s="22">
        <f>1/'EQUITY BACKTEST'!E988</f>
        <v>0.8607333448</v>
      </c>
      <c r="D985" s="22">
        <f t="shared" si="1"/>
        <v>0.434401129</v>
      </c>
      <c r="E985" s="22">
        <f t="shared" ref="E985:F985" si="985">IF(A985&lt;&gt;"", (B985 - B984) / B984, "")</f>
        <v>0.009139732827</v>
      </c>
      <c r="F985" s="22">
        <f t="shared" si="985"/>
        <v>-0.0008607333448</v>
      </c>
      <c r="H985" s="22" t="str">
        <f t="shared" si="4"/>
        <v/>
      </c>
    </row>
    <row r="986" ht="15.75" customHeight="1">
      <c r="A986" s="32">
        <f>'EQUITY BACKTEST'!A989</f>
        <v>43070.66667</v>
      </c>
      <c r="B986" s="22">
        <f>'EQUITY BACKTEST'!B989</f>
        <v>2642.22</v>
      </c>
      <c r="C986" s="22">
        <f>1/'EQUITY BACKTEST'!E989</f>
        <v>0.8572653236</v>
      </c>
      <c r="D986" s="22">
        <f t="shared" si="1"/>
        <v>0.4661118118</v>
      </c>
      <c r="E986" s="22">
        <f t="shared" ref="E986:F986" si="986">IF(A986&lt;&gt;"", (B986 - B985) / B985, "")</f>
        <v>0.01529345763</v>
      </c>
      <c r="F986" s="22">
        <f t="shared" si="986"/>
        <v>-0.004029147021</v>
      </c>
      <c r="H986" s="22" t="str">
        <f t="shared" si="4"/>
        <v/>
      </c>
    </row>
    <row r="987" ht="15.75" customHeight="1">
      <c r="A987" s="32">
        <f>'EQUITY BACKTEST'!A990</f>
        <v>43077.66667</v>
      </c>
      <c r="B987" s="22">
        <f>'EQUITY BACKTEST'!B990</f>
        <v>2651.5</v>
      </c>
      <c r="C987" s="22">
        <f>1/'EQUITY BACKTEST'!E990</f>
        <v>0.8477234387</v>
      </c>
      <c r="D987" s="22">
        <f t="shared" si="1"/>
        <v>0.4353225898</v>
      </c>
      <c r="E987" s="22">
        <f t="shared" ref="E987:F987" si="987">IF(A987&lt;&gt;"", (B987 - B986) / B986, "")</f>
        <v>0.003512198076</v>
      </c>
      <c r="F987" s="22">
        <f t="shared" si="987"/>
        <v>-0.01113060875</v>
      </c>
      <c r="H987" s="22" t="str">
        <f t="shared" si="4"/>
        <v/>
      </c>
    </row>
    <row r="988" ht="15.75" customHeight="1">
      <c r="A988" s="32">
        <f>'EQUITY BACKTEST'!A991</f>
        <v>43084.66667</v>
      </c>
      <c r="B988" s="22">
        <f>'EQUITY BACKTEST'!B991</f>
        <v>2675.81</v>
      </c>
      <c r="C988" s="22">
        <f>1/'EQUITY BACKTEST'!E991</f>
        <v>0.8382229673</v>
      </c>
      <c r="D988" s="22">
        <f t="shared" si="1"/>
        <v>0.368545928</v>
      </c>
      <c r="E988" s="22">
        <f t="shared" ref="E988:F988" si="988">IF(A988&lt;&gt;"", (B988 - B987) / B987, "")</f>
        <v>0.009168395248</v>
      </c>
      <c r="F988" s="22">
        <f t="shared" si="988"/>
        <v>-0.01120704107</v>
      </c>
      <c r="H988" s="22" t="str">
        <f t="shared" si="4"/>
        <v/>
      </c>
    </row>
    <row r="989" ht="15.75" customHeight="1">
      <c r="A989" s="32">
        <f>'EQUITY BACKTEST'!A992</f>
        <v>43091.66667</v>
      </c>
      <c r="B989" s="22">
        <f>'EQUITY BACKTEST'!B992</f>
        <v>2683.34</v>
      </c>
      <c r="C989" s="22">
        <f>1/'EQUITY BACKTEST'!E992</f>
        <v>0.8409014464</v>
      </c>
      <c r="D989" s="22">
        <f t="shared" si="1"/>
        <v>0.2130054861</v>
      </c>
      <c r="E989" s="22">
        <f t="shared" ref="E989:F989" si="989">IF(A989&lt;&gt;"", (B989 - B988) / B988, "")</f>
        <v>0.002814101151</v>
      </c>
      <c r="F989" s="22">
        <f t="shared" si="989"/>
        <v>0.003195425496</v>
      </c>
      <c r="H989" s="22" t="str">
        <f t="shared" si="4"/>
        <v/>
      </c>
    </row>
    <row r="990" ht="15.75" customHeight="1">
      <c r="A990" s="32">
        <f>'EQUITY BACKTEST'!A993</f>
        <v>43098.66667</v>
      </c>
      <c r="B990" s="22">
        <f>'EQUITY BACKTEST'!B993</f>
        <v>2673.61</v>
      </c>
      <c r="C990" s="22">
        <f>1/'EQUITY BACKTEST'!E993</f>
        <v>0.8500510031</v>
      </c>
      <c r="D990" s="22">
        <f t="shared" si="1"/>
        <v>0.1307080103</v>
      </c>
      <c r="E990" s="22">
        <f t="shared" ref="E990:F990" si="990">IF(A990&lt;&gt;"", (B990 - B989) / B989, "")</f>
        <v>-0.003626077948</v>
      </c>
      <c r="F990" s="22">
        <f t="shared" si="990"/>
        <v>0.01088065284</v>
      </c>
      <c r="H990" s="22" t="str">
        <f t="shared" si="4"/>
        <v/>
      </c>
    </row>
    <row r="991" ht="15.75" customHeight="1">
      <c r="A991" s="32">
        <f>'EQUITY BACKTEST'!A994</f>
        <v>43105.66667</v>
      </c>
      <c r="B991" s="22">
        <f>'EQUITY BACKTEST'!B994</f>
        <v>2743.15</v>
      </c>
      <c r="C991" s="22">
        <f>1/'EQUITY BACKTEST'!E994</f>
        <v>0.8506367016</v>
      </c>
      <c r="D991" s="22">
        <f t="shared" si="1"/>
        <v>0.06931936554</v>
      </c>
      <c r="E991" s="22">
        <f t="shared" ref="E991:F991" si="991">IF(A991&lt;&gt;"", (B991 - B990) / B990, "")</f>
        <v>0.02600977704</v>
      </c>
      <c r="F991" s="22">
        <f t="shared" si="991"/>
        <v>0.0006890157283</v>
      </c>
      <c r="H991" s="22" t="str">
        <f t="shared" si="4"/>
        <v/>
      </c>
    </row>
    <row r="992" ht="15.75" customHeight="1">
      <c r="A992" s="32">
        <f>'EQUITY BACKTEST'!A995</f>
        <v>43112.66667</v>
      </c>
      <c r="B992" s="22">
        <f>'EQUITY BACKTEST'!B995</f>
        <v>2786.24</v>
      </c>
      <c r="C992" s="22">
        <f>1/'EQUITY BACKTEST'!E995</f>
        <v>0.8433125316</v>
      </c>
      <c r="D992" s="22">
        <f t="shared" si="1"/>
        <v>0.03591402894</v>
      </c>
      <c r="E992" s="22">
        <f t="shared" ref="E992:F992" si="992">IF(A992&lt;&gt;"", (B992 - B991) / B991, "")</f>
        <v>0.01570821865</v>
      </c>
      <c r="F992" s="22">
        <f t="shared" si="992"/>
        <v>-0.008610220948</v>
      </c>
      <c r="H992" s="22" t="str">
        <f t="shared" si="4"/>
        <v/>
      </c>
    </row>
    <row r="993" ht="15.75" customHeight="1">
      <c r="A993" s="32">
        <f>'EQUITY BACKTEST'!A996</f>
        <v>43119.66667</v>
      </c>
      <c r="B993" s="22">
        <f>'EQUITY BACKTEST'!B996</f>
        <v>2810.3</v>
      </c>
      <c r="C993" s="22">
        <f>1/'EQUITY BACKTEST'!E996</f>
        <v>0.8335417188</v>
      </c>
      <c r="D993" s="22">
        <f t="shared" si="1"/>
        <v>0.02469566232</v>
      </c>
      <c r="E993" s="22">
        <f t="shared" ref="E993:F993" si="993">IF(A993&lt;&gt;"", (B993 - B992) / B992, "")</f>
        <v>0.008635293442</v>
      </c>
      <c r="F993" s="22">
        <f t="shared" si="993"/>
        <v>-0.01158622989</v>
      </c>
      <c r="H993" s="22" t="str">
        <f t="shared" si="4"/>
        <v/>
      </c>
    </row>
    <row r="994" ht="15.75" customHeight="1">
      <c r="A994" s="32">
        <f>'EQUITY BACKTEST'!A997</f>
        <v>43126.66667</v>
      </c>
      <c r="B994" s="22">
        <f>'EQUITY BACKTEST'!B997</f>
        <v>2872.87</v>
      </c>
      <c r="C994" s="22">
        <f>1/'EQUITY BACKTEST'!E997</f>
        <v>0.8313934154</v>
      </c>
      <c r="D994" s="22">
        <f t="shared" si="1"/>
        <v>0.01784028741</v>
      </c>
      <c r="E994" s="22">
        <f t="shared" ref="E994:F994" si="994">IF(A994&lt;&gt;"", (B994 - B993) / B993, "")</f>
        <v>0.02226452692</v>
      </c>
      <c r="F994" s="22">
        <f t="shared" si="994"/>
        <v>-0.002577319588</v>
      </c>
      <c r="H994" s="22" t="str">
        <f t="shared" si="4"/>
        <v/>
      </c>
    </row>
    <row r="995" ht="15.75" customHeight="1">
      <c r="A995" s="32">
        <f>'EQUITY BACKTEST'!A998</f>
        <v>43133.66667</v>
      </c>
      <c r="B995" s="22">
        <f>'EQUITY BACKTEST'!B998</f>
        <v>2762.13</v>
      </c>
      <c r="C995" s="22">
        <f>1/'EQUITY BACKTEST'!E998</f>
        <v>0.8200082001</v>
      </c>
      <c r="D995" s="22">
        <f t="shared" si="1"/>
        <v>0.03037034638</v>
      </c>
      <c r="E995" s="22">
        <f t="shared" ref="E995:F995" si="995">IF(A995&lt;&gt;"", (B995 - B994) / B994, "")</f>
        <v>-0.03854681903</v>
      </c>
      <c r="F995" s="22">
        <f t="shared" si="995"/>
        <v>-0.01369413694</v>
      </c>
      <c r="H995" s="22" t="str">
        <f t="shared" si="4"/>
        <v/>
      </c>
    </row>
    <row r="996" ht="15.75" customHeight="1">
      <c r="A996" s="32">
        <f>'EQUITY BACKTEST'!A999</f>
        <v>43140.66667</v>
      </c>
      <c r="B996" s="22">
        <f>'EQUITY BACKTEST'!B999</f>
        <v>2619.55</v>
      </c>
      <c r="C996" s="22">
        <f>1/'EQUITY BACKTEST'!E999</f>
        <v>0.8183306056</v>
      </c>
      <c r="D996" s="22">
        <f t="shared" si="1"/>
        <v>0.03271092432</v>
      </c>
      <c r="E996" s="22">
        <f t="shared" ref="E996:F996" si="996">IF(A996&lt;&gt;"", (B996 - B995) / B995, "")</f>
        <v>-0.05161958344</v>
      </c>
      <c r="F996" s="22">
        <f t="shared" si="996"/>
        <v>-0.002045826514</v>
      </c>
      <c r="H996" s="22" t="str">
        <f t="shared" si="4"/>
        <v/>
      </c>
    </row>
    <row r="997" ht="15.75" customHeight="1">
      <c r="A997" s="32">
        <f>'EQUITY BACKTEST'!A1000</f>
        <v>43147.66667</v>
      </c>
      <c r="B997" s="22">
        <f>'EQUITY BACKTEST'!B1000</f>
        <v>2732.22</v>
      </c>
      <c r="C997" s="22">
        <f>1/'EQUITY BACKTEST'!E1000</f>
        <v>0.8051659447</v>
      </c>
      <c r="D997" s="22">
        <f t="shared" si="1"/>
        <v>0.01754347756</v>
      </c>
      <c r="E997" s="22">
        <f t="shared" ref="E997:F997" si="997">IF(A997&lt;&gt;"", (B997 - B996) / B996, "")</f>
        <v>0.04301120421</v>
      </c>
      <c r="F997" s="22">
        <f t="shared" si="997"/>
        <v>-0.01608721558</v>
      </c>
      <c r="H997" s="22" t="str">
        <f t="shared" si="4"/>
        <v/>
      </c>
    </row>
    <row r="998" ht="15.75" customHeight="1">
      <c r="A998" s="32">
        <f>'EQUITY BACKTEST'!A1001</f>
        <v>43154.66667</v>
      </c>
      <c r="B998" s="22">
        <f>'EQUITY BACKTEST'!B1001</f>
        <v>2747.3</v>
      </c>
      <c r="C998" s="22">
        <f>1/'EQUITY BACKTEST'!E1001</f>
        <v>0.8025038119</v>
      </c>
      <c r="D998" s="22">
        <f t="shared" si="1"/>
        <v>0.02724606116</v>
      </c>
      <c r="E998" s="22">
        <f t="shared" ref="E998:F998" si="998">IF(A998&lt;&gt;"", (B998 - B997) / B997, "")</f>
        <v>0.005519321285</v>
      </c>
      <c r="F998" s="22">
        <f t="shared" si="998"/>
        <v>-0.003306315705</v>
      </c>
      <c r="H998" s="22" t="str">
        <f t="shared" si="4"/>
        <v/>
      </c>
    </row>
    <row r="999" ht="15.75" customHeight="1">
      <c r="A999" s="32">
        <f>'EQUITY BACKTEST'!A1002</f>
        <v>43161.66667</v>
      </c>
      <c r="B999" s="22">
        <f>'EQUITY BACKTEST'!B1002</f>
        <v>2691.25</v>
      </c>
      <c r="C999" s="22">
        <f>1/'EQUITY BACKTEST'!E1002</f>
        <v>0.8167265599</v>
      </c>
      <c r="D999" s="22">
        <f t="shared" si="1"/>
        <v>0.04807801354</v>
      </c>
      <c r="E999" s="22">
        <f t="shared" ref="E999:F999" si="999">IF(A999&lt;&gt;"", (B999 - B998) / B998, "")</f>
        <v>-0.02040184909</v>
      </c>
      <c r="F999" s="22">
        <f t="shared" si="999"/>
        <v>0.01772296635</v>
      </c>
      <c r="H999" s="22" t="str">
        <f t="shared" si="4"/>
        <v/>
      </c>
    </row>
    <row r="1000" ht="15.75" customHeight="1">
      <c r="A1000" s="32">
        <f>'EQUITY BACKTEST'!A1003</f>
        <v>43168.66667</v>
      </c>
      <c r="B1000" s="22">
        <f>'EQUITY BACKTEST'!B1003</f>
        <v>2786.57</v>
      </c>
      <c r="C1000" s="22">
        <f>1/'EQUITY BACKTEST'!E1003</f>
        <v>0.8060615831</v>
      </c>
      <c r="D1000" s="22">
        <f t="shared" si="1"/>
        <v>0.03924317368</v>
      </c>
      <c r="E1000" s="22">
        <f t="shared" ref="E1000:F1000" si="1000">IF(A1000&lt;&gt;"", (B1000 - B999) / B999, "")</f>
        <v>0.03541848583</v>
      </c>
      <c r="F1000" s="22">
        <f t="shared" si="1000"/>
        <v>-0.01305819765</v>
      </c>
      <c r="H1000" s="22" t="str">
        <f t="shared" si="4"/>
        <v/>
      </c>
    </row>
    <row r="1001" ht="15.75" customHeight="1">
      <c r="A1001" s="32">
        <f>'EQUITY BACKTEST'!A1004</f>
        <v>43175.66667</v>
      </c>
      <c r="B1001" s="22">
        <f>'EQUITY BACKTEST'!B1004</f>
        <v>2752.01</v>
      </c>
      <c r="C1001" s="22">
        <f>1/'EQUITY BACKTEST'!E1004</f>
        <v>0.8134710811</v>
      </c>
      <c r="D1001" s="22">
        <f t="shared" si="1"/>
        <v>0.07598261184</v>
      </c>
      <c r="E1001" s="22">
        <f t="shared" ref="E1001:F1001" si="1001">IF(A1001&lt;&gt;"", (B1001 - B1000) / B1000, "")</f>
        <v>-0.0124023441</v>
      </c>
      <c r="F1001" s="22">
        <f t="shared" si="1001"/>
        <v>0.009192223216</v>
      </c>
      <c r="H1001" s="22" t="str">
        <f t="shared" si="4"/>
        <v/>
      </c>
    </row>
    <row r="1002" ht="15.75" customHeight="1">
      <c r="A1002" s="32">
        <f>'EQUITY BACKTEST'!A1005</f>
        <v>43182.66667</v>
      </c>
      <c r="B1002" s="22">
        <f>'EQUITY BACKTEST'!B1005</f>
        <v>2588.26</v>
      </c>
      <c r="C1002" s="22">
        <f>1/'EQUITY BACKTEST'!E1005</f>
        <v>0.8118860112</v>
      </c>
      <c r="D1002" s="22">
        <f t="shared" si="1"/>
        <v>0.093790529</v>
      </c>
      <c r="E1002" s="22">
        <f t="shared" ref="E1002:F1002" si="1002">IF(A1002&lt;&gt;"", (B1002 - B1001) / B1001, "")</f>
        <v>-0.05950196402</v>
      </c>
      <c r="F1002" s="22">
        <f t="shared" si="1002"/>
        <v>-0.001948526427</v>
      </c>
      <c r="H1002" s="22" t="str">
        <f t="shared" si="4"/>
        <v/>
      </c>
    </row>
    <row r="1003" ht="15.75" customHeight="1">
      <c r="A1003" s="32">
        <f>'EQUITY BACKTEST'!A1006</f>
        <v>43188.66667</v>
      </c>
      <c r="B1003" s="22">
        <f>'EQUITY BACKTEST'!B1006</f>
        <v>2640.87</v>
      </c>
      <c r="C1003" s="22">
        <f>1/'EQUITY BACKTEST'!E1006</f>
        <v>0.8126117341</v>
      </c>
      <c r="D1003" s="22">
        <f t="shared" si="1"/>
        <v>0.06654638196</v>
      </c>
      <c r="E1003" s="22">
        <f t="shared" ref="E1003:F1003" si="1003">IF(A1003&lt;&gt;"", (B1003 - B1002) / B1002, "")</f>
        <v>0.02032639688</v>
      </c>
      <c r="F1003" s="22">
        <f t="shared" si="1003"/>
        <v>0.0008938729075</v>
      </c>
      <c r="H1003" s="22" t="str">
        <f t="shared" si="4"/>
        <v/>
      </c>
    </row>
    <row r="1004" ht="15.75" customHeight="1">
      <c r="A1004" s="32">
        <f>'EQUITY BACKTEST'!A1007</f>
        <v>43196.66667</v>
      </c>
      <c r="B1004" s="22">
        <f>'EQUITY BACKTEST'!B1007</f>
        <v>2604.47</v>
      </c>
      <c r="C1004" s="22">
        <f>1/'EQUITY BACKTEST'!E1007</f>
        <v>0.813404913</v>
      </c>
      <c r="D1004" s="22">
        <f t="shared" si="1"/>
        <v>0.05614536621</v>
      </c>
      <c r="E1004" s="22">
        <f t="shared" ref="E1004:F1004" si="1004">IF(A1004&lt;&gt;"", (B1004 - B1003) / B1003, "")</f>
        <v>-0.01378333655</v>
      </c>
      <c r="F1004" s="22">
        <f t="shared" si="1004"/>
        <v>0.0009760858956</v>
      </c>
      <c r="H1004" s="22" t="str">
        <f t="shared" si="4"/>
        <v/>
      </c>
    </row>
    <row r="1005" ht="15.75" customHeight="1">
      <c r="A1005" s="32">
        <f>'EQUITY BACKTEST'!A1008</f>
        <v>43203.66667</v>
      </c>
      <c r="B1005" s="22">
        <f>'EQUITY BACKTEST'!B1008</f>
        <v>2656.3</v>
      </c>
      <c r="C1005" s="22">
        <f>1/'EQUITY BACKTEST'!E1008</f>
        <v>0.8093234056</v>
      </c>
      <c r="D1005" s="22">
        <f t="shared" si="1"/>
        <v>0.03197882478</v>
      </c>
      <c r="E1005" s="22">
        <f t="shared" ref="E1005:F1005" si="1005">IF(A1005&lt;&gt;"", (B1005 - B1004) / B1004, "")</f>
        <v>0.019900402</v>
      </c>
      <c r="F1005" s="22">
        <f t="shared" si="1005"/>
        <v>-0.005017805115</v>
      </c>
      <c r="H1005" s="22" t="str">
        <f t="shared" si="4"/>
        <v/>
      </c>
    </row>
    <row r="1006" ht="15.75" customHeight="1">
      <c r="A1006" s="32">
        <f>'EQUITY BACKTEST'!A1009</f>
        <v>43210.66667</v>
      </c>
      <c r="B1006" s="22">
        <f>'EQUITY BACKTEST'!B1009</f>
        <v>2670.14</v>
      </c>
      <c r="C1006" s="22">
        <f>1/'EQUITY BACKTEST'!E1009</f>
        <v>0.8110957904</v>
      </c>
      <c r="D1006" s="22">
        <f t="shared" si="1"/>
        <v>0.02548792023</v>
      </c>
      <c r="E1006" s="22">
        <f t="shared" ref="E1006:F1006" si="1006">IF(A1006&lt;&gt;"", (B1006 - B1005) / B1005, "")</f>
        <v>0.005210254866</v>
      </c>
      <c r="F1006" s="22">
        <f t="shared" si="1006"/>
        <v>0.002189958634</v>
      </c>
      <c r="H1006" s="22" t="str">
        <f t="shared" si="4"/>
        <v/>
      </c>
    </row>
    <row r="1007" ht="15.75" customHeight="1">
      <c r="A1007" s="32">
        <f>'EQUITY BACKTEST'!A1010</f>
        <v>43217.66667</v>
      </c>
      <c r="B1007" s="22">
        <f>'EQUITY BACKTEST'!B1010</f>
        <v>2669.91</v>
      </c>
      <c r="C1007" s="22">
        <f>1/'EQUITY BACKTEST'!E1010</f>
        <v>0.8132064731</v>
      </c>
      <c r="D1007" s="22">
        <f t="shared" si="1"/>
        <v>0.0276334003</v>
      </c>
      <c r="E1007" s="22">
        <f t="shared" ref="E1007:F1007" si="1007">IF(A1007&lt;&gt;"", (B1007 - B1006) / B1006, "")</f>
        <v>-0.00008613780551</v>
      </c>
      <c r="F1007" s="22">
        <f t="shared" si="1007"/>
        <v>0.002602260714</v>
      </c>
      <c r="H1007" s="22" t="str">
        <f t="shared" si="4"/>
        <v/>
      </c>
    </row>
    <row r="1008" ht="15.75" customHeight="1">
      <c r="A1008" s="32">
        <f>'EQUITY BACKTEST'!A1011</f>
        <v>43224.66667</v>
      </c>
      <c r="B1008" s="22">
        <f>'EQUITY BACKTEST'!B1011</f>
        <v>2663.42</v>
      </c>
      <c r="C1008" s="22">
        <f>1/'EQUITY BACKTEST'!E1011</f>
        <v>0.8100445525</v>
      </c>
      <c r="D1008" s="22">
        <f t="shared" si="1"/>
        <v>0.01475458102</v>
      </c>
      <c r="E1008" s="22">
        <f t="shared" ref="E1008:F1008" si="1008">IF(A1008&lt;&gt;"", (B1008 - B1007) / B1007, "")</f>
        <v>-0.002430793547</v>
      </c>
      <c r="F1008" s="22">
        <f t="shared" si="1008"/>
        <v>-0.003888213852</v>
      </c>
      <c r="H1008" s="22" t="str">
        <f t="shared" si="4"/>
        <v/>
      </c>
    </row>
    <row r="1009" ht="15.75" customHeight="1">
      <c r="A1009" s="32">
        <f>'EQUITY BACKTEST'!A1012</f>
        <v>43231.66667</v>
      </c>
      <c r="B1009" s="22">
        <f>'EQUITY BACKTEST'!B1012</f>
        <v>2727.72</v>
      </c>
      <c r="C1009" s="22">
        <f>1/'EQUITY BACKTEST'!E1012</f>
        <v>0.8126777733</v>
      </c>
      <c r="D1009" s="22">
        <f t="shared" si="1"/>
        <v>-0.01702625848</v>
      </c>
      <c r="E1009" s="22">
        <f t="shared" ref="E1009:F1009" si="1009">IF(A1009&lt;&gt;"", (B1009 - B1008) / B1008, "")</f>
        <v>0.02414189275</v>
      </c>
      <c r="F1009" s="22">
        <f t="shared" si="1009"/>
        <v>0.003250711093</v>
      </c>
      <c r="H1009" s="22" t="str">
        <f t="shared" si="4"/>
        <v/>
      </c>
    </row>
    <row r="1010" ht="15.75" customHeight="1">
      <c r="A1010" s="32">
        <f>'EQUITY BACKTEST'!A1013</f>
        <v>43238.66667</v>
      </c>
      <c r="B1010" s="22">
        <f>'EQUITY BACKTEST'!B1013</f>
        <v>2712.97</v>
      </c>
      <c r="C1010" s="22">
        <f>1/'EQUITY BACKTEST'!E1013</f>
        <v>0.8233841087</v>
      </c>
      <c r="D1010" s="22">
        <f t="shared" si="1"/>
        <v>-0.01639933905</v>
      </c>
      <c r="E1010" s="22">
        <f t="shared" ref="E1010:F1010" si="1010">IF(A1010&lt;&gt;"", (B1010 - B1009) / B1009, "")</f>
        <v>-0.005407446512</v>
      </c>
      <c r="F1010" s="22">
        <f t="shared" si="1010"/>
        <v>0.01317414574</v>
      </c>
      <c r="H1010" s="22" t="str">
        <f t="shared" si="4"/>
        <v/>
      </c>
    </row>
    <row r="1011" ht="15.75" customHeight="1">
      <c r="A1011" s="32">
        <f>'EQUITY BACKTEST'!A1014</f>
        <v>43245.66667</v>
      </c>
      <c r="B1011" s="22">
        <f>'EQUITY BACKTEST'!B1014</f>
        <v>2721.33</v>
      </c>
      <c r="C1011" s="22">
        <f>1/'EQUITY BACKTEST'!E1014</f>
        <v>0.8354218881</v>
      </c>
      <c r="D1011" s="22">
        <f t="shared" si="1"/>
        <v>-0.03613608857</v>
      </c>
      <c r="E1011" s="22">
        <f t="shared" ref="E1011:F1011" si="1011">IF(A1011&lt;&gt;"", (B1011 - B1010) / B1010, "")</f>
        <v>0.003081493714</v>
      </c>
      <c r="F1011" s="22">
        <f t="shared" si="1011"/>
        <v>0.01461988304</v>
      </c>
      <c r="H1011" s="22" t="str">
        <f t="shared" si="4"/>
        <v/>
      </c>
    </row>
    <row r="1012" ht="15.75" customHeight="1">
      <c r="A1012" s="32">
        <f>'EQUITY BACKTEST'!A1015</f>
        <v>43252.66667</v>
      </c>
      <c r="B1012" s="22">
        <f>'EQUITY BACKTEST'!B1015</f>
        <v>2734.62</v>
      </c>
      <c r="C1012" s="22">
        <f>1/'EQUITY BACKTEST'!E1015</f>
        <v>0.8361903169</v>
      </c>
      <c r="D1012" s="22">
        <f t="shared" si="1"/>
        <v>-0.06540500833</v>
      </c>
      <c r="E1012" s="22">
        <f t="shared" ref="E1012:F1012" si="1012">IF(A1012&lt;&gt;"", (B1012 - B1011) / B1011, "")</f>
        <v>0.004883641455</v>
      </c>
      <c r="F1012" s="22">
        <f t="shared" si="1012"/>
        <v>0.0009198093486</v>
      </c>
      <c r="H1012" s="22" t="str">
        <f t="shared" si="4"/>
        <v/>
      </c>
    </row>
    <row r="1013" ht="15.75" customHeight="1">
      <c r="A1013" s="32">
        <f>'EQUITY BACKTEST'!A1016</f>
        <v>43259.66667</v>
      </c>
      <c r="B1013" s="22">
        <f>'EQUITY BACKTEST'!B1016</f>
        <v>2779.03</v>
      </c>
      <c r="C1013" s="22">
        <f>1/'EQUITY BACKTEST'!E1016</f>
        <v>0.8482483671</v>
      </c>
      <c r="D1013" s="22">
        <f t="shared" si="1"/>
        <v>-0.05789998647</v>
      </c>
      <c r="E1013" s="22">
        <f t="shared" ref="E1013:F1013" si="1013">IF(A1013&lt;&gt;"", (B1013 - B1012) / B1012, "")</f>
        <v>0.01623991633</v>
      </c>
      <c r="F1013" s="22">
        <f t="shared" si="1013"/>
        <v>0.01442022224</v>
      </c>
      <c r="H1013" s="22" t="str">
        <f t="shared" si="4"/>
        <v/>
      </c>
    </row>
    <row r="1014" ht="15.75" customHeight="1">
      <c r="A1014" s="32">
        <f>'EQUITY BACKTEST'!A1017</f>
        <v>43266.66667</v>
      </c>
      <c r="B1014" s="22">
        <f>'EQUITY BACKTEST'!B1017</f>
        <v>2779.66</v>
      </c>
      <c r="C1014" s="22">
        <f>1/'EQUITY BACKTEST'!E1017</f>
        <v>0.858000858</v>
      </c>
      <c r="D1014" s="22">
        <f t="shared" si="1"/>
        <v>-0.03201745453</v>
      </c>
      <c r="E1014" s="22">
        <f t="shared" ref="E1014:F1014" si="1014">IF(A1014&lt;&gt;"", (B1014 - B1013) / B1013, "")</f>
        <v>0.0002266978046</v>
      </c>
      <c r="F1014" s="22">
        <f t="shared" si="1014"/>
        <v>0.0114972115</v>
      </c>
      <c r="H1014" s="22" t="str">
        <f t="shared" si="4"/>
        <v/>
      </c>
    </row>
    <row r="1015" ht="15.75" customHeight="1">
      <c r="A1015" s="32">
        <f>'EQUITY BACKTEST'!A1018</f>
        <v>43273.66667</v>
      </c>
      <c r="B1015" s="22">
        <f>'EQUITY BACKTEST'!B1018</f>
        <v>2754.88</v>
      </c>
      <c r="C1015" s="22">
        <f>1/'EQUITY BACKTEST'!E1018</f>
        <v>0.8557907078</v>
      </c>
      <c r="D1015" s="22">
        <f t="shared" si="1"/>
        <v>0.007500614395</v>
      </c>
      <c r="E1015" s="22">
        <f t="shared" ref="E1015:F1015" si="1015">IF(A1015&lt;&gt;"", (B1015 - B1014) / B1014, "")</f>
        <v>-0.008914759359</v>
      </c>
      <c r="F1015" s="22">
        <f t="shared" si="1015"/>
        <v>-0.002575930031</v>
      </c>
      <c r="H1015" s="22" t="str">
        <f t="shared" si="4"/>
        <v/>
      </c>
    </row>
    <row r="1016" ht="15.75" customHeight="1">
      <c r="A1016" s="32">
        <f>'EQUITY BACKTEST'!A1019</f>
        <v>43280.66667</v>
      </c>
      <c r="B1016" s="22">
        <f>'EQUITY BACKTEST'!B1019</f>
        <v>2718.37</v>
      </c>
      <c r="C1016" s="22">
        <f>1/'EQUITY BACKTEST'!E1019</f>
        <v>0.8493290301</v>
      </c>
      <c r="D1016" s="22">
        <f t="shared" si="1"/>
        <v>0.01491161822</v>
      </c>
      <c r="E1016" s="22">
        <f t="shared" ref="E1016:F1016" si="1016">IF(A1016&lt;&gt;"", (B1016 - B1015) / B1015, "")</f>
        <v>-0.01325284586</v>
      </c>
      <c r="F1016" s="22">
        <f t="shared" si="1016"/>
        <v>-0.007550535077</v>
      </c>
      <c r="H1016" s="22" t="str">
        <f t="shared" si="4"/>
        <v/>
      </c>
    </row>
    <row r="1017" ht="15.75" customHeight="1">
      <c r="A1017" s="32">
        <f>'EQUITY BACKTEST'!A1020</f>
        <v>43287.66667</v>
      </c>
      <c r="B1017" s="22">
        <f>'EQUITY BACKTEST'!B1020</f>
        <v>2759.82</v>
      </c>
      <c r="C1017" s="22">
        <f>1/'EQUITY BACKTEST'!E1020</f>
        <v>0.860659265</v>
      </c>
      <c r="D1017" s="22">
        <f t="shared" si="1"/>
        <v>0.02954954637</v>
      </c>
      <c r="E1017" s="22">
        <f t="shared" ref="E1017:F1017" si="1017">IF(A1017&lt;&gt;"", (B1017 - B1016) / B1016, "")</f>
        <v>0.01524810824</v>
      </c>
      <c r="F1017" s="22">
        <f t="shared" si="1017"/>
        <v>0.01334021861</v>
      </c>
      <c r="H1017" s="22" t="str">
        <f t="shared" si="4"/>
        <v/>
      </c>
    </row>
    <row r="1018" ht="15.75" customHeight="1">
      <c r="A1018" s="32">
        <f>'EQUITY BACKTEST'!A1021</f>
        <v>43294.66667</v>
      </c>
      <c r="B1018" s="22">
        <f>'EQUITY BACKTEST'!B1021</f>
        <v>2801.31</v>
      </c>
      <c r="C1018" s="22">
        <f>1/'EQUITY BACKTEST'!E1021</f>
        <v>0.8572653236</v>
      </c>
      <c r="D1018" s="22">
        <f t="shared" si="1"/>
        <v>0.02859691331</v>
      </c>
      <c r="E1018" s="22">
        <f t="shared" ref="E1018:F1018" si="1018">IF(A1018&lt;&gt;"", (B1018 - B1017) / B1017, "")</f>
        <v>0.01503358915</v>
      </c>
      <c r="F1018" s="22">
        <f t="shared" si="1018"/>
        <v>-0.003943420489</v>
      </c>
      <c r="H1018" s="22" t="str">
        <f t="shared" si="4"/>
        <v/>
      </c>
    </row>
    <row r="1019" ht="15.75" customHeight="1">
      <c r="A1019" s="32">
        <f>'EQUITY BACKTEST'!A1022</f>
        <v>43301.66667</v>
      </c>
      <c r="B1019" s="22">
        <f>'EQUITY BACKTEST'!B1022</f>
        <v>2801.83</v>
      </c>
      <c r="C1019" s="22">
        <f>1/'EQUITY BACKTEST'!E1022</f>
        <v>0.854554777</v>
      </c>
      <c r="D1019" s="22">
        <f t="shared" si="1"/>
        <v>0.0340791195</v>
      </c>
      <c r="E1019" s="22">
        <f t="shared" ref="E1019:F1019" si="1019">IF(A1019&lt;&gt;"", (B1019 - B1018) / B1018, "")</f>
        <v>0.0001856274386</v>
      </c>
      <c r="F1019" s="22">
        <f t="shared" si="1019"/>
        <v>-0.003161852675</v>
      </c>
      <c r="H1019" s="22" t="str">
        <f t="shared" si="4"/>
        <v/>
      </c>
    </row>
    <row r="1020" ht="15.75" customHeight="1">
      <c r="A1020" s="32">
        <f>'EQUITY BACKTEST'!A1023</f>
        <v>43308.66667</v>
      </c>
      <c r="B1020" s="22">
        <f>'EQUITY BACKTEST'!B1023</f>
        <v>2818.82</v>
      </c>
      <c r="C1020" s="22">
        <f>1/'EQUITY BACKTEST'!E1023</f>
        <v>0.8508465924</v>
      </c>
      <c r="D1020" s="22">
        <f t="shared" si="1"/>
        <v>0.07021339687</v>
      </c>
      <c r="E1020" s="22">
        <f t="shared" ref="E1020:F1020" si="1020">IF(A1020&lt;&gt;"", (B1020 - B1019) / B1019, "")</f>
        <v>0.006063893955</v>
      </c>
      <c r="F1020" s="22">
        <f t="shared" si="1020"/>
        <v>-0.004339317621</v>
      </c>
      <c r="H1020" s="22" t="str">
        <f t="shared" si="4"/>
        <v/>
      </c>
    </row>
    <row r="1021" ht="15.75" customHeight="1">
      <c r="A1021" s="32">
        <f>'EQUITY BACKTEST'!A1024</f>
        <v>43315.66667</v>
      </c>
      <c r="B1021" s="22">
        <f>'EQUITY BACKTEST'!B1024</f>
        <v>2840.35</v>
      </c>
      <c r="C1021" s="22">
        <f>1/'EQUITY BACKTEST'!E1024</f>
        <v>0.8548469824</v>
      </c>
      <c r="D1021" s="22">
        <f t="shared" si="1"/>
        <v>0.09052747418</v>
      </c>
      <c r="E1021" s="22">
        <f t="shared" ref="E1021:F1021" si="1021">IF(A1021&lt;&gt;"", (B1021 - B1020) / B1020, "")</f>
        <v>0.007637947794</v>
      </c>
      <c r="F1021" s="22">
        <f t="shared" si="1021"/>
        <v>0.004701658403</v>
      </c>
      <c r="H1021" s="22" t="str">
        <f t="shared" si="4"/>
        <v/>
      </c>
    </row>
    <row r="1022" ht="15.75" customHeight="1">
      <c r="A1022" s="32">
        <f>'EQUITY BACKTEST'!A1025</f>
        <v>43322.66667</v>
      </c>
      <c r="B1022" s="22">
        <f>'EQUITY BACKTEST'!B1025</f>
        <v>2833.28</v>
      </c>
      <c r="C1022" s="22">
        <f>1/'EQUITY BACKTEST'!E1025</f>
        <v>0.8526603001</v>
      </c>
      <c r="D1022" s="22">
        <f t="shared" si="1"/>
        <v>0.1194738928</v>
      </c>
      <c r="E1022" s="22">
        <f t="shared" ref="E1022:F1022" si="1022">IF(A1022&lt;&gt;"", (B1022 - B1021) / B1021, "")</f>
        <v>-0.002489129861</v>
      </c>
      <c r="F1022" s="22">
        <f t="shared" si="1022"/>
        <v>-0.0025579809</v>
      </c>
      <c r="H1022" s="22" t="str">
        <f t="shared" si="4"/>
        <v/>
      </c>
    </row>
    <row r="1023" ht="15.75" customHeight="1">
      <c r="A1023" s="32">
        <f>'EQUITY BACKTEST'!A1026</f>
        <v>43329.66667</v>
      </c>
      <c r="B1023" s="22">
        <f>'EQUITY BACKTEST'!B1026</f>
        <v>2850.13</v>
      </c>
      <c r="C1023" s="22">
        <f>1/'EQUITY BACKTEST'!E1026</f>
        <v>0.856824608</v>
      </c>
      <c r="D1023" s="22">
        <f t="shared" si="1"/>
        <v>0.1489718873</v>
      </c>
      <c r="E1023" s="22">
        <f t="shared" ref="E1023:F1023" si="1023">IF(A1023&lt;&gt;"", (B1023 - B1022) / B1022, "")</f>
        <v>0.00594717077</v>
      </c>
      <c r="F1023" s="22">
        <f t="shared" si="1023"/>
        <v>0.004883900266</v>
      </c>
      <c r="H1023" s="22" t="str">
        <f t="shared" si="4"/>
        <v/>
      </c>
    </row>
    <row r="1024" ht="15.75" customHeight="1">
      <c r="A1024" s="32">
        <f>'EQUITY BACKTEST'!A1027</f>
        <v>43336.66667</v>
      </c>
      <c r="B1024" s="22">
        <f>'EQUITY BACKTEST'!B1027</f>
        <v>2874.69</v>
      </c>
      <c r="C1024" s="22">
        <f>1/'EQUITY BACKTEST'!E1027</f>
        <v>0.863632438</v>
      </c>
      <c r="D1024" s="22">
        <f t="shared" si="1"/>
        <v>0.1718304278</v>
      </c>
      <c r="E1024" s="22">
        <f t="shared" ref="E1024:F1024" si="1024">IF(A1024&lt;&gt;"", (B1024 - B1023) / B1023, "")</f>
        <v>0.008617150797</v>
      </c>
      <c r="F1024" s="22">
        <f t="shared" si="1024"/>
        <v>0.00794541843</v>
      </c>
      <c r="H1024" s="22" t="str">
        <f t="shared" si="4"/>
        <v/>
      </c>
    </row>
    <row r="1025" ht="15.75" customHeight="1">
      <c r="A1025" s="32">
        <f>'EQUITY BACKTEST'!A1028</f>
        <v>43343.66667</v>
      </c>
      <c r="B1025" s="22">
        <f>'EQUITY BACKTEST'!B1028</f>
        <v>2901.52</v>
      </c>
      <c r="C1025" s="22">
        <f>1/'EQUITY BACKTEST'!E1028</f>
        <v>0.8756567426</v>
      </c>
      <c r="D1025" s="22">
        <f t="shared" si="1"/>
        <v>0.1945382256</v>
      </c>
      <c r="E1025" s="22">
        <f t="shared" ref="E1025:F1025" si="1025">IF(A1025&lt;&gt;"", (B1025 - B1024) / B1024, "")</f>
        <v>0.009333180273</v>
      </c>
      <c r="F1025" s="22">
        <f t="shared" si="1025"/>
        <v>0.01392294221</v>
      </c>
      <c r="H1025" s="22" t="str">
        <f t="shared" si="4"/>
        <v/>
      </c>
    </row>
    <row r="1026" ht="15.75" customHeight="1">
      <c r="A1026" s="32">
        <f>'EQUITY BACKTEST'!A1029</f>
        <v>43350.66667</v>
      </c>
      <c r="B1026" s="22">
        <f>'EQUITY BACKTEST'!B1029</f>
        <v>2871.68</v>
      </c>
      <c r="C1026" s="22">
        <f>1/'EQUITY BACKTEST'!E1029</f>
        <v>0.8736676568</v>
      </c>
      <c r="D1026" s="22">
        <f t="shared" si="1"/>
        <v>0.2353322931</v>
      </c>
      <c r="E1026" s="22">
        <f t="shared" ref="E1026:F1026" si="1026">IF(A1026&lt;&gt;"", (B1026 - B1025) / B1025, "")</f>
        <v>-0.0102842648</v>
      </c>
      <c r="F1026" s="22">
        <f t="shared" si="1026"/>
        <v>-0.002271535908</v>
      </c>
      <c r="H1026" s="22" t="str">
        <f t="shared" si="4"/>
        <v/>
      </c>
    </row>
    <row r="1027" ht="15.75" customHeight="1">
      <c r="A1027" s="32">
        <f>'EQUITY BACKTEST'!A1030</f>
        <v>43357.66667</v>
      </c>
      <c r="B1027" s="22">
        <f>'EQUITY BACKTEST'!B1030</f>
        <v>2904.98</v>
      </c>
      <c r="C1027" s="22">
        <f>1/'EQUITY BACKTEST'!E1030</f>
        <v>0.8597713008</v>
      </c>
      <c r="D1027" s="22">
        <f t="shared" si="1"/>
        <v>0.2579072322</v>
      </c>
      <c r="E1027" s="22">
        <f t="shared" ref="E1027:F1027" si="1027">IF(A1027&lt;&gt;"", (B1027 - B1026) / B1026, "")</f>
        <v>0.01159599955</v>
      </c>
      <c r="F1027" s="22">
        <f t="shared" si="1027"/>
        <v>-0.01590576907</v>
      </c>
      <c r="H1027" s="22" t="str">
        <f t="shared" si="4"/>
        <v/>
      </c>
    </row>
    <row r="1028" ht="15.75" customHeight="1">
      <c r="A1028" s="32">
        <f>'EQUITY BACKTEST'!A1031</f>
        <v>43364.66667</v>
      </c>
      <c r="B1028" s="22">
        <f>'EQUITY BACKTEST'!B1031</f>
        <v>2929.67</v>
      </c>
      <c r="C1028" s="22">
        <f>1/'EQUITY BACKTEST'!E1031</f>
        <v>0.8605851979</v>
      </c>
      <c r="D1028" s="22">
        <f t="shared" si="1"/>
        <v>0.3292127106</v>
      </c>
      <c r="E1028" s="22">
        <f t="shared" ref="E1028:F1028" si="1028">IF(A1028&lt;&gt;"", (B1028 - B1027) / B1027, "")</f>
        <v>0.008499197929</v>
      </c>
      <c r="F1028" s="22">
        <f t="shared" si="1028"/>
        <v>0.0009466437177</v>
      </c>
      <c r="H1028" s="22" t="str">
        <f t="shared" si="4"/>
        <v/>
      </c>
    </row>
    <row r="1029" ht="15.75" customHeight="1">
      <c r="A1029" s="32">
        <f>'EQUITY BACKTEST'!A1032</f>
        <v>43371.66667</v>
      </c>
      <c r="B1029" s="22">
        <f>'EQUITY BACKTEST'!B1032</f>
        <v>2913.98</v>
      </c>
      <c r="C1029" s="22">
        <f>1/'EQUITY BACKTEST'!E1032</f>
        <v>0.8643042351</v>
      </c>
      <c r="D1029" s="22">
        <f t="shared" si="1"/>
        <v>0.3905103478</v>
      </c>
      <c r="E1029" s="22">
        <f t="shared" ref="E1029:F1029" si="1029">IF(A1029&lt;&gt;"", (B1029 - B1028) / B1028, "")</f>
        <v>-0.00535555199</v>
      </c>
      <c r="F1029" s="22">
        <f t="shared" si="1029"/>
        <v>0.004321521175</v>
      </c>
      <c r="H1029" s="22" t="str">
        <f t="shared" si="4"/>
        <v/>
      </c>
    </row>
    <row r="1030" ht="15.75" customHeight="1">
      <c r="A1030" s="32">
        <f>'EQUITY BACKTEST'!A1033</f>
        <v>43378.66667</v>
      </c>
      <c r="B1030" s="22">
        <f>'EQUITY BACKTEST'!B1033</f>
        <v>2885.57</v>
      </c>
      <c r="C1030" s="22">
        <f>1/'EQUITY BACKTEST'!E1033</f>
        <v>0.8596973865</v>
      </c>
      <c r="D1030" s="22">
        <f t="shared" si="1"/>
        <v>0.4372449153</v>
      </c>
      <c r="E1030" s="22">
        <f t="shared" ref="E1030:F1030" si="1030">IF(A1030&lt;&gt;"", (B1030 - B1029) / B1029, "")</f>
        <v>-0.009749552159</v>
      </c>
      <c r="F1030" s="22">
        <f t="shared" si="1030"/>
        <v>-0.005330123796</v>
      </c>
      <c r="H1030" s="22" t="str">
        <f t="shared" si="4"/>
        <v/>
      </c>
    </row>
    <row r="1031" ht="15.75" customHeight="1">
      <c r="A1031" s="32">
        <f>'EQUITY BACKTEST'!A1034</f>
        <v>43385.66667</v>
      </c>
      <c r="B1031" s="22">
        <f>'EQUITY BACKTEST'!B1034</f>
        <v>2767.13</v>
      </c>
      <c r="C1031" s="22">
        <f>1/'EQUITY BACKTEST'!E1034</f>
        <v>0.8497620666</v>
      </c>
      <c r="D1031" s="22">
        <f t="shared" si="1"/>
        <v>0.4961159662</v>
      </c>
      <c r="E1031" s="22">
        <f t="shared" ref="E1031:F1031" si="1031">IF(A1031&lt;&gt;"", (B1031 - B1030) / B1030, "")</f>
        <v>-0.04104561664</v>
      </c>
      <c r="F1031" s="22">
        <f t="shared" si="1031"/>
        <v>-0.01155676411</v>
      </c>
      <c r="H1031" s="22" t="str">
        <f t="shared" si="4"/>
        <v/>
      </c>
    </row>
    <row r="1032" ht="15.75" customHeight="1">
      <c r="A1032" s="32">
        <f>'EQUITY BACKTEST'!A1035</f>
        <v>43392.66667</v>
      </c>
      <c r="B1032" s="22">
        <f>'EQUITY BACKTEST'!B1035</f>
        <v>2767.78</v>
      </c>
      <c r="C1032" s="22">
        <f>1/'EQUITY BACKTEST'!E1035</f>
        <v>0.8605851979</v>
      </c>
      <c r="D1032" s="22">
        <f t="shared" si="1"/>
        <v>0.5406891557</v>
      </c>
      <c r="E1032" s="22">
        <f t="shared" ref="E1032:F1032" si="1032">IF(A1032&lt;&gt;"", (B1032 - B1031) / B1031, "")</f>
        <v>0.0002349004203</v>
      </c>
      <c r="F1032" s="22">
        <f t="shared" si="1032"/>
        <v>0.01273666093</v>
      </c>
      <c r="H1032" s="22" t="str">
        <f t="shared" si="4"/>
        <v/>
      </c>
    </row>
    <row r="1033" ht="15.75" customHeight="1">
      <c r="A1033" s="32">
        <f>'EQUITY BACKTEST'!A1036</f>
        <v>43399.66667</v>
      </c>
      <c r="B1033" s="22">
        <f>'EQUITY BACKTEST'!B1036</f>
        <v>2658.69</v>
      </c>
      <c r="C1033" s="22">
        <f>1/'EQUITY BACKTEST'!E1036</f>
        <v>0.8672274738</v>
      </c>
      <c r="D1033" s="22">
        <f t="shared" si="1"/>
        <v>0.5741576365</v>
      </c>
      <c r="E1033" s="22">
        <f t="shared" ref="E1033:F1033" si="1033">IF(A1033&lt;&gt;"", (B1033 - B1032) / B1032, "")</f>
        <v>-0.0394142598</v>
      </c>
      <c r="F1033" s="22">
        <f t="shared" si="1033"/>
        <v>0.007718324517</v>
      </c>
      <c r="H1033" s="22" t="str">
        <f t="shared" si="4"/>
        <v/>
      </c>
    </row>
    <row r="1034" ht="15.75" customHeight="1">
      <c r="A1034" s="32">
        <f>'EQUITY BACKTEST'!A1037</f>
        <v>43406.66667</v>
      </c>
      <c r="B1034" s="22">
        <f>'EQUITY BACKTEST'!B1037</f>
        <v>2723.06</v>
      </c>
      <c r="C1034" s="22">
        <f>1/'EQUITY BACKTEST'!E1037</f>
        <v>0.8640801866</v>
      </c>
      <c r="D1034" s="22">
        <f t="shared" si="1"/>
        <v>0.5822774837</v>
      </c>
      <c r="E1034" s="22">
        <f t="shared" ref="E1034:F1034" si="1034">IF(A1034&lt;&gt;"", (B1034 - B1033) / B1033, "")</f>
        <v>0.02421117167</v>
      </c>
      <c r="F1034" s="22">
        <f t="shared" si="1034"/>
        <v>-0.003629136784</v>
      </c>
      <c r="H1034" s="22" t="str">
        <f t="shared" si="4"/>
        <v/>
      </c>
    </row>
    <row r="1035" ht="15.75" customHeight="1">
      <c r="A1035" s="32">
        <f>'EQUITY BACKTEST'!A1038</f>
        <v>43413.66667</v>
      </c>
      <c r="B1035" s="22">
        <f>'EQUITY BACKTEST'!B1038</f>
        <v>2781.01</v>
      </c>
      <c r="C1035" s="22">
        <f>1/'EQUITY BACKTEST'!E1038</f>
        <v>0.8674531575</v>
      </c>
      <c r="D1035" s="22">
        <f t="shared" si="1"/>
        <v>0.5826158073</v>
      </c>
      <c r="E1035" s="22">
        <f t="shared" ref="E1035:F1035" si="1035">IF(A1035&lt;&gt;"", (B1035 - B1034) / B1034, "")</f>
        <v>0.0212812057</v>
      </c>
      <c r="F1035" s="22">
        <f t="shared" si="1035"/>
        <v>0.003903539209</v>
      </c>
      <c r="H1035" s="22" t="str">
        <f t="shared" si="4"/>
        <v/>
      </c>
    </row>
    <row r="1036" ht="15.75" customHeight="1">
      <c r="A1036" s="32">
        <f>'EQUITY BACKTEST'!A1039</f>
        <v>43420.66667</v>
      </c>
      <c r="B1036" s="22">
        <f>'EQUITY BACKTEST'!B1039</f>
        <v>2736.27</v>
      </c>
      <c r="C1036" s="22">
        <f>1/'EQUITY BACKTEST'!E1039</f>
        <v>0.8754267706</v>
      </c>
      <c r="D1036" s="22">
        <f t="shared" si="1"/>
        <v>0.6086471064</v>
      </c>
      <c r="E1036" s="22">
        <f t="shared" ref="E1036:F1036" si="1036">IF(A1036&lt;&gt;"", (B1036 - B1035) / B1035, "")</f>
        <v>-0.01608768038</v>
      </c>
      <c r="F1036" s="22">
        <f t="shared" si="1036"/>
        <v>0.009191981091</v>
      </c>
      <c r="H1036" s="22" t="str">
        <f t="shared" si="4"/>
        <v/>
      </c>
    </row>
    <row r="1037" ht="15.75" customHeight="1">
      <c r="A1037" s="32">
        <f>'EQUITY BACKTEST'!A1040</f>
        <v>43427.54167</v>
      </c>
      <c r="B1037" s="22">
        <f>'EQUITY BACKTEST'!B1040</f>
        <v>2632.56</v>
      </c>
      <c r="C1037" s="22">
        <f>1/'EQUITY BACKTEST'!E1040</f>
        <v>0.8782715616</v>
      </c>
      <c r="D1037" s="22">
        <f t="shared" si="1"/>
        <v>0.6067865172</v>
      </c>
      <c r="E1037" s="22">
        <f t="shared" ref="E1037:F1037" si="1037">IF(A1037&lt;&gt;"", (B1037 - B1036) / B1036, "")</f>
        <v>-0.03790196143</v>
      </c>
      <c r="F1037" s="22">
        <f t="shared" si="1037"/>
        <v>0.003249604778</v>
      </c>
      <c r="H1037" s="22" t="str">
        <f t="shared" si="4"/>
        <v/>
      </c>
    </row>
    <row r="1038" ht="15.75" customHeight="1">
      <c r="A1038" s="32">
        <f>'EQUITY BACKTEST'!A1041</f>
        <v>43434.66667</v>
      </c>
      <c r="B1038" s="22">
        <f>'EQUITY BACKTEST'!B1041</f>
        <v>2760.17</v>
      </c>
      <c r="C1038" s="22">
        <f>1/'EQUITY BACKTEST'!E1041</f>
        <v>0.8821453776</v>
      </c>
      <c r="D1038" s="22">
        <f t="shared" si="1"/>
        <v>0.619964514</v>
      </c>
      <c r="E1038" s="22">
        <f t="shared" ref="E1038:F1038" si="1038">IF(A1038&lt;&gt;"", (B1038 - B1037) / B1037, "")</f>
        <v>0.04847372899</v>
      </c>
      <c r="F1038" s="22">
        <f t="shared" si="1038"/>
        <v>0.004410726888</v>
      </c>
      <c r="H1038" s="22" t="str">
        <f t="shared" si="4"/>
        <v/>
      </c>
    </row>
    <row r="1039" ht="15.75" customHeight="1">
      <c r="A1039" s="32">
        <f>'EQUITY BACKTEST'!A1042</f>
        <v>43441.66667</v>
      </c>
      <c r="B1039" s="22">
        <f>'EQUITY BACKTEST'!B1042</f>
        <v>2633.08</v>
      </c>
      <c r="C1039" s="22">
        <f>1/'EQUITY BACKTEST'!E1042</f>
        <v>0.8757334267</v>
      </c>
      <c r="D1039" s="22">
        <f t="shared" si="1"/>
        <v>0.6342754505</v>
      </c>
      <c r="E1039" s="22">
        <f t="shared" ref="E1039:F1039" si="1039">IF(A1039&lt;&gt;"", (B1039 - B1038) / B1038, "")</f>
        <v>-0.04604426539</v>
      </c>
      <c r="F1039" s="22">
        <f t="shared" si="1039"/>
        <v>-0.007268587442</v>
      </c>
      <c r="H1039" s="22" t="str">
        <f t="shared" si="4"/>
        <v/>
      </c>
    </row>
    <row r="1040" ht="15.75" customHeight="1">
      <c r="A1040" s="32">
        <f>'EQUITY BACKTEST'!A1043</f>
        <v>43448.66667</v>
      </c>
      <c r="B1040" s="22">
        <f>'EQUITY BACKTEST'!B1043</f>
        <v>2599.95</v>
      </c>
      <c r="C1040" s="22">
        <f>1/'EQUITY BACKTEST'!E1043</f>
        <v>0.8816009874</v>
      </c>
      <c r="D1040" s="22">
        <f t="shared" si="1"/>
        <v>0.6407444321</v>
      </c>
      <c r="E1040" s="22">
        <f t="shared" ref="E1040:F1040" si="1040">IF(A1040&lt;&gt;"", (B1040 - B1039) / B1039, "")</f>
        <v>-0.0125822231</v>
      </c>
      <c r="F1040" s="22">
        <f t="shared" si="1040"/>
        <v>0.006700167504</v>
      </c>
      <c r="H1040" s="22" t="str">
        <f t="shared" si="4"/>
        <v/>
      </c>
    </row>
    <row r="1041" ht="15.75" customHeight="1">
      <c r="A1041" s="32">
        <f>'EQUITY BACKTEST'!A1044</f>
        <v>43455.66667</v>
      </c>
      <c r="B1041" s="22">
        <f>'EQUITY BACKTEST'!B1044</f>
        <v>2416.62</v>
      </c>
      <c r="C1041" s="22">
        <f>1/'EQUITY BACKTEST'!E1044</f>
        <v>0.8833922261</v>
      </c>
      <c r="D1041" s="22">
        <f t="shared" si="1"/>
        <v>0.6561082724</v>
      </c>
      <c r="E1041" s="22">
        <f t="shared" ref="E1041:F1041" si="1041">IF(A1041&lt;&gt;"", (B1041 - B1040) / B1040, "")</f>
        <v>-0.07051289448</v>
      </c>
      <c r="F1041" s="22">
        <f t="shared" si="1041"/>
        <v>0.00203180212</v>
      </c>
      <c r="H1041" s="22" t="str">
        <f t="shared" si="4"/>
        <v/>
      </c>
    </row>
    <row r="1042" ht="15.75" customHeight="1">
      <c r="A1042" s="32">
        <f>'EQUITY BACKTEST'!A1045</f>
        <v>43462.66667</v>
      </c>
      <c r="B1042" s="22">
        <f>'EQUITY BACKTEST'!B1045</f>
        <v>2485.74</v>
      </c>
      <c r="C1042" s="22">
        <f>1/'EQUITY BACKTEST'!E1045</f>
        <v>0.8788890842</v>
      </c>
      <c r="D1042" s="22">
        <f t="shared" si="1"/>
        <v>0.6875454978</v>
      </c>
      <c r="E1042" s="22">
        <f t="shared" ref="E1042:F1042" si="1042">IF(A1042&lt;&gt;"", (B1042 - B1041) / B1041, "")</f>
        <v>0.02860193162</v>
      </c>
      <c r="F1042" s="22">
        <f t="shared" si="1042"/>
        <v>-0.005097556688</v>
      </c>
      <c r="H1042" s="22" t="str">
        <f t="shared" si="4"/>
        <v/>
      </c>
    </row>
    <row r="1043" ht="15.75" customHeight="1">
      <c r="A1043" s="32">
        <f>'EQUITY BACKTEST'!A1046</f>
        <v>43469.66667</v>
      </c>
      <c r="B1043" s="22">
        <f>'EQUITY BACKTEST'!B1046</f>
        <v>2531.94</v>
      </c>
      <c r="C1043" s="22">
        <f>1/'EQUITY BACKTEST'!E1046</f>
        <v>0.8842514811</v>
      </c>
      <c r="D1043" s="22">
        <f t="shared" si="1"/>
        <v>0.6839665044</v>
      </c>
      <c r="E1043" s="22">
        <f t="shared" ref="E1043:F1043" si="1043">IF(A1043&lt;&gt;"", (B1043 - B1042) / B1042, "")</f>
        <v>0.01858601463</v>
      </c>
      <c r="F1043" s="22">
        <f t="shared" si="1043"/>
        <v>0.00610133522</v>
      </c>
      <c r="H1043" s="22" t="str">
        <f t="shared" si="4"/>
        <v/>
      </c>
    </row>
    <row r="1044" ht="15.75" customHeight="1">
      <c r="A1044" s="32">
        <f>'EQUITY BACKTEST'!A1047</f>
        <v>43476.66667</v>
      </c>
      <c r="B1044" s="22">
        <f>'EQUITY BACKTEST'!B1047</f>
        <v>2596.26</v>
      </c>
      <c r="C1044" s="22">
        <f>1/'EQUITY BACKTEST'!E1047</f>
        <v>0.8785802144</v>
      </c>
      <c r="D1044" s="22">
        <f t="shared" si="1"/>
        <v>0.7014804974</v>
      </c>
      <c r="E1044" s="22">
        <f t="shared" ref="E1044:F1044" si="1044">IF(A1044&lt;&gt;"", (B1044 - B1043) / B1043, "")</f>
        <v>0.02540344558</v>
      </c>
      <c r="F1044" s="22">
        <f t="shared" si="1044"/>
        <v>-0.006413635565</v>
      </c>
      <c r="H1044" s="22" t="str">
        <f t="shared" si="4"/>
        <v/>
      </c>
    </row>
    <row r="1045" ht="15.75" customHeight="1">
      <c r="A1045" s="32">
        <f>'EQUITY BACKTEST'!A1048</f>
        <v>43483.66667</v>
      </c>
      <c r="B1045" s="22">
        <f>'EQUITY BACKTEST'!B1048</f>
        <v>2670.71</v>
      </c>
      <c r="C1045" s="22">
        <f>1/'EQUITY BACKTEST'!E1048</f>
        <v>0.8742022904</v>
      </c>
      <c r="D1045" s="22">
        <f t="shared" si="1"/>
        <v>0.6622529547</v>
      </c>
      <c r="E1045" s="22">
        <f t="shared" ref="E1045:F1045" si="1045">IF(A1045&lt;&gt;"", (B1045 - B1044) / B1044, "")</f>
        <v>0.02867586451</v>
      </c>
      <c r="F1045" s="22">
        <f t="shared" si="1045"/>
        <v>-0.004982953055</v>
      </c>
      <c r="H1045" s="22" t="str">
        <f t="shared" si="4"/>
        <v/>
      </c>
    </row>
    <row r="1046" ht="15.75" customHeight="1">
      <c r="A1046" s="32">
        <f>'EQUITY BACKTEST'!A1049</f>
        <v>43490.66667</v>
      </c>
      <c r="B1046" s="22">
        <f>'EQUITY BACKTEST'!B1049</f>
        <v>2664.76</v>
      </c>
      <c r="C1046" s="22">
        <f>1/'EQUITY BACKTEST'!E1049</f>
        <v>0.8776549061</v>
      </c>
      <c r="D1046" s="22">
        <f t="shared" si="1"/>
        <v>0.6278905306</v>
      </c>
      <c r="E1046" s="22">
        <f t="shared" ref="E1046:F1046" si="1046">IF(A1046&lt;&gt;"", (B1046 - B1045) / B1045, "")</f>
        <v>-0.002227871989</v>
      </c>
      <c r="F1046" s="22">
        <f t="shared" si="1046"/>
        <v>0.003949447077</v>
      </c>
      <c r="H1046" s="22" t="str">
        <f t="shared" si="4"/>
        <v/>
      </c>
    </row>
    <row r="1047" ht="15.75" customHeight="1">
      <c r="A1047" s="32">
        <f>'EQUITY BACKTEST'!A1050</f>
        <v>43497.66667</v>
      </c>
      <c r="B1047" s="22">
        <f>'EQUITY BACKTEST'!B1050</f>
        <v>2706.53</v>
      </c>
      <c r="C1047" s="22">
        <f>1/'EQUITY BACKTEST'!E1050</f>
        <v>0.8719916289</v>
      </c>
      <c r="D1047" s="22">
        <f t="shared" si="1"/>
        <v>0.6099486706</v>
      </c>
      <c r="E1047" s="22">
        <f t="shared" ref="E1047:F1047" si="1047">IF(A1047&lt;&gt;"", (B1047 - B1046) / B1046, "")</f>
        <v>0.01567495759</v>
      </c>
      <c r="F1047" s="22">
        <f t="shared" si="1047"/>
        <v>-0.006452738054</v>
      </c>
      <c r="H1047" s="22" t="str">
        <f t="shared" si="4"/>
        <v/>
      </c>
    </row>
    <row r="1048" ht="15.75" customHeight="1">
      <c r="A1048" s="32">
        <f>'EQUITY BACKTEST'!A1051</f>
        <v>43504.66667</v>
      </c>
      <c r="B1048" s="22">
        <f>'EQUITY BACKTEST'!B1051</f>
        <v>2707.88</v>
      </c>
      <c r="C1048" s="22">
        <f>1/'EQUITY BACKTEST'!E1051</f>
        <v>0.8800492828</v>
      </c>
      <c r="D1048" s="22">
        <f t="shared" si="1"/>
        <v>0.5862296293</v>
      </c>
      <c r="E1048" s="22">
        <f t="shared" ref="E1048:F1048" si="1048">IF(A1048&lt;&gt;"", (B1048 - B1047) / B1047, "")</f>
        <v>0.0004987936583</v>
      </c>
      <c r="F1048" s="22">
        <f t="shared" si="1048"/>
        <v>0.009240517469</v>
      </c>
      <c r="H1048" s="22" t="str">
        <f t="shared" si="4"/>
        <v/>
      </c>
    </row>
    <row r="1049" ht="15.75" customHeight="1">
      <c r="A1049" s="32">
        <f>'EQUITY BACKTEST'!A1052</f>
        <v>43511.66667</v>
      </c>
      <c r="B1049" s="22">
        <f>'EQUITY BACKTEST'!B1052</f>
        <v>2775.6</v>
      </c>
      <c r="C1049" s="22">
        <f>1/'EQUITY BACKTEST'!E1052</f>
        <v>0.8767315448</v>
      </c>
      <c r="D1049" s="22">
        <f t="shared" si="1"/>
        <v>0.5861320825</v>
      </c>
      <c r="E1049" s="22">
        <f t="shared" ref="E1049:F1049" si="1049">IF(A1049&lt;&gt;"", (B1049 - B1048) / B1048, "")</f>
        <v>0.02500849373</v>
      </c>
      <c r="F1049" s="22">
        <f t="shared" si="1049"/>
        <v>-0.003769945643</v>
      </c>
      <c r="H1049" s="22" t="str">
        <f t="shared" si="4"/>
        <v/>
      </c>
    </row>
    <row r="1050" ht="15.75" customHeight="1">
      <c r="A1050" s="32">
        <f>'EQUITY BACKTEST'!A1053</f>
        <v>43518.66667</v>
      </c>
      <c r="B1050" s="22">
        <f>'EQUITY BACKTEST'!B1053</f>
        <v>2792.67</v>
      </c>
      <c r="C1050" s="22">
        <f>1/'EQUITY BACKTEST'!E1053</f>
        <v>0.8729050279</v>
      </c>
      <c r="D1050" s="22">
        <f t="shared" si="1"/>
        <v>0.5691947321</v>
      </c>
      <c r="E1050" s="22">
        <f t="shared" ref="E1050:F1050" si="1050">IF(A1050&lt;&gt;"", (B1050 - B1049) / B1049, "")</f>
        <v>0.006150021617</v>
      </c>
      <c r="F1050" s="22">
        <f t="shared" si="1050"/>
        <v>-0.00436452514</v>
      </c>
      <c r="H1050" s="22" t="str">
        <f t="shared" si="4"/>
        <v/>
      </c>
    </row>
    <row r="1051" ht="15.75" customHeight="1">
      <c r="A1051" s="32">
        <f>'EQUITY BACKTEST'!A1054</f>
        <v>43525.66667</v>
      </c>
      <c r="B1051" s="22">
        <f>'EQUITY BACKTEST'!B1054</f>
        <v>2803.69</v>
      </c>
      <c r="C1051" s="22">
        <f>1/'EQUITY BACKTEST'!E1054</f>
        <v>0.8826904405</v>
      </c>
      <c r="D1051" s="22">
        <f t="shared" si="1"/>
        <v>0.5146363372</v>
      </c>
      <c r="E1051" s="22">
        <f t="shared" ref="E1051:F1051" si="1051">IF(A1051&lt;&gt;"", (B1051 - B1050) / B1050, "")</f>
        <v>0.003946044466</v>
      </c>
      <c r="F1051" s="22">
        <f t="shared" si="1051"/>
        <v>0.01121016859</v>
      </c>
      <c r="H1051" s="22" t="str">
        <f t="shared" si="4"/>
        <v/>
      </c>
    </row>
    <row r="1052" ht="15.75" customHeight="1">
      <c r="A1052" s="32">
        <f>'EQUITY BACKTEST'!A1055</f>
        <v>43532.66667</v>
      </c>
      <c r="B1052" s="22">
        <f>'EQUITY BACKTEST'!B1055</f>
        <v>2743.07</v>
      </c>
      <c r="C1052" s="22">
        <f>1/'EQUITY BACKTEST'!E1055</f>
        <v>0.8853474989</v>
      </c>
      <c r="D1052" s="22">
        <f t="shared" si="1"/>
        <v>0.4484101141</v>
      </c>
      <c r="E1052" s="22">
        <f t="shared" ref="E1052:F1052" si="1052">IF(A1052&lt;&gt;"", (B1052 - B1051) / B1051, "")</f>
        <v>-0.02162150594</v>
      </c>
      <c r="F1052" s="22">
        <f t="shared" si="1052"/>
        <v>0.003010181496</v>
      </c>
      <c r="H1052" s="22" t="str">
        <f t="shared" si="4"/>
        <v/>
      </c>
    </row>
    <row r="1053" ht="15.75" customHeight="1">
      <c r="A1053" s="32">
        <f>'EQUITY BACKTEST'!A1056</f>
        <v>43539.66667</v>
      </c>
      <c r="B1053" s="22">
        <f>'EQUITY BACKTEST'!B1056</f>
        <v>2822.48</v>
      </c>
      <c r="C1053" s="22">
        <f>1/'EQUITY BACKTEST'!E1056</f>
        <v>0.8818342152</v>
      </c>
      <c r="D1053" s="22">
        <f t="shared" si="1"/>
        <v>0.3064800324</v>
      </c>
      <c r="E1053" s="22">
        <f t="shared" ref="E1053:F1053" si="1053">IF(A1053&lt;&gt;"", (B1053 - B1052) / B1052, "")</f>
        <v>0.02894931591</v>
      </c>
      <c r="F1053" s="22">
        <f t="shared" si="1053"/>
        <v>-0.003968253968</v>
      </c>
      <c r="H1053" s="22" t="str">
        <f t="shared" si="4"/>
        <v/>
      </c>
    </row>
    <row r="1054" ht="15.75" customHeight="1">
      <c r="A1054" s="32">
        <f>'EQUITY BACKTEST'!A1057</f>
        <v>43546.66667</v>
      </c>
      <c r="B1054" s="22">
        <f>'EQUITY BACKTEST'!B1057</f>
        <v>2800.71</v>
      </c>
      <c r="C1054" s="22">
        <f>1/'EQUITY BACKTEST'!E1057</f>
        <v>0.8790436006</v>
      </c>
      <c r="D1054" s="22">
        <f t="shared" si="1"/>
        <v>0.1742894297</v>
      </c>
      <c r="E1054" s="22">
        <f t="shared" ref="E1054:F1054" si="1054">IF(A1054&lt;&gt;"", (B1054 - B1053) / B1053, "")</f>
        <v>-0.007713075026</v>
      </c>
      <c r="F1054" s="22">
        <f t="shared" si="1054"/>
        <v>-0.003164556962</v>
      </c>
      <c r="H1054" s="22" t="str">
        <f t="shared" si="4"/>
        <v/>
      </c>
    </row>
    <row r="1055" ht="15.75" customHeight="1">
      <c r="A1055" s="32">
        <f>'EQUITY BACKTEST'!A1058</f>
        <v>43553.66667</v>
      </c>
      <c r="B1055" s="22">
        <f>'EQUITY BACKTEST'!B1058</f>
        <v>2834.4</v>
      </c>
      <c r="C1055" s="22">
        <f>1/'EQUITY BACKTEST'!E1058</f>
        <v>0.8898380495</v>
      </c>
      <c r="D1055" s="22">
        <f t="shared" si="1"/>
        <v>0.1835670987</v>
      </c>
      <c r="E1055" s="22">
        <f t="shared" ref="E1055:F1055" si="1055">IF(A1055&lt;&gt;"", (B1055 - B1054) / B1054, "")</f>
        <v>0.01202909262</v>
      </c>
      <c r="F1055" s="22">
        <f t="shared" si="1055"/>
        <v>0.01227976508</v>
      </c>
      <c r="H1055" s="22" t="str">
        <f t="shared" si="4"/>
        <v/>
      </c>
    </row>
    <row r="1056" ht="15.75" customHeight="1">
      <c r="A1056" s="32">
        <f>'EQUITY BACKTEST'!A1059</f>
        <v>43560.66667</v>
      </c>
      <c r="B1056" s="22">
        <f>'EQUITY BACKTEST'!B1059</f>
        <v>2892.74</v>
      </c>
      <c r="C1056" s="22">
        <f>1/'EQUITY BACKTEST'!E1059</f>
        <v>0.8816787163</v>
      </c>
      <c r="D1056" s="22">
        <f t="shared" si="1"/>
        <v>0.1635086294</v>
      </c>
      <c r="E1056" s="22">
        <f t="shared" ref="E1056:F1056" si="1056">IF(A1056&lt;&gt;"", (B1056 - B1055) / B1055, "")</f>
        <v>0.0205828394</v>
      </c>
      <c r="F1056" s="22">
        <f t="shared" si="1056"/>
        <v>-0.009169458649</v>
      </c>
      <c r="H1056" s="22" t="str">
        <f t="shared" si="4"/>
        <v/>
      </c>
    </row>
    <row r="1057" ht="15.75" customHeight="1">
      <c r="A1057" s="32">
        <f>'EQUITY BACKTEST'!A1060</f>
        <v>43567.66667</v>
      </c>
      <c r="B1057" s="22">
        <f>'EQUITY BACKTEST'!B1060</f>
        <v>2907.41</v>
      </c>
      <c r="C1057" s="22">
        <f>1/'EQUITY BACKTEST'!E1060</f>
        <v>0.8839388314</v>
      </c>
      <c r="D1057" s="22">
        <f t="shared" si="1"/>
        <v>0.08652125399</v>
      </c>
      <c r="E1057" s="22">
        <f t="shared" ref="E1057:F1057" si="1057">IF(A1057&lt;&gt;"", (B1057 - B1056) / B1056, "")</f>
        <v>0.005071316468</v>
      </c>
      <c r="F1057" s="22">
        <f t="shared" si="1057"/>
        <v>0.002563422611</v>
      </c>
      <c r="H1057" s="22" t="str">
        <f t="shared" si="4"/>
        <v/>
      </c>
    </row>
    <row r="1058" ht="15.75" customHeight="1">
      <c r="A1058" s="32">
        <f>'EQUITY BACKTEST'!A1061</f>
        <v>43573.66667</v>
      </c>
      <c r="B1058" s="22">
        <f>'EQUITY BACKTEST'!B1061</f>
        <v>2905.03</v>
      </c>
      <c r="C1058" s="22">
        <f>1/'EQUITY BACKTEST'!E1061</f>
        <v>0.8904719501</v>
      </c>
      <c r="D1058" s="22">
        <f t="shared" si="1"/>
        <v>0.08043519214</v>
      </c>
      <c r="E1058" s="22">
        <f t="shared" ref="E1058:F1058" si="1058">IF(A1058&lt;&gt;"", (B1058 - B1057) / B1057, "")</f>
        <v>-0.0008185979962</v>
      </c>
      <c r="F1058" s="22">
        <f t="shared" si="1058"/>
        <v>0.007390917186</v>
      </c>
      <c r="H1058" s="22" t="str">
        <f t="shared" si="4"/>
        <v/>
      </c>
    </row>
    <row r="1059" ht="15.75" customHeight="1">
      <c r="A1059" s="32">
        <f>'EQUITY BACKTEST'!A1062</f>
        <v>43581.66667</v>
      </c>
      <c r="B1059" s="22">
        <f>'EQUITY BACKTEST'!B1062</f>
        <v>2939.88</v>
      </c>
      <c r="C1059" s="22">
        <f>1/'EQUITY BACKTEST'!E1062</f>
        <v>0.8904719501</v>
      </c>
      <c r="D1059" s="22">
        <f t="shared" si="1"/>
        <v>0.03715469702</v>
      </c>
      <c r="E1059" s="22">
        <f t="shared" ref="E1059:F1059" si="1059">IF(A1059&lt;&gt;"", (B1059 - B1058) / B1058, "")</f>
        <v>0.01199643377</v>
      </c>
      <c r="F1059" s="22">
        <f t="shared" si="1059"/>
        <v>0</v>
      </c>
      <c r="H1059" s="22" t="str">
        <f t="shared" si="4"/>
        <v/>
      </c>
    </row>
    <row r="1060" ht="15.75" customHeight="1">
      <c r="A1060" s="32">
        <f>'EQUITY BACKTEST'!A1063</f>
        <v>43588.66667</v>
      </c>
      <c r="B1060" s="22">
        <f>'EQUITY BACKTEST'!B1063</f>
        <v>2945.64</v>
      </c>
      <c r="C1060" s="22">
        <f>1/'EQUITY BACKTEST'!E1063</f>
        <v>0.8835483301</v>
      </c>
      <c r="D1060" s="22">
        <f t="shared" si="1"/>
        <v>0.01453137023</v>
      </c>
      <c r="E1060" s="22">
        <f t="shared" ref="E1060:F1060" si="1060">IF(A1060&lt;&gt;"", (B1060 - B1059) / B1059, "")</f>
        <v>0.001959263643</v>
      </c>
      <c r="F1060" s="22">
        <f t="shared" si="1060"/>
        <v>-0.007775225305</v>
      </c>
      <c r="H1060" s="22" t="str">
        <f t="shared" si="4"/>
        <v/>
      </c>
    </row>
    <row r="1061" ht="15.75" customHeight="1">
      <c r="A1061" s="32">
        <f>'EQUITY BACKTEST'!A1064</f>
        <v>43595.66667</v>
      </c>
      <c r="B1061" s="22">
        <f>'EQUITY BACKTEST'!B1064</f>
        <v>2881.4</v>
      </c>
      <c r="C1061" s="22">
        <f>1/'EQUITY BACKTEST'!E1064</f>
        <v>0.8893632159</v>
      </c>
      <c r="D1061" s="22">
        <f t="shared" si="1"/>
        <v>0.0003096637476</v>
      </c>
      <c r="E1061" s="22">
        <f t="shared" ref="E1061:F1061" si="1061">IF(A1061&lt;&gt;"", (B1061 - B1060) / B1060, "")</f>
        <v>-0.02180850342</v>
      </c>
      <c r="F1061" s="22">
        <f t="shared" si="1061"/>
        <v>0.006581287798</v>
      </c>
      <c r="H1061" s="22" t="str">
        <f t="shared" si="4"/>
        <v/>
      </c>
    </row>
    <row r="1062" ht="15.75" customHeight="1">
      <c r="A1062" s="32">
        <f>'EQUITY BACKTEST'!A1065</f>
        <v>43602.66667</v>
      </c>
      <c r="B1062" s="22">
        <f>'EQUITY BACKTEST'!B1065</f>
        <v>2859.53</v>
      </c>
      <c r="C1062" s="22">
        <f>1/'EQUITY BACKTEST'!E1065</f>
        <v>0.897827258</v>
      </c>
      <c r="D1062" s="22">
        <f t="shared" si="1"/>
        <v>-0.03060970821</v>
      </c>
      <c r="E1062" s="22">
        <f t="shared" ref="E1062:F1062" si="1062">IF(A1062&lt;&gt;"", (B1062 - B1061) / B1061, "")</f>
        <v>-0.007590060387</v>
      </c>
      <c r="F1062" s="22">
        <f t="shared" si="1062"/>
        <v>0.009516968935</v>
      </c>
      <c r="H1062" s="22" t="str">
        <f t="shared" si="4"/>
        <v/>
      </c>
    </row>
    <row r="1063" ht="15.75" customHeight="1">
      <c r="A1063" s="32">
        <f>'EQUITY BACKTEST'!A1066</f>
        <v>43609.66667</v>
      </c>
      <c r="B1063" s="22">
        <f>'EQUITY BACKTEST'!B1066</f>
        <v>2826.06</v>
      </c>
      <c r="C1063" s="22">
        <f>1/'EQUITY BACKTEST'!E1066</f>
        <v>0.8920606601</v>
      </c>
      <c r="D1063" s="22">
        <f t="shared" si="1"/>
        <v>-0.03404396067</v>
      </c>
      <c r="E1063" s="22">
        <f t="shared" ref="E1063:F1063" si="1063">IF(A1063&lt;&gt;"", (B1063 - B1062) / B1062, "")</f>
        <v>-0.01170472071</v>
      </c>
      <c r="F1063" s="22">
        <f t="shared" si="1063"/>
        <v>-0.006422836753</v>
      </c>
      <c r="H1063" s="22" t="str">
        <f t="shared" si="4"/>
        <v/>
      </c>
    </row>
    <row r="1064" ht="15.75" customHeight="1">
      <c r="A1064" s="32">
        <f>'EQUITY BACKTEST'!A1067</f>
        <v>43616.66667</v>
      </c>
      <c r="B1064" s="22">
        <f>'EQUITY BACKTEST'!B1067</f>
        <v>2752.06</v>
      </c>
      <c r="C1064" s="22">
        <f>1/'EQUITY BACKTEST'!E1067</f>
        <v>0.8904719501</v>
      </c>
      <c r="D1064" s="22">
        <f t="shared" si="1"/>
        <v>-0.04161598691</v>
      </c>
      <c r="E1064" s="22">
        <f t="shared" ref="E1064:F1064" si="1064">IF(A1064&lt;&gt;"", (B1064 - B1063) / B1063, "")</f>
        <v>-0.02618486515</v>
      </c>
      <c r="F1064" s="22">
        <f t="shared" si="1064"/>
        <v>-0.0017809439</v>
      </c>
      <c r="H1064" s="22" t="str">
        <f t="shared" si="4"/>
        <v/>
      </c>
    </row>
    <row r="1065" ht="15.75" customHeight="1">
      <c r="A1065" s="32">
        <f>'EQUITY BACKTEST'!A1068</f>
        <v>43623.66667</v>
      </c>
      <c r="B1065" s="22">
        <f>'EQUITY BACKTEST'!B1068</f>
        <v>2873.34</v>
      </c>
      <c r="C1065" s="22">
        <f>1/'EQUITY BACKTEST'!E1068</f>
        <v>0.8956560681</v>
      </c>
      <c r="D1065" s="22">
        <f t="shared" si="1"/>
        <v>-0.02731141152</v>
      </c>
      <c r="E1065" s="22">
        <f t="shared" ref="E1065:F1065" si="1065">IF(A1065&lt;&gt;"", (B1065 - B1064) / B1064, "")</f>
        <v>0.04406880664</v>
      </c>
      <c r="F1065" s="22">
        <f t="shared" si="1065"/>
        <v>0.005821764442</v>
      </c>
      <c r="H1065" s="22" t="str">
        <f t="shared" si="4"/>
        <v/>
      </c>
    </row>
    <row r="1066" ht="15.75" customHeight="1">
      <c r="A1066" s="32">
        <f>'EQUITY BACKTEST'!A1069</f>
        <v>43630.66667</v>
      </c>
      <c r="B1066" s="22">
        <f>'EQUITY BACKTEST'!B1069</f>
        <v>2886.98</v>
      </c>
      <c r="C1066" s="22">
        <f>1/'EQUITY BACKTEST'!E1069</f>
        <v>0.8926977325</v>
      </c>
      <c r="D1066" s="22">
        <f t="shared" si="1"/>
        <v>-0.0290831378</v>
      </c>
      <c r="E1066" s="22">
        <f t="shared" ref="E1066:F1066" si="1066">IF(A1066&lt;&gt;"", (B1066 - B1065) / B1065, "")</f>
        <v>0.004747088754</v>
      </c>
      <c r="F1066" s="22">
        <f t="shared" si="1066"/>
        <v>-0.00330298161</v>
      </c>
      <c r="H1066" s="22" t="str">
        <f t="shared" si="4"/>
        <v/>
      </c>
    </row>
    <row r="1067" ht="15.75" customHeight="1">
      <c r="A1067" s="32">
        <f>'EQUITY BACKTEST'!A1070</f>
        <v>43637.66667</v>
      </c>
      <c r="B1067" s="22">
        <f>'EQUITY BACKTEST'!B1070</f>
        <v>2950.46</v>
      </c>
      <c r="C1067" s="22">
        <f>1/'EQUITY BACKTEST'!E1070</f>
        <v>0.8931761343</v>
      </c>
      <c r="D1067" s="22">
        <f t="shared" si="1"/>
        <v>-0.03947869926</v>
      </c>
      <c r="E1067" s="22">
        <f t="shared" ref="E1067:F1067" si="1067">IF(A1067&lt;&gt;"", (B1067 - B1066) / B1066, "")</f>
        <v>0.0219883754</v>
      </c>
      <c r="F1067" s="22">
        <f t="shared" si="1067"/>
        <v>0.0005359056806</v>
      </c>
      <c r="H1067" s="22" t="str">
        <f t="shared" si="4"/>
        <v/>
      </c>
    </row>
    <row r="1068" ht="15.75" customHeight="1">
      <c r="A1068" s="32">
        <f>'EQUITY BACKTEST'!A1071</f>
        <v>43644.66667</v>
      </c>
      <c r="B1068" s="22">
        <f>'EQUITY BACKTEST'!B1071</f>
        <v>2941.76</v>
      </c>
      <c r="C1068" s="22">
        <f>1/'EQUITY BACKTEST'!E1071</f>
        <v>0.8819119852</v>
      </c>
      <c r="D1068" s="22">
        <f t="shared" si="1"/>
        <v>-0.04326492699</v>
      </c>
      <c r="E1068" s="22">
        <f t="shared" ref="E1068:F1068" si="1068">IF(A1068&lt;&gt;"", (B1068 - B1067) / B1067, "")</f>
        <v>-0.002948692746</v>
      </c>
      <c r="F1068" s="22">
        <f t="shared" si="1068"/>
        <v>-0.01261134139</v>
      </c>
      <c r="H1068" s="22" t="str">
        <f t="shared" si="4"/>
        <v/>
      </c>
    </row>
    <row r="1069" ht="15.75" customHeight="1">
      <c r="A1069" s="32">
        <f>'EQUITY BACKTEST'!A1072</f>
        <v>43651.66667</v>
      </c>
      <c r="B1069" s="22">
        <f>'EQUITY BACKTEST'!B1072</f>
        <v>2990.41</v>
      </c>
      <c r="C1069" s="22">
        <f>1/'EQUITY BACKTEST'!E1072</f>
        <v>0.890154887</v>
      </c>
      <c r="D1069" s="22">
        <f t="shared" si="1"/>
        <v>-0.06741894033</v>
      </c>
      <c r="E1069" s="22">
        <f t="shared" ref="E1069:F1069" si="1069">IF(A1069&lt;&gt;"", (B1069 - B1068) / B1068, "")</f>
        <v>0.01653771892</v>
      </c>
      <c r="F1069" s="22">
        <f t="shared" si="1069"/>
        <v>0.009346626313</v>
      </c>
      <c r="H1069" s="22" t="str">
        <f t="shared" si="4"/>
        <v/>
      </c>
    </row>
    <row r="1070" ht="15.75" customHeight="1">
      <c r="A1070" s="32">
        <f>'EQUITY BACKTEST'!A1073</f>
        <v>43658.66667</v>
      </c>
      <c r="B1070" s="22">
        <f>'EQUITY BACKTEST'!B1073</f>
        <v>3013.77</v>
      </c>
      <c r="C1070" s="22">
        <f>1/'EQUITY BACKTEST'!E1073</f>
        <v>0.8777319407</v>
      </c>
      <c r="D1070" s="22">
        <f t="shared" si="1"/>
        <v>-0.08007951146</v>
      </c>
      <c r="E1070" s="22">
        <f t="shared" ref="E1070:F1070" si="1070">IF(A1070&lt;&gt;"", (B1070 - B1069) / B1069, "")</f>
        <v>0.007811637869</v>
      </c>
      <c r="F1070" s="22">
        <f t="shared" si="1070"/>
        <v>-0.01395593786</v>
      </c>
      <c r="H1070" s="22" t="str">
        <f t="shared" si="4"/>
        <v/>
      </c>
    </row>
    <row r="1071" ht="15.75" customHeight="1">
      <c r="A1071" s="32">
        <f>'EQUITY BACKTEST'!A1074</f>
        <v>43665.66667</v>
      </c>
      <c r="B1071" s="22">
        <f>'EQUITY BACKTEST'!B1074</f>
        <v>2976.61</v>
      </c>
      <c r="C1071" s="22">
        <f>1/'EQUITY BACKTEST'!E1074</f>
        <v>0.8781944322</v>
      </c>
      <c r="D1071" s="22">
        <f t="shared" si="1"/>
        <v>-0.1013737733</v>
      </c>
      <c r="E1071" s="22">
        <f t="shared" ref="E1071:F1071" si="1071">IF(A1071&lt;&gt;"", (B1071 - B1070) / B1070, "")</f>
        <v>-0.01233007164</v>
      </c>
      <c r="F1071" s="22">
        <f t="shared" si="1071"/>
        <v>0.0005269166593</v>
      </c>
      <c r="H1071" s="22" t="str">
        <f t="shared" si="4"/>
        <v/>
      </c>
    </row>
    <row r="1072" ht="15.75" customHeight="1">
      <c r="A1072" s="32">
        <f>'EQUITY BACKTEST'!A1075</f>
        <v>43672.66667</v>
      </c>
      <c r="B1072" s="22">
        <f>'EQUITY BACKTEST'!B1075</f>
        <v>3025.86</v>
      </c>
      <c r="C1072" s="22">
        <f>1/'EQUITY BACKTEST'!E1075</f>
        <v>0.8904719501</v>
      </c>
      <c r="D1072" s="22">
        <f t="shared" si="1"/>
        <v>-0.1337365757</v>
      </c>
      <c r="E1072" s="22">
        <f t="shared" ref="E1072:F1072" si="1072">IF(A1072&lt;&gt;"", (B1072 - B1071) / B1071, "")</f>
        <v>0.01654566772</v>
      </c>
      <c r="F1072" s="22">
        <f t="shared" si="1072"/>
        <v>0.01398040962</v>
      </c>
      <c r="H1072" s="22" t="str">
        <f t="shared" si="4"/>
        <v/>
      </c>
    </row>
    <row r="1073" ht="15.75" customHeight="1">
      <c r="A1073" s="32">
        <f>'EQUITY BACKTEST'!A1076</f>
        <v>43679.66667</v>
      </c>
      <c r="B1073" s="22">
        <f>'EQUITY BACKTEST'!B1076</f>
        <v>2932.05</v>
      </c>
      <c r="C1073" s="22">
        <f>1/'EQUITY BACKTEST'!E1076</f>
        <v>0.8861320337</v>
      </c>
      <c r="D1073" s="22">
        <f t="shared" si="1"/>
        <v>-0.1647684731</v>
      </c>
      <c r="E1073" s="22">
        <f t="shared" ref="E1073:F1073" si="1073">IF(A1073&lt;&gt;"", (B1073 - B1072) / B1072, "")</f>
        <v>-0.03100275624</v>
      </c>
      <c r="F1073" s="22">
        <f t="shared" si="1073"/>
        <v>-0.004873726185</v>
      </c>
      <c r="H1073" s="22" t="str">
        <f t="shared" si="4"/>
        <v/>
      </c>
    </row>
    <row r="1074" ht="15.75" customHeight="1">
      <c r="A1074" s="32">
        <f>'EQUITY BACKTEST'!A1077</f>
        <v>43686.66667</v>
      </c>
      <c r="B1074" s="22">
        <f>'EQUITY BACKTEST'!B1077</f>
        <v>2918.65</v>
      </c>
      <c r="C1074" s="22">
        <f>1/'EQUITY BACKTEST'!E1077</f>
        <v>0.8907892393</v>
      </c>
      <c r="D1074" s="22">
        <f t="shared" si="1"/>
        <v>-0.2334432527</v>
      </c>
      <c r="E1074" s="22">
        <f t="shared" ref="E1074:F1074" si="1074">IF(A1074&lt;&gt;"", (B1074 - B1073) / B1073, "")</f>
        <v>-0.004570181272</v>
      </c>
      <c r="F1074" s="22">
        <f t="shared" si="1074"/>
        <v>0.005255656512</v>
      </c>
      <c r="H1074" s="22" t="str">
        <f t="shared" si="4"/>
        <v/>
      </c>
    </row>
    <row r="1075" ht="15.75" customHeight="1">
      <c r="A1075" s="32">
        <f>'EQUITY BACKTEST'!A1078</f>
        <v>43693.66667</v>
      </c>
      <c r="B1075" s="22">
        <f>'EQUITY BACKTEST'!B1078</f>
        <v>2888.68</v>
      </c>
      <c r="C1075" s="22">
        <f>1/'EQUITY BACKTEST'!E1078</f>
        <v>0.8972633468</v>
      </c>
      <c r="D1075" s="22">
        <f t="shared" si="1"/>
        <v>-0.3094539757</v>
      </c>
      <c r="E1075" s="22">
        <f t="shared" ref="E1075:F1075" si="1075">IF(A1075&lt;&gt;"", (B1075 - B1074) / B1074, "")</f>
        <v>-0.01026844603</v>
      </c>
      <c r="F1075" s="22">
        <f t="shared" si="1075"/>
        <v>0.007267833109</v>
      </c>
      <c r="H1075" s="22" t="str">
        <f t="shared" si="4"/>
        <v/>
      </c>
    </row>
    <row r="1076" ht="15.75" customHeight="1">
      <c r="A1076" s="32">
        <f>'EQUITY BACKTEST'!A1079</f>
        <v>43700.66667</v>
      </c>
      <c r="B1076" s="22">
        <f>'EQUITY BACKTEST'!B1079</f>
        <v>2847.11</v>
      </c>
      <c r="C1076" s="22">
        <f>1/'EQUITY BACKTEST'!E1079</f>
        <v>0.8987148378</v>
      </c>
      <c r="D1076" s="22">
        <f t="shared" si="1"/>
        <v>-0.3723098512</v>
      </c>
      <c r="E1076" s="22">
        <f t="shared" ref="E1076:F1076" si="1076">IF(A1076&lt;&gt;"", (B1076 - B1075) / B1075, "")</f>
        <v>-0.01439065594</v>
      </c>
      <c r="F1076" s="22">
        <f t="shared" si="1076"/>
        <v>0.001617686708</v>
      </c>
      <c r="H1076" s="22" t="str">
        <f t="shared" si="4"/>
        <v/>
      </c>
    </row>
    <row r="1077" ht="15.75" customHeight="1">
      <c r="A1077" s="32">
        <f>'EQUITY BACKTEST'!A1080</f>
        <v>43707.66667</v>
      </c>
      <c r="B1077" s="22">
        <f>'EQUITY BACKTEST'!B1080</f>
        <v>2926.46</v>
      </c>
      <c r="C1077" s="22">
        <f>1/'EQUITY BACKTEST'!E1080</f>
        <v>0.8842514811</v>
      </c>
      <c r="D1077" s="22">
        <f t="shared" si="1"/>
        <v>-0.4431929209</v>
      </c>
      <c r="E1077" s="22">
        <f t="shared" ref="E1077:F1077" si="1077">IF(A1077&lt;&gt;"", (B1077 - B1076) / B1076, "")</f>
        <v>0.02787036679</v>
      </c>
      <c r="F1077" s="22">
        <f t="shared" si="1077"/>
        <v>-0.01609337696</v>
      </c>
      <c r="H1077" s="22" t="str">
        <f t="shared" si="4"/>
        <v/>
      </c>
    </row>
    <row r="1078" ht="15.75" customHeight="1">
      <c r="A1078" s="32">
        <f>'EQUITY BACKTEST'!A1081</f>
        <v>43714.66667</v>
      </c>
      <c r="B1078" s="22">
        <f>'EQUITY BACKTEST'!B1081</f>
        <v>2978.71</v>
      </c>
      <c r="C1078" s="22">
        <f>1/'EQUITY BACKTEST'!E1081</f>
        <v>0.9014693951</v>
      </c>
      <c r="D1078" s="22">
        <f t="shared" si="1"/>
        <v>-0.4951665597</v>
      </c>
      <c r="E1078" s="22">
        <f t="shared" ref="E1078:F1078" si="1078">IF(A1078&lt;&gt;"", (B1078 - B1077) / B1077, "")</f>
        <v>0.01785433596</v>
      </c>
      <c r="F1078" s="22">
        <f t="shared" si="1078"/>
        <v>0.01947173893</v>
      </c>
      <c r="H1078" s="22" t="str">
        <f t="shared" si="4"/>
        <v/>
      </c>
    </row>
    <row r="1079" ht="15.75" customHeight="1">
      <c r="A1079" s="32">
        <f>'EQUITY BACKTEST'!A1082</f>
        <v>43721.66667</v>
      </c>
      <c r="B1079" s="22">
        <f>'EQUITY BACKTEST'!B1082</f>
        <v>3007.39</v>
      </c>
      <c r="C1079" s="22">
        <f>1/'EQUITY BACKTEST'!E1082</f>
        <v>0.8902341316</v>
      </c>
      <c r="D1079" s="22">
        <f t="shared" si="1"/>
        <v>-0.5107260206</v>
      </c>
      <c r="E1079" s="22">
        <f t="shared" ref="E1079:F1079" si="1079">IF(A1079&lt;&gt;"", (B1079 - B1078) / B1078, "")</f>
        <v>0.009628329042</v>
      </c>
      <c r="F1079" s="22">
        <f t="shared" si="1079"/>
        <v>-0.01246327784</v>
      </c>
      <c r="H1079" s="22" t="str">
        <f t="shared" si="4"/>
        <v/>
      </c>
    </row>
    <row r="1080" ht="15.75" customHeight="1">
      <c r="A1080" s="32">
        <f>'EQUITY BACKTEST'!A1083</f>
        <v>43728.66667</v>
      </c>
      <c r="B1080" s="22">
        <f>'EQUITY BACKTEST'!B1083</f>
        <v>2992.07</v>
      </c>
      <c r="C1080" s="22">
        <f>1/'EQUITY BACKTEST'!E1083</f>
        <v>0.9083477155</v>
      </c>
      <c r="D1080" s="22">
        <f t="shared" si="1"/>
        <v>-0.5227275738</v>
      </c>
      <c r="E1080" s="22">
        <f t="shared" ref="E1080:F1080" si="1080">IF(A1080&lt;&gt;"", (B1080 - B1079) / B1079, "")</f>
        <v>-0.005094118156</v>
      </c>
      <c r="F1080" s="22">
        <f t="shared" si="1080"/>
        <v>0.02034698883</v>
      </c>
      <c r="H1080" s="22" t="str">
        <f t="shared" si="4"/>
        <v/>
      </c>
    </row>
    <row r="1081" ht="15.75" customHeight="1">
      <c r="A1081" s="32">
        <f>'EQUITY BACKTEST'!A1084</f>
        <v>43735.66667</v>
      </c>
      <c r="B1081" s="22">
        <f>'EQUITY BACKTEST'!B1084</f>
        <v>2961.79</v>
      </c>
      <c r="C1081" s="22">
        <f>1/'EQUITY BACKTEST'!E1084</f>
        <v>0.8988764045</v>
      </c>
      <c r="D1081" s="22">
        <f t="shared" si="1"/>
        <v>-0.5272211702</v>
      </c>
      <c r="E1081" s="22">
        <f t="shared" ref="E1081:F1081" si="1081">IF(A1081&lt;&gt;"", (B1081 - B1080) / B1080, "")</f>
        <v>-0.01012008409</v>
      </c>
      <c r="F1081" s="22">
        <f t="shared" si="1081"/>
        <v>-0.01042696629</v>
      </c>
      <c r="H1081" s="22" t="str">
        <f t="shared" si="4"/>
        <v/>
      </c>
    </row>
    <row r="1082" ht="15.75" customHeight="1">
      <c r="A1082" s="32">
        <f>'EQUITY BACKTEST'!A1085</f>
        <v>43742.66667</v>
      </c>
      <c r="B1082" s="22">
        <f>'EQUITY BACKTEST'!B1085</f>
        <v>2952.01</v>
      </c>
      <c r="C1082" s="22">
        <f>1/'EQUITY BACKTEST'!E1085</f>
        <v>0.896458987</v>
      </c>
      <c r="D1082" s="22">
        <f t="shared" si="1"/>
        <v>-0.5403863702</v>
      </c>
      <c r="E1082" s="22">
        <f t="shared" ref="E1082:F1082" si="1082">IF(A1082&lt;&gt;"", (B1082 - B1081) / B1081, "")</f>
        <v>-0.003302057202</v>
      </c>
      <c r="F1082" s="22">
        <f t="shared" si="1082"/>
        <v>-0.002689376961</v>
      </c>
      <c r="H1082" s="22" t="str">
        <f t="shared" si="4"/>
        <v/>
      </c>
    </row>
    <row r="1083" ht="15.75" customHeight="1">
      <c r="A1083" s="32">
        <f>'EQUITY BACKTEST'!A1086</f>
        <v>43749.66667</v>
      </c>
      <c r="B1083" s="22">
        <f>'EQUITY BACKTEST'!B1086</f>
        <v>2970.27</v>
      </c>
      <c r="C1083" s="22">
        <f>1/'EQUITY BACKTEST'!E1086</f>
        <v>0.907935355</v>
      </c>
      <c r="D1083" s="22">
        <f t="shared" si="1"/>
        <v>-0.5667034134</v>
      </c>
      <c r="E1083" s="22">
        <f t="shared" ref="E1083:F1083" si="1083">IF(A1083&lt;&gt;"", (B1083 - B1082) / B1082, "")</f>
        <v>0.006185615902</v>
      </c>
      <c r="F1083" s="22">
        <f t="shared" si="1083"/>
        <v>0.01280188851</v>
      </c>
      <c r="H1083" s="22" t="str">
        <f t="shared" si="4"/>
        <v/>
      </c>
    </row>
    <row r="1084" ht="15.75" customHeight="1">
      <c r="A1084" s="32">
        <f>'EQUITY BACKTEST'!A1087</f>
        <v>43756.66667</v>
      </c>
      <c r="B1084" s="22">
        <f>'EQUITY BACKTEST'!B1087</f>
        <v>2986.2</v>
      </c>
      <c r="C1084" s="22">
        <f>1/'EQUITY BACKTEST'!E1087</f>
        <v>0.9141603437</v>
      </c>
      <c r="D1084" s="22">
        <f t="shared" si="1"/>
        <v>-0.5804618942</v>
      </c>
      <c r="E1084" s="22">
        <f t="shared" ref="E1084:F1084" si="1084">IF(A1084&lt;&gt;"", (B1084 - B1083) / B1083, "")</f>
        <v>0.005363148805</v>
      </c>
      <c r="F1084" s="22">
        <f t="shared" si="1084"/>
        <v>0.006856202578</v>
      </c>
      <c r="H1084" s="22" t="str">
        <f t="shared" si="4"/>
        <v/>
      </c>
    </row>
    <row r="1085" ht="15.75" customHeight="1">
      <c r="A1085" s="32">
        <f>'EQUITY BACKTEST'!A1088</f>
        <v>43763.66667</v>
      </c>
      <c r="B1085" s="22">
        <f>'EQUITY BACKTEST'!B1088</f>
        <v>3022.55</v>
      </c>
      <c r="C1085" s="22">
        <f>1/'EQUITY BACKTEST'!E1088</f>
        <v>0.9109127346</v>
      </c>
      <c r="D1085" s="22">
        <f t="shared" si="1"/>
        <v>-0.5934331638</v>
      </c>
      <c r="E1085" s="22">
        <f t="shared" ref="E1085:F1085" si="1085">IF(A1085&lt;&gt;"", (B1085 - B1084) / B1084, "")</f>
        <v>0.01217266091</v>
      </c>
      <c r="F1085" s="22">
        <f t="shared" si="1085"/>
        <v>-0.003552559665</v>
      </c>
      <c r="H1085" s="22" t="str">
        <f t="shared" si="4"/>
        <v/>
      </c>
    </row>
    <row r="1086" ht="15.75" customHeight="1">
      <c r="A1086" s="32">
        <f>'EQUITY BACKTEST'!A1089</f>
        <v>43770.66667</v>
      </c>
      <c r="B1086" s="22">
        <f>'EQUITY BACKTEST'!B1089</f>
        <v>3066.91</v>
      </c>
      <c r="C1086" s="22">
        <f>1/'EQUITY BACKTEST'!E1089</f>
        <v>0.9061910976</v>
      </c>
      <c r="D1086" s="22">
        <f t="shared" si="1"/>
        <v>-0.589628947</v>
      </c>
      <c r="E1086" s="22">
        <f t="shared" ref="E1086:F1086" si="1086">IF(A1086&lt;&gt;"", (B1086 - B1085) / B1085, "")</f>
        <v>0.01467634944</v>
      </c>
      <c r="F1086" s="22">
        <f t="shared" si="1086"/>
        <v>-0.005183413078</v>
      </c>
      <c r="H1086" s="22" t="str">
        <f t="shared" si="4"/>
        <v/>
      </c>
    </row>
    <row r="1087" ht="15.75" customHeight="1">
      <c r="A1087" s="32">
        <f>'EQUITY BACKTEST'!A1090</f>
        <v>43777.66667</v>
      </c>
      <c r="B1087" s="22">
        <f>'EQUITY BACKTEST'!B1090</f>
        <v>3093.08</v>
      </c>
      <c r="C1087" s="22">
        <f>1/'EQUITY BACKTEST'!E1090</f>
        <v>0.8942144326</v>
      </c>
      <c r="D1087" s="22">
        <f t="shared" si="1"/>
        <v>-0.6043032513</v>
      </c>
      <c r="E1087" s="22">
        <f t="shared" ref="E1087:F1087" si="1087">IF(A1087&lt;&gt;"", (B1087 - B1086) / B1086, "")</f>
        <v>0.008533018576</v>
      </c>
      <c r="F1087" s="22">
        <f t="shared" si="1087"/>
        <v>-0.01321648931</v>
      </c>
      <c r="H1087" s="22" t="str">
        <f t="shared" si="4"/>
        <v/>
      </c>
    </row>
    <row r="1088" ht="15.75" customHeight="1">
      <c r="A1088" s="32">
        <f>'EQUITY BACKTEST'!A1091</f>
        <v>43784.66667</v>
      </c>
      <c r="B1088" s="22">
        <f>'EQUITY BACKTEST'!B1091</f>
        <v>3120.46</v>
      </c>
      <c r="C1088" s="22">
        <f>1/'EQUITY BACKTEST'!E1091</f>
        <v>0.9026085387</v>
      </c>
      <c r="D1088" s="22">
        <f t="shared" si="1"/>
        <v>-0.6249813221</v>
      </c>
      <c r="E1088" s="22">
        <f t="shared" ref="E1088:F1088" si="1088">IF(A1088&lt;&gt;"", (B1088 - B1087) / B1087, "")</f>
        <v>0.008852018053</v>
      </c>
      <c r="F1088" s="22">
        <f t="shared" si="1088"/>
        <v>0.009387128802</v>
      </c>
      <c r="H1088" s="22" t="str">
        <f t="shared" si="4"/>
        <v/>
      </c>
    </row>
    <row r="1089" ht="15.75" customHeight="1">
      <c r="A1089" s="32">
        <f>'EQUITY BACKTEST'!A1092</f>
        <v>43791.66667</v>
      </c>
      <c r="B1089" s="22">
        <f>'EQUITY BACKTEST'!B1092</f>
        <v>3110.29</v>
      </c>
      <c r="C1089" s="22">
        <f>1/'EQUITY BACKTEST'!E1092</f>
        <v>0.8955758553</v>
      </c>
      <c r="D1089" s="22">
        <f t="shared" si="1"/>
        <v>-0.6371622608</v>
      </c>
      <c r="E1089" s="22">
        <f t="shared" ref="E1089:F1089" si="1089">IF(A1089&lt;&gt;"", (B1089 - B1088) / B1088, "")</f>
        <v>-0.003259134871</v>
      </c>
      <c r="F1089" s="22">
        <f t="shared" si="1089"/>
        <v>-0.007791509941</v>
      </c>
      <c r="H1089" s="22" t="str">
        <f t="shared" si="4"/>
        <v/>
      </c>
    </row>
    <row r="1090" ht="15.75" customHeight="1">
      <c r="A1090" s="32">
        <f>'EQUITY BACKTEST'!A1093</f>
        <v>43798.54167</v>
      </c>
      <c r="B1090" s="22">
        <f>'EQUITY BACKTEST'!B1093</f>
        <v>3140.98</v>
      </c>
      <c r="C1090" s="22">
        <f>1/'EQUITY BACKTEST'!E1093</f>
        <v>0.9074739555</v>
      </c>
      <c r="D1090" s="22">
        <f t="shared" si="1"/>
        <v>-0.6556669613</v>
      </c>
      <c r="E1090" s="22">
        <f t="shared" ref="E1090:F1090" si="1090">IF(A1090&lt;&gt;"", (B1090 - B1089) / B1089, "")</f>
        <v>0.009867247106</v>
      </c>
      <c r="F1090" s="22">
        <f t="shared" si="1090"/>
        <v>0.01328541871</v>
      </c>
      <c r="H1090" s="22" t="str">
        <f t="shared" si="4"/>
        <v/>
      </c>
    </row>
    <row r="1091" ht="15.75" customHeight="1">
      <c r="A1091" s="32">
        <f>'EQUITY BACKTEST'!A1094</f>
        <v>43805.66667</v>
      </c>
      <c r="B1091" s="22">
        <f>'EQUITY BACKTEST'!B1094</f>
        <v>3145.91</v>
      </c>
      <c r="C1091" s="22">
        <f>1/'EQUITY BACKTEST'!E1094</f>
        <v>0.9049773756</v>
      </c>
      <c r="D1091" s="22">
        <f t="shared" si="1"/>
        <v>-0.6736227675</v>
      </c>
      <c r="E1091" s="22">
        <f t="shared" ref="E1091:F1091" si="1091">IF(A1091&lt;&gt;"", (B1091 - B1090) / B1090, "")</f>
        <v>0.001569573827</v>
      </c>
      <c r="F1091" s="22">
        <f t="shared" si="1091"/>
        <v>-0.002751131222</v>
      </c>
      <c r="H1091" s="22" t="str">
        <f t="shared" si="4"/>
        <v/>
      </c>
    </row>
    <row r="1092" ht="15.75" customHeight="1">
      <c r="A1092" s="32">
        <f>'EQUITY BACKTEST'!A1095</f>
        <v>43812.66667</v>
      </c>
      <c r="B1092" s="22">
        <f>'EQUITY BACKTEST'!B1095</f>
        <v>3168.8</v>
      </c>
      <c r="C1092" s="22">
        <f>1/'EQUITY BACKTEST'!E1095</f>
        <v>0.9074739555</v>
      </c>
      <c r="D1092" s="22">
        <f t="shared" si="1"/>
        <v>-0.6890829043</v>
      </c>
      <c r="E1092" s="22">
        <f t="shared" ref="E1092:F1092" si="1092">IF(A1092&lt;&gt;"", (B1092 - B1091) / B1091, "")</f>
        <v>0.007276114066</v>
      </c>
      <c r="F1092" s="22">
        <f t="shared" si="1092"/>
        <v>0.002758720825</v>
      </c>
      <c r="H1092" s="22" t="str">
        <f t="shared" si="4"/>
        <v/>
      </c>
    </row>
    <row r="1093" ht="15.75" customHeight="1">
      <c r="A1093" s="32">
        <f>'EQUITY BACKTEST'!A1096</f>
        <v>43819.66667</v>
      </c>
      <c r="B1093" s="22">
        <f>'EQUITY BACKTEST'!B1096</f>
        <v>3221.22</v>
      </c>
      <c r="C1093" s="22">
        <f>1/'EQUITY BACKTEST'!E1096</f>
        <v>0.9074739555</v>
      </c>
      <c r="D1093" s="22">
        <f t="shared" si="1"/>
        <v>-0.7079519402</v>
      </c>
      <c r="E1093" s="22">
        <f t="shared" ref="E1093:F1093" si="1093">IF(A1093&lt;&gt;"", (B1093 - B1092) / B1092, "")</f>
        <v>0.01654253976</v>
      </c>
      <c r="F1093" s="22">
        <f t="shared" si="1093"/>
        <v>0</v>
      </c>
      <c r="H1093" s="22" t="str">
        <f t="shared" si="4"/>
        <v/>
      </c>
    </row>
    <row r="1094" ht="15.75" customHeight="1">
      <c r="A1094" s="32">
        <f>'EQUITY BACKTEST'!A1097</f>
        <v>43826.66667</v>
      </c>
      <c r="B1094" s="22">
        <f>'EQUITY BACKTEST'!B1097</f>
        <v>3240.02</v>
      </c>
      <c r="C1094" s="22">
        <f>1/'EQUITY BACKTEST'!E1097</f>
        <v>0.9045271584</v>
      </c>
      <c r="D1094" s="22">
        <f t="shared" si="1"/>
        <v>-0.7284128599</v>
      </c>
      <c r="E1094" s="22">
        <f t="shared" ref="E1094:F1094" si="1094">IF(A1094&lt;&gt;"", (B1094 - B1093) / B1093, "")</f>
        <v>0.005836298049</v>
      </c>
      <c r="F1094" s="22">
        <f t="shared" si="1094"/>
        <v>-0.003247252499</v>
      </c>
      <c r="H1094" s="22" t="str">
        <f t="shared" si="4"/>
        <v/>
      </c>
    </row>
    <row r="1095" ht="15.75" customHeight="1">
      <c r="A1095" s="32">
        <f>'EQUITY BACKTEST'!A1098</f>
        <v>43833.66667</v>
      </c>
      <c r="B1095" s="22">
        <f>'EQUITY BACKTEST'!B1098</f>
        <v>3234.85</v>
      </c>
      <c r="C1095" s="22">
        <f>1/'EQUITY BACKTEST'!E1098</f>
        <v>0.8995232527</v>
      </c>
      <c r="D1095" s="22">
        <f t="shared" si="1"/>
        <v>-0.7486694592</v>
      </c>
      <c r="E1095" s="22">
        <f t="shared" ref="E1095:F1095" si="1095">IF(A1095&lt;&gt;"", (B1095 - B1094) / B1094, "")</f>
        <v>-0.001595669163</v>
      </c>
      <c r="F1095" s="22">
        <f t="shared" si="1095"/>
        <v>-0.005532068004</v>
      </c>
      <c r="H1095" s="22" t="str">
        <f t="shared" si="4"/>
        <v/>
      </c>
    </row>
    <row r="1096" ht="15.75" customHeight="1">
      <c r="A1096" s="32">
        <f>'EQUITY BACKTEST'!A1099</f>
        <v>43840.66667</v>
      </c>
      <c r="B1096" s="22">
        <f>'EQUITY BACKTEST'!B1099</f>
        <v>3265.35</v>
      </c>
      <c r="C1096" s="22">
        <f>1/'EQUITY BACKTEST'!E1099</f>
        <v>0.9028122602</v>
      </c>
      <c r="D1096" s="22">
        <f t="shared" si="1"/>
        <v>-0.768339822</v>
      </c>
      <c r="E1096" s="22">
        <f t="shared" ref="E1096:F1096" si="1096">IF(A1096&lt;&gt;"", (B1096 - B1095) / B1095, "")</f>
        <v>0.009428567012</v>
      </c>
      <c r="F1096" s="22">
        <f t="shared" si="1096"/>
        <v>0.003656389654</v>
      </c>
      <c r="H1096" s="22" t="str">
        <f t="shared" si="4"/>
        <v/>
      </c>
    </row>
    <row r="1097" ht="15.75" customHeight="1">
      <c r="A1097" s="32">
        <f>'EQUITY BACKTEST'!A1100</f>
        <v>43847.66667</v>
      </c>
      <c r="B1097" s="22">
        <f>'EQUITY BACKTEST'!B1100</f>
        <v>3329.62</v>
      </c>
      <c r="C1097" s="22">
        <f>1/'EQUITY BACKTEST'!E1100</f>
        <v>0.8946944618</v>
      </c>
      <c r="D1097" s="22">
        <f t="shared" si="1"/>
        <v>-0.7849512216</v>
      </c>
      <c r="E1097" s="22">
        <f t="shared" ref="E1097:F1097" si="1097">IF(A1097&lt;&gt;"", (B1097 - B1096) / B1096, "")</f>
        <v>0.01968242302</v>
      </c>
      <c r="F1097" s="22">
        <f t="shared" si="1097"/>
        <v>-0.008991679342</v>
      </c>
      <c r="H1097" s="22" t="str">
        <f t="shared" si="4"/>
        <v/>
      </c>
    </row>
    <row r="1098" ht="15.75" customHeight="1">
      <c r="A1098" s="32">
        <f>'EQUITY BACKTEST'!A1101</f>
        <v>43854.66667</v>
      </c>
      <c r="B1098" s="22">
        <f>'EQUITY BACKTEST'!B1101</f>
        <v>3295.47</v>
      </c>
      <c r="C1098" s="22">
        <f>1/'EQUITY BACKTEST'!E1101</f>
        <v>0.8966197436</v>
      </c>
      <c r="D1098" s="22">
        <f t="shared" si="1"/>
        <v>-0.7979111728</v>
      </c>
      <c r="E1098" s="22">
        <f t="shared" ref="E1098:F1098" si="1098">IF(A1098&lt;&gt;"", (B1098 - B1097) / B1097, "")</f>
        <v>-0.01025642566</v>
      </c>
      <c r="F1098" s="22">
        <f t="shared" si="1098"/>
        <v>0.002151887385</v>
      </c>
      <c r="H1098" s="22" t="str">
        <f t="shared" si="4"/>
        <v/>
      </c>
    </row>
    <row r="1099" ht="15.75" customHeight="1">
      <c r="A1099" s="32">
        <f>'EQUITY BACKTEST'!A1102</f>
        <v>43861.66667</v>
      </c>
      <c r="B1099" s="22">
        <f>'EQUITY BACKTEST'!B1102</f>
        <v>3225.52</v>
      </c>
      <c r="C1099" s="22">
        <f>1/'EQUITY BACKTEST'!E1102</f>
        <v>0.8991997123</v>
      </c>
      <c r="D1099" s="22">
        <f t="shared" si="1"/>
        <v>-0.8092459179</v>
      </c>
      <c r="E1099" s="22">
        <f t="shared" ref="E1099:F1099" si="1099">IF(A1099&lt;&gt;"", (B1099 - B1098) / B1098, "")</f>
        <v>-0.02122610735</v>
      </c>
      <c r="F1099" s="22">
        <f t="shared" si="1099"/>
        <v>0.002877439079</v>
      </c>
      <c r="H1099" s="22" t="str">
        <f t="shared" si="4"/>
        <v/>
      </c>
    </row>
    <row r="1100" ht="15.75" customHeight="1">
      <c r="A1100" s="32">
        <f>'EQUITY BACKTEST'!A1103</f>
        <v>43868.66667</v>
      </c>
      <c r="B1100" s="22">
        <f>'EQUITY BACKTEST'!B1103</f>
        <v>3327.71</v>
      </c>
      <c r="C1100" s="22">
        <f>1/'EQUITY BACKTEST'!E1103</f>
        <v>0.9017945712</v>
      </c>
      <c r="D1100" s="22">
        <f t="shared" si="1"/>
        <v>-0.818811091</v>
      </c>
      <c r="E1100" s="22">
        <f t="shared" ref="E1100:F1100" si="1100">IF(A1100&lt;&gt;"", (B1100 - B1099) / B1099, "")</f>
        <v>0.03168171334</v>
      </c>
      <c r="F1100" s="22">
        <f t="shared" si="1100"/>
        <v>0.002885742628</v>
      </c>
      <c r="H1100" s="22" t="str">
        <f t="shared" si="4"/>
        <v/>
      </c>
    </row>
    <row r="1101" ht="15.75" customHeight="1">
      <c r="A1101" s="32">
        <f>'EQUITY BACKTEST'!A1104</f>
        <v>43875.66667</v>
      </c>
      <c r="B1101" s="22">
        <f>'EQUITY BACKTEST'!B1104</f>
        <v>3380.16</v>
      </c>
      <c r="C1101" s="22">
        <f>1/'EQUITY BACKTEST'!E1104</f>
        <v>0.9069472157</v>
      </c>
      <c r="D1101" s="22">
        <f t="shared" si="1"/>
        <v>-0.8329993276</v>
      </c>
      <c r="E1101" s="22">
        <f t="shared" ref="E1101:F1101" si="1101">IF(A1101&lt;&gt;"", (B1101 - B1100) / B1100, "")</f>
        <v>0.0157615898</v>
      </c>
      <c r="F1101" s="22">
        <f t="shared" si="1101"/>
        <v>0.005713767459</v>
      </c>
      <c r="H1101" s="22" t="str">
        <f t="shared" si="4"/>
        <v/>
      </c>
    </row>
    <row r="1102" ht="15.75" customHeight="1">
      <c r="A1102" s="32">
        <f>'EQUITY BACKTEST'!A1105</f>
        <v>43882.66667</v>
      </c>
      <c r="B1102" s="22">
        <f>'EQUITY BACKTEST'!B1105</f>
        <v>3337.75</v>
      </c>
      <c r="C1102" s="22">
        <f>1/'EQUITY BACKTEST'!E1105</f>
        <v>0.9013150186</v>
      </c>
      <c r="D1102" s="22">
        <f t="shared" si="1"/>
        <v>-0.8520512488</v>
      </c>
      <c r="E1102" s="22">
        <f t="shared" ref="E1102:F1102" si="1102">IF(A1102&lt;&gt;"", (B1102 - B1101) / B1101, "")</f>
        <v>-0.01254674335</v>
      </c>
      <c r="F1102" s="22">
        <f t="shared" si="1102"/>
        <v>-0.006210060478</v>
      </c>
      <c r="H1102" s="22" t="str">
        <f t="shared" si="4"/>
        <v/>
      </c>
    </row>
    <row r="1103" ht="15.75" customHeight="1">
      <c r="A1103" s="32">
        <f>'EQUITY BACKTEST'!A1106</f>
        <v>43889.66667</v>
      </c>
      <c r="B1103" s="22">
        <f>'EQUITY BACKTEST'!B1106</f>
        <v>2954.22</v>
      </c>
      <c r="C1103" s="22">
        <f>1/'EQUITY BACKTEST'!E1106</f>
        <v>0.9139097057</v>
      </c>
      <c r="D1103" s="22">
        <f t="shared" si="1"/>
        <v>-0.8637779199</v>
      </c>
      <c r="E1103" s="22">
        <f t="shared" ref="E1103:F1103" si="1103">IF(A1103&lt;&gt;"", (B1103 - B1102) / B1102, "")</f>
        <v>-0.1149067486</v>
      </c>
      <c r="F1103" s="22">
        <f t="shared" si="1103"/>
        <v>0.0139736794</v>
      </c>
      <c r="H1103" s="22" t="str">
        <f t="shared" si="4"/>
        <v>Crash</v>
      </c>
    </row>
    <row r="1104" ht="15.75" customHeight="1">
      <c r="A1104" s="32">
        <f>'EQUITY BACKTEST'!A1107</f>
        <v>43896.66667</v>
      </c>
      <c r="B1104" s="22">
        <f>'EQUITY BACKTEST'!B1107</f>
        <v>2972.37</v>
      </c>
      <c r="C1104" s="22">
        <f>1/'EQUITY BACKTEST'!E1107</f>
        <v>0.9233525083</v>
      </c>
      <c r="D1104" s="22">
        <f t="shared" si="1"/>
        <v>-0.8660344029</v>
      </c>
      <c r="E1104" s="22">
        <f t="shared" ref="E1104:F1104" si="1104">IF(A1104&lt;&gt;"", (B1104 - B1103) / B1103, "")</f>
        <v>0.006143753681</v>
      </c>
      <c r="F1104" s="22">
        <f t="shared" si="1104"/>
        <v>0.01033231457</v>
      </c>
      <c r="H1104" s="22" t="str">
        <f t="shared" si="4"/>
        <v/>
      </c>
    </row>
    <row r="1105" ht="15.75" customHeight="1">
      <c r="A1105" s="32">
        <f>'EQUITY BACKTEST'!A1108</f>
        <v>43903.66667</v>
      </c>
      <c r="B1105" s="22">
        <f>'EQUITY BACKTEST'!B1108</f>
        <v>2711.02</v>
      </c>
      <c r="C1105" s="22">
        <f>1/'EQUITY BACKTEST'!E1108</f>
        <v>0.9220584032</v>
      </c>
      <c r="D1105" s="22">
        <f t="shared" si="1"/>
        <v>-0.8700463307</v>
      </c>
      <c r="E1105" s="22">
        <f t="shared" ref="E1105:F1105" si="1105">IF(A1105&lt;&gt;"", (B1105 - B1104) / B1104, "")</f>
        <v>-0.08792646945</v>
      </c>
      <c r="F1105" s="22">
        <f t="shared" si="1105"/>
        <v>-0.001401528773</v>
      </c>
      <c r="H1105" s="22" t="str">
        <f t="shared" si="4"/>
        <v/>
      </c>
    </row>
    <row r="1106" ht="15.75" customHeight="1">
      <c r="A1106" s="32">
        <f>'EQUITY BACKTEST'!A1109</f>
        <v>43910.66667</v>
      </c>
      <c r="B1106" s="22">
        <f>'EQUITY BACKTEST'!B1109</f>
        <v>2304.92</v>
      </c>
      <c r="C1106" s="22">
        <f>1/'EQUITY BACKTEST'!E1109</f>
        <v>0.9068649678</v>
      </c>
      <c r="D1106" s="22">
        <f t="shared" si="1"/>
        <v>-0.8661458081</v>
      </c>
      <c r="E1106" s="22">
        <f t="shared" ref="E1106:F1106" si="1106">IF(A1106&lt;&gt;"", (B1106 - B1105) / B1105, "")</f>
        <v>-0.1497960177</v>
      </c>
      <c r="F1106" s="22">
        <f t="shared" si="1106"/>
        <v>-0.01647773647</v>
      </c>
      <c r="H1106" s="22" t="str">
        <f t="shared" si="4"/>
        <v>Crash</v>
      </c>
    </row>
    <row r="1107" ht="15.75" customHeight="1">
      <c r="A1107" s="32">
        <f>'EQUITY BACKTEST'!A1110</f>
        <v>43917.66667</v>
      </c>
      <c r="B1107" s="22">
        <f>'EQUITY BACKTEST'!B1110</f>
        <v>2541.47</v>
      </c>
      <c r="C1107" s="22">
        <f>1/'EQUITY BACKTEST'!E1110</f>
        <v>0.8861320337</v>
      </c>
      <c r="D1107" s="22">
        <f t="shared" si="1"/>
        <v>-0.8725831519</v>
      </c>
      <c r="E1107" s="22">
        <f t="shared" ref="E1107:F1107" si="1107">IF(A1107&lt;&gt;"", (B1107 - B1106) / B1106, "")</f>
        <v>0.1026282908</v>
      </c>
      <c r="F1107" s="22">
        <f t="shared" si="1107"/>
        <v>-0.02286220647</v>
      </c>
      <c r="H1107" s="22" t="str">
        <f t="shared" si="4"/>
        <v/>
      </c>
    </row>
    <row r="1108" ht="15.75" customHeight="1">
      <c r="A1108" s="32">
        <f>'EQUITY BACKTEST'!A1111</f>
        <v>43924.66667</v>
      </c>
      <c r="B1108" s="22">
        <f>'EQUITY BACKTEST'!B1111</f>
        <v>2488.65</v>
      </c>
      <c r="C1108" s="22">
        <f>1/'EQUITY BACKTEST'!E1111</f>
        <v>0.8975049363</v>
      </c>
      <c r="D1108" s="22">
        <f t="shared" si="1"/>
        <v>-0.8868334989</v>
      </c>
      <c r="E1108" s="22">
        <f t="shared" ref="E1108:F1108" si="1108">IF(A1108&lt;&gt;"", (B1108 - B1107) / B1107, "")</f>
        <v>-0.02078324749</v>
      </c>
      <c r="F1108" s="22">
        <f t="shared" si="1108"/>
        <v>0.01283432059</v>
      </c>
      <c r="H1108" s="22" t="str">
        <f t="shared" si="4"/>
        <v/>
      </c>
    </row>
    <row r="1109" ht="15.75" customHeight="1">
      <c r="A1109" s="32">
        <f>'EQUITY BACKTEST'!A1112</f>
        <v>43930.66667</v>
      </c>
      <c r="B1109" s="22">
        <f>'EQUITY BACKTEST'!B1112</f>
        <v>2789.82</v>
      </c>
      <c r="C1109" s="22">
        <f>1/'EQUITY BACKTEST'!E1112</f>
        <v>0.9292816653</v>
      </c>
      <c r="D1109" s="22">
        <f t="shared" si="1"/>
        <v>-0.8918089172</v>
      </c>
      <c r="E1109" s="22">
        <f t="shared" ref="E1109:F1109" si="1109">IF(A1109&lt;&gt;"", (B1109 - B1108) / B1108, "")</f>
        <v>0.1210174191</v>
      </c>
      <c r="F1109" s="22">
        <f t="shared" si="1109"/>
        <v>0.03540563145</v>
      </c>
      <c r="H1109" s="22" t="str">
        <f t="shared" si="4"/>
        <v/>
      </c>
    </row>
    <row r="1110" ht="15.75" customHeight="1">
      <c r="A1110" s="32">
        <f>'EQUITY BACKTEST'!A1113</f>
        <v>43938.66667</v>
      </c>
      <c r="B1110" s="22">
        <f>'EQUITY BACKTEST'!B1113</f>
        <v>2874.56</v>
      </c>
      <c r="C1110" s="22">
        <f>1/'EQUITY BACKTEST'!E1113</f>
        <v>0.8955758553</v>
      </c>
      <c r="D1110" s="22">
        <f t="shared" si="1"/>
        <v>-0.8644311556</v>
      </c>
      <c r="E1110" s="22">
        <f t="shared" ref="E1110:F1110" si="1110">IF(A1110&lt;&gt;"", (B1110 - B1109) / B1109, "")</f>
        <v>0.03037471952</v>
      </c>
      <c r="F1110" s="22">
        <f t="shared" si="1110"/>
        <v>-0.03627082214</v>
      </c>
      <c r="H1110" s="22" t="str">
        <f t="shared" si="4"/>
        <v/>
      </c>
    </row>
    <row r="1111" ht="15.75" customHeight="1">
      <c r="A1111" s="32">
        <f>'EQUITY BACKTEST'!A1114</f>
        <v>43945.66667</v>
      </c>
      <c r="B1111" s="22">
        <f>'EQUITY BACKTEST'!B1114</f>
        <v>2836.74</v>
      </c>
      <c r="C1111" s="22">
        <f>1/'EQUITY BACKTEST'!E1114</f>
        <v>0.9260116677</v>
      </c>
      <c r="D1111" s="22">
        <f t="shared" si="1"/>
        <v>-0.8412471593</v>
      </c>
      <c r="E1111" s="22">
        <f t="shared" ref="E1111:F1111" si="1111">IF(A1111&lt;&gt;"", (B1111 - B1110) / B1110, "")</f>
        <v>-0.01315679617</v>
      </c>
      <c r="F1111" s="22">
        <f t="shared" si="1111"/>
        <v>0.03398462821</v>
      </c>
      <c r="H1111" s="22" t="str">
        <f t="shared" si="4"/>
        <v/>
      </c>
    </row>
    <row r="1112" ht="15.75" customHeight="1">
      <c r="A1112" s="32">
        <f>'EQUITY BACKTEST'!A1115</f>
        <v>43952.66667</v>
      </c>
      <c r="B1112" s="22">
        <f>'EQUITY BACKTEST'!B1115</f>
        <v>2830.71</v>
      </c>
      <c r="C1112" s="22">
        <f>1/'EQUITY BACKTEST'!E1115</f>
        <v>0.9144947417</v>
      </c>
      <c r="D1112" s="22">
        <f t="shared" si="1"/>
        <v>-0.8191340218</v>
      </c>
      <c r="E1112" s="22">
        <f t="shared" ref="E1112:F1112" si="1112">IF(A1112&lt;&gt;"", (B1112 - B1111) / B1111, "")</f>
        <v>-0.002125679477</v>
      </c>
      <c r="F1112" s="22">
        <f t="shared" si="1112"/>
        <v>-0.01243712849</v>
      </c>
      <c r="H1112" s="22" t="str">
        <f t="shared" si="4"/>
        <v/>
      </c>
    </row>
    <row r="1113" ht="15.75" customHeight="1">
      <c r="A1113" s="32">
        <f>'EQUITY BACKTEST'!A1116</f>
        <v>43959.66667</v>
      </c>
      <c r="B1113" s="22">
        <f>'EQUITY BACKTEST'!B1116</f>
        <v>2929.8</v>
      </c>
      <c r="C1113" s="22">
        <f>1/'EQUITY BACKTEST'!E1116</f>
        <v>0.9196247931</v>
      </c>
      <c r="D1113" s="22">
        <f t="shared" si="1"/>
        <v>-0.7993339429</v>
      </c>
      <c r="E1113" s="22">
        <f t="shared" ref="E1113:F1113" si="1113">IF(A1113&lt;&gt;"", (B1113 - B1112) / B1112, "")</f>
        <v>0.03500535201</v>
      </c>
      <c r="F1113" s="22">
        <f t="shared" si="1113"/>
        <v>0.005609711238</v>
      </c>
      <c r="H1113" s="22" t="str">
        <f t="shared" si="4"/>
        <v/>
      </c>
    </row>
    <row r="1114" ht="15.75" customHeight="1">
      <c r="A1114" s="32">
        <f>'EQUITY BACKTEST'!A1117</f>
        <v>43966.66667</v>
      </c>
      <c r="B1114" s="22">
        <f>'EQUITY BACKTEST'!B1117</f>
        <v>2863.7</v>
      </c>
      <c r="C1114" s="22">
        <f>1/'EQUITY BACKTEST'!E1117</f>
        <v>0.9240436149</v>
      </c>
      <c r="D1114" s="22">
        <f t="shared" si="1"/>
        <v>-0.7878000703</v>
      </c>
      <c r="E1114" s="22">
        <f t="shared" ref="E1114:F1114" si="1114">IF(A1114&lt;&gt;"", (B1114 - B1113) / B1113, "")</f>
        <v>-0.02256126698</v>
      </c>
      <c r="F1114" s="22">
        <f t="shared" si="1114"/>
        <v>0.004805026797</v>
      </c>
      <c r="H1114" s="22" t="str">
        <f t="shared" si="4"/>
        <v/>
      </c>
    </row>
    <row r="1115" ht="15.75" customHeight="1">
      <c r="A1115" s="32">
        <f>'EQUITY BACKTEST'!A1118</f>
        <v>43973.66667</v>
      </c>
      <c r="B1115" s="22">
        <f>'EQUITY BACKTEST'!B1118</f>
        <v>2955.45</v>
      </c>
      <c r="C1115" s="22">
        <f>1/'EQUITY BACKTEST'!E1118</f>
        <v>0.9014693951</v>
      </c>
      <c r="D1115" s="22">
        <f t="shared" si="1"/>
        <v>-0.7678741407</v>
      </c>
      <c r="E1115" s="22">
        <f t="shared" ref="E1115:F1115" si="1115">IF(A1115&lt;&gt;"", (B1115 - B1114) / B1114, "")</f>
        <v>0.03203897056</v>
      </c>
      <c r="F1115" s="22">
        <f t="shared" si="1115"/>
        <v>-0.02442982061</v>
      </c>
      <c r="H1115" s="22" t="str">
        <f t="shared" si="4"/>
        <v/>
      </c>
    </row>
    <row r="1116" ht="15.75" customHeight="1">
      <c r="A1116" s="32">
        <f>'EQUITY BACKTEST'!A1119</f>
        <v>43980.66667</v>
      </c>
      <c r="B1116" s="22">
        <f>'EQUITY BACKTEST'!B1119</f>
        <v>3044.31</v>
      </c>
      <c r="C1116" s="22">
        <f>1/'EQUITY BACKTEST'!E1119</f>
        <v>0.9116601331</v>
      </c>
      <c r="D1116" s="22">
        <f t="shared" si="1"/>
        <v>-0.7576988783</v>
      </c>
      <c r="E1116" s="22">
        <f t="shared" ref="E1116:F1116" si="1116">IF(A1116&lt;&gt;"", (B1116 - B1115) / B1115, "")</f>
        <v>0.03006648734</v>
      </c>
      <c r="F1116" s="22">
        <f t="shared" si="1116"/>
        <v>0.01130458565</v>
      </c>
      <c r="H1116" s="22" t="str">
        <f t="shared" si="4"/>
        <v/>
      </c>
    </row>
    <row r="1117" ht="15.75" customHeight="1">
      <c r="A1117" s="32">
        <f>'EQUITY BACKTEST'!A1120</f>
        <v>43987.66667</v>
      </c>
      <c r="B1117" s="22">
        <f>'EQUITY BACKTEST'!B1120</f>
        <v>3193.93</v>
      </c>
      <c r="C1117" s="22">
        <f>1/'EQUITY BACKTEST'!E1120</f>
        <v>0.9250180379</v>
      </c>
      <c r="D1117" s="22">
        <f t="shared" si="1"/>
        <v>-0.7471197945</v>
      </c>
      <c r="E1117" s="22">
        <f t="shared" ref="E1117:F1117" si="1117">IF(A1117&lt;&gt;"", (B1117 - B1116) / B1116, "")</f>
        <v>0.04914742585</v>
      </c>
      <c r="F1117" s="22">
        <f t="shared" si="1117"/>
        <v>0.01465228572</v>
      </c>
      <c r="H1117" s="22" t="str">
        <f t="shared" si="4"/>
        <v/>
      </c>
    </row>
    <row r="1118" ht="15.75" customHeight="1">
      <c r="A1118" s="32">
        <f>'EQUITY BACKTEST'!A1121</f>
        <v>43994.66667</v>
      </c>
      <c r="B1118" s="22">
        <f>'EQUITY BACKTEST'!B1121</f>
        <v>3041.31</v>
      </c>
      <c r="C1118" s="22">
        <f>1/'EQUITY BACKTEST'!E1121</f>
        <v>0.9177679883</v>
      </c>
      <c r="D1118" s="22">
        <f t="shared" si="1"/>
        <v>-0.7580591396</v>
      </c>
      <c r="E1118" s="22">
        <f t="shared" ref="E1118:F1118" si="1118">IF(A1118&lt;&gt;"", (B1118 - B1117) / B1117, "")</f>
        <v>-0.04778439102</v>
      </c>
      <c r="F1118" s="22">
        <f t="shared" si="1118"/>
        <v>-0.00783773862</v>
      </c>
      <c r="H1118" s="22" t="str">
        <f t="shared" si="4"/>
        <v/>
      </c>
    </row>
    <row r="1119" ht="15.75" customHeight="1">
      <c r="A1119" s="32">
        <f>'EQUITY BACKTEST'!A1122</f>
        <v>44001.66667</v>
      </c>
      <c r="B1119" s="22">
        <f>'EQUITY BACKTEST'!B1122</f>
        <v>3097.74</v>
      </c>
      <c r="C1119" s="22">
        <f>1/'EQUITY BACKTEST'!E1122</f>
        <v>0.9008116313</v>
      </c>
      <c r="D1119" s="22">
        <f t="shared" si="1"/>
        <v>-0.752216086</v>
      </c>
      <c r="E1119" s="22">
        <f t="shared" ref="E1119:F1119" si="1119">IF(A1119&lt;&gt;"", (B1119 - B1118) / B1118, "")</f>
        <v>0.01855450447</v>
      </c>
      <c r="F1119" s="22">
        <f t="shared" si="1119"/>
        <v>-0.01847564656</v>
      </c>
      <c r="H1119" s="22" t="str">
        <f t="shared" si="4"/>
        <v/>
      </c>
    </row>
    <row r="1120" ht="15.75" customHeight="1">
      <c r="A1120" s="32">
        <f>'EQUITY BACKTEST'!A1123</f>
        <v>44008.66667</v>
      </c>
      <c r="B1120" s="22">
        <f>'EQUITY BACKTEST'!B1123</f>
        <v>3009.05</v>
      </c>
      <c r="C1120" s="22">
        <f>1/'EQUITY BACKTEST'!E1123</f>
        <v>0.8866191439</v>
      </c>
      <c r="D1120" s="22">
        <f t="shared" si="1"/>
        <v>-0.7428113959</v>
      </c>
      <c r="E1120" s="22">
        <f t="shared" ref="E1120:F1120" si="1120">IF(A1120&lt;&gt;"", (B1120 - B1119) / B1119, "")</f>
        <v>-0.02863055001</v>
      </c>
      <c r="F1120" s="22">
        <f t="shared" si="1120"/>
        <v>-0.01575522219</v>
      </c>
      <c r="H1120" s="22" t="str">
        <f t="shared" si="4"/>
        <v/>
      </c>
    </row>
    <row r="1121" ht="15.75" customHeight="1">
      <c r="A1121" s="32">
        <f>'EQUITY BACKTEST'!A1124</f>
        <v>44014.66667</v>
      </c>
      <c r="B1121" s="22">
        <f>'EQUITY BACKTEST'!B1124</f>
        <v>3130.01</v>
      </c>
      <c r="C1121" s="22">
        <f>1/'EQUITY BACKTEST'!E1124</f>
        <v>0.8883361464</v>
      </c>
      <c r="D1121" s="22">
        <f t="shared" si="1"/>
        <v>-0.7215892314</v>
      </c>
      <c r="E1121" s="22">
        <f t="shared" ref="E1121:F1121" si="1121">IF(A1121&lt;&gt;"", (B1121 - B1120) / B1120, "")</f>
        <v>0.04019873382</v>
      </c>
      <c r="F1121" s="22">
        <f t="shared" si="1121"/>
        <v>0.001936572799</v>
      </c>
      <c r="H1121" s="22" t="str">
        <f t="shared" si="4"/>
        <v/>
      </c>
    </row>
    <row r="1122" ht="15.75" customHeight="1">
      <c r="A1122" s="32">
        <f>'EQUITY BACKTEST'!A1125</f>
        <v>44022.66667</v>
      </c>
      <c r="B1122" s="22">
        <f>'EQUITY BACKTEST'!B1125</f>
        <v>3185.04</v>
      </c>
      <c r="C1122" s="22">
        <f>1/'EQUITY BACKTEST'!E1125</f>
        <v>0.8946784526</v>
      </c>
      <c r="D1122" s="22">
        <f t="shared" si="1"/>
        <v>-0.6765082065</v>
      </c>
      <c r="E1122" s="22">
        <f t="shared" ref="E1122:F1122" si="1122">IF(A1122&lt;&gt;"", (B1122 - B1121) / B1121, "")</f>
        <v>0.01758141348</v>
      </c>
      <c r="F1122" s="22">
        <f t="shared" si="1122"/>
        <v>0.007139534051</v>
      </c>
      <c r="H1122" s="22" t="str">
        <f t="shared" si="4"/>
        <v/>
      </c>
    </row>
    <row r="1123" ht="15.75" customHeight="1">
      <c r="A1123" s="32">
        <f>'EQUITY BACKTEST'!A1126</f>
        <v>44029.66667</v>
      </c>
      <c r="B1123" s="22">
        <f>'EQUITY BACKTEST'!B1126</f>
        <v>3224.73</v>
      </c>
      <c r="C1123" s="22">
        <f>1/'EQUITY BACKTEST'!E1126</f>
        <v>0.8913370948</v>
      </c>
      <c r="D1123" s="22">
        <f t="shared" si="1"/>
        <v>-0.6442988359</v>
      </c>
      <c r="E1123" s="22">
        <f t="shared" ref="E1123:F1123" si="1123">IF(A1123&lt;&gt;"", (B1123 - B1122) / B1122, "")</f>
        <v>0.01246138196</v>
      </c>
      <c r="F1123" s="22">
        <f t="shared" si="1123"/>
        <v>-0.003734702427</v>
      </c>
      <c r="H1123" s="22" t="str">
        <f t="shared" si="4"/>
        <v/>
      </c>
    </row>
    <row r="1124" ht="15.75" customHeight="1">
      <c r="A1124" s="32">
        <f>'EQUITY BACKTEST'!A1127</f>
        <v>44036.66667</v>
      </c>
      <c r="B1124" s="22">
        <f>'EQUITY BACKTEST'!B1127</f>
        <v>3215.63</v>
      </c>
      <c r="C1124" s="22">
        <f>1/'EQUITY BACKTEST'!E1127</f>
        <v>0.8894423197</v>
      </c>
      <c r="D1124" s="22">
        <f t="shared" si="1"/>
        <v>-0.5964044</v>
      </c>
      <c r="E1124" s="22">
        <f t="shared" ref="E1124:F1124" si="1124">IF(A1124&lt;&gt;"", (B1124 - B1123) / B1123, "")</f>
        <v>-0.002821941682</v>
      </c>
      <c r="F1124" s="22">
        <f t="shared" si="1124"/>
        <v>-0.002125767144</v>
      </c>
      <c r="H1124" s="22" t="str">
        <f t="shared" si="4"/>
        <v/>
      </c>
    </row>
    <row r="1125" ht="15.75" customHeight="1">
      <c r="A1125" s="32">
        <f>'EQUITY BACKTEST'!A1128</f>
        <v>44043.66667</v>
      </c>
      <c r="B1125" s="22">
        <f>'EQUITY BACKTEST'!B1128</f>
        <v>3271.12</v>
      </c>
      <c r="C1125" s="22">
        <f>1/'EQUITY BACKTEST'!E1128</f>
        <v>0.8850340738</v>
      </c>
      <c r="D1125" s="22">
        <f t="shared" si="1"/>
        <v>-0.5429499503</v>
      </c>
      <c r="E1125" s="22">
        <f t="shared" ref="E1125:F1125" si="1125">IF(A1125&lt;&gt;"", (B1125 - B1124) / B1124, "")</f>
        <v>0.01725633857</v>
      </c>
      <c r="F1125" s="22">
        <f t="shared" si="1125"/>
        <v>-0.004956190813</v>
      </c>
      <c r="H1125" s="22" t="str">
        <f t="shared" si="4"/>
        <v/>
      </c>
    </row>
    <row r="1126" ht="15.75" customHeight="1">
      <c r="A1126" s="32">
        <f>'EQUITY BACKTEST'!A1129</f>
        <v>44050.66667</v>
      </c>
      <c r="B1126" s="22">
        <f>'EQUITY BACKTEST'!B1129</f>
        <v>3351.28</v>
      </c>
      <c r="C1126" s="22">
        <f>1/'EQUITY BACKTEST'!E1129</f>
        <v>0.8753041682</v>
      </c>
      <c r="D1126" s="22">
        <f t="shared" si="1"/>
        <v>-0.4694622563</v>
      </c>
      <c r="E1126" s="22">
        <f t="shared" ref="E1126:F1126" si="1126">IF(A1126&lt;&gt;"", (B1126 - B1125) / B1125, "")</f>
        <v>0.02450536819</v>
      </c>
      <c r="F1126" s="22">
        <f t="shared" si="1126"/>
        <v>-0.01099382035</v>
      </c>
      <c r="H1126" s="22" t="str">
        <f t="shared" si="4"/>
        <v/>
      </c>
    </row>
    <row r="1127" ht="15.75" customHeight="1">
      <c r="A1127" s="32">
        <f>'EQUITY BACKTEST'!A1130</f>
        <v>44057.66667</v>
      </c>
      <c r="B1127" s="22">
        <f>'EQUITY BACKTEST'!B1130</f>
        <v>3372.85</v>
      </c>
      <c r="C1127" s="22">
        <f>1/'EQUITY BACKTEST'!E1130</f>
        <v>0.8579346082</v>
      </c>
      <c r="D1127" s="22">
        <f t="shared" si="1"/>
        <v>-0.3831346902</v>
      </c>
      <c r="E1127" s="22">
        <f t="shared" ref="E1127:F1127" si="1127">IF(A1127&lt;&gt;"", (B1127 - B1126) / B1126, "")</f>
        <v>0.006436346709</v>
      </c>
      <c r="F1127" s="22">
        <f t="shared" si="1127"/>
        <v>-0.01984402749</v>
      </c>
      <c r="H1127" s="22" t="str">
        <f t="shared" si="4"/>
        <v/>
      </c>
    </row>
    <row r="1128" ht="15.75" customHeight="1">
      <c r="A1128" s="32">
        <f>'EQUITY BACKTEST'!A1131</f>
        <v>44064.66667</v>
      </c>
      <c r="B1128" s="22">
        <f>'EQUITY BACKTEST'!B1131</f>
        <v>3397.16</v>
      </c>
      <c r="C1128" s="22">
        <f>1/'EQUITY BACKTEST'!E1131</f>
        <v>0.8494805426</v>
      </c>
      <c r="D1128" s="22">
        <f t="shared" si="1"/>
        <v>-0.3280604678</v>
      </c>
      <c r="E1128" s="22">
        <f t="shared" ref="E1128:F1128" si="1128">IF(A1128&lt;&gt;"", (B1128 - B1127) / B1127, "")</f>
        <v>0.007207554442</v>
      </c>
      <c r="F1128" s="22">
        <f t="shared" si="1128"/>
        <v>-0.009853974295</v>
      </c>
      <c r="H1128" s="22" t="str">
        <f t="shared" si="4"/>
        <v/>
      </c>
    </row>
    <row r="1129" ht="15.75" customHeight="1">
      <c r="A1129" s="32">
        <f>'EQUITY BACKTEST'!A1132</f>
        <v>44071.66667</v>
      </c>
      <c r="B1129" s="22">
        <f>'EQUITY BACKTEST'!B1132</f>
        <v>3508.01</v>
      </c>
      <c r="C1129" s="22">
        <f>1/'EQUITY BACKTEST'!E1132</f>
        <v>0.8484642797</v>
      </c>
      <c r="D1129" s="22">
        <f t="shared" si="1"/>
        <v>-0.2563184564</v>
      </c>
      <c r="E1129" s="22">
        <f t="shared" ref="E1129:F1129" si="1129">IF(A1129&lt;&gt;"", (B1129 - B1128) / B1128, "")</f>
        <v>0.03263019699</v>
      </c>
      <c r="F1129" s="22">
        <f t="shared" si="1129"/>
        <v>-0.001196334634</v>
      </c>
      <c r="H1129" s="22" t="str">
        <f t="shared" si="4"/>
        <v/>
      </c>
    </row>
    <row r="1130" ht="15.75" customHeight="1">
      <c r="A1130" s="32">
        <f>'EQUITY BACKTEST'!A1133</f>
        <v>44078.66667</v>
      </c>
      <c r="B1130" s="22">
        <f>'EQUITY BACKTEST'!B1133</f>
        <v>3426.96</v>
      </c>
      <c r="C1130" s="22">
        <f>1/'EQUITY BACKTEST'!E1133</f>
        <v>0.8445375312</v>
      </c>
      <c r="D1130" s="22">
        <f t="shared" si="1"/>
        <v>-0.198391142</v>
      </c>
      <c r="E1130" s="22">
        <f t="shared" ref="E1130:F1130" si="1130">IF(A1130&lt;&gt;"", (B1130 - B1129) / B1129, "")</f>
        <v>-0.02310426709</v>
      </c>
      <c r="F1130" s="22">
        <f t="shared" si="1130"/>
        <v>-0.004628065671</v>
      </c>
      <c r="H1130" s="22" t="str">
        <f t="shared" si="4"/>
        <v/>
      </c>
    </row>
    <row r="1131" ht="15.75" customHeight="1">
      <c r="A1131" s="32">
        <f>'EQUITY BACKTEST'!A1134</f>
        <v>44085.66667</v>
      </c>
      <c r="B1131" s="22">
        <f>'EQUITY BACKTEST'!B1134</f>
        <v>3340.97</v>
      </c>
      <c r="C1131" s="22">
        <f>1/'EQUITY BACKTEST'!E1134</f>
        <v>0.8482627579</v>
      </c>
      <c r="D1131" s="22">
        <f t="shared" si="1"/>
        <v>-0.13280155</v>
      </c>
      <c r="E1131" s="22">
        <f t="shared" ref="E1131:F1131" si="1131">IF(A1131&lt;&gt;"", (B1131 - B1130) / B1130, "")</f>
        <v>-0.02509221001</v>
      </c>
      <c r="F1131" s="22">
        <f t="shared" si="1131"/>
        <v>0.004410966341</v>
      </c>
      <c r="H1131" s="22" t="str">
        <f t="shared" si="4"/>
        <v/>
      </c>
    </row>
    <row r="1132" ht="15.75" customHeight="1">
      <c r="A1132" s="32">
        <f>'EQUITY BACKTEST'!A1135</f>
        <v>44092.66667</v>
      </c>
      <c r="B1132" s="22">
        <f>'EQUITY BACKTEST'!B1135</f>
        <v>3319.47</v>
      </c>
      <c r="C1132" s="22">
        <f>1/'EQUITY BACKTEST'!E1135</f>
        <v>0.8408731627</v>
      </c>
      <c r="D1132" s="22">
        <f t="shared" si="1"/>
        <v>-0.07967513246</v>
      </c>
      <c r="E1132" s="22">
        <f t="shared" ref="E1132:F1132" si="1132">IF(A1132&lt;&gt;"", (B1132 - B1131) / B1131, "")</f>
        <v>-0.006435256827</v>
      </c>
      <c r="F1132" s="22">
        <f t="shared" si="1132"/>
        <v>-0.008711445965</v>
      </c>
      <c r="H1132" s="22" t="str">
        <f t="shared" si="4"/>
        <v/>
      </c>
    </row>
    <row r="1133" ht="15.75" customHeight="1">
      <c r="A1133" s="32">
        <f>'EQUITY BACKTEST'!A1136</f>
        <v>44099.66667</v>
      </c>
      <c r="B1133" s="22">
        <f>'EQUITY BACKTEST'!B1136</f>
        <v>3298.46</v>
      </c>
      <c r="C1133" s="22">
        <f>1/'EQUITY BACKTEST'!E1136</f>
        <v>0.8450442381</v>
      </c>
      <c r="D1133" s="22">
        <f t="shared" si="1"/>
        <v>-0.05895306577</v>
      </c>
      <c r="E1133" s="22">
        <f t="shared" ref="E1133:F1133" si="1133">IF(A1133&lt;&gt;"", (B1133 - B1132) / B1132, "")</f>
        <v>-0.006329323657</v>
      </c>
      <c r="F1133" s="22">
        <f t="shared" si="1133"/>
        <v>0.004960409677</v>
      </c>
      <c r="H1133" s="22" t="str">
        <f t="shared" si="4"/>
        <v/>
      </c>
    </row>
    <row r="1134" ht="15.75" customHeight="1">
      <c r="A1134" s="32">
        <f>'EQUITY BACKTEST'!A1137</f>
        <v>44106.66667</v>
      </c>
      <c r="B1134" s="22">
        <f>'EQUITY BACKTEST'!B1137</f>
        <v>3348.44</v>
      </c>
      <c r="C1134" s="22">
        <f>1/'EQUITY BACKTEST'!E1137</f>
        <v>0.8448157879</v>
      </c>
      <c r="D1134" s="22">
        <f t="shared" si="1"/>
        <v>-0.01776375439</v>
      </c>
      <c r="E1134" s="22">
        <f t="shared" ref="E1134:F1134" si="1134">IF(A1134&lt;&gt;"", (B1134 - B1133) / B1133, "")</f>
        <v>0.01515252572</v>
      </c>
      <c r="F1134" s="22">
        <f t="shared" si="1134"/>
        <v>-0.0002703410521</v>
      </c>
      <c r="H1134" s="22" t="str">
        <f t="shared" si="4"/>
        <v/>
      </c>
    </row>
    <row r="1135" ht="15.75" customHeight="1">
      <c r="A1135" s="32">
        <f>'EQUITY BACKTEST'!A1138</f>
        <v>44113.66667</v>
      </c>
      <c r="B1135" s="22">
        <f>'EQUITY BACKTEST'!B1138</f>
        <v>3477.13</v>
      </c>
      <c r="C1135" s="22">
        <f>1/'EQUITY BACKTEST'!E1138</f>
        <v>0.844730151</v>
      </c>
      <c r="D1135" s="22">
        <f t="shared" si="1"/>
        <v>0.03506664696</v>
      </c>
      <c r="E1135" s="22">
        <f t="shared" ref="E1135:F1135" si="1135">IF(A1135&lt;&gt;"", (B1135 - B1134) / B1134, "")</f>
        <v>0.03843282245</v>
      </c>
      <c r="F1135" s="22">
        <f t="shared" si="1135"/>
        <v>-0.0001013676181</v>
      </c>
      <c r="H1135" s="22" t="str">
        <f t="shared" si="4"/>
        <v/>
      </c>
    </row>
    <row r="1136" ht="15.75" customHeight="1">
      <c r="A1136" s="32">
        <f>'EQUITY BACKTEST'!A1139</f>
        <v>44120.66667</v>
      </c>
      <c r="B1136" s="22">
        <f>'EQUITY BACKTEST'!B1139</f>
        <v>3483.81</v>
      </c>
      <c r="C1136" s="22">
        <f>1/'EQUITY BACKTEST'!E1139</f>
        <v>0.8600522912</v>
      </c>
      <c r="D1136" s="22">
        <f t="shared" si="1"/>
        <v>0.08788512695</v>
      </c>
      <c r="E1136" s="22">
        <f t="shared" ref="E1136:F1136" si="1136">IF(A1136&lt;&gt;"", (B1136 - B1135) / B1135, "")</f>
        <v>0.001921124606</v>
      </c>
      <c r="F1136" s="22">
        <f t="shared" si="1136"/>
        <v>0.01813850282</v>
      </c>
      <c r="H1136" s="22" t="str">
        <f t="shared" si="4"/>
        <v/>
      </c>
    </row>
    <row r="1137" ht="15.75" customHeight="1">
      <c r="A1137" s="32">
        <f>'EQUITY BACKTEST'!A1140</f>
        <v>44127.66667</v>
      </c>
      <c r="B1137" s="22">
        <f>'EQUITY BACKTEST'!B1140</f>
        <v>3465.39</v>
      </c>
      <c r="C1137" s="22">
        <f>1/'EQUITY BACKTEST'!E1140</f>
        <v>0.8535773426</v>
      </c>
      <c r="D1137" s="22">
        <f t="shared" si="1"/>
        <v>0.2097197729</v>
      </c>
      <c r="E1137" s="22">
        <f t="shared" ref="E1137:F1137" si="1137">IF(A1137&lt;&gt;"", (B1137 - B1136) / B1136, "")</f>
        <v>-0.00528731475</v>
      </c>
      <c r="F1137" s="22">
        <f t="shared" si="1137"/>
        <v>-0.007528552162</v>
      </c>
      <c r="H1137" s="22" t="str">
        <f t="shared" si="4"/>
        <v/>
      </c>
    </row>
    <row r="1138" ht="15.75" customHeight="1">
      <c r="A1138" s="32">
        <f>'EQUITY BACKTEST'!A1141</f>
        <v>44134.66667</v>
      </c>
      <c r="B1138" s="22">
        <f>'EQUITY BACKTEST'!B1141</f>
        <v>3269.96</v>
      </c>
      <c r="C1138" s="22">
        <f>1/'EQUITY BACKTEST'!E1141</f>
        <v>0.8456516592</v>
      </c>
      <c r="D1138" s="22">
        <f t="shared" si="1"/>
        <v>0.3180672196</v>
      </c>
      <c r="E1138" s="22">
        <f t="shared" ref="E1138:F1138" si="1138">IF(A1138&lt;&gt;"", (B1138 - B1137) / B1137, "")</f>
        <v>-0.05639480693</v>
      </c>
      <c r="F1138" s="22">
        <f t="shared" si="1138"/>
        <v>-0.009285255218</v>
      </c>
      <c r="H1138" s="22" t="str">
        <f t="shared" si="4"/>
        <v/>
      </c>
    </row>
    <row r="1139" ht="15.75" customHeight="1">
      <c r="A1139" s="32">
        <f>'EQUITY BACKTEST'!A1142</f>
        <v>44141.66667</v>
      </c>
      <c r="B1139" s="22">
        <f>'EQUITY BACKTEST'!B1142</f>
        <v>3509.44</v>
      </c>
      <c r="C1139" s="22">
        <f>1/'EQUITY BACKTEST'!E1142</f>
        <v>0.8540220167</v>
      </c>
      <c r="D1139" s="22">
        <f t="shared" si="1"/>
        <v>0.4160729549</v>
      </c>
      <c r="E1139" s="22">
        <f t="shared" ref="E1139:F1139" si="1139">IF(A1139&lt;&gt;"", (B1139 - B1138) / B1138, "")</f>
        <v>0.07323636986</v>
      </c>
      <c r="F1139" s="22">
        <f t="shared" si="1139"/>
        <v>0.009898115173</v>
      </c>
      <c r="H1139" s="22" t="str">
        <f t="shared" si="4"/>
        <v/>
      </c>
    </row>
    <row r="1140" ht="15.75" customHeight="1">
      <c r="A1140" s="32">
        <f>'EQUITY BACKTEST'!A1143</f>
        <v>44148.66667</v>
      </c>
      <c r="B1140" s="22">
        <f>'EQUITY BACKTEST'!B1143</f>
        <v>3585.15</v>
      </c>
      <c r="C1140" s="22">
        <f>1/'EQUITY BACKTEST'!E1143</f>
        <v>0.8435828651</v>
      </c>
      <c r="D1140" s="22">
        <f t="shared" si="1"/>
        <v>0.5154991688</v>
      </c>
      <c r="E1140" s="22">
        <f t="shared" ref="E1140:F1140" si="1140">IF(A1140&lt;&gt;"", (B1140 - B1139) / B1139, "")</f>
        <v>0.02157324245</v>
      </c>
      <c r="F1140" s="22">
        <f t="shared" si="1140"/>
        <v>-0.01222351572</v>
      </c>
      <c r="H1140" s="22" t="str">
        <f t="shared" si="4"/>
        <v/>
      </c>
    </row>
    <row r="1141" ht="15.75" customHeight="1">
      <c r="A1141" s="32">
        <f>'EQUITY BACKTEST'!A1144</f>
        <v>44155.66667</v>
      </c>
      <c r="B1141" s="22">
        <f>'EQUITY BACKTEST'!B1144</f>
        <v>3557.54</v>
      </c>
      <c r="C1141" s="22">
        <f>1/'EQUITY BACKTEST'!E1144</f>
        <v>0.8565310493</v>
      </c>
      <c r="D1141" s="22">
        <f t="shared" si="1"/>
        <v>0.5774404548</v>
      </c>
      <c r="E1141" s="22">
        <f t="shared" ref="E1141:F1141" si="1141">IF(A1141&lt;&gt;"", (B1141 - B1140) / B1140, "")</f>
        <v>-0.007701211944</v>
      </c>
      <c r="F1141" s="22">
        <f t="shared" si="1141"/>
        <v>0.0153490364</v>
      </c>
      <c r="H1141" s="22" t="str">
        <f t="shared" si="4"/>
        <v/>
      </c>
    </row>
    <row r="1142" ht="15.75" customHeight="1">
      <c r="A1142" s="32">
        <f>'EQUITY BACKTEST'!A1145</f>
        <v>44162.54167</v>
      </c>
      <c r="B1142" s="22">
        <f>'EQUITY BACKTEST'!B1145</f>
        <v>3638.35</v>
      </c>
      <c r="C1142" s="22">
        <f>1/'EQUITY BACKTEST'!E1145</f>
        <v>0.8423180593</v>
      </c>
      <c r="D1142" s="22">
        <f t="shared" si="1"/>
        <v>0.6771170659</v>
      </c>
      <c r="E1142" s="22">
        <f t="shared" ref="E1142:F1142" si="1142">IF(A1142&lt;&gt;"", (B1142 - B1141) / B1141, "")</f>
        <v>0.02271513462</v>
      </c>
      <c r="F1142" s="22">
        <f t="shared" si="1142"/>
        <v>-0.01659366577</v>
      </c>
      <c r="H1142" s="22" t="str">
        <f t="shared" si="4"/>
        <v/>
      </c>
    </row>
    <row r="1143" ht="15.75" customHeight="1">
      <c r="A1143" s="32">
        <f>'EQUITY BACKTEST'!A1146</f>
        <v>44169.66667</v>
      </c>
      <c r="B1143" s="22">
        <f>'EQUITY BACKTEST'!B1146</f>
        <v>3699.12</v>
      </c>
      <c r="C1143" s="22">
        <f>1/'EQUITY BACKTEST'!E1146</f>
        <v>0.845487212</v>
      </c>
      <c r="D1143" s="22">
        <f t="shared" si="1"/>
        <v>0.711276486</v>
      </c>
      <c r="E1143" s="22">
        <f t="shared" ref="E1143:F1143" si="1143">IF(A1143&lt;&gt;"", (B1143 - B1142) / B1142, "")</f>
        <v>0.01670262619</v>
      </c>
      <c r="F1143" s="22">
        <f t="shared" si="1143"/>
        <v>0.003762418093</v>
      </c>
      <c r="H1143" s="22" t="str">
        <f t="shared" si="4"/>
        <v/>
      </c>
    </row>
    <row r="1144" ht="15.75" customHeight="1">
      <c r="A1144" s="32">
        <f>'EQUITY BACKTEST'!A1147</f>
        <v>44176.66667</v>
      </c>
      <c r="B1144" s="22">
        <f>'EQUITY BACKTEST'!B1147</f>
        <v>3663.46</v>
      </c>
      <c r="C1144" s="22">
        <f>1/'EQUITY BACKTEST'!E1147</f>
        <v>0.8436967416</v>
      </c>
      <c r="D1144" s="22">
        <f t="shared" si="1"/>
        <v>0.7557945644</v>
      </c>
      <c r="E1144" s="22">
        <f t="shared" ref="E1144:F1144" si="1144">IF(A1144&lt;&gt;"", (B1144 - B1143) / B1143, "")</f>
        <v>-0.009640130626</v>
      </c>
      <c r="F1144" s="22">
        <f t="shared" si="1144"/>
        <v>-0.002117678822</v>
      </c>
      <c r="H1144" s="22" t="str">
        <f t="shared" si="4"/>
        <v/>
      </c>
    </row>
    <row r="1145" ht="15.75" customHeight="1">
      <c r="A1145" s="32">
        <f>'EQUITY BACKTEST'!A1148</f>
        <v>44183.66667</v>
      </c>
      <c r="B1145" s="22">
        <f>'EQUITY BACKTEST'!B1148</f>
        <v>3709.41</v>
      </c>
      <c r="C1145" s="22">
        <f>1/'EQUITY BACKTEST'!E1148</f>
        <v>0.8359806052</v>
      </c>
      <c r="D1145" s="22">
        <f t="shared" si="1"/>
        <v>0.7904893197</v>
      </c>
      <c r="E1145" s="22">
        <f t="shared" ref="E1145:F1145" si="1145">IF(A1145&lt;&gt;"", (B1145 - B1144) / B1144, "")</f>
        <v>0.01254278742</v>
      </c>
      <c r="F1145" s="22">
        <f t="shared" si="1145"/>
        <v>-0.009145627821</v>
      </c>
      <c r="H1145" s="22" t="str">
        <f t="shared" si="4"/>
        <v/>
      </c>
    </row>
    <row r="1146" ht="15.75" customHeight="1">
      <c r="A1146" s="32">
        <f>'EQUITY BACKTEST'!A1149</f>
        <v>44188.66667</v>
      </c>
      <c r="B1146" s="22">
        <f>'EQUITY BACKTEST'!B1149</f>
        <v>3690.01</v>
      </c>
      <c r="C1146" s="22">
        <f>1/'EQUITY BACKTEST'!E1149</f>
        <v>0.8250825083</v>
      </c>
      <c r="D1146" s="22">
        <f t="shared" si="1"/>
        <v>0.8146559231</v>
      </c>
      <c r="E1146" s="22">
        <f t="shared" ref="E1146:F1146" si="1146">IF(A1146&lt;&gt;"", (B1146 - B1145) / B1145, "")</f>
        <v>-0.005229942228</v>
      </c>
      <c r="F1146" s="22">
        <f t="shared" si="1146"/>
        <v>-0.01303630363</v>
      </c>
      <c r="H1146" s="22" t="str">
        <f t="shared" si="4"/>
        <v/>
      </c>
    </row>
    <row r="1147" ht="15.75" customHeight="1">
      <c r="A1147" s="32">
        <f>'EQUITY BACKTEST'!A1150</f>
        <v>44196.66667</v>
      </c>
      <c r="B1147" s="22">
        <f>'EQUITY BACKTEST'!B1150</f>
        <v>3756.07</v>
      </c>
      <c r="C1147" s="22">
        <f>1/'EQUITY BACKTEST'!E1150</f>
        <v>0.8255593164</v>
      </c>
      <c r="D1147" s="22">
        <f t="shared" si="1"/>
        <v>0.8265276689</v>
      </c>
      <c r="E1147" s="22">
        <f t="shared" ref="E1147:F1147" si="1147">IF(A1147&lt;&gt;"", (B1147 - B1146) / B1146, "")</f>
        <v>0.01790239051</v>
      </c>
      <c r="F1147" s="22">
        <f t="shared" si="1147"/>
        <v>0.0005778915215</v>
      </c>
      <c r="H1147" s="22" t="str">
        <f t="shared" si="4"/>
        <v/>
      </c>
    </row>
    <row r="1148" ht="15.75" customHeight="1">
      <c r="A1148" s="32">
        <f>'EQUITY BACKTEST'!A1151</f>
        <v>44204.66667</v>
      </c>
      <c r="B1148" s="22">
        <f>'EQUITY BACKTEST'!B1151</f>
        <v>3824.68</v>
      </c>
      <c r="C1148" s="22">
        <f>1/'EQUITY BACKTEST'!E1151</f>
        <v>0.8160134479</v>
      </c>
      <c r="D1148" s="22">
        <f t="shared" si="1"/>
        <v>0.8280982368</v>
      </c>
      <c r="E1148" s="22">
        <f t="shared" ref="E1148:F1148" si="1148">IF(A1148&lt;&gt;"", (B1148 - B1147) / B1147, "")</f>
        <v>0.01826643273</v>
      </c>
      <c r="F1148" s="22">
        <f t="shared" si="1148"/>
        <v>-0.01156291056</v>
      </c>
      <c r="H1148" s="22" t="str">
        <f t="shared" si="4"/>
        <v/>
      </c>
    </row>
    <row r="1149" ht="15.75" customHeight="1">
      <c r="A1149" s="32">
        <f>'EQUITY BACKTEST'!A1152</f>
        <v>44211.66667</v>
      </c>
      <c r="B1149" s="22">
        <f>'EQUITY BACKTEST'!B1152</f>
        <v>3768.25</v>
      </c>
      <c r="C1149" s="22">
        <f>1/'EQUITY BACKTEST'!E1152</f>
        <v>0.8229775327</v>
      </c>
      <c r="D1149" s="22">
        <f t="shared" si="1"/>
        <v>0.824601143</v>
      </c>
      <c r="E1149" s="22">
        <f t="shared" ref="E1149:F1149" si="1149">IF(A1149&lt;&gt;"", (B1149 - B1148) / B1148, "")</f>
        <v>-0.01475417551</v>
      </c>
      <c r="F1149" s="22">
        <f t="shared" si="1149"/>
        <v>0.008534277014</v>
      </c>
      <c r="H1149" s="22" t="str">
        <f t="shared" si="4"/>
        <v/>
      </c>
    </row>
    <row r="1150" ht="15.75" customHeight="1">
      <c r="A1150" s="32">
        <f>'EQUITY BACKTEST'!A1153</f>
        <v>44218.66667</v>
      </c>
      <c r="B1150" s="22">
        <f>'EQUITY BACKTEST'!B1153</f>
        <v>3841.47</v>
      </c>
      <c r="C1150" s="22">
        <f>1/'EQUITY BACKTEST'!E1153</f>
        <v>0.8325840077</v>
      </c>
      <c r="D1150" s="22">
        <f t="shared" si="1"/>
        <v>0.8085436322</v>
      </c>
      <c r="E1150" s="22">
        <f t="shared" ref="E1150:F1150" si="1150">IF(A1150&lt;&gt;"", (B1150 - B1149) / B1149, "")</f>
        <v>0.01943077025</v>
      </c>
      <c r="F1150" s="22">
        <f t="shared" si="1150"/>
        <v>0.01167282779</v>
      </c>
      <c r="H1150" s="22" t="str">
        <f t="shared" si="4"/>
        <v/>
      </c>
    </row>
    <row r="1151" ht="15.75" customHeight="1">
      <c r="A1151" s="32">
        <f>'EQUITY BACKTEST'!A1154</f>
        <v>44225.66667</v>
      </c>
      <c r="B1151" s="22">
        <f>'EQUITY BACKTEST'!B1154</f>
        <v>3714.24</v>
      </c>
      <c r="C1151" s="22">
        <f>1/'EQUITY BACKTEST'!E1154</f>
        <v>0.8182636445</v>
      </c>
      <c r="D1151" s="22">
        <f t="shared" si="1"/>
        <v>0.8027396815</v>
      </c>
      <c r="E1151" s="22">
        <f t="shared" ref="E1151:F1151" si="1151">IF(A1151&lt;&gt;"", (B1151 - B1150) / B1150, "")</f>
        <v>-0.0331201337</v>
      </c>
      <c r="F1151" s="22">
        <f t="shared" si="1151"/>
        <v>-0.01719990181</v>
      </c>
      <c r="H1151" s="22" t="str">
        <f t="shared" si="4"/>
        <v/>
      </c>
    </row>
    <row r="1152" ht="15.75" customHeight="1">
      <c r="A1152" s="32">
        <f>'EQUITY BACKTEST'!A1155</f>
        <v>44232.66667</v>
      </c>
      <c r="B1152" s="22">
        <f>'EQUITY BACKTEST'!B1155</f>
        <v>3886.83</v>
      </c>
      <c r="C1152" s="22">
        <f>1/'EQUITY BACKTEST'!E1155</f>
        <v>0.8281573499</v>
      </c>
      <c r="D1152" s="22">
        <f t="shared" si="1"/>
        <v>0.7948507707</v>
      </c>
      <c r="E1152" s="22">
        <f t="shared" ref="E1152:F1152" si="1152">IF(A1152&lt;&gt;"", (B1152 - B1151) / B1151, "")</f>
        <v>0.04646711036</v>
      </c>
      <c r="F1152" s="22">
        <f t="shared" si="1152"/>
        <v>0.01209109731</v>
      </c>
      <c r="H1152" s="22" t="str">
        <f t="shared" si="4"/>
        <v/>
      </c>
    </row>
    <row r="1153" ht="15.75" customHeight="1">
      <c r="A1153" s="32">
        <f>'EQUITY BACKTEST'!A1156</f>
        <v>44239.66667</v>
      </c>
      <c r="B1153" s="22">
        <f>'EQUITY BACKTEST'!B1156</f>
        <v>3934.83</v>
      </c>
      <c r="C1153" s="22">
        <f>1/'EQUITY BACKTEST'!E1156</f>
        <v>0.8255320554</v>
      </c>
      <c r="D1153" s="22">
        <f t="shared" si="1"/>
        <v>0.7811649871</v>
      </c>
      <c r="E1153" s="22">
        <f t="shared" ref="E1153:F1153" si="1153">IF(A1153&lt;&gt;"", (B1153 - B1152) / B1152, "")</f>
        <v>0.01234939527</v>
      </c>
      <c r="F1153" s="22">
        <f t="shared" si="1153"/>
        <v>-0.003170043093</v>
      </c>
      <c r="H1153" s="22" t="str">
        <f t="shared" si="4"/>
        <v/>
      </c>
    </row>
    <row r="1154" ht="15.75" customHeight="1">
      <c r="A1154" s="32">
        <f>'EQUITY BACKTEST'!A1157</f>
        <v>44246.66667</v>
      </c>
      <c r="B1154" s="22">
        <f>'EQUITY BACKTEST'!B1157</f>
        <v>3906.71</v>
      </c>
      <c r="C1154" s="22">
        <f>1/'EQUITY BACKTEST'!E1157</f>
        <v>0.8239947264</v>
      </c>
      <c r="D1154" s="22">
        <f t="shared" si="1"/>
        <v>0.7355224994</v>
      </c>
      <c r="E1154" s="22">
        <f t="shared" ref="E1154:F1154" si="1154">IF(A1154&lt;&gt;"", (B1154 - B1153) / B1153, "")</f>
        <v>-0.007146433264</v>
      </c>
      <c r="F1154" s="22">
        <f t="shared" si="1154"/>
        <v>-0.001862228082</v>
      </c>
      <c r="H1154" s="22" t="str">
        <f t="shared" si="4"/>
        <v/>
      </c>
    </row>
    <row r="1155" ht="15.75" customHeight="1">
      <c r="A1155" s="32">
        <f>'EQUITY BACKTEST'!A1158</f>
        <v>44253.66667</v>
      </c>
      <c r="B1155" s="22">
        <f>'EQUITY BACKTEST'!B1158</f>
        <v>3811.15</v>
      </c>
      <c r="C1155" s="22">
        <f>1/'EQUITY BACKTEST'!E1158</f>
        <v>0.8305578857</v>
      </c>
      <c r="D1155" s="22">
        <f t="shared" si="1"/>
        <v>0.7197338259</v>
      </c>
      <c r="E1155" s="22">
        <f t="shared" ref="E1155:F1155" si="1155">IF(A1155&lt;&gt;"", (B1155 - B1154) / B1154, "")</f>
        <v>-0.02446047953</v>
      </c>
      <c r="F1155" s="22">
        <f t="shared" si="1155"/>
        <v>0.007965050124</v>
      </c>
      <c r="H1155" s="22" t="str">
        <f t="shared" si="4"/>
        <v/>
      </c>
    </row>
    <row r="1156" ht="15.75" customHeight="1">
      <c r="A1156" s="32">
        <f>'EQUITY BACKTEST'!A1159</f>
        <v>44260.66667</v>
      </c>
      <c r="B1156" s="22">
        <f>'EQUITY BACKTEST'!B1159</f>
        <v>3841.94</v>
      </c>
      <c r="C1156" s="22">
        <f>1/'EQUITY BACKTEST'!E1159</f>
        <v>0.82515059</v>
      </c>
      <c r="D1156" s="22">
        <f t="shared" si="1"/>
        <v>0.7023836721</v>
      </c>
      <c r="E1156" s="22">
        <f t="shared" ref="E1156:F1156" si="1156">IF(A1156&lt;&gt;"", (B1156 - B1155) / B1155, "")</f>
        <v>0.008078926308</v>
      </c>
      <c r="F1156" s="22">
        <f t="shared" si="1156"/>
        <v>-0.006510438155</v>
      </c>
      <c r="H1156" s="22" t="str">
        <f t="shared" si="4"/>
        <v/>
      </c>
    </row>
    <row r="1157" ht="15.75" customHeight="1">
      <c r="A1157" s="32">
        <f>'EQUITY BACKTEST'!A1160</f>
        <v>44267.66667</v>
      </c>
      <c r="B1157" s="22">
        <f>'EQUITY BACKTEST'!B1160</f>
        <v>3943.34</v>
      </c>
      <c r="C1157" s="22">
        <f>1/'EQUITY BACKTEST'!E1160</f>
        <v>0.82515059</v>
      </c>
      <c r="D1157" s="22">
        <f t="shared" si="1"/>
        <v>0.6507178999</v>
      </c>
      <c r="E1157" s="22">
        <f t="shared" ref="E1157:F1157" si="1157">IF(A1157&lt;&gt;"", (B1157 - B1156) / B1156, "")</f>
        <v>0.02639291608</v>
      </c>
      <c r="F1157" s="22">
        <f t="shared" si="1157"/>
        <v>0</v>
      </c>
      <c r="H1157" s="22" t="str">
        <f t="shared" si="4"/>
        <v/>
      </c>
    </row>
    <row r="1158" ht="15.75" customHeight="1">
      <c r="A1158" s="32">
        <f>'EQUITY BACKTEST'!A1161</f>
        <v>44274.66667</v>
      </c>
      <c r="B1158" s="22">
        <f>'EQUITY BACKTEST'!B1161</f>
        <v>3913.1</v>
      </c>
      <c r="C1158" s="22">
        <f>1/'EQUITY BACKTEST'!E1161</f>
        <v>0.8285347363</v>
      </c>
      <c r="D1158" s="22">
        <f t="shared" si="1"/>
        <v>0.6299497988</v>
      </c>
      <c r="E1158" s="22">
        <f t="shared" ref="E1158:F1158" si="1158">IF(A1158&lt;&gt;"", (B1158 - B1157) / B1157, "")</f>
        <v>-0.007668626089</v>
      </c>
      <c r="F1158" s="22">
        <f t="shared" si="1158"/>
        <v>0.004101246945</v>
      </c>
      <c r="H1158" s="22" t="str">
        <f t="shared" si="4"/>
        <v/>
      </c>
    </row>
    <row r="1159" ht="15.75" customHeight="1">
      <c r="A1159" s="32">
        <f>'EQUITY BACKTEST'!A1162</f>
        <v>44281.66667</v>
      </c>
      <c r="B1159" s="22">
        <f>'EQUITY BACKTEST'!B1162</f>
        <v>3974.54</v>
      </c>
      <c r="C1159" s="22">
        <f>1/'EQUITY BACKTEST'!E1162</f>
        <v>0.8397151686</v>
      </c>
      <c r="D1159" s="22">
        <f t="shared" si="1"/>
        <v>0.6087857001</v>
      </c>
      <c r="E1159" s="22">
        <f t="shared" ref="E1159:F1159" si="1159">IF(A1159&lt;&gt;"", (B1159 - B1158) / B1158, "")</f>
        <v>0.01570110654</v>
      </c>
      <c r="F1159" s="22">
        <f t="shared" si="1159"/>
        <v>0.01349422276</v>
      </c>
      <c r="H1159" s="22" t="str">
        <f t="shared" si="4"/>
        <v/>
      </c>
    </row>
    <row r="1160" ht="15.75" customHeight="1">
      <c r="A1160" s="32">
        <f>'EQUITY BACKTEST'!A1163</f>
        <v>44287.66667</v>
      </c>
      <c r="B1160" s="22">
        <f>'EQUITY BACKTEST'!B1163</f>
        <v>4019.87</v>
      </c>
      <c r="C1160" s="22">
        <f>1/'EQUITY BACKTEST'!E1163</f>
        <v>0.8366590531</v>
      </c>
      <c r="D1160" s="22">
        <f t="shared" si="1"/>
        <v>0.6054224918</v>
      </c>
      <c r="E1160" s="22">
        <f t="shared" ref="E1160:F1160" si="1160">IF(A1160&lt;&gt;"", (B1160 - B1159) / B1159, "")</f>
        <v>0.01140509342</v>
      </c>
      <c r="F1160" s="22">
        <f t="shared" si="1160"/>
        <v>-0.003639466881</v>
      </c>
      <c r="H1160" s="22" t="str">
        <f t="shared" si="4"/>
        <v/>
      </c>
    </row>
    <row r="1161" ht="15.75" customHeight="1">
      <c r="A1161" s="32">
        <f>'EQUITY BACKTEST'!A1164</f>
        <v>44295.66667</v>
      </c>
      <c r="B1161" s="22">
        <f>'EQUITY BACKTEST'!B1164</f>
        <v>4128.8</v>
      </c>
      <c r="C1161" s="22">
        <f>1/'EQUITY BACKTEST'!E1164</f>
        <v>0.8371002846</v>
      </c>
      <c r="D1161" s="22">
        <f t="shared" si="1"/>
        <v>0.5935541046</v>
      </c>
      <c r="E1161" s="22">
        <f t="shared" ref="E1161:F1161" si="1161">IF(A1161&lt;&gt;"", (B1161 - B1160) / B1160, "")</f>
        <v>0.02709789123</v>
      </c>
      <c r="F1161" s="22">
        <f t="shared" si="1161"/>
        <v>0.0005273731793</v>
      </c>
      <c r="H1161" s="22" t="str">
        <f t="shared" si="4"/>
        <v/>
      </c>
    </row>
    <row r="1162" ht="15.75" customHeight="1">
      <c r="A1162" s="32">
        <f>'EQUITY BACKTEST'!A1165</f>
        <v>44302.66667</v>
      </c>
      <c r="B1162" s="22">
        <f>'EQUITY BACKTEST'!B1165</f>
        <v>4185.47</v>
      </c>
      <c r="C1162" s="22">
        <f>1/'EQUITY BACKTEST'!E1165</f>
        <v>0.8458805617</v>
      </c>
      <c r="D1162" s="22">
        <f t="shared" si="1"/>
        <v>0.5534080086</v>
      </c>
      <c r="E1162" s="22">
        <f t="shared" ref="E1162:F1162" si="1162">IF(A1162&lt;&gt;"", (B1162 - B1161) / B1161, "")</f>
        <v>0.01372553769</v>
      </c>
      <c r="F1162" s="22">
        <f t="shared" si="1162"/>
        <v>0.01048891896</v>
      </c>
      <c r="H1162" s="22" t="str">
        <f t="shared" si="4"/>
        <v/>
      </c>
    </row>
    <row r="1163" ht="15.75" customHeight="1">
      <c r="A1163" s="32">
        <f>'EQUITY BACKTEST'!A1166</f>
        <v>44309.66667</v>
      </c>
      <c r="B1163" s="22">
        <f>'EQUITY BACKTEST'!B1166</f>
        <v>4180.17</v>
      </c>
      <c r="C1163" s="22">
        <f>1/'EQUITY BACKTEST'!E1166</f>
        <v>0.8502678344</v>
      </c>
      <c r="D1163" s="22">
        <f t="shared" si="1"/>
        <v>0.4975768305</v>
      </c>
      <c r="E1163" s="22">
        <f t="shared" ref="E1163:F1163" si="1163">IF(A1163&lt;&gt;"", (B1163 - B1162) / B1162, "")</f>
        <v>-0.001266285507</v>
      </c>
      <c r="F1163" s="22">
        <f t="shared" si="1163"/>
        <v>0.00518663379</v>
      </c>
      <c r="H1163" s="22" t="str">
        <f t="shared" si="4"/>
        <v/>
      </c>
    </row>
    <row r="1164" ht="15.75" customHeight="1">
      <c r="A1164" s="32">
        <f>'EQUITY BACKTEST'!A1167</f>
        <v>44316.66667</v>
      </c>
      <c r="B1164" s="22">
        <f>'EQUITY BACKTEST'!B1167</f>
        <v>4181.17</v>
      </c>
      <c r="C1164" s="22">
        <f>1/'EQUITY BACKTEST'!E1167</f>
        <v>0.8403361345</v>
      </c>
      <c r="D1164" s="22">
        <f t="shared" si="1"/>
        <v>0.3869792305</v>
      </c>
      <c r="E1164" s="22">
        <f t="shared" ref="E1164:F1164" si="1164">IF(A1164&lt;&gt;"", (B1164 - B1163) / B1163, "")</f>
        <v>0.0002392247205</v>
      </c>
      <c r="F1164" s="22">
        <f t="shared" si="1164"/>
        <v>-0.01168067227</v>
      </c>
      <c r="H1164" s="22" t="str">
        <f t="shared" si="4"/>
        <v/>
      </c>
    </row>
    <row r="1165" ht="15.75" customHeight="1">
      <c r="A1165" s="32">
        <f>'EQUITY BACKTEST'!A1168</f>
        <v>44323.66667</v>
      </c>
      <c r="B1165" s="22">
        <f>'EQUITY BACKTEST'!B1168</f>
        <v>4232.6</v>
      </c>
      <c r="C1165" s="22">
        <f>1/'EQUITY BACKTEST'!E1168</f>
        <v>0.8345852112</v>
      </c>
      <c r="D1165" s="22">
        <f t="shared" si="1"/>
        <v>0.2682412681</v>
      </c>
      <c r="E1165" s="22">
        <f t="shared" ref="E1165:F1165" si="1165">IF(A1165&lt;&gt;"", (B1165 - B1164) / B1164, "")</f>
        <v>0.01230038482</v>
      </c>
      <c r="F1165" s="22">
        <f t="shared" si="1165"/>
        <v>-0.006843598731</v>
      </c>
      <c r="H1165" s="22" t="str">
        <f t="shared" si="4"/>
        <v/>
      </c>
    </row>
    <row r="1166" ht="15.75" customHeight="1">
      <c r="A1166" s="32">
        <f>'EQUITY BACKTEST'!A1169</f>
        <v>44330.66667</v>
      </c>
      <c r="B1166" s="22">
        <f>'EQUITY BACKTEST'!B1169</f>
        <v>4173.85</v>
      </c>
      <c r="C1166" s="22">
        <f>1/'EQUITY BACKTEST'!E1169</f>
        <v>0.8266512358</v>
      </c>
      <c r="D1166" s="22">
        <f t="shared" si="1"/>
        <v>0.1349617091</v>
      </c>
      <c r="E1166" s="22">
        <f t="shared" ref="E1166:F1166" si="1166">IF(A1166&lt;&gt;"", (B1166 - B1165) / B1165, "")</f>
        <v>-0.01388035723</v>
      </c>
      <c r="F1166" s="22">
        <f t="shared" si="1166"/>
        <v>-0.009506489212</v>
      </c>
      <c r="H1166" s="22" t="str">
        <f t="shared" si="4"/>
        <v/>
      </c>
    </row>
    <row r="1167" ht="15.75" customHeight="1">
      <c r="A1167" s="32">
        <f>'EQUITY BACKTEST'!A1170</f>
        <v>44337.66667</v>
      </c>
      <c r="B1167" s="22">
        <f>'EQUITY BACKTEST'!B1170</f>
        <v>4155.86</v>
      </c>
      <c r="C1167" s="22">
        <f>1/'EQUITY BACKTEST'!E1170</f>
        <v>0.8319467554</v>
      </c>
      <c r="D1167" s="22">
        <f t="shared" si="1"/>
        <v>-0.05536501592</v>
      </c>
      <c r="E1167" s="22">
        <f t="shared" ref="E1167:F1167" si="1167">IF(A1167&lt;&gt;"", (B1167 - B1166) / B1166, "")</f>
        <v>-0.004310169268</v>
      </c>
      <c r="F1167" s="22">
        <f t="shared" si="1167"/>
        <v>0.006405990017</v>
      </c>
      <c r="H1167" s="22" t="str">
        <f t="shared" si="4"/>
        <v/>
      </c>
    </row>
    <row r="1168" ht="15.75" customHeight="1">
      <c r="A1168" s="32">
        <f>'EQUITY BACKTEST'!A1171</f>
        <v>44344.66667</v>
      </c>
      <c r="B1168" s="22">
        <f>'EQUITY BACKTEST'!B1171</f>
        <v>4204.11</v>
      </c>
      <c r="C1168" s="22">
        <f>1/'EQUITY BACKTEST'!E1171</f>
        <v>0.8223007976</v>
      </c>
      <c r="D1168" s="22">
        <f t="shared" si="1"/>
        <v>-0.1522526347</v>
      </c>
      <c r="E1168" s="22">
        <f t="shared" ref="E1168:F1168" si="1168">IF(A1168&lt;&gt;"", (B1168 - B1167) / B1167, "")</f>
        <v>0.01161011199</v>
      </c>
      <c r="F1168" s="22">
        <f t="shared" si="1168"/>
        <v>-0.01159444125</v>
      </c>
      <c r="H1168" s="22" t="str">
        <f t="shared" si="4"/>
        <v/>
      </c>
    </row>
    <row r="1169" ht="15.75" customHeight="1">
      <c r="A1169" s="32">
        <f>'EQUITY BACKTEST'!A1172</f>
        <v>44351.66667</v>
      </c>
      <c r="B1169" s="22">
        <f>'EQUITY BACKTEST'!B1172</f>
        <v>4229.89</v>
      </c>
      <c r="C1169" s="22">
        <f>1/'EQUITY BACKTEST'!E1172</f>
        <v>0.823411228</v>
      </c>
      <c r="D1169" s="22">
        <f t="shared" si="1"/>
        <v>-0.2593605538</v>
      </c>
      <c r="E1169" s="22">
        <f t="shared" ref="E1169:F1169" si="1169">IF(A1169&lt;&gt;"", (B1169 - B1168) / B1168, "")</f>
        <v>0.006132094546</v>
      </c>
      <c r="F1169" s="22">
        <f t="shared" si="1169"/>
        <v>0.001350394414</v>
      </c>
      <c r="H1169" s="22" t="str">
        <f t="shared" si="4"/>
        <v/>
      </c>
    </row>
    <row r="1170" ht="15.75" customHeight="1">
      <c r="A1170" s="32">
        <f>'EQUITY BACKTEST'!A1173</f>
        <v>44358.66667</v>
      </c>
      <c r="B1170" s="22">
        <f>'EQUITY BACKTEST'!B1173</f>
        <v>4247.44</v>
      </c>
      <c r="C1170" s="22">
        <f>1/'EQUITY BACKTEST'!E1173</f>
        <v>0.821085475</v>
      </c>
      <c r="D1170" s="22">
        <f t="shared" si="1"/>
        <v>-0.3695780364</v>
      </c>
      <c r="E1170" s="22">
        <f t="shared" ref="E1170:F1170" si="1170">IF(A1170&lt;&gt;"", (B1170 - B1169) / B1169, "")</f>
        <v>0.004149044065</v>
      </c>
      <c r="F1170" s="22">
        <f t="shared" si="1170"/>
        <v>-0.002824534034</v>
      </c>
      <c r="H1170" s="22" t="str">
        <f t="shared" si="4"/>
        <v/>
      </c>
    </row>
    <row r="1171" ht="15.75" customHeight="1">
      <c r="A1171" s="32">
        <f>'EQUITY BACKTEST'!A1174</f>
        <v>44365.66667</v>
      </c>
      <c r="B1171" s="22">
        <f>'EQUITY BACKTEST'!B1174</f>
        <v>4166.45</v>
      </c>
      <c r="C1171" s="22">
        <f>1/'EQUITY BACKTEST'!E1174</f>
        <v>0.8202032464</v>
      </c>
      <c r="D1171" s="22">
        <f t="shared" si="1"/>
        <v>-0.4539603836</v>
      </c>
      <c r="E1171" s="22">
        <f t="shared" ref="E1171:F1171" si="1171">IF(A1171&lt;&gt;"", (B1171 - B1170) / B1170, "")</f>
        <v>-0.01906795623</v>
      </c>
      <c r="F1171" s="22">
        <f t="shared" si="1171"/>
        <v>-0.001074466253</v>
      </c>
      <c r="H1171" s="22" t="str">
        <f t="shared" si="4"/>
        <v/>
      </c>
    </row>
    <row r="1172" ht="15.75" customHeight="1">
      <c r="A1172" s="32">
        <f>'EQUITY BACKTEST'!A1175</f>
        <v>44372.66667</v>
      </c>
      <c r="B1172" s="22">
        <f>'EQUITY BACKTEST'!B1175</f>
        <v>4280.7</v>
      </c>
      <c r="C1172" s="22">
        <f>1/'EQUITY BACKTEST'!E1175</f>
        <v>0.82204393</v>
      </c>
      <c r="D1172" s="22">
        <f t="shared" si="1"/>
        <v>-0.5377510467</v>
      </c>
      <c r="E1172" s="22">
        <f t="shared" ref="E1172:F1172" si="1172">IF(A1172&lt;&gt;"", (B1172 - B1171) / B1171, "")</f>
        <v>0.02742142591</v>
      </c>
      <c r="F1172" s="22">
        <f t="shared" si="1172"/>
        <v>0.002244179929</v>
      </c>
      <c r="H1172" s="22" t="str">
        <f t="shared" si="4"/>
        <v/>
      </c>
    </row>
    <row r="1173" ht="15.75" customHeight="1">
      <c r="A1173" s="32">
        <f>'EQUITY BACKTEST'!A1176</f>
        <v>44379.66667</v>
      </c>
      <c r="B1173" s="22">
        <f>'EQUITY BACKTEST'!B1176</f>
        <v>4352.34</v>
      </c>
      <c r="C1173" s="22">
        <f>1/'EQUITY BACKTEST'!E1176</f>
        <v>0.8261049153</v>
      </c>
      <c r="D1173" s="22">
        <f t="shared" si="1"/>
        <v>-0.6095343765</v>
      </c>
      <c r="E1173" s="22">
        <f t="shared" ref="E1173:F1173" si="1173">IF(A1173&lt;&gt;"", (B1173 - B1172) / B1172, "")</f>
        <v>0.01673558063</v>
      </c>
      <c r="F1173" s="22">
        <f t="shared" si="1173"/>
        <v>0.004940107394</v>
      </c>
      <c r="H1173" s="22" t="str">
        <f t="shared" si="4"/>
        <v/>
      </c>
    </row>
    <row r="1174" ht="15.75" customHeight="1">
      <c r="A1174" s="32">
        <f>'EQUITY BACKTEST'!A1177</f>
        <v>44386.66667</v>
      </c>
      <c r="B1174" s="22">
        <f>'EQUITY BACKTEST'!B1177</f>
        <v>4369.55</v>
      </c>
      <c r="C1174" s="22">
        <f>1/'EQUITY BACKTEST'!E1177</f>
        <v>0.8432769743</v>
      </c>
      <c r="D1174" s="22">
        <f t="shared" si="1"/>
        <v>-0.6578869314</v>
      </c>
      <c r="E1174" s="22">
        <f t="shared" ref="E1174:F1174" si="1174">IF(A1174&lt;&gt;"", (B1174 - B1173) / B1173, "")</f>
        <v>0.003954194755</v>
      </c>
      <c r="F1174" s="22">
        <f t="shared" si="1174"/>
        <v>0.02078677742</v>
      </c>
      <c r="H1174" s="22" t="str">
        <f t="shared" si="4"/>
        <v/>
      </c>
    </row>
    <row r="1175" ht="15.75" customHeight="1">
      <c r="A1175" s="32">
        <f>'EQUITY BACKTEST'!A1178</f>
        <v>44393.66667</v>
      </c>
      <c r="B1175" s="22">
        <f>'EQUITY BACKTEST'!B1178</f>
        <v>4327.16</v>
      </c>
      <c r="C1175" s="22">
        <f>1/'EQUITY BACKTEST'!E1178</f>
        <v>0.8378016086</v>
      </c>
      <c r="D1175" s="22">
        <f t="shared" si="1"/>
        <v>-0.6888195049</v>
      </c>
      <c r="E1175" s="22">
        <f t="shared" ref="E1175:F1175" si="1175">IF(A1175&lt;&gt;"", (B1175 - B1174) / B1174, "")</f>
        <v>-0.009701227815</v>
      </c>
      <c r="F1175" s="22">
        <f t="shared" si="1175"/>
        <v>-0.006492962466</v>
      </c>
      <c r="H1175" s="22" t="str">
        <f t="shared" si="4"/>
        <v/>
      </c>
    </row>
    <row r="1176" ht="15.75" customHeight="1">
      <c r="A1176" s="32">
        <f>'EQUITY BACKTEST'!A1179</f>
        <v>44400.66667</v>
      </c>
      <c r="B1176" s="22">
        <f>'EQUITY BACKTEST'!B1179</f>
        <v>4411.79</v>
      </c>
      <c r="C1176" s="22">
        <f>1/'EQUITY BACKTEST'!E1179</f>
        <v>0.8428860418</v>
      </c>
      <c r="D1176" s="22">
        <f t="shared" si="1"/>
        <v>-0.722377922</v>
      </c>
      <c r="E1176" s="22">
        <f t="shared" ref="E1176:F1176" si="1176">IF(A1176&lt;&gt;"", (B1176 - B1175) / B1175, "")</f>
        <v>0.01955786243</v>
      </c>
      <c r="F1176" s="22">
        <f t="shared" si="1176"/>
        <v>0.006068779501</v>
      </c>
      <c r="H1176" s="22" t="str">
        <f t="shared" si="4"/>
        <v/>
      </c>
    </row>
    <row r="1177" ht="15.75" customHeight="1">
      <c r="A1177" s="32">
        <f>'EQUITY BACKTEST'!A1180</f>
        <v>44407.66667</v>
      </c>
      <c r="B1177" s="22">
        <f>'EQUITY BACKTEST'!B1180</f>
        <v>4395.26</v>
      </c>
      <c r="C1177" s="22">
        <f>1/'EQUITY BACKTEST'!E1180</f>
        <v>0.842034355</v>
      </c>
      <c r="D1177" s="22">
        <f t="shared" si="1"/>
        <v>-0.7234876155</v>
      </c>
      <c r="E1177" s="22">
        <f t="shared" ref="E1177:F1177" si="1177">IF(A1177&lt;&gt;"", (B1177 - B1176) / B1176, "")</f>
        <v>-0.003746778518</v>
      </c>
      <c r="F1177" s="22">
        <f t="shared" si="1177"/>
        <v>-0.001010441226</v>
      </c>
      <c r="H1177" s="22" t="str">
        <f t="shared" si="4"/>
        <v/>
      </c>
    </row>
    <row r="1178" ht="15.75" customHeight="1">
      <c r="A1178" s="32">
        <f>'EQUITY BACKTEST'!A1181</f>
        <v>44414.66667</v>
      </c>
      <c r="B1178" s="22">
        <f>'EQUITY BACKTEST'!B1181</f>
        <v>4436.52</v>
      </c>
      <c r="C1178" s="22">
        <f>1/'EQUITY BACKTEST'!E1181</f>
        <v>0.8470269355</v>
      </c>
      <c r="D1178" s="22">
        <f t="shared" si="1"/>
        <v>-0.7224265301</v>
      </c>
      <c r="E1178" s="22">
        <f t="shared" ref="E1178:F1178" si="1178">IF(A1178&lt;&gt;"", (B1178 - B1177) / B1177, "")</f>
        <v>0.009387385502</v>
      </c>
      <c r="F1178" s="22">
        <f t="shared" si="1178"/>
        <v>0.005929188548</v>
      </c>
      <c r="H1178" s="22" t="str">
        <f t="shared" si="4"/>
        <v/>
      </c>
    </row>
    <row r="1179" ht="15.75" customHeight="1">
      <c r="A1179" s="32">
        <f>'EQUITY BACKTEST'!A1182</f>
        <v>44421.66667</v>
      </c>
      <c r="B1179" s="22">
        <f>'EQUITY BACKTEST'!B1182</f>
        <v>4468</v>
      </c>
      <c r="C1179" s="22">
        <f>1/'EQUITY BACKTEST'!E1182</f>
        <v>0.8495454932</v>
      </c>
      <c r="D1179" s="22">
        <f t="shared" si="1"/>
        <v>-0.707391415</v>
      </c>
      <c r="E1179" s="22">
        <f t="shared" ref="E1179:F1179" si="1179">IF(A1179&lt;&gt;"", (B1179 - B1178) / B1178, "")</f>
        <v>0.007095651547</v>
      </c>
      <c r="F1179" s="22">
        <f t="shared" si="1179"/>
        <v>0.002973409226</v>
      </c>
      <c r="H1179" s="22" t="str">
        <f t="shared" si="4"/>
        <v/>
      </c>
    </row>
    <row r="1180" ht="15.75" customHeight="1">
      <c r="A1180" s="32">
        <f>'EQUITY BACKTEST'!A1183</f>
        <v>44428.66667</v>
      </c>
      <c r="B1180" s="22">
        <f>'EQUITY BACKTEST'!B1183</f>
        <v>4441.67</v>
      </c>
      <c r="C1180" s="22">
        <f>1/'EQUITY BACKTEST'!E1183</f>
        <v>0.842530963</v>
      </c>
      <c r="D1180" s="22">
        <f t="shared" si="1"/>
        <v>-0.6987748046</v>
      </c>
      <c r="E1180" s="22">
        <f t="shared" ref="E1180:F1180" si="1180">IF(A1180&lt;&gt;"", (B1180 - B1179) / B1179, "")</f>
        <v>-0.00589301701</v>
      </c>
      <c r="F1180" s="22">
        <f t="shared" si="1180"/>
        <v>-0.008256803438</v>
      </c>
      <c r="H1180" s="22" t="str">
        <f t="shared" si="4"/>
        <v/>
      </c>
    </row>
    <row r="1181" ht="15.75" customHeight="1">
      <c r="A1181" s="32">
        <f>'EQUITY BACKTEST'!A1184</f>
        <v>44435.66667</v>
      </c>
      <c r="B1181" s="22">
        <f>'EQUITY BACKTEST'!B1184</f>
        <v>4509.37</v>
      </c>
      <c r="C1181" s="22">
        <f>1/'EQUITY BACKTEST'!E1184</f>
        <v>0.8503401361</v>
      </c>
      <c r="D1181" s="22">
        <f t="shared" si="1"/>
        <v>-0.7096729783</v>
      </c>
      <c r="E1181" s="22">
        <f t="shared" ref="E1181:F1181" si="1181">IF(A1181&lt;&gt;"", (B1181 - B1180) / B1180, "")</f>
        <v>0.01524201483</v>
      </c>
      <c r="F1181" s="22">
        <f t="shared" si="1181"/>
        <v>0.009268707483</v>
      </c>
      <c r="H1181" s="22" t="str">
        <f t="shared" si="4"/>
        <v/>
      </c>
    </row>
    <row r="1182" ht="15.75" customHeight="1">
      <c r="A1182" s="32">
        <f>'EQUITY BACKTEST'!A1185</f>
        <v>44442.66667</v>
      </c>
      <c r="B1182" s="22">
        <f>'EQUITY BACKTEST'!B1185</f>
        <v>4535.43</v>
      </c>
      <c r="C1182" s="22">
        <f>1/'EQUITY BACKTEST'!E1185</f>
        <v>0.8481764207</v>
      </c>
      <c r="D1182" s="22">
        <f t="shared" si="1"/>
        <v>-0.7214506831</v>
      </c>
      <c r="E1182" s="22">
        <f t="shared" ref="E1182:F1182" si="1182">IF(A1182&lt;&gt;"", (B1182 - B1181) / B1181, "")</f>
        <v>0.005779077787</v>
      </c>
      <c r="F1182" s="22">
        <f t="shared" si="1182"/>
        <v>-0.002544529262</v>
      </c>
      <c r="H1182" s="22" t="str">
        <f t="shared" si="4"/>
        <v/>
      </c>
    </row>
    <row r="1183" ht="15.75" customHeight="1">
      <c r="A1183" s="32">
        <f>'EQUITY BACKTEST'!A1186</f>
        <v>44449.66667</v>
      </c>
      <c r="B1183" s="22">
        <f>'EQUITY BACKTEST'!B1186</f>
        <v>4458.58</v>
      </c>
      <c r="C1183" s="22">
        <f>1/'EQUITY BACKTEST'!E1186</f>
        <v>0.8555856912</v>
      </c>
      <c r="D1183" s="22">
        <f t="shared" si="1"/>
        <v>-0.7196814813</v>
      </c>
      <c r="E1183" s="22">
        <f t="shared" ref="E1183:F1183" si="1183">IF(A1183&lt;&gt;"", (B1183 - B1182) / B1182, "")</f>
        <v>-0.01694436911</v>
      </c>
      <c r="F1183" s="22">
        <f t="shared" si="1183"/>
        <v>0.008735529907</v>
      </c>
      <c r="H1183" s="22" t="str">
        <f t="shared" si="4"/>
        <v/>
      </c>
    </row>
    <row r="1184" ht="15.75" customHeight="1">
      <c r="A1184" s="32">
        <f>'EQUITY BACKTEST'!A1187</f>
        <v>44456.66667</v>
      </c>
      <c r="B1184" s="22">
        <f>'EQUITY BACKTEST'!B1187</f>
        <v>4432.99</v>
      </c>
      <c r="C1184" s="22">
        <f>1/'EQUITY BACKTEST'!E1187</f>
        <v>0.8477449983</v>
      </c>
      <c r="D1184" s="22">
        <f t="shared" si="1"/>
        <v>-0.7351106675</v>
      </c>
      <c r="E1184" s="22">
        <f t="shared" ref="E1184:F1184" si="1184">IF(A1184&lt;&gt;"", (B1184 - B1183) / B1183, "")</f>
        <v>-0.005739495534</v>
      </c>
      <c r="F1184" s="22">
        <f t="shared" si="1184"/>
        <v>-0.009164123432</v>
      </c>
      <c r="H1184" s="22" t="str">
        <f t="shared" si="4"/>
        <v/>
      </c>
    </row>
    <row r="1185" ht="15.75" customHeight="1">
      <c r="A1185" s="32">
        <f>'EQUITY BACKTEST'!A1188</f>
        <v>44463.66667</v>
      </c>
      <c r="B1185" s="22">
        <f>'EQUITY BACKTEST'!B1188</f>
        <v>4455.48</v>
      </c>
      <c r="C1185" s="22">
        <f>1/'EQUITY BACKTEST'!E1188</f>
        <v>0.8418642241</v>
      </c>
      <c r="D1185" s="22">
        <f t="shared" si="1"/>
        <v>-0.7593429049</v>
      </c>
      <c r="E1185" s="22">
        <f t="shared" ref="E1185:F1185" si="1185">IF(A1185&lt;&gt;"", (B1185 - B1184) / B1184, "")</f>
        <v>0.005073325227</v>
      </c>
      <c r="F1185" s="22">
        <f t="shared" si="1185"/>
        <v>-0.006936961207</v>
      </c>
      <c r="H1185" s="22" t="str">
        <f t="shared" si="4"/>
        <v/>
      </c>
    </row>
    <row r="1186" ht="15.75" customHeight="1">
      <c r="A1186" s="32">
        <f>'EQUITY BACKTEST'!A1189</f>
        <v>44470.66667</v>
      </c>
      <c r="B1186" s="22">
        <f>'EQUITY BACKTEST'!B1189</f>
        <v>4357.04</v>
      </c>
      <c r="C1186" s="22">
        <f>1/'EQUITY BACKTEST'!E1189</f>
        <v>0.8466970349</v>
      </c>
      <c r="D1186" s="22">
        <f t="shared" si="1"/>
        <v>-0.7746888058</v>
      </c>
      <c r="E1186" s="22">
        <f t="shared" ref="E1186:F1186" si="1186">IF(A1186&lt;&gt;"", (B1186 - B1185) / B1185, "")</f>
        <v>-0.02209414025</v>
      </c>
      <c r="F1186" s="22">
        <f t="shared" si="1186"/>
        <v>0.005740605896</v>
      </c>
      <c r="H1186" s="22" t="str">
        <f t="shared" si="4"/>
        <v/>
      </c>
    </row>
    <row r="1187" ht="15.75" customHeight="1">
      <c r="A1187" s="32">
        <f>'EQUITY BACKTEST'!A1190</f>
        <v>44477.66667</v>
      </c>
      <c r="B1187" s="22">
        <f>'EQUITY BACKTEST'!B1190</f>
        <v>4391.34</v>
      </c>
      <c r="C1187" s="22">
        <f>1/'EQUITY BACKTEST'!E1190</f>
        <v>0.8530749085</v>
      </c>
      <c r="D1187" s="22">
        <f t="shared" si="1"/>
        <v>-0.7990945447</v>
      </c>
      <c r="E1187" s="22">
        <f t="shared" ref="E1187:F1187" si="1187">IF(A1187&lt;&gt;"", (B1187 - B1186) / B1186, "")</f>
        <v>0.007872316986</v>
      </c>
      <c r="F1187" s="22">
        <f t="shared" si="1187"/>
        <v>0.007532651442</v>
      </c>
      <c r="H1187" s="22" t="str">
        <f t="shared" si="4"/>
        <v/>
      </c>
    </row>
    <row r="1188" ht="15.75" customHeight="1">
      <c r="A1188" s="32">
        <f>'EQUITY BACKTEST'!A1191</f>
        <v>44484.66667</v>
      </c>
      <c r="B1188" s="22">
        <f>'EQUITY BACKTEST'!B1191</f>
        <v>4471.37</v>
      </c>
      <c r="C1188" s="22">
        <f>1/'EQUITY BACKTEST'!E1191</f>
        <v>0.8532496011</v>
      </c>
      <c r="D1188" s="22">
        <f t="shared" si="1"/>
        <v>-0.8219414037</v>
      </c>
      <c r="E1188" s="22">
        <f t="shared" ref="E1188:F1188" si="1188">IF(A1188&lt;&gt;"", (B1188 - B1187) / B1187, "")</f>
        <v>0.0182245055</v>
      </c>
      <c r="F1188" s="22">
        <f t="shared" si="1188"/>
        <v>0.0002047799043</v>
      </c>
      <c r="H1188" s="22" t="str">
        <f t="shared" si="4"/>
        <v/>
      </c>
    </row>
    <row r="1189" ht="15.75" customHeight="1">
      <c r="A1189" s="32">
        <f>'EQUITY BACKTEST'!A1192</f>
        <v>44491.66667</v>
      </c>
      <c r="B1189" s="22">
        <f>'EQUITY BACKTEST'!B1192</f>
        <v>4544.9</v>
      </c>
      <c r="C1189" s="22">
        <f>1/'EQUITY BACKTEST'!E1192</f>
        <v>0.8627383315</v>
      </c>
      <c r="D1189" s="22">
        <f t="shared" si="1"/>
        <v>-0.8309202895</v>
      </c>
      <c r="E1189" s="22">
        <f t="shared" ref="E1189:F1189" si="1189">IF(A1189&lt;&gt;"", (B1189 - B1188) / B1188, "")</f>
        <v>0.01644462435</v>
      </c>
      <c r="F1189" s="22">
        <f t="shared" si="1189"/>
        <v>0.01112069709</v>
      </c>
      <c r="H1189" s="22" t="str">
        <f t="shared" si="4"/>
        <v/>
      </c>
    </row>
    <row r="1190" ht="15.75" customHeight="1">
      <c r="A1190" s="32">
        <f>'EQUITY BACKTEST'!A1193</f>
        <v>44498.66667</v>
      </c>
      <c r="B1190" s="22">
        <f>'EQUITY BACKTEST'!B1193</f>
        <v>4605.38</v>
      </c>
      <c r="C1190" s="22">
        <f>1/'EQUITY BACKTEST'!E1193</f>
        <v>0.8643789437</v>
      </c>
      <c r="D1190" s="22">
        <f t="shared" si="1"/>
        <v>-0.8260299667</v>
      </c>
      <c r="E1190" s="22">
        <f t="shared" ref="E1190:F1190" si="1190">IF(A1190&lt;&gt;"", (B1190 - B1189) / B1189, "")</f>
        <v>0.01330722348</v>
      </c>
      <c r="F1190" s="22">
        <f t="shared" si="1190"/>
        <v>0.001901633676</v>
      </c>
      <c r="H1190" s="22" t="str">
        <f t="shared" si="4"/>
        <v/>
      </c>
    </row>
    <row r="1191" ht="15.75" customHeight="1">
      <c r="A1191" s="32">
        <f>'EQUITY BACKTEST'!A1194</f>
        <v>44505.66667</v>
      </c>
      <c r="B1191" s="22">
        <f>'EQUITY BACKTEST'!B1194</f>
        <v>4697.53</v>
      </c>
      <c r="C1191" s="22">
        <f>1/'EQUITY BACKTEST'!E1194</f>
        <v>0.8621135576</v>
      </c>
      <c r="D1191" s="22">
        <f t="shared" si="1"/>
        <v>-0.8265324473</v>
      </c>
      <c r="E1191" s="22">
        <f t="shared" ref="E1191:F1191" si="1191">IF(A1191&lt;&gt;"", (B1191 - B1190) / B1190, "")</f>
        <v>0.02000920662</v>
      </c>
      <c r="F1191" s="22">
        <f t="shared" si="1191"/>
        <v>-0.002620825215</v>
      </c>
      <c r="H1191" s="22" t="str">
        <f t="shared" si="4"/>
        <v/>
      </c>
    </row>
    <row r="1192" ht="15.75" customHeight="1">
      <c r="A1192" s="32">
        <f>'EQUITY BACKTEST'!A1195</f>
        <v>44512.66667</v>
      </c>
      <c r="B1192" s="22">
        <f>'EQUITY BACKTEST'!B1195</f>
        <v>4682.85</v>
      </c>
      <c r="C1192" s="22">
        <f>1/'EQUITY BACKTEST'!E1195</f>
        <v>0.8590327291</v>
      </c>
      <c r="D1192" s="22">
        <f t="shared" si="1"/>
        <v>-0.8156593772</v>
      </c>
      <c r="E1192" s="22">
        <f t="shared" ref="E1192:F1192" si="1192">IF(A1192&lt;&gt;"", (B1192 - B1191) / B1191, "")</f>
        <v>-0.003125046567</v>
      </c>
      <c r="F1192" s="22">
        <f t="shared" si="1192"/>
        <v>-0.003573576153</v>
      </c>
      <c r="H1192" s="22" t="str">
        <f t="shared" si="4"/>
        <v/>
      </c>
    </row>
    <row r="1193" ht="15.75" customHeight="1">
      <c r="A1193" s="32">
        <f>'EQUITY BACKTEST'!A1196</f>
        <v>44519.66667</v>
      </c>
      <c r="B1193" s="22">
        <f>'EQUITY BACKTEST'!B1196</f>
        <v>4697.96</v>
      </c>
      <c r="C1193" s="22">
        <f>1/'EQUITY BACKTEST'!E1196</f>
        <v>0.8660258076</v>
      </c>
      <c r="D1193" s="22">
        <f t="shared" si="1"/>
        <v>-0.8076730262</v>
      </c>
      <c r="E1193" s="22">
        <f t="shared" ref="E1193:F1193" si="1193">IF(A1193&lt;&gt;"", (B1193 - B1192) / B1192, "")</f>
        <v>0.003226667521</v>
      </c>
      <c r="F1193" s="22">
        <f t="shared" si="1193"/>
        <v>0.008140642591</v>
      </c>
      <c r="H1193" s="22" t="str">
        <f t="shared" si="4"/>
        <v/>
      </c>
    </row>
    <row r="1194" ht="15.75" customHeight="1">
      <c r="A1194" s="32">
        <f>'EQUITY BACKTEST'!A1197</f>
        <v>44526.54167</v>
      </c>
      <c r="B1194" s="22">
        <f>'EQUITY BACKTEST'!B1197</f>
        <v>4594.62</v>
      </c>
      <c r="C1194" s="22">
        <f>1/'EQUITY BACKTEST'!E1197</f>
        <v>0.8658008658</v>
      </c>
      <c r="D1194" s="22">
        <f t="shared" si="1"/>
        <v>-0.7932598344</v>
      </c>
      <c r="E1194" s="22">
        <f t="shared" ref="E1194:F1194" si="1194">IF(A1194&lt;&gt;"", (B1194 - B1193) / B1193, "")</f>
        <v>-0.02199678158</v>
      </c>
      <c r="F1194" s="22">
        <f t="shared" si="1194"/>
        <v>-0.0002597402597</v>
      </c>
      <c r="H1194" s="22" t="str">
        <f t="shared" si="4"/>
        <v/>
      </c>
    </row>
    <row r="1195" ht="15.75" customHeight="1">
      <c r="A1195" s="32">
        <f>'EQUITY BACKTEST'!A1198</f>
        <v>44533.66667</v>
      </c>
      <c r="B1195" s="22">
        <f>'EQUITY BACKTEST'!B1198</f>
        <v>4538.43</v>
      </c>
      <c r="C1195" s="22">
        <f>1/'EQUITY BACKTEST'!E1198</f>
        <v>0.8736752898</v>
      </c>
      <c r="D1195" s="22">
        <f t="shared" si="1"/>
        <v>-0.7859520699</v>
      </c>
      <c r="E1195" s="22">
        <f t="shared" ref="E1195:F1195" si="1195">IF(A1195&lt;&gt;"", (B1195 - B1194) / B1194, "")</f>
        <v>-0.01222952061</v>
      </c>
      <c r="F1195" s="22">
        <f t="shared" si="1195"/>
        <v>0.009094959767</v>
      </c>
      <c r="H1195" s="22" t="str">
        <f t="shared" si="4"/>
        <v/>
      </c>
    </row>
    <row r="1196" ht="15.75" customHeight="1">
      <c r="A1196" s="32">
        <f>'EQUITY BACKTEST'!A1199</f>
        <v>44540.66667</v>
      </c>
      <c r="B1196" s="22">
        <f>'EQUITY BACKTEST'!B1199</f>
        <v>4712.02</v>
      </c>
      <c r="C1196" s="22">
        <f>1/'EQUITY BACKTEST'!E1199</f>
        <v>0.8860535176</v>
      </c>
      <c r="D1196" s="22">
        <f t="shared" si="1"/>
        <v>-0.7804641368</v>
      </c>
      <c r="E1196" s="22">
        <f t="shared" ref="E1196:F1196" si="1196">IF(A1196&lt;&gt;"", (B1196 - B1195) / B1195, "")</f>
        <v>0.03824890987</v>
      </c>
      <c r="F1196" s="22">
        <f t="shared" si="1196"/>
        <v>0.01416799575</v>
      </c>
      <c r="H1196" s="22" t="str">
        <f t="shared" si="4"/>
        <v/>
      </c>
    </row>
    <row r="1197" ht="15.75" customHeight="1">
      <c r="A1197" s="32">
        <f>'EQUITY BACKTEST'!A1200</f>
        <v>44547.66667</v>
      </c>
      <c r="B1197" s="22">
        <f>'EQUITY BACKTEST'!B1200</f>
        <v>4620.64</v>
      </c>
      <c r="C1197" s="22">
        <f>1/'EQUITY BACKTEST'!E1200</f>
        <v>0.8834702712</v>
      </c>
      <c r="D1197" s="22">
        <f t="shared" si="1"/>
        <v>-0.772990325</v>
      </c>
      <c r="E1197" s="22">
        <f t="shared" ref="E1197:F1197" si="1197">IF(A1197&lt;&gt;"", (B1197 - B1196) / B1196, "")</f>
        <v>-0.01939295674</v>
      </c>
      <c r="F1197" s="22">
        <f t="shared" si="1197"/>
        <v>-0.002915451895</v>
      </c>
      <c r="H1197" s="22" t="str">
        <f t="shared" si="4"/>
        <v/>
      </c>
    </row>
    <row r="1198" ht="15.75" customHeight="1">
      <c r="A1198" s="32">
        <f>'EQUITY BACKTEST'!A1201</f>
        <v>44553.66667</v>
      </c>
      <c r="B1198" s="22">
        <f>'EQUITY BACKTEST'!B1201</f>
        <v>4725.79</v>
      </c>
      <c r="C1198" s="22">
        <f>1/'EQUITY BACKTEST'!E1201</f>
        <v>0.8839388314</v>
      </c>
      <c r="D1198" s="22">
        <f t="shared" si="1"/>
        <v>-0.7598254172</v>
      </c>
      <c r="E1198" s="22">
        <f t="shared" ref="E1198:F1198" si="1198">IF(A1198&lt;&gt;"", (B1198 - B1197) / B1197, "")</f>
        <v>0.02275658783</v>
      </c>
      <c r="F1198" s="22">
        <f t="shared" si="1198"/>
        <v>0.0005303632989</v>
      </c>
      <c r="H1198" s="22" t="str">
        <f t="shared" si="4"/>
        <v/>
      </c>
    </row>
    <row r="1199" ht="15.75" customHeight="1">
      <c r="A1199" s="32">
        <f>'EQUITY BACKTEST'!A1202</f>
        <v>44561.66667</v>
      </c>
      <c r="B1199" s="22">
        <f>'EQUITY BACKTEST'!B1202</f>
        <v>4766.18</v>
      </c>
      <c r="C1199" s="22">
        <f>1/'EQUITY BACKTEST'!E1202</f>
        <v>0.8837044892</v>
      </c>
      <c r="D1199" s="22">
        <f t="shared" si="1"/>
        <v>-0.7458817811</v>
      </c>
      <c r="E1199" s="22">
        <f t="shared" ref="E1199:F1199" si="1199">IF(A1199&lt;&gt;"", (B1199 - B1198) / B1198, "")</f>
        <v>0.008546719173</v>
      </c>
      <c r="F1199" s="22">
        <f t="shared" si="1199"/>
        <v>-0.0002651113468</v>
      </c>
      <c r="H1199" s="22" t="str">
        <f t="shared" si="4"/>
        <v/>
      </c>
    </row>
    <row r="1200" ht="15.75" customHeight="1">
      <c r="A1200" s="32">
        <f>'EQUITY BACKTEST'!A1203</f>
        <v>44568.66667</v>
      </c>
      <c r="B1200" s="22">
        <f>'EQUITY BACKTEST'!B1203</f>
        <v>4677.03</v>
      </c>
      <c r="C1200" s="22">
        <f>1/'EQUITY BACKTEST'!E1203</f>
        <v>0.8897588753</v>
      </c>
      <c r="D1200" s="22">
        <f t="shared" si="1"/>
        <v>-0.7320356185</v>
      </c>
      <c r="E1200" s="22">
        <f t="shared" ref="E1200:F1200" si="1200">IF(A1200&lt;&gt;"", (B1200 - B1199) / B1199, "")</f>
        <v>-0.01870470691</v>
      </c>
      <c r="F1200" s="22">
        <f t="shared" si="1200"/>
        <v>0.00685114334</v>
      </c>
      <c r="H1200" s="22" t="str">
        <f t="shared" si="4"/>
        <v/>
      </c>
    </row>
    <row r="1201" ht="15.75" customHeight="1">
      <c r="A1201" s="32">
        <f>'EQUITY BACKTEST'!A1204</f>
        <v>44575.66667</v>
      </c>
      <c r="B1201" s="22">
        <f>'EQUITY BACKTEST'!B1204</f>
        <v>4662.85</v>
      </c>
      <c r="C1201" s="22">
        <f>1/'EQUITY BACKTEST'!E1204</f>
        <v>0.8833141949</v>
      </c>
      <c r="D1201" s="22">
        <f t="shared" si="1"/>
        <v>-0.7205944</v>
      </c>
      <c r="E1201" s="22">
        <f t="shared" ref="E1201:F1201" si="1201">IF(A1201&lt;&gt;"", (B1201 - B1200) / B1200, "")</f>
        <v>-0.003031838581</v>
      </c>
      <c r="F1201" s="22">
        <f t="shared" si="1201"/>
        <v>-0.007243176398</v>
      </c>
      <c r="H1201" s="22" t="str">
        <f t="shared" si="4"/>
        <v/>
      </c>
    </row>
    <row r="1202" ht="15.75" customHeight="1">
      <c r="A1202" s="32">
        <f>'EQUITY BACKTEST'!A1205</f>
        <v>44582.66667</v>
      </c>
      <c r="B1202" s="22">
        <f>'EQUITY BACKTEST'!B1205</f>
        <v>4397.94</v>
      </c>
      <c r="C1202" s="22">
        <f>1/'EQUITY BACKTEST'!E1205</f>
        <v>0.879275477</v>
      </c>
      <c r="D1202" s="22">
        <f t="shared" si="1"/>
        <v>-0.7022212689</v>
      </c>
      <c r="E1202" s="22">
        <f t="shared" ref="E1202:F1202" si="1202">IF(A1202&lt;&gt;"", (B1202 - B1201) / B1201, "")</f>
        <v>-0.0568128934</v>
      </c>
      <c r="F1202" s="22">
        <f t="shared" si="1202"/>
        <v>-0.00457223248</v>
      </c>
      <c r="H1202" s="22" t="str">
        <f t="shared" si="4"/>
        <v/>
      </c>
    </row>
    <row r="1203" ht="15.75" customHeight="1">
      <c r="A1203" s="32">
        <f>'EQUITY BACKTEST'!A1206</f>
        <v>44589.66667</v>
      </c>
      <c r="B1203" s="22">
        <f>'EQUITY BACKTEST'!B1206</f>
        <v>4431.85</v>
      </c>
      <c r="C1203" s="22">
        <f>1/'EQUITY BACKTEST'!E1206</f>
        <v>0.8802816901</v>
      </c>
      <c r="D1203" s="22">
        <f t="shared" si="1"/>
        <v>-0.690123471</v>
      </c>
      <c r="E1203" s="22">
        <f t="shared" ref="E1203:F1203" si="1203">IF(A1203&lt;&gt;"", (B1203 - B1202) / B1202, "")</f>
        <v>0.007710428064</v>
      </c>
      <c r="F1203" s="22">
        <f t="shared" si="1203"/>
        <v>0.001144366197</v>
      </c>
      <c r="H1203" s="22" t="str">
        <f t="shared" si="4"/>
        <v/>
      </c>
    </row>
    <row r="1204" ht="15.75" customHeight="1">
      <c r="A1204" s="32">
        <f>'EQUITY BACKTEST'!A1207</f>
        <v>44596.66667</v>
      </c>
      <c r="B1204" s="22">
        <f>'EQUITY BACKTEST'!B1207</f>
        <v>4500.53</v>
      </c>
      <c r="C1204" s="22">
        <f>1/'EQUITY BACKTEST'!E1207</f>
        <v>0.8760402979</v>
      </c>
      <c r="D1204" s="22">
        <f t="shared" si="1"/>
        <v>-0.6758990802</v>
      </c>
      <c r="E1204" s="22">
        <f t="shared" ref="E1204:F1204" si="1204">IF(A1204&lt;&gt;"", (B1204 - B1203) / B1203, "")</f>
        <v>0.01549691438</v>
      </c>
      <c r="F1204" s="22">
        <f t="shared" si="1204"/>
        <v>-0.004818221638</v>
      </c>
      <c r="H1204" s="22" t="str">
        <f t="shared" si="4"/>
        <v/>
      </c>
    </row>
    <row r="1205" ht="15.75" customHeight="1">
      <c r="A1205" s="32">
        <f>'EQUITY BACKTEST'!A1208</f>
        <v>44603.66667</v>
      </c>
      <c r="B1205" s="22">
        <f>'EQUITY BACKTEST'!B1208</f>
        <v>4418.64</v>
      </c>
      <c r="C1205" s="22">
        <f>1/'EQUITY BACKTEST'!E1208</f>
        <v>0.8816009874</v>
      </c>
      <c r="D1205" s="22">
        <f t="shared" si="1"/>
        <v>-0.6532559376</v>
      </c>
      <c r="E1205" s="22">
        <f t="shared" ref="E1205:F1205" si="1205">IF(A1205&lt;&gt;"", (B1205 - B1204) / B1204, "")</f>
        <v>-0.01819563474</v>
      </c>
      <c r="F1205" s="22">
        <f t="shared" si="1205"/>
        <v>0.006347527109</v>
      </c>
      <c r="H1205" s="22" t="str">
        <f t="shared" si="4"/>
        <v/>
      </c>
    </row>
    <row r="1206" ht="15.75" customHeight="1">
      <c r="A1206" s="32">
        <f>'EQUITY BACKTEST'!A1209</f>
        <v>44610.66667</v>
      </c>
      <c r="B1206" s="22">
        <f>'EQUITY BACKTEST'!B1209</f>
        <v>4348.87</v>
      </c>
      <c r="C1206" s="22">
        <f>1/'EQUITY BACKTEST'!E1209</f>
        <v>0.8978595029</v>
      </c>
      <c r="D1206" s="22">
        <f t="shared" si="1"/>
        <v>-0.6331034164</v>
      </c>
      <c r="E1206" s="22">
        <f t="shared" ref="E1206:F1206" si="1206">IF(A1206&lt;&gt;"", (B1206 - B1205) / B1205, "")</f>
        <v>-0.01578992631</v>
      </c>
      <c r="F1206" s="22">
        <f t="shared" si="1206"/>
        <v>0.01844203419</v>
      </c>
      <c r="H1206" s="22" t="str">
        <f t="shared" si="4"/>
        <v/>
      </c>
    </row>
    <row r="1207" ht="15.75" customHeight="1">
      <c r="A1207" s="32">
        <f>'EQUITY BACKTEST'!A1210</f>
        <v>44617.66667</v>
      </c>
      <c r="B1207" s="22">
        <f>'EQUITY BACKTEST'!B1210</f>
        <v>4384.65</v>
      </c>
      <c r="C1207" s="22">
        <f>1/'EQUITY BACKTEST'!E1210</f>
        <v>0.8735150245</v>
      </c>
      <c r="D1207" s="22">
        <f t="shared" si="1"/>
        <v>-0.6124039654</v>
      </c>
      <c r="E1207" s="22">
        <f t="shared" ref="E1207:F1207" si="1207">IF(A1207&lt;&gt;"", (B1207 - B1206) / B1206, "")</f>
        <v>0.008227424595</v>
      </c>
      <c r="F1207" s="22">
        <f t="shared" si="1207"/>
        <v>-0.02711390636</v>
      </c>
      <c r="H1207" s="22" t="str">
        <f t="shared" si="4"/>
        <v/>
      </c>
    </row>
    <row r="1208" ht="15.75" customHeight="1">
      <c r="A1208" s="32">
        <f>'EQUITY BACKTEST'!A1211</f>
        <v>44624.66667</v>
      </c>
      <c r="B1208" s="22">
        <f>'EQUITY BACKTEST'!B1211</f>
        <v>4328.87</v>
      </c>
      <c r="C1208" s="22">
        <f>1/'EQUITY BACKTEST'!E1211</f>
        <v>0.8814300321</v>
      </c>
      <c r="D1208" s="22">
        <f t="shared" si="1"/>
        <v>-0.5886516897</v>
      </c>
      <c r="E1208" s="22">
        <f t="shared" ref="E1208:F1208" si="1208">IF(A1208&lt;&gt;"", (B1208 - B1207) / B1207, "")</f>
        <v>-0.01272165395</v>
      </c>
      <c r="F1208" s="22">
        <f t="shared" si="1208"/>
        <v>0.00906110073</v>
      </c>
      <c r="H1208" s="22" t="str">
        <f t="shared" si="4"/>
        <v/>
      </c>
    </row>
    <row r="1209" ht="15.75" customHeight="1">
      <c r="A1209" s="32">
        <f>'EQUITY BACKTEST'!A1212</f>
        <v>44631.66667</v>
      </c>
      <c r="B1209" s="22">
        <f>'EQUITY BACKTEST'!B1212</f>
        <v>4204.31</v>
      </c>
      <c r="C1209" s="22">
        <f>1/'EQUITY BACKTEST'!E1212</f>
        <v>0.8844469995</v>
      </c>
      <c r="D1209" s="22">
        <f t="shared" si="1"/>
        <v>-0.5561785348</v>
      </c>
      <c r="E1209" s="22">
        <f t="shared" ref="E1209:F1209" si="1209">IF(A1209&lt;&gt;"", (B1209 - B1208) / B1208, "")</f>
        <v>-0.02877425287</v>
      </c>
      <c r="F1209" s="22">
        <f t="shared" si="1209"/>
        <v>0.003422809888</v>
      </c>
      <c r="H1209" s="22" t="str">
        <f t="shared" si="4"/>
        <v/>
      </c>
    </row>
    <row r="1210" ht="15.75" customHeight="1">
      <c r="A1210" s="32">
        <f>'EQUITY BACKTEST'!A1213</f>
        <v>44638.66667</v>
      </c>
      <c r="B1210" s="22">
        <f>'EQUITY BACKTEST'!B1213</f>
        <v>4463.12</v>
      </c>
      <c r="C1210" s="22">
        <f>1/'EQUITY BACKTEST'!E1213</f>
        <v>0.8872327211</v>
      </c>
      <c r="D1210" s="22">
        <f t="shared" si="1"/>
        <v>-0.5439388727</v>
      </c>
      <c r="E1210" s="22">
        <f t="shared" ref="E1210:F1210" si="1210">IF(A1210&lt;&gt;"", (B1210 - B1209) / B1209, "")</f>
        <v>0.06155825807</v>
      </c>
      <c r="F1210" s="22">
        <f t="shared" si="1210"/>
        <v>0.00314967616</v>
      </c>
      <c r="H1210" s="22" t="str">
        <f t="shared" si="4"/>
        <v/>
      </c>
    </row>
    <row r="1211" ht="15.75" customHeight="1">
      <c r="A1211" s="32">
        <f>'EQUITY BACKTEST'!A1214</f>
        <v>44645.66667</v>
      </c>
      <c r="B1211" s="22">
        <f>'EQUITY BACKTEST'!B1214</f>
        <v>4543.06</v>
      </c>
      <c r="C1211" s="22">
        <f>1/'EQUITY BACKTEST'!E1214</f>
        <v>0.9154155987</v>
      </c>
      <c r="D1211" s="22">
        <f t="shared" si="1"/>
        <v>-0.5031728601</v>
      </c>
      <c r="E1211" s="22">
        <f t="shared" ref="E1211:F1211" si="1211">IF(A1211&lt;&gt;"", (B1211 - B1210) / B1210, "")</f>
        <v>0.01791123698</v>
      </c>
      <c r="F1211" s="22">
        <f t="shared" si="1211"/>
        <v>0.03176492127</v>
      </c>
      <c r="H1211" s="22" t="str">
        <f t="shared" si="4"/>
        <v/>
      </c>
    </row>
    <row r="1212" ht="15.75" customHeight="1">
      <c r="A1212" s="32">
        <f>'EQUITY BACKTEST'!A1215</f>
        <v>44652.66667</v>
      </c>
      <c r="B1212" s="22">
        <f>'EQUITY BACKTEST'!B1215</f>
        <v>4545.86</v>
      </c>
      <c r="C1212" s="22">
        <f>1/'EQUITY BACKTEST'!E1215</f>
        <v>0.9163383121</v>
      </c>
      <c r="D1212" s="22">
        <f t="shared" si="1"/>
        <v>-0.4839878254</v>
      </c>
      <c r="E1212" s="22">
        <f t="shared" ref="E1212:F1212" si="1212">IF(A1212&lt;&gt;"", (B1212 - B1211) / B1211, "")</f>
        <v>0.0006163246798</v>
      </c>
      <c r="F1212" s="22">
        <f t="shared" si="1212"/>
        <v>0.001007972143</v>
      </c>
      <c r="H1212" s="22" t="str">
        <f t="shared" si="4"/>
        <v/>
      </c>
    </row>
    <row r="1213" ht="15.75" customHeight="1">
      <c r="A1213" s="32">
        <f>'EQUITY BACKTEST'!A1216</f>
        <v>44659.66667</v>
      </c>
      <c r="B1213" s="22">
        <f>'EQUITY BACKTEST'!B1216</f>
        <v>4488.28</v>
      </c>
      <c r="C1213" s="22">
        <f>1/'EQUITY BACKTEST'!E1216</f>
        <v>0.9034239769</v>
      </c>
      <c r="D1213" s="22">
        <f t="shared" si="1"/>
        <v>-0.4661786573</v>
      </c>
      <c r="E1213" s="22">
        <f t="shared" ref="E1213:F1213" si="1213">IF(A1213&lt;&gt;"", (B1213 - B1212) / B1212, "")</f>
        <v>-0.01266647015</v>
      </c>
      <c r="F1213" s="22">
        <f t="shared" si="1213"/>
        <v>-0.01409341404</v>
      </c>
      <c r="H1213" s="22" t="str">
        <f t="shared" si="4"/>
        <v/>
      </c>
    </row>
    <row r="1214" ht="15.75" customHeight="1">
      <c r="A1214" s="32">
        <f>'EQUITY BACKTEST'!A1217</f>
        <v>44665.66667</v>
      </c>
      <c r="B1214" s="22">
        <f>'EQUITY BACKTEST'!B1217</f>
        <v>4392.59</v>
      </c>
      <c r="C1214" s="22">
        <f>1/'EQUITY BACKTEST'!E1217</f>
        <v>0.9104980424</v>
      </c>
      <c r="D1214" s="22">
        <f t="shared" si="1"/>
        <v>-0.4324106806</v>
      </c>
      <c r="E1214" s="22">
        <f t="shared" ref="E1214:F1214" si="1214">IF(A1214&lt;&gt;"", (B1214 - B1213) / B1213, "")</f>
        <v>-0.02131997112</v>
      </c>
      <c r="F1214" s="22">
        <f t="shared" si="1214"/>
        <v>0.007830283165</v>
      </c>
      <c r="H1214" s="22" t="str">
        <f t="shared" si="4"/>
        <v/>
      </c>
    </row>
    <row r="1215" ht="15.75" customHeight="1">
      <c r="A1215" s="32">
        <f>'EQUITY BACKTEST'!A1218</f>
        <v>44673.66667</v>
      </c>
      <c r="B1215" s="22">
        <f>'EQUITY BACKTEST'!B1218</f>
        <v>4271.78</v>
      </c>
      <c r="C1215" s="22">
        <f>1/'EQUITY BACKTEST'!E1218</f>
        <v>0.905715062</v>
      </c>
      <c r="D1215" s="22">
        <f t="shared" si="1"/>
        <v>-0.4089489871</v>
      </c>
      <c r="E1215" s="22">
        <f t="shared" ref="E1215:F1215" si="1215">IF(A1215&lt;&gt;"", (B1215 - B1214) / B1214, "")</f>
        <v>-0.02750313596</v>
      </c>
      <c r="F1215" s="22">
        <f t="shared" si="1215"/>
        <v>-0.00525314736</v>
      </c>
      <c r="H1215" s="22" t="str">
        <f t="shared" si="4"/>
        <v/>
      </c>
    </row>
    <row r="1216" ht="15.75" customHeight="1">
      <c r="A1216" s="32">
        <f>'EQUITY BACKTEST'!A1219</f>
        <v>44680.66667</v>
      </c>
      <c r="B1216" s="22">
        <f>'EQUITY BACKTEST'!B1219</f>
        <v>4131.93</v>
      </c>
      <c r="C1216" s="22">
        <f>1/'EQUITY BACKTEST'!E1219</f>
        <v>0.9196501651</v>
      </c>
      <c r="D1216" s="22">
        <f t="shared" si="1"/>
        <v>-0.3957864722</v>
      </c>
      <c r="E1216" s="22">
        <f t="shared" ref="E1216:F1216" si="1216">IF(A1216&lt;&gt;"", (B1216 - B1215) / B1215, "")</f>
        <v>-0.03273810917</v>
      </c>
      <c r="F1216" s="22">
        <f t="shared" si="1216"/>
        <v>0.01538574726</v>
      </c>
      <c r="H1216" s="22" t="str">
        <f t="shared" si="4"/>
        <v/>
      </c>
    </row>
    <row r="1217" ht="15.75" customHeight="1">
      <c r="A1217" s="32">
        <f>'EQUITY BACKTEST'!A1220</f>
        <v>44687.66667</v>
      </c>
      <c r="B1217" s="22">
        <f>'EQUITY BACKTEST'!B1220</f>
        <v>4123.34</v>
      </c>
      <c r="C1217" s="22">
        <f>1/'EQUITY BACKTEST'!E1220</f>
        <v>0.9250779378</v>
      </c>
      <c r="D1217" s="22">
        <f t="shared" si="1"/>
        <v>-0.4011070515</v>
      </c>
      <c r="E1217" s="22">
        <f t="shared" ref="E1217:F1217" si="1217">IF(A1217&lt;&gt;"", (B1217 - B1216) / B1216, "")</f>
        <v>-0.002078931637</v>
      </c>
      <c r="F1217" s="22">
        <f t="shared" si="1217"/>
        <v>0.005901997243</v>
      </c>
      <c r="H1217" s="22" t="str">
        <f t="shared" si="4"/>
        <v/>
      </c>
    </row>
    <row r="1218" ht="15.75" customHeight="1">
      <c r="A1218" s="32">
        <f>'EQUITY BACKTEST'!A1221</f>
        <v>44694.66667</v>
      </c>
      <c r="B1218" s="22">
        <f>'EQUITY BACKTEST'!B1221</f>
        <v>4023.89</v>
      </c>
      <c r="C1218" s="22">
        <f>1/'EQUITY BACKTEST'!E1221</f>
        <v>0.9260974254</v>
      </c>
      <c r="D1218" s="22">
        <f t="shared" si="1"/>
        <v>-0.4068116564</v>
      </c>
      <c r="E1218" s="22">
        <f t="shared" ref="E1218:F1218" si="1218">IF(A1218&lt;&gt;"", (B1218 - B1217) / B1217, "")</f>
        <v>-0.0241187969</v>
      </c>
      <c r="F1218" s="22">
        <f t="shared" si="1218"/>
        <v>0.001102055936</v>
      </c>
      <c r="H1218" s="22" t="str">
        <f t="shared" si="4"/>
        <v/>
      </c>
    </row>
    <row r="1219" ht="15.75" customHeight="1">
      <c r="A1219" s="32">
        <f>'EQUITY BACKTEST'!A1222</f>
        <v>44701.66667</v>
      </c>
      <c r="B1219" s="22">
        <f>'EQUITY BACKTEST'!B1222</f>
        <v>3901.36</v>
      </c>
      <c r="C1219" s="22">
        <f>1/'EQUITY BACKTEST'!E1222</f>
        <v>0.9486765961</v>
      </c>
      <c r="D1219" s="22">
        <f t="shared" si="1"/>
        <v>-0.4302916955</v>
      </c>
      <c r="E1219" s="22">
        <f t="shared" ref="E1219:F1219" si="1219">IF(A1219&lt;&gt;"", (B1219 - B1218) / B1218, "")</f>
        <v>-0.03045063359</v>
      </c>
      <c r="F1219" s="22">
        <f t="shared" si="1219"/>
        <v>0.02438098852</v>
      </c>
      <c r="H1219" s="22" t="str">
        <f t="shared" si="4"/>
        <v/>
      </c>
    </row>
    <row r="1220" ht="15.75" customHeight="1">
      <c r="A1220" s="32">
        <f>'EQUITY BACKTEST'!A1223</f>
        <v>44708.66667</v>
      </c>
      <c r="B1220" s="22">
        <f>'EQUITY BACKTEST'!B1223</f>
        <v>4158.24</v>
      </c>
      <c r="C1220" s="22">
        <f>1/'EQUITY BACKTEST'!E1223</f>
        <v>0.9492889826</v>
      </c>
      <c r="D1220" s="22">
        <f t="shared" si="1"/>
        <v>-0.4547082123</v>
      </c>
      <c r="E1220" s="22">
        <f t="shared" ref="E1220:F1220" si="1220">IF(A1220&lt;&gt;"", (B1220 - B1219) / B1219, "")</f>
        <v>0.06584370578</v>
      </c>
      <c r="F1220" s="22">
        <f t="shared" si="1220"/>
        <v>0.0006455165081</v>
      </c>
      <c r="H1220" s="22" t="str">
        <f t="shared" si="4"/>
        <v/>
      </c>
    </row>
    <row r="1221" ht="15.75" customHeight="1">
      <c r="A1221" s="32">
        <f>'EQUITY BACKTEST'!A1224</f>
        <v>44715.66667</v>
      </c>
      <c r="B1221" s="22">
        <f>'EQUITY BACKTEST'!B1224</f>
        <v>4108.54</v>
      </c>
      <c r="C1221" s="22">
        <f>1/'EQUITY BACKTEST'!E1224</f>
        <v>0.9607716918</v>
      </c>
      <c r="D1221" s="22">
        <f t="shared" si="1"/>
        <v>-0.4755304447</v>
      </c>
      <c r="E1221" s="22">
        <f t="shared" ref="E1221:F1221" si="1221">IF(A1221&lt;&gt;"", (B1221 - B1220) / B1220, "")</f>
        <v>-0.01195217207</v>
      </c>
      <c r="F1221" s="22">
        <f t="shared" si="1221"/>
        <v>0.0120961156</v>
      </c>
      <c r="H1221" s="22" t="str">
        <f t="shared" si="4"/>
        <v/>
      </c>
    </row>
    <row r="1222" ht="15.75" customHeight="1">
      <c r="A1222" s="32">
        <f>'EQUITY BACKTEST'!A1225</f>
        <v>44722.66667</v>
      </c>
      <c r="B1222" s="22">
        <f>'EQUITY BACKTEST'!B1225</f>
        <v>3900.86</v>
      </c>
      <c r="C1222" s="22">
        <f>1/'EQUITY BACKTEST'!E1225</f>
        <v>0.9469876323</v>
      </c>
      <c r="D1222" s="22">
        <f t="shared" si="1"/>
        <v>-0.4912547126</v>
      </c>
      <c r="E1222" s="22">
        <f t="shared" ref="E1222:F1222" si="1222">IF(A1222&lt;&gt;"", (B1222 - B1221) / B1221, "")</f>
        <v>-0.05054836998</v>
      </c>
      <c r="F1222" s="22">
        <f t="shared" si="1222"/>
        <v>-0.01434686263</v>
      </c>
      <c r="H1222" s="22" t="str">
        <f t="shared" si="4"/>
        <v/>
      </c>
    </row>
    <row r="1223" ht="15.75" customHeight="1">
      <c r="A1223" s="32">
        <f>'EQUITY BACKTEST'!A1226</f>
        <v>44729.66667</v>
      </c>
      <c r="B1223" s="22">
        <f>'EQUITY BACKTEST'!B1226</f>
        <v>3674.84</v>
      </c>
      <c r="C1223" s="22">
        <f>1/'EQUITY BACKTEST'!E1226</f>
        <v>0.9318275001</v>
      </c>
      <c r="D1223" s="22">
        <f t="shared" si="1"/>
        <v>-0.4963368759</v>
      </c>
      <c r="E1223" s="22">
        <f t="shared" ref="E1223:F1223" si="1223">IF(A1223&lt;&gt;"", (B1223 - B1222) / B1222, "")</f>
        <v>-0.05794106941</v>
      </c>
      <c r="F1223" s="22">
        <f t="shared" si="1223"/>
        <v>-0.01600879645</v>
      </c>
      <c r="H1223" s="22" t="str">
        <f t="shared" si="4"/>
        <v/>
      </c>
    </row>
    <row r="1224" ht="15.75" customHeight="1">
      <c r="A1224" s="32">
        <f>'EQUITY BACKTEST'!A1227</f>
        <v>44736.66667</v>
      </c>
      <c r="B1224" s="22">
        <f>'EQUITY BACKTEST'!B1227</f>
        <v>3911.74</v>
      </c>
      <c r="C1224" s="22">
        <f>1/'EQUITY BACKTEST'!E1227</f>
        <v>0.9330098899</v>
      </c>
      <c r="D1224" s="22">
        <f t="shared" si="1"/>
        <v>-0.539233223</v>
      </c>
      <c r="E1224" s="22">
        <f t="shared" ref="E1224:F1224" si="1224">IF(A1224&lt;&gt;"", (B1224 - B1223) / B1223, "")</f>
        <v>0.06446539169</v>
      </c>
      <c r="F1224" s="22">
        <f t="shared" si="1224"/>
        <v>0.00126889345</v>
      </c>
      <c r="H1224" s="22" t="str">
        <f t="shared" si="4"/>
        <v/>
      </c>
    </row>
    <row r="1225" ht="15.75" customHeight="1">
      <c r="A1225" s="32">
        <f>'EQUITY BACKTEST'!A1228</f>
        <v>44743.66667</v>
      </c>
      <c r="B1225" s="22">
        <f>'EQUITY BACKTEST'!B1228</f>
        <v>3825.33</v>
      </c>
      <c r="C1225" s="22">
        <f>1/'EQUITY BACKTEST'!E1228</f>
        <v>0.9506607092</v>
      </c>
      <c r="D1225" s="22">
        <f t="shared" si="1"/>
        <v>-0.5494920939</v>
      </c>
      <c r="E1225" s="22">
        <f t="shared" ref="E1225:F1225" si="1225">IF(A1225&lt;&gt;"", (B1225 - B1224) / B1224, "")</f>
        <v>-0.02208991395</v>
      </c>
      <c r="F1225" s="22">
        <f t="shared" si="1225"/>
        <v>0.01891814811</v>
      </c>
      <c r="H1225" s="22" t="str">
        <f t="shared" si="4"/>
        <v/>
      </c>
    </row>
    <row r="1226" ht="15.75" customHeight="1">
      <c r="A1226" s="32">
        <f>'EQUITY BACKTEST'!A1229</f>
        <v>44750.66667</v>
      </c>
      <c r="B1226" s="22">
        <f>'EQUITY BACKTEST'!B1229</f>
        <v>3899.38</v>
      </c>
      <c r="C1226" s="22">
        <f>1/'EQUITY BACKTEST'!E1229</f>
        <v>0.9528346832</v>
      </c>
      <c r="D1226" s="22">
        <f t="shared" si="1"/>
        <v>-0.5733623317</v>
      </c>
      <c r="E1226" s="22">
        <f t="shared" ref="E1226:F1226" si="1226">IF(A1226&lt;&gt;"", (B1226 - B1225) / B1225, "")</f>
        <v>0.01935780704</v>
      </c>
      <c r="F1226" s="22">
        <f t="shared" si="1226"/>
        <v>0.00228680324</v>
      </c>
      <c r="H1226" s="22" t="str">
        <f t="shared" si="4"/>
        <v/>
      </c>
    </row>
    <row r="1227" ht="15.75" customHeight="1">
      <c r="A1227" s="32">
        <f>'EQUITY BACKTEST'!A1230</f>
        <v>44757.66667</v>
      </c>
      <c r="B1227" s="22">
        <f>'EQUITY BACKTEST'!B1230</f>
        <v>3863.16</v>
      </c>
      <c r="C1227" s="22">
        <f>1/'EQUITY BACKTEST'!E1230</f>
        <v>0.9462886559</v>
      </c>
      <c r="D1227" s="22">
        <f t="shared" si="1"/>
        <v>-0.5875815314</v>
      </c>
      <c r="E1227" s="22">
        <f t="shared" ref="E1227:F1227" si="1227">IF(A1227&lt;&gt;"", (B1227 - B1226) / B1226, "")</f>
        <v>-0.009288656145</v>
      </c>
      <c r="F1227" s="22">
        <f t="shared" si="1227"/>
        <v>-0.006870055642</v>
      </c>
      <c r="H1227" s="22" t="str">
        <f t="shared" si="4"/>
        <v/>
      </c>
    </row>
    <row r="1228" ht="15.75" customHeight="1">
      <c r="A1228" s="32">
        <f>'EQUITY BACKTEST'!A1231</f>
        <v>44764.66667</v>
      </c>
      <c r="B1228" s="22">
        <f>'EQUITY BACKTEST'!B1231</f>
        <v>3961.63</v>
      </c>
      <c r="C1228" s="22">
        <f>1/'EQUITY BACKTEST'!E1231</f>
        <v>0.9590302286</v>
      </c>
      <c r="D1228" s="22">
        <f t="shared" si="1"/>
        <v>-0.6039000084</v>
      </c>
      <c r="E1228" s="22">
        <f t="shared" ref="E1228:F1228" si="1228">IF(A1228&lt;&gt;"", (B1228 - B1227) / B1227, "")</f>
        <v>0.02548949565</v>
      </c>
      <c r="F1228" s="22">
        <f t="shared" si="1228"/>
        <v>0.01346478441</v>
      </c>
      <c r="H1228" s="22" t="str">
        <f t="shared" si="4"/>
        <v/>
      </c>
    </row>
    <row r="1229" ht="15.75" customHeight="1">
      <c r="A1229" s="32">
        <f>'EQUITY BACKTEST'!A1232</f>
        <v>44771.66667</v>
      </c>
      <c r="B1229" s="22">
        <f>'EQUITY BACKTEST'!B1232</f>
        <v>4130.29</v>
      </c>
      <c r="C1229" s="22">
        <f>1/'EQUITY BACKTEST'!E1232</f>
        <v>0.9820288716</v>
      </c>
      <c r="D1229" s="22">
        <f t="shared" si="1"/>
        <v>-0.6138182637</v>
      </c>
      <c r="E1229" s="22">
        <f t="shared" ref="E1229:F1229" si="1229">IF(A1229&lt;&gt;"", (B1229 - B1228) / B1228, "")</f>
        <v>0.0425733852</v>
      </c>
      <c r="F1229" s="22">
        <f t="shared" si="1229"/>
        <v>0.02398114505</v>
      </c>
      <c r="H1229" s="22" t="str">
        <f t="shared" si="4"/>
        <v/>
      </c>
    </row>
    <row r="1230" ht="15.75" customHeight="1">
      <c r="A1230" s="32">
        <f>'EQUITY BACKTEST'!A1233</f>
        <v>44778.66667</v>
      </c>
      <c r="B1230" s="22">
        <f>'EQUITY BACKTEST'!B1233</f>
        <v>4145.19</v>
      </c>
      <c r="C1230" s="22">
        <f>1/'EQUITY BACKTEST'!E1233</f>
        <v>0.9906286529</v>
      </c>
      <c r="D1230" s="22">
        <f t="shared" si="1"/>
        <v>-0.6416186601</v>
      </c>
      <c r="E1230" s="22">
        <f t="shared" ref="E1230:F1230" si="1230">IF(A1230&lt;&gt;"", (B1230 - B1229) / B1229, "")</f>
        <v>0.003607494873</v>
      </c>
      <c r="F1230" s="22">
        <f t="shared" si="1230"/>
        <v>0.008757157292</v>
      </c>
      <c r="H1230" s="22" t="str">
        <f t="shared" si="4"/>
        <v/>
      </c>
    </row>
    <row r="1231" ht="15.75" customHeight="1">
      <c r="A1231" s="32">
        <f>'EQUITY BACKTEST'!A1234</f>
        <v>44785.66667</v>
      </c>
      <c r="B1231" s="22">
        <f>'EQUITY BACKTEST'!B1234</f>
        <v>4280.15</v>
      </c>
      <c r="C1231" s="22">
        <f>1/'EQUITY BACKTEST'!E1234</f>
        <v>0.9792401097</v>
      </c>
      <c r="D1231" s="22">
        <f t="shared" si="1"/>
        <v>-0.6679764292</v>
      </c>
      <c r="E1231" s="22">
        <f t="shared" ref="E1231:F1231" si="1231">IF(A1231&lt;&gt;"", (B1231 - B1230) / B1230, "")</f>
        <v>0.03255821808</v>
      </c>
      <c r="F1231" s="22">
        <f t="shared" si="1231"/>
        <v>-0.01149627889</v>
      </c>
      <c r="H1231" s="22" t="str">
        <f t="shared" si="4"/>
        <v/>
      </c>
    </row>
    <row r="1232" ht="15.75" customHeight="1">
      <c r="A1232" s="32">
        <f>'EQUITY BACKTEST'!A1235</f>
        <v>44792.66667</v>
      </c>
      <c r="B1232" s="22">
        <f>'EQUITY BACKTEST'!B1235</f>
        <v>4228.48</v>
      </c>
      <c r="C1232" s="22">
        <f>1/'EQUITY BACKTEST'!E1235</f>
        <v>0.9778612219</v>
      </c>
      <c r="D1232" s="22">
        <f t="shared" si="1"/>
        <v>-0.6962612187</v>
      </c>
      <c r="E1232" s="22">
        <f t="shared" ref="E1232:F1232" si="1232">IF(A1232&lt;&gt;"", (B1232 - B1231) / B1231, "")</f>
        <v>-0.01207200682</v>
      </c>
      <c r="F1232" s="22">
        <f t="shared" si="1232"/>
        <v>-0.00140812016</v>
      </c>
      <c r="H1232" s="22" t="str">
        <f t="shared" si="4"/>
        <v/>
      </c>
    </row>
    <row r="1233" ht="15.75" customHeight="1">
      <c r="A1233" s="32">
        <f>'EQUITY BACKTEST'!A1236</f>
        <v>44799.66667</v>
      </c>
      <c r="B1233" s="22">
        <f>'EQUITY BACKTEST'!B1236</f>
        <v>4057.66</v>
      </c>
      <c r="C1233" s="22">
        <f>1/'EQUITY BACKTEST'!E1236</f>
        <v>0.9823279207</v>
      </c>
      <c r="D1233" s="22">
        <f t="shared" si="1"/>
        <v>-0.718296488</v>
      </c>
      <c r="E1233" s="22">
        <f t="shared" ref="E1233:F1233" si="1233">IF(A1233&lt;&gt;"", (B1233 - B1232) / B1232, "")</f>
        <v>-0.04039749508</v>
      </c>
      <c r="F1233" s="22">
        <f t="shared" si="1233"/>
        <v>0.004567824831</v>
      </c>
      <c r="H1233" s="22" t="str">
        <f t="shared" si="4"/>
        <v/>
      </c>
    </row>
    <row r="1234" ht="15.75" customHeight="1">
      <c r="A1234" s="32">
        <f>'EQUITY BACKTEST'!A1237</f>
        <v>44806.66667</v>
      </c>
      <c r="B1234" s="22">
        <f>'EQUITY BACKTEST'!B1237</f>
        <v>3924.26</v>
      </c>
      <c r="C1234" s="22">
        <f>1/'EQUITY BACKTEST'!E1237</f>
        <v>0.974449923</v>
      </c>
      <c r="D1234" s="22">
        <f t="shared" si="1"/>
        <v>-0.7246843936</v>
      </c>
      <c r="E1234" s="22">
        <f t="shared" ref="E1234:F1234" si="1234">IF(A1234&lt;&gt;"", (B1234 - B1233) / B1233, "")</f>
        <v>-0.03287609115</v>
      </c>
      <c r="F1234" s="22">
        <f t="shared" si="1234"/>
        <v>-0.008019722866</v>
      </c>
      <c r="H1234" s="22" t="str">
        <f t="shared" si="4"/>
        <v/>
      </c>
    </row>
    <row r="1235" ht="15.75" customHeight="1">
      <c r="A1235" s="32">
        <f>'EQUITY BACKTEST'!A1238</f>
        <v>44813.66667</v>
      </c>
      <c r="B1235" s="22">
        <f>'EQUITY BACKTEST'!B1238</f>
        <v>4067.36</v>
      </c>
      <c r="C1235" s="22">
        <f>1/'EQUITY BACKTEST'!E1238</f>
        <v>0.9964129135</v>
      </c>
      <c r="D1235" s="22">
        <f t="shared" si="1"/>
        <v>-0.7233146596</v>
      </c>
      <c r="E1235" s="22">
        <f t="shared" ref="E1235:F1235" si="1235">IF(A1235&lt;&gt;"", (B1235 - B1234) / B1234, "")</f>
        <v>0.03646547375</v>
      </c>
      <c r="F1235" s="22">
        <f t="shared" si="1235"/>
        <v>0.0225388601</v>
      </c>
      <c r="H1235" s="22" t="str">
        <f t="shared" si="4"/>
        <v/>
      </c>
    </row>
    <row r="1236" ht="15.75" customHeight="1">
      <c r="A1236" s="32">
        <f>'EQUITY BACKTEST'!A1239</f>
        <v>44820.66667</v>
      </c>
      <c r="B1236" s="22">
        <f>'EQUITY BACKTEST'!B1239</f>
        <v>3873.33</v>
      </c>
      <c r="C1236" s="22">
        <f>1/'EQUITY BACKTEST'!E1239</f>
        <v>1.003613007</v>
      </c>
      <c r="D1236" s="22">
        <f t="shared" si="1"/>
        <v>-0.729602344</v>
      </c>
      <c r="E1236" s="22">
        <f t="shared" ref="E1236:F1236" si="1236">IF(A1236&lt;&gt;"", (B1236 - B1235) / B1235, "")</f>
        <v>-0.04770416191</v>
      </c>
      <c r="F1236" s="22">
        <f t="shared" si="1236"/>
        <v>0.007226013649</v>
      </c>
      <c r="H1236" s="22" t="str">
        <f t="shared" si="4"/>
        <v/>
      </c>
    </row>
    <row r="1237" ht="15.75" customHeight="1">
      <c r="A1237" s="32">
        <f>'EQUITY BACKTEST'!A1240</f>
        <v>44827.66667</v>
      </c>
      <c r="B1237" s="22">
        <f>'EQUITY BACKTEST'!B1240</f>
        <v>3693.23</v>
      </c>
      <c r="C1237" s="22">
        <f>1/'EQUITY BACKTEST'!E1240</f>
        <v>1.004924128</v>
      </c>
      <c r="D1237" s="22">
        <f t="shared" si="1"/>
        <v>-0.7260145332</v>
      </c>
      <c r="E1237" s="22">
        <f t="shared" ref="E1237:F1237" si="1237">IF(A1237&lt;&gt;"", (B1237 - B1236) / B1236, "")</f>
        <v>-0.04649745826</v>
      </c>
      <c r="F1237" s="22">
        <f t="shared" si="1237"/>
        <v>0.001306401367</v>
      </c>
      <c r="H1237" s="22" t="str">
        <f t="shared" si="4"/>
        <v/>
      </c>
    </row>
    <row r="1238" ht="15.75" customHeight="1">
      <c r="A1238" s="32">
        <f>'EQUITY BACKTEST'!A1241</f>
        <v>44834.66667</v>
      </c>
      <c r="B1238" s="22">
        <f>'EQUITY BACKTEST'!B1241</f>
        <v>3585.62</v>
      </c>
      <c r="C1238" s="22">
        <f>1/'EQUITY BACKTEST'!E1241</f>
        <v>0.9851246183</v>
      </c>
      <c r="D1238" s="22">
        <f t="shared" si="1"/>
        <v>-0.7105806981</v>
      </c>
      <c r="E1238" s="22">
        <f t="shared" ref="E1238:F1238" si="1238">IF(A1238&lt;&gt;"", (B1238 - B1237) / B1237, "")</f>
        <v>-0.0291370968</v>
      </c>
      <c r="F1238" s="22">
        <f t="shared" si="1238"/>
        <v>-0.01970249237</v>
      </c>
      <c r="H1238" s="22" t="str">
        <f t="shared" si="4"/>
        <v/>
      </c>
    </row>
    <row r="1239" ht="15.75" customHeight="1">
      <c r="A1239" s="32">
        <f>'EQUITY BACKTEST'!A1242</f>
        <v>44841.66667</v>
      </c>
      <c r="B1239" s="22">
        <f>'EQUITY BACKTEST'!B1242</f>
        <v>3639.66</v>
      </c>
      <c r="C1239" s="22">
        <f>1/'EQUITY BACKTEST'!E1242</f>
        <v>0.9990808456</v>
      </c>
      <c r="D1239" s="22">
        <f t="shared" si="1"/>
        <v>-0.6999514204</v>
      </c>
      <c r="E1239" s="22">
        <f t="shared" ref="E1239:F1239" si="1239">IF(A1239&lt;&gt;"", (B1239 - B1238) / B1238, "")</f>
        <v>0.01507131263</v>
      </c>
      <c r="F1239" s="22">
        <f t="shared" si="1239"/>
        <v>0.01416696639</v>
      </c>
      <c r="H1239" s="22" t="str">
        <f t="shared" si="4"/>
        <v/>
      </c>
    </row>
    <row r="1240" ht="15.75" customHeight="1">
      <c r="A1240" s="32">
        <f>'EQUITY BACKTEST'!A1243</f>
        <v>44848.66667</v>
      </c>
      <c r="B1240" s="22">
        <f>'EQUITY BACKTEST'!B1243</f>
        <v>3583.07</v>
      </c>
      <c r="C1240" s="22">
        <f>1/'EQUITY BACKTEST'!E1243</f>
        <v>1.032098256</v>
      </c>
      <c r="D1240" s="22">
        <f t="shared" si="1"/>
        <v>-0.6780112782</v>
      </c>
      <c r="E1240" s="22">
        <f t="shared" ref="E1240:F1240" si="1240">IF(A1240&lt;&gt;"", (B1240 - B1239) / B1239, "")</f>
        <v>-0.0155481556</v>
      </c>
      <c r="F1240" s="22">
        <f t="shared" si="1240"/>
        <v>0.03304778615</v>
      </c>
      <c r="H1240" s="22" t="str">
        <f t="shared" si="4"/>
        <v/>
      </c>
    </row>
    <row r="1241" ht="15.75" customHeight="1">
      <c r="A1241" s="32">
        <f>'EQUITY BACKTEST'!A1244</f>
        <v>44855.66667</v>
      </c>
      <c r="B1241" s="22">
        <f>'EQUITY BACKTEST'!B1244</f>
        <v>3752.75</v>
      </c>
      <c r="C1241" s="22">
        <f>1/'EQUITY BACKTEST'!E1244</f>
        <v>1.020304051</v>
      </c>
      <c r="D1241" s="22">
        <f t="shared" si="1"/>
        <v>-0.6321690092</v>
      </c>
      <c r="E1241" s="22">
        <f t="shared" ref="E1241:F1241" si="1241">IF(A1241&lt;&gt;"", (B1241 - B1240) / B1240, "")</f>
        <v>0.04735603826</v>
      </c>
      <c r="F1241" s="22">
        <f t="shared" si="1241"/>
        <v>-0.01142740537</v>
      </c>
      <c r="H1241" s="22" t="str">
        <f t="shared" si="4"/>
        <v/>
      </c>
    </row>
    <row r="1242" ht="15.75" customHeight="1">
      <c r="A1242" s="32">
        <f>'EQUITY BACKTEST'!A1245</f>
        <v>44862.66667</v>
      </c>
      <c r="B1242" s="22">
        <f>'EQUITY BACKTEST'!B1245</f>
        <v>3901.06</v>
      </c>
      <c r="C1242" s="22">
        <f>1/'EQUITY BACKTEST'!E1245</f>
        <v>1.026272578</v>
      </c>
      <c r="D1242" s="22">
        <f t="shared" si="1"/>
        <v>-0.5998545149</v>
      </c>
      <c r="E1242" s="22">
        <f t="shared" ref="E1242:F1242" si="1242">IF(A1242&lt;&gt;"", (B1242 - B1241) / B1241, "")</f>
        <v>0.03952035174</v>
      </c>
      <c r="F1242" s="22">
        <f t="shared" si="1242"/>
        <v>0.005849753695</v>
      </c>
      <c r="H1242" s="22" t="str">
        <f t="shared" si="4"/>
        <v/>
      </c>
    </row>
    <row r="1243" ht="15.75" customHeight="1">
      <c r="A1243" s="32">
        <f>'EQUITY BACKTEST'!A1246</f>
        <v>44869.66667</v>
      </c>
      <c r="B1243" s="22">
        <f>'EQUITY BACKTEST'!B1246</f>
        <v>3770.55</v>
      </c>
      <c r="C1243" s="22">
        <f>1/'EQUITY BACKTEST'!E1246</f>
        <v>1.029018317</v>
      </c>
      <c r="D1243" s="22">
        <f t="shared" si="1"/>
        <v>-0.5718332462</v>
      </c>
      <c r="E1243" s="22">
        <f t="shared" ref="E1243:F1243" si="1243">IF(A1243&lt;&gt;"", (B1243 - B1242) / B1242, "")</f>
        <v>-0.03345500966</v>
      </c>
      <c r="F1243" s="22">
        <f t="shared" si="1243"/>
        <v>0.002675447623</v>
      </c>
      <c r="H1243" s="22" t="str">
        <f t="shared" si="4"/>
        <v/>
      </c>
    </row>
    <row r="1244" ht="15.75" customHeight="1">
      <c r="A1244" s="32">
        <f>'EQUITY BACKTEST'!A1247</f>
        <v>44876.66667</v>
      </c>
      <c r="B1244" s="22">
        <f>'EQUITY BACKTEST'!B1247</f>
        <v>3992.93</v>
      </c>
      <c r="C1244" s="22">
        <f>1/'EQUITY BACKTEST'!E1247</f>
        <v>1.014744234</v>
      </c>
      <c r="D1244" s="22">
        <f t="shared" si="1"/>
        <v>-0.5099414907</v>
      </c>
      <c r="E1244" s="22">
        <f t="shared" ref="E1244:F1244" si="1244">IF(A1244&lt;&gt;"", (B1244 - B1243) / B1243, "")</f>
        <v>0.05897813316</v>
      </c>
      <c r="F1244" s="22">
        <f t="shared" si="1244"/>
        <v>-0.01387155367</v>
      </c>
      <c r="H1244" s="22" t="str">
        <f t="shared" si="4"/>
        <v/>
      </c>
    </row>
    <row r="1245" ht="15.75" customHeight="1">
      <c r="A1245" s="32">
        <f>'EQUITY BACKTEST'!A1248</f>
        <v>44883.66667</v>
      </c>
      <c r="B1245" s="22">
        <f>'EQUITY BACKTEST'!B1248</f>
        <v>3965.34</v>
      </c>
      <c r="C1245" s="22">
        <f>1/'EQUITY BACKTEST'!E1248</f>
        <v>1.004005984</v>
      </c>
      <c r="D1245" s="22">
        <f t="shared" si="1"/>
        <v>-0.4773722966</v>
      </c>
      <c r="E1245" s="22">
        <f t="shared" ref="E1245:F1245" si="1245">IF(A1245&lt;&gt;"", (B1245 - B1244) / B1244, "")</f>
        <v>-0.006909712918</v>
      </c>
      <c r="F1245" s="22">
        <f t="shared" si="1245"/>
        <v>-0.01058222307</v>
      </c>
      <c r="H1245" s="22" t="str">
        <f t="shared" si="4"/>
        <v/>
      </c>
    </row>
    <row r="1246" ht="15.75" customHeight="1">
      <c r="A1246" s="32">
        <f>'EQUITY BACKTEST'!A1249</f>
        <v>44890.54167</v>
      </c>
      <c r="B1246" s="22">
        <f>'EQUITY BACKTEST'!B1249</f>
        <v>4026.12</v>
      </c>
      <c r="C1246" s="22">
        <f>1/'EQUITY BACKTEST'!E1249</f>
        <v>1.017293998</v>
      </c>
      <c r="D1246" s="22">
        <f t="shared" si="1"/>
        <v>-0.4459233126</v>
      </c>
      <c r="E1246" s="22">
        <f t="shared" ref="E1246:F1246" si="1246">IF(A1246&lt;&gt;"", (B1246 - B1245) / B1245, "")</f>
        <v>0.01532781552</v>
      </c>
      <c r="F1246" s="22">
        <f t="shared" si="1246"/>
        <v>0.01323499491</v>
      </c>
      <c r="H1246" s="22" t="str">
        <f t="shared" si="4"/>
        <v/>
      </c>
    </row>
    <row r="1247" ht="15.75" customHeight="1">
      <c r="A1247" s="32">
        <f>'EQUITY BACKTEST'!A1250</f>
        <v>44897.66667</v>
      </c>
      <c r="B1247" s="22">
        <f>'EQUITY BACKTEST'!B1250</f>
        <v>4071.7</v>
      </c>
      <c r="C1247" s="22">
        <f>1/'EQUITY BACKTEST'!E1250</f>
        <v>0.9652509653</v>
      </c>
      <c r="D1247" s="22">
        <f t="shared" si="1"/>
        <v>-0.4402837682</v>
      </c>
      <c r="E1247" s="22">
        <f t="shared" ref="E1247:F1247" si="1247">IF(A1247&lt;&gt;"", (B1247 - B1246) / B1246, "")</f>
        <v>0.01132107339</v>
      </c>
      <c r="F1247" s="22">
        <f t="shared" si="1247"/>
        <v>-0.05115830116</v>
      </c>
      <c r="H1247" s="22" t="str">
        <f t="shared" si="4"/>
        <v/>
      </c>
    </row>
    <row r="1248" ht="15.75" customHeight="1">
      <c r="A1248" s="32">
        <f>'EQUITY BACKTEST'!A1251</f>
        <v>44904.66667</v>
      </c>
      <c r="B1248" s="22">
        <f>'EQUITY BACKTEST'!B1251</f>
        <v>3934.38</v>
      </c>
      <c r="C1248" s="22">
        <f>1/'EQUITY BACKTEST'!E1251</f>
        <v>0.9667440062</v>
      </c>
      <c r="D1248" s="22">
        <f t="shared" si="1"/>
        <v>-0.4411482642</v>
      </c>
      <c r="E1248" s="22">
        <f t="shared" ref="E1248:F1248" si="1248">IF(A1248&lt;&gt;"", (B1248 - B1247) / B1247, "")</f>
        <v>-0.03372547093</v>
      </c>
      <c r="F1248" s="22">
        <f t="shared" si="1248"/>
        <v>0.00154679041</v>
      </c>
      <c r="H1248" s="22" t="str">
        <f t="shared" si="4"/>
        <v/>
      </c>
    </row>
    <row r="1249" ht="15.75" customHeight="1">
      <c r="A1249" s="32">
        <f>'EQUITY BACKTEST'!A1252</f>
        <v>44911.66667</v>
      </c>
      <c r="B1249" s="22">
        <f>'EQUITY BACKTEST'!B1252</f>
        <v>3852.36</v>
      </c>
      <c r="C1249" s="22">
        <f>1/'EQUITY BACKTEST'!E1252</f>
        <v>0.960338039</v>
      </c>
      <c r="D1249" s="22">
        <f t="shared" si="1"/>
        <v>-0.422018527</v>
      </c>
      <c r="E1249" s="22">
        <f t="shared" ref="E1249:F1249" si="1249">IF(A1249&lt;&gt;"", (B1249 - B1248) / B1248, "")</f>
        <v>-0.02084699495</v>
      </c>
      <c r="F1249" s="22">
        <f t="shared" si="1249"/>
        <v>-0.006626332469</v>
      </c>
      <c r="H1249" s="22" t="str">
        <f t="shared" si="4"/>
        <v/>
      </c>
    </row>
    <row r="1250" ht="15.75" customHeight="1">
      <c r="A1250" s="32">
        <f>'EQUITY BACKTEST'!A1253</f>
        <v>44918.66667</v>
      </c>
      <c r="B1250" s="22">
        <f>'EQUITY BACKTEST'!B1253</f>
        <v>3844.82</v>
      </c>
      <c r="C1250" s="22">
        <f>1/'EQUITY BACKTEST'!E1253</f>
        <v>0.9491268033</v>
      </c>
      <c r="D1250" s="22">
        <f t="shared" si="1"/>
        <v>-0.3797269918</v>
      </c>
      <c r="E1250" s="22">
        <f t="shared" ref="E1250:F1250" si="1250">IF(A1250&lt;&gt;"", (B1250 - B1249) / B1249, "")</f>
        <v>-0.001957241795</v>
      </c>
      <c r="F1250" s="22">
        <f t="shared" si="1250"/>
        <v>-0.01167425968</v>
      </c>
      <c r="H1250" s="22" t="str">
        <f t="shared" si="4"/>
        <v/>
      </c>
    </row>
    <row r="1251" ht="15.75" customHeight="1">
      <c r="A1251" s="32">
        <f>'EQUITY BACKTEST'!A1254</f>
        <v>44925.66667</v>
      </c>
      <c r="B1251" s="22">
        <f>'EQUITY BACKTEST'!B1254</f>
        <v>3839.5</v>
      </c>
      <c r="C1251" s="22">
        <f>1/'EQUITY BACKTEST'!E1254</f>
        <v>0.9487666034</v>
      </c>
      <c r="D1251" s="22">
        <f t="shared" si="1"/>
        <v>-0.319650153</v>
      </c>
      <c r="E1251" s="22">
        <f t="shared" ref="E1251:F1251" si="1251">IF(A1251&lt;&gt;"", (B1251 - B1250) / B1250, "")</f>
        <v>-0.00138367986</v>
      </c>
      <c r="F1251" s="22">
        <f t="shared" si="1251"/>
        <v>-0.0003795066414</v>
      </c>
      <c r="H1251" s="22" t="str">
        <f t="shared" si="4"/>
        <v/>
      </c>
    </row>
    <row r="1252" ht="15.75" customHeight="1">
      <c r="A1252" s="32">
        <f>'EQUITY BACKTEST'!A1255</f>
        <v>44932.66667</v>
      </c>
      <c r="B1252" s="22">
        <f>'EQUITY BACKTEST'!B1255</f>
        <v>3895.08</v>
      </c>
      <c r="C1252" s="22">
        <f>1/'EQUITY BACKTEST'!E1255</f>
        <v>0.9440196356</v>
      </c>
      <c r="D1252" s="22">
        <f t="shared" si="1"/>
        <v>-0.2857192841</v>
      </c>
      <c r="E1252" s="22">
        <f t="shared" ref="E1252:F1252" si="1252">IF(A1252&lt;&gt;"", (B1252 - B1251) / B1251, "")</f>
        <v>0.01447584321</v>
      </c>
      <c r="F1252" s="22">
        <f t="shared" si="1252"/>
        <v>-0.005003304069</v>
      </c>
      <c r="H1252" s="22" t="str">
        <f t="shared" si="4"/>
        <v/>
      </c>
    </row>
    <row r="1253" ht="15.75" customHeight="1">
      <c r="A1253" s="32">
        <f>'EQUITY BACKTEST'!A1256</f>
        <v>44939.66667</v>
      </c>
      <c r="B1253" s="22">
        <f>'EQUITY BACKTEST'!B1256</f>
        <v>3999.09</v>
      </c>
      <c r="C1253" s="22">
        <f>1/'EQUITY BACKTEST'!E1256</f>
        <v>0.9376465073</v>
      </c>
      <c r="D1253" s="22">
        <f t="shared" si="1"/>
        <v>-0.2834978149</v>
      </c>
      <c r="E1253" s="22">
        <f t="shared" ref="E1253:F1253" si="1253">IF(A1253&lt;&gt;"", (B1253 - B1252) / B1252, "")</f>
        <v>0.02670291753</v>
      </c>
      <c r="F1253" s="22">
        <f t="shared" si="1253"/>
        <v>-0.006751054852</v>
      </c>
      <c r="H1253" s="22" t="str">
        <f t="shared" si="4"/>
        <v/>
      </c>
    </row>
    <row r="1254" ht="15.75" customHeight="1">
      <c r="A1254" s="32">
        <f>'EQUITY BACKTEST'!A1257</f>
        <v>44946.66667</v>
      </c>
      <c r="B1254" s="22">
        <f>'EQUITY BACKTEST'!B1257</f>
        <v>3972.61</v>
      </c>
      <c r="C1254" s="22">
        <f>1/'EQUITY BACKTEST'!E1257</f>
        <v>0.9324009324</v>
      </c>
      <c r="D1254" s="22">
        <f t="shared" si="1"/>
        <v>-0.3015334496</v>
      </c>
      <c r="E1254" s="22">
        <f t="shared" ref="E1254:F1254" si="1254">IF(A1254&lt;&gt;"", (B1254 - B1253) / B1253, "")</f>
        <v>-0.006621506393</v>
      </c>
      <c r="F1254" s="22">
        <f t="shared" si="1254"/>
        <v>-0.005594405594</v>
      </c>
      <c r="H1254" s="22" t="str">
        <f t="shared" si="4"/>
        <v/>
      </c>
    </row>
    <row r="1255" ht="15.75" customHeight="1">
      <c r="A1255" s="32">
        <f>'EQUITY BACKTEST'!A1258</f>
        <v>44953.66667</v>
      </c>
      <c r="B1255" s="22">
        <f>'EQUITY BACKTEST'!B1258</f>
        <v>4070.56</v>
      </c>
      <c r="C1255" s="22">
        <f>1/'EQUITY BACKTEST'!E1258</f>
        <v>0.9379103358</v>
      </c>
      <c r="D1255" s="22">
        <f t="shared" si="1"/>
        <v>-0.3044520642</v>
      </c>
      <c r="E1255" s="22">
        <f t="shared" ref="E1255:F1255" si="1255">IF(A1255&lt;&gt;"", (B1255 - B1254) / B1254, "")</f>
        <v>0.02465633425</v>
      </c>
      <c r="F1255" s="22">
        <f t="shared" si="1255"/>
        <v>0.005908835115</v>
      </c>
      <c r="H1255" s="22" t="str">
        <f t="shared" si="4"/>
        <v/>
      </c>
    </row>
    <row r="1256" ht="15.75" customHeight="1">
      <c r="A1256" s="32">
        <f>'EQUITY BACKTEST'!A1259</f>
        <v>44960.66667</v>
      </c>
      <c r="B1256" s="22">
        <f>'EQUITY BACKTEST'!B1259</f>
        <v>4136.48</v>
      </c>
      <c r="C1256" s="22">
        <f>1/'EQUITY BACKTEST'!E1259</f>
        <v>0.9223390518</v>
      </c>
      <c r="D1256" s="22">
        <f t="shared" si="1"/>
        <v>-0.3031630466</v>
      </c>
      <c r="E1256" s="22">
        <f t="shared" ref="E1256:F1256" si="1256">IF(A1256&lt;&gt;"", (B1256 - B1255) / B1255, "")</f>
        <v>0.01619433198</v>
      </c>
      <c r="F1256" s="22">
        <f t="shared" si="1256"/>
        <v>-0.01660210293</v>
      </c>
      <c r="H1256" s="22" t="str">
        <f t="shared" si="4"/>
        <v/>
      </c>
    </row>
    <row r="1257" ht="15.75" customHeight="1">
      <c r="A1257" s="32">
        <f>'EQUITY BACKTEST'!A1260</f>
        <v>44967.66667</v>
      </c>
      <c r="B1257" s="22">
        <f>'EQUITY BACKTEST'!B1260</f>
        <v>4090.46</v>
      </c>
      <c r="C1257" s="22">
        <f>1/'EQUITY BACKTEST'!E1260</f>
        <v>0.9194556822</v>
      </c>
      <c r="D1257" s="22">
        <f t="shared" si="1"/>
        <v>-0.3062249043</v>
      </c>
      <c r="E1257" s="22">
        <f t="shared" ref="E1257:F1257" si="1257">IF(A1257&lt;&gt;"", (B1257 - B1256) / B1256, "")</f>
        <v>-0.01112540131</v>
      </c>
      <c r="F1257" s="22">
        <f t="shared" si="1257"/>
        <v>-0.00312614932</v>
      </c>
      <c r="H1257" s="22" t="str">
        <f t="shared" si="4"/>
        <v/>
      </c>
    </row>
    <row r="1258" ht="15.75" customHeight="1">
      <c r="A1258" s="32">
        <f>'EQUITY BACKTEST'!A1261</f>
        <v>44974.66667</v>
      </c>
      <c r="B1258" s="22">
        <f>'EQUITY BACKTEST'!B1261</f>
        <v>4079.09</v>
      </c>
      <c r="C1258" s="22">
        <f>1/'EQUITY BACKTEST'!E1261</f>
        <v>0.919878576</v>
      </c>
      <c r="D1258" s="22">
        <f t="shared" si="1"/>
        <v>-0.3035089193</v>
      </c>
      <c r="E1258" s="22">
        <f t="shared" ref="E1258:F1258" si="1258">IF(A1258&lt;&gt;"", (B1258 - B1257) / B1257, "")</f>
        <v>-0.002779638476</v>
      </c>
      <c r="F1258" s="22">
        <f t="shared" si="1258"/>
        <v>0.000459939288</v>
      </c>
      <c r="H1258" s="22" t="str">
        <f t="shared" si="4"/>
        <v/>
      </c>
    </row>
    <row r="1259" ht="15.75" customHeight="1">
      <c r="A1259" s="32">
        <f>'EQUITY BACKTEST'!A1262</f>
        <v>44981.66667</v>
      </c>
      <c r="B1259" s="22">
        <f>'EQUITY BACKTEST'!B1262</f>
        <v>3970.04</v>
      </c>
      <c r="C1259" s="22">
        <f>1/'EQUITY BACKTEST'!E1262</f>
        <v>0.9240436149</v>
      </c>
      <c r="D1259" s="22">
        <f t="shared" si="1"/>
        <v>-0.2844907312</v>
      </c>
      <c r="E1259" s="22">
        <f t="shared" ref="E1259:F1259" si="1259">IF(A1259&lt;&gt;"", (B1259 - B1258) / B1258, "")</f>
        <v>-0.02673390389</v>
      </c>
      <c r="F1259" s="22">
        <f t="shared" si="1259"/>
        <v>0.004527813713</v>
      </c>
      <c r="H1259" s="22" t="str">
        <f t="shared" si="4"/>
        <v/>
      </c>
    </row>
    <row r="1260" ht="15.75" customHeight="1">
      <c r="A1260" s="32">
        <f>'EQUITY BACKTEST'!A1263</f>
        <v>44988.66667</v>
      </c>
      <c r="B1260" s="22">
        <f>'EQUITY BACKTEST'!B1263</f>
        <v>4045.64</v>
      </c>
      <c r="C1260" s="22">
        <f>1/'EQUITY BACKTEST'!E1263</f>
        <v>0.9349289454</v>
      </c>
      <c r="D1260" s="22">
        <f t="shared" si="1"/>
        <v>-0.2493001082</v>
      </c>
      <c r="E1260" s="22">
        <f t="shared" ref="E1260:F1260" si="1260">IF(A1260&lt;&gt;"", (B1260 - B1259) / B1259, "")</f>
        <v>0.01904262929</v>
      </c>
      <c r="F1260" s="22">
        <f t="shared" si="1260"/>
        <v>0.01178010471</v>
      </c>
      <c r="H1260" s="22" t="str">
        <f t="shared" si="4"/>
        <v/>
      </c>
    </row>
    <row r="1261" ht="15.75" customHeight="1">
      <c r="A1261" s="32">
        <f>'EQUITY BACKTEST'!A1264</f>
        <v>44995.66667</v>
      </c>
      <c r="B1261" s="22">
        <f>'EQUITY BACKTEST'!B1264</f>
        <v>3861.59</v>
      </c>
      <c r="C1261" s="22">
        <f>1/'EQUITY BACKTEST'!E1264</f>
        <v>0.9332711153</v>
      </c>
      <c r="D1261" s="22">
        <f t="shared" si="1"/>
        <v>-0.20438484</v>
      </c>
      <c r="E1261" s="22">
        <f t="shared" ref="E1261:F1261" si="1261">IF(A1261&lt;&gt;"", (B1261 - B1260) / B1260, "")</f>
        <v>-0.04549342008</v>
      </c>
      <c r="F1261" s="22">
        <f t="shared" si="1261"/>
        <v>-0.001773215119</v>
      </c>
      <c r="H1261" s="22" t="str">
        <f t="shared" si="4"/>
        <v/>
      </c>
    </row>
    <row r="1262" ht="15.75" customHeight="1">
      <c r="A1262" s="32">
        <f>'EQUITY BACKTEST'!A1265</f>
        <v>45002.66667</v>
      </c>
      <c r="B1262" s="22">
        <f>'EQUITY BACKTEST'!B1265</f>
        <v>3916.64</v>
      </c>
      <c r="C1262" s="22">
        <f>1/'EQUITY BACKTEST'!E1265</f>
        <v>0.9459842967</v>
      </c>
      <c r="D1262" s="22">
        <f t="shared" si="1"/>
        <v>-0.1730259706</v>
      </c>
      <c r="E1262" s="22">
        <f t="shared" ref="E1262:F1262" si="1262">IF(A1262&lt;&gt;"", (B1262 - B1261) / B1261, "")</f>
        <v>0.01425578583</v>
      </c>
      <c r="F1262" s="22">
        <f t="shared" si="1262"/>
        <v>0.01362217387</v>
      </c>
      <c r="H1262" s="22" t="str">
        <f t="shared" si="4"/>
        <v/>
      </c>
    </row>
    <row r="1263" ht="15.75" customHeight="1">
      <c r="A1263" s="32">
        <f>'EQUITY BACKTEST'!A1266</f>
        <v>45009.66667</v>
      </c>
      <c r="B1263" s="22">
        <f>'EQUITY BACKTEST'!B1266</f>
        <v>3970.99</v>
      </c>
      <c r="C1263" s="22">
        <f>1/'EQUITY BACKTEST'!E1266</f>
        <v>0.9390553104</v>
      </c>
      <c r="D1263" s="22">
        <f t="shared" si="1"/>
        <v>-0.114794215</v>
      </c>
      <c r="E1263" s="22">
        <f t="shared" ref="E1263:F1263" si="1263">IF(A1263&lt;&gt;"", (B1263 - B1262) / B1262, "")</f>
        <v>0.01387669022</v>
      </c>
      <c r="F1263" s="22">
        <f t="shared" si="1263"/>
        <v>-0.007324631421</v>
      </c>
      <c r="H1263" s="22" t="str">
        <f t="shared" si="4"/>
        <v/>
      </c>
    </row>
    <row r="1264" ht="15.75" customHeight="1">
      <c r="A1264" s="32">
        <f>'EQUITY BACKTEST'!A1267</f>
        <v>45016.66667</v>
      </c>
      <c r="B1264" s="22">
        <f>'EQUITY BACKTEST'!B1267</f>
        <v>4109.31</v>
      </c>
      <c r="C1264" s="22">
        <f>1/'EQUITY BACKTEST'!E1267</f>
        <v>0.9394081729</v>
      </c>
      <c r="D1264" s="22">
        <f t="shared" si="1"/>
        <v>-0.09498815447</v>
      </c>
      <c r="E1264" s="22">
        <f t="shared" ref="E1264:F1264" si="1264">IF(A1264&lt;&gt;"", (B1264 - B1263) / B1263, "")</f>
        <v>0.0348326236</v>
      </c>
      <c r="F1264" s="22">
        <f t="shared" si="1264"/>
        <v>0.0003757632691</v>
      </c>
      <c r="H1264" s="22" t="str">
        <f t="shared" si="4"/>
        <v/>
      </c>
    </row>
    <row r="1265" ht="15.75" customHeight="1">
      <c r="A1265" s="32">
        <f>'EQUITY BACKTEST'!A1268</f>
        <v>45022.66667</v>
      </c>
      <c r="B1265" s="22">
        <f>'EQUITY BACKTEST'!B1268</f>
        <v>4105.02</v>
      </c>
      <c r="C1265" s="22">
        <f>1/'EQUITY BACKTEST'!E1268</f>
        <v>0.9281603861</v>
      </c>
      <c r="D1265" s="22">
        <f t="shared" si="1"/>
        <v>-0.06870763048</v>
      </c>
      <c r="E1265" s="22">
        <f t="shared" ref="E1265:F1265" si="1265">IF(A1265&lt;&gt;"", (B1265 - B1264) / B1264, "")</f>
        <v>-0.001043970886</v>
      </c>
      <c r="F1265" s="22">
        <f t="shared" si="1265"/>
        <v>-0.01197326898</v>
      </c>
      <c r="H1265" s="22" t="str">
        <f t="shared" si="4"/>
        <v/>
      </c>
    </row>
    <row r="1266" ht="15.75" customHeight="1">
      <c r="A1266" s="32">
        <f>'EQUITY BACKTEST'!A1269</f>
        <v>45030.66667</v>
      </c>
      <c r="B1266" s="22">
        <f>'EQUITY BACKTEST'!B1269</f>
        <v>4137.64</v>
      </c>
      <c r="C1266" s="22">
        <f>1/'EQUITY BACKTEST'!E1269</f>
        <v>0.9275577405</v>
      </c>
      <c r="D1266" s="22">
        <f t="shared" si="1"/>
        <v>-0.05307037128</v>
      </c>
      <c r="E1266" s="22">
        <f t="shared" ref="E1266:F1266" si="1266">IF(A1266&lt;&gt;"", (B1266 - B1265) / B1265, "")</f>
        <v>0.007946368105</v>
      </c>
      <c r="F1266" s="22">
        <f t="shared" si="1266"/>
        <v>-0.0006492904183</v>
      </c>
      <c r="H1266" s="22" t="str">
        <f t="shared" si="4"/>
        <v/>
      </c>
    </row>
    <row r="1267" ht="15.75" customHeight="1">
      <c r="A1267" s="32">
        <f>'EQUITY BACKTEST'!A1270</f>
        <v>45037.66667</v>
      </c>
      <c r="B1267" s="22">
        <f>'EQUITY BACKTEST'!B1270</f>
        <v>4133.52</v>
      </c>
      <c r="C1267" s="22">
        <f>1/'EQUITY BACKTEST'!E1270</f>
        <v>0.9200478425</v>
      </c>
      <c r="D1267" s="22">
        <f t="shared" si="1"/>
        <v>-0.03075618422</v>
      </c>
      <c r="E1267" s="22">
        <f t="shared" ref="E1267:F1267" si="1267">IF(A1267&lt;&gt;"", (B1267 - B1266) / B1266, "")</f>
        <v>-0.0009957367001</v>
      </c>
      <c r="F1267" s="22">
        <f t="shared" si="1267"/>
        <v>-0.008096421014</v>
      </c>
      <c r="H1267" s="22" t="str">
        <f t="shared" si="4"/>
        <v/>
      </c>
    </row>
    <row r="1268" ht="15.75" customHeight="1">
      <c r="A1268" s="32">
        <f>'EQUITY BACKTEST'!A1271</f>
        <v>45044.66667</v>
      </c>
      <c r="B1268" s="22">
        <f>'EQUITY BACKTEST'!B1271</f>
        <v>4169.48</v>
      </c>
      <c r="C1268" s="22">
        <f>1/'EQUITY BACKTEST'!E1271</f>
        <v>0.9096697899</v>
      </c>
      <c r="D1268" s="22">
        <f t="shared" si="1"/>
        <v>-0.02860459569</v>
      </c>
      <c r="E1268" s="22">
        <f t="shared" ref="E1268:F1268" si="1268">IF(A1268&lt;&gt;"", (B1268 - B1267) / B1267, "")</f>
        <v>0.008699607115</v>
      </c>
      <c r="F1268" s="22">
        <f t="shared" si="1268"/>
        <v>-0.01127990539</v>
      </c>
      <c r="H1268" s="22" t="str">
        <f t="shared" si="4"/>
        <v/>
      </c>
    </row>
    <row r="1269" ht="15.75" customHeight="1">
      <c r="A1269" s="32">
        <f>'EQUITY BACKTEST'!A1272</f>
        <v>45051.66667</v>
      </c>
      <c r="B1269" s="22">
        <f>'EQUITY BACKTEST'!B1272</f>
        <v>4136.25</v>
      </c>
      <c r="C1269" s="22">
        <f>1/'EQUITY BACKTEST'!E1272</f>
        <v>0.900819746</v>
      </c>
      <c r="D1269" s="22">
        <f t="shared" si="1"/>
        <v>-0.01369850368</v>
      </c>
      <c r="E1269" s="22">
        <f t="shared" ref="E1269:F1269" si="1269">IF(A1269&lt;&gt;"", (B1269 - B1268) / B1268, "")</f>
        <v>-0.007969818778</v>
      </c>
      <c r="F1269" s="22">
        <f t="shared" si="1269"/>
        <v>-0.009728853256</v>
      </c>
      <c r="H1269" s="22" t="str">
        <f t="shared" si="4"/>
        <v/>
      </c>
    </row>
    <row r="1270" ht="15.75" customHeight="1">
      <c r="A1270" s="32">
        <f>'EQUITY BACKTEST'!A1273</f>
        <v>45058.66667</v>
      </c>
      <c r="B1270" s="22">
        <f>'EQUITY BACKTEST'!B1273</f>
        <v>4124.08</v>
      </c>
      <c r="C1270" s="22">
        <f>1/'EQUITY BACKTEST'!E1273</f>
        <v>0.901306895</v>
      </c>
      <c r="D1270" s="22">
        <f t="shared" si="1"/>
        <v>-0.01754750773</v>
      </c>
      <c r="E1270" s="22">
        <f t="shared" ref="E1270:F1270" si="1270">IF(A1270&lt;&gt;"", (B1270 - B1269) / B1269, "")</f>
        <v>-0.002942278634</v>
      </c>
      <c r="F1270" s="22">
        <f t="shared" si="1270"/>
        <v>0.000540784137</v>
      </c>
      <c r="H1270" s="22" t="str">
        <f t="shared" si="4"/>
        <v/>
      </c>
    </row>
    <row r="1271" ht="15.75" customHeight="1">
      <c r="A1271" s="32">
        <f>'EQUITY BACKTEST'!A1274</f>
        <v>45065.66667</v>
      </c>
      <c r="B1271" s="22">
        <f>'EQUITY BACKTEST'!B1274</f>
        <v>4191.98</v>
      </c>
      <c r="C1271" s="22">
        <f>1/'EQUITY BACKTEST'!E1274</f>
        <v>0.8987956139</v>
      </c>
      <c r="D1271" s="22">
        <f t="shared" si="1"/>
        <v>-0.02879784038</v>
      </c>
      <c r="E1271" s="22">
        <f t="shared" ref="E1271:F1271" si="1271">IF(A1271&lt;&gt;"", (B1271 - B1270) / B1270, "")</f>
        <v>0.01646427809</v>
      </c>
      <c r="F1271" s="22">
        <f t="shared" si="1271"/>
        <v>-0.002786266403</v>
      </c>
      <c r="H1271" s="22" t="str">
        <f t="shared" si="4"/>
        <v/>
      </c>
    </row>
    <row r="1272" ht="15.75" customHeight="1">
      <c r="A1272" s="32">
        <f>'EQUITY BACKTEST'!A1275</f>
        <v>45072.66667</v>
      </c>
      <c r="B1272" s="22">
        <f>'EQUITY BACKTEST'!B1275</f>
        <v>4205.45</v>
      </c>
      <c r="C1272" s="22">
        <f>1/'EQUITY BACKTEST'!E1275</f>
        <v>0.9076057361</v>
      </c>
      <c r="D1272" s="22">
        <f t="shared" si="1"/>
        <v>-0.06363161087</v>
      </c>
      <c r="E1272" s="22">
        <f t="shared" ref="E1272:F1272" si="1272">IF(A1272&lt;&gt;"", (B1272 - B1271) / B1271, "")</f>
        <v>0.003213278689</v>
      </c>
      <c r="F1272" s="22">
        <f t="shared" si="1272"/>
        <v>0.00980214195</v>
      </c>
      <c r="H1272" s="22" t="str">
        <f t="shared" si="4"/>
        <v/>
      </c>
    </row>
    <row r="1273" ht="15.75" customHeight="1">
      <c r="A1273" s="32">
        <f>'EQUITY BACKTEST'!A1276</f>
        <v>45079.66667</v>
      </c>
      <c r="B1273" s="22">
        <f>'EQUITY BACKTEST'!B1276</f>
        <v>4282.37</v>
      </c>
      <c r="C1273" s="22">
        <f>1/'EQUITY BACKTEST'!E1276</f>
        <v>0.9144111192</v>
      </c>
      <c r="D1273" s="22">
        <f t="shared" si="1"/>
        <v>-0.08702138708</v>
      </c>
      <c r="E1273" s="22">
        <f t="shared" ref="E1273:F1273" si="1273">IF(A1273&lt;&gt;"", (B1273 - B1272) / B1272, "")</f>
        <v>0.01829055155</v>
      </c>
      <c r="F1273" s="22">
        <f t="shared" si="1273"/>
        <v>0.007498171178</v>
      </c>
      <c r="H1273" s="22" t="str">
        <f t="shared" si="4"/>
        <v/>
      </c>
    </row>
    <row r="1274" ht="15.75" customHeight="1">
      <c r="A1274" s="32">
        <f>'EQUITY BACKTEST'!A1277</f>
        <v>45086.66667</v>
      </c>
      <c r="B1274" s="22">
        <f>'EQUITY BACKTEST'!B1277</f>
        <v>4298.86</v>
      </c>
      <c r="C1274" s="22">
        <f>1/'EQUITY BACKTEST'!E1277</f>
        <v>0.924556213</v>
      </c>
      <c r="D1274" s="22">
        <f t="shared" si="1"/>
        <v>-0.1158840928</v>
      </c>
      <c r="E1274" s="22">
        <f t="shared" ref="E1274:F1274" si="1274">IF(A1274&lt;&gt;"", (B1274 - B1273) / B1273, "")</f>
        <v>0.003850671474</v>
      </c>
      <c r="F1274" s="22">
        <f t="shared" si="1274"/>
        <v>0.01109467456</v>
      </c>
      <c r="H1274" s="22" t="str">
        <f t="shared" si="4"/>
        <v/>
      </c>
    </row>
    <row r="1275" ht="15.75" customHeight="1">
      <c r="A1275" s="32">
        <f>'EQUITY BACKTEST'!A1278</f>
        <v>45093.66667</v>
      </c>
      <c r="B1275" s="22">
        <f>'EQUITY BACKTEST'!B1278</f>
        <v>4409.59</v>
      </c>
      <c r="C1275" s="22">
        <f>1/'EQUITY BACKTEST'!E1278</f>
        <v>0.9320533134</v>
      </c>
      <c r="D1275" s="22">
        <f t="shared" si="1"/>
        <v>-0.1152424418</v>
      </c>
      <c r="E1275" s="22">
        <f t="shared" ref="E1275:F1275" si="1275">IF(A1275&lt;&gt;"", (B1275 - B1274) / B1274, "")</f>
        <v>0.02575799165</v>
      </c>
      <c r="F1275" s="22">
        <f t="shared" si="1275"/>
        <v>0.008108863827</v>
      </c>
      <c r="H1275" s="22" t="str">
        <f t="shared" si="4"/>
        <v/>
      </c>
    </row>
    <row r="1276" ht="15.75" customHeight="1">
      <c r="A1276" s="32">
        <f>'EQUITY BACKTEST'!A1279</f>
        <v>45100.66667</v>
      </c>
      <c r="B1276" s="22">
        <f>'EQUITY BACKTEST'!B1279</f>
        <v>4348.33</v>
      </c>
      <c r="C1276" s="22">
        <f>1/'EQUITY BACKTEST'!E1279</f>
        <v>0.9325748391</v>
      </c>
      <c r="D1276" s="22">
        <f t="shared" si="1"/>
        <v>-0.1056306827</v>
      </c>
      <c r="E1276" s="22">
        <f t="shared" ref="E1276:F1276" si="1276">IF(A1276&lt;&gt;"", (B1276 - B1275) / B1275, "")</f>
        <v>-0.01389244805</v>
      </c>
      <c r="F1276" s="22">
        <f t="shared" si="1276"/>
        <v>0.0005595449035</v>
      </c>
      <c r="H1276" s="22" t="str">
        <f t="shared" si="4"/>
        <v/>
      </c>
    </row>
    <row r="1277" ht="15.75" customHeight="1">
      <c r="A1277" s="32">
        <f>'EQUITY BACKTEST'!A1280</f>
        <v>45107.66667</v>
      </c>
      <c r="B1277" s="22">
        <f>'EQUITY BACKTEST'!B1280</f>
        <v>4450.38</v>
      </c>
      <c r="C1277" s="22">
        <f>1/'EQUITY BACKTEST'!E1280</f>
        <v>0.9300595238</v>
      </c>
      <c r="D1277" s="22">
        <f t="shared" si="1"/>
        <v>-0.08065228373</v>
      </c>
      <c r="E1277" s="22">
        <f t="shared" ref="E1277:F1277" si="1277">IF(A1277&lt;&gt;"", (B1277 - B1276) / B1276, "")</f>
        <v>0.02346877997</v>
      </c>
      <c r="F1277" s="22">
        <f t="shared" si="1277"/>
        <v>-0.002697172619</v>
      </c>
      <c r="H1277" s="22" t="str">
        <f t="shared" si="4"/>
        <v/>
      </c>
    </row>
    <row r="1278" ht="15.75" customHeight="1">
      <c r="A1278" s="32">
        <f>'EQUITY BACKTEST'!A1281</f>
        <v>45114.66667</v>
      </c>
      <c r="B1278" s="22">
        <f>'EQUITY BACKTEST'!B1281</f>
        <v>4398.95</v>
      </c>
      <c r="C1278" s="22">
        <f>1/'EQUITY BACKTEST'!E1281</f>
        <v>0.9120758847</v>
      </c>
      <c r="D1278" s="22">
        <f t="shared" si="1"/>
        <v>-0.03767029938</v>
      </c>
      <c r="E1278" s="22">
        <f t="shared" ref="E1278:F1278" si="1278">IF(A1278&lt;&gt;"", (B1278 - B1277) / B1277, "")</f>
        <v>-0.01155631654</v>
      </c>
      <c r="F1278" s="22">
        <f t="shared" si="1278"/>
        <v>-0.01933600876</v>
      </c>
      <c r="H1278" s="22" t="str">
        <f t="shared" si="4"/>
        <v/>
      </c>
    </row>
    <row r="1279" ht="15.75" customHeight="1">
      <c r="A1279" s="32">
        <f>'EQUITY BACKTEST'!A1282</f>
        <v>45121.66667</v>
      </c>
      <c r="B1279" s="22">
        <f>'EQUITY BACKTEST'!B1282</f>
        <v>4505.42</v>
      </c>
      <c r="C1279" s="22">
        <f>1/'EQUITY BACKTEST'!E1282</f>
        <v>0.9147457007</v>
      </c>
      <c r="D1279" s="22">
        <f t="shared" si="1"/>
        <v>-0.0181238444</v>
      </c>
      <c r="E1279" s="22">
        <f t="shared" ref="E1279:F1279" si="1279">IF(A1279&lt;&gt;"", (B1279 - B1278) / B1278, "")</f>
        <v>0.02420350311</v>
      </c>
      <c r="F1279" s="22">
        <f t="shared" si="1279"/>
        <v>0.002927186242</v>
      </c>
      <c r="H1279" s="22" t="str">
        <f t="shared" si="4"/>
        <v/>
      </c>
    </row>
    <row r="1280" ht="15.75" customHeight="1">
      <c r="A1280" s="32">
        <f>'EQUITY BACKTEST'!A1283</f>
        <v>45128.66667</v>
      </c>
      <c r="B1280" s="22">
        <f>'EQUITY BACKTEST'!B1283</f>
        <v>4536.34</v>
      </c>
      <c r="C1280" s="22">
        <f>1/'EQUITY BACKTEST'!E1283</f>
        <v>0.9157509158</v>
      </c>
      <c r="D1280" s="22">
        <f t="shared" si="1"/>
        <v>-0.00611701082</v>
      </c>
      <c r="E1280" s="22">
        <f t="shared" ref="E1280:F1280" si="1280">IF(A1280&lt;&gt;"", (B1280 - B1279) / B1279, "")</f>
        <v>0.006862845195</v>
      </c>
      <c r="F1280" s="22">
        <f t="shared" si="1280"/>
        <v>0.001098901099</v>
      </c>
      <c r="H1280" s="22" t="str">
        <f t="shared" si="4"/>
        <v/>
      </c>
    </row>
    <row r="1281" ht="15.75" customHeight="1">
      <c r="A1281" s="32">
        <f>'EQUITY BACKTEST'!A1284</f>
        <v>45135.66667</v>
      </c>
      <c r="B1281" s="22">
        <f>'EQUITY BACKTEST'!B1284</f>
        <v>4582.23</v>
      </c>
      <c r="C1281" s="22">
        <f>1/'EQUITY BACKTEST'!E1284</f>
        <v>0.9116601331</v>
      </c>
      <c r="D1281" s="22">
        <f t="shared" si="1"/>
        <v>-0.01865726658</v>
      </c>
      <c r="E1281" s="22">
        <f t="shared" ref="E1281:F1281" si="1281">IF(A1281&lt;&gt;"", (B1281 - B1280) / B1280, "")</f>
        <v>0.01011608477</v>
      </c>
      <c r="F1281" s="22">
        <f t="shared" si="1281"/>
        <v>-0.004467134652</v>
      </c>
      <c r="H1281" s="22" t="str">
        <f t="shared" si="4"/>
        <v/>
      </c>
    </row>
    <row r="1282" ht="15.75" customHeight="1">
      <c r="A1282" s="32">
        <f>'EQUITY BACKTEST'!A1285</f>
        <v>45142.66667</v>
      </c>
      <c r="B1282" s="22">
        <f>'EQUITY BACKTEST'!B1285</f>
        <v>4478.03</v>
      </c>
      <c r="C1282" s="22">
        <f>1/'EQUITY BACKTEST'!E1285</f>
        <v>0.8900756564</v>
      </c>
      <c r="D1282" s="22">
        <f t="shared" si="1"/>
        <v>-0.04617013345</v>
      </c>
      <c r="E1282" s="22">
        <f t="shared" ref="E1282:F1282" si="1282">IF(A1282&lt;&gt;"", (B1282 - B1281) / B1281, "")</f>
        <v>-0.0227400196</v>
      </c>
      <c r="F1282" s="22">
        <f t="shared" si="1282"/>
        <v>-0.02367601246</v>
      </c>
      <c r="H1282" s="22" t="str">
        <f t="shared" si="4"/>
        <v/>
      </c>
    </row>
    <row r="1283" ht="15.75" customHeight="1">
      <c r="A1283" s="32">
        <f>'EQUITY BACKTEST'!A1286</f>
        <v>45149.66667</v>
      </c>
      <c r="B1283" s="22">
        <f>'EQUITY BACKTEST'!B1286</f>
        <v>4464.05</v>
      </c>
      <c r="C1283" s="22">
        <f>1/'EQUITY BACKTEST'!E1286</f>
        <v>0.8987148378</v>
      </c>
      <c r="D1283" s="22">
        <f t="shared" si="1"/>
        <v>-0.1173539666</v>
      </c>
      <c r="E1283" s="22">
        <f t="shared" ref="E1283:F1283" si="1283">IF(A1283&lt;&gt;"", (B1283 - B1282) / B1282, "")</f>
        <v>-0.003121908518</v>
      </c>
      <c r="F1283" s="22">
        <f t="shared" si="1283"/>
        <v>0.009706120248</v>
      </c>
      <c r="H1283" s="22" t="str">
        <f t="shared" si="4"/>
        <v/>
      </c>
    </row>
    <row r="1284" ht="15.75" customHeight="1">
      <c r="A1284" s="32">
        <f>'EQUITY BACKTEST'!A1287</f>
        <v>45156.66667</v>
      </c>
      <c r="B1284" s="22">
        <f>'EQUITY BACKTEST'!B1287</f>
        <v>4369.71</v>
      </c>
      <c r="C1284" s="22">
        <f>1/'EQUITY BACKTEST'!E1287</f>
        <v>0.9062075215</v>
      </c>
      <c r="D1284" s="22">
        <f t="shared" si="1"/>
        <v>-0.1832121793</v>
      </c>
      <c r="E1284" s="22">
        <f t="shared" ref="E1284:F1284" si="1284">IF(A1284&lt;&gt;"", (B1284 - B1283) / B1283, "")</f>
        <v>-0.02113327584</v>
      </c>
      <c r="F1284" s="22">
        <f t="shared" si="1284"/>
        <v>0.008337109198</v>
      </c>
      <c r="H1284" s="22" t="str">
        <f t="shared" si="4"/>
        <v/>
      </c>
    </row>
    <row r="1285" ht="15.75" customHeight="1">
      <c r="A1285" s="32">
        <f>'EQUITY BACKTEST'!A1288</f>
        <v>45163.66667</v>
      </c>
      <c r="B1285" s="22">
        <f>'EQUITY BACKTEST'!B1288</f>
        <v>4405.71</v>
      </c>
      <c r="C1285" s="22">
        <f>1/'EQUITY BACKTEST'!E1288</f>
        <v>0.9070294785</v>
      </c>
      <c r="D1285" s="22">
        <f t="shared" si="1"/>
        <v>-0.2566291191</v>
      </c>
      <c r="E1285" s="22">
        <f t="shared" ref="E1285:F1285" si="1285">IF(A1285&lt;&gt;"", (B1285 - B1284) / B1284, "")</f>
        <v>0.008238532992</v>
      </c>
      <c r="F1285" s="22">
        <f t="shared" si="1285"/>
        <v>0.0009070294785</v>
      </c>
      <c r="H1285" s="22" t="str">
        <f t="shared" si="4"/>
        <v/>
      </c>
    </row>
    <row r="1286" ht="15.75" customHeight="1">
      <c r="A1286" s="32">
        <f>'EQUITY BACKTEST'!A1289</f>
        <v>45170.66667</v>
      </c>
      <c r="B1286" s="22">
        <f>'EQUITY BACKTEST'!B1289</f>
        <v>4515.77</v>
      </c>
      <c r="C1286" s="22">
        <f>1/'EQUITY BACKTEST'!E1289</f>
        <v>0.9121590805</v>
      </c>
      <c r="D1286" s="22">
        <f t="shared" si="1"/>
        <v>-0.3311207389</v>
      </c>
      <c r="E1286" s="22">
        <f t="shared" ref="E1286:F1286" si="1286">IF(A1286&lt;&gt;"", (B1286 - B1285) / B1285, "")</f>
        <v>0.02498121756</v>
      </c>
      <c r="F1286" s="22">
        <f t="shared" si="1286"/>
        <v>0.005655386299</v>
      </c>
      <c r="H1286" s="22" t="str">
        <f t="shared" si="4"/>
        <v/>
      </c>
    </row>
    <row r="1287" ht="15.75" customHeight="1">
      <c r="A1287" s="32">
        <f>'EQUITY BACKTEST'!A1290</f>
        <v>45177.66667</v>
      </c>
      <c r="B1287" s="22">
        <f>'EQUITY BACKTEST'!B1290</f>
        <v>4457.49</v>
      </c>
      <c r="C1287" s="22">
        <f>1/'EQUITY BACKTEST'!E1290</f>
        <v>0.9182736455</v>
      </c>
      <c r="D1287" s="22">
        <f t="shared" si="1"/>
        <v>-0.3855359954</v>
      </c>
      <c r="E1287" s="22">
        <f t="shared" ref="E1287:F1287" si="1287">IF(A1287&lt;&gt;"", (B1287 - B1286) / B1286, "")</f>
        <v>-0.01290588316</v>
      </c>
      <c r="F1287" s="22">
        <f t="shared" si="1287"/>
        <v>0.006703397612</v>
      </c>
      <c r="H1287" s="22" t="str">
        <f t="shared" si="4"/>
        <v/>
      </c>
    </row>
    <row r="1288" ht="15.75" customHeight="1">
      <c r="A1288" s="32">
        <f>'EQUITY BACKTEST'!A1291</f>
        <v>45184.66667</v>
      </c>
      <c r="B1288" s="22">
        <f>'EQUITY BACKTEST'!B1291</f>
        <v>4450.32</v>
      </c>
      <c r="C1288" s="22">
        <f>1/'EQUITY BACKTEST'!E1291</f>
        <v>0.9264406152</v>
      </c>
      <c r="D1288" s="22">
        <f t="shared" si="1"/>
        <v>-0.4461509855</v>
      </c>
      <c r="E1288" s="22">
        <f t="shared" ref="E1288:F1288" si="1288">IF(A1288&lt;&gt;"", (B1288 - B1287) / B1287, "")</f>
        <v>-0.001608528567</v>
      </c>
      <c r="F1288" s="22">
        <f t="shared" si="1288"/>
        <v>0.008893829906</v>
      </c>
      <c r="H1288" s="22" t="str">
        <f t="shared" si="4"/>
        <v/>
      </c>
    </row>
    <row r="1289" ht="15.75" customHeight="1">
      <c r="A1289" s="32">
        <f>'EQUITY BACKTEST'!A1292</f>
        <v>45191.66667</v>
      </c>
      <c r="B1289" s="22">
        <f>'EQUITY BACKTEST'!B1292</f>
        <v>4320.06</v>
      </c>
      <c r="C1289" s="22">
        <f>1/'EQUITY BACKTEST'!E1292</f>
        <v>0.9262689885</v>
      </c>
      <c r="D1289" s="22">
        <f t="shared" si="1"/>
        <v>-0.4777059006</v>
      </c>
      <c r="E1289" s="22">
        <f t="shared" ref="E1289:F1289" si="1289">IF(A1289&lt;&gt;"", (B1289 - B1288) / B1288, "")</f>
        <v>-0.02926980532</v>
      </c>
      <c r="F1289" s="22">
        <f t="shared" si="1289"/>
        <v>-0.0001852537977</v>
      </c>
      <c r="H1289" s="22" t="str">
        <f t="shared" si="4"/>
        <v/>
      </c>
    </row>
    <row r="1290" ht="15.75" customHeight="1">
      <c r="A1290" s="32">
        <f>'EQUITY BACKTEST'!A1293</f>
        <v>45198.66667</v>
      </c>
      <c r="B1290" s="22">
        <f>'EQUITY BACKTEST'!B1293</f>
        <v>4288.05</v>
      </c>
      <c r="C1290" s="22">
        <f>1/'EQUITY BACKTEST'!E1293</f>
        <v>0.9335324869</v>
      </c>
      <c r="D1290" s="22">
        <f t="shared" si="1"/>
        <v>-0.5131771614</v>
      </c>
      <c r="E1290" s="22">
        <f t="shared" ref="E1290:F1290" si="1290">IF(A1290&lt;&gt;"", (B1290 - B1289) / B1289, "")</f>
        <v>-0.007409619311</v>
      </c>
      <c r="F1290" s="22">
        <f t="shared" si="1290"/>
        <v>0.00784167289</v>
      </c>
      <c r="H1290" s="22" t="str">
        <f t="shared" si="4"/>
        <v/>
      </c>
    </row>
    <row r="1291" ht="15.75" customHeight="1">
      <c r="A1291" s="32">
        <f>'EQUITY BACKTEST'!A1294</f>
        <v>45205.66667</v>
      </c>
      <c r="B1291" s="22">
        <f>'EQUITY BACKTEST'!B1294</f>
        <v>4308.5</v>
      </c>
      <c r="C1291" s="22">
        <f>1/'EQUITY BACKTEST'!E1294</f>
        <v>0.9370314843</v>
      </c>
      <c r="D1291" s="22">
        <f t="shared" si="1"/>
        <v>-0.529009438</v>
      </c>
      <c r="E1291" s="22">
        <f t="shared" ref="E1291:F1291" si="1291">IF(A1291&lt;&gt;"", (B1291 - B1290) / B1290, "")</f>
        <v>0.004769067525</v>
      </c>
      <c r="F1291" s="22">
        <f t="shared" si="1291"/>
        <v>0.003748125937</v>
      </c>
      <c r="H1291" s="22" t="str">
        <f t="shared" si="4"/>
        <v/>
      </c>
    </row>
    <row r="1292" ht="15.75" customHeight="1">
      <c r="A1292" s="32">
        <f>'EQUITY BACKTEST'!A1295</f>
        <v>45212.66667</v>
      </c>
      <c r="B1292" s="22">
        <f>'EQUITY BACKTEST'!B1295</f>
        <v>4327.78</v>
      </c>
      <c r="C1292" s="22">
        <f>1/'EQUITY BACKTEST'!E1295</f>
        <v>0.9371192953</v>
      </c>
      <c r="D1292" s="22">
        <f t="shared" si="1"/>
        <v>-0.002328822753</v>
      </c>
      <c r="E1292" s="22">
        <f t="shared" ref="E1292:F1292" si="1292">IF(A1292&lt;&gt;"", (B1292 - B1291) / B1291, "")</f>
        <v>0.004474875247</v>
      </c>
      <c r="F1292" s="22">
        <f t="shared" si="1292"/>
        <v>0.00009371192953</v>
      </c>
      <c r="H1292" s="22" t="str">
        <f t="shared" si="4"/>
        <v/>
      </c>
    </row>
    <row r="1293" ht="15.75" customHeight="1">
      <c r="A1293" s="32">
        <f>'EQUITY BACKTEST'!A1296</f>
        <v>45219.66667</v>
      </c>
      <c r="B1293" s="22">
        <f>'EQUITY BACKTEST'!B1296</f>
        <v>4224.16</v>
      </c>
      <c r="C1293" s="22">
        <f>1/'EQUITY BACKTEST'!E1296</f>
        <v>0.9447331129</v>
      </c>
      <c r="D1293" s="22">
        <f t="shared" si="1"/>
        <v>0.1644868488</v>
      </c>
      <c r="E1293" s="22">
        <f t="shared" ref="E1293:F1293" si="1293">IF(A1293&lt;&gt;"", (B1293 - B1292) / B1292, "")</f>
        <v>-0.02394299156</v>
      </c>
      <c r="F1293" s="22">
        <f t="shared" si="1293"/>
        <v>0.008124704771</v>
      </c>
      <c r="H1293" s="22" t="str">
        <f t="shared" si="4"/>
        <v/>
      </c>
    </row>
    <row r="1294" ht="15.75" customHeight="1">
      <c r="A1294" s="32">
        <f>'EQUITY BACKTEST'!A1297</f>
        <v>45226.66667</v>
      </c>
      <c r="B1294" s="22">
        <f>'EQUITY BACKTEST'!B1297</f>
        <v>4117.37</v>
      </c>
      <c r="C1294" s="22">
        <f>1/'EQUITY BACKTEST'!E1297</f>
        <v>0.9433962264</v>
      </c>
      <c r="D1294" s="22">
        <f t="shared" si="1"/>
        <v>0.2669623154</v>
      </c>
      <c r="E1294" s="22">
        <f t="shared" ref="E1294:F1294" si="1294">IF(A1294&lt;&gt;"", (B1294 - B1293) / B1293, "")</f>
        <v>-0.02528076588</v>
      </c>
      <c r="F1294" s="22">
        <f t="shared" si="1294"/>
        <v>-0.00141509434</v>
      </c>
      <c r="H1294" s="22" t="str">
        <f t="shared" si="4"/>
        <v/>
      </c>
    </row>
    <row r="1295" ht="15.75" customHeight="1">
      <c r="A1295" s="32">
        <f>'EQUITY BACKTEST'!A1298</f>
        <v>45233.66667</v>
      </c>
      <c r="B1295" s="22">
        <f>'EQUITY BACKTEST'!B1298</f>
        <v>4358.34</v>
      </c>
      <c r="C1295" s="22">
        <f>1/'EQUITY BACKTEST'!E1298</f>
        <v>0.9513842641</v>
      </c>
      <c r="D1295" s="22">
        <f t="shared" si="1"/>
        <v>0.3437987792</v>
      </c>
      <c r="E1295" s="22">
        <f t="shared" ref="E1295:F1295" si="1295">IF(A1295&lt;&gt;"", (B1295 - B1294) / B1294, "")</f>
        <v>0.05852522363</v>
      </c>
      <c r="F1295" s="22">
        <f t="shared" si="1295"/>
        <v>0.008467319951</v>
      </c>
      <c r="H1295" s="22" t="str">
        <f t="shared" si="4"/>
        <v/>
      </c>
    </row>
    <row r="1296" ht="15.75" customHeight="1">
      <c r="A1296" s="32">
        <f>'EQUITY BACKTEST'!A1299</f>
        <v>45240.66667</v>
      </c>
      <c r="B1296" s="22">
        <f>'EQUITY BACKTEST'!B1299</f>
        <v>4415.24</v>
      </c>
      <c r="C1296" s="22">
        <f>1/'EQUITY BACKTEST'!E1299</f>
        <v>0.943129303</v>
      </c>
      <c r="D1296" s="22">
        <f t="shared" si="1"/>
        <v>0.4356174516</v>
      </c>
      <c r="E1296" s="22">
        <f t="shared" ref="E1296:F1296" si="1296">IF(A1296&lt;&gt;"", (B1296 - B1295) / B1295, "")</f>
        <v>0.01305542936</v>
      </c>
      <c r="F1296" s="22">
        <f t="shared" si="1296"/>
        <v>-0.008676789588</v>
      </c>
      <c r="H1296" s="22" t="str">
        <f t="shared" si="4"/>
        <v/>
      </c>
    </row>
    <row r="1297" ht="15.75" customHeight="1">
      <c r="A1297" s="32">
        <f>'EQUITY BACKTEST'!A1300</f>
        <v>45247.66667</v>
      </c>
      <c r="B1297" s="22">
        <f>'EQUITY BACKTEST'!B1300</f>
        <v>4514.02</v>
      </c>
      <c r="C1297" s="22">
        <f>1/'EQUITY BACKTEST'!E1300</f>
        <v>0.9453582908</v>
      </c>
      <c r="D1297" s="22">
        <f t="shared" si="1"/>
        <v>0.4957041885</v>
      </c>
      <c r="E1297" s="22">
        <f t="shared" ref="E1297:F1297" si="1297">IF(A1297&lt;&gt;"", (B1297 - B1296) / B1296, "")</f>
        <v>0.02237250976</v>
      </c>
      <c r="F1297" s="22">
        <f t="shared" si="1297"/>
        <v>0.002363395727</v>
      </c>
      <c r="H1297" s="22" t="str">
        <f t="shared" si="4"/>
        <v/>
      </c>
    </row>
    <row r="1298" ht="15.75" customHeight="1">
      <c r="A1298" s="32">
        <f>'EQUITY BACKTEST'!A1301</f>
        <v>45254.54167</v>
      </c>
      <c r="B1298" s="22">
        <f>'EQUITY BACKTEST'!B1301</f>
        <v>4559.34</v>
      </c>
      <c r="C1298" s="22">
        <f>1/'EQUITY BACKTEST'!E1301</f>
        <v>0.9315323707</v>
      </c>
      <c r="D1298" s="22">
        <f t="shared" si="1"/>
        <v>0.5181131325</v>
      </c>
      <c r="E1298" s="22">
        <f t="shared" ref="E1298:F1298" si="1298">IF(A1298&lt;&gt;"", (B1298 - B1297) / B1297, "")</f>
        <v>0.01003983146</v>
      </c>
      <c r="F1298" s="22">
        <f t="shared" si="1298"/>
        <v>-0.01462505822</v>
      </c>
      <c r="H1298" s="22" t="str">
        <f t="shared" si="4"/>
        <v/>
      </c>
    </row>
    <row r="1299" ht="15.75" customHeight="1">
      <c r="A1299" s="32">
        <f>'EQUITY BACKTEST'!A1302</f>
        <v>45261.66667</v>
      </c>
      <c r="B1299" s="22">
        <f>'EQUITY BACKTEST'!B1302</f>
        <v>4594.63</v>
      </c>
      <c r="C1299" s="22">
        <f>1/'EQUITY BACKTEST'!E1302</f>
        <v>0.9333582229</v>
      </c>
      <c r="D1299" s="22">
        <f t="shared" si="1"/>
        <v>0.5320231902</v>
      </c>
      <c r="E1299" s="22">
        <f t="shared" ref="E1299:F1299" si="1299">IF(A1299&lt;&gt;"", (B1299 - B1298) / B1298, "")</f>
        <v>0.007740155373</v>
      </c>
      <c r="F1299" s="22">
        <f t="shared" si="1299"/>
        <v>0.001960052268</v>
      </c>
      <c r="H1299" s="22" t="str">
        <f t="shared" si="4"/>
        <v/>
      </c>
    </row>
    <row r="1300" ht="15.75" customHeight="1">
      <c r="A1300" s="32">
        <f>'EQUITY BACKTEST'!A1303</f>
        <v>45268.66667</v>
      </c>
      <c r="B1300" s="22">
        <f>'EQUITY BACKTEST'!B1303</f>
        <v>4604.37</v>
      </c>
      <c r="C1300" s="22">
        <f>1/'EQUITY BACKTEST'!E1303</f>
        <v>0.9160864786</v>
      </c>
      <c r="D1300" s="22">
        <f t="shared" si="1"/>
        <v>0.5478625022</v>
      </c>
      <c r="E1300" s="22">
        <f t="shared" ref="E1300:F1300" si="1300">IF(A1300&lt;&gt;"", (B1300 - B1299) / B1299, "")</f>
        <v>0.002119866018</v>
      </c>
      <c r="F1300" s="22">
        <f t="shared" si="1300"/>
        <v>-0.01850494687</v>
      </c>
      <c r="H1300" s="22" t="str">
        <f t="shared" si="4"/>
        <v/>
      </c>
    </row>
    <row r="1301" ht="15.75" customHeight="1">
      <c r="A1301" s="32">
        <f>'EQUITY BACKTEST'!A1304</f>
        <v>45275.66667</v>
      </c>
      <c r="B1301" s="22">
        <f>'EQUITY BACKTEST'!B1304</f>
        <v>4719.19</v>
      </c>
      <c r="C1301" s="22">
        <f>1/'EQUITY BACKTEST'!E1304</f>
        <v>0.9134088418</v>
      </c>
      <c r="D1301" s="22">
        <f t="shared" si="1"/>
        <v>0.5546283518</v>
      </c>
      <c r="E1301" s="22">
        <f t="shared" ref="E1301:F1301" si="1301">IF(A1301&lt;&gt;"", (B1301 - B1300) / B1300, "")</f>
        <v>0.02493717924</v>
      </c>
      <c r="F1301" s="22">
        <f t="shared" si="1301"/>
        <v>-0.002922908294</v>
      </c>
      <c r="H1301" s="22" t="str">
        <f t="shared" si="4"/>
        <v/>
      </c>
    </row>
    <row r="1302" ht="15.75" customHeight="1">
      <c r="A1302" s="32">
        <f>'EQUITY BACKTEST'!A1305</f>
        <v>45282.66667</v>
      </c>
      <c r="B1302" s="22">
        <f>'EQUITY BACKTEST'!B1305</f>
        <v>4754.63</v>
      </c>
      <c r="C1302" s="22">
        <f>1/'EQUITY BACKTEST'!E1305</f>
        <v>0.9181893306</v>
      </c>
      <c r="D1302" s="22">
        <f t="shared" si="1"/>
        <v>0.556880894</v>
      </c>
      <c r="E1302" s="22">
        <f t="shared" ref="E1302:F1302" si="1302">IF(A1302&lt;&gt;"", (B1302 - B1301) / B1301, "")</f>
        <v>0.007509763328</v>
      </c>
      <c r="F1302" s="22">
        <f t="shared" si="1302"/>
        <v>0.005233679185</v>
      </c>
      <c r="H1302" s="22" t="str">
        <f t="shared" si="4"/>
        <v/>
      </c>
    </row>
    <row r="1303" ht="15.75" customHeight="1">
      <c r="A1303" s="32">
        <f>'EQUITY BACKTEST'!A1306</f>
        <v>45289.66667</v>
      </c>
      <c r="B1303" s="22">
        <f>'EQUITY BACKTEST'!B1306</f>
        <v>4769.83</v>
      </c>
      <c r="C1303" s="22">
        <f>1/'EQUITY BACKTEST'!E1306</f>
        <v>0.9283327144</v>
      </c>
      <c r="D1303" s="22">
        <f t="shared" si="1"/>
        <v>0.5613853835</v>
      </c>
      <c r="E1303" s="22">
        <f t="shared" ref="E1303:F1303" si="1303">IF(A1303&lt;&gt;"", (B1303 - B1302) / B1302, "")</f>
        <v>0.00319688388</v>
      </c>
      <c r="F1303" s="22">
        <f t="shared" si="1303"/>
        <v>0.0110471593</v>
      </c>
      <c r="H1303" s="22" t="str">
        <f t="shared" si="4"/>
        <v/>
      </c>
    </row>
    <row r="1304" ht="15.75" customHeight="1">
      <c r="A1304" s="32">
        <f>'EQUITY BACKTEST'!A1307</f>
        <v>45296.66667</v>
      </c>
      <c r="B1304" s="22">
        <f>'EQUITY BACKTEST'!B1307</f>
        <v>4697.24</v>
      </c>
      <c r="C1304" s="22">
        <f>1/'EQUITY BACKTEST'!E1307</f>
        <v>0.9168423948</v>
      </c>
      <c r="D1304" s="22">
        <f t="shared" si="1"/>
        <v>0.5724436668</v>
      </c>
      <c r="E1304" s="22">
        <f t="shared" ref="E1304:F1304" si="1304">IF(A1304&lt;&gt;"", (B1304 - B1303) / B1303, "")</f>
        <v>-0.01521857173</v>
      </c>
      <c r="F1304" s="22">
        <f t="shared" si="1304"/>
        <v>-0.01237737233</v>
      </c>
      <c r="H1304" s="22" t="str">
        <f t="shared" si="4"/>
        <v/>
      </c>
    </row>
    <row r="1305" ht="15.75" customHeight="1">
      <c r="A1305" s="32">
        <f>'EQUITY BACKTEST'!A1308</f>
        <v>45303.66667</v>
      </c>
      <c r="B1305" s="22">
        <f>'EQUITY BACKTEST'!B1308</f>
        <v>4783.83</v>
      </c>
      <c r="C1305" s="22">
        <f>1/'EQUITY BACKTEST'!E1308</f>
        <v>0.9070294785</v>
      </c>
      <c r="D1305" s="22">
        <f t="shared" si="1"/>
        <v>0.5825855952</v>
      </c>
      <c r="E1305" s="22">
        <f t="shared" ref="E1305:F1305" si="1305">IF(A1305&lt;&gt;"", (B1305 - B1304) / B1304, "")</f>
        <v>0.01843422946</v>
      </c>
      <c r="F1305" s="22">
        <f t="shared" si="1305"/>
        <v>-0.01070294785</v>
      </c>
      <c r="H1305" s="22" t="str">
        <f t="shared" si="4"/>
        <v/>
      </c>
    </row>
    <row r="1306" ht="15.75" customHeight="1">
      <c r="A1306" s="32">
        <f>'EQUITY BACKTEST'!A1309</f>
        <v>45310.66667</v>
      </c>
      <c r="B1306" s="22">
        <f>'EQUITY BACKTEST'!B1309</f>
        <v>4839.81</v>
      </c>
      <c r="C1306" s="22">
        <f>1/'EQUITY BACKTEST'!E1309</f>
        <v>0.9046499005</v>
      </c>
      <c r="D1306" s="22">
        <f t="shared" si="1"/>
        <v>0.5841525835</v>
      </c>
      <c r="E1306" s="22">
        <f t="shared" ref="E1306:F1306" si="1306">IF(A1306&lt;&gt;"", (B1306 - B1305) / B1305, "")</f>
        <v>0.01170192085</v>
      </c>
      <c r="F1306" s="22">
        <f t="shared" si="1306"/>
        <v>-0.002623484711</v>
      </c>
      <c r="H1306" s="22" t="str">
        <f t="shared" si="4"/>
        <v/>
      </c>
    </row>
    <row r="1307" ht="15.75" customHeight="1">
      <c r="A1307" s="32">
        <f>'EQUITY BACKTEST'!A1310</f>
        <v>45317.66667</v>
      </c>
      <c r="B1307" s="22">
        <f>'EQUITY BACKTEST'!B1310</f>
        <v>4890.97</v>
      </c>
      <c r="C1307" s="22">
        <f>1/'EQUITY BACKTEST'!E1310</f>
        <v>0.9127418766</v>
      </c>
      <c r="D1307" s="22">
        <f t="shared" si="1"/>
        <v>0.5830286568</v>
      </c>
      <c r="E1307" s="22">
        <f t="shared" ref="E1307:F1307" si="1307">IF(A1307&lt;&gt;"", (B1307 - B1306) / B1306, "")</f>
        <v>0.0105706629</v>
      </c>
      <c r="F1307" s="22">
        <f t="shared" si="1307"/>
        <v>0.008944870391</v>
      </c>
      <c r="H1307" s="22" t="str">
        <f t="shared" si="4"/>
        <v/>
      </c>
    </row>
    <row r="1308" ht="15.75" customHeight="1">
      <c r="A1308" s="32">
        <f>'EQUITY BACKTEST'!A1311</f>
        <v>45324.66667</v>
      </c>
      <c r="B1308" s="22">
        <f>'EQUITY BACKTEST'!B1311</f>
        <v>4958.61</v>
      </c>
      <c r="C1308" s="22">
        <f>1/'EQUITY BACKTEST'!E1311</f>
        <v>0.9120758847</v>
      </c>
      <c r="D1308" s="22">
        <f t="shared" si="1"/>
        <v>0.5852222024</v>
      </c>
      <c r="E1308" s="22">
        <f t="shared" ref="E1308:F1308" si="1308">IF(A1308&lt;&gt;"", (B1308 - B1307) / B1307, "")</f>
        <v>0.01382956755</v>
      </c>
      <c r="F1308" s="22">
        <f t="shared" si="1308"/>
        <v>-0.0007296607078</v>
      </c>
      <c r="H1308" s="22" t="str">
        <f t="shared" si="4"/>
        <v/>
      </c>
    </row>
    <row r="1309" ht="15.75" customHeight="1">
      <c r="A1309" s="32">
        <f>'EQUITY BACKTEST'!A1312</f>
        <v>45331.66667</v>
      </c>
      <c r="B1309" s="22">
        <f>'EQUITY BACKTEST'!B1312</f>
        <v>5026.61</v>
      </c>
      <c r="C1309" s="22">
        <f>1/'EQUITY BACKTEST'!E1312</f>
        <v>0.9163383121</v>
      </c>
      <c r="D1309" s="22">
        <f t="shared" si="1"/>
        <v>0.5850117564</v>
      </c>
      <c r="E1309" s="22">
        <f t="shared" ref="E1309:F1309" si="1309">IF(A1309&lt;&gt;"", (B1309 - B1308) / B1308, "")</f>
        <v>0.01371352052</v>
      </c>
      <c r="F1309" s="22">
        <f t="shared" si="1309"/>
        <v>0.004673325392</v>
      </c>
      <c r="H1309" s="22" t="str">
        <f t="shared" si="4"/>
        <v/>
      </c>
    </row>
    <row r="1310" ht="15.75" customHeight="1">
      <c r="A1310" s="32">
        <f>'EQUITY BACKTEST'!A1313</f>
        <v>45338.66667</v>
      </c>
      <c r="B1310" s="22">
        <f>'EQUITY BACKTEST'!B1313</f>
        <v>5005.57</v>
      </c>
      <c r="C1310" s="22">
        <f>1/'EQUITY BACKTEST'!E1313</f>
        <v>0.920640766</v>
      </c>
      <c r="D1310" s="22">
        <f t="shared" si="1"/>
        <v>0.5848109952</v>
      </c>
      <c r="E1310" s="22">
        <f t="shared" ref="E1310:F1310" si="1310">IF(A1310&lt;&gt;"", (B1310 - B1309) / B1309, "")</f>
        <v>-0.004185723579</v>
      </c>
      <c r="F1310" s="22">
        <f t="shared" si="1310"/>
        <v>0.004695267906</v>
      </c>
      <c r="H1310" s="22" t="str">
        <f t="shared" si="4"/>
        <v/>
      </c>
    </row>
    <row r="1311" ht="15.75" customHeight="1">
      <c r="A1311" s="32">
        <f>'EQUITY BACKTEST'!A1314</f>
        <v>45345.66667</v>
      </c>
      <c r="B1311" s="22">
        <f>'EQUITY BACKTEST'!B1314</f>
        <v>5088.8</v>
      </c>
      <c r="C1311" s="22">
        <f>1/'EQUITY BACKTEST'!E1314</f>
        <v>0.9254974549</v>
      </c>
      <c r="D1311" s="22">
        <f t="shared" si="1"/>
        <v>0.588276779</v>
      </c>
      <c r="E1311" s="22">
        <f t="shared" ref="E1311:F1311" si="1311">IF(A1311&lt;&gt;"", (B1311 - B1310) / B1310, "")</f>
        <v>0.01662747699</v>
      </c>
      <c r="F1311" s="22">
        <f t="shared" si="1311"/>
        <v>0.005275335493</v>
      </c>
      <c r="H1311" s="22" t="str">
        <f t="shared" si="4"/>
        <v/>
      </c>
    </row>
    <row r="1312" ht="15.75" customHeight="1">
      <c r="A1312" s="32">
        <f>'EQUITY BACKTEST'!A1315</f>
        <v>45352.66667</v>
      </c>
      <c r="B1312" s="22">
        <f>'EQUITY BACKTEST'!B1315</f>
        <v>5137.08</v>
      </c>
      <c r="C1312" s="22">
        <f>1/'EQUITY BACKTEST'!E1315</f>
        <v>0.9294544103</v>
      </c>
      <c r="D1312" s="22">
        <f t="shared" si="1"/>
        <v>0.5909724423</v>
      </c>
      <c r="E1312" s="22">
        <f t="shared" ref="E1312:F1312" si="1312">IF(A1312&lt;&gt;"", (B1312 - B1311) / B1311, "")</f>
        <v>0.009487501965</v>
      </c>
      <c r="F1312" s="22">
        <f t="shared" si="1312"/>
        <v>0.004275490287</v>
      </c>
      <c r="H1312" s="22" t="str">
        <f t="shared" si="4"/>
        <v/>
      </c>
    </row>
    <row r="1313" ht="15.75" customHeight="1">
      <c r="A1313" s="32">
        <f>'EQUITY BACKTEST'!A1316</f>
        <v>45359.66667</v>
      </c>
      <c r="B1313" s="22">
        <f>'EQUITY BACKTEST'!B1316</f>
        <v>5123.69</v>
      </c>
      <c r="C1313" s="22">
        <f>1/'EQUITY BACKTEST'!E1316</f>
        <v>0.9282120779</v>
      </c>
      <c r="D1313" s="22">
        <f t="shared" si="1"/>
        <v>0.5938033888</v>
      </c>
      <c r="E1313" s="22">
        <f t="shared" ref="E1313:F1313" si="1313">IF(A1313&lt;&gt;"", (B1313 - B1312) / B1312, "")</f>
        <v>-0.002606539123</v>
      </c>
      <c r="F1313" s="22">
        <f t="shared" si="1313"/>
        <v>-0.001336625392</v>
      </c>
      <c r="H1313" s="22" t="str">
        <f t="shared" si="4"/>
        <v/>
      </c>
    </row>
    <row r="1314" ht="15.75" customHeight="1">
      <c r="A1314" s="32">
        <f>'EQUITY BACKTEST'!A1317</f>
        <v>45366.66667</v>
      </c>
      <c r="B1314" s="22">
        <f>'EQUITY BACKTEST'!B1317</f>
        <v>5117.09</v>
      </c>
      <c r="C1314" s="22">
        <f>1/'EQUITY BACKTEST'!E1317</f>
        <v>0.9229349331</v>
      </c>
      <c r="D1314" s="22">
        <f t="shared" si="1"/>
        <v>0.5972899443</v>
      </c>
      <c r="E1314" s="22">
        <f t="shared" ref="E1314:F1314" si="1314">IF(A1314&lt;&gt;"", (B1314 - B1313) / B1313, "")</f>
        <v>-0.001288134138</v>
      </c>
      <c r="F1314" s="22">
        <f t="shared" si="1314"/>
        <v>-0.005685279188</v>
      </c>
      <c r="H1314" s="22" t="str">
        <f t="shared" si="4"/>
        <v/>
      </c>
    </row>
    <row r="1315" ht="15.75" customHeight="1">
      <c r="A1315" s="32">
        <f>'EQUITY BACKTEST'!A1318</f>
        <v>45373.66667</v>
      </c>
      <c r="B1315" s="22">
        <f>'EQUITY BACKTEST'!B1318</f>
        <v>5234.18</v>
      </c>
      <c r="C1315" s="22">
        <f>1/'EQUITY BACKTEST'!E1318</f>
        <v>0.92140422</v>
      </c>
      <c r="D1315" s="22">
        <f t="shared" si="1"/>
        <v>0.59925205</v>
      </c>
      <c r="E1315" s="22">
        <f t="shared" ref="E1315:F1315" si="1315">IF(A1315&lt;&gt;"", (B1315 - B1314) / B1314, "")</f>
        <v>0.02288214591</v>
      </c>
      <c r="F1315" s="22">
        <f t="shared" si="1315"/>
        <v>-0.001658527596</v>
      </c>
      <c r="H1315" s="22" t="str">
        <f t="shared" si="4"/>
        <v/>
      </c>
    </row>
    <row r="1316" ht="15.75" customHeight="1">
      <c r="A1316" s="32">
        <f>'EQUITY BACKTEST'!A1319</f>
        <v>45379.66667</v>
      </c>
      <c r="B1316" s="22">
        <f>'EQUITY BACKTEST'!B1319</f>
        <v>5254.35</v>
      </c>
      <c r="C1316" s="22">
        <f>1/'EQUITY BACKTEST'!E1319</f>
        <v>0.9139097057</v>
      </c>
      <c r="D1316" s="22">
        <f t="shared" si="1"/>
        <v>0.5968512769</v>
      </c>
      <c r="E1316" s="22">
        <f t="shared" ref="E1316:F1316" si="1316">IF(A1316&lt;&gt;"", (B1316 - B1315) / B1315, "")</f>
        <v>0.003853516692</v>
      </c>
      <c r="F1316" s="22">
        <f t="shared" si="1316"/>
        <v>-0.008133796381</v>
      </c>
      <c r="H1316" s="22" t="str">
        <f t="shared" si="4"/>
        <v/>
      </c>
    </row>
    <row r="1317" ht="15.75" customHeight="1">
      <c r="A1317" s="32">
        <f>'EQUITY BACKTEST'!A1320</f>
        <v>45387.66667</v>
      </c>
      <c r="B1317" s="22">
        <f>'EQUITY BACKTEST'!B1320</f>
        <v>5204.34</v>
      </c>
      <c r="C1317" s="22">
        <f>1/'EQUITY BACKTEST'!E1320</f>
        <v>0.9177679883</v>
      </c>
      <c r="D1317" s="22">
        <f t="shared" si="1"/>
        <v>0.5918411634</v>
      </c>
      <c r="E1317" s="22">
        <f t="shared" ref="E1317:F1317" si="1317">IF(A1317&lt;&gt;"", (B1317 - B1316) / B1316, "")</f>
        <v>-0.009517828085</v>
      </c>
      <c r="F1317" s="22">
        <f t="shared" si="1317"/>
        <v>0.004221732746</v>
      </c>
      <c r="H1317" s="22" t="str">
        <f t="shared" si="4"/>
        <v/>
      </c>
    </row>
    <row r="1318" ht="15.75" customHeight="1">
      <c r="A1318" s="32">
        <f>'EQUITY BACKTEST'!A1321</f>
        <v>45394.66667</v>
      </c>
      <c r="B1318" s="22">
        <f>'EQUITY BACKTEST'!B1321</f>
        <v>5123.41</v>
      </c>
      <c r="C1318" s="22">
        <f>1/'EQUITY BACKTEST'!E1321</f>
        <v>0.9207255317</v>
      </c>
      <c r="D1318" s="22">
        <f t="shared" si="1"/>
        <v>0.58825907</v>
      </c>
      <c r="E1318" s="22">
        <f t="shared" ref="E1318:F1318" si="1318">IF(A1318&lt;&gt;"", (B1318 - B1317) / B1317, "")</f>
        <v>-0.01555048287</v>
      </c>
      <c r="F1318" s="22">
        <f t="shared" si="1318"/>
        <v>0.003222539361</v>
      </c>
      <c r="H1318" s="22" t="str">
        <f t="shared" si="4"/>
        <v/>
      </c>
    </row>
    <row r="1319" ht="15.75" customHeight="1">
      <c r="A1319" s="32">
        <f>'EQUITY BACKTEST'!A1322</f>
        <v>45401.66667</v>
      </c>
      <c r="B1319" s="22">
        <f>'EQUITY BACKTEST'!B1322</f>
        <v>4967.23</v>
      </c>
      <c r="C1319" s="22">
        <f>1/'EQUITY BACKTEST'!E1322</f>
        <v>0.9260116677</v>
      </c>
      <c r="D1319" s="22">
        <f t="shared" si="1"/>
        <v>0.5894056789</v>
      </c>
      <c r="E1319" s="22">
        <f t="shared" ref="E1319:F1319" si="1319">IF(A1319&lt;&gt;"", (B1319 - B1318) / B1318, "")</f>
        <v>-0.03048360369</v>
      </c>
      <c r="F1319" s="22">
        <f t="shared" si="1319"/>
        <v>0.00574127234</v>
      </c>
      <c r="H1319" s="22" t="str">
        <f t="shared" si="4"/>
        <v/>
      </c>
    </row>
    <row r="1320" ht="15.75" customHeight="1">
      <c r="A1320" s="32">
        <f>'EQUITY BACKTEST'!A1323</f>
        <v>45408.66667</v>
      </c>
      <c r="B1320" s="22">
        <f>'EQUITY BACKTEST'!B1323</f>
        <v>5099.96</v>
      </c>
      <c r="C1320" s="22">
        <f>1/'EQUITY BACKTEST'!E1323</f>
        <v>0.9218289086</v>
      </c>
      <c r="D1320" s="22">
        <f t="shared" si="1"/>
        <v>0.6139727599</v>
      </c>
      <c r="E1320" s="22">
        <f t="shared" ref="E1320:F1320" si="1320">IF(A1320&lt;&gt;"", (B1320 - B1319) / B1319, "")</f>
        <v>0.02672113029</v>
      </c>
      <c r="F1320" s="22">
        <f t="shared" si="1320"/>
        <v>-0.004516961652</v>
      </c>
      <c r="H1320" s="22" t="str">
        <f t="shared" si="4"/>
        <v/>
      </c>
    </row>
    <row r="1321" ht="15.75" customHeight="1">
      <c r="A1321" s="32">
        <f>'EQUITY BACKTEST'!A1324</f>
        <v>45415.66667</v>
      </c>
      <c r="B1321" s="22">
        <f>'EQUITY BACKTEST'!B1324</f>
        <v>5127.79</v>
      </c>
      <c r="C1321" s="22">
        <f>1/'EQUITY BACKTEST'!E1324</f>
        <v>0.9372071228</v>
      </c>
      <c r="D1321" s="22">
        <f t="shared" si="1"/>
        <v>0.6255663481</v>
      </c>
      <c r="E1321" s="22">
        <f t="shared" ref="E1321:F1321" si="1321">IF(A1321&lt;&gt;"", (B1321 - B1320) / B1320, "")</f>
        <v>0.005456905544</v>
      </c>
      <c r="F1321" s="22">
        <f t="shared" si="1321"/>
        <v>0.01668228679</v>
      </c>
      <c r="H1321" s="22" t="str">
        <f t="shared" si="4"/>
        <v/>
      </c>
    </row>
    <row r="1322" ht="15.75" customHeight="1">
      <c r="A1322" s="32">
        <f>'EQUITY BACKTEST'!A1325</f>
        <v>45422.66667</v>
      </c>
      <c r="B1322" s="22">
        <f>'EQUITY BACKTEST'!B1325</f>
        <v>5222.68</v>
      </c>
      <c r="C1322" s="22">
        <f>1/'EQUITY BACKTEST'!E1325</f>
        <v>0.9372949667</v>
      </c>
      <c r="D1322" s="22">
        <f t="shared" si="1"/>
        <v>0.6529974307</v>
      </c>
      <c r="E1322" s="22">
        <f t="shared" ref="E1322:F1322" si="1322">IF(A1322&lt;&gt;"", (B1322 - B1321) / B1321, "")</f>
        <v>0.01850504798</v>
      </c>
      <c r="F1322" s="22">
        <f t="shared" si="1322"/>
        <v>0.00009372949667</v>
      </c>
      <c r="H1322" s="22" t="str">
        <f t="shared" si="4"/>
        <v/>
      </c>
    </row>
    <row r="1323" ht="15.75" customHeight="1">
      <c r="A1323" s="32">
        <f>'EQUITY BACKTEST'!A1326</f>
        <v>45429.66667</v>
      </c>
      <c r="B1323" s="22">
        <f>'EQUITY BACKTEST'!B1326</f>
        <v>5303.27</v>
      </c>
      <c r="C1323" s="22">
        <f>1/'EQUITY BACKTEST'!E1326</f>
        <v>0.9350163628</v>
      </c>
      <c r="D1323" s="22">
        <f t="shared" si="1"/>
        <v>0.6721681703</v>
      </c>
      <c r="E1323" s="22">
        <f t="shared" ref="E1323:F1323" si="1323">IF(A1323&lt;&gt;"", (B1323 - B1322) / B1322, "")</f>
        <v>0.015430775</v>
      </c>
      <c r="F1323" s="22">
        <f t="shared" si="1323"/>
        <v>-0.002431042543</v>
      </c>
      <c r="H1323" s="22" t="str">
        <f t="shared" si="4"/>
        <v/>
      </c>
    </row>
    <row r="1324" ht="15.75" customHeight="1">
      <c r="A1324" s="32">
        <f>'EQUITY BACKTEST'!A1327</f>
        <v>45436.66667</v>
      </c>
      <c r="B1324" s="22">
        <f>'EQUITY BACKTEST'!B1327</f>
        <v>5304.72</v>
      </c>
      <c r="C1324" s="22">
        <f>1/'EQUITY BACKTEST'!E1327</f>
        <v>0.9284189026</v>
      </c>
      <c r="D1324" s="22">
        <f t="shared" si="1"/>
        <v>0.6822598323</v>
      </c>
      <c r="E1324" s="22">
        <f t="shared" ref="E1324:F1324" si="1324">IF(A1324&lt;&gt;"", (B1324 - B1323) / B1323, "")</f>
        <v>0.000273416213</v>
      </c>
      <c r="F1324" s="22">
        <f t="shared" si="1324"/>
        <v>-0.00705598366</v>
      </c>
      <c r="H1324" s="22" t="str">
        <f t="shared" si="4"/>
        <v/>
      </c>
    </row>
    <row r="1325" ht="15.75" customHeight="1">
      <c r="A1325" s="32">
        <f>'EQUITY BACKTEST'!A1328</f>
        <v>45443.66667</v>
      </c>
      <c r="B1325" s="22">
        <f>'EQUITY BACKTEST'!B1328</f>
        <v>5277.51</v>
      </c>
      <c r="C1325" s="22">
        <f>1/'EQUITY BACKTEST'!E1328</f>
        <v>0.9271277582</v>
      </c>
      <c r="D1325" s="22">
        <f t="shared" si="1"/>
        <v>0.6907141288</v>
      </c>
      <c r="E1325" s="22">
        <f t="shared" ref="E1325:F1325" si="1325">IF(A1325&lt;&gt;"", (B1325 - B1324) / B1324, "")</f>
        <v>-0.0051293942</v>
      </c>
      <c r="F1325" s="22">
        <f t="shared" si="1325"/>
        <v>-0.001390691637</v>
      </c>
      <c r="H1325" s="22" t="str">
        <f t="shared" si="4"/>
        <v/>
      </c>
    </row>
    <row r="1326" ht="15.75" customHeight="1">
      <c r="A1326" s="32">
        <f>'EQUITY BACKTEST'!A1329</f>
        <v>45450.66667</v>
      </c>
      <c r="B1326" s="22">
        <f>'EQUITY BACKTEST'!B1329</f>
        <v>5346.99</v>
      </c>
      <c r="C1326" s="22">
        <f>1/'EQUITY BACKTEST'!E1329</f>
        <v>0.9183579759</v>
      </c>
      <c r="D1326" s="22">
        <f t="shared" si="1"/>
        <v>0.7064396967</v>
      </c>
      <c r="E1326" s="22">
        <f t="shared" ref="E1326:F1326" si="1326">IF(A1326&lt;&gt;"", (B1326 - B1325) / B1325, "")</f>
        <v>0.01316529954</v>
      </c>
      <c r="F1326" s="22">
        <f t="shared" si="1326"/>
        <v>-0.009459087152</v>
      </c>
      <c r="H1326" s="22" t="str">
        <f t="shared" si="4"/>
        <v/>
      </c>
    </row>
    <row r="1327" ht="15.75" customHeight="1">
      <c r="A1327" s="32">
        <f>'EQUITY BACKTEST'!A1330</f>
        <v>45457.66667</v>
      </c>
      <c r="B1327" s="22">
        <f>'EQUITY BACKTEST'!B1330</f>
        <v>5431.6</v>
      </c>
      <c r="C1327" s="22">
        <f>1/'EQUITY BACKTEST'!E1330</f>
        <v>0.9219138932</v>
      </c>
      <c r="D1327" s="22">
        <f t="shared" si="1"/>
        <v>0.7095652373</v>
      </c>
      <c r="E1327" s="22">
        <f t="shared" ref="E1327:F1327" si="1327">IF(A1327&lt;&gt;"", (B1327 - B1326) / B1326, "")</f>
        <v>0.01582385604</v>
      </c>
      <c r="F1327" s="22">
        <f t="shared" si="1327"/>
        <v>0.003872038352</v>
      </c>
      <c r="H1327" s="22" t="str">
        <f t="shared" si="4"/>
        <v/>
      </c>
    </row>
    <row r="1328" ht="15.75" customHeight="1">
      <c r="A1328" s="32">
        <f>'EQUITY BACKTEST'!A1331</f>
        <v>45464.66667</v>
      </c>
      <c r="B1328" s="22">
        <f>'EQUITY BACKTEST'!B1331</f>
        <v>5464.62</v>
      </c>
      <c r="C1328" s="22">
        <f>1/'EQUITY BACKTEST'!E1331</f>
        <v>0.9212344542</v>
      </c>
      <c r="D1328" s="22">
        <f t="shared" si="1"/>
        <v>0.7072197795</v>
      </c>
      <c r="E1328" s="22">
        <f t="shared" ref="E1328:F1328" si="1328">IF(A1328&lt;&gt;"", (B1328 - B1327) / B1327, "")</f>
        <v>0.006079240003</v>
      </c>
      <c r="F1328" s="22">
        <f t="shared" si="1328"/>
        <v>-0.0007369875633</v>
      </c>
      <c r="H1328" s="22" t="str">
        <f t="shared" si="4"/>
        <v/>
      </c>
    </row>
    <row r="1329" ht="15.75" customHeight="1">
      <c r="A1329" s="32">
        <f>'EQUITY BACKTEST'!A1332</f>
        <v>45471.66667</v>
      </c>
      <c r="B1329" s="22">
        <f>'EQUITY BACKTEST'!B1332</f>
        <v>5460.48</v>
      </c>
      <c r="C1329" s="22">
        <f>1/'EQUITY BACKTEST'!E1332</f>
        <v>0.9254974549</v>
      </c>
      <c r="D1329" s="22">
        <f t="shared" si="1"/>
        <v>0.7026496137</v>
      </c>
      <c r="E1329" s="22">
        <f t="shared" ref="E1329:F1329" si="1329">IF(A1329&lt;&gt;"", (B1329 - B1328) / B1328, "")</f>
        <v>-0.0007576007115</v>
      </c>
      <c r="F1329" s="22">
        <f t="shared" si="1329"/>
        <v>0.004627487274</v>
      </c>
      <c r="H1329" s="22" t="str">
        <f t="shared" si="4"/>
        <v/>
      </c>
    </row>
    <row r="1330" ht="15.75" customHeight="1">
      <c r="A1330" s="32">
        <f>'EQUITY BACKTEST'!A1333</f>
        <v>45478.66667</v>
      </c>
      <c r="B1330" s="22">
        <f>'EQUITY BACKTEST'!B1333</f>
        <v>5567.19</v>
      </c>
      <c r="C1330" s="22">
        <f>1/'EQUITY BACKTEST'!E1333</f>
        <v>0.9331840239</v>
      </c>
      <c r="D1330" s="22">
        <f t="shared" si="1"/>
        <v>0.6994127032</v>
      </c>
      <c r="E1330" s="22">
        <f t="shared" ref="E1330:F1330" si="1330">IF(A1330&lt;&gt;"", (B1330 - B1329) / B1329, "")</f>
        <v>0.01954223805</v>
      </c>
      <c r="F1330" s="22">
        <f t="shared" si="1330"/>
        <v>0.008305337813</v>
      </c>
      <c r="H1330" s="22" t="str">
        <f t="shared" si="4"/>
        <v/>
      </c>
    </row>
    <row r="1331" ht="15.75" customHeight="1">
      <c r="A1331" s="32">
        <f>'EQUITY BACKTEST'!A1334</f>
        <v>45485.66667</v>
      </c>
      <c r="B1331" s="22">
        <f>'EQUITY BACKTEST'!B1334</f>
        <v>5615.35</v>
      </c>
      <c r="C1331" s="22">
        <f>1/'EQUITY BACKTEST'!E1334</f>
        <v>0.9353661959</v>
      </c>
      <c r="D1331" s="22">
        <f t="shared" si="1"/>
        <v>0.6961298515</v>
      </c>
      <c r="E1331" s="22">
        <f t="shared" ref="E1331:F1331" si="1331">IF(A1331&lt;&gt;"", (B1331 - B1330) / B1330, "")</f>
        <v>0.008650683738</v>
      </c>
      <c r="F1331" s="22">
        <f t="shared" si="1331"/>
        <v>0.00233841549</v>
      </c>
      <c r="H1331" s="22" t="str">
        <f t="shared" si="4"/>
        <v/>
      </c>
    </row>
    <row r="1332" ht="15.75" customHeight="1">
      <c r="A1332" s="32">
        <f>'EQUITY BACKTEST'!A1335</f>
        <v>45492.66667</v>
      </c>
      <c r="B1332" s="22">
        <f>'EQUITY BACKTEST'!B1335</f>
        <v>5505</v>
      </c>
      <c r="C1332" s="22">
        <f>1/'EQUITY BACKTEST'!E1335</f>
        <v>0.9329228473</v>
      </c>
      <c r="D1332" s="22">
        <f t="shared" si="1"/>
        <v>0.6954794379</v>
      </c>
      <c r="E1332" s="22">
        <f t="shared" ref="E1332:F1332" si="1332">IF(A1332&lt;&gt;"", (B1332 - B1331) / B1331, "")</f>
        <v>-0.019651491</v>
      </c>
      <c r="F1332" s="22">
        <f t="shared" si="1332"/>
        <v>-0.002612183972</v>
      </c>
      <c r="H1332" s="22" t="str">
        <f t="shared" si="4"/>
        <v/>
      </c>
    </row>
    <row r="1333" ht="15.75" customHeight="1">
      <c r="A1333" s="32">
        <f>'EQUITY BACKTEST'!A1336</f>
        <v>45499.66667</v>
      </c>
      <c r="B1333" s="22">
        <f>'EQUITY BACKTEST'!B1336</f>
        <v>5459.1</v>
      </c>
      <c r="C1333" s="22">
        <f>1/'EQUITY BACKTEST'!E1336</f>
        <v>0.9225943353</v>
      </c>
      <c r="D1333" s="22">
        <f t="shared" si="1"/>
        <v>0.691029185</v>
      </c>
      <c r="E1333" s="22">
        <f t="shared" ref="E1333:F1333" si="1333">IF(A1333&lt;&gt;"", (B1333 - B1332) / B1332, "")</f>
        <v>-0.008337874659</v>
      </c>
      <c r="F1333" s="22">
        <f t="shared" si="1333"/>
        <v>-0.01107113202</v>
      </c>
      <c r="H1333" s="22" t="str">
        <f t="shared" si="4"/>
        <v/>
      </c>
    </row>
    <row r="1334" ht="15.75" customHeight="1">
      <c r="A1334" s="32">
        <f>'EQUITY BACKTEST'!A1337</f>
        <v>45506.66667</v>
      </c>
      <c r="B1334" s="22">
        <f>'EQUITY BACKTEST'!B1337</f>
        <v>5346.56</v>
      </c>
      <c r="C1334" s="22">
        <f>1/'EQUITY BACKTEST'!E1337</f>
        <v>0.9158347834</v>
      </c>
      <c r="D1334" s="22">
        <f t="shared" si="1"/>
        <v>0.6836536204</v>
      </c>
      <c r="E1334" s="22">
        <f t="shared" ref="E1334:F1334" si="1334">IF(A1334&lt;&gt;"", (B1334 - B1333) / B1333, "")</f>
        <v>-0.02061511971</v>
      </c>
      <c r="F1334" s="22">
        <f t="shared" si="1334"/>
        <v>-0.007326678267</v>
      </c>
      <c r="H1334" s="22" t="str">
        <f t="shared" si="4"/>
        <v/>
      </c>
    </row>
    <row r="1335" ht="15.75" customHeight="1">
      <c r="A1335" s="32">
        <f>'EQUITY BACKTEST'!A1338</f>
        <v>45513.66667</v>
      </c>
      <c r="B1335" s="22">
        <f>'EQUITY BACKTEST'!B1338</f>
        <v>5344.16</v>
      </c>
      <c r="C1335" s="22">
        <f>1/'EQUITY BACKTEST'!E1338</f>
        <v>0.9182736455</v>
      </c>
      <c r="D1335" s="22">
        <f t="shared" si="1"/>
        <v>0.6890101857</v>
      </c>
      <c r="E1335" s="22">
        <f t="shared" ref="E1335:F1335" si="1335">IF(A1335&lt;&gt;"", (B1335 - B1334) / B1334, "")</f>
        <v>-0.0004488867608</v>
      </c>
      <c r="F1335" s="22">
        <f t="shared" si="1335"/>
        <v>0.002662993572</v>
      </c>
      <c r="H1335" s="22" t="str">
        <f t="shared" si="4"/>
        <v/>
      </c>
    </row>
    <row r="1336" ht="15.75" customHeight="1">
      <c r="A1336" s="32">
        <f>'EQUITY BACKTEST'!A1339</f>
        <v>45520.66667</v>
      </c>
      <c r="B1336" s="22">
        <f>'EQUITY BACKTEST'!B1339</f>
        <v>5554.25</v>
      </c>
      <c r="C1336" s="22">
        <f>1/'EQUITY BACKTEST'!E1339</f>
        <v>0.9199632015</v>
      </c>
      <c r="D1336" s="22">
        <f t="shared" si="1"/>
        <v>0.7195037881</v>
      </c>
      <c r="E1336" s="22">
        <f t="shared" ref="E1336:F1336" si="1336">IF(A1336&lt;&gt;"", (B1336 - B1335) / B1335, "")</f>
        <v>0.03931207149</v>
      </c>
      <c r="F1336" s="22">
        <f t="shared" si="1336"/>
        <v>0.001839926403</v>
      </c>
      <c r="H1336" s="22" t="str">
        <f t="shared" si="4"/>
        <v/>
      </c>
    </row>
    <row r="1337" ht="15.75" customHeight="1">
      <c r="A1337" s="32">
        <f>'EQUITY BACKTEST'!A1340</f>
        <v>45527.66667</v>
      </c>
      <c r="B1337" s="22">
        <f>'EQUITY BACKTEST'!B1340</f>
        <v>5634.61</v>
      </c>
      <c r="C1337" s="22">
        <f>1/'EQUITY BACKTEST'!E1340</f>
        <v>0.9161704077</v>
      </c>
      <c r="D1337" s="22">
        <f t="shared" si="1"/>
        <v>0.7061607792</v>
      </c>
      <c r="E1337" s="22">
        <f t="shared" ref="E1337:F1337" si="1337">IF(A1337&lt;&gt;"", (B1337 - B1336) / B1336, "")</f>
        <v>0.01446820003</v>
      </c>
      <c r="F1337" s="22">
        <f t="shared" si="1337"/>
        <v>-0.004122766835</v>
      </c>
      <c r="H1337" s="22" t="str">
        <f t="shared" si="4"/>
        <v/>
      </c>
    </row>
    <row r="1338" ht="15.75" customHeight="1">
      <c r="A1338" s="32">
        <f>'EQUITY BACKTEST'!A1341</f>
        <v>45534.66667</v>
      </c>
      <c r="B1338" s="22">
        <f>'EQUITY BACKTEST'!B1341</f>
        <v>5648.4</v>
      </c>
      <c r="C1338" s="22">
        <f>1/'EQUITY BACKTEST'!E1341</f>
        <v>0.9154155987</v>
      </c>
      <c r="D1338" s="22">
        <f t="shared" si="1"/>
        <v>0.6907987904</v>
      </c>
      <c r="E1338" s="22">
        <f t="shared" ref="E1338:F1338" si="1338">IF(A1338&lt;&gt;"", (B1338 - B1337) / B1337, "")</f>
        <v>0.002447374352</v>
      </c>
      <c r="F1338" s="22">
        <f t="shared" si="1338"/>
        <v>-0.0008238740388</v>
      </c>
      <c r="H1338" s="22" t="str">
        <f t="shared" si="4"/>
        <v/>
      </c>
    </row>
    <row r="1339" ht="15.75" customHeight="1">
      <c r="A1339" s="32">
        <f>'EQUITY BACKTEST'!A1342</f>
        <v>45541.66667</v>
      </c>
      <c r="B1339" s="22">
        <f>'EQUITY BACKTEST'!B1342</f>
        <v>5408.42</v>
      </c>
      <c r="C1339" s="22">
        <f>1/'EQUITY BACKTEST'!E1342</f>
        <v>0.9066183137</v>
      </c>
      <c r="D1339" s="22">
        <f t="shared" si="1"/>
        <v>0.673899049</v>
      </c>
      <c r="E1339" s="22">
        <f t="shared" ref="E1339:F1339" si="1339">IF(A1339&lt;&gt;"", (B1339 - B1338) / B1338, "")</f>
        <v>-0.04248636782</v>
      </c>
      <c r="F1339" s="22">
        <f t="shared" si="1339"/>
        <v>-0.009610154125</v>
      </c>
      <c r="H1339" s="22" t="str">
        <f t="shared" si="4"/>
        <v/>
      </c>
    </row>
    <row r="1340" ht="15.75" customHeight="1">
      <c r="A1340" s="32">
        <f>'EQUITY BACKTEST'!A1343</f>
        <v>45548.66667</v>
      </c>
      <c r="B1340" s="22">
        <f>'EQUITY BACKTEST'!B1343</f>
        <v>5626.02</v>
      </c>
      <c r="C1340" s="22">
        <f>1/'EQUITY BACKTEST'!E1343</f>
        <v>0.8934953538</v>
      </c>
      <c r="D1340" s="22">
        <f t="shared" si="1"/>
        <v>0.6898060474</v>
      </c>
      <c r="E1340" s="22">
        <f t="shared" ref="E1340:F1340" si="1340">IF(A1340&lt;&gt;"", (B1340 - B1339) / B1339, "")</f>
        <v>0.04023356174</v>
      </c>
      <c r="F1340" s="22">
        <f t="shared" si="1340"/>
        <v>-0.01447462473</v>
      </c>
      <c r="H1340" s="22" t="str">
        <f t="shared" si="4"/>
        <v/>
      </c>
    </row>
    <row r="1341" ht="15.75" customHeight="1">
      <c r="A1341" s="32">
        <f>'EQUITY BACKTEST'!A1344</f>
        <v>45555.66667</v>
      </c>
      <c r="B1341" s="22">
        <f>'EQUITY BACKTEST'!B1344</f>
        <v>5702.55</v>
      </c>
      <c r="C1341" s="22">
        <f>1/'EQUITY BACKTEST'!E1344</f>
        <v>0.9042408898</v>
      </c>
      <c r="D1341" s="22">
        <f t="shared" si="1"/>
        <v>0.6011086728</v>
      </c>
      <c r="E1341" s="22">
        <f t="shared" ref="E1341:F1341" si="1341">IF(A1341&lt;&gt;"", (B1341 - B1340) / B1340, "")</f>
        <v>0.01360286668</v>
      </c>
      <c r="F1341" s="22">
        <f t="shared" si="1341"/>
        <v>0.01202640383</v>
      </c>
      <c r="H1341" s="22" t="str">
        <f t="shared" si="4"/>
        <v/>
      </c>
    </row>
    <row r="1342" ht="15.75" customHeight="1">
      <c r="A1342" s="32">
        <f>'EQUITY BACKTEST'!A1345</f>
        <v>45562.66667</v>
      </c>
      <c r="B1342" s="22">
        <f>'EQUITY BACKTEST'!B1345</f>
        <v>5738.17</v>
      </c>
      <c r="C1342" s="22">
        <f>1/'EQUITY BACKTEST'!E1345</f>
        <v>0.9018759019</v>
      </c>
      <c r="D1342" s="22">
        <f t="shared" si="1"/>
        <v>0.4956580802</v>
      </c>
      <c r="E1342" s="22">
        <f t="shared" ref="E1342:F1342" si="1342">IF(A1342&lt;&gt;"", (B1342 - B1341) / B1341, "")</f>
        <v>0.006246328397</v>
      </c>
      <c r="F1342" s="22">
        <f t="shared" si="1342"/>
        <v>-0.002615440115</v>
      </c>
      <c r="H1342" s="22" t="str">
        <f t="shared" si="4"/>
        <v/>
      </c>
    </row>
    <row r="1343" ht="15.75" customHeight="1">
      <c r="A1343" s="32">
        <f>'EQUITY BACKTEST'!A1346</f>
        <v>45569.66667</v>
      </c>
      <c r="B1343" s="22">
        <f>'EQUITY BACKTEST'!B1346</f>
        <v>5751.07</v>
      </c>
      <c r="C1343" s="22">
        <f>1/'EQUITY BACKTEST'!E1346</f>
        <v>0.9024456277</v>
      </c>
      <c r="D1343" s="22">
        <f t="shared" si="1"/>
        <v>0.3546832756</v>
      </c>
      <c r="E1343" s="22">
        <f t="shared" ref="E1343:F1343" si="1343">IF(A1343&lt;&gt;"", (B1343 - B1342) / B1342, "")</f>
        <v>0.002248103489</v>
      </c>
      <c r="F1343" s="22">
        <f t="shared" si="1343"/>
        <v>0.0006317119394</v>
      </c>
      <c r="H1343" s="22" t="str">
        <f t="shared" si="4"/>
        <v/>
      </c>
    </row>
    <row r="1344" ht="15.75" customHeight="1">
      <c r="A1344" s="32">
        <f>'EQUITY BACKTEST'!A1347</f>
        <v>45576.66667</v>
      </c>
      <c r="B1344" s="22">
        <f>'EQUITY BACKTEST'!B1347</f>
        <v>5815.03</v>
      </c>
      <c r="C1344" s="22">
        <f>'EQUITY BACKTEST'!E1347</f>
        <v>1.1169</v>
      </c>
      <c r="E1344" s="22">
        <f t="shared" ref="E1344:F1344" si="1344">IF(A1344&lt;&gt;"", (B1344 - B1343) / B1343, "")</f>
        <v>0.01112140871</v>
      </c>
      <c r="F1344" s="22">
        <f t="shared" si="1344"/>
        <v>0.23763689</v>
      </c>
    </row>
    <row r="1345" ht="15.75" customHeight="1">
      <c r="A1345" s="32">
        <f>'EQUITY BACKTEST'!A1348</f>
        <v>45583.66667</v>
      </c>
      <c r="B1345" s="22">
        <f>'EQUITY BACKTEST'!B1348</f>
        <v>5864.67</v>
      </c>
      <c r="C1345" s="22">
        <f>'EQUITY BACKTEST'!E1348</f>
        <v>1.117</v>
      </c>
      <c r="E1345" s="22">
        <f t="shared" ref="E1345:F1345" si="1345">IF(A1345&lt;&gt;"", (B1345 - B1344) / B1344, "")</f>
        <v>0.008536499382</v>
      </c>
      <c r="F1345" s="22">
        <f t="shared" si="1345"/>
        <v>0.00008953353031</v>
      </c>
    </row>
    <row r="1346" ht="15.75" customHeight="1">
      <c r="A1346" s="32">
        <f>'EQUITY BACKTEST'!A1349</f>
        <v>45590.66667</v>
      </c>
      <c r="B1346" s="22">
        <f>'EQUITY BACKTEST'!B1349</f>
        <v>5808.12</v>
      </c>
      <c r="C1346" s="22">
        <f>'EQUITY BACKTEST'!E1349</f>
        <v>1.0981</v>
      </c>
      <c r="E1346" s="22">
        <f t="shared" ref="E1346:F1346" si="1346">IF(A1346&lt;&gt;"", (B1346 - B1345) / B1345, "")</f>
        <v>-0.009642486278</v>
      </c>
      <c r="F1346" s="22">
        <f t="shared" si="1346"/>
        <v>-0.01692032229</v>
      </c>
    </row>
    <row r="1347" ht="15.75" customHeight="1">
      <c r="A1347" s="32">
        <f>'EQUITY BACKTEST'!A1350</f>
        <v>45597.66667</v>
      </c>
      <c r="B1347" s="22">
        <f>'EQUITY BACKTEST'!B1350</f>
        <v>5728.8</v>
      </c>
      <c r="C1347" s="22">
        <f>'EQUITY BACKTEST'!E1350</f>
        <v>1.0943</v>
      </c>
      <c r="E1347" s="22">
        <f t="shared" ref="E1347:F1347" si="1347">IF(A1347&lt;&gt;"", (B1347 - B1346) / B1346, "")</f>
        <v>-0.01365674263</v>
      </c>
      <c r="F1347" s="22">
        <f t="shared" si="1347"/>
        <v>-0.003460522721</v>
      </c>
    </row>
    <row r="1348" ht="15.75" customHeight="1">
      <c r="A1348" s="32">
        <f>'EQUITY BACKTEST'!A1351</f>
        <v>45604.66667</v>
      </c>
      <c r="B1348" s="22">
        <f>'EQUITY BACKTEST'!B1351</f>
        <v>5995.54</v>
      </c>
      <c r="C1348" s="22">
        <f>'EQUITY BACKTEST'!E1351</f>
        <v>1.087</v>
      </c>
      <c r="E1348" s="22">
        <f t="shared" ref="E1348:F1348" si="1348">IF(A1348&lt;&gt;"", (B1348 - B1347) / B1347, "")</f>
        <v>0.04656123446</v>
      </c>
      <c r="F1348" s="22">
        <f t="shared" si="1348"/>
        <v>-0.006670931189</v>
      </c>
    </row>
    <row r="1349" ht="15.75" customHeight="1">
      <c r="A1349" s="32">
        <f>'EQUITY BACKTEST'!A1352</f>
        <v>45611.66667</v>
      </c>
      <c r="B1349" s="22">
        <f>'EQUITY BACKTEST'!B1352</f>
        <v>5870.62</v>
      </c>
      <c r="C1349" s="22">
        <f>'EQUITY BACKTEST'!E1352</f>
        <v>1.0801</v>
      </c>
      <c r="E1349" s="22">
        <f t="shared" ref="E1349:F1349" si="1349">IF(A1349&lt;&gt;"", (B1349 - B1348) / B1348, "")</f>
        <v>-0.02083548771</v>
      </c>
      <c r="F1349" s="22">
        <f t="shared" si="1349"/>
        <v>-0.00634774609</v>
      </c>
    </row>
    <row r="1350" ht="15.75" customHeight="1">
      <c r="A1350" s="32" t="str">
        <f>'EQUITY BACKTEST'!A1353</f>
        <v/>
      </c>
      <c r="B1350" s="22" t="str">
        <f>'EQUITY BACKTEST'!B1353</f>
        <v/>
      </c>
      <c r="C1350" s="22">
        <f>'EQUITY BACKTEST'!E1353</f>
        <v>1.0873</v>
      </c>
      <c r="E1350" s="22" t="str">
        <f t="shared" ref="E1350:F1350" si="1350">IF(A1350&lt;&gt;"", (B1350 - B1349) / B1349, "")</f>
        <v/>
      </c>
      <c r="F1350" s="22" t="str">
        <f t="shared" si="1350"/>
        <v/>
      </c>
    </row>
    <row r="1351" ht="15.75" customHeight="1">
      <c r="A1351" s="32" t="str">
        <f>'EQUITY BACKTEST'!A1354</f>
        <v/>
      </c>
      <c r="B1351" s="22" t="str">
        <f>'EQUITY BACKTEST'!B1354</f>
        <v/>
      </c>
      <c r="C1351" s="22">
        <f>'EQUITY BACKTEST'!E1354</f>
        <v>1.0717</v>
      </c>
      <c r="E1351" s="22" t="str">
        <f t="shared" ref="E1351:F1351" si="1351">IF(A1351&lt;&gt;"", (B1351 - B1350) / B1350, "")</f>
        <v/>
      </c>
      <c r="F1351" s="22" t="str">
        <f t="shared" si="1351"/>
        <v/>
      </c>
    </row>
    <row r="1352" ht="15.75" customHeight="1">
      <c r="A1352" s="32" t="str">
        <f>'EQUITY BACKTEST'!A1355</f>
        <v/>
      </c>
      <c r="B1352" s="22" t="str">
        <f>'EQUITY BACKTEST'!B1355</f>
        <v/>
      </c>
      <c r="C1352" s="22">
        <f>'EQUITY BACKTEST'!E1355</f>
        <v>1.05445</v>
      </c>
      <c r="E1352" s="22" t="str">
        <f t="shared" ref="E1352:F1352" si="1352">IF(A1352&lt;&gt;"", (B1352 - B1351) / B1351, "")</f>
        <v/>
      </c>
      <c r="F1352" s="22" t="str">
        <f t="shared" si="1352"/>
        <v/>
      </c>
    </row>
    <row r="1353" ht="15.75" customHeight="1">
      <c r="A1353" s="32" t="str">
        <f>'EQUITY BACKTEST'!A1356</f>
        <v/>
      </c>
      <c r="B1353" s="22" t="str">
        <f>'EQUITY BACKTEST'!B1356</f>
        <v/>
      </c>
      <c r="C1353" s="22" t="str">
        <f>'EQUITY BACKTEST'!E1356</f>
        <v/>
      </c>
    </row>
    <row r="1354" ht="15.75" customHeight="1">
      <c r="A1354" s="32" t="str">
        <f>'EQUITY BACKTEST'!A1357</f>
        <v/>
      </c>
      <c r="B1354" s="22" t="str">
        <f>'EQUITY BACKTEST'!B1357</f>
        <v/>
      </c>
      <c r="C1354" s="22" t="str">
        <f>'EQUITY BACKTEST'!E1357</f>
        <v/>
      </c>
    </row>
    <row r="1355" ht="15.75" customHeight="1">
      <c r="A1355" s="32" t="str">
        <f>'EQUITY BACKTEST'!A1358</f>
        <v/>
      </c>
      <c r="B1355" s="22" t="str">
        <f>'EQUITY BACKTEST'!B1358</f>
        <v/>
      </c>
      <c r="C1355" s="22" t="str">
        <f>'EQUITY BACKTEST'!E1358</f>
        <v/>
      </c>
    </row>
    <row r="1356" ht="15.75" customHeight="1">
      <c r="A1356" s="32" t="str">
        <f>'EQUITY BACKTEST'!A1359</f>
        <v/>
      </c>
      <c r="B1356" s="22" t="str">
        <f>'EQUITY BACKTEST'!B1359</f>
        <v/>
      </c>
      <c r="C1356" s="22" t="str">
        <f>'EQUITY BACKTEST'!E1359</f>
        <v/>
      </c>
    </row>
    <row r="1357" ht="15.75" customHeight="1">
      <c r="A1357" s="32" t="str">
        <f>'EQUITY BACKTEST'!A1360</f>
        <v/>
      </c>
      <c r="B1357" s="22" t="str">
        <f>'EQUITY BACKTEST'!B1360</f>
        <v/>
      </c>
      <c r="C1357" s="22" t="str">
        <f>'EQUITY BACKTEST'!E1360</f>
        <v/>
      </c>
    </row>
    <row r="1358" ht="15.75" customHeight="1">
      <c r="A1358" s="32" t="str">
        <f>'EQUITY BACKTEST'!A1361</f>
        <v/>
      </c>
      <c r="B1358" s="22" t="str">
        <f>'EQUITY BACKTEST'!B1361</f>
        <v/>
      </c>
      <c r="C1358" s="22" t="str">
        <f>'EQUITY BACKTEST'!E1361</f>
        <v/>
      </c>
    </row>
    <row r="1359" ht="15.75" customHeight="1">
      <c r="A1359" s="32" t="str">
        <f>'EQUITY BACKTEST'!A1362</f>
        <v/>
      </c>
      <c r="B1359" s="22" t="str">
        <f>'EQUITY BACKTEST'!B1362</f>
        <v/>
      </c>
      <c r="C1359" s="22" t="str">
        <f>'EQUITY BACKTEST'!E1362</f>
        <v/>
      </c>
    </row>
    <row r="1360" ht="15.75" customHeight="1">
      <c r="A1360" s="32" t="str">
        <f>'EQUITY BACKTEST'!A1363</f>
        <v/>
      </c>
      <c r="B1360" s="22" t="str">
        <f>'EQUITY BACKTEST'!B1363</f>
        <v/>
      </c>
      <c r="C1360" s="22" t="str">
        <f>'EQUITY BACKTEST'!E1363</f>
        <v/>
      </c>
    </row>
    <row r="1361" ht="15.75" customHeight="1">
      <c r="A1361" s="32" t="str">
        <f>'EQUITY BACKTEST'!A1364</f>
        <v/>
      </c>
      <c r="B1361" s="22" t="str">
        <f>'EQUITY BACKTEST'!B1364</f>
        <v/>
      </c>
      <c r="C1361" s="22" t="str">
        <f>'EQUITY BACKTEST'!E1364</f>
        <v/>
      </c>
    </row>
    <row r="1362" ht="15.75" customHeight="1">
      <c r="A1362" s="32" t="str">
        <f>'EQUITY BACKTEST'!A1365</f>
        <v/>
      </c>
      <c r="B1362" s="22" t="str">
        <f>'EQUITY BACKTEST'!B1365</f>
        <v/>
      </c>
      <c r="C1362" s="22" t="str">
        <f>'EQUITY BACKTEST'!E1365</f>
        <v/>
      </c>
    </row>
    <row r="1363" ht="15.75" customHeight="1">
      <c r="A1363" s="32" t="str">
        <f>'EQUITY BACKTEST'!A1366</f>
        <v/>
      </c>
      <c r="B1363" s="22" t="str">
        <f>'EQUITY BACKTEST'!B1366</f>
        <v/>
      </c>
      <c r="C1363" s="22" t="str">
        <f>'EQUITY BACKTEST'!E1366</f>
        <v/>
      </c>
    </row>
    <row r="1364" ht="15.75" customHeight="1">
      <c r="A1364" s="32" t="str">
        <f>'EQUITY BACKTEST'!A1367</f>
        <v/>
      </c>
      <c r="B1364" s="22" t="str">
        <f>'EQUITY BACKTEST'!B1367</f>
        <v/>
      </c>
      <c r="C1364" s="22" t="str">
        <f>'EQUITY BACKTEST'!E1367</f>
        <v/>
      </c>
    </row>
    <row r="1365" ht="15.75" customHeight="1">
      <c r="A1365" s="32" t="str">
        <f>'EQUITY BACKTEST'!A1368</f>
        <v/>
      </c>
      <c r="B1365" s="22" t="str">
        <f>'EQUITY BACKTEST'!B1368</f>
        <v/>
      </c>
      <c r="C1365" s="22" t="str">
        <f>'EQUITY BACKTEST'!E1368</f>
        <v/>
      </c>
    </row>
    <row r="1366" ht="15.75" customHeight="1">
      <c r="A1366" s="32" t="str">
        <f>'EQUITY BACKTEST'!A1369</f>
        <v/>
      </c>
      <c r="B1366" s="22" t="str">
        <f>'EQUITY BACKTEST'!B1369</f>
        <v/>
      </c>
      <c r="C1366" s="22" t="str">
        <f>'EQUITY BACKTEST'!E1369</f>
        <v/>
      </c>
    </row>
    <row r="1367" ht="15.75" customHeight="1">
      <c r="A1367" s="32" t="str">
        <f>'EQUITY BACKTEST'!A1370</f>
        <v/>
      </c>
      <c r="B1367" s="22" t="str">
        <f>'EQUITY BACKTEST'!B1370</f>
        <v/>
      </c>
      <c r="C1367" s="22" t="str">
        <f>'EQUITY BACKTEST'!E1370</f>
        <v/>
      </c>
    </row>
    <row r="1368" ht="15.75" customHeight="1">
      <c r="A1368" s="32" t="str">
        <f>'EQUITY BACKTEST'!A1371</f>
        <v/>
      </c>
      <c r="B1368" s="22" t="str">
        <f>'EQUITY BACKTEST'!B1371</f>
        <v/>
      </c>
      <c r="C1368" s="22" t="str">
        <f>'EQUITY BACKTEST'!E1371</f>
        <v/>
      </c>
    </row>
    <row r="1369" ht="15.75" customHeight="1">
      <c r="A1369" s="32" t="str">
        <f>'EQUITY BACKTEST'!A1372</f>
        <v/>
      </c>
      <c r="B1369" s="22" t="str">
        <f>'EQUITY BACKTEST'!B1372</f>
        <v/>
      </c>
      <c r="C1369" s="22" t="str">
        <f>'EQUITY BACKTEST'!E1372</f>
        <v/>
      </c>
    </row>
    <row r="1370" ht="15.75" customHeight="1">
      <c r="A1370" s="32" t="str">
        <f>'EQUITY BACKTEST'!A1373</f>
        <v/>
      </c>
      <c r="B1370" s="22" t="str">
        <f>'EQUITY BACKTEST'!B1373</f>
        <v/>
      </c>
      <c r="C1370" s="22" t="str">
        <f>'EQUITY BACKTEST'!E1373</f>
        <v/>
      </c>
    </row>
    <row r="1371" ht="15.75" customHeight="1">
      <c r="A1371" s="32" t="str">
        <f>'EQUITY BACKTEST'!A1374</f>
        <v/>
      </c>
      <c r="B1371" s="22" t="str">
        <f>'EQUITY BACKTEST'!B1374</f>
        <v/>
      </c>
      <c r="C1371" s="22" t="str">
        <f>'EQUITY BACKTEST'!E1374</f>
        <v/>
      </c>
    </row>
    <row r="1372" ht="15.75" customHeight="1">
      <c r="A1372" s="32" t="str">
        <f>'EQUITY BACKTEST'!A1375</f>
        <v/>
      </c>
      <c r="B1372" s="22" t="str">
        <f>'EQUITY BACKTEST'!B1375</f>
        <v/>
      </c>
      <c r="C1372" s="22" t="str">
        <f>'EQUITY BACKTEST'!E1375</f>
        <v/>
      </c>
    </row>
    <row r="1373" ht="15.75" customHeight="1">
      <c r="A1373" s="32" t="str">
        <f>'EQUITY BACKTEST'!A1376</f>
        <v/>
      </c>
      <c r="B1373" s="22" t="str">
        <f>'EQUITY BACKTEST'!B1376</f>
        <v/>
      </c>
      <c r="C1373" s="22" t="str">
        <f>'EQUITY BACKTEST'!E1376</f>
        <v/>
      </c>
    </row>
    <row r="1374" ht="15.75" customHeight="1">
      <c r="A1374" s="32" t="str">
        <f>'EQUITY BACKTEST'!A1377</f>
        <v/>
      </c>
      <c r="B1374" s="22" t="str">
        <f>'EQUITY BACKTEST'!B1377</f>
        <v/>
      </c>
      <c r="C1374" s="22" t="str">
        <f>'EQUITY BACKTEST'!E1377</f>
        <v/>
      </c>
    </row>
    <row r="1375" ht="15.75" customHeight="1">
      <c r="A1375" s="32" t="str">
        <f>'EQUITY BACKTEST'!A1378</f>
        <v/>
      </c>
      <c r="B1375" s="22" t="str">
        <f>'EQUITY BACKTEST'!B1378</f>
        <v/>
      </c>
      <c r="C1375" s="22" t="str">
        <f>'EQUITY BACKTEST'!E1378</f>
        <v/>
      </c>
    </row>
    <row r="1376" ht="15.75" customHeight="1">
      <c r="A1376" s="32" t="str">
        <f>'EQUITY BACKTEST'!A1379</f>
        <v/>
      </c>
      <c r="B1376" s="22" t="str">
        <f>'EQUITY BACKTEST'!B1379</f>
        <v/>
      </c>
      <c r="C1376" s="22" t="str">
        <f>'EQUITY BACKTEST'!E1379</f>
        <v/>
      </c>
    </row>
    <row r="1377" ht="15.75" customHeight="1">
      <c r="A1377" s="32" t="str">
        <f>'EQUITY BACKTEST'!A1380</f>
        <v/>
      </c>
      <c r="B1377" s="22" t="str">
        <f>'EQUITY BACKTEST'!B1380</f>
        <v/>
      </c>
      <c r="C1377" s="22" t="str">
        <f>'EQUITY BACKTEST'!E1380</f>
        <v/>
      </c>
    </row>
    <row r="1378" ht="15.75" customHeight="1">
      <c r="A1378" s="32" t="str">
        <f>'EQUITY BACKTEST'!A1381</f>
        <v/>
      </c>
      <c r="B1378" s="22" t="str">
        <f>'EQUITY BACKTEST'!B1381</f>
        <v/>
      </c>
      <c r="C1378" s="22" t="str">
        <f>'EQUITY BACKTEST'!E1381</f>
        <v/>
      </c>
    </row>
    <row r="1379" ht="15.75" customHeight="1">
      <c r="A1379" s="32" t="str">
        <f>'EQUITY BACKTEST'!A1382</f>
        <v/>
      </c>
      <c r="B1379" s="22" t="str">
        <f>'EQUITY BACKTEST'!B1382</f>
        <v/>
      </c>
      <c r="C1379" s="22" t="str">
        <f>'EQUITY BACKTEST'!E1382</f>
        <v/>
      </c>
    </row>
    <row r="1380" ht="15.75" customHeight="1">
      <c r="A1380" s="32" t="str">
        <f>'EQUITY BACKTEST'!A1383</f>
        <v/>
      </c>
      <c r="B1380" s="22" t="str">
        <f>'EQUITY BACKTEST'!B1383</f>
        <v/>
      </c>
      <c r="C1380" s="22" t="str">
        <f>'EQUITY BACKTEST'!E1383</f>
        <v/>
      </c>
    </row>
    <row r="1381" ht="15.75" customHeight="1">
      <c r="A1381" s="32" t="str">
        <f>'EQUITY BACKTEST'!A1384</f>
        <v/>
      </c>
      <c r="B1381" s="22" t="str">
        <f>'EQUITY BACKTEST'!B1384</f>
        <v/>
      </c>
      <c r="C1381" s="22" t="str">
        <f>'EQUITY BACKTEST'!E1384</f>
        <v/>
      </c>
    </row>
    <row r="1382" ht="15.75" customHeight="1">
      <c r="A1382" s="32" t="str">
        <f>'EQUITY BACKTEST'!A1385</f>
        <v/>
      </c>
      <c r="B1382" s="22" t="str">
        <f>'EQUITY BACKTEST'!B1385</f>
        <v/>
      </c>
      <c r="C1382" s="22" t="str">
        <f>'EQUITY BACKTEST'!E1385</f>
        <v/>
      </c>
    </row>
    <row r="1383" ht="15.75" customHeight="1">
      <c r="A1383" s="32" t="str">
        <f>'EQUITY BACKTEST'!A1386</f>
        <v/>
      </c>
      <c r="B1383" s="22" t="str">
        <f>'EQUITY BACKTEST'!B1386</f>
        <v/>
      </c>
      <c r="C1383" s="22" t="str">
        <f>'EQUITY BACKTEST'!E1386</f>
        <v/>
      </c>
    </row>
    <row r="1384" ht="15.75" customHeight="1">
      <c r="A1384" s="32" t="str">
        <f>'EQUITY BACKTEST'!A1387</f>
        <v/>
      </c>
      <c r="B1384" s="22" t="str">
        <f>'EQUITY BACKTEST'!B1387</f>
        <v/>
      </c>
      <c r="C1384" s="22" t="str">
        <f>'EQUITY BACKTEST'!E1387</f>
        <v/>
      </c>
    </row>
    <row r="1385" ht="15.75" customHeight="1">
      <c r="A1385" s="32" t="str">
        <f>'EQUITY BACKTEST'!A1388</f>
        <v/>
      </c>
      <c r="B1385" s="22" t="str">
        <f>'EQUITY BACKTEST'!B1388</f>
        <v/>
      </c>
      <c r="C1385" s="22" t="str">
        <f>'EQUITY BACKTEST'!E1388</f>
        <v/>
      </c>
    </row>
    <row r="1386" ht="15.75" customHeight="1">
      <c r="A1386" s="32" t="str">
        <f>'EQUITY BACKTEST'!A1389</f>
        <v/>
      </c>
      <c r="B1386" s="22" t="str">
        <f>'EQUITY BACKTEST'!B1389</f>
        <v/>
      </c>
      <c r="C1386" s="22" t="str">
        <f>'EQUITY BACKTEST'!E1389</f>
        <v/>
      </c>
    </row>
    <row r="1387" ht="15.75" customHeight="1">
      <c r="A1387" s="32" t="str">
        <f>'EQUITY BACKTEST'!A1390</f>
        <v/>
      </c>
      <c r="B1387" s="22" t="str">
        <f>'EQUITY BACKTEST'!B1390</f>
        <v/>
      </c>
      <c r="C1387" s="22" t="str">
        <f>'EQUITY BACKTEST'!E1390</f>
        <v/>
      </c>
    </row>
    <row r="1388" ht="15.75" customHeight="1">
      <c r="A1388" s="32" t="str">
        <f>'EQUITY BACKTEST'!A1391</f>
        <v/>
      </c>
      <c r="B1388" s="22" t="str">
        <f>'EQUITY BACKTEST'!B1391</f>
        <v/>
      </c>
      <c r="C1388" s="22" t="str">
        <f>'EQUITY BACKTEST'!E1391</f>
        <v/>
      </c>
    </row>
    <row r="1389" ht="15.75" customHeight="1">
      <c r="A1389" s="32" t="str">
        <f>'EQUITY BACKTEST'!A1392</f>
        <v/>
      </c>
      <c r="B1389" s="22" t="str">
        <f>'EQUITY BACKTEST'!B1392</f>
        <v/>
      </c>
      <c r="C1389" s="22" t="str">
        <f>'EQUITY BACKTEST'!E1392</f>
        <v/>
      </c>
    </row>
    <row r="1390" ht="15.75" customHeight="1">
      <c r="A1390" s="32" t="str">
        <f>'EQUITY BACKTEST'!A1393</f>
        <v/>
      </c>
      <c r="B1390" s="22" t="str">
        <f>'EQUITY BACKTEST'!B1393</f>
        <v/>
      </c>
      <c r="C1390" s="22" t="str">
        <f>'EQUITY BACKTEST'!E1393</f>
        <v/>
      </c>
    </row>
    <row r="1391" ht="15.75" customHeight="1">
      <c r="A1391" s="32" t="str">
        <f>'EQUITY BACKTEST'!A1394</f>
        <v/>
      </c>
      <c r="B1391" s="22" t="str">
        <f>'EQUITY BACKTEST'!B1394</f>
        <v/>
      </c>
      <c r="C1391" s="22" t="str">
        <f>'EQUITY BACKTEST'!E1394</f>
        <v/>
      </c>
    </row>
    <row r="1392" ht="15.75" customHeight="1">
      <c r="A1392" s="32" t="str">
        <f>'EQUITY BACKTEST'!A1395</f>
        <v/>
      </c>
      <c r="B1392" s="22" t="str">
        <f>'EQUITY BACKTEST'!B1395</f>
        <v/>
      </c>
      <c r="C1392" s="22" t="str">
        <f>'EQUITY BACKTEST'!E1395</f>
        <v/>
      </c>
    </row>
    <row r="1393" ht="15.75" customHeight="1">
      <c r="A1393" s="32" t="str">
        <f>'EQUITY BACKTEST'!A1396</f>
        <v/>
      </c>
      <c r="B1393" s="22" t="str">
        <f>'EQUITY BACKTEST'!B1396</f>
        <v/>
      </c>
      <c r="C1393" s="22" t="str">
        <f>'EQUITY BACKTEST'!E1396</f>
        <v/>
      </c>
    </row>
    <row r="1394" ht="15.75" customHeight="1">
      <c r="A1394" s="32" t="str">
        <f>'EQUITY BACKTEST'!A1397</f>
        <v/>
      </c>
      <c r="B1394" s="22" t="str">
        <f>'EQUITY BACKTEST'!B1397</f>
        <v/>
      </c>
      <c r="C1394" s="22" t="str">
        <f>'EQUITY BACKTEST'!E1397</f>
        <v/>
      </c>
    </row>
    <row r="1395" ht="15.75" customHeight="1">
      <c r="A1395" s="32" t="str">
        <f>'EQUITY BACKTEST'!A1398</f>
        <v/>
      </c>
      <c r="B1395" s="22" t="str">
        <f>'EQUITY BACKTEST'!B1398</f>
        <v/>
      </c>
      <c r="C1395" s="22" t="str">
        <f>'EQUITY BACKTEST'!E1398</f>
        <v/>
      </c>
    </row>
    <row r="1396" ht="15.75" customHeight="1">
      <c r="A1396" s="32" t="str">
        <f>'EQUITY BACKTEST'!A1399</f>
        <v/>
      </c>
      <c r="B1396" s="22" t="str">
        <f>'EQUITY BACKTEST'!B1399</f>
        <v/>
      </c>
      <c r="C1396" s="22" t="str">
        <f>'EQUITY BACKTEST'!E1399</f>
        <v/>
      </c>
    </row>
    <row r="1397" ht="15.75" customHeight="1">
      <c r="A1397" s="32" t="str">
        <f>'EQUITY BACKTEST'!A1400</f>
        <v/>
      </c>
      <c r="B1397" s="22" t="str">
        <f>'EQUITY BACKTEST'!B1400</f>
        <v/>
      </c>
      <c r="C1397" s="22" t="str">
        <f>'EQUITY BACKTEST'!E1400</f>
        <v/>
      </c>
    </row>
    <row r="1398" ht="15.75" customHeight="1">
      <c r="A1398" s="32" t="str">
        <f>'EQUITY BACKTEST'!A1401</f>
        <v/>
      </c>
      <c r="B1398" s="22" t="str">
        <f>'EQUITY BACKTEST'!B1401</f>
        <v/>
      </c>
      <c r="C1398" s="22" t="str">
        <f>'EQUITY BACKTEST'!E1401</f>
        <v/>
      </c>
    </row>
    <row r="1399" ht="15.75" customHeight="1">
      <c r="A1399" s="32" t="str">
        <f>'EQUITY BACKTEST'!A1402</f>
        <v/>
      </c>
      <c r="B1399" s="22" t="str">
        <f>'EQUITY BACKTEST'!B1402</f>
        <v/>
      </c>
      <c r="C1399" s="22" t="str">
        <f>'EQUITY BACKTEST'!E1402</f>
        <v/>
      </c>
    </row>
    <row r="1400" ht="15.75" customHeight="1">
      <c r="A1400" s="32" t="str">
        <f>'EQUITY BACKTEST'!A1403</f>
        <v/>
      </c>
      <c r="B1400" s="22" t="str">
        <f>'EQUITY BACKTEST'!B1403</f>
        <v/>
      </c>
      <c r="C1400" s="22" t="str">
        <f>'EQUITY BACKTEST'!E1403</f>
        <v/>
      </c>
    </row>
    <row r="1401" ht="15.75" customHeight="1">
      <c r="A1401" s="32" t="str">
        <f>'EQUITY BACKTEST'!A1404</f>
        <v/>
      </c>
      <c r="B1401" s="22" t="str">
        <f>'EQUITY BACKTEST'!B1404</f>
        <v/>
      </c>
      <c r="C1401" s="22" t="str">
        <f>'EQUITY BACKTEST'!E1404</f>
        <v/>
      </c>
    </row>
    <row r="1402" ht="15.75" customHeight="1">
      <c r="A1402" s="32" t="str">
        <f>'EQUITY BACKTEST'!A1405</f>
        <v/>
      </c>
      <c r="B1402" s="22" t="str">
        <f>'EQUITY BACKTEST'!B1405</f>
        <v/>
      </c>
      <c r="C1402" s="22" t="str">
        <f>'EQUITY BACKTEST'!E1405</f>
        <v/>
      </c>
    </row>
    <row r="1403" ht="15.75" customHeight="1">
      <c r="A1403" s="32" t="str">
        <f>'EQUITY BACKTEST'!A1406</f>
        <v/>
      </c>
      <c r="B1403" s="22" t="str">
        <f>'EQUITY BACKTEST'!B1406</f>
        <v/>
      </c>
      <c r="C1403" s="22" t="str">
        <f>'EQUITY BACKTEST'!E1406</f>
        <v/>
      </c>
    </row>
    <row r="1404" ht="15.75" customHeight="1">
      <c r="A1404" s="32" t="str">
        <f>'EQUITY BACKTEST'!A1407</f>
        <v/>
      </c>
      <c r="B1404" s="22" t="str">
        <f>'EQUITY BACKTEST'!B1407</f>
        <v/>
      </c>
      <c r="C1404" s="22" t="str">
        <f>'EQUITY BACKTEST'!E1407</f>
        <v/>
      </c>
    </row>
    <row r="1405" ht="15.75" customHeight="1">
      <c r="A1405" s="32" t="str">
        <f>'EQUITY BACKTEST'!A1408</f>
        <v/>
      </c>
      <c r="B1405" s="22" t="str">
        <f>'EQUITY BACKTEST'!B1408</f>
        <v/>
      </c>
      <c r="C1405" s="22" t="str">
        <f>'EQUITY BACKTEST'!E1408</f>
        <v/>
      </c>
    </row>
    <row r="1406" ht="15.75" customHeight="1">
      <c r="A1406" s="32" t="str">
        <f>'EQUITY BACKTEST'!A1409</f>
        <v/>
      </c>
      <c r="B1406" s="22" t="str">
        <f>'EQUITY BACKTEST'!B1409</f>
        <v/>
      </c>
      <c r="C1406" s="22" t="str">
        <f>'EQUITY BACKTEST'!E1409</f>
        <v/>
      </c>
    </row>
    <row r="1407" ht="15.75" customHeight="1">
      <c r="A1407" s="32" t="str">
        <f>'EQUITY BACKTEST'!A1410</f>
        <v/>
      </c>
      <c r="B1407" s="22" t="str">
        <f>'EQUITY BACKTEST'!B1410</f>
        <v/>
      </c>
      <c r="C1407" s="22" t="str">
        <f>'EQUITY BACKTEST'!E1410</f>
        <v/>
      </c>
    </row>
    <row r="1408" ht="15.75" customHeight="1">
      <c r="A1408" s="32" t="str">
        <f>'EQUITY BACKTEST'!A1411</f>
        <v/>
      </c>
      <c r="B1408" s="22" t="str">
        <f>'EQUITY BACKTEST'!B1411</f>
        <v/>
      </c>
      <c r="C1408" s="22" t="str">
        <f>'EQUITY BACKTEST'!E1411</f>
        <v/>
      </c>
    </row>
    <row r="1409" ht="15.75" customHeight="1">
      <c r="A1409" s="32" t="str">
        <f>'EQUITY BACKTEST'!A1412</f>
        <v/>
      </c>
      <c r="B1409" s="22" t="str">
        <f>'EQUITY BACKTEST'!B1412</f>
        <v/>
      </c>
      <c r="C1409" s="22" t="str">
        <f>'EQUITY BACKTEST'!E1412</f>
        <v/>
      </c>
    </row>
    <row r="1410" ht="15.75" customHeight="1">
      <c r="A1410" s="32" t="str">
        <f>'EQUITY BACKTEST'!A1413</f>
        <v/>
      </c>
      <c r="B1410" s="22" t="str">
        <f>'EQUITY BACKTEST'!B1413</f>
        <v/>
      </c>
      <c r="C1410" s="22" t="str">
        <f>'EQUITY BACKTEST'!E1413</f>
        <v/>
      </c>
    </row>
    <row r="1411" ht="15.75" customHeight="1">
      <c r="A1411" s="32" t="str">
        <f>'EQUITY BACKTEST'!A1414</f>
        <v/>
      </c>
      <c r="B1411" s="22" t="str">
        <f>'EQUITY BACKTEST'!B1414</f>
        <v/>
      </c>
      <c r="C1411" s="22" t="str">
        <f>'EQUITY BACKTEST'!E1414</f>
        <v/>
      </c>
    </row>
    <row r="1412" ht="15.75" customHeight="1">
      <c r="A1412" s="32" t="str">
        <f>'EQUITY BACKTEST'!A1415</f>
        <v/>
      </c>
      <c r="B1412" s="22" t="str">
        <f>'EQUITY BACKTEST'!B1415</f>
        <v/>
      </c>
      <c r="C1412" s="22" t="str">
        <f>'EQUITY BACKTEST'!E1415</f>
        <v/>
      </c>
    </row>
    <row r="1413" ht="15.75" customHeight="1">
      <c r="A1413" s="32" t="str">
        <f>'EQUITY BACKTEST'!A1416</f>
        <v/>
      </c>
      <c r="B1413" s="22" t="str">
        <f>'EQUITY BACKTEST'!B1416</f>
        <v/>
      </c>
      <c r="C1413" s="22" t="str">
        <f>'EQUITY BACKTEST'!E1416</f>
        <v/>
      </c>
    </row>
    <row r="1414" ht="15.75" customHeight="1">
      <c r="A1414" s="32" t="str">
        <f>'EQUITY BACKTEST'!A1417</f>
        <v/>
      </c>
      <c r="B1414" s="22" t="str">
        <f>'EQUITY BACKTEST'!B1417</f>
        <v/>
      </c>
      <c r="C1414" s="22" t="str">
        <f>'EQUITY BACKTEST'!E1417</f>
        <v/>
      </c>
    </row>
    <row r="1415" ht="15.75" customHeight="1">
      <c r="A1415" s="32" t="str">
        <f>'EQUITY BACKTEST'!A1418</f>
        <v/>
      </c>
      <c r="B1415" s="22" t="str">
        <f>'EQUITY BACKTEST'!B1418</f>
        <v/>
      </c>
      <c r="C1415" s="22" t="str">
        <f>'EQUITY BACKTEST'!E1418</f>
        <v/>
      </c>
    </row>
    <row r="1416" ht="15.75" customHeight="1">
      <c r="A1416" s="32" t="str">
        <f>'EQUITY BACKTEST'!A1419</f>
        <v/>
      </c>
      <c r="B1416" s="22" t="str">
        <f>'EQUITY BACKTEST'!B1419</f>
        <v/>
      </c>
      <c r="C1416" s="22" t="str">
        <f>'EQUITY BACKTEST'!E1419</f>
        <v/>
      </c>
    </row>
    <row r="1417" ht="15.75" customHeight="1">
      <c r="A1417" s="32" t="str">
        <f>'EQUITY BACKTEST'!A1420</f>
        <v/>
      </c>
      <c r="B1417" s="22" t="str">
        <f>'EQUITY BACKTEST'!B1420</f>
        <v/>
      </c>
      <c r="C1417" s="22" t="str">
        <f>'EQUITY BACKTEST'!E1420</f>
        <v/>
      </c>
    </row>
    <row r="1418" ht="15.75" customHeight="1">
      <c r="A1418" s="32" t="str">
        <f>'EQUITY BACKTEST'!A1421</f>
        <v/>
      </c>
      <c r="B1418" s="22" t="str">
        <f>'EQUITY BACKTEST'!B1421</f>
        <v/>
      </c>
      <c r="C1418" s="22" t="str">
        <f>'EQUITY BACKTEST'!E1421</f>
        <v/>
      </c>
    </row>
    <row r="1419" ht="15.75" customHeight="1">
      <c r="A1419" s="32" t="str">
        <f>'EQUITY BACKTEST'!A1422</f>
        <v/>
      </c>
      <c r="B1419" s="22" t="str">
        <f>'EQUITY BACKTEST'!B1422</f>
        <v/>
      </c>
      <c r="C1419" s="22" t="str">
        <f>'EQUITY BACKTEST'!E1422</f>
        <v/>
      </c>
    </row>
    <row r="1420" ht="15.75" customHeight="1">
      <c r="A1420" s="32" t="str">
        <f>'EQUITY BACKTEST'!A1423</f>
        <v/>
      </c>
      <c r="B1420" s="22" t="str">
        <f>'EQUITY BACKTEST'!B1423</f>
        <v/>
      </c>
      <c r="C1420" s="22" t="str">
        <f>'EQUITY BACKTEST'!E1423</f>
        <v/>
      </c>
    </row>
    <row r="1421" ht="15.75" customHeight="1">
      <c r="A1421" s="32" t="str">
        <f>'EQUITY BACKTEST'!A1424</f>
        <v/>
      </c>
      <c r="B1421" s="22" t="str">
        <f>'EQUITY BACKTEST'!B1424</f>
        <v/>
      </c>
      <c r="C1421" s="22" t="str">
        <f>'EQUITY BACKTEST'!E1424</f>
        <v/>
      </c>
    </row>
    <row r="1422" ht="15.75" customHeight="1">
      <c r="A1422" s="32" t="str">
        <f>'EQUITY BACKTEST'!A1425</f>
        <v/>
      </c>
      <c r="B1422" s="22" t="str">
        <f>'EQUITY BACKTEST'!B1425</f>
        <v/>
      </c>
      <c r="C1422" s="22" t="str">
        <f>'EQUITY BACKTEST'!E1425</f>
        <v/>
      </c>
    </row>
    <row r="1423" ht="15.75" customHeight="1">
      <c r="A1423" s="32" t="str">
        <f>'EQUITY BACKTEST'!A1426</f>
        <v/>
      </c>
      <c r="B1423" s="22" t="str">
        <f>'EQUITY BACKTEST'!B1426</f>
        <v/>
      </c>
      <c r="C1423" s="22" t="str">
        <f>'EQUITY BACKTEST'!E1426</f>
        <v/>
      </c>
    </row>
    <row r="1424" ht="15.75" customHeight="1">
      <c r="A1424" s="32" t="str">
        <f>'EQUITY BACKTEST'!A1427</f>
        <v/>
      </c>
      <c r="B1424" s="22" t="str">
        <f>'EQUITY BACKTEST'!B1427</f>
        <v/>
      </c>
      <c r="C1424" s="22" t="str">
        <f>'EQUITY BACKTEST'!E1427</f>
        <v/>
      </c>
    </row>
    <row r="1425" ht="15.75" customHeight="1">
      <c r="A1425" s="32" t="str">
        <f>'EQUITY BACKTEST'!A1428</f>
        <v/>
      </c>
      <c r="B1425" s="22" t="str">
        <f>'EQUITY BACKTEST'!B1428</f>
        <v/>
      </c>
      <c r="C1425" s="22" t="str">
        <f>'EQUITY BACKTEST'!E1428</f>
        <v/>
      </c>
    </row>
    <row r="1426" ht="15.75" customHeight="1">
      <c r="A1426" s="32" t="str">
        <f>'EQUITY BACKTEST'!A1429</f>
        <v/>
      </c>
      <c r="B1426" s="22" t="str">
        <f>'EQUITY BACKTEST'!B1429</f>
        <v/>
      </c>
      <c r="C1426" s="22" t="str">
        <f>'EQUITY BACKTEST'!E1429</f>
        <v/>
      </c>
    </row>
    <row r="1427" ht="15.75" customHeight="1">
      <c r="A1427" s="32" t="str">
        <f>'EQUITY BACKTEST'!A1430</f>
        <v/>
      </c>
      <c r="B1427" s="22" t="str">
        <f>'EQUITY BACKTEST'!B1430</f>
        <v/>
      </c>
      <c r="C1427" s="22" t="str">
        <f>'EQUITY BACKTEST'!E1430</f>
        <v/>
      </c>
    </row>
    <row r="1428" ht="15.75" customHeight="1">
      <c r="A1428" s="32" t="str">
        <f>'EQUITY BACKTEST'!A1431</f>
        <v/>
      </c>
      <c r="B1428" s="22" t="str">
        <f>'EQUITY BACKTEST'!B1431</f>
        <v/>
      </c>
      <c r="C1428" s="22" t="str">
        <f>'EQUITY BACKTEST'!E1431</f>
        <v/>
      </c>
    </row>
    <row r="1429" ht="15.75" customHeight="1">
      <c r="A1429" s="32" t="str">
        <f>'EQUITY BACKTEST'!A1432</f>
        <v/>
      </c>
      <c r="B1429" s="22" t="str">
        <f>'EQUITY BACKTEST'!B1432</f>
        <v/>
      </c>
      <c r="C1429" s="22" t="str">
        <f>'EQUITY BACKTEST'!E1432</f>
        <v/>
      </c>
    </row>
    <row r="1430" ht="15.75" customHeight="1">
      <c r="A1430" s="32" t="str">
        <f>'EQUITY BACKTEST'!A1433</f>
        <v/>
      </c>
      <c r="B1430" s="22" t="str">
        <f>'EQUITY BACKTEST'!B1433</f>
        <v/>
      </c>
      <c r="C1430" s="22" t="str">
        <f>'EQUITY BACKTEST'!E1433</f>
        <v/>
      </c>
    </row>
    <row r="1431" ht="15.75" customHeight="1">
      <c r="A1431" s="32" t="str">
        <f>'EQUITY BACKTEST'!A1434</f>
        <v/>
      </c>
      <c r="B1431" s="22" t="str">
        <f>'EQUITY BACKTEST'!B1434</f>
        <v/>
      </c>
      <c r="C1431" s="22" t="str">
        <f>'EQUITY BACKTEST'!E1434</f>
        <v/>
      </c>
    </row>
    <row r="1432" ht="15.75" customHeight="1">
      <c r="A1432" s="32" t="str">
        <f>'EQUITY BACKTEST'!A1435</f>
        <v/>
      </c>
      <c r="B1432" s="22" t="str">
        <f>'EQUITY BACKTEST'!B1435</f>
        <v/>
      </c>
      <c r="C1432" s="22" t="str">
        <f>'EQUITY BACKTEST'!E1435</f>
        <v/>
      </c>
    </row>
    <row r="1433" ht="15.75" customHeight="1">
      <c r="A1433" s="32" t="str">
        <f>'EQUITY BACKTEST'!A1436</f>
        <v/>
      </c>
      <c r="B1433" s="22" t="str">
        <f>'EQUITY BACKTEST'!B1436</f>
        <v/>
      </c>
      <c r="C1433" s="22" t="str">
        <f>'EQUITY BACKTEST'!E1436</f>
        <v/>
      </c>
    </row>
    <row r="1434" ht="15.75" customHeight="1">
      <c r="A1434" s="32" t="str">
        <f>'EQUITY BACKTEST'!A1437</f>
        <v/>
      </c>
      <c r="B1434" s="22" t="str">
        <f>'EQUITY BACKTEST'!B1437</f>
        <v/>
      </c>
      <c r="C1434" s="22" t="str">
        <f>'EQUITY BACKTEST'!E1437</f>
        <v/>
      </c>
    </row>
    <row r="1435" ht="15.75" customHeight="1">
      <c r="A1435" s="32" t="str">
        <f>'EQUITY BACKTEST'!A1438</f>
        <v/>
      </c>
      <c r="B1435" s="22" t="str">
        <f>'EQUITY BACKTEST'!B1438</f>
        <v/>
      </c>
      <c r="C1435" s="22" t="str">
        <f>'EQUITY BACKTEST'!E1438</f>
        <v/>
      </c>
    </row>
    <row r="1436" ht="15.75" customHeight="1">
      <c r="A1436" s="32" t="str">
        <f>'EQUITY BACKTEST'!A1439</f>
        <v/>
      </c>
      <c r="B1436" s="22" t="str">
        <f>'EQUITY BACKTEST'!B1439</f>
        <v/>
      </c>
      <c r="C1436" s="22" t="str">
        <f>'EQUITY BACKTEST'!E1439</f>
        <v/>
      </c>
    </row>
    <row r="1437" ht="15.75" customHeight="1">
      <c r="A1437" s="32" t="str">
        <f>'EQUITY BACKTEST'!A1440</f>
        <v/>
      </c>
      <c r="B1437" s="22" t="str">
        <f>'EQUITY BACKTEST'!B1440</f>
        <v/>
      </c>
      <c r="C1437" s="22" t="str">
        <f>'EQUITY BACKTEST'!E1440</f>
        <v/>
      </c>
    </row>
    <row r="1438" ht="15.75" customHeight="1">
      <c r="A1438" s="32" t="str">
        <f>'EQUITY BACKTEST'!A1441</f>
        <v/>
      </c>
      <c r="B1438" s="22" t="str">
        <f>'EQUITY BACKTEST'!B1441</f>
        <v/>
      </c>
      <c r="C1438" s="22" t="str">
        <f>'EQUITY BACKTEST'!E1441</f>
        <v/>
      </c>
    </row>
    <row r="1439" ht="15.75" customHeight="1">
      <c r="A1439" s="32" t="str">
        <f>'EQUITY BACKTEST'!A1442</f>
        <v/>
      </c>
      <c r="B1439" s="22" t="str">
        <f>'EQUITY BACKTEST'!B1442</f>
        <v/>
      </c>
      <c r="C1439" s="22" t="str">
        <f>'EQUITY BACKTEST'!E1442</f>
        <v/>
      </c>
    </row>
    <row r="1440" ht="15.75" customHeight="1">
      <c r="A1440" s="32" t="str">
        <f>'EQUITY BACKTEST'!A1443</f>
        <v/>
      </c>
      <c r="B1440" s="22" t="str">
        <f>'EQUITY BACKTEST'!B1443</f>
        <v/>
      </c>
      <c r="C1440" s="22" t="str">
        <f>'EQUITY BACKTEST'!E1443</f>
        <v/>
      </c>
    </row>
    <row r="1441" ht="15.75" customHeight="1">
      <c r="A1441" s="32" t="str">
        <f>'EQUITY BACKTEST'!A1444</f>
        <v/>
      </c>
      <c r="B1441" s="22" t="str">
        <f>'EQUITY BACKTEST'!B1444</f>
        <v/>
      </c>
      <c r="C1441" s="22" t="str">
        <f>'EQUITY BACKTEST'!E1444</f>
        <v/>
      </c>
    </row>
    <row r="1442" ht="15.75" customHeight="1">
      <c r="A1442" s="32" t="str">
        <f>'EQUITY BACKTEST'!A1445</f>
        <v/>
      </c>
      <c r="B1442" s="22" t="str">
        <f>'EQUITY BACKTEST'!B1445</f>
        <v/>
      </c>
      <c r="C1442" s="22" t="str">
        <f>'EQUITY BACKTEST'!E1445</f>
        <v/>
      </c>
    </row>
    <row r="1443" ht="15.75" customHeight="1">
      <c r="A1443" s="32" t="str">
        <f>'EQUITY BACKTEST'!A1446</f>
        <v/>
      </c>
      <c r="B1443" s="22" t="str">
        <f>'EQUITY BACKTEST'!B1446</f>
        <v/>
      </c>
      <c r="C1443" s="22" t="str">
        <f>'EQUITY BACKTEST'!E1446</f>
        <v/>
      </c>
    </row>
    <row r="1444" ht="15.75" customHeight="1">
      <c r="A1444" s="32" t="str">
        <f>'EQUITY BACKTEST'!A1447</f>
        <v/>
      </c>
      <c r="B1444" s="22" t="str">
        <f>'EQUITY BACKTEST'!B1447</f>
        <v/>
      </c>
      <c r="C1444" s="22" t="str">
        <f>'EQUITY BACKTEST'!E1447</f>
        <v/>
      </c>
    </row>
    <row r="1445" ht="15.75" customHeight="1">
      <c r="A1445" s="32" t="str">
        <f>'EQUITY BACKTEST'!A1448</f>
        <v/>
      </c>
      <c r="B1445" s="22" t="str">
        <f>'EQUITY BACKTEST'!B1448</f>
        <v/>
      </c>
      <c r="C1445" s="22" t="str">
        <f>'EQUITY BACKTEST'!E1448</f>
        <v/>
      </c>
    </row>
    <row r="1446" ht="15.75" customHeight="1">
      <c r="A1446" s="32" t="str">
        <f>'EQUITY BACKTEST'!A1449</f>
        <v/>
      </c>
      <c r="B1446" s="22" t="str">
        <f>'EQUITY BACKTEST'!B1449</f>
        <v/>
      </c>
      <c r="C1446" s="22" t="str">
        <f>'EQUITY BACKTEST'!E1449</f>
        <v/>
      </c>
    </row>
    <row r="1447" ht="15.75" customHeight="1">
      <c r="A1447" s="32" t="str">
        <f>'EQUITY BACKTEST'!A1450</f>
        <v/>
      </c>
      <c r="B1447" s="22" t="str">
        <f>'EQUITY BACKTEST'!B1450</f>
        <v/>
      </c>
      <c r="C1447" s="22" t="str">
        <f>'EQUITY BACKTEST'!E1450</f>
        <v/>
      </c>
    </row>
    <row r="1448" ht="15.75" customHeight="1">
      <c r="A1448" s="32" t="str">
        <f>'EQUITY BACKTEST'!A1451</f>
        <v/>
      </c>
      <c r="B1448" s="22" t="str">
        <f>'EQUITY BACKTEST'!B1451</f>
        <v/>
      </c>
      <c r="C1448" s="22" t="str">
        <f>'EQUITY BACKTEST'!E1451</f>
        <v/>
      </c>
    </row>
    <row r="1449" ht="15.75" customHeight="1">
      <c r="A1449" s="32" t="str">
        <f>'EQUITY BACKTEST'!A1452</f>
        <v/>
      </c>
      <c r="B1449" s="22" t="str">
        <f>'EQUITY BACKTEST'!B1452</f>
        <v/>
      </c>
      <c r="C1449" s="22" t="str">
        <f>'EQUITY BACKTEST'!E1452</f>
        <v/>
      </c>
    </row>
    <row r="1450" ht="15.75" customHeight="1">
      <c r="A1450" s="32" t="str">
        <f>'EQUITY BACKTEST'!A1453</f>
        <v/>
      </c>
      <c r="B1450" s="22" t="str">
        <f>'EQUITY BACKTEST'!B1453</f>
        <v/>
      </c>
      <c r="C1450" s="22" t="str">
        <f>'EQUITY BACKTEST'!E1453</f>
        <v/>
      </c>
    </row>
    <row r="1451" ht="15.75" customHeight="1">
      <c r="A1451" s="32" t="str">
        <f>'EQUITY BACKTEST'!A1454</f>
        <v/>
      </c>
      <c r="B1451" s="22" t="str">
        <f>'EQUITY BACKTEST'!B1454</f>
        <v/>
      </c>
      <c r="C1451" s="22" t="str">
        <f>'EQUITY BACKTEST'!E1454</f>
        <v/>
      </c>
    </row>
    <row r="1452" ht="15.75" customHeight="1">
      <c r="A1452" s="32" t="str">
        <f>'EQUITY BACKTEST'!A1455</f>
        <v/>
      </c>
      <c r="B1452" s="22" t="str">
        <f>'EQUITY BACKTEST'!B1455</f>
        <v/>
      </c>
      <c r="C1452" s="22" t="str">
        <f>'EQUITY BACKTEST'!E1455</f>
        <v/>
      </c>
    </row>
    <row r="1453" ht="15.75" customHeight="1">
      <c r="A1453" s="32" t="str">
        <f>'EQUITY BACKTEST'!A1456</f>
        <v/>
      </c>
      <c r="B1453" s="22" t="str">
        <f>'EQUITY BACKTEST'!B1456</f>
        <v/>
      </c>
      <c r="C1453" s="22" t="str">
        <f>'EQUITY BACKTEST'!E1456</f>
        <v/>
      </c>
    </row>
    <row r="1454" ht="15.75" customHeight="1">
      <c r="A1454" s="32" t="str">
        <f>'EQUITY BACKTEST'!A1457</f>
        <v/>
      </c>
      <c r="B1454" s="22" t="str">
        <f>'EQUITY BACKTEST'!B1457</f>
        <v/>
      </c>
      <c r="C1454" s="22" t="str">
        <f>'EQUITY BACKTEST'!E1457</f>
        <v/>
      </c>
    </row>
    <row r="1455" ht="15.75" customHeight="1">
      <c r="A1455" s="32" t="str">
        <f>'EQUITY BACKTEST'!A1458</f>
        <v/>
      </c>
      <c r="B1455" s="22" t="str">
        <f>'EQUITY BACKTEST'!B1458</f>
        <v/>
      </c>
      <c r="C1455" s="22" t="str">
        <f>'EQUITY BACKTEST'!E1458</f>
        <v/>
      </c>
    </row>
    <row r="1456" ht="15.75" customHeight="1">
      <c r="A1456" s="32" t="str">
        <f>'EQUITY BACKTEST'!A1459</f>
        <v/>
      </c>
      <c r="B1456" s="22" t="str">
        <f>'EQUITY BACKTEST'!B1459</f>
        <v/>
      </c>
      <c r="C1456" s="22" t="str">
        <f>'EQUITY BACKTEST'!E1459</f>
        <v/>
      </c>
    </row>
    <row r="1457" ht="15.75" customHeight="1">
      <c r="A1457" s="32" t="str">
        <f>'EQUITY BACKTEST'!A1460</f>
        <v/>
      </c>
      <c r="B1457" s="22" t="str">
        <f>'EQUITY BACKTEST'!B1460</f>
        <v/>
      </c>
      <c r="C1457" s="22" t="str">
        <f>'EQUITY BACKTEST'!E1460</f>
        <v/>
      </c>
    </row>
    <row r="1458" ht="15.75" customHeight="1">
      <c r="A1458" s="32" t="str">
        <f>'EQUITY BACKTEST'!A1461</f>
        <v/>
      </c>
      <c r="B1458" s="22" t="str">
        <f>'EQUITY BACKTEST'!B1461</f>
        <v/>
      </c>
      <c r="C1458" s="22" t="str">
        <f>'EQUITY BACKTEST'!E1461</f>
        <v/>
      </c>
    </row>
    <row r="1459" ht="15.75" customHeight="1">
      <c r="A1459" s="32" t="str">
        <f>'EQUITY BACKTEST'!A1462</f>
        <v/>
      </c>
      <c r="B1459" s="22" t="str">
        <f>'EQUITY BACKTEST'!B1462</f>
        <v/>
      </c>
      <c r="C1459" s="22" t="str">
        <f>'EQUITY BACKTEST'!E1462</f>
        <v/>
      </c>
    </row>
    <row r="1460" ht="15.75" customHeight="1">
      <c r="A1460" s="32" t="str">
        <f>'EQUITY BACKTEST'!A1463</f>
        <v/>
      </c>
      <c r="B1460" s="22" t="str">
        <f>'EQUITY BACKTEST'!B1463</f>
        <v/>
      </c>
      <c r="C1460" s="22" t="str">
        <f>'EQUITY BACKTEST'!E1463</f>
        <v/>
      </c>
    </row>
    <row r="1461" ht="15.75" customHeight="1">
      <c r="A1461" s="32" t="str">
        <f>'EQUITY BACKTEST'!A1464</f>
        <v/>
      </c>
      <c r="B1461" s="22" t="str">
        <f>'EQUITY BACKTEST'!B1464</f>
        <v/>
      </c>
      <c r="C1461" s="22" t="str">
        <f>'EQUITY BACKTEST'!E1464</f>
        <v/>
      </c>
    </row>
    <row r="1462" ht="15.75" customHeight="1">
      <c r="A1462" s="32" t="str">
        <f>'EQUITY BACKTEST'!A1465</f>
        <v/>
      </c>
      <c r="B1462" s="22" t="str">
        <f>'EQUITY BACKTEST'!B1465</f>
        <v/>
      </c>
      <c r="C1462" s="22" t="str">
        <f>'EQUITY BACKTEST'!E1465</f>
        <v/>
      </c>
    </row>
    <row r="1463" ht="15.75" customHeight="1">
      <c r="A1463" s="32" t="str">
        <f>'EQUITY BACKTEST'!A1466</f>
        <v/>
      </c>
      <c r="B1463" s="22" t="str">
        <f>'EQUITY BACKTEST'!B1466</f>
        <v/>
      </c>
      <c r="C1463" s="22" t="str">
        <f>'EQUITY BACKTEST'!E1466</f>
        <v/>
      </c>
    </row>
    <row r="1464" ht="15.75" customHeight="1">
      <c r="A1464" s="32" t="str">
        <f>'EQUITY BACKTEST'!A1467</f>
        <v/>
      </c>
      <c r="B1464" s="22" t="str">
        <f>'EQUITY BACKTEST'!B1467</f>
        <v/>
      </c>
      <c r="C1464" s="22" t="str">
        <f>'EQUITY BACKTEST'!E1467</f>
        <v/>
      </c>
    </row>
    <row r="1465" ht="15.75" customHeight="1">
      <c r="A1465" s="32" t="str">
        <f>'EQUITY BACKTEST'!A1468</f>
        <v/>
      </c>
      <c r="B1465" s="22" t="str">
        <f>'EQUITY BACKTEST'!B1468</f>
        <v/>
      </c>
      <c r="C1465" s="22" t="str">
        <f>'EQUITY BACKTEST'!E1468</f>
        <v/>
      </c>
    </row>
    <row r="1466" ht="15.75" customHeight="1">
      <c r="A1466" s="32" t="str">
        <f>'EQUITY BACKTEST'!A1469</f>
        <v/>
      </c>
      <c r="B1466" s="22" t="str">
        <f>'EQUITY BACKTEST'!B1469</f>
        <v/>
      </c>
      <c r="C1466" s="22" t="str">
        <f>'EQUITY BACKTEST'!E1469</f>
        <v/>
      </c>
    </row>
    <row r="1467" ht="15.75" customHeight="1">
      <c r="A1467" s="32" t="str">
        <f>'EQUITY BACKTEST'!A1470</f>
        <v/>
      </c>
      <c r="B1467" s="22" t="str">
        <f>'EQUITY BACKTEST'!B1470</f>
        <v/>
      </c>
      <c r="C1467" s="22" t="str">
        <f>'EQUITY BACKTEST'!E1470</f>
        <v/>
      </c>
    </row>
    <row r="1468" ht="15.75" customHeight="1">
      <c r="A1468" s="32" t="str">
        <f>'EQUITY BACKTEST'!A1471</f>
        <v/>
      </c>
      <c r="B1468" s="22" t="str">
        <f>'EQUITY BACKTEST'!B1471</f>
        <v/>
      </c>
      <c r="C1468" s="22" t="str">
        <f>'EQUITY BACKTEST'!E1471</f>
        <v/>
      </c>
    </row>
    <row r="1469" ht="15.75" customHeight="1">
      <c r="A1469" s="32" t="str">
        <f>'EQUITY BACKTEST'!A1472</f>
        <v/>
      </c>
      <c r="B1469" s="22" t="str">
        <f>'EQUITY BACKTEST'!B1472</f>
        <v/>
      </c>
      <c r="C1469" s="22" t="str">
        <f>'EQUITY BACKTEST'!E1472</f>
        <v/>
      </c>
    </row>
    <row r="1470" ht="15.75" customHeight="1">
      <c r="A1470" s="32" t="str">
        <f>'EQUITY BACKTEST'!A1473</f>
        <v/>
      </c>
      <c r="B1470" s="22" t="str">
        <f>'EQUITY BACKTEST'!B1473</f>
        <v/>
      </c>
      <c r="C1470" s="22" t="str">
        <f>'EQUITY BACKTEST'!E1473</f>
        <v/>
      </c>
    </row>
    <row r="1471" ht="15.75" customHeight="1">
      <c r="A1471" s="32" t="str">
        <f>'EQUITY BACKTEST'!A1474</f>
        <v/>
      </c>
      <c r="B1471" s="22" t="str">
        <f>'EQUITY BACKTEST'!B1474</f>
        <v/>
      </c>
      <c r="C1471" s="22" t="str">
        <f>'EQUITY BACKTEST'!E1474</f>
        <v/>
      </c>
    </row>
    <row r="1472" ht="15.75" customHeight="1">
      <c r="A1472" s="32" t="str">
        <f>'EQUITY BACKTEST'!A1475</f>
        <v/>
      </c>
      <c r="B1472" s="22" t="str">
        <f>'EQUITY BACKTEST'!B1475</f>
        <v/>
      </c>
      <c r="C1472" s="22" t="str">
        <f>'EQUITY BACKTEST'!E1475</f>
        <v/>
      </c>
    </row>
    <row r="1473" ht="15.75" customHeight="1">
      <c r="A1473" s="32" t="str">
        <f>'EQUITY BACKTEST'!A1476</f>
        <v/>
      </c>
      <c r="B1473" s="22" t="str">
        <f>'EQUITY BACKTEST'!B1476</f>
        <v/>
      </c>
      <c r="C1473" s="22" t="str">
        <f>'EQUITY BACKTEST'!E1476</f>
        <v/>
      </c>
    </row>
    <row r="1474" ht="15.75" customHeight="1">
      <c r="A1474" s="32" t="str">
        <f>'EQUITY BACKTEST'!A1477</f>
        <v/>
      </c>
      <c r="B1474" s="22" t="str">
        <f>'EQUITY BACKTEST'!B1477</f>
        <v/>
      </c>
      <c r="C1474" s="22" t="str">
        <f>'EQUITY BACKTEST'!E1477</f>
        <v/>
      </c>
    </row>
    <row r="1475" ht="15.75" customHeight="1">
      <c r="A1475" s="32" t="str">
        <f>'EQUITY BACKTEST'!A1478</f>
        <v/>
      </c>
      <c r="B1475" s="22" t="str">
        <f>'EQUITY BACKTEST'!B1478</f>
        <v/>
      </c>
      <c r="C1475" s="22" t="str">
        <f>'EQUITY BACKTEST'!E1478</f>
        <v/>
      </c>
    </row>
    <row r="1476" ht="15.75" customHeight="1">
      <c r="A1476" s="32" t="str">
        <f>'EQUITY BACKTEST'!A1479</f>
        <v/>
      </c>
      <c r="B1476" s="22" t="str">
        <f>'EQUITY BACKTEST'!B1479</f>
        <v/>
      </c>
      <c r="C1476" s="22" t="str">
        <f>'EQUITY BACKTEST'!E1479</f>
        <v/>
      </c>
    </row>
    <row r="1477" ht="15.75" customHeight="1">
      <c r="A1477" s="32" t="str">
        <f>'EQUITY BACKTEST'!A1480</f>
        <v/>
      </c>
      <c r="B1477" s="22" t="str">
        <f>'EQUITY BACKTEST'!B1480</f>
        <v/>
      </c>
      <c r="C1477" s="22" t="str">
        <f>'EQUITY BACKTEST'!E1480</f>
        <v/>
      </c>
    </row>
    <row r="1478" ht="15.75" customHeight="1">
      <c r="A1478" s="32" t="str">
        <f>'EQUITY BACKTEST'!A1481</f>
        <v/>
      </c>
      <c r="B1478" s="22" t="str">
        <f>'EQUITY BACKTEST'!B1481</f>
        <v/>
      </c>
      <c r="C1478" s="22" t="str">
        <f>'EQUITY BACKTEST'!E1481</f>
        <v/>
      </c>
    </row>
    <row r="1479" ht="15.75" customHeight="1">
      <c r="A1479" s="32" t="str">
        <f>'EQUITY BACKTEST'!A1482</f>
        <v/>
      </c>
      <c r="B1479" s="22" t="str">
        <f>'EQUITY BACKTEST'!B1482</f>
        <v/>
      </c>
      <c r="C1479" s="22" t="str">
        <f>'EQUITY BACKTEST'!E1482</f>
        <v/>
      </c>
    </row>
    <row r="1480" ht="15.75" customHeight="1">
      <c r="A1480" s="32" t="str">
        <f>'EQUITY BACKTEST'!A1483</f>
        <v/>
      </c>
      <c r="B1480" s="22" t="str">
        <f>'EQUITY BACKTEST'!B1483</f>
        <v/>
      </c>
      <c r="C1480" s="22" t="str">
        <f>'EQUITY BACKTEST'!E1483</f>
        <v/>
      </c>
    </row>
    <row r="1481" ht="15.75" customHeight="1">
      <c r="A1481" s="32" t="str">
        <f>'EQUITY BACKTEST'!A1484</f>
        <v/>
      </c>
      <c r="B1481" s="22" t="str">
        <f>'EQUITY BACKTEST'!B1484</f>
        <v/>
      </c>
      <c r="C1481" s="22" t="str">
        <f>'EQUITY BACKTEST'!E1484</f>
        <v/>
      </c>
    </row>
    <row r="1482" ht="15.75" customHeight="1">
      <c r="A1482" s="32" t="str">
        <f>'EQUITY BACKTEST'!A1485</f>
        <v/>
      </c>
      <c r="B1482" s="22" t="str">
        <f>'EQUITY BACKTEST'!B1485</f>
        <v/>
      </c>
      <c r="C1482" s="22" t="str">
        <f>'EQUITY BACKTEST'!E1485</f>
        <v/>
      </c>
    </row>
    <row r="1483" ht="15.75" customHeight="1">
      <c r="A1483" s="32" t="str">
        <f>'EQUITY BACKTEST'!A1486</f>
        <v/>
      </c>
      <c r="B1483" s="22" t="str">
        <f>'EQUITY BACKTEST'!B1486</f>
        <v/>
      </c>
      <c r="C1483" s="22" t="str">
        <f>'EQUITY BACKTEST'!E1486</f>
        <v/>
      </c>
    </row>
    <row r="1484" ht="15.75" customHeight="1">
      <c r="A1484" s="32" t="str">
        <f>'EQUITY BACKTEST'!A1487</f>
        <v/>
      </c>
      <c r="B1484" s="22" t="str">
        <f>'EQUITY BACKTEST'!B1487</f>
        <v/>
      </c>
      <c r="C1484" s="22" t="str">
        <f>'EQUITY BACKTEST'!E1487</f>
        <v/>
      </c>
    </row>
    <row r="1485" ht="15.75" customHeight="1">
      <c r="A1485" s="32" t="str">
        <f>'EQUITY BACKTEST'!A1488</f>
        <v/>
      </c>
      <c r="B1485" s="22" t="str">
        <f>'EQUITY BACKTEST'!B1488</f>
        <v/>
      </c>
      <c r="C1485" s="22" t="str">
        <f>'EQUITY BACKTEST'!E1488</f>
        <v/>
      </c>
    </row>
    <row r="1486" ht="15.75" customHeight="1">
      <c r="A1486" s="32" t="str">
        <f>'EQUITY BACKTEST'!A1489</f>
        <v/>
      </c>
      <c r="B1486" s="22" t="str">
        <f>'EQUITY BACKTEST'!B1489</f>
        <v/>
      </c>
      <c r="C1486" s="22" t="str">
        <f>'EQUITY BACKTEST'!E1489</f>
        <v/>
      </c>
    </row>
    <row r="1487" ht="15.75" customHeight="1">
      <c r="A1487" s="32" t="str">
        <f>'EQUITY BACKTEST'!A1490</f>
        <v/>
      </c>
      <c r="B1487" s="22" t="str">
        <f>'EQUITY BACKTEST'!B1490</f>
        <v/>
      </c>
      <c r="C1487" s="22" t="str">
        <f>'EQUITY BACKTEST'!E1490</f>
        <v/>
      </c>
    </row>
    <row r="1488" ht="15.75" customHeight="1">
      <c r="A1488" s="32" t="str">
        <f>'EQUITY BACKTEST'!A1491</f>
        <v/>
      </c>
      <c r="B1488" s="22" t="str">
        <f>'EQUITY BACKTEST'!B1491</f>
        <v/>
      </c>
      <c r="C1488" s="22" t="str">
        <f>'EQUITY BACKTEST'!E1491</f>
        <v/>
      </c>
    </row>
    <row r="1489" ht="15.75" customHeight="1">
      <c r="A1489" s="32" t="str">
        <f>'EQUITY BACKTEST'!A1492</f>
        <v/>
      </c>
      <c r="B1489" s="22" t="str">
        <f>'EQUITY BACKTEST'!B1492</f>
        <v/>
      </c>
      <c r="C1489" s="22" t="str">
        <f>'EQUITY BACKTEST'!E1492</f>
        <v/>
      </c>
    </row>
    <row r="1490" ht="15.75" customHeight="1">
      <c r="A1490" s="32" t="str">
        <f>'EQUITY BACKTEST'!A1493</f>
        <v/>
      </c>
      <c r="B1490" s="22" t="str">
        <f>'EQUITY BACKTEST'!B1493</f>
        <v/>
      </c>
      <c r="C1490" s="22" t="str">
        <f>'EQUITY BACKTEST'!E1493</f>
        <v/>
      </c>
    </row>
    <row r="1491" ht="15.75" customHeight="1">
      <c r="A1491" s="32" t="str">
        <f>'EQUITY BACKTEST'!A1494</f>
        <v/>
      </c>
      <c r="B1491" s="22" t="str">
        <f>'EQUITY BACKTEST'!B1494</f>
        <v/>
      </c>
      <c r="C1491" s="22" t="str">
        <f>'EQUITY BACKTEST'!E1494</f>
        <v/>
      </c>
    </row>
    <row r="1492" ht="15.75" customHeight="1">
      <c r="A1492" s="32" t="str">
        <f>'EQUITY BACKTEST'!A1495</f>
        <v/>
      </c>
      <c r="B1492" s="22" t="str">
        <f>'EQUITY BACKTEST'!B1495</f>
        <v/>
      </c>
      <c r="C1492" s="22" t="str">
        <f>'EQUITY BACKTEST'!E1495</f>
        <v/>
      </c>
    </row>
    <row r="1493" ht="15.75" customHeight="1">
      <c r="A1493" s="32" t="str">
        <f>'EQUITY BACKTEST'!A1496</f>
        <v/>
      </c>
      <c r="B1493" s="22" t="str">
        <f>'EQUITY BACKTEST'!B1496</f>
        <v/>
      </c>
      <c r="C1493" s="22" t="str">
        <f>'EQUITY BACKTEST'!E1496</f>
        <v/>
      </c>
    </row>
    <row r="1494" ht="15.75" customHeight="1">
      <c r="A1494" s="32" t="str">
        <f>'EQUITY BACKTEST'!A1497</f>
        <v/>
      </c>
      <c r="B1494" s="22" t="str">
        <f>'EQUITY BACKTEST'!B1497</f>
        <v/>
      </c>
      <c r="C1494" s="22" t="str">
        <f>'EQUITY BACKTEST'!E1497</f>
        <v/>
      </c>
    </row>
    <row r="1495" ht="15.75" customHeight="1">
      <c r="A1495" s="32" t="str">
        <f>'EQUITY BACKTEST'!A1498</f>
        <v/>
      </c>
      <c r="B1495" s="22" t="str">
        <f>'EQUITY BACKTEST'!B1498</f>
        <v/>
      </c>
      <c r="C1495" s="22" t="str">
        <f>'EQUITY BACKTEST'!E1498</f>
        <v/>
      </c>
    </row>
    <row r="1496" ht="15.75" customHeight="1">
      <c r="A1496" s="32" t="str">
        <f>'EQUITY BACKTEST'!A1499</f>
        <v/>
      </c>
      <c r="B1496" s="22" t="str">
        <f>'EQUITY BACKTEST'!B1499</f>
        <v/>
      </c>
      <c r="C1496" s="22" t="str">
        <f>'EQUITY BACKTEST'!E1499</f>
        <v/>
      </c>
    </row>
    <row r="1497" ht="15.75" customHeight="1">
      <c r="A1497" s="32" t="str">
        <f>'EQUITY BACKTEST'!A1500</f>
        <v/>
      </c>
      <c r="B1497" s="22" t="str">
        <f>'EQUITY BACKTEST'!B1500</f>
        <v/>
      </c>
      <c r="C1497" s="22" t="str">
        <f>'EQUITY BACKTEST'!E1500</f>
        <v/>
      </c>
    </row>
    <row r="1498" ht="15.75" customHeight="1">
      <c r="A1498" s="32" t="str">
        <f>'EQUITY BACKTEST'!A1501</f>
        <v/>
      </c>
      <c r="B1498" s="22" t="str">
        <f>'EQUITY BACKTEST'!B1501</f>
        <v/>
      </c>
      <c r="C1498" s="22" t="str">
        <f>'EQUITY BACKTEST'!E1501</f>
        <v/>
      </c>
    </row>
    <row r="1499" ht="15.75" customHeight="1">
      <c r="A1499" s="32" t="str">
        <f>'EQUITY BACKTEST'!A1502</f>
        <v/>
      </c>
      <c r="B1499" s="22" t="str">
        <f>'EQUITY BACKTEST'!B1502</f>
        <v/>
      </c>
      <c r="C1499" s="22" t="str">
        <f>'EQUITY BACKTEST'!E1502</f>
        <v/>
      </c>
    </row>
    <row r="1500" ht="15.75" customHeight="1">
      <c r="A1500" s="32" t="str">
        <f>'EQUITY BACKTEST'!A1503</f>
        <v/>
      </c>
      <c r="B1500" s="22" t="str">
        <f>'EQUITY BACKTEST'!B1503</f>
        <v/>
      </c>
      <c r="C1500" s="22" t="str">
        <f>'EQUITY BACKTEST'!E1503</f>
        <v/>
      </c>
    </row>
    <row r="1501" ht="15.75" customHeight="1">
      <c r="A1501" s="32" t="str">
        <f>'EQUITY BACKTEST'!A1504</f>
        <v/>
      </c>
      <c r="B1501" s="22" t="str">
        <f>'EQUITY BACKTEST'!B1504</f>
        <v/>
      </c>
      <c r="C1501" s="22" t="str">
        <f>'EQUITY BACKTEST'!E1504</f>
        <v/>
      </c>
    </row>
    <row r="1502" ht="15.75" customHeight="1">
      <c r="A1502" s="32" t="str">
        <f>'EQUITY BACKTEST'!A1505</f>
        <v/>
      </c>
      <c r="B1502" s="22" t="str">
        <f>'EQUITY BACKTEST'!B1505</f>
        <v/>
      </c>
      <c r="C1502" s="22" t="str">
        <f>'EQUITY BACKTEST'!E1505</f>
        <v/>
      </c>
    </row>
    <row r="1503" ht="15.75" customHeight="1">
      <c r="A1503" s="32" t="str">
        <f>'EQUITY BACKTEST'!A1506</f>
        <v/>
      </c>
      <c r="B1503" s="22" t="str">
        <f>'EQUITY BACKTEST'!B1506</f>
        <v/>
      </c>
      <c r="C1503" s="22" t="str">
        <f>'EQUITY BACKTEST'!E1506</f>
        <v/>
      </c>
    </row>
    <row r="1504" ht="15.75" customHeight="1">
      <c r="A1504" s="32" t="str">
        <f>'EQUITY BACKTEST'!A1507</f>
        <v/>
      </c>
      <c r="B1504" s="22" t="str">
        <f>'EQUITY BACKTEST'!B1507</f>
        <v/>
      </c>
      <c r="C1504" s="22" t="str">
        <f>'EQUITY BACKTEST'!E1507</f>
        <v/>
      </c>
    </row>
    <row r="1505" ht="15.75" customHeight="1">
      <c r="A1505" s="32" t="str">
        <f>'EQUITY BACKTEST'!A1508</f>
        <v/>
      </c>
      <c r="B1505" s="22" t="str">
        <f>'EQUITY BACKTEST'!B1508</f>
        <v/>
      </c>
      <c r="C1505" s="22" t="str">
        <f>'EQUITY BACKTEST'!E1508</f>
        <v/>
      </c>
    </row>
    <row r="1506" ht="15.75" customHeight="1">
      <c r="A1506" s="32" t="str">
        <f>'EQUITY BACKTEST'!A1509</f>
        <v/>
      </c>
      <c r="B1506" s="22" t="str">
        <f>'EQUITY BACKTEST'!B1509</f>
        <v/>
      </c>
      <c r="C1506" s="22" t="str">
        <f>'EQUITY BACKTEST'!E1509</f>
        <v/>
      </c>
    </row>
    <row r="1507" ht="15.75" customHeight="1">
      <c r="A1507" s="32" t="str">
        <f>'EQUITY BACKTEST'!A1510</f>
        <v/>
      </c>
      <c r="B1507" s="22" t="str">
        <f>'EQUITY BACKTEST'!B1510</f>
        <v/>
      </c>
      <c r="C1507" s="22" t="str">
        <f>'EQUITY BACKTEST'!E1510</f>
        <v/>
      </c>
    </row>
    <row r="1508" ht="15.75" customHeight="1">
      <c r="A1508" s="32" t="str">
        <f>'EQUITY BACKTEST'!A1511</f>
        <v/>
      </c>
      <c r="B1508" s="22" t="str">
        <f>'EQUITY BACKTEST'!B1511</f>
        <v/>
      </c>
      <c r="C1508" s="22" t="str">
        <f>'EQUITY BACKTEST'!E1511</f>
        <v/>
      </c>
    </row>
    <row r="1509" ht="15.75" customHeight="1">
      <c r="A1509" s="32" t="str">
        <f>'EQUITY BACKTEST'!A1512</f>
        <v/>
      </c>
      <c r="B1509" s="22" t="str">
        <f>'EQUITY BACKTEST'!B1512</f>
        <v/>
      </c>
      <c r="C1509" s="22" t="str">
        <f>'EQUITY BACKTEST'!E1512</f>
        <v/>
      </c>
    </row>
    <row r="1510" ht="15.75" customHeight="1">
      <c r="A1510" s="32" t="str">
        <f>'EQUITY BACKTEST'!A1513</f>
        <v/>
      </c>
      <c r="B1510" s="22" t="str">
        <f>'EQUITY BACKTEST'!B1513</f>
        <v/>
      </c>
      <c r="C1510" s="22" t="str">
        <f>'EQUITY BACKTEST'!E1513</f>
        <v/>
      </c>
    </row>
    <row r="1511" ht="15.75" customHeight="1">
      <c r="A1511" s="32" t="str">
        <f>'EQUITY BACKTEST'!A1514</f>
        <v/>
      </c>
      <c r="B1511" s="22" t="str">
        <f>'EQUITY BACKTEST'!B1514</f>
        <v/>
      </c>
      <c r="C1511" s="22" t="str">
        <f>'EQUITY BACKTEST'!E1514</f>
        <v/>
      </c>
    </row>
    <row r="1512" ht="15.75" customHeight="1">
      <c r="A1512" s="32" t="str">
        <f>'EQUITY BACKTEST'!A1515</f>
        <v/>
      </c>
      <c r="B1512" s="22" t="str">
        <f>'EQUITY BACKTEST'!B1515</f>
        <v/>
      </c>
      <c r="C1512" s="22" t="str">
        <f>'EQUITY BACKTEST'!E1515</f>
        <v/>
      </c>
    </row>
    <row r="1513" ht="15.75" customHeight="1">
      <c r="A1513" s="32" t="str">
        <f>'EQUITY BACKTEST'!A1516</f>
        <v/>
      </c>
      <c r="B1513" s="22" t="str">
        <f>'EQUITY BACKTEST'!B1516</f>
        <v/>
      </c>
      <c r="C1513" s="22" t="str">
        <f>'EQUITY BACKTEST'!E1516</f>
        <v/>
      </c>
    </row>
    <row r="1514" ht="15.75" customHeight="1">
      <c r="A1514" s="32" t="str">
        <f>'EQUITY BACKTEST'!A1517</f>
        <v/>
      </c>
      <c r="B1514" s="22" t="str">
        <f>'EQUITY BACKTEST'!B1517</f>
        <v/>
      </c>
      <c r="C1514" s="22" t="str">
        <f>'EQUITY BACKTEST'!E1517</f>
        <v/>
      </c>
    </row>
    <row r="1515" ht="15.75" customHeight="1">
      <c r="A1515" s="32" t="str">
        <f>'EQUITY BACKTEST'!A1518</f>
        <v/>
      </c>
      <c r="B1515" s="22" t="str">
        <f>'EQUITY BACKTEST'!B1518</f>
        <v/>
      </c>
      <c r="C1515" s="22" t="str">
        <f>'EQUITY BACKTEST'!E1518</f>
        <v/>
      </c>
    </row>
    <row r="1516" ht="15.75" customHeight="1">
      <c r="A1516" s="32" t="str">
        <f>'EQUITY BACKTEST'!A1519</f>
        <v/>
      </c>
      <c r="B1516" s="22" t="str">
        <f>'EQUITY BACKTEST'!B1519</f>
        <v/>
      </c>
      <c r="C1516" s="22" t="str">
        <f>'EQUITY BACKTEST'!E1519</f>
        <v/>
      </c>
    </row>
    <row r="1517" ht="15.75" customHeight="1">
      <c r="A1517" s="32" t="str">
        <f>'EQUITY BACKTEST'!A1520</f>
        <v/>
      </c>
      <c r="B1517" s="22" t="str">
        <f>'EQUITY BACKTEST'!B1520</f>
        <v/>
      </c>
      <c r="C1517" s="22" t="str">
        <f>'EQUITY BACKTEST'!E1520</f>
        <v/>
      </c>
    </row>
    <row r="1518" ht="15.75" customHeight="1">
      <c r="A1518" s="32" t="str">
        <f>'EQUITY BACKTEST'!A1521</f>
        <v/>
      </c>
      <c r="B1518" s="22" t="str">
        <f>'EQUITY BACKTEST'!B1521</f>
        <v/>
      </c>
      <c r="C1518" s="22" t="str">
        <f>'EQUITY BACKTEST'!E1521</f>
        <v/>
      </c>
    </row>
    <row r="1519" ht="15.75" customHeight="1">
      <c r="A1519" s="32" t="str">
        <f>'EQUITY BACKTEST'!A1522</f>
        <v/>
      </c>
      <c r="B1519" s="22" t="str">
        <f>'EQUITY BACKTEST'!B1522</f>
        <v/>
      </c>
      <c r="C1519" s="22" t="str">
        <f>'EQUITY BACKTEST'!E1522</f>
        <v/>
      </c>
    </row>
    <row r="1520" ht="15.75" customHeight="1">
      <c r="A1520" s="32" t="str">
        <f>'EQUITY BACKTEST'!A1523</f>
        <v/>
      </c>
      <c r="B1520" s="22" t="str">
        <f>'EQUITY BACKTEST'!B1523</f>
        <v/>
      </c>
      <c r="C1520" s="22" t="str">
        <f>'EQUITY BACKTEST'!E1523</f>
        <v/>
      </c>
    </row>
    <row r="1521" ht="15.75" customHeight="1">
      <c r="A1521" s="32" t="str">
        <f>'EQUITY BACKTEST'!A1524</f>
        <v/>
      </c>
      <c r="B1521" s="22" t="str">
        <f>'EQUITY BACKTEST'!B1524</f>
        <v/>
      </c>
      <c r="C1521" s="22" t="str">
        <f>'EQUITY BACKTEST'!E1524</f>
        <v/>
      </c>
    </row>
    <row r="1522" ht="15.75" customHeight="1">
      <c r="A1522" s="32" t="str">
        <f>'EQUITY BACKTEST'!A1525</f>
        <v/>
      </c>
      <c r="B1522" s="22" t="str">
        <f>'EQUITY BACKTEST'!B1525</f>
        <v/>
      </c>
      <c r="C1522" s="22" t="str">
        <f>'EQUITY BACKTEST'!E1525</f>
        <v/>
      </c>
    </row>
    <row r="1523" ht="15.75" customHeight="1">
      <c r="A1523" s="32" t="str">
        <f>'EQUITY BACKTEST'!A1526</f>
        <v/>
      </c>
      <c r="B1523" s="22" t="str">
        <f>'EQUITY BACKTEST'!B1526</f>
        <v/>
      </c>
      <c r="C1523" s="22" t="str">
        <f>'EQUITY BACKTEST'!E1526</f>
        <v/>
      </c>
    </row>
    <row r="1524" ht="15.75" customHeight="1">
      <c r="A1524" s="32" t="str">
        <f>'EQUITY BACKTEST'!A1527</f>
        <v/>
      </c>
      <c r="B1524" s="22" t="str">
        <f>'EQUITY BACKTEST'!B1527</f>
        <v/>
      </c>
      <c r="C1524" s="22" t="str">
        <f>'EQUITY BACKTEST'!E1527</f>
        <v/>
      </c>
    </row>
    <row r="1525" ht="15.75" customHeight="1">
      <c r="A1525" s="32" t="str">
        <f>'EQUITY BACKTEST'!A1528</f>
        <v/>
      </c>
      <c r="B1525" s="22" t="str">
        <f>'EQUITY BACKTEST'!B1528</f>
        <v/>
      </c>
      <c r="C1525" s="22" t="str">
        <f>'EQUITY BACKTEST'!E1528</f>
        <v/>
      </c>
    </row>
    <row r="1526" ht="15.75" customHeight="1">
      <c r="A1526" s="32" t="str">
        <f>'EQUITY BACKTEST'!A1529</f>
        <v/>
      </c>
      <c r="B1526" s="22" t="str">
        <f>'EQUITY BACKTEST'!B1529</f>
        <v/>
      </c>
      <c r="C1526" s="22" t="str">
        <f>'EQUITY BACKTEST'!E1529</f>
        <v/>
      </c>
    </row>
    <row r="1527" ht="15.75" customHeight="1">
      <c r="A1527" s="32" t="str">
        <f>'EQUITY BACKTEST'!A1530</f>
        <v/>
      </c>
      <c r="B1527" s="22" t="str">
        <f>'EQUITY BACKTEST'!B1530</f>
        <v/>
      </c>
      <c r="C1527" s="22" t="str">
        <f>'EQUITY BACKTEST'!E1530</f>
        <v/>
      </c>
    </row>
    <row r="1528" ht="15.75" customHeight="1">
      <c r="A1528" s="32" t="str">
        <f>'EQUITY BACKTEST'!A1531</f>
        <v/>
      </c>
      <c r="B1528" s="22" t="str">
        <f>'EQUITY BACKTEST'!B1531</f>
        <v/>
      </c>
      <c r="C1528" s="22" t="str">
        <f>'EQUITY BACKTEST'!E1531</f>
        <v/>
      </c>
    </row>
    <row r="1529" ht="15.75" customHeight="1">
      <c r="A1529" s="32" t="str">
        <f>'EQUITY BACKTEST'!A1532</f>
        <v/>
      </c>
      <c r="B1529" s="22" t="str">
        <f>'EQUITY BACKTEST'!B1532</f>
        <v/>
      </c>
      <c r="C1529" s="22" t="str">
        <f>'EQUITY BACKTEST'!E1532</f>
        <v/>
      </c>
    </row>
    <row r="1530" ht="15.75" customHeight="1">
      <c r="A1530" s="32" t="str">
        <f>'EQUITY BACKTEST'!A1533</f>
        <v/>
      </c>
      <c r="B1530" s="22" t="str">
        <f>'EQUITY BACKTEST'!B1533</f>
        <v/>
      </c>
      <c r="C1530" s="22" t="str">
        <f>'EQUITY BACKTEST'!E1533</f>
        <v/>
      </c>
    </row>
    <row r="1531" ht="15.75" customHeight="1">
      <c r="A1531" s="32" t="str">
        <f>'EQUITY BACKTEST'!A1534</f>
        <v/>
      </c>
      <c r="B1531" s="22" t="str">
        <f>'EQUITY BACKTEST'!B1534</f>
        <v/>
      </c>
      <c r="C1531" s="22" t="str">
        <f>'EQUITY BACKTEST'!E1534</f>
        <v/>
      </c>
    </row>
    <row r="1532" ht="15.75" customHeight="1">
      <c r="A1532" s="32" t="str">
        <f>'EQUITY BACKTEST'!A1535</f>
        <v/>
      </c>
      <c r="B1532" s="22" t="str">
        <f>'EQUITY BACKTEST'!B1535</f>
        <v/>
      </c>
      <c r="C1532" s="22" t="str">
        <f>'EQUITY BACKTEST'!E1535</f>
        <v/>
      </c>
    </row>
    <row r="1533" ht="15.75" customHeight="1">
      <c r="A1533" s="32" t="str">
        <f>'EQUITY BACKTEST'!A1536</f>
        <v/>
      </c>
      <c r="B1533" s="22" t="str">
        <f>'EQUITY BACKTEST'!B1536</f>
        <v/>
      </c>
      <c r="C1533" s="22" t="str">
        <f>'EQUITY BACKTEST'!E1536</f>
        <v/>
      </c>
    </row>
    <row r="1534" ht="15.75" customHeight="1">
      <c r="A1534" s="32" t="str">
        <f>'EQUITY BACKTEST'!A1537</f>
        <v/>
      </c>
      <c r="B1534" s="22" t="str">
        <f>'EQUITY BACKTEST'!B1537</f>
        <v/>
      </c>
      <c r="C1534" s="22" t="str">
        <f>'EQUITY BACKTEST'!E1537</f>
        <v/>
      </c>
    </row>
    <row r="1535" ht="15.75" customHeight="1">
      <c r="A1535" s="32" t="str">
        <f>'EQUITY BACKTEST'!A1538</f>
        <v/>
      </c>
      <c r="B1535" s="22" t="str">
        <f>'EQUITY BACKTEST'!B1538</f>
        <v/>
      </c>
      <c r="C1535" s="22" t="str">
        <f>'EQUITY BACKTEST'!E1538</f>
        <v/>
      </c>
    </row>
    <row r="1536" ht="15.75" customHeight="1">
      <c r="A1536" s="32" t="str">
        <f>'EQUITY BACKTEST'!A1539</f>
        <v/>
      </c>
      <c r="B1536" s="22" t="str">
        <f>'EQUITY BACKTEST'!B1539</f>
        <v/>
      </c>
      <c r="C1536" s="22" t="str">
        <f>'EQUITY BACKTEST'!E1539</f>
        <v/>
      </c>
    </row>
    <row r="1537" ht="15.75" customHeight="1">
      <c r="A1537" s="32" t="str">
        <f>'EQUITY BACKTEST'!A1540</f>
        <v/>
      </c>
      <c r="B1537" s="22" t="str">
        <f>'EQUITY BACKTEST'!B1540</f>
        <v/>
      </c>
      <c r="C1537" s="22" t="str">
        <f>'EQUITY BACKTEST'!E1540</f>
        <v/>
      </c>
    </row>
    <row r="1538" ht="15.75" customHeight="1">
      <c r="A1538" s="32" t="str">
        <f>'EQUITY BACKTEST'!A1541</f>
        <v/>
      </c>
      <c r="B1538" s="22" t="str">
        <f>'EQUITY BACKTEST'!B1541</f>
        <v/>
      </c>
      <c r="C1538" s="22" t="str">
        <f>'EQUITY BACKTEST'!E1541</f>
        <v/>
      </c>
    </row>
    <row r="1539" ht="15.75" customHeight="1">
      <c r="A1539" s="32" t="str">
        <f>'EQUITY BACKTEST'!A1542</f>
        <v/>
      </c>
      <c r="B1539" s="22" t="str">
        <f>'EQUITY BACKTEST'!B1542</f>
        <v/>
      </c>
      <c r="C1539" s="22" t="str">
        <f>'EQUITY BACKTEST'!E1542</f>
        <v/>
      </c>
    </row>
    <row r="1540" ht="15.75" customHeight="1">
      <c r="A1540" s="32" t="str">
        <f>'EQUITY BACKTEST'!A1543</f>
        <v/>
      </c>
      <c r="B1540" s="22" t="str">
        <f>'EQUITY BACKTEST'!B1543</f>
        <v/>
      </c>
      <c r="C1540" s="22" t="str">
        <f>'EQUITY BACKTEST'!E1543</f>
        <v/>
      </c>
    </row>
    <row r="1541" ht="15.75" customHeight="1">
      <c r="A1541" s="32" t="str">
        <f>'EQUITY BACKTEST'!A1544</f>
        <v/>
      </c>
      <c r="B1541" s="22" t="str">
        <f>'EQUITY BACKTEST'!B1544</f>
        <v/>
      </c>
      <c r="C1541" s="22" t="str">
        <f>'EQUITY BACKTEST'!E1544</f>
        <v/>
      </c>
    </row>
    <row r="1542" ht="15.75" customHeight="1">
      <c r="A1542" s="32" t="str">
        <f>'EQUITY BACKTEST'!A1545</f>
        <v/>
      </c>
      <c r="B1542" s="22" t="str">
        <f>'EQUITY BACKTEST'!B1545</f>
        <v/>
      </c>
      <c r="C1542" s="22" t="str">
        <f>'EQUITY BACKTEST'!E1545</f>
        <v/>
      </c>
    </row>
    <row r="1543" ht="15.75" customHeight="1">
      <c r="A1543" s="32" t="str">
        <f>'EQUITY BACKTEST'!A1546</f>
        <v/>
      </c>
      <c r="B1543" s="22" t="str">
        <f>'EQUITY BACKTEST'!B1546</f>
        <v/>
      </c>
      <c r="C1543" s="22" t="str">
        <f>'EQUITY BACKTEST'!E1546</f>
        <v/>
      </c>
    </row>
    <row r="1544" ht="15.75" customHeight="1">
      <c r="A1544" s="32" t="str">
        <f>'EQUITY BACKTEST'!A1547</f>
        <v/>
      </c>
      <c r="B1544" s="22" t="str">
        <f>'EQUITY BACKTEST'!B1547</f>
        <v/>
      </c>
      <c r="C1544" s="22" t="str">
        <f>'EQUITY BACKTEST'!E1547</f>
        <v/>
      </c>
    </row>
    <row r="1545" ht="15.75" customHeight="1">
      <c r="A1545" s="32" t="str">
        <f>'EQUITY BACKTEST'!A1548</f>
        <v/>
      </c>
      <c r="B1545" s="22" t="str">
        <f>'EQUITY BACKTEST'!B1548</f>
        <v/>
      </c>
      <c r="C1545" s="22" t="str">
        <f>'EQUITY BACKTEST'!E1548</f>
        <v/>
      </c>
    </row>
    <row r="1546" ht="15.75" customHeight="1">
      <c r="A1546" s="32" t="str">
        <f>'EQUITY BACKTEST'!A1549</f>
        <v/>
      </c>
      <c r="B1546" s="22" t="str">
        <f>'EQUITY BACKTEST'!B1549</f>
        <v/>
      </c>
      <c r="C1546" s="22" t="str">
        <f>'EQUITY BACKTEST'!E1549</f>
        <v/>
      </c>
    </row>
    <row r="1547" ht="15.75" customHeight="1">
      <c r="A1547" s="32" t="str">
        <f>'EQUITY BACKTEST'!A1550</f>
        <v/>
      </c>
      <c r="B1547" s="22" t="str">
        <f>'EQUITY BACKTEST'!B1550</f>
        <v/>
      </c>
      <c r="C1547" s="22" t="str">
        <f>'EQUITY BACKTEST'!E1550</f>
        <v/>
      </c>
    </row>
    <row r="1548" ht="15.75" customHeight="1">
      <c r="A1548" s="32" t="str">
        <f>'EQUITY BACKTEST'!A1551</f>
        <v/>
      </c>
      <c r="B1548" s="22" t="str">
        <f>'EQUITY BACKTEST'!B1551</f>
        <v/>
      </c>
      <c r="C1548" s="22" t="str">
        <f>'EQUITY BACKTEST'!E1551</f>
        <v/>
      </c>
    </row>
    <row r="1549" ht="15.75" customHeight="1">
      <c r="A1549" s="32" t="str">
        <f>'EQUITY BACKTEST'!A1552</f>
        <v/>
      </c>
      <c r="B1549" s="22" t="str">
        <f>'EQUITY BACKTEST'!B1552</f>
        <v/>
      </c>
      <c r="C1549" s="22" t="str">
        <f>'EQUITY BACKTEST'!E1552</f>
        <v/>
      </c>
    </row>
    <row r="1550" ht="15.75" customHeight="1">
      <c r="A1550" s="32" t="str">
        <f>'EQUITY BACKTEST'!A1553</f>
        <v/>
      </c>
      <c r="B1550" s="22" t="str">
        <f>'EQUITY BACKTEST'!B1553</f>
        <v/>
      </c>
      <c r="C1550" s="22" t="str">
        <f>'EQUITY BACKTEST'!E1553</f>
        <v/>
      </c>
    </row>
    <row r="1551" ht="15.75" customHeight="1">
      <c r="A1551" s="32" t="str">
        <f>'EQUITY BACKTEST'!A1554</f>
        <v/>
      </c>
      <c r="B1551" s="22" t="str">
        <f>'EQUITY BACKTEST'!B1554</f>
        <v/>
      </c>
      <c r="C1551" s="22" t="str">
        <f>'EQUITY BACKTEST'!E1554</f>
        <v/>
      </c>
    </row>
    <row r="1552" ht="15.75" customHeight="1">
      <c r="A1552" s="32" t="str">
        <f>'EQUITY BACKTEST'!A1555</f>
        <v/>
      </c>
      <c r="B1552" s="22" t="str">
        <f>'EQUITY BACKTEST'!B1555</f>
        <v/>
      </c>
      <c r="C1552" s="22" t="str">
        <f>'EQUITY BACKTEST'!E1555</f>
        <v/>
      </c>
    </row>
    <row r="1553" ht="15.75" customHeight="1">
      <c r="A1553" s="32" t="str">
        <f>'EQUITY BACKTEST'!A1556</f>
        <v/>
      </c>
      <c r="B1553" s="22" t="str">
        <f>'EQUITY BACKTEST'!B1556</f>
        <v/>
      </c>
      <c r="C1553" s="22" t="str">
        <f>'EQUITY BACKTEST'!E1556</f>
        <v/>
      </c>
    </row>
    <row r="1554" ht="15.75" customHeight="1">
      <c r="A1554" s="32" t="str">
        <f>'EQUITY BACKTEST'!A1557</f>
        <v/>
      </c>
      <c r="B1554" s="22" t="str">
        <f>'EQUITY BACKTEST'!B1557</f>
        <v/>
      </c>
      <c r="C1554" s="22" t="str">
        <f>'EQUITY BACKTEST'!E1557</f>
        <v/>
      </c>
    </row>
    <row r="1555" ht="15.75" customHeight="1">
      <c r="A1555" s="32" t="str">
        <f>'EQUITY BACKTEST'!A1558</f>
        <v/>
      </c>
      <c r="B1555" s="22" t="str">
        <f>'EQUITY BACKTEST'!B1558</f>
        <v/>
      </c>
      <c r="C1555" s="22" t="str">
        <f>'EQUITY BACKTEST'!E1558</f>
        <v/>
      </c>
    </row>
    <row r="1556" ht="15.75" customHeight="1">
      <c r="A1556" s="32" t="str">
        <f>'EQUITY BACKTEST'!A1559</f>
        <v/>
      </c>
      <c r="B1556" s="22" t="str">
        <f>'EQUITY BACKTEST'!B1559</f>
        <v/>
      </c>
      <c r="C1556" s="22" t="str">
        <f>'EQUITY BACKTEST'!E1559</f>
        <v/>
      </c>
    </row>
    <row r="1557" ht="15.75" customHeight="1">
      <c r="A1557" s="32" t="str">
        <f>'EQUITY BACKTEST'!A1560</f>
        <v/>
      </c>
      <c r="B1557" s="22" t="str">
        <f>'EQUITY BACKTEST'!B1560</f>
        <v/>
      </c>
      <c r="C1557" s="22" t="str">
        <f>'EQUITY BACKTEST'!E1560</f>
        <v/>
      </c>
    </row>
    <row r="1558" ht="15.75" customHeight="1">
      <c r="A1558" s="32" t="str">
        <f>'EQUITY BACKTEST'!A1561</f>
        <v/>
      </c>
      <c r="B1558" s="22" t="str">
        <f>'EQUITY BACKTEST'!B1561</f>
        <v/>
      </c>
      <c r="C1558" s="22" t="str">
        <f>'EQUITY BACKTEST'!E1561</f>
        <v/>
      </c>
    </row>
    <row r="1559" ht="15.75" customHeight="1">
      <c r="A1559" s="32" t="str">
        <f>'EQUITY BACKTEST'!A1562</f>
        <v/>
      </c>
      <c r="B1559" s="22" t="str">
        <f>'EQUITY BACKTEST'!B1562</f>
        <v/>
      </c>
      <c r="C1559" s="22" t="str">
        <f>'EQUITY BACKTEST'!E1562</f>
        <v/>
      </c>
    </row>
    <row r="1560" ht="15.75" customHeight="1">
      <c r="A1560" s="32" t="str">
        <f>'EQUITY BACKTEST'!A1563</f>
        <v/>
      </c>
      <c r="B1560" s="22" t="str">
        <f>'EQUITY BACKTEST'!B1563</f>
        <v/>
      </c>
      <c r="C1560" s="22" t="str">
        <f>'EQUITY BACKTEST'!E1563</f>
        <v/>
      </c>
    </row>
    <row r="1561" ht="15.75" customHeight="1">
      <c r="A1561" s="32" t="str">
        <f>'EQUITY BACKTEST'!A1564</f>
        <v/>
      </c>
      <c r="B1561" s="22" t="str">
        <f>'EQUITY BACKTEST'!B1564</f>
        <v/>
      </c>
      <c r="C1561" s="22" t="str">
        <f>'EQUITY BACKTEST'!E1564</f>
        <v/>
      </c>
    </row>
    <row r="1562" ht="15.75" customHeight="1">
      <c r="A1562" s="32" t="str">
        <f>'EQUITY BACKTEST'!A1565</f>
        <v/>
      </c>
      <c r="B1562" s="22" t="str">
        <f>'EQUITY BACKTEST'!B1565</f>
        <v/>
      </c>
      <c r="C1562" s="22" t="str">
        <f>'EQUITY BACKTEST'!E1565</f>
        <v/>
      </c>
    </row>
    <row r="1563" ht="15.75" customHeight="1">
      <c r="A1563" s="32" t="str">
        <f>'EQUITY BACKTEST'!A1566</f>
        <v/>
      </c>
      <c r="B1563" s="22" t="str">
        <f>'EQUITY BACKTEST'!B1566</f>
        <v/>
      </c>
      <c r="C1563" s="22" t="str">
        <f>'EQUITY BACKTEST'!E1566</f>
        <v/>
      </c>
    </row>
    <row r="1564" ht="15.75" customHeight="1">
      <c r="A1564" s="32" t="str">
        <f>'EQUITY BACKTEST'!A1567</f>
        <v/>
      </c>
      <c r="B1564" s="22" t="str">
        <f>'EQUITY BACKTEST'!B1567</f>
        <v/>
      </c>
      <c r="C1564" s="22" t="str">
        <f>'EQUITY BACKTEST'!E1567</f>
        <v/>
      </c>
    </row>
    <row r="1565" ht="15.75" customHeight="1">
      <c r="A1565" s="32" t="str">
        <f>'EQUITY BACKTEST'!A1568</f>
        <v/>
      </c>
      <c r="B1565" s="22" t="str">
        <f>'EQUITY BACKTEST'!B1568</f>
        <v/>
      </c>
      <c r="C1565" s="22" t="str">
        <f>'EQUITY BACKTEST'!E1568</f>
        <v/>
      </c>
    </row>
    <row r="1566" ht="15.75" customHeight="1">
      <c r="A1566" s="32" t="str">
        <f>'EQUITY BACKTEST'!A1569</f>
        <v/>
      </c>
      <c r="B1566" s="22" t="str">
        <f>'EQUITY BACKTEST'!B1569</f>
        <v/>
      </c>
      <c r="C1566" s="22" t="str">
        <f>'EQUITY BACKTEST'!E1569</f>
        <v/>
      </c>
    </row>
    <row r="1567" ht="15.75" customHeight="1">
      <c r="A1567" s="32" t="str">
        <f>'EQUITY BACKTEST'!A1570</f>
        <v/>
      </c>
      <c r="B1567" s="22" t="str">
        <f>'EQUITY BACKTEST'!B1570</f>
        <v/>
      </c>
      <c r="C1567" s="22" t="str">
        <f>'EQUITY BACKTEST'!E1570</f>
        <v/>
      </c>
    </row>
    <row r="1568" ht="15.75" customHeight="1">
      <c r="A1568" s="32" t="str">
        <f>'EQUITY BACKTEST'!A1571</f>
        <v/>
      </c>
      <c r="B1568" s="22" t="str">
        <f>'EQUITY BACKTEST'!B1571</f>
        <v/>
      </c>
      <c r="C1568" s="22" t="str">
        <f>'EQUITY BACKTEST'!E1571</f>
        <v/>
      </c>
    </row>
    <row r="1569" ht="15.75" customHeight="1">
      <c r="A1569" s="32" t="str">
        <f>'EQUITY BACKTEST'!A1572</f>
        <v/>
      </c>
      <c r="B1569" s="22" t="str">
        <f>'EQUITY BACKTEST'!B1572</f>
        <v/>
      </c>
      <c r="C1569" s="22" t="str">
        <f>'EQUITY BACKTEST'!E1572</f>
        <v/>
      </c>
    </row>
    <row r="1570" ht="15.75" customHeight="1">
      <c r="A1570" s="32" t="str">
        <f>'EQUITY BACKTEST'!A1573</f>
        <v/>
      </c>
      <c r="B1570" s="22" t="str">
        <f>'EQUITY BACKTEST'!B1573</f>
        <v/>
      </c>
      <c r="C1570" s="22" t="str">
        <f>'EQUITY BACKTEST'!E1573</f>
        <v/>
      </c>
    </row>
    <row r="1571" ht="15.75" customHeight="1">
      <c r="A1571" s="32" t="str">
        <f>'EQUITY BACKTEST'!A1574</f>
        <v/>
      </c>
      <c r="B1571" s="22" t="str">
        <f>'EQUITY BACKTEST'!B1574</f>
        <v/>
      </c>
      <c r="C1571" s="22" t="str">
        <f>'EQUITY BACKTEST'!E1574</f>
        <v/>
      </c>
    </row>
    <row r="1572" ht="15.75" customHeight="1">
      <c r="A1572" s="32" t="str">
        <f>'EQUITY BACKTEST'!A1575</f>
        <v/>
      </c>
      <c r="B1572" s="22" t="str">
        <f>'EQUITY BACKTEST'!B1575</f>
        <v/>
      </c>
      <c r="C1572" s="22" t="str">
        <f>'EQUITY BACKTEST'!E1575</f>
        <v/>
      </c>
    </row>
    <row r="1573" ht="15.75" customHeight="1">
      <c r="A1573" s="32" t="str">
        <f>'EQUITY BACKTEST'!A1576</f>
        <v/>
      </c>
      <c r="B1573" s="22" t="str">
        <f>'EQUITY BACKTEST'!B1576</f>
        <v/>
      </c>
      <c r="C1573" s="22" t="str">
        <f>'EQUITY BACKTEST'!E1576</f>
        <v/>
      </c>
    </row>
    <row r="1574" ht="15.75" customHeight="1">
      <c r="A1574" s="32" t="str">
        <f>'EQUITY BACKTEST'!A1577</f>
        <v/>
      </c>
      <c r="B1574" s="22" t="str">
        <f>'EQUITY BACKTEST'!B1577</f>
        <v/>
      </c>
      <c r="C1574" s="22" t="str">
        <f>'EQUITY BACKTEST'!E1577</f>
        <v/>
      </c>
    </row>
    <row r="1575" ht="15.75" customHeight="1">
      <c r="A1575" s="32" t="str">
        <f>'EQUITY BACKTEST'!A1578</f>
        <v/>
      </c>
      <c r="B1575" s="22" t="str">
        <f>'EQUITY BACKTEST'!B1578</f>
        <v/>
      </c>
      <c r="C1575" s="22" t="str">
        <f>'EQUITY BACKTEST'!E1578</f>
        <v/>
      </c>
    </row>
    <row r="1576" ht="15.75" customHeight="1">
      <c r="A1576" s="32" t="str">
        <f>'EQUITY BACKTEST'!A1579</f>
        <v/>
      </c>
      <c r="B1576" s="22" t="str">
        <f>'EQUITY BACKTEST'!B1579</f>
        <v/>
      </c>
      <c r="C1576" s="22" t="str">
        <f>'EQUITY BACKTEST'!E1579</f>
        <v/>
      </c>
    </row>
    <row r="1577" ht="15.75" customHeight="1">
      <c r="A1577" s="32" t="str">
        <f>'EQUITY BACKTEST'!A1580</f>
        <v/>
      </c>
      <c r="B1577" s="22" t="str">
        <f>'EQUITY BACKTEST'!B1580</f>
        <v/>
      </c>
      <c r="C1577" s="22" t="str">
        <f>'EQUITY BACKTEST'!E1580</f>
        <v/>
      </c>
    </row>
    <row r="1578" ht="15.75" customHeight="1">
      <c r="A1578" s="32" t="str">
        <f>'EQUITY BACKTEST'!A1581</f>
        <v/>
      </c>
      <c r="B1578" s="22" t="str">
        <f>'EQUITY BACKTEST'!B1581</f>
        <v/>
      </c>
      <c r="C1578" s="22" t="str">
        <f>'EQUITY BACKTEST'!E1581</f>
        <v/>
      </c>
    </row>
    <row r="1579" ht="15.75" customHeight="1">
      <c r="A1579" s="32" t="str">
        <f>'EQUITY BACKTEST'!A1582</f>
        <v/>
      </c>
      <c r="B1579" s="22" t="str">
        <f>'EQUITY BACKTEST'!B1582</f>
        <v/>
      </c>
      <c r="C1579" s="22" t="str">
        <f>'EQUITY BACKTEST'!E1582</f>
        <v/>
      </c>
    </row>
    <row r="1580" ht="15.75" customHeight="1">
      <c r="A1580" s="32" t="str">
        <f>'EQUITY BACKTEST'!A1583</f>
        <v/>
      </c>
      <c r="B1580" s="22" t="str">
        <f>'EQUITY BACKTEST'!B1583</f>
        <v/>
      </c>
      <c r="C1580" s="22" t="str">
        <f>'EQUITY BACKTEST'!E1583</f>
        <v/>
      </c>
    </row>
    <row r="1581" ht="15.75" customHeight="1">
      <c r="A1581" s="32" t="str">
        <f>'EQUITY BACKTEST'!A1584</f>
        <v/>
      </c>
      <c r="B1581" s="22" t="str">
        <f>'EQUITY BACKTEST'!B1584</f>
        <v/>
      </c>
      <c r="C1581" s="22" t="str">
        <f>'EQUITY BACKTEST'!E1584</f>
        <v/>
      </c>
    </row>
    <row r="1582" ht="15.75" customHeight="1">
      <c r="A1582" s="32" t="str">
        <f>'EQUITY BACKTEST'!A1585</f>
        <v/>
      </c>
      <c r="B1582" s="22" t="str">
        <f>'EQUITY BACKTEST'!B1585</f>
        <v/>
      </c>
      <c r="C1582" s="22" t="str">
        <f>'EQUITY BACKTEST'!E1585</f>
        <v/>
      </c>
    </row>
    <row r="1583" ht="15.75" customHeight="1">
      <c r="A1583" s="32" t="str">
        <f>'EQUITY BACKTEST'!A1586</f>
        <v/>
      </c>
      <c r="B1583" s="22" t="str">
        <f>'EQUITY BACKTEST'!B1586</f>
        <v/>
      </c>
      <c r="C1583" s="22" t="str">
        <f>'EQUITY BACKTEST'!E1586</f>
        <v/>
      </c>
    </row>
    <row r="1584" ht="15.75" customHeight="1">
      <c r="A1584" s="32" t="str">
        <f>'EQUITY BACKTEST'!A1587</f>
        <v/>
      </c>
      <c r="B1584" s="22" t="str">
        <f>'EQUITY BACKTEST'!B1587</f>
        <v/>
      </c>
      <c r="C1584" s="22" t="str">
        <f>'EQUITY BACKTEST'!E1587</f>
        <v/>
      </c>
    </row>
    <row r="1585" ht="15.75" customHeight="1">
      <c r="A1585" s="32" t="str">
        <f>'EQUITY BACKTEST'!A1588</f>
        <v/>
      </c>
      <c r="B1585" s="22" t="str">
        <f>'EQUITY BACKTEST'!B1588</f>
        <v/>
      </c>
      <c r="C1585" s="22" t="str">
        <f>'EQUITY BACKTEST'!E1588</f>
        <v/>
      </c>
    </row>
    <row r="1586" ht="15.75" customHeight="1">
      <c r="A1586" s="32" t="str">
        <f>'EQUITY BACKTEST'!A1589</f>
        <v/>
      </c>
      <c r="B1586" s="22" t="str">
        <f>'EQUITY BACKTEST'!B1589</f>
        <v/>
      </c>
      <c r="C1586" s="22" t="str">
        <f>'EQUITY BACKTEST'!E1589</f>
        <v/>
      </c>
    </row>
    <row r="1587" ht="15.75" customHeight="1">
      <c r="A1587" s="32" t="str">
        <f>'EQUITY BACKTEST'!A1590</f>
        <v/>
      </c>
      <c r="B1587" s="22" t="str">
        <f>'EQUITY BACKTEST'!B1590</f>
        <v/>
      </c>
      <c r="C1587" s="22" t="str">
        <f>'EQUITY BACKTEST'!E1590</f>
        <v/>
      </c>
    </row>
    <row r="1588" ht="15.75" customHeight="1">
      <c r="A1588" s="32" t="str">
        <f>'EQUITY BACKTEST'!A1591</f>
        <v/>
      </c>
      <c r="B1588" s="22" t="str">
        <f>'EQUITY BACKTEST'!B1591</f>
        <v/>
      </c>
      <c r="C1588" s="22" t="str">
        <f>'EQUITY BACKTEST'!E1591</f>
        <v/>
      </c>
    </row>
    <row r="1589" ht="15.75" customHeight="1">
      <c r="A1589" s="32" t="str">
        <f>'EQUITY BACKTEST'!A1592</f>
        <v/>
      </c>
      <c r="B1589" s="22" t="str">
        <f>'EQUITY BACKTEST'!B1592</f>
        <v/>
      </c>
      <c r="C1589" s="22" t="str">
        <f>'EQUITY BACKTEST'!E1592</f>
        <v/>
      </c>
    </row>
    <row r="1590" ht="15.75" customHeight="1">
      <c r="A1590" s="32" t="str">
        <f>'EQUITY BACKTEST'!A1593</f>
        <v/>
      </c>
      <c r="B1590" s="22" t="str">
        <f>'EQUITY BACKTEST'!B1593</f>
        <v/>
      </c>
      <c r="C1590" s="22" t="str">
        <f>'EQUITY BACKTEST'!E1593</f>
        <v/>
      </c>
    </row>
    <row r="1591" ht="15.75" customHeight="1">
      <c r="A1591" s="32" t="str">
        <f>'EQUITY BACKTEST'!A1594</f>
        <v/>
      </c>
      <c r="B1591" s="22" t="str">
        <f>'EQUITY BACKTEST'!B1594</f>
        <v/>
      </c>
      <c r="C1591" s="22" t="str">
        <f>'EQUITY BACKTEST'!E1594</f>
        <v/>
      </c>
    </row>
    <row r="1592" ht="15.75" customHeight="1">
      <c r="A1592" s="32" t="str">
        <f>'EQUITY BACKTEST'!A1595</f>
        <v/>
      </c>
      <c r="B1592" s="22" t="str">
        <f>'EQUITY BACKTEST'!B1595</f>
        <v/>
      </c>
      <c r="C1592" s="22" t="str">
        <f>'EQUITY BACKTEST'!E1595</f>
        <v/>
      </c>
    </row>
    <row r="1593" ht="15.75" customHeight="1">
      <c r="A1593" s="32" t="str">
        <f>'EQUITY BACKTEST'!A1596</f>
        <v/>
      </c>
      <c r="B1593" s="22" t="str">
        <f>'EQUITY BACKTEST'!B1596</f>
        <v/>
      </c>
      <c r="C1593" s="22" t="str">
        <f>'EQUITY BACKTEST'!E1596</f>
        <v/>
      </c>
    </row>
    <row r="1594" ht="15.75" customHeight="1">
      <c r="A1594" s="32" t="str">
        <f>'EQUITY BACKTEST'!A1597</f>
        <v/>
      </c>
      <c r="B1594" s="22" t="str">
        <f>'EQUITY BACKTEST'!B1597</f>
        <v/>
      </c>
      <c r="C1594" s="22" t="str">
        <f>'EQUITY BACKTEST'!E1597</f>
        <v/>
      </c>
    </row>
    <row r="1595" ht="15.75" customHeight="1">
      <c r="A1595" s="32" t="str">
        <f>'EQUITY BACKTEST'!A1598</f>
        <v/>
      </c>
      <c r="B1595" s="22" t="str">
        <f>'EQUITY BACKTEST'!B1598</f>
        <v/>
      </c>
      <c r="C1595" s="22" t="str">
        <f>'EQUITY BACKTEST'!E1598</f>
        <v/>
      </c>
    </row>
    <row r="1596" ht="15.75" customHeight="1">
      <c r="A1596" s="32" t="str">
        <f>'EQUITY BACKTEST'!A1599</f>
        <v/>
      </c>
      <c r="B1596" s="22" t="str">
        <f>'EQUITY BACKTEST'!B1599</f>
        <v/>
      </c>
      <c r="C1596" s="22" t="str">
        <f>'EQUITY BACKTEST'!E1599</f>
        <v/>
      </c>
    </row>
    <row r="1597" ht="15.75" customHeight="1">
      <c r="A1597" s="32" t="str">
        <f>'EQUITY BACKTEST'!A1600</f>
        <v/>
      </c>
      <c r="B1597" s="22" t="str">
        <f>'EQUITY BACKTEST'!B1600</f>
        <v/>
      </c>
      <c r="C1597" s="22" t="str">
        <f>'EQUITY BACKTEST'!E1600</f>
        <v/>
      </c>
    </row>
    <row r="1598" ht="15.75" customHeight="1">
      <c r="A1598" s="32" t="str">
        <f>'EQUITY BACKTEST'!A1601</f>
        <v/>
      </c>
      <c r="B1598" s="22" t="str">
        <f>'EQUITY BACKTEST'!B1601</f>
        <v/>
      </c>
      <c r="C1598" s="22" t="str">
        <f>'EQUITY BACKTEST'!E1601</f>
        <v/>
      </c>
    </row>
    <row r="1599" ht="15.75" customHeight="1">
      <c r="A1599" s="32" t="str">
        <f>'EQUITY BACKTEST'!A1602</f>
        <v/>
      </c>
      <c r="B1599" s="22" t="str">
        <f>'EQUITY BACKTEST'!B1602</f>
        <v/>
      </c>
      <c r="C1599" s="22" t="str">
        <f>'EQUITY BACKTEST'!E1602</f>
        <v/>
      </c>
    </row>
    <row r="1600" ht="15.75" customHeight="1">
      <c r="A1600" s="32" t="str">
        <f>'EQUITY BACKTEST'!A1603</f>
        <v/>
      </c>
      <c r="B1600" s="22" t="str">
        <f>'EQUITY BACKTEST'!B1603</f>
        <v/>
      </c>
      <c r="C1600" s="22" t="str">
        <f>'EQUITY BACKTEST'!E1603</f>
        <v/>
      </c>
    </row>
    <row r="1601" ht="15.75" customHeight="1">
      <c r="A1601" s="32" t="str">
        <f>'EQUITY BACKTEST'!A1604</f>
        <v/>
      </c>
      <c r="B1601" s="22" t="str">
        <f>'EQUITY BACKTEST'!B1604</f>
        <v/>
      </c>
      <c r="C1601" s="22" t="str">
        <f>'EQUITY BACKTEST'!E1604</f>
        <v/>
      </c>
    </row>
    <row r="1602" ht="15.75" customHeight="1">
      <c r="A1602" s="32" t="str">
        <f>'EQUITY BACKTEST'!A1605</f>
        <v/>
      </c>
      <c r="B1602" s="22" t="str">
        <f>'EQUITY BACKTEST'!B1605</f>
        <v/>
      </c>
      <c r="C1602" s="22" t="str">
        <f>'EQUITY BACKTEST'!E1605</f>
        <v/>
      </c>
    </row>
    <row r="1603" ht="15.75" customHeight="1">
      <c r="A1603" s="32" t="str">
        <f>'EQUITY BACKTEST'!A1606</f>
        <v/>
      </c>
      <c r="B1603" s="22" t="str">
        <f>'EQUITY BACKTEST'!B1606</f>
        <v/>
      </c>
      <c r="C1603" s="22" t="str">
        <f>'EQUITY BACKTEST'!E1606</f>
        <v/>
      </c>
    </row>
    <row r="1604" ht="15.75" customHeight="1">
      <c r="A1604" s="32" t="str">
        <f>'EQUITY BACKTEST'!A1607</f>
        <v/>
      </c>
      <c r="B1604" s="22" t="str">
        <f>'EQUITY BACKTEST'!B1607</f>
        <v/>
      </c>
      <c r="C1604" s="22" t="str">
        <f>'EQUITY BACKTEST'!E1607</f>
        <v/>
      </c>
    </row>
    <row r="1605" ht="15.75" customHeight="1">
      <c r="A1605" s="32" t="str">
        <f>'EQUITY BACKTEST'!A1608</f>
        <v/>
      </c>
      <c r="B1605" s="22" t="str">
        <f>'EQUITY BACKTEST'!B1608</f>
        <v/>
      </c>
      <c r="C1605" s="22" t="str">
        <f>'EQUITY BACKTEST'!E1608</f>
        <v/>
      </c>
    </row>
    <row r="1606" ht="15.75" customHeight="1">
      <c r="A1606" s="32" t="str">
        <f>'EQUITY BACKTEST'!A1609</f>
        <v/>
      </c>
      <c r="B1606" s="22" t="str">
        <f>'EQUITY BACKTEST'!B1609</f>
        <v/>
      </c>
      <c r="C1606" s="22" t="str">
        <f>'EQUITY BACKTEST'!E1609</f>
        <v/>
      </c>
    </row>
    <row r="1607" ht="15.75" customHeight="1">
      <c r="A1607" s="32" t="str">
        <f>'EQUITY BACKTEST'!A1610</f>
        <v/>
      </c>
      <c r="B1607" s="22" t="str">
        <f>'EQUITY BACKTEST'!B1610</f>
        <v/>
      </c>
      <c r="C1607" s="22" t="str">
        <f>'EQUITY BACKTEST'!E1610</f>
        <v/>
      </c>
    </row>
    <row r="1608" ht="15.75" customHeight="1">
      <c r="A1608" s="32" t="str">
        <f>'EQUITY BACKTEST'!A1611</f>
        <v/>
      </c>
      <c r="B1608" s="22" t="str">
        <f>'EQUITY BACKTEST'!B1611</f>
        <v/>
      </c>
      <c r="C1608" s="22" t="str">
        <f>'EQUITY BACKTEST'!E1611</f>
        <v/>
      </c>
    </row>
    <row r="1609" ht="15.75" customHeight="1">
      <c r="A1609" s="32" t="str">
        <f>'EQUITY BACKTEST'!A1612</f>
        <v/>
      </c>
      <c r="B1609" s="22" t="str">
        <f>'EQUITY BACKTEST'!B1612</f>
        <v/>
      </c>
      <c r="C1609" s="22" t="str">
        <f>'EQUITY BACKTEST'!E1612</f>
        <v/>
      </c>
    </row>
    <row r="1610" ht="15.75" customHeight="1">
      <c r="A1610" s="32" t="str">
        <f>'EQUITY BACKTEST'!A1613</f>
        <v/>
      </c>
      <c r="B1610" s="22" t="str">
        <f>'EQUITY BACKTEST'!B1613</f>
        <v/>
      </c>
      <c r="C1610" s="22" t="str">
        <f>'EQUITY BACKTEST'!E1613</f>
        <v/>
      </c>
    </row>
    <row r="1611" ht="15.75" customHeight="1">
      <c r="A1611" s="32" t="str">
        <f>'EQUITY BACKTEST'!A1614</f>
        <v/>
      </c>
      <c r="B1611" s="22" t="str">
        <f>'EQUITY BACKTEST'!B1614</f>
        <v/>
      </c>
      <c r="C1611" s="22" t="str">
        <f>'EQUITY BACKTEST'!E1614</f>
        <v/>
      </c>
    </row>
    <row r="1612" ht="15.75" customHeight="1">
      <c r="A1612" s="32" t="str">
        <f>'EQUITY BACKTEST'!A1615</f>
        <v/>
      </c>
      <c r="B1612" s="22" t="str">
        <f>'EQUITY BACKTEST'!B1615</f>
        <v/>
      </c>
      <c r="C1612" s="22" t="str">
        <f>'EQUITY BACKTEST'!E1615</f>
        <v/>
      </c>
    </row>
    <row r="1613" ht="15.75" customHeight="1">
      <c r="A1613" s="32" t="str">
        <f>'EQUITY BACKTEST'!A1616</f>
        <v/>
      </c>
      <c r="B1613" s="22" t="str">
        <f>'EQUITY BACKTEST'!B1616</f>
        <v/>
      </c>
      <c r="C1613" s="22" t="str">
        <f>'EQUITY BACKTEST'!E1616</f>
        <v/>
      </c>
    </row>
    <row r="1614" ht="15.75" customHeight="1">
      <c r="A1614" s="32" t="str">
        <f>'EQUITY BACKTEST'!A1617</f>
        <v/>
      </c>
      <c r="B1614" s="22" t="str">
        <f>'EQUITY BACKTEST'!B1617</f>
        <v/>
      </c>
      <c r="C1614" s="22" t="str">
        <f>'EQUITY BACKTEST'!E1617</f>
        <v/>
      </c>
    </row>
    <row r="1615" ht="15.75" customHeight="1">
      <c r="A1615" s="32" t="str">
        <f>'EQUITY BACKTEST'!A1618</f>
        <v/>
      </c>
      <c r="B1615" s="22" t="str">
        <f>'EQUITY BACKTEST'!B1618</f>
        <v/>
      </c>
      <c r="C1615" s="22" t="str">
        <f>'EQUITY BACKTEST'!E1618</f>
        <v/>
      </c>
    </row>
    <row r="1616" ht="15.75" customHeight="1">
      <c r="A1616" s="32" t="str">
        <f>'EQUITY BACKTEST'!A1619</f>
        <v/>
      </c>
      <c r="B1616" s="22" t="str">
        <f>'EQUITY BACKTEST'!B1619</f>
        <v/>
      </c>
      <c r="C1616" s="22" t="str">
        <f>'EQUITY BACKTEST'!E1619</f>
        <v/>
      </c>
    </row>
    <row r="1617" ht="15.75" customHeight="1">
      <c r="A1617" s="32" t="str">
        <f>'EQUITY BACKTEST'!A1620</f>
        <v/>
      </c>
      <c r="B1617" s="22" t="str">
        <f>'EQUITY BACKTEST'!B1620</f>
        <v/>
      </c>
      <c r="C1617" s="22" t="str">
        <f>'EQUITY BACKTEST'!E1620</f>
        <v/>
      </c>
    </row>
    <row r="1618" ht="15.75" customHeight="1">
      <c r="A1618" s="32" t="str">
        <f>'EQUITY BACKTEST'!A1621</f>
        <v/>
      </c>
      <c r="B1618" s="22" t="str">
        <f>'EQUITY BACKTEST'!B1621</f>
        <v/>
      </c>
      <c r="C1618" s="22" t="str">
        <f>'EQUITY BACKTEST'!E1621</f>
        <v/>
      </c>
    </row>
    <row r="1619" ht="15.75" customHeight="1">
      <c r="A1619" s="32" t="str">
        <f>'EQUITY BACKTEST'!A1622</f>
        <v/>
      </c>
      <c r="B1619" s="22" t="str">
        <f>'EQUITY BACKTEST'!B1622</f>
        <v/>
      </c>
      <c r="C1619" s="22" t="str">
        <f>'EQUITY BACKTEST'!E1622</f>
        <v/>
      </c>
    </row>
    <row r="1620" ht="15.75" customHeight="1">
      <c r="A1620" s="32" t="str">
        <f>'EQUITY BACKTEST'!A1623</f>
        <v/>
      </c>
      <c r="B1620" s="22" t="str">
        <f>'EQUITY BACKTEST'!B1623</f>
        <v/>
      </c>
      <c r="C1620" s="22" t="str">
        <f>'EQUITY BACKTEST'!E1623</f>
        <v/>
      </c>
    </row>
    <row r="1621" ht="15.75" customHeight="1">
      <c r="A1621" s="32" t="str">
        <f>'EQUITY BACKTEST'!A1624</f>
        <v/>
      </c>
      <c r="B1621" s="22" t="str">
        <f>'EQUITY BACKTEST'!B1624</f>
        <v/>
      </c>
      <c r="C1621" s="22" t="str">
        <f>'EQUITY BACKTEST'!E1624</f>
        <v/>
      </c>
    </row>
    <row r="1622" ht="15.75" customHeight="1">
      <c r="A1622" s="32" t="str">
        <f>'EQUITY BACKTEST'!A1625</f>
        <v/>
      </c>
      <c r="B1622" s="22" t="str">
        <f>'EQUITY BACKTEST'!B1625</f>
        <v/>
      </c>
      <c r="C1622" s="22" t="str">
        <f>'EQUITY BACKTEST'!E1625</f>
        <v/>
      </c>
    </row>
    <row r="1623" ht="15.75" customHeight="1">
      <c r="A1623" s="32" t="str">
        <f>'EQUITY BACKTEST'!A1626</f>
        <v/>
      </c>
      <c r="B1623" s="22" t="str">
        <f>'EQUITY BACKTEST'!B1626</f>
        <v/>
      </c>
      <c r="C1623" s="22" t="str">
        <f>'EQUITY BACKTEST'!E1626</f>
        <v/>
      </c>
    </row>
    <row r="1624" ht="15.75" customHeight="1">
      <c r="A1624" s="32" t="str">
        <f>'EQUITY BACKTEST'!A1627</f>
        <v/>
      </c>
      <c r="B1624" s="22" t="str">
        <f>'EQUITY BACKTEST'!B1627</f>
        <v/>
      </c>
      <c r="C1624" s="22" t="str">
        <f>'EQUITY BACKTEST'!E1627</f>
        <v/>
      </c>
    </row>
    <row r="1625" ht="15.75" customHeight="1">
      <c r="A1625" s="32" t="str">
        <f>'EQUITY BACKTEST'!A1628</f>
        <v/>
      </c>
      <c r="B1625" s="22" t="str">
        <f>'EQUITY BACKTEST'!B1628</f>
        <v/>
      </c>
      <c r="C1625" s="22" t="str">
        <f>'EQUITY BACKTEST'!E1628</f>
        <v/>
      </c>
    </row>
    <row r="1626" ht="15.75" customHeight="1">
      <c r="A1626" s="32" t="str">
        <f>'EQUITY BACKTEST'!A1629</f>
        <v/>
      </c>
      <c r="B1626" s="22" t="str">
        <f>'EQUITY BACKTEST'!B1629</f>
        <v/>
      </c>
      <c r="C1626" s="22" t="str">
        <f>'EQUITY BACKTEST'!E1629</f>
        <v/>
      </c>
    </row>
    <row r="1627" ht="15.75" customHeight="1">
      <c r="A1627" s="32" t="str">
        <f>'EQUITY BACKTEST'!A1630</f>
        <v/>
      </c>
      <c r="B1627" s="22" t="str">
        <f>'EQUITY BACKTEST'!B1630</f>
        <v/>
      </c>
      <c r="C1627" s="22" t="str">
        <f>'EQUITY BACKTEST'!E1630</f>
        <v/>
      </c>
    </row>
    <row r="1628" ht="15.75" customHeight="1">
      <c r="A1628" s="32" t="str">
        <f>'EQUITY BACKTEST'!A1631</f>
        <v/>
      </c>
      <c r="B1628" s="22" t="str">
        <f>'EQUITY BACKTEST'!B1631</f>
        <v/>
      </c>
      <c r="C1628" s="22" t="str">
        <f>'EQUITY BACKTEST'!E1631</f>
        <v/>
      </c>
    </row>
    <row r="1629" ht="15.75" customHeight="1">
      <c r="A1629" s="32" t="str">
        <f>'EQUITY BACKTEST'!A1632</f>
        <v/>
      </c>
      <c r="B1629" s="22" t="str">
        <f>'EQUITY BACKTEST'!B1632</f>
        <v/>
      </c>
      <c r="C1629" s="22" t="str">
        <f>'EQUITY BACKTEST'!E1632</f>
        <v/>
      </c>
    </row>
    <row r="1630" ht="15.75" customHeight="1">
      <c r="A1630" s="32" t="str">
        <f>'EQUITY BACKTEST'!A1633</f>
        <v/>
      </c>
      <c r="B1630" s="22" t="str">
        <f>'EQUITY BACKTEST'!B1633</f>
        <v/>
      </c>
      <c r="C1630" s="22" t="str">
        <f>'EQUITY BACKTEST'!E1633</f>
        <v/>
      </c>
    </row>
    <row r="1631" ht="15.75" customHeight="1">
      <c r="A1631" s="32" t="str">
        <f>'EQUITY BACKTEST'!A1634</f>
        <v/>
      </c>
      <c r="B1631" s="22" t="str">
        <f>'EQUITY BACKTEST'!B1634</f>
        <v/>
      </c>
      <c r="C1631" s="22" t="str">
        <f>'EQUITY BACKTEST'!E1634</f>
        <v/>
      </c>
    </row>
    <row r="1632" ht="15.75" customHeight="1">
      <c r="A1632" s="32" t="str">
        <f>'EQUITY BACKTEST'!A1635</f>
        <v/>
      </c>
      <c r="B1632" s="22" t="str">
        <f>'EQUITY BACKTEST'!B1635</f>
        <v/>
      </c>
      <c r="C1632" s="22" t="str">
        <f>'EQUITY BACKTEST'!E1635</f>
        <v/>
      </c>
    </row>
    <row r="1633" ht="15.75" customHeight="1">
      <c r="A1633" s="32" t="str">
        <f>'EQUITY BACKTEST'!A1636</f>
        <v/>
      </c>
      <c r="B1633" s="22" t="str">
        <f>'EQUITY BACKTEST'!B1636</f>
        <v/>
      </c>
      <c r="C1633" s="22" t="str">
        <f>'EQUITY BACKTEST'!E1636</f>
        <v/>
      </c>
    </row>
    <row r="1634" ht="15.75" customHeight="1">
      <c r="A1634" s="32" t="str">
        <f>'EQUITY BACKTEST'!A1637</f>
        <v/>
      </c>
      <c r="B1634" s="22" t="str">
        <f>'EQUITY BACKTEST'!B1637</f>
        <v/>
      </c>
      <c r="C1634" s="22" t="str">
        <f>'EQUITY BACKTEST'!E1637</f>
        <v/>
      </c>
    </row>
    <row r="1635" ht="15.75" customHeight="1">
      <c r="A1635" s="32" t="str">
        <f>'EQUITY BACKTEST'!A1638</f>
        <v/>
      </c>
      <c r="B1635" s="22" t="str">
        <f>'EQUITY BACKTEST'!B1638</f>
        <v/>
      </c>
      <c r="C1635" s="22" t="str">
        <f>'EQUITY BACKTEST'!E1638</f>
        <v/>
      </c>
    </row>
    <row r="1636" ht="15.75" customHeight="1">
      <c r="A1636" s="32" t="str">
        <f>'EQUITY BACKTEST'!A1639</f>
        <v/>
      </c>
      <c r="B1636" s="22" t="str">
        <f>'EQUITY BACKTEST'!B1639</f>
        <v/>
      </c>
      <c r="C1636" s="22" t="str">
        <f>'EQUITY BACKTEST'!E1639</f>
        <v/>
      </c>
    </row>
    <row r="1637" ht="15.75" customHeight="1">
      <c r="A1637" s="32" t="str">
        <f>'EQUITY BACKTEST'!A1640</f>
        <v/>
      </c>
      <c r="B1637" s="22" t="str">
        <f>'EQUITY BACKTEST'!B1640</f>
        <v/>
      </c>
      <c r="C1637" s="22" t="str">
        <f>'EQUITY BACKTEST'!E1640</f>
        <v/>
      </c>
    </row>
    <row r="1638" ht="15.75" customHeight="1">
      <c r="A1638" s="32" t="str">
        <f>'EQUITY BACKTEST'!A1641</f>
        <v/>
      </c>
      <c r="B1638" s="22" t="str">
        <f>'EQUITY BACKTEST'!B1641</f>
        <v/>
      </c>
      <c r="C1638" s="22" t="str">
        <f>'EQUITY BACKTEST'!E1641</f>
        <v/>
      </c>
    </row>
    <row r="1639" ht="15.75" customHeight="1">
      <c r="A1639" s="32" t="str">
        <f>'EQUITY BACKTEST'!A1642</f>
        <v/>
      </c>
      <c r="B1639" s="22" t="str">
        <f>'EQUITY BACKTEST'!B1642</f>
        <v/>
      </c>
      <c r="C1639" s="22" t="str">
        <f>'EQUITY BACKTEST'!E1642</f>
        <v/>
      </c>
    </row>
    <row r="1640" ht="15.75" customHeight="1">
      <c r="A1640" s="32" t="str">
        <f>'EQUITY BACKTEST'!A1643</f>
        <v/>
      </c>
      <c r="B1640" s="22" t="str">
        <f>'EQUITY BACKTEST'!B1643</f>
        <v/>
      </c>
      <c r="C1640" s="22" t="str">
        <f>'EQUITY BACKTEST'!E1643</f>
        <v/>
      </c>
    </row>
    <row r="1641" ht="15.75" customHeight="1">
      <c r="A1641" s="32" t="str">
        <f>'EQUITY BACKTEST'!A1644</f>
        <v/>
      </c>
      <c r="B1641" s="22" t="str">
        <f>'EQUITY BACKTEST'!B1644</f>
        <v/>
      </c>
      <c r="C1641" s="22" t="str">
        <f>'EQUITY BACKTEST'!E1644</f>
        <v/>
      </c>
    </row>
    <row r="1642" ht="15.75" customHeight="1">
      <c r="A1642" s="32" t="str">
        <f>'EQUITY BACKTEST'!A1645</f>
        <v/>
      </c>
      <c r="B1642" s="22" t="str">
        <f>'EQUITY BACKTEST'!B1645</f>
        <v/>
      </c>
      <c r="C1642" s="22" t="str">
        <f>'EQUITY BACKTEST'!E1645</f>
        <v/>
      </c>
    </row>
    <row r="1643" ht="15.75" customHeight="1">
      <c r="A1643" s="32" t="str">
        <f>'EQUITY BACKTEST'!A1646</f>
        <v/>
      </c>
      <c r="B1643" s="22" t="str">
        <f>'EQUITY BACKTEST'!B1646</f>
        <v/>
      </c>
      <c r="C1643" s="22" t="str">
        <f>'EQUITY BACKTEST'!E1646</f>
        <v/>
      </c>
    </row>
    <row r="1644" ht="15.75" customHeight="1">
      <c r="A1644" s="32" t="str">
        <f>'EQUITY BACKTEST'!A1647</f>
        <v/>
      </c>
      <c r="B1644" s="22" t="str">
        <f>'EQUITY BACKTEST'!B1647</f>
        <v/>
      </c>
      <c r="C1644" s="22" t="str">
        <f>'EQUITY BACKTEST'!E1647</f>
        <v/>
      </c>
    </row>
    <row r="1645" ht="15.75" customHeight="1">
      <c r="A1645" s="32" t="str">
        <f>'EQUITY BACKTEST'!A1648</f>
        <v/>
      </c>
      <c r="B1645" s="22" t="str">
        <f>'EQUITY BACKTEST'!B1648</f>
        <v/>
      </c>
      <c r="C1645" s="22" t="str">
        <f>'EQUITY BACKTEST'!E1648</f>
        <v/>
      </c>
    </row>
    <row r="1646" ht="15.75" customHeight="1">
      <c r="A1646" s="32" t="str">
        <f>'EQUITY BACKTEST'!A1649</f>
        <v/>
      </c>
      <c r="B1646" s="22" t="str">
        <f>'EQUITY BACKTEST'!B1649</f>
        <v/>
      </c>
      <c r="C1646" s="22" t="str">
        <f>'EQUITY BACKTEST'!E1649</f>
        <v/>
      </c>
    </row>
    <row r="1647" ht="15.75" customHeight="1">
      <c r="A1647" s="32" t="str">
        <f>'EQUITY BACKTEST'!A1650</f>
        <v/>
      </c>
      <c r="B1647" s="22" t="str">
        <f>'EQUITY BACKTEST'!B1650</f>
        <v/>
      </c>
      <c r="C1647" s="22" t="str">
        <f>'EQUITY BACKTEST'!E1650</f>
        <v/>
      </c>
    </row>
    <row r="1648" ht="15.75" customHeight="1">
      <c r="A1648" s="32" t="str">
        <f>'EQUITY BACKTEST'!A1651</f>
        <v/>
      </c>
      <c r="B1648" s="22" t="str">
        <f>'EQUITY BACKTEST'!B1651</f>
        <v/>
      </c>
      <c r="C1648" s="22" t="str">
        <f>'EQUITY BACKTEST'!E1651</f>
        <v/>
      </c>
    </row>
    <row r="1649" ht="15.75" customHeight="1">
      <c r="A1649" s="32" t="str">
        <f>'EQUITY BACKTEST'!A1652</f>
        <v/>
      </c>
      <c r="B1649" s="22" t="str">
        <f>'EQUITY BACKTEST'!B1652</f>
        <v/>
      </c>
      <c r="C1649" s="22" t="str">
        <f>'EQUITY BACKTEST'!E1652</f>
        <v/>
      </c>
    </row>
    <row r="1650" ht="15.75" customHeight="1">
      <c r="A1650" s="32" t="str">
        <f>'EQUITY BACKTEST'!A1653</f>
        <v/>
      </c>
      <c r="B1650" s="22" t="str">
        <f>'EQUITY BACKTEST'!B1653</f>
        <v/>
      </c>
      <c r="C1650" s="22" t="str">
        <f>'EQUITY BACKTEST'!E1653</f>
        <v/>
      </c>
    </row>
    <row r="1651" ht="15.75" customHeight="1">
      <c r="A1651" s="32" t="str">
        <f>'EQUITY BACKTEST'!A1654</f>
        <v/>
      </c>
      <c r="B1651" s="22" t="str">
        <f>'EQUITY BACKTEST'!B1654</f>
        <v/>
      </c>
      <c r="C1651" s="22" t="str">
        <f>'EQUITY BACKTEST'!E1654</f>
        <v/>
      </c>
    </row>
    <row r="1652" ht="15.75" customHeight="1">
      <c r="A1652" s="32" t="str">
        <f>'EQUITY BACKTEST'!A1655</f>
        <v/>
      </c>
      <c r="B1652" s="22" t="str">
        <f>'EQUITY BACKTEST'!B1655</f>
        <v/>
      </c>
      <c r="C1652" s="22" t="str">
        <f>'EQUITY BACKTEST'!E1655</f>
        <v/>
      </c>
    </row>
    <row r="1653" ht="15.75" customHeight="1">
      <c r="A1653" s="32" t="str">
        <f>'EQUITY BACKTEST'!A1656</f>
        <v/>
      </c>
      <c r="B1653" s="22" t="str">
        <f>'EQUITY BACKTEST'!B1656</f>
        <v/>
      </c>
      <c r="C1653" s="22" t="str">
        <f>'EQUITY BACKTEST'!E1656</f>
        <v/>
      </c>
    </row>
    <row r="1654" ht="15.75" customHeight="1">
      <c r="A1654" s="32" t="str">
        <f>'EQUITY BACKTEST'!A1657</f>
        <v/>
      </c>
      <c r="B1654" s="22" t="str">
        <f>'EQUITY BACKTEST'!B1657</f>
        <v/>
      </c>
      <c r="C1654" s="22" t="str">
        <f>'EQUITY BACKTEST'!E1657</f>
        <v/>
      </c>
    </row>
    <row r="1655" ht="15.75" customHeight="1">
      <c r="A1655" s="32" t="str">
        <f>'EQUITY BACKTEST'!A1658</f>
        <v/>
      </c>
      <c r="B1655" s="22" t="str">
        <f>'EQUITY BACKTEST'!B1658</f>
        <v/>
      </c>
      <c r="C1655" s="22" t="str">
        <f>'EQUITY BACKTEST'!E1658</f>
        <v/>
      </c>
    </row>
    <row r="1656" ht="15.75" customHeight="1">
      <c r="A1656" s="32" t="str">
        <f>'EQUITY BACKTEST'!A1659</f>
        <v/>
      </c>
      <c r="B1656" s="22" t="str">
        <f>'EQUITY BACKTEST'!B1659</f>
        <v/>
      </c>
      <c r="C1656" s="22" t="str">
        <f>'EQUITY BACKTEST'!E1659</f>
        <v/>
      </c>
    </row>
    <row r="1657" ht="15.75" customHeight="1">
      <c r="A1657" s="32" t="str">
        <f>'EQUITY BACKTEST'!A1660</f>
        <v/>
      </c>
      <c r="B1657" s="22" t="str">
        <f>'EQUITY BACKTEST'!B1660</f>
        <v/>
      </c>
      <c r="C1657" s="22" t="str">
        <f>'EQUITY BACKTEST'!E1660</f>
        <v/>
      </c>
    </row>
    <row r="1658" ht="15.75" customHeight="1">
      <c r="A1658" s="32" t="str">
        <f>'EQUITY BACKTEST'!A1661</f>
        <v/>
      </c>
      <c r="B1658" s="22" t="str">
        <f>'EQUITY BACKTEST'!B1661</f>
        <v/>
      </c>
      <c r="C1658" s="22" t="str">
        <f>'EQUITY BACKTEST'!E1661</f>
        <v/>
      </c>
    </row>
    <row r="1659" ht="15.75" customHeight="1">
      <c r="A1659" s="32" t="str">
        <f>'EQUITY BACKTEST'!A1662</f>
        <v/>
      </c>
      <c r="B1659" s="22" t="str">
        <f>'EQUITY BACKTEST'!B1662</f>
        <v/>
      </c>
      <c r="C1659" s="22" t="str">
        <f>'EQUITY BACKTEST'!E1662</f>
        <v/>
      </c>
    </row>
    <row r="1660" ht="15.75" customHeight="1">
      <c r="A1660" s="32" t="str">
        <f>'EQUITY BACKTEST'!A1663</f>
        <v/>
      </c>
      <c r="B1660" s="22" t="str">
        <f>'EQUITY BACKTEST'!B1663</f>
        <v/>
      </c>
      <c r="C1660" s="22" t="str">
        <f>'EQUITY BACKTEST'!E1663</f>
        <v/>
      </c>
    </row>
    <row r="1661" ht="15.75" customHeight="1">
      <c r="A1661" s="32" t="str">
        <f>'EQUITY BACKTEST'!A1664</f>
        <v/>
      </c>
      <c r="B1661" s="22" t="str">
        <f>'EQUITY BACKTEST'!B1664</f>
        <v/>
      </c>
      <c r="C1661" s="22" t="str">
        <f>'EQUITY BACKTEST'!E1664</f>
        <v/>
      </c>
    </row>
    <row r="1662" ht="15.75" customHeight="1">
      <c r="A1662" s="32" t="str">
        <f>'EQUITY BACKTEST'!A1665</f>
        <v/>
      </c>
      <c r="B1662" s="22" t="str">
        <f>'EQUITY BACKTEST'!B1665</f>
        <v/>
      </c>
      <c r="C1662" s="22" t="str">
        <f>'EQUITY BACKTEST'!E1665</f>
        <v/>
      </c>
    </row>
    <row r="1663" ht="15.75" customHeight="1">
      <c r="A1663" s="32" t="str">
        <f>'EQUITY BACKTEST'!A1666</f>
        <v/>
      </c>
      <c r="B1663" s="22" t="str">
        <f>'EQUITY BACKTEST'!B1666</f>
        <v/>
      </c>
      <c r="C1663" s="22" t="str">
        <f>'EQUITY BACKTEST'!E1666</f>
        <v/>
      </c>
    </row>
    <row r="1664" ht="15.75" customHeight="1">
      <c r="A1664" s="32" t="str">
        <f>'EQUITY BACKTEST'!A1667</f>
        <v/>
      </c>
      <c r="B1664" s="22" t="str">
        <f>'EQUITY BACKTEST'!B1667</f>
        <v/>
      </c>
      <c r="C1664" s="22" t="str">
        <f>'EQUITY BACKTEST'!E1667</f>
        <v/>
      </c>
    </row>
    <row r="1665" ht="15.75" customHeight="1">
      <c r="A1665" s="32" t="str">
        <f>'EQUITY BACKTEST'!A1668</f>
        <v/>
      </c>
      <c r="B1665" s="22" t="str">
        <f>'EQUITY BACKTEST'!B1668</f>
        <v/>
      </c>
      <c r="C1665" s="22" t="str">
        <f>'EQUITY BACKTEST'!E1668</f>
        <v/>
      </c>
    </row>
    <row r="1666" ht="15.75" customHeight="1">
      <c r="A1666" s="32" t="str">
        <f>'EQUITY BACKTEST'!A1669</f>
        <v/>
      </c>
      <c r="B1666" s="22" t="str">
        <f>'EQUITY BACKTEST'!B1669</f>
        <v/>
      </c>
      <c r="C1666" s="22" t="str">
        <f>'EQUITY BACKTEST'!E1669</f>
        <v/>
      </c>
    </row>
    <row r="1667" ht="15.75" customHeight="1">
      <c r="A1667" s="32" t="str">
        <f>'EQUITY BACKTEST'!A1670</f>
        <v/>
      </c>
      <c r="B1667" s="22" t="str">
        <f>'EQUITY BACKTEST'!B1670</f>
        <v/>
      </c>
      <c r="C1667" s="22" t="str">
        <f>'EQUITY BACKTEST'!E1670</f>
        <v/>
      </c>
    </row>
    <row r="1668" ht="15.75" customHeight="1">
      <c r="A1668" s="32" t="str">
        <f>'EQUITY BACKTEST'!A1671</f>
        <v/>
      </c>
      <c r="B1668" s="22" t="str">
        <f>'EQUITY BACKTEST'!B1671</f>
        <v/>
      </c>
      <c r="C1668" s="22" t="str">
        <f>'EQUITY BACKTEST'!E1671</f>
        <v/>
      </c>
    </row>
    <row r="1669" ht="15.75" customHeight="1">
      <c r="A1669" s="32" t="str">
        <f>'EQUITY BACKTEST'!A1672</f>
        <v/>
      </c>
      <c r="B1669" s="22" t="str">
        <f>'EQUITY BACKTEST'!B1672</f>
        <v/>
      </c>
      <c r="C1669" s="22" t="str">
        <f>'EQUITY BACKTEST'!E1672</f>
        <v/>
      </c>
    </row>
    <row r="1670" ht="15.75" customHeight="1">
      <c r="A1670" s="32" t="str">
        <f>'EQUITY BACKTEST'!A1673</f>
        <v/>
      </c>
      <c r="B1670" s="22" t="str">
        <f>'EQUITY BACKTEST'!B1673</f>
        <v/>
      </c>
      <c r="C1670" s="22" t="str">
        <f>'EQUITY BACKTEST'!E1673</f>
        <v/>
      </c>
    </row>
    <row r="1671" ht="15.75" customHeight="1">
      <c r="A1671" s="32" t="str">
        <f>'EQUITY BACKTEST'!A1674</f>
        <v/>
      </c>
      <c r="B1671" s="22" t="str">
        <f>'EQUITY BACKTEST'!B1674</f>
        <v/>
      </c>
      <c r="C1671" s="22" t="str">
        <f>'EQUITY BACKTEST'!E1674</f>
        <v/>
      </c>
    </row>
    <row r="1672" ht="15.75" customHeight="1">
      <c r="A1672" s="32" t="str">
        <f>'EQUITY BACKTEST'!A1675</f>
        <v/>
      </c>
      <c r="B1672" s="22" t="str">
        <f>'EQUITY BACKTEST'!B1675</f>
        <v/>
      </c>
      <c r="C1672" s="22" t="str">
        <f>'EQUITY BACKTEST'!E1675</f>
        <v/>
      </c>
    </row>
    <row r="1673" ht="15.75" customHeight="1">
      <c r="A1673" s="32" t="str">
        <f>'EQUITY BACKTEST'!A1676</f>
        <v/>
      </c>
      <c r="B1673" s="22" t="str">
        <f>'EQUITY BACKTEST'!B1676</f>
        <v/>
      </c>
      <c r="C1673" s="22" t="str">
        <f>'EQUITY BACKTEST'!E1676</f>
        <v/>
      </c>
    </row>
    <row r="1674" ht="15.75" customHeight="1">
      <c r="A1674" s="32" t="str">
        <f>'EQUITY BACKTEST'!A1677</f>
        <v/>
      </c>
      <c r="B1674" s="22" t="str">
        <f>'EQUITY BACKTEST'!B1677</f>
        <v/>
      </c>
      <c r="C1674" s="22" t="str">
        <f>'EQUITY BACKTEST'!E1677</f>
        <v/>
      </c>
    </row>
    <row r="1675" ht="15.75" customHeight="1">
      <c r="A1675" s="32" t="str">
        <f>'EQUITY BACKTEST'!A1678</f>
        <v/>
      </c>
      <c r="B1675" s="22" t="str">
        <f>'EQUITY BACKTEST'!B1678</f>
        <v/>
      </c>
      <c r="C1675" s="22" t="str">
        <f>'EQUITY BACKTEST'!E1678</f>
        <v/>
      </c>
    </row>
    <row r="1676" ht="15.75" customHeight="1">
      <c r="A1676" s="32" t="str">
        <f>'EQUITY BACKTEST'!A1679</f>
        <v/>
      </c>
      <c r="B1676" s="22" t="str">
        <f>'EQUITY BACKTEST'!B1679</f>
        <v/>
      </c>
      <c r="C1676" s="22" t="str">
        <f>'EQUITY BACKTEST'!E1679</f>
        <v/>
      </c>
    </row>
    <row r="1677" ht="15.75" customHeight="1">
      <c r="A1677" s="32" t="str">
        <f>'EQUITY BACKTEST'!A1680</f>
        <v/>
      </c>
      <c r="B1677" s="22" t="str">
        <f>'EQUITY BACKTEST'!B1680</f>
        <v/>
      </c>
      <c r="C1677" s="22" t="str">
        <f>'EQUITY BACKTEST'!E1680</f>
        <v/>
      </c>
    </row>
    <row r="1678" ht="15.75" customHeight="1">
      <c r="A1678" s="32" t="str">
        <f>'EQUITY BACKTEST'!A1681</f>
        <v/>
      </c>
      <c r="B1678" s="22" t="str">
        <f>'EQUITY BACKTEST'!B1681</f>
        <v/>
      </c>
      <c r="C1678" s="22" t="str">
        <f>'EQUITY BACKTEST'!E1681</f>
        <v/>
      </c>
    </row>
    <row r="1679" ht="15.75" customHeight="1">
      <c r="A1679" s="32" t="str">
        <f>'EQUITY BACKTEST'!A1682</f>
        <v/>
      </c>
      <c r="B1679" s="22" t="str">
        <f>'EQUITY BACKTEST'!B1682</f>
        <v/>
      </c>
      <c r="C1679" s="22" t="str">
        <f>'EQUITY BACKTEST'!E1682</f>
        <v/>
      </c>
    </row>
    <row r="1680" ht="15.75" customHeight="1">
      <c r="A1680" s="32" t="str">
        <f>'EQUITY BACKTEST'!A1683</f>
        <v/>
      </c>
      <c r="B1680" s="22" t="str">
        <f>'EQUITY BACKTEST'!B1683</f>
        <v/>
      </c>
      <c r="C1680" s="22" t="str">
        <f>'EQUITY BACKTEST'!E1683</f>
        <v/>
      </c>
    </row>
    <row r="1681" ht="15.75" customHeight="1">
      <c r="A1681" s="32" t="str">
        <f>'EQUITY BACKTEST'!A1684</f>
        <v/>
      </c>
      <c r="B1681" s="22" t="str">
        <f>'EQUITY BACKTEST'!B1684</f>
        <v/>
      </c>
      <c r="C1681" s="22" t="str">
        <f>'EQUITY BACKTEST'!E1684</f>
        <v/>
      </c>
    </row>
    <row r="1682" ht="15.75" customHeight="1">
      <c r="A1682" s="32" t="str">
        <f>'EQUITY BACKTEST'!A1685</f>
        <v/>
      </c>
      <c r="B1682" s="22" t="str">
        <f>'EQUITY BACKTEST'!B1685</f>
        <v/>
      </c>
      <c r="C1682" s="22" t="str">
        <f>'EQUITY BACKTEST'!E1685</f>
        <v/>
      </c>
    </row>
    <row r="1683" ht="15.75" customHeight="1">
      <c r="A1683" s="32" t="str">
        <f>'EQUITY BACKTEST'!A1686</f>
        <v/>
      </c>
      <c r="B1683" s="22" t="str">
        <f>'EQUITY BACKTEST'!B1686</f>
        <v/>
      </c>
      <c r="C1683" s="22" t="str">
        <f>'EQUITY BACKTEST'!E1686</f>
        <v/>
      </c>
    </row>
    <row r="1684" ht="15.75" customHeight="1">
      <c r="A1684" s="32" t="str">
        <f>'EQUITY BACKTEST'!A1687</f>
        <v/>
      </c>
      <c r="B1684" s="22" t="str">
        <f>'EQUITY BACKTEST'!B1687</f>
        <v/>
      </c>
      <c r="C1684" s="22" t="str">
        <f>'EQUITY BACKTEST'!E1687</f>
        <v/>
      </c>
    </row>
    <row r="1685" ht="15.75" customHeight="1">
      <c r="A1685" s="32" t="str">
        <f>'EQUITY BACKTEST'!A1688</f>
        <v/>
      </c>
      <c r="B1685" s="22" t="str">
        <f>'EQUITY BACKTEST'!B1688</f>
        <v/>
      </c>
      <c r="C1685" s="22" t="str">
        <f>'EQUITY BACKTEST'!E1688</f>
        <v/>
      </c>
    </row>
    <row r="1686" ht="15.75" customHeight="1">
      <c r="A1686" s="32" t="str">
        <f>'EQUITY BACKTEST'!A1689</f>
        <v/>
      </c>
      <c r="B1686" s="22" t="str">
        <f>'EQUITY BACKTEST'!B1689</f>
        <v/>
      </c>
      <c r="C1686" s="22" t="str">
        <f>'EQUITY BACKTEST'!E1689</f>
        <v/>
      </c>
    </row>
    <row r="1687" ht="15.75" customHeight="1">
      <c r="A1687" s="32" t="str">
        <f>'EQUITY BACKTEST'!A1690</f>
        <v/>
      </c>
      <c r="B1687" s="22" t="str">
        <f>'EQUITY BACKTEST'!B1690</f>
        <v/>
      </c>
      <c r="C1687" s="22" t="str">
        <f>'EQUITY BACKTEST'!E1690</f>
        <v/>
      </c>
    </row>
    <row r="1688" ht="15.75" customHeight="1">
      <c r="A1688" s="32" t="str">
        <f>'EQUITY BACKTEST'!A1691</f>
        <v/>
      </c>
      <c r="B1688" s="22" t="str">
        <f>'EQUITY BACKTEST'!B1691</f>
        <v/>
      </c>
      <c r="C1688" s="22" t="str">
        <f>'EQUITY BACKTEST'!E1691</f>
        <v/>
      </c>
    </row>
    <row r="1689" ht="15.75" customHeight="1">
      <c r="A1689" s="32" t="str">
        <f>'EQUITY BACKTEST'!A1692</f>
        <v/>
      </c>
      <c r="B1689" s="22" t="str">
        <f>'EQUITY BACKTEST'!B1692</f>
        <v/>
      </c>
      <c r="C1689" s="22" t="str">
        <f>'EQUITY BACKTEST'!E1692</f>
        <v/>
      </c>
    </row>
    <row r="1690" ht="15.75" customHeight="1">
      <c r="A1690" s="32" t="str">
        <f>'EQUITY BACKTEST'!A1693</f>
        <v/>
      </c>
      <c r="B1690" s="22" t="str">
        <f>'EQUITY BACKTEST'!B1693</f>
        <v/>
      </c>
      <c r="C1690" s="22" t="str">
        <f>'EQUITY BACKTEST'!E1693</f>
        <v/>
      </c>
    </row>
    <row r="1691" ht="15.75" customHeight="1">
      <c r="A1691" s="32" t="str">
        <f>'EQUITY BACKTEST'!A1694</f>
        <v/>
      </c>
      <c r="B1691" s="22" t="str">
        <f>'EQUITY BACKTEST'!B1694</f>
        <v/>
      </c>
      <c r="C1691" s="22" t="str">
        <f>'EQUITY BACKTEST'!E1694</f>
        <v/>
      </c>
    </row>
    <row r="1692" ht="15.75" customHeight="1">
      <c r="A1692" s="32" t="str">
        <f>'EQUITY BACKTEST'!A1695</f>
        <v/>
      </c>
      <c r="B1692" s="22" t="str">
        <f>'EQUITY BACKTEST'!B1695</f>
        <v/>
      </c>
      <c r="C1692" s="22" t="str">
        <f>'EQUITY BACKTEST'!E1695</f>
        <v/>
      </c>
    </row>
    <row r="1693" ht="15.75" customHeight="1">
      <c r="A1693" s="32" t="str">
        <f>'EQUITY BACKTEST'!A1696</f>
        <v/>
      </c>
      <c r="B1693" s="22" t="str">
        <f>'EQUITY BACKTEST'!B1696</f>
        <v/>
      </c>
      <c r="C1693" s="22" t="str">
        <f>'EQUITY BACKTEST'!E1696</f>
        <v/>
      </c>
    </row>
    <row r="1694" ht="15.75" customHeight="1">
      <c r="A1694" s="32" t="str">
        <f>'EQUITY BACKTEST'!A1697</f>
        <v/>
      </c>
      <c r="B1694" s="22" t="str">
        <f>'EQUITY BACKTEST'!B1697</f>
        <v/>
      </c>
      <c r="C1694" s="22" t="str">
        <f>'EQUITY BACKTEST'!E1697</f>
        <v/>
      </c>
    </row>
    <row r="1695" ht="15.75" customHeight="1">
      <c r="A1695" s="32" t="str">
        <f>'EQUITY BACKTEST'!A1698</f>
        <v/>
      </c>
      <c r="B1695" s="22" t="str">
        <f>'EQUITY BACKTEST'!B1698</f>
        <v/>
      </c>
      <c r="C1695" s="22" t="str">
        <f>'EQUITY BACKTEST'!E1698</f>
        <v/>
      </c>
    </row>
    <row r="1696" ht="15.75" customHeight="1">
      <c r="A1696" s="32" t="str">
        <f>'EQUITY BACKTEST'!A1699</f>
        <v/>
      </c>
      <c r="B1696" s="22" t="str">
        <f>'EQUITY BACKTEST'!B1699</f>
        <v/>
      </c>
      <c r="C1696" s="22" t="str">
        <f>'EQUITY BACKTEST'!E1699</f>
        <v/>
      </c>
    </row>
    <row r="1697" ht="15.75" customHeight="1">
      <c r="A1697" s="32" t="str">
        <f>'EQUITY BACKTEST'!A1700</f>
        <v/>
      </c>
      <c r="B1697" s="22" t="str">
        <f>'EQUITY BACKTEST'!B1700</f>
        <v/>
      </c>
      <c r="C1697" s="22" t="str">
        <f>'EQUITY BACKTEST'!E1700</f>
        <v/>
      </c>
    </row>
    <row r="1698" ht="15.75" customHeight="1">
      <c r="A1698" s="32" t="str">
        <f>'EQUITY BACKTEST'!A1701</f>
        <v/>
      </c>
      <c r="B1698" s="22" t="str">
        <f>'EQUITY BACKTEST'!B1701</f>
        <v/>
      </c>
      <c r="C1698" s="22" t="str">
        <f>'EQUITY BACKTEST'!E1701</f>
        <v/>
      </c>
    </row>
    <row r="1699" ht="15.75" customHeight="1">
      <c r="A1699" s="32" t="str">
        <f>'EQUITY BACKTEST'!A1702</f>
        <v/>
      </c>
      <c r="B1699" s="22" t="str">
        <f>'EQUITY BACKTEST'!B1702</f>
        <v/>
      </c>
      <c r="C1699" s="22" t="str">
        <f>'EQUITY BACKTEST'!E1702</f>
        <v/>
      </c>
    </row>
    <row r="1700" ht="15.75" customHeight="1">
      <c r="A1700" s="32" t="str">
        <f>'EQUITY BACKTEST'!A1703</f>
        <v/>
      </c>
      <c r="B1700" s="22" t="str">
        <f>'EQUITY BACKTEST'!B1703</f>
        <v/>
      </c>
      <c r="C1700" s="22" t="str">
        <f>'EQUITY BACKTEST'!E1703</f>
        <v/>
      </c>
    </row>
    <row r="1701" ht="15.75" customHeight="1">
      <c r="A1701" s="32" t="str">
        <f>'EQUITY BACKTEST'!A1704</f>
        <v/>
      </c>
      <c r="B1701" s="22" t="str">
        <f>'EQUITY BACKTEST'!B1704</f>
        <v/>
      </c>
      <c r="C1701" s="22" t="str">
        <f>'EQUITY BACKTEST'!E1704</f>
        <v/>
      </c>
    </row>
    <row r="1702" ht="15.75" customHeight="1">
      <c r="A1702" s="32" t="str">
        <f>'EQUITY BACKTEST'!A1705</f>
        <v/>
      </c>
      <c r="B1702" s="22" t="str">
        <f>'EQUITY BACKTEST'!B1705</f>
        <v/>
      </c>
      <c r="C1702" s="22" t="str">
        <f>'EQUITY BACKTEST'!E1705</f>
        <v/>
      </c>
    </row>
    <row r="1703" ht="15.75" customHeight="1">
      <c r="A1703" s="32" t="str">
        <f>'EQUITY BACKTEST'!A1706</f>
        <v/>
      </c>
      <c r="B1703" s="22" t="str">
        <f>'EQUITY BACKTEST'!B1706</f>
        <v/>
      </c>
      <c r="C1703" s="22" t="str">
        <f>'EQUITY BACKTEST'!E1706</f>
        <v/>
      </c>
    </row>
    <row r="1704" ht="15.75" customHeight="1">
      <c r="A1704" s="32" t="str">
        <f>'EQUITY BACKTEST'!A1707</f>
        <v/>
      </c>
      <c r="B1704" s="22" t="str">
        <f>'EQUITY BACKTEST'!B1707</f>
        <v/>
      </c>
      <c r="C1704" s="22" t="str">
        <f>'EQUITY BACKTEST'!E1707</f>
        <v/>
      </c>
    </row>
    <row r="1705" ht="15.75" customHeight="1">
      <c r="A1705" s="32" t="str">
        <f>'EQUITY BACKTEST'!A1708</f>
        <v/>
      </c>
      <c r="B1705" s="22" t="str">
        <f>'EQUITY BACKTEST'!B1708</f>
        <v/>
      </c>
      <c r="C1705" s="22" t="str">
        <f>'EQUITY BACKTEST'!E1708</f>
        <v/>
      </c>
    </row>
    <row r="1706" ht="15.75" customHeight="1">
      <c r="A1706" s="32" t="str">
        <f>'EQUITY BACKTEST'!A1709</f>
        <v/>
      </c>
      <c r="B1706" s="22" t="str">
        <f>'EQUITY BACKTEST'!B1709</f>
        <v/>
      </c>
      <c r="C1706" s="22" t="str">
        <f>'EQUITY BACKTEST'!E1709</f>
        <v/>
      </c>
    </row>
    <row r="1707" ht="15.75" customHeight="1">
      <c r="A1707" s="32" t="str">
        <f>'EQUITY BACKTEST'!A1710</f>
        <v/>
      </c>
      <c r="B1707" s="22" t="str">
        <f>'EQUITY BACKTEST'!B1710</f>
        <v/>
      </c>
      <c r="C1707" s="22" t="str">
        <f>'EQUITY BACKTEST'!E1710</f>
        <v/>
      </c>
    </row>
    <row r="1708" ht="15.75" customHeight="1">
      <c r="A1708" s="32" t="str">
        <f>'EQUITY BACKTEST'!A1711</f>
        <v/>
      </c>
      <c r="B1708" s="22" t="str">
        <f>'EQUITY BACKTEST'!B1711</f>
        <v/>
      </c>
      <c r="C1708" s="22" t="str">
        <f>'EQUITY BACKTEST'!E1711</f>
        <v/>
      </c>
    </row>
    <row r="1709" ht="15.75" customHeight="1">
      <c r="A1709" s="32" t="str">
        <f>'EQUITY BACKTEST'!A1712</f>
        <v/>
      </c>
      <c r="B1709" s="22" t="str">
        <f>'EQUITY BACKTEST'!B1712</f>
        <v/>
      </c>
      <c r="C1709" s="22" t="str">
        <f>'EQUITY BACKTEST'!E1712</f>
        <v/>
      </c>
    </row>
    <row r="1710" ht="15.75" customHeight="1">
      <c r="A1710" s="32" t="str">
        <f>'EQUITY BACKTEST'!A1713</f>
        <v/>
      </c>
      <c r="B1710" s="22" t="str">
        <f>'EQUITY BACKTEST'!B1713</f>
        <v/>
      </c>
      <c r="C1710" s="22" t="str">
        <f>'EQUITY BACKTEST'!E1713</f>
        <v/>
      </c>
    </row>
    <row r="1711" ht="15.75" customHeight="1">
      <c r="A1711" s="32" t="str">
        <f>'EQUITY BACKTEST'!A1714</f>
        <v/>
      </c>
      <c r="B1711" s="22" t="str">
        <f>'EQUITY BACKTEST'!B1714</f>
        <v/>
      </c>
      <c r="C1711" s="22" t="str">
        <f>'EQUITY BACKTEST'!E1714</f>
        <v/>
      </c>
    </row>
    <row r="1712" ht="15.75" customHeight="1">
      <c r="A1712" s="32" t="str">
        <f>'EQUITY BACKTEST'!A1715</f>
        <v/>
      </c>
      <c r="B1712" s="22" t="str">
        <f>'EQUITY BACKTEST'!B1715</f>
        <v/>
      </c>
      <c r="C1712" s="22" t="str">
        <f>'EQUITY BACKTEST'!E1715</f>
        <v/>
      </c>
    </row>
    <row r="1713" ht="15.75" customHeight="1">
      <c r="A1713" s="32" t="str">
        <f>'EQUITY BACKTEST'!A1716</f>
        <v/>
      </c>
      <c r="B1713" s="22" t="str">
        <f>'EQUITY BACKTEST'!B1716</f>
        <v/>
      </c>
      <c r="C1713" s="22" t="str">
        <f>'EQUITY BACKTEST'!E1716</f>
        <v/>
      </c>
    </row>
    <row r="1714" ht="15.75" customHeight="1">
      <c r="A1714" s="32" t="str">
        <f>'EQUITY BACKTEST'!A1717</f>
        <v/>
      </c>
      <c r="B1714" s="22" t="str">
        <f>'EQUITY BACKTEST'!B1717</f>
        <v/>
      </c>
      <c r="C1714" s="22" t="str">
        <f>'EQUITY BACKTEST'!E1717</f>
        <v/>
      </c>
    </row>
    <row r="1715" ht="15.75" customHeight="1">
      <c r="A1715" s="32" t="str">
        <f>'EQUITY BACKTEST'!A1718</f>
        <v/>
      </c>
      <c r="B1715" s="22" t="str">
        <f>'EQUITY BACKTEST'!B1718</f>
        <v/>
      </c>
      <c r="C1715" s="22" t="str">
        <f>'EQUITY BACKTEST'!E1718</f>
        <v/>
      </c>
    </row>
    <row r="1716" ht="15.75" customHeight="1">
      <c r="A1716" s="32" t="str">
        <f>'EQUITY BACKTEST'!A1719</f>
        <v/>
      </c>
      <c r="B1716" s="22" t="str">
        <f>'EQUITY BACKTEST'!B1719</f>
        <v/>
      </c>
      <c r="C1716" s="22" t="str">
        <f>'EQUITY BACKTEST'!E1719</f>
        <v/>
      </c>
    </row>
    <row r="1717" ht="15.75" customHeight="1">
      <c r="A1717" s="32" t="str">
        <f>'EQUITY BACKTEST'!A1720</f>
        <v/>
      </c>
      <c r="B1717" s="22" t="str">
        <f>'EQUITY BACKTEST'!B1720</f>
        <v/>
      </c>
      <c r="C1717" s="22" t="str">
        <f>'EQUITY BACKTEST'!E1720</f>
        <v/>
      </c>
    </row>
    <row r="1718" ht="15.75" customHeight="1">
      <c r="A1718" s="32" t="str">
        <f>'EQUITY BACKTEST'!A1721</f>
        <v/>
      </c>
      <c r="B1718" s="22" t="str">
        <f>'EQUITY BACKTEST'!B1721</f>
        <v/>
      </c>
      <c r="C1718" s="22" t="str">
        <f>'EQUITY BACKTEST'!E1721</f>
        <v/>
      </c>
    </row>
    <row r="1719" ht="15.75" customHeight="1">
      <c r="A1719" s="32" t="str">
        <f>'EQUITY BACKTEST'!A1722</f>
        <v/>
      </c>
      <c r="B1719" s="22" t="str">
        <f>'EQUITY BACKTEST'!B1722</f>
        <v/>
      </c>
      <c r="C1719" s="22" t="str">
        <f>'EQUITY BACKTEST'!E1722</f>
        <v/>
      </c>
    </row>
    <row r="1720" ht="15.75" customHeight="1">
      <c r="A1720" s="32" t="str">
        <f>'EQUITY BACKTEST'!A1723</f>
        <v/>
      </c>
      <c r="B1720" s="22" t="str">
        <f>'EQUITY BACKTEST'!B1723</f>
        <v/>
      </c>
      <c r="C1720" s="22" t="str">
        <f>'EQUITY BACKTEST'!E1723</f>
        <v/>
      </c>
    </row>
    <row r="1721" ht="15.75" customHeight="1">
      <c r="A1721" s="32" t="str">
        <f>'EQUITY BACKTEST'!A1724</f>
        <v/>
      </c>
      <c r="B1721" s="22" t="str">
        <f>'EQUITY BACKTEST'!B1724</f>
        <v/>
      </c>
      <c r="C1721" s="22" t="str">
        <f>'EQUITY BACKTEST'!E1724</f>
        <v/>
      </c>
    </row>
    <row r="1722" ht="15.75" customHeight="1">
      <c r="A1722" s="32" t="str">
        <f>'EQUITY BACKTEST'!A1725</f>
        <v/>
      </c>
      <c r="B1722" s="22" t="str">
        <f>'EQUITY BACKTEST'!B1725</f>
        <v/>
      </c>
      <c r="C1722" s="22" t="str">
        <f>'EQUITY BACKTEST'!E1725</f>
        <v/>
      </c>
    </row>
    <row r="1723" ht="15.75" customHeight="1">
      <c r="A1723" s="32" t="str">
        <f>'EQUITY BACKTEST'!A1726</f>
        <v/>
      </c>
      <c r="B1723" s="22" t="str">
        <f>'EQUITY BACKTEST'!B1726</f>
        <v/>
      </c>
      <c r="C1723" s="22" t="str">
        <f>'EQUITY BACKTEST'!E1726</f>
        <v/>
      </c>
    </row>
    <row r="1724" ht="15.75" customHeight="1">
      <c r="A1724" s="32" t="str">
        <f>'EQUITY BACKTEST'!A1727</f>
        <v/>
      </c>
      <c r="B1724" s="22" t="str">
        <f>'EQUITY BACKTEST'!B1727</f>
        <v/>
      </c>
      <c r="C1724" s="22" t="str">
        <f>'EQUITY BACKTEST'!E1727</f>
        <v/>
      </c>
    </row>
    <row r="1725" ht="15.75" customHeight="1">
      <c r="A1725" s="32" t="str">
        <f>'EQUITY BACKTEST'!A1728</f>
        <v/>
      </c>
      <c r="B1725" s="22" t="str">
        <f>'EQUITY BACKTEST'!B1728</f>
        <v/>
      </c>
      <c r="C1725" s="22" t="str">
        <f>'EQUITY BACKTEST'!E1728</f>
        <v/>
      </c>
    </row>
    <row r="1726" ht="15.75" customHeight="1">
      <c r="A1726" s="32" t="str">
        <f>'EQUITY BACKTEST'!A1729</f>
        <v/>
      </c>
      <c r="B1726" s="22" t="str">
        <f>'EQUITY BACKTEST'!B1729</f>
        <v/>
      </c>
      <c r="C1726" s="22" t="str">
        <f>'EQUITY BACKTEST'!E1729</f>
        <v/>
      </c>
    </row>
    <row r="1727" ht="15.75" customHeight="1">
      <c r="A1727" s="32" t="str">
        <f>'EQUITY BACKTEST'!A1730</f>
        <v/>
      </c>
      <c r="B1727" s="22" t="str">
        <f>'EQUITY BACKTEST'!B1730</f>
        <v/>
      </c>
      <c r="C1727" s="22" t="str">
        <f>'EQUITY BACKTEST'!E1730</f>
        <v/>
      </c>
    </row>
    <row r="1728" ht="15.75" customHeight="1">
      <c r="A1728" s="32" t="str">
        <f>'EQUITY BACKTEST'!A1731</f>
        <v/>
      </c>
      <c r="B1728" s="22" t="str">
        <f>'EQUITY BACKTEST'!B1731</f>
        <v/>
      </c>
      <c r="C1728" s="22" t="str">
        <f>'EQUITY BACKTEST'!E1731</f>
        <v/>
      </c>
    </row>
    <row r="1729" ht="15.75" customHeight="1">
      <c r="A1729" s="32" t="str">
        <f>'EQUITY BACKTEST'!A1732</f>
        <v/>
      </c>
      <c r="B1729" s="22" t="str">
        <f>'EQUITY BACKTEST'!B1732</f>
        <v/>
      </c>
      <c r="C1729" s="22" t="str">
        <f>'EQUITY BACKTEST'!E1732</f>
        <v/>
      </c>
    </row>
    <row r="1730" ht="15.75" customHeight="1">
      <c r="A1730" s="32" t="str">
        <f>'EQUITY BACKTEST'!A1733</f>
        <v/>
      </c>
      <c r="B1730" s="22" t="str">
        <f>'EQUITY BACKTEST'!B1733</f>
        <v/>
      </c>
      <c r="C1730" s="22" t="str">
        <f>'EQUITY BACKTEST'!E1733</f>
        <v/>
      </c>
    </row>
    <row r="1731" ht="15.75" customHeight="1">
      <c r="A1731" s="32" t="str">
        <f>'EQUITY BACKTEST'!A1734</f>
        <v/>
      </c>
      <c r="B1731" s="22" t="str">
        <f>'EQUITY BACKTEST'!B1734</f>
        <v/>
      </c>
      <c r="C1731" s="22" t="str">
        <f>'EQUITY BACKTEST'!E1734</f>
        <v/>
      </c>
    </row>
    <row r="1732" ht="15.75" customHeight="1">
      <c r="A1732" s="32" t="str">
        <f>'EQUITY BACKTEST'!A1735</f>
        <v/>
      </c>
      <c r="B1732" s="22" t="str">
        <f>'EQUITY BACKTEST'!B1735</f>
        <v/>
      </c>
      <c r="C1732" s="22" t="str">
        <f>'EQUITY BACKTEST'!E1735</f>
        <v/>
      </c>
    </row>
    <row r="1733" ht="15.75" customHeight="1">
      <c r="A1733" s="32" t="str">
        <f>'EQUITY BACKTEST'!A1736</f>
        <v/>
      </c>
      <c r="B1733" s="22" t="str">
        <f>'EQUITY BACKTEST'!B1736</f>
        <v/>
      </c>
      <c r="C1733" s="22" t="str">
        <f>'EQUITY BACKTEST'!E1736</f>
        <v/>
      </c>
    </row>
    <row r="1734" ht="15.75" customHeight="1">
      <c r="A1734" s="32" t="str">
        <f>'EQUITY BACKTEST'!A1737</f>
        <v/>
      </c>
      <c r="B1734" s="22" t="str">
        <f>'EQUITY BACKTEST'!B1737</f>
        <v/>
      </c>
      <c r="C1734" s="22" t="str">
        <f>'EQUITY BACKTEST'!E1737</f>
        <v/>
      </c>
    </row>
    <row r="1735" ht="15.75" customHeight="1">
      <c r="A1735" s="32" t="str">
        <f>'EQUITY BACKTEST'!A1738</f>
        <v/>
      </c>
      <c r="B1735" s="22" t="str">
        <f>'EQUITY BACKTEST'!B1738</f>
        <v/>
      </c>
      <c r="C1735" s="22" t="str">
        <f>'EQUITY BACKTEST'!E1738</f>
        <v/>
      </c>
    </row>
    <row r="1736" ht="15.75" customHeight="1">
      <c r="A1736" s="32" t="str">
        <f>'EQUITY BACKTEST'!A1739</f>
        <v/>
      </c>
      <c r="B1736" s="22" t="str">
        <f>'EQUITY BACKTEST'!B1739</f>
        <v/>
      </c>
      <c r="C1736" s="22" t="str">
        <f>'EQUITY BACKTEST'!E1739</f>
        <v/>
      </c>
    </row>
    <row r="1737" ht="15.75" customHeight="1">
      <c r="A1737" s="32" t="str">
        <f>'EQUITY BACKTEST'!A1740</f>
        <v/>
      </c>
      <c r="B1737" s="22" t="str">
        <f>'EQUITY BACKTEST'!B1740</f>
        <v/>
      </c>
      <c r="C1737" s="22" t="str">
        <f>'EQUITY BACKTEST'!E1740</f>
        <v/>
      </c>
    </row>
    <row r="1738" ht="15.75" customHeight="1">
      <c r="A1738" s="32" t="str">
        <f>'EQUITY BACKTEST'!A1741</f>
        <v/>
      </c>
      <c r="B1738" s="22" t="str">
        <f>'EQUITY BACKTEST'!B1741</f>
        <v/>
      </c>
      <c r="C1738" s="22" t="str">
        <f>'EQUITY BACKTEST'!E1741</f>
        <v/>
      </c>
    </row>
    <row r="1739" ht="15.75" customHeight="1">
      <c r="A1739" s="32" t="str">
        <f>'EQUITY BACKTEST'!A1742</f>
        <v/>
      </c>
      <c r="B1739" s="22" t="str">
        <f>'EQUITY BACKTEST'!B1742</f>
        <v/>
      </c>
      <c r="C1739" s="22" t="str">
        <f>'EQUITY BACKTEST'!E1742</f>
        <v/>
      </c>
    </row>
    <row r="1740" ht="15.75" customHeight="1">
      <c r="A1740" s="32" t="str">
        <f>'EQUITY BACKTEST'!A1743</f>
        <v/>
      </c>
      <c r="B1740" s="22" t="str">
        <f>'EQUITY BACKTEST'!B1743</f>
        <v/>
      </c>
      <c r="C1740" s="22" t="str">
        <f>'EQUITY BACKTEST'!E1743</f>
        <v/>
      </c>
    </row>
    <row r="1741" ht="15.75" customHeight="1">
      <c r="A1741" s="32" t="str">
        <f>'EQUITY BACKTEST'!A1744</f>
        <v/>
      </c>
      <c r="B1741" s="22" t="str">
        <f>'EQUITY BACKTEST'!B1744</f>
        <v/>
      </c>
      <c r="C1741" s="22" t="str">
        <f>'EQUITY BACKTEST'!E1744</f>
        <v/>
      </c>
    </row>
    <row r="1742" ht="15.75" customHeight="1">
      <c r="A1742" s="32" t="str">
        <f>'EQUITY BACKTEST'!A1745</f>
        <v/>
      </c>
      <c r="B1742" s="22" t="str">
        <f>'EQUITY BACKTEST'!B1745</f>
        <v/>
      </c>
      <c r="C1742" s="22" t="str">
        <f>'EQUITY BACKTEST'!E1745</f>
        <v/>
      </c>
    </row>
    <row r="1743" ht="15.75" customHeight="1">
      <c r="A1743" s="32" t="str">
        <f>'EQUITY BACKTEST'!A1746</f>
        <v/>
      </c>
      <c r="B1743" s="22" t="str">
        <f>'EQUITY BACKTEST'!B1746</f>
        <v/>
      </c>
      <c r="C1743" s="22" t="str">
        <f>'EQUITY BACKTEST'!E1746</f>
        <v/>
      </c>
    </row>
    <row r="1744" ht="15.75" customHeight="1">
      <c r="A1744" s="32" t="str">
        <f>'EQUITY BACKTEST'!A1747</f>
        <v/>
      </c>
      <c r="B1744" s="22" t="str">
        <f>'EQUITY BACKTEST'!B1747</f>
        <v/>
      </c>
      <c r="C1744" s="22" t="str">
        <f>'EQUITY BACKTEST'!E1747</f>
        <v/>
      </c>
    </row>
    <row r="1745" ht="15.75" customHeight="1">
      <c r="A1745" s="32" t="str">
        <f>'EQUITY BACKTEST'!A1748</f>
        <v/>
      </c>
      <c r="B1745" s="22" t="str">
        <f>'EQUITY BACKTEST'!B1748</f>
        <v/>
      </c>
      <c r="C1745" s="22" t="str">
        <f>'EQUITY BACKTEST'!E1748</f>
        <v/>
      </c>
    </row>
    <row r="1746" ht="15.75" customHeight="1">
      <c r="A1746" s="32" t="str">
        <f>'EQUITY BACKTEST'!A1749</f>
        <v/>
      </c>
      <c r="B1746" s="22" t="str">
        <f>'EQUITY BACKTEST'!B1749</f>
        <v/>
      </c>
      <c r="C1746" s="22" t="str">
        <f>'EQUITY BACKTEST'!E1749</f>
        <v/>
      </c>
    </row>
    <row r="1747" ht="15.75" customHeight="1">
      <c r="A1747" s="32" t="str">
        <f>'EQUITY BACKTEST'!A1750</f>
        <v/>
      </c>
      <c r="B1747" s="22" t="str">
        <f>'EQUITY BACKTEST'!B1750</f>
        <v/>
      </c>
      <c r="C1747" s="22" t="str">
        <f>'EQUITY BACKTEST'!E1750</f>
        <v/>
      </c>
    </row>
    <row r="1748" ht="15.75" customHeight="1">
      <c r="A1748" s="32" t="str">
        <f>'EQUITY BACKTEST'!A1751</f>
        <v/>
      </c>
      <c r="B1748" s="22" t="str">
        <f>'EQUITY BACKTEST'!B1751</f>
        <v/>
      </c>
      <c r="C1748" s="22" t="str">
        <f>'EQUITY BACKTEST'!E1751</f>
        <v/>
      </c>
    </row>
    <row r="1749" ht="15.75" customHeight="1">
      <c r="A1749" s="32" t="str">
        <f>'EQUITY BACKTEST'!A1752</f>
        <v/>
      </c>
      <c r="B1749" s="22" t="str">
        <f>'EQUITY BACKTEST'!B1752</f>
        <v/>
      </c>
      <c r="C1749" s="22" t="str">
        <f>'EQUITY BACKTEST'!E1752</f>
        <v/>
      </c>
    </row>
    <row r="1750" ht="15.75" customHeight="1">
      <c r="A1750" s="32" t="str">
        <f>'EQUITY BACKTEST'!A1753</f>
        <v/>
      </c>
      <c r="B1750" s="22" t="str">
        <f>'EQUITY BACKTEST'!B1753</f>
        <v/>
      </c>
      <c r="C1750" s="22" t="str">
        <f>'EQUITY BACKTEST'!E1753</f>
        <v/>
      </c>
    </row>
    <row r="1751" ht="15.75" customHeight="1">
      <c r="A1751" s="32" t="str">
        <f>'EQUITY BACKTEST'!A1754</f>
        <v/>
      </c>
      <c r="B1751" s="22" t="str">
        <f>'EQUITY BACKTEST'!B1754</f>
        <v/>
      </c>
      <c r="C1751" s="22" t="str">
        <f>'EQUITY BACKTEST'!E1754</f>
        <v/>
      </c>
    </row>
    <row r="1752" ht="15.75" customHeight="1">
      <c r="A1752" s="32" t="str">
        <f>'EQUITY BACKTEST'!A1755</f>
        <v/>
      </c>
      <c r="B1752" s="22" t="str">
        <f>'EQUITY BACKTEST'!B1755</f>
        <v/>
      </c>
      <c r="C1752" s="22" t="str">
        <f>'EQUITY BACKTEST'!E1755</f>
        <v/>
      </c>
    </row>
    <row r="1753" ht="15.75" customHeight="1">
      <c r="A1753" s="32" t="str">
        <f>'EQUITY BACKTEST'!A1756</f>
        <v/>
      </c>
      <c r="B1753" s="22" t="str">
        <f>'EQUITY BACKTEST'!B1756</f>
        <v/>
      </c>
      <c r="C1753" s="22" t="str">
        <f>'EQUITY BACKTEST'!E1756</f>
        <v/>
      </c>
    </row>
    <row r="1754" ht="15.75" customHeight="1">
      <c r="A1754" s="32" t="str">
        <f>'EQUITY BACKTEST'!A1757</f>
        <v/>
      </c>
      <c r="B1754" s="22" t="str">
        <f>'EQUITY BACKTEST'!B1757</f>
        <v/>
      </c>
      <c r="C1754" s="22" t="str">
        <f>'EQUITY BACKTEST'!E1757</f>
        <v/>
      </c>
    </row>
    <row r="1755" ht="15.75" customHeight="1">
      <c r="A1755" s="32" t="str">
        <f>'EQUITY BACKTEST'!A1758</f>
        <v/>
      </c>
      <c r="B1755" s="22" t="str">
        <f>'EQUITY BACKTEST'!B1758</f>
        <v/>
      </c>
      <c r="C1755" s="22" t="str">
        <f>'EQUITY BACKTEST'!E1758</f>
        <v/>
      </c>
    </row>
    <row r="1756" ht="15.75" customHeight="1">
      <c r="A1756" s="32" t="str">
        <f>'EQUITY BACKTEST'!A1759</f>
        <v/>
      </c>
      <c r="B1756" s="22" t="str">
        <f>'EQUITY BACKTEST'!B1759</f>
        <v/>
      </c>
      <c r="C1756" s="22" t="str">
        <f>'EQUITY BACKTEST'!E1759</f>
        <v/>
      </c>
    </row>
    <row r="1757" ht="15.75" customHeight="1">
      <c r="A1757" s="32" t="str">
        <f>'EQUITY BACKTEST'!A1760</f>
        <v/>
      </c>
      <c r="B1757" s="22" t="str">
        <f>'EQUITY BACKTEST'!B1760</f>
        <v/>
      </c>
      <c r="C1757" s="22" t="str">
        <f>'EQUITY BACKTEST'!E1760</f>
        <v/>
      </c>
    </row>
    <row r="1758" ht="15.75" customHeight="1">
      <c r="A1758" s="32" t="str">
        <f>'EQUITY BACKTEST'!A1761</f>
        <v/>
      </c>
      <c r="B1758" s="22" t="str">
        <f>'EQUITY BACKTEST'!B1761</f>
        <v/>
      </c>
      <c r="C1758" s="22" t="str">
        <f>'EQUITY BACKTEST'!E1761</f>
        <v/>
      </c>
    </row>
    <row r="1759" ht="15.75" customHeight="1">
      <c r="A1759" s="32" t="str">
        <f>'EQUITY BACKTEST'!A1762</f>
        <v/>
      </c>
      <c r="B1759" s="22" t="str">
        <f>'EQUITY BACKTEST'!B1762</f>
        <v/>
      </c>
      <c r="C1759" s="22" t="str">
        <f>'EQUITY BACKTEST'!E1762</f>
        <v/>
      </c>
    </row>
    <row r="1760" ht="15.75" customHeight="1">
      <c r="A1760" s="32" t="str">
        <f>'EQUITY BACKTEST'!A1763</f>
        <v/>
      </c>
      <c r="B1760" s="22" t="str">
        <f>'EQUITY BACKTEST'!B1763</f>
        <v/>
      </c>
      <c r="C1760" s="22" t="str">
        <f>'EQUITY BACKTEST'!E1763</f>
        <v/>
      </c>
    </row>
    <row r="1761" ht="15.75" customHeight="1">
      <c r="A1761" s="32" t="str">
        <f>'EQUITY BACKTEST'!A1764</f>
        <v/>
      </c>
      <c r="B1761" s="22" t="str">
        <f>'EQUITY BACKTEST'!B1764</f>
        <v/>
      </c>
      <c r="C1761" s="22" t="str">
        <f>'EQUITY BACKTEST'!E1764</f>
        <v/>
      </c>
    </row>
    <row r="1762" ht="15.75" customHeight="1">
      <c r="A1762" s="32" t="str">
        <f>'EQUITY BACKTEST'!A1765</f>
        <v/>
      </c>
      <c r="B1762" s="22" t="str">
        <f>'EQUITY BACKTEST'!B1765</f>
        <v/>
      </c>
      <c r="C1762" s="22" t="str">
        <f>'EQUITY BACKTEST'!E1765</f>
        <v/>
      </c>
    </row>
    <row r="1763" ht="15.75" customHeight="1">
      <c r="A1763" s="32" t="str">
        <f>'EQUITY BACKTEST'!A1766</f>
        <v/>
      </c>
      <c r="B1763" s="22" t="str">
        <f>'EQUITY BACKTEST'!B1766</f>
        <v/>
      </c>
      <c r="C1763" s="22" t="str">
        <f>'EQUITY BACKTEST'!E1766</f>
        <v/>
      </c>
    </row>
    <row r="1764" ht="15.75" customHeight="1">
      <c r="A1764" s="32" t="str">
        <f>'EQUITY BACKTEST'!A1767</f>
        <v/>
      </c>
      <c r="B1764" s="22" t="str">
        <f>'EQUITY BACKTEST'!B1767</f>
        <v/>
      </c>
      <c r="C1764" s="22" t="str">
        <f>'EQUITY BACKTEST'!E1767</f>
        <v/>
      </c>
    </row>
    <row r="1765" ht="15.75" customHeight="1">
      <c r="A1765" s="32" t="str">
        <f>'EQUITY BACKTEST'!A1768</f>
        <v/>
      </c>
      <c r="B1765" s="22" t="str">
        <f>'EQUITY BACKTEST'!B1768</f>
        <v/>
      </c>
      <c r="C1765" s="22" t="str">
        <f>'EQUITY BACKTEST'!E1768</f>
        <v/>
      </c>
    </row>
    <row r="1766" ht="15.75" customHeight="1">
      <c r="A1766" s="32" t="str">
        <f>'EQUITY BACKTEST'!A1769</f>
        <v/>
      </c>
      <c r="B1766" s="22" t="str">
        <f>'EQUITY BACKTEST'!B1769</f>
        <v/>
      </c>
      <c r="C1766" s="22" t="str">
        <f>'EQUITY BACKTEST'!E1769</f>
        <v/>
      </c>
    </row>
    <row r="1767" ht="15.75" customHeight="1">
      <c r="A1767" s="32" t="str">
        <f>'EQUITY BACKTEST'!A1770</f>
        <v/>
      </c>
      <c r="B1767" s="22" t="str">
        <f>'EQUITY BACKTEST'!B1770</f>
        <v/>
      </c>
      <c r="C1767" s="22" t="str">
        <f>'EQUITY BACKTEST'!E1770</f>
        <v/>
      </c>
    </row>
    <row r="1768" ht="15.75" customHeight="1">
      <c r="A1768" s="32" t="str">
        <f>'EQUITY BACKTEST'!A1771</f>
        <v/>
      </c>
      <c r="B1768" s="22" t="str">
        <f>'EQUITY BACKTEST'!B1771</f>
        <v/>
      </c>
      <c r="C1768" s="22" t="str">
        <f>'EQUITY BACKTEST'!E1771</f>
        <v/>
      </c>
    </row>
    <row r="1769" ht="15.75" customHeight="1">
      <c r="A1769" s="32" t="str">
        <f>'EQUITY BACKTEST'!A1772</f>
        <v/>
      </c>
      <c r="B1769" s="22" t="str">
        <f>'EQUITY BACKTEST'!B1772</f>
        <v/>
      </c>
      <c r="C1769" s="22" t="str">
        <f>'EQUITY BACKTEST'!E1772</f>
        <v/>
      </c>
    </row>
    <row r="1770" ht="15.75" customHeight="1">
      <c r="A1770" s="32" t="str">
        <f>'EQUITY BACKTEST'!A1773</f>
        <v/>
      </c>
      <c r="B1770" s="22" t="str">
        <f>'EQUITY BACKTEST'!B1773</f>
        <v/>
      </c>
      <c r="C1770" s="22" t="str">
        <f>'EQUITY BACKTEST'!E1773</f>
        <v/>
      </c>
    </row>
    <row r="1771" ht="15.75" customHeight="1">
      <c r="A1771" s="32" t="str">
        <f>'EQUITY BACKTEST'!A1774</f>
        <v/>
      </c>
      <c r="B1771" s="22" t="str">
        <f>'EQUITY BACKTEST'!B1774</f>
        <v/>
      </c>
      <c r="C1771" s="22" t="str">
        <f>'EQUITY BACKTEST'!E1774</f>
        <v/>
      </c>
    </row>
    <row r="1772" ht="15.75" customHeight="1">
      <c r="A1772" s="32" t="str">
        <f>'EQUITY BACKTEST'!A1775</f>
        <v/>
      </c>
      <c r="B1772" s="22" t="str">
        <f>'EQUITY BACKTEST'!B1775</f>
        <v/>
      </c>
      <c r="C1772" s="22" t="str">
        <f>'EQUITY BACKTEST'!E1775</f>
        <v/>
      </c>
    </row>
    <row r="1773" ht="15.75" customHeight="1">
      <c r="A1773" s="32" t="str">
        <f>'EQUITY BACKTEST'!A1776</f>
        <v/>
      </c>
      <c r="B1773" s="22" t="str">
        <f>'EQUITY BACKTEST'!B1776</f>
        <v/>
      </c>
      <c r="C1773" s="22" t="str">
        <f>'EQUITY BACKTEST'!E1776</f>
        <v/>
      </c>
    </row>
    <row r="1774" ht="15.75" customHeight="1">
      <c r="A1774" s="32" t="str">
        <f>'EQUITY BACKTEST'!A1777</f>
        <v/>
      </c>
      <c r="B1774" s="22" t="str">
        <f>'EQUITY BACKTEST'!B1777</f>
        <v/>
      </c>
      <c r="C1774" s="22" t="str">
        <f>'EQUITY BACKTEST'!E1777</f>
        <v/>
      </c>
    </row>
    <row r="1775" ht="15.75" customHeight="1">
      <c r="A1775" s="32" t="str">
        <f>'EQUITY BACKTEST'!A1778</f>
        <v/>
      </c>
      <c r="B1775" s="22" t="str">
        <f>'EQUITY BACKTEST'!B1778</f>
        <v/>
      </c>
      <c r="C1775" s="22" t="str">
        <f>'EQUITY BACKTEST'!E1778</f>
        <v/>
      </c>
    </row>
    <row r="1776" ht="15.75" customHeight="1">
      <c r="A1776" s="32" t="str">
        <f>'EQUITY BACKTEST'!A1779</f>
        <v/>
      </c>
      <c r="B1776" s="22" t="str">
        <f>'EQUITY BACKTEST'!B1779</f>
        <v/>
      </c>
      <c r="C1776" s="22" t="str">
        <f>'EQUITY BACKTEST'!E1779</f>
        <v/>
      </c>
    </row>
    <row r="1777" ht="15.75" customHeight="1">
      <c r="A1777" s="32" t="str">
        <f>'EQUITY BACKTEST'!A1780</f>
        <v/>
      </c>
      <c r="B1777" s="22" t="str">
        <f>'EQUITY BACKTEST'!B1780</f>
        <v/>
      </c>
      <c r="C1777" s="22" t="str">
        <f>'EQUITY BACKTEST'!E1780</f>
        <v/>
      </c>
    </row>
    <row r="1778" ht="15.75" customHeight="1">
      <c r="A1778" s="32" t="str">
        <f>'EQUITY BACKTEST'!A1781</f>
        <v/>
      </c>
      <c r="B1778" s="22" t="str">
        <f>'EQUITY BACKTEST'!B1781</f>
        <v/>
      </c>
      <c r="C1778" s="22" t="str">
        <f>'EQUITY BACKTEST'!E1781</f>
        <v/>
      </c>
    </row>
    <row r="1779" ht="15.75" customHeight="1">
      <c r="A1779" s="32" t="str">
        <f>'EQUITY BACKTEST'!A1782</f>
        <v/>
      </c>
      <c r="B1779" s="22" t="str">
        <f>'EQUITY BACKTEST'!B1782</f>
        <v/>
      </c>
      <c r="C1779" s="22" t="str">
        <f>'EQUITY BACKTEST'!E1782</f>
        <v/>
      </c>
    </row>
    <row r="1780" ht="15.75" customHeight="1">
      <c r="A1780" s="32" t="str">
        <f>'EQUITY BACKTEST'!A1783</f>
        <v/>
      </c>
      <c r="B1780" s="22" t="str">
        <f>'EQUITY BACKTEST'!B1783</f>
        <v/>
      </c>
      <c r="C1780" s="22" t="str">
        <f>'EQUITY BACKTEST'!E1783</f>
        <v/>
      </c>
    </row>
    <row r="1781" ht="15.75" customHeight="1">
      <c r="A1781" s="32" t="str">
        <f>'EQUITY BACKTEST'!A1784</f>
        <v/>
      </c>
      <c r="B1781" s="22" t="str">
        <f>'EQUITY BACKTEST'!B1784</f>
        <v/>
      </c>
      <c r="C1781" s="22" t="str">
        <f>'EQUITY BACKTEST'!E1784</f>
        <v/>
      </c>
    </row>
    <row r="1782" ht="15.75" customHeight="1">
      <c r="A1782" s="32" t="str">
        <f>'EQUITY BACKTEST'!A1785</f>
        <v/>
      </c>
      <c r="B1782" s="22" t="str">
        <f>'EQUITY BACKTEST'!B1785</f>
        <v/>
      </c>
      <c r="C1782" s="22" t="str">
        <f>'EQUITY BACKTEST'!E1785</f>
        <v/>
      </c>
    </row>
    <row r="1783" ht="15.75" customHeight="1">
      <c r="A1783" s="32" t="str">
        <f>'EQUITY BACKTEST'!A1786</f>
        <v/>
      </c>
      <c r="B1783" s="22" t="str">
        <f>'EQUITY BACKTEST'!B1786</f>
        <v/>
      </c>
      <c r="C1783" s="22" t="str">
        <f>'EQUITY BACKTEST'!E1786</f>
        <v/>
      </c>
    </row>
    <row r="1784" ht="15.75" customHeight="1">
      <c r="A1784" s="32" t="str">
        <f>'EQUITY BACKTEST'!A1787</f>
        <v/>
      </c>
      <c r="B1784" s="22" t="str">
        <f>'EQUITY BACKTEST'!B1787</f>
        <v/>
      </c>
      <c r="C1784" s="22" t="str">
        <f>'EQUITY BACKTEST'!E1787</f>
        <v/>
      </c>
    </row>
    <row r="1785" ht="15.75" customHeight="1">
      <c r="A1785" s="32" t="str">
        <f>'EQUITY BACKTEST'!A1788</f>
        <v/>
      </c>
      <c r="B1785" s="22" t="str">
        <f>'EQUITY BACKTEST'!B1788</f>
        <v/>
      </c>
      <c r="C1785" s="22" t="str">
        <f>'EQUITY BACKTEST'!E1788</f>
        <v/>
      </c>
    </row>
    <row r="1786" ht="15.75" customHeight="1">
      <c r="A1786" s="32" t="str">
        <f>'EQUITY BACKTEST'!A1789</f>
        <v/>
      </c>
      <c r="B1786" s="22" t="str">
        <f>'EQUITY BACKTEST'!B1789</f>
        <v/>
      </c>
      <c r="C1786" s="22" t="str">
        <f>'EQUITY BACKTEST'!E1789</f>
        <v/>
      </c>
    </row>
    <row r="1787" ht="15.75" customHeight="1">
      <c r="A1787" s="32" t="str">
        <f>'EQUITY BACKTEST'!A1790</f>
        <v/>
      </c>
      <c r="B1787" s="22" t="str">
        <f>'EQUITY BACKTEST'!B1790</f>
        <v/>
      </c>
      <c r="C1787" s="22" t="str">
        <f>'EQUITY BACKTEST'!E1790</f>
        <v/>
      </c>
    </row>
    <row r="1788" ht="15.75" customHeight="1">
      <c r="A1788" s="32" t="str">
        <f>'EQUITY BACKTEST'!A1791</f>
        <v/>
      </c>
      <c r="B1788" s="22" t="str">
        <f>'EQUITY BACKTEST'!B1791</f>
        <v/>
      </c>
      <c r="C1788" s="22" t="str">
        <f>'EQUITY BACKTEST'!E1791</f>
        <v/>
      </c>
    </row>
    <row r="1789" ht="15.75" customHeight="1">
      <c r="A1789" s="32" t="str">
        <f>'EQUITY BACKTEST'!A1792</f>
        <v/>
      </c>
      <c r="B1789" s="22" t="str">
        <f>'EQUITY BACKTEST'!B1792</f>
        <v/>
      </c>
      <c r="C1789" s="22" t="str">
        <f>'EQUITY BACKTEST'!E1792</f>
        <v/>
      </c>
    </row>
    <row r="1790" ht="15.75" customHeight="1">
      <c r="A1790" s="32" t="str">
        <f>'EQUITY BACKTEST'!A1793</f>
        <v/>
      </c>
      <c r="B1790" s="22" t="str">
        <f>'EQUITY BACKTEST'!B1793</f>
        <v/>
      </c>
      <c r="C1790" s="22" t="str">
        <f>'EQUITY BACKTEST'!E1793</f>
        <v/>
      </c>
    </row>
    <row r="1791" ht="15.75" customHeight="1">
      <c r="A1791" s="32" t="str">
        <f>'EQUITY BACKTEST'!A1794</f>
        <v/>
      </c>
      <c r="B1791" s="22" t="str">
        <f>'EQUITY BACKTEST'!B1794</f>
        <v/>
      </c>
      <c r="C1791" s="22" t="str">
        <f>'EQUITY BACKTEST'!E1794</f>
        <v/>
      </c>
    </row>
    <row r="1792" ht="15.75" customHeight="1">
      <c r="A1792" s="32" t="str">
        <f>'EQUITY BACKTEST'!A1795</f>
        <v/>
      </c>
      <c r="B1792" s="22" t="str">
        <f>'EQUITY BACKTEST'!B1795</f>
        <v/>
      </c>
      <c r="C1792" s="22" t="str">
        <f>'EQUITY BACKTEST'!E1795</f>
        <v/>
      </c>
    </row>
    <row r="1793" ht="15.75" customHeight="1">
      <c r="A1793" s="32" t="str">
        <f>'EQUITY BACKTEST'!A1796</f>
        <v/>
      </c>
      <c r="B1793" s="22" t="str">
        <f>'EQUITY BACKTEST'!B1796</f>
        <v/>
      </c>
      <c r="C1793" s="22" t="str">
        <f>'EQUITY BACKTEST'!E1796</f>
        <v/>
      </c>
    </row>
    <row r="1794" ht="15.75" customHeight="1">
      <c r="A1794" s="32" t="str">
        <f>'EQUITY BACKTEST'!A1797</f>
        <v/>
      </c>
      <c r="B1794" s="22" t="str">
        <f>'EQUITY BACKTEST'!B1797</f>
        <v/>
      </c>
      <c r="C1794" s="22" t="str">
        <f>'EQUITY BACKTEST'!E1797</f>
        <v/>
      </c>
    </row>
    <row r="1795" ht="15.75" customHeight="1">
      <c r="A1795" s="32" t="str">
        <f>'EQUITY BACKTEST'!A1798</f>
        <v/>
      </c>
      <c r="B1795" s="22" t="str">
        <f>'EQUITY BACKTEST'!B1798</f>
        <v/>
      </c>
      <c r="C1795" s="22" t="str">
        <f>'EQUITY BACKTEST'!E1798</f>
        <v/>
      </c>
    </row>
    <row r="1796" ht="15.75" customHeight="1">
      <c r="A1796" s="32" t="str">
        <f>'EQUITY BACKTEST'!A1799</f>
        <v/>
      </c>
      <c r="B1796" s="22" t="str">
        <f>'EQUITY BACKTEST'!B1799</f>
        <v/>
      </c>
      <c r="C1796" s="22" t="str">
        <f>'EQUITY BACKTEST'!E1799</f>
        <v/>
      </c>
    </row>
    <row r="1797" ht="15.75" customHeight="1">
      <c r="A1797" s="32" t="str">
        <f>'EQUITY BACKTEST'!A1800</f>
        <v/>
      </c>
      <c r="B1797" s="22" t="str">
        <f>'EQUITY BACKTEST'!B1800</f>
        <v/>
      </c>
      <c r="C1797" s="22" t="str">
        <f>'EQUITY BACKTEST'!E1800</f>
        <v/>
      </c>
    </row>
    <row r="1798" ht="15.75" customHeight="1">
      <c r="A1798" s="32" t="str">
        <f>'EQUITY BACKTEST'!A1801</f>
        <v/>
      </c>
      <c r="B1798" s="22" t="str">
        <f>'EQUITY BACKTEST'!B1801</f>
        <v/>
      </c>
      <c r="C1798" s="22" t="str">
        <f>'EQUITY BACKTEST'!E1801</f>
        <v/>
      </c>
    </row>
    <row r="1799" ht="15.75" customHeight="1">
      <c r="A1799" s="32" t="str">
        <f>'EQUITY BACKTEST'!A1802</f>
        <v/>
      </c>
      <c r="B1799" s="22" t="str">
        <f>'EQUITY BACKTEST'!B1802</f>
        <v/>
      </c>
      <c r="C1799" s="22" t="str">
        <f>'EQUITY BACKTEST'!E1802</f>
        <v/>
      </c>
    </row>
    <row r="1800" ht="15.75" customHeight="1">
      <c r="A1800" s="32" t="str">
        <f>'EQUITY BACKTEST'!A1803</f>
        <v/>
      </c>
      <c r="B1800" s="22" t="str">
        <f>'EQUITY BACKTEST'!B1803</f>
        <v/>
      </c>
      <c r="C1800" s="22" t="str">
        <f>'EQUITY BACKTEST'!E1803</f>
        <v/>
      </c>
    </row>
    <row r="1801" ht="15.75" customHeight="1">
      <c r="A1801" s="32" t="str">
        <f>'EQUITY BACKTEST'!A1804</f>
        <v/>
      </c>
      <c r="B1801" s="22" t="str">
        <f>'EQUITY BACKTEST'!B1804</f>
        <v/>
      </c>
      <c r="C1801" s="22" t="str">
        <f>'EQUITY BACKTEST'!E1804</f>
        <v/>
      </c>
    </row>
    <row r="1802" ht="15.75" customHeight="1">
      <c r="A1802" s="32" t="str">
        <f>'EQUITY BACKTEST'!A1805</f>
        <v/>
      </c>
      <c r="B1802" s="22" t="str">
        <f>'EQUITY BACKTEST'!B1805</f>
        <v/>
      </c>
      <c r="C1802" s="22" t="str">
        <f>'EQUITY BACKTEST'!E1805</f>
        <v/>
      </c>
    </row>
    <row r="1803" ht="15.75" customHeight="1">
      <c r="A1803" s="32" t="str">
        <f>'EQUITY BACKTEST'!A1806</f>
        <v/>
      </c>
      <c r="B1803" s="22" t="str">
        <f>'EQUITY BACKTEST'!B1806</f>
        <v/>
      </c>
      <c r="C1803" s="22" t="str">
        <f>'EQUITY BACKTEST'!E1806</f>
        <v/>
      </c>
    </row>
    <row r="1804" ht="15.75" customHeight="1">
      <c r="A1804" s="32" t="str">
        <f>'EQUITY BACKTEST'!A1807</f>
        <v/>
      </c>
      <c r="B1804" s="22" t="str">
        <f>'EQUITY BACKTEST'!B1807</f>
        <v/>
      </c>
      <c r="C1804" s="22" t="str">
        <f>'EQUITY BACKTEST'!E1807</f>
        <v/>
      </c>
    </row>
    <row r="1805" ht="15.75" customHeight="1">
      <c r="A1805" s="32" t="str">
        <f>'EQUITY BACKTEST'!A1808</f>
        <v/>
      </c>
      <c r="B1805" s="22" t="str">
        <f>'EQUITY BACKTEST'!B1808</f>
        <v/>
      </c>
      <c r="C1805" s="22" t="str">
        <f>'EQUITY BACKTEST'!E1808</f>
        <v/>
      </c>
    </row>
    <row r="1806" ht="15.75" customHeight="1">
      <c r="A1806" s="32" t="str">
        <f>'EQUITY BACKTEST'!A1809</f>
        <v/>
      </c>
      <c r="B1806" s="22" t="str">
        <f>'EQUITY BACKTEST'!B1809</f>
        <v/>
      </c>
      <c r="C1806" s="22" t="str">
        <f>'EQUITY BACKTEST'!E1809</f>
        <v/>
      </c>
    </row>
    <row r="1807" ht="15.75" customHeight="1">
      <c r="A1807" s="32" t="str">
        <f>'EQUITY BACKTEST'!A1810</f>
        <v/>
      </c>
      <c r="B1807" s="22" t="str">
        <f>'EQUITY BACKTEST'!B1810</f>
        <v/>
      </c>
      <c r="C1807" s="22" t="str">
        <f>'EQUITY BACKTEST'!E1810</f>
        <v/>
      </c>
    </row>
    <row r="1808" ht="15.75" customHeight="1">
      <c r="A1808" s="32" t="str">
        <f>'EQUITY BACKTEST'!A1811</f>
        <v/>
      </c>
      <c r="B1808" s="22" t="str">
        <f>'EQUITY BACKTEST'!B1811</f>
        <v/>
      </c>
      <c r="C1808" s="22" t="str">
        <f>'EQUITY BACKTEST'!E1811</f>
        <v/>
      </c>
    </row>
    <row r="1809" ht="15.75" customHeight="1">
      <c r="A1809" s="32" t="str">
        <f>'EQUITY BACKTEST'!A1812</f>
        <v/>
      </c>
      <c r="B1809" s="22" t="str">
        <f>'EQUITY BACKTEST'!B1812</f>
        <v/>
      </c>
      <c r="C1809" s="22" t="str">
        <f>'EQUITY BACKTEST'!E1812</f>
        <v/>
      </c>
    </row>
    <row r="1810" ht="15.75" customHeight="1">
      <c r="A1810" s="32" t="str">
        <f>'EQUITY BACKTEST'!A1813</f>
        <v/>
      </c>
      <c r="B1810" s="22" t="str">
        <f>'EQUITY BACKTEST'!B1813</f>
        <v/>
      </c>
      <c r="C1810" s="22" t="str">
        <f>'EQUITY BACKTEST'!E1813</f>
        <v/>
      </c>
    </row>
    <row r="1811" ht="15.75" customHeight="1">
      <c r="A1811" s="32" t="str">
        <f>'EQUITY BACKTEST'!A1814</f>
        <v/>
      </c>
      <c r="B1811" s="22" t="str">
        <f>'EQUITY BACKTEST'!B1814</f>
        <v/>
      </c>
      <c r="C1811" s="22" t="str">
        <f>'EQUITY BACKTEST'!E1814</f>
        <v/>
      </c>
    </row>
    <row r="1812" ht="15.75" customHeight="1">
      <c r="A1812" s="32" t="str">
        <f>'EQUITY BACKTEST'!A1815</f>
        <v/>
      </c>
      <c r="B1812" s="22" t="str">
        <f>'EQUITY BACKTEST'!B1815</f>
        <v/>
      </c>
      <c r="C1812" s="22" t="str">
        <f>'EQUITY BACKTEST'!E1815</f>
        <v/>
      </c>
    </row>
    <row r="1813" ht="15.75" customHeight="1">
      <c r="A1813" s="32" t="str">
        <f>'EQUITY BACKTEST'!A1816</f>
        <v/>
      </c>
      <c r="B1813" s="22" t="str">
        <f>'EQUITY BACKTEST'!B1816</f>
        <v/>
      </c>
      <c r="C1813" s="22" t="str">
        <f>'EQUITY BACKTEST'!E1816</f>
        <v/>
      </c>
    </row>
    <row r="1814" ht="15.75" customHeight="1">
      <c r="A1814" s="32" t="str">
        <f>'EQUITY BACKTEST'!A1817</f>
        <v/>
      </c>
      <c r="B1814" s="22" t="str">
        <f>'EQUITY BACKTEST'!B1817</f>
        <v/>
      </c>
      <c r="C1814" s="22" t="str">
        <f>'EQUITY BACKTEST'!E1817</f>
        <v/>
      </c>
    </row>
    <row r="1815" ht="15.75" customHeight="1">
      <c r="A1815" s="32" t="str">
        <f>'EQUITY BACKTEST'!A1818</f>
        <v/>
      </c>
      <c r="B1815" s="22" t="str">
        <f>'EQUITY BACKTEST'!B1818</f>
        <v/>
      </c>
      <c r="C1815" s="22" t="str">
        <f>'EQUITY BACKTEST'!E1818</f>
        <v/>
      </c>
    </row>
    <row r="1816" ht="15.75" customHeight="1">
      <c r="A1816" s="32" t="str">
        <f>'EQUITY BACKTEST'!A1819</f>
        <v/>
      </c>
      <c r="B1816" s="22" t="str">
        <f>'EQUITY BACKTEST'!B1819</f>
        <v/>
      </c>
      <c r="C1816" s="22" t="str">
        <f>'EQUITY BACKTEST'!E1819</f>
        <v/>
      </c>
    </row>
    <row r="1817" ht="15.75" customHeight="1">
      <c r="A1817" s="32" t="str">
        <f>'EQUITY BACKTEST'!A1820</f>
        <v/>
      </c>
      <c r="B1817" s="22" t="str">
        <f>'EQUITY BACKTEST'!B1820</f>
        <v/>
      </c>
      <c r="C1817" s="22" t="str">
        <f>'EQUITY BACKTEST'!E1820</f>
        <v/>
      </c>
    </row>
    <row r="1818" ht="15.75" customHeight="1">
      <c r="A1818" s="32" t="str">
        <f>'EQUITY BACKTEST'!A1821</f>
        <v/>
      </c>
      <c r="B1818" s="22" t="str">
        <f>'EQUITY BACKTEST'!B1821</f>
        <v/>
      </c>
      <c r="C1818" s="22" t="str">
        <f>'EQUITY BACKTEST'!E1821</f>
        <v/>
      </c>
    </row>
    <row r="1819" ht="15.75" customHeight="1">
      <c r="A1819" s="32" t="str">
        <f>'EQUITY BACKTEST'!A1822</f>
        <v/>
      </c>
      <c r="B1819" s="22" t="str">
        <f>'EQUITY BACKTEST'!B1822</f>
        <v/>
      </c>
      <c r="C1819" s="22" t="str">
        <f>'EQUITY BACKTEST'!E1822</f>
        <v/>
      </c>
    </row>
    <row r="1820" ht="15.75" customHeight="1">
      <c r="A1820" s="32" t="str">
        <f>'EQUITY BACKTEST'!A1823</f>
        <v/>
      </c>
      <c r="B1820" s="22" t="str">
        <f>'EQUITY BACKTEST'!B1823</f>
        <v/>
      </c>
      <c r="C1820" s="22" t="str">
        <f>'EQUITY BACKTEST'!E1823</f>
        <v/>
      </c>
    </row>
    <row r="1821" ht="15.75" customHeight="1">
      <c r="A1821" s="32" t="str">
        <f>'EQUITY BACKTEST'!A1824</f>
        <v/>
      </c>
      <c r="B1821" s="22" t="str">
        <f>'EQUITY BACKTEST'!B1824</f>
        <v/>
      </c>
      <c r="C1821" s="22" t="str">
        <f>'EQUITY BACKTEST'!E1824</f>
        <v/>
      </c>
    </row>
    <row r="1822" ht="15.75" customHeight="1">
      <c r="A1822" s="22" t="str">
        <f>'EQUITY BACKTEST'!A1825</f>
        <v/>
      </c>
      <c r="B1822" s="22" t="str">
        <f>'EQUITY BACKTEST'!B1825</f>
        <v/>
      </c>
      <c r="C1822" s="22" t="str">
        <f>'EQUITY BACKTEST'!E1825</f>
        <v/>
      </c>
    </row>
    <row r="1823" ht="15.75" customHeight="1">
      <c r="A1823" s="22" t="str">
        <f>'EQUITY BACKTEST'!A1826</f>
        <v/>
      </c>
      <c r="B1823" s="22" t="str">
        <f>'EQUITY BACKTEST'!B1826</f>
        <v/>
      </c>
      <c r="C1823" s="22" t="str">
        <f>'EQUITY BACKTEST'!E1826</f>
        <v/>
      </c>
    </row>
    <row r="1824" ht="15.75" customHeight="1">
      <c r="A1824" s="22" t="str">
        <f>'EQUITY BACKTEST'!A1827</f>
        <v/>
      </c>
      <c r="B1824" s="22" t="str">
        <f>'EQUITY BACKTEST'!B1827</f>
        <v/>
      </c>
      <c r="C1824" s="22" t="str">
        <f>'EQUITY BACKTEST'!E1827</f>
        <v/>
      </c>
    </row>
    <row r="1825" ht="15.75" customHeight="1">
      <c r="A1825" s="22" t="str">
        <f>'EQUITY BACKTEST'!A1828</f>
        <v/>
      </c>
      <c r="B1825" s="22" t="str">
        <f>'EQUITY BACKTEST'!B1828</f>
        <v/>
      </c>
      <c r="C1825" s="22" t="str">
        <f>'EQUITY BACKTEST'!E1828</f>
        <v/>
      </c>
    </row>
    <row r="1826" ht="15.75" customHeight="1">
      <c r="A1826" s="22" t="str">
        <f>'EQUITY BACKTEST'!A1829</f>
        <v/>
      </c>
      <c r="B1826" s="22" t="str">
        <f>'EQUITY BACKTEST'!B1829</f>
        <v/>
      </c>
      <c r="C1826" s="22" t="str">
        <f>'EQUITY BACKTEST'!E1829</f>
        <v/>
      </c>
    </row>
    <row r="1827" ht="15.75" customHeight="1">
      <c r="A1827" s="22" t="str">
        <f>'EQUITY BACKTEST'!A1830</f>
        <v/>
      </c>
      <c r="B1827" s="22" t="str">
        <f>'EQUITY BACKTEST'!B1830</f>
        <v/>
      </c>
      <c r="C1827" s="22" t="str">
        <f>'EQUITY BACKTEST'!E1830</f>
        <v/>
      </c>
    </row>
    <row r="1828" ht="15.75" customHeight="1">
      <c r="A1828" s="22" t="str">
        <f>'EQUITY BACKTEST'!A1831</f>
        <v/>
      </c>
      <c r="B1828" s="22" t="str">
        <f>'EQUITY BACKTEST'!B1831</f>
        <v/>
      </c>
      <c r="C1828" s="22" t="str">
        <f>'EQUITY BACKTEST'!E1831</f>
        <v/>
      </c>
    </row>
    <row r="1829" ht="15.75" customHeight="1">
      <c r="A1829" s="22" t="str">
        <f>'EQUITY BACKTEST'!A1832</f>
        <v/>
      </c>
      <c r="B1829" s="22" t="str">
        <f>'EQUITY BACKTEST'!B1832</f>
        <v/>
      </c>
      <c r="C1829" s="22" t="str">
        <f>'EQUITY BACKTEST'!E1832</f>
        <v/>
      </c>
    </row>
    <row r="1830" ht="15.75" customHeight="1">
      <c r="A1830" s="22" t="str">
        <f>'EQUITY BACKTEST'!A1833</f>
        <v/>
      </c>
      <c r="B1830" s="22" t="str">
        <f>'EQUITY BACKTEST'!B1833</f>
        <v/>
      </c>
      <c r="C1830" s="22" t="str">
        <f>'EQUITY BACKTEST'!E1833</f>
        <v/>
      </c>
    </row>
    <row r="1831" ht="15.75" customHeight="1">
      <c r="A1831" s="22" t="str">
        <f>'EQUITY BACKTEST'!A1834</f>
        <v/>
      </c>
      <c r="B1831" s="22" t="str">
        <f>'EQUITY BACKTEST'!B1834</f>
        <v/>
      </c>
      <c r="C1831" s="22" t="str">
        <f>'EQUITY BACKTEST'!E1834</f>
        <v/>
      </c>
    </row>
    <row r="1832" ht="15.75" customHeight="1">
      <c r="A1832" s="22" t="str">
        <f>'EQUITY BACKTEST'!A1835</f>
        <v/>
      </c>
      <c r="B1832" s="22" t="str">
        <f>'EQUITY BACKTEST'!B1835</f>
        <v/>
      </c>
      <c r="C1832" s="22" t="str">
        <f>'EQUITY BACKTEST'!E1835</f>
        <v/>
      </c>
    </row>
    <row r="1833" ht="15.75" customHeight="1">
      <c r="A1833" s="22" t="str">
        <f>'EQUITY BACKTEST'!A1836</f>
        <v/>
      </c>
      <c r="B1833" s="22" t="str">
        <f>'EQUITY BACKTEST'!B1836</f>
        <v/>
      </c>
      <c r="C1833" s="22" t="str">
        <f>'EQUITY BACKTEST'!E1836</f>
        <v/>
      </c>
    </row>
    <row r="1834" ht="15.75" customHeight="1">
      <c r="A1834" s="22" t="str">
        <f>'EQUITY BACKTEST'!A1837</f>
        <v/>
      </c>
      <c r="B1834" s="22" t="str">
        <f>'EQUITY BACKTEST'!B1837</f>
        <v/>
      </c>
      <c r="C1834" s="22" t="str">
        <f>'EQUITY BACKTEST'!E1837</f>
        <v/>
      </c>
    </row>
    <row r="1835" ht="15.75" customHeight="1">
      <c r="A1835" s="22" t="str">
        <f>'EQUITY BACKTEST'!A1838</f>
        <v/>
      </c>
      <c r="B1835" s="22" t="str">
        <f>'EQUITY BACKTEST'!B1838</f>
        <v/>
      </c>
      <c r="C1835" s="22" t="str">
        <f>'EQUITY BACKTEST'!E1838</f>
        <v/>
      </c>
    </row>
    <row r="1836" ht="15.75" customHeight="1">
      <c r="A1836" s="22" t="str">
        <f>'EQUITY BACKTEST'!A1839</f>
        <v/>
      </c>
      <c r="B1836" s="22" t="str">
        <f>'EQUITY BACKTEST'!B1839</f>
        <v/>
      </c>
      <c r="C1836" s="22" t="str">
        <f>'EQUITY BACKTEST'!E1839</f>
        <v/>
      </c>
    </row>
    <row r="1837" ht="15.75" customHeight="1">
      <c r="A1837" s="22" t="str">
        <f>'EQUITY BACKTEST'!A1840</f>
        <v/>
      </c>
      <c r="B1837" s="22" t="str">
        <f>'EQUITY BACKTEST'!B1840</f>
        <v/>
      </c>
      <c r="C1837" s="22" t="str">
        <f>'EQUITY BACKTEST'!E1840</f>
        <v/>
      </c>
    </row>
    <row r="1838" ht="15.75" customHeight="1">
      <c r="A1838" s="22" t="str">
        <f>'EQUITY BACKTEST'!A1841</f>
        <v/>
      </c>
      <c r="B1838" s="22" t="str">
        <f>'EQUITY BACKTEST'!B1841</f>
        <v/>
      </c>
      <c r="C1838" s="22" t="str">
        <f>'EQUITY BACKTEST'!E1841</f>
        <v/>
      </c>
    </row>
    <row r="1839" ht="15.75" customHeight="1">
      <c r="A1839" s="22" t="str">
        <f>'EQUITY BACKTEST'!A1842</f>
        <v/>
      </c>
      <c r="B1839" s="22" t="str">
        <f>'EQUITY BACKTEST'!B1842</f>
        <v/>
      </c>
      <c r="C1839" s="22" t="str">
        <f>'EQUITY BACKTEST'!E1842</f>
        <v/>
      </c>
    </row>
    <row r="1840" ht="15.75" customHeight="1">
      <c r="A1840" s="22" t="str">
        <f>'EQUITY BACKTEST'!A1843</f>
        <v/>
      </c>
      <c r="B1840" s="22" t="str">
        <f>'EQUITY BACKTEST'!B1843</f>
        <v/>
      </c>
      <c r="C1840" s="22" t="str">
        <f>'EQUITY BACKTEST'!E1843</f>
        <v/>
      </c>
    </row>
    <row r="1841" ht="15.75" customHeight="1">
      <c r="A1841" s="22" t="str">
        <f>'EQUITY BACKTEST'!A1844</f>
        <v/>
      </c>
      <c r="B1841" s="22" t="str">
        <f>'EQUITY BACKTEST'!B1844</f>
        <v/>
      </c>
      <c r="C1841" s="22" t="str">
        <f>'EQUITY BACKTEST'!E1844</f>
        <v/>
      </c>
    </row>
    <row r="1842" ht="15.75" customHeight="1">
      <c r="A1842" s="22" t="str">
        <f>'EQUITY BACKTEST'!A1845</f>
        <v/>
      </c>
      <c r="B1842" s="22" t="str">
        <f>'EQUITY BACKTEST'!B1845</f>
        <v/>
      </c>
      <c r="C1842" s="22" t="str">
        <f>'EQUITY BACKTEST'!E1845</f>
        <v/>
      </c>
    </row>
    <row r="1843" ht="15.75" customHeight="1">
      <c r="A1843" s="22" t="str">
        <f>'EQUITY BACKTEST'!A1846</f>
        <v/>
      </c>
      <c r="B1843" s="22" t="str">
        <f>'EQUITY BACKTEST'!B1846</f>
        <v/>
      </c>
      <c r="C1843" s="22" t="str">
        <f>'EQUITY BACKTEST'!E1846</f>
        <v/>
      </c>
    </row>
    <row r="1844" ht="15.75" customHeight="1">
      <c r="A1844" s="22" t="str">
        <f>'EQUITY BACKTEST'!A1847</f>
        <v/>
      </c>
      <c r="B1844" s="22" t="str">
        <f>'EQUITY BACKTEST'!B1847</f>
        <v/>
      </c>
      <c r="C1844" s="22" t="str">
        <f>'EQUITY BACKTEST'!E1847</f>
        <v/>
      </c>
    </row>
    <row r="1845" ht="15.75" customHeight="1">
      <c r="A1845" s="22" t="str">
        <f>'EQUITY BACKTEST'!A1848</f>
        <v/>
      </c>
      <c r="B1845" s="22" t="str">
        <f>'EQUITY BACKTEST'!B1848</f>
        <v/>
      </c>
      <c r="C1845" s="22" t="str">
        <f>'EQUITY BACKTEST'!E1848</f>
        <v/>
      </c>
    </row>
    <row r="1846" ht="15.75" customHeight="1">
      <c r="A1846" s="22" t="str">
        <f>'EQUITY BACKTEST'!A1849</f>
        <v/>
      </c>
      <c r="B1846" s="22" t="str">
        <f>'EQUITY BACKTEST'!B1849</f>
        <v/>
      </c>
      <c r="C1846" s="22" t="str">
        <f>'EQUITY BACKTEST'!E1849</f>
        <v/>
      </c>
    </row>
    <row r="1847" ht="15.75" customHeight="1">
      <c r="A1847" s="22" t="str">
        <f>'EQUITY BACKTEST'!A1850</f>
        <v/>
      </c>
      <c r="B1847" s="22" t="str">
        <f>'EQUITY BACKTEST'!B1850</f>
        <v/>
      </c>
      <c r="C1847" s="22" t="str">
        <f>'EQUITY BACKTEST'!E1850</f>
        <v/>
      </c>
    </row>
    <row r="1848" ht="15.75" customHeight="1">
      <c r="A1848" s="22" t="str">
        <f>'EQUITY BACKTEST'!A1851</f>
        <v/>
      </c>
      <c r="B1848" s="22" t="str">
        <f>'EQUITY BACKTEST'!B1851</f>
        <v/>
      </c>
      <c r="C1848" s="22" t="str">
        <f>'EQUITY BACKTEST'!E1851</f>
        <v/>
      </c>
    </row>
    <row r="1849" ht="15.75" customHeight="1">
      <c r="A1849" s="22" t="str">
        <f>'EQUITY BACKTEST'!A1852</f>
        <v/>
      </c>
      <c r="B1849" s="22" t="str">
        <f>'EQUITY BACKTEST'!B1852</f>
        <v/>
      </c>
      <c r="C1849" s="22" t="str">
        <f>'EQUITY BACKTEST'!E1852</f>
        <v/>
      </c>
    </row>
    <row r="1850" ht="15.75" customHeight="1">
      <c r="A1850" s="22" t="str">
        <f>'EQUITY BACKTEST'!A1853</f>
        <v/>
      </c>
      <c r="B1850" s="22" t="str">
        <f>'EQUITY BACKTEST'!B1853</f>
        <v/>
      </c>
      <c r="C1850" s="22" t="str">
        <f>'EQUITY BACKTEST'!E1853</f>
        <v/>
      </c>
    </row>
    <row r="1851" ht="15.75" customHeight="1">
      <c r="A1851" s="22" t="str">
        <f>'EQUITY BACKTEST'!A1854</f>
        <v/>
      </c>
      <c r="B1851" s="22" t="str">
        <f>'EQUITY BACKTEST'!B1854</f>
        <v/>
      </c>
      <c r="C1851" s="22" t="str">
        <f>'EQUITY BACKTEST'!E1854</f>
        <v/>
      </c>
    </row>
    <row r="1852" ht="15.75" customHeight="1">
      <c r="A1852" s="22" t="str">
        <f>'EQUITY BACKTEST'!A1855</f>
        <v/>
      </c>
      <c r="B1852" s="22" t="str">
        <f>'EQUITY BACKTEST'!B1855</f>
        <v/>
      </c>
      <c r="C1852" s="22" t="str">
        <f>'EQUITY BACKTEST'!E1855</f>
        <v/>
      </c>
    </row>
    <row r="1853" ht="15.75" customHeight="1">
      <c r="A1853" s="22" t="str">
        <f>'EQUITY BACKTEST'!A1856</f>
        <v/>
      </c>
      <c r="B1853" s="22" t="str">
        <f>'EQUITY BACKTEST'!B1856</f>
        <v/>
      </c>
      <c r="C1853" s="22" t="str">
        <f>'EQUITY BACKTEST'!E1856</f>
        <v/>
      </c>
    </row>
    <row r="1854" ht="15.75" customHeight="1">
      <c r="A1854" s="22" t="str">
        <f>'EQUITY BACKTEST'!A1857</f>
        <v/>
      </c>
      <c r="B1854" s="22" t="str">
        <f>'EQUITY BACKTEST'!B1857</f>
        <v/>
      </c>
      <c r="C1854" s="22" t="str">
        <f>'EQUITY BACKTEST'!E1857</f>
        <v/>
      </c>
    </row>
    <row r="1855" ht="15.75" customHeight="1">
      <c r="A1855" s="22" t="str">
        <f>'EQUITY BACKTEST'!A1858</f>
        <v/>
      </c>
      <c r="B1855" s="22" t="str">
        <f>'EQUITY BACKTEST'!B1858</f>
        <v/>
      </c>
      <c r="C1855" s="22" t="str">
        <f>'EQUITY BACKTEST'!E1858</f>
        <v/>
      </c>
    </row>
    <row r="1856" ht="15.75" customHeight="1">
      <c r="A1856" s="22" t="str">
        <f>'EQUITY BACKTEST'!A1859</f>
        <v/>
      </c>
      <c r="B1856" s="22" t="str">
        <f>'EQUITY BACKTEST'!B1859</f>
        <v/>
      </c>
      <c r="C1856" s="22" t="str">
        <f>'EQUITY BACKTEST'!E1859</f>
        <v/>
      </c>
    </row>
    <row r="1857" ht="15.75" customHeight="1">
      <c r="A1857" s="22" t="str">
        <f>'EQUITY BACKTEST'!A1860</f>
        <v/>
      </c>
      <c r="B1857" s="22" t="str">
        <f>'EQUITY BACKTEST'!B1860</f>
        <v/>
      </c>
      <c r="C1857" s="22" t="str">
        <f>'EQUITY BACKTEST'!E1860</f>
        <v/>
      </c>
    </row>
    <row r="1858" ht="15.75" customHeight="1">
      <c r="A1858" s="22" t="str">
        <f>'EQUITY BACKTEST'!A1861</f>
        <v/>
      </c>
      <c r="B1858" s="22" t="str">
        <f>'EQUITY BACKTEST'!B1861</f>
        <v/>
      </c>
      <c r="C1858" s="22" t="str">
        <f>'EQUITY BACKTEST'!E1861</f>
        <v/>
      </c>
    </row>
    <row r="1859" ht="15.75" customHeight="1">
      <c r="A1859" s="22" t="str">
        <f>'EQUITY BACKTEST'!A1862</f>
        <v/>
      </c>
      <c r="B1859" s="22" t="str">
        <f>'EQUITY BACKTEST'!B1862</f>
        <v/>
      </c>
      <c r="C1859" s="22" t="str">
        <f>'EQUITY BACKTEST'!E1862</f>
        <v/>
      </c>
    </row>
    <row r="1860" ht="15.75" customHeight="1">
      <c r="A1860" s="22" t="str">
        <f>'EQUITY BACKTEST'!A1863</f>
        <v/>
      </c>
      <c r="B1860" s="22" t="str">
        <f>'EQUITY BACKTEST'!B1863</f>
        <v/>
      </c>
      <c r="C1860" s="22" t="str">
        <f>'EQUITY BACKTEST'!E1863</f>
        <v/>
      </c>
    </row>
    <row r="1861" ht="15.75" customHeight="1">
      <c r="A1861" s="22" t="str">
        <f>'EQUITY BACKTEST'!A1864</f>
        <v/>
      </c>
      <c r="B1861" s="22" t="str">
        <f>'EQUITY BACKTEST'!B1864</f>
        <v/>
      </c>
      <c r="C1861" s="22" t="str">
        <f>'EQUITY BACKTEST'!E1864</f>
        <v/>
      </c>
    </row>
    <row r="1862" ht="15.75" customHeight="1">
      <c r="A1862" s="22" t="str">
        <f>'EQUITY BACKTEST'!A1865</f>
        <v/>
      </c>
      <c r="B1862" s="22" t="str">
        <f>'EQUITY BACKTEST'!B1865</f>
        <v/>
      </c>
      <c r="C1862" s="22" t="str">
        <f>'EQUITY BACKTEST'!E1865</f>
        <v/>
      </c>
    </row>
    <row r="1863" ht="15.75" customHeight="1">
      <c r="A1863" s="22" t="str">
        <f>'EQUITY BACKTEST'!A1866</f>
        <v/>
      </c>
      <c r="B1863" s="22" t="str">
        <f>'EQUITY BACKTEST'!B1866</f>
        <v/>
      </c>
      <c r="C1863" s="22" t="str">
        <f>'EQUITY BACKTEST'!E1866</f>
        <v/>
      </c>
    </row>
    <row r="1864" ht="15.75" customHeight="1">
      <c r="A1864" s="22" t="str">
        <f>'EQUITY BACKTEST'!A1867</f>
        <v/>
      </c>
      <c r="B1864" s="22" t="str">
        <f>'EQUITY BACKTEST'!B1867</f>
        <v/>
      </c>
      <c r="C1864" s="22" t="str">
        <f>'EQUITY BACKTEST'!E1867</f>
        <v/>
      </c>
    </row>
    <row r="1865" ht="15.75" customHeight="1">
      <c r="A1865" s="22" t="str">
        <f>'EQUITY BACKTEST'!A1868</f>
        <v/>
      </c>
      <c r="B1865" s="22" t="str">
        <f>'EQUITY BACKTEST'!B1868</f>
        <v/>
      </c>
      <c r="C1865" s="22" t="str">
        <f>'EQUITY BACKTEST'!E1868</f>
        <v/>
      </c>
    </row>
    <row r="1866" ht="15.75" customHeight="1">
      <c r="A1866" s="22" t="str">
        <f>'EQUITY BACKTEST'!A1869</f>
        <v/>
      </c>
      <c r="B1866" s="22" t="str">
        <f>'EQUITY BACKTEST'!B1869</f>
        <v/>
      </c>
      <c r="C1866" s="22" t="str">
        <f>'EQUITY BACKTEST'!E1869</f>
        <v/>
      </c>
    </row>
    <row r="1867" ht="15.75" customHeight="1">
      <c r="A1867" s="22" t="str">
        <f>'EQUITY BACKTEST'!A1870</f>
        <v/>
      </c>
      <c r="B1867" s="22" t="str">
        <f>'EQUITY BACKTEST'!B1870</f>
        <v/>
      </c>
      <c r="C1867" s="22" t="str">
        <f>'EQUITY BACKTEST'!E1870</f>
        <v/>
      </c>
    </row>
    <row r="1868" ht="15.75" customHeight="1">
      <c r="A1868" s="22" t="str">
        <f>'EQUITY BACKTEST'!A1871</f>
        <v/>
      </c>
      <c r="B1868" s="22" t="str">
        <f>'EQUITY BACKTEST'!B1871</f>
        <v/>
      </c>
      <c r="C1868" s="22" t="str">
        <f>'EQUITY BACKTEST'!E1871</f>
        <v/>
      </c>
    </row>
    <row r="1869" ht="15.75" customHeight="1">
      <c r="A1869" s="22" t="str">
        <f>'EQUITY BACKTEST'!A1872</f>
        <v/>
      </c>
      <c r="B1869" s="22" t="str">
        <f>'EQUITY BACKTEST'!B1872</f>
        <v/>
      </c>
      <c r="C1869" s="22" t="str">
        <f>'EQUITY BACKTEST'!E1872</f>
        <v/>
      </c>
    </row>
    <row r="1870" ht="15.75" customHeight="1">
      <c r="A1870" s="22" t="str">
        <f>'EQUITY BACKTEST'!A1873</f>
        <v/>
      </c>
      <c r="B1870" s="22" t="str">
        <f>'EQUITY BACKTEST'!B1873</f>
        <v/>
      </c>
      <c r="C1870" s="22" t="str">
        <f>'EQUITY BACKTEST'!E1873</f>
        <v/>
      </c>
    </row>
    <row r="1871" ht="15.75" customHeight="1">
      <c r="A1871" s="22" t="str">
        <f>'EQUITY BACKTEST'!A1874</f>
        <v/>
      </c>
      <c r="B1871" s="22" t="str">
        <f>'EQUITY BACKTEST'!B1874</f>
        <v/>
      </c>
      <c r="C1871" s="22" t="str">
        <f>'EQUITY BACKTEST'!E1874</f>
        <v/>
      </c>
    </row>
    <row r="1872" ht="15.75" customHeight="1">
      <c r="A1872" s="22" t="str">
        <f>'EQUITY BACKTEST'!A1875</f>
        <v/>
      </c>
      <c r="B1872" s="22" t="str">
        <f>'EQUITY BACKTEST'!B1875</f>
        <v/>
      </c>
      <c r="C1872" s="22" t="str">
        <f>'EQUITY BACKTEST'!E1875</f>
        <v/>
      </c>
    </row>
    <row r="1873" ht="15.75" customHeight="1">
      <c r="A1873" s="22" t="str">
        <f>'EQUITY BACKTEST'!A1876</f>
        <v/>
      </c>
      <c r="B1873" s="22" t="str">
        <f>'EQUITY BACKTEST'!B1876</f>
        <v/>
      </c>
      <c r="C1873" s="22" t="str">
        <f>'EQUITY BACKTEST'!E1876</f>
        <v/>
      </c>
    </row>
    <row r="1874" ht="15.75" customHeight="1">
      <c r="A1874" s="22" t="str">
        <f>'EQUITY BACKTEST'!A1877</f>
        <v/>
      </c>
      <c r="B1874" s="22" t="str">
        <f>'EQUITY BACKTEST'!B1877</f>
        <v/>
      </c>
      <c r="C1874" s="22" t="str">
        <f>'EQUITY BACKTEST'!E1877</f>
        <v/>
      </c>
    </row>
    <row r="1875" ht="15.75" customHeight="1">
      <c r="A1875" s="22" t="str">
        <f>'EQUITY BACKTEST'!A1878</f>
        <v/>
      </c>
      <c r="B1875" s="22" t="str">
        <f>'EQUITY BACKTEST'!B1878</f>
        <v/>
      </c>
      <c r="C1875" s="22" t="str">
        <f>'EQUITY BACKTEST'!E1878</f>
        <v/>
      </c>
    </row>
    <row r="1876" ht="15.75" customHeight="1">
      <c r="A1876" s="22" t="str">
        <f>'EQUITY BACKTEST'!A1879</f>
        <v/>
      </c>
      <c r="B1876" s="22" t="str">
        <f>'EQUITY BACKTEST'!B1879</f>
        <v/>
      </c>
      <c r="C1876" s="22" t="str">
        <f>'EQUITY BACKTEST'!E1879</f>
        <v/>
      </c>
    </row>
    <row r="1877" ht="15.75" customHeight="1">
      <c r="A1877" s="22" t="str">
        <f>'EQUITY BACKTEST'!A1880</f>
        <v/>
      </c>
      <c r="B1877" s="22" t="str">
        <f>'EQUITY BACKTEST'!B1880</f>
        <v/>
      </c>
      <c r="C1877" s="22" t="str">
        <f>'EQUITY BACKTEST'!E1880</f>
        <v/>
      </c>
    </row>
    <row r="1878" ht="15.75" customHeight="1">
      <c r="A1878" s="22" t="str">
        <f>'EQUITY BACKTEST'!A1881</f>
        <v/>
      </c>
      <c r="B1878" s="22" t="str">
        <f>'EQUITY BACKTEST'!B1881</f>
        <v/>
      </c>
      <c r="C1878" s="22" t="str">
        <f>'EQUITY BACKTEST'!E1881</f>
        <v/>
      </c>
    </row>
    <row r="1879" ht="15.75" customHeight="1">
      <c r="A1879" s="22" t="str">
        <f>'EQUITY BACKTEST'!A1882</f>
        <v/>
      </c>
      <c r="B1879" s="22" t="str">
        <f>'EQUITY BACKTEST'!B1882</f>
        <v/>
      </c>
      <c r="C1879" s="22" t="str">
        <f>'EQUITY BACKTEST'!E1882</f>
        <v/>
      </c>
    </row>
    <row r="1880" ht="15.75" customHeight="1">
      <c r="A1880" s="22" t="str">
        <f>'EQUITY BACKTEST'!A1883</f>
        <v/>
      </c>
      <c r="B1880" s="22" t="str">
        <f>'EQUITY BACKTEST'!B1883</f>
        <v/>
      </c>
      <c r="C1880" s="22" t="str">
        <f>'EQUITY BACKTEST'!E1883</f>
        <v/>
      </c>
    </row>
    <row r="1881" ht="15.75" customHeight="1">
      <c r="A1881" s="22" t="str">
        <f>'EQUITY BACKTEST'!A1884</f>
        <v/>
      </c>
      <c r="B1881" s="22" t="str">
        <f>'EQUITY BACKTEST'!B1884</f>
        <v/>
      </c>
      <c r="C1881" s="22" t="str">
        <f>'EQUITY BACKTEST'!E1884</f>
        <v/>
      </c>
    </row>
    <row r="1882" ht="15.75" customHeight="1">
      <c r="A1882" s="22" t="str">
        <f>'EQUITY BACKTEST'!A1885</f>
        <v/>
      </c>
      <c r="B1882" s="22" t="str">
        <f>'EQUITY BACKTEST'!B1885</f>
        <v/>
      </c>
      <c r="C1882" s="22" t="str">
        <f>'EQUITY BACKTEST'!E1885</f>
        <v/>
      </c>
    </row>
    <row r="1883" ht="15.75" customHeight="1">
      <c r="A1883" s="22" t="str">
        <f>'EQUITY BACKTEST'!A1886</f>
        <v/>
      </c>
      <c r="B1883" s="22" t="str">
        <f>'EQUITY BACKTEST'!B1886</f>
        <v/>
      </c>
      <c r="C1883" s="22" t="str">
        <f>'EQUITY BACKTEST'!E1886</f>
        <v/>
      </c>
    </row>
    <row r="1884" ht="15.75" customHeight="1">
      <c r="A1884" s="22" t="str">
        <f>'EQUITY BACKTEST'!A1887</f>
        <v/>
      </c>
      <c r="B1884" s="22" t="str">
        <f>'EQUITY BACKTEST'!B1887</f>
        <v/>
      </c>
      <c r="C1884" s="22" t="str">
        <f>'EQUITY BACKTEST'!E1887</f>
        <v/>
      </c>
    </row>
    <row r="1885" ht="15.75" customHeight="1">
      <c r="A1885" s="22" t="str">
        <f>'EQUITY BACKTEST'!A1888</f>
        <v/>
      </c>
      <c r="B1885" s="22" t="str">
        <f>'EQUITY BACKTEST'!B1888</f>
        <v/>
      </c>
      <c r="C1885" s="22" t="str">
        <f>'EQUITY BACKTEST'!E1888</f>
        <v/>
      </c>
    </row>
    <row r="1886" ht="15.75" customHeight="1">
      <c r="A1886" s="22" t="str">
        <f>'EQUITY BACKTEST'!A1889</f>
        <v/>
      </c>
      <c r="B1886" s="22" t="str">
        <f>'EQUITY BACKTEST'!B1889</f>
        <v/>
      </c>
      <c r="C1886" s="22" t="str">
        <f>'EQUITY BACKTEST'!E1889</f>
        <v/>
      </c>
    </row>
    <row r="1887" ht="15.75" customHeight="1">
      <c r="A1887" s="22" t="str">
        <f>'EQUITY BACKTEST'!A1890</f>
        <v/>
      </c>
      <c r="B1887" s="22" t="str">
        <f>'EQUITY BACKTEST'!B1890</f>
        <v/>
      </c>
      <c r="C1887" s="22" t="str">
        <f>'EQUITY BACKTEST'!E1890</f>
        <v/>
      </c>
    </row>
    <row r="1888" ht="15.75" customHeight="1">
      <c r="A1888" s="22" t="str">
        <f>'EQUITY BACKTEST'!A1891</f>
        <v/>
      </c>
      <c r="B1888" s="22" t="str">
        <f>'EQUITY BACKTEST'!B1891</f>
        <v/>
      </c>
      <c r="C1888" s="22" t="str">
        <f>'EQUITY BACKTEST'!E1891</f>
        <v/>
      </c>
    </row>
    <row r="1889" ht="15.75" customHeight="1">
      <c r="A1889" s="22" t="str">
        <f>'EQUITY BACKTEST'!A1892</f>
        <v/>
      </c>
      <c r="B1889" s="22" t="str">
        <f>'EQUITY BACKTEST'!B1892</f>
        <v/>
      </c>
      <c r="C1889" s="22" t="str">
        <f>'EQUITY BACKTEST'!E1892</f>
        <v/>
      </c>
    </row>
    <row r="1890" ht="15.75" customHeight="1">
      <c r="A1890" s="22" t="str">
        <f>'EQUITY BACKTEST'!A1893</f>
        <v/>
      </c>
      <c r="B1890" s="22" t="str">
        <f>'EQUITY BACKTEST'!B1893</f>
        <v/>
      </c>
      <c r="C1890" s="22" t="str">
        <f>'EQUITY BACKTEST'!E1893</f>
        <v/>
      </c>
    </row>
    <row r="1891" ht="15.75" customHeight="1">
      <c r="A1891" s="22" t="str">
        <f>'EQUITY BACKTEST'!A1894</f>
        <v/>
      </c>
      <c r="B1891" s="22" t="str">
        <f>'EQUITY BACKTEST'!B1894</f>
        <v/>
      </c>
      <c r="C1891" s="22" t="str">
        <f>'EQUITY BACKTEST'!E1894</f>
        <v/>
      </c>
    </row>
    <row r="1892" ht="15.75" customHeight="1">
      <c r="A1892" s="22" t="str">
        <f>'EQUITY BACKTEST'!A1895</f>
        <v/>
      </c>
      <c r="B1892" s="22" t="str">
        <f>'EQUITY BACKTEST'!B1895</f>
        <v/>
      </c>
      <c r="C1892" s="22" t="str">
        <f>'EQUITY BACKTEST'!E1895</f>
        <v/>
      </c>
    </row>
    <row r="1893" ht="15.75" customHeight="1">
      <c r="A1893" s="22" t="str">
        <f>'EQUITY BACKTEST'!A1896</f>
        <v/>
      </c>
      <c r="B1893" s="22" t="str">
        <f>'EQUITY BACKTEST'!B1896</f>
        <v/>
      </c>
      <c r="C1893" s="22" t="str">
        <f>'EQUITY BACKTEST'!E1896</f>
        <v/>
      </c>
    </row>
    <row r="1894" ht="15.75" customHeight="1">
      <c r="A1894" s="22" t="str">
        <f>'EQUITY BACKTEST'!A1897</f>
        <v/>
      </c>
      <c r="B1894" s="22" t="str">
        <f>'EQUITY BACKTEST'!B1897</f>
        <v/>
      </c>
      <c r="C1894" s="22" t="str">
        <f>'EQUITY BACKTEST'!E1897</f>
        <v/>
      </c>
    </row>
    <row r="1895" ht="15.75" customHeight="1">
      <c r="A1895" s="22" t="str">
        <f>'EQUITY BACKTEST'!A1898</f>
        <v/>
      </c>
      <c r="B1895" s="22" t="str">
        <f>'EQUITY BACKTEST'!B1898</f>
        <v/>
      </c>
      <c r="C1895" s="22" t="str">
        <f>'EQUITY BACKTEST'!E1898</f>
        <v/>
      </c>
    </row>
    <row r="1896" ht="15.75" customHeight="1">
      <c r="A1896" s="22" t="str">
        <f>'EQUITY BACKTEST'!A1899</f>
        <v/>
      </c>
      <c r="B1896" s="22" t="str">
        <f>'EQUITY BACKTEST'!B1899</f>
        <v/>
      </c>
      <c r="C1896" s="22" t="str">
        <f>'EQUITY BACKTEST'!E1899</f>
        <v/>
      </c>
    </row>
    <row r="1897" ht="15.75" customHeight="1">
      <c r="A1897" s="22" t="str">
        <f>'EQUITY BACKTEST'!A1900</f>
        <v/>
      </c>
      <c r="B1897" s="22" t="str">
        <f>'EQUITY BACKTEST'!B1900</f>
        <v/>
      </c>
      <c r="C1897" s="22" t="str">
        <f>'EQUITY BACKTEST'!E1900</f>
        <v/>
      </c>
    </row>
    <row r="1898" ht="15.75" customHeight="1">
      <c r="A1898" s="22" t="str">
        <f>'EQUITY BACKTEST'!A1901</f>
        <v/>
      </c>
      <c r="B1898" s="22" t="str">
        <f>'EQUITY BACKTEST'!B1901</f>
        <v/>
      </c>
      <c r="C1898" s="22" t="str">
        <f>'EQUITY BACKTEST'!E1901</f>
        <v/>
      </c>
    </row>
    <row r="1899" ht="15.75" customHeight="1">
      <c r="A1899" s="22" t="str">
        <f>'EQUITY BACKTEST'!A1902</f>
        <v/>
      </c>
      <c r="B1899" s="22" t="str">
        <f>'EQUITY BACKTEST'!B1902</f>
        <v/>
      </c>
      <c r="C1899" s="22" t="str">
        <f>'EQUITY BACKTEST'!E1902</f>
        <v/>
      </c>
    </row>
    <row r="1900" ht="15.75" customHeight="1">
      <c r="A1900" s="22" t="str">
        <f>'EQUITY BACKTEST'!A1903</f>
        <v/>
      </c>
      <c r="B1900" s="22" t="str">
        <f>'EQUITY BACKTEST'!B1903</f>
        <v/>
      </c>
      <c r="C1900" s="22" t="str">
        <f>'EQUITY BACKTEST'!E1903</f>
        <v/>
      </c>
    </row>
    <row r="1901" ht="15.75" customHeight="1">
      <c r="A1901" s="22" t="str">
        <f>'EQUITY BACKTEST'!A1904</f>
        <v/>
      </c>
      <c r="B1901" s="22" t="str">
        <f>'EQUITY BACKTEST'!B1904</f>
        <v/>
      </c>
      <c r="C1901" s="22" t="str">
        <f>'EQUITY BACKTEST'!E1904</f>
        <v/>
      </c>
    </row>
    <row r="1902" ht="15.75" customHeight="1">
      <c r="A1902" s="22" t="str">
        <f>'EQUITY BACKTEST'!A1905</f>
        <v/>
      </c>
      <c r="B1902" s="22" t="str">
        <f>'EQUITY BACKTEST'!B1905</f>
        <v/>
      </c>
      <c r="C1902" s="22" t="str">
        <f>'EQUITY BACKTEST'!E1905</f>
        <v/>
      </c>
    </row>
    <row r="1903" ht="15.75" customHeight="1">
      <c r="A1903" s="22" t="str">
        <f>'EQUITY BACKTEST'!A1906</f>
        <v/>
      </c>
      <c r="B1903" s="22" t="str">
        <f>'EQUITY BACKTEST'!B1906</f>
        <v/>
      </c>
      <c r="C1903" s="22" t="str">
        <f>'EQUITY BACKTEST'!E1906</f>
        <v/>
      </c>
    </row>
    <row r="1904" ht="15.75" customHeight="1">
      <c r="A1904" s="22" t="str">
        <f>'EQUITY BACKTEST'!A1907</f>
        <v/>
      </c>
      <c r="B1904" s="22" t="str">
        <f>'EQUITY BACKTEST'!B1907</f>
        <v/>
      </c>
      <c r="C1904" s="22" t="str">
        <f>'EQUITY BACKTEST'!E1907</f>
        <v/>
      </c>
    </row>
    <row r="1905" ht="15.75" customHeight="1">
      <c r="A1905" s="22" t="str">
        <f>'EQUITY BACKTEST'!A1908</f>
        <v/>
      </c>
      <c r="B1905" s="22" t="str">
        <f>'EQUITY BACKTEST'!B1908</f>
        <v/>
      </c>
      <c r="C1905" s="22" t="str">
        <f>'EQUITY BACKTEST'!E1908</f>
        <v/>
      </c>
    </row>
    <row r="1906" ht="15.75" customHeight="1">
      <c r="A1906" s="22" t="str">
        <f>'EQUITY BACKTEST'!A1909</f>
        <v/>
      </c>
      <c r="B1906" s="22" t="str">
        <f>'EQUITY BACKTEST'!B1909</f>
        <v/>
      </c>
      <c r="C1906" s="22" t="str">
        <f>'EQUITY BACKTEST'!E1909</f>
        <v/>
      </c>
    </row>
    <row r="1907" ht="15.75" customHeight="1">
      <c r="A1907" s="22" t="str">
        <f>'EQUITY BACKTEST'!A1910</f>
        <v/>
      </c>
      <c r="B1907" s="22" t="str">
        <f>'EQUITY BACKTEST'!B1910</f>
        <v/>
      </c>
      <c r="C1907" s="22" t="str">
        <f>'EQUITY BACKTEST'!E1910</f>
        <v/>
      </c>
    </row>
    <row r="1908" ht="15.75" customHeight="1">
      <c r="A1908" s="22" t="str">
        <f>'EQUITY BACKTEST'!A1911</f>
        <v/>
      </c>
      <c r="B1908" s="22" t="str">
        <f>'EQUITY BACKTEST'!B1911</f>
        <v/>
      </c>
      <c r="C1908" s="22" t="str">
        <f>'EQUITY BACKTEST'!E1911</f>
        <v/>
      </c>
    </row>
    <row r="1909" ht="15.75" customHeight="1">
      <c r="A1909" s="22" t="str">
        <f>'EQUITY BACKTEST'!A1912</f>
        <v/>
      </c>
      <c r="B1909" s="22" t="str">
        <f>'EQUITY BACKTEST'!B1912</f>
        <v/>
      </c>
      <c r="C1909" s="22" t="str">
        <f>'EQUITY BACKTEST'!E1912</f>
        <v/>
      </c>
    </row>
    <row r="1910" ht="15.75" customHeight="1">
      <c r="A1910" s="22" t="str">
        <f>'EQUITY BACKTEST'!A1913</f>
        <v/>
      </c>
      <c r="B1910" s="22" t="str">
        <f>'EQUITY BACKTEST'!B1913</f>
        <v/>
      </c>
      <c r="C1910" s="22" t="str">
        <f>'EQUITY BACKTEST'!E1913</f>
        <v/>
      </c>
    </row>
    <row r="1911" ht="15.75" customHeight="1">
      <c r="A1911" s="22" t="str">
        <f>'EQUITY BACKTEST'!A1914</f>
        <v/>
      </c>
      <c r="B1911" s="22" t="str">
        <f>'EQUITY BACKTEST'!B1914</f>
        <v/>
      </c>
      <c r="C1911" s="22" t="str">
        <f>'EQUITY BACKTEST'!E1914</f>
        <v/>
      </c>
    </row>
    <row r="1912" ht="15.75" customHeight="1">
      <c r="A1912" s="22" t="str">
        <f>'EQUITY BACKTEST'!A1915</f>
        <v/>
      </c>
      <c r="B1912" s="22" t="str">
        <f>'EQUITY BACKTEST'!B1915</f>
        <v/>
      </c>
      <c r="C1912" s="22" t="str">
        <f>'EQUITY BACKTEST'!E1915</f>
        <v/>
      </c>
    </row>
    <row r="1913" ht="15.75" customHeight="1">
      <c r="A1913" s="22" t="str">
        <f>'EQUITY BACKTEST'!A1916</f>
        <v/>
      </c>
      <c r="B1913" s="22" t="str">
        <f>'EQUITY BACKTEST'!B1916</f>
        <v/>
      </c>
      <c r="C1913" s="22" t="str">
        <f>'EQUITY BACKTEST'!E1916</f>
        <v/>
      </c>
    </row>
    <row r="1914" ht="15.75" customHeight="1">
      <c r="A1914" s="22" t="str">
        <f>'EQUITY BACKTEST'!A1917</f>
        <v/>
      </c>
      <c r="B1914" s="22" t="str">
        <f>'EQUITY BACKTEST'!B1917</f>
        <v/>
      </c>
      <c r="C1914" s="22" t="str">
        <f>'EQUITY BACKTEST'!E1917</f>
        <v/>
      </c>
    </row>
    <row r="1915" ht="15.75" customHeight="1">
      <c r="A1915" s="22" t="str">
        <f>'EQUITY BACKTEST'!A1918</f>
        <v/>
      </c>
      <c r="B1915" s="22" t="str">
        <f>'EQUITY BACKTEST'!B1918</f>
        <v/>
      </c>
      <c r="C1915" s="22" t="str">
        <f>'EQUITY BACKTEST'!E1918</f>
        <v/>
      </c>
    </row>
    <row r="1916" ht="15.75" customHeight="1">
      <c r="A1916" s="22" t="str">
        <f>'EQUITY BACKTEST'!A1919</f>
        <v/>
      </c>
      <c r="B1916" s="22" t="str">
        <f>'EQUITY BACKTEST'!B1919</f>
        <v/>
      </c>
      <c r="C1916" s="22" t="str">
        <f>'EQUITY BACKTEST'!E1919</f>
        <v/>
      </c>
    </row>
    <row r="1917" ht="15.75" customHeight="1">
      <c r="A1917" s="22" t="str">
        <f>'EQUITY BACKTEST'!A1920</f>
        <v/>
      </c>
      <c r="B1917" s="22" t="str">
        <f>'EQUITY BACKTEST'!B1920</f>
        <v/>
      </c>
      <c r="C1917" s="22" t="str">
        <f>'EQUITY BACKTEST'!E1920</f>
        <v/>
      </c>
    </row>
    <row r="1918" ht="15.75" customHeight="1">
      <c r="A1918" s="22" t="str">
        <f>'EQUITY BACKTEST'!A1921</f>
        <v/>
      </c>
      <c r="B1918" s="22" t="str">
        <f>'EQUITY BACKTEST'!B1921</f>
        <v/>
      </c>
      <c r="C1918" s="22" t="str">
        <f>'EQUITY BACKTEST'!E1921</f>
        <v/>
      </c>
    </row>
    <row r="1919" ht="15.75" customHeight="1">
      <c r="A1919" s="22" t="str">
        <f>'EQUITY BACKTEST'!A1922</f>
        <v/>
      </c>
      <c r="B1919" s="22" t="str">
        <f>'EQUITY BACKTEST'!B1922</f>
        <v/>
      </c>
      <c r="C1919" s="22" t="str">
        <f>'EQUITY BACKTEST'!E1922</f>
        <v/>
      </c>
    </row>
    <row r="1920" ht="15.75" customHeight="1">
      <c r="A1920" s="22" t="str">
        <f>'EQUITY BACKTEST'!A1923</f>
        <v/>
      </c>
      <c r="B1920" s="22" t="str">
        <f>'EQUITY BACKTEST'!B1923</f>
        <v/>
      </c>
      <c r="C1920" s="22" t="str">
        <f>'EQUITY BACKTEST'!E1923</f>
        <v/>
      </c>
    </row>
    <row r="1921" ht="15.75" customHeight="1">
      <c r="A1921" s="22" t="str">
        <f>'EQUITY BACKTEST'!A1924</f>
        <v/>
      </c>
      <c r="B1921" s="22" t="str">
        <f>'EQUITY BACKTEST'!B1924</f>
        <v/>
      </c>
      <c r="C1921" s="22" t="str">
        <f>'EQUITY BACKTEST'!E1924</f>
        <v/>
      </c>
    </row>
    <row r="1922" ht="15.75" customHeight="1">
      <c r="A1922" s="22" t="str">
        <f>'EQUITY BACKTEST'!A1925</f>
        <v/>
      </c>
      <c r="B1922" s="22" t="str">
        <f>'EQUITY BACKTEST'!B1925</f>
        <v/>
      </c>
      <c r="C1922" s="22" t="str">
        <f>'EQUITY BACKTEST'!E1925</f>
        <v/>
      </c>
    </row>
    <row r="1923" ht="15.75" customHeight="1">
      <c r="A1923" s="22" t="str">
        <f>'EQUITY BACKTEST'!A1926</f>
        <v/>
      </c>
      <c r="B1923" s="22" t="str">
        <f>'EQUITY BACKTEST'!B1926</f>
        <v/>
      </c>
      <c r="C1923" s="22" t="str">
        <f>'EQUITY BACKTEST'!E1926</f>
        <v/>
      </c>
    </row>
    <row r="1924" ht="15.75" customHeight="1">
      <c r="A1924" s="22" t="str">
        <f>'EQUITY BACKTEST'!A1927</f>
        <v/>
      </c>
      <c r="B1924" s="22" t="str">
        <f>'EQUITY BACKTEST'!B1927</f>
        <v/>
      </c>
      <c r="C1924" s="22" t="str">
        <f>'EQUITY BACKTEST'!E1927</f>
        <v/>
      </c>
    </row>
    <row r="1925" ht="15.75" customHeight="1">
      <c r="A1925" s="22" t="str">
        <f>'EQUITY BACKTEST'!A1928</f>
        <v/>
      </c>
      <c r="B1925" s="22" t="str">
        <f>'EQUITY BACKTEST'!B1928</f>
        <v/>
      </c>
      <c r="C1925" s="22" t="str">
        <f>'EQUITY BACKTEST'!E1928</f>
        <v/>
      </c>
    </row>
    <row r="1926" ht="15.75" customHeight="1">
      <c r="A1926" s="22" t="str">
        <f>'EQUITY BACKTEST'!A1929</f>
        <v/>
      </c>
      <c r="B1926" s="22" t="str">
        <f>'EQUITY BACKTEST'!B1929</f>
        <v/>
      </c>
      <c r="C1926" s="22" t="str">
        <f>'EQUITY BACKTEST'!E1929</f>
        <v/>
      </c>
    </row>
    <row r="1927" ht="15.75" customHeight="1">
      <c r="A1927" s="22" t="str">
        <f>'EQUITY BACKTEST'!A1930</f>
        <v/>
      </c>
      <c r="B1927" s="22" t="str">
        <f>'EQUITY BACKTEST'!B1930</f>
        <v/>
      </c>
      <c r="C1927" s="22" t="str">
        <f>'EQUITY BACKTEST'!E1930</f>
        <v/>
      </c>
    </row>
    <row r="1928" ht="15.75" customHeight="1">
      <c r="A1928" s="22" t="str">
        <f>'EQUITY BACKTEST'!A1931</f>
        <v/>
      </c>
      <c r="B1928" s="22" t="str">
        <f>'EQUITY BACKTEST'!B1931</f>
        <v/>
      </c>
      <c r="C1928" s="22" t="str">
        <f>'EQUITY BACKTEST'!E1931</f>
        <v/>
      </c>
    </row>
    <row r="1929" ht="15.75" customHeight="1">
      <c r="A1929" s="22" t="str">
        <f>'EQUITY BACKTEST'!A1932</f>
        <v/>
      </c>
      <c r="B1929" s="22" t="str">
        <f>'EQUITY BACKTEST'!B1932</f>
        <v/>
      </c>
      <c r="C1929" s="22" t="str">
        <f>'EQUITY BACKTEST'!E1932</f>
        <v/>
      </c>
    </row>
    <row r="1930" ht="15.75" customHeight="1">
      <c r="A1930" s="22" t="str">
        <f>'EQUITY BACKTEST'!A1933</f>
        <v/>
      </c>
      <c r="B1930" s="22" t="str">
        <f>'EQUITY BACKTEST'!B1933</f>
        <v/>
      </c>
      <c r="C1930" s="22" t="str">
        <f>'EQUITY BACKTEST'!E1933</f>
        <v/>
      </c>
    </row>
    <row r="1931" ht="15.75" customHeight="1">
      <c r="A1931" s="22" t="str">
        <f>'EQUITY BACKTEST'!A1934</f>
        <v/>
      </c>
      <c r="B1931" s="22" t="str">
        <f>'EQUITY BACKTEST'!B1934</f>
        <v/>
      </c>
      <c r="C1931" s="22" t="str">
        <f>'EQUITY BACKTEST'!E1934</f>
        <v/>
      </c>
    </row>
    <row r="1932" ht="15.75" customHeight="1">
      <c r="A1932" s="22" t="str">
        <f>'EQUITY BACKTEST'!A1935</f>
        <v/>
      </c>
      <c r="B1932" s="22" t="str">
        <f>'EQUITY BACKTEST'!B1935</f>
        <v/>
      </c>
      <c r="C1932" s="22" t="str">
        <f>'EQUITY BACKTEST'!E1935</f>
        <v/>
      </c>
    </row>
    <row r="1933" ht="15.75" customHeight="1">
      <c r="A1933" s="22" t="str">
        <f>'EQUITY BACKTEST'!A1936</f>
        <v/>
      </c>
      <c r="B1933" s="22" t="str">
        <f>'EQUITY BACKTEST'!B1936</f>
        <v/>
      </c>
      <c r="C1933" s="22" t="str">
        <f>'EQUITY BACKTEST'!E1936</f>
        <v/>
      </c>
    </row>
    <row r="1934" ht="15.75" customHeight="1">
      <c r="A1934" s="22" t="str">
        <f>'EQUITY BACKTEST'!A1937</f>
        <v/>
      </c>
      <c r="B1934" s="22" t="str">
        <f>'EQUITY BACKTEST'!B1937</f>
        <v/>
      </c>
      <c r="C1934" s="22" t="str">
        <f>'EQUITY BACKTEST'!E1937</f>
        <v/>
      </c>
    </row>
    <row r="1935" ht="15.75" customHeight="1">
      <c r="A1935" s="22" t="str">
        <f>'EQUITY BACKTEST'!A1938</f>
        <v/>
      </c>
      <c r="B1935" s="22" t="str">
        <f>'EQUITY BACKTEST'!B1938</f>
        <v/>
      </c>
      <c r="C1935" s="22" t="str">
        <f>'EQUITY BACKTEST'!E1938</f>
        <v/>
      </c>
    </row>
    <row r="1936" ht="15.75" customHeight="1">
      <c r="A1936" s="22" t="str">
        <f>'EQUITY BACKTEST'!A1939</f>
        <v/>
      </c>
      <c r="B1936" s="22" t="str">
        <f>'EQUITY BACKTEST'!B1939</f>
        <v/>
      </c>
      <c r="C1936" s="22" t="str">
        <f>'EQUITY BACKTEST'!E1939</f>
        <v/>
      </c>
    </row>
    <row r="1937" ht="15.75" customHeight="1">
      <c r="A1937" s="22" t="str">
        <f>'EQUITY BACKTEST'!A1940</f>
        <v/>
      </c>
      <c r="B1937" s="22" t="str">
        <f>'EQUITY BACKTEST'!B1940</f>
        <v/>
      </c>
      <c r="C1937" s="22" t="str">
        <f>'EQUITY BACKTEST'!E1940</f>
        <v/>
      </c>
    </row>
    <row r="1938" ht="15.75" customHeight="1">
      <c r="A1938" s="22" t="str">
        <f>'EQUITY BACKTEST'!A1941</f>
        <v/>
      </c>
      <c r="B1938" s="22" t="str">
        <f>'EQUITY BACKTEST'!B1941</f>
        <v/>
      </c>
      <c r="C1938" s="22" t="str">
        <f>'EQUITY BACKTEST'!E1941</f>
        <v/>
      </c>
    </row>
    <row r="1939" ht="15.75" customHeight="1">
      <c r="A1939" s="22" t="str">
        <f>'EQUITY BACKTEST'!A1942</f>
        <v/>
      </c>
      <c r="B1939" s="22" t="str">
        <f>'EQUITY BACKTEST'!B1942</f>
        <v/>
      </c>
      <c r="C1939" s="22" t="str">
        <f>'EQUITY BACKTEST'!E1942</f>
        <v/>
      </c>
    </row>
    <row r="1940" ht="15.75" customHeight="1">
      <c r="A1940" s="22" t="str">
        <f>'EQUITY BACKTEST'!A1943</f>
        <v/>
      </c>
      <c r="B1940" s="22" t="str">
        <f>'EQUITY BACKTEST'!B1943</f>
        <v/>
      </c>
      <c r="C1940" s="22" t="str">
        <f>'EQUITY BACKTEST'!E1943</f>
        <v/>
      </c>
    </row>
    <row r="1941" ht="15.75" customHeight="1">
      <c r="A1941" s="22" t="str">
        <f>'EQUITY BACKTEST'!A1944</f>
        <v/>
      </c>
      <c r="B1941" s="22" t="str">
        <f>'EQUITY BACKTEST'!B1944</f>
        <v/>
      </c>
      <c r="C1941" s="22" t="str">
        <f>'EQUITY BACKTEST'!E1944</f>
        <v/>
      </c>
    </row>
    <row r="1942" ht="15.75" customHeight="1">
      <c r="A1942" s="22" t="str">
        <f>'EQUITY BACKTEST'!A1945</f>
        <v/>
      </c>
      <c r="B1942" s="22" t="str">
        <f>'EQUITY BACKTEST'!B1945</f>
        <v/>
      </c>
      <c r="C1942" s="22" t="str">
        <f>'EQUITY BACKTEST'!E1945</f>
        <v/>
      </c>
    </row>
    <row r="1943" ht="15.75" customHeight="1">
      <c r="A1943" s="22" t="str">
        <f>'EQUITY BACKTEST'!A1946</f>
        <v/>
      </c>
      <c r="B1943" s="22" t="str">
        <f>'EQUITY BACKTEST'!B1946</f>
        <v/>
      </c>
      <c r="C1943" s="22" t="str">
        <f>'EQUITY BACKTEST'!E1946</f>
        <v/>
      </c>
    </row>
    <row r="1944" ht="15.75" customHeight="1">
      <c r="A1944" s="22" t="str">
        <f>'EQUITY BACKTEST'!A1947</f>
        <v/>
      </c>
      <c r="B1944" s="22" t="str">
        <f>'EQUITY BACKTEST'!B1947</f>
        <v/>
      </c>
      <c r="C1944" s="22" t="str">
        <f>'EQUITY BACKTEST'!E1947</f>
        <v/>
      </c>
    </row>
    <row r="1945" ht="15.75" customHeight="1">
      <c r="A1945" s="22" t="str">
        <f>'EQUITY BACKTEST'!A1948</f>
        <v/>
      </c>
      <c r="B1945" s="22" t="str">
        <f>'EQUITY BACKTEST'!B1948</f>
        <v/>
      </c>
      <c r="C1945" s="22" t="str">
        <f>'EQUITY BACKTEST'!E1948</f>
        <v/>
      </c>
    </row>
    <row r="1946" ht="15.75" customHeight="1">
      <c r="A1946" s="22" t="str">
        <f>'EQUITY BACKTEST'!A1949</f>
        <v/>
      </c>
      <c r="B1946" s="22" t="str">
        <f>'EQUITY BACKTEST'!B1949</f>
        <v/>
      </c>
      <c r="C1946" s="22" t="str">
        <f>'EQUITY BACKTEST'!E1949</f>
        <v/>
      </c>
    </row>
    <row r="1947" ht="15.75" customHeight="1">
      <c r="A1947" s="22" t="str">
        <f>'EQUITY BACKTEST'!A1950</f>
        <v/>
      </c>
      <c r="B1947" s="22" t="str">
        <f>'EQUITY BACKTEST'!B1950</f>
        <v/>
      </c>
      <c r="C1947" s="22" t="str">
        <f>'EQUITY BACKTEST'!E1950</f>
        <v/>
      </c>
    </row>
    <row r="1948" ht="15.75" customHeight="1">
      <c r="A1948" s="22" t="str">
        <f>'EQUITY BACKTEST'!A1951</f>
        <v/>
      </c>
      <c r="B1948" s="22" t="str">
        <f>'EQUITY BACKTEST'!B1951</f>
        <v/>
      </c>
      <c r="C1948" s="22" t="str">
        <f>'EQUITY BACKTEST'!E1951</f>
        <v/>
      </c>
    </row>
    <row r="1949" ht="15.75" customHeight="1">
      <c r="A1949" s="22" t="str">
        <f>'EQUITY BACKTEST'!A1952</f>
        <v/>
      </c>
      <c r="B1949" s="22" t="str">
        <f>'EQUITY BACKTEST'!B1952</f>
        <v/>
      </c>
      <c r="C1949" s="22" t="str">
        <f>'EQUITY BACKTEST'!E1952</f>
        <v/>
      </c>
    </row>
    <row r="1950" ht="15.75" customHeight="1">
      <c r="A1950" s="22" t="str">
        <f>'EQUITY BACKTEST'!A1953</f>
        <v/>
      </c>
      <c r="B1950" s="22" t="str">
        <f>'EQUITY BACKTEST'!B1953</f>
        <v/>
      </c>
      <c r="C1950" s="22" t="str">
        <f>'EQUITY BACKTEST'!E1953</f>
        <v/>
      </c>
    </row>
    <row r="1951" ht="15.75" customHeight="1">
      <c r="A1951" s="22" t="str">
        <f>'EQUITY BACKTEST'!A1954</f>
        <v/>
      </c>
      <c r="B1951" s="22" t="str">
        <f>'EQUITY BACKTEST'!B1954</f>
        <v/>
      </c>
      <c r="C1951" s="22" t="str">
        <f>'EQUITY BACKTEST'!E1954</f>
        <v/>
      </c>
    </row>
    <row r="1952" ht="15.75" customHeight="1">
      <c r="A1952" s="22" t="str">
        <f>'EQUITY BACKTEST'!A1955</f>
        <v/>
      </c>
      <c r="B1952" s="22" t="str">
        <f>'EQUITY BACKTEST'!B1955</f>
        <v/>
      </c>
      <c r="C1952" s="22" t="str">
        <f>'EQUITY BACKTEST'!E1955</f>
        <v/>
      </c>
    </row>
    <row r="1953" ht="15.75" customHeight="1">
      <c r="A1953" s="22" t="str">
        <f>'EQUITY BACKTEST'!A1956</f>
        <v/>
      </c>
      <c r="B1953" s="22" t="str">
        <f>'EQUITY BACKTEST'!B1956</f>
        <v/>
      </c>
      <c r="C1953" s="22" t="str">
        <f>'EQUITY BACKTEST'!E1956</f>
        <v/>
      </c>
    </row>
    <row r="1954" ht="15.75" customHeight="1">
      <c r="A1954" s="22" t="str">
        <f>'EQUITY BACKTEST'!A1957</f>
        <v/>
      </c>
      <c r="B1954" s="22" t="str">
        <f>'EQUITY BACKTEST'!B1957</f>
        <v/>
      </c>
      <c r="C1954" s="22" t="str">
        <f>'EQUITY BACKTEST'!E1957</f>
        <v/>
      </c>
    </row>
    <row r="1955" ht="15.75" customHeight="1">
      <c r="A1955" s="22" t="str">
        <f>'EQUITY BACKTEST'!A1958</f>
        <v/>
      </c>
      <c r="B1955" s="22" t="str">
        <f>'EQUITY BACKTEST'!B1958</f>
        <v/>
      </c>
      <c r="C1955" s="22" t="str">
        <f>'EQUITY BACKTEST'!E1958</f>
        <v/>
      </c>
    </row>
    <row r="1956" ht="15.75" customHeight="1">
      <c r="A1956" s="22" t="str">
        <f>'EQUITY BACKTEST'!A1959</f>
        <v/>
      </c>
      <c r="B1956" s="22" t="str">
        <f>'EQUITY BACKTEST'!B1959</f>
        <v/>
      </c>
      <c r="C1956" s="22" t="str">
        <f>'EQUITY BACKTEST'!E1959</f>
        <v/>
      </c>
    </row>
    <row r="1957" ht="15.75" customHeight="1">
      <c r="A1957" s="22" t="str">
        <f>'EQUITY BACKTEST'!A1960</f>
        <v/>
      </c>
      <c r="B1957" s="22" t="str">
        <f>'EQUITY BACKTEST'!B1960</f>
        <v/>
      </c>
      <c r="C1957" s="22" t="str">
        <f>'EQUITY BACKTEST'!E1960</f>
        <v/>
      </c>
    </row>
    <row r="1958" ht="15.75" customHeight="1">
      <c r="A1958" s="22" t="str">
        <f>'EQUITY BACKTEST'!A1961</f>
        <v/>
      </c>
      <c r="B1958" s="22" t="str">
        <f>'EQUITY BACKTEST'!B1961</f>
        <v/>
      </c>
      <c r="C1958" s="22" t="str">
        <f>'EQUITY BACKTEST'!E1961</f>
        <v/>
      </c>
    </row>
    <row r="1959" ht="15.75" customHeight="1">
      <c r="A1959" s="22" t="str">
        <f>'EQUITY BACKTEST'!A1962</f>
        <v/>
      </c>
      <c r="B1959" s="22" t="str">
        <f>'EQUITY BACKTEST'!B1962</f>
        <v/>
      </c>
      <c r="C1959" s="22" t="str">
        <f>'EQUITY BACKTEST'!E1962</f>
        <v/>
      </c>
    </row>
    <row r="1960" ht="15.75" customHeight="1">
      <c r="A1960" s="22" t="str">
        <f>'EQUITY BACKTEST'!A1963</f>
        <v/>
      </c>
      <c r="B1960" s="22" t="str">
        <f>'EQUITY BACKTEST'!B1963</f>
        <v/>
      </c>
      <c r="C1960" s="22" t="str">
        <f>'EQUITY BACKTEST'!E1963</f>
        <v/>
      </c>
    </row>
    <row r="1961" ht="15.75" customHeight="1">
      <c r="A1961" s="22" t="str">
        <f>'EQUITY BACKTEST'!A1964</f>
        <v/>
      </c>
      <c r="B1961" s="22" t="str">
        <f>'EQUITY BACKTEST'!B1964</f>
        <v/>
      </c>
      <c r="C1961" s="22" t="str">
        <f>'EQUITY BACKTEST'!E1964</f>
        <v/>
      </c>
    </row>
    <row r="1962" ht="15.75" customHeight="1">
      <c r="A1962" s="22" t="str">
        <f>'EQUITY BACKTEST'!A1965</f>
        <v/>
      </c>
      <c r="B1962" s="22" t="str">
        <f>'EQUITY BACKTEST'!B1965</f>
        <v/>
      </c>
      <c r="C1962" s="22" t="str">
        <f>'EQUITY BACKTEST'!E1965</f>
        <v/>
      </c>
    </row>
    <row r="1963" ht="15.75" customHeight="1">
      <c r="A1963" s="22" t="str">
        <f>'EQUITY BACKTEST'!A1966</f>
        <v/>
      </c>
      <c r="B1963" s="22" t="str">
        <f>'EQUITY BACKTEST'!B1966</f>
        <v/>
      </c>
      <c r="C1963" s="22" t="str">
        <f>'EQUITY BACKTEST'!E1966</f>
        <v/>
      </c>
    </row>
    <row r="1964" ht="15.75" customHeight="1">
      <c r="A1964" s="22" t="str">
        <f>'EQUITY BACKTEST'!A1967</f>
        <v/>
      </c>
      <c r="B1964" s="22" t="str">
        <f>'EQUITY BACKTEST'!B1967</f>
        <v/>
      </c>
      <c r="C1964" s="22" t="str">
        <f>'EQUITY BACKTEST'!E1967</f>
        <v/>
      </c>
    </row>
    <row r="1965" ht="15.75" customHeight="1">
      <c r="A1965" s="22" t="str">
        <f>'EQUITY BACKTEST'!A1968</f>
        <v/>
      </c>
      <c r="B1965" s="22" t="str">
        <f>'EQUITY BACKTEST'!B1968</f>
        <v/>
      </c>
      <c r="C1965" s="22" t="str">
        <f>'EQUITY BACKTEST'!E1968</f>
        <v/>
      </c>
    </row>
    <row r="1966" ht="15.75" customHeight="1">
      <c r="A1966" s="22" t="str">
        <f>'EQUITY BACKTEST'!A1969</f>
        <v/>
      </c>
      <c r="B1966" s="22" t="str">
        <f>'EQUITY BACKTEST'!B1969</f>
        <v/>
      </c>
      <c r="C1966" s="22" t="str">
        <f>'EQUITY BACKTEST'!E1969</f>
        <v/>
      </c>
    </row>
    <row r="1967" ht="15.75" customHeight="1">
      <c r="A1967" s="22" t="str">
        <f>'EQUITY BACKTEST'!A1970</f>
        <v/>
      </c>
      <c r="B1967" s="22" t="str">
        <f>'EQUITY BACKTEST'!B1970</f>
        <v/>
      </c>
      <c r="C1967" s="22" t="str">
        <f>'EQUITY BACKTEST'!E1970</f>
        <v/>
      </c>
    </row>
    <row r="1968" ht="15.75" customHeight="1">
      <c r="A1968" s="22" t="str">
        <f>'EQUITY BACKTEST'!A1971</f>
        <v/>
      </c>
      <c r="B1968" s="22" t="str">
        <f>'EQUITY BACKTEST'!B1971</f>
        <v/>
      </c>
      <c r="C1968" s="22" t="str">
        <f>'EQUITY BACKTEST'!E1971</f>
        <v/>
      </c>
    </row>
    <row r="1969" ht="15.75" customHeight="1">
      <c r="A1969" s="22" t="str">
        <f>'EQUITY BACKTEST'!A1972</f>
        <v/>
      </c>
      <c r="B1969" s="22" t="str">
        <f>'EQUITY BACKTEST'!B1972</f>
        <v/>
      </c>
      <c r="C1969" s="22" t="str">
        <f>'EQUITY BACKTEST'!E1972</f>
        <v/>
      </c>
    </row>
    <row r="1970" ht="15.75" customHeight="1">
      <c r="A1970" s="22" t="str">
        <f>'EQUITY BACKTEST'!A1973</f>
        <v/>
      </c>
      <c r="B1970" s="22" t="str">
        <f>'EQUITY BACKTEST'!B1973</f>
        <v/>
      </c>
      <c r="C1970" s="22" t="str">
        <f>'EQUITY BACKTEST'!E1973</f>
        <v/>
      </c>
    </row>
    <row r="1971" ht="15.75" customHeight="1">
      <c r="A1971" s="22" t="str">
        <f>'EQUITY BACKTEST'!A1974</f>
        <v/>
      </c>
      <c r="B1971" s="22" t="str">
        <f>'EQUITY BACKTEST'!B1974</f>
        <v/>
      </c>
      <c r="C1971" s="22" t="str">
        <f>'EQUITY BACKTEST'!E1974</f>
        <v/>
      </c>
    </row>
    <row r="1972" ht="15.75" customHeight="1">
      <c r="A1972" s="22" t="str">
        <f>'EQUITY BACKTEST'!A1975</f>
        <v/>
      </c>
      <c r="B1972" s="22" t="str">
        <f>'EQUITY BACKTEST'!B1975</f>
        <v/>
      </c>
      <c r="C1972" s="22" t="str">
        <f>'EQUITY BACKTEST'!E1975</f>
        <v/>
      </c>
    </row>
    <row r="1973" ht="15.75" customHeight="1">
      <c r="A1973" s="22" t="str">
        <f>'EQUITY BACKTEST'!A1976</f>
        <v/>
      </c>
      <c r="B1973" s="22" t="str">
        <f>'EQUITY BACKTEST'!B1976</f>
        <v/>
      </c>
      <c r="C1973" s="22" t="str">
        <f>'EQUITY BACKTEST'!E1976</f>
        <v/>
      </c>
    </row>
    <row r="1974" ht="15.75" customHeight="1">
      <c r="A1974" s="22" t="str">
        <f>'EQUITY BACKTEST'!A1977</f>
        <v/>
      </c>
      <c r="B1974" s="22" t="str">
        <f>'EQUITY BACKTEST'!B1977</f>
        <v/>
      </c>
      <c r="C1974" s="22" t="str">
        <f>'EQUITY BACKTEST'!E1977</f>
        <v/>
      </c>
    </row>
    <row r="1975" ht="15.75" customHeight="1">
      <c r="A1975" s="22" t="str">
        <f>'EQUITY BACKTEST'!A1978</f>
        <v/>
      </c>
      <c r="B1975" s="22" t="str">
        <f>'EQUITY BACKTEST'!B1978</f>
        <v/>
      </c>
      <c r="C1975" s="22" t="str">
        <f>'EQUITY BACKTEST'!E1978</f>
        <v/>
      </c>
    </row>
    <row r="1976" ht="15.75" customHeight="1">
      <c r="A1976" s="22" t="str">
        <f>'EQUITY BACKTEST'!A1979</f>
        <v/>
      </c>
      <c r="B1976" s="22" t="str">
        <f>'EQUITY BACKTEST'!B1979</f>
        <v/>
      </c>
      <c r="C1976" s="22" t="str">
        <f>'EQUITY BACKTEST'!E1979</f>
        <v/>
      </c>
    </row>
    <row r="1977" ht="15.75" customHeight="1">
      <c r="A1977" s="22" t="str">
        <f>'EQUITY BACKTEST'!A1980</f>
        <v/>
      </c>
      <c r="B1977" s="22" t="str">
        <f>'EQUITY BACKTEST'!B1980</f>
        <v/>
      </c>
      <c r="C1977" s="22" t="str">
        <f>'EQUITY BACKTEST'!E1980</f>
        <v/>
      </c>
    </row>
    <row r="1978" ht="15.75" customHeight="1">
      <c r="A1978" s="22" t="str">
        <f>'EQUITY BACKTEST'!A1981</f>
        <v/>
      </c>
      <c r="B1978" s="22" t="str">
        <f>'EQUITY BACKTEST'!B1981</f>
        <v/>
      </c>
      <c r="C1978" s="22" t="str">
        <f>'EQUITY BACKTEST'!E1981</f>
        <v/>
      </c>
    </row>
    <row r="1979" ht="15.75" customHeight="1">
      <c r="A1979" s="22" t="str">
        <f>'EQUITY BACKTEST'!A1982</f>
        <v/>
      </c>
      <c r="B1979" s="22" t="str">
        <f>'EQUITY BACKTEST'!B1982</f>
        <v/>
      </c>
      <c r="C1979" s="22" t="str">
        <f>'EQUITY BACKTEST'!E1982</f>
        <v/>
      </c>
    </row>
    <row r="1980" ht="15.75" customHeight="1">
      <c r="A1980" s="22" t="str">
        <f>'EQUITY BACKTEST'!A1983</f>
        <v/>
      </c>
      <c r="B1980" s="22" t="str">
        <f>'EQUITY BACKTEST'!B1983</f>
        <v/>
      </c>
      <c r="C1980" s="22" t="str">
        <f>'EQUITY BACKTEST'!E1983</f>
        <v/>
      </c>
    </row>
    <row r="1981" ht="15.75" customHeight="1">
      <c r="A1981" s="22" t="str">
        <f>'EQUITY BACKTEST'!A1984</f>
        <v/>
      </c>
      <c r="B1981" s="22" t="str">
        <f>'EQUITY BACKTEST'!B1984</f>
        <v/>
      </c>
      <c r="C1981" s="22" t="str">
        <f>'EQUITY BACKTEST'!E1984</f>
        <v/>
      </c>
    </row>
    <row r="1982" ht="15.75" customHeight="1">
      <c r="A1982" s="22" t="str">
        <f>'EQUITY BACKTEST'!A1985</f>
        <v/>
      </c>
      <c r="B1982" s="22" t="str">
        <f>'EQUITY BACKTEST'!B1985</f>
        <v/>
      </c>
      <c r="C1982" s="22" t="str">
        <f>'EQUITY BACKTEST'!E1985</f>
        <v/>
      </c>
    </row>
    <row r="1983" ht="15.75" customHeight="1">
      <c r="A1983" s="22" t="str">
        <f>'EQUITY BACKTEST'!A1986</f>
        <v/>
      </c>
      <c r="B1983" s="22" t="str">
        <f>'EQUITY BACKTEST'!B1986</f>
        <v/>
      </c>
      <c r="C1983" s="22" t="str">
        <f>'EQUITY BACKTEST'!E1986</f>
        <v/>
      </c>
    </row>
    <row r="1984" ht="15.75" customHeight="1">
      <c r="A1984" s="22" t="str">
        <f>'EQUITY BACKTEST'!A1987</f>
        <v/>
      </c>
      <c r="B1984" s="22" t="str">
        <f>'EQUITY BACKTEST'!B1987</f>
        <v/>
      </c>
      <c r="C1984" s="22" t="str">
        <f>'EQUITY BACKTEST'!E1987</f>
        <v/>
      </c>
    </row>
    <row r="1985" ht="15.75" customHeight="1">
      <c r="A1985" s="22" t="str">
        <f>'EQUITY BACKTEST'!A1988</f>
        <v/>
      </c>
      <c r="B1985" s="22" t="str">
        <f>'EQUITY BACKTEST'!B1988</f>
        <v/>
      </c>
      <c r="C1985" s="22" t="str">
        <f>'EQUITY BACKTEST'!E1988</f>
        <v/>
      </c>
    </row>
    <row r="1986" ht="15.75" customHeight="1">
      <c r="A1986" s="22" t="str">
        <f>'EQUITY BACKTEST'!A1989</f>
        <v/>
      </c>
      <c r="B1986" s="22" t="str">
        <f>'EQUITY BACKTEST'!B1989</f>
        <v/>
      </c>
      <c r="C1986" s="22" t="str">
        <f>'EQUITY BACKTEST'!E1989</f>
        <v/>
      </c>
    </row>
    <row r="1987" ht="15.75" customHeight="1">
      <c r="A1987" s="22" t="str">
        <f>'EQUITY BACKTEST'!A1990</f>
        <v/>
      </c>
      <c r="B1987" s="22" t="str">
        <f>'EQUITY BACKTEST'!B1990</f>
        <v/>
      </c>
      <c r="C1987" s="22" t="str">
        <f>'EQUITY BACKTEST'!E1990</f>
        <v/>
      </c>
    </row>
    <row r="1988" ht="15.75" customHeight="1">
      <c r="A1988" s="22" t="str">
        <f>'EQUITY BACKTEST'!A1991</f>
        <v/>
      </c>
      <c r="B1988" s="22" t="str">
        <f>'EQUITY BACKTEST'!B1991</f>
        <v/>
      </c>
      <c r="C1988" s="22" t="str">
        <f>'EQUITY BACKTEST'!E1991</f>
        <v/>
      </c>
    </row>
    <row r="1989" ht="15.75" customHeight="1">
      <c r="A1989" s="22" t="str">
        <f>'EQUITY BACKTEST'!A1992</f>
        <v/>
      </c>
      <c r="B1989" s="22" t="str">
        <f>'EQUITY BACKTEST'!B1992</f>
        <v/>
      </c>
      <c r="C1989" s="22" t="str">
        <f>'EQUITY BACKTEST'!E1992</f>
        <v/>
      </c>
    </row>
    <row r="1990" ht="15.75" customHeight="1">
      <c r="A1990" s="22" t="str">
        <f>'EQUITY BACKTEST'!A1993</f>
        <v/>
      </c>
      <c r="B1990" s="22" t="str">
        <f>'EQUITY BACKTEST'!B1993</f>
        <v/>
      </c>
      <c r="C1990" s="22" t="str">
        <f>'EQUITY BACKTEST'!E1993</f>
        <v/>
      </c>
    </row>
    <row r="1991" ht="15.75" customHeight="1">
      <c r="A1991" s="22" t="str">
        <f>'EQUITY BACKTEST'!A1994</f>
        <v/>
      </c>
      <c r="B1991" s="22" t="str">
        <f>'EQUITY BACKTEST'!B1994</f>
        <v/>
      </c>
      <c r="C1991" s="22" t="str">
        <f>'EQUITY BACKTEST'!E1994</f>
        <v/>
      </c>
    </row>
    <row r="1992" ht="15.75" customHeight="1">
      <c r="A1992" s="22" t="str">
        <f>'EQUITY BACKTEST'!A1995</f>
        <v/>
      </c>
      <c r="B1992" s="22" t="str">
        <f>'EQUITY BACKTEST'!B1995</f>
        <v/>
      </c>
      <c r="C1992" s="22" t="str">
        <f>'EQUITY BACKTEST'!E1995</f>
        <v/>
      </c>
    </row>
    <row r="1993" ht="15.75" customHeight="1">
      <c r="A1993" s="22" t="str">
        <f>'EQUITY BACKTEST'!A1996</f>
        <v/>
      </c>
      <c r="B1993" s="22" t="str">
        <f>'EQUITY BACKTEST'!B1996</f>
        <v/>
      </c>
      <c r="C1993" s="22" t="str">
        <f>'EQUITY BACKTEST'!E1996</f>
        <v/>
      </c>
    </row>
    <row r="1994" ht="15.75" customHeight="1">
      <c r="A1994" s="22" t="str">
        <f>'EQUITY BACKTEST'!A1997</f>
        <v/>
      </c>
      <c r="B1994" s="22" t="str">
        <f>'EQUITY BACKTEST'!B1997</f>
        <v/>
      </c>
      <c r="C1994" s="22" t="str">
        <f>'EQUITY BACKTEST'!E1997</f>
        <v/>
      </c>
    </row>
    <row r="1995" ht="15.75" customHeight="1">
      <c r="A1995" s="22" t="str">
        <f>'EQUITY BACKTEST'!A1998</f>
        <v/>
      </c>
      <c r="B1995" s="22" t="str">
        <f>'EQUITY BACKTEST'!B1998</f>
        <v/>
      </c>
      <c r="C1995" s="22" t="str">
        <f>'EQUITY BACKTEST'!E1998</f>
        <v/>
      </c>
    </row>
    <row r="1996" ht="15.75" customHeight="1">
      <c r="A1996" s="22" t="str">
        <f>'EQUITY BACKTEST'!A1999</f>
        <v/>
      </c>
      <c r="B1996" s="22" t="str">
        <f>'EQUITY BACKTEST'!B1999</f>
        <v/>
      </c>
      <c r="C1996" s="22" t="str">
        <f>'EQUITY BACKTEST'!E1999</f>
        <v/>
      </c>
    </row>
    <row r="1997" ht="15.75" customHeight="1">
      <c r="A1997" s="22" t="str">
        <f>'EQUITY BACKTEST'!A2000</f>
        <v/>
      </c>
      <c r="B1997" s="22" t="str">
        <f>'EQUITY BACKTEST'!B2000</f>
        <v/>
      </c>
      <c r="C1997" s="22" t="str">
        <f>'EQUITY BACKTEST'!E2000</f>
        <v/>
      </c>
    </row>
    <row r="1998" ht="15.75" customHeight="1">
      <c r="A1998" s="22" t="str">
        <f>'EQUITY BACKTEST'!A2001</f>
        <v/>
      </c>
      <c r="B1998" s="22" t="str">
        <f>'EQUITY BACKTEST'!B2001</f>
        <v/>
      </c>
      <c r="C1998" s="22" t="str">
        <f>'EQUITY BACKTEST'!E2001</f>
        <v/>
      </c>
    </row>
    <row r="1999" ht="15.75" customHeight="1">
      <c r="A1999" s="22" t="str">
        <f>'EQUITY BACKTEST'!A2002</f>
        <v/>
      </c>
      <c r="B1999" s="22" t="str">
        <f>'EQUITY BACKTEST'!B2002</f>
        <v/>
      </c>
      <c r="C1999" s="22" t="str">
        <f>'EQUITY BACKTEST'!E2002</f>
        <v/>
      </c>
    </row>
    <row r="2000" ht="15.75" customHeight="1">
      <c r="A2000" s="22" t="str">
        <f>'EQUITY BACKTEST'!A2003</f>
        <v/>
      </c>
      <c r="B2000" s="22" t="str">
        <f>'EQUITY BACKTEST'!B2003</f>
        <v/>
      </c>
      <c r="C2000" s="22" t="str">
        <f>'EQUITY BACKTEST'!E2003</f>
        <v/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3" max="3" width="16.38"/>
    <col customWidth="1" min="9" max="9" width="17.88"/>
  </cols>
  <sheetData>
    <row r="1" ht="15.75" customHeight="1">
      <c r="B1" s="22" t="s">
        <v>92</v>
      </c>
      <c r="D1" s="22" t="s">
        <v>158</v>
      </c>
      <c r="E1" s="26">
        <v>0.0230558160276082</v>
      </c>
      <c r="F1" s="22"/>
      <c r="G1" s="22" t="s">
        <v>93</v>
      </c>
      <c r="H1" s="22">
        <v>1999.0</v>
      </c>
      <c r="I1" s="22">
        <v>1.0</v>
      </c>
      <c r="J1" s="22">
        <v>1.0</v>
      </c>
      <c r="L1" s="22" t="s">
        <v>94</v>
      </c>
      <c r="M1" s="34" t="s">
        <v>152</v>
      </c>
      <c r="N1" s="22">
        <f>C526/C6</f>
        <v>0.6845168138</v>
      </c>
    </row>
    <row r="2" ht="15.75" customHeight="1">
      <c r="B2" s="22" t="s">
        <v>85</v>
      </c>
      <c r="C2" s="22"/>
      <c r="D2" s="22"/>
      <c r="E2" s="22"/>
      <c r="F2" s="22"/>
      <c r="G2" s="22" t="s">
        <v>85</v>
      </c>
      <c r="K2" s="14"/>
      <c r="L2" s="14"/>
      <c r="M2" s="14"/>
      <c r="N2" s="14">
        <f>1.5^10</f>
        <v>57.66503906</v>
      </c>
      <c r="O2" s="14"/>
      <c r="P2" s="14"/>
      <c r="S2" s="22" t="s">
        <v>176</v>
      </c>
    </row>
    <row r="3" ht="15.75" customHeight="1">
      <c r="B3" s="22" t="s">
        <v>99</v>
      </c>
      <c r="C3" s="22" t="s">
        <v>154</v>
      </c>
      <c r="D3" s="22"/>
      <c r="E3" s="22"/>
      <c r="F3" s="22"/>
      <c r="J3" s="22" t="s">
        <v>155</v>
      </c>
      <c r="K3" s="22">
        <f>AVERAGE($G162:$G1348)</f>
        <v>23.49566402</v>
      </c>
      <c r="L3" s="22">
        <f>AVERAGE($H266:$H1348)</f>
        <v>45.10485925</v>
      </c>
      <c r="M3" s="22">
        <f>MEDIAN($G162:$G1348)</f>
        <v>28.85058522</v>
      </c>
      <c r="N3" s="22">
        <f>MEDIAN($H266:$H1345)</f>
        <v>39.14177664</v>
      </c>
      <c r="P3" s="22" t="s">
        <v>159</v>
      </c>
      <c r="Q3" s="22" t="s">
        <v>160</v>
      </c>
      <c r="R3" s="22" t="s">
        <v>161</v>
      </c>
      <c r="U3" s="22" t="s">
        <v>160</v>
      </c>
      <c r="V3" s="22" t="s">
        <v>161</v>
      </c>
    </row>
    <row r="4" ht="15.75" customHeight="1">
      <c r="A4" s="22" t="str">
        <f>IFERROR(__xludf.DUMMYFUNCTION("GOOGLEFINANCE(B$3, ""price"", DATE(H1, I1, J1), TODAY(), $M$1)"),"Date")</f>
        <v>Date</v>
      </c>
      <c r="B4" s="22" t="str">
        <f>IFERROR(__xludf.DUMMYFUNCTION("""COMPUTED_VALUE"""),"Close")</f>
        <v>Close</v>
      </c>
      <c r="D4" s="22" t="str">
        <f>IFERROR(__xludf.DUMMYFUNCTION("GOOGLEFINANCE(J$3, ""price"", DATE(H1, I1, N1), TODAY(), M1)"),"Date")</f>
        <v>Date</v>
      </c>
      <c r="E4" s="22" t="str">
        <f>IFERROR(__xludf.DUMMYFUNCTION("""COMPUTED_VALUE"""),"Close")</f>
        <v>Close</v>
      </c>
      <c r="F4" s="22" t="s">
        <v>162</v>
      </c>
      <c r="G4" s="22" t="s">
        <v>156</v>
      </c>
      <c r="H4" s="22" t="s">
        <v>157</v>
      </c>
      <c r="I4" s="22" t="s">
        <v>177</v>
      </c>
      <c r="J4" s="22" t="s">
        <v>178</v>
      </c>
      <c r="P4" s="22">
        <v>-60.0</v>
      </c>
      <c r="Q4" s="22">
        <f t="array" ref="Q4">FREQUENCY(G162:G1348, $P$4:$P$28)</f>
        <v>0</v>
      </c>
      <c r="R4" s="22">
        <f t="array" ref="R4">FREQUENCY(H266:H1348, $P$4:$P$28)</f>
        <v>0</v>
      </c>
      <c r="S4" s="33" t="str">
        <f t="shared" ref="S4:T4" si="1">100*Q4/Q$30</f>
        <v>#DIV/0!</v>
      </c>
      <c r="T4" s="33" t="str">
        <f t="shared" si="1"/>
        <v>#DIV/0!</v>
      </c>
    </row>
    <row r="5" ht="15.75" customHeight="1">
      <c r="A5" s="25">
        <f>IFERROR(__xludf.DUMMYFUNCTION("""COMPUTED_VALUE"""),36160.666666666664)</f>
        <v>36160.66667</v>
      </c>
      <c r="B5" s="22">
        <f>IFERROR(__xludf.DUMMYFUNCTION("""COMPUTED_VALUE"""),1229.4)</f>
        <v>1229.4</v>
      </c>
      <c r="D5" s="25">
        <f>IFERROR(__xludf.DUMMYFUNCTION("""COMPUTED_VALUE"""),36161.99861111111)</f>
        <v>36161.99861</v>
      </c>
      <c r="E5" s="22">
        <f>IFERROR(__xludf.DUMMYFUNCTION("""COMPUTED_VALUE"""),1.168)</f>
        <v>1.168</v>
      </c>
      <c r="I5" s="22">
        <f t="shared" ref="I5:I1345" si="3">1/E5</f>
        <v>0.8561643836</v>
      </c>
      <c r="P5" s="22">
        <f t="shared" ref="P5:P28" si="4">P4+10</f>
        <v>-50</v>
      </c>
      <c r="Q5" s="22"/>
      <c r="R5" s="22"/>
      <c r="S5" s="33" t="str">
        <f t="shared" ref="S5:T5" si="2">100*Q5/Q$30+S4</f>
        <v>#DIV/0!</v>
      </c>
      <c r="T5" s="33" t="str">
        <f t="shared" si="2"/>
        <v>#DIV/0!</v>
      </c>
    </row>
    <row r="6" ht="15.75" customHeight="1">
      <c r="A6" s="25">
        <f>IFERROR(__xludf.DUMMYFUNCTION("""COMPUTED_VALUE"""),36168.666666666664)</f>
        <v>36168.66667</v>
      </c>
      <c r="B6" s="22">
        <f>IFERROR(__xludf.DUMMYFUNCTION("""COMPUTED_VALUE"""),1275.09)</f>
        <v>1275.09</v>
      </c>
      <c r="C6" s="22">
        <f t="shared" ref="C6:C1348" si="6">$E$1/52*B5+B6</f>
        <v>1275.635093</v>
      </c>
      <c r="D6" s="25">
        <f>IFERROR(__xludf.DUMMYFUNCTION("""COMPUTED_VALUE"""),36168.99861111111)</f>
        <v>36168.99861</v>
      </c>
      <c r="E6" s="22">
        <f>IFERROR(__xludf.DUMMYFUNCTION("""COMPUTED_VALUE"""),1.158)</f>
        <v>1.158</v>
      </c>
      <c r="F6" s="22">
        <v>100.0</v>
      </c>
      <c r="I6" s="22">
        <f t="shared" si="3"/>
        <v>0.8635578584</v>
      </c>
      <c r="P6" s="22">
        <f t="shared" si="4"/>
        <v>-40</v>
      </c>
      <c r="Q6" s="22"/>
      <c r="R6" s="22"/>
      <c r="S6" s="33" t="str">
        <f t="shared" ref="S6:T6" si="5">100*Q6/Q$30+S5</f>
        <v>#DIV/0!</v>
      </c>
      <c r="T6" s="33" t="str">
        <f t="shared" si="5"/>
        <v>#DIV/0!</v>
      </c>
    </row>
    <row r="7" ht="15.75" customHeight="1">
      <c r="A7" s="25">
        <f>IFERROR(__xludf.DUMMYFUNCTION("""COMPUTED_VALUE"""),36174.666666666664)</f>
        <v>36174.66667</v>
      </c>
      <c r="B7" s="22">
        <f>IFERROR(__xludf.DUMMYFUNCTION("""COMPUTED_VALUE"""),1212.19)</f>
        <v>1212.19</v>
      </c>
      <c r="C7" s="22">
        <f t="shared" si="6"/>
        <v>1212.755351</v>
      </c>
      <c r="D7" s="25">
        <f>IFERROR(__xludf.DUMMYFUNCTION("""COMPUTED_VALUE"""),36175.99861111111)</f>
        <v>36175.99861</v>
      </c>
      <c r="E7" s="22">
        <f>IFERROR(__xludf.DUMMYFUNCTION("""COMPUTED_VALUE"""),1.156)</f>
        <v>1.156</v>
      </c>
      <c r="F7" s="22">
        <f t="shared" ref="F7:F1345" si="8">F6*((E7/E6)*(C7/C6))</f>
        <v>94.90651275</v>
      </c>
      <c r="I7" s="22">
        <f t="shared" si="3"/>
        <v>0.8650519031</v>
      </c>
      <c r="P7" s="22">
        <f t="shared" si="4"/>
        <v>-30</v>
      </c>
      <c r="Q7" s="22"/>
      <c r="R7" s="22"/>
      <c r="S7" s="33" t="str">
        <f t="shared" ref="S7:T7" si="7">100*Q7/Q$30+S6</f>
        <v>#DIV/0!</v>
      </c>
      <c r="T7" s="33" t="str">
        <f t="shared" si="7"/>
        <v>#DIV/0!</v>
      </c>
    </row>
    <row r="8" ht="15.75" customHeight="1">
      <c r="A8" s="25">
        <f>IFERROR(__xludf.DUMMYFUNCTION("""COMPUTED_VALUE"""),36182.666666666664)</f>
        <v>36182.66667</v>
      </c>
      <c r="B8" s="22">
        <f>IFERROR(__xludf.DUMMYFUNCTION("""COMPUTED_VALUE"""),1225.19)</f>
        <v>1225.19</v>
      </c>
      <c r="C8" s="22">
        <f t="shared" si="6"/>
        <v>1225.727462</v>
      </c>
      <c r="D8" s="25">
        <f>IFERROR(__xludf.DUMMYFUNCTION("""COMPUTED_VALUE"""),36182.99861111111)</f>
        <v>36182.99861</v>
      </c>
      <c r="E8" s="22">
        <f>IFERROR(__xludf.DUMMYFUNCTION("""COMPUTED_VALUE"""),1.1585)</f>
        <v>1.1585</v>
      </c>
      <c r="F8" s="22">
        <f t="shared" si="8"/>
        <v>96.12911344</v>
      </c>
      <c r="I8" s="22">
        <f t="shared" si="3"/>
        <v>0.8631851532</v>
      </c>
      <c r="P8" s="22">
        <f t="shared" si="4"/>
        <v>-20</v>
      </c>
      <c r="Q8" s="22"/>
      <c r="R8" s="22"/>
      <c r="S8" s="33" t="str">
        <f t="shared" ref="S8:T8" si="9">100*Q8/Q$30+S7</f>
        <v>#DIV/0!</v>
      </c>
      <c r="T8" s="33" t="str">
        <f t="shared" si="9"/>
        <v>#DIV/0!</v>
      </c>
    </row>
    <row r="9" ht="15.75" customHeight="1">
      <c r="A9" s="25">
        <f>IFERROR(__xludf.DUMMYFUNCTION("""COMPUTED_VALUE"""),36189.666666666664)</f>
        <v>36189.66667</v>
      </c>
      <c r="B9" s="22">
        <f>IFERROR(__xludf.DUMMYFUNCTION("""COMPUTED_VALUE"""),1279.64)</f>
        <v>1279.64</v>
      </c>
      <c r="C9" s="22">
        <f t="shared" si="6"/>
        <v>1280.183226</v>
      </c>
      <c r="D9" s="25">
        <f>IFERROR(__xludf.DUMMYFUNCTION("""COMPUTED_VALUE"""),36189.99861111111)</f>
        <v>36189.99861</v>
      </c>
      <c r="E9" s="22">
        <f>IFERROR(__xludf.DUMMYFUNCTION("""COMPUTED_VALUE"""),1.1365)</f>
        <v>1.1365</v>
      </c>
      <c r="F9" s="22">
        <f t="shared" si="8"/>
        <v>98.49326968</v>
      </c>
      <c r="I9" s="22">
        <f t="shared" si="3"/>
        <v>0.8798944127</v>
      </c>
      <c r="P9" s="22">
        <f t="shared" si="4"/>
        <v>-10</v>
      </c>
      <c r="Q9" s="22"/>
      <c r="R9" s="22"/>
      <c r="S9" s="33" t="str">
        <f t="shared" ref="S9:T9" si="10">100*Q9/Q$30+S8</f>
        <v>#DIV/0!</v>
      </c>
      <c r="T9" s="33" t="str">
        <f t="shared" si="10"/>
        <v>#DIV/0!</v>
      </c>
    </row>
    <row r="10" ht="15.75" customHeight="1">
      <c r="A10" s="25">
        <f>IFERROR(__xludf.DUMMYFUNCTION("""COMPUTED_VALUE"""),36196.666666666664)</f>
        <v>36196.66667</v>
      </c>
      <c r="B10" s="22">
        <f>IFERROR(__xludf.DUMMYFUNCTION("""COMPUTED_VALUE"""),1239.4)</f>
        <v>1239.4</v>
      </c>
      <c r="C10" s="22">
        <f t="shared" si="6"/>
        <v>1239.967368</v>
      </c>
      <c r="D10" s="25">
        <f>IFERROR(__xludf.DUMMYFUNCTION("""COMPUTED_VALUE"""),36196.99861111111)</f>
        <v>36196.99861</v>
      </c>
      <c r="E10" s="22">
        <f>IFERROR(__xludf.DUMMYFUNCTION("""COMPUTED_VALUE"""),1.1257)</f>
        <v>1.1257</v>
      </c>
      <c r="F10" s="22">
        <f t="shared" si="8"/>
        <v>94.492623</v>
      </c>
      <c r="I10" s="22">
        <f t="shared" si="3"/>
        <v>0.8883361464</v>
      </c>
      <c r="P10" s="22">
        <f t="shared" si="4"/>
        <v>0</v>
      </c>
      <c r="Q10" s="22"/>
      <c r="R10" s="22"/>
      <c r="S10" s="33" t="str">
        <f t="shared" ref="S10:T10" si="11">100*Q10/Q$30+S9</f>
        <v>#DIV/0!</v>
      </c>
      <c r="T10" s="33" t="str">
        <f t="shared" si="11"/>
        <v>#DIV/0!</v>
      </c>
    </row>
    <row r="11" ht="15.75" customHeight="1">
      <c r="A11" s="25">
        <f>IFERROR(__xludf.DUMMYFUNCTION("""COMPUTED_VALUE"""),36203.666666666664)</f>
        <v>36203.66667</v>
      </c>
      <c r="B11" s="22">
        <f>IFERROR(__xludf.DUMMYFUNCTION("""COMPUTED_VALUE"""),1230.14)</f>
        <v>1230.14</v>
      </c>
      <c r="C11" s="22">
        <f t="shared" si="6"/>
        <v>1230.689527</v>
      </c>
      <c r="D11" s="25">
        <f>IFERROR(__xludf.DUMMYFUNCTION("""COMPUTED_VALUE"""),36203.99861111111)</f>
        <v>36203.99861</v>
      </c>
      <c r="E11" s="22">
        <f>IFERROR(__xludf.DUMMYFUNCTION("""COMPUTED_VALUE"""),1.1303)</f>
        <v>1.1303</v>
      </c>
      <c r="F11" s="22">
        <f t="shared" si="8"/>
        <v>94.1688387</v>
      </c>
      <c r="I11" s="22">
        <f t="shared" si="3"/>
        <v>0.8847208706</v>
      </c>
      <c r="P11" s="22">
        <f t="shared" si="4"/>
        <v>10</v>
      </c>
      <c r="Q11" s="22"/>
      <c r="R11" s="22"/>
      <c r="S11" s="33" t="str">
        <f t="shared" ref="S11:T11" si="12">100*Q11/Q$30+S10</f>
        <v>#DIV/0!</v>
      </c>
      <c r="T11" s="33" t="str">
        <f t="shared" si="12"/>
        <v>#DIV/0!</v>
      </c>
    </row>
    <row r="12" ht="15.75" customHeight="1">
      <c r="A12" s="25">
        <f>IFERROR(__xludf.DUMMYFUNCTION("""COMPUTED_VALUE"""),36210.666666666664)</f>
        <v>36210.66667</v>
      </c>
      <c r="B12" s="22">
        <f>IFERROR(__xludf.DUMMYFUNCTION("""COMPUTED_VALUE"""),1239.16)</f>
        <v>1239.16</v>
      </c>
      <c r="C12" s="22">
        <f t="shared" si="6"/>
        <v>1239.705421</v>
      </c>
      <c r="D12" s="25">
        <f>IFERROR(__xludf.DUMMYFUNCTION("""COMPUTED_VALUE"""),36210.99861111111)</f>
        <v>36210.99861</v>
      </c>
      <c r="E12" s="22">
        <f>IFERROR(__xludf.DUMMYFUNCTION("""COMPUTED_VALUE"""),1.1055)</f>
        <v>1.1055</v>
      </c>
      <c r="F12" s="22">
        <f t="shared" si="8"/>
        <v>92.77740682</v>
      </c>
      <c r="I12" s="22">
        <f t="shared" si="3"/>
        <v>0.9045680687</v>
      </c>
      <c r="P12" s="22">
        <f t="shared" si="4"/>
        <v>20</v>
      </c>
      <c r="Q12" s="22"/>
      <c r="R12" s="22"/>
      <c r="S12" s="33" t="str">
        <f t="shared" ref="S12:T12" si="13">100*Q12/Q$30+S11</f>
        <v>#DIV/0!</v>
      </c>
      <c r="T12" s="33" t="str">
        <f t="shared" si="13"/>
        <v>#DIV/0!</v>
      </c>
    </row>
    <row r="13" ht="15.75" customHeight="1">
      <c r="A13" s="25">
        <f>IFERROR(__xludf.DUMMYFUNCTION("""COMPUTED_VALUE"""),36217.666666666664)</f>
        <v>36217.66667</v>
      </c>
      <c r="B13" s="22">
        <f>IFERROR(__xludf.DUMMYFUNCTION("""COMPUTED_VALUE"""),1238.33)</f>
        <v>1238.33</v>
      </c>
      <c r="C13" s="22">
        <f t="shared" si="6"/>
        <v>1238.87942</v>
      </c>
      <c r="D13" s="25">
        <f>IFERROR(__xludf.DUMMYFUNCTION("""COMPUTED_VALUE"""),36217.99861111111)</f>
        <v>36217.99861</v>
      </c>
      <c r="E13" s="22">
        <f>IFERROR(__xludf.DUMMYFUNCTION("""COMPUTED_VALUE"""),1.1022)</f>
        <v>1.1022</v>
      </c>
      <c r="F13" s="22">
        <f t="shared" si="8"/>
        <v>92.4388274</v>
      </c>
      <c r="I13" s="22">
        <f t="shared" si="3"/>
        <v>0.9072763564</v>
      </c>
      <c r="P13" s="22">
        <f t="shared" si="4"/>
        <v>30</v>
      </c>
      <c r="Q13" s="22"/>
      <c r="R13" s="22"/>
      <c r="S13" s="33" t="str">
        <f t="shared" ref="S13:T13" si="14">100*Q13/Q$30+S12</f>
        <v>#DIV/0!</v>
      </c>
      <c r="T13" s="33" t="str">
        <f t="shared" si="14"/>
        <v>#DIV/0!</v>
      </c>
    </row>
    <row r="14" ht="15.75" customHeight="1">
      <c r="A14" s="25">
        <f>IFERROR(__xludf.DUMMYFUNCTION("""COMPUTED_VALUE"""),36224.666666666664)</f>
        <v>36224.66667</v>
      </c>
      <c r="B14" s="22">
        <f>IFERROR(__xludf.DUMMYFUNCTION("""COMPUTED_VALUE"""),1275.46)</f>
        <v>1275.46</v>
      </c>
      <c r="C14" s="22">
        <f t="shared" si="6"/>
        <v>1276.009052</v>
      </c>
      <c r="D14" s="25">
        <f>IFERROR(__xludf.DUMMYFUNCTION("""COMPUTED_VALUE"""),36224.99861111111)</f>
        <v>36224.99861</v>
      </c>
      <c r="E14" s="22">
        <f>IFERROR(__xludf.DUMMYFUNCTION("""COMPUTED_VALUE"""),1.0815)</f>
        <v>1.0815</v>
      </c>
      <c r="F14" s="22">
        <f t="shared" si="8"/>
        <v>93.42116128</v>
      </c>
      <c r="I14" s="22">
        <f t="shared" si="3"/>
        <v>0.9246417013</v>
      </c>
      <c r="P14" s="22">
        <f t="shared" si="4"/>
        <v>40</v>
      </c>
      <c r="Q14" s="22"/>
      <c r="R14" s="22"/>
      <c r="S14" s="33" t="str">
        <f t="shared" ref="S14:T14" si="15">100*Q14/Q$30+S13</f>
        <v>#DIV/0!</v>
      </c>
      <c r="T14" s="33" t="str">
        <f t="shared" si="15"/>
        <v>#DIV/0!</v>
      </c>
    </row>
    <row r="15" ht="15.75" customHeight="1">
      <c r="A15" s="25">
        <f>IFERROR(__xludf.DUMMYFUNCTION("""COMPUTED_VALUE"""),36231.666666666664)</f>
        <v>36231.66667</v>
      </c>
      <c r="B15" s="22">
        <f>IFERROR(__xludf.DUMMYFUNCTION("""COMPUTED_VALUE"""),1294.59)</f>
        <v>1294.59</v>
      </c>
      <c r="C15" s="22">
        <f t="shared" si="6"/>
        <v>1295.155515</v>
      </c>
      <c r="D15" s="25">
        <f>IFERROR(__xludf.DUMMYFUNCTION("""COMPUTED_VALUE"""),36231.99861111111)</f>
        <v>36231.99861</v>
      </c>
      <c r="E15" s="22">
        <f>IFERROR(__xludf.DUMMYFUNCTION("""COMPUTED_VALUE"""),1.09)</f>
        <v>1.09</v>
      </c>
      <c r="F15" s="22">
        <f t="shared" si="8"/>
        <v>95.56819851</v>
      </c>
      <c r="I15" s="22">
        <f t="shared" si="3"/>
        <v>0.9174311927</v>
      </c>
      <c r="P15" s="22">
        <f t="shared" si="4"/>
        <v>50</v>
      </c>
      <c r="Q15" s="22"/>
      <c r="R15" s="22"/>
      <c r="S15" s="33" t="str">
        <f t="shared" ref="S15:T15" si="16">100*Q15/Q$30+S14</f>
        <v>#DIV/0!</v>
      </c>
      <c r="T15" s="33" t="str">
        <f t="shared" si="16"/>
        <v>#DIV/0!</v>
      </c>
    </row>
    <row r="16" ht="15.75" customHeight="1">
      <c r="A16" s="25">
        <f>IFERROR(__xludf.DUMMYFUNCTION("""COMPUTED_VALUE"""),36238.666666666664)</f>
        <v>36238.66667</v>
      </c>
      <c r="B16" s="22">
        <f>IFERROR(__xludf.DUMMYFUNCTION("""COMPUTED_VALUE"""),1299.29)</f>
        <v>1299.29</v>
      </c>
      <c r="C16" s="22">
        <f t="shared" si="6"/>
        <v>1299.863997</v>
      </c>
      <c r="D16" s="25">
        <f>IFERROR(__xludf.DUMMYFUNCTION("""COMPUTED_VALUE"""),36238.99861111111)</f>
        <v>36238.99861</v>
      </c>
      <c r="E16" s="22">
        <f>IFERROR(__xludf.DUMMYFUNCTION("""COMPUTED_VALUE"""),1.0887)</f>
        <v>1.0887</v>
      </c>
      <c r="F16" s="22">
        <f t="shared" si="8"/>
        <v>95.80123778</v>
      </c>
      <c r="I16" s="22">
        <f t="shared" si="3"/>
        <v>0.9185266832</v>
      </c>
      <c r="P16" s="22">
        <f t="shared" si="4"/>
        <v>60</v>
      </c>
      <c r="Q16" s="22"/>
      <c r="R16" s="22"/>
      <c r="S16" s="33" t="str">
        <f t="shared" ref="S16:T16" si="17">100*Q16/Q$30+S15</f>
        <v>#DIV/0!</v>
      </c>
      <c r="T16" s="33" t="str">
        <f t="shared" si="17"/>
        <v>#DIV/0!</v>
      </c>
    </row>
    <row r="17" ht="15.75" customHeight="1">
      <c r="A17" s="25">
        <f>IFERROR(__xludf.DUMMYFUNCTION("""COMPUTED_VALUE"""),36245.666666666664)</f>
        <v>36245.66667</v>
      </c>
      <c r="B17" s="22">
        <f>IFERROR(__xludf.DUMMYFUNCTION("""COMPUTED_VALUE"""),1282.8)</f>
        <v>1282.8</v>
      </c>
      <c r="C17" s="22">
        <f t="shared" si="6"/>
        <v>1283.376081</v>
      </c>
      <c r="D17" s="25">
        <f>IFERROR(__xludf.DUMMYFUNCTION("""COMPUTED_VALUE"""),36245.99861111111)</f>
        <v>36245.99861</v>
      </c>
      <c r="E17" s="22">
        <f>IFERROR(__xludf.DUMMYFUNCTION("""COMPUTED_VALUE"""),1.0762)</f>
        <v>1.0762</v>
      </c>
      <c r="F17" s="22">
        <f t="shared" si="8"/>
        <v>93.50006458</v>
      </c>
      <c r="I17" s="22">
        <f t="shared" si="3"/>
        <v>0.9291953169</v>
      </c>
      <c r="P17" s="22">
        <f t="shared" si="4"/>
        <v>70</v>
      </c>
      <c r="Q17" s="22"/>
      <c r="R17" s="22"/>
      <c r="S17" s="33" t="str">
        <f t="shared" ref="S17:T17" si="18">100*Q17/Q$30+S16</f>
        <v>#DIV/0!</v>
      </c>
      <c r="T17" s="33" t="str">
        <f t="shared" si="18"/>
        <v>#DIV/0!</v>
      </c>
    </row>
    <row r="18" ht="15.75" customHeight="1">
      <c r="A18" s="25">
        <f>IFERROR(__xludf.DUMMYFUNCTION("""COMPUTED_VALUE"""),36251.666666666664)</f>
        <v>36251.66667</v>
      </c>
      <c r="B18" s="22">
        <f>IFERROR(__xludf.DUMMYFUNCTION("""COMPUTED_VALUE"""),1293.77)</f>
        <v>1293.77</v>
      </c>
      <c r="C18" s="22">
        <f t="shared" si="6"/>
        <v>1294.338769</v>
      </c>
      <c r="D18" s="25">
        <f>IFERROR(__xludf.DUMMYFUNCTION("""COMPUTED_VALUE"""),36252.99861111111)</f>
        <v>36252.99861</v>
      </c>
      <c r="E18" s="22">
        <f>IFERROR(__xludf.DUMMYFUNCTION("""COMPUTED_VALUE"""),1.0784)</f>
        <v>1.0784</v>
      </c>
      <c r="F18" s="22">
        <f t="shared" si="8"/>
        <v>94.49151701</v>
      </c>
      <c r="I18" s="22">
        <f t="shared" si="3"/>
        <v>0.9272997033</v>
      </c>
      <c r="P18" s="22">
        <f t="shared" si="4"/>
        <v>80</v>
      </c>
      <c r="Q18" s="22"/>
      <c r="R18" s="22"/>
      <c r="S18" s="33" t="str">
        <f t="shared" ref="S18:T18" si="19">100*Q18/Q$30+S17</f>
        <v>#DIV/0!</v>
      </c>
      <c r="T18" s="33" t="str">
        <f t="shared" si="19"/>
        <v>#DIV/0!</v>
      </c>
    </row>
    <row r="19" ht="15.75" customHeight="1">
      <c r="A19" s="25">
        <f>IFERROR(__xludf.DUMMYFUNCTION("""COMPUTED_VALUE"""),36259.666666666664)</f>
        <v>36259.66667</v>
      </c>
      <c r="B19" s="22">
        <f>IFERROR(__xludf.DUMMYFUNCTION("""COMPUTED_VALUE"""),1348.35)</f>
        <v>1348.35</v>
      </c>
      <c r="C19" s="22">
        <f t="shared" si="6"/>
        <v>1348.923633</v>
      </c>
      <c r="D19" s="25">
        <f>IFERROR(__xludf.DUMMYFUNCTION("""COMPUTED_VALUE"""),36259.99861111111)</f>
        <v>36259.99861</v>
      </c>
      <c r="E19" s="22">
        <f>IFERROR(__xludf.DUMMYFUNCTION("""COMPUTED_VALUE"""),1.0792)</f>
        <v>1.0792</v>
      </c>
      <c r="F19" s="22">
        <f t="shared" si="8"/>
        <v>98.54946766</v>
      </c>
      <c r="I19" s="22">
        <f t="shared" si="3"/>
        <v>0.9266123054</v>
      </c>
      <c r="P19" s="22">
        <f t="shared" si="4"/>
        <v>90</v>
      </c>
      <c r="Q19" s="22"/>
      <c r="R19" s="22"/>
      <c r="S19" s="33" t="str">
        <f t="shared" ref="S19:T19" si="20">100*Q19/Q$30+S18</f>
        <v>#DIV/0!</v>
      </c>
      <c r="T19" s="33" t="str">
        <f t="shared" si="20"/>
        <v>#DIV/0!</v>
      </c>
    </row>
    <row r="20" ht="15.75" customHeight="1">
      <c r="A20" s="25">
        <f>IFERROR(__xludf.DUMMYFUNCTION("""COMPUTED_VALUE"""),36266.666666666664)</f>
        <v>36266.66667</v>
      </c>
      <c r="B20" s="22">
        <f>IFERROR(__xludf.DUMMYFUNCTION("""COMPUTED_VALUE"""),1318.77)</f>
        <v>1318.77</v>
      </c>
      <c r="C20" s="22">
        <f t="shared" si="6"/>
        <v>1319.367833</v>
      </c>
      <c r="D20" s="25">
        <f>IFERROR(__xludf.DUMMYFUNCTION("""COMPUTED_VALUE"""),36266.99861111111)</f>
        <v>36266.99861</v>
      </c>
      <c r="E20" s="22">
        <f>IFERROR(__xludf.DUMMYFUNCTION("""COMPUTED_VALUE"""),1.0696)</f>
        <v>1.0696</v>
      </c>
      <c r="F20" s="22">
        <f t="shared" si="8"/>
        <v>95.53274751</v>
      </c>
      <c r="I20" s="22">
        <f t="shared" si="3"/>
        <v>0.9349289454</v>
      </c>
      <c r="P20" s="22">
        <f t="shared" si="4"/>
        <v>100</v>
      </c>
      <c r="Q20" s="22"/>
      <c r="R20" s="22"/>
      <c r="S20" s="33" t="str">
        <f t="shared" ref="S20:T20" si="21">100*Q20/Q$30+S19</f>
        <v>#DIV/0!</v>
      </c>
      <c r="T20" s="33" t="str">
        <f t="shared" si="21"/>
        <v>#DIV/0!</v>
      </c>
    </row>
    <row r="21" ht="15.75" customHeight="1">
      <c r="A21" s="25">
        <f>IFERROR(__xludf.DUMMYFUNCTION("""COMPUTED_VALUE"""),36273.666666666664)</f>
        <v>36273.66667</v>
      </c>
      <c r="B21" s="22">
        <f>IFERROR(__xludf.DUMMYFUNCTION("""COMPUTED_VALUE"""),1356.8)</f>
        <v>1356.8</v>
      </c>
      <c r="C21" s="22">
        <f t="shared" si="6"/>
        <v>1357.384718</v>
      </c>
      <c r="D21" s="25">
        <f>IFERROR(__xludf.DUMMYFUNCTION("""COMPUTED_VALUE"""),36273.99861111111)</f>
        <v>36273.99861</v>
      </c>
      <c r="E21" s="22">
        <f>IFERROR(__xludf.DUMMYFUNCTION("""COMPUTED_VALUE"""),1.0605)</f>
        <v>1.0605</v>
      </c>
      <c r="F21" s="22">
        <f t="shared" si="8"/>
        <v>97.44927459</v>
      </c>
      <c r="I21" s="22">
        <f t="shared" si="3"/>
        <v>0.942951438</v>
      </c>
      <c r="P21" s="22">
        <f t="shared" si="4"/>
        <v>110</v>
      </c>
      <c r="Q21" s="22"/>
      <c r="R21" s="22"/>
      <c r="S21" s="33" t="str">
        <f t="shared" ref="S21:T21" si="22">100*Q21/Q$30+S20</f>
        <v>#DIV/0!</v>
      </c>
      <c r="T21" s="33" t="str">
        <f t="shared" si="22"/>
        <v>#DIV/0!</v>
      </c>
    </row>
    <row r="22" ht="15.75" customHeight="1">
      <c r="A22" s="25">
        <f>IFERROR(__xludf.DUMMYFUNCTION("""COMPUTED_VALUE"""),36280.666666666664)</f>
        <v>36280.66667</v>
      </c>
      <c r="B22" s="22">
        <f>IFERROR(__xludf.DUMMYFUNCTION("""COMPUTED_VALUE"""),1335.18)</f>
        <v>1335.18</v>
      </c>
      <c r="C22" s="22">
        <f t="shared" si="6"/>
        <v>1335.781579</v>
      </c>
      <c r="D22" s="25">
        <f>IFERROR(__xludf.DUMMYFUNCTION("""COMPUTED_VALUE"""),36280.99861111111)</f>
        <v>36280.99861</v>
      </c>
      <c r="E22" s="22">
        <f>IFERROR(__xludf.DUMMYFUNCTION("""COMPUTED_VALUE"""),1.0569)</f>
        <v>1.0569</v>
      </c>
      <c r="F22" s="22">
        <f t="shared" si="8"/>
        <v>95.57280458</v>
      </c>
      <c r="I22" s="22">
        <f t="shared" si="3"/>
        <v>0.9461633078</v>
      </c>
      <c r="P22" s="22">
        <f t="shared" si="4"/>
        <v>120</v>
      </c>
      <c r="Q22" s="22"/>
      <c r="R22" s="22"/>
      <c r="S22" s="33" t="str">
        <f t="shared" ref="S22:T22" si="23">100*Q22/Q$30+S21</f>
        <v>#DIV/0!</v>
      </c>
      <c r="T22" s="33" t="str">
        <f t="shared" si="23"/>
        <v>#DIV/0!</v>
      </c>
    </row>
    <row r="23" ht="15.75" customHeight="1">
      <c r="A23" s="25">
        <f>IFERROR(__xludf.DUMMYFUNCTION("""COMPUTED_VALUE"""),36287.666666666664)</f>
        <v>36287.66667</v>
      </c>
      <c r="B23" s="22">
        <f>IFERROR(__xludf.DUMMYFUNCTION("""COMPUTED_VALUE"""),1345.0)</f>
        <v>1345</v>
      </c>
      <c r="C23" s="22">
        <f t="shared" si="6"/>
        <v>1345.591994</v>
      </c>
      <c r="D23" s="25">
        <f>IFERROR(__xludf.DUMMYFUNCTION("""COMPUTED_VALUE"""),36287.99861111111)</f>
        <v>36287.99861</v>
      </c>
      <c r="E23" s="22">
        <f>IFERROR(__xludf.DUMMYFUNCTION("""COMPUTED_VALUE"""),1.0755)</f>
        <v>1.0755</v>
      </c>
      <c r="F23" s="22">
        <f t="shared" si="8"/>
        <v>97.96902626</v>
      </c>
      <c r="I23" s="22">
        <f t="shared" si="3"/>
        <v>0.929800093</v>
      </c>
      <c r="P23" s="22">
        <f t="shared" si="4"/>
        <v>130</v>
      </c>
      <c r="Q23" s="22"/>
      <c r="R23" s="22"/>
      <c r="S23" s="33" t="str">
        <f t="shared" ref="S23:T23" si="24">100*Q23/Q$30+S22</f>
        <v>#DIV/0!</v>
      </c>
      <c r="T23" s="33" t="str">
        <f t="shared" si="24"/>
        <v>#DIV/0!</v>
      </c>
    </row>
    <row r="24" ht="15.75" customHeight="1">
      <c r="A24" s="25">
        <f>IFERROR(__xludf.DUMMYFUNCTION("""COMPUTED_VALUE"""),36294.666666666664)</f>
        <v>36294.66667</v>
      </c>
      <c r="B24" s="22">
        <f>IFERROR(__xludf.DUMMYFUNCTION("""COMPUTED_VALUE"""),1337.8)</f>
        <v>1337.8</v>
      </c>
      <c r="C24" s="22">
        <f t="shared" si="6"/>
        <v>1338.396348</v>
      </c>
      <c r="D24" s="25">
        <f>IFERROR(__xludf.DUMMYFUNCTION("""COMPUTED_VALUE"""),36294.99861111111)</f>
        <v>36294.99861</v>
      </c>
      <c r="E24" s="22">
        <f>IFERROR(__xludf.DUMMYFUNCTION("""COMPUTED_VALUE"""),1.0655)</f>
        <v>1.0655</v>
      </c>
      <c r="F24" s="22">
        <f t="shared" si="8"/>
        <v>96.53908523</v>
      </c>
      <c r="I24" s="22">
        <f t="shared" si="3"/>
        <v>0.9385265134</v>
      </c>
      <c r="P24" s="22">
        <f t="shared" si="4"/>
        <v>140</v>
      </c>
      <c r="Q24" s="22"/>
      <c r="R24" s="22"/>
      <c r="S24" s="33" t="str">
        <f t="shared" ref="S24:T24" si="25">100*Q24/Q$30+S23</f>
        <v>#DIV/0!</v>
      </c>
      <c r="T24" s="33" t="str">
        <f t="shared" si="25"/>
        <v>#DIV/0!</v>
      </c>
    </row>
    <row r="25" ht="15.75" customHeight="1">
      <c r="A25" s="25">
        <f>IFERROR(__xludf.DUMMYFUNCTION("""COMPUTED_VALUE"""),36301.666666666664)</f>
        <v>36301.66667</v>
      </c>
      <c r="B25" s="22">
        <f>IFERROR(__xludf.DUMMYFUNCTION("""COMPUTED_VALUE"""),1330.29)</f>
        <v>1330.29</v>
      </c>
      <c r="C25" s="22">
        <f t="shared" si="6"/>
        <v>1330.883155</v>
      </c>
      <c r="D25" s="25">
        <f>IFERROR(__xludf.DUMMYFUNCTION("""COMPUTED_VALUE"""),36301.99861111111)</f>
        <v>36301.99861</v>
      </c>
      <c r="E25" s="22">
        <f>IFERROR(__xludf.DUMMYFUNCTION("""COMPUTED_VALUE"""),1.0588)</f>
        <v>1.0588</v>
      </c>
      <c r="F25" s="22">
        <f t="shared" si="8"/>
        <v>95.39351317</v>
      </c>
      <c r="I25" s="22">
        <f t="shared" si="3"/>
        <v>0.9444654326</v>
      </c>
      <c r="P25" s="22">
        <f t="shared" si="4"/>
        <v>150</v>
      </c>
      <c r="Q25" s="22"/>
      <c r="R25" s="22"/>
      <c r="S25" s="33" t="str">
        <f t="shared" ref="S25:T25" si="26">100*Q25/Q$30+S24</f>
        <v>#DIV/0!</v>
      </c>
      <c r="T25" s="33" t="str">
        <f t="shared" si="26"/>
        <v>#DIV/0!</v>
      </c>
    </row>
    <row r="26" ht="15.75" customHeight="1">
      <c r="A26" s="25">
        <f>IFERROR(__xludf.DUMMYFUNCTION("""COMPUTED_VALUE"""),36308.666666666664)</f>
        <v>36308.66667</v>
      </c>
      <c r="B26" s="22">
        <f>IFERROR(__xludf.DUMMYFUNCTION("""COMPUTED_VALUE"""),1301.85)</f>
        <v>1301.85</v>
      </c>
      <c r="C26" s="22">
        <f t="shared" si="6"/>
        <v>1302.439825</v>
      </c>
      <c r="D26" s="25">
        <f>IFERROR(__xludf.DUMMYFUNCTION("""COMPUTED_VALUE"""),36308.99861111111)</f>
        <v>36308.99861</v>
      </c>
      <c r="E26" s="22">
        <f>IFERROR(__xludf.DUMMYFUNCTION("""COMPUTED_VALUE"""),1.0428)</f>
        <v>1.0428</v>
      </c>
      <c r="F26" s="22">
        <f t="shared" si="8"/>
        <v>91.94405899</v>
      </c>
      <c r="I26" s="22">
        <f t="shared" si="3"/>
        <v>0.9589566552</v>
      </c>
      <c r="P26" s="22">
        <f t="shared" si="4"/>
        <v>160</v>
      </c>
      <c r="Q26" s="22"/>
      <c r="R26" s="22"/>
      <c r="S26" s="33" t="str">
        <f t="shared" ref="S26:T26" si="27">100*Q26/Q$30+S25</f>
        <v>#DIV/0!</v>
      </c>
      <c r="T26" s="33" t="str">
        <f t="shared" si="27"/>
        <v>#DIV/0!</v>
      </c>
    </row>
    <row r="27" ht="15.75" customHeight="1">
      <c r="A27" s="25">
        <f>IFERROR(__xludf.DUMMYFUNCTION("""COMPUTED_VALUE"""),36315.666666666664)</f>
        <v>36315.66667</v>
      </c>
      <c r="B27" s="22">
        <f>IFERROR(__xludf.DUMMYFUNCTION("""COMPUTED_VALUE"""),1327.4)</f>
        <v>1327.4</v>
      </c>
      <c r="C27" s="22">
        <f t="shared" si="6"/>
        <v>1327.977216</v>
      </c>
      <c r="D27" s="25">
        <f>IFERROR(__xludf.DUMMYFUNCTION("""COMPUTED_VALUE"""),36315.99861111111)</f>
        <v>36315.99861</v>
      </c>
      <c r="E27" s="22">
        <f>IFERROR(__xludf.DUMMYFUNCTION("""COMPUTED_VALUE"""),1.0373)</f>
        <v>1.0373</v>
      </c>
      <c r="F27" s="22">
        <f t="shared" si="8"/>
        <v>93.25239276</v>
      </c>
      <c r="I27" s="22">
        <f t="shared" si="3"/>
        <v>0.964041261</v>
      </c>
      <c r="P27" s="22">
        <f t="shared" si="4"/>
        <v>170</v>
      </c>
      <c r="Q27" s="22"/>
      <c r="R27" s="22"/>
      <c r="S27" s="33" t="str">
        <f t="shared" ref="S27:T27" si="28">100*Q27/Q$30+S26</f>
        <v>#DIV/0!</v>
      </c>
      <c r="T27" s="33" t="str">
        <f t="shared" si="28"/>
        <v>#DIV/0!</v>
      </c>
    </row>
    <row r="28" ht="15.75" customHeight="1">
      <c r="A28" s="25">
        <f>IFERROR(__xludf.DUMMYFUNCTION("""COMPUTED_VALUE"""),36322.666666666664)</f>
        <v>36322.66667</v>
      </c>
      <c r="B28" s="22">
        <f>IFERROR(__xludf.DUMMYFUNCTION("""COMPUTED_VALUE"""),1293.67)</f>
        <v>1293.67</v>
      </c>
      <c r="C28" s="22">
        <f t="shared" si="6"/>
        <v>1294.258544</v>
      </c>
      <c r="D28" s="25">
        <f>IFERROR(__xludf.DUMMYFUNCTION("""COMPUTED_VALUE"""),36322.99861111111)</f>
        <v>36322.99861</v>
      </c>
      <c r="E28" s="22">
        <f>IFERROR(__xludf.DUMMYFUNCTION("""COMPUTED_VALUE"""),1.0508)</f>
        <v>1.0508</v>
      </c>
      <c r="F28" s="22">
        <f t="shared" si="8"/>
        <v>92.06744419</v>
      </c>
      <c r="I28" s="22">
        <f t="shared" si="3"/>
        <v>0.9516558812</v>
      </c>
      <c r="P28" s="22">
        <f t="shared" si="4"/>
        <v>180</v>
      </c>
      <c r="Q28" s="22"/>
      <c r="R28" s="22"/>
      <c r="S28" s="33" t="str">
        <f t="shared" ref="S28:T28" si="29">100*Q28/Q$30+S27</f>
        <v>#DIV/0!</v>
      </c>
      <c r="T28" s="33" t="str">
        <f t="shared" si="29"/>
        <v>#DIV/0!</v>
      </c>
    </row>
    <row r="29" ht="15.75" customHeight="1">
      <c r="A29" s="25">
        <f>IFERROR(__xludf.DUMMYFUNCTION("""COMPUTED_VALUE"""),36329.666666666664)</f>
        <v>36329.66667</v>
      </c>
      <c r="B29" s="22">
        <f>IFERROR(__xludf.DUMMYFUNCTION("""COMPUTED_VALUE"""),1342.84)</f>
        <v>1342.84</v>
      </c>
      <c r="C29" s="22">
        <f t="shared" si="6"/>
        <v>1343.413589</v>
      </c>
      <c r="D29" s="25">
        <f>IFERROR(__xludf.DUMMYFUNCTION("""COMPUTED_VALUE"""),36329.99861111111)</f>
        <v>36329.99861</v>
      </c>
      <c r="E29" s="22">
        <f>IFERROR(__xludf.DUMMYFUNCTION("""COMPUTED_VALUE"""),1.0395)</f>
        <v>1.0395</v>
      </c>
      <c r="F29" s="22">
        <f t="shared" si="8"/>
        <v>94.53643329</v>
      </c>
      <c r="I29" s="22">
        <f t="shared" si="3"/>
        <v>0.962000962</v>
      </c>
      <c r="Q29" s="22"/>
      <c r="R29" s="22"/>
    </row>
    <row r="30" ht="15.75" customHeight="1">
      <c r="A30" s="25">
        <f>IFERROR(__xludf.DUMMYFUNCTION("""COMPUTED_VALUE"""),36336.666666666664)</f>
        <v>36336.66667</v>
      </c>
      <c r="B30" s="22">
        <f>IFERROR(__xludf.DUMMYFUNCTION("""COMPUTED_VALUE"""),1315.31)</f>
        <v>1315.31</v>
      </c>
      <c r="C30" s="22">
        <f t="shared" si="6"/>
        <v>1315.90539</v>
      </c>
      <c r="D30" s="25">
        <f>IFERROR(__xludf.DUMMYFUNCTION("""COMPUTED_VALUE"""),36336.99861111111)</f>
        <v>36336.99861</v>
      </c>
      <c r="E30" s="22">
        <f>IFERROR(__xludf.DUMMYFUNCTION("""COMPUTED_VALUE"""),1.0428)</f>
        <v>1.0428</v>
      </c>
      <c r="F30" s="22">
        <f t="shared" si="8"/>
        <v>92.89464314</v>
      </c>
      <c r="I30" s="22">
        <f t="shared" si="3"/>
        <v>0.9589566552</v>
      </c>
      <c r="Q30" s="22">
        <f t="shared" ref="Q30:R30" si="30">SUM(Q5:Q29)</f>
        <v>0</v>
      </c>
      <c r="R30" s="22">
        <f t="shared" si="30"/>
        <v>0</v>
      </c>
      <c r="T30" s="22">
        <f>1.05^5</f>
        <v>1.276281563</v>
      </c>
      <c r="U30" s="22">
        <f>2/3*27+1/3*50</f>
        <v>34.66666667</v>
      </c>
      <c r="V30" s="22">
        <f>(100+U30)/100</f>
        <v>1.346666667</v>
      </c>
    </row>
    <row r="31" ht="15.75" customHeight="1">
      <c r="A31" s="25">
        <f>IFERROR(__xludf.DUMMYFUNCTION("""COMPUTED_VALUE"""),36343.666666666664)</f>
        <v>36343.66667</v>
      </c>
      <c r="B31" s="22">
        <f>IFERROR(__xludf.DUMMYFUNCTION("""COMPUTED_VALUE"""),1391.22)</f>
        <v>1391.22</v>
      </c>
      <c r="C31" s="22">
        <f t="shared" si="6"/>
        <v>1391.803184</v>
      </c>
      <c r="D31" s="25">
        <f>IFERROR(__xludf.DUMMYFUNCTION("""COMPUTED_VALUE"""),36343.99861111111)</f>
        <v>36343.99861</v>
      </c>
      <c r="E31" s="22">
        <f>IFERROR(__xludf.DUMMYFUNCTION("""COMPUTED_VALUE"""),1.0244)</f>
        <v>1.0244</v>
      </c>
      <c r="F31" s="22">
        <f t="shared" si="8"/>
        <v>96.51890312</v>
      </c>
      <c r="I31" s="22">
        <f t="shared" si="3"/>
        <v>0.9761811792</v>
      </c>
      <c r="U31" s="22">
        <f>U30^0.2</f>
        <v>2.032274729</v>
      </c>
      <c r="V31" s="22">
        <f>V30^0.2-1</f>
        <v>0.06133386543</v>
      </c>
    </row>
    <row r="32" ht="15.75" customHeight="1">
      <c r="A32" s="25">
        <f>IFERROR(__xludf.DUMMYFUNCTION("""COMPUTED_VALUE"""),36350.666666666664)</f>
        <v>36350.66667</v>
      </c>
      <c r="B32" s="22">
        <f>IFERROR(__xludf.DUMMYFUNCTION("""COMPUTED_VALUE"""),1403.28)</f>
        <v>1403.28</v>
      </c>
      <c r="C32" s="22">
        <f t="shared" si="6"/>
        <v>1403.896841</v>
      </c>
      <c r="D32" s="25">
        <f>IFERROR(__xludf.DUMMYFUNCTION("""COMPUTED_VALUE"""),36350.99861111111)</f>
        <v>36350.99861</v>
      </c>
      <c r="E32" s="22">
        <f>IFERROR(__xludf.DUMMYFUNCTION("""COMPUTED_VALUE"""),1.0195)</f>
        <v>1.0195</v>
      </c>
      <c r="F32" s="22">
        <f t="shared" si="8"/>
        <v>96.89188594</v>
      </c>
      <c r="I32" s="22">
        <f t="shared" si="3"/>
        <v>0.9808729769</v>
      </c>
      <c r="V32" s="22">
        <f>1.07^5</f>
        <v>1.402551731</v>
      </c>
    </row>
    <row r="33" ht="15.75" customHeight="1">
      <c r="A33" s="25">
        <f>IFERROR(__xludf.DUMMYFUNCTION("""COMPUTED_VALUE"""),36357.666666666664)</f>
        <v>36357.66667</v>
      </c>
      <c r="B33" s="22">
        <f>IFERROR(__xludf.DUMMYFUNCTION("""COMPUTED_VALUE"""),1418.78)</f>
        <v>1418.78</v>
      </c>
      <c r="C33" s="22">
        <f t="shared" si="6"/>
        <v>1419.402188</v>
      </c>
      <c r="D33" s="25">
        <f>IFERROR(__xludf.DUMMYFUNCTION("""COMPUTED_VALUE"""),36357.99861111111)</f>
        <v>36357.99861</v>
      </c>
      <c r="E33" s="22">
        <f>IFERROR(__xludf.DUMMYFUNCTION("""COMPUTED_VALUE"""),1.0194)</f>
        <v>1.0194</v>
      </c>
      <c r="F33" s="22">
        <f t="shared" si="8"/>
        <v>97.95240013</v>
      </c>
      <c r="I33" s="22">
        <f t="shared" si="3"/>
        <v>0.9809691976</v>
      </c>
    </row>
    <row r="34" ht="15.75" customHeight="1">
      <c r="A34" s="25">
        <f>IFERROR(__xludf.DUMMYFUNCTION("""COMPUTED_VALUE"""),36364.666666666664)</f>
        <v>36364.66667</v>
      </c>
      <c r="B34" s="22">
        <f>IFERROR(__xludf.DUMMYFUNCTION("""COMPUTED_VALUE"""),1356.94)</f>
        <v>1356.94</v>
      </c>
      <c r="C34" s="22">
        <f t="shared" si="6"/>
        <v>1357.56906</v>
      </c>
      <c r="D34" s="25">
        <f>IFERROR(__xludf.DUMMYFUNCTION("""COMPUTED_VALUE"""),36364.99861111111)</f>
        <v>36364.99861</v>
      </c>
      <c r="E34" s="22">
        <f>IFERROR(__xludf.DUMMYFUNCTION("""COMPUTED_VALUE"""),1.0522)</f>
        <v>1.0522</v>
      </c>
      <c r="F34" s="22">
        <f t="shared" si="8"/>
        <v>96.69971887</v>
      </c>
      <c r="I34" s="22">
        <f t="shared" si="3"/>
        <v>0.9503896598</v>
      </c>
    </row>
    <row r="35" ht="15.75" customHeight="1">
      <c r="A35" s="25">
        <f>IFERROR(__xludf.DUMMYFUNCTION("""COMPUTED_VALUE"""),36371.666666666664)</f>
        <v>36371.66667</v>
      </c>
      <c r="B35" s="22">
        <f>IFERROR(__xludf.DUMMYFUNCTION("""COMPUTED_VALUE"""),1328.72)</f>
        <v>1328.72</v>
      </c>
      <c r="C35" s="22">
        <f t="shared" si="6"/>
        <v>1329.321642</v>
      </c>
      <c r="D35" s="25">
        <f>IFERROR(__xludf.DUMMYFUNCTION("""COMPUTED_VALUE"""),36371.99861111111)</f>
        <v>36371.99861</v>
      </c>
      <c r="E35" s="22">
        <f>IFERROR(__xludf.DUMMYFUNCTION("""COMPUTED_VALUE"""),1.0705)</f>
        <v>1.0705</v>
      </c>
      <c r="F35" s="22">
        <f t="shared" si="8"/>
        <v>96.33447374</v>
      </c>
      <c r="I35" s="22">
        <f t="shared" si="3"/>
        <v>0.9341429239</v>
      </c>
    </row>
    <row r="36" ht="15.75" customHeight="1">
      <c r="A36" s="25">
        <f>IFERROR(__xludf.DUMMYFUNCTION("""COMPUTED_VALUE"""),36378.666666666664)</f>
        <v>36378.66667</v>
      </c>
      <c r="B36" s="22">
        <f>IFERROR(__xludf.DUMMYFUNCTION("""COMPUTED_VALUE"""),1300.33)</f>
        <v>1300.33</v>
      </c>
      <c r="C36" s="22">
        <f t="shared" si="6"/>
        <v>1300.919129</v>
      </c>
      <c r="D36" s="25">
        <f>IFERROR(__xludf.DUMMYFUNCTION("""COMPUTED_VALUE"""),36378.99861111111)</f>
        <v>36378.99861</v>
      </c>
      <c r="E36" s="22">
        <f>IFERROR(__xludf.DUMMYFUNCTION("""COMPUTED_VALUE"""),1.0729)</f>
        <v>1.0729</v>
      </c>
      <c r="F36" s="22">
        <f t="shared" si="8"/>
        <v>94.48753681</v>
      </c>
      <c r="I36" s="22">
        <f t="shared" si="3"/>
        <v>0.9320533134</v>
      </c>
    </row>
    <row r="37" ht="15.75" customHeight="1">
      <c r="A37" s="25">
        <f>IFERROR(__xludf.DUMMYFUNCTION("""COMPUTED_VALUE"""),36385.666666666664)</f>
        <v>36385.66667</v>
      </c>
      <c r="B37" s="22">
        <f>IFERROR(__xludf.DUMMYFUNCTION("""COMPUTED_VALUE"""),1327.68)</f>
        <v>1327.68</v>
      </c>
      <c r="C37" s="22">
        <f t="shared" si="6"/>
        <v>1328.256542</v>
      </c>
      <c r="D37" s="25">
        <f>IFERROR(__xludf.DUMMYFUNCTION("""COMPUTED_VALUE"""),36385.99861111111)</f>
        <v>36385.99861</v>
      </c>
      <c r="E37" s="22">
        <f>IFERROR(__xludf.DUMMYFUNCTION("""COMPUTED_VALUE"""),1.0569)</f>
        <v>1.0569</v>
      </c>
      <c r="F37" s="22">
        <f t="shared" si="8"/>
        <v>95.03440147</v>
      </c>
      <c r="I37" s="22">
        <f t="shared" si="3"/>
        <v>0.9461633078</v>
      </c>
    </row>
    <row r="38" ht="15.75" customHeight="1">
      <c r="A38" s="25">
        <f>IFERROR(__xludf.DUMMYFUNCTION("""COMPUTED_VALUE"""),36392.666666666664)</f>
        <v>36392.66667</v>
      </c>
      <c r="B38" s="22">
        <f>IFERROR(__xludf.DUMMYFUNCTION("""COMPUTED_VALUE"""),1336.61)</f>
        <v>1336.61</v>
      </c>
      <c r="C38" s="22">
        <f t="shared" si="6"/>
        <v>1337.198668</v>
      </c>
      <c r="D38" s="25">
        <f>IFERROR(__xludf.DUMMYFUNCTION("""COMPUTED_VALUE"""),36392.99861111111)</f>
        <v>36392.99861</v>
      </c>
      <c r="E38" s="22">
        <f>IFERROR(__xludf.DUMMYFUNCTION("""COMPUTED_VALUE"""),1.0674)</f>
        <v>1.0674</v>
      </c>
      <c r="F38" s="22">
        <f t="shared" si="8"/>
        <v>96.6246906</v>
      </c>
      <c r="I38" s="22">
        <f t="shared" si="3"/>
        <v>0.9368559116</v>
      </c>
    </row>
    <row r="39" ht="15.75" customHeight="1">
      <c r="A39" s="25">
        <f>IFERROR(__xludf.DUMMYFUNCTION("""COMPUTED_VALUE"""),36399.666666666664)</f>
        <v>36399.66667</v>
      </c>
      <c r="B39" s="22">
        <f>IFERROR(__xludf.DUMMYFUNCTION("""COMPUTED_VALUE"""),1348.27)</f>
        <v>1348.27</v>
      </c>
      <c r="C39" s="22">
        <f t="shared" si="6"/>
        <v>1348.862628</v>
      </c>
      <c r="D39" s="25">
        <f>IFERROR(__xludf.DUMMYFUNCTION("""COMPUTED_VALUE"""),36399.99861111111)</f>
        <v>36399.99861</v>
      </c>
      <c r="E39" s="22">
        <f>IFERROR(__xludf.DUMMYFUNCTION("""COMPUTED_VALUE"""),1.0463)</f>
        <v>1.0463</v>
      </c>
      <c r="F39" s="22">
        <f t="shared" si="8"/>
        <v>95.54081238</v>
      </c>
      <c r="I39" s="22">
        <f t="shared" si="3"/>
        <v>0.9557488292</v>
      </c>
    </row>
    <row r="40" ht="15.75" customHeight="1">
      <c r="A40" s="25">
        <f>IFERROR(__xludf.DUMMYFUNCTION("""COMPUTED_VALUE"""),36406.666666666664)</f>
        <v>36406.66667</v>
      </c>
      <c r="B40" s="22">
        <f>IFERROR(__xludf.DUMMYFUNCTION("""COMPUTED_VALUE"""),1357.24)</f>
        <v>1357.24</v>
      </c>
      <c r="C40" s="22">
        <f t="shared" si="6"/>
        <v>1357.837797</v>
      </c>
      <c r="D40" s="25">
        <f>IFERROR(__xludf.DUMMYFUNCTION("""COMPUTED_VALUE"""),36406.99861111111)</f>
        <v>36406.99861</v>
      </c>
      <c r="E40" s="22">
        <f>IFERROR(__xludf.DUMMYFUNCTION("""COMPUTED_VALUE"""),1.0608)</f>
        <v>1.0608</v>
      </c>
      <c r="F40" s="22">
        <f t="shared" si="8"/>
        <v>97.50937825</v>
      </c>
      <c r="I40" s="22">
        <f t="shared" si="3"/>
        <v>0.9426847662</v>
      </c>
    </row>
    <row r="41" ht="15.75" customHeight="1">
      <c r="A41" s="25">
        <f>IFERROR(__xludf.DUMMYFUNCTION("""COMPUTED_VALUE"""),36413.666666666664)</f>
        <v>36413.66667</v>
      </c>
      <c r="B41" s="22">
        <f>IFERROR(__xludf.DUMMYFUNCTION("""COMPUTED_VALUE"""),1351.66)</f>
        <v>1351.66</v>
      </c>
      <c r="C41" s="22">
        <f t="shared" si="6"/>
        <v>1352.261775</v>
      </c>
      <c r="D41" s="25">
        <f>IFERROR(__xludf.DUMMYFUNCTION("""COMPUTED_VALUE"""),36413.99861111111)</f>
        <v>36413.99861</v>
      </c>
      <c r="E41" s="22">
        <f>IFERROR(__xludf.DUMMYFUNCTION("""COMPUTED_VALUE"""),1.0363)</f>
        <v>1.0363</v>
      </c>
      <c r="F41" s="22">
        <f t="shared" si="8"/>
        <v>94.86614487</v>
      </c>
      <c r="I41" s="22">
        <f t="shared" si="3"/>
        <v>0.9649715333</v>
      </c>
    </row>
    <row r="42" ht="15.75" customHeight="1">
      <c r="A42" s="25">
        <f>IFERROR(__xludf.DUMMYFUNCTION("""COMPUTED_VALUE"""),36420.666666666664)</f>
        <v>36420.66667</v>
      </c>
      <c r="B42" s="22">
        <f>IFERROR(__xludf.DUMMYFUNCTION("""COMPUTED_VALUE"""),1335.42)</f>
        <v>1335.42</v>
      </c>
      <c r="C42" s="22">
        <f t="shared" si="6"/>
        <v>1336.0193</v>
      </c>
      <c r="D42" s="25">
        <f>IFERROR(__xludf.DUMMYFUNCTION("""COMPUTED_VALUE"""),36420.99861111111)</f>
        <v>36420.99861</v>
      </c>
      <c r="E42" s="22">
        <f>IFERROR(__xludf.DUMMYFUNCTION("""COMPUTED_VALUE"""),1.042)</f>
        <v>1.042</v>
      </c>
      <c r="F42" s="22">
        <f t="shared" si="8"/>
        <v>94.24220385</v>
      </c>
      <c r="I42" s="22">
        <f t="shared" si="3"/>
        <v>0.9596928983</v>
      </c>
    </row>
    <row r="43" ht="15.75" customHeight="1">
      <c r="A43" s="25">
        <f>IFERROR(__xludf.DUMMYFUNCTION("""COMPUTED_VALUE"""),36427.666666666664)</f>
        <v>36427.66667</v>
      </c>
      <c r="B43" s="22">
        <f>IFERROR(__xludf.DUMMYFUNCTION("""COMPUTED_VALUE"""),1277.36)</f>
        <v>1277.36</v>
      </c>
      <c r="C43" s="22">
        <f t="shared" si="6"/>
        <v>1277.9521</v>
      </c>
      <c r="D43" s="25">
        <f>IFERROR(__xludf.DUMMYFUNCTION("""COMPUTED_VALUE"""),36427.99861111111)</f>
        <v>36427.99861</v>
      </c>
      <c r="E43" s="22">
        <f>IFERROR(__xludf.DUMMYFUNCTION("""COMPUTED_VALUE"""),1.043)</f>
        <v>1.043</v>
      </c>
      <c r="F43" s="22">
        <f t="shared" si="8"/>
        <v>90.23268214</v>
      </c>
      <c r="I43" s="22">
        <f t="shared" si="3"/>
        <v>0.9587727709</v>
      </c>
    </row>
    <row r="44" ht="15.75" customHeight="1">
      <c r="A44" s="25">
        <f>IFERROR(__xludf.DUMMYFUNCTION("""COMPUTED_VALUE"""),36434.666666666664)</f>
        <v>36434.66667</v>
      </c>
      <c r="B44" s="22">
        <f>IFERROR(__xludf.DUMMYFUNCTION("""COMPUTED_VALUE"""),1282.81)</f>
        <v>1282.81</v>
      </c>
      <c r="C44" s="22">
        <f t="shared" si="6"/>
        <v>1283.376357</v>
      </c>
      <c r="D44" s="25">
        <f>IFERROR(__xludf.DUMMYFUNCTION("""COMPUTED_VALUE"""),36434.99861111111)</f>
        <v>36434.99861</v>
      </c>
      <c r="E44" s="22">
        <f>IFERROR(__xludf.DUMMYFUNCTION("""COMPUTED_VALUE"""),1.0729)</f>
        <v>1.0729</v>
      </c>
      <c r="F44" s="22">
        <f t="shared" si="8"/>
        <v>93.21338126</v>
      </c>
      <c r="I44" s="22">
        <f t="shared" si="3"/>
        <v>0.9320533134</v>
      </c>
    </row>
    <row r="45" ht="15.75" customHeight="1">
      <c r="A45" s="25">
        <f>IFERROR(__xludf.DUMMYFUNCTION("""COMPUTED_VALUE"""),36441.666666666664)</f>
        <v>36441.66667</v>
      </c>
      <c r="B45" s="22">
        <f>IFERROR(__xludf.DUMMYFUNCTION("""COMPUTED_VALUE"""),1336.02)</f>
        <v>1336.02</v>
      </c>
      <c r="C45" s="22">
        <f t="shared" si="6"/>
        <v>1336.588774</v>
      </c>
      <c r="D45" s="25">
        <f>IFERROR(__xludf.DUMMYFUNCTION("""COMPUTED_VALUE"""),36441.99861111111)</f>
        <v>36441.99861</v>
      </c>
      <c r="E45" s="22">
        <f>IFERROR(__xludf.DUMMYFUNCTION("""COMPUTED_VALUE"""),1.0626)</f>
        <v>1.0626</v>
      </c>
      <c r="F45" s="22">
        <f t="shared" si="8"/>
        <v>96.14630601</v>
      </c>
      <c r="I45" s="22">
        <f t="shared" si="3"/>
        <v>0.9410878976</v>
      </c>
    </row>
    <row r="46" ht="15.75" customHeight="1">
      <c r="A46" s="25">
        <f>IFERROR(__xludf.DUMMYFUNCTION("""COMPUTED_VALUE"""),36448.666666666664)</f>
        <v>36448.66667</v>
      </c>
      <c r="B46" s="22">
        <f>IFERROR(__xludf.DUMMYFUNCTION("""COMPUTED_VALUE"""),1247.41)</f>
        <v>1247.41</v>
      </c>
      <c r="C46" s="22">
        <f t="shared" si="6"/>
        <v>1248.002366</v>
      </c>
      <c r="D46" s="25">
        <f>IFERROR(__xludf.DUMMYFUNCTION("""COMPUTED_VALUE"""),36448.99861111111)</f>
        <v>36448.99861</v>
      </c>
      <c r="E46" s="22">
        <f>IFERROR(__xludf.DUMMYFUNCTION("""COMPUTED_VALUE"""),1.0856)</f>
        <v>1.0856</v>
      </c>
      <c r="F46" s="22">
        <f t="shared" si="8"/>
        <v>91.7170813</v>
      </c>
      <c r="I46" s="22">
        <f t="shared" si="3"/>
        <v>0.9211495947</v>
      </c>
    </row>
    <row r="47" ht="15.75" customHeight="1">
      <c r="A47" s="25">
        <f>IFERROR(__xludf.DUMMYFUNCTION("""COMPUTED_VALUE"""),36455.666666666664)</f>
        <v>36455.66667</v>
      </c>
      <c r="B47" s="22">
        <f>IFERROR(__xludf.DUMMYFUNCTION("""COMPUTED_VALUE"""),1301.65)</f>
        <v>1301.65</v>
      </c>
      <c r="C47" s="22">
        <f t="shared" si="6"/>
        <v>1302.203078</v>
      </c>
      <c r="D47" s="25">
        <f>IFERROR(__xludf.DUMMYFUNCTION("""COMPUTED_VALUE"""),36455.99861111111)</f>
        <v>36455.99861</v>
      </c>
      <c r="E47" s="22">
        <f>IFERROR(__xludf.DUMMYFUNCTION("""COMPUTED_VALUE"""),1.0698)</f>
        <v>1.0698</v>
      </c>
      <c r="F47" s="22">
        <f t="shared" si="8"/>
        <v>94.3075133</v>
      </c>
      <c r="I47" s="22">
        <f t="shared" si="3"/>
        <v>0.9347541597</v>
      </c>
    </row>
    <row r="48" ht="15.75" customHeight="1">
      <c r="A48" s="25">
        <f>IFERROR(__xludf.DUMMYFUNCTION("""COMPUTED_VALUE"""),36462.666666666664)</f>
        <v>36462.66667</v>
      </c>
      <c r="B48" s="22">
        <f>IFERROR(__xludf.DUMMYFUNCTION("""COMPUTED_VALUE"""),1362.93)</f>
        <v>1362.93</v>
      </c>
      <c r="C48" s="22">
        <f t="shared" si="6"/>
        <v>1363.507127</v>
      </c>
      <c r="D48" s="25">
        <f>IFERROR(__xludf.DUMMYFUNCTION("""COMPUTED_VALUE"""),36462.99861111111)</f>
        <v>36462.99861</v>
      </c>
      <c r="E48" s="22">
        <f>IFERROR(__xludf.DUMMYFUNCTION("""COMPUTED_VALUE"""),1.0532)</f>
        <v>1.0532</v>
      </c>
      <c r="F48" s="22">
        <f t="shared" si="8"/>
        <v>97.21499209</v>
      </c>
      <c r="I48" s="22">
        <f t="shared" si="3"/>
        <v>0.9494872769</v>
      </c>
    </row>
    <row r="49" ht="15.75" customHeight="1">
      <c r="A49" s="25">
        <f>IFERROR(__xludf.DUMMYFUNCTION("""COMPUTED_VALUE"""),36469.666666666664)</f>
        <v>36469.66667</v>
      </c>
      <c r="B49" s="22">
        <f>IFERROR(__xludf.DUMMYFUNCTION("""COMPUTED_VALUE"""),1370.22)</f>
        <v>1370.22</v>
      </c>
      <c r="C49" s="22">
        <f t="shared" si="6"/>
        <v>1370.824297</v>
      </c>
      <c r="D49" s="25">
        <f>IFERROR(__xludf.DUMMYFUNCTION("""COMPUTED_VALUE"""),36469.99861111111)</f>
        <v>36469.99861</v>
      </c>
      <c r="E49" s="22">
        <f>IFERROR(__xludf.DUMMYFUNCTION("""COMPUTED_VALUE"""),1.0442)</f>
        <v>1.0442</v>
      </c>
      <c r="F49" s="22">
        <f t="shared" si="8"/>
        <v>96.9014922</v>
      </c>
      <c r="I49" s="22">
        <f t="shared" si="3"/>
        <v>0.9576709443</v>
      </c>
    </row>
    <row r="50" ht="15.75" customHeight="1">
      <c r="A50" s="25">
        <f>IFERROR(__xludf.DUMMYFUNCTION("""COMPUTED_VALUE"""),36476.666666666664)</f>
        <v>36476.66667</v>
      </c>
      <c r="B50" s="22">
        <f>IFERROR(__xludf.DUMMYFUNCTION("""COMPUTED_VALUE"""),1396.04)</f>
        <v>1396.04</v>
      </c>
      <c r="C50" s="22">
        <f t="shared" si="6"/>
        <v>1396.64753</v>
      </c>
      <c r="D50" s="25">
        <f>IFERROR(__xludf.DUMMYFUNCTION("""COMPUTED_VALUE"""),36476.99861111111)</f>
        <v>36476.99861</v>
      </c>
      <c r="E50" s="22">
        <f>IFERROR(__xludf.DUMMYFUNCTION("""COMPUTED_VALUE"""),1.0317)</f>
        <v>1.0317</v>
      </c>
      <c r="F50" s="22">
        <f t="shared" si="8"/>
        <v>97.54504884</v>
      </c>
      <c r="I50" s="22">
        <f t="shared" si="3"/>
        <v>0.9692740138</v>
      </c>
    </row>
    <row r="51" ht="15.75" customHeight="1">
      <c r="A51" s="25">
        <f>IFERROR(__xludf.DUMMYFUNCTION("""COMPUTED_VALUE"""),36482.666666666664)</f>
        <v>36482.66667</v>
      </c>
      <c r="B51" s="22">
        <f>IFERROR(__xludf.DUMMYFUNCTION("""COMPUTED_VALUE"""),1424.93)</f>
        <v>1424.93</v>
      </c>
      <c r="C51" s="22">
        <f t="shared" si="6"/>
        <v>1425.548978</v>
      </c>
      <c r="D51" s="25">
        <f>IFERROR(__xludf.DUMMYFUNCTION("""COMPUTED_VALUE"""),36483.99861111111)</f>
        <v>36483.99861</v>
      </c>
      <c r="E51" s="22">
        <f>IFERROR(__xludf.DUMMYFUNCTION("""COMPUTED_VALUE"""),1.0296)</f>
        <v>1.0296</v>
      </c>
      <c r="F51" s="22">
        <f t="shared" si="8"/>
        <v>99.36093265</v>
      </c>
      <c r="I51" s="22">
        <f t="shared" si="3"/>
        <v>0.9712509713</v>
      </c>
    </row>
    <row r="52" ht="15.75" customHeight="1">
      <c r="A52" s="25">
        <f>IFERROR(__xludf.DUMMYFUNCTION("""COMPUTED_VALUE"""),36490.666666666664)</f>
        <v>36490.66667</v>
      </c>
      <c r="B52" s="22">
        <f>IFERROR(__xludf.DUMMYFUNCTION("""COMPUTED_VALUE"""),1416.62)</f>
        <v>1416.62</v>
      </c>
      <c r="C52" s="22">
        <f t="shared" si="6"/>
        <v>1417.251787</v>
      </c>
      <c r="D52" s="25">
        <f>IFERROR(__xludf.DUMMYFUNCTION("""COMPUTED_VALUE"""),36490.99861111111)</f>
        <v>36490.99861</v>
      </c>
      <c r="E52" s="22">
        <f>IFERROR(__xludf.DUMMYFUNCTION("""COMPUTED_VALUE"""),1.017)</f>
        <v>1.017</v>
      </c>
      <c r="F52" s="22">
        <f t="shared" si="8"/>
        <v>97.57373928</v>
      </c>
      <c r="I52" s="22">
        <f t="shared" si="3"/>
        <v>0.9832841691</v>
      </c>
    </row>
    <row r="53" ht="15.75" customHeight="1">
      <c r="A53" s="25">
        <f>IFERROR(__xludf.DUMMYFUNCTION("""COMPUTED_VALUE"""),36497.666666666664)</f>
        <v>36497.66667</v>
      </c>
      <c r="B53" s="22">
        <f>IFERROR(__xludf.DUMMYFUNCTION("""COMPUTED_VALUE"""),1433.3)</f>
        <v>1433.3</v>
      </c>
      <c r="C53" s="22">
        <f t="shared" si="6"/>
        <v>1433.928103</v>
      </c>
      <c r="D53" s="25">
        <f>IFERROR(__xludf.DUMMYFUNCTION("""COMPUTED_VALUE"""),36497.99861111111)</f>
        <v>36497.99861</v>
      </c>
      <c r="E53" s="22">
        <f>IFERROR(__xludf.DUMMYFUNCTION("""COMPUTED_VALUE"""),1.0029)</f>
        <v>1.0029</v>
      </c>
      <c r="F53" s="22">
        <f t="shared" si="8"/>
        <v>97.3531459</v>
      </c>
      <c r="I53" s="22">
        <f t="shared" si="3"/>
        <v>0.9971083857</v>
      </c>
    </row>
    <row r="54" ht="15.75" customHeight="1">
      <c r="A54" s="25">
        <f>IFERROR(__xludf.DUMMYFUNCTION("""COMPUTED_VALUE"""),36504.666666666664)</f>
        <v>36504.66667</v>
      </c>
      <c r="B54" s="22">
        <f>IFERROR(__xludf.DUMMYFUNCTION("""COMPUTED_VALUE"""),1417.04)</f>
        <v>1417.04</v>
      </c>
      <c r="C54" s="22">
        <f t="shared" si="6"/>
        <v>1417.675498</v>
      </c>
      <c r="D54" s="25">
        <f>IFERROR(__xludf.DUMMYFUNCTION("""COMPUTED_VALUE"""),36504.99861111111)</f>
        <v>36504.99861</v>
      </c>
      <c r="E54" s="22">
        <f>IFERROR(__xludf.DUMMYFUNCTION("""COMPUTED_VALUE"""),1.013)</f>
        <v>1.013</v>
      </c>
      <c r="F54" s="22">
        <f t="shared" si="8"/>
        <v>97.219025</v>
      </c>
      <c r="I54" s="22">
        <f t="shared" si="3"/>
        <v>0.9871668312</v>
      </c>
    </row>
    <row r="55" ht="15.75" customHeight="1">
      <c r="A55" s="25">
        <f>IFERROR(__xludf.DUMMYFUNCTION("""COMPUTED_VALUE"""),36511.666666666664)</f>
        <v>36511.66667</v>
      </c>
      <c r="B55" s="22">
        <f>IFERROR(__xludf.DUMMYFUNCTION("""COMPUTED_VALUE"""),1421.06)</f>
        <v>1421.06</v>
      </c>
      <c r="C55" s="22">
        <f t="shared" si="6"/>
        <v>1421.688289</v>
      </c>
      <c r="D55" s="25">
        <f>IFERROR(__xludf.DUMMYFUNCTION("""COMPUTED_VALUE"""),36511.99861111111)</f>
        <v>36511.99861</v>
      </c>
      <c r="E55" s="22">
        <f>IFERROR(__xludf.DUMMYFUNCTION("""COMPUTED_VALUE"""),1.0072)</f>
        <v>1.0072</v>
      </c>
      <c r="F55" s="22">
        <f t="shared" si="8"/>
        <v>96.93599789</v>
      </c>
      <c r="I55" s="22">
        <f t="shared" si="3"/>
        <v>0.9928514694</v>
      </c>
    </row>
    <row r="56" ht="15.75" customHeight="1">
      <c r="A56" s="25">
        <f>IFERROR(__xludf.DUMMYFUNCTION("""COMPUTED_VALUE"""),36517.666666666664)</f>
        <v>36517.66667</v>
      </c>
      <c r="B56" s="22">
        <f>IFERROR(__xludf.DUMMYFUNCTION("""COMPUTED_VALUE"""),1458.34)</f>
        <v>1458.34</v>
      </c>
      <c r="C56" s="22">
        <f t="shared" si="6"/>
        <v>1458.970071</v>
      </c>
      <c r="D56" s="25">
        <f>IFERROR(__xludf.DUMMYFUNCTION("""COMPUTED_VALUE"""),36518.99861111111)</f>
        <v>36518.99861</v>
      </c>
      <c r="E56" s="22">
        <f>IFERROR(__xludf.DUMMYFUNCTION("""COMPUTED_VALUE"""),1.0132)</f>
        <v>1.0132</v>
      </c>
      <c r="F56" s="22">
        <f t="shared" si="8"/>
        <v>100.0706099</v>
      </c>
      <c r="I56" s="22">
        <f t="shared" si="3"/>
        <v>0.98697197</v>
      </c>
    </row>
    <row r="57" ht="15.75" customHeight="1">
      <c r="A57" s="25">
        <f>IFERROR(__xludf.DUMMYFUNCTION("""COMPUTED_VALUE"""),36525.666666666664)</f>
        <v>36525.66667</v>
      </c>
      <c r="B57" s="22">
        <f>IFERROR(__xludf.DUMMYFUNCTION("""COMPUTED_VALUE"""),1469.25)</f>
        <v>1469.25</v>
      </c>
      <c r="C57" s="22">
        <f t="shared" si="6"/>
        <v>1469.8966</v>
      </c>
      <c r="D57" s="25">
        <f>IFERROR(__xludf.DUMMYFUNCTION("""COMPUTED_VALUE"""),36525.99861111111)</f>
        <v>36525.99861</v>
      </c>
      <c r="E57" s="22">
        <f>IFERROR(__xludf.DUMMYFUNCTION("""COMPUTED_VALUE"""),1.0051)</f>
        <v>1.0051</v>
      </c>
      <c r="F57" s="22">
        <f t="shared" si="8"/>
        <v>100.0140562</v>
      </c>
      <c r="I57" s="22">
        <f t="shared" si="3"/>
        <v>0.994925878</v>
      </c>
    </row>
    <row r="58" ht="15.75" customHeight="1">
      <c r="A58" s="25">
        <f>IFERROR(__xludf.DUMMYFUNCTION("""COMPUTED_VALUE"""),36532.666666666664)</f>
        <v>36532.66667</v>
      </c>
      <c r="B58" s="22">
        <f>IFERROR(__xludf.DUMMYFUNCTION("""COMPUTED_VALUE"""),1441.46)</f>
        <v>1441.46</v>
      </c>
      <c r="C58" s="22">
        <f t="shared" si="6"/>
        <v>1442.111438</v>
      </c>
      <c r="D58" s="25">
        <f>IFERROR(__xludf.DUMMYFUNCTION("""COMPUTED_VALUE"""),36532.99861111111)</f>
        <v>36532.99861</v>
      </c>
      <c r="E58" s="22">
        <f>IFERROR(__xludf.DUMMYFUNCTION("""COMPUTED_VALUE"""),1.0296)</f>
        <v>1.0296</v>
      </c>
      <c r="F58" s="22">
        <f t="shared" si="8"/>
        <v>100.5153381</v>
      </c>
      <c r="I58" s="22">
        <f t="shared" si="3"/>
        <v>0.9712509713</v>
      </c>
    </row>
    <row r="59" ht="15.75" customHeight="1">
      <c r="A59" s="25">
        <f>IFERROR(__xludf.DUMMYFUNCTION("""COMPUTED_VALUE"""),36539.666666666664)</f>
        <v>36539.66667</v>
      </c>
      <c r="B59" s="22">
        <f>IFERROR(__xludf.DUMMYFUNCTION("""COMPUTED_VALUE"""),1465.16)</f>
        <v>1465.16</v>
      </c>
      <c r="C59" s="22">
        <f t="shared" si="6"/>
        <v>1465.799116</v>
      </c>
      <c r="D59" s="25">
        <f>IFERROR(__xludf.DUMMYFUNCTION("""COMPUTED_VALUE"""),36539.99861111111)</f>
        <v>36539.99861</v>
      </c>
      <c r="E59" s="22">
        <f>IFERROR(__xludf.DUMMYFUNCTION("""COMPUTED_VALUE"""),1.012)</f>
        <v>1.012</v>
      </c>
      <c r="F59" s="22">
        <f t="shared" si="8"/>
        <v>100.4199383</v>
      </c>
      <c r="I59" s="22">
        <f t="shared" si="3"/>
        <v>0.9881422925</v>
      </c>
    </row>
    <row r="60" ht="15.75" customHeight="1">
      <c r="A60" s="25">
        <f>IFERROR(__xludf.DUMMYFUNCTION("""COMPUTED_VALUE"""),36546.666666666664)</f>
        <v>36546.66667</v>
      </c>
      <c r="B60" s="22">
        <f>IFERROR(__xludf.DUMMYFUNCTION("""COMPUTED_VALUE"""),1441.35)</f>
        <v>1441.35</v>
      </c>
      <c r="C60" s="22">
        <f t="shared" si="6"/>
        <v>1441.999624</v>
      </c>
      <c r="D60" s="25">
        <f>IFERROR(__xludf.DUMMYFUNCTION("""COMPUTED_VALUE"""),36546.99861111111)</f>
        <v>36546.99861</v>
      </c>
      <c r="E60" s="22">
        <f>IFERROR(__xludf.DUMMYFUNCTION("""COMPUTED_VALUE"""),1.0085)</f>
        <v>1.0085</v>
      </c>
      <c r="F60" s="22">
        <f t="shared" si="8"/>
        <v>98.44780379</v>
      </c>
      <c r="I60" s="22">
        <f t="shared" si="3"/>
        <v>0.9915716411</v>
      </c>
    </row>
    <row r="61" ht="15.75" customHeight="1">
      <c r="A61" s="25">
        <f>IFERROR(__xludf.DUMMYFUNCTION("""COMPUTED_VALUE"""),36553.666666666664)</f>
        <v>36553.66667</v>
      </c>
      <c r="B61" s="22">
        <f>IFERROR(__xludf.DUMMYFUNCTION("""COMPUTED_VALUE"""),1360.15)</f>
        <v>1360.15</v>
      </c>
      <c r="C61" s="22">
        <f t="shared" si="6"/>
        <v>1360.789067</v>
      </c>
      <c r="D61" s="25">
        <f>IFERROR(__xludf.DUMMYFUNCTION("""COMPUTED_VALUE"""),36553.99861111111)</f>
        <v>36553.99861</v>
      </c>
      <c r="E61" s="22">
        <f>IFERROR(__xludf.DUMMYFUNCTION("""COMPUTED_VALUE"""),0.9755)</f>
        <v>0.9755</v>
      </c>
      <c r="F61" s="22">
        <f t="shared" si="8"/>
        <v>89.86344582</v>
      </c>
      <c r="I61" s="22">
        <f t="shared" si="3"/>
        <v>1.025115325</v>
      </c>
    </row>
    <row r="62" ht="15.75" customHeight="1">
      <c r="A62" s="25">
        <f>IFERROR(__xludf.DUMMYFUNCTION("""COMPUTED_VALUE"""),36560.666666666664)</f>
        <v>36560.66667</v>
      </c>
      <c r="B62" s="22">
        <f>IFERROR(__xludf.DUMMYFUNCTION("""COMPUTED_VALUE"""),1424.37)</f>
        <v>1424.37</v>
      </c>
      <c r="C62" s="22">
        <f t="shared" si="6"/>
        <v>1424.973065</v>
      </c>
      <c r="D62" s="25">
        <f>IFERROR(__xludf.DUMMYFUNCTION("""COMPUTED_VALUE"""),36560.99861111111)</f>
        <v>36560.99861</v>
      </c>
      <c r="E62" s="22">
        <f>IFERROR(__xludf.DUMMYFUNCTION("""COMPUTED_VALUE"""),0.9822)</f>
        <v>0.9822</v>
      </c>
      <c r="F62" s="22">
        <f t="shared" si="8"/>
        <v>94.74833077</v>
      </c>
      <c r="I62" s="22">
        <f t="shared" si="3"/>
        <v>1.018122582</v>
      </c>
    </row>
    <row r="63" ht="15.75" customHeight="1">
      <c r="A63" s="25">
        <f>IFERROR(__xludf.DUMMYFUNCTION("""COMPUTED_VALUE"""),36567.666666666664)</f>
        <v>36567.66667</v>
      </c>
      <c r="B63" s="22">
        <f>IFERROR(__xludf.DUMMYFUNCTION("""COMPUTED_VALUE"""),1387.11)</f>
        <v>1387.11</v>
      </c>
      <c r="C63" s="22">
        <f t="shared" si="6"/>
        <v>1387.741539</v>
      </c>
      <c r="D63" s="25">
        <f>IFERROR(__xludf.DUMMYFUNCTION("""COMPUTED_VALUE"""),36567.99861111111)</f>
        <v>36567.99861</v>
      </c>
      <c r="E63" s="22">
        <f>IFERROR(__xludf.DUMMYFUNCTION("""COMPUTED_VALUE"""),0.9879)</f>
        <v>0.9879</v>
      </c>
      <c r="F63" s="22">
        <f t="shared" si="8"/>
        <v>92.80824407</v>
      </c>
      <c r="I63" s="22">
        <f t="shared" si="3"/>
        <v>1.012248203</v>
      </c>
    </row>
    <row r="64" ht="15.75" customHeight="1">
      <c r="A64" s="25">
        <f>IFERROR(__xludf.DUMMYFUNCTION("""COMPUTED_VALUE"""),36574.666666666664)</f>
        <v>36574.66667</v>
      </c>
      <c r="B64" s="22">
        <f>IFERROR(__xludf.DUMMYFUNCTION("""COMPUTED_VALUE"""),1346.07)</f>
        <v>1346.07</v>
      </c>
      <c r="C64" s="22">
        <f t="shared" si="6"/>
        <v>1346.685018</v>
      </c>
      <c r="D64" s="25">
        <f>IFERROR(__xludf.DUMMYFUNCTION("""COMPUTED_VALUE"""),36574.99861111111)</f>
        <v>36574.99861</v>
      </c>
      <c r="E64" s="22">
        <f>IFERROR(__xludf.DUMMYFUNCTION("""COMPUTED_VALUE"""),0.9853)</f>
        <v>0.9853</v>
      </c>
      <c r="F64" s="22">
        <f t="shared" si="8"/>
        <v>89.8254691</v>
      </c>
      <c r="I64" s="22">
        <f t="shared" si="3"/>
        <v>1.014919314</v>
      </c>
    </row>
    <row r="65" ht="15.75" customHeight="1">
      <c r="A65" s="25">
        <f>IFERROR(__xludf.DUMMYFUNCTION("""COMPUTED_VALUE"""),36581.666666666664)</f>
        <v>36581.66667</v>
      </c>
      <c r="B65" s="22">
        <f>IFERROR(__xludf.DUMMYFUNCTION("""COMPUTED_VALUE"""),1333.36)</f>
        <v>1333.36</v>
      </c>
      <c r="C65" s="22">
        <f t="shared" si="6"/>
        <v>1333.956822</v>
      </c>
      <c r="D65" s="25">
        <f>IFERROR(__xludf.DUMMYFUNCTION("""COMPUTED_VALUE"""),36581.99861111111)</f>
        <v>36581.99861</v>
      </c>
      <c r="E65" s="22">
        <f>IFERROR(__xludf.DUMMYFUNCTION("""COMPUTED_VALUE"""),0.9744)</f>
        <v>0.9744</v>
      </c>
      <c r="F65" s="22">
        <f t="shared" si="8"/>
        <v>87.99217041</v>
      </c>
      <c r="I65" s="22">
        <f t="shared" si="3"/>
        <v>1.026272578</v>
      </c>
    </row>
    <row r="66" ht="15.75" customHeight="1">
      <c r="A66" s="25">
        <f>IFERROR(__xludf.DUMMYFUNCTION("""COMPUTED_VALUE"""),36588.666666666664)</f>
        <v>36588.66667</v>
      </c>
      <c r="B66" s="22">
        <f>IFERROR(__xludf.DUMMYFUNCTION("""COMPUTED_VALUE"""),1409.17)</f>
        <v>1409.17</v>
      </c>
      <c r="C66" s="22">
        <f t="shared" si="6"/>
        <v>1409.761187</v>
      </c>
      <c r="D66" s="25">
        <f>IFERROR(__xludf.DUMMYFUNCTION("""COMPUTED_VALUE"""),36588.99861111111)</f>
        <v>36588.99861</v>
      </c>
      <c r="E66" s="22">
        <f>IFERROR(__xludf.DUMMYFUNCTION("""COMPUTED_VALUE"""),0.9618)</f>
        <v>0.9618</v>
      </c>
      <c r="F66" s="22">
        <f t="shared" si="8"/>
        <v>91.78998621</v>
      </c>
      <c r="I66" s="22">
        <f t="shared" si="3"/>
        <v>1.039717197</v>
      </c>
    </row>
    <row r="67" ht="15.75" customHeight="1">
      <c r="A67" s="25">
        <f>IFERROR(__xludf.DUMMYFUNCTION("""COMPUTED_VALUE"""),36595.666666666664)</f>
        <v>36595.66667</v>
      </c>
      <c r="B67" s="22">
        <f>IFERROR(__xludf.DUMMYFUNCTION("""COMPUTED_VALUE"""),1395.07)</f>
        <v>1395.07</v>
      </c>
      <c r="C67" s="22">
        <f t="shared" si="6"/>
        <v>1395.694799</v>
      </c>
      <c r="D67" s="25">
        <f>IFERROR(__xludf.DUMMYFUNCTION("""COMPUTED_VALUE"""),36595.99861111111)</f>
        <v>36595.99861</v>
      </c>
      <c r="E67" s="22">
        <f>IFERROR(__xludf.DUMMYFUNCTION("""COMPUTED_VALUE"""),0.9638)</f>
        <v>0.9638</v>
      </c>
      <c r="F67" s="22">
        <f t="shared" si="8"/>
        <v>91.06308616</v>
      </c>
      <c r="I67" s="22">
        <f t="shared" si="3"/>
        <v>1.03755966</v>
      </c>
    </row>
    <row r="68" ht="15.75" customHeight="1">
      <c r="A68" s="25">
        <f>IFERROR(__xludf.DUMMYFUNCTION("""COMPUTED_VALUE"""),36602.666666666664)</f>
        <v>36602.66667</v>
      </c>
      <c r="B68" s="22">
        <f>IFERROR(__xludf.DUMMYFUNCTION("""COMPUTED_VALUE"""),1464.47)</f>
        <v>1464.47</v>
      </c>
      <c r="C68" s="22">
        <f t="shared" si="6"/>
        <v>1465.088548</v>
      </c>
      <c r="D68" s="25">
        <f>IFERROR(__xludf.DUMMYFUNCTION("""COMPUTED_VALUE"""),36602.99861111111)</f>
        <v>36602.99861</v>
      </c>
      <c r="E68" s="22">
        <f>IFERROR(__xludf.DUMMYFUNCTION("""COMPUTED_VALUE"""),0.9707)</f>
        <v>0.9707</v>
      </c>
      <c r="F68" s="22">
        <f t="shared" si="8"/>
        <v>96.27507943</v>
      </c>
      <c r="I68" s="22">
        <f t="shared" si="3"/>
        <v>1.030184403</v>
      </c>
    </row>
    <row r="69" ht="15.75" customHeight="1">
      <c r="A69" s="25">
        <f>IFERROR(__xludf.DUMMYFUNCTION("""COMPUTED_VALUE"""),36609.666666666664)</f>
        <v>36609.66667</v>
      </c>
      <c r="B69" s="22">
        <f>IFERROR(__xludf.DUMMYFUNCTION("""COMPUTED_VALUE"""),1527.54)</f>
        <v>1527.54</v>
      </c>
      <c r="C69" s="22">
        <f t="shared" si="6"/>
        <v>1528.189318</v>
      </c>
      <c r="D69" s="25">
        <f>IFERROR(__xludf.DUMMYFUNCTION("""COMPUTED_VALUE"""),36609.99861111111)</f>
        <v>36609.99861</v>
      </c>
      <c r="E69" s="22">
        <f>IFERROR(__xludf.DUMMYFUNCTION("""COMPUTED_VALUE"""),0.977)</f>
        <v>0.977</v>
      </c>
      <c r="F69" s="22">
        <f t="shared" si="8"/>
        <v>101.0733606</v>
      </c>
      <c r="I69" s="22">
        <f t="shared" si="3"/>
        <v>1.023541453</v>
      </c>
    </row>
    <row r="70" ht="15.75" customHeight="1">
      <c r="A70" s="25">
        <f>IFERROR(__xludf.DUMMYFUNCTION("""COMPUTED_VALUE"""),36616.666666666664)</f>
        <v>36616.66667</v>
      </c>
      <c r="B70" s="22">
        <f>IFERROR(__xludf.DUMMYFUNCTION("""COMPUTED_VALUE"""),1498.58)</f>
        <v>1498.58</v>
      </c>
      <c r="C70" s="22">
        <f t="shared" si="6"/>
        <v>1499.257282</v>
      </c>
      <c r="D70" s="25">
        <f>IFERROR(__xludf.DUMMYFUNCTION("""COMPUTED_VALUE"""),36616.99861111111)</f>
        <v>36616.99861</v>
      </c>
      <c r="E70" s="22">
        <f>IFERROR(__xludf.DUMMYFUNCTION("""COMPUTED_VALUE"""),0.9559)</f>
        <v>0.9559</v>
      </c>
      <c r="F70" s="22">
        <f t="shared" si="8"/>
        <v>97.01828897</v>
      </c>
      <c r="I70" s="22">
        <f t="shared" si="3"/>
        <v>1.046134533</v>
      </c>
    </row>
    <row r="71" ht="15.75" customHeight="1">
      <c r="A71" s="25">
        <f>IFERROR(__xludf.DUMMYFUNCTION("""COMPUTED_VALUE"""),36623.666666666664)</f>
        <v>36623.66667</v>
      </c>
      <c r="B71" s="22">
        <f>IFERROR(__xludf.DUMMYFUNCTION("""COMPUTED_VALUE"""),1516.35)</f>
        <v>1516.35</v>
      </c>
      <c r="C71" s="22">
        <f t="shared" si="6"/>
        <v>1517.014442</v>
      </c>
      <c r="D71" s="25">
        <f>IFERROR(__xludf.DUMMYFUNCTION("""COMPUTED_VALUE"""),36623.99861111111)</f>
        <v>36623.99861</v>
      </c>
      <c r="E71" s="22">
        <f>IFERROR(__xludf.DUMMYFUNCTION("""COMPUTED_VALUE"""),0.9547)</f>
        <v>0.9547</v>
      </c>
      <c r="F71" s="22">
        <f t="shared" si="8"/>
        <v>98.04413523</v>
      </c>
      <c r="I71" s="22">
        <f t="shared" si="3"/>
        <v>1.047449461</v>
      </c>
    </row>
    <row r="72" ht="15.75" customHeight="1">
      <c r="A72" s="25">
        <f>IFERROR(__xludf.DUMMYFUNCTION("""COMPUTED_VALUE"""),36630.666666666664)</f>
        <v>36630.66667</v>
      </c>
      <c r="B72" s="22">
        <f>IFERROR(__xludf.DUMMYFUNCTION("""COMPUTED_VALUE"""),1357.52)</f>
        <v>1357.52</v>
      </c>
      <c r="C72" s="22">
        <f t="shared" si="6"/>
        <v>1358.192321</v>
      </c>
      <c r="D72" s="25">
        <f>IFERROR(__xludf.DUMMYFUNCTION("""COMPUTED_VALUE"""),36630.99861111111)</f>
        <v>36630.99861</v>
      </c>
      <c r="E72" s="22">
        <f>IFERROR(__xludf.DUMMYFUNCTION("""COMPUTED_VALUE"""),0.9605)</f>
        <v>0.9605</v>
      </c>
      <c r="F72" s="22">
        <f t="shared" si="8"/>
        <v>88.31279345</v>
      </c>
      <c r="I72" s="22">
        <f t="shared" si="3"/>
        <v>1.041124414</v>
      </c>
    </row>
    <row r="73" ht="15.75" customHeight="1">
      <c r="A73" s="25">
        <f>IFERROR(__xludf.DUMMYFUNCTION("""COMPUTED_VALUE"""),36636.666666666664)</f>
        <v>36636.66667</v>
      </c>
      <c r="B73" s="22">
        <f>IFERROR(__xludf.DUMMYFUNCTION("""COMPUTED_VALUE"""),1434.55)</f>
        <v>1434.55</v>
      </c>
      <c r="C73" s="22">
        <f t="shared" si="6"/>
        <v>1435.151899</v>
      </c>
      <c r="D73" s="25">
        <f>IFERROR(__xludf.DUMMYFUNCTION("""COMPUTED_VALUE"""),36637.99861111111)</f>
        <v>36637.99861</v>
      </c>
      <c r="E73" s="22">
        <f>IFERROR(__xludf.DUMMYFUNCTION("""COMPUTED_VALUE"""),0.9375)</f>
        <v>0.9375</v>
      </c>
      <c r="F73" s="22">
        <f t="shared" si="8"/>
        <v>91.08232934</v>
      </c>
      <c r="I73" s="22">
        <f t="shared" si="3"/>
        <v>1.066666667</v>
      </c>
    </row>
    <row r="74" ht="15.75" customHeight="1">
      <c r="A74" s="25">
        <f>IFERROR(__xludf.DUMMYFUNCTION("""COMPUTED_VALUE"""),36644.666666666664)</f>
        <v>36644.66667</v>
      </c>
      <c r="B74" s="22">
        <f>IFERROR(__xludf.DUMMYFUNCTION("""COMPUTED_VALUE"""),1452.43)</f>
        <v>1452.43</v>
      </c>
      <c r="C74" s="22">
        <f t="shared" si="6"/>
        <v>1453.066052</v>
      </c>
      <c r="D74" s="25">
        <f>IFERROR(__xludf.DUMMYFUNCTION("""COMPUTED_VALUE"""),36644.99861111111)</f>
        <v>36644.99861</v>
      </c>
      <c r="E74" s="22">
        <f>IFERROR(__xludf.DUMMYFUNCTION("""COMPUTED_VALUE"""),0.9112)</f>
        <v>0.9112</v>
      </c>
      <c r="F74" s="22">
        <f t="shared" si="8"/>
        <v>89.63219873</v>
      </c>
      <c r="I74" s="22">
        <f t="shared" si="3"/>
        <v>1.097453907</v>
      </c>
    </row>
    <row r="75" ht="15.75" customHeight="1">
      <c r="A75" s="25">
        <f>IFERROR(__xludf.DUMMYFUNCTION("""COMPUTED_VALUE"""),36651.666666666664)</f>
        <v>36651.66667</v>
      </c>
      <c r="B75" s="22">
        <f>IFERROR(__xludf.DUMMYFUNCTION("""COMPUTED_VALUE"""),1432.63)</f>
        <v>1432.63</v>
      </c>
      <c r="C75" s="22">
        <f t="shared" si="6"/>
        <v>1433.27398</v>
      </c>
      <c r="D75" s="25">
        <f>IFERROR(__xludf.DUMMYFUNCTION("""COMPUTED_VALUE"""),36651.99861111111)</f>
        <v>36651.99861</v>
      </c>
      <c r="E75" s="22">
        <f>IFERROR(__xludf.DUMMYFUNCTION("""COMPUTED_VALUE"""),0.898)</f>
        <v>0.898</v>
      </c>
      <c r="F75" s="22">
        <f t="shared" si="8"/>
        <v>87.13056611</v>
      </c>
      <c r="I75" s="22">
        <f t="shared" si="3"/>
        <v>1.113585746</v>
      </c>
    </row>
    <row r="76" ht="15.75" customHeight="1">
      <c r="A76" s="25">
        <f>IFERROR(__xludf.DUMMYFUNCTION("""COMPUTED_VALUE"""),36658.666666666664)</f>
        <v>36658.66667</v>
      </c>
      <c r="B76" s="22">
        <f>IFERROR(__xludf.DUMMYFUNCTION("""COMPUTED_VALUE"""),1420.96)</f>
        <v>1420.96</v>
      </c>
      <c r="C76" s="22">
        <f t="shared" si="6"/>
        <v>1421.595201</v>
      </c>
      <c r="D76" s="25">
        <f>IFERROR(__xludf.DUMMYFUNCTION("""COMPUTED_VALUE"""),36658.99861111111)</f>
        <v>36658.99861</v>
      </c>
      <c r="E76" s="22">
        <f>IFERROR(__xludf.DUMMYFUNCTION("""COMPUTED_VALUE"""),0.9192)</f>
        <v>0.9192</v>
      </c>
      <c r="F76" s="22">
        <f t="shared" si="8"/>
        <v>88.46081716</v>
      </c>
      <c r="I76" s="22">
        <f t="shared" si="3"/>
        <v>1.087902524</v>
      </c>
    </row>
    <row r="77" ht="15.75" customHeight="1">
      <c r="A77" s="25">
        <f>IFERROR(__xludf.DUMMYFUNCTION("""COMPUTED_VALUE"""),36665.666666666664)</f>
        <v>36665.66667</v>
      </c>
      <c r="B77" s="22">
        <f>IFERROR(__xludf.DUMMYFUNCTION("""COMPUTED_VALUE"""),1406.95)</f>
        <v>1406.95</v>
      </c>
      <c r="C77" s="22">
        <f t="shared" si="6"/>
        <v>1407.580027</v>
      </c>
      <c r="D77" s="25">
        <f>IFERROR(__xludf.DUMMYFUNCTION("""COMPUTED_VALUE"""),36665.99861111111)</f>
        <v>36665.99861</v>
      </c>
      <c r="E77" s="22">
        <f>IFERROR(__xludf.DUMMYFUNCTION("""COMPUTED_VALUE"""),0.896)</f>
        <v>0.896</v>
      </c>
      <c r="F77" s="22">
        <f t="shared" si="8"/>
        <v>85.37802175</v>
      </c>
      <c r="I77" s="22">
        <f t="shared" si="3"/>
        <v>1.116071429</v>
      </c>
    </row>
    <row r="78" ht="15.75" customHeight="1">
      <c r="A78" s="25">
        <f>IFERROR(__xludf.DUMMYFUNCTION("""COMPUTED_VALUE"""),36672.666666666664)</f>
        <v>36672.66667</v>
      </c>
      <c r="B78" s="22">
        <f>IFERROR(__xludf.DUMMYFUNCTION("""COMPUTED_VALUE"""),1378.02)</f>
        <v>1378.02</v>
      </c>
      <c r="C78" s="22">
        <f t="shared" si="6"/>
        <v>1378.643815</v>
      </c>
      <c r="D78" s="25">
        <f>IFERROR(__xludf.DUMMYFUNCTION("""COMPUTED_VALUE"""),36672.99861111111)</f>
        <v>36672.99861</v>
      </c>
      <c r="E78" s="22">
        <f>IFERROR(__xludf.DUMMYFUNCTION("""COMPUTED_VALUE"""),0.9335)</f>
        <v>0.9335</v>
      </c>
      <c r="F78" s="22">
        <f t="shared" si="8"/>
        <v>87.12271112</v>
      </c>
      <c r="I78" s="22">
        <f t="shared" si="3"/>
        <v>1.071237279</v>
      </c>
    </row>
    <row r="79" ht="15.75" customHeight="1">
      <c r="A79" s="25">
        <f>IFERROR(__xludf.DUMMYFUNCTION("""COMPUTED_VALUE"""),36679.666666666664)</f>
        <v>36679.66667</v>
      </c>
      <c r="B79" s="22">
        <f>IFERROR(__xludf.DUMMYFUNCTION("""COMPUTED_VALUE"""),1477.26)</f>
        <v>1477.26</v>
      </c>
      <c r="C79" s="22">
        <f t="shared" si="6"/>
        <v>1477.870988</v>
      </c>
      <c r="D79" s="25">
        <f>IFERROR(__xludf.DUMMYFUNCTION("""COMPUTED_VALUE"""),36679.99861111111)</f>
        <v>36679.99861</v>
      </c>
      <c r="E79" s="22">
        <f>IFERROR(__xludf.DUMMYFUNCTION("""COMPUTED_VALUE"""),0.9437)</f>
        <v>0.9437</v>
      </c>
      <c r="F79" s="22">
        <f t="shared" si="8"/>
        <v>94.41379641</v>
      </c>
      <c r="I79" s="22">
        <f t="shared" si="3"/>
        <v>1.05965879</v>
      </c>
    </row>
    <row r="80" ht="15.75" customHeight="1">
      <c r="A80" s="25">
        <f>IFERROR(__xludf.DUMMYFUNCTION("""COMPUTED_VALUE"""),36686.666666666664)</f>
        <v>36686.66667</v>
      </c>
      <c r="B80" s="22">
        <f>IFERROR(__xludf.DUMMYFUNCTION("""COMPUTED_VALUE"""),1456.95)</f>
        <v>1456.95</v>
      </c>
      <c r="C80" s="22">
        <f t="shared" si="6"/>
        <v>1457.604989</v>
      </c>
      <c r="D80" s="25">
        <f>IFERROR(__xludf.DUMMYFUNCTION("""COMPUTED_VALUE"""),36686.99861111111)</f>
        <v>36686.99861</v>
      </c>
      <c r="E80" s="22">
        <f>IFERROR(__xludf.DUMMYFUNCTION("""COMPUTED_VALUE"""),0.9526)</f>
        <v>0.9526</v>
      </c>
      <c r="F80" s="22">
        <f t="shared" si="8"/>
        <v>93.99730579</v>
      </c>
      <c r="I80" s="22">
        <f t="shared" si="3"/>
        <v>1.049758556</v>
      </c>
    </row>
    <row r="81" ht="15.75" customHeight="1">
      <c r="A81" s="25">
        <f>IFERROR(__xludf.DUMMYFUNCTION("""COMPUTED_VALUE"""),36693.666666666664)</f>
        <v>36693.66667</v>
      </c>
      <c r="B81" s="22">
        <f>IFERROR(__xludf.DUMMYFUNCTION("""COMPUTED_VALUE"""),1464.47)</f>
        <v>1464.47</v>
      </c>
      <c r="C81" s="22">
        <f t="shared" si="6"/>
        <v>1465.115984</v>
      </c>
      <c r="D81" s="25">
        <f>IFERROR(__xludf.DUMMYFUNCTION("""COMPUTED_VALUE"""),36693.99861111111)</f>
        <v>36693.99861</v>
      </c>
      <c r="E81" s="22">
        <f>IFERROR(__xludf.DUMMYFUNCTION("""COMPUTED_VALUE"""),0.9636)</f>
        <v>0.9636</v>
      </c>
      <c r="F81" s="22">
        <f t="shared" si="8"/>
        <v>95.57268347</v>
      </c>
      <c r="I81" s="22">
        <f t="shared" si="3"/>
        <v>1.03777501</v>
      </c>
    </row>
    <row r="82" ht="15.75" customHeight="1">
      <c r="A82" s="25">
        <f>IFERROR(__xludf.DUMMYFUNCTION("""COMPUTED_VALUE"""),36700.666666666664)</f>
        <v>36700.66667</v>
      </c>
      <c r="B82" s="22">
        <f>IFERROR(__xludf.DUMMYFUNCTION("""COMPUTED_VALUE"""),1441.54)</f>
        <v>1441.54</v>
      </c>
      <c r="C82" s="22">
        <f t="shared" si="6"/>
        <v>1442.189318</v>
      </c>
      <c r="D82" s="25">
        <f>IFERROR(__xludf.DUMMYFUNCTION("""COMPUTED_VALUE"""),36700.99861111111)</f>
        <v>36700.99861</v>
      </c>
      <c r="E82" s="22">
        <f>IFERROR(__xludf.DUMMYFUNCTION("""COMPUTED_VALUE"""),0.9364)</f>
        <v>0.9364</v>
      </c>
      <c r="F82" s="22">
        <f t="shared" si="8"/>
        <v>91.42156723</v>
      </c>
      <c r="I82" s="22">
        <f t="shared" si="3"/>
        <v>1.067919692</v>
      </c>
    </row>
    <row r="83" ht="15.75" customHeight="1">
      <c r="A83" s="25">
        <f>IFERROR(__xludf.DUMMYFUNCTION("""COMPUTED_VALUE"""),36707.666666666664)</f>
        <v>36707.66667</v>
      </c>
      <c r="B83" s="22">
        <f>IFERROR(__xludf.DUMMYFUNCTION("""COMPUTED_VALUE"""),1454.6)</f>
        <v>1454.6</v>
      </c>
      <c r="C83" s="22">
        <f t="shared" si="6"/>
        <v>1455.239152</v>
      </c>
      <c r="D83" s="25">
        <f>IFERROR(__xludf.DUMMYFUNCTION("""COMPUTED_VALUE"""),36707.99861111111)</f>
        <v>36707.99861</v>
      </c>
      <c r="E83" s="22">
        <f>IFERROR(__xludf.DUMMYFUNCTION("""COMPUTED_VALUE"""),0.9548)</f>
        <v>0.9548</v>
      </c>
      <c r="F83" s="22">
        <f t="shared" si="8"/>
        <v>94.06147033</v>
      </c>
      <c r="I83" s="22">
        <f t="shared" si="3"/>
        <v>1.047339757</v>
      </c>
    </row>
    <row r="84" ht="15.75" customHeight="1">
      <c r="A84" s="25">
        <f>IFERROR(__xludf.DUMMYFUNCTION("""COMPUTED_VALUE"""),36714.666666666664)</f>
        <v>36714.66667</v>
      </c>
      <c r="B84" s="22">
        <f>IFERROR(__xludf.DUMMYFUNCTION("""COMPUTED_VALUE"""),1478.9)</f>
        <v>1478.9</v>
      </c>
      <c r="C84" s="22">
        <f t="shared" si="6"/>
        <v>1479.544942</v>
      </c>
      <c r="D84" s="25">
        <f>IFERROR(__xludf.DUMMYFUNCTION("""COMPUTED_VALUE"""),36714.99861111111)</f>
        <v>36714.99861</v>
      </c>
      <c r="E84" s="22">
        <f>IFERROR(__xludf.DUMMYFUNCTION("""COMPUTED_VALUE"""),0.9471)</f>
        <v>0.9471</v>
      </c>
      <c r="F84" s="22">
        <f t="shared" si="8"/>
        <v>94.86128006</v>
      </c>
      <c r="I84" s="22">
        <f t="shared" si="3"/>
        <v>1.055854714</v>
      </c>
    </row>
    <row r="85" ht="15.75" customHeight="1">
      <c r="A85" s="25">
        <f>IFERROR(__xludf.DUMMYFUNCTION("""COMPUTED_VALUE"""),36721.666666666664)</f>
        <v>36721.66667</v>
      </c>
      <c r="B85" s="22">
        <f>IFERROR(__xludf.DUMMYFUNCTION("""COMPUTED_VALUE"""),1509.9)</f>
        <v>1509.9</v>
      </c>
      <c r="C85" s="22">
        <f t="shared" si="6"/>
        <v>1510.555716</v>
      </c>
      <c r="D85" s="25">
        <f>IFERROR(__xludf.DUMMYFUNCTION("""COMPUTED_VALUE"""),36721.99861111111)</f>
        <v>36721.99861</v>
      </c>
      <c r="E85" s="22">
        <f>IFERROR(__xludf.DUMMYFUNCTION("""COMPUTED_VALUE"""),0.9377)</f>
        <v>0.9377</v>
      </c>
      <c r="F85" s="22">
        <f t="shared" si="8"/>
        <v>95.88830619</v>
      </c>
      <c r="I85" s="22">
        <f t="shared" si="3"/>
        <v>1.06643916</v>
      </c>
    </row>
    <row r="86" ht="15.75" customHeight="1">
      <c r="A86" s="25">
        <f>IFERROR(__xludf.DUMMYFUNCTION("""COMPUTED_VALUE"""),36728.666666666664)</f>
        <v>36728.66667</v>
      </c>
      <c r="B86" s="22">
        <f>IFERROR(__xludf.DUMMYFUNCTION("""COMPUTED_VALUE"""),1480.11)</f>
        <v>1480.11</v>
      </c>
      <c r="C86" s="22">
        <f t="shared" si="6"/>
        <v>1480.779461</v>
      </c>
      <c r="D86" s="25">
        <f>IFERROR(__xludf.DUMMYFUNCTION("""COMPUTED_VALUE"""),36728.99861111111)</f>
        <v>36728.99861</v>
      </c>
      <c r="E86" s="22">
        <f>IFERROR(__xludf.DUMMYFUNCTION("""COMPUTED_VALUE"""),0.9372)</f>
        <v>0.9372</v>
      </c>
      <c r="F86" s="22">
        <f t="shared" si="8"/>
        <v>93.94802276</v>
      </c>
      <c r="I86" s="22">
        <f t="shared" si="3"/>
        <v>1.067008109</v>
      </c>
    </row>
    <row r="87" ht="15.75" customHeight="1">
      <c r="A87" s="25">
        <f>IFERROR(__xludf.DUMMYFUNCTION("""COMPUTED_VALUE"""),36735.666666666664)</f>
        <v>36735.66667</v>
      </c>
      <c r="B87" s="22">
        <f>IFERROR(__xludf.DUMMYFUNCTION("""COMPUTED_VALUE"""),1419.89)</f>
        <v>1419.89</v>
      </c>
      <c r="C87" s="22">
        <f t="shared" si="6"/>
        <v>1420.546253</v>
      </c>
      <c r="D87" s="25">
        <f>IFERROR(__xludf.DUMMYFUNCTION("""COMPUTED_VALUE"""),36735.99861111111)</f>
        <v>36735.99861</v>
      </c>
      <c r="E87" s="22">
        <f>IFERROR(__xludf.DUMMYFUNCTION("""COMPUTED_VALUE"""),0.9232)</f>
        <v>0.9232</v>
      </c>
      <c r="F87" s="22">
        <f t="shared" si="8"/>
        <v>88.78020778</v>
      </c>
      <c r="I87" s="22">
        <f t="shared" si="3"/>
        <v>1.083188908</v>
      </c>
    </row>
    <row r="88" ht="15.75" customHeight="1">
      <c r="A88" s="25">
        <f>IFERROR(__xludf.DUMMYFUNCTION("""COMPUTED_VALUE"""),36742.666666666664)</f>
        <v>36742.66667</v>
      </c>
      <c r="B88" s="22">
        <f>IFERROR(__xludf.DUMMYFUNCTION("""COMPUTED_VALUE"""),1462.93)</f>
        <v>1462.93</v>
      </c>
      <c r="C88" s="22">
        <f t="shared" si="6"/>
        <v>1463.559552</v>
      </c>
      <c r="D88" s="25">
        <f>IFERROR(__xludf.DUMMYFUNCTION("""COMPUTED_VALUE"""),36742.99861111111)</f>
        <v>36742.99861</v>
      </c>
      <c r="E88" s="22">
        <f>IFERROR(__xludf.DUMMYFUNCTION("""COMPUTED_VALUE"""),0.9074)</f>
        <v>0.9074</v>
      </c>
      <c r="F88" s="22">
        <f t="shared" si="8"/>
        <v>89.90299418</v>
      </c>
      <c r="I88" s="22">
        <f t="shared" si="3"/>
        <v>1.102049813</v>
      </c>
    </row>
    <row r="89" ht="15.75" customHeight="1">
      <c r="A89" s="25">
        <f>IFERROR(__xludf.DUMMYFUNCTION("""COMPUTED_VALUE"""),36749.666666666664)</f>
        <v>36749.66667</v>
      </c>
      <c r="B89" s="22">
        <f>IFERROR(__xludf.DUMMYFUNCTION("""COMPUTED_VALUE"""),1471.84)</f>
        <v>1471.84</v>
      </c>
      <c r="C89" s="22">
        <f t="shared" si="6"/>
        <v>1472.488635</v>
      </c>
      <c r="D89" s="25">
        <f>IFERROR(__xludf.DUMMYFUNCTION("""COMPUTED_VALUE"""),36749.99861111111)</f>
        <v>36749.99861</v>
      </c>
      <c r="E89" s="22">
        <f>IFERROR(__xludf.DUMMYFUNCTION("""COMPUTED_VALUE"""),0.9024)</f>
        <v>0.9024</v>
      </c>
      <c r="F89" s="22">
        <f t="shared" si="8"/>
        <v>89.95307638</v>
      </c>
      <c r="I89" s="22">
        <f t="shared" si="3"/>
        <v>1.108156028</v>
      </c>
    </row>
    <row r="90" ht="15.75" customHeight="1">
      <c r="A90" s="25">
        <f>IFERROR(__xludf.DUMMYFUNCTION("""COMPUTED_VALUE"""),36756.666666666664)</f>
        <v>36756.66667</v>
      </c>
      <c r="B90" s="22">
        <f>IFERROR(__xludf.DUMMYFUNCTION("""COMPUTED_VALUE"""),1491.7)</f>
        <v>1491.7</v>
      </c>
      <c r="C90" s="22">
        <f t="shared" si="6"/>
        <v>1492.352586</v>
      </c>
      <c r="D90" s="25">
        <f>IFERROR(__xludf.DUMMYFUNCTION("""COMPUTED_VALUE"""),36756.99861111111)</f>
        <v>36756.99861</v>
      </c>
      <c r="E90" s="22">
        <f>IFERROR(__xludf.DUMMYFUNCTION("""COMPUTED_VALUE"""),0.906)</f>
        <v>0.906</v>
      </c>
      <c r="F90" s="22">
        <f t="shared" si="8"/>
        <v>91.53024453</v>
      </c>
      <c r="I90" s="22">
        <f t="shared" si="3"/>
        <v>1.103752759</v>
      </c>
    </row>
    <row r="91" ht="15.75" customHeight="1">
      <c r="A91" s="25">
        <f>IFERROR(__xludf.DUMMYFUNCTION("""COMPUTED_VALUE"""),36763.666666666664)</f>
        <v>36763.66667</v>
      </c>
      <c r="B91" s="22">
        <f>IFERROR(__xludf.DUMMYFUNCTION("""COMPUTED_VALUE"""),1506.46)</f>
        <v>1506.46</v>
      </c>
      <c r="C91" s="22">
        <f t="shared" si="6"/>
        <v>1507.121392</v>
      </c>
      <c r="D91" s="25">
        <f>IFERROR(__xludf.DUMMYFUNCTION("""COMPUTED_VALUE"""),36763.99861111111)</f>
        <v>36763.99861</v>
      </c>
      <c r="E91" s="22">
        <f>IFERROR(__xludf.DUMMYFUNCTION("""COMPUTED_VALUE"""),0.902)</f>
        <v>0.902</v>
      </c>
      <c r="F91" s="22">
        <f t="shared" si="8"/>
        <v>92.02795132</v>
      </c>
      <c r="I91" s="22">
        <f t="shared" si="3"/>
        <v>1.10864745</v>
      </c>
    </row>
    <row r="92" ht="15.75" customHeight="1">
      <c r="A92" s="25">
        <f>IFERROR(__xludf.DUMMYFUNCTION("""COMPUTED_VALUE"""),36770.666666666664)</f>
        <v>36770.66667</v>
      </c>
      <c r="B92" s="22">
        <f>IFERROR(__xludf.DUMMYFUNCTION("""COMPUTED_VALUE"""),1520.77)</f>
        <v>1520.77</v>
      </c>
      <c r="C92" s="22">
        <f t="shared" si="6"/>
        <v>1521.437936</v>
      </c>
      <c r="D92" s="25">
        <f>IFERROR(__xludf.DUMMYFUNCTION("""COMPUTED_VALUE"""),36770.99861111111)</f>
        <v>36770.99861</v>
      </c>
      <c r="E92" s="22">
        <f>IFERROR(__xludf.DUMMYFUNCTION("""COMPUTED_VALUE"""),0.8994)</f>
        <v>0.8994</v>
      </c>
      <c r="F92" s="22">
        <f t="shared" si="8"/>
        <v>92.63436024</v>
      </c>
      <c r="I92" s="22">
        <f t="shared" si="3"/>
        <v>1.111852346</v>
      </c>
    </row>
    <row r="93" ht="15.75" customHeight="1">
      <c r="A93" s="25">
        <f>IFERROR(__xludf.DUMMYFUNCTION("""COMPUTED_VALUE"""),36777.666666666664)</f>
        <v>36777.66667</v>
      </c>
      <c r="B93" s="22">
        <f>IFERROR(__xludf.DUMMYFUNCTION("""COMPUTED_VALUE"""),1494.64)</f>
        <v>1494.64</v>
      </c>
      <c r="C93" s="22">
        <f t="shared" si="6"/>
        <v>1495.314281</v>
      </c>
      <c r="D93" s="25">
        <f>IFERROR(__xludf.DUMMYFUNCTION("""COMPUTED_VALUE"""),36777.99861111111)</f>
        <v>36777.99861</v>
      </c>
      <c r="E93" s="22">
        <f>IFERROR(__xludf.DUMMYFUNCTION("""COMPUTED_VALUE"""),0.8694)</f>
        <v>0.8694</v>
      </c>
      <c r="F93" s="22">
        <f t="shared" si="8"/>
        <v>88.00697615</v>
      </c>
      <c r="I93" s="22">
        <f t="shared" si="3"/>
        <v>1.150218542</v>
      </c>
    </row>
    <row r="94" ht="15.75" customHeight="1">
      <c r="A94" s="25">
        <f>IFERROR(__xludf.DUMMYFUNCTION("""COMPUTED_VALUE"""),36784.666666666664)</f>
        <v>36784.66667</v>
      </c>
      <c r="B94" s="22">
        <f>IFERROR(__xludf.DUMMYFUNCTION("""COMPUTED_VALUE"""),1465.79)</f>
        <v>1465.79</v>
      </c>
      <c r="C94" s="22">
        <f t="shared" si="6"/>
        <v>1466.452695</v>
      </c>
      <c r="D94" s="25">
        <f>IFERROR(__xludf.DUMMYFUNCTION("""COMPUTED_VALUE"""),36784.99861111111)</f>
        <v>36784.99861</v>
      </c>
      <c r="E94" s="22">
        <f>IFERROR(__xludf.DUMMYFUNCTION("""COMPUTED_VALUE"""),0.8539)</f>
        <v>0.8539</v>
      </c>
      <c r="F94" s="22">
        <f t="shared" si="8"/>
        <v>84.76958442</v>
      </c>
      <c r="I94" s="22">
        <f t="shared" si="3"/>
        <v>1.171097318</v>
      </c>
    </row>
    <row r="95" ht="15.75" customHeight="1">
      <c r="A95" s="25">
        <f>IFERROR(__xludf.DUMMYFUNCTION("""COMPUTED_VALUE"""),36791.666666666664)</f>
        <v>36791.66667</v>
      </c>
      <c r="B95" s="22">
        <f>IFERROR(__xludf.DUMMYFUNCTION("""COMPUTED_VALUE"""),1448.71)</f>
        <v>1448.71</v>
      </c>
      <c r="C95" s="22">
        <f t="shared" si="6"/>
        <v>1449.359904</v>
      </c>
      <c r="D95" s="25">
        <f>IFERROR(__xludf.DUMMYFUNCTION("""COMPUTED_VALUE"""),36791.99861111111)</f>
        <v>36791.99861</v>
      </c>
      <c r="E95" s="22">
        <f>IFERROR(__xludf.DUMMYFUNCTION("""COMPUTED_VALUE"""),0.8764)</f>
        <v>0.8764</v>
      </c>
      <c r="F95" s="22">
        <f t="shared" si="8"/>
        <v>85.98913768</v>
      </c>
      <c r="I95" s="22">
        <f t="shared" si="3"/>
        <v>1.141031492</v>
      </c>
    </row>
    <row r="96" ht="15.75" customHeight="1">
      <c r="A96" s="25">
        <f>IFERROR(__xludf.DUMMYFUNCTION("""COMPUTED_VALUE"""),36798.666666666664)</f>
        <v>36798.66667</v>
      </c>
      <c r="B96" s="22">
        <f>IFERROR(__xludf.DUMMYFUNCTION("""COMPUTED_VALUE"""),1436.51)</f>
        <v>1436.51</v>
      </c>
      <c r="C96" s="22">
        <f t="shared" si="6"/>
        <v>1437.152331</v>
      </c>
      <c r="D96" s="25">
        <f>IFERROR(__xludf.DUMMYFUNCTION("""COMPUTED_VALUE"""),36798.99861111111)</f>
        <v>36798.99861</v>
      </c>
      <c r="E96" s="22">
        <f>IFERROR(__xludf.DUMMYFUNCTION("""COMPUTED_VALUE"""),0.8841)</f>
        <v>0.8841</v>
      </c>
      <c r="F96" s="22">
        <f t="shared" si="8"/>
        <v>86.01400632</v>
      </c>
      <c r="I96" s="22">
        <f t="shared" si="3"/>
        <v>1.131093768</v>
      </c>
    </row>
    <row r="97" ht="15.75" customHeight="1">
      <c r="A97" s="25">
        <f>IFERROR(__xludf.DUMMYFUNCTION("""COMPUTED_VALUE"""),36805.666666666664)</f>
        <v>36805.66667</v>
      </c>
      <c r="B97" s="22">
        <f>IFERROR(__xludf.DUMMYFUNCTION("""COMPUTED_VALUE"""),1408.99)</f>
        <v>1408.99</v>
      </c>
      <c r="C97" s="22">
        <f t="shared" si="6"/>
        <v>1409.626921</v>
      </c>
      <c r="D97" s="25">
        <f>IFERROR(__xludf.DUMMYFUNCTION("""COMPUTED_VALUE"""),36805.99861111111)</f>
        <v>36805.99861</v>
      </c>
      <c r="E97" s="22">
        <f>IFERROR(__xludf.DUMMYFUNCTION("""COMPUTED_VALUE"""),0.8682)</f>
        <v>0.8682</v>
      </c>
      <c r="F97" s="22">
        <f t="shared" si="8"/>
        <v>82.84932021</v>
      </c>
      <c r="I97" s="22">
        <f t="shared" si="3"/>
        <v>1.151808339</v>
      </c>
    </row>
    <row r="98" ht="15.75" customHeight="1">
      <c r="A98" s="25">
        <f>IFERROR(__xludf.DUMMYFUNCTION("""COMPUTED_VALUE"""),36812.666666666664)</f>
        <v>36812.66667</v>
      </c>
      <c r="B98" s="22">
        <f>IFERROR(__xludf.DUMMYFUNCTION("""COMPUTED_VALUE"""),1374.12)</f>
        <v>1374.12</v>
      </c>
      <c r="C98" s="22">
        <f t="shared" si="6"/>
        <v>1374.74472</v>
      </c>
      <c r="D98" s="25">
        <f>IFERROR(__xludf.DUMMYFUNCTION("""COMPUTED_VALUE"""),36812.99861111111)</f>
        <v>36812.99861</v>
      </c>
      <c r="E98" s="22">
        <f>IFERROR(__xludf.DUMMYFUNCTION("""COMPUTED_VALUE"""),0.8562)</f>
        <v>0.8562</v>
      </c>
      <c r="F98" s="22">
        <f t="shared" si="8"/>
        <v>79.68237427</v>
      </c>
      <c r="I98" s="22">
        <f t="shared" si="3"/>
        <v>1.167951413</v>
      </c>
    </row>
    <row r="99" ht="15.75" customHeight="1">
      <c r="A99" s="25">
        <f>IFERROR(__xludf.DUMMYFUNCTION("""COMPUTED_VALUE"""),36819.666666666664)</f>
        <v>36819.66667</v>
      </c>
      <c r="B99" s="22">
        <f>IFERROR(__xludf.DUMMYFUNCTION("""COMPUTED_VALUE"""),1396.9)</f>
        <v>1396.9</v>
      </c>
      <c r="C99" s="22">
        <f t="shared" si="6"/>
        <v>1397.509259</v>
      </c>
      <c r="D99" s="25">
        <f>IFERROR(__xludf.DUMMYFUNCTION("""COMPUTED_VALUE"""),36819.99861111111)</f>
        <v>36819.99861</v>
      </c>
      <c r="E99" s="22">
        <f>IFERROR(__xludf.DUMMYFUNCTION("""COMPUTED_VALUE"""),0.842)</f>
        <v>0.842</v>
      </c>
      <c r="F99" s="22">
        <f t="shared" si="8"/>
        <v>79.65843463</v>
      </c>
      <c r="I99" s="22">
        <f t="shared" si="3"/>
        <v>1.187648456</v>
      </c>
    </row>
    <row r="100" ht="15.75" customHeight="1">
      <c r="A100" s="25">
        <f>IFERROR(__xludf.DUMMYFUNCTION("""COMPUTED_VALUE"""),36826.666666666664)</f>
        <v>36826.66667</v>
      </c>
      <c r="B100" s="22">
        <f>IFERROR(__xludf.DUMMYFUNCTION("""COMPUTED_VALUE"""),1379.56)</f>
        <v>1379.56</v>
      </c>
      <c r="C100" s="22">
        <f t="shared" si="6"/>
        <v>1380.179359</v>
      </c>
      <c r="D100" s="25">
        <f>IFERROR(__xludf.DUMMYFUNCTION("""COMPUTED_VALUE"""),36826.99861111111)</f>
        <v>36826.99861</v>
      </c>
      <c r="E100" s="22">
        <f>IFERROR(__xludf.DUMMYFUNCTION("""COMPUTED_VALUE"""),0.838)</f>
        <v>0.838</v>
      </c>
      <c r="F100" s="22">
        <f t="shared" si="8"/>
        <v>78.29689311</v>
      </c>
      <c r="I100" s="22">
        <f t="shared" si="3"/>
        <v>1.193317422</v>
      </c>
    </row>
    <row r="101" ht="15.75" customHeight="1">
      <c r="A101" s="25">
        <f>IFERROR(__xludf.DUMMYFUNCTION("""COMPUTED_VALUE"""),36833.666666666664)</f>
        <v>36833.66667</v>
      </c>
      <c r="B101" s="22">
        <f>IFERROR(__xludf.DUMMYFUNCTION("""COMPUTED_VALUE"""),1426.69)</f>
        <v>1426.69</v>
      </c>
      <c r="C101" s="22">
        <f t="shared" si="6"/>
        <v>1427.301671</v>
      </c>
      <c r="D101" s="25">
        <f>IFERROR(__xludf.DUMMYFUNCTION("""COMPUTED_VALUE"""),36833.99861111111)</f>
        <v>36833.99861</v>
      </c>
      <c r="E101" s="22">
        <f>IFERROR(__xludf.DUMMYFUNCTION("""COMPUTED_VALUE"""),0.8667)</f>
        <v>0.8667</v>
      </c>
      <c r="F101" s="22">
        <f t="shared" si="8"/>
        <v>83.7432002</v>
      </c>
      <c r="I101" s="22">
        <f t="shared" si="3"/>
        <v>1.153801777</v>
      </c>
    </row>
    <row r="102" ht="15.75" customHeight="1">
      <c r="A102" s="25">
        <f>IFERROR(__xludf.DUMMYFUNCTION("""COMPUTED_VALUE"""),36840.666666666664)</f>
        <v>36840.66667</v>
      </c>
      <c r="B102" s="22">
        <f>IFERROR(__xludf.DUMMYFUNCTION("""COMPUTED_VALUE"""),1365.97)</f>
        <v>1365.97</v>
      </c>
      <c r="C102" s="22">
        <f t="shared" si="6"/>
        <v>1366.602567</v>
      </c>
      <c r="D102" s="25">
        <f>IFERROR(__xludf.DUMMYFUNCTION("""COMPUTED_VALUE"""),36840.99861111111)</f>
        <v>36840.99861</v>
      </c>
      <c r="E102" s="22">
        <f>IFERROR(__xludf.DUMMYFUNCTION("""COMPUTED_VALUE"""),0.8599)</f>
        <v>0.8599</v>
      </c>
      <c r="F102" s="22">
        <f t="shared" si="8"/>
        <v>79.55274388</v>
      </c>
      <c r="I102" s="22">
        <f t="shared" si="3"/>
        <v>1.162925922</v>
      </c>
    </row>
    <row r="103" ht="15.75" customHeight="1">
      <c r="A103" s="25">
        <f>IFERROR(__xludf.DUMMYFUNCTION("""COMPUTED_VALUE"""),36847.666666666664)</f>
        <v>36847.66667</v>
      </c>
      <c r="B103" s="22">
        <f>IFERROR(__xludf.DUMMYFUNCTION("""COMPUTED_VALUE"""),1367.72)</f>
        <v>1367.72</v>
      </c>
      <c r="C103" s="22">
        <f t="shared" si="6"/>
        <v>1368.325645</v>
      </c>
      <c r="D103" s="25">
        <f>IFERROR(__xludf.DUMMYFUNCTION("""COMPUTED_VALUE"""),36847.99861111111)</f>
        <v>36847.99861</v>
      </c>
      <c r="E103" s="22">
        <f>IFERROR(__xludf.DUMMYFUNCTION("""COMPUTED_VALUE"""),0.8517)</f>
        <v>0.8517</v>
      </c>
      <c r="F103" s="22">
        <f t="shared" si="8"/>
        <v>78.89347692</v>
      </c>
      <c r="I103" s="22">
        <f t="shared" si="3"/>
        <v>1.174122344</v>
      </c>
    </row>
    <row r="104" ht="15.75" customHeight="1">
      <c r="A104" s="25">
        <f>IFERROR(__xludf.DUMMYFUNCTION("""COMPUTED_VALUE"""),36854.666666666664)</f>
        <v>36854.66667</v>
      </c>
      <c r="B104" s="22">
        <f>IFERROR(__xludf.DUMMYFUNCTION("""COMPUTED_VALUE"""),1341.77)</f>
        <v>1341.77</v>
      </c>
      <c r="C104" s="22">
        <f t="shared" si="6"/>
        <v>1342.376421</v>
      </c>
      <c r="D104" s="25">
        <f>IFERROR(__xludf.DUMMYFUNCTION("""COMPUTED_VALUE"""),36854.99861111111)</f>
        <v>36854.99861</v>
      </c>
      <c r="E104" s="22">
        <f>IFERROR(__xludf.DUMMYFUNCTION("""COMPUTED_VALUE"""),0.8372)</f>
        <v>0.8372</v>
      </c>
      <c r="F104" s="22">
        <f t="shared" si="8"/>
        <v>76.07965198</v>
      </c>
      <c r="I104" s="22">
        <f t="shared" si="3"/>
        <v>1.194457716</v>
      </c>
    </row>
    <row r="105" ht="15.75" customHeight="1">
      <c r="A105" s="25">
        <f>IFERROR(__xludf.DUMMYFUNCTION("""COMPUTED_VALUE"""),36861.666666666664)</f>
        <v>36861.66667</v>
      </c>
      <c r="B105" s="22">
        <f>IFERROR(__xludf.DUMMYFUNCTION("""COMPUTED_VALUE"""),1315.18)</f>
        <v>1315.18</v>
      </c>
      <c r="C105" s="22">
        <f t="shared" si="6"/>
        <v>1315.774915</v>
      </c>
      <c r="D105" s="25">
        <f>IFERROR(__xludf.DUMMYFUNCTION("""COMPUTED_VALUE"""),36861.99861111111)</f>
        <v>36861.99861</v>
      </c>
      <c r="E105" s="22">
        <f>IFERROR(__xludf.DUMMYFUNCTION("""COMPUTED_VALUE"""),0.8787)</f>
        <v>0.8787</v>
      </c>
      <c r="F105" s="22">
        <f t="shared" si="8"/>
        <v>78.26853616</v>
      </c>
      <c r="I105" s="22">
        <f t="shared" si="3"/>
        <v>1.138044839</v>
      </c>
    </row>
    <row r="106" ht="15.75" customHeight="1">
      <c r="A106" s="25">
        <f>IFERROR(__xludf.DUMMYFUNCTION("""COMPUTED_VALUE"""),36868.666666666664)</f>
        <v>36868.66667</v>
      </c>
      <c r="B106" s="22">
        <f>IFERROR(__xludf.DUMMYFUNCTION("""COMPUTED_VALUE"""),1369.73)</f>
        <v>1369.73</v>
      </c>
      <c r="C106" s="22">
        <f t="shared" si="6"/>
        <v>1370.313126</v>
      </c>
      <c r="D106" s="25">
        <f>IFERROR(__xludf.DUMMYFUNCTION("""COMPUTED_VALUE"""),36868.99861111111)</f>
        <v>36868.99861</v>
      </c>
      <c r="E106" s="22">
        <f>IFERROR(__xludf.DUMMYFUNCTION("""COMPUTED_VALUE"""),0.8875)</f>
        <v>0.8875</v>
      </c>
      <c r="F106" s="22">
        <f t="shared" si="8"/>
        <v>82.32906096</v>
      </c>
      <c r="I106" s="22">
        <f t="shared" si="3"/>
        <v>1.126760563</v>
      </c>
    </row>
    <row r="107" ht="15.75" customHeight="1">
      <c r="A107" s="25">
        <f>IFERROR(__xludf.DUMMYFUNCTION("""COMPUTED_VALUE"""),36875.666666666664)</f>
        <v>36875.66667</v>
      </c>
      <c r="B107" s="22">
        <f>IFERROR(__xludf.DUMMYFUNCTION("""COMPUTED_VALUE"""),1312.1)</f>
        <v>1312.1</v>
      </c>
      <c r="C107" s="22">
        <f t="shared" si="6"/>
        <v>1312.707312</v>
      </c>
      <c r="D107" s="25">
        <f>IFERROR(__xludf.DUMMYFUNCTION("""COMPUTED_VALUE"""),36875.99861111111)</f>
        <v>36875.99861</v>
      </c>
      <c r="E107" s="22">
        <f>IFERROR(__xludf.DUMMYFUNCTION("""COMPUTED_VALUE"""),0.8955)</f>
        <v>0.8955</v>
      </c>
      <c r="F107" s="22">
        <f t="shared" si="8"/>
        <v>79.57899993</v>
      </c>
      <c r="I107" s="22">
        <f t="shared" si="3"/>
        <v>1.116694584</v>
      </c>
    </row>
    <row r="108" ht="15.75" customHeight="1">
      <c r="A108" s="25">
        <f>IFERROR(__xludf.DUMMYFUNCTION("""COMPUTED_VALUE"""),36882.666666666664)</f>
        <v>36882.66667</v>
      </c>
      <c r="B108" s="22">
        <f>IFERROR(__xludf.DUMMYFUNCTION("""COMPUTED_VALUE"""),1305.9)</f>
        <v>1305.9</v>
      </c>
      <c r="C108" s="22">
        <f t="shared" si="6"/>
        <v>1306.48176</v>
      </c>
      <c r="D108" s="25">
        <f>IFERROR(__xludf.DUMMYFUNCTION("""COMPUTED_VALUE"""),36882.99861111111)</f>
        <v>36882.99861</v>
      </c>
      <c r="E108" s="22">
        <f>IFERROR(__xludf.DUMMYFUNCTION("""COMPUTED_VALUE"""),0.9238)</f>
        <v>0.9238</v>
      </c>
      <c r="F108" s="22">
        <f t="shared" si="8"/>
        <v>81.7045592</v>
      </c>
      <c r="I108" s="22">
        <f t="shared" si="3"/>
        <v>1.082485386</v>
      </c>
    </row>
    <row r="109" ht="15.75" customHeight="1">
      <c r="A109" s="25">
        <f>IFERROR(__xludf.DUMMYFUNCTION("""COMPUTED_VALUE"""),36889.666666666664)</f>
        <v>36889.66667</v>
      </c>
      <c r="B109" s="22">
        <f>IFERROR(__xludf.DUMMYFUNCTION("""COMPUTED_VALUE"""),1320.41)</f>
        <v>1320.41</v>
      </c>
      <c r="C109" s="22">
        <f t="shared" si="6"/>
        <v>1320.989011</v>
      </c>
      <c r="D109" s="25">
        <f>IFERROR(__xludf.DUMMYFUNCTION("""COMPUTED_VALUE"""),36889.99861111111)</f>
        <v>36889.99861</v>
      </c>
      <c r="E109" s="22">
        <f>IFERROR(__xludf.DUMMYFUNCTION("""COMPUTED_VALUE"""),0.9411)</f>
        <v>0.9411</v>
      </c>
      <c r="F109" s="22">
        <f t="shared" si="8"/>
        <v>84.15888264</v>
      </c>
      <c r="I109" s="22">
        <f t="shared" si="3"/>
        <v>1.062586335</v>
      </c>
    </row>
    <row r="110" ht="15.75" customHeight="1">
      <c r="A110" s="25">
        <f>IFERROR(__xludf.DUMMYFUNCTION("""COMPUTED_VALUE"""),36896.666666666664)</f>
        <v>36896.66667</v>
      </c>
      <c r="B110" s="22">
        <f>IFERROR(__xludf.DUMMYFUNCTION("""COMPUTED_VALUE"""),1298.34)</f>
        <v>1298.34</v>
      </c>
      <c r="C110" s="22">
        <f t="shared" si="6"/>
        <v>1298.925445</v>
      </c>
      <c r="D110" s="25">
        <f>IFERROR(__xludf.DUMMYFUNCTION("""COMPUTED_VALUE"""),36896.99861111111)</f>
        <v>36896.99861</v>
      </c>
      <c r="E110" s="22">
        <f>IFERROR(__xludf.DUMMYFUNCTION("""COMPUTED_VALUE"""),0.9558)</f>
        <v>0.9558</v>
      </c>
      <c r="F110" s="22">
        <f t="shared" si="8"/>
        <v>84.0458421</v>
      </c>
      <c r="I110" s="22">
        <f t="shared" si="3"/>
        <v>1.046243984</v>
      </c>
    </row>
    <row r="111" ht="15.75" customHeight="1">
      <c r="A111" s="25">
        <f>IFERROR(__xludf.DUMMYFUNCTION("""COMPUTED_VALUE"""),36903.666666666664)</f>
        <v>36903.66667</v>
      </c>
      <c r="B111" s="22">
        <f>IFERROR(__xludf.DUMMYFUNCTION("""COMPUTED_VALUE"""),1318.55)</f>
        <v>1318.55</v>
      </c>
      <c r="C111" s="22">
        <f t="shared" si="6"/>
        <v>1319.125659</v>
      </c>
      <c r="D111" s="25">
        <f>IFERROR(__xludf.DUMMYFUNCTION("""COMPUTED_VALUE"""),36903.99861111111)</f>
        <v>36903.99861</v>
      </c>
      <c r="E111" s="22">
        <f>IFERROR(__xludf.DUMMYFUNCTION("""COMPUTED_VALUE"""),0.9539)</f>
        <v>0.9539</v>
      </c>
      <c r="F111" s="22">
        <f t="shared" si="8"/>
        <v>85.18320955</v>
      </c>
      <c r="I111" s="22">
        <f t="shared" si="3"/>
        <v>1.048327917</v>
      </c>
    </row>
    <row r="112" ht="15.75" customHeight="1">
      <c r="A112" s="25">
        <f>IFERROR(__xludf.DUMMYFUNCTION("""COMPUTED_VALUE"""),36910.666666666664)</f>
        <v>36910.66667</v>
      </c>
      <c r="B112" s="22">
        <f>IFERROR(__xludf.DUMMYFUNCTION("""COMPUTED_VALUE"""),1342.55)</f>
        <v>1342.55</v>
      </c>
      <c r="C112" s="22">
        <f t="shared" si="6"/>
        <v>1343.13462</v>
      </c>
      <c r="D112" s="25">
        <f>IFERROR(__xludf.DUMMYFUNCTION("""COMPUTED_VALUE"""),36910.99861111111)</f>
        <v>36910.99861</v>
      </c>
      <c r="E112" s="22">
        <f>IFERROR(__xludf.DUMMYFUNCTION("""COMPUTED_VALUE"""),0.935)</f>
        <v>0.935</v>
      </c>
      <c r="F112" s="22">
        <f t="shared" si="8"/>
        <v>85.01511307</v>
      </c>
      <c r="I112" s="22">
        <f t="shared" si="3"/>
        <v>1.069518717</v>
      </c>
    </row>
    <row r="113" ht="15.75" customHeight="1">
      <c r="A113" s="25">
        <f>IFERROR(__xludf.DUMMYFUNCTION("""COMPUTED_VALUE"""),36917.666666666664)</f>
        <v>36917.66667</v>
      </c>
      <c r="B113" s="22">
        <f>IFERROR(__xludf.DUMMYFUNCTION("""COMPUTED_VALUE"""),1354.94)</f>
        <v>1354.94</v>
      </c>
      <c r="C113" s="22">
        <f t="shared" si="6"/>
        <v>1355.535261</v>
      </c>
      <c r="D113" s="25">
        <f>IFERROR(__xludf.DUMMYFUNCTION("""COMPUTED_VALUE"""),36917.99861111111)</f>
        <v>36917.99861</v>
      </c>
      <c r="E113" s="22">
        <f>IFERROR(__xludf.DUMMYFUNCTION("""COMPUTED_VALUE"""),0.9241)</f>
        <v>0.9241</v>
      </c>
      <c r="F113" s="22">
        <f t="shared" si="8"/>
        <v>84.79978906</v>
      </c>
      <c r="I113" s="22">
        <f t="shared" si="3"/>
        <v>1.082133968</v>
      </c>
    </row>
    <row r="114" ht="15.75" customHeight="1">
      <c r="A114" s="25">
        <f>IFERROR(__xludf.DUMMYFUNCTION("""COMPUTED_VALUE"""),36924.666666666664)</f>
        <v>36924.66667</v>
      </c>
      <c r="B114" s="22">
        <f>IFERROR(__xludf.DUMMYFUNCTION("""COMPUTED_VALUE"""),1349.47)</f>
        <v>1349.47</v>
      </c>
      <c r="C114" s="22">
        <f t="shared" si="6"/>
        <v>1350.070755</v>
      </c>
      <c r="D114" s="25">
        <f>IFERROR(__xludf.DUMMYFUNCTION("""COMPUTED_VALUE"""),36924.99861111111)</f>
        <v>36924.99861</v>
      </c>
      <c r="E114" s="22">
        <f>IFERROR(__xludf.DUMMYFUNCTION("""COMPUTED_VALUE"""),0.9355)</f>
        <v>0.9355</v>
      </c>
      <c r="F114" s="22">
        <f t="shared" si="8"/>
        <v>85.49984038</v>
      </c>
      <c r="I114" s="22">
        <f t="shared" si="3"/>
        <v>1.068947087</v>
      </c>
    </row>
    <row r="115" ht="15.75" customHeight="1">
      <c r="A115" s="25">
        <f>IFERROR(__xludf.DUMMYFUNCTION("""COMPUTED_VALUE"""),36931.666666666664)</f>
        <v>36931.66667</v>
      </c>
      <c r="B115" s="22">
        <f>IFERROR(__xludf.DUMMYFUNCTION("""COMPUTED_VALUE"""),1314.76)</f>
        <v>1314.76</v>
      </c>
      <c r="C115" s="22">
        <f t="shared" si="6"/>
        <v>1315.358329</v>
      </c>
      <c r="D115" s="25">
        <f>IFERROR(__xludf.DUMMYFUNCTION("""COMPUTED_VALUE"""),36931.99861111111)</f>
        <v>36931.99861</v>
      </c>
      <c r="E115" s="22">
        <f>IFERROR(__xludf.DUMMYFUNCTION("""COMPUTED_VALUE"""),0.9243)</f>
        <v>0.9243</v>
      </c>
      <c r="F115" s="22">
        <f t="shared" si="8"/>
        <v>82.3042032</v>
      </c>
      <c r="I115" s="22">
        <f t="shared" si="3"/>
        <v>1.081899816</v>
      </c>
    </row>
    <row r="116" ht="15.75" customHeight="1">
      <c r="A116" s="25">
        <f>IFERROR(__xludf.DUMMYFUNCTION("""COMPUTED_VALUE"""),36938.666666666664)</f>
        <v>36938.66667</v>
      </c>
      <c r="B116" s="22">
        <f>IFERROR(__xludf.DUMMYFUNCTION("""COMPUTED_VALUE"""),1301.47)</f>
        <v>1301.47</v>
      </c>
      <c r="C116" s="22">
        <f t="shared" si="6"/>
        <v>1302.05294</v>
      </c>
      <c r="D116" s="25">
        <f>IFERROR(__xludf.DUMMYFUNCTION("""COMPUTED_VALUE"""),36938.99861111111)</f>
        <v>36938.99861</v>
      </c>
      <c r="E116" s="22">
        <f>IFERROR(__xludf.DUMMYFUNCTION("""COMPUTED_VALUE"""),0.9137)</f>
        <v>0.9137</v>
      </c>
      <c r="F116" s="22">
        <f t="shared" si="8"/>
        <v>80.5373341</v>
      </c>
      <c r="I116" s="22">
        <f t="shared" si="3"/>
        <v>1.094451133</v>
      </c>
    </row>
    <row r="117" ht="15.75" customHeight="1">
      <c r="A117" s="25">
        <f>IFERROR(__xludf.DUMMYFUNCTION("""COMPUTED_VALUE"""),36945.666666666664)</f>
        <v>36945.66667</v>
      </c>
      <c r="B117" s="22">
        <f>IFERROR(__xludf.DUMMYFUNCTION("""COMPUTED_VALUE"""),1245.47)</f>
        <v>1245.47</v>
      </c>
      <c r="C117" s="22">
        <f t="shared" si="6"/>
        <v>1246.047047</v>
      </c>
      <c r="D117" s="25">
        <f>IFERROR(__xludf.DUMMYFUNCTION("""COMPUTED_VALUE"""),36945.99861111111)</f>
        <v>36945.99861</v>
      </c>
      <c r="E117" s="22">
        <f>IFERROR(__xludf.DUMMYFUNCTION("""COMPUTED_VALUE"""),0.919)</f>
        <v>0.919</v>
      </c>
      <c r="F117" s="22">
        <f t="shared" si="8"/>
        <v>77.52020886</v>
      </c>
      <c r="I117" s="22">
        <f t="shared" si="3"/>
        <v>1.088139282</v>
      </c>
    </row>
    <row r="118" ht="15.75" customHeight="1">
      <c r="A118" s="25">
        <f>IFERROR(__xludf.DUMMYFUNCTION("""COMPUTED_VALUE"""),36952.666666666664)</f>
        <v>36952.66667</v>
      </c>
      <c r="B118" s="22">
        <f>IFERROR(__xludf.DUMMYFUNCTION("""COMPUTED_VALUE"""),1234.18)</f>
        <v>1234.18</v>
      </c>
      <c r="C118" s="22">
        <f t="shared" si="6"/>
        <v>1234.732218</v>
      </c>
      <c r="D118" s="25">
        <f>IFERROR(__xludf.DUMMYFUNCTION("""COMPUTED_VALUE"""),36952.99861111111)</f>
        <v>36952.99861</v>
      </c>
      <c r="E118" s="22">
        <f>IFERROR(__xludf.DUMMYFUNCTION("""COMPUTED_VALUE"""),0.9354)</f>
        <v>0.9354</v>
      </c>
      <c r="F118" s="22">
        <f t="shared" si="8"/>
        <v>78.18710416</v>
      </c>
      <c r="I118" s="22">
        <f t="shared" si="3"/>
        <v>1.069061364</v>
      </c>
    </row>
    <row r="119" ht="15.75" customHeight="1">
      <c r="A119" s="25">
        <f>IFERROR(__xludf.DUMMYFUNCTION("""COMPUTED_VALUE"""),36959.666666666664)</f>
        <v>36959.66667</v>
      </c>
      <c r="B119" s="22">
        <f>IFERROR(__xludf.DUMMYFUNCTION("""COMPUTED_VALUE"""),1233.42)</f>
        <v>1233.42</v>
      </c>
      <c r="C119" s="22">
        <f t="shared" si="6"/>
        <v>1233.967212</v>
      </c>
      <c r="D119" s="25">
        <f>IFERROR(__xludf.DUMMYFUNCTION("""COMPUTED_VALUE"""),36959.99861111111)</f>
        <v>36959.99861</v>
      </c>
      <c r="E119" s="22">
        <f>IFERROR(__xludf.DUMMYFUNCTION("""COMPUTED_VALUE"""),0.9332)</f>
        <v>0.9332</v>
      </c>
      <c r="F119" s="22">
        <f t="shared" si="8"/>
        <v>77.95488455</v>
      </c>
      <c r="I119" s="22">
        <f t="shared" si="3"/>
        <v>1.071581655</v>
      </c>
    </row>
    <row r="120" ht="15.75" customHeight="1">
      <c r="A120" s="25">
        <f>IFERROR(__xludf.DUMMYFUNCTION("""COMPUTED_VALUE"""),36966.666666666664)</f>
        <v>36966.66667</v>
      </c>
      <c r="B120" s="22">
        <f>IFERROR(__xludf.DUMMYFUNCTION("""COMPUTED_VALUE"""),1150.55)</f>
        <v>1150.55</v>
      </c>
      <c r="C120" s="22">
        <f t="shared" si="6"/>
        <v>1151.096875</v>
      </c>
      <c r="D120" s="25">
        <f>IFERROR(__xludf.DUMMYFUNCTION("""COMPUTED_VALUE"""),36966.99861111111)</f>
        <v>36966.99861</v>
      </c>
      <c r="E120" s="22">
        <f>IFERROR(__xludf.DUMMYFUNCTION("""COMPUTED_VALUE"""),0.8965)</f>
        <v>0.8965</v>
      </c>
      <c r="F120" s="22">
        <f t="shared" si="8"/>
        <v>69.85976997</v>
      </c>
      <c r="I120" s="22">
        <f t="shared" si="3"/>
        <v>1.115448968</v>
      </c>
    </row>
    <row r="121" ht="15.75" customHeight="1">
      <c r="A121" s="25">
        <f>IFERROR(__xludf.DUMMYFUNCTION("""COMPUTED_VALUE"""),36973.666666666664)</f>
        <v>36973.66667</v>
      </c>
      <c r="B121" s="22">
        <f>IFERROR(__xludf.DUMMYFUNCTION("""COMPUTED_VALUE"""),1139.85)</f>
        <v>1139.85</v>
      </c>
      <c r="C121" s="22">
        <f t="shared" si="6"/>
        <v>1140.360132</v>
      </c>
      <c r="D121" s="25">
        <f>IFERROR(__xludf.DUMMYFUNCTION("""COMPUTED_VALUE"""),36973.99861111111)</f>
        <v>36973.99861</v>
      </c>
      <c r="E121" s="22">
        <f>IFERROR(__xludf.DUMMYFUNCTION("""COMPUTED_VALUE"""),0.8895)</f>
        <v>0.8895</v>
      </c>
      <c r="F121" s="22">
        <f t="shared" si="8"/>
        <v>68.66777263</v>
      </c>
      <c r="I121" s="22">
        <f t="shared" si="3"/>
        <v>1.124227094</v>
      </c>
    </row>
    <row r="122" ht="15.75" customHeight="1">
      <c r="A122" s="25">
        <f>IFERROR(__xludf.DUMMYFUNCTION("""COMPUTED_VALUE"""),36980.666666666664)</f>
        <v>36980.66667</v>
      </c>
      <c r="B122" s="22">
        <f>IFERROR(__xludf.DUMMYFUNCTION("""COMPUTED_VALUE"""),1160.33)</f>
        <v>1160.33</v>
      </c>
      <c r="C122" s="22">
        <f t="shared" si="6"/>
        <v>1160.835388</v>
      </c>
      <c r="D122" s="25">
        <f>IFERROR(__xludf.DUMMYFUNCTION("""COMPUTED_VALUE"""),36980.99861111111)</f>
        <v>36980.99861</v>
      </c>
      <c r="E122" s="22">
        <f>IFERROR(__xludf.DUMMYFUNCTION("""COMPUTED_VALUE"""),0.8753)</f>
        <v>0.8753</v>
      </c>
      <c r="F122" s="22">
        <f t="shared" si="8"/>
        <v>68.78481126</v>
      </c>
      <c r="I122" s="22">
        <f t="shared" si="3"/>
        <v>1.14246544</v>
      </c>
    </row>
    <row r="123" ht="15.75" customHeight="1">
      <c r="A123" s="25">
        <f>IFERROR(__xludf.DUMMYFUNCTION("""COMPUTED_VALUE"""),36987.666666666664)</f>
        <v>36987.66667</v>
      </c>
      <c r="B123" s="22">
        <f>IFERROR(__xludf.DUMMYFUNCTION("""COMPUTED_VALUE"""),1128.43)</f>
        <v>1128.43</v>
      </c>
      <c r="C123" s="22">
        <f t="shared" si="6"/>
        <v>1128.944468</v>
      </c>
      <c r="D123" s="25">
        <f>IFERROR(__xludf.DUMMYFUNCTION("""COMPUTED_VALUE"""),36987.99861111111)</f>
        <v>36987.99861</v>
      </c>
      <c r="E123" s="22">
        <f>IFERROR(__xludf.DUMMYFUNCTION("""COMPUTED_VALUE"""),0.904)</f>
        <v>0.904</v>
      </c>
      <c r="F123" s="22">
        <f t="shared" si="8"/>
        <v>69.08853646</v>
      </c>
      <c r="I123" s="22">
        <f t="shared" si="3"/>
        <v>1.10619469</v>
      </c>
    </row>
    <row r="124" ht="15.75" customHeight="1">
      <c r="A124" s="25">
        <f>IFERROR(__xludf.DUMMYFUNCTION("""COMPUTED_VALUE"""),36993.666666666664)</f>
        <v>36993.66667</v>
      </c>
      <c r="B124" s="22">
        <f>IFERROR(__xludf.DUMMYFUNCTION("""COMPUTED_VALUE"""),1183.5)</f>
        <v>1183.5</v>
      </c>
      <c r="C124" s="22">
        <f t="shared" si="6"/>
        <v>1184.000325</v>
      </c>
      <c r="D124" s="25">
        <f>IFERROR(__xludf.DUMMYFUNCTION("""COMPUTED_VALUE"""),36994.99861111111)</f>
        <v>36994.99861</v>
      </c>
      <c r="E124" s="22">
        <f>IFERROR(__xludf.DUMMYFUNCTION("""COMPUTED_VALUE"""),0.888)</f>
        <v>0.888</v>
      </c>
      <c r="F124" s="22">
        <f t="shared" si="8"/>
        <v>71.17537593</v>
      </c>
      <c r="I124" s="22">
        <f t="shared" si="3"/>
        <v>1.126126126</v>
      </c>
    </row>
    <row r="125" ht="15.75" customHeight="1">
      <c r="A125" s="25">
        <f>IFERROR(__xludf.DUMMYFUNCTION("""COMPUTED_VALUE"""),37001.666666666664)</f>
        <v>37001.66667</v>
      </c>
      <c r="B125" s="22">
        <f>IFERROR(__xludf.DUMMYFUNCTION("""COMPUTED_VALUE"""),1242.95)</f>
        <v>1242.95</v>
      </c>
      <c r="C125" s="22">
        <f t="shared" si="6"/>
        <v>1243.474742</v>
      </c>
      <c r="D125" s="25">
        <f>IFERROR(__xludf.DUMMYFUNCTION("""COMPUTED_VALUE"""),37001.99861111111)</f>
        <v>37001.99861</v>
      </c>
      <c r="E125" s="22">
        <f>IFERROR(__xludf.DUMMYFUNCTION("""COMPUTED_VALUE"""),0.9013)</f>
        <v>0.9013</v>
      </c>
      <c r="F125" s="22">
        <f t="shared" si="8"/>
        <v>75.87021617</v>
      </c>
      <c r="I125" s="22">
        <f t="shared" si="3"/>
        <v>1.109508488</v>
      </c>
    </row>
    <row r="126" ht="15.75" customHeight="1">
      <c r="A126" s="25">
        <f>IFERROR(__xludf.DUMMYFUNCTION("""COMPUTED_VALUE"""),37008.666666666664)</f>
        <v>37008.66667</v>
      </c>
      <c r="B126" s="22">
        <f>IFERROR(__xludf.DUMMYFUNCTION("""COMPUTED_VALUE"""),1253.07)</f>
        <v>1253.07</v>
      </c>
      <c r="C126" s="22">
        <f t="shared" si="6"/>
        <v>1253.621101</v>
      </c>
      <c r="D126" s="25">
        <f>IFERROR(__xludf.DUMMYFUNCTION("""COMPUTED_VALUE"""),37008.99861111111)</f>
        <v>37008.99861</v>
      </c>
      <c r="E126" s="22">
        <f>IFERROR(__xludf.DUMMYFUNCTION("""COMPUTED_VALUE"""),0.8898)</f>
        <v>0.8898</v>
      </c>
      <c r="F126" s="22">
        <f t="shared" si="8"/>
        <v>75.51333956</v>
      </c>
      <c r="I126" s="22">
        <f t="shared" si="3"/>
        <v>1.123848056</v>
      </c>
    </row>
    <row r="127" ht="15.75" customHeight="1">
      <c r="A127" s="25">
        <f>IFERROR(__xludf.DUMMYFUNCTION("""COMPUTED_VALUE"""),37015.666666666664)</f>
        <v>37015.66667</v>
      </c>
      <c r="B127" s="22">
        <f>IFERROR(__xludf.DUMMYFUNCTION("""COMPUTED_VALUE"""),1266.59)</f>
        <v>1266.59</v>
      </c>
      <c r="C127" s="22">
        <f t="shared" si="6"/>
        <v>1267.145588</v>
      </c>
      <c r="D127" s="25">
        <f>IFERROR(__xludf.DUMMYFUNCTION("""COMPUTED_VALUE"""),37015.99861111111)</f>
        <v>37015.99861</v>
      </c>
      <c r="E127" s="22">
        <f>IFERROR(__xludf.DUMMYFUNCTION("""COMPUTED_VALUE"""),0.892)</f>
        <v>0.892</v>
      </c>
      <c r="F127" s="22">
        <f t="shared" si="8"/>
        <v>76.51672129</v>
      </c>
      <c r="I127" s="22">
        <f t="shared" si="3"/>
        <v>1.121076233</v>
      </c>
    </row>
    <row r="128" ht="15.75" customHeight="1">
      <c r="A128" s="25">
        <f>IFERROR(__xludf.DUMMYFUNCTION("""COMPUTED_VALUE"""),37022.666666666664)</f>
        <v>37022.66667</v>
      </c>
      <c r="B128" s="22">
        <f>IFERROR(__xludf.DUMMYFUNCTION("""COMPUTED_VALUE"""),1245.65)</f>
        <v>1245.65</v>
      </c>
      <c r="C128" s="22">
        <f t="shared" si="6"/>
        <v>1246.211582</v>
      </c>
      <c r="D128" s="25">
        <f>IFERROR(__xludf.DUMMYFUNCTION("""COMPUTED_VALUE"""),37022.99861111111)</f>
        <v>37022.99861</v>
      </c>
      <c r="E128" s="22">
        <f>IFERROR(__xludf.DUMMYFUNCTION("""COMPUTED_VALUE"""),0.8746)</f>
        <v>0.8746</v>
      </c>
      <c r="F128" s="22">
        <f t="shared" si="8"/>
        <v>73.78468688</v>
      </c>
      <c r="I128" s="22">
        <f t="shared" si="3"/>
        <v>1.143379831</v>
      </c>
    </row>
    <row r="129" ht="15.75" customHeight="1">
      <c r="A129" s="25">
        <f>IFERROR(__xludf.DUMMYFUNCTION("""COMPUTED_VALUE"""),37029.666666666664)</f>
        <v>37029.66667</v>
      </c>
      <c r="B129" s="22">
        <f>IFERROR(__xludf.DUMMYFUNCTION("""COMPUTED_VALUE"""),1291.96)</f>
        <v>1291.96</v>
      </c>
      <c r="C129" s="22">
        <f t="shared" si="6"/>
        <v>1292.512298</v>
      </c>
      <c r="D129" s="25">
        <f>IFERROR(__xludf.DUMMYFUNCTION("""COMPUTED_VALUE"""),37029.99861111111)</f>
        <v>37029.99861</v>
      </c>
      <c r="E129" s="22">
        <f>IFERROR(__xludf.DUMMYFUNCTION("""COMPUTED_VALUE"""),0.878)</f>
        <v>0.878</v>
      </c>
      <c r="F129" s="22">
        <f t="shared" si="8"/>
        <v>76.82351644</v>
      </c>
      <c r="I129" s="22">
        <f t="shared" si="3"/>
        <v>1.138952164</v>
      </c>
    </row>
    <row r="130" ht="15.75" customHeight="1">
      <c r="A130" s="25">
        <f>IFERROR(__xludf.DUMMYFUNCTION("""COMPUTED_VALUE"""),37036.666666666664)</f>
        <v>37036.66667</v>
      </c>
      <c r="B130" s="22">
        <f>IFERROR(__xludf.DUMMYFUNCTION("""COMPUTED_VALUE"""),1277.89)</f>
        <v>1277.89</v>
      </c>
      <c r="C130" s="22">
        <f t="shared" si="6"/>
        <v>1278.462831</v>
      </c>
      <c r="D130" s="25">
        <f>IFERROR(__xludf.DUMMYFUNCTION("""COMPUTED_VALUE"""),37036.99861111111)</f>
        <v>37036.99861</v>
      </c>
      <c r="E130" s="22">
        <f>IFERROR(__xludf.DUMMYFUNCTION("""COMPUTED_VALUE"""),0.8607)</f>
        <v>0.8607</v>
      </c>
      <c r="F130" s="22">
        <f t="shared" si="8"/>
        <v>74.49118645</v>
      </c>
      <c r="I130" s="22">
        <f t="shared" si="3"/>
        <v>1.16184501</v>
      </c>
    </row>
    <row r="131" ht="15.75" customHeight="1">
      <c r="A131" s="25">
        <f>IFERROR(__xludf.DUMMYFUNCTION("""COMPUTED_VALUE"""),37043.666666666664)</f>
        <v>37043.66667</v>
      </c>
      <c r="B131" s="22">
        <f>IFERROR(__xludf.DUMMYFUNCTION("""COMPUTED_VALUE"""),1260.67)</f>
        <v>1260.67</v>
      </c>
      <c r="C131" s="22">
        <f t="shared" si="6"/>
        <v>1261.236592</v>
      </c>
      <c r="D131" s="25">
        <f>IFERROR(__xludf.DUMMYFUNCTION("""COMPUTED_VALUE"""),37043.99861111111)</f>
        <v>37043.99861</v>
      </c>
      <c r="E131" s="22">
        <f>IFERROR(__xludf.DUMMYFUNCTION("""COMPUTED_VALUE"""),0.8475)</f>
        <v>0.8475</v>
      </c>
      <c r="F131" s="22">
        <f t="shared" si="8"/>
        <v>72.36044879</v>
      </c>
      <c r="I131" s="22">
        <f t="shared" si="3"/>
        <v>1.179941003</v>
      </c>
    </row>
    <row r="132" ht="15.75" customHeight="1">
      <c r="A132" s="25">
        <f>IFERROR(__xludf.DUMMYFUNCTION("""COMPUTED_VALUE"""),37050.666666666664)</f>
        <v>37050.66667</v>
      </c>
      <c r="B132" s="22">
        <f>IFERROR(__xludf.DUMMYFUNCTION("""COMPUTED_VALUE"""),1264.97)</f>
        <v>1264.97</v>
      </c>
      <c r="C132" s="22">
        <f t="shared" si="6"/>
        <v>1265.528957</v>
      </c>
      <c r="D132" s="25">
        <f>IFERROR(__xludf.DUMMYFUNCTION("""COMPUTED_VALUE"""),37050.99861111111)</f>
        <v>37050.99861</v>
      </c>
      <c r="E132" s="22">
        <f>IFERROR(__xludf.DUMMYFUNCTION("""COMPUTED_VALUE"""),0.851)</f>
        <v>0.851</v>
      </c>
      <c r="F132" s="22">
        <f t="shared" si="8"/>
        <v>72.90656375</v>
      </c>
      <c r="I132" s="22">
        <f t="shared" si="3"/>
        <v>1.175088132</v>
      </c>
    </row>
    <row r="133" ht="15.75" customHeight="1">
      <c r="A133" s="25">
        <f>IFERROR(__xludf.DUMMYFUNCTION("""COMPUTED_VALUE"""),37057.666666666664)</f>
        <v>37057.66667</v>
      </c>
      <c r="B133" s="22">
        <f>IFERROR(__xludf.DUMMYFUNCTION("""COMPUTED_VALUE"""),1214.36)</f>
        <v>1214.36</v>
      </c>
      <c r="C133" s="22">
        <f t="shared" si="6"/>
        <v>1214.920864</v>
      </c>
      <c r="D133" s="25">
        <f>IFERROR(__xludf.DUMMYFUNCTION("""COMPUTED_VALUE"""),37057.99861111111)</f>
        <v>37057.99861</v>
      </c>
      <c r="E133" s="22">
        <f>IFERROR(__xludf.DUMMYFUNCTION("""COMPUTED_VALUE"""),0.8618)</f>
        <v>0.8618</v>
      </c>
      <c r="F133" s="22">
        <f t="shared" si="8"/>
        <v>70.87930695</v>
      </c>
      <c r="I133" s="22">
        <f t="shared" si="3"/>
        <v>1.160362033</v>
      </c>
    </row>
    <row r="134" ht="15.75" customHeight="1">
      <c r="A134" s="25">
        <f>IFERROR(__xludf.DUMMYFUNCTION("""COMPUTED_VALUE"""),37064.666666666664)</f>
        <v>37064.66667</v>
      </c>
      <c r="B134" s="22">
        <f>IFERROR(__xludf.DUMMYFUNCTION("""COMPUTED_VALUE"""),1225.35)</f>
        <v>1225.35</v>
      </c>
      <c r="C134" s="22">
        <f t="shared" si="6"/>
        <v>1225.888424</v>
      </c>
      <c r="D134" s="25">
        <f>IFERROR(__xludf.DUMMYFUNCTION("""COMPUTED_VALUE"""),37064.99861111111)</f>
        <v>37064.99861</v>
      </c>
      <c r="E134" s="22">
        <f>IFERROR(__xludf.DUMMYFUNCTION("""COMPUTED_VALUE"""),0.8569)</f>
        <v>0.8569</v>
      </c>
      <c r="F134" s="22">
        <f t="shared" si="8"/>
        <v>71.11252008</v>
      </c>
      <c r="I134" s="22">
        <f t="shared" si="3"/>
        <v>1.166997316</v>
      </c>
    </row>
    <row r="135" ht="15.75" customHeight="1">
      <c r="A135" s="25">
        <f>IFERROR(__xludf.DUMMYFUNCTION("""COMPUTED_VALUE"""),37071.666666666664)</f>
        <v>37071.66667</v>
      </c>
      <c r="B135" s="22">
        <f>IFERROR(__xludf.DUMMYFUNCTION("""COMPUTED_VALUE"""),1226.99)</f>
        <v>1226.99</v>
      </c>
      <c r="C135" s="22">
        <f t="shared" si="6"/>
        <v>1227.533297</v>
      </c>
      <c r="D135" s="25">
        <f>IFERROR(__xludf.DUMMYFUNCTION("""COMPUTED_VALUE"""),37071.99861111111)</f>
        <v>37071.99861</v>
      </c>
      <c r="E135" s="22">
        <f>IFERROR(__xludf.DUMMYFUNCTION("""COMPUTED_VALUE"""),0.849)</f>
        <v>0.849</v>
      </c>
      <c r="F135" s="22">
        <f t="shared" si="8"/>
        <v>70.55145162</v>
      </c>
      <c r="I135" s="22">
        <f t="shared" si="3"/>
        <v>1.177856302</v>
      </c>
    </row>
    <row r="136" ht="15.75" customHeight="1">
      <c r="A136" s="25">
        <f>IFERROR(__xludf.DUMMYFUNCTION("""COMPUTED_VALUE"""),37078.666666666664)</f>
        <v>37078.66667</v>
      </c>
      <c r="B136" s="22">
        <f>IFERROR(__xludf.DUMMYFUNCTION("""COMPUTED_VALUE"""),1190.59)</f>
        <v>1190.59</v>
      </c>
      <c r="C136" s="22">
        <f t="shared" si="6"/>
        <v>1191.134024</v>
      </c>
      <c r="D136" s="25">
        <f>IFERROR(__xludf.DUMMYFUNCTION("""COMPUTED_VALUE"""),37078.99861111111)</f>
        <v>37078.99861</v>
      </c>
      <c r="E136" s="22">
        <f>IFERROR(__xludf.DUMMYFUNCTION("""COMPUTED_VALUE"""),0.8473)</f>
        <v>0.8473</v>
      </c>
      <c r="F136" s="22">
        <f t="shared" si="8"/>
        <v>68.32235366</v>
      </c>
      <c r="I136" s="22">
        <f t="shared" si="3"/>
        <v>1.180219521</v>
      </c>
    </row>
    <row r="137" ht="15.75" customHeight="1">
      <c r="A137" s="25">
        <f>IFERROR(__xludf.DUMMYFUNCTION("""COMPUTED_VALUE"""),37085.666666666664)</f>
        <v>37085.66667</v>
      </c>
      <c r="B137" s="22">
        <f>IFERROR(__xludf.DUMMYFUNCTION("""COMPUTED_VALUE"""),1215.68)</f>
        <v>1215.68</v>
      </c>
      <c r="C137" s="22">
        <f t="shared" si="6"/>
        <v>1216.207885</v>
      </c>
      <c r="D137" s="25">
        <f>IFERROR(__xludf.DUMMYFUNCTION("""COMPUTED_VALUE"""),37085.99861111111)</f>
        <v>37085.99861</v>
      </c>
      <c r="E137" s="22">
        <f>IFERROR(__xludf.DUMMYFUNCTION("""COMPUTED_VALUE"""),0.8541)</f>
        <v>0.8541</v>
      </c>
      <c r="F137" s="22">
        <f t="shared" si="8"/>
        <v>70.32043022</v>
      </c>
      <c r="I137" s="22">
        <f t="shared" si="3"/>
        <v>1.170823089</v>
      </c>
    </row>
    <row r="138" ht="15.75" customHeight="1">
      <c r="A138" s="25">
        <f>IFERROR(__xludf.DUMMYFUNCTION("""COMPUTED_VALUE"""),37092.666666666664)</f>
        <v>37092.66667</v>
      </c>
      <c r="B138" s="22">
        <f>IFERROR(__xludf.DUMMYFUNCTION("""COMPUTED_VALUE"""),1210.85)</f>
        <v>1210.85</v>
      </c>
      <c r="C138" s="22">
        <f t="shared" si="6"/>
        <v>1211.38901</v>
      </c>
      <c r="D138" s="25">
        <f>IFERROR(__xludf.DUMMYFUNCTION("""COMPUTED_VALUE"""),37092.99861111111)</f>
        <v>37092.99861</v>
      </c>
      <c r="E138" s="22">
        <f>IFERROR(__xludf.DUMMYFUNCTION("""COMPUTED_VALUE"""),0.8712)</f>
        <v>0.8712</v>
      </c>
      <c r="F138" s="22">
        <f t="shared" si="8"/>
        <v>71.44411787</v>
      </c>
      <c r="I138" s="22">
        <f t="shared" si="3"/>
        <v>1.147842057</v>
      </c>
    </row>
    <row r="139" ht="15.75" customHeight="1">
      <c r="A139" s="25">
        <f>IFERROR(__xludf.DUMMYFUNCTION("""COMPUTED_VALUE"""),37099.666666666664)</f>
        <v>37099.66667</v>
      </c>
      <c r="B139" s="22">
        <f>IFERROR(__xludf.DUMMYFUNCTION("""COMPUTED_VALUE"""),1205.82)</f>
        <v>1205.82</v>
      </c>
      <c r="C139" s="22">
        <f t="shared" si="6"/>
        <v>1206.356868</v>
      </c>
      <c r="D139" s="25">
        <f>IFERROR(__xludf.DUMMYFUNCTION("""COMPUTED_VALUE"""),37099.99861111111)</f>
        <v>37099.99861</v>
      </c>
      <c r="E139" s="22">
        <f>IFERROR(__xludf.DUMMYFUNCTION("""COMPUTED_VALUE"""),0.877)</f>
        <v>0.877</v>
      </c>
      <c r="F139" s="22">
        <f t="shared" si="8"/>
        <v>71.6209994</v>
      </c>
      <c r="I139" s="22">
        <f t="shared" si="3"/>
        <v>1.140250855</v>
      </c>
    </row>
    <row r="140" ht="15.75" customHeight="1">
      <c r="A140" s="25">
        <f>IFERROR(__xludf.DUMMYFUNCTION("""COMPUTED_VALUE"""),37106.666666666664)</f>
        <v>37106.66667</v>
      </c>
      <c r="B140" s="22">
        <f>IFERROR(__xludf.DUMMYFUNCTION("""COMPUTED_VALUE"""),1214.35)</f>
        <v>1214.35</v>
      </c>
      <c r="C140" s="22">
        <f t="shared" si="6"/>
        <v>1214.884638</v>
      </c>
      <c r="D140" s="25">
        <f>IFERROR(__xludf.DUMMYFUNCTION("""COMPUTED_VALUE"""),37106.99861111111)</f>
        <v>37106.99861</v>
      </c>
      <c r="E140" s="22">
        <f>IFERROR(__xludf.DUMMYFUNCTION("""COMPUTED_VALUE"""),0.8838)</f>
        <v>0.8838</v>
      </c>
      <c r="F140" s="22">
        <f t="shared" si="8"/>
        <v>72.686544</v>
      </c>
      <c r="I140" s="22">
        <f t="shared" si="3"/>
        <v>1.13147771</v>
      </c>
    </row>
    <row r="141" ht="15.75" customHeight="1">
      <c r="A141" s="25">
        <f>IFERROR(__xludf.DUMMYFUNCTION("""COMPUTED_VALUE"""),37113.666666666664)</f>
        <v>37113.66667</v>
      </c>
      <c r="B141" s="22">
        <f>IFERROR(__xludf.DUMMYFUNCTION("""COMPUTED_VALUE"""),1190.16)</f>
        <v>1190.16</v>
      </c>
      <c r="C141" s="22">
        <f t="shared" si="6"/>
        <v>1190.69842</v>
      </c>
      <c r="D141" s="25">
        <f>IFERROR(__xludf.DUMMYFUNCTION("""COMPUTED_VALUE"""),37113.99861111111)</f>
        <v>37113.99861</v>
      </c>
      <c r="E141" s="22">
        <f>IFERROR(__xludf.DUMMYFUNCTION("""COMPUTED_VALUE"""),0.8927)</f>
        <v>0.8927</v>
      </c>
      <c r="F141" s="22">
        <f t="shared" si="8"/>
        <v>71.95687505</v>
      </c>
      <c r="I141" s="22">
        <f t="shared" si="3"/>
        <v>1.120197155</v>
      </c>
    </row>
    <row r="142" ht="15.75" customHeight="1">
      <c r="A142" s="25">
        <f>IFERROR(__xludf.DUMMYFUNCTION("""COMPUTED_VALUE"""),37120.666666666664)</f>
        <v>37120.66667</v>
      </c>
      <c r="B142" s="22">
        <f>IFERROR(__xludf.DUMMYFUNCTION("""COMPUTED_VALUE"""),1161.97)</f>
        <v>1161.97</v>
      </c>
      <c r="C142" s="22">
        <f t="shared" si="6"/>
        <v>1162.497694</v>
      </c>
      <c r="D142" s="25">
        <f>IFERROR(__xludf.DUMMYFUNCTION("""COMPUTED_VALUE"""),37120.99861111111)</f>
        <v>37120.99861</v>
      </c>
      <c r="E142" s="22">
        <f>IFERROR(__xludf.DUMMYFUNCTION("""COMPUTED_VALUE"""),0.9173)</f>
        <v>0.9173</v>
      </c>
      <c r="F142" s="22">
        <f t="shared" si="8"/>
        <v>72.1885762</v>
      </c>
      <c r="I142" s="22">
        <f t="shared" si="3"/>
        <v>1.090155892</v>
      </c>
    </row>
    <row r="143" ht="15.75" customHeight="1">
      <c r="A143" s="25">
        <f>IFERROR(__xludf.DUMMYFUNCTION("""COMPUTED_VALUE"""),37127.666666666664)</f>
        <v>37127.66667</v>
      </c>
      <c r="B143" s="22">
        <f>IFERROR(__xludf.DUMMYFUNCTION("""COMPUTED_VALUE"""),1184.93)</f>
        <v>1184.93</v>
      </c>
      <c r="C143" s="22">
        <f t="shared" si="6"/>
        <v>1185.445196</v>
      </c>
      <c r="D143" s="25">
        <f>IFERROR(__xludf.DUMMYFUNCTION("""COMPUTED_VALUE"""),37127.99861111111)</f>
        <v>37127.99861</v>
      </c>
      <c r="E143" s="22">
        <f>IFERROR(__xludf.DUMMYFUNCTION("""COMPUTED_VALUE"""),0.9133)</f>
        <v>0.9133</v>
      </c>
      <c r="F143" s="22">
        <f t="shared" si="8"/>
        <v>73.29256502</v>
      </c>
      <c r="I143" s="22">
        <f t="shared" si="3"/>
        <v>1.094930472</v>
      </c>
    </row>
    <row r="144" ht="15.75" customHeight="1">
      <c r="A144" s="25">
        <f>IFERROR(__xludf.DUMMYFUNCTION("""COMPUTED_VALUE"""),37134.666666666664)</f>
        <v>37134.66667</v>
      </c>
      <c r="B144" s="22">
        <f>IFERROR(__xludf.DUMMYFUNCTION("""COMPUTED_VALUE"""),1133.58)</f>
        <v>1133.58</v>
      </c>
      <c r="C144" s="22">
        <f t="shared" si="6"/>
        <v>1134.105376</v>
      </c>
      <c r="D144" s="25">
        <f>IFERROR(__xludf.DUMMYFUNCTION("""COMPUTED_VALUE"""),37134.99861111111)</f>
        <v>37134.99861</v>
      </c>
      <c r="E144" s="22">
        <f>IFERROR(__xludf.DUMMYFUNCTION("""COMPUTED_VALUE"""),0.9122)</f>
        <v>0.9122</v>
      </c>
      <c r="F144" s="22">
        <f t="shared" si="8"/>
        <v>70.0339238</v>
      </c>
      <c r="I144" s="22">
        <f t="shared" si="3"/>
        <v>1.096250822</v>
      </c>
    </row>
    <row r="145" ht="15.75" customHeight="1">
      <c r="A145" s="25">
        <f>IFERROR(__xludf.DUMMYFUNCTION("""COMPUTED_VALUE"""),37141.666666666664)</f>
        <v>37141.66667</v>
      </c>
      <c r="B145" s="22">
        <f>IFERROR(__xludf.DUMMYFUNCTION("""COMPUTED_VALUE"""),1085.78)</f>
        <v>1085.78</v>
      </c>
      <c r="C145" s="22">
        <f t="shared" si="6"/>
        <v>1086.282608</v>
      </c>
      <c r="D145" s="25">
        <f>IFERROR(__xludf.DUMMYFUNCTION("""COMPUTED_VALUE"""),37141.99861111111)</f>
        <v>37141.99861</v>
      </c>
      <c r="E145" s="22">
        <f>IFERROR(__xludf.DUMMYFUNCTION("""COMPUTED_VALUE"""),0.9039)</f>
        <v>0.9039</v>
      </c>
      <c r="F145" s="22">
        <f t="shared" si="8"/>
        <v>66.47038513</v>
      </c>
      <c r="I145" s="22">
        <f t="shared" si="3"/>
        <v>1.10631707</v>
      </c>
    </row>
    <row r="146" ht="15.75" customHeight="1">
      <c r="A146" s="25">
        <f>IFERROR(__xludf.DUMMYFUNCTION("""COMPUTED_VALUE"""),37145.666666666664)</f>
        <v>37145.66667</v>
      </c>
      <c r="B146" s="22">
        <f>IFERROR(__xludf.DUMMYFUNCTION("""COMPUTED_VALUE"""),1092.54)</f>
        <v>1092.54</v>
      </c>
      <c r="C146" s="22">
        <f t="shared" si="6"/>
        <v>1093.021414</v>
      </c>
      <c r="D146" s="25">
        <f>IFERROR(__xludf.DUMMYFUNCTION("""COMPUTED_VALUE"""),37148.99861111111)</f>
        <v>37148.99861</v>
      </c>
      <c r="E146" s="22">
        <f>IFERROR(__xludf.DUMMYFUNCTION("""COMPUTED_VALUE"""),0.92)</f>
        <v>0.92</v>
      </c>
      <c r="F146" s="22">
        <f t="shared" si="8"/>
        <v>68.07403294</v>
      </c>
      <c r="I146" s="22">
        <f t="shared" si="3"/>
        <v>1.086956522</v>
      </c>
    </row>
    <row r="147" ht="15.75" customHeight="1">
      <c r="A147" s="25">
        <f>IFERROR(__xludf.DUMMYFUNCTION("""COMPUTED_VALUE"""),37155.666666666664)</f>
        <v>37155.66667</v>
      </c>
      <c r="B147" s="22">
        <f>IFERROR(__xludf.DUMMYFUNCTION("""COMPUTED_VALUE"""),965.8)</f>
        <v>965.8</v>
      </c>
      <c r="C147" s="22">
        <f t="shared" si="6"/>
        <v>966.2844116</v>
      </c>
      <c r="D147" s="25">
        <f>IFERROR(__xludf.DUMMYFUNCTION("""COMPUTED_VALUE"""),37155.99861111111)</f>
        <v>37155.99861</v>
      </c>
      <c r="E147" s="22">
        <f>IFERROR(__xludf.DUMMYFUNCTION("""COMPUTED_VALUE"""),0.9139)</f>
        <v>0.9139</v>
      </c>
      <c r="F147" s="22">
        <f t="shared" si="8"/>
        <v>59.78175125</v>
      </c>
      <c r="I147" s="22">
        <f t="shared" si="3"/>
        <v>1.094211621</v>
      </c>
    </row>
    <row r="148" ht="15.75" customHeight="1">
      <c r="A148" s="25">
        <f>IFERROR(__xludf.DUMMYFUNCTION("""COMPUTED_VALUE"""),37162.666666666664)</f>
        <v>37162.66667</v>
      </c>
      <c r="B148" s="22">
        <f>IFERROR(__xludf.DUMMYFUNCTION("""COMPUTED_VALUE"""),1040.94)</f>
        <v>1040.94</v>
      </c>
      <c r="C148" s="22">
        <f t="shared" si="6"/>
        <v>1041.368217</v>
      </c>
      <c r="D148" s="25">
        <f>IFERROR(__xludf.DUMMYFUNCTION("""COMPUTED_VALUE"""),37162.99861111111)</f>
        <v>37162.99861</v>
      </c>
      <c r="E148" s="22">
        <f>IFERROR(__xludf.DUMMYFUNCTION("""COMPUTED_VALUE"""),0.9109)</f>
        <v>0.9109</v>
      </c>
      <c r="F148" s="22">
        <f t="shared" si="8"/>
        <v>64.21551995</v>
      </c>
      <c r="I148" s="22">
        <f t="shared" si="3"/>
        <v>1.097815347</v>
      </c>
    </row>
    <row r="149" ht="15.75" customHeight="1">
      <c r="A149" s="25">
        <f>IFERROR(__xludf.DUMMYFUNCTION("""COMPUTED_VALUE"""),37169.666666666664)</f>
        <v>37169.66667</v>
      </c>
      <c r="B149" s="22">
        <f>IFERROR(__xludf.DUMMYFUNCTION("""COMPUTED_VALUE"""),1071.38)</f>
        <v>1071.38</v>
      </c>
      <c r="C149" s="22">
        <f t="shared" si="6"/>
        <v>1071.841533</v>
      </c>
      <c r="D149" s="25">
        <f>IFERROR(__xludf.DUMMYFUNCTION("""COMPUTED_VALUE"""),37169.99861111111)</f>
        <v>37169.99861</v>
      </c>
      <c r="E149" s="22">
        <f>IFERROR(__xludf.DUMMYFUNCTION("""COMPUTED_VALUE"""),0.9178)</f>
        <v>0.9178</v>
      </c>
      <c r="F149" s="22">
        <f t="shared" si="8"/>
        <v>66.59530579</v>
      </c>
      <c r="I149" s="22">
        <f t="shared" si="3"/>
        <v>1.089561996</v>
      </c>
    </row>
    <row r="150" ht="15.75" customHeight="1">
      <c r="A150" s="25">
        <f>IFERROR(__xludf.DUMMYFUNCTION("""COMPUTED_VALUE"""),37176.666666666664)</f>
        <v>37176.66667</v>
      </c>
      <c r="B150" s="22">
        <f>IFERROR(__xludf.DUMMYFUNCTION("""COMPUTED_VALUE"""),1091.65)</f>
        <v>1091.65</v>
      </c>
      <c r="C150" s="22">
        <f t="shared" si="6"/>
        <v>1092.12503</v>
      </c>
      <c r="D150" s="25">
        <f>IFERROR(__xludf.DUMMYFUNCTION("""COMPUTED_VALUE"""),37176.99861111111)</f>
        <v>37176.99861</v>
      </c>
      <c r="E150" s="22">
        <f>IFERROR(__xludf.DUMMYFUNCTION("""COMPUTED_VALUE"""),0.9107)</f>
        <v>0.9107</v>
      </c>
      <c r="F150" s="22">
        <f t="shared" si="8"/>
        <v>67.33063022</v>
      </c>
      <c r="I150" s="22">
        <f t="shared" si="3"/>
        <v>1.09805644</v>
      </c>
    </row>
    <row r="151" ht="15.75" customHeight="1">
      <c r="A151" s="25">
        <f>IFERROR(__xludf.DUMMYFUNCTION("""COMPUTED_VALUE"""),37183.666666666664)</f>
        <v>37183.66667</v>
      </c>
      <c r="B151" s="22">
        <f>IFERROR(__xludf.DUMMYFUNCTION("""COMPUTED_VALUE"""),1073.48)</f>
        <v>1073.48</v>
      </c>
      <c r="C151" s="22">
        <f t="shared" si="6"/>
        <v>1073.964017</v>
      </c>
      <c r="D151" s="25">
        <f>IFERROR(__xludf.DUMMYFUNCTION("""COMPUTED_VALUE"""),37183.99861111111)</f>
        <v>37183.99861</v>
      </c>
      <c r="E151" s="22">
        <f>IFERROR(__xludf.DUMMYFUNCTION("""COMPUTED_VALUE"""),0.8983)</f>
        <v>0.8983</v>
      </c>
      <c r="F151" s="22">
        <f t="shared" si="8"/>
        <v>65.30946299</v>
      </c>
      <c r="I151" s="22">
        <f t="shared" si="3"/>
        <v>1.113213848</v>
      </c>
    </row>
    <row r="152" ht="15.75" customHeight="1">
      <c r="A152" s="25">
        <f>IFERROR(__xludf.DUMMYFUNCTION("""COMPUTED_VALUE"""),37190.666666666664)</f>
        <v>37190.66667</v>
      </c>
      <c r="B152" s="22">
        <f>IFERROR(__xludf.DUMMYFUNCTION("""COMPUTED_VALUE"""),1104.61)</f>
        <v>1104.61</v>
      </c>
      <c r="C152" s="22">
        <f t="shared" si="6"/>
        <v>1105.085961</v>
      </c>
      <c r="D152" s="25">
        <f>IFERROR(__xludf.DUMMYFUNCTION("""COMPUTED_VALUE"""),37190.99861111111)</f>
        <v>37190.99861</v>
      </c>
      <c r="E152" s="22">
        <f>IFERROR(__xludf.DUMMYFUNCTION("""COMPUTED_VALUE"""),0.893)</f>
        <v>0.893</v>
      </c>
      <c r="F152" s="22">
        <f t="shared" si="8"/>
        <v>66.8055437</v>
      </c>
      <c r="I152" s="22">
        <f t="shared" si="3"/>
        <v>1.119820829</v>
      </c>
    </row>
    <row r="153" ht="15.75" customHeight="1">
      <c r="A153" s="25">
        <f>IFERROR(__xludf.DUMMYFUNCTION("""COMPUTED_VALUE"""),37197.666666666664)</f>
        <v>37197.66667</v>
      </c>
      <c r="B153" s="22">
        <f>IFERROR(__xludf.DUMMYFUNCTION("""COMPUTED_VALUE"""),1087.2)</f>
        <v>1087.2</v>
      </c>
      <c r="C153" s="22">
        <f t="shared" si="6"/>
        <v>1087.689763</v>
      </c>
      <c r="D153" s="25">
        <f>IFERROR(__xludf.DUMMYFUNCTION("""COMPUTED_VALUE"""),37197.99861111111)</f>
        <v>37197.99861</v>
      </c>
      <c r="E153" s="22">
        <f>IFERROR(__xludf.DUMMYFUNCTION("""COMPUTED_VALUE"""),0.9035)</f>
        <v>0.9035</v>
      </c>
      <c r="F153" s="22">
        <f t="shared" si="8"/>
        <v>66.5270369</v>
      </c>
      <c r="I153" s="22">
        <f t="shared" si="3"/>
        <v>1.106806862</v>
      </c>
    </row>
    <row r="154" ht="15.75" customHeight="1">
      <c r="A154" s="25">
        <f>IFERROR(__xludf.DUMMYFUNCTION("""COMPUTED_VALUE"""),37204.666666666664)</f>
        <v>37204.66667</v>
      </c>
      <c r="B154" s="22">
        <f>IFERROR(__xludf.DUMMYFUNCTION("""COMPUTED_VALUE"""),1120.31)</f>
        <v>1120.31</v>
      </c>
      <c r="C154" s="22">
        <f t="shared" si="6"/>
        <v>1120.792044</v>
      </c>
      <c r="D154" s="25">
        <f>IFERROR(__xludf.DUMMYFUNCTION("""COMPUTED_VALUE"""),37204.99861111111)</f>
        <v>37204.99861</v>
      </c>
      <c r="E154" s="22">
        <f>IFERROR(__xludf.DUMMYFUNCTION("""COMPUTED_VALUE"""),0.894)</f>
        <v>0.894</v>
      </c>
      <c r="F154" s="22">
        <f t="shared" si="8"/>
        <v>67.83089394</v>
      </c>
      <c r="I154" s="22">
        <f t="shared" si="3"/>
        <v>1.118568233</v>
      </c>
    </row>
    <row r="155" ht="15.75" customHeight="1">
      <c r="A155" s="25">
        <f>IFERROR(__xludf.DUMMYFUNCTION("""COMPUTED_VALUE"""),37211.666666666664)</f>
        <v>37211.66667</v>
      </c>
      <c r="B155" s="22">
        <f>IFERROR(__xludf.DUMMYFUNCTION("""COMPUTED_VALUE"""),1138.65)</f>
        <v>1138.65</v>
      </c>
      <c r="C155" s="22">
        <f t="shared" si="6"/>
        <v>1139.146724</v>
      </c>
      <c r="D155" s="25">
        <f>IFERROR(__xludf.DUMMYFUNCTION("""COMPUTED_VALUE"""),37211.99861111111)</f>
        <v>37211.99861</v>
      </c>
      <c r="E155" s="22">
        <f>IFERROR(__xludf.DUMMYFUNCTION("""COMPUTED_VALUE"""),0.8838)</f>
        <v>0.8838</v>
      </c>
      <c r="F155" s="22">
        <f t="shared" si="8"/>
        <v>68.15514488</v>
      </c>
      <c r="I155" s="22">
        <f t="shared" si="3"/>
        <v>1.13147771</v>
      </c>
    </row>
    <row r="156" ht="15.75" customHeight="1">
      <c r="A156" s="25">
        <f>IFERROR(__xludf.DUMMYFUNCTION("""COMPUTED_VALUE"""),37218.666666666664)</f>
        <v>37218.66667</v>
      </c>
      <c r="B156" s="22">
        <f>IFERROR(__xludf.DUMMYFUNCTION("""COMPUTED_VALUE"""),1150.34)</f>
        <v>1150.34</v>
      </c>
      <c r="C156" s="22">
        <f t="shared" si="6"/>
        <v>1150.844856</v>
      </c>
      <c r="D156" s="25">
        <f>IFERROR(__xludf.DUMMYFUNCTION("""COMPUTED_VALUE"""),37218.99861111111)</f>
        <v>37218.99861</v>
      </c>
      <c r="E156" s="22">
        <f>IFERROR(__xludf.DUMMYFUNCTION("""COMPUTED_VALUE"""),0.878)</f>
        <v>0.878</v>
      </c>
      <c r="F156" s="22">
        <f t="shared" si="8"/>
        <v>68.40317796</v>
      </c>
      <c r="I156" s="22">
        <f t="shared" si="3"/>
        <v>1.138952164</v>
      </c>
    </row>
    <row r="157" ht="15.75" customHeight="1">
      <c r="A157" s="25">
        <f>IFERROR(__xludf.DUMMYFUNCTION("""COMPUTED_VALUE"""),37225.666666666664)</f>
        <v>37225.66667</v>
      </c>
      <c r="B157" s="22">
        <f>IFERROR(__xludf.DUMMYFUNCTION("""COMPUTED_VALUE"""),1139.45)</f>
        <v>1139.45</v>
      </c>
      <c r="C157" s="22">
        <f t="shared" si="6"/>
        <v>1139.960039</v>
      </c>
      <c r="D157" s="25">
        <f>IFERROR(__xludf.DUMMYFUNCTION("""COMPUTED_VALUE"""),37225.99861111111)</f>
        <v>37225.99861</v>
      </c>
      <c r="E157" s="22">
        <f>IFERROR(__xludf.DUMMYFUNCTION("""COMPUTED_VALUE"""),0.8963)</f>
        <v>0.8963</v>
      </c>
      <c r="F157" s="22">
        <f t="shared" si="8"/>
        <v>69.16844406</v>
      </c>
      <c r="I157" s="22">
        <f t="shared" si="3"/>
        <v>1.115697869</v>
      </c>
    </row>
    <row r="158" ht="15.75" customHeight="1">
      <c r="A158" s="25">
        <f>IFERROR(__xludf.DUMMYFUNCTION("""COMPUTED_VALUE"""),37232.666666666664)</f>
        <v>37232.66667</v>
      </c>
      <c r="B158" s="22">
        <f>IFERROR(__xludf.DUMMYFUNCTION("""COMPUTED_VALUE"""),1158.31)</f>
        <v>1158.31</v>
      </c>
      <c r="C158" s="22">
        <f t="shared" si="6"/>
        <v>1158.815211</v>
      </c>
      <c r="D158" s="25">
        <f>IFERROR(__xludf.DUMMYFUNCTION("""COMPUTED_VALUE"""),37232.99861111111)</f>
        <v>37232.99861</v>
      </c>
      <c r="E158" s="22">
        <f>IFERROR(__xludf.DUMMYFUNCTION("""COMPUTED_VALUE"""),0.8899)</f>
        <v>0.8899</v>
      </c>
      <c r="F158" s="22">
        <f t="shared" si="8"/>
        <v>69.81044017</v>
      </c>
      <c r="I158" s="22">
        <f t="shared" si="3"/>
        <v>1.123721766</v>
      </c>
    </row>
    <row r="159" ht="15.75" customHeight="1">
      <c r="A159" s="25">
        <f>IFERROR(__xludf.DUMMYFUNCTION("""COMPUTED_VALUE"""),37239.666666666664)</f>
        <v>37239.66667</v>
      </c>
      <c r="B159" s="22">
        <f>IFERROR(__xludf.DUMMYFUNCTION("""COMPUTED_VALUE"""),1123.07)</f>
        <v>1123.07</v>
      </c>
      <c r="C159" s="22">
        <f t="shared" si="6"/>
        <v>1123.583573</v>
      </c>
      <c r="D159" s="25">
        <f>IFERROR(__xludf.DUMMYFUNCTION("""COMPUTED_VALUE"""),37239.99861111111)</f>
        <v>37239.99861</v>
      </c>
      <c r="E159" s="22">
        <f>IFERROR(__xludf.DUMMYFUNCTION("""COMPUTED_VALUE"""),0.9021)</f>
        <v>0.9021</v>
      </c>
      <c r="F159" s="22">
        <f t="shared" si="8"/>
        <v>68.61594458</v>
      </c>
      <c r="I159" s="22">
        <f t="shared" si="3"/>
        <v>1.108524554</v>
      </c>
    </row>
    <row r="160" ht="15.75" customHeight="1">
      <c r="A160" s="25">
        <f>IFERROR(__xludf.DUMMYFUNCTION("""COMPUTED_VALUE"""),37246.666666666664)</f>
        <v>37246.66667</v>
      </c>
      <c r="B160" s="22">
        <f>IFERROR(__xludf.DUMMYFUNCTION("""COMPUTED_VALUE"""),1144.89)</f>
        <v>1144.89</v>
      </c>
      <c r="C160" s="22">
        <f t="shared" si="6"/>
        <v>1145.387948</v>
      </c>
      <c r="D160" s="25">
        <f>IFERROR(__xludf.DUMMYFUNCTION("""COMPUTED_VALUE"""),37246.99861111111)</f>
        <v>37246.99861</v>
      </c>
      <c r="E160" s="22">
        <f>IFERROR(__xludf.DUMMYFUNCTION("""COMPUTED_VALUE"""),0.8885)</f>
        <v>0.8885</v>
      </c>
      <c r="F160" s="22">
        <f t="shared" si="8"/>
        <v>68.89298839</v>
      </c>
      <c r="I160" s="22">
        <f t="shared" si="3"/>
        <v>1.125492403</v>
      </c>
    </row>
    <row r="161" ht="15.75" customHeight="1">
      <c r="A161" s="25">
        <f>IFERROR(__xludf.DUMMYFUNCTION("""COMPUTED_VALUE"""),37253.666666666664)</f>
        <v>37253.66667</v>
      </c>
      <c r="B161" s="22">
        <f>IFERROR(__xludf.DUMMYFUNCTION("""COMPUTED_VALUE"""),1161.02)</f>
        <v>1161.02</v>
      </c>
      <c r="C161" s="22">
        <f t="shared" si="6"/>
        <v>1161.527623</v>
      </c>
      <c r="D161" s="25">
        <f>IFERROR(__xludf.DUMMYFUNCTION("""COMPUTED_VALUE"""),37253.99861111111)</f>
        <v>37253.99861</v>
      </c>
      <c r="E161" s="22">
        <f>IFERROR(__xludf.DUMMYFUNCTION("""COMPUTED_VALUE"""),0.8848)</f>
        <v>0.8848</v>
      </c>
      <c r="F161" s="22">
        <f t="shared" si="8"/>
        <v>69.57282508</v>
      </c>
      <c r="I161" s="22">
        <f t="shared" si="3"/>
        <v>1.130198915</v>
      </c>
    </row>
    <row r="162" ht="15.75" customHeight="1">
      <c r="A162" s="25">
        <f>IFERROR(__xludf.DUMMYFUNCTION("""COMPUTED_VALUE"""),37260.666666666664)</f>
        <v>37260.66667</v>
      </c>
      <c r="B162" s="22">
        <f>IFERROR(__xludf.DUMMYFUNCTION("""COMPUTED_VALUE"""),1172.51)</f>
        <v>1172.51</v>
      </c>
      <c r="C162" s="22">
        <f t="shared" si="6"/>
        <v>1173.024774</v>
      </c>
      <c r="D162" s="25">
        <f>IFERROR(__xludf.DUMMYFUNCTION("""COMPUTED_VALUE"""),37260.99861111111)</f>
        <v>37260.99861</v>
      </c>
      <c r="E162" s="22">
        <f>IFERROR(__xludf.DUMMYFUNCTION("""COMPUTED_VALUE"""),0.8942)</f>
        <v>0.8942</v>
      </c>
      <c r="F162" s="22">
        <f t="shared" si="8"/>
        <v>71.00792674</v>
      </c>
      <c r="G162" s="22">
        <f t="shared" ref="G162:G1345" si="31">100*(F162/F6-1)</f>
        <v>-28.99207326</v>
      </c>
      <c r="I162" s="22">
        <f t="shared" si="3"/>
        <v>1.11831805</v>
      </c>
    </row>
    <row r="163" ht="15.75" customHeight="1">
      <c r="A163" s="25">
        <f>IFERROR(__xludf.DUMMYFUNCTION("""COMPUTED_VALUE"""),37267.666666666664)</f>
        <v>37267.66667</v>
      </c>
      <c r="B163" s="22">
        <f>IFERROR(__xludf.DUMMYFUNCTION("""COMPUTED_VALUE"""),1145.6)</f>
        <v>1145.6</v>
      </c>
      <c r="C163" s="22">
        <f t="shared" si="6"/>
        <v>1146.119869</v>
      </c>
      <c r="D163" s="25">
        <f>IFERROR(__xludf.DUMMYFUNCTION("""COMPUTED_VALUE"""),37267.99861111111)</f>
        <v>37267.99861</v>
      </c>
      <c r="E163" s="22">
        <f>IFERROR(__xludf.DUMMYFUNCTION("""COMPUTED_VALUE"""),0.8919)</f>
        <v>0.8919</v>
      </c>
      <c r="F163" s="22">
        <f t="shared" si="8"/>
        <v>69.20081156</v>
      </c>
      <c r="G163" s="22">
        <f t="shared" si="31"/>
        <v>-27.08528682</v>
      </c>
      <c r="I163" s="22">
        <f t="shared" si="3"/>
        <v>1.121201928</v>
      </c>
    </row>
    <row r="164" ht="15.75" customHeight="1">
      <c r="A164" s="25">
        <f>IFERROR(__xludf.DUMMYFUNCTION("""COMPUTED_VALUE"""),37274.666666666664)</f>
        <v>37274.66667</v>
      </c>
      <c r="B164" s="22">
        <f>IFERROR(__xludf.DUMMYFUNCTION("""COMPUTED_VALUE"""),1127.58)</f>
        <v>1127.58</v>
      </c>
      <c r="C164" s="22">
        <f t="shared" si="6"/>
        <v>1128.087937</v>
      </c>
      <c r="D164" s="25">
        <f>IFERROR(__xludf.DUMMYFUNCTION("""COMPUTED_VALUE"""),37274.99861111111)</f>
        <v>37274.99861</v>
      </c>
      <c r="E164" s="22">
        <f>IFERROR(__xludf.DUMMYFUNCTION("""COMPUTED_VALUE"""),0.884)</f>
        <v>0.884</v>
      </c>
      <c r="F164" s="22">
        <f t="shared" si="8"/>
        <v>67.50877117</v>
      </c>
      <c r="G164" s="22">
        <f t="shared" si="31"/>
        <v>-29.77281414</v>
      </c>
      <c r="I164" s="22">
        <f t="shared" si="3"/>
        <v>1.131221719</v>
      </c>
    </row>
    <row r="165" ht="15.75" customHeight="1">
      <c r="A165" s="25">
        <f>IFERROR(__xludf.DUMMYFUNCTION("""COMPUTED_VALUE"""),37281.666666666664)</f>
        <v>37281.66667</v>
      </c>
      <c r="B165" s="22">
        <f>IFERROR(__xludf.DUMMYFUNCTION("""COMPUTED_VALUE"""),1133.28)</f>
        <v>1133.28</v>
      </c>
      <c r="C165" s="22">
        <f t="shared" si="6"/>
        <v>1133.779948</v>
      </c>
      <c r="D165" s="25">
        <f>IFERROR(__xludf.DUMMYFUNCTION("""COMPUTED_VALUE"""),37281.99861111111)</f>
        <v>37281.99861</v>
      </c>
      <c r="E165" s="22">
        <f>IFERROR(__xludf.DUMMYFUNCTION("""COMPUTED_VALUE"""),0.8642)</f>
        <v>0.8642</v>
      </c>
      <c r="F165" s="22">
        <f t="shared" si="8"/>
        <v>66.32969741</v>
      </c>
      <c r="G165" s="22">
        <f t="shared" si="31"/>
        <v>-32.65560416</v>
      </c>
      <c r="I165" s="22">
        <f t="shared" si="3"/>
        <v>1.157139551</v>
      </c>
    </row>
    <row r="166" ht="15.75" customHeight="1">
      <c r="A166" s="25">
        <f>IFERROR(__xludf.DUMMYFUNCTION("""COMPUTED_VALUE"""),37288.666666666664)</f>
        <v>37288.66667</v>
      </c>
      <c r="B166" s="22">
        <f>IFERROR(__xludf.DUMMYFUNCTION("""COMPUTED_VALUE"""),1122.2)</f>
        <v>1122.2</v>
      </c>
      <c r="C166" s="22">
        <f t="shared" si="6"/>
        <v>1122.702475</v>
      </c>
      <c r="D166" s="25">
        <f>IFERROR(__xludf.DUMMYFUNCTION("""COMPUTED_VALUE"""),37288.99861111111)</f>
        <v>37288.99861</v>
      </c>
      <c r="E166" s="22">
        <f>IFERROR(__xludf.DUMMYFUNCTION("""COMPUTED_VALUE"""),0.8617)</f>
        <v>0.8617</v>
      </c>
      <c r="F166" s="22">
        <f t="shared" si="8"/>
        <v>65.49162334</v>
      </c>
      <c r="G166" s="22">
        <f t="shared" si="31"/>
        <v>-30.6912844</v>
      </c>
      <c r="I166" s="22">
        <f t="shared" si="3"/>
        <v>1.160496693</v>
      </c>
    </row>
    <row r="167" ht="15.75" customHeight="1">
      <c r="A167" s="25">
        <f>IFERROR(__xludf.DUMMYFUNCTION("""COMPUTED_VALUE"""),37295.666666666664)</f>
        <v>37295.66667</v>
      </c>
      <c r="B167" s="22">
        <f>IFERROR(__xludf.DUMMYFUNCTION("""COMPUTED_VALUE"""),1096.22)</f>
        <v>1096.22</v>
      </c>
      <c r="C167" s="22">
        <f t="shared" si="6"/>
        <v>1096.717562</v>
      </c>
      <c r="D167" s="25">
        <f>IFERROR(__xludf.DUMMYFUNCTION("""COMPUTED_VALUE"""),37295.99861111111)</f>
        <v>37295.99861</v>
      </c>
      <c r="E167" s="22">
        <f>IFERROR(__xludf.DUMMYFUNCTION("""COMPUTED_VALUE"""),0.8714)</f>
        <v>0.8714</v>
      </c>
      <c r="F167" s="22">
        <f t="shared" si="8"/>
        <v>64.695986</v>
      </c>
      <c r="G167" s="22">
        <f t="shared" si="31"/>
        <v>-31.29788273</v>
      </c>
      <c r="I167" s="22">
        <f t="shared" si="3"/>
        <v>1.147578609</v>
      </c>
    </row>
    <row r="168" ht="15.75" customHeight="1">
      <c r="A168" s="25">
        <f>IFERROR(__xludf.DUMMYFUNCTION("""COMPUTED_VALUE"""),37302.666666666664)</f>
        <v>37302.66667</v>
      </c>
      <c r="B168" s="22">
        <f>IFERROR(__xludf.DUMMYFUNCTION("""COMPUTED_VALUE"""),1104.18)</f>
        <v>1104.18</v>
      </c>
      <c r="C168" s="22">
        <f t="shared" si="6"/>
        <v>1104.666043</v>
      </c>
      <c r="D168" s="25">
        <f>IFERROR(__xludf.DUMMYFUNCTION("""COMPUTED_VALUE"""),37302.99861111111)</f>
        <v>37302.99861</v>
      </c>
      <c r="E168" s="22">
        <f>IFERROR(__xludf.DUMMYFUNCTION("""COMPUTED_VALUE"""),0.873)</f>
        <v>0.873</v>
      </c>
      <c r="F168" s="22">
        <f t="shared" si="8"/>
        <v>65.28452226</v>
      </c>
      <c r="G168" s="22">
        <f t="shared" si="31"/>
        <v>-29.63316771</v>
      </c>
      <c r="I168" s="22">
        <f t="shared" si="3"/>
        <v>1.145475372</v>
      </c>
    </row>
    <row r="169" ht="15.75" customHeight="1">
      <c r="A169" s="25">
        <f>IFERROR(__xludf.DUMMYFUNCTION("""COMPUTED_VALUE"""),37309.666666666664)</f>
        <v>37309.66667</v>
      </c>
      <c r="B169" s="22">
        <f>IFERROR(__xludf.DUMMYFUNCTION("""COMPUTED_VALUE"""),1089.84)</f>
        <v>1089.84</v>
      </c>
      <c r="C169" s="22">
        <f t="shared" si="6"/>
        <v>1090.329573</v>
      </c>
      <c r="D169" s="25">
        <f>IFERROR(__xludf.DUMMYFUNCTION("""COMPUTED_VALUE"""),37309.99861111111)</f>
        <v>37309.99861</v>
      </c>
      <c r="E169" s="22">
        <f>IFERROR(__xludf.DUMMYFUNCTION("""COMPUTED_VALUE"""),0.8747)</f>
        <v>0.8747</v>
      </c>
      <c r="F169" s="22">
        <f t="shared" si="8"/>
        <v>64.56273214</v>
      </c>
      <c r="G169" s="22">
        <f t="shared" si="31"/>
        <v>-30.15626231</v>
      </c>
      <c r="I169" s="22">
        <f t="shared" si="3"/>
        <v>1.143249114</v>
      </c>
    </row>
    <row r="170" ht="15.75" customHeight="1">
      <c r="A170" s="25">
        <f>IFERROR(__xludf.DUMMYFUNCTION("""COMPUTED_VALUE"""),37316.666666666664)</f>
        <v>37316.66667</v>
      </c>
      <c r="B170" s="22">
        <f>IFERROR(__xludf.DUMMYFUNCTION("""COMPUTED_VALUE"""),1131.78)</f>
        <v>1131.78</v>
      </c>
      <c r="C170" s="22">
        <f t="shared" si="6"/>
        <v>1132.263214</v>
      </c>
      <c r="D170" s="25">
        <f>IFERROR(__xludf.DUMMYFUNCTION("""COMPUTED_VALUE"""),37316.99861111111)</f>
        <v>37316.99861</v>
      </c>
      <c r="E170" s="22">
        <f>IFERROR(__xludf.DUMMYFUNCTION("""COMPUTED_VALUE"""),0.8649)</f>
        <v>0.8649</v>
      </c>
      <c r="F170" s="22">
        <f t="shared" si="8"/>
        <v>66.29461877</v>
      </c>
      <c r="G170" s="22">
        <f t="shared" si="31"/>
        <v>-29.03682864</v>
      </c>
      <c r="I170" s="22">
        <f t="shared" si="3"/>
        <v>1.156203029</v>
      </c>
    </row>
    <row r="171" ht="15.75" customHeight="1">
      <c r="A171" s="25">
        <f>IFERROR(__xludf.DUMMYFUNCTION("""COMPUTED_VALUE"""),37323.666666666664)</f>
        <v>37323.66667</v>
      </c>
      <c r="B171" s="22">
        <f>IFERROR(__xludf.DUMMYFUNCTION("""COMPUTED_VALUE"""),1164.31)</f>
        <v>1164.31</v>
      </c>
      <c r="C171" s="22">
        <f t="shared" si="6"/>
        <v>1164.81181</v>
      </c>
      <c r="D171" s="25">
        <f>IFERROR(__xludf.DUMMYFUNCTION("""COMPUTED_VALUE"""),37323.99861111111)</f>
        <v>37323.99861</v>
      </c>
      <c r="E171" s="22">
        <f>IFERROR(__xludf.DUMMYFUNCTION("""COMPUTED_VALUE"""),0.874)</f>
        <v>0.874</v>
      </c>
      <c r="F171" s="22">
        <f t="shared" si="8"/>
        <v>68.91792297</v>
      </c>
      <c r="G171" s="22">
        <f t="shared" si="31"/>
        <v>-27.88613363</v>
      </c>
      <c r="I171" s="22">
        <f t="shared" si="3"/>
        <v>1.14416476</v>
      </c>
    </row>
    <row r="172" ht="15.75" customHeight="1">
      <c r="A172" s="25">
        <f>IFERROR(__xludf.DUMMYFUNCTION("""COMPUTED_VALUE"""),37330.666666666664)</f>
        <v>37330.66667</v>
      </c>
      <c r="B172" s="22">
        <f>IFERROR(__xludf.DUMMYFUNCTION("""COMPUTED_VALUE"""),1166.16)</f>
        <v>1166.16</v>
      </c>
      <c r="C172" s="22">
        <f t="shared" si="6"/>
        <v>1166.676233</v>
      </c>
      <c r="D172" s="25">
        <f>IFERROR(__xludf.DUMMYFUNCTION("""COMPUTED_VALUE"""),37330.99861111111)</f>
        <v>37330.99861</v>
      </c>
      <c r="E172" s="22">
        <f>IFERROR(__xludf.DUMMYFUNCTION("""COMPUTED_VALUE"""),0.882)</f>
        <v>0.882</v>
      </c>
      <c r="F172" s="22">
        <f t="shared" si="8"/>
        <v>69.66007188</v>
      </c>
      <c r="G172" s="22">
        <f t="shared" si="31"/>
        <v>-27.28687697</v>
      </c>
      <c r="I172" s="22">
        <f t="shared" si="3"/>
        <v>1.133786848</v>
      </c>
    </row>
    <row r="173" ht="15.75" customHeight="1">
      <c r="A173" s="25">
        <f>IFERROR(__xludf.DUMMYFUNCTION("""COMPUTED_VALUE"""),37337.666666666664)</f>
        <v>37337.66667</v>
      </c>
      <c r="B173" s="22">
        <f>IFERROR(__xludf.DUMMYFUNCTION("""COMPUTED_VALUE"""),1148.7)</f>
        <v>1148.7</v>
      </c>
      <c r="C173" s="22">
        <f t="shared" si="6"/>
        <v>1149.217053</v>
      </c>
      <c r="D173" s="25">
        <f>IFERROR(__xludf.DUMMYFUNCTION("""COMPUTED_VALUE"""),37337.99861111111)</f>
        <v>37337.99861</v>
      </c>
      <c r="E173" s="22">
        <f>IFERROR(__xludf.DUMMYFUNCTION("""COMPUTED_VALUE"""),0.8775)</f>
        <v>0.8775</v>
      </c>
      <c r="F173" s="22">
        <f t="shared" si="8"/>
        <v>68.2675268</v>
      </c>
      <c r="G173" s="22">
        <f t="shared" si="31"/>
        <v>-26.98665279</v>
      </c>
      <c r="I173" s="22">
        <f t="shared" si="3"/>
        <v>1.13960114</v>
      </c>
    </row>
    <row r="174" ht="15.75" customHeight="1">
      <c r="A174" s="25">
        <f>IFERROR(__xludf.DUMMYFUNCTION("""COMPUTED_VALUE"""),37343.666666666664)</f>
        <v>37343.66667</v>
      </c>
      <c r="B174" s="22">
        <f>IFERROR(__xludf.DUMMYFUNCTION("""COMPUTED_VALUE"""),1147.39)</f>
        <v>1147.39</v>
      </c>
      <c r="C174" s="22">
        <f t="shared" si="6"/>
        <v>1147.899312</v>
      </c>
      <c r="D174" s="25">
        <f>IFERROR(__xludf.DUMMYFUNCTION("""COMPUTED_VALUE"""),37344.99861111111)</f>
        <v>37344.99861</v>
      </c>
      <c r="E174" s="22">
        <f>IFERROR(__xludf.DUMMYFUNCTION("""COMPUTED_VALUE"""),0.8703)</f>
        <v>0.8703</v>
      </c>
      <c r="F174" s="22">
        <f t="shared" si="8"/>
        <v>67.6297468</v>
      </c>
      <c r="G174" s="22">
        <f t="shared" si="31"/>
        <v>-28.42770553</v>
      </c>
      <c r="I174" s="22">
        <f t="shared" si="3"/>
        <v>1.14902907</v>
      </c>
    </row>
    <row r="175" ht="15.75" customHeight="1">
      <c r="A175" s="25">
        <f>IFERROR(__xludf.DUMMYFUNCTION("""COMPUTED_VALUE"""),37351.666666666664)</f>
        <v>37351.66667</v>
      </c>
      <c r="B175" s="22">
        <f>IFERROR(__xludf.DUMMYFUNCTION("""COMPUTED_VALUE"""),1122.73)</f>
        <v>1122.73</v>
      </c>
      <c r="C175" s="22">
        <f t="shared" si="6"/>
        <v>1123.238731</v>
      </c>
      <c r="D175" s="25">
        <f>IFERROR(__xludf.DUMMYFUNCTION("""COMPUTED_VALUE"""),37351.99861111111)</f>
        <v>37351.99861</v>
      </c>
      <c r="E175" s="22">
        <f>IFERROR(__xludf.DUMMYFUNCTION("""COMPUTED_VALUE"""),0.8785)</f>
        <v>0.8785</v>
      </c>
      <c r="F175" s="22">
        <f t="shared" si="8"/>
        <v>66.80036238</v>
      </c>
      <c r="G175" s="22">
        <f t="shared" si="31"/>
        <v>-32.21641479</v>
      </c>
      <c r="I175" s="22">
        <f t="shared" si="3"/>
        <v>1.138303927</v>
      </c>
    </row>
    <row r="176" ht="15.75" customHeight="1">
      <c r="A176" s="25">
        <f>IFERROR(__xludf.DUMMYFUNCTION("""COMPUTED_VALUE"""),37358.666666666664)</f>
        <v>37358.66667</v>
      </c>
      <c r="B176" s="22">
        <f>IFERROR(__xludf.DUMMYFUNCTION("""COMPUTED_VALUE"""),1111.01)</f>
        <v>1111.01</v>
      </c>
      <c r="C176" s="22">
        <f t="shared" si="6"/>
        <v>1111.507797</v>
      </c>
      <c r="D176" s="25">
        <f>IFERROR(__xludf.DUMMYFUNCTION("""COMPUTED_VALUE"""),37358.99861111111)</f>
        <v>37358.99861</v>
      </c>
      <c r="E176" s="22">
        <f>IFERROR(__xludf.DUMMYFUNCTION("""COMPUTED_VALUE"""),0.8806)</f>
        <v>0.8806</v>
      </c>
      <c r="F176" s="22">
        <f t="shared" si="8"/>
        <v>66.26072404</v>
      </c>
      <c r="G176" s="22">
        <f t="shared" si="31"/>
        <v>-30.64082655</v>
      </c>
      <c r="I176" s="22">
        <f t="shared" si="3"/>
        <v>1.135589371</v>
      </c>
    </row>
    <row r="177" ht="15.75" customHeight="1">
      <c r="A177" s="25">
        <f>IFERROR(__xludf.DUMMYFUNCTION("""COMPUTED_VALUE"""),37365.666666666664)</f>
        <v>37365.66667</v>
      </c>
      <c r="B177" s="22">
        <f>IFERROR(__xludf.DUMMYFUNCTION("""COMPUTED_VALUE"""),1125.17)</f>
        <v>1125.17</v>
      </c>
      <c r="C177" s="22">
        <f t="shared" si="6"/>
        <v>1125.662601</v>
      </c>
      <c r="D177" s="25">
        <f>IFERROR(__xludf.DUMMYFUNCTION("""COMPUTED_VALUE"""),37365.99861111111)</f>
        <v>37365.99861</v>
      </c>
      <c r="E177" s="22">
        <f>IFERROR(__xludf.DUMMYFUNCTION("""COMPUTED_VALUE"""),0.8917)</f>
        <v>0.8917</v>
      </c>
      <c r="F177" s="22">
        <f t="shared" si="8"/>
        <v>67.95039511</v>
      </c>
      <c r="G177" s="22">
        <f t="shared" si="31"/>
        <v>-30.27100982</v>
      </c>
      <c r="I177" s="22">
        <f t="shared" si="3"/>
        <v>1.121453404</v>
      </c>
    </row>
    <row r="178" ht="15.75" customHeight="1">
      <c r="A178" s="25">
        <f>IFERROR(__xludf.DUMMYFUNCTION("""COMPUTED_VALUE"""),37372.666666666664)</f>
        <v>37372.66667</v>
      </c>
      <c r="B178" s="22">
        <f>IFERROR(__xludf.DUMMYFUNCTION("""COMPUTED_VALUE"""),1076.32)</f>
        <v>1076.32</v>
      </c>
      <c r="C178" s="22">
        <f t="shared" si="6"/>
        <v>1076.818879</v>
      </c>
      <c r="D178" s="25">
        <f>IFERROR(__xludf.DUMMYFUNCTION("""COMPUTED_VALUE"""),37372.99861111111)</f>
        <v>37372.99861</v>
      </c>
      <c r="E178" s="22">
        <f>IFERROR(__xludf.DUMMYFUNCTION("""COMPUTED_VALUE"""),0.9015)</f>
        <v>0.9015</v>
      </c>
      <c r="F178" s="22">
        <f t="shared" si="8"/>
        <v>65.71634102</v>
      </c>
      <c r="G178" s="22">
        <f t="shared" si="31"/>
        <v>-31.23949715</v>
      </c>
      <c r="I178" s="22">
        <f t="shared" si="3"/>
        <v>1.109262341</v>
      </c>
    </row>
    <row r="179" ht="15.75" customHeight="1">
      <c r="A179" s="25">
        <f>IFERROR(__xludf.DUMMYFUNCTION("""COMPUTED_VALUE"""),37379.666666666664)</f>
        <v>37379.66667</v>
      </c>
      <c r="B179" s="22">
        <f>IFERROR(__xludf.DUMMYFUNCTION("""COMPUTED_VALUE"""),1073.43)</f>
        <v>1073.43</v>
      </c>
      <c r="C179" s="22">
        <f t="shared" si="6"/>
        <v>1073.90722</v>
      </c>
      <c r="D179" s="25">
        <f>IFERROR(__xludf.DUMMYFUNCTION("""COMPUTED_VALUE"""),37379.99861111111)</f>
        <v>37379.99861</v>
      </c>
      <c r="E179" s="22">
        <f>IFERROR(__xludf.DUMMYFUNCTION("""COMPUTED_VALUE"""),0.9171)</f>
        <v>0.9171</v>
      </c>
      <c r="F179" s="22">
        <f t="shared" si="8"/>
        <v>66.67276068</v>
      </c>
      <c r="G179" s="22">
        <f t="shared" si="31"/>
        <v>-31.94506139</v>
      </c>
      <c r="I179" s="22">
        <f t="shared" si="3"/>
        <v>1.090393632</v>
      </c>
    </row>
    <row r="180" ht="15.75" customHeight="1">
      <c r="A180" s="25">
        <f>IFERROR(__xludf.DUMMYFUNCTION("""COMPUTED_VALUE"""),37386.666666666664)</f>
        <v>37386.66667</v>
      </c>
      <c r="B180" s="22">
        <f>IFERROR(__xludf.DUMMYFUNCTION("""COMPUTED_VALUE"""),1054.99)</f>
        <v>1054.99</v>
      </c>
      <c r="C180" s="22">
        <f t="shared" si="6"/>
        <v>1055.465939</v>
      </c>
      <c r="D180" s="25">
        <f>IFERROR(__xludf.DUMMYFUNCTION("""COMPUTED_VALUE"""),37386.99861111111)</f>
        <v>37386.99861</v>
      </c>
      <c r="E180" s="22">
        <f>IFERROR(__xludf.DUMMYFUNCTION("""COMPUTED_VALUE"""),0.9139)</f>
        <v>0.9139</v>
      </c>
      <c r="F180" s="22">
        <f t="shared" si="8"/>
        <v>65.29920326</v>
      </c>
      <c r="G180" s="22">
        <f t="shared" si="31"/>
        <v>-32.35982804</v>
      </c>
      <c r="I180" s="22">
        <f t="shared" si="3"/>
        <v>1.094211621</v>
      </c>
    </row>
    <row r="181" ht="15.75" customHeight="1">
      <c r="A181" s="25">
        <f>IFERROR(__xludf.DUMMYFUNCTION("""COMPUTED_VALUE"""),37393.666666666664)</f>
        <v>37393.66667</v>
      </c>
      <c r="B181" s="22">
        <f>IFERROR(__xludf.DUMMYFUNCTION("""COMPUTED_VALUE"""),1106.59)</f>
        <v>1106.59</v>
      </c>
      <c r="C181" s="22">
        <f t="shared" si="6"/>
        <v>1107.057763</v>
      </c>
      <c r="D181" s="25">
        <f>IFERROR(__xludf.DUMMYFUNCTION("""COMPUTED_VALUE"""),37393.99861111111)</f>
        <v>37393.99861</v>
      </c>
      <c r="E181" s="22">
        <f>IFERROR(__xludf.DUMMYFUNCTION("""COMPUTED_VALUE"""),0.9206)</f>
        <v>0.9206</v>
      </c>
      <c r="F181" s="22">
        <f t="shared" si="8"/>
        <v>68.99319141</v>
      </c>
      <c r="G181" s="22">
        <f t="shared" si="31"/>
        <v>-27.67517506</v>
      </c>
      <c r="I181" s="22">
        <f t="shared" si="3"/>
        <v>1.086248099</v>
      </c>
    </row>
    <row r="182" ht="15.75" customHeight="1">
      <c r="A182" s="25">
        <f>IFERROR(__xludf.DUMMYFUNCTION("""COMPUTED_VALUE"""),37400.666666666664)</f>
        <v>37400.66667</v>
      </c>
      <c r="B182" s="22">
        <f>IFERROR(__xludf.DUMMYFUNCTION("""COMPUTED_VALUE"""),1083.82)</f>
        <v>1083.82</v>
      </c>
      <c r="C182" s="22">
        <f t="shared" si="6"/>
        <v>1084.310641</v>
      </c>
      <c r="D182" s="25">
        <f>IFERROR(__xludf.DUMMYFUNCTION("""COMPUTED_VALUE"""),37400.99861111111)</f>
        <v>37400.99861</v>
      </c>
      <c r="E182" s="22">
        <f>IFERROR(__xludf.DUMMYFUNCTION("""COMPUTED_VALUE"""),0.9199)</f>
        <v>0.9199</v>
      </c>
      <c r="F182" s="22">
        <f t="shared" si="8"/>
        <v>67.52418034</v>
      </c>
      <c r="G182" s="22">
        <f t="shared" si="31"/>
        <v>-26.55949598</v>
      </c>
      <c r="I182" s="22">
        <f t="shared" si="3"/>
        <v>1.087074682</v>
      </c>
    </row>
    <row r="183" ht="15.75" customHeight="1">
      <c r="A183" s="25">
        <f>IFERROR(__xludf.DUMMYFUNCTION("""COMPUTED_VALUE"""),37407.666666666664)</f>
        <v>37407.66667</v>
      </c>
      <c r="B183" s="22">
        <f>IFERROR(__xludf.DUMMYFUNCTION("""COMPUTED_VALUE"""),1067.14)</f>
        <v>1067.14</v>
      </c>
      <c r="C183" s="22">
        <f t="shared" si="6"/>
        <v>1067.620545</v>
      </c>
      <c r="D183" s="25">
        <f>IFERROR(__xludf.DUMMYFUNCTION("""COMPUTED_VALUE"""),37407.99861111111)</f>
        <v>37407.99861</v>
      </c>
      <c r="E183" s="22">
        <f>IFERROR(__xludf.DUMMYFUNCTION("""COMPUTED_VALUE"""),0.9334)</f>
        <v>0.9334</v>
      </c>
      <c r="F183" s="22">
        <f t="shared" si="8"/>
        <v>67.46052268</v>
      </c>
      <c r="G183" s="22">
        <f t="shared" si="31"/>
        <v>-27.65813221</v>
      </c>
      <c r="I183" s="22">
        <f t="shared" si="3"/>
        <v>1.071352046</v>
      </c>
    </row>
    <row r="184" ht="15.75" customHeight="1">
      <c r="A184" s="25">
        <f>IFERROR(__xludf.DUMMYFUNCTION("""COMPUTED_VALUE"""),37414.666666666664)</f>
        <v>37414.66667</v>
      </c>
      <c r="B184" s="22">
        <f>IFERROR(__xludf.DUMMYFUNCTION("""COMPUTED_VALUE"""),1027.53)</f>
        <v>1027.53</v>
      </c>
      <c r="C184" s="22">
        <f t="shared" si="6"/>
        <v>1028.00315</v>
      </c>
      <c r="D184" s="25">
        <f>IFERROR(__xludf.DUMMYFUNCTION("""COMPUTED_VALUE"""),37414.99861111111)</f>
        <v>37414.99861</v>
      </c>
      <c r="E184" s="22">
        <f>IFERROR(__xludf.DUMMYFUNCTION("""COMPUTED_VALUE"""),0.942)</f>
        <v>0.942</v>
      </c>
      <c r="F184" s="22">
        <f t="shared" si="8"/>
        <v>65.55568059</v>
      </c>
      <c r="G184" s="22">
        <f t="shared" si="31"/>
        <v>-28.7960243</v>
      </c>
      <c r="I184" s="22">
        <f t="shared" si="3"/>
        <v>1.061571125</v>
      </c>
    </row>
    <row r="185" ht="15.75" customHeight="1">
      <c r="A185" s="25">
        <f>IFERROR(__xludf.DUMMYFUNCTION("""COMPUTED_VALUE"""),37421.666666666664)</f>
        <v>37421.66667</v>
      </c>
      <c r="B185" s="22">
        <f>IFERROR(__xludf.DUMMYFUNCTION("""COMPUTED_VALUE"""),1007.27)</f>
        <v>1007.27</v>
      </c>
      <c r="C185" s="22">
        <f t="shared" si="6"/>
        <v>1007.725587</v>
      </c>
      <c r="D185" s="25">
        <f>IFERROR(__xludf.DUMMYFUNCTION("""COMPUTED_VALUE"""),37421.99861111111)</f>
        <v>37421.99861</v>
      </c>
      <c r="E185" s="22">
        <f>IFERROR(__xludf.DUMMYFUNCTION("""COMPUTED_VALUE"""),0.9455)</f>
        <v>0.9455</v>
      </c>
      <c r="F185" s="22">
        <f t="shared" si="8"/>
        <v>64.50134958</v>
      </c>
      <c r="G185" s="22">
        <f t="shared" si="31"/>
        <v>-31.77090849</v>
      </c>
      <c r="I185" s="22">
        <f t="shared" si="3"/>
        <v>1.05764146</v>
      </c>
    </row>
    <row r="186" ht="15.75" customHeight="1">
      <c r="A186" s="25">
        <f>IFERROR(__xludf.DUMMYFUNCTION("""COMPUTED_VALUE"""),37428.666666666664)</f>
        <v>37428.66667</v>
      </c>
      <c r="B186" s="22">
        <f>IFERROR(__xludf.DUMMYFUNCTION("""COMPUTED_VALUE"""),989.14)</f>
        <v>989.14</v>
      </c>
      <c r="C186" s="22">
        <f t="shared" si="6"/>
        <v>989.5866045</v>
      </c>
      <c r="D186" s="25">
        <f>IFERROR(__xludf.DUMMYFUNCTION("""COMPUTED_VALUE"""),37428.99861111111)</f>
        <v>37428.99861</v>
      </c>
      <c r="E186" s="22">
        <f>IFERROR(__xludf.DUMMYFUNCTION("""COMPUTED_VALUE"""),0.9696)</f>
        <v>0.9696</v>
      </c>
      <c r="F186" s="22">
        <f t="shared" si="8"/>
        <v>64.95482202</v>
      </c>
      <c r="G186" s="22">
        <f t="shared" si="31"/>
        <v>-30.0768916</v>
      </c>
      <c r="I186" s="22">
        <f t="shared" si="3"/>
        <v>1.031353135</v>
      </c>
    </row>
    <row r="187" ht="15.75" customHeight="1">
      <c r="A187" s="25">
        <f>IFERROR(__xludf.DUMMYFUNCTION("""COMPUTED_VALUE"""),37435.666666666664)</f>
        <v>37435.66667</v>
      </c>
      <c r="B187" s="22">
        <f>IFERROR(__xludf.DUMMYFUNCTION("""COMPUTED_VALUE"""),989.6)</f>
        <v>989.6</v>
      </c>
      <c r="C187" s="22">
        <f t="shared" si="6"/>
        <v>990.038566</v>
      </c>
      <c r="D187" s="25">
        <f>IFERROR(__xludf.DUMMYFUNCTION("""COMPUTED_VALUE"""),37435.99861111111)</f>
        <v>37435.99861</v>
      </c>
      <c r="E187" s="22">
        <f>IFERROR(__xludf.DUMMYFUNCTION("""COMPUTED_VALUE"""),0.9906)</f>
        <v>0.9906</v>
      </c>
      <c r="F187" s="22">
        <f t="shared" si="8"/>
        <v>66.39194908</v>
      </c>
      <c r="G187" s="22">
        <f t="shared" si="31"/>
        <v>-31.21352716</v>
      </c>
      <c r="I187" s="22">
        <f t="shared" si="3"/>
        <v>1.009489198</v>
      </c>
    </row>
    <row r="188" ht="15.75" customHeight="1">
      <c r="A188" s="25">
        <f>IFERROR(__xludf.DUMMYFUNCTION("""COMPUTED_VALUE"""),37442.666666666664)</f>
        <v>37442.66667</v>
      </c>
      <c r="B188" s="22">
        <f>IFERROR(__xludf.DUMMYFUNCTION("""COMPUTED_VALUE"""),989.03)</f>
        <v>989.03</v>
      </c>
      <c r="C188" s="22">
        <f t="shared" si="6"/>
        <v>989.4687699</v>
      </c>
      <c r="D188" s="25">
        <f>IFERROR(__xludf.DUMMYFUNCTION("""COMPUTED_VALUE"""),37442.99861111111)</f>
        <v>37442.99861</v>
      </c>
      <c r="E188" s="22">
        <f>IFERROR(__xludf.DUMMYFUNCTION("""COMPUTED_VALUE"""),0.9736)</f>
        <v>0.9736</v>
      </c>
      <c r="F188" s="22">
        <f t="shared" si="8"/>
        <v>65.21502108</v>
      </c>
      <c r="G188" s="22">
        <f t="shared" si="31"/>
        <v>-32.6930006</v>
      </c>
      <c r="I188" s="22">
        <f t="shared" si="3"/>
        <v>1.027115859</v>
      </c>
    </row>
    <row r="189" ht="15.75" customHeight="1">
      <c r="A189" s="25">
        <f>IFERROR(__xludf.DUMMYFUNCTION("""COMPUTED_VALUE"""),37449.666666666664)</f>
        <v>37449.66667</v>
      </c>
      <c r="B189" s="22">
        <f>IFERROR(__xludf.DUMMYFUNCTION("""COMPUTED_VALUE"""),921.4)</f>
        <v>921.4</v>
      </c>
      <c r="C189" s="22">
        <f t="shared" si="6"/>
        <v>921.8385172</v>
      </c>
      <c r="D189" s="25">
        <f>IFERROR(__xludf.DUMMYFUNCTION("""COMPUTED_VALUE"""),37449.99861111111)</f>
        <v>37449.99861</v>
      </c>
      <c r="E189" s="22">
        <f>IFERROR(__xludf.DUMMYFUNCTION("""COMPUTED_VALUE"""),0.9913)</f>
        <v>0.9913</v>
      </c>
      <c r="F189" s="22">
        <f t="shared" si="8"/>
        <v>61.86213992</v>
      </c>
      <c r="G189" s="22">
        <f t="shared" si="31"/>
        <v>-36.84469208</v>
      </c>
      <c r="I189" s="22">
        <f t="shared" si="3"/>
        <v>1.008776354</v>
      </c>
    </row>
    <row r="190" ht="15.75" customHeight="1">
      <c r="A190" s="25">
        <f>IFERROR(__xludf.DUMMYFUNCTION("""COMPUTED_VALUE"""),37456.666666666664)</f>
        <v>37456.66667</v>
      </c>
      <c r="B190" s="22">
        <f>IFERROR(__xludf.DUMMYFUNCTION("""COMPUTED_VALUE"""),847.5)</f>
        <v>847.5</v>
      </c>
      <c r="C190" s="22">
        <f t="shared" si="6"/>
        <v>847.9085313</v>
      </c>
      <c r="D190" s="25">
        <f>IFERROR(__xludf.DUMMYFUNCTION("""COMPUTED_VALUE"""),37456.99861111111)</f>
        <v>37456.99861</v>
      </c>
      <c r="E190" s="22">
        <f>IFERROR(__xludf.DUMMYFUNCTION("""COMPUTED_VALUE"""),1.0091)</f>
        <v>1.0091</v>
      </c>
      <c r="F190" s="22">
        <f t="shared" si="8"/>
        <v>57.92261942</v>
      </c>
      <c r="G190" s="22">
        <f t="shared" si="31"/>
        <v>-40.10052967</v>
      </c>
      <c r="I190" s="22">
        <f t="shared" si="3"/>
        <v>0.9909820632</v>
      </c>
    </row>
    <row r="191" ht="15.75" customHeight="1">
      <c r="A191" s="25">
        <f>IFERROR(__xludf.DUMMYFUNCTION("""COMPUTED_VALUE"""),37463.666666666664)</f>
        <v>37463.66667</v>
      </c>
      <c r="B191" s="22">
        <f>IFERROR(__xludf.DUMMYFUNCTION("""COMPUTED_VALUE"""),852.83)</f>
        <v>852.83</v>
      </c>
      <c r="C191" s="22">
        <f t="shared" si="6"/>
        <v>853.2057655</v>
      </c>
      <c r="D191" s="25">
        <f>IFERROR(__xludf.DUMMYFUNCTION("""COMPUTED_VALUE"""),37463.99861111111)</f>
        <v>37463.99861</v>
      </c>
      <c r="E191" s="22">
        <f>IFERROR(__xludf.DUMMYFUNCTION("""COMPUTED_VALUE"""),0.9858)</f>
        <v>0.9858</v>
      </c>
      <c r="F191" s="22">
        <f t="shared" si="8"/>
        <v>56.93870399</v>
      </c>
      <c r="G191" s="22">
        <f t="shared" si="31"/>
        <v>-40.8947786</v>
      </c>
      <c r="I191" s="22">
        <f t="shared" si="3"/>
        <v>1.014404545</v>
      </c>
    </row>
    <row r="192" ht="15.75" customHeight="1">
      <c r="A192" s="25">
        <f>IFERROR(__xludf.DUMMYFUNCTION("""COMPUTED_VALUE"""),37470.666666666664)</f>
        <v>37470.66667</v>
      </c>
      <c r="B192" s="22">
        <f>IFERROR(__xludf.DUMMYFUNCTION("""COMPUTED_VALUE"""),864.24)</f>
        <v>864.24</v>
      </c>
      <c r="C192" s="22">
        <f t="shared" si="6"/>
        <v>864.6181287</v>
      </c>
      <c r="D192" s="25">
        <f>IFERROR(__xludf.DUMMYFUNCTION("""COMPUTED_VALUE"""),37470.99861111111)</f>
        <v>37470.99861</v>
      </c>
      <c r="E192" s="22">
        <f>IFERROR(__xludf.DUMMYFUNCTION("""COMPUTED_VALUE"""),0.985)</f>
        <v>0.985</v>
      </c>
      <c r="F192" s="22">
        <f t="shared" si="8"/>
        <v>57.65348312</v>
      </c>
      <c r="G192" s="22">
        <f t="shared" si="31"/>
        <v>-38.98297589</v>
      </c>
      <c r="I192" s="22">
        <f t="shared" si="3"/>
        <v>1.015228426</v>
      </c>
    </row>
    <row r="193" ht="15.75" customHeight="1">
      <c r="A193" s="25">
        <f>IFERROR(__xludf.DUMMYFUNCTION("""COMPUTED_VALUE"""),37477.666666666664)</f>
        <v>37477.66667</v>
      </c>
      <c r="B193" s="22">
        <f>IFERROR(__xludf.DUMMYFUNCTION("""COMPUTED_VALUE"""),908.6)</f>
        <v>908.6</v>
      </c>
      <c r="C193" s="22">
        <f t="shared" si="6"/>
        <v>908.9831877</v>
      </c>
      <c r="D193" s="25">
        <f>IFERROR(__xludf.DUMMYFUNCTION("""COMPUTED_VALUE"""),37477.99861111111)</f>
        <v>37477.99861</v>
      </c>
      <c r="E193" s="22">
        <f>IFERROR(__xludf.DUMMYFUNCTION("""COMPUTED_VALUE"""),0.9691)</f>
        <v>0.9691</v>
      </c>
      <c r="F193" s="22">
        <f t="shared" si="8"/>
        <v>59.63338014</v>
      </c>
      <c r="G193" s="22">
        <f t="shared" si="31"/>
        <v>-37.25074371</v>
      </c>
      <c r="I193" s="22">
        <f t="shared" si="3"/>
        <v>1.031885254</v>
      </c>
    </row>
    <row r="194" ht="15.75" customHeight="1">
      <c r="A194" s="25">
        <f>IFERROR(__xludf.DUMMYFUNCTION("""COMPUTED_VALUE"""),37484.666666666664)</f>
        <v>37484.66667</v>
      </c>
      <c r="B194" s="22">
        <f>IFERROR(__xludf.DUMMYFUNCTION("""COMPUTED_VALUE"""),928.76)</f>
        <v>928.76</v>
      </c>
      <c r="C194" s="22">
        <f t="shared" si="6"/>
        <v>929.162856</v>
      </c>
      <c r="D194" s="25">
        <f>IFERROR(__xludf.DUMMYFUNCTION("""COMPUTED_VALUE"""),37484.99861111111)</f>
        <v>37484.99861</v>
      </c>
      <c r="E194" s="22">
        <f>IFERROR(__xludf.DUMMYFUNCTION("""COMPUTED_VALUE"""),0.9874)</f>
        <v>0.9874</v>
      </c>
      <c r="F194" s="22">
        <f t="shared" si="8"/>
        <v>62.1083434</v>
      </c>
      <c r="G194" s="22">
        <f t="shared" si="31"/>
        <v>-35.72207785</v>
      </c>
      <c r="I194" s="22">
        <f t="shared" si="3"/>
        <v>1.012760786</v>
      </c>
    </row>
    <row r="195" ht="15.75" customHeight="1">
      <c r="A195" s="25">
        <f>IFERROR(__xludf.DUMMYFUNCTION("""COMPUTED_VALUE"""),37491.666666666664)</f>
        <v>37491.66667</v>
      </c>
      <c r="B195" s="22">
        <f>IFERROR(__xludf.DUMMYFUNCTION("""COMPUTED_VALUE"""),940.87)</f>
        <v>940.87</v>
      </c>
      <c r="C195" s="22">
        <f t="shared" si="6"/>
        <v>941.2817946</v>
      </c>
      <c r="D195" s="25">
        <f>IFERROR(__xludf.DUMMYFUNCTION("""COMPUTED_VALUE"""),37491.99861111111)</f>
        <v>37491.99861</v>
      </c>
      <c r="E195" s="22">
        <f>IFERROR(__xludf.DUMMYFUNCTION("""COMPUTED_VALUE"""),0.972)</f>
        <v>0.972</v>
      </c>
      <c r="F195" s="22">
        <f t="shared" si="8"/>
        <v>61.93710561</v>
      </c>
      <c r="G195" s="22">
        <f t="shared" si="31"/>
        <v>-35.17209655</v>
      </c>
      <c r="I195" s="22">
        <f t="shared" si="3"/>
        <v>1.028806584</v>
      </c>
    </row>
    <row r="196" ht="15.75" customHeight="1">
      <c r="A196" s="25">
        <f>IFERROR(__xludf.DUMMYFUNCTION("""COMPUTED_VALUE"""),37498.666666666664)</f>
        <v>37498.66667</v>
      </c>
      <c r="B196" s="22">
        <f>IFERROR(__xludf.DUMMYFUNCTION("""COMPUTED_VALUE"""),916.07)</f>
        <v>916.07</v>
      </c>
      <c r="C196" s="22">
        <f t="shared" si="6"/>
        <v>916.487164</v>
      </c>
      <c r="D196" s="25">
        <f>IFERROR(__xludf.DUMMYFUNCTION("""COMPUTED_VALUE"""),37498.99861111111)</f>
        <v>37498.99861</v>
      </c>
      <c r="E196" s="22">
        <f>IFERROR(__xludf.DUMMYFUNCTION("""COMPUTED_VALUE"""),0.9803)</f>
        <v>0.9803</v>
      </c>
      <c r="F196" s="22">
        <f t="shared" si="8"/>
        <v>60.82055402</v>
      </c>
      <c r="G196" s="22">
        <f t="shared" si="31"/>
        <v>-37.62594418</v>
      </c>
      <c r="I196" s="22">
        <f t="shared" si="3"/>
        <v>1.020095889</v>
      </c>
    </row>
    <row r="197" ht="15.75" customHeight="1">
      <c r="A197" s="25">
        <f>IFERROR(__xludf.DUMMYFUNCTION("""COMPUTED_VALUE"""),37505.666666666664)</f>
        <v>37505.66667</v>
      </c>
      <c r="B197" s="22">
        <f>IFERROR(__xludf.DUMMYFUNCTION("""COMPUTED_VALUE"""),893.91)</f>
        <v>893.91</v>
      </c>
      <c r="C197" s="22">
        <f t="shared" si="6"/>
        <v>894.3161681</v>
      </c>
      <c r="D197" s="25">
        <f>IFERROR(__xludf.DUMMYFUNCTION("""COMPUTED_VALUE"""),37505.99861111111)</f>
        <v>37505.99861</v>
      </c>
      <c r="E197" s="22">
        <f>IFERROR(__xludf.DUMMYFUNCTION("""COMPUTED_VALUE"""),0.9805)</f>
        <v>0.9805</v>
      </c>
      <c r="F197" s="22">
        <f t="shared" si="8"/>
        <v>59.36133546</v>
      </c>
      <c r="G197" s="22">
        <f t="shared" si="31"/>
        <v>-37.42621718</v>
      </c>
      <c r="I197" s="22">
        <f t="shared" si="3"/>
        <v>1.019887812</v>
      </c>
    </row>
    <row r="198" ht="15.75" customHeight="1">
      <c r="A198" s="25">
        <f>IFERROR(__xludf.DUMMYFUNCTION("""COMPUTED_VALUE"""),37512.666666666664)</f>
        <v>37512.66667</v>
      </c>
      <c r="B198" s="22">
        <f>IFERROR(__xludf.DUMMYFUNCTION("""COMPUTED_VALUE"""),889.79)</f>
        <v>889.79</v>
      </c>
      <c r="C198" s="22">
        <f t="shared" si="6"/>
        <v>890.1863428</v>
      </c>
      <c r="D198" s="25">
        <f>IFERROR(__xludf.DUMMYFUNCTION("""COMPUTED_VALUE"""),37512.99861111111)</f>
        <v>37512.99861</v>
      </c>
      <c r="E198" s="22">
        <f>IFERROR(__xludf.DUMMYFUNCTION("""COMPUTED_VALUE"""),0.9706)</f>
        <v>0.9706</v>
      </c>
      <c r="F198" s="22">
        <f t="shared" si="8"/>
        <v>58.49061617</v>
      </c>
      <c r="G198" s="22">
        <f t="shared" si="31"/>
        <v>-37.93585699</v>
      </c>
      <c r="I198" s="22">
        <f t="shared" si="3"/>
        <v>1.030290542</v>
      </c>
    </row>
    <row r="199" ht="15.75" customHeight="1">
      <c r="A199" s="25">
        <f>IFERROR(__xludf.DUMMYFUNCTION("""COMPUTED_VALUE"""),37519.666666666664)</f>
        <v>37519.66667</v>
      </c>
      <c r="B199" s="22">
        <f>IFERROR(__xludf.DUMMYFUNCTION("""COMPUTED_VALUE"""),845.39)</f>
        <v>845.39</v>
      </c>
      <c r="C199" s="22">
        <f t="shared" si="6"/>
        <v>845.784516</v>
      </c>
      <c r="D199" s="25">
        <f>IFERROR(__xludf.DUMMYFUNCTION("""COMPUTED_VALUE"""),37519.99861111111)</f>
        <v>37519.99861</v>
      </c>
      <c r="E199" s="22">
        <f>IFERROR(__xludf.DUMMYFUNCTION("""COMPUTED_VALUE"""),0.9822)</f>
        <v>0.9822</v>
      </c>
      <c r="F199" s="22">
        <f t="shared" si="8"/>
        <v>56.2373234</v>
      </c>
      <c r="G199" s="22">
        <f t="shared" si="31"/>
        <v>-37.67521693</v>
      </c>
      <c r="I199" s="22">
        <f t="shared" si="3"/>
        <v>1.018122582</v>
      </c>
    </row>
    <row r="200" ht="15.75" customHeight="1">
      <c r="A200" s="25">
        <f>IFERROR(__xludf.DUMMYFUNCTION("""COMPUTED_VALUE"""),37526.666666666664)</f>
        <v>37526.66667</v>
      </c>
      <c r="B200" s="22">
        <f>IFERROR(__xludf.DUMMYFUNCTION("""COMPUTED_VALUE"""),827.36)</f>
        <v>827.36</v>
      </c>
      <c r="C200" s="22">
        <f t="shared" si="6"/>
        <v>827.7348299</v>
      </c>
      <c r="D200" s="25">
        <f>IFERROR(__xludf.DUMMYFUNCTION("""COMPUTED_VALUE"""),37526.99861111111)</f>
        <v>37526.99861</v>
      </c>
      <c r="E200" s="22">
        <f>IFERROR(__xludf.DUMMYFUNCTION("""COMPUTED_VALUE"""),0.9788)</f>
        <v>0.9788</v>
      </c>
      <c r="F200" s="22">
        <f t="shared" si="8"/>
        <v>54.84665845</v>
      </c>
      <c r="G200" s="22">
        <f t="shared" si="31"/>
        <v>-41.16010201</v>
      </c>
      <c r="I200" s="22">
        <f t="shared" si="3"/>
        <v>1.021659174</v>
      </c>
    </row>
    <row r="201" ht="15.75" customHeight="1">
      <c r="A201" s="25">
        <f>IFERROR(__xludf.DUMMYFUNCTION("""COMPUTED_VALUE"""),37533.666666666664)</f>
        <v>37533.66667</v>
      </c>
      <c r="B201" s="22">
        <f>IFERROR(__xludf.DUMMYFUNCTION("""COMPUTED_VALUE"""),800.62)</f>
        <v>800.62</v>
      </c>
      <c r="C201" s="22">
        <f t="shared" si="6"/>
        <v>800.9868358</v>
      </c>
      <c r="D201" s="25">
        <f>IFERROR(__xludf.DUMMYFUNCTION("""COMPUTED_VALUE"""),37533.99861111111)</f>
        <v>37533.99861</v>
      </c>
      <c r="E201" s="22">
        <f>IFERROR(__xludf.DUMMYFUNCTION("""COMPUTED_VALUE"""),0.9789)</f>
        <v>0.9789</v>
      </c>
      <c r="F201" s="22">
        <f t="shared" si="8"/>
        <v>53.07972809</v>
      </c>
      <c r="G201" s="22">
        <f t="shared" si="31"/>
        <v>-44.79275357</v>
      </c>
      <c r="I201" s="22">
        <f t="shared" si="3"/>
        <v>1.021554806</v>
      </c>
    </row>
    <row r="202" ht="15.75" customHeight="1">
      <c r="A202" s="25">
        <f>IFERROR(__xludf.DUMMYFUNCTION("""COMPUTED_VALUE"""),37540.666666666664)</f>
        <v>37540.66667</v>
      </c>
      <c r="B202" s="22">
        <f>IFERROR(__xludf.DUMMYFUNCTION("""COMPUTED_VALUE"""),835.32)</f>
        <v>835.32</v>
      </c>
      <c r="C202" s="22">
        <f t="shared" si="6"/>
        <v>835.6749798</v>
      </c>
      <c r="D202" s="25">
        <f>IFERROR(__xludf.DUMMYFUNCTION("""COMPUTED_VALUE"""),37540.99861111111)</f>
        <v>37540.99861</v>
      </c>
      <c r="E202" s="22">
        <f>IFERROR(__xludf.DUMMYFUNCTION("""COMPUTED_VALUE"""),0.987)</f>
        <v>0.987</v>
      </c>
      <c r="F202" s="22">
        <f t="shared" si="8"/>
        <v>55.83667319</v>
      </c>
      <c r="G202" s="22">
        <f t="shared" si="31"/>
        <v>-39.12074785</v>
      </c>
      <c r="I202" s="22">
        <f t="shared" si="3"/>
        <v>1.013171226</v>
      </c>
    </row>
    <row r="203" ht="15.75" customHeight="1">
      <c r="A203" s="25">
        <f>IFERROR(__xludf.DUMMYFUNCTION("""COMPUTED_VALUE"""),37547.666666666664)</f>
        <v>37547.66667</v>
      </c>
      <c r="B203" s="22">
        <f>IFERROR(__xludf.DUMMYFUNCTION("""COMPUTED_VALUE"""),884.38)</f>
        <v>884.38</v>
      </c>
      <c r="C203" s="22">
        <f t="shared" si="6"/>
        <v>884.7503651</v>
      </c>
      <c r="D203" s="25">
        <f>IFERROR(__xludf.DUMMYFUNCTION("""COMPUTED_VALUE"""),37547.99861111111)</f>
        <v>37547.99861</v>
      </c>
      <c r="E203" s="22">
        <f>IFERROR(__xludf.DUMMYFUNCTION("""COMPUTED_VALUE"""),0.9715)</f>
        <v>0.9715</v>
      </c>
      <c r="F203" s="22">
        <f t="shared" si="8"/>
        <v>58.18734452</v>
      </c>
      <c r="G203" s="22">
        <f t="shared" si="31"/>
        <v>-38.3004148</v>
      </c>
      <c r="I203" s="22">
        <f t="shared" si="3"/>
        <v>1.029336078</v>
      </c>
    </row>
    <row r="204" ht="15.75" customHeight="1">
      <c r="A204" s="25">
        <f>IFERROR(__xludf.DUMMYFUNCTION("""COMPUTED_VALUE"""),37554.666666666664)</f>
        <v>37554.66667</v>
      </c>
      <c r="B204" s="22">
        <f>IFERROR(__xludf.DUMMYFUNCTION("""COMPUTED_VALUE"""),897.65)</f>
        <v>897.65</v>
      </c>
      <c r="C204" s="22">
        <f t="shared" si="6"/>
        <v>898.0421174</v>
      </c>
      <c r="D204" s="25">
        <f>IFERROR(__xludf.DUMMYFUNCTION("""COMPUTED_VALUE"""),37554.99861111111)</f>
        <v>37554.99861</v>
      </c>
      <c r="E204" s="22">
        <f>IFERROR(__xludf.DUMMYFUNCTION("""COMPUTED_VALUE"""),0.9765)</f>
        <v>0.9765</v>
      </c>
      <c r="F204" s="22">
        <f t="shared" si="8"/>
        <v>59.36547338</v>
      </c>
      <c r="G204" s="22">
        <f t="shared" si="31"/>
        <v>-38.93382893</v>
      </c>
      <c r="I204" s="22">
        <f t="shared" si="3"/>
        <v>1.02406554</v>
      </c>
    </row>
    <row r="205" ht="15.75" customHeight="1">
      <c r="A205" s="25">
        <f>IFERROR(__xludf.DUMMYFUNCTION("""COMPUTED_VALUE"""),37561.666666666664)</f>
        <v>37561.66667</v>
      </c>
      <c r="B205" s="22">
        <f>IFERROR(__xludf.DUMMYFUNCTION("""COMPUTED_VALUE"""),900.96)</f>
        <v>900.96</v>
      </c>
      <c r="C205" s="22">
        <f t="shared" si="6"/>
        <v>901.358001</v>
      </c>
      <c r="D205" s="25">
        <f>IFERROR(__xludf.DUMMYFUNCTION("""COMPUTED_VALUE"""),37561.99861111111)</f>
        <v>37561.99861</v>
      </c>
      <c r="E205" s="22">
        <f>IFERROR(__xludf.DUMMYFUNCTION("""COMPUTED_VALUE"""),0.996)</f>
        <v>0.996</v>
      </c>
      <c r="F205" s="22">
        <f t="shared" si="8"/>
        <v>60.77453421</v>
      </c>
      <c r="G205" s="22">
        <f t="shared" si="31"/>
        <v>-37.28214826</v>
      </c>
      <c r="I205" s="22">
        <f t="shared" si="3"/>
        <v>1.004016064</v>
      </c>
    </row>
    <row r="206" ht="15.75" customHeight="1">
      <c r="A206" s="25">
        <f>IFERROR(__xludf.DUMMYFUNCTION("""COMPUTED_VALUE"""),37568.666666666664)</f>
        <v>37568.66667</v>
      </c>
      <c r="B206" s="22">
        <f>IFERROR(__xludf.DUMMYFUNCTION("""COMPUTED_VALUE"""),894.73)</f>
        <v>894.73</v>
      </c>
      <c r="C206" s="22">
        <f t="shared" si="6"/>
        <v>895.1294686</v>
      </c>
      <c r="D206" s="25">
        <f>IFERROR(__xludf.DUMMYFUNCTION("""COMPUTED_VALUE"""),37568.99861111111)</f>
        <v>37568.99861</v>
      </c>
      <c r="E206" s="22">
        <f>IFERROR(__xludf.DUMMYFUNCTION("""COMPUTED_VALUE"""),1.0163)</f>
        <v>1.0163</v>
      </c>
      <c r="F206" s="22">
        <f t="shared" si="8"/>
        <v>61.58469045</v>
      </c>
      <c r="G206" s="22">
        <f t="shared" si="31"/>
        <v>-36.8653856</v>
      </c>
      <c r="I206" s="22">
        <f t="shared" si="3"/>
        <v>0.9839614287</v>
      </c>
    </row>
    <row r="207" ht="15.75" customHeight="1">
      <c r="A207" s="25">
        <f>IFERROR(__xludf.DUMMYFUNCTION("""COMPUTED_VALUE"""),37575.666666666664)</f>
        <v>37575.66667</v>
      </c>
      <c r="B207" s="22">
        <f>IFERROR(__xludf.DUMMYFUNCTION("""COMPUTED_VALUE"""),909.74)</f>
        <v>909.74</v>
      </c>
      <c r="C207" s="22">
        <f t="shared" si="6"/>
        <v>910.1367064</v>
      </c>
      <c r="D207" s="25">
        <f>IFERROR(__xludf.DUMMYFUNCTION("""COMPUTED_VALUE"""),37575.99861111111)</f>
        <v>37575.99861</v>
      </c>
      <c r="E207" s="22">
        <f>IFERROR(__xludf.DUMMYFUNCTION("""COMPUTED_VALUE"""),1.0095)</f>
        <v>1.0095</v>
      </c>
      <c r="F207" s="22">
        <f t="shared" si="8"/>
        <v>62.19821708</v>
      </c>
      <c r="G207" s="22">
        <f t="shared" si="31"/>
        <v>-37.40173786</v>
      </c>
      <c r="I207" s="22">
        <f t="shared" si="3"/>
        <v>0.9905894007</v>
      </c>
    </row>
    <row r="208" ht="15.75" customHeight="1">
      <c r="A208" s="25">
        <f>IFERROR(__xludf.DUMMYFUNCTION("""COMPUTED_VALUE"""),37582.666666666664)</f>
        <v>37582.66667</v>
      </c>
      <c r="B208" s="22">
        <f>IFERROR(__xludf.DUMMYFUNCTION("""COMPUTED_VALUE"""),930.55)</f>
        <v>930.55</v>
      </c>
      <c r="C208" s="22">
        <f t="shared" si="6"/>
        <v>930.9533615</v>
      </c>
      <c r="D208" s="25">
        <f>IFERROR(__xludf.DUMMYFUNCTION("""COMPUTED_VALUE"""),37582.99861111111)</f>
        <v>37582.99861</v>
      </c>
      <c r="E208" s="22">
        <f>IFERROR(__xludf.DUMMYFUNCTION("""COMPUTED_VALUE"""),0.9967)</f>
        <v>0.9967</v>
      </c>
      <c r="F208" s="22">
        <f t="shared" si="8"/>
        <v>62.81413233</v>
      </c>
      <c r="G208" s="22">
        <f t="shared" si="31"/>
        <v>-35.62393653</v>
      </c>
      <c r="I208" s="22">
        <f t="shared" si="3"/>
        <v>1.003310926</v>
      </c>
    </row>
    <row r="209" ht="15.75" customHeight="1">
      <c r="A209" s="25">
        <f>IFERROR(__xludf.DUMMYFUNCTION("""COMPUTED_VALUE"""),37589.666666666664)</f>
        <v>37589.66667</v>
      </c>
      <c r="B209" s="22">
        <f>IFERROR(__xludf.DUMMYFUNCTION("""COMPUTED_VALUE"""),936.31)</f>
        <v>936.31</v>
      </c>
      <c r="C209" s="22">
        <f t="shared" si="6"/>
        <v>936.7225883</v>
      </c>
      <c r="D209" s="25">
        <f>IFERROR(__xludf.DUMMYFUNCTION("""COMPUTED_VALUE"""),37589.99861111111)</f>
        <v>37589.99861</v>
      </c>
      <c r="E209" s="22">
        <f>IFERROR(__xludf.DUMMYFUNCTION("""COMPUTED_VALUE"""),0.9938)</f>
        <v>0.9938</v>
      </c>
      <c r="F209" s="22">
        <f t="shared" si="8"/>
        <v>63.01950213</v>
      </c>
      <c r="G209" s="22">
        <f t="shared" si="31"/>
        <v>-35.26711279</v>
      </c>
      <c r="I209" s="22">
        <f t="shared" si="3"/>
        <v>1.00623868</v>
      </c>
    </row>
    <row r="210" ht="15.75" customHeight="1">
      <c r="A210" s="25">
        <f>IFERROR(__xludf.DUMMYFUNCTION("""COMPUTED_VALUE"""),37596.666666666664)</f>
        <v>37596.66667</v>
      </c>
      <c r="B210" s="22">
        <f>IFERROR(__xludf.DUMMYFUNCTION("""COMPUTED_VALUE"""),912.23)</f>
        <v>912.23</v>
      </c>
      <c r="C210" s="22">
        <f t="shared" si="6"/>
        <v>912.6451421</v>
      </c>
      <c r="D210" s="25">
        <f>IFERROR(__xludf.DUMMYFUNCTION("""COMPUTED_VALUE"""),37596.99861111111)</f>
        <v>37596.99861</v>
      </c>
      <c r="E210" s="22">
        <f>IFERROR(__xludf.DUMMYFUNCTION("""COMPUTED_VALUE"""),1.0091)</f>
        <v>1.0091</v>
      </c>
      <c r="F210" s="22">
        <f t="shared" si="8"/>
        <v>62.34492906</v>
      </c>
      <c r="G210" s="22">
        <f t="shared" si="31"/>
        <v>-35.87167835</v>
      </c>
      <c r="I210" s="22">
        <f t="shared" si="3"/>
        <v>0.9909820632</v>
      </c>
    </row>
    <row r="211" ht="15.75" customHeight="1">
      <c r="A211" s="25">
        <f>IFERROR(__xludf.DUMMYFUNCTION("""COMPUTED_VALUE"""),37603.666666666664)</f>
        <v>37603.66667</v>
      </c>
      <c r="B211" s="22">
        <f>IFERROR(__xludf.DUMMYFUNCTION("""COMPUTED_VALUE"""),889.48)</f>
        <v>889.48</v>
      </c>
      <c r="C211" s="22">
        <f t="shared" si="6"/>
        <v>889.8844655</v>
      </c>
      <c r="D211" s="25">
        <f>IFERROR(__xludf.DUMMYFUNCTION("""COMPUTED_VALUE"""),37603.99861111111)</f>
        <v>37603.99861</v>
      </c>
      <c r="E211" s="22">
        <f>IFERROR(__xludf.DUMMYFUNCTION("""COMPUTED_VALUE"""),1.0238)</f>
        <v>1.0238</v>
      </c>
      <c r="F211" s="22">
        <f t="shared" si="8"/>
        <v>61.6756497</v>
      </c>
      <c r="G211" s="22">
        <f t="shared" si="31"/>
        <v>-36.37487513</v>
      </c>
      <c r="I211" s="22">
        <f t="shared" si="3"/>
        <v>0.9767532721</v>
      </c>
    </row>
    <row r="212" ht="15.75" customHeight="1">
      <c r="A212" s="25">
        <f>IFERROR(__xludf.DUMMYFUNCTION("""COMPUTED_VALUE"""),37610.666666666664)</f>
        <v>37610.66667</v>
      </c>
      <c r="B212" s="22">
        <f>IFERROR(__xludf.DUMMYFUNCTION("""COMPUTED_VALUE"""),895.76)</f>
        <v>895.76</v>
      </c>
      <c r="C212" s="22">
        <f t="shared" si="6"/>
        <v>896.1543786</v>
      </c>
      <c r="D212" s="25">
        <f>IFERROR(__xludf.DUMMYFUNCTION("""COMPUTED_VALUE"""),37610.99861111111)</f>
        <v>37610.99861</v>
      </c>
      <c r="E212" s="22">
        <f>IFERROR(__xludf.DUMMYFUNCTION("""COMPUTED_VALUE"""),1.026)</f>
        <v>1.026</v>
      </c>
      <c r="F212" s="22">
        <f t="shared" si="8"/>
        <v>62.24366753</v>
      </c>
      <c r="G212" s="22">
        <f t="shared" si="31"/>
        <v>-37.80025163</v>
      </c>
      <c r="I212" s="22">
        <f t="shared" si="3"/>
        <v>0.9746588694</v>
      </c>
    </row>
    <row r="213" ht="15.75" customHeight="1">
      <c r="A213" s="25">
        <f>IFERROR(__xludf.DUMMYFUNCTION("""COMPUTED_VALUE"""),37617.666666666664)</f>
        <v>37617.66667</v>
      </c>
      <c r="B213" s="22">
        <f>IFERROR(__xludf.DUMMYFUNCTION("""COMPUTED_VALUE"""),875.4)</f>
        <v>875.4</v>
      </c>
      <c r="C213" s="22">
        <f t="shared" si="6"/>
        <v>875.797163</v>
      </c>
      <c r="D213" s="25">
        <f>IFERROR(__xludf.DUMMYFUNCTION("""COMPUTED_VALUE"""),37617.99861111111)</f>
        <v>37617.99861</v>
      </c>
      <c r="E213" s="22">
        <f>IFERROR(__xludf.DUMMYFUNCTION("""COMPUTED_VALUE"""),1.0442)</f>
        <v>1.0442</v>
      </c>
      <c r="F213" s="22">
        <f t="shared" si="8"/>
        <v>61.90877425</v>
      </c>
      <c r="G213" s="22">
        <f t="shared" si="31"/>
        <v>-38.09992653</v>
      </c>
      <c r="I213" s="22">
        <f t="shared" si="3"/>
        <v>0.9576709443</v>
      </c>
    </row>
    <row r="214" ht="15.75" customHeight="1">
      <c r="A214" s="25">
        <f>IFERROR(__xludf.DUMMYFUNCTION("""COMPUTED_VALUE"""),37624.666666666664)</f>
        <v>37624.66667</v>
      </c>
      <c r="B214" s="22">
        <f>IFERROR(__xludf.DUMMYFUNCTION("""COMPUTED_VALUE"""),908.59)</f>
        <v>908.59</v>
      </c>
      <c r="C214" s="22">
        <f t="shared" si="6"/>
        <v>908.9781358</v>
      </c>
      <c r="D214" s="25">
        <f>IFERROR(__xludf.DUMMYFUNCTION("""COMPUTED_VALUE"""),37624.99861111111)</f>
        <v>37624.99861</v>
      </c>
      <c r="E214" s="22">
        <f>IFERROR(__xludf.DUMMYFUNCTION("""COMPUTED_VALUE"""),1.0423)</f>
        <v>1.0423</v>
      </c>
      <c r="F214" s="22">
        <f t="shared" si="8"/>
        <v>64.13737145</v>
      </c>
      <c r="G214" s="22">
        <f t="shared" si="31"/>
        <v>-36.19145826</v>
      </c>
      <c r="I214" s="22">
        <f t="shared" si="3"/>
        <v>0.9594166747</v>
      </c>
    </row>
    <row r="215" ht="15.75" customHeight="1">
      <c r="A215" s="25">
        <f>IFERROR(__xludf.DUMMYFUNCTION("""COMPUTED_VALUE"""),37631.666666666664)</f>
        <v>37631.66667</v>
      </c>
      <c r="B215" s="22">
        <f>IFERROR(__xludf.DUMMYFUNCTION("""COMPUTED_VALUE"""),927.57)</f>
        <v>927.57</v>
      </c>
      <c r="C215" s="22">
        <f t="shared" si="6"/>
        <v>927.9728516</v>
      </c>
      <c r="D215" s="25">
        <f>IFERROR(__xludf.DUMMYFUNCTION("""COMPUTED_VALUE"""),37631.99861111111)</f>
        <v>37631.99861</v>
      </c>
      <c r="E215" s="22">
        <f>IFERROR(__xludf.DUMMYFUNCTION("""COMPUTED_VALUE"""),1.0571)</f>
        <v>1.0571</v>
      </c>
      <c r="F215" s="22">
        <f t="shared" si="8"/>
        <v>66.40737694</v>
      </c>
      <c r="G215" s="22">
        <f t="shared" si="31"/>
        <v>-33.87032692</v>
      </c>
      <c r="I215" s="22">
        <f t="shared" si="3"/>
        <v>0.9459842967</v>
      </c>
    </row>
    <row r="216" ht="15.75" customHeight="1">
      <c r="A216" s="25">
        <f>IFERROR(__xludf.DUMMYFUNCTION("""COMPUTED_VALUE"""),37638.666666666664)</f>
        <v>37638.66667</v>
      </c>
      <c r="B216" s="22">
        <f>IFERROR(__xludf.DUMMYFUNCTION("""COMPUTED_VALUE"""),901.78)</f>
        <v>901.78</v>
      </c>
      <c r="C216" s="22">
        <f t="shared" si="6"/>
        <v>902.191267</v>
      </c>
      <c r="D216" s="25">
        <f>IFERROR(__xludf.DUMMYFUNCTION("""COMPUTED_VALUE"""),37638.99861111111)</f>
        <v>37638.99861</v>
      </c>
      <c r="E216" s="22">
        <f>IFERROR(__xludf.DUMMYFUNCTION("""COMPUTED_VALUE"""),1.067)</f>
        <v>1.067</v>
      </c>
      <c r="F216" s="22">
        <f t="shared" si="8"/>
        <v>65.16704386</v>
      </c>
      <c r="G216" s="22">
        <f t="shared" si="31"/>
        <v>-33.80548743</v>
      </c>
      <c r="I216" s="22">
        <f t="shared" si="3"/>
        <v>0.9372071228</v>
      </c>
    </row>
    <row r="217" ht="15.75" customHeight="1">
      <c r="A217" s="25">
        <f>IFERROR(__xludf.DUMMYFUNCTION("""COMPUTED_VALUE"""),37645.666666666664)</f>
        <v>37645.66667</v>
      </c>
      <c r="B217" s="22">
        <f>IFERROR(__xludf.DUMMYFUNCTION("""COMPUTED_VALUE"""),861.4)</f>
        <v>861.4</v>
      </c>
      <c r="C217" s="22">
        <f t="shared" si="6"/>
        <v>861.7998322</v>
      </c>
      <c r="D217" s="25">
        <f>IFERROR(__xludf.DUMMYFUNCTION("""COMPUTED_VALUE"""),37645.99861111111)</f>
        <v>37645.99861</v>
      </c>
      <c r="E217" s="22">
        <f>IFERROR(__xludf.DUMMYFUNCTION("""COMPUTED_VALUE"""),1.0826)</f>
        <v>1.0826</v>
      </c>
      <c r="F217" s="22">
        <f t="shared" si="8"/>
        <v>63.15960574</v>
      </c>
      <c r="G217" s="22">
        <f t="shared" si="31"/>
        <v>-29.71602061</v>
      </c>
      <c r="I217" s="22">
        <f t="shared" si="3"/>
        <v>0.9237021984</v>
      </c>
    </row>
    <row r="218" ht="15.75" customHeight="1">
      <c r="A218" s="25">
        <f>IFERROR(__xludf.DUMMYFUNCTION("""COMPUTED_VALUE"""),37652.666666666664)</f>
        <v>37652.66667</v>
      </c>
      <c r="B218" s="22">
        <f>IFERROR(__xludf.DUMMYFUNCTION("""COMPUTED_VALUE"""),855.7)</f>
        <v>855.7</v>
      </c>
      <c r="C218" s="22">
        <f t="shared" si="6"/>
        <v>856.0819285</v>
      </c>
      <c r="D218" s="25">
        <f>IFERROR(__xludf.DUMMYFUNCTION("""COMPUTED_VALUE"""),37652.99861111111)</f>
        <v>37652.99861</v>
      </c>
      <c r="E218" s="22">
        <f>IFERROR(__xludf.DUMMYFUNCTION("""COMPUTED_VALUE"""),1.0769)</f>
        <v>1.0769</v>
      </c>
      <c r="F218" s="22">
        <f t="shared" si="8"/>
        <v>62.41021645</v>
      </c>
      <c r="G218" s="22">
        <f t="shared" si="31"/>
        <v>-34.13053724</v>
      </c>
      <c r="I218" s="22">
        <f t="shared" si="3"/>
        <v>0.928591327</v>
      </c>
    </row>
    <row r="219" ht="15.75" customHeight="1">
      <c r="A219" s="25">
        <f>IFERROR(__xludf.DUMMYFUNCTION("""COMPUTED_VALUE"""),37659.666666666664)</f>
        <v>37659.66667</v>
      </c>
      <c r="B219" s="22">
        <f>IFERROR(__xludf.DUMMYFUNCTION("""COMPUTED_VALUE"""),829.69)</f>
        <v>829.69</v>
      </c>
      <c r="C219" s="22">
        <f t="shared" si="6"/>
        <v>830.0694012</v>
      </c>
      <c r="D219" s="25">
        <f>IFERROR(__xludf.DUMMYFUNCTION("""COMPUTED_VALUE"""),37659.99861111111)</f>
        <v>37659.99861</v>
      </c>
      <c r="E219" s="22">
        <f>IFERROR(__xludf.DUMMYFUNCTION("""COMPUTED_VALUE"""),1.0816)</f>
        <v>1.0816</v>
      </c>
      <c r="F219" s="22">
        <f t="shared" si="8"/>
        <v>60.77795256</v>
      </c>
      <c r="G219" s="22">
        <f t="shared" si="31"/>
        <v>-34.51233437</v>
      </c>
      <c r="I219" s="22">
        <f t="shared" si="3"/>
        <v>0.924556213</v>
      </c>
    </row>
    <row r="220" ht="15.75" customHeight="1">
      <c r="A220" s="25">
        <f>IFERROR(__xludf.DUMMYFUNCTION("""COMPUTED_VALUE"""),37666.666666666664)</f>
        <v>37666.66667</v>
      </c>
      <c r="B220" s="22">
        <f>IFERROR(__xludf.DUMMYFUNCTION("""COMPUTED_VALUE"""),834.89)</f>
        <v>834.89</v>
      </c>
      <c r="C220" s="22">
        <f t="shared" si="6"/>
        <v>835.2578688</v>
      </c>
      <c r="D220" s="25">
        <f>IFERROR(__xludf.DUMMYFUNCTION("""COMPUTED_VALUE"""),37666.99861111111)</f>
        <v>37666.99861</v>
      </c>
      <c r="E220" s="22">
        <f>IFERROR(__xludf.DUMMYFUNCTION("""COMPUTED_VALUE"""),1.079)</f>
        <v>1.079</v>
      </c>
      <c r="F220" s="22">
        <f t="shared" si="8"/>
        <v>61.01083978</v>
      </c>
      <c r="G220" s="22">
        <f t="shared" si="31"/>
        <v>-32.07846238</v>
      </c>
      <c r="I220" s="22">
        <f t="shared" si="3"/>
        <v>0.9267840593</v>
      </c>
    </row>
    <row r="221" ht="15.75" customHeight="1">
      <c r="A221" s="25">
        <f>IFERROR(__xludf.DUMMYFUNCTION("""COMPUTED_VALUE"""),37673.666666666664)</f>
        <v>37673.66667</v>
      </c>
      <c r="B221" s="22">
        <f>IFERROR(__xludf.DUMMYFUNCTION("""COMPUTED_VALUE"""),848.17)</f>
        <v>848.17</v>
      </c>
      <c r="C221" s="22">
        <f t="shared" si="6"/>
        <v>848.5401744</v>
      </c>
      <c r="D221" s="25">
        <f>IFERROR(__xludf.DUMMYFUNCTION("""COMPUTED_VALUE"""),37673.99861111111)</f>
        <v>37673.99861</v>
      </c>
      <c r="E221" s="22">
        <f>IFERROR(__xludf.DUMMYFUNCTION("""COMPUTED_VALUE"""),1.076)</f>
        <v>1.076</v>
      </c>
      <c r="F221" s="22">
        <f t="shared" si="8"/>
        <v>61.8087076</v>
      </c>
      <c r="G221" s="22">
        <f t="shared" si="31"/>
        <v>-29.75658253</v>
      </c>
      <c r="I221" s="22">
        <f t="shared" si="3"/>
        <v>0.9293680297</v>
      </c>
    </row>
    <row r="222" ht="15.75" customHeight="1">
      <c r="A222" s="25">
        <f>IFERROR(__xludf.DUMMYFUNCTION("""COMPUTED_VALUE"""),37680.666666666664)</f>
        <v>37680.66667</v>
      </c>
      <c r="B222" s="22">
        <f>IFERROR(__xludf.DUMMYFUNCTION("""COMPUTED_VALUE"""),841.15)</f>
        <v>841.15</v>
      </c>
      <c r="C222" s="22">
        <f t="shared" si="6"/>
        <v>841.5260625</v>
      </c>
      <c r="D222" s="25">
        <f>IFERROR(__xludf.DUMMYFUNCTION("""COMPUTED_VALUE"""),37680.99861111111)</f>
        <v>37680.99861</v>
      </c>
      <c r="E222" s="22">
        <f>IFERROR(__xludf.DUMMYFUNCTION("""COMPUTED_VALUE"""),1.0804)</f>
        <v>1.0804</v>
      </c>
      <c r="F222" s="22">
        <f t="shared" si="8"/>
        <v>61.54845119</v>
      </c>
      <c r="G222" s="22">
        <f t="shared" si="31"/>
        <v>-32.94644249</v>
      </c>
      <c r="I222" s="22">
        <f t="shared" si="3"/>
        <v>0.9255831174</v>
      </c>
    </row>
    <row r="223" ht="15.75" customHeight="1">
      <c r="A223" s="25">
        <f>IFERROR(__xludf.DUMMYFUNCTION("""COMPUTED_VALUE"""),37687.666666666664)</f>
        <v>37687.66667</v>
      </c>
      <c r="B223" s="22">
        <f>IFERROR(__xludf.DUMMYFUNCTION("""COMPUTED_VALUE"""),828.89)</f>
        <v>828.89</v>
      </c>
      <c r="C223" s="22">
        <f t="shared" si="6"/>
        <v>829.26295</v>
      </c>
      <c r="D223" s="25">
        <f>IFERROR(__xludf.DUMMYFUNCTION("""COMPUTED_VALUE"""),37687.99861111111)</f>
        <v>37687.99861</v>
      </c>
      <c r="E223" s="22">
        <f>IFERROR(__xludf.DUMMYFUNCTION("""COMPUTED_VALUE"""),1.1008)</f>
        <v>1.1008</v>
      </c>
      <c r="F223" s="22">
        <f t="shared" si="8"/>
        <v>61.79675431</v>
      </c>
      <c r="G223" s="22">
        <f t="shared" si="31"/>
        <v>-32.13852406</v>
      </c>
      <c r="I223" s="22">
        <f t="shared" si="3"/>
        <v>0.9084302326</v>
      </c>
    </row>
    <row r="224" ht="15.75" customHeight="1">
      <c r="A224" s="25">
        <f>IFERROR(__xludf.DUMMYFUNCTION("""COMPUTED_VALUE"""),37694.666666666664)</f>
        <v>37694.66667</v>
      </c>
      <c r="B224" s="22">
        <f>IFERROR(__xludf.DUMMYFUNCTION("""COMPUTED_VALUE"""),833.27)</f>
        <v>833.27</v>
      </c>
      <c r="C224" s="22">
        <f t="shared" si="6"/>
        <v>833.6375141</v>
      </c>
      <c r="D224" s="25">
        <f>IFERROR(__xludf.DUMMYFUNCTION("""COMPUTED_VALUE"""),37694.99861111111)</f>
        <v>37694.99861</v>
      </c>
      <c r="E224" s="22">
        <f>IFERROR(__xludf.DUMMYFUNCTION("""COMPUTED_VALUE"""),1.074)</f>
        <v>1.074</v>
      </c>
      <c r="F224" s="22">
        <f t="shared" si="8"/>
        <v>60.61031117</v>
      </c>
      <c r="G224" s="22">
        <f t="shared" si="31"/>
        <v>-37.04465213</v>
      </c>
      <c r="I224" s="22">
        <f t="shared" si="3"/>
        <v>0.9310986965</v>
      </c>
    </row>
    <row r="225" ht="15.75" customHeight="1">
      <c r="A225" s="25">
        <f>IFERROR(__xludf.DUMMYFUNCTION("""COMPUTED_VALUE"""),37701.666666666664)</f>
        <v>37701.66667</v>
      </c>
      <c r="B225" s="22">
        <f>IFERROR(__xludf.DUMMYFUNCTION("""COMPUTED_VALUE"""),895.9)</f>
        <v>895.9</v>
      </c>
      <c r="C225" s="22">
        <f t="shared" si="6"/>
        <v>896.2694562</v>
      </c>
      <c r="D225" s="25">
        <f>IFERROR(__xludf.DUMMYFUNCTION("""COMPUTED_VALUE"""),37701.99861111111)</f>
        <v>37701.99861</v>
      </c>
      <c r="E225" s="22">
        <f>IFERROR(__xludf.DUMMYFUNCTION("""COMPUTED_VALUE"""),1.052)</f>
        <v>1.052</v>
      </c>
      <c r="F225" s="22">
        <f t="shared" si="8"/>
        <v>63.82918786</v>
      </c>
      <c r="G225" s="22">
        <f t="shared" si="31"/>
        <v>-36.84865381</v>
      </c>
      <c r="I225" s="22">
        <f t="shared" si="3"/>
        <v>0.9505703422</v>
      </c>
    </row>
    <row r="226" ht="15.75" customHeight="1">
      <c r="A226" s="25">
        <f>IFERROR(__xludf.DUMMYFUNCTION("""COMPUTED_VALUE"""),37708.666666666664)</f>
        <v>37708.66667</v>
      </c>
      <c r="B226" s="22">
        <f>IFERROR(__xludf.DUMMYFUNCTION("""COMPUTED_VALUE"""),863.5)</f>
        <v>863.5</v>
      </c>
      <c r="C226" s="22">
        <f t="shared" si="6"/>
        <v>863.8972251</v>
      </c>
      <c r="D226" s="25">
        <f>IFERROR(__xludf.DUMMYFUNCTION("""COMPUTED_VALUE"""),37708.99861111111)</f>
        <v>37708.99861</v>
      </c>
      <c r="E226" s="22">
        <f>IFERROR(__xludf.DUMMYFUNCTION("""COMPUTED_VALUE"""),1.0776)</f>
        <v>1.0776</v>
      </c>
      <c r="F226" s="22">
        <f t="shared" si="8"/>
        <v>63.02090626</v>
      </c>
      <c r="G226" s="22">
        <f t="shared" si="31"/>
        <v>-35.04224107</v>
      </c>
      <c r="I226" s="22">
        <f t="shared" si="3"/>
        <v>0.9279881218</v>
      </c>
    </row>
    <row r="227" ht="15.75" customHeight="1">
      <c r="A227" s="25">
        <f>IFERROR(__xludf.DUMMYFUNCTION("""COMPUTED_VALUE"""),37715.666666666664)</f>
        <v>37715.66667</v>
      </c>
      <c r="B227" s="22">
        <f>IFERROR(__xludf.DUMMYFUNCTION("""COMPUTED_VALUE"""),878.85)</f>
        <v>878.85</v>
      </c>
      <c r="C227" s="22">
        <f t="shared" si="6"/>
        <v>879.2328596</v>
      </c>
      <c r="D227" s="25">
        <f>IFERROR(__xludf.DUMMYFUNCTION("""COMPUTED_VALUE"""),37715.99861111111)</f>
        <v>37715.99861</v>
      </c>
      <c r="E227" s="22">
        <f>IFERROR(__xludf.DUMMYFUNCTION("""COMPUTED_VALUE"""),1.0732)</f>
        <v>1.0732</v>
      </c>
      <c r="F227" s="22">
        <f t="shared" si="8"/>
        <v>63.87774216</v>
      </c>
      <c r="G227" s="22">
        <f t="shared" si="31"/>
        <v>-34.84797228</v>
      </c>
      <c r="I227" s="22">
        <f t="shared" si="3"/>
        <v>0.9317927693</v>
      </c>
    </row>
    <row r="228" ht="15.75" customHeight="1">
      <c r="A228" s="25">
        <f>IFERROR(__xludf.DUMMYFUNCTION("""COMPUTED_VALUE"""),37722.666666666664)</f>
        <v>37722.66667</v>
      </c>
      <c r="B228" s="22">
        <f>IFERROR(__xludf.DUMMYFUNCTION("""COMPUTED_VALUE"""),868.3)</f>
        <v>868.3</v>
      </c>
      <c r="C228" s="22">
        <f t="shared" si="6"/>
        <v>868.6896655</v>
      </c>
      <c r="D228" s="25">
        <f>IFERROR(__xludf.DUMMYFUNCTION("""COMPUTED_VALUE"""),37722.99861111111)</f>
        <v>37722.99861</v>
      </c>
      <c r="E228" s="22">
        <f>IFERROR(__xludf.DUMMYFUNCTION("""COMPUTED_VALUE"""),1.0753)</f>
        <v>1.0753</v>
      </c>
      <c r="F228" s="22">
        <f t="shared" si="8"/>
        <v>63.2352563</v>
      </c>
      <c r="G228" s="22">
        <f t="shared" si="31"/>
        <v>-28.3962676</v>
      </c>
      <c r="I228" s="22">
        <f t="shared" si="3"/>
        <v>0.9299730308</v>
      </c>
    </row>
    <row r="229" ht="15.75" customHeight="1">
      <c r="A229" s="25">
        <f>IFERROR(__xludf.DUMMYFUNCTION("""COMPUTED_VALUE"""),37728.666666666664)</f>
        <v>37728.66667</v>
      </c>
      <c r="B229" s="22">
        <f>IFERROR(__xludf.DUMMYFUNCTION("""COMPUTED_VALUE"""),893.58)</f>
        <v>893.58</v>
      </c>
      <c r="C229" s="22">
        <f t="shared" si="6"/>
        <v>893.9649878</v>
      </c>
      <c r="D229" s="25">
        <f>IFERROR(__xludf.DUMMYFUNCTION("""COMPUTED_VALUE"""),37729.99861111111)</f>
        <v>37729.99861</v>
      </c>
      <c r="E229" s="22">
        <f>IFERROR(__xludf.DUMMYFUNCTION("""COMPUTED_VALUE"""),1.0885)</f>
        <v>1.0885</v>
      </c>
      <c r="F229" s="22">
        <f t="shared" si="8"/>
        <v>65.87398336</v>
      </c>
      <c r="G229" s="22">
        <f t="shared" si="31"/>
        <v>-27.67643972</v>
      </c>
      <c r="I229" s="22">
        <f t="shared" si="3"/>
        <v>0.9186954525</v>
      </c>
    </row>
    <row r="230" ht="15.75" customHeight="1">
      <c r="A230" s="25">
        <f>IFERROR(__xludf.DUMMYFUNCTION("""COMPUTED_VALUE"""),37736.666666666664)</f>
        <v>37736.66667</v>
      </c>
      <c r="B230" s="22">
        <f>IFERROR(__xludf.DUMMYFUNCTION("""COMPUTED_VALUE"""),898.81)</f>
        <v>898.81</v>
      </c>
      <c r="C230" s="22">
        <f t="shared" si="6"/>
        <v>899.2061965</v>
      </c>
      <c r="D230" s="25">
        <f>IFERROR(__xludf.DUMMYFUNCTION("""COMPUTED_VALUE"""),37736.99861111111)</f>
        <v>37736.99861</v>
      </c>
      <c r="E230" s="22">
        <f>IFERROR(__xludf.DUMMYFUNCTION("""COMPUTED_VALUE"""),1.1036)</f>
        <v>1.1036</v>
      </c>
      <c r="F230" s="22">
        <f t="shared" si="8"/>
        <v>67.17937595</v>
      </c>
      <c r="G230" s="22">
        <f t="shared" si="31"/>
        <v>-25.04995203</v>
      </c>
      <c r="I230" s="22">
        <f t="shared" si="3"/>
        <v>0.9061254078</v>
      </c>
    </row>
    <row r="231" ht="15.75" customHeight="1">
      <c r="A231" s="25">
        <f>IFERROR(__xludf.DUMMYFUNCTION("""COMPUTED_VALUE"""),37743.666666666664)</f>
        <v>37743.66667</v>
      </c>
      <c r="B231" s="22">
        <f>IFERROR(__xludf.DUMMYFUNCTION("""COMPUTED_VALUE"""),930.08)</f>
        <v>930.08</v>
      </c>
      <c r="C231" s="22">
        <f t="shared" si="6"/>
        <v>930.4785153</v>
      </c>
      <c r="D231" s="25">
        <f>IFERROR(__xludf.DUMMYFUNCTION("""COMPUTED_VALUE"""),37743.99861111111)</f>
        <v>37743.99861</v>
      </c>
      <c r="E231" s="22">
        <f>IFERROR(__xludf.DUMMYFUNCTION("""COMPUTED_VALUE"""),1.1228)</f>
        <v>1.1228</v>
      </c>
      <c r="F231" s="22">
        <f t="shared" si="8"/>
        <v>70.72512703</v>
      </c>
      <c r="G231" s="22">
        <f t="shared" si="31"/>
        <v>-18.82856937</v>
      </c>
      <c r="I231" s="22">
        <f t="shared" si="3"/>
        <v>0.8906305664</v>
      </c>
    </row>
    <row r="232" ht="15.75" customHeight="1">
      <c r="A232" s="25">
        <f>IFERROR(__xludf.DUMMYFUNCTION("""COMPUTED_VALUE"""),37750.666666666664)</f>
        <v>37750.66667</v>
      </c>
      <c r="B232" s="22">
        <f>IFERROR(__xludf.DUMMYFUNCTION("""COMPUTED_VALUE"""),933.41)</f>
        <v>933.41</v>
      </c>
      <c r="C232" s="22">
        <f t="shared" si="6"/>
        <v>933.8223799</v>
      </c>
      <c r="D232" s="25">
        <f>IFERROR(__xludf.DUMMYFUNCTION("""COMPUTED_VALUE"""),37750.99861111111)</f>
        <v>37750.99861</v>
      </c>
      <c r="E232" s="22">
        <f>IFERROR(__xludf.DUMMYFUNCTION("""COMPUTED_VALUE"""),1.1487)</f>
        <v>1.1487</v>
      </c>
      <c r="F232" s="22">
        <f t="shared" si="8"/>
        <v>72.61659509</v>
      </c>
      <c r="G232" s="22">
        <f t="shared" si="31"/>
        <v>-17.91100577</v>
      </c>
      <c r="I232" s="22">
        <f t="shared" si="3"/>
        <v>0.8705493166</v>
      </c>
    </row>
    <row r="233" ht="15.75" customHeight="1">
      <c r="A233" s="25">
        <f>IFERROR(__xludf.DUMMYFUNCTION("""COMPUTED_VALUE"""),37757.666666666664)</f>
        <v>37757.66667</v>
      </c>
      <c r="B233" s="22">
        <f>IFERROR(__xludf.DUMMYFUNCTION("""COMPUTED_VALUE"""),944.3)</f>
        <v>944.3</v>
      </c>
      <c r="C233" s="22">
        <f t="shared" si="6"/>
        <v>944.7138563</v>
      </c>
      <c r="D233" s="25">
        <f>IFERROR(__xludf.DUMMYFUNCTION("""COMPUTED_VALUE"""),37757.99861111111)</f>
        <v>37757.99861</v>
      </c>
      <c r="E233" s="22">
        <f>IFERROR(__xludf.DUMMYFUNCTION("""COMPUTED_VALUE"""),1.1595)</f>
        <v>1.1595</v>
      </c>
      <c r="F233" s="22">
        <f t="shared" si="8"/>
        <v>74.15424555</v>
      </c>
      <c r="G233" s="22">
        <f t="shared" si="31"/>
        <v>-13.14597829</v>
      </c>
      <c r="I233" s="22">
        <f t="shared" si="3"/>
        <v>0.8624407072</v>
      </c>
    </row>
    <row r="234" ht="15.75" customHeight="1">
      <c r="A234" s="25">
        <f>IFERROR(__xludf.DUMMYFUNCTION("""COMPUTED_VALUE"""),37764.666666666664)</f>
        <v>37764.66667</v>
      </c>
      <c r="B234" s="22">
        <f>IFERROR(__xludf.DUMMYFUNCTION("""COMPUTED_VALUE"""),933.22)</f>
        <v>933.22</v>
      </c>
      <c r="C234" s="22">
        <f t="shared" si="6"/>
        <v>933.6386848</v>
      </c>
      <c r="D234" s="25">
        <f>IFERROR(__xludf.DUMMYFUNCTION("""COMPUTED_VALUE"""),37764.99861111111)</f>
        <v>37764.99861</v>
      </c>
      <c r="E234" s="22">
        <f>IFERROR(__xludf.DUMMYFUNCTION("""COMPUTED_VALUE"""),1.1839)</f>
        <v>1.1839</v>
      </c>
      <c r="F234" s="22">
        <f t="shared" si="8"/>
        <v>74.82708744</v>
      </c>
      <c r="G234" s="22">
        <f t="shared" si="31"/>
        <v>-14.11299479</v>
      </c>
      <c r="I234" s="22">
        <f t="shared" si="3"/>
        <v>0.8446659346</v>
      </c>
    </row>
    <row r="235" ht="15.75" customHeight="1">
      <c r="A235" s="25">
        <f>IFERROR(__xludf.DUMMYFUNCTION("""COMPUTED_VALUE"""),37771.666666666664)</f>
        <v>37771.66667</v>
      </c>
      <c r="B235" s="22">
        <f>IFERROR(__xludf.DUMMYFUNCTION("""COMPUTED_VALUE"""),963.59)</f>
        <v>963.59</v>
      </c>
      <c r="C235" s="22">
        <f t="shared" si="6"/>
        <v>964.0037721</v>
      </c>
      <c r="D235" s="25">
        <f>IFERROR(__xludf.DUMMYFUNCTION("""COMPUTED_VALUE"""),37771.99861111111)</f>
        <v>37771.99861</v>
      </c>
      <c r="E235" s="22">
        <f>IFERROR(__xludf.DUMMYFUNCTION("""COMPUTED_VALUE"""),1.1783)</f>
        <v>1.1783</v>
      </c>
      <c r="F235" s="22">
        <f t="shared" si="8"/>
        <v>76.89526419</v>
      </c>
      <c r="G235" s="22">
        <f t="shared" si="31"/>
        <v>-18.55505539</v>
      </c>
      <c r="I235" s="22">
        <f t="shared" si="3"/>
        <v>0.8486803021</v>
      </c>
    </row>
    <row r="236" ht="15.75" customHeight="1">
      <c r="A236" s="25">
        <f>IFERROR(__xludf.DUMMYFUNCTION("""COMPUTED_VALUE"""),37778.666666666664)</f>
        <v>37778.66667</v>
      </c>
      <c r="B236" s="22">
        <f>IFERROR(__xludf.DUMMYFUNCTION("""COMPUTED_VALUE"""),987.76)</f>
        <v>987.76</v>
      </c>
      <c r="C236" s="22">
        <f t="shared" si="6"/>
        <v>988.1872376</v>
      </c>
      <c r="D236" s="25">
        <f>IFERROR(__xludf.DUMMYFUNCTION("""COMPUTED_VALUE"""),37778.99861111111)</f>
        <v>37778.99861</v>
      </c>
      <c r="E236" s="22">
        <f>IFERROR(__xludf.DUMMYFUNCTION("""COMPUTED_VALUE"""),1.1698)</f>
        <v>1.1698</v>
      </c>
      <c r="F236" s="22">
        <f t="shared" si="8"/>
        <v>78.2556747</v>
      </c>
      <c r="G236" s="22">
        <f t="shared" si="31"/>
        <v>-16.74689605</v>
      </c>
      <c r="I236" s="22">
        <f t="shared" si="3"/>
        <v>0.8548469824</v>
      </c>
    </row>
    <row r="237" ht="15.75" customHeight="1">
      <c r="A237" s="25">
        <f>IFERROR(__xludf.DUMMYFUNCTION("""COMPUTED_VALUE"""),37785.666666666664)</f>
        <v>37785.66667</v>
      </c>
      <c r="B237" s="22">
        <f>IFERROR(__xludf.DUMMYFUNCTION("""COMPUTED_VALUE"""),988.61)</f>
        <v>988.61</v>
      </c>
      <c r="C237" s="22">
        <f t="shared" si="6"/>
        <v>989.0479541</v>
      </c>
      <c r="D237" s="25">
        <f>IFERROR(__xludf.DUMMYFUNCTION("""COMPUTED_VALUE"""),37785.99861111111)</f>
        <v>37785.99861</v>
      </c>
      <c r="E237" s="22">
        <f>IFERROR(__xludf.DUMMYFUNCTION("""COMPUTED_VALUE"""),1.1867)</f>
        <v>1.1867</v>
      </c>
      <c r="F237" s="22">
        <f t="shared" si="8"/>
        <v>79.45537354</v>
      </c>
      <c r="G237" s="22">
        <f t="shared" si="31"/>
        <v>-16.86392946</v>
      </c>
      <c r="I237" s="22">
        <f t="shared" si="3"/>
        <v>0.8426729586</v>
      </c>
    </row>
    <row r="238" ht="15.75" customHeight="1">
      <c r="A238" s="25">
        <f>IFERROR(__xludf.DUMMYFUNCTION("""COMPUTED_VALUE"""),37792.666666666664)</f>
        <v>37792.66667</v>
      </c>
      <c r="B238" s="22">
        <f>IFERROR(__xludf.DUMMYFUNCTION("""COMPUTED_VALUE"""),995.69)</f>
        <v>995.69</v>
      </c>
      <c r="C238" s="22">
        <f t="shared" si="6"/>
        <v>996.128331</v>
      </c>
      <c r="D238" s="25">
        <f>IFERROR(__xludf.DUMMYFUNCTION("""COMPUTED_VALUE"""),37792.99861111111)</f>
        <v>37792.99861</v>
      </c>
      <c r="E238" s="22">
        <f>IFERROR(__xludf.DUMMYFUNCTION("""COMPUTED_VALUE"""),1.1603)</f>
        <v>1.1603</v>
      </c>
      <c r="F238" s="22">
        <f t="shared" si="8"/>
        <v>78.24391395</v>
      </c>
      <c r="G238" s="22">
        <f t="shared" si="31"/>
        <v>-14.41416252</v>
      </c>
      <c r="I238" s="22">
        <f t="shared" si="3"/>
        <v>0.8618460743</v>
      </c>
    </row>
    <row r="239" ht="15.75" customHeight="1">
      <c r="A239" s="25">
        <f>IFERROR(__xludf.DUMMYFUNCTION("""COMPUTED_VALUE"""),37799.666666666664)</f>
        <v>37799.66667</v>
      </c>
      <c r="B239" s="22">
        <f>IFERROR(__xludf.DUMMYFUNCTION("""COMPUTED_VALUE"""),976.22)</f>
        <v>976.22</v>
      </c>
      <c r="C239" s="22">
        <f t="shared" si="6"/>
        <v>976.6614701</v>
      </c>
      <c r="D239" s="25">
        <f>IFERROR(__xludf.DUMMYFUNCTION("""COMPUTED_VALUE"""),37799.99861111111)</f>
        <v>37799.99861</v>
      </c>
      <c r="E239" s="22">
        <f>IFERROR(__xludf.DUMMYFUNCTION("""COMPUTED_VALUE"""),1.143)</f>
        <v>1.143</v>
      </c>
      <c r="F239" s="22">
        <f t="shared" si="8"/>
        <v>75.57101716</v>
      </c>
      <c r="G239" s="22">
        <f t="shared" si="31"/>
        <v>-19.65783982</v>
      </c>
      <c r="I239" s="22">
        <f t="shared" si="3"/>
        <v>0.8748906387</v>
      </c>
    </row>
    <row r="240" ht="15.75" customHeight="1">
      <c r="A240" s="25">
        <f>IFERROR(__xludf.DUMMYFUNCTION("""COMPUTED_VALUE"""),37805.666666666664)</f>
        <v>37805.66667</v>
      </c>
      <c r="B240" s="22">
        <f>IFERROR(__xludf.DUMMYFUNCTION("""COMPUTED_VALUE"""),985.7)</f>
        <v>985.7</v>
      </c>
      <c r="C240" s="22">
        <f t="shared" si="6"/>
        <v>986.1328375</v>
      </c>
      <c r="D240" s="25">
        <f>IFERROR(__xludf.DUMMYFUNCTION("""COMPUTED_VALUE"""),37806.99861111111)</f>
        <v>37806.99861</v>
      </c>
      <c r="E240" s="22">
        <f>IFERROR(__xludf.DUMMYFUNCTION("""COMPUTED_VALUE"""),1.1492)</f>
        <v>1.1492</v>
      </c>
      <c r="F240" s="22">
        <f t="shared" si="8"/>
        <v>76.71777884</v>
      </c>
      <c r="G240" s="22">
        <f t="shared" si="31"/>
        <v>-19.12635082</v>
      </c>
      <c r="I240" s="22">
        <f t="shared" si="3"/>
        <v>0.8701705534</v>
      </c>
    </row>
    <row r="241" ht="15.75" customHeight="1">
      <c r="A241" s="25">
        <f>IFERROR(__xludf.DUMMYFUNCTION("""COMPUTED_VALUE"""),37813.666666666664)</f>
        <v>37813.66667</v>
      </c>
      <c r="B241" s="22">
        <f>IFERROR(__xludf.DUMMYFUNCTION("""COMPUTED_VALUE"""),998.13)</f>
        <v>998.13</v>
      </c>
      <c r="C241" s="22">
        <f t="shared" si="6"/>
        <v>998.5670407</v>
      </c>
      <c r="D241" s="25">
        <f>IFERROR(__xludf.DUMMYFUNCTION("""COMPUTED_VALUE"""),37813.99861111111)</f>
        <v>37813.99861</v>
      </c>
      <c r="E241" s="22">
        <f>IFERROR(__xludf.DUMMYFUNCTION("""COMPUTED_VALUE"""),1.1278)</f>
        <v>1.1278</v>
      </c>
      <c r="F241" s="22">
        <f t="shared" si="8"/>
        <v>76.23849248</v>
      </c>
      <c r="G241" s="22">
        <f t="shared" si="31"/>
        <v>-20.49239839</v>
      </c>
      <c r="I241" s="22">
        <f t="shared" si="3"/>
        <v>0.8866820358</v>
      </c>
    </row>
    <row r="242" ht="15.75" customHeight="1">
      <c r="A242" s="25">
        <f>IFERROR(__xludf.DUMMYFUNCTION("""COMPUTED_VALUE"""),37820.666666666664)</f>
        <v>37820.66667</v>
      </c>
      <c r="B242" s="22">
        <f>IFERROR(__xludf.DUMMYFUNCTION("""COMPUTED_VALUE"""),993.32)</f>
        <v>993.32</v>
      </c>
      <c r="C242" s="22">
        <f t="shared" si="6"/>
        <v>993.762552</v>
      </c>
      <c r="D242" s="25">
        <f>IFERROR(__xludf.DUMMYFUNCTION("""COMPUTED_VALUE"""),37820.99861111111)</f>
        <v>37820.99861</v>
      </c>
      <c r="E242" s="22">
        <f>IFERROR(__xludf.DUMMYFUNCTION("""COMPUTED_VALUE"""),1.1261)</f>
        <v>1.1261</v>
      </c>
      <c r="F242" s="22">
        <f t="shared" si="8"/>
        <v>75.75731397</v>
      </c>
      <c r="G242" s="22">
        <f t="shared" si="31"/>
        <v>-19.36252436</v>
      </c>
      <c r="I242" s="22">
        <f t="shared" si="3"/>
        <v>0.8880206021</v>
      </c>
    </row>
    <row r="243" ht="15.75" customHeight="1">
      <c r="A243" s="25">
        <f>IFERROR(__xludf.DUMMYFUNCTION("""COMPUTED_VALUE"""),37827.666666666664)</f>
        <v>37827.66667</v>
      </c>
      <c r="B243" s="22">
        <f>IFERROR(__xludf.DUMMYFUNCTION("""COMPUTED_VALUE"""),998.68)</f>
        <v>998.68</v>
      </c>
      <c r="C243" s="22">
        <f t="shared" si="6"/>
        <v>999.1204193</v>
      </c>
      <c r="D243" s="25">
        <f>IFERROR(__xludf.DUMMYFUNCTION("""COMPUTED_VALUE"""),37827.99861111111)</f>
        <v>37827.99861</v>
      </c>
      <c r="E243" s="22">
        <f>IFERROR(__xludf.DUMMYFUNCTION("""COMPUTED_VALUE"""),1.151)</f>
        <v>1.151</v>
      </c>
      <c r="F243" s="22">
        <f t="shared" si="8"/>
        <v>77.84991468</v>
      </c>
      <c r="G243" s="22">
        <f t="shared" si="31"/>
        <v>-12.31163271</v>
      </c>
      <c r="I243" s="22">
        <f t="shared" si="3"/>
        <v>0.8688097307</v>
      </c>
    </row>
    <row r="244" ht="15.75" customHeight="1">
      <c r="A244" s="25">
        <f>IFERROR(__xludf.DUMMYFUNCTION("""COMPUTED_VALUE"""),37834.666666666664)</f>
        <v>37834.66667</v>
      </c>
      <c r="B244" s="22">
        <f>IFERROR(__xludf.DUMMYFUNCTION("""COMPUTED_VALUE"""),980.15)</f>
        <v>980.15</v>
      </c>
      <c r="C244" s="22">
        <f t="shared" si="6"/>
        <v>980.5927958</v>
      </c>
      <c r="D244" s="25">
        <f>IFERROR(__xludf.DUMMYFUNCTION("""COMPUTED_VALUE"""),37834.99861111111)</f>
        <v>37834.99861</v>
      </c>
      <c r="E244" s="22">
        <f>IFERROR(__xludf.DUMMYFUNCTION("""COMPUTED_VALUE"""),1.128)</f>
        <v>1.128</v>
      </c>
      <c r="F244" s="22">
        <f t="shared" si="8"/>
        <v>74.8794732</v>
      </c>
      <c r="G244" s="22">
        <f t="shared" si="31"/>
        <v>-16.71081271</v>
      </c>
      <c r="I244" s="22">
        <f t="shared" si="3"/>
        <v>0.8865248227</v>
      </c>
    </row>
    <row r="245" ht="15.75" customHeight="1">
      <c r="A245" s="25">
        <f>IFERROR(__xludf.DUMMYFUNCTION("""COMPUTED_VALUE"""),37841.666666666664)</f>
        <v>37841.66667</v>
      </c>
      <c r="B245" s="22">
        <f>IFERROR(__xludf.DUMMYFUNCTION("""COMPUTED_VALUE"""),977.59)</f>
        <v>977.59</v>
      </c>
      <c r="C245" s="22">
        <f t="shared" si="6"/>
        <v>978.02458</v>
      </c>
      <c r="D245" s="25">
        <f>IFERROR(__xludf.DUMMYFUNCTION("""COMPUTED_VALUE"""),37841.99861111111)</f>
        <v>37841.99861</v>
      </c>
      <c r="E245" s="22">
        <f>IFERROR(__xludf.DUMMYFUNCTION("""COMPUTED_VALUE"""),1.1308)</f>
        <v>1.1308</v>
      </c>
      <c r="F245" s="22">
        <f t="shared" si="8"/>
        <v>74.86874478</v>
      </c>
      <c r="G245" s="22">
        <f t="shared" si="31"/>
        <v>-16.76911141</v>
      </c>
      <c r="I245" s="22">
        <f t="shared" si="3"/>
        <v>0.8843296781</v>
      </c>
    </row>
    <row r="246" ht="15.75" customHeight="1">
      <c r="A246" s="25">
        <f>IFERROR(__xludf.DUMMYFUNCTION("""COMPUTED_VALUE"""),37848.666666666664)</f>
        <v>37848.66667</v>
      </c>
      <c r="B246" s="22">
        <f>IFERROR(__xludf.DUMMYFUNCTION("""COMPUTED_VALUE"""),990.68)</f>
        <v>990.68</v>
      </c>
      <c r="C246" s="22">
        <f t="shared" si="6"/>
        <v>991.1134449</v>
      </c>
      <c r="D246" s="25">
        <f>IFERROR(__xludf.DUMMYFUNCTION("""COMPUTED_VALUE"""),37848.99861111111)</f>
        <v>37848.99861</v>
      </c>
      <c r="E246" s="22">
        <f>IFERROR(__xludf.DUMMYFUNCTION("""COMPUTED_VALUE"""),1.1261)</f>
        <v>1.1261</v>
      </c>
      <c r="F246" s="22">
        <f t="shared" si="8"/>
        <v>75.55536509</v>
      </c>
      <c r="G246" s="22">
        <f t="shared" si="31"/>
        <v>-17.45311565</v>
      </c>
      <c r="I246" s="22">
        <f t="shared" si="3"/>
        <v>0.8880206021</v>
      </c>
    </row>
    <row r="247" ht="15.75" customHeight="1">
      <c r="A247" s="25">
        <f>IFERROR(__xludf.DUMMYFUNCTION("""COMPUTED_VALUE"""),37855.666666666664)</f>
        <v>37855.66667</v>
      </c>
      <c r="B247" s="22">
        <f>IFERROR(__xludf.DUMMYFUNCTION("""COMPUTED_VALUE"""),993.05)</f>
        <v>993.05</v>
      </c>
      <c r="C247" s="22">
        <f t="shared" si="6"/>
        <v>993.4892488</v>
      </c>
      <c r="D247" s="25">
        <f>IFERROR(__xludf.DUMMYFUNCTION("""COMPUTED_VALUE"""),37855.99861111111)</f>
        <v>37855.99861</v>
      </c>
      <c r="E247" s="22">
        <f>IFERROR(__xludf.DUMMYFUNCTION("""COMPUTED_VALUE"""),1.0877)</f>
        <v>1.0877</v>
      </c>
      <c r="F247" s="22">
        <f t="shared" si="8"/>
        <v>73.15386603</v>
      </c>
      <c r="G247" s="22">
        <f t="shared" si="31"/>
        <v>-20.50907905</v>
      </c>
      <c r="I247" s="22">
        <f t="shared" si="3"/>
        <v>0.9193711501</v>
      </c>
    </row>
    <row r="248" ht="15.75" customHeight="1">
      <c r="A248" s="25">
        <f>IFERROR(__xludf.DUMMYFUNCTION("""COMPUTED_VALUE"""),37862.666666666664)</f>
        <v>37862.66667</v>
      </c>
      <c r="B248" s="22">
        <f>IFERROR(__xludf.DUMMYFUNCTION("""COMPUTED_VALUE"""),1008.02)</f>
        <v>1008.02</v>
      </c>
      <c r="C248" s="22">
        <f t="shared" si="6"/>
        <v>1008.4603</v>
      </c>
      <c r="D248" s="25">
        <f>IFERROR(__xludf.DUMMYFUNCTION("""COMPUTED_VALUE"""),37862.99861111111)</f>
        <v>37862.99861</v>
      </c>
      <c r="E248" s="22">
        <f>IFERROR(__xludf.DUMMYFUNCTION("""COMPUTED_VALUE"""),1.0977)</f>
        <v>1.0977</v>
      </c>
      <c r="F248" s="22">
        <f t="shared" si="8"/>
        <v>74.93892391</v>
      </c>
      <c r="G248" s="22">
        <f t="shared" si="31"/>
        <v>-19.10245431</v>
      </c>
      <c r="I248" s="22">
        <f t="shared" si="3"/>
        <v>0.9109957183</v>
      </c>
    </row>
    <row r="249" ht="15.75" customHeight="1">
      <c r="A249" s="25">
        <f>IFERROR(__xludf.DUMMYFUNCTION("""COMPUTED_VALUE"""),37869.666666666664)</f>
        <v>37869.66667</v>
      </c>
      <c r="B249" s="22">
        <f>IFERROR(__xludf.DUMMYFUNCTION("""COMPUTED_VALUE"""),1021.37)</f>
        <v>1021.37</v>
      </c>
      <c r="C249" s="22">
        <f t="shared" si="6"/>
        <v>1021.816937</v>
      </c>
      <c r="D249" s="25">
        <f>IFERROR(__xludf.DUMMYFUNCTION("""COMPUTED_VALUE"""),37869.99861111111)</f>
        <v>37869.99861</v>
      </c>
      <c r="E249" s="22">
        <f>IFERROR(__xludf.DUMMYFUNCTION("""COMPUTED_VALUE"""),1.1108)</f>
        <v>1.1108</v>
      </c>
      <c r="F249" s="22">
        <f t="shared" si="8"/>
        <v>76.83762816</v>
      </c>
      <c r="G249" s="22">
        <f t="shared" si="31"/>
        <v>-12.69143479</v>
      </c>
      <c r="I249" s="22">
        <f t="shared" si="3"/>
        <v>0.9002520706</v>
      </c>
    </row>
    <row r="250" ht="15.75" customHeight="1">
      <c r="A250" s="25">
        <f>IFERROR(__xludf.DUMMYFUNCTION("""COMPUTED_VALUE"""),37876.666666666664)</f>
        <v>37876.66667</v>
      </c>
      <c r="B250" s="22">
        <f>IFERROR(__xludf.DUMMYFUNCTION("""COMPUTED_VALUE"""),1018.63)</f>
        <v>1018.63</v>
      </c>
      <c r="C250" s="22">
        <f t="shared" si="6"/>
        <v>1019.082856</v>
      </c>
      <c r="D250" s="25">
        <f>IFERROR(__xludf.DUMMYFUNCTION("""COMPUTED_VALUE"""),37876.99861111111)</f>
        <v>37876.99861</v>
      </c>
      <c r="E250" s="22">
        <f>IFERROR(__xludf.DUMMYFUNCTION("""COMPUTED_VALUE"""),1.1289)</f>
        <v>1.1289</v>
      </c>
      <c r="F250" s="22">
        <f t="shared" si="8"/>
        <v>77.88071878</v>
      </c>
      <c r="G250" s="22">
        <f t="shared" si="31"/>
        <v>-8.126577107</v>
      </c>
      <c r="I250" s="22">
        <f t="shared" si="3"/>
        <v>0.885818053</v>
      </c>
    </row>
    <row r="251" ht="15.75" customHeight="1">
      <c r="A251" s="25">
        <f>IFERROR(__xludf.DUMMYFUNCTION("""COMPUTED_VALUE"""),37883.666666666664)</f>
        <v>37883.66667</v>
      </c>
      <c r="B251" s="22">
        <f>IFERROR(__xludf.DUMMYFUNCTION("""COMPUTED_VALUE"""),1036.3)</f>
        <v>1036.3</v>
      </c>
      <c r="C251" s="22">
        <f t="shared" si="6"/>
        <v>1036.751641</v>
      </c>
      <c r="D251" s="25">
        <f>IFERROR(__xludf.DUMMYFUNCTION("""COMPUTED_VALUE"""),37883.99861111111)</f>
        <v>37883.99861</v>
      </c>
      <c r="E251" s="22">
        <f>IFERROR(__xludf.DUMMYFUNCTION("""COMPUTED_VALUE"""),1.1375)</f>
        <v>1.1375</v>
      </c>
      <c r="F251" s="22">
        <f t="shared" si="8"/>
        <v>79.83459369</v>
      </c>
      <c r="G251" s="22">
        <f t="shared" si="31"/>
        <v>-7.157350515</v>
      </c>
      <c r="I251" s="22">
        <f t="shared" si="3"/>
        <v>0.8791208791</v>
      </c>
    </row>
    <row r="252" ht="15.75" customHeight="1">
      <c r="A252" s="25">
        <f>IFERROR(__xludf.DUMMYFUNCTION("""COMPUTED_VALUE"""),37890.666666666664)</f>
        <v>37890.66667</v>
      </c>
      <c r="B252" s="22">
        <f>IFERROR(__xludf.DUMMYFUNCTION("""COMPUTED_VALUE"""),996.85)</f>
        <v>996.85</v>
      </c>
      <c r="C252" s="22">
        <f t="shared" si="6"/>
        <v>997.3094758</v>
      </c>
      <c r="D252" s="25">
        <f>IFERROR(__xludf.DUMMYFUNCTION("""COMPUTED_VALUE"""),37890.99861111111)</f>
        <v>37890.99861</v>
      </c>
      <c r="E252" s="22">
        <f>IFERROR(__xludf.DUMMYFUNCTION("""COMPUTED_VALUE"""),1.146)</f>
        <v>1.146</v>
      </c>
      <c r="F252" s="22">
        <f t="shared" si="8"/>
        <v>77.37123792</v>
      </c>
      <c r="G252" s="22">
        <f t="shared" si="31"/>
        <v>-10.04809422</v>
      </c>
      <c r="I252" s="22">
        <f t="shared" si="3"/>
        <v>0.872600349</v>
      </c>
    </row>
    <row r="253" ht="15.75" customHeight="1">
      <c r="A253" s="25">
        <f>IFERROR(__xludf.DUMMYFUNCTION("""COMPUTED_VALUE"""),37897.666666666664)</f>
        <v>37897.66667</v>
      </c>
      <c r="B253" s="22">
        <f>IFERROR(__xludf.DUMMYFUNCTION("""COMPUTED_VALUE"""),1029.85)</f>
        <v>1029.85</v>
      </c>
      <c r="C253" s="22">
        <f t="shared" si="6"/>
        <v>1030.291984</v>
      </c>
      <c r="D253" s="25">
        <f>IFERROR(__xludf.DUMMYFUNCTION("""COMPUTED_VALUE"""),37897.99861111111)</f>
        <v>37897.99861</v>
      </c>
      <c r="E253" s="22">
        <f>IFERROR(__xludf.DUMMYFUNCTION("""COMPUTED_VALUE"""),1.1576)</f>
        <v>1.1576</v>
      </c>
      <c r="F253" s="22">
        <f t="shared" si="8"/>
        <v>80.73908468</v>
      </c>
      <c r="G253" s="22">
        <f t="shared" si="31"/>
        <v>-2.547076457</v>
      </c>
      <c r="I253" s="22">
        <f t="shared" si="3"/>
        <v>0.8638562543</v>
      </c>
    </row>
    <row r="254" ht="15.75" customHeight="1">
      <c r="A254" s="25">
        <f>IFERROR(__xludf.DUMMYFUNCTION("""COMPUTED_VALUE"""),37904.666666666664)</f>
        <v>37904.66667</v>
      </c>
      <c r="B254" s="22">
        <f>IFERROR(__xludf.DUMMYFUNCTION("""COMPUTED_VALUE"""),1038.06)</f>
        <v>1038.06</v>
      </c>
      <c r="C254" s="22">
        <f t="shared" si="6"/>
        <v>1038.516616</v>
      </c>
      <c r="D254" s="25">
        <f>IFERROR(__xludf.DUMMYFUNCTION("""COMPUTED_VALUE"""),37904.99861111111)</f>
        <v>37904.99861</v>
      </c>
      <c r="E254" s="22">
        <f>IFERROR(__xludf.DUMMYFUNCTION("""COMPUTED_VALUE"""),1.1803)</f>
        <v>1.1803</v>
      </c>
      <c r="F254" s="22">
        <f t="shared" si="8"/>
        <v>82.97950487</v>
      </c>
      <c r="G254" s="22">
        <f t="shared" si="31"/>
        <v>4.137841809</v>
      </c>
      <c r="I254" s="22">
        <f t="shared" si="3"/>
        <v>0.8472422266</v>
      </c>
    </row>
    <row r="255" ht="15.75" customHeight="1">
      <c r="A255" s="25">
        <f>IFERROR(__xludf.DUMMYFUNCTION("""COMPUTED_VALUE"""),37911.666666666664)</f>
        <v>37911.66667</v>
      </c>
      <c r="B255" s="22">
        <f>IFERROR(__xludf.DUMMYFUNCTION("""COMPUTED_VALUE"""),1039.32)</f>
        <v>1039.32</v>
      </c>
      <c r="C255" s="22">
        <f t="shared" si="6"/>
        <v>1039.780256</v>
      </c>
      <c r="D255" s="25">
        <f>IFERROR(__xludf.DUMMYFUNCTION("""COMPUTED_VALUE"""),37911.99861111111)</f>
        <v>37911.99861</v>
      </c>
      <c r="E255" s="22">
        <f>IFERROR(__xludf.DUMMYFUNCTION("""COMPUTED_VALUE"""),1.1678)</f>
        <v>1.1678</v>
      </c>
      <c r="F255" s="22">
        <f t="shared" si="8"/>
        <v>82.20060613</v>
      </c>
      <c r="G255" s="22">
        <f t="shared" si="31"/>
        <v>3.191340019</v>
      </c>
      <c r="I255" s="22">
        <f t="shared" si="3"/>
        <v>0.8563110122</v>
      </c>
    </row>
    <row r="256" ht="15.75" customHeight="1">
      <c r="A256" s="25">
        <f>IFERROR(__xludf.DUMMYFUNCTION("""COMPUTED_VALUE"""),37918.666666666664)</f>
        <v>37918.66667</v>
      </c>
      <c r="B256" s="22">
        <f>IFERROR(__xludf.DUMMYFUNCTION("""COMPUTED_VALUE"""),1028.91)</f>
        <v>1028.91</v>
      </c>
      <c r="C256" s="22">
        <f t="shared" si="6"/>
        <v>1029.370815</v>
      </c>
      <c r="D256" s="25">
        <f>IFERROR(__xludf.DUMMYFUNCTION("""COMPUTED_VALUE"""),37918.99861111111)</f>
        <v>37918.99861</v>
      </c>
      <c r="E256" s="22">
        <f>IFERROR(__xludf.DUMMYFUNCTION("""COMPUTED_VALUE"""),1.1777)</f>
        <v>1.1777</v>
      </c>
      <c r="F256" s="22">
        <f t="shared" si="8"/>
        <v>82.06755753</v>
      </c>
      <c r="G256" s="22">
        <f t="shared" si="31"/>
        <v>4.815854466</v>
      </c>
      <c r="I256" s="22">
        <f t="shared" si="3"/>
        <v>0.8491126773</v>
      </c>
    </row>
    <row r="257" ht="15.75" customHeight="1">
      <c r="A257" s="25">
        <f>IFERROR(__xludf.DUMMYFUNCTION("""COMPUTED_VALUE"""),37925.666666666664)</f>
        <v>37925.66667</v>
      </c>
      <c r="B257" s="22">
        <f>IFERROR(__xludf.DUMMYFUNCTION("""COMPUTED_VALUE"""),1050.71)</f>
        <v>1050.71</v>
      </c>
      <c r="C257" s="22">
        <f t="shared" si="6"/>
        <v>1051.166199</v>
      </c>
      <c r="D257" s="25">
        <f>IFERROR(__xludf.DUMMYFUNCTION("""COMPUTED_VALUE"""),37925.99861111111)</f>
        <v>37925.99861</v>
      </c>
      <c r="E257" s="22">
        <f>IFERROR(__xludf.DUMMYFUNCTION("""COMPUTED_VALUE"""),1.158)</f>
        <v>1.158</v>
      </c>
      <c r="F257" s="22">
        <f t="shared" si="8"/>
        <v>82.40336169</v>
      </c>
      <c r="G257" s="22">
        <f t="shared" si="31"/>
        <v>-1.59993708</v>
      </c>
      <c r="I257" s="22">
        <f t="shared" si="3"/>
        <v>0.8635578584</v>
      </c>
    </row>
    <row r="258" ht="15.75" customHeight="1">
      <c r="A258" s="25">
        <f>IFERROR(__xludf.DUMMYFUNCTION("""COMPUTED_VALUE"""),37932.666666666664)</f>
        <v>37932.66667</v>
      </c>
      <c r="B258" s="22">
        <f>IFERROR(__xludf.DUMMYFUNCTION("""COMPUTED_VALUE"""),1053.21)</f>
        <v>1053.21</v>
      </c>
      <c r="C258" s="22">
        <f t="shared" si="6"/>
        <v>1053.675865</v>
      </c>
      <c r="D258" s="25">
        <f>IFERROR(__xludf.DUMMYFUNCTION("""COMPUTED_VALUE"""),37932.99861111111)</f>
        <v>37932.99861</v>
      </c>
      <c r="E258" s="22">
        <f>IFERROR(__xludf.DUMMYFUNCTION("""COMPUTED_VALUE"""),1.1518)</f>
        <v>1.1518</v>
      </c>
      <c r="F258" s="22">
        <f t="shared" si="8"/>
        <v>82.15785443</v>
      </c>
      <c r="G258" s="22">
        <f t="shared" si="31"/>
        <v>3.274696026</v>
      </c>
      <c r="I258" s="22">
        <f t="shared" si="3"/>
        <v>0.8682062858</v>
      </c>
    </row>
    <row r="259" ht="15.75" customHeight="1">
      <c r="A259" s="25">
        <f>IFERROR(__xludf.DUMMYFUNCTION("""COMPUTED_VALUE"""),37939.666666666664)</f>
        <v>37939.66667</v>
      </c>
      <c r="B259" s="22">
        <f>IFERROR(__xludf.DUMMYFUNCTION("""COMPUTED_VALUE"""),1050.35)</f>
        <v>1050.35</v>
      </c>
      <c r="C259" s="22">
        <f t="shared" si="6"/>
        <v>1050.816973</v>
      </c>
      <c r="D259" s="25">
        <f>IFERROR(__xludf.DUMMYFUNCTION("""COMPUTED_VALUE"""),37939.99861111111)</f>
        <v>37939.99861</v>
      </c>
      <c r="E259" s="22">
        <f>IFERROR(__xludf.DUMMYFUNCTION("""COMPUTED_VALUE"""),1.1775)</f>
        <v>1.1775</v>
      </c>
      <c r="F259" s="22">
        <f t="shared" si="8"/>
        <v>83.76314543</v>
      </c>
      <c r="G259" s="22">
        <f t="shared" si="31"/>
        <v>6.172460261</v>
      </c>
      <c r="I259" s="22">
        <f t="shared" si="3"/>
        <v>0.8492569002</v>
      </c>
    </row>
    <row r="260" ht="15.75" customHeight="1">
      <c r="A260" s="25">
        <f>IFERROR(__xludf.DUMMYFUNCTION("""COMPUTED_VALUE"""),37946.666666666664)</f>
        <v>37946.66667</v>
      </c>
      <c r="B260" s="22">
        <f>IFERROR(__xludf.DUMMYFUNCTION("""COMPUTED_VALUE"""),1035.28)</f>
        <v>1035.28</v>
      </c>
      <c r="C260" s="22">
        <f t="shared" si="6"/>
        <v>1035.745705</v>
      </c>
      <c r="D260" s="25">
        <f>IFERROR(__xludf.DUMMYFUNCTION("""COMPUTED_VALUE"""),37946.99861111111)</f>
        <v>37946.99861</v>
      </c>
      <c r="E260" s="22">
        <f>IFERROR(__xludf.DUMMYFUNCTION("""COMPUTED_VALUE"""),1.1917)</f>
        <v>1.1917</v>
      </c>
      <c r="F260" s="22">
        <f t="shared" si="8"/>
        <v>83.55742792</v>
      </c>
      <c r="G260" s="22">
        <f t="shared" si="31"/>
        <v>9.82887769</v>
      </c>
      <c r="I260" s="22">
        <f t="shared" si="3"/>
        <v>0.8391373668</v>
      </c>
    </row>
    <row r="261" ht="15.75" customHeight="1">
      <c r="A261" s="25">
        <f>IFERROR(__xludf.DUMMYFUNCTION("""COMPUTED_VALUE"""),37953.666666666664)</f>
        <v>37953.66667</v>
      </c>
      <c r="B261" s="22">
        <f>IFERROR(__xludf.DUMMYFUNCTION("""COMPUTED_VALUE"""),1058.2)</f>
        <v>1058.2</v>
      </c>
      <c r="C261" s="22">
        <f t="shared" si="6"/>
        <v>1058.659024</v>
      </c>
      <c r="D261" s="25">
        <f>IFERROR(__xludf.DUMMYFUNCTION("""COMPUTED_VALUE"""),37953.99861111111)</f>
        <v>37953.99861</v>
      </c>
      <c r="E261" s="22">
        <f>IFERROR(__xludf.DUMMYFUNCTION("""COMPUTED_VALUE"""),1.1987)</f>
        <v>1.1987</v>
      </c>
      <c r="F261" s="22">
        <f t="shared" si="8"/>
        <v>85.907601</v>
      </c>
      <c r="G261" s="22">
        <f t="shared" si="31"/>
        <v>9.760071178</v>
      </c>
      <c r="I261" s="22">
        <f t="shared" si="3"/>
        <v>0.8342370902</v>
      </c>
    </row>
    <row r="262" ht="15.75" customHeight="1">
      <c r="A262" s="25">
        <f>IFERROR(__xludf.DUMMYFUNCTION("""COMPUTED_VALUE"""),37960.666666666664)</f>
        <v>37960.66667</v>
      </c>
      <c r="B262" s="22">
        <f>IFERROR(__xludf.DUMMYFUNCTION("""COMPUTED_VALUE"""),1061.5)</f>
        <v>1061.5</v>
      </c>
      <c r="C262" s="22">
        <f t="shared" si="6"/>
        <v>1061.969186</v>
      </c>
      <c r="D262" s="25">
        <f>IFERROR(__xludf.DUMMYFUNCTION("""COMPUTED_VALUE"""),37960.99861111111)</f>
        <v>37960.99861</v>
      </c>
      <c r="E262" s="22">
        <f>IFERROR(__xludf.DUMMYFUNCTION("""COMPUTED_VALUE"""),1.2182)</f>
        <v>1.2182</v>
      </c>
      <c r="F262" s="22">
        <f t="shared" si="8"/>
        <v>87.57809477</v>
      </c>
      <c r="G262" s="22">
        <f t="shared" si="31"/>
        <v>6.375675542</v>
      </c>
      <c r="I262" s="22">
        <f t="shared" si="3"/>
        <v>0.8208832704</v>
      </c>
    </row>
    <row r="263" ht="15.75" customHeight="1">
      <c r="A263" s="25">
        <f>IFERROR(__xludf.DUMMYFUNCTION("""COMPUTED_VALUE"""),37967.666666666664)</f>
        <v>37967.66667</v>
      </c>
      <c r="B263" s="22">
        <f>IFERROR(__xludf.DUMMYFUNCTION("""COMPUTED_VALUE"""),1074.14)</f>
        <v>1074.14</v>
      </c>
      <c r="C263" s="22">
        <f t="shared" si="6"/>
        <v>1074.610649</v>
      </c>
      <c r="D263" s="25">
        <f>IFERROR(__xludf.DUMMYFUNCTION("""COMPUTED_VALUE"""),37967.99861111111)</f>
        <v>37967.99861</v>
      </c>
      <c r="E263" s="22">
        <f>IFERROR(__xludf.DUMMYFUNCTION("""COMPUTED_VALUE"""),1.2276)</f>
        <v>1.2276</v>
      </c>
      <c r="F263" s="22">
        <f t="shared" si="8"/>
        <v>89.30442986</v>
      </c>
      <c r="G263" s="22">
        <f t="shared" si="31"/>
        <v>12.22110095</v>
      </c>
      <c r="I263" s="22">
        <f t="shared" si="3"/>
        <v>0.8145975888</v>
      </c>
    </row>
    <row r="264" ht="15.75" customHeight="1">
      <c r="A264" s="25">
        <f>IFERROR(__xludf.DUMMYFUNCTION("""COMPUTED_VALUE"""),37974.666666666664)</f>
        <v>37974.66667</v>
      </c>
      <c r="B264" s="22">
        <f>IFERROR(__xludf.DUMMYFUNCTION("""COMPUTED_VALUE"""),1088.67)</f>
        <v>1088.67</v>
      </c>
      <c r="C264" s="22">
        <f t="shared" si="6"/>
        <v>1089.146253</v>
      </c>
      <c r="D264" s="25">
        <f>IFERROR(__xludf.DUMMYFUNCTION("""COMPUTED_VALUE"""),37974.99861111111)</f>
        <v>37974.99861</v>
      </c>
      <c r="E264" s="22">
        <f>IFERROR(__xludf.DUMMYFUNCTION("""COMPUTED_VALUE"""),1.2379)</f>
        <v>1.2379</v>
      </c>
      <c r="F264" s="22">
        <f t="shared" si="8"/>
        <v>91.27182769</v>
      </c>
      <c r="G264" s="22">
        <f t="shared" si="31"/>
        <v>11.7095895</v>
      </c>
      <c r="I264" s="22">
        <f t="shared" si="3"/>
        <v>0.8078196946</v>
      </c>
    </row>
    <row r="265" ht="15.75" customHeight="1">
      <c r="A265" s="25">
        <f>IFERROR(__xludf.DUMMYFUNCTION("""COMPUTED_VALUE"""),37981.666666666664)</f>
        <v>37981.66667</v>
      </c>
      <c r="B265" s="22">
        <f>IFERROR(__xludf.DUMMYFUNCTION("""COMPUTED_VALUE"""),1095.89)</f>
        <v>1095.89</v>
      </c>
      <c r="C265" s="22">
        <f t="shared" si="6"/>
        <v>1096.372696</v>
      </c>
      <c r="D265" s="25">
        <f>IFERROR(__xludf.DUMMYFUNCTION("""COMPUTED_VALUE"""),37981.99861111111)</f>
        <v>37981.99861</v>
      </c>
      <c r="E265" s="22">
        <f>IFERROR(__xludf.DUMMYFUNCTION("""COMPUTED_VALUE"""),1.242)</f>
        <v>1.242</v>
      </c>
      <c r="F265" s="22">
        <f t="shared" si="8"/>
        <v>92.18171623</v>
      </c>
      <c r="G265" s="22">
        <f t="shared" si="31"/>
        <v>9.532961154</v>
      </c>
      <c r="I265" s="22">
        <f t="shared" si="3"/>
        <v>0.8051529791</v>
      </c>
    </row>
    <row r="266" ht="15.75" customHeight="1">
      <c r="A266" s="25">
        <f>IFERROR(__xludf.DUMMYFUNCTION("""COMPUTED_VALUE"""),37988.666666666664)</f>
        <v>37988.66667</v>
      </c>
      <c r="B266" s="22">
        <f>IFERROR(__xludf.DUMMYFUNCTION("""COMPUTED_VALUE"""),1108.49)</f>
        <v>1108.49</v>
      </c>
      <c r="C266" s="22">
        <f t="shared" si="6"/>
        <v>1108.975897</v>
      </c>
      <c r="D266" s="25">
        <f>IFERROR(__xludf.DUMMYFUNCTION("""COMPUTED_VALUE"""),37988.99861111111)</f>
        <v>37988.99861</v>
      </c>
      <c r="E266" s="22">
        <f>IFERROR(__xludf.DUMMYFUNCTION("""COMPUTED_VALUE"""),1.2589)</f>
        <v>1.2589</v>
      </c>
      <c r="F266" s="22">
        <f t="shared" si="8"/>
        <v>94.51012184</v>
      </c>
      <c r="G266" s="22">
        <f t="shared" si="31"/>
        <v>12.45068106</v>
      </c>
      <c r="H266" s="22">
        <f t="shared" ref="H266:H1345" si="32">100*($F266/$F6-1)</f>
        <v>-5.489878163</v>
      </c>
      <c r="I266" s="22">
        <f t="shared" si="3"/>
        <v>0.7943442688</v>
      </c>
      <c r="J266" s="22">
        <f t="shared" ref="J266:J1345" si="33">I266/I6-1</f>
        <v>-0.08014933672</v>
      </c>
    </row>
    <row r="267" ht="15.75" customHeight="1">
      <c r="A267" s="25">
        <f>IFERROR(__xludf.DUMMYFUNCTION("""COMPUTED_VALUE"""),37995.666666666664)</f>
        <v>37995.66667</v>
      </c>
      <c r="B267" s="22">
        <f>IFERROR(__xludf.DUMMYFUNCTION("""COMPUTED_VALUE"""),1121.86)</f>
        <v>1121.86</v>
      </c>
      <c r="C267" s="22">
        <f t="shared" si="6"/>
        <v>1122.351483</v>
      </c>
      <c r="D267" s="25">
        <f>IFERROR(__xludf.DUMMYFUNCTION("""COMPUTED_VALUE"""),37995.99861111111)</f>
        <v>37995.99861</v>
      </c>
      <c r="E267" s="22">
        <f>IFERROR(__xludf.DUMMYFUNCTION("""COMPUTED_VALUE"""),1.2815)</f>
        <v>1.2815</v>
      </c>
      <c r="F267" s="22">
        <f t="shared" si="8"/>
        <v>97.36715444</v>
      </c>
      <c r="G267" s="22">
        <f t="shared" si="31"/>
        <v>14.30322355</v>
      </c>
      <c r="H267" s="22">
        <f t="shared" si="32"/>
        <v>2.592700554</v>
      </c>
      <c r="I267" s="22">
        <f t="shared" si="3"/>
        <v>0.7803355443</v>
      </c>
      <c r="J267" s="22">
        <f t="shared" si="33"/>
        <v>-0.09793211081</v>
      </c>
    </row>
    <row r="268" ht="15.75" customHeight="1">
      <c r="A268" s="25">
        <f>IFERROR(__xludf.DUMMYFUNCTION("""COMPUTED_VALUE"""),38002.666666666664)</f>
        <v>38002.66667</v>
      </c>
      <c r="B268" s="22">
        <f>IFERROR(__xludf.DUMMYFUNCTION("""COMPUTED_VALUE"""),1139.82)</f>
        <v>1139.82</v>
      </c>
      <c r="C268" s="22">
        <f t="shared" si="6"/>
        <v>1140.317411</v>
      </c>
      <c r="D268" s="25">
        <f>IFERROR(__xludf.DUMMYFUNCTION("""COMPUTED_VALUE"""),38002.99861111111)</f>
        <v>38002.99861</v>
      </c>
      <c r="E268" s="22">
        <f>IFERROR(__xludf.DUMMYFUNCTION("""COMPUTED_VALUE"""),1.2392)</f>
        <v>1.2392</v>
      </c>
      <c r="F268" s="22">
        <f t="shared" si="8"/>
        <v>95.66038905</v>
      </c>
      <c r="G268" s="22">
        <f t="shared" si="31"/>
        <v>12.52162774</v>
      </c>
      <c r="H268" s="22">
        <f t="shared" si="32"/>
        <v>-0.4875987927</v>
      </c>
      <c r="I268" s="22">
        <f t="shared" si="3"/>
        <v>0.8069722402</v>
      </c>
      <c r="J268" s="22">
        <f t="shared" si="33"/>
        <v>-0.06512265978</v>
      </c>
    </row>
    <row r="269" ht="15.75" customHeight="1">
      <c r="A269" s="25">
        <f>IFERROR(__xludf.DUMMYFUNCTION("""COMPUTED_VALUE"""),38009.666666666664)</f>
        <v>38009.66667</v>
      </c>
      <c r="B269" s="22">
        <f>IFERROR(__xludf.DUMMYFUNCTION("""COMPUTED_VALUE"""),1141.55)</f>
        <v>1141.55</v>
      </c>
      <c r="C269" s="22">
        <f t="shared" si="6"/>
        <v>1142.055375</v>
      </c>
      <c r="D269" s="25">
        <f>IFERROR(__xludf.DUMMYFUNCTION("""COMPUTED_VALUE"""),38009.99861111111)</f>
        <v>38009.99861</v>
      </c>
      <c r="E269" s="22">
        <f>IFERROR(__xludf.DUMMYFUNCTION("""COMPUTED_VALUE"""),1.2579)</f>
        <v>1.2579</v>
      </c>
      <c r="F269" s="22">
        <f t="shared" si="8"/>
        <v>97.25193733</v>
      </c>
      <c r="G269" s="22">
        <f t="shared" si="31"/>
        <v>14.68417363</v>
      </c>
      <c r="H269" s="22">
        <f t="shared" si="32"/>
        <v>-1.260322003</v>
      </c>
      <c r="I269" s="22">
        <f t="shared" si="3"/>
        <v>0.7949757532</v>
      </c>
      <c r="J269" s="22">
        <f t="shared" si="33"/>
        <v>-0.09651005644</v>
      </c>
    </row>
    <row r="270" ht="15.75" customHeight="1">
      <c r="A270" s="25">
        <f>IFERROR(__xludf.DUMMYFUNCTION("""COMPUTED_VALUE"""),38016.666666666664)</f>
        <v>38016.66667</v>
      </c>
      <c r="B270" s="22">
        <f>IFERROR(__xludf.DUMMYFUNCTION("""COMPUTED_VALUE"""),1131.12)</f>
        <v>1131.12</v>
      </c>
      <c r="C270" s="22">
        <f t="shared" si="6"/>
        <v>1131.626142</v>
      </c>
      <c r="D270" s="25">
        <f>IFERROR(__xludf.DUMMYFUNCTION("""COMPUTED_VALUE"""),38016.99861111111)</f>
        <v>38016.99861</v>
      </c>
      <c r="E270" s="22">
        <f>IFERROR(__xludf.DUMMYFUNCTION("""COMPUTED_VALUE"""),1.2471)</f>
        <v>1.2471</v>
      </c>
      <c r="F270" s="22">
        <f t="shared" si="8"/>
        <v>95.53647942</v>
      </c>
      <c r="G270" s="22">
        <f t="shared" si="31"/>
        <v>11.73878102</v>
      </c>
      <c r="H270" s="22">
        <f t="shared" si="32"/>
        <v>1.104696198</v>
      </c>
      <c r="I270" s="22">
        <f t="shared" si="3"/>
        <v>0.8018603159</v>
      </c>
      <c r="J270" s="22">
        <f t="shared" si="33"/>
        <v>-0.09734584235</v>
      </c>
    </row>
    <row r="271" ht="15.75" customHeight="1">
      <c r="A271" s="25">
        <f>IFERROR(__xludf.DUMMYFUNCTION("""COMPUTED_VALUE"""),38023.666666666664)</f>
        <v>38023.66667</v>
      </c>
      <c r="B271" s="22">
        <f>IFERROR(__xludf.DUMMYFUNCTION("""COMPUTED_VALUE"""),1142.76)</f>
        <v>1142.76</v>
      </c>
      <c r="C271" s="22">
        <f t="shared" si="6"/>
        <v>1143.261517</v>
      </c>
      <c r="D271" s="25">
        <f>IFERROR(__xludf.DUMMYFUNCTION("""COMPUTED_VALUE"""),38023.99861111111)</f>
        <v>38023.99861</v>
      </c>
      <c r="E271" s="22">
        <f>IFERROR(__xludf.DUMMYFUNCTION("""COMPUTED_VALUE"""),1.2705)</f>
        <v>1.2705</v>
      </c>
      <c r="F271" s="22">
        <f t="shared" si="8"/>
        <v>98.32981838</v>
      </c>
      <c r="G271" s="22">
        <f t="shared" si="31"/>
        <v>19.47119899</v>
      </c>
      <c r="H271" s="22">
        <f t="shared" si="32"/>
        <v>4.418637557</v>
      </c>
      <c r="I271" s="22">
        <f t="shared" si="3"/>
        <v>0.7870916962</v>
      </c>
      <c r="J271" s="22">
        <f t="shared" si="33"/>
        <v>-0.1103502558</v>
      </c>
    </row>
    <row r="272" ht="15.75" customHeight="1">
      <c r="A272" s="25">
        <f>IFERROR(__xludf.DUMMYFUNCTION("""COMPUTED_VALUE"""),38030.666666666664)</f>
        <v>38030.66667</v>
      </c>
      <c r="B272" s="22">
        <f>IFERROR(__xludf.DUMMYFUNCTION("""COMPUTED_VALUE"""),1145.81)</f>
        <v>1145.81</v>
      </c>
      <c r="C272" s="22">
        <f t="shared" si="6"/>
        <v>1146.316678</v>
      </c>
      <c r="D272" s="25">
        <f>IFERROR(__xludf.DUMMYFUNCTION("""COMPUTED_VALUE"""),38030.99861111111)</f>
        <v>38030.99861</v>
      </c>
      <c r="E272" s="22">
        <f>IFERROR(__xludf.DUMMYFUNCTION("""COMPUTED_VALUE"""),1.2723)</f>
        <v>1.2723</v>
      </c>
      <c r="F272" s="22">
        <f t="shared" si="8"/>
        <v>98.73226968</v>
      </c>
      <c r="G272" s="22">
        <f t="shared" si="31"/>
        <v>22.59192681</v>
      </c>
      <c r="H272" s="22">
        <f t="shared" si="32"/>
        <v>6.418440718</v>
      </c>
      <c r="I272" s="22">
        <f t="shared" si="3"/>
        <v>0.7859781498</v>
      </c>
      <c r="J272" s="22">
        <f t="shared" si="33"/>
        <v>-0.1311011554</v>
      </c>
    </row>
    <row r="273" ht="15.75" customHeight="1">
      <c r="A273" s="25">
        <f>IFERROR(__xludf.DUMMYFUNCTION("""COMPUTED_VALUE"""),38037.666666666664)</f>
        <v>38037.66667</v>
      </c>
      <c r="B273" s="22">
        <f>IFERROR(__xludf.DUMMYFUNCTION("""COMPUTED_VALUE"""),1144.11)</f>
        <v>1144.11</v>
      </c>
      <c r="C273" s="22">
        <f t="shared" si="6"/>
        <v>1144.61803</v>
      </c>
      <c r="D273" s="25">
        <f>IFERROR(__xludf.DUMMYFUNCTION("""COMPUTED_VALUE"""),38037.99861111111)</f>
        <v>38037.99861</v>
      </c>
      <c r="E273" s="22">
        <f>IFERROR(__xludf.DUMMYFUNCTION("""COMPUTED_VALUE"""),1.2538)</f>
        <v>1.2538</v>
      </c>
      <c r="F273" s="22">
        <f t="shared" si="8"/>
        <v>97.15246646</v>
      </c>
      <c r="G273" s="22">
        <f t="shared" si="31"/>
        <v>25.32534146</v>
      </c>
      <c r="H273" s="22">
        <f t="shared" si="32"/>
        <v>5.099198241</v>
      </c>
      <c r="I273" s="22">
        <f t="shared" si="3"/>
        <v>0.7975753709</v>
      </c>
      <c r="J273" s="22">
        <f t="shared" si="33"/>
        <v>-0.1209124262</v>
      </c>
    </row>
    <row r="274" ht="15.75" customHeight="1">
      <c r="A274" s="25">
        <f>IFERROR(__xludf.DUMMYFUNCTION("""COMPUTED_VALUE"""),38044.666666666664)</f>
        <v>38044.66667</v>
      </c>
      <c r="B274" s="22">
        <f>IFERROR(__xludf.DUMMYFUNCTION("""COMPUTED_VALUE"""),1144.94)</f>
        <v>1144.94</v>
      </c>
      <c r="C274" s="22">
        <f t="shared" si="6"/>
        <v>1145.447277</v>
      </c>
      <c r="D274" s="25">
        <f>IFERROR(__xludf.DUMMYFUNCTION("""COMPUTED_VALUE"""),38044.99861111111)</f>
        <v>38044.99861</v>
      </c>
      <c r="E274" s="22">
        <f>IFERROR(__xludf.DUMMYFUNCTION("""COMPUTED_VALUE"""),1.2489)</f>
        <v>1.2489</v>
      </c>
      <c r="F274" s="22">
        <f t="shared" si="8"/>
        <v>96.84289242</v>
      </c>
      <c r="G274" s="22">
        <f t="shared" si="31"/>
        <v>23.86044151</v>
      </c>
      <c r="H274" s="22">
        <f t="shared" si="32"/>
        <v>3.662693859</v>
      </c>
      <c r="I274" s="22">
        <f t="shared" si="3"/>
        <v>0.8007046201</v>
      </c>
      <c r="J274" s="22">
        <f t="shared" si="33"/>
        <v>-0.1340379534</v>
      </c>
    </row>
    <row r="275" ht="15.75" customHeight="1">
      <c r="A275" s="25">
        <f>IFERROR(__xludf.DUMMYFUNCTION("""COMPUTED_VALUE"""),38051.666666666664)</f>
        <v>38051.66667</v>
      </c>
      <c r="B275" s="22">
        <f>IFERROR(__xludf.DUMMYFUNCTION("""COMPUTED_VALUE"""),1156.86)</f>
        <v>1156.86</v>
      </c>
      <c r="C275" s="22">
        <f t="shared" si="6"/>
        <v>1157.367645</v>
      </c>
      <c r="D275" s="25">
        <f>IFERROR(__xludf.DUMMYFUNCTION("""COMPUTED_VALUE"""),38051.99861111111)</f>
        <v>38051.99861</v>
      </c>
      <c r="E275" s="22">
        <f>IFERROR(__xludf.DUMMYFUNCTION("""COMPUTED_VALUE"""),1.2363)</f>
        <v>1.2363</v>
      </c>
      <c r="F275" s="22">
        <f t="shared" si="8"/>
        <v>96.86350698</v>
      </c>
      <c r="G275" s="22">
        <f t="shared" si="31"/>
        <v>24.25585329</v>
      </c>
      <c r="H275" s="22">
        <f t="shared" si="32"/>
        <v>1.355376041</v>
      </c>
      <c r="I275" s="22">
        <f t="shared" si="3"/>
        <v>0.8088651622</v>
      </c>
      <c r="J275" s="22">
        <f t="shared" si="33"/>
        <v>-0.1183369732</v>
      </c>
    </row>
    <row r="276" ht="15.75" customHeight="1">
      <c r="A276" s="25">
        <f>IFERROR(__xludf.DUMMYFUNCTION("""COMPUTED_VALUE"""),38058.666666666664)</f>
        <v>38058.66667</v>
      </c>
      <c r="B276" s="22">
        <f>IFERROR(__xludf.DUMMYFUNCTION("""COMPUTED_VALUE"""),1120.6)</f>
        <v>1120.6</v>
      </c>
      <c r="C276" s="22">
        <f t="shared" si="6"/>
        <v>1121.11293</v>
      </c>
      <c r="D276" s="25">
        <f>IFERROR(__xludf.DUMMYFUNCTION("""COMPUTED_VALUE"""),38058.99861111111)</f>
        <v>38058.99861</v>
      </c>
      <c r="E276" s="22">
        <f>IFERROR(__xludf.DUMMYFUNCTION("""COMPUTED_VALUE"""),1.2219)</f>
        <v>1.2219</v>
      </c>
      <c r="F276" s="22">
        <f t="shared" si="8"/>
        <v>92.73635214</v>
      </c>
      <c r="G276" s="22">
        <f t="shared" si="31"/>
        <v>32.74643215</v>
      </c>
      <c r="H276" s="22">
        <f t="shared" si="32"/>
        <v>-3.19921298</v>
      </c>
      <c r="I276" s="22">
        <f t="shared" si="3"/>
        <v>0.8183975775</v>
      </c>
      <c r="J276" s="22">
        <f t="shared" si="33"/>
        <v>-0.1090105573</v>
      </c>
    </row>
    <row r="277" ht="15.75" customHeight="1">
      <c r="A277" s="25">
        <f>IFERROR(__xludf.DUMMYFUNCTION("""COMPUTED_VALUE"""),38065.666666666664)</f>
        <v>38065.66667</v>
      </c>
      <c r="B277" s="22">
        <f>IFERROR(__xludf.DUMMYFUNCTION("""COMPUTED_VALUE"""),1109.74)</f>
        <v>1109.74</v>
      </c>
      <c r="C277" s="22">
        <f t="shared" si="6"/>
        <v>1110.236853</v>
      </c>
      <c r="D277" s="25">
        <f>IFERROR(__xludf.DUMMYFUNCTION("""COMPUTED_VALUE"""),38065.99861111111)</f>
        <v>38065.99861</v>
      </c>
      <c r="E277" s="22">
        <f>IFERROR(__xludf.DUMMYFUNCTION("""COMPUTED_VALUE"""),1.2281)</f>
        <v>1.2281</v>
      </c>
      <c r="F277" s="22">
        <f t="shared" si="8"/>
        <v>92.30268892</v>
      </c>
      <c r="G277" s="22">
        <f t="shared" si="31"/>
        <v>34.41922663</v>
      </c>
      <c r="H277" s="22">
        <f t="shared" si="32"/>
        <v>-1.280614801</v>
      </c>
      <c r="I277" s="22">
        <f t="shared" si="3"/>
        <v>0.8142659393</v>
      </c>
      <c r="J277" s="22">
        <f t="shared" si="33"/>
        <v>-0.1236869962</v>
      </c>
    </row>
    <row r="278" ht="15.75" customHeight="1">
      <c r="A278" s="25">
        <f>IFERROR(__xludf.DUMMYFUNCTION("""COMPUTED_VALUE"""),38072.666666666664)</f>
        <v>38072.66667</v>
      </c>
      <c r="B278" s="22">
        <f>IFERROR(__xludf.DUMMYFUNCTION("""COMPUTED_VALUE"""),1108.02)</f>
        <v>1108.02</v>
      </c>
      <c r="C278" s="22">
        <f t="shared" si="6"/>
        <v>1108.512038</v>
      </c>
      <c r="D278" s="25">
        <f>IFERROR(__xludf.DUMMYFUNCTION("""COMPUTED_VALUE"""),38072.99861111111)</f>
        <v>38072.99861</v>
      </c>
      <c r="E278" s="22">
        <f>IFERROR(__xludf.DUMMYFUNCTION("""COMPUTED_VALUE"""),1.2115)</f>
        <v>1.2115</v>
      </c>
      <c r="F278" s="22">
        <f t="shared" si="8"/>
        <v>90.91359147</v>
      </c>
      <c r="G278" s="22">
        <f t="shared" si="31"/>
        <v>32.171027</v>
      </c>
      <c r="H278" s="22">
        <f t="shared" si="32"/>
        <v>-3.786504498</v>
      </c>
      <c r="I278" s="22">
        <f t="shared" si="3"/>
        <v>0.8254230293</v>
      </c>
      <c r="J278" s="22">
        <f t="shared" si="33"/>
        <v>-0.1098638052</v>
      </c>
    </row>
    <row r="279" ht="15.75" customHeight="1">
      <c r="A279" s="25">
        <f>IFERROR(__xludf.DUMMYFUNCTION("""COMPUTED_VALUE"""),38079.666666666664)</f>
        <v>38079.66667</v>
      </c>
      <c r="B279" s="22">
        <f>IFERROR(__xludf.DUMMYFUNCTION("""COMPUTED_VALUE"""),1141.8)</f>
        <v>1141.8</v>
      </c>
      <c r="C279" s="22">
        <f t="shared" si="6"/>
        <v>1142.291275</v>
      </c>
      <c r="D279" s="25">
        <f>IFERROR(__xludf.DUMMYFUNCTION("""COMPUTED_VALUE"""),38079.99861111111)</f>
        <v>38079.99861</v>
      </c>
      <c r="E279" s="22">
        <f>IFERROR(__xludf.DUMMYFUNCTION("""COMPUTED_VALUE"""),1.2121)</f>
        <v>1.2121</v>
      </c>
      <c r="F279" s="22">
        <f t="shared" si="8"/>
        <v>93.73036178</v>
      </c>
      <c r="G279" s="22">
        <f t="shared" si="31"/>
        <v>35.66702464</v>
      </c>
      <c r="H279" s="22">
        <f t="shared" si="32"/>
        <v>-4.890037459</v>
      </c>
      <c r="I279" s="22">
        <f t="shared" si="3"/>
        <v>0.8250144378</v>
      </c>
      <c r="J279" s="22">
        <f t="shared" si="33"/>
        <v>-0.1096444188</v>
      </c>
    </row>
    <row r="280" ht="15.75" customHeight="1">
      <c r="A280" s="25">
        <f>IFERROR(__xludf.DUMMYFUNCTION("""COMPUTED_VALUE"""),38085.666666666664)</f>
        <v>38085.66667</v>
      </c>
      <c r="B280" s="22">
        <f>IFERROR(__xludf.DUMMYFUNCTION("""COMPUTED_VALUE"""),1139.33)</f>
        <v>1139.33</v>
      </c>
      <c r="C280" s="22">
        <f t="shared" si="6"/>
        <v>1139.836253</v>
      </c>
      <c r="D280" s="25">
        <f>IFERROR(__xludf.DUMMYFUNCTION("""COMPUTED_VALUE"""),38086.99861111111)</f>
        <v>38086.99861</v>
      </c>
      <c r="E280" s="22">
        <f>IFERROR(__xludf.DUMMYFUNCTION("""COMPUTED_VALUE"""),1.2097)</f>
        <v>1.2097</v>
      </c>
      <c r="F280" s="22">
        <f t="shared" si="8"/>
        <v>93.34372516</v>
      </c>
      <c r="G280" s="22">
        <f t="shared" si="31"/>
        <v>31.14609363</v>
      </c>
      <c r="H280" s="22">
        <f t="shared" si="32"/>
        <v>-2.291384271</v>
      </c>
      <c r="I280" s="22">
        <f t="shared" si="3"/>
        <v>0.8266512358</v>
      </c>
      <c r="J280" s="22">
        <f t="shared" si="33"/>
        <v>-0.1158138381</v>
      </c>
    </row>
    <row r="281" ht="15.75" customHeight="1">
      <c r="A281" s="25">
        <f>IFERROR(__xludf.DUMMYFUNCTION("""COMPUTED_VALUE"""),38093.666666666664)</f>
        <v>38093.66667</v>
      </c>
      <c r="B281" s="22">
        <f>IFERROR(__xludf.DUMMYFUNCTION("""COMPUTED_VALUE"""),1134.56)</f>
        <v>1134.56</v>
      </c>
      <c r="C281" s="22">
        <f t="shared" si="6"/>
        <v>1135.065157</v>
      </c>
      <c r="D281" s="25">
        <f>IFERROR(__xludf.DUMMYFUNCTION("""COMPUTED_VALUE"""),38093.99861111111)</f>
        <v>38093.99861</v>
      </c>
      <c r="E281" s="22">
        <f>IFERROR(__xludf.DUMMYFUNCTION("""COMPUTED_VALUE"""),1.198)</f>
        <v>1.198</v>
      </c>
      <c r="F281" s="22">
        <f t="shared" si="8"/>
        <v>92.05398484</v>
      </c>
      <c r="G281" s="22">
        <f t="shared" si="31"/>
        <v>21.33085878</v>
      </c>
      <c r="H281" s="22">
        <f t="shared" si="32"/>
        <v>-5.536510946</v>
      </c>
      <c r="I281" s="22">
        <f t="shared" si="3"/>
        <v>0.8347245409</v>
      </c>
      <c r="J281" s="22">
        <f t="shared" si="33"/>
        <v>-0.1147746244</v>
      </c>
    </row>
    <row r="282" ht="15.75" customHeight="1">
      <c r="A282" s="25">
        <f>IFERROR(__xludf.DUMMYFUNCTION("""COMPUTED_VALUE"""),38100.666666666664)</f>
        <v>38100.66667</v>
      </c>
      <c r="B282" s="22">
        <f>IFERROR(__xludf.DUMMYFUNCTION("""COMPUTED_VALUE"""),1140.6)</f>
        <v>1140.6</v>
      </c>
      <c r="C282" s="22">
        <f t="shared" si="6"/>
        <v>1141.103042</v>
      </c>
      <c r="D282" s="25">
        <f>IFERROR(__xludf.DUMMYFUNCTION("""COMPUTED_VALUE"""),38100.99861111111)</f>
        <v>38100.99861</v>
      </c>
      <c r="E282" s="22">
        <f>IFERROR(__xludf.DUMMYFUNCTION("""COMPUTED_VALUE"""),1.1842)</f>
        <v>1.1842</v>
      </c>
      <c r="F282" s="22">
        <f t="shared" si="8"/>
        <v>91.4776296</v>
      </c>
      <c r="G282" s="22">
        <f t="shared" si="31"/>
        <v>21.14101976</v>
      </c>
      <c r="H282" s="22">
        <f t="shared" si="32"/>
        <v>-4.284874761</v>
      </c>
      <c r="I282" s="22">
        <f t="shared" si="3"/>
        <v>0.8444519507</v>
      </c>
      <c r="J282" s="22">
        <f t="shared" si="33"/>
        <v>-0.1074987333</v>
      </c>
    </row>
    <row r="283" ht="15.75" customHeight="1">
      <c r="A283" s="25">
        <f>IFERROR(__xludf.DUMMYFUNCTION("""COMPUTED_VALUE"""),38107.666666666664)</f>
        <v>38107.66667</v>
      </c>
      <c r="B283" s="22">
        <f>IFERROR(__xludf.DUMMYFUNCTION("""COMPUTED_VALUE"""),1107.24)</f>
        <v>1107.24</v>
      </c>
      <c r="C283" s="22">
        <f t="shared" si="6"/>
        <v>1107.74572</v>
      </c>
      <c r="D283" s="25">
        <f>IFERROR(__xludf.DUMMYFUNCTION("""COMPUTED_VALUE"""),38107.99861111111)</f>
        <v>38107.99861</v>
      </c>
      <c r="E283" s="22">
        <f>IFERROR(__xludf.DUMMYFUNCTION("""COMPUTED_VALUE"""),1.198)</f>
        <v>1.198</v>
      </c>
      <c r="F283" s="22">
        <f t="shared" si="8"/>
        <v>89.83837368</v>
      </c>
      <c r="G283" s="22">
        <f t="shared" si="31"/>
        <v>17.4101192</v>
      </c>
      <c r="H283" s="22">
        <f t="shared" si="32"/>
        <v>-8.299207306</v>
      </c>
      <c r="I283" s="22">
        <f t="shared" si="3"/>
        <v>0.8347245409</v>
      </c>
      <c r="J283" s="22">
        <f t="shared" si="33"/>
        <v>-0.1022537563</v>
      </c>
    </row>
    <row r="284" ht="15.75" customHeight="1">
      <c r="A284" s="25">
        <f>IFERROR(__xludf.DUMMYFUNCTION("""COMPUTED_VALUE"""),38114.666666666664)</f>
        <v>38114.66667</v>
      </c>
      <c r="B284" s="22">
        <f>IFERROR(__xludf.DUMMYFUNCTION("""COMPUTED_VALUE"""),1098.7)</f>
        <v>1098.7</v>
      </c>
      <c r="C284" s="22">
        <f t="shared" si="6"/>
        <v>1099.190929</v>
      </c>
      <c r="D284" s="25">
        <f>IFERROR(__xludf.DUMMYFUNCTION("""COMPUTED_VALUE"""),38114.99861111111)</f>
        <v>38114.99861</v>
      </c>
      <c r="E284" s="22">
        <f>IFERROR(__xludf.DUMMYFUNCTION("""COMPUTED_VALUE"""),1.1875)</f>
        <v>1.1875</v>
      </c>
      <c r="F284" s="22">
        <f t="shared" si="8"/>
        <v>88.36326134</v>
      </c>
      <c r="G284" s="22">
        <f t="shared" si="31"/>
        <v>19.75826567</v>
      </c>
      <c r="H284" s="22">
        <f t="shared" si="32"/>
        <v>-8.468926203</v>
      </c>
      <c r="I284" s="22">
        <f t="shared" si="3"/>
        <v>0.8421052632</v>
      </c>
      <c r="J284" s="22">
        <f t="shared" si="33"/>
        <v>-0.1027368421</v>
      </c>
    </row>
    <row r="285" ht="15.75" customHeight="1">
      <c r="A285" s="25">
        <f>IFERROR(__xludf.DUMMYFUNCTION("""COMPUTED_VALUE"""),38121.666666666664)</f>
        <v>38121.66667</v>
      </c>
      <c r="B285" s="22">
        <f>IFERROR(__xludf.DUMMYFUNCTION("""COMPUTED_VALUE"""),1095.7)</f>
        <v>1095.7</v>
      </c>
      <c r="C285" s="22">
        <f t="shared" si="6"/>
        <v>1096.187143</v>
      </c>
      <c r="D285" s="25">
        <f>IFERROR(__xludf.DUMMYFUNCTION("""COMPUTED_VALUE"""),38121.99861111111)</f>
        <v>38121.99861</v>
      </c>
      <c r="E285" s="22">
        <f>IFERROR(__xludf.DUMMYFUNCTION("""COMPUTED_VALUE"""),1.1888)</f>
        <v>1.1888</v>
      </c>
      <c r="F285" s="22">
        <f t="shared" si="8"/>
        <v>88.21825902</v>
      </c>
      <c r="G285" s="22">
        <f t="shared" si="31"/>
        <v>14.83236268</v>
      </c>
      <c r="H285" s="22">
        <f t="shared" si="32"/>
        <v>-7.521742213</v>
      </c>
      <c r="I285" s="22">
        <f t="shared" si="3"/>
        <v>0.8411843876</v>
      </c>
      <c r="J285" s="22">
        <f t="shared" si="33"/>
        <v>-0.1093539704</v>
      </c>
    </row>
    <row r="286" ht="15.75" customHeight="1">
      <c r="A286" s="25">
        <f>IFERROR(__xludf.DUMMYFUNCTION("""COMPUTED_VALUE"""),38128.666666666664)</f>
        <v>38128.66667</v>
      </c>
      <c r="B286" s="22">
        <f>IFERROR(__xludf.DUMMYFUNCTION("""COMPUTED_VALUE"""),1093.56)</f>
        <v>1093.56</v>
      </c>
      <c r="C286" s="22">
        <f t="shared" si="6"/>
        <v>1094.045813</v>
      </c>
      <c r="D286" s="25">
        <f>IFERROR(__xludf.DUMMYFUNCTION("""COMPUTED_VALUE"""),38128.99861111111)</f>
        <v>38128.99861</v>
      </c>
      <c r="E286" s="22">
        <f>IFERROR(__xludf.DUMMYFUNCTION("""COMPUTED_VALUE"""),1.202)</f>
        <v>1.202</v>
      </c>
      <c r="F286" s="22">
        <f t="shared" si="8"/>
        <v>89.02356018</v>
      </c>
      <c r="G286" s="22">
        <f t="shared" si="31"/>
        <v>19.50884987</v>
      </c>
      <c r="H286" s="22">
        <f t="shared" si="32"/>
        <v>-3.176386646</v>
      </c>
      <c r="I286" s="22">
        <f t="shared" si="3"/>
        <v>0.8319467554</v>
      </c>
      <c r="J286" s="22">
        <f t="shared" si="33"/>
        <v>-0.1324459235</v>
      </c>
    </row>
    <row r="287" ht="15.75" customHeight="1">
      <c r="A287" s="25">
        <f>IFERROR(__xludf.DUMMYFUNCTION("""COMPUTED_VALUE"""),38135.666666666664)</f>
        <v>38135.66667</v>
      </c>
      <c r="B287" s="22">
        <f>IFERROR(__xludf.DUMMYFUNCTION("""COMPUTED_VALUE"""),1120.68)</f>
        <v>1120.68</v>
      </c>
      <c r="C287" s="22">
        <f t="shared" si="6"/>
        <v>1121.164864</v>
      </c>
      <c r="D287" s="25">
        <f>IFERROR(__xludf.DUMMYFUNCTION("""COMPUTED_VALUE"""),38135.99861111111)</f>
        <v>38135.99861</v>
      </c>
      <c r="E287" s="22">
        <f>IFERROR(__xludf.DUMMYFUNCTION("""COMPUTED_VALUE"""),1.2212)</f>
        <v>1.2212</v>
      </c>
      <c r="F287" s="22">
        <f t="shared" si="8"/>
        <v>92.68751892</v>
      </c>
      <c r="G287" s="22">
        <f t="shared" si="31"/>
        <v>28.0914097</v>
      </c>
      <c r="H287" s="22">
        <f t="shared" si="32"/>
        <v>-0.6057472886</v>
      </c>
      <c r="I287" s="22">
        <f t="shared" si="3"/>
        <v>0.8188666885</v>
      </c>
      <c r="J287" s="22">
        <f t="shared" si="33"/>
        <v>-0.150589584</v>
      </c>
    </row>
    <row r="288" ht="15.75" customHeight="1">
      <c r="A288" s="25">
        <f>IFERROR(__xludf.DUMMYFUNCTION("""COMPUTED_VALUE"""),38142.666666666664)</f>
        <v>38142.66667</v>
      </c>
      <c r="B288" s="22">
        <f>IFERROR(__xludf.DUMMYFUNCTION("""COMPUTED_VALUE"""),1122.5)</f>
        <v>1122.5</v>
      </c>
      <c r="C288" s="22">
        <f t="shared" si="6"/>
        <v>1122.996888</v>
      </c>
      <c r="D288" s="25">
        <f>IFERROR(__xludf.DUMMYFUNCTION("""COMPUTED_VALUE"""),38142.99861111111)</f>
        <v>38142.99861</v>
      </c>
      <c r="E288" s="22">
        <f>IFERROR(__xludf.DUMMYFUNCTION("""COMPUTED_VALUE"""),1.2268)</f>
        <v>1.2268</v>
      </c>
      <c r="F288" s="22">
        <f t="shared" si="8"/>
        <v>93.26470108</v>
      </c>
      <c r="G288" s="22">
        <f t="shared" si="31"/>
        <v>27.92360013</v>
      </c>
      <c r="H288" s="22">
        <f t="shared" si="32"/>
        <v>1.300412871</v>
      </c>
      <c r="I288" s="22">
        <f t="shared" si="3"/>
        <v>0.8151287903</v>
      </c>
      <c r="J288" s="22">
        <f t="shared" si="33"/>
        <v>-0.1434626671</v>
      </c>
    </row>
    <row r="289" ht="15.75" customHeight="1">
      <c r="A289" s="25">
        <f>IFERROR(__xludf.DUMMYFUNCTION("""COMPUTED_VALUE"""),38148.666666666664)</f>
        <v>38148.66667</v>
      </c>
      <c r="B289" s="22">
        <f>IFERROR(__xludf.DUMMYFUNCTION("""COMPUTED_VALUE"""),1136.47)</f>
        <v>1136.47</v>
      </c>
      <c r="C289" s="22">
        <f t="shared" si="6"/>
        <v>1136.967695</v>
      </c>
      <c r="D289" s="25">
        <f>IFERROR(__xludf.DUMMYFUNCTION("""COMPUTED_VALUE"""),38149.99861111111)</f>
        <v>38149.99861</v>
      </c>
      <c r="E289" s="22">
        <f>IFERROR(__xludf.DUMMYFUNCTION("""COMPUTED_VALUE"""),1.2003)</f>
        <v>1.2003</v>
      </c>
      <c r="F289" s="22">
        <f t="shared" si="8"/>
        <v>92.38530858</v>
      </c>
      <c r="G289" s="22">
        <f t="shared" si="31"/>
        <v>30.3417211</v>
      </c>
      <c r="H289" s="22">
        <f t="shared" si="32"/>
        <v>-2.275445174</v>
      </c>
      <c r="I289" s="22">
        <f t="shared" si="3"/>
        <v>0.8331250521</v>
      </c>
      <c r="J289" s="22">
        <f t="shared" si="33"/>
        <v>-0.1339665084</v>
      </c>
    </row>
    <row r="290" ht="15.75" customHeight="1">
      <c r="A290" s="25">
        <f>IFERROR(__xludf.DUMMYFUNCTION("""COMPUTED_VALUE"""),38156.666666666664)</f>
        <v>38156.66667</v>
      </c>
      <c r="B290" s="22">
        <f>IFERROR(__xludf.DUMMYFUNCTION("""COMPUTED_VALUE"""),1136.85)</f>
        <v>1136.85</v>
      </c>
      <c r="C290" s="22">
        <f t="shared" si="6"/>
        <v>1137.353889</v>
      </c>
      <c r="D290" s="25">
        <f>IFERROR(__xludf.DUMMYFUNCTION("""COMPUTED_VALUE"""),38156.99861111111)</f>
        <v>38156.99861</v>
      </c>
      <c r="E290" s="22">
        <f>IFERROR(__xludf.DUMMYFUNCTION("""COMPUTED_VALUE"""),1.214)</f>
        <v>1.214</v>
      </c>
      <c r="F290" s="22">
        <f t="shared" si="8"/>
        <v>93.47151594</v>
      </c>
      <c r="G290" s="22">
        <f t="shared" si="31"/>
        <v>31.44171496</v>
      </c>
      <c r="H290" s="22">
        <f t="shared" si="32"/>
        <v>0.6209968473</v>
      </c>
      <c r="I290" s="22">
        <f t="shared" si="3"/>
        <v>0.823723229</v>
      </c>
      <c r="J290" s="22">
        <f t="shared" si="33"/>
        <v>-0.1410214168</v>
      </c>
    </row>
    <row r="291" ht="15.75" customHeight="1">
      <c r="A291" s="25">
        <f>IFERROR(__xludf.DUMMYFUNCTION("""COMPUTED_VALUE"""),38163.666666666664)</f>
        <v>38163.66667</v>
      </c>
      <c r="B291" s="22">
        <f>IFERROR(__xludf.DUMMYFUNCTION("""COMPUTED_VALUE"""),1134.43)</f>
        <v>1134.43</v>
      </c>
      <c r="C291" s="22">
        <f t="shared" si="6"/>
        <v>1134.934058</v>
      </c>
      <c r="D291" s="25">
        <f>IFERROR(__xludf.DUMMYFUNCTION("""COMPUTED_VALUE"""),38163.99861111111)</f>
        <v>38163.99861</v>
      </c>
      <c r="E291" s="22">
        <f>IFERROR(__xludf.DUMMYFUNCTION("""COMPUTED_VALUE"""),1.2195)</f>
        <v>1.2195</v>
      </c>
      <c r="F291" s="22">
        <f t="shared" si="8"/>
        <v>93.69521581</v>
      </c>
      <c r="G291" s="22">
        <f t="shared" si="31"/>
        <v>32.80409355</v>
      </c>
      <c r="H291" s="22">
        <f t="shared" si="32"/>
        <v>-2.925527769</v>
      </c>
      <c r="I291" s="22">
        <f t="shared" si="3"/>
        <v>0.8200082001</v>
      </c>
      <c r="J291" s="22">
        <f t="shared" si="33"/>
        <v>-0.1599835998</v>
      </c>
    </row>
    <row r="292" ht="15.75" customHeight="1">
      <c r="A292" s="25">
        <f>IFERROR(__xludf.DUMMYFUNCTION("""COMPUTED_VALUE"""),38170.666666666664)</f>
        <v>38170.66667</v>
      </c>
      <c r="B292" s="22">
        <f>IFERROR(__xludf.DUMMYFUNCTION("""COMPUTED_VALUE"""),1125.38)</f>
        <v>1125.38</v>
      </c>
      <c r="C292" s="22">
        <f t="shared" si="6"/>
        <v>1125.882985</v>
      </c>
      <c r="D292" s="25">
        <f>IFERROR(__xludf.DUMMYFUNCTION("""COMPUTED_VALUE"""),38170.99861111111)</f>
        <v>38170.99861</v>
      </c>
      <c r="E292" s="22">
        <f>IFERROR(__xludf.DUMMYFUNCTION("""COMPUTED_VALUE"""),1.2311)</f>
        <v>1.2311</v>
      </c>
      <c r="F292" s="22">
        <f t="shared" si="8"/>
        <v>93.83212883</v>
      </c>
      <c r="G292" s="22">
        <f t="shared" si="31"/>
        <v>37.3373776</v>
      </c>
      <c r="H292" s="22">
        <f t="shared" si="32"/>
        <v>-3.157908507</v>
      </c>
      <c r="I292" s="22">
        <f t="shared" si="3"/>
        <v>0.8122816993</v>
      </c>
      <c r="J292" s="22">
        <f t="shared" si="33"/>
        <v>-0.1718788076</v>
      </c>
    </row>
    <row r="293" ht="15.75" customHeight="1">
      <c r="A293" s="25">
        <f>IFERROR(__xludf.DUMMYFUNCTION("""COMPUTED_VALUE"""),38177.666666666664)</f>
        <v>38177.66667</v>
      </c>
      <c r="B293" s="22">
        <f>IFERROR(__xludf.DUMMYFUNCTION("""COMPUTED_VALUE"""),1112.81)</f>
        <v>1112.81</v>
      </c>
      <c r="C293" s="22">
        <f t="shared" si="6"/>
        <v>1113.308972</v>
      </c>
      <c r="D293" s="25">
        <f>IFERROR(__xludf.DUMMYFUNCTION("""COMPUTED_VALUE"""),38177.99861111111)</f>
        <v>38177.99861</v>
      </c>
      <c r="E293" s="22">
        <f>IFERROR(__xludf.DUMMYFUNCTION("""COMPUTED_VALUE"""),1.2413)</f>
        <v>1.2413</v>
      </c>
      <c r="F293" s="22">
        <f t="shared" si="8"/>
        <v>93.55294144</v>
      </c>
      <c r="G293" s="22">
        <f t="shared" si="31"/>
        <v>33.03806753</v>
      </c>
      <c r="H293" s="22">
        <f t="shared" si="32"/>
        <v>-4.491425102</v>
      </c>
      <c r="I293" s="22">
        <f t="shared" si="3"/>
        <v>0.8056070249</v>
      </c>
      <c r="J293" s="22">
        <f t="shared" si="33"/>
        <v>-0.1787641988</v>
      </c>
    </row>
    <row r="294" ht="15.75" customHeight="1">
      <c r="A294" s="25">
        <f>IFERROR(__xludf.DUMMYFUNCTION("""COMPUTED_VALUE"""),38184.666666666664)</f>
        <v>38184.66667</v>
      </c>
      <c r="B294" s="22">
        <f>IFERROR(__xludf.DUMMYFUNCTION("""COMPUTED_VALUE"""),1101.39)</f>
        <v>1101.39</v>
      </c>
      <c r="C294" s="22">
        <f t="shared" si="6"/>
        <v>1101.883399</v>
      </c>
      <c r="D294" s="25">
        <f>IFERROR(__xludf.DUMMYFUNCTION("""COMPUTED_VALUE"""),38184.99861111111)</f>
        <v>38184.99861</v>
      </c>
      <c r="E294" s="22">
        <f>IFERROR(__xludf.DUMMYFUNCTION("""COMPUTED_VALUE"""),1.2452)</f>
        <v>1.2452</v>
      </c>
      <c r="F294" s="22">
        <f t="shared" si="8"/>
        <v>92.88374862</v>
      </c>
      <c r="G294" s="22">
        <f t="shared" si="31"/>
        <v>30.00895159</v>
      </c>
      <c r="H294" s="22">
        <f t="shared" si="32"/>
        <v>-3.946206148</v>
      </c>
      <c r="I294" s="22">
        <f t="shared" si="3"/>
        <v>0.803083842</v>
      </c>
      <c r="J294" s="22">
        <f t="shared" si="33"/>
        <v>-0.1549951815</v>
      </c>
    </row>
    <row r="295" ht="15.75" customHeight="1">
      <c r="A295" s="25">
        <f>IFERROR(__xludf.DUMMYFUNCTION("""COMPUTED_VALUE"""),38191.666666666664)</f>
        <v>38191.66667</v>
      </c>
      <c r="B295" s="22">
        <f>IFERROR(__xludf.DUMMYFUNCTION("""COMPUTED_VALUE"""),1086.2)</f>
        <v>1086.2</v>
      </c>
      <c r="C295" s="22">
        <f t="shared" si="6"/>
        <v>1086.688335</v>
      </c>
      <c r="D295" s="25">
        <f>IFERROR(__xludf.DUMMYFUNCTION("""COMPUTED_VALUE"""),38191.99861111111)</f>
        <v>38191.99861</v>
      </c>
      <c r="E295" s="22">
        <f>IFERROR(__xludf.DUMMYFUNCTION("""COMPUTED_VALUE"""),1.2103)</f>
        <v>1.2103</v>
      </c>
      <c r="F295" s="22">
        <f t="shared" si="8"/>
        <v>89.03546293</v>
      </c>
      <c r="G295" s="22">
        <f t="shared" si="31"/>
        <v>24.31474522</v>
      </c>
      <c r="H295" s="22">
        <f t="shared" si="32"/>
        <v>-7.57673814</v>
      </c>
      <c r="I295" s="22">
        <f t="shared" si="3"/>
        <v>0.8262414277</v>
      </c>
      <c r="J295" s="22">
        <f t="shared" si="33"/>
        <v>-0.1155085516</v>
      </c>
    </row>
    <row r="296" ht="15.75" customHeight="1">
      <c r="A296" s="25">
        <f>IFERROR(__xludf.DUMMYFUNCTION("""COMPUTED_VALUE"""),38198.666666666664)</f>
        <v>38198.66667</v>
      </c>
      <c r="B296" s="22">
        <f>IFERROR(__xludf.DUMMYFUNCTION("""COMPUTED_VALUE"""),1101.72)</f>
        <v>1101.72</v>
      </c>
      <c r="C296" s="22">
        <f t="shared" si="6"/>
        <v>1102.201601</v>
      </c>
      <c r="D296" s="25">
        <f>IFERROR(__xludf.DUMMYFUNCTION("""COMPUTED_VALUE"""),38198.99861111111)</f>
        <v>38198.99861</v>
      </c>
      <c r="E296" s="22">
        <f>IFERROR(__xludf.DUMMYFUNCTION("""COMPUTED_VALUE"""),1.2011)</f>
        <v>1.2011</v>
      </c>
      <c r="F296" s="22">
        <f t="shared" si="8"/>
        <v>89.62005101</v>
      </c>
      <c r="G296" s="22">
        <f t="shared" si="31"/>
        <v>23.29661871</v>
      </c>
      <c r="H296" s="22">
        <f t="shared" si="32"/>
        <v>-5.15145803</v>
      </c>
      <c r="I296" s="22">
        <f t="shared" si="3"/>
        <v>0.832570144</v>
      </c>
      <c r="J296" s="22">
        <f t="shared" si="33"/>
        <v>-0.1067354925</v>
      </c>
    </row>
    <row r="297" ht="15.75" customHeight="1">
      <c r="A297" s="25">
        <f>IFERROR(__xludf.DUMMYFUNCTION("""COMPUTED_VALUE"""),38205.666666666664)</f>
        <v>38205.66667</v>
      </c>
      <c r="B297" s="22">
        <f>IFERROR(__xludf.DUMMYFUNCTION("""COMPUTED_VALUE"""),1063.97)</f>
        <v>1063.97</v>
      </c>
      <c r="C297" s="22">
        <f t="shared" si="6"/>
        <v>1064.458482</v>
      </c>
      <c r="D297" s="25">
        <f>IFERROR(__xludf.DUMMYFUNCTION("""COMPUTED_VALUE"""),38205.99861111111)</f>
        <v>38205.99861</v>
      </c>
      <c r="E297" s="22">
        <f>IFERROR(__xludf.DUMMYFUNCTION("""COMPUTED_VALUE"""),1.2301)</f>
        <v>1.2301</v>
      </c>
      <c r="F297" s="22">
        <f t="shared" si="8"/>
        <v>88.64089405</v>
      </c>
      <c r="G297" s="22">
        <f t="shared" si="31"/>
        <v>23.18613613</v>
      </c>
      <c r="H297" s="22">
        <f t="shared" si="32"/>
        <v>-6.727571613</v>
      </c>
      <c r="I297" s="22">
        <f t="shared" si="3"/>
        <v>0.8129420372</v>
      </c>
      <c r="J297" s="22">
        <f t="shared" si="33"/>
        <v>-0.1408015608</v>
      </c>
    </row>
    <row r="298" ht="15.75" customHeight="1">
      <c r="A298" s="25">
        <f>IFERROR(__xludf.DUMMYFUNCTION("""COMPUTED_VALUE"""),38212.666666666664)</f>
        <v>38212.66667</v>
      </c>
      <c r="B298" s="22">
        <f>IFERROR(__xludf.DUMMYFUNCTION("""COMPUTED_VALUE"""),1064.8)</f>
        <v>1064.8</v>
      </c>
      <c r="C298" s="22">
        <f t="shared" si="6"/>
        <v>1065.271744</v>
      </c>
      <c r="D298" s="25">
        <f>IFERROR(__xludf.DUMMYFUNCTION("""COMPUTED_VALUE"""),38212.99861111111)</f>
        <v>38212.99861</v>
      </c>
      <c r="E298" s="22">
        <f>IFERROR(__xludf.DUMMYFUNCTION("""COMPUTED_VALUE"""),1.2372)</f>
        <v>1.2372</v>
      </c>
      <c r="F298" s="22">
        <f t="shared" si="8"/>
        <v>89.22063328</v>
      </c>
      <c r="G298" s="22">
        <f t="shared" si="31"/>
        <v>23.59383987</v>
      </c>
      <c r="H298" s="22">
        <f t="shared" si="32"/>
        <v>-7.662697057</v>
      </c>
      <c r="I298" s="22">
        <f t="shared" si="3"/>
        <v>0.808276754</v>
      </c>
      <c r="J298" s="22">
        <f t="shared" si="33"/>
        <v>-0.1372453928</v>
      </c>
    </row>
    <row r="299" ht="15.75" customHeight="1">
      <c r="A299" s="25">
        <f>IFERROR(__xludf.DUMMYFUNCTION("""COMPUTED_VALUE"""),38219.666666666664)</f>
        <v>38219.66667</v>
      </c>
      <c r="B299" s="22">
        <f>IFERROR(__xludf.DUMMYFUNCTION("""COMPUTED_VALUE"""),1098.35)</f>
        <v>1098.35</v>
      </c>
      <c r="C299" s="22">
        <f t="shared" si="6"/>
        <v>1098.822112</v>
      </c>
      <c r="D299" s="25">
        <f>IFERROR(__xludf.DUMMYFUNCTION("""COMPUTED_VALUE"""),38219.99861111111)</f>
        <v>38219.99861</v>
      </c>
      <c r="E299" s="22">
        <f>IFERROR(__xludf.DUMMYFUNCTION("""COMPUTED_VALUE"""),1.2314)</f>
        <v>1.2314</v>
      </c>
      <c r="F299" s="22">
        <f t="shared" si="8"/>
        <v>91.59916654</v>
      </c>
      <c r="G299" s="22">
        <f t="shared" si="31"/>
        <v>24.97743329</v>
      </c>
      <c r="H299" s="22">
        <f t="shared" si="32"/>
        <v>-4.12561474</v>
      </c>
      <c r="I299" s="22">
        <f t="shared" si="3"/>
        <v>0.812083807</v>
      </c>
      <c r="J299" s="22">
        <f t="shared" si="33"/>
        <v>-0.1503167127</v>
      </c>
    </row>
    <row r="300" ht="15.75" customHeight="1">
      <c r="A300" s="25">
        <f>IFERROR(__xludf.DUMMYFUNCTION("""COMPUTED_VALUE"""),38226.666666666664)</f>
        <v>38226.66667</v>
      </c>
      <c r="B300" s="22">
        <f>IFERROR(__xludf.DUMMYFUNCTION("""COMPUTED_VALUE"""),1107.77)</f>
        <v>1107.77</v>
      </c>
      <c r="C300" s="22">
        <f t="shared" si="6"/>
        <v>1108.256988</v>
      </c>
      <c r="D300" s="25">
        <f>IFERROR(__xludf.DUMMYFUNCTION("""COMPUTED_VALUE"""),38226.99861111111)</f>
        <v>38226.99861</v>
      </c>
      <c r="E300" s="22">
        <f>IFERROR(__xludf.DUMMYFUNCTION("""COMPUTED_VALUE"""),1.2012)</f>
        <v>1.2012</v>
      </c>
      <c r="F300" s="22">
        <f t="shared" si="8"/>
        <v>90.11991723</v>
      </c>
      <c r="G300" s="22">
        <f t="shared" si="31"/>
        <v>28.68037709</v>
      </c>
      <c r="H300" s="22">
        <f t="shared" si="32"/>
        <v>-7.578205446</v>
      </c>
      <c r="I300" s="22">
        <f t="shared" si="3"/>
        <v>0.8325008325</v>
      </c>
      <c r="J300" s="22">
        <f t="shared" si="33"/>
        <v>-0.1168831169</v>
      </c>
    </row>
    <row r="301" ht="15.75" customHeight="1">
      <c r="A301" s="25">
        <f>IFERROR(__xludf.DUMMYFUNCTION("""COMPUTED_VALUE"""),38233.666666666664)</f>
        <v>38233.66667</v>
      </c>
      <c r="B301" s="22">
        <f>IFERROR(__xludf.DUMMYFUNCTION("""COMPUTED_VALUE"""),1113.63)</f>
        <v>1113.63</v>
      </c>
      <c r="C301" s="22">
        <f t="shared" si="6"/>
        <v>1114.121164</v>
      </c>
      <c r="D301" s="25">
        <f>IFERROR(__xludf.DUMMYFUNCTION("""COMPUTED_VALUE"""),38233.99861111111)</f>
        <v>38233.99861</v>
      </c>
      <c r="E301" s="22">
        <f>IFERROR(__xludf.DUMMYFUNCTION("""COMPUTED_VALUE"""),1.2051)</f>
        <v>1.2051</v>
      </c>
      <c r="F301" s="22">
        <f t="shared" si="8"/>
        <v>90.89091871</v>
      </c>
      <c r="G301" s="22">
        <f t="shared" si="31"/>
        <v>36.73896808</v>
      </c>
      <c r="H301" s="22">
        <f t="shared" si="32"/>
        <v>-4.1903528</v>
      </c>
      <c r="I301" s="22">
        <f t="shared" si="3"/>
        <v>0.829806655</v>
      </c>
      <c r="J301" s="22">
        <f t="shared" si="33"/>
        <v>-0.1400713634</v>
      </c>
    </row>
    <row r="302" ht="15.75" customHeight="1">
      <c r="A302" s="25">
        <f>IFERROR(__xludf.DUMMYFUNCTION("""COMPUTED_VALUE"""),38240.666666666664)</f>
        <v>38240.66667</v>
      </c>
      <c r="B302" s="22">
        <f>IFERROR(__xludf.DUMMYFUNCTION("""COMPUTED_VALUE"""),1123.92)</f>
        <v>1123.92</v>
      </c>
      <c r="C302" s="22">
        <f t="shared" si="6"/>
        <v>1124.413762</v>
      </c>
      <c r="D302" s="25">
        <f>IFERROR(__xludf.DUMMYFUNCTION("""COMPUTED_VALUE"""),38240.99861111111)</f>
        <v>38240.99861</v>
      </c>
      <c r="E302" s="22">
        <f>IFERROR(__xludf.DUMMYFUNCTION("""COMPUTED_VALUE"""),1.2265)</f>
        <v>1.2265</v>
      </c>
      <c r="F302" s="22">
        <f t="shared" si="8"/>
        <v>93.35953664</v>
      </c>
      <c r="G302" s="22">
        <f t="shared" si="31"/>
        <v>37.14412473</v>
      </c>
      <c r="H302" s="22">
        <f t="shared" si="32"/>
        <v>-0.9365944018</v>
      </c>
      <c r="I302" s="22">
        <f t="shared" si="3"/>
        <v>0.8153281696</v>
      </c>
      <c r="J302" s="22">
        <f t="shared" si="33"/>
        <v>-0.1504280473</v>
      </c>
    </row>
    <row r="303" ht="15.75" customHeight="1">
      <c r="A303" s="25">
        <f>IFERROR(__xludf.DUMMYFUNCTION("""COMPUTED_VALUE"""),38247.666666666664)</f>
        <v>38247.66667</v>
      </c>
      <c r="B303" s="22">
        <f>IFERROR(__xludf.DUMMYFUNCTION("""COMPUTED_VALUE"""),1128.55)</f>
        <v>1128.55</v>
      </c>
      <c r="C303" s="22">
        <f t="shared" si="6"/>
        <v>1129.048325</v>
      </c>
      <c r="D303" s="25">
        <f>IFERROR(__xludf.DUMMYFUNCTION("""COMPUTED_VALUE"""),38247.99861111111)</f>
        <v>38247.99861</v>
      </c>
      <c r="E303" s="22">
        <f>IFERROR(__xludf.DUMMYFUNCTION("""COMPUTED_VALUE"""),1.2183)</f>
        <v>1.2183</v>
      </c>
      <c r="F303" s="22">
        <f t="shared" si="8"/>
        <v>93.11759644</v>
      </c>
      <c r="G303" s="22">
        <f t="shared" si="31"/>
        <v>55.76257718</v>
      </c>
      <c r="H303" s="22">
        <f t="shared" si="32"/>
        <v>3.197194444</v>
      </c>
      <c r="I303" s="22">
        <f t="shared" si="3"/>
        <v>0.820815891</v>
      </c>
      <c r="J303" s="22">
        <f t="shared" si="33"/>
        <v>-0.1438890257</v>
      </c>
    </row>
    <row r="304" ht="15.75" customHeight="1">
      <c r="A304" s="25">
        <f>IFERROR(__xludf.DUMMYFUNCTION("""COMPUTED_VALUE"""),38254.666666666664)</f>
        <v>38254.66667</v>
      </c>
      <c r="B304" s="22">
        <f>IFERROR(__xludf.DUMMYFUNCTION("""COMPUTED_VALUE"""),1110.11)</f>
        <v>1110.11</v>
      </c>
      <c r="C304" s="22">
        <f t="shared" si="6"/>
        <v>1110.610378</v>
      </c>
      <c r="D304" s="25">
        <f>IFERROR(__xludf.DUMMYFUNCTION("""COMPUTED_VALUE"""),38254.99861111111)</f>
        <v>38254.99861</v>
      </c>
      <c r="E304" s="22">
        <f>IFERROR(__xludf.DUMMYFUNCTION("""COMPUTED_VALUE"""),1.227)</f>
        <v>1.227</v>
      </c>
      <c r="F304" s="22">
        <f t="shared" si="8"/>
        <v>92.25104032</v>
      </c>
      <c r="G304" s="22">
        <f t="shared" si="31"/>
        <v>43.65848068</v>
      </c>
      <c r="H304" s="22">
        <f t="shared" si="32"/>
        <v>-1.032406429</v>
      </c>
      <c r="I304" s="22">
        <f t="shared" si="3"/>
        <v>0.814995925</v>
      </c>
      <c r="J304" s="22">
        <f t="shared" si="33"/>
        <v>-0.125590872</v>
      </c>
    </row>
    <row r="305" ht="15.75" customHeight="1">
      <c r="A305" s="25">
        <f>IFERROR(__xludf.DUMMYFUNCTION("""COMPUTED_VALUE"""),38261.666666666664)</f>
        <v>38261.66667</v>
      </c>
      <c r="B305" s="22">
        <f>IFERROR(__xludf.DUMMYFUNCTION("""COMPUTED_VALUE"""),1131.5)</f>
        <v>1131.5</v>
      </c>
      <c r="C305" s="22">
        <f t="shared" si="6"/>
        <v>1131.992202</v>
      </c>
      <c r="D305" s="25">
        <f>IFERROR(__xludf.DUMMYFUNCTION("""COMPUTED_VALUE"""),38261.99861111111)</f>
        <v>38261.99861</v>
      </c>
      <c r="E305" s="22">
        <f>IFERROR(__xludf.DUMMYFUNCTION("""COMPUTED_VALUE"""),1.2393)</f>
        <v>1.2393</v>
      </c>
      <c r="F305" s="22">
        <f t="shared" si="8"/>
        <v>94.9696565</v>
      </c>
      <c r="G305" s="22">
        <f t="shared" si="31"/>
        <v>42.6071333</v>
      </c>
      <c r="H305" s="22">
        <f t="shared" si="32"/>
        <v>-1.223811462</v>
      </c>
      <c r="I305" s="22">
        <f t="shared" si="3"/>
        <v>0.806907125</v>
      </c>
      <c r="J305" s="22">
        <f t="shared" si="33"/>
        <v>-0.142580489</v>
      </c>
    </row>
    <row r="306" ht="15.75" customHeight="1">
      <c r="A306" s="25">
        <f>IFERROR(__xludf.DUMMYFUNCTION("""COMPUTED_VALUE"""),38268.666666666664)</f>
        <v>38268.66667</v>
      </c>
      <c r="B306" s="22">
        <f>IFERROR(__xludf.DUMMYFUNCTION("""COMPUTED_VALUE"""),1122.14)</f>
        <v>1122.14</v>
      </c>
      <c r="C306" s="22">
        <f t="shared" si="6"/>
        <v>1122.641686</v>
      </c>
      <c r="D306" s="25">
        <f>IFERROR(__xludf.DUMMYFUNCTION("""COMPUTED_VALUE"""),38268.99861111111)</f>
        <v>38268.99861</v>
      </c>
      <c r="E306" s="22">
        <f>IFERROR(__xludf.DUMMYFUNCTION("""COMPUTED_VALUE"""),1.2401)</f>
        <v>1.2401</v>
      </c>
      <c r="F306" s="22">
        <f t="shared" si="8"/>
        <v>94.24598424</v>
      </c>
      <c r="G306" s="22">
        <f t="shared" si="31"/>
        <v>39.97490285</v>
      </c>
      <c r="H306" s="22">
        <f t="shared" si="32"/>
        <v>2.757286757</v>
      </c>
      <c r="I306" s="22">
        <f t="shared" si="3"/>
        <v>0.8063865817</v>
      </c>
      <c r="J306" s="22">
        <f t="shared" si="33"/>
        <v>-0.1245867269</v>
      </c>
    </row>
    <row r="307" ht="15.75" customHeight="1">
      <c r="A307" s="25">
        <f>IFERROR(__xludf.DUMMYFUNCTION("""COMPUTED_VALUE"""),38275.666666666664)</f>
        <v>38275.66667</v>
      </c>
      <c r="B307" s="22">
        <f>IFERROR(__xludf.DUMMYFUNCTION("""COMPUTED_VALUE"""),1108.2)</f>
        <v>1108.2</v>
      </c>
      <c r="C307" s="22">
        <f t="shared" si="6"/>
        <v>1108.697536</v>
      </c>
      <c r="D307" s="25">
        <f>IFERROR(__xludf.DUMMYFUNCTION("""COMPUTED_VALUE"""),38275.99861111111)</f>
        <v>38275.99861</v>
      </c>
      <c r="E307" s="22">
        <f>IFERROR(__xludf.DUMMYFUNCTION("""COMPUTED_VALUE"""),1.2475)</f>
        <v>1.2475</v>
      </c>
      <c r="F307" s="22">
        <f t="shared" si="8"/>
        <v>93.63077517</v>
      </c>
      <c r="G307" s="22">
        <f t="shared" si="31"/>
        <v>43.36479109</v>
      </c>
      <c r="H307" s="22">
        <f t="shared" si="32"/>
        <v>-0.7175866559</v>
      </c>
      <c r="I307" s="22">
        <f t="shared" si="3"/>
        <v>0.8016032064</v>
      </c>
      <c r="J307" s="22">
        <f t="shared" si="33"/>
        <v>-0.1424448898</v>
      </c>
    </row>
    <row r="308" ht="15.75" customHeight="1">
      <c r="A308" s="25">
        <f>IFERROR(__xludf.DUMMYFUNCTION("""COMPUTED_VALUE"""),38282.666666666664)</f>
        <v>38282.66667</v>
      </c>
      <c r="B308" s="22">
        <f>IFERROR(__xludf.DUMMYFUNCTION("""COMPUTED_VALUE"""),1095.74)</f>
        <v>1095.74</v>
      </c>
      <c r="C308" s="22">
        <f t="shared" si="6"/>
        <v>1096.231355</v>
      </c>
      <c r="D308" s="25">
        <f>IFERROR(__xludf.DUMMYFUNCTION("""COMPUTED_VALUE"""),38282.99861111111)</f>
        <v>38282.99861</v>
      </c>
      <c r="E308" s="22">
        <f>IFERROR(__xludf.DUMMYFUNCTION("""COMPUTED_VALUE"""),1.2686)</f>
        <v>1.2686</v>
      </c>
      <c r="F308" s="22">
        <f t="shared" si="8"/>
        <v>94.14384015</v>
      </c>
      <c r="G308" s="22">
        <f t="shared" si="31"/>
        <v>40.92219737</v>
      </c>
      <c r="H308" s="22">
        <f t="shared" si="32"/>
        <v>-3.159134079</v>
      </c>
      <c r="I308" s="22">
        <f t="shared" si="3"/>
        <v>0.7882705344</v>
      </c>
      <c r="J308" s="22">
        <f t="shared" si="33"/>
        <v>-0.1697934731</v>
      </c>
    </row>
    <row r="309" ht="15.75" customHeight="1">
      <c r="A309" s="25">
        <f>IFERROR(__xludf.DUMMYFUNCTION("""COMPUTED_VALUE"""),38289.666666666664)</f>
        <v>38289.66667</v>
      </c>
      <c r="B309" s="22">
        <f>IFERROR(__xludf.DUMMYFUNCTION("""COMPUTED_VALUE"""),1130.2)</f>
        <v>1130.2</v>
      </c>
      <c r="C309" s="22">
        <f t="shared" si="6"/>
        <v>1130.68583</v>
      </c>
      <c r="D309" s="25">
        <f>IFERROR(__xludf.DUMMYFUNCTION("""COMPUTED_VALUE"""),38289.99861111111)</f>
        <v>38289.99861</v>
      </c>
      <c r="E309" s="22">
        <f>IFERROR(__xludf.DUMMYFUNCTION("""COMPUTED_VALUE"""),1.2793)</f>
        <v>1.2793</v>
      </c>
      <c r="F309" s="22">
        <f t="shared" si="8"/>
        <v>97.92178736</v>
      </c>
      <c r="G309" s="22">
        <f t="shared" si="31"/>
        <v>47.19096463</v>
      </c>
      <c r="H309" s="22">
        <f t="shared" si="32"/>
        <v>1.052919965</v>
      </c>
      <c r="I309" s="22">
        <f t="shared" si="3"/>
        <v>0.7816774799</v>
      </c>
      <c r="J309" s="22">
        <f t="shared" si="33"/>
        <v>-0.1837723755</v>
      </c>
    </row>
    <row r="310" ht="15.75" customHeight="1">
      <c r="A310" s="25">
        <f>IFERROR(__xludf.DUMMYFUNCTION("""COMPUTED_VALUE"""),38296.666666666664)</f>
        <v>38296.66667</v>
      </c>
      <c r="B310" s="22">
        <f>IFERROR(__xludf.DUMMYFUNCTION("""COMPUTED_VALUE"""),1166.17)</f>
        <v>1166.17</v>
      </c>
      <c r="C310" s="22">
        <f t="shared" si="6"/>
        <v>1166.671109</v>
      </c>
      <c r="D310" s="25">
        <f>IFERROR(__xludf.DUMMYFUNCTION("""COMPUTED_VALUE"""),38296.99861111111)</f>
        <v>38296.99861</v>
      </c>
      <c r="E310" s="22">
        <f>IFERROR(__xludf.DUMMYFUNCTION("""COMPUTED_VALUE"""),1.2963)</f>
        <v>1.2963</v>
      </c>
      <c r="F310" s="22">
        <f t="shared" si="8"/>
        <v>102.3809009</v>
      </c>
      <c r="G310" s="22">
        <f t="shared" si="31"/>
        <v>50.93550295</v>
      </c>
      <c r="H310" s="22">
        <f t="shared" si="32"/>
        <v>4.957557698</v>
      </c>
      <c r="I310" s="22">
        <f t="shared" si="3"/>
        <v>0.7714263674</v>
      </c>
      <c r="J310" s="22">
        <f t="shared" si="33"/>
        <v>-0.2041194168</v>
      </c>
    </row>
    <row r="311" ht="15.75" customHeight="1">
      <c r="A311" s="25">
        <f>IFERROR(__xludf.DUMMYFUNCTION("""COMPUTED_VALUE"""),38303.666666666664)</f>
        <v>38303.66667</v>
      </c>
      <c r="B311" s="22">
        <f>IFERROR(__xludf.DUMMYFUNCTION("""COMPUTED_VALUE"""),1184.17)</f>
        <v>1184.17</v>
      </c>
      <c r="C311" s="22">
        <f t="shared" si="6"/>
        <v>1184.687058</v>
      </c>
      <c r="D311" s="25">
        <f>IFERROR(__xludf.DUMMYFUNCTION("""COMPUTED_VALUE"""),38303.99861111111)</f>
        <v>38303.99861</v>
      </c>
      <c r="E311" s="22">
        <f>IFERROR(__xludf.DUMMYFUNCTION("""COMPUTED_VALUE"""),1.2956)</f>
        <v>1.2956</v>
      </c>
      <c r="F311" s="22">
        <f t="shared" si="8"/>
        <v>103.9057462</v>
      </c>
      <c r="G311" s="22">
        <f t="shared" si="31"/>
        <v>52.45473607</v>
      </c>
      <c r="H311" s="22">
        <f t="shared" si="32"/>
        <v>4.574044817</v>
      </c>
      <c r="I311" s="22">
        <f t="shared" si="3"/>
        <v>0.7718431615</v>
      </c>
      <c r="J311" s="22">
        <f t="shared" si="33"/>
        <v>-0.205310281</v>
      </c>
    </row>
    <row r="312" ht="15.75" customHeight="1">
      <c r="A312" s="25">
        <f>IFERROR(__xludf.DUMMYFUNCTION("""COMPUTED_VALUE"""),38310.666666666664)</f>
        <v>38310.66667</v>
      </c>
      <c r="B312" s="22">
        <f>IFERROR(__xludf.DUMMYFUNCTION("""COMPUTED_VALUE"""),1170.34)</f>
        <v>1170.34</v>
      </c>
      <c r="C312" s="22">
        <f t="shared" si="6"/>
        <v>1170.865039</v>
      </c>
      <c r="D312" s="25">
        <f>IFERROR(__xludf.DUMMYFUNCTION("""COMPUTED_VALUE"""),38310.99861111111)</f>
        <v>38310.99861</v>
      </c>
      <c r="E312" s="22">
        <f>IFERROR(__xludf.DUMMYFUNCTION("""COMPUTED_VALUE"""),1.3034)</f>
        <v>1.3034</v>
      </c>
      <c r="F312" s="22">
        <f t="shared" si="8"/>
        <v>103.311707</v>
      </c>
      <c r="G312" s="22">
        <f t="shared" si="31"/>
        <v>51.03349013</v>
      </c>
      <c r="H312" s="22">
        <f t="shared" si="32"/>
        <v>5.880647585</v>
      </c>
      <c r="I312" s="22">
        <f t="shared" si="3"/>
        <v>0.7672241829</v>
      </c>
      <c r="J312" s="22">
        <f t="shared" si="33"/>
        <v>-0.219733006</v>
      </c>
    </row>
    <row r="313" ht="15.75" customHeight="1">
      <c r="A313" s="25">
        <f>IFERROR(__xludf.DUMMYFUNCTION("""COMPUTED_VALUE"""),38317.666666666664)</f>
        <v>38317.66667</v>
      </c>
      <c r="B313" s="22">
        <f>IFERROR(__xludf.DUMMYFUNCTION("""COMPUTED_VALUE"""),1182.65)</f>
        <v>1182.65</v>
      </c>
      <c r="C313" s="22">
        <f t="shared" si="6"/>
        <v>1183.168907</v>
      </c>
      <c r="D313" s="25">
        <f>IFERROR(__xludf.DUMMYFUNCTION("""COMPUTED_VALUE"""),38317.99861111111)</f>
        <v>38317.99861</v>
      </c>
      <c r="E313" s="22">
        <f>IFERROR(__xludf.DUMMYFUNCTION("""COMPUTED_VALUE"""),1.3289)</f>
        <v>1.3289</v>
      </c>
      <c r="F313" s="22">
        <f t="shared" si="8"/>
        <v>106.4397956</v>
      </c>
      <c r="G313" s="22">
        <f t="shared" si="31"/>
        <v>53.88490667</v>
      </c>
      <c r="H313" s="22">
        <f t="shared" si="32"/>
        <v>9.333699089</v>
      </c>
      <c r="I313" s="22">
        <f t="shared" si="3"/>
        <v>0.7525020694</v>
      </c>
      <c r="J313" s="22">
        <f t="shared" si="33"/>
        <v>-0.2453156746</v>
      </c>
    </row>
    <row r="314" ht="15.75" customHeight="1">
      <c r="A314" s="25">
        <f>IFERROR(__xludf.DUMMYFUNCTION("""COMPUTED_VALUE"""),38324.666666666664)</f>
        <v>38324.66667</v>
      </c>
      <c r="B314" s="22">
        <f>IFERROR(__xludf.DUMMYFUNCTION("""COMPUTED_VALUE"""),1191.17)</f>
        <v>1191.17</v>
      </c>
      <c r="C314" s="22">
        <f t="shared" si="6"/>
        <v>1191.694365</v>
      </c>
      <c r="D314" s="25">
        <f>IFERROR(__xludf.DUMMYFUNCTION("""COMPUTED_VALUE"""),38324.99861111111)</f>
        <v>38324.99861</v>
      </c>
      <c r="E314" s="22">
        <f>IFERROR(__xludf.DUMMYFUNCTION("""COMPUTED_VALUE"""),1.346)</f>
        <v>1.346</v>
      </c>
      <c r="F314" s="22">
        <f t="shared" si="8"/>
        <v>108.5862732</v>
      </c>
      <c r="G314" s="22">
        <f t="shared" si="31"/>
        <v>55.54446147</v>
      </c>
      <c r="H314" s="22">
        <f t="shared" si="32"/>
        <v>11.69241125</v>
      </c>
      <c r="I314" s="22">
        <f t="shared" si="3"/>
        <v>0.7429420505</v>
      </c>
      <c r="J314" s="22">
        <f t="shared" si="33"/>
        <v>-0.2473997028</v>
      </c>
    </row>
    <row r="315" ht="15.75" customHeight="1">
      <c r="A315" s="25">
        <f>IFERROR(__xludf.DUMMYFUNCTION("""COMPUTED_VALUE"""),38331.666666666664)</f>
        <v>38331.66667</v>
      </c>
      <c r="B315" s="22">
        <f>IFERROR(__xludf.DUMMYFUNCTION("""COMPUTED_VALUE"""),1188.0)</f>
        <v>1188</v>
      </c>
      <c r="C315" s="22">
        <f t="shared" si="6"/>
        <v>1188.528142</v>
      </c>
      <c r="D315" s="25">
        <f>IFERROR(__xludf.DUMMYFUNCTION("""COMPUTED_VALUE"""),38331.99861111111)</f>
        <v>38331.99861</v>
      </c>
      <c r="E315" s="22">
        <f>IFERROR(__xludf.DUMMYFUNCTION("""COMPUTED_VALUE"""),1.3215)</f>
        <v>1.3215</v>
      </c>
      <c r="F315" s="22">
        <f t="shared" si="8"/>
        <v>106.3265248</v>
      </c>
      <c r="G315" s="22">
        <f t="shared" si="31"/>
        <v>54.95891725</v>
      </c>
      <c r="H315" s="22">
        <f t="shared" si="32"/>
        <v>9.687347409</v>
      </c>
      <c r="I315" s="22">
        <f t="shared" si="3"/>
        <v>0.7567158532</v>
      </c>
      <c r="J315" s="22">
        <f t="shared" si="33"/>
        <v>-0.2378357927</v>
      </c>
    </row>
    <row r="316" ht="15.75" customHeight="1">
      <c r="A316" s="25">
        <f>IFERROR(__xludf.DUMMYFUNCTION("""COMPUTED_VALUE"""),38338.666666666664)</f>
        <v>38338.66667</v>
      </c>
      <c r="B316" s="22">
        <f>IFERROR(__xludf.DUMMYFUNCTION("""COMPUTED_VALUE"""),1194.22)</f>
        <v>1194.22</v>
      </c>
      <c r="C316" s="22">
        <f t="shared" si="6"/>
        <v>1194.746737</v>
      </c>
      <c r="D316" s="25">
        <f>IFERROR(__xludf.DUMMYFUNCTION("""COMPUTED_VALUE"""),38338.99861111111)</f>
        <v>38338.99861</v>
      </c>
      <c r="E316" s="22">
        <f>IFERROR(__xludf.DUMMYFUNCTION("""COMPUTED_VALUE"""),1.3311)</f>
        <v>1.3311</v>
      </c>
      <c r="F316" s="22">
        <f t="shared" si="8"/>
        <v>107.6592919</v>
      </c>
      <c r="G316" s="22">
        <f t="shared" si="31"/>
        <v>56.27031775</v>
      </c>
      <c r="H316" s="22">
        <f t="shared" si="32"/>
        <v>7.583327409</v>
      </c>
      <c r="I316" s="22">
        <f t="shared" si="3"/>
        <v>0.7512583577</v>
      </c>
      <c r="J316" s="22">
        <f t="shared" si="33"/>
        <v>-0.2388250319</v>
      </c>
    </row>
    <row r="317" ht="15.75" customHeight="1">
      <c r="A317" s="25">
        <f>IFERROR(__xludf.DUMMYFUNCTION("""COMPUTED_VALUE"""),38344.666666666664)</f>
        <v>38344.66667</v>
      </c>
      <c r="B317" s="22">
        <f>IFERROR(__xludf.DUMMYFUNCTION("""COMPUTED_VALUE"""),1210.13)</f>
        <v>1210.13</v>
      </c>
      <c r="C317" s="22">
        <f t="shared" si="6"/>
        <v>1210.659495</v>
      </c>
      <c r="D317" s="25">
        <f>IFERROR(__xludf.DUMMYFUNCTION("""COMPUTED_VALUE"""),38345.99861111111)</f>
        <v>38345.99861</v>
      </c>
      <c r="E317" s="22">
        <f>IFERROR(__xludf.DUMMYFUNCTION("""COMPUTED_VALUE"""),1.3527)</f>
        <v>1.3527</v>
      </c>
      <c r="F317" s="22">
        <f t="shared" si="8"/>
        <v>110.8634743</v>
      </c>
      <c r="G317" s="22">
        <f t="shared" si="31"/>
        <v>59.34881789</v>
      </c>
      <c r="H317" s="22">
        <f t="shared" si="32"/>
        <v>10.84789337</v>
      </c>
      <c r="I317" s="22">
        <f t="shared" si="3"/>
        <v>0.7392622163</v>
      </c>
      <c r="J317" s="22">
        <f t="shared" si="33"/>
        <v>-0.2569675464</v>
      </c>
    </row>
    <row r="318" ht="15.75" customHeight="1">
      <c r="A318" s="25">
        <f>IFERROR(__xludf.DUMMYFUNCTION("""COMPUTED_VALUE"""),38352.666666666664)</f>
        <v>38352.66667</v>
      </c>
      <c r="B318" s="22">
        <f>IFERROR(__xludf.DUMMYFUNCTION("""COMPUTED_VALUE"""),1211.92)</f>
        <v>1211.92</v>
      </c>
      <c r="C318" s="22">
        <f t="shared" si="6"/>
        <v>1212.456549</v>
      </c>
      <c r="D318" s="25">
        <f>IFERROR(__xludf.DUMMYFUNCTION("""COMPUTED_VALUE"""),38352.99861111111)</f>
        <v>38352.99861</v>
      </c>
      <c r="E318" s="22">
        <f>IFERROR(__xludf.DUMMYFUNCTION("""COMPUTED_VALUE"""),1.3563)</f>
        <v>1.3563</v>
      </c>
      <c r="F318" s="22">
        <f t="shared" si="8"/>
        <v>111.3235194</v>
      </c>
      <c r="G318" s="22">
        <f t="shared" si="31"/>
        <v>56.77618615</v>
      </c>
      <c r="H318" s="22">
        <f t="shared" si="32"/>
        <v>10.75276824</v>
      </c>
      <c r="I318" s="22">
        <f t="shared" si="3"/>
        <v>0.7373000074</v>
      </c>
      <c r="J318" s="22">
        <f t="shared" si="33"/>
        <v>-0.2408759124</v>
      </c>
    </row>
    <row r="319" ht="15.75" customHeight="1">
      <c r="A319" s="25">
        <f>IFERROR(__xludf.DUMMYFUNCTION("""COMPUTED_VALUE"""),38359.666666666664)</f>
        <v>38359.66667</v>
      </c>
      <c r="B319" s="22">
        <f>IFERROR(__xludf.DUMMYFUNCTION("""COMPUTED_VALUE"""),1186.19)</f>
        <v>1186.19</v>
      </c>
      <c r="C319" s="22">
        <f t="shared" si="6"/>
        <v>1186.727342</v>
      </c>
      <c r="D319" s="25">
        <f>IFERROR(__xludf.DUMMYFUNCTION("""COMPUTED_VALUE"""),38359.99861111111)</f>
        <v>38359.99861</v>
      </c>
      <c r="E319" s="22">
        <f>IFERROR(__xludf.DUMMYFUNCTION("""COMPUTED_VALUE"""),1.3073)</f>
        <v>1.3073</v>
      </c>
      <c r="F319" s="22">
        <f t="shared" si="8"/>
        <v>105.0246378</v>
      </c>
      <c r="G319" s="22">
        <f t="shared" si="31"/>
        <v>51.76792785</v>
      </c>
      <c r="H319" s="22">
        <f t="shared" si="32"/>
        <v>4.585443383</v>
      </c>
      <c r="I319" s="22">
        <f t="shared" si="3"/>
        <v>0.764935363</v>
      </c>
      <c r="J319" s="22">
        <f t="shared" si="33"/>
        <v>-0.2258854127</v>
      </c>
    </row>
    <row r="320" ht="15.75" customHeight="1">
      <c r="A320" s="25">
        <f>IFERROR(__xludf.DUMMYFUNCTION("""COMPUTED_VALUE"""),38366.666666666664)</f>
        <v>38366.66667</v>
      </c>
      <c r="B320" s="22">
        <f>IFERROR(__xludf.DUMMYFUNCTION("""COMPUTED_VALUE"""),1184.51)</f>
        <v>1184.51</v>
      </c>
      <c r="C320" s="22">
        <f t="shared" si="6"/>
        <v>1185.035934</v>
      </c>
      <c r="D320" s="25">
        <f>IFERROR(__xludf.DUMMYFUNCTION("""COMPUTED_VALUE"""),38366.99861111111)</f>
        <v>38366.99861</v>
      </c>
      <c r="E320" s="22">
        <f>IFERROR(__xludf.DUMMYFUNCTION("""COMPUTED_VALUE"""),1.3098)</f>
        <v>1.3098</v>
      </c>
      <c r="F320" s="22">
        <f t="shared" si="8"/>
        <v>105.0755056</v>
      </c>
      <c r="G320" s="22">
        <f t="shared" si="31"/>
        <v>55.64719037</v>
      </c>
      <c r="H320" s="22">
        <f t="shared" si="32"/>
        <v>6.732198718</v>
      </c>
      <c r="I320" s="22">
        <f t="shared" si="3"/>
        <v>0.7634753397</v>
      </c>
      <c r="J320" s="22">
        <f t="shared" si="33"/>
        <v>-0.2300351199</v>
      </c>
    </row>
    <row r="321" ht="15.75" customHeight="1">
      <c r="A321" s="25">
        <f>IFERROR(__xludf.DUMMYFUNCTION("""COMPUTED_VALUE"""),38373.666666666664)</f>
        <v>38373.66667</v>
      </c>
      <c r="B321" s="22">
        <f>IFERROR(__xludf.DUMMYFUNCTION("""COMPUTED_VALUE"""),1167.87)</f>
        <v>1167.87</v>
      </c>
      <c r="C321" s="22">
        <f t="shared" si="6"/>
        <v>1168.395189</v>
      </c>
      <c r="D321" s="25">
        <f>IFERROR(__xludf.DUMMYFUNCTION("""COMPUTED_VALUE"""),38373.99861111111)</f>
        <v>38373.99861</v>
      </c>
      <c r="E321" s="22">
        <f>IFERROR(__xludf.DUMMYFUNCTION("""COMPUTED_VALUE"""),1.2994)</f>
        <v>1.2994</v>
      </c>
      <c r="F321" s="22">
        <f t="shared" si="8"/>
        <v>102.7773948</v>
      </c>
      <c r="G321" s="22">
        <f t="shared" si="31"/>
        <v>54.94928942</v>
      </c>
      <c r="H321" s="22">
        <f t="shared" si="32"/>
        <v>14.37063632</v>
      </c>
      <c r="I321" s="22">
        <f t="shared" si="3"/>
        <v>0.7695859628</v>
      </c>
      <c r="J321" s="22">
        <f t="shared" si="33"/>
        <v>-0.2492688933</v>
      </c>
    </row>
    <row r="322" ht="15.75" customHeight="1">
      <c r="A322" s="25">
        <f>IFERROR(__xludf.DUMMYFUNCTION("""COMPUTED_VALUE"""),38380.666666666664)</f>
        <v>38380.66667</v>
      </c>
      <c r="B322" s="22">
        <f>IFERROR(__xludf.DUMMYFUNCTION("""COMPUTED_VALUE"""),1171.36)</f>
        <v>1171.36</v>
      </c>
      <c r="C322" s="22">
        <f t="shared" si="6"/>
        <v>1171.877811</v>
      </c>
      <c r="D322" s="25">
        <f>IFERROR(__xludf.DUMMYFUNCTION("""COMPUTED_VALUE"""),38380.99861111111)</f>
        <v>38380.99861</v>
      </c>
      <c r="E322" s="22">
        <f>IFERROR(__xludf.DUMMYFUNCTION("""COMPUTED_VALUE"""),1.3041)</f>
        <v>1.3041</v>
      </c>
      <c r="F322" s="22">
        <f t="shared" si="8"/>
        <v>103.4566017</v>
      </c>
      <c r="G322" s="22">
        <f t="shared" si="31"/>
        <v>57.96921255</v>
      </c>
      <c r="H322" s="22">
        <f t="shared" si="32"/>
        <v>9.190949158</v>
      </c>
      <c r="I322" s="22">
        <f t="shared" si="3"/>
        <v>0.766812361</v>
      </c>
      <c r="J322" s="22">
        <f t="shared" si="33"/>
        <v>-0.246836899</v>
      </c>
    </row>
    <row r="323" ht="15.75" customHeight="1">
      <c r="A323" s="25">
        <f>IFERROR(__xludf.DUMMYFUNCTION("""COMPUTED_VALUE"""),38387.666666666664)</f>
        <v>38387.66667</v>
      </c>
      <c r="B323" s="22">
        <f>IFERROR(__xludf.DUMMYFUNCTION("""COMPUTED_VALUE"""),1203.03)</f>
        <v>1203.03</v>
      </c>
      <c r="C323" s="22">
        <f t="shared" si="6"/>
        <v>1203.549359</v>
      </c>
      <c r="D323" s="25">
        <f>IFERROR(__xludf.DUMMYFUNCTION("""COMPUTED_VALUE"""),38387.99861111111)</f>
        <v>38387.99861</v>
      </c>
      <c r="E323" s="22">
        <f>IFERROR(__xludf.DUMMYFUNCTION("""COMPUTED_VALUE"""),1.2854)</f>
        <v>1.2854</v>
      </c>
      <c r="F323" s="22">
        <f t="shared" si="8"/>
        <v>104.7290548</v>
      </c>
      <c r="G323" s="22">
        <f t="shared" si="31"/>
        <v>61.87875208</v>
      </c>
      <c r="H323" s="22">
        <f t="shared" si="32"/>
        <v>12.84456012</v>
      </c>
      <c r="I323" s="22">
        <f t="shared" si="3"/>
        <v>0.7779679477</v>
      </c>
      <c r="J323" s="22">
        <f t="shared" si="33"/>
        <v>-0.2314454644</v>
      </c>
    </row>
    <row r="324" ht="15.75" customHeight="1">
      <c r="A324" s="25">
        <f>IFERROR(__xludf.DUMMYFUNCTION("""COMPUTED_VALUE"""),38394.666666666664)</f>
        <v>38394.66667</v>
      </c>
      <c r="B324" s="22">
        <f>IFERROR(__xludf.DUMMYFUNCTION("""COMPUTED_VALUE"""),1205.3)</f>
        <v>1205.3</v>
      </c>
      <c r="C324" s="22">
        <f t="shared" si="6"/>
        <v>1205.833401</v>
      </c>
      <c r="D324" s="25">
        <f>IFERROR(__xludf.DUMMYFUNCTION("""COMPUTED_VALUE"""),38394.99861111111)</f>
        <v>38394.99861</v>
      </c>
      <c r="E324" s="22">
        <f>IFERROR(__xludf.DUMMYFUNCTION("""COMPUTED_VALUE"""),1.2852)</f>
        <v>1.2852</v>
      </c>
      <c r="F324" s="22">
        <f t="shared" si="8"/>
        <v>104.9114788</v>
      </c>
      <c r="G324" s="22">
        <f t="shared" si="31"/>
        <v>60.69885348</v>
      </c>
      <c r="H324" s="22">
        <f t="shared" si="32"/>
        <v>16.794802</v>
      </c>
      <c r="I324" s="22">
        <f t="shared" si="3"/>
        <v>0.7780890134</v>
      </c>
      <c r="J324" s="22">
        <f t="shared" si="33"/>
        <v>-0.2333488951</v>
      </c>
    </row>
    <row r="325" ht="15.75" customHeight="1">
      <c r="A325" s="25">
        <f>IFERROR(__xludf.DUMMYFUNCTION("""COMPUTED_VALUE"""),38401.666666666664)</f>
        <v>38401.66667</v>
      </c>
      <c r="B325" s="22">
        <f>IFERROR(__xludf.DUMMYFUNCTION("""COMPUTED_VALUE"""),1201.59)</f>
        <v>1201.59</v>
      </c>
      <c r="C325" s="22">
        <f t="shared" si="6"/>
        <v>1202.124407</v>
      </c>
      <c r="D325" s="25">
        <f>IFERROR(__xludf.DUMMYFUNCTION("""COMPUTED_VALUE"""),38401.99861111111)</f>
        <v>38401.99861</v>
      </c>
      <c r="E325" s="22">
        <f>IFERROR(__xludf.DUMMYFUNCTION("""COMPUTED_VALUE"""),1.3016)</f>
        <v>1.3016</v>
      </c>
      <c r="F325" s="22">
        <f t="shared" si="8"/>
        <v>105.923406</v>
      </c>
      <c r="G325" s="22">
        <f t="shared" si="31"/>
        <v>64.06276889</v>
      </c>
      <c r="H325" s="22">
        <f t="shared" si="32"/>
        <v>20.3782172</v>
      </c>
      <c r="I325" s="22">
        <f t="shared" si="3"/>
        <v>0.7682851875</v>
      </c>
      <c r="J325" s="22">
        <f t="shared" si="33"/>
        <v>-0.2513829133</v>
      </c>
    </row>
    <row r="326" ht="15.75" customHeight="1">
      <c r="A326" s="25">
        <f>IFERROR(__xludf.DUMMYFUNCTION("""COMPUTED_VALUE"""),38408.666666666664)</f>
        <v>38408.66667</v>
      </c>
      <c r="B326" s="22">
        <f>IFERROR(__xludf.DUMMYFUNCTION("""COMPUTED_VALUE"""),1211.37)</f>
        <v>1211.37</v>
      </c>
      <c r="C326" s="22">
        <f t="shared" si="6"/>
        <v>1211.902762</v>
      </c>
      <c r="D326" s="25">
        <f>IFERROR(__xludf.DUMMYFUNCTION("""COMPUTED_VALUE"""),38408.99861111111)</f>
        <v>38408.99861</v>
      </c>
      <c r="E326" s="22">
        <f>IFERROR(__xludf.DUMMYFUNCTION("""COMPUTED_VALUE"""),1.324)</f>
        <v>1.324</v>
      </c>
      <c r="F326" s="22">
        <f t="shared" si="8"/>
        <v>108.6227373</v>
      </c>
      <c r="G326" s="22">
        <f t="shared" si="31"/>
        <v>63.84849832</v>
      </c>
      <c r="H326" s="22">
        <f t="shared" si="32"/>
        <v>18.33833057</v>
      </c>
      <c r="I326" s="22">
        <f t="shared" si="3"/>
        <v>0.7552870091</v>
      </c>
      <c r="J326" s="22">
        <f t="shared" si="33"/>
        <v>-0.2735649547</v>
      </c>
    </row>
    <row r="327" ht="15.75" customHeight="1">
      <c r="A327" s="25">
        <f>IFERROR(__xludf.DUMMYFUNCTION("""COMPUTED_VALUE"""),38415.666666666664)</f>
        <v>38415.66667</v>
      </c>
      <c r="B327" s="22">
        <f>IFERROR(__xludf.DUMMYFUNCTION("""COMPUTED_VALUE"""),1222.12)</f>
        <v>1222.12</v>
      </c>
      <c r="C327" s="22">
        <f t="shared" si="6"/>
        <v>1222.657099</v>
      </c>
      <c r="D327" s="25">
        <f>IFERROR(__xludf.DUMMYFUNCTION("""COMPUTED_VALUE"""),38415.99861111111)</f>
        <v>38415.99861</v>
      </c>
      <c r="E327" s="22">
        <f>IFERROR(__xludf.DUMMYFUNCTION("""COMPUTED_VALUE"""),1.3242)</f>
        <v>1.3242</v>
      </c>
      <c r="F327" s="22">
        <f t="shared" si="8"/>
        <v>109.6032014</v>
      </c>
      <c r="G327" s="22">
        <f t="shared" si="31"/>
        <v>59.03439436</v>
      </c>
      <c r="H327" s="22">
        <f t="shared" si="32"/>
        <v>20.35963859</v>
      </c>
      <c r="I327" s="22">
        <f t="shared" si="3"/>
        <v>0.7551729346</v>
      </c>
      <c r="J327" s="22">
        <f t="shared" si="33"/>
        <v>-0.2721643256</v>
      </c>
    </row>
    <row r="328" ht="15.75" customHeight="1">
      <c r="A328" s="25">
        <f>IFERROR(__xludf.DUMMYFUNCTION("""COMPUTED_VALUE"""),38422.666666666664)</f>
        <v>38422.66667</v>
      </c>
      <c r="B328" s="22">
        <f>IFERROR(__xludf.DUMMYFUNCTION("""COMPUTED_VALUE"""),1200.08)</f>
        <v>1200.08</v>
      </c>
      <c r="C328" s="22">
        <f t="shared" si="6"/>
        <v>1200.621865</v>
      </c>
      <c r="D328" s="25">
        <f>IFERROR(__xludf.DUMMYFUNCTION("""COMPUTED_VALUE"""),38422.99861111111)</f>
        <v>38422.99861</v>
      </c>
      <c r="E328" s="22">
        <f>IFERROR(__xludf.DUMMYFUNCTION("""COMPUTED_VALUE"""),1.3466)</f>
        <v>1.3466</v>
      </c>
      <c r="F328" s="22">
        <f t="shared" si="8"/>
        <v>109.4485068</v>
      </c>
      <c r="G328" s="22">
        <f t="shared" si="31"/>
        <v>57.11799285</v>
      </c>
      <c r="H328" s="22">
        <f t="shared" si="32"/>
        <v>13.68311239</v>
      </c>
      <c r="I328" s="22">
        <f t="shared" si="3"/>
        <v>0.7426110203</v>
      </c>
      <c r="J328" s="22">
        <f t="shared" si="33"/>
        <v>-0.2791474825</v>
      </c>
    </row>
    <row r="329" ht="15.75" customHeight="1">
      <c r="A329" s="25">
        <f>IFERROR(__xludf.DUMMYFUNCTION("""COMPUTED_VALUE"""),38429.666666666664)</f>
        <v>38429.66667</v>
      </c>
      <c r="B329" s="22">
        <f>IFERROR(__xludf.DUMMYFUNCTION("""COMPUTED_VALUE"""),1189.65)</f>
        <v>1189.65</v>
      </c>
      <c r="C329" s="22">
        <f t="shared" si="6"/>
        <v>1190.182093</v>
      </c>
      <c r="D329" s="25">
        <f>IFERROR(__xludf.DUMMYFUNCTION("""COMPUTED_VALUE"""),38429.99861111111)</f>
        <v>38429.99861</v>
      </c>
      <c r="E329" s="22">
        <f>IFERROR(__xludf.DUMMYFUNCTION("""COMPUTED_VALUE"""),1.3315)</f>
        <v>1.3315</v>
      </c>
      <c r="F329" s="22">
        <f t="shared" si="8"/>
        <v>107.2801976</v>
      </c>
      <c r="G329" s="22">
        <f t="shared" si="31"/>
        <v>57.14674702</v>
      </c>
      <c r="H329" s="22">
        <f t="shared" si="32"/>
        <v>6.140922772</v>
      </c>
      <c r="I329" s="22">
        <f t="shared" si="3"/>
        <v>0.7510326699</v>
      </c>
      <c r="J329" s="22">
        <f t="shared" si="33"/>
        <v>-0.2662410815</v>
      </c>
    </row>
    <row r="330" ht="15.75" customHeight="1">
      <c r="A330" s="25">
        <f>IFERROR(__xludf.DUMMYFUNCTION("""COMPUTED_VALUE"""),38435.666666666664)</f>
        <v>38435.66667</v>
      </c>
      <c r="B330" s="22">
        <f>IFERROR(__xludf.DUMMYFUNCTION("""COMPUTED_VALUE"""),1171.42)</f>
        <v>1171.42</v>
      </c>
      <c r="C330" s="22">
        <f t="shared" si="6"/>
        <v>1171.947468</v>
      </c>
      <c r="D330" s="25">
        <f>IFERROR(__xludf.DUMMYFUNCTION("""COMPUTED_VALUE"""),38436.99861111111)</f>
        <v>38436.99861</v>
      </c>
      <c r="E330" s="22">
        <f>IFERROR(__xludf.DUMMYFUNCTION("""COMPUTED_VALUE"""),1.2951)</f>
        <v>1.2951</v>
      </c>
      <c r="F330" s="22">
        <f t="shared" si="8"/>
        <v>102.7487225</v>
      </c>
      <c r="G330" s="22">
        <f t="shared" si="31"/>
        <v>51.92829691</v>
      </c>
      <c r="H330" s="22">
        <f t="shared" si="32"/>
        <v>5.906549805</v>
      </c>
      <c r="I330" s="22">
        <f t="shared" si="3"/>
        <v>0.7721411474</v>
      </c>
      <c r="J330" s="22">
        <f t="shared" si="33"/>
        <v>-0.2619102772</v>
      </c>
    </row>
    <row r="331" ht="15.75" customHeight="1">
      <c r="A331" s="25">
        <f>IFERROR(__xludf.DUMMYFUNCTION("""COMPUTED_VALUE"""),38443.666666666664)</f>
        <v>38443.66667</v>
      </c>
      <c r="B331" s="22">
        <f>IFERROR(__xludf.DUMMYFUNCTION("""COMPUTED_VALUE"""),1172.92)</f>
        <v>1172.92</v>
      </c>
      <c r="C331" s="22">
        <f t="shared" si="6"/>
        <v>1173.439385</v>
      </c>
      <c r="D331" s="25">
        <f>IFERROR(__xludf.DUMMYFUNCTION("""COMPUTED_VALUE"""),38443.99861111111)</f>
        <v>38443.99861</v>
      </c>
      <c r="E331" s="22">
        <f>IFERROR(__xludf.DUMMYFUNCTION("""COMPUTED_VALUE"""),1.2908)</f>
        <v>1.2908</v>
      </c>
      <c r="F331" s="22">
        <f t="shared" si="8"/>
        <v>102.5379428</v>
      </c>
      <c r="G331" s="22">
        <f t="shared" si="31"/>
        <v>53.49908165</v>
      </c>
      <c r="H331" s="22">
        <f t="shared" si="32"/>
        <v>4.583453724</v>
      </c>
      <c r="I331" s="22">
        <f t="shared" si="3"/>
        <v>0.7747133561</v>
      </c>
      <c r="J331" s="22">
        <f t="shared" si="33"/>
        <v>-0.260381159</v>
      </c>
    </row>
    <row r="332" ht="15.75" customHeight="1">
      <c r="A332" s="25">
        <f>IFERROR(__xludf.DUMMYFUNCTION("""COMPUTED_VALUE"""),38450.666666666664)</f>
        <v>38450.66667</v>
      </c>
      <c r="B332" s="22">
        <f>IFERROR(__xludf.DUMMYFUNCTION("""COMPUTED_VALUE"""),1181.2)</f>
        <v>1181.2</v>
      </c>
      <c r="C332" s="22">
        <f t="shared" si="6"/>
        <v>1181.720051</v>
      </c>
      <c r="D332" s="25">
        <f>IFERROR(__xludf.DUMMYFUNCTION("""COMPUTED_VALUE"""),38450.99861111111)</f>
        <v>38450.99861</v>
      </c>
      <c r="E332" s="22">
        <f>IFERROR(__xludf.DUMMYFUNCTION("""COMPUTED_VALUE"""),1.2875)</f>
        <v>1.2875</v>
      </c>
      <c r="F332" s="22">
        <f t="shared" si="8"/>
        <v>102.9975335</v>
      </c>
      <c r="G332" s="22">
        <f t="shared" si="31"/>
        <v>55.44281314</v>
      </c>
      <c r="H332" s="22">
        <f t="shared" si="32"/>
        <v>16.62810045</v>
      </c>
      <c r="I332" s="22">
        <f t="shared" si="3"/>
        <v>0.7766990291</v>
      </c>
      <c r="J332" s="22">
        <f t="shared" si="33"/>
        <v>-0.2539805825</v>
      </c>
    </row>
    <row r="333" ht="15.75" customHeight="1">
      <c r="A333" s="25">
        <f>IFERROR(__xludf.DUMMYFUNCTION("""COMPUTED_VALUE"""),38457.666666666664)</f>
        <v>38457.66667</v>
      </c>
      <c r="B333" s="22">
        <f>IFERROR(__xludf.DUMMYFUNCTION("""COMPUTED_VALUE"""),1142.62)</f>
        <v>1142.62</v>
      </c>
      <c r="C333" s="22">
        <f t="shared" si="6"/>
        <v>1143.143722</v>
      </c>
      <c r="D333" s="25">
        <f>IFERROR(__xludf.DUMMYFUNCTION("""COMPUTED_VALUE"""),38457.99861111111)</f>
        <v>38457.99861</v>
      </c>
      <c r="E333" s="22">
        <f>IFERROR(__xludf.DUMMYFUNCTION("""COMPUTED_VALUE"""),1.2865)</f>
        <v>1.2865</v>
      </c>
      <c r="F333" s="22">
        <f t="shared" si="8"/>
        <v>99.55787275</v>
      </c>
      <c r="G333" s="22">
        <f t="shared" si="31"/>
        <v>46.51551708</v>
      </c>
      <c r="H333" s="22">
        <f t="shared" si="32"/>
        <v>9.305365236</v>
      </c>
      <c r="I333" s="22">
        <f t="shared" si="3"/>
        <v>0.7773027594</v>
      </c>
      <c r="J333" s="22">
        <f t="shared" si="33"/>
        <v>-0.271278663</v>
      </c>
    </row>
    <row r="334" ht="15.75" customHeight="1">
      <c r="A334" s="25">
        <f>IFERROR(__xludf.DUMMYFUNCTION("""COMPUTED_VALUE"""),38464.666666666664)</f>
        <v>38464.66667</v>
      </c>
      <c r="B334" s="22">
        <f>IFERROR(__xludf.DUMMYFUNCTION("""COMPUTED_VALUE"""),1152.12)</f>
        <v>1152.12</v>
      </c>
      <c r="C334" s="22">
        <f t="shared" si="6"/>
        <v>1152.626616</v>
      </c>
      <c r="D334" s="25">
        <f>IFERROR(__xludf.DUMMYFUNCTION("""COMPUTED_VALUE"""),38464.99861111111)</f>
        <v>38464.99861</v>
      </c>
      <c r="E334" s="22">
        <f>IFERROR(__xludf.DUMMYFUNCTION("""COMPUTED_VALUE"""),1.3055)</f>
        <v>1.3055</v>
      </c>
      <c r="F334" s="22">
        <f t="shared" si="8"/>
        <v>101.8662931</v>
      </c>
      <c r="G334" s="22">
        <f t="shared" si="31"/>
        <v>55.00907617</v>
      </c>
      <c r="H334" s="22">
        <f t="shared" si="32"/>
        <v>13.64921819</v>
      </c>
      <c r="I334" s="22">
        <f t="shared" si="3"/>
        <v>0.7659900421</v>
      </c>
      <c r="J334" s="22">
        <f t="shared" si="33"/>
        <v>-0.3020298736</v>
      </c>
    </row>
    <row r="335" ht="15.75" customHeight="1">
      <c r="A335" s="25">
        <f>IFERROR(__xludf.DUMMYFUNCTION("""COMPUTED_VALUE"""),38471.666666666664)</f>
        <v>38471.66667</v>
      </c>
      <c r="B335" s="22">
        <f>IFERROR(__xludf.DUMMYFUNCTION("""COMPUTED_VALUE"""),1156.85)</f>
        <v>1156.85</v>
      </c>
      <c r="C335" s="22">
        <f t="shared" si="6"/>
        <v>1157.360828</v>
      </c>
      <c r="D335" s="25">
        <f>IFERROR(__xludf.DUMMYFUNCTION("""COMPUTED_VALUE"""),38471.99861111111)</f>
        <v>38471.99861</v>
      </c>
      <c r="E335" s="22">
        <f>IFERROR(__xludf.DUMMYFUNCTION("""COMPUTED_VALUE"""),1.2869)</f>
        <v>1.2869</v>
      </c>
      <c r="F335" s="22">
        <f t="shared" si="8"/>
        <v>100.8273987</v>
      </c>
      <c r="G335" s="22">
        <f t="shared" si="31"/>
        <v>51.22727428</v>
      </c>
      <c r="H335" s="22">
        <f t="shared" si="32"/>
        <v>15.7198939</v>
      </c>
      <c r="I335" s="22">
        <f t="shared" si="3"/>
        <v>0.7770611547</v>
      </c>
      <c r="J335" s="22">
        <f t="shared" si="33"/>
        <v>-0.3021990831</v>
      </c>
    </row>
    <row r="336" ht="15.75" customHeight="1">
      <c r="A336" s="25">
        <f>IFERROR(__xludf.DUMMYFUNCTION("""COMPUTED_VALUE"""),38478.666666666664)</f>
        <v>38478.66667</v>
      </c>
      <c r="B336" s="22">
        <f>IFERROR(__xludf.DUMMYFUNCTION("""COMPUTED_VALUE"""),1171.35)</f>
        <v>1171.35</v>
      </c>
      <c r="C336" s="22">
        <f t="shared" si="6"/>
        <v>1171.862925</v>
      </c>
      <c r="D336" s="25">
        <f>IFERROR(__xludf.DUMMYFUNCTION("""COMPUTED_VALUE"""),38478.99861111111)</f>
        <v>38478.99861</v>
      </c>
      <c r="E336" s="22">
        <f>IFERROR(__xludf.DUMMYFUNCTION("""COMPUTED_VALUE"""),1.281)</f>
        <v>1.281</v>
      </c>
      <c r="F336" s="22">
        <f t="shared" si="8"/>
        <v>101.6227462</v>
      </c>
      <c r="G336" s="22">
        <f t="shared" si="31"/>
        <v>55.6263187</v>
      </c>
      <c r="H336" s="22">
        <f t="shared" si="32"/>
        <v>14.87882368</v>
      </c>
      <c r="I336" s="22">
        <f t="shared" si="3"/>
        <v>0.7806401249</v>
      </c>
      <c r="J336" s="22">
        <f t="shared" si="33"/>
        <v>-0.2824355972</v>
      </c>
    </row>
    <row r="337" ht="15.75" customHeight="1">
      <c r="A337" s="25">
        <f>IFERROR(__xludf.DUMMYFUNCTION("""COMPUTED_VALUE"""),38485.666666666664)</f>
        <v>38485.66667</v>
      </c>
      <c r="B337" s="22">
        <f>IFERROR(__xludf.DUMMYFUNCTION("""COMPUTED_VALUE"""),1154.05)</f>
        <v>1154.05</v>
      </c>
      <c r="C337" s="22">
        <f t="shared" si="6"/>
        <v>1154.569354</v>
      </c>
      <c r="D337" s="25">
        <f>IFERROR(__xludf.DUMMYFUNCTION("""COMPUTED_VALUE"""),38485.99861111111)</f>
        <v>38485.99861</v>
      </c>
      <c r="E337" s="22">
        <f>IFERROR(__xludf.DUMMYFUNCTION("""COMPUTED_VALUE"""),1.2614)</f>
        <v>1.2614</v>
      </c>
      <c r="F337" s="22">
        <f t="shared" si="8"/>
        <v>98.59112789</v>
      </c>
      <c r="G337" s="22">
        <f t="shared" si="31"/>
        <v>42.89979326</v>
      </c>
      <c r="H337" s="22">
        <f t="shared" si="32"/>
        <v>15.47600409</v>
      </c>
      <c r="I337" s="22">
        <f t="shared" si="3"/>
        <v>0.7927699382</v>
      </c>
      <c r="J337" s="22">
        <f t="shared" si="33"/>
        <v>-0.2896781354</v>
      </c>
    </row>
    <row r="338" ht="15.75" customHeight="1">
      <c r="A338" s="25">
        <f>IFERROR(__xludf.DUMMYFUNCTION("""COMPUTED_VALUE"""),38492.666666666664)</f>
        <v>38492.66667</v>
      </c>
      <c r="B338" s="22">
        <f>IFERROR(__xludf.DUMMYFUNCTION("""COMPUTED_VALUE"""),1189.28)</f>
        <v>1189.28</v>
      </c>
      <c r="C338" s="22">
        <f t="shared" si="6"/>
        <v>1189.791684</v>
      </c>
      <c r="D338" s="25">
        <f>IFERROR(__xludf.DUMMYFUNCTION("""COMPUTED_VALUE"""),38492.99861111111)</f>
        <v>38492.99861</v>
      </c>
      <c r="E338" s="22">
        <f>IFERROR(__xludf.DUMMYFUNCTION("""COMPUTED_VALUE"""),1.255)</f>
        <v>1.255</v>
      </c>
      <c r="F338" s="22">
        <f t="shared" si="8"/>
        <v>101.0833525</v>
      </c>
      <c r="G338" s="22">
        <f t="shared" si="31"/>
        <v>49.69948843</v>
      </c>
      <c r="H338" s="22">
        <f t="shared" si="32"/>
        <v>16.0241127</v>
      </c>
      <c r="I338" s="22">
        <f t="shared" si="3"/>
        <v>0.796812749</v>
      </c>
      <c r="J338" s="22">
        <f t="shared" si="33"/>
        <v>-0.2561752988</v>
      </c>
    </row>
    <row r="339" ht="15.75" customHeight="1">
      <c r="A339" s="25">
        <f>IFERROR(__xludf.DUMMYFUNCTION("""COMPUTED_VALUE"""),38499.666666666664)</f>
        <v>38499.66667</v>
      </c>
      <c r="B339" s="22">
        <f>IFERROR(__xludf.DUMMYFUNCTION("""COMPUTED_VALUE"""),1198.78)</f>
        <v>1198.78</v>
      </c>
      <c r="C339" s="22">
        <f t="shared" si="6"/>
        <v>1199.307304</v>
      </c>
      <c r="D339" s="25">
        <f>IFERROR(__xludf.DUMMYFUNCTION("""COMPUTED_VALUE"""),38499.99861111111)</f>
        <v>38499.99861</v>
      </c>
      <c r="E339" s="22">
        <f>IFERROR(__xludf.DUMMYFUNCTION("""COMPUTED_VALUE"""),1.2577)</f>
        <v>1.2577</v>
      </c>
      <c r="F339" s="22">
        <f t="shared" si="8"/>
        <v>102.1109983</v>
      </c>
      <c r="G339" s="22">
        <f t="shared" si="31"/>
        <v>51.36407817</v>
      </c>
      <c r="H339" s="22">
        <f t="shared" si="32"/>
        <v>8.152624053</v>
      </c>
      <c r="I339" s="22">
        <f t="shared" si="3"/>
        <v>0.7951021706</v>
      </c>
      <c r="J339" s="22">
        <f t="shared" si="33"/>
        <v>-0.2496620816</v>
      </c>
    </row>
    <row r="340" ht="15.75" customHeight="1">
      <c r="A340" s="25">
        <f>IFERROR(__xludf.DUMMYFUNCTION("""COMPUTED_VALUE"""),38506.666666666664)</f>
        <v>38506.66667</v>
      </c>
      <c r="B340" s="22">
        <f>IFERROR(__xludf.DUMMYFUNCTION("""COMPUTED_VALUE"""),1196.02)</f>
        <v>1196.02</v>
      </c>
      <c r="C340" s="22">
        <f t="shared" si="6"/>
        <v>1196.551516</v>
      </c>
      <c r="D340" s="25">
        <f>IFERROR(__xludf.DUMMYFUNCTION("""COMPUTED_VALUE"""),38506.99861111111)</f>
        <v>38506.99861</v>
      </c>
      <c r="E340" s="22">
        <f>IFERROR(__xludf.DUMMYFUNCTION("""COMPUTED_VALUE"""),1.2225)</f>
        <v>1.2225</v>
      </c>
      <c r="F340" s="22">
        <f t="shared" si="8"/>
        <v>99.02509135</v>
      </c>
      <c r="G340" s="22">
        <f t="shared" si="31"/>
        <v>51.05493599</v>
      </c>
      <c r="H340" s="22">
        <f t="shared" si="32"/>
        <v>5.348861351</v>
      </c>
      <c r="I340" s="22">
        <f t="shared" si="3"/>
        <v>0.81799591</v>
      </c>
      <c r="J340" s="22">
        <f t="shared" si="33"/>
        <v>-0.2207770961</v>
      </c>
    </row>
    <row r="341" ht="15.75" customHeight="1">
      <c r="A341" s="25">
        <f>IFERROR(__xludf.DUMMYFUNCTION("""COMPUTED_VALUE"""),38513.666666666664)</f>
        <v>38513.66667</v>
      </c>
      <c r="B341" s="22">
        <f>IFERROR(__xludf.DUMMYFUNCTION("""COMPUTED_VALUE"""),1198.11)</f>
        <v>1198.11</v>
      </c>
      <c r="C341" s="22">
        <f t="shared" si="6"/>
        <v>1198.640293</v>
      </c>
      <c r="D341" s="25">
        <f>IFERROR(__xludf.DUMMYFUNCTION("""COMPUTED_VALUE"""),38513.99861111111)</f>
        <v>38513.99861</v>
      </c>
      <c r="E341" s="22">
        <f>IFERROR(__xludf.DUMMYFUNCTION("""COMPUTED_VALUE"""),1.213)</f>
        <v>1.213</v>
      </c>
      <c r="F341" s="22">
        <f t="shared" si="8"/>
        <v>98.42709238</v>
      </c>
      <c r="G341" s="22">
        <f t="shared" si="31"/>
        <v>52.59695033</v>
      </c>
      <c r="H341" s="22">
        <f t="shared" si="32"/>
        <v>2.986636773</v>
      </c>
      <c r="I341" s="22">
        <f t="shared" si="3"/>
        <v>0.8244023083</v>
      </c>
      <c r="J341" s="22">
        <f t="shared" si="33"/>
        <v>-0.2056059357</v>
      </c>
    </row>
    <row r="342" ht="15.75" customHeight="1">
      <c r="A342" s="25">
        <f>IFERROR(__xludf.DUMMYFUNCTION("""COMPUTED_VALUE"""),38520.666666666664)</f>
        <v>38520.66667</v>
      </c>
      <c r="B342" s="22">
        <f>IFERROR(__xludf.DUMMYFUNCTION("""COMPUTED_VALUE"""),1216.96)</f>
        <v>1216.96</v>
      </c>
      <c r="C342" s="22">
        <f t="shared" si="6"/>
        <v>1217.491219</v>
      </c>
      <c r="D342" s="25">
        <f>IFERROR(__xludf.DUMMYFUNCTION("""COMPUTED_VALUE"""),38520.99861111111)</f>
        <v>38520.99861</v>
      </c>
      <c r="E342" s="22">
        <f>IFERROR(__xludf.DUMMYFUNCTION("""COMPUTED_VALUE"""),1.2272)</f>
        <v>1.2272</v>
      </c>
      <c r="F342" s="22">
        <f t="shared" si="8"/>
        <v>101.1454071</v>
      </c>
      <c r="G342" s="22">
        <f t="shared" si="31"/>
        <v>55.71654877</v>
      </c>
      <c r="H342" s="22">
        <f t="shared" si="32"/>
        <v>10.6362647</v>
      </c>
      <c r="I342" s="22">
        <f t="shared" si="3"/>
        <v>0.814863103</v>
      </c>
      <c r="J342" s="22">
        <f t="shared" si="33"/>
        <v>-0.2369621904</v>
      </c>
    </row>
    <row r="343" ht="15.75" customHeight="1">
      <c r="A343" s="25">
        <f>IFERROR(__xludf.DUMMYFUNCTION("""COMPUTED_VALUE"""),38527.666666666664)</f>
        <v>38527.66667</v>
      </c>
      <c r="B343" s="22">
        <f>IFERROR(__xludf.DUMMYFUNCTION("""COMPUTED_VALUE"""),1191.57)</f>
        <v>1191.57</v>
      </c>
      <c r="C343" s="22">
        <f t="shared" si="6"/>
        <v>1192.109577</v>
      </c>
      <c r="D343" s="25">
        <f>IFERROR(__xludf.DUMMYFUNCTION("""COMPUTED_VALUE"""),38527.99861111111)</f>
        <v>38527.99861</v>
      </c>
      <c r="E343" s="22">
        <f>IFERROR(__xludf.DUMMYFUNCTION("""COMPUTED_VALUE"""),1.2091)</f>
        <v>1.2091</v>
      </c>
      <c r="F343" s="22">
        <f t="shared" si="8"/>
        <v>97.57608308</v>
      </c>
      <c r="G343" s="22">
        <f t="shared" si="31"/>
        <v>46.96975225</v>
      </c>
      <c r="H343" s="22">
        <f t="shared" si="32"/>
        <v>3.736506282</v>
      </c>
      <c r="I343" s="22">
        <f t="shared" si="3"/>
        <v>0.8270614507</v>
      </c>
      <c r="J343" s="22">
        <f t="shared" si="33"/>
        <v>-0.2103217269</v>
      </c>
    </row>
    <row r="344" ht="15.75" customHeight="1">
      <c r="A344" s="25">
        <f>IFERROR(__xludf.DUMMYFUNCTION("""COMPUTED_VALUE"""),38534.666666666664)</f>
        <v>38534.66667</v>
      </c>
      <c r="B344" s="22">
        <f>IFERROR(__xludf.DUMMYFUNCTION("""COMPUTED_VALUE"""),1194.44)</f>
        <v>1194.44</v>
      </c>
      <c r="C344" s="22">
        <f t="shared" si="6"/>
        <v>1194.96832</v>
      </c>
      <c r="D344" s="25">
        <f>IFERROR(__xludf.DUMMYFUNCTION("""COMPUTED_VALUE"""),38534.99861111111)</f>
        <v>38534.99861</v>
      </c>
      <c r="E344" s="22">
        <f>IFERROR(__xludf.DUMMYFUNCTION("""COMPUTED_VALUE"""),1.1931)</f>
        <v>1.1931</v>
      </c>
      <c r="F344" s="22">
        <f t="shared" si="8"/>
        <v>96.51575666</v>
      </c>
      <c r="G344" s="22">
        <f t="shared" si="31"/>
        <v>47.99620556</v>
      </c>
      <c r="H344" s="22">
        <f t="shared" si="32"/>
        <v>1.744101071</v>
      </c>
      <c r="I344" s="22">
        <f t="shared" si="3"/>
        <v>0.8381527114</v>
      </c>
      <c r="J344" s="22">
        <f t="shared" si="33"/>
        <v>-0.206185567</v>
      </c>
    </row>
    <row r="345" ht="15.75" customHeight="1">
      <c r="A345" s="25">
        <f>IFERROR(__xludf.DUMMYFUNCTION("""COMPUTED_VALUE"""),38541.666666666664)</f>
        <v>38541.66667</v>
      </c>
      <c r="B345" s="22">
        <f>IFERROR(__xludf.DUMMYFUNCTION("""COMPUTED_VALUE"""),1211.86)</f>
        <v>1211.86</v>
      </c>
      <c r="C345" s="22">
        <f t="shared" si="6"/>
        <v>1212.389592</v>
      </c>
      <c r="D345" s="25">
        <f>IFERROR(__xludf.DUMMYFUNCTION("""COMPUTED_VALUE"""),38541.99861111111)</f>
        <v>38541.99861</v>
      </c>
      <c r="E345" s="22">
        <f>IFERROR(__xludf.DUMMYFUNCTION("""COMPUTED_VALUE"""),1.1975)</f>
        <v>1.1975</v>
      </c>
      <c r="F345" s="22">
        <f t="shared" si="8"/>
        <v>98.28397301</v>
      </c>
      <c r="G345" s="22">
        <f t="shared" si="31"/>
        <v>58.87580536</v>
      </c>
      <c r="H345" s="22">
        <f t="shared" si="32"/>
        <v>2.498393093</v>
      </c>
      <c r="I345" s="22">
        <f t="shared" si="3"/>
        <v>0.8350730689</v>
      </c>
      <c r="J345" s="22">
        <f t="shared" si="33"/>
        <v>-0.2169519833</v>
      </c>
    </row>
    <row r="346" ht="15.75" customHeight="1">
      <c r="A346" s="25">
        <f>IFERROR(__xludf.DUMMYFUNCTION("""COMPUTED_VALUE"""),38548.666666666664)</f>
        <v>38548.66667</v>
      </c>
      <c r="B346" s="22">
        <f>IFERROR(__xludf.DUMMYFUNCTION("""COMPUTED_VALUE"""),1227.92)</f>
        <v>1227.92</v>
      </c>
      <c r="C346" s="22">
        <f t="shared" si="6"/>
        <v>1228.457316</v>
      </c>
      <c r="D346" s="25">
        <f>IFERROR(__xludf.DUMMYFUNCTION("""COMPUTED_VALUE"""),38548.99861111111)</f>
        <v>38548.99861</v>
      </c>
      <c r="E346" s="22">
        <f>IFERROR(__xludf.DUMMYFUNCTION("""COMPUTED_VALUE"""),1.2039)</f>
        <v>1.2039</v>
      </c>
      <c r="F346" s="22">
        <f t="shared" si="8"/>
        <v>100.1187613</v>
      </c>
      <c r="G346" s="22">
        <f t="shared" si="31"/>
        <v>72.84916038</v>
      </c>
      <c r="H346" s="22">
        <f t="shared" si="32"/>
        <v>6.568247409</v>
      </c>
      <c r="I346" s="22">
        <f t="shared" si="3"/>
        <v>0.8306337736</v>
      </c>
      <c r="J346" s="22">
        <f t="shared" si="33"/>
        <v>-0.2215300274</v>
      </c>
    </row>
    <row r="347" ht="15.75" customHeight="1">
      <c r="A347" s="25">
        <f>IFERROR(__xludf.DUMMYFUNCTION("""COMPUTED_VALUE"""),38555.666666666664)</f>
        <v>38555.66667</v>
      </c>
      <c r="B347" s="22">
        <f>IFERROR(__xludf.DUMMYFUNCTION("""COMPUTED_VALUE"""),1233.68)</f>
        <v>1233.68</v>
      </c>
      <c r="C347" s="22">
        <f t="shared" si="6"/>
        <v>1234.224436</v>
      </c>
      <c r="D347" s="25">
        <f>IFERROR(__xludf.DUMMYFUNCTION("""COMPUTED_VALUE"""),38555.99861111111)</f>
        <v>38555.99861</v>
      </c>
      <c r="E347" s="22">
        <f>IFERROR(__xludf.DUMMYFUNCTION("""COMPUTED_VALUE"""),1.2054)</f>
        <v>1.2054</v>
      </c>
      <c r="F347" s="22">
        <f t="shared" si="8"/>
        <v>100.7141079</v>
      </c>
      <c r="G347" s="22">
        <f t="shared" si="31"/>
        <v>76.88163037</v>
      </c>
      <c r="H347" s="22">
        <f t="shared" si="32"/>
        <v>13.44207279</v>
      </c>
      <c r="I347" s="22">
        <f t="shared" si="3"/>
        <v>0.8296001327</v>
      </c>
      <c r="J347" s="22">
        <f t="shared" si="33"/>
        <v>-0.2341131575</v>
      </c>
    </row>
    <row r="348" ht="15.75" customHeight="1">
      <c r="A348" s="25">
        <f>IFERROR(__xludf.DUMMYFUNCTION("""COMPUTED_VALUE"""),38562.666666666664)</f>
        <v>38562.66667</v>
      </c>
      <c r="B348" s="22">
        <f>IFERROR(__xludf.DUMMYFUNCTION("""COMPUTED_VALUE"""),1234.18)</f>
        <v>1234.18</v>
      </c>
      <c r="C348" s="22">
        <f t="shared" si="6"/>
        <v>1234.72699</v>
      </c>
      <c r="D348" s="25">
        <f>IFERROR(__xludf.DUMMYFUNCTION("""COMPUTED_VALUE"""),38562.99861111111)</f>
        <v>38562.99861</v>
      </c>
      <c r="E348" s="22">
        <f>IFERROR(__xludf.DUMMYFUNCTION("""COMPUTED_VALUE"""),1.2123)</f>
        <v>1.2123</v>
      </c>
      <c r="F348" s="22">
        <f t="shared" si="8"/>
        <v>101.3318635</v>
      </c>
      <c r="G348" s="22">
        <f t="shared" si="31"/>
        <v>75.7601761</v>
      </c>
      <c r="H348" s="22">
        <f t="shared" si="32"/>
        <v>12.71244565</v>
      </c>
      <c r="I348" s="22">
        <f t="shared" si="3"/>
        <v>0.8248783304</v>
      </c>
      <c r="J348" s="22">
        <f t="shared" si="33"/>
        <v>-0.251505403</v>
      </c>
    </row>
    <row r="349" ht="15.75" customHeight="1">
      <c r="A349" s="25">
        <f>IFERROR(__xludf.DUMMYFUNCTION("""COMPUTED_VALUE"""),38569.666666666664)</f>
        <v>38569.66667</v>
      </c>
      <c r="B349" s="22">
        <f>IFERROR(__xludf.DUMMYFUNCTION("""COMPUTED_VALUE"""),1226.42)</f>
        <v>1226.42</v>
      </c>
      <c r="C349" s="22">
        <f t="shared" si="6"/>
        <v>1226.967212</v>
      </c>
      <c r="D349" s="25">
        <f>IFERROR(__xludf.DUMMYFUNCTION("""COMPUTED_VALUE"""),38569.99861111111)</f>
        <v>38569.99861</v>
      </c>
      <c r="E349" s="22">
        <f>IFERROR(__xludf.DUMMYFUNCTION("""COMPUTED_VALUE"""),1.2468)</f>
        <v>1.2468</v>
      </c>
      <c r="F349" s="22">
        <f t="shared" si="8"/>
        <v>103.5606418</v>
      </c>
      <c r="G349" s="22">
        <f t="shared" si="31"/>
        <v>73.66220328</v>
      </c>
      <c r="H349" s="22">
        <f t="shared" si="32"/>
        <v>15.12740421</v>
      </c>
      <c r="I349" s="22">
        <f t="shared" si="3"/>
        <v>0.8020532563</v>
      </c>
      <c r="J349" s="22">
        <f t="shared" si="33"/>
        <v>-0.2762271415</v>
      </c>
    </row>
    <row r="350" ht="15.75" customHeight="1">
      <c r="A350" s="25">
        <f>IFERROR(__xludf.DUMMYFUNCTION("""COMPUTED_VALUE"""),38576.666666666664)</f>
        <v>38576.66667</v>
      </c>
      <c r="B350" s="22">
        <f>IFERROR(__xludf.DUMMYFUNCTION("""COMPUTED_VALUE"""),1230.39)</f>
        <v>1230.39</v>
      </c>
      <c r="C350" s="22">
        <f t="shared" si="6"/>
        <v>1230.933771</v>
      </c>
      <c r="D350" s="25">
        <f>IFERROR(__xludf.DUMMYFUNCTION("""COMPUTED_VALUE"""),38576.99861111111)</f>
        <v>38576.99861</v>
      </c>
      <c r="E350" s="22">
        <f>IFERROR(__xludf.DUMMYFUNCTION("""COMPUTED_VALUE"""),1.2437)</f>
        <v>1.2437</v>
      </c>
      <c r="F350" s="22">
        <f t="shared" si="8"/>
        <v>103.6371124</v>
      </c>
      <c r="G350" s="22">
        <f t="shared" si="31"/>
        <v>66.8650405</v>
      </c>
      <c r="H350" s="22">
        <f t="shared" si="32"/>
        <v>13.22717742</v>
      </c>
      <c r="I350" s="22">
        <f t="shared" si="3"/>
        <v>0.8040524242</v>
      </c>
      <c r="J350" s="22">
        <f t="shared" si="33"/>
        <v>-0.2715285037</v>
      </c>
    </row>
    <row r="351" ht="15.75" customHeight="1">
      <c r="A351" s="25">
        <f>IFERROR(__xludf.DUMMYFUNCTION("""COMPUTED_VALUE"""),38583.666666666664)</f>
        <v>38583.66667</v>
      </c>
      <c r="B351" s="22">
        <f>IFERROR(__xludf.DUMMYFUNCTION("""COMPUTED_VALUE"""),1219.71)</f>
        <v>1219.71</v>
      </c>
      <c r="C351" s="22">
        <f t="shared" si="6"/>
        <v>1220.255532</v>
      </c>
      <c r="D351" s="25">
        <f>IFERROR(__xludf.DUMMYFUNCTION("""COMPUTED_VALUE"""),38583.99861111111)</f>
        <v>38583.99861</v>
      </c>
      <c r="E351" s="22">
        <f>IFERROR(__xludf.DUMMYFUNCTION("""COMPUTED_VALUE"""),1.2146)</f>
        <v>1.2146</v>
      </c>
      <c r="F351" s="22">
        <f t="shared" si="8"/>
        <v>100.334212</v>
      </c>
      <c r="G351" s="22">
        <f t="shared" si="31"/>
        <v>61.99370481</v>
      </c>
      <c r="H351" s="22">
        <f t="shared" si="32"/>
        <v>9.02580204</v>
      </c>
      <c r="I351" s="22">
        <f t="shared" si="3"/>
        <v>0.8233163181</v>
      </c>
      <c r="J351" s="22">
        <f t="shared" si="33"/>
        <v>-0.257368681</v>
      </c>
    </row>
    <row r="352" ht="15.75" customHeight="1">
      <c r="A352" s="25">
        <f>IFERROR(__xludf.DUMMYFUNCTION("""COMPUTED_VALUE"""),38590.666666666664)</f>
        <v>38590.66667</v>
      </c>
      <c r="B352" s="22">
        <f>IFERROR(__xludf.DUMMYFUNCTION("""COMPUTED_VALUE"""),1205.1)</f>
        <v>1205.1</v>
      </c>
      <c r="C352" s="22">
        <f t="shared" si="6"/>
        <v>1205.640796</v>
      </c>
      <c r="D352" s="25">
        <f>IFERROR(__xludf.DUMMYFUNCTION("""COMPUTED_VALUE"""),38590.99861111111)</f>
        <v>38590.99861</v>
      </c>
      <c r="E352" s="22">
        <f>IFERROR(__xludf.DUMMYFUNCTION("""COMPUTED_VALUE"""),1.2288)</f>
        <v>1.2288</v>
      </c>
      <c r="F352" s="22">
        <f t="shared" si="8"/>
        <v>100.2914985</v>
      </c>
      <c r="G352" s="22">
        <f t="shared" si="31"/>
        <v>64.89737739</v>
      </c>
      <c r="H352" s="22">
        <f t="shared" si="32"/>
        <v>8.265980595</v>
      </c>
      <c r="I352" s="22">
        <f t="shared" si="3"/>
        <v>0.8138020833</v>
      </c>
      <c r="J352" s="22">
        <f t="shared" si="33"/>
        <v>-0.2680664063</v>
      </c>
    </row>
    <row r="353" ht="15.75" customHeight="1">
      <c r="A353" s="25">
        <f>IFERROR(__xludf.DUMMYFUNCTION("""COMPUTED_VALUE"""),38597.666666666664)</f>
        <v>38597.66667</v>
      </c>
      <c r="B353" s="22">
        <f>IFERROR(__xludf.DUMMYFUNCTION("""COMPUTED_VALUE"""),1218.02)</f>
        <v>1218.02</v>
      </c>
      <c r="C353" s="22">
        <f t="shared" si="6"/>
        <v>1218.554319</v>
      </c>
      <c r="D353" s="25">
        <f>IFERROR(__xludf.DUMMYFUNCTION("""COMPUTED_VALUE"""),38597.99861111111)</f>
        <v>38597.99861</v>
      </c>
      <c r="E353" s="22">
        <f>IFERROR(__xludf.DUMMYFUNCTION("""COMPUTED_VALUE"""),1.2524)</f>
        <v>1.2524</v>
      </c>
      <c r="F353" s="22">
        <f t="shared" si="8"/>
        <v>103.3125151</v>
      </c>
      <c r="G353" s="22">
        <f t="shared" si="31"/>
        <v>74.04007901</v>
      </c>
      <c r="H353" s="22">
        <f t="shared" si="32"/>
        <v>17.39127925</v>
      </c>
      <c r="I353" s="22">
        <f t="shared" si="3"/>
        <v>0.7984669435</v>
      </c>
      <c r="J353" s="22">
        <f t="shared" si="33"/>
        <v>-0.3058128393</v>
      </c>
    </row>
    <row r="354" ht="15.75" customHeight="1">
      <c r="A354" s="25">
        <f>IFERROR(__xludf.DUMMYFUNCTION("""COMPUTED_VALUE"""),38604.666666666664)</f>
        <v>38604.66667</v>
      </c>
      <c r="B354" s="22">
        <f>IFERROR(__xludf.DUMMYFUNCTION("""COMPUTED_VALUE"""),1241.48)</f>
        <v>1241.48</v>
      </c>
      <c r="C354" s="22">
        <f t="shared" si="6"/>
        <v>1242.020047</v>
      </c>
      <c r="D354" s="25">
        <f>IFERROR(__xludf.DUMMYFUNCTION("""COMPUTED_VALUE"""),38604.99861111111)</f>
        <v>38604.99861</v>
      </c>
      <c r="E354" s="22">
        <f>IFERROR(__xludf.DUMMYFUNCTION("""COMPUTED_VALUE"""),1.239)</f>
        <v>1.239</v>
      </c>
      <c r="F354" s="22">
        <f t="shared" si="8"/>
        <v>104.1753323</v>
      </c>
      <c r="G354" s="22">
        <f t="shared" si="31"/>
        <v>78.10606065</v>
      </c>
      <c r="H354" s="22">
        <f t="shared" si="32"/>
        <v>22.89234757</v>
      </c>
      <c r="I354" s="22">
        <f t="shared" si="3"/>
        <v>0.807102502</v>
      </c>
      <c r="J354" s="22">
        <f t="shared" si="33"/>
        <v>-0.3108151735</v>
      </c>
    </row>
    <row r="355" ht="15.75" customHeight="1">
      <c r="A355" s="25">
        <f>IFERROR(__xludf.DUMMYFUNCTION("""COMPUTED_VALUE"""),38611.666666666664)</f>
        <v>38611.66667</v>
      </c>
      <c r="B355" s="22">
        <f>IFERROR(__xludf.DUMMYFUNCTION("""COMPUTED_VALUE"""),1237.91)</f>
        <v>1237.91</v>
      </c>
      <c r="C355" s="22">
        <f t="shared" si="6"/>
        <v>1238.460449</v>
      </c>
      <c r="D355" s="25">
        <f>IFERROR(__xludf.DUMMYFUNCTION("""COMPUTED_VALUE"""),38611.99861111111)</f>
        <v>38611.99861</v>
      </c>
      <c r="E355" s="22">
        <f>IFERROR(__xludf.DUMMYFUNCTION("""COMPUTED_VALUE"""),1.2233)</f>
        <v>1.2233</v>
      </c>
      <c r="F355" s="22">
        <f t="shared" si="8"/>
        <v>102.560493</v>
      </c>
      <c r="G355" s="22">
        <f t="shared" si="31"/>
        <v>82.37086473</v>
      </c>
      <c r="H355" s="22">
        <f t="shared" si="32"/>
        <v>19.27145191</v>
      </c>
      <c r="I355" s="22">
        <f t="shared" si="3"/>
        <v>0.8174609662</v>
      </c>
      <c r="J355" s="22">
        <f t="shared" si="33"/>
        <v>-0.2835772092</v>
      </c>
    </row>
    <row r="356" ht="15.75" customHeight="1">
      <c r="A356" s="25">
        <f>IFERROR(__xludf.DUMMYFUNCTION("""COMPUTED_VALUE"""),38618.666666666664)</f>
        <v>38618.66667</v>
      </c>
      <c r="B356" s="22">
        <f>IFERROR(__xludf.DUMMYFUNCTION("""COMPUTED_VALUE"""),1215.29)</f>
        <v>1215.29</v>
      </c>
      <c r="C356" s="22">
        <f t="shared" si="6"/>
        <v>1215.838866</v>
      </c>
      <c r="D356" s="25">
        <f>IFERROR(__xludf.DUMMYFUNCTION("""COMPUTED_VALUE"""),38618.99861111111)</f>
        <v>38618.99861</v>
      </c>
      <c r="E356" s="22">
        <f>IFERROR(__xludf.DUMMYFUNCTION("""COMPUTED_VALUE"""),1.2036)</f>
        <v>1.2036</v>
      </c>
      <c r="F356" s="22">
        <f t="shared" si="8"/>
        <v>99.06567056</v>
      </c>
      <c r="G356" s="22">
        <f t="shared" si="31"/>
        <v>80.62298298</v>
      </c>
      <c r="H356" s="22">
        <f t="shared" si="32"/>
        <v>15.17388248</v>
      </c>
      <c r="I356" s="22">
        <f t="shared" si="3"/>
        <v>0.8308408109</v>
      </c>
      <c r="J356" s="22">
        <f t="shared" si="33"/>
        <v>-0.2654536391</v>
      </c>
    </row>
    <row r="357" ht="15.75" customHeight="1">
      <c r="A357" s="25">
        <f>IFERROR(__xludf.DUMMYFUNCTION("""COMPUTED_VALUE"""),38625.666666666664)</f>
        <v>38625.66667</v>
      </c>
      <c r="B357" s="22">
        <f>IFERROR(__xludf.DUMMYFUNCTION("""COMPUTED_VALUE"""),1228.81)</f>
        <v>1228.81</v>
      </c>
      <c r="C357" s="22">
        <f t="shared" si="6"/>
        <v>1229.348837</v>
      </c>
      <c r="D357" s="25">
        <f>IFERROR(__xludf.DUMMYFUNCTION("""COMPUTED_VALUE"""),38625.99861111111)</f>
        <v>38625.99861</v>
      </c>
      <c r="E357" s="22">
        <f>IFERROR(__xludf.DUMMYFUNCTION("""COMPUTED_VALUE"""),1.2025)</f>
        <v>1.2025</v>
      </c>
      <c r="F357" s="22">
        <f t="shared" si="8"/>
        <v>100.0749086</v>
      </c>
      <c r="G357" s="22">
        <f t="shared" si="31"/>
        <v>88.53696539</v>
      </c>
      <c r="H357" s="22">
        <f t="shared" si="32"/>
        <v>20.79146615</v>
      </c>
      <c r="I357" s="22">
        <f t="shared" si="3"/>
        <v>0.8316008316</v>
      </c>
      <c r="J357" s="22">
        <f t="shared" si="33"/>
        <v>-0.278004158</v>
      </c>
    </row>
    <row r="358" ht="15.75" customHeight="1">
      <c r="A358" s="25">
        <f>IFERROR(__xludf.DUMMYFUNCTION("""COMPUTED_VALUE"""),38632.666666666664)</f>
        <v>38632.66667</v>
      </c>
      <c r="B358" s="22">
        <f>IFERROR(__xludf.DUMMYFUNCTION("""COMPUTED_VALUE"""),1195.9)</f>
        <v>1195.9</v>
      </c>
      <c r="C358" s="22">
        <f t="shared" si="6"/>
        <v>1196.444831</v>
      </c>
      <c r="D358" s="25">
        <f>IFERROR(__xludf.DUMMYFUNCTION("""COMPUTED_VALUE"""),38632.99861111111)</f>
        <v>38632.99861</v>
      </c>
      <c r="E358" s="22">
        <f>IFERROR(__xludf.DUMMYFUNCTION("""COMPUTED_VALUE"""),1.2127)</f>
        <v>1.2127</v>
      </c>
      <c r="F358" s="22">
        <f t="shared" si="8"/>
        <v>98.22251222</v>
      </c>
      <c r="G358" s="22">
        <f t="shared" si="31"/>
        <v>75.91039475</v>
      </c>
      <c r="H358" s="22">
        <f t="shared" si="32"/>
        <v>23.2675521</v>
      </c>
      <c r="I358" s="22">
        <f t="shared" si="3"/>
        <v>0.8246062505</v>
      </c>
      <c r="J358" s="22">
        <f t="shared" si="33"/>
        <v>-0.2939721283</v>
      </c>
    </row>
    <row r="359" ht="15.75" customHeight="1">
      <c r="A359" s="25">
        <f>IFERROR(__xludf.DUMMYFUNCTION("""COMPUTED_VALUE"""),38639.666666666664)</f>
        <v>38639.66667</v>
      </c>
      <c r="B359" s="22">
        <f>IFERROR(__xludf.DUMMYFUNCTION("""COMPUTED_VALUE"""),1186.57)</f>
        <v>1186.57</v>
      </c>
      <c r="C359" s="22">
        <f t="shared" si="6"/>
        <v>1187.100239</v>
      </c>
      <c r="D359" s="25">
        <f>IFERROR(__xludf.DUMMYFUNCTION("""COMPUTED_VALUE"""),38639.99861111111)</f>
        <v>38639.99861</v>
      </c>
      <c r="E359" s="22">
        <f>IFERROR(__xludf.DUMMYFUNCTION("""COMPUTED_VALUE"""),1.2074)</f>
        <v>1.2074</v>
      </c>
      <c r="F359" s="22">
        <f t="shared" si="8"/>
        <v>97.02944484</v>
      </c>
      <c r="G359" s="22">
        <f t="shared" si="31"/>
        <v>66.7535194</v>
      </c>
      <c r="H359" s="22">
        <f t="shared" si="32"/>
        <v>21.80686866</v>
      </c>
      <c r="I359" s="22">
        <f t="shared" si="3"/>
        <v>0.82822594</v>
      </c>
      <c r="J359" s="22">
        <f t="shared" si="33"/>
        <v>-0.3026337585</v>
      </c>
    </row>
    <row r="360" ht="15.75" customHeight="1">
      <c r="A360" s="25">
        <f>IFERROR(__xludf.DUMMYFUNCTION("""COMPUTED_VALUE"""),38646.666666666664)</f>
        <v>38646.66667</v>
      </c>
      <c r="B360" s="22">
        <f>IFERROR(__xludf.DUMMYFUNCTION("""COMPUTED_VALUE"""),1179.59)</f>
        <v>1179.59</v>
      </c>
      <c r="C360" s="22">
        <f t="shared" si="6"/>
        <v>1180.116103</v>
      </c>
      <c r="D360" s="25">
        <f>IFERROR(__xludf.DUMMYFUNCTION("""COMPUTED_VALUE"""),38646.99861111111)</f>
        <v>38646.99861</v>
      </c>
      <c r="E360" s="22">
        <f>IFERROR(__xludf.DUMMYFUNCTION("""COMPUTED_VALUE"""),1.1966)</f>
        <v>1.1966</v>
      </c>
      <c r="F360" s="22">
        <f t="shared" si="8"/>
        <v>95.59577916</v>
      </c>
      <c r="G360" s="22">
        <f t="shared" si="31"/>
        <v>61.02925441</v>
      </c>
      <c r="H360" s="22">
        <f t="shared" si="32"/>
        <v>22.09396231</v>
      </c>
      <c r="I360" s="22">
        <f t="shared" si="3"/>
        <v>0.8357011533</v>
      </c>
      <c r="J360" s="22">
        <f t="shared" si="33"/>
        <v>-0.2996824336</v>
      </c>
    </row>
    <row r="361" ht="15.75" customHeight="1">
      <c r="A361" s="25">
        <f>IFERROR(__xludf.DUMMYFUNCTION("""COMPUTED_VALUE"""),38653.666666666664)</f>
        <v>38653.66667</v>
      </c>
      <c r="B361" s="22">
        <f>IFERROR(__xludf.DUMMYFUNCTION("""COMPUTED_VALUE"""),1198.41)</f>
        <v>1198.41</v>
      </c>
      <c r="C361" s="22">
        <f t="shared" si="6"/>
        <v>1198.933008</v>
      </c>
      <c r="D361" s="25">
        <f>IFERROR(__xludf.DUMMYFUNCTION("""COMPUTED_VALUE"""),38653.99861111111)</f>
        <v>38653.99861</v>
      </c>
      <c r="E361" s="22">
        <f>IFERROR(__xludf.DUMMYFUNCTION("""COMPUTED_VALUE"""),1.2062)</f>
        <v>1.2062</v>
      </c>
      <c r="F361" s="22">
        <f t="shared" si="8"/>
        <v>97.89921817</v>
      </c>
      <c r="G361" s="22">
        <f t="shared" si="31"/>
        <v>61.085921</v>
      </c>
      <c r="H361" s="22">
        <f t="shared" si="32"/>
        <v>16.9040805</v>
      </c>
      <c r="I361" s="22">
        <f t="shared" si="3"/>
        <v>0.8290499088</v>
      </c>
      <c r="J361" s="22">
        <f t="shared" si="33"/>
        <v>-0.281462444</v>
      </c>
    </row>
    <row r="362" ht="15.75" customHeight="1">
      <c r="A362" s="25">
        <f>IFERROR(__xludf.DUMMYFUNCTION("""COMPUTED_VALUE"""),38660.666666666664)</f>
        <v>38660.66667</v>
      </c>
      <c r="B362" s="22">
        <f>IFERROR(__xludf.DUMMYFUNCTION("""COMPUTED_VALUE"""),1220.14)</f>
        <v>1220.14</v>
      </c>
      <c r="C362" s="22">
        <f t="shared" si="6"/>
        <v>1220.671352</v>
      </c>
      <c r="D362" s="25">
        <f>IFERROR(__xludf.DUMMYFUNCTION("""COMPUTED_VALUE"""),38660.99861111111)</f>
        <v>38660.99861</v>
      </c>
      <c r="E362" s="22">
        <f>IFERROR(__xludf.DUMMYFUNCTION("""COMPUTED_VALUE"""),1.1812)</f>
        <v>1.1812</v>
      </c>
      <c r="F362" s="22">
        <f t="shared" si="8"/>
        <v>97.60839532</v>
      </c>
      <c r="G362" s="22">
        <f t="shared" si="31"/>
        <v>58.49457814</v>
      </c>
      <c r="H362" s="22">
        <f t="shared" si="32"/>
        <v>22.6964534</v>
      </c>
      <c r="I362" s="22">
        <f t="shared" si="3"/>
        <v>0.8465966813</v>
      </c>
      <c r="J362" s="22">
        <f t="shared" si="33"/>
        <v>-0.2720115137</v>
      </c>
    </row>
    <row r="363" ht="15.75" customHeight="1">
      <c r="A363" s="25">
        <f>IFERROR(__xludf.DUMMYFUNCTION("""COMPUTED_VALUE"""),38667.666666666664)</f>
        <v>38667.66667</v>
      </c>
      <c r="B363" s="22">
        <f>IFERROR(__xludf.DUMMYFUNCTION("""COMPUTED_VALUE"""),1234.72)</f>
        <v>1234.72</v>
      </c>
      <c r="C363" s="22">
        <f t="shared" si="6"/>
        <v>1235.260987</v>
      </c>
      <c r="D363" s="25">
        <f>IFERROR(__xludf.DUMMYFUNCTION("""COMPUTED_VALUE"""),38667.99861111111)</f>
        <v>38667.99861</v>
      </c>
      <c r="E363" s="22">
        <f>IFERROR(__xludf.DUMMYFUNCTION("""COMPUTED_VALUE"""),1.1735)</f>
        <v>1.1735</v>
      </c>
      <c r="F363" s="22">
        <f t="shared" si="8"/>
        <v>98.13113043</v>
      </c>
      <c r="G363" s="22">
        <f t="shared" si="31"/>
        <v>57.77161313</v>
      </c>
      <c r="H363" s="22">
        <f t="shared" si="32"/>
        <v>24.38433983</v>
      </c>
      <c r="I363" s="22">
        <f t="shared" si="3"/>
        <v>0.852151683</v>
      </c>
      <c r="J363" s="22">
        <f t="shared" si="33"/>
        <v>-0.2742224116</v>
      </c>
    </row>
    <row r="364" ht="15.75" customHeight="1">
      <c r="A364" s="25">
        <f>IFERROR(__xludf.DUMMYFUNCTION("""COMPUTED_VALUE"""),38674.666666666664)</f>
        <v>38674.66667</v>
      </c>
      <c r="B364" s="22">
        <f>IFERROR(__xludf.DUMMYFUNCTION("""COMPUTED_VALUE"""),1248.27)</f>
        <v>1248.27</v>
      </c>
      <c r="C364" s="22">
        <f t="shared" si="6"/>
        <v>1248.817451</v>
      </c>
      <c r="D364" s="25">
        <f>IFERROR(__xludf.DUMMYFUNCTION("""COMPUTED_VALUE"""),38674.99861111111)</f>
        <v>38674.99861</v>
      </c>
      <c r="E364" s="22">
        <f>IFERROR(__xludf.DUMMYFUNCTION("""COMPUTED_VALUE"""),1.1774)</f>
        <v>1.1774</v>
      </c>
      <c r="F364" s="22">
        <f t="shared" si="8"/>
        <v>99.53778518</v>
      </c>
      <c r="G364" s="22">
        <f t="shared" si="31"/>
        <v>58.46399765</v>
      </c>
      <c r="H364" s="22">
        <f t="shared" si="32"/>
        <v>30.83364946</v>
      </c>
      <c r="I364" s="22">
        <f t="shared" si="3"/>
        <v>0.8493290301</v>
      </c>
      <c r="J364" s="22">
        <f t="shared" si="33"/>
        <v>-0.288941736</v>
      </c>
    </row>
    <row r="365" ht="15.75" customHeight="1">
      <c r="A365" s="25">
        <f>IFERROR(__xludf.DUMMYFUNCTION("""COMPUTED_VALUE"""),38681.666666666664)</f>
        <v>38681.66667</v>
      </c>
      <c r="B365" s="22">
        <f>IFERROR(__xludf.DUMMYFUNCTION("""COMPUTED_VALUE"""),1268.25)</f>
        <v>1268.25</v>
      </c>
      <c r="C365" s="22">
        <f t="shared" si="6"/>
        <v>1268.803459</v>
      </c>
      <c r="D365" s="25">
        <f>IFERROR(__xludf.DUMMYFUNCTION("""COMPUTED_VALUE"""),38681.99861111111)</f>
        <v>38681.99861</v>
      </c>
      <c r="E365" s="22">
        <f>IFERROR(__xludf.DUMMYFUNCTION("""COMPUTED_VALUE"""),1.172)</f>
        <v>1.172</v>
      </c>
      <c r="F365" s="22">
        <f t="shared" si="8"/>
        <v>100.6669587</v>
      </c>
      <c r="G365" s="22">
        <f t="shared" si="31"/>
        <v>59.7393748</v>
      </c>
      <c r="H365" s="22">
        <f t="shared" si="32"/>
        <v>28.61740317</v>
      </c>
      <c r="I365" s="22">
        <f t="shared" si="3"/>
        <v>0.8532423208</v>
      </c>
      <c r="J365" s="22">
        <f t="shared" si="33"/>
        <v>-0.2502559727</v>
      </c>
    </row>
    <row r="366" ht="15.75" customHeight="1">
      <c r="A366" s="25">
        <f>IFERROR(__xludf.DUMMYFUNCTION("""COMPUTED_VALUE"""),38688.666666666664)</f>
        <v>38688.66667</v>
      </c>
      <c r="B366" s="22">
        <f>IFERROR(__xludf.DUMMYFUNCTION("""COMPUTED_VALUE"""),1265.08)</f>
        <v>1265.08</v>
      </c>
      <c r="C366" s="22">
        <f t="shared" si="6"/>
        <v>1265.642318</v>
      </c>
      <c r="D366" s="25">
        <f>IFERROR(__xludf.DUMMYFUNCTION("""COMPUTED_VALUE"""),38688.99861111111)</f>
        <v>38688.99861</v>
      </c>
      <c r="E366" s="22">
        <f>IFERROR(__xludf.DUMMYFUNCTION("""COMPUTED_VALUE"""),1.1709)</f>
        <v>1.1709</v>
      </c>
      <c r="F366" s="22">
        <f t="shared" si="8"/>
        <v>100.3219063</v>
      </c>
      <c r="G366" s="22">
        <f t="shared" si="31"/>
        <v>60.91430019</v>
      </c>
      <c r="H366" s="22">
        <f t="shared" si="32"/>
        <v>21.85479236</v>
      </c>
      <c r="I366" s="22">
        <f t="shared" si="3"/>
        <v>0.8540438979</v>
      </c>
      <c r="J366" s="22">
        <f t="shared" si="33"/>
        <v>-0.2420360407</v>
      </c>
    </row>
    <row r="367" ht="15.75" customHeight="1">
      <c r="A367" s="25">
        <f>IFERROR(__xludf.DUMMYFUNCTION("""COMPUTED_VALUE"""),38695.666666666664)</f>
        <v>38695.66667</v>
      </c>
      <c r="B367" s="22">
        <f>IFERROR(__xludf.DUMMYFUNCTION("""COMPUTED_VALUE"""),1259.37)</f>
        <v>1259.37</v>
      </c>
      <c r="C367" s="22">
        <f t="shared" si="6"/>
        <v>1259.930913</v>
      </c>
      <c r="D367" s="25">
        <f>IFERROR(__xludf.DUMMYFUNCTION("""COMPUTED_VALUE"""),38695.99861111111)</f>
        <v>38695.99861</v>
      </c>
      <c r="E367" s="22">
        <f>IFERROR(__xludf.DUMMYFUNCTION("""COMPUTED_VALUE"""),1.1814)</f>
        <v>1.1814</v>
      </c>
      <c r="F367" s="22">
        <f t="shared" si="8"/>
        <v>100.7647613</v>
      </c>
      <c r="G367" s="22">
        <f t="shared" si="31"/>
        <v>63.37851615</v>
      </c>
      <c r="H367" s="22">
        <f t="shared" si="32"/>
        <v>26.6223016</v>
      </c>
      <c r="I367" s="22">
        <f t="shared" si="3"/>
        <v>0.8464533604</v>
      </c>
      <c r="J367" s="22">
        <f t="shared" si="33"/>
        <v>-0.2420010157</v>
      </c>
    </row>
    <row r="368" ht="15.75" customHeight="1">
      <c r="A368" s="25">
        <f>IFERROR(__xludf.DUMMYFUNCTION("""COMPUTED_VALUE"""),38702.666666666664)</f>
        <v>38702.66667</v>
      </c>
      <c r="B368" s="22">
        <f>IFERROR(__xludf.DUMMYFUNCTION("""COMPUTED_VALUE"""),1267.32)</f>
        <v>1267.32</v>
      </c>
      <c r="C368" s="22">
        <f t="shared" si="6"/>
        <v>1267.878381</v>
      </c>
      <c r="D368" s="25">
        <f>IFERROR(__xludf.DUMMYFUNCTION("""COMPUTED_VALUE"""),38702.99861111111)</f>
        <v>38702.99861</v>
      </c>
      <c r="E368" s="22">
        <f>IFERROR(__xludf.DUMMYFUNCTION("""COMPUTED_VALUE"""),1.2011)</f>
        <v>1.2011</v>
      </c>
      <c r="F368" s="22">
        <f t="shared" si="8"/>
        <v>103.0912359</v>
      </c>
      <c r="G368" s="22">
        <f t="shared" si="31"/>
        <v>65.62525947</v>
      </c>
      <c r="H368" s="22">
        <f t="shared" si="32"/>
        <v>26.1756221</v>
      </c>
      <c r="I368" s="22">
        <f t="shared" si="3"/>
        <v>0.832570144</v>
      </c>
      <c r="J368" s="22">
        <f t="shared" si="33"/>
        <v>-0.2308717009</v>
      </c>
    </row>
    <row r="369" ht="15.75" customHeight="1">
      <c r="A369" s="25">
        <f>IFERROR(__xludf.DUMMYFUNCTION("""COMPUTED_VALUE"""),38709.666666666664)</f>
        <v>38709.66667</v>
      </c>
      <c r="B369" s="22">
        <f>IFERROR(__xludf.DUMMYFUNCTION("""COMPUTED_VALUE"""),1268.66)</f>
        <v>1268.66</v>
      </c>
      <c r="C369" s="22">
        <f t="shared" si="6"/>
        <v>1269.221906</v>
      </c>
      <c r="D369" s="25">
        <f>IFERROR(__xludf.DUMMYFUNCTION("""COMPUTED_VALUE"""),38709.99861111111)</f>
        <v>38709.99861</v>
      </c>
      <c r="E369" s="22">
        <f>IFERROR(__xludf.DUMMYFUNCTION("""COMPUTED_VALUE"""),1.1871)</f>
        <v>1.1871</v>
      </c>
      <c r="F369" s="22">
        <f t="shared" si="8"/>
        <v>101.997575</v>
      </c>
      <c r="G369" s="22">
        <f t="shared" si="31"/>
        <v>64.75463492</v>
      </c>
      <c r="H369" s="22">
        <f t="shared" si="32"/>
        <v>21.19644629</v>
      </c>
      <c r="I369" s="22">
        <f t="shared" si="3"/>
        <v>0.8423890152</v>
      </c>
      <c r="J369" s="22">
        <f t="shared" si="33"/>
        <v>-0.2072276978</v>
      </c>
    </row>
    <row r="370" ht="15.75" customHeight="1">
      <c r="A370" s="25">
        <f>IFERROR(__xludf.DUMMYFUNCTION("""COMPUTED_VALUE"""),38716.666666666664)</f>
        <v>38716.66667</v>
      </c>
      <c r="B370" s="22">
        <f>IFERROR(__xludf.DUMMYFUNCTION("""COMPUTED_VALUE"""),1248.29)</f>
        <v>1248.29</v>
      </c>
      <c r="C370" s="22">
        <f t="shared" si="6"/>
        <v>1248.8525</v>
      </c>
      <c r="D370" s="25">
        <f>IFERROR(__xludf.DUMMYFUNCTION("""COMPUTED_VALUE"""),38716.99861111111)</f>
        <v>38716.99861</v>
      </c>
      <c r="E370" s="22">
        <f>IFERROR(__xludf.DUMMYFUNCTION("""COMPUTED_VALUE"""),1.1824)</f>
        <v>1.1824</v>
      </c>
      <c r="F370" s="22">
        <f t="shared" si="8"/>
        <v>99.96329225</v>
      </c>
      <c r="G370" s="22">
        <f t="shared" si="31"/>
        <v>55.8581058</v>
      </c>
      <c r="H370" s="22">
        <f t="shared" si="32"/>
        <v>18.93900966</v>
      </c>
      <c r="I370" s="22">
        <f t="shared" si="3"/>
        <v>0.8457374831</v>
      </c>
      <c r="J370" s="22">
        <f t="shared" si="33"/>
        <v>-0.1916441137</v>
      </c>
    </row>
    <row r="371" ht="15.75" customHeight="1">
      <c r="A371" s="25">
        <f>IFERROR(__xludf.DUMMYFUNCTION("""COMPUTED_VALUE"""),38723.666666666664)</f>
        <v>38723.66667</v>
      </c>
      <c r="B371" s="22">
        <f>IFERROR(__xludf.DUMMYFUNCTION("""COMPUTED_VALUE"""),1285.45)</f>
        <v>1285.45</v>
      </c>
      <c r="C371" s="22">
        <f t="shared" si="6"/>
        <v>1286.003468</v>
      </c>
      <c r="D371" s="25">
        <f>IFERROR(__xludf.DUMMYFUNCTION("""COMPUTED_VALUE"""),38723.99861111111)</f>
        <v>38723.99861</v>
      </c>
      <c r="E371" s="22">
        <f>IFERROR(__xludf.DUMMYFUNCTION("""COMPUTED_VALUE"""),1.2152)</f>
        <v>1.2152</v>
      </c>
      <c r="F371" s="22">
        <f t="shared" si="8"/>
        <v>105.7925007</v>
      </c>
      <c r="G371" s="22">
        <f t="shared" si="31"/>
        <v>59.3083564</v>
      </c>
      <c r="H371" s="22">
        <f t="shared" si="32"/>
        <v>24.19407685</v>
      </c>
      <c r="I371" s="22">
        <f t="shared" si="3"/>
        <v>0.8229098091</v>
      </c>
      <c r="J371" s="22">
        <f t="shared" si="33"/>
        <v>-0.2150263331</v>
      </c>
    </row>
    <row r="372" ht="15.75" customHeight="1">
      <c r="A372" s="25">
        <f>IFERROR(__xludf.DUMMYFUNCTION("""COMPUTED_VALUE"""),38730.666666666664)</f>
        <v>38730.66667</v>
      </c>
      <c r="B372" s="22">
        <f>IFERROR(__xludf.DUMMYFUNCTION("""COMPUTED_VALUE"""),1287.61)</f>
        <v>1287.61</v>
      </c>
      <c r="C372" s="22">
        <f t="shared" si="6"/>
        <v>1288.179944</v>
      </c>
      <c r="D372" s="25">
        <f>IFERROR(__xludf.DUMMYFUNCTION("""COMPUTED_VALUE"""),38730.99861111111)</f>
        <v>38730.99861</v>
      </c>
      <c r="E372" s="22">
        <f>IFERROR(__xludf.DUMMYFUNCTION("""COMPUTED_VALUE"""),1.2117)</f>
        <v>1.2117</v>
      </c>
      <c r="F372" s="22">
        <f t="shared" si="8"/>
        <v>105.66633</v>
      </c>
      <c r="G372" s="22">
        <f t="shared" si="31"/>
        <v>62.14688238</v>
      </c>
      <c r="H372" s="22">
        <f t="shared" si="32"/>
        <v>24.29123029</v>
      </c>
      <c r="I372" s="22">
        <f t="shared" si="3"/>
        <v>0.8252867872</v>
      </c>
      <c r="J372" s="22">
        <f t="shared" si="33"/>
        <v>-0.228356854</v>
      </c>
    </row>
    <row r="373" ht="15.75" customHeight="1">
      <c r="A373" s="25">
        <f>IFERROR(__xludf.DUMMYFUNCTION("""COMPUTED_VALUE"""),38737.666666666664)</f>
        <v>38737.66667</v>
      </c>
      <c r="B373" s="22">
        <f>IFERROR(__xludf.DUMMYFUNCTION("""COMPUTED_VALUE"""),1261.49)</f>
        <v>1261.49</v>
      </c>
      <c r="C373" s="22">
        <f t="shared" si="6"/>
        <v>1262.060902</v>
      </c>
      <c r="D373" s="25">
        <f>IFERROR(__xludf.DUMMYFUNCTION("""COMPUTED_VALUE"""),38737.99861111111)</f>
        <v>38737.99861</v>
      </c>
      <c r="E373" s="22">
        <f>IFERROR(__xludf.DUMMYFUNCTION("""COMPUTED_VALUE"""),1.2136)</f>
        <v>1.2136</v>
      </c>
      <c r="F373" s="22">
        <f t="shared" si="8"/>
        <v>103.6861772</v>
      </c>
      <c r="G373" s="22">
        <f t="shared" si="31"/>
        <v>64.16533322</v>
      </c>
      <c r="H373" s="22">
        <f t="shared" si="32"/>
        <v>22.27173956</v>
      </c>
      <c r="I373" s="22">
        <f t="shared" si="3"/>
        <v>0.8239947264</v>
      </c>
      <c r="J373" s="22">
        <f t="shared" si="33"/>
        <v>-0.2385464733</v>
      </c>
    </row>
    <row r="374" ht="15.75" customHeight="1">
      <c r="A374" s="25">
        <f>IFERROR(__xludf.DUMMYFUNCTION("""COMPUTED_VALUE"""),38744.666666666664)</f>
        <v>38744.66667</v>
      </c>
      <c r="B374" s="22">
        <f>IFERROR(__xludf.DUMMYFUNCTION("""COMPUTED_VALUE"""),1283.72)</f>
        <v>1283.72</v>
      </c>
      <c r="C374" s="22">
        <f t="shared" si="6"/>
        <v>1284.279321</v>
      </c>
      <c r="D374" s="25">
        <f>IFERROR(__xludf.DUMMYFUNCTION("""COMPUTED_VALUE"""),38744.99861111111)</f>
        <v>38744.99861</v>
      </c>
      <c r="E374" s="22">
        <f>IFERROR(__xludf.DUMMYFUNCTION("""COMPUTED_VALUE"""),1.2096)</f>
        <v>1.2096</v>
      </c>
      <c r="F374" s="22">
        <f t="shared" si="8"/>
        <v>105.1637951</v>
      </c>
      <c r="G374" s="22">
        <f t="shared" si="31"/>
        <v>68.50413455</v>
      </c>
      <c r="H374" s="22">
        <f t="shared" si="32"/>
        <v>22.99882037</v>
      </c>
      <c r="I374" s="22">
        <f t="shared" si="3"/>
        <v>0.8267195767</v>
      </c>
      <c r="J374" s="22">
        <f t="shared" si="33"/>
        <v>-0.226603836</v>
      </c>
    </row>
    <row r="375" ht="15.75" customHeight="1">
      <c r="A375" s="25">
        <f>IFERROR(__xludf.DUMMYFUNCTION("""COMPUTED_VALUE"""),38751.666666666664)</f>
        <v>38751.66667</v>
      </c>
      <c r="B375" s="22">
        <f>IFERROR(__xludf.DUMMYFUNCTION("""COMPUTED_VALUE"""),1264.03)</f>
        <v>1264.03</v>
      </c>
      <c r="C375" s="22">
        <f t="shared" si="6"/>
        <v>1264.599177</v>
      </c>
      <c r="D375" s="25">
        <f>IFERROR(__xludf.DUMMYFUNCTION("""COMPUTED_VALUE"""),38751.99861111111)</f>
        <v>38751.99861</v>
      </c>
      <c r="E375" s="22">
        <f>IFERROR(__xludf.DUMMYFUNCTION("""COMPUTED_VALUE"""),1.2024)</f>
        <v>1.2024</v>
      </c>
      <c r="F375" s="22">
        <f t="shared" si="8"/>
        <v>102.935895</v>
      </c>
      <c r="G375" s="22">
        <f t="shared" si="31"/>
        <v>69.363874</v>
      </c>
      <c r="H375" s="22">
        <f t="shared" si="32"/>
        <v>25.06760408</v>
      </c>
      <c r="I375" s="22">
        <f t="shared" si="3"/>
        <v>0.8316699933</v>
      </c>
      <c r="J375" s="22">
        <f t="shared" si="33"/>
        <v>-0.2312874251</v>
      </c>
    </row>
    <row r="376" ht="15.75" customHeight="1">
      <c r="A376" s="25">
        <f>IFERROR(__xludf.DUMMYFUNCTION("""COMPUTED_VALUE"""),38758.666666666664)</f>
        <v>38758.66667</v>
      </c>
      <c r="B376" s="22">
        <f>IFERROR(__xludf.DUMMYFUNCTION("""COMPUTED_VALUE"""),1266.99)</f>
        <v>1266.99</v>
      </c>
      <c r="C376" s="22">
        <f t="shared" si="6"/>
        <v>1267.550447</v>
      </c>
      <c r="D376" s="25">
        <f>IFERROR(__xludf.DUMMYFUNCTION("""COMPUTED_VALUE"""),38758.99861111111)</f>
        <v>38758.99861</v>
      </c>
      <c r="E376" s="22">
        <f>IFERROR(__xludf.DUMMYFUNCTION("""COMPUTED_VALUE"""),1.2064)</f>
        <v>1.2064</v>
      </c>
      <c r="F376" s="22">
        <f t="shared" si="8"/>
        <v>103.5193565</v>
      </c>
      <c r="G376" s="22">
        <f t="shared" si="31"/>
        <v>69.67371188</v>
      </c>
      <c r="H376" s="22">
        <f t="shared" si="32"/>
        <v>28.53586186</v>
      </c>
      <c r="I376" s="22">
        <f t="shared" si="3"/>
        <v>0.8289124668</v>
      </c>
      <c r="J376" s="22">
        <f t="shared" si="33"/>
        <v>-0.242622679</v>
      </c>
    </row>
    <row r="377" ht="15.75" customHeight="1">
      <c r="A377" s="25">
        <f>IFERROR(__xludf.DUMMYFUNCTION("""COMPUTED_VALUE"""),38765.666666666664)</f>
        <v>38765.66667</v>
      </c>
      <c r="B377" s="22">
        <f>IFERROR(__xludf.DUMMYFUNCTION("""COMPUTED_VALUE"""),1287.24)</f>
        <v>1287.24</v>
      </c>
      <c r="C377" s="22">
        <f t="shared" si="6"/>
        <v>1287.801759</v>
      </c>
      <c r="D377" s="25">
        <f>IFERROR(__xludf.DUMMYFUNCTION("""COMPUTED_VALUE"""),38765.99861111111)</f>
        <v>38765.99861</v>
      </c>
      <c r="E377" s="22">
        <f>IFERROR(__xludf.DUMMYFUNCTION("""COMPUTED_VALUE"""),1.1925)</f>
        <v>1.1925</v>
      </c>
      <c r="F377" s="22">
        <f t="shared" si="8"/>
        <v>103.9614634</v>
      </c>
      <c r="G377" s="22">
        <f t="shared" si="31"/>
        <v>68.19873357</v>
      </c>
      <c r="H377" s="22">
        <f t="shared" si="32"/>
        <v>34.1088536</v>
      </c>
      <c r="I377" s="22">
        <f t="shared" si="3"/>
        <v>0.8385744235</v>
      </c>
      <c r="J377" s="22">
        <f t="shared" si="33"/>
        <v>-0.2293501048</v>
      </c>
    </row>
    <row r="378" ht="15.75" customHeight="1">
      <c r="A378" s="25">
        <f>IFERROR(__xludf.DUMMYFUNCTION("""COMPUTED_VALUE"""),38772.666666666664)</f>
        <v>38772.66667</v>
      </c>
      <c r="B378" s="22">
        <f>IFERROR(__xludf.DUMMYFUNCTION("""COMPUTED_VALUE"""),1289.43)</f>
        <v>1289.43</v>
      </c>
      <c r="C378" s="22">
        <f t="shared" si="6"/>
        <v>1290.000738</v>
      </c>
      <c r="D378" s="25">
        <f>IFERROR(__xludf.DUMMYFUNCTION("""COMPUTED_VALUE"""),38772.99861111111)</f>
        <v>38772.99861</v>
      </c>
      <c r="E378" s="22">
        <f>IFERROR(__xludf.DUMMYFUNCTION("""COMPUTED_VALUE"""),1.1873)</f>
        <v>1.1873</v>
      </c>
      <c r="F378" s="22">
        <f t="shared" si="8"/>
        <v>103.6848751</v>
      </c>
      <c r="G378" s="22">
        <f t="shared" si="31"/>
        <v>68.46057555</v>
      </c>
      <c r="H378" s="22">
        <f t="shared" si="32"/>
        <v>32.61122309</v>
      </c>
      <c r="I378" s="22">
        <f t="shared" si="3"/>
        <v>0.8422471153</v>
      </c>
      <c r="J378" s="22">
        <f t="shared" si="33"/>
        <v>-0.2121620483</v>
      </c>
    </row>
    <row r="379" ht="15.75" customHeight="1">
      <c r="A379" s="25">
        <f>IFERROR(__xludf.DUMMYFUNCTION("""COMPUTED_VALUE"""),38779.666666666664)</f>
        <v>38779.66667</v>
      </c>
      <c r="B379" s="22">
        <f>IFERROR(__xludf.DUMMYFUNCTION("""COMPUTED_VALUE"""),1287.23)</f>
        <v>1287.23</v>
      </c>
      <c r="C379" s="22">
        <f t="shared" si="6"/>
        <v>1287.801709</v>
      </c>
      <c r="D379" s="25">
        <f>IFERROR(__xludf.DUMMYFUNCTION("""COMPUTED_VALUE"""),38779.99861111111)</f>
        <v>38779.99861</v>
      </c>
      <c r="E379" s="22">
        <f>IFERROR(__xludf.DUMMYFUNCTION("""COMPUTED_VALUE"""),1.2038)</f>
        <v>1.2038</v>
      </c>
      <c r="F379" s="22">
        <f t="shared" si="8"/>
        <v>104.9465868</v>
      </c>
      <c r="G379" s="22">
        <f t="shared" si="31"/>
        <v>69.8254026</v>
      </c>
      <c r="H379" s="22">
        <f t="shared" si="32"/>
        <v>34.62477355</v>
      </c>
      <c r="I379" s="22">
        <f t="shared" si="3"/>
        <v>0.8307027745</v>
      </c>
      <c r="J379" s="22">
        <f t="shared" si="33"/>
        <v>-0.2247881708</v>
      </c>
    </row>
    <row r="380" ht="15.75" customHeight="1">
      <c r="A380" s="25">
        <f>IFERROR(__xludf.DUMMYFUNCTION("""COMPUTED_VALUE"""),38786.666666666664)</f>
        <v>38786.66667</v>
      </c>
      <c r="B380" s="22">
        <f>IFERROR(__xludf.DUMMYFUNCTION("""COMPUTED_VALUE"""),1281.58)</f>
        <v>1281.58</v>
      </c>
      <c r="C380" s="22">
        <f t="shared" si="6"/>
        <v>1282.150733</v>
      </c>
      <c r="D380" s="25">
        <f>IFERROR(__xludf.DUMMYFUNCTION("""COMPUTED_VALUE"""),38786.99861111111)</f>
        <v>38786.99861</v>
      </c>
      <c r="E380" s="22">
        <f>IFERROR(__xludf.DUMMYFUNCTION("""COMPUTED_VALUE"""),1.1907)</f>
        <v>1.1907</v>
      </c>
      <c r="F380" s="22">
        <f t="shared" si="8"/>
        <v>103.3490339</v>
      </c>
      <c r="G380" s="22">
        <f t="shared" si="31"/>
        <v>70.51394703</v>
      </c>
      <c r="H380" s="22">
        <f t="shared" si="32"/>
        <v>47.93783882</v>
      </c>
      <c r="I380" s="22">
        <f t="shared" si="3"/>
        <v>0.8398421097</v>
      </c>
      <c r="J380" s="22">
        <f t="shared" si="33"/>
        <v>-0.2470815487</v>
      </c>
    </row>
    <row r="381" ht="15.75" customHeight="1">
      <c r="A381" s="25">
        <f>IFERROR(__xludf.DUMMYFUNCTION("""COMPUTED_VALUE"""),38793.666666666664)</f>
        <v>38793.66667</v>
      </c>
      <c r="B381" s="22">
        <f>IFERROR(__xludf.DUMMYFUNCTION("""COMPUTED_VALUE"""),1307.25)</f>
        <v>1307.25</v>
      </c>
      <c r="C381" s="22">
        <f t="shared" si="6"/>
        <v>1307.818228</v>
      </c>
      <c r="D381" s="25">
        <f>IFERROR(__xludf.DUMMYFUNCTION("""COMPUTED_VALUE"""),38793.99861111111)</f>
        <v>38793.99861</v>
      </c>
      <c r="E381" s="22">
        <f>IFERROR(__xludf.DUMMYFUNCTION("""COMPUTED_VALUE"""),1.2189)</f>
        <v>1.2189</v>
      </c>
      <c r="F381" s="22">
        <f t="shared" si="8"/>
        <v>107.9146597</v>
      </c>
      <c r="G381" s="22">
        <f t="shared" si="31"/>
        <v>69.06788784</v>
      </c>
      <c r="H381" s="22">
        <f t="shared" si="32"/>
        <v>57.15474029</v>
      </c>
      <c r="I381" s="22">
        <f t="shared" si="3"/>
        <v>0.8204118467</v>
      </c>
      <c r="J381" s="22">
        <f t="shared" si="33"/>
        <v>-0.2702436623</v>
      </c>
    </row>
    <row r="382" ht="15.75" customHeight="1">
      <c r="A382" s="25">
        <f>IFERROR(__xludf.DUMMYFUNCTION("""COMPUTED_VALUE"""),38800.666666666664)</f>
        <v>38800.66667</v>
      </c>
      <c r="B382" s="22">
        <f>IFERROR(__xludf.DUMMYFUNCTION("""COMPUTED_VALUE"""),1302.95)</f>
        <v>1302.95</v>
      </c>
      <c r="C382" s="22">
        <f t="shared" si="6"/>
        <v>1303.52961</v>
      </c>
      <c r="D382" s="25">
        <f>IFERROR(__xludf.DUMMYFUNCTION("""COMPUTED_VALUE"""),38800.99861111111)</f>
        <v>38800.99861</v>
      </c>
      <c r="E382" s="22">
        <f>IFERROR(__xludf.DUMMYFUNCTION("""COMPUTED_VALUE"""),1.2032)</f>
        <v>1.2032</v>
      </c>
      <c r="F382" s="22">
        <f t="shared" si="8"/>
        <v>106.1753512</v>
      </c>
      <c r="G382" s="22">
        <f t="shared" si="31"/>
        <v>68.47639544</v>
      </c>
      <c r="H382" s="22">
        <f t="shared" si="32"/>
        <v>54.35871568</v>
      </c>
      <c r="I382" s="22">
        <f t="shared" si="3"/>
        <v>0.8311170213</v>
      </c>
      <c r="J382" s="22">
        <f t="shared" si="33"/>
        <v>-0.2725232713</v>
      </c>
    </row>
    <row r="383" ht="15.75" customHeight="1">
      <c r="A383" s="25">
        <f>IFERROR(__xludf.DUMMYFUNCTION("""COMPUTED_VALUE"""),38807.666666666664)</f>
        <v>38807.66667</v>
      </c>
      <c r="B383" s="22">
        <f>IFERROR(__xludf.DUMMYFUNCTION("""COMPUTED_VALUE"""),1294.83)</f>
        <v>1294.83</v>
      </c>
      <c r="C383" s="22">
        <f t="shared" si="6"/>
        <v>1295.407703</v>
      </c>
      <c r="D383" s="25">
        <f>IFERROR(__xludf.DUMMYFUNCTION("""COMPUTED_VALUE"""),38807.99861111111)</f>
        <v>38807.99861</v>
      </c>
      <c r="E383" s="22">
        <f>IFERROR(__xludf.DUMMYFUNCTION("""COMPUTED_VALUE"""),1.2111)</f>
        <v>1.2111</v>
      </c>
      <c r="F383" s="22">
        <f t="shared" si="8"/>
        <v>106.2065892</v>
      </c>
      <c r="G383" s="22">
        <f t="shared" si="31"/>
        <v>66.26540895</v>
      </c>
      <c r="H383" s="22">
        <f t="shared" si="32"/>
        <v>53.7253424</v>
      </c>
      <c r="I383" s="22">
        <f t="shared" si="3"/>
        <v>0.8256956486</v>
      </c>
      <c r="J383" s="22">
        <f t="shared" si="33"/>
        <v>-0.2535711337</v>
      </c>
    </row>
    <row r="384" ht="15.75" customHeight="1">
      <c r="A384" s="25">
        <f>IFERROR(__xludf.DUMMYFUNCTION("""COMPUTED_VALUE"""),38814.666666666664)</f>
        <v>38814.66667</v>
      </c>
      <c r="B384" s="22">
        <f>IFERROR(__xludf.DUMMYFUNCTION("""COMPUTED_VALUE"""),1295.5)</f>
        <v>1295.5</v>
      </c>
      <c r="C384" s="22">
        <f t="shared" si="6"/>
        <v>1296.074103</v>
      </c>
      <c r="D384" s="25">
        <f>IFERROR(__xludf.DUMMYFUNCTION("""COMPUTED_VALUE"""),38814.99861111111)</f>
        <v>38814.99861</v>
      </c>
      <c r="E384" s="22">
        <f>IFERROR(__xludf.DUMMYFUNCTION("""COMPUTED_VALUE"""),1.2097)</f>
        <v>1.2097</v>
      </c>
      <c r="F384" s="22">
        <f t="shared" si="8"/>
        <v>106.1383901</v>
      </c>
      <c r="G384" s="22">
        <f t="shared" si="31"/>
        <v>67.84685689</v>
      </c>
      <c r="H384" s="22">
        <f t="shared" si="32"/>
        <v>49.12234569</v>
      </c>
      <c r="I384" s="22">
        <f t="shared" si="3"/>
        <v>0.8266512358</v>
      </c>
      <c r="J384" s="22">
        <f t="shared" si="33"/>
        <v>-0.2659337026</v>
      </c>
    </row>
    <row r="385" ht="15.75" customHeight="1">
      <c r="A385" s="25">
        <f>IFERROR(__xludf.DUMMYFUNCTION("""COMPUTED_VALUE"""),38821.666666666664)</f>
        <v>38821.66667</v>
      </c>
      <c r="B385" s="22">
        <f>IFERROR(__xludf.DUMMYFUNCTION("""COMPUTED_VALUE"""),1270.52)</f>
        <v>1270.52</v>
      </c>
      <c r="C385" s="22">
        <f t="shared" si="6"/>
        <v>1271.0944</v>
      </c>
      <c r="D385" s="25">
        <f>IFERROR(__xludf.DUMMYFUNCTION("""COMPUTED_VALUE"""),38821.99861111111)</f>
        <v>38821.99861</v>
      </c>
      <c r="E385" s="22">
        <f>IFERROR(__xludf.DUMMYFUNCTION("""COMPUTED_VALUE"""),1.2108)</f>
        <v>1.2108</v>
      </c>
      <c r="F385" s="22">
        <f t="shared" si="8"/>
        <v>104.1874</v>
      </c>
      <c r="G385" s="22">
        <f t="shared" si="31"/>
        <v>58.16168181</v>
      </c>
      <c r="H385" s="22">
        <f t="shared" si="32"/>
        <v>37.32318849</v>
      </c>
      <c r="I385" s="22">
        <f t="shared" si="3"/>
        <v>0.8259002313</v>
      </c>
      <c r="J385" s="22">
        <f t="shared" si="33"/>
        <v>-0.2556161216</v>
      </c>
    </row>
    <row r="386" ht="15.75" customHeight="1">
      <c r="A386" s="25">
        <f>IFERROR(__xludf.DUMMYFUNCTION("""COMPUTED_VALUE"""),38828.666666666664)</f>
        <v>38828.66667</v>
      </c>
      <c r="B386" s="22">
        <f>IFERROR(__xludf.DUMMYFUNCTION("""COMPUTED_VALUE"""),1311.28)</f>
        <v>1311.28</v>
      </c>
      <c r="C386" s="22">
        <f t="shared" si="6"/>
        <v>1311.843325</v>
      </c>
      <c r="D386" s="25">
        <f>IFERROR(__xludf.DUMMYFUNCTION("""COMPUTED_VALUE"""),38828.99861111111)</f>
        <v>38828.99861</v>
      </c>
      <c r="E386" s="22">
        <f>IFERROR(__xludf.DUMMYFUNCTION("""COMPUTED_VALUE"""),1.2338)</f>
        <v>1.2338</v>
      </c>
      <c r="F386" s="22">
        <f t="shared" si="8"/>
        <v>109.5700142</v>
      </c>
      <c r="G386" s="22">
        <f t="shared" si="31"/>
        <v>63.1006729</v>
      </c>
      <c r="H386" s="22">
        <f t="shared" si="32"/>
        <v>45.10020993</v>
      </c>
      <c r="I386" s="22">
        <f t="shared" si="3"/>
        <v>0.8105041336</v>
      </c>
      <c r="J386" s="22">
        <f t="shared" si="33"/>
        <v>-0.2788134219</v>
      </c>
    </row>
    <row r="387" ht="15.75" customHeight="1">
      <c r="A387" s="25">
        <f>IFERROR(__xludf.DUMMYFUNCTION("""COMPUTED_VALUE"""),38835.666666666664)</f>
        <v>38835.66667</v>
      </c>
      <c r="B387" s="22">
        <f>IFERROR(__xludf.DUMMYFUNCTION("""COMPUTED_VALUE"""),1310.61)</f>
        <v>1310.61</v>
      </c>
      <c r="C387" s="22">
        <f t="shared" si="6"/>
        <v>1311.191397</v>
      </c>
      <c r="D387" s="25">
        <f>IFERROR(__xludf.DUMMYFUNCTION("""COMPUTED_VALUE"""),38835.99861111111)</f>
        <v>38835.99861</v>
      </c>
      <c r="E387" s="22">
        <f>IFERROR(__xludf.DUMMYFUNCTION("""COMPUTED_VALUE"""),1.2633)</f>
        <v>1.2633</v>
      </c>
      <c r="F387" s="22">
        <f t="shared" si="8"/>
        <v>112.1340659</v>
      </c>
      <c r="G387" s="22">
        <f t="shared" si="31"/>
        <v>58.54911909</v>
      </c>
      <c r="H387" s="22">
        <f t="shared" si="32"/>
        <v>46.54844586</v>
      </c>
      <c r="I387" s="22">
        <f t="shared" si="3"/>
        <v>0.7915776142</v>
      </c>
      <c r="J387" s="22">
        <f t="shared" si="33"/>
        <v>-0.2939127681</v>
      </c>
    </row>
    <row r="388" ht="15.75" customHeight="1">
      <c r="A388" s="25">
        <f>IFERROR(__xludf.DUMMYFUNCTION("""COMPUTED_VALUE"""),38842.666666666664)</f>
        <v>38842.66667</v>
      </c>
      <c r="B388" s="22">
        <f>IFERROR(__xludf.DUMMYFUNCTION("""COMPUTED_VALUE"""),1325.76)</f>
        <v>1325.76</v>
      </c>
      <c r="C388" s="22">
        <f t="shared" si="6"/>
        <v>1326.3411</v>
      </c>
      <c r="D388" s="25">
        <f>IFERROR(__xludf.DUMMYFUNCTION("""COMPUTED_VALUE"""),38842.99861111111)</f>
        <v>38842.99861</v>
      </c>
      <c r="E388" s="22">
        <f>IFERROR(__xludf.DUMMYFUNCTION("""COMPUTED_VALUE"""),1.2723)</f>
        <v>1.2723</v>
      </c>
      <c r="F388" s="22">
        <f t="shared" si="8"/>
        <v>114.2377753</v>
      </c>
      <c r="G388" s="22">
        <f t="shared" si="31"/>
        <v>57.31634785</v>
      </c>
      <c r="H388" s="22">
        <f t="shared" si="32"/>
        <v>54.82585907</v>
      </c>
      <c r="I388" s="22">
        <f t="shared" si="3"/>
        <v>0.7859781498</v>
      </c>
      <c r="J388" s="22">
        <f t="shared" si="33"/>
        <v>-0.3125835102</v>
      </c>
    </row>
    <row r="389" ht="15.75" customHeight="1">
      <c r="A389" s="25">
        <f>IFERROR(__xludf.DUMMYFUNCTION("""COMPUTED_VALUE"""),38849.666666666664)</f>
        <v>38849.66667</v>
      </c>
      <c r="B389" s="22">
        <f>IFERROR(__xludf.DUMMYFUNCTION("""COMPUTED_VALUE"""),1291.24)</f>
        <v>1291.24</v>
      </c>
      <c r="C389" s="22">
        <f t="shared" si="6"/>
        <v>1291.827817</v>
      </c>
      <c r="D389" s="25">
        <f>IFERROR(__xludf.DUMMYFUNCTION("""COMPUTED_VALUE"""),38849.99861111111)</f>
        <v>38849.99861</v>
      </c>
      <c r="E389" s="22">
        <f>IFERROR(__xludf.DUMMYFUNCTION("""COMPUTED_VALUE"""),1.2915)</f>
        <v>1.2915</v>
      </c>
      <c r="F389" s="22">
        <f t="shared" si="8"/>
        <v>112.9442237</v>
      </c>
      <c r="G389" s="22">
        <f t="shared" si="31"/>
        <v>52.30985483</v>
      </c>
      <c r="H389" s="22">
        <f t="shared" si="32"/>
        <v>47.01777396</v>
      </c>
      <c r="I389" s="22">
        <f t="shared" si="3"/>
        <v>0.7742934572</v>
      </c>
      <c r="J389" s="22">
        <f t="shared" si="33"/>
        <v>-0.3201703446</v>
      </c>
    </row>
    <row r="390" ht="15.75" customHeight="1">
      <c r="A390" s="25">
        <f>IFERROR(__xludf.DUMMYFUNCTION("""COMPUTED_VALUE"""),38856.666666666664)</f>
        <v>38856.66667</v>
      </c>
      <c r="B390" s="22">
        <f>IFERROR(__xludf.DUMMYFUNCTION("""COMPUTED_VALUE"""),1267.03)</f>
        <v>1267.03</v>
      </c>
      <c r="C390" s="22">
        <f t="shared" si="6"/>
        <v>1267.602511</v>
      </c>
      <c r="D390" s="25">
        <f>IFERROR(__xludf.DUMMYFUNCTION("""COMPUTED_VALUE"""),38856.99861111111)</f>
        <v>38856.99861</v>
      </c>
      <c r="E390" s="22">
        <f>IFERROR(__xludf.DUMMYFUNCTION("""COMPUTED_VALUE"""),1.2763)</f>
        <v>1.2763</v>
      </c>
      <c r="F390" s="22">
        <f t="shared" si="8"/>
        <v>109.521868</v>
      </c>
      <c r="G390" s="22">
        <f t="shared" si="31"/>
        <v>46.3666057</v>
      </c>
      <c r="H390" s="22">
        <f t="shared" si="32"/>
        <v>47.02661248</v>
      </c>
      <c r="I390" s="22">
        <f t="shared" si="3"/>
        <v>0.7835148476</v>
      </c>
      <c r="J390" s="22">
        <f t="shared" si="33"/>
        <v>-0.3256287707</v>
      </c>
    </row>
    <row r="391" ht="15.75" customHeight="1">
      <c r="A391" s="25">
        <f>IFERROR(__xludf.DUMMYFUNCTION("""COMPUTED_VALUE"""),38863.666666666664)</f>
        <v>38863.66667</v>
      </c>
      <c r="B391" s="22">
        <f>IFERROR(__xludf.DUMMYFUNCTION("""COMPUTED_VALUE"""),1280.16)</f>
        <v>1280.16</v>
      </c>
      <c r="C391" s="22">
        <f t="shared" si="6"/>
        <v>1280.721777</v>
      </c>
      <c r="D391" s="25">
        <f>IFERROR(__xludf.DUMMYFUNCTION("""COMPUTED_VALUE"""),38863.99861111111)</f>
        <v>38863.99861</v>
      </c>
      <c r="E391" s="22">
        <f>IFERROR(__xludf.DUMMYFUNCTION("""COMPUTED_VALUE"""),1.2733)</f>
        <v>1.2733</v>
      </c>
      <c r="F391" s="22">
        <f t="shared" si="8"/>
        <v>110.3952826</v>
      </c>
      <c r="G391" s="22">
        <f t="shared" si="31"/>
        <v>43.56577588</v>
      </c>
      <c r="H391" s="22">
        <f t="shared" si="32"/>
        <v>52.56301543</v>
      </c>
      <c r="I391" s="22">
        <f t="shared" si="3"/>
        <v>0.7853608733</v>
      </c>
      <c r="J391" s="22">
        <f t="shared" si="33"/>
        <v>-0.3344066599</v>
      </c>
    </row>
    <row r="392" ht="15.75" customHeight="1">
      <c r="A392" s="25">
        <f>IFERROR(__xludf.DUMMYFUNCTION("""COMPUTED_VALUE"""),38870.666666666664)</f>
        <v>38870.66667</v>
      </c>
      <c r="B392" s="22">
        <f>IFERROR(__xludf.DUMMYFUNCTION("""COMPUTED_VALUE"""),1288.22)</f>
        <v>1288.22</v>
      </c>
      <c r="C392" s="22">
        <f t="shared" si="6"/>
        <v>1288.787599</v>
      </c>
      <c r="D392" s="25">
        <f>IFERROR(__xludf.DUMMYFUNCTION("""COMPUTED_VALUE"""),38870.99861111111)</f>
        <v>38870.99861</v>
      </c>
      <c r="E392" s="22">
        <f>IFERROR(__xludf.DUMMYFUNCTION("""COMPUTED_VALUE"""),1.2916)</f>
        <v>1.2916</v>
      </c>
      <c r="F392" s="22">
        <f t="shared" si="8"/>
        <v>112.6871428</v>
      </c>
      <c r="G392" s="22">
        <f t="shared" si="31"/>
        <v>43.99868532</v>
      </c>
      <c r="H392" s="22">
        <f t="shared" si="32"/>
        <v>54.56378268</v>
      </c>
      <c r="I392" s="22">
        <f t="shared" si="3"/>
        <v>0.7742335088</v>
      </c>
      <c r="J392" s="22">
        <f t="shared" si="33"/>
        <v>-0.341127284</v>
      </c>
    </row>
    <row r="393" ht="15.75" customHeight="1">
      <c r="A393" s="25">
        <f>IFERROR(__xludf.DUMMYFUNCTION("""COMPUTED_VALUE"""),38877.666666666664)</f>
        <v>38877.66667</v>
      </c>
      <c r="B393" s="22">
        <f>IFERROR(__xludf.DUMMYFUNCTION("""COMPUTED_VALUE"""),1252.3)</f>
        <v>1252.3</v>
      </c>
      <c r="C393" s="22">
        <f t="shared" si="6"/>
        <v>1252.871172</v>
      </c>
      <c r="D393" s="25">
        <f>IFERROR(__xludf.DUMMYFUNCTION("""COMPUTED_VALUE"""),38877.99861111111)</f>
        <v>38877.99861</v>
      </c>
      <c r="E393" s="22">
        <f>IFERROR(__xludf.DUMMYFUNCTION("""COMPUTED_VALUE"""),1.2638)</f>
        <v>1.2638</v>
      </c>
      <c r="F393" s="22">
        <f t="shared" si="8"/>
        <v>107.1888842</v>
      </c>
      <c r="G393" s="22">
        <f t="shared" si="31"/>
        <v>34.90451232</v>
      </c>
      <c r="H393" s="22">
        <f t="shared" si="32"/>
        <v>51.22733107</v>
      </c>
      <c r="I393" s="22">
        <f t="shared" si="3"/>
        <v>0.7912644406</v>
      </c>
      <c r="J393" s="22">
        <f t="shared" si="33"/>
        <v>-0.3180883051</v>
      </c>
    </row>
    <row r="394" ht="15.75" customHeight="1">
      <c r="A394" s="25">
        <f>IFERROR(__xludf.DUMMYFUNCTION("""COMPUTED_VALUE"""),38884.666666666664)</f>
        <v>38884.66667</v>
      </c>
      <c r="B394" s="22">
        <f>IFERROR(__xludf.DUMMYFUNCTION("""COMPUTED_VALUE"""),1251.54)</f>
        <v>1251.54</v>
      </c>
      <c r="C394" s="22">
        <f t="shared" si="6"/>
        <v>1252.095246</v>
      </c>
      <c r="D394" s="25">
        <f>IFERROR(__xludf.DUMMYFUNCTION("""COMPUTED_VALUE"""),38884.99861111111)</f>
        <v>38884.99861</v>
      </c>
      <c r="E394" s="22">
        <f>IFERROR(__xludf.DUMMYFUNCTION("""COMPUTED_VALUE"""),1.2638)</f>
        <v>1.2638</v>
      </c>
      <c r="F394" s="22">
        <f t="shared" si="8"/>
        <v>107.1225001</v>
      </c>
      <c r="G394" s="22">
        <f t="shared" si="31"/>
        <v>36.90841208</v>
      </c>
      <c r="H394" s="22">
        <f t="shared" si="32"/>
        <v>50.63803113</v>
      </c>
      <c r="I394" s="22">
        <f t="shared" si="3"/>
        <v>0.7912644406</v>
      </c>
      <c r="J394" s="22">
        <f t="shared" si="33"/>
        <v>-0.3219655009</v>
      </c>
    </row>
    <row r="395" ht="15.75" customHeight="1">
      <c r="A395" s="25">
        <f>IFERROR(__xludf.DUMMYFUNCTION("""COMPUTED_VALUE"""),38891.666666666664)</f>
        <v>38891.66667</v>
      </c>
      <c r="B395" s="22">
        <f>IFERROR(__xludf.DUMMYFUNCTION("""COMPUTED_VALUE"""),1244.5)</f>
        <v>1244.5</v>
      </c>
      <c r="C395" s="22">
        <f t="shared" si="6"/>
        <v>1245.054909</v>
      </c>
      <c r="D395" s="25">
        <f>IFERROR(__xludf.DUMMYFUNCTION("""COMPUTED_VALUE"""),38891.99861111111)</f>
        <v>38891.99861</v>
      </c>
      <c r="E395" s="22">
        <f>IFERROR(__xludf.DUMMYFUNCTION("""COMPUTED_VALUE"""),1.2508)</f>
        <v>1.2508</v>
      </c>
      <c r="F395" s="22">
        <f t="shared" si="8"/>
        <v>105.4244539</v>
      </c>
      <c r="G395" s="22">
        <f t="shared" si="31"/>
        <v>39.50381755</v>
      </c>
      <c r="H395" s="22">
        <f t="shared" si="32"/>
        <v>49.42917754</v>
      </c>
      <c r="I395" s="22">
        <f t="shared" si="3"/>
        <v>0.7994883275</v>
      </c>
      <c r="J395" s="22">
        <f t="shared" si="33"/>
        <v>-0.32123441</v>
      </c>
    </row>
    <row r="396" ht="15.75" customHeight="1">
      <c r="A396" s="25">
        <f>IFERROR(__xludf.DUMMYFUNCTION("""COMPUTED_VALUE"""),38898.666666666664)</f>
        <v>38898.66667</v>
      </c>
      <c r="B396" s="22">
        <f>IFERROR(__xludf.DUMMYFUNCTION("""COMPUTED_VALUE"""),1270.2)</f>
        <v>1270.2</v>
      </c>
      <c r="C396" s="22">
        <f t="shared" si="6"/>
        <v>1270.751788</v>
      </c>
      <c r="D396" s="25">
        <f>IFERROR(__xludf.DUMMYFUNCTION("""COMPUTED_VALUE"""),38898.99861111111)</f>
        <v>38898.99861</v>
      </c>
      <c r="E396" s="22">
        <f>IFERROR(__xludf.DUMMYFUNCTION("""COMPUTED_VALUE"""),1.279)</f>
        <v>1.279</v>
      </c>
      <c r="F396" s="22">
        <f t="shared" si="8"/>
        <v>110.0262361</v>
      </c>
      <c r="G396" s="22">
        <f t="shared" si="31"/>
        <v>43.41686861</v>
      </c>
      <c r="H396" s="22">
        <f t="shared" si="32"/>
        <v>61.03987961</v>
      </c>
      <c r="I396" s="22">
        <f t="shared" si="3"/>
        <v>0.7818608288</v>
      </c>
      <c r="J396" s="22">
        <f t="shared" si="33"/>
        <v>-0.3375293198</v>
      </c>
    </row>
    <row r="397" ht="15.75" customHeight="1">
      <c r="A397" s="25">
        <f>IFERROR(__xludf.DUMMYFUNCTION("""COMPUTED_VALUE"""),38905.666666666664)</f>
        <v>38905.66667</v>
      </c>
      <c r="B397" s="22">
        <f>IFERROR(__xludf.DUMMYFUNCTION("""COMPUTED_VALUE"""),1265.48)</f>
        <v>1265.48</v>
      </c>
      <c r="C397" s="22">
        <f t="shared" si="6"/>
        <v>1266.043183</v>
      </c>
      <c r="D397" s="25">
        <f>IFERROR(__xludf.DUMMYFUNCTION("""COMPUTED_VALUE"""),38905.99861111111)</f>
        <v>38905.99861</v>
      </c>
      <c r="E397" s="22">
        <f>IFERROR(__xludf.DUMMYFUNCTION("""COMPUTED_VALUE"""),1.2818)</f>
        <v>1.2818</v>
      </c>
      <c r="F397" s="22">
        <f t="shared" si="8"/>
        <v>109.8585263</v>
      </c>
      <c r="G397" s="22">
        <f t="shared" si="31"/>
        <v>44.09850285</v>
      </c>
      <c r="H397" s="22">
        <f t="shared" si="32"/>
        <v>56.22561739</v>
      </c>
      <c r="I397" s="22">
        <f t="shared" si="3"/>
        <v>0.78015291</v>
      </c>
      <c r="J397" s="22">
        <f t="shared" si="33"/>
        <v>-0.3336713996</v>
      </c>
    </row>
    <row r="398" ht="15.75" customHeight="1">
      <c r="A398" s="25">
        <f>IFERROR(__xludf.DUMMYFUNCTION("""COMPUTED_VALUE"""),38912.666666666664)</f>
        <v>38912.66667</v>
      </c>
      <c r="B398" s="22">
        <f>IFERROR(__xludf.DUMMYFUNCTION("""COMPUTED_VALUE"""),1236.2)</f>
        <v>1236.2</v>
      </c>
      <c r="C398" s="22">
        <f t="shared" si="6"/>
        <v>1236.76109</v>
      </c>
      <c r="D398" s="25">
        <f>IFERROR(__xludf.DUMMYFUNCTION("""COMPUTED_VALUE"""),38912.99861111111)</f>
        <v>38912.99861</v>
      </c>
      <c r="E398" s="22">
        <f>IFERROR(__xludf.DUMMYFUNCTION("""COMPUTED_VALUE"""),1.2649)</f>
        <v>1.2649</v>
      </c>
      <c r="F398" s="22">
        <f t="shared" si="8"/>
        <v>105.9026892</v>
      </c>
      <c r="G398" s="22">
        <f t="shared" si="31"/>
        <v>39.7920328</v>
      </c>
      <c r="H398" s="22">
        <f t="shared" si="32"/>
        <v>48.23150226</v>
      </c>
      <c r="I398" s="22">
        <f t="shared" si="3"/>
        <v>0.7905763301</v>
      </c>
      <c r="J398" s="22">
        <f t="shared" si="33"/>
        <v>-0.3112499012</v>
      </c>
    </row>
    <row r="399" ht="15.75" customHeight="1">
      <c r="A399" s="25">
        <f>IFERROR(__xludf.DUMMYFUNCTION("""COMPUTED_VALUE"""),38919.666666666664)</f>
        <v>38919.66667</v>
      </c>
      <c r="B399" s="22">
        <f>IFERROR(__xludf.DUMMYFUNCTION("""COMPUTED_VALUE"""),1240.29)</f>
        <v>1240.29</v>
      </c>
      <c r="C399" s="22">
        <f t="shared" si="6"/>
        <v>1240.838108</v>
      </c>
      <c r="D399" s="25">
        <f>IFERROR(__xludf.DUMMYFUNCTION("""COMPUTED_VALUE"""),38919.99861111111)</f>
        <v>38919.99861</v>
      </c>
      <c r="E399" s="22">
        <f>IFERROR(__xludf.DUMMYFUNCTION("""COMPUTED_VALUE"""),1.2693)</f>
        <v>1.2693</v>
      </c>
      <c r="F399" s="22">
        <f t="shared" si="8"/>
        <v>106.6214011</v>
      </c>
      <c r="G399" s="22">
        <f t="shared" si="31"/>
        <v>36.95763385</v>
      </c>
      <c r="H399" s="22">
        <f t="shared" si="32"/>
        <v>48.86890994</v>
      </c>
      <c r="I399" s="22">
        <f t="shared" si="3"/>
        <v>0.787835815</v>
      </c>
      <c r="J399" s="22">
        <f t="shared" si="33"/>
        <v>-0.3090679902</v>
      </c>
    </row>
    <row r="400" ht="15.75" customHeight="1">
      <c r="A400" s="25">
        <f>IFERROR(__xludf.DUMMYFUNCTION("""COMPUTED_VALUE"""),38926.666666666664)</f>
        <v>38926.66667</v>
      </c>
      <c r="B400" s="22">
        <f>IFERROR(__xludf.DUMMYFUNCTION("""COMPUTED_VALUE"""),1278.55)</f>
        <v>1278.55</v>
      </c>
      <c r="C400" s="22">
        <f t="shared" si="6"/>
        <v>1279.099921</v>
      </c>
      <c r="D400" s="25">
        <f>IFERROR(__xludf.DUMMYFUNCTION("""COMPUTED_VALUE"""),38926.99861111111)</f>
        <v>38926.99861</v>
      </c>
      <c r="E400" s="22">
        <f>IFERROR(__xludf.DUMMYFUNCTION("""COMPUTED_VALUE"""),1.2745)</f>
        <v>1.2745</v>
      </c>
      <c r="F400" s="22">
        <f t="shared" si="8"/>
        <v>110.3593908</v>
      </c>
      <c r="G400" s="22">
        <f t="shared" si="31"/>
        <v>47.38270192</v>
      </c>
      <c r="H400" s="22">
        <f t="shared" si="32"/>
        <v>51.82918972</v>
      </c>
      <c r="I400" s="22">
        <f t="shared" si="3"/>
        <v>0.7846214202</v>
      </c>
      <c r="J400" s="22">
        <f t="shared" si="33"/>
        <v>-0.3065515889</v>
      </c>
    </row>
    <row r="401" ht="15.75" customHeight="1">
      <c r="A401" s="25">
        <f>IFERROR(__xludf.DUMMYFUNCTION("""COMPUTED_VALUE"""),38933.666666666664)</f>
        <v>38933.66667</v>
      </c>
      <c r="B401" s="22">
        <f>IFERROR(__xludf.DUMMYFUNCTION("""COMPUTED_VALUE"""),1279.36)</f>
        <v>1279.36</v>
      </c>
      <c r="C401" s="22">
        <f t="shared" si="6"/>
        <v>1279.926885</v>
      </c>
      <c r="D401" s="25">
        <f>IFERROR(__xludf.DUMMYFUNCTION("""COMPUTED_VALUE"""),38933.99861111111)</f>
        <v>38933.99861</v>
      </c>
      <c r="E401" s="22">
        <f>IFERROR(__xludf.DUMMYFUNCTION("""COMPUTED_VALUE"""),1.2872)</f>
        <v>1.2872</v>
      </c>
      <c r="F401" s="22">
        <f t="shared" si="8"/>
        <v>111.5311487</v>
      </c>
      <c r="G401" s="22">
        <f t="shared" si="31"/>
        <v>48.96890417</v>
      </c>
      <c r="H401" s="22">
        <f t="shared" si="32"/>
        <v>54.99720992</v>
      </c>
      <c r="I401" s="22">
        <f t="shared" si="3"/>
        <v>0.7768800497</v>
      </c>
      <c r="J401" s="22">
        <f t="shared" si="33"/>
        <v>-0.3064791796</v>
      </c>
    </row>
    <row r="402" ht="15.75" customHeight="1">
      <c r="A402" s="25">
        <f>IFERROR(__xludf.DUMMYFUNCTION("""COMPUTED_VALUE"""),38940.666666666664)</f>
        <v>38940.66667</v>
      </c>
      <c r="B402" s="22">
        <f>IFERROR(__xludf.DUMMYFUNCTION("""COMPUTED_VALUE"""),1266.74)</f>
        <v>1266.74</v>
      </c>
      <c r="C402" s="22">
        <f t="shared" si="6"/>
        <v>1267.307244</v>
      </c>
      <c r="D402" s="25">
        <f>IFERROR(__xludf.DUMMYFUNCTION("""COMPUTED_VALUE"""),38940.99861111111)</f>
        <v>38940.99861</v>
      </c>
      <c r="E402" s="22">
        <f>IFERROR(__xludf.DUMMYFUNCTION("""COMPUTED_VALUE"""),1.2713)</f>
        <v>1.2713</v>
      </c>
      <c r="F402" s="22">
        <f t="shared" si="8"/>
        <v>109.0673966</v>
      </c>
      <c r="G402" s="22">
        <f t="shared" si="31"/>
        <v>44.35427114</v>
      </c>
      <c r="H402" s="22">
        <f t="shared" si="32"/>
        <v>51.08678177</v>
      </c>
      <c r="I402" s="22">
        <f t="shared" si="3"/>
        <v>0.7865963974</v>
      </c>
      <c r="J402" s="22">
        <f t="shared" si="33"/>
        <v>-0.2784551247</v>
      </c>
    </row>
    <row r="403" ht="15.75" customHeight="1">
      <c r="A403" s="25">
        <f>IFERROR(__xludf.DUMMYFUNCTION("""COMPUTED_VALUE"""),38947.666666666664)</f>
        <v>38947.66667</v>
      </c>
      <c r="B403" s="22">
        <f>IFERROR(__xludf.DUMMYFUNCTION("""COMPUTED_VALUE"""),1302.3)</f>
        <v>1302.3</v>
      </c>
      <c r="C403" s="22">
        <f t="shared" si="6"/>
        <v>1302.861649</v>
      </c>
      <c r="D403" s="25">
        <f>IFERROR(__xludf.DUMMYFUNCTION("""COMPUTED_VALUE"""),38947.99861111111)</f>
        <v>38947.99861</v>
      </c>
      <c r="E403" s="22">
        <f>IFERROR(__xludf.DUMMYFUNCTION("""COMPUTED_VALUE"""),1.2836)</f>
        <v>1.2836</v>
      </c>
      <c r="F403" s="22">
        <f t="shared" si="8"/>
        <v>113.2121377</v>
      </c>
      <c r="G403" s="22">
        <f t="shared" si="31"/>
        <v>54.75892647</v>
      </c>
      <c r="H403" s="22">
        <f t="shared" si="32"/>
        <v>54.4660604</v>
      </c>
      <c r="I403" s="22">
        <f t="shared" si="3"/>
        <v>0.7790588969</v>
      </c>
      <c r="J403" s="22">
        <f t="shared" si="33"/>
        <v>-0.2884855095</v>
      </c>
    </row>
    <row r="404" ht="15.75" customHeight="1">
      <c r="A404" s="25">
        <f>IFERROR(__xludf.DUMMYFUNCTION("""COMPUTED_VALUE"""),38954.666666666664)</f>
        <v>38954.66667</v>
      </c>
      <c r="B404" s="22">
        <f>IFERROR(__xludf.DUMMYFUNCTION("""COMPUTED_VALUE"""),1295.09)</f>
        <v>1295.09</v>
      </c>
      <c r="C404" s="22">
        <f t="shared" si="6"/>
        <v>1295.667415</v>
      </c>
      <c r="D404" s="25">
        <f>IFERROR(__xludf.DUMMYFUNCTION("""COMPUTED_VALUE"""),38954.99861111111)</f>
        <v>38954.99861</v>
      </c>
      <c r="E404" s="22">
        <f>IFERROR(__xludf.DUMMYFUNCTION("""COMPUTED_VALUE"""),1.2753)</f>
        <v>1.2753</v>
      </c>
      <c r="F404" s="22">
        <f t="shared" si="8"/>
        <v>111.8589862</v>
      </c>
      <c r="G404" s="22">
        <f t="shared" si="31"/>
        <v>49.2668701</v>
      </c>
      <c r="H404" s="22">
        <f t="shared" si="32"/>
        <v>59.72114675</v>
      </c>
      <c r="I404" s="22">
        <f t="shared" si="3"/>
        <v>0.7841292245</v>
      </c>
      <c r="J404" s="22">
        <f t="shared" si="33"/>
        <v>-0.2847173214</v>
      </c>
    </row>
    <row r="405" ht="15.75" customHeight="1">
      <c r="A405" s="25">
        <f>IFERROR(__xludf.DUMMYFUNCTION("""COMPUTED_VALUE"""),38961.666666666664)</f>
        <v>38961.66667</v>
      </c>
      <c r="B405" s="22">
        <f>IFERROR(__xludf.DUMMYFUNCTION("""COMPUTED_VALUE"""),1311.01)</f>
        <v>1311.01</v>
      </c>
      <c r="C405" s="22">
        <f t="shared" si="6"/>
        <v>1311.584218</v>
      </c>
      <c r="D405" s="25">
        <f>IFERROR(__xludf.DUMMYFUNCTION("""COMPUTED_VALUE"""),38961.99861111111)</f>
        <v>38961.99861</v>
      </c>
      <c r="E405" s="22">
        <f>IFERROR(__xludf.DUMMYFUNCTION("""COMPUTED_VALUE"""),1.2833)</f>
        <v>1.2833</v>
      </c>
      <c r="F405" s="22">
        <f t="shared" si="8"/>
        <v>113.9434485</v>
      </c>
      <c r="G405" s="22">
        <f t="shared" si="31"/>
        <v>48.2912099</v>
      </c>
      <c r="H405" s="22">
        <f t="shared" si="32"/>
        <v>71.41987102</v>
      </c>
      <c r="I405" s="22">
        <f t="shared" si="3"/>
        <v>0.7792410192</v>
      </c>
      <c r="J405" s="22">
        <f t="shared" si="33"/>
        <v>-0.2956440427</v>
      </c>
    </row>
    <row r="406" ht="15.75" customHeight="1">
      <c r="A406" s="25">
        <f>IFERROR(__xludf.DUMMYFUNCTION("""COMPUTED_VALUE"""),38968.666666666664)</f>
        <v>38968.66667</v>
      </c>
      <c r="B406" s="22">
        <f>IFERROR(__xludf.DUMMYFUNCTION("""COMPUTED_VALUE"""),1298.92)</f>
        <v>1298.92</v>
      </c>
      <c r="C406" s="22">
        <f t="shared" si="6"/>
        <v>1299.501277</v>
      </c>
      <c r="D406" s="25">
        <f>IFERROR(__xludf.DUMMYFUNCTION("""COMPUTED_VALUE"""),38968.99861111111)</f>
        <v>38968.99861</v>
      </c>
      <c r="E406" s="22">
        <f>IFERROR(__xludf.DUMMYFUNCTION("""COMPUTED_VALUE"""),1.2672)</f>
        <v>1.2672</v>
      </c>
      <c r="F406" s="22">
        <f t="shared" si="8"/>
        <v>111.4774067</v>
      </c>
      <c r="G406" s="22">
        <f t="shared" si="31"/>
        <v>43.13864649</v>
      </c>
      <c r="H406" s="22">
        <f t="shared" si="32"/>
        <v>63.75907512</v>
      </c>
      <c r="I406" s="22">
        <f t="shared" si="3"/>
        <v>0.7891414141</v>
      </c>
      <c r="J406" s="22">
        <f t="shared" si="33"/>
        <v>-0.273989899</v>
      </c>
    </row>
    <row r="407" ht="15.75" customHeight="1">
      <c r="A407" s="25">
        <f>IFERROR(__xludf.DUMMYFUNCTION("""COMPUTED_VALUE"""),38975.666666666664)</f>
        <v>38975.66667</v>
      </c>
      <c r="B407" s="22">
        <f>IFERROR(__xludf.DUMMYFUNCTION("""COMPUTED_VALUE"""),1319.87)</f>
        <v>1319.87</v>
      </c>
      <c r="C407" s="22">
        <f t="shared" si="6"/>
        <v>1320.445917</v>
      </c>
      <c r="D407" s="25">
        <f>IFERROR(__xludf.DUMMYFUNCTION("""COMPUTED_VALUE"""),38975.99861111111)</f>
        <v>38975.99861</v>
      </c>
      <c r="E407" s="22">
        <f>IFERROR(__xludf.DUMMYFUNCTION("""COMPUTED_VALUE"""),1.2645)</f>
        <v>1.2645</v>
      </c>
      <c r="F407" s="22">
        <f t="shared" si="8"/>
        <v>113.0327865</v>
      </c>
      <c r="G407" s="22">
        <f t="shared" si="31"/>
        <v>41.58371862</v>
      </c>
      <c r="H407" s="22">
        <f t="shared" si="32"/>
        <v>89.07573652</v>
      </c>
      <c r="I407" s="22">
        <f t="shared" si="3"/>
        <v>0.7908264136</v>
      </c>
      <c r="J407" s="22">
        <f t="shared" si="33"/>
        <v>-0.2772637406</v>
      </c>
    </row>
    <row r="408" ht="15.75" customHeight="1">
      <c r="A408" s="25">
        <f>IFERROR(__xludf.DUMMYFUNCTION("""COMPUTED_VALUE"""),38982.666666666664)</f>
        <v>38982.66667</v>
      </c>
      <c r="B408" s="22">
        <f>IFERROR(__xludf.DUMMYFUNCTION("""COMPUTED_VALUE"""),1314.78)</f>
        <v>1314.78</v>
      </c>
      <c r="C408" s="22">
        <f t="shared" si="6"/>
        <v>1315.365205</v>
      </c>
      <c r="D408" s="25">
        <f>IFERROR(__xludf.DUMMYFUNCTION("""COMPUTED_VALUE"""),38982.99861111111)</f>
        <v>38982.99861</v>
      </c>
      <c r="E408" s="22">
        <f>IFERROR(__xludf.DUMMYFUNCTION("""COMPUTED_VALUE"""),1.2776)</f>
        <v>1.2776</v>
      </c>
      <c r="F408" s="22">
        <f t="shared" si="8"/>
        <v>113.7643619</v>
      </c>
      <c r="G408" s="22">
        <f t="shared" si="31"/>
        <v>47.03701908</v>
      </c>
      <c r="H408" s="22">
        <f t="shared" si="32"/>
        <v>77.16022848</v>
      </c>
      <c r="I408" s="22">
        <f t="shared" si="3"/>
        <v>0.7827175955</v>
      </c>
      <c r="J408" s="22">
        <f t="shared" si="33"/>
        <v>-0.2870225423</v>
      </c>
    </row>
    <row r="409" ht="15.75" customHeight="1">
      <c r="A409" s="25">
        <f>IFERROR(__xludf.DUMMYFUNCTION("""COMPUTED_VALUE"""),38989.666666666664)</f>
        <v>38989.66667</v>
      </c>
      <c r="B409" s="22">
        <f>IFERROR(__xludf.DUMMYFUNCTION("""COMPUTED_VALUE"""),1335.85)</f>
        <v>1335.85</v>
      </c>
      <c r="C409" s="22">
        <f t="shared" si="6"/>
        <v>1336.432949</v>
      </c>
      <c r="D409" s="25">
        <f>IFERROR(__xludf.DUMMYFUNCTION("""COMPUTED_VALUE"""),38989.99861111111)</f>
        <v>38989.99861</v>
      </c>
      <c r="E409" s="22">
        <f>IFERROR(__xludf.DUMMYFUNCTION("""COMPUTED_VALUE"""),1.2659)</f>
        <v>1.2659</v>
      </c>
      <c r="F409" s="22">
        <f t="shared" si="8"/>
        <v>114.5279683</v>
      </c>
      <c r="G409" s="22">
        <f t="shared" si="31"/>
        <v>41.84947571</v>
      </c>
      <c r="H409" s="22">
        <f t="shared" si="32"/>
        <v>71.97603788</v>
      </c>
      <c r="I409" s="22">
        <f t="shared" si="3"/>
        <v>0.7899518129</v>
      </c>
      <c r="J409" s="22">
        <f t="shared" si="33"/>
        <v>-0.2749822261</v>
      </c>
    </row>
    <row r="410" ht="15.75" customHeight="1">
      <c r="A410" s="25">
        <f>IFERROR(__xludf.DUMMYFUNCTION("""COMPUTED_VALUE"""),38996.666666666664)</f>
        <v>38996.66667</v>
      </c>
      <c r="B410" s="22">
        <f>IFERROR(__xludf.DUMMYFUNCTION("""COMPUTED_VALUE"""),1349.58)</f>
        <v>1349.58</v>
      </c>
      <c r="C410" s="22">
        <f t="shared" si="6"/>
        <v>1350.172291</v>
      </c>
      <c r="D410" s="25">
        <f>IFERROR(__xludf.DUMMYFUNCTION("""COMPUTED_VALUE"""),38996.99861111111)</f>
        <v>38996.99861</v>
      </c>
      <c r="E410" s="22">
        <f>IFERROR(__xludf.DUMMYFUNCTION("""COMPUTED_VALUE"""),1.2601)</f>
        <v>1.2601</v>
      </c>
      <c r="F410" s="22">
        <f t="shared" si="8"/>
        <v>115.1752556</v>
      </c>
      <c r="G410" s="22">
        <f t="shared" si="31"/>
        <v>38.79964191</v>
      </c>
      <c r="H410" s="22">
        <f t="shared" si="32"/>
        <v>71.05922704</v>
      </c>
      <c r="I410" s="22">
        <f t="shared" si="3"/>
        <v>0.7935878105</v>
      </c>
      <c r="J410" s="22">
        <f t="shared" si="33"/>
        <v>-0.277279581</v>
      </c>
    </row>
    <row r="411" ht="15.75" customHeight="1">
      <c r="A411" s="25">
        <f>IFERROR(__xludf.DUMMYFUNCTION("""COMPUTED_VALUE"""),39003.666666666664)</f>
        <v>39003.66667</v>
      </c>
      <c r="B411" s="22">
        <f>IFERROR(__xludf.DUMMYFUNCTION("""COMPUTED_VALUE"""),1365.62)</f>
        <v>1365.62</v>
      </c>
      <c r="C411" s="22">
        <f t="shared" si="6"/>
        <v>1366.218378</v>
      </c>
      <c r="D411" s="25">
        <f>IFERROR(__xludf.DUMMYFUNCTION("""COMPUTED_VALUE"""),39003.99861111111)</f>
        <v>39003.99861</v>
      </c>
      <c r="E411" s="22">
        <f>IFERROR(__xludf.DUMMYFUNCTION("""COMPUTED_VALUE"""),1.2531)</f>
        <v>1.2531</v>
      </c>
      <c r="F411" s="22">
        <f t="shared" si="8"/>
        <v>115.8966374</v>
      </c>
      <c r="G411" s="22">
        <f t="shared" si="31"/>
        <v>40.99243648</v>
      </c>
      <c r="H411" s="22">
        <f t="shared" si="32"/>
        <v>77.45764868</v>
      </c>
      <c r="I411" s="22">
        <f t="shared" si="3"/>
        <v>0.7980209081</v>
      </c>
      <c r="J411" s="22">
        <f t="shared" si="33"/>
        <v>-0.2831378182</v>
      </c>
    </row>
    <row r="412" ht="15.75" customHeight="1">
      <c r="A412" s="25">
        <f>IFERROR(__xludf.DUMMYFUNCTION("""COMPUTED_VALUE"""),39010.666666666664)</f>
        <v>39010.66667</v>
      </c>
      <c r="B412" s="22">
        <f>IFERROR(__xludf.DUMMYFUNCTION("""COMPUTED_VALUE"""),1368.6)</f>
        <v>1368.6</v>
      </c>
      <c r="C412" s="22">
        <f t="shared" si="6"/>
        <v>1369.20549</v>
      </c>
      <c r="D412" s="25">
        <f>IFERROR(__xludf.DUMMYFUNCTION("""COMPUTED_VALUE"""),39010.99861111111)</f>
        <v>39010.99861</v>
      </c>
      <c r="E412" s="22">
        <f>IFERROR(__xludf.DUMMYFUNCTION("""COMPUTED_VALUE"""),1.2611)</f>
        <v>1.2611</v>
      </c>
      <c r="F412" s="22">
        <f t="shared" si="8"/>
        <v>116.8915561</v>
      </c>
      <c r="G412" s="22">
        <f t="shared" si="31"/>
        <v>42.43333124</v>
      </c>
      <c r="H412" s="22">
        <f t="shared" si="32"/>
        <v>74.97283844</v>
      </c>
      <c r="I412" s="22">
        <f t="shared" si="3"/>
        <v>0.7929585283</v>
      </c>
      <c r="J412" s="22">
        <f t="shared" si="33"/>
        <v>-0.2918880343</v>
      </c>
    </row>
    <row r="413" ht="15.75" customHeight="1">
      <c r="A413" s="25">
        <f>IFERROR(__xludf.DUMMYFUNCTION("""COMPUTED_VALUE"""),39017.666666666664)</f>
        <v>39017.66667</v>
      </c>
      <c r="B413" s="22">
        <f>IFERROR(__xludf.DUMMYFUNCTION("""COMPUTED_VALUE"""),1377.34)</f>
        <v>1377.34</v>
      </c>
      <c r="C413" s="22">
        <f t="shared" si="6"/>
        <v>1377.946811</v>
      </c>
      <c r="D413" s="25">
        <f>IFERROR(__xludf.DUMMYFUNCTION("""COMPUTED_VALUE"""),39017.99861111111)</f>
        <v>39017.99861</v>
      </c>
      <c r="E413" s="22">
        <f>IFERROR(__xludf.DUMMYFUNCTION("""COMPUTED_VALUE"""),1.2739)</f>
        <v>1.2739</v>
      </c>
      <c r="F413" s="22">
        <f t="shared" si="8"/>
        <v>118.831827</v>
      </c>
      <c r="G413" s="22">
        <f t="shared" si="31"/>
        <v>44.20749899</v>
      </c>
      <c r="H413" s="22">
        <f t="shared" si="32"/>
        <v>78.62185437</v>
      </c>
      <c r="I413" s="22">
        <f t="shared" si="3"/>
        <v>0.7849909726</v>
      </c>
      <c r="J413" s="22">
        <f t="shared" si="33"/>
        <v>-0.2907606563</v>
      </c>
    </row>
    <row r="414" ht="15.75" customHeight="1">
      <c r="A414" s="25">
        <f>IFERROR(__xludf.DUMMYFUNCTION("""COMPUTED_VALUE"""),39024.666666666664)</f>
        <v>39024.66667</v>
      </c>
      <c r="B414" s="22">
        <f>IFERROR(__xludf.DUMMYFUNCTION("""COMPUTED_VALUE"""),1364.3)</f>
        <v>1364.3</v>
      </c>
      <c r="C414" s="22">
        <f t="shared" si="6"/>
        <v>1364.910686</v>
      </c>
      <c r="D414" s="25">
        <f>IFERROR(__xludf.DUMMYFUNCTION("""COMPUTED_VALUE"""),39024.99861111111)</f>
        <v>39024.99861</v>
      </c>
      <c r="E414" s="22">
        <f>IFERROR(__xludf.DUMMYFUNCTION("""COMPUTED_VALUE"""),1.2718)</f>
        <v>1.2718</v>
      </c>
      <c r="F414" s="22">
        <f t="shared" si="8"/>
        <v>117.5135746</v>
      </c>
      <c r="G414" s="22">
        <f t="shared" si="31"/>
        <v>43.03388937</v>
      </c>
      <c r="H414" s="22">
        <f t="shared" si="32"/>
        <v>73.2449151</v>
      </c>
      <c r="I414" s="22">
        <f t="shared" si="3"/>
        <v>0.7862871521</v>
      </c>
      <c r="J414" s="22">
        <f t="shared" si="33"/>
        <v>-0.2970592861</v>
      </c>
    </row>
    <row r="415" ht="15.75" customHeight="1">
      <c r="A415" s="25">
        <f>IFERROR(__xludf.DUMMYFUNCTION("""COMPUTED_VALUE"""),39031.666666666664)</f>
        <v>39031.66667</v>
      </c>
      <c r="B415" s="22">
        <f>IFERROR(__xludf.DUMMYFUNCTION("""COMPUTED_VALUE"""),1380.9)</f>
        <v>1380.9</v>
      </c>
      <c r="C415" s="22">
        <f t="shared" si="6"/>
        <v>1381.504905</v>
      </c>
      <c r="D415" s="25">
        <f>IFERROR(__xludf.DUMMYFUNCTION("""COMPUTED_VALUE"""),39031.99861111111)</f>
        <v>39031.99861</v>
      </c>
      <c r="E415" s="22">
        <f>IFERROR(__xludf.DUMMYFUNCTION("""COMPUTED_VALUE"""),1.285)</f>
        <v>1.285</v>
      </c>
      <c r="F415" s="22">
        <f t="shared" si="8"/>
        <v>120.1767739</v>
      </c>
      <c r="G415" s="22">
        <f t="shared" si="31"/>
        <v>43.47213593</v>
      </c>
      <c r="H415" s="22">
        <f t="shared" si="32"/>
        <v>76.32824945</v>
      </c>
      <c r="I415" s="22">
        <f t="shared" si="3"/>
        <v>0.7782101167</v>
      </c>
      <c r="J415" s="22">
        <f t="shared" si="33"/>
        <v>-0.3122178988</v>
      </c>
    </row>
    <row r="416" ht="15.75" customHeight="1">
      <c r="A416" s="25">
        <f>IFERROR(__xludf.DUMMYFUNCTION("""COMPUTED_VALUE"""),39038.666666666664)</f>
        <v>39038.66667</v>
      </c>
      <c r="B416" s="22">
        <f>IFERROR(__xludf.DUMMYFUNCTION("""COMPUTED_VALUE"""),1401.2)</f>
        <v>1401.2</v>
      </c>
      <c r="C416" s="22">
        <f t="shared" si="6"/>
        <v>1401.812265</v>
      </c>
      <c r="D416" s="25">
        <f>IFERROR(__xludf.DUMMYFUNCTION("""COMPUTED_VALUE"""),39038.99861111111)</f>
        <v>39038.99861</v>
      </c>
      <c r="E416" s="22">
        <f>IFERROR(__xludf.DUMMYFUNCTION("""COMPUTED_VALUE"""),1.2846)</f>
        <v>1.2846</v>
      </c>
      <c r="F416" s="22">
        <f t="shared" si="8"/>
        <v>121.9053472</v>
      </c>
      <c r="G416" s="22">
        <f t="shared" si="31"/>
        <v>45.89408769</v>
      </c>
      <c r="H416" s="22">
        <f t="shared" si="32"/>
        <v>78.2159116</v>
      </c>
      <c r="I416" s="22">
        <f t="shared" si="3"/>
        <v>0.7784524366</v>
      </c>
      <c r="J416" s="22">
        <f t="shared" si="33"/>
        <v>-0.3165187607</v>
      </c>
    </row>
    <row r="417" ht="15.75" customHeight="1">
      <c r="A417" s="25">
        <f>IFERROR(__xludf.DUMMYFUNCTION("""COMPUTED_VALUE"""),39045.666666666664)</f>
        <v>39045.66667</v>
      </c>
      <c r="B417" s="22">
        <f>IFERROR(__xludf.DUMMYFUNCTION("""COMPUTED_VALUE"""),1400.95)</f>
        <v>1400.95</v>
      </c>
      <c r="C417" s="22">
        <f t="shared" si="6"/>
        <v>1401.571266</v>
      </c>
      <c r="D417" s="25">
        <f>IFERROR(__xludf.DUMMYFUNCTION("""COMPUTED_VALUE"""),39045.99861111111)</f>
        <v>39045.99861</v>
      </c>
      <c r="E417" s="22">
        <f>IFERROR(__xludf.DUMMYFUNCTION("""COMPUTED_VALUE"""),1.3079)</f>
        <v>1.3079</v>
      </c>
      <c r="F417" s="22">
        <f t="shared" si="8"/>
        <v>124.0951212</v>
      </c>
      <c r="G417" s="22">
        <f t="shared" si="31"/>
        <v>44.45185259</v>
      </c>
      <c r="H417" s="22">
        <f t="shared" si="32"/>
        <v>79.41002265</v>
      </c>
      <c r="I417" s="22">
        <f t="shared" si="3"/>
        <v>0.7645844484</v>
      </c>
      <c r="J417" s="22">
        <f t="shared" si="33"/>
        <v>-0.3147029589</v>
      </c>
    </row>
    <row r="418" ht="15.75" customHeight="1">
      <c r="A418" s="25">
        <f>IFERROR(__xludf.DUMMYFUNCTION("""COMPUTED_VALUE"""),39052.666666666664)</f>
        <v>39052.66667</v>
      </c>
      <c r="B418" s="22">
        <f>IFERROR(__xludf.DUMMYFUNCTION("""COMPUTED_VALUE"""),1396.71)</f>
        <v>1396.71</v>
      </c>
      <c r="C418" s="22">
        <f t="shared" si="6"/>
        <v>1397.331155</v>
      </c>
      <c r="D418" s="25">
        <f>IFERROR(__xludf.DUMMYFUNCTION("""COMPUTED_VALUE"""),39052.99861111111)</f>
        <v>39052.99861</v>
      </c>
      <c r="E418" s="22">
        <f>IFERROR(__xludf.DUMMYFUNCTION("""COMPUTED_VALUE"""),1.3333)</f>
        <v>1.3333</v>
      </c>
      <c r="F418" s="22">
        <f t="shared" si="8"/>
        <v>126.1223934</v>
      </c>
      <c r="G418" s="22">
        <f t="shared" si="31"/>
        <v>44.01134637</v>
      </c>
      <c r="H418" s="22">
        <f t="shared" si="32"/>
        <v>80.66408563</v>
      </c>
      <c r="I418" s="22">
        <f t="shared" si="3"/>
        <v>0.7500187505</v>
      </c>
      <c r="J418" s="22">
        <f t="shared" si="33"/>
        <v>-0.332558314</v>
      </c>
    </row>
    <row r="419" ht="15.75" customHeight="1">
      <c r="A419" s="25">
        <f>IFERROR(__xludf.DUMMYFUNCTION("""COMPUTED_VALUE"""),39059.666666666664)</f>
        <v>39059.66667</v>
      </c>
      <c r="B419" s="22">
        <f>IFERROR(__xludf.DUMMYFUNCTION("""COMPUTED_VALUE"""),1409.84)</f>
        <v>1409.84</v>
      </c>
      <c r="C419" s="22">
        <f t="shared" si="6"/>
        <v>1410.459275</v>
      </c>
      <c r="D419" s="25">
        <f>IFERROR(__xludf.DUMMYFUNCTION("""COMPUTED_VALUE"""),39059.99861111111)</f>
        <v>39059.99861</v>
      </c>
      <c r="E419" s="22">
        <f>IFERROR(__xludf.DUMMYFUNCTION("""COMPUTED_VALUE"""),1.3392)</f>
        <v>1.3392</v>
      </c>
      <c r="F419" s="22">
        <f t="shared" si="8"/>
        <v>127.8706798</v>
      </c>
      <c r="G419" s="22">
        <f t="shared" si="31"/>
        <v>43.18514772</v>
      </c>
      <c r="H419" s="22">
        <f t="shared" si="32"/>
        <v>86.35709324</v>
      </c>
      <c r="I419" s="22">
        <f t="shared" si="3"/>
        <v>0.7467144564</v>
      </c>
      <c r="J419" s="22">
        <f t="shared" si="33"/>
        <v>-0.3263888889</v>
      </c>
    </row>
    <row r="420" ht="15.75" customHeight="1">
      <c r="A420" s="25">
        <f>IFERROR(__xludf.DUMMYFUNCTION("""COMPUTED_VALUE"""),39066.666666666664)</f>
        <v>39066.66667</v>
      </c>
      <c r="B420" s="22">
        <f>IFERROR(__xludf.DUMMYFUNCTION("""COMPUTED_VALUE"""),1427.09)</f>
        <v>1427.09</v>
      </c>
      <c r="C420" s="22">
        <f t="shared" si="6"/>
        <v>1427.715096</v>
      </c>
      <c r="D420" s="25">
        <f>IFERROR(__xludf.DUMMYFUNCTION("""COMPUTED_VALUE"""),39066.99861111111)</f>
        <v>39066.99861</v>
      </c>
      <c r="E420" s="22">
        <f>IFERROR(__xludf.DUMMYFUNCTION("""COMPUTED_VALUE"""),1.3094)</f>
        <v>1.3094</v>
      </c>
      <c r="F420" s="22">
        <f t="shared" si="8"/>
        <v>126.5548725</v>
      </c>
      <c r="G420" s="22">
        <f t="shared" si="31"/>
        <v>38.65710343</v>
      </c>
      <c r="H420" s="22">
        <f t="shared" si="32"/>
        <v>83.69775429</v>
      </c>
      <c r="I420" s="22">
        <f t="shared" si="3"/>
        <v>0.7637085688</v>
      </c>
      <c r="J420" s="22">
        <f t="shared" si="33"/>
        <v>-0.3214449366</v>
      </c>
    </row>
    <row r="421" ht="15.75" customHeight="1">
      <c r="A421" s="25">
        <f>IFERROR(__xludf.DUMMYFUNCTION("""COMPUTED_VALUE"""),39073.666666666664)</f>
        <v>39073.66667</v>
      </c>
      <c r="B421" s="22">
        <f>IFERROR(__xludf.DUMMYFUNCTION("""COMPUTED_VALUE"""),1410.76)</f>
        <v>1410.76</v>
      </c>
      <c r="C421" s="22">
        <f t="shared" si="6"/>
        <v>1411.392745</v>
      </c>
      <c r="D421" s="25">
        <f>IFERROR(__xludf.DUMMYFUNCTION("""COMPUTED_VALUE"""),39073.99861111111)</f>
        <v>39073.99861</v>
      </c>
      <c r="E421" s="22">
        <f>IFERROR(__xludf.DUMMYFUNCTION("""COMPUTED_VALUE"""),1.3116)</f>
        <v>1.3116</v>
      </c>
      <c r="F421" s="22">
        <f t="shared" si="8"/>
        <v>125.3182354</v>
      </c>
      <c r="G421" s="22">
        <f t="shared" si="31"/>
        <v>35.94695407</v>
      </c>
      <c r="H421" s="22">
        <f t="shared" si="32"/>
        <v>80.12526482</v>
      </c>
      <c r="I421" s="22">
        <f t="shared" si="3"/>
        <v>0.7624275694</v>
      </c>
      <c r="J421" s="22">
        <f t="shared" si="33"/>
        <v>-0.3254040866</v>
      </c>
    </row>
    <row r="422" ht="15.75" customHeight="1">
      <c r="A422" s="25">
        <f>IFERROR(__xludf.DUMMYFUNCTION("""COMPUTED_VALUE"""),39080.666666666664)</f>
        <v>39080.66667</v>
      </c>
      <c r="B422" s="22">
        <f>IFERROR(__xludf.DUMMYFUNCTION("""COMPUTED_VALUE"""),1418.3)</f>
        <v>1418.3</v>
      </c>
      <c r="C422" s="22">
        <f t="shared" si="6"/>
        <v>1418.925504</v>
      </c>
      <c r="D422" s="25">
        <f>IFERROR(__xludf.DUMMYFUNCTION("""COMPUTED_VALUE"""),39080.99861111111)</f>
        <v>39080.99861</v>
      </c>
      <c r="E422" s="22">
        <f>IFERROR(__xludf.DUMMYFUNCTION("""COMPUTED_VALUE"""),1.3193)</f>
        <v>1.3193</v>
      </c>
      <c r="F422" s="22">
        <f t="shared" si="8"/>
        <v>126.7267041</v>
      </c>
      <c r="G422" s="22">
        <f t="shared" si="31"/>
        <v>34.08797027</v>
      </c>
      <c r="H422" s="22">
        <f t="shared" si="32"/>
        <v>78.46839063</v>
      </c>
      <c r="I422" s="22">
        <f t="shared" si="3"/>
        <v>0.7579777155</v>
      </c>
      <c r="J422" s="22">
        <f t="shared" si="33"/>
        <v>-0.3222163268</v>
      </c>
    </row>
    <row r="423" ht="15.75" customHeight="1">
      <c r="A423" s="25">
        <f>IFERROR(__xludf.DUMMYFUNCTION("""COMPUTED_VALUE"""),39087.666666666664)</f>
        <v>39087.66667</v>
      </c>
      <c r="B423" s="22">
        <f>IFERROR(__xludf.DUMMYFUNCTION("""COMPUTED_VALUE"""),1409.71)</f>
        <v>1409.71</v>
      </c>
      <c r="C423" s="22">
        <f t="shared" si="6"/>
        <v>1410.338847</v>
      </c>
      <c r="D423" s="25">
        <f>IFERROR(__xludf.DUMMYFUNCTION("""COMPUTED_VALUE"""),39087.99861111111)</f>
        <v>39087.99861</v>
      </c>
      <c r="E423" s="22">
        <f>IFERROR(__xludf.DUMMYFUNCTION("""COMPUTED_VALUE"""),1.2982)</f>
        <v>1.2982</v>
      </c>
      <c r="F423" s="22">
        <f t="shared" si="8"/>
        <v>123.945298</v>
      </c>
      <c r="G423" s="22">
        <f t="shared" si="31"/>
        <v>27.29682681</v>
      </c>
      <c r="H423" s="22">
        <f t="shared" si="32"/>
        <v>79.10960169</v>
      </c>
      <c r="I423" s="22">
        <f t="shared" si="3"/>
        <v>0.7702973348</v>
      </c>
      <c r="J423" s="22">
        <f t="shared" si="33"/>
        <v>-0.3129718071</v>
      </c>
    </row>
    <row r="424" ht="15.75" customHeight="1">
      <c r="A424" s="25">
        <f>IFERROR(__xludf.DUMMYFUNCTION("""COMPUTED_VALUE"""),39094.666666666664)</f>
        <v>39094.66667</v>
      </c>
      <c r="B424" s="22">
        <f>IFERROR(__xludf.DUMMYFUNCTION("""COMPUTED_VALUE"""),1430.73)</f>
        <v>1430.73</v>
      </c>
      <c r="C424" s="22">
        <f t="shared" si="6"/>
        <v>1431.355039</v>
      </c>
      <c r="D424" s="25">
        <f>IFERROR(__xludf.DUMMYFUNCTION("""COMPUTED_VALUE"""),39094.99861111111)</f>
        <v>39094.99861</v>
      </c>
      <c r="E424" s="22">
        <f>IFERROR(__xludf.DUMMYFUNCTION("""COMPUTED_VALUE"""),1.292)</f>
        <v>1.292</v>
      </c>
      <c r="F424" s="22">
        <f t="shared" si="8"/>
        <v>125.191507</v>
      </c>
      <c r="G424" s="22">
        <f t="shared" si="31"/>
        <v>30.87079013</v>
      </c>
      <c r="H424" s="22">
        <f t="shared" si="32"/>
        <v>85.44480195</v>
      </c>
      <c r="I424" s="22">
        <f t="shared" si="3"/>
        <v>0.773993808</v>
      </c>
      <c r="J424" s="22">
        <f t="shared" si="33"/>
        <v>-0.3157894737</v>
      </c>
    </row>
    <row r="425" ht="15.75" customHeight="1">
      <c r="A425" s="25">
        <f>IFERROR(__xludf.DUMMYFUNCTION("""COMPUTED_VALUE"""),39101.666666666664)</f>
        <v>39101.66667</v>
      </c>
      <c r="B425" s="22">
        <f>IFERROR(__xludf.DUMMYFUNCTION("""COMPUTED_VALUE"""),1430.5)</f>
        <v>1430.5</v>
      </c>
      <c r="C425" s="22">
        <f t="shared" si="6"/>
        <v>1431.134359</v>
      </c>
      <c r="D425" s="25">
        <f>IFERROR(__xludf.DUMMYFUNCTION("""COMPUTED_VALUE"""),39101.99861111111)</f>
        <v>39101.99861</v>
      </c>
      <c r="E425" s="22">
        <f>IFERROR(__xludf.DUMMYFUNCTION("""COMPUTED_VALUE"""),1.2955)</f>
        <v>1.2955</v>
      </c>
      <c r="F425" s="22">
        <f t="shared" si="8"/>
        <v>125.5112943</v>
      </c>
      <c r="G425" s="22">
        <f t="shared" si="31"/>
        <v>29.05788589</v>
      </c>
      <c r="H425" s="22">
        <f t="shared" si="32"/>
        <v>89.22337837</v>
      </c>
      <c r="I425" s="22">
        <f t="shared" si="3"/>
        <v>0.7719027403</v>
      </c>
      <c r="J425" s="22">
        <f t="shared" si="33"/>
        <v>-0.3329216519</v>
      </c>
    </row>
    <row r="426" ht="15.75" customHeight="1">
      <c r="A426" s="25">
        <f>IFERROR(__xludf.DUMMYFUNCTION("""COMPUTED_VALUE"""),39108.666666666664)</f>
        <v>39108.66667</v>
      </c>
      <c r="B426" s="22">
        <f>IFERROR(__xludf.DUMMYFUNCTION("""COMPUTED_VALUE"""),1422.18)</f>
        <v>1422.18</v>
      </c>
      <c r="C426" s="22">
        <f t="shared" si="6"/>
        <v>1422.814257</v>
      </c>
      <c r="D426" s="25">
        <f>IFERROR(__xludf.DUMMYFUNCTION("""COMPUTED_VALUE"""),39108.99861111111)</f>
        <v>39108.99861</v>
      </c>
      <c r="E426" s="22">
        <f>IFERROR(__xludf.DUMMYFUNCTION("""COMPUTED_VALUE"""),1.291)</f>
        <v>1.291</v>
      </c>
      <c r="F426" s="22">
        <f t="shared" si="8"/>
        <v>124.3481799</v>
      </c>
      <c r="G426" s="22">
        <f t="shared" si="31"/>
        <v>30.15780012</v>
      </c>
      <c r="H426" s="22">
        <f t="shared" si="32"/>
        <v>89.86883143</v>
      </c>
      <c r="I426" s="22">
        <f t="shared" si="3"/>
        <v>0.7745933385</v>
      </c>
      <c r="J426" s="22">
        <f t="shared" si="33"/>
        <v>-0.3325329202</v>
      </c>
    </row>
    <row r="427" ht="15.75" customHeight="1">
      <c r="A427" s="25">
        <f>IFERROR(__xludf.DUMMYFUNCTION("""COMPUTED_VALUE"""),39115.666666666664)</f>
        <v>39115.66667</v>
      </c>
      <c r="B427" s="22">
        <f>IFERROR(__xludf.DUMMYFUNCTION("""COMPUTED_VALUE"""),1448.39)</f>
        <v>1448.39</v>
      </c>
      <c r="C427" s="22">
        <f t="shared" si="6"/>
        <v>1449.020568</v>
      </c>
      <c r="D427" s="25">
        <f>IFERROR(__xludf.DUMMYFUNCTION("""COMPUTED_VALUE"""),39115.99861111111)</f>
        <v>39115.99861</v>
      </c>
      <c r="E427" s="22">
        <f>IFERROR(__xludf.DUMMYFUNCTION("""COMPUTED_VALUE"""),1.296)</f>
        <v>1.296</v>
      </c>
      <c r="F427" s="22">
        <f t="shared" si="8"/>
        <v>127.1289716</v>
      </c>
      <c r="G427" s="22">
        <f t="shared" si="31"/>
        <v>29.28832143</v>
      </c>
      <c r="H427" s="22">
        <f t="shared" si="32"/>
        <v>96.50210083</v>
      </c>
      <c r="I427" s="22">
        <f t="shared" si="3"/>
        <v>0.7716049383</v>
      </c>
      <c r="J427" s="22">
        <f t="shared" si="33"/>
        <v>-0.3276234568</v>
      </c>
    </row>
    <row r="428" ht="15.75" customHeight="1">
      <c r="A428" s="25">
        <f>IFERROR(__xludf.DUMMYFUNCTION("""COMPUTED_VALUE"""),39122.666666666664)</f>
        <v>39122.66667</v>
      </c>
      <c r="B428" s="22">
        <f>IFERROR(__xludf.DUMMYFUNCTION("""COMPUTED_VALUE"""),1438.06)</f>
        <v>1438.06</v>
      </c>
      <c r="C428" s="22">
        <f t="shared" si="6"/>
        <v>1438.702189</v>
      </c>
      <c r="D428" s="25">
        <f>IFERROR(__xludf.DUMMYFUNCTION("""COMPUTED_VALUE"""),39122.99861111111)</f>
        <v>39122.99861</v>
      </c>
      <c r="E428" s="22">
        <f>IFERROR(__xludf.DUMMYFUNCTION("""COMPUTED_VALUE"""),1.3004)</f>
        <v>1.3004</v>
      </c>
      <c r="F428" s="22">
        <f t="shared" si="8"/>
        <v>126.6522319</v>
      </c>
      <c r="G428" s="22">
        <f t="shared" si="31"/>
        <v>28.27845683</v>
      </c>
      <c r="H428" s="22">
        <f t="shared" si="32"/>
        <v>94.00039633</v>
      </c>
      <c r="I428" s="22">
        <f t="shared" si="3"/>
        <v>0.7689941556</v>
      </c>
      <c r="J428" s="22">
        <f t="shared" si="33"/>
        <v>-0.3286681021</v>
      </c>
    </row>
    <row r="429" ht="15.75" customHeight="1">
      <c r="A429" s="25">
        <f>IFERROR(__xludf.DUMMYFUNCTION("""COMPUTED_VALUE"""),39129.666666666664)</f>
        <v>39129.66667</v>
      </c>
      <c r="B429" s="22">
        <f>IFERROR(__xludf.DUMMYFUNCTION("""COMPUTED_VALUE"""),1455.54)</f>
        <v>1455.54</v>
      </c>
      <c r="C429" s="22">
        <f t="shared" si="6"/>
        <v>1456.177609</v>
      </c>
      <c r="D429" s="25">
        <f>IFERROR(__xludf.DUMMYFUNCTION("""COMPUTED_VALUE"""),39129.99861111111)</f>
        <v>39129.99861</v>
      </c>
      <c r="E429" s="22">
        <f>IFERROR(__xludf.DUMMYFUNCTION("""COMPUTED_VALUE"""),1.3141)</f>
        <v>1.3141</v>
      </c>
      <c r="F429" s="22">
        <f t="shared" si="8"/>
        <v>129.5411495</v>
      </c>
      <c r="G429" s="22">
        <f t="shared" si="31"/>
        <v>33.33799356</v>
      </c>
      <c r="H429" s="22">
        <f t="shared" si="32"/>
        <v>100.643847</v>
      </c>
      <c r="I429" s="22">
        <f t="shared" si="3"/>
        <v>0.7609770946</v>
      </c>
      <c r="J429" s="22">
        <f t="shared" si="33"/>
        <v>-0.3343733354</v>
      </c>
    </row>
    <row r="430" ht="15.75" customHeight="1">
      <c r="A430" s="25">
        <f>IFERROR(__xludf.DUMMYFUNCTION("""COMPUTED_VALUE"""),39136.666666666664)</f>
        <v>39136.66667</v>
      </c>
      <c r="B430" s="22">
        <f>IFERROR(__xludf.DUMMYFUNCTION("""COMPUTED_VALUE"""),1451.19)</f>
        <v>1451.19</v>
      </c>
      <c r="C430" s="22">
        <f t="shared" si="6"/>
        <v>1451.835359</v>
      </c>
      <c r="D430" s="25">
        <f>IFERROR(__xludf.DUMMYFUNCTION("""COMPUTED_VALUE"""),39136.99861111111)</f>
        <v>39136.99861</v>
      </c>
      <c r="E430" s="22">
        <f>IFERROR(__xludf.DUMMYFUNCTION("""COMPUTED_VALUE"""),1.3166)</f>
        <v>1.3166</v>
      </c>
      <c r="F430" s="22">
        <f t="shared" si="8"/>
        <v>129.4005739</v>
      </c>
      <c r="G430" s="22">
        <f t="shared" si="31"/>
        <v>33.61907175</v>
      </c>
      <c r="H430" s="22">
        <f t="shared" si="32"/>
        <v>95.1901622</v>
      </c>
      <c r="I430" s="22">
        <f t="shared" si="3"/>
        <v>0.7595321282</v>
      </c>
      <c r="J430" s="22">
        <f t="shared" si="33"/>
        <v>-0.3430806623</v>
      </c>
    </row>
    <row r="431" ht="15.75" customHeight="1">
      <c r="A431" s="25">
        <f>IFERROR(__xludf.DUMMYFUNCTION("""COMPUTED_VALUE"""),39143.666666666664)</f>
        <v>39143.66667</v>
      </c>
      <c r="B431" s="22">
        <f>IFERROR(__xludf.DUMMYFUNCTION("""COMPUTED_VALUE"""),1387.17)</f>
        <v>1387.17</v>
      </c>
      <c r="C431" s="22">
        <f t="shared" si="6"/>
        <v>1387.81343</v>
      </c>
      <c r="D431" s="25">
        <f>IFERROR(__xludf.DUMMYFUNCTION("""COMPUTED_VALUE"""),39143.99861111111)</f>
        <v>39143.99861</v>
      </c>
      <c r="E431" s="22">
        <f>IFERROR(__xludf.DUMMYFUNCTION("""COMPUTED_VALUE"""),1.3161)</f>
        <v>1.3161</v>
      </c>
      <c r="F431" s="22">
        <f t="shared" si="8"/>
        <v>123.6473911</v>
      </c>
      <c r="G431" s="22">
        <f t="shared" si="31"/>
        <v>27.65116089</v>
      </c>
      <c r="H431" s="22">
        <f t="shared" si="32"/>
        <v>79.41253278</v>
      </c>
      <c r="I431" s="22">
        <f t="shared" si="3"/>
        <v>0.7598206823</v>
      </c>
      <c r="J431" s="22">
        <f t="shared" si="33"/>
        <v>-0.3359167237</v>
      </c>
    </row>
    <row r="432" ht="15.75" customHeight="1">
      <c r="A432" s="25">
        <f>IFERROR(__xludf.DUMMYFUNCTION("""COMPUTED_VALUE"""),39150.666666666664)</f>
        <v>39150.66667</v>
      </c>
      <c r="B432" s="22">
        <f>IFERROR(__xludf.DUMMYFUNCTION("""COMPUTED_VALUE"""),1402.85)</f>
        <v>1402.85</v>
      </c>
      <c r="C432" s="22">
        <f t="shared" si="6"/>
        <v>1403.465045</v>
      </c>
      <c r="D432" s="25">
        <f>IFERROR(__xludf.DUMMYFUNCTION("""COMPUTED_VALUE"""),39150.99861111111)</f>
        <v>39150.99861</v>
      </c>
      <c r="E432" s="22">
        <f>IFERROR(__xludf.DUMMYFUNCTION("""COMPUTED_VALUE"""),1.3114)</f>
        <v>1.3114</v>
      </c>
      <c r="F432" s="22">
        <f t="shared" si="8"/>
        <v>124.5953293</v>
      </c>
      <c r="G432" s="22">
        <f t="shared" si="31"/>
        <v>34.35435664</v>
      </c>
      <c r="H432" s="22">
        <f t="shared" si="32"/>
        <v>78.86190169</v>
      </c>
      <c r="I432" s="22">
        <f t="shared" si="3"/>
        <v>0.7625438463</v>
      </c>
      <c r="J432" s="22">
        <f t="shared" si="33"/>
        <v>-0.3274363276</v>
      </c>
    </row>
    <row r="433" ht="15.75" customHeight="1">
      <c r="A433" s="25">
        <f>IFERROR(__xludf.DUMMYFUNCTION("""COMPUTED_VALUE"""),39157.666666666664)</f>
        <v>39157.66667</v>
      </c>
      <c r="B433" s="22">
        <f>IFERROR(__xludf.DUMMYFUNCTION("""COMPUTED_VALUE"""),1386.95)</f>
        <v>1386.95</v>
      </c>
      <c r="C433" s="22">
        <f t="shared" si="6"/>
        <v>1387.571997</v>
      </c>
      <c r="D433" s="25">
        <f>IFERROR(__xludf.DUMMYFUNCTION("""COMPUTED_VALUE"""),39157.99861111111)</f>
        <v>39157.99861</v>
      </c>
      <c r="E433" s="22">
        <f>IFERROR(__xludf.DUMMYFUNCTION("""COMPUTED_VALUE"""),1.3315)</f>
        <v>1.3315</v>
      </c>
      <c r="F433" s="22">
        <f t="shared" si="8"/>
        <v>125.0724565</v>
      </c>
      <c r="G433" s="22">
        <f t="shared" si="31"/>
        <v>35.50250595</v>
      </c>
      <c r="H433" s="22">
        <f t="shared" si="32"/>
        <v>83.20929791</v>
      </c>
      <c r="I433" s="22">
        <f t="shared" si="3"/>
        <v>0.7510326699</v>
      </c>
      <c r="J433" s="22">
        <f t="shared" si="33"/>
        <v>-0.3409688321</v>
      </c>
    </row>
    <row r="434" ht="15.75" customHeight="1">
      <c r="A434" s="25">
        <f>IFERROR(__xludf.DUMMYFUNCTION("""COMPUTED_VALUE"""),39164.666666666664)</f>
        <v>39164.66667</v>
      </c>
      <c r="B434" s="22">
        <f>IFERROR(__xludf.DUMMYFUNCTION("""COMPUTED_VALUE"""),1436.11)</f>
        <v>1436.11</v>
      </c>
      <c r="C434" s="22">
        <f t="shared" si="6"/>
        <v>1436.724947</v>
      </c>
      <c r="D434" s="25">
        <f>IFERROR(__xludf.DUMMYFUNCTION("""COMPUTED_VALUE"""),39164.99861111111)</f>
        <v>39164.99861</v>
      </c>
      <c r="E434" s="22">
        <f>IFERROR(__xludf.DUMMYFUNCTION("""COMPUTED_VALUE"""),1.3281)</f>
        <v>1.3281</v>
      </c>
      <c r="F434" s="22">
        <f t="shared" si="8"/>
        <v>129.1722999</v>
      </c>
      <c r="G434" s="22">
        <f t="shared" si="31"/>
        <v>42.08249589</v>
      </c>
      <c r="H434" s="22">
        <f t="shared" si="32"/>
        <v>90.99923623</v>
      </c>
      <c r="I434" s="22">
        <f t="shared" si="3"/>
        <v>0.7529553497</v>
      </c>
      <c r="J434" s="22">
        <f t="shared" si="33"/>
        <v>-0.3447029591</v>
      </c>
    </row>
    <row r="435" ht="15.75" customHeight="1">
      <c r="A435" s="25">
        <f>IFERROR(__xludf.DUMMYFUNCTION("""COMPUTED_VALUE"""),39171.666666666664)</f>
        <v>39171.66667</v>
      </c>
      <c r="B435" s="22">
        <f>IFERROR(__xludf.DUMMYFUNCTION("""COMPUTED_VALUE"""),1420.86)</f>
        <v>1420.86</v>
      </c>
      <c r="C435" s="22">
        <f t="shared" si="6"/>
        <v>1421.496744</v>
      </c>
      <c r="D435" s="25">
        <f>IFERROR(__xludf.DUMMYFUNCTION("""COMPUTED_VALUE"""),39171.99861111111)</f>
        <v>39171.99861</v>
      </c>
      <c r="E435" s="22">
        <f>IFERROR(__xludf.DUMMYFUNCTION("""COMPUTED_VALUE"""),1.3356)</f>
        <v>1.3356</v>
      </c>
      <c r="F435" s="22">
        <f t="shared" si="8"/>
        <v>128.5248963</v>
      </c>
      <c r="G435" s="22">
        <f t="shared" si="31"/>
        <v>37.12194624</v>
      </c>
      <c r="H435" s="22">
        <f t="shared" si="32"/>
        <v>92.40149559</v>
      </c>
      <c r="I435" s="22">
        <f t="shared" si="3"/>
        <v>0.7487271638</v>
      </c>
      <c r="J435" s="22">
        <f t="shared" si="33"/>
        <v>-0.3422431866</v>
      </c>
    </row>
    <row r="436" ht="15.75" customHeight="1">
      <c r="A436" s="25">
        <f>IFERROR(__xludf.DUMMYFUNCTION("""COMPUTED_VALUE"""),39178.666666666664)</f>
        <v>39178.66667</v>
      </c>
      <c r="B436" s="22">
        <f>IFERROR(__xludf.DUMMYFUNCTION("""COMPUTED_VALUE"""),1437.34)</f>
        <v>1437.34</v>
      </c>
      <c r="C436" s="22">
        <f t="shared" si="6"/>
        <v>1437.969982</v>
      </c>
      <c r="D436" s="25">
        <f>IFERROR(__xludf.DUMMYFUNCTION("""COMPUTED_VALUE"""),39178.99861111111)</f>
        <v>39178.99861</v>
      </c>
      <c r="E436" s="22">
        <f>IFERROR(__xludf.DUMMYFUNCTION("""COMPUTED_VALUE"""),1.3398)</f>
        <v>1.3398</v>
      </c>
      <c r="F436" s="22">
        <f t="shared" si="8"/>
        <v>130.4231773</v>
      </c>
      <c r="G436" s="22">
        <f t="shared" si="31"/>
        <v>39.72356162</v>
      </c>
      <c r="H436" s="22">
        <f t="shared" si="32"/>
        <v>96.83331146</v>
      </c>
      <c r="I436" s="22">
        <f t="shared" si="3"/>
        <v>0.7463800567</v>
      </c>
      <c r="J436" s="22">
        <f t="shared" si="33"/>
        <v>-0.342737722</v>
      </c>
    </row>
    <row r="437" ht="15.75" customHeight="1">
      <c r="A437" s="25">
        <f>IFERROR(__xludf.DUMMYFUNCTION("""COMPUTED_VALUE"""),39185.666666666664)</f>
        <v>39185.66667</v>
      </c>
      <c r="B437" s="22">
        <f>IFERROR(__xludf.DUMMYFUNCTION("""COMPUTED_VALUE"""),1452.85)</f>
        <v>1452.85</v>
      </c>
      <c r="C437" s="22">
        <f t="shared" si="6"/>
        <v>1453.487289</v>
      </c>
      <c r="D437" s="25">
        <f>IFERROR(__xludf.DUMMYFUNCTION("""COMPUTED_VALUE"""),39185.99861111111)</f>
        <v>39185.99861</v>
      </c>
      <c r="E437" s="22">
        <f>IFERROR(__xludf.DUMMYFUNCTION("""COMPUTED_VALUE"""),1.3526)</f>
        <v>1.3526</v>
      </c>
      <c r="F437" s="22">
        <f t="shared" si="8"/>
        <v>133.0900548</v>
      </c>
      <c r="G437" s="22">
        <f t="shared" si="31"/>
        <v>44.57826568</v>
      </c>
      <c r="H437" s="22">
        <f t="shared" si="32"/>
        <v>95.86354805</v>
      </c>
      <c r="I437" s="22">
        <f t="shared" si="3"/>
        <v>0.7393168712</v>
      </c>
      <c r="J437" s="22">
        <f t="shared" si="33"/>
        <v>-0.3407511459</v>
      </c>
    </row>
    <row r="438" ht="15.75" customHeight="1">
      <c r="A438" s="25">
        <f>IFERROR(__xludf.DUMMYFUNCTION("""COMPUTED_VALUE"""),39192.666666666664)</f>
        <v>39192.66667</v>
      </c>
      <c r="B438" s="22">
        <f>IFERROR(__xludf.DUMMYFUNCTION("""COMPUTED_VALUE"""),1484.35)</f>
        <v>1484.35</v>
      </c>
      <c r="C438" s="22">
        <f t="shared" si="6"/>
        <v>1484.994166</v>
      </c>
      <c r="D438" s="25">
        <f>IFERROR(__xludf.DUMMYFUNCTION("""COMPUTED_VALUE"""),39192.99861111111)</f>
        <v>39192.99861</v>
      </c>
      <c r="E438" s="22">
        <f>IFERROR(__xludf.DUMMYFUNCTION("""COMPUTED_VALUE"""),1.3584)</f>
        <v>1.3584</v>
      </c>
      <c r="F438" s="22">
        <f t="shared" si="8"/>
        <v>136.5580803</v>
      </c>
      <c r="G438" s="22">
        <f t="shared" si="31"/>
        <v>49.28030042</v>
      </c>
      <c r="H438" s="22">
        <f t="shared" si="32"/>
        <v>107.7992751</v>
      </c>
      <c r="I438" s="22">
        <f t="shared" si="3"/>
        <v>0.7361601885</v>
      </c>
      <c r="J438" s="22">
        <f t="shared" si="33"/>
        <v>-0.3363515901</v>
      </c>
    </row>
    <row r="439" ht="15.75" customHeight="1">
      <c r="A439" s="25">
        <f>IFERROR(__xludf.DUMMYFUNCTION("""COMPUTED_VALUE"""),39199.666666666664)</f>
        <v>39199.66667</v>
      </c>
      <c r="B439" s="22">
        <f>IFERROR(__xludf.DUMMYFUNCTION("""COMPUTED_VALUE"""),1494.07)</f>
        <v>1494.07</v>
      </c>
      <c r="C439" s="22">
        <f t="shared" si="6"/>
        <v>1494.728133</v>
      </c>
      <c r="D439" s="25">
        <f>IFERROR(__xludf.DUMMYFUNCTION("""COMPUTED_VALUE"""),39199.99861111111)</f>
        <v>39199.99861</v>
      </c>
      <c r="E439" s="22">
        <f>IFERROR(__xludf.DUMMYFUNCTION("""COMPUTED_VALUE"""),1.3652)</f>
        <v>1.3652</v>
      </c>
      <c r="F439" s="22">
        <f t="shared" si="8"/>
        <v>138.1412784</v>
      </c>
      <c r="G439" s="22">
        <f t="shared" si="31"/>
        <v>53.76645046</v>
      </c>
      <c r="H439" s="22">
        <f t="shared" si="32"/>
        <v>107.192978</v>
      </c>
      <c r="I439" s="22">
        <f t="shared" si="3"/>
        <v>0.7324934076</v>
      </c>
      <c r="J439" s="22">
        <f t="shared" si="33"/>
        <v>-0.3282302959</v>
      </c>
    </row>
    <row r="440" ht="15.75" customHeight="1">
      <c r="A440" s="25">
        <f>IFERROR(__xludf.DUMMYFUNCTION("""COMPUTED_VALUE"""),39206.666666666664)</f>
        <v>39206.66667</v>
      </c>
      <c r="B440" s="22">
        <f>IFERROR(__xludf.DUMMYFUNCTION("""COMPUTED_VALUE"""),1505.62)</f>
        <v>1505.62</v>
      </c>
      <c r="C440" s="22">
        <f t="shared" si="6"/>
        <v>1506.282442</v>
      </c>
      <c r="D440" s="25">
        <f>IFERROR(__xludf.DUMMYFUNCTION("""COMPUTED_VALUE"""),39206.99861111111)</f>
        <v>39206.99861</v>
      </c>
      <c r="E440" s="22">
        <f>IFERROR(__xludf.DUMMYFUNCTION("""COMPUTED_VALUE"""),1.3585)</f>
        <v>1.3585</v>
      </c>
      <c r="F440" s="22">
        <f t="shared" si="8"/>
        <v>138.5259187</v>
      </c>
      <c r="G440" s="22">
        <f t="shared" si="31"/>
        <v>56.76868033</v>
      </c>
      <c r="H440" s="22">
        <f t="shared" si="32"/>
        <v>112.1402893</v>
      </c>
      <c r="I440" s="22">
        <f t="shared" si="3"/>
        <v>0.7361059993</v>
      </c>
      <c r="J440" s="22">
        <f t="shared" si="33"/>
        <v>-0.3272727273</v>
      </c>
    </row>
    <row r="441" ht="15.75" customHeight="1">
      <c r="A441" s="25">
        <f>IFERROR(__xludf.DUMMYFUNCTION("""COMPUTED_VALUE"""),39213.666666666664)</f>
        <v>39213.66667</v>
      </c>
      <c r="B441" s="22">
        <f>IFERROR(__xludf.DUMMYFUNCTION("""COMPUTED_VALUE"""),1505.85)</f>
        <v>1505.85</v>
      </c>
      <c r="C441" s="22">
        <f t="shared" si="6"/>
        <v>1506.517563</v>
      </c>
      <c r="D441" s="25">
        <f>IFERROR(__xludf.DUMMYFUNCTION("""COMPUTED_VALUE"""),39213.99861111111)</f>
        <v>39213.99861</v>
      </c>
      <c r="E441" s="22">
        <f>IFERROR(__xludf.DUMMYFUNCTION("""COMPUTED_VALUE"""),1.3524)</f>
        <v>1.3524</v>
      </c>
      <c r="F441" s="22">
        <f t="shared" si="8"/>
        <v>137.9254291</v>
      </c>
      <c r="G441" s="22">
        <f t="shared" si="31"/>
        <v>56.34567108</v>
      </c>
      <c r="H441" s="22">
        <f t="shared" si="32"/>
        <v>99.91165253</v>
      </c>
      <c r="I441" s="22">
        <f t="shared" si="3"/>
        <v>0.7394262053</v>
      </c>
      <c r="J441" s="22">
        <f t="shared" si="33"/>
        <v>-0.3192842354</v>
      </c>
    </row>
    <row r="442" ht="15.75" customHeight="1">
      <c r="A442" s="25">
        <f>IFERROR(__xludf.DUMMYFUNCTION("""COMPUTED_VALUE"""),39220.666666666664)</f>
        <v>39220.66667</v>
      </c>
      <c r="B442" s="22">
        <f>IFERROR(__xludf.DUMMYFUNCTION("""COMPUTED_VALUE"""),1522.75)</f>
        <v>1522.75</v>
      </c>
      <c r="C442" s="22">
        <f t="shared" si="6"/>
        <v>1523.417665</v>
      </c>
      <c r="D442" s="25">
        <f>IFERROR(__xludf.DUMMYFUNCTION("""COMPUTED_VALUE"""),39220.99861111111)</f>
        <v>39220.99861</v>
      </c>
      <c r="E442" s="22">
        <f>IFERROR(__xludf.DUMMYFUNCTION("""COMPUTED_VALUE"""),1.351)</f>
        <v>1.351</v>
      </c>
      <c r="F442" s="22">
        <f t="shared" si="8"/>
        <v>139.3282938</v>
      </c>
      <c r="G442" s="22">
        <f t="shared" si="31"/>
        <v>56.50721394</v>
      </c>
      <c r="H442" s="22">
        <f t="shared" si="32"/>
        <v>106.3383711</v>
      </c>
      <c r="I442" s="22">
        <f t="shared" si="3"/>
        <v>0.74019245</v>
      </c>
      <c r="J442" s="22">
        <f t="shared" si="33"/>
        <v>-0.3190969652</v>
      </c>
    </row>
    <row r="443" ht="15.75" customHeight="1">
      <c r="A443" s="25">
        <f>IFERROR(__xludf.DUMMYFUNCTION("""COMPUTED_VALUE"""),39227.666666666664)</f>
        <v>39227.66667</v>
      </c>
      <c r="B443" s="22">
        <f>IFERROR(__xludf.DUMMYFUNCTION("""COMPUTED_VALUE"""),1515.73)</f>
        <v>1515.73</v>
      </c>
      <c r="C443" s="22">
        <f t="shared" si="6"/>
        <v>1516.405159</v>
      </c>
      <c r="D443" s="25">
        <f>IFERROR(__xludf.DUMMYFUNCTION("""COMPUTED_VALUE"""),39227.99861111111)</f>
        <v>39227.99861</v>
      </c>
      <c r="E443" s="22">
        <f>IFERROR(__xludf.DUMMYFUNCTION("""COMPUTED_VALUE"""),1.3445)</f>
        <v>1.3445</v>
      </c>
      <c r="F443" s="22">
        <f t="shared" si="8"/>
        <v>138.0196883</v>
      </c>
      <c r="G443" s="22">
        <f t="shared" si="31"/>
        <v>48.90860158</v>
      </c>
      <c r="H443" s="22">
        <f t="shared" si="32"/>
        <v>104.5932684</v>
      </c>
      <c r="I443" s="22">
        <f t="shared" si="3"/>
        <v>0.7437709186</v>
      </c>
      <c r="J443" s="22">
        <f t="shared" si="33"/>
        <v>-0.3057642246</v>
      </c>
    </row>
    <row r="444" ht="15.75" customHeight="1">
      <c r="A444" s="25">
        <f>IFERROR(__xludf.DUMMYFUNCTION("""COMPUTED_VALUE"""),39234.666666666664)</f>
        <v>39234.66667</v>
      </c>
      <c r="B444" s="22">
        <f>IFERROR(__xludf.DUMMYFUNCTION("""COMPUTED_VALUE"""),1536.34)</f>
        <v>1536.34</v>
      </c>
      <c r="C444" s="22">
        <f t="shared" si="6"/>
        <v>1537.012046</v>
      </c>
      <c r="D444" s="25">
        <f>IFERROR(__xludf.DUMMYFUNCTION("""COMPUTED_VALUE"""),39234.99861111111)</f>
        <v>39234.99861</v>
      </c>
      <c r="E444" s="22">
        <f>IFERROR(__xludf.DUMMYFUNCTION("""COMPUTED_VALUE"""),1.3436)</f>
        <v>1.3436</v>
      </c>
      <c r="F444" s="22">
        <f t="shared" si="8"/>
        <v>139.8016344</v>
      </c>
      <c r="G444" s="22">
        <f t="shared" si="31"/>
        <v>49.89769206</v>
      </c>
      <c r="H444" s="22">
        <f t="shared" si="32"/>
        <v>113.2563238</v>
      </c>
      <c r="I444" s="22">
        <f t="shared" si="3"/>
        <v>0.7442691277</v>
      </c>
      <c r="J444" s="22">
        <f t="shared" si="33"/>
        <v>-0.2988984817</v>
      </c>
    </row>
    <row r="445" ht="15.75" customHeight="1">
      <c r="A445" s="25">
        <f>IFERROR(__xludf.DUMMYFUNCTION("""COMPUTED_VALUE"""),39241.666666666664)</f>
        <v>39241.66667</v>
      </c>
      <c r="B445" s="22">
        <f>IFERROR(__xludf.DUMMYFUNCTION("""COMPUTED_VALUE"""),1507.67)</f>
        <v>1507.67</v>
      </c>
      <c r="C445" s="22">
        <f t="shared" si="6"/>
        <v>1508.351184</v>
      </c>
      <c r="D445" s="25">
        <f>IFERROR(__xludf.DUMMYFUNCTION("""COMPUTED_VALUE"""),39241.99861111111)</f>
        <v>39241.99861</v>
      </c>
      <c r="E445" s="22">
        <f>IFERROR(__xludf.DUMMYFUNCTION("""COMPUTED_VALUE"""),1.3373)</f>
        <v>1.3373</v>
      </c>
      <c r="F445" s="22">
        <f t="shared" si="8"/>
        <v>136.5514435</v>
      </c>
      <c r="G445" s="22">
        <f t="shared" si="31"/>
        <v>47.80644849</v>
      </c>
      <c r="H445" s="22">
        <f t="shared" si="32"/>
        <v>111.7032348</v>
      </c>
      <c r="I445" s="22">
        <f t="shared" si="3"/>
        <v>0.7477753683</v>
      </c>
      <c r="J445" s="22">
        <f t="shared" si="33"/>
        <v>-0.2929783893</v>
      </c>
    </row>
    <row r="446" ht="15.75" customHeight="1">
      <c r="A446" s="25">
        <f>IFERROR(__xludf.DUMMYFUNCTION("""COMPUTED_VALUE"""),39248.666666666664)</f>
        <v>39248.66667</v>
      </c>
      <c r="B446" s="22">
        <f>IFERROR(__xludf.DUMMYFUNCTION("""COMPUTED_VALUE"""),1532.91)</f>
        <v>1532.91</v>
      </c>
      <c r="C446" s="22">
        <f t="shared" si="6"/>
        <v>1533.578472</v>
      </c>
      <c r="D446" s="25">
        <f>IFERROR(__xludf.DUMMYFUNCTION("""COMPUTED_VALUE"""),39248.99861111111)</f>
        <v>39248.99861</v>
      </c>
      <c r="E446" s="22">
        <f>IFERROR(__xludf.DUMMYFUNCTION("""COMPUTED_VALUE"""),1.3375)</f>
        <v>1.3375</v>
      </c>
      <c r="F446" s="22">
        <f t="shared" si="8"/>
        <v>138.8560403</v>
      </c>
      <c r="G446" s="22">
        <f t="shared" si="31"/>
        <v>48.55439</v>
      </c>
      <c r="H446" s="22">
        <f t="shared" si="32"/>
        <v>113.7732597</v>
      </c>
      <c r="I446" s="22">
        <f t="shared" si="3"/>
        <v>0.7476635514</v>
      </c>
      <c r="J446" s="22">
        <f t="shared" si="33"/>
        <v>-0.2750654206</v>
      </c>
    </row>
    <row r="447" ht="15.75" customHeight="1">
      <c r="A447" s="25">
        <f>IFERROR(__xludf.DUMMYFUNCTION("""COMPUTED_VALUE"""),39255.666666666664)</f>
        <v>39255.66667</v>
      </c>
      <c r="B447" s="22">
        <f>IFERROR(__xludf.DUMMYFUNCTION("""COMPUTED_VALUE"""),1502.56)</f>
        <v>1502.56</v>
      </c>
      <c r="C447" s="22">
        <f t="shared" si="6"/>
        <v>1503.239663</v>
      </c>
      <c r="D447" s="25">
        <f>IFERROR(__xludf.DUMMYFUNCTION("""COMPUTED_VALUE"""),39255.99861111111)</f>
        <v>39255.99861</v>
      </c>
      <c r="E447" s="22">
        <f>IFERROR(__xludf.DUMMYFUNCTION("""COMPUTED_VALUE"""),1.3466)</f>
        <v>1.3466</v>
      </c>
      <c r="F447" s="22">
        <f t="shared" si="8"/>
        <v>137.0350993</v>
      </c>
      <c r="G447" s="22">
        <f t="shared" si="31"/>
        <v>46.25623954</v>
      </c>
      <c r="H447" s="22">
        <f t="shared" si="32"/>
        <v>106.4031877</v>
      </c>
      <c r="I447" s="22">
        <f t="shared" si="3"/>
        <v>0.7426110203</v>
      </c>
      <c r="J447" s="22">
        <f t="shared" si="33"/>
        <v>-0.2643695232</v>
      </c>
    </row>
    <row r="448" ht="15.75" customHeight="1">
      <c r="A448" s="25">
        <f>IFERROR(__xludf.DUMMYFUNCTION("""COMPUTED_VALUE"""),39262.666666666664)</f>
        <v>39262.66667</v>
      </c>
      <c r="B448" s="22">
        <f>IFERROR(__xludf.DUMMYFUNCTION("""COMPUTED_VALUE"""),1503.35)</f>
        <v>1503.35</v>
      </c>
      <c r="C448" s="22">
        <f t="shared" si="6"/>
        <v>1504.016207</v>
      </c>
      <c r="D448" s="25">
        <f>IFERROR(__xludf.DUMMYFUNCTION("""COMPUTED_VALUE"""),39262.99861111111)</f>
        <v>39262.99861</v>
      </c>
      <c r="E448" s="22">
        <f>IFERROR(__xludf.DUMMYFUNCTION("""COMPUTED_VALUE"""),1.3533)</f>
        <v>1.3533</v>
      </c>
      <c r="F448" s="22">
        <f t="shared" si="8"/>
        <v>137.7880584</v>
      </c>
      <c r="G448" s="22">
        <f t="shared" si="31"/>
        <v>46.84528645</v>
      </c>
      <c r="H448" s="22">
        <f t="shared" si="32"/>
        <v>111.2827016</v>
      </c>
      <c r="I448" s="22">
        <f t="shared" si="3"/>
        <v>0.7389344565</v>
      </c>
      <c r="J448" s="22">
        <f t="shared" si="33"/>
        <v>-0.2805734131</v>
      </c>
    </row>
    <row r="449" ht="15.75" customHeight="1">
      <c r="A449" s="25">
        <f>IFERROR(__xludf.DUMMYFUNCTION("""COMPUTED_VALUE"""),39269.666666666664)</f>
        <v>39269.66667</v>
      </c>
      <c r="B449" s="22">
        <f>IFERROR(__xludf.DUMMYFUNCTION("""COMPUTED_VALUE"""),1530.44)</f>
        <v>1530.44</v>
      </c>
      <c r="C449" s="22">
        <f t="shared" si="6"/>
        <v>1531.106557</v>
      </c>
      <c r="D449" s="25">
        <f>IFERROR(__xludf.DUMMYFUNCTION("""COMPUTED_VALUE"""),39269.99861111111)</f>
        <v>39269.99861</v>
      </c>
      <c r="E449" s="22">
        <f>IFERROR(__xludf.DUMMYFUNCTION("""COMPUTED_VALUE"""),1.3623)</f>
        <v>1.3623</v>
      </c>
      <c r="F449" s="22">
        <f t="shared" si="8"/>
        <v>141.2027502</v>
      </c>
      <c r="G449" s="22">
        <f t="shared" si="31"/>
        <v>50.93352276</v>
      </c>
      <c r="H449" s="22">
        <f t="shared" si="32"/>
        <v>128.2539051</v>
      </c>
      <c r="I449" s="22">
        <f t="shared" si="3"/>
        <v>0.734052705</v>
      </c>
      <c r="J449" s="22">
        <f t="shared" si="33"/>
        <v>-0.2723335535</v>
      </c>
    </row>
    <row r="450" ht="15.75" customHeight="1">
      <c r="A450" s="25">
        <f>IFERROR(__xludf.DUMMYFUNCTION("""COMPUTED_VALUE"""),39276.666666666664)</f>
        <v>39276.66667</v>
      </c>
      <c r="B450" s="22">
        <f>IFERROR(__xludf.DUMMYFUNCTION("""COMPUTED_VALUE"""),1552.5)</f>
        <v>1552.5</v>
      </c>
      <c r="C450" s="22">
        <f t="shared" si="6"/>
        <v>1553.178568</v>
      </c>
      <c r="D450" s="25">
        <f>IFERROR(__xludf.DUMMYFUNCTION("""COMPUTED_VALUE"""),39276.99861111111)</f>
        <v>39276.99861</v>
      </c>
      <c r="E450" s="22">
        <f>IFERROR(__xludf.DUMMYFUNCTION("""COMPUTED_VALUE"""),1.3781)</f>
        <v>1.3781</v>
      </c>
      <c r="F450" s="22">
        <f t="shared" si="8"/>
        <v>144.8995726</v>
      </c>
      <c r="G450" s="22">
        <f t="shared" si="31"/>
        <v>56.00099556</v>
      </c>
      <c r="H450" s="22">
        <f t="shared" si="32"/>
        <v>150.1606005</v>
      </c>
      <c r="I450" s="22">
        <f t="shared" si="3"/>
        <v>0.7256367462</v>
      </c>
      <c r="J450" s="22">
        <f t="shared" si="33"/>
        <v>-0.2677599594</v>
      </c>
    </row>
    <row r="451" ht="15.75" customHeight="1">
      <c r="A451" s="25">
        <f>IFERROR(__xludf.DUMMYFUNCTION("""COMPUTED_VALUE"""),39283.666666666664)</f>
        <v>39283.66667</v>
      </c>
      <c r="B451" s="22">
        <f>IFERROR(__xludf.DUMMYFUNCTION("""COMPUTED_VALUE"""),1534.1)</f>
        <v>1534.1</v>
      </c>
      <c r="C451" s="22">
        <f t="shared" si="6"/>
        <v>1534.788349</v>
      </c>
      <c r="D451" s="25">
        <f>IFERROR(__xludf.DUMMYFUNCTION("""COMPUTED_VALUE"""),39283.99861111111)</f>
        <v>39283.99861</v>
      </c>
      <c r="E451" s="22">
        <f>IFERROR(__xludf.DUMMYFUNCTION("""COMPUTED_VALUE"""),1.3826)</f>
        <v>1.3826</v>
      </c>
      <c r="F451" s="22">
        <f t="shared" si="8"/>
        <v>143.6514548</v>
      </c>
      <c r="G451" s="22">
        <f t="shared" si="31"/>
        <v>61.34184079</v>
      </c>
      <c r="H451" s="22">
        <f t="shared" si="32"/>
        <v>152.2914025</v>
      </c>
      <c r="I451" s="22">
        <f t="shared" si="3"/>
        <v>0.7232749892</v>
      </c>
      <c r="J451" s="22">
        <f t="shared" si="33"/>
        <v>-0.2869955157</v>
      </c>
    </row>
    <row r="452" ht="15.75" customHeight="1">
      <c r="A452" s="25">
        <f>IFERROR(__xludf.DUMMYFUNCTION("""COMPUTED_VALUE"""),39290.666666666664)</f>
        <v>39290.66667</v>
      </c>
      <c r="B452" s="22">
        <f>IFERROR(__xludf.DUMMYFUNCTION("""COMPUTED_VALUE"""),1458.95)</f>
        <v>1458.95</v>
      </c>
      <c r="C452" s="22">
        <f t="shared" si="6"/>
        <v>1459.630191</v>
      </c>
      <c r="D452" s="25">
        <f>IFERROR(__xludf.DUMMYFUNCTION("""COMPUTED_VALUE"""),39290.99861111111)</f>
        <v>39290.99861</v>
      </c>
      <c r="E452" s="22">
        <f>IFERROR(__xludf.DUMMYFUNCTION("""COMPUTED_VALUE"""),1.3633)</f>
        <v>1.3633</v>
      </c>
      <c r="F452" s="22">
        <f t="shared" si="8"/>
        <v>134.7098197</v>
      </c>
      <c r="G452" s="22">
        <f t="shared" si="31"/>
        <v>50.31214353</v>
      </c>
      <c r="H452" s="22">
        <f t="shared" si="32"/>
        <v>133.6542606</v>
      </c>
      <c r="I452" s="22">
        <f t="shared" si="3"/>
        <v>0.7335142669</v>
      </c>
      <c r="J452" s="22">
        <f t="shared" si="33"/>
        <v>-0.2774884472</v>
      </c>
    </row>
    <row r="453" ht="15.75" customHeight="1">
      <c r="A453" s="25">
        <f>IFERROR(__xludf.DUMMYFUNCTION("""COMPUTED_VALUE"""),39297.666666666664)</f>
        <v>39297.66667</v>
      </c>
      <c r="B453" s="22">
        <f>IFERROR(__xludf.DUMMYFUNCTION("""COMPUTED_VALUE"""),1433.06)</f>
        <v>1433.06</v>
      </c>
      <c r="C453" s="22">
        <f t="shared" si="6"/>
        <v>1433.706871</v>
      </c>
      <c r="D453" s="25">
        <f>IFERROR(__xludf.DUMMYFUNCTION("""COMPUTED_VALUE"""),39297.99861111111)</f>
        <v>39297.99861</v>
      </c>
      <c r="E453" s="22">
        <f>IFERROR(__xludf.DUMMYFUNCTION("""COMPUTED_VALUE"""),1.3786)</f>
        <v>1.3786</v>
      </c>
      <c r="F453" s="22">
        <f t="shared" si="8"/>
        <v>133.8023137</v>
      </c>
      <c r="G453" s="22">
        <f t="shared" si="31"/>
        <v>50.94874108</v>
      </c>
      <c r="H453" s="22">
        <f t="shared" si="32"/>
        <v>124.3748608</v>
      </c>
      <c r="I453" s="22">
        <f t="shared" si="3"/>
        <v>0.7253735674</v>
      </c>
      <c r="J453" s="22">
        <f t="shared" si="33"/>
        <v>-0.2970404758</v>
      </c>
    </row>
    <row r="454" ht="15.75" customHeight="1">
      <c r="A454" s="25">
        <f>IFERROR(__xludf.DUMMYFUNCTION("""COMPUTED_VALUE"""),39304.666666666664)</f>
        <v>39304.66667</v>
      </c>
      <c r="B454" s="22">
        <f>IFERROR(__xludf.DUMMYFUNCTION("""COMPUTED_VALUE"""),1453.64)</f>
        <v>1453.64</v>
      </c>
      <c r="C454" s="22">
        <f t="shared" si="6"/>
        <v>1454.275392</v>
      </c>
      <c r="D454" s="25">
        <f>IFERROR(__xludf.DUMMYFUNCTION("""COMPUTED_VALUE"""),39304.99861111111)</f>
        <v>39304.99861</v>
      </c>
      <c r="E454" s="22">
        <f>IFERROR(__xludf.DUMMYFUNCTION("""COMPUTED_VALUE"""),1.3695)</f>
        <v>1.3695</v>
      </c>
      <c r="F454" s="22">
        <f t="shared" si="8"/>
        <v>134.8260075</v>
      </c>
      <c r="G454" s="22">
        <f t="shared" si="31"/>
        <v>51.11527746</v>
      </c>
      <c r="H454" s="22">
        <f t="shared" si="32"/>
        <v>117.0819573</v>
      </c>
      <c r="I454" s="22">
        <f t="shared" si="3"/>
        <v>0.7301935013</v>
      </c>
      <c r="J454" s="22">
        <f t="shared" si="33"/>
        <v>-0.2790069368</v>
      </c>
    </row>
    <row r="455" ht="15.75" customHeight="1">
      <c r="A455" s="25">
        <f>IFERROR(__xludf.DUMMYFUNCTION("""COMPUTED_VALUE"""),39311.666666666664)</f>
        <v>39311.66667</v>
      </c>
      <c r="B455" s="22">
        <f>IFERROR(__xludf.DUMMYFUNCTION("""COMPUTED_VALUE"""),1445.94)</f>
        <v>1445.94</v>
      </c>
      <c r="C455" s="22">
        <f t="shared" si="6"/>
        <v>1446.584516</v>
      </c>
      <c r="D455" s="25">
        <f>IFERROR(__xludf.DUMMYFUNCTION("""COMPUTED_VALUE"""),39311.99861111111)</f>
        <v>39311.99861</v>
      </c>
      <c r="E455" s="22">
        <f>IFERROR(__xludf.DUMMYFUNCTION("""COMPUTED_VALUE"""),1.3491)</f>
        <v>1.3491</v>
      </c>
      <c r="F455" s="22">
        <f t="shared" si="8"/>
        <v>132.1152458</v>
      </c>
      <c r="G455" s="22">
        <f t="shared" si="31"/>
        <v>44.23193001</v>
      </c>
      <c r="H455" s="22">
        <f t="shared" si="32"/>
        <v>113.3054887</v>
      </c>
      <c r="I455" s="22">
        <f t="shared" si="3"/>
        <v>0.7412348973</v>
      </c>
      <c r="J455" s="22">
        <f t="shared" si="33"/>
        <v>-0.2795196798</v>
      </c>
    </row>
    <row r="456" ht="15.75" customHeight="1">
      <c r="A456" s="25">
        <f>IFERROR(__xludf.DUMMYFUNCTION("""COMPUTED_VALUE"""),39318.666666666664)</f>
        <v>39318.66667</v>
      </c>
      <c r="B456" s="22">
        <f>IFERROR(__xludf.DUMMYFUNCTION("""COMPUTED_VALUE"""),1479.37)</f>
        <v>1479.37</v>
      </c>
      <c r="C456" s="22">
        <f t="shared" si="6"/>
        <v>1480.011102</v>
      </c>
      <c r="D456" s="25">
        <f>IFERROR(__xludf.DUMMYFUNCTION("""COMPUTED_VALUE"""),39318.99861111111)</f>
        <v>39318.99861</v>
      </c>
      <c r="E456" s="22">
        <f>IFERROR(__xludf.DUMMYFUNCTION("""COMPUTED_VALUE"""),1.3663)</f>
        <v>1.3663</v>
      </c>
      <c r="F456" s="22">
        <f t="shared" si="8"/>
        <v>136.8913556</v>
      </c>
      <c r="G456" s="22">
        <f t="shared" si="31"/>
        <v>51.89911371</v>
      </c>
      <c r="H456" s="22">
        <f t="shared" si="32"/>
        <v>125.0741674</v>
      </c>
      <c r="I456" s="22">
        <f t="shared" si="3"/>
        <v>0.7319036815</v>
      </c>
      <c r="J456" s="22">
        <f t="shared" si="33"/>
        <v>-0.282514821</v>
      </c>
    </row>
    <row r="457" ht="15.75" customHeight="1">
      <c r="A457" s="25">
        <f>IFERROR(__xludf.DUMMYFUNCTION("""COMPUTED_VALUE"""),39325.666666666664)</f>
        <v>39325.66667</v>
      </c>
      <c r="B457" s="22">
        <f>IFERROR(__xludf.DUMMYFUNCTION("""COMPUTED_VALUE"""),1473.99)</f>
        <v>1473.99</v>
      </c>
      <c r="C457" s="22">
        <f t="shared" si="6"/>
        <v>1474.645925</v>
      </c>
      <c r="D457" s="25">
        <f>IFERROR(__xludf.DUMMYFUNCTION("""COMPUTED_VALUE"""),39325.99861111111)</f>
        <v>39325.99861</v>
      </c>
      <c r="E457" s="22">
        <f>IFERROR(__xludf.DUMMYFUNCTION("""COMPUTED_VALUE"""),1.3621)</f>
        <v>1.3621</v>
      </c>
      <c r="F457" s="22">
        <f t="shared" si="8"/>
        <v>135.9758337</v>
      </c>
      <c r="G457" s="22">
        <f t="shared" si="31"/>
        <v>49.60332193</v>
      </c>
      <c r="H457" s="22">
        <f t="shared" si="32"/>
        <v>129.0646473</v>
      </c>
      <c r="I457" s="22">
        <f t="shared" si="3"/>
        <v>0.7341604875</v>
      </c>
      <c r="J457" s="22">
        <f t="shared" si="33"/>
        <v>-0.280155642</v>
      </c>
    </row>
    <row r="458" ht="15.75" customHeight="1">
      <c r="A458" s="25">
        <f>IFERROR(__xludf.DUMMYFUNCTION("""COMPUTED_VALUE"""),39332.666666666664)</f>
        <v>39332.66667</v>
      </c>
      <c r="B458" s="22">
        <f>IFERROR(__xludf.DUMMYFUNCTION("""COMPUTED_VALUE"""),1453.55)</f>
        <v>1453.55</v>
      </c>
      <c r="C458" s="22">
        <f t="shared" si="6"/>
        <v>1454.203539</v>
      </c>
      <c r="D458" s="25">
        <f>IFERROR(__xludf.DUMMYFUNCTION("""COMPUTED_VALUE"""),39332.99861111111)</f>
        <v>39332.99861</v>
      </c>
      <c r="E458" s="22">
        <f>IFERROR(__xludf.DUMMYFUNCTION("""COMPUTED_VALUE"""),1.3767)</f>
        <v>1.3767</v>
      </c>
      <c r="F458" s="22">
        <f t="shared" si="8"/>
        <v>135.5281444</v>
      </c>
      <c r="G458" s="22">
        <f t="shared" si="31"/>
        <v>45.16797027</v>
      </c>
      <c r="H458" s="22">
        <f t="shared" si="32"/>
        <v>131.7092096</v>
      </c>
      <c r="I458" s="22">
        <f t="shared" si="3"/>
        <v>0.7263746641</v>
      </c>
      <c r="J458" s="22">
        <f t="shared" si="33"/>
        <v>-0.2949807511</v>
      </c>
    </row>
    <row r="459" ht="15.75" customHeight="1">
      <c r="A459" s="25">
        <f>IFERROR(__xludf.DUMMYFUNCTION("""COMPUTED_VALUE"""),39339.666666666664)</f>
        <v>39339.66667</v>
      </c>
      <c r="B459" s="22">
        <f>IFERROR(__xludf.DUMMYFUNCTION("""COMPUTED_VALUE"""),1484.25)</f>
        <v>1484.25</v>
      </c>
      <c r="C459" s="22">
        <f t="shared" si="6"/>
        <v>1484.894477</v>
      </c>
      <c r="D459" s="25">
        <f>IFERROR(__xludf.DUMMYFUNCTION("""COMPUTED_VALUE"""),39339.99861111111)</f>
        <v>39339.99861</v>
      </c>
      <c r="E459" s="22">
        <f>IFERROR(__xludf.DUMMYFUNCTION("""COMPUTED_VALUE"""),1.3874)</f>
        <v>1.3874</v>
      </c>
      <c r="F459" s="22">
        <f t="shared" si="8"/>
        <v>139.4640473</v>
      </c>
      <c r="G459" s="22">
        <f t="shared" si="31"/>
        <v>49.77195784</v>
      </c>
      <c r="H459" s="22">
        <f t="shared" si="32"/>
        <v>147.991972</v>
      </c>
      <c r="I459" s="22">
        <f t="shared" si="3"/>
        <v>0.7207726683</v>
      </c>
      <c r="J459" s="22">
        <f t="shared" si="33"/>
        <v>-0.2920570852</v>
      </c>
    </row>
    <row r="460" ht="15.75" customHeight="1">
      <c r="A460" s="25">
        <f>IFERROR(__xludf.DUMMYFUNCTION("""COMPUTED_VALUE"""),39346.666666666664)</f>
        <v>39346.66667</v>
      </c>
      <c r="B460" s="22">
        <f>IFERROR(__xludf.DUMMYFUNCTION("""COMPUTED_VALUE"""),1525.75)</f>
        <v>1525.75</v>
      </c>
      <c r="C460" s="22">
        <f t="shared" si="6"/>
        <v>1526.408088</v>
      </c>
      <c r="D460" s="25">
        <f>IFERROR(__xludf.DUMMYFUNCTION("""COMPUTED_VALUE"""),39346.99861111111)</f>
        <v>39346.99861</v>
      </c>
      <c r="E460" s="22">
        <f>IFERROR(__xludf.DUMMYFUNCTION("""COMPUTED_VALUE"""),1.4089)</f>
        <v>1.4089</v>
      </c>
      <c r="F460" s="22">
        <f t="shared" si="8"/>
        <v>145.5847249</v>
      </c>
      <c r="G460" s="22">
        <f t="shared" si="31"/>
        <v>57.81364028</v>
      </c>
      <c r="H460" s="22">
        <f t="shared" si="32"/>
        <v>165.4395528</v>
      </c>
      <c r="I460" s="22">
        <f t="shared" si="3"/>
        <v>0.7097735822</v>
      </c>
      <c r="J460" s="22">
        <f t="shared" si="33"/>
        <v>-0.3052736177</v>
      </c>
    </row>
    <row r="461" ht="15.75" customHeight="1">
      <c r="A461" s="25">
        <f>IFERROR(__xludf.DUMMYFUNCTION("""COMPUTED_VALUE"""),39353.666666666664)</f>
        <v>39353.66667</v>
      </c>
      <c r="B461" s="22">
        <f>IFERROR(__xludf.DUMMYFUNCTION("""COMPUTED_VALUE"""),1526.75)</f>
        <v>1526.75</v>
      </c>
      <c r="C461" s="22">
        <f t="shared" si="6"/>
        <v>1527.426489</v>
      </c>
      <c r="D461" s="25">
        <f>IFERROR(__xludf.DUMMYFUNCTION("""COMPUTED_VALUE"""),39353.99861111111)</f>
        <v>39353.99861</v>
      </c>
      <c r="E461" s="22">
        <f>IFERROR(__xludf.DUMMYFUNCTION("""COMPUTED_VALUE"""),1.426)</f>
        <v>1.426</v>
      </c>
      <c r="F461" s="22">
        <f t="shared" si="8"/>
        <v>147.4500166</v>
      </c>
      <c r="G461" s="22">
        <f t="shared" si="31"/>
        <v>55.26013472</v>
      </c>
      <c r="H461" s="22">
        <f t="shared" si="32"/>
        <v>177.7896985</v>
      </c>
      <c r="I461" s="22">
        <f t="shared" si="3"/>
        <v>0.7012622721</v>
      </c>
      <c r="J461" s="22">
        <f t="shared" si="33"/>
        <v>-0.3135343619</v>
      </c>
    </row>
    <row r="462" ht="15.75" customHeight="1">
      <c r="A462" s="25">
        <f>IFERROR(__xludf.DUMMYFUNCTION("""COMPUTED_VALUE"""),39360.666666666664)</f>
        <v>39360.66667</v>
      </c>
      <c r="B462" s="22">
        <f>IFERROR(__xludf.DUMMYFUNCTION("""COMPUTED_VALUE"""),1557.59)</f>
        <v>1557.59</v>
      </c>
      <c r="C462" s="22">
        <f t="shared" si="6"/>
        <v>1558.266932</v>
      </c>
      <c r="D462" s="25">
        <f>IFERROR(__xludf.DUMMYFUNCTION("""COMPUTED_VALUE"""),39360.99861111111)</f>
        <v>39360.99861</v>
      </c>
      <c r="E462" s="22">
        <f>IFERROR(__xludf.DUMMYFUNCTION("""COMPUTED_VALUE"""),1.4131)</f>
        <v>1.4131</v>
      </c>
      <c r="F462" s="22">
        <f t="shared" si="8"/>
        <v>149.0663898</v>
      </c>
      <c r="G462" s="22">
        <f t="shared" si="31"/>
        <v>58.16736488</v>
      </c>
      <c r="H462" s="22">
        <f t="shared" si="32"/>
        <v>166.9686091</v>
      </c>
      <c r="I462" s="22">
        <f t="shared" si="3"/>
        <v>0.7076640011</v>
      </c>
      <c r="J462" s="22">
        <f t="shared" si="33"/>
        <v>-0.3015356309</v>
      </c>
    </row>
    <row r="463" ht="15.75" customHeight="1">
      <c r="A463" s="25">
        <f>IFERROR(__xludf.DUMMYFUNCTION("""COMPUTED_VALUE"""),39367.666666666664)</f>
        <v>39367.66667</v>
      </c>
      <c r="B463" s="22">
        <f>IFERROR(__xludf.DUMMYFUNCTION("""COMPUTED_VALUE"""),1561.8)</f>
        <v>1561.8</v>
      </c>
      <c r="C463" s="22">
        <f t="shared" si="6"/>
        <v>1562.490606</v>
      </c>
      <c r="D463" s="25">
        <f>IFERROR(__xludf.DUMMYFUNCTION("""COMPUTED_VALUE"""),39367.99861111111)</f>
        <v>39367.99861</v>
      </c>
      <c r="E463" s="22">
        <f>IFERROR(__xludf.DUMMYFUNCTION("""COMPUTED_VALUE"""),1.4186)</f>
        <v>1.4186</v>
      </c>
      <c r="F463" s="22">
        <f t="shared" si="8"/>
        <v>150.052195</v>
      </c>
      <c r="G463" s="22">
        <f t="shared" si="31"/>
        <v>60.25948174</v>
      </c>
      <c r="H463" s="22">
        <f t="shared" si="32"/>
        <v>157.877716</v>
      </c>
      <c r="I463" s="22">
        <f t="shared" si="3"/>
        <v>0.704920344</v>
      </c>
      <c r="J463" s="22">
        <f t="shared" si="33"/>
        <v>-0.3151698858</v>
      </c>
    </row>
    <row r="464" ht="15.75" customHeight="1">
      <c r="A464" s="25">
        <f>IFERROR(__xludf.DUMMYFUNCTION("""COMPUTED_VALUE"""),39374.666666666664)</f>
        <v>39374.66667</v>
      </c>
      <c r="B464" s="22">
        <f>IFERROR(__xludf.DUMMYFUNCTION("""COMPUTED_VALUE"""),1500.63)</f>
        <v>1500.63</v>
      </c>
      <c r="C464" s="22">
        <f t="shared" si="6"/>
        <v>1501.322473</v>
      </c>
      <c r="D464" s="25">
        <f>IFERROR(__xludf.DUMMYFUNCTION("""COMPUTED_VALUE"""),39374.99861111111)</f>
        <v>39374.99861</v>
      </c>
      <c r="E464" s="22">
        <f>IFERROR(__xludf.DUMMYFUNCTION("""COMPUTED_VALUE"""),1.4293)</f>
        <v>1.4293</v>
      </c>
      <c r="F464" s="22">
        <f t="shared" si="8"/>
        <v>145.2654593</v>
      </c>
      <c r="G464" s="22">
        <f t="shared" si="31"/>
        <v>54.30160811</v>
      </c>
      <c r="H464" s="22">
        <f t="shared" si="32"/>
        <v>144.6968768</v>
      </c>
      <c r="I464" s="22">
        <f t="shared" si="3"/>
        <v>0.699643182</v>
      </c>
      <c r="J464" s="22">
        <f t="shared" si="33"/>
        <v>-0.3167984328</v>
      </c>
    </row>
    <row r="465" ht="15.75" customHeight="1">
      <c r="A465" s="25">
        <f>IFERROR(__xludf.DUMMYFUNCTION("""COMPUTED_VALUE"""),39381.666666666664)</f>
        <v>39381.66667</v>
      </c>
      <c r="B465" s="22">
        <f>IFERROR(__xludf.DUMMYFUNCTION("""COMPUTED_VALUE"""),1535.28)</f>
        <v>1535.28</v>
      </c>
      <c r="C465" s="22">
        <f t="shared" si="6"/>
        <v>1535.945351</v>
      </c>
      <c r="D465" s="25">
        <f>IFERROR(__xludf.DUMMYFUNCTION("""COMPUTED_VALUE"""),39381.99861111111)</f>
        <v>39381.99861</v>
      </c>
      <c r="E465" s="22">
        <f>IFERROR(__xludf.DUMMYFUNCTION("""COMPUTED_VALUE"""),1.4391)</f>
        <v>1.4391</v>
      </c>
      <c r="F465" s="22">
        <f t="shared" si="8"/>
        <v>149.634494</v>
      </c>
      <c r="G465" s="22">
        <f t="shared" si="31"/>
        <v>52.81021521</v>
      </c>
      <c r="H465" s="22">
        <f t="shared" si="32"/>
        <v>146.21249</v>
      </c>
      <c r="I465" s="22">
        <f t="shared" si="3"/>
        <v>0.6948787437</v>
      </c>
      <c r="J465" s="22">
        <f t="shared" si="33"/>
        <v>-0.3079007713</v>
      </c>
    </row>
    <row r="466" ht="15.75" customHeight="1">
      <c r="A466" s="25">
        <f>IFERROR(__xludf.DUMMYFUNCTION("""COMPUTED_VALUE"""),39388.666666666664)</f>
        <v>39388.66667</v>
      </c>
      <c r="B466" s="22">
        <f>IFERROR(__xludf.DUMMYFUNCTION("""COMPUTED_VALUE"""),1509.65)</f>
        <v>1509.65</v>
      </c>
      <c r="C466" s="22">
        <f t="shared" si="6"/>
        <v>1510.330714</v>
      </c>
      <c r="D466" s="25">
        <f>IFERROR(__xludf.DUMMYFUNCTION("""COMPUTED_VALUE"""),39388.99861111111)</f>
        <v>39388.99861</v>
      </c>
      <c r="E466" s="22">
        <f>IFERROR(__xludf.DUMMYFUNCTION("""COMPUTED_VALUE"""),1.4486)</f>
        <v>1.4486</v>
      </c>
      <c r="F466" s="22">
        <f t="shared" si="8"/>
        <v>148.1103873</v>
      </c>
      <c r="G466" s="22">
        <f t="shared" si="31"/>
        <v>44.66603241</v>
      </c>
      <c r="H466" s="22">
        <f t="shared" si="32"/>
        <v>140.498712</v>
      </c>
      <c r="I466" s="22">
        <f t="shared" si="3"/>
        <v>0.6903216899</v>
      </c>
      <c r="J466" s="22">
        <f t="shared" si="33"/>
        <v>-0.2984260665</v>
      </c>
    </row>
    <row r="467" ht="15.75" customHeight="1">
      <c r="A467" s="25">
        <f>IFERROR(__xludf.DUMMYFUNCTION("""COMPUTED_VALUE"""),39395.666666666664)</f>
        <v>39395.66667</v>
      </c>
      <c r="B467" s="22">
        <f>IFERROR(__xludf.DUMMYFUNCTION("""COMPUTED_VALUE"""),1453.7)</f>
        <v>1453.7</v>
      </c>
      <c r="C467" s="22">
        <f t="shared" si="6"/>
        <v>1454.36935</v>
      </c>
      <c r="D467" s="25">
        <f>IFERROR(__xludf.DUMMYFUNCTION("""COMPUTED_VALUE"""),39395.99861111111)</f>
        <v>39395.99861</v>
      </c>
      <c r="E467" s="22">
        <f>IFERROR(__xludf.DUMMYFUNCTION("""COMPUTED_VALUE"""),1.4673)</f>
        <v>1.4673</v>
      </c>
      <c r="F467" s="22">
        <f t="shared" si="8"/>
        <v>144.46366</v>
      </c>
      <c r="G467" s="22">
        <f t="shared" si="31"/>
        <v>39.0333694</v>
      </c>
      <c r="H467" s="22">
        <f t="shared" si="32"/>
        <v>132.2633457</v>
      </c>
      <c r="I467" s="22">
        <f t="shared" si="3"/>
        <v>0.6815238874</v>
      </c>
      <c r="J467" s="22">
        <f t="shared" si="33"/>
        <v>-0.3120016357</v>
      </c>
    </row>
    <row r="468" ht="15.75" customHeight="1">
      <c r="A468" s="25">
        <f>IFERROR(__xludf.DUMMYFUNCTION("""COMPUTED_VALUE"""),39402.666666666664)</f>
        <v>39402.66667</v>
      </c>
      <c r="B468" s="22">
        <f>IFERROR(__xludf.DUMMYFUNCTION("""COMPUTED_VALUE"""),1458.74)</f>
        <v>1458.74</v>
      </c>
      <c r="C468" s="22">
        <f t="shared" si="6"/>
        <v>1459.384543</v>
      </c>
      <c r="D468" s="25">
        <f>IFERROR(__xludf.DUMMYFUNCTION("""COMPUTED_VALUE"""),39402.99861111111)</f>
        <v>39402.99861</v>
      </c>
      <c r="E468" s="22">
        <f>IFERROR(__xludf.DUMMYFUNCTION("""COMPUTED_VALUE"""),1.4632)</f>
        <v>1.4632</v>
      </c>
      <c r="F468" s="22">
        <f t="shared" si="8"/>
        <v>144.5567638</v>
      </c>
      <c r="G468" s="22">
        <f t="shared" si="31"/>
        <v>39.92292641</v>
      </c>
      <c r="H468" s="22">
        <f t="shared" si="32"/>
        <v>130.1341409</v>
      </c>
      <c r="I468" s="22">
        <f t="shared" si="3"/>
        <v>0.6834335703</v>
      </c>
      <c r="J468" s="22">
        <f t="shared" si="33"/>
        <v>-0.3188217605</v>
      </c>
    </row>
    <row r="469" ht="15.75" customHeight="1">
      <c r="A469" s="25">
        <f>IFERROR(__xludf.DUMMYFUNCTION("""COMPUTED_VALUE"""),39409.666666666664)</f>
        <v>39409.66667</v>
      </c>
      <c r="B469" s="22">
        <f>IFERROR(__xludf.DUMMYFUNCTION("""COMPUTED_VALUE"""),1440.7)</f>
        <v>1440.7</v>
      </c>
      <c r="C469" s="22">
        <f t="shared" si="6"/>
        <v>1441.346778</v>
      </c>
      <c r="D469" s="25">
        <f>IFERROR(__xludf.DUMMYFUNCTION("""COMPUTED_VALUE"""),39409.99861111111)</f>
        <v>39409.99861</v>
      </c>
      <c r="E469" s="22">
        <f>IFERROR(__xludf.DUMMYFUNCTION("""COMPUTED_VALUE"""),1.4799)</f>
        <v>1.4799</v>
      </c>
      <c r="F469" s="22">
        <f t="shared" si="8"/>
        <v>144.3995481</v>
      </c>
      <c r="G469" s="22">
        <f t="shared" si="31"/>
        <v>35.66312047</v>
      </c>
      <c r="H469" s="22">
        <f t="shared" si="32"/>
        <v>129.1347015</v>
      </c>
      <c r="I469" s="22">
        <f t="shared" si="3"/>
        <v>0.6757213325</v>
      </c>
      <c r="J469" s="22">
        <f t="shared" si="33"/>
        <v>-0.3284681397</v>
      </c>
    </row>
    <row r="470" ht="15.75" customHeight="1">
      <c r="A470" s="25">
        <f>IFERROR(__xludf.DUMMYFUNCTION("""COMPUTED_VALUE"""),39416.666666666664)</f>
        <v>39416.66667</v>
      </c>
      <c r="B470" s="22">
        <f>IFERROR(__xludf.DUMMYFUNCTION("""COMPUTED_VALUE"""),1481.14)</f>
        <v>1481.14</v>
      </c>
      <c r="C470" s="22">
        <f t="shared" si="6"/>
        <v>1481.778779</v>
      </c>
      <c r="D470" s="25">
        <f>IFERROR(__xludf.DUMMYFUNCTION("""COMPUTED_VALUE"""),39416.99861111111)</f>
        <v>39416.99861</v>
      </c>
      <c r="E470" s="22">
        <f>IFERROR(__xludf.DUMMYFUNCTION("""COMPUTED_VALUE"""),1.4694)</f>
        <v>1.4694</v>
      </c>
      <c r="F470" s="22">
        <f t="shared" si="8"/>
        <v>147.3969133</v>
      </c>
      <c r="G470" s="22">
        <f t="shared" si="31"/>
        <v>35.74175531</v>
      </c>
      <c r="H470" s="22">
        <f t="shared" si="32"/>
        <v>136.4216553</v>
      </c>
      <c r="I470" s="22">
        <f t="shared" si="3"/>
        <v>0.6805498843</v>
      </c>
      <c r="J470" s="22">
        <f t="shared" si="33"/>
        <v>-0.3132571117</v>
      </c>
    </row>
    <row r="471" ht="15.75" customHeight="1">
      <c r="A471" s="25">
        <f>IFERROR(__xludf.DUMMYFUNCTION("""COMPUTED_VALUE"""),39423.666666666664)</f>
        <v>39423.66667</v>
      </c>
      <c r="B471" s="22">
        <f>IFERROR(__xludf.DUMMYFUNCTION("""COMPUTED_VALUE"""),1504.66)</f>
        <v>1504.66</v>
      </c>
      <c r="C471" s="22">
        <f t="shared" si="6"/>
        <v>1505.316709</v>
      </c>
      <c r="D471" s="25">
        <f>IFERROR(__xludf.DUMMYFUNCTION("""COMPUTED_VALUE"""),39423.99861111111)</f>
        <v>39423.99861</v>
      </c>
      <c r="E471" s="22">
        <f>IFERROR(__xludf.DUMMYFUNCTION("""COMPUTED_VALUE"""),1.4659)</f>
        <v>1.4659</v>
      </c>
      <c r="F471" s="22">
        <f t="shared" si="8"/>
        <v>149.3816354</v>
      </c>
      <c r="G471" s="22">
        <f t="shared" si="31"/>
        <v>40.49329246</v>
      </c>
      <c r="H471" s="22">
        <f t="shared" si="32"/>
        <v>142.2052076</v>
      </c>
      <c r="I471" s="22">
        <f t="shared" si="3"/>
        <v>0.6821747732</v>
      </c>
      <c r="J471" s="22">
        <f t="shared" si="33"/>
        <v>-0.3015894672</v>
      </c>
    </row>
    <row r="472" ht="15.75" customHeight="1">
      <c r="A472" s="25">
        <f>IFERROR(__xludf.DUMMYFUNCTION("""COMPUTED_VALUE"""),39430.666666666664)</f>
        <v>39430.66667</v>
      </c>
      <c r="B472" s="22">
        <f>IFERROR(__xludf.DUMMYFUNCTION("""COMPUTED_VALUE"""),1467.95)</f>
        <v>1467.95</v>
      </c>
      <c r="C472" s="22">
        <f t="shared" si="6"/>
        <v>1468.617138</v>
      </c>
      <c r="D472" s="25">
        <f>IFERROR(__xludf.DUMMYFUNCTION("""COMPUTED_VALUE"""),39430.99861111111)</f>
        <v>39430.99861</v>
      </c>
      <c r="E472" s="22">
        <f>IFERROR(__xludf.DUMMYFUNCTION("""COMPUTED_VALUE"""),1.4424)</f>
        <v>1.4424</v>
      </c>
      <c r="F472" s="22">
        <f t="shared" si="8"/>
        <v>143.4033471</v>
      </c>
      <c r="G472" s="22">
        <f t="shared" si="31"/>
        <v>33.20108705</v>
      </c>
      <c r="H472" s="22">
        <f t="shared" si="32"/>
        <v>130.3902594</v>
      </c>
      <c r="I472" s="22">
        <f t="shared" si="3"/>
        <v>0.6932889628</v>
      </c>
      <c r="J472" s="22">
        <f t="shared" si="33"/>
        <v>-0.2886855241</v>
      </c>
    </row>
    <row r="473" ht="15.75" customHeight="1">
      <c r="A473" s="25">
        <f>IFERROR(__xludf.DUMMYFUNCTION("""COMPUTED_VALUE"""),39437.666666666664)</f>
        <v>39437.66667</v>
      </c>
      <c r="B473" s="22">
        <f>IFERROR(__xludf.DUMMYFUNCTION("""COMPUTED_VALUE"""),1484.46)</f>
        <v>1484.46</v>
      </c>
      <c r="C473" s="22">
        <f t="shared" si="6"/>
        <v>1485.110861</v>
      </c>
      <c r="D473" s="25">
        <f>IFERROR(__xludf.DUMMYFUNCTION("""COMPUTED_VALUE"""),39437.99861111111)</f>
        <v>39437.99861</v>
      </c>
      <c r="E473" s="22">
        <f>IFERROR(__xludf.DUMMYFUNCTION("""COMPUTED_VALUE"""),1.438)</f>
        <v>1.438</v>
      </c>
      <c r="F473" s="22">
        <f t="shared" si="8"/>
        <v>144.5715185</v>
      </c>
      <c r="G473" s="22">
        <f t="shared" si="31"/>
        <v>30.40500436</v>
      </c>
      <c r="H473" s="22">
        <f t="shared" si="32"/>
        <v>133.5234711</v>
      </c>
      <c r="I473" s="22">
        <f t="shared" si="3"/>
        <v>0.6954102921</v>
      </c>
      <c r="J473" s="22">
        <f t="shared" si="33"/>
        <v>-0.273852573</v>
      </c>
    </row>
    <row r="474" ht="15.75" customHeight="1">
      <c r="A474" s="25">
        <f>IFERROR(__xludf.DUMMYFUNCTION("""COMPUTED_VALUE"""),39444.666666666664)</f>
        <v>39444.66667</v>
      </c>
      <c r="B474" s="22">
        <f>IFERROR(__xludf.DUMMYFUNCTION("""COMPUTED_VALUE"""),1478.49)</f>
        <v>1478.49</v>
      </c>
      <c r="C474" s="22">
        <f t="shared" si="6"/>
        <v>1479.148181</v>
      </c>
      <c r="D474" s="25">
        <f>IFERROR(__xludf.DUMMYFUNCTION("""COMPUTED_VALUE"""),39444.99861111111)</f>
        <v>39444.99861</v>
      </c>
      <c r="E474" s="22">
        <f>IFERROR(__xludf.DUMMYFUNCTION("""COMPUTED_VALUE"""),1.4712)</f>
        <v>1.4712</v>
      </c>
      <c r="F474" s="22">
        <f t="shared" si="8"/>
        <v>147.3154791</v>
      </c>
      <c r="G474" s="22">
        <f t="shared" si="31"/>
        <v>32.33095747</v>
      </c>
      <c r="H474" s="22">
        <f t="shared" si="32"/>
        <v>129.6874284</v>
      </c>
      <c r="I474" s="22">
        <f t="shared" si="3"/>
        <v>0.6797172376</v>
      </c>
      <c r="J474" s="22">
        <f t="shared" si="33"/>
        <v>-0.2915307232</v>
      </c>
    </row>
    <row r="475" ht="15.75" customHeight="1">
      <c r="A475" s="25">
        <f>IFERROR(__xludf.DUMMYFUNCTION("""COMPUTED_VALUE"""),39451.666666666664)</f>
        <v>39451.66667</v>
      </c>
      <c r="B475" s="22">
        <f>IFERROR(__xludf.DUMMYFUNCTION("""COMPUTED_VALUE"""),1411.63)</f>
        <v>1411.63</v>
      </c>
      <c r="C475" s="22">
        <f t="shared" si="6"/>
        <v>1412.285534</v>
      </c>
      <c r="D475" s="25">
        <f>IFERROR(__xludf.DUMMYFUNCTION("""COMPUTED_VALUE"""),39451.99861111111)</f>
        <v>39451.99861</v>
      </c>
      <c r="E475" s="22">
        <f>IFERROR(__xludf.DUMMYFUNCTION("""COMPUTED_VALUE"""),1.4737)</f>
        <v>1.4737</v>
      </c>
      <c r="F475" s="22">
        <f t="shared" si="8"/>
        <v>140.8953229</v>
      </c>
      <c r="G475" s="22">
        <f t="shared" si="31"/>
        <v>34.15454309</v>
      </c>
      <c r="H475" s="22">
        <f t="shared" si="32"/>
        <v>112.1681798</v>
      </c>
      <c r="I475" s="22">
        <f t="shared" si="3"/>
        <v>0.6785641582</v>
      </c>
      <c r="J475" s="22">
        <f t="shared" si="33"/>
        <v>-0.2826898283</v>
      </c>
    </row>
    <row r="476" ht="15.75" customHeight="1">
      <c r="A476" s="25">
        <f>IFERROR(__xludf.DUMMYFUNCTION("""COMPUTED_VALUE"""),39458.666666666664)</f>
        <v>39458.66667</v>
      </c>
      <c r="B476" s="22">
        <f>IFERROR(__xludf.DUMMYFUNCTION("""COMPUTED_VALUE"""),1401.02)</f>
        <v>1401.02</v>
      </c>
      <c r="C476" s="22">
        <f t="shared" si="6"/>
        <v>1401.64589</v>
      </c>
      <c r="D476" s="25">
        <f>IFERROR(__xludf.DUMMYFUNCTION("""COMPUTED_VALUE"""),39458.99861111111)</f>
        <v>39458.99861</v>
      </c>
      <c r="E476" s="22">
        <f>IFERROR(__xludf.DUMMYFUNCTION("""COMPUTED_VALUE"""),1.4784)</f>
        <v>1.4784</v>
      </c>
      <c r="F476" s="22">
        <f t="shared" si="8"/>
        <v>140.2798343</v>
      </c>
      <c r="G476" s="22">
        <f t="shared" si="31"/>
        <v>33.50383948</v>
      </c>
      <c r="H476" s="22">
        <f t="shared" si="32"/>
        <v>115.2619269</v>
      </c>
      <c r="I476" s="22">
        <f t="shared" si="3"/>
        <v>0.6764069264</v>
      </c>
      <c r="J476" s="22">
        <f t="shared" si="33"/>
        <v>-0.2782738095</v>
      </c>
    </row>
    <row r="477" ht="15.75" customHeight="1">
      <c r="A477" s="25">
        <f>IFERROR(__xludf.DUMMYFUNCTION("""COMPUTED_VALUE"""),39465.666666666664)</f>
        <v>39465.66667</v>
      </c>
      <c r="B477" s="22">
        <f>IFERROR(__xludf.DUMMYFUNCTION("""COMPUTED_VALUE"""),1325.19)</f>
        <v>1325.19</v>
      </c>
      <c r="C477" s="22">
        <f t="shared" si="6"/>
        <v>1325.811186</v>
      </c>
      <c r="D477" s="25">
        <f>IFERROR(__xludf.DUMMYFUNCTION("""COMPUTED_VALUE"""),39465.99861111111)</f>
        <v>39465.99861</v>
      </c>
      <c r="E477" s="22">
        <f>IFERROR(__xludf.DUMMYFUNCTION("""COMPUTED_VALUE"""),1.4615)</f>
        <v>1.4615</v>
      </c>
      <c r="F477" s="22">
        <f t="shared" si="8"/>
        <v>131.173311</v>
      </c>
      <c r="G477" s="22">
        <f t="shared" si="31"/>
        <v>27.62856196</v>
      </c>
      <c r="H477" s="22">
        <f t="shared" si="32"/>
        <v>107.6854494</v>
      </c>
      <c r="I477" s="22">
        <f t="shared" si="3"/>
        <v>0.6842285323</v>
      </c>
      <c r="J477" s="22">
        <f t="shared" si="33"/>
        <v>-0.2592541909</v>
      </c>
    </row>
    <row r="478" ht="15.75" customHeight="1">
      <c r="A478" s="25">
        <f>IFERROR(__xludf.DUMMYFUNCTION("""COMPUTED_VALUE"""),39472.666666666664)</f>
        <v>39472.66667</v>
      </c>
      <c r="B478" s="22">
        <f>IFERROR(__xludf.DUMMYFUNCTION("""COMPUTED_VALUE"""),1330.61)</f>
        <v>1330.61</v>
      </c>
      <c r="C478" s="22">
        <f t="shared" si="6"/>
        <v>1331.197564</v>
      </c>
      <c r="D478" s="25">
        <f>IFERROR(__xludf.DUMMYFUNCTION("""COMPUTED_VALUE"""),39472.99861111111)</f>
        <v>39472.99861</v>
      </c>
      <c r="E478" s="22">
        <f>IFERROR(__xludf.DUMMYFUNCTION("""COMPUTED_VALUE"""),1.4669)</f>
        <v>1.4669</v>
      </c>
      <c r="F478" s="22">
        <f t="shared" si="8"/>
        <v>132.192862</v>
      </c>
      <c r="G478" s="22">
        <f t="shared" si="31"/>
        <v>27.77614949</v>
      </c>
      <c r="H478" s="22">
        <f t="shared" si="32"/>
        <v>111.8128562</v>
      </c>
      <c r="I478" s="22">
        <f t="shared" si="3"/>
        <v>0.681709728</v>
      </c>
      <c r="J478" s="22">
        <f t="shared" si="33"/>
        <v>-0.2658667939</v>
      </c>
    </row>
    <row r="479" ht="15.75" customHeight="1">
      <c r="A479" s="25">
        <f>IFERROR(__xludf.DUMMYFUNCTION("""COMPUTED_VALUE"""),39479.666666666664)</f>
        <v>39479.66667</v>
      </c>
      <c r="B479" s="22">
        <f>IFERROR(__xludf.DUMMYFUNCTION("""COMPUTED_VALUE"""),1395.42)</f>
        <v>1395.42</v>
      </c>
      <c r="C479" s="22">
        <f t="shared" si="6"/>
        <v>1396.009967</v>
      </c>
      <c r="D479" s="25">
        <f>IFERROR(__xludf.DUMMYFUNCTION("""COMPUTED_VALUE"""),39479.99861111111)</f>
        <v>39479.99861</v>
      </c>
      <c r="E479" s="22">
        <f>IFERROR(__xludf.DUMMYFUNCTION("""COMPUTED_VALUE"""),1.4803)</f>
        <v>1.4803</v>
      </c>
      <c r="F479" s="22">
        <f t="shared" si="8"/>
        <v>139.8953376</v>
      </c>
      <c r="G479" s="22">
        <f t="shared" si="31"/>
        <v>33.57834452</v>
      </c>
      <c r="H479" s="22">
        <f t="shared" si="32"/>
        <v>130.1744822</v>
      </c>
      <c r="I479" s="22">
        <f t="shared" si="3"/>
        <v>0.6755387421</v>
      </c>
      <c r="J479" s="22">
        <f t="shared" si="33"/>
        <v>-0.2693372965</v>
      </c>
    </row>
    <row r="480" ht="15.75" customHeight="1">
      <c r="A480" s="25">
        <f>IFERROR(__xludf.DUMMYFUNCTION("""COMPUTED_VALUE"""),39486.666666666664)</f>
        <v>39486.66667</v>
      </c>
      <c r="B480" s="22">
        <f>IFERROR(__xludf.DUMMYFUNCTION("""COMPUTED_VALUE"""),1331.29)</f>
        <v>1331.29</v>
      </c>
      <c r="C480" s="22">
        <f t="shared" si="6"/>
        <v>1331.908703</v>
      </c>
      <c r="D480" s="25">
        <f>IFERROR(__xludf.DUMMYFUNCTION("""COMPUTED_VALUE"""),39486.99861111111)</f>
        <v>39486.99861</v>
      </c>
      <c r="E480" s="22">
        <f>IFERROR(__xludf.DUMMYFUNCTION("""COMPUTED_VALUE"""),1.4501)</f>
        <v>1.4501</v>
      </c>
      <c r="F480" s="22">
        <f t="shared" si="8"/>
        <v>130.7487037</v>
      </c>
      <c r="G480" s="22">
        <f t="shared" si="31"/>
        <v>24.6276434</v>
      </c>
      <c r="H480" s="22">
        <f t="shared" si="32"/>
        <v>114.304055</v>
      </c>
      <c r="I480" s="22">
        <f t="shared" si="3"/>
        <v>0.6896076133</v>
      </c>
      <c r="J480" s="22">
        <f t="shared" si="33"/>
        <v>-0.2559133853</v>
      </c>
    </row>
    <row r="481" ht="15.75" customHeight="1">
      <c r="A481" s="25">
        <f>IFERROR(__xludf.DUMMYFUNCTION("""COMPUTED_VALUE"""),39493.666666666664)</f>
        <v>39493.66667</v>
      </c>
      <c r="B481" s="22">
        <f>IFERROR(__xludf.DUMMYFUNCTION("""COMPUTED_VALUE"""),1349.99)</f>
        <v>1349.99</v>
      </c>
      <c r="C481" s="22">
        <f t="shared" si="6"/>
        <v>1350.580269</v>
      </c>
      <c r="D481" s="25">
        <f>IFERROR(__xludf.DUMMYFUNCTION("""COMPUTED_VALUE"""),39493.99861111111)</f>
        <v>39493.99861</v>
      </c>
      <c r="E481" s="22">
        <f>IFERROR(__xludf.DUMMYFUNCTION("""COMPUTED_VALUE"""),1.467)</f>
        <v>1.467</v>
      </c>
      <c r="F481" s="22">
        <f t="shared" si="8"/>
        <v>134.1267795</v>
      </c>
      <c r="G481" s="22">
        <f t="shared" si="31"/>
        <v>26.6261958</v>
      </c>
      <c r="H481" s="22">
        <f t="shared" si="32"/>
        <v>117.0030481</v>
      </c>
      <c r="I481" s="22">
        <f t="shared" si="3"/>
        <v>0.6816632584</v>
      </c>
      <c r="J481" s="22">
        <f t="shared" si="33"/>
        <v>-0.266530334</v>
      </c>
    </row>
    <row r="482" ht="15.75" customHeight="1">
      <c r="A482" s="25">
        <f>IFERROR(__xludf.DUMMYFUNCTION("""COMPUTED_VALUE"""),39500.666666666664)</f>
        <v>39500.66667</v>
      </c>
      <c r="B482" s="22">
        <f>IFERROR(__xludf.DUMMYFUNCTION("""COMPUTED_VALUE"""),1353.11)</f>
        <v>1353.11</v>
      </c>
      <c r="C482" s="22">
        <f t="shared" si="6"/>
        <v>1353.70856</v>
      </c>
      <c r="D482" s="25">
        <f>IFERROR(__xludf.DUMMYFUNCTION("""COMPUTED_VALUE"""),39500.99861111111)</f>
        <v>39500.99861</v>
      </c>
      <c r="E482" s="22">
        <f>IFERROR(__xludf.DUMMYFUNCTION("""COMPUTED_VALUE"""),1.4824)</f>
        <v>1.4824</v>
      </c>
      <c r="F482" s="22">
        <f t="shared" si="8"/>
        <v>135.8487241</v>
      </c>
      <c r="G482" s="22">
        <f t="shared" si="31"/>
        <v>25.06472169</v>
      </c>
      <c r="H482" s="22">
        <f t="shared" si="32"/>
        <v>120.718347</v>
      </c>
      <c r="I482" s="22">
        <f t="shared" si="3"/>
        <v>0.6745817593</v>
      </c>
      <c r="J482" s="22">
        <f t="shared" si="33"/>
        <v>-0.2711818672</v>
      </c>
    </row>
    <row r="483" ht="15.75" customHeight="1">
      <c r="A483" s="25">
        <f>IFERROR(__xludf.DUMMYFUNCTION("""COMPUTED_VALUE"""),39507.666666666664)</f>
        <v>39507.66667</v>
      </c>
      <c r="B483" s="22">
        <f>IFERROR(__xludf.DUMMYFUNCTION("""COMPUTED_VALUE"""),1330.63)</f>
        <v>1330.63</v>
      </c>
      <c r="C483" s="22">
        <f t="shared" si="6"/>
        <v>1331.229943</v>
      </c>
      <c r="D483" s="25">
        <f>IFERROR(__xludf.DUMMYFUNCTION("""COMPUTED_VALUE"""),39507.99861111111)</f>
        <v>39507.99861</v>
      </c>
      <c r="E483" s="22">
        <f>IFERROR(__xludf.DUMMYFUNCTION("""COMPUTED_VALUE"""),1.5173)</f>
        <v>1.5173</v>
      </c>
      <c r="F483" s="22">
        <f t="shared" si="8"/>
        <v>136.7380927</v>
      </c>
      <c r="G483" s="22">
        <f t="shared" si="31"/>
        <v>24.75738937</v>
      </c>
      <c r="H483" s="22">
        <f t="shared" si="32"/>
        <v>121.2706707</v>
      </c>
      <c r="I483" s="22">
        <f t="shared" si="3"/>
        <v>0.6590654452</v>
      </c>
      <c r="J483" s="22">
        <f t="shared" si="33"/>
        <v>-0.2745007579</v>
      </c>
    </row>
    <row r="484" ht="15.75" customHeight="1">
      <c r="A484" s="25">
        <f>IFERROR(__xludf.DUMMYFUNCTION("""COMPUTED_VALUE"""),39514.666666666664)</f>
        <v>39514.66667</v>
      </c>
      <c r="B484" s="22">
        <f>IFERROR(__xludf.DUMMYFUNCTION("""COMPUTED_VALUE"""),1293.37)</f>
        <v>1293.37</v>
      </c>
      <c r="C484" s="22">
        <f t="shared" si="6"/>
        <v>1293.959976</v>
      </c>
      <c r="D484" s="25">
        <f>IFERROR(__xludf.DUMMYFUNCTION("""COMPUTED_VALUE"""),39514.99861111111)</f>
        <v>39514.99861</v>
      </c>
      <c r="E484" s="22">
        <f>IFERROR(__xludf.DUMMYFUNCTION("""COMPUTED_VALUE"""),1.5348)</f>
        <v>1.5348</v>
      </c>
      <c r="F484" s="22">
        <f t="shared" si="8"/>
        <v>134.4428209</v>
      </c>
      <c r="G484" s="22">
        <f t="shared" si="31"/>
        <v>22.83659672</v>
      </c>
      <c r="H484" s="22">
        <f t="shared" si="32"/>
        <v>121.8150976</v>
      </c>
      <c r="I484" s="22">
        <f t="shared" si="3"/>
        <v>0.6515506906</v>
      </c>
      <c r="J484" s="22">
        <f t="shared" si="33"/>
        <v>-0.3002345582</v>
      </c>
    </row>
    <row r="485" ht="15.75" customHeight="1">
      <c r="A485" s="25">
        <f>IFERROR(__xludf.DUMMYFUNCTION("""COMPUTED_VALUE"""),39521.666666666664)</f>
        <v>39521.66667</v>
      </c>
      <c r="B485" s="22">
        <f>IFERROR(__xludf.DUMMYFUNCTION("""COMPUTED_VALUE"""),1288.14)</f>
        <v>1288.14</v>
      </c>
      <c r="C485" s="22">
        <f t="shared" si="6"/>
        <v>1288.713456</v>
      </c>
      <c r="D485" s="25">
        <f>IFERROR(__xludf.DUMMYFUNCTION("""COMPUTED_VALUE"""),39521.99861111111)</f>
        <v>39521.99861</v>
      </c>
      <c r="E485" s="22">
        <f>IFERROR(__xludf.DUMMYFUNCTION("""COMPUTED_VALUE"""),1.5612)</f>
        <v>1.5612</v>
      </c>
      <c r="F485" s="22">
        <f t="shared" si="8"/>
        <v>136.200872</v>
      </c>
      <c r="G485" s="22">
        <f t="shared" si="31"/>
        <v>26.95807338</v>
      </c>
      <c r="H485" s="22">
        <f t="shared" si="32"/>
        <v>113.3833699</v>
      </c>
      <c r="I485" s="22">
        <f t="shared" si="3"/>
        <v>0.6405329234</v>
      </c>
      <c r="J485" s="22">
        <f t="shared" si="33"/>
        <v>-0.3261593646</v>
      </c>
    </row>
    <row r="486" ht="15.75" customHeight="1">
      <c r="A486" s="25">
        <f>IFERROR(__xludf.DUMMYFUNCTION("""COMPUTED_VALUE"""),39527.666666666664)</f>
        <v>39527.66667</v>
      </c>
      <c r="B486" s="22">
        <f>IFERROR(__xludf.DUMMYFUNCTION("""COMPUTED_VALUE"""),1329.51)</f>
        <v>1329.51</v>
      </c>
      <c r="C486" s="22">
        <f t="shared" si="6"/>
        <v>1330.081137</v>
      </c>
      <c r="D486" s="25">
        <f>IFERROR(__xludf.DUMMYFUNCTION("""COMPUTED_VALUE"""),39528.99861111111)</f>
        <v>39528.99861</v>
      </c>
      <c r="E486" s="22">
        <f>IFERROR(__xludf.DUMMYFUNCTION("""COMPUTED_VALUE"""),1.5694)</f>
        <v>1.5694</v>
      </c>
      <c r="F486" s="22">
        <f t="shared" si="8"/>
        <v>141.3112588</v>
      </c>
      <c r="G486" s="22">
        <f t="shared" si="31"/>
        <v>37.53091554</v>
      </c>
      <c r="H486" s="22">
        <f t="shared" si="32"/>
        <v>124.229176</v>
      </c>
      <c r="I486" s="22">
        <f t="shared" si="3"/>
        <v>0.6371861858</v>
      </c>
      <c r="J486" s="22">
        <f t="shared" si="33"/>
        <v>-0.3133681662</v>
      </c>
    </row>
    <row r="487" ht="15.75" customHeight="1">
      <c r="A487" s="25">
        <f>IFERROR(__xludf.DUMMYFUNCTION("""COMPUTED_VALUE"""),39535.666666666664)</f>
        <v>39535.66667</v>
      </c>
      <c r="B487" s="22">
        <f>IFERROR(__xludf.DUMMYFUNCTION("""COMPUTED_VALUE"""),1315.22)</f>
        <v>1315.22</v>
      </c>
      <c r="C487" s="22">
        <f t="shared" si="6"/>
        <v>1315.80948</v>
      </c>
      <c r="D487" s="25">
        <f>IFERROR(__xludf.DUMMYFUNCTION("""COMPUTED_VALUE"""),39535.99861111111)</f>
        <v>39535.99861</v>
      </c>
      <c r="E487" s="22">
        <f>IFERROR(__xludf.DUMMYFUNCTION("""COMPUTED_VALUE"""),1.5755)</f>
        <v>1.5755</v>
      </c>
      <c r="F487" s="22">
        <f t="shared" si="8"/>
        <v>140.3383612</v>
      </c>
      <c r="G487" s="22">
        <f t="shared" si="31"/>
        <v>36.86481063</v>
      </c>
      <c r="H487" s="22">
        <f t="shared" si="32"/>
        <v>119.6983746</v>
      </c>
      <c r="I487" s="22">
        <f t="shared" si="3"/>
        <v>0.6347191368</v>
      </c>
      <c r="J487" s="22">
        <f t="shared" si="33"/>
        <v>-0.3188194224</v>
      </c>
    </row>
    <row r="488" ht="15.75" customHeight="1">
      <c r="A488" s="25">
        <f>IFERROR(__xludf.DUMMYFUNCTION("""COMPUTED_VALUE"""),39542.666666666664)</f>
        <v>39542.66667</v>
      </c>
      <c r="B488" s="22">
        <f>IFERROR(__xludf.DUMMYFUNCTION("""COMPUTED_VALUE"""),1370.4)</f>
        <v>1370.4</v>
      </c>
      <c r="C488" s="22">
        <f t="shared" si="6"/>
        <v>1370.983144</v>
      </c>
      <c r="D488" s="25">
        <f>IFERROR(__xludf.DUMMYFUNCTION("""COMPUTED_VALUE"""),39542.99861111111)</f>
        <v>39542.99861</v>
      </c>
      <c r="E488" s="22">
        <f>IFERROR(__xludf.DUMMYFUNCTION("""COMPUTED_VALUE"""),1.5731)</f>
        <v>1.5731</v>
      </c>
      <c r="F488" s="22">
        <f t="shared" si="8"/>
        <v>146.0001926</v>
      </c>
      <c r="G488" s="22">
        <f t="shared" si="31"/>
        <v>41.7511543</v>
      </c>
      <c r="H488" s="22">
        <f t="shared" si="32"/>
        <v>130.8841636</v>
      </c>
      <c r="I488" s="22">
        <f t="shared" si="3"/>
        <v>0.635687496</v>
      </c>
      <c r="J488" s="22">
        <f t="shared" si="33"/>
        <v>-0.3164452355</v>
      </c>
    </row>
    <row r="489" ht="15.75" customHeight="1">
      <c r="A489" s="25">
        <f>IFERROR(__xludf.DUMMYFUNCTION("""COMPUTED_VALUE"""),39549.666666666664)</f>
        <v>39549.66667</v>
      </c>
      <c r="B489" s="22">
        <f>IFERROR(__xludf.DUMMYFUNCTION("""COMPUTED_VALUE"""),1332.83)</f>
        <v>1332.83</v>
      </c>
      <c r="C489" s="22">
        <f t="shared" si="6"/>
        <v>1333.437609</v>
      </c>
      <c r="D489" s="25">
        <f>IFERROR(__xludf.DUMMYFUNCTION("""COMPUTED_VALUE"""),39549.99861111111)</f>
        <v>39549.99861</v>
      </c>
      <c r="E489" s="22">
        <f>IFERROR(__xludf.DUMMYFUNCTION("""COMPUTED_VALUE"""),1.582)</f>
        <v>1.582</v>
      </c>
      <c r="F489" s="22">
        <f t="shared" si="8"/>
        <v>142.805246</v>
      </c>
      <c r="G489" s="22">
        <f t="shared" si="31"/>
        <v>43.43943084</v>
      </c>
      <c r="H489" s="22">
        <f t="shared" si="32"/>
        <v>116.7855028</v>
      </c>
      <c r="I489" s="22">
        <f t="shared" si="3"/>
        <v>0.6321112516</v>
      </c>
      <c r="J489" s="22">
        <f t="shared" si="33"/>
        <v>-0.3119469027</v>
      </c>
    </row>
    <row r="490" ht="15.75" customHeight="1">
      <c r="A490" s="25">
        <f>IFERROR(__xludf.DUMMYFUNCTION("""COMPUTED_VALUE"""),39556.666666666664)</f>
        <v>39556.66667</v>
      </c>
      <c r="B490" s="22">
        <f>IFERROR(__xludf.DUMMYFUNCTION("""COMPUTED_VALUE"""),1390.33)</f>
        <v>1390.33</v>
      </c>
      <c r="C490" s="22">
        <f t="shared" si="6"/>
        <v>1390.920952</v>
      </c>
      <c r="D490" s="25">
        <f>IFERROR(__xludf.DUMMYFUNCTION("""COMPUTED_VALUE"""),39556.99861111111)</f>
        <v>39556.99861</v>
      </c>
      <c r="E490" s="22">
        <f>IFERROR(__xludf.DUMMYFUNCTION("""COMPUTED_VALUE"""),1.5732)</f>
        <v>1.5732</v>
      </c>
      <c r="F490" s="22">
        <f t="shared" si="8"/>
        <v>148.1328468</v>
      </c>
      <c r="G490" s="22">
        <f t="shared" si="31"/>
        <v>45.41890384</v>
      </c>
      <c r="H490" s="22">
        <f t="shared" si="32"/>
        <v>120.5034577</v>
      </c>
      <c r="I490" s="22">
        <f t="shared" si="3"/>
        <v>0.6356470887</v>
      </c>
      <c r="J490" s="22">
        <f t="shared" si="33"/>
        <v>-0.2984998729</v>
      </c>
    </row>
    <row r="491" ht="15.75" customHeight="1">
      <c r="A491" s="25">
        <f>IFERROR(__xludf.DUMMYFUNCTION("""COMPUTED_VALUE"""),39563.666666666664)</f>
        <v>39563.66667</v>
      </c>
      <c r="B491" s="22">
        <f>IFERROR(__xludf.DUMMYFUNCTION("""COMPUTED_VALUE"""),1397.84)</f>
        <v>1397.84</v>
      </c>
      <c r="C491" s="22">
        <f t="shared" si="6"/>
        <v>1398.456446</v>
      </c>
      <c r="D491" s="25">
        <f>IFERROR(__xludf.DUMMYFUNCTION("""COMPUTED_VALUE"""),39563.99861111111)</f>
        <v>39563.99861</v>
      </c>
      <c r="E491" s="22">
        <f>IFERROR(__xludf.DUMMYFUNCTION("""COMPUTED_VALUE"""),1.5631)</f>
        <v>1.5631</v>
      </c>
      <c r="F491" s="22">
        <f t="shared" si="8"/>
        <v>147.9792053</v>
      </c>
      <c r="G491" s="22">
        <f t="shared" si="31"/>
        <v>46.76487468</v>
      </c>
      <c r="H491" s="22">
        <f t="shared" si="32"/>
        <v>109.231445</v>
      </c>
      <c r="I491" s="22">
        <f t="shared" si="3"/>
        <v>0.6397543343</v>
      </c>
      <c r="J491" s="22">
        <f t="shared" si="33"/>
        <v>-0.2816838334</v>
      </c>
    </row>
    <row r="492" ht="15.75" customHeight="1">
      <c r="A492" s="25">
        <f>IFERROR(__xludf.DUMMYFUNCTION("""COMPUTED_VALUE"""),39570.666666666664)</f>
        <v>39570.66667</v>
      </c>
      <c r="B492" s="22">
        <f>IFERROR(__xludf.DUMMYFUNCTION("""COMPUTED_VALUE"""),1413.9)</f>
        <v>1413.9</v>
      </c>
      <c r="C492" s="22">
        <f t="shared" si="6"/>
        <v>1414.519776</v>
      </c>
      <c r="D492" s="25">
        <f>IFERROR(__xludf.DUMMYFUNCTION("""COMPUTED_VALUE"""),39570.99861111111)</f>
        <v>39570.99861</v>
      </c>
      <c r="E492" s="22">
        <f>IFERROR(__xludf.DUMMYFUNCTION("""COMPUTED_VALUE"""),1.5428)</f>
        <v>1.5428</v>
      </c>
      <c r="F492" s="22">
        <f t="shared" si="8"/>
        <v>147.7350815</v>
      </c>
      <c r="G492" s="22">
        <f t="shared" si="31"/>
        <v>45.37599808</v>
      </c>
      <c r="H492" s="22">
        <f t="shared" si="32"/>
        <v>103.4453438</v>
      </c>
      <c r="I492" s="22">
        <f t="shared" si="3"/>
        <v>0.6481721545</v>
      </c>
      <c r="J492" s="22">
        <f t="shared" si="33"/>
        <v>-0.2554446461</v>
      </c>
    </row>
    <row r="493" ht="15.75" customHeight="1">
      <c r="A493" s="25">
        <f>IFERROR(__xludf.DUMMYFUNCTION("""COMPUTED_VALUE"""),39577.666666666664)</f>
        <v>39577.66667</v>
      </c>
      <c r="B493" s="22">
        <f>IFERROR(__xludf.DUMMYFUNCTION("""COMPUTED_VALUE"""),1388.28)</f>
        <v>1388.28</v>
      </c>
      <c r="C493" s="22">
        <f t="shared" si="6"/>
        <v>1388.906897</v>
      </c>
      <c r="D493" s="25">
        <f>IFERROR(__xludf.DUMMYFUNCTION("""COMPUTED_VALUE"""),39577.99861111111)</f>
        <v>39577.99861</v>
      </c>
      <c r="E493" s="22">
        <f>IFERROR(__xludf.DUMMYFUNCTION("""COMPUTED_VALUE"""),1.5486)</f>
        <v>1.5486</v>
      </c>
      <c r="F493" s="22">
        <f t="shared" si="8"/>
        <v>145.6053631</v>
      </c>
      <c r="G493" s="22">
        <f t="shared" si="31"/>
        <v>47.68607098</v>
      </c>
      <c r="H493" s="22">
        <f t="shared" si="32"/>
        <v>96.35472256</v>
      </c>
      <c r="I493" s="22">
        <f t="shared" si="3"/>
        <v>0.6457445435</v>
      </c>
      <c r="J493" s="22">
        <f t="shared" si="33"/>
        <v>-0.2512592019</v>
      </c>
    </row>
    <row r="494" ht="15.75" customHeight="1">
      <c r="A494" s="25">
        <f>IFERROR(__xludf.DUMMYFUNCTION("""COMPUTED_VALUE"""),39584.666666666664)</f>
        <v>39584.66667</v>
      </c>
      <c r="B494" s="22">
        <f>IFERROR(__xludf.DUMMYFUNCTION("""COMPUTED_VALUE"""),1425.35)</f>
        <v>1425.35</v>
      </c>
      <c r="C494" s="22">
        <f t="shared" si="6"/>
        <v>1425.965537</v>
      </c>
      <c r="D494" s="25">
        <f>IFERROR(__xludf.DUMMYFUNCTION("""COMPUTED_VALUE"""),39584.99861111111)</f>
        <v>39584.99861</v>
      </c>
      <c r="E494" s="22">
        <f>IFERROR(__xludf.DUMMYFUNCTION("""COMPUTED_VALUE"""),1.5575)</f>
        <v>1.5575</v>
      </c>
      <c r="F494" s="22">
        <f t="shared" si="8"/>
        <v>150.3495274</v>
      </c>
      <c r="G494" s="22">
        <f t="shared" si="31"/>
        <v>48.73816868</v>
      </c>
      <c r="H494" s="22">
        <f t="shared" si="32"/>
        <v>100.9292792</v>
      </c>
      <c r="I494" s="22">
        <f t="shared" si="3"/>
        <v>0.6420545746</v>
      </c>
      <c r="J494" s="22">
        <f t="shared" si="33"/>
        <v>-0.2398715891</v>
      </c>
    </row>
    <row r="495" ht="15.75" customHeight="1">
      <c r="A495" s="25">
        <f>IFERROR(__xludf.DUMMYFUNCTION("""COMPUTED_VALUE"""),39591.666666666664)</f>
        <v>39591.66667</v>
      </c>
      <c r="B495" s="22">
        <f>IFERROR(__xludf.DUMMYFUNCTION("""COMPUTED_VALUE"""),1375.93)</f>
        <v>1375.93</v>
      </c>
      <c r="C495" s="22">
        <f t="shared" si="6"/>
        <v>1376.561973</v>
      </c>
      <c r="D495" s="25">
        <f>IFERROR(__xludf.DUMMYFUNCTION("""COMPUTED_VALUE"""),39591.99861111111)</f>
        <v>39591.99861</v>
      </c>
      <c r="E495" s="22">
        <f>IFERROR(__xludf.DUMMYFUNCTION("""COMPUTED_VALUE"""),1.5779)</f>
        <v>1.5779</v>
      </c>
      <c r="F495" s="22">
        <f t="shared" si="8"/>
        <v>147.0416024</v>
      </c>
      <c r="G495" s="22">
        <f t="shared" si="31"/>
        <v>44.00172839</v>
      </c>
      <c r="H495" s="22">
        <f t="shared" si="32"/>
        <v>91.22322285</v>
      </c>
      <c r="I495" s="22">
        <f t="shared" si="3"/>
        <v>0.6337537233</v>
      </c>
      <c r="J495" s="22">
        <f t="shared" si="33"/>
        <v>-0.2532479878</v>
      </c>
    </row>
    <row r="496" ht="15.75" customHeight="1">
      <c r="A496" s="25">
        <f>IFERROR(__xludf.DUMMYFUNCTION("""COMPUTED_VALUE"""),39598.666666666664)</f>
        <v>39598.66667</v>
      </c>
      <c r="B496" s="22">
        <f>IFERROR(__xludf.DUMMYFUNCTION("""COMPUTED_VALUE"""),1400.38)</f>
        <v>1400.38</v>
      </c>
      <c r="C496" s="22">
        <f t="shared" si="6"/>
        <v>1400.990061</v>
      </c>
      <c r="D496" s="25">
        <f>IFERROR(__xludf.DUMMYFUNCTION("""COMPUTED_VALUE"""),39598.99861111111)</f>
        <v>39598.99861</v>
      </c>
      <c r="E496" s="22">
        <f>IFERROR(__xludf.DUMMYFUNCTION("""COMPUTED_VALUE"""),1.5539)</f>
        <v>1.5539</v>
      </c>
      <c r="F496" s="22">
        <f t="shared" si="8"/>
        <v>147.3747575</v>
      </c>
      <c r="G496" s="22">
        <f t="shared" si="31"/>
        <v>48.82567186</v>
      </c>
      <c r="H496" s="22">
        <f t="shared" si="32"/>
        <v>88.32469094</v>
      </c>
      <c r="I496" s="22">
        <f t="shared" si="3"/>
        <v>0.6435420555</v>
      </c>
      <c r="J496" s="22">
        <f t="shared" si="33"/>
        <v>-0.2471845035</v>
      </c>
    </row>
    <row r="497" ht="15.75" customHeight="1">
      <c r="A497" s="25">
        <f>IFERROR(__xludf.DUMMYFUNCTION("""COMPUTED_VALUE"""),39605.666666666664)</f>
        <v>39605.66667</v>
      </c>
      <c r="B497" s="22">
        <f>IFERROR(__xludf.DUMMYFUNCTION("""COMPUTED_VALUE"""),1360.68)</f>
        <v>1360.68</v>
      </c>
      <c r="C497" s="22">
        <f t="shared" si="6"/>
        <v>1361.300902</v>
      </c>
      <c r="D497" s="25">
        <f>IFERROR(__xludf.DUMMYFUNCTION("""COMPUTED_VALUE"""),39605.99861111111)</f>
        <v>39605.99861</v>
      </c>
      <c r="E497" s="22">
        <f>IFERROR(__xludf.DUMMYFUNCTION("""COMPUTED_VALUE"""),1.5777)</f>
        <v>1.5777</v>
      </c>
      <c r="F497" s="22">
        <f t="shared" si="8"/>
        <v>145.3930142</v>
      </c>
      <c r="G497" s="22">
        <f t="shared" si="31"/>
        <v>47.71645765</v>
      </c>
      <c r="H497" s="22">
        <f t="shared" si="32"/>
        <v>82.98701239</v>
      </c>
      <c r="I497" s="22">
        <f t="shared" si="3"/>
        <v>0.6338340622</v>
      </c>
      <c r="J497" s="22">
        <f t="shared" si="33"/>
        <v>-0.2478291183</v>
      </c>
    </row>
    <row r="498" ht="15.75" customHeight="1">
      <c r="A498" s="25">
        <f>IFERROR(__xludf.DUMMYFUNCTION("""COMPUTED_VALUE"""),39612.666666666664)</f>
        <v>39612.66667</v>
      </c>
      <c r="B498" s="22">
        <f>IFERROR(__xludf.DUMMYFUNCTION("""COMPUTED_VALUE"""),1360.03)</f>
        <v>1360.03</v>
      </c>
      <c r="C498" s="22">
        <f t="shared" si="6"/>
        <v>1360.6333</v>
      </c>
      <c r="D498" s="25">
        <f>IFERROR(__xludf.DUMMYFUNCTION("""COMPUTED_VALUE"""),39612.99861111111)</f>
        <v>39612.99861</v>
      </c>
      <c r="E498" s="22">
        <f>IFERROR(__xludf.DUMMYFUNCTION("""COMPUTED_VALUE"""),1.5378)</f>
        <v>1.5378</v>
      </c>
      <c r="F498" s="22">
        <f t="shared" si="8"/>
        <v>141.6465283</v>
      </c>
      <c r="G498" s="22">
        <f t="shared" si="31"/>
        <v>40.04247186</v>
      </c>
      <c r="H498" s="22">
        <f t="shared" si="32"/>
        <v>81.03200766</v>
      </c>
      <c r="I498" s="22">
        <f t="shared" si="3"/>
        <v>0.6502796202</v>
      </c>
      <c r="J498" s="22">
        <f t="shared" si="33"/>
        <v>-0.2454805566</v>
      </c>
    </row>
    <row r="499" ht="15.75" customHeight="1">
      <c r="A499" s="25">
        <f>IFERROR(__xludf.DUMMYFUNCTION("""COMPUTED_VALUE"""),39619.666666666664)</f>
        <v>39619.66667</v>
      </c>
      <c r="B499" s="22">
        <f>IFERROR(__xludf.DUMMYFUNCTION("""COMPUTED_VALUE"""),1317.93)</f>
        <v>1317.93</v>
      </c>
      <c r="C499" s="22">
        <f t="shared" si="6"/>
        <v>1318.533012</v>
      </c>
      <c r="D499" s="25">
        <f>IFERROR(__xludf.DUMMYFUNCTION("""COMPUTED_VALUE"""),39619.99861111111)</f>
        <v>39619.99861</v>
      </c>
      <c r="E499" s="22">
        <f>IFERROR(__xludf.DUMMYFUNCTION("""COMPUTED_VALUE"""),1.5622)</f>
        <v>1.5622</v>
      </c>
      <c r="F499" s="22">
        <f t="shared" si="8"/>
        <v>139.4416854</v>
      </c>
      <c r="G499" s="22">
        <f t="shared" si="31"/>
        <v>42.9055984</v>
      </c>
      <c r="H499" s="22">
        <f t="shared" si="32"/>
        <v>84.51741245</v>
      </c>
      <c r="I499" s="22">
        <f t="shared" si="3"/>
        <v>0.6401229036</v>
      </c>
      <c r="J499" s="22">
        <f t="shared" si="33"/>
        <v>-0.2683395212</v>
      </c>
    </row>
    <row r="500" ht="15.75" customHeight="1">
      <c r="A500" s="25">
        <f>IFERROR(__xludf.DUMMYFUNCTION("""COMPUTED_VALUE"""),39626.666666666664)</f>
        <v>39626.66667</v>
      </c>
      <c r="B500" s="22">
        <f>IFERROR(__xludf.DUMMYFUNCTION("""COMPUTED_VALUE"""),1278.38)</f>
        <v>1278.38</v>
      </c>
      <c r="C500" s="22">
        <f t="shared" si="6"/>
        <v>1278.964345</v>
      </c>
      <c r="D500" s="25">
        <f>IFERROR(__xludf.DUMMYFUNCTION("""COMPUTED_VALUE"""),39626.99861111111)</f>
        <v>39626.99861</v>
      </c>
      <c r="E500" s="22">
        <f>IFERROR(__xludf.DUMMYFUNCTION("""COMPUTED_VALUE"""),1.5747)</f>
        <v>1.5747</v>
      </c>
      <c r="F500" s="22">
        <f t="shared" si="8"/>
        <v>136.3393589</v>
      </c>
      <c r="G500" s="22">
        <f t="shared" si="31"/>
        <v>41.26124436</v>
      </c>
      <c r="H500" s="22">
        <f t="shared" si="32"/>
        <v>77.7154669</v>
      </c>
      <c r="I500" s="22">
        <f t="shared" si="3"/>
        <v>0.6350415952</v>
      </c>
      <c r="J500" s="22">
        <f t="shared" si="33"/>
        <v>-0.2702101988</v>
      </c>
    </row>
    <row r="501" ht="15.75" customHeight="1">
      <c r="A501" s="25">
        <f>IFERROR(__xludf.DUMMYFUNCTION("""COMPUTED_VALUE"""),39632.666666666664)</f>
        <v>39632.66667</v>
      </c>
      <c r="B501" s="22">
        <f>IFERROR(__xludf.DUMMYFUNCTION("""COMPUTED_VALUE"""),1262.9)</f>
        <v>1262.9</v>
      </c>
      <c r="C501" s="22">
        <f t="shared" si="6"/>
        <v>1263.46681</v>
      </c>
      <c r="D501" s="25">
        <f>IFERROR(__xludf.DUMMYFUNCTION("""COMPUTED_VALUE"""),39633.99861111111)</f>
        <v>39633.99861</v>
      </c>
      <c r="E501" s="22">
        <f>IFERROR(__xludf.DUMMYFUNCTION("""COMPUTED_VALUE"""),1.5708)</f>
        <v>1.5708</v>
      </c>
      <c r="F501" s="22">
        <f t="shared" si="8"/>
        <v>134.3537253</v>
      </c>
      <c r="G501" s="22">
        <f t="shared" si="31"/>
        <v>36.69952604</v>
      </c>
      <c r="H501" s="22">
        <f t="shared" si="32"/>
        <v>76.22820299</v>
      </c>
      <c r="I501" s="22">
        <f t="shared" si="3"/>
        <v>0.6366182837</v>
      </c>
      <c r="J501" s="22">
        <f t="shared" si="33"/>
        <v>-0.2820218997</v>
      </c>
    </row>
    <row r="502" ht="15.75" customHeight="1">
      <c r="A502" s="25">
        <f>IFERROR(__xludf.DUMMYFUNCTION("""COMPUTED_VALUE"""),39640.666666666664)</f>
        <v>39640.66667</v>
      </c>
      <c r="B502" s="22">
        <f>IFERROR(__xludf.DUMMYFUNCTION("""COMPUTED_VALUE"""),1239.49)</f>
        <v>1239.49</v>
      </c>
      <c r="C502" s="22">
        <f t="shared" si="6"/>
        <v>1240.049946</v>
      </c>
      <c r="D502" s="25">
        <f>IFERROR(__xludf.DUMMYFUNCTION("""COMPUTED_VALUE"""),39640.99861111111)</f>
        <v>39640.99861</v>
      </c>
      <c r="E502" s="22">
        <f>IFERROR(__xludf.DUMMYFUNCTION("""COMPUTED_VALUE"""),1.5941)</f>
        <v>1.5941</v>
      </c>
      <c r="F502" s="22">
        <f t="shared" si="8"/>
        <v>133.8195983</v>
      </c>
      <c r="G502" s="22">
        <f t="shared" si="31"/>
        <v>33.66086091</v>
      </c>
      <c r="H502" s="22">
        <f t="shared" si="32"/>
        <v>76.64248019</v>
      </c>
      <c r="I502" s="22">
        <f t="shared" si="3"/>
        <v>0.6273132175</v>
      </c>
      <c r="J502" s="22">
        <f t="shared" si="33"/>
        <v>-0.2935825858</v>
      </c>
    </row>
    <row r="503" ht="15.75" customHeight="1">
      <c r="A503" s="25">
        <f>IFERROR(__xludf.DUMMYFUNCTION("""COMPUTED_VALUE"""),39647.666666666664)</f>
        <v>39647.66667</v>
      </c>
      <c r="B503" s="22">
        <f>IFERROR(__xludf.DUMMYFUNCTION("""COMPUTED_VALUE"""),1260.68)</f>
        <v>1260.68</v>
      </c>
      <c r="C503" s="22">
        <f t="shared" si="6"/>
        <v>1261.229566</v>
      </c>
      <c r="D503" s="25">
        <f>IFERROR(__xludf.DUMMYFUNCTION("""COMPUTED_VALUE"""),39647.99861111111)</f>
        <v>39647.99861</v>
      </c>
      <c r="E503" s="22">
        <f>IFERROR(__xludf.DUMMYFUNCTION("""COMPUTED_VALUE"""),1.5852)</f>
        <v>1.5852</v>
      </c>
      <c r="F503" s="22">
        <f t="shared" si="8"/>
        <v>135.3453032</v>
      </c>
      <c r="G503" s="22">
        <f t="shared" si="31"/>
        <v>34.38564463</v>
      </c>
      <c r="H503" s="22">
        <f t="shared" si="32"/>
        <v>73.85414453</v>
      </c>
      <c r="I503" s="22">
        <f t="shared" si="3"/>
        <v>0.6308352258</v>
      </c>
      <c r="J503" s="22">
        <f t="shared" si="33"/>
        <v>-0.2739086551</v>
      </c>
    </row>
    <row r="504" ht="15.75" customHeight="1">
      <c r="A504" s="25">
        <f>IFERROR(__xludf.DUMMYFUNCTION("""COMPUTED_VALUE"""),39654.666666666664)</f>
        <v>39654.66667</v>
      </c>
      <c r="B504" s="22">
        <f>IFERROR(__xludf.DUMMYFUNCTION("""COMPUTED_VALUE"""),1257.76)</f>
        <v>1257.76</v>
      </c>
      <c r="C504" s="22">
        <f t="shared" si="6"/>
        <v>1258.318962</v>
      </c>
      <c r="D504" s="25">
        <f>IFERROR(__xludf.DUMMYFUNCTION("""COMPUTED_VALUE"""),39654.99861111111)</f>
        <v>39654.99861</v>
      </c>
      <c r="E504" s="22">
        <f>IFERROR(__xludf.DUMMYFUNCTION("""COMPUTED_VALUE"""),1.5671)</f>
        <v>1.5671</v>
      </c>
      <c r="F504" s="22">
        <f t="shared" si="8"/>
        <v>133.4911376</v>
      </c>
      <c r="G504" s="22">
        <f t="shared" si="31"/>
        <v>31.73658615</v>
      </c>
      <c r="H504" s="22">
        <f t="shared" si="32"/>
        <v>78.27467515</v>
      </c>
      <c r="I504" s="22">
        <f t="shared" si="3"/>
        <v>0.6381213707</v>
      </c>
      <c r="J504" s="22">
        <f t="shared" si="33"/>
        <v>-0.2801990939</v>
      </c>
    </row>
    <row r="505" ht="15.75" customHeight="1">
      <c r="A505" s="25">
        <f>IFERROR(__xludf.DUMMYFUNCTION("""COMPUTED_VALUE"""),39661.666666666664)</f>
        <v>39661.66667</v>
      </c>
      <c r="B505" s="22">
        <f>IFERROR(__xludf.DUMMYFUNCTION("""COMPUTED_VALUE"""),1260.31)</f>
        <v>1260.31</v>
      </c>
      <c r="C505" s="22">
        <f t="shared" si="6"/>
        <v>1260.867667</v>
      </c>
      <c r="D505" s="25">
        <f>IFERROR(__xludf.DUMMYFUNCTION("""COMPUTED_VALUE"""),39662.99861111111)</f>
        <v>39662.99861</v>
      </c>
      <c r="E505" s="22">
        <f>IFERROR(__xludf.DUMMYFUNCTION("""COMPUTED_VALUE"""),1.5565)</f>
        <v>1.5565</v>
      </c>
      <c r="F505" s="22">
        <f t="shared" si="8"/>
        <v>132.8567473</v>
      </c>
      <c r="G505" s="22">
        <f t="shared" si="31"/>
        <v>28.28884115</v>
      </c>
      <c r="H505" s="22">
        <f t="shared" si="32"/>
        <v>77.45288463</v>
      </c>
      <c r="I505" s="22">
        <f t="shared" si="3"/>
        <v>0.6424670736</v>
      </c>
      <c r="J505" s="22">
        <f t="shared" si="33"/>
        <v>-0.2734982332</v>
      </c>
    </row>
    <row r="506" ht="15.75" customHeight="1">
      <c r="A506" s="25">
        <f>IFERROR(__xludf.DUMMYFUNCTION("""COMPUTED_VALUE"""),39668.666666666664)</f>
        <v>39668.66667</v>
      </c>
      <c r="B506" s="22">
        <f>IFERROR(__xludf.DUMMYFUNCTION("""COMPUTED_VALUE"""),1296.32)</f>
        <v>1296.32</v>
      </c>
      <c r="C506" s="22">
        <f t="shared" si="6"/>
        <v>1296.878798</v>
      </c>
      <c r="D506" s="25">
        <f>IFERROR(__xludf.DUMMYFUNCTION("""COMPUTED_VALUE"""),39669.99861111111)</f>
        <v>39669.99861</v>
      </c>
      <c r="E506" s="22">
        <f>IFERROR(__xludf.DUMMYFUNCTION("""COMPUTED_VALUE"""),1.5045)</f>
        <v>1.5045</v>
      </c>
      <c r="F506" s="22">
        <f t="shared" si="8"/>
        <v>132.0859319</v>
      </c>
      <c r="G506" s="22">
        <f t="shared" si="31"/>
        <v>27.45041704</v>
      </c>
      <c r="H506" s="22">
        <f t="shared" si="32"/>
        <v>74.82005645</v>
      </c>
      <c r="I506" s="22">
        <f t="shared" si="3"/>
        <v>0.6646726487</v>
      </c>
      <c r="J506" s="22">
        <f t="shared" si="33"/>
        <v>-0.2515121303</v>
      </c>
    </row>
    <row r="507" ht="15.75" customHeight="1">
      <c r="A507" s="25">
        <f>IFERROR(__xludf.DUMMYFUNCTION("""COMPUTED_VALUE"""),39675.666666666664)</f>
        <v>39675.66667</v>
      </c>
      <c r="B507" s="22">
        <f>IFERROR(__xludf.DUMMYFUNCTION("""COMPUTED_VALUE"""),1298.2)</f>
        <v>1298.2</v>
      </c>
      <c r="C507" s="22">
        <f t="shared" si="6"/>
        <v>1298.774764</v>
      </c>
      <c r="D507" s="25">
        <f>IFERROR(__xludf.DUMMYFUNCTION("""COMPUTED_VALUE"""),39676.99861111111)</f>
        <v>39676.99861</v>
      </c>
      <c r="E507" s="22">
        <f>IFERROR(__xludf.DUMMYFUNCTION("""COMPUTED_VALUE"""),1.4694)</f>
        <v>1.4694</v>
      </c>
      <c r="F507" s="22">
        <f t="shared" si="8"/>
        <v>129.1929632</v>
      </c>
      <c r="G507" s="22">
        <f t="shared" si="31"/>
        <v>28.76262299</v>
      </c>
      <c r="H507" s="22">
        <f t="shared" si="32"/>
        <v>76.60442321</v>
      </c>
      <c r="I507" s="22">
        <f t="shared" si="3"/>
        <v>0.6805498843</v>
      </c>
      <c r="J507" s="22">
        <f t="shared" si="33"/>
        <v>-0.2597658908</v>
      </c>
    </row>
    <row r="508" ht="15.75" customHeight="1">
      <c r="A508" s="25">
        <f>IFERROR(__xludf.DUMMYFUNCTION("""COMPUTED_VALUE"""),39682.666666666664)</f>
        <v>39682.66667</v>
      </c>
      <c r="B508" s="22">
        <f>IFERROR(__xludf.DUMMYFUNCTION("""COMPUTED_VALUE"""),1292.2)</f>
        <v>1292.2</v>
      </c>
      <c r="C508" s="22">
        <f t="shared" si="6"/>
        <v>1292.775597</v>
      </c>
      <c r="D508" s="25">
        <f>IFERROR(__xludf.DUMMYFUNCTION("""COMPUTED_VALUE"""),39683.99861111111)</f>
        <v>39683.99861</v>
      </c>
      <c r="E508" s="22">
        <f>IFERROR(__xludf.DUMMYFUNCTION("""COMPUTED_VALUE"""),1.48)</f>
        <v>1.48</v>
      </c>
      <c r="F508" s="22">
        <f t="shared" si="8"/>
        <v>129.5238794</v>
      </c>
      <c r="G508" s="22">
        <f t="shared" si="31"/>
        <v>29.14741661</v>
      </c>
      <c r="H508" s="22">
        <f t="shared" si="32"/>
        <v>72.83925712</v>
      </c>
      <c r="I508" s="22">
        <f t="shared" si="3"/>
        <v>0.6756756757</v>
      </c>
      <c r="J508" s="22">
        <f t="shared" si="33"/>
        <v>-0.2583108108</v>
      </c>
    </row>
    <row r="509" ht="15.75" customHeight="1">
      <c r="A509" s="25">
        <f>IFERROR(__xludf.DUMMYFUNCTION("""COMPUTED_VALUE"""),39689.666666666664)</f>
        <v>39689.66667</v>
      </c>
      <c r="B509" s="22">
        <f>IFERROR(__xludf.DUMMYFUNCTION("""COMPUTED_VALUE"""),1282.83)</f>
        <v>1282.83</v>
      </c>
      <c r="C509" s="22">
        <f t="shared" si="6"/>
        <v>1283.402937</v>
      </c>
      <c r="D509" s="25">
        <f>IFERROR(__xludf.DUMMYFUNCTION("""COMPUTED_VALUE"""),39689.99861111111)</f>
        <v>39689.99861</v>
      </c>
      <c r="E509" s="22">
        <f>IFERROR(__xludf.DUMMYFUNCTION("""COMPUTED_VALUE"""),1.4665)</f>
        <v>1.4665</v>
      </c>
      <c r="F509" s="22">
        <f t="shared" si="8"/>
        <v>127.4119254</v>
      </c>
      <c r="G509" s="22">
        <f t="shared" si="31"/>
        <v>23.32670946</v>
      </c>
      <c r="H509" s="22">
        <f t="shared" si="32"/>
        <v>65.81970114</v>
      </c>
      <c r="I509" s="22">
        <f t="shared" si="3"/>
        <v>0.68189567</v>
      </c>
      <c r="J509" s="22">
        <f t="shared" si="33"/>
        <v>-0.2425502898</v>
      </c>
    </row>
    <row r="510" ht="15.75" customHeight="1">
      <c r="A510" s="25">
        <f>IFERROR(__xludf.DUMMYFUNCTION("""COMPUTED_VALUE"""),39696.666666666664)</f>
        <v>39696.66667</v>
      </c>
      <c r="B510" s="22">
        <f>IFERROR(__xludf.DUMMYFUNCTION("""COMPUTED_VALUE"""),1242.31)</f>
        <v>1242.31</v>
      </c>
      <c r="C510" s="22">
        <f t="shared" si="6"/>
        <v>1242.878783</v>
      </c>
      <c r="D510" s="25">
        <f>IFERROR(__xludf.DUMMYFUNCTION("""COMPUTED_VALUE"""),39696.99861111111)</f>
        <v>39696.99861</v>
      </c>
      <c r="E510" s="22">
        <f>IFERROR(__xludf.DUMMYFUNCTION("""COMPUTED_VALUE"""),1.4269)</f>
        <v>1.4269</v>
      </c>
      <c r="F510" s="22">
        <f t="shared" si="8"/>
        <v>120.0569468</v>
      </c>
      <c r="G510" s="22">
        <f t="shared" si="31"/>
        <v>15.24508168</v>
      </c>
      <c r="H510" s="22">
        <f t="shared" si="32"/>
        <v>54.15490342</v>
      </c>
      <c r="I510" s="22">
        <f t="shared" si="3"/>
        <v>0.7008199594</v>
      </c>
      <c r="J510" s="22">
        <f t="shared" si="33"/>
        <v>-0.2088443479</v>
      </c>
    </row>
    <row r="511" ht="15.75" customHeight="1">
      <c r="A511" s="25">
        <f>IFERROR(__xludf.DUMMYFUNCTION("""COMPUTED_VALUE"""),39703.666666666664)</f>
        <v>39703.66667</v>
      </c>
      <c r="B511" s="22">
        <f>IFERROR(__xludf.DUMMYFUNCTION("""COMPUTED_VALUE"""),1251.7)</f>
        <v>1251.7</v>
      </c>
      <c r="C511" s="22">
        <f t="shared" si="6"/>
        <v>1252.250817</v>
      </c>
      <c r="D511" s="25">
        <f>IFERROR(__xludf.DUMMYFUNCTION("""COMPUTED_VALUE"""),39703.99861111111)</f>
        <v>39703.99861</v>
      </c>
      <c r="E511" s="22">
        <f>IFERROR(__xludf.DUMMYFUNCTION("""COMPUTED_VALUE"""),1.4227)</f>
        <v>1.4227</v>
      </c>
      <c r="F511" s="22">
        <f t="shared" si="8"/>
        <v>120.606201</v>
      </c>
      <c r="G511" s="22">
        <f t="shared" si="31"/>
        <v>17.59518449</v>
      </c>
      <c r="H511" s="22">
        <f t="shared" si="32"/>
        <v>51.07010054</v>
      </c>
      <c r="I511" s="22">
        <f t="shared" si="3"/>
        <v>0.7028888733</v>
      </c>
      <c r="J511" s="22">
        <f t="shared" si="33"/>
        <v>-0.2004639067</v>
      </c>
    </row>
    <row r="512" ht="15.75" customHeight="1">
      <c r="A512" s="25">
        <f>IFERROR(__xludf.DUMMYFUNCTION("""COMPUTED_VALUE"""),39710.666666666664)</f>
        <v>39710.66667</v>
      </c>
      <c r="B512" s="22">
        <f>IFERROR(__xludf.DUMMYFUNCTION("""COMPUTED_VALUE"""),1255.08)</f>
        <v>1255.08</v>
      </c>
      <c r="C512" s="22">
        <f t="shared" si="6"/>
        <v>1255.63498</v>
      </c>
      <c r="D512" s="25">
        <f>IFERROR(__xludf.DUMMYFUNCTION("""COMPUTED_VALUE"""),39710.99861111111)</f>
        <v>39710.99861</v>
      </c>
      <c r="E512" s="22">
        <f>IFERROR(__xludf.DUMMYFUNCTION("""COMPUTED_VALUE"""),1.4458)</f>
        <v>1.4458</v>
      </c>
      <c r="F512" s="22">
        <f t="shared" si="8"/>
        <v>122.8956777</v>
      </c>
      <c r="G512" s="22">
        <f t="shared" si="31"/>
        <v>24.05475783</v>
      </c>
      <c r="H512" s="22">
        <f t="shared" si="32"/>
        <v>58.83897041</v>
      </c>
      <c r="I512" s="22">
        <f t="shared" si="3"/>
        <v>0.6916585973</v>
      </c>
      <c r="J512" s="22">
        <f t="shared" si="33"/>
        <v>-0.2073592475</v>
      </c>
    </row>
    <row r="513" ht="15.75" customHeight="1">
      <c r="A513" s="25">
        <f>IFERROR(__xludf.DUMMYFUNCTION("""COMPUTED_VALUE"""),39717.666666666664)</f>
        <v>39717.66667</v>
      </c>
      <c r="B513" s="22">
        <f>IFERROR(__xludf.DUMMYFUNCTION("""COMPUTED_VALUE"""),1213.27)</f>
        <v>1213.27</v>
      </c>
      <c r="C513" s="22">
        <f t="shared" si="6"/>
        <v>1213.826479</v>
      </c>
      <c r="D513" s="25">
        <f>IFERROR(__xludf.DUMMYFUNCTION("""COMPUTED_VALUE"""),39717.99861111111)</f>
        <v>39717.99861</v>
      </c>
      <c r="E513" s="22">
        <f>IFERROR(__xludf.DUMMYFUNCTION("""COMPUTED_VALUE"""),1.4586)</f>
        <v>1.4586</v>
      </c>
      <c r="F513" s="22">
        <f t="shared" si="8"/>
        <v>119.8554533</v>
      </c>
      <c r="G513" s="22">
        <f t="shared" si="31"/>
        <v>19.76573847</v>
      </c>
      <c r="H513" s="22">
        <f t="shared" si="32"/>
        <v>48.44787226</v>
      </c>
      <c r="I513" s="22">
        <f t="shared" si="3"/>
        <v>0.6855889209</v>
      </c>
      <c r="J513" s="22">
        <f t="shared" si="33"/>
        <v>-0.2063622652</v>
      </c>
    </row>
    <row r="514" ht="15.75" customHeight="1">
      <c r="A514" s="25">
        <f>IFERROR(__xludf.DUMMYFUNCTION("""COMPUTED_VALUE"""),39724.666666666664)</f>
        <v>39724.66667</v>
      </c>
      <c r="B514" s="22">
        <f>IFERROR(__xludf.DUMMYFUNCTION("""COMPUTED_VALUE"""),1099.23)</f>
        <v>1099.23</v>
      </c>
      <c r="C514" s="22">
        <f t="shared" si="6"/>
        <v>1099.767941</v>
      </c>
      <c r="D514" s="25">
        <f>IFERROR(__xludf.DUMMYFUNCTION("""COMPUTED_VALUE"""),39724.99861111111)</f>
        <v>39724.99861</v>
      </c>
      <c r="E514" s="22">
        <f>IFERROR(__xludf.DUMMYFUNCTION("""COMPUTED_VALUE"""),1.3779)</f>
        <v>1.3779</v>
      </c>
      <c r="F514" s="22">
        <f t="shared" si="8"/>
        <v>102.5849705</v>
      </c>
      <c r="G514" s="22">
        <f t="shared" si="31"/>
        <v>4.44140374</v>
      </c>
      <c r="H514" s="22">
        <f t="shared" si="32"/>
        <v>23.62687716</v>
      </c>
      <c r="I514" s="22">
        <f t="shared" si="3"/>
        <v>0.7257420713</v>
      </c>
      <c r="J514" s="22">
        <f t="shared" si="33"/>
        <v>-0.1434066333</v>
      </c>
    </row>
    <row r="515" ht="15.75" customHeight="1">
      <c r="A515" s="25">
        <f>IFERROR(__xludf.DUMMYFUNCTION("""COMPUTED_VALUE"""),39731.666666666664)</f>
        <v>39731.66667</v>
      </c>
      <c r="B515" s="22">
        <f>IFERROR(__xludf.DUMMYFUNCTION("""COMPUTED_VALUE"""),899.22)</f>
        <v>899.22</v>
      </c>
      <c r="C515" s="22">
        <f t="shared" si="6"/>
        <v>899.7073778</v>
      </c>
      <c r="D515" s="25">
        <f>IFERROR(__xludf.DUMMYFUNCTION("""COMPUTED_VALUE"""),39731.99861111111)</f>
        <v>39731.99861</v>
      </c>
      <c r="E515" s="22">
        <f>IFERROR(__xludf.DUMMYFUNCTION("""COMPUTED_VALUE"""),1.3394)</f>
        <v>1.3394</v>
      </c>
      <c r="F515" s="22">
        <f t="shared" si="8"/>
        <v>81.5786584</v>
      </c>
      <c r="G515" s="22">
        <f t="shared" si="31"/>
        <v>-15.92381206</v>
      </c>
      <c r="H515" s="22">
        <f t="shared" si="32"/>
        <v>-0.7566218336</v>
      </c>
      <c r="I515" s="22">
        <f t="shared" si="3"/>
        <v>0.7466029565</v>
      </c>
      <c r="J515" s="22">
        <f t="shared" si="33"/>
        <v>-0.1281170673</v>
      </c>
    </row>
    <row r="516" ht="15.75" customHeight="1">
      <c r="A516" s="25">
        <f>IFERROR(__xludf.DUMMYFUNCTION("""COMPUTED_VALUE"""),39738.666666666664)</f>
        <v>39738.66667</v>
      </c>
      <c r="B516" s="22">
        <f>IFERROR(__xludf.DUMMYFUNCTION("""COMPUTED_VALUE"""),940.55)</f>
        <v>940.55</v>
      </c>
      <c r="C516" s="22">
        <f t="shared" si="6"/>
        <v>940.9486971</v>
      </c>
      <c r="D516" s="25">
        <f>IFERROR(__xludf.DUMMYFUNCTION("""COMPUTED_VALUE"""),39738.99861111111)</f>
        <v>39738.99861</v>
      </c>
      <c r="E516" s="22">
        <f>IFERROR(__xludf.DUMMYFUNCTION("""COMPUTED_VALUE"""),1.3407)</f>
        <v>1.3407</v>
      </c>
      <c r="F516" s="22">
        <f t="shared" si="8"/>
        <v>85.40091761</v>
      </c>
      <c r="G516" s="22">
        <f t="shared" si="31"/>
        <v>-10.66455197</v>
      </c>
      <c r="H516" s="22">
        <f t="shared" si="32"/>
        <v>4.06172692</v>
      </c>
      <c r="I516" s="22">
        <f t="shared" si="3"/>
        <v>0.7458790184</v>
      </c>
      <c r="J516" s="22">
        <f t="shared" si="33"/>
        <v>-0.12157828</v>
      </c>
    </row>
    <row r="517" ht="15.75" customHeight="1">
      <c r="A517" s="25">
        <f>IFERROR(__xludf.DUMMYFUNCTION("""COMPUTED_VALUE"""),39745.666666666664)</f>
        <v>39745.66667</v>
      </c>
      <c r="B517" s="22">
        <f>IFERROR(__xludf.DUMMYFUNCTION("""COMPUTED_VALUE"""),876.77)</f>
        <v>876.77</v>
      </c>
      <c r="C517" s="22">
        <f t="shared" si="6"/>
        <v>877.1870221</v>
      </c>
      <c r="D517" s="25">
        <f>IFERROR(__xludf.DUMMYFUNCTION("""COMPUTED_VALUE"""),39745.99861111111)</f>
        <v>39745.99861</v>
      </c>
      <c r="E517" s="22">
        <f>IFERROR(__xludf.DUMMYFUNCTION("""COMPUTED_VALUE"""),1.2622)</f>
        <v>1.2622</v>
      </c>
      <c r="F517" s="22">
        <f t="shared" si="8"/>
        <v>74.95236761</v>
      </c>
      <c r="G517" s="22">
        <f t="shared" si="31"/>
        <v>-23.43925824</v>
      </c>
      <c r="H517" s="22">
        <f t="shared" si="32"/>
        <v>-9.042099648</v>
      </c>
      <c r="I517" s="22">
        <f t="shared" si="3"/>
        <v>0.7922674695</v>
      </c>
      <c r="J517" s="22">
        <f t="shared" si="33"/>
        <v>-0.08255427032</v>
      </c>
    </row>
    <row r="518" ht="15.75" customHeight="1">
      <c r="A518" s="25">
        <f>IFERROR(__xludf.DUMMYFUNCTION("""COMPUTED_VALUE"""),39752.666666666664)</f>
        <v>39752.66667</v>
      </c>
      <c r="B518" s="22">
        <f>IFERROR(__xludf.DUMMYFUNCTION("""COMPUTED_VALUE"""),968.75)</f>
        <v>968.75</v>
      </c>
      <c r="C518" s="22">
        <f t="shared" si="6"/>
        <v>969.1387432</v>
      </c>
      <c r="D518" s="25">
        <f>IFERROR(__xludf.DUMMYFUNCTION("""COMPUTED_VALUE"""),39752.99861111111)</f>
        <v>39752.99861</v>
      </c>
      <c r="E518" s="22">
        <f>IFERROR(__xludf.DUMMYFUNCTION("""COMPUTED_VALUE"""),1.2693)</f>
        <v>1.2693</v>
      </c>
      <c r="F518" s="22">
        <f t="shared" si="8"/>
        <v>83.2751106</v>
      </c>
      <c r="G518" s="22">
        <f t="shared" si="31"/>
        <v>-14.68447942</v>
      </c>
      <c r="H518" s="22">
        <f t="shared" si="32"/>
        <v>1.359889672</v>
      </c>
      <c r="I518" s="22">
        <f t="shared" si="3"/>
        <v>0.787835815</v>
      </c>
      <c r="J518" s="22">
        <f t="shared" si="33"/>
        <v>-0.09257070826</v>
      </c>
    </row>
    <row r="519" ht="15.75" customHeight="1">
      <c r="A519" s="25">
        <f>IFERROR(__xludf.DUMMYFUNCTION("""COMPUTED_VALUE"""),39759.666666666664)</f>
        <v>39759.66667</v>
      </c>
      <c r="B519" s="22">
        <f>IFERROR(__xludf.DUMMYFUNCTION("""COMPUTED_VALUE"""),930.99)</f>
        <v>930.99</v>
      </c>
      <c r="C519" s="22">
        <f t="shared" si="6"/>
        <v>931.4195254</v>
      </c>
      <c r="D519" s="25">
        <f>IFERROR(__xludf.DUMMYFUNCTION("""COMPUTED_VALUE"""),39759.99861111111)</f>
        <v>39759.99861</v>
      </c>
      <c r="E519" s="22">
        <f>IFERROR(__xludf.DUMMYFUNCTION("""COMPUTED_VALUE"""),1.2709)</f>
        <v>1.2709</v>
      </c>
      <c r="F519" s="22">
        <f t="shared" si="8"/>
        <v>80.13490012</v>
      </c>
      <c r="G519" s="22">
        <f t="shared" si="31"/>
        <v>-18.33896158</v>
      </c>
      <c r="H519" s="22">
        <f t="shared" si="32"/>
        <v>-4.33155332</v>
      </c>
      <c r="I519" s="22">
        <f t="shared" si="3"/>
        <v>0.7868439688</v>
      </c>
      <c r="J519" s="22">
        <f t="shared" si="33"/>
        <v>-0.07349122669</v>
      </c>
    </row>
    <row r="520" ht="15.75" customHeight="1">
      <c r="A520" s="25">
        <f>IFERROR(__xludf.DUMMYFUNCTION("""COMPUTED_VALUE"""),39766.666666666664)</f>
        <v>39766.66667</v>
      </c>
      <c r="B520" s="22">
        <f>IFERROR(__xludf.DUMMYFUNCTION("""COMPUTED_VALUE"""),873.29)</f>
        <v>873.29</v>
      </c>
      <c r="C520" s="22">
        <f t="shared" si="6"/>
        <v>873.7027833</v>
      </c>
      <c r="D520" s="25">
        <f>IFERROR(__xludf.DUMMYFUNCTION("""COMPUTED_VALUE"""),39766.99861111111)</f>
        <v>39766.99861</v>
      </c>
      <c r="E520" s="22">
        <f>IFERROR(__xludf.DUMMYFUNCTION("""COMPUTED_VALUE"""),1.2593)</f>
        <v>1.2593</v>
      </c>
      <c r="F520" s="22">
        <f t="shared" si="8"/>
        <v>74.48312766</v>
      </c>
      <c r="G520" s="22">
        <f t="shared" si="31"/>
        <v>-25.17100162</v>
      </c>
      <c r="H520" s="22">
        <f t="shared" si="32"/>
        <v>-10.85995642</v>
      </c>
      <c r="I520" s="22">
        <f t="shared" si="3"/>
        <v>0.7940919558</v>
      </c>
      <c r="J520" s="22">
        <f t="shared" si="33"/>
        <v>-0.05368061622</v>
      </c>
    </row>
    <row r="521" ht="15.75" customHeight="1">
      <c r="A521" s="25">
        <f>IFERROR(__xludf.DUMMYFUNCTION("""COMPUTED_VALUE"""),39773.666666666664)</f>
        <v>39773.66667</v>
      </c>
      <c r="B521" s="22">
        <f>IFERROR(__xludf.DUMMYFUNCTION("""COMPUTED_VALUE"""),800.03)</f>
        <v>800.03</v>
      </c>
      <c r="C521" s="22">
        <f t="shared" si="6"/>
        <v>800.4172003</v>
      </c>
      <c r="D521" s="25">
        <f>IFERROR(__xludf.DUMMYFUNCTION("""COMPUTED_VALUE"""),39773.99861111111)</f>
        <v>39773.99861</v>
      </c>
      <c r="E521" s="22">
        <f>IFERROR(__xludf.DUMMYFUNCTION("""COMPUTED_VALUE"""),1.2584)</f>
        <v>1.2584</v>
      </c>
      <c r="F521" s="22">
        <f t="shared" si="8"/>
        <v>68.18676785</v>
      </c>
      <c r="G521" s="22">
        <f t="shared" si="31"/>
        <v>-32.26499666</v>
      </c>
      <c r="H521" s="22">
        <f t="shared" si="32"/>
        <v>-20.62778258</v>
      </c>
      <c r="I521" s="22">
        <f t="shared" si="3"/>
        <v>0.7946598856</v>
      </c>
      <c r="J521" s="22">
        <f t="shared" si="33"/>
        <v>-0.04744119517</v>
      </c>
    </row>
    <row r="522" ht="15.75" customHeight="1">
      <c r="A522" s="25">
        <f>IFERROR(__xludf.DUMMYFUNCTION("""COMPUTED_VALUE"""),39780.666666666664)</f>
        <v>39780.66667</v>
      </c>
      <c r="B522" s="22">
        <f>IFERROR(__xludf.DUMMYFUNCTION("""COMPUTED_VALUE"""),896.24)</f>
        <v>896.24</v>
      </c>
      <c r="C522" s="22">
        <f t="shared" si="6"/>
        <v>896.5947182</v>
      </c>
      <c r="D522" s="25">
        <f>IFERROR(__xludf.DUMMYFUNCTION("""COMPUTED_VALUE"""),39780.99861111111)</f>
        <v>39780.99861</v>
      </c>
      <c r="E522" s="22">
        <f>IFERROR(__xludf.DUMMYFUNCTION("""COMPUTED_VALUE"""),1.2693)</f>
        <v>1.2693</v>
      </c>
      <c r="F522" s="22">
        <f t="shared" si="8"/>
        <v>77.04162572</v>
      </c>
      <c r="G522" s="22">
        <f t="shared" si="31"/>
        <v>-23.20558035</v>
      </c>
      <c r="H522" s="22">
        <f t="shared" si="32"/>
        <v>-12.03094116</v>
      </c>
      <c r="I522" s="22">
        <f t="shared" si="3"/>
        <v>0.787835815</v>
      </c>
      <c r="J522" s="22">
        <f t="shared" si="33"/>
        <v>-0.04025841015</v>
      </c>
    </row>
    <row r="523" ht="15.75" customHeight="1">
      <c r="A523" s="25">
        <f>IFERROR(__xludf.DUMMYFUNCTION("""COMPUTED_VALUE"""),39787.666666666664)</f>
        <v>39787.66667</v>
      </c>
      <c r="B523" s="22">
        <f>IFERROR(__xludf.DUMMYFUNCTION("""COMPUTED_VALUE"""),876.07)</f>
        <v>876.07</v>
      </c>
      <c r="C523" s="22">
        <f t="shared" si="6"/>
        <v>876.4673759</v>
      </c>
      <c r="D523" s="25">
        <f>IFERROR(__xludf.DUMMYFUNCTION("""COMPUTED_VALUE"""),39787.99861111111)</f>
        <v>39787.99861</v>
      </c>
      <c r="E523" s="22">
        <f>IFERROR(__xludf.DUMMYFUNCTION("""COMPUTED_VALUE"""),1.2715)</f>
        <v>1.2715</v>
      </c>
      <c r="F523" s="22">
        <f t="shared" si="8"/>
        <v>75.44267905</v>
      </c>
      <c r="G523" s="22">
        <f t="shared" si="31"/>
        <v>-25.12989852</v>
      </c>
      <c r="H523" s="22">
        <f t="shared" si="32"/>
        <v>-15.52190729</v>
      </c>
      <c r="I523" s="22">
        <f t="shared" si="3"/>
        <v>0.7864726701</v>
      </c>
      <c r="J523" s="22">
        <f t="shared" si="33"/>
        <v>-0.03452615022</v>
      </c>
    </row>
    <row r="524" ht="15.75" customHeight="1">
      <c r="A524" s="25">
        <f>IFERROR(__xludf.DUMMYFUNCTION("""COMPUTED_VALUE"""),39794.666666666664)</f>
        <v>39794.66667</v>
      </c>
      <c r="B524" s="22">
        <f>IFERROR(__xludf.DUMMYFUNCTION("""COMPUTED_VALUE"""),879.73)</f>
        <v>879.73</v>
      </c>
      <c r="C524" s="22">
        <f t="shared" si="6"/>
        <v>880.1184329</v>
      </c>
      <c r="D524" s="25">
        <f>IFERROR(__xludf.DUMMYFUNCTION("""COMPUTED_VALUE"""),39794.99861111111)</f>
        <v>39794.99861</v>
      </c>
      <c r="E524" s="22">
        <f>IFERROR(__xludf.DUMMYFUNCTION("""COMPUTED_VALUE"""),1.3348)</f>
        <v>1.3348</v>
      </c>
      <c r="F524" s="22">
        <f t="shared" si="8"/>
        <v>79.52840953</v>
      </c>
      <c r="G524" s="22">
        <f t="shared" si="31"/>
        <v>-22.85628465</v>
      </c>
      <c r="H524" s="22">
        <f t="shared" si="32"/>
        <v>-12.8664216</v>
      </c>
      <c r="I524" s="22">
        <f t="shared" si="3"/>
        <v>0.7491759065</v>
      </c>
      <c r="J524" s="22">
        <f t="shared" si="33"/>
        <v>-0.07259514534</v>
      </c>
    </row>
    <row r="525" ht="15.75" customHeight="1">
      <c r="A525" s="25">
        <f>IFERROR(__xludf.DUMMYFUNCTION("""COMPUTED_VALUE"""),39801.666666666664)</f>
        <v>39801.66667</v>
      </c>
      <c r="B525" s="22">
        <f>IFERROR(__xludf.DUMMYFUNCTION("""COMPUTED_VALUE"""),887.88)</f>
        <v>887.88</v>
      </c>
      <c r="C525" s="22">
        <f t="shared" si="6"/>
        <v>888.2700556</v>
      </c>
      <c r="D525" s="25">
        <f>IFERROR(__xludf.DUMMYFUNCTION("""COMPUTED_VALUE"""),39801.99861111111)</f>
        <v>39801.99861</v>
      </c>
      <c r="E525" s="22">
        <f>IFERROR(__xludf.DUMMYFUNCTION("""COMPUTED_VALUE"""),1.3921)</f>
        <v>1.3921</v>
      </c>
      <c r="F525" s="22">
        <f t="shared" si="8"/>
        <v>83.71059673</v>
      </c>
      <c r="G525" s="22">
        <f t="shared" si="31"/>
        <v>-17.92883631</v>
      </c>
      <c r="H525" s="22">
        <f t="shared" si="32"/>
        <v>-9.189587527</v>
      </c>
      <c r="I525" s="22">
        <f t="shared" si="3"/>
        <v>0.7183391998</v>
      </c>
      <c r="J525" s="22">
        <f t="shared" si="33"/>
        <v>-0.1078227139</v>
      </c>
    </row>
    <row r="526" ht="15.75" customHeight="1">
      <c r="A526" s="25">
        <f>IFERROR(__xludf.DUMMYFUNCTION("""COMPUTED_VALUE"""),39808.666666666664)</f>
        <v>39808.66667</v>
      </c>
      <c r="B526" s="22">
        <f>IFERROR(__xludf.DUMMYFUNCTION("""COMPUTED_VALUE"""),872.8)</f>
        <v>872.8</v>
      </c>
      <c r="C526" s="22">
        <f t="shared" si="6"/>
        <v>873.1936692</v>
      </c>
      <c r="D526" s="25">
        <f>IFERROR(__xludf.DUMMYFUNCTION("""COMPUTED_VALUE"""),39808.99861111111)</f>
        <v>39808.99861</v>
      </c>
      <c r="E526" s="22">
        <f>IFERROR(__xludf.DUMMYFUNCTION("""COMPUTED_VALUE"""),1.4023)</f>
        <v>1.4023</v>
      </c>
      <c r="F526" s="22">
        <f t="shared" si="8"/>
        <v>82.89273989</v>
      </c>
      <c r="G526" s="22">
        <f t="shared" si="31"/>
        <v>-17.07682087</v>
      </c>
      <c r="H526" s="22">
        <f t="shared" si="32"/>
        <v>-12.29220926</v>
      </c>
      <c r="I526" s="22">
        <f t="shared" si="3"/>
        <v>0.7131141696</v>
      </c>
      <c r="J526" s="22">
        <f t="shared" si="33"/>
        <v>-0.1022605719</v>
      </c>
    </row>
    <row r="527" ht="15.75" customHeight="1">
      <c r="A527" s="25">
        <f>IFERROR(__xludf.DUMMYFUNCTION("""COMPUTED_VALUE"""),39815.666666666664)</f>
        <v>39815.66667</v>
      </c>
      <c r="B527" s="22">
        <f>IFERROR(__xludf.DUMMYFUNCTION("""COMPUTED_VALUE"""),931.8)</f>
        <v>931.8</v>
      </c>
      <c r="C527" s="22">
        <f t="shared" si="6"/>
        <v>932.186983</v>
      </c>
      <c r="D527" s="25">
        <f>IFERROR(__xludf.DUMMYFUNCTION("""COMPUTED_VALUE"""),39815.99861111111)</f>
        <v>39815.99861</v>
      </c>
      <c r="E527" s="22">
        <f>IFERROR(__xludf.DUMMYFUNCTION("""COMPUTED_VALUE"""),1.3918)</f>
        <v>1.3918</v>
      </c>
      <c r="F527" s="22">
        <f t="shared" si="8"/>
        <v>87.8303976</v>
      </c>
      <c r="G527" s="22">
        <f t="shared" si="31"/>
        <v>-16.97861663</v>
      </c>
      <c r="H527" s="22">
        <f t="shared" si="32"/>
        <v>-9.794634432</v>
      </c>
      <c r="I527" s="22">
        <f t="shared" si="3"/>
        <v>0.7184940365</v>
      </c>
      <c r="J527" s="22">
        <f t="shared" si="33"/>
        <v>-0.07924989223</v>
      </c>
    </row>
    <row r="528" ht="15.75" customHeight="1">
      <c r="A528" s="25">
        <f>IFERROR(__xludf.DUMMYFUNCTION("""COMPUTED_VALUE"""),39822.666666666664)</f>
        <v>39822.66667</v>
      </c>
      <c r="B528" s="22">
        <f>IFERROR(__xludf.DUMMYFUNCTION("""COMPUTED_VALUE"""),890.35)</f>
        <v>890.35</v>
      </c>
      <c r="C528" s="22">
        <f t="shared" si="6"/>
        <v>890.7631425</v>
      </c>
      <c r="D528" s="25">
        <f>IFERROR(__xludf.DUMMYFUNCTION("""COMPUTED_VALUE"""),39822.99861111111)</f>
        <v>39822.99861</v>
      </c>
      <c r="E528" s="22">
        <f>IFERROR(__xludf.DUMMYFUNCTION("""COMPUTED_VALUE"""),1.3452)</f>
        <v>1.3452</v>
      </c>
      <c r="F528" s="22">
        <f t="shared" si="8"/>
        <v>81.11741079</v>
      </c>
      <c r="G528" s="22">
        <f t="shared" si="31"/>
        <v>-23.23248966</v>
      </c>
      <c r="H528" s="22">
        <f t="shared" si="32"/>
        <v>-15.20271704</v>
      </c>
      <c r="I528" s="22">
        <f t="shared" si="3"/>
        <v>0.7433838834</v>
      </c>
      <c r="J528" s="22">
        <f t="shared" si="33"/>
        <v>-0.07879869164</v>
      </c>
    </row>
    <row r="529" ht="15.75" customHeight="1">
      <c r="A529" s="25">
        <f>IFERROR(__xludf.DUMMYFUNCTION("""COMPUTED_VALUE"""),39829.666666666664)</f>
        <v>39829.66667</v>
      </c>
      <c r="B529" s="22">
        <f>IFERROR(__xludf.DUMMYFUNCTION("""COMPUTED_VALUE"""),850.12)</f>
        <v>850.12</v>
      </c>
      <c r="C529" s="22">
        <f t="shared" si="6"/>
        <v>850.5147643</v>
      </c>
      <c r="D529" s="25">
        <f>IFERROR(__xludf.DUMMYFUNCTION("""COMPUTED_VALUE"""),39829.99861111111)</f>
        <v>39829.99861</v>
      </c>
      <c r="E529" s="22">
        <f>IFERROR(__xludf.DUMMYFUNCTION("""COMPUTED_VALUE"""),1.3287)</f>
        <v>1.3287</v>
      </c>
      <c r="F529" s="22">
        <f t="shared" si="8"/>
        <v>76.50217358</v>
      </c>
      <c r="G529" s="22">
        <f t="shared" si="31"/>
        <v>-26.21757728</v>
      </c>
      <c r="H529" s="22">
        <f t="shared" si="32"/>
        <v>-21.33609295</v>
      </c>
      <c r="I529" s="22">
        <f t="shared" si="3"/>
        <v>0.7526153383</v>
      </c>
      <c r="J529" s="22">
        <f t="shared" si="33"/>
        <v>-0.05328516595</v>
      </c>
    </row>
    <row r="530" ht="15.75" customHeight="1">
      <c r="A530" s="25">
        <f>IFERROR(__xludf.DUMMYFUNCTION("""COMPUTED_VALUE"""),39836.666666666664)</f>
        <v>39836.66667</v>
      </c>
      <c r="B530" s="22">
        <f>IFERROR(__xludf.DUMMYFUNCTION("""COMPUTED_VALUE"""),831.95)</f>
        <v>831.95</v>
      </c>
      <c r="C530" s="22">
        <f t="shared" si="6"/>
        <v>832.3269271</v>
      </c>
      <c r="D530" s="25">
        <f>IFERROR(__xludf.DUMMYFUNCTION("""COMPUTED_VALUE"""),39836.99861111111)</f>
        <v>39836.99861</v>
      </c>
      <c r="E530" s="22">
        <f>IFERROR(__xludf.DUMMYFUNCTION("""COMPUTED_VALUE"""),1.2965)</f>
        <v>1.2965</v>
      </c>
      <c r="F530" s="22">
        <f t="shared" si="8"/>
        <v>73.05188866</v>
      </c>
      <c r="G530" s="22">
        <f t="shared" si="31"/>
        <v>-30.53513465</v>
      </c>
      <c r="H530" s="22">
        <f t="shared" si="32"/>
        <v>-23.53508408</v>
      </c>
      <c r="I530" s="22">
        <f t="shared" si="3"/>
        <v>0.771307366</v>
      </c>
      <c r="J530" s="22">
        <f t="shared" si="33"/>
        <v>-0.03810258388</v>
      </c>
    </row>
    <row r="531" ht="15.75" customHeight="1">
      <c r="A531" s="25">
        <f>IFERROR(__xludf.DUMMYFUNCTION("""COMPUTED_VALUE"""),39843.666666666664)</f>
        <v>39843.66667</v>
      </c>
      <c r="B531" s="22">
        <f>IFERROR(__xludf.DUMMYFUNCTION("""COMPUTED_VALUE"""),825.88)</f>
        <v>825.88</v>
      </c>
      <c r="C531" s="22">
        <f t="shared" si="6"/>
        <v>826.2488709</v>
      </c>
      <c r="D531" s="25">
        <f>IFERROR(__xludf.DUMMYFUNCTION("""COMPUTED_VALUE"""),39843.99861111111)</f>
        <v>39843.99861</v>
      </c>
      <c r="E531" s="22">
        <f>IFERROR(__xludf.DUMMYFUNCTION("""COMPUTED_VALUE"""),1.2833)</f>
        <v>1.2833</v>
      </c>
      <c r="F531" s="22">
        <f t="shared" si="8"/>
        <v>71.78009945</v>
      </c>
      <c r="G531" s="22">
        <f t="shared" si="31"/>
        <v>-30.26718283</v>
      </c>
      <c r="H531" s="22">
        <f t="shared" si="32"/>
        <v>-27.00067931</v>
      </c>
      <c r="I531" s="22">
        <f t="shared" si="3"/>
        <v>0.7792410192</v>
      </c>
      <c r="J531" s="22">
        <f t="shared" si="33"/>
        <v>-0.009974285046</v>
      </c>
    </row>
    <row r="532" ht="15.75" customHeight="1">
      <c r="A532" s="25">
        <f>IFERROR(__xludf.DUMMYFUNCTION("""COMPUTED_VALUE"""),39850.666666666664)</f>
        <v>39850.66667</v>
      </c>
      <c r="B532" s="22">
        <f>IFERROR(__xludf.DUMMYFUNCTION("""COMPUTED_VALUE"""),868.6)</f>
        <v>868.6</v>
      </c>
      <c r="C532" s="22">
        <f t="shared" si="6"/>
        <v>868.9661796</v>
      </c>
      <c r="D532" s="25">
        <f>IFERROR(__xludf.DUMMYFUNCTION("""COMPUTED_VALUE"""),39850.99861111111)</f>
        <v>39850.99861</v>
      </c>
      <c r="E532" s="22">
        <f>IFERROR(__xludf.DUMMYFUNCTION("""COMPUTED_VALUE"""),1.2922)</f>
        <v>1.2922</v>
      </c>
      <c r="F532" s="22">
        <f t="shared" si="8"/>
        <v>76.01470126</v>
      </c>
      <c r="G532" s="22">
        <f t="shared" si="31"/>
        <v>-26.56957711</v>
      </c>
      <c r="H532" s="22">
        <f t="shared" si="32"/>
        <v>-23.00926383</v>
      </c>
      <c r="I532" s="22">
        <f t="shared" si="3"/>
        <v>0.7738740133</v>
      </c>
      <c r="J532" s="22">
        <f t="shared" si="33"/>
        <v>-0.01540009286</v>
      </c>
    </row>
    <row r="533" ht="15.75" customHeight="1">
      <c r="A533" s="25">
        <f>IFERROR(__xludf.DUMMYFUNCTION("""COMPUTED_VALUE"""),39857.666666666664)</f>
        <v>39857.66667</v>
      </c>
      <c r="B533" s="22">
        <f>IFERROR(__xludf.DUMMYFUNCTION("""COMPUTED_VALUE"""),826.84)</f>
        <v>826.84</v>
      </c>
      <c r="C533" s="22">
        <f t="shared" si="6"/>
        <v>827.2251208</v>
      </c>
      <c r="D533" s="25">
        <f>IFERROR(__xludf.DUMMYFUNCTION("""COMPUTED_VALUE"""),39857.99861111111)</f>
        <v>39857.99861</v>
      </c>
      <c r="E533" s="22">
        <f>IFERROR(__xludf.DUMMYFUNCTION("""COMPUTED_VALUE"""),1.2862)</f>
        <v>1.2862</v>
      </c>
      <c r="F533" s="22">
        <f t="shared" si="8"/>
        <v>72.02731109</v>
      </c>
      <c r="G533" s="22">
        <f t="shared" si="31"/>
        <v>-30.71729781</v>
      </c>
      <c r="H533" s="22">
        <f t="shared" si="32"/>
        <v>-25.86157231</v>
      </c>
      <c r="I533" s="22">
        <f t="shared" si="3"/>
        <v>0.7774840616</v>
      </c>
      <c r="J533" s="22">
        <f t="shared" si="33"/>
        <v>-0.0251904836</v>
      </c>
    </row>
    <row r="534" ht="15.75" customHeight="1">
      <c r="A534" s="25">
        <f>IFERROR(__xludf.DUMMYFUNCTION("""COMPUTED_VALUE"""),39864.666666666664)</f>
        <v>39864.66667</v>
      </c>
      <c r="B534" s="22">
        <f>IFERROR(__xludf.DUMMYFUNCTION("""COMPUTED_VALUE"""),770.05)</f>
        <v>770.05</v>
      </c>
      <c r="C534" s="22">
        <f t="shared" si="6"/>
        <v>770.4166052</v>
      </c>
      <c r="D534" s="25">
        <f>IFERROR(__xludf.DUMMYFUNCTION("""COMPUTED_VALUE"""),39864.99861111111)</f>
        <v>39864.99861</v>
      </c>
      <c r="E534" s="22">
        <f>IFERROR(__xludf.DUMMYFUNCTION("""COMPUTED_VALUE"""),1.2929)</f>
        <v>1.2929</v>
      </c>
      <c r="F534" s="22">
        <f t="shared" si="8"/>
        <v>67.43037155</v>
      </c>
      <c r="G534" s="22">
        <f t="shared" si="31"/>
        <v>-34.96604836</v>
      </c>
      <c r="H534" s="22">
        <f t="shared" si="32"/>
        <v>-30.37137794</v>
      </c>
      <c r="I534" s="22">
        <f t="shared" si="3"/>
        <v>0.7734550236</v>
      </c>
      <c r="J534" s="22">
        <f t="shared" si="33"/>
        <v>-0.03403202104</v>
      </c>
    </row>
    <row r="535" ht="15.75" customHeight="1">
      <c r="A535" s="25">
        <f>IFERROR(__xludf.DUMMYFUNCTION("""COMPUTED_VALUE"""),39871.666666666664)</f>
        <v>39871.66667</v>
      </c>
      <c r="B535" s="22">
        <f>IFERROR(__xludf.DUMMYFUNCTION("""COMPUTED_VALUE"""),735.09)</f>
        <v>735.09</v>
      </c>
      <c r="C535" s="22">
        <f t="shared" si="6"/>
        <v>735.4314256</v>
      </c>
      <c r="D535" s="25">
        <f>IFERROR(__xludf.DUMMYFUNCTION("""COMPUTED_VALUE"""),39871.99861111111)</f>
        <v>39871.99861</v>
      </c>
      <c r="E535" s="22">
        <f>IFERROR(__xludf.DUMMYFUNCTION("""COMPUTED_VALUE"""),1.2676)</f>
        <v>1.2676</v>
      </c>
      <c r="F535" s="22">
        <f t="shared" si="8"/>
        <v>63.10872363</v>
      </c>
      <c r="G535" s="22">
        <f t="shared" si="31"/>
        <v>-39.86586362</v>
      </c>
      <c r="H535" s="22">
        <f t="shared" si="32"/>
        <v>-34.84778159</v>
      </c>
      <c r="I535" s="22">
        <f t="shared" si="3"/>
        <v>0.7888923951</v>
      </c>
      <c r="J535" s="22">
        <f t="shared" si="33"/>
        <v>-0.02469233197</v>
      </c>
    </row>
    <row r="536" ht="15.75" customHeight="1">
      <c r="A536" s="25">
        <f>IFERROR(__xludf.DUMMYFUNCTION("""COMPUTED_VALUE"""),39878.666666666664)</f>
        <v>39878.66667</v>
      </c>
      <c r="B536" s="22">
        <f>IFERROR(__xludf.DUMMYFUNCTION("""COMPUTED_VALUE"""),683.38)</f>
        <v>683.38</v>
      </c>
      <c r="C536" s="22">
        <f t="shared" si="6"/>
        <v>683.705925</v>
      </c>
      <c r="D536" s="25">
        <f>IFERROR(__xludf.DUMMYFUNCTION("""COMPUTED_VALUE"""),39878.99861111111)</f>
        <v>39878.99861</v>
      </c>
      <c r="E536" s="22">
        <f>IFERROR(__xludf.DUMMYFUNCTION("""COMPUTED_VALUE"""),1.2635)</f>
        <v>1.2635</v>
      </c>
      <c r="F536" s="22">
        <f t="shared" si="8"/>
        <v>58.48029735</v>
      </c>
      <c r="G536" s="22">
        <f t="shared" si="31"/>
        <v>-43.41476146</v>
      </c>
      <c r="H536" s="22">
        <f t="shared" si="32"/>
        <v>-36.93918727</v>
      </c>
      <c r="I536" s="22">
        <f t="shared" si="3"/>
        <v>0.791452315</v>
      </c>
      <c r="J536" s="22">
        <f t="shared" si="33"/>
        <v>-0.0329244163</v>
      </c>
    </row>
    <row r="537" ht="15.75" customHeight="1">
      <c r="A537" s="25">
        <f>IFERROR(__xludf.DUMMYFUNCTION("""COMPUTED_VALUE"""),39885.666666666664)</f>
        <v>39885.66667</v>
      </c>
      <c r="B537" s="22">
        <f>IFERROR(__xludf.DUMMYFUNCTION("""COMPUTED_VALUE"""),756.55)</f>
        <v>756.55</v>
      </c>
      <c r="C537" s="22">
        <f t="shared" si="6"/>
        <v>756.8529978</v>
      </c>
      <c r="D537" s="25">
        <f>IFERROR(__xludf.DUMMYFUNCTION("""COMPUTED_VALUE"""),39885.99861111111)</f>
        <v>39885.99861</v>
      </c>
      <c r="E537" s="22">
        <f>IFERROR(__xludf.DUMMYFUNCTION("""COMPUTED_VALUE"""),1.2927)</f>
        <v>1.2927</v>
      </c>
      <c r="F537" s="22">
        <f t="shared" si="8"/>
        <v>66.23297559</v>
      </c>
      <c r="G537" s="22">
        <f t="shared" si="31"/>
        <v>-38.62467273</v>
      </c>
      <c r="H537" s="22">
        <f t="shared" si="32"/>
        <v>-28.24372034</v>
      </c>
      <c r="I537" s="22">
        <f t="shared" si="3"/>
        <v>0.7735746886</v>
      </c>
      <c r="J537" s="22">
        <f t="shared" si="33"/>
        <v>-0.04997292489</v>
      </c>
    </row>
    <row r="538" ht="15.75" customHeight="1">
      <c r="A538" s="25">
        <f>IFERROR(__xludf.DUMMYFUNCTION("""COMPUTED_VALUE"""),39892.666666666664)</f>
        <v>39892.66667</v>
      </c>
      <c r="B538" s="22">
        <f>IFERROR(__xludf.DUMMYFUNCTION("""COMPUTED_VALUE"""),768.54)</f>
        <v>768.54</v>
      </c>
      <c r="C538" s="22">
        <f t="shared" si="6"/>
        <v>768.87544</v>
      </c>
      <c r="D538" s="25">
        <f>IFERROR(__xludf.DUMMYFUNCTION("""COMPUTED_VALUE"""),39892.99861111111)</f>
        <v>39892.99861</v>
      </c>
      <c r="E538" s="22">
        <f>IFERROR(__xludf.DUMMYFUNCTION("""COMPUTED_VALUE"""),1.3579)</f>
        <v>1.3579</v>
      </c>
      <c r="F538" s="22">
        <f t="shared" si="8"/>
        <v>70.67873359</v>
      </c>
      <c r="G538" s="22">
        <f t="shared" si="31"/>
        <v>-33.43206991</v>
      </c>
      <c r="H538" s="22">
        <f t="shared" si="32"/>
        <v>-22.25724179</v>
      </c>
      <c r="I538" s="22">
        <f t="shared" si="3"/>
        <v>0.7364312541</v>
      </c>
      <c r="J538" s="22">
        <f t="shared" si="33"/>
        <v>-0.1078135356</v>
      </c>
    </row>
    <row r="539" ht="15.75" customHeight="1">
      <c r="A539" s="25">
        <f>IFERROR(__xludf.DUMMYFUNCTION("""COMPUTED_VALUE"""),39899.666666666664)</f>
        <v>39899.66667</v>
      </c>
      <c r="B539" s="22">
        <f>IFERROR(__xludf.DUMMYFUNCTION("""COMPUTED_VALUE"""),815.94)</f>
        <v>815.94</v>
      </c>
      <c r="C539" s="22">
        <f t="shared" si="6"/>
        <v>816.2807561</v>
      </c>
      <c r="D539" s="25">
        <f>IFERROR(__xludf.DUMMYFUNCTION("""COMPUTED_VALUE"""),39899.99861111111)</f>
        <v>39899.99861</v>
      </c>
      <c r="E539" s="22">
        <f>IFERROR(__xludf.DUMMYFUNCTION("""COMPUTED_VALUE"""),1.3289)</f>
        <v>1.3289</v>
      </c>
      <c r="F539" s="22">
        <f t="shared" si="8"/>
        <v>73.43394196</v>
      </c>
      <c r="G539" s="22">
        <f t="shared" si="31"/>
        <v>-30.85745197</v>
      </c>
      <c r="H539" s="22">
        <f t="shared" si="32"/>
        <v>-21.65405044</v>
      </c>
      <c r="I539" s="22">
        <f t="shared" si="3"/>
        <v>0.7525020694</v>
      </c>
      <c r="J539" s="22">
        <f t="shared" si="33"/>
        <v>-0.0878922417</v>
      </c>
    </row>
    <row r="540" ht="15.75" customHeight="1">
      <c r="A540" s="25">
        <f>IFERROR(__xludf.DUMMYFUNCTION("""COMPUTED_VALUE"""),39906.666666666664)</f>
        <v>39906.66667</v>
      </c>
      <c r="B540" s="22">
        <f>IFERROR(__xludf.DUMMYFUNCTION("""COMPUTED_VALUE"""),842.5)</f>
        <v>842.5</v>
      </c>
      <c r="C540" s="22">
        <f t="shared" si="6"/>
        <v>842.8617724</v>
      </c>
      <c r="D540" s="25">
        <f>IFERROR(__xludf.DUMMYFUNCTION("""COMPUTED_VALUE"""),39906.99861111111)</f>
        <v>39906.99861</v>
      </c>
      <c r="E540" s="22">
        <f>IFERROR(__xludf.DUMMYFUNCTION("""COMPUTED_VALUE"""),1.3486)</f>
        <v>1.3486</v>
      </c>
      <c r="F540" s="22">
        <f t="shared" si="8"/>
        <v>76.94926835</v>
      </c>
      <c r="G540" s="22">
        <f t="shared" si="31"/>
        <v>-27.50100294</v>
      </c>
      <c r="H540" s="22">
        <f t="shared" si="32"/>
        <v>-17.56353389</v>
      </c>
      <c r="I540" s="22">
        <f t="shared" si="3"/>
        <v>0.7415097138</v>
      </c>
      <c r="J540" s="22">
        <f t="shared" si="33"/>
        <v>-0.1029956992</v>
      </c>
    </row>
    <row r="541" ht="15.75" customHeight="1">
      <c r="A541" s="25">
        <f>IFERROR(__xludf.DUMMYFUNCTION("""COMPUTED_VALUE"""),39912.666666666664)</f>
        <v>39912.66667</v>
      </c>
      <c r="B541" s="22">
        <f>IFERROR(__xludf.DUMMYFUNCTION("""COMPUTED_VALUE"""),856.56)</f>
        <v>856.56</v>
      </c>
      <c r="C541" s="22">
        <f t="shared" si="6"/>
        <v>856.9335486</v>
      </c>
      <c r="D541" s="25">
        <f>IFERROR(__xludf.DUMMYFUNCTION("""COMPUTED_VALUE"""),39913.99861111111)</f>
        <v>39913.99861</v>
      </c>
      <c r="E541" s="22">
        <f>IFERROR(__xludf.DUMMYFUNCTION("""COMPUTED_VALUE"""),1.3173)</f>
        <v>1.3173</v>
      </c>
      <c r="F541" s="22">
        <f t="shared" si="8"/>
        <v>76.41820282</v>
      </c>
      <c r="G541" s="22">
        <f t="shared" si="31"/>
        <v>-26.65312423</v>
      </c>
      <c r="H541" s="22">
        <f t="shared" si="32"/>
        <v>-16.98544832</v>
      </c>
      <c r="I541" s="22">
        <f t="shared" si="3"/>
        <v>0.7591285205</v>
      </c>
      <c r="J541" s="22">
        <f t="shared" si="33"/>
        <v>-0.09056403249</v>
      </c>
    </row>
    <row r="542" ht="15.75" customHeight="1">
      <c r="A542" s="25">
        <f>IFERROR(__xludf.DUMMYFUNCTION("""COMPUTED_VALUE"""),39920.666666666664)</f>
        <v>39920.66667</v>
      </c>
      <c r="B542" s="22">
        <f>IFERROR(__xludf.DUMMYFUNCTION("""COMPUTED_VALUE"""),869.6)</f>
        <v>869.6</v>
      </c>
      <c r="C542" s="22">
        <f t="shared" si="6"/>
        <v>869.9797825</v>
      </c>
      <c r="D542" s="25">
        <f>IFERROR(__xludf.DUMMYFUNCTION("""COMPUTED_VALUE"""),39920.99861111111)</f>
        <v>39920.99861</v>
      </c>
      <c r="E542" s="22">
        <f>IFERROR(__xludf.DUMMYFUNCTION("""COMPUTED_VALUE"""),1.304)</f>
        <v>1.304</v>
      </c>
      <c r="F542" s="22">
        <f t="shared" si="8"/>
        <v>76.79832252</v>
      </c>
      <c r="G542" s="22">
        <f t="shared" si="31"/>
        <v>-29.90936155</v>
      </c>
      <c r="H542" s="22">
        <f t="shared" si="32"/>
        <v>-16.04688178</v>
      </c>
      <c r="I542" s="22">
        <f t="shared" si="3"/>
        <v>0.7668711656</v>
      </c>
      <c r="J542" s="22">
        <f t="shared" si="33"/>
        <v>-0.09187116564</v>
      </c>
    </row>
    <row r="543" ht="15.75" customHeight="1">
      <c r="A543" s="25">
        <f>IFERROR(__xludf.DUMMYFUNCTION("""COMPUTED_VALUE"""),39927.666666666664)</f>
        <v>39927.66667</v>
      </c>
      <c r="B543" s="22">
        <f>IFERROR(__xludf.DUMMYFUNCTION("""COMPUTED_VALUE"""),866.23)</f>
        <v>866.23</v>
      </c>
      <c r="C543" s="22">
        <f t="shared" si="6"/>
        <v>866.6155642</v>
      </c>
      <c r="D543" s="25">
        <f>IFERROR(__xludf.DUMMYFUNCTION("""COMPUTED_VALUE"""),39927.99861111111)</f>
        <v>39927.99861</v>
      </c>
      <c r="E543" s="22">
        <f>IFERROR(__xludf.DUMMYFUNCTION("""COMPUTED_VALUE"""),1.3255)</f>
        <v>1.3255</v>
      </c>
      <c r="F543" s="22">
        <f t="shared" si="8"/>
        <v>77.76267632</v>
      </c>
      <c r="G543" s="22">
        <f t="shared" si="31"/>
        <v>-30.65204966</v>
      </c>
      <c r="H543" s="22">
        <f t="shared" si="32"/>
        <v>-13.44158054</v>
      </c>
      <c r="I543" s="22">
        <f t="shared" si="3"/>
        <v>0.7544322897</v>
      </c>
      <c r="J543" s="22">
        <f t="shared" si="33"/>
        <v>-0.09619011694</v>
      </c>
    </row>
    <row r="544" ht="15.75" customHeight="1">
      <c r="A544" s="25">
        <f>IFERROR(__xludf.DUMMYFUNCTION("""COMPUTED_VALUE"""),39934.666666666664)</f>
        <v>39934.66667</v>
      </c>
      <c r="B544" s="22">
        <f>IFERROR(__xludf.DUMMYFUNCTION("""COMPUTED_VALUE"""),877.52)</f>
        <v>877.52</v>
      </c>
      <c r="C544" s="22">
        <f t="shared" si="6"/>
        <v>877.90407</v>
      </c>
      <c r="D544" s="25">
        <f>IFERROR(__xludf.DUMMYFUNCTION("""COMPUTED_VALUE"""),39934.99861111111)</f>
        <v>39934.99861</v>
      </c>
      <c r="E544" s="22">
        <f>IFERROR(__xludf.DUMMYFUNCTION("""COMPUTED_VALUE"""),1.3261)</f>
        <v>1.3261</v>
      </c>
      <c r="F544" s="22">
        <f t="shared" si="8"/>
        <v>78.8112689</v>
      </c>
      <c r="G544" s="22">
        <f t="shared" si="31"/>
        <v>-31.01120126</v>
      </c>
      <c r="H544" s="22">
        <f t="shared" si="32"/>
        <v>-10.80991386</v>
      </c>
      <c r="I544" s="22">
        <f t="shared" si="3"/>
        <v>0.7540909434</v>
      </c>
      <c r="J544" s="22">
        <f t="shared" si="33"/>
        <v>-0.1045170048</v>
      </c>
    </row>
    <row r="545" ht="15.75" customHeight="1">
      <c r="A545" s="25">
        <f>IFERROR(__xludf.DUMMYFUNCTION("""COMPUTED_VALUE"""),39941.666666666664)</f>
        <v>39941.66667</v>
      </c>
      <c r="B545" s="22">
        <f>IFERROR(__xludf.DUMMYFUNCTION("""COMPUTED_VALUE"""),929.23)</f>
        <v>929.23</v>
      </c>
      <c r="C545" s="22">
        <f t="shared" si="6"/>
        <v>929.6190758</v>
      </c>
      <c r="D545" s="25">
        <f>IFERROR(__xludf.DUMMYFUNCTION("""COMPUTED_VALUE"""),39941.99861111111)</f>
        <v>39941.99861</v>
      </c>
      <c r="E545" s="22">
        <f>IFERROR(__xludf.DUMMYFUNCTION("""COMPUTED_VALUE"""),1.3637)</f>
        <v>1.3637</v>
      </c>
      <c r="F545" s="22">
        <f t="shared" si="8"/>
        <v>85.82006711</v>
      </c>
      <c r="G545" s="22">
        <f t="shared" si="31"/>
        <v>-24.01553239</v>
      </c>
      <c r="H545" s="22">
        <f t="shared" si="32"/>
        <v>-2.718475678</v>
      </c>
      <c r="I545" s="22">
        <f t="shared" si="3"/>
        <v>0.7332991127</v>
      </c>
      <c r="J545" s="22">
        <f t="shared" si="33"/>
        <v>-0.1282540148</v>
      </c>
    </row>
    <row r="546" ht="15.75" customHeight="1">
      <c r="A546" s="25">
        <f>IFERROR(__xludf.DUMMYFUNCTION("""COMPUTED_VALUE"""),39948.666666666664)</f>
        <v>39948.66667</v>
      </c>
      <c r="B546" s="22">
        <f>IFERROR(__xludf.DUMMYFUNCTION("""COMPUTED_VALUE"""),882.88)</f>
        <v>882.88</v>
      </c>
      <c r="C546" s="22">
        <f t="shared" si="6"/>
        <v>883.292003</v>
      </c>
      <c r="D546" s="25">
        <f>IFERROR(__xludf.DUMMYFUNCTION("""COMPUTED_VALUE"""),39948.99861111111)</f>
        <v>39948.99861</v>
      </c>
      <c r="E546" s="22">
        <f>IFERROR(__xludf.DUMMYFUNCTION("""COMPUTED_VALUE"""),1.3499)</f>
        <v>1.3499</v>
      </c>
      <c r="F546" s="22">
        <f t="shared" si="8"/>
        <v>80.71809028</v>
      </c>
      <c r="G546" s="22">
        <f t="shared" si="31"/>
        <v>-26.29956763</v>
      </c>
      <c r="H546" s="22">
        <f t="shared" si="32"/>
        <v>-9.329518937</v>
      </c>
      <c r="I546" s="22">
        <f t="shared" si="3"/>
        <v>0.7407956145</v>
      </c>
      <c r="J546" s="22">
        <f t="shared" si="33"/>
        <v>-0.1095636714</v>
      </c>
    </row>
    <row r="547" ht="15.75" customHeight="1">
      <c r="A547" s="25">
        <f>IFERROR(__xludf.DUMMYFUNCTION("""COMPUTED_VALUE"""),39955.666666666664)</f>
        <v>39955.66667</v>
      </c>
      <c r="B547" s="22">
        <f>IFERROR(__xludf.DUMMYFUNCTION("""COMPUTED_VALUE"""),887.0)</f>
        <v>887</v>
      </c>
      <c r="C547" s="22">
        <f t="shared" si="6"/>
        <v>887.3914523</v>
      </c>
      <c r="D547" s="25">
        <f>IFERROR(__xludf.DUMMYFUNCTION("""COMPUTED_VALUE"""),39955.99861111111)</f>
        <v>39955.99861</v>
      </c>
      <c r="E547" s="22">
        <f>IFERROR(__xludf.DUMMYFUNCTION("""COMPUTED_VALUE"""),1.4)</f>
        <v>1.4</v>
      </c>
      <c r="F547" s="22">
        <f t="shared" si="8"/>
        <v>84.10237481</v>
      </c>
      <c r="G547" s="22">
        <f t="shared" si="31"/>
        <v>-23.8170574</v>
      </c>
      <c r="H547" s="22">
        <f t="shared" si="32"/>
        <v>-9.262459719</v>
      </c>
      <c r="I547" s="22">
        <f t="shared" si="3"/>
        <v>0.7142857143</v>
      </c>
      <c r="J547" s="22">
        <f t="shared" si="33"/>
        <v>-0.1277142857</v>
      </c>
    </row>
    <row r="548" ht="15.75" customHeight="1">
      <c r="A548" s="25">
        <f>IFERROR(__xludf.DUMMYFUNCTION("""COMPUTED_VALUE"""),39962.666666666664)</f>
        <v>39962.66667</v>
      </c>
      <c r="B548" s="22">
        <f>IFERROR(__xludf.DUMMYFUNCTION("""COMPUTED_VALUE"""),919.14)</f>
        <v>919.14</v>
      </c>
      <c r="C548" s="22">
        <f t="shared" si="6"/>
        <v>919.533279</v>
      </c>
      <c r="D548" s="25">
        <f>IFERROR(__xludf.DUMMYFUNCTION("""COMPUTED_VALUE"""),39962.99861111111)</f>
        <v>39962.99861</v>
      </c>
      <c r="E548" s="22">
        <f>IFERROR(__xludf.DUMMYFUNCTION("""COMPUTED_VALUE"""),1.4154)</f>
        <v>1.4154</v>
      </c>
      <c r="F548" s="22">
        <f t="shared" si="8"/>
        <v>88.10724573</v>
      </c>
      <c r="G548" s="22">
        <f t="shared" si="31"/>
        <v>-21.81251244</v>
      </c>
      <c r="H548" s="22">
        <f t="shared" si="32"/>
        <v>-5.52991142</v>
      </c>
      <c r="I548" s="22">
        <f t="shared" si="3"/>
        <v>0.7065140596</v>
      </c>
      <c r="J548" s="22">
        <f t="shared" si="33"/>
        <v>-0.1332485516</v>
      </c>
    </row>
    <row r="549" ht="15.75" customHeight="1">
      <c r="A549" s="25">
        <f>IFERROR(__xludf.DUMMYFUNCTION("""COMPUTED_VALUE"""),39969.666666666664)</f>
        <v>39969.66667</v>
      </c>
      <c r="B549" s="22">
        <f>IFERROR(__xludf.DUMMYFUNCTION("""COMPUTED_VALUE"""),940.09)</f>
        <v>940.09</v>
      </c>
      <c r="C549" s="22">
        <f t="shared" si="6"/>
        <v>940.4975293</v>
      </c>
      <c r="D549" s="25">
        <f>IFERROR(__xludf.DUMMYFUNCTION("""COMPUTED_VALUE"""),39969.99861111111)</f>
        <v>39969.99861</v>
      </c>
      <c r="E549" s="22">
        <f>IFERROR(__xludf.DUMMYFUNCTION("""COMPUTED_VALUE"""),1.3969)</f>
        <v>1.3969</v>
      </c>
      <c r="F549" s="22">
        <f t="shared" si="8"/>
        <v>88.93812283</v>
      </c>
      <c r="G549" s="22">
        <f t="shared" si="31"/>
        <v>-17.02672949</v>
      </c>
      <c r="H549" s="22">
        <f t="shared" si="32"/>
        <v>-3.731313785</v>
      </c>
      <c r="I549" s="22">
        <f t="shared" si="3"/>
        <v>0.7158708569</v>
      </c>
      <c r="J549" s="22">
        <f t="shared" si="33"/>
        <v>-0.1407402105</v>
      </c>
    </row>
    <row r="550" ht="15.75" customHeight="1">
      <c r="A550" s="25">
        <f>IFERROR(__xludf.DUMMYFUNCTION("""COMPUTED_VALUE"""),39976.666666666664)</f>
        <v>39976.66667</v>
      </c>
      <c r="B550" s="22">
        <f>IFERROR(__xludf.DUMMYFUNCTION("""COMPUTED_VALUE"""),946.21)</f>
        <v>946.21</v>
      </c>
      <c r="C550" s="22">
        <f t="shared" si="6"/>
        <v>946.6268181</v>
      </c>
      <c r="D550" s="25">
        <f>IFERROR(__xludf.DUMMYFUNCTION("""COMPUTED_VALUE"""),39976.99861111111)</f>
        <v>39976.99861</v>
      </c>
      <c r="E550" s="22">
        <f>IFERROR(__xludf.DUMMYFUNCTION("""COMPUTED_VALUE"""),1.4)</f>
        <v>1.4</v>
      </c>
      <c r="F550" s="22">
        <f t="shared" si="8"/>
        <v>89.71639659</v>
      </c>
      <c r="G550" s="22">
        <f t="shared" si="31"/>
        <v>-16.24878389</v>
      </c>
      <c r="H550" s="22">
        <f t="shared" si="32"/>
        <v>-4.017394299</v>
      </c>
      <c r="I550" s="22">
        <f t="shared" si="3"/>
        <v>0.7142857143</v>
      </c>
      <c r="J550" s="22">
        <f t="shared" si="33"/>
        <v>-0.1328571429</v>
      </c>
    </row>
    <row r="551" ht="15.75" customHeight="1">
      <c r="A551" s="25">
        <f>IFERROR(__xludf.DUMMYFUNCTION("""COMPUTED_VALUE"""),39983.666666666664)</f>
        <v>39983.66667</v>
      </c>
      <c r="B551" s="22">
        <f>IFERROR(__xludf.DUMMYFUNCTION("""COMPUTED_VALUE"""),921.23)</f>
        <v>921.23</v>
      </c>
      <c r="C551" s="22">
        <f t="shared" si="6"/>
        <v>921.6495316</v>
      </c>
      <c r="D551" s="25">
        <f>IFERROR(__xludf.DUMMYFUNCTION("""COMPUTED_VALUE"""),39983.99861111111)</f>
        <v>39983.99861</v>
      </c>
      <c r="E551" s="22">
        <f>IFERROR(__xludf.DUMMYFUNCTION("""COMPUTED_VALUE"""),1.3945)</f>
        <v>1.3945</v>
      </c>
      <c r="F551" s="22">
        <f t="shared" si="8"/>
        <v>87.006021</v>
      </c>
      <c r="G551" s="22">
        <f t="shared" si="31"/>
        <v>-17.47074063</v>
      </c>
      <c r="H551" s="22">
        <f t="shared" si="32"/>
        <v>-7.139313095</v>
      </c>
      <c r="I551" s="22">
        <f t="shared" si="3"/>
        <v>0.7171029043</v>
      </c>
      <c r="J551" s="22">
        <f t="shared" si="33"/>
        <v>-0.1254930082</v>
      </c>
    </row>
    <row r="552" ht="15.75" customHeight="1">
      <c r="A552" s="25">
        <f>IFERROR(__xludf.DUMMYFUNCTION("""COMPUTED_VALUE"""),39990.666666666664)</f>
        <v>39990.66667</v>
      </c>
      <c r="B552" s="22">
        <f>IFERROR(__xludf.DUMMYFUNCTION("""COMPUTED_VALUE"""),918.9)</f>
        <v>918.9</v>
      </c>
      <c r="C552" s="22">
        <f t="shared" si="6"/>
        <v>919.3084559</v>
      </c>
      <c r="D552" s="25">
        <f>IFERROR(__xludf.DUMMYFUNCTION("""COMPUTED_VALUE"""),39990.99861111111)</f>
        <v>39990.99861</v>
      </c>
      <c r="E552" s="22">
        <f>IFERROR(__xludf.DUMMYFUNCTION("""COMPUTED_VALUE"""),1.4047)</f>
        <v>1.4047</v>
      </c>
      <c r="F552" s="22">
        <f t="shared" si="8"/>
        <v>87.41980224</v>
      </c>
      <c r="G552" s="22">
        <f t="shared" si="31"/>
        <v>-20.54640297</v>
      </c>
      <c r="H552" s="22">
        <f t="shared" si="32"/>
        <v>-6.833828311</v>
      </c>
      <c r="I552" s="22">
        <f t="shared" si="3"/>
        <v>0.7118957785</v>
      </c>
      <c r="J552" s="22">
        <f t="shared" si="33"/>
        <v>-0.1235851071</v>
      </c>
    </row>
    <row r="553" ht="15.75" customHeight="1">
      <c r="A553" s="25">
        <f>IFERROR(__xludf.DUMMYFUNCTION("""COMPUTED_VALUE"""),39996.666666666664)</f>
        <v>39996.66667</v>
      </c>
      <c r="B553" s="22">
        <f>IFERROR(__xludf.DUMMYFUNCTION("""COMPUTED_VALUE"""),896.42)</f>
        <v>896.42</v>
      </c>
      <c r="C553" s="22">
        <f t="shared" si="6"/>
        <v>896.8274229</v>
      </c>
      <c r="D553" s="25">
        <f>IFERROR(__xludf.DUMMYFUNCTION("""COMPUTED_VALUE"""),39998.99861111111)</f>
        <v>39998.99861</v>
      </c>
      <c r="E553" s="22">
        <f>IFERROR(__xludf.DUMMYFUNCTION("""COMPUTED_VALUE"""),1.3986)</f>
        <v>1.3986</v>
      </c>
      <c r="F553" s="22">
        <f t="shared" si="8"/>
        <v>84.91167066</v>
      </c>
      <c r="G553" s="22">
        <f t="shared" si="31"/>
        <v>-22.70816517</v>
      </c>
      <c r="H553" s="22">
        <f t="shared" si="32"/>
        <v>-9.236770802</v>
      </c>
      <c r="I553" s="22">
        <f t="shared" si="3"/>
        <v>0.715000715</v>
      </c>
      <c r="J553" s="22">
        <f t="shared" si="33"/>
        <v>-0.1124696125</v>
      </c>
    </row>
    <row r="554" ht="15.75" customHeight="1">
      <c r="A554" s="25">
        <f>IFERROR(__xludf.DUMMYFUNCTION("""COMPUTED_VALUE"""),40004.666666666664)</f>
        <v>40004.66667</v>
      </c>
      <c r="B554" s="22">
        <f>IFERROR(__xludf.DUMMYFUNCTION("""COMPUTED_VALUE"""),879.13)</f>
        <v>879.13</v>
      </c>
      <c r="C554" s="22">
        <f t="shared" si="6"/>
        <v>879.5274557</v>
      </c>
      <c r="D554" s="25">
        <f>IFERROR(__xludf.DUMMYFUNCTION("""COMPUTED_VALUE"""),40005.99861111111)</f>
        <v>40005.99861</v>
      </c>
      <c r="E554" s="22">
        <f>IFERROR(__xludf.DUMMYFUNCTION("""COMPUTED_VALUE"""),1.3936)</f>
        <v>1.3936</v>
      </c>
      <c r="F554" s="22">
        <f t="shared" si="8"/>
        <v>82.97600499</v>
      </c>
      <c r="G554" s="22">
        <f t="shared" si="31"/>
        <v>-21.64882156</v>
      </c>
      <c r="H554" s="22">
        <f t="shared" si="32"/>
        <v>-10.66682146</v>
      </c>
      <c r="I554" s="22">
        <f t="shared" si="3"/>
        <v>0.7175660161</v>
      </c>
      <c r="J554" s="22">
        <f t="shared" si="33"/>
        <v>-0.1064867968</v>
      </c>
    </row>
    <row r="555" ht="15.75" customHeight="1">
      <c r="A555" s="25">
        <f>IFERROR(__xludf.DUMMYFUNCTION("""COMPUTED_VALUE"""),40011.666666666664)</f>
        <v>40011.66667</v>
      </c>
      <c r="B555" s="22">
        <f>IFERROR(__xludf.DUMMYFUNCTION("""COMPUTED_VALUE"""),940.38)</f>
        <v>940.38</v>
      </c>
      <c r="C555" s="22">
        <f t="shared" si="6"/>
        <v>940.7697896</v>
      </c>
      <c r="D555" s="25">
        <f>IFERROR(__xludf.DUMMYFUNCTION("""COMPUTED_VALUE"""),40012.99861111111)</f>
        <v>40012.99861</v>
      </c>
      <c r="E555" s="22">
        <f>IFERROR(__xludf.DUMMYFUNCTION("""COMPUTED_VALUE"""),1.4101)</f>
        <v>1.4101</v>
      </c>
      <c r="F555" s="22">
        <f t="shared" si="8"/>
        <v>89.80453278</v>
      </c>
      <c r="G555" s="22">
        <f t="shared" si="31"/>
        <v>-15.77250734</v>
      </c>
      <c r="H555" s="22">
        <f t="shared" si="32"/>
        <v>0.8637792501</v>
      </c>
      <c r="I555" s="22">
        <f t="shared" si="3"/>
        <v>0.7091695624</v>
      </c>
      <c r="J555" s="22">
        <f t="shared" si="33"/>
        <v>-0.1416920786</v>
      </c>
    </row>
    <row r="556" ht="15.75" customHeight="1">
      <c r="A556" s="25">
        <f>IFERROR(__xludf.DUMMYFUNCTION("""COMPUTED_VALUE"""),40018.666666666664)</f>
        <v>40018.66667</v>
      </c>
      <c r="B556" s="22">
        <f>IFERROR(__xludf.DUMMYFUNCTION("""COMPUTED_VALUE"""),979.26)</f>
        <v>979.26</v>
      </c>
      <c r="C556" s="22">
        <f t="shared" si="6"/>
        <v>979.6769467</v>
      </c>
      <c r="D556" s="25">
        <f>IFERROR(__xludf.DUMMYFUNCTION("""COMPUTED_VALUE"""),40019.99861111111)</f>
        <v>40019.99861</v>
      </c>
      <c r="E556" s="22">
        <f>IFERROR(__xludf.DUMMYFUNCTION("""COMPUTED_VALUE"""),1.4201)</f>
        <v>1.4201</v>
      </c>
      <c r="F556" s="22">
        <f t="shared" si="8"/>
        <v>94.18175923</v>
      </c>
      <c r="G556" s="22">
        <f t="shared" si="31"/>
        <v>-14.65904391</v>
      </c>
      <c r="H556" s="22">
        <f t="shared" si="32"/>
        <v>5.090053147</v>
      </c>
      <c r="I556" s="22">
        <f t="shared" si="3"/>
        <v>0.7041757623</v>
      </c>
      <c r="J556" s="22">
        <f t="shared" si="33"/>
        <v>-0.1542144919</v>
      </c>
    </row>
    <row r="557" ht="15.75" customHeight="1">
      <c r="A557" s="25">
        <f>IFERROR(__xludf.DUMMYFUNCTION("""COMPUTED_VALUE"""),40025.666666666664)</f>
        <v>40025.66667</v>
      </c>
      <c r="B557" s="22">
        <f>IFERROR(__xludf.DUMMYFUNCTION("""COMPUTED_VALUE"""),987.48)</f>
        <v>987.48</v>
      </c>
      <c r="C557" s="22">
        <f t="shared" si="6"/>
        <v>987.9141854</v>
      </c>
      <c r="D557" s="25">
        <f>IFERROR(__xludf.DUMMYFUNCTION("""COMPUTED_VALUE"""),40025.99861111111)</f>
        <v>40025.99861</v>
      </c>
      <c r="E557" s="22">
        <f>IFERROR(__xludf.DUMMYFUNCTION("""COMPUTED_VALUE"""),1.4254)</f>
        <v>1.4254</v>
      </c>
      <c r="F557" s="22">
        <f t="shared" si="8"/>
        <v>95.32810466</v>
      </c>
      <c r="G557" s="22">
        <f t="shared" si="31"/>
        <v>-14.52781953</v>
      </c>
      <c r="H557" s="22">
        <f t="shared" si="32"/>
        <v>7.544159707</v>
      </c>
      <c r="I557" s="22">
        <f t="shared" si="3"/>
        <v>0.7015574576</v>
      </c>
      <c r="J557" s="22">
        <f t="shared" si="33"/>
        <v>-0.1370141715</v>
      </c>
    </row>
    <row r="558" ht="15.75" customHeight="1">
      <c r="A558" s="25">
        <f>IFERROR(__xludf.DUMMYFUNCTION("""COMPUTED_VALUE"""),40032.666666666664)</f>
        <v>40032.66667</v>
      </c>
      <c r="B558" s="22">
        <f>IFERROR(__xludf.DUMMYFUNCTION("""COMPUTED_VALUE"""),1010.48)</f>
        <v>1010.48</v>
      </c>
      <c r="C558" s="22">
        <f t="shared" si="6"/>
        <v>1010.91783</v>
      </c>
      <c r="D558" s="25">
        <f>IFERROR(__xludf.DUMMYFUNCTION("""COMPUTED_VALUE"""),40033.99861111111)</f>
        <v>40033.99861</v>
      </c>
      <c r="E558" s="22">
        <f>IFERROR(__xludf.DUMMYFUNCTION("""COMPUTED_VALUE"""),1.4168)</f>
        <v>1.4168</v>
      </c>
      <c r="F558" s="22">
        <f t="shared" si="8"/>
        <v>96.95928116</v>
      </c>
      <c r="G558" s="22">
        <f t="shared" si="31"/>
        <v>-11.10149853</v>
      </c>
      <c r="H558" s="22">
        <f t="shared" si="32"/>
        <v>8.673607886</v>
      </c>
      <c r="I558" s="22">
        <f t="shared" si="3"/>
        <v>0.7058159232</v>
      </c>
      <c r="J558" s="22">
        <f t="shared" si="33"/>
        <v>-0.1267645398</v>
      </c>
    </row>
    <row r="559" ht="15.75" customHeight="1">
      <c r="A559" s="25">
        <f>IFERROR(__xludf.DUMMYFUNCTION("""COMPUTED_VALUE"""),40039.666666666664)</f>
        <v>40039.66667</v>
      </c>
      <c r="B559" s="22">
        <f>IFERROR(__xludf.DUMMYFUNCTION("""COMPUTED_VALUE"""),1004.09)</f>
        <v>1004.09</v>
      </c>
      <c r="C559" s="22">
        <f t="shared" si="6"/>
        <v>1004.538028</v>
      </c>
      <c r="D559" s="25">
        <f>IFERROR(__xludf.DUMMYFUNCTION("""COMPUTED_VALUE"""),40040.99861111111)</f>
        <v>40040.99861</v>
      </c>
      <c r="E559" s="22">
        <f>IFERROR(__xludf.DUMMYFUNCTION("""COMPUTED_VALUE"""),1.4215)</f>
        <v>1.4215</v>
      </c>
      <c r="F559" s="22">
        <f t="shared" si="8"/>
        <v>96.66699727</v>
      </c>
      <c r="G559" s="22">
        <f t="shared" si="31"/>
        <v>-14.61428148</v>
      </c>
      <c r="H559" s="22">
        <f t="shared" si="32"/>
        <v>5.532616635</v>
      </c>
      <c r="I559" s="22">
        <f t="shared" si="3"/>
        <v>0.7034822371</v>
      </c>
      <c r="J559" s="22">
        <f t="shared" si="33"/>
        <v>-0.1337319733</v>
      </c>
    </row>
    <row r="560" ht="15.75" customHeight="1">
      <c r="A560" s="25">
        <f>IFERROR(__xludf.DUMMYFUNCTION("""COMPUTED_VALUE"""),40046.666666666664)</f>
        <v>40046.66667</v>
      </c>
      <c r="B560" s="22">
        <f>IFERROR(__xludf.DUMMYFUNCTION("""COMPUTED_VALUE"""),1026.13)</f>
        <v>1026.13</v>
      </c>
      <c r="C560" s="22">
        <f t="shared" si="6"/>
        <v>1026.575195</v>
      </c>
      <c r="D560" s="25">
        <f>IFERROR(__xludf.DUMMYFUNCTION("""COMPUTED_VALUE"""),40047.99861111111)</f>
        <v>40047.99861</v>
      </c>
      <c r="E560" s="22">
        <f>IFERROR(__xludf.DUMMYFUNCTION("""COMPUTED_VALUE"""),1.4302)</f>
        <v>1.4302</v>
      </c>
      <c r="F560" s="22">
        <f t="shared" si="8"/>
        <v>99.39225002</v>
      </c>
      <c r="G560" s="22">
        <f t="shared" si="31"/>
        <v>-11.14504664</v>
      </c>
      <c r="H560" s="22">
        <f t="shared" si="32"/>
        <v>10.28888294</v>
      </c>
      <c r="I560" s="22">
        <f t="shared" si="3"/>
        <v>0.6992029087</v>
      </c>
      <c r="J560" s="22">
        <f t="shared" si="33"/>
        <v>-0.1601174661</v>
      </c>
    </row>
    <row r="561" ht="15.75" customHeight="1">
      <c r="A561" s="25">
        <f>IFERROR(__xludf.DUMMYFUNCTION("""COMPUTED_VALUE"""),40053.666666666664)</f>
        <v>40053.66667</v>
      </c>
      <c r="B561" s="22">
        <f>IFERROR(__xludf.DUMMYFUNCTION("""COMPUTED_VALUE"""),1028.93)</f>
        <v>1028.93</v>
      </c>
      <c r="C561" s="22">
        <f t="shared" si="6"/>
        <v>1029.384967</v>
      </c>
      <c r="D561" s="25">
        <f>IFERROR(__xludf.DUMMYFUNCTION("""COMPUTED_VALUE"""),40054.99861111111)</f>
        <v>40054.99861</v>
      </c>
      <c r="E561" s="22">
        <f>IFERROR(__xludf.DUMMYFUNCTION("""COMPUTED_VALUE"""),1.4302)</f>
        <v>1.4302</v>
      </c>
      <c r="F561" s="22">
        <f t="shared" si="8"/>
        <v>99.66429008</v>
      </c>
      <c r="G561" s="22">
        <f t="shared" si="31"/>
        <v>-12.53179413</v>
      </c>
      <c r="H561" s="22">
        <f t="shared" si="32"/>
        <v>9.652638012</v>
      </c>
      <c r="I561" s="22">
        <f t="shared" si="3"/>
        <v>0.6992029087</v>
      </c>
      <c r="J561" s="22">
        <f t="shared" si="33"/>
        <v>-0.1573905747</v>
      </c>
    </row>
    <row r="562" ht="15.75" customHeight="1">
      <c r="A562" s="25">
        <f>IFERROR(__xludf.DUMMYFUNCTION("""COMPUTED_VALUE"""),40060.666666666664)</f>
        <v>40060.66667</v>
      </c>
      <c r="B562" s="22">
        <f>IFERROR(__xludf.DUMMYFUNCTION("""COMPUTED_VALUE"""),1016.4)</f>
        <v>1016.4</v>
      </c>
      <c r="C562" s="22">
        <f t="shared" si="6"/>
        <v>1016.856208</v>
      </c>
      <c r="D562" s="25">
        <f>IFERROR(__xludf.DUMMYFUNCTION("""COMPUTED_VALUE"""),40061.99861111111)</f>
        <v>40061.99861</v>
      </c>
      <c r="E562" s="22">
        <f>IFERROR(__xludf.DUMMYFUNCTION("""COMPUTED_VALUE"""),1.4274)</f>
        <v>1.4274</v>
      </c>
      <c r="F562" s="22">
        <f t="shared" si="8"/>
        <v>98.25852021</v>
      </c>
      <c r="G562" s="22">
        <f t="shared" si="31"/>
        <v>-11.85790638</v>
      </c>
      <c r="H562" s="22">
        <f t="shared" si="32"/>
        <v>5.247437743</v>
      </c>
      <c r="I562" s="22">
        <f t="shared" si="3"/>
        <v>0.7005744711</v>
      </c>
      <c r="J562" s="22">
        <f t="shared" si="33"/>
        <v>-0.1407454112</v>
      </c>
    </row>
    <row r="563" ht="15.75" customHeight="1">
      <c r="A563" s="25">
        <f>IFERROR(__xludf.DUMMYFUNCTION("""COMPUTED_VALUE"""),40067.666666666664)</f>
        <v>40067.66667</v>
      </c>
      <c r="B563" s="22">
        <f>IFERROR(__xludf.DUMMYFUNCTION("""COMPUTED_VALUE"""),1042.73)</f>
        <v>1042.73</v>
      </c>
      <c r="C563" s="22">
        <f t="shared" si="6"/>
        <v>1043.180653</v>
      </c>
      <c r="D563" s="25">
        <f>IFERROR(__xludf.DUMMYFUNCTION("""COMPUTED_VALUE"""),40067.99861111111)</f>
        <v>40067.99861</v>
      </c>
      <c r="E563" s="22">
        <f>IFERROR(__xludf.DUMMYFUNCTION("""COMPUTED_VALUE"""),1.4579)</f>
        <v>1.4579</v>
      </c>
      <c r="F563" s="22">
        <f t="shared" si="8"/>
        <v>102.9561377</v>
      </c>
      <c r="G563" s="22">
        <f t="shared" si="31"/>
        <v>-8.914801696</v>
      </c>
      <c r="H563" s="22">
        <f t="shared" si="32"/>
        <v>10.56571654</v>
      </c>
      <c r="I563" s="22">
        <f t="shared" si="3"/>
        <v>0.6859181014</v>
      </c>
      <c r="J563" s="22">
        <f t="shared" si="33"/>
        <v>-0.1643459771</v>
      </c>
    </row>
    <row r="564" ht="15.75" customHeight="1">
      <c r="A564" s="25">
        <f>IFERROR(__xludf.DUMMYFUNCTION("""COMPUTED_VALUE"""),40074.666666666664)</f>
        <v>40074.66667</v>
      </c>
      <c r="B564" s="22">
        <f>IFERROR(__xludf.DUMMYFUNCTION("""COMPUTED_VALUE"""),1068.3)</f>
        <v>1068.3</v>
      </c>
      <c r="C564" s="22">
        <f t="shared" si="6"/>
        <v>1068.762327</v>
      </c>
      <c r="D564" s="25">
        <f>IFERROR(__xludf.DUMMYFUNCTION("""COMPUTED_VALUE"""),40075.99861111111)</f>
        <v>40075.99861</v>
      </c>
      <c r="E564" s="22">
        <f>IFERROR(__xludf.DUMMYFUNCTION("""COMPUTED_VALUE"""),1.4703)</f>
        <v>1.4703</v>
      </c>
      <c r="F564" s="22">
        <f t="shared" si="8"/>
        <v>106.3780626</v>
      </c>
      <c r="G564" s="22">
        <f t="shared" si="31"/>
        <v>-6.492630172</v>
      </c>
      <c r="H564" s="22">
        <f t="shared" si="32"/>
        <v>15.31367257</v>
      </c>
      <c r="I564" s="22">
        <f t="shared" si="3"/>
        <v>0.6801333061</v>
      </c>
      <c r="J564" s="22">
        <f t="shared" si="33"/>
        <v>-0.1654764334</v>
      </c>
    </row>
    <row r="565" ht="15.75" customHeight="1">
      <c r="A565" s="25">
        <f>IFERROR(__xludf.DUMMYFUNCTION("""COMPUTED_VALUE"""),40081.666666666664)</f>
        <v>40081.66667</v>
      </c>
      <c r="B565" s="22">
        <f>IFERROR(__xludf.DUMMYFUNCTION("""COMPUTED_VALUE"""),1044.38)</f>
        <v>1044.38</v>
      </c>
      <c r="C565" s="22">
        <f t="shared" si="6"/>
        <v>1044.853664</v>
      </c>
      <c r="D565" s="25">
        <f>IFERROR(__xludf.DUMMYFUNCTION("""COMPUTED_VALUE"""),40082.99861111111)</f>
        <v>40082.99861</v>
      </c>
      <c r="E565" s="22">
        <f>IFERROR(__xludf.DUMMYFUNCTION("""COMPUTED_VALUE"""),1.4681)</f>
        <v>1.4681</v>
      </c>
      <c r="F565" s="22">
        <f t="shared" si="8"/>
        <v>103.8427286</v>
      </c>
      <c r="G565" s="22">
        <f t="shared" si="31"/>
        <v>-9.329808171</v>
      </c>
      <c r="H565" s="22">
        <f t="shared" si="32"/>
        <v>9.343060087</v>
      </c>
      <c r="I565" s="22">
        <f t="shared" si="3"/>
        <v>0.68115251</v>
      </c>
      <c r="J565" s="22">
        <f t="shared" si="33"/>
        <v>-0.1558476943</v>
      </c>
    </row>
    <row r="566" ht="15.75" customHeight="1">
      <c r="A566" s="25">
        <f>IFERROR(__xludf.DUMMYFUNCTION("""COMPUTED_VALUE"""),40088.666666666664)</f>
        <v>40088.66667</v>
      </c>
      <c r="B566" s="22">
        <f>IFERROR(__xludf.DUMMYFUNCTION("""COMPUTED_VALUE"""),1025.21)</f>
        <v>1025.21</v>
      </c>
      <c r="C566" s="22">
        <f t="shared" si="6"/>
        <v>1025.673058</v>
      </c>
      <c r="D566" s="25">
        <f>IFERROR(__xludf.DUMMYFUNCTION("""COMPUTED_VALUE"""),40089.99861111111)</f>
        <v>40089.99861</v>
      </c>
      <c r="E566" s="22">
        <f>IFERROR(__xludf.DUMMYFUNCTION("""COMPUTED_VALUE"""),1.4586)</f>
        <v>1.4586</v>
      </c>
      <c r="F566" s="22">
        <f t="shared" si="8"/>
        <v>101.2768394</v>
      </c>
      <c r="G566" s="22">
        <f t="shared" si="31"/>
        <v>-12.06718939</v>
      </c>
      <c r="H566" s="22">
        <f t="shared" si="32"/>
        <v>7.460111124</v>
      </c>
      <c r="I566" s="22">
        <f t="shared" si="3"/>
        <v>0.6855889209</v>
      </c>
      <c r="J566" s="22">
        <f t="shared" si="33"/>
        <v>-0.1498011792</v>
      </c>
    </row>
    <row r="567" ht="15.75" customHeight="1">
      <c r="A567" s="25">
        <f>IFERROR(__xludf.DUMMYFUNCTION("""COMPUTED_VALUE"""),40095.666666666664)</f>
        <v>40095.66667</v>
      </c>
      <c r="B567" s="22">
        <f>IFERROR(__xludf.DUMMYFUNCTION("""COMPUTED_VALUE"""),1071.49)</f>
        <v>1071.49</v>
      </c>
      <c r="C567" s="22">
        <f t="shared" si="6"/>
        <v>1071.944559</v>
      </c>
      <c r="D567" s="25">
        <f>IFERROR(__xludf.DUMMYFUNCTION("""COMPUTED_VALUE"""),40096.99861111111)</f>
        <v>40096.99861</v>
      </c>
      <c r="E567" s="22">
        <f>IFERROR(__xludf.DUMMYFUNCTION("""COMPUTED_VALUE"""),1.4714)</f>
        <v>1.4714</v>
      </c>
      <c r="F567" s="22">
        <f t="shared" si="8"/>
        <v>106.7746258</v>
      </c>
      <c r="G567" s="22">
        <f t="shared" si="31"/>
        <v>-7.870816399</v>
      </c>
      <c r="H567" s="22">
        <f t="shared" si="32"/>
        <v>14.0379599</v>
      </c>
      <c r="I567" s="22">
        <f t="shared" si="3"/>
        <v>0.6796248471</v>
      </c>
      <c r="J567" s="22">
        <f t="shared" si="33"/>
        <v>-0.1521680033</v>
      </c>
    </row>
    <row r="568" ht="15.75" customHeight="1">
      <c r="A568" s="25">
        <f>IFERROR(__xludf.DUMMYFUNCTION("""COMPUTED_VALUE"""),40102.666666666664)</f>
        <v>40102.66667</v>
      </c>
      <c r="B568" s="22">
        <f>IFERROR(__xludf.DUMMYFUNCTION("""COMPUTED_VALUE"""),1087.68)</f>
        <v>1087.68</v>
      </c>
      <c r="C568" s="22">
        <f t="shared" si="6"/>
        <v>1088.155078</v>
      </c>
      <c r="D568" s="25">
        <f>IFERROR(__xludf.DUMMYFUNCTION("""COMPUTED_VALUE"""),40103.99861111111)</f>
        <v>40103.99861</v>
      </c>
      <c r="E568" s="22">
        <f>IFERROR(__xludf.DUMMYFUNCTION("""COMPUTED_VALUE"""),1.489)</f>
        <v>1.489</v>
      </c>
      <c r="F568" s="22">
        <f t="shared" si="8"/>
        <v>109.6858167</v>
      </c>
      <c r="G568" s="22">
        <f t="shared" si="31"/>
        <v>-6.164465217</v>
      </c>
      <c r="H568" s="22">
        <f t="shared" si="32"/>
        <v>16.50875572</v>
      </c>
      <c r="I568" s="22">
        <f t="shared" si="3"/>
        <v>0.6715916723</v>
      </c>
      <c r="J568" s="22">
        <f t="shared" si="33"/>
        <v>-0.1480188046</v>
      </c>
    </row>
    <row r="569" ht="15.75" customHeight="1">
      <c r="A569" s="25">
        <f>IFERROR(__xludf.DUMMYFUNCTION("""COMPUTED_VALUE"""),40109.666666666664)</f>
        <v>40109.66667</v>
      </c>
      <c r="B569" s="22">
        <f>IFERROR(__xludf.DUMMYFUNCTION("""COMPUTED_VALUE"""),1079.6)</f>
        <v>1079.6</v>
      </c>
      <c r="C569" s="22">
        <f t="shared" si="6"/>
        <v>1080.082257</v>
      </c>
      <c r="D569" s="25">
        <f>IFERROR(__xludf.DUMMYFUNCTION("""COMPUTED_VALUE"""),40109.99861111111)</f>
        <v>40109.99861</v>
      </c>
      <c r="E569" s="22">
        <f>IFERROR(__xludf.DUMMYFUNCTION("""COMPUTED_VALUE"""),1.5007)</f>
        <v>1.5007</v>
      </c>
      <c r="F569" s="22">
        <f t="shared" si="8"/>
        <v>109.7275536</v>
      </c>
      <c r="G569" s="22">
        <f t="shared" si="31"/>
        <v>-7.661477228</v>
      </c>
      <c r="H569" s="22">
        <f t="shared" si="32"/>
        <v>12.05632227</v>
      </c>
      <c r="I569" s="22">
        <f t="shared" si="3"/>
        <v>0.6663557007</v>
      </c>
      <c r="J569" s="22">
        <f t="shared" si="33"/>
        <v>-0.1475311521</v>
      </c>
    </row>
    <row r="570" ht="15.75" customHeight="1">
      <c r="A570" s="25">
        <f>IFERROR(__xludf.DUMMYFUNCTION("""COMPUTED_VALUE"""),40116.666666666664)</f>
        <v>40116.66667</v>
      </c>
      <c r="B570" s="22">
        <f>IFERROR(__xludf.DUMMYFUNCTION("""COMPUTED_VALUE"""),1036.19)</f>
        <v>1036.19</v>
      </c>
      <c r="C570" s="22">
        <f t="shared" si="6"/>
        <v>1036.668674</v>
      </c>
      <c r="D570" s="25">
        <f>IFERROR(__xludf.DUMMYFUNCTION("""COMPUTED_VALUE"""),40117.99861111111)</f>
        <v>40117.99861</v>
      </c>
      <c r="E570" s="22">
        <f>IFERROR(__xludf.DUMMYFUNCTION("""COMPUTED_VALUE"""),1.4729)</f>
        <v>1.4729</v>
      </c>
      <c r="F570" s="22">
        <f t="shared" si="8"/>
        <v>103.3661212</v>
      </c>
      <c r="G570" s="22">
        <f t="shared" si="31"/>
        <v>-12.03899499</v>
      </c>
      <c r="H570" s="22">
        <f t="shared" si="32"/>
        <v>0.9623087149</v>
      </c>
      <c r="I570" s="22">
        <f t="shared" si="3"/>
        <v>0.6789327178</v>
      </c>
      <c r="J570" s="22">
        <f t="shared" si="33"/>
        <v>-0.119899518</v>
      </c>
    </row>
    <row r="571" ht="15.75" customHeight="1">
      <c r="A571" s="25">
        <f>IFERROR(__xludf.DUMMYFUNCTION("""COMPUTED_VALUE"""),40123.666666666664)</f>
        <v>40123.66667</v>
      </c>
      <c r="B571" s="22">
        <f>IFERROR(__xludf.DUMMYFUNCTION("""COMPUTED_VALUE"""),1069.3)</f>
        <v>1069.3</v>
      </c>
      <c r="C571" s="22">
        <f t="shared" si="6"/>
        <v>1069.759427</v>
      </c>
      <c r="D571" s="25">
        <f>IFERROR(__xludf.DUMMYFUNCTION("""COMPUTED_VALUE"""),40123.99861111111)</f>
        <v>40123.99861</v>
      </c>
      <c r="E571" s="22">
        <f>IFERROR(__xludf.DUMMYFUNCTION("""COMPUTED_VALUE"""),1.484)</f>
        <v>1.484</v>
      </c>
      <c r="F571" s="22">
        <f t="shared" si="8"/>
        <v>107.4694449</v>
      </c>
      <c r="G571" s="22">
        <f t="shared" si="31"/>
        <v>-10.57386428</v>
      </c>
      <c r="H571" s="22">
        <f t="shared" si="32"/>
        <v>3.429741662</v>
      </c>
      <c r="I571" s="22">
        <f t="shared" si="3"/>
        <v>0.6738544474</v>
      </c>
      <c r="J571" s="22">
        <f t="shared" si="33"/>
        <v>-0.1269541779</v>
      </c>
    </row>
    <row r="572" ht="15.75" customHeight="1">
      <c r="A572" s="25">
        <f>IFERROR(__xludf.DUMMYFUNCTION("""COMPUTED_VALUE"""),40130.666666666664)</f>
        <v>40130.66667</v>
      </c>
      <c r="B572" s="22">
        <f>IFERROR(__xludf.DUMMYFUNCTION("""COMPUTED_VALUE"""),1093.48)</f>
        <v>1093.48</v>
      </c>
      <c r="C572" s="22">
        <f t="shared" si="6"/>
        <v>1093.954107</v>
      </c>
      <c r="D572" s="25">
        <f>IFERROR(__xludf.DUMMYFUNCTION("""COMPUTED_VALUE"""),40130.99861111111)</f>
        <v>40130.99861</v>
      </c>
      <c r="E572" s="22">
        <f>IFERROR(__xludf.DUMMYFUNCTION("""COMPUTED_VALUE"""),1.4903)</f>
        <v>1.4903</v>
      </c>
      <c r="F572" s="22">
        <f t="shared" si="8"/>
        <v>110.3666314</v>
      </c>
      <c r="G572" s="22">
        <f t="shared" si="31"/>
        <v>-9.465307354</v>
      </c>
      <c r="H572" s="22">
        <f t="shared" si="32"/>
        <v>6.828775308</v>
      </c>
      <c r="I572" s="22">
        <f t="shared" si="3"/>
        <v>0.6710058378</v>
      </c>
      <c r="J572" s="22">
        <f t="shared" si="33"/>
        <v>-0.1254109911</v>
      </c>
    </row>
    <row r="573" ht="15.75" customHeight="1">
      <c r="A573" s="25">
        <f>IFERROR(__xludf.DUMMYFUNCTION("""COMPUTED_VALUE"""),40137.666666666664)</f>
        <v>40137.66667</v>
      </c>
      <c r="B573" s="22">
        <f>IFERROR(__xludf.DUMMYFUNCTION("""COMPUTED_VALUE"""),1091.38)</f>
        <v>1091.38</v>
      </c>
      <c r="C573" s="22">
        <f t="shared" si="6"/>
        <v>1091.864828</v>
      </c>
      <c r="D573" s="25">
        <f>IFERROR(__xludf.DUMMYFUNCTION("""COMPUTED_VALUE"""),40137.99861111111)</f>
        <v>40137.99861</v>
      </c>
      <c r="E573" s="22">
        <f>IFERROR(__xludf.DUMMYFUNCTION("""COMPUTED_VALUE"""),1.486)</f>
        <v>1.486</v>
      </c>
      <c r="F573" s="22">
        <f t="shared" si="8"/>
        <v>109.8380131</v>
      </c>
      <c r="G573" s="22">
        <f t="shared" si="31"/>
        <v>-11.48885458</v>
      </c>
      <c r="H573" s="22">
        <f t="shared" si="32"/>
        <v>3.192619397</v>
      </c>
      <c r="I573" s="22">
        <f t="shared" si="3"/>
        <v>0.6729475101</v>
      </c>
      <c r="J573" s="22">
        <f t="shared" si="33"/>
        <v>-0.1057200538</v>
      </c>
    </row>
    <row r="574" ht="15.75" customHeight="1">
      <c r="A574" s="25">
        <f>IFERROR(__xludf.DUMMYFUNCTION("""COMPUTED_VALUE"""),40144.666666666664)</f>
        <v>40144.66667</v>
      </c>
      <c r="B574" s="22">
        <f>IFERROR(__xludf.DUMMYFUNCTION("""COMPUTED_VALUE"""),1091.49)</f>
        <v>1091.49</v>
      </c>
      <c r="C574" s="22">
        <f t="shared" si="6"/>
        <v>1091.973897</v>
      </c>
      <c r="D574" s="25">
        <f>IFERROR(__xludf.DUMMYFUNCTION("""COMPUTED_VALUE"""),40144.99861111111)</f>
        <v>40144.99861</v>
      </c>
      <c r="E574" s="22">
        <f>IFERROR(__xludf.DUMMYFUNCTION("""COMPUTED_VALUE"""),1.4983)</f>
        <v>1.4983</v>
      </c>
      <c r="F574" s="22">
        <f t="shared" si="8"/>
        <v>110.7582331</v>
      </c>
      <c r="G574" s="22">
        <f t="shared" si="31"/>
        <v>-12.18194476</v>
      </c>
      <c r="H574" s="22">
        <f t="shared" si="32"/>
        <v>2.000215904</v>
      </c>
      <c r="I574" s="22">
        <f t="shared" si="3"/>
        <v>0.6674230795</v>
      </c>
      <c r="J574" s="22">
        <f t="shared" si="33"/>
        <v>-0.101648535</v>
      </c>
    </row>
    <row r="575" ht="15.75" customHeight="1">
      <c r="A575" s="25">
        <f>IFERROR(__xludf.DUMMYFUNCTION("""COMPUTED_VALUE"""),40151.666666666664)</f>
        <v>40151.66667</v>
      </c>
      <c r="B575" s="22">
        <f>IFERROR(__xludf.DUMMYFUNCTION("""COMPUTED_VALUE"""),1105.98)</f>
        <v>1105.98</v>
      </c>
      <c r="C575" s="22">
        <f t="shared" si="6"/>
        <v>1106.463946</v>
      </c>
      <c r="D575" s="25">
        <f>IFERROR(__xludf.DUMMYFUNCTION("""COMPUTED_VALUE"""),40151.99861111111)</f>
        <v>40151.99861</v>
      </c>
      <c r="E575" s="22">
        <f>IFERROR(__xludf.DUMMYFUNCTION("""COMPUTED_VALUE"""),1.4855)</f>
        <v>1.4855</v>
      </c>
      <c r="F575" s="22">
        <f t="shared" si="8"/>
        <v>111.2691846</v>
      </c>
      <c r="G575" s="22">
        <f t="shared" si="31"/>
        <v>-12.98303504</v>
      </c>
      <c r="H575" s="22">
        <f t="shared" si="32"/>
        <v>4.648567121</v>
      </c>
      <c r="I575" s="22">
        <f t="shared" si="3"/>
        <v>0.6731740155</v>
      </c>
      <c r="J575" s="22">
        <f t="shared" si="33"/>
        <v>-0.1104005385</v>
      </c>
    </row>
    <row r="576" ht="15.75" customHeight="1">
      <c r="A576" s="25">
        <f>IFERROR(__xludf.DUMMYFUNCTION("""COMPUTED_VALUE"""),40158.666666666664)</f>
        <v>40158.66667</v>
      </c>
      <c r="B576" s="22">
        <f>IFERROR(__xludf.DUMMYFUNCTION("""COMPUTED_VALUE"""),1106.41)</f>
        <v>1106.41</v>
      </c>
      <c r="C576" s="22">
        <f t="shared" si="6"/>
        <v>1106.900371</v>
      </c>
      <c r="D576" s="25">
        <f>IFERROR(__xludf.DUMMYFUNCTION("""COMPUTED_VALUE"""),40158.99861111111)</f>
        <v>40158.99861</v>
      </c>
      <c r="E576" s="22">
        <f>IFERROR(__xludf.DUMMYFUNCTION("""COMPUTED_VALUE"""),1.4616)</f>
        <v>1.4616</v>
      </c>
      <c r="F576" s="22">
        <f t="shared" si="8"/>
        <v>109.5221724</v>
      </c>
      <c r="G576" s="22">
        <f t="shared" si="31"/>
        <v>-13.458747</v>
      </c>
      <c r="H576" s="22">
        <f t="shared" si="32"/>
        <v>1.73034815</v>
      </c>
      <c r="I576" s="22">
        <f t="shared" si="3"/>
        <v>0.6841817187</v>
      </c>
      <c r="J576" s="22">
        <f t="shared" si="33"/>
        <v>-0.08928571429</v>
      </c>
    </row>
    <row r="577" ht="15.75" customHeight="1">
      <c r="A577" s="25">
        <f>IFERROR(__xludf.DUMMYFUNCTION("""COMPUTED_VALUE"""),40165.666666666664)</f>
        <v>40165.66667</v>
      </c>
      <c r="B577" s="22">
        <f>IFERROR(__xludf.DUMMYFUNCTION("""COMPUTED_VALUE"""),1102.47)</f>
        <v>1102.47</v>
      </c>
      <c r="C577" s="22">
        <f t="shared" si="6"/>
        <v>1102.960561</v>
      </c>
      <c r="D577" s="25">
        <f>IFERROR(__xludf.DUMMYFUNCTION("""COMPUTED_VALUE"""),40165.99861111111)</f>
        <v>40165.99861</v>
      </c>
      <c r="E577" s="22">
        <f>IFERROR(__xludf.DUMMYFUNCTION("""COMPUTED_VALUE"""),1.4344)</f>
        <v>1.4344</v>
      </c>
      <c r="F577" s="22">
        <f t="shared" si="8"/>
        <v>107.1014234</v>
      </c>
      <c r="G577" s="22">
        <f t="shared" si="31"/>
        <v>-14.53644156</v>
      </c>
      <c r="H577" s="22">
        <f t="shared" si="32"/>
        <v>-3.393408877</v>
      </c>
      <c r="I577" s="22">
        <f t="shared" si="3"/>
        <v>0.6971556051</v>
      </c>
      <c r="J577" s="22">
        <f t="shared" si="33"/>
        <v>-0.05695761294</v>
      </c>
    </row>
    <row r="578" ht="15.75" customHeight="1">
      <c r="A578" s="25">
        <f>IFERROR(__xludf.DUMMYFUNCTION("""COMPUTED_VALUE"""),40171.666666666664)</f>
        <v>40171.66667</v>
      </c>
      <c r="B578" s="22">
        <f>IFERROR(__xludf.DUMMYFUNCTION("""COMPUTED_VALUE"""),1126.48)</f>
        <v>1126.48</v>
      </c>
      <c r="C578" s="22">
        <f t="shared" si="6"/>
        <v>1126.968814</v>
      </c>
      <c r="D578" s="25">
        <f>IFERROR(__xludf.DUMMYFUNCTION("""COMPUTED_VALUE"""),40172.99861111111)</f>
        <v>40172.99861</v>
      </c>
      <c r="E578" s="22">
        <f>IFERROR(__xludf.DUMMYFUNCTION("""COMPUTED_VALUE"""),1.438)</f>
        <v>1.438</v>
      </c>
      <c r="F578" s="22">
        <f t="shared" si="8"/>
        <v>109.7073606</v>
      </c>
      <c r="G578" s="22">
        <f t="shared" si="31"/>
        <v>-13.42995824</v>
      </c>
      <c r="H578" s="22">
        <f t="shared" si="32"/>
        <v>-1.451767589</v>
      </c>
      <c r="I578" s="22">
        <f t="shared" si="3"/>
        <v>0.6954102921</v>
      </c>
      <c r="J578" s="22">
        <f t="shared" si="33"/>
        <v>-0.05681502086</v>
      </c>
    </row>
    <row r="579" ht="15.75" customHeight="1">
      <c r="A579" s="25">
        <f>IFERROR(__xludf.DUMMYFUNCTION("""COMPUTED_VALUE"""),40178.666666666664)</f>
        <v>40178.66667</v>
      </c>
      <c r="B579" s="22">
        <f>IFERROR(__xludf.DUMMYFUNCTION("""COMPUTED_VALUE"""),1115.1)</f>
        <v>1115.1</v>
      </c>
      <c r="C579" s="22">
        <f t="shared" si="6"/>
        <v>1115.59946</v>
      </c>
      <c r="D579" s="25">
        <f>IFERROR(__xludf.DUMMYFUNCTION("""COMPUTED_VALUE"""),40180.99861111111)</f>
        <v>40180.99861</v>
      </c>
      <c r="E579" s="22">
        <f>IFERROR(__xludf.DUMMYFUNCTION("""COMPUTED_VALUE"""),1.4287)</f>
        <v>1.4287</v>
      </c>
      <c r="F579" s="22">
        <f t="shared" si="8"/>
        <v>107.8982305</v>
      </c>
      <c r="G579" s="22">
        <f t="shared" si="31"/>
        <v>-12.94689488</v>
      </c>
      <c r="H579" s="22">
        <f t="shared" si="32"/>
        <v>2.736112986</v>
      </c>
      <c r="I579" s="22">
        <f t="shared" si="3"/>
        <v>0.6999370057</v>
      </c>
      <c r="J579" s="22">
        <f t="shared" si="33"/>
        <v>-0.08497235249</v>
      </c>
    </row>
    <row r="580" ht="15.75" customHeight="1">
      <c r="A580" s="25">
        <f>IFERROR(__xludf.DUMMYFUNCTION("""COMPUTED_VALUE"""),40186.666666666664)</f>
        <v>40186.66667</v>
      </c>
      <c r="B580" s="22">
        <f>IFERROR(__xludf.DUMMYFUNCTION("""COMPUTED_VALUE"""),1144.98)</f>
        <v>1144.98</v>
      </c>
      <c r="C580" s="22">
        <f t="shared" si="6"/>
        <v>1145.474414</v>
      </c>
      <c r="D580" s="25">
        <f>IFERROR(__xludf.DUMMYFUNCTION("""COMPUTED_VALUE"""),40187.99861111111)</f>
        <v>40187.99861</v>
      </c>
      <c r="E580" s="22">
        <f>IFERROR(__xludf.DUMMYFUNCTION("""COMPUTED_VALUE"""),1.4402)</f>
        <v>1.4402</v>
      </c>
      <c r="F580" s="22">
        <f t="shared" si="8"/>
        <v>111.6794283</v>
      </c>
      <c r="G580" s="22">
        <f t="shared" si="31"/>
        <v>-10.79312728</v>
      </c>
      <c r="H580" s="22">
        <f t="shared" si="32"/>
        <v>6.284930715</v>
      </c>
      <c r="I580" s="22">
        <f t="shared" si="3"/>
        <v>0.6943480072</v>
      </c>
      <c r="J580" s="22">
        <f t="shared" si="33"/>
        <v>-0.09054298014</v>
      </c>
    </row>
    <row r="581" ht="15.75" customHeight="1">
      <c r="A581" s="25">
        <f>IFERROR(__xludf.DUMMYFUNCTION("""COMPUTED_VALUE"""),40193.666666666664)</f>
        <v>40193.66667</v>
      </c>
      <c r="B581" s="22">
        <f>IFERROR(__xludf.DUMMYFUNCTION("""COMPUTED_VALUE"""),1136.03)</f>
        <v>1136.03</v>
      </c>
      <c r="C581" s="22">
        <f t="shared" si="6"/>
        <v>1136.537662</v>
      </c>
      <c r="D581" s="25">
        <f>IFERROR(__xludf.DUMMYFUNCTION("""COMPUTED_VALUE"""),40194.99861111111)</f>
        <v>40194.99861</v>
      </c>
      <c r="E581" s="22">
        <f>IFERROR(__xludf.DUMMYFUNCTION("""COMPUTED_VALUE"""),1.4386)</f>
        <v>1.4386</v>
      </c>
      <c r="F581" s="22">
        <f t="shared" si="8"/>
        <v>110.6850257</v>
      </c>
      <c r="G581" s="22">
        <f t="shared" si="31"/>
        <v>-11.81269675</v>
      </c>
      <c r="H581" s="22">
        <f t="shared" si="32"/>
        <v>7.693939823</v>
      </c>
      <c r="I581" s="22">
        <f t="shared" si="3"/>
        <v>0.6951202558</v>
      </c>
      <c r="J581" s="22">
        <f t="shared" si="33"/>
        <v>-0.09676073961</v>
      </c>
    </row>
    <row r="582" ht="15.75" customHeight="1">
      <c r="A582" s="25">
        <f>IFERROR(__xludf.DUMMYFUNCTION("""COMPUTED_VALUE"""),40200.666666666664)</f>
        <v>40200.66667</v>
      </c>
      <c r="B582" s="22">
        <f>IFERROR(__xludf.DUMMYFUNCTION("""COMPUTED_VALUE"""),1115.49)</f>
        <v>1115.49</v>
      </c>
      <c r="C582" s="22">
        <f t="shared" si="6"/>
        <v>1115.993694</v>
      </c>
      <c r="D582" s="25">
        <f>IFERROR(__xludf.DUMMYFUNCTION("""COMPUTED_VALUE"""),40201.99861111111)</f>
        <v>40201.99861</v>
      </c>
      <c r="E582" s="22">
        <f>IFERROR(__xludf.DUMMYFUNCTION("""COMPUTED_VALUE"""),1.415)</f>
        <v>1.415</v>
      </c>
      <c r="F582" s="22">
        <f t="shared" si="8"/>
        <v>106.9013434</v>
      </c>
      <c r="G582" s="22">
        <f t="shared" si="31"/>
        <v>-14.03063278</v>
      </c>
      <c r="H582" s="22">
        <f t="shared" si="32"/>
        <v>3.329649038</v>
      </c>
      <c r="I582" s="22">
        <f t="shared" si="3"/>
        <v>0.7067137809</v>
      </c>
      <c r="J582" s="22">
        <f t="shared" si="33"/>
        <v>-0.0783745583</v>
      </c>
    </row>
    <row r="583" ht="15.75" customHeight="1">
      <c r="A583" s="25">
        <f>IFERROR(__xludf.DUMMYFUNCTION("""COMPUTED_VALUE"""),40207.666666666664)</f>
        <v>40207.66667</v>
      </c>
      <c r="B583" s="22">
        <f>IFERROR(__xludf.DUMMYFUNCTION("""COMPUTED_VALUE"""),1073.87)</f>
        <v>1073.87</v>
      </c>
      <c r="C583" s="22">
        <f t="shared" si="6"/>
        <v>1074.364587</v>
      </c>
      <c r="D583" s="25">
        <f>IFERROR(__xludf.DUMMYFUNCTION("""COMPUTED_VALUE"""),40208.99861111111)</f>
        <v>40208.99861</v>
      </c>
      <c r="E583" s="22">
        <f>IFERROR(__xludf.DUMMYFUNCTION("""COMPUTED_VALUE"""),1.3861)</f>
        <v>1.3861</v>
      </c>
      <c r="F583" s="22">
        <f t="shared" si="8"/>
        <v>100.8117679</v>
      </c>
      <c r="G583" s="22">
        <f t="shared" si="31"/>
        <v>-20.70118512</v>
      </c>
      <c r="H583" s="22">
        <f t="shared" si="32"/>
        <v>-3.740401274</v>
      </c>
      <c r="I583" s="22">
        <f t="shared" si="3"/>
        <v>0.7214486689</v>
      </c>
      <c r="J583" s="22">
        <f t="shared" si="33"/>
        <v>-0.07264988096</v>
      </c>
    </row>
    <row r="584" ht="15.75" customHeight="1">
      <c r="A584" s="25">
        <f>IFERROR(__xludf.DUMMYFUNCTION("""COMPUTED_VALUE"""),40214.666666666664)</f>
        <v>40214.66667</v>
      </c>
      <c r="B584" s="22">
        <f>IFERROR(__xludf.DUMMYFUNCTION("""COMPUTED_VALUE"""),1066.19)</f>
        <v>1066.19</v>
      </c>
      <c r="C584" s="22">
        <f t="shared" si="6"/>
        <v>1066.666134</v>
      </c>
      <c r="D584" s="25">
        <f>IFERROR(__xludf.DUMMYFUNCTION("""COMPUTED_VALUE"""),40215.99861111111)</f>
        <v>40215.99861</v>
      </c>
      <c r="E584" s="22">
        <f>IFERROR(__xludf.DUMMYFUNCTION("""COMPUTED_VALUE"""),1.3604)</f>
        <v>1.3604</v>
      </c>
      <c r="F584" s="22">
        <f t="shared" si="8"/>
        <v>98.23361181</v>
      </c>
      <c r="G584" s="22">
        <f t="shared" si="31"/>
        <v>-22.43830977</v>
      </c>
      <c r="H584" s="22">
        <f t="shared" si="32"/>
        <v>-6.36523958</v>
      </c>
      <c r="I584" s="22">
        <f t="shared" si="3"/>
        <v>0.7350779183</v>
      </c>
      <c r="J584" s="22">
        <f t="shared" si="33"/>
        <v>-0.05527785945</v>
      </c>
    </row>
    <row r="585" ht="15.75" customHeight="1">
      <c r="A585" s="25">
        <f>IFERROR(__xludf.DUMMYFUNCTION("""COMPUTED_VALUE"""),40221.666666666664)</f>
        <v>40221.66667</v>
      </c>
      <c r="B585" s="22">
        <f>IFERROR(__xludf.DUMMYFUNCTION("""COMPUTED_VALUE"""),1075.51)</f>
        <v>1075.51</v>
      </c>
      <c r="C585" s="22">
        <f t="shared" si="6"/>
        <v>1075.982728</v>
      </c>
      <c r="D585" s="25">
        <f>IFERROR(__xludf.DUMMYFUNCTION("""COMPUTED_VALUE"""),40222.99861111111)</f>
        <v>40222.99861</v>
      </c>
      <c r="E585" s="22">
        <f>IFERROR(__xludf.DUMMYFUNCTION("""COMPUTED_VALUE"""),1.36161)</f>
        <v>1.36161</v>
      </c>
      <c r="F585" s="22">
        <f t="shared" si="8"/>
        <v>99.17975129</v>
      </c>
      <c r="G585" s="22">
        <f t="shared" si="31"/>
        <v>-23.43764766</v>
      </c>
      <c r="H585" s="22">
        <f t="shared" si="32"/>
        <v>-6.366538782</v>
      </c>
      <c r="I585" s="22">
        <f t="shared" si="3"/>
        <v>0.7344246884</v>
      </c>
      <c r="J585" s="22">
        <f t="shared" si="33"/>
        <v>-0.04407282555</v>
      </c>
    </row>
    <row r="586" ht="15.75" customHeight="1">
      <c r="A586" s="25">
        <f>IFERROR(__xludf.DUMMYFUNCTION("""COMPUTED_VALUE"""),40228.666666666664)</f>
        <v>40228.66667</v>
      </c>
      <c r="B586" s="22">
        <f>IFERROR(__xludf.DUMMYFUNCTION("""COMPUTED_VALUE"""),1109.17)</f>
        <v>1109.17</v>
      </c>
      <c r="C586" s="22">
        <f t="shared" si="6"/>
        <v>1109.646861</v>
      </c>
      <c r="D586" s="25">
        <f>IFERROR(__xludf.DUMMYFUNCTION("""COMPUTED_VALUE"""),40229.99861111111)</f>
        <v>40229.99861</v>
      </c>
      <c r="E586" s="22">
        <f>IFERROR(__xludf.DUMMYFUNCTION("""COMPUTED_VALUE"""),1.3535)</f>
        <v>1.3535</v>
      </c>
      <c r="F586" s="22">
        <f t="shared" si="8"/>
        <v>101.6735603</v>
      </c>
      <c r="G586" s="22">
        <f t="shared" si="31"/>
        <v>-21.42727253</v>
      </c>
      <c r="H586" s="22">
        <f t="shared" si="32"/>
        <v>-6.397534445</v>
      </c>
      <c r="I586" s="22">
        <f t="shared" si="3"/>
        <v>0.7388252678</v>
      </c>
      <c r="J586" s="22">
        <f t="shared" si="33"/>
        <v>-0.0217953454</v>
      </c>
    </row>
    <row r="587" ht="15.75" customHeight="1">
      <c r="A587" s="25">
        <f>IFERROR(__xludf.DUMMYFUNCTION("""COMPUTED_VALUE"""),40235.666666666664)</f>
        <v>40235.66667</v>
      </c>
      <c r="B587" s="22">
        <f>IFERROR(__xludf.DUMMYFUNCTION("""COMPUTED_VALUE"""),1104.49)</f>
        <v>1104.49</v>
      </c>
      <c r="C587" s="22">
        <f t="shared" si="6"/>
        <v>1104.981785</v>
      </c>
      <c r="D587" s="25">
        <f>IFERROR(__xludf.DUMMYFUNCTION("""COMPUTED_VALUE"""),40236.99861111111)</f>
        <v>40236.99861</v>
      </c>
      <c r="E587" s="22">
        <f>IFERROR(__xludf.DUMMYFUNCTION("""COMPUTED_VALUE"""),1.3657)</f>
        <v>1.3657</v>
      </c>
      <c r="F587" s="22">
        <f t="shared" si="8"/>
        <v>102.1587125</v>
      </c>
      <c r="G587" s="22">
        <f t="shared" si="31"/>
        <v>-17.37899882</v>
      </c>
      <c r="H587" s="22">
        <f t="shared" si="32"/>
        <v>-6.792218493</v>
      </c>
      <c r="I587" s="22">
        <f t="shared" si="3"/>
        <v>0.7322252325</v>
      </c>
      <c r="J587" s="22">
        <f t="shared" si="33"/>
        <v>-0.03038734715</v>
      </c>
    </row>
    <row r="588" ht="15.75" customHeight="1">
      <c r="A588" s="25">
        <f>IFERROR(__xludf.DUMMYFUNCTION("""COMPUTED_VALUE"""),40242.666666666664)</f>
        <v>40242.66667</v>
      </c>
      <c r="B588" s="22">
        <f>IFERROR(__xludf.DUMMYFUNCTION("""COMPUTED_VALUE"""),1138.7)</f>
        <v>1138.7</v>
      </c>
      <c r="C588" s="22">
        <f t="shared" si="6"/>
        <v>1139.18971</v>
      </c>
      <c r="D588" s="25">
        <f>IFERROR(__xludf.DUMMYFUNCTION("""COMPUTED_VALUE"""),40243.99861111111)</f>
        <v>40243.99861</v>
      </c>
      <c r="E588" s="22">
        <f>IFERROR(__xludf.DUMMYFUNCTION("""COMPUTED_VALUE"""),1.3606)</f>
        <v>1.3606</v>
      </c>
      <c r="F588" s="22">
        <f t="shared" si="8"/>
        <v>104.928026</v>
      </c>
      <c r="G588" s="22">
        <f t="shared" si="31"/>
        <v>-15.78494429</v>
      </c>
      <c r="H588" s="22">
        <f t="shared" si="32"/>
        <v>-4.130235231</v>
      </c>
      <c r="I588" s="22">
        <f t="shared" si="3"/>
        <v>0.7349698662</v>
      </c>
      <c r="J588" s="22">
        <f t="shared" si="33"/>
        <v>-0.01028957813</v>
      </c>
    </row>
    <row r="589" ht="15.75" customHeight="1">
      <c r="A589" s="25">
        <f>IFERROR(__xludf.DUMMYFUNCTION("""COMPUTED_VALUE"""),40249.666666666664)</f>
        <v>40249.66667</v>
      </c>
      <c r="B589" s="22">
        <f>IFERROR(__xludf.DUMMYFUNCTION("""COMPUTED_VALUE"""),1149.99)</f>
        <v>1149.99</v>
      </c>
      <c r="C589" s="22">
        <f t="shared" si="6"/>
        <v>1150.494878</v>
      </c>
      <c r="D589" s="25">
        <f>IFERROR(__xludf.DUMMYFUNCTION("""COMPUTED_VALUE"""),40249.99861111111)</f>
        <v>40249.99861</v>
      </c>
      <c r="E589" s="22">
        <f>IFERROR(__xludf.DUMMYFUNCTION("""COMPUTED_VALUE"""),1.3765)</f>
        <v>1.3765</v>
      </c>
      <c r="F589" s="22">
        <f t="shared" si="8"/>
        <v>107.2076775</v>
      </c>
      <c r="G589" s="22">
        <f t="shared" si="31"/>
        <v>-14.28354375</v>
      </c>
      <c r="H589" s="22">
        <f t="shared" si="32"/>
        <v>-0.06759880999</v>
      </c>
      <c r="I589" s="22">
        <f t="shared" si="3"/>
        <v>0.7264802034</v>
      </c>
      <c r="J589" s="22">
        <f t="shared" si="33"/>
        <v>-0.03269160915</v>
      </c>
    </row>
    <row r="590" ht="15.75" customHeight="1">
      <c r="A590" s="25">
        <f>IFERROR(__xludf.DUMMYFUNCTION("""COMPUTED_VALUE"""),40256.666666666664)</f>
        <v>40256.66667</v>
      </c>
      <c r="B590" s="22">
        <f>IFERROR(__xludf.DUMMYFUNCTION("""COMPUTED_VALUE"""),1159.9)</f>
        <v>1159.9</v>
      </c>
      <c r="C590" s="22">
        <f t="shared" si="6"/>
        <v>1160.409884</v>
      </c>
      <c r="D590" s="25">
        <f>IFERROR(__xludf.DUMMYFUNCTION("""COMPUTED_VALUE"""),40256.99861111111)</f>
        <v>40256.99861</v>
      </c>
      <c r="E590" s="22">
        <f>IFERROR(__xludf.DUMMYFUNCTION("""COMPUTED_VALUE"""),1.353)</f>
        <v>1.353</v>
      </c>
      <c r="F590" s="22">
        <f t="shared" si="8"/>
        <v>106.2855436</v>
      </c>
      <c r="G590" s="22">
        <f t="shared" si="31"/>
        <v>-17.71800629</v>
      </c>
      <c r="H590" s="22">
        <f t="shared" si="32"/>
        <v>3.442204475</v>
      </c>
      <c r="I590" s="22">
        <f t="shared" si="3"/>
        <v>0.7390983001</v>
      </c>
      <c r="J590" s="22">
        <f t="shared" si="33"/>
        <v>-0.04279379157</v>
      </c>
    </row>
    <row r="591" ht="15.75" customHeight="1">
      <c r="A591" s="25">
        <f>IFERROR(__xludf.DUMMYFUNCTION("""COMPUTED_VALUE"""),40263.666666666664)</f>
        <v>40263.66667</v>
      </c>
      <c r="B591" s="22">
        <f>IFERROR(__xludf.DUMMYFUNCTION("""COMPUTED_VALUE"""),1166.59)</f>
        <v>1166.59</v>
      </c>
      <c r="C591" s="22">
        <f t="shared" si="6"/>
        <v>1167.104278</v>
      </c>
      <c r="D591" s="25">
        <f>IFERROR(__xludf.DUMMYFUNCTION("""COMPUTED_VALUE"""),40264.99861111111)</f>
        <v>40264.99861</v>
      </c>
      <c r="E591" s="22">
        <f>IFERROR(__xludf.DUMMYFUNCTION("""COMPUTED_VALUE"""),1.3387)</f>
        <v>1.3387</v>
      </c>
      <c r="F591" s="22">
        <f t="shared" si="8"/>
        <v>105.7688803</v>
      </c>
      <c r="G591" s="22">
        <f t="shared" si="31"/>
        <v>-17.70553151</v>
      </c>
      <c r="H591" s="22">
        <f t="shared" si="32"/>
        <v>3.150967713</v>
      </c>
      <c r="I591" s="22">
        <f t="shared" si="3"/>
        <v>0.7469933518</v>
      </c>
      <c r="J591" s="22">
        <f t="shared" si="33"/>
        <v>-0.03578098155</v>
      </c>
    </row>
    <row r="592" ht="15.75" customHeight="1">
      <c r="A592" s="25">
        <f>IFERROR(__xludf.DUMMYFUNCTION("""COMPUTED_VALUE"""),40269.666666666664)</f>
        <v>40269.66667</v>
      </c>
      <c r="B592" s="22">
        <f>IFERROR(__xludf.DUMMYFUNCTION("""COMPUTED_VALUE"""),1178.1)</f>
        <v>1178.1</v>
      </c>
      <c r="C592" s="22">
        <f t="shared" si="6"/>
        <v>1178.617244</v>
      </c>
      <c r="D592" s="25">
        <f>IFERROR(__xludf.DUMMYFUNCTION("""COMPUTED_VALUE"""),40270.99861111111)</f>
        <v>40270.99861</v>
      </c>
      <c r="E592" s="22">
        <f>IFERROR(__xludf.DUMMYFUNCTION("""COMPUTED_VALUE"""),1.3499)</f>
        <v>1.3499</v>
      </c>
      <c r="F592" s="22">
        <f t="shared" si="8"/>
        <v>107.7058694</v>
      </c>
      <c r="G592" s="22">
        <f t="shared" si="31"/>
        <v>-17.41815253</v>
      </c>
      <c r="H592" s="22">
        <f t="shared" si="32"/>
        <v>4.57130939</v>
      </c>
      <c r="I592" s="22">
        <f t="shared" si="3"/>
        <v>0.7407956145</v>
      </c>
      <c r="J592" s="22">
        <f t="shared" si="33"/>
        <v>-0.04622564634</v>
      </c>
    </row>
    <row r="593" ht="15.75" customHeight="1">
      <c r="A593" s="25">
        <f>IFERROR(__xludf.DUMMYFUNCTION("""COMPUTED_VALUE"""),40277.666666666664)</f>
        <v>40277.66667</v>
      </c>
      <c r="B593" s="22">
        <f>IFERROR(__xludf.DUMMYFUNCTION("""COMPUTED_VALUE"""),1194.37)</f>
        <v>1194.37</v>
      </c>
      <c r="C593" s="22">
        <f t="shared" si="6"/>
        <v>1194.892347</v>
      </c>
      <c r="D593" s="25">
        <f>IFERROR(__xludf.DUMMYFUNCTION("""COMPUTED_VALUE"""),40277.99861111111)</f>
        <v>40277.99861</v>
      </c>
      <c r="E593" s="22">
        <f>IFERROR(__xludf.DUMMYFUNCTION("""COMPUTED_VALUE"""),1.3499)</f>
        <v>1.3499</v>
      </c>
      <c r="F593" s="22">
        <f t="shared" si="8"/>
        <v>109.1931411</v>
      </c>
      <c r="G593" s="22">
        <f t="shared" si="31"/>
        <v>-17.95544653</v>
      </c>
      <c r="H593" s="22">
        <f t="shared" si="32"/>
        <v>9.678057723</v>
      </c>
      <c r="I593" s="22">
        <f t="shared" si="3"/>
        <v>0.7407956145</v>
      </c>
      <c r="J593" s="22">
        <f t="shared" si="33"/>
        <v>-0.04696644196</v>
      </c>
    </row>
    <row r="594" ht="15.75" customHeight="1">
      <c r="A594" s="25">
        <f>IFERROR(__xludf.DUMMYFUNCTION("""COMPUTED_VALUE"""),40284.666666666664)</f>
        <v>40284.66667</v>
      </c>
      <c r="B594" s="22">
        <f>IFERROR(__xludf.DUMMYFUNCTION("""COMPUTED_VALUE"""),1192.13)</f>
        <v>1192.13</v>
      </c>
      <c r="C594" s="22">
        <f t="shared" si="6"/>
        <v>1192.659561</v>
      </c>
      <c r="D594" s="25">
        <f>IFERROR(__xludf.DUMMYFUNCTION("""COMPUTED_VALUE"""),40285.99861111111)</f>
        <v>40285.99861</v>
      </c>
      <c r="E594" s="22">
        <f>IFERROR(__xludf.DUMMYFUNCTION("""COMPUTED_VALUE"""),1.3483)</f>
        <v>1.3483</v>
      </c>
      <c r="F594" s="22">
        <f t="shared" si="8"/>
        <v>108.8599201</v>
      </c>
      <c r="G594" s="22">
        <f t="shared" si="31"/>
        <v>-20.2830621</v>
      </c>
      <c r="H594" s="22">
        <f t="shared" si="32"/>
        <v>6.865496661</v>
      </c>
      <c r="I594" s="22">
        <f t="shared" si="3"/>
        <v>0.7416747015</v>
      </c>
      <c r="J594" s="22">
        <f t="shared" si="33"/>
        <v>-0.03174367722</v>
      </c>
    </row>
    <row r="595" ht="15.75" customHeight="1">
      <c r="A595" s="25">
        <f>IFERROR(__xludf.DUMMYFUNCTION("""COMPUTED_VALUE"""),40291.666666666664)</f>
        <v>40291.66667</v>
      </c>
      <c r="B595" s="22">
        <f>IFERROR(__xludf.DUMMYFUNCTION("""COMPUTED_VALUE"""),1217.28)</f>
        <v>1217.28</v>
      </c>
      <c r="C595" s="22">
        <f t="shared" si="6"/>
        <v>1217.808568</v>
      </c>
      <c r="D595" s="25">
        <f>IFERROR(__xludf.DUMMYFUNCTION("""COMPUTED_VALUE"""),40291.99861111111)</f>
        <v>40291.99861</v>
      </c>
      <c r="E595" s="22">
        <f>IFERROR(__xludf.DUMMYFUNCTION("""COMPUTED_VALUE"""),1.3381)</f>
        <v>1.3381</v>
      </c>
      <c r="F595" s="22">
        <f t="shared" si="8"/>
        <v>110.3144943</v>
      </c>
      <c r="G595" s="22">
        <f t="shared" si="31"/>
        <v>-20.14371404</v>
      </c>
      <c r="H595" s="22">
        <f t="shared" si="32"/>
        <v>9.40924366</v>
      </c>
      <c r="I595" s="22">
        <f t="shared" si="3"/>
        <v>0.7473283013</v>
      </c>
      <c r="J595" s="22">
        <f t="shared" si="33"/>
        <v>-0.03826320903</v>
      </c>
    </row>
    <row r="596" ht="15.75" customHeight="1">
      <c r="A596" s="25">
        <f>IFERROR(__xludf.DUMMYFUNCTION("""COMPUTED_VALUE"""),40298.666666666664)</f>
        <v>40298.66667</v>
      </c>
      <c r="B596" s="22">
        <f>IFERROR(__xludf.DUMMYFUNCTION("""COMPUTED_VALUE"""),1186.69)</f>
        <v>1186.69</v>
      </c>
      <c r="C596" s="22">
        <f t="shared" si="6"/>
        <v>1187.229719</v>
      </c>
      <c r="D596" s="25">
        <f>IFERROR(__xludf.DUMMYFUNCTION("""COMPUTED_VALUE"""),40299.99861111111)</f>
        <v>40299.99861</v>
      </c>
      <c r="E596" s="22">
        <f>IFERROR(__xludf.DUMMYFUNCTION("""COMPUTED_VALUE"""),1.33)</f>
        <v>1.33</v>
      </c>
      <c r="F596" s="22">
        <f t="shared" si="8"/>
        <v>106.893521</v>
      </c>
      <c r="G596" s="22">
        <f t="shared" si="31"/>
        <v>-22.83500298</v>
      </c>
      <c r="H596" s="22">
        <f t="shared" si="32"/>
        <v>5.186609359</v>
      </c>
      <c r="I596" s="22">
        <f t="shared" si="3"/>
        <v>0.7518796992</v>
      </c>
      <c r="J596" s="22">
        <f t="shared" si="33"/>
        <v>-0.03684210526</v>
      </c>
    </row>
    <row r="597" ht="15.75" customHeight="1">
      <c r="A597" s="25">
        <f>IFERROR(__xludf.DUMMYFUNCTION("""COMPUTED_VALUE"""),40305.666666666664)</f>
        <v>40305.66667</v>
      </c>
      <c r="B597" s="22">
        <f>IFERROR(__xludf.DUMMYFUNCTION("""COMPUTED_VALUE"""),1110.88)</f>
        <v>1110.88</v>
      </c>
      <c r="C597" s="22">
        <f t="shared" si="6"/>
        <v>1111.406156</v>
      </c>
      <c r="D597" s="25">
        <f>IFERROR(__xludf.DUMMYFUNCTION("""COMPUTED_VALUE"""),40306.99861111111)</f>
        <v>40306.99861</v>
      </c>
      <c r="E597" s="22">
        <f>IFERROR(__xludf.DUMMYFUNCTION("""COMPUTED_VALUE"""),1.2718)</f>
        <v>1.2718</v>
      </c>
      <c r="F597" s="22">
        <f t="shared" si="8"/>
        <v>95.68780692</v>
      </c>
      <c r="G597" s="22">
        <f t="shared" si="31"/>
        <v>-30.62352058</v>
      </c>
      <c r="H597" s="22">
        <f t="shared" si="32"/>
        <v>-2.944809574</v>
      </c>
      <c r="I597" s="22">
        <f t="shared" si="3"/>
        <v>0.7862871521</v>
      </c>
      <c r="J597" s="22">
        <f t="shared" si="33"/>
        <v>-0.008177386382</v>
      </c>
    </row>
    <row r="598" ht="15.75" customHeight="1">
      <c r="A598" s="25">
        <f>IFERROR(__xludf.DUMMYFUNCTION("""COMPUTED_VALUE"""),40312.666666666664)</f>
        <v>40312.66667</v>
      </c>
      <c r="B598" s="22">
        <f>IFERROR(__xludf.DUMMYFUNCTION("""COMPUTED_VALUE"""),1135.68)</f>
        <v>1135.68</v>
      </c>
      <c r="C598" s="22">
        <f t="shared" si="6"/>
        <v>1136.172543</v>
      </c>
      <c r="D598" s="25">
        <f>IFERROR(__xludf.DUMMYFUNCTION("""COMPUTED_VALUE"""),40312.99861111111)</f>
        <v>40312.99861</v>
      </c>
      <c r="E598" s="22">
        <f>IFERROR(__xludf.DUMMYFUNCTION("""COMPUTED_VALUE"""),1.2359)</f>
        <v>1.2359</v>
      </c>
      <c r="F598" s="22">
        <f t="shared" si="8"/>
        <v>95.05886063</v>
      </c>
      <c r="G598" s="22">
        <f t="shared" si="31"/>
        <v>-31.77346966</v>
      </c>
      <c r="H598" s="22">
        <f t="shared" si="32"/>
        <v>-5.959924916</v>
      </c>
      <c r="I598" s="22">
        <f t="shared" si="3"/>
        <v>0.809126952</v>
      </c>
      <c r="J598" s="22">
        <f t="shared" si="33"/>
        <v>0.01545432478</v>
      </c>
    </row>
    <row r="599" ht="15.75" customHeight="1">
      <c r="A599" s="25">
        <f>IFERROR(__xludf.DUMMYFUNCTION("""COMPUTED_VALUE"""),40319.666666666664)</f>
        <v>40319.66667</v>
      </c>
      <c r="B599" s="22">
        <f>IFERROR(__xludf.DUMMYFUNCTION("""COMPUTED_VALUE"""),1087.69)</f>
        <v>1087.69</v>
      </c>
      <c r="C599" s="22">
        <f t="shared" si="6"/>
        <v>1088.193539</v>
      </c>
      <c r="D599" s="25">
        <f>IFERROR(__xludf.DUMMYFUNCTION("""COMPUTED_VALUE"""),40319.99861111111)</f>
        <v>40319.99861</v>
      </c>
      <c r="E599" s="22">
        <f>IFERROR(__xludf.DUMMYFUNCTION("""COMPUTED_VALUE"""),1.2583)</f>
        <v>1.2583</v>
      </c>
      <c r="F599" s="22">
        <f t="shared" si="8"/>
        <v>92.6947894</v>
      </c>
      <c r="G599" s="22">
        <f t="shared" si="31"/>
        <v>-32.83944446</v>
      </c>
      <c r="H599" s="22">
        <f t="shared" si="32"/>
        <v>-9.221542286</v>
      </c>
      <c r="I599" s="22">
        <f t="shared" si="3"/>
        <v>0.794723039</v>
      </c>
      <c r="J599" s="22">
        <f t="shared" si="33"/>
        <v>-0.0004768338234</v>
      </c>
    </row>
    <row r="600" ht="15.75" customHeight="1">
      <c r="A600" s="25">
        <f>IFERROR(__xludf.DUMMYFUNCTION("""COMPUTED_VALUE"""),40326.666666666664)</f>
        <v>40326.66667</v>
      </c>
      <c r="B600" s="22">
        <f>IFERROR(__xludf.DUMMYFUNCTION("""COMPUTED_VALUE"""),1089.41)</f>
        <v>1089.41</v>
      </c>
      <c r="C600" s="22">
        <f t="shared" si="6"/>
        <v>1089.892261</v>
      </c>
      <c r="D600" s="25">
        <f>IFERROR(__xludf.DUMMYFUNCTION("""COMPUTED_VALUE"""),40327.99861111111)</f>
        <v>40327.99861</v>
      </c>
      <c r="E600" s="22">
        <f>IFERROR(__xludf.DUMMYFUNCTION("""COMPUTED_VALUE"""),1.2366)</f>
        <v>1.2366</v>
      </c>
      <c r="F600" s="22">
        <f t="shared" si="8"/>
        <v>91.2384279</v>
      </c>
      <c r="G600" s="22">
        <f t="shared" si="31"/>
        <v>-34.73722373</v>
      </c>
      <c r="H600" s="22">
        <f t="shared" si="32"/>
        <v>-7.863323677</v>
      </c>
      <c r="I600" s="22">
        <f t="shared" si="3"/>
        <v>0.8086689309</v>
      </c>
      <c r="J600" s="22">
        <f t="shared" si="33"/>
        <v>-0.01140223193</v>
      </c>
    </row>
    <row r="601" ht="15.75" customHeight="1">
      <c r="A601" s="25">
        <f>IFERROR(__xludf.DUMMYFUNCTION("""COMPUTED_VALUE"""),40333.666666666664)</f>
        <v>40333.66667</v>
      </c>
      <c r="B601" s="22">
        <f>IFERROR(__xludf.DUMMYFUNCTION("""COMPUTED_VALUE"""),1064.88)</f>
        <v>1064.88</v>
      </c>
      <c r="C601" s="22">
        <f t="shared" si="6"/>
        <v>1065.363024</v>
      </c>
      <c r="D601" s="25">
        <f>IFERROR(__xludf.DUMMYFUNCTION("""COMPUTED_VALUE"""),40334.99861111111)</f>
        <v>40334.99861</v>
      </c>
      <c r="E601" s="22">
        <f>IFERROR(__xludf.DUMMYFUNCTION("""COMPUTED_VALUE"""),1.1997)</f>
        <v>1.1997</v>
      </c>
      <c r="F601" s="22">
        <f t="shared" si="8"/>
        <v>86.52373543</v>
      </c>
      <c r="G601" s="22">
        <f t="shared" si="31"/>
        <v>-36.63652819</v>
      </c>
      <c r="H601" s="22">
        <f t="shared" si="32"/>
        <v>-12.09357775</v>
      </c>
      <c r="I601" s="22">
        <f t="shared" si="3"/>
        <v>0.8335417188</v>
      </c>
      <c r="J601" s="22">
        <f t="shared" si="33"/>
        <v>0.01108610486</v>
      </c>
    </row>
    <row r="602" ht="15.75" customHeight="1">
      <c r="A602" s="25">
        <f>IFERROR(__xludf.DUMMYFUNCTION("""COMPUTED_VALUE"""),40340.666666666664)</f>
        <v>40340.66667</v>
      </c>
      <c r="B602" s="22">
        <f>IFERROR(__xludf.DUMMYFUNCTION("""COMPUTED_VALUE"""),1091.6)</f>
        <v>1091.6</v>
      </c>
      <c r="C602" s="22">
        <f t="shared" si="6"/>
        <v>1092.072148</v>
      </c>
      <c r="D602" s="25">
        <f>IFERROR(__xludf.DUMMYFUNCTION("""COMPUTED_VALUE"""),40341.99861111111)</f>
        <v>40341.99861</v>
      </c>
      <c r="E602" s="22">
        <f>IFERROR(__xludf.DUMMYFUNCTION("""COMPUTED_VALUE"""),1.2116)</f>
        <v>1.2116</v>
      </c>
      <c r="F602" s="22">
        <f t="shared" si="8"/>
        <v>89.57268198</v>
      </c>
      <c r="G602" s="22">
        <f t="shared" si="31"/>
        <v>-35.49241231</v>
      </c>
      <c r="H602" s="22">
        <f t="shared" si="32"/>
        <v>-11.44167141</v>
      </c>
      <c r="I602" s="22">
        <f t="shared" si="3"/>
        <v>0.8253549026</v>
      </c>
      <c r="J602" s="22">
        <f t="shared" si="33"/>
        <v>0.01287553648</v>
      </c>
    </row>
    <row r="603" ht="15.75" customHeight="1">
      <c r="A603" s="25">
        <f>IFERROR(__xludf.DUMMYFUNCTION("""COMPUTED_VALUE"""),40347.666666666664)</f>
        <v>40347.66667</v>
      </c>
      <c r="B603" s="22">
        <f>IFERROR(__xludf.DUMMYFUNCTION("""COMPUTED_VALUE"""),1117.51)</f>
        <v>1117.51</v>
      </c>
      <c r="C603" s="22">
        <f t="shared" si="6"/>
        <v>1117.993995</v>
      </c>
      <c r="D603" s="25">
        <f>IFERROR(__xludf.DUMMYFUNCTION("""COMPUTED_VALUE"""),40348.99861111111)</f>
        <v>40348.99861</v>
      </c>
      <c r="E603" s="22">
        <f>IFERROR(__xludf.DUMMYFUNCTION("""COMPUTED_VALUE"""),1.23728)</f>
        <v>1.23728</v>
      </c>
      <c r="F603" s="22">
        <f t="shared" si="8"/>
        <v>93.64238063</v>
      </c>
      <c r="G603" s="22">
        <f t="shared" si="31"/>
        <v>-31.66540461</v>
      </c>
      <c r="H603" s="22">
        <f t="shared" si="32"/>
        <v>-4.031420739</v>
      </c>
      <c r="I603" s="22">
        <f t="shared" si="3"/>
        <v>0.8082244924</v>
      </c>
      <c r="J603" s="22">
        <f t="shared" si="33"/>
        <v>-0.0227757662</v>
      </c>
    </row>
    <row r="604" ht="15.75" customHeight="1">
      <c r="A604" s="25">
        <f>IFERROR(__xludf.DUMMYFUNCTION("""COMPUTED_VALUE"""),40354.666666666664)</f>
        <v>40354.66667</v>
      </c>
      <c r="B604" s="22">
        <f>IFERROR(__xludf.DUMMYFUNCTION("""COMPUTED_VALUE"""),1076.76)</f>
        <v>1076.76</v>
      </c>
      <c r="C604" s="22">
        <f t="shared" si="6"/>
        <v>1077.255483</v>
      </c>
      <c r="D604" s="25">
        <f>IFERROR(__xludf.DUMMYFUNCTION("""COMPUTED_VALUE"""),40354.99861111111)</f>
        <v>40354.99861</v>
      </c>
      <c r="E604" s="22">
        <f>IFERROR(__xludf.DUMMYFUNCTION("""COMPUTED_VALUE"""),1.2374)</f>
        <v>1.2374</v>
      </c>
      <c r="F604" s="22">
        <f t="shared" si="8"/>
        <v>90.23890303</v>
      </c>
      <c r="G604" s="22">
        <f t="shared" si="31"/>
        <v>-34.50890875</v>
      </c>
      <c r="H604" s="22">
        <f t="shared" si="32"/>
        <v>-6.503449638</v>
      </c>
      <c r="I604" s="22">
        <f t="shared" si="3"/>
        <v>0.8081461128</v>
      </c>
      <c r="J604" s="22">
        <f t="shared" si="33"/>
        <v>-0.0358008728</v>
      </c>
    </row>
    <row r="605" ht="15.75" customHeight="1">
      <c r="A605" s="25">
        <f>IFERROR(__xludf.DUMMYFUNCTION("""COMPUTED_VALUE"""),40361.666666666664)</f>
        <v>40361.66667</v>
      </c>
      <c r="B605" s="22">
        <f>IFERROR(__xludf.DUMMYFUNCTION("""COMPUTED_VALUE"""),1022.58)</f>
        <v>1022.58</v>
      </c>
      <c r="C605" s="22">
        <f t="shared" si="6"/>
        <v>1023.057415</v>
      </c>
      <c r="D605" s="25">
        <f>IFERROR(__xludf.DUMMYFUNCTION("""COMPUTED_VALUE"""),40362.99861111111)</f>
        <v>40362.99861</v>
      </c>
      <c r="E605" s="22">
        <f>IFERROR(__xludf.DUMMYFUNCTION("""COMPUTED_VALUE"""),1.2574)</f>
        <v>1.2574</v>
      </c>
      <c r="F605" s="22">
        <f t="shared" si="8"/>
        <v>87.08401539</v>
      </c>
      <c r="G605" s="22">
        <f t="shared" si="31"/>
        <v>-38.32696935</v>
      </c>
      <c r="H605" s="22">
        <f t="shared" si="32"/>
        <v>-11.3955076</v>
      </c>
      <c r="I605" s="22">
        <f t="shared" si="3"/>
        <v>0.7952918721</v>
      </c>
      <c r="J605" s="22">
        <f t="shared" si="33"/>
        <v>-0.04763798314</v>
      </c>
    </row>
    <row r="606" ht="15.75" customHeight="1">
      <c r="A606" s="25">
        <f>IFERROR(__xludf.DUMMYFUNCTION("""COMPUTED_VALUE"""),40368.666666666664)</f>
        <v>40368.66667</v>
      </c>
      <c r="B606" s="22">
        <f>IFERROR(__xludf.DUMMYFUNCTION("""COMPUTED_VALUE"""),1077.96)</f>
        <v>1077.96</v>
      </c>
      <c r="C606" s="22">
        <f t="shared" si="6"/>
        <v>1078.413393</v>
      </c>
      <c r="D606" s="25">
        <f>IFERROR(__xludf.DUMMYFUNCTION("""COMPUTED_VALUE"""),40369.99861111111)</f>
        <v>40369.99861</v>
      </c>
      <c r="E606" s="22">
        <f>IFERROR(__xludf.DUMMYFUNCTION("""COMPUTED_VALUE"""),1.2642)</f>
        <v>1.2642</v>
      </c>
      <c r="F606" s="22">
        <f t="shared" si="8"/>
        <v>92.29242155</v>
      </c>
      <c r="G606" s="22">
        <f t="shared" si="31"/>
        <v>-36.30593941</v>
      </c>
      <c r="H606" s="22">
        <f t="shared" si="32"/>
        <v>-7.817056141</v>
      </c>
      <c r="I606" s="22">
        <f t="shared" si="3"/>
        <v>0.7910140801</v>
      </c>
      <c r="J606" s="22">
        <f t="shared" si="33"/>
        <v>-0.04769814903</v>
      </c>
    </row>
    <row r="607" ht="15.75" customHeight="1">
      <c r="A607" s="25">
        <f>IFERROR(__xludf.DUMMYFUNCTION("""COMPUTED_VALUE"""),40375.666666666664)</f>
        <v>40375.66667</v>
      </c>
      <c r="B607" s="22">
        <f>IFERROR(__xludf.DUMMYFUNCTION("""COMPUTED_VALUE"""),1064.88)</f>
        <v>1064.88</v>
      </c>
      <c r="C607" s="22">
        <f t="shared" si="6"/>
        <v>1065.357947</v>
      </c>
      <c r="D607" s="25">
        <f>IFERROR(__xludf.DUMMYFUNCTION("""COMPUTED_VALUE"""),40376.99861111111)</f>
        <v>40376.99861</v>
      </c>
      <c r="E607" s="22">
        <f>IFERROR(__xludf.DUMMYFUNCTION("""COMPUTED_VALUE"""),1.2918)</f>
        <v>1.2918</v>
      </c>
      <c r="F607" s="22">
        <f t="shared" si="8"/>
        <v>93.16564876</v>
      </c>
      <c r="G607" s="22">
        <f t="shared" si="31"/>
        <v>-35.14465353</v>
      </c>
      <c r="H607" s="22">
        <f t="shared" si="32"/>
        <v>-7.494937237</v>
      </c>
      <c r="I607" s="22">
        <f t="shared" si="3"/>
        <v>0.7741136399</v>
      </c>
      <c r="J607" s="22">
        <f t="shared" si="33"/>
        <v>-0.06688341849</v>
      </c>
    </row>
    <row r="608" ht="15.75" customHeight="1">
      <c r="A608" s="25">
        <f>IFERROR(__xludf.DUMMYFUNCTION("""COMPUTED_VALUE"""),40382.666666666664)</f>
        <v>40382.66667</v>
      </c>
      <c r="B608" s="22">
        <f>IFERROR(__xludf.DUMMYFUNCTION("""COMPUTED_VALUE"""),1102.66)</f>
        <v>1102.66</v>
      </c>
      <c r="C608" s="22">
        <f t="shared" si="6"/>
        <v>1103.132148</v>
      </c>
      <c r="D608" s="25">
        <f>IFERROR(__xludf.DUMMYFUNCTION("""COMPUTED_VALUE"""),40383.99861111111)</f>
        <v>40383.99861</v>
      </c>
      <c r="E608" s="22">
        <f>IFERROR(__xludf.DUMMYFUNCTION("""COMPUTED_VALUE"""),1.2862)</f>
        <v>1.2862</v>
      </c>
      <c r="F608" s="22">
        <f t="shared" si="8"/>
        <v>96.05080936</v>
      </c>
      <c r="G608" s="22">
        <f t="shared" si="31"/>
        <v>-28.69798982</v>
      </c>
      <c r="H608" s="22">
        <f t="shared" si="32"/>
        <v>-5.211642144</v>
      </c>
      <c r="I608" s="22">
        <f t="shared" si="3"/>
        <v>0.7774840616</v>
      </c>
      <c r="J608" s="22">
        <f t="shared" si="33"/>
        <v>-0.05745607215</v>
      </c>
    </row>
    <row r="609" ht="15.75" customHeight="1">
      <c r="A609" s="25">
        <f>IFERROR(__xludf.DUMMYFUNCTION("""COMPUTED_VALUE"""),40389.666666666664)</f>
        <v>40389.66667</v>
      </c>
      <c r="B609" s="22">
        <f>IFERROR(__xludf.DUMMYFUNCTION("""COMPUTED_VALUE"""),1101.6)</f>
        <v>1101.6</v>
      </c>
      <c r="C609" s="22">
        <f t="shared" si="6"/>
        <v>1102.088899</v>
      </c>
      <c r="D609" s="25">
        <f>IFERROR(__xludf.DUMMYFUNCTION("""COMPUTED_VALUE"""),40390.99861111111)</f>
        <v>40390.99861</v>
      </c>
      <c r="E609" s="22">
        <f>IFERROR(__xludf.DUMMYFUNCTION("""COMPUTED_VALUE"""),1.3038)</f>
        <v>1.3038</v>
      </c>
      <c r="F609" s="22">
        <f t="shared" si="8"/>
        <v>97.27306198</v>
      </c>
      <c r="G609" s="22">
        <f t="shared" si="31"/>
        <v>-27.30091183</v>
      </c>
      <c r="H609" s="22">
        <f t="shared" si="32"/>
        <v>-6.071399083</v>
      </c>
      <c r="I609" s="22">
        <f t="shared" si="3"/>
        <v>0.766988802</v>
      </c>
      <c r="J609" s="22">
        <f t="shared" si="33"/>
        <v>-0.04371836171</v>
      </c>
    </row>
    <row r="610" ht="15.75" customHeight="1">
      <c r="A610" s="25">
        <f>IFERROR(__xludf.DUMMYFUNCTION("""COMPUTED_VALUE"""),40396.666666666664)</f>
        <v>40396.66667</v>
      </c>
      <c r="B610" s="22">
        <f>IFERROR(__xludf.DUMMYFUNCTION("""COMPUTED_VALUE"""),1121.64)</f>
        <v>1121.64</v>
      </c>
      <c r="C610" s="22">
        <f t="shared" si="6"/>
        <v>1122.128429</v>
      </c>
      <c r="D610" s="25">
        <f>IFERROR(__xludf.DUMMYFUNCTION("""COMPUTED_VALUE"""),40397.99861111111)</f>
        <v>40397.99861</v>
      </c>
      <c r="E610" s="22">
        <f>IFERROR(__xludf.DUMMYFUNCTION("""COMPUTED_VALUE"""),1.3278)</f>
        <v>1.3278</v>
      </c>
      <c r="F610" s="22">
        <f t="shared" si="8"/>
        <v>100.8649347</v>
      </c>
      <c r="G610" s="22">
        <f t="shared" si="31"/>
        <v>-25.18881438</v>
      </c>
      <c r="H610" s="22">
        <f t="shared" si="32"/>
        <v>-2.6748889</v>
      </c>
      <c r="I610" s="22">
        <f t="shared" si="3"/>
        <v>0.7531254707</v>
      </c>
      <c r="J610" s="22">
        <f t="shared" si="33"/>
        <v>-0.06333785209</v>
      </c>
    </row>
    <row r="611" ht="15.75" customHeight="1">
      <c r="A611" s="25">
        <f>IFERROR(__xludf.DUMMYFUNCTION("""COMPUTED_VALUE"""),40403.666666666664)</f>
        <v>40403.66667</v>
      </c>
      <c r="B611" s="22">
        <f>IFERROR(__xludf.DUMMYFUNCTION("""COMPUTED_VALUE"""),1079.25)</f>
        <v>1079.25</v>
      </c>
      <c r="C611" s="22">
        <f t="shared" si="6"/>
        <v>1079.747314</v>
      </c>
      <c r="D611" s="25">
        <f>IFERROR(__xludf.DUMMYFUNCTION("""COMPUTED_VALUE"""),40404.99861111111)</f>
        <v>40404.99861</v>
      </c>
      <c r="E611" s="22">
        <f>IFERROR(__xludf.DUMMYFUNCTION("""COMPUTED_VALUE"""),1.276)</f>
        <v>1.276</v>
      </c>
      <c r="F611" s="22">
        <f t="shared" si="8"/>
        <v>93.26910067</v>
      </c>
      <c r="G611" s="22">
        <f t="shared" si="31"/>
        <v>-29.40322662</v>
      </c>
      <c r="H611" s="22">
        <f t="shared" si="32"/>
        <v>-7.04157756</v>
      </c>
      <c r="I611" s="22">
        <f t="shared" si="3"/>
        <v>0.7836990596</v>
      </c>
      <c r="J611" s="22">
        <f t="shared" si="33"/>
        <v>-0.04811912226</v>
      </c>
    </row>
    <row r="612" ht="15.75" customHeight="1">
      <c r="A612" s="25">
        <f>IFERROR(__xludf.DUMMYFUNCTION("""COMPUTED_VALUE"""),40410.666666666664)</f>
        <v>40410.66667</v>
      </c>
      <c r="B612" s="22">
        <f>IFERROR(__xludf.DUMMYFUNCTION("""COMPUTED_VALUE"""),1071.69)</f>
        <v>1071.69</v>
      </c>
      <c r="C612" s="22">
        <f t="shared" si="6"/>
        <v>1072.168519</v>
      </c>
      <c r="D612" s="25">
        <f>IFERROR(__xludf.DUMMYFUNCTION("""COMPUTED_VALUE"""),40411.99861111111)</f>
        <v>40411.99861</v>
      </c>
      <c r="E612" s="22">
        <f>IFERROR(__xludf.DUMMYFUNCTION("""COMPUTED_VALUE"""),1.2711)</f>
        <v>1.2711</v>
      </c>
      <c r="F612" s="22">
        <f t="shared" si="8"/>
        <v>92.25878959</v>
      </c>
      <c r="G612" s="22">
        <f t="shared" si="31"/>
        <v>-32.60437139</v>
      </c>
      <c r="H612" s="22">
        <f t="shared" si="32"/>
        <v>-8.009361725</v>
      </c>
      <c r="I612" s="22">
        <f t="shared" si="3"/>
        <v>0.7867201636</v>
      </c>
      <c r="J612" s="22">
        <f t="shared" si="33"/>
        <v>-0.03327826292</v>
      </c>
    </row>
    <row r="613" ht="15.75" customHeight="1">
      <c r="A613" s="25">
        <f>IFERROR(__xludf.DUMMYFUNCTION("""COMPUTED_VALUE"""),40417.666666666664)</f>
        <v>40417.66667</v>
      </c>
      <c r="B613" s="22">
        <f>IFERROR(__xludf.DUMMYFUNCTION("""COMPUTED_VALUE"""),1064.59)</f>
        <v>1064.59</v>
      </c>
      <c r="C613" s="22">
        <f t="shared" si="6"/>
        <v>1065.065167</v>
      </c>
      <c r="D613" s="25">
        <f>IFERROR(__xludf.DUMMYFUNCTION("""COMPUTED_VALUE"""),40418.99861111111)</f>
        <v>40418.99861</v>
      </c>
      <c r="E613" s="22">
        <f>IFERROR(__xludf.DUMMYFUNCTION("""COMPUTED_VALUE"""),1.2764)</f>
        <v>1.2764</v>
      </c>
      <c r="F613" s="22">
        <f t="shared" si="8"/>
        <v>92.02969004</v>
      </c>
      <c r="G613" s="22">
        <f t="shared" si="31"/>
        <v>-32.31908383</v>
      </c>
      <c r="H613" s="22">
        <f t="shared" si="32"/>
        <v>-10.92106323</v>
      </c>
      <c r="I613" s="22">
        <f t="shared" si="3"/>
        <v>0.7834534629</v>
      </c>
      <c r="J613" s="22">
        <f t="shared" si="33"/>
        <v>-0.01880288311</v>
      </c>
    </row>
    <row r="614" ht="15.75" customHeight="1">
      <c r="A614" s="25">
        <f>IFERROR(__xludf.DUMMYFUNCTION("""COMPUTED_VALUE"""),40424.666666666664)</f>
        <v>40424.66667</v>
      </c>
      <c r="B614" s="22">
        <f>IFERROR(__xludf.DUMMYFUNCTION("""COMPUTED_VALUE"""),1104.51)</f>
        <v>1104.51</v>
      </c>
      <c r="C614" s="22">
        <f t="shared" si="6"/>
        <v>1104.982019</v>
      </c>
      <c r="D614" s="25">
        <f>IFERROR(__xludf.DUMMYFUNCTION("""COMPUTED_VALUE"""),40425.99861111111)</f>
        <v>40425.99861</v>
      </c>
      <c r="E614" s="22">
        <f>IFERROR(__xludf.DUMMYFUNCTION("""COMPUTED_VALUE"""),1.2881)</f>
        <v>1.2881</v>
      </c>
      <c r="F614" s="22">
        <f t="shared" si="8"/>
        <v>96.35400558</v>
      </c>
      <c r="G614" s="22">
        <f t="shared" si="31"/>
        <v>-28.9047998</v>
      </c>
      <c r="H614" s="22">
        <f t="shared" si="32"/>
        <v>-7.507849084</v>
      </c>
      <c r="I614" s="22">
        <f t="shared" si="3"/>
        <v>0.7763372409</v>
      </c>
      <c r="J614" s="22">
        <f t="shared" si="33"/>
        <v>-0.03811815853</v>
      </c>
    </row>
    <row r="615" ht="15.75" customHeight="1">
      <c r="A615" s="25">
        <f>IFERROR(__xludf.DUMMYFUNCTION("""COMPUTED_VALUE"""),40431.666666666664)</f>
        <v>40431.66667</v>
      </c>
      <c r="B615" s="22">
        <f>IFERROR(__xludf.DUMMYFUNCTION("""COMPUTED_VALUE"""),1109.55)</f>
        <v>1109.55</v>
      </c>
      <c r="C615" s="22">
        <f t="shared" si="6"/>
        <v>1110.039719</v>
      </c>
      <c r="D615" s="25">
        <f>IFERROR(__xludf.DUMMYFUNCTION("""COMPUTED_VALUE"""),40432.99861111111)</f>
        <v>40432.99861</v>
      </c>
      <c r="E615" s="22">
        <f>IFERROR(__xludf.DUMMYFUNCTION("""COMPUTED_VALUE"""),1.2727)</f>
        <v>1.2727</v>
      </c>
      <c r="F615" s="22">
        <f t="shared" si="8"/>
        <v>95.63779296</v>
      </c>
      <c r="G615" s="22">
        <f t="shared" si="31"/>
        <v>-31.42476873</v>
      </c>
      <c r="H615" s="22">
        <f t="shared" si="32"/>
        <v>-6.749870084</v>
      </c>
      <c r="I615" s="22">
        <f t="shared" si="3"/>
        <v>0.7857311228</v>
      </c>
      <c r="J615" s="22">
        <f t="shared" si="33"/>
        <v>-0.03881511747</v>
      </c>
    </row>
    <row r="616" ht="15.75" customHeight="1">
      <c r="A616" s="25">
        <f>IFERROR(__xludf.DUMMYFUNCTION("""COMPUTED_VALUE"""),40438.666666666664)</f>
        <v>40438.66667</v>
      </c>
      <c r="B616" s="22">
        <f>IFERROR(__xludf.DUMMYFUNCTION("""COMPUTED_VALUE"""),1125.59)</f>
        <v>1125.59</v>
      </c>
      <c r="C616" s="22">
        <f t="shared" si="6"/>
        <v>1126.081953</v>
      </c>
      <c r="D616" s="25">
        <f>IFERROR(__xludf.DUMMYFUNCTION("""COMPUTED_VALUE"""),40439.99861111111)</f>
        <v>40439.99861</v>
      </c>
      <c r="E616" s="22">
        <f>IFERROR(__xludf.DUMMYFUNCTION("""COMPUTED_VALUE"""),1.3044)</f>
        <v>1.3044</v>
      </c>
      <c r="F616" s="22">
        <f t="shared" si="8"/>
        <v>99.43648664</v>
      </c>
      <c r="G616" s="22">
        <f t="shared" si="31"/>
        <v>-31.69854414</v>
      </c>
      <c r="H616" s="22">
        <f t="shared" si="32"/>
        <v>0.3743134015</v>
      </c>
      <c r="I616" s="22">
        <f t="shared" si="3"/>
        <v>0.7666360012</v>
      </c>
      <c r="J616" s="22">
        <f t="shared" si="33"/>
        <v>-0.07727690892</v>
      </c>
    </row>
    <row r="617" ht="15.75" customHeight="1">
      <c r="A617" s="25">
        <f>IFERROR(__xludf.DUMMYFUNCTION("""COMPUTED_VALUE"""),40445.666666666664)</f>
        <v>40445.66667</v>
      </c>
      <c r="B617" s="22">
        <f>IFERROR(__xludf.DUMMYFUNCTION("""COMPUTED_VALUE"""),1148.67)</f>
        <v>1148.67</v>
      </c>
      <c r="C617" s="22">
        <f t="shared" si="6"/>
        <v>1149.169065</v>
      </c>
      <c r="D617" s="25">
        <f>IFERROR(__xludf.DUMMYFUNCTION("""COMPUTED_VALUE"""),40445.99861111111)</f>
        <v>40445.99861</v>
      </c>
      <c r="E617" s="22">
        <f>IFERROR(__xludf.DUMMYFUNCTION("""COMPUTED_VALUE"""),1.3489)</f>
        <v>1.3489</v>
      </c>
      <c r="F617" s="22">
        <f t="shared" si="8"/>
        <v>104.9370047</v>
      </c>
      <c r="G617" s="22">
        <f t="shared" si="31"/>
        <v>-28.83215131</v>
      </c>
      <c r="H617" s="22">
        <f t="shared" si="32"/>
        <v>4.858456743</v>
      </c>
      <c r="I617" s="22">
        <f t="shared" si="3"/>
        <v>0.7413447995</v>
      </c>
      <c r="J617" s="22">
        <f t="shared" si="33"/>
        <v>-0.1085328786</v>
      </c>
    </row>
    <row r="618" ht="15.75" customHeight="1">
      <c r="A618" s="25">
        <f>IFERROR(__xludf.DUMMYFUNCTION("""COMPUTED_VALUE"""),40452.666666666664)</f>
        <v>40452.66667</v>
      </c>
      <c r="B618" s="22">
        <f>IFERROR(__xludf.DUMMYFUNCTION("""COMPUTED_VALUE"""),1146.24)</f>
        <v>1146.24</v>
      </c>
      <c r="C618" s="22">
        <f t="shared" si="6"/>
        <v>1146.749299</v>
      </c>
      <c r="D618" s="25">
        <f>IFERROR(__xludf.DUMMYFUNCTION("""COMPUTED_VALUE"""),40453.99861111111)</f>
        <v>40453.99861</v>
      </c>
      <c r="E618" s="22">
        <f>IFERROR(__xludf.DUMMYFUNCTION("""COMPUTED_VALUE"""),1.379)</f>
        <v>1.379</v>
      </c>
      <c r="F618" s="22">
        <f t="shared" si="8"/>
        <v>107.0527263</v>
      </c>
      <c r="G618" s="22">
        <f t="shared" si="31"/>
        <v>-28.18453145</v>
      </c>
      <c r="H618" s="22">
        <f t="shared" si="32"/>
        <v>8.990010385</v>
      </c>
      <c r="I618" s="22">
        <f t="shared" si="3"/>
        <v>0.7251631617</v>
      </c>
      <c r="J618" s="22">
        <f t="shared" si="33"/>
        <v>-0.1205946338</v>
      </c>
    </row>
    <row r="619" ht="15.75" customHeight="1">
      <c r="A619" s="25">
        <f>IFERROR(__xludf.DUMMYFUNCTION("""COMPUTED_VALUE"""),40459.666666666664)</f>
        <v>40459.66667</v>
      </c>
      <c r="B619" s="22">
        <f>IFERROR(__xludf.DUMMYFUNCTION("""COMPUTED_VALUE"""),1165.15)</f>
        <v>1165.15</v>
      </c>
      <c r="C619" s="22">
        <f t="shared" si="6"/>
        <v>1165.658221</v>
      </c>
      <c r="D619" s="25">
        <f>IFERROR(__xludf.DUMMYFUNCTION("""COMPUTED_VALUE"""),40460.99861111111)</f>
        <v>40460.99861</v>
      </c>
      <c r="E619" s="22">
        <f>IFERROR(__xludf.DUMMYFUNCTION("""COMPUTED_VALUE"""),1.3921)</f>
        <v>1.3921</v>
      </c>
      <c r="F619" s="22">
        <f t="shared" si="8"/>
        <v>109.8516658</v>
      </c>
      <c r="G619" s="22">
        <f t="shared" si="31"/>
        <v>-26.79103045</v>
      </c>
      <c r="H619" s="22">
        <f t="shared" si="32"/>
        <v>13.21477307</v>
      </c>
      <c r="I619" s="22">
        <f t="shared" si="3"/>
        <v>0.7183391998</v>
      </c>
      <c r="J619" s="22">
        <f t="shared" si="33"/>
        <v>-0.1326772502</v>
      </c>
    </row>
    <row r="620" ht="15.75" customHeight="1">
      <c r="A620" s="25">
        <f>IFERROR(__xludf.DUMMYFUNCTION("""COMPUTED_VALUE"""),40466.666666666664)</f>
        <v>40466.66667</v>
      </c>
      <c r="B620" s="22">
        <f>IFERROR(__xludf.DUMMYFUNCTION("""COMPUTED_VALUE"""),1176.19)</f>
        <v>1176.19</v>
      </c>
      <c r="C620" s="22">
        <f t="shared" si="6"/>
        <v>1176.706605</v>
      </c>
      <c r="D620" s="25">
        <f>IFERROR(__xludf.DUMMYFUNCTION("""COMPUTED_VALUE"""),40467.99861111111)</f>
        <v>40467.99861</v>
      </c>
      <c r="E620" s="22">
        <f>IFERROR(__xludf.DUMMYFUNCTION("""COMPUTED_VALUE"""),1.3994)</f>
        <v>1.3994</v>
      </c>
      <c r="F620" s="22">
        <f t="shared" si="8"/>
        <v>111.4743743</v>
      </c>
      <c r="G620" s="22">
        <f t="shared" si="31"/>
        <v>-23.26161026</v>
      </c>
      <c r="H620" s="22">
        <f t="shared" si="32"/>
        <v>16.61014251</v>
      </c>
      <c r="I620" s="22">
        <f t="shared" si="3"/>
        <v>0.714591968</v>
      </c>
      <c r="J620" s="22">
        <f t="shared" si="33"/>
        <v>-0.1449192511</v>
      </c>
    </row>
    <row r="621" ht="15.75" customHeight="1">
      <c r="A621" s="25">
        <f>IFERROR(__xludf.DUMMYFUNCTION("""COMPUTED_VALUE"""),40473.666666666664)</f>
        <v>40473.66667</v>
      </c>
      <c r="B621" s="22">
        <f>IFERROR(__xludf.DUMMYFUNCTION("""COMPUTED_VALUE"""),1183.08)</f>
        <v>1183.08</v>
      </c>
      <c r="C621" s="22">
        <f t="shared" si="6"/>
        <v>1183.6015</v>
      </c>
      <c r="D621" s="25">
        <f>IFERROR(__xludf.DUMMYFUNCTION("""COMPUTED_VALUE"""),40474.99861111111)</f>
        <v>40474.99861</v>
      </c>
      <c r="E621" s="22">
        <f>IFERROR(__xludf.DUMMYFUNCTION("""COMPUTED_VALUE"""),1.3956)</f>
        <v>1.3956</v>
      </c>
      <c r="F621" s="22">
        <f t="shared" si="8"/>
        <v>111.82308</v>
      </c>
      <c r="G621" s="22">
        <f t="shared" si="31"/>
        <v>-25.26918289</v>
      </c>
      <c r="H621" s="22">
        <f t="shared" si="32"/>
        <v>14.22264869</v>
      </c>
      <c r="I621" s="22">
        <f t="shared" si="3"/>
        <v>0.7165376899</v>
      </c>
      <c r="J621" s="22">
        <f t="shared" si="33"/>
        <v>-0.1357122385</v>
      </c>
    </row>
    <row r="622" ht="15.75" customHeight="1">
      <c r="A622" s="25">
        <f>IFERROR(__xludf.DUMMYFUNCTION("""COMPUTED_VALUE"""),40480.666666666664)</f>
        <v>40480.66667</v>
      </c>
      <c r="B622" s="22">
        <f>IFERROR(__xludf.DUMMYFUNCTION("""COMPUTED_VALUE"""),1183.26)</f>
        <v>1183.26</v>
      </c>
      <c r="C622" s="22">
        <f t="shared" si="6"/>
        <v>1183.784555</v>
      </c>
      <c r="D622" s="25">
        <f>IFERROR(__xludf.DUMMYFUNCTION("""COMPUTED_VALUE"""),40481.99861111111)</f>
        <v>40481.99861</v>
      </c>
      <c r="E622" s="22">
        <f>IFERROR(__xludf.DUMMYFUNCTION("""COMPUTED_VALUE"""),1.3946)</f>
        <v>1.3946</v>
      </c>
      <c r="F622" s="22">
        <f t="shared" si="8"/>
        <v>111.7602367</v>
      </c>
      <c r="G622" s="22">
        <f t="shared" si="31"/>
        <v>-24.54260724</v>
      </c>
      <c r="H622" s="22">
        <f t="shared" si="32"/>
        <v>14.49859031</v>
      </c>
      <c r="I622" s="22">
        <f t="shared" si="3"/>
        <v>0.7170514843</v>
      </c>
      <c r="J622" s="22">
        <f t="shared" si="33"/>
        <v>-0.1530187867</v>
      </c>
    </row>
    <row r="623" ht="15.75" customHeight="1">
      <c r="A623" s="25">
        <f>IFERROR(__xludf.DUMMYFUNCTION("""COMPUTED_VALUE"""),40487.666666666664)</f>
        <v>40487.66667</v>
      </c>
      <c r="B623" s="22">
        <f>IFERROR(__xludf.DUMMYFUNCTION("""COMPUTED_VALUE"""),1225.85)</f>
        <v>1225.85</v>
      </c>
      <c r="C623" s="22">
        <f t="shared" si="6"/>
        <v>1226.374635</v>
      </c>
      <c r="D623" s="25">
        <f>IFERROR(__xludf.DUMMYFUNCTION("""COMPUTED_VALUE"""),40488.99861111111)</f>
        <v>40488.99861</v>
      </c>
      <c r="E623" s="22">
        <f>IFERROR(__xludf.DUMMYFUNCTION("""COMPUTED_VALUE"""),1.40307)</f>
        <v>1.40307</v>
      </c>
      <c r="F623" s="22">
        <f t="shared" si="8"/>
        <v>116.4843232</v>
      </c>
      <c r="G623" s="22">
        <f t="shared" si="31"/>
        <v>-19.36773357</v>
      </c>
      <c r="H623" s="22">
        <f t="shared" si="32"/>
        <v>18.70272226</v>
      </c>
      <c r="I623" s="22">
        <f t="shared" si="3"/>
        <v>0.712722815</v>
      </c>
      <c r="J623" s="22">
        <f t="shared" si="33"/>
        <v>-0.1636197766</v>
      </c>
    </row>
    <row r="624" ht="15.75" customHeight="1">
      <c r="A624" s="25">
        <f>IFERROR(__xludf.DUMMYFUNCTION("""COMPUTED_VALUE"""),40494.666666666664)</f>
        <v>40494.66667</v>
      </c>
      <c r="B624" s="22">
        <f>IFERROR(__xludf.DUMMYFUNCTION("""COMPUTED_VALUE"""),1199.21)</f>
        <v>1199.21</v>
      </c>
      <c r="C624" s="22">
        <f t="shared" si="6"/>
        <v>1199.753519</v>
      </c>
      <c r="D624" s="25">
        <f>IFERROR(__xludf.DUMMYFUNCTION("""COMPUTED_VALUE"""),40495.99861111111)</f>
        <v>40495.99861</v>
      </c>
      <c r="E624" s="22">
        <f>IFERROR(__xludf.DUMMYFUNCTION("""COMPUTED_VALUE"""),1.3687)</f>
        <v>1.3687</v>
      </c>
      <c r="F624" s="22">
        <f t="shared" si="8"/>
        <v>111.1642858</v>
      </c>
      <c r="G624" s="22">
        <f t="shared" si="31"/>
        <v>-23.09990701</v>
      </c>
      <c r="H624" s="22">
        <f t="shared" si="32"/>
        <v>11.68048955</v>
      </c>
      <c r="I624" s="22">
        <f t="shared" si="3"/>
        <v>0.7306202966</v>
      </c>
      <c r="J624" s="22">
        <f t="shared" si="33"/>
        <v>-0.1397676627</v>
      </c>
    </row>
    <row r="625" ht="15.75" customHeight="1">
      <c r="A625" s="25">
        <f>IFERROR(__xludf.DUMMYFUNCTION("""COMPUTED_VALUE"""),40501.666666666664)</f>
        <v>40501.66667</v>
      </c>
      <c r="B625" s="22">
        <f>IFERROR(__xludf.DUMMYFUNCTION("""COMPUTED_VALUE"""),1199.73)</f>
        <v>1199.73</v>
      </c>
      <c r="C625" s="22">
        <f t="shared" si="6"/>
        <v>1200.261707</v>
      </c>
      <c r="D625" s="25">
        <f>IFERROR(__xludf.DUMMYFUNCTION("""COMPUTED_VALUE"""),40502.99861111111)</f>
        <v>40502.99861</v>
      </c>
      <c r="E625" s="22">
        <f>IFERROR(__xludf.DUMMYFUNCTION("""COMPUTED_VALUE"""),1.36867)</f>
        <v>1.36867</v>
      </c>
      <c r="F625" s="22">
        <f t="shared" si="8"/>
        <v>111.2089348</v>
      </c>
      <c r="G625" s="22">
        <f t="shared" si="31"/>
        <v>-22.98526118</v>
      </c>
      <c r="H625" s="22">
        <f t="shared" si="32"/>
        <v>10.47213134</v>
      </c>
      <c r="I625" s="22">
        <f t="shared" si="3"/>
        <v>0.7306363112</v>
      </c>
      <c r="J625" s="22">
        <f t="shared" si="33"/>
        <v>-0.1436942433</v>
      </c>
    </row>
    <row r="626" ht="15.75" customHeight="1">
      <c r="A626" s="25">
        <f>IFERROR(__xludf.DUMMYFUNCTION("""COMPUTED_VALUE"""),40508.666666666664)</f>
        <v>40508.66667</v>
      </c>
      <c r="B626" s="22">
        <f>IFERROR(__xludf.DUMMYFUNCTION("""COMPUTED_VALUE"""),1189.4)</f>
        <v>1189.4</v>
      </c>
      <c r="C626" s="22">
        <f t="shared" si="6"/>
        <v>1189.931938</v>
      </c>
      <c r="D626" s="25">
        <f>IFERROR(__xludf.DUMMYFUNCTION("""COMPUTED_VALUE"""),40509.99861111111)</f>
        <v>40509.99861</v>
      </c>
      <c r="E626" s="22">
        <f>IFERROR(__xludf.DUMMYFUNCTION("""COMPUTED_VALUE"""),1.3244)</f>
        <v>1.3244</v>
      </c>
      <c r="F626" s="22">
        <f t="shared" si="8"/>
        <v>106.6857158</v>
      </c>
      <c r="G626" s="22">
        <f t="shared" si="31"/>
        <v>-27.62011533</v>
      </c>
      <c r="H626" s="22">
        <f t="shared" si="32"/>
        <v>6.343389779</v>
      </c>
      <c r="I626" s="22">
        <f t="shared" si="3"/>
        <v>0.7550588946</v>
      </c>
      <c r="J626" s="22">
        <f t="shared" si="33"/>
        <v>-0.1159015403</v>
      </c>
    </row>
    <row r="627" ht="15.75" customHeight="1">
      <c r="A627" s="25">
        <f>IFERROR(__xludf.DUMMYFUNCTION("""COMPUTED_VALUE"""),40515.666666666664)</f>
        <v>40515.66667</v>
      </c>
      <c r="B627" s="22">
        <f>IFERROR(__xludf.DUMMYFUNCTION("""COMPUTED_VALUE"""),1224.71)</f>
        <v>1224.71</v>
      </c>
      <c r="C627" s="22">
        <f t="shared" si="6"/>
        <v>1225.237357</v>
      </c>
      <c r="D627" s="25">
        <f>IFERROR(__xludf.DUMMYFUNCTION("""COMPUTED_VALUE"""),40516.99861111111)</f>
        <v>40516.99861</v>
      </c>
      <c r="E627" s="22">
        <f>IFERROR(__xludf.DUMMYFUNCTION("""COMPUTED_VALUE"""),1.3364)</f>
        <v>1.3364</v>
      </c>
      <c r="F627" s="22">
        <f t="shared" si="8"/>
        <v>110.8464221</v>
      </c>
      <c r="G627" s="22">
        <f t="shared" si="31"/>
        <v>-25.79648646</v>
      </c>
      <c r="H627" s="22">
        <f t="shared" si="32"/>
        <v>10.00514527</v>
      </c>
      <c r="I627" s="22">
        <f t="shared" si="3"/>
        <v>0.7482789584</v>
      </c>
      <c r="J627" s="22">
        <f t="shared" si="33"/>
        <v>-0.1159832386</v>
      </c>
    </row>
    <row r="628" ht="15.75" customHeight="1">
      <c r="A628" s="25">
        <f>IFERROR(__xludf.DUMMYFUNCTION("""COMPUTED_VALUE"""),40522.666666666664)</f>
        <v>40522.66667</v>
      </c>
      <c r="B628" s="22">
        <f>IFERROR(__xludf.DUMMYFUNCTION("""COMPUTED_VALUE"""),1240.4)</f>
        <v>1240.4</v>
      </c>
      <c r="C628" s="22">
        <f t="shared" si="6"/>
        <v>1240.943013</v>
      </c>
      <c r="D628" s="25">
        <f>IFERROR(__xludf.DUMMYFUNCTION("""COMPUTED_VALUE"""),40523.99861111111)</f>
        <v>40523.99861</v>
      </c>
      <c r="E628" s="22">
        <f>IFERROR(__xludf.DUMMYFUNCTION("""COMPUTED_VALUE"""),1.3233)</f>
        <v>1.3233</v>
      </c>
      <c r="F628" s="22">
        <f t="shared" si="8"/>
        <v>111.1668074</v>
      </c>
      <c r="G628" s="22">
        <f t="shared" si="31"/>
        <v>-22.47962852</v>
      </c>
      <c r="H628" s="22">
        <f t="shared" si="32"/>
        <v>7.833421954</v>
      </c>
      <c r="I628" s="22">
        <f t="shared" si="3"/>
        <v>0.7556865412</v>
      </c>
      <c r="J628" s="22">
        <f t="shared" si="33"/>
        <v>-0.09234489534</v>
      </c>
    </row>
    <row r="629" ht="15.75" customHeight="1">
      <c r="A629" s="25">
        <f>IFERROR(__xludf.DUMMYFUNCTION("""COMPUTED_VALUE"""),40529.666666666664)</f>
        <v>40529.66667</v>
      </c>
      <c r="B629" s="22">
        <f>IFERROR(__xludf.DUMMYFUNCTION("""COMPUTED_VALUE"""),1243.91)</f>
        <v>1243.91</v>
      </c>
      <c r="C629" s="22">
        <f t="shared" si="6"/>
        <v>1244.45997</v>
      </c>
      <c r="D629" s="25">
        <f>IFERROR(__xludf.DUMMYFUNCTION("""COMPUTED_VALUE"""),40530.99861111111)</f>
        <v>40530.99861</v>
      </c>
      <c r="E629" s="22">
        <f>IFERROR(__xludf.DUMMYFUNCTION("""COMPUTED_VALUE"""),1.3187)</f>
        <v>1.3187</v>
      </c>
      <c r="F629" s="22">
        <f t="shared" si="8"/>
        <v>111.0943366</v>
      </c>
      <c r="G629" s="22">
        <f t="shared" si="31"/>
        <v>-23.15613909</v>
      </c>
      <c r="H629" s="22">
        <f t="shared" si="32"/>
        <v>8.918605788</v>
      </c>
      <c r="I629" s="22">
        <f t="shared" si="3"/>
        <v>0.7583225904</v>
      </c>
      <c r="J629" s="22">
        <f t="shared" si="33"/>
        <v>-0.0997952529</v>
      </c>
    </row>
    <row r="630" ht="15.75" customHeight="1">
      <c r="A630" s="25">
        <f>IFERROR(__xludf.DUMMYFUNCTION("""COMPUTED_VALUE"""),40535.666666666664)</f>
        <v>40535.66667</v>
      </c>
      <c r="B630" s="22">
        <f>IFERROR(__xludf.DUMMYFUNCTION("""COMPUTED_VALUE"""),1256.77)</f>
        <v>1256.77</v>
      </c>
      <c r="C630" s="22">
        <f t="shared" si="6"/>
        <v>1257.321526</v>
      </c>
      <c r="D630" s="25">
        <f>IFERROR(__xludf.DUMMYFUNCTION("""COMPUTED_VALUE"""),40537.99861111111)</f>
        <v>40537.99861</v>
      </c>
      <c r="E630" s="22">
        <f>IFERROR(__xludf.DUMMYFUNCTION("""COMPUTED_VALUE"""),1.312)</f>
        <v>1.312</v>
      </c>
      <c r="F630" s="22">
        <f t="shared" si="8"/>
        <v>111.6722248</v>
      </c>
      <c r="G630" s="22">
        <f t="shared" si="31"/>
        <v>-24.1951861</v>
      </c>
      <c r="H630" s="22">
        <f t="shared" si="32"/>
        <v>11.71323221</v>
      </c>
      <c r="I630" s="22">
        <f t="shared" si="3"/>
        <v>0.762195122</v>
      </c>
      <c r="J630" s="22">
        <f t="shared" si="33"/>
        <v>-0.0987804878</v>
      </c>
    </row>
    <row r="631" ht="15.75" customHeight="1">
      <c r="A631" s="25">
        <f>IFERROR(__xludf.DUMMYFUNCTION("""COMPUTED_VALUE"""),40543.666666666664)</f>
        <v>40543.66667</v>
      </c>
      <c r="B631" s="22">
        <f>IFERROR(__xludf.DUMMYFUNCTION("""COMPUTED_VALUE"""),1257.64)</f>
        <v>1257.64</v>
      </c>
      <c r="C631" s="22">
        <f t="shared" si="6"/>
        <v>1258.197228</v>
      </c>
      <c r="D631" s="25">
        <f>IFERROR(__xludf.DUMMYFUNCTION("""COMPUTED_VALUE"""),40544.99861111111)</f>
        <v>40544.99861</v>
      </c>
      <c r="E631" s="22">
        <f>IFERROR(__xludf.DUMMYFUNCTION("""COMPUTED_VALUE"""),1.3386)</f>
        <v>1.3386</v>
      </c>
      <c r="F631" s="22">
        <f t="shared" si="8"/>
        <v>114.0156657</v>
      </c>
      <c r="G631" s="22">
        <f t="shared" si="31"/>
        <v>-19.07774985</v>
      </c>
      <c r="H631" s="22">
        <f t="shared" si="32"/>
        <v>7.772918572</v>
      </c>
      <c r="I631" s="22">
        <f t="shared" si="3"/>
        <v>0.7470491558</v>
      </c>
      <c r="J631" s="22">
        <f t="shared" si="33"/>
        <v>-0.09218586583</v>
      </c>
    </row>
    <row r="632" ht="15.75" customHeight="1">
      <c r="A632" s="25">
        <f>IFERROR(__xludf.DUMMYFUNCTION("""COMPUTED_VALUE"""),40550.666666666664)</f>
        <v>40550.66667</v>
      </c>
      <c r="B632" s="22">
        <f>IFERROR(__xludf.DUMMYFUNCTION("""COMPUTED_VALUE"""),1271.5)</f>
        <v>1271.5</v>
      </c>
      <c r="C632" s="22">
        <f t="shared" si="6"/>
        <v>1272.057614</v>
      </c>
      <c r="D632" s="25">
        <f>IFERROR(__xludf.DUMMYFUNCTION("""COMPUTED_VALUE"""),40551.99861111111)</f>
        <v>40551.99861</v>
      </c>
      <c r="E632" s="22">
        <f>IFERROR(__xludf.DUMMYFUNCTION("""COMPUTED_VALUE"""),1.2913)</f>
        <v>1.2913</v>
      </c>
      <c r="F632" s="22">
        <f t="shared" si="8"/>
        <v>111.1984965</v>
      </c>
      <c r="G632" s="22">
        <f t="shared" si="31"/>
        <v>-20.73094679</v>
      </c>
      <c r="H632" s="22">
        <f t="shared" si="32"/>
        <v>5.235505508</v>
      </c>
      <c r="I632" s="22">
        <f t="shared" si="3"/>
        <v>0.7744133819</v>
      </c>
      <c r="J632" s="22">
        <f t="shared" si="33"/>
        <v>-0.0616433052</v>
      </c>
    </row>
    <row r="633" ht="15.75" customHeight="1">
      <c r="A633" s="25">
        <f>IFERROR(__xludf.DUMMYFUNCTION("""COMPUTED_VALUE"""),40557.666666666664)</f>
        <v>40557.66667</v>
      </c>
      <c r="B633" s="22">
        <f>IFERROR(__xludf.DUMMYFUNCTION("""COMPUTED_VALUE"""),1293.24)</f>
        <v>1293.24</v>
      </c>
      <c r="C633" s="22">
        <f t="shared" si="6"/>
        <v>1293.803759</v>
      </c>
      <c r="D633" s="25">
        <f>IFERROR(__xludf.DUMMYFUNCTION("""COMPUTED_VALUE"""),40558.99861111111)</f>
        <v>40558.99861</v>
      </c>
      <c r="E633" s="22">
        <f>IFERROR(__xludf.DUMMYFUNCTION("""COMPUTED_VALUE"""),1.3324)</f>
        <v>1.3324</v>
      </c>
      <c r="F633" s="22">
        <f t="shared" si="8"/>
        <v>116.6992366</v>
      </c>
      <c r="G633" s="22">
        <f t="shared" si="31"/>
        <v>-11.03431354</v>
      </c>
      <c r="H633" s="22">
        <f t="shared" si="32"/>
        <v>12.55042834</v>
      </c>
      <c r="I633" s="22">
        <f t="shared" si="3"/>
        <v>0.7505253678</v>
      </c>
      <c r="J633" s="22">
        <f t="shared" si="33"/>
        <v>-0.08916241369</v>
      </c>
    </row>
    <row r="634" ht="15.75" customHeight="1">
      <c r="A634" s="25">
        <f>IFERROR(__xludf.DUMMYFUNCTION("""COMPUTED_VALUE"""),40564.666666666664)</f>
        <v>40564.66667</v>
      </c>
      <c r="B634" s="22">
        <f>IFERROR(__xludf.DUMMYFUNCTION("""COMPUTED_VALUE"""),1283.35)</f>
        <v>1283.35</v>
      </c>
      <c r="C634" s="22">
        <f t="shared" si="6"/>
        <v>1283.923398</v>
      </c>
      <c r="D634" s="25">
        <f>IFERROR(__xludf.DUMMYFUNCTION("""COMPUTED_VALUE"""),40565.99861111111)</f>
        <v>40565.99861</v>
      </c>
      <c r="E634" s="22">
        <f>IFERROR(__xludf.DUMMYFUNCTION("""COMPUTED_VALUE"""),1.3577)</f>
        <v>1.3577</v>
      </c>
      <c r="F634" s="22">
        <f t="shared" si="8"/>
        <v>118.0070392</v>
      </c>
      <c r="G634" s="22">
        <f t="shared" si="31"/>
        <v>-10.73115645</v>
      </c>
      <c r="H634" s="22">
        <f t="shared" si="32"/>
        <v>12.21260993</v>
      </c>
      <c r="I634" s="22">
        <f t="shared" si="3"/>
        <v>0.7365397363</v>
      </c>
      <c r="J634" s="22">
        <f t="shared" si="33"/>
        <v>-0.1090815349</v>
      </c>
    </row>
    <row r="635" ht="15.75" customHeight="1">
      <c r="A635" s="25">
        <f>IFERROR(__xludf.DUMMYFUNCTION("""COMPUTED_VALUE"""),40571.666666666664)</f>
        <v>40571.66667</v>
      </c>
      <c r="B635" s="22">
        <f>IFERROR(__xludf.DUMMYFUNCTION("""COMPUTED_VALUE"""),1276.34)</f>
        <v>1276.34</v>
      </c>
      <c r="C635" s="22">
        <f t="shared" si="6"/>
        <v>1276.909013</v>
      </c>
      <c r="D635" s="25">
        <f>IFERROR(__xludf.DUMMYFUNCTION("""COMPUTED_VALUE"""),40572.99861111111)</f>
        <v>40572.99861</v>
      </c>
      <c r="E635" s="22">
        <f>IFERROR(__xludf.DUMMYFUNCTION("""COMPUTED_VALUE"""),1.3604)</f>
        <v>1.3604</v>
      </c>
      <c r="F635" s="22">
        <f t="shared" si="8"/>
        <v>117.5957316</v>
      </c>
      <c r="G635" s="22">
        <f t="shared" si="31"/>
        <v>-15.94020675</v>
      </c>
      <c r="H635" s="22">
        <f t="shared" si="32"/>
        <v>14.24171477</v>
      </c>
      <c r="I635" s="22">
        <f t="shared" si="3"/>
        <v>0.7350779183</v>
      </c>
      <c r="J635" s="22">
        <f t="shared" si="33"/>
        <v>-0.1161423111</v>
      </c>
    </row>
    <row r="636" ht="15.75" customHeight="1">
      <c r="A636" s="25">
        <f>IFERROR(__xludf.DUMMYFUNCTION("""COMPUTED_VALUE"""),40578.666666666664)</f>
        <v>40578.66667</v>
      </c>
      <c r="B636" s="22">
        <f>IFERROR(__xludf.DUMMYFUNCTION("""COMPUTED_VALUE"""),1310.87)</f>
        <v>1310.87</v>
      </c>
      <c r="C636" s="22">
        <f t="shared" si="6"/>
        <v>1311.435905</v>
      </c>
      <c r="D636" s="25">
        <f>IFERROR(__xludf.DUMMYFUNCTION("""COMPUTED_VALUE"""),40579.99861111111)</f>
        <v>40579.99861</v>
      </c>
      <c r="E636" s="22">
        <f>IFERROR(__xludf.DUMMYFUNCTION("""COMPUTED_VALUE"""),1.358)</f>
        <v>1.358</v>
      </c>
      <c r="F636" s="22">
        <f t="shared" si="8"/>
        <v>120.5623826</v>
      </c>
      <c r="G636" s="22">
        <f t="shared" si="31"/>
        <v>-7.790762549</v>
      </c>
      <c r="H636" s="22">
        <f t="shared" si="32"/>
        <v>16.46361288</v>
      </c>
      <c r="I636" s="22">
        <f t="shared" si="3"/>
        <v>0.736377025</v>
      </c>
      <c r="J636" s="22">
        <f t="shared" si="33"/>
        <v>-0.111634757</v>
      </c>
    </row>
    <row r="637" ht="15.75" customHeight="1">
      <c r="A637" s="25">
        <f>IFERROR(__xludf.DUMMYFUNCTION("""COMPUTED_VALUE"""),40585.666666666664)</f>
        <v>40585.66667</v>
      </c>
      <c r="B637" s="22">
        <f>IFERROR(__xludf.DUMMYFUNCTION("""COMPUTED_VALUE"""),1329.15)</f>
        <v>1329.15</v>
      </c>
      <c r="C637" s="22">
        <f t="shared" si="6"/>
        <v>1329.731215</v>
      </c>
      <c r="D637" s="25">
        <f>IFERROR(__xludf.DUMMYFUNCTION("""COMPUTED_VALUE"""),40586.99861111111)</f>
        <v>40586.99861</v>
      </c>
      <c r="E637" s="22">
        <f>IFERROR(__xludf.DUMMYFUNCTION("""COMPUTED_VALUE"""),1.3546)</f>
        <v>1.3546</v>
      </c>
      <c r="F637" s="22">
        <f t="shared" si="8"/>
        <v>121.9382386</v>
      </c>
      <c r="G637" s="22">
        <f t="shared" si="31"/>
        <v>-9.087328348</v>
      </c>
      <c r="H637" s="22">
        <f t="shared" si="32"/>
        <v>17.29176815</v>
      </c>
      <c r="I637" s="22">
        <f t="shared" si="3"/>
        <v>0.7382253064</v>
      </c>
      <c r="J637" s="22">
        <f t="shared" si="33"/>
        <v>-0.1196663222</v>
      </c>
    </row>
    <row r="638" ht="15.75" customHeight="1">
      <c r="A638" s="25">
        <f>IFERROR(__xludf.DUMMYFUNCTION("""COMPUTED_VALUE"""),40592.666666666664)</f>
        <v>40592.66667</v>
      </c>
      <c r="B638" s="22">
        <f>IFERROR(__xludf.DUMMYFUNCTION("""COMPUTED_VALUE"""),1343.01)</f>
        <v>1343.01</v>
      </c>
      <c r="C638" s="22">
        <f t="shared" si="6"/>
        <v>1343.59932</v>
      </c>
      <c r="D638" s="25">
        <f>IFERROR(__xludf.DUMMYFUNCTION("""COMPUTED_VALUE"""),40593.99861111111)</f>
        <v>40593.99861</v>
      </c>
      <c r="E638" s="22">
        <f>IFERROR(__xludf.DUMMYFUNCTION("""COMPUTED_VALUE"""),1.367)</f>
        <v>1.367</v>
      </c>
      <c r="F638" s="22">
        <f t="shared" si="8"/>
        <v>124.3378268</v>
      </c>
      <c r="G638" s="22">
        <f t="shared" si="31"/>
        <v>-8.473320158</v>
      </c>
      <c r="H638" s="22">
        <f t="shared" si="32"/>
        <v>19.91896276</v>
      </c>
      <c r="I638" s="22">
        <f t="shared" si="3"/>
        <v>0.7315288954</v>
      </c>
      <c r="J638" s="22">
        <f t="shared" si="33"/>
        <v>-0.1314557425</v>
      </c>
    </row>
    <row r="639" ht="15.75" customHeight="1">
      <c r="A639" s="25">
        <f>IFERROR(__xludf.DUMMYFUNCTION("""COMPUTED_VALUE"""),40599.666666666664)</f>
        <v>40599.66667</v>
      </c>
      <c r="B639" s="22">
        <f>IFERROR(__xludf.DUMMYFUNCTION("""COMPUTED_VALUE"""),1319.88)</f>
        <v>1319.88</v>
      </c>
      <c r="C639" s="22">
        <f t="shared" si="6"/>
        <v>1320.475465</v>
      </c>
      <c r="D639" s="25">
        <f>IFERROR(__xludf.DUMMYFUNCTION("""COMPUTED_VALUE"""),40600.99861111111)</f>
        <v>40600.99861</v>
      </c>
      <c r="E639" s="22">
        <f>IFERROR(__xludf.DUMMYFUNCTION("""COMPUTED_VALUE"""),1.3747)</f>
        <v>1.3747</v>
      </c>
      <c r="F639" s="22">
        <f t="shared" si="8"/>
        <v>122.8862387</v>
      </c>
      <c r="G639" s="22">
        <f t="shared" si="31"/>
        <v>-10.13020863</v>
      </c>
      <c r="H639" s="22">
        <f t="shared" si="32"/>
        <v>17.09407844</v>
      </c>
      <c r="I639" s="22">
        <f t="shared" si="3"/>
        <v>0.7274314396</v>
      </c>
      <c r="J639" s="22">
        <f t="shared" si="33"/>
        <v>-0.124318033</v>
      </c>
    </row>
    <row r="640" ht="15.75" customHeight="1">
      <c r="A640" s="25">
        <f>IFERROR(__xludf.DUMMYFUNCTION("""COMPUTED_VALUE"""),40606.666666666664)</f>
        <v>40606.66667</v>
      </c>
      <c r="B640" s="22">
        <f>IFERROR(__xludf.DUMMYFUNCTION("""COMPUTED_VALUE"""),1321.15)</f>
        <v>1321.15</v>
      </c>
      <c r="C640" s="22">
        <f t="shared" si="6"/>
        <v>1321.73521</v>
      </c>
      <c r="D640" s="25">
        <f>IFERROR(__xludf.DUMMYFUNCTION("""COMPUTED_VALUE"""),40607.99861111111)</f>
        <v>40607.99861</v>
      </c>
      <c r="E640" s="22">
        <f>IFERROR(__xludf.DUMMYFUNCTION("""COMPUTED_VALUE"""),1.3984)</f>
        <v>1.3984</v>
      </c>
      <c r="F640" s="22">
        <f t="shared" si="8"/>
        <v>125.1240684</v>
      </c>
      <c r="G640" s="22">
        <f t="shared" si="31"/>
        <v>-6.931387174</v>
      </c>
      <c r="H640" s="22">
        <f t="shared" si="32"/>
        <v>21.06941276</v>
      </c>
      <c r="I640" s="22">
        <f t="shared" si="3"/>
        <v>0.7151029748</v>
      </c>
      <c r="J640" s="22">
        <f t="shared" si="33"/>
        <v>-0.1485268879</v>
      </c>
    </row>
    <row r="641" ht="15.75" customHeight="1">
      <c r="A641" s="25">
        <f>IFERROR(__xludf.DUMMYFUNCTION("""COMPUTED_VALUE"""),40613.666666666664)</f>
        <v>40613.66667</v>
      </c>
      <c r="B641" s="22">
        <f>IFERROR(__xludf.DUMMYFUNCTION("""COMPUTED_VALUE"""),1304.28)</f>
        <v>1304.28</v>
      </c>
      <c r="C641" s="22">
        <f t="shared" si="6"/>
        <v>1304.865773</v>
      </c>
      <c r="D641" s="25">
        <f>IFERROR(__xludf.DUMMYFUNCTION("""COMPUTED_VALUE"""),40614.99861111111)</f>
        <v>40614.99861</v>
      </c>
      <c r="E641" s="22">
        <f>IFERROR(__xludf.DUMMYFUNCTION("""COMPUTED_VALUE"""),1.3861)</f>
        <v>1.3861</v>
      </c>
      <c r="F641" s="22">
        <f t="shared" si="8"/>
        <v>122.4405821</v>
      </c>
      <c r="G641" s="22">
        <f t="shared" si="31"/>
        <v>-10.10293822</v>
      </c>
      <c r="H641" s="22">
        <f t="shared" si="32"/>
        <v>13.46056446</v>
      </c>
      <c r="I641" s="22">
        <f t="shared" si="3"/>
        <v>0.7214486689</v>
      </c>
      <c r="J641" s="22">
        <f t="shared" si="33"/>
        <v>-0.1206262174</v>
      </c>
    </row>
    <row r="642" ht="15.75" customHeight="1">
      <c r="A642" s="25">
        <f>IFERROR(__xludf.DUMMYFUNCTION("""COMPUTED_VALUE"""),40620.666666666664)</f>
        <v>40620.66667</v>
      </c>
      <c r="B642" s="22">
        <f>IFERROR(__xludf.DUMMYFUNCTION("""COMPUTED_VALUE"""),1279.2)</f>
        <v>1279.2</v>
      </c>
      <c r="C642" s="22">
        <f t="shared" si="6"/>
        <v>1279.778293</v>
      </c>
      <c r="D642" s="25">
        <f>IFERROR(__xludf.DUMMYFUNCTION("""COMPUTED_VALUE"""),40621.99861111111)</f>
        <v>40621.99861</v>
      </c>
      <c r="E642" s="22">
        <f>IFERROR(__xludf.DUMMYFUNCTION("""COMPUTED_VALUE"""),1.41814)</f>
        <v>1.41814</v>
      </c>
      <c r="F642" s="22">
        <f t="shared" si="8"/>
        <v>122.8623531</v>
      </c>
      <c r="G642" s="22">
        <f t="shared" si="31"/>
        <v>-13.05551009</v>
      </c>
      <c r="H642" s="22">
        <f t="shared" si="32"/>
        <v>15.71645556</v>
      </c>
      <c r="I642" s="22">
        <f t="shared" si="3"/>
        <v>0.705148998</v>
      </c>
      <c r="J642" s="22">
        <f t="shared" si="33"/>
        <v>-0.1515647256</v>
      </c>
    </row>
    <row r="643" ht="15.75" customHeight="1">
      <c r="A643" s="25">
        <f>IFERROR(__xludf.DUMMYFUNCTION("""COMPUTED_VALUE"""),40627.666666666664)</f>
        <v>40627.66667</v>
      </c>
      <c r="B643" s="22">
        <f>IFERROR(__xludf.DUMMYFUNCTION("""COMPUTED_VALUE"""),1313.8)</f>
        <v>1313.8</v>
      </c>
      <c r="C643" s="22">
        <f t="shared" si="6"/>
        <v>1314.367173</v>
      </c>
      <c r="D643" s="25">
        <f>IFERROR(__xludf.DUMMYFUNCTION("""COMPUTED_VALUE"""),40628.99861111111)</f>
        <v>40628.99861</v>
      </c>
      <c r="E643" s="22">
        <f>IFERROR(__xludf.DUMMYFUNCTION("""COMPUTED_VALUE"""),1.4087)</f>
        <v>1.4087</v>
      </c>
      <c r="F643" s="22">
        <f t="shared" si="8"/>
        <v>125.3430334</v>
      </c>
      <c r="G643" s="22">
        <f t="shared" si="31"/>
        <v>-10.68512391</v>
      </c>
      <c r="H643" s="22">
        <f t="shared" si="32"/>
        <v>18.01813273</v>
      </c>
      <c r="I643" s="22">
        <f t="shared" si="3"/>
        <v>0.7098743522</v>
      </c>
      <c r="J643" s="22">
        <f t="shared" si="33"/>
        <v>-0.140271172</v>
      </c>
    </row>
    <row r="644" ht="15.75" customHeight="1">
      <c r="A644" s="25">
        <f>IFERROR(__xludf.DUMMYFUNCTION("""COMPUTED_VALUE"""),40634.666666666664)</f>
        <v>40634.66667</v>
      </c>
      <c r="B644" s="22">
        <f>IFERROR(__xludf.DUMMYFUNCTION("""COMPUTED_VALUE"""),1332.41)</f>
        <v>1332.41</v>
      </c>
      <c r="C644" s="22">
        <f t="shared" si="6"/>
        <v>1332.992514</v>
      </c>
      <c r="D644" s="25">
        <f>IFERROR(__xludf.DUMMYFUNCTION("""COMPUTED_VALUE"""),40635.99861111111)</f>
        <v>40635.99861</v>
      </c>
      <c r="E644" s="22">
        <f>IFERROR(__xludf.DUMMYFUNCTION("""COMPUTED_VALUE"""),1.4238)</f>
        <v>1.4238</v>
      </c>
      <c r="F644" s="22">
        <f t="shared" si="8"/>
        <v>128.4818205</v>
      </c>
      <c r="G644" s="22">
        <f t="shared" si="31"/>
        <v>-11.99886918</v>
      </c>
      <c r="H644" s="22">
        <f t="shared" si="32"/>
        <v>21.05122406</v>
      </c>
      <c r="I644" s="22">
        <f t="shared" si="3"/>
        <v>0.7023458351</v>
      </c>
      <c r="J644" s="22">
        <f t="shared" si="33"/>
        <v>-0.1503722433</v>
      </c>
    </row>
    <row r="645" ht="15.75" customHeight="1">
      <c r="A645" s="25">
        <f>IFERROR(__xludf.DUMMYFUNCTION("""COMPUTED_VALUE"""),40641.666666666664)</f>
        <v>40641.66667</v>
      </c>
      <c r="B645" s="22">
        <f>IFERROR(__xludf.DUMMYFUNCTION("""COMPUTED_VALUE"""),1328.17)</f>
        <v>1328.17</v>
      </c>
      <c r="C645" s="22">
        <f t="shared" si="6"/>
        <v>1328.760765</v>
      </c>
      <c r="D645" s="25">
        <f>IFERROR(__xludf.DUMMYFUNCTION("""COMPUTED_VALUE"""),40642.99861111111)</f>
        <v>40642.99861</v>
      </c>
      <c r="E645" s="22">
        <f>IFERROR(__xludf.DUMMYFUNCTION("""COMPUTED_VALUE"""),1.4434)</f>
        <v>1.4434</v>
      </c>
      <c r="F645" s="22">
        <f t="shared" si="8"/>
        <v>129.8370022</v>
      </c>
      <c r="G645" s="22">
        <f t="shared" si="31"/>
        <v>-9.081069633</v>
      </c>
      <c r="H645" s="22">
        <f t="shared" si="32"/>
        <v>24.61871805</v>
      </c>
      <c r="I645" s="22">
        <f t="shared" si="3"/>
        <v>0.6928086463</v>
      </c>
      <c r="J645" s="22">
        <f t="shared" si="33"/>
        <v>-0.1611472911</v>
      </c>
    </row>
    <row r="646" ht="15.75" customHeight="1">
      <c r="A646" s="25">
        <f>IFERROR(__xludf.DUMMYFUNCTION("""COMPUTED_VALUE"""),40648.666666666664)</f>
        <v>40648.66667</v>
      </c>
      <c r="B646" s="22">
        <f>IFERROR(__xludf.DUMMYFUNCTION("""COMPUTED_VALUE"""),1319.68)</f>
        <v>1319.68</v>
      </c>
      <c r="C646" s="22">
        <f t="shared" si="6"/>
        <v>1320.268885</v>
      </c>
      <c r="D646" s="25">
        <f>IFERROR(__xludf.DUMMYFUNCTION("""COMPUTED_VALUE"""),40649.99861111111)</f>
        <v>40649.99861</v>
      </c>
      <c r="E646" s="22">
        <f>IFERROR(__xludf.DUMMYFUNCTION("""COMPUTED_VALUE"""),1.4428)</f>
        <v>1.4428</v>
      </c>
      <c r="F646" s="22">
        <f t="shared" si="8"/>
        <v>128.95361</v>
      </c>
      <c r="G646" s="22">
        <f t="shared" si="31"/>
        <v>-12.9473221</v>
      </c>
      <c r="H646" s="22">
        <f t="shared" si="32"/>
        <v>17.6906026</v>
      </c>
      <c r="I646" s="22">
        <f t="shared" si="3"/>
        <v>0.6930967563</v>
      </c>
      <c r="J646" s="22">
        <f t="shared" si="33"/>
        <v>-0.1448572221</v>
      </c>
    </row>
    <row r="647" ht="15.75" customHeight="1">
      <c r="A647" s="25">
        <f>IFERROR(__xludf.DUMMYFUNCTION("""COMPUTED_VALUE"""),40654.666666666664)</f>
        <v>40654.66667</v>
      </c>
      <c r="B647" s="22">
        <f>IFERROR(__xludf.DUMMYFUNCTION("""COMPUTED_VALUE"""),1337.38)</f>
        <v>1337.38</v>
      </c>
      <c r="C647" s="22">
        <f t="shared" si="6"/>
        <v>1337.965121</v>
      </c>
      <c r="D647" s="25">
        <f>IFERROR(__xludf.DUMMYFUNCTION("""COMPUTED_VALUE"""),40656.99861111111)</f>
        <v>40656.99861</v>
      </c>
      <c r="E647" s="22">
        <f>IFERROR(__xludf.DUMMYFUNCTION("""COMPUTED_VALUE"""),1.456)</f>
        <v>1.456</v>
      </c>
      <c r="F647" s="22">
        <f t="shared" si="8"/>
        <v>131.8776348</v>
      </c>
      <c r="G647" s="22">
        <f t="shared" si="31"/>
        <v>-10.88096835</v>
      </c>
      <c r="H647" s="22">
        <f t="shared" si="32"/>
        <v>17.60711053</v>
      </c>
      <c r="I647" s="22">
        <f t="shared" si="3"/>
        <v>0.6868131868</v>
      </c>
      <c r="J647" s="22">
        <f t="shared" si="33"/>
        <v>-0.1323489011</v>
      </c>
    </row>
    <row r="648" ht="15.75" customHeight="1">
      <c r="A648" s="25">
        <f>IFERROR(__xludf.DUMMYFUNCTION("""COMPUTED_VALUE"""),40662.666666666664)</f>
        <v>40662.66667</v>
      </c>
      <c r="B648" s="22">
        <f>IFERROR(__xludf.DUMMYFUNCTION("""COMPUTED_VALUE"""),1363.61)</f>
        <v>1363.61</v>
      </c>
      <c r="C648" s="22">
        <f t="shared" si="6"/>
        <v>1364.202969</v>
      </c>
      <c r="D648" s="25">
        <f>IFERROR(__xludf.DUMMYFUNCTION("""COMPUTED_VALUE"""),40663.99861111111)</f>
        <v>40663.99861</v>
      </c>
      <c r="E648" s="22">
        <f>IFERROR(__xludf.DUMMYFUNCTION("""COMPUTED_VALUE"""),1.4817)</f>
        <v>1.4817</v>
      </c>
      <c r="F648" s="22">
        <f t="shared" si="8"/>
        <v>136.8372236</v>
      </c>
      <c r="G648" s="22">
        <f t="shared" si="31"/>
        <v>-7.376621626</v>
      </c>
      <c r="H648" s="22">
        <f t="shared" si="32"/>
        <v>19.78281541</v>
      </c>
      <c r="I648" s="22">
        <f t="shared" si="3"/>
        <v>0.6749004522</v>
      </c>
      <c r="J648" s="22">
        <f t="shared" si="33"/>
        <v>-0.1413241547</v>
      </c>
    </row>
    <row r="649" ht="15.75" customHeight="1">
      <c r="A649" s="25">
        <f>IFERROR(__xludf.DUMMYFUNCTION("""COMPUTED_VALUE"""),40669.666666666664)</f>
        <v>40669.66667</v>
      </c>
      <c r="B649" s="22">
        <f>IFERROR(__xludf.DUMMYFUNCTION("""COMPUTED_VALUE"""),1340.2)</f>
        <v>1340.2</v>
      </c>
      <c r="C649" s="22">
        <f t="shared" si="6"/>
        <v>1340.804599</v>
      </c>
      <c r="D649" s="25">
        <f>IFERROR(__xludf.DUMMYFUNCTION("""COMPUTED_VALUE"""),40670.99861111111)</f>
        <v>40670.99861</v>
      </c>
      <c r="E649" s="22">
        <f>IFERROR(__xludf.DUMMYFUNCTION("""COMPUTED_VALUE"""),1.4492)</f>
        <v>1.4492</v>
      </c>
      <c r="F649" s="22">
        <f t="shared" si="8"/>
        <v>131.5402911</v>
      </c>
      <c r="G649" s="22">
        <f t="shared" si="31"/>
        <v>-9.659721107</v>
      </c>
      <c r="H649" s="22">
        <f t="shared" si="32"/>
        <v>16.46482375</v>
      </c>
      <c r="I649" s="22">
        <f t="shared" si="3"/>
        <v>0.6900358819</v>
      </c>
      <c r="J649" s="22">
        <f t="shared" si="33"/>
        <v>-0.1088186586</v>
      </c>
    </row>
    <row r="650" ht="15.75" customHeight="1">
      <c r="A650" s="25">
        <f>IFERROR(__xludf.DUMMYFUNCTION("""COMPUTED_VALUE"""),40676.666666666664)</f>
        <v>40676.66667</v>
      </c>
      <c r="B650" s="22">
        <f>IFERROR(__xludf.DUMMYFUNCTION("""COMPUTED_VALUE"""),1337.77)</f>
        <v>1337.77</v>
      </c>
      <c r="C650" s="22">
        <f t="shared" si="6"/>
        <v>1338.364219</v>
      </c>
      <c r="D650" s="25">
        <f>IFERROR(__xludf.DUMMYFUNCTION("""COMPUTED_VALUE"""),40677.99861111111)</f>
        <v>40677.99861</v>
      </c>
      <c r="E650" s="22">
        <f>IFERROR(__xludf.DUMMYFUNCTION("""COMPUTED_VALUE"""),1.4117)</f>
        <v>1.4117</v>
      </c>
      <c r="F650" s="22">
        <f t="shared" si="8"/>
        <v>127.9032896</v>
      </c>
      <c r="G650" s="22">
        <f t="shared" si="31"/>
        <v>-14.92937035</v>
      </c>
      <c r="H650" s="22">
        <f t="shared" si="32"/>
        <v>16.78333463</v>
      </c>
      <c r="I650" s="22">
        <f t="shared" si="3"/>
        <v>0.7083658001</v>
      </c>
      <c r="J650" s="22">
        <f t="shared" si="33"/>
        <v>-0.09591272933</v>
      </c>
    </row>
    <row r="651" ht="15.75" customHeight="1">
      <c r="A651" s="25">
        <f>IFERROR(__xludf.DUMMYFUNCTION("""COMPUTED_VALUE"""),40683.666666666664)</f>
        <v>40683.66667</v>
      </c>
      <c r="B651" s="22">
        <f>IFERROR(__xludf.DUMMYFUNCTION("""COMPUTED_VALUE"""),1333.27)</f>
        <v>1333.27</v>
      </c>
      <c r="C651" s="22">
        <f t="shared" si="6"/>
        <v>1333.863142</v>
      </c>
      <c r="D651" s="25">
        <f>IFERROR(__xludf.DUMMYFUNCTION("""COMPUTED_VALUE"""),40684.99861111111)</f>
        <v>40684.99861</v>
      </c>
      <c r="E651" s="22">
        <f>IFERROR(__xludf.DUMMYFUNCTION("""COMPUTED_VALUE"""),1.417)</f>
        <v>1.417</v>
      </c>
      <c r="F651" s="22">
        <f t="shared" si="8"/>
        <v>127.9517131</v>
      </c>
      <c r="G651" s="22">
        <f t="shared" si="31"/>
        <v>-12.98264507</v>
      </c>
      <c r="H651" s="22">
        <f t="shared" si="32"/>
        <v>15.90324331</v>
      </c>
      <c r="I651" s="22">
        <f t="shared" si="3"/>
        <v>0.705716302</v>
      </c>
      <c r="J651" s="22">
        <f t="shared" si="33"/>
        <v>-0.1014114326</v>
      </c>
    </row>
    <row r="652" ht="15.75" customHeight="1">
      <c r="A652" s="25">
        <f>IFERROR(__xludf.DUMMYFUNCTION("""COMPUTED_VALUE"""),40690.666666666664)</f>
        <v>40690.66667</v>
      </c>
      <c r="B652" s="22">
        <f>IFERROR(__xludf.DUMMYFUNCTION("""COMPUTED_VALUE"""),1331.1)</f>
        <v>1331.1</v>
      </c>
      <c r="C652" s="22">
        <f t="shared" si="6"/>
        <v>1331.691147</v>
      </c>
      <c r="D652" s="25">
        <f>IFERROR(__xludf.DUMMYFUNCTION("""COMPUTED_VALUE"""),40691.99861111111)</f>
        <v>40691.99861</v>
      </c>
      <c r="E652" s="22">
        <f>IFERROR(__xludf.DUMMYFUNCTION("""COMPUTED_VALUE"""),1.4284)</f>
        <v>1.4284</v>
      </c>
      <c r="F652" s="22">
        <f t="shared" si="8"/>
        <v>128.7710795</v>
      </c>
      <c r="G652" s="22">
        <f t="shared" si="31"/>
        <v>-12.62338159</v>
      </c>
      <c r="H652" s="22">
        <f t="shared" si="32"/>
        <v>14.27308951</v>
      </c>
      <c r="I652" s="22">
        <f t="shared" si="3"/>
        <v>0.7000840101</v>
      </c>
      <c r="J652" s="22">
        <f t="shared" si="33"/>
        <v>-0.09577149258</v>
      </c>
    </row>
    <row r="653" ht="15.75" customHeight="1">
      <c r="A653" s="25">
        <f>IFERROR(__xludf.DUMMYFUNCTION("""COMPUTED_VALUE"""),40697.666666666664)</f>
        <v>40697.66667</v>
      </c>
      <c r="B653" s="22">
        <f>IFERROR(__xludf.DUMMYFUNCTION("""COMPUTED_VALUE"""),1300.16)</f>
        <v>1300.16</v>
      </c>
      <c r="C653" s="22">
        <f t="shared" si="6"/>
        <v>1300.750185</v>
      </c>
      <c r="D653" s="25">
        <f>IFERROR(__xludf.DUMMYFUNCTION("""COMPUTED_VALUE"""),40698.99861111111)</f>
        <v>40698.99861</v>
      </c>
      <c r="E653" s="22">
        <f>IFERROR(__xludf.DUMMYFUNCTION("""COMPUTED_VALUE"""),1.463)</f>
        <v>1.463</v>
      </c>
      <c r="F653" s="22">
        <f t="shared" si="8"/>
        <v>128.8259058</v>
      </c>
      <c r="G653" s="22">
        <f t="shared" si="31"/>
        <v>-11.39470731</v>
      </c>
      <c r="H653" s="22">
        <f t="shared" si="32"/>
        <v>20.18588194</v>
      </c>
      <c r="I653" s="22">
        <f t="shared" si="3"/>
        <v>0.6835269993</v>
      </c>
      <c r="J653" s="22">
        <f t="shared" si="33"/>
        <v>-0.1361585783</v>
      </c>
    </row>
    <row r="654" ht="15.75" customHeight="1">
      <c r="A654" s="25">
        <f>IFERROR(__xludf.DUMMYFUNCTION("""COMPUTED_VALUE"""),40704.666666666664)</f>
        <v>40704.66667</v>
      </c>
      <c r="B654" s="22">
        <f>IFERROR(__xludf.DUMMYFUNCTION("""COMPUTED_VALUE"""),1270.98)</f>
        <v>1270.98</v>
      </c>
      <c r="C654" s="22">
        <f t="shared" si="6"/>
        <v>1271.556466</v>
      </c>
      <c r="D654" s="25">
        <f>IFERROR(__xludf.DUMMYFUNCTION("""COMPUTED_VALUE"""),40705.99861111111)</f>
        <v>40705.99861</v>
      </c>
      <c r="E654" s="22">
        <f>IFERROR(__xludf.DUMMYFUNCTION("""COMPUTED_VALUE"""),1.4363)</f>
        <v>1.4363</v>
      </c>
      <c r="F654" s="22">
        <f t="shared" si="8"/>
        <v>123.6362414</v>
      </c>
      <c r="G654" s="22">
        <f t="shared" si="31"/>
        <v>-12.71495119</v>
      </c>
      <c r="H654" s="22">
        <f t="shared" si="32"/>
        <v>15.41575412</v>
      </c>
      <c r="I654" s="22">
        <f t="shared" si="3"/>
        <v>0.6962333774</v>
      </c>
      <c r="J654" s="22">
        <f t="shared" si="33"/>
        <v>-0.1201002576</v>
      </c>
    </row>
    <row r="655" ht="15.75" customHeight="1">
      <c r="A655" s="25">
        <f>IFERROR(__xludf.DUMMYFUNCTION("""COMPUTED_VALUE"""),40711.666666666664)</f>
        <v>40711.66667</v>
      </c>
      <c r="B655" s="22">
        <f>IFERROR(__xludf.DUMMYFUNCTION("""COMPUTED_VALUE"""),1271.5)</f>
        <v>1271.5</v>
      </c>
      <c r="C655" s="22">
        <f t="shared" si="6"/>
        <v>1272.063528</v>
      </c>
      <c r="D655" s="25">
        <f>IFERROR(__xludf.DUMMYFUNCTION("""COMPUTED_VALUE"""),40712.99861111111)</f>
        <v>40712.99861</v>
      </c>
      <c r="E655" s="22">
        <f>IFERROR(__xludf.DUMMYFUNCTION("""COMPUTED_VALUE"""),1.4324)</f>
        <v>1.4324</v>
      </c>
      <c r="F655" s="22">
        <f t="shared" si="8"/>
        <v>123.3496995</v>
      </c>
      <c r="G655" s="22">
        <f t="shared" si="31"/>
        <v>-11.54029791</v>
      </c>
      <c r="H655" s="22">
        <f t="shared" si="32"/>
        <v>17.00292954</v>
      </c>
      <c r="I655" s="22">
        <f t="shared" si="3"/>
        <v>0.6981290142</v>
      </c>
      <c r="J655" s="22">
        <f t="shared" si="33"/>
        <v>-0.126780229</v>
      </c>
    </row>
    <row r="656" ht="15.75" customHeight="1">
      <c r="A656" s="25">
        <f>IFERROR(__xludf.DUMMYFUNCTION("""COMPUTED_VALUE"""),40718.666666666664)</f>
        <v>40718.66667</v>
      </c>
      <c r="B656" s="22">
        <f>IFERROR(__xludf.DUMMYFUNCTION("""COMPUTED_VALUE"""),1268.45)</f>
        <v>1268.45</v>
      </c>
      <c r="C656" s="22">
        <f t="shared" si="6"/>
        <v>1269.013759</v>
      </c>
      <c r="D656" s="25">
        <f>IFERROR(__xludf.DUMMYFUNCTION("""COMPUTED_VALUE"""),40719.99861111111)</f>
        <v>40719.99861</v>
      </c>
      <c r="E656" s="22">
        <f>IFERROR(__xludf.DUMMYFUNCTION("""COMPUTED_VALUE"""),1.4186)</f>
        <v>1.4186</v>
      </c>
      <c r="F656" s="22">
        <f t="shared" si="8"/>
        <v>121.8684448</v>
      </c>
      <c r="G656" s="22">
        <f t="shared" si="31"/>
        <v>-10.61389332</v>
      </c>
      <c r="H656" s="22">
        <f t="shared" si="32"/>
        <v>10.76307715</v>
      </c>
      <c r="I656" s="22">
        <f t="shared" si="3"/>
        <v>0.704920344</v>
      </c>
      <c r="J656" s="22">
        <f t="shared" si="33"/>
        <v>-0.09840688002</v>
      </c>
    </row>
    <row r="657" ht="15.75" customHeight="1">
      <c r="A657" s="25">
        <f>IFERROR(__xludf.DUMMYFUNCTION("""COMPUTED_VALUE"""),40725.666666666664)</f>
        <v>40725.66667</v>
      </c>
      <c r="B657" s="22">
        <f>IFERROR(__xludf.DUMMYFUNCTION("""COMPUTED_VALUE"""),1339.67)</f>
        <v>1339.67</v>
      </c>
      <c r="C657" s="22">
        <f t="shared" si="6"/>
        <v>1340.232407</v>
      </c>
      <c r="D657" s="25">
        <f>IFERROR(__xludf.DUMMYFUNCTION("""COMPUTED_VALUE"""),40726.99861111111)</f>
        <v>40726.99861</v>
      </c>
      <c r="E657" s="22">
        <f>IFERROR(__xludf.DUMMYFUNCTION("""COMPUTED_VALUE"""),1.4505)</f>
        <v>1.4505</v>
      </c>
      <c r="F657" s="22">
        <f t="shared" si="8"/>
        <v>131.6021034</v>
      </c>
      <c r="G657" s="22">
        <f t="shared" si="31"/>
        <v>-2.048042897</v>
      </c>
      <c r="H657" s="22">
        <f t="shared" si="32"/>
        <v>19.7923437</v>
      </c>
      <c r="I657" s="22">
        <f t="shared" si="3"/>
        <v>0.6894174423</v>
      </c>
      <c r="J657" s="22">
        <f t="shared" si="33"/>
        <v>-0.1163047225</v>
      </c>
    </row>
    <row r="658" ht="15.75" customHeight="1">
      <c r="A658" s="25">
        <f>IFERROR(__xludf.DUMMYFUNCTION("""COMPUTED_VALUE"""),40732.666666666664)</f>
        <v>40732.66667</v>
      </c>
      <c r="B658" s="22">
        <f>IFERROR(__xludf.DUMMYFUNCTION("""COMPUTED_VALUE"""),1343.8)</f>
        <v>1343.8</v>
      </c>
      <c r="C658" s="22">
        <f t="shared" si="6"/>
        <v>1344.393984</v>
      </c>
      <c r="D658" s="25">
        <f>IFERROR(__xludf.DUMMYFUNCTION("""COMPUTED_VALUE"""),40733.99861111111)</f>
        <v>40733.99861</v>
      </c>
      <c r="E658" s="22">
        <f>IFERROR(__xludf.DUMMYFUNCTION("""COMPUTED_VALUE"""),1.4263)</f>
        <v>1.4263</v>
      </c>
      <c r="F658" s="22">
        <f t="shared" si="8"/>
        <v>129.8082889</v>
      </c>
      <c r="G658" s="22">
        <f t="shared" si="31"/>
        <v>-2.997550058</v>
      </c>
      <c r="H658" s="22">
        <f t="shared" si="32"/>
        <v>22.5731753</v>
      </c>
      <c r="I658" s="22">
        <f t="shared" si="3"/>
        <v>0.7011147725</v>
      </c>
      <c r="J658" s="22">
        <f t="shared" si="33"/>
        <v>-0.1131599243</v>
      </c>
    </row>
    <row r="659" ht="15.75" customHeight="1">
      <c r="A659" s="25">
        <f>IFERROR(__xludf.DUMMYFUNCTION("""COMPUTED_VALUE"""),40739.666666666664)</f>
        <v>40739.66667</v>
      </c>
      <c r="B659" s="22">
        <f>IFERROR(__xludf.DUMMYFUNCTION("""COMPUTED_VALUE"""),1316.14)</f>
        <v>1316.14</v>
      </c>
      <c r="C659" s="22">
        <f t="shared" si="6"/>
        <v>1316.735815</v>
      </c>
      <c r="D659" s="25">
        <f>IFERROR(__xludf.DUMMYFUNCTION("""COMPUTED_VALUE"""),40740.99861111111)</f>
        <v>40740.99861</v>
      </c>
      <c r="E659" s="22">
        <f>IFERROR(__xludf.DUMMYFUNCTION("""COMPUTED_VALUE"""),1.4154)</f>
        <v>1.4154</v>
      </c>
      <c r="F659" s="22">
        <f t="shared" si="8"/>
        <v>126.1661418</v>
      </c>
      <c r="G659" s="22">
        <f t="shared" si="31"/>
        <v>-6.782031723</v>
      </c>
      <c r="H659" s="22">
        <f t="shared" si="32"/>
        <v>18.33097341</v>
      </c>
      <c r="I659" s="22">
        <f t="shared" si="3"/>
        <v>0.7065140596</v>
      </c>
      <c r="J659" s="22">
        <f t="shared" si="33"/>
        <v>-0.1032217041</v>
      </c>
    </row>
    <row r="660" ht="15.75" customHeight="1">
      <c r="A660" s="25">
        <f>IFERROR(__xludf.DUMMYFUNCTION("""COMPUTED_VALUE"""),40746.666666666664)</f>
        <v>40746.66667</v>
      </c>
      <c r="B660" s="22">
        <f>IFERROR(__xludf.DUMMYFUNCTION("""COMPUTED_VALUE"""),1345.02)</f>
        <v>1345.02</v>
      </c>
      <c r="C660" s="22">
        <f t="shared" si="6"/>
        <v>1345.603552</v>
      </c>
      <c r="D660" s="25">
        <f>IFERROR(__xludf.DUMMYFUNCTION("""COMPUTED_VALUE"""),40747.99861111111)</f>
        <v>40747.99861</v>
      </c>
      <c r="E660" s="22">
        <f>IFERROR(__xludf.DUMMYFUNCTION("""COMPUTED_VALUE"""),1.4363)</f>
        <v>1.4363</v>
      </c>
      <c r="F660" s="22">
        <f t="shared" si="8"/>
        <v>130.8360029</v>
      </c>
      <c r="G660" s="22">
        <f t="shared" si="31"/>
        <v>-1.988997012</v>
      </c>
      <c r="H660" s="22">
        <f t="shared" si="32"/>
        <v>18.55448089</v>
      </c>
      <c r="I660" s="22">
        <f t="shared" si="3"/>
        <v>0.6962333774</v>
      </c>
      <c r="J660" s="22">
        <f t="shared" si="33"/>
        <v>-0.1126505605</v>
      </c>
    </row>
    <row r="661" ht="15.75" customHeight="1">
      <c r="A661" s="25">
        <f>IFERROR(__xludf.DUMMYFUNCTION("""COMPUTED_VALUE"""),40753.666666666664)</f>
        <v>40753.66667</v>
      </c>
      <c r="B661" s="22">
        <f>IFERROR(__xludf.DUMMYFUNCTION("""COMPUTED_VALUE"""),1292.28)</f>
        <v>1292.28</v>
      </c>
      <c r="C661" s="22">
        <f t="shared" si="6"/>
        <v>1292.876356</v>
      </c>
      <c r="D661" s="25">
        <f>IFERROR(__xludf.DUMMYFUNCTION("""COMPUTED_VALUE"""),40754.99861111111)</f>
        <v>40754.99861</v>
      </c>
      <c r="E661" s="22">
        <f>IFERROR(__xludf.DUMMYFUNCTION("""COMPUTED_VALUE"""),1.4384)</f>
        <v>1.4384</v>
      </c>
      <c r="F661" s="22">
        <f t="shared" si="8"/>
        <v>125.8930195</v>
      </c>
      <c r="G661" s="22">
        <f t="shared" si="31"/>
        <v>-5.241531135</v>
      </c>
      <c r="H661" s="22">
        <f t="shared" si="32"/>
        <v>12.87700434</v>
      </c>
      <c r="I661" s="22">
        <f t="shared" si="3"/>
        <v>0.6952169077</v>
      </c>
      <c r="J661" s="22">
        <f t="shared" si="33"/>
        <v>-0.1051167964</v>
      </c>
    </row>
    <row r="662" ht="15.75" customHeight="1">
      <c r="A662" s="25">
        <f>IFERROR(__xludf.DUMMYFUNCTION("""COMPUTED_VALUE"""),40760.666666666664)</f>
        <v>40760.66667</v>
      </c>
      <c r="B662" s="22">
        <f>IFERROR(__xludf.DUMMYFUNCTION("""COMPUTED_VALUE"""),1199.38)</f>
        <v>1199.38</v>
      </c>
      <c r="C662" s="22">
        <f t="shared" si="6"/>
        <v>1199.952972</v>
      </c>
      <c r="D662" s="25">
        <f>IFERROR(__xludf.DUMMYFUNCTION("""COMPUTED_VALUE"""),40761.99861111111)</f>
        <v>40761.99861</v>
      </c>
      <c r="E662" s="22">
        <f>IFERROR(__xludf.DUMMYFUNCTION("""COMPUTED_VALUE"""),1.4155)</f>
        <v>1.4155</v>
      </c>
      <c r="F662" s="22">
        <f t="shared" si="8"/>
        <v>114.984442</v>
      </c>
      <c r="G662" s="22">
        <f t="shared" si="31"/>
        <v>-12.94724552</v>
      </c>
      <c r="H662" s="22">
        <f t="shared" si="32"/>
        <v>5.425127586</v>
      </c>
      <c r="I662" s="22">
        <f t="shared" si="3"/>
        <v>0.7064641469</v>
      </c>
      <c r="J662" s="22">
        <f t="shared" si="33"/>
        <v>-0.10187213</v>
      </c>
    </row>
    <row r="663" ht="15.75" customHeight="1">
      <c r="A663" s="25">
        <f>IFERROR(__xludf.DUMMYFUNCTION("""COMPUTED_VALUE"""),40767.666666666664)</f>
        <v>40767.66667</v>
      </c>
      <c r="B663" s="22">
        <f>IFERROR(__xludf.DUMMYFUNCTION("""COMPUTED_VALUE"""),1178.81)</f>
        <v>1178.81</v>
      </c>
      <c r="C663" s="22">
        <f t="shared" si="6"/>
        <v>1179.341782</v>
      </c>
      <c r="D663" s="25">
        <f>IFERROR(__xludf.DUMMYFUNCTION("""COMPUTED_VALUE"""),40767.99861111111)</f>
        <v>40767.99861</v>
      </c>
      <c r="E663" s="22">
        <f>IFERROR(__xludf.DUMMYFUNCTION("""COMPUTED_VALUE"""),1.4249)</f>
        <v>1.4249</v>
      </c>
      <c r="F663" s="22">
        <f t="shared" si="8"/>
        <v>113.7598614</v>
      </c>
      <c r="G663" s="22">
        <f t="shared" si="31"/>
        <v>-11.94577585</v>
      </c>
      <c r="H663" s="22">
        <f t="shared" si="32"/>
        <v>0.4838029194</v>
      </c>
      <c r="I663" s="22">
        <f t="shared" si="3"/>
        <v>0.7018036353</v>
      </c>
      <c r="J663" s="22">
        <f t="shared" si="33"/>
        <v>-0.09916485367</v>
      </c>
    </row>
    <row r="664" ht="15.75" customHeight="1">
      <c r="A664" s="25">
        <f>IFERROR(__xludf.DUMMYFUNCTION("""COMPUTED_VALUE"""),40774.666666666664)</f>
        <v>40774.66667</v>
      </c>
      <c r="B664" s="22">
        <f>IFERROR(__xludf.DUMMYFUNCTION("""COMPUTED_VALUE"""),1123.53)</f>
        <v>1123.53</v>
      </c>
      <c r="C664" s="22">
        <f t="shared" si="6"/>
        <v>1124.052662</v>
      </c>
      <c r="D664" s="25">
        <f>IFERROR(__xludf.DUMMYFUNCTION("""COMPUTED_VALUE"""),40775.99861111111)</f>
        <v>40775.99861</v>
      </c>
      <c r="E664" s="22">
        <f>IFERROR(__xludf.DUMMYFUNCTION("""COMPUTED_VALUE"""),1.4406)</f>
        <v>1.4406</v>
      </c>
      <c r="F664" s="22">
        <f t="shared" si="8"/>
        <v>109.6213261</v>
      </c>
      <c r="G664" s="22">
        <f t="shared" si="31"/>
        <v>-15.3659336</v>
      </c>
      <c r="H664" s="22">
        <f t="shared" si="32"/>
        <v>-2.000429478</v>
      </c>
      <c r="I664" s="22">
        <f t="shared" si="3"/>
        <v>0.6941552131</v>
      </c>
      <c r="J664" s="22">
        <f t="shared" si="33"/>
        <v>-0.1147438567</v>
      </c>
    </row>
    <row r="665" ht="15.75" customHeight="1">
      <c r="A665" s="25">
        <f>IFERROR(__xludf.DUMMYFUNCTION("""COMPUTED_VALUE"""),40781.666666666664)</f>
        <v>40781.66667</v>
      </c>
      <c r="B665" s="22">
        <f>IFERROR(__xludf.DUMMYFUNCTION("""COMPUTED_VALUE"""),1176.8)</f>
        <v>1176.8</v>
      </c>
      <c r="C665" s="22">
        <f t="shared" si="6"/>
        <v>1177.298152</v>
      </c>
      <c r="D665" s="25">
        <f>IFERROR(__xludf.DUMMYFUNCTION("""COMPUTED_VALUE"""),40782.99861111111)</f>
        <v>40782.99861</v>
      </c>
      <c r="E665" s="22">
        <f>IFERROR(__xludf.DUMMYFUNCTION("""COMPUTED_VALUE"""),1.4461)</f>
        <v>1.4461</v>
      </c>
      <c r="F665" s="22">
        <f t="shared" si="8"/>
        <v>115.2523451</v>
      </c>
      <c r="G665" s="22">
        <f t="shared" si="31"/>
        <v>-9.54351822</v>
      </c>
      <c r="H665" s="22">
        <f t="shared" si="32"/>
        <v>1.148724761</v>
      </c>
      <c r="I665" s="22">
        <f t="shared" si="3"/>
        <v>0.6915151096</v>
      </c>
      <c r="J665" s="22">
        <f t="shared" si="33"/>
        <v>-0.1125786598</v>
      </c>
    </row>
    <row r="666" ht="15.75" customHeight="1">
      <c r="A666" s="25">
        <f>IFERROR(__xludf.DUMMYFUNCTION("""COMPUTED_VALUE"""),40788.666666666664)</f>
        <v>40788.66667</v>
      </c>
      <c r="B666" s="22">
        <f>IFERROR(__xludf.DUMMYFUNCTION("""COMPUTED_VALUE"""),1173.97)</f>
        <v>1173.97</v>
      </c>
      <c r="C666" s="22">
        <f t="shared" si="6"/>
        <v>1174.491771</v>
      </c>
      <c r="D666" s="25">
        <f>IFERROR(__xludf.DUMMYFUNCTION("""COMPUTED_VALUE"""),40789.99861111111)</f>
        <v>40789.99861</v>
      </c>
      <c r="E666" s="22">
        <f>IFERROR(__xludf.DUMMYFUNCTION("""COMPUTED_VALUE"""),1.4191)</f>
        <v>1.4191</v>
      </c>
      <c r="F666" s="22">
        <f t="shared" si="8"/>
        <v>112.8308762</v>
      </c>
      <c r="G666" s="22">
        <f t="shared" si="31"/>
        <v>-6.018869217</v>
      </c>
      <c r="H666" s="22">
        <f t="shared" si="32"/>
        <v>1.214119973</v>
      </c>
      <c r="I666" s="22">
        <f t="shared" si="3"/>
        <v>0.7046719752</v>
      </c>
      <c r="J666" s="22">
        <f t="shared" si="33"/>
        <v>-0.107039673</v>
      </c>
    </row>
    <row r="667" ht="15.75" customHeight="1">
      <c r="A667" s="25">
        <f>IFERROR(__xludf.DUMMYFUNCTION("""COMPUTED_VALUE"""),40795.666666666664)</f>
        <v>40795.66667</v>
      </c>
      <c r="B667" s="22">
        <f>IFERROR(__xludf.DUMMYFUNCTION("""COMPUTED_VALUE"""),1154.23)</f>
        <v>1154.23</v>
      </c>
      <c r="C667" s="22">
        <f t="shared" si="6"/>
        <v>1154.750516</v>
      </c>
      <c r="D667" s="25">
        <f>IFERROR(__xludf.DUMMYFUNCTION("""COMPUTED_VALUE"""),40796.99861111111)</f>
        <v>40796.99861</v>
      </c>
      <c r="E667" s="22">
        <f>IFERROR(__xludf.DUMMYFUNCTION("""COMPUTED_VALUE"""),1.3654)</f>
        <v>1.3654</v>
      </c>
      <c r="F667" s="22">
        <f t="shared" si="8"/>
        <v>106.7365217</v>
      </c>
      <c r="G667" s="22">
        <f t="shared" si="31"/>
        <v>-11.49997194</v>
      </c>
      <c r="H667" s="22">
        <f t="shared" si="32"/>
        <v>-5.570299558</v>
      </c>
      <c r="I667" s="22">
        <f t="shared" si="3"/>
        <v>0.732386114</v>
      </c>
      <c r="J667" s="22">
        <f t="shared" si="33"/>
        <v>-0.0738977589</v>
      </c>
    </row>
    <row r="668" ht="15.75" customHeight="1">
      <c r="A668" s="25">
        <f>IFERROR(__xludf.DUMMYFUNCTION("""COMPUTED_VALUE"""),40802.666666666664)</f>
        <v>40802.66667</v>
      </c>
      <c r="B668" s="22">
        <f>IFERROR(__xludf.DUMMYFUNCTION("""COMPUTED_VALUE"""),1216.01)</f>
        <v>1216.01</v>
      </c>
      <c r="C668" s="22">
        <f t="shared" si="6"/>
        <v>1216.521764</v>
      </c>
      <c r="D668" s="25">
        <f>IFERROR(__xludf.DUMMYFUNCTION("""COMPUTED_VALUE"""),40803.99861111111)</f>
        <v>40803.99861</v>
      </c>
      <c r="E668" s="22">
        <f>IFERROR(__xludf.DUMMYFUNCTION("""COMPUTED_VALUE"""),1.3787)</f>
        <v>1.3787</v>
      </c>
      <c r="F668" s="22">
        <f t="shared" si="8"/>
        <v>113.5415035</v>
      </c>
      <c r="G668" s="22">
        <f t="shared" si="31"/>
        <v>-7.611475309</v>
      </c>
      <c r="H668" s="22">
        <f t="shared" si="32"/>
        <v>-0.1958946735</v>
      </c>
      <c r="I668" s="22">
        <f t="shared" si="3"/>
        <v>0.7253209545</v>
      </c>
      <c r="J668" s="22">
        <f t="shared" si="33"/>
        <v>-0.0733299485</v>
      </c>
    </row>
    <row r="669" ht="15.75" customHeight="1">
      <c r="A669" s="25">
        <f>IFERROR(__xludf.DUMMYFUNCTION("""COMPUTED_VALUE"""),40809.666666666664)</f>
        <v>40809.66667</v>
      </c>
      <c r="B669" s="22">
        <f>IFERROR(__xludf.DUMMYFUNCTION("""COMPUTED_VALUE"""),1136.43)</f>
        <v>1136.43</v>
      </c>
      <c r="C669" s="22">
        <f t="shared" si="6"/>
        <v>1136.969156</v>
      </c>
      <c r="D669" s="25">
        <f>IFERROR(__xludf.DUMMYFUNCTION("""COMPUTED_VALUE"""),40810.99861111111)</f>
        <v>40810.99861</v>
      </c>
      <c r="E669" s="22">
        <f>IFERROR(__xludf.DUMMYFUNCTION("""COMPUTED_VALUE"""),1.3513)</f>
        <v>1.3513</v>
      </c>
      <c r="F669" s="22">
        <f t="shared" si="8"/>
        <v>104.007688</v>
      </c>
      <c r="G669" s="22">
        <f t="shared" si="31"/>
        <v>-13.22239823</v>
      </c>
      <c r="H669" s="22">
        <f t="shared" si="32"/>
        <v>-9.185774014</v>
      </c>
      <c r="I669" s="22">
        <f t="shared" si="3"/>
        <v>0.7400281211</v>
      </c>
      <c r="J669" s="22">
        <f t="shared" si="33"/>
        <v>-0.06319840154</v>
      </c>
    </row>
    <row r="670" ht="15.75" customHeight="1">
      <c r="A670" s="25">
        <f>IFERROR(__xludf.DUMMYFUNCTION("""COMPUTED_VALUE"""),40816.666666666664)</f>
        <v>40816.66667</v>
      </c>
      <c r="B670" s="22">
        <f>IFERROR(__xludf.DUMMYFUNCTION("""COMPUTED_VALUE"""),1131.42)</f>
        <v>1131.42</v>
      </c>
      <c r="C670" s="22">
        <f t="shared" si="6"/>
        <v>1131.923872</v>
      </c>
      <c r="D670" s="25">
        <f>IFERROR(__xludf.DUMMYFUNCTION("""COMPUTED_VALUE"""),40817.99861111111)</f>
        <v>40817.99861</v>
      </c>
      <c r="E670" s="22">
        <f>IFERROR(__xludf.DUMMYFUNCTION("""COMPUTED_VALUE"""),1.339)</f>
        <v>1.339</v>
      </c>
      <c r="F670" s="22">
        <f t="shared" si="8"/>
        <v>102.6036424</v>
      </c>
      <c r="G670" s="22">
        <f t="shared" si="31"/>
        <v>0.01820137146</v>
      </c>
      <c r="H670" s="22">
        <f t="shared" si="32"/>
        <v>-10.91520321</v>
      </c>
      <c r="I670" s="22">
        <f t="shared" si="3"/>
        <v>0.7468259895</v>
      </c>
      <c r="J670" s="22">
        <f t="shared" si="33"/>
        <v>-0.05892457058</v>
      </c>
    </row>
    <row r="671" ht="15.75" customHeight="1">
      <c r="A671" s="25">
        <f>IFERROR(__xludf.DUMMYFUNCTION("""COMPUTED_VALUE"""),40823.666666666664)</f>
        <v>40823.66667</v>
      </c>
      <c r="B671" s="22">
        <f>IFERROR(__xludf.DUMMYFUNCTION("""COMPUTED_VALUE"""),1155.46)</f>
        <v>1155.46</v>
      </c>
      <c r="C671" s="22">
        <f t="shared" si="6"/>
        <v>1155.96165</v>
      </c>
      <c r="D671" s="25">
        <f>IFERROR(__xludf.DUMMYFUNCTION("""COMPUTED_VALUE"""),40824.99861111111)</f>
        <v>40824.99861</v>
      </c>
      <c r="E671" s="22">
        <f>IFERROR(__xludf.DUMMYFUNCTION("""COMPUTED_VALUE"""),1.3386)</f>
        <v>1.3386</v>
      </c>
      <c r="F671" s="22">
        <f t="shared" si="8"/>
        <v>104.7512537</v>
      </c>
      <c r="G671" s="22">
        <f t="shared" si="31"/>
        <v>28.40521743</v>
      </c>
      <c r="H671" s="22">
        <f t="shared" si="32"/>
        <v>-9.616658378</v>
      </c>
      <c r="I671" s="22">
        <f t="shared" si="3"/>
        <v>0.7470491558</v>
      </c>
      <c r="J671" s="22">
        <f t="shared" si="33"/>
        <v>-0.06387270282</v>
      </c>
    </row>
    <row r="672" ht="15.75" customHeight="1">
      <c r="A672" s="25">
        <f>IFERROR(__xludf.DUMMYFUNCTION("""COMPUTED_VALUE"""),40830.666666666664)</f>
        <v>40830.66667</v>
      </c>
      <c r="B672" s="22">
        <f>IFERROR(__xludf.DUMMYFUNCTION("""COMPUTED_VALUE"""),1224.58)</f>
        <v>1224.58</v>
      </c>
      <c r="C672" s="22">
        <f t="shared" si="6"/>
        <v>1225.092309</v>
      </c>
      <c r="D672" s="25">
        <f>IFERROR(__xludf.DUMMYFUNCTION("""COMPUTED_VALUE"""),40831.99861111111)</f>
        <v>40831.99861</v>
      </c>
      <c r="E672" s="22">
        <f>IFERROR(__xludf.DUMMYFUNCTION("""COMPUTED_VALUE"""),1.3858)</f>
        <v>1.3858</v>
      </c>
      <c r="F672" s="22">
        <f t="shared" si="8"/>
        <v>114.9302504</v>
      </c>
      <c r="G672" s="22">
        <f t="shared" si="31"/>
        <v>34.57730153</v>
      </c>
      <c r="H672" s="22">
        <f t="shared" si="32"/>
        <v>-1.677884806</v>
      </c>
      <c r="I672" s="22">
        <f t="shared" si="3"/>
        <v>0.7216048492</v>
      </c>
      <c r="J672" s="22">
        <f t="shared" si="33"/>
        <v>-0.08998412469</v>
      </c>
    </row>
    <row r="673" ht="15.75" customHeight="1">
      <c r="A673" s="25">
        <f>IFERROR(__xludf.DUMMYFUNCTION("""COMPUTED_VALUE"""),40837.666666666664)</f>
        <v>40837.66667</v>
      </c>
      <c r="B673" s="22">
        <f>IFERROR(__xludf.DUMMYFUNCTION("""COMPUTED_VALUE"""),1238.25)</f>
        <v>1238.25</v>
      </c>
      <c r="C673" s="22">
        <f t="shared" si="6"/>
        <v>1238.792956</v>
      </c>
      <c r="D673" s="25">
        <f>IFERROR(__xludf.DUMMYFUNCTION("""COMPUTED_VALUE"""),40838.99861111111)</f>
        <v>40838.99861</v>
      </c>
      <c r="E673" s="22">
        <f>IFERROR(__xludf.DUMMYFUNCTION("""COMPUTED_VALUE"""),1.3872)</f>
        <v>1.3872</v>
      </c>
      <c r="F673" s="22">
        <f t="shared" si="8"/>
        <v>116.332963</v>
      </c>
      <c r="G673" s="22">
        <f t="shared" si="31"/>
        <v>55.20919044</v>
      </c>
      <c r="H673" s="22">
        <f t="shared" si="32"/>
        <v>-2.102857504</v>
      </c>
      <c r="I673" s="22">
        <f t="shared" si="3"/>
        <v>0.7208765859</v>
      </c>
      <c r="J673" s="22">
        <f t="shared" si="33"/>
        <v>-0.08167531719</v>
      </c>
    </row>
    <row r="674" ht="15.75" customHeight="1">
      <c r="A674" s="25">
        <f>IFERROR(__xludf.DUMMYFUNCTION("""COMPUTED_VALUE"""),40844.666666666664)</f>
        <v>40844.66667</v>
      </c>
      <c r="B674" s="22">
        <f>IFERROR(__xludf.DUMMYFUNCTION("""COMPUTED_VALUE"""),1285.08)</f>
        <v>1285.08</v>
      </c>
      <c r="C674" s="22">
        <f t="shared" si="6"/>
        <v>1285.629017</v>
      </c>
      <c r="D674" s="25">
        <f>IFERROR(__xludf.DUMMYFUNCTION("""COMPUTED_VALUE"""),40845.99861111111)</f>
        <v>40845.99861</v>
      </c>
      <c r="E674" s="22">
        <f>IFERROR(__xludf.DUMMYFUNCTION("""COMPUTED_VALUE"""),1.4145)</f>
        <v>1.4145</v>
      </c>
      <c r="F674" s="22">
        <f t="shared" si="8"/>
        <v>123.1072415</v>
      </c>
      <c r="G674" s="22">
        <f t="shared" si="31"/>
        <v>47.83197599</v>
      </c>
      <c r="H674" s="22">
        <f t="shared" si="32"/>
        <v>4.76001766</v>
      </c>
      <c r="I674" s="22">
        <f t="shared" si="3"/>
        <v>0.7069635914</v>
      </c>
      <c r="J674" s="22">
        <f t="shared" si="33"/>
        <v>-0.1008837045</v>
      </c>
    </row>
    <row r="675" ht="15.75" customHeight="1">
      <c r="A675" s="25">
        <f>IFERROR(__xludf.DUMMYFUNCTION("""COMPUTED_VALUE"""),40851.666666666664)</f>
        <v>40851.66667</v>
      </c>
      <c r="B675" s="22">
        <f>IFERROR(__xludf.DUMMYFUNCTION("""COMPUTED_VALUE"""),1253.23)</f>
        <v>1253.23</v>
      </c>
      <c r="C675" s="22">
        <f t="shared" si="6"/>
        <v>1253.79978</v>
      </c>
      <c r="D675" s="25">
        <f>IFERROR(__xludf.DUMMYFUNCTION("""COMPUTED_VALUE"""),40852.99861111111)</f>
        <v>40852.99861</v>
      </c>
      <c r="E675" s="22">
        <f>IFERROR(__xludf.DUMMYFUNCTION("""COMPUTED_VALUE"""),1.3746)</f>
        <v>1.3746</v>
      </c>
      <c r="F675" s="22">
        <f t="shared" si="8"/>
        <v>116.6727707</v>
      </c>
      <c r="G675" s="22">
        <f t="shared" si="31"/>
        <v>45.59545279</v>
      </c>
      <c r="H675" s="22">
        <f t="shared" si="32"/>
        <v>-2.915707486</v>
      </c>
      <c r="I675" s="22">
        <f t="shared" si="3"/>
        <v>0.7274843591</v>
      </c>
      <c r="J675" s="22">
        <f t="shared" si="33"/>
        <v>-0.06518259857</v>
      </c>
    </row>
    <row r="676" ht="15.75" customHeight="1">
      <c r="A676" s="25">
        <f>IFERROR(__xludf.DUMMYFUNCTION("""COMPUTED_VALUE"""),40858.666666666664)</f>
        <v>40858.66667</v>
      </c>
      <c r="B676" s="22">
        <f>IFERROR(__xludf.DUMMYFUNCTION("""COMPUTED_VALUE"""),1263.85)</f>
        <v>1263.85</v>
      </c>
      <c r="C676" s="22">
        <f t="shared" si="6"/>
        <v>1264.405658</v>
      </c>
      <c r="D676" s="25">
        <f>IFERROR(__xludf.DUMMYFUNCTION("""COMPUTED_VALUE"""),40859.99861111111)</f>
        <v>40859.99861</v>
      </c>
      <c r="E676" s="22">
        <f>IFERROR(__xludf.DUMMYFUNCTION("""COMPUTED_VALUE"""),1.3778)</f>
        <v>1.3778</v>
      </c>
      <c r="F676" s="22">
        <f t="shared" si="8"/>
        <v>117.9336102</v>
      </c>
      <c r="G676" s="22">
        <f t="shared" si="31"/>
        <v>58.33600702</v>
      </c>
      <c r="H676" s="22">
        <f t="shared" si="32"/>
        <v>-3.258049795</v>
      </c>
      <c r="I676" s="22">
        <f t="shared" si="3"/>
        <v>0.7257947452</v>
      </c>
      <c r="J676" s="22">
        <f t="shared" si="33"/>
        <v>-0.06764407026</v>
      </c>
    </row>
    <row r="677" ht="15.75" customHeight="1">
      <c r="A677" s="25">
        <f>IFERROR(__xludf.DUMMYFUNCTION("""COMPUTED_VALUE"""),40865.666666666664)</f>
        <v>40865.66667</v>
      </c>
      <c r="B677" s="22">
        <f>IFERROR(__xludf.DUMMYFUNCTION("""COMPUTED_VALUE"""),1215.65)</f>
        <v>1215.65</v>
      </c>
      <c r="C677" s="22">
        <f t="shared" si="6"/>
        <v>1216.210367</v>
      </c>
      <c r="D677" s="25">
        <f>IFERROR(__xludf.DUMMYFUNCTION("""COMPUTED_VALUE"""),40866.99861111111)</f>
        <v>40866.99861</v>
      </c>
      <c r="E677" s="22">
        <f>IFERROR(__xludf.DUMMYFUNCTION("""COMPUTED_VALUE"""),1.3518)</f>
        <v>1.3518</v>
      </c>
      <c r="F677" s="22">
        <f t="shared" si="8"/>
        <v>111.2976836</v>
      </c>
      <c r="G677" s="22">
        <f t="shared" si="31"/>
        <v>63.22475331</v>
      </c>
      <c r="H677" s="22">
        <f t="shared" si="32"/>
        <v>-10.31260329</v>
      </c>
      <c r="I677" s="22">
        <f t="shared" si="3"/>
        <v>0.7397544015</v>
      </c>
      <c r="J677" s="22">
        <f t="shared" si="33"/>
        <v>-0.03247521823</v>
      </c>
    </row>
    <row r="678" ht="15.75" customHeight="1">
      <c r="A678" s="25">
        <f>IFERROR(__xludf.DUMMYFUNCTION("""COMPUTED_VALUE"""),40872.666666666664)</f>
        <v>40872.66667</v>
      </c>
      <c r="B678" s="22">
        <f>IFERROR(__xludf.DUMMYFUNCTION("""COMPUTED_VALUE"""),1158.67)</f>
        <v>1158.67</v>
      </c>
      <c r="C678" s="22">
        <f t="shared" si="6"/>
        <v>1159.208996</v>
      </c>
      <c r="D678" s="25">
        <f>IFERROR(__xludf.DUMMYFUNCTION("""COMPUTED_VALUE"""),40873.99861111111)</f>
        <v>40873.99861</v>
      </c>
      <c r="E678" s="22">
        <f>IFERROR(__xludf.DUMMYFUNCTION("""COMPUTED_VALUE"""),1.3241)</f>
        <v>1.3241</v>
      </c>
      <c r="F678" s="22">
        <f t="shared" si="8"/>
        <v>103.9076471</v>
      </c>
      <c r="G678" s="22">
        <f t="shared" si="31"/>
        <v>34.87208529</v>
      </c>
      <c r="H678" s="22">
        <f t="shared" si="32"/>
        <v>-17.61364153</v>
      </c>
      <c r="I678" s="22">
        <f t="shared" si="3"/>
        <v>0.7552299675</v>
      </c>
      <c r="J678" s="22">
        <f t="shared" si="33"/>
        <v>0.006948115701</v>
      </c>
    </row>
    <row r="679" ht="15.75" customHeight="1">
      <c r="A679" s="25">
        <f>IFERROR(__xludf.DUMMYFUNCTION("""COMPUTED_VALUE"""),40879.666666666664)</f>
        <v>40879.66667</v>
      </c>
      <c r="B679" s="22">
        <f>IFERROR(__xludf.DUMMYFUNCTION("""COMPUTED_VALUE"""),1244.28)</f>
        <v>1244.28</v>
      </c>
      <c r="C679" s="22">
        <f t="shared" si="6"/>
        <v>1244.793732</v>
      </c>
      <c r="D679" s="25">
        <f>IFERROR(__xludf.DUMMYFUNCTION("""COMPUTED_VALUE"""),40880.99861111111)</f>
        <v>40880.99861</v>
      </c>
      <c r="E679" s="22">
        <f>IFERROR(__xludf.DUMMYFUNCTION("""COMPUTED_VALUE"""),1.34042)</f>
        <v>1.34042</v>
      </c>
      <c r="F679" s="22">
        <f t="shared" si="8"/>
        <v>112.9544316</v>
      </c>
      <c r="G679" s="22">
        <f t="shared" si="31"/>
        <v>49.72219047</v>
      </c>
      <c r="H679" s="22">
        <f t="shared" si="32"/>
        <v>-11.66510432</v>
      </c>
      <c r="I679" s="22">
        <f t="shared" si="3"/>
        <v>0.7460348249</v>
      </c>
      <c r="J679" s="22">
        <f t="shared" si="33"/>
        <v>-0.0009101624864</v>
      </c>
    </row>
    <row r="680" ht="15.75" customHeight="1">
      <c r="A680" s="25">
        <f>IFERROR(__xludf.DUMMYFUNCTION("""COMPUTED_VALUE"""),40886.666666666664)</f>
        <v>40886.66667</v>
      </c>
      <c r="B680" s="22">
        <f>IFERROR(__xludf.DUMMYFUNCTION("""COMPUTED_VALUE"""),1255.19)</f>
        <v>1255.19</v>
      </c>
      <c r="C680" s="22">
        <f t="shared" si="6"/>
        <v>1255.74169</v>
      </c>
      <c r="D680" s="25">
        <f>IFERROR(__xludf.DUMMYFUNCTION("""COMPUTED_VALUE"""),40887.99861111111)</f>
        <v>40887.99861</v>
      </c>
      <c r="E680" s="22">
        <f>IFERROR(__xludf.DUMMYFUNCTION("""COMPUTED_VALUE"""),1.3365)</f>
        <v>1.3365</v>
      </c>
      <c r="F680" s="22">
        <f t="shared" si="8"/>
        <v>113.61463</v>
      </c>
      <c r="G680" s="22">
        <f t="shared" si="31"/>
        <v>42.86043272</v>
      </c>
      <c r="H680" s="22">
        <f t="shared" si="32"/>
        <v>-10.22500539</v>
      </c>
      <c r="I680" s="22">
        <f t="shared" si="3"/>
        <v>0.7482229704</v>
      </c>
      <c r="J680" s="22">
        <f t="shared" si="33"/>
        <v>-0.0202768425</v>
      </c>
    </row>
    <row r="681" ht="15.75" customHeight="1">
      <c r="A681" s="25">
        <f>IFERROR(__xludf.DUMMYFUNCTION("""COMPUTED_VALUE"""),40893.666666666664)</f>
        <v>40893.66667</v>
      </c>
      <c r="B681" s="22">
        <f>IFERROR(__xludf.DUMMYFUNCTION("""COMPUTED_VALUE"""),1219.66)</f>
        <v>1219.66</v>
      </c>
      <c r="C681" s="22">
        <f t="shared" si="6"/>
        <v>1220.216527</v>
      </c>
      <c r="D681" s="25">
        <f>IFERROR(__xludf.DUMMYFUNCTION("""COMPUTED_VALUE"""),40894.99861111111)</f>
        <v>40894.99861</v>
      </c>
      <c r="E681" s="22">
        <f>IFERROR(__xludf.DUMMYFUNCTION("""COMPUTED_VALUE"""),1.3044)</f>
        <v>1.3044</v>
      </c>
      <c r="F681" s="22">
        <f t="shared" si="8"/>
        <v>107.7488579</v>
      </c>
      <c r="G681" s="22">
        <f t="shared" si="31"/>
        <v>28.7159119</v>
      </c>
      <c r="H681" s="22">
        <f t="shared" si="32"/>
        <v>-14.01980918</v>
      </c>
      <c r="I681" s="22">
        <f t="shared" si="3"/>
        <v>0.7666360012</v>
      </c>
      <c r="J681" s="22">
        <f t="shared" si="33"/>
        <v>0.005519779209</v>
      </c>
    </row>
    <row r="682" ht="15.75" customHeight="1">
      <c r="A682" s="25">
        <f>IFERROR(__xludf.DUMMYFUNCTION("""COMPUTED_VALUE"""),40900.666666666664)</f>
        <v>40900.66667</v>
      </c>
      <c r="B682" s="22">
        <f>IFERROR(__xludf.DUMMYFUNCTION("""COMPUTED_VALUE"""),1265.33)</f>
        <v>1265.33</v>
      </c>
      <c r="C682" s="22">
        <f t="shared" si="6"/>
        <v>1265.870774</v>
      </c>
      <c r="D682" s="25">
        <f>IFERROR(__xludf.DUMMYFUNCTION("""COMPUTED_VALUE"""),40901.99861111111)</f>
        <v>40901.99861</v>
      </c>
      <c r="E682" s="22">
        <f>IFERROR(__xludf.DUMMYFUNCTION("""COMPUTED_VALUE"""),1.3039)</f>
        <v>1.3039</v>
      </c>
      <c r="F682" s="22">
        <f t="shared" si="8"/>
        <v>111.7374204</v>
      </c>
      <c r="G682" s="22">
        <f t="shared" si="31"/>
        <v>34.79759574</v>
      </c>
      <c r="H682" s="22">
        <f t="shared" si="32"/>
        <v>-11.82803875</v>
      </c>
      <c r="I682" s="22">
        <f t="shared" si="3"/>
        <v>0.7669299793</v>
      </c>
      <c r="J682" s="22">
        <f t="shared" si="33"/>
        <v>0.01181072168</v>
      </c>
    </row>
    <row r="683" ht="15.75" customHeight="1">
      <c r="A683" s="25">
        <f>IFERROR(__xludf.DUMMYFUNCTION("""COMPUTED_VALUE"""),40907.666666666664)</f>
        <v>40907.66667</v>
      </c>
      <c r="B683" s="22">
        <f>IFERROR(__xludf.DUMMYFUNCTION("""COMPUTED_VALUE"""),1257.6)</f>
        <v>1257.6</v>
      </c>
      <c r="C683" s="22">
        <f t="shared" si="6"/>
        <v>1258.161023</v>
      </c>
      <c r="D683" s="25">
        <f>IFERROR(__xludf.DUMMYFUNCTION("""COMPUTED_VALUE"""),40908.99861111111)</f>
        <v>40908.99861</v>
      </c>
      <c r="E683" s="22">
        <f>IFERROR(__xludf.DUMMYFUNCTION("""COMPUTED_VALUE"""),1.2957)</f>
        <v>1.2957</v>
      </c>
      <c r="F683" s="22">
        <f t="shared" si="8"/>
        <v>110.3584693</v>
      </c>
      <c r="G683" s="22">
        <f t="shared" si="31"/>
        <v>25.64951583</v>
      </c>
      <c r="H683" s="22">
        <f t="shared" si="32"/>
        <v>-10.96195567</v>
      </c>
      <c r="I683" s="22">
        <f t="shared" si="3"/>
        <v>0.7717835919</v>
      </c>
      <c r="J683" s="22">
        <f t="shared" si="33"/>
        <v>0.00192945898</v>
      </c>
    </row>
    <row r="684" ht="15.75" customHeight="1">
      <c r="A684" s="25">
        <f>IFERROR(__xludf.DUMMYFUNCTION("""COMPUTED_VALUE"""),40914.666666666664)</f>
        <v>40914.66667</v>
      </c>
      <c r="B684" s="22">
        <f>IFERROR(__xludf.DUMMYFUNCTION("""COMPUTED_VALUE"""),1277.81)</f>
        <v>1277.81</v>
      </c>
      <c r="C684" s="22">
        <f t="shared" si="6"/>
        <v>1278.367596</v>
      </c>
      <c r="D684" s="25">
        <f>IFERROR(__xludf.DUMMYFUNCTION("""COMPUTED_VALUE"""),40915.99861111111)</f>
        <v>40915.99861</v>
      </c>
      <c r="E684" s="22">
        <f>IFERROR(__xludf.DUMMYFUNCTION("""COMPUTED_VALUE"""),1.2722)</f>
        <v>1.2722</v>
      </c>
      <c r="F684" s="22">
        <f t="shared" si="8"/>
        <v>110.0971628</v>
      </c>
      <c r="G684" s="22">
        <f t="shared" si="31"/>
        <v>35.72568666</v>
      </c>
      <c r="H684" s="22">
        <f t="shared" si="32"/>
        <v>-12.05700336</v>
      </c>
      <c r="I684" s="22">
        <f t="shared" si="3"/>
        <v>0.7860399308</v>
      </c>
      <c r="J684" s="22">
        <f t="shared" si="33"/>
        <v>0.01556359063</v>
      </c>
    </row>
    <row r="685" ht="15.75" customHeight="1">
      <c r="A685" s="25">
        <f>IFERROR(__xludf.DUMMYFUNCTION("""COMPUTED_VALUE"""),40921.666666666664)</f>
        <v>40921.66667</v>
      </c>
      <c r="B685" s="22">
        <f>IFERROR(__xludf.DUMMYFUNCTION("""COMPUTED_VALUE"""),1289.09)</f>
        <v>1289.09</v>
      </c>
      <c r="C685" s="22">
        <f t="shared" si="6"/>
        <v>1289.656557</v>
      </c>
      <c r="D685" s="25">
        <f>IFERROR(__xludf.DUMMYFUNCTION("""COMPUTED_VALUE"""),40922.99861111111)</f>
        <v>40922.99861</v>
      </c>
      <c r="E685" s="22">
        <f>IFERROR(__xludf.DUMMYFUNCTION("""COMPUTED_VALUE"""),1.268)</f>
        <v>1.268</v>
      </c>
      <c r="F685" s="22">
        <f t="shared" si="8"/>
        <v>110.7027238</v>
      </c>
      <c r="G685" s="22">
        <f t="shared" si="31"/>
        <v>44.70533133</v>
      </c>
      <c r="H685" s="22">
        <f t="shared" si="32"/>
        <v>-11.798596</v>
      </c>
      <c r="I685" s="22">
        <f t="shared" si="3"/>
        <v>0.7886435331</v>
      </c>
      <c r="J685" s="22">
        <f t="shared" si="33"/>
        <v>0.02168769716</v>
      </c>
    </row>
    <row r="686" ht="15.75" customHeight="1">
      <c r="A686" s="25">
        <f>IFERROR(__xludf.DUMMYFUNCTION("""COMPUTED_VALUE"""),40928.666666666664)</f>
        <v>40928.66667</v>
      </c>
      <c r="B686" s="22">
        <f>IFERROR(__xludf.DUMMYFUNCTION("""COMPUTED_VALUE"""),1315.38)</f>
        <v>1315.38</v>
      </c>
      <c r="C686" s="22">
        <f t="shared" si="6"/>
        <v>1315.951558</v>
      </c>
      <c r="D686" s="25">
        <f>IFERROR(__xludf.DUMMYFUNCTION("""COMPUTED_VALUE"""),40929.99861111111)</f>
        <v>40929.99861</v>
      </c>
      <c r="E686" s="22">
        <f>IFERROR(__xludf.DUMMYFUNCTION("""COMPUTED_VALUE"""),1.2946)</f>
        <v>1.2946</v>
      </c>
      <c r="F686" s="22">
        <f t="shared" si="8"/>
        <v>115.3295209</v>
      </c>
      <c r="G686" s="22">
        <f t="shared" si="31"/>
        <v>57.87342802</v>
      </c>
      <c r="H686" s="22">
        <f t="shared" si="32"/>
        <v>-7.252747133</v>
      </c>
      <c r="I686" s="22">
        <f t="shared" si="3"/>
        <v>0.7724393635</v>
      </c>
      <c r="J686" s="22">
        <f t="shared" si="33"/>
        <v>-0.002780781709</v>
      </c>
    </row>
    <row r="687" ht="15.75" customHeight="1">
      <c r="A687" s="25">
        <f>IFERROR(__xludf.DUMMYFUNCTION("""COMPUTED_VALUE"""),40935.666666666664)</f>
        <v>40935.66667</v>
      </c>
      <c r="B687" s="22">
        <f>IFERROR(__xludf.DUMMYFUNCTION("""COMPUTED_VALUE"""),1316.32)</f>
        <v>1316.32</v>
      </c>
      <c r="C687" s="22">
        <f t="shared" si="6"/>
        <v>1316.903215</v>
      </c>
      <c r="D687" s="25">
        <f>IFERROR(__xludf.DUMMYFUNCTION("""COMPUTED_VALUE"""),40936.99861111111)</f>
        <v>40936.99861</v>
      </c>
      <c r="E687" s="22">
        <f>IFERROR(__xludf.DUMMYFUNCTION("""COMPUTED_VALUE"""),1.319)</f>
        <v>1.319</v>
      </c>
      <c r="F687" s="22">
        <f t="shared" si="8"/>
        <v>117.5881711</v>
      </c>
      <c r="G687" s="22">
        <f t="shared" si="31"/>
        <v>63.81723073</v>
      </c>
      <c r="H687" s="22">
        <f t="shared" si="32"/>
        <v>-7.504820013</v>
      </c>
      <c r="I687" s="22">
        <f t="shared" si="3"/>
        <v>0.7581501137</v>
      </c>
      <c r="J687" s="22">
        <f t="shared" si="33"/>
        <v>-0.01743745262</v>
      </c>
    </row>
    <row r="688" ht="15.75" customHeight="1">
      <c r="A688" s="25">
        <f>IFERROR(__xludf.DUMMYFUNCTION("""COMPUTED_VALUE"""),40942.666666666664)</f>
        <v>40942.66667</v>
      </c>
      <c r="B688" s="22">
        <f>IFERROR(__xludf.DUMMYFUNCTION("""COMPUTED_VALUE"""),1344.9)</f>
        <v>1344.9</v>
      </c>
      <c r="C688" s="22">
        <f t="shared" si="6"/>
        <v>1345.483631</v>
      </c>
      <c r="D688" s="25">
        <f>IFERROR(__xludf.DUMMYFUNCTION("""COMPUTED_VALUE"""),40943.99861111111)</f>
        <v>40943.99861</v>
      </c>
      <c r="E688" s="22">
        <f>IFERROR(__xludf.DUMMYFUNCTION("""COMPUTED_VALUE"""),1.3153)</f>
        <v>1.3153</v>
      </c>
      <c r="F688" s="22">
        <f t="shared" si="8"/>
        <v>119.8031456</v>
      </c>
      <c r="G688" s="22">
        <f t="shared" si="31"/>
        <v>57.60523112</v>
      </c>
      <c r="H688" s="22">
        <f t="shared" si="32"/>
        <v>-5.407789681</v>
      </c>
      <c r="I688" s="22">
        <f t="shared" si="3"/>
        <v>0.7602828252</v>
      </c>
      <c r="J688" s="22">
        <f t="shared" si="33"/>
        <v>-0.0113282141</v>
      </c>
    </row>
    <row r="689" ht="15.75" customHeight="1">
      <c r="A689" s="25">
        <f>IFERROR(__xludf.DUMMYFUNCTION("""COMPUTED_VALUE"""),40949.666666666664)</f>
        <v>40949.66667</v>
      </c>
      <c r="B689" s="22">
        <f>IFERROR(__xludf.DUMMYFUNCTION("""COMPUTED_VALUE"""),1342.64)</f>
        <v>1342.64</v>
      </c>
      <c r="C689" s="22">
        <f t="shared" si="6"/>
        <v>1343.236303</v>
      </c>
      <c r="D689" s="25">
        <f>IFERROR(__xludf.DUMMYFUNCTION("""COMPUTED_VALUE"""),40950.99861111111)</f>
        <v>40950.99861</v>
      </c>
      <c r="E689" s="22">
        <f>IFERROR(__xludf.DUMMYFUNCTION("""COMPUTED_VALUE"""),1.3195)</f>
        <v>1.3195</v>
      </c>
      <c r="F689" s="22">
        <f t="shared" si="8"/>
        <v>119.9849563</v>
      </c>
      <c r="G689" s="22">
        <f t="shared" si="31"/>
        <v>66.58258447</v>
      </c>
      <c r="H689" s="22">
        <f t="shared" si="32"/>
        <v>-7.376955642</v>
      </c>
      <c r="I689" s="22">
        <f t="shared" si="3"/>
        <v>0.7578628268</v>
      </c>
      <c r="J689" s="22">
        <f t="shared" si="33"/>
        <v>-0.004092459265</v>
      </c>
    </row>
    <row r="690" ht="15.75" customHeight="1">
      <c r="A690" s="25">
        <f>IFERROR(__xludf.DUMMYFUNCTION("""COMPUTED_VALUE"""),40956.666666666664)</f>
        <v>40956.66667</v>
      </c>
      <c r="B690" s="22">
        <f>IFERROR(__xludf.DUMMYFUNCTION("""COMPUTED_VALUE"""),1361.23)</f>
        <v>1361.23</v>
      </c>
      <c r="C690" s="22">
        <f t="shared" si="6"/>
        <v>1361.825301</v>
      </c>
      <c r="D690" s="25">
        <f>IFERROR(__xludf.DUMMYFUNCTION("""COMPUTED_VALUE"""),40957.99861111111)</f>
        <v>40957.99861</v>
      </c>
      <c r="E690" s="22">
        <f>IFERROR(__xludf.DUMMYFUNCTION("""COMPUTED_VALUE"""),1.3141)</f>
        <v>1.3141</v>
      </c>
      <c r="F690" s="22">
        <f t="shared" si="8"/>
        <v>121.1475948</v>
      </c>
      <c r="G690" s="22">
        <f t="shared" si="31"/>
        <v>79.66324674</v>
      </c>
      <c r="H690" s="22">
        <f t="shared" si="32"/>
        <v>-6.377853544</v>
      </c>
      <c r="I690" s="22">
        <f t="shared" si="3"/>
        <v>0.7609770946</v>
      </c>
      <c r="J690" s="22">
        <f t="shared" si="33"/>
        <v>0.001902442736</v>
      </c>
    </row>
    <row r="691" ht="15.75" customHeight="1">
      <c r="A691" s="25">
        <f>IFERROR(__xludf.DUMMYFUNCTION("""COMPUTED_VALUE"""),40963.666666666664)</f>
        <v>40963.66667</v>
      </c>
      <c r="B691" s="22">
        <f>IFERROR(__xludf.DUMMYFUNCTION("""COMPUTED_VALUE"""),1365.74)</f>
        <v>1365.74</v>
      </c>
      <c r="C691" s="22">
        <f t="shared" si="6"/>
        <v>1366.343544</v>
      </c>
      <c r="D691" s="25">
        <f>IFERROR(__xludf.DUMMYFUNCTION("""COMPUTED_VALUE"""),40964.99861111111)</f>
        <v>40964.99861</v>
      </c>
      <c r="E691" s="22">
        <f>IFERROR(__xludf.DUMMYFUNCTION("""COMPUTED_VALUE"""),1.3447)</f>
        <v>1.3447</v>
      </c>
      <c r="F691" s="22">
        <f t="shared" si="8"/>
        <v>124.3799266</v>
      </c>
      <c r="G691" s="22">
        <f t="shared" si="31"/>
        <v>97.08832548</v>
      </c>
      <c r="H691" s="22">
        <f t="shared" si="32"/>
        <v>0.5924391024</v>
      </c>
      <c r="I691" s="22">
        <f t="shared" si="3"/>
        <v>0.743660296</v>
      </c>
      <c r="J691" s="22">
        <f t="shared" si="33"/>
        <v>-0.02126868446</v>
      </c>
    </row>
    <row r="692" ht="15.75" customHeight="1">
      <c r="A692" s="25">
        <f>IFERROR(__xludf.DUMMYFUNCTION("""COMPUTED_VALUE"""),40970.666666666664)</f>
        <v>40970.66667</v>
      </c>
      <c r="B692" s="22">
        <f>IFERROR(__xludf.DUMMYFUNCTION("""COMPUTED_VALUE"""),1369.63)</f>
        <v>1369.63</v>
      </c>
      <c r="C692" s="22">
        <f t="shared" si="6"/>
        <v>1370.235543</v>
      </c>
      <c r="D692" s="25">
        <f>IFERROR(__xludf.DUMMYFUNCTION("""COMPUTED_VALUE"""),40971.99861111111)</f>
        <v>40971.99861</v>
      </c>
      <c r="E692" s="22">
        <f>IFERROR(__xludf.DUMMYFUNCTION("""COMPUTED_VALUE"""),1.3201)</f>
        <v>1.3201</v>
      </c>
      <c r="F692" s="22">
        <f t="shared" si="8"/>
        <v>122.4523269</v>
      </c>
      <c r="G692" s="22">
        <f t="shared" si="31"/>
        <v>109.3907392</v>
      </c>
      <c r="H692" s="22">
        <f t="shared" si="32"/>
        <v>-1.719970085</v>
      </c>
      <c r="I692" s="22">
        <f t="shared" si="3"/>
        <v>0.7575183698</v>
      </c>
      <c r="J692" s="22">
        <f t="shared" si="33"/>
        <v>-0.006590409817</v>
      </c>
    </row>
    <row r="693" ht="15.75" customHeight="1">
      <c r="A693" s="25">
        <f>IFERROR(__xludf.DUMMYFUNCTION("""COMPUTED_VALUE"""),40977.666666666664)</f>
        <v>40977.66667</v>
      </c>
      <c r="B693" s="22">
        <f>IFERROR(__xludf.DUMMYFUNCTION("""COMPUTED_VALUE"""),1370.87)</f>
        <v>1370.87</v>
      </c>
      <c r="C693" s="22">
        <f t="shared" si="6"/>
        <v>1371.477268</v>
      </c>
      <c r="D693" s="25">
        <f>IFERROR(__xludf.DUMMYFUNCTION("""COMPUTED_VALUE"""),40978.99861111111)</f>
        <v>40978.99861</v>
      </c>
      <c r="E693" s="22">
        <f>IFERROR(__xludf.DUMMYFUNCTION("""COMPUTED_VALUE"""),1.3121)</f>
        <v>1.3121</v>
      </c>
      <c r="F693" s="22">
        <f t="shared" si="8"/>
        <v>121.8205432</v>
      </c>
      <c r="G693" s="22">
        <f t="shared" si="31"/>
        <v>83.92732936</v>
      </c>
      <c r="H693" s="22">
        <f t="shared" si="32"/>
        <v>-2.600023591</v>
      </c>
      <c r="I693" s="22">
        <f t="shared" si="3"/>
        <v>0.7621370322</v>
      </c>
      <c r="J693" s="22">
        <f t="shared" si="33"/>
        <v>0.01478545843</v>
      </c>
    </row>
    <row r="694" ht="15.75" customHeight="1">
      <c r="A694" s="25">
        <f>IFERROR(__xludf.DUMMYFUNCTION("""COMPUTED_VALUE"""),40984.666666666664)</f>
        <v>40984.66667</v>
      </c>
      <c r="B694" s="22">
        <f>IFERROR(__xludf.DUMMYFUNCTION("""COMPUTED_VALUE"""),1404.17)</f>
        <v>1404.17</v>
      </c>
      <c r="C694" s="22">
        <f t="shared" si="6"/>
        <v>1404.777818</v>
      </c>
      <c r="D694" s="25">
        <f>IFERROR(__xludf.DUMMYFUNCTION("""COMPUTED_VALUE"""),40985.99861111111)</f>
        <v>40985.99861</v>
      </c>
      <c r="E694" s="22">
        <f>IFERROR(__xludf.DUMMYFUNCTION("""COMPUTED_VALUE"""),1.3174)</f>
        <v>1.3174</v>
      </c>
      <c r="F694" s="22">
        <f t="shared" si="8"/>
        <v>125.2824629</v>
      </c>
      <c r="G694" s="22">
        <f t="shared" si="31"/>
        <v>77.25623609</v>
      </c>
      <c r="H694" s="22">
        <f t="shared" si="32"/>
        <v>-3.011355365</v>
      </c>
      <c r="I694" s="22">
        <f t="shared" si="3"/>
        <v>0.7590708972</v>
      </c>
      <c r="J694" s="22">
        <f t="shared" si="33"/>
        <v>0.0081220586</v>
      </c>
    </row>
    <row r="695" ht="15.75" customHeight="1">
      <c r="A695" s="25">
        <f>IFERROR(__xludf.DUMMYFUNCTION("""COMPUTED_VALUE"""),40991.666666666664)</f>
        <v>40991.66667</v>
      </c>
      <c r="B695" s="22">
        <f>IFERROR(__xludf.DUMMYFUNCTION("""COMPUTED_VALUE"""),1397.11)</f>
        <v>1397.11</v>
      </c>
      <c r="C695" s="22">
        <f t="shared" si="6"/>
        <v>1397.732582</v>
      </c>
      <c r="D695" s="25">
        <f>IFERROR(__xludf.DUMMYFUNCTION("""COMPUTED_VALUE"""),40992.99861111111)</f>
        <v>40992.99861</v>
      </c>
      <c r="E695" s="22">
        <f>IFERROR(__xludf.DUMMYFUNCTION("""COMPUTED_VALUE"""),1.3267)</f>
        <v>1.3267</v>
      </c>
      <c r="F695" s="22">
        <f t="shared" si="8"/>
        <v>125.5341252</v>
      </c>
      <c r="G695" s="22">
        <f t="shared" si="31"/>
        <v>70.94836787</v>
      </c>
      <c r="H695" s="22">
        <f t="shared" si="32"/>
        <v>-2.326997432</v>
      </c>
      <c r="I695" s="22">
        <f t="shared" si="3"/>
        <v>0.7537499058</v>
      </c>
      <c r="J695" s="22">
        <f t="shared" si="33"/>
        <v>0.006708374161</v>
      </c>
    </row>
    <row r="696" ht="15.75" customHeight="1">
      <c r="A696" s="25">
        <f>IFERROR(__xludf.DUMMYFUNCTION("""COMPUTED_VALUE"""),40998.666666666664)</f>
        <v>40998.66667</v>
      </c>
      <c r="B696" s="22">
        <f>IFERROR(__xludf.DUMMYFUNCTION("""COMPUTED_VALUE"""),1408.47)</f>
        <v>1408.47</v>
      </c>
      <c r="C696" s="22">
        <f t="shared" si="6"/>
        <v>1409.089452</v>
      </c>
      <c r="D696" s="25">
        <f>IFERROR(__xludf.DUMMYFUNCTION("""COMPUTED_VALUE"""),40999.99861111111)</f>
        <v>40999.99861</v>
      </c>
      <c r="E696" s="22">
        <f>IFERROR(__xludf.DUMMYFUNCTION("""COMPUTED_VALUE"""),1.334)</f>
        <v>1.334</v>
      </c>
      <c r="F696" s="22">
        <f t="shared" si="8"/>
        <v>127.2504644</v>
      </c>
      <c r="G696" s="22">
        <f t="shared" si="31"/>
        <v>65.36929738</v>
      </c>
      <c r="H696" s="22">
        <f t="shared" si="32"/>
        <v>-2.432629684</v>
      </c>
      <c r="I696" s="22">
        <f t="shared" si="3"/>
        <v>0.7496251874</v>
      </c>
      <c r="J696" s="22">
        <f t="shared" si="33"/>
        <v>0.004347826087</v>
      </c>
    </row>
    <row r="697" ht="15.75" customHeight="1">
      <c r="A697" s="25">
        <f>IFERROR(__xludf.DUMMYFUNCTION("""COMPUTED_VALUE"""),41004.666666666664)</f>
        <v>41004.66667</v>
      </c>
      <c r="B697" s="22">
        <f>IFERROR(__xludf.DUMMYFUNCTION("""COMPUTED_VALUE"""),1398.08)</f>
        <v>1398.08</v>
      </c>
      <c r="C697" s="22">
        <f t="shared" si="6"/>
        <v>1398.704489</v>
      </c>
      <c r="D697" s="25">
        <f>IFERROR(__xludf.DUMMYFUNCTION("""COMPUTED_VALUE"""),41006.99861111111)</f>
        <v>41006.99861</v>
      </c>
      <c r="E697" s="22">
        <f>IFERROR(__xludf.DUMMYFUNCTION("""COMPUTED_VALUE"""),1.3094)</f>
        <v>1.3094</v>
      </c>
      <c r="F697" s="22">
        <f t="shared" si="8"/>
        <v>123.9833275</v>
      </c>
      <c r="G697" s="22">
        <f t="shared" si="31"/>
        <v>62.24318667</v>
      </c>
      <c r="H697" s="22">
        <f t="shared" si="32"/>
        <v>-6.842530296</v>
      </c>
      <c r="I697" s="22">
        <f t="shared" si="3"/>
        <v>0.7637085688</v>
      </c>
      <c r="J697" s="22">
        <f t="shared" si="33"/>
        <v>0.03299221017</v>
      </c>
    </row>
    <row r="698" ht="15.75" customHeight="1">
      <c r="A698" s="25">
        <f>IFERROR(__xludf.DUMMYFUNCTION("""COMPUTED_VALUE"""),41012.666666666664)</f>
        <v>41012.66667</v>
      </c>
      <c r="B698" s="22">
        <f>IFERROR(__xludf.DUMMYFUNCTION("""COMPUTED_VALUE"""),1370.26)</f>
        <v>1370.26</v>
      </c>
      <c r="C698" s="22">
        <f t="shared" si="6"/>
        <v>1370.879882</v>
      </c>
      <c r="D698" s="25">
        <f>IFERROR(__xludf.DUMMYFUNCTION("""COMPUTED_VALUE"""),41013.99861111111)</f>
        <v>41013.99861</v>
      </c>
      <c r="E698" s="22">
        <f>IFERROR(__xludf.DUMMYFUNCTION("""COMPUTED_VALUE"""),1.3081)</f>
        <v>1.3081</v>
      </c>
      <c r="F698" s="22">
        <f t="shared" si="8"/>
        <v>121.3962668</v>
      </c>
      <c r="G698" s="22">
        <f t="shared" si="31"/>
        <v>58.0715083</v>
      </c>
      <c r="H698" s="22">
        <f t="shared" si="32"/>
        <v>-11.10283148</v>
      </c>
      <c r="I698" s="22">
        <f t="shared" si="3"/>
        <v>0.7644675484</v>
      </c>
      <c r="J698" s="22">
        <f t="shared" si="33"/>
        <v>0.03845271768</v>
      </c>
    </row>
    <row r="699" ht="15.75" customHeight="1">
      <c r="A699" s="25">
        <f>IFERROR(__xludf.DUMMYFUNCTION("""COMPUTED_VALUE"""),41019.666666666664)</f>
        <v>41019.66667</v>
      </c>
      <c r="B699" s="22">
        <f>IFERROR(__xludf.DUMMYFUNCTION("""COMPUTED_VALUE"""),1378.53)</f>
        <v>1378.53</v>
      </c>
      <c r="C699" s="22">
        <f t="shared" si="6"/>
        <v>1379.137547</v>
      </c>
      <c r="D699" s="25">
        <f>IFERROR(__xludf.DUMMYFUNCTION("""COMPUTED_VALUE"""),41020.99861111111)</f>
        <v>41020.99861</v>
      </c>
      <c r="E699" s="22">
        <f>IFERROR(__xludf.DUMMYFUNCTION("""COMPUTED_VALUE"""),1.3215)</f>
        <v>1.3215</v>
      </c>
      <c r="F699" s="22">
        <f t="shared" si="8"/>
        <v>123.37857</v>
      </c>
      <c r="G699" s="22">
        <f t="shared" si="31"/>
        <v>58.66039575</v>
      </c>
      <c r="H699" s="22">
        <f t="shared" si="32"/>
        <v>-10.6866742</v>
      </c>
      <c r="I699" s="22">
        <f t="shared" si="3"/>
        <v>0.7567158532</v>
      </c>
      <c r="J699" s="22">
        <f t="shared" si="33"/>
        <v>0.03306848278</v>
      </c>
    </row>
    <row r="700" ht="15.75" customHeight="1">
      <c r="A700" s="25">
        <f>IFERROR(__xludf.DUMMYFUNCTION("""COMPUTED_VALUE"""),41026.666666666664)</f>
        <v>41026.66667</v>
      </c>
      <c r="B700" s="22">
        <f>IFERROR(__xludf.DUMMYFUNCTION("""COMPUTED_VALUE"""),1403.36)</f>
        <v>1403.36</v>
      </c>
      <c r="C700" s="22">
        <f t="shared" si="6"/>
        <v>1403.971214</v>
      </c>
      <c r="D700" s="25">
        <f>IFERROR(__xludf.DUMMYFUNCTION("""COMPUTED_VALUE"""),41027.99861111111)</f>
        <v>41027.99861</v>
      </c>
      <c r="E700" s="22">
        <f>IFERROR(__xludf.DUMMYFUNCTION("""COMPUTED_VALUE"""),1.3225)</f>
        <v>1.3225</v>
      </c>
      <c r="F700" s="22">
        <f t="shared" si="8"/>
        <v>125.6952502</v>
      </c>
      <c r="G700" s="22">
        <f t="shared" si="31"/>
        <v>59.48893084</v>
      </c>
      <c r="H700" s="22">
        <f t="shared" si="32"/>
        <v>-9.26228728</v>
      </c>
      <c r="I700" s="22">
        <f t="shared" si="3"/>
        <v>0.7561436673</v>
      </c>
      <c r="J700" s="22">
        <f t="shared" si="33"/>
        <v>0.02722117202</v>
      </c>
    </row>
    <row r="701" ht="15.75" customHeight="1">
      <c r="A701" s="25">
        <f>IFERROR(__xludf.DUMMYFUNCTION("""COMPUTED_VALUE"""),41033.666666666664)</f>
        <v>41033.66667</v>
      </c>
      <c r="B701" s="22">
        <f>IFERROR(__xludf.DUMMYFUNCTION("""COMPUTED_VALUE"""),1369.1)</f>
        <v>1369.1</v>
      </c>
      <c r="C701" s="22">
        <f t="shared" si="6"/>
        <v>1369.722223</v>
      </c>
      <c r="D701" s="25">
        <f>IFERROR(__xludf.DUMMYFUNCTION("""COMPUTED_VALUE"""),41034.99861111111)</f>
        <v>41034.99861</v>
      </c>
      <c r="E701" s="22">
        <f>IFERROR(__xludf.DUMMYFUNCTION("""COMPUTED_VALUE"""),1.3081)</f>
        <v>1.3081</v>
      </c>
      <c r="F701" s="22">
        <f t="shared" si="8"/>
        <v>121.293752</v>
      </c>
      <c r="G701" s="22">
        <f t="shared" si="31"/>
        <v>41.33495352</v>
      </c>
      <c r="H701" s="22">
        <f t="shared" si="32"/>
        <v>-12.05845596</v>
      </c>
      <c r="I701" s="22">
        <f t="shared" si="3"/>
        <v>0.7644675484</v>
      </c>
      <c r="J701" s="22">
        <f t="shared" si="33"/>
        <v>0.03386591239</v>
      </c>
    </row>
    <row r="702" ht="15.75" customHeight="1">
      <c r="A702" s="25">
        <f>IFERROR(__xludf.DUMMYFUNCTION("""COMPUTED_VALUE"""),41040.666666666664)</f>
        <v>41040.66667</v>
      </c>
      <c r="B702" s="22">
        <f>IFERROR(__xludf.DUMMYFUNCTION("""COMPUTED_VALUE"""),1353.39)</f>
        <v>1353.39</v>
      </c>
      <c r="C702" s="22">
        <f t="shared" si="6"/>
        <v>1353.997033</v>
      </c>
      <c r="D702" s="25">
        <f>IFERROR(__xludf.DUMMYFUNCTION("""COMPUTED_VALUE"""),41041.99861111111)</f>
        <v>41041.99861</v>
      </c>
      <c r="E702" s="22">
        <f>IFERROR(__xludf.DUMMYFUNCTION("""COMPUTED_VALUE"""),1.2914)</f>
        <v>1.2914</v>
      </c>
      <c r="F702" s="22">
        <f t="shared" si="8"/>
        <v>118.3704987</v>
      </c>
      <c r="G702" s="22">
        <f t="shared" si="31"/>
        <v>46.6468028</v>
      </c>
      <c r="H702" s="22">
        <f t="shared" si="32"/>
        <v>-15.04202381</v>
      </c>
      <c r="I702" s="22">
        <f t="shared" si="3"/>
        <v>0.7743534149</v>
      </c>
      <c r="J702" s="22">
        <f t="shared" si="33"/>
        <v>0.04615146353</v>
      </c>
    </row>
    <row r="703" ht="15.75" customHeight="1">
      <c r="A703" s="25">
        <f>IFERROR(__xludf.DUMMYFUNCTION("""COMPUTED_VALUE"""),41047.666666666664)</f>
        <v>41047.66667</v>
      </c>
      <c r="B703" s="22">
        <f>IFERROR(__xludf.DUMMYFUNCTION("""COMPUTED_VALUE"""),1295.22)</f>
        <v>1295.22</v>
      </c>
      <c r="C703" s="22">
        <f t="shared" si="6"/>
        <v>1295.820068</v>
      </c>
      <c r="D703" s="25">
        <f>IFERROR(__xludf.DUMMYFUNCTION("""COMPUTED_VALUE"""),41048.99861111111)</f>
        <v>41048.99861</v>
      </c>
      <c r="E703" s="22">
        <f>IFERROR(__xludf.DUMMYFUNCTION("""COMPUTED_VALUE"""),1.278)</f>
        <v>1.278</v>
      </c>
      <c r="F703" s="22">
        <f t="shared" si="8"/>
        <v>112.1090152</v>
      </c>
      <c r="G703" s="22">
        <f t="shared" si="31"/>
        <v>33.30065344</v>
      </c>
      <c r="H703" s="22">
        <f t="shared" si="32"/>
        <v>-18.77317171</v>
      </c>
      <c r="I703" s="22">
        <f t="shared" si="3"/>
        <v>0.7824726135</v>
      </c>
      <c r="J703" s="22">
        <f t="shared" si="33"/>
        <v>0.05203442879</v>
      </c>
    </row>
    <row r="704" ht="15.75" customHeight="1">
      <c r="A704" s="25">
        <f>IFERROR(__xludf.DUMMYFUNCTION("""COMPUTED_VALUE"""),41054.666666666664)</f>
        <v>41054.66667</v>
      </c>
      <c r="B704" s="22">
        <f>IFERROR(__xludf.DUMMYFUNCTION("""COMPUTED_VALUE"""),1317.82)</f>
        <v>1317.82</v>
      </c>
      <c r="C704" s="22">
        <f t="shared" si="6"/>
        <v>1318.394276</v>
      </c>
      <c r="D704" s="25">
        <f>IFERROR(__xludf.DUMMYFUNCTION("""COMPUTED_VALUE"""),41055.99861111111)</f>
        <v>41055.99861</v>
      </c>
      <c r="E704" s="22">
        <f>IFERROR(__xludf.DUMMYFUNCTION("""COMPUTED_VALUE"""),1.2517)</f>
        <v>1.2517</v>
      </c>
      <c r="F704" s="22">
        <f t="shared" si="8"/>
        <v>111.7147566</v>
      </c>
      <c r="G704" s="22">
        <f t="shared" si="31"/>
        <v>26.7940629</v>
      </c>
      <c r="H704" s="22">
        <f t="shared" si="32"/>
        <v>-20.09052182</v>
      </c>
      <c r="I704" s="22">
        <f t="shared" si="3"/>
        <v>0.7989134777</v>
      </c>
      <c r="J704" s="22">
        <f t="shared" si="33"/>
        <v>0.0734201486</v>
      </c>
    </row>
    <row r="705" ht="15.75" customHeight="1">
      <c r="A705" s="25">
        <f>IFERROR(__xludf.DUMMYFUNCTION("""COMPUTED_VALUE"""),41061.666666666664)</f>
        <v>41061.66667</v>
      </c>
      <c r="B705" s="22">
        <f>IFERROR(__xludf.DUMMYFUNCTION("""COMPUTED_VALUE"""),1278.04)</f>
        <v>1278.04</v>
      </c>
      <c r="C705" s="22">
        <f t="shared" si="6"/>
        <v>1278.624296</v>
      </c>
      <c r="D705" s="25">
        <f>IFERROR(__xludf.DUMMYFUNCTION("""COMPUTED_VALUE"""),41062.99861111111)</f>
        <v>41062.99861</v>
      </c>
      <c r="E705" s="22">
        <f>IFERROR(__xludf.DUMMYFUNCTION("""COMPUTED_VALUE"""),1.2421)</f>
        <v>1.2421</v>
      </c>
      <c r="F705" s="22">
        <f t="shared" si="8"/>
        <v>107.5138705</v>
      </c>
      <c r="G705" s="22">
        <f t="shared" si="31"/>
        <v>20.88614771</v>
      </c>
      <c r="H705" s="22">
        <f t="shared" si="32"/>
        <v>-21.26493302</v>
      </c>
      <c r="I705" s="22">
        <f t="shared" si="3"/>
        <v>0.8050881572</v>
      </c>
      <c r="J705" s="22">
        <f t="shared" si="33"/>
        <v>0.07664439256</v>
      </c>
    </row>
    <row r="706" ht="15.75" customHeight="1">
      <c r="A706" s="25">
        <f>IFERROR(__xludf.DUMMYFUNCTION("""COMPUTED_VALUE"""),41068.666666666664)</f>
        <v>41068.66667</v>
      </c>
      <c r="B706" s="22">
        <f>IFERROR(__xludf.DUMMYFUNCTION("""COMPUTED_VALUE"""),1325.66)</f>
        <v>1325.66</v>
      </c>
      <c r="C706" s="22">
        <f t="shared" si="6"/>
        <v>1326.226659</v>
      </c>
      <c r="D706" s="25">
        <f>IFERROR(__xludf.DUMMYFUNCTION("""COMPUTED_VALUE"""),41069.99861111111)</f>
        <v>41069.99861</v>
      </c>
      <c r="E706" s="22">
        <f>IFERROR(__xludf.DUMMYFUNCTION("""COMPUTED_VALUE"""),1.2513)</f>
        <v>1.2513</v>
      </c>
      <c r="F706" s="22">
        <f t="shared" si="8"/>
        <v>112.3425249</v>
      </c>
      <c r="G706" s="22">
        <f t="shared" si="31"/>
        <v>25.21961335</v>
      </c>
      <c r="H706" s="22">
        <f t="shared" si="32"/>
        <v>-19.09424707</v>
      </c>
      <c r="I706" s="22">
        <f t="shared" si="3"/>
        <v>0.7991688644</v>
      </c>
      <c r="J706" s="22">
        <f t="shared" si="33"/>
        <v>0.06888835611</v>
      </c>
    </row>
    <row r="707" ht="15.75" customHeight="1">
      <c r="A707" s="25">
        <f>IFERROR(__xludf.DUMMYFUNCTION("""COMPUTED_VALUE"""),41075.666666666664)</f>
        <v>41075.66667</v>
      </c>
      <c r="B707" s="22">
        <f>IFERROR(__xludf.DUMMYFUNCTION("""COMPUTED_VALUE"""),1342.84)</f>
        <v>1342.84</v>
      </c>
      <c r="C707" s="22">
        <f t="shared" si="6"/>
        <v>1343.427773</v>
      </c>
      <c r="D707" s="25">
        <f>IFERROR(__xludf.DUMMYFUNCTION("""COMPUTED_VALUE"""),41076.99861111111)</f>
        <v>41076.99861</v>
      </c>
      <c r="E707" s="22">
        <f>IFERROR(__xludf.DUMMYFUNCTION("""COMPUTED_VALUE"""),1.2658)</f>
        <v>1.2658</v>
      </c>
      <c r="F707" s="22">
        <f t="shared" si="8"/>
        <v>115.1183075</v>
      </c>
      <c r="G707" s="22">
        <f t="shared" si="31"/>
        <v>32.31073689</v>
      </c>
      <c r="H707" s="22">
        <f t="shared" si="32"/>
        <v>-15.99356068</v>
      </c>
      <c r="I707" s="22">
        <f t="shared" si="3"/>
        <v>0.7900142203</v>
      </c>
      <c r="J707" s="22">
        <f t="shared" si="33"/>
        <v>0.063833149</v>
      </c>
    </row>
    <row r="708" ht="15.75" customHeight="1">
      <c r="A708" s="25">
        <f>IFERROR(__xludf.DUMMYFUNCTION("""COMPUTED_VALUE"""),41082.666666666664)</f>
        <v>41082.66667</v>
      </c>
      <c r="B708" s="22">
        <f>IFERROR(__xludf.DUMMYFUNCTION("""COMPUTED_VALUE"""),1335.02)</f>
        <v>1335.02</v>
      </c>
      <c r="C708" s="22">
        <f t="shared" si="6"/>
        <v>1335.61539</v>
      </c>
      <c r="D708" s="25">
        <f>IFERROR(__xludf.DUMMYFUNCTION("""COMPUTED_VALUE"""),41083.99861111111)</f>
        <v>41083.99861</v>
      </c>
      <c r="E708" s="22">
        <f>IFERROR(__xludf.DUMMYFUNCTION("""COMPUTED_VALUE"""),1.2574)</f>
        <v>1.2574</v>
      </c>
      <c r="F708" s="22">
        <f t="shared" si="8"/>
        <v>113.6893682</v>
      </c>
      <c r="G708" s="22">
        <f t="shared" si="31"/>
        <v>30.04990323</v>
      </c>
      <c r="H708" s="22">
        <f t="shared" si="32"/>
        <v>-17.48967975</v>
      </c>
      <c r="I708" s="22">
        <f t="shared" si="3"/>
        <v>0.7952918721</v>
      </c>
      <c r="J708" s="22">
        <f t="shared" si="33"/>
        <v>0.07626849054</v>
      </c>
    </row>
    <row r="709" ht="15.75" customHeight="1">
      <c r="A709" s="25">
        <f>IFERROR(__xludf.DUMMYFUNCTION("""COMPUTED_VALUE"""),41089.666666666664)</f>
        <v>41089.66667</v>
      </c>
      <c r="B709" s="22">
        <f>IFERROR(__xludf.DUMMYFUNCTION("""COMPUTED_VALUE"""),1362.16)</f>
        <v>1362.16</v>
      </c>
      <c r="C709" s="22">
        <f t="shared" si="6"/>
        <v>1362.751923</v>
      </c>
      <c r="D709" s="25">
        <f>IFERROR(__xludf.DUMMYFUNCTION("""COMPUTED_VALUE"""),41090.99861111111)</f>
        <v>41090.99861</v>
      </c>
      <c r="E709" s="22">
        <f>IFERROR(__xludf.DUMMYFUNCTION("""COMPUTED_VALUE"""),1.266)</f>
        <v>1.266</v>
      </c>
      <c r="F709" s="22">
        <f t="shared" si="8"/>
        <v>116.7926443</v>
      </c>
      <c r="G709" s="22">
        <f t="shared" si="31"/>
        <v>37.54604452</v>
      </c>
      <c r="H709" s="22">
        <f t="shared" si="32"/>
        <v>-17.28727365</v>
      </c>
      <c r="I709" s="22">
        <f t="shared" si="3"/>
        <v>0.7898894155</v>
      </c>
      <c r="J709" s="22">
        <f t="shared" si="33"/>
        <v>0.07606635071</v>
      </c>
    </row>
    <row r="710" ht="15.75" customHeight="1">
      <c r="A710" s="25">
        <f>IFERROR(__xludf.DUMMYFUNCTION("""COMPUTED_VALUE"""),41096.666666666664)</f>
        <v>41096.66667</v>
      </c>
      <c r="B710" s="22">
        <f>IFERROR(__xludf.DUMMYFUNCTION("""COMPUTED_VALUE"""),1354.68)</f>
        <v>1354.68</v>
      </c>
      <c r="C710" s="22">
        <f t="shared" si="6"/>
        <v>1355.283956</v>
      </c>
      <c r="D710" s="25">
        <f>IFERROR(__xludf.DUMMYFUNCTION("""COMPUTED_VALUE"""),41097.99861111111)</f>
        <v>41097.99861</v>
      </c>
      <c r="E710" s="22">
        <f>IFERROR(__xludf.DUMMYFUNCTION("""COMPUTED_VALUE"""),1.2286)</f>
        <v>1.2286</v>
      </c>
      <c r="F710" s="22">
        <f t="shared" si="8"/>
        <v>112.7212485</v>
      </c>
      <c r="G710" s="22">
        <f t="shared" si="31"/>
        <v>35.84800637</v>
      </c>
      <c r="H710" s="22">
        <f t="shared" si="32"/>
        <v>-22.20732846</v>
      </c>
      <c r="I710" s="22">
        <f t="shared" si="3"/>
        <v>0.8139345597</v>
      </c>
      <c r="J710" s="22">
        <f t="shared" si="33"/>
        <v>0.1216832167</v>
      </c>
    </row>
    <row r="711" ht="15.75" customHeight="1">
      <c r="A711" s="25">
        <f>IFERROR(__xludf.DUMMYFUNCTION("""COMPUTED_VALUE"""),41103.666666666664)</f>
        <v>41103.66667</v>
      </c>
      <c r="B711" s="22">
        <f>IFERROR(__xludf.DUMMYFUNCTION("""COMPUTED_VALUE"""),1356.78)</f>
        <v>1356.78</v>
      </c>
      <c r="C711" s="22">
        <f t="shared" si="6"/>
        <v>1357.380639</v>
      </c>
      <c r="D711" s="25">
        <f>IFERROR(__xludf.DUMMYFUNCTION("""COMPUTED_VALUE"""),41104.99861111111)</f>
        <v>41104.99861</v>
      </c>
      <c r="E711" s="22">
        <f>IFERROR(__xludf.DUMMYFUNCTION("""COMPUTED_VALUE"""),1.2247)</f>
        <v>1.2247</v>
      </c>
      <c r="F711" s="22">
        <f t="shared" si="8"/>
        <v>112.5372636</v>
      </c>
      <c r="G711" s="22">
        <f t="shared" si="31"/>
        <v>25.31356725</v>
      </c>
      <c r="H711" s="22">
        <f t="shared" si="32"/>
        <v>-21.65950307</v>
      </c>
      <c r="I711" s="22">
        <f t="shared" si="3"/>
        <v>0.8165264963</v>
      </c>
      <c r="J711" s="22">
        <f t="shared" si="33"/>
        <v>0.1289295338</v>
      </c>
    </row>
    <row r="712" ht="15.75" customHeight="1">
      <c r="A712" s="25">
        <f>IFERROR(__xludf.DUMMYFUNCTION("""COMPUTED_VALUE"""),41110.666666666664)</f>
        <v>41110.66667</v>
      </c>
      <c r="B712" s="22">
        <f>IFERROR(__xludf.DUMMYFUNCTION("""COMPUTED_VALUE"""),1362.66)</f>
        <v>1362.66</v>
      </c>
      <c r="C712" s="22">
        <f t="shared" si="6"/>
        <v>1363.261571</v>
      </c>
      <c r="D712" s="25">
        <f>IFERROR(__xludf.DUMMYFUNCTION("""COMPUTED_VALUE"""),41111.99861111111)</f>
        <v>41111.99861</v>
      </c>
      <c r="E712" s="22">
        <f>IFERROR(__xludf.DUMMYFUNCTION("""COMPUTED_VALUE"""),1.2155)</f>
        <v>1.2155</v>
      </c>
      <c r="F712" s="22">
        <f t="shared" si="8"/>
        <v>112.1757903</v>
      </c>
      <c r="G712" s="22">
        <f t="shared" si="31"/>
        <v>19.10564344</v>
      </c>
      <c r="H712" s="22">
        <f t="shared" si="32"/>
        <v>-16.7278298</v>
      </c>
      <c r="I712" s="22">
        <f t="shared" si="3"/>
        <v>0.8227067051</v>
      </c>
      <c r="J712" s="22">
        <f t="shared" si="33"/>
        <v>0.121596051</v>
      </c>
    </row>
    <row r="713" ht="15.75" customHeight="1">
      <c r="A713" s="25">
        <f>IFERROR(__xludf.DUMMYFUNCTION("""COMPUTED_VALUE"""),41117.666666666664)</f>
        <v>41117.66667</v>
      </c>
      <c r="B713" s="22">
        <f>IFERROR(__xludf.DUMMYFUNCTION("""COMPUTED_VALUE"""),1385.97)</f>
        <v>1385.97</v>
      </c>
      <c r="C713" s="22">
        <f t="shared" si="6"/>
        <v>1386.574178</v>
      </c>
      <c r="D713" s="25">
        <f>IFERROR(__xludf.DUMMYFUNCTION("""COMPUTED_VALUE"""),41118.99861111111)</f>
        <v>41118.99861</v>
      </c>
      <c r="E713" s="22">
        <f>IFERROR(__xludf.DUMMYFUNCTION("""COMPUTED_VALUE"""),1.2317)</f>
        <v>1.2317</v>
      </c>
      <c r="F713" s="22">
        <f t="shared" si="8"/>
        <v>115.6146934</v>
      </c>
      <c r="G713" s="22">
        <f t="shared" si="31"/>
        <v>21.28080572</v>
      </c>
      <c r="H713" s="22">
        <f t="shared" si="32"/>
        <v>-13.59290414</v>
      </c>
      <c r="I713" s="22">
        <f t="shared" si="3"/>
        <v>0.8118860112</v>
      </c>
      <c r="J713" s="22">
        <f t="shared" si="33"/>
        <v>0.119266055</v>
      </c>
    </row>
    <row r="714" ht="15.75" customHeight="1">
      <c r="A714" s="25">
        <f>IFERROR(__xludf.DUMMYFUNCTION("""COMPUTED_VALUE"""),41124.666666666664)</f>
        <v>41124.66667</v>
      </c>
      <c r="B714" s="22">
        <f>IFERROR(__xludf.DUMMYFUNCTION("""COMPUTED_VALUE"""),1390.99)</f>
        <v>1390.99</v>
      </c>
      <c r="C714" s="22">
        <f t="shared" si="6"/>
        <v>1391.604513</v>
      </c>
      <c r="D714" s="25">
        <f>IFERROR(__xludf.DUMMYFUNCTION("""COMPUTED_VALUE"""),41125.99861111111)</f>
        <v>41125.99861</v>
      </c>
      <c r="E714" s="22">
        <f>IFERROR(__xludf.DUMMYFUNCTION("""COMPUTED_VALUE"""),1.2387)</f>
        <v>1.2387</v>
      </c>
      <c r="F714" s="22">
        <f t="shared" si="8"/>
        <v>116.6935759</v>
      </c>
      <c r="G714" s="22">
        <f t="shared" si="31"/>
        <v>20.35317769</v>
      </c>
      <c r="H714" s="22">
        <f t="shared" si="32"/>
        <v>-13.44876402</v>
      </c>
      <c r="I714" s="22">
        <f t="shared" si="3"/>
        <v>0.8072979737</v>
      </c>
      <c r="J714" s="22">
        <f t="shared" si="33"/>
        <v>0.105594575</v>
      </c>
    </row>
    <row r="715" ht="15.75" customHeight="1">
      <c r="A715" s="25">
        <f>IFERROR(__xludf.DUMMYFUNCTION("""COMPUTED_VALUE"""),41131.666666666664)</f>
        <v>41131.66667</v>
      </c>
      <c r="B715" s="22">
        <f>IFERROR(__xludf.DUMMYFUNCTION("""COMPUTED_VALUE"""),1405.87)</f>
        <v>1405.87</v>
      </c>
      <c r="C715" s="22">
        <f t="shared" si="6"/>
        <v>1406.486739</v>
      </c>
      <c r="D715" s="25">
        <f>IFERROR(__xludf.DUMMYFUNCTION("""COMPUTED_VALUE"""),41132.99861111111)</f>
        <v>41132.99861</v>
      </c>
      <c r="E715" s="22">
        <f>IFERROR(__xludf.DUMMYFUNCTION("""COMPUTED_VALUE"""),1.229)</f>
        <v>1.229</v>
      </c>
      <c r="F715" s="22">
        <f t="shared" si="8"/>
        <v>117.0179558</v>
      </c>
      <c r="G715" s="22">
        <f t="shared" si="31"/>
        <v>21.05264369</v>
      </c>
      <c r="H715" s="22">
        <f t="shared" si="32"/>
        <v>-11.42736398</v>
      </c>
      <c r="I715" s="22">
        <f t="shared" si="3"/>
        <v>0.8136696501</v>
      </c>
      <c r="J715" s="22">
        <f t="shared" si="33"/>
        <v>0.09772172498</v>
      </c>
    </row>
    <row r="716" ht="15.75" customHeight="1">
      <c r="A716" s="25">
        <f>IFERROR(__xludf.DUMMYFUNCTION("""COMPUTED_VALUE"""),41138.666666666664)</f>
        <v>41138.66667</v>
      </c>
      <c r="B716" s="22">
        <f>IFERROR(__xludf.DUMMYFUNCTION("""COMPUTED_VALUE"""),1418.16)</f>
        <v>1418.16</v>
      </c>
      <c r="C716" s="22">
        <f t="shared" si="6"/>
        <v>1418.783336</v>
      </c>
      <c r="D716" s="25">
        <f>IFERROR(__xludf.DUMMYFUNCTION("""COMPUTED_VALUE"""),41139.99861111111)</f>
        <v>41139.99861</v>
      </c>
      <c r="E716" s="22">
        <f>IFERROR(__xludf.DUMMYFUNCTION("""COMPUTED_VALUE"""),1.2331)</f>
        <v>1.2331</v>
      </c>
      <c r="F716" s="22">
        <f t="shared" si="8"/>
        <v>118.4348077</v>
      </c>
      <c r="G716" s="22">
        <f t="shared" si="31"/>
        <v>19.15899646</v>
      </c>
      <c r="H716" s="22">
        <f t="shared" si="32"/>
        <v>-13.48262482</v>
      </c>
      <c r="I716" s="22">
        <f t="shared" si="3"/>
        <v>0.8109642365</v>
      </c>
      <c r="J716" s="22">
        <f t="shared" si="33"/>
        <v>0.1080204363</v>
      </c>
    </row>
    <row r="717" ht="15.75" customHeight="1">
      <c r="A717" s="25">
        <f>IFERROR(__xludf.DUMMYFUNCTION("""COMPUTED_VALUE"""),41145.666666666664)</f>
        <v>41145.66667</v>
      </c>
      <c r="B717" s="22">
        <f>IFERROR(__xludf.DUMMYFUNCTION("""COMPUTED_VALUE"""),1411.13)</f>
        <v>1411.13</v>
      </c>
      <c r="C717" s="22">
        <f t="shared" si="6"/>
        <v>1411.758785</v>
      </c>
      <c r="D717" s="25">
        <f>IFERROR(__xludf.DUMMYFUNCTION("""COMPUTED_VALUE"""),41146.99861111111)</f>
        <v>41146.99861</v>
      </c>
      <c r="E717" s="22">
        <f>IFERROR(__xludf.DUMMYFUNCTION("""COMPUTED_VALUE"""),1.251)</f>
        <v>1.251</v>
      </c>
      <c r="F717" s="22">
        <f t="shared" si="8"/>
        <v>119.5591424</v>
      </c>
      <c r="G717" s="22">
        <f t="shared" si="31"/>
        <v>19.96186628</v>
      </c>
      <c r="H717" s="22">
        <f t="shared" si="32"/>
        <v>-12.0732419</v>
      </c>
      <c r="I717" s="22">
        <f t="shared" si="3"/>
        <v>0.7993605116</v>
      </c>
      <c r="J717" s="22">
        <f t="shared" si="33"/>
        <v>0.08880895284</v>
      </c>
    </row>
    <row r="718" ht="15.75" customHeight="1">
      <c r="A718" s="25">
        <f>IFERROR(__xludf.DUMMYFUNCTION("""COMPUTED_VALUE"""),41152.666666666664)</f>
        <v>41152.66667</v>
      </c>
      <c r="B718" s="22">
        <f>IFERROR(__xludf.DUMMYFUNCTION("""COMPUTED_VALUE"""),1406.58)</f>
        <v>1406.58</v>
      </c>
      <c r="C718" s="22">
        <f t="shared" si="6"/>
        <v>1407.205668</v>
      </c>
      <c r="D718" s="25">
        <f>IFERROR(__xludf.DUMMYFUNCTION("""COMPUTED_VALUE"""),41153.99861111111)</f>
        <v>41153.99861</v>
      </c>
      <c r="E718" s="22">
        <f>IFERROR(__xludf.DUMMYFUNCTION("""COMPUTED_VALUE"""),1.2583)</f>
        <v>1.2583</v>
      </c>
      <c r="F718" s="22">
        <f t="shared" si="8"/>
        <v>119.8689648</v>
      </c>
      <c r="G718" s="22">
        <f t="shared" si="31"/>
        <v>21.99345623</v>
      </c>
      <c r="H718" s="22">
        <f t="shared" si="32"/>
        <v>-11.55419019</v>
      </c>
      <c r="I718" s="22">
        <f t="shared" si="3"/>
        <v>0.794723039</v>
      </c>
      <c r="J718" s="22">
        <f t="shared" si="33"/>
        <v>0.09409520782</v>
      </c>
    </row>
    <row r="719" ht="15.75" customHeight="1">
      <c r="A719" s="25">
        <f>IFERROR(__xludf.DUMMYFUNCTION("""COMPUTED_VALUE"""),41159.666666666664)</f>
        <v>41159.66667</v>
      </c>
      <c r="B719" s="22">
        <f>IFERROR(__xludf.DUMMYFUNCTION("""COMPUTED_VALUE"""),1437.92)</f>
        <v>1437.92</v>
      </c>
      <c r="C719" s="22">
        <f t="shared" si="6"/>
        <v>1438.543651</v>
      </c>
      <c r="D719" s="25">
        <f>IFERROR(__xludf.DUMMYFUNCTION("""COMPUTED_VALUE"""),41160.99861111111)</f>
        <v>41160.99861</v>
      </c>
      <c r="E719" s="22">
        <f>IFERROR(__xludf.DUMMYFUNCTION("""COMPUTED_VALUE"""),1.2815)</f>
        <v>1.2815</v>
      </c>
      <c r="F719" s="22">
        <f t="shared" si="8"/>
        <v>124.7977161</v>
      </c>
      <c r="G719" s="22">
        <f t="shared" si="31"/>
        <v>21.21445004</v>
      </c>
      <c r="H719" s="22">
        <f t="shared" si="32"/>
        <v>-10.51620934</v>
      </c>
      <c r="I719" s="22">
        <f t="shared" si="3"/>
        <v>0.7803355443</v>
      </c>
      <c r="J719" s="22">
        <f t="shared" si="33"/>
        <v>0.08263753414</v>
      </c>
    </row>
    <row r="720" ht="15.75" customHeight="1">
      <c r="A720" s="25">
        <f>IFERROR(__xludf.DUMMYFUNCTION("""COMPUTED_VALUE"""),41166.666666666664)</f>
        <v>41166.66667</v>
      </c>
      <c r="B720" s="22">
        <f>IFERROR(__xludf.DUMMYFUNCTION("""COMPUTED_VALUE"""),1465.77)</f>
        <v>1465.77</v>
      </c>
      <c r="C720" s="22">
        <f t="shared" si="6"/>
        <v>1466.407547</v>
      </c>
      <c r="D720" s="25">
        <f>IFERROR(__xludf.DUMMYFUNCTION("""COMPUTED_VALUE"""),41167.99861111111)</f>
        <v>41167.99861</v>
      </c>
      <c r="E720" s="22">
        <f>IFERROR(__xludf.DUMMYFUNCTION("""COMPUTED_VALUE"""),1.3126)</f>
        <v>1.3126</v>
      </c>
      <c r="F720" s="22">
        <f t="shared" si="8"/>
        <v>130.3022963</v>
      </c>
      <c r="G720" s="22">
        <f t="shared" si="31"/>
        <v>22.48981899</v>
      </c>
      <c r="H720" s="22">
        <f t="shared" si="32"/>
        <v>-10.49727479</v>
      </c>
      <c r="I720" s="22">
        <f t="shared" si="3"/>
        <v>0.7618467164</v>
      </c>
      <c r="J720" s="22">
        <f t="shared" si="33"/>
        <v>0.07336583879</v>
      </c>
    </row>
    <row r="721" ht="15.75" customHeight="1">
      <c r="A721" s="25">
        <f>IFERROR(__xludf.DUMMYFUNCTION("""COMPUTED_VALUE"""),41173.666666666664)</f>
        <v>41173.66667</v>
      </c>
      <c r="B721" s="22">
        <f>IFERROR(__xludf.DUMMYFUNCTION("""COMPUTED_VALUE"""),1460.15)</f>
        <v>1460.15</v>
      </c>
      <c r="C721" s="22">
        <f t="shared" si="6"/>
        <v>1460.799895</v>
      </c>
      <c r="D721" s="25">
        <f>IFERROR(__xludf.DUMMYFUNCTION("""COMPUTED_VALUE"""),41174.99861111111)</f>
        <v>41174.99861</v>
      </c>
      <c r="E721" s="22">
        <f>IFERROR(__xludf.DUMMYFUNCTION("""COMPUTED_VALUE"""),1.2979)</f>
        <v>1.2979</v>
      </c>
      <c r="F721" s="22">
        <f t="shared" si="8"/>
        <v>128.3503164</v>
      </c>
      <c r="G721" s="22">
        <f t="shared" si="31"/>
        <v>23.60067789</v>
      </c>
      <c r="H721" s="22">
        <f t="shared" si="32"/>
        <v>-12.95333877</v>
      </c>
      <c r="I721" s="22">
        <f t="shared" si="3"/>
        <v>0.7704753833</v>
      </c>
      <c r="J721" s="22">
        <f t="shared" si="33"/>
        <v>0.0986978966</v>
      </c>
    </row>
    <row r="722" ht="15.75" customHeight="1">
      <c r="A722" s="25">
        <f>IFERROR(__xludf.DUMMYFUNCTION("""COMPUTED_VALUE"""),41180.666666666664)</f>
        <v>41180.66667</v>
      </c>
      <c r="B722" s="22">
        <f>IFERROR(__xludf.DUMMYFUNCTION("""COMPUTED_VALUE"""),1440.67)</f>
        <v>1440.67</v>
      </c>
      <c r="C722" s="22">
        <f t="shared" si="6"/>
        <v>1441.317403</v>
      </c>
      <c r="D722" s="25">
        <f>IFERROR(__xludf.DUMMYFUNCTION("""COMPUTED_VALUE"""),41181.99861111111)</f>
        <v>41181.99861</v>
      </c>
      <c r="E722" s="22">
        <f>IFERROR(__xludf.DUMMYFUNCTION("""COMPUTED_VALUE"""),1.2854)</f>
        <v>1.2854</v>
      </c>
      <c r="F722" s="22">
        <f t="shared" si="8"/>
        <v>125.4188772</v>
      </c>
      <c r="G722" s="22">
        <f t="shared" si="31"/>
        <v>23.83766906</v>
      </c>
      <c r="H722" s="22">
        <f t="shared" si="32"/>
        <v>-15.86374542</v>
      </c>
      <c r="I722" s="22">
        <f t="shared" si="3"/>
        <v>0.7779679477</v>
      </c>
      <c r="J722" s="22">
        <f t="shared" si="33"/>
        <v>0.09934650692</v>
      </c>
    </row>
    <row r="723" ht="15.75" customHeight="1">
      <c r="A723" s="25">
        <f>IFERROR(__xludf.DUMMYFUNCTION("""COMPUTED_VALUE"""),41187.666666666664)</f>
        <v>41187.66667</v>
      </c>
      <c r="B723" s="22">
        <f>IFERROR(__xludf.DUMMYFUNCTION("""COMPUTED_VALUE"""),1460.93)</f>
        <v>1460.93</v>
      </c>
      <c r="C723" s="22">
        <f t="shared" si="6"/>
        <v>1461.568766</v>
      </c>
      <c r="D723" s="25">
        <f>IFERROR(__xludf.DUMMYFUNCTION("""COMPUTED_VALUE"""),41188.99861111111)</f>
        <v>41188.99861</v>
      </c>
      <c r="E723" s="22">
        <f>IFERROR(__xludf.DUMMYFUNCTION("""COMPUTED_VALUE"""),1.3031)</f>
        <v>1.3031</v>
      </c>
      <c r="F723" s="22">
        <f t="shared" si="8"/>
        <v>128.9323744</v>
      </c>
      <c r="G723" s="22">
        <f t="shared" si="31"/>
        <v>20.75188594</v>
      </c>
      <c r="H723" s="22">
        <f t="shared" si="32"/>
        <v>-14.0749828</v>
      </c>
      <c r="I723" s="22">
        <f t="shared" si="3"/>
        <v>0.7674008134</v>
      </c>
      <c r="J723" s="22">
        <f t="shared" si="33"/>
        <v>0.08863479395</v>
      </c>
    </row>
    <row r="724" ht="15.75" customHeight="1">
      <c r="A724" s="25">
        <f>IFERROR(__xludf.DUMMYFUNCTION("""COMPUTED_VALUE"""),41194.666666666664)</f>
        <v>41194.66667</v>
      </c>
      <c r="B724" s="22">
        <f>IFERROR(__xludf.DUMMYFUNCTION("""COMPUTED_VALUE"""),1428.59)</f>
        <v>1428.59</v>
      </c>
      <c r="C724" s="22">
        <f t="shared" si="6"/>
        <v>1429.237749</v>
      </c>
      <c r="D724" s="25">
        <f>IFERROR(__xludf.DUMMYFUNCTION("""COMPUTED_VALUE"""),41195.99861111111)</f>
        <v>41195.99861</v>
      </c>
      <c r="E724" s="22">
        <f>IFERROR(__xludf.DUMMYFUNCTION("""COMPUTED_VALUE"""),1.2953)</f>
        <v>1.2953</v>
      </c>
      <c r="F724" s="22">
        <f t="shared" si="8"/>
        <v>125.3256097</v>
      </c>
      <c r="G724" s="22">
        <f t="shared" si="31"/>
        <v>14.25871953</v>
      </c>
      <c r="H724" s="22">
        <f t="shared" si="32"/>
        <v>-13.72649057</v>
      </c>
      <c r="I724" s="22">
        <f t="shared" si="3"/>
        <v>0.7720219254</v>
      </c>
      <c r="J724" s="22">
        <f t="shared" si="33"/>
        <v>0.103450938</v>
      </c>
    </row>
    <row r="725" ht="15.75" customHeight="1">
      <c r="A725" s="25">
        <f>IFERROR(__xludf.DUMMYFUNCTION("""COMPUTED_VALUE"""),41201.666666666664)</f>
        <v>41201.66667</v>
      </c>
      <c r="B725" s="22">
        <f>IFERROR(__xludf.DUMMYFUNCTION("""COMPUTED_VALUE"""),1433.19)</f>
        <v>1433.19</v>
      </c>
      <c r="C725" s="22">
        <f t="shared" si="6"/>
        <v>1433.82341</v>
      </c>
      <c r="D725" s="25">
        <f>IFERROR(__xludf.DUMMYFUNCTION("""COMPUTED_VALUE"""),41202.99861111111)</f>
        <v>41202.99861</v>
      </c>
      <c r="E725" s="22">
        <f>IFERROR(__xludf.DUMMYFUNCTION("""COMPUTED_VALUE"""),1.302)</f>
        <v>1.302</v>
      </c>
      <c r="F725" s="22">
        <f t="shared" si="8"/>
        <v>126.3780452</v>
      </c>
      <c r="G725" s="22">
        <f t="shared" si="31"/>
        <v>15.17439424</v>
      </c>
      <c r="H725" s="22">
        <f t="shared" si="32"/>
        <v>-15.54217092</v>
      </c>
      <c r="I725" s="22">
        <f t="shared" si="3"/>
        <v>0.7680491551</v>
      </c>
      <c r="J725" s="22">
        <f t="shared" si="33"/>
        <v>0.1052995392</v>
      </c>
    </row>
    <row r="726" ht="15.75" customHeight="1">
      <c r="A726" s="25">
        <f>IFERROR(__xludf.DUMMYFUNCTION("""COMPUTED_VALUE"""),41208.666666666664)</f>
        <v>41208.66667</v>
      </c>
      <c r="B726" s="22">
        <f>IFERROR(__xludf.DUMMYFUNCTION("""COMPUTED_VALUE"""),1411.94)</f>
        <v>1411.94</v>
      </c>
      <c r="C726" s="22">
        <f t="shared" si="6"/>
        <v>1412.575449</v>
      </c>
      <c r="D726" s="25">
        <f>IFERROR(__xludf.DUMMYFUNCTION("""COMPUTED_VALUE"""),41209.99861111111)</f>
        <v>41209.99861</v>
      </c>
      <c r="E726" s="22">
        <f>IFERROR(__xludf.DUMMYFUNCTION("""COMPUTED_VALUE"""),1.2937)</f>
        <v>1.2937</v>
      </c>
      <c r="F726" s="22">
        <f t="shared" si="8"/>
        <v>123.7115404</v>
      </c>
      <c r="G726" s="22">
        <f t="shared" si="31"/>
        <v>19.68286986</v>
      </c>
      <c r="H726" s="22">
        <f t="shared" si="32"/>
        <v>-16.47342051</v>
      </c>
      <c r="I726" s="22">
        <f t="shared" si="3"/>
        <v>0.7729767334</v>
      </c>
      <c r="J726" s="22">
        <f t="shared" si="33"/>
        <v>0.119734096</v>
      </c>
    </row>
    <row r="727" ht="15.75" customHeight="1">
      <c r="A727" s="25">
        <f>IFERROR(__xludf.DUMMYFUNCTION("""COMPUTED_VALUE"""),41215.666666666664)</f>
        <v>41215.66667</v>
      </c>
      <c r="B727" s="22">
        <f>IFERROR(__xludf.DUMMYFUNCTION("""COMPUTED_VALUE"""),1414.2)</f>
        <v>1414.2</v>
      </c>
      <c r="C727" s="22">
        <f t="shared" si="6"/>
        <v>1414.826027</v>
      </c>
      <c r="D727" s="25">
        <f>IFERROR(__xludf.DUMMYFUNCTION("""COMPUTED_VALUE"""),41216.99861111111)</f>
        <v>41216.99861</v>
      </c>
      <c r="E727" s="22">
        <f>IFERROR(__xludf.DUMMYFUNCTION("""COMPUTED_VALUE"""),1.2838)</f>
        <v>1.2838</v>
      </c>
      <c r="F727" s="22">
        <f t="shared" si="8"/>
        <v>122.960436</v>
      </c>
      <c r="G727" s="22">
        <f t="shared" si="31"/>
        <v>14.41432129</v>
      </c>
      <c r="H727" s="22">
        <f t="shared" si="32"/>
        <v>-14.88486724</v>
      </c>
      <c r="I727" s="22">
        <f t="shared" si="3"/>
        <v>0.7789375292</v>
      </c>
      <c r="J727" s="22">
        <f t="shared" si="33"/>
        <v>0.1429350366</v>
      </c>
    </row>
    <row r="728" ht="15.75" customHeight="1">
      <c r="A728" s="25">
        <f>IFERROR(__xludf.DUMMYFUNCTION("""COMPUTED_VALUE"""),41222.666666666664)</f>
        <v>41222.66667</v>
      </c>
      <c r="B728" s="22">
        <f>IFERROR(__xludf.DUMMYFUNCTION("""COMPUTED_VALUE"""),1379.85)</f>
        <v>1379.85</v>
      </c>
      <c r="C728" s="22">
        <f t="shared" si="6"/>
        <v>1380.47703</v>
      </c>
      <c r="D728" s="25">
        <f>IFERROR(__xludf.DUMMYFUNCTION("""COMPUTED_VALUE"""),41223.99861111111)</f>
        <v>41223.99861</v>
      </c>
      <c r="E728" s="22">
        <f>IFERROR(__xludf.DUMMYFUNCTION("""COMPUTED_VALUE"""),1.2706)</f>
        <v>1.2706</v>
      </c>
      <c r="F728" s="22">
        <f t="shared" si="8"/>
        <v>118.7416332</v>
      </c>
      <c r="G728" s="22">
        <f t="shared" si="31"/>
        <v>7.58834598</v>
      </c>
      <c r="H728" s="22">
        <f t="shared" si="32"/>
        <v>-17.85812709</v>
      </c>
      <c r="I728" s="22">
        <f t="shared" si="3"/>
        <v>0.7870297497</v>
      </c>
      <c r="J728" s="22">
        <f t="shared" si="33"/>
        <v>0.1515819298</v>
      </c>
    </row>
    <row r="729" ht="15.75" customHeight="1">
      <c r="A729" s="25">
        <f>IFERROR(__xludf.DUMMYFUNCTION("""COMPUTED_VALUE"""),41229.666666666664)</f>
        <v>41229.66667</v>
      </c>
      <c r="B729" s="22">
        <f>IFERROR(__xludf.DUMMYFUNCTION("""COMPUTED_VALUE"""),1359.88)</f>
        <v>1359.88</v>
      </c>
      <c r="C729" s="22">
        <f t="shared" si="6"/>
        <v>1360.491799</v>
      </c>
      <c r="D729" s="25">
        <f>IFERROR(__xludf.DUMMYFUNCTION("""COMPUTED_VALUE"""),41230.99861111111)</f>
        <v>41230.99861</v>
      </c>
      <c r="E729" s="22">
        <f>IFERROR(__xludf.DUMMYFUNCTION("""COMPUTED_VALUE"""),1.2743)</f>
        <v>1.2743</v>
      </c>
      <c r="F729" s="22">
        <f t="shared" si="8"/>
        <v>117.3633761</v>
      </c>
      <c r="G729" s="22">
        <f t="shared" si="31"/>
        <v>6.851328329</v>
      </c>
      <c r="H729" s="22">
        <f t="shared" si="32"/>
        <v>-18.72316943</v>
      </c>
      <c r="I729" s="22">
        <f t="shared" si="3"/>
        <v>0.7847445656</v>
      </c>
      <c r="J729" s="22">
        <f t="shared" si="33"/>
        <v>0.1613434827</v>
      </c>
    </row>
    <row r="730" ht="15.75" customHeight="1">
      <c r="A730" s="25">
        <f>IFERROR(__xludf.DUMMYFUNCTION("""COMPUTED_VALUE"""),41236.666666666664)</f>
        <v>41236.66667</v>
      </c>
      <c r="B730" s="22">
        <f>IFERROR(__xludf.DUMMYFUNCTION("""COMPUTED_VALUE"""),1409.15)</f>
        <v>1409.15</v>
      </c>
      <c r="C730" s="22">
        <f t="shared" si="6"/>
        <v>1409.752945</v>
      </c>
      <c r="D730" s="25">
        <f>IFERROR(__xludf.DUMMYFUNCTION("""COMPUTED_VALUE"""),41237.99861111111)</f>
        <v>41237.99861</v>
      </c>
      <c r="E730" s="22">
        <f>IFERROR(__xludf.DUMMYFUNCTION("""COMPUTED_VALUE"""),1.2973)</f>
        <v>1.2973</v>
      </c>
      <c r="F730" s="22">
        <f t="shared" si="8"/>
        <v>123.8079153</v>
      </c>
      <c r="G730" s="22">
        <f t="shared" si="31"/>
        <v>11.7821329</v>
      </c>
      <c r="H730" s="22">
        <f t="shared" si="32"/>
        <v>-16.00372587</v>
      </c>
      <c r="I730" s="22">
        <f t="shared" si="3"/>
        <v>0.7708317274</v>
      </c>
      <c r="J730" s="22">
        <f t="shared" si="33"/>
        <v>0.1326601403</v>
      </c>
    </row>
    <row r="731" ht="15.75" customHeight="1">
      <c r="A731" s="25">
        <f>IFERROR(__xludf.DUMMYFUNCTION("""COMPUTED_VALUE"""),41243.666666666664)</f>
        <v>41243.66667</v>
      </c>
      <c r="B731" s="22">
        <f>IFERROR(__xludf.DUMMYFUNCTION("""COMPUTED_VALUE"""),1416.18)</f>
        <v>1416.18</v>
      </c>
      <c r="C731" s="22">
        <f t="shared" si="6"/>
        <v>1416.80479</v>
      </c>
      <c r="D731" s="25">
        <f>IFERROR(__xludf.DUMMYFUNCTION("""COMPUTED_VALUE"""),41244.99861111111)</f>
        <v>41244.99861</v>
      </c>
      <c r="E731" s="22">
        <f>IFERROR(__xludf.DUMMYFUNCTION("""COMPUTED_VALUE"""),1.2984)</f>
        <v>1.2984</v>
      </c>
      <c r="F731" s="22">
        <f t="shared" si="8"/>
        <v>124.5327292</v>
      </c>
      <c r="G731" s="22">
        <f t="shared" si="31"/>
        <v>11.92023161</v>
      </c>
      <c r="H731" s="22">
        <f t="shared" si="32"/>
        <v>-16.63451212</v>
      </c>
      <c r="I731" s="22">
        <f t="shared" si="3"/>
        <v>0.7701786815</v>
      </c>
      <c r="J731" s="22">
        <f t="shared" si="33"/>
        <v>0.1290049291</v>
      </c>
    </row>
    <row r="732" ht="15.75" customHeight="1">
      <c r="A732" s="25">
        <f>IFERROR(__xludf.DUMMYFUNCTION("""COMPUTED_VALUE"""),41250.666666666664)</f>
        <v>41250.66667</v>
      </c>
      <c r="B732" s="22">
        <f>IFERROR(__xludf.DUMMYFUNCTION("""COMPUTED_VALUE"""),1418.07)</f>
        <v>1418.07</v>
      </c>
      <c r="C732" s="22">
        <f t="shared" si="6"/>
        <v>1418.697907</v>
      </c>
      <c r="D732" s="25">
        <f>IFERROR(__xludf.DUMMYFUNCTION("""COMPUTED_VALUE"""),41251.99861111111)</f>
        <v>41251.99861</v>
      </c>
      <c r="E732" s="22">
        <f>IFERROR(__xludf.DUMMYFUNCTION("""COMPUTED_VALUE"""),1.2927)</f>
        <v>1.2927</v>
      </c>
      <c r="F732" s="22">
        <f t="shared" si="8"/>
        <v>124.1516968</v>
      </c>
      <c r="G732" s="22">
        <f t="shared" si="31"/>
        <v>13.35759146</v>
      </c>
      <c r="H732" s="22">
        <f t="shared" si="32"/>
        <v>-13.42482633</v>
      </c>
      <c r="I732" s="22">
        <f t="shared" si="3"/>
        <v>0.7735746886</v>
      </c>
      <c r="J732" s="22">
        <f t="shared" si="33"/>
        <v>0.1158041309</v>
      </c>
    </row>
    <row r="733" ht="15.75" customHeight="1">
      <c r="A733" s="25">
        <f>IFERROR(__xludf.DUMMYFUNCTION("""COMPUTED_VALUE"""),41278.666666666664)</f>
        <v>41278.66667</v>
      </c>
      <c r="B733" s="22">
        <f>IFERROR(__xludf.DUMMYFUNCTION("""COMPUTED_VALUE"""),1466.47)</f>
        <v>1466.47</v>
      </c>
      <c r="C733" s="22">
        <f t="shared" si="6"/>
        <v>1467.098745</v>
      </c>
      <c r="D733" s="25">
        <f>IFERROR(__xludf.DUMMYFUNCTION("""COMPUTED_VALUE"""),41258.99861111111)</f>
        <v>41258.99861</v>
      </c>
      <c r="E733" s="22">
        <f>IFERROR(__xludf.DUMMYFUNCTION("""COMPUTED_VALUE"""),1.3153)</f>
        <v>1.3153</v>
      </c>
      <c r="F733" s="22">
        <f t="shared" si="8"/>
        <v>130.6318713</v>
      </c>
      <c r="G733" s="22">
        <f t="shared" si="31"/>
        <v>21.97024767</v>
      </c>
      <c r="H733" s="22">
        <f t="shared" si="32"/>
        <v>-9.642042467</v>
      </c>
      <c r="I733" s="22">
        <f t="shared" si="3"/>
        <v>0.7602828252</v>
      </c>
      <c r="J733" s="22">
        <f t="shared" si="33"/>
        <v>0.09328670265</v>
      </c>
    </row>
    <row r="734" ht="15.75" customHeight="1">
      <c r="A734" s="25">
        <f>IFERROR(__xludf.DUMMYFUNCTION("""COMPUTED_VALUE"""),41285.666666666664)</f>
        <v>41285.66667</v>
      </c>
      <c r="B734" s="22">
        <f>IFERROR(__xludf.DUMMYFUNCTION("""COMPUTED_VALUE"""),1472.05)</f>
        <v>1472.05</v>
      </c>
      <c r="C734" s="22">
        <f t="shared" si="6"/>
        <v>1472.700205</v>
      </c>
      <c r="D734" s="25">
        <f>IFERROR(__xludf.DUMMYFUNCTION("""COMPUTED_VALUE"""),41265.99861111111)</f>
        <v>41265.99861</v>
      </c>
      <c r="E734" s="22">
        <f>IFERROR(__xludf.DUMMYFUNCTION("""COMPUTED_VALUE"""),1.3188)</f>
        <v>1.3188</v>
      </c>
      <c r="F734" s="22">
        <f t="shared" si="8"/>
        <v>131.4795679</v>
      </c>
      <c r="G734" s="22">
        <f t="shared" si="31"/>
        <v>19.84571241</v>
      </c>
      <c r="H734" s="22">
        <f t="shared" si="32"/>
        <v>-10.74965869</v>
      </c>
      <c r="I734" s="22">
        <f t="shared" si="3"/>
        <v>0.7582650895</v>
      </c>
      <c r="J734" s="22">
        <f t="shared" si="33"/>
        <v>0.1155595996</v>
      </c>
    </row>
    <row r="735" ht="15.75" customHeight="1">
      <c r="A735" s="25">
        <f>IFERROR(__xludf.DUMMYFUNCTION("""COMPUTED_VALUE"""),41292.666666666664)</f>
        <v>41292.66667</v>
      </c>
      <c r="B735" s="22">
        <f>IFERROR(__xludf.DUMMYFUNCTION("""COMPUTED_VALUE"""),1485.98)</f>
        <v>1485.98</v>
      </c>
      <c r="C735" s="22">
        <f t="shared" si="6"/>
        <v>1486.632679</v>
      </c>
      <c r="D735" s="25">
        <f>IFERROR(__xludf.DUMMYFUNCTION("""COMPUTED_VALUE"""),41272.99861111111)</f>
        <v>41272.99861</v>
      </c>
      <c r="E735" s="22">
        <f>IFERROR(__xludf.DUMMYFUNCTION("""COMPUTED_VALUE"""),1.3215)</f>
        <v>1.3215</v>
      </c>
      <c r="F735" s="22">
        <f t="shared" si="8"/>
        <v>132.9951566</v>
      </c>
      <c r="G735" s="22">
        <f t="shared" si="31"/>
        <v>23.25981246</v>
      </c>
      <c r="H735" s="22">
        <f t="shared" si="32"/>
        <v>-5.607117524</v>
      </c>
      <c r="I735" s="22">
        <f t="shared" si="3"/>
        <v>0.7567158532</v>
      </c>
      <c r="J735" s="22">
        <f t="shared" si="33"/>
        <v>0.1151721529</v>
      </c>
    </row>
    <row r="736" ht="15.75" customHeight="1">
      <c r="A736" s="25">
        <f>IFERROR(__xludf.DUMMYFUNCTION("""COMPUTED_VALUE"""),41299.666666666664)</f>
        <v>41299.66667</v>
      </c>
      <c r="B736" s="22">
        <f>IFERROR(__xludf.DUMMYFUNCTION("""COMPUTED_VALUE"""),1502.96)</f>
        <v>1502.96</v>
      </c>
      <c r="C736" s="22">
        <f t="shared" si="6"/>
        <v>1503.618855</v>
      </c>
      <c r="D736" s="25">
        <f>IFERROR(__xludf.DUMMYFUNCTION("""COMPUTED_VALUE"""),41279.99861111111)</f>
        <v>41279.99861</v>
      </c>
      <c r="E736" s="22">
        <f>IFERROR(__xludf.DUMMYFUNCTION("""COMPUTED_VALUE"""),1.3067)</f>
        <v>1.3067</v>
      </c>
      <c r="F736" s="22">
        <f t="shared" si="8"/>
        <v>133.0082675</v>
      </c>
      <c r="G736" s="22">
        <f t="shared" si="31"/>
        <v>19.09827042</v>
      </c>
      <c r="H736" s="22">
        <f t="shared" si="32"/>
        <v>-5.183615172</v>
      </c>
      <c r="I736" s="22">
        <f t="shared" si="3"/>
        <v>0.7652865998</v>
      </c>
      <c r="J736" s="22">
        <f t="shared" si="33"/>
        <v>0.1313997092</v>
      </c>
    </row>
    <row r="737" ht="15.75" customHeight="1">
      <c r="A737" s="25">
        <f>IFERROR(__xludf.DUMMYFUNCTION("""COMPUTED_VALUE"""),41306.666666666664)</f>
        <v>41306.66667</v>
      </c>
      <c r="B737" s="22">
        <f>IFERROR(__xludf.DUMMYFUNCTION("""COMPUTED_VALUE"""),1513.17)</f>
        <v>1513.17</v>
      </c>
      <c r="C737" s="22">
        <f t="shared" si="6"/>
        <v>1513.836384</v>
      </c>
      <c r="D737" s="25">
        <f>IFERROR(__xludf.DUMMYFUNCTION("""COMPUTED_VALUE"""),41286.99861111111)</f>
        <v>41286.99861</v>
      </c>
      <c r="E737" s="22">
        <f>IFERROR(__xludf.DUMMYFUNCTION("""COMPUTED_VALUE"""),1.334)</f>
        <v>1.334</v>
      </c>
      <c r="F737" s="22">
        <f t="shared" si="8"/>
        <v>136.7098324</v>
      </c>
      <c r="G737" s="22">
        <f t="shared" si="31"/>
        <v>23.51249101</v>
      </c>
      <c r="H737" s="22">
        <f t="shared" si="32"/>
        <v>4.220768225</v>
      </c>
      <c r="I737" s="22">
        <f t="shared" si="3"/>
        <v>0.7496251874</v>
      </c>
      <c r="J737" s="22">
        <f t="shared" si="33"/>
        <v>0.09557721139</v>
      </c>
    </row>
    <row r="738" ht="15.75" customHeight="1">
      <c r="A738" s="25">
        <f>IFERROR(__xludf.DUMMYFUNCTION("""COMPUTED_VALUE"""),41313.666666666664)</f>
        <v>41313.66667</v>
      </c>
      <c r="B738" s="22">
        <f>IFERROR(__xludf.DUMMYFUNCTION("""COMPUTED_VALUE"""),1517.93)</f>
        <v>1517.93</v>
      </c>
      <c r="C738" s="22">
        <f t="shared" si="6"/>
        <v>1518.600911</v>
      </c>
      <c r="D738" s="25">
        <f>IFERROR(__xludf.DUMMYFUNCTION("""COMPUTED_VALUE"""),41293.99861111111)</f>
        <v>41293.99861</v>
      </c>
      <c r="E738" s="22">
        <f>IFERROR(__xludf.DUMMYFUNCTION("""COMPUTED_VALUE"""),1.3314)</f>
        <v>1.3314</v>
      </c>
      <c r="F738" s="22">
        <f t="shared" si="8"/>
        <v>136.8728124</v>
      </c>
      <c r="G738" s="22">
        <f t="shared" si="31"/>
        <v>28.03656909</v>
      </c>
      <c r="H738" s="22">
        <f t="shared" si="32"/>
        <v>3.540244413</v>
      </c>
      <c r="I738" s="22">
        <f t="shared" si="3"/>
        <v>0.7510890792</v>
      </c>
      <c r="J738" s="22">
        <f t="shared" si="33"/>
        <v>0.1017725702</v>
      </c>
    </row>
    <row r="739" ht="15.75" customHeight="1">
      <c r="A739" s="25">
        <f>IFERROR(__xludf.DUMMYFUNCTION("""COMPUTED_VALUE"""),41320.666666666664)</f>
        <v>41320.66667</v>
      </c>
      <c r="B739" s="22">
        <f>IFERROR(__xludf.DUMMYFUNCTION("""COMPUTED_VALUE"""),1519.79)</f>
        <v>1519.79</v>
      </c>
      <c r="C739" s="22">
        <f t="shared" si="6"/>
        <v>1520.463021</v>
      </c>
      <c r="D739" s="25">
        <f>IFERROR(__xludf.DUMMYFUNCTION("""COMPUTED_VALUE"""),41300.99861111111)</f>
        <v>41300.99861</v>
      </c>
      <c r="E739" s="22">
        <f>IFERROR(__xludf.DUMMYFUNCTION("""COMPUTED_VALUE"""),1.346)</f>
        <v>1.346</v>
      </c>
      <c r="F739" s="22">
        <f t="shared" si="8"/>
        <v>138.5434202</v>
      </c>
      <c r="G739" s="22">
        <f t="shared" si="31"/>
        <v>37.42782521</v>
      </c>
      <c r="H739" s="22">
        <f t="shared" si="32"/>
        <v>-0.9663777761</v>
      </c>
      <c r="I739" s="22">
        <f t="shared" si="3"/>
        <v>0.7429420505</v>
      </c>
      <c r="J739" s="22">
        <f t="shared" si="33"/>
        <v>0.09977711738</v>
      </c>
    </row>
    <row r="740" ht="15.75" customHeight="1">
      <c r="A740" s="25">
        <f>IFERROR(__xludf.DUMMYFUNCTION("""COMPUTED_VALUE"""),41327.666666666664)</f>
        <v>41327.66667</v>
      </c>
      <c r="B740" s="22">
        <f>IFERROR(__xludf.DUMMYFUNCTION("""COMPUTED_VALUE"""),1515.6)</f>
        <v>1515.6</v>
      </c>
      <c r="C740" s="22">
        <f t="shared" si="6"/>
        <v>1516.273846</v>
      </c>
      <c r="D740" s="25">
        <f>IFERROR(__xludf.DUMMYFUNCTION("""COMPUTED_VALUE"""),41307.99861111111)</f>
        <v>41307.99861</v>
      </c>
      <c r="E740" s="22">
        <f>IFERROR(__xludf.DUMMYFUNCTION("""COMPUTED_VALUE"""),1.3642)</f>
        <v>1.3642</v>
      </c>
      <c r="F740" s="22">
        <f t="shared" si="8"/>
        <v>140.0298655</v>
      </c>
      <c r="G740" s="22">
        <f t="shared" si="31"/>
        <v>42.54781323</v>
      </c>
      <c r="H740" s="22">
        <f t="shared" si="32"/>
        <v>7.098473306</v>
      </c>
      <c r="I740" s="22">
        <f t="shared" si="3"/>
        <v>0.7330303475</v>
      </c>
      <c r="J740" s="22">
        <f t="shared" si="33"/>
        <v>0.06296730685</v>
      </c>
    </row>
    <row r="741" ht="15.75" customHeight="1">
      <c r="A741" s="25">
        <f>IFERROR(__xludf.DUMMYFUNCTION("""COMPUTED_VALUE"""),41334.666666666664)</f>
        <v>41334.66667</v>
      </c>
      <c r="B741" s="22">
        <f>IFERROR(__xludf.DUMMYFUNCTION("""COMPUTED_VALUE"""),1518.2)</f>
        <v>1518.2</v>
      </c>
      <c r="C741" s="22">
        <f t="shared" si="6"/>
        <v>1518.871988</v>
      </c>
      <c r="D741" s="25">
        <f>IFERROR(__xludf.DUMMYFUNCTION("""COMPUTED_VALUE"""),41314.99861111111)</f>
        <v>41314.99861</v>
      </c>
      <c r="E741" s="22">
        <f>IFERROR(__xludf.DUMMYFUNCTION("""COMPUTED_VALUE"""),1.3362)</f>
        <v>1.3362</v>
      </c>
      <c r="F741" s="22">
        <f t="shared" si="8"/>
        <v>137.3907906</v>
      </c>
      <c r="G741" s="22">
        <f t="shared" si="31"/>
        <v>38.52705698</v>
      </c>
      <c r="H741" s="22">
        <f t="shared" si="32"/>
        <v>2.433526775</v>
      </c>
      <c r="I741" s="22">
        <f t="shared" si="3"/>
        <v>0.7483909594</v>
      </c>
      <c r="J741" s="22">
        <f t="shared" si="33"/>
        <v>0.09788953749</v>
      </c>
    </row>
    <row r="742" ht="15.75" customHeight="1">
      <c r="A742" s="25">
        <f>IFERROR(__xludf.DUMMYFUNCTION("""COMPUTED_VALUE"""),41341.666666666664)</f>
        <v>41341.66667</v>
      </c>
      <c r="B742" s="22">
        <f>IFERROR(__xludf.DUMMYFUNCTION("""COMPUTED_VALUE"""),1551.18)</f>
        <v>1551.18</v>
      </c>
      <c r="C742" s="22">
        <f t="shared" si="6"/>
        <v>1551.853141</v>
      </c>
      <c r="D742" s="25">
        <f>IFERROR(__xludf.DUMMYFUNCTION("""COMPUTED_VALUE"""),41321.99861111111)</f>
        <v>41321.99861</v>
      </c>
      <c r="E742" s="22">
        <f>IFERROR(__xludf.DUMMYFUNCTION("""COMPUTED_VALUE"""),1.3363)</f>
        <v>1.3363</v>
      </c>
      <c r="F742" s="22">
        <f t="shared" si="8"/>
        <v>140.3846328</v>
      </c>
      <c r="G742" s="22">
        <f t="shared" si="31"/>
        <v>38.07388317</v>
      </c>
      <c r="H742" s="22">
        <f t="shared" si="32"/>
        <v>3.338940984</v>
      </c>
      <c r="I742" s="22">
        <f t="shared" si="3"/>
        <v>0.7483349547</v>
      </c>
      <c r="J742" s="22">
        <f t="shared" si="33"/>
        <v>0.1093317369</v>
      </c>
    </row>
    <row r="743" ht="15.75" customHeight="1">
      <c r="A743" s="25">
        <f>IFERROR(__xludf.DUMMYFUNCTION("""COMPUTED_VALUE"""),41348.666666666664)</f>
        <v>41348.66667</v>
      </c>
      <c r="B743" s="22">
        <f>IFERROR(__xludf.DUMMYFUNCTION("""COMPUTED_VALUE"""),1560.7)</f>
        <v>1560.7</v>
      </c>
      <c r="C743" s="22">
        <f t="shared" si="6"/>
        <v>1561.387764</v>
      </c>
      <c r="D743" s="25">
        <f>IFERROR(__xludf.DUMMYFUNCTION("""COMPUTED_VALUE"""),41328.99861111111)</f>
        <v>41328.99861</v>
      </c>
      <c r="E743" s="22">
        <f>IFERROR(__xludf.DUMMYFUNCTION("""COMPUTED_VALUE"""),1.3192)</f>
        <v>1.3192</v>
      </c>
      <c r="F743" s="22">
        <f t="shared" si="8"/>
        <v>139.4396862</v>
      </c>
      <c r="G743" s="22">
        <f t="shared" si="31"/>
        <v>36.49319063</v>
      </c>
      <c r="H743" s="22">
        <f t="shared" si="32"/>
        <v>1.975743113</v>
      </c>
      <c r="I743" s="22">
        <f t="shared" si="3"/>
        <v>0.7580351728</v>
      </c>
      <c r="J743" s="22">
        <f t="shared" si="33"/>
        <v>0.1501667677</v>
      </c>
    </row>
    <row r="744" ht="15.75" customHeight="1">
      <c r="A744" s="25">
        <f>IFERROR(__xludf.DUMMYFUNCTION("""COMPUTED_VALUE"""),41355.666666666664)</f>
        <v>41355.66667</v>
      </c>
      <c r="B744" s="22">
        <f>IFERROR(__xludf.DUMMYFUNCTION("""COMPUTED_VALUE"""),1556.89)</f>
        <v>1556.89</v>
      </c>
      <c r="C744" s="22">
        <f t="shared" si="6"/>
        <v>1557.581985</v>
      </c>
      <c r="D744" s="25">
        <f>IFERROR(__xludf.DUMMYFUNCTION("""COMPUTED_VALUE"""),41335.99861111111)</f>
        <v>41335.99861</v>
      </c>
      <c r="E744" s="22">
        <f>IFERROR(__xludf.DUMMYFUNCTION("""COMPUTED_VALUE"""),1.3018)</f>
        <v>1.3018</v>
      </c>
      <c r="F744" s="22">
        <f t="shared" si="8"/>
        <v>137.2651108</v>
      </c>
      <c r="G744" s="22">
        <f t="shared" si="31"/>
        <v>30.81834864</v>
      </c>
      <c r="H744" s="22">
        <f t="shared" si="32"/>
        <v>2.099249297</v>
      </c>
      <c r="I744" s="22">
        <f t="shared" si="3"/>
        <v>0.7681671532</v>
      </c>
      <c r="J744" s="22">
        <f t="shared" si="33"/>
        <v>0.1789829467</v>
      </c>
    </row>
    <row r="745" ht="15.75" customHeight="1">
      <c r="A745" s="25">
        <f>IFERROR(__xludf.DUMMYFUNCTION("""COMPUTED_VALUE"""),41361.666666666664)</f>
        <v>41361.66667</v>
      </c>
      <c r="B745" s="22">
        <f>IFERROR(__xludf.DUMMYFUNCTION("""COMPUTED_VALUE"""),1569.19)</f>
        <v>1569.19</v>
      </c>
      <c r="C745" s="22">
        <f t="shared" si="6"/>
        <v>1569.880296</v>
      </c>
      <c r="D745" s="25">
        <f>IFERROR(__xludf.DUMMYFUNCTION("""COMPUTED_VALUE"""),41342.99861111111)</f>
        <v>41342.99861</v>
      </c>
      <c r="E745" s="22">
        <f>IFERROR(__xludf.DUMMYFUNCTION("""COMPUTED_VALUE"""),1.3007)</f>
        <v>1.3007</v>
      </c>
      <c r="F745" s="22">
        <f t="shared" si="8"/>
        <v>138.2320221</v>
      </c>
      <c r="G745" s="22">
        <f t="shared" si="31"/>
        <v>28.93854745</v>
      </c>
      <c r="H745" s="22">
        <f t="shared" si="32"/>
        <v>1.491290074</v>
      </c>
      <c r="I745" s="22">
        <f t="shared" si="3"/>
        <v>0.768816791</v>
      </c>
      <c r="J745" s="22">
        <f t="shared" si="33"/>
        <v>0.200276774</v>
      </c>
    </row>
    <row r="746" ht="15.75" customHeight="1">
      <c r="A746" s="25">
        <f>IFERROR(__xludf.DUMMYFUNCTION("""COMPUTED_VALUE"""),41369.666666666664)</f>
        <v>41369.66667</v>
      </c>
      <c r="B746" s="22">
        <f>IFERROR(__xludf.DUMMYFUNCTION("""COMPUTED_VALUE"""),1553.28)</f>
        <v>1553.28</v>
      </c>
      <c r="C746" s="22">
        <f t="shared" si="6"/>
        <v>1553.975749</v>
      </c>
      <c r="D746" s="25">
        <f>IFERROR(__xludf.DUMMYFUNCTION("""COMPUTED_VALUE"""),41349.99861111111)</f>
        <v>41349.99861</v>
      </c>
      <c r="E746" s="22">
        <f>IFERROR(__xludf.DUMMYFUNCTION("""COMPUTED_VALUE"""),1.3077)</f>
        <v>1.3077</v>
      </c>
      <c r="F746" s="22">
        <f t="shared" si="8"/>
        <v>137.5679746</v>
      </c>
      <c r="G746" s="22">
        <f t="shared" si="31"/>
        <v>29.43244196</v>
      </c>
      <c r="H746" s="22">
        <f t="shared" si="32"/>
        <v>-2.648963877</v>
      </c>
      <c r="I746" s="22">
        <f t="shared" si="3"/>
        <v>0.7647013841</v>
      </c>
      <c r="J746" s="22">
        <f t="shared" si="33"/>
        <v>0.2001223522</v>
      </c>
    </row>
    <row r="747" ht="15.75" customHeight="1">
      <c r="A747" s="25">
        <f>IFERROR(__xludf.DUMMYFUNCTION("""COMPUTED_VALUE"""),41376.666666666664)</f>
        <v>41376.66667</v>
      </c>
      <c r="B747" s="22">
        <f>IFERROR(__xludf.DUMMYFUNCTION("""COMPUTED_VALUE"""),1588.85)</f>
        <v>1588.85</v>
      </c>
      <c r="C747" s="22">
        <f t="shared" si="6"/>
        <v>1589.538695</v>
      </c>
      <c r="D747" s="25">
        <f>IFERROR(__xludf.DUMMYFUNCTION("""COMPUTED_VALUE"""),41356.99861111111)</f>
        <v>41356.99861</v>
      </c>
      <c r="E747" s="22">
        <f>IFERROR(__xludf.DUMMYFUNCTION("""COMPUTED_VALUE"""),1.2989)</f>
        <v>1.2989</v>
      </c>
      <c r="F747" s="22">
        <f t="shared" si="8"/>
        <v>139.7693044</v>
      </c>
      <c r="G747" s="22">
        <f t="shared" si="31"/>
        <v>32.14596209</v>
      </c>
      <c r="H747" s="22">
        <f t="shared" si="32"/>
        <v>-0.4054891304</v>
      </c>
      <c r="I747" s="22">
        <f t="shared" si="3"/>
        <v>0.769882208</v>
      </c>
      <c r="J747" s="22">
        <f t="shared" si="33"/>
        <v>0.2129494187</v>
      </c>
    </row>
    <row r="748" ht="15.75" customHeight="1">
      <c r="A748" s="25">
        <f>IFERROR(__xludf.DUMMYFUNCTION("""COMPUTED_VALUE"""),41383.666666666664)</f>
        <v>41383.66667</v>
      </c>
      <c r="B748" s="22">
        <f>IFERROR(__xludf.DUMMYFUNCTION("""COMPUTED_VALUE"""),1555.25)</f>
        <v>1555.25</v>
      </c>
      <c r="C748" s="22">
        <f t="shared" si="6"/>
        <v>1555.954466</v>
      </c>
      <c r="D748" s="25">
        <f>IFERROR(__xludf.DUMMYFUNCTION("""COMPUTED_VALUE"""),41363.99861111111)</f>
        <v>41363.99861</v>
      </c>
      <c r="E748" s="22">
        <f>IFERROR(__xludf.DUMMYFUNCTION("""COMPUTED_VALUE"""),1.282)</f>
        <v>1.282</v>
      </c>
      <c r="F748" s="22">
        <f t="shared" si="8"/>
        <v>135.0361014</v>
      </c>
      <c r="G748" s="22">
        <f t="shared" si="31"/>
        <v>25.37487716</v>
      </c>
      <c r="H748" s="22">
        <f t="shared" si="32"/>
        <v>-7.509641569</v>
      </c>
      <c r="I748" s="22">
        <f t="shared" si="3"/>
        <v>0.7800312012</v>
      </c>
      <c r="J748" s="22">
        <f t="shared" si="33"/>
        <v>0.2270670827</v>
      </c>
    </row>
    <row r="749" ht="15.75" customHeight="1">
      <c r="A749" s="25">
        <f>IFERROR(__xludf.DUMMYFUNCTION("""COMPUTED_VALUE"""),41390.666666666664)</f>
        <v>41390.66667</v>
      </c>
      <c r="B749" s="22">
        <f>IFERROR(__xludf.DUMMYFUNCTION("""COMPUTED_VALUE"""),1582.24)</f>
        <v>1582.24</v>
      </c>
      <c r="C749" s="22">
        <f t="shared" si="6"/>
        <v>1582.929568</v>
      </c>
      <c r="D749" s="25">
        <f>IFERROR(__xludf.DUMMYFUNCTION("""COMPUTED_VALUE"""),41370.99861111111)</f>
        <v>41370.99861</v>
      </c>
      <c r="E749" s="22">
        <f>IFERROR(__xludf.DUMMYFUNCTION("""COMPUTED_VALUE"""),1.2921)</f>
        <v>1.2921</v>
      </c>
      <c r="F749" s="22">
        <f t="shared" si="8"/>
        <v>138.4594814</v>
      </c>
      <c r="G749" s="22">
        <f t="shared" si="31"/>
        <v>26.80236132</v>
      </c>
      <c r="H749" s="22">
        <f t="shared" si="32"/>
        <v>-3.04314077</v>
      </c>
      <c r="I749" s="22">
        <f t="shared" si="3"/>
        <v>0.773933906</v>
      </c>
      <c r="J749" s="22">
        <f t="shared" si="33"/>
        <v>0.2243634394</v>
      </c>
    </row>
    <row r="750" ht="15.75" customHeight="1">
      <c r="A750" s="25">
        <f>IFERROR(__xludf.DUMMYFUNCTION("""COMPUTED_VALUE"""),41397.666666666664)</f>
        <v>41397.66667</v>
      </c>
      <c r="B750" s="22">
        <f>IFERROR(__xludf.DUMMYFUNCTION("""COMPUTED_VALUE"""),1614.42)</f>
        <v>1614.42</v>
      </c>
      <c r="C750" s="22">
        <f t="shared" si="6"/>
        <v>1615.121535</v>
      </c>
      <c r="D750" s="25">
        <f>IFERROR(__xludf.DUMMYFUNCTION("""COMPUTED_VALUE"""),41377.99861111111)</f>
        <v>41377.99861</v>
      </c>
      <c r="E750" s="22">
        <f>IFERROR(__xludf.DUMMYFUNCTION("""COMPUTED_VALUE"""),1.311)</f>
        <v>1.311</v>
      </c>
      <c r="F750" s="22">
        <f t="shared" si="8"/>
        <v>143.3418093</v>
      </c>
      <c r="G750" s="22">
        <f t="shared" si="31"/>
        <v>31.6754681</v>
      </c>
      <c r="H750" s="22">
        <f t="shared" si="32"/>
        <v>-3.234284365</v>
      </c>
      <c r="I750" s="22">
        <f t="shared" si="3"/>
        <v>0.7627765065</v>
      </c>
      <c r="J750" s="22">
        <f t="shared" si="33"/>
        <v>0.2</v>
      </c>
    </row>
    <row r="751" ht="15.75" customHeight="1">
      <c r="A751" s="25">
        <f>IFERROR(__xludf.DUMMYFUNCTION("""COMPUTED_VALUE"""),41404.666666666664)</f>
        <v>41404.66667</v>
      </c>
      <c r="B751" s="22">
        <f>IFERROR(__xludf.DUMMYFUNCTION("""COMPUTED_VALUE"""),1633.7)</f>
        <v>1633.7</v>
      </c>
      <c r="C751" s="22">
        <f t="shared" si="6"/>
        <v>1634.415803</v>
      </c>
      <c r="D751" s="25">
        <f>IFERROR(__xludf.DUMMYFUNCTION("""COMPUTED_VALUE"""),41384.99861111111)</f>
        <v>41384.99861</v>
      </c>
      <c r="E751" s="22">
        <f>IFERROR(__xludf.DUMMYFUNCTION("""COMPUTED_VALUE"""),1.3052)</f>
        <v>1.3052</v>
      </c>
      <c r="F751" s="22">
        <f t="shared" si="8"/>
        <v>144.4124382</v>
      </c>
      <c r="G751" s="22">
        <f t="shared" si="31"/>
        <v>30.90975862</v>
      </c>
      <c r="H751" s="22">
        <f t="shared" si="32"/>
        <v>-2.410316438</v>
      </c>
      <c r="I751" s="22">
        <f t="shared" si="3"/>
        <v>0.7661661048</v>
      </c>
      <c r="J751" s="22">
        <f t="shared" si="33"/>
        <v>0.1975942384</v>
      </c>
    </row>
    <row r="752" ht="15.75" customHeight="1">
      <c r="A752" s="25">
        <f>IFERROR(__xludf.DUMMYFUNCTION("""COMPUTED_VALUE"""),41411.666666666664)</f>
        <v>41411.66667</v>
      </c>
      <c r="B752" s="22">
        <f>IFERROR(__xludf.DUMMYFUNCTION("""COMPUTED_VALUE"""),1666.12)</f>
        <v>1666.12</v>
      </c>
      <c r="C752" s="22">
        <f t="shared" si="6"/>
        <v>1666.844352</v>
      </c>
      <c r="D752" s="25">
        <f>IFERROR(__xludf.DUMMYFUNCTION("""COMPUTED_VALUE"""),41391.99861111111)</f>
        <v>41391.99861</v>
      </c>
      <c r="E752" s="22">
        <f>IFERROR(__xludf.DUMMYFUNCTION("""COMPUTED_VALUE"""),1.3029)</f>
        <v>1.3029</v>
      </c>
      <c r="F752" s="22">
        <f t="shared" si="8"/>
        <v>147.0182044</v>
      </c>
      <c r="G752" s="22">
        <f t="shared" si="31"/>
        <v>37.53705836</v>
      </c>
      <c r="H752" s="22">
        <f t="shared" si="32"/>
        <v>-0.4852450117</v>
      </c>
      <c r="I752" s="22">
        <f t="shared" si="3"/>
        <v>0.7675186123</v>
      </c>
      <c r="J752" s="22">
        <f t="shared" si="33"/>
        <v>0.1841277151</v>
      </c>
    </row>
    <row r="753" ht="15.75" customHeight="1">
      <c r="A753" s="25">
        <f>IFERROR(__xludf.DUMMYFUNCTION("""COMPUTED_VALUE"""),41418.666666666664)</f>
        <v>41418.66667</v>
      </c>
      <c r="B753" s="22">
        <f>IFERROR(__xludf.DUMMYFUNCTION("""COMPUTED_VALUE"""),1649.6)</f>
        <v>1649.6</v>
      </c>
      <c r="C753" s="22">
        <f t="shared" si="6"/>
        <v>1650.338726</v>
      </c>
      <c r="D753" s="25">
        <f>IFERROR(__xludf.DUMMYFUNCTION("""COMPUTED_VALUE"""),41398.99861111111)</f>
        <v>41398.99861</v>
      </c>
      <c r="E753" s="22">
        <f>IFERROR(__xludf.DUMMYFUNCTION("""COMPUTED_VALUE"""),1.3116)</f>
        <v>1.3116</v>
      </c>
      <c r="F753" s="22">
        <f t="shared" si="8"/>
        <v>146.5343631</v>
      </c>
      <c r="G753" s="22">
        <f t="shared" si="31"/>
        <v>53.13796802</v>
      </c>
      <c r="H753" s="22">
        <f t="shared" si="32"/>
        <v>0.6380259717</v>
      </c>
      <c r="I753" s="22">
        <f t="shared" si="3"/>
        <v>0.7624275694</v>
      </c>
      <c r="J753" s="22">
        <f t="shared" si="33"/>
        <v>0.1806953339</v>
      </c>
    </row>
    <row r="754" ht="15.75" customHeight="1">
      <c r="A754" s="25">
        <f>IFERROR(__xludf.DUMMYFUNCTION("""COMPUTED_VALUE"""),41425.666666666664)</f>
        <v>41425.66667</v>
      </c>
      <c r="B754" s="22">
        <f>IFERROR(__xludf.DUMMYFUNCTION("""COMPUTED_VALUE"""),1630.74)</f>
        <v>1630.74</v>
      </c>
      <c r="C754" s="22">
        <f t="shared" si="6"/>
        <v>1631.471401</v>
      </c>
      <c r="D754" s="25">
        <f>IFERROR(__xludf.DUMMYFUNCTION("""COMPUTED_VALUE"""),41405.99861111111)</f>
        <v>41405.99861</v>
      </c>
      <c r="E754" s="22">
        <f>IFERROR(__xludf.DUMMYFUNCTION("""COMPUTED_VALUE"""),1.2992)</f>
        <v>1.2992</v>
      </c>
      <c r="F754" s="22">
        <f t="shared" si="8"/>
        <v>143.4896115</v>
      </c>
      <c r="G754" s="22">
        <f t="shared" si="31"/>
        <v>50.94817098</v>
      </c>
      <c r="H754" s="22">
        <f t="shared" si="32"/>
        <v>-4.562645495</v>
      </c>
      <c r="I754" s="22">
        <f t="shared" si="3"/>
        <v>0.7697044335</v>
      </c>
      <c r="J754" s="22">
        <f t="shared" si="33"/>
        <v>0.1988146552</v>
      </c>
    </row>
    <row r="755" ht="15.75" customHeight="1">
      <c r="A755" s="25">
        <f>IFERROR(__xludf.DUMMYFUNCTION("""COMPUTED_VALUE"""),41432.666666666664)</f>
        <v>41432.66667</v>
      </c>
      <c r="B755" s="22">
        <f>IFERROR(__xludf.DUMMYFUNCTION("""COMPUTED_VALUE"""),1643.38)</f>
        <v>1643.38</v>
      </c>
      <c r="C755" s="22">
        <f t="shared" si="6"/>
        <v>1644.103039</v>
      </c>
      <c r="D755" s="25">
        <f>IFERROR(__xludf.DUMMYFUNCTION("""COMPUTED_VALUE"""),41412.99861111111)</f>
        <v>41412.99861</v>
      </c>
      <c r="E755" s="22">
        <f>IFERROR(__xludf.DUMMYFUNCTION("""COMPUTED_VALUE"""),1.2838)</f>
        <v>1.2838</v>
      </c>
      <c r="F755" s="22">
        <f t="shared" si="8"/>
        <v>142.8865617</v>
      </c>
      <c r="G755" s="22">
        <f t="shared" si="31"/>
        <v>54.14735031</v>
      </c>
      <c r="H755" s="22">
        <f t="shared" si="32"/>
        <v>-2.825758565</v>
      </c>
      <c r="I755" s="22">
        <f t="shared" si="3"/>
        <v>0.7789375292</v>
      </c>
      <c r="J755" s="22">
        <f t="shared" si="33"/>
        <v>0.2290855273</v>
      </c>
    </row>
    <row r="756" ht="15.75" customHeight="1">
      <c r="A756" s="25">
        <f>IFERROR(__xludf.DUMMYFUNCTION("""COMPUTED_VALUE"""),41439.666666666664)</f>
        <v>41439.66667</v>
      </c>
      <c r="B756" s="22">
        <f>IFERROR(__xludf.DUMMYFUNCTION("""COMPUTED_VALUE"""),1626.73)</f>
        <v>1626.73</v>
      </c>
      <c r="C756" s="22">
        <f t="shared" si="6"/>
        <v>1627.458644</v>
      </c>
      <c r="D756" s="25">
        <f>IFERROR(__xludf.DUMMYFUNCTION("""COMPUTED_VALUE"""),41419.99861111111)</f>
        <v>41419.99861</v>
      </c>
      <c r="E756" s="22">
        <f>IFERROR(__xludf.DUMMYFUNCTION("""COMPUTED_VALUE"""),1.2931)</f>
        <v>1.2931</v>
      </c>
      <c r="F756" s="22">
        <f t="shared" si="8"/>
        <v>142.4646303</v>
      </c>
      <c r="G756" s="22">
        <f t="shared" si="31"/>
        <v>56.14542422</v>
      </c>
      <c r="H756" s="22">
        <f t="shared" si="32"/>
        <v>-3.331728787</v>
      </c>
      <c r="I756" s="22">
        <f t="shared" si="3"/>
        <v>0.7733353956</v>
      </c>
      <c r="J756" s="22">
        <f t="shared" si="33"/>
        <v>0.2016858712</v>
      </c>
    </row>
    <row r="757" ht="15.75" customHeight="1">
      <c r="A757" s="25">
        <f>IFERROR(__xludf.DUMMYFUNCTION("""COMPUTED_VALUE"""),41446.666666666664)</f>
        <v>41446.66667</v>
      </c>
      <c r="B757" s="22">
        <f>IFERROR(__xludf.DUMMYFUNCTION("""COMPUTED_VALUE"""),1592.43)</f>
        <v>1592.43</v>
      </c>
      <c r="C757" s="22">
        <f t="shared" si="6"/>
        <v>1593.151261</v>
      </c>
      <c r="D757" s="25">
        <f>IFERROR(__xludf.DUMMYFUNCTION("""COMPUTED_VALUE"""),41426.99861111111)</f>
        <v>41426.99861</v>
      </c>
      <c r="E757" s="22">
        <f>IFERROR(__xludf.DUMMYFUNCTION("""COMPUTED_VALUE"""),1.2995)</f>
        <v>1.2995</v>
      </c>
      <c r="F757" s="22">
        <f t="shared" si="8"/>
        <v>140.1516703</v>
      </c>
      <c r="G757" s="22">
        <f t="shared" si="31"/>
        <v>61.98060522</v>
      </c>
      <c r="H757" s="22">
        <f t="shared" si="32"/>
        <v>-3.604948932</v>
      </c>
      <c r="I757" s="22">
        <f t="shared" si="3"/>
        <v>0.7695267411</v>
      </c>
      <c r="J757" s="22">
        <f t="shared" si="33"/>
        <v>0.2140823394</v>
      </c>
    </row>
    <row r="758" ht="15.75" customHeight="1">
      <c r="A758" s="25">
        <f>IFERROR(__xludf.DUMMYFUNCTION("""COMPUTED_VALUE"""),41453.666666666664)</f>
        <v>41453.66667</v>
      </c>
      <c r="B758" s="22">
        <f>IFERROR(__xludf.DUMMYFUNCTION("""COMPUTED_VALUE"""),1606.28)</f>
        <v>1606.28</v>
      </c>
      <c r="C758" s="22">
        <f t="shared" si="6"/>
        <v>1606.986053</v>
      </c>
      <c r="D758" s="25">
        <f>IFERROR(__xludf.DUMMYFUNCTION("""COMPUTED_VALUE"""),41433.99861111111)</f>
        <v>41433.99861</v>
      </c>
      <c r="E758" s="22">
        <f>IFERROR(__xludf.DUMMYFUNCTION("""COMPUTED_VALUE"""),1.3222)</f>
        <v>1.3222</v>
      </c>
      <c r="F758" s="22">
        <f t="shared" si="8"/>
        <v>143.8382011</v>
      </c>
      <c r="G758" s="22">
        <f t="shared" si="31"/>
        <v>60.58266639</v>
      </c>
      <c r="H758" s="22">
        <f t="shared" si="32"/>
        <v>1.547283099</v>
      </c>
      <c r="I758" s="22">
        <f t="shared" si="3"/>
        <v>0.7563152322</v>
      </c>
      <c r="J758" s="22">
        <f t="shared" si="33"/>
        <v>0.1630615641</v>
      </c>
    </row>
    <row r="759" ht="15.75" customHeight="1">
      <c r="A759" s="25">
        <f>IFERROR(__xludf.DUMMYFUNCTION("""COMPUTED_VALUE"""),41460.666666666664)</f>
        <v>41460.66667</v>
      </c>
      <c r="B759" s="22">
        <f>IFERROR(__xludf.DUMMYFUNCTION("""COMPUTED_VALUE"""),1631.89)</f>
        <v>1631.89</v>
      </c>
      <c r="C759" s="22">
        <f t="shared" si="6"/>
        <v>1632.602194</v>
      </c>
      <c r="D759" s="25">
        <f>IFERROR(__xludf.DUMMYFUNCTION("""COMPUTED_VALUE"""),41440.99861111111)</f>
        <v>41440.99861</v>
      </c>
      <c r="E759" s="22">
        <f>IFERROR(__xludf.DUMMYFUNCTION("""COMPUTED_VALUE"""),1.3346)</f>
        <v>1.3346</v>
      </c>
      <c r="F759" s="22">
        <f t="shared" si="8"/>
        <v>147.5015142</v>
      </c>
      <c r="G759" s="22">
        <f t="shared" si="31"/>
        <v>57.51576717</v>
      </c>
      <c r="H759" s="22">
        <f t="shared" si="32"/>
        <v>5.780071288</v>
      </c>
      <c r="I759" s="22">
        <f t="shared" si="3"/>
        <v>0.7492881762</v>
      </c>
      <c r="J759" s="22">
        <f t="shared" si="33"/>
        <v>0.1705379889</v>
      </c>
    </row>
    <row r="760" ht="15.75" customHeight="1">
      <c r="A760" s="25">
        <f>IFERROR(__xludf.DUMMYFUNCTION("""COMPUTED_VALUE"""),41467.666666666664)</f>
        <v>41467.66667</v>
      </c>
      <c r="B760" s="22">
        <f>IFERROR(__xludf.DUMMYFUNCTION("""COMPUTED_VALUE"""),1680.19)</f>
        <v>1680.19</v>
      </c>
      <c r="C760" s="22">
        <f t="shared" si="6"/>
        <v>1680.913549</v>
      </c>
      <c r="D760" s="25">
        <f>IFERROR(__xludf.DUMMYFUNCTION("""COMPUTED_VALUE"""),41447.99861111111)</f>
        <v>41447.99861</v>
      </c>
      <c r="E760" s="22">
        <f>IFERROR(__xludf.DUMMYFUNCTION("""COMPUTED_VALUE"""),1.3122)</f>
        <v>1.3122</v>
      </c>
      <c r="F760" s="22">
        <f t="shared" si="8"/>
        <v>149.3173913</v>
      </c>
      <c r="G760" s="22">
        <f t="shared" si="31"/>
        <v>65.46897873</v>
      </c>
      <c r="H760" s="22">
        <f t="shared" si="32"/>
        <v>9.518918466</v>
      </c>
      <c r="I760" s="22">
        <f t="shared" si="3"/>
        <v>0.7620789514</v>
      </c>
      <c r="J760" s="22">
        <f t="shared" si="33"/>
        <v>0.2000457247</v>
      </c>
    </row>
    <row r="761" ht="15.75" customHeight="1">
      <c r="A761" s="25">
        <f>IFERROR(__xludf.DUMMYFUNCTION("""COMPUTED_VALUE"""),41474.666666666664)</f>
        <v>41474.66667</v>
      </c>
      <c r="B761" s="22">
        <f>IFERROR(__xludf.DUMMYFUNCTION("""COMPUTED_VALUE"""),1692.09)</f>
        <v>1692.09</v>
      </c>
      <c r="C761" s="22">
        <f t="shared" si="6"/>
        <v>1692.834964</v>
      </c>
      <c r="D761" s="25">
        <f>IFERROR(__xludf.DUMMYFUNCTION("""COMPUTED_VALUE"""),41454.99861111111)</f>
        <v>41454.99861</v>
      </c>
      <c r="E761" s="22">
        <f>IFERROR(__xludf.DUMMYFUNCTION("""COMPUTED_VALUE"""),1.3009)</f>
        <v>1.3009</v>
      </c>
      <c r="F761" s="22">
        <f t="shared" si="8"/>
        <v>149.0814186</v>
      </c>
      <c r="G761" s="22">
        <f t="shared" si="31"/>
        <v>71.19263268</v>
      </c>
      <c r="H761" s="22">
        <f t="shared" si="32"/>
        <v>10.96187938</v>
      </c>
      <c r="I761" s="22">
        <f t="shared" si="3"/>
        <v>0.7686985933</v>
      </c>
      <c r="J761" s="22">
        <f t="shared" si="33"/>
        <v>0.2074717503</v>
      </c>
    </row>
    <row r="762" ht="15.75" customHeight="1">
      <c r="A762" s="25">
        <f>IFERROR(__xludf.DUMMYFUNCTION("""COMPUTED_VALUE"""),41481.666666666664)</f>
        <v>41481.66667</v>
      </c>
      <c r="B762" s="22">
        <f>IFERROR(__xludf.DUMMYFUNCTION("""COMPUTED_VALUE"""),1691.65)</f>
        <v>1691.65</v>
      </c>
      <c r="C762" s="22">
        <f t="shared" si="6"/>
        <v>1692.400241</v>
      </c>
      <c r="D762" s="25">
        <f>IFERROR(__xludf.DUMMYFUNCTION("""COMPUTED_VALUE"""),41461.99861111111)</f>
        <v>41461.99861</v>
      </c>
      <c r="E762" s="22">
        <f>IFERROR(__xludf.DUMMYFUNCTION("""COMPUTED_VALUE"""),1.2832)</f>
        <v>1.2832</v>
      </c>
      <c r="F762" s="22">
        <f t="shared" si="8"/>
        <v>147.0152585</v>
      </c>
      <c r="G762" s="22">
        <f t="shared" si="31"/>
        <v>59.29288234</v>
      </c>
      <c r="H762" s="22">
        <f t="shared" si="32"/>
        <v>9.860782955</v>
      </c>
      <c r="I762" s="22">
        <f t="shared" si="3"/>
        <v>0.7793017456</v>
      </c>
      <c r="J762" s="22">
        <f t="shared" si="33"/>
        <v>0.2422849127</v>
      </c>
    </row>
    <row r="763" ht="15.75" customHeight="1">
      <c r="A763" s="25">
        <f>IFERROR(__xludf.DUMMYFUNCTION("""COMPUTED_VALUE"""),41488.666666666664)</f>
        <v>41488.66667</v>
      </c>
      <c r="B763" s="22">
        <f>IFERROR(__xludf.DUMMYFUNCTION("""COMPUTED_VALUE"""),1709.67)</f>
        <v>1709.67</v>
      </c>
      <c r="C763" s="22">
        <f t="shared" si="6"/>
        <v>1710.420046</v>
      </c>
      <c r="D763" s="25">
        <f>IFERROR(__xludf.DUMMYFUNCTION("""COMPUTED_VALUE"""),41468.99861111111)</f>
        <v>41468.99861</v>
      </c>
      <c r="E763" s="22">
        <f>IFERROR(__xludf.DUMMYFUNCTION("""COMPUTED_VALUE"""),1.3066)</f>
        <v>1.3066</v>
      </c>
      <c r="F763" s="22">
        <f t="shared" si="8"/>
        <v>151.2900666</v>
      </c>
      <c r="G763" s="22">
        <f t="shared" si="31"/>
        <v>62.38824996</v>
      </c>
      <c r="H763" s="22">
        <f t="shared" si="32"/>
        <v>11.7808029</v>
      </c>
      <c r="I763" s="22">
        <f t="shared" si="3"/>
        <v>0.7653451707</v>
      </c>
      <c r="J763" s="22">
        <f t="shared" si="33"/>
        <v>0.2132251645</v>
      </c>
    </row>
    <row r="764" ht="15.75" customHeight="1">
      <c r="A764" s="25">
        <f>IFERROR(__xludf.DUMMYFUNCTION("""COMPUTED_VALUE"""),41495.666666666664)</f>
        <v>41495.66667</v>
      </c>
      <c r="B764" s="22">
        <f>IFERROR(__xludf.DUMMYFUNCTION("""COMPUTED_VALUE"""),1691.42)</f>
        <v>1691.42</v>
      </c>
      <c r="C764" s="22">
        <f t="shared" si="6"/>
        <v>1692.178035</v>
      </c>
      <c r="D764" s="25">
        <f>IFERROR(__xludf.DUMMYFUNCTION("""COMPUTED_VALUE"""),41475.99861111111)</f>
        <v>41475.99861</v>
      </c>
      <c r="E764" s="22">
        <f>IFERROR(__xludf.DUMMYFUNCTION("""COMPUTED_VALUE"""),1.3144)</f>
        <v>1.3144</v>
      </c>
      <c r="F764" s="22">
        <f t="shared" si="8"/>
        <v>150.5700472</v>
      </c>
      <c r="G764" s="22">
        <f t="shared" si="31"/>
        <v>56.76083124</v>
      </c>
      <c r="H764" s="22">
        <f t="shared" si="32"/>
        <v>12.79404001</v>
      </c>
      <c r="I764" s="22">
        <f t="shared" si="3"/>
        <v>0.7608034084</v>
      </c>
      <c r="J764" s="22">
        <f t="shared" si="33"/>
        <v>0.1922550213</v>
      </c>
    </row>
    <row r="765" ht="15.75" customHeight="1">
      <c r="A765" s="25">
        <f>IFERROR(__xludf.DUMMYFUNCTION("""COMPUTED_VALUE"""),41502.666666666664)</f>
        <v>41502.66667</v>
      </c>
      <c r="B765" s="22">
        <f>IFERROR(__xludf.DUMMYFUNCTION("""COMPUTED_VALUE"""),1655.83)</f>
        <v>1655.83</v>
      </c>
      <c r="C765" s="22">
        <f t="shared" si="6"/>
        <v>1656.579944</v>
      </c>
      <c r="D765" s="25">
        <f>IFERROR(__xludf.DUMMYFUNCTION("""COMPUTED_VALUE"""),41482.99861111111)</f>
        <v>41482.99861</v>
      </c>
      <c r="E765" s="22">
        <f>IFERROR(__xludf.DUMMYFUNCTION("""COMPUTED_VALUE"""),1.3278)</f>
        <v>1.3278</v>
      </c>
      <c r="F765" s="22">
        <f t="shared" si="8"/>
        <v>148.9052622</v>
      </c>
      <c r="G765" s="22">
        <f t="shared" si="31"/>
        <v>53.0796494</v>
      </c>
      <c r="H765" s="22">
        <f t="shared" si="32"/>
        <v>12.07956333</v>
      </c>
      <c r="I765" s="22">
        <f t="shared" si="3"/>
        <v>0.7531254707</v>
      </c>
      <c r="J765" s="22">
        <f t="shared" si="33"/>
        <v>0.1722397951</v>
      </c>
    </row>
    <row r="766" ht="15.75" customHeight="1">
      <c r="A766" s="25">
        <f>IFERROR(__xludf.DUMMYFUNCTION("""COMPUTED_VALUE"""),41509.666666666664)</f>
        <v>41509.66667</v>
      </c>
      <c r="B766" s="22">
        <f>IFERROR(__xludf.DUMMYFUNCTION("""COMPUTED_VALUE"""),1663.5)</f>
        <v>1663.5</v>
      </c>
      <c r="C766" s="22">
        <f t="shared" si="6"/>
        <v>1664.234164</v>
      </c>
      <c r="D766" s="25">
        <f>IFERROR(__xludf.DUMMYFUNCTION("""COMPUTED_VALUE"""),41489.99861111111)</f>
        <v>41489.99861</v>
      </c>
      <c r="E766" s="22">
        <f>IFERROR(__xludf.DUMMYFUNCTION("""COMPUTED_VALUE"""),1.3281)</f>
        <v>1.3281</v>
      </c>
      <c r="F766" s="22">
        <f t="shared" si="8"/>
        <v>149.6270771</v>
      </c>
      <c r="G766" s="22">
        <f t="shared" si="31"/>
        <v>48.34399828</v>
      </c>
      <c r="H766" s="22">
        <f t="shared" si="32"/>
        <v>13.28010099</v>
      </c>
      <c r="I766" s="22">
        <f t="shared" si="3"/>
        <v>0.7529553497</v>
      </c>
      <c r="J766" s="22">
        <f t="shared" si="33"/>
        <v>0.1328213237</v>
      </c>
    </row>
    <row r="767" ht="15.75" customHeight="1">
      <c r="A767" s="25">
        <f>IFERROR(__xludf.DUMMYFUNCTION("""COMPUTED_VALUE"""),41516.666666666664)</f>
        <v>41516.66667</v>
      </c>
      <c r="B767" s="22">
        <f>IFERROR(__xludf.DUMMYFUNCTION("""COMPUTED_VALUE"""),1632.97)</f>
        <v>1632.97</v>
      </c>
      <c r="C767" s="22">
        <f t="shared" si="6"/>
        <v>1633.707564</v>
      </c>
      <c r="D767" s="25">
        <f>IFERROR(__xludf.DUMMYFUNCTION("""COMPUTED_VALUE"""),41496.99861111111)</f>
        <v>41496.99861</v>
      </c>
      <c r="E767" s="22">
        <f>IFERROR(__xludf.DUMMYFUNCTION("""COMPUTED_VALUE"""),1.3341)</f>
        <v>1.3341</v>
      </c>
      <c r="F767" s="22">
        <f t="shared" si="8"/>
        <v>147.5460837</v>
      </c>
      <c r="G767" s="22">
        <f t="shared" si="31"/>
        <v>58.19395988</v>
      </c>
      <c r="H767" s="22">
        <f t="shared" si="32"/>
        <v>14.20597538</v>
      </c>
      <c r="I767" s="22">
        <f t="shared" si="3"/>
        <v>0.7495689978</v>
      </c>
      <c r="J767" s="22">
        <f t="shared" si="33"/>
        <v>0.1014166854</v>
      </c>
    </row>
    <row r="768" ht="15.75" customHeight="1">
      <c r="A768" s="25">
        <f>IFERROR(__xludf.DUMMYFUNCTION("""COMPUTED_VALUE"""),41523.666666666664)</f>
        <v>41523.66667</v>
      </c>
      <c r="B768" s="22">
        <f>IFERROR(__xludf.DUMMYFUNCTION("""COMPUTED_VALUE"""),1655.17)</f>
        <v>1655.17</v>
      </c>
      <c r="C768" s="22">
        <f t="shared" si="6"/>
        <v>1655.894028</v>
      </c>
      <c r="D768" s="25">
        <f>IFERROR(__xludf.DUMMYFUNCTION("""COMPUTED_VALUE"""),41503.99861111111)</f>
        <v>41503.99861</v>
      </c>
      <c r="E768" s="22">
        <f>IFERROR(__xludf.DUMMYFUNCTION("""COMPUTED_VALUE"""),1.3329)</f>
        <v>1.3329</v>
      </c>
      <c r="F768" s="22">
        <f t="shared" si="8"/>
        <v>149.4153066</v>
      </c>
      <c r="G768" s="22">
        <f t="shared" si="31"/>
        <v>61.95238116</v>
      </c>
      <c r="H768" s="22">
        <f t="shared" si="32"/>
        <v>15.3573436</v>
      </c>
      <c r="I768" s="22">
        <f t="shared" si="3"/>
        <v>0.7502438292</v>
      </c>
      <c r="J768" s="22">
        <f t="shared" si="33"/>
        <v>0.1103608673</v>
      </c>
    </row>
    <row r="769" ht="15.75" customHeight="1">
      <c r="A769" s="25">
        <f>IFERROR(__xludf.DUMMYFUNCTION("""COMPUTED_VALUE"""),41530.666666666664)</f>
        <v>41530.66667</v>
      </c>
      <c r="B769" s="22">
        <f>IFERROR(__xludf.DUMMYFUNCTION("""COMPUTED_VALUE"""),1687.99)</f>
        <v>1687.99</v>
      </c>
      <c r="C769" s="22">
        <f t="shared" si="6"/>
        <v>1688.723871</v>
      </c>
      <c r="D769" s="25">
        <f>IFERROR(__xludf.DUMMYFUNCTION("""COMPUTED_VALUE"""),41510.99861111111)</f>
        <v>41510.99861</v>
      </c>
      <c r="E769" s="22">
        <f>IFERROR(__xludf.DUMMYFUNCTION("""COMPUTED_VALUE"""),1.3381)</f>
        <v>1.3381</v>
      </c>
      <c r="F769" s="22">
        <f t="shared" si="8"/>
        <v>152.9720883</v>
      </c>
      <c r="G769" s="22">
        <f t="shared" si="31"/>
        <v>66.22036678</v>
      </c>
      <c r="H769" s="22">
        <f t="shared" si="32"/>
        <v>20.06104441</v>
      </c>
      <c r="I769" s="22">
        <f t="shared" si="3"/>
        <v>0.7473283013</v>
      </c>
      <c r="J769" s="22">
        <f t="shared" si="33"/>
        <v>0.09595695389</v>
      </c>
    </row>
    <row r="770" ht="15.75" customHeight="1">
      <c r="A770" s="25">
        <f>IFERROR(__xludf.DUMMYFUNCTION("""COMPUTED_VALUE"""),41537.666666666664)</f>
        <v>41537.66667</v>
      </c>
      <c r="B770" s="22">
        <f>IFERROR(__xludf.DUMMYFUNCTION("""COMPUTED_VALUE"""),1709.91)</f>
        <v>1709.91</v>
      </c>
      <c r="C770" s="22">
        <f t="shared" si="6"/>
        <v>1710.658423</v>
      </c>
      <c r="D770" s="25">
        <f>IFERROR(__xludf.DUMMYFUNCTION("""COMPUTED_VALUE"""),41517.99861111111)</f>
        <v>41517.99861</v>
      </c>
      <c r="E770" s="22">
        <f>IFERROR(__xludf.DUMMYFUNCTION("""COMPUTED_VALUE"""),1.3222)</f>
        <v>1.3222</v>
      </c>
      <c r="F770" s="22">
        <f t="shared" si="8"/>
        <v>153.1177136</v>
      </c>
      <c r="G770" s="22">
        <f t="shared" si="31"/>
        <v>58.91162244</v>
      </c>
      <c r="H770" s="22">
        <f t="shared" si="32"/>
        <v>27.53757081</v>
      </c>
      <c r="I770" s="22">
        <f t="shared" si="3"/>
        <v>0.7563152322</v>
      </c>
      <c r="J770" s="22">
        <f t="shared" si="33"/>
        <v>0.07918620481</v>
      </c>
    </row>
    <row r="771" ht="15.75" customHeight="1">
      <c r="A771" s="25">
        <f>IFERROR(__xludf.DUMMYFUNCTION("""COMPUTED_VALUE"""),41544.666666666664)</f>
        <v>41544.66667</v>
      </c>
      <c r="B771" s="22">
        <f>IFERROR(__xludf.DUMMYFUNCTION("""COMPUTED_VALUE"""),1691.75)</f>
        <v>1691.75</v>
      </c>
      <c r="C771" s="22">
        <f t="shared" si="6"/>
        <v>1692.508142</v>
      </c>
      <c r="D771" s="25">
        <f>IFERROR(__xludf.DUMMYFUNCTION("""COMPUTED_VALUE"""),41524.99861111111)</f>
        <v>41524.99861</v>
      </c>
      <c r="E771" s="22">
        <f>IFERROR(__xludf.DUMMYFUNCTION("""COMPUTED_VALUE"""),1.3179)</f>
        <v>1.3179</v>
      </c>
      <c r="F771" s="22">
        <f t="shared" si="8"/>
        <v>151.000438</v>
      </c>
      <c r="G771" s="22">
        <f t="shared" si="31"/>
        <v>57.8878321</v>
      </c>
      <c r="H771" s="22">
        <f t="shared" si="32"/>
        <v>25.20122247</v>
      </c>
      <c r="I771" s="22">
        <f t="shared" si="3"/>
        <v>0.7587829122</v>
      </c>
      <c r="J771" s="22">
        <f t="shared" si="33"/>
        <v>0.0795204492</v>
      </c>
    </row>
    <row r="772" ht="15.75" customHeight="1">
      <c r="A772" s="25">
        <f>IFERROR(__xludf.DUMMYFUNCTION("""COMPUTED_VALUE"""),41551.666666666664)</f>
        <v>41551.66667</v>
      </c>
      <c r="B772" s="22">
        <f>IFERROR(__xludf.DUMMYFUNCTION("""COMPUTED_VALUE"""),1690.5)</f>
        <v>1690.5</v>
      </c>
      <c r="C772" s="22">
        <f t="shared" si="6"/>
        <v>1691.25009</v>
      </c>
      <c r="D772" s="25">
        <f>IFERROR(__xludf.DUMMYFUNCTION("""COMPUTED_VALUE"""),41531.99861111111)</f>
        <v>41531.99861</v>
      </c>
      <c r="E772" s="22">
        <f>IFERROR(__xludf.DUMMYFUNCTION("""COMPUTED_VALUE"""),1.3298)</f>
        <v>1.3298</v>
      </c>
      <c r="F772" s="22">
        <f t="shared" si="8"/>
        <v>152.2506459</v>
      </c>
      <c r="G772" s="22">
        <f t="shared" si="31"/>
        <v>53.11346071</v>
      </c>
      <c r="H772" s="22">
        <f t="shared" si="32"/>
        <v>23.88608676</v>
      </c>
      <c r="I772" s="22">
        <f t="shared" si="3"/>
        <v>0.7519927809</v>
      </c>
      <c r="J772" s="22">
        <f t="shared" si="33"/>
        <v>0.08723116258</v>
      </c>
    </row>
    <row r="773" ht="15.75" customHeight="1">
      <c r="A773" s="25">
        <f>IFERROR(__xludf.DUMMYFUNCTION("""COMPUTED_VALUE"""),41558.666666666664)</f>
        <v>41558.66667</v>
      </c>
      <c r="B773" s="22">
        <f>IFERROR(__xludf.DUMMYFUNCTION("""COMPUTED_VALUE"""),1703.2)</f>
        <v>1703.2</v>
      </c>
      <c r="C773" s="22">
        <f t="shared" si="6"/>
        <v>1703.949536</v>
      </c>
      <c r="D773" s="25">
        <f>IFERROR(__xludf.DUMMYFUNCTION("""COMPUTED_VALUE"""),41538.99861111111)</f>
        <v>41538.99861</v>
      </c>
      <c r="E773" s="22">
        <f>IFERROR(__xludf.DUMMYFUNCTION("""COMPUTED_VALUE"""),1.3523)</f>
        <v>1.3523</v>
      </c>
      <c r="F773" s="22">
        <f t="shared" si="8"/>
        <v>155.989282</v>
      </c>
      <c r="G773" s="22">
        <f t="shared" si="31"/>
        <v>48.65040448</v>
      </c>
      <c r="H773" s="22">
        <f t="shared" si="32"/>
        <v>30.14783866</v>
      </c>
      <c r="I773" s="22">
        <f t="shared" si="3"/>
        <v>0.7394808844</v>
      </c>
      <c r="J773" s="22">
        <f t="shared" si="33"/>
        <v>0.07860681801</v>
      </c>
    </row>
    <row r="774" ht="15.75" customHeight="1">
      <c r="A774" s="25">
        <f>IFERROR(__xludf.DUMMYFUNCTION("""COMPUTED_VALUE"""),41565.666666666664)</f>
        <v>41565.66667</v>
      </c>
      <c r="B774" s="22">
        <f>IFERROR(__xludf.DUMMYFUNCTION("""COMPUTED_VALUE"""),1744.5)</f>
        <v>1744.5</v>
      </c>
      <c r="C774" s="22">
        <f t="shared" si="6"/>
        <v>1745.255167</v>
      </c>
      <c r="D774" s="25">
        <f>IFERROR(__xludf.DUMMYFUNCTION("""COMPUTED_VALUE"""),41545.99861111111)</f>
        <v>41545.99861</v>
      </c>
      <c r="E774" s="22">
        <f>IFERROR(__xludf.DUMMYFUNCTION("""COMPUTED_VALUE"""),1.3524)</f>
        <v>1.3524</v>
      </c>
      <c r="F774" s="22">
        <f t="shared" si="8"/>
        <v>159.7824503</v>
      </c>
      <c r="G774" s="22">
        <f t="shared" si="31"/>
        <v>49.25584418</v>
      </c>
      <c r="H774" s="22">
        <f t="shared" si="32"/>
        <v>55.75619845</v>
      </c>
      <c r="I774" s="22">
        <f t="shared" si="3"/>
        <v>0.7394262053</v>
      </c>
      <c r="J774" s="22">
        <f t="shared" si="33"/>
        <v>0.01885536823</v>
      </c>
    </row>
    <row r="775" ht="15.75" customHeight="1">
      <c r="A775" s="25">
        <f>IFERROR(__xludf.DUMMYFUNCTION("""COMPUTED_VALUE"""),41572.666666666664)</f>
        <v>41572.66667</v>
      </c>
      <c r="B775" s="22">
        <f>IFERROR(__xludf.DUMMYFUNCTION("""COMPUTED_VALUE"""),1759.77)</f>
        <v>1759.77</v>
      </c>
      <c r="C775" s="22">
        <f t="shared" si="6"/>
        <v>1760.543478</v>
      </c>
      <c r="D775" s="25">
        <f>IFERROR(__xludf.DUMMYFUNCTION("""COMPUTED_VALUE"""),41552.99861111111)</f>
        <v>41552.99861</v>
      </c>
      <c r="E775" s="22">
        <f>IFERROR(__xludf.DUMMYFUNCTION("""COMPUTED_VALUE"""),1.3557)</f>
        <v>1.3557</v>
      </c>
      <c r="F775" s="22">
        <f t="shared" si="8"/>
        <v>161.5754348</v>
      </c>
      <c r="G775" s="22">
        <f t="shared" si="31"/>
        <v>47.08510214</v>
      </c>
      <c r="H775" s="22">
        <f t="shared" si="32"/>
        <v>98.06091201</v>
      </c>
      <c r="I775" s="22">
        <f t="shared" si="3"/>
        <v>0.7376263185</v>
      </c>
      <c r="J775" s="22">
        <f t="shared" si="33"/>
        <v>-0.01202330899</v>
      </c>
    </row>
    <row r="776" ht="15.75" customHeight="1">
      <c r="A776" s="25">
        <f>IFERROR(__xludf.DUMMYFUNCTION("""COMPUTED_VALUE"""),41579.666666666664)</f>
        <v>41579.66667</v>
      </c>
      <c r="B776" s="22">
        <f>IFERROR(__xludf.DUMMYFUNCTION("""COMPUTED_VALUE"""),1761.64)</f>
        <v>1761.64</v>
      </c>
      <c r="C776" s="22">
        <f t="shared" si="6"/>
        <v>1762.420249</v>
      </c>
      <c r="D776" s="25">
        <f>IFERROR(__xludf.DUMMYFUNCTION("""COMPUTED_VALUE"""),41559.99861111111)</f>
        <v>41559.99861</v>
      </c>
      <c r="E776" s="22">
        <f>IFERROR(__xludf.DUMMYFUNCTION("""COMPUTED_VALUE"""),1.3541)</f>
        <v>1.3541</v>
      </c>
      <c r="F776" s="22">
        <f t="shared" si="8"/>
        <v>161.5567821</v>
      </c>
      <c r="G776" s="22">
        <f t="shared" si="31"/>
        <v>44.92728319</v>
      </c>
      <c r="H776" s="22">
        <f t="shared" si="32"/>
        <v>89.17452724</v>
      </c>
      <c r="I776" s="22">
        <f t="shared" si="3"/>
        <v>0.7384978953</v>
      </c>
      <c r="J776" s="22">
        <f t="shared" si="33"/>
        <v>-0.009895871797</v>
      </c>
    </row>
    <row r="777" ht="15.75" customHeight="1">
      <c r="A777" s="25">
        <f>IFERROR(__xludf.DUMMYFUNCTION("""COMPUTED_VALUE"""),41586.666666666664)</f>
        <v>41586.66667</v>
      </c>
      <c r="B777" s="22">
        <f>IFERROR(__xludf.DUMMYFUNCTION("""COMPUTED_VALUE"""),1770.61)</f>
        <v>1770.61</v>
      </c>
      <c r="C777" s="22">
        <f t="shared" si="6"/>
        <v>1771.391078</v>
      </c>
      <c r="D777" s="25">
        <f>IFERROR(__xludf.DUMMYFUNCTION("""COMPUTED_VALUE"""),41566.99861111111)</f>
        <v>41566.99861</v>
      </c>
      <c r="E777" s="22">
        <f>IFERROR(__xludf.DUMMYFUNCTION("""COMPUTED_VALUE"""),1.3682)</f>
        <v>1.3682</v>
      </c>
      <c r="F777" s="22">
        <f t="shared" si="8"/>
        <v>164.0699408</v>
      </c>
      <c r="G777" s="22">
        <f t="shared" si="31"/>
        <v>46.72278813</v>
      </c>
      <c r="H777" s="22">
        <f t="shared" si="32"/>
        <v>118.8989435</v>
      </c>
      <c r="I777" s="22">
        <f t="shared" si="3"/>
        <v>0.7308872972</v>
      </c>
      <c r="J777" s="22">
        <f t="shared" si="33"/>
        <v>-0.0774740535</v>
      </c>
    </row>
    <row r="778" ht="15.75" customHeight="1">
      <c r="A778" s="25">
        <f>IFERROR(__xludf.DUMMYFUNCTION("""COMPUTED_VALUE"""),41593.666666666664)</f>
        <v>41593.66667</v>
      </c>
      <c r="B778" s="22">
        <f>IFERROR(__xludf.DUMMYFUNCTION("""COMPUTED_VALUE"""),1798.18)</f>
        <v>1798.18</v>
      </c>
      <c r="C778" s="22">
        <f t="shared" si="6"/>
        <v>1798.965055</v>
      </c>
      <c r="D778" s="25">
        <f>IFERROR(__xludf.DUMMYFUNCTION("""COMPUTED_VALUE"""),41573.99861111111)</f>
        <v>41573.99861</v>
      </c>
      <c r="E778" s="22">
        <f>IFERROR(__xludf.DUMMYFUNCTION("""COMPUTED_VALUE"""),1.3804)</f>
        <v>1.3804</v>
      </c>
      <c r="F778" s="22">
        <f t="shared" si="8"/>
        <v>168.1096563</v>
      </c>
      <c r="G778" s="22">
        <f t="shared" si="31"/>
        <v>50.41991797</v>
      </c>
      <c r="H778" s="22">
        <f t="shared" si="32"/>
        <v>101.8726305</v>
      </c>
      <c r="I778" s="22">
        <f t="shared" si="3"/>
        <v>0.7244277021</v>
      </c>
      <c r="J778" s="22">
        <f t="shared" si="33"/>
        <v>-0.08048391771</v>
      </c>
    </row>
    <row r="779" ht="15.75" customHeight="1">
      <c r="A779" s="25">
        <f>IFERROR(__xludf.DUMMYFUNCTION("""COMPUTED_VALUE"""),41600.666666666664)</f>
        <v>41600.66667</v>
      </c>
      <c r="B779" s="22">
        <f>IFERROR(__xludf.DUMMYFUNCTION("""COMPUTED_VALUE"""),1804.76)</f>
        <v>1804.76</v>
      </c>
      <c r="C779" s="22">
        <f t="shared" si="6"/>
        <v>1805.557279</v>
      </c>
      <c r="D779" s="25">
        <f>IFERROR(__xludf.DUMMYFUNCTION("""COMPUTED_VALUE"""),41580.99861111111)</f>
        <v>41580.99861</v>
      </c>
      <c r="E779" s="22">
        <f>IFERROR(__xludf.DUMMYFUNCTION("""COMPUTED_VALUE"""),1.3487)</f>
        <v>1.3487</v>
      </c>
      <c r="F779" s="22">
        <f t="shared" si="8"/>
        <v>164.8510093</v>
      </c>
      <c r="G779" s="22">
        <f t="shared" si="31"/>
        <v>41.52205612</v>
      </c>
      <c r="H779" s="22">
        <f t="shared" si="32"/>
        <v>105.7168712</v>
      </c>
      <c r="I779" s="22">
        <f t="shared" si="3"/>
        <v>0.7414547342</v>
      </c>
      <c r="J779" s="22">
        <f t="shared" si="33"/>
        <v>-0.05768517832</v>
      </c>
    </row>
    <row r="780" ht="15.75" customHeight="1">
      <c r="A780" s="25">
        <f>IFERROR(__xludf.DUMMYFUNCTION("""COMPUTED_VALUE"""),41607.666666666664)</f>
        <v>41607.66667</v>
      </c>
      <c r="B780" s="22">
        <f>IFERROR(__xludf.DUMMYFUNCTION("""COMPUTED_VALUE"""),1805.81)</f>
        <v>1805.81</v>
      </c>
      <c r="C780" s="22">
        <f t="shared" si="6"/>
        <v>1806.610196</v>
      </c>
      <c r="D780" s="25">
        <f>IFERROR(__xludf.DUMMYFUNCTION("""COMPUTED_VALUE"""),41587.99861111111)</f>
        <v>41587.99861</v>
      </c>
      <c r="E780" s="22">
        <f>IFERROR(__xludf.DUMMYFUNCTION("""COMPUTED_VALUE"""),1.3368)</f>
        <v>1.3368</v>
      </c>
      <c r="F780" s="22">
        <f t="shared" si="8"/>
        <v>163.4917627</v>
      </c>
      <c r="G780" s="22">
        <f t="shared" si="31"/>
        <v>47.07220184</v>
      </c>
      <c r="H780" s="22">
        <f t="shared" si="32"/>
        <v>119.5017421</v>
      </c>
      <c r="I780" s="22">
        <f t="shared" si="3"/>
        <v>0.7480550569</v>
      </c>
      <c r="J780" s="22">
        <f t="shared" si="33"/>
        <v>-0.05797426691</v>
      </c>
    </row>
    <row r="781" ht="15.75" customHeight="1">
      <c r="A781" s="25">
        <f>IFERROR(__xludf.DUMMYFUNCTION("""COMPUTED_VALUE"""),41614.666666666664)</f>
        <v>41614.66667</v>
      </c>
      <c r="B781" s="22">
        <f>IFERROR(__xludf.DUMMYFUNCTION("""COMPUTED_VALUE"""),1805.09)</f>
        <v>1805.09</v>
      </c>
      <c r="C781" s="22">
        <f t="shared" si="6"/>
        <v>1805.890662</v>
      </c>
      <c r="D781" s="25">
        <f>IFERROR(__xludf.DUMMYFUNCTION("""COMPUTED_VALUE"""),41594.99861111111)</f>
        <v>41594.99861</v>
      </c>
      <c r="E781" s="22">
        <f>IFERROR(__xludf.DUMMYFUNCTION("""COMPUTED_VALUE"""),1.3495)</f>
        <v>1.3495</v>
      </c>
      <c r="F781" s="22">
        <f t="shared" si="8"/>
        <v>164.9792495</v>
      </c>
      <c r="G781" s="22">
        <f t="shared" si="31"/>
        <v>48.35071457</v>
      </c>
      <c r="H781" s="22">
        <f t="shared" si="32"/>
        <v>141.9520014</v>
      </c>
      <c r="I781" s="22">
        <f t="shared" si="3"/>
        <v>0.7410151908</v>
      </c>
      <c r="J781" s="22">
        <f t="shared" si="33"/>
        <v>-0.06750648388</v>
      </c>
    </row>
    <row r="782" ht="15.75" customHeight="1">
      <c r="A782" s="25">
        <f>IFERROR(__xludf.DUMMYFUNCTION("""COMPUTED_VALUE"""),41621.666666666664)</f>
        <v>41621.66667</v>
      </c>
      <c r="B782" s="22">
        <f>IFERROR(__xludf.DUMMYFUNCTION("""COMPUTED_VALUE"""),1775.32)</f>
        <v>1775.32</v>
      </c>
      <c r="C782" s="22">
        <f t="shared" si="6"/>
        <v>1776.120343</v>
      </c>
      <c r="D782" s="25">
        <f>IFERROR(__xludf.DUMMYFUNCTION("""COMPUTED_VALUE"""),41601.99861111111)</f>
        <v>41601.99861</v>
      </c>
      <c r="E782" s="22">
        <f>IFERROR(__xludf.DUMMYFUNCTION("""COMPUTED_VALUE"""),1.3556)</f>
        <v>1.3556</v>
      </c>
      <c r="F782" s="22">
        <f t="shared" si="8"/>
        <v>162.9929917</v>
      </c>
      <c r="G782" s="22">
        <f t="shared" si="31"/>
        <v>52.77864555</v>
      </c>
      <c r="H782" s="22">
        <f t="shared" si="32"/>
        <v>111.5648393</v>
      </c>
      <c r="I782" s="22">
        <f t="shared" si="3"/>
        <v>0.7376807318</v>
      </c>
      <c r="J782" s="22">
        <f t="shared" si="33"/>
        <v>-0.06366184715</v>
      </c>
    </row>
    <row r="783" ht="15.75" customHeight="1">
      <c r="A783" s="25">
        <f>IFERROR(__xludf.DUMMYFUNCTION("""COMPUTED_VALUE"""),41628.666666666664)</f>
        <v>41628.66667</v>
      </c>
      <c r="B783" s="22">
        <f>IFERROR(__xludf.DUMMYFUNCTION("""COMPUTED_VALUE"""),1818.31)</f>
        <v>1818.31</v>
      </c>
      <c r="C783" s="22">
        <f t="shared" si="6"/>
        <v>1819.097143</v>
      </c>
      <c r="D783" s="25">
        <f>IFERROR(__xludf.DUMMYFUNCTION("""COMPUTED_VALUE"""),41608.99861111111)</f>
        <v>41608.99861</v>
      </c>
      <c r="E783" s="22">
        <f>IFERROR(__xludf.DUMMYFUNCTION("""COMPUTED_VALUE"""),1.3592)</f>
        <v>1.3592</v>
      </c>
      <c r="F783" s="22">
        <f t="shared" si="8"/>
        <v>167.3802608</v>
      </c>
      <c r="G783" s="22">
        <f t="shared" si="31"/>
        <v>51.00195177</v>
      </c>
      <c r="H783" s="22">
        <f t="shared" si="32"/>
        <v>121.8641529</v>
      </c>
      <c r="I783" s="22">
        <f t="shared" si="3"/>
        <v>0.7357268982</v>
      </c>
      <c r="J783" s="22">
        <f t="shared" si="33"/>
        <v>-0.06452324897</v>
      </c>
    </row>
    <row r="784" ht="15.75" customHeight="1">
      <c r="A784" s="25">
        <f>IFERROR(__xludf.DUMMYFUNCTION("""COMPUTED_VALUE"""),41635.666666666664)</f>
        <v>41635.66667</v>
      </c>
      <c r="B784" s="22">
        <f>IFERROR(__xludf.DUMMYFUNCTION("""COMPUTED_VALUE"""),1841.4)</f>
        <v>1841.4</v>
      </c>
      <c r="C784" s="22">
        <f t="shared" si="6"/>
        <v>1842.206204</v>
      </c>
      <c r="D784" s="25">
        <f>IFERROR(__xludf.DUMMYFUNCTION("""COMPUTED_VALUE"""),41615.99861111111)</f>
        <v>41615.99861</v>
      </c>
      <c r="E784" s="22">
        <f>IFERROR(__xludf.DUMMYFUNCTION("""COMPUTED_VALUE"""),1.3703)</f>
        <v>1.3703</v>
      </c>
      <c r="F784" s="22">
        <f t="shared" si="8"/>
        <v>170.8908779</v>
      </c>
      <c r="G784" s="22">
        <f t="shared" si="31"/>
        <v>53.72473307</v>
      </c>
      <c r="H784" s="22">
        <f t="shared" si="32"/>
        <v>114.880291</v>
      </c>
      <c r="I784" s="22">
        <f t="shared" si="3"/>
        <v>0.7297672043</v>
      </c>
      <c r="J784" s="22">
        <f t="shared" si="33"/>
        <v>-0.02590673575</v>
      </c>
    </row>
    <row r="785" ht="15.75" customHeight="1">
      <c r="A785" s="25">
        <f>IFERROR(__xludf.DUMMYFUNCTION("""COMPUTED_VALUE"""),41642.666666666664)</f>
        <v>41642.66667</v>
      </c>
      <c r="B785" s="22">
        <f>IFERROR(__xludf.DUMMYFUNCTION("""COMPUTED_VALUE"""),1831.37)</f>
        <v>1831.37</v>
      </c>
      <c r="C785" s="22">
        <f t="shared" si="6"/>
        <v>1832.186442</v>
      </c>
      <c r="D785" s="25">
        <f>IFERROR(__xludf.DUMMYFUNCTION("""COMPUTED_VALUE"""),41622.99861111111)</f>
        <v>41622.99861</v>
      </c>
      <c r="E785" s="22">
        <f>IFERROR(__xludf.DUMMYFUNCTION("""COMPUTED_VALUE"""),1.3741)</f>
        <v>1.3741</v>
      </c>
      <c r="F785" s="22">
        <f t="shared" si="8"/>
        <v>170.4327247</v>
      </c>
      <c r="G785" s="22">
        <f t="shared" si="31"/>
        <v>53.412613</v>
      </c>
      <c r="H785" s="22">
        <f t="shared" si="32"/>
        <v>103.5975508</v>
      </c>
      <c r="I785" s="22">
        <f t="shared" si="3"/>
        <v>0.7277490721</v>
      </c>
      <c r="J785" s="22">
        <f t="shared" si="33"/>
        <v>0.0130994833</v>
      </c>
    </row>
    <row r="786" ht="15.75" customHeight="1">
      <c r="A786" s="25">
        <f>IFERROR(__xludf.DUMMYFUNCTION("""COMPUTED_VALUE"""),41649.666666666664)</f>
        <v>41649.66667</v>
      </c>
      <c r="B786" s="22">
        <f>IFERROR(__xludf.DUMMYFUNCTION("""COMPUTED_VALUE"""),1842.37)</f>
        <v>1842.37</v>
      </c>
      <c r="C786" s="22">
        <f t="shared" si="6"/>
        <v>1843.181995</v>
      </c>
      <c r="D786" s="25">
        <f>IFERROR(__xludf.DUMMYFUNCTION("""COMPUTED_VALUE"""),41629.99861111111)</f>
        <v>41629.99861</v>
      </c>
      <c r="E786" s="22">
        <f>IFERROR(__xludf.DUMMYFUNCTION("""COMPUTED_VALUE"""),1.3671)</f>
        <v>1.3671</v>
      </c>
      <c r="F786" s="22">
        <f t="shared" si="8"/>
        <v>170.5821112</v>
      </c>
      <c r="G786" s="22">
        <f t="shared" si="31"/>
        <v>52.75249641</v>
      </c>
      <c r="H786" s="22">
        <f t="shared" si="32"/>
        <v>105.7865519</v>
      </c>
      <c r="I786" s="22">
        <f t="shared" si="3"/>
        <v>0.7314753859</v>
      </c>
      <c r="J786" s="22">
        <f t="shared" si="33"/>
        <v>0.02574793358</v>
      </c>
    </row>
    <row r="787" ht="15.75" customHeight="1">
      <c r="A787" s="25">
        <f>IFERROR(__xludf.DUMMYFUNCTION("""COMPUTED_VALUE"""),41656.666666666664)</f>
        <v>41656.66667</v>
      </c>
      <c r="B787" s="22">
        <f>IFERROR(__xludf.DUMMYFUNCTION("""COMPUTED_VALUE"""),1838.7)</f>
        <v>1838.7</v>
      </c>
      <c r="C787" s="22">
        <f t="shared" si="6"/>
        <v>1839.516872</v>
      </c>
      <c r="D787" s="25">
        <f>IFERROR(__xludf.DUMMYFUNCTION("""COMPUTED_VALUE"""),41636.99861111111)</f>
        <v>41636.99861</v>
      </c>
      <c r="E787" s="22">
        <f>IFERROR(__xludf.DUMMYFUNCTION("""COMPUTED_VALUE"""),1.3741)</f>
        <v>1.3741</v>
      </c>
      <c r="F787" s="22">
        <f t="shared" si="8"/>
        <v>171.1146123</v>
      </c>
      <c r="G787" s="22">
        <f t="shared" si="31"/>
        <v>50.0799134</v>
      </c>
      <c r="H787" s="22">
        <f t="shared" si="32"/>
        <v>94.82390716</v>
      </c>
      <c r="I787" s="22">
        <f t="shared" si="3"/>
        <v>0.7277490721</v>
      </c>
      <c r="J787" s="22">
        <f t="shared" si="33"/>
        <v>0.01288115858</v>
      </c>
    </row>
    <row r="788" ht="15.75" customHeight="1">
      <c r="A788" s="25">
        <f>IFERROR(__xludf.DUMMYFUNCTION("""COMPUTED_VALUE"""),41663.666666666664)</f>
        <v>41663.66667</v>
      </c>
      <c r="B788" s="22">
        <f>IFERROR(__xludf.DUMMYFUNCTION("""COMPUTED_VALUE"""),1790.29)</f>
        <v>1790.29</v>
      </c>
      <c r="C788" s="22">
        <f t="shared" si="6"/>
        <v>1791.105245</v>
      </c>
      <c r="D788" s="25">
        <f>IFERROR(__xludf.DUMMYFUNCTION("""COMPUTED_VALUE"""),41643.99861111111)</f>
        <v>41643.99861</v>
      </c>
      <c r="E788" s="22">
        <f>IFERROR(__xludf.DUMMYFUNCTION("""COMPUTED_VALUE"""),1.3587)</f>
        <v>1.3587</v>
      </c>
      <c r="F788" s="22">
        <f t="shared" si="8"/>
        <v>164.7440216</v>
      </c>
      <c r="G788" s="22">
        <f t="shared" si="31"/>
        <v>48.15310172</v>
      </c>
      <c r="H788" s="22">
        <f t="shared" si="32"/>
        <v>103.093294</v>
      </c>
      <c r="I788" s="22">
        <f t="shared" si="3"/>
        <v>0.7359976448</v>
      </c>
      <c r="J788" s="22">
        <f t="shared" si="33"/>
        <v>-0.009935968205</v>
      </c>
    </row>
    <row r="789" ht="15.75" customHeight="1">
      <c r="A789" s="25">
        <f>IFERROR(__xludf.DUMMYFUNCTION("""COMPUTED_VALUE"""),41670.666666666664)</f>
        <v>41670.66667</v>
      </c>
      <c r="B789" s="22">
        <f>IFERROR(__xludf.DUMMYFUNCTION("""COMPUTED_VALUE"""),1782.59)</f>
        <v>1782.59</v>
      </c>
      <c r="C789" s="22">
        <f t="shared" si="6"/>
        <v>1783.383781</v>
      </c>
      <c r="D789" s="25">
        <f>IFERROR(__xludf.DUMMYFUNCTION("""COMPUTED_VALUE"""),41650.99861111111)</f>
        <v>41650.99861</v>
      </c>
      <c r="E789" s="22">
        <f>IFERROR(__xludf.DUMMYFUNCTION("""COMPUTED_VALUE"""),1.367)</f>
        <v>1.367</v>
      </c>
      <c r="F789" s="22">
        <f t="shared" si="8"/>
        <v>165.0358558</v>
      </c>
      <c r="G789" s="22">
        <f t="shared" si="31"/>
        <v>41.41982468</v>
      </c>
      <c r="H789" s="22">
        <f t="shared" si="32"/>
        <v>115.7270154</v>
      </c>
      <c r="I789" s="22">
        <f t="shared" si="3"/>
        <v>0.7315288954</v>
      </c>
      <c r="J789" s="22">
        <f t="shared" si="33"/>
        <v>-0.02801755669</v>
      </c>
    </row>
    <row r="790" ht="15.75" customHeight="1">
      <c r="A790" s="25">
        <f>IFERROR(__xludf.DUMMYFUNCTION("""COMPUTED_VALUE"""),41677.666666666664)</f>
        <v>41677.66667</v>
      </c>
      <c r="B790" s="22">
        <f>IFERROR(__xludf.DUMMYFUNCTION("""COMPUTED_VALUE"""),1797.02)</f>
        <v>1797.02</v>
      </c>
      <c r="C790" s="22">
        <f t="shared" si="6"/>
        <v>1797.810367</v>
      </c>
      <c r="D790" s="25">
        <f>IFERROR(__xludf.DUMMYFUNCTION("""COMPUTED_VALUE"""),41657.99861111111)</f>
        <v>41657.99861</v>
      </c>
      <c r="E790" s="22">
        <f>IFERROR(__xludf.DUMMYFUNCTION("""COMPUTED_VALUE"""),1.354)</f>
        <v>1.354</v>
      </c>
      <c r="F790" s="22">
        <f t="shared" si="8"/>
        <v>164.7887378</v>
      </c>
      <c r="G790" s="22">
        <f t="shared" si="31"/>
        <v>39.6431424</v>
      </c>
      <c r="H790" s="22">
        <f t="shared" si="32"/>
        <v>125.5776555</v>
      </c>
      <c r="I790" s="22">
        <f t="shared" si="3"/>
        <v>0.7385524372</v>
      </c>
      <c r="J790" s="22">
        <f t="shared" si="33"/>
        <v>-0.04246676514</v>
      </c>
    </row>
    <row r="791" ht="15.75" customHeight="1">
      <c r="A791" s="25">
        <f>IFERROR(__xludf.DUMMYFUNCTION("""COMPUTED_VALUE"""),41684.666666666664)</f>
        <v>41684.66667</v>
      </c>
      <c r="B791" s="22">
        <f>IFERROR(__xludf.DUMMYFUNCTION("""COMPUTED_VALUE"""),1838.63)</f>
        <v>1838.63</v>
      </c>
      <c r="C791" s="22">
        <f t="shared" si="6"/>
        <v>1839.426765</v>
      </c>
      <c r="D791" s="25">
        <f>IFERROR(__xludf.DUMMYFUNCTION("""COMPUTED_VALUE"""),41664.99861111111)</f>
        <v>41664.99861</v>
      </c>
      <c r="E791" s="22">
        <f>IFERROR(__xludf.DUMMYFUNCTION("""COMPUTED_VALUE"""),1.3675)</f>
        <v>1.3675</v>
      </c>
      <c r="F791" s="22">
        <f t="shared" si="8"/>
        <v>170.2843825</v>
      </c>
      <c r="G791" s="22">
        <f t="shared" si="31"/>
        <v>44.80490089</v>
      </c>
      <c r="H791" s="22">
        <f t="shared" si="32"/>
        <v>137.2306305</v>
      </c>
      <c r="I791" s="22">
        <f t="shared" si="3"/>
        <v>0.731261426</v>
      </c>
      <c r="J791" s="22">
        <f t="shared" si="33"/>
        <v>-0.06157221207</v>
      </c>
    </row>
    <row r="792" ht="15.75" customHeight="1">
      <c r="A792" s="25">
        <f>IFERROR(__xludf.DUMMYFUNCTION("""COMPUTED_VALUE"""),41691.666666666664)</f>
        <v>41691.66667</v>
      </c>
      <c r="B792" s="22">
        <f>IFERROR(__xludf.DUMMYFUNCTION("""COMPUTED_VALUE"""),1836.25)</f>
        <v>1836.25</v>
      </c>
      <c r="C792" s="22">
        <f t="shared" si="6"/>
        <v>1837.065214</v>
      </c>
      <c r="D792" s="25">
        <f>IFERROR(__xludf.DUMMYFUNCTION("""COMPUTED_VALUE"""),41671.99861111111)</f>
        <v>41671.99861</v>
      </c>
      <c r="E792" s="22">
        <f>IFERROR(__xludf.DUMMYFUNCTION("""COMPUTED_VALUE"""),1.3487)</f>
        <v>1.3487</v>
      </c>
      <c r="F792" s="22">
        <f t="shared" si="8"/>
        <v>167.727747</v>
      </c>
      <c r="G792" s="22">
        <f t="shared" si="31"/>
        <v>39.12112833</v>
      </c>
      <c r="H792" s="22">
        <f t="shared" si="32"/>
        <v>120.6517217</v>
      </c>
      <c r="I792" s="22">
        <f t="shared" si="3"/>
        <v>0.7414547342</v>
      </c>
      <c r="J792" s="22">
        <f t="shared" si="33"/>
        <v>-0.04189219248</v>
      </c>
    </row>
    <row r="793" ht="15.75" customHeight="1">
      <c r="A793" s="25">
        <f>IFERROR(__xludf.DUMMYFUNCTION("""COMPUTED_VALUE"""),41698.666666666664)</f>
        <v>41698.66667</v>
      </c>
      <c r="B793" s="22">
        <f>IFERROR(__xludf.DUMMYFUNCTION("""COMPUTED_VALUE"""),1859.45)</f>
        <v>1859.45</v>
      </c>
      <c r="C793" s="22">
        <f t="shared" si="6"/>
        <v>1860.264159</v>
      </c>
      <c r="D793" s="25">
        <f>IFERROR(__xludf.DUMMYFUNCTION("""COMPUTED_VALUE"""),41678.99861111111)</f>
        <v>41678.99861</v>
      </c>
      <c r="E793" s="22">
        <f>IFERROR(__xludf.DUMMYFUNCTION("""COMPUTED_VALUE"""),1.3634)</f>
        <v>1.3634</v>
      </c>
      <c r="F793" s="22">
        <f t="shared" si="8"/>
        <v>171.6970727</v>
      </c>
      <c r="G793" s="22">
        <f t="shared" si="31"/>
        <v>40.80658748</v>
      </c>
      <c r="H793" s="22">
        <f t="shared" si="32"/>
        <v>138.3777349</v>
      </c>
      <c r="I793" s="22">
        <f t="shared" si="3"/>
        <v>0.7334604665</v>
      </c>
      <c r="J793" s="22">
        <f t="shared" si="33"/>
        <v>-0.05662314801</v>
      </c>
    </row>
    <row r="794" ht="15.75" customHeight="1">
      <c r="A794" s="25">
        <f>IFERROR(__xludf.DUMMYFUNCTION("""COMPUTED_VALUE"""),41705.666666666664)</f>
        <v>41705.66667</v>
      </c>
      <c r="B794" s="22">
        <f>IFERROR(__xludf.DUMMYFUNCTION("""COMPUTED_VALUE"""),1878.04)</f>
        <v>1878.04</v>
      </c>
      <c r="C794" s="22">
        <f t="shared" si="6"/>
        <v>1878.864445</v>
      </c>
      <c r="D794" s="25">
        <f>IFERROR(__xludf.DUMMYFUNCTION("""COMPUTED_VALUE"""),41685.99861111111)</f>
        <v>41685.99861</v>
      </c>
      <c r="E794" s="22">
        <f>IFERROR(__xludf.DUMMYFUNCTION("""COMPUTED_VALUE"""),1.3691)</f>
        <v>1.3691</v>
      </c>
      <c r="F794" s="22">
        <f t="shared" si="8"/>
        <v>174.1388215</v>
      </c>
      <c r="G794" s="22">
        <f t="shared" si="31"/>
        <v>40.05297179</v>
      </c>
      <c r="H794" s="22">
        <f t="shared" si="32"/>
        <v>158.2498323</v>
      </c>
      <c r="I794" s="22">
        <f t="shared" si="3"/>
        <v>0.7304068366</v>
      </c>
      <c r="J794" s="22">
        <f t="shared" si="33"/>
        <v>-0.05565700095</v>
      </c>
    </row>
    <row r="795" ht="15.75" customHeight="1">
      <c r="A795" s="25">
        <f>IFERROR(__xludf.DUMMYFUNCTION("""COMPUTED_VALUE"""),41712.666666666664)</f>
        <v>41712.66667</v>
      </c>
      <c r="B795" s="22">
        <f>IFERROR(__xludf.DUMMYFUNCTION("""COMPUTED_VALUE"""),1841.13)</f>
        <v>1841.13</v>
      </c>
      <c r="C795" s="22">
        <f t="shared" si="6"/>
        <v>1841.962687</v>
      </c>
      <c r="D795" s="25">
        <f>IFERROR(__xludf.DUMMYFUNCTION("""COMPUTED_VALUE"""),41692.99861111111)</f>
        <v>41692.99861</v>
      </c>
      <c r="E795" s="22">
        <f>IFERROR(__xludf.DUMMYFUNCTION("""COMPUTED_VALUE"""),1.3739)</f>
        <v>1.3739</v>
      </c>
      <c r="F795" s="22">
        <f t="shared" si="8"/>
        <v>171.3171869</v>
      </c>
      <c r="G795" s="22">
        <f t="shared" si="31"/>
        <v>39.41120563</v>
      </c>
      <c r="H795" s="22">
        <f t="shared" si="32"/>
        <v>171.4635585</v>
      </c>
      <c r="I795" s="22">
        <f t="shared" si="3"/>
        <v>0.7278550113</v>
      </c>
      <c r="J795" s="22">
        <f t="shared" si="33"/>
        <v>-0.0773709877</v>
      </c>
    </row>
    <row r="796" ht="15.75" customHeight="1">
      <c r="A796" s="25">
        <f>IFERROR(__xludf.DUMMYFUNCTION("""COMPUTED_VALUE"""),41719.666666666664)</f>
        <v>41719.66667</v>
      </c>
      <c r="B796" s="22">
        <f>IFERROR(__xludf.DUMMYFUNCTION("""COMPUTED_VALUE"""),1866.4)</f>
        <v>1866.4</v>
      </c>
      <c r="C796" s="22">
        <f t="shared" si="6"/>
        <v>1867.216322</v>
      </c>
      <c r="D796" s="25">
        <f>IFERROR(__xludf.DUMMYFUNCTION("""COMPUTED_VALUE"""),41699.99861111111)</f>
        <v>41699.99861</v>
      </c>
      <c r="E796" s="22">
        <f>IFERROR(__xludf.DUMMYFUNCTION("""COMPUTED_VALUE"""),1.38)</f>
        <v>1.38</v>
      </c>
      <c r="F796" s="22">
        <f t="shared" si="8"/>
        <v>174.4370381</v>
      </c>
      <c r="G796" s="22">
        <f t="shared" si="31"/>
        <v>39.41125822</v>
      </c>
      <c r="H796" s="22">
        <f t="shared" si="32"/>
        <v>198.2834322</v>
      </c>
      <c r="I796" s="22">
        <f t="shared" si="3"/>
        <v>0.7246376812</v>
      </c>
      <c r="J796" s="22">
        <f t="shared" si="33"/>
        <v>-0.08442028986</v>
      </c>
    </row>
    <row r="797" ht="15.75" customHeight="1">
      <c r="A797" s="25">
        <f>IFERROR(__xludf.DUMMYFUNCTION("""COMPUTED_VALUE"""),41726.666666666664)</f>
        <v>41726.66667</v>
      </c>
      <c r="B797" s="22">
        <f>IFERROR(__xludf.DUMMYFUNCTION("""COMPUTED_VALUE"""),1857.62)</f>
        <v>1857.62</v>
      </c>
      <c r="C797" s="22">
        <f t="shared" si="6"/>
        <v>1858.447526</v>
      </c>
      <c r="D797" s="25">
        <f>IFERROR(__xludf.DUMMYFUNCTION("""COMPUTED_VALUE"""),41706.99861111111)</f>
        <v>41706.99861</v>
      </c>
      <c r="E797" s="22">
        <f>IFERROR(__xludf.DUMMYFUNCTION("""COMPUTED_VALUE"""),1.3879)</f>
        <v>1.3879</v>
      </c>
      <c r="F797" s="22">
        <f t="shared" si="8"/>
        <v>174.6117486</v>
      </c>
      <c r="G797" s="22">
        <f t="shared" si="31"/>
        <v>42.60937479</v>
      </c>
      <c r="H797" s="22">
        <f t="shared" si="32"/>
        <v>163.6326498</v>
      </c>
      <c r="I797" s="22">
        <f t="shared" si="3"/>
        <v>0.7205130053</v>
      </c>
      <c r="J797" s="22">
        <f t="shared" si="33"/>
        <v>-0.0685928381</v>
      </c>
    </row>
    <row r="798" ht="15.75" customHeight="1">
      <c r="A798" s="25">
        <f>IFERROR(__xludf.DUMMYFUNCTION("""COMPUTED_VALUE"""),41733.666666666664)</f>
        <v>41733.66667</v>
      </c>
      <c r="B798" s="22">
        <f>IFERROR(__xludf.DUMMYFUNCTION("""COMPUTED_VALUE"""),1865.09)</f>
        <v>1865.09</v>
      </c>
      <c r="C798" s="22">
        <f t="shared" si="6"/>
        <v>1865.913634</v>
      </c>
      <c r="D798" s="25">
        <f>IFERROR(__xludf.DUMMYFUNCTION("""COMPUTED_VALUE"""),41713.99861111111)</f>
        <v>41713.99861</v>
      </c>
      <c r="E798" s="22">
        <f>IFERROR(__xludf.DUMMYFUNCTION("""COMPUTED_VALUE"""),1.3914)</f>
        <v>1.3914</v>
      </c>
      <c r="F798" s="22">
        <f t="shared" si="8"/>
        <v>175.7553361</v>
      </c>
      <c r="G798" s="22">
        <f t="shared" si="31"/>
        <v>43.05060222</v>
      </c>
      <c r="H798" s="22">
        <f t="shared" si="32"/>
        <v>148.6679191</v>
      </c>
      <c r="I798" s="22">
        <f t="shared" si="3"/>
        <v>0.7187005893</v>
      </c>
      <c r="J798" s="22">
        <f t="shared" si="33"/>
        <v>-0.02407646974</v>
      </c>
    </row>
    <row r="799" ht="15.75" customHeight="1">
      <c r="A799" s="25">
        <f>IFERROR(__xludf.DUMMYFUNCTION("""COMPUTED_VALUE"""),41740.666666666664)</f>
        <v>41740.66667</v>
      </c>
      <c r="B799" s="22">
        <f>IFERROR(__xludf.DUMMYFUNCTION("""COMPUTED_VALUE"""),1815.69)</f>
        <v>1815.69</v>
      </c>
      <c r="C799" s="22">
        <f t="shared" si="6"/>
        <v>1816.516946</v>
      </c>
      <c r="D799" s="25">
        <f>IFERROR(__xludf.DUMMYFUNCTION("""COMPUTED_VALUE"""),41720.99861111111)</f>
        <v>41720.99861</v>
      </c>
      <c r="E799" s="22">
        <f>IFERROR(__xludf.DUMMYFUNCTION("""COMPUTED_VALUE"""),1.3797)</f>
        <v>1.3797</v>
      </c>
      <c r="F799" s="22">
        <f t="shared" si="8"/>
        <v>169.6637651</v>
      </c>
      <c r="G799" s="22">
        <f t="shared" si="31"/>
        <v>35.35954923</v>
      </c>
      <c r="H799" s="22">
        <f t="shared" si="32"/>
        <v>131.0427038</v>
      </c>
      <c r="I799" s="22">
        <f t="shared" si="3"/>
        <v>0.7247952453</v>
      </c>
      <c r="J799" s="22">
        <f t="shared" si="33"/>
        <v>-0.03681959846</v>
      </c>
    </row>
    <row r="800" ht="15.75" customHeight="1">
      <c r="A800" s="25">
        <f>IFERROR(__xludf.DUMMYFUNCTION("""COMPUTED_VALUE"""),41746.666666666664)</f>
        <v>41746.66667</v>
      </c>
      <c r="B800" s="22">
        <f>IFERROR(__xludf.DUMMYFUNCTION("""COMPUTED_VALUE"""),1864.85)</f>
        <v>1864.85</v>
      </c>
      <c r="C800" s="22">
        <f t="shared" si="6"/>
        <v>1865.655043</v>
      </c>
      <c r="D800" s="25">
        <f>IFERROR(__xludf.DUMMYFUNCTION("""COMPUTED_VALUE"""),41727.99861111111)</f>
        <v>41727.99861</v>
      </c>
      <c r="E800" s="22">
        <f>IFERROR(__xludf.DUMMYFUNCTION("""COMPUTED_VALUE"""),1.3752)</f>
        <v>1.3752</v>
      </c>
      <c r="F800" s="22">
        <f t="shared" si="8"/>
        <v>173.6849518</v>
      </c>
      <c r="G800" s="22">
        <f t="shared" si="31"/>
        <v>35.18251155</v>
      </c>
      <c r="H800" s="22">
        <f t="shared" si="32"/>
        <v>125.7135844</v>
      </c>
      <c r="I800" s="22">
        <f t="shared" si="3"/>
        <v>0.7271669575</v>
      </c>
      <c r="J800" s="22">
        <f t="shared" si="33"/>
        <v>-0.01934264107</v>
      </c>
    </row>
    <row r="801" ht="15.75" customHeight="1">
      <c r="A801" s="25">
        <f>IFERROR(__xludf.DUMMYFUNCTION("""COMPUTED_VALUE"""),41754.666666666664)</f>
        <v>41754.66667</v>
      </c>
      <c r="B801" s="22">
        <f>IFERROR(__xludf.DUMMYFUNCTION("""COMPUTED_VALUE"""),1863.4)</f>
        <v>1863.4</v>
      </c>
      <c r="C801" s="22">
        <f t="shared" si="6"/>
        <v>1864.226839</v>
      </c>
      <c r="D801" s="25">
        <f>IFERROR(__xludf.DUMMYFUNCTION("""COMPUTED_VALUE"""),41734.99861111111)</f>
        <v>41734.99861</v>
      </c>
      <c r="E801" s="22">
        <f>IFERROR(__xludf.DUMMYFUNCTION("""COMPUTED_VALUE"""),1.3705)</f>
        <v>1.3705</v>
      </c>
      <c r="F801" s="22">
        <f t="shared" si="8"/>
        <v>172.9588458</v>
      </c>
      <c r="G801" s="22">
        <f t="shared" si="31"/>
        <v>33.21229149</v>
      </c>
      <c r="H801" s="22">
        <f t="shared" si="32"/>
        <v>126.3319987</v>
      </c>
      <c r="I801" s="22">
        <f t="shared" si="3"/>
        <v>0.7296607078</v>
      </c>
      <c r="J801" s="22">
        <f t="shared" si="33"/>
        <v>-0.03881794965</v>
      </c>
    </row>
    <row r="802" ht="15.75" customHeight="1">
      <c r="A802" s="25">
        <f>IFERROR(__xludf.DUMMYFUNCTION("""COMPUTED_VALUE"""),41761.666666666664)</f>
        <v>41761.66667</v>
      </c>
      <c r="B802" s="22">
        <f>IFERROR(__xludf.DUMMYFUNCTION("""COMPUTED_VALUE"""),1881.14)</f>
        <v>1881.14</v>
      </c>
      <c r="C802" s="22">
        <f t="shared" si="6"/>
        <v>1881.966196</v>
      </c>
      <c r="D802" s="25">
        <f>IFERROR(__xludf.DUMMYFUNCTION("""COMPUTED_VALUE"""),41741.99861111111)</f>
        <v>41741.99861</v>
      </c>
      <c r="E802" s="22">
        <f>IFERROR(__xludf.DUMMYFUNCTION("""COMPUTED_VALUE"""),1.3884)</f>
        <v>1.3884</v>
      </c>
      <c r="F802" s="22">
        <f t="shared" si="8"/>
        <v>176.8851629</v>
      </c>
      <c r="G802" s="22">
        <f t="shared" si="31"/>
        <v>37.16960919</v>
      </c>
      <c r="H802" s="22">
        <f t="shared" si="32"/>
        <v>130.3242533</v>
      </c>
      <c r="I802" s="22">
        <f t="shared" si="3"/>
        <v>0.7202535292</v>
      </c>
      <c r="J802" s="22">
        <f t="shared" si="33"/>
        <v>-0.06078939787</v>
      </c>
    </row>
    <row r="803" ht="15.75" customHeight="1">
      <c r="A803" s="25">
        <f>IFERROR(__xludf.DUMMYFUNCTION("""COMPUTED_VALUE"""),41768.666666666664)</f>
        <v>41768.66667</v>
      </c>
      <c r="B803" s="22">
        <f>IFERROR(__xludf.DUMMYFUNCTION("""COMPUTED_VALUE"""),1878.48)</f>
        <v>1878.48</v>
      </c>
      <c r="C803" s="22">
        <f t="shared" si="6"/>
        <v>1879.314062</v>
      </c>
      <c r="D803" s="25">
        <f>IFERROR(__xludf.DUMMYFUNCTION("""COMPUTED_VALUE"""),41748.99861111111)</f>
        <v>41748.99861</v>
      </c>
      <c r="E803" s="22">
        <f>IFERROR(__xludf.DUMMYFUNCTION("""COMPUTED_VALUE"""),1.3814)</f>
        <v>1.3814</v>
      </c>
      <c r="F803" s="22">
        <f t="shared" si="8"/>
        <v>175.7453316</v>
      </c>
      <c r="G803" s="22">
        <f t="shared" si="31"/>
        <v>33.2639396</v>
      </c>
      <c r="H803" s="22">
        <f t="shared" si="32"/>
        <v>126.0021644</v>
      </c>
      <c r="I803" s="22">
        <f t="shared" si="3"/>
        <v>0.7239032865</v>
      </c>
      <c r="J803" s="22">
        <f t="shared" si="33"/>
        <v>-0.04046619372</v>
      </c>
    </row>
    <row r="804" ht="15.75" customHeight="1">
      <c r="A804" s="25">
        <f>IFERROR(__xludf.DUMMYFUNCTION("""COMPUTED_VALUE"""),41775.666666666664)</f>
        <v>41775.66667</v>
      </c>
      <c r="B804" s="22">
        <f>IFERROR(__xludf.DUMMYFUNCTION("""COMPUTED_VALUE"""),1877.86)</f>
        <v>1877.86</v>
      </c>
      <c r="C804" s="22">
        <f t="shared" si="6"/>
        <v>1878.692882</v>
      </c>
      <c r="D804" s="25">
        <f>IFERROR(__xludf.DUMMYFUNCTION("""COMPUTED_VALUE"""),41755.99861111111)</f>
        <v>41755.99861</v>
      </c>
      <c r="E804" s="22">
        <f>IFERROR(__xludf.DUMMYFUNCTION("""COMPUTED_VALUE"""),1.3833)</f>
        <v>1.3833</v>
      </c>
      <c r="F804" s="22">
        <f t="shared" si="8"/>
        <v>175.9288847</v>
      </c>
      <c r="G804" s="22">
        <f t="shared" si="31"/>
        <v>28.56800226</v>
      </c>
      <c r="H804" s="22">
        <f t="shared" si="32"/>
        <v>123.2280829</v>
      </c>
      <c r="I804" s="22">
        <f t="shared" si="3"/>
        <v>0.7229089858</v>
      </c>
      <c r="J804" s="22">
        <f t="shared" si="33"/>
        <v>-0.04135039399</v>
      </c>
    </row>
    <row r="805" ht="15.75" customHeight="1">
      <c r="A805" s="25">
        <f>IFERROR(__xludf.DUMMYFUNCTION("""COMPUTED_VALUE"""),41782.666666666664)</f>
        <v>41782.66667</v>
      </c>
      <c r="B805" s="22">
        <f>IFERROR(__xludf.DUMMYFUNCTION("""COMPUTED_VALUE"""),1900.53)</f>
        <v>1900.53</v>
      </c>
      <c r="C805" s="22">
        <f t="shared" si="6"/>
        <v>1901.362608</v>
      </c>
      <c r="D805" s="25">
        <f>IFERROR(__xludf.DUMMYFUNCTION("""COMPUTED_VALUE"""),41762.99861111111)</f>
        <v>41762.99861</v>
      </c>
      <c r="E805" s="22">
        <f>IFERROR(__xludf.DUMMYFUNCTION("""COMPUTED_VALUE"""),1.387)</f>
        <v>1.387</v>
      </c>
      <c r="F805" s="22">
        <f t="shared" si="8"/>
        <v>178.5280216</v>
      </c>
      <c r="G805" s="22">
        <f t="shared" si="31"/>
        <v>35.7211696</v>
      </c>
      <c r="H805" s="22">
        <f t="shared" si="32"/>
        <v>108.0259637</v>
      </c>
      <c r="I805" s="22">
        <f t="shared" si="3"/>
        <v>0.7209805335</v>
      </c>
      <c r="J805" s="22">
        <f t="shared" si="33"/>
        <v>-0.01679884643</v>
      </c>
    </row>
    <row r="806" ht="15.75" customHeight="1">
      <c r="A806" s="25">
        <f>IFERROR(__xludf.DUMMYFUNCTION("""COMPUTED_VALUE"""),41789.666666666664)</f>
        <v>41789.66667</v>
      </c>
      <c r="B806" s="22">
        <f>IFERROR(__xludf.DUMMYFUNCTION("""COMPUTED_VALUE"""),1923.57)</f>
        <v>1923.57</v>
      </c>
      <c r="C806" s="22">
        <f t="shared" si="6"/>
        <v>1924.412659</v>
      </c>
      <c r="D806" s="25">
        <f>IFERROR(__xludf.DUMMYFUNCTION("""COMPUTED_VALUE"""),41769.99861111111)</f>
        <v>41769.99861</v>
      </c>
      <c r="E806" s="22">
        <f>IFERROR(__xludf.DUMMYFUNCTION("""COMPUTED_VALUE"""),1.3759)</f>
        <v>1.3759</v>
      </c>
      <c r="F806" s="22">
        <f t="shared" si="8"/>
        <v>179.2462416</v>
      </c>
      <c r="G806" s="22">
        <f t="shared" si="31"/>
        <v>40.14201049</v>
      </c>
      <c r="H806" s="22">
        <f t="shared" si="32"/>
        <v>122.0645223</v>
      </c>
      <c r="I806" s="22">
        <f t="shared" si="3"/>
        <v>0.7267970056</v>
      </c>
      <c r="J806" s="22">
        <f t="shared" si="33"/>
        <v>-0.01889672215</v>
      </c>
    </row>
    <row r="807" ht="15.75" customHeight="1">
      <c r="A807" s="25">
        <f>IFERROR(__xludf.DUMMYFUNCTION("""COMPUTED_VALUE"""),41796.666666666664)</f>
        <v>41796.66667</v>
      </c>
      <c r="B807" s="22">
        <f>IFERROR(__xludf.DUMMYFUNCTION("""COMPUTED_VALUE"""),1949.44)</f>
        <v>1949.44</v>
      </c>
      <c r="C807" s="22">
        <f t="shared" si="6"/>
        <v>1950.292875</v>
      </c>
      <c r="D807" s="25">
        <f>IFERROR(__xludf.DUMMYFUNCTION("""COMPUTED_VALUE"""),41776.99861111111)</f>
        <v>41776.99861</v>
      </c>
      <c r="E807" s="22">
        <f>IFERROR(__xludf.DUMMYFUNCTION("""COMPUTED_VALUE"""),1.3694)</f>
        <v>1.3694</v>
      </c>
      <c r="F807" s="22">
        <f t="shared" si="8"/>
        <v>180.798632</v>
      </c>
      <c r="G807" s="22">
        <f t="shared" si="31"/>
        <v>41.30223633</v>
      </c>
      <c r="H807" s="22">
        <f t="shared" si="32"/>
        <v>114.974467</v>
      </c>
      <c r="I807" s="22">
        <f t="shared" si="3"/>
        <v>0.7302468234</v>
      </c>
      <c r="J807" s="22">
        <f t="shared" si="33"/>
        <v>0.0223455528</v>
      </c>
    </row>
    <row r="808" ht="15.75" customHeight="1">
      <c r="A808" s="25">
        <f>IFERROR(__xludf.DUMMYFUNCTION("""COMPUTED_VALUE"""),41803.666666666664)</f>
        <v>41803.66667</v>
      </c>
      <c r="B808" s="22">
        <f>IFERROR(__xludf.DUMMYFUNCTION("""COMPUTED_VALUE"""),1936.16)</f>
        <v>1936.16</v>
      </c>
      <c r="C808" s="22">
        <f t="shared" si="6"/>
        <v>1937.024345</v>
      </c>
      <c r="D808" s="25">
        <f>IFERROR(__xludf.DUMMYFUNCTION("""COMPUTED_VALUE"""),41783.99861111111)</f>
        <v>41783.99861</v>
      </c>
      <c r="E808" s="22">
        <f>IFERROR(__xludf.DUMMYFUNCTION("""COMPUTED_VALUE"""),1.3626)</f>
        <v>1.3626</v>
      </c>
      <c r="F808" s="22">
        <f t="shared" si="8"/>
        <v>178.6769153</v>
      </c>
      <c r="G808" s="22">
        <f t="shared" si="31"/>
        <v>38.75546897</v>
      </c>
      <c r="H808" s="22">
        <f t="shared" si="32"/>
        <v>102.7948029</v>
      </c>
      <c r="I808" s="22">
        <f t="shared" si="3"/>
        <v>0.7338910906</v>
      </c>
      <c r="J808" s="22">
        <f t="shared" si="33"/>
        <v>0.03874944958</v>
      </c>
    </row>
    <row r="809" ht="15.75" customHeight="1">
      <c r="A809" s="25">
        <f>IFERROR(__xludf.DUMMYFUNCTION("""COMPUTED_VALUE"""),41810.666666666664)</f>
        <v>41810.66667</v>
      </c>
      <c r="B809" s="22">
        <f>IFERROR(__xludf.DUMMYFUNCTION("""COMPUTED_VALUE"""),1962.87)</f>
        <v>1962.87</v>
      </c>
      <c r="C809" s="22">
        <f t="shared" si="6"/>
        <v>1963.728457</v>
      </c>
      <c r="D809" s="25">
        <f>IFERROR(__xludf.DUMMYFUNCTION("""COMPUTED_VALUE"""),41790.99861111111)</f>
        <v>41790.99861</v>
      </c>
      <c r="E809" s="22">
        <f>IFERROR(__xludf.DUMMYFUNCTION("""COMPUTED_VALUE"""),1.363)</f>
        <v>1.363</v>
      </c>
      <c r="F809" s="22">
        <f t="shared" si="8"/>
        <v>181.1933572</v>
      </c>
      <c r="G809" s="22">
        <f t="shared" si="31"/>
        <v>40.64978322</v>
      </c>
      <c r="H809" s="22">
        <f t="shared" si="32"/>
        <v>103.7296847</v>
      </c>
      <c r="I809" s="22">
        <f t="shared" si="3"/>
        <v>0.7336757153</v>
      </c>
      <c r="J809" s="22">
        <f t="shared" si="33"/>
        <v>0.02487160675</v>
      </c>
    </row>
    <row r="810" ht="15.75" customHeight="1">
      <c r="A810" s="25">
        <f>IFERROR(__xludf.DUMMYFUNCTION("""COMPUTED_VALUE"""),41817.666666666664)</f>
        <v>41817.66667</v>
      </c>
      <c r="B810" s="22">
        <f>IFERROR(__xludf.DUMMYFUNCTION("""COMPUTED_VALUE"""),1960.96)</f>
        <v>1960.96</v>
      </c>
      <c r="C810" s="22">
        <f t="shared" si="6"/>
        <v>1961.830299</v>
      </c>
      <c r="D810" s="25">
        <f>IFERROR(__xludf.DUMMYFUNCTION("""COMPUTED_VALUE"""),41797.99861111111)</f>
        <v>41797.99861</v>
      </c>
      <c r="E810" s="22">
        <f>IFERROR(__xludf.DUMMYFUNCTION("""COMPUTED_VALUE"""),1.3641)</f>
        <v>1.3641</v>
      </c>
      <c r="F810" s="22">
        <f t="shared" si="8"/>
        <v>181.1643037</v>
      </c>
      <c r="G810" s="22">
        <f t="shared" si="31"/>
        <v>46.53009642</v>
      </c>
      <c r="H810" s="22">
        <f t="shared" si="32"/>
        <v>101.9299822</v>
      </c>
      <c r="I810" s="22">
        <f t="shared" si="3"/>
        <v>0.7330840847</v>
      </c>
      <c r="J810" s="22">
        <f t="shared" si="33"/>
        <v>0.02631771864</v>
      </c>
    </row>
    <row r="811" ht="15.75" customHeight="1">
      <c r="A811" s="25">
        <f>IFERROR(__xludf.DUMMYFUNCTION("""COMPUTED_VALUE"""),41823.666666666664)</f>
        <v>41823.66667</v>
      </c>
      <c r="B811" s="22">
        <f>IFERROR(__xludf.DUMMYFUNCTION("""COMPUTED_VALUE"""),1985.44)</f>
        <v>1985.44</v>
      </c>
      <c r="C811" s="22">
        <f t="shared" si="6"/>
        <v>1986.309453</v>
      </c>
      <c r="D811" s="25">
        <f>IFERROR(__xludf.DUMMYFUNCTION("""COMPUTED_VALUE"""),41804.99861111111)</f>
        <v>41804.99861</v>
      </c>
      <c r="E811" s="22">
        <f>IFERROR(__xludf.DUMMYFUNCTION("""COMPUTED_VALUE"""),1.3539)</f>
        <v>1.3539</v>
      </c>
      <c r="F811" s="22">
        <f t="shared" si="8"/>
        <v>182.0532683</v>
      </c>
      <c r="G811" s="22">
        <f t="shared" si="31"/>
        <v>47.59117293</v>
      </c>
      <c r="H811" s="22">
        <f t="shared" si="32"/>
        <v>109.2421493</v>
      </c>
      <c r="I811" s="22">
        <f t="shared" si="3"/>
        <v>0.7386069872</v>
      </c>
      <c r="J811" s="22">
        <f t="shared" si="33"/>
        <v>0.02998744368</v>
      </c>
    </row>
    <row r="812" ht="15.75" customHeight="1">
      <c r="A812" s="25">
        <f>IFERROR(__xludf.DUMMYFUNCTION("""COMPUTED_VALUE"""),41831.666666666664)</f>
        <v>41831.66667</v>
      </c>
      <c r="B812" s="22">
        <f>IFERROR(__xludf.DUMMYFUNCTION("""COMPUTED_VALUE"""),1967.57)</f>
        <v>1967.57</v>
      </c>
      <c r="C812" s="22">
        <f t="shared" si="6"/>
        <v>1968.450307</v>
      </c>
      <c r="D812" s="25">
        <f>IFERROR(__xludf.DUMMYFUNCTION("""COMPUTED_VALUE"""),41811.99861111111)</f>
        <v>41811.99861</v>
      </c>
      <c r="E812" s="22">
        <f>IFERROR(__xludf.DUMMYFUNCTION("""COMPUTED_VALUE"""),1.36)</f>
        <v>1.36</v>
      </c>
      <c r="F812" s="22">
        <f t="shared" si="8"/>
        <v>181.2292722</v>
      </c>
      <c r="G812" s="22">
        <f t="shared" si="31"/>
        <v>48.70893983</v>
      </c>
      <c r="H812" s="22">
        <f t="shared" si="32"/>
        <v>107.3091766</v>
      </c>
      <c r="I812" s="22">
        <f t="shared" si="3"/>
        <v>0.7352941176</v>
      </c>
      <c r="J812" s="22">
        <f t="shared" si="33"/>
        <v>0.03286764706</v>
      </c>
    </row>
    <row r="813" ht="15.75" customHeight="1">
      <c r="A813" s="25">
        <f>IFERROR(__xludf.DUMMYFUNCTION("""COMPUTED_VALUE"""),41838.666666666664)</f>
        <v>41838.66667</v>
      </c>
      <c r="B813" s="22">
        <f>IFERROR(__xludf.DUMMYFUNCTION("""COMPUTED_VALUE"""),1978.22)</f>
        <v>1978.22</v>
      </c>
      <c r="C813" s="22">
        <f t="shared" si="6"/>
        <v>1979.092383</v>
      </c>
      <c r="D813" s="25">
        <f>IFERROR(__xludf.DUMMYFUNCTION("""COMPUTED_VALUE"""),41818.99861111111)</f>
        <v>41818.99861</v>
      </c>
      <c r="E813" s="22">
        <f>IFERROR(__xludf.DUMMYFUNCTION("""COMPUTED_VALUE"""),1.3645)</f>
        <v>1.3645</v>
      </c>
      <c r="F813" s="22">
        <f t="shared" si="8"/>
        <v>182.8119536</v>
      </c>
      <c r="G813" s="22">
        <f t="shared" si="31"/>
        <v>38.91263817</v>
      </c>
      <c r="H813" s="22">
        <f t="shared" si="32"/>
        <v>115.2966161</v>
      </c>
      <c r="I813" s="22">
        <f t="shared" si="3"/>
        <v>0.7328691829</v>
      </c>
      <c r="J813" s="22">
        <f t="shared" si="33"/>
        <v>0.02499083914</v>
      </c>
    </row>
    <row r="814" ht="15.75" customHeight="1">
      <c r="A814" s="25">
        <f>IFERROR(__xludf.DUMMYFUNCTION("""COMPUTED_VALUE"""),41845.666666666664)</f>
        <v>41845.66667</v>
      </c>
      <c r="B814" s="22">
        <f>IFERROR(__xludf.DUMMYFUNCTION("""COMPUTED_VALUE"""),1978.34)</f>
        <v>1978.34</v>
      </c>
      <c r="C814" s="22">
        <f t="shared" si="6"/>
        <v>1979.217105</v>
      </c>
      <c r="D814" s="25">
        <f>IFERROR(__xludf.DUMMYFUNCTION("""COMPUTED_VALUE"""),41825.99861111111)</f>
        <v>41825.99861</v>
      </c>
      <c r="E814" s="22">
        <f>IFERROR(__xludf.DUMMYFUNCTION("""COMPUTED_VALUE"""),1.3596)</f>
        <v>1.3596</v>
      </c>
      <c r="F814" s="22">
        <f t="shared" si="8"/>
        <v>182.1669445</v>
      </c>
      <c r="G814" s="22">
        <f t="shared" si="31"/>
        <v>40.33537157</v>
      </c>
      <c r="H814" s="22">
        <f t="shared" si="32"/>
        <v>119.5417152</v>
      </c>
      <c r="I814" s="22">
        <f t="shared" si="3"/>
        <v>0.7355104442</v>
      </c>
      <c r="J814" s="22">
        <f t="shared" si="33"/>
        <v>0.0250073551</v>
      </c>
    </row>
    <row r="815" ht="15.75" customHeight="1">
      <c r="A815" s="25">
        <f>IFERROR(__xludf.DUMMYFUNCTION("""COMPUTED_VALUE"""),41852.666666666664)</f>
        <v>41852.66667</v>
      </c>
      <c r="B815" s="22">
        <f>IFERROR(__xludf.DUMMYFUNCTION("""COMPUTED_VALUE"""),1925.15)</f>
        <v>1925.15</v>
      </c>
      <c r="C815" s="22">
        <f t="shared" si="6"/>
        <v>1926.027159</v>
      </c>
      <c r="D815" s="25">
        <f>IFERROR(__xludf.DUMMYFUNCTION("""COMPUTED_VALUE"""),41832.99861111111)</f>
        <v>41832.99861</v>
      </c>
      <c r="E815" s="22">
        <f>IFERROR(__xludf.DUMMYFUNCTION("""COMPUTED_VALUE"""),1.3608)</f>
        <v>1.3608</v>
      </c>
      <c r="F815" s="22">
        <f t="shared" si="8"/>
        <v>177.4278091</v>
      </c>
      <c r="G815" s="22">
        <f t="shared" si="31"/>
        <v>40.63028841</v>
      </c>
      <c r="H815" s="22">
        <f t="shared" si="32"/>
        <v>97.57110646</v>
      </c>
      <c r="I815" s="22">
        <f t="shared" si="3"/>
        <v>0.734861846</v>
      </c>
      <c r="J815" s="22">
        <f t="shared" si="33"/>
        <v>0.03622868901</v>
      </c>
    </row>
    <row r="816" ht="15.75" customHeight="1">
      <c r="A816" s="25">
        <f>IFERROR(__xludf.DUMMYFUNCTION("""COMPUTED_VALUE"""),41859.666666666664)</f>
        <v>41859.66667</v>
      </c>
      <c r="B816" s="22">
        <f>IFERROR(__xludf.DUMMYFUNCTION("""COMPUTED_VALUE"""),1931.59)</f>
        <v>1931.59</v>
      </c>
      <c r="C816" s="22">
        <f t="shared" si="6"/>
        <v>1932.443575</v>
      </c>
      <c r="D816" s="25">
        <f>IFERROR(__xludf.DUMMYFUNCTION("""COMPUTED_VALUE"""),41839.99861111111)</f>
        <v>41839.99861</v>
      </c>
      <c r="E816" s="22">
        <f>IFERROR(__xludf.DUMMYFUNCTION("""COMPUTED_VALUE"""),1.3523)</f>
        <v>1.3523</v>
      </c>
      <c r="F816" s="22">
        <f t="shared" si="8"/>
        <v>176.9069326</v>
      </c>
      <c r="G816" s="22">
        <f t="shared" si="31"/>
        <v>35.21273103</v>
      </c>
      <c r="H816" s="22">
        <f t="shared" si="32"/>
        <v>87.83566381</v>
      </c>
      <c r="I816" s="22">
        <f t="shared" si="3"/>
        <v>0.7394808844</v>
      </c>
      <c r="J816" s="22">
        <f t="shared" si="33"/>
        <v>0.05013680396</v>
      </c>
    </row>
    <row r="817" ht="15.75" customHeight="1">
      <c r="A817" s="25">
        <f>IFERROR(__xludf.DUMMYFUNCTION("""COMPUTED_VALUE"""),41866.666666666664)</f>
        <v>41866.66667</v>
      </c>
      <c r="B817" s="22">
        <f>IFERROR(__xludf.DUMMYFUNCTION("""COMPUTED_VALUE"""),1955.06)</f>
        <v>1955.06</v>
      </c>
      <c r="C817" s="22">
        <f t="shared" si="6"/>
        <v>1955.91643</v>
      </c>
      <c r="D817" s="25">
        <f>IFERROR(__xludf.DUMMYFUNCTION("""COMPUTED_VALUE"""),41846.99861111111)</f>
        <v>41846.99861</v>
      </c>
      <c r="E817" s="22">
        <f>IFERROR(__xludf.DUMMYFUNCTION("""COMPUTED_VALUE"""),1.343)</f>
        <v>1.343</v>
      </c>
      <c r="F817" s="22">
        <f t="shared" si="8"/>
        <v>177.8243746</v>
      </c>
      <c r="G817" s="22">
        <f t="shared" si="31"/>
        <v>41.25038489</v>
      </c>
      <c r="H817" s="22">
        <f t="shared" si="32"/>
        <v>86.53929527</v>
      </c>
      <c r="I817" s="22">
        <f t="shared" si="3"/>
        <v>0.7446016381</v>
      </c>
      <c r="J817" s="22">
        <f t="shared" si="33"/>
        <v>0.06135517498</v>
      </c>
    </row>
    <row r="818" ht="15.75" customHeight="1">
      <c r="A818" s="25">
        <f>IFERROR(__xludf.DUMMYFUNCTION("""COMPUTED_VALUE"""),41873.666666666664)</f>
        <v>41873.66667</v>
      </c>
      <c r="B818" s="22">
        <f>IFERROR(__xludf.DUMMYFUNCTION("""COMPUTED_VALUE"""),1988.4)</f>
        <v>1988.4</v>
      </c>
      <c r="C818" s="22">
        <f t="shared" si="6"/>
        <v>1989.266837</v>
      </c>
      <c r="D818" s="25">
        <f>IFERROR(__xludf.DUMMYFUNCTION("""COMPUTED_VALUE"""),41853.99861111111)</f>
        <v>41853.99861</v>
      </c>
      <c r="E818" s="22">
        <f>IFERROR(__xludf.DUMMYFUNCTION("""COMPUTED_VALUE"""),1.343)</f>
        <v>1.343</v>
      </c>
      <c r="F818" s="22">
        <f t="shared" si="8"/>
        <v>180.8564649</v>
      </c>
      <c r="G818" s="22">
        <f t="shared" si="31"/>
        <v>57.28777016</v>
      </c>
      <c r="H818" s="22">
        <f t="shared" si="32"/>
        <v>86.52826496</v>
      </c>
      <c r="I818" s="22">
        <f t="shared" si="3"/>
        <v>0.7446016381</v>
      </c>
      <c r="J818" s="22">
        <f t="shared" si="33"/>
        <v>0.05495160089</v>
      </c>
    </row>
    <row r="819" ht="15.75" customHeight="1">
      <c r="A819" s="25">
        <f>IFERROR(__xludf.DUMMYFUNCTION("""COMPUTED_VALUE"""),41880.666666666664)</f>
        <v>41880.66667</v>
      </c>
      <c r="B819" s="22">
        <f>IFERROR(__xludf.DUMMYFUNCTION("""COMPUTED_VALUE"""),2003.37)</f>
        <v>2003.37</v>
      </c>
      <c r="C819" s="22">
        <f t="shared" si="6"/>
        <v>2004.251619</v>
      </c>
      <c r="D819" s="25">
        <f>IFERROR(__xludf.DUMMYFUNCTION("""COMPUTED_VALUE"""),41860.99861111111)</f>
        <v>41860.99861</v>
      </c>
      <c r="E819" s="22">
        <f>IFERROR(__xludf.DUMMYFUNCTION("""COMPUTED_VALUE"""),1.3409)</f>
        <v>1.3409</v>
      </c>
      <c r="F819" s="22">
        <f t="shared" si="8"/>
        <v>181.9338945</v>
      </c>
      <c r="G819" s="22">
        <f t="shared" si="31"/>
        <v>59.92802061</v>
      </c>
      <c r="H819" s="22">
        <f t="shared" si="32"/>
        <v>88.20683344</v>
      </c>
      <c r="I819" s="22">
        <f t="shared" si="3"/>
        <v>0.7457677679</v>
      </c>
      <c r="J819" s="22">
        <f t="shared" si="33"/>
        <v>0.06010888209</v>
      </c>
    </row>
    <row r="820" ht="15.75" customHeight="1">
      <c r="A820" s="25">
        <f>IFERROR(__xludf.DUMMYFUNCTION("""COMPUTED_VALUE"""),41887.666666666664)</f>
        <v>41887.66667</v>
      </c>
      <c r="B820" s="22">
        <f>IFERROR(__xludf.DUMMYFUNCTION("""COMPUTED_VALUE"""),2007.71)</f>
        <v>2007.71</v>
      </c>
      <c r="C820" s="22">
        <f t="shared" si="6"/>
        <v>2008.598256</v>
      </c>
      <c r="D820" s="25">
        <f>IFERROR(__xludf.DUMMYFUNCTION("""COMPUTED_VALUE"""),41867.99861111111)</f>
        <v>41867.99861</v>
      </c>
      <c r="E820" s="22">
        <f>IFERROR(__xludf.DUMMYFUNCTION("""COMPUTED_VALUE"""),1.33935)</f>
        <v>1.33935</v>
      </c>
      <c r="F820" s="22">
        <f t="shared" si="8"/>
        <v>182.1176954</v>
      </c>
      <c r="G820" s="22">
        <f t="shared" si="31"/>
        <v>66.13345403</v>
      </c>
      <c r="H820" s="22">
        <f t="shared" si="32"/>
        <v>83.23128344</v>
      </c>
      <c r="I820" s="22">
        <f t="shared" si="3"/>
        <v>0.7466308284</v>
      </c>
      <c r="J820" s="22">
        <f t="shared" si="33"/>
        <v>0.06783141076</v>
      </c>
    </row>
    <row r="821" ht="15.75" customHeight="1">
      <c r="A821" s="25">
        <f>IFERROR(__xludf.DUMMYFUNCTION("""COMPUTED_VALUE"""),41894.666666666664)</f>
        <v>41894.66667</v>
      </c>
      <c r="B821" s="22">
        <f>IFERROR(__xludf.DUMMYFUNCTION("""COMPUTED_VALUE"""),1985.54)</f>
        <v>1985.54</v>
      </c>
      <c r="C821" s="22">
        <f t="shared" si="6"/>
        <v>1986.430181</v>
      </c>
      <c r="D821" s="25">
        <f>IFERROR(__xludf.DUMMYFUNCTION("""COMPUTED_VALUE"""),41874.99861111111)</f>
        <v>41874.99861</v>
      </c>
      <c r="E821" s="22">
        <f>IFERROR(__xludf.DUMMYFUNCTION("""COMPUTED_VALUE"""),1.3245)</f>
        <v>1.3245</v>
      </c>
      <c r="F821" s="22">
        <f t="shared" si="8"/>
        <v>178.1107983</v>
      </c>
      <c r="G821" s="22">
        <f t="shared" si="31"/>
        <v>54.53984746</v>
      </c>
      <c r="H821" s="22">
        <f t="shared" si="32"/>
        <v>78.71074797</v>
      </c>
      <c r="I821" s="22">
        <f t="shared" si="3"/>
        <v>0.7550018875</v>
      </c>
      <c r="J821" s="22">
        <f t="shared" si="33"/>
        <v>0.07980369951</v>
      </c>
    </row>
    <row r="822" ht="15.75" customHeight="1">
      <c r="A822" s="25">
        <f>IFERROR(__xludf.DUMMYFUNCTION("""COMPUTED_VALUE"""),41901.666666666664)</f>
        <v>41901.66667</v>
      </c>
      <c r="B822" s="22">
        <f>IFERROR(__xludf.DUMMYFUNCTION("""COMPUTED_VALUE"""),2010.4)</f>
        <v>2010.4</v>
      </c>
      <c r="C822" s="22">
        <f t="shared" si="6"/>
        <v>2011.280351</v>
      </c>
      <c r="D822" s="25">
        <f>IFERROR(__xludf.DUMMYFUNCTION("""COMPUTED_VALUE"""),41881.99861111111)</f>
        <v>41881.99861</v>
      </c>
      <c r="E822" s="22">
        <f>IFERROR(__xludf.DUMMYFUNCTION("""COMPUTED_VALUE"""),1.3136)</f>
        <v>1.3136</v>
      </c>
      <c r="F822" s="22">
        <f t="shared" si="8"/>
        <v>178.8548548</v>
      </c>
      <c r="G822" s="22">
        <f t="shared" si="31"/>
        <v>58.51587864</v>
      </c>
      <c r="H822" s="22">
        <f t="shared" si="32"/>
        <v>82.02477954</v>
      </c>
      <c r="I822" s="22">
        <f t="shared" si="3"/>
        <v>0.7612667479</v>
      </c>
      <c r="J822" s="22">
        <f t="shared" si="33"/>
        <v>0.08663215591</v>
      </c>
    </row>
    <row r="823" ht="15.75" customHeight="1">
      <c r="A823" s="25">
        <f>IFERROR(__xludf.DUMMYFUNCTION("""COMPUTED_VALUE"""),41908.666666666664)</f>
        <v>41908.66667</v>
      </c>
      <c r="B823" s="22">
        <f>IFERROR(__xludf.DUMMYFUNCTION("""COMPUTED_VALUE"""),1982.85)</f>
        <v>1982.85</v>
      </c>
      <c r="C823" s="22">
        <f t="shared" si="6"/>
        <v>1983.741373</v>
      </c>
      <c r="D823" s="25">
        <f>IFERROR(__xludf.DUMMYFUNCTION("""COMPUTED_VALUE"""),41888.99861111111)</f>
        <v>41888.99861</v>
      </c>
      <c r="E823" s="22">
        <f>IFERROR(__xludf.DUMMYFUNCTION("""COMPUTED_VALUE"""),1.2949)</f>
        <v>1.2949</v>
      </c>
      <c r="F823" s="22">
        <f t="shared" si="8"/>
        <v>173.8946675</v>
      </c>
      <c r="G823" s="22">
        <f t="shared" si="31"/>
        <v>62.91955624</v>
      </c>
      <c r="H823" s="22">
        <f t="shared" si="32"/>
        <v>68.90170059</v>
      </c>
      <c r="I823" s="22">
        <f t="shared" si="3"/>
        <v>0.7722604062</v>
      </c>
      <c r="J823" s="22">
        <f t="shared" si="33"/>
        <v>0.1258784462</v>
      </c>
    </row>
    <row r="824" ht="15.75" customHeight="1">
      <c r="A824" s="25">
        <f>IFERROR(__xludf.DUMMYFUNCTION("""COMPUTED_VALUE"""),41915.666666666664)</f>
        <v>41915.66667</v>
      </c>
      <c r="B824" s="22">
        <f>IFERROR(__xludf.DUMMYFUNCTION("""COMPUTED_VALUE"""),1967.9)</f>
        <v>1967.9</v>
      </c>
      <c r="C824" s="22">
        <f t="shared" si="6"/>
        <v>1968.779158</v>
      </c>
      <c r="D824" s="25">
        <f>IFERROR(__xludf.DUMMYFUNCTION("""COMPUTED_VALUE"""),41895.99861111111)</f>
        <v>41895.99861</v>
      </c>
      <c r="E824" s="22">
        <f>IFERROR(__xludf.DUMMYFUNCTION("""COMPUTED_VALUE"""),1.2947)</f>
        <v>1.2947</v>
      </c>
      <c r="F824" s="22">
        <f t="shared" si="8"/>
        <v>172.5564246</v>
      </c>
      <c r="G824" s="22">
        <f t="shared" si="31"/>
        <v>51.97651895</v>
      </c>
      <c r="H824" s="22">
        <f t="shared" si="32"/>
        <v>62.21053519</v>
      </c>
      <c r="I824" s="22">
        <f t="shared" si="3"/>
        <v>0.7723797019</v>
      </c>
      <c r="J824" s="22">
        <f t="shared" si="33"/>
        <v>0.1356298756</v>
      </c>
    </row>
    <row r="825" ht="15.75" customHeight="1">
      <c r="A825" s="25">
        <f>IFERROR(__xludf.DUMMYFUNCTION("""COMPUTED_VALUE"""),41922.666666666664)</f>
        <v>41922.66667</v>
      </c>
      <c r="B825" s="22">
        <f>IFERROR(__xludf.DUMMYFUNCTION("""COMPUTED_VALUE"""),1906.13)</f>
        <v>1906.13</v>
      </c>
      <c r="C825" s="22">
        <f t="shared" si="6"/>
        <v>1907.00253</v>
      </c>
      <c r="D825" s="25">
        <f>IFERROR(__xludf.DUMMYFUNCTION("""COMPUTED_VALUE"""),41902.99861111111)</f>
        <v>41902.99861</v>
      </c>
      <c r="E825" s="22">
        <f>IFERROR(__xludf.DUMMYFUNCTION("""COMPUTED_VALUE"""),1.2829)</f>
        <v>1.2829</v>
      </c>
      <c r="F825" s="22">
        <f t="shared" si="8"/>
        <v>165.61858</v>
      </c>
      <c r="G825" s="22">
        <f t="shared" si="31"/>
        <v>59.23686339</v>
      </c>
      <c r="H825" s="22">
        <f t="shared" si="32"/>
        <v>59.48981916</v>
      </c>
      <c r="I825" s="22">
        <f t="shared" si="3"/>
        <v>0.7794839816</v>
      </c>
      <c r="J825" s="22">
        <f t="shared" si="33"/>
        <v>0.1443604334</v>
      </c>
    </row>
    <row r="826" ht="15.75" customHeight="1">
      <c r="A826" s="25">
        <f>IFERROR(__xludf.DUMMYFUNCTION("""COMPUTED_VALUE"""),41929.666666666664)</f>
        <v>41929.66667</v>
      </c>
      <c r="B826" s="22">
        <f>IFERROR(__xludf.DUMMYFUNCTION("""COMPUTED_VALUE"""),1886.76)</f>
        <v>1886.76</v>
      </c>
      <c r="C826" s="22">
        <f t="shared" si="6"/>
        <v>1887.605142</v>
      </c>
      <c r="D826" s="25">
        <f>IFERROR(__xludf.DUMMYFUNCTION("""COMPUTED_VALUE"""),41909.99861111111)</f>
        <v>41909.99861</v>
      </c>
      <c r="E826" s="22">
        <f>IFERROR(__xludf.DUMMYFUNCTION("""COMPUTED_VALUE"""),1.2683)</f>
        <v>1.2683</v>
      </c>
      <c r="F826" s="22">
        <f t="shared" si="8"/>
        <v>162.0683186</v>
      </c>
      <c r="G826" s="22">
        <f t="shared" si="31"/>
        <v>57.9557166</v>
      </c>
      <c r="H826" s="22">
        <f t="shared" si="32"/>
        <v>60.0250557</v>
      </c>
      <c r="I826" s="22">
        <f t="shared" si="3"/>
        <v>0.7884569897</v>
      </c>
      <c r="J826" s="22">
        <f t="shared" si="33"/>
        <v>0.1500433651</v>
      </c>
    </row>
    <row r="827" ht="15.75" customHeight="1">
      <c r="A827" s="25">
        <f>IFERROR(__xludf.DUMMYFUNCTION("""COMPUTED_VALUE"""),41936.666666666664)</f>
        <v>41936.66667</v>
      </c>
      <c r="B827" s="22">
        <f>IFERROR(__xludf.DUMMYFUNCTION("""COMPUTED_VALUE"""),1964.58)</f>
        <v>1964.58</v>
      </c>
      <c r="C827" s="22">
        <f t="shared" si="6"/>
        <v>1965.416554</v>
      </c>
      <c r="D827" s="25">
        <f>IFERROR(__xludf.DUMMYFUNCTION("""COMPUTED_VALUE"""),41916.99861111111)</f>
        <v>41916.99861</v>
      </c>
      <c r="E827" s="22">
        <f>IFERROR(__xludf.DUMMYFUNCTION("""COMPUTED_VALUE"""),1.2514)</f>
        <v>1.2514</v>
      </c>
      <c r="F827" s="22">
        <f t="shared" si="8"/>
        <v>166.5005769</v>
      </c>
      <c r="G827" s="22">
        <f t="shared" si="31"/>
        <v>58.94852906</v>
      </c>
      <c r="H827" s="22">
        <f t="shared" si="32"/>
        <v>55.93646487</v>
      </c>
      <c r="I827" s="22">
        <f t="shared" si="3"/>
        <v>0.7991050024</v>
      </c>
      <c r="J827" s="22">
        <f t="shared" si="33"/>
        <v>0.1758031005</v>
      </c>
    </row>
    <row r="828" ht="15.75" customHeight="1">
      <c r="A828" s="25">
        <f>IFERROR(__xludf.DUMMYFUNCTION("""COMPUTED_VALUE"""),41943.666666666664)</f>
        <v>41943.66667</v>
      </c>
      <c r="B828" s="22">
        <f>IFERROR(__xludf.DUMMYFUNCTION("""COMPUTED_VALUE"""),2018.05)</f>
        <v>2018.05</v>
      </c>
      <c r="C828" s="22">
        <f t="shared" si="6"/>
        <v>2018.921058</v>
      </c>
      <c r="D828" s="25">
        <f>IFERROR(__xludf.DUMMYFUNCTION("""COMPUTED_VALUE"""),41923.99861111111)</f>
        <v>41923.99861</v>
      </c>
      <c r="E828" s="22">
        <f>IFERROR(__xludf.DUMMYFUNCTION("""COMPUTED_VALUE"""),1.2627)</f>
        <v>1.2627</v>
      </c>
      <c r="F828" s="22">
        <f t="shared" si="8"/>
        <v>172.5776301</v>
      </c>
      <c r="G828" s="22">
        <f t="shared" si="31"/>
        <v>50.15857833</v>
      </c>
      <c r="H828" s="22">
        <f t="shared" si="32"/>
        <v>57.33814562</v>
      </c>
      <c r="I828" s="22">
        <f t="shared" si="3"/>
        <v>0.7919537499</v>
      </c>
      <c r="J828" s="22">
        <f t="shared" si="33"/>
        <v>0.1792191336</v>
      </c>
    </row>
    <row r="829" ht="15.75" customHeight="1">
      <c r="A829" s="25">
        <f>IFERROR(__xludf.DUMMYFUNCTION("""COMPUTED_VALUE"""),41950.666666666664)</f>
        <v>41950.66667</v>
      </c>
      <c r="B829" s="22">
        <f>IFERROR(__xludf.DUMMYFUNCTION("""COMPUTED_VALUE"""),2031.92)</f>
        <v>2031.92</v>
      </c>
      <c r="C829" s="22">
        <f t="shared" si="6"/>
        <v>2032.814765</v>
      </c>
      <c r="D829" s="25">
        <f>IFERROR(__xludf.DUMMYFUNCTION("""COMPUTED_VALUE"""),41930.99861111111)</f>
        <v>41930.99861</v>
      </c>
      <c r="E829" s="22">
        <f>IFERROR(__xludf.DUMMYFUNCTION("""COMPUTED_VALUE"""),1.2758)</f>
        <v>1.2758</v>
      </c>
      <c r="F829" s="22">
        <f t="shared" si="8"/>
        <v>175.5680101</v>
      </c>
      <c r="G829" s="22">
        <f t="shared" si="31"/>
        <v>50.91854069</v>
      </c>
      <c r="H829" s="22">
        <f t="shared" si="32"/>
        <v>60.0035764</v>
      </c>
      <c r="I829" s="22">
        <f t="shared" si="3"/>
        <v>0.7838219157</v>
      </c>
      <c r="J829" s="22">
        <f t="shared" si="33"/>
        <v>0.1762815488</v>
      </c>
    </row>
    <row r="830" ht="15.75" customHeight="1">
      <c r="A830" s="25">
        <f>IFERROR(__xludf.DUMMYFUNCTION("""COMPUTED_VALUE"""),41957.66666666667)</f>
        <v>41957.66667</v>
      </c>
      <c r="B830" s="22">
        <f>IFERROR(__xludf.DUMMYFUNCTION("""COMPUTED_VALUE"""),2039.82)</f>
        <v>2039.82</v>
      </c>
      <c r="C830" s="22">
        <f t="shared" si="6"/>
        <v>2040.720915</v>
      </c>
      <c r="D830" s="25">
        <f>IFERROR(__xludf.DUMMYFUNCTION("""COMPUTED_VALUE"""),41937.99861111111)</f>
        <v>41937.99861</v>
      </c>
      <c r="E830" s="22">
        <f>IFERROR(__xludf.DUMMYFUNCTION("""COMPUTED_VALUE"""),1.2669)</f>
        <v>1.2669</v>
      </c>
      <c r="F830" s="22">
        <f t="shared" si="8"/>
        <v>175.0213116</v>
      </c>
      <c r="G830" s="22">
        <f t="shared" si="31"/>
        <v>42.16979394</v>
      </c>
      <c r="H830" s="22">
        <f t="shared" si="32"/>
        <v>69.32173663</v>
      </c>
      <c r="I830" s="22">
        <f t="shared" si="3"/>
        <v>0.7893282816</v>
      </c>
      <c r="J830" s="22">
        <f t="shared" si="33"/>
        <v>0.162601626</v>
      </c>
    </row>
    <row r="831" ht="15.75" customHeight="1">
      <c r="A831" s="25">
        <f>IFERROR(__xludf.DUMMYFUNCTION("""COMPUTED_VALUE"""),41964.66666666667)</f>
        <v>41964.66667</v>
      </c>
      <c r="B831" s="22">
        <f>IFERROR(__xludf.DUMMYFUNCTION("""COMPUTED_VALUE"""),2063.5)</f>
        <v>2063.5</v>
      </c>
      <c r="C831" s="22">
        <f t="shared" si="6"/>
        <v>2064.404418</v>
      </c>
      <c r="D831" s="25">
        <f>IFERROR(__xludf.DUMMYFUNCTION("""COMPUTED_VALUE"""),41944.99861111111)</f>
        <v>41944.99861</v>
      </c>
      <c r="E831" s="22">
        <f>IFERROR(__xludf.DUMMYFUNCTION("""COMPUTED_VALUE"""),1.2523)</f>
        <v>1.2523</v>
      </c>
      <c r="F831" s="22">
        <f t="shared" si="8"/>
        <v>175.0121269</v>
      </c>
      <c r="G831" s="22">
        <f t="shared" si="31"/>
        <v>50.00254634</v>
      </c>
      <c r="H831" s="22">
        <f t="shared" si="32"/>
        <v>62.84826543</v>
      </c>
      <c r="I831" s="22">
        <f t="shared" si="3"/>
        <v>0.7985307035</v>
      </c>
      <c r="J831" s="22">
        <f t="shared" si="33"/>
        <v>0.185019564</v>
      </c>
    </row>
    <row r="832" ht="15.75" customHeight="1">
      <c r="A832" s="25">
        <f>IFERROR(__xludf.DUMMYFUNCTION("""COMPUTED_VALUE"""),41971.66666666667)</f>
        <v>41971.66667</v>
      </c>
      <c r="B832" s="22">
        <f>IFERROR(__xludf.DUMMYFUNCTION("""COMPUTED_VALUE"""),2067.56)</f>
        <v>2067.56</v>
      </c>
      <c r="C832" s="22">
        <f t="shared" si="6"/>
        <v>2068.474917</v>
      </c>
      <c r="D832" s="25">
        <f>IFERROR(__xludf.DUMMYFUNCTION("""COMPUTED_VALUE"""),41951.99861111111)</f>
        <v>41951.99861</v>
      </c>
      <c r="E832" s="22">
        <f>IFERROR(__xludf.DUMMYFUNCTION("""COMPUTED_VALUE"""),1.24529)</f>
        <v>1.24529</v>
      </c>
      <c r="F832" s="22">
        <f t="shared" si="8"/>
        <v>174.3756108</v>
      </c>
      <c r="G832" s="22">
        <f t="shared" si="31"/>
        <v>47.85913062</v>
      </c>
      <c r="H832" s="22">
        <f t="shared" si="32"/>
        <v>57.99667767</v>
      </c>
      <c r="I832" s="22">
        <f t="shared" si="3"/>
        <v>0.8030258012</v>
      </c>
      <c r="J832" s="22">
        <f t="shared" si="33"/>
        <v>0.1967493516</v>
      </c>
    </row>
    <row r="833" ht="15.75" customHeight="1">
      <c r="A833" s="25">
        <f>IFERROR(__xludf.DUMMYFUNCTION("""COMPUTED_VALUE"""),41978.66666666667)</f>
        <v>41978.66667</v>
      </c>
      <c r="B833" s="22">
        <f>IFERROR(__xludf.DUMMYFUNCTION("""COMPUTED_VALUE"""),2075.37)</f>
        <v>2075.37</v>
      </c>
      <c r="C833" s="22">
        <f t="shared" si="6"/>
        <v>2076.286717</v>
      </c>
      <c r="D833" s="25">
        <f>IFERROR(__xludf.DUMMYFUNCTION("""COMPUTED_VALUE"""),41958.99861111111)</f>
        <v>41958.99861</v>
      </c>
      <c r="E833" s="22">
        <f>IFERROR(__xludf.DUMMYFUNCTION("""COMPUTED_VALUE"""),1.2524)</f>
        <v>1.2524</v>
      </c>
      <c r="F833" s="22">
        <f t="shared" si="8"/>
        <v>176.0335174</v>
      </c>
      <c r="G833" s="22">
        <f t="shared" si="31"/>
        <v>58.16458324</v>
      </c>
      <c r="H833" s="22">
        <f t="shared" si="32"/>
        <v>60.26648005</v>
      </c>
      <c r="I833" s="22">
        <f t="shared" si="3"/>
        <v>0.7984669435</v>
      </c>
      <c r="J833" s="22">
        <f t="shared" si="33"/>
        <v>0.186521878</v>
      </c>
    </row>
    <row r="834" ht="15.75" customHeight="1">
      <c r="A834" s="25">
        <f>IFERROR(__xludf.DUMMYFUNCTION("""COMPUTED_VALUE"""),41985.66666666667)</f>
        <v>41985.66667</v>
      </c>
      <c r="B834" s="22">
        <f>IFERROR(__xludf.DUMMYFUNCTION("""COMPUTED_VALUE"""),2002.33)</f>
        <v>2002.33</v>
      </c>
      <c r="C834" s="22">
        <f t="shared" si="6"/>
        <v>2003.25018</v>
      </c>
      <c r="D834" s="25">
        <f>IFERROR(__xludf.DUMMYFUNCTION("""COMPUTED_VALUE"""),41965.99861111111)</f>
        <v>41965.99861</v>
      </c>
      <c r="E834" s="22">
        <f>IFERROR(__xludf.DUMMYFUNCTION("""COMPUTED_VALUE"""),1.239)</f>
        <v>1.239</v>
      </c>
      <c r="F834" s="22">
        <f t="shared" si="8"/>
        <v>168.0240618</v>
      </c>
      <c r="G834" s="22">
        <f t="shared" si="31"/>
        <v>61.70519347</v>
      </c>
      <c r="H834" s="22">
        <f t="shared" si="32"/>
        <v>51.70345095</v>
      </c>
      <c r="I834" s="22">
        <f t="shared" si="3"/>
        <v>0.807102502</v>
      </c>
      <c r="J834" s="22">
        <f t="shared" si="33"/>
        <v>0.2092816788</v>
      </c>
    </row>
    <row r="835" ht="15.75" customHeight="1">
      <c r="A835" s="25">
        <f>IFERROR(__xludf.DUMMYFUNCTION("""COMPUTED_VALUE"""),41992.66666666667)</f>
        <v>41992.66667</v>
      </c>
      <c r="B835" s="22">
        <f>IFERROR(__xludf.DUMMYFUNCTION("""COMPUTED_VALUE"""),2070.65)</f>
        <v>2070.65</v>
      </c>
      <c r="C835" s="22">
        <f t="shared" si="6"/>
        <v>2071.537795</v>
      </c>
      <c r="D835" s="25">
        <f>IFERROR(__xludf.DUMMYFUNCTION("""COMPUTED_VALUE"""),41972.99861111111)</f>
        <v>41972.99861</v>
      </c>
      <c r="E835" s="22">
        <f>IFERROR(__xludf.DUMMYFUNCTION("""COMPUTED_VALUE"""),1.245)</f>
        <v>1.245</v>
      </c>
      <c r="F835" s="22">
        <f t="shared" si="8"/>
        <v>174.5931479</v>
      </c>
      <c r="G835" s="22">
        <f t="shared" si="31"/>
        <v>54.56954223</v>
      </c>
      <c r="H835" s="22">
        <f t="shared" si="32"/>
        <v>56.91060237</v>
      </c>
      <c r="I835" s="22">
        <f t="shared" si="3"/>
        <v>0.8032128514</v>
      </c>
      <c r="J835" s="22">
        <f t="shared" si="33"/>
        <v>0.1931726908</v>
      </c>
    </row>
    <row r="836" ht="15.75" customHeight="1">
      <c r="A836" s="25">
        <f>IFERROR(__xludf.DUMMYFUNCTION("""COMPUTED_VALUE"""),41999.66666666667)</f>
        <v>41999.66667</v>
      </c>
      <c r="B836" s="22">
        <f>IFERROR(__xludf.DUMMYFUNCTION("""COMPUTED_VALUE"""),2088.77)</f>
        <v>2088.77</v>
      </c>
      <c r="C836" s="22">
        <f t="shared" si="6"/>
        <v>2089.688087</v>
      </c>
      <c r="D836" s="25">
        <f>IFERROR(__xludf.DUMMYFUNCTION("""COMPUTED_VALUE"""),41979.99861111111)</f>
        <v>41979.99861</v>
      </c>
      <c r="E836" s="22">
        <f>IFERROR(__xludf.DUMMYFUNCTION("""COMPUTED_VALUE"""),1.2285)</f>
        <v>1.2285</v>
      </c>
      <c r="F836" s="22">
        <f t="shared" si="8"/>
        <v>173.7887302</v>
      </c>
      <c r="G836" s="22">
        <f t="shared" si="31"/>
        <v>52.96333778</v>
      </c>
      <c r="H836" s="22">
        <f t="shared" si="32"/>
        <v>58.67903859</v>
      </c>
      <c r="I836" s="22">
        <f t="shared" si="3"/>
        <v>0.814000814</v>
      </c>
      <c r="J836" s="22">
        <f t="shared" si="33"/>
        <v>0.1897435897</v>
      </c>
    </row>
    <row r="837" ht="15.75" customHeight="1">
      <c r="A837" s="25">
        <f>IFERROR(__xludf.DUMMYFUNCTION("""COMPUTED_VALUE"""),42006.66666666667)</f>
        <v>42006.66667</v>
      </c>
      <c r="B837" s="22">
        <f>IFERROR(__xludf.DUMMYFUNCTION("""COMPUTED_VALUE"""),2058.2)</f>
        <v>2058.2</v>
      </c>
      <c r="C837" s="22">
        <f t="shared" si="6"/>
        <v>2059.126121</v>
      </c>
      <c r="D837" s="25">
        <f>IFERROR(__xludf.DUMMYFUNCTION("""COMPUTED_VALUE"""),41986.99861111111)</f>
        <v>41986.99861</v>
      </c>
      <c r="E837" s="22">
        <f>IFERROR(__xludf.DUMMYFUNCTION("""COMPUTED_VALUE"""),1.2462)</f>
        <v>1.2462</v>
      </c>
      <c r="F837" s="22">
        <f t="shared" si="8"/>
        <v>173.7143426</v>
      </c>
      <c r="G837" s="22">
        <f t="shared" si="31"/>
        <v>61.22151636</v>
      </c>
      <c r="H837" s="22">
        <f t="shared" si="32"/>
        <v>62.19611019</v>
      </c>
      <c r="I837" s="22">
        <f t="shared" si="3"/>
        <v>0.8024394158</v>
      </c>
      <c r="J837" s="22">
        <f t="shared" si="33"/>
        <v>0.1510190981</v>
      </c>
    </row>
    <row r="838" ht="15.75" customHeight="1">
      <c r="A838" s="25">
        <f>IFERROR(__xludf.DUMMYFUNCTION("""COMPUTED_VALUE"""),42013.66666666667)</f>
        <v>42013.66667</v>
      </c>
      <c r="B838" s="22">
        <f>IFERROR(__xludf.DUMMYFUNCTION("""COMPUTED_VALUE"""),2044.81)</f>
        <v>2044.81</v>
      </c>
      <c r="C838" s="22">
        <f t="shared" si="6"/>
        <v>2045.722567</v>
      </c>
      <c r="D838" s="25">
        <f>IFERROR(__xludf.DUMMYFUNCTION("""COMPUTED_VALUE"""),41993.99861111111)</f>
        <v>41993.99861</v>
      </c>
      <c r="E838" s="22">
        <f>IFERROR(__xludf.DUMMYFUNCTION("""COMPUTED_VALUE"""),1.2227)</f>
        <v>1.2227</v>
      </c>
      <c r="F838" s="22">
        <f t="shared" si="8"/>
        <v>169.3291119</v>
      </c>
      <c r="G838" s="22">
        <f t="shared" si="31"/>
        <v>51.5419913</v>
      </c>
      <c r="H838" s="22">
        <f t="shared" si="32"/>
        <v>54.34617235</v>
      </c>
      <c r="I838" s="22">
        <f t="shared" si="3"/>
        <v>0.8178621084</v>
      </c>
      <c r="J838" s="22">
        <f t="shared" si="33"/>
        <v>0.1760857119</v>
      </c>
    </row>
    <row r="839" ht="15.75" customHeight="1">
      <c r="A839" s="25">
        <f>IFERROR(__xludf.DUMMYFUNCTION("""COMPUTED_VALUE"""),42020.66666666667)</f>
        <v>42020.66667</v>
      </c>
      <c r="B839" s="22">
        <f>IFERROR(__xludf.DUMMYFUNCTION("""COMPUTED_VALUE"""),2019.42)</f>
        <v>2019.42</v>
      </c>
      <c r="C839" s="22">
        <f t="shared" si="6"/>
        <v>2020.32663</v>
      </c>
      <c r="D839" s="25">
        <f>IFERROR(__xludf.DUMMYFUNCTION("""COMPUTED_VALUE"""),42000.99861111111)</f>
        <v>42000.99861</v>
      </c>
      <c r="E839" s="22">
        <f>IFERROR(__xludf.DUMMYFUNCTION("""COMPUTED_VALUE"""),1.2181)</f>
        <v>1.2181</v>
      </c>
      <c r="F839" s="22">
        <f t="shared" si="8"/>
        <v>166.5978966</v>
      </c>
      <c r="G839" s="22">
        <f t="shared" si="31"/>
        <v>50.9606808</v>
      </c>
      <c r="H839" s="22">
        <f t="shared" si="32"/>
        <v>54.40280701</v>
      </c>
      <c r="I839" s="22">
        <f t="shared" si="3"/>
        <v>0.8209506609</v>
      </c>
      <c r="J839" s="22">
        <f t="shared" si="33"/>
        <v>0.1728922092</v>
      </c>
    </row>
    <row r="840" ht="15.75" customHeight="1">
      <c r="A840" s="25">
        <f>IFERROR(__xludf.DUMMYFUNCTION("""COMPUTED_VALUE"""),42027.66666666667)</f>
        <v>42027.66667</v>
      </c>
      <c r="B840" s="22">
        <f>IFERROR(__xludf.DUMMYFUNCTION("""COMPUTED_VALUE"""),2051.82)</f>
        <v>2051.82</v>
      </c>
      <c r="C840" s="22">
        <f t="shared" si="6"/>
        <v>2052.715373</v>
      </c>
      <c r="D840" s="25">
        <f>IFERROR(__xludf.DUMMYFUNCTION("""COMPUTED_VALUE"""),42007.99861111111)</f>
        <v>42007.99861</v>
      </c>
      <c r="E840" s="22">
        <f>IFERROR(__xludf.DUMMYFUNCTION("""COMPUTED_VALUE"""),1.1998)</f>
        <v>1.1998</v>
      </c>
      <c r="F840" s="22">
        <f t="shared" si="8"/>
        <v>166.7257097</v>
      </c>
      <c r="G840" s="22">
        <f t="shared" si="31"/>
        <v>51.4350647</v>
      </c>
      <c r="H840" s="22">
        <f t="shared" si="32"/>
        <v>49.2895444</v>
      </c>
      <c r="I840" s="22">
        <f t="shared" si="3"/>
        <v>0.8334722454</v>
      </c>
      <c r="J840" s="22">
        <f t="shared" si="33"/>
        <v>0.2003667278</v>
      </c>
    </row>
    <row r="841" ht="15.75" customHeight="1">
      <c r="A841" s="25">
        <f>IFERROR(__xludf.DUMMYFUNCTION("""COMPUTED_VALUE"""),42034.66666666667)</f>
        <v>42034.66667</v>
      </c>
      <c r="B841" s="22">
        <f>IFERROR(__xludf.DUMMYFUNCTION("""COMPUTED_VALUE"""),1994.99)</f>
        <v>1994.99</v>
      </c>
      <c r="C841" s="22">
        <f t="shared" si="6"/>
        <v>1995.899738</v>
      </c>
      <c r="D841" s="25">
        <f>IFERROR(__xludf.DUMMYFUNCTION("""COMPUTED_VALUE"""),42014.99861111111)</f>
        <v>42014.99861</v>
      </c>
      <c r="E841" s="22">
        <f>IFERROR(__xludf.DUMMYFUNCTION("""COMPUTED_VALUE"""),1.1838)</f>
        <v>1.1838</v>
      </c>
      <c r="F841" s="22">
        <f t="shared" si="8"/>
        <v>159.9491878</v>
      </c>
      <c r="G841" s="22">
        <f t="shared" si="31"/>
        <v>44.48532288</v>
      </c>
      <c r="H841" s="22">
        <f t="shared" si="32"/>
        <v>44.50842543</v>
      </c>
      <c r="I841" s="22">
        <f t="shared" si="3"/>
        <v>0.8447372867</v>
      </c>
      <c r="J841" s="22">
        <f t="shared" si="33"/>
        <v>0.2152390607</v>
      </c>
    </row>
    <row r="842" ht="15.75" customHeight="1">
      <c r="A842" s="25">
        <f>IFERROR(__xludf.DUMMYFUNCTION("""COMPUTED_VALUE"""),42041.66666666667)</f>
        <v>42041.66667</v>
      </c>
      <c r="B842" s="22">
        <f>IFERROR(__xludf.DUMMYFUNCTION("""COMPUTED_VALUE"""),2055.47)</f>
        <v>2055.47</v>
      </c>
      <c r="C842" s="22">
        <f t="shared" si="6"/>
        <v>2056.354541</v>
      </c>
      <c r="D842" s="25">
        <f>IFERROR(__xludf.DUMMYFUNCTION("""COMPUTED_VALUE"""),42021.99861111111)</f>
        <v>42021.99861</v>
      </c>
      <c r="E842" s="22">
        <f>IFERROR(__xludf.DUMMYFUNCTION("""COMPUTED_VALUE"""),1.1571)</f>
        <v>1.1571</v>
      </c>
      <c r="F842" s="22">
        <f t="shared" si="8"/>
        <v>161.0771254</v>
      </c>
      <c r="G842" s="22">
        <f t="shared" si="31"/>
        <v>39.66686429</v>
      </c>
      <c r="H842" s="22">
        <f t="shared" si="32"/>
        <v>50.67829855</v>
      </c>
      <c r="I842" s="22">
        <f t="shared" si="3"/>
        <v>0.8642295394</v>
      </c>
      <c r="J842" s="22">
        <f t="shared" si="33"/>
        <v>0.2228847982</v>
      </c>
    </row>
    <row r="843" ht="15.75" customHeight="1">
      <c r="A843" s="25">
        <f>IFERROR(__xludf.DUMMYFUNCTION("""COMPUTED_VALUE"""),42048.66666666667)</f>
        <v>42048.66667</v>
      </c>
      <c r="B843" s="22">
        <f>IFERROR(__xludf.DUMMYFUNCTION("""COMPUTED_VALUE"""),2096.99)</f>
        <v>2096.99</v>
      </c>
      <c r="C843" s="22">
        <f t="shared" si="6"/>
        <v>2097.901357</v>
      </c>
      <c r="D843" s="25">
        <f>IFERROR(__xludf.DUMMYFUNCTION("""COMPUTED_VALUE"""),42028.99861111111)</f>
        <v>42028.99861</v>
      </c>
      <c r="E843" s="22">
        <f>IFERROR(__xludf.DUMMYFUNCTION("""COMPUTED_VALUE"""),1.12)</f>
        <v>1.12</v>
      </c>
      <c r="F843" s="22">
        <f t="shared" si="8"/>
        <v>159.062597</v>
      </c>
      <c r="G843" s="22">
        <f t="shared" si="31"/>
        <v>35.27091669</v>
      </c>
      <c r="H843" s="22">
        <f t="shared" si="32"/>
        <v>57.78177524</v>
      </c>
      <c r="I843" s="22">
        <f t="shared" si="3"/>
        <v>0.8928571429</v>
      </c>
      <c r="J843" s="22">
        <f t="shared" si="33"/>
        <v>0.2375892857</v>
      </c>
    </row>
    <row r="844" ht="15.75" customHeight="1">
      <c r="A844" s="25">
        <f>IFERROR(__xludf.DUMMYFUNCTION("""COMPUTED_VALUE"""),42055.66666666667)</f>
        <v>42055.66667</v>
      </c>
      <c r="B844" s="22">
        <f>IFERROR(__xludf.DUMMYFUNCTION("""COMPUTED_VALUE"""),2110.3)</f>
        <v>2110.3</v>
      </c>
      <c r="C844" s="22">
        <f t="shared" si="6"/>
        <v>2111.229766</v>
      </c>
      <c r="D844" s="25">
        <f>IFERROR(__xludf.DUMMYFUNCTION("""COMPUTED_VALUE"""),42035.99861111111)</f>
        <v>42035.99861</v>
      </c>
      <c r="E844" s="22">
        <f>IFERROR(__xludf.DUMMYFUNCTION("""COMPUTED_VALUE"""),1.1286)</f>
        <v>1.1286</v>
      </c>
      <c r="F844" s="22">
        <f t="shared" si="8"/>
        <v>161.3022883</v>
      </c>
      <c r="G844" s="22">
        <f t="shared" si="31"/>
        <v>34.63944334</v>
      </c>
      <c r="H844" s="22">
        <f t="shared" si="32"/>
        <v>64.20274627</v>
      </c>
      <c r="I844" s="22">
        <f t="shared" si="3"/>
        <v>0.8860535176</v>
      </c>
      <c r="J844" s="22">
        <f t="shared" si="33"/>
        <v>0.2053872054</v>
      </c>
    </row>
    <row r="845" ht="15.75" customHeight="1">
      <c r="A845" s="25">
        <f>IFERROR(__xludf.DUMMYFUNCTION("""COMPUTED_VALUE"""),42062.66666666667)</f>
        <v>42062.66667</v>
      </c>
      <c r="B845" s="22">
        <f>IFERROR(__xludf.DUMMYFUNCTION("""COMPUTED_VALUE"""),2104.5)</f>
        <v>2104.5</v>
      </c>
      <c r="C845" s="22">
        <f t="shared" si="6"/>
        <v>2105.435667</v>
      </c>
      <c r="D845" s="25">
        <f>IFERROR(__xludf.DUMMYFUNCTION("""COMPUTED_VALUE"""),42042.99861111111)</f>
        <v>42042.99861</v>
      </c>
      <c r="E845" s="22">
        <f>IFERROR(__xludf.DUMMYFUNCTION("""COMPUTED_VALUE"""),1.1309)</f>
        <v>1.1309</v>
      </c>
      <c r="F845" s="22">
        <f t="shared" si="8"/>
        <v>161.1874268</v>
      </c>
      <c r="G845" s="22">
        <f t="shared" si="31"/>
        <v>34.33969703</v>
      </c>
      <c r="H845" s="22">
        <f t="shared" si="32"/>
        <v>62.52049912</v>
      </c>
      <c r="I845" s="22">
        <f t="shared" si="3"/>
        <v>0.8842514811</v>
      </c>
      <c r="J845" s="22">
        <f t="shared" si="33"/>
        <v>0.2040056592</v>
      </c>
    </row>
    <row r="846" ht="15.75" customHeight="1">
      <c r="A846" s="25">
        <f>IFERROR(__xludf.DUMMYFUNCTION("""COMPUTED_VALUE"""),42069.66666666667)</f>
        <v>42069.66667</v>
      </c>
      <c r="B846" s="22">
        <f>IFERROR(__xludf.DUMMYFUNCTION("""COMPUTED_VALUE"""),2071.26)</f>
        <v>2071.26</v>
      </c>
      <c r="C846" s="22">
        <f t="shared" si="6"/>
        <v>2072.193095</v>
      </c>
      <c r="D846" s="25">
        <f>IFERROR(__xludf.DUMMYFUNCTION("""COMPUTED_VALUE"""),42049.99861111111)</f>
        <v>42049.99861</v>
      </c>
      <c r="E846" s="22">
        <f>IFERROR(__xludf.DUMMYFUNCTION("""COMPUTED_VALUE"""),1.1378)</f>
        <v>1.1378</v>
      </c>
      <c r="F846" s="22">
        <f t="shared" si="8"/>
        <v>159.610381</v>
      </c>
      <c r="G846" s="22">
        <f t="shared" si="31"/>
        <v>31.74869976</v>
      </c>
      <c r="H846" s="22">
        <f t="shared" si="32"/>
        <v>56.98317293</v>
      </c>
      <c r="I846" s="22">
        <f t="shared" si="3"/>
        <v>0.8788890842</v>
      </c>
      <c r="J846" s="22">
        <f t="shared" si="33"/>
        <v>0.1895763755</v>
      </c>
    </row>
    <row r="847" ht="15.75" customHeight="1">
      <c r="A847" s="25">
        <f>IFERROR(__xludf.DUMMYFUNCTION("""COMPUTED_VALUE"""),42076.66666666667)</f>
        <v>42076.66667</v>
      </c>
      <c r="B847" s="22">
        <f>IFERROR(__xludf.DUMMYFUNCTION("""COMPUTED_VALUE"""),2053.4)</f>
        <v>2053.4</v>
      </c>
      <c r="C847" s="22">
        <f t="shared" si="6"/>
        <v>2054.318357</v>
      </c>
      <c r="D847" s="25">
        <f>IFERROR(__xludf.DUMMYFUNCTION("""COMPUTED_VALUE"""),42056.99861111111)</f>
        <v>42056.99861</v>
      </c>
      <c r="E847" s="22">
        <f>IFERROR(__xludf.DUMMYFUNCTION("""COMPUTED_VALUE"""),1.138)</f>
        <v>1.138</v>
      </c>
      <c r="F847" s="22">
        <f t="shared" si="8"/>
        <v>158.2613957</v>
      </c>
      <c r="G847" s="22">
        <f t="shared" si="31"/>
        <v>27.24030318</v>
      </c>
      <c r="H847" s="22">
        <f t="shared" si="32"/>
        <v>54.91717926</v>
      </c>
      <c r="I847" s="22">
        <f t="shared" si="3"/>
        <v>0.8787346221</v>
      </c>
      <c r="J847" s="22">
        <f t="shared" si="33"/>
        <v>0.2000878735</v>
      </c>
    </row>
    <row r="848" ht="15.75" customHeight="1">
      <c r="A848" s="25">
        <f>IFERROR(__xludf.DUMMYFUNCTION("""COMPUTED_VALUE"""),42083.66666666667)</f>
        <v>42083.66667</v>
      </c>
      <c r="B848" s="22">
        <f>IFERROR(__xludf.DUMMYFUNCTION("""COMPUTED_VALUE"""),2108.1)</f>
        <v>2108.1</v>
      </c>
      <c r="C848" s="22">
        <f t="shared" si="6"/>
        <v>2109.010439</v>
      </c>
      <c r="D848" s="25">
        <f>IFERROR(__xludf.DUMMYFUNCTION("""COMPUTED_VALUE"""),42063.99861111111)</f>
        <v>42063.99861</v>
      </c>
      <c r="E848" s="22">
        <f>IFERROR(__xludf.DUMMYFUNCTION("""COMPUTED_VALUE"""),1.119)</f>
        <v>1.119</v>
      </c>
      <c r="F848" s="22">
        <f t="shared" si="8"/>
        <v>159.7621139</v>
      </c>
      <c r="G848" s="22">
        <f t="shared" si="31"/>
        <v>30.46882647</v>
      </c>
      <c r="H848" s="22">
        <f t="shared" si="32"/>
        <v>52.25876253</v>
      </c>
      <c r="I848" s="22">
        <f t="shared" si="3"/>
        <v>0.8936550492</v>
      </c>
      <c r="J848" s="22">
        <f t="shared" si="33"/>
        <v>0.2159070599</v>
      </c>
    </row>
    <row r="849" ht="15.75" customHeight="1">
      <c r="A849" s="25">
        <f>IFERROR(__xludf.DUMMYFUNCTION("""COMPUTED_VALUE"""),42090.66666666667)</f>
        <v>42090.66667</v>
      </c>
      <c r="B849" s="22">
        <f>IFERROR(__xludf.DUMMYFUNCTION("""COMPUTED_VALUE"""),2061.02)</f>
        <v>2061.02</v>
      </c>
      <c r="C849" s="22">
        <f t="shared" si="6"/>
        <v>2061.954692</v>
      </c>
      <c r="D849" s="25">
        <f>IFERROR(__xludf.DUMMYFUNCTION("""COMPUTED_VALUE"""),42070.99861111111)</f>
        <v>42070.99861</v>
      </c>
      <c r="E849" s="22">
        <f>IFERROR(__xludf.DUMMYFUNCTION("""COMPUTED_VALUE"""),1.0844)</f>
        <v>1.0844</v>
      </c>
      <c r="F849" s="22">
        <f t="shared" si="8"/>
        <v>151.3678385</v>
      </c>
      <c r="G849" s="22">
        <f t="shared" si="31"/>
        <v>24.2547723</v>
      </c>
      <c r="H849" s="22">
        <f t="shared" si="32"/>
        <v>41.19123003</v>
      </c>
      <c r="I849" s="22">
        <f t="shared" si="3"/>
        <v>0.9221689414</v>
      </c>
      <c r="J849" s="22">
        <f t="shared" si="33"/>
        <v>0.2693655478</v>
      </c>
    </row>
    <row r="850" ht="15.75" customHeight="1">
      <c r="A850" s="25">
        <f>IFERROR(__xludf.DUMMYFUNCTION("""COMPUTED_VALUE"""),42096.66666666667)</f>
        <v>42096.66667</v>
      </c>
      <c r="B850" s="22">
        <f>IFERROR(__xludf.DUMMYFUNCTION("""COMPUTED_VALUE"""),2066.96)</f>
        <v>2066.96</v>
      </c>
      <c r="C850" s="22">
        <f t="shared" si="6"/>
        <v>2067.873817</v>
      </c>
      <c r="D850" s="25">
        <f>IFERROR(__xludf.DUMMYFUNCTION("""COMPUTED_VALUE"""),42077.99861111111)</f>
        <v>42077.99861</v>
      </c>
      <c r="E850" s="22">
        <f>IFERROR(__xludf.DUMMYFUNCTION("""COMPUTED_VALUE"""),1.0495)</f>
        <v>1.0495</v>
      </c>
      <c r="F850" s="22">
        <f t="shared" si="8"/>
        <v>146.9167998</v>
      </c>
      <c r="G850" s="22">
        <f t="shared" si="31"/>
        <v>17.26844795</v>
      </c>
      <c r="H850" s="22">
        <f t="shared" si="32"/>
        <v>38.22839375</v>
      </c>
      <c r="I850" s="22">
        <f t="shared" si="3"/>
        <v>0.9528346832</v>
      </c>
      <c r="J850" s="22">
        <f t="shared" si="33"/>
        <v>0.2891853263</v>
      </c>
    </row>
    <row r="851" ht="15.75" customHeight="1">
      <c r="A851" s="25">
        <f>IFERROR(__xludf.DUMMYFUNCTION("""COMPUTED_VALUE"""),42104.66666666667)</f>
        <v>42104.66667</v>
      </c>
      <c r="B851" s="22">
        <f>IFERROR(__xludf.DUMMYFUNCTION("""COMPUTED_VALUE"""),2102.06)</f>
        <v>2102.06</v>
      </c>
      <c r="C851" s="22">
        <f t="shared" si="6"/>
        <v>2102.976451</v>
      </c>
      <c r="D851" s="25">
        <f>IFERROR(__xludf.DUMMYFUNCTION("""COMPUTED_VALUE"""),42084.99861111111)</f>
        <v>42084.99861</v>
      </c>
      <c r="E851" s="22">
        <f>IFERROR(__xludf.DUMMYFUNCTION("""COMPUTED_VALUE"""),1.0814)</f>
        <v>1.0814</v>
      </c>
      <c r="F851" s="22">
        <f t="shared" si="8"/>
        <v>153.9521496</v>
      </c>
      <c r="G851" s="22">
        <f t="shared" si="31"/>
        <v>22.63768858</v>
      </c>
      <c r="H851" s="22">
        <f t="shared" si="32"/>
        <v>45.55524195</v>
      </c>
      <c r="I851" s="22">
        <f t="shared" si="3"/>
        <v>0.9247272055</v>
      </c>
      <c r="J851" s="22">
        <f t="shared" si="33"/>
        <v>0.23793231</v>
      </c>
    </row>
    <row r="852" ht="15.75" customHeight="1">
      <c r="A852" s="25">
        <f>IFERROR(__xludf.DUMMYFUNCTION("""COMPUTED_VALUE"""),42111.66666666667)</f>
        <v>42111.66667</v>
      </c>
      <c r="B852" s="22">
        <f>IFERROR(__xludf.DUMMYFUNCTION("""COMPUTED_VALUE"""),2081.18)</f>
        <v>2081.18</v>
      </c>
      <c r="C852" s="22">
        <f t="shared" si="6"/>
        <v>2082.112014</v>
      </c>
      <c r="D852" s="25">
        <f>IFERROR(__xludf.DUMMYFUNCTION("""COMPUTED_VALUE"""),42091.99861111111)</f>
        <v>42091.99861</v>
      </c>
      <c r="E852" s="22">
        <f>IFERROR(__xludf.DUMMYFUNCTION("""COMPUTED_VALUE"""),1.0893)</f>
        <v>1.0893</v>
      </c>
      <c r="F852" s="22">
        <f t="shared" si="8"/>
        <v>153.5382464</v>
      </c>
      <c r="G852" s="22">
        <f t="shared" si="31"/>
        <v>20.65829945</v>
      </c>
      <c r="H852" s="22">
        <f t="shared" si="32"/>
        <v>42.55327707</v>
      </c>
      <c r="I852" s="22">
        <f t="shared" si="3"/>
        <v>0.9180207473</v>
      </c>
      <c r="J852" s="22">
        <f t="shared" si="33"/>
        <v>0.2392362067</v>
      </c>
    </row>
    <row r="853" ht="15.75" customHeight="1">
      <c r="A853" s="25">
        <f>IFERROR(__xludf.DUMMYFUNCTION("""COMPUTED_VALUE"""),42118.66666666667)</f>
        <v>42118.66667</v>
      </c>
      <c r="B853" s="22">
        <f>IFERROR(__xludf.DUMMYFUNCTION("""COMPUTED_VALUE"""),2117.69)</f>
        <v>2117.69</v>
      </c>
      <c r="C853" s="22">
        <f t="shared" si="6"/>
        <v>2118.612756</v>
      </c>
      <c r="D853" s="25">
        <f>IFERROR(__xludf.DUMMYFUNCTION("""COMPUTED_VALUE"""),42098.99861111111)</f>
        <v>42098.99861</v>
      </c>
      <c r="E853" s="22">
        <f>IFERROR(__xludf.DUMMYFUNCTION("""COMPUTED_VALUE"""),1.0963)</f>
        <v>1.0963</v>
      </c>
      <c r="F853" s="22">
        <f t="shared" si="8"/>
        <v>157.2338249</v>
      </c>
      <c r="G853" s="22">
        <f t="shared" si="31"/>
        <v>26.81852322</v>
      </c>
      <c r="H853" s="22">
        <f t="shared" si="32"/>
        <v>43.99606355</v>
      </c>
      <c r="I853" s="22">
        <f t="shared" si="3"/>
        <v>0.9121590805</v>
      </c>
      <c r="J853" s="22">
        <f t="shared" si="33"/>
        <v>0.2313235428</v>
      </c>
    </row>
    <row r="854" ht="15.75" customHeight="1">
      <c r="A854" s="25">
        <f>IFERROR(__xludf.DUMMYFUNCTION("""COMPUTED_VALUE"""),42125.66666666667)</f>
        <v>42125.66667</v>
      </c>
      <c r="B854" s="22">
        <f>IFERROR(__xludf.DUMMYFUNCTION("""COMPUTED_VALUE"""),2108.29)</f>
        <v>2108.29</v>
      </c>
      <c r="C854" s="22">
        <f t="shared" si="6"/>
        <v>2109.228944</v>
      </c>
      <c r="D854" s="25">
        <f>IFERROR(__xludf.DUMMYFUNCTION("""COMPUTED_VALUE"""),42105.99861111111)</f>
        <v>42105.99861</v>
      </c>
      <c r="E854" s="22">
        <f>IFERROR(__xludf.DUMMYFUNCTION("""COMPUTED_VALUE"""),1.0608)</f>
        <v>1.0608</v>
      </c>
      <c r="F854" s="22">
        <f t="shared" si="8"/>
        <v>151.468462</v>
      </c>
      <c r="G854" s="22">
        <f t="shared" si="31"/>
        <v>24.77192759</v>
      </c>
      <c r="H854" s="22">
        <f t="shared" si="32"/>
        <v>39.14070667</v>
      </c>
      <c r="I854" s="22">
        <f t="shared" si="3"/>
        <v>0.9426847662</v>
      </c>
      <c r="J854" s="22">
        <f t="shared" si="33"/>
        <v>0.2710218703</v>
      </c>
    </row>
    <row r="855" ht="15.75" customHeight="1">
      <c r="A855" s="25">
        <f>IFERROR(__xludf.DUMMYFUNCTION("""COMPUTED_VALUE"""),42132.66666666667)</f>
        <v>42132.66667</v>
      </c>
      <c r="B855" s="22">
        <f>IFERROR(__xludf.DUMMYFUNCTION("""COMPUTED_VALUE"""),2116.1)</f>
        <v>2116.1</v>
      </c>
      <c r="C855" s="22">
        <f t="shared" si="6"/>
        <v>2117.034776</v>
      </c>
      <c r="D855" s="25">
        <f>IFERROR(__xludf.DUMMYFUNCTION("""COMPUTED_VALUE"""),42112.99861111111)</f>
        <v>42112.99861</v>
      </c>
      <c r="E855" s="22">
        <f>IFERROR(__xludf.DUMMYFUNCTION("""COMPUTED_VALUE"""),1.0804)</f>
        <v>1.0804</v>
      </c>
      <c r="F855" s="22">
        <f t="shared" si="8"/>
        <v>154.8379989</v>
      </c>
      <c r="G855" s="22">
        <f t="shared" si="31"/>
        <v>25.49829273</v>
      </c>
      <c r="H855" s="22">
        <f t="shared" si="32"/>
        <v>40.36052104</v>
      </c>
      <c r="I855" s="22">
        <f t="shared" si="3"/>
        <v>0.9255831174</v>
      </c>
      <c r="J855" s="22">
        <f t="shared" si="33"/>
        <v>0.2385227693</v>
      </c>
    </row>
    <row r="856" ht="15.75" customHeight="1">
      <c r="A856" s="25">
        <f>IFERROR(__xludf.DUMMYFUNCTION("""COMPUTED_VALUE"""),42139.66666666667)</f>
        <v>42139.66667</v>
      </c>
      <c r="B856" s="22">
        <f>IFERROR(__xludf.DUMMYFUNCTION("""COMPUTED_VALUE"""),2122.73)</f>
        <v>2122.73</v>
      </c>
      <c r="C856" s="22">
        <f t="shared" si="6"/>
        <v>2123.668239</v>
      </c>
      <c r="D856" s="25">
        <f>IFERROR(__xludf.DUMMYFUNCTION("""COMPUTED_VALUE"""),42119.99861111111)</f>
        <v>42119.99861</v>
      </c>
      <c r="E856" s="22">
        <f>IFERROR(__xludf.DUMMYFUNCTION("""COMPUTED_VALUE"""),1.08725)</f>
        <v>1.08725</v>
      </c>
      <c r="F856" s="22">
        <f t="shared" si="8"/>
        <v>156.3079512</v>
      </c>
      <c r="G856" s="22">
        <f t="shared" si="31"/>
        <v>24.35469997</v>
      </c>
      <c r="H856" s="22">
        <f t="shared" si="32"/>
        <v>46.22771304</v>
      </c>
      <c r="I856" s="22">
        <f t="shared" si="3"/>
        <v>0.919751667</v>
      </c>
      <c r="J856" s="22">
        <f t="shared" si="33"/>
        <v>0.2232697172</v>
      </c>
    </row>
    <row r="857" ht="15.75" customHeight="1">
      <c r="A857" s="25">
        <f>IFERROR(__xludf.DUMMYFUNCTION("""COMPUTED_VALUE"""),42146.66666666667)</f>
        <v>42146.66667</v>
      </c>
      <c r="B857" s="22">
        <f>IFERROR(__xludf.DUMMYFUNCTION("""COMPUTED_VALUE"""),2126.06)</f>
        <v>2126.06</v>
      </c>
      <c r="C857" s="22">
        <f t="shared" si="6"/>
        <v>2127.001178</v>
      </c>
      <c r="D857" s="25">
        <f>IFERROR(__xludf.DUMMYFUNCTION("""COMPUTED_VALUE"""),42126.99861111111)</f>
        <v>42126.99861</v>
      </c>
      <c r="E857" s="22">
        <f>IFERROR(__xludf.DUMMYFUNCTION("""COMPUTED_VALUE"""),1.1195)</f>
        <v>1.1195</v>
      </c>
      <c r="F857" s="22">
        <f t="shared" si="8"/>
        <v>161.1969465</v>
      </c>
      <c r="G857" s="22">
        <f t="shared" si="31"/>
        <v>32.89798024</v>
      </c>
      <c r="H857" s="22">
        <f t="shared" si="32"/>
        <v>68.46132407</v>
      </c>
      <c r="I857" s="22">
        <f t="shared" si="3"/>
        <v>0.8932559178</v>
      </c>
      <c r="J857" s="22">
        <f t="shared" si="33"/>
        <v>0.1360428763</v>
      </c>
    </row>
    <row r="858" ht="15.75" customHeight="1">
      <c r="A858" s="25">
        <f>IFERROR(__xludf.DUMMYFUNCTION("""COMPUTED_VALUE"""),42153.66666666667)</f>
        <v>42153.66667</v>
      </c>
      <c r="B858" s="22">
        <f>IFERROR(__xludf.DUMMYFUNCTION("""COMPUTED_VALUE"""),2107.39)</f>
        <v>2107.39</v>
      </c>
      <c r="C858" s="22">
        <f t="shared" si="6"/>
        <v>2108.332655</v>
      </c>
      <c r="D858" s="25">
        <f>IFERROR(__xludf.DUMMYFUNCTION("""COMPUTED_VALUE"""),42133.99861111111)</f>
        <v>42133.99861</v>
      </c>
      <c r="E858" s="22">
        <f>IFERROR(__xludf.DUMMYFUNCTION("""COMPUTED_VALUE"""),1.1192)</f>
        <v>1.1192</v>
      </c>
      <c r="F858" s="22">
        <f t="shared" si="8"/>
        <v>159.7393156</v>
      </c>
      <c r="G858" s="22">
        <f t="shared" si="31"/>
        <v>34.94858716</v>
      </c>
      <c r="H858" s="22">
        <f t="shared" si="32"/>
        <v>68.04253124</v>
      </c>
      <c r="I858" s="22">
        <f t="shared" si="3"/>
        <v>0.8934953538</v>
      </c>
      <c r="J858" s="22">
        <f t="shared" si="33"/>
        <v>0.1042709078</v>
      </c>
    </row>
    <row r="859" ht="15.75" customHeight="1">
      <c r="A859" s="25">
        <f>IFERROR(__xludf.DUMMYFUNCTION("""COMPUTED_VALUE"""),42160.66666666667)</f>
        <v>42160.66667</v>
      </c>
      <c r="B859" s="22">
        <f>IFERROR(__xludf.DUMMYFUNCTION("""COMPUTED_VALUE"""),2092.83)</f>
        <v>2092.83</v>
      </c>
      <c r="C859" s="22">
        <f t="shared" si="6"/>
        <v>2093.764377</v>
      </c>
      <c r="D859" s="25">
        <f>IFERROR(__xludf.DUMMYFUNCTION("""COMPUTED_VALUE"""),42140.99861111111)</f>
        <v>42140.99861</v>
      </c>
      <c r="E859" s="22">
        <f>IFERROR(__xludf.DUMMYFUNCTION("""COMPUTED_VALUE"""),1.1447)</f>
        <v>1.1447</v>
      </c>
      <c r="F859" s="22">
        <f t="shared" si="8"/>
        <v>162.2499127</v>
      </c>
      <c r="G859" s="22">
        <f t="shared" si="31"/>
        <v>44.72512528</v>
      </c>
      <c r="H859" s="22">
        <f t="shared" si="32"/>
        <v>75.03671321</v>
      </c>
      <c r="I859" s="22">
        <f t="shared" si="3"/>
        <v>0.873591334</v>
      </c>
      <c r="J859" s="22">
        <f t="shared" si="33"/>
        <v>0.09923997554</v>
      </c>
    </row>
    <row r="860" ht="15.75" customHeight="1">
      <c r="A860" s="25">
        <f>IFERROR(__xludf.DUMMYFUNCTION("""COMPUTED_VALUE"""),42167.66666666667)</f>
        <v>42167.66667</v>
      </c>
      <c r="B860" s="22">
        <f>IFERROR(__xludf.DUMMYFUNCTION("""COMPUTED_VALUE"""),2094.11)</f>
        <v>2094.11</v>
      </c>
      <c r="C860" s="22">
        <f t="shared" si="6"/>
        <v>2095.037921</v>
      </c>
      <c r="D860" s="25">
        <f>IFERROR(__xludf.DUMMYFUNCTION("""COMPUTED_VALUE"""),42147.99861111111)</f>
        <v>42147.99861</v>
      </c>
      <c r="E860" s="22">
        <f>IFERROR(__xludf.DUMMYFUNCTION("""COMPUTED_VALUE"""),1.1012)</f>
        <v>1.1012</v>
      </c>
      <c r="F860" s="22">
        <f t="shared" si="8"/>
        <v>156.1791567</v>
      </c>
      <c r="G860" s="22">
        <f t="shared" si="31"/>
        <v>39.80172495</v>
      </c>
      <c r="H860" s="22">
        <f t="shared" si="32"/>
        <v>71.17694846</v>
      </c>
      <c r="I860" s="22">
        <f t="shared" si="3"/>
        <v>0.9081002543</v>
      </c>
      <c r="J860" s="22">
        <f t="shared" si="33"/>
        <v>0.1229567744</v>
      </c>
    </row>
    <row r="861" ht="15.75" customHeight="1">
      <c r="A861" s="25">
        <f>IFERROR(__xludf.DUMMYFUNCTION("""COMPUTED_VALUE"""),42174.66666666667)</f>
        <v>42174.66667</v>
      </c>
      <c r="B861" s="22">
        <f>IFERROR(__xludf.DUMMYFUNCTION("""COMPUTED_VALUE"""),2109.99)</f>
        <v>2109.99</v>
      </c>
      <c r="C861" s="22">
        <f t="shared" si="6"/>
        <v>2110.918489</v>
      </c>
      <c r="D861" s="25">
        <f>IFERROR(__xludf.DUMMYFUNCTION("""COMPUTED_VALUE"""),42154.99861111111)</f>
        <v>42154.99861</v>
      </c>
      <c r="E861" s="22">
        <f>IFERROR(__xludf.DUMMYFUNCTION("""COMPUTED_VALUE"""),1.0992)</f>
        <v>1.0992</v>
      </c>
      <c r="F861" s="22">
        <f t="shared" si="8"/>
        <v>157.0772054</v>
      </c>
      <c r="G861" s="22">
        <f t="shared" si="31"/>
        <v>46.09947961</v>
      </c>
      <c r="H861" s="22">
        <f t="shared" si="32"/>
        <v>81.54233005</v>
      </c>
      <c r="I861" s="22">
        <f t="shared" si="3"/>
        <v>0.9097525473</v>
      </c>
      <c r="J861" s="22">
        <f t="shared" si="33"/>
        <v>0.091430131</v>
      </c>
    </row>
    <row r="862" ht="15.75" customHeight="1">
      <c r="A862" s="25">
        <f>IFERROR(__xludf.DUMMYFUNCTION("""COMPUTED_VALUE"""),42181.66666666667)</f>
        <v>42181.66667</v>
      </c>
      <c r="B862" s="22">
        <f>IFERROR(__xludf.DUMMYFUNCTION("""COMPUTED_VALUE"""),2101.49)</f>
        <v>2101.49</v>
      </c>
      <c r="C862" s="22">
        <f t="shared" si="6"/>
        <v>2102.42553</v>
      </c>
      <c r="D862" s="25">
        <f>IFERROR(__xludf.DUMMYFUNCTION("""COMPUTED_VALUE"""),42161.99861111111)</f>
        <v>42161.99861</v>
      </c>
      <c r="E862" s="22">
        <f>IFERROR(__xludf.DUMMYFUNCTION("""COMPUTED_VALUE"""),1.1114)</f>
        <v>1.1114</v>
      </c>
      <c r="F862" s="22">
        <f t="shared" si="8"/>
        <v>158.1816118</v>
      </c>
      <c r="G862" s="22">
        <f t="shared" si="31"/>
        <v>40.8029701</v>
      </c>
      <c r="H862" s="22">
        <f t="shared" si="32"/>
        <v>76.59581947</v>
      </c>
      <c r="I862" s="22">
        <f t="shared" si="3"/>
        <v>0.8997660608</v>
      </c>
      <c r="J862" s="22">
        <f t="shared" si="33"/>
        <v>0.09015655929</v>
      </c>
    </row>
    <row r="863" ht="15.75" customHeight="1">
      <c r="A863" s="25">
        <f>IFERROR(__xludf.DUMMYFUNCTION("""COMPUTED_VALUE"""),42187.66666666667)</f>
        <v>42187.66667</v>
      </c>
      <c r="B863" s="22">
        <f>IFERROR(__xludf.DUMMYFUNCTION("""COMPUTED_VALUE"""),2076.78)</f>
        <v>2076.78</v>
      </c>
      <c r="C863" s="22">
        <f t="shared" si="6"/>
        <v>2077.711761</v>
      </c>
      <c r="D863" s="25">
        <f>IFERROR(__xludf.DUMMYFUNCTION("""COMPUTED_VALUE"""),42168.99861111111)</f>
        <v>42168.99861</v>
      </c>
      <c r="E863" s="22">
        <f>IFERROR(__xludf.DUMMYFUNCTION("""COMPUTED_VALUE"""),1.1261)</f>
        <v>1.1261</v>
      </c>
      <c r="F863" s="22">
        <f t="shared" si="8"/>
        <v>158.3898104</v>
      </c>
      <c r="G863" s="22">
        <f t="shared" si="31"/>
        <v>37.58872401</v>
      </c>
      <c r="H863" s="22">
        <f t="shared" si="32"/>
        <v>69.14329747</v>
      </c>
      <c r="I863" s="22">
        <f t="shared" si="3"/>
        <v>0.8880206021</v>
      </c>
      <c r="J863" s="22">
        <f t="shared" si="33"/>
        <v>0.09873013054</v>
      </c>
    </row>
    <row r="864" ht="15.75" customHeight="1">
      <c r="A864" s="25">
        <f>IFERROR(__xludf.DUMMYFUNCTION("""COMPUTED_VALUE"""),42195.66666666667)</f>
        <v>42195.66667</v>
      </c>
      <c r="B864" s="22">
        <f>IFERROR(__xludf.DUMMYFUNCTION("""COMPUTED_VALUE"""),2076.62)</f>
        <v>2076.62</v>
      </c>
      <c r="C864" s="22">
        <f t="shared" si="6"/>
        <v>2077.540805</v>
      </c>
      <c r="D864" s="25">
        <f>IFERROR(__xludf.DUMMYFUNCTION("""COMPUTED_VALUE"""),42175.99861111111)</f>
        <v>42175.99861</v>
      </c>
      <c r="E864" s="22">
        <f>IFERROR(__xludf.DUMMYFUNCTION("""COMPUTED_VALUE"""),1.1349)</f>
        <v>1.1349</v>
      </c>
      <c r="F864" s="22">
        <f t="shared" si="8"/>
        <v>159.6144262</v>
      </c>
      <c r="G864" s="22">
        <f t="shared" si="31"/>
        <v>40.39520905</v>
      </c>
      <c r="H864" s="22">
        <f t="shared" si="32"/>
        <v>76.87983877</v>
      </c>
      <c r="I864" s="22">
        <f t="shared" si="3"/>
        <v>0.8811349018</v>
      </c>
      <c r="J864" s="22">
        <f t="shared" si="33"/>
        <v>0.09031632743</v>
      </c>
    </row>
    <row r="865" ht="15.75" customHeight="1">
      <c r="A865" s="25">
        <f>IFERROR(__xludf.DUMMYFUNCTION("""COMPUTED_VALUE"""),42202.66666666667)</f>
        <v>42202.66667</v>
      </c>
      <c r="B865" s="22">
        <f>IFERROR(__xludf.DUMMYFUNCTION("""COMPUTED_VALUE"""),2126.64)</f>
        <v>2126.64</v>
      </c>
      <c r="C865" s="22">
        <f t="shared" si="6"/>
        <v>2127.560734</v>
      </c>
      <c r="D865" s="25">
        <f>IFERROR(__xludf.DUMMYFUNCTION("""COMPUTED_VALUE"""),42182.99861111111)</f>
        <v>42182.99861</v>
      </c>
      <c r="E865" s="22">
        <f>IFERROR(__xludf.DUMMYFUNCTION("""COMPUTED_VALUE"""),1.1165)</f>
        <v>1.1165</v>
      </c>
      <c r="F865" s="22">
        <f t="shared" si="8"/>
        <v>160.807269</v>
      </c>
      <c r="G865" s="22">
        <f t="shared" si="31"/>
        <v>37.68612732</v>
      </c>
      <c r="H865" s="22">
        <f t="shared" si="32"/>
        <v>84.65761857</v>
      </c>
      <c r="I865" s="22">
        <f t="shared" si="3"/>
        <v>0.8956560681</v>
      </c>
      <c r="J865" s="22">
        <f t="shared" si="33"/>
        <v>0.12619794</v>
      </c>
    </row>
    <row r="866" ht="15.75" customHeight="1">
      <c r="A866" s="25">
        <f>IFERROR(__xludf.DUMMYFUNCTION("""COMPUTED_VALUE"""),42209.66666666667)</f>
        <v>42209.66667</v>
      </c>
      <c r="B866" s="22">
        <f>IFERROR(__xludf.DUMMYFUNCTION("""COMPUTED_VALUE"""),2079.65)</f>
        <v>2079.65</v>
      </c>
      <c r="C866" s="22">
        <f t="shared" si="6"/>
        <v>2080.592912</v>
      </c>
      <c r="D866" s="25">
        <f>IFERROR(__xludf.DUMMYFUNCTION("""COMPUTED_VALUE"""),42189.99861111111)</f>
        <v>42189.99861</v>
      </c>
      <c r="E866" s="22">
        <f>IFERROR(__xludf.DUMMYFUNCTION("""COMPUTED_VALUE"""),1.1114)</f>
        <v>1.1114</v>
      </c>
      <c r="F866" s="22">
        <f t="shared" si="8"/>
        <v>156.5389763</v>
      </c>
      <c r="G866" s="22">
        <f t="shared" si="31"/>
        <v>38.87264235</v>
      </c>
      <c r="H866" s="22">
        <f t="shared" si="32"/>
        <v>69.61195048</v>
      </c>
      <c r="I866" s="22">
        <f t="shared" si="3"/>
        <v>0.8997660608</v>
      </c>
      <c r="J866" s="22">
        <f t="shared" si="33"/>
        <v>0.1374842541</v>
      </c>
    </row>
    <row r="867" ht="15.75" customHeight="1">
      <c r="A867" s="25">
        <f>IFERROR(__xludf.DUMMYFUNCTION("""COMPUTED_VALUE"""),42216.66666666667)</f>
        <v>42216.66667</v>
      </c>
      <c r="B867" s="22">
        <f>IFERROR(__xludf.DUMMYFUNCTION("""COMPUTED_VALUE"""),2103.84)</f>
        <v>2103.84</v>
      </c>
      <c r="C867" s="22">
        <f t="shared" si="6"/>
        <v>2104.762077</v>
      </c>
      <c r="D867" s="25">
        <f>IFERROR(__xludf.DUMMYFUNCTION("""COMPUTED_VALUE"""),42196.99861111111)</f>
        <v>42196.99861</v>
      </c>
      <c r="E867" s="22">
        <f>IFERROR(__xludf.DUMMYFUNCTION("""COMPUTED_VALUE"""),1.11555)</f>
        <v>1.11555</v>
      </c>
      <c r="F867" s="22">
        <f t="shared" si="8"/>
        <v>158.9487194</v>
      </c>
      <c r="G867" s="22">
        <f t="shared" si="31"/>
        <v>41.24096706</v>
      </c>
      <c r="H867" s="22">
        <f t="shared" si="32"/>
        <v>70.60871845</v>
      </c>
      <c r="I867" s="22">
        <f t="shared" si="3"/>
        <v>0.8964188069</v>
      </c>
      <c r="J867" s="22">
        <f t="shared" si="33"/>
        <v>0.1579938147</v>
      </c>
    </row>
    <row r="868" ht="15.75" customHeight="1">
      <c r="A868" s="25">
        <f>IFERROR(__xludf.DUMMYFUNCTION("""COMPUTED_VALUE"""),42223.66666666667)</f>
        <v>42223.66667</v>
      </c>
      <c r="B868" s="22">
        <f>IFERROR(__xludf.DUMMYFUNCTION("""COMPUTED_VALUE"""),2077.57)</f>
        <v>2077.57</v>
      </c>
      <c r="C868" s="22">
        <f t="shared" si="6"/>
        <v>2078.502803</v>
      </c>
      <c r="D868" s="25">
        <f>IFERROR(__xludf.DUMMYFUNCTION("""COMPUTED_VALUE"""),42203.99861111111)</f>
        <v>42203.99861</v>
      </c>
      <c r="E868" s="22">
        <f>IFERROR(__xludf.DUMMYFUNCTION("""COMPUTED_VALUE"""),1.0827)</f>
        <v>1.0827</v>
      </c>
      <c r="F868" s="22">
        <f t="shared" si="8"/>
        <v>152.3434315</v>
      </c>
      <c r="G868" s="22">
        <f t="shared" si="31"/>
        <v>35.807763</v>
      </c>
      <c r="H868" s="22">
        <f t="shared" si="32"/>
        <v>58.6071294</v>
      </c>
      <c r="I868" s="22">
        <f t="shared" si="3"/>
        <v>0.9236168837</v>
      </c>
      <c r="J868" s="22">
        <f t="shared" si="33"/>
        <v>0.1879560358</v>
      </c>
    </row>
    <row r="869" ht="15.75" customHeight="1">
      <c r="A869" s="25">
        <f>IFERROR(__xludf.DUMMYFUNCTION("""COMPUTED_VALUE"""),42230.66666666667)</f>
        <v>42230.66667</v>
      </c>
      <c r="B869" s="22">
        <f>IFERROR(__xludf.DUMMYFUNCTION("""COMPUTED_VALUE"""),2091.54)</f>
        <v>2091.54</v>
      </c>
      <c r="C869" s="22">
        <f t="shared" si="6"/>
        <v>2092.461155</v>
      </c>
      <c r="D869" s="25">
        <f>IFERROR(__xludf.DUMMYFUNCTION("""COMPUTED_VALUE"""),42210.99861111111)</f>
        <v>42210.99861</v>
      </c>
      <c r="E869" s="22">
        <f>IFERROR(__xludf.DUMMYFUNCTION("""COMPUTED_VALUE"""),1.098)</f>
        <v>1.098</v>
      </c>
      <c r="F869" s="22">
        <f t="shared" si="8"/>
        <v>155.53378</v>
      </c>
      <c r="G869" s="22">
        <f t="shared" si="31"/>
        <v>34.52769316</v>
      </c>
      <c r="H869" s="22">
        <f t="shared" si="32"/>
        <v>59.89399002</v>
      </c>
      <c r="I869" s="22">
        <f t="shared" si="3"/>
        <v>0.9107468124</v>
      </c>
      <c r="J869" s="22">
        <f t="shared" si="33"/>
        <v>0.187431694</v>
      </c>
    </row>
    <row r="870" ht="15.75" customHeight="1">
      <c r="A870" s="25">
        <f>IFERROR(__xludf.DUMMYFUNCTION("""COMPUTED_VALUE"""),42237.66666666667)</f>
        <v>42237.66667</v>
      </c>
      <c r="B870" s="22">
        <f>IFERROR(__xludf.DUMMYFUNCTION("""COMPUTED_VALUE"""),1970.89)</f>
        <v>1970.89</v>
      </c>
      <c r="C870" s="22">
        <f t="shared" si="6"/>
        <v>1971.817349</v>
      </c>
      <c r="D870" s="25">
        <f>IFERROR(__xludf.DUMMYFUNCTION("""COMPUTED_VALUE"""),42217.99861111111)</f>
        <v>42217.99861</v>
      </c>
      <c r="E870" s="22">
        <f>IFERROR(__xludf.DUMMYFUNCTION("""COMPUTED_VALUE"""),1.0983)</f>
        <v>1.0983</v>
      </c>
      <c r="F870" s="22">
        <f t="shared" si="8"/>
        <v>146.6063055</v>
      </c>
      <c r="G870" s="22">
        <f t="shared" si="31"/>
        <v>25.63357005</v>
      </c>
      <c r="H870" s="22">
        <f t="shared" si="32"/>
        <v>45.34913034</v>
      </c>
      <c r="I870" s="22">
        <f t="shared" si="3"/>
        <v>0.9104980424</v>
      </c>
      <c r="J870" s="22">
        <f t="shared" si="33"/>
        <v>0.2089593007</v>
      </c>
    </row>
    <row r="871" ht="15.75" customHeight="1">
      <c r="A871" s="25">
        <f>IFERROR(__xludf.DUMMYFUNCTION("""COMPUTED_VALUE"""),42244.66666666667)</f>
        <v>42244.66667</v>
      </c>
      <c r="B871" s="22">
        <f>IFERROR(__xludf.DUMMYFUNCTION("""COMPUTED_VALUE"""),1988.87)</f>
        <v>1988.87</v>
      </c>
      <c r="C871" s="22">
        <f t="shared" si="6"/>
        <v>1989.743855</v>
      </c>
      <c r="D871" s="25">
        <f>IFERROR(__xludf.DUMMYFUNCTION("""COMPUTED_VALUE"""),42224.99861111111)</f>
        <v>42224.99861</v>
      </c>
      <c r="E871" s="22">
        <f>IFERROR(__xludf.DUMMYFUNCTION("""COMPUTED_VALUE"""),1.0965)</f>
        <v>1.0965</v>
      </c>
      <c r="F871" s="22">
        <f t="shared" si="8"/>
        <v>147.6966996</v>
      </c>
      <c r="G871" s="22">
        <f t="shared" si="31"/>
        <v>26.21712504</v>
      </c>
      <c r="H871" s="22">
        <f t="shared" si="32"/>
        <v>58.35544516</v>
      </c>
      <c r="I871" s="22">
        <f t="shared" si="3"/>
        <v>0.9119927041</v>
      </c>
      <c r="J871" s="22">
        <f t="shared" si="33"/>
        <v>0.1637026904</v>
      </c>
    </row>
    <row r="872" ht="15.75" customHeight="1">
      <c r="A872" s="25">
        <f>IFERROR(__xludf.DUMMYFUNCTION("""COMPUTED_VALUE"""),42251.66666666667)</f>
        <v>42251.66667</v>
      </c>
      <c r="B872" s="22">
        <f>IFERROR(__xludf.DUMMYFUNCTION("""COMPUTED_VALUE"""),1921.22)</f>
        <v>1921.22</v>
      </c>
      <c r="C872" s="22">
        <f t="shared" si="6"/>
        <v>1922.101827</v>
      </c>
      <c r="D872" s="25">
        <f>IFERROR(__xludf.DUMMYFUNCTION("""COMPUTED_VALUE"""),42231.99861111111)</f>
        <v>42231.99861</v>
      </c>
      <c r="E872" s="22">
        <f>IFERROR(__xludf.DUMMYFUNCTION("""COMPUTED_VALUE"""),1.1104)</f>
        <v>1.1104</v>
      </c>
      <c r="F872" s="22">
        <f t="shared" si="8"/>
        <v>144.4843562</v>
      </c>
      <c r="G872" s="22">
        <f t="shared" si="31"/>
        <v>21.99484175</v>
      </c>
      <c r="H872" s="22">
        <f t="shared" si="32"/>
        <v>56.60768675</v>
      </c>
      <c r="I872" s="22">
        <f t="shared" si="3"/>
        <v>0.9005763689</v>
      </c>
      <c r="J872" s="22">
        <f t="shared" si="33"/>
        <v>0.1447226225</v>
      </c>
    </row>
    <row r="873" ht="15.75" customHeight="1">
      <c r="A873" s="25">
        <f>IFERROR(__xludf.DUMMYFUNCTION("""COMPUTED_VALUE"""),42258.66666666667)</f>
        <v>42258.66667</v>
      </c>
      <c r="B873" s="22">
        <f>IFERROR(__xludf.DUMMYFUNCTION("""COMPUTED_VALUE"""),1961.05)</f>
        <v>1961.05</v>
      </c>
      <c r="C873" s="22">
        <f t="shared" si="6"/>
        <v>1961.901833</v>
      </c>
      <c r="D873" s="25">
        <f>IFERROR(__xludf.DUMMYFUNCTION("""COMPUTED_VALUE"""),42238.99861111111)</f>
        <v>42238.99861</v>
      </c>
      <c r="E873" s="22">
        <f>IFERROR(__xludf.DUMMYFUNCTION("""COMPUTED_VALUE"""),1.1383)</f>
        <v>1.1383</v>
      </c>
      <c r="F873" s="22">
        <f t="shared" si="8"/>
        <v>151.1816187</v>
      </c>
      <c r="G873" s="22">
        <f t="shared" si="31"/>
        <v>26.44923318</v>
      </c>
      <c r="H873" s="22">
        <f t="shared" si="32"/>
        <v>64.27483205</v>
      </c>
      <c r="I873" s="22">
        <f t="shared" si="3"/>
        <v>0.8785030308</v>
      </c>
      <c r="J873" s="22">
        <f t="shared" si="33"/>
        <v>0.1213212686</v>
      </c>
    </row>
    <row r="874" ht="15.75" customHeight="1">
      <c r="A874" s="25">
        <f>IFERROR(__xludf.DUMMYFUNCTION("""COMPUTED_VALUE"""),42265.66666666667)</f>
        <v>42265.66667</v>
      </c>
      <c r="B874" s="22">
        <f>IFERROR(__xludf.DUMMYFUNCTION("""COMPUTED_VALUE"""),1958.03)</f>
        <v>1958.03</v>
      </c>
      <c r="C874" s="22">
        <f t="shared" si="6"/>
        <v>1958.899492</v>
      </c>
      <c r="D874" s="25">
        <f>IFERROR(__xludf.DUMMYFUNCTION("""COMPUTED_VALUE"""),42245.99861111111)</f>
        <v>42245.99861</v>
      </c>
      <c r="E874" s="22">
        <f>IFERROR(__xludf.DUMMYFUNCTION("""COMPUTED_VALUE"""),1.1181)</f>
        <v>1.1181</v>
      </c>
      <c r="F874" s="22">
        <f t="shared" si="8"/>
        <v>148.271535</v>
      </c>
      <c r="G874" s="22">
        <f t="shared" si="31"/>
        <v>23.69468209</v>
      </c>
      <c r="H874" s="22">
        <f t="shared" si="32"/>
        <v>53.88206654</v>
      </c>
      <c r="I874" s="22">
        <f t="shared" si="3"/>
        <v>0.8943743851</v>
      </c>
      <c r="J874" s="22">
        <f t="shared" si="33"/>
        <v>0.1520436455</v>
      </c>
    </row>
    <row r="875" ht="15.75" customHeight="1">
      <c r="A875" s="25">
        <f>IFERROR(__xludf.DUMMYFUNCTION("""COMPUTED_VALUE"""),42272.66666666667)</f>
        <v>42272.66667</v>
      </c>
      <c r="B875" s="22">
        <f>IFERROR(__xludf.DUMMYFUNCTION("""COMPUTED_VALUE"""),1931.34)</f>
        <v>1931.34</v>
      </c>
      <c r="C875" s="22">
        <f t="shared" si="6"/>
        <v>1932.208153</v>
      </c>
      <c r="D875" s="25">
        <f>IFERROR(__xludf.DUMMYFUNCTION("""COMPUTED_VALUE"""),42252.99861111111)</f>
        <v>42252.99861</v>
      </c>
      <c r="E875" s="22">
        <f>IFERROR(__xludf.DUMMYFUNCTION("""COMPUTED_VALUE"""),1.115)</f>
        <v>1.115</v>
      </c>
      <c r="F875" s="22">
        <f t="shared" si="8"/>
        <v>145.845744</v>
      </c>
      <c r="G875" s="22">
        <f t="shared" si="31"/>
        <v>16.86571559</v>
      </c>
      <c r="H875" s="22">
        <f t="shared" si="32"/>
        <v>52.4980235</v>
      </c>
      <c r="I875" s="22">
        <f t="shared" si="3"/>
        <v>0.8968609865</v>
      </c>
      <c r="J875" s="22">
        <f t="shared" si="33"/>
        <v>0.1414349776</v>
      </c>
    </row>
    <row r="876" ht="15.75" customHeight="1">
      <c r="A876" s="25">
        <f>IFERROR(__xludf.DUMMYFUNCTION("""COMPUTED_VALUE"""),42279.66666666667)</f>
        <v>42279.66667</v>
      </c>
      <c r="B876" s="22">
        <f>IFERROR(__xludf.DUMMYFUNCTION("""COMPUTED_VALUE"""),1951.36)</f>
        <v>1951.36</v>
      </c>
      <c r="C876" s="22">
        <f t="shared" si="6"/>
        <v>1952.21632</v>
      </c>
      <c r="D876" s="25">
        <f>IFERROR(__xludf.DUMMYFUNCTION("""COMPUTED_VALUE"""),42259.99861111111)</f>
        <v>42259.99861</v>
      </c>
      <c r="E876" s="22">
        <f>IFERROR(__xludf.DUMMYFUNCTION("""COMPUTED_VALUE"""),1.13383)</f>
        <v>1.13383</v>
      </c>
      <c r="F876" s="22">
        <f t="shared" si="8"/>
        <v>149.8445201</v>
      </c>
      <c r="G876" s="22">
        <f t="shared" si="31"/>
        <v>14.99760507</v>
      </c>
      <c r="H876" s="22">
        <f t="shared" si="32"/>
        <v>50.69369923</v>
      </c>
      <c r="I876" s="22">
        <f t="shared" si="3"/>
        <v>0.8819664324</v>
      </c>
      <c r="J876" s="22">
        <f t="shared" si="33"/>
        <v>0.1504370144</v>
      </c>
    </row>
    <row r="877" ht="15.75" customHeight="1">
      <c r="A877" s="25">
        <f>IFERROR(__xludf.DUMMYFUNCTION("""COMPUTED_VALUE"""),42286.66666666667)</f>
        <v>42286.66667</v>
      </c>
      <c r="B877" s="22">
        <f>IFERROR(__xludf.DUMMYFUNCTION("""COMPUTED_VALUE"""),2014.89)</f>
        <v>2014.89</v>
      </c>
      <c r="C877" s="22">
        <f t="shared" si="6"/>
        <v>2015.755196</v>
      </c>
      <c r="D877" s="25">
        <f>IFERROR(__xludf.DUMMYFUNCTION("""COMPUTED_VALUE"""),42266.99861111111)</f>
        <v>42266.99861</v>
      </c>
      <c r="E877" s="22">
        <f>IFERROR(__xludf.DUMMYFUNCTION("""COMPUTED_VALUE"""),1.1302)</f>
        <v>1.1302</v>
      </c>
      <c r="F877" s="22">
        <f t="shared" si="8"/>
        <v>154.2261699</v>
      </c>
      <c r="G877" s="22">
        <f t="shared" si="31"/>
        <v>20.16033477</v>
      </c>
      <c r="H877" s="22">
        <f t="shared" si="32"/>
        <v>46.97024212</v>
      </c>
      <c r="I877" s="22">
        <f t="shared" si="3"/>
        <v>0.8847991506</v>
      </c>
      <c r="J877" s="22">
        <f t="shared" si="33"/>
        <v>0.1935055742</v>
      </c>
    </row>
    <row r="878" ht="15.75" customHeight="1">
      <c r="A878" s="25">
        <f>IFERROR(__xludf.DUMMYFUNCTION("""COMPUTED_VALUE"""),42293.66666666667)</f>
        <v>42293.66667</v>
      </c>
      <c r="B878" s="22">
        <f>IFERROR(__xludf.DUMMYFUNCTION("""COMPUTED_VALUE"""),2033.11)</f>
        <v>2033.11</v>
      </c>
      <c r="C878" s="22">
        <f t="shared" si="6"/>
        <v>2034.003364</v>
      </c>
      <c r="D878" s="25">
        <f>IFERROR(__xludf.DUMMYFUNCTION("""COMPUTED_VALUE"""),42273.99861111111)</f>
        <v>42273.99861</v>
      </c>
      <c r="E878" s="22">
        <f>IFERROR(__xludf.DUMMYFUNCTION("""COMPUTED_VALUE"""),1.1193)</f>
        <v>1.1193</v>
      </c>
      <c r="F878" s="22">
        <f t="shared" si="8"/>
        <v>154.1214737</v>
      </c>
      <c r="G878" s="22">
        <f t="shared" si="31"/>
        <v>22.88538787</v>
      </c>
      <c r="H878" s="22">
        <f t="shared" si="32"/>
        <v>43.96781762</v>
      </c>
      <c r="I878" s="22">
        <f t="shared" si="3"/>
        <v>0.8934155276</v>
      </c>
      <c r="J878" s="22">
        <f t="shared" si="33"/>
        <v>0.2320200125</v>
      </c>
    </row>
    <row r="879" ht="15.75" customHeight="1">
      <c r="A879" s="25">
        <f>IFERROR(__xludf.DUMMYFUNCTION("""COMPUTED_VALUE"""),42300.66666666667)</f>
        <v>42300.66667</v>
      </c>
      <c r="B879" s="22">
        <f>IFERROR(__xludf.DUMMYFUNCTION("""COMPUTED_VALUE"""),2075.15)</f>
        <v>2075.15</v>
      </c>
      <c r="C879" s="22">
        <f t="shared" si="6"/>
        <v>2076.051443</v>
      </c>
      <c r="D879" s="25">
        <f>IFERROR(__xludf.DUMMYFUNCTION("""COMPUTED_VALUE"""),42280.99861111111)</f>
        <v>42280.99861</v>
      </c>
      <c r="E879" s="22">
        <f>IFERROR(__xludf.DUMMYFUNCTION("""COMPUTED_VALUE"""),1.1209)</f>
        <v>1.1209</v>
      </c>
      <c r="F879" s="22">
        <f t="shared" si="8"/>
        <v>157.5324264</v>
      </c>
      <c r="G879" s="22">
        <f t="shared" si="31"/>
        <v>22.18221151</v>
      </c>
      <c r="H879" s="22">
        <f t="shared" si="32"/>
        <v>43.40467691</v>
      </c>
      <c r="I879" s="22">
        <f t="shared" si="3"/>
        <v>0.8921402444</v>
      </c>
      <c r="J879" s="22">
        <f t="shared" si="33"/>
        <v>0.2419484343</v>
      </c>
    </row>
    <row r="880" ht="15.75" customHeight="1">
      <c r="A880" s="25">
        <f>IFERROR(__xludf.DUMMYFUNCTION("""COMPUTED_VALUE"""),42307.66666666667)</f>
        <v>42307.66667</v>
      </c>
      <c r="B880" s="22">
        <f>IFERROR(__xludf.DUMMYFUNCTION("""COMPUTED_VALUE"""),2079.36)</f>
        <v>2079.36</v>
      </c>
      <c r="C880" s="22">
        <f t="shared" si="6"/>
        <v>2080.280082</v>
      </c>
      <c r="D880" s="25">
        <f>IFERROR(__xludf.DUMMYFUNCTION("""COMPUTED_VALUE"""),42287.99861111111)</f>
        <v>42287.99861</v>
      </c>
      <c r="E880" s="22">
        <f>IFERROR(__xludf.DUMMYFUNCTION("""COMPUTED_VALUE"""),1.1354)</f>
        <v>1.1354</v>
      </c>
      <c r="F880" s="22">
        <f t="shared" si="8"/>
        <v>159.8952945</v>
      </c>
      <c r="G880" s="22">
        <f t="shared" si="31"/>
        <v>27.58389516</v>
      </c>
      <c r="H880" s="22">
        <f t="shared" si="32"/>
        <v>43.4368172</v>
      </c>
      <c r="I880" s="22">
        <f t="shared" si="3"/>
        <v>0.8807468733</v>
      </c>
      <c r="J880" s="22">
        <f t="shared" si="33"/>
        <v>0.2325171746</v>
      </c>
    </row>
    <row r="881" ht="15.75" customHeight="1">
      <c r="A881" s="25">
        <f>IFERROR(__xludf.DUMMYFUNCTION("""COMPUTED_VALUE"""),42314.66666666667)</f>
        <v>42314.66667</v>
      </c>
      <c r="B881" s="22">
        <f>IFERROR(__xludf.DUMMYFUNCTION("""COMPUTED_VALUE"""),2099.2)</f>
        <v>2099.2</v>
      </c>
      <c r="C881" s="22">
        <f t="shared" si="6"/>
        <v>2100.121949</v>
      </c>
      <c r="D881" s="25">
        <f>IFERROR(__xludf.DUMMYFUNCTION("""COMPUTED_VALUE"""),42294.99861111111)</f>
        <v>42294.99861</v>
      </c>
      <c r="E881" s="22">
        <f>IFERROR(__xludf.DUMMYFUNCTION("""COMPUTED_VALUE"""),1.13515)</f>
        <v>1.13515</v>
      </c>
      <c r="F881" s="22">
        <f t="shared" si="8"/>
        <v>161.3848451</v>
      </c>
      <c r="G881" s="22">
        <f t="shared" si="31"/>
        <v>27.70006443</v>
      </c>
      <c r="H881" s="22">
        <f t="shared" si="32"/>
        <v>44.32158823</v>
      </c>
      <c r="I881" s="22">
        <f t="shared" si="3"/>
        <v>0.8809408448</v>
      </c>
      <c r="J881" s="22">
        <f t="shared" si="33"/>
        <v>0.229441043</v>
      </c>
    </row>
    <row r="882" ht="15.75" customHeight="1">
      <c r="A882" s="25">
        <f>IFERROR(__xludf.DUMMYFUNCTION("""COMPUTED_VALUE"""),42321.66666666667)</f>
        <v>42321.66667</v>
      </c>
      <c r="B882" s="22">
        <f>IFERROR(__xludf.DUMMYFUNCTION("""COMPUTED_VALUE"""),2023.04)</f>
        <v>2023.04</v>
      </c>
      <c r="C882" s="22">
        <f t="shared" si="6"/>
        <v>2023.970746</v>
      </c>
      <c r="D882" s="25">
        <f>IFERROR(__xludf.DUMMYFUNCTION("""COMPUTED_VALUE"""),42301.99861111111)</f>
        <v>42301.99861</v>
      </c>
      <c r="E882" s="22">
        <f>IFERROR(__xludf.DUMMYFUNCTION("""COMPUTED_VALUE"""),1.1014)</f>
        <v>1.1014</v>
      </c>
      <c r="F882" s="22">
        <f t="shared" si="8"/>
        <v>150.9087026</v>
      </c>
      <c r="G882" s="22">
        <f t="shared" si="31"/>
        <v>21.98433726</v>
      </c>
      <c r="H882" s="22">
        <f t="shared" si="32"/>
        <v>35.02897555</v>
      </c>
      <c r="I882" s="22">
        <f t="shared" si="3"/>
        <v>0.907935355</v>
      </c>
      <c r="J882" s="22">
        <f t="shared" si="33"/>
        <v>0.2662066461</v>
      </c>
    </row>
    <row r="883" ht="15.75" customHeight="1">
      <c r="A883" s="25">
        <f>IFERROR(__xludf.DUMMYFUNCTION("""COMPUTED_VALUE"""),42328.66666666667)</f>
        <v>42328.66667</v>
      </c>
      <c r="B883" s="22">
        <f>IFERROR(__xludf.DUMMYFUNCTION("""COMPUTED_VALUE"""),2089.17)</f>
        <v>2089.17</v>
      </c>
      <c r="C883" s="22">
        <f t="shared" si="6"/>
        <v>2090.066978</v>
      </c>
      <c r="D883" s="25">
        <f>IFERROR(__xludf.DUMMYFUNCTION("""COMPUTED_VALUE"""),42308.99861111111)</f>
        <v>42308.99861</v>
      </c>
      <c r="E883" s="22">
        <f>IFERROR(__xludf.DUMMYFUNCTION("""COMPUTED_VALUE"""),1.1006)</f>
        <v>1.1006</v>
      </c>
      <c r="F883" s="22">
        <f t="shared" si="8"/>
        <v>155.723693</v>
      </c>
      <c r="G883" s="22">
        <f t="shared" si="31"/>
        <v>26.64536504</v>
      </c>
      <c r="H883" s="22">
        <f t="shared" si="32"/>
        <v>33.68639549</v>
      </c>
      <c r="I883" s="22">
        <f t="shared" si="3"/>
        <v>0.9085953116</v>
      </c>
      <c r="J883" s="22">
        <f t="shared" si="33"/>
        <v>0.2748228239</v>
      </c>
    </row>
    <row r="884" ht="15.75" customHeight="1">
      <c r="A884" s="25">
        <f>IFERROR(__xludf.DUMMYFUNCTION("""COMPUTED_VALUE"""),42335.66666666667)</f>
        <v>42335.66667</v>
      </c>
      <c r="B884" s="22">
        <f>IFERROR(__xludf.DUMMYFUNCTION("""COMPUTED_VALUE"""),2090.11)</f>
        <v>2090.11</v>
      </c>
      <c r="C884" s="22">
        <f t="shared" si="6"/>
        <v>2091.036298</v>
      </c>
      <c r="D884" s="25">
        <f>IFERROR(__xludf.DUMMYFUNCTION("""COMPUTED_VALUE"""),42315.99861111111)</f>
        <v>42315.99861</v>
      </c>
      <c r="E884" s="22">
        <f>IFERROR(__xludf.DUMMYFUNCTION("""COMPUTED_VALUE"""),1.07405)</f>
        <v>1.07405</v>
      </c>
      <c r="F884" s="22">
        <f t="shared" si="8"/>
        <v>152.0376169</v>
      </c>
      <c r="G884" s="22">
        <f t="shared" si="31"/>
        <v>28.0406988</v>
      </c>
      <c r="H884" s="22">
        <f t="shared" si="32"/>
        <v>36.7684017</v>
      </c>
      <c r="I884" s="22">
        <f t="shared" si="3"/>
        <v>0.9310553512</v>
      </c>
      <c r="J884" s="22">
        <f t="shared" si="33"/>
        <v>0.2743354592</v>
      </c>
    </row>
    <row r="885" ht="15.75" customHeight="1">
      <c r="A885" s="25">
        <f>IFERROR(__xludf.DUMMYFUNCTION("""COMPUTED_VALUE"""),42342.66666666667)</f>
        <v>42342.66667</v>
      </c>
      <c r="B885" s="22">
        <f>IFERROR(__xludf.DUMMYFUNCTION("""COMPUTED_VALUE"""),2091.69)</f>
        <v>2091.69</v>
      </c>
      <c r="C885" s="22">
        <f t="shared" si="6"/>
        <v>2092.616715</v>
      </c>
      <c r="D885" s="25">
        <f>IFERROR(__xludf.DUMMYFUNCTION("""COMPUTED_VALUE"""),42322.99861111111)</f>
        <v>42322.99861</v>
      </c>
      <c r="E885" s="22">
        <f>IFERROR(__xludf.DUMMYFUNCTION("""COMPUTED_VALUE"""),1.0765)</f>
        <v>1.0765</v>
      </c>
      <c r="F885" s="22">
        <f t="shared" si="8"/>
        <v>152.4996007</v>
      </c>
      <c r="G885" s="22">
        <f t="shared" si="31"/>
        <v>29.93798052</v>
      </c>
      <c r="H885" s="22">
        <f t="shared" si="32"/>
        <v>37.1289105</v>
      </c>
      <c r="I885" s="22">
        <f t="shared" si="3"/>
        <v>0.9289363679</v>
      </c>
      <c r="J885" s="22">
        <f t="shared" si="33"/>
        <v>0.2714073386</v>
      </c>
    </row>
    <row r="886" ht="15.75" customHeight="1">
      <c r="A886" s="25">
        <f>IFERROR(__xludf.DUMMYFUNCTION("""COMPUTED_VALUE"""),42349.66666666667)</f>
        <v>42349.66667</v>
      </c>
      <c r="B886" s="22">
        <f>IFERROR(__xludf.DUMMYFUNCTION("""COMPUTED_VALUE"""),2012.37)</f>
        <v>2012.37</v>
      </c>
      <c r="C886" s="22">
        <f t="shared" si="6"/>
        <v>2013.297416</v>
      </c>
      <c r="D886" s="25">
        <f>IFERROR(__xludf.DUMMYFUNCTION("""COMPUTED_VALUE"""),42329.99861111111)</f>
        <v>42329.99861</v>
      </c>
      <c r="E886" s="22">
        <f>IFERROR(__xludf.DUMMYFUNCTION("""COMPUTED_VALUE"""),1.0647)</f>
        <v>1.0647</v>
      </c>
      <c r="F886" s="22">
        <f t="shared" si="8"/>
        <v>145.1109457</v>
      </c>
      <c r="G886" s="22">
        <f t="shared" si="31"/>
        <v>17.20651733</v>
      </c>
      <c r="H886" s="22">
        <f t="shared" si="32"/>
        <v>36.01722086</v>
      </c>
      <c r="I886" s="22">
        <f t="shared" si="3"/>
        <v>0.9392317085</v>
      </c>
      <c r="J886" s="22">
        <f t="shared" si="33"/>
        <v>0.2439184747</v>
      </c>
    </row>
    <row r="887" ht="15.75" customHeight="1">
      <c r="A887" s="25">
        <f>IFERROR(__xludf.DUMMYFUNCTION("""COMPUTED_VALUE"""),42356.66666666667)</f>
        <v>42356.66667</v>
      </c>
      <c r="B887" s="22">
        <f>IFERROR(__xludf.DUMMYFUNCTION("""COMPUTED_VALUE"""),2005.55)</f>
        <v>2005.55</v>
      </c>
      <c r="C887" s="22">
        <f t="shared" si="6"/>
        <v>2006.442247</v>
      </c>
      <c r="D887" s="25">
        <f>IFERROR(__xludf.DUMMYFUNCTION("""COMPUTED_VALUE"""),42336.99861111111)</f>
        <v>42336.99861</v>
      </c>
      <c r="E887" s="22">
        <f>IFERROR(__xludf.DUMMYFUNCTION("""COMPUTED_VALUE"""),1.0591)</f>
        <v>1.0591</v>
      </c>
      <c r="F887" s="22">
        <f t="shared" si="8"/>
        <v>143.8562099</v>
      </c>
      <c r="G887" s="22">
        <f t="shared" si="31"/>
        <v>15.51678894</v>
      </c>
      <c r="H887" s="22">
        <f t="shared" si="32"/>
        <v>29.77975043</v>
      </c>
      <c r="I887" s="22">
        <f t="shared" si="3"/>
        <v>0.9441979039</v>
      </c>
      <c r="J887" s="22">
        <f t="shared" si="33"/>
        <v>0.2618260787</v>
      </c>
    </row>
    <row r="888" ht="15.75" customHeight="1">
      <c r="A888" s="25">
        <f>IFERROR(__xludf.DUMMYFUNCTION("""COMPUTED_VALUE"""),42362.66666666667)</f>
        <v>42362.66667</v>
      </c>
      <c r="B888" s="22">
        <f>IFERROR(__xludf.DUMMYFUNCTION("""COMPUTED_VALUE"""),2060.99)</f>
        <v>2060.99</v>
      </c>
      <c r="C888" s="22">
        <f t="shared" si="6"/>
        <v>2061.879223</v>
      </c>
      <c r="D888" s="25">
        <f>IFERROR(__xludf.DUMMYFUNCTION("""COMPUTED_VALUE"""),42343.99861111111)</f>
        <v>42343.99861</v>
      </c>
      <c r="E888" s="22">
        <f>IFERROR(__xludf.DUMMYFUNCTION("""COMPUTED_VALUE"""),1.08815)</f>
        <v>1.08815</v>
      </c>
      <c r="F888" s="22">
        <f t="shared" si="8"/>
        <v>151.8857294</v>
      </c>
      <c r="G888" s="22">
        <f t="shared" si="31"/>
        <v>22.33882691</v>
      </c>
      <c r="H888" s="22">
        <f t="shared" si="32"/>
        <v>36.62866915</v>
      </c>
      <c r="I888" s="22">
        <f t="shared" si="3"/>
        <v>0.9189909479</v>
      </c>
      <c r="J888" s="22">
        <f t="shared" si="33"/>
        <v>0.2161007214</v>
      </c>
    </row>
    <row r="889" ht="15.75" customHeight="1">
      <c r="A889" s="25">
        <f>IFERROR(__xludf.DUMMYFUNCTION("""COMPUTED_VALUE"""),42369.66666666667)</f>
        <v>42369.66667</v>
      </c>
      <c r="B889" s="22">
        <f>IFERROR(__xludf.DUMMYFUNCTION("""COMPUTED_VALUE"""),2043.94)</f>
        <v>2043.94</v>
      </c>
      <c r="C889" s="22">
        <f t="shared" si="6"/>
        <v>2044.853804</v>
      </c>
      <c r="D889" s="25">
        <f>IFERROR(__xludf.DUMMYFUNCTION("""COMPUTED_VALUE"""),42350.99861111111)</f>
        <v>42350.99861</v>
      </c>
      <c r="E889" s="22">
        <f>IFERROR(__xludf.DUMMYFUNCTION("""COMPUTED_VALUE"""),1.0992)</f>
        <v>1.0992</v>
      </c>
      <c r="F889" s="22">
        <f t="shared" si="8"/>
        <v>152.1612145</v>
      </c>
      <c r="G889" s="22">
        <f t="shared" si="31"/>
        <v>16.48092683</v>
      </c>
      <c r="H889" s="22">
        <f t="shared" si="32"/>
        <v>36.96577079</v>
      </c>
      <c r="I889" s="22">
        <f t="shared" si="3"/>
        <v>0.9097525473</v>
      </c>
      <c r="J889" s="22">
        <f t="shared" si="33"/>
        <v>0.1996906841</v>
      </c>
    </row>
    <row r="890" ht="15.75" customHeight="1">
      <c r="A890" s="25">
        <f>IFERROR(__xludf.DUMMYFUNCTION("""COMPUTED_VALUE"""),42377.66666666667)</f>
        <v>42377.66667</v>
      </c>
      <c r="B890" s="22">
        <f>IFERROR(__xludf.DUMMYFUNCTION("""COMPUTED_VALUE"""),1922.03)</f>
        <v>1922.03</v>
      </c>
      <c r="C890" s="22">
        <f t="shared" si="6"/>
        <v>1922.936244</v>
      </c>
      <c r="D890" s="25">
        <f>IFERROR(__xludf.DUMMYFUNCTION("""COMPUTED_VALUE"""),42357.99861111111)</f>
        <v>42357.99861</v>
      </c>
      <c r="E890" s="22">
        <f>IFERROR(__xludf.DUMMYFUNCTION("""COMPUTED_VALUE"""),1.08663)</f>
        <v>1.08663</v>
      </c>
      <c r="F890" s="22">
        <f t="shared" si="8"/>
        <v>141.4528033</v>
      </c>
      <c r="G890" s="22">
        <f t="shared" si="31"/>
        <v>7.585388014</v>
      </c>
      <c r="H890" s="22">
        <f t="shared" si="32"/>
        <v>26.66784741</v>
      </c>
      <c r="I890" s="22">
        <f t="shared" si="3"/>
        <v>0.920276451</v>
      </c>
      <c r="J890" s="22">
        <f t="shared" si="33"/>
        <v>0.2074027038</v>
      </c>
    </row>
    <row r="891" ht="15.75" customHeight="1">
      <c r="A891" s="25">
        <f>IFERROR(__xludf.DUMMYFUNCTION("""COMPUTED_VALUE"""),42384.66666666667)</f>
        <v>42384.66667</v>
      </c>
      <c r="B891" s="22">
        <f>IFERROR(__xludf.DUMMYFUNCTION("""COMPUTED_VALUE"""),1880.33)</f>
        <v>1880.33</v>
      </c>
      <c r="C891" s="22">
        <f t="shared" si="6"/>
        <v>1881.182192</v>
      </c>
      <c r="D891" s="25">
        <f>IFERROR(__xludf.DUMMYFUNCTION("""COMPUTED_VALUE"""),42364.99861111111)</f>
        <v>42364.99861</v>
      </c>
      <c r="E891" s="22">
        <f>IFERROR(__xludf.DUMMYFUNCTION("""COMPUTED_VALUE"""),1.0972)</f>
        <v>1.0972</v>
      </c>
      <c r="F891" s="22">
        <f t="shared" si="8"/>
        <v>139.72742</v>
      </c>
      <c r="G891" s="22">
        <f t="shared" si="31"/>
        <v>5.062036562</v>
      </c>
      <c r="H891" s="22">
        <f t="shared" si="32"/>
        <v>22.55107158</v>
      </c>
      <c r="I891" s="22">
        <f t="shared" si="3"/>
        <v>0.911410864</v>
      </c>
      <c r="J891" s="22">
        <f t="shared" si="33"/>
        <v>0.2200145826</v>
      </c>
    </row>
    <row r="892" ht="15.75" customHeight="1">
      <c r="A892" s="25">
        <f>IFERROR(__xludf.DUMMYFUNCTION("""COMPUTED_VALUE"""),42391.66666666667)</f>
        <v>42391.66667</v>
      </c>
      <c r="B892" s="22">
        <f>IFERROR(__xludf.DUMMYFUNCTION("""COMPUTED_VALUE"""),1906.9)</f>
        <v>1906.9</v>
      </c>
      <c r="C892" s="22">
        <f t="shared" si="6"/>
        <v>1907.733703</v>
      </c>
      <c r="D892" s="25">
        <f>IFERROR(__xludf.DUMMYFUNCTION("""COMPUTED_VALUE"""),42371.99861111111)</f>
        <v>42371.99861</v>
      </c>
      <c r="E892" s="22">
        <f>IFERROR(__xludf.DUMMYFUNCTION("""COMPUTED_VALUE"""),1.08127)</f>
        <v>1.08127</v>
      </c>
      <c r="F892" s="22">
        <f t="shared" si="8"/>
        <v>139.6422662</v>
      </c>
      <c r="G892" s="22">
        <f t="shared" si="31"/>
        <v>4.987658889</v>
      </c>
      <c r="H892" s="22">
        <f t="shared" si="32"/>
        <v>25.57927545</v>
      </c>
      <c r="I892" s="22">
        <f t="shared" si="3"/>
        <v>0.9248383845</v>
      </c>
      <c r="J892" s="22">
        <f t="shared" si="33"/>
        <v>0.1942438059</v>
      </c>
    </row>
    <row r="893" ht="15.75" customHeight="1">
      <c r="A893" s="25">
        <f>IFERROR(__xludf.DUMMYFUNCTION("""COMPUTED_VALUE"""),42398.66666666667)</f>
        <v>42398.66667</v>
      </c>
      <c r="B893" s="22">
        <f>IFERROR(__xludf.DUMMYFUNCTION("""COMPUTED_VALUE"""),1940.24)</f>
        <v>1940.24</v>
      </c>
      <c r="C893" s="22">
        <f t="shared" si="6"/>
        <v>1941.085483</v>
      </c>
      <c r="D893" s="25">
        <f>IFERROR(__xludf.DUMMYFUNCTION("""COMPUTED_VALUE"""),42378.99861111111)</f>
        <v>42378.99861</v>
      </c>
      <c r="E893" s="22">
        <f>IFERROR(__xludf.DUMMYFUNCTION("""COMPUTED_VALUE"""),1.0918)</f>
        <v>1.0918</v>
      </c>
      <c r="F893" s="22">
        <f t="shared" si="8"/>
        <v>143.4672369</v>
      </c>
      <c r="G893" s="22">
        <f t="shared" si="31"/>
        <v>4.942881085</v>
      </c>
      <c r="H893" s="22">
        <f t="shared" si="32"/>
        <v>22.93759674</v>
      </c>
      <c r="I893" s="22">
        <f t="shared" si="3"/>
        <v>0.9159186664</v>
      </c>
      <c r="J893" s="22">
        <f t="shared" si="33"/>
        <v>0.2203700311</v>
      </c>
    </row>
    <row r="894" ht="15.75" customHeight="1">
      <c r="A894" s="25">
        <f>IFERROR(__xludf.DUMMYFUNCTION("""COMPUTED_VALUE"""),42405.66666666667)</f>
        <v>42405.66667</v>
      </c>
      <c r="B894" s="22">
        <f>IFERROR(__xludf.DUMMYFUNCTION("""COMPUTED_VALUE"""),1880.05)</f>
        <v>1880.05</v>
      </c>
      <c r="C894" s="22">
        <f t="shared" si="6"/>
        <v>1880.910266</v>
      </c>
      <c r="D894" s="25">
        <f>IFERROR(__xludf.DUMMYFUNCTION("""COMPUTED_VALUE"""),42385.99861111111)</f>
        <v>42385.99861</v>
      </c>
      <c r="E894" s="22">
        <f>IFERROR(__xludf.DUMMYFUNCTION("""COMPUTED_VALUE"""),1.09105)</f>
        <v>1.09105</v>
      </c>
      <c r="F894" s="22">
        <f t="shared" si="8"/>
        <v>138.9241387</v>
      </c>
      <c r="G894" s="22">
        <f t="shared" si="31"/>
        <v>1.498709794</v>
      </c>
      <c r="H894" s="22">
        <f t="shared" si="32"/>
        <v>17.72529812</v>
      </c>
      <c r="I894" s="22">
        <f t="shared" si="3"/>
        <v>0.9165482792</v>
      </c>
      <c r="J894" s="22">
        <f t="shared" si="33"/>
        <v>0.2443975986</v>
      </c>
    </row>
    <row r="895" ht="15.75" customHeight="1">
      <c r="A895" s="25">
        <f>IFERROR(__xludf.DUMMYFUNCTION("""COMPUTED_VALUE"""),42412.66666666667)</f>
        <v>42412.66667</v>
      </c>
      <c r="B895" s="22">
        <f>IFERROR(__xludf.DUMMYFUNCTION("""COMPUTED_VALUE"""),1864.78)</f>
        <v>1864.78</v>
      </c>
      <c r="C895" s="22">
        <f t="shared" si="6"/>
        <v>1865.613579</v>
      </c>
      <c r="D895" s="25">
        <f>IFERROR(__xludf.DUMMYFUNCTION("""COMPUTED_VALUE"""),42392.99861111111)</f>
        <v>42392.99861</v>
      </c>
      <c r="E895" s="22">
        <f>IFERROR(__xludf.DUMMYFUNCTION("""COMPUTED_VALUE"""),1.0798)</f>
        <v>1.0798</v>
      </c>
      <c r="F895" s="22">
        <f t="shared" si="8"/>
        <v>136.373504</v>
      </c>
      <c r="G895" s="22">
        <f t="shared" si="31"/>
        <v>-1.56623541</v>
      </c>
      <c r="H895" s="22">
        <f t="shared" si="32"/>
        <v>15.9680732</v>
      </c>
      <c r="I895" s="22">
        <f t="shared" si="3"/>
        <v>0.9260974254</v>
      </c>
      <c r="J895" s="22">
        <f t="shared" si="33"/>
        <v>0.2598629376</v>
      </c>
    </row>
    <row r="896" ht="15.75" customHeight="1">
      <c r="A896" s="25">
        <f>IFERROR(__xludf.DUMMYFUNCTION("""COMPUTED_VALUE"""),42419.66666666667)</f>
        <v>42419.66667</v>
      </c>
      <c r="B896" s="22">
        <f>IFERROR(__xludf.DUMMYFUNCTION("""COMPUTED_VALUE"""),1917.78)</f>
        <v>1917.78</v>
      </c>
      <c r="C896" s="22">
        <f t="shared" si="6"/>
        <v>1918.606808</v>
      </c>
      <c r="D896" s="25">
        <f>IFERROR(__xludf.DUMMYFUNCTION("""COMPUTED_VALUE"""),42398.99861111111)</f>
        <v>42398.99861</v>
      </c>
      <c r="E896" s="22">
        <f>IFERROR(__xludf.DUMMYFUNCTION("""COMPUTED_VALUE"""),1.08299)</f>
        <v>1.08299</v>
      </c>
      <c r="F896" s="22">
        <f t="shared" si="8"/>
        <v>140.6615537</v>
      </c>
      <c r="G896" s="22">
        <f t="shared" si="31"/>
        <v>0.4511096333</v>
      </c>
      <c r="H896" s="22">
        <f t="shared" si="32"/>
        <v>16.67117938</v>
      </c>
      <c r="I896" s="22">
        <f t="shared" si="3"/>
        <v>0.9233695602</v>
      </c>
      <c r="J896" s="22">
        <f t="shared" si="33"/>
        <v>0.2539358628</v>
      </c>
    </row>
    <row r="897" ht="15.75" customHeight="1">
      <c r="A897" s="25">
        <f>IFERROR(__xludf.DUMMYFUNCTION("""COMPUTED_VALUE"""),42426.66666666667)</f>
        <v>42426.66667</v>
      </c>
      <c r="B897" s="22">
        <f>IFERROR(__xludf.DUMMYFUNCTION("""COMPUTED_VALUE"""),1948.05)</f>
        <v>1948.05</v>
      </c>
      <c r="C897" s="22">
        <f t="shared" si="6"/>
        <v>1948.900307</v>
      </c>
      <c r="D897" s="25">
        <f>IFERROR(__xludf.DUMMYFUNCTION("""COMPUTED_VALUE"""),42405.99861111111)</f>
        <v>42405.99861</v>
      </c>
      <c r="E897" s="22">
        <f>IFERROR(__xludf.DUMMYFUNCTION("""COMPUTED_VALUE"""),1.11573)</f>
        <v>1.11573</v>
      </c>
      <c r="F897" s="22">
        <f t="shared" si="8"/>
        <v>147.2020022</v>
      </c>
      <c r="G897" s="22">
        <f t="shared" si="31"/>
        <v>7.141098443</v>
      </c>
      <c r="H897" s="22">
        <f t="shared" si="32"/>
        <v>20.71849146</v>
      </c>
      <c r="I897" s="22">
        <f t="shared" si="3"/>
        <v>0.8962741882</v>
      </c>
      <c r="J897" s="22">
        <f t="shared" si="33"/>
        <v>0.2140930153</v>
      </c>
    </row>
    <row r="898" ht="15.75" customHeight="1">
      <c r="A898" s="25">
        <f>IFERROR(__xludf.DUMMYFUNCTION("""COMPUTED_VALUE"""),42433.66666666667)</f>
        <v>42433.66667</v>
      </c>
      <c r="B898" s="22">
        <f>IFERROR(__xludf.DUMMYFUNCTION("""COMPUTED_VALUE"""),1999.99)</f>
        <v>1999.99</v>
      </c>
      <c r="C898" s="22">
        <f t="shared" si="6"/>
        <v>2000.853729</v>
      </c>
      <c r="D898" s="25">
        <f>IFERROR(__xludf.DUMMYFUNCTION("""COMPUTED_VALUE"""),42412.99861111111)</f>
        <v>42412.99861</v>
      </c>
      <c r="E898" s="22">
        <f>IFERROR(__xludf.DUMMYFUNCTION("""COMPUTED_VALUE"""),1.12535)</f>
        <v>1.12535</v>
      </c>
      <c r="F898" s="22">
        <f t="shared" si="8"/>
        <v>152.4291187</v>
      </c>
      <c r="G898" s="22">
        <f t="shared" si="31"/>
        <v>8.579632684</v>
      </c>
      <c r="H898" s="22">
        <f t="shared" si="32"/>
        <v>22.59271584</v>
      </c>
      <c r="I898" s="22">
        <f t="shared" si="3"/>
        <v>0.8886124317</v>
      </c>
      <c r="J898" s="22">
        <f t="shared" si="33"/>
        <v>0.2147331941</v>
      </c>
    </row>
    <row r="899" ht="15.75" customHeight="1">
      <c r="A899" s="25">
        <f>IFERROR(__xludf.DUMMYFUNCTION("""COMPUTED_VALUE"""),42440.66666666667)</f>
        <v>42440.66667</v>
      </c>
      <c r="B899" s="22">
        <f>IFERROR(__xludf.DUMMYFUNCTION("""COMPUTED_VALUE"""),2022.19)</f>
        <v>2022.19</v>
      </c>
      <c r="C899" s="22">
        <f t="shared" si="6"/>
        <v>2023.076758</v>
      </c>
      <c r="D899" s="25">
        <f>IFERROR(__xludf.DUMMYFUNCTION("""COMPUTED_VALUE"""),42419.99861111111)</f>
        <v>42419.99861</v>
      </c>
      <c r="E899" s="22">
        <f>IFERROR(__xludf.DUMMYFUNCTION("""COMPUTED_VALUE"""),1.11292)</f>
        <v>1.11292</v>
      </c>
      <c r="F899" s="22">
        <f t="shared" si="8"/>
        <v>152.4197659</v>
      </c>
      <c r="G899" s="22">
        <f t="shared" si="31"/>
        <v>9.308741333</v>
      </c>
      <c r="H899" s="22">
        <f t="shared" si="32"/>
        <v>24.0332258</v>
      </c>
      <c r="I899" s="22">
        <f t="shared" si="3"/>
        <v>0.8985371815</v>
      </c>
      <c r="J899" s="22">
        <f t="shared" si="33"/>
        <v>0.2352190634</v>
      </c>
    </row>
    <row r="900" ht="15.75" customHeight="1">
      <c r="A900" s="25">
        <f>IFERROR(__xludf.DUMMYFUNCTION("""COMPUTED_VALUE"""),42447.66666666667)</f>
        <v>42447.66667</v>
      </c>
      <c r="B900" s="22">
        <f>IFERROR(__xludf.DUMMYFUNCTION("""COMPUTED_VALUE"""),2049.58)</f>
        <v>2049.58</v>
      </c>
      <c r="C900" s="22">
        <f t="shared" si="6"/>
        <v>2050.476601</v>
      </c>
      <c r="D900" s="25">
        <f>IFERROR(__xludf.DUMMYFUNCTION("""COMPUTED_VALUE"""),42426.99861111111)</f>
        <v>42426.99861</v>
      </c>
      <c r="E900" s="22">
        <f>IFERROR(__xludf.DUMMYFUNCTION("""COMPUTED_VALUE"""),1.09292)</f>
        <v>1.09292</v>
      </c>
      <c r="F900" s="22">
        <f t="shared" si="8"/>
        <v>151.7078919</v>
      </c>
      <c r="G900" s="22">
        <f t="shared" si="31"/>
        <v>10.52181503</v>
      </c>
      <c r="H900" s="22">
        <f t="shared" si="32"/>
        <v>21.24597115</v>
      </c>
      <c r="I900" s="22">
        <f t="shared" si="3"/>
        <v>0.9149800534</v>
      </c>
      <c r="J900" s="22">
        <f t="shared" si="33"/>
        <v>0.2795081067</v>
      </c>
    </row>
    <row r="901" ht="15.75" customHeight="1">
      <c r="A901" s="25">
        <f>IFERROR(__xludf.DUMMYFUNCTION("""COMPUTED_VALUE"""),42453.66666666667)</f>
        <v>42453.66667</v>
      </c>
      <c r="B901" s="22">
        <f>IFERROR(__xludf.DUMMYFUNCTION("""COMPUTED_VALUE"""),2035.94)</f>
        <v>2035.94</v>
      </c>
      <c r="C901" s="22">
        <f t="shared" si="6"/>
        <v>2036.848745</v>
      </c>
      <c r="D901" s="25">
        <f>IFERROR(__xludf.DUMMYFUNCTION("""COMPUTED_VALUE"""),42433.99861111111)</f>
        <v>42433.99861</v>
      </c>
      <c r="E901" s="22">
        <f>IFERROR(__xludf.DUMMYFUNCTION("""COMPUTED_VALUE"""),1.10056)</f>
        <v>1.10056</v>
      </c>
      <c r="F901" s="22">
        <f t="shared" si="8"/>
        <v>151.7530703</v>
      </c>
      <c r="G901" s="22">
        <f t="shared" si="31"/>
        <v>9.781415297</v>
      </c>
      <c r="H901" s="22">
        <f t="shared" si="32"/>
        <v>23.94017384</v>
      </c>
      <c r="I901" s="22">
        <f t="shared" si="3"/>
        <v>0.9086283347</v>
      </c>
      <c r="J901" s="22">
        <f t="shared" si="33"/>
        <v>0.2594497347</v>
      </c>
    </row>
    <row r="902" ht="15.75" customHeight="1">
      <c r="A902" s="25">
        <f>IFERROR(__xludf.DUMMYFUNCTION("""COMPUTED_VALUE"""),42461.66666666667)</f>
        <v>42461.66667</v>
      </c>
      <c r="B902" s="22">
        <f>IFERROR(__xludf.DUMMYFUNCTION("""COMPUTED_VALUE"""),2072.78)</f>
        <v>2072.78</v>
      </c>
      <c r="C902" s="22">
        <f t="shared" si="6"/>
        <v>2073.682697</v>
      </c>
      <c r="D902" s="25">
        <f>IFERROR(__xludf.DUMMYFUNCTION("""COMPUTED_VALUE"""),42440.99861111111)</f>
        <v>42440.99861</v>
      </c>
      <c r="E902" s="22">
        <f>IFERROR(__xludf.DUMMYFUNCTION("""COMPUTED_VALUE"""),1.1146)</f>
        <v>1.1146</v>
      </c>
      <c r="F902" s="22">
        <f t="shared" si="8"/>
        <v>156.468286</v>
      </c>
      <c r="G902" s="22">
        <f t="shared" si="31"/>
        <v>13.73888903</v>
      </c>
      <c r="H902" s="22">
        <f t="shared" si="32"/>
        <v>27.35250626</v>
      </c>
      <c r="I902" s="22">
        <f t="shared" si="3"/>
        <v>0.8971828459</v>
      </c>
      <c r="J902" s="22">
        <f t="shared" si="33"/>
        <v>0.272330881</v>
      </c>
    </row>
    <row r="903" ht="15.75" customHeight="1">
      <c r="A903" s="25">
        <f>IFERROR(__xludf.DUMMYFUNCTION("""COMPUTED_VALUE"""),42468.66666666667)</f>
        <v>42468.66667</v>
      </c>
      <c r="B903" s="22">
        <f>IFERROR(__xludf.DUMMYFUNCTION("""COMPUTED_VALUE"""),2047.6)</f>
        <v>2047.6</v>
      </c>
      <c r="C903" s="22">
        <f t="shared" si="6"/>
        <v>2048.519031</v>
      </c>
      <c r="D903" s="25">
        <f>IFERROR(__xludf.DUMMYFUNCTION("""COMPUTED_VALUE"""),42447.99861111111)</f>
        <v>42447.99861</v>
      </c>
      <c r="E903" s="22">
        <f>IFERROR(__xludf.DUMMYFUNCTION("""COMPUTED_VALUE"""),1.12692)</f>
        <v>1.12692</v>
      </c>
      <c r="F903" s="22">
        <f t="shared" si="8"/>
        <v>156.2780819</v>
      </c>
      <c r="G903" s="22">
        <f t="shared" si="31"/>
        <v>11.81144708</v>
      </c>
      <c r="H903" s="22">
        <f t="shared" si="32"/>
        <v>24.68030936</v>
      </c>
      <c r="I903" s="22">
        <f t="shared" si="3"/>
        <v>0.8873744365</v>
      </c>
      <c r="J903" s="22">
        <f t="shared" si="33"/>
        <v>0.2500443687</v>
      </c>
    </row>
    <row r="904" ht="15.75" customHeight="1">
      <c r="A904" s="25">
        <f>IFERROR(__xludf.DUMMYFUNCTION("""COMPUTED_VALUE"""),42475.66666666667)</f>
        <v>42475.66667</v>
      </c>
      <c r="B904" s="22">
        <f>IFERROR(__xludf.DUMMYFUNCTION("""COMPUTED_VALUE"""),2080.73)</f>
        <v>2080.73</v>
      </c>
      <c r="C904" s="22">
        <f t="shared" si="6"/>
        <v>2081.637867</v>
      </c>
      <c r="D904" s="25">
        <f>IFERROR(__xludf.DUMMYFUNCTION("""COMPUTED_VALUE"""),42454.99861111111)</f>
        <v>42454.99861</v>
      </c>
      <c r="E904" s="22">
        <f>IFERROR(__xludf.DUMMYFUNCTION("""COMPUTED_VALUE"""),1.11596)</f>
        <v>1.11596</v>
      </c>
      <c r="F904" s="22">
        <f t="shared" si="8"/>
        <v>157.2601879</v>
      </c>
      <c r="G904" s="22">
        <f t="shared" si="31"/>
        <v>16.45788513</v>
      </c>
      <c r="H904" s="22">
        <f t="shared" si="32"/>
        <v>22.39878554</v>
      </c>
      <c r="I904" s="22">
        <f t="shared" si="3"/>
        <v>0.8960894656</v>
      </c>
      <c r="J904" s="22">
        <f t="shared" si="33"/>
        <v>0.2758521811</v>
      </c>
    </row>
    <row r="905" ht="15.75" customHeight="1">
      <c r="A905" s="25">
        <f>IFERROR(__xludf.DUMMYFUNCTION("""COMPUTED_VALUE"""),42482.66666666667)</f>
        <v>42482.66667</v>
      </c>
      <c r="B905" s="22">
        <f>IFERROR(__xludf.DUMMYFUNCTION("""COMPUTED_VALUE"""),2091.58)</f>
        <v>2091.58</v>
      </c>
      <c r="C905" s="22">
        <f t="shared" si="6"/>
        <v>2092.502556</v>
      </c>
      <c r="D905" s="25">
        <f>IFERROR(__xludf.DUMMYFUNCTION("""COMPUTED_VALUE"""),42461.99861111111)</f>
        <v>42461.99861</v>
      </c>
      <c r="E905" s="22">
        <f>IFERROR(__xludf.DUMMYFUNCTION("""COMPUTED_VALUE"""),1.13918)</f>
        <v>1.13918</v>
      </c>
      <c r="F905" s="22">
        <f t="shared" si="8"/>
        <v>161.3701978</v>
      </c>
      <c r="G905" s="22">
        <f t="shared" si="31"/>
        <v>16.54687437</v>
      </c>
      <c r="H905" s="22">
        <f t="shared" si="32"/>
        <v>24.28675575</v>
      </c>
      <c r="I905" s="22">
        <f t="shared" si="3"/>
        <v>0.8778244</v>
      </c>
      <c r="J905" s="22">
        <f t="shared" si="33"/>
        <v>0.267051739</v>
      </c>
    </row>
    <row r="906" ht="15.75" customHeight="1">
      <c r="A906" s="25">
        <f>IFERROR(__xludf.DUMMYFUNCTION("""COMPUTED_VALUE"""),42489.66666666667)</f>
        <v>42489.66667</v>
      </c>
      <c r="B906" s="22">
        <f>IFERROR(__xludf.DUMMYFUNCTION("""COMPUTED_VALUE"""),2065.3)</f>
        <v>2065.3</v>
      </c>
      <c r="C906" s="22">
        <f t="shared" si="6"/>
        <v>2066.227367</v>
      </c>
      <c r="D906" s="25">
        <f>IFERROR(__xludf.DUMMYFUNCTION("""COMPUTED_VALUE"""),42468.99861111111)</f>
        <v>42468.99861</v>
      </c>
      <c r="E906" s="22">
        <f>IFERROR(__xludf.DUMMYFUNCTION("""COMPUTED_VALUE"""),1.13948)</f>
        <v>1.13948</v>
      </c>
      <c r="F906" s="22">
        <f t="shared" si="8"/>
        <v>159.3858632</v>
      </c>
      <c r="G906" s="22">
        <f t="shared" si="31"/>
        <v>11.19286407</v>
      </c>
      <c r="H906" s="22">
        <f t="shared" si="32"/>
        <v>23.59938057</v>
      </c>
      <c r="I906" s="22">
        <f t="shared" si="3"/>
        <v>0.8775932882</v>
      </c>
      <c r="J906" s="22">
        <f t="shared" si="33"/>
        <v>0.2661915962</v>
      </c>
    </row>
    <row r="907" ht="15.75" customHeight="1">
      <c r="A907" s="25">
        <f>IFERROR(__xludf.DUMMYFUNCTION("""COMPUTED_VALUE"""),42496.66666666667)</f>
        <v>42496.66667</v>
      </c>
      <c r="B907" s="22">
        <f>IFERROR(__xludf.DUMMYFUNCTION("""COMPUTED_VALUE"""),2057.14)</f>
        <v>2057.14</v>
      </c>
      <c r="C907" s="22">
        <f t="shared" si="6"/>
        <v>2058.055715</v>
      </c>
      <c r="D907" s="25">
        <f>IFERROR(__xludf.DUMMYFUNCTION("""COMPUTED_VALUE"""),42475.99861111111)</f>
        <v>42475.99861</v>
      </c>
      <c r="E907" s="22">
        <f>IFERROR(__xludf.DUMMYFUNCTION("""COMPUTED_VALUE"""),1.12835)</f>
        <v>1.12835</v>
      </c>
      <c r="F907" s="22">
        <f t="shared" si="8"/>
        <v>157.204851</v>
      </c>
      <c r="G907" s="22">
        <f t="shared" si="31"/>
        <v>8.858248637</v>
      </c>
      <c r="H907" s="22">
        <f t="shared" si="32"/>
        <v>19.2050883</v>
      </c>
      <c r="I907" s="22">
        <f t="shared" si="3"/>
        <v>0.8862498338</v>
      </c>
      <c r="J907" s="22">
        <f t="shared" si="33"/>
        <v>0.2903797581</v>
      </c>
    </row>
    <row r="908" ht="15.75" customHeight="1">
      <c r="A908" s="25">
        <f>IFERROR(__xludf.DUMMYFUNCTION("""COMPUTED_VALUE"""),42503.66666666667)</f>
        <v>42503.66667</v>
      </c>
      <c r="B908" s="22">
        <f>IFERROR(__xludf.DUMMYFUNCTION("""COMPUTED_VALUE"""),2046.61)</f>
        <v>2046.61</v>
      </c>
      <c r="C908" s="22">
        <f t="shared" si="6"/>
        <v>2047.522097</v>
      </c>
      <c r="D908" s="25">
        <f>IFERROR(__xludf.DUMMYFUNCTION("""COMPUTED_VALUE"""),42483.99861111111)</f>
        <v>42483.99861</v>
      </c>
      <c r="E908" s="22">
        <f>IFERROR(__xludf.DUMMYFUNCTION("""COMPUTED_VALUE"""),1.1221)</f>
        <v>1.1221</v>
      </c>
      <c r="F908" s="22">
        <f t="shared" si="8"/>
        <v>155.5339287</v>
      </c>
      <c r="G908" s="22">
        <f t="shared" si="31"/>
        <v>5.792292411</v>
      </c>
      <c r="H908" s="22">
        <f t="shared" si="32"/>
        <v>13.66346428</v>
      </c>
      <c r="I908" s="22">
        <f t="shared" si="3"/>
        <v>0.8911861688</v>
      </c>
      <c r="J908" s="22">
        <f t="shared" si="33"/>
        <v>0.3204705463</v>
      </c>
    </row>
    <row r="909" ht="15.75" customHeight="1">
      <c r="A909" s="25">
        <f>IFERROR(__xludf.DUMMYFUNCTION("""COMPUTED_VALUE"""),42510.66666666667)</f>
        <v>42510.66667</v>
      </c>
      <c r="B909" s="22">
        <f>IFERROR(__xludf.DUMMYFUNCTION("""COMPUTED_VALUE"""),2052.32)</f>
        <v>2052.32</v>
      </c>
      <c r="C909" s="22">
        <f t="shared" si="6"/>
        <v>2053.227428</v>
      </c>
      <c r="D909" s="25">
        <f>IFERROR(__xludf.DUMMYFUNCTION("""COMPUTED_VALUE"""),42489.99861111111)</f>
        <v>42489.99861</v>
      </c>
      <c r="E909" s="22">
        <f>IFERROR(__xludf.DUMMYFUNCTION("""COMPUTED_VALUE"""),1.1447)</f>
        <v>1.1447</v>
      </c>
      <c r="F909" s="22">
        <f t="shared" si="8"/>
        <v>159.1086249</v>
      </c>
      <c r="G909" s="22">
        <f t="shared" si="31"/>
        <v>8.581101054</v>
      </c>
      <c r="H909" s="22">
        <f t="shared" si="32"/>
        <v>20.95809092</v>
      </c>
      <c r="I909" s="22">
        <f t="shared" si="3"/>
        <v>0.873591334</v>
      </c>
      <c r="J909" s="22">
        <f t="shared" si="33"/>
        <v>0.2660085612</v>
      </c>
    </row>
    <row r="910" ht="15.75" customHeight="1">
      <c r="A910" s="25">
        <f>IFERROR(__xludf.DUMMYFUNCTION("""COMPUTED_VALUE"""),42517.66666666667)</f>
        <v>42517.66667</v>
      </c>
      <c r="B910" s="22">
        <f>IFERROR(__xludf.DUMMYFUNCTION("""COMPUTED_VALUE"""),2099.06)</f>
        <v>2099.06</v>
      </c>
      <c r="C910" s="22">
        <f t="shared" si="6"/>
        <v>2099.96996</v>
      </c>
      <c r="D910" s="25">
        <f>IFERROR(__xludf.DUMMYFUNCTION("""COMPUTED_VALUE"""),42496.99861111111)</f>
        <v>42496.99861</v>
      </c>
      <c r="E910" s="22">
        <f>IFERROR(__xludf.DUMMYFUNCTION("""COMPUTED_VALUE"""),1.14031)</f>
        <v>1.14031</v>
      </c>
      <c r="F910" s="22">
        <f t="shared" si="8"/>
        <v>162.1067122</v>
      </c>
      <c r="G910" s="22">
        <f t="shared" si="31"/>
        <v>12.97452861</v>
      </c>
      <c r="H910" s="22">
        <f t="shared" si="32"/>
        <v>26.74162847</v>
      </c>
      <c r="I910" s="22">
        <f t="shared" si="3"/>
        <v>0.8769545124</v>
      </c>
      <c r="J910" s="22">
        <f t="shared" si="33"/>
        <v>0.2379966851</v>
      </c>
    </row>
    <row r="911" ht="15.75" customHeight="1">
      <c r="A911" s="25">
        <f>IFERROR(__xludf.DUMMYFUNCTION("""COMPUTED_VALUE"""),42524.66666666667)</f>
        <v>42524.66667</v>
      </c>
      <c r="B911" s="22">
        <f>IFERROR(__xludf.DUMMYFUNCTION("""COMPUTED_VALUE"""),2099.13)</f>
        <v>2099.13</v>
      </c>
      <c r="C911" s="22">
        <f t="shared" si="6"/>
        <v>2100.060683</v>
      </c>
      <c r="D911" s="25">
        <f>IFERROR(__xludf.DUMMYFUNCTION("""COMPUTED_VALUE"""),42503.99861111111)</f>
        <v>42503.99861</v>
      </c>
      <c r="E911" s="22">
        <f>IFERROR(__xludf.DUMMYFUNCTION("""COMPUTED_VALUE"""),1.13061)</f>
        <v>1.13061</v>
      </c>
      <c r="F911" s="22">
        <f t="shared" si="8"/>
        <v>160.7347019</v>
      </c>
      <c r="G911" s="22">
        <f t="shared" si="31"/>
        <v>12.4911258</v>
      </c>
      <c r="H911" s="22">
        <f t="shared" si="32"/>
        <v>25.62137549</v>
      </c>
      <c r="I911" s="22">
        <f t="shared" si="3"/>
        <v>0.8844782905</v>
      </c>
      <c r="J911" s="22">
        <f t="shared" si="33"/>
        <v>0.2533057376</v>
      </c>
    </row>
    <row r="912" ht="15.75" customHeight="1">
      <c r="A912" s="25">
        <f>IFERROR(__xludf.DUMMYFUNCTION("""COMPUTED_VALUE"""),42531.66666666667)</f>
        <v>42531.66667</v>
      </c>
      <c r="B912" s="22">
        <f>IFERROR(__xludf.DUMMYFUNCTION("""COMPUTED_VALUE"""),2096.07)</f>
        <v>2096.07</v>
      </c>
      <c r="C912" s="22">
        <f t="shared" si="6"/>
        <v>2097.000715</v>
      </c>
      <c r="D912" s="25">
        <f>IFERROR(__xludf.DUMMYFUNCTION("""COMPUTED_VALUE"""),42510.99861111111)</f>
        <v>42510.99861</v>
      </c>
      <c r="E912" s="22">
        <f>IFERROR(__xludf.DUMMYFUNCTION("""COMPUTED_VALUE"""),1.1222)</f>
        <v>1.1222</v>
      </c>
      <c r="F912" s="22">
        <f t="shared" si="8"/>
        <v>159.3066207</v>
      </c>
      <c r="G912" s="22">
        <f t="shared" si="31"/>
        <v>11.82187493</v>
      </c>
      <c r="H912" s="22">
        <f t="shared" si="32"/>
        <v>23.71304281</v>
      </c>
      <c r="I912" s="22">
        <f t="shared" si="3"/>
        <v>0.8911067546</v>
      </c>
      <c r="J912" s="22">
        <f t="shared" si="33"/>
        <v>0.2728568883</v>
      </c>
    </row>
    <row r="913" ht="15.75" customHeight="1">
      <c r="A913" s="25">
        <f>IFERROR(__xludf.DUMMYFUNCTION("""COMPUTED_VALUE"""),42538.66666666667)</f>
        <v>42538.66667</v>
      </c>
      <c r="B913" s="22">
        <f>IFERROR(__xludf.DUMMYFUNCTION("""COMPUTED_VALUE"""),2071.22)</f>
        <v>2071.22</v>
      </c>
      <c r="C913" s="22">
        <f t="shared" si="6"/>
        <v>2072.149358</v>
      </c>
      <c r="D913" s="25">
        <f>IFERROR(__xludf.DUMMYFUNCTION("""COMPUTED_VALUE"""),42517.99861111111)</f>
        <v>42517.99861</v>
      </c>
      <c r="E913" s="22">
        <f>IFERROR(__xludf.DUMMYFUNCTION("""COMPUTED_VALUE"""),1.11111)</f>
        <v>1.11111</v>
      </c>
      <c r="F913" s="22">
        <f t="shared" si="8"/>
        <v>155.8630227</v>
      </c>
      <c r="G913" s="22">
        <f t="shared" si="31"/>
        <v>11.2102498</v>
      </c>
      <c r="H913" s="22">
        <f t="shared" si="32"/>
        <v>20.98732913</v>
      </c>
      <c r="I913" s="22">
        <f t="shared" si="3"/>
        <v>0.9000009</v>
      </c>
      <c r="J913" s="22">
        <f t="shared" si="33"/>
        <v>0.3167013167</v>
      </c>
    </row>
    <row r="914" ht="15.75" customHeight="1">
      <c r="A914" s="25">
        <f>IFERROR(__xludf.DUMMYFUNCTION("""COMPUTED_VALUE"""),42545.66666666667)</f>
        <v>42545.66667</v>
      </c>
      <c r="B914" s="22">
        <f>IFERROR(__xludf.DUMMYFUNCTION("""COMPUTED_VALUE"""),2037.41)</f>
        <v>2037.41</v>
      </c>
      <c r="C914" s="22">
        <f t="shared" si="6"/>
        <v>2038.32834</v>
      </c>
      <c r="D914" s="25">
        <f>IFERROR(__xludf.DUMMYFUNCTION("""COMPUTED_VALUE"""),42524.99861111111)</f>
        <v>42524.99861</v>
      </c>
      <c r="E914" s="22">
        <f>IFERROR(__xludf.DUMMYFUNCTION("""COMPUTED_VALUE"""),1.13654)</f>
        <v>1.13654</v>
      </c>
      <c r="F914" s="22">
        <f t="shared" si="8"/>
        <v>156.8280889</v>
      </c>
      <c r="G914" s="22">
        <f t="shared" si="31"/>
        <v>9.030902602</v>
      </c>
      <c r="H914" s="22">
        <f t="shared" si="32"/>
        <v>26.84637385</v>
      </c>
      <c r="I914" s="22">
        <f t="shared" si="3"/>
        <v>0.8798634452</v>
      </c>
      <c r="J914" s="22">
        <f t="shared" si="33"/>
        <v>0.2637478663</v>
      </c>
    </row>
    <row r="915" ht="15.75" customHeight="1">
      <c r="A915" s="25">
        <f>IFERROR(__xludf.DUMMYFUNCTION("""COMPUTED_VALUE"""),42552.66666666667)</f>
        <v>42552.66667</v>
      </c>
      <c r="B915" s="22">
        <f>IFERROR(__xludf.DUMMYFUNCTION("""COMPUTED_VALUE"""),2102.95)</f>
        <v>2102.95</v>
      </c>
      <c r="C915" s="22">
        <f t="shared" si="6"/>
        <v>2103.853349</v>
      </c>
      <c r="D915" s="25">
        <f>IFERROR(__xludf.DUMMYFUNCTION("""COMPUTED_VALUE"""),42531.99861111111)</f>
        <v>42531.99861</v>
      </c>
      <c r="E915" s="22">
        <f>IFERROR(__xludf.DUMMYFUNCTION("""COMPUTED_VALUE"""),1.12512)</f>
        <v>1.12512</v>
      </c>
      <c r="F915" s="22">
        <f t="shared" si="8"/>
        <v>160.2430826</v>
      </c>
      <c r="G915" s="22">
        <f t="shared" si="31"/>
        <v>8.638262724</v>
      </c>
      <c r="H915" s="22">
        <f t="shared" si="32"/>
        <v>29.90958487</v>
      </c>
      <c r="I915" s="22">
        <f t="shared" si="3"/>
        <v>0.8887940842</v>
      </c>
      <c r="J915" s="22">
        <f t="shared" si="33"/>
        <v>0.2731086462</v>
      </c>
    </row>
    <row r="916" ht="15.75" customHeight="1">
      <c r="A916" s="25">
        <f>IFERROR(__xludf.DUMMYFUNCTION("""COMPUTED_VALUE"""),42559.66666666667)</f>
        <v>42559.66667</v>
      </c>
      <c r="B916" s="22">
        <f>IFERROR(__xludf.DUMMYFUNCTION("""COMPUTED_VALUE"""),2129.9)</f>
        <v>2129.9</v>
      </c>
      <c r="C916" s="22">
        <f t="shared" si="6"/>
        <v>2130.832408</v>
      </c>
      <c r="D916" s="25">
        <f>IFERROR(__xludf.DUMMYFUNCTION("""COMPUTED_VALUE"""),42538.99861111111)</f>
        <v>42538.99861</v>
      </c>
      <c r="E916" s="22">
        <f>IFERROR(__xludf.DUMMYFUNCTION("""COMPUTED_VALUE"""),1.12736)</f>
        <v>1.12736</v>
      </c>
      <c r="F916" s="22">
        <f t="shared" si="8"/>
        <v>162.6211011</v>
      </c>
      <c r="G916" s="22">
        <f t="shared" si="31"/>
        <v>8.909685429</v>
      </c>
      <c r="H916" s="22">
        <f t="shared" si="32"/>
        <v>33.43987564</v>
      </c>
      <c r="I916" s="22">
        <f t="shared" si="3"/>
        <v>0.8870281011</v>
      </c>
      <c r="J916" s="22">
        <f t="shared" si="33"/>
        <v>0.2583380641</v>
      </c>
    </row>
    <row r="917" ht="15.75" customHeight="1">
      <c r="A917" s="25">
        <f>IFERROR(__xludf.DUMMYFUNCTION("""COMPUTED_VALUE"""),42566.66666666667)</f>
        <v>42566.66667</v>
      </c>
      <c r="B917" s="22">
        <f>IFERROR(__xludf.DUMMYFUNCTION("""COMPUTED_VALUE"""),2161.74)</f>
        <v>2161.74</v>
      </c>
      <c r="C917" s="22">
        <f t="shared" si="6"/>
        <v>2162.684357</v>
      </c>
      <c r="D917" s="25">
        <f>IFERROR(__xludf.DUMMYFUNCTION("""COMPUTED_VALUE"""),42545.99861111111)</f>
        <v>42545.99861</v>
      </c>
      <c r="E917" s="22">
        <f>IFERROR(__xludf.DUMMYFUNCTION("""COMPUTED_VALUE"""),1.1186)</f>
        <v>1.1186</v>
      </c>
      <c r="F917" s="22">
        <f t="shared" si="8"/>
        <v>163.7694673</v>
      </c>
      <c r="G917" s="22">
        <f t="shared" si="31"/>
        <v>9.852367162</v>
      </c>
      <c r="H917" s="22">
        <f t="shared" si="32"/>
        <v>24.44289502</v>
      </c>
      <c r="I917" s="22">
        <f t="shared" si="3"/>
        <v>0.8939746111</v>
      </c>
      <c r="J917" s="22">
        <f t="shared" si="33"/>
        <v>0.2967101734</v>
      </c>
    </row>
    <row r="918" ht="15.75" customHeight="1">
      <c r="A918" s="25">
        <f>IFERROR(__xludf.DUMMYFUNCTION("""COMPUTED_VALUE"""),42573.66666666667)</f>
        <v>42573.66667</v>
      </c>
      <c r="B918" s="22">
        <f>IFERROR(__xludf.DUMMYFUNCTION("""COMPUTED_VALUE"""),2175.03)</f>
        <v>2175.03</v>
      </c>
      <c r="C918" s="22">
        <f t="shared" si="6"/>
        <v>2175.988475</v>
      </c>
      <c r="D918" s="25">
        <f>IFERROR(__xludf.DUMMYFUNCTION("""COMPUTED_VALUE"""),42552.99861111111)</f>
        <v>42552.99861</v>
      </c>
      <c r="E918" s="22">
        <f>IFERROR(__xludf.DUMMYFUNCTION("""COMPUTED_VALUE"""),1.11383)</f>
        <v>1.11383</v>
      </c>
      <c r="F918" s="22">
        <f t="shared" si="8"/>
        <v>164.0742713</v>
      </c>
      <c r="G918" s="22">
        <f t="shared" si="31"/>
        <v>11.60356622</v>
      </c>
      <c r="H918" s="22">
        <f t="shared" si="32"/>
        <v>26.39737628</v>
      </c>
      <c r="I918" s="22">
        <f t="shared" si="3"/>
        <v>0.8978030759</v>
      </c>
      <c r="J918" s="22">
        <f t="shared" si="33"/>
        <v>0.2805365271</v>
      </c>
    </row>
    <row r="919" ht="15.75" customHeight="1">
      <c r="A919" s="25">
        <f>IFERROR(__xludf.DUMMYFUNCTION("""COMPUTED_VALUE"""),42580.66666666667)</f>
        <v>42580.66667</v>
      </c>
      <c r="B919" s="22">
        <f>IFERROR(__xludf.DUMMYFUNCTION("""COMPUTED_VALUE"""),2173.6)</f>
        <v>2173.6</v>
      </c>
      <c r="C919" s="22">
        <f t="shared" si="6"/>
        <v>2174.564367</v>
      </c>
      <c r="D919" s="25">
        <f>IFERROR(__xludf.DUMMYFUNCTION("""COMPUTED_VALUE"""),42559.99861111111)</f>
        <v>42559.99861</v>
      </c>
      <c r="E919" s="22">
        <f>IFERROR(__xludf.DUMMYFUNCTION("""COMPUTED_VALUE"""),1.10498)</f>
        <v>1.10498</v>
      </c>
      <c r="F919" s="22">
        <f t="shared" si="8"/>
        <v>162.6640822</v>
      </c>
      <c r="G919" s="22">
        <f t="shared" si="31"/>
        <v>7.518018802</v>
      </c>
      <c r="H919" s="22">
        <f t="shared" si="32"/>
        <v>28.92847473</v>
      </c>
      <c r="I919" s="22">
        <f t="shared" si="3"/>
        <v>0.9049937555</v>
      </c>
      <c r="J919" s="22">
        <f t="shared" si="33"/>
        <v>0.2809281616</v>
      </c>
    </row>
    <row r="920" ht="15.75" customHeight="1">
      <c r="A920" s="25">
        <f>IFERROR(__xludf.DUMMYFUNCTION("""COMPUTED_VALUE"""),42587.66666666667)</f>
        <v>42587.66667</v>
      </c>
      <c r="B920" s="22">
        <f>IFERROR(__xludf.DUMMYFUNCTION("""COMPUTED_VALUE"""),2182.87)</f>
        <v>2182.87</v>
      </c>
      <c r="C920" s="22">
        <f t="shared" si="6"/>
        <v>2183.833733</v>
      </c>
      <c r="D920" s="25">
        <f>IFERROR(__xludf.DUMMYFUNCTION("""COMPUTED_VALUE"""),42566.99861111111)</f>
        <v>42566.99861</v>
      </c>
      <c r="E920" s="22">
        <f>IFERROR(__xludf.DUMMYFUNCTION("""COMPUTED_VALUE"""),1.10221)</f>
        <v>1.10221</v>
      </c>
      <c r="F920" s="22">
        <f t="shared" si="8"/>
        <v>162.9479494</v>
      </c>
      <c r="G920" s="22">
        <f t="shared" si="31"/>
        <v>8.220693606</v>
      </c>
      <c r="H920" s="22">
        <f t="shared" si="32"/>
        <v>24.54366217</v>
      </c>
      <c r="I920" s="22">
        <f t="shared" si="3"/>
        <v>0.9072681249</v>
      </c>
      <c r="J920" s="22">
        <f t="shared" si="33"/>
        <v>0.3031092079</v>
      </c>
    </row>
    <row r="921" ht="15.75" customHeight="1">
      <c r="A921" s="25">
        <f>IFERROR(__xludf.DUMMYFUNCTION("""COMPUTED_VALUE"""),42594.66666666667)</f>
        <v>42594.66667</v>
      </c>
      <c r="B921" s="22">
        <f>IFERROR(__xludf.DUMMYFUNCTION("""COMPUTED_VALUE"""),2184.05)</f>
        <v>2184.05</v>
      </c>
      <c r="C921" s="22">
        <f t="shared" si="6"/>
        <v>2185.017843</v>
      </c>
      <c r="D921" s="25">
        <f>IFERROR(__xludf.DUMMYFUNCTION("""COMPUTED_VALUE"""),42573.99861111111)</f>
        <v>42573.99861</v>
      </c>
      <c r="E921" s="22">
        <f>IFERROR(__xludf.DUMMYFUNCTION("""COMPUTED_VALUE"""),1.09752)</f>
        <v>1.09752</v>
      </c>
      <c r="F921" s="22">
        <f t="shared" si="8"/>
        <v>162.3425687</v>
      </c>
      <c r="G921" s="22">
        <f t="shared" si="31"/>
        <v>9.024064199</v>
      </c>
      <c r="H921" s="22">
        <f t="shared" si="32"/>
        <v>28.95279604</v>
      </c>
      <c r="I921" s="22">
        <f t="shared" si="3"/>
        <v>0.9111451272</v>
      </c>
      <c r="J921" s="22">
        <f t="shared" si="33"/>
        <v>0.310591151</v>
      </c>
    </row>
    <row r="922" ht="15.75" customHeight="1">
      <c r="A922" s="25">
        <f>IFERROR(__xludf.DUMMYFUNCTION("""COMPUTED_VALUE"""),42601.66666666667)</f>
        <v>42601.66667</v>
      </c>
      <c r="B922" s="22">
        <f>IFERROR(__xludf.DUMMYFUNCTION("""COMPUTED_VALUE"""),2183.87)</f>
        <v>2183.87</v>
      </c>
      <c r="C922" s="22">
        <f t="shared" si="6"/>
        <v>2184.838366</v>
      </c>
      <c r="D922" s="25">
        <f>IFERROR(__xludf.DUMMYFUNCTION("""COMPUTED_VALUE"""),42580.99861111111)</f>
        <v>42580.99861</v>
      </c>
      <c r="E922" s="22">
        <f>IFERROR(__xludf.DUMMYFUNCTION("""COMPUTED_VALUE"""),1.11722)</f>
        <v>1.11722</v>
      </c>
      <c r="F922" s="22">
        <f t="shared" si="8"/>
        <v>165.2429721</v>
      </c>
      <c r="G922" s="22">
        <f t="shared" si="31"/>
        <v>10.43654351</v>
      </c>
      <c r="H922" s="22">
        <f t="shared" si="32"/>
        <v>43.70898288</v>
      </c>
      <c r="I922" s="22">
        <f t="shared" si="3"/>
        <v>0.8950788564</v>
      </c>
      <c r="J922" s="22">
        <f t="shared" si="33"/>
        <v>0.2669841213</v>
      </c>
    </row>
    <row r="923" ht="15.75" customHeight="1">
      <c r="A923" s="25">
        <f>IFERROR(__xludf.DUMMYFUNCTION("""COMPUTED_VALUE"""),42608.66666666667)</f>
        <v>42608.66667</v>
      </c>
      <c r="B923" s="22">
        <f>IFERROR(__xludf.DUMMYFUNCTION("""COMPUTED_VALUE"""),2169.04)</f>
        <v>2169.04</v>
      </c>
      <c r="C923" s="22">
        <f t="shared" si="6"/>
        <v>2170.008287</v>
      </c>
      <c r="D923" s="25">
        <f>IFERROR(__xludf.DUMMYFUNCTION("""COMPUTED_VALUE"""),42587.99861111111)</f>
        <v>42587.99861</v>
      </c>
      <c r="E923" s="22">
        <f>IFERROR(__xludf.DUMMYFUNCTION("""COMPUTED_VALUE"""),1.10865)</f>
        <v>1.10865</v>
      </c>
      <c r="F923" s="22">
        <f t="shared" si="8"/>
        <v>162.8624021</v>
      </c>
      <c r="G923" s="22">
        <f t="shared" si="31"/>
        <v>10.38070143</v>
      </c>
      <c r="H923" s="22">
        <f t="shared" si="32"/>
        <v>43.16332681</v>
      </c>
      <c r="I923" s="22">
        <f t="shared" si="3"/>
        <v>0.9019979254</v>
      </c>
      <c r="J923" s="22">
        <f t="shared" si="33"/>
        <v>0.2852568439</v>
      </c>
    </row>
    <row r="924" ht="15.75" customHeight="1">
      <c r="A924" s="25">
        <f>IFERROR(__xludf.DUMMYFUNCTION("""COMPUTED_VALUE"""),42615.66666666667)</f>
        <v>42615.66667</v>
      </c>
      <c r="B924" s="22">
        <f>IFERROR(__xludf.DUMMYFUNCTION("""COMPUTED_VALUE"""),2179.98)</f>
        <v>2179.98</v>
      </c>
      <c r="C924" s="22">
        <f t="shared" si="6"/>
        <v>2180.941711</v>
      </c>
      <c r="D924" s="25">
        <f>IFERROR(__xludf.DUMMYFUNCTION("""COMPUTED_VALUE"""),42594.99861111111)</f>
        <v>42594.99861</v>
      </c>
      <c r="E924" s="22">
        <f>IFERROR(__xludf.DUMMYFUNCTION("""COMPUTED_VALUE"""),1.11629)</f>
        <v>1.11629</v>
      </c>
      <c r="F924" s="22">
        <f t="shared" si="8"/>
        <v>164.8109548</v>
      </c>
      <c r="G924" s="22">
        <f t="shared" si="31"/>
        <v>10.30392972</v>
      </c>
      <c r="H924" s="22">
        <f t="shared" si="32"/>
        <v>50.34570432</v>
      </c>
      <c r="I924" s="22">
        <f t="shared" si="3"/>
        <v>0.8958245617</v>
      </c>
      <c r="J924" s="22">
        <f t="shared" si="33"/>
        <v>0.2905248636</v>
      </c>
    </row>
    <row r="925" ht="15.75" customHeight="1">
      <c r="A925" s="25">
        <f>IFERROR(__xludf.DUMMYFUNCTION("""COMPUTED_VALUE"""),42622.66666666667)</f>
        <v>42622.66667</v>
      </c>
      <c r="B925" s="22">
        <f>IFERROR(__xludf.DUMMYFUNCTION("""COMPUTED_VALUE"""),2127.81)</f>
        <v>2127.81</v>
      </c>
      <c r="C925" s="22">
        <f t="shared" si="6"/>
        <v>2128.776562</v>
      </c>
      <c r="D925" s="25">
        <f>IFERROR(__xludf.DUMMYFUNCTION("""COMPUTED_VALUE"""),42601.99861111111)</f>
        <v>42601.99861</v>
      </c>
      <c r="E925" s="22">
        <f>IFERROR(__xludf.DUMMYFUNCTION("""COMPUTED_VALUE"""),1.13226)</f>
        <v>1.13226</v>
      </c>
      <c r="F925" s="22">
        <f t="shared" si="8"/>
        <v>163.1703433</v>
      </c>
      <c r="G925" s="22">
        <f t="shared" si="31"/>
        <v>6.666742369</v>
      </c>
      <c r="H925" s="22">
        <f t="shared" si="32"/>
        <v>41.57659287</v>
      </c>
      <c r="I925" s="22">
        <f t="shared" si="3"/>
        <v>0.8831893735</v>
      </c>
      <c r="J925" s="22">
        <f t="shared" si="33"/>
        <v>0.277180153</v>
      </c>
    </row>
    <row r="926" ht="15.75" customHeight="1">
      <c r="A926" s="25">
        <f>IFERROR(__xludf.DUMMYFUNCTION("""COMPUTED_VALUE"""),42629.66666666667)</f>
        <v>42629.66667</v>
      </c>
      <c r="B926" s="22">
        <f>IFERROR(__xludf.DUMMYFUNCTION("""COMPUTED_VALUE"""),2139.16)</f>
        <v>2139.16</v>
      </c>
      <c r="C926" s="22">
        <f t="shared" si="6"/>
        <v>2140.103431</v>
      </c>
      <c r="D926" s="25">
        <f>IFERROR(__xludf.DUMMYFUNCTION("""COMPUTED_VALUE"""),42608.99861111111)</f>
        <v>42608.99861</v>
      </c>
      <c r="E926" s="22">
        <f>IFERROR(__xludf.DUMMYFUNCTION("""COMPUTED_VALUE"""),1.11947)</f>
        <v>1.11947</v>
      </c>
      <c r="F926" s="22">
        <f t="shared" si="8"/>
        <v>162.1855677</v>
      </c>
      <c r="G926" s="22">
        <f t="shared" si="31"/>
        <v>5.922145736</v>
      </c>
      <c r="H926" s="22">
        <f t="shared" si="32"/>
        <v>43.7421858</v>
      </c>
      <c r="I926" s="22">
        <f t="shared" si="3"/>
        <v>0.8932798556</v>
      </c>
      <c r="J926" s="22">
        <f t="shared" si="33"/>
        <v>0.2676534431</v>
      </c>
    </row>
    <row r="927" ht="15.75" customHeight="1">
      <c r="A927" s="25">
        <f>IFERROR(__xludf.DUMMYFUNCTION("""COMPUTED_VALUE"""),42636.66666666667)</f>
        <v>42636.66667</v>
      </c>
      <c r="B927" s="22">
        <f>IFERROR(__xludf.DUMMYFUNCTION("""COMPUTED_VALUE"""),2164.69)</f>
        <v>2164.69</v>
      </c>
      <c r="C927" s="22">
        <f t="shared" si="6"/>
        <v>2165.638463</v>
      </c>
      <c r="D927" s="25">
        <f>IFERROR(__xludf.DUMMYFUNCTION("""COMPUTED_VALUE"""),42616.99861111111)</f>
        <v>42616.99861</v>
      </c>
      <c r="E927" s="22">
        <f>IFERROR(__xludf.DUMMYFUNCTION("""COMPUTED_VALUE"""),1.1153)</f>
        <v>1.1153</v>
      </c>
      <c r="F927" s="22">
        <f t="shared" si="8"/>
        <v>163.5093683</v>
      </c>
      <c r="G927" s="22">
        <f t="shared" si="31"/>
        <v>8.284035823</v>
      </c>
      <c r="H927" s="22">
        <f t="shared" si="32"/>
        <v>53.18971029</v>
      </c>
      <c r="I927" s="22">
        <f t="shared" si="3"/>
        <v>0.8966197436</v>
      </c>
      <c r="J927" s="22">
        <f t="shared" si="33"/>
        <v>0.2242445979</v>
      </c>
    </row>
    <row r="928" ht="15.75" customHeight="1">
      <c r="A928" s="25">
        <f>IFERROR(__xludf.DUMMYFUNCTION("""COMPUTED_VALUE"""),42643.66666666667)</f>
        <v>42643.66667</v>
      </c>
      <c r="B928" s="22">
        <f>IFERROR(__xludf.DUMMYFUNCTION("""COMPUTED_VALUE"""),2168.27)</f>
        <v>2168.27</v>
      </c>
      <c r="C928" s="22">
        <f t="shared" si="6"/>
        <v>2169.229783</v>
      </c>
      <c r="D928" s="25">
        <f>IFERROR(__xludf.DUMMYFUNCTION("""COMPUTED_VALUE"""),42623.99861111111)</f>
        <v>42623.99861</v>
      </c>
      <c r="E928" s="22">
        <f>IFERROR(__xludf.DUMMYFUNCTION("""COMPUTED_VALUE"""),1.1229)</f>
        <v>1.1229</v>
      </c>
      <c r="F928" s="22">
        <f t="shared" si="8"/>
        <v>164.8965703</v>
      </c>
      <c r="G928" s="22">
        <f t="shared" si="31"/>
        <v>8.305990624</v>
      </c>
      <c r="H928" s="22">
        <f t="shared" si="32"/>
        <v>45.2302155</v>
      </c>
      <c r="I928" s="22">
        <f t="shared" si="3"/>
        <v>0.8905512512</v>
      </c>
      <c r="J928" s="22">
        <f t="shared" si="33"/>
        <v>0.2278030101</v>
      </c>
    </row>
    <row r="929" ht="15.75" customHeight="1">
      <c r="A929" s="25">
        <f>IFERROR(__xludf.DUMMYFUNCTION("""COMPUTED_VALUE"""),42650.66666666667)</f>
        <v>42650.66667</v>
      </c>
      <c r="B929" s="22">
        <f>IFERROR(__xludf.DUMMYFUNCTION("""COMPUTED_VALUE"""),2153.74)</f>
        <v>2153.74</v>
      </c>
      <c r="C929" s="22">
        <f t="shared" si="6"/>
        <v>2154.70137</v>
      </c>
      <c r="D929" s="25">
        <f>IFERROR(__xludf.DUMMYFUNCTION("""COMPUTED_VALUE"""),42629.99861111111)</f>
        <v>42629.99861</v>
      </c>
      <c r="E929" s="22">
        <f>IFERROR(__xludf.DUMMYFUNCTION("""COMPUTED_VALUE"""),1.11555)</f>
        <v>1.11555</v>
      </c>
      <c r="F929" s="22">
        <f t="shared" si="8"/>
        <v>162.7200656</v>
      </c>
      <c r="G929" s="22">
        <f t="shared" si="31"/>
        <v>4.314901366</v>
      </c>
      <c r="H929" s="22">
        <f t="shared" si="32"/>
        <v>56.45003636</v>
      </c>
      <c r="I929" s="22">
        <f t="shared" si="3"/>
        <v>0.8964188069</v>
      </c>
      <c r="J929" s="22">
        <f t="shared" si="33"/>
        <v>0.2113307337</v>
      </c>
    </row>
    <row r="930" ht="15.75" customHeight="1">
      <c r="A930" s="25">
        <f>IFERROR(__xludf.DUMMYFUNCTION("""COMPUTED_VALUE"""),42657.66666666667)</f>
        <v>42657.66667</v>
      </c>
      <c r="B930" s="22">
        <f>IFERROR(__xludf.DUMMYFUNCTION("""COMPUTED_VALUE"""),2132.98)</f>
        <v>2132.98</v>
      </c>
      <c r="C930" s="22">
        <f t="shared" si="6"/>
        <v>2133.934928</v>
      </c>
      <c r="D930" s="25">
        <f>IFERROR(__xludf.DUMMYFUNCTION("""COMPUTED_VALUE"""),42637.99861111111)</f>
        <v>42637.99861</v>
      </c>
      <c r="E930" s="22">
        <f>IFERROR(__xludf.DUMMYFUNCTION("""COMPUTED_VALUE"""),1.1221)</f>
        <v>1.1221</v>
      </c>
      <c r="F930" s="22">
        <f t="shared" si="8"/>
        <v>162.0980225</v>
      </c>
      <c r="G930" s="22">
        <f t="shared" si="31"/>
        <v>1.449203065</v>
      </c>
      <c r="H930" s="22">
        <f t="shared" si="32"/>
        <v>57.98466668</v>
      </c>
      <c r="I930" s="22">
        <f t="shared" si="3"/>
        <v>0.8911861688</v>
      </c>
      <c r="J930" s="22">
        <f t="shared" si="33"/>
        <v>0.19329828</v>
      </c>
    </row>
    <row r="931" ht="15.75" customHeight="1">
      <c r="A931" s="25">
        <f>IFERROR(__xludf.DUMMYFUNCTION("""COMPUTED_VALUE"""),42664.66666666667)</f>
        <v>42664.66667</v>
      </c>
      <c r="B931" s="22">
        <f>IFERROR(__xludf.DUMMYFUNCTION("""COMPUTED_VALUE"""),2141.16)</f>
        <v>2141.16</v>
      </c>
      <c r="C931" s="22">
        <f t="shared" si="6"/>
        <v>2142.105723</v>
      </c>
      <c r="D931" s="25">
        <f>IFERROR(__xludf.DUMMYFUNCTION("""COMPUTED_VALUE"""),42644.99861111111)</f>
        <v>42644.99861</v>
      </c>
      <c r="E931" s="22">
        <f>IFERROR(__xludf.DUMMYFUNCTION("""COMPUTED_VALUE"""),1.1232)</f>
        <v>1.1232</v>
      </c>
      <c r="F931" s="22">
        <f t="shared" si="8"/>
        <v>162.8782066</v>
      </c>
      <c r="G931" s="22">
        <f t="shared" si="31"/>
        <v>0.8062932017</v>
      </c>
      <c r="H931" s="22">
        <f t="shared" si="32"/>
        <v>55.49046033</v>
      </c>
      <c r="I931" s="22">
        <f t="shared" si="3"/>
        <v>0.8903133903</v>
      </c>
      <c r="J931" s="22">
        <f t="shared" si="33"/>
        <v>0.1917735043</v>
      </c>
    </row>
    <row r="932" ht="15.75" customHeight="1">
      <c r="A932" s="25">
        <f>IFERROR(__xludf.DUMMYFUNCTION("""COMPUTED_VALUE"""),42671.66666666667)</f>
        <v>42671.66667</v>
      </c>
      <c r="B932" s="22">
        <f>IFERROR(__xludf.DUMMYFUNCTION("""COMPUTED_VALUE"""),2126.41)</f>
        <v>2126.41</v>
      </c>
      <c r="C932" s="22">
        <f t="shared" si="6"/>
        <v>2127.35935</v>
      </c>
      <c r="D932" s="25">
        <f>IFERROR(__xludf.DUMMYFUNCTION("""COMPUTED_VALUE"""),42650.99861111111)</f>
        <v>42650.99861</v>
      </c>
      <c r="E932" s="22">
        <f>IFERROR(__xludf.DUMMYFUNCTION("""COMPUTED_VALUE"""),1.11996)</f>
        <v>1.11996</v>
      </c>
      <c r="F932" s="22">
        <f t="shared" si="8"/>
        <v>161.2903375</v>
      </c>
      <c r="G932" s="22">
        <f t="shared" si="31"/>
        <v>-0.1649232128</v>
      </c>
      <c r="H932" s="22">
        <f t="shared" si="32"/>
        <v>40.33758471</v>
      </c>
      <c r="I932" s="22">
        <f t="shared" si="3"/>
        <v>0.8928890318</v>
      </c>
      <c r="J932" s="22">
        <f t="shared" si="33"/>
        <v>0.2373656202</v>
      </c>
    </row>
    <row r="933" ht="15.75" customHeight="1">
      <c r="A933" s="25">
        <f>IFERROR(__xludf.DUMMYFUNCTION("""COMPUTED_VALUE"""),42678.66666666667)</f>
        <v>42678.66667</v>
      </c>
      <c r="B933" s="22">
        <f>IFERROR(__xludf.DUMMYFUNCTION("""COMPUTED_VALUE"""),2085.18)</f>
        <v>2085.18</v>
      </c>
      <c r="C933" s="22">
        <f t="shared" si="6"/>
        <v>2086.12281</v>
      </c>
      <c r="D933" s="25">
        <f>IFERROR(__xludf.DUMMYFUNCTION("""COMPUTED_VALUE"""),42658.99861111111)</f>
        <v>42658.99861</v>
      </c>
      <c r="E933" s="22">
        <f>IFERROR(__xludf.DUMMYFUNCTION("""COMPUTED_VALUE"""),1.0969)</f>
        <v>1.0969</v>
      </c>
      <c r="F933" s="22">
        <f t="shared" si="8"/>
        <v>154.9073023</v>
      </c>
      <c r="G933" s="22">
        <f t="shared" si="31"/>
        <v>-5.584593079</v>
      </c>
      <c r="H933" s="22">
        <f t="shared" si="32"/>
        <v>33.15856339</v>
      </c>
      <c r="I933" s="22">
        <f t="shared" si="3"/>
        <v>0.9116601331</v>
      </c>
      <c r="J933" s="22">
        <f t="shared" si="33"/>
        <v>0.2646549366</v>
      </c>
    </row>
    <row r="934" ht="15.75" customHeight="1">
      <c r="A934" s="25">
        <f>IFERROR(__xludf.DUMMYFUNCTION("""COMPUTED_VALUE"""),42685.66666666667)</f>
        <v>42685.66667</v>
      </c>
      <c r="B934" s="22">
        <f>IFERROR(__xludf.DUMMYFUNCTION("""COMPUTED_VALUE"""),2164.45)</f>
        <v>2164.45</v>
      </c>
      <c r="C934" s="22">
        <f t="shared" si="6"/>
        <v>2165.374529</v>
      </c>
      <c r="D934" s="25">
        <f>IFERROR(__xludf.DUMMYFUNCTION("""COMPUTED_VALUE"""),42665.99861111111)</f>
        <v>42665.99861</v>
      </c>
      <c r="E934" s="22">
        <f>IFERROR(__xludf.DUMMYFUNCTION("""COMPUTED_VALUE"""),1.0884)</f>
        <v>1.0884</v>
      </c>
      <c r="F934" s="22">
        <f t="shared" si="8"/>
        <v>159.5462275</v>
      </c>
      <c r="G934" s="22">
        <f t="shared" si="31"/>
        <v>-5.09395418</v>
      </c>
      <c r="H934" s="22">
        <f t="shared" si="32"/>
        <v>29.59938464</v>
      </c>
      <c r="I934" s="22">
        <f t="shared" si="3"/>
        <v>0.9187798603</v>
      </c>
      <c r="J934" s="22">
        <f t="shared" si="33"/>
        <v>0.2996141125</v>
      </c>
    </row>
    <row r="935" ht="15.75" customHeight="1">
      <c r="A935" s="25">
        <f>IFERROR(__xludf.DUMMYFUNCTION("""COMPUTED_VALUE"""),42692.66666666667)</f>
        <v>42692.66667</v>
      </c>
      <c r="B935" s="22">
        <f>IFERROR(__xludf.DUMMYFUNCTION("""COMPUTED_VALUE"""),2181.9)</f>
        <v>2181.9</v>
      </c>
      <c r="C935" s="22">
        <f t="shared" si="6"/>
        <v>2182.859676</v>
      </c>
      <c r="D935" s="25">
        <f>IFERROR(__xludf.DUMMYFUNCTION("""COMPUTED_VALUE"""),42672.99861111111)</f>
        <v>42672.99861</v>
      </c>
      <c r="E935" s="22">
        <f>IFERROR(__xludf.DUMMYFUNCTION("""COMPUTED_VALUE"""),1.0986)</f>
        <v>1.0986</v>
      </c>
      <c r="F935" s="22">
        <f t="shared" si="8"/>
        <v>162.3418143</v>
      </c>
      <c r="G935" s="22">
        <f t="shared" si="31"/>
        <v>-1.522098608</v>
      </c>
      <c r="H935" s="22">
        <f t="shared" si="32"/>
        <v>39.14284662</v>
      </c>
      <c r="I935" s="22">
        <f t="shared" si="3"/>
        <v>0.9102494083</v>
      </c>
      <c r="J935" s="22">
        <f t="shared" si="33"/>
        <v>0.2512288367</v>
      </c>
    </row>
    <row r="936" ht="15.75" customHeight="1">
      <c r="A936" s="25">
        <f>IFERROR(__xludf.DUMMYFUNCTION("""COMPUTED_VALUE"""),42699.66666666667)</f>
        <v>42699.66667</v>
      </c>
      <c r="B936" s="22">
        <f>IFERROR(__xludf.DUMMYFUNCTION("""COMPUTED_VALUE"""),2213.35)</f>
        <v>2213.35</v>
      </c>
      <c r="C936" s="22">
        <f t="shared" si="6"/>
        <v>2214.317413</v>
      </c>
      <c r="D936" s="25">
        <f>IFERROR(__xludf.DUMMYFUNCTION("""COMPUTED_VALUE"""),42679.99861111111)</f>
        <v>42679.99861</v>
      </c>
      <c r="E936" s="22">
        <f>IFERROR(__xludf.DUMMYFUNCTION("""COMPUTED_VALUE"""),1.1137)</f>
        <v>1.1137</v>
      </c>
      <c r="F936" s="22">
        <f t="shared" si="8"/>
        <v>166.9448697</v>
      </c>
      <c r="G936" s="22">
        <f t="shared" si="31"/>
        <v>2.112098405</v>
      </c>
      <c r="H936" s="22">
        <f t="shared" si="32"/>
        <v>41.55834738</v>
      </c>
      <c r="I936" s="22">
        <f t="shared" si="3"/>
        <v>0.8979078747</v>
      </c>
      <c r="J936" s="22">
        <f t="shared" si="33"/>
        <v>0.2371374697</v>
      </c>
    </row>
    <row r="937" ht="15.75" customHeight="1">
      <c r="A937" s="25">
        <f>IFERROR(__xludf.DUMMYFUNCTION("""COMPUTED_VALUE"""),42706.66666666667)</f>
        <v>42706.66667</v>
      </c>
      <c r="B937" s="22">
        <f>IFERROR(__xludf.DUMMYFUNCTION("""COMPUTED_VALUE"""),2191.95)</f>
        <v>2191.95</v>
      </c>
      <c r="C937" s="22">
        <f t="shared" si="6"/>
        <v>2192.931358</v>
      </c>
      <c r="D937" s="25">
        <f>IFERROR(__xludf.DUMMYFUNCTION("""COMPUTED_VALUE"""),42685.99861111111)</f>
        <v>42685.99861</v>
      </c>
      <c r="E937" s="22">
        <f>IFERROR(__xludf.DUMMYFUNCTION("""COMPUTED_VALUE"""),1.08563)</f>
        <v>1.08563</v>
      </c>
      <c r="F937" s="22">
        <f t="shared" si="8"/>
        <v>161.165417</v>
      </c>
      <c r="G937" s="22">
        <f t="shared" si="31"/>
        <v>-2.311704374</v>
      </c>
      <c r="H937" s="22">
        <f t="shared" si="32"/>
        <v>44.80572439</v>
      </c>
      <c r="I937" s="22">
        <f t="shared" si="3"/>
        <v>0.9211241399</v>
      </c>
      <c r="J937" s="22">
        <f t="shared" si="33"/>
        <v>0.2451756123</v>
      </c>
    </row>
    <row r="938" ht="15.75" customHeight="1">
      <c r="A938" s="25">
        <f>IFERROR(__xludf.DUMMYFUNCTION("""COMPUTED_VALUE"""),42713.66666666667)</f>
        <v>42713.66667</v>
      </c>
      <c r="B938" s="22">
        <f>IFERROR(__xludf.DUMMYFUNCTION("""COMPUTED_VALUE"""),2259.53)</f>
        <v>2259.53</v>
      </c>
      <c r="C938" s="22">
        <f t="shared" si="6"/>
        <v>2260.501869</v>
      </c>
      <c r="D938" s="25">
        <f>IFERROR(__xludf.DUMMYFUNCTION("""COMPUTED_VALUE"""),42692.99861111111)</f>
        <v>42692.99861</v>
      </c>
      <c r="E938" s="22">
        <f>IFERROR(__xludf.DUMMYFUNCTION("""COMPUTED_VALUE"""),1.05876)</f>
        <v>1.05876</v>
      </c>
      <c r="F938" s="22">
        <f t="shared" si="8"/>
        <v>162.0195338</v>
      </c>
      <c r="G938" s="22">
        <f t="shared" si="31"/>
        <v>-0.5972390858</v>
      </c>
      <c r="H938" s="22">
        <f t="shared" si="32"/>
        <v>55.92647727</v>
      </c>
      <c r="I938" s="22">
        <f t="shared" si="3"/>
        <v>0.9445011145</v>
      </c>
      <c r="J938" s="22">
        <f t="shared" si="33"/>
        <v>0.2506139257</v>
      </c>
    </row>
    <row r="939" ht="15.75" customHeight="1">
      <c r="A939" s="25">
        <f>IFERROR(__xludf.DUMMYFUNCTION("""COMPUTED_VALUE"""),42720.66666666667)</f>
        <v>42720.66667</v>
      </c>
      <c r="B939" s="22">
        <f>IFERROR(__xludf.DUMMYFUNCTION("""COMPUTED_VALUE"""),2258.07)</f>
        <v>2258.07</v>
      </c>
      <c r="C939" s="22">
        <f t="shared" si="6"/>
        <v>2259.071833</v>
      </c>
      <c r="D939" s="25">
        <f>IFERROR(__xludf.DUMMYFUNCTION("""COMPUTED_VALUE"""),42700.99861111111)</f>
        <v>42700.99861</v>
      </c>
      <c r="E939" s="22">
        <f>IFERROR(__xludf.DUMMYFUNCTION("""COMPUTED_VALUE"""),1.05915)</f>
        <v>1.05915</v>
      </c>
      <c r="F939" s="22">
        <f t="shared" si="8"/>
        <v>161.9766802</v>
      </c>
      <c r="G939" s="22">
        <f t="shared" si="31"/>
        <v>-3.228326061</v>
      </c>
      <c r="H939" s="22">
        <f t="shared" si="32"/>
        <v>43.40002236</v>
      </c>
      <c r="I939" s="22">
        <f t="shared" si="3"/>
        <v>0.9441533305</v>
      </c>
      <c r="J939" s="22">
        <f t="shared" si="33"/>
        <v>0.2655620073</v>
      </c>
    </row>
    <row r="940" ht="15.75" customHeight="1">
      <c r="A940" s="25">
        <f>IFERROR(__xludf.DUMMYFUNCTION("""COMPUTED_VALUE"""),42727.66666666667)</f>
        <v>42727.66667</v>
      </c>
      <c r="B940" s="22">
        <f>IFERROR(__xludf.DUMMYFUNCTION("""COMPUTED_VALUE"""),2263.79)</f>
        <v>2263.79</v>
      </c>
      <c r="C940" s="22">
        <f t="shared" si="6"/>
        <v>2264.791186</v>
      </c>
      <c r="D940" s="25">
        <f>IFERROR(__xludf.DUMMYFUNCTION("""COMPUTED_VALUE"""),42707.99861111111)</f>
        <v>42707.99861</v>
      </c>
      <c r="E940" s="22">
        <f>IFERROR(__xludf.DUMMYFUNCTION("""COMPUTED_VALUE"""),1.06625)</f>
        <v>1.06625</v>
      </c>
      <c r="F940" s="22">
        <f t="shared" si="8"/>
        <v>163.4753187</v>
      </c>
      <c r="G940" s="22">
        <f t="shared" si="31"/>
        <v>-4.339353429</v>
      </c>
      <c r="H940" s="22">
        <f t="shared" si="32"/>
        <v>43.88579949</v>
      </c>
      <c r="I940" s="22">
        <f t="shared" si="3"/>
        <v>0.937866354</v>
      </c>
      <c r="J940" s="22">
        <f t="shared" si="33"/>
        <v>0.2534583822</v>
      </c>
    </row>
    <row r="941" ht="15.75" customHeight="1">
      <c r="A941" s="25">
        <f>IFERROR(__xludf.DUMMYFUNCTION("""COMPUTED_VALUE"""),42734.66666666667)</f>
        <v>42734.66667</v>
      </c>
      <c r="B941" s="22">
        <f>IFERROR(__xludf.DUMMYFUNCTION("""COMPUTED_VALUE"""),2238.83)</f>
        <v>2238.83</v>
      </c>
      <c r="C941" s="22">
        <f t="shared" si="6"/>
        <v>2239.833722</v>
      </c>
      <c r="D941" s="25">
        <f>IFERROR(__xludf.DUMMYFUNCTION("""COMPUTED_VALUE"""),42714.99861111111)</f>
        <v>42714.99861</v>
      </c>
      <c r="E941" s="22">
        <f>IFERROR(__xludf.DUMMYFUNCTION("""COMPUTED_VALUE"""),1.0559)</f>
        <v>1.0559</v>
      </c>
      <c r="F941" s="22">
        <f t="shared" si="8"/>
        <v>160.1045046</v>
      </c>
      <c r="G941" s="22">
        <f t="shared" si="31"/>
        <v>-6.059998225</v>
      </c>
      <c r="H941" s="22">
        <f t="shared" si="32"/>
        <v>48.59044232</v>
      </c>
      <c r="I941" s="22">
        <f t="shared" si="3"/>
        <v>0.9470593806</v>
      </c>
      <c r="J941" s="22">
        <f t="shared" si="33"/>
        <v>0.2353442561</v>
      </c>
    </row>
    <row r="942" ht="15.75" customHeight="1">
      <c r="A942" s="25">
        <f>IFERROR(__xludf.DUMMYFUNCTION("""COMPUTED_VALUE"""),42741.66666666667)</f>
        <v>42741.66667</v>
      </c>
      <c r="B942" s="22">
        <f>IFERROR(__xludf.DUMMYFUNCTION("""COMPUTED_VALUE"""),2276.98)</f>
        <v>2276.98</v>
      </c>
      <c r="C942" s="22">
        <f t="shared" si="6"/>
        <v>2277.972655</v>
      </c>
      <c r="D942" s="25">
        <f>IFERROR(__xludf.DUMMYFUNCTION("""COMPUTED_VALUE"""),42721.99861111111)</f>
        <v>42721.99861</v>
      </c>
      <c r="E942" s="22">
        <f>IFERROR(__xludf.DUMMYFUNCTION("""COMPUTED_VALUE"""),1.0452)</f>
        <v>1.0452</v>
      </c>
      <c r="F942" s="22">
        <f t="shared" si="8"/>
        <v>161.1806452</v>
      </c>
      <c r="G942" s="22">
        <f t="shared" si="31"/>
        <v>-5.51140205</v>
      </c>
      <c r="H942" s="22">
        <f t="shared" si="32"/>
        <v>44.24947758</v>
      </c>
      <c r="I942" s="22">
        <f t="shared" si="3"/>
        <v>0.9567546881</v>
      </c>
      <c r="J942" s="22">
        <f t="shared" si="33"/>
        <v>0.2475124378</v>
      </c>
    </row>
    <row r="943" ht="15.75" customHeight="1">
      <c r="A943" s="25">
        <f>IFERROR(__xludf.DUMMYFUNCTION("""COMPUTED_VALUE"""),42748.66666666667)</f>
        <v>42748.66667</v>
      </c>
      <c r="B943" s="22">
        <f>IFERROR(__xludf.DUMMYFUNCTION("""COMPUTED_VALUE"""),2274.64)</f>
        <v>2274.64</v>
      </c>
      <c r="C943" s="22">
        <f t="shared" si="6"/>
        <v>2275.64957</v>
      </c>
      <c r="D943" s="25">
        <f>IFERROR(__xludf.DUMMYFUNCTION("""COMPUTED_VALUE"""),42728.99861111111)</f>
        <v>42728.99861</v>
      </c>
      <c r="E943" s="22">
        <f>IFERROR(__xludf.DUMMYFUNCTION("""COMPUTED_VALUE"""),1.0456)</f>
        <v>1.0456</v>
      </c>
      <c r="F943" s="22">
        <f t="shared" si="8"/>
        <v>161.0778938</v>
      </c>
      <c r="G943" s="22">
        <f t="shared" si="31"/>
        <v>-5.865494672</v>
      </c>
      <c r="H943" s="22">
        <f t="shared" si="32"/>
        <v>45.95879662</v>
      </c>
      <c r="I943" s="22">
        <f t="shared" si="3"/>
        <v>0.9563886764</v>
      </c>
      <c r="J943" s="22">
        <f t="shared" si="33"/>
        <v>0.239192808</v>
      </c>
    </row>
    <row r="944" ht="15.75" customHeight="1">
      <c r="A944" s="25">
        <f>IFERROR(__xludf.DUMMYFUNCTION("""COMPUTED_VALUE"""),42755.66666666667)</f>
        <v>42755.66667</v>
      </c>
      <c r="B944" s="22">
        <f>IFERROR(__xludf.DUMMYFUNCTION("""COMPUTED_VALUE"""),2271.31)</f>
        <v>2271.31</v>
      </c>
      <c r="C944" s="22">
        <f t="shared" si="6"/>
        <v>2272.318532</v>
      </c>
      <c r="D944" s="25">
        <f>IFERROR(__xludf.DUMMYFUNCTION("""COMPUTED_VALUE"""),42735.99861111111)</f>
        <v>42735.99861</v>
      </c>
      <c r="E944" s="22">
        <f>IFERROR(__xludf.DUMMYFUNCTION("""COMPUTED_VALUE"""),1.0517)</f>
        <v>1.0517</v>
      </c>
      <c r="F944" s="22">
        <f t="shared" si="8"/>
        <v>161.7804603</v>
      </c>
      <c r="G944" s="22">
        <f t="shared" si="31"/>
        <v>-1.798888512</v>
      </c>
      <c r="H944" s="22">
        <f t="shared" si="32"/>
        <v>46.94335097</v>
      </c>
      <c r="I944" s="22">
        <f t="shared" si="3"/>
        <v>0.9508414947</v>
      </c>
      <c r="J944" s="22">
        <f t="shared" si="33"/>
        <v>0.2096605496</v>
      </c>
    </row>
    <row r="945" ht="15.75" customHeight="1">
      <c r="A945" s="25">
        <f>IFERROR(__xludf.DUMMYFUNCTION("""COMPUTED_VALUE"""),42762.66666666667)</f>
        <v>42762.66667</v>
      </c>
      <c r="B945" s="22">
        <f>IFERROR(__xludf.DUMMYFUNCTION("""COMPUTED_VALUE"""),2294.69)</f>
        <v>2294.69</v>
      </c>
      <c r="C945" s="22">
        <f t="shared" si="6"/>
        <v>2295.697056</v>
      </c>
      <c r="D945" s="25">
        <f>IFERROR(__xludf.DUMMYFUNCTION("""COMPUTED_VALUE"""),42742.99861111111)</f>
        <v>42742.99861</v>
      </c>
      <c r="E945" s="22">
        <f>IFERROR(__xludf.DUMMYFUNCTION("""COMPUTED_VALUE"""),1.053)</f>
        <v>1.053</v>
      </c>
      <c r="F945" s="22">
        <f t="shared" si="8"/>
        <v>163.6469558</v>
      </c>
      <c r="G945" s="22">
        <f t="shared" si="31"/>
        <v>-0.841574689</v>
      </c>
      <c r="H945" s="22">
        <f t="shared" si="32"/>
        <v>47.82559115</v>
      </c>
      <c r="I945" s="22">
        <f t="shared" si="3"/>
        <v>0.9496676163</v>
      </c>
      <c r="J945" s="22">
        <f t="shared" si="33"/>
        <v>0.2041785375</v>
      </c>
    </row>
    <row r="946" ht="15.75" customHeight="1">
      <c r="A946" s="25">
        <f>IFERROR(__xludf.DUMMYFUNCTION("""COMPUTED_VALUE"""),42769.66666666667)</f>
        <v>42769.66667</v>
      </c>
      <c r="B946" s="22">
        <f>IFERROR(__xludf.DUMMYFUNCTION("""COMPUTED_VALUE"""),2297.42)</f>
        <v>2297.42</v>
      </c>
      <c r="C946" s="22">
        <f t="shared" si="6"/>
        <v>2298.437422</v>
      </c>
      <c r="D946" s="25">
        <f>IFERROR(__xludf.DUMMYFUNCTION("""COMPUTED_VALUE"""),42749.99861111111)</f>
        <v>42749.99861</v>
      </c>
      <c r="E946" s="22">
        <f>IFERROR(__xludf.DUMMYFUNCTION("""COMPUTED_VALUE"""),1.0643)</f>
        <v>1.0643</v>
      </c>
      <c r="F946" s="22">
        <f t="shared" si="8"/>
        <v>165.6005324</v>
      </c>
      <c r="G946" s="22">
        <f t="shared" si="31"/>
        <v>0.4926274877</v>
      </c>
      <c r="H946" s="22">
        <f t="shared" si="32"/>
        <v>43.58902312</v>
      </c>
      <c r="I946" s="22">
        <f t="shared" si="3"/>
        <v>0.9395847036</v>
      </c>
      <c r="J946" s="22">
        <f t="shared" si="33"/>
        <v>0.2163863572</v>
      </c>
    </row>
    <row r="947" ht="15.75" customHeight="1">
      <c r="A947" s="25">
        <f>IFERROR(__xludf.DUMMYFUNCTION("""COMPUTED_VALUE"""),42776.66666666667)</f>
        <v>42776.66667</v>
      </c>
      <c r="B947" s="22">
        <f>IFERROR(__xludf.DUMMYFUNCTION("""COMPUTED_VALUE"""),2316.1)</f>
        <v>2316.1</v>
      </c>
      <c r="C947" s="22">
        <f t="shared" si="6"/>
        <v>2317.118633</v>
      </c>
      <c r="D947" s="25">
        <f>IFERROR(__xludf.DUMMYFUNCTION("""COMPUTED_VALUE"""),42756.99861111111)</f>
        <v>42756.99861</v>
      </c>
      <c r="E947" s="22">
        <f>IFERROR(__xludf.DUMMYFUNCTION("""COMPUTED_VALUE"""),1.0701)</f>
        <v>1.0701</v>
      </c>
      <c r="F947" s="22">
        <f t="shared" si="8"/>
        <v>167.8562885</v>
      </c>
      <c r="G947" s="22">
        <f t="shared" si="31"/>
        <v>-1.425905319</v>
      </c>
      <c r="H947" s="22">
        <f t="shared" si="32"/>
        <v>42.74929768</v>
      </c>
      <c r="I947" s="22">
        <f t="shared" si="3"/>
        <v>0.9344921035</v>
      </c>
      <c r="J947" s="22">
        <f t="shared" si="33"/>
        <v>0.2325950846</v>
      </c>
    </row>
    <row r="948" ht="15.75" customHeight="1">
      <c r="A948" s="25">
        <f>IFERROR(__xludf.DUMMYFUNCTION("""COMPUTED_VALUE"""),42783.66666666667)</f>
        <v>42783.66667</v>
      </c>
      <c r="B948" s="22">
        <f>IFERROR(__xludf.DUMMYFUNCTION("""COMPUTED_VALUE"""),2351.16)</f>
        <v>2351.16</v>
      </c>
      <c r="C948" s="22">
        <f t="shared" si="6"/>
        <v>2352.186915</v>
      </c>
      <c r="D948" s="25">
        <f>IFERROR(__xludf.DUMMYFUNCTION("""COMPUTED_VALUE"""),42763.99861111111)</f>
        <v>42763.99861</v>
      </c>
      <c r="E948" s="22">
        <f>IFERROR(__xludf.DUMMYFUNCTION("""COMPUTED_VALUE"""),1.0697)</f>
        <v>1.0697</v>
      </c>
      <c r="F948" s="22">
        <f t="shared" si="8"/>
        <v>170.3330049</v>
      </c>
      <c r="G948" s="22">
        <f t="shared" si="31"/>
        <v>1.553265851</v>
      </c>
      <c r="H948" s="22">
        <f t="shared" si="32"/>
        <v>42.17740612</v>
      </c>
      <c r="I948" s="22">
        <f t="shared" si="3"/>
        <v>0.9348415444</v>
      </c>
      <c r="J948" s="22">
        <f t="shared" si="33"/>
        <v>0.2295970833</v>
      </c>
    </row>
    <row r="949" ht="15.75" customHeight="1">
      <c r="A949" s="25">
        <f>IFERROR(__xludf.DUMMYFUNCTION("""COMPUTED_VALUE"""),42790.66666666667)</f>
        <v>42790.66667</v>
      </c>
      <c r="B949" s="22">
        <f>IFERROR(__xludf.DUMMYFUNCTION("""COMPUTED_VALUE"""),2367.34)</f>
        <v>2367.34</v>
      </c>
      <c r="C949" s="22">
        <f t="shared" si="6"/>
        <v>2368.38246</v>
      </c>
      <c r="D949" s="25">
        <f>IFERROR(__xludf.DUMMYFUNCTION("""COMPUTED_VALUE"""),42770.99861111111)</f>
        <v>42770.99861</v>
      </c>
      <c r="E949" s="22">
        <f>IFERROR(__xludf.DUMMYFUNCTION("""COMPUTED_VALUE"""),1.0787)</f>
        <v>1.0787</v>
      </c>
      <c r="F949" s="22">
        <f t="shared" si="8"/>
        <v>172.9487778</v>
      </c>
      <c r="G949" s="22">
        <f t="shared" si="31"/>
        <v>0.7290194876</v>
      </c>
      <c r="H949" s="22">
        <f t="shared" si="32"/>
        <v>44.14205168</v>
      </c>
      <c r="I949" s="22">
        <f t="shared" si="3"/>
        <v>0.9270418096</v>
      </c>
      <c r="J949" s="22">
        <f t="shared" si="33"/>
        <v>0.2232316677</v>
      </c>
    </row>
    <row r="950" ht="15.75" customHeight="1">
      <c r="A950" s="25">
        <f>IFERROR(__xludf.DUMMYFUNCTION("""COMPUTED_VALUE"""),42797.66666666667)</f>
        <v>42797.66667</v>
      </c>
      <c r="B950" s="22">
        <f>IFERROR(__xludf.DUMMYFUNCTION("""COMPUTED_VALUE"""),2383.12)</f>
        <v>2383.12</v>
      </c>
      <c r="C950" s="22">
        <f t="shared" si="6"/>
        <v>2384.169634</v>
      </c>
      <c r="D950" s="25">
        <f>IFERROR(__xludf.DUMMYFUNCTION("""COMPUTED_VALUE"""),42777.99861111111)</f>
        <v>42777.99861</v>
      </c>
      <c r="E950" s="22">
        <f>IFERROR(__xludf.DUMMYFUNCTION("""COMPUTED_VALUE"""),1.0638)</f>
        <v>1.0638</v>
      </c>
      <c r="F950" s="22">
        <f t="shared" si="8"/>
        <v>171.6967682</v>
      </c>
      <c r="G950" s="22">
        <f t="shared" si="31"/>
        <v>-1.40236005</v>
      </c>
      <c r="H950" s="22">
        <f t="shared" si="32"/>
        <v>41.72528021</v>
      </c>
      <c r="I950" s="22">
        <f t="shared" si="3"/>
        <v>0.9400263207</v>
      </c>
      <c r="J950" s="22">
        <f t="shared" si="33"/>
        <v>0.2352885881</v>
      </c>
    </row>
    <row r="951" ht="15.75" customHeight="1">
      <c r="A951" s="25">
        <f>IFERROR(__xludf.DUMMYFUNCTION("""COMPUTED_VALUE"""),42804.66666666667)</f>
        <v>42804.66667</v>
      </c>
      <c r="B951" s="22">
        <f>IFERROR(__xludf.DUMMYFUNCTION("""COMPUTED_VALUE"""),2372.6)</f>
        <v>2372.6</v>
      </c>
      <c r="C951" s="22">
        <f t="shared" si="6"/>
        <v>2373.65663</v>
      </c>
      <c r="D951" s="25">
        <f>IFERROR(__xludf.DUMMYFUNCTION("""COMPUTED_VALUE"""),42784.99861111111)</f>
        <v>42784.99861</v>
      </c>
      <c r="E951" s="22">
        <f>IFERROR(__xludf.DUMMYFUNCTION("""COMPUTED_VALUE"""),1.0614)</f>
        <v>1.0614</v>
      </c>
      <c r="F951" s="22">
        <f t="shared" si="8"/>
        <v>170.5540201</v>
      </c>
      <c r="G951" s="22">
        <f t="shared" si="31"/>
        <v>-0.4454700733</v>
      </c>
      <c r="H951" s="22">
        <f t="shared" si="32"/>
        <v>37.12342876</v>
      </c>
      <c r="I951" s="22">
        <f t="shared" si="3"/>
        <v>0.9421518749</v>
      </c>
      <c r="J951" s="22">
        <f t="shared" si="33"/>
        <v>0.2669116262</v>
      </c>
    </row>
    <row r="952" ht="15.75" customHeight="1">
      <c r="A952" s="25">
        <f>IFERROR(__xludf.DUMMYFUNCTION("""COMPUTED_VALUE"""),42811.66666666667)</f>
        <v>42811.66667</v>
      </c>
      <c r="B952" s="22">
        <f>IFERROR(__xludf.DUMMYFUNCTION("""COMPUTED_VALUE"""),2378.25)</f>
        <v>2378.25</v>
      </c>
      <c r="C952" s="22">
        <f t="shared" si="6"/>
        <v>2379.301966</v>
      </c>
      <c r="D952" s="25">
        <f>IFERROR(__xludf.DUMMYFUNCTION("""COMPUTED_VALUE"""),42791.99861111111)</f>
        <v>42791.99861</v>
      </c>
      <c r="E952" s="22">
        <f>IFERROR(__xludf.DUMMYFUNCTION("""COMPUTED_VALUE"""),1.0561)</f>
        <v>1.0561</v>
      </c>
      <c r="F952" s="22">
        <f t="shared" si="8"/>
        <v>170.1059828</v>
      </c>
      <c r="G952" s="22">
        <f t="shared" si="31"/>
        <v>-2.482875978</v>
      </c>
      <c r="H952" s="22">
        <f t="shared" si="32"/>
        <v>38.91608851</v>
      </c>
      <c r="I952" s="22">
        <f t="shared" si="3"/>
        <v>0.9468800303</v>
      </c>
      <c r="J952" s="22">
        <f t="shared" si="33"/>
        <v>0.249976328</v>
      </c>
    </row>
    <row r="953" ht="15.75" customHeight="1">
      <c r="A953" s="25">
        <f>IFERROR(__xludf.DUMMYFUNCTION("""COMPUTED_VALUE"""),42818.66666666667)</f>
        <v>42818.66667</v>
      </c>
      <c r="B953" s="22">
        <f>IFERROR(__xludf.DUMMYFUNCTION("""COMPUTED_VALUE"""),2343.98)</f>
        <v>2343.98</v>
      </c>
      <c r="C953" s="22">
        <f t="shared" si="6"/>
        <v>2345.034471</v>
      </c>
      <c r="D953" s="25">
        <f>IFERROR(__xludf.DUMMYFUNCTION("""COMPUTED_VALUE"""),42798.99861111111)</f>
        <v>42798.99861</v>
      </c>
      <c r="E953" s="22">
        <f>IFERROR(__xludf.DUMMYFUNCTION("""COMPUTED_VALUE"""),1.0622)</f>
        <v>1.0622</v>
      </c>
      <c r="F953" s="22">
        <f t="shared" si="8"/>
        <v>168.6244362</v>
      </c>
      <c r="G953" s="22">
        <f t="shared" si="31"/>
        <v>-3.42892872</v>
      </c>
      <c r="H953" s="22">
        <f t="shared" si="32"/>
        <v>38.42036146</v>
      </c>
      <c r="I953" s="22">
        <f t="shared" si="3"/>
        <v>0.9414422896</v>
      </c>
      <c r="J953" s="22">
        <f t="shared" si="33"/>
        <v>0.2352664282</v>
      </c>
    </row>
    <row r="954" ht="15.75" customHeight="1">
      <c r="A954" s="25">
        <f>IFERROR(__xludf.DUMMYFUNCTION("""COMPUTED_VALUE"""),42825.66666666667)</f>
        <v>42825.66667</v>
      </c>
      <c r="B954" s="22">
        <f>IFERROR(__xludf.DUMMYFUNCTION("""COMPUTED_VALUE"""),2362.72)</f>
        <v>2362.72</v>
      </c>
      <c r="C954" s="22">
        <f t="shared" si="6"/>
        <v>2363.759276</v>
      </c>
      <c r="D954" s="25">
        <f>IFERROR(__xludf.DUMMYFUNCTION("""COMPUTED_VALUE"""),42804.99861111111)</f>
        <v>42804.99861</v>
      </c>
      <c r="E954" s="22">
        <f>IFERROR(__xludf.DUMMYFUNCTION("""COMPUTED_VALUE"""),1.06731)</f>
        <v>1.06731</v>
      </c>
      <c r="F954" s="22">
        <f t="shared" si="8"/>
        <v>170.7885719</v>
      </c>
      <c r="G954" s="22">
        <f t="shared" si="31"/>
        <v>-2.825953535</v>
      </c>
      <c r="H954" s="22">
        <f t="shared" si="32"/>
        <v>36.32280848</v>
      </c>
      <c r="I954" s="22">
        <f t="shared" si="3"/>
        <v>0.9369349111</v>
      </c>
      <c r="J954" s="22">
        <f t="shared" si="33"/>
        <v>0.2343180519</v>
      </c>
    </row>
    <row r="955" ht="15.75" customHeight="1">
      <c r="A955" s="25">
        <f>IFERROR(__xludf.DUMMYFUNCTION("""COMPUTED_VALUE"""),42832.66666666667)</f>
        <v>42832.66667</v>
      </c>
      <c r="B955" s="22">
        <f>IFERROR(__xludf.DUMMYFUNCTION("""COMPUTED_VALUE"""),2355.54)</f>
        <v>2355.54</v>
      </c>
      <c r="C955" s="22">
        <f t="shared" si="6"/>
        <v>2356.587585</v>
      </c>
      <c r="D955" s="25">
        <f>IFERROR(__xludf.DUMMYFUNCTION("""COMPUTED_VALUE"""),42812.99861111111)</f>
        <v>42812.99861</v>
      </c>
      <c r="E955" s="22">
        <f>IFERROR(__xludf.DUMMYFUNCTION("""COMPUTED_VALUE"""),1.0743)</f>
        <v>1.0743</v>
      </c>
      <c r="F955" s="22">
        <f t="shared" si="8"/>
        <v>171.3855268</v>
      </c>
      <c r="G955" s="22">
        <f t="shared" si="31"/>
        <v>1.01480814</v>
      </c>
      <c r="H955" s="22">
        <f t="shared" si="32"/>
        <v>36.52504959</v>
      </c>
      <c r="I955" s="22">
        <f t="shared" si="3"/>
        <v>0.9308386857</v>
      </c>
      <c r="J955" s="22">
        <f t="shared" si="33"/>
        <v>0.2349436843</v>
      </c>
    </row>
    <row r="956" ht="15.75" customHeight="1">
      <c r="A956" s="25">
        <f>IFERROR(__xludf.DUMMYFUNCTION("""COMPUTED_VALUE"""),42838.66666666667)</f>
        <v>42838.66667</v>
      </c>
      <c r="B956" s="22">
        <f>IFERROR(__xludf.DUMMYFUNCTION("""COMPUTED_VALUE"""),2328.95)</f>
        <v>2328.95</v>
      </c>
      <c r="C956" s="22">
        <f t="shared" si="6"/>
        <v>2329.994402</v>
      </c>
      <c r="D956" s="25">
        <f>IFERROR(__xludf.DUMMYFUNCTION("""COMPUTED_VALUE"""),42819.99861111111)</f>
        <v>42819.99861</v>
      </c>
      <c r="E956" s="22">
        <f>IFERROR(__xludf.DUMMYFUNCTION("""COMPUTED_VALUE"""),1.0804)</f>
        <v>1.0804</v>
      </c>
      <c r="F956" s="22">
        <f t="shared" si="8"/>
        <v>170.4136724</v>
      </c>
      <c r="G956" s="22">
        <f t="shared" si="31"/>
        <v>-1.883455854</v>
      </c>
      <c r="H956" s="22">
        <f t="shared" si="32"/>
        <v>33.91988248</v>
      </c>
      <c r="I956" s="22">
        <f t="shared" si="3"/>
        <v>0.9255831174</v>
      </c>
      <c r="J956" s="22">
        <f t="shared" si="33"/>
        <v>0.2347278786</v>
      </c>
    </row>
    <row r="957" ht="15.75" customHeight="1">
      <c r="A957" s="25">
        <f>IFERROR(__xludf.DUMMYFUNCTION("""COMPUTED_VALUE"""),42846.66666666667)</f>
        <v>42846.66667</v>
      </c>
      <c r="B957" s="22">
        <f>IFERROR(__xludf.DUMMYFUNCTION("""COMPUTED_VALUE"""),2348.69)</f>
        <v>2348.69</v>
      </c>
      <c r="C957" s="22">
        <f t="shared" si="6"/>
        <v>2349.722612</v>
      </c>
      <c r="D957" s="25">
        <f>IFERROR(__xludf.DUMMYFUNCTION("""COMPUTED_VALUE"""),42826.99861111111)</f>
        <v>42826.99861</v>
      </c>
      <c r="E957" s="22">
        <f>IFERROR(__xludf.DUMMYFUNCTION("""COMPUTED_VALUE"""),1.06536)</f>
        <v>1.06536</v>
      </c>
      <c r="F957" s="22">
        <f t="shared" si="8"/>
        <v>169.4641999</v>
      </c>
      <c r="G957" s="22">
        <f t="shared" si="31"/>
        <v>-2.020507201</v>
      </c>
      <c r="H957" s="22">
        <f t="shared" si="32"/>
        <v>36.6830552</v>
      </c>
      <c r="I957" s="22">
        <f t="shared" si="3"/>
        <v>0.9386498461</v>
      </c>
      <c r="J957" s="22">
        <f t="shared" si="33"/>
        <v>0.2290681084</v>
      </c>
    </row>
    <row r="958" ht="15.75" customHeight="1">
      <c r="A958" s="25">
        <f>IFERROR(__xludf.DUMMYFUNCTION("""COMPUTED_VALUE"""),42853.66666666667)</f>
        <v>42853.66667</v>
      </c>
      <c r="B958" s="22">
        <f>IFERROR(__xludf.DUMMYFUNCTION("""COMPUTED_VALUE"""),2384.2)</f>
        <v>2384.2</v>
      </c>
      <c r="C958" s="22">
        <f t="shared" si="6"/>
        <v>2385.241365</v>
      </c>
      <c r="D958" s="25">
        <f>IFERROR(__xludf.DUMMYFUNCTION("""COMPUTED_VALUE"""),42833.99861111111)</f>
        <v>42833.99861</v>
      </c>
      <c r="E958" s="22">
        <f>IFERROR(__xludf.DUMMYFUNCTION("""COMPUTED_VALUE"""),1.059)</f>
        <v>1.059</v>
      </c>
      <c r="F958" s="22">
        <f t="shared" si="8"/>
        <v>170.9988835</v>
      </c>
      <c r="G958" s="22">
        <f t="shared" si="31"/>
        <v>-3.327740597</v>
      </c>
      <c r="H958" s="22">
        <f t="shared" si="32"/>
        <v>40.86008416</v>
      </c>
      <c r="I958" s="22">
        <f t="shared" si="3"/>
        <v>0.9442870633</v>
      </c>
      <c r="J958" s="22">
        <f t="shared" si="33"/>
        <v>0.2352219075</v>
      </c>
    </row>
    <row r="959" ht="15.75" customHeight="1">
      <c r="A959" s="25">
        <f>IFERROR(__xludf.DUMMYFUNCTION("""COMPUTED_VALUE"""),42860.66666666667)</f>
        <v>42860.66667</v>
      </c>
      <c r="B959" s="22">
        <f>IFERROR(__xludf.DUMMYFUNCTION("""COMPUTED_VALUE"""),2399.29)</f>
        <v>2399.29</v>
      </c>
      <c r="C959" s="22">
        <f t="shared" si="6"/>
        <v>2400.347109</v>
      </c>
      <c r="D959" s="25">
        <f>IFERROR(__xludf.DUMMYFUNCTION("""COMPUTED_VALUE"""),42840.99861111111)</f>
        <v>42840.99861</v>
      </c>
      <c r="E959" s="22">
        <f>IFERROR(__xludf.DUMMYFUNCTION("""COMPUTED_VALUE"""),1.0612)</f>
        <v>1.0612</v>
      </c>
      <c r="F959" s="22">
        <f t="shared" si="8"/>
        <v>172.4393084</v>
      </c>
      <c r="G959" s="22">
        <f t="shared" si="31"/>
        <v>-1.881144233</v>
      </c>
      <c r="H959" s="22">
        <f t="shared" si="32"/>
        <v>39.76439216</v>
      </c>
      <c r="I959" s="22">
        <f t="shared" si="3"/>
        <v>0.9423294384</v>
      </c>
      <c r="J959" s="22">
        <f t="shared" si="33"/>
        <v>0.2452883528</v>
      </c>
    </row>
    <row r="960" ht="15.75" customHeight="1">
      <c r="A960" s="25">
        <f>IFERROR(__xludf.DUMMYFUNCTION("""COMPUTED_VALUE"""),42867.66666666667)</f>
        <v>42867.66667</v>
      </c>
      <c r="B960" s="22">
        <f>IFERROR(__xludf.DUMMYFUNCTION("""COMPUTED_VALUE"""),2390.9)</f>
        <v>2390.9</v>
      </c>
      <c r="C960" s="22">
        <f t="shared" si="6"/>
        <v>2391.9638</v>
      </c>
      <c r="D960" s="25">
        <f>IFERROR(__xludf.DUMMYFUNCTION("""COMPUTED_VALUE"""),42847.99861111111)</f>
        <v>42847.99861</v>
      </c>
      <c r="E960" s="22">
        <f>IFERROR(__xludf.DUMMYFUNCTION("""COMPUTED_VALUE"""),1.0721)</f>
        <v>1.0721</v>
      </c>
      <c r="F960" s="22">
        <f t="shared" si="8"/>
        <v>173.6020627</v>
      </c>
      <c r="G960" s="22">
        <f t="shared" si="31"/>
        <v>-1.322592323</v>
      </c>
      <c r="H960" s="22">
        <f t="shared" si="32"/>
        <v>38.11346295</v>
      </c>
      <c r="I960" s="22">
        <f t="shared" si="3"/>
        <v>0.9327488107</v>
      </c>
      <c r="J960" s="22">
        <f t="shared" si="33"/>
        <v>0.2335603022</v>
      </c>
    </row>
    <row r="961" ht="15.75" customHeight="1">
      <c r="A961" s="25">
        <f>IFERROR(__xludf.DUMMYFUNCTION("""COMPUTED_VALUE"""),42874.66666666667)</f>
        <v>42874.66667</v>
      </c>
      <c r="B961" s="22">
        <f>IFERROR(__xludf.DUMMYFUNCTION("""COMPUTED_VALUE"""),2381.73)</f>
        <v>2381.73</v>
      </c>
      <c r="C961" s="22">
        <f t="shared" si="6"/>
        <v>2382.79008</v>
      </c>
      <c r="D961" s="25">
        <f>IFERROR(__xludf.DUMMYFUNCTION("""COMPUTED_VALUE"""),42854.99861111111)</f>
        <v>42854.99861</v>
      </c>
      <c r="E961" s="22">
        <f>IFERROR(__xludf.DUMMYFUNCTION("""COMPUTED_VALUE"""),1.0893)</f>
        <v>1.0893</v>
      </c>
      <c r="F961" s="22">
        <f t="shared" si="8"/>
        <v>175.7107245</v>
      </c>
      <c r="G961" s="22">
        <f t="shared" si="31"/>
        <v>-1.578069983</v>
      </c>
      <c r="H961" s="22">
        <f t="shared" si="32"/>
        <v>44.86378866</v>
      </c>
      <c r="I961" s="22">
        <f t="shared" si="3"/>
        <v>0.9180207473</v>
      </c>
      <c r="J961" s="22">
        <f t="shared" si="33"/>
        <v>0.2008629395</v>
      </c>
    </row>
    <row r="962" ht="15.75" customHeight="1">
      <c r="A962" s="25">
        <f>IFERROR(__xludf.DUMMYFUNCTION("""COMPUTED_VALUE"""),42881.66666666667)</f>
        <v>42881.66667</v>
      </c>
      <c r="B962" s="22">
        <f>IFERROR(__xludf.DUMMYFUNCTION("""COMPUTED_VALUE"""),2415.82)</f>
        <v>2415.82</v>
      </c>
      <c r="C962" s="22">
        <f t="shared" si="6"/>
        <v>2416.876014</v>
      </c>
      <c r="D962" s="25">
        <f>IFERROR(__xludf.DUMMYFUNCTION("""COMPUTED_VALUE"""),42861.99861111111)</f>
        <v>42861.99861</v>
      </c>
      <c r="E962" s="22">
        <f>IFERROR(__xludf.DUMMYFUNCTION("""COMPUTED_VALUE"""),1.0996)</f>
        <v>1.0996</v>
      </c>
      <c r="F962" s="22">
        <f t="shared" si="8"/>
        <v>179.9094953</v>
      </c>
      <c r="G962" s="22">
        <f t="shared" si="31"/>
        <v>0.3700237835</v>
      </c>
      <c r="H962" s="22">
        <f t="shared" si="32"/>
        <v>51.9884577</v>
      </c>
      <c r="I962" s="22">
        <f t="shared" si="3"/>
        <v>0.9094216079</v>
      </c>
      <c r="J962" s="22">
        <f t="shared" si="33"/>
        <v>0.1744270644</v>
      </c>
    </row>
    <row r="963" ht="15.75" customHeight="1">
      <c r="A963" s="25">
        <f>IFERROR(__xludf.DUMMYFUNCTION("""COMPUTED_VALUE"""),42888.66666666667)</f>
        <v>42888.66667</v>
      </c>
      <c r="B963" s="22">
        <f>IFERROR(__xludf.DUMMYFUNCTION("""COMPUTED_VALUE"""),2439.07)</f>
        <v>2439.07</v>
      </c>
      <c r="C963" s="22">
        <f t="shared" si="6"/>
        <v>2440.141129</v>
      </c>
      <c r="D963" s="25">
        <f>IFERROR(__xludf.DUMMYFUNCTION("""COMPUTED_VALUE"""),42868.99861111111)</f>
        <v>42868.99861</v>
      </c>
      <c r="E963" s="22">
        <f>IFERROR(__xludf.DUMMYFUNCTION("""COMPUTED_VALUE"""),1.0932)</f>
        <v>1.0932</v>
      </c>
      <c r="F963" s="22">
        <f t="shared" si="8"/>
        <v>180.5841172</v>
      </c>
      <c r="G963" s="22">
        <f t="shared" si="31"/>
        <v>-0.1186484238</v>
      </c>
      <c r="H963" s="22">
        <f t="shared" si="32"/>
        <v>61.07903271</v>
      </c>
      <c r="I963" s="22">
        <f t="shared" si="3"/>
        <v>0.9147457007</v>
      </c>
      <c r="J963" s="22">
        <f t="shared" si="33"/>
        <v>0.1690450055</v>
      </c>
    </row>
    <row r="964" ht="15.75" customHeight="1">
      <c r="A964" s="25">
        <f>IFERROR(__xludf.DUMMYFUNCTION("""COMPUTED_VALUE"""),42895.66666666667)</f>
        <v>42895.66667</v>
      </c>
      <c r="B964" s="22">
        <f>IFERROR(__xludf.DUMMYFUNCTION("""COMPUTED_VALUE"""),2431.77)</f>
        <v>2431.77</v>
      </c>
      <c r="C964" s="22">
        <f t="shared" si="6"/>
        <v>2432.851437</v>
      </c>
      <c r="D964" s="25">
        <f>IFERROR(__xludf.DUMMYFUNCTION("""COMPUTED_VALUE"""),42875.99861111111)</f>
        <v>42875.99861</v>
      </c>
      <c r="E964" s="22">
        <f>IFERROR(__xludf.DUMMYFUNCTION("""COMPUTED_VALUE"""),1.1207)</f>
        <v>1.1207</v>
      </c>
      <c r="F964" s="22">
        <f t="shared" si="8"/>
        <v>184.5737534</v>
      </c>
      <c r="G964" s="22">
        <f t="shared" si="31"/>
        <v>3.300279779</v>
      </c>
      <c r="H964" s="22">
        <f t="shared" si="32"/>
        <v>65.21877597</v>
      </c>
      <c r="I964" s="22">
        <f t="shared" si="3"/>
        <v>0.8922994557</v>
      </c>
      <c r="J964" s="22">
        <f t="shared" si="33"/>
        <v>0.1168912287</v>
      </c>
    </row>
    <row r="965" ht="15.75" customHeight="1">
      <c r="A965" s="25">
        <f>IFERROR(__xludf.DUMMYFUNCTION("""COMPUTED_VALUE"""),42902.66666666667)</f>
        <v>42902.66667</v>
      </c>
      <c r="B965" s="22">
        <f>IFERROR(__xludf.DUMMYFUNCTION("""COMPUTED_VALUE"""),2433.15)</f>
        <v>2433.15</v>
      </c>
      <c r="C965" s="22">
        <f t="shared" si="6"/>
        <v>2434.228201</v>
      </c>
      <c r="D965" s="25">
        <f>IFERROR(__xludf.DUMMYFUNCTION("""COMPUTED_VALUE"""),42882.99861111111)</f>
        <v>42882.99861</v>
      </c>
      <c r="E965" s="22">
        <f>IFERROR(__xludf.DUMMYFUNCTION("""COMPUTED_VALUE"""),1.1182)</f>
        <v>1.1182</v>
      </c>
      <c r="F965" s="22">
        <f t="shared" si="8"/>
        <v>184.266234</v>
      </c>
      <c r="G965" s="22">
        <f t="shared" si="31"/>
        <v>1.69591026</v>
      </c>
      <c r="H965" s="22">
        <f t="shared" si="32"/>
        <v>71.38833627</v>
      </c>
      <c r="I965" s="22">
        <f t="shared" si="3"/>
        <v>0.8942944017</v>
      </c>
      <c r="J965" s="22">
        <f t="shared" si="33"/>
        <v>0.1108030764</v>
      </c>
    </row>
    <row r="966" ht="15.75" customHeight="1">
      <c r="A966" s="25">
        <f>IFERROR(__xludf.DUMMYFUNCTION("""COMPUTED_VALUE"""),42909.66666666667)</f>
        <v>42909.66667</v>
      </c>
      <c r="B966" s="22">
        <f>IFERROR(__xludf.DUMMYFUNCTION("""COMPUTED_VALUE"""),2438.3)</f>
        <v>2438.3</v>
      </c>
      <c r="C966" s="22">
        <f t="shared" si="6"/>
        <v>2439.378813</v>
      </c>
      <c r="D966" s="25">
        <f>IFERROR(__xludf.DUMMYFUNCTION("""COMPUTED_VALUE"""),42889.99861111111)</f>
        <v>42889.99861</v>
      </c>
      <c r="E966" s="22">
        <f>IFERROR(__xludf.DUMMYFUNCTION("""COMPUTED_VALUE"""),1.1283)</f>
        <v>1.1283</v>
      </c>
      <c r="F966" s="22">
        <f t="shared" si="8"/>
        <v>186.3240081</v>
      </c>
      <c r="G966" s="22">
        <f t="shared" si="31"/>
        <v>2.848080089</v>
      </c>
      <c r="H966" s="22">
        <f t="shared" si="32"/>
        <v>65.85349871</v>
      </c>
      <c r="I966" s="22">
        <f t="shared" si="3"/>
        <v>0.8862891075</v>
      </c>
      <c r="J966" s="22">
        <f t="shared" si="33"/>
        <v>0.1090135602</v>
      </c>
    </row>
    <row r="967" ht="15.75" customHeight="1">
      <c r="A967" s="25">
        <f>IFERROR(__xludf.DUMMYFUNCTION("""COMPUTED_VALUE"""),42916.66666666667)</f>
        <v>42916.66667</v>
      </c>
      <c r="B967" s="22">
        <f>IFERROR(__xludf.DUMMYFUNCTION("""COMPUTED_VALUE"""),2423.41)</f>
        <v>2423.41</v>
      </c>
      <c r="C967" s="22">
        <f t="shared" si="6"/>
        <v>2424.491096</v>
      </c>
      <c r="D967" s="25">
        <f>IFERROR(__xludf.DUMMYFUNCTION("""COMPUTED_VALUE"""),42896.99861111111)</f>
        <v>42896.99861</v>
      </c>
      <c r="E967" s="22">
        <f>IFERROR(__xludf.DUMMYFUNCTION("""COMPUTED_VALUE"""),1.1192)</f>
        <v>1.1192</v>
      </c>
      <c r="F967" s="22">
        <f t="shared" si="8"/>
        <v>183.6932836</v>
      </c>
      <c r="G967" s="22">
        <f t="shared" si="31"/>
        <v>0.9008436361</v>
      </c>
      <c r="H967" s="22">
        <f t="shared" si="32"/>
        <v>59.56913157</v>
      </c>
      <c r="I967" s="22">
        <f t="shared" si="3"/>
        <v>0.8934953538</v>
      </c>
      <c r="J967" s="22">
        <f t="shared" si="33"/>
        <v>0.1309864189</v>
      </c>
    </row>
    <row r="968" ht="15.75" customHeight="1">
      <c r="A968" s="25">
        <f>IFERROR(__xludf.DUMMYFUNCTION("""COMPUTED_VALUE"""),42923.66666666667)</f>
        <v>42923.66667</v>
      </c>
      <c r="B968" s="22">
        <f>IFERROR(__xludf.DUMMYFUNCTION("""COMPUTED_VALUE"""),2425.18)</f>
        <v>2425.18</v>
      </c>
      <c r="C968" s="22">
        <f t="shared" si="6"/>
        <v>2426.254494</v>
      </c>
      <c r="D968" s="25">
        <f>IFERROR(__xludf.DUMMYFUNCTION("""COMPUTED_VALUE"""),42903.99861111111)</f>
        <v>42903.99861</v>
      </c>
      <c r="E968" s="22">
        <f>IFERROR(__xludf.DUMMYFUNCTION("""COMPUTED_VALUE"""),1.1184)</f>
        <v>1.1184</v>
      </c>
      <c r="F968" s="22">
        <f t="shared" si="8"/>
        <v>183.6954899</v>
      </c>
      <c r="G968" s="22">
        <f t="shared" si="31"/>
        <v>1.360827483</v>
      </c>
      <c r="H968" s="22">
        <f t="shared" si="32"/>
        <v>61.57666526</v>
      </c>
      <c r="I968" s="22">
        <f t="shared" si="3"/>
        <v>0.8941344778</v>
      </c>
      <c r="J968" s="22">
        <f t="shared" si="33"/>
        <v>0.1242846924</v>
      </c>
    </row>
    <row r="969" ht="15.75" customHeight="1">
      <c r="A969" s="25">
        <f>IFERROR(__xludf.DUMMYFUNCTION("""COMPUTED_VALUE"""),42930.66666666667)</f>
        <v>42930.66667</v>
      </c>
      <c r="B969" s="22">
        <f>IFERROR(__xludf.DUMMYFUNCTION("""COMPUTED_VALUE"""),2459.27)</f>
        <v>2459.27</v>
      </c>
      <c r="C969" s="22">
        <f t="shared" si="6"/>
        <v>2460.345279</v>
      </c>
      <c r="D969" s="25">
        <f>IFERROR(__xludf.DUMMYFUNCTION("""COMPUTED_VALUE"""),42910.99861111111)</f>
        <v>42910.99861</v>
      </c>
      <c r="E969" s="22">
        <f>IFERROR(__xludf.DUMMYFUNCTION("""COMPUTED_VALUE"""),1.1192)</f>
        <v>1.1192</v>
      </c>
      <c r="F969" s="22">
        <f t="shared" si="8"/>
        <v>186.4098011</v>
      </c>
      <c r="G969" s="22">
        <f t="shared" si="31"/>
        <v>1.968059208</v>
      </c>
      <c r="H969" s="22">
        <f t="shared" si="32"/>
        <v>59.60748401</v>
      </c>
      <c r="I969" s="22">
        <f t="shared" si="3"/>
        <v>0.8934953538</v>
      </c>
      <c r="J969" s="22">
        <f t="shared" si="33"/>
        <v>0.1311651179</v>
      </c>
    </row>
    <row r="970" ht="15.75" customHeight="1">
      <c r="A970" s="25">
        <f>IFERROR(__xludf.DUMMYFUNCTION("""COMPUTED_VALUE"""),42937.66666666667)</f>
        <v>42937.66667</v>
      </c>
      <c r="B970" s="22">
        <f>IFERROR(__xludf.DUMMYFUNCTION("""COMPUTED_VALUE"""),2472.54)</f>
        <v>2472.54</v>
      </c>
      <c r="C970" s="22">
        <f t="shared" si="6"/>
        <v>2473.630394</v>
      </c>
      <c r="D970" s="25">
        <f>IFERROR(__xludf.DUMMYFUNCTION("""COMPUTED_VALUE"""),42917.99861111111)</f>
        <v>42917.99861</v>
      </c>
      <c r="E970" s="22">
        <f>IFERROR(__xludf.DUMMYFUNCTION("""COMPUTED_VALUE"""),1.1426)</f>
        <v>1.1426</v>
      </c>
      <c r="F970" s="22">
        <f t="shared" si="8"/>
        <v>191.3348193</v>
      </c>
      <c r="G970" s="22">
        <f t="shared" si="31"/>
        <v>5.032677487</v>
      </c>
      <c r="H970" s="22">
        <f t="shared" si="32"/>
        <v>69.74157208</v>
      </c>
      <c r="I970" s="22">
        <f t="shared" si="3"/>
        <v>0.8751969193</v>
      </c>
      <c r="J970" s="22">
        <f t="shared" si="33"/>
        <v>0.07526693506</v>
      </c>
    </row>
    <row r="971" ht="15.75" customHeight="1">
      <c r="A971" s="25">
        <f>IFERROR(__xludf.DUMMYFUNCTION("""COMPUTED_VALUE"""),42944.66666666667)</f>
        <v>42944.66667</v>
      </c>
      <c r="B971" s="22">
        <f>IFERROR(__xludf.DUMMYFUNCTION("""COMPUTED_VALUE"""),2472.1)</f>
        <v>2472.1</v>
      </c>
      <c r="C971" s="22">
        <f t="shared" si="6"/>
        <v>2473.196277</v>
      </c>
      <c r="D971" s="25">
        <f>IFERROR(__xludf.DUMMYFUNCTION("""COMPUTED_VALUE"""),42924.99861111111)</f>
        <v>42924.99861</v>
      </c>
      <c r="E971" s="22">
        <f>IFERROR(__xludf.DUMMYFUNCTION("""COMPUTED_VALUE"""),1.1397)</f>
        <v>1.1397</v>
      </c>
      <c r="F971" s="22">
        <f t="shared" si="8"/>
        <v>190.8157044</v>
      </c>
      <c r="G971" s="22">
        <f t="shared" si="31"/>
        <v>7.545545084</v>
      </c>
      <c r="H971" s="22">
        <f t="shared" si="32"/>
        <v>69.55779652</v>
      </c>
      <c r="I971" s="22">
        <f t="shared" si="3"/>
        <v>0.8774238835</v>
      </c>
      <c r="J971" s="22">
        <f t="shared" si="33"/>
        <v>0.0745810301</v>
      </c>
    </row>
    <row r="972" ht="15.75" customHeight="1">
      <c r="A972" s="25">
        <f>IFERROR(__xludf.DUMMYFUNCTION("""COMPUTED_VALUE"""),42951.66666666667)</f>
        <v>42951.66667</v>
      </c>
      <c r="B972" s="22">
        <f>IFERROR(__xludf.DUMMYFUNCTION("""COMPUTED_VALUE"""),2476.83)</f>
        <v>2476.83</v>
      </c>
      <c r="C972" s="22">
        <f t="shared" si="6"/>
        <v>2477.926082</v>
      </c>
      <c r="D972" s="25">
        <f>IFERROR(__xludf.DUMMYFUNCTION("""COMPUTED_VALUE"""),42931.99861111111)</f>
        <v>42931.99861</v>
      </c>
      <c r="E972" s="22">
        <f>IFERROR(__xludf.DUMMYFUNCTION("""COMPUTED_VALUE"""),1.1467)</f>
        <v>1.1467</v>
      </c>
      <c r="F972" s="22">
        <f t="shared" si="8"/>
        <v>192.3548504</v>
      </c>
      <c r="G972" s="22">
        <f t="shared" si="31"/>
        <v>8.732228617</v>
      </c>
      <c r="H972" s="22">
        <f t="shared" si="32"/>
        <v>71.47626049</v>
      </c>
      <c r="I972" s="22">
        <f t="shared" si="3"/>
        <v>0.8720676725</v>
      </c>
      <c r="J972" s="22">
        <f t="shared" si="33"/>
        <v>0.05999825586</v>
      </c>
    </row>
    <row r="973" ht="15.75" customHeight="1">
      <c r="A973" s="25">
        <f>IFERROR(__xludf.DUMMYFUNCTION("""COMPUTED_VALUE"""),42958.66666666667)</f>
        <v>42958.66667</v>
      </c>
      <c r="B973" s="22">
        <f>IFERROR(__xludf.DUMMYFUNCTION("""COMPUTED_VALUE"""),2441.32)</f>
        <v>2441.32</v>
      </c>
      <c r="C973" s="22">
        <f t="shared" si="6"/>
        <v>2442.41818</v>
      </c>
      <c r="D973" s="25">
        <f>IFERROR(__xludf.DUMMYFUNCTION("""COMPUTED_VALUE"""),42938.99861111111)</f>
        <v>42938.99861</v>
      </c>
      <c r="E973" s="22">
        <f>IFERROR(__xludf.DUMMYFUNCTION("""COMPUTED_VALUE"""),1.166)</f>
        <v>1.166</v>
      </c>
      <c r="F973" s="22">
        <f t="shared" si="8"/>
        <v>192.7895798</v>
      </c>
      <c r="G973" s="22">
        <f t="shared" si="31"/>
        <v>8.415722079</v>
      </c>
      <c r="H973" s="22">
        <f t="shared" si="32"/>
        <v>66.75179779</v>
      </c>
      <c r="I973" s="22">
        <f t="shared" si="3"/>
        <v>0.8576329331</v>
      </c>
      <c r="J973" s="22">
        <f t="shared" si="33"/>
        <v>0.0563464837</v>
      </c>
    </row>
    <row r="974" ht="15.75" customHeight="1">
      <c r="A974" s="25">
        <f>IFERROR(__xludf.DUMMYFUNCTION("""COMPUTED_VALUE"""),42965.66666666667)</f>
        <v>42965.66667</v>
      </c>
      <c r="B974" s="22">
        <f>IFERROR(__xludf.DUMMYFUNCTION("""COMPUTED_VALUE"""),2425.55)</f>
        <v>2425.55</v>
      </c>
      <c r="C974" s="22">
        <f t="shared" si="6"/>
        <v>2426.632435</v>
      </c>
      <c r="D974" s="25">
        <f>IFERROR(__xludf.DUMMYFUNCTION("""COMPUTED_VALUE"""),42945.99861111111)</f>
        <v>42945.99861</v>
      </c>
      <c r="E974" s="22">
        <f>IFERROR(__xludf.DUMMYFUNCTION("""COMPUTED_VALUE"""),1.1753)</f>
        <v>1.1753</v>
      </c>
      <c r="F974" s="22">
        <f t="shared" si="8"/>
        <v>193.0712982</v>
      </c>
      <c r="G974" s="22">
        <f t="shared" si="31"/>
        <v>6.753882619</v>
      </c>
      <c r="H974" s="22">
        <f t="shared" si="32"/>
        <v>65.45152264</v>
      </c>
      <c r="I974" s="22">
        <f t="shared" si="3"/>
        <v>0.8508465924</v>
      </c>
      <c r="J974" s="22">
        <f t="shared" si="33"/>
        <v>0.05394367396</v>
      </c>
    </row>
    <row r="975" ht="15.75" customHeight="1">
      <c r="A975" s="25">
        <f>IFERROR(__xludf.DUMMYFUNCTION("""COMPUTED_VALUE"""),42972.66666666667)</f>
        <v>42972.66667</v>
      </c>
      <c r="B975" s="22">
        <f>IFERROR(__xludf.DUMMYFUNCTION("""COMPUTED_VALUE"""),2443.05)</f>
        <v>2443.05</v>
      </c>
      <c r="C975" s="22">
        <f t="shared" si="6"/>
        <v>2444.125443</v>
      </c>
      <c r="D975" s="25">
        <f>IFERROR(__xludf.DUMMYFUNCTION("""COMPUTED_VALUE"""),42952.99861111111)</f>
        <v>42952.99861</v>
      </c>
      <c r="E975" s="22">
        <f>IFERROR(__xludf.DUMMYFUNCTION("""COMPUTED_VALUE"""),1.1773)</f>
        <v>1.1773</v>
      </c>
      <c r="F975" s="22">
        <f t="shared" si="8"/>
        <v>194.7940192</v>
      </c>
      <c r="G975" s="22">
        <f t="shared" si="31"/>
        <v>7.068569964</v>
      </c>
      <c r="H975" s="22">
        <f t="shared" si="32"/>
        <v>66.46506759</v>
      </c>
      <c r="I975" s="22">
        <f t="shared" si="3"/>
        <v>0.8494011722</v>
      </c>
      <c r="J975" s="22">
        <f t="shared" si="33"/>
        <v>0.0439140406</v>
      </c>
    </row>
    <row r="976" ht="15.75" customHeight="1">
      <c r="A976" s="25">
        <f>IFERROR(__xludf.DUMMYFUNCTION("""COMPUTED_VALUE"""),42979.66666666667)</f>
        <v>42979.66667</v>
      </c>
      <c r="B976" s="22">
        <f>IFERROR(__xludf.DUMMYFUNCTION("""COMPUTED_VALUE"""),2476.55)</f>
        <v>2476.55</v>
      </c>
      <c r="C976" s="22">
        <f t="shared" si="6"/>
        <v>2477.633202</v>
      </c>
      <c r="D976" s="25">
        <f>IFERROR(__xludf.DUMMYFUNCTION("""COMPUTED_VALUE"""),42959.99861111111)</f>
        <v>42959.99861</v>
      </c>
      <c r="E976" s="22">
        <f>IFERROR(__xludf.DUMMYFUNCTION("""COMPUTED_VALUE"""),1.1818)</f>
        <v>1.1818</v>
      </c>
      <c r="F976" s="22">
        <f t="shared" si="8"/>
        <v>198.2193193</v>
      </c>
      <c r="G976" s="22">
        <f t="shared" si="31"/>
        <v>8.841328616</v>
      </c>
      <c r="H976" s="22">
        <f t="shared" si="32"/>
        <v>67.36576278</v>
      </c>
      <c r="I976" s="22">
        <f t="shared" si="3"/>
        <v>0.8461668641</v>
      </c>
      <c r="J976" s="22">
        <f t="shared" si="33"/>
        <v>0.04340836013</v>
      </c>
    </row>
    <row r="977" ht="15.75" customHeight="1">
      <c r="A977" s="25">
        <f>IFERROR(__xludf.DUMMYFUNCTION("""COMPUTED_VALUE"""),42986.66666666667)</f>
        <v>42986.66667</v>
      </c>
      <c r="B977" s="22">
        <f>IFERROR(__xludf.DUMMYFUNCTION("""COMPUTED_VALUE"""),2461.43)</f>
        <v>2461.43</v>
      </c>
      <c r="C977" s="22">
        <f t="shared" si="6"/>
        <v>2462.528055</v>
      </c>
      <c r="D977" s="25">
        <f>IFERROR(__xludf.DUMMYFUNCTION("""COMPUTED_VALUE"""),42966.99861111111)</f>
        <v>42966.99861</v>
      </c>
      <c r="E977" s="22">
        <f>IFERROR(__xludf.DUMMYFUNCTION("""COMPUTED_VALUE"""),1.176)</f>
        <v>1.176</v>
      </c>
      <c r="F977" s="22">
        <f t="shared" si="8"/>
        <v>196.0439712</v>
      </c>
      <c r="G977" s="22">
        <f t="shared" si="31"/>
        <v>10.06854896</v>
      </c>
      <c r="H977" s="22">
        <f t="shared" si="32"/>
        <v>63.97237992</v>
      </c>
      <c r="I977" s="22">
        <f t="shared" si="3"/>
        <v>0.8503401361</v>
      </c>
      <c r="J977" s="22">
        <f t="shared" si="33"/>
        <v>0.0637755102</v>
      </c>
    </row>
    <row r="978" ht="15.75" customHeight="1">
      <c r="A978" s="25">
        <f>IFERROR(__xludf.DUMMYFUNCTION("""COMPUTED_VALUE"""),42993.66666666667)</f>
        <v>42993.66667</v>
      </c>
      <c r="B978" s="22">
        <f>IFERROR(__xludf.DUMMYFUNCTION("""COMPUTED_VALUE"""),2500.23)</f>
        <v>2500.23</v>
      </c>
      <c r="C978" s="22">
        <f t="shared" si="6"/>
        <v>2501.321351</v>
      </c>
      <c r="D978" s="25">
        <f>IFERROR(__xludf.DUMMYFUNCTION("""COMPUTED_VALUE"""),42973.99861111111)</f>
        <v>42973.99861</v>
      </c>
      <c r="E978" s="22">
        <f>IFERROR(__xludf.DUMMYFUNCTION("""COMPUTED_VALUE"""),1.1924)</f>
        <v>1.1924</v>
      </c>
      <c r="F978" s="22">
        <f t="shared" si="8"/>
        <v>201.9093544</v>
      </c>
      <c r="G978" s="22">
        <f t="shared" si="31"/>
        <v>12.89006084</v>
      </c>
      <c r="H978" s="22">
        <f t="shared" si="32"/>
        <v>68.44172689</v>
      </c>
      <c r="I978" s="22">
        <f t="shared" si="3"/>
        <v>0.8386447501</v>
      </c>
      <c r="J978" s="22">
        <f t="shared" si="33"/>
        <v>0.05526668903</v>
      </c>
    </row>
    <row r="979" ht="15.75" customHeight="1">
      <c r="A979" s="25">
        <f>IFERROR(__xludf.DUMMYFUNCTION("""COMPUTED_VALUE"""),43000.66666666667)</f>
        <v>43000.66667</v>
      </c>
      <c r="B979" s="22">
        <f>IFERROR(__xludf.DUMMYFUNCTION("""COMPUTED_VALUE"""),2502.22)</f>
        <v>2502.22</v>
      </c>
      <c r="C979" s="22">
        <f t="shared" si="6"/>
        <v>2503.328555</v>
      </c>
      <c r="D979" s="25">
        <f>IFERROR(__xludf.DUMMYFUNCTION("""COMPUTED_VALUE"""),42980.99861111111)</f>
        <v>42980.99861</v>
      </c>
      <c r="E979" s="22">
        <f>IFERROR(__xludf.DUMMYFUNCTION("""COMPUTED_VALUE"""),1.1861)</f>
        <v>1.1861</v>
      </c>
      <c r="F979" s="22">
        <f t="shared" si="8"/>
        <v>201.0037416</v>
      </c>
      <c r="G979" s="22">
        <f t="shared" si="31"/>
        <v>15.58936479</v>
      </c>
      <c r="H979" s="22">
        <f t="shared" si="32"/>
        <v>61.06363786</v>
      </c>
      <c r="I979" s="22">
        <f t="shared" si="3"/>
        <v>0.8430992328</v>
      </c>
      <c r="J979" s="22">
        <f t="shared" si="33"/>
        <v>0.08043166681</v>
      </c>
    </row>
    <row r="980" ht="15.75" customHeight="1">
      <c r="A980" s="25">
        <f>IFERROR(__xludf.DUMMYFUNCTION("""COMPUTED_VALUE"""),43007.66666666667)</f>
        <v>43007.66667</v>
      </c>
      <c r="B980" s="22">
        <f>IFERROR(__xludf.DUMMYFUNCTION("""COMPUTED_VALUE"""),2519.36)</f>
        <v>2519.36</v>
      </c>
      <c r="C980" s="22">
        <f t="shared" si="6"/>
        <v>2520.469437</v>
      </c>
      <c r="D980" s="25">
        <f>IFERROR(__xludf.DUMMYFUNCTION("""COMPUTED_VALUE"""),42987.99861111111)</f>
        <v>42987.99861</v>
      </c>
      <c r="E980" s="22">
        <f>IFERROR(__xludf.DUMMYFUNCTION("""COMPUTED_VALUE"""),1.2036)</f>
        <v>1.2036</v>
      </c>
      <c r="F980" s="22">
        <f t="shared" si="8"/>
        <v>205.366025</v>
      </c>
      <c r="G980" s="22">
        <f t="shared" si="31"/>
        <v>19.01383875</v>
      </c>
      <c r="H980" s="22">
        <f t="shared" si="32"/>
        <v>57.6073721</v>
      </c>
      <c r="I980" s="22">
        <f t="shared" si="3"/>
        <v>0.8308408109</v>
      </c>
      <c r="J980" s="22">
        <f t="shared" si="33"/>
        <v>0.09056164839</v>
      </c>
    </row>
    <row r="981" ht="15.75" customHeight="1">
      <c r="A981" s="25">
        <f>IFERROR(__xludf.DUMMYFUNCTION("""COMPUTED_VALUE"""),43014.66666666667)</f>
        <v>43014.66667</v>
      </c>
      <c r="B981" s="22">
        <f>IFERROR(__xludf.DUMMYFUNCTION("""COMPUTED_VALUE"""),2549.33)</f>
        <v>2549.33</v>
      </c>
      <c r="C981" s="22">
        <f t="shared" si="6"/>
        <v>2550.447037</v>
      </c>
      <c r="D981" s="25">
        <f>IFERROR(__xludf.DUMMYFUNCTION("""COMPUTED_VALUE"""),42994.99861111111)</f>
        <v>42994.99861</v>
      </c>
      <c r="E981" s="22">
        <f>IFERROR(__xludf.DUMMYFUNCTION("""COMPUTED_VALUE"""),1.1944)</f>
        <v>1.1944</v>
      </c>
      <c r="F981" s="22">
        <f t="shared" si="8"/>
        <v>206.2201443</v>
      </c>
      <c r="G981" s="22">
        <f t="shared" si="31"/>
        <v>24.51510229</v>
      </c>
      <c r="H981" s="22">
        <f t="shared" si="32"/>
        <v>60.66975915</v>
      </c>
      <c r="I981" s="22">
        <f t="shared" si="3"/>
        <v>0.8372404555</v>
      </c>
      <c r="J981" s="22">
        <f t="shared" si="33"/>
        <v>0.08665438714</v>
      </c>
    </row>
    <row r="982" ht="15.75" customHeight="1">
      <c r="A982" s="25">
        <f>IFERROR(__xludf.DUMMYFUNCTION("""COMPUTED_VALUE"""),43021.66666666667)</f>
        <v>43021.66667</v>
      </c>
      <c r="B982" s="22">
        <f>IFERROR(__xludf.DUMMYFUNCTION("""COMPUTED_VALUE"""),2553.17)</f>
        <v>2553.17</v>
      </c>
      <c r="C982" s="22">
        <f t="shared" si="6"/>
        <v>2554.300325</v>
      </c>
      <c r="D982" s="25">
        <f>IFERROR(__xludf.DUMMYFUNCTION("""COMPUTED_VALUE"""),43001.99861111111)</f>
        <v>43001.99861</v>
      </c>
      <c r="E982" s="22">
        <f>IFERROR(__xludf.DUMMYFUNCTION("""COMPUTED_VALUE"""),1.1949)</f>
        <v>1.1949</v>
      </c>
      <c r="F982" s="22">
        <f t="shared" si="8"/>
        <v>206.6181659</v>
      </c>
      <c r="G982" s="22">
        <f t="shared" si="31"/>
        <v>27.48831336</v>
      </c>
      <c r="H982" s="22">
        <f t="shared" si="32"/>
        <v>64.7424778</v>
      </c>
      <c r="I982" s="22">
        <f t="shared" si="3"/>
        <v>0.8368901163</v>
      </c>
      <c r="J982" s="22">
        <f t="shared" si="33"/>
        <v>0.07573855553</v>
      </c>
    </row>
    <row r="983" ht="15.75" customHeight="1">
      <c r="A983" s="25">
        <f>IFERROR(__xludf.DUMMYFUNCTION("""COMPUTED_VALUE"""),43028.66666666667)</f>
        <v>43028.66667</v>
      </c>
      <c r="B983" s="22">
        <f>IFERROR(__xludf.DUMMYFUNCTION("""COMPUTED_VALUE"""),2575.21)</f>
        <v>2575.21</v>
      </c>
      <c r="C983" s="22">
        <f t="shared" si="6"/>
        <v>2576.342027</v>
      </c>
      <c r="D983" s="25">
        <f>IFERROR(__xludf.DUMMYFUNCTION("""COMPUTED_VALUE"""),43008.99861111111)</f>
        <v>43008.99861</v>
      </c>
      <c r="E983" s="22">
        <f>IFERROR(__xludf.DUMMYFUNCTION("""COMPUTED_VALUE"""),1.18128)</f>
        <v>1.18128</v>
      </c>
      <c r="F983" s="22">
        <f t="shared" si="8"/>
        <v>206.0256778</v>
      </c>
      <c r="G983" s="22">
        <f t="shared" si="31"/>
        <v>23.73871709</v>
      </c>
      <c r="H983" s="22">
        <f t="shared" si="32"/>
        <v>59.79359627</v>
      </c>
      <c r="I983" s="22">
        <f t="shared" si="3"/>
        <v>0.8465393471</v>
      </c>
      <c r="J983" s="22">
        <f t="shared" si="33"/>
        <v>0.1031254233</v>
      </c>
    </row>
    <row r="984" ht="15.75" customHeight="1">
      <c r="A984" s="25">
        <f>IFERROR(__xludf.DUMMYFUNCTION("""COMPUTED_VALUE"""),43035.66666666667)</f>
        <v>43035.66667</v>
      </c>
      <c r="B984" s="22">
        <f>IFERROR(__xludf.DUMMYFUNCTION("""COMPUTED_VALUE"""),2581.07)</f>
        <v>2581.07</v>
      </c>
      <c r="C984" s="22">
        <f t="shared" si="6"/>
        <v>2582.211799</v>
      </c>
      <c r="D984" s="25">
        <f>IFERROR(__xludf.DUMMYFUNCTION("""COMPUTED_VALUE"""),43015.99861111111)</f>
        <v>43015.99861</v>
      </c>
      <c r="E984" s="22">
        <f>IFERROR(__xludf.DUMMYFUNCTION("""COMPUTED_VALUE"""),1.1732)</f>
        <v>1.1732</v>
      </c>
      <c r="F984" s="22">
        <f t="shared" si="8"/>
        <v>205.0826394</v>
      </c>
      <c r="G984" s="22">
        <f t="shared" si="31"/>
        <v>18.83500734</v>
      </c>
      <c r="H984" s="22">
        <f t="shared" si="32"/>
        <v>63.63984969</v>
      </c>
      <c r="I984" s="22">
        <f t="shared" si="3"/>
        <v>0.8523695875</v>
      </c>
      <c r="J984" s="22">
        <f t="shared" si="33"/>
        <v>0.1040743266</v>
      </c>
    </row>
    <row r="985" ht="15.75" customHeight="1">
      <c r="A985" s="25">
        <f>IFERROR(__xludf.DUMMYFUNCTION("""COMPUTED_VALUE"""),43042.66666666667)</f>
        <v>43042.66667</v>
      </c>
      <c r="B985" s="22">
        <f>IFERROR(__xludf.DUMMYFUNCTION("""COMPUTED_VALUE"""),2587.84)</f>
        <v>2587.84</v>
      </c>
      <c r="C985" s="22">
        <f t="shared" si="6"/>
        <v>2588.984398</v>
      </c>
      <c r="D985" s="25">
        <f>IFERROR(__xludf.DUMMYFUNCTION("""COMPUTED_VALUE"""),43022.99861111111)</f>
        <v>43022.99861</v>
      </c>
      <c r="E985" s="22">
        <f>IFERROR(__xludf.DUMMYFUNCTION("""COMPUTED_VALUE"""),1.182)</f>
        <v>1.182</v>
      </c>
      <c r="F985" s="22">
        <f t="shared" si="8"/>
        <v>207.1628572</v>
      </c>
      <c r="G985" s="22">
        <f t="shared" si="31"/>
        <v>17.99578813</v>
      </c>
      <c r="H985" s="22">
        <f t="shared" si="32"/>
        <v>63.92313782</v>
      </c>
      <c r="I985" s="22">
        <f t="shared" si="3"/>
        <v>0.8460236887</v>
      </c>
      <c r="J985" s="22">
        <f t="shared" si="33"/>
        <v>0.1015228426</v>
      </c>
    </row>
    <row r="986" ht="15.75" customHeight="1">
      <c r="A986" s="25">
        <f>IFERROR(__xludf.DUMMYFUNCTION("""COMPUTED_VALUE"""),43049.66666666667)</f>
        <v>43049.66667</v>
      </c>
      <c r="B986" s="22">
        <f>IFERROR(__xludf.DUMMYFUNCTION("""COMPUTED_VALUE"""),2582.3)</f>
        <v>2582.3</v>
      </c>
      <c r="C986" s="22">
        <f t="shared" si="6"/>
        <v>2583.447399</v>
      </c>
      <c r="D986" s="25">
        <f>IFERROR(__xludf.DUMMYFUNCTION("""COMPUTED_VALUE"""),43029.99861111111)</f>
        <v>43029.99861</v>
      </c>
      <c r="E986" s="22">
        <f>IFERROR(__xludf.DUMMYFUNCTION("""COMPUTED_VALUE"""),1.178)</f>
        <v>1.178</v>
      </c>
      <c r="F986" s="22">
        <f t="shared" si="8"/>
        <v>206.0202436</v>
      </c>
      <c r="G986" s="22">
        <f t="shared" si="31"/>
        <v>17.71151851</v>
      </c>
      <c r="H986" s="22">
        <f t="shared" si="32"/>
        <v>66.53276078</v>
      </c>
      <c r="I986" s="22">
        <f t="shared" si="3"/>
        <v>0.8488964346</v>
      </c>
      <c r="J986" s="22">
        <f t="shared" si="33"/>
        <v>0.09821731749</v>
      </c>
    </row>
    <row r="987" ht="15.75" customHeight="1">
      <c r="A987" s="25">
        <f>IFERROR(__xludf.DUMMYFUNCTION("""COMPUTED_VALUE"""),43056.66666666667)</f>
        <v>43056.66667</v>
      </c>
      <c r="B987" s="22">
        <f>IFERROR(__xludf.DUMMYFUNCTION("""COMPUTED_VALUE"""),2578.85)</f>
        <v>2578.85</v>
      </c>
      <c r="C987" s="22">
        <f t="shared" si="6"/>
        <v>2579.994943</v>
      </c>
      <c r="D987" s="25">
        <f>IFERROR(__xludf.DUMMYFUNCTION("""COMPUTED_VALUE"""),43036.99861111111)</f>
        <v>43036.99861</v>
      </c>
      <c r="E987" s="22">
        <f>IFERROR(__xludf.DUMMYFUNCTION("""COMPUTED_VALUE"""),1.1608)</f>
        <v>1.1608</v>
      </c>
      <c r="F987" s="22">
        <f t="shared" si="8"/>
        <v>202.7408377</v>
      </c>
      <c r="G987" s="22">
        <f t="shared" si="31"/>
        <v>15.84387966</v>
      </c>
      <c r="H987" s="22">
        <f t="shared" si="32"/>
        <v>64.88298537</v>
      </c>
      <c r="I987" s="22">
        <f t="shared" si="3"/>
        <v>0.8614748449</v>
      </c>
      <c r="J987" s="22">
        <f t="shared" si="33"/>
        <v>0.1059614059</v>
      </c>
    </row>
    <row r="988" ht="15.75" customHeight="1">
      <c r="A988" s="25">
        <f>IFERROR(__xludf.DUMMYFUNCTION("""COMPUTED_VALUE"""),43063.54166666667)</f>
        <v>43063.54167</v>
      </c>
      <c r="B988" s="22">
        <f>IFERROR(__xludf.DUMMYFUNCTION("""COMPUTED_VALUE"""),2602.42)</f>
        <v>2602.42</v>
      </c>
      <c r="C988" s="22">
        <f t="shared" si="6"/>
        <v>2603.563413</v>
      </c>
      <c r="D988" s="25">
        <f>IFERROR(__xludf.DUMMYFUNCTION("""COMPUTED_VALUE"""),43043.99861111111)</f>
        <v>43043.99861</v>
      </c>
      <c r="E988" s="22">
        <f>IFERROR(__xludf.DUMMYFUNCTION("""COMPUTED_VALUE"""),1.1618)</f>
        <v>1.1618</v>
      </c>
      <c r="F988" s="22">
        <f t="shared" si="8"/>
        <v>204.7691439</v>
      </c>
      <c r="G988" s="22">
        <f t="shared" si="31"/>
        <v>17.42992207</v>
      </c>
      <c r="H988" s="22">
        <f t="shared" si="32"/>
        <v>72.4493241</v>
      </c>
      <c r="I988" s="22">
        <f t="shared" si="3"/>
        <v>0.8607333448</v>
      </c>
      <c r="J988" s="22">
        <f t="shared" si="33"/>
        <v>0.09364778792</v>
      </c>
    </row>
    <row r="989" ht="15.75" customHeight="1">
      <c r="A989" s="25">
        <f>IFERROR(__xludf.DUMMYFUNCTION("""COMPUTED_VALUE"""),43070.66666666667)</f>
        <v>43070.66667</v>
      </c>
      <c r="B989" s="22">
        <f>IFERROR(__xludf.DUMMYFUNCTION("""COMPUTED_VALUE"""),2642.22)</f>
        <v>2642.22</v>
      </c>
      <c r="C989" s="22">
        <f t="shared" si="6"/>
        <v>2643.373864</v>
      </c>
      <c r="D989" s="25">
        <f>IFERROR(__xludf.DUMMYFUNCTION("""COMPUTED_VALUE"""),43050.99861111111)</f>
        <v>43050.99861</v>
      </c>
      <c r="E989" s="22">
        <f>IFERROR(__xludf.DUMMYFUNCTION("""COMPUTED_VALUE"""),1.1665)</f>
        <v>1.1665</v>
      </c>
      <c r="F989" s="22">
        <f t="shared" si="8"/>
        <v>208.741268</v>
      </c>
      <c r="G989" s="22">
        <f t="shared" si="31"/>
        <v>18.58041071</v>
      </c>
      <c r="H989" s="22">
        <f t="shared" si="32"/>
        <v>77.85894967</v>
      </c>
      <c r="I989" s="22">
        <f t="shared" si="3"/>
        <v>0.8572653236</v>
      </c>
      <c r="J989" s="22">
        <f t="shared" si="33"/>
        <v>0.09241320189</v>
      </c>
    </row>
    <row r="990" ht="15.75" customHeight="1">
      <c r="A990" s="25">
        <f>IFERROR(__xludf.DUMMYFUNCTION("""COMPUTED_VALUE"""),43077.66666666667)</f>
        <v>43077.66667</v>
      </c>
      <c r="B990" s="22">
        <f>IFERROR(__xludf.DUMMYFUNCTION("""COMPUTED_VALUE"""),2651.5)</f>
        <v>2651.5</v>
      </c>
      <c r="C990" s="22">
        <f t="shared" si="6"/>
        <v>2652.67151</v>
      </c>
      <c r="D990" s="25">
        <f>IFERROR(__xludf.DUMMYFUNCTION("""COMPUTED_VALUE"""),43057.99861111111)</f>
        <v>43057.99861</v>
      </c>
      <c r="E990" s="22">
        <f>IFERROR(__xludf.DUMMYFUNCTION("""COMPUTED_VALUE"""),1.17963)</f>
        <v>1.17963</v>
      </c>
      <c r="F990" s="22">
        <f t="shared" si="8"/>
        <v>211.8333159</v>
      </c>
      <c r="G990" s="22">
        <f t="shared" si="31"/>
        <v>26.07320259</v>
      </c>
      <c r="H990" s="22">
        <f t="shared" si="32"/>
        <v>71.09836258</v>
      </c>
      <c r="I990" s="22">
        <f t="shared" si="3"/>
        <v>0.8477234387</v>
      </c>
      <c r="J990" s="22">
        <f t="shared" si="33"/>
        <v>0.09975161703</v>
      </c>
    </row>
    <row r="991" ht="15.75" customHeight="1">
      <c r="A991" s="25">
        <f>IFERROR(__xludf.DUMMYFUNCTION("""COMPUTED_VALUE"""),43084.66666666667)</f>
        <v>43084.66667</v>
      </c>
      <c r="B991" s="22">
        <f>IFERROR(__xludf.DUMMYFUNCTION("""COMPUTED_VALUE"""),2675.81)</f>
        <v>2675.81</v>
      </c>
      <c r="C991" s="22">
        <f t="shared" si="6"/>
        <v>2676.985625</v>
      </c>
      <c r="D991" s="25">
        <f>IFERROR(__xludf.DUMMYFUNCTION("""COMPUTED_VALUE"""),43064.99861111111)</f>
        <v>43064.99861</v>
      </c>
      <c r="E991" s="22">
        <f>IFERROR(__xludf.DUMMYFUNCTION("""COMPUTED_VALUE"""),1.193)</f>
        <v>1.193</v>
      </c>
      <c r="F991" s="22">
        <f t="shared" si="8"/>
        <v>216.197897</v>
      </c>
      <c r="G991" s="22">
        <f t="shared" si="31"/>
        <v>23.82954294</v>
      </c>
      <c r="H991" s="22">
        <f t="shared" si="32"/>
        <v>73.6072906</v>
      </c>
      <c r="I991" s="22">
        <f t="shared" si="3"/>
        <v>0.8382229673</v>
      </c>
      <c r="J991" s="22">
        <f t="shared" si="33"/>
        <v>0.08834870075</v>
      </c>
    </row>
    <row r="992" ht="15.75" customHeight="1">
      <c r="A992" s="25">
        <f>IFERROR(__xludf.DUMMYFUNCTION("""COMPUTED_VALUE"""),43091.66666666667)</f>
        <v>43091.66667</v>
      </c>
      <c r="B992" s="22">
        <f>IFERROR(__xludf.DUMMYFUNCTION("""COMPUTED_VALUE"""),2683.34)</f>
        <v>2683.34</v>
      </c>
      <c r="C992" s="22">
        <f t="shared" si="6"/>
        <v>2684.526404</v>
      </c>
      <c r="D992" s="25">
        <f>IFERROR(__xludf.DUMMYFUNCTION("""COMPUTED_VALUE"""),43071.99861111111)</f>
        <v>43071.99861</v>
      </c>
      <c r="E992" s="22">
        <f>IFERROR(__xludf.DUMMYFUNCTION("""COMPUTED_VALUE"""),1.1892)</f>
        <v>1.1892</v>
      </c>
      <c r="F992" s="22">
        <f t="shared" si="8"/>
        <v>216.1163195</v>
      </c>
      <c r="G992" s="22">
        <f t="shared" si="31"/>
        <v>24.35577334</v>
      </c>
      <c r="H992" s="22">
        <f t="shared" si="32"/>
        <v>74.07439858</v>
      </c>
      <c r="I992" s="22">
        <f t="shared" si="3"/>
        <v>0.8409014464</v>
      </c>
      <c r="J992" s="22">
        <f t="shared" si="33"/>
        <v>0.0870332997</v>
      </c>
    </row>
    <row r="993" ht="15.75" customHeight="1">
      <c r="A993" s="25">
        <f>IFERROR(__xludf.DUMMYFUNCTION("""COMPUTED_VALUE"""),43098.66666666667)</f>
        <v>43098.66667</v>
      </c>
      <c r="B993" s="22">
        <f>IFERROR(__xludf.DUMMYFUNCTION("""COMPUTED_VALUE"""),2673.61)</f>
        <v>2673.61</v>
      </c>
      <c r="C993" s="22">
        <f t="shared" si="6"/>
        <v>2674.799742</v>
      </c>
      <c r="D993" s="25">
        <f>IFERROR(__xludf.DUMMYFUNCTION("""COMPUTED_VALUE"""),43078.99861111111)</f>
        <v>43078.99861</v>
      </c>
      <c r="E993" s="22">
        <f>IFERROR(__xludf.DUMMYFUNCTION("""COMPUTED_VALUE"""),1.1764)</f>
        <v>1.1764</v>
      </c>
      <c r="F993" s="22">
        <f t="shared" si="8"/>
        <v>213.0155319</v>
      </c>
      <c r="G993" s="22">
        <f t="shared" si="31"/>
        <v>22.62403246</v>
      </c>
      <c r="H993" s="22">
        <f t="shared" si="32"/>
        <v>63.0655136</v>
      </c>
      <c r="I993" s="22">
        <f t="shared" si="3"/>
        <v>0.8500510031</v>
      </c>
      <c r="J993" s="22">
        <f t="shared" si="33"/>
        <v>0.1180720843</v>
      </c>
    </row>
    <row r="994" ht="15.75" customHeight="1">
      <c r="A994" s="25">
        <f>IFERROR(__xludf.DUMMYFUNCTION("""COMPUTED_VALUE"""),43105.66666666667)</f>
        <v>43105.66667</v>
      </c>
      <c r="B994" s="22">
        <f>IFERROR(__xludf.DUMMYFUNCTION("""COMPUTED_VALUE"""),2743.15)</f>
        <v>2743.15</v>
      </c>
      <c r="C994" s="22">
        <f t="shared" si="6"/>
        <v>2744.335428</v>
      </c>
      <c r="D994" s="25">
        <f>IFERROR(__xludf.DUMMYFUNCTION("""COMPUTED_VALUE"""),43085.99861111111)</f>
        <v>43085.99861</v>
      </c>
      <c r="E994" s="22">
        <f>IFERROR(__xludf.DUMMYFUNCTION("""COMPUTED_VALUE"""),1.17559)</f>
        <v>1.17559</v>
      </c>
      <c r="F994" s="22">
        <f t="shared" si="8"/>
        <v>218.4027275</v>
      </c>
      <c r="G994" s="22">
        <f t="shared" si="31"/>
        <v>28.98120415</v>
      </c>
      <c r="H994" s="22">
        <f t="shared" si="32"/>
        <v>66.11153428</v>
      </c>
      <c r="I994" s="22">
        <f t="shared" si="3"/>
        <v>0.8506367016</v>
      </c>
      <c r="J994" s="22">
        <f t="shared" si="33"/>
        <v>0.121819682</v>
      </c>
    </row>
    <row r="995" ht="15.75" customHeight="1">
      <c r="A995" s="25">
        <f>IFERROR(__xludf.DUMMYFUNCTION("""COMPUTED_VALUE"""),43112.66666666667)</f>
        <v>43112.66667</v>
      </c>
      <c r="B995" s="22">
        <f>IFERROR(__xludf.DUMMYFUNCTION("""COMPUTED_VALUE"""),2786.24)</f>
        <v>2786.24</v>
      </c>
      <c r="C995" s="22">
        <f t="shared" si="6"/>
        <v>2787.456261</v>
      </c>
      <c r="D995" s="25">
        <f>IFERROR(__xludf.DUMMYFUNCTION("""COMPUTED_VALUE"""),43092.99861111111)</f>
        <v>43092.99861</v>
      </c>
      <c r="E995" s="22">
        <f>IFERROR(__xludf.DUMMYFUNCTION("""COMPUTED_VALUE"""),1.1858)</f>
        <v>1.1858</v>
      </c>
      <c r="F995" s="22">
        <f t="shared" si="8"/>
        <v>223.7610493</v>
      </c>
      <c r="G995" s="22">
        <f t="shared" si="31"/>
        <v>34.31204941</v>
      </c>
      <c r="H995" s="22">
        <f t="shared" si="32"/>
        <v>68.24751743</v>
      </c>
      <c r="I995" s="22">
        <f t="shared" si="3"/>
        <v>0.8433125316</v>
      </c>
      <c r="J995" s="22">
        <f t="shared" si="33"/>
        <v>0.1144375105</v>
      </c>
    </row>
    <row r="996" ht="15.75" customHeight="1">
      <c r="A996" s="25">
        <f>IFERROR(__xludf.DUMMYFUNCTION("""COMPUTED_VALUE"""),43119.66666666667)</f>
        <v>43119.66667</v>
      </c>
      <c r="B996" s="22">
        <f>IFERROR(__xludf.DUMMYFUNCTION("""COMPUTED_VALUE"""),2810.3)</f>
        <v>2810.3</v>
      </c>
      <c r="C996" s="22">
        <f t="shared" si="6"/>
        <v>2811.535366</v>
      </c>
      <c r="D996" s="25">
        <f>IFERROR(__xludf.DUMMYFUNCTION("""COMPUTED_VALUE"""),43099.99861111111)</f>
        <v>43099.99861</v>
      </c>
      <c r="E996" s="22">
        <f>IFERROR(__xludf.DUMMYFUNCTION("""COMPUTED_VALUE"""),1.1997)</f>
        <v>1.1997</v>
      </c>
      <c r="F996" s="22">
        <f t="shared" si="8"/>
        <v>228.339577</v>
      </c>
      <c r="G996" s="22">
        <f t="shared" si="31"/>
        <v>36.95522867</v>
      </c>
      <c r="H996" s="22">
        <f t="shared" si="32"/>
        <v>71.67322093</v>
      </c>
      <c r="I996" s="22">
        <f t="shared" si="3"/>
        <v>0.8335417188</v>
      </c>
      <c r="J996" s="22">
        <f t="shared" si="33"/>
        <v>0.08918896391</v>
      </c>
    </row>
    <row r="997" ht="15.75" customHeight="1">
      <c r="A997" s="25">
        <f>IFERROR(__xludf.DUMMYFUNCTION("""COMPUTED_VALUE"""),43126.66666666667)</f>
        <v>43126.66667</v>
      </c>
      <c r="B997" s="22">
        <f>IFERROR(__xludf.DUMMYFUNCTION("""COMPUTED_VALUE"""),2872.87)</f>
        <v>2872.87</v>
      </c>
      <c r="C997" s="22">
        <f t="shared" si="6"/>
        <v>2874.116034</v>
      </c>
      <c r="D997" s="25">
        <f>IFERROR(__xludf.DUMMYFUNCTION("""COMPUTED_VALUE"""),43106.99861111111)</f>
        <v>43106.99861</v>
      </c>
      <c r="E997" s="22">
        <f>IFERROR(__xludf.DUMMYFUNCTION("""COMPUTED_VALUE"""),1.2028)</f>
        <v>1.2028</v>
      </c>
      <c r="F997" s="22">
        <f t="shared" si="8"/>
        <v>234.02524</v>
      </c>
      <c r="G997" s="22">
        <f t="shared" si="31"/>
        <v>46.31224027</v>
      </c>
      <c r="H997" s="22">
        <f t="shared" si="32"/>
        <v>71.18391256</v>
      </c>
      <c r="I997" s="22">
        <f t="shared" si="3"/>
        <v>0.8313934154</v>
      </c>
      <c r="J997" s="22">
        <f t="shared" si="33"/>
        <v>0.1090788161</v>
      </c>
    </row>
    <row r="998" ht="15.75" customHeight="1">
      <c r="A998" s="25">
        <f>IFERROR(__xludf.DUMMYFUNCTION("""COMPUTED_VALUE"""),43133.66666666667)</f>
        <v>43133.66667</v>
      </c>
      <c r="B998" s="22">
        <f>IFERROR(__xludf.DUMMYFUNCTION("""COMPUTED_VALUE"""),2762.13)</f>
        <v>2762.13</v>
      </c>
      <c r="C998" s="22">
        <f t="shared" si="6"/>
        <v>2763.403776</v>
      </c>
      <c r="D998" s="25">
        <f>IFERROR(__xludf.DUMMYFUNCTION("""COMPUTED_VALUE"""),43113.99861111111)</f>
        <v>43113.99861</v>
      </c>
      <c r="E998" s="22">
        <f>IFERROR(__xludf.DUMMYFUNCTION("""COMPUTED_VALUE"""),1.2195)</f>
        <v>1.2195</v>
      </c>
      <c r="F998" s="22">
        <f t="shared" si="8"/>
        <v>228.1345876</v>
      </c>
      <c r="G998" s="22">
        <f t="shared" si="31"/>
        <v>41.63065489</v>
      </c>
      <c r="H998" s="22">
        <f t="shared" si="32"/>
        <v>66.67633515</v>
      </c>
      <c r="I998" s="22">
        <f t="shared" si="3"/>
        <v>0.8200082001</v>
      </c>
      <c r="J998" s="22">
        <f t="shared" si="33"/>
        <v>0.09175891759</v>
      </c>
    </row>
    <row r="999" ht="15.75" customHeight="1">
      <c r="A999" s="25">
        <f>IFERROR(__xludf.DUMMYFUNCTION("""COMPUTED_VALUE"""),43140.66666666667)</f>
        <v>43140.66667</v>
      </c>
      <c r="B999" s="22">
        <f>IFERROR(__xludf.DUMMYFUNCTION("""COMPUTED_VALUE"""),2619.55)</f>
        <v>2619.55</v>
      </c>
      <c r="C999" s="22">
        <f t="shared" si="6"/>
        <v>2620.774676</v>
      </c>
      <c r="D999" s="25">
        <f>IFERROR(__xludf.DUMMYFUNCTION("""COMPUTED_VALUE"""),43120.99861111111)</f>
        <v>43120.99861</v>
      </c>
      <c r="E999" s="22">
        <f>IFERROR(__xludf.DUMMYFUNCTION("""COMPUTED_VALUE"""),1.222)</f>
        <v>1.222</v>
      </c>
      <c r="F999" s="22">
        <f t="shared" si="8"/>
        <v>216.8032918</v>
      </c>
      <c r="G999" s="22">
        <f t="shared" si="31"/>
        <v>36.30061113</v>
      </c>
      <c r="H999" s="22">
        <f t="shared" si="32"/>
        <v>56.48761347</v>
      </c>
      <c r="I999" s="22">
        <f t="shared" si="3"/>
        <v>0.8183306056</v>
      </c>
      <c r="J999" s="22">
        <f t="shared" si="33"/>
        <v>0.1014729951</v>
      </c>
    </row>
    <row r="1000" ht="15.75" customHeight="1">
      <c r="A1000" s="25">
        <f>IFERROR(__xludf.DUMMYFUNCTION("""COMPUTED_VALUE"""),43147.66666666667)</f>
        <v>43147.66667</v>
      </c>
      <c r="B1000" s="22">
        <f>IFERROR(__xludf.DUMMYFUNCTION("""COMPUTED_VALUE"""),2732.22)</f>
        <v>2732.22</v>
      </c>
      <c r="C1000" s="22">
        <f t="shared" si="6"/>
        <v>2733.381459</v>
      </c>
      <c r="D1000" s="25">
        <f>IFERROR(__xludf.DUMMYFUNCTION("""COMPUTED_VALUE"""),43127.99861111111)</f>
        <v>43127.99861</v>
      </c>
      <c r="E1000" s="22">
        <f>IFERROR(__xludf.DUMMYFUNCTION("""COMPUTED_VALUE"""),1.24198)</f>
        <v>1.24198</v>
      </c>
      <c r="F1000" s="22">
        <f t="shared" si="8"/>
        <v>229.8157712</v>
      </c>
      <c r="G1000" s="22">
        <f t="shared" si="31"/>
        <v>42.47520821</v>
      </c>
      <c r="H1000" s="22">
        <f t="shared" si="32"/>
        <v>64.11911157</v>
      </c>
      <c r="I1000" s="22">
        <f t="shared" si="3"/>
        <v>0.8051659447</v>
      </c>
      <c r="J1000" s="22">
        <f t="shared" si="33"/>
        <v>0.09840738176</v>
      </c>
    </row>
    <row r="1001" ht="15.75" customHeight="1">
      <c r="A1001" s="25">
        <f>IFERROR(__xludf.DUMMYFUNCTION("""COMPUTED_VALUE"""),43154.66666666667)</f>
        <v>43154.66667</v>
      </c>
      <c r="B1001" s="22">
        <f>IFERROR(__xludf.DUMMYFUNCTION("""COMPUTED_VALUE"""),2747.3)</f>
        <v>2747.3</v>
      </c>
      <c r="C1001" s="22">
        <f t="shared" si="6"/>
        <v>2748.511415</v>
      </c>
      <c r="D1001" s="25">
        <f>IFERROR(__xludf.DUMMYFUNCTION("""COMPUTED_VALUE"""),43134.99861111111)</f>
        <v>43134.99861</v>
      </c>
      <c r="E1001" s="22">
        <f>IFERROR(__xludf.DUMMYFUNCTION("""COMPUTED_VALUE"""),1.2461)</f>
        <v>1.2461</v>
      </c>
      <c r="F1001" s="22">
        <f t="shared" si="8"/>
        <v>231.8544434</v>
      </c>
      <c r="G1001" s="22">
        <f t="shared" si="31"/>
        <v>43.84151914</v>
      </c>
      <c r="H1001" s="22">
        <f t="shared" si="32"/>
        <v>68.75544744</v>
      </c>
      <c r="I1001" s="22">
        <f t="shared" si="3"/>
        <v>0.8025038119</v>
      </c>
      <c r="J1001" s="22">
        <f t="shared" si="33"/>
        <v>0.07230559345</v>
      </c>
    </row>
    <row r="1002" ht="15.75" customHeight="1">
      <c r="A1002" s="25">
        <f>IFERROR(__xludf.DUMMYFUNCTION("""COMPUTED_VALUE"""),43161.66666666667)</f>
        <v>43161.66667</v>
      </c>
      <c r="B1002" s="22">
        <f>IFERROR(__xludf.DUMMYFUNCTION("""COMPUTED_VALUE"""),2691.25)</f>
        <v>2691.25</v>
      </c>
      <c r="C1002" s="22">
        <f t="shared" si="6"/>
        <v>2692.468101</v>
      </c>
      <c r="D1002" s="25">
        <f>IFERROR(__xludf.DUMMYFUNCTION("""COMPUTED_VALUE"""),43141.99861111111)</f>
        <v>43141.99861</v>
      </c>
      <c r="E1002" s="22">
        <f>IFERROR(__xludf.DUMMYFUNCTION("""COMPUTED_VALUE"""),1.2244)</f>
        <v>1.2244</v>
      </c>
      <c r="F1002" s="22">
        <f t="shared" si="8"/>
        <v>223.1715707</v>
      </c>
      <c r="G1002" s="22">
        <f t="shared" si="31"/>
        <v>39.82271664</v>
      </c>
      <c r="H1002" s="22">
        <f t="shared" si="32"/>
        <v>58.97151005</v>
      </c>
      <c r="I1002" s="22">
        <f t="shared" si="3"/>
        <v>0.8167265599</v>
      </c>
      <c r="J1002" s="22">
        <f t="shared" si="33"/>
        <v>0.09139170206</v>
      </c>
    </row>
    <row r="1003" ht="15.75" customHeight="1">
      <c r="A1003" s="25">
        <f>IFERROR(__xludf.DUMMYFUNCTION("""COMPUTED_VALUE"""),43168.66666666667)</f>
        <v>43168.66667</v>
      </c>
      <c r="B1003" s="22">
        <f>IFERROR(__xludf.DUMMYFUNCTION("""COMPUTED_VALUE"""),2786.57)</f>
        <v>2786.57</v>
      </c>
      <c r="C1003" s="22">
        <f t="shared" si="6"/>
        <v>2787.763249</v>
      </c>
      <c r="D1003" s="25">
        <f>IFERROR(__xludf.DUMMYFUNCTION("""COMPUTED_VALUE"""),43148.99861111111)</f>
        <v>43148.99861</v>
      </c>
      <c r="E1003" s="22">
        <f>IFERROR(__xludf.DUMMYFUNCTION("""COMPUTED_VALUE"""),1.2406)</f>
        <v>1.2406</v>
      </c>
      <c r="F1003" s="22">
        <f t="shared" si="8"/>
        <v>234.1276186</v>
      </c>
      <c r="G1003" s="22">
        <f t="shared" si="31"/>
        <v>47.93728915</v>
      </c>
      <c r="H1003" s="22">
        <f t="shared" si="32"/>
        <v>67.90601373</v>
      </c>
      <c r="I1003" s="22">
        <f t="shared" si="3"/>
        <v>0.8060615831</v>
      </c>
      <c r="J1003" s="22">
        <f t="shared" si="33"/>
        <v>0.06335644043</v>
      </c>
    </row>
    <row r="1004" ht="15.75" customHeight="1">
      <c r="A1004" s="25">
        <f>IFERROR(__xludf.DUMMYFUNCTION("""COMPUTED_VALUE"""),43175.66666666667)</f>
        <v>43175.66667</v>
      </c>
      <c r="B1004" s="22">
        <f>IFERROR(__xludf.DUMMYFUNCTION("""COMPUTED_VALUE"""),2752.01)</f>
        <v>2752.01</v>
      </c>
      <c r="C1004" s="22">
        <f t="shared" si="6"/>
        <v>2753.245512</v>
      </c>
      <c r="D1004" s="25">
        <f>IFERROR(__xludf.DUMMYFUNCTION("""COMPUTED_VALUE"""),43155.99861111111)</f>
        <v>43155.99861</v>
      </c>
      <c r="E1004" s="22">
        <f>IFERROR(__xludf.DUMMYFUNCTION("""COMPUTED_VALUE"""),1.2293)</f>
        <v>1.2293</v>
      </c>
      <c r="F1004" s="22">
        <f t="shared" si="8"/>
        <v>229.1225342</v>
      </c>
      <c r="G1004" s="22">
        <f t="shared" si="31"/>
        <v>43.41481129</v>
      </c>
      <c r="H1004" s="22">
        <f t="shared" si="32"/>
        <v>66.91971672</v>
      </c>
      <c r="I1004" s="22">
        <f t="shared" si="3"/>
        <v>0.8134710811</v>
      </c>
      <c r="J1004" s="22">
        <f t="shared" si="33"/>
        <v>0.05897665338</v>
      </c>
    </row>
    <row r="1005" ht="15.75" customHeight="1">
      <c r="A1005" s="25">
        <f>IFERROR(__xludf.DUMMYFUNCTION("""COMPUTED_VALUE"""),43182.66666666667)</f>
        <v>43182.66667</v>
      </c>
      <c r="B1005" s="22">
        <f>IFERROR(__xludf.DUMMYFUNCTION("""COMPUTED_VALUE"""),2588.26)</f>
        <v>2588.26</v>
      </c>
      <c r="C1005" s="22">
        <f t="shared" si="6"/>
        <v>2589.480189</v>
      </c>
      <c r="D1005" s="25">
        <f>IFERROR(__xludf.DUMMYFUNCTION("""COMPUTED_VALUE"""),43162.99861111111)</f>
        <v>43162.99861</v>
      </c>
      <c r="E1005" s="22">
        <f>IFERROR(__xludf.DUMMYFUNCTION("""COMPUTED_VALUE"""),1.2317)</f>
        <v>1.2317</v>
      </c>
      <c r="F1005" s="22">
        <f t="shared" si="8"/>
        <v>215.9148519</v>
      </c>
      <c r="G1005" s="22">
        <f t="shared" si="31"/>
        <v>42.64248864</v>
      </c>
      <c r="H1005" s="22">
        <f t="shared" si="32"/>
        <v>56.1974198</v>
      </c>
      <c r="I1005" s="22">
        <f t="shared" si="3"/>
        <v>0.8118860112</v>
      </c>
      <c r="J1005" s="22">
        <f t="shared" si="33"/>
        <v>0.05602013477</v>
      </c>
    </row>
    <row r="1006" ht="15.75" customHeight="1">
      <c r="A1006" s="25">
        <f>IFERROR(__xludf.DUMMYFUNCTION("""COMPUTED_VALUE"""),43188.66666666667)</f>
        <v>43188.66667</v>
      </c>
      <c r="B1006" s="22">
        <f>IFERROR(__xludf.DUMMYFUNCTION("""COMPUTED_VALUE"""),2640.87)</f>
        <v>2640.87</v>
      </c>
      <c r="C1006" s="22">
        <f t="shared" si="6"/>
        <v>2642.017586</v>
      </c>
      <c r="D1006" s="25">
        <f>IFERROR(__xludf.DUMMYFUNCTION("""COMPUTED_VALUE"""),43169.99861111111)</f>
        <v>43169.99861</v>
      </c>
      <c r="E1006" s="22">
        <f>IFERROR(__xludf.DUMMYFUNCTION("""COMPUTED_VALUE"""),1.2306)</f>
        <v>1.2306</v>
      </c>
      <c r="F1006" s="22">
        <f t="shared" si="8"/>
        <v>220.0987607</v>
      </c>
      <c r="G1006" s="22">
        <f t="shared" si="31"/>
        <v>49.81183979</v>
      </c>
      <c r="H1006" s="22">
        <f t="shared" si="32"/>
        <v>59.99273184</v>
      </c>
      <c r="I1006" s="22">
        <f t="shared" si="3"/>
        <v>0.8126117341</v>
      </c>
      <c r="J1006" s="22">
        <f t="shared" si="33"/>
        <v>0.0626523647</v>
      </c>
    </row>
    <row r="1007" ht="15.75" customHeight="1">
      <c r="A1007" s="25">
        <f>IFERROR(__xludf.DUMMYFUNCTION("""COMPUTED_VALUE"""),43196.66666666667)</f>
        <v>43196.66667</v>
      </c>
      <c r="B1007" s="22">
        <f>IFERROR(__xludf.DUMMYFUNCTION("""COMPUTED_VALUE"""),2604.47)</f>
        <v>2604.47</v>
      </c>
      <c r="C1007" s="22">
        <f t="shared" si="6"/>
        <v>2605.640912</v>
      </c>
      <c r="D1007" s="25">
        <f>IFERROR(__xludf.DUMMYFUNCTION("""COMPUTED_VALUE"""),43176.99861111111)</f>
        <v>43176.99861</v>
      </c>
      <c r="E1007" s="22">
        <f>IFERROR(__xludf.DUMMYFUNCTION("""COMPUTED_VALUE"""),1.2294)</f>
        <v>1.2294</v>
      </c>
      <c r="F1007" s="22">
        <f t="shared" si="8"/>
        <v>216.8566556</v>
      </c>
      <c r="G1007" s="22">
        <f t="shared" si="31"/>
        <v>40.85977768</v>
      </c>
      <c r="H1007" s="22">
        <f t="shared" si="32"/>
        <v>55.1532767</v>
      </c>
      <c r="I1007" s="22">
        <f t="shared" si="3"/>
        <v>0.813404913</v>
      </c>
      <c r="J1007" s="22">
        <f t="shared" si="33"/>
        <v>0.05653164145</v>
      </c>
    </row>
    <row r="1008" ht="15.75" customHeight="1">
      <c r="A1008" s="25">
        <f>IFERROR(__xludf.DUMMYFUNCTION("""COMPUTED_VALUE"""),43203.66666666667)</f>
        <v>43203.66667</v>
      </c>
      <c r="B1008" s="22">
        <f>IFERROR(__xludf.DUMMYFUNCTION("""COMPUTED_VALUE"""),2656.3)</f>
        <v>2656.3</v>
      </c>
      <c r="C1008" s="22">
        <f t="shared" si="6"/>
        <v>2657.454773</v>
      </c>
      <c r="D1008" s="25">
        <f>IFERROR(__xludf.DUMMYFUNCTION("""COMPUTED_VALUE"""),43183.99861111111)</f>
        <v>43183.99861</v>
      </c>
      <c r="E1008" s="22">
        <f>IFERROR(__xludf.DUMMYFUNCTION("""COMPUTED_VALUE"""),1.2356)</f>
        <v>1.2356</v>
      </c>
      <c r="F1008" s="22">
        <f t="shared" si="8"/>
        <v>222.284287</v>
      </c>
      <c r="G1008" s="22">
        <f t="shared" si="31"/>
        <v>44.77453809</v>
      </c>
      <c r="H1008" s="22">
        <f t="shared" si="32"/>
        <v>64.61100747</v>
      </c>
      <c r="I1008" s="22">
        <f t="shared" si="3"/>
        <v>0.8093234056</v>
      </c>
      <c r="J1008" s="22">
        <f t="shared" si="33"/>
        <v>0.03755260602</v>
      </c>
    </row>
    <row r="1009" ht="15.75" customHeight="1">
      <c r="A1009" s="25">
        <f>IFERROR(__xludf.DUMMYFUNCTION("""COMPUTED_VALUE"""),43210.66666666667)</f>
        <v>43210.66667</v>
      </c>
      <c r="B1009" s="22">
        <f>IFERROR(__xludf.DUMMYFUNCTION("""COMPUTED_VALUE"""),2670.14)</f>
        <v>2670.14</v>
      </c>
      <c r="C1009" s="22">
        <f t="shared" si="6"/>
        <v>2671.317753</v>
      </c>
      <c r="D1009" s="25">
        <f>IFERROR(__xludf.DUMMYFUNCTION("""COMPUTED_VALUE"""),43190.99861111111)</f>
        <v>43190.99861</v>
      </c>
      <c r="E1009" s="22">
        <f>IFERROR(__xludf.DUMMYFUNCTION("""COMPUTED_VALUE"""),1.2329)</f>
        <v>1.2329</v>
      </c>
      <c r="F1009" s="22">
        <f t="shared" si="8"/>
        <v>222.9556002</v>
      </c>
      <c r="G1009" s="22">
        <f t="shared" si="31"/>
        <v>41.7987512</v>
      </c>
      <c r="H1009" s="22">
        <f t="shared" si="32"/>
        <v>61.02588136</v>
      </c>
      <c r="I1009" s="22">
        <f t="shared" si="3"/>
        <v>0.8110957904</v>
      </c>
      <c r="J1009" s="22">
        <f t="shared" si="33"/>
        <v>0.04801687079</v>
      </c>
    </row>
    <row r="1010" ht="15.75" customHeight="1">
      <c r="A1010" s="25">
        <f>IFERROR(__xludf.DUMMYFUNCTION("""COMPUTED_VALUE"""),43217.66666666667)</f>
        <v>43217.66667</v>
      </c>
      <c r="B1010" s="22">
        <f>IFERROR(__xludf.DUMMYFUNCTION("""COMPUTED_VALUE"""),2669.91)</f>
        <v>2669.91</v>
      </c>
      <c r="C1010" s="22">
        <f t="shared" si="6"/>
        <v>2671.09389</v>
      </c>
      <c r="D1010" s="25">
        <f>IFERROR(__xludf.DUMMYFUNCTION("""COMPUTED_VALUE"""),43197.99861111111)</f>
        <v>43197.99861</v>
      </c>
      <c r="E1010" s="22">
        <f>IFERROR(__xludf.DUMMYFUNCTION("""COMPUTED_VALUE"""),1.2297)</f>
        <v>1.2297</v>
      </c>
      <c r="F1010" s="22">
        <f t="shared" si="8"/>
        <v>222.3582817</v>
      </c>
      <c r="G1010" s="22">
        <f t="shared" si="31"/>
        <v>46.80170294</v>
      </c>
      <c r="H1010" s="22">
        <f t="shared" si="32"/>
        <v>55.12451166</v>
      </c>
      <c r="I1010" s="22">
        <f t="shared" si="3"/>
        <v>0.8132064731</v>
      </c>
      <c r="J1010" s="22">
        <f t="shared" si="33"/>
        <v>0.06611368626</v>
      </c>
    </row>
    <row r="1011" ht="15.75" customHeight="1">
      <c r="A1011" s="25">
        <f>IFERROR(__xludf.DUMMYFUNCTION("""COMPUTED_VALUE"""),43224.66666666667)</f>
        <v>43224.66667</v>
      </c>
      <c r="B1011" s="22">
        <f>IFERROR(__xludf.DUMMYFUNCTION("""COMPUTED_VALUE"""),2663.42)</f>
        <v>2663.42</v>
      </c>
      <c r="C1011" s="22">
        <f t="shared" si="6"/>
        <v>2664.603788</v>
      </c>
      <c r="D1011" s="25">
        <f>IFERROR(__xludf.DUMMYFUNCTION("""COMPUTED_VALUE"""),43204.99861111111)</f>
        <v>43204.99861</v>
      </c>
      <c r="E1011" s="22">
        <f>IFERROR(__xludf.DUMMYFUNCTION("""COMPUTED_VALUE"""),1.2345)</f>
        <v>1.2345</v>
      </c>
      <c r="F1011" s="22">
        <f t="shared" si="8"/>
        <v>222.6838481</v>
      </c>
      <c r="G1011" s="22">
        <f t="shared" si="31"/>
        <v>43.81731206</v>
      </c>
      <c r="H1011" s="22">
        <f t="shared" si="32"/>
        <v>54.19990891</v>
      </c>
      <c r="I1011" s="22">
        <f t="shared" si="3"/>
        <v>0.8100445525</v>
      </c>
      <c r="J1011" s="22">
        <f t="shared" si="33"/>
        <v>0.05727014986</v>
      </c>
    </row>
    <row r="1012" ht="15.75" customHeight="1">
      <c r="A1012" s="25">
        <f>IFERROR(__xludf.DUMMYFUNCTION("""COMPUTED_VALUE"""),43231.66666666667)</f>
        <v>43231.66667</v>
      </c>
      <c r="B1012" s="22">
        <f>IFERROR(__xludf.DUMMYFUNCTION("""COMPUTED_VALUE"""),2727.72)</f>
        <v>2727.72</v>
      </c>
      <c r="C1012" s="22">
        <f t="shared" si="6"/>
        <v>2728.90091</v>
      </c>
      <c r="D1012" s="25">
        <f>IFERROR(__xludf.DUMMYFUNCTION("""COMPUTED_VALUE"""),43211.99861111111)</f>
        <v>43211.99861</v>
      </c>
      <c r="E1012" s="22">
        <f>IFERROR(__xludf.DUMMYFUNCTION("""COMPUTED_VALUE"""),1.2305)</f>
        <v>1.2305</v>
      </c>
      <c r="F1012" s="22">
        <f t="shared" si="8"/>
        <v>227.3182828</v>
      </c>
      <c r="G1012" s="22">
        <f t="shared" si="31"/>
        <v>45.42976288</v>
      </c>
      <c r="H1012" s="22">
        <f t="shared" si="32"/>
        <v>54.61913965</v>
      </c>
      <c r="I1012" s="22">
        <f t="shared" si="3"/>
        <v>0.8126777733</v>
      </c>
      <c r="J1012" s="22">
        <f t="shared" si="33"/>
        <v>0.05883787078</v>
      </c>
    </row>
    <row r="1013" ht="15.75" customHeight="1">
      <c r="A1013" s="25">
        <f>IFERROR(__xludf.DUMMYFUNCTION("""COMPUTED_VALUE"""),43238.66666666667)</f>
        <v>43238.66667</v>
      </c>
      <c r="B1013" s="22">
        <f>IFERROR(__xludf.DUMMYFUNCTION("""COMPUTED_VALUE"""),2712.97)</f>
        <v>2712.97</v>
      </c>
      <c r="C1013" s="22">
        <f t="shared" si="6"/>
        <v>2714.179419</v>
      </c>
      <c r="D1013" s="25">
        <f>IFERROR(__xludf.DUMMYFUNCTION("""COMPUTED_VALUE"""),43218.99861111111)</f>
        <v>43218.99861</v>
      </c>
      <c r="E1013" s="22">
        <f>IFERROR(__xludf.DUMMYFUNCTION("""COMPUTED_VALUE"""),1.2145)</f>
        <v>1.2145</v>
      </c>
      <c r="F1013" s="22">
        <f t="shared" si="8"/>
        <v>223.1521393</v>
      </c>
      <c r="G1013" s="22">
        <f t="shared" si="31"/>
        <v>38.43447047</v>
      </c>
      <c r="H1013" s="22">
        <f t="shared" si="32"/>
        <v>52.28655894</v>
      </c>
      <c r="I1013" s="22">
        <f t="shared" si="3"/>
        <v>0.8233841087</v>
      </c>
      <c r="J1013" s="22">
        <f t="shared" si="33"/>
        <v>0.07995059695</v>
      </c>
    </row>
    <row r="1014" ht="15.75" customHeight="1">
      <c r="A1014" s="25">
        <f>IFERROR(__xludf.DUMMYFUNCTION("""COMPUTED_VALUE"""),43245.66666666667)</f>
        <v>43245.66667</v>
      </c>
      <c r="B1014" s="22">
        <f>IFERROR(__xludf.DUMMYFUNCTION("""COMPUTED_VALUE"""),2721.33)</f>
        <v>2721.33</v>
      </c>
      <c r="C1014" s="22">
        <f t="shared" si="6"/>
        <v>2722.53288</v>
      </c>
      <c r="D1014" s="25">
        <f>IFERROR(__xludf.DUMMYFUNCTION("""COMPUTED_VALUE"""),43225.99861111111)</f>
        <v>43225.99861</v>
      </c>
      <c r="E1014" s="22">
        <f>IFERROR(__xludf.DUMMYFUNCTION("""COMPUTED_VALUE"""),1.197)</f>
        <v>1.197</v>
      </c>
      <c r="F1014" s="22">
        <f t="shared" si="8"/>
        <v>220.6135922</v>
      </c>
      <c r="G1014" s="22">
        <f t="shared" si="31"/>
        <v>38.10851225</v>
      </c>
      <c r="H1014" s="22">
        <f t="shared" si="32"/>
        <v>53.7488254</v>
      </c>
      <c r="I1014" s="22">
        <f t="shared" si="3"/>
        <v>0.8354218881</v>
      </c>
      <c r="J1014" s="22">
        <f t="shared" si="33"/>
        <v>0.08538011696</v>
      </c>
    </row>
    <row r="1015" ht="15.75" customHeight="1">
      <c r="A1015" s="25">
        <f>IFERROR(__xludf.DUMMYFUNCTION("""COMPUTED_VALUE"""),43252.66666666667)</f>
        <v>43252.66667</v>
      </c>
      <c r="B1015" s="22">
        <f>IFERROR(__xludf.DUMMYFUNCTION("""COMPUTED_VALUE"""),2734.62)</f>
        <v>2734.62</v>
      </c>
      <c r="C1015" s="22">
        <f t="shared" si="6"/>
        <v>2735.826586</v>
      </c>
      <c r="D1015" s="25">
        <f>IFERROR(__xludf.DUMMYFUNCTION("""COMPUTED_VALUE"""),43232.99861111111)</f>
        <v>43232.99861</v>
      </c>
      <c r="E1015" s="22">
        <f>IFERROR(__xludf.DUMMYFUNCTION("""COMPUTED_VALUE"""),1.1959)</f>
        <v>1.1959</v>
      </c>
      <c r="F1015" s="22">
        <f t="shared" si="8"/>
        <v>221.4870883</v>
      </c>
      <c r="G1015" s="22">
        <f t="shared" si="31"/>
        <v>36.50983515</v>
      </c>
      <c r="H1015" s="22">
        <f t="shared" si="32"/>
        <v>55.00904049</v>
      </c>
      <c r="I1015" s="22">
        <f t="shared" si="3"/>
        <v>0.8361903169</v>
      </c>
      <c r="J1015" s="22">
        <f t="shared" si="33"/>
        <v>0.07350112886</v>
      </c>
    </row>
    <row r="1016" ht="15.75" customHeight="1">
      <c r="A1016" s="25">
        <f>IFERROR(__xludf.DUMMYFUNCTION("""COMPUTED_VALUE"""),43259.66666666667)</f>
        <v>43259.66667</v>
      </c>
      <c r="B1016" s="22">
        <f>IFERROR(__xludf.DUMMYFUNCTION("""COMPUTED_VALUE"""),2779.03)</f>
        <v>2779.03</v>
      </c>
      <c r="C1016" s="22">
        <f t="shared" si="6"/>
        <v>2780.242479</v>
      </c>
      <c r="D1016" s="25">
        <f>IFERROR(__xludf.DUMMYFUNCTION("""COMPUTED_VALUE"""),43239.99861111111)</f>
        <v>43239.99861</v>
      </c>
      <c r="E1016" s="22">
        <f>IFERROR(__xludf.DUMMYFUNCTION("""COMPUTED_VALUE"""),1.1789)</f>
        <v>1.1789</v>
      </c>
      <c r="F1016" s="22">
        <f t="shared" si="8"/>
        <v>221.8833042</v>
      </c>
      <c r="G1016" s="22">
        <f t="shared" si="31"/>
        <v>42.06972873</v>
      </c>
      <c r="H1016" s="22">
        <f t="shared" si="32"/>
        <v>55.74623946</v>
      </c>
      <c r="I1016" s="22">
        <f t="shared" si="3"/>
        <v>0.8482483671</v>
      </c>
      <c r="J1016" s="22">
        <f t="shared" si="33"/>
        <v>0.09686996353</v>
      </c>
    </row>
    <row r="1017" ht="15.75" customHeight="1">
      <c r="A1017" s="25">
        <f>IFERROR(__xludf.DUMMYFUNCTION("""COMPUTED_VALUE"""),43266.66666666667)</f>
        <v>43266.66667</v>
      </c>
      <c r="B1017" s="22">
        <f>IFERROR(__xludf.DUMMYFUNCTION("""COMPUTED_VALUE"""),2779.66)</f>
        <v>2779.66</v>
      </c>
      <c r="C1017" s="22">
        <f t="shared" si="6"/>
        <v>2780.892169</v>
      </c>
      <c r="D1017" s="25">
        <f>IFERROR(__xludf.DUMMYFUNCTION("""COMPUTED_VALUE"""),43246.99861111111)</f>
        <v>43246.99861</v>
      </c>
      <c r="E1017" s="22">
        <f>IFERROR(__xludf.DUMMYFUNCTION("""COMPUTED_VALUE"""),1.1655)</f>
        <v>1.1655</v>
      </c>
      <c r="F1017" s="22">
        <f t="shared" si="8"/>
        <v>219.412522</v>
      </c>
      <c r="G1017" s="22">
        <f t="shared" si="31"/>
        <v>39.68450836</v>
      </c>
      <c r="H1017" s="22">
        <f t="shared" si="32"/>
        <v>56.55362619</v>
      </c>
      <c r="I1017" s="22">
        <f t="shared" si="3"/>
        <v>0.858000858</v>
      </c>
      <c r="J1017" s="22">
        <f t="shared" si="33"/>
        <v>0.114972115</v>
      </c>
    </row>
    <row r="1018" ht="15.75" customHeight="1">
      <c r="A1018" s="25">
        <f>IFERROR(__xludf.DUMMYFUNCTION("""COMPUTED_VALUE"""),43273.66666666667)</f>
        <v>43273.66667</v>
      </c>
      <c r="B1018" s="22">
        <f>IFERROR(__xludf.DUMMYFUNCTION("""COMPUTED_VALUE"""),2754.88)</f>
        <v>2754.88</v>
      </c>
      <c r="C1018" s="22">
        <f t="shared" si="6"/>
        <v>2756.112449</v>
      </c>
      <c r="D1018" s="25">
        <f>IFERROR(__xludf.DUMMYFUNCTION("""COMPUTED_VALUE"""),43253.99861111111)</f>
        <v>43253.99861</v>
      </c>
      <c r="E1018" s="22">
        <f>IFERROR(__xludf.DUMMYFUNCTION("""COMPUTED_VALUE"""),1.16851)</f>
        <v>1.16851</v>
      </c>
      <c r="F1018" s="22">
        <f t="shared" si="8"/>
        <v>218.0190026</v>
      </c>
      <c r="G1018" s="22">
        <f t="shared" si="31"/>
        <v>37.82828496</v>
      </c>
      <c r="H1018" s="22">
        <f t="shared" si="32"/>
        <v>51.57239244</v>
      </c>
      <c r="I1018" s="22">
        <f t="shared" si="3"/>
        <v>0.8557907078</v>
      </c>
      <c r="J1018" s="22">
        <f t="shared" si="33"/>
        <v>0.1315264739</v>
      </c>
    </row>
    <row r="1019" ht="15.75" customHeight="1">
      <c r="A1019" s="25">
        <f>IFERROR(__xludf.DUMMYFUNCTION("""COMPUTED_VALUE"""),43280.66666666667)</f>
        <v>43280.66667</v>
      </c>
      <c r="B1019" s="22">
        <f>IFERROR(__xludf.DUMMYFUNCTION("""COMPUTED_VALUE"""),2718.37)</f>
        <v>2718.37</v>
      </c>
      <c r="C1019" s="22">
        <f t="shared" si="6"/>
        <v>2719.591462</v>
      </c>
      <c r="D1019" s="25">
        <f>IFERROR(__xludf.DUMMYFUNCTION("""COMPUTED_VALUE"""),43260.99861111111)</f>
        <v>43260.99861</v>
      </c>
      <c r="E1019" s="22">
        <f>IFERROR(__xludf.DUMMYFUNCTION("""COMPUTED_VALUE"""),1.1774)</f>
        <v>1.1774</v>
      </c>
      <c r="F1019" s="22">
        <f t="shared" si="8"/>
        <v>216.7667583</v>
      </c>
      <c r="G1019" s="22">
        <f t="shared" si="31"/>
        <v>36.85650468</v>
      </c>
      <c r="H1019" s="22">
        <f t="shared" si="32"/>
        <v>46.95900542</v>
      </c>
      <c r="I1019" s="22">
        <f t="shared" si="3"/>
        <v>0.8493290301</v>
      </c>
      <c r="J1019" s="22">
        <f t="shared" si="33"/>
        <v>0.1335145235</v>
      </c>
    </row>
    <row r="1020" ht="15.75" customHeight="1">
      <c r="A1020" s="25">
        <f>IFERROR(__xludf.DUMMYFUNCTION("""COMPUTED_VALUE"""),43287.66666666667)</f>
        <v>43287.66667</v>
      </c>
      <c r="B1020" s="22">
        <f>IFERROR(__xludf.DUMMYFUNCTION("""COMPUTED_VALUE"""),2759.82)</f>
        <v>2759.82</v>
      </c>
      <c r="C1020" s="22">
        <f t="shared" si="6"/>
        <v>2761.025274</v>
      </c>
      <c r="D1020" s="25">
        <f>IFERROR(__xludf.DUMMYFUNCTION("""COMPUTED_VALUE"""),43267.99861111111)</f>
        <v>43267.99861</v>
      </c>
      <c r="E1020" s="22">
        <f>IFERROR(__xludf.DUMMYFUNCTION("""COMPUTED_VALUE"""),1.1619)</f>
        <v>1.1619</v>
      </c>
      <c r="F1020" s="22">
        <f t="shared" si="8"/>
        <v>217.1721427</v>
      </c>
      <c r="G1020" s="22">
        <f t="shared" si="31"/>
        <v>36.06047265</v>
      </c>
      <c r="H1020" s="22">
        <f t="shared" si="32"/>
        <v>45.4433009</v>
      </c>
      <c r="I1020" s="22">
        <f t="shared" si="3"/>
        <v>0.860659265</v>
      </c>
      <c r="J1020" s="22">
        <f t="shared" si="33"/>
        <v>0.1293570875</v>
      </c>
    </row>
    <row r="1021" ht="15.75" customHeight="1">
      <c r="A1021" s="25">
        <f>IFERROR(__xludf.DUMMYFUNCTION("""COMPUTED_VALUE"""),43294.66666666667)</f>
        <v>43294.66667</v>
      </c>
      <c r="B1021" s="22">
        <f>IFERROR(__xludf.DUMMYFUNCTION("""COMPUTED_VALUE"""),2801.31)</f>
        <v>2801.31</v>
      </c>
      <c r="C1021" s="22">
        <f t="shared" si="6"/>
        <v>2802.533652</v>
      </c>
      <c r="D1021" s="25">
        <f>IFERROR(__xludf.DUMMYFUNCTION("""COMPUTED_VALUE"""),43274.99861111111)</f>
        <v>43274.99861</v>
      </c>
      <c r="E1021" s="22">
        <f>IFERROR(__xludf.DUMMYFUNCTION("""COMPUTED_VALUE"""),1.1665)</f>
        <v>1.1665</v>
      </c>
      <c r="F1021" s="22">
        <f t="shared" si="8"/>
        <v>221.3097572</v>
      </c>
      <c r="G1021" s="22">
        <f t="shared" si="31"/>
        <v>37.62422472</v>
      </c>
      <c r="H1021" s="22">
        <f t="shared" si="32"/>
        <v>48.44892093</v>
      </c>
      <c r="I1021" s="22">
        <f t="shared" si="3"/>
        <v>0.8572653236</v>
      </c>
      <c r="J1021" s="22">
        <f t="shared" si="33"/>
        <v>0.1152164595</v>
      </c>
    </row>
    <row r="1022" ht="15.75" customHeight="1">
      <c r="A1022" s="25">
        <f>IFERROR(__xludf.DUMMYFUNCTION("""COMPUTED_VALUE"""),43301.66666666667)</f>
        <v>43301.66667</v>
      </c>
      <c r="B1022" s="22">
        <f>IFERROR(__xludf.DUMMYFUNCTION("""COMPUTED_VALUE"""),2801.83)</f>
        <v>2801.83</v>
      </c>
      <c r="C1022" s="22">
        <f t="shared" si="6"/>
        <v>2803.072048</v>
      </c>
      <c r="D1022" s="25">
        <f>IFERROR(__xludf.DUMMYFUNCTION("""COMPUTED_VALUE"""),43281.99861111111)</f>
        <v>43281.99861</v>
      </c>
      <c r="E1022" s="22">
        <f>IFERROR(__xludf.DUMMYFUNCTION("""COMPUTED_VALUE"""),1.1702)</f>
        <v>1.1702</v>
      </c>
      <c r="F1022" s="22">
        <f t="shared" si="8"/>
        <v>222.0543763</v>
      </c>
      <c r="G1022" s="22">
        <f t="shared" si="31"/>
        <v>41.85245204</v>
      </c>
      <c r="H1022" s="22">
        <f t="shared" si="32"/>
        <v>51.04172087</v>
      </c>
      <c r="I1022" s="22">
        <f t="shared" si="3"/>
        <v>0.854554777</v>
      </c>
      <c r="J1022" s="22">
        <f t="shared" si="33"/>
        <v>0.0965646898</v>
      </c>
    </row>
    <row r="1023" ht="15.75" customHeight="1">
      <c r="A1023" s="25">
        <f>IFERROR(__xludf.DUMMYFUNCTION("""COMPUTED_VALUE"""),43308.66666666667)</f>
        <v>43308.66667</v>
      </c>
      <c r="B1023" s="22">
        <f>IFERROR(__xludf.DUMMYFUNCTION("""COMPUTED_VALUE"""),2818.82)</f>
        <v>2818.82</v>
      </c>
      <c r="C1023" s="22">
        <f t="shared" si="6"/>
        <v>2820.062278</v>
      </c>
      <c r="D1023" s="25">
        <f>IFERROR(__xludf.DUMMYFUNCTION("""COMPUTED_VALUE"""),43288.99861111111)</f>
        <v>43288.99861</v>
      </c>
      <c r="E1023" s="22">
        <f>IFERROR(__xludf.DUMMYFUNCTION("""COMPUTED_VALUE"""),1.1753)</f>
        <v>1.1753</v>
      </c>
      <c r="F1023" s="22">
        <f t="shared" si="8"/>
        <v>224.373942</v>
      </c>
      <c r="G1023" s="22">
        <f t="shared" si="31"/>
        <v>41.16121403</v>
      </c>
      <c r="H1023" s="22">
        <f t="shared" si="32"/>
        <v>48.30712091</v>
      </c>
      <c r="I1023" s="22">
        <f t="shared" si="3"/>
        <v>0.8508465924</v>
      </c>
      <c r="J1023" s="22">
        <f t="shared" si="33"/>
        <v>0.1117161576</v>
      </c>
    </row>
    <row r="1024" ht="15.75" customHeight="1">
      <c r="A1024" s="25">
        <f>IFERROR(__xludf.DUMMYFUNCTION("""COMPUTED_VALUE"""),43315.66666666667)</f>
        <v>43315.66667</v>
      </c>
      <c r="B1024" s="22">
        <f>IFERROR(__xludf.DUMMYFUNCTION("""COMPUTED_VALUE"""),2840.35)</f>
        <v>2840.35</v>
      </c>
      <c r="C1024" s="22">
        <f t="shared" si="6"/>
        <v>2841.599811</v>
      </c>
      <c r="D1024" s="25">
        <f>IFERROR(__xludf.DUMMYFUNCTION("""COMPUTED_VALUE"""),43295.99861111111)</f>
        <v>43295.99861</v>
      </c>
      <c r="E1024" s="22">
        <f>IFERROR(__xludf.DUMMYFUNCTION("""COMPUTED_VALUE"""),1.1698)</f>
        <v>1.1698</v>
      </c>
      <c r="F1024" s="22">
        <f t="shared" si="8"/>
        <v>225.0295308</v>
      </c>
      <c r="G1024" s="22">
        <f t="shared" si="31"/>
        <v>47.71200088</v>
      </c>
      <c r="H1024" s="22">
        <f t="shared" si="32"/>
        <v>49.4517237</v>
      </c>
      <c r="I1024" s="22">
        <f t="shared" si="3"/>
        <v>0.8548469824</v>
      </c>
      <c r="J1024" s="22">
        <f t="shared" si="33"/>
        <v>0.1236108737</v>
      </c>
    </row>
    <row r="1025" ht="15.75" customHeight="1">
      <c r="A1025" s="25">
        <f>IFERROR(__xludf.DUMMYFUNCTION("""COMPUTED_VALUE"""),43322.66666666667)</f>
        <v>43322.66667</v>
      </c>
      <c r="B1025" s="22">
        <f>IFERROR(__xludf.DUMMYFUNCTION("""COMPUTED_VALUE"""),2833.28)</f>
        <v>2833.28</v>
      </c>
      <c r="C1025" s="22">
        <f t="shared" si="6"/>
        <v>2834.539357</v>
      </c>
      <c r="D1025" s="25">
        <f>IFERROR(__xludf.DUMMYFUNCTION("""COMPUTED_VALUE"""),43302.99861111111)</f>
        <v>43302.99861</v>
      </c>
      <c r="E1025" s="22">
        <f>IFERROR(__xludf.DUMMYFUNCTION("""COMPUTED_VALUE"""),1.1728)</f>
        <v>1.1728</v>
      </c>
      <c r="F1025" s="22">
        <f t="shared" si="8"/>
        <v>225.046069</v>
      </c>
      <c r="G1025" s="22">
        <f t="shared" si="31"/>
        <v>44.69272783</v>
      </c>
      <c r="H1025" s="22">
        <f t="shared" si="32"/>
        <v>51.13372463</v>
      </c>
      <c r="I1025" s="22">
        <f t="shared" si="3"/>
        <v>0.8526603001</v>
      </c>
      <c r="J1025" s="22">
        <f t="shared" si="33"/>
        <v>0.1321623465</v>
      </c>
    </row>
    <row r="1026" ht="15.75" customHeight="1">
      <c r="A1026" s="25">
        <f>IFERROR(__xludf.DUMMYFUNCTION("""COMPUTED_VALUE"""),43329.66666666667)</f>
        <v>43329.66667</v>
      </c>
      <c r="B1026" s="22">
        <f>IFERROR(__xludf.DUMMYFUNCTION("""COMPUTED_VALUE"""),2850.13)</f>
        <v>2850.13</v>
      </c>
      <c r="C1026" s="22">
        <f t="shared" si="6"/>
        <v>2851.386223</v>
      </c>
      <c r="D1026" s="25">
        <f>IFERROR(__xludf.DUMMYFUNCTION("""COMPUTED_VALUE"""),43309.99861111111)</f>
        <v>43309.99861</v>
      </c>
      <c r="E1026" s="22">
        <f>IFERROR(__xludf.DUMMYFUNCTION("""COMPUTED_VALUE"""),1.1671)</f>
        <v>1.1671</v>
      </c>
      <c r="F1026" s="22">
        <f t="shared" si="8"/>
        <v>225.2833515</v>
      </c>
      <c r="G1026" s="22">
        <f t="shared" si="31"/>
        <v>53.66552669</v>
      </c>
      <c r="H1026" s="22">
        <f t="shared" si="32"/>
        <v>50.56322417</v>
      </c>
      <c r="I1026" s="22">
        <f t="shared" si="3"/>
        <v>0.856824608</v>
      </c>
      <c r="J1026" s="22">
        <f t="shared" si="33"/>
        <v>0.1379487619</v>
      </c>
    </row>
    <row r="1027" ht="15.75" customHeight="1">
      <c r="A1027" s="25">
        <f>IFERROR(__xludf.DUMMYFUNCTION("""COMPUTED_VALUE"""),43336.66666666667)</f>
        <v>43336.66667</v>
      </c>
      <c r="B1027" s="22">
        <f>IFERROR(__xludf.DUMMYFUNCTION("""COMPUTED_VALUE"""),2874.69)</f>
        <v>2874.69</v>
      </c>
      <c r="C1027" s="22">
        <f t="shared" si="6"/>
        <v>2875.953694</v>
      </c>
      <c r="D1027" s="25">
        <f>IFERROR(__xludf.DUMMYFUNCTION("""COMPUTED_VALUE"""),43316.99861111111)</f>
        <v>43316.99861</v>
      </c>
      <c r="E1027" s="22">
        <f>IFERROR(__xludf.DUMMYFUNCTION("""COMPUTED_VALUE"""),1.1579)</f>
        <v>1.1579</v>
      </c>
      <c r="F1027" s="22">
        <f t="shared" si="8"/>
        <v>225.4332258</v>
      </c>
      <c r="G1027" s="22">
        <f t="shared" si="31"/>
        <v>52.63254117</v>
      </c>
      <c r="H1027" s="22">
        <f t="shared" si="32"/>
        <v>52.78834932</v>
      </c>
      <c r="I1027" s="22">
        <f t="shared" si="3"/>
        <v>0.863632438</v>
      </c>
      <c r="J1027" s="22">
        <f t="shared" si="33"/>
        <v>0.1521720356</v>
      </c>
    </row>
    <row r="1028" ht="15.75" customHeight="1">
      <c r="A1028" s="25">
        <f>IFERROR(__xludf.DUMMYFUNCTION("""COMPUTED_VALUE"""),43343.66666666667)</f>
        <v>43343.66667</v>
      </c>
      <c r="B1028" s="22">
        <f>IFERROR(__xludf.DUMMYFUNCTION("""COMPUTED_VALUE"""),2901.52)</f>
        <v>2901.52</v>
      </c>
      <c r="C1028" s="22">
        <f t="shared" si="6"/>
        <v>2902.794583</v>
      </c>
      <c r="D1028" s="25">
        <f>IFERROR(__xludf.DUMMYFUNCTION("""COMPUTED_VALUE"""),43323.99861111111)</f>
        <v>43323.99861</v>
      </c>
      <c r="E1028" s="22">
        <f>IFERROR(__xludf.DUMMYFUNCTION("""COMPUTED_VALUE"""),1.142)</f>
        <v>1.142</v>
      </c>
      <c r="F1028" s="22">
        <f t="shared" si="8"/>
        <v>224.412679</v>
      </c>
      <c r="G1028" s="22">
        <f t="shared" si="31"/>
        <v>55.31970721</v>
      </c>
      <c r="H1028" s="22">
        <f t="shared" si="32"/>
        <v>50.19390192</v>
      </c>
      <c r="I1028" s="22">
        <f t="shared" si="3"/>
        <v>0.8756567426</v>
      </c>
      <c r="J1028" s="22">
        <f t="shared" si="33"/>
        <v>0.1671628722</v>
      </c>
    </row>
    <row r="1029" ht="15.75" customHeight="1">
      <c r="A1029" s="25">
        <f>IFERROR(__xludf.DUMMYFUNCTION("""COMPUTED_VALUE"""),43350.66666666667)</f>
        <v>43350.66667</v>
      </c>
      <c r="B1029" s="22">
        <f>IFERROR(__xludf.DUMMYFUNCTION("""COMPUTED_VALUE"""),2871.68)</f>
        <v>2871.68</v>
      </c>
      <c r="C1029" s="22">
        <f t="shared" si="6"/>
        <v>2872.966479</v>
      </c>
      <c r="D1029" s="25">
        <f>IFERROR(__xludf.DUMMYFUNCTION("""COMPUTED_VALUE"""),43330.99861111111)</f>
        <v>43330.99861</v>
      </c>
      <c r="E1029" s="22">
        <f>IFERROR(__xludf.DUMMYFUNCTION("""COMPUTED_VALUE"""),1.1446)</f>
        <v>1.1446</v>
      </c>
      <c r="F1029" s="22">
        <f t="shared" si="8"/>
        <v>222.6123646</v>
      </c>
      <c r="G1029" s="22">
        <f t="shared" si="31"/>
        <v>47.24830073</v>
      </c>
      <c r="H1029" s="22">
        <f t="shared" si="32"/>
        <v>45.52482552</v>
      </c>
      <c r="I1029" s="22">
        <f t="shared" si="3"/>
        <v>0.8736676568</v>
      </c>
      <c r="J1029" s="22">
        <f t="shared" si="33"/>
        <v>0.1690546916</v>
      </c>
    </row>
    <row r="1030" ht="15.75" customHeight="1">
      <c r="A1030" s="25">
        <f>IFERROR(__xludf.DUMMYFUNCTION("""COMPUTED_VALUE"""),43357.66666666667)</f>
        <v>43357.66667</v>
      </c>
      <c r="B1030" s="22">
        <f>IFERROR(__xludf.DUMMYFUNCTION("""COMPUTED_VALUE"""),2904.98)</f>
        <v>2904.98</v>
      </c>
      <c r="C1030" s="22">
        <f t="shared" si="6"/>
        <v>2906.253249</v>
      </c>
      <c r="D1030" s="25">
        <f>IFERROR(__xludf.DUMMYFUNCTION("""COMPUTED_VALUE"""),43337.99861111111)</f>
        <v>43337.99861</v>
      </c>
      <c r="E1030" s="22">
        <f>IFERROR(__xludf.DUMMYFUNCTION("""COMPUTED_VALUE"""),1.1631)</f>
        <v>1.1631</v>
      </c>
      <c r="F1030" s="22">
        <f t="shared" si="8"/>
        <v>228.8313348</v>
      </c>
      <c r="G1030" s="22">
        <f t="shared" si="31"/>
        <v>54.33261334</v>
      </c>
      <c r="H1030" s="22">
        <f t="shared" si="32"/>
        <v>49.44798316</v>
      </c>
      <c r="I1030" s="22">
        <f t="shared" si="3"/>
        <v>0.8597713008</v>
      </c>
      <c r="J1030" s="22">
        <f t="shared" si="33"/>
        <v>0.136789614</v>
      </c>
    </row>
    <row r="1031" ht="15.75" customHeight="1">
      <c r="A1031" s="25">
        <f>IFERROR(__xludf.DUMMYFUNCTION("""COMPUTED_VALUE"""),43364.66666666667)</f>
        <v>43364.66667</v>
      </c>
      <c r="B1031" s="22">
        <f>IFERROR(__xludf.DUMMYFUNCTION("""COMPUTED_VALUE"""),2929.67)</f>
        <v>2929.67</v>
      </c>
      <c r="C1031" s="22">
        <f t="shared" si="6"/>
        <v>2930.958013</v>
      </c>
      <c r="D1031" s="25">
        <f>IFERROR(__xludf.DUMMYFUNCTION("""COMPUTED_VALUE"""),43344.99861111111)</f>
        <v>43344.99861</v>
      </c>
      <c r="E1031" s="22">
        <f>IFERROR(__xludf.DUMMYFUNCTION("""COMPUTED_VALUE"""),1.162)</f>
        <v>1.162</v>
      </c>
      <c r="F1031" s="22">
        <f t="shared" si="8"/>
        <v>230.5582715</v>
      </c>
      <c r="G1031" s="22">
        <f t="shared" si="31"/>
        <v>58.08364729</v>
      </c>
      <c r="H1031" s="22">
        <f t="shared" si="32"/>
        <v>52.68715416</v>
      </c>
      <c r="I1031" s="22">
        <f t="shared" si="3"/>
        <v>0.8605851979</v>
      </c>
      <c r="J1031" s="22">
        <f t="shared" si="33"/>
        <v>0.1341652324</v>
      </c>
    </row>
    <row r="1032" ht="15.75" customHeight="1">
      <c r="A1032" s="25">
        <f>IFERROR(__xludf.DUMMYFUNCTION("""COMPUTED_VALUE"""),43371.66666666667)</f>
        <v>43371.66667</v>
      </c>
      <c r="B1032" s="22">
        <f>IFERROR(__xludf.DUMMYFUNCTION("""COMPUTED_VALUE"""),2913.98)</f>
        <v>2913.98</v>
      </c>
      <c r="C1032" s="22">
        <f t="shared" si="6"/>
        <v>2915.27896</v>
      </c>
      <c r="D1032" s="25">
        <f>IFERROR(__xludf.DUMMYFUNCTION("""COMPUTED_VALUE"""),43351.99861111111)</f>
        <v>43351.99861</v>
      </c>
      <c r="E1032" s="22">
        <f>IFERROR(__xludf.DUMMYFUNCTION("""COMPUTED_VALUE"""),1.157)</f>
        <v>1.157</v>
      </c>
      <c r="F1032" s="22">
        <f t="shared" si="8"/>
        <v>228.3381403</v>
      </c>
      <c r="G1032" s="22">
        <f t="shared" si="31"/>
        <v>52.38337724</v>
      </c>
      <c r="H1032" s="22">
        <f t="shared" si="32"/>
        <v>49.97515379</v>
      </c>
      <c r="I1032" s="22">
        <f t="shared" si="3"/>
        <v>0.8643042351</v>
      </c>
      <c r="J1032" s="22">
        <f t="shared" si="33"/>
        <v>0.1493517718</v>
      </c>
    </row>
    <row r="1033" ht="15.75" customHeight="1">
      <c r="A1033" s="25">
        <f>IFERROR(__xludf.DUMMYFUNCTION("""COMPUTED_VALUE"""),43378.66666666667)</f>
        <v>43378.66667</v>
      </c>
      <c r="B1033" s="22">
        <f>IFERROR(__xludf.DUMMYFUNCTION("""COMPUTED_VALUE"""),2885.57)</f>
        <v>2885.57</v>
      </c>
      <c r="C1033" s="22">
        <f t="shared" si="6"/>
        <v>2886.862004</v>
      </c>
      <c r="D1033" s="25">
        <f>IFERROR(__xludf.DUMMYFUNCTION("""COMPUTED_VALUE"""),43358.99861111111)</f>
        <v>43358.99861</v>
      </c>
      <c r="E1033" s="22">
        <f>IFERROR(__xludf.DUMMYFUNCTION("""COMPUTED_VALUE"""),1.1632)</f>
        <v>1.1632</v>
      </c>
      <c r="F1033" s="22">
        <f t="shared" si="8"/>
        <v>227.3240582</v>
      </c>
      <c r="G1033" s="22">
        <f t="shared" si="31"/>
        <v>47.39655291</v>
      </c>
      <c r="H1033" s="22">
        <f t="shared" si="32"/>
        <v>45.73056256</v>
      </c>
      <c r="I1033" s="22">
        <f t="shared" si="3"/>
        <v>0.8596973865</v>
      </c>
      <c r="J1033" s="22">
        <f t="shared" si="33"/>
        <v>0.1625687758</v>
      </c>
    </row>
    <row r="1034" ht="15.75" customHeight="1">
      <c r="A1034" s="25">
        <f>IFERROR(__xludf.DUMMYFUNCTION("""COMPUTED_VALUE"""),43385.66666666667)</f>
        <v>43385.66667</v>
      </c>
      <c r="B1034" s="22">
        <f>IFERROR(__xludf.DUMMYFUNCTION("""COMPUTED_VALUE"""),2767.13)</f>
        <v>2767.13</v>
      </c>
      <c r="C1034" s="22">
        <f t="shared" si="6"/>
        <v>2768.409407</v>
      </c>
      <c r="D1034" s="25">
        <f>IFERROR(__xludf.DUMMYFUNCTION("""COMPUTED_VALUE"""),43365.99861111111)</f>
        <v>43365.99861</v>
      </c>
      <c r="E1034" s="22">
        <f>IFERROR(__xludf.DUMMYFUNCTION("""COMPUTED_VALUE"""),1.1768)</f>
        <v>1.1768</v>
      </c>
      <c r="F1034" s="22">
        <f t="shared" si="8"/>
        <v>220.5453769</v>
      </c>
      <c r="G1034" s="22">
        <f t="shared" si="31"/>
        <v>43.09840906</v>
      </c>
      <c r="H1034" s="22">
        <f t="shared" si="32"/>
        <v>38.02853597</v>
      </c>
      <c r="I1034" s="22">
        <f t="shared" si="3"/>
        <v>0.8497620666</v>
      </c>
      <c r="J1034" s="22">
        <f t="shared" si="33"/>
        <v>0.1492182189</v>
      </c>
    </row>
    <row r="1035" ht="15.75" customHeight="1">
      <c r="A1035" s="25">
        <f>IFERROR(__xludf.DUMMYFUNCTION("""COMPUTED_VALUE"""),43392.66666666667)</f>
        <v>43392.66667</v>
      </c>
      <c r="B1035" s="22">
        <f>IFERROR(__xludf.DUMMYFUNCTION("""COMPUTED_VALUE"""),2767.78)</f>
        <v>2767.78</v>
      </c>
      <c r="C1035" s="22">
        <f t="shared" si="6"/>
        <v>2769.006893</v>
      </c>
      <c r="D1035" s="25">
        <f>IFERROR(__xludf.DUMMYFUNCTION("""COMPUTED_VALUE"""),43372.99861111111)</f>
        <v>43372.99861</v>
      </c>
      <c r="E1035" s="22">
        <f>IFERROR(__xludf.DUMMYFUNCTION("""COMPUTED_VALUE"""),1.162)</f>
        <v>1.162</v>
      </c>
      <c r="F1035" s="22">
        <f t="shared" si="8"/>
        <v>217.8186928</v>
      </c>
      <c r="G1035" s="22">
        <f t="shared" si="31"/>
        <v>38.26911562</v>
      </c>
      <c r="H1035" s="22">
        <f t="shared" si="32"/>
        <v>34.80928771</v>
      </c>
      <c r="I1035" s="22">
        <f t="shared" si="3"/>
        <v>0.8605851979</v>
      </c>
      <c r="J1035" s="22">
        <f t="shared" si="33"/>
        <v>0.1666953528</v>
      </c>
    </row>
    <row r="1036" ht="15.75" customHeight="1">
      <c r="A1036" s="25">
        <f>IFERROR(__xludf.DUMMYFUNCTION("""COMPUTED_VALUE"""),43399.66666666667)</f>
        <v>43399.66667</v>
      </c>
      <c r="B1036" s="22">
        <f>IFERROR(__xludf.DUMMYFUNCTION("""COMPUTED_VALUE"""),2658.69)</f>
        <v>2658.69</v>
      </c>
      <c r="C1036" s="22">
        <f t="shared" si="6"/>
        <v>2659.917181</v>
      </c>
      <c r="D1036" s="25">
        <f>IFERROR(__xludf.DUMMYFUNCTION("""COMPUTED_VALUE"""),43379.99861111111)</f>
        <v>43379.99861</v>
      </c>
      <c r="E1036" s="22">
        <f>IFERROR(__xludf.DUMMYFUNCTION("""COMPUTED_VALUE"""),1.1531)</f>
        <v>1.1531</v>
      </c>
      <c r="F1036" s="22">
        <f t="shared" si="8"/>
        <v>207.6347643</v>
      </c>
      <c r="G1036" s="22">
        <f t="shared" si="31"/>
        <v>29.85670716</v>
      </c>
      <c r="H1036" s="22">
        <f t="shared" si="32"/>
        <v>28.52123049</v>
      </c>
      <c r="I1036" s="22">
        <f t="shared" si="3"/>
        <v>0.8672274738</v>
      </c>
      <c r="J1036" s="22">
        <f t="shared" si="33"/>
        <v>0.1743127222</v>
      </c>
    </row>
    <row r="1037" ht="15.75" customHeight="1">
      <c r="A1037" s="25">
        <f>IFERROR(__xludf.DUMMYFUNCTION("""COMPUTED_VALUE"""),43406.66666666667)</f>
        <v>43406.66667</v>
      </c>
      <c r="B1037" s="22">
        <f>IFERROR(__xludf.DUMMYFUNCTION("""COMPUTED_VALUE"""),2723.06)</f>
        <v>2723.06</v>
      </c>
      <c r="C1037" s="22">
        <f t="shared" si="6"/>
        <v>2724.238813</v>
      </c>
      <c r="D1037" s="25">
        <f>IFERROR(__xludf.DUMMYFUNCTION("""COMPUTED_VALUE"""),43386.99861111111)</f>
        <v>43386.99861</v>
      </c>
      <c r="E1037" s="22">
        <f>IFERROR(__xludf.DUMMYFUNCTION("""COMPUTED_VALUE"""),1.1573)</f>
        <v>1.1573</v>
      </c>
      <c r="F1037" s="22">
        <f t="shared" si="8"/>
        <v>213.4303181</v>
      </c>
      <c r="G1037" s="22">
        <f t="shared" si="31"/>
        <v>32.24929389</v>
      </c>
      <c r="H1037" s="22">
        <f t="shared" si="32"/>
        <v>30.08496076</v>
      </c>
      <c r="I1037" s="22">
        <f t="shared" si="3"/>
        <v>0.8640801866</v>
      </c>
      <c r="J1037" s="22">
        <f t="shared" si="33"/>
        <v>0.1822345114</v>
      </c>
    </row>
    <row r="1038" ht="15.75" customHeight="1">
      <c r="A1038" s="25">
        <f>IFERROR(__xludf.DUMMYFUNCTION("""COMPUTED_VALUE"""),43413.66666666667)</f>
        <v>43413.66667</v>
      </c>
      <c r="B1038" s="22">
        <f>IFERROR(__xludf.DUMMYFUNCTION("""COMPUTED_VALUE"""),2781.01)</f>
        <v>2781.01</v>
      </c>
      <c r="C1038" s="22">
        <f t="shared" si="6"/>
        <v>2782.217353</v>
      </c>
      <c r="D1038" s="25">
        <f>IFERROR(__xludf.DUMMYFUNCTION("""COMPUTED_VALUE"""),43393.99861111111)</f>
        <v>43393.99861</v>
      </c>
      <c r="E1038" s="22">
        <f>IFERROR(__xludf.DUMMYFUNCTION("""COMPUTED_VALUE"""),1.1528)</f>
        <v>1.1528</v>
      </c>
      <c r="F1038" s="22">
        <f t="shared" si="8"/>
        <v>217.1250869</v>
      </c>
      <c r="G1038" s="22">
        <f t="shared" si="31"/>
        <v>43.87843982</v>
      </c>
      <c r="H1038" s="22">
        <f t="shared" si="32"/>
        <v>29.15682042</v>
      </c>
      <c r="I1038" s="22">
        <f t="shared" si="3"/>
        <v>0.8674531575</v>
      </c>
      <c r="J1038" s="22">
        <f t="shared" si="33"/>
        <v>0.1974323387</v>
      </c>
    </row>
    <row r="1039" ht="15.75" customHeight="1">
      <c r="A1039" s="25">
        <f>IFERROR(__xludf.DUMMYFUNCTION("""COMPUTED_VALUE"""),43420.66666666667)</f>
        <v>43420.66667</v>
      </c>
      <c r="B1039" s="22">
        <f>IFERROR(__xludf.DUMMYFUNCTION("""COMPUTED_VALUE"""),2736.27)</f>
        <v>2736.27</v>
      </c>
      <c r="C1039" s="22">
        <f t="shared" si="6"/>
        <v>2737.503047</v>
      </c>
      <c r="D1039" s="25">
        <f>IFERROR(__xludf.DUMMYFUNCTION("""COMPUTED_VALUE"""),43400.99861111111)</f>
        <v>43400.99861</v>
      </c>
      <c r="E1039" s="22">
        <f>IFERROR(__xludf.DUMMYFUNCTION("""COMPUTED_VALUE"""),1.1423)</f>
        <v>1.1423</v>
      </c>
      <c r="F1039" s="22">
        <f t="shared" si="8"/>
        <v>211.689721</v>
      </c>
      <c r="G1039" s="22">
        <f t="shared" si="31"/>
        <v>35.93931463</v>
      </c>
      <c r="H1039" s="22">
        <f t="shared" si="32"/>
        <v>28.412754</v>
      </c>
      <c r="I1039" s="22">
        <f t="shared" si="3"/>
        <v>0.8754267706</v>
      </c>
      <c r="J1039" s="22">
        <f t="shared" si="33"/>
        <v>0.1806880854</v>
      </c>
    </row>
    <row r="1040" ht="15.75" customHeight="1">
      <c r="A1040" s="25">
        <f>IFERROR(__xludf.DUMMYFUNCTION("""COMPUTED_VALUE"""),43427.54166666667)</f>
        <v>43427.54167</v>
      </c>
      <c r="B1040" s="22">
        <f>IFERROR(__xludf.DUMMYFUNCTION("""COMPUTED_VALUE"""),2632.56)</f>
        <v>2632.56</v>
      </c>
      <c r="C1040" s="22">
        <f t="shared" si="6"/>
        <v>2633.77321</v>
      </c>
      <c r="D1040" s="25">
        <f>IFERROR(__xludf.DUMMYFUNCTION("""COMPUTED_VALUE"""),43407.99861111111)</f>
        <v>43407.99861</v>
      </c>
      <c r="E1040" s="22">
        <f>IFERROR(__xludf.DUMMYFUNCTION("""COMPUTED_VALUE"""),1.1386)</f>
        <v>1.1386</v>
      </c>
      <c r="F1040" s="22">
        <f t="shared" si="8"/>
        <v>203.0086475</v>
      </c>
      <c r="G1040" s="22">
        <f t="shared" si="31"/>
        <v>33.52527592</v>
      </c>
      <c r="H1040" s="22">
        <f t="shared" si="32"/>
        <v>24.1705662</v>
      </c>
      <c r="I1040" s="22">
        <f t="shared" si="3"/>
        <v>0.8782715616</v>
      </c>
      <c r="J1040" s="22">
        <f t="shared" si="33"/>
        <v>0.1740734235</v>
      </c>
    </row>
    <row r="1041" ht="15.75" customHeight="1">
      <c r="A1041" s="25">
        <f>IFERROR(__xludf.DUMMYFUNCTION("""COMPUTED_VALUE"""),43434.66666666667)</f>
        <v>43434.66667</v>
      </c>
      <c r="B1041" s="22">
        <f>IFERROR(__xludf.DUMMYFUNCTION("""COMPUTED_VALUE"""),2760.17)</f>
        <v>2760.17</v>
      </c>
      <c r="C1041" s="22">
        <f t="shared" si="6"/>
        <v>2761.337227</v>
      </c>
      <c r="D1041" s="25">
        <f>IFERROR(__xludf.DUMMYFUNCTION("""COMPUTED_VALUE"""),43414.99861111111)</f>
        <v>43414.99861</v>
      </c>
      <c r="E1041" s="22">
        <f>IFERROR(__xludf.DUMMYFUNCTION("""COMPUTED_VALUE"""),1.1336)</f>
        <v>1.1336</v>
      </c>
      <c r="F1041" s="22">
        <f t="shared" si="8"/>
        <v>211.9064947</v>
      </c>
      <c r="G1041" s="22">
        <f t="shared" si="31"/>
        <v>38.95544232</v>
      </c>
      <c r="H1041" s="22">
        <f t="shared" si="32"/>
        <v>28.44433185</v>
      </c>
      <c r="I1041" s="22">
        <f t="shared" si="3"/>
        <v>0.8821453776</v>
      </c>
      <c r="J1041" s="22">
        <f t="shared" si="33"/>
        <v>0.190455187</v>
      </c>
    </row>
    <row r="1042" ht="15.75" customHeight="1">
      <c r="A1042" s="25">
        <f>IFERROR(__xludf.DUMMYFUNCTION("""COMPUTED_VALUE"""),43441.66666666667)</f>
        <v>43441.66667</v>
      </c>
      <c r="B1042" s="22">
        <f>IFERROR(__xludf.DUMMYFUNCTION("""COMPUTED_VALUE"""),2633.08)</f>
        <v>2633.08</v>
      </c>
      <c r="C1042" s="22">
        <f t="shared" si="6"/>
        <v>2634.303807</v>
      </c>
      <c r="D1042" s="25">
        <f>IFERROR(__xludf.DUMMYFUNCTION("""COMPUTED_VALUE"""),43421.99861111111)</f>
        <v>43421.99861</v>
      </c>
      <c r="E1042" s="22">
        <f>IFERROR(__xludf.DUMMYFUNCTION("""COMPUTED_VALUE"""),1.1419)</f>
        <v>1.1419</v>
      </c>
      <c r="F1042" s="22">
        <f t="shared" si="8"/>
        <v>203.6380431</v>
      </c>
      <c r="G1042" s="22">
        <f t="shared" si="31"/>
        <v>40.33265516</v>
      </c>
      <c r="H1042" s="22">
        <f t="shared" si="32"/>
        <v>24.93668655</v>
      </c>
      <c r="I1042" s="22">
        <f t="shared" si="3"/>
        <v>0.8757334267</v>
      </c>
      <c r="J1042" s="22">
        <f t="shared" si="33"/>
        <v>0.1871442333</v>
      </c>
    </row>
    <row r="1043" ht="15.75" customHeight="1">
      <c r="A1043" s="25">
        <f>IFERROR(__xludf.DUMMYFUNCTION("""COMPUTED_VALUE"""),43448.66666666667)</f>
        <v>43448.66667</v>
      </c>
      <c r="B1043" s="22">
        <f>IFERROR(__xludf.DUMMYFUNCTION("""COMPUTED_VALUE"""),2599.95)</f>
        <v>2599.95</v>
      </c>
      <c r="C1043" s="22">
        <f t="shared" si="6"/>
        <v>2601.117458</v>
      </c>
      <c r="D1043" s="25">
        <f>IFERROR(__xludf.DUMMYFUNCTION("""COMPUTED_VALUE"""),43428.99861111111)</f>
        <v>43428.99861</v>
      </c>
      <c r="E1043" s="22">
        <f>IFERROR(__xludf.DUMMYFUNCTION("""COMPUTED_VALUE"""),1.1343)</f>
        <v>1.1343</v>
      </c>
      <c r="F1043" s="22">
        <f t="shared" si="8"/>
        <v>199.7344042</v>
      </c>
      <c r="G1043" s="22">
        <f t="shared" si="31"/>
        <v>38.84308806</v>
      </c>
      <c r="H1043" s="22">
        <f t="shared" si="32"/>
        <v>19.3297246</v>
      </c>
      <c r="I1043" s="22">
        <f t="shared" si="3"/>
        <v>0.8816009874</v>
      </c>
      <c r="J1043" s="22">
        <f t="shared" si="33"/>
        <v>0.1982720621</v>
      </c>
    </row>
    <row r="1044" ht="15.75" customHeight="1">
      <c r="A1044" s="25">
        <f>IFERROR(__xludf.DUMMYFUNCTION("""COMPUTED_VALUE"""),43455.66666666667)</f>
        <v>43455.66667</v>
      </c>
      <c r="B1044" s="22">
        <f>IFERROR(__xludf.DUMMYFUNCTION("""COMPUTED_VALUE"""),2416.62)</f>
        <v>2416.62</v>
      </c>
      <c r="C1044" s="22">
        <f t="shared" si="6"/>
        <v>2417.772769</v>
      </c>
      <c r="D1044" s="25">
        <f>IFERROR(__xludf.DUMMYFUNCTION("""COMPUTED_VALUE"""),43435.99861111111)</f>
        <v>43435.99861</v>
      </c>
      <c r="E1044" s="22">
        <f>IFERROR(__xludf.DUMMYFUNCTION("""COMPUTED_VALUE"""),1.132)</f>
        <v>1.132</v>
      </c>
      <c r="F1044" s="22">
        <f t="shared" si="8"/>
        <v>185.2792957</v>
      </c>
      <c r="G1044" s="22">
        <f t="shared" si="31"/>
        <v>21.9859801</v>
      </c>
      <c r="H1044" s="22">
        <f t="shared" si="32"/>
        <v>8.419652342</v>
      </c>
      <c r="I1044" s="22">
        <f t="shared" si="3"/>
        <v>0.8833922261</v>
      </c>
      <c r="J1044" s="22">
        <f t="shared" si="33"/>
        <v>0.2105123675</v>
      </c>
    </row>
    <row r="1045" ht="15.75" customHeight="1">
      <c r="A1045" s="25">
        <f>IFERROR(__xludf.DUMMYFUNCTION("""COMPUTED_VALUE"""),43462.66666666667)</f>
        <v>43462.66667</v>
      </c>
      <c r="B1045" s="22">
        <f>IFERROR(__xludf.DUMMYFUNCTION("""COMPUTED_VALUE"""),2485.74)</f>
        <v>2485.74</v>
      </c>
      <c r="C1045" s="22">
        <f t="shared" si="6"/>
        <v>2486.811484</v>
      </c>
      <c r="D1045" s="25">
        <f>IFERROR(__xludf.DUMMYFUNCTION("""COMPUTED_VALUE"""),43442.99861111111)</f>
        <v>43442.99861</v>
      </c>
      <c r="E1045" s="22">
        <f>IFERROR(__xludf.DUMMYFUNCTION("""COMPUTED_VALUE"""),1.1378)</f>
        <v>1.1378</v>
      </c>
      <c r="F1045" s="22">
        <f t="shared" si="8"/>
        <v>191.5463038</v>
      </c>
      <c r="G1045" s="22">
        <f t="shared" si="31"/>
        <v>25.8837901</v>
      </c>
      <c r="H1045" s="22">
        <f t="shared" si="32"/>
        <v>12.38821897</v>
      </c>
      <c r="I1045" s="22">
        <f t="shared" si="3"/>
        <v>0.8788890842</v>
      </c>
      <c r="J1045" s="22">
        <f t="shared" si="33"/>
        <v>0.2076814906</v>
      </c>
    </row>
    <row r="1046" ht="15.75" customHeight="1">
      <c r="A1046" s="25">
        <f>IFERROR(__xludf.DUMMYFUNCTION("""COMPUTED_VALUE"""),43469.66666666667)</f>
        <v>43469.66667</v>
      </c>
      <c r="B1046" s="22">
        <f>IFERROR(__xludf.DUMMYFUNCTION("""COMPUTED_VALUE"""),2531.94)</f>
        <v>2531.94</v>
      </c>
      <c r="C1046" s="22">
        <f t="shared" si="6"/>
        <v>2533.04213</v>
      </c>
      <c r="D1046" s="25">
        <f>IFERROR(__xludf.DUMMYFUNCTION("""COMPUTED_VALUE"""),43449.99861111111)</f>
        <v>43449.99861</v>
      </c>
      <c r="E1046" s="22">
        <f>IFERROR(__xludf.DUMMYFUNCTION("""COMPUTED_VALUE"""),1.1309)</f>
        <v>1.1309</v>
      </c>
      <c r="F1046" s="22">
        <f t="shared" si="8"/>
        <v>193.9240174</v>
      </c>
      <c r="G1046" s="22">
        <f t="shared" si="31"/>
        <v>37.09450282</v>
      </c>
      <c r="H1046" s="22">
        <f t="shared" si="32"/>
        <v>13.68367766</v>
      </c>
      <c r="I1046" s="22">
        <f t="shared" si="3"/>
        <v>0.8842514811</v>
      </c>
      <c r="J1046" s="22">
        <f t="shared" si="33"/>
        <v>0.2088601998</v>
      </c>
    </row>
    <row r="1047" ht="15.75" customHeight="1">
      <c r="A1047" s="25">
        <f>IFERROR(__xludf.DUMMYFUNCTION("""COMPUTED_VALUE"""),43476.66666666667)</f>
        <v>43476.66667</v>
      </c>
      <c r="B1047" s="22">
        <f>IFERROR(__xludf.DUMMYFUNCTION("""COMPUTED_VALUE"""),2596.26)</f>
        <v>2596.26</v>
      </c>
      <c r="C1047" s="22">
        <f t="shared" si="6"/>
        <v>2597.382614</v>
      </c>
      <c r="D1047" s="25">
        <f>IFERROR(__xludf.DUMMYFUNCTION("""COMPUTED_VALUE"""),43456.99861111111)</f>
        <v>43456.99861</v>
      </c>
      <c r="E1047" s="22">
        <f>IFERROR(__xludf.DUMMYFUNCTION("""COMPUTED_VALUE"""),1.1382)</f>
        <v>1.1382</v>
      </c>
      <c r="F1047" s="22">
        <f t="shared" si="8"/>
        <v>200.1333629</v>
      </c>
      <c r="G1047" s="22">
        <f t="shared" si="31"/>
        <v>43.2312733</v>
      </c>
      <c r="H1047" s="22">
        <f t="shared" si="32"/>
        <v>16.95866309</v>
      </c>
      <c r="I1047" s="22">
        <f t="shared" si="3"/>
        <v>0.8785802144</v>
      </c>
      <c r="J1047" s="22">
        <f t="shared" si="33"/>
        <v>0.2072570726</v>
      </c>
    </row>
    <row r="1048" ht="15.75" customHeight="1">
      <c r="A1048" s="25">
        <f>IFERROR(__xludf.DUMMYFUNCTION("""COMPUTED_VALUE"""),43483.66666666667)</f>
        <v>43483.66667</v>
      </c>
      <c r="B1048" s="22">
        <f>IFERROR(__xludf.DUMMYFUNCTION("""COMPUTED_VALUE"""),2670.71)</f>
        <v>2670.71</v>
      </c>
      <c r="C1048" s="22">
        <f t="shared" si="6"/>
        <v>2671.861133</v>
      </c>
      <c r="D1048" s="25">
        <f>IFERROR(__xludf.DUMMYFUNCTION("""COMPUTED_VALUE"""),43463.99861111111)</f>
        <v>43463.99861</v>
      </c>
      <c r="E1048" s="22">
        <f>IFERROR(__xludf.DUMMYFUNCTION("""COMPUTED_VALUE"""),1.1439)</f>
        <v>1.1439</v>
      </c>
      <c r="F1048" s="22">
        <f t="shared" si="8"/>
        <v>206.9030653</v>
      </c>
      <c r="G1048" s="22">
        <f t="shared" si="31"/>
        <v>48.16650495</v>
      </c>
      <c r="H1048" s="22">
        <f t="shared" si="32"/>
        <v>25.59063646</v>
      </c>
      <c r="I1048" s="22">
        <f t="shared" si="3"/>
        <v>0.8742022904</v>
      </c>
      <c r="J1048" s="22">
        <f t="shared" si="33"/>
        <v>0.187778652</v>
      </c>
    </row>
    <row r="1049" ht="15.75" customHeight="1">
      <c r="A1049" s="25">
        <f>IFERROR(__xludf.DUMMYFUNCTION("""COMPUTED_VALUE"""),43490.66666666667)</f>
        <v>43490.66667</v>
      </c>
      <c r="B1049" s="22">
        <f>IFERROR(__xludf.DUMMYFUNCTION("""COMPUTED_VALUE"""),2664.76)</f>
        <v>2664.76</v>
      </c>
      <c r="C1049" s="22">
        <f t="shared" si="6"/>
        <v>2665.944142</v>
      </c>
      <c r="D1049" s="25">
        <f>IFERROR(__xludf.DUMMYFUNCTION("""COMPUTED_VALUE"""),43470.99861111111)</f>
        <v>43470.99861</v>
      </c>
      <c r="E1049" s="22">
        <f>IFERROR(__xludf.DUMMYFUNCTION("""COMPUTED_VALUE"""),1.1394)</f>
        <v>1.1394</v>
      </c>
      <c r="F1049" s="22">
        <f t="shared" si="8"/>
        <v>205.6327309</v>
      </c>
      <c r="G1049" s="22">
        <f t="shared" si="31"/>
        <v>43.33079481</v>
      </c>
      <c r="H1049" s="22">
        <f t="shared" si="32"/>
        <v>24.59882123</v>
      </c>
      <c r="I1049" s="22">
        <f t="shared" si="3"/>
        <v>0.8776549061</v>
      </c>
      <c r="J1049" s="22">
        <f t="shared" si="33"/>
        <v>0.1997542566</v>
      </c>
    </row>
    <row r="1050" ht="15.75" customHeight="1">
      <c r="A1050" s="25">
        <f>IFERROR(__xludf.DUMMYFUNCTION("""COMPUTED_VALUE"""),43497.66666666667)</f>
        <v>43497.66667</v>
      </c>
      <c r="B1050" s="22">
        <f>IFERROR(__xludf.DUMMYFUNCTION("""COMPUTED_VALUE"""),2706.53)</f>
        <v>2706.53</v>
      </c>
      <c r="C1050" s="22">
        <f t="shared" si="6"/>
        <v>2707.711504</v>
      </c>
      <c r="D1050" s="25">
        <f>IFERROR(__xludf.DUMMYFUNCTION("""COMPUTED_VALUE"""),43477.99861111111)</f>
        <v>43477.99861</v>
      </c>
      <c r="E1050" s="22">
        <f>IFERROR(__xludf.DUMMYFUNCTION("""COMPUTED_VALUE"""),1.1468)</f>
        <v>1.1468</v>
      </c>
      <c r="F1050" s="22">
        <f t="shared" si="8"/>
        <v>210.2108154</v>
      </c>
      <c r="G1050" s="22">
        <f t="shared" si="31"/>
        <v>51.313384</v>
      </c>
      <c r="H1050" s="22">
        <f t="shared" si="32"/>
        <v>27.56382401</v>
      </c>
      <c r="I1050" s="22">
        <f t="shared" si="3"/>
        <v>0.8719916289</v>
      </c>
      <c r="J1050" s="22">
        <f t="shared" si="33"/>
        <v>0.1806766655</v>
      </c>
    </row>
    <row r="1051" ht="15.75" customHeight="1">
      <c r="A1051" s="25">
        <f>IFERROR(__xludf.DUMMYFUNCTION("""COMPUTED_VALUE"""),43504.66666666667)</f>
        <v>43504.66667</v>
      </c>
      <c r="B1051" s="22">
        <f>IFERROR(__xludf.DUMMYFUNCTION("""COMPUTED_VALUE"""),2707.88)</f>
        <v>2707.88</v>
      </c>
      <c r="C1051" s="22">
        <f t="shared" si="6"/>
        <v>2709.080024</v>
      </c>
      <c r="D1051" s="25">
        <f>IFERROR(__xludf.DUMMYFUNCTION("""COMPUTED_VALUE"""),43484.99861111111)</f>
        <v>43484.99861</v>
      </c>
      <c r="E1051" s="22">
        <f>IFERROR(__xludf.DUMMYFUNCTION("""COMPUTED_VALUE"""),1.1363)</f>
        <v>1.1363</v>
      </c>
      <c r="F1051" s="22">
        <f t="shared" si="8"/>
        <v>208.3914148</v>
      </c>
      <c r="G1051" s="22">
        <f t="shared" si="31"/>
        <v>52.80931308</v>
      </c>
      <c r="H1051" s="22">
        <f t="shared" si="32"/>
        <v>22.37846576</v>
      </c>
      <c r="I1051" s="22">
        <f t="shared" si="3"/>
        <v>0.8800492828</v>
      </c>
      <c r="J1051" s="22">
        <f t="shared" si="33"/>
        <v>0.2034673942</v>
      </c>
    </row>
    <row r="1052" ht="15.75" customHeight="1">
      <c r="A1052" s="25">
        <f>IFERROR(__xludf.DUMMYFUNCTION("""COMPUTED_VALUE"""),43511.66666666667)</f>
        <v>43511.66667</v>
      </c>
      <c r="B1052" s="22">
        <f>IFERROR(__xludf.DUMMYFUNCTION("""COMPUTED_VALUE"""),2775.6)</f>
        <v>2775.6</v>
      </c>
      <c r="C1052" s="22">
        <f t="shared" si="6"/>
        <v>2776.800623</v>
      </c>
      <c r="D1052" s="25">
        <f>IFERROR(__xludf.DUMMYFUNCTION("""COMPUTED_VALUE"""),43491.99861111111)</f>
        <v>43491.99861</v>
      </c>
      <c r="E1052" s="22">
        <f>IFERROR(__xludf.DUMMYFUNCTION("""COMPUTED_VALUE"""),1.1406)</f>
        <v>1.1406</v>
      </c>
      <c r="F1052" s="22">
        <f t="shared" si="8"/>
        <v>214.409018</v>
      </c>
      <c r="G1052" s="22">
        <f t="shared" si="31"/>
        <v>52.42901302</v>
      </c>
      <c r="H1052" s="22">
        <f t="shared" si="32"/>
        <v>27.83157335</v>
      </c>
      <c r="I1052" s="22">
        <f t="shared" si="3"/>
        <v>0.8767315448</v>
      </c>
      <c r="J1052" s="22">
        <f t="shared" si="33"/>
        <v>0.1824478345</v>
      </c>
    </row>
    <row r="1053" ht="15.75" customHeight="1">
      <c r="A1053" s="25">
        <f>IFERROR(__xludf.DUMMYFUNCTION("""COMPUTED_VALUE"""),43518.66666666667)</f>
        <v>43518.66667</v>
      </c>
      <c r="B1053" s="22">
        <f>IFERROR(__xludf.DUMMYFUNCTION("""COMPUTED_VALUE"""),2792.67)</f>
        <v>2792.67</v>
      </c>
      <c r="C1053" s="22">
        <f t="shared" si="6"/>
        <v>2793.900649</v>
      </c>
      <c r="D1053" s="25">
        <f>IFERROR(__xludf.DUMMYFUNCTION("""COMPUTED_VALUE"""),43498.99861111111)</f>
        <v>43498.99861</v>
      </c>
      <c r="E1053" s="22">
        <f>IFERROR(__xludf.DUMMYFUNCTION("""COMPUTED_VALUE"""),1.1456)</f>
        <v>1.1456</v>
      </c>
      <c r="F1053" s="22">
        <f t="shared" si="8"/>
        <v>216.6750702</v>
      </c>
      <c r="G1053" s="22">
        <f t="shared" si="31"/>
        <v>47.19573575</v>
      </c>
      <c r="H1053" s="22">
        <f t="shared" si="32"/>
        <v>26.19613533</v>
      </c>
      <c r="I1053" s="22">
        <f t="shared" si="3"/>
        <v>0.8729050279</v>
      </c>
      <c r="J1053" s="22">
        <f t="shared" si="33"/>
        <v>0.1901187151</v>
      </c>
    </row>
    <row r="1054" ht="15.75" customHeight="1">
      <c r="A1054" s="25">
        <f>IFERROR(__xludf.DUMMYFUNCTION("""COMPUTED_VALUE"""),43525.66666666667)</f>
        <v>43525.66667</v>
      </c>
      <c r="B1054" s="22">
        <f>IFERROR(__xludf.DUMMYFUNCTION("""COMPUTED_VALUE"""),2803.69)</f>
        <v>2803.69</v>
      </c>
      <c r="C1054" s="22">
        <f t="shared" si="6"/>
        <v>2804.928217</v>
      </c>
      <c r="D1054" s="25">
        <f>IFERROR(__xludf.DUMMYFUNCTION("""COMPUTED_VALUE"""),43505.99861111111)</f>
        <v>43505.99861</v>
      </c>
      <c r="E1054" s="22">
        <f>IFERROR(__xludf.DUMMYFUNCTION("""COMPUTED_VALUE"""),1.1329)</f>
        <v>1.1329</v>
      </c>
      <c r="F1054" s="22">
        <f t="shared" si="8"/>
        <v>215.1187723</v>
      </c>
      <c r="G1054" s="22">
        <f t="shared" si="31"/>
        <v>41.12708526</v>
      </c>
      <c r="H1054" s="22">
        <f t="shared" si="32"/>
        <v>23.53292072</v>
      </c>
      <c r="I1054" s="22">
        <f t="shared" si="3"/>
        <v>0.8826904405</v>
      </c>
      <c r="J1054" s="22">
        <f t="shared" si="33"/>
        <v>0.208491482</v>
      </c>
    </row>
    <row r="1055" ht="15.75" customHeight="1">
      <c r="A1055" s="25">
        <f>IFERROR(__xludf.DUMMYFUNCTION("""COMPUTED_VALUE"""),43532.66666666667)</f>
        <v>43532.66667</v>
      </c>
      <c r="B1055" s="22">
        <f>IFERROR(__xludf.DUMMYFUNCTION("""COMPUTED_VALUE"""),2743.07)</f>
        <v>2743.07</v>
      </c>
      <c r="C1055" s="22">
        <f t="shared" si="6"/>
        <v>2744.313103</v>
      </c>
      <c r="D1055" s="25">
        <f>IFERROR(__xludf.DUMMYFUNCTION("""COMPUTED_VALUE"""),43512.99861111111)</f>
        <v>43512.99861</v>
      </c>
      <c r="E1055" s="22">
        <f>IFERROR(__xludf.DUMMYFUNCTION("""COMPUTED_VALUE"""),1.1295)</f>
        <v>1.1295</v>
      </c>
      <c r="F1055" s="22">
        <f t="shared" si="8"/>
        <v>209.8383569</v>
      </c>
      <c r="G1055" s="22">
        <f t="shared" si="31"/>
        <v>37.67135495</v>
      </c>
      <c r="H1055" s="22">
        <f t="shared" si="32"/>
        <v>22.48529217</v>
      </c>
      <c r="I1055" s="22">
        <f t="shared" si="3"/>
        <v>0.8853474989</v>
      </c>
      <c r="J1055" s="22">
        <f t="shared" si="33"/>
        <v>0.2163789287</v>
      </c>
    </row>
    <row r="1056" ht="15.75" customHeight="1">
      <c r="A1056" s="25">
        <f>IFERROR(__xludf.DUMMYFUNCTION("""COMPUTED_VALUE"""),43539.66666666667)</f>
        <v>43539.66667</v>
      </c>
      <c r="B1056" s="22">
        <f>IFERROR(__xludf.DUMMYFUNCTION("""COMPUTED_VALUE"""),2822.48)</f>
        <v>2822.48</v>
      </c>
      <c r="C1056" s="22">
        <f t="shared" si="6"/>
        <v>2823.696225</v>
      </c>
      <c r="D1056" s="25">
        <f>IFERROR(__xludf.DUMMYFUNCTION("""COMPUTED_VALUE"""),43519.99861111111)</f>
        <v>43519.99861</v>
      </c>
      <c r="E1056" s="22">
        <f>IFERROR(__xludf.DUMMYFUNCTION("""COMPUTED_VALUE"""),1.134)</f>
        <v>1.134</v>
      </c>
      <c r="F1056" s="22">
        <f t="shared" si="8"/>
        <v>216.7684191</v>
      </c>
      <c r="G1056" s="22">
        <f t="shared" si="31"/>
        <v>42.88539401</v>
      </c>
      <c r="H1056" s="22">
        <f t="shared" si="32"/>
        <v>24.26742704</v>
      </c>
      <c r="I1056" s="22">
        <f t="shared" si="3"/>
        <v>0.8818342152</v>
      </c>
      <c r="J1056" s="22">
        <f t="shared" si="33"/>
        <v>0.2169312169</v>
      </c>
    </row>
    <row r="1057" ht="15.75" customHeight="1">
      <c r="A1057" s="25">
        <f>IFERROR(__xludf.DUMMYFUNCTION("""COMPUTED_VALUE"""),43546.66666666667)</f>
        <v>43546.66667</v>
      </c>
      <c r="B1057" s="22">
        <f>IFERROR(__xludf.DUMMYFUNCTION("""COMPUTED_VALUE"""),2800.71)</f>
        <v>2800.71</v>
      </c>
      <c r="C1057" s="22">
        <f t="shared" si="6"/>
        <v>2801.961434</v>
      </c>
      <c r="D1057" s="25">
        <f>IFERROR(__xludf.DUMMYFUNCTION("""COMPUTED_VALUE"""),43526.99861111111)</f>
        <v>43526.99861</v>
      </c>
      <c r="E1057" s="22">
        <f>IFERROR(__xludf.DUMMYFUNCTION("""COMPUTED_VALUE"""),1.1376)</f>
        <v>1.1376</v>
      </c>
      <c r="F1057" s="22">
        <f t="shared" si="8"/>
        <v>215.7827479</v>
      </c>
      <c r="G1057" s="22">
        <f t="shared" si="31"/>
        <v>42.19333254</v>
      </c>
      <c r="H1057" s="22">
        <f t="shared" si="32"/>
        <v>23.57859629</v>
      </c>
      <c r="I1057" s="22">
        <f t="shared" si="3"/>
        <v>0.8790436006</v>
      </c>
      <c r="J1057" s="22">
        <f t="shared" si="33"/>
        <v>0.2200246132</v>
      </c>
    </row>
    <row r="1058" ht="15.75" customHeight="1">
      <c r="A1058" s="25">
        <f>IFERROR(__xludf.DUMMYFUNCTION("""COMPUTED_VALUE"""),43553.66666666667)</f>
        <v>43553.66667</v>
      </c>
      <c r="B1058" s="22">
        <f>IFERROR(__xludf.DUMMYFUNCTION("""COMPUTED_VALUE"""),2834.4)</f>
        <v>2834.4</v>
      </c>
      <c r="C1058" s="22">
        <f t="shared" si="6"/>
        <v>2835.641782</v>
      </c>
      <c r="D1058" s="25">
        <f>IFERROR(__xludf.DUMMYFUNCTION("""COMPUTED_VALUE"""),43533.99861111111)</f>
        <v>43533.99861</v>
      </c>
      <c r="E1058" s="22">
        <f>IFERROR(__xludf.DUMMYFUNCTION("""COMPUTED_VALUE"""),1.1238)</f>
        <v>1.1238</v>
      </c>
      <c r="F1058" s="22">
        <f t="shared" si="8"/>
        <v>215.7274337</v>
      </c>
      <c r="G1058" s="22">
        <f t="shared" si="31"/>
        <v>37.87294488</v>
      </c>
      <c r="H1058" s="22">
        <f t="shared" si="32"/>
        <v>22.743035</v>
      </c>
      <c r="I1058" s="22">
        <f t="shared" si="3"/>
        <v>0.8898380495</v>
      </c>
      <c r="J1058" s="22">
        <f t="shared" si="33"/>
        <v>0.238120662</v>
      </c>
    </row>
    <row r="1059" ht="15.75" customHeight="1">
      <c r="A1059" s="25">
        <f>IFERROR(__xludf.DUMMYFUNCTION("""COMPUTED_VALUE"""),43560.66666666667)</f>
        <v>43560.66667</v>
      </c>
      <c r="B1059" s="22">
        <f>IFERROR(__xludf.DUMMYFUNCTION("""COMPUTED_VALUE"""),2892.74)</f>
        <v>2892.74</v>
      </c>
      <c r="C1059" s="22">
        <f t="shared" si="6"/>
        <v>2893.996719</v>
      </c>
      <c r="D1059" s="25">
        <f>IFERROR(__xludf.DUMMYFUNCTION("""COMPUTED_VALUE"""),43540.99861111111)</f>
        <v>43540.99861</v>
      </c>
      <c r="E1059" s="22">
        <f>IFERROR(__xludf.DUMMYFUNCTION("""COMPUTED_VALUE"""),1.1342)</f>
        <v>1.1342</v>
      </c>
      <c r="F1059" s="22">
        <f t="shared" si="8"/>
        <v>222.2044028</v>
      </c>
      <c r="G1059" s="22">
        <f t="shared" si="31"/>
        <v>42.1852637</v>
      </c>
      <c r="H1059" s="22">
        <f t="shared" si="32"/>
        <v>30.96750665</v>
      </c>
      <c r="I1059" s="22">
        <f t="shared" si="3"/>
        <v>0.8816787163</v>
      </c>
      <c r="J1059" s="22">
        <f t="shared" si="33"/>
        <v>0.2164521248</v>
      </c>
    </row>
    <row r="1060" ht="15.75" customHeight="1">
      <c r="A1060" s="25">
        <f>IFERROR(__xludf.DUMMYFUNCTION("""COMPUTED_VALUE"""),43567.66666666667)</f>
        <v>43567.66667</v>
      </c>
      <c r="B1060" s="22">
        <f>IFERROR(__xludf.DUMMYFUNCTION("""COMPUTED_VALUE"""),2907.41)</f>
        <v>2907.41</v>
      </c>
      <c r="C1060" s="22">
        <f t="shared" si="6"/>
        <v>2908.692586</v>
      </c>
      <c r="D1060" s="25">
        <f>IFERROR(__xludf.DUMMYFUNCTION("""COMPUTED_VALUE"""),43547.99861111111)</f>
        <v>43547.99861</v>
      </c>
      <c r="E1060" s="22">
        <f>IFERROR(__xludf.DUMMYFUNCTION("""COMPUTED_VALUE"""),1.1313)</f>
        <v>1.1313</v>
      </c>
      <c r="F1060" s="22">
        <f t="shared" si="8"/>
        <v>222.7617359</v>
      </c>
      <c r="G1060" s="22">
        <f t="shared" si="31"/>
        <v>41.65170403</v>
      </c>
      <c r="H1060" s="22">
        <f t="shared" si="32"/>
        <v>28.25620966</v>
      </c>
      <c r="I1060" s="22">
        <f t="shared" si="3"/>
        <v>0.8839388314</v>
      </c>
      <c r="J1060" s="22">
        <f t="shared" si="33"/>
        <v>0.215592681</v>
      </c>
    </row>
    <row r="1061" ht="15.75" customHeight="1">
      <c r="A1061" s="25">
        <f>IFERROR(__xludf.DUMMYFUNCTION("""COMPUTED_VALUE"""),43573.66666666667)</f>
        <v>43573.66667</v>
      </c>
      <c r="B1061" s="22">
        <f>IFERROR(__xludf.DUMMYFUNCTION("""COMPUTED_VALUE"""),2905.03)</f>
        <v>2905.03</v>
      </c>
      <c r="C1061" s="22">
        <f t="shared" si="6"/>
        <v>2906.319091</v>
      </c>
      <c r="D1061" s="25">
        <f>IFERROR(__xludf.DUMMYFUNCTION("""COMPUTED_VALUE"""),43554.99861111111)</f>
        <v>43554.99861</v>
      </c>
      <c r="E1061" s="22">
        <f>IFERROR(__xludf.DUMMYFUNCTION("""COMPUTED_VALUE"""),1.123)</f>
        <v>1.123</v>
      </c>
      <c r="F1061" s="22">
        <f t="shared" si="8"/>
        <v>220.9469614</v>
      </c>
      <c r="G1061" s="22">
        <f t="shared" si="31"/>
        <v>36.91931005</v>
      </c>
      <c r="H1061" s="22">
        <f t="shared" si="32"/>
        <v>27.74539538</v>
      </c>
      <c r="I1061" s="22">
        <f t="shared" si="3"/>
        <v>0.8904719501</v>
      </c>
      <c r="J1061" s="22">
        <f t="shared" si="33"/>
        <v>0.2203918077</v>
      </c>
    </row>
    <row r="1062" ht="15.75" customHeight="1">
      <c r="A1062" s="25">
        <f>IFERROR(__xludf.DUMMYFUNCTION("""COMPUTED_VALUE"""),43581.66666666667)</f>
        <v>43581.66667</v>
      </c>
      <c r="B1062" s="22">
        <f>IFERROR(__xludf.DUMMYFUNCTION("""COMPUTED_VALUE"""),2939.88)</f>
        <v>2939.88</v>
      </c>
      <c r="C1062" s="22">
        <f t="shared" si="6"/>
        <v>2941.168035</v>
      </c>
      <c r="D1062" s="25">
        <f>IFERROR(__xludf.DUMMYFUNCTION("""COMPUTED_VALUE"""),43561.99861111111)</f>
        <v>43561.99861</v>
      </c>
      <c r="E1062" s="22">
        <f>IFERROR(__xludf.DUMMYFUNCTION("""COMPUTED_VALUE"""),1.123)</f>
        <v>1.123</v>
      </c>
      <c r="F1062" s="22">
        <f t="shared" si="8"/>
        <v>223.5962812</v>
      </c>
      <c r="G1062" s="22">
        <f t="shared" si="31"/>
        <v>40.28614376</v>
      </c>
      <c r="H1062" s="22">
        <f t="shared" si="32"/>
        <v>26.40759548</v>
      </c>
      <c r="I1062" s="22">
        <f t="shared" si="3"/>
        <v>0.8904719501</v>
      </c>
      <c r="J1062" s="22">
        <f t="shared" si="33"/>
        <v>0.2363312556</v>
      </c>
    </row>
    <row r="1063" ht="15.75" customHeight="1">
      <c r="A1063" s="25">
        <f>IFERROR(__xludf.DUMMYFUNCTION("""COMPUTED_VALUE"""),43588.66666666667)</f>
        <v>43588.66667</v>
      </c>
      <c r="B1063" s="22">
        <f>IFERROR(__xludf.DUMMYFUNCTION("""COMPUTED_VALUE"""),2945.64)</f>
        <v>2945.64</v>
      </c>
      <c r="C1063" s="22">
        <f t="shared" si="6"/>
        <v>2946.943487</v>
      </c>
      <c r="D1063" s="25">
        <f>IFERROR(__xludf.DUMMYFUNCTION("""COMPUTED_VALUE"""),43568.99861111111)</f>
        <v>43568.99861</v>
      </c>
      <c r="E1063" s="22">
        <f>IFERROR(__xludf.DUMMYFUNCTION("""COMPUTED_VALUE"""),1.1318)</f>
        <v>1.1318</v>
      </c>
      <c r="F1063" s="22">
        <f t="shared" si="8"/>
        <v>225.7909234</v>
      </c>
      <c r="G1063" s="22">
        <f t="shared" si="31"/>
        <v>43.62847069</v>
      </c>
      <c r="H1063" s="22">
        <f t="shared" si="32"/>
        <v>28.47619981</v>
      </c>
      <c r="I1063" s="22">
        <f t="shared" si="3"/>
        <v>0.8835483301</v>
      </c>
      <c r="J1063" s="22">
        <f t="shared" si="33"/>
        <v>0.2205336632</v>
      </c>
    </row>
    <row r="1064" ht="15.75" customHeight="1">
      <c r="A1064" s="25">
        <f>IFERROR(__xludf.DUMMYFUNCTION("""COMPUTED_VALUE"""),43595.66666666667)</f>
        <v>43595.66667</v>
      </c>
      <c r="B1064" s="22">
        <f>IFERROR(__xludf.DUMMYFUNCTION("""COMPUTED_VALUE"""),2881.4)</f>
        <v>2881.4</v>
      </c>
      <c r="C1064" s="22">
        <f t="shared" si="6"/>
        <v>2882.706041</v>
      </c>
      <c r="D1064" s="25">
        <f>IFERROR(__xludf.DUMMYFUNCTION("""COMPUTED_VALUE"""),43575.99861111111)</f>
        <v>43575.99861</v>
      </c>
      <c r="E1064" s="22">
        <f>IFERROR(__xludf.DUMMYFUNCTION("""COMPUTED_VALUE"""),1.1244)</f>
        <v>1.1244</v>
      </c>
      <c r="F1064" s="22">
        <f t="shared" si="8"/>
        <v>219.4250357</v>
      </c>
      <c r="G1064" s="22">
        <f t="shared" si="31"/>
        <v>41.07856561</v>
      </c>
      <c r="H1064" s="22">
        <f t="shared" si="32"/>
        <v>24.72371212</v>
      </c>
      <c r="I1064" s="22">
        <f t="shared" si="3"/>
        <v>0.8893632159</v>
      </c>
      <c r="J1064" s="22">
        <f t="shared" si="33"/>
        <v>0.2302561366</v>
      </c>
    </row>
    <row r="1065" ht="15.75" customHeight="1">
      <c r="A1065" s="25">
        <f>IFERROR(__xludf.DUMMYFUNCTION("""COMPUTED_VALUE"""),43602.66666666667)</f>
        <v>43602.66667</v>
      </c>
      <c r="B1065" s="22">
        <f>IFERROR(__xludf.DUMMYFUNCTION("""COMPUTED_VALUE"""),2859.53)</f>
        <v>2859.53</v>
      </c>
      <c r="C1065" s="22">
        <f t="shared" si="6"/>
        <v>2860.807558</v>
      </c>
      <c r="D1065" s="25">
        <f>IFERROR(__xludf.DUMMYFUNCTION("""COMPUTED_VALUE"""),43582.99861111111)</f>
        <v>43582.99861</v>
      </c>
      <c r="E1065" s="22">
        <f>IFERROR(__xludf.DUMMYFUNCTION("""COMPUTED_VALUE"""),1.1138)</f>
        <v>1.1138</v>
      </c>
      <c r="F1065" s="22">
        <f t="shared" si="8"/>
        <v>215.7053121</v>
      </c>
      <c r="G1065" s="22">
        <f t="shared" si="31"/>
        <v>35.57109945</v>
      </c>
      <c r="H1065" s="22">
        <f t="shared" si="32"/>
        <v>20.82434466</v>
      </c>
      <c r="I1065" s="22">
        <f t="shared" si="3"/>
        <v>0.897827258</v>
      </c>
      <c r="J1065" s="22">
        <f t="shared" si="33"/>
        <v>0.2452864069</v>
      </c>
    </row>
    <row r="1066" ht="15.75" customHeight="1">
      <c r="A1066" s="25">
        <f>IFERROR(__xludf.DUMMYFUNCTION("""COMPUTED_VALUE"""),43609.66666666667)</f>
        <v>43609.66667</v>
      </c>
      <c r="B1066" s="22">
        <f>IFERROR(__xludf.DUMMYFUNCTION("""COMPUTED_VALUE"""),2826.06)</f>
        <v>2826.06</v>
      </c>
      <c r="C1066" s="22">
        <f t="shared" si="6"/>
        <v>2827.327861</v>
      </c>
      <c r="D1066" s="25">
        <f>IFERROR(__xludf.DUMMYFUNCTION("""COMPUTED_VALUE"""),43589.99861111111)</f>
        <v>43589.99861</v>
      </c>
      <c r="E1066" s="22">
        <f>IFERROR(__xludf.DUMMYFUNCTION("""COMPUTED_VALUE"""),1.121)</f>
        <v>1.121</v>
      </c>
      <c r="F1066" s="22">
        <f t="shared" si="8"/>
        <v>214.5590156</v>
      </c>
      <c r="G1066" s="22">
        <f t="shared" si="31"/>
        <v>32.3566512</v>
      </c>
      <c r="H1066" s="22">
        <f t="shared" si="32"/>
        <v>19.70070541</v>
      </c>
      <c r="I1066" s="22">
        <f t="shared" si="3"/>
        <v>0.8920606601</v>
      </c>
      <c r="J1066" s="22">
        <f t="shared" si="33"/>
        <v>0.2273862623</v>
      </c>
    </row>
    <row r="1067" ht="15.75" customHeight="1">
      <c r="A1067" s="25">
        <f>IFERROR(__xludf.DUMMYFUNCTION("""COMPUTED_VALUE"""),43616.66666666667)</f>
        <v>43616.66667</v>
      </c>
      <c r="B1067" s="22">
        <f>IFERROR(__xludf.DUMMYFUNCTION("""COMPUTED_VALUE"""),2752.06)</f>
        <v>2752.06</v>
      </c>
      <c r="C1067" s="22">
        <f t="shared" si="6"/>
        <v>2753.313022</v>
      </c>
      <c r="D1067" s="25">
        <f>IFERROR(__xludf.DUMMYFUNCTION("""COMPUTED_VALUE"""),43596.99861111111)</f>
        <v>43596.99861</v>
      </c>
      <c r="E1067" s="22">
        <f>IFERROR(__xludf.DUMMYFUNCTION("""COMPUTED_VALUE"""),1.123)</f>
        <v>1.123</v>
      </c>
      <c r="F1067" s="22">
        <f t="shared" si="8"/>
        <v>209.3149882</v>
      </c>
      <c r="G1067" s="22">
        <f t="shared" si="31"/>
        <v>30.2238942</v>
      </c>
      <c r="H1067" s="22">
        <f t="shared" si="32"/>
        <v>15.77244024</v>
      </c>
      <c r="I1067" s="22">
        <f t="shared" si="3"/>
        <v>0.8904719501</v>
      </c>
      <c r="J1067" s="22">
        <f t="shared" si="33"/>
        <v>0.2194122885</v>
      </c>
    </row>
    <row r="1068" ht="15.75" customHeight="1">
      <c r="A1068" s="25">
        <f>IFERROR(__xludf.DUMMYFUNCTION("""COMPUTED_VALUE"""),43623.66666666667)</f>
        <v>43623.66667</v>
      </c>
      <c r="B1068" s="22">
        <f>IFERROR(__xludf.DUMMYFUNCTION("""COMPUTED_VALUE"""),2873.34)</f>
        <v>2873.34</v>
      </c>
      <c r="C1068" s="22">
        <f t="shared" si="6"/>
        <v>2874.560211</v>
      </c>
      <c r="D1068" s="25">
        <f>IFERROR(__xludf.DUMMYFUNCTION("""COMPUTED_VALUE"""),43603.99861111111)</f>
        <v>43603.99861</v>
      </c>
      <c r="E1068" s="22">
        <f>IFERROR(__xludf.DUMMYFUNCTION("""COMPUTED_VALUE"""),1.1165)</f>
        <v>1.1165</v>
      </c>
      <c r="F1068" s="22">
        <f t="shared" si="8"/>
        <v>217.2676764</v>
      </c>
      <c r="G1068" s="22">
        <f t="shared" si="31"/>
        <v>36.38333136</v>
      </c>
      <c r="H1068" s="22">
        <f t="shared" si="32"/>
        <v>21.59806771</v>
      </c>
      <c r="I1068" s="22">
        <f t="shared" si="3"/>
        <v>0.8956560681</v>
      </c>
      <c r="J1068" s="22">
        <f t="shared" si="33"/>
        <v>0.2204209584</v>
      </c>
    </row>
    <row r="1069" ht="15.75" customHeight="1">
      <c r="A1069" s="25">
        <f>IFERROR(__xludf.DUMMYFUNCTION("""COMPUTED_VALUE"""),43630.66666666667)</f>
        <v>43630.66667</v>
      </c>
      <c r="B1069" s="22">
        <f>IFERROR(__xludf.DUMMYFUNCTION("""COMPUTED_VALUE"""),2886.98)</f>
        <v>2886.98</v>
      </c>
      <c r="C1069" s="22">
        <f t="shared" si="6"/>
        <v>2888.253985</v>
      </c>
      <c r="D1069" s="25">
        <f>IFERROR(__xludf.DUMMYFUNCTION("""COMPUTED_VALUE"""),43610.99861111111)</f>
        <v>43610.99861</v>
      </c>
      <c r="E1069" s="22">
        <f>IFERROR(__xludf.DUMMYFUNCTION("""COMPUTED_VALUE"""),1.1202)</f>
        <v>1.1202</v>
      </c>
      <c r="F1069" s="22">
        <f t="shared" si="8"/>
        <v>219.0261312</v>
      </c>
      <c r="G1069" s="22">
        <f t="shared" si="31"/>
        <v>40.52475528</v>
      </c>
      <c r="H1069" s="22">
        <f t="shared" si="32"/>
        <v>20.87977976</v>
      </c>
      <c r="I1069" s="22">
        <f t="shared" si="3"/>
        <v>0.8926977325</v>
      </c>
      <c r="J1069" s="22">
        <f t="shared" si="33"/>
        <v>0.2167470095</v>
      </c>
    </row>
    <row r="1070" ht="15.75" customHeight="1">
      <c r="A1070" s="25">
        <f>IFERROR(__xludf.DUMMYFUNCTION("""COMPUTED_VALUE"""),43637.66666666667)</f>
        <v>43637.66667</v>
      </c>
      <c r="B1070" s="22">
        <f>IFERROR(__xludf.DUMMYFUNCTION("""COMPUTED_VALUE"""),2950.46)</f>
        <v>2950.46</v>
      </c>
      <c r="C1070" s="22">
        <f t="shared" si="6"/>
        <v>2951.740032</v>
      </c>
      <c r="D1070" s="25">
        <f>IFERROR(__xludf.DUMMYFUNCTION("""COMPUTED_VALUE"""),43617.99861111111)</f>
        <v>43617.99861</v>
      </c>
      <c r="E1070" s="22">
        <f>IFERROR(__xludf.DUMMYFUNCTION("""COMPUTED_VALUE"""),1.1196)</f>
        <v>1.1196</v>
      </c>
      <c r="F1070" s="22">
        <f t="shared" si="8"/>
        <v>223.7206011</v>
      </c>
      <c r="G1070" s="22">
        <f t="shared" si="31"/>
        <v>42.65340008</v>
      </c>
      <c r="H1070" s="22">
        <f t="shared" si="32"/>
        <v>23.49044298</v>
      </c>
      <c r="I1070" s="22">
        <f t="shared" si="3"/>
        <v>0.8931761343</v>
      </c>
      <c r="J1070" s="22">
        <f t="shared" si="33"/>
        <v>0.2183815648</v>
      </c>
    </row>
    <row r="1071" ht="15.75" customHeight="1">
      <c r="A1071" s="25">
        <f>IFERROR(__xludf.DUMMYFUNCTION("""COMPUTED_VALUE"""),43644.66666666667)</f>
        <v>43644.66667</v>
      </c>
      <c r="B1071" s="22">
        <f>IFERROR(__xludf.DUMMYFUNCTION("""COMPUTED_VALUE"""),2941.76)</f>
        <v>2941.76</v>
      </c>
      <c r="C1071" s="22">
        <f t="shared" si="6"/>
        <v>2943.068178</v>
      </c>
      <c r="D1071" s="25">
        <f>IFERROR(__xludf.DUMMYFUNCTION("""COMPUTED_VALUE"""),43624.99861111111)</f>
        <v>43624.99861</v>
      </c>
      <c r="E1071" s="22">
        <f>IFERROR(__xludf.DUMMYFUNCTION("""COMPUTED_VALUE"""),1.1339)</f>
        <v>1.1339</v>
      </c>
      <c r="F1071" s="22">
        <f t="shared" si="8"/>
        <v>225.9123955</v>
      </c>
      <c r="G1071" s="22">
        <f t="shared" si="31"/>
        <v>40.98105944</v>
      </c>
      <c r="H1071" s="22">
        <f t="shared" si="32"/>
        <v>24.09137038</v>
      </c>
      <c r="I1071" s="22">
        <f t="shared" si="3"/>
        <v>0.8819119852</v>
      </c>
      <c r="J1071" s="22">
        <f t="shared" si="33"/>
        <v>0.1940206367</v>
      </c>
    </row>
    <row r="1072" ht="15.75" customHeight="1">
      <c r="A1072" s="25">
        <f>IFERROR(__xludf.DUMMYFUNCTION("""COMPUTED_VALUE"""),43651.66666666667)</f>
        <v>43651.66667</v>
      </c>
      <c r="B1072" s="22">
        <f>IFERROR(__xludf.DUMMYFUNCTION("""COMPUTED_VALUE"""),2990.41)</f>
        <v>2990.41</v>
      </c>
      <c r="C1072" s="22">
        <f t="shared" si="6"/>
        <v>2991.714321</v>
      </c>
      <c r="D1072" s="25">
        <f>IFERROR(__xludf.DUMMYFUNCTION("""COMPUTED_VALUE"""),43631.99861111111)</f>
        <v>43631.99861</v>
      </c>
      <c r="E1072" s="22">
        <f>IFERROR(__xludf.DUMMYFUNCTION("""COMPUTED_VALUE"""),1.1234)</f>
        <v>1.1234</v>
      </c>
      <c r="F1072" s="22">
        <f t="shared" si="8"/>
        <v>227.5199703</v>
      </c>
      <c r="G1072" s="22">
        <f t="shared" si="31"/>
        <v>39.90802467</v>
      </c>
      <c r="H1072" s="22">
        <f t="shared" si="32"/>
        <v>25.54261656</v>
      </c>
      <c r="I1072" s="22">
        <f t="shared" si="3"/>
        <v>0.890154887</v>
      </c>
      <c r="J1072" s="22">
        <f t="shared" si="33"/>
        <v>0.2106106463</v>
      </c>
    </row>
    <row r="1073" ht="15.75" customHeight="1">
      <c r="A1073" s="25">
        <f>IFERROR(__xludf.DUMMYFUNCTION("""COMPUTED_VALUE"""),43658.66666666667)</f>
        <v>43658.66667</v>
      </c>
      <c r="B1073" s="22">
        <f>IFERROR(__xludf.DUMMYFUNCTION("""COMPUTED_VALUE"""),3013.77)</f>
        <v>3013.77</v>
      </c>
      <c r="C1073" s="22">
        <f t="shared" si="6"/>
        <v>3015.095891</v>
      </c>
      <c r="D1073" s="25">
        <f>IFERROR(__xludf.DUMMYFUNCTION("""COMPUTED_VALUE"""),43638.99861111111)</f>
        <v>43638.99861</v>
      </c>
      <c r="E1073" s="22">
        <f>IFERROR(__xludf.DUMMYFUNCTION("""COMPUTED_VALUE"""),1.1393)</f>
        <v>1.1393</v>
      </c>
      <c r="F1073" s="22">
        <f t="shared" si="8"/>
        <v>232.5435021</v>
      </c>
      <c r="G1073" s="22">
        <f t="shared" si="31"/>
        <v>41.99441808</v>
      </c>
      <c r="H1073" s="22">
        <f t="shared" si="32"/>
        <v>27.20366337</v>
      </c>
      <c r="I1073" s="22">
        <f t="shared" si="3"/>
        <v>0.8777319407</v>
      </c>
      <c r="J1073" s="22">
        <f t="shared" si="33"/>
        <v>0.197665233</v>
      </c>
    </row>
    <row r="1074" ht="15.75" customHeight="1">
      <c r="A1074" s="25">
        <f>IFERROR(__xludf.DUMMYFUNCTION("""COMPUTED_VALUE"""),43665.66666666667)</f>
        <v>43665.66667</v>
      </c>
      <c r="B1074" s="22">
        <f>IFERROR(__xludf.DUMMYFUNCTION("""COMPUTED_VALUE"""),2976.61)</f>
        <v>2976.61</v>
      </c>
      <c r="C1074" s="22">
        <f t="shared" si="6"/>
        <v>2977.946249</v>
      </c>
      <c r="D1074" s="25">
        <f>IFERROR(__xludf.DUMMYFUNCTION("""COMPUTED_VALUE"""),43645.99861111111)</f>
        <v>43645.99861</v>
      </c>
      <c r="E1074" s="22">
        <f>IFERROR(__xludf.DUMMYFUNCTION("""COMPUTED_VALUE"""),1.1387)</f>
        <v>1.1387</v>
      </c>
      <c r="F1074" s="22">
        <f t="shared" si="8"/>
        <v>229.5573262</v>
      </c>
      <c r="G1074" s="22">
        <f t="shared" si="31"/>
        <v>39.91061752</v>
      </c>
      <c r="H1074" s="22">
        <f t="shared" si="32"/>
        <v>26.01480845</v>
      </c>
      <c r="I1074" s="22">
        <f t="shared" si="3"/>
        <v>0.8781944322</v>
      </c>
      <c r="J1074" s="22">
        <f t="shared" si="33"/>
        <v>0.1939931501</v>
      </c>
    </row>
    <row r="1075" ht="15.75" customHeight="1">
      <c r="A1075" s="25">
        <f>IFERROR(__xludf.DUMMYFUNCTION("""COMPUTED_VALUE"""),43672.66666666667)</f>
        <v>43672.66667</v>
      </c>
      <c r="B1075" s="22">
        <f>IFERROR(__xludf.DUMMYFUNCTION("""COMPUTED_VALUE"""),3025.86)</f>
        <v>3025.86</v>
      </c>
      <c r="C1075" s="22">
        <f t="shared" si="6"/>
        <v>3027.179773</v>
      </c>
      <c r="D1075" s="25">
        <f>IFERROR(__xludf.DUMMYFUNCTION("""COMPUTED_VALUE"""),43652.99861111111)</f>
        <v>43652.99861</v>
      </c>
      <c r="E1075" s="22">
        <f>IFERROR(__xludf.DUMMYFUNCTION("""COMPUTED_VALUE"""),1.123)</f>
        <v>1.123</v>
      </c>
      <c r="F1075" s="22">
        <f t="shared" si="8"/>
        <v>230.1351475</v>
      </c>
      <c r="G1075" s="22">
        <f t="shared" si="31"/>
        <v>41.47877289</v>
      </c>
      <c r="H1075" s="22">
        <f t="shared" si="32"/>
        <v>29.70635701</v>
      </c>
      <c r="I1075" s="22">
        <f t="shared" si="3"/>
        <v>0.8904719501</v>
      </c>
      <c r="J1075" s="22">
        <f t="shared" si="33"/>
        <v>0.2117542297</v>
      </c>
    </row>
    <row r="1076" ht="15.75" customHeight="1">
      <c r="A1076" s="25">
        <f>IFERROR(__xludf.DUMMYFUNCTION("""COMPUTED_VALUE"""),43679.66666666667)</f>
        <v>43679.66667</v>
      </c>
      <c r="B1076" s="22">
        <f>IFERROR(__xludf.DUMMYFUNCTION("""COMPUTED_VALUE"""),2932.05)</f>
        <v>2932.05</v>
      </c>
      <c r="C1076" s="22">
        <f t="shared" si="6"/>
        <v>2933.391609</v>
      </c>
      <c r="D1076" s="25">
        <f>IFERROR(__xludf.DUMMYFUNCTION("""COMPUTED_VALUE"""),43659.99861111111)</f>
        <v>43659.99861</v>
      </c>
      <c r="E1076" s="22">
        <f>IFERROR(__xludf.DUMMYFUNCTION("""COMPUTED_VALUE"""),1.1285)</f>
        <v>1.1285</v>
      </c>
      <c r="F1076" s="22">
        <f t="shared" si="8"/>
        <v>224.0972831</v>
      </c>
      <c r="G1076" s="22">
        <f t="shared" si="31"/>
        <v>37.52691205</v>
      </c>
      <c r="H1076" s="22">
        <f t="shared" si="32"/>
        <v>26.67524088</v>
      </c>
      <c r="I1076" s="22">
        <f t="shared" si="3"/>
        <v>0.8861320337</v>
      </c>
      <c r="J1076" s="22">
        <f t="shared" si="33"/>
        <v>0.1983163491</v>
      </c>
    </row>
    <row r="1077" ht="15.75" customHeight="1">
      <c r="A1077" s="25">
        <f>IFERROR(__xludf.DUMMYFUNCTION("""COMPUTED_VALUE"""),43686.66666666667)</f>
        <v>43686.66667</v>
      </c>
      <c r="B1077" s="22">
        <f>IFERROR(__xludf.DUMMYFUNCTION("""COMPUTED_VALUE"""),2918.65)</f>
        <v>2918.65</v>
      </c>
      <c r="C1077" s="22">
        <f t="shared" si="6"/>
        <v>2919.950015</v>
      </c>
      <c r="D1077" s="25">
        <f>IFERROR(__xludf.DUMMYFUNCTION("""COMPUTED_VALUE"""),43666.99861111111)</f>
        <v>43666.99861</v>
      </c>
      <c r="E1077" s="22">
        <f>IFERROR(__xludf.DUMMYFUNCTION("""COMPUTED_VALUE"""),1.1226)</f>
        <v>1.1226</v>
      </c>
      <c r="F1077" s="22">
        <f t="shared" si="8"/>
        <v>221.9041567</v>
      </c>
      <c r="G1077" s="22">
        <f t="shared" si="31"/>
        <v>36.68882935</v>
      </c>
      <c r="H1077" s="22">
        <f t="shared" si="32"/>
        <v>24.78838019</v>
      </c>
      <c r="I1077" s="22">
        <f t="shared" si="3"/>
        <v>0.8907892393</v>
      </c>
      <c r="J1077" s="22">
        <f t="shared" si="33"/>
        <v>0.1963299483</v>
      </c>
    </row>
    <row r="1078" ht="15.75" customHeight="1">
      <c r="A1078" s="25">
        <f>IFERROR(__xludf.DUMMYFUNCTION("""COMPUTED_VALUE"""),43693.66666666667)</f>
        <v>43693.66667</v>
      </c>
      <c r="B1078" s="22">
        <f>IFERROR(__xludf.DUMMYFUNCTION("""COMPUTED_VALUE"""),2888.68)</f>
        <v>2888.68</v>
      </c>
      <c r="C1078" s="22">
        <f t="shared" si="6"/>
        <v>2889.974074</v>
      </c>
      <c r="D1078" s="25">
        <f>IFERROR(__xludf.DUMMYFUNCTION("""COMPUTED_VALUE"""),43673.99861111111)</f>
        <v>43673.99861</v>
      </c>
      <c r="E1078" s="22">
        <f>IFERROR(__xludf.DUMMYFUNCTION("""COMPUTED_VALUE"""),1.1145)</f>
        <v>1.1145</v>
      </c>
      <c r="F1078" s="22">
        <f t="shared" si="8"/>
        <v>218.0414201</v>
      </c>
      <c r="G1078" s="22">
        <f t="shared" si="31"/>
        <v>31.95200824</v>
      </c>
      <c r="H1078" s="22">
        <f t="shared" si="32"/>
        <v>20.56047888</v>
      </c>
      <c r="I1078" s="22">
        <f t="shared" si="3"/>
        <v>0.8972633468</v>
      </c>
      <c r="J1078" s="22">
        <f t="shared" si="33"/>
        <v>0.2050246747</v>
      </c>
    </row>
    <row r="1079" ht="15.75" customHeight="1">
      <c r="A1079" s="25">
        <f>IFERROR(__xludf.DUMMYFUNCTION("""COMPUTED_VALUE"""),43700.66666666667)</f>
        <v>43700.66667</v>
      </c>
      <c r="B1079" s="22">
        <f>IFERROR(__xludf.DUMMYFUNCTION("""COMPUTED_VALUE"""),2847.11)</f>
        <v>2847.11</v>
      </c>
      <c r="C1079" s="22">
        <f t="shared" si="6"/>
        <v>2848.390786</v>
      </c>
      <c r="D1079" s="25">
        <f>IFERROR(__xludf.DUMMYFUNCTION("""COMPUTED_VALUE"""),43680.99861111111)</f>
        <v>43680.99861</v>
      </c>
      <c r="E1079" s="22">
        <f>IFERROR(__xludf.DUMMYFUNCTION("""COMPUTED_VALUE"""),1.1127)</f>
        <v>1.1127</v>
      </c>
      <c r="F1079" s="22">
        <f t="shared" si="8"/>
        <v>214.5569776</v>
      </c>
      <c r="G1079" s="22">
        <f t="shared" si="31"/>
        <v>31.74125814</v>
      </c>
      <c r="H1079" s="22">
        <f t="shared" si="32"/>
        <v>17.93128384</v>
      </c>
      <c r="I1079" s="22">
        <f t="shared" si="3"/>
        <v>0.8987148378</v>
      </c>
      <c r="J1079" s="22">
        <f t="shared" si="33"/>
        <v>0.205086726</v>
      </c>
    </row>
    <row r="1080" ht="15.75" customHeight="1">
      <c r="A1080" s="25">
        <f>IFERROR(__xludf.DUMMYFUNCTION("""COMPUTED_VALUE"""),43707.66666666667)</f>
        <v>43707.66667</v>
      </c>
      <c r="B1080" s="22">
        <f>IFERROR(__xludf.DUMMYFUNCTION("""COMPUTED_VALUE"""),2926.46)</f>
        <v>2926.46</v>
      </c>
      <c r="C1080" s="22">
        <f t="shared" si="6"/>
        <v>2927.722355</v>
      </c>
      <c r="D1080" s="25">
        <f>IFERROR(__xludf.DUMMYFUNCTION("""COMPUTED_VALUE"""),43687.99861111111)</f>
        <v>43687.99861</v>
      </c>
      <c r="E1080" s="22">
        <f>IFERROR(__xludf.DUMMYFUNCTION("""COMPUTED_VALUE"""),1.1309)</f>
        <v>1.1309</v>
      </c>
      <c r="F1080" s="22">
        <f t="shared" si="8"/>
        <v>224.1398492</v>
      </c>
      <c r="G1080" s="22">
        <f t="shared" si="31"/>
        <v>35.9981498</v>
      </c>
      <c r="H1080" s="22">
        <f t="shared" si="32"/>
        <v>23.07417393</v>
      </c>
      <c r="I1080" s="22">
        <f t="shared" si="3"/>
        <v>0.8842514811</v>
      </c>
      <c r="J1080" s="22">
        <f t="shared" si="33"/>
        <v>0.1843222212</v>
      </c>
    </row>
    <row r="1081" ht="15.75" customHeight="1">
      <c r="A1081" s="25">
        <f>IFERROR(__xludf.DUMMYFUNCTION("""COMPUTED_VALUE"""),43714.66666666667)</f>
        <v>43714.66667</v>
      </c>
      <c r="B1081" s="22">
        <f>IFERROR(__xludf.DUMMYFUNCTION("""COMPUTED_VALUE"""),2978.71)</f>
        <v>2978.71</v>
      </c>
      <c r="C1081" s="22">
        <f t="shared" si="6"/>
        <v>2980.007537</v>
      </c>
      <c r="D1081" s="25">
        <f>IFERROR(__xludf.DUMMYFUNCTION("""COMPUTED_VALUE"""),43694.99861111111)</f>
        <v>43694.99861</v>
      </c>
      <c r="E1081" s="22">
        <f>IFERROR(__xludf.DUMMYFUNCTION("""COMPUTED_VALUE"""),1.1093)</f>
        <v>1.1093</v>
      </c>
      <c r="F1081" s="22">
        <f t="shared" si="8"/>
        <v>223.7851983</v>
      </c>
      <c r="G1081" s="22">
        <f t="shared" si="31"/>
        <v>37.14820583</v>
      </c>
      <c r="H1081" s="22">
        <f t="shared" si="32"/>
        <v>25.64381302</v>
      </c>
      <c r="I1081" s="22">
        <f t="shared" si="3"/>
        <v>0.9014693951</v>
      </c>
      <c r="J1081" s="22">
        <f t="shared" si="33"/>
        <v>0.1939962138</v>
      </c>
    </row>
    <row r="1082" ht="15.75" customHeight="1">
      <c r="A1082" s="25">
        <f>IFERROR(__xludf.DUMMYFUNCTION("""COMPUTED_VALUE"""),43721.66666666667)</f>
        <v>43721.66667</v>
      </c>
      <c r="B1082" s="22">
        <f>IFERROR(__xludf.DUMMYFUNCTION("""COMPUTED_VALUE"""),3007.39)</f>
        <v>3007.39</v>
      </c>
      <c r="C1082" s="22">
        <f t="shared" si="6"/>
        <v>3008.710704</v>
      </c>
      <c r="D1082" s="25">
        <f>IFERROR(__xludf.DUMMYFUNCTION("""COMPUTED_VALUE"""),43701.99861111111)</f>
        <v>43701.99861</v>
      </c>
      <c r="E1082" s="22">
        <f>IFERROR(__xludf.DUMMYFUNCTION("""COMPUTED_VALUE"""),1.1233)</f>
        <v>1.1233</v>
      </c>
      <c r="F1082" s="22">
        <f t="shared" si="8"/>
        <v>228.7921779</v>
      </c>
      <c r="G1082" s="22">
        <f t="shared" si="31"/>
        <v>41.06814874</v>
      </c>
      <c r="H1082" s="22">
        <f t="shared" si="32"/>
        <v>27.92058575</v>
      </c>
      <c r="I1082" s="22">
        <f t="shared" si="3"/>
        <v>0.8902341316</v>
      </c>
      <c r="J1082" s="22">
        <f t="shared" si="33"/>
        <v>0.1694115552</v>
      </c>
    </row>
    <row r="1083" ht="15.75" customHeight="1">
      <c r="A1083" s="25">
        <f>IFERROR(__xludf.DUMMYFUNCTION("""COMPUTED_VALUE"""),43728.66666666667)</f>
        <v>43728.66667</v>
      </c>
      <c r="B1083" s="22">
        <f>IFERROR(__xludf.DUMMYFUNCTION("""COMPUTED_VALUE"""),2992.07)</f>
        <v>2992.07</v>
      </c>
      <c r="C1083" s="22">
        <f t="shared" si="6"/>
        <v>2993.40342</v>
      </c>
      <c r="D1083" s="25">
        <f>IFERROR(__xludf.DUMMYFUNCTION("""COMPUTED_VALUE"""),43708.99861111111)</f>
        <v>43708.99861</v>
      </c>
      <c r="E1083" s="22">
        <f>IFERROR(__xludf.DUMMYFUNCTION("""COMPUTED_VALUE"""),1.1009)</f>
        <v>1.1009</v>
      </c>
      <c r="F1083" s="22">
        <f t="shared" si="8"/>
        <v>223.0889732</v>
      </c>
      <c r="G1083" s="22">
        <f t="shared" si="31"/>
        <v>36.43803746</v>
      </c>
      <c r="H1083" s="22">
        <f t="shared" si="32"/>
        <v>28.28971496</v>
      </c>
      <c r="I1083" s="22">
        <f t="shared" si="3"/>
        <v>0.9083477155</v>
      </c>
      <c r="J1083" s="22">
        <f t="shared" si="33"/>
        <v>0.1762194568</v>
      </c>
    </row>
    <row r="1084" ht="15.75" customHeight="1">
      <c r="A1084" s="25">
        <f>IFERROR(__xludf.DUMMYFUNCTION("""COMPUTED_VALUE"""),43735.66666666667)</f>
        <v>43735.66667</v>
      </c>
      <c r="B1084" s="22">
        <f>IFERROR(__xludf.DUMMYFUNCTION("""COMPUTED_VALUE"""),2961.79)</f>
        <v>2961.79</v>
      </c>
      <c r="C1084" s="22">
        <f t="shared" si="6"/>
        <v>2963.116627</v>
      </c>
      <c r="D1084" s="25">
        <f>IFERROR(__xludf.DUMMYFUNCTION("""COMPUTED_VALUE"""),43715.99861111111)</f>
        <v>43715.99861</v>
      </c>
      <c r="E1084" s="22">
        <f>IFERROR(__xludf.DUMMYFUNCTION("""COMPUTED_VALUE"""),1.1125)</f>
        <v>1.1125</v>
      </c>
      <c r="F1084" s="22">
        <f t="shared" si="8"/>
        <v>223.1586614</v>
      </c>
      <c r="G1084" s="22">
        <f t="shared" si="31"/>
        <v>35.3325063</v>
      </c>
      <c r="H1084" s="22">
        <f t="shared" si="32"/>
        <v>29.32503778</v>
      </c>
      <c r="I1084" s="22">
        <f t="shared" si="3"/>
        <v>0.8988764045</v>
      </c>
      <c r="J1084" s="22">
        <f t="shared" si="33"/>
        <v>0.1637752809</v>
      </c>
    </row>
    <row r="1085" ht="15.75" customHeight="1">
      <c r="A1085" s="25">
        <f>IFERROR(__xludf.DUMMYFUNCTION("""COMPUTED_VALUE"""),43742.66666666667)</f>
        <v>43742.66667</v>
      </c>
      <c r="B1085" s="22">
        <f>IFERROR(__xludf.DUMMYFUNCTION("""COMPUTED_VALUE"""),2952.01)</f>
        <v>2952.01</v>
      </c>
      <c r="C1085" s="22">
        <f t="shared" si="6"/>
        <v>2953.323202</v>
      </c>
      <c r="D1085" s="25">
        <f>IFERROR(__xludf.DUMMYFUNCTION("""COMPUTED_VALUE"""),43722.99861111111)</f>
        <v>43722.99861</v>
      </c>
      <c r="E1085" s="22">
        <f>IFERROR(__xludf.DUMMYFUNCTION("""COMPUTED_VALUE"""),1.1155)</f>
        <v>1.1155</v>
      </c>
      <c r="F1085" s="22">
        <f t="shared" si="8"/>
        <v>223.0208847</v>
      </c>
      <c r="G1085" s="22">
        <f t="shared" si="31"/>
        <v>37.05801055</v>
      </c>
      <c r="H1085" s="22">
        <f t="shared" si="32"/>
        <v>34.65933878</v>
      </c>
      <c r="I1085" s="22">
        <f t="shared" si="3"/>
        <v>0.896458987</v>
      </c>
      <c r="J1085" s="22">
        <f t="shared" si="33"/>
        <v>0.1500672344</v>
      </c>
    </row>
    <row r="1086" ht="15.75" customHeight="1">
      <c r="A1086" s="25">
        <f>IFERROR(__xludf.DUMMYFUNCTION("""COMPUTED_VALUE"""),43749.66666666667)</f>
        <v>43749.66667</v>
      </c>
      <c r="B1086" s="22">
        <f>IFERROR(__xludf.DUMMYFUNCTION("""COMPUTED_VALUE"""),2970.27)</f>
        <v>2970.27</v>
      </c>
      <c r="C1086" s="22">
        <f t="shared" si="6"/>
        <v>2971.578865</v>
      </c>
      <c r="D1086" s="25">
        <f>IFERROR(__xludf.DUMMYFUNCTION("""COMPUTED_VALUE"""),43729.99861111111)</f>
        <v>43729.99861</v>
      </c>
      <c r="E1086" s="22">
        <f>IFERROR(__xludf.DUMMYFUNCTION("""COMPUTED_VALUE"""),1.1014)</f>
        <v>1.1014</v>
      </c>
      <c r="F1086" s="22">
        <f t="shared" si="8"/>
        <v>221.5630401</v>
      </c>
      <c r="G1086" s="22">
        <f t="shared" si="31"/>
        <v>36.68460397</v>
      </c>
      <c r="H1086" s="22">
        <f t="shared" si="32"/>
        <v>36.70965548</v>
      </c>
      <c r="I1086" s="22">
        <f t="shared" si="3"/>
        <v>0.907935355</v>
      </c>
      <c r="J1086" s="22">
        <f t="shared" si="33"/>
        <v>0.1515344107</v>
      </c>
    </row>
    <row r="1087" ht="15.75" customHeight="1">
      <c r="A1087" s="25">
        <f>IFERROR(__xludf.DUMMYFUNCTION("""COMPUTED_VALUE"""),43756.66666666667)</f>
        <v>43756.66667</v>
      </c>
      <c r="B1087" s="22">
        <f>IFERROR(__xludf.DUMMYFUNCTION("""COMPUTED_VALUE"""),2986.2)</f>
        <v>2986.2</v>
      </c>
      <c r="C1087" s="22">
        <f t="shared" si="6"/>
        <v>2987.516962</v>
      </c>
      <c r="D1087" s="25">
        <f>IFERROR(__xludf.DUMMYFUNCTION("""COMPUTED_VALUE"""),43736.99861111111)</f>
        <v>43736.99861</v>
      </c>
      <c r="E1087" s="22">
        <f>IFERROR(__xludf.DUMMYFUNCTION("""COMPUTED_VALUE"""),1.0939)</f>
        <v>1.0939</v>
      </c>
      <c r="F1087" s="22">
        <f t="shared" si="8"/>
        <v>221.2345669</v>
      </c>
      <c r="G1087" s="22">
        <f t="shared" si="31"/>
        <v>35.82821885</v>
      </c>
      <c r="H1087" s="22">
        <f t="shared" si="32"/>
        <v>32.87315334</v>
      </c>
      <c r="I1087" s="22">
        <f t="shared" si="3"/>
        <v>0.9141603437</v>
      </c>
      <c r="J1087" s="22">
        <f t="shared" si="33"/>
        <v>0.1439802541</v>
      </c>
    </row>
    <row r="1088" ht="15.75" customHeight="1">
      <c r="A1088" s="25">
        <f>IFERROR(__xludf.DUMMYFUNCTION("""COMPUTED_VALUE"""),43763.66666666667)</f>
        <v>43763.66667</v>
      </c>
      <c r="B1088" s="22">
        <f>IFERROR(__xludf.DUMMYFUNCTION("""COMPUTED_VALUE"""),3022.55)</f>
        <v>3022.55</v>
      </c>
      <c r="C1088" s="22">
        <f t="shared" si="6"/>
        <v>3023.874025</v>
      </c>
      <c r="D1088" s="25">
        <f>IFERROR(__xludf.DUMMYFUNCTION("""COMPUTED_VALUE"""),43743.99861111111)</f>
        <v>43743.99861</v>
      </c>
      <c r="E1088" s="22">
        <f>IFERROR(__xludf.DUMMYFUNCTION("""COMPUTED_VALUE"""),1.0978)</f>
        <v>1.0978</v>
      </c>
      <c r="F1088" s="22">
        <f t="shared" si="8"/>
        <v>224.7252661</v>
      </c>
      <c r="G1088" s="22">
        <f t="shared" si="31"/>
        <v>39.32965206</v>
      </c>
      <c r="H1088" s="22">
        <f t="shared" si="32"/>
        <v>30.21691512</v>
      </c>
      <c r="I1088" s="22">
        <f t="shared" si="3"/>
        <v>0.9109127346</v>
      </c>
      <c r="J1088" s="22">
        <f t="shared" si="33"/>
        <v>0.1502095099</v>
      </c>
    </row>
    <row r="1089" ht="15.75" customHeight="1">
      <c r="A1089" s="25">
        <f>IFERROR(__xludf.DUMMYFUNCTION("""COMPUTED_VALUE"""),43770.66666666667)</f>
        <v>43770.66667</v>
      </c>
      <c r="B1089" s="22">
        <f>IFERROR(__xludf.DUMMYFUNCTION("""COMPUTED_VALUE"""),3066.91)</f>
        <v>3066.91</v>
      </c>
      <c r="C1089" s="22">
        <f t="shared" si="6"/>
        <v>3068.250141</v>
      </c>
      <c r="D1089" s="25">
        <f>IFERROR(__xludf.DUMMYFUNCTION("""COMPUTED_VALUE"""),43750.99861111111)</f>
        <v>43750.99861</v>
      </c>
      <c r="E1089" s="22">
        <f>IFERROR(__xludf.DUMMYFUNCTION("""COMPUTED_VALUE"""),1.10352)</f>
        <v>1.10352</v>
      </c>
      <c r="F1089" s="22">
        <f t="shared" si="8"/>
        <v>229.2112629</v>
      </c>
      <c r="G1089" s="22">
        <f t="shared" si="31"/>
        <v>47.96672562</v>
      </c>
      <c r="H1089" s="22">
        <f t="shared" si="32"/>
        <v>30.55411563</v>
      </c>
      <c r="I1089" s="22">
        <f t="shared" si="3"/>
        <v>0.9061910976</v>
      </c>
      <c r="J1089" s="22">
        <f t="shared" si="33"/>
        <v>0.1561186023</v>
      </c>
    </row>
    <row r="1090" ht="15.75" customHeight="1">
      <c r="A1090" s="25">
        <f>IFERROR(__xludf.DUMMYFUNCTION("""COMPUTED_VALUE"""),43777.66666666667)</f>
        <v>43777.66667</v>
      </c>
      <c r="B1090" s="22">
        <f>IFERROR(__xludf.DUMMYFUNCTION("""COMPUTED_VALUE"""),3093.08)</f>
        <v>3093.08</v>
      </c>
      <c r="C1090" s="22">
        <f t="shared" si="6"/>
        <v>3094.43981</v>
      </c>
      <c r="D1090" s="25">
        <f>IFERROR(__xludf.DUMMYFUNCTION("""COMPUTED_VALUE"""),43757.99861111111)</f>
        <v>43757.99861</v>
      </c>
      <c r="E1090" s="22">
        <f>IFERROR(__xludf.DUMMYFUNCTION("""COMPUTED_VALUE"""),1.1183)</f>
        <v>1.1183</v>
      </c>
      <c r="F1090" s="22">
        <f t="shared" si="8"/>
        <v>234.2638881</v>
      </c>
      <c r="G1090" s="22">
        <f t="shared" si="31"/>
        <v>46.83135528</v>
      </c>
      <c r="H1090" s="22">
        <f t="shared" si="32"/>
        <v>33.84877872</v>
      </c>
      <c r="I1090" s="22">
        <f t="shared" si="3"/>
        <v>0.8942144326</v>
      </c>
      <c r="J1090" s="22">
        <f t="shared" si="33"/>
        <v>0.1328802647</v>
      </c>
    </row>
    <row r="1091" ht="15.75" customHeight="1">
      <c r="A1091" s="25">
        <f>IFERROR(__xludf.DUMMYFUNCTION("""COMPUTED_VALUE"""),43784.66666666667)</f>
        <v>43784.66667</v>
      </c>
      <c r="B1091" s="22">
        <f>IFERROR(__xludf.DUMMYFUNCTION("""COMPUTED_VALUE"""),3120.46)</f>
        <v>3120.46</v>
      </c>
      <c r="C1091" s="22">
        <f t="shared" si="6"/>
        <v>3121.831413</v>
      </c>
      <c r="D1091" s="25">
        <f>IFERROR(__xludf.DUMMYFUNCTION("""COMPUTED_VALUE"""),43764.99861111111)</f>
        <v>43764.99861</v>
      </c>
      <c r="E1091" s="22">
        <f>IFERROR(__xludf.DUMMYFUNCTION("""COMPUTED_VALUE"""),1.1079)</f>
        <v>1.1079</v>
      </c>
      <c r="F1091" s="22">
        <f t="shared" si="8"/>
        <v>234.1396642</v>
      </c>
      <c r="G1091" s="22">
        <f t="shared" si="31"/>
        <v>44.22634436</v>
      </c>
      <c r="H1091" s="22">
        <f t="shared" si="32"/>
        <v>33.784823</v>
      </c>
      <c r="I1091" s="22">
        <f t="shared" si="3"/>
        <v>0.9026085387</v>
      </c>
      <c r="J1091" s="22">
        <f t="shared" si="33"/>
        <v>0.130336673</v>
      </c>
    </row>
    <row r="1092" ht="15.75" customHeight="1">
      <c r="A1092" s="25">
        <f>IFERROR(__xludf.DUMMYFUNCTION("""COMPUTED_VALUE"""),43791.66666666667)</f>
        <v>43791.66667</v>
      </c>
      <c r="B1092" s="22">
        <f>IFERROR(__xludf.DUMMYFUNCTION("""COMPUTED_VALUE"""),3110.29)</f>
        <v>3110.29</v>
      </c>
      <c r="C1092" s="22">
        <f t="shared" si="6"/>
        <v>3111.673553</v>
      </c>
      <c r="D1092" s="25">
        <f>IFERROR(__xludf.DUMMYFUNCTION("""COMPUTED_VALUE"""),43771.99861111111)</f>
        <v>43771.99861</v>
      </c>
      <c r="E1092" s="22">
        <f>IFERROR(__xludf.DUMMYFUNCTION("""COMPUTED_VALUE"""),1.1166)</f>
        <v>1.1166</v>
      </c>
      <c r="F1092" s="22">
        <f t="shared" si="8"/>
        <v>235.2104618</v>
      </c>
      <c r="G1092" s="22">
        <f t="shared" si="31"/>
        <v>40.89109914</v>
      </c>
      <c r="H1092" s="22">
        <f t="shared" si="32"/>
        <v>34.88724755</v>
      </c>
      <c r="I1092" s="22">
        <f t="shared" si="3"/>
        <v>0.8955758553</v>
      </c>
      <c r="J1092" s="22">
        <f t="shared" si="33"/>
        <v>0.1152516568</v>
      </c>
    </row>
    <row r="1093" ht="15.75" customHeight="1">
      <c r="A1093" s="25">
        <f>IFERROR(__xludf.DUMMYFUNCTION("""COMPUTED_VALUE"""),43798.54166666667)</f>
        <v>43798.54167</v>
      </c>
      <c r="B1093" s="22">
        <f>IFERROR(__xludf.DUMMYFUNCTION("""COMPUTED_VALUE"""),3140.98)</f>
        <v>3140.98</v>
      </c>
      <c r="C1093" s="22">
        <f t="shared" si="6"/>
        <v>3142.359044</v>
      </c>
      <c r="D1093" s="25">
        <f>IFERROR(__xludf.DUMMYFUNCTION("""COMPUTED_VALUE"""),43778.99861111111)</f>
        <v>43778.99861</v>
      </c>
      <c r="E1093" s="22">
        <f>IFERROR(__xludf.DUMMYFUNCTION("""COMPUTED_VALUE"""),1.10196)</f>
        <v>1.10196</v>
      </c>
      <c r="F1093" s="22">
        <f t="shared" si="8"/>
        <v>234.4156586</v>
      </c>
      <c r="G1093" s="22">
        <f t="shared" si="31"/>
        <v>45.45034723</v>
      </c>
      <c r="H1093" s="22">
        <f t="shared" si="32"/>
        <v>33.16535511</v>
      </c>
      <c r="I1093" s="22">
        <f t="shared" si="3"/>
        <v>0.9074739555</v>
      </c>
      <c r="J1093" s="22">
        <f t="shared" si="33"/>
        <v>0.1365203819</v>
      </c>
    </row>
    <row r="1094" ht="15.75" customHeight="1">
      <c r="A1094" s="25">
        <f>IFERROR(__xludf.DUMMYFUNCTION("""COMPUTED_VALUE"""),43805.66666666667)</f>
        <v>43805.66667</v>
      </c>
      <c r="B1094" s="22">
        <f>IFERROR(__xludf.DUMMYFUNCTION("""COMPUTED_VALUE"""),3145.91)</f>
        <v>3145.91</v>
      </c>
      <c r="C1094" s="22">
        <f t="shared" si="6"/>
        <v>3147.302651</v>
      </c>
      <c r="D1094" s="25">
        <f>IFERROR(__xludf.DUMMYFUNCTION("""COMPUTED_VALUE"""),43785.99861111111)</f>
        <v>43785.99861</v>
      </c>
      <c r="E1094" s="22">
        <f>IFERROR(__xludf.DUMMYFUNCTION("""COMPUTED_VALUE"""),1.105)</f>
        <v>1.105</v>
      </c>
      <c r="F1094" s="22">
        <f t="shared" si="8"/>
        <v>235.4321497</v>
      </c>
      <c r="G1094" s="22">
        <f t="shared" si="31"/>
        <v>45.31096598</v>
      </c>
      <c r="H1094" s="22">
        <f t="shared" si="32"/>
        <v>40.11811586</v>
      </c>
      <c r="I1094" s="22">
        <f t="shared" si="3"/>
        <v>0.9049773756</v>
      </c>
      <c r="J1094" s="22">
        <f t="shared" si="33"/>
        <v>0.1212669683</v>
      </c>
    </row>
    <row r="1095" ht="15.75" customHeight="1">
      <c r="A1095" s="25">
        <f>IFERROR(__xludf.DUMMYFUNCTION("""COMPUTED_VALUE"""),43812.66666666667)</f>
        <v>43812.66667</v>
      </c>
      <c r="B1095" s="22">
        <f>IFERROR(__xludf.DUMMYFUNCTION("""COMPUTED_VALUE"""),3168.8)</f>
        <v>3168.8</v>
      </c>
      <c r="C1095" s="22">
        <f t="shared" si="6"/>
        <v>3170.194837</v>
      </c>
      <c r="D1095" s="25">
        <f>IFERROR(__xludf.DUMMYFUNCTION("""COMPUTED_VALUE"""),43792.99861111111)</f>
        <v>43792.99861</v>
      </c>
      <c r="E1095" s="22">
        <f>IFERROR(__xludf.DUMMYFUNCTION("""COMPUTED_VALUE"""),1.10196)</f>
        <v>1.10196</v>
      </c>
      <c r="F1095" s="22">
        <f t="shared" si="8"/>
        <v>236.4921705</v>
      </c>
      <c r="G1095" s="22">
        <f t="shared" si="31"/>
        <v>46.00383844</v>
      </c>
      <c r="H1095" s="22">
        <f t="shared" si="32"/>
        <v>35.45329432</v>
      </c>
      <c r="I1095" s="22">
        <f t="shared" si="3"/>
        <v>0.9074739555</v>
      </c>
      <c r="J1095" s="22">
        <f t="shared" si="33"/>
        <v>0.1298050746</v>
      </c>
    </row>
    <row r="1096" ht="15.75" customHeight="1">
      <c r="A1096" s="25">
        <f>IFERROR(__xludf.DUMMYFUNCTION("""COMPUTED_VALUE"""),43819.66666666667)</f>
        <v>43819.66667</v>
      </c>
      <c r="B1096" s="22">
        <f>IFERROR(__xludf.DUMMYFUNCTION("""COMPUTED_VALUE"""),3221.22)</f>
        <v>3221.22</v>
      </c>
      <c r="C1096" s="22">
        <f t="shared" si="6"/>
        <v>3222.624986</v>
      </c>
      <c r="D1096" s="25">
        <f>IFERROR(__xludf.DUMMYFUNCTION("""COMPUTED_VALUE"""),43799.99861111111)</f>
        <v>43799.99861</v>
      </c>
      <c r="E1096" s="22">
        <f>IFERROR(__xludf.DUMMYFUNCTION("""COMPUTED_VALUE"""),1.10196)</f>
        <v>1.10196</v>
      </c>
      <c r="F1096" s="22">
        <f t="shared" si="8"/>
        <v>240.4033874</v>
      </c>
      <c r="G1096" s="22">
        <f t="shared" si="31"/>
        <v>47.05791021</v>
      </c>
      <c r="H1096" s="22">
        <f t="shared" si="32"/>
        <v>38.33082678</v>
      </c>
      <c r="I1096" s="22">
        <f t="shared" si="3"/>
        <v>0.9074739555</v>
      </c>
      <c r="J1096" s="22">
        <f t="shared" si="33"/>
        <v>0.1148317543</v>
      </c>
    </row>
    <row r="1097" ht="15.75" customHeight="1">
      <c r="A1097" s="25">
        <f>IFERROR(__xludf.DUMMYFUNCTION("""COMPUTED_VALUE"""),43826.66666666667)</f>
        <v>43826.66667</v>
      </c>
      <c r="B1097" s="22">
        <f>IFERROR(__xludf.DUMMYFUNCTION("""COMPUTED_VALUE"""),3240.02)</f>
        <v>3240.02</v>
      </c>
      <c r="C1097" s="22">
        <f t="shared" si="6"/>
        <v>3241.448228</v>
      </c>
      <c r="D1097" s="25">
        <f>IFERROR(__xludf.DUMMYFUNCTION("""COMPUTED_VALUE"""),43806.99861111111)</f>
        <v>43806.99861</v>
      </c>
      <c r="E1097" s="22">
        <f>IFERROR(__xludf.DUMMYFUNCTION("""COMPUTED_VALUE"""),1.10555)</f>
        <v>1.10555</v>
      </c>
      <c r="F1097" s="22">
        <f t="shared" si="8"/>
        <v>242.5953437</v>
      </c>
      <c r="G1097" s="22">
        <f t="shared" si="31"/>
        <v>51.52312189</v>
      </c>
      <c r="H1097" s="22">
        <f t="shared" si="32"/>
        <v>39.65187905</v>
      </c>
      <c r="I1097" s="22">
        <f t="shared" si="3"/>
        <v>0.9045271584</v>
      </c>
      <c r="J1097" s="22">
        <f t="shared" si="33"/>
        <v>0.1272217448</v>
      </c>
    </row>
    <row r="1098" ht="15.75" customHeight="1">
      <c r="A1098" s="25">
        <f>IFERROR(__xludf.DUMMYFUNCTION("""COMPUTED_VALUE"""),43833.66666666667)</f>
        <v>43833.66667</v>
      </c>
      <c r="B1098" s="22">
        <f>IFERROR(__xludf.DUMMYFUNCTION("""COMPUTED_VALUE"""),3234.85)</f>
        <v>3234.85</v>
      </c>
      <c r="C1098" s="22">
        <f t="shared" si="6"/>
        <v>3236.286564</v>
      </c>
      <c r="D1098" s="25">
        <f>IFERROR(__xludf.DUMMYFUNCTION("""COMPUTED_VALUE"""),43813.99861111111)</f>
        <v>43813.99861</v>
      </c>
      <c r="E1098" s="22">
        <f>IFERROR(__xludf.DUMMYFUNCTION("""COMPUTED_VALUE"""),1.1117)</f>
        <v>1.1117</v>
      </c>
      <c r="F1098" s="22">
        <f t="shared" si="8"/>
        <v>243.5564068</v>
      </c>
      <c r="G1098" s="22">
        <f t="shared" si="31"/>
        <v>51.10772541</v>
      </c>
      <c r="H1098" s="22">
        <f t="shared" si="32"/>
        <v>43.83610946</v>
      </c>
      <c r="I1098" s="22">
        <f t="shared" si="3"/>
        <v>0.8995232527</v>
      </c>
      <c r="J1098" s="22">
        <f t="shared" si="33"/>
        <v>0.09984708105</v>
      </c>
    </row>
    <row r="1099" ht="15.75" customHeight="1">
      <c r="A1099" s="25">
        <f>IFERROR(__xludf.DUMMYFUNCTION("""COMPUTED_VALUE"""),43840.66666666667)</f>
        <v>43840.66667</v>
      </c>
      <c r="B1099" s="22">
        <f>IFERROR(__xludf.DUMMYFUNCTION("""COMPUTED_VALUE"""),3265.35)</f>
        <v>3265.35</v>
      </c>
      <c r="C1099" s="22">
        <f t="shared" si="6"/>
        <v>3266.784271</v>
      </c>
      <c r="D1099" s="25">
        <f>IFERROR(__xludf.DUMMYFUNCTION("""COMPUTED_VALUE"""),43820.99861111111)</f>
        <v>43820.99861</v>
      </c>
      <c r="E1099" s="22">
        <f>IFERROR(__xludf.DUMMYFUNCTION("""COMPUTED_VALUE"""),1.10765)</f>
        <v>1.10765</v>
      </c>
      <c r="F1099" s="22">
        <f t="shared" si="8"/>
        <v>244.9559484</v>
      </c>
      <c r="G1099" s="22">
        <f t="shared" si="31"/>
        <v>52.07297701</v>
      </c>
      <c r="H1099" s="22">
        <f t="shared" si="32"/>
        <v>47.03423835</v>
      </c>
      <c r="I1099" s="22">
        <f t="shared" si="3"/>
        <v>0.9028122602</v>
      </c>
      <c r="J1099" s="22">
        <f t="shared" si="33"/>
        <v>0.09971561414</v>
      </c>
    </row>
    <row r="1100" ht="15.75" customHeight="1">
      <c r="A1100" s="25">
        <f>IFERROR(__xludf.DUMMYFUNCTION("""COMPUTED_VALUE"""),43847.66666666667)</f>
        <v>43847.66667</v>
      </c>
      <c r="B1100" s="22">
        <f>IFERROR(__xludf.DUMMYFUNCTION("""COMPUTED_VALUE"""),3329.62)</f>
        <v>3329.62</v>
      </c>
      <c r="C1100" s="22">
        <f t="shared" si="6"/>
        <v>3331.067794</v>
      </c>
      <c r="D1100" s="25">
        <f>IFERROR(__xludf.DUMMYFUNCTION("""COMPUTED_VALUE"""),43827.99861111111)</f>
        <v>43827.99861</v>
      </c>
      <c r="E1100" s="22">
        <f>IFERROR(__xludf.DUMMYFUNCTION("""COMPUTED_VALUE"""),1.1177)</f>
        <v>1.1177</v>
      </c>
      <c r="F1100" s="22">
        <f t="shared" si="8"/>
        <v>252.0424572</v>
      </c>
      <c r="G1100" s="22">
        <f t="shared" si="31"/>
        <v>55.79289161</v>
      </c>
      <c r="H1100" s="22">
        <f t="shared" si="32"/>
        <v>51.17192043</v>
      </c>
      <c r="I1100" s="22">
        <f t="shared" si="3"/>
        <v>0.8946944618</v>
      </c>
      <c r="J1100" s="22">
        <f t="shared" si="33"/>
        <v>0.07345441532</v>
      </c>
    </row>
    <row r="1101" ht="15.75" customHeight="1">
      <c r="A1101" s="25">
        <f>IFERROR(__xludf.DUMMYFUNCTION("""COMPUTED_VALUE"""),43854.66666666667)</f>
        <v>43854.66667</v>
      </c>
      <c r="B1101" s="22">
        <f>IFERROR(__xludf.DUMMYFUNCTION("""COMPUTED_VALUE"""),3295.47)</f>
        <v>3295.47</v>
      </c>
      <c r="C1101" s="22">
        <f t="shared" si="6"/>
        <v>3296.946291</v>
      </c>
      <c r="D1101" s="25">
        <f>IFERROR(__xludf.DUMMYFUNCTION("""COMPUTED_VALUE"""),43834.99861111111)</f>
        <v>43834.99861</v>
      </c>
      <c r="E1101" s="22">
        <f>IFERROR(__xludf.DUMMYFUNCTION("""COMPUTED_VALUE"""),1.1153)</f>
        <v>1.1153</v>
      </c>
      <c r="F1101" s="22">
        <f t="shared" si="8"/>
        <v>248.9250236</v>
      </c>
      <c r="G1101" s="22">
        <f t="shared" si="31"/>
        <v>52.11100159</v>
      </c>
      <c r="H1101" s="22">
        <f t="shared" si="32"/>
        <v>55.62756329</v>
      </c>
      <c r="I1101" s="22">
        <f t="shared" si="3"/>
        <v>0.8966197436</v>
      </c>
      <c r="J1101" s="22">
        <f t="shared" si="33"/>
        <v>0.06141845243</v>
      </c>
    </row>
    <row r="1102" ht="15.75" customHeight="1">
      <c r="A1102" s="25">
        <f>IFERROR(__xludf.DUMMYFUNCTION("""COMPUTED_VALUE"""),43861.66666666667)</f>
        <v>43861.66667</v>
      </c>
      <c r="B1102" s="22">
        <f>IFERROR(__xludf.DUMMYFUNCTION("""COMPUTED_VALUE"""),3225.52)</f>
        <v>3225.52</v>
      </c>
      <c r="C1102" s="22">
        <f t="shared" si="6"/>
        <v>3226.981149</v>
      </c>
      <c r="D1102" s="25">
        <f>IFERROR(__xludf.DUMMYFUNCTION("""COMPUTED_VALUE"""),43841.99861111111)</f>
        <v>43841.99861</v>
      </c>
      <c r="E1102" s="22">
        <f>IFERROR(__xludf.DUMMYFUNCTION("""COMPUTED_VALUE"""),1.1121)</f>
        <v>1.1121</v>
      </c>
      <c r="F1102" s="22">
        <f t="shared" si="8"/>
        <v>242.9434819</v>
      </c>
      <c r="G1102" s="22">
        <f t="shared" si="31"/>
        <v>46.70452953</v>
      </c>
      <c r="H1102" s="22">
        <f t="shared" si="32"/>
        <v>50.82432178</v>
      </c>
      <c r="I1102" s="22">
        <f t="shared" si="3"/>
        <v>0.8991997123</v>
      </c>
      <c r="J1102" s="22">
        <f t="shared" si="33"/>
        <v>0.04046398705</v>
      </c>
    </row>
    <row r="1103" ht="15.75" customHeight="1">
      <c r="A1103" s="25">
        <f>IFERROR(__xludf.DUMMYFUNCTION("""COMPUTED_VALUE"""),43868.66666666667)</f>
        <v>43868.66667</v>
      </c>
      <c r="B1103" s="22">
        <f>IFERROR(__xludf.DUMMYFUNCTION("""COMPUTED_VALUE"""),3327.71)</f>
        <v>3327.71</v>
      </c>
      <c r="C1103" s="22">
        <f t="shared" si="6"/>
        <v>3329.140135</v>
      </c>
      <c r="D1103" s="25">
        <f>IFERROR(__xludf.DUMMYFUNCTION("""COMPUTED_VALUE"""),43848.99861111111)</f>
        <v>43848.99861</v>
      </c>
      <c r="E1103" s="22">
        <f>IFERROR(__xludf.DUMMYFUNCTION("""COMPUTED_VALUE"""),1.1089)</f>
        <v>1.1089</v>
      </c>
      <c r="F1103" s="22">
        <f t="shared" si="8"/>
        <v>249.9133421</v>
      </c>
      <c r="G1103" s="22">
        <f t="shared" si="31"/>
        <v>48.88530205</v>
      </c>
      <c r="H1103" s="22">
        <f t="shared" si="32"/>
        <v>57.11634714</v>
      </c>
      <c r="I1103" s="22">
        <f t="shared" si="3"/>
        <v>0.9017945712</v>
      </c>
      <c r="J1103" s="22">
        <f t="shared" si="33"/>
        <v>0.01000991974</v>
      </c>
    </row>
    <row r="1104" ht="15.75" customHeight="1">
      <c r="A1104" s="25">
        <f>IFERROR(__xludf.DUMMYFUNCTION("""COMPUTED_VALUE"""),43875.66666666667)</f>
        <v>43875.66667</v>
      </c>
      <c r="B1104" s="22">
        <f>IFERROR(__xludf.DUMMYFUNCTION("""COMPUTED_VALUE"""),3380.16)</f>
        <v>3380.16</v>
      </c>
      <c r="C1104" s="22">
        <f t="shared" si="6"/>
        <v>3381.635444</v>
      </c>
      <c r="D1104" s="25">
        <f>IFERROR(__xludf.DUMMYFUNCTION("""COMPUTED_VALUE"""),43855.99861111111)</f>
        <v>43855.99861</v>
      </c>
      <c r="E1104" s="22">
        <f>IFERROR(__xludf.DUMMYFUNCTION("""COMPUTED_VALUE"""),1.1026)</f>
        <v>1.1026</v>
      </c>
      <c r="F1104" s="22">
        <f t="shared" si="8"/>
        <v>252.4118601</v>
      </c>
      <c r="G1104" s="22">
        <f t="shared" si="31"/>
        <v>48.1872878</v>
      </c>
      <c r="H1104" s="22">
        <f t="shared" si="32"/>
        <v>56.48374411</v>
      </c>
      <c r="I1104" s="22">
        <f t="shared" si="3"/>
        <v>0.9069472157</v>
      </c>
      <c r="J1104" s="22">
        <f t="shared" si="33"/>
        <v>0.02358062761</v>
      </c>
    </row>
    <row r="1105" ht="15.75" customHeight="1">
      <c r="A1105" s="25">
        <f>IFERROR(__xludf.DUMMYFUNCTION("""COMPUTED_VALUE"""),43882.66666666667)</f>
        <v>43882.66667</v>
      </c>
      <c r="B1105" s="22">
        <f>IFERROR(__xludf.DUMMYFUNCTION("""COMPUTED_VALUE"""),3337.75)</f>
        <v>3337.75</v>
      </c>
      <c r="C1105" s="22">
        <f t="shared" si="6"/>
        <v>3339.248699</v>
      </c>
      <c r="D1105" s="25">
        <f>IFERROR(__xludf.DUMMYFUNCTION("""COMPUTED_VALUE"""),43862.99861111111)</f>
        <v>43862.99861</v>
      </c>
      <c r="E1105" s="22">
        <f>IFERROR(__xludf.DUMMYFUNCTION("""COMPUTED_VALUE"""),1.10949)</f>
        <v>1.10949</v>
      </c>
      <c r="F1105" s="22">
        <f t="shared" si="8"/>
        <v>250.8055485</v>
      </c>
      <c r="G1105" s="22">
        <f t="shared" si="31"/>
        <v>45.01724254</v>
      </c>
      <c r="H1105" s="22">
        <f t="shared" si="32"/>
        <v>55.59870486</v>
      </c>
      <c r="I1105" s="22">
        <f t="shared" si="3"/>
        <v>0.9013150186</v>
      </c>
      <c r="J1105" s="22">
        <f t="shared" si="33"/>
        <v>0.01929715455</v>
      </c>
    </row>
    <row r="1106" ht="15.75" customHeight="1">
      <c r="A1106" s="25">
        <f>IFERROR(__xludf.DUMMYFUNCTION("""COMPUTED_VALUE"""),43889.66666666667)</f>
        <v>43889.66667</v>
      </c>
      <c r="B1106" s="22">
        <f>IFERROR(__xludf.DUMMYFUNCTION("""COMPUTED_VALUE"""),2954.22)</f>
        <v>2954.22</v>
      </c>
      <c r="C1106" s="22">
        <f t="shared" si="6"/>
        <v>2955.699895</v>
      </c>
      <c r="D1106" s="25">
        <f>IFERROR(__xludf.DUMMYFUNCTION("""COMPUTED_VALUE"""),43869.99861111111)</f>
        <v>43869.99861</v>
      </c>
      <c r="E1106" s="22">
        <f>IFERROR(__xludf.DUMMYFUNCTION("""COMPUTED_VALUE"""),1.0942)</f>
        <v>1.0942</v>
      </c>
      <c r="F1106" s="22">
        <f t="shared" si="8"/>
        <v>218.9384449</v>
      </c>
      <c r="G1106" s="22">
        <f t="shared" si="31"/>
        <v>27.51459868</v>
      </c>
      <c r="H1106" s="22">
        <f t="shared" si="32"/>
        <v>37.17055471</v>
      </c>
      <c r="I1106" s="22">
        <f t="shared" si="3"/>
        <v>0.9139097057</v>
      </c>
      <c r="J1106" s="22">
        <f t="shared" si="33"/>
        <v>0.03984646317</v>
      </c>
    </row>
    <row r="1107" ht="15.75" customHeight="1">
      <c r="A1107" s="25">
        <f>IFERROR(__xludf.DUMMYFUNCTION("""COMPUTED_VALUE"""),43896.66666666667)</f>
        <v>43896.66667</v>
      </c>
      <c r="B1107" s="22">
        <f>IFERROR(__xludf.DUMMYFUNCTION("""COMPUTED_VALUE"""),2972.37)</f>
        <v>2972.37</v>
      </c>
      <c r="C1107" s="22">
        <f t="shared" si="6"/>
        <v>2973.679845</v>
      </c>
      <c r="D1107" s="25">
        <f>IFERROR(__xludf.DUMMYFUNCTION("""COMPUTED_VALUE"""),43876.99861111111)</f>
        <v>43876.99861</v>
      </c>
      <c r="E1107" s="22">
        <f>IFERROR(__xludf.DUMMYFUNCTION("""COMPUTED_VALUE"""),1.08301)</f>
        <v>1.08301</v>
      </c>
      <c r="F1107" s="22">
        <f t="shared" si="8"/>
        <v>218.0176522</v>
      </c>
      <c r="G1107" s="22">
        <f t="shared" si="31"/>
        <v>27.82909022</v>
      </c>
      <c r="H1107" s="22">
        <f t="shared" si="32"/>
        <v>37.7579486</v>
      </c>
      <c r="I1107" s="22">
        <f t="shared" si="3"/>
        <v>0.9233525083</v>
      </c>
      <c r="J1107" s="22">
        <f t="shared" si="33"/>
        <v>0.05077515443</v>
      </c>
    </row>
    <row r="1108" ht="15.75" customHeight="1">
      <c r="A1108" s="25">
        <f>IFERROR(__xludf.DUMMYFUNCTION("""COMPUTED_VALUE"""),43903.66666666667)</f>
        <v>43903.66667</v>
      </c>
      <c r="B1108" s="22">
        <f>IFERROR(__xludf.DUMMYFUNCTION("""COMPUTED_VALUE"""),2711.02)</f>
        <v>2711.02</v>
      </c>
      <c r="C1108" s="22">
        <f t="shared" si="6"/>
        <v>2712.337893</v>
      </c>
      <c r="D1108" s="25">
        <f>IFERROR(__xludf.DUMMYFUNCTION("""COMPUTED_VALUE"""),43883.99861111111)</f>
        <v>43883.99861</v>
      </c>
      <c r="E1108" s="22">
        <f>IFERROR(__xludf.DUMMYFUNCTION("""COMPUTED_VALUE"""),1.08453)</f>
        <v>1.08453</v>
      </c>
      <c r="F1108" s="22">
        <f t="shared" si="8"/>
        <v>199.1362587</v>
      </c>
      <c r="G1108" s="22">
        <f t="shared" si="31"/>
        <v>17.06599348</v>
      </c>
      <c r="H1108" s="22">
        <f t="shared" si="32"/>
        <v>24.64548314</v>
      </c>
      <c r="I1108" s="22">
        <f t="shared" si="3"/>
        <v>0.9220584032</v>
      </c>
      <c r="J1108" s="22">
        <f t="shared" si="33"/>
        <v>0.03178335316</v>
      </c>
    </row>
    <row r="1109" ht="15.75" customHeight="1">
      <c r="A1109" s="25">
        <f>IFERROR(__xludf.DUMMYFUNCTION("""COMPUTED_VALUE"""),43910.66666666667)</f>
        <v>43910.66667</v>
      </c>
      <c r="B1109" s="22">
        <f>IFERROR(__xludf.DUMMYFUNCTION("""COMPUTED_VALUE"""),2304.92)</f>
        <v>2304.92</v>
      </c>
      <c r="C1109" s="22">
        <f t="shared" si="6"/>
        <v>2306.122015</v>
      </c>
      <c r="D1109" s="25">
        <f>IFERROR(__xludf.DUMMYFUNCTION("""COMPUTED_VALUE"""),43890.99861111111)</f>
        <v>43890.99861</v>
      </c>
      <c r="E1109" s="22">
        <f>IFERROR(__xludf.DUMMYFUNCTION("""COMPUTED_VALUE"""),1.1027)</f>
        <v>1.1027</v>
      </c>
      <c r="F1109" s="22">
        <f t="shared" si="8"/>
        <v>172.1490533</v>
      </c>
      <c r="G1109" s="22">
        <f t="shared" si="31"/>
        <v>2.090217287</v>
      </c>
      <c r="H1109" s="22">
        <f t="shared" si="32"/>
        <v>13.72894993</v>
      </c>
      <c r="I1109" s="22">
        <f t="shared" si="3"/>
        <v>0.9068649678</v>
      </c>
      <c r="J1109" s="22">
        <f t="shared" si="33"/>
        <v>-0.01659562891</v>
      </c>
    </row>
    <row r="1110" ht="15.75" customHeight="1">
      <c r="A1110" s="25">
        <f>IFERROR(__xludf.DUMMYFUNCTION("""COMPUTED_VALUE"""),43917.66666666667)</f>
        <v>43917.66667</v>
      </c>
      <c r="B1110" s="22">
        <f>IFERROR(__xludf.DUMMYFUNCTION("""COMPUTED_VALUE"""),2541.47)</f>
        <v>2541.47</v>
      </c>
      <c r="C1110" s="22">
        <f t="shared" si="6"/>
        <v>2542.491958</v>
      </c>
      <c r="D1110" s="25">
        <f>IFERROR(__xludf.DUMMYFUNCTION("""COMPUTED_VALUE"""),43897.99861111111)</f>
        <v>43897.99861</v>
      </c>
      <c r="E1110" s="22">
        <f>IFERROR(__xludf.DUMMYFUNCTION("""COMPUTED_VALUE"""),1.1285)</f>
        <v>1.1285</v>
      </c>
      <c r="F1110" s="22">
        <f t="shared" si="8"/>
        <v>194.2343935</v>
      </c>
      <c r="G1110" s="22">
        <f t="shared" si="31"/>
        <v>13.72798031</v>
      </c>
      <c r="H1110" s="22">
        <f t="shared" si="32"/>
        <v>32.20706806</v>
      </c>
      <c r="I1110" s="22">
        <f t="shared" si="3"/>
        <v>0.8861320337</v>
      </c>
      <c r="J1110" s="22">
        <f t="shared" si="33"/>
        <v>-0.07000443066</v>
      </c>
    </row>
    <row r="1111" ht="15.75" customHeight="1">
      <c r="A1111" s="25">
        <f>IFERROR(__xludf.DUMMYFUNCTION("""COMPUTED_VALUE"""),43924.66666666667)</f>
        <v>43924.66667</v>
      </c>
      <c r="B1111" s="22">
        <f>IFERROR(__xludf.DUMMYFUNCTION("""COMPUTED_VALUE"""),2488.65)</f>
        <v>2488.65</v>
      </c>
      <c r="C1111" s="22">
        <f t="shared" si="6"/>
        <v>2489.77684</v>
      </c>
      <c r="D1111" s="25">
        <f>IFERROR(__xludf.DUMMYFUNCTION("""COMPUTED_VALUE"""),43904.99861111111)</f>
        <v>43904.99861</v>
      </c>
      <c r="E1111" s="22">
        <f>IFERROR(__xludf.DUMMYFUNCTION("""COMPUTED_VALUE"""),1.1142)</f>
        <v>1.1142</v>
      </c>
      <c r="F1111" s="22">
        <f t="shared" si="8"/>
        <v>187.7969607</v>
      </c>
      <c r="G1111" s="22">
        <f t="shared" si="31"/>
        <v>9.575740862</v>
      </c>
      <c r="H1111" s="22">
        <f t="shared" si="32"/>
        <v>21.98398086</v>
      </c>
      <c r="I1111" s="22">
        <f t="shared" si="3"/>
        <v>0.8975049363</v>
      </c>
      <c r="J1111" s="22">
        <f t="shared" si="33"/>
        <v>-0.02943816191</v>
      </c>
    </row>
    <row r="1112" ht="15.75" customHeight="1">
      <c r="A1112" s="25">
        <f>IFERROR(__xludf.DUMMYFUNCTION("""COMPUTED_VALUE"""),43930.66666666667)</f>
        <v>43930.66667</v>
      </c>
      <c r="B1112" s="22">
        <f>IFERROR(__xludf.DUMMYFUNCTION("""COMPUTED_VALUE"""),2789.82)</f>
        <v>2789.82</v>
      </c>
      <c r="C1112" s="22">
        <f t="shared" si="6"/>
        <v>2790.92342</v>
      </c>
      <c r="D1112" s="25">
        <f>IFERROR(__xludf.DUMMYFUNCTION("""COMPUTED_VALUE"""),43911.99861111111)</f>
        <v>43911.99861</v>
      </c>
      <c r="E1112" s="22">
        <f>IFERROR(__xludf.DUMMYFUNCTION("""COMPUTED_VALUE"""),1.0761)</f>
        <v>1.0761</v>
      </c>
      <c r="F1112" s="22">
        <f t="shared" si="8"/>
        <v>203.3131804</v>
      </c>
      <c r="G1112" s="22">
        <f t="shared" si="31"/>
        <v>19.30567396</v>
      </c>
      <c r="H1112" s="22">
        <f t="shared" si="32"/>
        <v>32.4185896</v>
      </c>
      <c r="I1112" s="22">
        <f t="shared" si="3"/>
        <v>0.9292816653</v>
      </c>
      <c r="J1112" s="22">
        <f t="shared" si="33"/>
        <v>0.01226651798</v>
      </c>
    </row>
    <row r="1113" ht="15.75" customHeight="1">
      <c r="A1113" s="25">
        <f>IFERROR(__xludf.DUMMYFUNCTION("""COMPUTED_VALUE"""),43938.66666666667)</f>
        <v>43938.66667</v>
      </c>
      <c r="B1113" s="22">
        <f>IFERROR(__xludf.DUMMYFUNCTION("""COMPUTED_VALUE"""),2874.56)</f>
        <v>2874.56</v>
      </c>
      <c r="C1113" s="22">
        <f t="shared" si="6"/>
        <v>2875.796953</v>
      </c>
      <c r="D1113" s="25">
        <f>IFERROR(__xludf.DUMMYFUNCTION("""COMPUTED_VALUE"""),43918.99861111111)</f>
        <v>43918.99861</v>
      </c>
      <c r="E1113" s="22">
        <f>IFERROR(__xludf.DUMMYFUNCTION("""COMPUTED_VALUE"""),1.1166)</f>
        <v>1.1166</v>
      </c>
      <c r="F1113" s="22">
        <f t="shared" si="8"/>
        <v>217.3806211</v>
      </c>
      <c r="G1113" s="22">
        <f t="shared" si="31"/>
        <v>28.27524705</v>
      </c>
      <c r="H1113" s="22">
        <f t="shared" si="32"/>
        <v>38.25308975</v>
      </c>
      <c r="I1113" s="22">
        <f t="shared" si="3"/>
        <v>0.8955758553</v>
      </c>
      <c r="J1113" s="22">
        <f t="shared" si="33"/>
        <v>-0.01818018986</v>
      </c>
    </row>
    <row r="1114" ht="15.75" customHeight="1">
      <c r="A1114" s="25">
        <f>IFERROR(__xludf.DUMMYFUNCTION("""COMPUTED_VALUE"""),43945.66666666667)</f>
        <v>43945.66667</v>
      </c>
      <c r="B1114" s="22">
        <f>IFERROR(__xludf.DUMMYFUNCTION("""COMPUTED_VALUE"""),2836.74)</f>
        <v>2836.74</v>
      </c>
      <c r="C1114" s="22">
        <f t="shared" si="6"/>
        <v>2838.014526</v>
      </c>
      <c r="D1114" s="25">
        <f>IFERROR(__xludf.DUMMYFUNCTION("""COMPUTED_VALUE"""),43925.99861111111)</f>
        <v>43925.99861</v>
      </c>
      <c r="E1114" s="22">
        <f>IFERROR(__xludf.DUMMYFUNCTION("""COMPUTED_VALUE"""),1.0799)</f>
        <v>1.0799</v>
      </c>
      <c r="F1114" s="22">
        <f t="shared" si="8"/>
        <v>207.4737408</v>
      </c>
      <c r="G1114" s="22">
        <f t="shared" si="31"/>
        <v>21.3304652</v>
      </c>
      <c r="H1114" s="22">
        <f t="shared" si="32"/>
        <v>36.97487784</v>
      </c>
      <c r="I1114" s="22">
        <f t="shared" si="3"/>
        <v>0.9260116677</v>
      </c>
      <c r="J1114" s="22">
        <f t="shared" si="33"/>
        <v>-0.01768682285</v>
      </c>
    </row>
    <row r="1115" ht="15.75" customHeight="1">
      <c r="A1115" s="25">
        <f>IFERROR(__xludf.DUMMYFUNCTION("""COMPUTED_VALUE"""),43952.66666666667)</f>
        <v>43952.66667</v>
      </c>
      <c r="B1115" s="22">
        <f>IFERROR(__xludf.DUMMYFUNCTION("""COMPUTED_VALUE"""),2830.71)</f>
        <v>2830.71</v>
      </c>
      <c r="C1115" s="22">
        <f t="shared" si="6"/>
        <v>2831.967757</v>
      </c>
      <c r="D1115" s="25">
        <f>IFERROR(__xludf.DUMMYFUNCTION("""COMPUTED_VALUE"""),43932.99861111111)</f>
        <v>43932.99861</v>
      </c>
      <c r="E1115" s="22">
        <f>IFERROR(__xludf.DUMMYFUNCTION("""COMPUTED_VALUE"""),1.0935)</f>
        <v>1.0935</v>
      </c>
      <c r="F1115" s="22">
        <f t="shared" si="8"/>
        <v>209.6389975</v>
      </c>
      <c r="G1115" s="22">
        <f t="shared" si="31"/>
        <v>21.57262716</v>
      </c>
      <c r="H1115" s="22">
        <f t="shared" si="32"/>
        <v>35.39247403</v>
      </c>
      <c r="I1115" s="22">
        <f t="shared" si="3"/>
        <v>0.9144947417</v>
      </c>
      <c r="J1115" s="22">
        <f t="shared" si="33"/>
        <v>-0.01197988112</v>
      </c>
    </row>
    <row r="1116" ht="15.75" customHeight="1">
      <c r="A1116" s="25">
        <f>IFERROR(__xludf.DUMMYFUNCTION("""COMPUTED_VALUE"""),43959.66666666667)</f>
        <v>43959.66667</v>
      </c>
      <c r="B1116" s="22">
        <f>IFERROR(__xludf.DUMMYFUNCTION("""COMPUTED_VALUE"""),2929.8)</f>
        <v>2929.8</v>
      </c>
      <c r="C1116" s="22">
        <f t="shared" si="6"/>
        <v>2931.055083</v>
      </c>
      <c r="D1116" s="25">
        <f>IFERROR(__xludf.DUMMYFUNCTION("""COMPUTED_VALUE"""),43939.99861111111)</f>
        <v>43939.99861</v>
      </c>
      <c r="E1116" s="22">
        <f>IFERROR(__xludf.DUMMYFUNCTION("""COMPUTED_VALUE"""),1.0874)</f>
        <v>1.0874</v>
      </c>
      <c r="F1116" s="22">
        <f t="shared" si="8"/>
        <v>215.7636555</v>
      </c>
      <c r="G1116" s="22">
        <f t="shared" si="31"/>
        <v>24.28634318</v>
      </c>
      <c r="H1116" s="22">
        <f t="shared" si="32"/>
        <v>38.03754307</v>
      </c>
      <c r="I1116" s="22">
        <f t="shared" si="3"/>
        <v>0.9196247931</v>
      </c>
      <c r="J1116" s="22">
        <f t="shared" si="33"/>
        <v>-0.000137943719</v>
      </c>
    </row>
    <row r="1117" ht="15.75" customHeight="1">
      <c r="A1117" s="25">
        <f>IFERROR(__xludf.DUMMYFUNCTION("""COMPUTED_VALUE"""),43966.66666666667)</f>
        <v>43966.66667</v>
      </c>
      <c r="B1117" s="22">
        <f>IFERROR(__xludf.DUMMYFUNCTION("""COMPUTED_VALUE"""),2863.7)</f>
        <v>2863.7</v>
      </c>
      <c r="C1117" s="22">
        <f t="shared" si="6"/>
        <v>2864.999018</v>
      </c>
      <c r="D1117" s="25">
        <f>IFERROR(__xludf.DUMMYFUNCTION("""COMPUTED_VALUE"""),43946.99861111111)</f>
        <v>43946.99861</v>
      </c>
      <c r="E1117" s="22">
        <f>IFERROR(__xludf.DUMMYFUNCTION("""COMPUTED_VALUE"""),1.0822)</f>
        <v>1.0822</v>
      </c>
      <c r="F1117" s="22">
        <f t="shared" si="8"/>
        <v>209.8925334</v>
      </c>
      <c r="G1117" s="22">
        <f t="shared" si="31"/>
        <v>19.45345624</v>
      </c>
      <c r="H1117" s="22">
        <f t="shared" si="32"/>
        <v>30.20875267</v>
      </c>
      <c r="I1117" s="22">
        <f t="shared" si="3"/>
        <v>0.9240436149</v>
      </c>
      <c r="J1117" s="22">
        <f t="shared" si="33"/>
        <v>0.03446682683</v>
      </c>
    </row>
    <row r="1118" ht="15.75" customHeight="1">
      <c r="A1118" s="25">
        <f>IFERROR(__xludf.DUMMYFUNCTION("""COMPUTED_VALUE"""),43973.66666666667)</f>
        <v>43973.66667</v>
      </c>
      <c r="B1118" s="22">
        <f>IFERROR(__xludf.DUMMYFUNCTION("""COMPUTED_VALUE"""),2955.45)</f>
        <v>2955.45</v>
      </c>
      <c r="C1118" s="22">
        <f t="shared" si="6"/>
        <v>2956.71971</v>
      </c>
      <c r="D1118" s="25">
        <f>IFERROR(__xludf.DUMMYFUNCTION("""COMPUTED_VALUE"""),43953.99861111111)</f>
        <v>43953.99861</v>
      </c>
      <c r="E1118" s="22">
        <f>IFERROR(__xludf.DUMMYFUNCTION("""COMPUTED_VALUE"""),1.1093)</f>
        <v>1.1093</v>
      </c>
      <c r="F1118" s="22">
        <f t="shared" si="8"/>
        <v>222.036387</v>
      </c>
      <c r="G1118" s="22">
        <f t="shared" si="31"/>
        <v>23.41560219</v>
      </c>
      <c r="H1118" s="22">
        <f t="shared" si="32"/>
        <v>38.99921021</v>
      </c>
      <c r="I1118" s="22">
        <f t="shared" si="3"/>
        <v>0.9014693951</v>
      </c>
      <c r="J1118" s="22">
        <f t="shared" si="33"/>
        <v>0.008924547012</v>
      </c>
    </row>
    <row r="1119" ht="15.75" customHeight="1">
      <c r="A1119" s="25">
        <f>IFERROR(__xludf.DUMMYFUNCTION("""COMPUTED_VALUE"""),43980.66666666667)</f>
        <v>43980.66667</v>
      </c>
      <c r="B1119" s="22">
        <f>IFERROR(__xludf.DUMMYFUNCTION("""COMPUTED_VALUE"""),3044.31)</f>
        <v>3044.31</v>
      </c>
      <c r="C1119" s="22">
        <f t="shared" si="6"/>
        <v>3045.620391</v>
      </c>
      <c r="D1119" s="25">
        <f>IFERROR(__xludf.DUMMYFUNCTION("""COMPUTED_VALUE"""),43960.99861111111)</f>
        <v>43960.99861</v>
      </c>
      <c r="E1119" s="22">
        <f>IFERROR(__xludf.DUMMYFUNCTION("""COMPUTED_VALUE"""),1.0969)</f>
        <v>1.0969</v>
      </c>
      <c r="F1119" s="22">
        <f t="shared" si="8"/>
        <v>226.1558314</v>
      </c>
      <c r="G1119" s="22">
        <f t="shared" si="31"/>
        <v>25.2357266</v>
      </c>
      <c r="H1119" s="22">
        <f t="shared" si="32"/>
        <v>39.38733625</v>
      </c>
      <c r="I1119" s="22">
        <f t="shared" si="3"/>
        <v>0.9116601331</v>
      </c>
      <c r="J1119" s="22">
        <f t="shared" si="33"/>
        <v>0.04357735436</v>
      </c>
    </row>
    <row r="1120" ht="15.75" customHeight="1">
      <c r="A1120" s="25">
        <f>IFERROR(__xludf.DUMMYFUNCTION("""COMPUTED_VALUE"""),43987.66666666667)</f>
        <v>43987.66667</v>
      </c>
      <c r="B1120" s="22">
        <f>IFERROR(__xludf.DUMMYFUNCTION("""COMPUTED_VALUE"""),3193.93)</f>
        <v>3193.93</v>
      </c>
      <c r="C1120" s="22">
        <f t="shared" si="6"/>
        <v>3195.279789</v>
      </c>
      <c r="D1120" s="25">
        <f>IFERROR(__xludf.DUMMYFUNCTION("""COMPUTED_VALUE"""),43967.99861111111)</f>
        <v>43967.99861</v>
      </c>
      <c r="E1120" s="22">
        <f>IFERROR(__xludf.DUMMYFUNCTION("""COMPUTED_VALUE"""),1.08106)</f>
        <v>1.08106</v>
      </c>
      <c r="F1120" s="22">
        <f t="shared" si="8"/>
        <v>233.8426227</v>
      </c>
      <c r="G1120" s="22">
        <f t="shared" si="31"/>
        <v>26.69332364</v>
      </c>
      <c r="H1120" s="22">
        <f t="shared" si="32"/>
        <v>49.72716441</v>
      </c>
      <c r="I1120" s="22">
        <f t="shared" si="3"/>
        <v>0.9250180379</v>
      </c>
      <c r="J1120" s="22">
        <f t="shared" si="33"/>
        <v>0.01862986328</v>
      </c>
    </row>
    <row r="1121" ht="15.75" customHeight="1">
      <c r="A1121" s="25">
        <f>IFERROR(__xludf.DUMMYFUNCTION("""COMPUTED_VALUE"""),43994.66666666667)</f>
        <v>43994.66667</v>
      </c>
      <c r="B1121" s="22">
        <f>IFERROR(__xludf.DUMMYFUNCTION("""COMPUTED_VALUE"""),3041.31)</f>
        <v>3041.31</v>
      </c>
      <c r="C1121" s="22">
        <f t="shared" si="6"/>
        <v>3042.726128</v>
      </c>
      <c r="D1121" s="25">
        <f>IFERROR(__xludf.DUMMYFUNCTION("""COMPUTED_VALUE"""),43974.99861111111)</f>
        <v>43974.99861</v>
      </c>
      <c r="E1121" s="22">
        <f>IFERROR(__xludf.DUMMYFUNCTION("""COMPUTED_VALUE"""),1.0896)</f>
        <v>1.0896</v>
      </c>
      <c r="F1121" s="22">
        <f t="shared" si="8"/>
        <v>224.4372511</v>
      </c>
      <c r="G1121" s="22">
        <f t="shared" si="31"/>
        <v>21.80053082</v>
      </c>
      <c r="H1121" s="22">
        <f t="shared" si="32"/>
        <v>42.88339966</v>
      </c>
      <c r="I1121" s="22">
        <f t="shared" si="3"/>
        <v>0.9177679883</v>
      </c>
      <c r="J1121" s="22">
        <f t="shared" si="33"/>
        <v>0.008810572687</v>
      </c>
    </row>
    <row r="1122" ht="15.75" customHeight="1">
      <c r="A1122" s="25">
        <f>IFERROR(__xludf.DUMMYFUNCTION("""COMPUTED_VALUE"""),44001.66666666667)</f>
        <v>44001.66667</v>
      </c>
      <c r="B1122" s="22">
        <f>IFERROR(__xludf.DUMMYFUNCTION("""COMPUTED_VALUE"""),3097.74)</f>
        <v>3097.74</v>
      </c>
      <c r="C1122" s="22">
        <f t="shared" si="6"/>
        <v>3099.088459</v>
      </c>
      <c r="D1122" s="25">
        <f>IFERROR(__xludf.DUMMYFUNCTION("""COMPUTED_VALUE"""),43981.99861111111)</f>
        <v>43981.99861</v>
      </c>
      <c r="E1122" s="22">
        <f>IFERROR(__xludf.DUMMYFUNCTION("""COMPUTED_VALUE"""),1.11011)</f>
        <v>1.11011</v>
      </c>
      <c r="F1122" s="22">
        <f t="shared" si="8"/>
        <v>232.8975769</v>
      </c>
      <c r="G1122" s="22">
        <f t="shared" si="31"/>
        <v>24.99601056</v>
      </c>
      <c r="H1122" s="22">
        <f t="shared" si="32"/>
        <v>47.23429245</v>
      </c>
      <c r="I1122" s="22">
        <f t="shared" si="3"/>
        <v>0.9008116313</v>
      </c>
      <c r="J1122" s="22">
        <f t="shared" si="33"/>
        <v>0.001162047004</v>
      </c>
    </row>
    <row r="1123" ht="15.75" customHeight="1">
      <c r="A1123" s="25">
        <f>IFERROR(__xludf.DUMMYFUNCTION("""COMPUTED_VALUE"""),44008.66666666667)</f>
        <v>44008.66667</v>
      </c>
      <c r="B1123" s="22">
        <f>IFERROR(__xludf.DUMMYFUNCTION("""COMPUTED_VALUE"""),3009.05)</f>
        <v>3009.05</v>
      </c>
      <c r="C1123" s="22">
        <f t="shared" si="6"/>
        <v>3010.423479</v>
      </c>
      <c r="D1123" s="25">
        <f>IFERROR(__xludf.DUMMYFUNCTION("""COMPUTED_VALUE"""),43988.99861111111)</f>
        <v>43988.99861</v>
      </c>
      <c r="E1123" s="22">
        <f>IFERROR(__xludf.DUMMYFUNCTION("""COMPUTED_VALUE"""),1.12788)</f>
        <v>1.12788</v>
      </c>
      <c r="F1123" s="22">
        <f t="shared" si="8"/>
        <v>229.855802</v>
      </c>
      <c r="G1123" s="22">
        <f t="shared" si="31"/>
        <v>25.13021569</v>
      </c>
      <c r="H1123" s="22">
        <f t="shared" si="32"/>
        <v>45.12032141</v>
      </c>
      <c r="I1123" s="22">
        <f t="shared" si="3"/>
        <v>0.8866191439</v>
      </c>
      <c r="J1123" s="22">
        <f t="shared" si="33"/>
        <v>-0.001578182076</v>
      </c>
    </row>
    <row r="1124" ht="15.75" customHeight="1">
      <c r="A1124" s="25">
        <f>IFERROR(__xludf.DUMMYFUNCTION("""COMPUTED_VALUE"""),44014.66666666667)</f>
        <v>44014.66667</v>
      </c>
      <c r="B1124" s="22">
        <f>IFERROR(__xludf.DUMMYFUNCTION("""COMPUTED_VALUE"""),3130.01)</f>
        <v>3130.01</v>
      </c>
      <c r="C1124" s="22">
        <f t="shared" si="6"/>
        <v>3131.344156</v>
      </c>
      <c r="D1124" s="25">
        <f>IFERROR(__xludf.DUMMYFUNCTION("""COMPUTED_VALUE"""),43995.99861111111)</f>
        <v>43995.99861</v>
      </c>
      <c r="E1124" s="22">
        <f>IFERROR(__xludf.DUMMYFUNCTION("""COMPUTED_VALUE"""),1.1257)</f>
        <v>1.1257</v>
      </c>
      <c r="F1124" s="22">
        <f t="shared" si="8"/>
        <v>238.6263787</v>
      </c>
      <c r="G1124" s="22">
        <f t="shared" si="31"/>
        <v>29.90323215</v>
      </c>
      <c r="H1124" s="22">
        <f t="shared" si="32"/>
        <v>49.50176148</v>
      </c>
      <c r="I1124" s="22">
        <f t="shared" si="3"/>
        <v>0.8883361464</v>
      </c>
      <c r="J1124" s="22">
        <f t="shared" si="33"/>
        <v>0.008172692547</v>
      </c>
    </row>
    <row r="1125" ht="15.75" customHeight="1">
      <c r="A1125" s="25">
        <f>IFERROR(__xludf.DUMMYFUNCTION("""COMPUTED_VALUE"""),44022.66666666667)</f>
        <v>44022.66667</v>
      </c>
      <c r="B1125" s="22">
        <f>IFERROR(__xludf.DUMMYFUNCTION("""COMPUTED_VALUE"""),3185.04)</f>
        <v>3185.04</v>
      </c>
      <c r="C1125" s="22">
        <f t="shared" si="6"/>
        <v>3186.427787</v>
      </c>
      <c r="D1125" s="25">
        <f>IFERROR(__xludf.DUMMYFUNCTION("""COMPUTED_VALUE"""),44002.99861111111)</f>
        <v>44002.99861</v>
      </c>
      <c r="E1125" s="22">
        <f>IFERROR(__xludf.DUMMYFUNCTION("""COMPUTED_VALUE"""),1.11772)</f>
        <v>1.11772</v>
      </c>
      <c r="F1125" s="22">
        <f t="shared" si="8"/>
        <v>241.1027063</v>
      </c>
      <c r="G1125" s="22">
        <f t="shared" si="31"/>
        <v>29.34014457</v>
      </c>
      <c r="H1125" s="22">
        <f t="shared" si="32"/>
        <v>49.93271624</v>
      </c>
      <c r="I1125" s="22">
        <f t="shared" si="3"/>
        <v>0.8946784526</v>
      </c>
      <c r="J1125" s="22">
        <f t="shared" si="33"/>
        <v>-0.001091507712</v>
      </c>
    </row>
    <row r="1126" ht="15.75" customHeight="1">
      <c r="A1126" s="25">
        <f>IFERROR(__xludf.DUMMYFUNCTION("""COMPUTED_VALUE"""),44029.66666666667)</f>
        <v>44029.66667</v>
      </c>
      <c r="B1126" s="22">
        <f>IFERROR(__xludf.DUMMYFUNCTION("""COMPUTED_VALUE"""),3224.73)</f>
        <v>3224.73</v>
      </c>
      <c r="C1126" s="22">
        <f t="shared" si="6"/>
        <v>3226.142186</v>
      </c>
      <c r="D1126" s="25">
        <f>IFERROR(__xludf.DUMMYFUNCTION("""COMPUTED_VALUE"""),44009.99861111111)</f>
        <v>44009.99861</v>
      </c>
      <c r="E1126" s="22">
        <f>IFERROR(__xludf.DUMMYFUNCTION("""COMPUTED_VALUE"""),1.12191)</f>
        <v>1.12191</v>
      </c>
      <c r="F1126" s="22">
        <f t="shared" si="8"/>
        <v>245.0228041</v>
      </c>
      <c r="G1126" s="22">
        <f t="shared" si="31"/>
        <v>28.05970442</v>
      </c>
      <c r="H1126" s="22">
        <f t="shared" si="32"/>
        <v>56.52510948</v>
      </c>
      <c r="I1126" s="22">
        <f t="shared" si="3"/>
        <v>0.8913370948</v>
      </c>
      <c r="J1126" s="22">
        <f t="shared" si="33"/>
        <v>-0.009367952866</v>
      </c>
    </row>
    <row r="1127" ht="15.75" customHeight="1">
      <c r="A1127" s="25">
        <f>IFERROR(__xludf.DUMMYFUNCTION("""COMPUTED_VALUE"""),44036.66666666667)</f>
        <v>44036.66667</v>
      </c>
      <c r="B1127" s="22">
        <f>IFERROR(__xludf.DUMMYFUNCTION("""COMPUTED_VALUE"""),3215.63)</f>
        <v>3215.63</v>
      </c>
      <c r="C1127" s="22">
        <f t="shared" si="6"/>
        <v>3217.059784</v>
      </c>
      <c r="D1127" s="25">
        <f>IFERROR(__xludf.DUMMYFUNCTION("""COMPUTED_VALUE"""),44016.99861111111)</f>
        <v>44016.99861</v>
      </c>
      <c r="E1127" s="22">
        <f>IFERROR(__xludf.DUMMYFUNCTION("""COMPUTED_VALUE"""),1.1243)</f>
        <v>1.1243</v>
      </c>
      <c r="F1127" s="22">
        <f t="shared" si="8"/>
        <v>244.8535048</v>
      </c>
      <c r="G1127" s="22">
        <f t="shared" si="31"/>
        <v>28.3193674</v>
      </c>
      <c r="H1127" s="22">
        <f t="shared" si="32"/>
        <v>54.04559769</v>
      </c>
      <c r="I1127" s="22">
        <f t="shared" si="3"/>
        <v>0.8894423197</v>
      </c>
      <c r="J1127" s="22">
        <f t="shared" si="33"/>
        <v>-0.007782620297</v>
      </c>
    </row>
    <row r="1128" ht="15.75" customHeight="1">
      <c r="A1128" s="25">
        <f>IFERROR(__xludf.DUMMYFUNCTION("""COMPUTED_VALUE"""),44043.66666666667)</f>
        <v>44043.66667</v>
      </c>
      <c r="B1128" s="22">
        <f>IFERROR(__xludf.DUMMYFUNCTION("""COMPUTED_VALUE"""),3271.12)</f>
        <v>3271.12</v>
      </c>
      <c r="C1128" s="22">
        <f t="shared" si="6"/>
        <v>3272.545749</v>
      </c>
      <c r="D1128" s="25">
        <f>IFERROR(__xludf.DUMMYFUNCTION("""COMPUTED_VALUE"""),44023.99861111111)</f>
        <v>44023.99861</v>
      </c>
      <c r="E1128" s="22">
        <f>IFERROR(__xludf.DUMMYFUNCTION("""COMPUTED_VALUE"""),1.1299)</f>
        <v>1.1299</v>
      </c>
      <c r="F1128" s="22">
        <f t="shared" si="8"/>
        <v>250.3172147</v>
      </c>
      <c r="G1128" s="22">
        <f t="shared" si="31"/>
        <v>30.13304011</v>
      </c>
      <c r="H1128" s="22">
        <f t="shared" si="32"/>
        <v>64.31113061</v>
      </c>
      <c r="I1128" s="22">
        <f t="shared" si="3"/>
        <v>0.8850340738</v>
      </c>
      <c r="J1128" s="22">
        <f t="shared" si="33"/>
        <v>-0.04177360828</v>
      </c>
    </row>
    <row r="1129" ht="15.75" customHeight="1">
      <c r="A1129" s="25">
        <f>IFERROR(__xludf.DUMMYFUNCTION("""COMPUTED_VALUE"""),44050.66666666667)</f>
        <v>44050.66667</v>
      </c>
      <c r="B1129" s="22">
        <f>IFERROR(__xludf.DUMMYFUNCTION("""COMPUTED_VALUE"""),3351.28)</f>
        <v>3351.28</v>
      </c>
      <c r="C1129" s="22">
        <f t="shared" si="6"/>
        <v>3352.730353</v>
      </c>
      <c r="D1129" s="25">
        <f>IFERROR(__xludf.DUMMYFUNCTION("""COMPUTED_VALUE"""),44030.99861111111)</f>
        <v>44030.99861</v>
      </c>
      <c r="E1129" s="22">
        <f>IFERROR(__xludf.DUMMYFUNCTION("""COMPUTED_VALUE"""),1.14246)</f>
        <v>1.14246</v>
      </c>
      <c r="F1129" s="22">
        <f t="shared" si="8"/>
        <v>259.301251</v>
      </c>
      <c r="G1129" s="22">
        <f t="shared" si="31"/>
        <v>34.49961937</v>
      </c>
      <c r="H1129" s="22">
        <f t="shared" si="32"/>
        <v>66.71699935</v>
      </c>
      <c r="I1129" s="22">
        <f t="shared" si="3"/>
        <v>0.8753041682</v>
      </c>
      <c r="J1129" s="22">
        <f t="shared" si="33"/>
        <v>-0.03891602332</v>
      </c>
    </row>
    <row r="1130" ht="15.75" customHeight="1">
      <c r="A1130" s="25">
        <f>IFERROR(__xludf.DUMMYFUNCTION("""COMPUTED_VALUE"""),44057.66666666667)</f>
        <v>44057.66667</v>
      </c>
      <c r="B1130" s="22">
        <f>IFERROR(__xludf.DUMMYFUNCTION("""COMPUTED_VALUE"""),3372.85)</f>
        <v>3372.85</v>
      </c>
      <c r="C1130" s="22">
        <f t="shared" si="6"/>
        <v>3374.335894</v>
      </c>
      <c r="D1130" s="25">
        <f>IFERROR(__xludf.DUMMYFUNCTION("""COMPUTED_VALUE"""),44037.99861111111)</f>
        <v>44037.99861</v>
      </c>
      <c r="E1130" s="22">
        <f>IFERROR(__xludf.DUMMYFUNCTION("""COMPUTED_VALUE"""),1.16559)</f>
        <v>1.16559</v>
      </c>
      <c r="F1130" s="22">
        <f t="shared" si="8"/>
        <v>266.2558184</v>
      </c>
      <c r="G1130" s="22">
        <f t="shared" si="31"/>
        <v>37.90543743</v>
      </c>
      <c r="H1130" s="22">
        <f t="shared" si="32"/>
        <v>81.61280137</v>
      </c>
      <c r="I1130" s="22">
        <f t="shared" si="3"/>
        <v>0.8579346082</v>
      </c>
      <c r="J1130" s="22">
        <f t="shared" si="33"/>
        <v>-0.05773041979</v>
      </c>
    </row>
    <row r="1131" ht="15.75" customHeight="1">
      <c r="A1131" s="25">
        <f>IFERROR(__xludf.DUMMYFUNCTION("""COMPUTED_VALUE"""),44064.66666666667)</f>
        <v>44064.66667</v>
      </c>
      <c r="B1131" s="22">
        <f>IFERROR(__xludf.DUMMYFUNCTION("""COMPUTED_VALUE"""),3397.16)</f>
        <v>3397.16</v>
      </c>
      <c r="C1131" s="22">
        <f t="shared" si="6"/>
        <v>3398.655458</v>
      </c>
      <c r="D1131" s="25">
        <f>IFERROR(__xludf.DUMMYFUNCTION("""COMPUTED_VALUE"""),44044.99861111111)</f>
        <v>44044.99861</v>
      </c>
      <c r="E1131" s="22">
        <f>IFERROR(__xludf.DUMMYFUNCTION("""COMPUTED_VALUE"""),1.17719)</f>
        <v>1.17719</v>
      </c>
      <c r="F1131" s="22">
        <f t="shared" si="8"/>
        <v>270.8436678</v>
      </c>
      <c r="G1131" s="22">
        <f t="shared" si="31"/>
        <v>39.04105934</v>
      </c>
      <c r="H1131" s="22">
        <f t="shared" si="32"/>
        <v>83.37828034</v>
      </c>
      <c r="I1131" s="22">
        <f t="shared" si="3"/>
        <v>0.8494805426</v>
      </c>
      <c r="J1131" s="22">
        <f t="shared" si="33"/>
        <v>-0.06854458499</v>
      </c>
    </row>
    <row r="1132" ht="15.75" customHeight="1">
      <c r="A1132" s="25">
        <f>IFERROR(__xludf.DUMMYFUNCTION("""COMPUTED_VALUE"""),44071.66666666667)</f>
        <v>44071.66667</v>
      </c>
      <c r="B1132" s="22">
        <f>IFERROR(__xludf.DUMMYFUNCTION("""COMPUTED_VALUE"""),3508.01)</f>
        <v>3508.01</v>
      </c>
      <c r="C1132" s="22">
        <f t="shared" si="6"/>
        <v>3509.516236</v>
      </c>
      <c r="D1132" s="25">
        <f>IFERROR(__xludf.DUMMYFUNCTION("""COMPUTED_VALUE"""),44051.99861111111)</f>
        <v>44051.99861</v>
      </c>
      <c r="E1132" s="22">
        <f>IFERROR(__xludf.DUMMYFUNCTION("""COMPUTED_VALUE"""),1.1786)</f>
        <v>1.1786</v>
      </c>
      <c r="F1132" s="22">
        <f t="shared" si="8"/>
        <v>280.0133099</v>
      </c>
      <c r="G1132" s="22">
        <f t="shared" si="31"/>
        <v>41.26438882</v>
      </c>
      <c r="H1132" s="22">
        <f t="shared" si="32"/>
        <v>93.80181858</v>
      </c>
      <c r="I1132" s="22">
        <f t="shared" si="3"/>
        <v>0.8484642797</v>
      </c>
      <c r="J1132" s="22">
        <f t="shared" si="33"/>
        <v>-0.05786526387</v>
      </c>
    </row>
    <row r="1133" ht="15.75" customHeight="1">
      <c r="A1133" s="25">
        <f>IFERROR(__xludf.DUMMYFUNCTION("""COMPUTED_VALUE"""),44078.66666666667)</f>
        <v>44078.66667</v>
      </c>
      <c r="B1133" s="22">
        <f>IFERROR(__xludf.DUMMYFUNCTION("""COMPUTED_VALUE"""),3426.96)</f>
        <v>3426.96</v>
      </c>
      <c r="C1133" s="22">
        <f t="shared" si="6"/>
        <v>3428.515385</v>
      </c>
      <c r="D1133" s="25">
        <f>IFERROR(__xludf.DUMMYFUNCTION("""COMPUTED_VALUE"""),44058.99861111111)</f>
        <v>44058.99861</v>
      </c>
      <c r="E1133" s="22">
        <f>IFERROR(__xludf.DUMMYFUNCTION("""COMPUTED_VALUE"""),1.18408)</f>
        <v>1.18408</v>
      </c>
      <c r="F1133" s="22">
        <f t="shared" si="8"/>
        <v>274.8224018</v>
      </c>
      <c r="G1133" s="22">
        <f t="shared" si="31"/>
        <v>40.18406182</v>
      </c>
      <c r="H1133" s="22">
        <f t="shared" si="32"/>
        <v>81.78294692</v>
      </c>
      <c r="I1133" s="22">
        <f t="shared" si="3"/>
        <v>0.8445375312</v>
      </c>
      <c r="J1133" s="22">
        <f t="shared" si="33"/>
        <v>-0.03866292818</v>
      </c>
    </row>
    <row r="1134" ht="15.75" customHeight="1">
      <c r="A1134" s="25">
        <f>IFERROR(__xludf.DUMMYFUNCTION("""COMPUTED_VALUE"""),44085.66666666667)</f>
        <v>44085.66667</v>
      </c>
      <c r="B1134" s="22">
        <f>IFERROR(__xludf.DUMMYFUNCTION("""COMPUTED_VALUE"""),3340.97)</f>
        <v>3340.97</v>
      </c>
      <c r="C1134" s="22">
        <f t="shared" si="6"/>
        <v>3342.489449</v>
      </c>
      <c r="D1134" s="25">
        <f>IFERROR(__xludf.DUMMYFUNCTION("""COMPUTED_VALUE"""),44065.99861111111)</f>
        <v>44065.99861</v>
      </c>
      <c r="E1134" s="22">
        <f>IFERROR(__xludf.DUMMYFUNCTION("""COMPUTED_VALUE"""),1.17888)</f>
        <v>1.17888</v>
      </c>
      <c r="F1134" s="22">
        <f t="shared" si="8"/>
        <v>266.7501224</v>
      </c>
      <c r="G1134" s="22">
        <f t="shared" si="31"/>
        <v>32.11380087</v>
      </c>
      <c r="H1134" s="22">
        <f t="shared" si="32"/>
        <v>79.90649548</v>
      </c>
      <c r="I1134" s="22">
        <f t="shared" si="3"/>
        <v>0.8482627579</v>
      </c>
      <c r="J1134" s="22">
        <f t="shared" si="33"/>
        <v>-0.05155741042</v>
      </c>
    </row>
    <row r="1135" ht="15.75" customHeight="1">
      <c r="A1135" s="25">
        <f>IFERROR(__xludf.DUMMYFUNCTION("""COMPUTED_VALUE"""),44092.66666666667)</f>
        <v>44092.66667</v>
      </c>
      <c r="B1135" s="22">
        <f>IFERROR(__xludf.DUMMYFUNCTION("""COMPUTED_VALUE"""),3319.47)</f>
        <v>3319.47</v>
      </c>
      <c r="C1135" s="22">
        <f t="shared" si="6"/>
        <v>3320.951323</v>
      </c>
      <c r="D1135" s="25">
        <f>IFERROR(__xludf.DUMMYFUNCTION("""COMPUTED_VALUE"""),44072.99861111111)</f>
        <v>44072.99861</v>
      </c>
      <c r="E1135" s="22">
        <f>IFERROR(__xludf.DUMMYFUNCTION("""COMPUTED_VALUE"""),1.18924)</f>
        <v>1.18924</v>
      </c>
      <c r="F1135" s="22">
        <f t="shared" si="8"/>
        <v>267.3603497</v>
      </c>
      <c r="G1135" s="22">
        <f t="shared" si="31"/>
        <v>33.01262337</v>
      </c>
      <c r="H1135" s="22">
        <f t="shared" si="32"/>
        <v>83.31721065</v>
      </c>
      <c r="I1135" s="22">
        <f t="shared" si="3"/>
        <v>0.8408731627</v>
      </c>
      <c r="J1135" s="22">
        <f t="shared" si="33"/>
        <v>-0.0624264236</v>
      </c>
    </row>
    <row r="1136" ht="15.75" customHeight="1">
      <c r="A1136" s="25">
        <f>IFERROR(__xludf.DUMMYFUNCTION("""COMPUTED_VALUE"""),44099.66666666667)</f>
        <v>44099.66667</v>
      </c>
      <c r="B1136" s="22">
        <f>IFERROR(__xludf.DUMMYFUNCTION("""COMPUTED_VALUE"""),3298.46)</f>
        <v>3298.46</v>
      </c>
      <c r="C1136" s="22">
        <f t="shared" si="6"/>
        <v>3299.93179</v>
      </c>
      <c r="D1136" s="25">
        <f>IFERROR(__xludf.DUMMYFUNCTION("""COMPUTED_VALUE"""),44079.99861111111)</f>
        <v>44079.99861</v>
      </c>
      <c r="E1136" s="22">
        <f>IFERROR(__xludf.DUMMYFUNCTION("""COMPUTED_VALUE"""),1.18337)</f>
        <v>1.18337</v>
      </c>
      <c r="F1136" s="22">
        <f t="shared" si="8"/>
        <v>264.3568088</v>
      </c>
      <c r="G1136" s="22">
        <f t="shared" si="31"/>
        <v>28.72470451</v>
      </c>
      <c r="H1136" s="22">
        <f t="shared" si="32"/>
        <v>76.4207384</v>
      </c>
      <c r="I1136" s="22">
        <f t="shared" si="3"/>
        <v>0.8450442381</v>
      </c>
      <c r="J1136" s="22">
        <f t="shared" si="33"/>
        <v>-0.04186349155</v>
      </c>
    </row>
    <row r="1137" ht="15.75" customHeight="1">
      <c r="A1137" s="25">
        <f>IFERROR(__xludf.DUMMYFUNCTION("""COMPUTED_VALUE"""),44106.66666666667)</f>
        <v>44106.66667</v>
      </c>
      <c r="B1137" s="22">
        <f>IFERROR(__xludf.DUMMYFUNCTION("""COMPUTED_VALUE"""),3348.44)</f>
        <v>3348.44</v>
      </c>
      <c r="C1137" s="22">
        <f t="shared" si="6"/>
        <v>3349.902475</v>
      </c>
      <c r="D1137" s="25">
        <f>IFERROR(__xludf.DUMMYFUNCTION("""COMPUTED_VALUE"""),44086.99861111111)</f>
        <v>44086.99861</v>
      </c>
      <c r="E1137" s="22">
        <f>IFERROR(__xludf.DUMMYFUNCTION("""COMPUTED_VALUE"""),1.18369)</f>
        <v>1.18369</v>
      </c>
      <c r="F1137" s="22">
        <f t="shared" si="8"/>
        <v>268.4325177</v>
      </c>
      <c r="G1137" s="22">
        <f t="shared" si="31"/>
        <v>30.16794193</v>
      </c>
      <c r="H1137" s="22">
        <f t="shared" si="32"/>
        <v>74.05121182</v>
      </c>
      <c r="I1137" s="22">
        <f t="shared" si="3"/>
        <v>0.8448157879</v>
      </c>
      <c r="J1137" s="22">
        <f t="shared" si="33"/>
        <v>-0.0451891965</v>
      </c>
    </row>
    <row r="1138" ht="15.75" customHeight="1">
      <c r="A1138" s="25">
        <f>IFERROR(__xludf.DUMMYFUNCTION("""COMPUTED_VALUE"""),44113.66666666667)</f>
        <v>44113.66667</v>
      </c>
      <c r="B1138" s="22">
        <f>IFERROR(__xludf.DUMMYFUNCTION("""COMPUTED_VALUE"""),3477.13)</f>
        <v>3477.13</v>
      </c>
      <c r="C1138" s="22">
        <f t="shared" si="6"/>
        <v>3478.614635</v>
      </c>
      <c r="D1138" s="25">
        <f>IFERROR(__xludf.DUMMYFUNCTION("""COMPUTED_VALUE"""),44093.99861111111)</f>
        <v>44093.99861</v>
      </c>
      <c r="E1138" s="22">
        <f>IFERROR(__xludf.DUMMYFUNCTION("""COMPUTED_VALUE"""),1.18381)</f>
        <v>1.18381</v>
      </c>
      <c r="F1138" s="22">
        <f t="shared" si="8"/>
        <v>278.7746675</v>
      </c>
      <c r="G1138" s="22">
        <f t="shared" si="31"/>
        <v>34.92263191</v>
      </c>
      <c r="H1138" s="22">
        <f t="shared" si="32"/>
        <v>80.87983509</v>
      </c>
      <c r="I1138" s="22">
        <f t="shared" si="3"/>
        <v>0.844730151</v>
      </c>
      <c r="J1138" s="22">
        <f t="shared" si="33"/>
        <v>-0.05449354204</v>
      </c>
    </row>
    <row r="1139" ht="15.75" customHeight="1">
      <c r="A1139" s="25">
        <f>IFERROR(__xludf.DUMMYFUNCTION("""COMPUTED_VALUE"""),44120.66666666667)</f>
        <v>44120.66667</v>
      </c>
      <c r="B1139" s="22">
        <f>IFERROR(__xludf.DUMMYFUNCTION("""COMPUTED_VALUE"""),3483.81)</f>
        <v>3483.81</v>
      </c>
      <c r="C1139" s="22">
        <f t="shared" si="6"/>
        <v>3485.351694</v>
      </c>
      <c r="D1139" s="25">
        <f>IFERROR(__xludf.DUMMYFUNCTION("""COMPUTED_VALUE"""),44100.99861111111)</f>
        <v>44100.99861</v>
      </c>
      <c r="E1139" s="22">
        <f>IFERROR(__xludf.DUMMYFUNCTION("""COMPUTED_VALUE"""),1.16272)</f>
        <v>1.16272</v>
      </c>
      <c r="F1139" s="22">
        <f t="shared" si="8"/>
        <v>274.3384831</v>
      </c>
      <c r="G1139" s="22">
        <f t="shared" si="31"/>
        <v>33.1574229</v>
      </c>
      <c r="H1139" s="22">
        <f t="shared" si="32"/>
        <v>74.14731008</v>
      </c>
      <c r="I1139" s="22">
        <f t="shared" si="3"/>
        <v>0.8600522912</v>
      </c>
      <c r="J1139" s="22">
        <f t="shared" si="33"/>
        <v>-0.03596738682</v>
      </c>
    </row>
    <row r="1140" ht="15.75" customHeight="1">
      <c r="A1140" s="25">
        <f>IFERROR(__xludf.DUMMYFUNCTION("""COMPUTED_VALUE"""),44127.66666666667)</f>
        <v>44127.66667</v>
      </c>
      <c r="B1140" s="22">
        <f>IFERROR(__xludf.DUMMYFUNCTION("""COMPUTED_VALUE"""),3465.39)</f>
        <v>3465.39</v>
      </c>
      <c r="C1140" s="22">
        <f t="shared" si="6"/>
        <v>3466.934655</v>
      </c>
      <c r="D1140" s="25">
        <f>IFERROR(__xludf.DUMMYFUNCTION("""COMPUTED_VALUE"""),44107.99861111111)</f>
        <v>44107.99861</v>
      </c>
      <c r="E1140" s="22">
        <f>IFERROR(__xludf.DUMMYFUNCTION("""COMPUTED_VALUE"""),1.17154)</f>
        <v>1.17154</v>
      </c>
      <c r="F1140" s="22">
        <f t="shared" si="8"/>
        <v>274.9588862</v>
      </c>
      <c r="G1140" s="22">
        <f t="shared" si="31"/>
        <v>34.07223893</v>
      </c>
      <c r="H1140" s="22">
        <f t="shared" si="32"/>
        <v>71.96183734</v>
      </c>
      <c r="I1140" s="22">
        <f t="shared" si="3"/>
        <v>0.8535773426</v>
      </c>
      <c r="J1140" s="22">
        <f t="shared" si="33"/>
        <v>-0.03084828516</v>
      </c>
    </row>
    <row r="1141" ht="15.75" customHeight="1">
      <c r="A1141" s="25">
        <f>IFERROR(__xludf.DUMMYFUNCTION("""COMPUTED_VALUE"""),44134.66666666667)</f>
        <v>44134.66667</v>
      </c>
      <c r="B1141" s="22">
        <f>IFERROR(__xludf.DUMMYFUNCTION("""COMPUTED_VALUE"""),3269.96)</f>
        <v>3269.96</v>
      </c>
      <c r="C1141" s="22">
        <f t="shared" si="6"/>
        <v>3271.496488</v>
      </c>
      <c r="D1141" s="25">
        <f>IFERROR(__xludf.DUMMYFUNCTION("""COMPUTED_VALUE"""),44114.99861111111)</f>
        <v>44114.99861</v>
      </c>
      <c r="E1141" s="22">
        <f>IFERROR(__xludf.DUMMYFUNCTION("""COMPUTED_VALUE"""),1.18252)</f>
        <v>1.18252</v>
      </c>
      <c r="F1141" s="22">
        <f t="shared" si="8"/>
        <v>261.8906151</v>
      </c>
      <c r="G1141" s="22">
        <f t="shared" si="31"/>
        <v>26.41774622</v>
      </c>
      <c r="H1141" s="22">
        <f t="shared" si="32"/>
        <v>62.27708051</v>
      </c>
      <c r="I1141" s="22">
        <f t="shared" si="3"/>
        <v>0.8456516592</v>
      </c>
      <c r="J1141" s="22">
        <f t="shared" si="33"/>
        <v>-0.04005851909</v>
      </c>
    </row>
    <row r="1142" ht="15.75" customHeight="1">
      <c r="A1142" s="25">
        <f>IFERROR(__xludf.DUMMYFUNCTION("""COMPUTED_VALUE"""),44141.66666666667)</f>
        <v>44141.66667</v>
      </c>
      <c r="B1142" s="22">
        <f>IFERROR(__xludf.DUMMYFUNCTION("""COMPUTED_VALUE"""),3509.44)</f>
        <v>3509.44</v>
      </c>
      <c r="C1142" s="22">
        <f t="shared" si="6"/>
        <v>3510.889838</v>
      </c>
      <c r="D1142" s="25">
        <f>IFERROR(__xludf.DUMMYFUNCTION("""COMPUTED_VALUE"""),44121.99861111111)</f>
        <v>44121.99861</v>
      </c>
      <c r="E1142" s="22">
        <f>IFERROR(__xludf.DUMMYFUNCTION("""COMPUTED_VALUE"""),1.17093)</f>
        <v>1.17093</v>
      </c>
      <c r="F1142" s="22">
        <f t="shared" si="8"/>
        <v>278.2999436</v>
      </c>
      <c r="G1142" s="22">
        <f t="shared" si="31"/>
        <v>35.08378532</v>
      </c>
      <c r="H1142" s="22">
        <f t="shared" si="32"/>
        <v>84.41609973</v>
      </c>
      <c r="I1142" s="22">
        <f t="shared" si="3"/>
        <v>0.8540220167</v>
      </c>
      <c r="J1142" s="22">
        <f t="shared" si="33"/>
        <v>-0.05938015082</v>
      </c>
    </row>
    <row r="1143" ht="15.75" customHeight="1">
      <c r="A1143" s="25">
        <f>IFERROR(__xludf.DUMMYFUNCTION("""COMPUTED_VALUE"""),44148.66666666667)</f>
        <v>44148.66667</v>
      </c>
      <c r="B1143" s="22">
        <f>IFERROR(__xludf.DUMMYFUNCTION("""COMPUTED_VALUE"""),3585.15)</f>
        <v>3585.15</v>
      </c>
      <c r="C1143" s="22">
        <f t="shared" si="6"/>
        <v>3586.706019</v>
      </c>
      <c r="D1143" s="25">
        <f>IFERROR(__xludf.DUMMYFUNCTION("""COMPUTED_VALUE"""),44128.99861111111)</f>
        <v>44128.99861</v>
      </c>
      <c r="E1143" s="22">
        <f>IFERROR(__xludf.DUMMYFUNCTION("""COMPUTED_VALUE"""),1.18542)</f>
        <v>1.18542</v>
      </c>
      <c r="F1143" s="22">
        <f t="shared" si="8"/>
        <v>287.827983</v>
      </c>
      <c r="G1143" s="22">
        <f t="shared" si="31"/>
        <v>41.96842939</v>
      </c>
      <c r="H1143" s="22">
        <f t="shared" si="32"/>
        <v>84.83249237</v>
      </c>
      <c r="I1143" s="22">
        <f t="shared" si="3"/>
        <v>0.8435828651</v>
      </c>
      <c r="J1143" s="22">
        <f t="shared" si="33"/>
        <v>-0.07155269862</v>
      </c>
    </row>
    <row r="1144" ht="15.75" customHeight="1">
      <c r="A1144" s="25">
        <f>IFERROR(__xludf.DUMMYFUNCTION("""COMPUTED_VALUE"""),44155.66666666667)</f>
        <v>44155.66667</v>
      </c>
      <c r="B1144" s="22">
        <f>IFERROR(__xludf.DUMMYFUNCTION("""COMPUTED_VALUE"""),3557.54)</f>
        <v>3557.54</v>
      </c>
      <c r="C1144" s="22">
        <f t="shared" si="6"/>
        <v>3559.129588</v>
      </c>
      <c r="D1144" s="25">
        <f>IFERROR(__xludf.DUMMYFUNCTION("""COMPUTED_VALUE"""),44134.99861111111)</f>
        <v>44134.99861</v>
      </c>
      <c r="E1144" s="22">
        <f>IFERROR(__xludf.DUMMYFUNCTION("""COMPUTED_VALUE"""),1.1675)</f>
        <v>1.1675</v>
      </c>
      <c r="F1144" s="22">
        <f t="shared" si="8"/>
        <v>281.2973706</v>
      </c>
      <c r="G1144" s="22">
        <f t="shared" si="31"/>
        <v>37.37292897</v>
      </c>
      <c r="H1144" s="22">
        <f t="shared" si="32"/>
        <v>85.01827132</v>
      </c>
      <c r="I1144" s="22">
        <f t="shared" si="3"/>
        <v>0.8565310493</v>
      </c>
      <c r="J1144" s="22">
        <f t="shared" si="33"/>
        <v>-0.08004282655</v>
      </c>
    </row>
    <row r="1145" ht="15.75" customHeight="1">
      <c r="A1145" s="25">
        <f>IFERROR(__xludf.DUMMYFUNCTION("""COMPUTED_VALUE"""),44162.54166666667)</f>
        <v>44162.54167</v>
      </c>
      <c r="B1145" s="22">
        <f>IFERROR(__xludf.DUMMYFUNCTION("""COMPUTED_VALUE"""),3638.35)</f>
        <v>3638.35</v>
      </c>
      <c r="C1145" s="22">
        <f t="shared" si="6"/>
        <v>3639.927346</v>
      </c>
      <c r="D1145" s="25">
        <f>IFERROR(__xludf.DUMMYFUNCTION("""COMPUTED_VALUE"""),44142.99861111111)</f>
        <v>44142.99861</v>
      </c>
      <c r="E1145" s="22">
        <f>IFERROR(__xludf.DUMMYFUNCTION("""COMPUTED_VALUE"""),1.1872)</f>
        <v>1.1872</v>
      </c>
      <c r="F1145" s="22">
        <f t="shared" si="8"/>
        <v>292.5375268</v>
      </c>
      <c r="G1145" s="22">
        <f t="shared" si="31"/>
        <v>40.14359962</v>
      </c>
      <c r="H1145" s="22">
        <f t="shared" si="32"/>
        <v>91.82838869</v>
      </c>
      <c r="I1145" s="22">
        <f t="shared" si="3"/>
        <v>0.8423180593</v>
      </c>
      <c r="J1145" s="22">
        <f t="shared" si="33"/>
        <v>-0.09324460916</v>
      </c>
    </row>
    <row r="1146" ht="15.75" customHeight="1">
      <c r="A1146" s="25">
        <f>IFERROR(__xludf.DUMMYFUNCTION("""COMPUTED_VALUE"""),44169.66666666667)</f>
        <v>44169.66667</v>
      </c>
      <c r="B1146" s="22">
        <f>IFERROR(__xludf.DUMMYFUNCTION("""COMPUTED_VALUE"""),3699.12)</f>
        <v>3699.12</v>
      </c>
      <c r="C1146" s="22">
        <f t="shared" si="6"/>
        <v>3700.733176</v>
      </c>
      <c r="D1146" s="25">
        <f>IFERROR(__xludf.DUMMYFUNCTION("""COMPUTED_VALUE"""),44149.99861111111)</f>
        <v>44149.99861</v>
      </c>
      <c r="E1146" s="22">
        <f>IFERROR(__xludf.DUMMYFUNCTION("""COMPUTED_VALUE"""),1.18275)</f>
        <v>1.18275</v>
      </c>
      <c r="F1146" s="22">
        <f t="shared" si="8"/>
        <v>296.3095934</v>
      </c>
      <c r="G1146" s="22">
        <f t="shared" si="31"/>
        <v>39.87865515</v>
      </c>
      <c r="H1146" s="22">
        <f t="shared" si="32"/>
        <v>104.1952052</v>
      </c>
      <c r="I1146" s="22">
        <f t="shared" si="3"/>
        <v>0.845487212</v>
      </c>
      <c r="J1146" s="22">
        <f t="shared" si="33"/>
        <v>-0.09980976538</v>
      </c>
    </row>
    <row r="1147" ht="15.75" customHeight="1">
      <c r="A1147" s="25">
        <f>IFERROR(__xludf.DUMMYFUNCTION("""COMPUTED_VALUE"""),44176.66666666667)</f>
        <v>44176.66667</v>
      </c>
      <c r="B1147" s="22">
        <f>IFERROR(__xludf.DUMMYFUNCTION("""COMPUTED_VALUE"""),3663.46)</f>
        <v>3663.46</v>
      </c>
      <c r="C1147" s="22">
        <f t="shared" si="6"/>
        <v>3665.10012</v>
      </c>
      <c r="D1147" s="25">
        <f>IFERROR(__xludf.DUMMYFUNCTION("""COMPUTED_VALUE"""),44155.99861111111)</f>
        <v>44155.99861</v>
      </c>
      <c r="E1147" s="22">
        <f>IFERROR(__xludf.DUMMYFUNCTION("""COMPUTED_VALUE"""),1.18526)</f>
        <v>1.18526</v>
      </c>
      <c r="F1147" s="22">
        <f t="shared" si="8"/>
        <v>294.0792983</v>
      </c>
      <c r="G1147" s="22">
        <f t="shared" si="31"/>
        <v>36.02320018</v>
      </c>
      <c r="H1147" s="22">
        <f t="shared" si="32"/>
        <v>104.4258628</v>
      </c>
      <c r="I1147" s="22">
        <f t="shared" si="3"/>
        <v>0.8436967416</v>
      </c>
      <c r="J1147" s="22">
        <f t="shared" si="33"/>
        <v>-0.1064407809</v>
      </c>
    </row>
    <row r="1148" ht="15.75" customHeight="1">
      <c r="A1148" s="25">
        <f>IFERROR(__xludf.DUMMYFUNCTION("""COMPUTED_VALUE"""),44183.66666666667)</f>
        <v>44183.66667</v>
      </c>
      <c r="B1148" s="22">
        <f>IFERROR(__xludf.DUMMYFUNCTION("""COMPUTED_VALUE"""),3709.41)</f>
        <v>3709.41</v>
      </c>
      <c r="C1148" s="22">
        <f t="shared" si="6"/>
        <v>3711.034309</v>
      </c>
      <c r="D1148" s="25">
        <f>IFERROR(__xludf.DUMMYFUNCTION("""COMPUTED_VALUE"""),44163.99861111111)</f>
        <v>44163.99861</v>
      </c>
      <c r="E1148" s="22">
        <f>IFERROR(__xludf.DUMMYFUNCTION("""COMPUTED_VALUE"""),1.1962)</f>
        <v>1.1962</v>
      </c>
      <c r="F1148" s="22">
        <f t="shared" si="8"/>
        <v>300.5133362</v>
      </c>
      <c r="G1148" s="22">
        <f t="shared" si="31"/>
        <v>39.051663</v>
      </c>
      <c r="H1148" s="22">
        <f t="shared" si="32"/>
        <v>97.85488563</v>
      </c>
      <c r="I1148" s="22">
        <f t="shared" si="3"/>
        <v>0.8359806052</v>
      </c>
      <c r="J1148" s="22">
        <f t="shared" si="33"/>
        <v>-0.0903277044</v>
      </c>
    </row>
    <row r="1149" ht="15.75" customHeight="1">
      <c r="A1149" s="25">
        <f>IFERROR(__xludf.DUMMYFUNCTION("""COMPUTED_VALUE"""),44188.66666666667)</f>
        <v>44188.66667</v>
      </c>
      <c r="B1149" s="22">
        <f>IFERROR(__xludf.DUMMYFUNCTION("""COMPUTED_VALUE"""),3690.01)</f>
        <v>3690.01</v>
      </c>
      <c r="C1149" s="22">
        <f t="shared" si="6"/>
        <v>3691.654682</v>
      </c>
      <c r="D1149" s="25">
        <f>IFERROR(__xludf.DUMMYFUNCTION("""COMPUTED_VALUE"""),44170.99861111111)</f>
        <v>44170.99861</v>
      </c>
      <c r="E1149" s="22">
        <f>IFERROR(__xludf.DUMMYFUNCTION("""COMPUTED_VALUE"""),1.212)</f>
        <v>1.212</v>
      </c>
      <c r="F1149" s="22">
        <f t="shared" si="8"/>
        <v>302.8926066</v>
      </c>
      <c r="G1149" s="22">
        <f t="shared" si="31"/>
        <v>42.19273301</v>
      </c>
      <c r="H1149" s="22">
        <f t="shared" si="32"/>
        <v>99.06032403</v>
      </c>
      <c r="I1149" s="22">
        <f t="shared" si="3"/>
        <v>0.8250825083</v>
      </c>
      <c r="J1149" s="22">
        <f t="shared" si="33"/>
        <v>-0.09306930693</v>
      </c>
    </row>
    <row r="1150" ht="15.75" customHeight="1">
      <c r="A1150" s="25">
        <f>IFERROR(__xludf.DUMMYFUNCTION("""COMPUTED_VALUE"""),44196.66666666667)</f>
        <v>44196.66667</v>
      </c>
      <c r="B1150" s="22">
        <f>IFERROR(__xludf.DUMMYFUNCTION("""COMPUTED_VALUE"""),3756.07)</f>
        <v>3756.07</v>
      </c>
      <c r="C1150" s="22">
        <f t="shared" si="6"/>
        <v>3757.706081</v>
      </c>
      <c r="D1150" s="25">
        <f>IFERROR(__xludf.DUMMYFUNCTION("""COMPUTED_VALUE"""),44177.99861111111)</f>
        <v>44177.99861</v>
      </c>
      <c r="E1150" s="22">
        <f>IFERROR(__xludf.DUMMYFUNCTION("""COMPUTED_VALUE"""),1.2113)</f>
        <v>1.2113</v>
      </c>
      <c r="F1150" s="22">
        <f t="shared" si="8"/>
        <v>308.1339188</v>
      </c>
      <c r="G1150" s="22">
        <f t="shared" si="31"/>
        <v>41.08519717</v>
      </c>
      <c r="H1150" s="22">
        <f t="shared" si="32"/>
        <v>117.8351447</v>
      </c>
      <c r="I1150" s="22">
        <f t="shared" si="3"/>
        <v>0.8255593164</v>
      </c>
      <c r="J1150" s="22">
        <f t="shared" si="33"/>
        <v>-0.10292248</v>
      </c>
    </row>
    <row r="1151" ht="15.75" customHeight="1">
      <c r="A1151" s="25">
        <f>IFERROR(__xludf.DUMMYFUNCTION("""COMPUTED_VALUE"""),44204.66666666667)</f>
        <v>44204.66667</v>
      </c>
      <c r="B1151" s="22">
        <f>IFERROR(__xludf.DUMMYFUNCTION("""COMPUTED_VALUE"""),3824.68)</f>
        <v>3824.68</v>
      </c>
      <c r="C1151" s="22">
        <f t="shared" si="6"/>
        <v>3826.34537</v>
      </c>
      <c r="D1151" s="25">
        <f>IFERROR(__xludf.DUMMYFUNCTION("""COMPUTED_VALUE"""),44184.99861111111)</f>
        <v>44184.99861</v>
      </c>
      <c r="E1151" s="22">
        <f>IFERROR(__xludf.DUMMYFUNCTION("""COMPUTED_VALUE"""),1.22547)</f>
        <v>1.22547</v>
      </c>
      <c r="F1151" s="22">
        <f t="shared" si="8"/>
        <v>317.4328248</v>
      </c>
      <c r="G1151" s="22">
        <f t="shared" si="31"/>
        <v>41.86241343</v>
      </c>
      <c r="H1151" s="22">
        <f t="shared" si="32"/>
        <v>127.1800515</v>
      </c>
      <c r="I1151" s="22">
        <f t="shared" si="3"/>
        <v>0.8160134479</v>
      </c>
      <c r="J1151" s="22">
        <f t="shared" si="33"/>
        <v>-0.104670045</v>
      </c>
    </row>
    <row r="1152" ht="15.75" customHeight="1">
      <c r="A1152" s="25">
        <f>IFERROR(__xludf.DUMMYFUNCTION("""COMPUTED_VALUE"""),44211.66666666667)</f>
        <v>44211.66667</v>
      </c>
      <c r="B1152" s="22">
        <f>IFERROR(__xludf.DUMMYFUNCTION("""COMPUTED_VALUE"""),3768.25)</f>
        <v>3768.25</v>
      </c>
      <c r="C1152" s="22">
        <f t="shared" si="6"/>
        <v>3769.945791</v>
      </c>
      <c r="D1152" s="25">
        <f>IFERROR(__xludf.DUMMYFUNCTION("""COMPUTED_VALUE"""),44191.99861111111)</f>
        <v>44191.99861</v>
      </c>
      <c r="E1152" s="22">
        <f>IFERROR(__xludf.DUMMYFUNCTION("""COMPUTED_VALUE"""),1.2151)</f>
        <v>1.2151</v>
      </c>
      <c r="F1152" s="22">
        <f t="shared" si="8"/>
        <v>310.1073849</v>
      </c>
      <c r="G1152" s="22">
        <f t="shared" si="31"/>
        <v>35.80973962</v>
      </c>
      <c r="H1152" s="22">
        <f t="shared" si="32"/>
        <v>122.0727244</v>
      </c>
      <c r="I1152" s="22">
        <f t="shared" si="3"/>
        <v>0.8229775327</v>
      </c>
      <c r="J1152" s="22">
        <f t="shared" si="33"/>
        <v>-0.1101390832</v>
      </c>
    </row>
    <row r="1153" ht="15.75" customHeight="1">
      <c r="A1153" s="25">
        <f>IFERROR(__xludf.DUMMYFUNCTION("""COMPUTED_VALUE"""),44218.66666666667)</f>
        <v>44218.66667</v>
      </c>
      <c r="B1153" s="22">
        <f>IFERROR(__xludf.DUMMYFUNCTION("""COMPUTED_VALUE"""),3841.47)</f>
        <v>3841.47</v>
      </c>
      <c r="C1153" s="22">
        <f t="shared" si="6"/>
        <v>3843.140771</v>
      </c>
      <c r="D1153" s="25">
        <f>IFERROR(__xludf.DUMMYFUNCTION("""COMPUTED_VALUE"""),44198.99861111111)</f>
        <v>44198.99861</v>
      </c>
      <c r="E1153" s="22">
        <f>IFERROR(__xludf.DUMMYFUNCTION("""COMPUTED_VALUE"""),1.20108)</f>
        <v>1.20108</v>
      </c>
      <c r="F1153" s="22">
        <f t="shared" si="8"/>
        <v>312.4807083</v>
      </c>
      <c r="G1153" s="22">
        <f t="shared" si="31"/>
        <v>33.52436182</v>
      </c>
      <c r="H1153" s="22">
        <f t="shared" si="32"/>
        <v>117.8063194</v>
      </c>
      <c r="I1153" s="22">
        <f t="shared" si="3"/>
        <v>0.8325840077</v>
      </c>
      <c r="J1153" s="22">
        <f t="shared" si="33"/>
        <v>-0.09098478036</v>
      </c>
    </row>
    <row r="1154" ht="15.75" customHeight="1">
      <c r="A1154" s="25">
        <f>IFERROR(__xludf.DUMMYFUNCTION("""COMPUTED_VALUE"""),44225.66666666667)</f>
        <v>44225.66667</v>
      </c>
      <c r="B1154" s="22">
        <f>IFERROR(__xludf.DUMMYFUNCTION("""COMPUTED_VALUE"""),3714.24)</f>
        <v>3714.24</v>
      </c>
      <c r="C1154" s="22">
        <f t="shared" si="6"/>
        <v>3715.943235</v>
      </c>
      <c r="D1154" s="25">
        <f>IFERROR(__xludf.DUMMYFUNCTION("""COMPUTED_VALUE"""),44205.99861111111)</f>
        <v>44205.99861</v>
      </c>
      <c r="E1154" s="22">
        <f>IFERROR(__xludf.DUMMYFUNCTION("""COMPUTED_VALUE"""),1.2221)</f>
        <v>1.2221</v>
      </c>
      <c r="F1154" s="22">
        <f t="shared" si="8"/>
        <v>307.4261439</v>
      </c>
      <c r="G1154" s="22">
        <f t="shared" si="31"/>
        <v>34.75648175</v>
      </c>
      <c r="H1154" s="22">
        <f t="shared" si="32"/>
        <v>121.2906604</v>
      </c>
      <c r="I1154" s="22">
        <f t="shared" si="3"/>
        <v>0.8182636445</v>
      </c>
      <c r="J1154" s="22">
        <f t="shared" si="33"/>
        <v>-0.1072334506</v>
      </c>
    </row>
    <row r="1155" ht="15.75" customHeight="1">
      <c r="A1155" s="25">
        <f>IFERROR(__xludf.DUMMYFUNCTION("""COMPUTED_VALUE"""),44232.66666666667)</f>
        <v>44232.66667</v>
      </c>
      <c r="B1155" s="22">
        <f>IFERROR(__xludf.DUMMYFUNCTION("""COMPUTED_VALUE"""),3886.83)</f>
        <v>3886.83</v>
      </c>
      <c r="C1155" s="22">
        <f t="shared" si="6"/>
        <v>3888.476824</v>
      </c>
      <c r="D1155" s="25">
        <f>IFERROR(__xludf.DUMMYFUNCTION("""COMPUTED_VALUE"""),44212.99861111111)</f>
        <v>44212.99861</v>
      </c>
      <c r="E1155" s="22">
        <f>IFERROR(__xludf.DUMMYFUNCTION("""COMPUTED_VALUE"""),1.2075)</f>
        <v>1.2075</v>
      </c>
      <c r="F1155" s="22">
        <f t="shared" si="8"/>
        <v>317.856895</v>
      </c>
      <c r="G1155" s="22">
        <f t="shared" si="31"/>
        <v>46.61073287</v>
      </c>
      <c r="H1155" s="22">
        <f t="shared" si="32"/>
        <v>133.0781901</v>
      </c>
      <c r="I1155" s="22">
        <f t="shared" si="3"/>
        <v>0.8281573499</v>
      </c>
      <c r="J1155" s="22">
        <f t="shared" si="33"/>
        <v>-0.1057556936</v>
      </c>
    </row>
    <row r="1156" ht="15.75" customHeight="1">
      <c r="A1156" s="25">
        <f>IFERROR(__xludf.DUMMYFUNCTION("""COMPUTED_VALUE"""),44239.66666666667)</f>
        <v>44239.66667</v>
      </c>
      <c r="B1156" s="22">
        <f>IFERROR(__xludf.DUMMYFUNCTION("""COMPUTED_VALUE"""),3934.83)</f>
        <v>3934.83</v>
      </c>
      <c r="C1156" s="22">
        <f t="shared" si="6"/>
        <v>3936.553347</v>
      </c>
      <c r="D1156" s="25">
        <f>IFERROR(__xludf.DUMMYFUNCTION("""COMPUTED_VALUE"""),44219.99861111111)</f>
        <v>44219.99861</v>
      </c>
      <c r="E1156" s="22">
        <f>IFERROR(__xludf.DUMMYFUNCTION("""COMPUTED_VALUE"""),1.21134)</f>
        <v>1.21134</v>
      </c>
      <c r="F1156" s="22">
        <f t="shared" si="8"/>
        <v>322.8101503</v>
      </c>
      <c r="G1156" s="22">
        <f t="shared" si="31"/>
        <v>40.46475084</v>
      </c>
      <c r="H1156" s="22">
        <f t="shared" si="32"/>
        <v>129.4942306</v>
      </c>
      <c r="I1156" s="22">
        <f t="shared" si="3"/>
        <v>0.8255320554</v>
      </c>
      <c r="J1156" s="22">
        <f t="shared" si="33"/>
        <v>-0.1059570393</v>
      </c>
    </row>
    <row r="1157" ht="15.75" customHeight="1">
      <c r="A1157" s="25">
        <f>IFERROR(__xludf.DUMMYFUNCTION("""COMPUTED_VALUE"""),44246.66666666667)</f>
        <v>44246.66667</v>
      </c>
      <c r="B1157" s="22">
        <f>IFERROR(__xludf.DUMMYFUNCTION("""COMPUTED_VALUE"""),3906.71)</f>
        <v>3906.71</v>
      </c>
      <c r="C1157" s="22">
        <f t="shared" si="6"/>
        <v>3908.454629</v>
      </c>
      <c r="D1157" s="25">
        <f>IFERROR(__xludf.DUMMYFUNCTION("""COMPUTED_VALUE"""),44226.99861111111)</f>
        <v>44226.99861</v>
      </c>
      <c r="E1157" s="22">
        <f>IFERROR(__xludf.DUMMYFUNCTION("""COMPUTED_VALUE"""),1.2136)</f>
        <v>1.2136</v>
      </c>
      <c r="F1157" s="22">
        <f t="shared" si="8"/>
        <v>321.1039331</v>
      </c>
      <c r="G1157" s="22">
        <f t="shared" si="31"/>
        <v>38.49375856</v>
      </c>
      <c r="H1157" s="22">
        <f t="shared" si="32"/>
        <v>118.1382918</v>
      </c>
      <c r="I1157" s="22">
        <f t="shared" si="3"/>
        <v>0.8239947264</v>
      </c>
      <c r="J1157" s="22">
        <f t="shared" si="33"/>
        <v>-0.08064436388</v>
      </c>
    </row>
    <row r="1158" ht="15.75" customHeight="1">
      <c r="A1158" s="25">
        <f>IFERROR(__xludf.DUMMYFUNCTION("""COMPUTED_VALUE"""),44253.66666666667)</f>
        <v>44253.66667</v>
      </c>
      <c r="B1158" s="22">
        <f>IFERROR(__xludf.DUMMYFUNCTION("""COMPUTED_VALUE"""),3811.15)</f>
        <v>3811.15</v>
      </c>
      <c r="C1158" s="22">
        <f t="shared" si="6"/>
        <v>3812.882161</v>
      </c>
      <c r="D1158" s="25">
        <f>IFERROR(__xludf.DUMMYFUNCTION("""COMPUTED_VALUE"""),44233.99861111111)</f>
        <v>44233.99861</v>
      </c>
      <c r="E1158" s="22">
        <f>IFERROR(__xludf.DUMMYFUNCTION("""COMPUTED_VALUE"""),1.20401)</f>
        <v>1.20401</v>
      </c>
      <c r="F1158" s="22">
        <f t="shared" si="8"/>
        <v>310.7767065</v>
      </c>
      <c r="G1158" s="22">
        <f t="shared" si="31"/>
        <v>39.25461273</v>
      </c>
      <c r="H1158" s="22">
        <f t="shared" si="32"/>
        <v>103.8827681</v>
      </c>
      <c r="I1158" s="22">
        <f t="shared" si="3"/>
        <v>0.8305578857</v>
      </c>
      <c r="J1158" s="22">
        <f t="shared" si="33"/>
        <v>-0.06533168329</v>
      </c>
    </row>
    <row r="1159" ht="15.75" customHeight="1">
      <c r="A1159" s="25">
        <f>IFERROR(__xludf.DUMMYFUNCTION("""COMPUTED_VALUE"""),44260.66666666667)</f>
        <v>44260.66667</v>
      </c>
      <c r="B1159" s="22">
        <f>IFERROR(__xludf.DUMMYFUNCTION("""COMPUTED_VALUE"""),3841.94)</f>
        <v>3841.94</v>
      </c>
      <c r="C1159" s="22">
        <f t="shared" si="6"/>
        <v>3843.629792</v>
      </c>
      <c r="D1159" s="25">
        <f>IFERROR(__xludf.DUMMYFUNCTION("""COMPUTED_VALUE"""),44240.99861111111)</f>
        <v>44240.99861</v>
      </c>
      <c r="E1159" s="22">
        <f>IFERROR(__xludf.DUMMYFUNCTION("""COMPUTED_VALUE"""),1.2119)</f>
        <v>1.2119</v>
      </c>
      <c r="F1159" s="22">
        <f t="shared" si="8"/>
        <v>315.335829</v>
      </c>
      <c r="G1159" s="22">
        <f t="shared" si="31"/>
        <v>34.6854467</v>
      </c>
      <c r="H1159" s="22">
        <f t="shared" si="32"/>
        <v>106.886441</v>
      </c>
      <c r="I1159" s="22">
        <f t="shared" si="3"/>
        <v>0.82515059</v>
      </c>
      <c r="J1159" s="22">
        <f t="shared" si="33"/>
        <v>-0.0816734054</v>
      </c>
    </row>
    <row r="1160" ht="15.75" customHeight="1">
      <c r="A1160" s="25">
        <f>IFERROR(__xludf.DUMMYFUNCTION("""COMPUTED_VALUE"""),44267.66666666667)</f>
        <v>44267.66667</v>
      </c>
      <c r="B1160" s="22">
        <f>IFERROR(__xludf.DUMMYFUNCTION("""COMPUTED_VALUE"""),3943.34)</f>
        <v>3943.34</v>
      </c>
      <c r="C1160" s="22">
        <f t="shared" si="6"/>
        <v>3945.043443</v>
      </c>
      <c r="D1160" s="25">
        <f>IFERROR(__xludf.DUMMYFUNCTION("""COMPUTED_VALUE"""),44247.99861111111)</f>
        <v>44247.99861</v>
      </c>
      <c r="E1160" s="22">
        <f>IFERROR(__xludf.DUMMYFUNCTION("""COMPUTED_VALUE"""),1.2119)</f>
        <v>1.2119</v>
      </c>
      <c r="F1160" s="22">
        <f t="shared" si="8"/>
        <v>323.6559222</v>
      </c>
      <c r="G1160" s="22">
        <f t="shared" si="31"/>
        <v>41.2588785</v>
      </c>
      <c r="H1160" s="22">
        <f t="shared" si="32"/>
        <v>113.3415197</v>
      </c>
      <c r="I1160" s="22">
        <f t="shared" si="3"/>
        <v>0.82515059</v>
      </c>
      <c r="J1160" s="22">
        <f t="shared" si="33"/>
        <v>-0.0981764172</v>
      </c>
    </row>
    <row r="1161" ht="15.75" customHeight="1">
      <c r="A1161" s="25">
        <f>IFERROR(__xludf.DUMMYFUNCTION("""COMPUTED_VALUE"""),44274.66666666667)</f>
        <v>44274.66667</v>
      </c>
      <c r="B1161" s="22">
        <f>IFERROR(__xludf.DUMMYFUNCTION("""COMPUTED_VALUE"""),3913.1)</f>
        <v>3913.1</v>
      </c>
      <c r="C1161" s="22">
        <f t="shared" si="6"/>
        <v>3914.848402</v>
      </c>
      <c r="D1161" s="25">
        <f>IFERROR(__xludf.DUMMYFUNCTION("""COMPUTED_VALUE"""),44254.99861111111)</f>
        <v>44254.99861</v>
      </c>
      <c r="E1161" s="22">
        <f>IFERROR(__xludf.DUMMYFUNCTION("""COMPUTED_VALUE"""),1.20695)</f>
        <v>1.20695</v>
      </c>
      <c r="F1161" s="22">
        <f t="shared" si="8"/>
        <v>319.8668332</v>
      </c>
      <c r="G1161" s="22">
        <f t="shared" si="31"/>
        <v>48.14489621</v>
      </c>
      <c r="H1161" s="22">
        <f t="shared" si="32"/>
        <v>110.781128</v>
      </c>
      <c r="I1161" s="22">
        <f t="shared" si="3"/>
        <v>0.8285347363</v>
      </c>
      <c r="J1161" s="22">
        <f t="shared" si="33"/>
        <v>-0.0881478106</v>
      </c>
    </row>
    <row r="1162" ht="15.75" customHeight="1">
      <c r="A1162" s="25">
        <f>IFERROR(__xludf.DUMMYFUNCTION("""COMPUTED_VALUE"""),44281.66666666667)</f>
        <v>44281.66667</v>
      </c>
      <c r="B1162" s="22">
        <f>IFERROR(__xludf.DUMMYFUNCTION("""COMPUTED_VALUE"""),3974.54)</f>
        <v>3974.54</v>
      </c>
      <c r="C1162" s="22">
        <f t="shared" si="6"/>
        <v>3976.274994</v>
      </c>
      <c r="D1162" s="25">
        <f>IFERROR(__xludf.DUMMYFUNCTION("""COMPUTED_VALUE"""),44261.99861111111)</f>
        <v>44261.99861</v>
      </c>
      <c r="E1162" s="22">
        <f>IFERROR(__xludf.DUMMYFUNCTION("""COMPUTED_VALUE"""),1.19088)</f>
        <v>1.19088</v>
      </c>
      <c r="F1162" s="22">
        <f t="shared" si="8"/>
        <v>320.5600492</v>
      </c>
      <c r="G1162" s="22">
        <f t="shared" si="31"/>
        <v>45.64373204</v>
      </c>
      <c r="H1162" s="22">
        <f t="shared" si="32"/>
        <v>104.8722188</v>
      </c>
      <c r="I1162" s="22">
        <f t="shared" si="3"/>
        <v>0.8397151686</v>
      </c>
      <c r="J1162" s="22">
        <f t="shared" si="33"/>
        <v>-0.06405347306</v>
      </c>
    </row>
    <row r="1163" ht="15.75" customHeight="1">
      <c r="A1163" s="25">
        <f>IFERROR(__xludf.DUMMYFUNCTION("""COMPUTED_VALUE"""),44287.66666666667)</f>
        <v>44287.66667</v>
      </c>
      <c r="B1163" s="22">
        <f>IFERROR(__xludf.DUMMYFUNCTION("""COMPUTED_VALUE"""),4019.87)</f>
        <v>4019.87</v>
      </c>
      <c r="C1163" s="22">
        <f t="shared" si="6"/>
        <v>4021.632236</v>
      </c>
      <c r="D1163" s="25">
        <f>IFERROR(__xludf.DUMMYFUNCTION("""COMPUTED_VALUE"""),44268.99861111111)</f>
        <v>44268.99861</v>
      </c>
      <c r="E1163" s="22">
        <f>IFERROR(__xludf.DUMMYFUNCTION("""COMPUTED_VALUE"""),1.19523)</f>
        <v>1.19523</v>
      </c>
      <c r="F1163" s="22">
        <f t="shared" si="8"/>
        <v>325.4009534</v>
      </c>
      <c r="G1163" s="22">
        <f t="shared" si="31"/>
        <v>50.05347772</v>
      </c>
      <c r="H1163" s="22">
        <f t="shared" si="32"/>
        <v>108.2191882</v>
      </c>
      <c r="I1163" s="22">
        <f t="shared" si="3"/>
        <v>0.8366590531</v>
      </c>
      <c r="J1163" s="22">
        <f t="shared" si="33"/>
        <v>-0.05715217992</v>
      </c>
    </row>
    <row r="1164" ht="15.75" customHeight="1">
      <c r="A1164" s="25">
        <f>IFERROR(__xludf.DUMMYFUNCTION("""COMPUTED_VALUE"""),44295.66666666667)</f>
        <v>44295.66667</v>
      </c>
      <c r="B1164" s="22">
        <f>IFERROR(__xludf.DUMMYFUNCTION("""COMPUTED_VALUE"""),4128.8)</f>
        <v>4128.8</v>
      </c>
      <c r="C1164" s="22">
        <f t="shared" si="6"/>
        <v>4130.582334</v>
      </c>
      <c r="D1164" s="25">
        <f>IFERROR(__xludf.DUMMYFUNCTION("""COMPUTED_VALUE"""),44275.99861111111)</f>
        <v>44275.99861</v>
      </c>
      <c r="E1164" s="22">
        <f>IFERROR(__xludf.DUMMYFUNCTION("""COMPUTED_VALUE"""),1.1946)</f>
        <v>1.1946</v>
      </c>
      <c r="F1164" s="22">
        <f t="shared" si="8"/>
        <v>334.0402316</v>
      </c>
      <c r="G1164" s="22">
        <f t="shared" si="31"/>
        <v>50.27613338</v>
      </c>
      <c r="H1164" s="22">
        <f t="shared" si="32"/>
        <v>112.4124587</v>
      </c>
      <c r="I1164" s="22">
        <f t="shared" si="3"/>
        <v>0.8371002846</v>
      </c>
      <c r="J1164" s="22">
        <f t="shared" si="33"/>
        <v>-0.06582956638</v>
      </c>
    </row>
    <row r="1165" ht="15.75" customHeight="1">
      <c r="A1165" s="25">
        <f>IFERROR(__xludf.DUMMYFUNCTION("""COMPUTED_VALUE"""),44302.66666666667)</f>
        <v>44302.66667</v>
      </c>
      <c r="B1165" s="22">
        <f>IFERROR(__xludf.DUMMYFUNCTION("""COMPUTED_VALUE"""),4185.47)</f>
        <v>4185.47</v>
      </c>
      <c r="C1165" s="22">
        <f t="shared" si="6"/>
        <v>4187.300632</v>
      </c>
      <c r="D1165" s="25">
        <f>IFERROR(__xludf.DUMMYFUNCTION("""COMPUTED_VALUE"""),44282.99861111111)</f>
        <v>44282.99861</v>
      </c>
      <c r="E1165" s="22">
        <f>IFERROR(__xludf.DUMMYFUNCTION("""COMPUTED_VALUE"""),1.1822)</f>
        <v>1.1822</v>
      </c>
      <c r="F1165" s="22">
        <f t="shared" si="8"/>
        <v>335.1120775</v>
      </c>
      <c r="G1165" s="22">
        <f t="shared" si="31"/>
        <v>50.30440014</v>
      </c>
      <c r="H1165" s="22">
        <f t="shared" si="32"/>
        <v>107.666646</v>
      </c>
      <c r="I1165" s="22">
        <f t="shared" si="3"/>
        <v>0.8458805617</v>
      </c>
      <c r="J1165" s="22">
        <f t="shared" si="33"/>
        <v>-0.03638978176</v>
      </c>
    </row>
    <row r="1166" ht="15.75" customHeight="1">
      <c r="A1166" s="25">
        <f>IFERROR(__xludf.DUMMYFUNCTION("""COMPUTED_VALUE"""),44309.66666666667)</f>
        <v>44309.66667</v>
      </c>
      <c r="B1166" s="22">
        <f>IFERROR(__xludf.DUMMYFUNCTION("""COMPUTED_VALUE"""),4180.17)</f>
        <v>4180.17</v>
      </c>
      <c r="C1166" s="22">
        <f t="shared" si="6"/>
        <v>4182.025758</v>
      </c>
      <c r="D1166" s="25">
        <f>IFERROR(__xludf.DUMMYFUNCTION("""COMPUTED_VALUE"""),44289.99861111111)</f>
        <v>44289.99861</v>
      </c>
      <c r="E1166" s="22">
        <f>IFERROR(__xludf.DUMMYFUNCTION("""COMPUTED_VALUE"""),1.1761)</f>
        <v>1.1761</v>
      </c>
      <c r="F1166" s="22">
        <f t="shared" si="8"/>
        <v>332.9629693</v>
      </c>
      <c r="G1166" s="22">
        <f t="shared" si="31"/>
        <v>49.74165421</v>
      </c>
      <c r="H1166" s="22">
        <f t="shared" si="32"/>
        <v>108.9037024</v>
      </c>
      <c r="I1166" s="22">
        <f t="shared" si="3"/>
        <v>0.8502678344</v>
      </c>
      <c r="J1166" s="22">
        <f t="shared" si="33"/>
        <v>-0.03113680809</v>
      </c>
    </row>
    <row r="1167" ht="15.75" customHeight="1">
      <c r="A1167" s="25">
        <f>IFERROR(__xludf.DUMMYFUNCTION("""COMPUTED_VALUE"""),44316.66666666667)</f>
        <v>44316.66667</v>
      </c>
      <c r="B1167" s="22">
        <f>IFERROR(__xludf.DUMMYFUNCTION("""COMPUTED_VALUE"""),4181.17)</f>
        <v>4181.17</v>
      </c>
      <c r="C1167" s="22">
        <f t="shared" si="6"/>
        <v>4183.023408</v>
      </c>
      <c r="D1167" s="25">
        <f>IFERROR(__xludf.DUMMYFUNCTION("""COMPUTED_VALUE"""),44296.99861111111)</f>
        <v>44296.99861</v>
      </c>
      <c r="E1167" s="22">
        <f>IFERROR(__xludf.DUMMYFUNCTION("""COMPUTED_VALUE"""),1.19)</f>
        <v>1.19</v>
      </c>
      <c r="F1167" s="22">
        <f t="shared" si="8"/>
        <v>336.9785357</v>
      </c>
      <c r="G1167" s="22">
        <f t="shared" si="31"/>
        <v>51.32598907</v>
      </c>
      <c r="H1167" s="22">
        <f t="shared" si="32"/>
        <v>114.3563214</v>
      </c>
      <c r="I1167" s="22">
        <f t="shared" si="3"/>
        <v>0.8403361345</v>
      </c>
      <c r="J1167" s="22">
        <f t="shared" si="33"/>
        <v>-0.05180672269</v>
      </c>
    </row>
    <row r="1168" ht="15.75" customHeight="1">
      <c r="A1168" s="25">
        <f>IFERROR(__xludf.DUMMYFUNCTION("""COMPUTED_VALUE"""),44323.66666666667)</f>
        <v>44323.66667</v>
      </c>
      <c r="B1168" s="22">
        <f>IFERROR(__xludf.DUMMYFUNCTION("""COMPUTED_VALUE"""),4232.6)</f>
        <v>4232.6</v>
      </c>
      <c r="C1168" s="22">
        <f t="shared" si="6"/>
        <v>4234.453852</v>
      </c>
      <c r="D1168" s="25">
        <f>IFERROR(__xludf.DUMMYFUNCTION("""COMPUTED_VALUE"""),44303.99861111111)</f>
        <v>44303.99861</v>
      </c>
      <c r="E1168" s="22">
        <f>IFERROR(__xludf.DUMMYFUNCTION("""COMPUTED_VALUE"""),1.1982)</f>
        <v>1.1982</v>
      </c>
      <c r="F1168" s="22">
        <f t="shared" si="8"/>
        <v>343.472287</v>
      </c>
      <c r="G1168" s="22">
        <f t="shared" si="31"/>
        <v>51.09751965</v>
      </c>
      <c r="H1168" s="22">
        <f t="shared" si="32"/>
        <v>120.8343156</v>
      </c>
      <c r="I1168" s="22">
        <f t="shared" si="3"/>
        <v>0.8345852112</v>
      </c>
      <c r="J1168" s="22">
        <f t="shared" si="33"/>
        <v>-0.06351193457</v>
      </c>
    </row>
    <row r="1169" ht="15.75" customHeight="1">
      <c r="A1169" s="25">
        <f>IFERROR(__xludf.DUMMYFUNCTION("""COMPUTED_VALUE"""),44330.66666666667)</f>
        <v>44330.66667</v>
      </c>
      <c r="B1169" s="22">
        <f>IFERROR(__xludf.DUMMYFUNCTION("""COMPUTED_VALUE"""),4173.85)</f>
        <v>4173.85</v>
      </c>
      <c r="C1169" s="22">
        <f t="shared" si="6"/>
        <v>4175.726655</v>
      </c>
      <c r="D1169" s="25">
        <f>IFERROR(__xludf.DUMMYFUNCTION("""COMPUTED_VALUE"""),44310.99861111111)</f>
        <v>44310.99861</v>
      </c>
      <c r="E1169" s="22">
        <f>IFERROR(__xludf.DUMMYFUNCTION("""COMPUTED_VALUE"""),1.2097)</f>
        <v>1.2097</v>
      </c>
      <c r="F1169" s="22">
        <f t="shared" si="8"/>
        <v>341.9595405</v>
      </c>
      <c r="G1169" s="22">
        <f t="shared" si="31"/>
        <v>53.24053876</v>
      </c>
      <c r="H1169" s="22">
        <f t="shared" si="32"/>
        <v>114.9220639</v>
      </c>
      <c r="I1169" s="22">
        <f t="shared" si="3"/>
        <v>0.8266512358</v>
      </c>
      <c r="J1169" s="22">
        <f t="shared" si="33"/>
        <v>-0.05373233033</v>
      </c>
    </row>
    <row r="1170" ht="15.75" customHeight="1">
      <c r="A1170" s="25">
        <f>IFERROR(__xludf.DUMMYFUNCTION("""COMPUTED_VALUE"""),44337.66666666667)</f>
        <v>44337.66667</v>
      </c>
      <c r="B1170" s="22">
        <f>IFERROR(__xludf.DUMMYFUNCTION("""COMPUTED_VALUE"""),4155.86)</f>
        <v>4155.86</v>
      </c>
      <c r="C1170" s="22">
        <f t="shared" si="6"/>
        <v>4157.710606</v>
      </c>
      <c r="D1170" s="25">
        <f>IFERROR(__xludf.DUMMYFUNCTION("""COMPUTED_VALUE"""),44317.99861111111)</f>
        <v>44317.99861</v>
      </c>
      <c r="E1170" s="22">
        <f>IFERROR(__xludf.DUMMYFUNCTION("""COMPUTED_VALUE"""),1.202)</f>
        <v>1.202</v>
      </c>
      <c r="F1170" s="22">
        <f t="shared" si="8"/>
        <v>338.3169115</v>
      </c>
      <c r="G1170" s="22">
        <f t="shared" si="31"/>
        <v>53.35270511</v>
      </c>
      <c r="H1170" s="22">
        <f t="shared" si="32"/>
        <v>108.7001254</v>
      </c>
      <c r="I1170" s="22">
        <f t="shared" si="3"/>
        <v>0.8319467554</v>
      </c>
      <c r="J1170" s="22">
        <f t="shared" si="33"/>
        <v>-0.05132279534</v>
      </c>
    </row>
    <row r="1171" ht="15.75" customHeight="1">
      <c r="A1171" s="25">
        <f>IFERROR(__xludf.DUMMYFUNCTION("""COMPUTED_VALUE"""),44344.66666666667)</f>
        <v>44344.66667</v>
      </c>
      <c r="B1171" s="22">
        <f>IFERROR(__xludf.DUMMYFUNCTION("""COMPUTED_VALUE"""),4204.11)</f>
        <v>4204.11</v>
      </c>
      <c r="C1171" s="22">
        <f t="shared" si="6"/>
        <v>4205.95263</v>
      </c>
      <c r="D1171" s="25">
        <f>IFERROR(__xludf.DUMMYFUNCTION("""COMPUTED_VALUE"""),44324.99861111111)</f>
        <v>44324.99861</v>
      </c>
      <c r="E1171" s="22">
        <f>IFERROR(__xludf.DUMMYFUNCTION("""COMPUTED_VALUE"""),1.2161)</f>
        <v>1.2161</v>
      </c>
      <c r="F1171" s="22">
        <f t="shared" si="8"/>
        <v>346.2570686</v>
      </c>
      <c r="G1171" s="22">
        <f t="shared" si="31"/>
        <v>56.33284594</v>
      </c>
      <c r="H1171" s="22">
        <f t="shared" si="32"/>
        <v>115.4214768</v>
      </c>
      <c r="I1171" s="22">
        <f t="shared" si="3"/>
        <v>0.8223007976</v>
      </c>
      <c r="J1171" s="22">
        <f t="shared" si="33"/>
        <v>-0.07029849519</v>
      </c>
    </row>
    <row r="1172" ht="15.75" customHeight="1">
      <c r="A1172" s="25">
        <f>IFERROR(__xludf.DUMMYFUNCTION("""COMPUTED_VALUE"""),44351.66666666667)</f>
        <v>44351.66667</v>
      </c>
      <c r="B1172" s="22">
        <f>IFERROR(__xludf.DUMMYFUNCTION("""COMPUTED_VALUE"""),4229.89)</f>
        <v>4229.89</v>
      </c>
      <c r="C1172" s="22">
        <f t="shared" si="6"/>
        <v>4231.754023</v>
      </c>
      <c r="D1172" s="25">
        <f>IFERROR(__xludf.DUMMYFUNCTION("""COMPUTED_VALUE"""),44331.99861111111)</f>
        <v>44331.99861</v>
      </c>
      <c r="E1172" s="22">
        <f>IFERROR(__xludf.DUMMYFUNCTION("""COMPUTED_VALUE"""),1.21446)</f>
        <v>1.21446</v>
      </c>
      <c r="F1172" s="22">
        <f t="shared" si="8"/>
        <v>347.9113631</v>
      </c>
      <c r="G1172" s="22">
        <f t="shared" si="31"/>
        <v>56.79925278</v>
      </c>
      <c r="H1172" s="22">
        <f t="shared" si="32"/>
        <v>118.3910258</v>
      </c>
      <c r="I1172" s="22">
        <f t="shared" si="3"/>
        <v>0.823411228</v>
      </c>
      <c r="J1172" s="22">
        <f t="shared" si="33"/>
        <v>-0.0759679199</v>
      </c>
    </row>
    <row r="1173" ht="15.75" customHeight="1">
      <c r="A1173" s="25">
        <f>IFERROR(__xludf.DUMMYFUNCTION("""COMPUTED_VALUE"""),44358.66666666667)</f>
        <v>44358.66667</v>
      </c>
      <c r="B1173" s="22">
        <f>IFERROR(__xludf.DUMMYFUNCTION("""COMPUTED_VALUE"""),4247.44)</f>
        <v>4247.44</v>
      </c>
      <c r="C1173" s="22">
        <f t="shared" si="6"/>
        <v>4249.315453</v>
      </c>
      <c r="D1173" s="25">
        <f>IFERROR(__xludf.DUMMYFUNCTION("""COMPUTED_VALUE"""),44338.99861111111)</f>
        <v>44338.99861</v>
      </c>
      <c r="E1173" s="22">
        <f>IFERROR(__xludf.DUMMYFUNCTION("""COMPUTED_VALUE"""),1.2179)</f>
        <v>1.2179</v>
      </c>
      <c r="F1173" s="22">
        <f t="shared" si="8"/>
        <v>350.3447272</v>
      </c>
      <c r="G1173" s="22">
        <f t="shared" si="31"/>
        <v>59.6739894</v>
      </c>
      <c r="H1173" s="22">
        <f t="shared" si="32"/>
        <v>124.7773213</v>
      </c>
      <c r="I1173" s="22">
        <f t="shared" si="3"/>
        <v>0.821085475</v>
      </c>
      <c r="J1173" s="22">
        <f t="shared" si="33"/>
        <v>-0.08768371788</v>
      </c>
    </row>
    <row r="1174" ht="15.75" customHeight="1">
      <c r="A1174" s="25">
        <f>IFERROR(__xludf.DUMMYFUNCTION("""COMPUTED_VALUE"""),44365.66666666667)</f>
        <v>44365.66667</v>
      </c>
      <c r="B1174" s="22">
        <f>IFERROR(__xludf.DUMMYFUNCTION("""COMPUTED_VALUE"""),4166.45)</f>
        <v>4166.45</v>
      </c>
      <c r="C1174" s="22">
        <f t="shared" si="6"/>
        <v>4168.333235</v>
      </c>
      <c r="D1174" s="25">
        <f>IFERROR(__xludf.DUMMYFUNCTION("""COMPUTED_VALUE"""),44345.99861111111)</f>
        <v>44345.99861</v>
      </c>
      <c r="E1174" s="22">
        <f>IFERROR(__xludf.DUMMYFUNCTION("""COMPUTED_VALUE"""),1.21921)</f>
        <v>1.21921</v>
      </c>
      <c r="F1174" s="22">
        <f t="shared" si="8"/>
        <v>344.037616</v>
      </c>
      <c r="G1174" s="22">
        <f t="shared" si="31"/>
        <v>57.80166494</v>
      </c>
      <c r="H1174" s="22">
        <f t="shared" si="32"/>
        <v>119.3724468</v>
      </c>
      <c r="I1174" s="22">
        <f t="shared" si="3"/>
        <v>0.8202032464</v>
      </c>
      <c r="J1174" s="22">
        <f t="shared" si="33"/>
        <v>-0.06780620238</v>
      </c>
    </row>
    <row r="1175" ht="15.75" customHeight="1">
      <c r="A1175" s="25">
        <f>IFERROR(__xludf.DUMMYFUNCTION("""COMPUTED_VALUE"""),44372.66666666667)</f>
        <v>44372.66667</v>
      </c>
      <c r="B1175" s="22">
        <f>IFERROR(__xludf.DUMMYFUNCTION("""COMPUTED_VALUE"""),4280.7)</f>
        <v>4280.7</v>
      </c>
      <c r="C1175" s="22">
        <f t="shared" si="6"/>
        <v>4282.547325</v>
      </c>
      <c r="D1175" s="25">
        <f>IFERROR(__xludf.DUMMYFUNCTION("""COMPUTED_VALUE"""),44352.99861111111)</f>
        <v>44352.99861</v>
      </c>
      <c r="E1175" s="22">
        <f>IFERROR(__xludf.DUMMYFUNCTION("""COMPUTED_VALUE"""),1.21648)</f>
        <v>1.21648</v>
      </c>
      <c r="F1175" s="22">
        <f t="shared" si="8"/>
        <v>352.6729304</v>
      </c>
      <c r="G1175" s="22">
        <f t="shared" si="31"/>
        <v>62.69696201</v>
      </c>
      <c r="H1175" s="22">
        <f t="shared" si="32"/>
        <v>120.086212</v>
      </c>
      <c r="I1175" s="22">
        <f t="shared" si="3"/>
        <v>0.82204393</v>
      </c>
      <c r="J1175" s="22">
        <f t="shared" si="33"/>
        <v>-0.07510193345</v>
      </c>
    </row>
    <row r="1176" ht="15.75" customHeight="1">
      <c r="A1176" s="25">
        <f>IFERROR(__xludf.DUMMYFUNCTION("""COMPUTED_VALUE"""),44379.66666666667)</f>
        <v>44379.66667</v>
      </c>
      <c r="B1176" s="22">
        <f>IFERROR(__xludf.DUMMYFUNCTION("""COMPUTED_VALUE"""),4352.34)</f>
        <v>4352.34</v>
      </c>
      <c r="C1176" s="22">
        <f t="shared" si="6"/>
        <v>4354.237981</v>
      </c>
      <c r="D1176" s="25">
        <f>IFERROR(__xludf.DUMMYFUNCTION("""COMPUTED_VALUE"""),44359.99861111111)</f>
        <v>44359.99861</v>
      </c>
      <c r="E1176" s="22">
        <f>IFERROR(__xludf.DUMMYFUNCTION("""COMPUTED_VALUE"""),1.2105)</f>
        <v>1.2105</v>
      </c>
      <c r="F1176" s="22">
        <f t="shared" si="8"/>
        <v>356.8140427</v>
      </c>
      <c r="G1176" s="22">
        <f t="shared" si="31"/>
        <v>64.30009772</v>
      </c>
      <c r="H1176" s="22">
        <f t="shared" si="32"/>
        <v>119.4143566</v>
      </c>
      <c r="I1176" s="22">
        <f t="shared" si="3"/>
        <v>0.8261049153</v>
      </c>
      <c r="J1176" s="22">
        <f t="shared" si="33"/>
        <v>-0.06868236266</v>
      </c>
    </row>
    <row r="1177" ht="15.75" customHeight="1">
      <c r="A1177" s="25">
        <f>IFERROR(__xludf.DUMMYFUNCTION("""COMPUTED_VALUE"""),44386.66666666667)</f>
        <v>44386.66667</v>
      </c>
      <c r="B1177" s="22">
        <f>IFERROR(__xludf.DUMMYFUNCTION("""COMPUTED_VALUE"""),4369.55)</f>
        <v>4369.55</v>
      </c>
      <c r="C1177" s="22">
        <f t="shared" si="6"/>
        <v>4371.479745</v>
      </c>
      <c r="D1177" s="25">
        <f>IFERROR(__xludf.DUMMYFUNCTION("""COMPUTED_VALUE"""),44366.99861111111)</f>
        <v>44366.99861</v>
      </c>
      <c r="E1177" s="22">
        <f>IFERROR(__xludf.DUMMYFUNCTION("""COMPUTED_VALUE"""),1.18585)</f>
        <v>1.18585</v>
      </c>
      <c r="F1177" s="22">
        <f t="shared" si="8"/>
        <v>350.9321934</v>
      </c>
      <c r="G1177" s="22">
        <f t="shared" si="31"/>
        <v>58.57059255</v>
      </c>
      <c r="H1177" s="22">
        <f t="shared" si="32"/>
        <v>114.2842614</v>
      </c>
      <c r="I1177" s="22">
        <f t="shared" si="3"/>
        <v>0.8432769743</v>
      </c>
      <c r="J1177" s="22">
        <f t="shared" si="33"/>
        <v>-0.05671037652</v>
      </c>
    </row>
    <row r="1178" ht="15.75" customHeight="1">
      <c r="A1178" s="25">
        <f>IFERROR(__xludf.DUMMYFUNCTION("""COMPUTED_VALUE"""),44393.66666666667)</f>
        <v>44393.66667</v>
      </c>
      <c r="B1178" s="22">
        <f>IFERROR(__xludf.DUMMYFUNCTION("""COMPUTED_VALUE"""),4327.16)</f>
        <v>4327.16</v>
      </c>
      <c r="C1178" s="22">
        <f t="shared" si="6"/>
        <v>4329.097376</v>
      </c>
      <c r="D1178" s="25">
        <f>IFERROR(__xludf.DUMMYFUNCTION("""COMPUTED_VALUE"""),44373.99861111111)</f>
        <v>44373.99861</v>
      </c>
      <c r="E1178" s="22">
        <f>IFERROR(__xludf.DUMMYFUNCTION("""COMPUTED_VALUE"""),1.1936)</f>
        <v>1.1936</v>
      </c>
      <c r="F1178" s="22">
        <f t="shared" si="8"/>
        <v>349.801081</v>
      </c>
      <c r="G1178" s="22">
        <f t="shared" si="31"/>
        <v>57.52946946</v>
      </c>
      <c r="H1178" s="22">
        <f t="shared" si="32"/>
        <v>113.1967908</v>
      </c>
      <c r="I1178" s="22">
        <f t="shared" si="3"/>
        <v>0.8378016086</v>
      </c>
      <c r="J1178" s="22">
        <f t="shared" si="33"/>
        <v>-0.06683143432</v>
      </c>
    </row>
    <row r="1179" ht="15.75" customHeight="1">
      <c r="A1179" s="25">
        <f>IFERROR(__xludf.DUMMYFUNCTION("""COMPUTED_VALUE"""),44400.66666666667)</f>
        <v>44400.66667</v>
      </c>
      <c r="B1179" s="22">
        <f>IFERROR(__xludf.DUMMYFUNCTION("""COMPUTED_VALUE"""),4411.79)</f>
        <v>4411.79</v>
      </c>
      <c r="C1179" s="22">
        <f t="shared" si="6"/>
        <v>4413.708581</v>
      </c>
      <c r="D1179" s="25">
        <f>IFERROR(__xludf.DUMMYFUNCTION("""COMPUTED_VALUE"""),44380.99861111111)</f>
        <v>44380.99861</v>
      </c>
      <c r="E1179" s="22">
        <f>IFERROR(__xludf.DUMMYFUNCTION("""COMPUTED_VALUE"""),1.1864)</f>
        <v>1.1864</v>
      </c>
      <c r="F1179" s="22">
        <f t="shared" si="8"/>
        <v>354.4865613</v>
      </c>
      <c r="G1179" s="22">
        <f t="shared" si="31"/>
        <v>57.98918456</v>
      </c>
      <c r="H1179" s="22">
        <f t="shared" si="32"/>
        <v>117.9255287</v>
      </c>
      <c r="I1179" s="22">
        <f t="shared" si="3"/>
        <v>0.8428860418</v>
      </c>
      <c r="J1179" s="22">
        <f t="shared" si="33"/>
        <v>-0.06862778152</v>
      </c>
    </row>
    <row r="1180" ht="15.75" customHeight="1">
      <c r="A1180" s="25">
        <f>IFERROR(__xludf.DUMMYFUNCTION("""COMPUTED_VALUE"""),44407.66666666667)</f>
        <v>44407.66667</v>
      </c>
      <c r="B1180" s="22">
        <f>IFERROR(__xludf.DUMMYFUNCTION("""COMPUTED_VALUE"""),4395.26)</f>
        <v>4395.26</v>
      </c>
      <c r="C1180" s="22">
        <f t="shared" si="6"/>
        <v>4397.216104</v>
      </c>
      <c r="D1180" s="25">
        <f>IFERROR(__xludf.DUMMYFUNCTION("""COMPUTED_VALUE"""),44387.99861111111)</f>
        <v>44387.99861</v>
      </c>
      <c r="E1180" s="22">
        <f>IFERROR(__xludf.DUMMYFUNCTION("""COMPUTED_VALUE"""),1.1876)</f>
        <v>1.1876</v>
      </c>
      <c r="F1180" s="22">
        <f t="shared" si="8"/>
        <v>353.51918</v>
      </c>
      <c r="G1180" s="22">
        <f t="shared" si="31"/>
        <v>57.09901659</v>
      </c>
      <c r="H1180" s="22">
        <f t="shared" si="32"/>
        <v>116.9522116</v>
      </c>
      <c r="I1180" s="22">
        <f t="shared" si="3"/>
        <v>0.842034355</v>
      </c>
      <c r="J1180" s="22">
        <f t="shared" si="33"/>
        <v>-0.07190131357</v>
      </c>
    </row>
    <row r="1181" ht="15.75" customHeight="1">
      <c r="A1181" s="25">
        <f>IFERROR(__xludf.DUMMYFUNCTION("""COMPUTED_VALUE"""),44414.66666666667)</f>
        <v>44414.66667</v>
      </c>
      <c r="B1181" s="22">
        <f>IFERROR(__xludf.DUMMYFUNCTION("""COMPUTED_VALUE"""),4436.52)</f>
        <v>4436.52</v>
      </c>
      <c r="C1181" s="22">
        <f t="shared" si="6"/>
        <v>4438.468775</v>
      </c>
      <c r="D1181" s="25">
        <f>IFERROR(__xludf.DUMMYFUNCTION("""COMPUTED_VALUE"""),44394.99861111111)</f>
        <v>44394.99861</v>
      </c>
      <c r="E1181" s="22">
        <f>IFERROR(__xludf.DUMMYFUNCTION("""COMPUTED_VALUE"""),1.1806)</f>
        <v>1.1806</v>
      </c>
      <c r="F1181" s="22">
        <f t="shared" si="8"/>
        <v>354.7324597</v>
      </c>
      <c r="G1181" s="22">
        <f t="shared" si="31"/>
        <v>57.62659676</v>
      </c>
      <c r="H1181" s="22">
        <f t="shared" si="32"/>
        <v>118.5085911</v>
      </c>
      <c r="I1181" s="22">
        <f t="shared" si="3"/>
        <v>0.8470269355</v>
      </c>
      <c r="J1181" s="22">
        <f t="shared" si="33"/>
        <v>-0.0703709978</v>
      </c>
    </row>
    <row r="1182" ht="15.75" customHeight="1">
      <c r="A1182" s="25">
        <f>IFERROR(__xludf.DUMMYFUNCTION("""COMPUTED_VALUE"""),44421.66666666667)</f>
        <v>44421.66667</v>
      </c>
      <c r="B1182" s="22">
        <f>IFERROR(__xludf.DUMMYFUNCTION("""COMPUTED_VALUE"""),4468.0)</f>
        <v>4468</v>
      </c>
      <c r="C1182" s="22">
        <f t="shared" si="6"/>
        <v>4469.967069</v>
      </c>
      <c r="D1182" s="25">
        <f>IFERROR(__xludf.DUMMYFUNCTION("""COMPUTED_VALUE"""),44401.99861111111)</f>
        <v>44401.99861</v>
      </c>
      <c r="E1182" s="22">
        <f>IFERROR(__xludf.DUMMYFUNCTION("""COMPUTED_VALUE"""),1.1771)</f>
        <v>1.1771</v>
      </c>
      <c r="F1182" s="22">
        <f t="shared" si="8"/>
        <v>356.1907736</v>
      </c>
      <c r="G1182" s="22">
        <f t="shared" si="31"/>
        <v>58.10789892</v>
      </c>
      <c r="H1182" s="22">
        <f t="shared" si="32"/>
        <v>115.5557777</v>
      </c>
      <c r="I1182" s="22">
        <f t="shared" si="3"/>
        <v>0.8495454932</v>
      </c>
      <c r="J1182" s="22">
        <f t="shared" si="33"/>
        <v>-0.05087078413</v>
      </c>
    </row>
    <row r="1183" ht="15.75" customHeight="1">
      <c r="A1183" s="25">
        <f>IFERROR(__xludf.DUMMYFUNCTION("""COMPUTED_VALUE"""),44428.66666666667)</f>
        <v>44428.66667</v>
      </c>
      <c r="B1183" s="22">
        <f>IFERROR(__xludf.DUMMYFUNCTION("""COMPUTED_VALUE"""),4441.67)</f>
        <v>4441.67</v>
      </c>
      <c r="C1183" s="22">
        <f t="shared" si="6"/>
        <v>4443.651027</v>
      </c>
      <c r="D1183" s="25">
        <f>IFERROR(__xludf.DUMMYFUNCTION("""COMPUTED_VALUE"""),44408.99861111111)</f>
        <v>44408.99861</v>
      </c>
      <c r="E1183" s="22">
        <f>IFERROR(__xludf.DUMMYFUNCTION("""COMPUTED_VALUE"""),1.1869)</f>
        <v>1.1869</v>
      </c>
      <c r="F1183" s="22">
        <f t="shared" si="8"/>
        <v>357.0417952</v>
      </c>
      <c r="G1183" s="22">
        <f t="shared" si="31"/>
        <v>58.38028931</v>
      </c>
      <c r="H1183" s="22">
        <f t="shared" si="32"/>
        <v>119.2291103</v>
      </c>
      <c r="I1183" s="22">
        <f t="shared" si="3"/>
        <v>0.842530963</v>
      </c>
      <c r="J1183" s="22">
        <f t="shared" si="33"/>
        <v>-0.06592804786</v>
      </c>
    </row>
    <row r="1184" ht="15.75" customHeight="1">
      <c r="A1184" s="25">
        <f>IFERROR(__xludf.DUMMYFUNCTION("""COMPUTED_VALUE"""),44435.66666666667)</f>
        <v>44435.66667</v>
      </c>
      <c r="B1184" s="22">
        <f>IFERROR(__xludf.DUMMYFUNCTION("""COMPUTED_VALUE"""),4509.37)</f>
        <v>4509.37</v>
      </c>
      <c r="C1184" s="22">
        <f t="shared" si="6"/>
        <v>4511.339352</v>
      </c>
      <c r="D1184" s="25">
        <f>IFERROR(__xludf.DUMMYFUNCTION("""COMPUTED_VALUE"""),44415.99861111111)</f>
        <v>44415.99861</v>
      </c>
      <c r="E1184" s="22">
        <f>IFERROR(__xludf.DUMMYFUNCTION("""COMPUTED_VALUE"""),1.176)</f>
        <v>1.176</v>
      </c>
      <c r="F1184" s="22">
        <f t="shared" si="8"/>
        <v>359.1515963</v>
      </c>
      <c r="G1184" s="22">
        <f t="shared" si="31"/>
        <v>60.04068837</v>
      </c>
      <c r="H1184" s="22">
        <f t="shared" si="32"/>
        <v>117.9173082</v>
      </c>
      <c r="I1184" s="22">
        <f t="shared" si="3"/>
        <v>0.8503401361</v>
      </c>
      <c r="J1184" s="22">
        <f t="shared" si="33"/>
        <v>-0.05077380952</v>
      </c>
    </row>
    <row r="1185" ht="15.75" customHeight="1">
      <c r="A1185" s="25">
        <f>IFERROR(__xludf.DUMMYFUNCTION("""COMPUTED_VALUE"""),44442.66666666667)</f>
        <v>44442.66667</v>
      </c>
      <c r="B1185" s="22">
        <f>IFERROR(__xludf.DUMMYFUNCTION("""COMPUTED_VALUE"""),4535.43)</f>
        <v>4535.43</v>
      </c>
      <c r="C1185" s="22">
        <f t="shared" si="6"/>
        <v>4537.429369</v>
      </c>
      <c r="D1185" s="25">
        <f>IFERROR(__xludf.DUMMYFUNCTION("""COMPUTED_VALUE"""),44422.99861111111)</f>
        <v>44422.99861</v>
      </c>
      <c r="E1185" s="22">
        <f>IFERROR(__xludf.DUMMYFUNCTION("""COMPUTED_VALUE"""),1.179)</f>
        <v>1.179</v>
      </c>
      <c r="F1185" s="22">
        <f t="shared" si="8"/>
        <v>362.1501466</v>
      </c>
      <c r="G1185" s="22">
        <f t="shared" si="31"/>
        <v>62.68195488</v>
      </c>
      <c r="H1185" s="22">
        <f t="shared" si="32"/>
        <v>121.946059</v>
      </c>
      <c r="I1185" s="22">
        <f t="shared" si="3"/>
        <v>0.8481764207</v>
      </c>
      <c r="J1185" s="22">
        <f t="shared" si="33"/>
        <v>-0.0396437659</v>
      </c>
    </row>
    <row r="1186" ht="15.75" customHeight="1">
      <c r="A1186" s="25">
        <f>IFERROR(__xludf.DUMMYFUNCTION("""COMPUTED_VALUE"""),44449.66666666667)</f>
        <v>44449.66667</v>
      </c>
      <c r="B1186" s="22">
        <f>IFERROR(__xludf.DUMMYFUNCTION("""COMPUTED_VALUE"""),4458.58)</f>
        <v>4458.58</v>
      </c>
      <c r="C1186" s="22">
        <f t="shared" si="6"/>
        <v>4460.590924</v>
      </c>
      <c r="D1186" s="25">
        <f>IFERROR(__xludf.DUMMYFUNCTION("""COMPUTED_VALUE"""),44429.99861111111)</f>
        <v>44429.99861</v>
      </c>
      <c r="E1186" s="22">
        <f>IFERROR(__xludf.DUMMYFUNCTION("""COMPUTED_VALUE"""),1.16879)</f>
        <v>1.16879</v>
      </c>
      <c r="F1186" s="22">
        <f t="shared" si="8"/>
        <v>352.9342988</v>
      </c>
      <c r="G1186" s="22">
        <f t="shared" si="31"/>
        <v>54.23337856</v>
      </c>
      <c r="H1186" s="22">
        <f t="shared" si="32"/>
        <v>117.6114089</v>
      </c>
      <c r="I1186" s="22">
        <f t="shared" si="3"/>
        <v>0.8555856912</v>
      </c>
      <c r="J1186" s="22">
        <f t="shared" si="33"/>
        <v>-0.04219748629</v>
      </c>
    </row>
    <row r="1187" ht="15.75" customHeight="1">
      <c r="A1187" s="25">
        <f>IFERROR(__xludf.DUMMYFUNCTION("""COMPUTED_VALUE"""),44456.66666666667)</f>
        <v>44456.66667</v>
      </c>
      <c r="B1187" s="22">
        <f>IFERROR(__xludf.DUMMYFUNCTION("""COMPUTED_VALUE"""),4432.99)</f>
        <v>4432.99</v>
      </c>
      <c r="C1187" s="22">
        <f t="shared" si="6"/>
        <v>4434.96685</v>
      </c>
      <c r="D1187" s="25">
        <f>IFERROR(__xludf.DUMMYFUNCTION("""COMPUTED_VALUE"""),44436.99861111111)</f>
        <v>44436.99861</v>
      </c>
      <c r="E1187" s="22">
        <f>IFERROR(__xludf.DUMMYFUNCTION("""COMPUTED_VALUE"""),1.1796)</f>
        <v>1.1796</v>
      </c>
      <c r="F1187" s="22">
        <f t="shared" si="8"/>
        <v>354.152347</v>
      </c>
      <c r="G1187" s="22">
        <f t="shared" si="31"/>
        <v>53.60643741</v>
      </c>
      <c r="H1187" s="22">
        <f t="shared" si="32"/>
        <v>116.5945295</v>
      </c>
      <c r="I1187" s="22">
        <f t="shared" si="3"/>
        <v>0.8477449983</v>
      </c>
      <c r="J1187" s="22">
        <f t="shared" si="33"/>
        <v>-0.05451000339</v>
      </c>
    </row>
    <row r="1188" ht="15.75" customHeight="1">
      <c r="A1188" s="25">
        <f>IFERROR(__xludf.DUMMYFUNCTION("""COMPUTED_VALUE"""),44463.66666666667)</f>
        <v>44463.66667</v>
      </c>
      <c r="B1188" s="22">
        <f>IFERROR(__xludf.DUMMYFUNCTION("""COMPUTED_VALUE"""),4455.48)</f>
        <v>4455.48</v>
      </c>
      <c r="C1188" s="22">
        <f t="shared" si="6"/>
        <v>4457.445504</v>
      </c>
      <c r="D1188" s="25">
        <f>IFERROR(__xludf.DUMMYFUNCTION("""COMPUTED_VALUE"""),44443.99861111111)</f>
        <v>44443.99861</v>
      </c>
      <c r="E1188" s="22">
        <f>IFERROR(__xludf.DUMMYFUNCTION("""COMPUTED_VALUE"""),1.18784)</f>
        <v>1.18784</v>
      </c>
      <c r="F1188" s="22">
        <f t="shared" si="8"/>
        <v>358.4338116</v>
      </c>
      <c r="G1188" s="22">
        <f t="shared" si="31"/>
        <v>56.97500692</v>
      </c>
      <c r="H1188" s="22">
        <f t="shared" si="32"/>
        <v>117.3688701</v>
      </c>
      <c r="I1188" s="22">
        <f t="shared" si="3"/>
        <v>0.8418642241</v>
      </c>
      <c r="J1188" s="22">
        <f t="shared" si="33"/>
        <v>-0.05467066272</v>
      </c>
    </row>
    <row r="1189" ht="15.75" customHeight="1">
      <c r="A1189" s="25">
        <f>IFERROR(__xludf.DUMMYFUNCTION("""COMPUTED_VALUE"""),44470.66666666667)</f>
        <v>44470.66667</v>
      </c>
      <c r="B1189" s="22">
        <f>IFERROR(__xludf.DUMMYFUNCTION("""COMPUTED_VALUE"""),4357.04)</f>
        <v>4357.04</v>
      </c>
      <c r="C1189" s="22">
        <f t="shared" si="6"/>
        <v>4359.015476</v>
      </c>
      <c r="D1189" s="25">
        <f>IFERROR(__xludf.DUMMYFUNCTION("""COMPUTED_VALUE"""),44450.99861111111)</f>
        <v>44450.99861</v>
      </c>
      <c r="E1189" s="22">
        <f>IFERROR(__xludf.DUMMYFUNCTION("""COMPUTED_VALUE"""),1.18106)</f>
        <v>1.18106</v>
      </c>
      <c r="F1189" s="22">
        <f t="shared" si="8"/>
        <v>348.5181134</v>
      </c>
      <c r="G1189" s="22">
        <f t="shared" si="31"/>
        <v>53.31334317</v>
      </c>
      <c r="H1189" s="22">
        <f t="shared" si="32"/>
        <v>114.1826283</v>
      </c>
      <c r="I1189" s="22">
        <f t="shared" si="3"/>
        <v>0.8466970349</v>
      </c>
      <c r="J1189" s="22">
        <f t="shared" si="33"/>
        <v>-0.05546712275</v>
      </c>
    </row>
    <row r="1190" ht="15.75" customHeight="1">
      <c r="A1190" s="25">
        <f>IFERROR(__xludf.DUMMYFUNCTION("""COMPUTED_VALUE"""),44477.66666666667)</f>
        <v>44477.66667</v>
      </c>
      <c r="B1190" s="22">
        <f>IFERROR(__xludf.DUMMYFUNCTION("""COMPUTED_VALUE"""),4391.34)</f>
        <v>4391.34</v>
      </c>
      <c r="C1190" s="22">
        <f t="shared" si="6"/>
        <v>4393.271829</v>
      </c>
      <c r="D1190" s="25">
        <f>IFERROR(__xludf.DUMMYFUNCTION("""COMPUTED_VALUE"""),44457.99861111111)</f>
        <v>44457.99861</v>
      </c>
      <c r="E1190" s="22">
        <f>IFERROR(__xludf.DUMMYFUNCTION("""COMPUTED_VALUE"""),1.17223)</f>
        <v>1.17223</v>
      </c>
      <c r="F1190" s="22">
        <f t="shared" si="8"/>
        <v>348.6309102</v>
      </c>
      <c r="G1190" s="22">
        <f t="shared" si="31"/>
        <v>58.07672559</v>
      </c>
      <c r="H1190" s="22">
        <f t="shared" si="32"/>
        <v>115.0741292</v>
      </c>
      <c r="I1190" s="22">
        <f t="shared" si="3"/>
        <v>0.8530749085</v>
      </c>
      <c r="J1190" s="22">
        <f t="shared" si="33"/>
        <v>-0.04276464516</v>
      </c>
    </row>
    <row r="1191" ht="15.75" customHeight="1">
      <c r="A1191" s="25">
        <f>IFERROR(__xludf.DUMMYFUNCTION("""COMPUTED_VALUE"""),44484.66666666667)</f>
        <v>44484.66667</v>
      </c>
      <c r="B1191" s="22">
        <f>IFERROR(__xludf.DUMMYFUNCTION("""COMPUTED_VALUE"""),4471.37)</f>
        <v>4471.37</v>
      </c>
      <c r="C1191" s="22">
        <f t="shared" si="6"/>
        <v>4473.317037</v>
      </c>
      <c r="D1191" s="25">
        <f>IFERROR(__xludf.DUMMYFUNCTION("""COMPUTED_VALUE"""),44463.99861111111)</f>
        <v>44463.99861</v>
      </c>
      <c r="E1191" s="22">
        <f>IFERROR(__xludf.DUMMYFUNCTION("""COMPUTED_VALUE"""),1.17199)</f>
        <v>1.17199</v>
      </c>
      <c r="F1191" s="22">
        <f t="shared" si="8"/>
        <v>354.9102707</v>
      </c>
      <c r="G1191" s="22">
        <f t="shared" si="31"/>
        <v>62.93838979</v>
      </c>
      <c r="H1191" s="22">
        <f t="shared" si="32"/>
        <v>117.8991764</v>
      </c>
      <c r="I1191" s="22">
        <f t="shared" si="3"/>
        <v>0.8532496011</v>
      </c>
      <c r="J1191" s="22">
        <f t="shared" si="33"/>
        <v>-0.04163004804</v>
      </c>
    </row>
    <row r="1192" ht="15.75" customHeight="1">
      <c r="A1192" s="25">
        <f>IFERROR(__xludf.DUMMYFUNCTION("""COMPUTED_VALUE"""),44491.66666666667)</f>
        <v>44491.66667</v>
      </c>
      <c r="B1192" s="22">
        <f>IFERROR(__xludf.DUMMYFUNCTION("""COMPUTED_VALUE"""),4544.9)</f>
        <v>4544.9</v>
      </c>
      <c r="C1192" s="22">
        <f t="shared" si="6"/>
        <v>4546.882521</v>
      </c>
      <c r="D1192" s="25">
        <f>IFERROR(__xludf.DUMMYFUNCTION("""COMPUTED_VALUE"""),44471.99861111111)</f>
        <v>44471.99861</v>
      </c>
      <c r="E1192" s="22">
        <f>IFERROR(__xludf.DUMMYFUNCTION("""COMPUTED_VALUE"""),1.1591)</f>
        <v>1.1591</v>
      </c>
      <c r="F1192" s="22">
        <f t="shared" si="8"/>
        <v>356.7792774</v>
      </c>
      <c r="G1192" s="22">
        <f t="shared" si="31"/>
        <v>71.83022245</v>
      </c>
      <c r="H1192" s="22">
        <f t="shared" si="32"/>
        <v>121.2031316</v>
      </c>
      <c r="I1192" s="22">
        <f t="shared" si="3"/>
        <v>0.8627383315</v>
      </c>
      <c r="J1192" s="22">
        <f t="shared" si="33"/>
        <v>-0.03376757829</v>
      </c>
    </row>
    <row r="1193" ht="15.75" customHeight="1">
      <c r="A1193" s="25">
        <f>IFERROR(__xludf.DUMMYFUNCTION("""COMPUTED_VALUE"""),44498.66666666667)</f>
        <v>44498.66667</v>
      </c>
      <c r="B1193" s="22">
        <f>IFERROR(__xludf.DUMMYFUNCTION("""COMPUTED_VALUE"""),4605.38)</f>
        <v>4605.38</v>
      </c>
      <c r="C1193" s="22">
        <f t="shared" si="6"/>
        <v>4607.395123</v>
      </c>
      <c r="D1193" s="25">
        <f>IFERROR(__xludf.DUMMYFUNCTION("""COMPUTED_VALUE"""),44478.99861111111)</f>
        <v>44478.99861</v>
      </c>
      <c r="E1193" s="22">
        <f>IFERROR(__xludf.DUMMYFUNCTION("""COMPUTED_VALUE"""),1.1569)</f>
        <v>1.1569</v>
      </c>
      <c r="F1193" s="22">
        <f t="shared" si="8"/>
        <v>360.8413191</v>
      </c>
      <c r="G1193" s="22">
        <f t="shared" si="31"/>
        <v>69.0675075</v>
      </c>
      <c r="H1193" s="22">
        <f t="shared" si="32"/>
        <v>132.9401609</v>
      </c>
      <c r="I1193" s="22">
        <f t="shared" si="3"/>
        <v>0.8643789437</v>
      </c>
      <c r="J1193" s="22">
        <f t="shared" si="33"/>
        <v>-0.05186273662</v>
      </c>
    </row>
    <row r="1194" ht="15.75" customHeight="1">
      <c r="A1194" s="25">
        <f>IFERROR(__xludf.DUMMYFUNCTION("""COMPUTED_VALUE"""),44505.66666666667)</f>
        <v>44505.66667</v>
      </c>
      <c r="B1194" s="22">
        <f>IFERROR(__xludf.DUMMYFUNCTION("""COMPUTED_VALUE"""),4697.53)</f>
        <v>4697.53</v>
      </c>
      <c r="C1194" s="22">
        <f t="shared" si="6"/>
        <v>4699.571938</v>
      </c>
      <c r="D1194" s="25">
        <f>IFERROR(__xludf.DUMMYFUNCTION("""COMPUTED_VALUE"""),44485.99861111111)</f>
        <v>44485.99861</v>
      </c>
      <c r="E1194" s="22">
        <f>IFERROR(__xludf.DUMMYFUNCTION("""COMPUTED_VALUE"""),1.15994)</f>
        <v>1.15994</v>
      </c>
      <c r="F1194" s="22">
        <f t="shared" si="8"/>
        <v>369.0275666</v>
      </c>
      <c r="G1194" s="22">
        <f t="shared" si="31"/>
        <v>69.96081469</v>
      </c>
      <c r="H1194" s="22">
        <f t="shared" si="32"/>
        <v>131.298209</v>
      </c>
      <c r="I1194" s="22">
        <f t="shared" si="3"/>
        <v>0.8621135576</v>
      </c>
      <c r="J1194" s="22">
        <f t="shared" si="33"/>
        <v>-0.06167560391</v>
      </c>
    </row>
    <row r="1195" ht="15.75" customHeight="1">
      <c r="A1195" s="25">
        <f>IFERROR(__xludf.DUMMYFUNCTION("""COMPUTED_VALUE"""),44512.66666666667)</f>
        <v>44512.66667</v>
      </c>
      <c r="B1195" s="22">
        <f>IFERROR(__xludf.DUMMYFUNCTION("""COMPUTED_VALUE"""),4682.85)</f>
        <v>4682.85</v>
      </c>
      <c r="C1195" s="22">
        <f t="shared" si="6"/>
        <v>4684.932796</v>
      </c>
      <c r="D1195" s="25">
        <f>IFERROR(__xludf.DUMMYFUNCTION("""COMPUTED_VALUE"""),44492.99861111111)</f>
        <v>44492.99861</v>
      </c>
      <c r="E1195" s="22">
        <f>IFERROR(__xludf.DUMMYFUNCTION("""COMPUTED_VALUE"""),1.1641)</f>
        <v>1.1641</v>
      </c>
      <c r="F1195" s="22">
        <f t="shared" si="8"/>
        <v>369.1974027</v>
      </c>
      <c r="G1195" s="22">
        <f t="shared" si="31"/>
        <v>74.40497393</v>
      </c>
      <c r="H1195" s="22">
        <f t="shared" si="32"/>
        <v>127.4197835</v>
      </c>
      <c r="I1195" s="22">
        <f t="shared" si="3"/>
        <v>0.8590327291</v>
      </c>
      <c r="J1195" s="22">
        <f t="shared" si="33"/>
        <v>-0.05626664376</v>
      </c>
    </row>
    <row r="1196" ht="15.75" customHeight="1">
      <c r="A1196" s="25">
        <f>IFERROR(__xludf.DUMMYFUNCTION("""COMPUTED_VALUE"""),44519.66666666667)</f>
        <v>44519.66667</v>
      </c>
      <c r="B1196" s="22">
        <f>IFERROR(__xludf.DUMMYFUNCTION("""COMPUTED_VALUE"""),4697.96)</f>
        <v>4697.96</v>
      </c>
      <c r="C1196" s="22">
        <f t="shared" si="6"/>
        <v>4700.036287</v>
      </c>
      <c r="D1196" s="25">
        <f>IFERROR(__xludf.DUMMYFUNCTION("""COMPUTED_VALUE"""),44499.99861111111)</f>
        <v>44499.99861</v>
      </c>
      <c r="E1196" s="22">
        <f>IFERROR(__xludf.DUMMYFUNCTION("""COMPUTED_VALUE"""),1.1547)</f>
        <v>1.1547</v>
      </c>
      <c r="F1196" s="22">
        <f t="shared" si="8"/>
        <v>367.3967915</v>
      </c>
      <c r="G1196" s="22">
        <f t="shared" si="31"/>
        <v>80.97593181</v>
      </c>
      <c r="H1196" s="22">
        <f t="shared" si="32"/>
        <v>120.0707289</v>
      </c>
      <c r="I1196" s="22">
        <f t="shared" si="3"/>
        <v>0.8660258076</v>
      </c>
      <c r="J1196" s="22">
        <f t="shared" si="33"/>
        <v>-0.03550705811</v>
      </c>
    </row>
    <row r="1197" ht="15.75" customHeight="1">
      <c r="A1197" s="25">
        <f>IFERROR(__xludf.DUMMYFUNCTION("""COMPUTED_VALUE"""),44526.54166666667)</f>
        <v>44526.54167</v>
      </c>
      <c r="B1197" s="22">
        <f>IFERROR(__xludf.DUMMYFUNCTION("""COMPUTED_VALUE"""),4594.62)</f>
        <v>4594.62</v>
      </c>
      <c r="C1197" s="22">
        <f t="shared" si="6"/>
        <v>4596.702987</v>
      </c>
      <c r="D1197" s="25">
        <f>IFERROR(__xludf.DUMMYFUNCTION("""COMPUTED_VALUE"""),44506.99861111111)</f>
        <v>44506.99861</v>
      </c>
      <c r="E1197" s="22">
        <f>IFERROR(__xludf.DUMMYFUNCTION("""COMPUTED_VALUE"""),1.155)</f>
        <v>1.155</v>
      </c>
      <c r="F1197" s="22">
        <f t="shared" si="8"/>
        <v>359.4126922</v>
      </c>
      <c r="G1197" s="22">
        <f t="shared" si="31"/>
        <v>69.60909702</v>
      </c>
      <c r="H1197" s="22">
        <f t="shared" si="32"/>
        <v>123.0085703</v>
      </c>
      <c r="I1197" s="22">
        <f t="shared" si="3"/>
        <v>0.8658008658</v>
      </c>
      <c r="J1197" s="22">
        <f t="shared" si="33"/>
        <v>-0.06006060606</v>
      </c>
    </row>
    <row r="1198" ht="15.75" customHeight="1">
      <c r="A1198" s="25">
        <f>IFERROR(__xludf.DUMMYFUNCTION("""COMPUTED_VALUE"""),44533.66666666667)</f>
        <v>44533.66667</v>
      </c>
      <c r="B1198" s="22">
        <f>IFERROR(__xludf.DUMMYFUNCTION("""COMPUTED_VALUE"""),4538.43)</f>
        <v>4538.43</v>
      </c>
      <c r="C1198" s="22">
        <f t="shared" si="6"/>
        <v>4540.467168</v>
      </c>
      <c r="D1198" s="25">
        <f>IFERROR(__xludf.DUMMYFUNCTION("""COMPUTED_VALUE"""),44513.99861111111)</f>
        <v>44513.99861</v>
      </c>
      <c r="E1198" s="22">
        <f>IFERROR(__xludf.DUMMYFUNCTION("""COMPUTED_VALUE"""),1.14459)</f>
        <v>1.14459</v>
      </c>
      <c r="F1198" s="22">
        <f t="shared" si="8"/>
        <v>351.815905</v>
      </c>
      <c r="G1198" s="22">
        <f t="shared" si="31"/>
        <v>72.76531423</v>
      </c>
      <c r="H1198" s="22">
        <f t="shared" si="32"/>
        <v>117.1441287</v>
      </c>
      <c r="I1198" s="22">
        <f t="shared" si="3"/>
        <v>0.8736752898</v>
      </c>
      <c r="J1198" s="22">
        <f t="shared" si="33"/>
        <v>-0.07498755013</v>
      </c>
    </row>
    <row r="1199" ht="15.75" customHeight="1">
      <c r="A1199" s="25">
        <f>IFERROR(__xludf.DUMMYFUNCTION("""COMPUTED_VALUE"""),44540.66666666667)</f>
        <v>44540.66667</v>
      </c>
      <c r="B1199" s="22">
        <f>IFERROR(__xludf.DUMMYFUNCTION("""COMPUTED_VALUE"""),4712.02)</f>
        <v>4712.02</v>
      </c>
      <c r="C1199" s="22">
        <f t="shared" si="6"/>
        <v>4714.032254</v>
      </c>
      <c r="D1199" s="25">
        <f>IFERROR(__xludf.DUMMYFUNCTION("""COMPUTED_VALUE"""),44520.99861111111)</f>
        <v>44520.99861</v>
      </c>
      <c r="E1199" s="22">
        <f>IFERROR(__xludf.DUMMYFUNCTION("""COMPUTED_VALUE"""),1.1286)</f>
        <v>1.1286</v>
      </c>
      <c r="F1199" s="22">
        <f t="shared" si="8"/>
        <v>360.1617419</v>
      </c>
      <c r="G1199" s="22">
        <f t="shared" si="31"/>
        <v>80.32033254</v>
      </c>
      <c r="H1199" s="22">
        <f t="shared" si="32"/>
        <v>122.3540706</v>
      </c>
      <c r="I1199" s="22">
        <f t="shared" si="3"/>
        <v>0.8860535176</v>
      </c>
      <c r="J1199" s="22">
        <f t="shared" si="33"/>
        <v>-0.0615364168</v>
      </c>
    </row>
    <row r="1200" ht="15.75" customHeight="1">
      <c r="A1200" s="25">
        <f>IFERROR(__xludf.DUMMYFUNCTION("""COMPUTED_VALUE"""),44547.66666666667)</f>
        <v>44547.66667</v>
      </c>
      <c r="B1200" s="22">
        <f>IFERROR(__xludf.DUMMYFUNCTION("""COMPUTED_VALUE"""),4620.64)</f>
        <v>4620.64</v>
      </c>
      <c r="C1200" s="22">
        <f t="shared" si="6"/>
        <v>4622.729221</v>
      </c>
      <c r="D1200" s="25">
        <f>IFERROR(__xludf.DUMMYFUNCTION("""COMPUTED_VALUE"""),44526.99861111111)</f>
        <v>44526.99861</v>
      </c>
      <c r="E1200" s="22">
        <f>IFERROR(__xludf.DUMMYFUNCTION("""COMPUTED_VALUE"""),1.1319)</f>
        <v>1.1319</v>
      </c>
      <c r="F1200" s="22">
        <f t="shared" si="8"/>
        <v>354.2187103</v>
      </c>
      <c r="G1200" s="22">
        <f t="shared" si="31"/>
        <v>91.18094604</v>
      </c>
      <c r="H1200" s="22">
        <f t="shared" si="32"/>
        <v>116.6802384</v>
      </c>
      <c r="I1200" s="22">
        <f t="shared" si="3"/>
        <v>0.8834702712</v>
      </c>
      <c r="J1200" s="22">
        <f t="shared" si="33"/>
        <v>-0.05799982331</v>
      </c>
    </row>
    <row r="1201" ht="15.75" customHeight="1">
      <c r="A1201" s="25">
        <f>IFERROR(__xludf.DUMMYFUNCTION("""COMPUTED_VALUE"""),44553.66666666667)</f>
        <v>44553.66667</v>
      </c>
      <c r="B1201" s="22">
        <f>IFERROR(__xludf.DUMMYFUNCTION("""COMPUTED_VALUE"""),4725.79)</f>
        <v>4725.79</v>
      </c>
      <c r="C1201" s="22">
        <f t="shared" si="6"/>
        <v>4727.838704</v>
      </c>
      <c r="D1201" s="25">
        <f>IFERROR(__xludf.DUMMYFUNCTION("""COMPUTED_VALUE"""),44534.99861111111)</f>
        <v>44534.99861</v>
      </c>
      <c r="E1201" s="22">
        <f>IFERROR(__xludf.DUMMYFUNCTION("""COMPUTED_VALUE"""),1.1313)</f>
        <v>1.1313</v>
      </c>
      <c r="F1201" s="22">
        <f t="shared" si="8"/>
        <v>362.0807375</v>
      </c>
      <c r="G1201" s="22">
        <f t="shared" si="31"/>
        <v>89.03039645</v>
      </c>
      <c r="H1201" s="22">
        <f t="shared" si="32"/>
        <v>126.1527484</v>
      </c>
      <c r="I1201" s="22">
        <f t="shared" si="3"/>
        <v>0.8839388314</v>
      </c>
      <c r="J1201" s="22">
        <f t="shared" si="33"/>
        <v>-0.06664898789</v>
      </c>
    </row>
    <row r="1202" ht="15.75" customHeight="1">
      <c r="A1202" s="25">
        <f>IFERROR(__xludf.DUMMYFUNCTION("""COMPUTED_VALUE"""),44561.66666666667)</f>
        <v>44561.66667</v>
      </c>
      <c r="B1202" s="22">
        <f>IFERROR(__xludf.DUMMYFUNCTION("""COMPUTED_VALUE"""),4766.18)</f>
        <v>4766.18</v>
      </c>
      <c r="C1202" s="22">
        <f t="shared" si="6"/>
        <v>4768.275326</v>
      </c>
      <c r="D1202" s="25">
        <f>IFERROR(__xludf.DUMMYFUNCTION("""COMPUTED_VALUE"""),44541.99861111111)</f>
        <v>44541.99861</v>
      </c>
      <c r="E1202" s="22">
        <f>IFERROR(__xludf.DUMMYFUNCTION("""COMPUTED_VALUE"""),1.1316)</f>
        <v>1.1316</v>
      </c>
      <c r="F1202" s="22">
        <f t="shared" si="8"/>
        <v>365.2744078</v>
      </c>
      <c r="G1202" s="22">
        <f t="shared" si="31"/>
        <v>88.35955065</v>
      </c>
      <c r="H1202" s="22">
        <f t="shared" si="32"/>
        <v>126.6242373</v>
      </c>
      <c r="I1202" s="22">
        <f t="shared" si="3"/>
        <v>0.8837044892</v>
      </c>
      <c r="J1202" s="22">
        <f t="shared" si="33"/>
        <v>-0.07635206787</v>
      </c>
    </row>
    <row r="1203" ht="15.75" customHeight="1">
      <c r="A1203" s="25">
        <f>IFERROR(__xludf.DUMMYFUNCTION("""COMPUTED_VALUE"""),44568.66666666667)</f>
        <v>44568.66667</v>
      </c>
      <c r="B1203" s="22">
        <f>IFERROR(__xludf.DUMMYFUNCTION("""COMPUTED_VALUE"""),4677.03)</f>
        <v>4677.03</v>
      </c>
      <c r="C1203" s="22">
        <f t="shared" si="6"/>
        <v>4679.143234</v>
      </c>
      <c r="D1203" s="25">
        <f>IFERROR(__xludf.DUMMYFUNCTION("""COMPUTED_VALUE"""),44548.99861111111)</f>
        <v>44548.99861</v>
      </c>
      <c r="E1203" s="22">
        <f>IFERROR(__xludf.DUMMYFUNCTION("""COMPUTED_VALUE"""),1.1239)</f>
        <v>1.1239</v>
      </c>
      <c r="F1203" s="22">
        <f t="shared" si="8"/>
        <v>356.0073737</v>
      </c>
      <c r="G1203" s="22">
        <f t="shared" si="31"/>
        <v>77.88507055</v>
      </c>
      <c r="H1203" s="22">
        <f t="shared" si="32"/>
        <v>121.0156622</v>
      </c>
      <c r="I1203" s="22">
        <f t="shared" si="3"/>
        <v>0.8897588753</v>
      </c>
      <c r="J1203" s="22">
        <f t="shared" si="33"/>
        <v>-0.06966811994</v>
      </c>
    </row>
    <row r="1204" ht="15.75" customHeight="1">
      <c r="A1204" s="25">
        <f>IFERROR(__xludf.DUMMYFUNCTION("""COMPUTED_VALUE"""),44575.66666666667)</f>
        <v>44575.66667</v>
      </c>
      <c r="B1204" s="22">
        <f>IFERROR(__xludf.DUMMYFUNCTION("""COMPUTED_VALUE"""),4662.85)</f>
        <v>4662.85</v>
      </c>
      <c r="C1204" s="22">
        <f t="shared" si="6"/>
        <v>4664.923707</v>
      </c>
      <c r="D1204" s="25">
        <f>IFERROR(__xludf.DUMMYFUNCTION("""COMPUTED_VALUE"""),44555.99861111111)</f>
        <v>44555.99861</v>
      </c>
      <c r="E1204" s="22">
        <f>IFERROR(__xludf.DUMMYFUNCTION("""COMPUTED_VALUE"""),1.1321)</f>
        <v>1.1321</v>
      </c>
      <c r="F1204" s="22">
        <f t="shared" si="8"/>
        <v>357.5150414</v>
      </c>
      <c r="G1204" s="22">
        <f t="shared" si="31"/>
        <v>72.79349678</v>
      </c>
      <c r="H1204" s="22">
        <f t="shared" si="32"/>
        <v>120.9877761</v>
      </c>
      <c r="I1204" s="22">
        <f t="shared" si="3"/>
        <v>0.8833141949</v>
      </c>
      <c r="J1204" s="22">
        <f t="shared" si="33"/>
        <v>-0.07101846127</v>
      </c>
    </row>
    <row r="1205" ht="15.75" customHeight="1">
      <c r="A1205" s="25">
        <f>IFERROR(__xludf.DUMMYFUNCTION("""COMPUTED_VALUE"""),44582.66666666667)</f>
        <v>44582.66667</v>
      </c>
      <c r="B1205" s="22">
        <f>IFERROR(__xludf.DUMMYFUNCTION("""COMPUTED_VALUE"""),4397.94)</f>
        <v>4397.94</v>
      </c>
      <c r="C1205" s="22">
        <f t="shared" si="6"/>
        <v>4400.007419</v>
      </c>
      <c r="D1205" s="25">
        <f>IFERROR(__xludf.DUMMYFUNCTION("""COMPUTED_VALUE"""),44562.99861111111)</f>
        <v>44562.99861</v>
      </c>
      <c r="E1205" s="22">
        <f>IFERROR(__xludf.DUMMYFUNCTION("""COMPUTED_VALUE"""),1.1373)</f>
        <v>1.1373</v>
      </c>
      <c r="F1205" s="22">
        <f t="shared" si="8"/>
        <v>338.7610189</v>
      </c>
      <c r="G1205" s="22">
        <f t="shared" si="31"/>
        <v>64.74080626</v>
      </c>
      <c r="H1205" s="22">
        <f t="shared" si="32"/>
        <v>107.0072231</v>
      </c>
      <c r="I1205" s="22">
        <f t="shared" si="3"/>
        <v>0.879275477</v>
      </c>
      <c r="J1205" s="22">
        <f t="shared" si="33"/>
        <v>-0.07412292271</v>
      </c>
    </row>
    <row r="1206" ht="15.75" customHeight="1">
      <c r="A1206" s="25">
        <f>IFERROR(__xludf.DUMMYFUNCTION("""COMPUTED_VALUE"""),44589.66666666667)</f>
        <v>44589.66667</v>
      </c>
      <c r="B1206" s="22">
        <f>IFERROR(__xludf.DUMMYFUNCTION("""COMPUTED_VALUE"""),4431.85)</f>
        <v>4431.85</v>
      </c>
      <c r="C1206" s="22">
        <f t="shared" si="6"/>
        <v>4433.799963</v>
      </c>
      <c r="D1206" s="25">
        <f>IFERROR(__xludf.DUMMYFUNCTION("""COMPUTED_VALUE"""),44569.99861111111)</f>
        <v>44569.99861</v>
      </c>
      <c r="E1206" s="22">
        <f>IFERROR(__xludf.DUMMYFUNCTION("""COMPUTED_VALUE"""),1.136)</f>
        <v>1.136</v>
      </c>
      <c r="F1206" s="22">
        <f t="shared" si="8"/>
        <v>340.9725435</v>
      </c>
      <c r="G1206" s="22">
        <f t="shared" si="31"/>
        <v>62.205043</v>
      </c>
      <c r="H1206" s="22">
        <f t="shared" si="32"/>
        <v>105.9006325</v>
      </c>
      <c r="I1206" s="22">
        <f t="shared" si="3"/>
        <v>0.8802816901</v>
      </c>
      <c r="J1206" s="22">
        <f t="shared" si="33"/>
        <v>-0.06311619718</v>
      </c>
    </row>
    <row r="1207" ht="15.75" customHeight="1">
      <c r="A1207" s="25">
        <f>IFERROR(__xludf.DUMMYFUNCTION("""COMPUTED_VALUE"""),44596.66666666667)</f>
        <v>44596.66667</v>
      </c>
      <c r="B1207" s="22">
        <f>IFERROR(__xludf.DUMMYFUNCTION("""COMPUTED_VALUE"""),4500.53)</f>
        <v>4500.53</v>
      </c>
      <c r="C1207" s="22">
        <f t="shared" si="6"/>
        <v>4502.494998</v>
      </c>
      <c r="D1207" s="25">
        <f>IFERROR(__xludf.DUMMYFUNCTION("""COMPUTED_VALUE"""),44576.99861111111)</f>
        <v>44576.99861</v>
      </c>
      <c r="E1207" s="22">
        <f>IFERROR(__xludf.DUMMYFUNCTION("""COMPUTED_VALUE"""),1.1415)</f>
        <v>1.1415</v>
      </c>
      <c r="F1207" s="22">
        <f t="shared" si="8"/>
        <v>347.9318108</v>
      </c>
      <c r="G1207" s="22">
        <f t="shared" si="31"/>
        <v>66.96072205</v>
      </c>
      <c r="H1207" s="22">
        <f t="shared" si="32"/>
        <v>107.2795806</v>
      </c>
      <c r="I1207" s="22">
        <f t="shared" si="3"/>
        <v>0.8760402979</v>
      </c>
      <c r="J1207" s="22">
        <f t="shared" si="33"/>
        <v>-0.06254927727</v>
      </c>
    </row>
    <row r="1208" ht="15.75" customHeight="1">
      <c r="A1208" s="25">
        <f>IFERROR(__xludf.DUMMYFUNCTION("""COMPUTED_VALUE"""),44603.66666666667)</f>
        <v>44603.66667</v>
      </c>
      <c r="B1208" s="22">
        <f>IFERROR(__xludf.DUMMYFUNCTION("""COMPUTED_VALUE"""),4418.64)</f>
        <v>4418.64</v>
      </c>
      <c r="C1208" s="22">
        <f t="shared" si="6"/>
        <v>4420.63545</v>
      </c>
      <c r="D1208" s="25">
        <f>IFERROR(__xludf.DUMMYFUNCTION("""COMPUTED_VALUE"""),44583.99861111111)</f>
        <v>44583.99861</v>
      </c>
      <c r="E1208" s="22">
        <f>IFERROR(__xludf.DUMMYFUNCTION("""COMPUTED_VALUE"""),1.1343)</f>
        <v>1.1343</v>
      </c>
      <c r="F1208" s="22">
        <f t="shared" si="8"/>
        <v>339.4514097</v>
      </c>
      <c r="G1208" s="22">
        <f t="shared" si="31"/>
        <v>58.31955803</v>
      </c>
      <c r="H1208" s="22">
        <f t="shared" si="32"/>
        <v>99.28692619</v>
      </c>
      <c r="I1208" s="22">
        <f t="shared" si="3"/>
        <v>0.8816009874</v>
      </c>
      <c r="J1208" s="22">
        <f t="shared" si="33"/>
        <v>-0.05695142379</v>
      </c>
    </row>
    <row r="1209" ht="15.75" customHeight="1">
      <c r="A1209" s="25">
        <f>IFERROR(__xludf.DUMMYFUNCTION("""COMPUTED_VALUE"""),44610.66666666667)</f>
        <v>44610.66667</v>
      </c>
      <c r="B1209" s="22">
        <f>IFERROR(__xludf.DUMMYFUNCTION("""COMPUTED_VALUE"""),4348.87)</f>
        <v>4348.87</v>
      </c>
      <c r="C1209" s="22">
        <f t="shared" si="6"/>
        <v>4350.829141</v>
      </c>
      <c r="D1209" s="25">
        <f>IFERROR(__xludf.DUMMYFUNCTION("""COMPUTED_VALUE"""),44590.99861111111)</f>
        <v>44590.99861</v>
      </c>
      <c r="E1209" s="22">
        <f>IFERROR(__xludf.DUMMYFUNCTION("""COMPUTED_VALUE"""),1.11376)</f>
        <v>1.11376</v>
      </c>
      <c r="F1209" s="22">
        <f t="shared" si="8"/>
        <v>328.041378</v>
      </c>
      <c r="G1209" s="22">
        <f t="shared" si="31"/>
        <v>51.3978409</v>
      </c>
      <c r="H1209" s="22">
        <f t="shared" si="32"/>
        <v>89.67545317</v>
      </c>
      <c r="I1209" s="22">
        <f t="shared" si="3"/>
        <v>0.8978595029</v>
      </c>
      <c r="J1209" s="22">
        <f t="shared" si="33"/>
        <v>-0.03147895417</v>
      </c>
    </row>
    <row r="1210" ht="15.75" customHeight="1">
      <c r="A1210" s="25">
        <f>IFERROR(__xludf.DUMMYFUNCTION("""COMPUTED_VALUE"""),44617.66666666667)</f>
        <v>44617.66667</v>
      </c>
      <c r="B1210" s="22">
        <f>IFERROR(__xludf.DUMMYFUNCTION("""COMPUTED_VALUE"""),4384.65)</f>
        <v>4384.65</v>
      </c>
      <c r="C1210" s="22">
        <f t="shared" si="6"/>
        <v>4386.578207</v>
      </c>
      <c r="D1210" s="25">
        <f>IFERROR(__xludf.DUMMYFUNCTION("""COMPUTED_VALUE"""),44597.99861111111)</f>
        <v>44597.99861</v>
      </c>
      <c r="E1210" s="22">
        <f>IFERROR(__xludf.DUMMYFUNCTION("""COMPUTED_VALUE"""),1.1448)</f>
        <v>1.1448</v>
      </c>
      <c r="F1210" s="22">
        <f t="shared" si="8"/>
        <v>339.9542538</v>
      </c>
      <c r="G1210" s="22">
        <f t="shared" si="31"/>
        <v>58.03095667</v>
      </c>
      <c r="H1210" s="22">
        <f t="shared" si="32"/>
        <v>97.99688565</v>
      </c>
      <c r="I1210" s="22">
        <f t="shared" si="3"/>
        <v>0.8735150245</v>
      </c>
      <c r="J1210" s="22">
        <f t="shared" si="33"/>
        <v>-0.07075471698</v>
      </c>
    </row>
    <row r="1211" ht="15.75" customHeight="1">
      <c r="A1211" s="25">
        <f>IFERROR(__xludf.DUMMYFUNCTION("""COMPUTED_VALUE"""),44624.66666666667)</f>
        <v>44624.66667</v>
      </c>
      <c r="B1211" s="22">
        <f>IFERROR(__xludf.DUMMYFUNCTION("""COMPUTED_VALUE"""),4328.87)</f>
        <v>4328.87</v>
      </c>
      <c r="C1211" s="22">
        <f t="shared" si="6"/>
        <v>4330.814071</v>
      </c>
      <c r="D1211" s="25">
        <f>IFERROR(__xludf.DUMMYFUNCTION("""COMPUTED_VALUE"""),44604.99861111111)</f>
        <v>44604.99861</v>
      </c>
      <c r="E1211" s="22">
        <f>IFERROR(__xludf.DUMMYFUNCTION("""COMPUTED_VALUE"""),1.13452)</f>
        <v>1.13452</v>
      </c>
      <c r="F1211" s="22">
        <f t="shared" si="8"/>
        <v>332.6187123</v>
      </c>
      <c r="G1211" s="22">
        <f t="shared" si="31"/>
        <v>58.51187419</v>
      </c>
      <c r="H1211" s="22">
        <f t="shared" si="32"/>
        <v>95.0224991</v>
      </c>
      <c r="I1211" s="22">
        <f t="shared" si="3"/>
        <v>0.8814300321</v>
      </c>
      <c r="J1211" s="22">
        <f t="shared" si="33"/>
        <v>-0.06445016395</v>
      </c>
    </row>
    <row r="1212" ht="15.75" customHeight="1">
      <c r="A1212" s="25">
        <f>IFERROR(__xludf.DUMMYFUNCTION("""COMPUTED_VALUE"""),44631.66666666667)</f>
        <v>44631.66667</v>
      </c>
      <c r="B1212" s="22">
        <f>IFERROR(__xludf.DUMMYFUNCTION("""COMPUTED_VALUE"""),4204.31)</f>
        <v>4204.31</v>
      </c>
      <c r="C1212" s="22">
        <f t="shared" si="6"/>
        <v>4206.229339</v>
      </c>
      <c r="D1212" s="25">
        <f>IFERROR(__xludf.DUMMYFUNCTION("""COMPUTED_VALUE"""),44611.99861111111)</f>
        <v>44611.99861</v>
      </c>
      <c r="E1212" s="22">
        <f>IFERROR(__xludf.DUMMYFUNCTION("""COMPUTED_VALUE"""),1.13065)</f>
        <v>1.13065</v>
      </c>
      <c r="F1212" s="22">
        <f t="shared" si="8"/>
        <v>321.9482864</v>
      </c>
      <c r="G1212" s="22">
        <f t="shared" si="31"/>
        <v>48.52176702</v>
      </c>
      <c r="H1212" s="22">
        <f t="shared" si="32"/>
        <v>89.26335279</v>
      </c>
      <c r="I1212" s="22">
        <f t="shared" si="3"/>
        <v>0.8844469995</v>
      </c>
      <c r="J1212" s="22">
        <f t="shared" si="33"/>
        <v>-0.06593552381</v>
      </c>
    </row>
    <row r="1213" ht="15.75" customHeight="1">
      <c r="A1213" s="25">
        <f>IFERROR(__xludf.DUMMYFUNCTION("""COMPUTED_VALUE"""),44638.66666666667)</f>
        <v>44638.66667</v>
      </c>
      <c r="B1213" s="22">
        <f>IFERROR(__xludf.DUMMYFUNCTION("""COMPUTED_VALUE"""),4463.12)</f>
        <v>4463.12</v>
      </c>
      <c r="C1213" s="22">
        <f t="shared" si="6"/>
        <v>4464.984111</v>
      </c>
      <c r="D1213" s="25">
        <f>IFERROR(__xludf.DUMMYFUNCTION("""COMPUTED_VALUE"""),44618.99861111111)</f>
        <v>44618.99861</v>
      </c>
      <c r="E1213" s="22">
        <f>IFERROR(__xludf.DUMMYFUNCTION("""COMPUTED_VALUE"""),1.1271)</f>
        <v>1.1271</v>
      </c>
      <c r="F1213" s="22">
        <f t="shared" si="8"/>
        <v>340.6805581</v>
      </c>
      <c r="G1213" s="22">
        <f t="shared" si="31"/>
        <v>57.88127711</v>
      </c>
      <c r="H1213" s="22">
        <f t="shared" si="32"/>
        <v>102.0351058</v>
      </c>
      <c r="I1213" s="22">
        <f t="shared" si="3"/>
        <v>0.8872327211</v>
      </c>
      <c r="J1213" s="22">
        <f t="shared" si="33"/>
        <v>-0.0575814036</v>
      </c>
    </row>
    <row r="1214" ht="15.75" customHeight="1">
      <c r="A1214" s="25">
        <f>IFERROR(__xludf.DUMMYFUNCTION("""COMPUTED_VALUE"""),44645.66666666667)</f>
        <v>44645.66667</v>
      </c>
      <c r="B1214" s="22">
        <f>IFERROR(__xludf.DUMMYFUNCTION("""COMPUTED_VALUE"""),4543.06)</f>
        <v>4543.06</v>
      </c>
      <c r="C1214" s="22">
        <f t="shared" si="6"/>
        <v>4545.038863</v>
      </c>
      <c r="D1214" s="25">
        <f>IFERROR(__xludf.DUMMYFUNCTION("""COMPUTED_VALUE"""),44625.99861111111)</f>
        <v>44625.99861</v>
      </c>
      <c r="E1214" s="22">
        <f>IFERROR(__xludf.DUMMYFUNCTION("""COMPUTED_VALUE"""),1.0924)</f>
        <v>1.0924</v>
      </c>
      <c r="F1214" s="22">
        <f t="shared" si="8"/>
        <v>336.1121988</v>
      </c>
      <c r="G1214" s="22">
        <f t="shared" si="31"/>
        <v>55.80410572</v>
      </c>
      <c r="H1214" s="22">
        <f t="shared" si="32"/>
        <v>96.80016935</v>
      </c>
      <c r="I1214" s="22">
        <f t="shared" si="3"/>
        <v>0.9154155987</v>
      </c>
      <c r="J1214" s="22">
        <f t="shared" si="33"/>
        <v>-0.02296777737</v>
      </c>
    </row>
    <row r="1215" ht="15.75" customHeight="1">
      <c r="A1215" s="25">
        <f>IFERROR(__xludf.DUMMYFUNCTION("""COMPUTED_VALUE"""),44652.66666666667)</f>
        <v>44652.66667</v>
      </c>
      <c r="B1215" s="22">
        <f>IFERROR(__xludf.DUMMYFUNCTION("""COMPUTED_VALUE"""),4545.86)</f>
        <v>4545.86</v>
      </c>
      <c r="C1215" s="22">
        <f t="shared" si="6"/>
        <v>4547.874307</v>
      </c>
      <c r="D1215" s="25">
        <f>IFERROR(__xludf.DUMMYFUNCTION("""COMPUTED_VALUE"""),44632.99861111111)</f>
        <v>44632.99861</v>
      </c>
      <c r="E1215" s="22">
        <f>IFERROR(__xludf.DUMMYFUNCTION("""COMPUTED_VALUE"""),1.0913)</f>
        <v>1.0913</v>
      </c>
      <c r="F1215" s="22">
        <f t="shared" si="8"/>
        <v>335.9832223</v>
      </c>
      <c r="G1215" s="22">
        <f t="shared" si="31"/>
        <v>51.20457473</v>
      </c>
      <c r="H1215" s="22">
        <f t="shared" si="32"/>
        <v>96.03943729</v>
      </c>
      <c r="I1215" s="22">
        <f t="shared" si="3"/>
        <v>0.9163383121</v>
      </c>
      <c r="J1215" s="22">
        <f t="shared" si="33"/>
        <v>-0.01557775131</v>
      </c>
    </row>
    <row r="1216" ht="15.75" customHeight="1">
      <c r="A1216" s="25">
        <f>IFERROR(__xludf.DUMMYFUNCTION("""COMPUTED_VALUE"""),44659.66666666667)</f>
        <v>44659.66667</v>
      </c>
      <c r="B1216" s="22">
        <f>IFERROR(__xludf.DUMMYFUNCTION("""COMPUTED_VALUE"""),4488.28)</f>
        <v>4488.28</v>
      </c>
      <c r="C1216" s="22">
        <f t="shared" si="6"/>
        <v>4490.295548</v>
      </c>
      <c r="D1216" s="25">
        <f>IFERROR(__xludf.DUMMYFUNCTION("""COMPUTED_VALUE"""),44639.99861111111)</f>
        <v>44639.99861</v>
      </c>
      <c r="E1216" s="22">
        <f>IFERROR(__xludf.DUMMYFUNCTION("""COMPUTED_VALUE"""),1.1069)</f>
        <v>1.1069</v>
      </c>
      <c r="F1216" s="22">
        <f t="shared" si="8"/>
        <v>336.4715097</v>
      </c>
      <c r="G1216" s="22">
        <f t="shared" si="31"/>
        <v>51.04546944</v>
      </c>
      <c r="H1216" s="22">
        <f t="shared" si="32"/>
        <v>97.44396386</v>
      </c>
      <c r="I1216" s="22">
        <f t="shared" si="3"/>
        <v>0.9034239769</v>
      </c>
      <c r="J1216" s="22">
        <f t="shared" si="33"/>
        <v>-0.02394073539</v>
      </c>
    </row>
    <row r="1217" ht="15.75" customHeight="1">
      <c r="A1217" s="25">
        <f>IFERROR(__xludf.DUMMYFUNCTION("""COMPUTED_VALUE"""),44665.66666666667)</f>
        <v>44665.66667</v>
      </c>
      <c r="B1217" s="22">
        <f>IFERROR(__xludf.DUMMYFUNCTION("""COMPUTED_VALUE"""),4392.59)</f>
        <v>4392.59</v>
      </c>
      <c r="C1217" s="22">
        <f t="shared" si="6"/>
        <v>4394.580018</v>
      </c>
      <c r="D1217" s="25">
        <f>IFERROR(__xludf.DUMMYFUNCTION("""COMPUTED_VALUE"""),44646.99861111111)</f>
        <v>44646.99861</v>
      </c>
      <c r="E1217" s="22">
        <f>IFERROR(__xludf.DUMMYFUNCTION("""COMPUTED_VALUE"""),1.0983)</f>
        <v>1.0983</v>
      </c>
      <c r="F1217" s="22">
        <f t="shared" si="8"/>
        <v>326.740781</v>
      </c>
      <c r="G1217" s="22">
        <f t="shared" si="31"/>
        <v>47.88199794</v>
      </c>
      <c r="H1217" s="22">
        <f t="shared" si="32"/>
        <v>92.80814542</v>
      </c>
      <c r="I1217" s="22">
        <f t="shared" si="3"/>
        <v>0.9104980424</v>
      </c>
      <c r="J1217" s="22">
        <f t="shared" si="33"/>
        <v>-0.02999180552</v>
      </c>
    </row>
    <row r="1218" ht="15.75" customHeight="1">
      <c r="A1218" s="25">
        <f>IFERROR(__xludf.DUMMYFUNCTION("""COMPUTED_VALUE"""),44673.66666666667)</f>
        <v>44673.66667</v>
      </c>
      <c r="B1218" s="22">
        <f>IFERROR(__xludf.DUMMYFUNCTION("""COMPUTED_VALUE"""),4271.78)</f>
        <v>4271.78</v>
      </c>
      <c r="C1218" s="22">
        <f t="shared" si="6"/>
        <v>4273.727591</v>
      </c>
      <c r="D1218" s="25">
        <f>IFERROR(__xludf.DUMMYFUNCTION("""COMPUTED_VALUE"""),44653.99861111111)</f>
        <v>44653.99861</v>
      </c>
      <c r="E1218" s="22">
        <f>IFERROR(__xludf.DUMMYFUNCTION("""COMPUTED_VALUE"""),1.1041)</f>
        <v>1.1041</v>
      </c>
      <c r="F1218" s="22">
        <f t="shared" si="8"/>
        <v>319.4333301</v>
      </c>
      <c r="G1218" s="22">
        <f t="shared" si="31"/>
        <v>42.86164707</v>
      </c>
      <c r="H1218" s="22">
        <f t="shared" si="32"/>
        <v>86.80433667</v>
      </c>
      <c r="I1218" s="22">
        <f t="shared" si="3"/>
        <v>0.905715062</v>
      </c>
      <c r="J1218" s="22">
        <f t="shared" si="33"/>
        <v>-0.0408477493</v>
      </c>
    </row>
    <row r="1219" ht="15.75" customHeight="1">
      <c r="A1219" s="25">
        <f>IFERROR(__xludf.DUMMYFUNCTION("""COMPUTED_VALUE"""),44680.66666666667)</f>
        <v>44680.66667</v>
      </c>
      <c r="B1219" s="22">
        <f>IFERROR(__xludf.DUMMYFUNCTION("""COMPUTED_VALUE"""),4131.93)</f>
        <v>4131.93</v>
      </c>
      <c r="C1219" s="22">
        <f t="shared" si="6"/>
        <v>4133.824026</v>
      </c>
      <c r="D1219" s="25">
        <f>IFERROR(__xludf.DUMMYFUNCTION("""COMPUTED_VALUE"""),44660.99861111111)</f>
        <v>44660.99861</v>
      </c>
      <c r="E1219" s="22">
        <f>IFERROR(__xludf.DUMMYFUNCTION("""COMPUTED_VALUE"""),1.08737)</f>
        <v>1.08737</v>
      </c>
      <c r="F1219" s="22">
        <f t="shared" si="8"/>
        <v>304.2946483</v>
      </c>
      <c r="G1219" s="22">
        <f t="shared" si="31"/>
        <v>34.76832629</v>
      </c>
      <c r="H1219" s="22">
        <f t="shared" si="32"/>
        <v>76.46478121</v>
      </c>
      <c r="I1219" s="22">
        <f t="shared" si="3"/>
        <v>0.9196501651</v>
      </c>
      <c r="J1219" s="22">
        <f t="shared" si="33"/>
        <v>-0.02406724482</v>
      </c>
    </row>
    <row r="1220" ht="15.75" customHeight="1">
      <c r="A1220" s="25">
        <f>IFERROR(__xludf.DUMMYFUNCTION("""COMPUTED_VALUE"""),44687.66666666667)</f>
        <v>44687.66667</v>
      </c>
      <c r="B1220" s="22">
        <f>IFERROR(__xludf.DUMMYFUNCTION("""COMPUTED_VALUE"""),4123.34)</f>
        <v>4123.34</v>
      </c>
      <c r="C1220" s="22">
        <f t="shared" si="6"/>
        <v>4125.17202</v>
      </c>
      <c r="D1220" s="25">
        <f>IFERROR(__xludf.DUMMYFUNCTION("""COMPUTED_VALUE"""),44667.99861111111)</f>
        <v>44667.99861</v>
      </c>
      <c r="E1220" s="22">
        <f>IFERROR(__xludf.DUMMYFUNCTION("""COMPUTED_VALUE"""),1.08099)</f>
        <v>1.08099</v>
      </c>
      <c r="F1220" s="22">
        <f t="shared" si="8"/>
        <v>301.8760941</v>
      </c>
      <c r="G1220" s="22">
        <f t="shared" si="31"/>
        <v>37.57595766</v>
      </c>
      <c r="H1220" s="22">
        <f t="shared" si="32"/>
        <v>73.88969311</v>
      </c>
      <c r="I1220" s="22">
        <f t="shared" si="3"/>
        <v>0.9250779378</v>
      </c>
      <c r="J1220" s="22">
        <f t="shared" si="33"/>
        <v>-0.008223942867</v>
      </c>
    </row>
    <row r="1221" ht="15.75" customHeight="1">
      <c r="A1221" s="25">
        <f>IFERROR(__xludf.DUMMYFUNCTION("""COMPUTED_VALUE"""),44694.66666666667)</f>
        <v>44694.66667</v>
      </c>
      <c r="B1221" s="22">
        <f>IFERROR(__xludf.DUMMYFUNCTION("""COMPUTED_VALUE"""),4023.89)</f>
        <v>4023.89</v>
      </c>
      <c r="C1221" s="22">
        <f t="shared" si="6"/>
        <v>4025.718211</v>
      </c>
      <c r="D1221" s="25">
        <f>IFERROR(__xludf.DUMMYFUNCTION("""COMPUTED_VALUE"""),44674.99861111111)</f>
        <v>44674.99861</v>
      </c>
      <c r="E1221" s="22">
        <f>IFERROR(__xludf.DUMMYFUNCTION("""COMPUTED_VALUE"""),1.0798)</f>
        <v>1.0798</v>
      </c>
      <c r="F1221" s="22">
        <f t="shared" si="8"/>
        <v>294.2738545</v>
      </c>
      <c r="G1221" s="22">
        <f t="shared" si="31"/>
        <v>36.42401829</v>
      </c>
      <c r="H1221" s="22">
        <f t="shared" si="32"/>
        <v>67.47631958</v>
      </c>
      <c r="I1221" s="22">
        <f t="shared" si="3"/>
        <v>0.9260974254</v>
      </c>
      <c r="J1221" s="22">
        <f t="shared" si="33"/>
        <v>0.008797925542</v>
      </c>
    </row>
    <row r="1222" ht="15.75" customHeight="1">
      <c r="A1222" s="25">
        <f>IFERROR(__xludf.DUMMYFUNCTION("""COMPUTED_VALUE"""),44701.66666666667)</f>
        <v>44701.66667</v>
      </c>
      <c r="B1222" s="22">
        <f>IFERROR(__xludf.DUMMYFUNCTION("""COMPUTED_VALUE"""),3901.36)</f>
        <v>3901.36</v>
      </c>
      <c r="C1222" s="22">
        <f t="shared" si="6"/>
        <v>3903.144117</v>
      </c>
      <c r="D1222" s="25">
        <f>IFERROR(__xludf.DUMMYFUNCTION("""COMPUTED_VALUE"""),44681.99861111111)</f>
        <v>44681.99861</v>
      </c>
      <c r="E1222" s="22">
        <f>IFERROR(__xludf.DUMMYFUNCTION("""COMPUTED_VALUE"""),1.0541)</f>
        <v>1.0541</v>
      </c>
      <c r="F1222" s="22">
        <f t="shared" si="8"/>
        <v>278.5232043</v>
      </c>
      <c r="G1222" s="22">
        <f t="shared" si="31"/>
        <v>29.81193241</v>
      </c>
      <c r="H1222" s="22">
        <f t="shared" si="32"/>
        <v>54.81295405</v>
      </c>
      <c r="I1222" s="22">
        <f t="shared" si="3"/>
        <v>0.9486765961</v>
      </c>
      <c r="J1222" s="22">
        <f t="shared" si="33"/>
        <v>0.04316478512</v>
      </c>
    </row>
    <row r="1223" ht="15.75" customHeight="1">
      <c r="A1223" s="25">
        <f>IFERROR(__xludf.DUMMYFUNCTION("""COMPUTED_VALUE"""),44708.66666666667)</f>
        <v>44708.66667</v>
      </c>
      <c r="B1223" s="22">
        <f>IFERROR(__xludf.DUMMYFUNCTION("""COMPUTED_VALUE"""),4158.24)</f>
        <v>4158.24</v>
      </c>
      <c r="C1223" s="22">
        <f t="shared" si="6"/>
        <v>4159.969789</v>
      </c>
      <c r="D1223" s="25">
        <f>IFERROR(__xludf.DUMMYFUNCTION("""COMPUTED_VALUE"""),44688.99861111111)</f>
        <v>44688.99861</v>
      </c>
      <c r="E1223" s="22">
        <f>IFERROR(__xludf.DUMMYFUNCTION("""COMPUTED_VALUE"""),1.05342)</f>
        <v>1.05342</v>
      </c>
      <c r="F1223" s="22">
        <f t="shared" si="8"/>
        <v>296.6584468</v>
      </c>
      <c r="G1223" s="22">
        <f t="shared" si="31"/>
        <v>41.72823908</v>
      </c>
      <c r="H1223" s="22">
        <f t="shared" si="32"/>
        <v>64.27715314</v>
      </c>
      <c r="I1223" s="22">
        <f t="shared" si="3"/>
        <v>0.9492889826</v>
      </c>
      <c r="J1223" s="22">
        <f t="shared" si="33"/>
        <v>0.03776271573</v>
      </c>
    </row>
    <row r="1224" ht="15.75" customHeight="1">
      <c r="A1224" s="25">
        <f>IFERROR(__xludf.DUMMYFUNCTION("""COMPUTED_VALUE"""),44715.66666666667)</f>
        <v>44715.66667</v>
      </c>
      <c r="B1224" s="22">
        <f>IFERROR(__xludf.DUMMYFUNCTION("""COMPUTED_VALUE"""),4108.54)</f>
        <v>4108.54</v>
      </c>
      <c r="C1224" s="22">
        <f t="shared" si="6"/>
        <v>4110.383685</v>
      </c>
      <c r="D1224" s="25">
        <f>IFERROR(__xludf.DUMMYFUNCTION("""COMPUTED_VALUE"""),44695.99861111111)</f>
        <v>44695.99861</v>
      </c>
      <c r="E1224" s="22">
        <f>IFERROR(__xludf.DUMMYFUNCTION("""COMPUTED_VALUE"""),1.04083)</f>
        <v>1.04083</v>
      </c>
      <c r="F1224" s="22">
        <f t="shared" si="8"/>
        <v>289.6190649</v>
      </c>
      <c r="G1224" s="22">
        <f t="shared" si="31"/>
        <v>33.30057637</v>
      </c>
      <c r="H1224" s="22">
        <f t="shared" si="32"/>
        <v>56.91237764</v>
      </c>
      <c r="I1224" s="22">
        <f t="shared" si="3"/>
        <v>0.9607716918</v>
      </c>
      <c r="J1224" s="22">
        <f t="shared" si="33"/>
        <v>0.07673683503</v>
      </c>
    </row>
    <row r="1225" ht="15.75" customHeight="1">
      <c r="A1225" s="25">
        <f>IFERROR(__xludf.DUMMYFUNCTION("""COMPUTED_VALUE"""),44722.66666666667)</f>
        <v>44722.66667</v>
      </c>
      <c r="B1225" s="22">
        <f>IFERROR(__xludf.DUMMYFUNCTION("""COMPUTED_VALUE"""),3900.86)</f>
        <v>3900.86</v>
      </c>
      <c r="C1225" s="22">
        <f t="shared" si="6"/>
        <v>3902.681649</v>
      </c>
      <c r="D1225" s="25">
        <f>IFERROR(__xludf.DUMMYFUNCTION("""COMPUTED_VALUE"""),44702.99861111111)</f>
        <v>44702.99861</v>
      </c>
      <c r="E1225" s="22">
        <f>IFERROR(__xludf.DUMMYFUNCTION("""COMPUTED_VALUE"""),1.05598)</f>
        <v>1.05598</v>
      </c>
      <c r="F1225" s="22">
        <f t="shared" si="8"/>
        <v>278.9868938</v>
      </c>
      <c r="G1225" s="22">
        <f t="shared" si="31"/>
        <v>27.37607715</v>
      </c>
      <c r="H1225" s="22">
        <f t="shared" si="32"/>
        <v>51.40424147</v>
      </c>
      <c r="I1225" s="22">
        <f t="shared" si="3"/>
        <v>0.9469876323</v>
      </c>
      <c r="J1225" s="22">
        <f t="shared" si="33"/>
        <v>0.05892157048</v>
      </c>
    </row>
    <row r="1226" ht="15.75" customHeight="1">
      <c r="A1226" s="25">
        <f>IFERROR(__xludf.DUMMYFUNCTION("""COMPUTED_VALUE"""),44729.66666666667)</f>
        <v>44729.66667</v>
      </c>
      <c r="B1226" s="22">
        <f>IFERROR(__xludf.DUMMYFUNCTION("""COMPUTED_VALUE"""),3674.84)</f>
        <v>3674.84</v>
      </c>
      <c r="C1226" s="22">
        <f t="shared" si="6"/>
        <v>3676.569568</v>
      </c>
      <c r="D1226" s="25">
        <f>IFERROR(__xludf.DUMMYFUNCTION("""COMPUTED_VALUE"""),44709.99861111111)</f>
        <v>44709.99861</v>
      </c>
      <c r="E1226" s="22">
        <f>IFERROR(__xludf.DUMMYFUNCTION("""COMPUTED_VALUE"""),1.07316)</f>
        <v>1.07316</v>
      </c>
      <c r="F1226" s="22">
        <f t="shared" si="8"/>
        <v>267.0989909</v>
      </c>
      <c r="G1226" s="22">
        <f t="shared" si="31"/>
        <v>19.38953747</v>
      </c>
      <c r="H1226" s="22">
        <f t="shared" si="32"/>
        <v>43.35189201</v>
      </c>
      <c r="I1226" s="22">
        <f t="shared" si="3"/>
        <v>0.9318275001</v>
      </c>
      <c r="J1226" s="22">
        <f t="shared" si="33"/>
        <v>0.05138096836</v>
      </c>
    </row>
    <row r="1227" ht="15.75" customHeight="1">
      <c r="A1227" s="25">
        <f>IFERROR(__xludf.DUMMYFUNCTION("""COMPUTED_VALUE"""),44736.66666666667)</f>
        <v>44736.66667</v>
      </c>
      <c r="B1227" s="22">
        <f>IFERROR(__xludf.DUMMYFUNCTION("""COMPUTED_VALUE"""),3911.74)</f>
        <v>3911.74</v>
      </c>
      <c r="C1227" s="22">
        <f t="shared" si="6"/>
        <v>3913.369355</v>
      </c>
      <c r="D1227" s="25">
        <f>IFERROR(__xludf.DUMMYFUNCTION("""COMPUTED_VALUE"""),44716.99861111111)</f>
        <v>44716.99861</v>
      </c>
      <c r="E1227" s="22">
        <f>IFERROR(__xludf.DUMMYFUNCTION("""COMPUTED_VALUE"""),1.0718)</f>
        <v>1.0718</v>
      </c>
      <c r="F1227" s="22">
        <f t="shared" si="8"/>
        <v>283.9419594</v>
      </c>
      <c r="G1227" s="22">
        <f t="shared" si="31"/>
        <v>25.68675515</v>
      </c>
      <c r="H1227" s="22">
        <f t="shared" si="32"/>
        <v>54.57394729</v>
      </c>
      <c r="I1227" s="22">
        <f t="shared" si="3"/>
        <v>0.9330098899</v>
      </c>
      <c r="J1227" s="22">
        <f t="shared" si="33"/>
        <v>0.04422466878</v>
      </c>
    </row>
    <row r="1228" ht="15.75" customHeight="1">
      <c r="A1228" s="25">
        <f>IFERROR(__xludf.DUMMYFUNCTION("""COMPUTED_VALUE"""),44743.66666666667)</f>
        <v>44743.66667</v>
      </c>
      <c r="B1228" s="22">
        <f>IFERROR(__xludf.DUMMYFUNCTION("""COMPUTED_VALUE"""),3825.33)</f>
        <v>3825.33</v>
      </c>
      <c r="C1228" s="22">
        <f t="shared" si="6"/>
        <v>3827.064391</v>
      </c>
      <c r="D1228" s="25">
        <f>IFERROR(__xludf.DUMMYFUNCTION("""COMPUTED_VALUE"""),44723.99861111111)</f>
        <v>44723.99861</v>
      </c>
      <c r="E1228" s="22">
        <f>IFERROR(__xludf.DUMMYFUNCTION("""COMPUTED_VALUE"""),1.0519)</f>
        <v>1.0519</v>
      </c>
      <c r="F1228" s="22">
        <f t="shared" si="8"/>
        <v>272.5242838</v>
      </c>
      <c r="G1228" s="22">
        <f t="shared" si="31"/>
        <v>19.78037948</v>
      </c>
      <c r="H1228" s="22">
        <f t="shared" si="32"/>
        <v>48.35654588</v>
      </c>
      <c r="I1228" s="22">
        <f t="shared" si="3"/>
        <v>0.9506607092</v>
      </c>
      <c r="J1228" s="22">
        <f t="shared" si="33"/>
        <v>0.06321893716</v>
      </c>
    </row>
    <row r="1229" ht="15.75" customHeight="1">
      <c r="A1229" s="25">
        <f>IFERROR(__xludf.DUMMYFUNCTION("""COMPUTED_VALUE"""),44750.66666666667)</f>
        <v>44750.66667</v>
      </c>
      <c r="B1229" s="22">
        <f>IFERROR(__xludf.DUMMYFUNCTION("""COMPUTED_VALUE"""),3899.38)</f>
        <v>3899.38</v>
      </c>
      <c r="C1229" s="22">
        <f t="shared" si="6"/>
        <v>3901.076079</v>
      </c>
      <c r="D1229" s="25">
        <f>IFERROR(__xludf.DUMMYFUNCTION("""COMPUTED_VALUE"""),44730.99861111111)</f>
        <v>44730.99861</v>
      </c>
      <c r="E1229" s="22">
        <f>IFERROR(__xludf.DUMMYFUNCTION("""COMPUTED_VALUE"""),1.0495)</f>
        <v>1.0495</v>
      </c>
      <c r="F1229" s="22">
        <f t="shared" si="8"/>
        <v>277.160825</v>
      </c>
      <c r="G1229" s="22">
        <f t="shared" si="31"/>
        <v>19.18665646</v>
      </c>
      <c r="H1229" s="22">
        <f t="shared" si="32"/>
        <v>48.68361175</v>
      </c>
      <c r="I1229" s="22">
        <f t="shared" si="3"/>
        <v>0.9528346832</v>
      </c>
      <c r="J1229" s="22">
        <f t="shared" si="33"/>
        <v>0.06641257742</v>
      </c>
    </row>
    <row r="1230" ht="15.75" customHeight="1">
      <c r="A1230" s="25">
        <f>IFERROR(__xludf.DUMMYFUNCTION("""COMPUTED_VALUE"""),44757.66666666667)</f>
        <v>44757.66667</v>
      </c>
      <c r="B1230" s="22">
        <f>IFERROR(__xludf.DUMMYFUNCTION("""COMPUTED_VALUE"""),3863.16)</f>
        <v>3863.16</v>
      </c>
      <c r="C1230" s="22">
        <f t="shared" si="6"/>
        <v>3864.888911</v>
      </c>
      <c r="D1230" s="25">
        <f>IFERROR(__xludf.DUMMYFUNCTION("""COMPUTED_VALUE"""),44737.99861111111)</f>
        <v>44737.99861</v>
      </c>
      <c r="E1230" s="22">
        <f>IFERROR(__xludf.DUMMYFUNCTION("""COMPUTED_VALUE"""),1.05676)</f>
        <v>1.05676</v>
      </c>
      <c r="F1230" s="22">
        <f t="shared" si="8"/>
        <v>276.4893224</v>
      </c>
      <c r="G1230" s="22">
        <f t="shared" si="31"/>
        <v>20.44456473</v>
      </c>
      <c r="H1230" s="22">
        <f t="shared" si="32"/>
        <v>44.50549216</v>
      </c>
      <c r="I1230" s="22">
        <f t="shared" si="3"/>
        <v>0.9462886559</v>
      </c>
      <c r="J1230" s="22">
        <f t="shared" si="33"/>
        <v>0.08122941822</v>
      </c>
    </row>
    <row r="1231" ht="15.75" customHeight="1">
      <c r="A1231" s="25">
        <f>IFERROR(__xludf.DUMMYFUNCTION("""COMPUTED_VALUE"""),44764.66666666667)</f>
        <v>44764.66667</v>
      </c>
      <c r="B1231" s="22">
        <f>IFERROR(__xludf.DUMMYFUNCTION("""COMPUTED_VALUE"""),3961.63)</f>
        <v>3961.63</v>
      </c>
      <c r="C1231" s="22">
        <f t="shared" si="6"/>
        <v>3963.342852</v>
      </c>
      <c r="D1231" s="25">
        <f>IFERROR(__xludf.DUMMYFUNCTION("""COMPUTED_VALUE"""),44744.99861111111)</f>
        <v>44744.99861</v>
      </c>
      <c r="E1231" s="22">
        <f>IFERROR(__xludf.DUMMYFUNCTION("""COMPUTED_VALUE"""),1.04272)</f>
        <v>1.04272</v>
      </c>
      <c r="F1231" s="22">
        <f t="shared" si="8"/>
        <v>279.7656106</v>
      </c>
      <c r="G1231" s="22">
        <f t="shared" si="31"/>
        <v>21.56579023</v>
      </c>
      <c r="H1231" s="22">
        <f t="shared" si="32"/>
        <v>46.61561086</v>
      </c>
      <c r="I1231" s="22">
        <f t="shared" si="3"/>
        <v>0.9590302286</v>
      </c>
      <c r="J1231" s="22">
        <f t="shared" si="33"/>
        <v>0.09300675157</v>
      </c>
    </row>
    <row r="1232" ht="15.75" customHeight="1">
      <c r="A1232" s="25">
        <f>IFERROR(__xludf.DUMMYFUNCTION("""COMPUTED_VALUE"""),44771.66666666667)</f>
        <v>44771.66667</v>
      </c>
      <c r="B1232" s="22">
        <f>IFERROR(__xludf.DUMMYFUNCTION("""COMPUTED_VALUE"""),4130.29)</f>
        <v>4130.29</v>
      </c>
      <c r="C1232" s="22">
        <f t="shared" si="6"/>
        <v>4132.046512</v>
      </c>
      <c r="D1232" s="25">
        <f>IFERROR(__xludf.DUMMYFUNCTION("""COMPUTED_VALUE"""),44751.99861111111)</f>
        <v>44751.99861</v>
      </c>
      <c r="E1232" s="22">
        <f>IFERROR(__xludf.DUMMYFUNCTION("""COMPUTED_VALUE"""),1.0183)</f>
        <v>1.0183</v>
      </c>
      <c r="F1232" s="22">
        <f t="shared" si="8"/>
        <v>284.8432469</v>
      </c>
      <c r="G1232" s="22">
        <f t="shared" si="31"/>
        <v>27.10696134</v>
      </c>
      <c r="H1232" s="22">
        <f t="shared" si="32"/>
        <v>48.08217536</v>
      </c>
      <c r="I1232" s="22">
        <f t="shared" si="3"/>
        <v>0.9820288716</v>
      </c>
      <c r="J1232" s="22">
        <f t="shared" si="33"/>
        <v>0.1260925071</v>
      </c>
    </row>
    <row r="1233" ht="15.75" customHeight="1">
      <c r="A1233" s="25">
        <f>IFERROR(__xludf.DUMMYFUNCTION("""COMPUTED_VALUE"""),44778.66666666667)</f>
        <v>44778.66667</v>
      </c>
      <c r="B1233" s="22">
        <f>IFERROR(__xludf.DUMMYFUNCTION("""COMPUTED_VALUE"""),4145.19)</f>
        <v>4145.19</v>
      </c>
      <c r="C1233" s="22">
        <f t="shared" si="6"/>
        <v>4147.021292</v>
      </c>
      <c r="D1233" s="25">
        <f>IFERROR(__xludf.DUMMYFUNCTION("""COMPUTED_VALUE"""),44758.99861111111)</f>
        <v>44758.99861</v>
      </c>
      <c r="E1233" s="22">
        <f>IFERROR(__xludf.DUMMYFUNCTION("""COMPUTED_VALUE"""),1.00946)</f>
        <v>1.00946</v>
      </c>
      <c r="F1233" s="22">
        <f t="shared" si="8"/>
        <v>283.3938115</v>
      </c>
      <c r="G1233" s="22">
        <f t="shared" si="31"/>
        <v>27.71000586</v>
      </c>
      <c r="H1233" s="22">
        <f t="shared" si="32"/>
        <v>46.99643612</v>
      </c>
      <c r="I1233" s="22">
        <f t="shared" si="3"/>
        <v>0.9906286529</v>
      </c>
      <c r="J1233" s="22">
        <f t="shared" si="33"/>
        <v>0.1550730093</v>
      </c>
    </row>
    <row r="1234" ht="15.75" customHeight="1">
      <c r="A1234" s="25">
        <f>IFERROR(__xludf.DUMMYFUNCTION("""COMPUTED_VALUE"""),44785.66666666667)</f>
        <v>44785.66667</v>
      </c>
      <c r="B1234" s="22">
        <f>IFERROR(__xludf.DUMMYFUNCTION("""COMPUTED_VALUE"""),4280.15)</f>
        <v>4280.15</v>
      </c>
      <c r="C1234" s="22">
        <f t="shared" si="6"/>
        <v>4281.987899</v>
      </c>
      <c r="D1234" s="25">
        <f>IFERROR(__xludf.DUMMYFUNCTION("""COMPUTED_VALUE"""),44765.99861111111)</f>
        <v>44765.99861</v>
      </c>
      <c r="E1234" s="22">
        <f>IFERROR(__xludf.DUMMYFUNCTION("""COMPUTED_VALUE"""),1.0212)</f>
        <v>1.0212</v>
      </c>
      <c r="F1234" s="22">
        <f t="shared" si="8"/>
        <v>296.0201158</v>
      </c>
      <c r="G1234" s="22">
        <f t="shared" si="31"/>
        <v>35.76324884</v>
      </c>
      <c r="H1234" s="22">
        <f t="shared" si="32"/>
        <v>53.32165813</v>
      </c>
      <c r="I1234" s="22">
        <f t="shared" si="3"/>
        <v>0.9792401097</v>
      </c>
      <c r="J1234" s="22">
        <f t="shared" si="33"/>
        <v>0.1509009009</v>
      </c>
    </row>
    <row r="1235" ht="15.75" customHeight="1">
      <c r="A1235" s="25">
        <f>IFERROR(__xludf.DUMMYFUNCTION("""COMPUTED_VALUE"""),44792.66666666667)</f>
        <v>44792.66667</v>
      </c>
      <c r="B1235" s="22">
        <f>IFERROR(__xludf.DUMMYFUNCTION("""COMPUTED_VALUE"""),4228.48)</f>
        <v>4228.48</v>
      </c>
      <c r="C1235" s="22">
        <f t="shared" si="6"/>
        <v>4230.377738</v>
      </c>
      <c r="D1235" s="25">
        <f>IFERROR(__xludf.DUMMYFUNCTION("""COMPUTED_VALUE"""),44772.99861111111)</f>
        <v>44772.99861</v>
      </c>
      <c r="E1235" s="22">
        <f>IFERROR(__xludf.DUMMYFUNCTION("""COMPUTED_VALUE"""),1.02264)</f>
        <v>1.02264</v>
      </c>
      <c r="F1235" s="22">
        <f t="shared" si="8"/>
        <v>292.8646181</v>
      </c>
      <c r="G1235" s="22">
        <f t="shared" si="31"/>
        <v>36.49736372</v>
      </c>
      <c r="H1235" s="22">
        <f t="shared" si="32"/>
        <v>50.34579569</v>
      </c>
      <c r="I1235" s="22">
        <f t="shared" si="3"/>
        <v>0.9778612219</v>
      </c>
      <c r="J1235" s="22">
        <f t="shared" si="33"/>
        <v>0.1512360166</v>
      </c>
    </row>
    <row r="1236" ht="15.75" customHeight="1">
      <c r="A1236" s="25">
        <f>IFERROR(__xludf.DUMMYFUNCTION("""COMPUTED_VALUE"""),44799.66666666667)</f>
        <v>44799.66667</v>
      </c>
      <c r="B1236" s="22">
        <f>IFERROR(__xludf.DUMMYFUNCTION("""COMPUTED_VALUE"""),4057.66)</f>
        <v>4057.66</v>
      </c>
      <c r="C1236" s="22">
        <f t="shared" si="6"/>
        <v>4059.534828</v>
      </c>
      <c r="D1236" s="25">
        <f>IFERROR(__xludf.DUMMYFUNCTION("""COMPUTED_VALUE"""),44779.99861111111)</f>
        <v>44779.99861</v>
      </c>
      <c r="E1236" s="22">
        <f>IFERROR(__xludf.DUMMYFUNCTION("""COMPUTED_VALUE"""),1.01799)</f>
        <v>1.01799</v>
      </c>
      <c r="F1236" s="22">
        <f t="shared" si="8"/>
        <v>279.7594503</v>
      </c>
      <c r="G1236" s="22">
        <f t="shared" si="31"/>
        <v>24.81468662</v>
      </c>
      <c r="H1236" s="22">
        <f t="shared" si="32"/>
        <v>41.13631877</v>
      </c>
      <c r="I1236" s="22">
        <f t="shared" si="3"/>
        <v>0.9823279207</v>
      </c>
      <c r="J1236" s="22">
        <f t="shared" si="33"/>
        <v>0.1609151367</v>
      </c>
    </row>
    <row r="1237" ht="15.75" customHeight="1">
      <c r="A1237" s="25">
        <f>IFERROR(__xludf.DUMMYFUNCTION("""COMPUTED_VALUE"""),44806.66666666667)</f>
        <v>44806.66667</v>
      </c>
      <c r="B1237" s="22">
        <f>IFERROR(__xludf.DUMMYFUNCTION("""COMPUTED_VALUE"""),3924.26)</f>
        <v>3924.26</v>
      </c>
      <c r="C1237" s="22">
        <f t="shared" si="6"/>
        <v>3926.05909</v>
      </c>
      <c r="D1237" s="25">
        <f>IFERROR(__xludf.DUMMYFUNCTION("""COMPUTED_VALUE"""),44786.99861111111)</f>
        <v>44786.99861</v>
      </c>
      <c r="E1237" s="22">
        <f>IFERROR(__xludf.DUMMYFUNCTION("""COMPUTED_VALUE"""),1.02622)</f>
        <v>1.02622</v>
      </c>
      <c r="F1237" s="22">
        <f t="shared" si="8"/>
        <v>272.7484483</v>
      </c>
      <c r="G1237" s="22">
        <f t="shared" si="31"/>
        <v>21.87957485</v>
      </c>
      <c r="H1237" s="22">
        <f t="shared" si="32"/>
        <v>39.12615964</v>
      </c>
      <c r="I1237" s="22">
        <f t="shared" si="3"/>
        <v>0.974449923</v>
      </c>
      <c r="J1237" s="22">
        <f t="shared" si="33"/>
        <v>0.1459531095</v>
      </c>
    </row>
    <row r="1238" ht="15.75" customHeight="1">
      <c r="A1238" s="25">
        <f>IFERROR(__xludf.DUMMYFUNCTION("""COMPUTED_VALUE"""),44813.66666666667)</f>
        <v>44813.66667</v>
      </c>
      <c r="B1238" s="22">
        <f>IFERROR(__xludf.DUMMYFUNCTION("""COMPUTED_VALUE"""),4067.36)</f>
        <v>4067.36</v>
      </c>
      <c r="C1238" s="22">
        <f t="shared" si="6"/>
        <v>4069.099943</v>
      </c>
      <c r="D1238" s="25">
        <f>IFERROR(__xludf.DUMMYFUNCTION("""COMPUTED_VALUE"""),44793.99861111111)</f>
        <v>44793.99861</v>
      </c>
      <c r="E1238" s="22">
        <f>IFERROR(__xludf.DUMMYFUNCTION("""COMPUTED_VALUE"""),1.0036)</f>
        <v>1.0036</v>
      </c>
      <c r="F1238" s="22">
        <f t="shared" si="8"/>
        <v>276.454709</v>
      </c>
      <c r="G1238" s="22">
        <f t="shared" si="31"/>
        <v>20.83223805</v>
      </c>
      <c r="H1238" s="22">
        <f t="shared" si="32"/>
        <v>36.92020851</v>
      </c>
      <c r="I1238" s="22">
        <f t="shared" si="3"/>
        <v>0.9964129135</v>
      </c>
      <c r="J1238" s="22">
        <f t="shared" si="33"/>
        <v>0.1881227581</v>
      </c>
    </row>
    <row r="1239" ht="15.75" customHeight="1">
      <c r="A1239" s="25">
        <f>IFERROR(__xludf.DUMMYFUNCTION("""COMPUTED_VALUE"""),44820.66666666667)</f>
        <v>44820.66667</v>
      </c>
      <c r="B1239" s="22">
        <f>IFERROR(__xludf.DUMMYFUNCTION("""COMPUTED_VALUE"""),3873.33)</f>
        <v>3873.33</v>
      </c>
      <c r="C1239" s="22">
        <f t="shared" si="6"/>
        <v>3875.13339</v>
      </c>
      <c r="D1239" s="25">
        <f>IFERROR(__xludf.DUMMYFUNCTION("""COMPUTED_VALUE"""),44800.99861111111)</f>
        <v>44800.99861</v>
      </c>
      <c r="E1239" s="22">
        <f>IFERROR(__xludf.DUMMYFUNCTION("""COMPUTED_VALUE"""),0.9964)</f>
        <v>0.9964</v>
      </c>
      <c r="F1239" s="22">
        <f t="shared" si="8"/>
        <v>261.3878266</v>
      </c>
      <c r="G1239" s="22">
        <f t="shared" si="31"/>
        <v>17.16752418</v>
      </c>
      <c r="H1239" s="22">
        <f t="shared" si="32"/>
        <v>30.04127417</v>
      </c>
      <c r="I1239" s="22">
        <f t="shared" si="3"/>
        <v>1.003613007</v>
      </c>
      <c r="J1239" s="22">
        <f t="shared" si="33"/>
        <v>0.1903853874</v>
      </c>
    </row>
    <row r="1240" ht="15.75" customHeight="1">
      <c r="A1240" s="25">
        <f>IFERROR(__xludf.DUMMYFUNCTION("""COMPUTED_VALUE"""),44827.66666666667)</f>
        <v>44827.66667</v>
      </c>
      <c r="B1240" s="22">
        <f>IFERROR(__xludf.DUMMYFUNCTION("""COMPUTED_VALUE"""),3693.23)</f>
        <v>3693.23</v>
      </c>
      <c r="C1240" s="22">
        <f t="shared" si="6"/>
        <v>3694.947361</v>
      </c>
      <c r="D1240" s="25">
        <f>IFERROR(__xludf.DUMMYFUNCTION("""COMPUTED_VALUE"""),44807.99861111111)</f>
        <v>44807.99861</v>
      </c>
      <c r="E1240" s="22">
        <f>IFERROR(__xludf.DUMMYFUNCTION("""COMPUTED_VALUE"""),0.9951)</f>
        <v>0.9951</v>
      </c>
      <c r="F1240" s="22">
        <f t="shared" si="8"/>
        <v>248.9086357</v>
      </c>
      <c r="G1240" s="22">
        <f t="shared" si="31"/>
        <v>11.53886397</v>
      </c>
      <c r="H1240" s="22">
        <f t="shared" si="32"/>
        <v>21.20244122</v>
      </c>
      <c r="I1240" s="22">
        <f t="shared" si="3"/>
        <v>1.004924128</v>
      </c>
      <c r="J1240" s="22">
        <f t="shared" si="33"/>
        <v>0.2095266807</v>
      </c>
    </row>
    <row r="1241" ht="15.75" customHeight="1">
      <c r="A1241" s="25">
        <f>IFERROR(__xludf.DUMMYFUNCTION("""COMPUTED_VALUE"""),44834.66666666667)</f>
        <v>44834.66667</v>
      </c>
      <c r="B1241" s="22">
        <f>IFERROR(__xludf.DUMMYFUNCTION("""COMPUTED_VALUE"""),3585.62)</f>
        <v>3585.62</v>
      </c>
      <c r="C1241" s="22">
        <f t="shared" si="6"/>
        <v>3587.257508</v>
      </c>
      <c r="D1241" s="25">
        <f>IFERROR(__xludf.DUMMYFUNCTION("""COMPUTED_VALUE"""),44814.99861111111)</f>
        <v>44814.99861</v>
      </c>
      <c r="E1241" s="22">
        <f>IFERROR(__xludf.DUMMYFUNCTION("""COMPUTED_VALUE"""),1.0151)</f>
        <v>1.0151</v>
      </c>
      <c r="F1241" s="22">
        <f t="shared" si="8"/>
        <v>246.5110341</v>
      </c>
      <c r="G1241" s="22">
        <f t="shared" si="31"/>
        <v>10.53271283</v>
      </c>
      <c r="H1241" s="22">
        <f t="shared" si="32"/>
        <v>19.53780505</v>
      </c>
      <c r="I1241" s="22">
        <f t="shared" si="3"/>
        <v>0.9851246183</v>
      </c>
      <c r="J1241" s="22">
        <f t="shared" si="33"/>
        <v>0.1766328441</v>
      </c>
    </row>
    <row r="1242" ht="15.75" customHeight="1">
      <c r="A1242" s="25">
        <f>IFERROR(__xludf.DUMMYFUNCTION("""COMPUTED_VALUE"""),44841.66666666667)</f>
        <v>44841.66667</v>
      </c>
      <c r="B1242" s="22">
        <f>IFERROR(__xludf.DUMMYFUNCTION("""COMPUTED_VALUE"""),3639.66)</f>
        <v>3639.66</v>
      </c>
      <c r="C1242" s="22">
        <f t="shared" si="6"/>
        <v>3641.249796</v>
      </c>
      <c r="D1242" s="25">
        <f>IFERROR(__xludf.DUMMYFUNCTION("""COMPUTED_VALUE"""),44821.99861111111)</f>
        <v>44821.99861</v>
      </c>
      <c r="E1242" s="22">
        <f>IFERROR(__xludf.DUMMYFUNCTION("""COMPUTED_VALUE"""),1.00092)</f>
        <v>1.00092</v>
      </c>
      <c r="F1242" s="22">
        <f t="shared" si="8"/>
        <v>246.7259461</v>
      </c>
      <c r="G1242" s="22">
        <f t="shared" si="31"/>
        <v>11.3569962</v>
      </c>
      <c r="H1242" s="22">
        <f t="shared" si="32"/>
        <v>19.41154593</v>
      </c>
      <c r="I1242" s="22">
        <f t="shared" si="3"/>
        <v>0.9990808456</v>
      </c>
      <c r="J1242" s="22">
        <f t="shared" si="33"/>
        <v>0.1938017024</v>
      </c>
    </row>
    <row r="1243" ht="15.75" customHeight="1">
      <c r="A1243" s="25">
        <f>IFERROR(__xludf.DUMMYFUNCTION("""COMPUTED_VALUE"""),44848.66666666667)</f>
        <v>44848.66667</v>
      </c>
      <c r="B1243" s="22">
        <f>IFERROR(__xludf.DUMMYFUNCTION("""COMPUTED_VALUE"""),3583.07)</f>
        <v>3583.07</v>
      </c>
      <c r="C1243" s="22">
        <f t="shared" si="6"/>
        <v>3584.683756</v>
      </c>
      <c r="D1243" s="25">
        <f>IFERROR(__xludf.DUMMYFUNCTION("""COMPUTED_VALUE"""),44828.99861111111)</f>
        <v>44828.99861</v>
      </c>
      <c r="E1243" s="22">
        <f>IFERROR(__xludf.DUMMYFUNCTION("""COMPUTED_VALUE"""),0.9689)</f>
        <v>0.9689</v>
      </c>
      <c r="F1243" s="22">
        <f t="shared" si="8"/>
        <v>235.1228223</v>
      </c>
      <c r="G1243" s="22">
        <f t="shared" si="31"/>
        <v>6.277615505</v>
      </c>
      <c r="H1243" s="22">
        <f t="shared" si="32"/>
        <v>14.123067</v>
      </c>
      <c r="I1243" s="22">
        <f t="shared" si="3"/>
        <v>1.032098256</v>
      </c>
      <c r="J1243" s="22">
        <f t="shared" si="33"/>
        <v>0.2191970276</v>
      </c>
    </row>
    <row r="1244" ht="15.75" customHeight="1">
      <c r="A1244" s="25">
        <f>IFERROR(__xludf.DUMMYFUNCTION("""COMPUTED_VALUE"""),44855.66666666667)</f>
        <v>44855.66667</v>
      </c>
      <c r="B1244" s="22">
        <f>IFERROR(__xludf.DUMMYFUNCTION("""COMPUTED_VALUE"""),3752.75)</f>
        <v>3752.75</v>
      </c>
      <c r="C1244" s="22">
        <f t="shared" si="6"/>
        <v>3754.338665</v>
      </c>
      <c r="D1244" s="25">
        <f>IFERROR(__xludf.DUMMYFUNCTION("""COMPUTED_VALUE"""),44835.99861111111)</f>
        <v>44835.99861</v>
      </c>
      <c r="E1244" s="22">
        <f>IFERROR(__xludf.DUMMYFUNCTION("""COMPUTED_VALUE"""),0.9801)</f>
        <v>0.9801</v>
      </c>
      <c r="F1244" s="22">
        <f t="shared" si="8"/>
        <v>249.0971839</v>
      </c>
      <c r="G1244" s="22">
        <f t="shared" si="31"/>
        <v>10.84520593</v>
      </c>
      <c r="H1244" s="22">
        <f t="shared" si="32"/>
        <v>21.46185788</v>
      </c>
      <c r="I1244" s="22">
        <f t="shared" si="3"/>
        <v>1.020304051</v>
      </c>
      <c r="J1244" s="22">
        <f t="shared" si="33"/>
        <v>0.1970207122</v>
      </c>
    </row>
    <row r="1245" ht="15.75" customHeight="1">
      <c r="A1245" s="25">
        <f>IFERROR(__xludf.DUMMYFUNCTION("""COMPUTED_VALUE"""),44862.66666666667)</f>
        <v>44862.66667</v>
      </c>
      <c r="B1245" s="22">
        <f>IFERROR(__xludf.DUMMYFUNCTION("""COMPUTED_VALUE"""),3901.06)</f>
        <v>3901.06</v>
      </c>
      <c r="C1245" s="22">
        <f t="shared" si="6"/>
        <v>3902.723898</v>
      </c>
      <c r="D1245" s="25">
        <f>IFERROR(__xludf.DUMMYFUNCTION("""COMPUTED_VALUE"""),44842.99861111111)</f>
        <v>44842.99861</v>
      </c>
      <c r="E1245" s="22">
        <f>IFERROR(__xludf.DUMMYFUNCTION("""COMPUTED_VALUE"""),0.9744)</f>
        <v>0.9744</v>
      </c>
      <c r="F1245" s="22">
        <f t="shared" si="8"/>
        <v>257.4364782</v>
      </c>
      <c r="G1245" s="22">
        <f t="shared" si="31"/>
        <v>12.31406126</v>
      </c>
      <c r="H1245" s="22">
        <f t="shared" si="32"/>
        <v>24.26768085</v>
      </c>
      <c r="I1245" s="22">
        <f t="shared" si="3"/>
        <v>1.026272578</v>
      </c>
      <c r="J1245" s="22">
        <f t="shared" si="33"/>
        <v>0.2130541872</v>
      </c>
    </row>
    <row r="1246" ht="15.75" customHeight="1">
      <c r="A1246" s="25">
        <f>IFERROR(__xludf.DUMMYFUNCTION("""COMPUTED_VALUE"""),44869.66666666667)</f>
        <v>44869.66667</v>
      </c>
      <c r="B1246" s="22">
        <f>IFERROR(__xludf.DUMMYFUNCTION("""COMPUTED_VALUE"""),3770.55)</f>
        <v>3770.55</v>
      </c>
      <c r="C1246" s="22">
        <f t="shared" si="6"/>
        <v>3772.279656</v>
      </c>
      <c r="D1246" s="25">
        <f>IFERROR(__xludf.DUMMYFUNCTION("""COMPUTED_VALUE"""),44849.99861111111)</f>
        <v>44849.99861</v>
      </c>
      <c r="E1246" s="22">
        <f>IFERROR(__xludf.DUMMYFUNCTION("""COMPUTED_VALUE"""),0.9718)</f>
        <v>0.9718</v>
      </c>
      <c r="F1246" s="22">
        <f t="shared" si="8"/>
        <v>248.1679874</v>
      </c>
      <c r="G1246" s="22">
        <f t="shared" si="31"/>
        <v>5.935229474</v>
      </c>
      <c r="H1246" s="22">
        <f t="shared" si="32"/>
        <v>20.45805939</v>
      </c>
      <c r="I1246" s="22">
        <f t="shared" si="3"/>
        <v>1.029018317</v>
      </c>
      <c r="J1246" s="22">
        <f t="shared" si="33"/>
        <v>0.2121835769</v>
      </c>
    </row>
    <row r="1247" ht="15.75" customHeight="1">
      <c r="A1247" s="25">
        <f>IFERROR(__xludf.DUMMYFUNCTION("""COMPUTED_VALUE"""),44876.66666666667)</f>
        <v>44876.66667</v>
      </c>
      <c r="B1247" s="22">
        <f>IFERROR(__xludf.DUMMYFUNCTION("""COMPUTED_VALUE"""),3992.93)</f>
        <v>3992.93</v>
      </c>
      <c r="C1247" s="22">
        <f t="shared" si="6"/>
        <v>3994.601791</v>
      </c>
      <c r="D1247" s="25">
        <f>IFERROR(__xludf.DUMMYFUNCTION("""COMPUTED_VALUE"""),44856.99861111111)</f>
        <v>44856.99861</v>
      </c>
      <c r="E1247" s="22">
        <f>IFERROR(__xludf.DUMMYFUNCTION("""COMPUTED_VALUE"""),0.98547)</f>
        <v>0.98547</v>
      </c>
      <c r="F1247" s="22">
        <f t="shared" si="8"/>
        <v>266.4905926</v>
      </c>
      <c r="G1247" s="22">
        <f t="shared" si="31"/>
        <v>13.81693638</v>
      </c>
      <c r="H1247" s="22">
        <f t="shared" si="32"/>
        <v>31.44396348</v>
      </c>
      <c r="I1247" s="22">
        <f t="shared" si="3"/>
        <v>1.014744234</v>
      </c>
      <c r="J1247" s="22">
        <f t="shared" si="33"/>
        <v>0.1779151065</v>
      </c>
    </row>
    <row r="1248" ht="15.75" customHeight="1">
      <c r="A1248" s="25">
        <f>IFERROR(__xludf.DUMMYFUNCTION("""COMPUTED_VALUE"""),44883.66666666667)</f>
        <v>44883.66667</v>
      </c>
      <c r="B1248" s="22">
        <f>IFERROR(__xludf.DUMMYFUNCTION("""COMPUTED_VALUE"""),3965.34)</f>
        <v>3965.34</v>
      </c>
      <c r="C1248" s="22">
        <f t="shared" si="6"/>
        <v>3967.11039</v>
      </c>
      <c r="D1248" s="25">
        <f>IFERROR(__xludf.DUMMYFUNCTION("""COMPUTED_VALUE"""),44863.99861111111)</f>
        <v>44863.99861</v>
      </c>
      <c r="E1248" s="22">
        <f>IFERROR(__xludf.DUMMYFUNCTION("""COMPUTED_VALUE"""),0.99601)</f>
        <v>0.99601</v>
      </c>
      <c r="F1248" s="22">
        <f t="shared" si="8"/>
        <v>267.4871766</v>
      </c>
      <c r="G1248" s="22">
        <f t="shared" si="31"/>
        <v>13.72248262</v>
      </c>
      <c r="H1248" s="22">
        <f t="shared" si="32"/>
        <v>30.62865406</v>
      </c>
      <c r="I1248" s="22">
        <f t="shared" si="3"/>
        <v>1.004005984</v>
      </c>
      <c r="J1248" s="22">
        <f t="shared" si="33"/>
        <v>0.1664541521</v>
      </c>
    </row>
    <row r="1249" ht="15.75" customHeight="1">
      <c r="A1249" s="25">
        <f>IFERROR(__xludf.DUMMYFUNCTION("""COMPUTED_VALUE"""),44890.54166666667)</f>
        <v>44890.54167</v>
      </c>
      <c r="B1249" s="22">
        <f>IFERROR(__xludf.DUMMYFUNCTION("""COMPUTED_VALUE"""),4026.12)</f>
        <v>4026.12</v>
      </c>
      <c r="C1249" s="22">
        <f t="shared" si="6"/>
        <v>4027.878157</v>
      </c>
      <c r="D1249" s="25">
        <f>IFERROR(__xludf.DUMMYFUNCTION("""COMPUTED_VALUE"""),44870.99861111111)</f>
        <v>44870.99861</v>
      </c>
      <c r="E1249" s="22">
        <f>IFERROR(__xludf.DUMMYFUNCTION("""COMPUTED_VALUE"""),0.983)</f>
        <v>0.983</v>
      </c>
      <c r="F1249" s="22">
        <f t="shared" si="8"/>
        <v>268.0370472</v>
      </c>
      <c r="G1249" s="22">
        <f t="shared" si="31"/>
        <v>14.34263769</v>
      </c>
      <c r="H1249" s="22">
        <f t="shared" si="32"/>
        <v>28.40635195</v>
      </c>
      <c r="I1249" s="22">
        <f t="shared" si="3"/>
        <v>1.017293998</v>
      </c>
      <c r="J1249" s="22">
        <f t="shared" si="33"/>
        <v>0.1866734486</v>
      </c>
    </row>
    <row r="1250" ht="15.75" customHeight="1">
      <c r="A1250" s="25">
        <f>IFERROR(__xludf.DUMMYFUNCTION("""COMPUTED_VALUE"""),44897.66666666667)</f>
        <v>44897.66667</v>
      </c>
      <c r="B1250" s="22">
        <f>IFERROR(__xludf.DUMMYFUNCTION("""COMPUTED_VALUE"""),4071.7)</f>
        <v>4071.7</v>
      </c>
      <c r="C1250" s="22">
        <f t="shared" si="6"/>
        <v>4073.485105</v>
      </c>
      <c r="D1250" s="25">
        <f>IFERROR(__xludf.DUMMYFUNCTION("""COMPUTED_VALUE"""),44877.99861111111)</f>
        <v>44877.99861</v>
      </c>
      <c r="E1250" s="22">
        <f>IFERROR(__xludf.DUMMYFUNCTION("""COMPUTED_VALUE"""),1.036)</f>
        <v>1.036</v>
      </c>
      <c r="F1250" s="22">
        <f t="shared" si="8"/>
        <v>285.6872578</v>
      </c>
      <c r="G1250" s="22">
        <f t="shared" si="31"/>
        <v>21.34589871</v>
      </c>
      <c r="H1250" s="22">
        <f t="shared" si="32"/>
        <v>34.86417689</v>
      </c>
      <c r="I1250" s="22">
        <f t="shared" si="3"/>
        <v>0.9652509653</v>
      </c>
      <c r="J1250" s="22">
        <f t="shared" si="33"/>
        <v>0.1386389961</v>
      </c>
    </row>
    <row r="1251" ht="15.75" customHeight="1">
      <c r="A1251" s="25">
        <f>IFERROR(__xludf.DUMMYFUNCTION("""COMPUTED_VALUE"""),44904.66666666667)</f>
        <v>44904.66667</v>
      </c>
      <c r="B1251" s="22">
        <f>IFERROR(__xludf.DUMMYFUNCTION("""COMPUTED_VALUE"""),3934.38)</f>
        <v>3934.38</v>
      </c>
      <c r="C1251" s="22">
        <f t="shared" si="6"/>
        <v>3936.185315</v>
      </c>
      <c r="D1251" s="25">
        <f>IFERROR(__xludf.DUMMYFUNCTION("""COMPUTED_VALUE"""),44884.99861111111)</f>
        <v>44884.99861</v>
      </c>
      <c r="E1251" s="22">
        <f>IFERROR(__xludf.DUMMYFUNCTION("""COMPUTED_VALUE"""),1.0344)</f>
        <v>1.0344</v>
      </c>
      <c r="F1251" s="22">
        <f t="shared" si="8"/>
        <v>275.6316158</v>
      </c>
      <c r="G1251" s="22">
        <f t="shared" si="31"/>
        <v>16.54999625</v>
      </c>
      <c r="H1251" s="22">
        <f t="shared" si="32"/>
        <v>27.49042411</v>
      </c>
      <c r="I1251" s="22">
        <f t="shared" si="3"/>
        <v>0.9667440062</v>
      </c>
      <c r="J1251" s="22">
        <f t="shared" si="33"/>
        <v>0.1533255994</v>
      </c>
    </row>
    <row r="1252" ht="15.75" customHeight="1">
      <c r="A1252" s="25">
        <f>IFERROR(__xludf.DUMMYFUNCTION("""COMPUTED_VALUE"""),44911.66666666667)</f>
        <v>44911.66667</v>
      </c>
      <c r="B1252" s="22">
        <f>IFERROR(__xludf.DUMMYFUNCTION("""COMPUTED_VALUE"""),3852.36)</f>
        <v>3852.36</v>
      </c>
      <c r="C1252" s="22">
        <f t="shared" si="6"/>
        <v>3854.10443</v>
      </c>
      <c r="D1252" s="25">
        <f>IFERROR(__xludf.DUMMYFUNCTION("""COMPUTED_VALUE"""),44891.99861111111)</f>
        <v>44891.99861</v>
      </c>
      <c r="E1252" s="22">
        <f>IFERROR(__xludf.DUMMYFUNCTION("""COMPUTED_VALUE"""),1.0413)</f>
        <v>1.0413</v>
      </c>
      <c r="F1252" s="22">
        <f t="shared" si="8"/>
        <v>271.6841665</v>
      </c>
      <c r="G1252" s="22">
        <f t="shared" si="31"/>
        <v>13.01178798</v>
      </c>
      <c r="H1252" s="22">
        <f t="shared" si="32"/>
        <v>25.71200876</v>
      </c>
      <c r="I1252" s="22">
        <f t="shared" si="3"/>
        <v>0.960338039</v>
      </c>
      <c r="J1252" s="22">
        <f t="shared" si="33"/>
        <v>0.142033996</v>
      </c>
    </row>
    <row r="1253" ht="15.75" customHeight="1">
      <c r="A1253" s="25">
        <f>IFERROR(__xludf.DUMMYFUNCTION("""COMPUTED_VALUE"""),44918.66666666667)</f>
        <v>44918.66667</v>
      </c>
      <c r="B1253" s="22">
        <f>IFERROR(__xludf.DUMMYFUNCTION("""COMPUTED_VALUE"""),3844.82)</f>
        <v>3844.82</v>
      </c>
      <c r="C1253" s="22">
        <f t="shared" si="6"/>
        <v>3846.528064</v>
      </c>
      <c r="D1253" s="25">
        <f>IFERROR(__xludf.DUMMYFUNCTION("""COMPUTED_VALUE"""),44898.99861111111)</f>
        <v>44898.99861</v>
      </c>
      <c r="E1253" s="22">
        <f>IFERROR(__xludf.DUMMYFUNCTION("""COMPUTED_VALUE"""),1.0536)</f>
        <v>1.0536</v>
      </c>
      <c r="F1253" s="22">
        <f t="shared" si="8"/>
        <v>274.3529597</v>
      </c>
      <c r="G1253" s="22">
        <f t="shared" si="31"/>
        <v>13.09077724</v>
      </c>
      <c r="H1253" s="22">
        <f t="shared" si="32"/>
        <v>28.79481475</v>
      </c>
      <c r="I1253" s="22">
        <f t="shared" si="3"/>
        <v>0.9491268033</v>
      </c>
      <c r="J1253" s="22">
        <f t="shared" si="33"/>
        <v>0.1165527715</v>
      </c>
    </row>
    <row r="1254" ht="15.75" customHeight="1">
      <c r="A1254" s="25">
        <f>IFERROR(__xludf.DUMMYFUNCTION("""COMPUTED_VALUE"""),44925.66666666667)</f>
        <v>44925.66667</v>
      </c>
      <c r="B1254" s="22">
        <f>IFERROR(__xludf.DUMMYFUNCTION("""COMPUTED_VALUE"""),3839.5)</f>
        <v>3839.5</v>
      </c>
      <c r="C1254" s="22">
        <f t="shared" si="6"/>
        <v>3841.20472</v>
      </c>
      <c r="D1254" s="25">
        <f>IFERROR(__xludf.DUMMYFUNCTION("""COMPUTED_VALUE"""),44905.99861111111)</f>
        <v>44905.99861</v>
      </c>
      <c r="E1254" s="22">
        <f>IFERROR(__xludf.DUMMYFUNCTION("""COMPUTED_VALUE"""),1.054)</f>
        <v>1.054</v>
      </c>
      <c r="F1254" s="22">
        <f t="shared" si="8"/>
        <v>274.0772873</v>
      </c>
      <c r="G1254" s="22">
        <f t="shared" si="31"/>
        <v>12.53133963</v>
      </c>
      <c r="H1254" s="22">
        <f t="shared" si="32"/>
        <v>25.49169619</v>
      </c>
      <c r="I1254" s="22">
        <f t="shared" si="3"/>
        <v>0.9487666034</v>
      </c>
      <c r="J1254" s="22">
        <f t="shared" si="33"/>
        <v>0.1153605313</v>
      </c>
    </row>
    <row r="1255" ht="15.75" customHeight="1">
      <c r="A1255" s="25">
        <f>IFERROR(__xludf.DUMMYFUNCTION("""COMPUTED_VALUE"""),44932.66666666667)</f>
        <v>44932.66667</v>
      </c>
      <c r="B1255" s="22">
        <f>IFERROR(__xludf.DUMMYFUNCTION("""COMPUTED_VALUE"""),3895.08)</f>
        <v>3895.08</v>
      </c>
      <c r="C1255" s="22">
        <f t="shared" si="6"/>
        <v>3896.782362</v>
      </c>
      <c r="D1255" s="25">
        <f>IFERROR(__xludf.DUMMYFUNCTION("""COMPUTED_VALUE"""),44912.99861111111)</f>
        <v>44912.99861</v>
      </c>
      <c r="E1255" s="22">
        <f>IFERROR(__xludf.DUMMYFUNCTION("""COMPUTED_VALUE"""),1.0593)</f>
        <v>1.0593</v>
      </c>
      <c r="F1255" s="22">
        <f t="shared" si="8"/>
        <v>279.4409863</v>
      </c>
      <c r="G1255" s="22">
        <f t="shared" si="31"/>
        <v>14.07805693</v>
      </c>
      <c r="H1255" s="22">
        <f t="shared" si="32"/>
        <v>24.88365926</v>
      </c>
      <c r="I1255" s="22">
        <f t="shared" si="3"/>
        <v>0.9440196356</v>
      </c>
      <c r="J1255" s="22">
        <f t="shared" si="33"/>
        <v>0.1194184839</v>
      </c>
    </row>
    <row r="1256" ht="15.75" customHeight="1">
      <c r="A1256" s="25">
        <f>IFERROR(__xludf.DUMMYFUNCTION("""COMPUTED_VALUE"""),44939.66666666667)</f>
        <v>44939.66667</v>
      </c>
      <c r="B1256" s="22">
        <f>IFERROR(__xludf.DUMMYFUNCTION("""COMPUTED_VALUE"""),3999.09)</f>
        <v>3999.09</v>
      </c>
      <c r="C1256" s="22">
        <f t="shared" si="6"/>
        <v>4000.817005</v>
      </c>
      <c r="D1256" s="25">
        <f>IFERROR(__xludf.DUMMYFUNCTION("""COMPUTED_VALUE"""),44919.99861111111)</f>
        <v>44919.99861</v>
      </c>
      <c r="E1256" s="22">
        <f>IFERROR(__xludf.DUMMYFUNCTION("""COMPUTED_VALUE"""),1.0665)</f>
        <v>1.0665</v>
      </c>
      <c r="F1256" s="22">
        <f t="shared" si="8"/>
        <v>288.8514351</v>
      </c>
      <c r="G1256" s="22">
        <f t="shared" si="31"/>
        <v>14.60427674</v>
      </c>
      <c r="H1256" s="22">
        <f t="shared" si="32"/>
        <v>26.50081908</v>
      </c>
      <c r="I1256" s="22">
        <f t="shared" si="3"/>
        <v>0.9376465073</v>
      </c>
      <c r="J1256" s="22">
        <f t="shared" si="33"/>
        <v>0.1248945148</v>
      </c>
    </row>
    <row r="1257" ht="15.75" customHeight="1">
      <c r="A1257" s="25">
        <f>IFERROR(__xludf.DUMMYFUNCTION("""COMPUTED_VALUE"""),44946.66666666667)</f>
        <v>44946.66667</v>
      </c>
      <c r="B1257" s="22">
        <f>IFERROR(__xludf.DUMMYFUNCTION("""COMPUTED_VALUE"""),3972.61)</f>
        <v>3972.61</v>
      </c>
      <c r="C1257" s="22">
        <f t="shared" si="6"/>
        <v>3974.383121</v>
      </c>
      <c r="D1257" s="25">
        <f>IFERROR(__xludf.DUMMYFUNCTION("""COMPUTED_VALUE"""),44926.99861111111)</f>
        <v>44926.99861</v>
      </c>
      <c r="E1257" s="22">
        <f>IFERROR(__xludf.DUMMYFUNCTION("""COMPUTED_VALUE"""),1.0725)</f>
        <v>1.0725</v>
      </c>
      <c r="F1257" s="22">
        <f t="shared" si="8"/>
        <v>288.557265</v>
      </c>
      <c r="G1257" s="22">
        <f t="shared" si="31"/>
        <v>15.92135692</v>
      </c>
      <c r="H1257" s="22">
        <f t="shared" si="32"/>
        <v>23.30177077</v>
      </c>
      <c r="I1257" s="22">
        <f t="shared" si="3"/>
        <v>0.9324009324</v>
      </c>
      <c r="J1257" s="22">
        <f t="shared" si="33"/>
        <v>0.1214918415</v>
      </c>
    </row>
    <row r="1258" ht="15.75" customHeight="1">
      <c r="A1258" s="25">
        <f>IFERROR(__xludf.DUMMYFUNCTION("""COMPUTED_VALUE"""),44953.66666666667)</f>
        <v>44953.66667</v>
      </c>
      <c r="B1258" s="22">
        <f>IFERROR(__xludf.DUMMYFUNCTION("""COMPUTED_VALUE"""),4070.56)</f>
        <v>4070.56</v>
      </c>
      <c r="C1258" s="22">
        <f t="shared" si="6"/>
        <v>4072.32138</v>
      </c>
      <c r="D1258" s="25">
        <f>IFERROR(__xludf.DUMMYFUNCTION("""COMPUTED_VALUE"""),44933.99861111111)</f>
        <v>44933.99861</v>
      </c>
      <c r="E1258" s="22">
        <f>IFERROR(__xludf.DUMMYFUNCTION("""COMPUTED_VALUE"""),1.0662)</f>
        <v>1.0662</v>
      </c>
      <c r="F1258" s="22">
        <f t="shared" si="8"/>
        <v>293.9312117</v>
      </c>
      <c r="G1258" s="22">
        <f t="shared" si="31"/>
        <v>20.98748623</v>
      </c>
      <c r="H1258" s="22">
        <f t="shared" si="32"/>
        <v>28.84114367</v>
      </c>
      <c r="I1258" s="22">
        <f t="shared" si="3"/>
        <v>0.9379103358</v>
      </c>
      <c r="J1258" s="22">
        <f t="shared" si="33"/>
        <v>0.1437816545</v>
      </c>
    </row>
    <row r="1259" ht="15.75" customHeight="1">
      <c r="A1259" s="25">
        <f>IFERROR(__xludf.DUMMYFUNCTION("""COMPUTED_VALUE"""),44960.66666666667)</f>
        <v>44960.66667</v>
      </c>
      <c r="B1259" s="22">
        <f>IFERROR(__xludf.DUMMYFUNCTION("""COMPUTED_VALUE"""),4136.48)</f>
        <v>4136.48</v>
      </c>
      <c r="C1259" s="22">
        <f t="shared" si="6"/>
        <v>4138.284809</v>
      </c>
      <c r="D1259" s="25">
        <f>IFERROR(__xludf.DUMMYFUNCTION("""COMPUTED_VALUE"""),44940.99861111111)</f>
        <v>44940.99861</v>
      </c>
      <c r="E1259" s="22">
        <f>IFERROR(__xludf.DUMMYFUNCTION("""COMPUTED_VALUE"""),1.0842)</f>
        <v>1.0842</v>
      </c>
      <c r="F1259" s="22">
        <f t="shared" si="8"/>
        <v>303.734946</v>
      </c>
      <c r="G1259" s="22">
        <f t="shared" si="31"/>
        <v>21.53610666</v>
      </c>
      <c r="H1259" s="22">
        <f t="shared" si="32"/>
        <v>40.09701765</v>
      </c>
      <c r="I1259" s="22">
        <f t="shared" si="3"/>
        <v>0.9223390518</v>
      </c>
      <c r="J1259" s="22">
        <f t="shared" si="33"/>
        <v>0.1270983213</v>
      </c>
    </row>
    <row r="1260" ht="15.75" customHeight="1">
      <c r="A1260" s="25">
        <f>IFERROR(__xludf.DUMMYFUNCTION("""COMPUTED_VALUE"""),44967.66666666667)</f>
        <v>44967.66667</v>
      </c>
      <c r="B1260" s="22">
        <f>IFERROR(__xludf.DUMMYFUNCTION("""COMPUTED_VALUE"""),4090.46)</f>
        <v>4090.46</v>
      </c>
      <c r="C1260" s="22">
        <f t="shared" si="6"/>
        <v>4092.294037</v>
      </c>
      <c r="D1260" s="25">
        <f>IFERROR(__xludf.DUMMYFUNCTION("""COMPUTED_VALUE"""),44947.99861111111)</f>
        <v>44947.99861</v>
      </c>
      <c r="E1260" s="22">
        <f>IFERROR(__xludf.DUMMYFUNCTION("""COMPUTED_VALUE"""),1.0876)</f>
        <v>1.0876</v>
      </c>
      <c r="F1260" s="22">
        <f t="shared" si="8"/>
        <v>301.3013046</v>
      </c>
      <c r="G1260" s="22">
        <f t="shared" si="31"/>
        <v>19.36891732</v>
      </c>
      <c r="H1260" s="22">
        <f t="shared" si="32"/>
        <v>31.10558214</v>
      </c>
      <c r="I1260" s="22">
        <f t="shared" si="3"/>
        <v>0.9194556822</v>
      </c>
      <c r="J1260" s="22">
        <f t="shared" si="33"/>
        <v>0.1419455682</v>
      </c>
    </row>
    <row r="1261" ht="15.75" customHeight="1">
      <c r="A1261" s="25">
        <f>IFERROR(__xludf.DUMMYFUNCTION("""COMPUTED_VALUE"""),44974.66666666667)</f>
        <v>44974.66667</v>
      </c>
      <c r="B1261" s="22">
        <f>IFERROR(__xludf.DUMMYFUNCTION("""COMPUTED_VALUE"""),4079.09)</f>
        <v>4079.09</v>
      </c>
      <c r="C1261" s="22">
        <f t="shared" si="6"/>
        <v>4080.903633</v>
      </c>
      <c r="D1261" s="25">
        <f>IFERROR(__xludf.DUMMYFUNCTION("""COMPUTED_VALUE"""),44954.99861111111)</f>
        <v>44954.99861</v>
      </c>
      <c r="E1261" s="22">
        <f>IFERROR(__xludf.DUMMYFUNCTION("""COMPUTED_VALUE"""),1.0871)</f>
        <v>1.0871</v>
      </c>
      <c r="F1261" s="22">
        <f t="shared" si="8"/>
        <v>300.3245379</v>
      </c>
      <c r="G1261" s="22">
        <f t="shared" si="31"/>
        <v>19.74397683</v>
      </c>
      <c r="H1261" s="22">
        <f t="shared" si="32"/>
        <v>29.53149981</v>
      </c>
      <c r="I1261" s="22">
        <f t="shared" si="3"/>
        <v>0.919878576</v>
      </c>
      <c r="J1261" s="22">
        <f t="shared" si="33"/>
        <v>0.1462606936</v>
      </c>
    </row>
    <row r="1262" ht="15.75" customHeight="1">
      <c r="A1262" s="25">
        <f>IFERROR(__xludf.DUMMYFUNCTION("""COMPUTED_VALUE"""),44981.66666666667)</f>
        <v>44981.66667</v>
      </c>
      <c r="B1262" s="22">
        <f>IFERROR(__xludf.DUMMYFUNCTION("""COMPUTED_VALUE"""),3970.04)</f>
        <v>3970.04</v>
      </c>
      <c r="C1262" s="22">
        <f t="shared" si="6"/>
        <v>3971.848591</v>
      </c>
      <c r="D1262" s="25">
        <f>IFERROR(__xludf.DUMMYFUNCTION("""COMPUTED_VALUE"""),44961.99861111111)</f>
        <v>44961.99861</v>
      </c>
      <c r="E1262" s="22">
        <f>IFERROR(__xludf.DUMMYFUNCTION("""COMPUTED_VALUE"""),1.0822)</f>
        <v>1.0822</v>
      </c>
      <c r="F1262" s="22">
        <f t="shared" si="8"/>
        <v>290.9813783</v>
      </c>
      <c r="G1262" s="22">
        <f t="shared" si="31"/>
        <v>32.90556548</v>
      </c>
      <c r="H1262" s="22">
        <f t="shared" si="32"/>
        <v>30.3846083</v>
      </c>
      <c r="I1262" s="22">
        <f t="shared" si="3"/>
        <v>0.9240436149</v>
      </c>
      <c r="J1262" s="22">
        <f t="shared" si="33"/>
        <v>0.131399002</v>
      </c>
    </row>
    <row r="1263" ht="15.75" customHeight="1">
      <c r="A1263" s="25">
        <f>IFERROR(__xludf.DUMMYFUNCTION("""COMPUTED_VALUE"""),44988.66666666667)</f>
        <v>44988.66667</v>
      </c>
      <c r="B1263" s="22">
        <f>IFERROR(__xludf.DUMMYFUNCTION("""COMPUTED_VALUE"""),4045.64)</f>
        <v>4045.64</v>
      </c>
      <c r="C1263" s="22">
        <f t="shared" si="6"/>
        <v>4047.400241</v>
      </c>
      <c r="D1263" s="25">
        <f>IFERROR(__xludf.DUMMYFUNCTION("""COMPUTED_VALUE"""),44968.99861111111)</f>
        <v>44968.99861</v>
      </c>
      <c r="E1263" s="22">
        <f>IFERROR(__xludf.DUMMYFUNCTION("""COMPUTED_VALUE"""),1.0696)</f>
        <v>1.0696</v>
      </c>
      <c r="F1263" s="22">
        <f t="shared" si="8"/>
        <v>293.0640384</v>
      </c>
      <c r="G1263" s="22">
        <f t="shared" si="31"/>
        <v>34.42216052</v>
      </c>
      <c r="H1263" s="22">
        <f t="shared" si="32"/>
        <v>25.17277548</v>
      </c>
      <c r="I1263" s="22">
        <f t="shared" si="3"/>
        <v>0.9349289454</v>
      </c>
      <c r="J1263" s="22">
        <f t="shared" si="33"/>
        <v>0.1598728497</v>
      </c>
    </row>
    <row r="1264" ht="15.75" customHeight="1">
      <c r="A1264" s="25">
        <f>IFERROR(__xludf.DUMMYFUNCTION("""COMPUTED_VALUE"""),44995.66666666667)</f>
        <v>44995.66667</v>
      </c>
      <c r="B1264" s="22">
        <f>IFERROR(__xludf.DUMMYFUNCTION("""COMPUTED_VALUE"""),3861.59)</f>
        <v>3861.59</v>
      </c>
      <c r="C1264" s="22">
        <f t="shared" si="6"/>
        <v>3863.38376</v>
      </c>
      <c r="D1264" s="25">
        <f>IFERROR(__xludf.DUMMYFUNCTION("""COMPUTED_VALUE"""),44975.99861111111)</f>
        <v>44975.99861</v>
      </c>
      <c r="E1264" s="22">
        <f>IFERROR(__xludf.DUMMYFUNCTION("""COMPUTED_VALUE"""),1.0715)</f>
        <v>1.0715</v>
      </c>
      <c r="F1264" s="22">
        <f t="shared" si="8"/>
        <v>280.2366984</v>
      </c>
      <c r="G1264" s="22">
        <f t="shared" si="31"/>
        <v>40.72610391</v>
      </c>
      <c r="H1264" s="22">
        <f t="shared" si="32"/>
        <v>22.30865874</v>
      </c>
      <c r="I1264" s="22">
        <f t="shared" si="3"/>
        <v>0.9332711153</v>
      </c>
      <c r="J1264" s="22">
        <f t="shared" si="33"/>
        <v>0.147270182</v>
      </c>
    </row>
    <row r="1265" ht="15.75" customHeight="1">
      <c r="A1265" s="25">
        <f>IFERROR(__xludf.DUMMYFUNCTION("""COMPUTED_VALUE"""),45002.66666666667)</f>
        <v>45002.66667</v>
      </c>
      <c r="B1265" s="22">
        <f>IFERROR(__xludf.DUMMYFUNCTION("""COMPUTED_VALUE"""),3916.64)</f>
        <v>3916.64</v>
      </c>
      <c r="C1265" s="22">
        <f t="shared" si="6"/>
        <v>3918.352156</v>
      </c>
      <c r="D1265" s="25">
        <f>IFERROR(__xludf.DUMMYFUNCTION("""COMPUTED_VALUE"""),44982.99861111111)</f>
        <v>44982.99861</v>
      </c>
      <c r="E1265" s="22">
        <f>IFERROR(__xludf.DUMMYFUNCTION("""COMPUTED_VALUE"""),1.0571)</f>
        <v>1.0571</v>
      </c>
      <c r="F1265" s="22">
        <f t="shared" si="8"/>
        <v>280.4042038</v>
      </c>
      <c r="G1265" s="22">
        <f t="shared" si="31"/>
        <v>62.88454593</v>
      </c>
      <c r="H1265" s="22">
        <f t="shared" si="32"/>
        <v>29.86795552</v>
      </c>
      <c r="I1265" s="22">
        <f t="shared" si="3"/>
        <v>0.9459842967</v>
      </c>
      <c r="J1265" s="22">
        <f t="shared" si="33"/>
        <v>0.1651688582</v>
      </c>
    </row>
    <row r="1266" ht="15.75" customHeight="1">
      <c r="A1266" s="25">
        <f>IFERROR(__xludf.DUMMYFUNCTION("""COMPUTED_VALUE"""),45009.66666666667)</f>
        <v>45009.66667</v>
      </c>
      <c r="B1266" s="22">
        <f>IFERROR(__xludf.DUMMYFUNCTION("""COMPUTED_VALUE"""),3970.99)</f>
        <v>3970.99</v>
      </c>
      <c r="C1266" s="22">
        <f t="shared" si="6"/>
        <v>3972.726564</v>
      </c>
      <c r="D1266" s="25">
        <f>IFERROR(__xludf.DUMMYFUNCTION("""COMPUTED_VALUE"""),44989.99861111111)</f>
        <v>44989.99861</v>
      </c>
      <c r="E1266" s="22">
        <f>IFERROR(__xludf.DUMMYFUNCTION("""COMPUTED_VALUE"""),1.0649)</f>
        <v>1.0649</v>
      </c>
      <c r="F1266" s="22">
        <f t="shared" si="8"/>
        <v>286.3930561</v>
      </c>
      <c r="G1266" s="22">
        <f t="shared" si="31"/>
        <v>47.44713899</v>
      </c>
      <c r="H1266" s="22">
        <f t="shared" si="32"/>
        <v>30.12024928</v>
      </c>
      <c r="I1266" s="22">
        <f t="shared" si="3"/>
        <v>0.9390553104</v>
      </c>
      <c r="J1266" s="22">
        <f t="shared" si="33"/>
        <v>0.1556014649</v>
      </c>
    </row>
    <row r="1267" ht="15.75" customHeight="1">
      <c r="A1267" s="25">
        <f>IFERROR(__xludf.DUMMYFUNCTION("""COMPUTED_VALUE"""),45016.66666666667)</f>
        <v>45016.66667</v>
      </c>
      <c r="B1267" s="22">
        <f>IFERROR(__xludf.DUMMYFUNCTION("""COMPUTED_VALUE"""),4109.31)</f>
        <v>4109.31</v>
      </c>
      <c r="C1267" s="22">
        <f t="shared" si="6"/>
        <v>4111.070662</v>
      </c>
      <c r="D1267" s="25">
        <f>IFERROR(__xludf.DUMMYFUNCTION("""COMPUTED_VALUE"""),44996.99861111111)</f>
        <v>44996.99861</v>
      </c>
      <c r="E1267" s="22">
        <f>IFERROR(__xludf.DUMMYFUNCTION("""COMPUTED_VALUE"""),1.0645)</f>
        <v>1.0645</v>
      </c>
      <c r="F1267" s="22">
        <f t="shared" si="8"/>
        <v>296.2549324</v>
      </c>
      <c r="G1267" s="22">
        <f t="shared" si="31"/>
        <v>57.75278332</v>
      </c>
      <c r="H1267" s="22">
        <f t="shared" si="32"/>
        <v>36.61325339</v>
      </c>
      <c r="I1267" s="22">
        <f t="shared" si="3"/>
        <v>0.9394081729</v>
      </c>
      <c r="J1267" s="22">
        <f t="shared" si="33"/>
        <v>0.1549084077</v>
      </c>
    </row>
    <row r="1268" ht="15.75" customHeight="1">
      <c r="A1268" s="25">
        <f>IFERROR(__xludf.DUMMYFUNCTION("""COMPUTED_VALUE"""),45022.66666666667)</f>
        <v>45022.66667</v>
      </c>
      <c r="B1268" s="22">
        <f>IFERROR(__xludf.DUMMYFUNCTION("""COMPUTED_VALUE"""),4105.02)</f>
        <v>4105.02</v>
      </c>
      <c r="C1268" s="22">
        <f t="shared" si="6"/>
        <v>4106.84199</v>
      </c>
      <c r="D1268" s="25">
        <f>IFERROR(__xludf.DUMMYFUNCTION("""COMPUTED_VALUE"""),45003.99861111111)</f>
        <v>45003.99861</v>
      </c>
      <c r="E1268" s="22">
        <f>IFERROR(__xludf.DUMMYFUNCTION("""COMPUTED_VALUE"""),1.0774)</f>
        <v>1.0774</v>
      </c>
      <c r="F1268" s="22">
        <f t="shared" si="8"/>
        <v>299.5366356</v>
      </c>
      <c r="G1268" s="22">
        <f t="shared" si="31"/>
        <v>47.32770155</v>
      </c>
      <c r="H1268" s="22">
        <f t="shared" si="32"/>
        <v>34.7538504</v>
      </c>
      <c r="I1268" s="22">
        <f t="shared" si="3"/>
        <v>0.9281603861</v>
      </c>
      <c r="J1268" s="22">
        <f t="shared" si="33"/>
        <v>0.1468349731</v>
      </c>
    </row>
    <row r="1269" ht="15.75" customHeight="1">
      <c r="A1269" s="25">
        <f>IFERROR(__xludf.DUMMYFUNCTION("""COMPUTED_VALUE"""),45030.66666666667)</f>
        <v>45030.66667</v>
      </c>
      <c r="B1269" s="22">
        <f>IFERROR(__xludf.DUMMYFUNCTION("""COMPUTED_VALUE"""),4137.64)</f>
        <v>4137.64</v>
      </c>
      <c r="C1269" s="22">
        <f t="shared" si="6"/>
        <v>4139.460088</v>
      </c>
      <c r="D1269" s="25">
        <f>IFERROR(__xludf.DUMMYFUNCTION("""COMPUTED_VALUE"""),45010.99861111111)</f>
        <v>45010.99861</v>
      </c>
      <c r="E1269" s="22">
        <f>IFERROR(__xludf.DUMMYFUNCTION("""COMPUTED_VALUE"""),1.0781)</f>
        <v>1.0781</v>
      </c>
      <c r="F1269" s="22">
        <f t="shared" si="8"/>
        <v>302.1118276</v>
      </c>
      <c r="G1269" s="22">
        <f t="shared" si="31"/>
        <v>38.97827049</v>
      </c>
      <c r="H1269" s="22">
        <f t="shared" si="32"/>
        <v>35.50313483</v>
      </c>
      <c r="I1269" s="22">
        <f t="shared" si="3"/>
        <v>0.9275577405</v>
      </c>
      <c r="J1269" s="22">
        <f t="shared" si="33"/>
        <v>0.1435859382</v>
      </c>
    </row>
    <row r="1270" ht="15.75" customHeight="1">
      <c r="A1270" s="25">
        <f>IFERROR(__xludf.DUMMYFUNCTION("""COMPUTED_VALUE"""),45037.66666666667)</f>
        <v>45037.66667</v>
      </c>
      <c r="B1270" s="22">
        <f>IFERROR(__xludf.DUMMYFUNCTION("""COMPUTED_VALUE"""),4133.52)</f>
        <v>4133.52</v>
      </c>
      <c r="C1270" s="22">
        <f t="shared" si="6"/>
        <v>4135.354551</v>
      </c>
      <c r="D1270" s="25">
        <f>IFERROR(__xludf.DUMMYFUNCTION("""COMPUTED_VALUE"""),45017.99861111111)</f>
        <v>45017.99861</v>
      </c>
      <c r="E1270" s="22">
        <f>IFERROR(__xludf.DUMMYFUNCTION("""COMPUTED_VALUE"""),1.0869)</f>
        <v>1.0869</v>
      </c>
      <c r="F1270" s="22">
        <f t="shared" si="8"/>
        <v>304.275736</v>
      </c>
      <c r="G1270" s="22">
        <f t="shared" si="31"/>
        <v>46.65746845</v>
      </c>
      <c r="H1270" s="22">
        <f t="shared" si="32"/>
        <v>36.84029832</v>
      </c>
      <c r="I1270" s="22">
        <f t="shared" si="3"/>
        <v>0.9200478425</v>
      </c>
      <c r="J1270" s="22">
        <f t="shared" si="33"/>
        <v>0.1313828319</v>
      </c>
    </row>
    <row r="1271" ht="15.75" customHeight="1">
      <c r="A1271" s="25">
        <f>IFERROR(__xludf.DUMMYFUNCTION("""COMPUTED_VALUE"""),45044.66666666667)</f>
        <v>45044.66667</v>
      </c>
      <c r="B1271" s="22">
        <f>IFERROR(__xludf.DUMMYFUNCTION("""COMPUTED_VALUE"""),4169.48)</f>
        <v>4169.48</v>
      </c>
      <c r="C1271" s="22">
        <f t="shared" si="6"/>
        <v>4171.312725</v>
      </c>
      <c r="D1271" s="25">
        <f>IFERROR(__xludf.DUMMYFUNCTION("""COMPUTED_VALUE"""),45024.99861111111)</f>
        <v>45024.99861</v>
      </c>
      <c r="E1271" s="22">
        <f>IFERROR(__xludf.DUMMYFUNCTION("""COMPUTED_VALUE"""),1.0993)</f>
        <v>1.0993</v>
      </c>
      <c r="F1271" s="22">
        <f t="shared" si="8"/>
        <v>310.4230493</v>
      </c>
      <c r="G1271" s="22">
        <f t="shared" si="31"/>
        <v>48.07504948</v>
      </c>
      <c r="H1271" s="22">
        <f t="shared" si="32"/>
        <v>39.4007926</v>
      </c>
      <c r="I1271" s="22">
        <f t="shared" si="3"/>
        <v>0.9096697899</v>
      </c>
      <c r="J1271" s="22">
        <f t="shared" si="33"/>
        <v>0.1229873556</v>
      </c>
    </row>
    <row r="1272" ht="15.75" customHeight="1">
      <c r="A1272" s="25">
        <f>IFERROR(__xludf.DUMMYFUNCTION("""COMPUTED_VALUE"""),45051.66666666667)</f>
        <v>45051.66667</v>
      </c>
      <c r="B1272" s="22">
        <f>IFERROR(__xludf.DUMMYFUNCTION("""COMPUTED_VALUE"""),4136.25)</f>
        <v>4136.25</v>
      </c>
      <c r="C1272" s="22">
        <f t="shared" si="6"/>
        <v>4138.098669</v>
      </c>
      <c r="D1272" s="25">
        <f>IFERROR(__xludf.DUMMYFUNCTION("""COMPUTED_VALUE"""),45031.99861111111)</f>
        <v>45031.99861</v>
      </c>
      <c r="E1272" s="22">
        <f>IFERROR(__xludf.DUMMYFUNCTION("""COMPUTED_VALUE"""),1.1101)</f>
        <v>1.1101</v>
      </c>
      <c r="F1272" s="22">
        <f t="shared" si="8"/>
        <v>310.9767546</v>
      </c>
      <c r="G1272" s="22">
        <f t="shared" si="31"/>
        <v>44.12842325</v>
      </c>
      <c r="H1272" s="22">
        <f t="shared" si="32"/>
        <v>36.80235076</v>
      </c>
      <c r="I1272" s="22">
        <f t="shared" si="3"/>
        <v>0.900819746</v>
      </c>
      <c r="J1272" s="22">
        <f t="shared" si="33"/>
        <v>0.1084586974</v>
      </c>
    </row>
    <row r="1273" ht="15.75" customHeight="1">
      <c r="A1273" s="25">
        <f>IFERROR(__xludf.DUMMYFUNCTION("""COMPUTED_VALUE"""),45058.66666666667)</f>
        <v>45058.66667</v>
      </c>
      <c r="B1273" s="22">
        <f>IFERROR(__xludf.DUMMYFUNCTION("""COMPUTED_VALUE"""),4124.08)</f>
        <v>4124.08</v>
      </c>
      <c r="C1273" s="22">
        <f t="shared" si="6"/>
        <v>4125.913935</v>
      </c>
      <c r="D1273" s="25">
        <f>IFERROR(__xludf.DUMMYFUNCTION("""COMPUTED_VALUE"""),45038.99861111111)</f>
        <v>45038.99861</v>
      </c>
      <c r="E1273" s="22">
        <f>IFERROR(__xludf.DUMMYFUNCTION("""COMPUTED_VALUE"""),1.1095)</f>
        <v>1.1095</v>
      </c>
      <c r="F1273" s="22">
        <f t="shared" si="8"/>
        <v>309.8934904</v>
      </c>
      <c r="G1273" s="22">
        <f t="shared" si="31"/>
        <v>47.64388488</v>
      </c>
      <c r="H1273" s="22">
        <f t="shared" si="32"/>
        <v>38.87094756</v>
      </c>
      <c r="I1273" s="22">
        <f t="shared" si="3"/>
        <v>0.901306895</v>
      </c>
      <c r="J1273" s="22">
        <f t="shared" si="33"/>
        <v>0.09463722397</v>
      </c>
    </row>
    <row r="1274" ht="15.75" customHeight="1">
      <c r="A1274" s="25">
        <f>IFERROR(__xludf.DUMMYFUNCTION("""COMPUTED_VALUE"""),45065.66666666667)</f>
        <v>45065.66667</v>
      </c>
      <c r="B1274" s="22">
        <f>IFERROR(__xludf.DUMMYFUNCTION("""COMPUTED_VALUE"""),4191.98)</f>
        <v>4191.98</v>
      </c>
      <c r="C1274" s="22">
        <f t="shared" si="6"/>
        <v>4193.808539</v>
      </c>
      <c r="D1274" s="25">
        <f>IFERROR(__xludf.DUMMYFUNCTION("""COMPUTED_VALUE"""),45045.99861111111)</f>
        <v>45045.99861</v>
      </c>
      <c r="E1274" s="22">
        <f>IFERROR(__xludf.DUMMYFUNCTION("""COMPUTED_VALUE"""),1.1126)</f>
        <v>1.1126</v>
      </c>
      <c r="F1274" s="22">
        <f t="shared" si="8"/>
        <v>315.8730964</v>
      </c>
      <c r="G1274" s="22">
        <f t="shared" si="31"/>
        <v>42.26186106</v>
      </c>
      <c r="H1274" s="22">
        <f t="shared" si="32"/>
        <v>43.17934505</v>
      </c>
      <c r="I1274" s="22">
        <f t="shared" si="3"/>
        <v>0.8987956139</v>
      </c>
      <c r="J1274" s="22">
        <f t="shared" si="33"/>
        <v>0.07585834981</v>
      </c>
    </row>
    <row r="1275" ht="15.75" customHeight="1">
      <c r="A1275" s="25">
        <f>IFERROR(__xludf.DUMMYFUNCTION("""COMPUTED_VALUE"""),45072.66666666667)</f>
        <v>45072.66667</v>
      </c>
      <c r="B1275" s="22">
        <f>IFERROR(__xludf.DUMMYFUNCTION("""COMPUTED_VALUE"""),4205.45)</f>
        <v>4205.45</v>
      </c>
      <c r="C1275" s="22">
        <f t="shared" si="6"/>
        <v>4207.308645</v>
      </c>
      <c r="D1275" s="25">
        <f>IFERROR(__xludf.DUMMYFUNCTION("""COMPUTED_VALUE"""),45052.99861111111)</f>
        <v>45052.99861</v>
      </c>
      <c r="E1275" s="22">
        <f>IFERROR(__xludf.DUMMYFUNCTION("""COMPUTED_VALUE"""),1.1018)</f>
        <v>1.1018</v>
      </c>
      <c r="F1275" s="22">
        <f t="shared" si="8"/>
        <v>313.8138616</v>
      </c>
      <c r="G1275" s="22">
        <f t="shared" si="31"/>
        <v>38.76001329</v>
      </c>
      <c r="H1275" s="22">
        <f t="shared" si="32"/>
        <v>41.68494607</v>
      </c>
      <c r="I1275" s="22">
        <f t="shared" si="3"/>
        <v>0.9076057361</v>
      </c>
      <c r="J1275" s="22">
        <f t="shared" si="33"/>
        <v>0.08540569976</v>
      </c>
    </row>
    <row r="1276" ht="15.75" customHeight="1">
      <c r="A1276" s="25">
        <f>IFERROR(__xludf.DUMMYFUNCTION("""COMPUTED_VALUE"""),45079.66666666667)</f>
        <v>45079.66667</v>
      </c>
      <c r="B1276" s="22">
        <f>IFERROR(__xludf.DUMMYFUNCTION("""COMPUTED_VALUE"""),4282.37)</f>
        <v>4282.37</v>
      </c>
      <c r="C1276" s="22">
        <f t="shared" si="6"/>
        <v>4284.234617</v>
      </c>
      <c r="D1276" s="25">
        <f>IFERROR(__xludf.DUMMYFUNCTION("""COMPUTED_VALUE"""),45059.99861111111)</f>
        <v>45059.99861</v>
      </c>
      <c r="E1276" s="22">
        <f>IFERROR(__xludf.DUMMYFUNCTION("""COMPUTED_VALUE"""),1.0936)</f>
        <v>1.0936</v>
      </c>
      <c r="F1276" s="22">
        <f t="shared" si="8"/>
        <v>317.1733798</v>
      </c>
      <c r="G1276" s="22">
        <f t="shared" si="31"/>
        <v>35.63540131</v>
      </c>
      <c r="H1276" s="22">
        <f t="shared" si="32"/>
        <v>42.94603231</v>
      </c>
      <c r="I1276" s="22">
        <f t="shared" si="3"/>
        <v>0.9144111192</v>
      </c>
      <c r="J1276" s="22">
        <f t="shared" si="33"/>
        <v>0.07799926847</v>
      </c>
    </row>
    <row r="1277" ht="15.75" customHeight="1">
      <c r="A1277" s="25">
        <f>IFERROR(__xludf.DUMMYFUNCTION("""COMPUTED_VALUE"""),45086.66666666667)</f>
        <v>45086.66667</v>
      </c>
      <c r="B1277" s="22">
        <f>IFERROR(__xludf.DUMMYFUNCTION("""COMPUTED_VALUE"""),4298.86)</f>
        <v>4298.86</v>
      </c>
      <c r="C1277" s="22">
        <f t="shared" si="6"/>
        <v>4300.758722</v>
      </c>
      <c r="D1277" s="25">
        <f>IFERROR(__xludf.DUMMYFUNCTION("""COMPUTED_VALUE"""),45066.99861111111)</f>
        <v>45066.99861</v>
      </c>
      <c r="E1277" s="22">
        <f>IFERROR(__xludf.DUMMYFUNCTION("""COMPUTED_VALUE"""),1.0816)</f>
        <v>1.0816</v>
      </c>
      <c r="F1277" s="22">
        <f t="shared" si="8"/>
        <v>314.9029577</v>
      </c>
      <c r="G1277" s="22">
        <f t="shared" si="31"/>
        <v>40.30779481</v>
      </c>
      <c r="H1277" s="22">
        <f t="shared" si="32"/>
        <v>43.52095988</v>
      </c>
      <c r="I1277" s="22">
        <f t="shared" si="3"/>
        <v>0.924556213</v>
      </c>
      <c r="J1277" s="22">
        <f t="shared" si="33"/>
        <v>0.07757026627</v>
      </c>
    </row>
    <row r="1278" ht="15.75" customHeight="1">
      <c r="A1278" s="25">
        <f>IFERROR(__xludf.DUMMYFUNCTION("""COMPUTED_VALUE"""),45093.66666666667)</f>
        <v>45093.66667</v>
      </c>
      <c r="B1278" s="22">
        <f>IFERROR(__xludf.DUMMYFUNCTION("""COMPUTED_VALUE"""),4409.59)</f>
        <v>4409.59</v>
      </c>
      <c r="C1278" s="22">
        <f t="shared" si="6"/>
        <v>4411.496033</v>
      </c>
      <c r="D1278" s="25">
        <f>IFERROR(__xludf.DUMMYFUNCTION("""COMPUTED_VALUE"""),45073.99861111111)</f>
        <v>45073.99861</v>
      </c>
      <c r="E1278" s="22">
        <f>IFERROR(__xludf.DUMMYFUNCTION("""COMPUTED_VALUE"""),1.0729)</f>
        <v>1.0729</v>
      </c>
      <c r="F1278" s="22">
        <f t="shared" si="8"/>
        <v>320.4129945</v>
      </c>
      <c r="G1278" s="22">
        <f t="shared" si="31"/>
        <v>37.57678323</v>
      </c>
      <c r="H1278" s="22">
        <f t="shared" si="32"/>
        <v>46.96562714</v>
      </c>
      <c r="I1278" s="22">
        <f t="shared" si="3"/>
        <v>0.9320533134</v>
      </c>
      <c r="J1278" s="22">
        <f t="shared" si="33"/>
        <v>0.0891136173</v>
      </c>
    </row>
    <row r="1279" ht="15.75" customHeight="1">
      <c r="A1279" s="25">
        <f>IFERROR(__xludf.DUMMYFUNCTION("""COMPUTED_VALUE"""),45100.66666666667)</f>
        <v>45100.66667</v>
      </c>
      <c r="B1279" s="22">
        <f>IFERROR(__xludf.DUMMYFUNCTION("""COMPUTED_VALUE"""),4348.33)</f>
        <v>4348.33</v>
      </c>
      <c r="C1279" s="22">
        <f t="shared" si="6"/>
        <v>4350.285129</v>
      </c>
      <c r="D1279" s="25">
        <f>IFERROR(__xludf.DUMMYFUNCTION("""COMPUTED_VALUE"""),45080.99861111111)</f>
        <v>45080.99861</v>
      </c>
      <c r="E1279" s="22">
        <f>IFERROR(__xludf.DUMMYFUNCTION("""COMPUTED_VALUE"""),1.0723)</f>
        <v>1.0723</v>
      </c>
      <c r="F1279" s="22">
        <f t="shared" si="8"/>
        <v>315.7904638</v>
      </c>
      <c r="G1279" s="22">
        <f t="shared" si="31"/>
        <v>37.38633572</v>
      </c>
      <c r="H1279" s="22">
        <f t="shared" si="32"/>
        <v>45.68214528</v>
      </c>
      <c r="I1279" s="22">
        <f t="shared" si="3"/>
        <v>0.9325748391</v>
      </c>
      <c r="J1279" s="22">
        <f t="shared" si="33"/>
        <v>0.09801361559</v>
      </c>
    </row>
    <row r="1280" ht="15.75" customHeight="1">
      <c r="A1280" s="25">
        <f>IFERROR(__xludf.DUMMYFUNCTION("""COMPUTED_VALUE"""),45107.66666666667)</f>
        <v>45107.66667</v>
      </c>
      <c r="B1280" s="22">
        <f>IFERROR(__xludf.DUMMYFUNCTION("""COMPUTED_VALUE"""),4450.38)</f>
        <v>4450.38</v>
      </c>
      <c r="C1280" s="22">
        <f t="shared" si="6"/>
        <v>4452.307967</v>
      </c>
      <c r="D1280" s="25">
        <f>IFERROR(__xludf.DUMMYFUNCTION("""COMPUTED_VALUE"""),45087.99861111111)</f>
        <v>45087.99861</v>
      </c>
      <c r="E1280" s="22">
        <f>IFERROR(__xludf.DUMMYFUNCTION("""COMPUTED_VALUE"""),1.0752)</f>
        <v>1.0752</v>
      </c>
      <c r="F1280" s="22">
        <f t="shared" si="8"/>
        <v>324.0704522</v>
      </c>
      <c r="G1280" s="22">
        <f t="shared" si="31"/>
        <v>35.80663375</v>
      </c>
      <c r="H1280" s="22">
        <f t="shared" si="32"/>
        <v>49.22284607</v>
      </c>
      <c r="I1280" s="22">
        <f t="shared" si="3"/>
        <v>0.9300595238</v>
      </c>
      <c r="J1280" s="22">
        <f t="shared" si="33"/>
        <v>0.08063616071</v>
      </c>
    </row>
    <row r="1281" ht="15.75" customHeight="1">
      <c r="A1281" s="25">
        <f>IFERROR(__xludf.DUMMYFUNCTION("""COMPUTED_VALUE"""),45114.66666666667)</f>
        <v>45114.66667</v>
      </c>
      <c r="B1281" s="22">
        <f>IFERROR(__xludf.DUMMYFUNCTION("""COMPUTED_VALUE"""),4398.95)</f>
        <v>4398.95</v>
      </c>
      <c r="C1281" s="22">
        <f t="shared" si="6"/>
        <v>4400.923214</v>
      </c>
      <c r="D1281" s="25">
        <f>IFERROR(__xludf.DUMMYFUNCTION("""COMPUTED_VALUE"""),45094.99861111111)</f>
        <v>45094.99861</v>
      </c>
      <c r="E1281" s="22">
        <f>IFERROR(__xludf.DUMMYFUNCTION("""COMPUTED_VALUE"""),1.0964)</f>
        <v>1.0964</v>
      </c>
      <c r="F1281" s="22">
        <f t="shared" si="8"/>
        <v>326.6463431</v>
      </c>
      <c r="G1281" s="22">
        <f t="shared" si="31"/>
        <v>35.48016451</v>
      </c>
      <c r="H1281" s="22">
        <f t="shared" si="32"/>
        <v>47.59690093</v>
      </c>
      <c r="I1281" s="22">
        <f t="shared" si="3"/>
        <v>0.9120758847</v>
      </c>
      <c r="J1281" s="22">
        <f t="shared" si="33"/>
        <v>0.06393651952</v>
      </c>
    </row>
    <row r="1282" ht="15.75" customHeight="1">
      <c r="A1282" s="25">
        <f>IFERROR(__xludf.DUMMYFUNCTION("""COMPUTED_VALUE"""),45121.66666666667)</f>
        <v>45121.66667</v>
      </c>
      <c r="B1282" s="22">
        <f>IFERROR(__xludf.DUMMYFUNCTION("""COMPUTED_VALUE"""),4505.42)</f>
        <v>4505.42</v>
      </c>
      <c r="C1282" s="22">
        <f t="shared" si="6"/>
        <v>4507.370411</v>
      </c>
      <c r="D1282" s="25">
        <f>IFERROR(__xludf.DUMMYFUNCTION("""COMPUTED_VALUE"""),45101.99861111111)</f>
        <v>45101.99861</v>
      </c>
      <c r="E1282" s="22">
        <f>IFERROR(__xludf.DUMMYFUNCTION("""COMPUTED_VALUE"""),1.0932)</f>
        <v>1.0932</v>
      </c>
      <c r="F1282" s="22">
        <f t="shared" si="8"/>
        <v>333.5706682</v>
      </c>
      <c r="G1282" s="22">
        <f t="shared" si="31"/>
        <v>36.13862162</v>
      </c>
      <c r="H1282" s="22">
        <f t="shared" si="32"/>
        <v>50.22026301</v>
      </c>
      <c r="I1282" s="22">
        <f t="shared" si="3"/>
        <v>0.9147457007</v>
      </c>
      <c r="J1282" s="22">
        <f t="shared" si="33"/>
        <v>0.07043541895</v>
      </c>
    </row>
    <row r="1283" ht="15.75" customHeight="1">
      <c r="A1283" s="25">
        <f>IFERROR(__xludf.DUMMYFUNCTION("""COMPUTED_VALUE"""),45128.66666666667)</f>
        <v>45128.66667</v>
      </c>
      <c r="B1283" s="22">
        <f>IFERROR(__xludf.DUMMYFUNCTION("""COMPUTED_VALUE"""),4536.34)</f>
        <v>4536.34</v>
      </c>
      <c r="C1283" s="22">
        <f t="shared" si="6"/>
        <v>4538.337618</v>
      </c>
      <c r="D1283" s="25">
        <f>IFERROR(__xludf.DUMMYFUNCTION("""COMPUTED_VALUE"""),45108.99861111111)</f>
        <v>45108.99861</v>
      </c>
      <c r="E1283" s="22">
        <f>IFERROR(__xludf.DUMMYFUNCTION("""COMPUTED_VALUE"""),1.092)</f>
        <v>1.092</v>
      </c>
      <c r="F1283" s="22">
        <f t="shared" si="8"/>
        <v>335.4937406</v>
      </c>
      <c r="G1283" s="22">
        <f t="shared" si="31"/>
        <v>37.01814923</v>
      </c>
      <c r="H1283" s="22">
        <f t="shared" si="32"/>
        <v>49.52437776</v>
      </c>
      <c r="I1283" s="22">
        <f t="shared" si="3"/>
        <v>0.9157509158</v>
      </c>
      <c r="J1283" s="22">
        <f t="shared" si="33"/>
        <v>0.07628205128</v>
      </c>
    </row>
    <row r="1284" ht="15.75" customHeight="1">
      <c r="A1284" s="25">
        <f>IFERROR(__xludf.DUMMYFUNCTION("""COMPUTED_VALUE"""),45135.66666666667)</f>
        <v>45135.66667</v>
      </c>
      <c r="B1284" s="22">
        <f>IFERROR(__xludf.DUMMYFUNCTION("""COMPUTED_VALUE"""),4582.23)</f>
        <v>4582.23</v>
      </c>
      <c r="C1284" s="22">
        <f t="shared" si="6"/>
        <v>4584.241327</v>
      </c>
      <c r="D1284" s="25">
        <f>IFERROR(__xludf.DUMMYFUNCTION("""COMPUTED_VALUE"""),45115.99861111111)</f>
        <v>45115.99861</v>
      </c>
      <c r="E1284" s="22">
        <f>IFERROR(__xludf.DUMMYFUNCTION("""COMPUTED_VALUE"""),1.0969)</f>
        <v>1.0969</v>
      </c>
      <c r="F1284" s="22">
        <f t="shared" si="8"/>
        <v>340.4077907</v>
      </c>
      <c r="G1284" s="22">
        <f t="shared" si="31"/>
        <v>35.99056347</v>
      </c>
      <c r="H1284" s="22">
        <f t="shared" si="32"/>
        <v>51.27249718</v>
      </c>
      <c r="I1284" s="22">
        <f t="shared" si="3"/>
        <v>0.9116601331</v>
      </c>
      <c r="J1284" s="22">
        <f t="shared" si="33"/>
        <v>0.0664600237</v>
      </c>
    </row>
    <row r="1285" ht="15.75" customHeight="1">
      <c r="A1285" s="25">
        <f>IFERROR(__xludf.DUMMYFUNCTION("""COMPUTED_VALUE"""),45142.66666666667)</f>
        <v>45142.66667</v>
      </c>
      <c r="B1285" s="22">
        <f>IFERROR(__xludf.DUMMYFUNCTION("""COMPUTED_VALUE"""),4478.03)</f>
        <v>4478.03</v>
      </c>
      <c r="C1285" s="22">
        <f t="shared" si="6"/>
        <v>4480.061674</v>
      </c>
      <c r="D1285" s="25">
        <f>IFERROR(__xludf.DUMMYFUNCTION("""COMPUTED_VALUE"""),45122.99861111111)</f>
        <v>45122.99861</v>
      </c>
      <c r="E1285" s="22">
        <f>IFERROR(__xludf.DUMMYFUNCTION("""COMPUTED_VALUE"""),1.1235)</f>
        <v>1.1235</v>
      </c>
      <c r="F1285" s="22">
        <f t="shared" si="8"/>
        <v>340.7391627</v>
      </c>
      <c r="G1285" s="22">
        <f t="shared" si="31"/>
        <v>31.40667906</v>
      </c>
      <c r="H1285" s="22">
        <f t="shared" si="32"/>
        <v>51.40862679</v>
      </c>
      <c r="I1285" s="22">
        <f t="shared" si="3"/>
        <v>0.8900756564</v>
      </c>
      <c r="J1285" s="22">
        <f t="shared" si="33"/>
        <v>0.04388072986</v>
      </c>
    </row>
    <row r="1286" ht="15.75" customHeight="1">
      <c r="A1286" s="25">
        <f>IFERROR(__xludf.DUMMYFUNCTION("""COMPUTED_VALUE"""),45149.66666666667)</f>
        <v>45149.66667</v>
      </c>
      <c r="B1286" s="22">
        <f>IFERROR(__xludf.DUMMYFUNCTION("""COMPUTED_VALUE"""),4464.05)</f>
        <v>4464.05</v>
      </c>
      <c r="C1286" s="22">
        <f t="shared" si="6"/>
        <v>4466.035474</v>
      </c>
      <c r="D1286" s="25">
        <f>IFERROR(__xludf.DUMMYFUNCTION("""COMPUTED_VALUE"""),45129.99861111111)</f>
        <v>45129.99861</v>
      </c>
      <c r="E1286" s="22">
        <f>IFERROR(__xludf.DUMMYFUNCTION("""COMPUTED_VALUE"""),1.1127)</f>
        <v>1.1127</v>
      </c>
      <c r="F1286" s="22">
        <f t="shared" si="8"/>
        <v>336.4071664</v>
      </c>
      <c r="G1286" s="22">
        <f t="shared" si="31"/>
        <v>26.34734836</v>
      </c>
      <c r="H1286" s="22">
        <f t="shared" si="32"/>
        <v>49.32624367</v>
      </c>
      <c r="I1286" s="22">
        <f t="shared" si="3"/>
        <v>0.8987148378</v>
      </c>
      <c r="J1286" s="22">
        <f t="shared" si="33"/>
        <v>0.04889008718</v>
      </c>
    </row>
    <row r="1287" ht="15.75" customHeight="1">
      <c r="A1287" s="25">
        <f>IFERROR(__xludf.DUMMYFUNCTION("""COMPUTED_VALUE"""),45156.66666666667)</f>
        <v>45156.66667</v>
      </c>
      <c r="B1287" s="22">
        <f>IFERROR(__xludf.DUMMYFUNCTION("""COMPUTED_VALUE"""),4369.71)</f>
        <v>4369.71</v>
      </c>
      <c r="C1287" s="22">
        <f t="shared" si="6"/>
        <v>4371.689275</v>
      </c>
      <c r="D1287" s="25">
        <f>IFERROR(__xludf.DUMMYFUNCTION("""COMPUTED_VALUE"""),45136.99861111111)</f>
        <v>45136.99861</v>
      </c>
      <c r="E1287" s="22">
        <f>IFERROR(__xludf.DUMMYFUNCTION("""COMPUTED_VALUE"""),1.1035)</f>
        <v>1.1035</v>
      </c>
      <c r="F1287" s="22">
        <f t="shared" si="8"/>
        <v>326.5777602</v>
      </c>
      <c r="G1287" s="22">
        <f t="shared" si="31"/>
        <v>20.5779566</v>
      </c>
      <c r="H1287" s="22">
        <f t="shared" si="32"/>
        <v>44.86673785</v>
      </c>
      <c r="I1287" s="22">
        <f t="shared" si="3"/>
        <v>0.9062075215</v>
      </c>
      <c r="J1287" s="22">
        <f t="shared" si="33"/>
        <v>0.04929768917</v>
      </c>
    </row>
    <row r="1288" ht="15.75" customHeight="1">
      <c r="A1288" s="25">
        <f>IFERROR(__xludf.DUMMYFUNCTION("""COMPUTED_VALUE"""),45163.66666666667)</f>
        <v>45163.66667</v>
      </c>
      <c r="B1288" s="22">
        <f>IFERROR(__xludf.DUMMYFUNCTION("""COMPUTED_VALUE"""),4405.71)</f>
        <v>4405.71</v>
      </c>
      <c r="C1288" s="22">
        <f t="shared" si="6"/>
        <v>4407.647447</v>
      </c>
      <c r="D1288" s="25">
        <f>IFERROR(__xludf.DUMMYFUNCTION("""COMPUTED_VALUE"""),45143.99861111111)</f>
        <v>45143.99861</v>
      </c>
      <c r="E1288" s="22">
        <f>IFERROR(__xludf.DUMMYFUNCTION("""COMPUTED_VALUE"""),1.1025)</f>
        <v>1.1025</v>
      </c>
      <c r="F1288" s="22">
        <f t="shared" si="8"/>
        <v>328.9655576</v>
      </c>
      <c r="G1288" s="22">
        <f t="shared" si="31"/>
        <v>17.48211458</v>
      </c>
      <c r="H1288" s="22">
        <f t="shared" si="32"/>
        <v>46.58955946</v>
      </c>
      <c r="I1288" s="22">
        <f t="shared" si="3"/>
        <v>0.9070294785</v>
      </c>
      <c r="J1288" s="22">
        <f t="shared" si="33"/>
        <v>0.0358276644</v>
      </c>
    </row>
    <row r="1289" ht="15.75" customHeight="1">
      <c r="A1289" s="25">
        <f>IFERROR(__xludf.DUMMYFUNCTION("""COMPUTED_VALUE"""),45170.66666666667)</f>
        <v>45170.66667</v>
      </c>
      <c r="B1289" s="22">
        <f>IFERROR(__xludf.DUMMYFUNCTION("""COMPUTED_VALUE"""),4515.77)</f>
        <v>4515.77</v>
      </c>
      <c r="C1289" s="22">
        <f t="shared" si="6"/>
        <v>4517.723408</v>
      </c>
      <c r="D1289" s="25">
        <f>IFERROR(__xludf.DUMMYFUNCTION("""COMPUTED_VALUE"""),45150.99861111111)</f>
        <v>45150.99861</v>
      </c>
      <c r="E1289" s="22">
        <f>IFERROR(__xludf.DUMMYFUNCTION("""COMPUTED_VALUE"""),1.0963)</f>
        <v>1.0963</v>
      </c>
      <c r="F1289" s="22">
        <f t="shared" si="8"/>
        <v>335.2849309</v>
      </c>
      <c r="G1289" s="22">
        <f t="shared" si="31"/>
        <v>22.00058246</v>
      </c>
      <c r="H1289" s="22">
        <f t="shared" si="32"/>
        <v>50.61379518</v>
      </c>
      <c r="I1289" s="22">
        <f t="shared" si="3"/>
        <v>0.9121590805</v>
      </c>
      <c r="J1289" s="22">
        <f t="shared" si="33"/>
        <v>0.04405728359</v>
      </c>
    </row>
    <row r="1290" ht="15.75" customHeight="1">
      <c r="A1290" s="25">
        <f>IFERROR(__xludf.DUMMYFUNCTION("""COMPUTED_VALUE"""),45177.66666666667)</f>
        <v>45177.66667</v>
      </c>
      <c r="B1290" s="22">
        <f>IFERROR(__xludf.DUMMYFUNCTION("""COMPUTED_VALUE"""),4457.49)</f>
        <v>4457.49</v>
      </c>
      <c r="C1290" s="22">
        <f t="shared" si="6"/>
        <v>4459.492207</v>
      </c>
      <c r="D1290" s="25">
        <f>IFERROR(__xludf.DUMMYFUNCTION("""COMPUTED_VALUE"""),45157.99861111111)</f>
        <v>45157.99861</v>
      </c>
      <c r="E1290" s="22">
        <f>IFERROR(__xludf.DUMMYFUNCTION("""COMPUTED_VALUE"""),1.089)</f>
        <v>1.089</v>
      </c>
      <c r="F1290" s="22">
        <f t="shared" si="8"/>
        <v>328.7594699</v>
      </c>
      <c r="G1290" s="22">
        <f t="shared" si="31"/>
        <v>23.24623021</v>
      </c>
      <c r="H1290" s="22">
        <f t="shared" si="32"/>
        <v>43.66890366</v>
      </c>
      <c r="I1290" s="22">
        <f t="shared" si="3"/>
        <v>0.9182736455</v>
      </c>
      <c r="J1290" s="22">
        <f t="shared" si="33"/>
        <v>0.06804407713</v>
      </c>
    </row>
    <row r="1291" ht="15.75" customHeight="1">
      <c r="A1291" s="25">
        <f>IFERROR(__xludf.DUMMYFUNCTION("""COMPUTED_VALUE"""),45184.66666666667)</f>
        <v>45184.66667</v>
      </c>
      <c r="B1291" s="22">
        <f>IFERROR(__xludf.DUMMYFUNCTION("""COMPUTED_VALUE"""),4450.32)</f>
        <v>4450.32</v>
      </c>
      <c r="C1291" s="22">
        <f t="shared" si="6"/>
        <v>4452.296367</v>
      </c>
      <c r="D1291" s="25">
        <f>IFERROR(__xludf.DUMMYFUNCTION("""COMPUTED_VALUE"""),45164.99861111111)</f>
        <v>45164.99861</v>
      </c>
      <c r="E1291" s="22">
        <f>IFERROR(__xludf.DUMMYFUNCTION("""COMPUTED_VALUE"""),1.0794)</f>
        <v>1.0794</v>
      </c>
      <c r="F1291" s="22">
        <f t="shared" si="8"/>
        <v>325.3355047</v>
      </c>
      <c r="G1291" s="22">
        <f t="shared" si="31"/>
        <v>21.68427557</v>
      </c>
      <c r="H1291" s="22">
        <f t="shared" si="32"/>
        <v>41.10771329</v>
      </c>
      <c r="I1291" s="22">
        <f t="shared" si="3"/>
        <v>0.9264406152</v>
      </c>
      <c r="J1291" s="22">
        <f t="shared" si="33"/>
        <v>0.07652399481</v>
      </c>
    </row>
    <row r="1292" ht="15.75" customHeight="1">
      <c r="A1292" s="25">
        <f>IFERROR(__xludf.DUMMYFUNCTION("""COMPUTED_VALUE"""),45191.66666666667)</f>
        <v>45191.66667</v>
      </c>
      <c r="B1292" s="22">
        <f>IFERROR(__xludf.DUMMYFUNCTION("""COMPUTED_VALUE"""),4320.06)</f>
        <v>4320.06</v>
      </c>
      <c r="C1292" s="22">
        <f t="shared" si="6"/>
        <v>4322.033188</v>
      </c>
      <c r="D1292" s="25">
        <f>IFERROR(__xludf.DUMMYFUNCTION("""COMPUTED_VALUE"""),45171.99861111111)</f>
        <v>45171.99861</v>
      </c>
      <c r="E1292" s="22">
        <f>IFERROR(__xludf.DUMMYFUNCTION("""COMPUTED_VALUE"""),1.0796)</f>
        <v>1.0796</v>
      </c>
      <c r="F1292" s="22">
        <f t="shared" si="8"/>
        <v>315.8755097</v>
      </c>
      <c r="G1292" s="22">
        <f t="shared" si="31"/>
        <v>19.48832001</v>
      </c>
      <c r="H1292" s="22">
        <f t="shared" si="32"/>
        <v>38.33672694</v>
      </c>
      <c r="I1292" s="22">
        <f t="shared" si="3"/>
        <v>0.9262689885</v>
      </c>
      <c r="J1292" s="22">
        <f t="shared" si="33"/>
        <v>0.07169321971</v>
      </c>
    </row>
    <row r="1293" ht="15.75" customHeight="1">
      <c r="A1293" s="25">
        <f>IFERROR(__xludf.DUMMYFUNCTION("""COMPUTED_VALUE"""),45198.66666666667)</f>
        <v>45198.66667</v>
      </c>
      <c r="B1293" s="22">
        <f>IFERROR(__xludf.DUMMYFUNCTION("""COMPUTED_VALUE"""),4288.05)</f>
        <v>4288.05</v>
      </c>
      <c r="C1293" s="22">
        <f t="shared" si="6"/>
        <v>4289.965433</v>
      </c>
      <c r="D1293" s="25">
        <f>IFERROR(__xludf.DUMMYFUNCTION("""COMPUTED_VALUE"""),45178.99861111111)</f>
        <v>45178.99861</v>
      </c>
      <c r="E1293" s="22">
        <f>IFERROR(__xludf.DUMMYFUNCTION("""COMPUTED_VALUE"""),1.0712)</f>
        <v>1.0712</v>
      </c>
      <c r="F1293" s="22">
        <f t="shared" si="8"/>
        <v>311.0923555</v>
      </c>
      <c r="G1293" s="22">
        <f t="shared" si="31"/>
        <v>15.89220194</v>
      </c>
      <c r="H1293" s="22">
        <f t="shared" si="32"/>
        <v>36.84972809</v>
      </c>
      <c r="I1293" s="22">
        <f t="shared" si="3"/>
        <v>0.9335324869</v>
      </c>
      <c r="J1293" s="22">
        <f t="shared" si="33"/>
        <v>0.0858849888</v>
      </c>
    </row>
    <row r="1294" ht="15.75" customHeight="1">
      <c r="A1294" s="25">
        <f>IFERROR(__xludf.DUMMYFUNCTION("""COMPUTED_VALUE"""),45205.66666666667)</f>
        <v>45205.66667</v>
      </c>
      <c r="B1294" s="22">
        <f>IFERROR(__xludf.DUMMYFUNCTION("""COMPUTED_VALUE"""),4308.5)</f>
        <v>4308.5</v>
      </c>
      <c r="C1294" s="22">
        <f t="shared" si="6"/>
        <v>4310.40124</v>
      </c>
      <c r="D1294" s="25">
        <f>IFERROR(__xludf.DUMMYFUNCTION("""COMPUTED_VALUE"""),45185.99861111111)</f>
        <v>45185.99861</v>
      </c>
      <c r="E1294" s="22">
        <f>IFERROR(__xludf.DUMMYFUNCTION("""COMPUTED_VALUE"""),1.0672)</f>
        <v>1.0672</v>
      </c>
      <c r="F1294" s="22">
        <f t="shared" si="8"/>
        <v>311.4070913</v>
      </c>
      <c r="G1294" s="22">
        <f t="shared" si="31"/>
        <v>11.70566326</v>
      </c>
      <c r="H1294" s="22">
        <f t="shared" si="32"/>
        <v>41.1986484</v>
      </c>
      <c r="I1294" s="22">
        <f t="shared" si="3"/>
        <v>0.9370314843</v>
      </c>
      <c r="J1294" s="22">
        <f t="shared" si="33"/>
        <v>0.1026986507</v>
      </c>
    </row>
    <row r="1295" ht="15.75" customHeight="1">
      <c r="A1295" s="25">
        <f>IFERROR(__xludf.DUMMYFUNCTION("""COMPUTED_VALUE"""),45212.66666666667)</f>
        <v>45212.66667</v>
      </c>
      <c r="B1295" s="22">
        <f>IFERROR(__xludf.DUMMYFUNCTION("""COMPUTED_VALUE"""),4327.78)</f>
        <v>4327.78</v>
      </c>
      <c r="C1295" s="22">
        <f t="shared" si="6"/>
        <v>4329.690307</v>
      </c>
      <c r="D1295" s="25">
        <f>IFERROR(__xludf.DUMMYFUNCTION("""COMPUTED_VALUE"""),45192.99861111111)</f>
        <v>45192.99861</v>
      </c>
      <c r="E1295" s="22">
        <f>IFERROR(__xludf.DUMMYFUNCTION("""COMPUTED_VALUE"""),1.0671)</f>
        <v>1.0671</v>
      </c>
      <c r="F1295" s="22">
        <f t="shared" si="8"/>
        <v>312.7713292</v>
      </c>
      <c r="G1295" s="22">
        <f t="shared" si="31"/>
        <v>14.00927995</v>
      </c>
      <c r="H1295" s="22">
        <f t="shared" si="32"/>
        <v>43.59251044</v>
      </c>
      <c r="I1295" s="22">
        <f t="shared" si="3"/>
        <v>0.9371192953</v>
      </c>
      <c r="J1295" s="22">
        <f t="shared" si="33"/>
        <v>0.08893262112</v>
      </c>
    </row>
    <row r="1296" ht="15.75" customHeight="1">
      <c r="A1296" s="25">
        <f>IFERROR(__xludf.DUMMYFUNCTION("""COMPUTED_VALUE"""),45219.66666666667)</f>
        <v>45219.66667</v>
      </c>
      <c r="B1296" s="22">
        <f>IFERROR(__xludf.DUMMYFUNCTION("""COMPUTED_VALUE"""),4224.16)</f>
        <v>4224.16</v>
      </c>
      <c r="C1296" s="22">
        <f t="shared" si="6"/>
        <v>4226.078856</v>
      </c>
      <c r="D1296" s="25">
        <f>IFERROR(__xludf.DUMMYFUNCTION("""COMPUTED_VALUE"""),45199.99861111111)</f>
        <v>45199.99861</v>
      </c>
      <c r="E1296" s="22">
        <f>IFERROR(__xludf.DUMMYFUNCTION("""COMPUTED_VALUE"""),1.0585)</f>
        <v>1.0585</v>
      </c>
      <c r="F1296" s="22">
        <f t="shared" si="8"/>
        <v>302.8261961</v>
      </c>
      <c r="G1296" s="22">
        <f t="shared" si="31"/>
        <v>10.13508245</v>
      </c>
      <c r="H1296" s="22">
        <f t="shared" si="32"/>
        <v>45.84561358</v>
      </c>
      <c r="I1296" s="22">
        <f t="shared" si="3"/>
        <v>0.9447331129</v>
      </c>
      <c r="J1296" s="22">
        <f t="shared" si="33"/>
        <v>0.08937175248</v>
      </c>
    </row>
    <row r="1297" ht="15.75" customHeight="1">
      <c r="A1297" s="25">
        <f>IFERROR(__xludf.DUMMYFUNCTION("""COMPUTED_VALUE"""),45226.66666666667)</f>
        <v>45226.66667</v>
      </c>
      <c r="B1297" s="22">
        <f>IFERROR(__xludf.DUMMYFUNCTION("""COMPUTED_VALUE"""),4117.37)</f>
        <v>4117.37</v>
      </c>
      <c r="C1297" s="22">
        <f t="shared" si="6"/>
        <v>4119.242913</v>
      </c>
      <c r="D1297" s="25">
        <f>IFERROR(__xludf.DUMMYFUNCTION("""COMPUTED_VALUE"""),45206.99861111111)</f>
        <v>45206.99861</v>
      </c>
      <c r="E1297" s="22">
        <f>IFERROR(__xludf.DUMMYFUNCTION("""COMPUTED_VALUE"""),1.06)</f>
        <v>1.06</v>
      </c>
      <c r="F1297" s="22">
        <f t="shared" si="8"/>
        <v>295.5889882</v>
      </c>
      <c r="G1297" s="22">
        <f t="shared" si="31"/>
        <v>12.86734658</v>
      </c>
      <c r="H1297" s="22">
        <f t="shared" si="32"/>
        <v>38.49437641</v>
      </c>
      <c r="I1297" s="22">
        <f t="shared" si="3"/>
        <v>0.9433962264</v>
      </c>
      <c r="J1297" s="22">
        <f t="shared" si="33"/>
        <v>0.09179245283</v>
      </c>
    </row>
    <row r="1298" ht="15.75" customHeight="1">
      <c r="A1298" s="25">
        <f>IFERROR(__xludf.DUMMYFUNCTION("""COMPUTED_VALUE"""),45233.66666666667)</f>
        <v>45233.66667</v>
      </c>
      <c r="B1298" s="22">
        <f>IFERROR(__xludf.DUMMYFUNCTION("""COMPUTED_VALUE"""),4358.34)</f>
        <v>4358.34</v>
      </c>
      <c r="C1298" s="22">
        <f t="shared" si="6"/>
        <v>4360.165564</v>
      </c>
      <c r="D1298" s="25">
        <f>IFERROR(__xludf.DUMMYFUNCTION("""COMPUTED_VALUE"""),45213.99861111111)</f>
        <v>45213.99861</v>
      </c>
      <c r="E1298" s="22">
        <f>IFERROR(__xludf.DUMMYFUNCTION("""COMPUTED_VALUE"""),1.0511)</f>
        <v>1.0511</v>
      </c>
      <c r="F1298" s="22">
        <f t="shared" si="8"/>
        <v>310.2501493</v>
      </c>
      <c r="G1298" s="22">
        <f t="shared" si="31"/>
        <v>11.48049306</v>
      </c>
      <c r="H1298" s="22">
        <f t="shared" si="32"/>
        <v>42.89005184</v>
      </c>
      <c r="I1298" s="22">
        <f t="shared" si="3"/>
        <v>0.9513842641</v>
      </c>
      <c r="J1298" s="22">
        <f t="shared" si="33"/>
        <v>0.09675577966</v>
      </c>
    </row>
    <row r="1299" ht="15.75" customHeight="1">
      <c r="A1299" s="25">
        <f>IFERROR(__xludf.DUMMYFUNCTION("""COMPUTED_VALUE"""),45240.66666666667)</f>
        <v>45240.66667</v>
      </c>
      <c r="B1299" s="22">
        <f>IFERROR(__xludf.DUMMYFUNCTION("""COMPUTED_VALUE"""),4415.24)</f>
        <v>4415.24</v>
      </c>
      <c r="C1299" s="22">
        <f t="shared" si="6"/>
        <v>4417.172405</v>
      </c>
      <c r="D1299" s="25">
        <f>IFERROR(__xludf.DUMMYFUNCTION("""COMPUTED_VALUE"""),45220.99861111111)</f>
        <v>45220.99861</v>
      </c>
      <c r="E1299" s="22">
        <f>IFERROR(__xludf.DUMMYFUNCTION("""COMPUTED_VALUE"""),1.0603)</f>
        <v>1.0603</v>
      </c>
      <c r="F1299" s="22">
        <f t="shared" si="8"/>
        <v>317.0575463</v>
      </c>
      <c r="G1299" s="22">
        <f t="shared" si="31"/>
        <v>10.15521944</v>
      </c>
      <c r="H1299" s="22">
        <f t="shared" si="32"/>
        <v>49.77465358</v>
      </c>
      <c r="I1299" s="22">
        <f t="shared" si="3"/>
        <v>0.943129303</v>
      </c>
      <c r="J1299" s="22">
        <f t="shared" si="33"/>
        <v>0.07733660285</v>
      </c>
    </row>
    <row r="1300" ht="15.75" customHeight="1">
      <c r="A1300" s="25">
        <f>IFERROR(__xludf.DUMMYFUNCTION("""COMPUTED_VALUE"""),45247.66666666667)</f>
        <v>45247.66667</v>
      </c>
      <c r="B1300" s="22">
        <f>IFERROR(__xludf.DUMMYFUNCTION("""COMPUTED_VALUE"""),4514.02)</f>
        <v>4514.02</v>
      </c>
      <c r="C1300" s="22">
        <f t="shared" si="6"/>
        <v>4515.977634</v>
      </c>
      <c r="D1300" s="25">
        <f>IFERROR(__xludf.DUMMYFUNCTION("""COMPUTED_VALUE"""),45227.99861111111)</f>
        <v>45227.99861</v>
      </c>
      <c r="E1300" s="22">
        <f>IFERROR(__xludf.DUMMYFUNCTION("""COMPUTED_VALUE"""),1.0578)</f>
        <v>1.0578</v>
      </c>
      <c r="F1300" s="22">
        <f t="shared" si="8"/>
        <v>323.3853395</v>
      </c>
      <c r="G1300" s="22">
        <f t="shared" si="31"/>
        <v>14.96209112</v>
      </c>
      <c r="H1300" s="22">
        <f t="shared" si="32"/>
        <v>59.29633711</v>
      </c>
      <c r="I1300" s="22">
        <f t="shared" si="3"/>
        <v>0.9453582908</v>
      </c>
      <c r="J1300" s="22">
        <f t="shared" si="33"/>
        <v>0.0763849499</v>
      </c>
    </row>
    <row r="1301" ht="15.75" customHeight="1">
      <c r="A1301" s="25">
        <f>IFERROR(__xludf.DUMMYFUNCTION("""COMPUTED_VALUE"""),45254.54166666667)</f>
        <v>45254.54167</v>
      </c>
      <c r="B1301" s="22">
        <f>IFERROR(__xludf.DUMMYFUNCTION("""COMPUTED_VALUE"""),4559.34)</f>
        <v>4559.34</v>
      </c>
      <c r="C1301" s="22">
        <f t="shared" si="6"/>
        <v>4561.341431</v>
      </c>
      <c r="D1301" s="25">
        <f>IFERROR(__xludf.DUMMYFUNCTION("""COMPUTED_VALUE"""),45234.99861111111)</f>
        <v>45234.99861</v>
      </c>
      <c r="E1301" s="22">
        <f>IFERROR(__xludf.DUMMYFUNCTION("""COMPUTED_VALUE"""),1.0735)</f>
        <v>1.0735</v>
      </c>
      <c r="F1301" s="22">
        <f t="shared" si="8"/>
        <v>331.4817424</v>
      </c>
      <c r="G1301" s="22">
        <f t="shared" si="31"/>
        <v>13.31255378</v>
      </c>
      <c r="H1301" s="22">
        <f t="shared" si="32"/>
        <v>56.42830713</v>
      </c>
      <c r="I1301" s="22">
        <f t="shared" si="3"/>
        <v>0.9315323707</v>
      </c>
      <c r="J1301" s="22">
        <f t="shared" si="33"/>
        <v>0.05598509548</v>
      </c>
    </row>
    <row r="1302" ht="15.75" customHeight="1">
      <c r="A1302" s="25">
        <f>IFERROR(__xludf.DUMMYFUNCTION("""COMPUTED_VALUE"""),45261.66666666667)</f>
        <v>45261.66667</v>
      </c>
      <c r="B1302" s="22">
        <f>IFERROR(__xludf.DUMMYFUNCTION("""COMPUTED_VALUE"""),4594.63)</f>
        <v>4594.63</v>
      </c>
      <c r="C1302" s="22">
        <f t="shared" si="6"/>
        <v>4596.651525</v>
      </c>
      <c r="D1302" s="25">
        <f>IFERROR(__xludf.DUMMYFUNCTION("""COMPUTED_VALUE"""),45241.99861111111)</f>
        <v>45241.99861</v>
      </c>
      <c r="E1302" s="22">
        <f>IFERROR(__xludf.DUMMYFUNCTION("""COMPUTED_VALUE"""),1.0714)</f>
        <v>1.0714</v>
      </c>
      <c r="F1302" s="22">
        <f t="shared" si="8"/>
        <v>333.3943268</v>
      </c>
      <c r="G1302" s="22">
        <f t="shared" si="31"/>
        <v>12.51553584</v>
      </c>
      <c r="H1302" s="22">
        <f t="shared" si="32"/>
        <v>63.71907808</v>
      </c>
      <c r="I1302" s="22">
        <f t="shared" si="3"/>
        <v>0.9333582229</v>
      </c>
      <c r="J1302" s="22">
        <f t="shared" si="33"/>
        <v>0.06580175471</v>
      </c>
    </row>
    <row r="1303" ht="15.75" customHeight="1">
      <c r="A1303" s="25">
        <f>IFERROR(__xludf.DUMMYFUNCTION("""COMPUTED_VALUE"""),45268.66666666667)</f>
        <v>45268.66667</v>
      </c>
      <c r="B1303" s="22">
        <f>IFERROR(__xludf.DUMMYFUNCTION("""COMPUTED_VALUE"""),4604.37)</f>
        <v>4604.37</v>
      </c>
      <c r="C1303" s="22">
        <f t="shared" si="6"/>
        <v>4606.407172</v>
      </c>
      <c r="D1303" s="25">
        <f>IFERROR(__xludf.DUMMYFUNCTION("""COMPUTED_VALUE"""),45248.99861111111)</f>
        <v>45248.99861</v>
      </c>
      <c r="E1303" s="22">
        <f>IFERROR(__xludf.DUMMYFUNCTION("""COMPUTED_VALUE"""),1.0916)</f>
        <v>1.0916</v>
      </c>
      <c r="F1303" s="22">
        <f t="shared" si="8"/>
        <v>340.4010046</v>
      </c>
      <c r="G1303" s="22">
        <f t="shared" si="31"/>
        <v>15.75143393</v>
      </c>
      <c r="H1303" s="22">
        <f t="shared" si="32"/>
        <v>70.42682555</v>
      </c>
      <c r="I1303" s="22">
        <f t="shared" si="3"/>
        <v>0.9160864786</v>
      </c>
      <c r="J1303" s="22">
        <f t="shared" si="33"/>
        <v>0.03911689263</v>
      </c>
    </row>
    <row r="1304" ht="15.75" customHeight="1">
      <c r="A1304" s="25">
        <f>IFERROR(__xludf.DUMMYFUNCTION("""COMPUTED_VALUE"""),45275.66666666667)</f>
        <v>45275.66667</v>
      </c>
      <c r="B1304" s="22">
        <f>IFERROR(__xludf.DUMMYFUNCTION("""COMPUTED_VALUE"""),4719.19)</f>
        <v>4719.19</v>
      </c>
      <c r="C1304" s="22">
        <f t="shared" si="6"/>
        <v>4721.231491</v>
      </c>
      <c r="D1304" s="25">
        <f>IFERROR(__xludf.DUMMYFUNCTION("""COMPUTED_VALUE"""),45255.99861111111)</f>
        <v>45255.99861</v>
      </c>
      <c r="E1304" s="22">
        <f>IFERROR(__xludf.DUMMYFUNCTION("""COMPUTED_VALUE"""),1.0948)</f>
        <v>1.0948</v>
      </c>
      <c r="F1304" s="22">
        <f t="shared" si="8"/>
        <v>349.9089624</v>
      </c>
      <c r="G1304" s="22">
        <f t="shared" si="31"/>
        <v>16.43708287</v>
      </c>
      <c r="H1304" s="22">
        <f t="shared" si="32"/>
        <v>88.85486426</v>
      </c>
      <c r="I1304" s="22">
        <f t="shared" si="3"/>
        <v>0.9134088418</v>
      </c>
      <c r="J1304" s="22">
        <f t="shared" si="33"/>
        <v>0.03397880891</v>
      </c>
    </row>
    <row r="1305" ht="15.75" customHeight="1">
      <c r="A1305" s="25">
        <f>IFERROR(__xludf.DUMMYFUNCTION("""COMPUTED_VALUE"""),45282.66666666667)</f>
        <v>45282.66667</v>
      </c>
      <c r="B1305" s="22">
        <f>IFERROR(__xludf.DUMMYFUNCTION("""COMPUTED_VALUE"""),4754.63)</f>
        <v>4754.63</v>
      </c>
      <c r="C1305" s="22">
        <f t="shared" si="6"/>
        <v>4756.7224</v>
      </c>
      <c r="D1305" s="25">
        <f>IFERROR(__xludf.DUMMYFUNCTION("""COMPUTED_VALUE"""),45262.99861111111)</f>
        <v>45262.99861</v>
      </c>
      <c r="E1305" s="22">
        <f>IFERROR(__xludf.DUMMYFUNCTION("""COMPUTED_VALUE"""),1.0891)</f>
        <v>1.0891</v>
      </c>
      <c r="F1305" s="22">
        <f t="shared" si="8"/>
        <v>350.7038612</v>
      </c>
      <c r="G1305" s="22">
        <f t="shared" si="31"/>
        <v>15.78488665</v>
      </c>
      <c r="H1305" s="22">
        <f t="shared" si="32"/>
        <v>83.09090499</v>
      </c>
      <c r="I1305" s="22">
        <f t="shared" si="3"/>
        <v>0.9181893306</v>
      </c>
      <c r="J1305" s="22">
        <f t="shared" si="33"/>
        <v>0.0447158204</v>
      </c>
    </row>
    <row r="1306" ht="15.75" customHeight="1">
      <c r="A1306" s="25">
        <f>IFERROR(__xludf.DUMMYFUNCTION("""COMPUTED_VALUE"""),45289.66666666667)</f>
        <v>45289.66667</v>
      </c>
      <c r="B1306" s="22">
        <f>IFERROR(__xludf.DUMMYFUNCTION("""COMPUTED_VALUE"""),4769.83)</f>
        <v>4769.83</v>
      </c>
      <c r="C1306" s="22">
        <f t="shared" si="6"/>
        <v>4771.938113</v>
      </c>
      <c r="D1306" s="25">
        <f>IFERROR(__xludf.DUMMYFUNCTION("""COMPUTED_VALUE"""),45269.99861111111)</f>
        <v>45269.99861</v>
      </c>
      <c r="E1306" s="22">
        <f>IFERROR(__xludf.DUMMYFUNCTION("""COMPUTED_VALUE"""),1.0772)</f>
        <v>1.0772</v>
      </c>
      <c r="F1306" s="22">
        <f t="shared" si="8"/>
        <v>347.9814792</v>
      </c>
      <c r="G1306" s="22">
        <f t="shared" si="31"/>
        <v>12.93189682</v>
      </c>
      <c r="H1306" s="22">
        <f t="shared" si="32"/>
        <v>79.44217731</v>
      </c>
      <c r="I1306" s="22">
        <f t="shared" si="3"/>
        <v>0.9283327144</v>
      </c>
      <c r="J1306" s="22">
        <f t="shared" si="33"/>
        <v>0.04985146677</v>
      </c>
    </row>
    <row r="1307" ht="15.75" customHeight="1">
      <c r="A1307" s="25">
        <f>IFERROR(__xludf.DUMMYFUNCTION("""COMPUTED_VALUE"""),45296.66666666667)</f>
        <v>45296.66667</v>
      </c>
      <c r="B1307" s="22">
        <f>IFERROR(__xludf.DUMMYFUNCTION("""COMPUTED_VALUE"""),4697.24)</f>
        <v>4697.24</v>
      </c>
      <c r="C1307" s="22">
        <f t="shared" si="6"/>
        <v>4699.354852</v>
      </c>
      <c r="D1307" s="25">
        <f>IFERROR(__xludf.DUMMYFUNCTION("""COMPUTED_VALUE"""),45276.99861111111)</f>
        <v>45276.99861</v>
      </c>
      <c r="E1307" s="22">
        <f>IFERROR(__xludf.DUMMYFUNCTION("""COMPUTED_VALUE"""),1.0907)</f>
        <v>1.0907</v>
      </c>
      <c r="F1307" s="22">
        <f t="shared" si="8"/>
        <v>346.9832702</v>
      </c>
      <c r="G1307" s="22">
        <f t="shared" si="31"/>
        <v>9.309196503</v>
      </c>
      <c r="H1307" s="22">
        <f t="shared" si="32"/>
        <v>73.37602548</v>
      </c>
      <c r="I1307" s="22">
        <f t="shared" si="3"/>
        <v>0.9168423948</v>
      </c>
      <c r="J1307" s="22">
        <f t="shared" si="33"/>
        <v>0.04355001375</v>
      </c>
    </row>
    <row r="1308" ht="15.75" customHeight="1">
      <c r="A1308" s="25">
        <f>IFERROR(__xludf.DUMMYFUNCTION("""COMPUTED_VALUE"""),45303.66666666667)</f>
        <v>45303.66667</v>
      </c>
      <c r="B1308" s="22">
        <f>IFERROR(__xludf.DUMMYFUNCTION("""COMPUTED_VALUE"""),4783.83)</f>
        <v>4783.83</v>
      </c>
      <c r="C1308" s="22">
        <f t="shared" si="6"/>
        <v>4785.912667</v>
      </c>
      <c r="D1308" s="25">
        <f>IFERROR(__xludf.DUMMYFUNCTION("""COMPUTED_VALUE"""),45283.99861111111)</f>
        <v>45283.99861</v>
      </c>
      <c r="E1308" s="22">
        <f>IFERROR(__xludf.DUMMYFUNCTION("""COMPUTED_VALUE"""),1.1025)</f>
        <v>1.1025</v>
      </c>
      <c r="F1308" s="22">
        <f t="shared" si="8"/>
        <v>357.1974501</v>
      </c>
      <c r="G1308" s="22">
        <f t="shared" si="31"/>
        <v>15.18508345</v>
      </c>
      <c r="H1308" s="22">
        <f t="shared" si="32"/>
        <v>72.63999915</v>
      </c>
      <c r="I1308" s="22">
        <f t="shared" si="3"/>
        <v>0.9070294785</v>
      </c>
      <c r="J1308" s="22">
        <f t="shared" si="33"/>
        <v>0.03755102041</v>
      </c>
    </row>
    <row r="1309" ht="15.75" customHeight="1">
      <c r="A1309" s="25">
        <f>IFERROR(__xludf.DUMMYFUNCTION("""COMPUTED_VALUE"""),45310.66666666667)</f>
        <v>45310.66667</v>
      </c>
      <c r="B1309" s="22">
        <f>IFERROR(__xludf.DUMMYFUNCTION("""COMPUTED_VALUE"""),4839.81)</f>
        <v>4839.81</v>
      </c>
      <c r="C1309" s="22">
        <f t="shared" si="6"/>
        <v>4841.93106</v>
      </c>
      <c r="D1309" s="25">
        <f>IFERROR(__xludf.DUMMYFUNCTION("""COMPUTED_VALUE"""),45290.99861111111)</f>
        <v>45290.99861</v>
      </c>
      <c r="E1309" s="22">
        <f>IFERROR(__xludf.DUMMYFUNCTION("""COMPUTED_VALUE"""),1.1054)</f>
        <v>1.1054</v>
      </c>
      <c r="F1309" s="22">
        <f t="shared" si="8"/>
        <v>362.3289574</v>
      </c>
      <c r="G1309" s="22">
        <f t="shared" si="31"/>
        <v>15.95242451</v>
      </c>
      <c r="H1309" s="22">
        <f t="shared" si="32"/>
        <v>76.20198678</v>
      </c>
      <c r="I1309" s="22">
        <f t="shared" si="3"/>
        <v>0.9046499005</v>
      </c>
      <c r="J1309" s="22">
        <f t="shared" si="33"/>
        <v>0.03075809662</v>
      </c>
    </row>
    <row r="1310" ht="15.75" customHeight="1">
      <c r="A1310" s="25">
        <f>IFERROR(__xludf.DUMMYFUNCTION("""COMPUTED_VALUE"""),45317.66666666667)</f>
        <v>45317.66667</v>
      </c>
      <c r="B1310" s="22">
        <f>IFERROR(__xludf.DUMMYFUNCTION("""COMPUTED_VALUE"""),4890.97)</f>
        <v>4890.97</v>
      </c>
      <c r="C1310" s="22">
        <f t="shared" si="6"/>
        <v>4893.11588</v>
      </c>
      <c r="D1310" s="25">
        <f>IFERROR(__xludf.DUMMYFUNCTION("""COMPUTED_VALUE"""),45297.99861111111)</f>
        <v>45297.99861</v>
      </c>
      <c r="E1310" s="22">
        <f>IFERROR(__xludf.DUMMYFUNCTION("""COMPUTED_VALUE"""),1.0956)</f>
        <v>1.0956</v>
      </c>
      <c r="F1310" s="22">
        <f t="shared" si="8"/>
        <v>362.9129846</v>
      </c>
      <c r="G1310" s="22">
        <f t="shared" si="31"/>
        <v>18.04883606</v>
      </c>
      <c r="H1310" s="22">
        <f t="shared" si="32"/>
        <v>72.64239419</v>
      </c>
      <c r="I1310" s="22">
        <f t="shared" si="3"/>
        <v>0.9127418766</v>
      </c>
      <c r="J1310" s="22">
        <f t="shared" si="33"/>
        <v>0.04673238408</v>
      </c>
    </row>
    <row r="1311" ht="15.75" customHeight="1">
      <c r="A1311" s="25">
        <f>IFERROR(__xludf.DUMMYFUNCTION("""COMPUTED_VALUE"""),45324.66666666667)</f>
        <v>45324.66667</v>
      </c>
      <c r="B1311" s="22">
        <f>IFERROR(__xludf.DUMMYFUNCTION("""COMPUTED_VALUE"""),4958.61)</f>
        <v>4958.61</v>
      </c>
      <c r="C1311" s="22">
        <f t="shared" si="6"/>
        <v>4960.778564</v>
      </c>
      <c r="D1311" s="25">
        <f>IFERROR(__xludf.DUMMYFUNCTION("""COMPUTED_VALUE"""),45304.99861111111)</f>
        <v>45304.99861</v>
      </c>
      <c r="E1311" s="22">
        <f>IFERROR(__xludf.DUMMYFUNCTION("""COMPUTED_VALUE"""),1.0964)</f>
        <v>1.0964</v>
      </c>
      <c r="F1311" s="22">
        <f t="shared" si="8"/>
        <v>368.2000566</v>
      </c>
      <c r="G1311" s="22">
        <f t="shared" si="31"/>
        <v>15.83831039</v>
      </c>
      <c r="H1311" s="22">
        <f t="shared" si="32"/>
        <v>76.68676854</v>
      </c>
      <c r="I1311" s="22">
        <f t="shared" si="3"/>
        <v>0.9120758847</v>
      </c>
      <c r="J1311" s="22">
        <f t="shared" si="33"/>
        <v>0.0363918278</v>
      </c>
    </row>
    <row r="1312" ht="15.75" customHeight="1">
      <c r="A1312" s="25">
        <f>IFERROR(__xludf.DUMMYFUNCTION("""COMPUTED_VALUE"""),45331.66666666667)</f>
        <v>45331.66667</v>
      </c>
      <c r="B1312" s="22">
        <f>IFERROR(__xludf.DUMMYFUNCTION("""COMPUTED_VALUE"""),5026.61)</f>
        <v>5026.61</v>
      </c>
      <c r="C1312" s="22">
        <f t="shared" si="6"/>
        <v>5028.808554</v>
      </c>
      <c r="D1312" s="25">
        <f>IFERROR(__xludf.DUMMYFUNCTION("""COMPUTED_VALUE"""),45311.99861111111)</f>
        <v>45311.99861</v>
      </c>
      <c r="E1312" s="22">
        <f>IFERROR(__xludf.DUMMYFUNCTION("""COMPUTED_VALUE"""),1.0913)</f>
        <v>1.0913</v>
      </c>
      <c r="F1312" s="22">
        <f t="shared" si="8"/>
        <v>371.5131923</v>
      </c>
      <c r="G1312" s="22">
        <f t="shared" si="31"/>
        <v>15.08720898</v>
      </c>
      <c r="H1312" s="22">
        <f t="shared" si="32"/>
        <v>73.27311872</v>
      </c>
      <c r="I1312" s="22">
        <f t="shared" si="3"/>
        <v>0.9163383121</v>
      </c>
      <c r="J1312" s="22">
        <f t="shared" si="33"/>
        <v>0.04517547879</v>
      </c>
    </row>
    <row r="1313" ht="15.75" customHeight="1">
      <c r="A1313" s="25">
        <f>IFERROR(__xludf.DUMMYFUNCTION("""COMPUTED_VALUE"""),45338.66666666667)</f>
        <v>45338.66667</v>
      </c>
      <c r="B1313" s="22">
        <f>IFERROR(__xludf.DUMMYFUNCTION("""COMPUTED_VALUE"""),5005.57)</f>
        <v>5005.57</v>
      </c>
      <c r="C1313" s="22">
        <f t="shared" si="6"/>
        <v>5007.798704</v>
      </c>
      <c r="D1313" s="25">
        <f>IFERROR(__xludf.DUMMYFUNCTION("""COMPUTED_VALUE"""),45318.99861111111)</f>
        <v>45318.99861</v>
      </c>
      <c r="E1313" s="22">
        <f>IFERROR(__xludf.DUMMYFUNCTION("""COMPUTED_VALUE"""),1.0862)</f>
        <v>1.0862</v>
      </c>
      <c r="F1313" s="22">
        <f t="shared" si="8"/>
        <v>368.2320997</v>
      </c>
      <c r="G1313" s="22">
        <f t="shared" si="31"/>
        <v>14.67691976</v>
      </c>
      <c r="H1313" s="22">
        <f t="shared" si="32"/>
        <v>69.94668532</v>
      </c>
      <c r="I1313" s="22">
        <f t="shared" si="3"/>
        <v>0.920640766</v>
      </c>
      <c r="J1313" s="22">
        <f t="shared" si="33"/>
        <v>0.0546860615</v>
      </c>
    </row>
    <row r="1314" ht="15.75" customHeight="1">
      <c r="A1314" s="25">
        <f>IFERROR(__xludf.DUMMYFUNCTION("""COMPUTED_VALUE"""),45345.66666666667)</f>
        <v>45345.66667</v>
      </c>
      <c r="B1314" s="22">
        <f>IFERROR(__xludf.DUMMYFUNCTION("""COMPUTED_VALUE"""),5088.8)</f>
        <v>5088.8</v>
      </c>
      <c r="C1314" s="22">
        <f t="shared" si="6"/>
        <v>5091.019375</v>
      </c>
      <c r="D1314" s="25">
        <f>IFERROR(__xludf.DUMMYFUNCTION("""COMPUTED_VALUE"""),45325.99861111111)</f>
        <v>45325.99861</v>
      </c>
      <c r="E1314" s="22">
        <f>IFERROR(__xludf.DUMMYFUNCTION("""COMPUTED_VALUE"""),1.0805)</f>
        <v>1.0805</v>
      </c>
      <c r="F1314" s="22">
        <f t="shared" si="8"/>
        <v>372.3869932</v>
      </c>
      <c r="G1314" s="22">
        <f t="shared" si="31"/>
        <v>19.82461538</v>
      </c>
      <c r="H1314" s="22">
        <f t="shared" si="32"/>
        <v>73.10762296</v>
      </c>
      <c r="I1314" s="22">
        <f t="shared" si="3"/>
        <v>0.9254974549</v>
      </c>
      <c r="J1314" s="22">
        <f t="shared" si="33"/>
        <v>0.04849606664</v>
      </c>
    </row>
    <row r="1315" ht="15.75" customHeight="1">
      <c r="A1315" s="25">
        <f>IFERROR(__xludf.DUMMYFUNCTION("""COMPUTED_VALUE"""),45352.66666666667)</f>
        <v>45352.66667</v>
      </c>
      <c r="B1315" s="22">
        <f>IFERROR(__xludf.DUMMYFUNCTION("""COMPUTED_VALUE"""),5137.08)</f>
        <v>5137.08</v>
      </c>
      <c r="C1315" s="22">
        <f t="shared" si="6"/>
        <v>5139.336278</v>
      </c>
      <c r="D1315" s="25">
        <f>IFERROR(__xludf.DUMMYFUNCTION("""COMPUTED_VALUE"""),45332.99861111111)</f>
        <v>45332.99861</v>
      </c>
      <c r="E1315" s="22">
        <f>IFERROR(__xludf.DUMMYFUNCTION("""COMPUTED_VALUE"""),1.0759)</f>
        <v>1.0759</v>
      </c>
      <c r="F1315" s="22">
        <f t="shared" si="8"/>
        <v>374.3207698</v>
      </c>
      <c r="G1315" s="22">
        <f t="shared" si="31"/>
        <v>18.70543574</v>
      </c>
      <c r="H1315" s="22">
        <f t="shared" si="32"/>
        <v>78.38529399</v>
      </c>
      <c r="I1315" s="22">
        <f t="shared" si="3"/>
        <v>0.9294544103</v>
      </c>
      <c r="J1315" s="22">
        <f t="shared" si="33"/>
        <v>0.04981875639</v>
      </c>
    </row>
    <row r="1316" ht="15.75" customHeight="1">
      <c r="A1316" s="25">
        <f>IFERROR(__xludf.DUMMYFUNCTION("""COMPUTED_VALUE"""),45359.66666666667)</f>
        <v>45359.66667</v>
      </c>
      <c r="B1316" s="22">
        <f>IFERROR(__xludf.DUMMYFUNCTION("""COMPUTED_VALUE"""),5123.69)</f>
        <v>5123.69</v>
      </c>
      <c r="C1316" s="22">
        <f t="shared" si="6"/>
        <v>5125.967684</v>
      </c>
      <c r="D1316" s="25">
        <f>IFERROR(__xludf.DUMMYFUNCTION("""COMPUTED_VALUE"""),45339.99861111111)</f>
        <v>45339.99861</v>
      </c>
      <c r="E1316" s="22">
        <f>IFERROR(__xludf.DUMMYFUNCTION("""COMPUTED_VALUE"""),1.07734)</f>
        <v>1.07734</v>
      </c>
      <c r="F1316" s="22">
        <f t="shared" si="8"/>
        <v>373.8467687</v>
      </c>
      <c r="G1316" s="22">
        <f t="shared" si="31"/>
        <v>15.50747046</v>
      </c>
      <c r="H1316" s="22">
        <f t="shared" si="32"/>
        <v>72.46366894</v>
      </c>
      <c r="I1316" s="22">
        <f t="shared" si="3"/>
        <v>0.9282120779</v>
      </c>
      <c r="J1316" s="22">
        <f t="shared" si="33"/>
        <v>0.05259249633</v>
      </c>
    </row>
    <row r="1317" ht="15.75" customHeight="1">
      <c r="A1317" s="25">
        <f>IFERROR(__xludf.DUMMYFUNCTION("""COMPUTED_VALUE"""),45366.66666666667)</f>
        <v>45366.66667</v>
      </c>
      <c r="B1317" s="22">
        <f>IFERROR(__xludf.DUMMYFUNCTION("""COMPUTED_VALUE"""),5117.09)</f>
        <v>5117.09</v>
      </c>
      <c r="C1317" s="22">
        <f t="shared" si="6"/>
        <v>5119.361747</v>
      </c>
      <c r="D1317" s="25">
        <f>IFERROR(__xludf.DUMMYFUNCTION("""COMPUTED_VALUE"""),45346.99861111111)</f>
        <v>45346.99861</v>
      </c>
      <c r="E1317" s="22">
        <f>IFERROR(__xludf.DUMMYFUNCTION("""COMPUTED_VALUE"""),1.0835)</f>
        <v>1.0835</v>
      </c>
      <c r="F1317" s="22">
        <f t="shared" si="8"/>
        <v>375.4998061</v>
      </c>
      <c r="G1317" s="22">
        <f t="shared" si="31"/>
        <v>17.39254187</v>
      </c>
      <c r="H1317" s="22">
        <f t="shared" si="32"/>
        <v>74.01752913</v>
      </c>
      <c r="I1317" s="22">
        <f t="shared" si="3"/>
        <v>0.9229349331</v>
      </c>
      <c r="J1317" s="22">
        <f t="shared" si="33"/>
        <v>0.04993077988</v>
      </c>
    </row>
    <row r="1318" ht="15.75" customHeight="1">
      <c r="A1318" s="25">
        <f>IFERROR(__xludf.DUMMYFUNCTION("""COMPUTED_VALUE"""),45373.66666666667)</f>
        <v>45373.66667</v>
      </c>
      <c r="B1318" s="22">
        <f>IFERROR(__xludf.DUMMYFUNCTION("""COMPUTED_VALUE"""),5234.18)</f>
        <v>5234.18</v>
      </c>
      <c r="C1318" s="22">
        <f t="shared" si="6"/>
        <v>5236.448821</v>
      </c>
      <c r="D1318" s="25">
        <f>IFERROR(__xludf.DUMMYFUNCTION("""COMPUTED_VALUE"""),45353.99861111111)</f>
        <v>45353.99861</v>
      </c>
      <c r="E1318" s="22">
        <f>IFERROR(__xludf.DUMMYFUNCTION("""COMPUTED_VALUE"""),1.0853)</f>
        <v>1.0853</v>
      </c>
      <c r="F1318" s="22">
        <f t="shared" si="8"/>
        <v>384.7260988</v>
      </c>
      <c r="G1318" s="22">
        <f t="shared" si="31"/>
        <v>20.01685791</v>
      </c>
      <c r="H1318" s="22">
        <f t="shared" si="32"/>
        <v>78.33897724</v>
      </c>
      <c r="I1318" s="22">
        <f t="shared" si="3"/>
        <v>0.92140422</v>
      </c>
      <c r="J1318" s="22">
        <f t="shared" si="33"/>
        <v>0.03547406247</v>
      </c>
    </row>
    <row r="1319" ht="15.75" customHeight="1">
      <c r="A1319" s="25">
        <f>IFERROR(__xludf.DUMMYFUNCTION("""COMPUTED_VALUE"""),45379.66666666667)</f>
        <v>45379.66667</v>
      </c>
      <c r="B1319" s="22">
        <f>IFERROR(__xludf.DUMMYFUNCTION("""COMPUTED_VALUE"""),5254.35)</f>
        <v>5254.35</v>
      </c>
      <c r="C1319" s="22">
        <f t="shared" si="6"/>
        <v>5256.670736</v>
      </c>
      <c r="D1319" s="25">
        <f>IFERROR(__xludf.DUMMYFUNCTION("""COMPUTED_VALUE"""),45360.99861111111)</f>
        <v>45360.99861</v>
      </c>
      <c r="E1319" s="22">
        <f>IFERROR(__xludf.DUMMYFUNCTION("""COMPUTED_VALUE"""),1.0942)</f>
        <v>1.0942</v>
      </c>
      <c r="F1319" s="22">
        <f t="shared" si="8"/>
        <v>389.3789483</v>
      </c>
      <c r="G1319" s="22">
        <f t="shared" si="31"/>
        <v>19.66128069</v>
      </c>
      <c r="H1319" s="22">
        <f t="shared" si="32"/>
        <v>75.23457833</v>
      </c>
      <c r="I1319" s="22">
        <f t="shared" si="3"/>
        <v>0.9139097057</v>
      </c>
      <c r="J1319" s="22">
        <f t="shared" si="33"/>
        <v>0.03655638823</v>
      </c>
    </row>
    <row r="1320" ht="15.75" customHeight="1">
      <c r="A1320" s="25">
        <f>IFERROR(__xludf.DUMMYFUNCTION("""COMPUTED_VALUE"""),45387.66666666667)</f>
        <v>45387.66667</v>
      </c>
      <c r="B1320" s="22">
        <f>IFERROR(__xludf.DUMMYFUNCTION("""COMPUTED_VALUE"""),5204.34)</f>
        <v>5204.34</v>
      </c>
      <c r="C1320" s="22">
        <f t="shared" si="6"/>
        <v>5206.669679</v>
      </c>
      <c r="D1320" s="25">
        <f>IFERROR(__xludf.DUMMYFUNCTION("""COMPUTED_VALUE"""),45367.99861111111)</f>
        <v>45367.99861</v>
      </c>
      <c r="E1320" s="22">
        <f>IFERROR(__xludf.DUMMYFUNCTION("""COMPUTED_VALUE"""),1.0896)</f>
        <v>1.0896</v>
      </c>
      <c r="F1320" s="22">
        <f t="shared" si="8"/>
        <v>384.0538323</v>
      </c>
      <c r="G1320" s="22">
        <f t="shared" si="31"/>
        <v>14.97232847</v>
      </c>
      <c r="H1320" s="22">
        <f t="shared" si="32"/>
        <v>72.4056561</v>
      </c>
      <c r="I1320" s="22">
        <f t="shared" si="3"/>
        <v>0.9177679883</v>
      </c>
      <c r="J1320" s="22">
        <f t="shared" si="33"/>
        <v>0.03827092511</v>
      </c>
    </row>
    <row r="1321" ht="15.75" customHeight="1">
      <c r="A1321" s="25">
        <f>IFERROR(__xludf.DUMMYFUNCTION("""COMPUTED_VALUE"""),45394.66666666667)</f>
        <v>45394.66667</v>
      </c>
      <c r="B1321" s="22">
        <f>IFERROR(__xludf.DUMMYFUNCTION("""COMPUTED_VALUE"""),5123.41)</f>
        <v>5123.41</v>
      </c>
      <c r="C1321" s="22">
        <f t="shared" si="6"/>
        <v>5125.717506</v>
      </c>
      <c r="D1321" s="25">
        <f>IFERROR(__xludf.DUMMYFUNCTION("""COMPUTED_VALUE"""),45374.99861111111)</f>
        <v>45374.99861</v>
      </c>
      <c r="E1321" s="22">
        <f>IFERROR(__xludf.DUMMYFUNCTION("""COMPUTED_VALUE"""),1.0861)</f>
        <v>1.0861</v>
      </c>
      <c r="F1321" s="22">
        <f t="shared" si="8"/>
        <v>376.8681739</v>
      </c>
      <c r="G1321" s="22">
        <f t="shared" si="31"/>
        <v>12.46033768</v>
      </c>
      <c r="H1321" s="22">
        <f t="shared" si="32"/>
        <v>70.56952105</v>
      </c>
      <c r="I1321" s="22">
        <f t="shared" si="3"/>
        <v>0.9207255317</v>
      </c>
      <c r="J1321" s="22">
        <f t="shared" si="33"/>
        <v>0.03397477212</v>
      </c>
    </row>
    <row r="1322" ht="15.75" customHeight="1">
      <c r="A1322" s="25">
        <f>IFERROR(__xludf.DUMMYFUNCTION("""COMPUTED_VALUE"""),45401.66666666667)</f>
        <v>45401.66667</v>
      </c>
      <c r="B1322" s="22">
        <f>IFERROR(__xludf.DUMMYFUNCTION("""COMPUTED_VALUE"""),4967.23)</f>
        <v>4967.23</v>
      </c>
      <c r="C1322" s="22">
        <f t="shared" si="6"/>
        <v>4969.501623</v>
      </c>
      <c r="D1322" s="25">
        <f>IFERROR(__xludf.DUMMYFUNCTION("""COMPUTED_VALUE"""),45381.99861111111)</f>
        <v>45381.99861</v>
      </c>
      <c r="E1322" s="22">
        <f>IFERROR(__xludf.DUMMYFUNCTION("""COMPUTED_VALUE"""),1.0799)</f>
        <v>1.0799</v>
      </c>
      <c r="F1322" s="22">
        <f t="shared" si="8"/>
        <v>363.2966226</v>
      </c>
      <c r="G1322" s="22">
        <f t="shared" si="31"/>
        <v>9.110218268</v>
      </c>
      <c r="H1322" s="22">
        <f t="shared" si="32"/>
        <v>62.47883045</v>
      </c>
      <c r="I1322" s="22">
        <f t="shared" si="3"/>
        <v>0.9260116677</v>
      </c>
      <c r="J1322" s="22">
        <f t="shared" si="33"/>
        <v>0.03991110288</v>
      </c>
    </row>
    <row r="1323" ht="15.75" customHeight="1">
      <c r="A1323" s="25">
        <f>IFERROR(__xludf.DUMMYFUNCTION("""COMPUTED_VALUE"""),45408.66666666667)</f>
        <v>45408.66667</v>
      </c>
      <c r="B1323" s="22">
        <f>IFERROR(__xludf.DUMMYFUNCTION("""COMPUTED_VALUE"""),5099.96)</f>
        <v>5099.96</v>
      </c>
      <c r="C1323" s="22">
        <f t="shared" si="6"/>
        <v>5102.162376</v>
      </c>
      <c r="D1323" s="25">
        <f>IFERROR(__xludf.DUMMYFUNCTION("""COMPUTED_VALUE"""),45388.99861111111)</f>
        <v>45388.99861</v>
      </c>
      <c r="E1323" s="22">
        <f>IFERROR(__xludf.DUMMYFUNCTION("""COMPUTED_VALUE"""),1.0848)</f>
        <v>1.0848</v>
      </c>
      <c r="F1323" s="22">
        <f t="shared" si="8"/>
        <v>374.6872671</v>
      </c>
      <c r="G1323" s="22">
        <f t="shared" si="31"/>
        <v>11.19024728</v>
      </c>
      <c r="H1323" s="22">
        <f t="shared" si="32"/>
        <v>65.94434423</v>
      </c>
      <c r="I1323" s="22">
        <f t="shared" si="3"/>
        <v>0.9218289086</v>
      </c>
      <c r="J1323" s="22">
        <f t="shared" si="33"/>
        <v>0.0433259587</v>
      </c>
    </row>
    <row r="1324" ht="15.75" customHeight="1">
      <c r="A1324" s="25">
        <f>IFERROR(__xludf.DUMMYFUNCTION("""COMPUTED_VALUE"""),45415.66666666667)</f>
        <v>45415.66667</v>
      </c>
      <c r="B1324" s="22">
        <f>IFERROR(__xludf.DUMMYFUNCTION("""COMPUTED_VALUE"""),5127.79)</f>
        <v>5127.79</v>
      </c>
      <c r="C1324" s="22">
        <f t="shared" si="6"/>
        <v>5130.051226</v>
      </c>
      <c r="D1324" s="25">
        <f>IFERROR(__xludf.DUMMYFUNCTION("""COMPUTED_VALUE"""),45395.99861111111)</f>
        <v>45395.99861</v>
      </c>
      <c r="E1324" s="22">
        <f>IFERROR(__xludf.DUMMYFUNCTION("""COMPUTED_VALUE"""),1.067)</f>
        <v>1.067</v>
      </c>
      <c r="F1324" s="22">
        <f t="shared" si="8"/>
        <v>370.5536569</v>
      </c>
      <c r="G1324" s="22">
        <f t="shared" si="31"/>
        <v>7.884586604</v>
      </c>
      <c r="H1324" s="22">
        <f t="shared" si="32"/>
        <v>68.87483046</v>
      </c>
      <c r="I1324" s="22">
        <f t="shared" si="3"/>
        <v>0.9372071228</v>
      </c>
      <c r="J1324" s="22">
        <f t="shared" si="33"/>
        <v>0.05379568885</v>
      </c>
    </row>
    <row r="1325" ht="15.75" customHeight="1">
      <c r="A1325" s="25">
        <f>IFERROR(__xludf.DUMMYFUNCTION("""COMPUTED_VALUE"""),45422.66666666667)</f>
        <v>45422.66667</v>
      </c>
      <c r="B1325" s="22">
        <f>IFERROR(__xludf.DUMMYFUNCTION("""COMPUTED_VALUE"""),5222.68)</f>
        <v>5222.68</v>
      </c>
      <c r="C1325" s="22">
        <f t="shared" si="6"/>
        <v>5224.953565</v>
      </c>
      <c r="D1325" s="25">
        <f>IFERROR(__xludf.DUMMYFUNCTION("""COMPUTED_VALUE"""),45402.99861111111)</f>
        <v>45402.99861</v>
      </c>
      <c r="E1325" s="22">
        <f>IFERROR(__xludf.DUMMYFUNCTION("""COMPUTED_VALUE"""),1.0669)</f>
        <v>1.0669</v>
      </c>
      <c r="F1325" s="22">
        <f t="shared" si="8"/>
        <v>377.3732679</v>
      </c>
      <c r="G1325" s="22">
        <f t="shared" si="31"/>
        <v>10.35611621</v>
      </c>
      <c r="H1325" s="22">
        <f t="shared" si="32"/>
        <v>74.9485278</v>
      </c>
      <c r="I1325" s="22">
        <f t="shared" si="3"/>
        <v>0.9372949667</v>
      </c>
      <c r="J1325" s="22">
        <f t="shared" si="33"/>
        <v>0.04395913394</v>
      </c>
    </row>
    <row r="1326" ht="15.75" customHeight="1">
      <c r="A1326" s="25">
        <f>IFERROR(__xludf.DUMMYFUNCTION("""COMPUTED_VALUE"""),45429.66666666667)</f>
        <v>45429.66667</v>
      </c>
      <c r="B1326" s="22">
        <f>IFERROR(__xludf.DUMMYFUNCTION("""COMPUTED_VALUE"""),5303.27)</f>
        <v>5303.27</v>
      </c>
      <c r="C1326" s="22">
        <f t="shared" si="6"/>
        <v>5305.585637</v>
      </c>
      <c r="D1326" s="25">
        <f>IFERROR(__xludf.DUMMYFUNCTION("""COMPUTED_VALUE"""),45409.99861111111)</f>
        <v>45409.99861</v>
      </c>
      <c r="E1326" s="22">
        <f>IFERROR(__xludf.DUMMYFUNCTION("""COMPUTED_VALUE"""),1.0695)</f>
        <v>1.0695</v>
      </c>
      <c r="F1326" s="22">
        <f t="shared" si="8"/>
        <v>384.130773</v>
      </c>
      <c r="G1326" s="22">
        <f t="shared" si="31"/>
        <v>13.5417001</v>
      </c>
      <c r="H1326" s="22">
        <f t="shared" si="32"/>
        <v>79.03268803</v>
      </c>
      <c r="I1326" s="22">
        <f t="shared" si="3"/>
        <v>0.9350163628</v>
      </c>
      <c r="J1326" s="22">
        <f t="shared" si="33"/>
        <v>0.04815334268</v>
      </c>
    </row>
    <row r="1327" ht="15.75" customHeight="1">
      <c r="A1327" s="25">
        <f>IFERROR(__xludf.DUMMYFUNCTION("""COMPUTED_VALUE"""),45436.66666666667)</f>
        <v>45436.66667</v>
      </c>
      <c r="B1327" s="22">
        <f>IFERROR(__xludf.DUMMYFUNCTION("""COMPUTED_VALUE"""),5304.72)</f>
        <v>5304.72</v>
      </c>
      <c r="C1327" s="22">
        <f t="shared" si="6"/>
        <v>5307.07137</v>
      </c>
      <c r="D1327" s="25">
        <f>IFERROR(__xludf.DUMMYFUNCTION("""COMPUTED_VALUE"""),45416.99861111111)</f>
        <v>45416.99861</v>
      </c>
      <c r="E1327" s="22">
        <f>IFERROR(__xludf.DUMMYFUNCTION("""COMPUTED_VALUE"""),1.0771)</f>
        <v>1.0771</v>
      </c>
      <c r="F1327" s="22">
        <f t="shared" si="8"/>
        <v>386.9687872</v>
      </c>
      <c r="G1327" s="22">
        <f t="shared" si="31"/>
        <v>11.75765705</v>
      </c>
      <c r="H1327" s="22">
        <f t="shared" si="32"/>
        <v>84.87390256</v>
      </c>
      <c r="I1327" s="22">
        <f t="shared" si="3"/>
        <v>0.9284189026</v>
      </c>
      <c r="J1327" s="22">
        <f t="shared" si="33"/>
        <v>0.04261442763</v>
      </c>
    </row>
    <row r="1328" ht="15.75" customHeight="1">
      <c r="A1328" s="25">
        <f>IFERROR(__xludf.DUMMYFUNCTION("""COMPUTED_VALUE"""),45443.66666666667)</f>
        <v>45443.66667</v>
      </c>
      <c r="B1328" s="22">
        <f>IFERROR(__xludf.DUMMYFUNCTION("""COMPUTED_VALUE"""),5277.51)</f>
        <v>5277.51</v>
      </c>
      <c r="C1328" s="22">
        <f t="shared" si="6"/>
        <v>5279.862012</v>
      </c>
      <c r="D1328" s="25">
        <f>IFERROR(__xludf.DUMMYFUNCTION("""COMPUTED_VALUE"""),45423.99861111111)</f>
        <v>45423.99861</v>
      </c>
      <c r="E1328" s="22">
        <f>IFERROR(__xludf.DUMMYFUNCTION("""COMPUTED_VALUE"""),1.0786)</f>
        <v>1.0786</v>
      </c>
      <c r="F1328" s="22">
        <f t="shared" si="8"/>
        <v>385.5209389</v>
      </c>
      <c r="G1328" s="22">
        <f t="shared" si="31"/>
        <v>10.81010273</v>
      </c>
      <c r="H1328" s="22">
        <f t="shared" si="32"/>
        <v>77.44054027</v>
      </c>
      <c r="I1328" s="22">
        <f t="shared" si="3"/>
        <v>0.9271277582</v>
      </c>
      <c r="J1328" s="22">
        <f t="shared" si="33"/>
        <v>0.03513814204</v>
      </c>
    </row>
    <row r="1329" ht="15.75" customHeight="1">
      <c r="A1329" s="25">
        <f>IFERROR(__xludf.DUMMYFUNCTION("""COMPUTED_VALUE"""),45450.66666666667)</f>
        <v>45450.66667</v>
      </c>
      <c r="B1329" s="22">
        <f>IFERROR(__xludf.DUMMYFUNCTION("""COMPUTED_VALUE"""),5346.99)</f>
        <v>5346.99</v>
      </c>
      <c r="C1329" s="22">
        <f t="shared" si="6"/>
        <v>5349.329948</v>
      </c>
      <c r="D1329" s="25">
        <f>IFERROR(__xludf.DUMMYFUNCTION("""COMPUTED_VALUE"""),45430.99861111111)</f>
        <v>45430.99861</v>
      </c>
      <c r="E1329" s="22">
        <f>IFERROR(__xludf.DUMMYFUNCTION("""COMPUTED_VALUE"""),1.0889)</f>
        <v>1.0889</v>
      </c>
      <c r="F1329" s="22">
        <f t="shared" si="8"/>
        <v>394.3232334</v>
      </c>
      <c r="G1329" s="22">
        <f t="shared" si="31"/>
        <v>12.55292369</v>
      </c>
      <c r="H1329" s="22">
        <f t="shared" si="32"/>
        <v>80.03478916</v>
      </c>
      <c r="I1329" s="22">
        <f t="shared" si="3"/>
        <v>0.9183579759</v>
      </c>
      <c r="J1329" s="22">
        <f t="shared" si="33"/>
        <v>0.02874460465</v>
      </c>
    </row>
    <row r="1330" ht="15.75" customHeight="1">
      <c r="A1330" s="25">
        <f>IFERROR(__xludf.DUMMYFUNCTION("""COMPUTED_VALUE"""),45457.66666666667)</f>
        <v>45457.66667</v>
      </c>
      <c r="B1330" s="22">
        <f>IFERROR(__xludf.DUMMYFUNCTION("""COMPUTED_VALUE"""),5431.6)</f>
        <v>5431.6</v>
      </c>
      <c r="C1330" s="22">
        <f t="shared" si="6"/>
        <v>5433.970754</v>
      </c>
      <c r="D1330" s="25">
        <f>IFERROR(__xludf.DUMMYFUNCTION("""COMPUTED_VALUE"""),45437.99861111111)</f>
        <v>45437.99861</v>
      </c>
      <c r="E1330" s="22">
        <f>IFERROR(__xludf.DUMMYFUNCTION("""COMPUTED_VALUE"""),1.0847)</f>
        <v>1.0847</v>
      </c>
      <c r="F1330" s="22">
        <f t="shared" si="8"/>
        <v>399.017478</v>
      </c>
      <c r="G1330" s="22">
        <f t="shared" si="31"/>
        <v>15.98077053</v>
      </c>
      <c r="H1330" s="22">
        <f t="shared" si="32"/>
        <v>78.35526812</v>
      </c>
      <c r="I1330" s="22">
        <f t="shared" si="3"/>
        <v>0.9219138932</v>
      </c>
      <c r="J1330" s="22">
        <f t="shared" si="33"/>
        <v>0.03217479487</v>
      </c>
    </row>
    <row r="1331" ht="15.75" customHeight="1">
      <c r="A1331" s="25">
        <f>IFERROR(__xludf.DUMMYFUNCTION("""COMPUTED_VALUE"""),45464.66666666667)</f>
        <v>45464.66667</v>
      </c>
      <c r="B1331" s="22">
        <f>IFERROR(__xludf.DUMMYFUNCTION("""COMPUTED_VALUE"""),5464.62)</f>
        <v>5464.62</v>
      </c>
      <c r="C1331" s="22">
        <f t="shared" si="6"/>
        <v>5467.028269</v>
      </c>
      <c r="D1331" s="25">
        <f>IFERROR(__xludf.DUMMYFUNCTION("""COMPUTED_VALUE"""),45444.99861111111)</f>
        <v>45444.99861</v>
      </c>
      <c r="E1331" s="22">
        <f>IFERROR(__xludf.DUMMYFUNCTION("""COMPUTED_VALUE"""),1.0855)</f>
        <v>1.0855</v>
      </c>
      <c r="F1331" s="22">
        <f t="shared" si="8"/>
        <v>401.7409755</v>
      </c>
      <c r="G1331" s="22">
        <f t="shared" si="31"/>
        <v>13.9131872</v>
      </c>
      <c r="H1331" s="22">
        <f t="shared" si="32"/>
        <v>77.83042609</v>
      </c>
      <c r="I1331" s="22">
        <f t="shared" si="3"/>
        <v>0.9212344542</v>
      </c>
      <c r="J1331" s="22">
        <f t="shared" si="33"/>
        <v>0.04458774758</v>
      </c>
    </row>
    <row r="1332" ht="15.75" customHeight="1">
      <c r="A1332" s="25">
        <f>IFERROR(__xludf.DUMMYFUNCTION("""COMPUTED_VALUE"""),45471.66666666667)</f>
        <v>45471.66667</v>
      </c>
      <c r="B1332" s="22">
        <f>IFERROR(__xludf.DUMMYFUNCTION("""COMPUTED_VALUE"""),5460.48)</f>
        <v>5460.48</v>
      </c>
      <c r="C1332" s="22">
        <f t="shared" si="6"/>
        <v>5462.902909</v>
      </c>
      <c r="D1332" s="25">
        <f>IFERROR(__xludf.DUMMYFUNCTION("""COMPUTED_VALUE"""),45451.99861111111)</f>
        <v>45451.99861</v>
      </c>
      <c r="E1332" s="22">
        <f>IFERROR(__xludf.DUMMYFUNCTION("""COMPUTED_VALUE"""),1.0805)</f>
        <v>1.0805</v>
      </c>
      <c r="F1332" s="22">
        <f t="shared" si="8"/>
        <v>399.5887344</v>
      </c>
      <c r="G1332" s="22">
        <f t="shared" si="31"/>
        <v>11.98795075</v>
      </c>
      <c r="H1332" s="22">
        <f t="shared" si="32"/>
        <v>75.62798285</v>
      </c>
      <c r="I1332" s="22">
        <f t="shared" si="3"/>
        <v>0.9254974549</v>
      </c>
      <c r="J1332" s="22">
        <f t="shared" si="33"/>
        <v>0.03970384081</v>
      </c>
    </row>
    <row r="1333" ht="15.75" customHeight="1">
      <c r="A1333" s="25">
        <f>IFERROR(__xludf.DUMMYFUNCTION("""COMPUTED_VALUE"""),45478.66666666667)</f>
        <v>45478.66667</v>
      </c>
      <c r="B1333" s="22">
        <f>IFERROR(__xludf.DUMMYFUNCTION("""COMPUTED_VALUE"""),5567.19)</f>
        <v>5567.19</v>
      </c>
      <c r="C1333" s="22">
        <f t="shared" si="6"/>
        <v>5569.611074</v>
      </c>
      <c r="D1333" s="25">
        <f>IFERROR(__xludf.DUMMYFUNCTION("""COMPUTED_VALUE"""),45458.99861111111)</f>
        <v>45458.99861</v>
      </c>
      <c r="E1333" s="22">
        <f>IFERROR(__xludf.DUMMYFUNCTION("""COMPUTED_VALUE"""),1.0716)</f>
        <v>1.0716</v>
      </c>
      <c r="F1333" s="22">
        <f t="shared" si="8"/>
        <v>404.0383201</v>
      </c>
      <c r="G1333" s="22">
        <f t="shared" si="31"/>
        <v>15.13287402</v>
      </c>
      <c r="H1333" s="22">
        <f t="shared" si="32"/>
        <v>73.74741347</v>
      </c>
      <c r="I1333" s="22">
        <f t="shared" si="3"/>
        <v>0.9331840239</v>
      </c>
      <c r="J1333" s="22">
        <f t="shared" si="33"/>
        <v>0.06317655842</v>
      </c>
    </row>
    <row r="1334" ht="15.75" customHeight="1">
      <c r="A1334" s="25">
        <f>IFERROR(__xludf.DUMMYFUNCTION("""COMPUTED_VALUE"""),45485.66666666667)</f>
        <v>45485.66667</v>
      </c>
      <c r="B1334" s="22">
        <f>IFERROR(__xludf.DUMMYFUNCTION("""COMPUTED_VALUE"""),5615.35)</f>
        <v>5615.35</v>
      </c>
      <c r="C1334" s="22">
        <f t="shared" si="6"/>
        <v>5617.818387</v>
      </c>
      <c r="D1334" s="25">
        <f>IFERROR(__xludf.DUMMYFUNCTION("""COMPUTED_VALUE"""),45465.99861111111)</f>
        <v>45465.99861</v>
      </c>
      <c r="E1334" s="22">
        <f>IFERROR(__xludf.DUMMYFUNCTION("""COMPUTED_VALUE"""),1.0691)</f>
        <v>1.0691</v>
      </c>
      <c r="F1334" s="22">
        <f t="shared" si="8"/>
        <v>406.5846769</v>
      </c>
      <c r="G1334" s="22">
        <f t="shared" si="31"/>
        <v>16.23311047</v>
      </c>
      <c r="H1334" s="22">
        <f t="shared" si="32"/>
        <v>77.11683768</v>
      </c>
      <c r="I1334" s="22">
        <f t="shared" si="3"/>
        <v>0.9353661959</v>
      </c>
      <c r="J1334" s="22">
        <f t="shared" si="33"/>
        <v>0.06510148723</v>
      </c>
    </row>
    <row r="1335" ht="15.75" customHeight="1">
      <c r="A1335" s="25">
        <f>IFERROR(__xludf.DUMMYFUNCTION("""COMPUTED_VALUE"""),45492.66666666667)</f>
        <v>45492.66667</v>
      </c>
      <c r="B1335" s="22">
        <f>IFERROR(__xludf.DUMMYFUNCTION("""COMPUTED_VALUE"""),5505.0)</f>
        <v>5505</v>
      </c>
      <c r="C1335" s="22">
        <f t="shared" si="6"/>
        <v>5507.48974</v>
      </c>
      <c r="D1335" s="25">
        <f>IFERROR(__xludf.DUMMYFUNCTION("""COMPUTED_VALUE"""),45472.99861111111)</f>
        <v>45472.99861</v>
      </c>
      <c r="E1335" s="22">
        <f>IFERROR(__xludf.DUMMYFUNCTION("""COMPUTED_VALUE"""),1.0719)</f>
        <v>1.0719</v>
      </c>
      <c r="F1335" s="22">
        <f t="shared" si="8"/>
        <v>399.6436807</v>
      </c>
      <c r="G1335" s="22">
        <f t="shared" si="31"/>
        <v>12.73873945</v>
      </c>
      <c r="H1335" s="22">
        <f t="shared" si="32"/>
        <v>73.65608212</v>
      </c>
      <c r="I1335" s="22">
        <f t="shared" si="3"/>
        <v>0.9329228473</v>
      </c>
      <c r="J1335" s="22">
        <f t="shared" si="33"/>
        <v>0.0476723575</v>
      </c>
    </row>
    <row r="1336" ht="15.75" customHeight="1">
      <c r="A1336" s="25">
        <f>IFERROR(__xludf.DUMMYFUNCTION("""COMPUTED_VALUE"""),45499.66666666667)</f>
        <v>45499.66667</v>
      </c>
      <c r="B1336" s="22">
        <f>IFERROR(__xludf.DUMMYFUNCTION("""COMPUTED_VALUE"""),5459.1)</f>
        <v>5459.1</v>
      </c>
      <c r="C1336" s="22">
        <f t="shared" si="6"/>
        <v>5461.540813</v>
      </c>
      <c r="D1336" s="25">
        <f>IFERROR(__xludf.DUMMYFUNCTION("""COMPUTED_VALUE"""),45479.99861111111)</f>
        <v>45479.99861</v>
      </c>
      <c r="E1336" s="22">
        <f>IFERROR(__xludf.DUMMYFUNCTION("""COMPUTED_VALUE"""),1.0839)</f>
        <v>1.0839</v>
      </c>
      <c r="F1336" s="22">
        <f t="shared" si="8"/>
        <v>400.7461716</v>
      </c>
      <c r="G1336" s="22">
        <f t="shared" si="31"/>
        <v>13.35910305</v>
      </c>
      <c r="H1336" s="22">
        <f t="shared" si="32"/>
        <v>78.82687648</v>
      </c>
      <c r="I1336" s="22">
        <f t="shared" si="3"/>
        <v>0.9225943353</v>
      </c>
      <c r="J1336" s="22">
        <f t="shared" si="33"/>
        <v>0.04114770735</v>
      </c>
    </row>
    <row r="1337" ht="15.75" customHeight="1">
      <c r="A1337" s="25">
        <f>IFERROR(__xludf.DUMMYFUNCTION("""COMPUTED_VALUE"""),45506.66666666667)</f>
        <v>45506.66667</v>
      </c>
      <c r="B1337" s="22">
        <f>IFERROR(__xludf.DUMMYFUNCTION("""COMPUTED_VALUE"""),5346.56)</f>
        <v>5346.56</v>
      </c>
      <c r="C1337" s="22">
        <f t="shared" si="6"/>
        <v>5348.980462</v>
      </c>
      <c r="D1337" s="25">
        <f>IFERROR(__xludf.DUMMYFUNCTION("""COMPUTED_VALUE"""),45486.99861111111)</f>
        <v>45486.99861</v>
      </c>
      <c r="E1337" s="22">
        <f>IFERROR(__xludf.DUMMYFUNCTION("""COMPUTED_VALUE"""),1.0919)</f>
        <v>1.0919</v>
      </c>
      <c r="F1337" s="22">
        <f t="shared" si="8"/>
        <v>395.3837899</v>
      </c>
      <c r="G1337" s="22">
        <f t="shared" si="31"/>
        <v>11.45971538</v>
      </c>
      <c r="H1337" s="22">
        <f t="shared" si="32"/>
        <v>78.17773034</v>
      </c>
      <c r="I1337" s="22">
        <f t="shared" si="3"/>
        <v>0.9158347834</v>
      </c>
      <c r="J1337" s="22">
        <f t="shared" si="33"/>
        <v>0.02811612785</v>
      </c>
    </row>
    <row r="1338" ht="15.75" customHeight="1">
      <c r="A1338" s="25">
        <f>IFERROR(__xludf.DUMMYFUNCTION("""COMPUTED_VALUE"""),45513.66666666667)</f>
        <v>45513.66667</v>
      </c>
      <c r="B1338" s="22">
        <f>IFERROR(__xludf.DUMMYFUNCTION("""COMPUTED_VALUE"""),5344.16)</f>
        <v>5344.16</v>
      </c>
      <c r="C1338" s="22">
        <f t="shared" si="6"/>
        <v>5346.530564</v>
      </c>
      <c r="D1338" s="25">
        <f>IFERROR(__xludf.DUMMYFUNCTION("""COMPUTED_VALUE"""),45493.99861111111)</f>
        <v>45493.99861</v>
      </c>
      <c r="E1338" s="22">
        <f>IFERROR(__xludf.DUMMYFUNCTION("""COMPUTED_VALUE"""),1.089)</f>
        <v>1.089</v>
      </c>
      <c r="F1338" s="22">
        <f t="shared" si="8"/>
        <v>394.1530722</v>
      </c>
      <c r="G1338" s="22">
        <f t="shared" si="31"/>
        <v>10.65785568</v>
      </c>
      <c r="H1338" s="22">
        <f t="shared" si="32"/>
        <v>80.76981519</v>
      </c>
      <c r="I1338" s="22">
        <f t="shared" si="3"/>
        <v>0.9182736455</v>
      </c>
      <c r="J1338" s="22">
        <f t="shared" si="33"/>
        <v>0.02341597796</v>
      </c>
    </row>
    <row r="1339" ht="15.75" customHeight="1">
      <c r="A1339" s="25">
        <f>IFERROR(__xludf.DUMMYFUNCTION("""COMPUTED_VALUE"""),45520.66666666667)</f>
        <v>45520.66667</v>
      </c>
      <c r="B1339" s="22">
        <f>IFERROR(__xludf.DUMMYFUNCTION("""COMPUTED_VALUE"""),5554.25)</f>
        <v>5554.25</v>
      </c>
      <c r="C1339" s="22">
        <f t="shared" si="6"/>
        <v>5556.619499</v>
      </c>
      <c r="D1339" s="25">
        <f>IFERROR(__xludf.DUMMYFUNCTION("""COMPUTED_VALUE"""),45500.99861111111)</f>
        <v>45500.99861</v>
      </c>
      <c r="E1339" s="22">
        <f>IFERROR(__xludf.DUMMYFUNCTION("""COMPUTED_VALUE"""),1.087)</f>
        <v>1.087</v>
      </c>
      <c r="F1339" s="22">
        <f t="shared" si="8"/>
        <v>408.8887721</v>
      </c>
      <c r="G1339" s="22">
        <f t="shared" si="31"/>
        <v>14.52126266</v>
      </c>
      <c r="H1339" s="22">
        <f t="shared" si="32"/>
        <v>90.57351417</v>
      </c>
      <c r="I1339" s="22">
        <f t="shared" si="3"/>
        <v>0.9199632015</v>
      </c>
      <c r="J1339" s="22">
        <f t="shared" si="33"/>
        <v>0.02364305428</v>
      </c>
    </row>
    <row r="1340" ht="15.75" customHeight="1">
      <c r="A1340" s="25">
        <f>IFERROR(__xludf.DUMMYFUNCTION("""COMPUTED_VALUE"""),45527.66666666667)</f>
        <v>45527.66667</v>
      </c>
      <c r="B1340" s="22">
        <f>IFERROR(__xludf.DUMMYFUNCTION("""COMPUTED_VALUE"""),5634.61)</f>
        <v>5634.61</v>
      </c>
      <c r="C1340" s="22">
        <f t="shared" si="6"/>
        <v>5637.072649</v>
      </c>
      <c r="D1340" s="25">
        <f>IFERROR(__xludf.DUMMYFUNCTION("""COMPUTED_VALUE"""),45507.99861111111)</f>
        <v>45507.99861</v>
      </c>
      <c r="E1340" s="22">
        <f>IFERROR(__xludf.DUMMYFUNCTION("""COMPUTED_VALUE"""),1.0915)</f>
        <v>1.0915</v>
      </c>
      <c r="F1340" s="22">
        <f t="shared" si="8"/>
        <v>416.526229</v>
      </c>
      <c r="G1340" s="22">
        <f t="shared" si="31"/>
        <v>15.97504598</v>
      </c>
      <c r="H1340" s="22">
        <f t="shared" si="32"/>
        <v>85.83318876</v>
      </c>
      <c r="I1340" s="22">
        <f t="shared" si="3"/>
        <v>0.9161704077</v>
      </c>
      <c r="J1340" s="22">
        <f t="shared" si="33"/>
        <v>0.03609711406</v>
      </c>
    </row>
    <row r="1341" ht="15.75" customHeight="1">
      <c r="A1341" s="25">
        <f>IFERROR(__xludf.DUMMYFUNCTION("""COMPUTED_VALUE"""),45534.66666666667)</f>
        <v>45534.66667</v>
      </c>
      <c r="B1341" s="22">
        <f>IFERROR(__xludf.DUMMYFUNCTION("""COMPUTED_VALUE"""),5648.4)</f>
        <v>5648.4</v>
      </c>
      <c r="C1341" s="22">
        <f t="shared" si="6"/>
        <v>5650.898279</v>
      </c>
      <c r="D1341" s="25">
        <f>IFERROR(__xludf.DUMMYFUNCTION("""COMPUTED_VALUE"""),45514.99861111111)</f>
        <v>45514.99861</v>
      </c>
      <c r="E1341" s="22">
        <f>IFERROR(__xludf.DUMMYFUNCTION("""COMPUTED_VALUE"""),1.0924)</f>
        <v>1.0924</v>
      </c>
      <c r="F1341" s="22">
        <f t="shared" si="8"/>
        <v>417.8921024</v>
      </c>
      <c r="G1341" s="22">
        <f t="shared" si="31"/>
        <v>15.39194623</v>
      </c>
      <c r="H1341" s="22">
        <f t="shared" si="32"/>
        <v>86.73804412</v>
      </c>
      <c r="I1341" s="22">
        <f t="shared" si="3"/>
        <v>0.9154155987</v>
      </c>
      <c r="J1341" s="22">
        <f t="shared" si="33"/>
        <v>0.01547052362</v>
      </c>
    </row>
    <row r="1342" ht="15.75" customHeight="1">
      <c r="A1342" s="25">
        <f>IFERROR(__xludf.DUMMYFUNCTION("""COMPUTED_VALUE"""),45541.66666666667)</f>
        <v>45541.66667</v>
      </c>
      <c r="B1342" s="22">
        <f>IFERROR(__xludf.DUMMYFUNCTION("""COMPUTED_VALUE"""),5408.42)</f>
        <v>5408.42</v>
      </c>
      <c r="C1342" s="22">
        <f t="shared" si="6"/>
        <v>5410.924394</v>
      </c>
      <c r="D1342" s="25">
        <f>IFERROR(__xludf.DUMMYFUNCTION("""COMPUTED_VALUE"""),45521.99861111111)</f>
        <v>45521.99861</v>
      </c>
      <c r="E1342" s="22">
        <f>IFERROR(__xludf.DUMMYFUNCTION("""COMPUTED_VALUE"""),1.103)</f>
        <v>1.103</v>
      </c>
      <c r="F1342" s="22">
        <f t="shared" si="8"/>
        <v>404.0284622</v>
      </c>
      <c r="G1342" s="22">
        <f t="shared" si="31"/>
        <v>14.47696172</v>
      </c>
      <c r="H1342" s="22">
        <f t="shared" si="32"/>
        <v>76.59190359</v>
      </c>
      <c r="I1342" s="22">
        <f t="shared" si="3"/>
        <v>0.9066183137</v>
      </c>
      <c r="J1342" s="22">
        <f t="shared" si="33"/>
        <v>0.01840435177</v>
      </c>
    </row>
    <row r="1343" ht="15.75" customHeight="1">
      <c r="A1343" s="25">
        <f>IFERROR(__xludf.DUMMYFUNCTION("""COMPUTED_VALUE"""),45548.66666666667)</f>
        <v>45548.66667</v>
      </c>
      <c r="B1343" s="22">
        <f>IFERROR(__xludf.DUMMYFUNCTION("""COMPUTED_VALUE"""),5626.02)</f>
        <v>5626.02</v>
      </c>
      <c r="C1343" s="22">
        <f t="shared" si="6"/>
        <v>5628.417991</v>
      </c>
      <c r="D1343" s="25">
        <f>IFERROR(__xludf.DUMMYFUNCTION("""COMPUTED_VALUE"""),45528.99861111111)</f>
        <v>45528.99861</v>
      </c>
      <c r="E1343" s="22">
        <f>IFERROR(__xludf.DUMMYFUNCTION("""COMPUTED_VALUE"""),1.1192)</f>
        <v>1.1192</v>
      </c>
      <c r="F1343" s="22">
        <f t="shared" si="8"/>
        <v>426.4410721</v>
      </c>
      <c r="G1343" s="22">
        <f t="shared" si="31"/>
        <v>20.41175942</v>
      </c>
      <c r="H1343" s="22">
        <f t="shared" si="32"/>
        <v>91.15291352</v>
      </c>
      <c r="I1343" s="22">
        <f t="shared" si="3"/>
        <v>0.8934953538</v>
      </c>
      <c r="J1343" s="22">
        <f t="shared" si="33"/>
        <v>-0.01635096497</v>
      </c>
    </row>
    <row r="1344" ht="15.75" customHeight="1">
      <c r="A1344" s="25">
        <f>IFERROR(__xludf.DUMMYFUNCTION("""COMPUTED_VALUE"""),45555.66666666667)</f>
        <v>45555.66667</v>
      </c>
      <c r="B1344" s="22">
        <f>IFERROR(__xludf.DUMMYFUNCTION("""COMPUTED_VALUE"""),5702.55)</f>
        <v>5702.55</v>
      </c>
      <c r="C1344" s="22">
        <f t="shared" si="6"/>
        <v>5705.044471</v>
      </c>
      <c r="D1344" s="25">
        <f>IFERROR(__xludf.DUMMYFUNCTION("""COMPUTED_VALUE"""),45535.99861111111)</f>
        <v>45535.99861</v>
      </c>
      <c r="E1344" s="22">
        <f>IFERROR(__xludf.DUMMYFUNCTION("""COMPUTED_VALUE"""),1.1059)</f>
        <v>1.1059</v>
      </c>
      <c r="F1344" s="22">
        <f t="shared" si="8"/>
        <v>427.1101326</v>
      </c>
      <c r="G1344" s="22">
        <f t="shared" si="31"/>
        <v>19.16011235</v>
      </c>
      <c r="H1344" s="22">
        <f t="shared" si="32"/>
        <v>91.393034</v>
      </c>
      <c r="I1344" s="22">
        <f t="shared" si="3"/>
        <v>0.9042408898</v>
      </c>
      <c r="J1344" s="22">
        <f t="shared" si="33"/>
        <v>0.005967989873</v>
      </c>
    </row>
    <row r="1345" ht="15.75" customHeight="1">
      <c r="A1345" s="25">
        <f>IFERROR(__xludf.DUMMYFUNCTION("""COMPUTED_VALUE"""),45562.66666666667)</f>
        <v>45562.66667</v>
      </c>
      <c r="B1345" s="22">
        <f>IFERROR(__xludf.DUMMYFUNCTION("""COMPUTED_VALUE"""),5738.17)</f>
        <v>5738.17</v>
      </c>
      <c r="C1345" s="22">
        <f t="shared" si="6"/>
        <v>5740.698403</v>
      </c>
      <c r="D1345" s="25">
        <f>IFERROR(__xludf.DUMMYFUNCTION("""COMPUTED_VALUE"""),45542.99861111111)</f>
        <v>45542.99861</v>
      </c>
      <c r="E1345" s="22">
        <f>IFERROR(__xludf.DUMMYFUNCTION("""COMPUTED_VALUE"""),1.1088)</f>
        <v>1.1088</v>
      </c>
      <c r="F1345" s="22">
        <f t="shared" si="8"/>
        <v>430.9063864</v>
      </c>
      <c r="G1345" s="22">
        <f t="shared" si="31"/>
        <v>23.63959573</v>
      </c>
      <c r="H1345" s="22">
        <f t="shared" si="32"/>
        <v>93.21346831</v>
      </c>
      <c r="I1345" s="22">
        <f t="shared" si="3"/>
        <v>0.9018759019</v>
      </c>
      <c r="J1345" s="22">
        <f t="shared" si="33"/>
        <v>0.006042568543</v>
      </c>
    </row>
    <row r="1346" ht="15.75" customHeight="1">
      <c r="A1346" s="25">
        <f>IFERROR(__xludf.DUMMYFUNCTION("""COMPUTED_VALUE"""),45569.66666666667)</f>
        <v>45569.66667</v>
      </c>
      <c r="B1346" s="22">
        <f>IFERROR(__xludf.DUMMYFUNCTION("""COMPUTED_VALUE"""),5751.07)</f>
        <v>5751.07</v>
      </c>
      <c r="C1346" s="22">
        <f t="shared" si="6"/>
        <v>5753.614196</v>
      </c>
      <c r="D1346" s="25">
        <f>IFERROR(__xludf.DUMMYFUNCTION("""COMPUTED_VALUE"""),45549.99861111111)</f>
        <v>45549.99861</v>
      </c>
      <c r="E1346" s="22">
        <f>IFERROR(__xludf.DUMMYFUNCTION("""COMPUTED_VALUE"""),1.1081)</f>
        <v>1.1081</v>
      </c>
    </row>
    <row r="1347" ht="15.75" customHeight="1">
      <c r="A1347" s="25">
        <f>IFERROR(__xludf.DUMMYFUNCTION("""COMPUTED_VALUE"""),45576.66666666667)</f>
        <v>45576.66667</v>
      </c>
      <c r="B1347" s="22">
        <f>IFERROR(__xludf.DUMMYFUNCTION("""COMPUTED_VALUE"""),5815.03)</f>
        <v>5815.03</v>
      </c>
      <c r="C1347" s="22">
        <f t="shared" si="6"/>
        <v>5817.579916</v>
      </c>
      <c r="D1347" s="25">
        <f>IFERROR(__xludf.DUMMYFUNCTION("""COMPUTED_VALUE"""),45556.99861111111)</f>
        <v>45556.99861</v>
      </c>
      <c r="E1347" s="22">
        <f>IFERROR(__xludf.DUMMYFUNCTION("""COMPUTED_VALUE"""),1.1169)</f>
        <v>1.1169</v>
      </c>
    </row>
    <row r="1348" ht="15.75" customHeight="1">
      <c r="A1348" s="31">
        <f>IFERROR(__xludf.DUMMYFUNCTION("""COMPUTED_VALUE"""),45583.66666666667)</f>
        <v>45583.66667</v>
      </c>
      <c r="B1348" s="31">
        <f>IFERROR(__xludf.DUMMYFUNCTION("""COMPUTED_VALUE"""),5864.67)</f>
        <v>5864.67</v>
      </c>
      <c r="C1348" s="22">
        <f t="shared" si="6"/>
        <v>5867.248274</v>
      </c>
      <c r="D1348" s="25">
        <f>IFERROR(__xludf.DUMMYFUNCTION("""COMPUTED_VALUE"""),45563.99861111111)</f>
        <v>45563.99861</v>
      </c>
      <c r="E1348" s="22">
        <f>IFERROR(__xludf.DUMMYFUNCTION("""COMPUTED_VALUE"""),1.117)</f>
        <v>1.117</v>
      </c>
    </row>
    <row r="1349" ht="15.75" customHeight="1">
      <c r="A1349" s="31">
        <f>IFERROR(__xludf.DUMMYFUNCTION("""COMPUTED_VALUE"""),45590.66666666667)</f>
        <v>45590.66667</v>
      </c>
      <c r="B1349" s="31">
        <f>IFERROR(__xludf.DUMMYFUNCTION("""COMPUTED_VALUE"""),5808.12)</f>
        <v>5808.12</v>
      </c>
      <c r="D1349" s="25">
        <f>IFERROR(__xludf.DUMMYFUNCTION("""COMPUTED_VALUE"""),45570.99861111111)</f>
        <v>45570.99861</v>
      </c>
      <c r="E1349" s="22">
        <f>IFERROR(__xludf.DUMMYFUNCTION("""COMPUTED_VALUE"""),1.0981)</f>
        <v>1.0981</v>
      </c>
    </row>
    <row r="1350" ht="15.75" customHeight="1">
      <c r="A1350" s="31">
        <f>IFERROR(__xludf.DUMMYFUNCTION("""COMPUTED_VALUE"""),45597.66666666667)</f>
        <v>45597.66667</v>
      </c>
      <c r="B1350" s="31">
        <f>IFERROR(__xludf.DUMMYFUNCTION("""COMPUTED_VALUE"""),5728.8)</f>
        <v>5728.8</v>
      </c>
      <c r="D1350" s="25">
        <f>IFERROR(__xludf.DUMMYFUNCTION("""COMPUTED_VALUE"""),45577.99861111111)</f>
        <v>45577.99861</v>
      </c>
      <c r="E1350" s="22">
        <f>IFERROR(__xludf.DUMMYFUNCTION("""COMPUTED_VALUE"""),1.0943)</f>
        <v>1.0943</v>
      </c>
    </row>
    <row r="1351" ht="15.75" customHeight="1">
      <c r="A1351" s="31">
        <f>IFERROR(__xludf.DUMMYFUNCTION("""COMPUTED_VALUE"""),45604.66666666667)</f>
        <v>45604.66667</v>
      </c>
      <c r="B1351" s="31">
        <f>IFERROR(__xludf.DUMMYFUNCTION("""COMPUTED_VALUE"""),5995.54)</f>
        <v>5995.54</v>
      </c>
      <c r="D1351" s="25">
        <f>IFERROR(__xludf.DUMMYFUNCTION("""COMPUTED_VALUE"""),45584.99861111111)</f>
        <v>45584.99861</v>
      </c>
      <c r="E1351" s="22">
        <f>IFERROR(__xludf.DUMMYFUNCTION("""COMPUTED_VALUE"""),1.087)</f>
        <v>1.087</v>
      </c>
    </row>
    <row r="1352" ht="15.75" customHeight="1">
      <c r="A1352" s="31">
        <f>IFERROR(__xludf.DUMMYFUNCTION("""COMPUTED_VALUE"""),45611.66666666667)</f>
        <v>45611.66667</v>
      </c>
      <c r="B1352" s="31">
        <f>IFERROR(__xludf.DUMMYFUNCTION("""COMPUTED_VALUE"""),5870.62)</f>
        <v>5870.62</v>
      </c>
      <c r="D1352" s="25">
        <f>IFERROR(__xludf.DUMMYFUNCTION("""COMPUTED_VALUE"""),45591.99861111111)</f>
        <v>45591.99861</v>
      </c>
      <c r="E1352" s="22">
        <f>IFERROR(__xludf.DUMMYFUNCTION("""COMPUTED_VALUE"""),1.0801)</f>
        <v>1.0801</v>
      </c>
    </row>
    <row r="1353" ht="15.75" customHeight="1">
      <c r="D1353" s="25">
        <f>IFERROR(__xludf.DUMMYFUNCTION("""COMPUTED_VALUE"""),45598.99861111111)</f>
        <v>45598.99861</v>
      </c>
      <c r="E1353" s="22">
        <f>IFERROR(__xludf.DUMMYFUNCTION("""COMPUTED_VALUE"""),1.0873)</f>
        <v>1.0873</v>
      </c>
    </row>
    <row r="1354" ht="15.75" customHeight="1">
      <c r="D1354" s="25">
        <f>IFERROR(__xludf.DUMMYFUNCTION("""COMPUTED_VALUE"""),45605.99861111111)</f>
        <v>45605.99861</v>
      </c>
      <c r="E1354" s="22">
        <f>IFERROR(__xludf.DUMMYFUNCTION("""COMPUTED_VALUE"""),1.0717)</f>
        <v>1.0717</v>
      </c>
    </row>
    <row r="1355" ht="15.75" customHeight="1">
      <c r="D1355" s="25">
        <f>IFERROR(__xludf.DUMMYFUNCTION("""COMPUTED_VALUE"""),45612.99861111111)</f>
        <v>45612.99861</v>
      </c>
      <c r="E1355" s="22">
        <f>IFERROR(__xludf.DUMMYFUNCTION("""COMPUTED_VALUE"""),1.05445)</f>
        <v>1.05445</v>
      </c>
    </row>
    <row r="1356" ht="15.75" customHeight="1">
      <c r="D1356" s="25"/>
      <c r="E1356" s="22"/>
    </row>
    <row r="1357" ht="15.75" customHeight="1">
      <c r="D1357" s="25"/>
      <c r="E1357" s="22"/>
    </row>
    <row r="1358" ht="15.75" customHeight="1">
      <c r="D1358" s="25"/>
      <c r="E1358" s="22"/>
    </row>
    <row r="1359" ht="15.75" customHeight="1">
      <c r="D1359" s="25"/>
      <c r="E1359" s="22"/>
    </row>
    <row r="1360" ht="15.75" customHeight="1">
      <c r="D1360" s="25"/>
      <c r="E1360" s="22"/>
    </row>
    <row r="1361" ht="15.75" customHeight="1">
      <c r="D1361" s="25"/>
      <c r="E1361" s="22"/>
    </row>
    <row r="1362" ht="15.75" customHeight="1">
      <c r="D1362" s="25"/>
      <c r="E1362" s="22"/>
    </row>
    <row r="1363" ht="15.75" customHeight="1">
      <c r="D1363" s="25"/>
      <c r="E1363" s="22"/>
    </row>
    <row r="1364" ht="15.75" customHeight="1">
      <c r="D1364" s="25"/>
      <c r="E1364" s="22"/>
    </row>
    <row r="1365" ht="15.75" customHeight="1">
      <c r="D1365" s="25"/>
      <c r="E1365" s="22"/>
    </row>
    <row r="1366" ht="15.75" customHeight="1">
      <c r="D1366" s="25"/>
      <c r="E1366" s="22"/>
    </row>
    <row r="1367" ht="15.75" customHeight="1">
      <c r="D1367" s="25"/>
      <c r="E1367" s="22"/>
    </row>
    <row r="1368" ht="15.75" customHeight="1">
      <c r="D1368" s="25"/>
      <c r="E1368" s="22"/>
    </row>
    <row r="1369" ht="15.75" customHeight="1">
      <c r="D1369" s="25"/>
      <c r="E1369" s="22"/>
    </row>
    <row r="1370" ht="15.75" customHeight="1">
      <c r="D1370" s="25"/>
      <c r="E1370" s="22"/>
    </row>
    <row r="1371" ht="15.75" customHeight="1">
      <c r="D1371" s="25"/>
      <c r="E1371" s="22"/>
    </row>
    <row r="1372" ht="15.75" customHeight="1">
      <c r="D1372" s="25"/>
      <c r="E1372" s="22"/>
    </row>
    <row r="1373" ht="15.75" customHeight="1">
      <c r="D1373" s="25"/>
      <c r="E1373" s="22"/>
    </row>
    <row r="1374" ht="15.75" customHeight="1">
      <c r="D1374" s="25"/>
      <c r="E1374" s="22"/>
    </row>
    <row r="1375" ht="15.75" customHeight="1">
      <c r="D1375" s="25"/>
      <c r="E1375" s="22"/>
    </row>
    <row r="1376" ht="15.75" customHeight="1">
      <c r="D1376" s="25"/>
      <c r="E1376" s="22"/>
    </row>
    <row r="1377" ht="15.75" customHeight="1">
      <c r="D1377" s="25"/>
      <c r="E1377" s="22"/>
    </row>
    <row r="1378" ht="15.75" customHeight="1">
      <c r="D1378" s="25"/>
      <c r="E1378" s="22"/>
    </row>
    <row r="1379" ht="15.75" customHeight="1">
      <c r="D1379" s="25"/>
      <c r="E1379" s="22"/>
    </row>
    <row r="1380" ht="15.75" customHeight="1">
      <c r="D1380" s="25"/>
      <c r="E1380" s="22"/>
    </row>
    <row r="1381" ht="15.75" customHeight="1">
      <c r="D1381" s="25"/>
      <c r="E1381" s="22"/>
    </row>
    <row r="1382" ht="15.75" customHeight="1">
      <c r="D1382" s="25"/>
      <c r="E1382" s="22"/>
    </row>
    <row r="1383" ht="15.75" customHeight="1">
      <c r="D1383" s="25"/>
      <c r="E1383" s="22"/>
    </row>
    <row r="1384" ht="15.75" customHeight="1">
      <c r="D1384" s="25"/>
      <c r="E1384" s="22"/>
    </row>
    <row r="1385" ht="15.75" customHeight="1">
      <c r="D1385" s="25"/>
      <c r="E1385" s="22"/>
    </row>
    <row r="1386" ht="15.75" customHeight="1">
      <c r="D1386" s="25"/>
      <c r="E1386" s="22"/>
    </row>
    <row r="1387" ht="15.75" customHeight="1">
      <c r="D1387" s="25"/>
      <c r="E1387" s="22"/>
    </row>
    <row r="1388" ht="15.75" customHeight="1">
      <c r="D1388" s="25"/>
      <c r="E1388" s="22"/>
    </row>
    <row r="1389" ht="15.75" customHeight="1">
      <c r="D1389" s="25"/>
      <c r="E1389" s="22"/>
    </row>
    <row r="1390" ht="15.75" customHeight="1">
      <c r="D1390" s="25"/>
      <c r="E1390" s="22"/>
    </row>
    <row r="1391" ht="15.75" customHeight="1">
      <c r="D1391" s="25"/>
      <c r="E1391" s="22"/>
    </row>
    <row r="1392" ht="15.75" customHeight="1">
      <c r="D1392" s="25"/>
      <c r="E1392" s="22"/>
    </row>
    <row r="1393" ht="15.75" customHeight="1">
      <c r="D1393" s="25"/>
      <c r="E1393" s="22"/>
    </row>
    <row r="1394" ht="15.75" customHeight="1">
      <c r="D1394" s="25"/>
      <c r="E1394" s="22"/>
    </row>
    <row r="1395" ht="15.75" customHeight="1">
      <c r="D1395" s="25"/>
      <c r="E1395" s="22"/>
    </row>
    <row r="1396" ht="15.75" customHeight="1">
      <c r="D1396" s="25"/>
      <c r="E1396" s="22"/>
    </row>
    <row r="1397" ht="15.75" customHeight="1">
      <c r="D1397" s="25"/>
      <c r="E1397" s="22"/>
    </row>
    <row r="1398" ht="15.75" customHeight="1">
      <c r="D1398" s="25"/>
      <c r="E1398" s="22"/>
    </row>
    <row r="1399" ht="15.75" customHeight="1">
      <c r="D1399" s="25"/>
      <c r="E1399" s="22"/>
    </row>
    <row r="1400" ht="15.75" customHeight="1">
      <c r="D1400" s="25"/>
      <c r="E1400" s="22"/>
    </row>
    <row r="1401" ht="15.75" customHeight="1">
      <c r="D1401" s="25"/>
      <c r="E1401" s="22"/>
    </row>
    <row r="1402" ht="15.75" customHeight="1">
      <c r="D1402" s="25"/>
      <c r="E1402" s="22"/>
    </row>
    <row r="1403" ht="15.75" customHeight="1">
      <c r="D1403" s="25"/>
      <c r="E1403" s="22"/>
    </row>
    <row r="1404" ht="15.75" customHeight="1">
      <c r="D1404" s="25"/>
      <c r="E1404" s="22"/>
    </row>
    <row r="1405" ht="15.75" customHeight="1">
      <c r="D1405" s="25"/>
      <c r="E1405" s="22"/>
    </row>
    <row r="1406" ht="15.75" customHeight="1">
      <c r="D1406" s="25"/>
      <c r="E1406" s="22"/>
    </row>
    <row r="1407" ht="15.75" customHeight="1">
      <c r="D1407" s="25"/>
      <c r="E1407" s="22"/>
    </row>
    <row r="1408" ht="15.75" customHeight="1">
      <c r="D1408" s="25"/>
      <c r="E1408" s="22"/>
    </row>
    <row r="1409" ht="15.75" customHeight="1">
      <c r="D1409" s="25"/>
      <c r="E1409" s="22"/>
    </row>
    <row r="1410" ht="15.75" customHeight="1">
      <c r="D1410" s="25"/>
      <c r="E1410" s="22"/>
    </row>
    <row r="1411" ht="15.75" customHeight="1">
      <c r="D1411" s="25"/>
      <c r="E1411" s="22"/>
    </row>
    <row r="1412" ht="15.75" customHeight="1">
      <c r="D1412" s="25"/>
      <c r="E1412" s="22"/>
    </row>
    <row r="1413" ht="15.75" customHeight="1">
      <c r="D1413" s="25"/>
      <c r="E1413" s="22"/>
    </row>
    <row r="1414" ht="15.75" customHeight="1">
      <c r="D1414" s="25"/>
      <c r="E1414" s="22"/>
    </row>
    <row r="1415" ht="15.75" customHeight="1">
      <c r="D1415" s="25"/>
      <c r="E1415" s="22"/>
    </row>
    <row r="1416" ht="15.75" customHeight="1">
      <c r="D1416" s="25"/>
      <c r="E1416" s="22"/>
    </row>
    <row r="1417" ht="15.75" customHeight="1">
      <c r="D1417" s="25"/>
      <c r="E1417" s="22"/>
    </row>
    <row r="1418" ht="15.75" customHeight="1">
      <c r="D1418" s="25"/>
      <c r="E1418" s="22"/>
    </row>
    <row r="1419" ht="15.75" customHeight="1">
      <c r="D1419" s="25"/>
      <c r="E1419" s="22"/>
    </row>
    <row r="1420" ht="15.75" customHeight="1">
      <c r="D1420" s="25"/>
      <c r="E1420" s="22"/>
    </row>
    <row r="1421" ht="15.75" customHeight="1">
      <c r="D1421" s="25"/>
      <c r="E1421" s="22"/>
    </row>
    <row r="1422" ht="15.75" customHeight="1">
      <c r="D1422" s="25"/>
      <c r="E1422" s="22"/>
    </row>
    <row r="1423" ht="15.75" customHeight="1">
      <c r="D1423" s="25"/>
      <c r="E1423" s="22"/>
    </row>
    <row r="1424" ht="15.75" customHeight="1">
      <c r="D1424" s="25"/>
      <c r="E1424" s="22"/>
    </row>
    <row r="1425" ht="15.75" customHeight="1">
      <c r="D1425" s="25"/>
      <c r="E1425" s="22"/>
    </row>
    <row r="1426" ht="15.75" customHeight="1">
      <c r="D1426" s="25"/>
      <c r="E1426" s="22"/>
    </row>
    <row r="1427" ht="15.75" customHeight="1">
      <c r="D1427" s="25"/>
      <c r="E1427" s="22"/>
    </row>
    <row r="1428" ht="15.75" customHeight="1">
      <c r="D1428" s="25"/>
      <c r="E1428" s="22"/>
    </row>
    <row r="1429" ht="15.75" customHeight="1">
      <c r="D1429" s="25"/>
      <c r="E1429" s="22"/>
    </row>
    <row r="1430" ht="15.75" customHeight="1">
      <c r="D1430" s="25"/>
      <c r="E1430" s="22"/>
    </row>
    <row r="1431" ht="15.75" customHeight="1">
      <c r="D1431" s="25"/>
      <c r="E1431" s="22"/>
    </row>
    <row r="1432" ht="15.75" customHeight="1">
      <c r="D1432" s="25"/>
      <c r="E1432" s="22"/>
    </row>
    <row r="1433" ht="15.75" customHeight="1">
      <c r="D1433" s="25"/>
      <c r="E1433" s="22"/>
    </row>
    <row r="1434" ht="15.75" customHeight="1">
      <c r="D1434" s="25"/>
      <c r="E1434" s="22"/>
    </row>
    <row r="1435" ht="15.75" customHeight="1">
      <c r="D1435" s="25"/>
      <c r="E1435" s="22"/>
    </row>
    <row r="1436" ht="15.75" customHeight="1">
      <c r="D1436" s="25"/>
      <c r="E1436" s="22"/>
    </row>
    <row r="1437" ht="15.75" customHeight="1">
      <c r="D1437" s="25"/>
      <c r="E1437" s="22"/>
    </row>
    <row r="1438" ht="15.75" customHeight="1">
      <c r="D1438" s="25"/>
      <c r="E1438" s="22"/>
    </row>
    <row r="1439" ht="15.75" customHeight="1">
      <c r="D1439" s="25"/>
      <c r="E1439" s="22"/>
    </row>
    <row r="1440" ht="15.75" customHeight="1">
      <c r="D1440" s="25"/>
      <c r="E1440" s="22"/>
    </row>
    <row r="1441" ht="15.75" customHeight="1">
      <c r="D1441" s="25"/>
      <c r="E1441" s="22"/>
    </row>
    <row r="1442" ht="15.75" customHeight="1">
      <c r="D1442" s="25"/>
      <c r="E1442" s="22"/>
    </row>
    <row r="1443" ht="15.75" customHeight="1">
      <c r="D1443" s="25"/>
      <c r="E1443" s="22"/>
    </row>
    <row r="1444" ht="15.75" customHeight="1">
      <c r="D1444" s="25"/>
      <c r="E1444" s="22"/>
    </row>
    <row r="1445" ht="15.75" customHeight="1">
      <c r="D1445" s="25"/>
      <c r="E1445" s="22"/>
    </row>
    <row r="1446" ht="15.75" customHeight="1">
      <c r="D1446" s="25"/>
      <c r="E1446" s="22"/>
    </row>
    <row r="1447" ht="15.75" customHeight="1">
      <c r="D1447" s="25"/>
      <c r="E1447" s="22"/>
    </row>
    <row r="1448" ht="15.75" customHeight="1">
      <c r="D1448" s="25"/>
      <c r="E1448" s="22"/>
    </row>
    <row r="1449" ht="15.75" customHeight="1">
      <c r="D1449" s="25"/>
      <c r="E1449" s="22"/>
    </row>
    <row r="1450" ht="15.75" customHeight="1">
      <c r="D1450" s="25"/>
      <c r="E1450" s="22"/>
    </row>
    <row r="1451" ht="15.75" customHeight="1">
      <c r="D1451" s="25"/>
      <c r="E1451" s="22"/>
    </row>
    <row r="1452" ht="15.75" customHeight="1">
      <c r="D1452" s="25"/>
      <c r="E1452" s="22"/>
    </row>
    <row r="1453" ht="15.75" customHeight="1">
      <c r="D1453" s="25"/>
      <c r="E1453" s="22"/>
    </row>
    <row r="1454" ht="15.75" customHeight="1">
      <c r="D1454" s="25"/>
      <c r="E1454" s="22"/>
    </row>
    <row r="1455" ht="15.75" customHeight="1">
      <c r="D1455" s="25"/>
      <c r="E1455" s="22"/>
    </row>
    <row r="1456" ht="15.75" customHeight="1">
      <c r="D1456" s="25"/>
      <c r="E1456" s="22"/>
    </row>
    <row r="1457" ht="15.75" customHeight="1">
      <c r="D1457" s="25"/>
      <c r="E1457" s="22"/>
    </row>
    <row r="1458" ht="15.75" customHeight="1">
      <c r="D1458" s="25"/>
      <c r="E1458" s="22"/>
    </row>
    <row r="1459" ht="15.75" customHeight="1">
      <c r="D1459" s="25"/>
      <c r="E1459" s="22"/>
    </row>
    <row r="1460" ht="15.75" customHeight="1">
      <c r="D1460" s="25"/>
      <c r="E1460" s="22"/>
    </row>
    <row r="1461" ht="15.75" customHeight="1">
      <c r="D1461" s="25"/>
      <c r="E1461" s="22"/>
    </row>
    <row r="1462" ht="15.75" customHeight="1">
      <c r="D1462" s="25"/>
      <c r="E1462" s="22"/>
    </row>
    <row r="1463" ht="15.75" customHeight="1">
      <c r="D1463" s="25"/>
      <c r="E1463" s="22"/>
    </row>
    <row r="1464" ht="15.75" customHeight="1">
      <c r="D1464" s="25"/>
      <c r="E1464" s="22"/>
    </row>
    <row r="1465" ht="15.75" customHeight="1">
      <c r="D1465" s="25"/>
      <c r="E1465" s="22"/>
    </row>
    <row r="1466" ht="15.75" customHeight="1">
      <c r="D1466" s="25"/>
      <c r="E1466" s="22"/>
    </row>
    <row r="1467" ht="15.75" customHeight="1">
      <c r="D1467" s="25"/>
      <c r="E1467" s="22"/>
    </row>
    <row r="1468" ht="15.75" customHeight="1">
      <c r="D1468" s="25"/>
      <c r="E1468" s="22"/>
    </row>
    <row r="1469" ht="15.75" customHeight="1">
      <c r="D1469" s="25"/>
      <c r="E1469" s="22"/>
    </row>
    <row r="1470" ht="15.75" customHeight="1">
      <c r="D1470" s="25"/>
      <c r="E1470" s="22"/>
    </row>
    <row r="1471" ht="15.75" customHeight="1">
      <c r="D1471" s="25"/>
      <c r="E1471" s="22"/>
    </row>
    <row r="1472" ht="15.75" customHeight="1">
      <c r="D1472" s="25"/>
      <c r="E1472" s="22"/>
    </row>
    <row r="1473" ht="15.75" customHeight="1">
      <c r="D1473" s="25"/>
      <c r="E1473" s="22"/>
    </row>
    <row r="1474" ht="15.75" customHeight="1">
      <c r="D1474" s="25"/>
      <c r="E1474" s="22"/>
    </row>
    <row r="1475" ht="15.75" customHeight="1">
      <c r="D1475" s="25"/>
      <c r="E1475" s="22"/>
    </row>
    <row r="1476" ht="15.75" customHeight="1">
      <c r="D1476" s="25"/>
      <c r="E1476" s="22"/>
    </row>
    <row r="1477" ht="15.75" customHeight="1">
      <c r="D1477" s="25"/>
      <c r="E1477" s="22"/>
    </row>
    <row r="1478" ht="15.75" customHeight="1">
      <c r="D1478" s="25"/>
      <c r="E1478" s="22"/>
    </row>
    <row r="1479" ht="15.75" customHeight="1">
      <c r="D1479" s="25"/>
      <c r="E1479" s="22"/>
    </row>
    <row r="1480" ht="15.75" customHeight="1">
      <c r="D1480" s="25"/>
      <c r="E1480" s="22"/>
    </row>
    <row r="1481" ht="15.75" customHeight="1">
      <c r="D1481" s="25"/>
      <c r="E1481" s="22"/>
    </row>
    <row r="1482" ht="15.75" customHeight="1">
      <c r="D1482" s="25"/>
      <c r="E1482" s="22"/>
    </row>
    <row r="1483" ht="15.75" customHeight="1">
      <c r="D1483" s="25"/>
      <c r="E1483" s="22"/>
    </row>
    <row r="1484" ht="15.75" customHeight="1">
      <c r="D1484" s="25"/>
      <c r="E1484" s="22"/>
    </row>
    <row r="1485" ht="15.75" customHeight="1">
      <c r="D1485" s="25"/>
      <c r="E1485" s="22"/>
    </row>
    <row r="1486" ht="15.75" customHeight="1">
      <c r="D1486" s="25"/>
      <c r="E1486" s="22"/>
    </row>
    <row r="1487" ht="15.75" customHeight="1">
      <c r="D1487" s="25"/>
      <c r="E1487" s="22"/>
    </row>
    <row r="1488" ht="15.75" customHeight="1">
      <c r="D1488" s="25"/>
      <c r="E1488" s="22"/>
    </row>
    <row r="1489" ht="15.75" customHeight="1">
      <c r="D1489" s="25"/>
      <c r="E1489" s="22"/>
    </row>
    <row r="1490" ht="15.75" customHeight="1">
      <c r="D1490" s="25"/>
      <c r="E1490" s="22"/>
    </row>
    <row r="1491" ht="15.75" customHeight="1">
      <c r="D1491" s="25"/>
      <c r="E1491" s="22"/>
    </row>
    <row r="1492" ht="15.75" customHeight="1">
      <c r="D1492" s="25"/>
      <c r="E1492" s="22"/>
    </row>
    <row r="1493" ht="15.75" customHeight="1">
      <c r="D1493" s="25"/>
      <c r="E1493" s="22"/>
    </row>
    <row r="1494" ht="15.75" customHeight="1">
      <c r="D1494" s="25"/>
      <c r="E1494" s="22"/>
    </row>
    <row r="1495" ht="15.75" customHeight="1">
      <c r="D1495" s="25"/>
      <c r="E1495" s="22"/>
    </row>
    <row r="1496" ht="15.75" customHeight="1">
      <c r="D1496" s="25"/>
      <c r="E1496" s="22"/>
    </row>
    <row r="1497" ht="15.75" customHeight="1">
      <c r="D1497" s="25"/>
      <c r="E1497" s="22"/>
    </row>
    <row r="1498" ht="15.75" customHeight="1">
      <c r="D1498" s="25"/>
      <c r="E1498" s="22"/>
    </row>
    <row r="1499" ht="15.75" customHeight="1">
      <c r="D1499" s="25"/>
      <c r="E1499" s="22"/>
    </row>
    <row r="1500" ht="15.75" customHeight="1">
      <c r="D1500" s="25"/>
      <c r="E1500" s="22"/>
    </row>
    <row r="1501" ht="15.75" customHeight="1">
      <c r="D1501" s="25"/>
      <c r="E1501" s="22"/>
    </row>
    <row r="1502" ht="15.75" customHeight="1">
      <c r="D1502" s="25"/>
      <c r="E1502" s="22"/>
    </row>
    <row r="1503" ht="15.75" customHeight="1">
      <c r="D1503" s="25"/>
      <c r="E1503" s="22"/>
    </row>
    <row r="1504" ht="15.75" customHeight="1">
      <c r="D1504" s="25"/>
      <c r="E1504" s="22"/>
    </row>
    <row r="1505" ht="15.75" customHeight="1">
      <c r="D1505" s="25"/>
      <c r="E1505" s="22"/>
    </row>
    <row r="1506" ht="15.75" customHeight="1">
      <c r="D1506" s="25"/>
      <c r="E1506" s="22"/>
    </row>
    <row r="1507" ht="15.75" customHeight="1">
      <c r="D1507" s="25"/>
      <c r="E1507" s="22"/>
    </row>
    <row r="1508" ht="15.75" customHeight="1">
      <c r="D1508" s="25"/>
      <c r="E1508" s="22"/>
    </row>
    <row r="1509" ht="15.75" customHeight="1">
      <c r="D1509" s="25"/>
      <c r="E1509" s="22"/>
    </row>
    <row r="1510" ht="15.75" customHeight="1">
      <c r="D1510" s="25"/>
      <c r="E1510" s="22"/>
    </row>
    <row r="1511" ht="15.75" customHeight="1">
      <c r="D1511" s="25"/>
      <c r="E1511" s="22"/>
    </row>
    <row r="1512" ht="15.75" customHeight="1">
      <c r="D1512" s="25"/>
      <c r="E1512" s="22"/>
    </row>
    <row r="1513" ht="15.75" customHeight="1">
      <c r="D1513" s="25"/>
      <c r="E1513" s="22"/>
    </row>
    <row r="1514" ht="15.75" customHeight="1">
      <c r="D1514" s="25"/>
      <c r="E1514" s="22"/>
    </row>
    <row r="1515" ht="15.75" customHeight="1">
      <c r="D1515" s="25"/>
      <c r="E1515" s="22"/>
    </row>
    <row r="1516" ht="15.75" customHeight="1">
      <c r="D1516" s="25"/>
      <c r="E1516" s="22"/>
    </row>
    <row r="1517" ht="15.75" customHeight="1">
      <c r="D1517" s="25"/>
      <c r="E1517" s="22"/>
    </row>
    <row r="1518" ht="15.75" customHeight="1">
      <c r="D1518" s="25"/>
      <c r="E1518" s="22"/>
    </row>
    <row r="1519" ht="15.75" customHeight="1">
      <c r="D1519" s="25"/>
      <c r="E1519" s="22"/>
    </row>
    <row r="1520" ht="15.75" customHeight="1">
      <c r="D1520" s="25"/>
      <c r="E1520" s="22"/>
    </row>
    <row r="1521" ht="15.75" customHeight="1">
      <c r="D1521" s="25"/>
      <c r="E1521" s="22"/>
    </row>
    <row r="1522" ht="15.75" customHeight="1">
      <c r="D1522" s="25"/>
      <c r="E1522" s="22"/>
    </row>
    <row r="1523" ht="15.75" customHeight="1">
      <c r="D1523" s="25"/>
      <c r="E1523" s="22"/>
    </row>
    <row r="1524" ht="15.75" customHeight="1">
      <c r="D1524" s="25"/>
      <c r="E1524" s="22"/>
    </row>
    <row r="1525" ht="15.75" customHeight="1">
      <c r="D1525" s="25"/>
      <c r="E1525" s="22"/>
    </row>
    <row r="1526" ht="15.75" customHeight="1">
      <c r="D1526" s="25"/>
      <c r="E1526" s="22"/>
    </row>
    <row r="1527" ht="15.75" customHeight="1">
      <c r="D1527" s="25"/>
      <c r="E1527" s="22"/>
    </row>
    <row r="1528" ht="15.75" customHeight="1">
      <c r="D1528" s="25"/>
      <c r="E1528" s="22"/>
    </row>
    <row r="1529" ht="15.75" customHeight="1">
      <c r="D1529" s="25"/>
      <c r="E1529" s="22"/>
    </row>
    <row r="1530" ht="15.75" customHeight="1">
      <c r="D1530" s="25"/>
      <c r="E1530" s="22"/>
    </row>
    <row r="1531" ht="15.75" customHeight="1">
      <c r="D1531" s="25"/>
      <c r="E1531" s="22"/>
    </row>
    <row r="1532" ht="15.75" customHeight="1">
      <c r="D1532" s="25"/>
      <c r="E1532" s="22"/>
    </row>
    <row r="1533" ht="15.75" customHeight="1">
      <c r="D1533" s="25"/>
      <c r="E1533" s="22"/>
    </row>
    <row r="1534" ht="15.75" customHeight="1">
      <c r="D1534" s="25"/>
      <c r="E1534" s="22"/>
    </row>
    <row r="1535" ht="15.75" customHeight="1">
      <c r="D1535" s="25"/>
      <c r="E1535" s="22"/>
    </row>
    <row r="1536" ht="15.75" customHeight="1">
      <c r="D1536" s="25"/>
      <c r="E1536" s="22"/>
    </row>
    <row r="1537" ht="15.75" customHeight="1">
      <c r="D1537" s="25"/>
      <c r="E1537" s="22"/>
    </row>
    <row r="1538" ht="15.75" customHeight="1">
      <c r="D1538" s="25"/>
      <c r="E1538" s="22"/>
    </row>
    <row r="1539" ht="15.75" customHeight="1">
      <c r="D1539" s="25"/>
      <c r="E1539" s="22"/>
    </row>
    <row r="1540" ht="15.75" customHeight="1">
      <c r="D1540" s="25"/>
      <c r="E1540" s="22"/>
    </row>
    <row r="1541" ht="15.75" customHeight="1">
      <c r="D1541" s="25"/>
      <c r="E1541" s="22"/>
    </row>
    <row r="1542" ht="15.75" customHeight="1">
      <c r="D1542" s="25"/>
      <c r="E1542" s="22"/>
    </row>
    <row r="1543" ht="15.75" customHeight="1">
      <c r="D1543" s="25"/>
      <c r="E1543" s="22"/>
    </row>
    <row r="1544" ht="15.75" customHeight="1">
      <c r="D1544" s="25"/>
      <c r="E1544" s="22"/>
    </row>
    <row r="1545" ht="15.75" customHeight="1">
      <c r="D1545" s="25"/>
      <c r="E1545" s="22"/>
    </row>
    <row r="1546" ht="15.75" customHeight="1">
      <c r="D1546" s="25"/>
      <c r="E1546" s="22"/>
    </row>
    <row r="1547" ht="15.75" customHeight="1">
      <c r="D1547" s="25"/>
      <c r="E1547" s="22"/>
    </row>
    <row r="1548" ht="15.75" customHeight="1">
      <c r="D1548" s="25"/>
      <c r="E1548" s="22"/>
    </row>
    <row r="1549" ht="15.75" customHeight="1">
      <c r="D1549" s="25"/>
      <c r="E1549" s="22"/>
    </row>
    <row r="1550" ht="15.75" customHeight="1">
      <c r="D1550" s="25"/>
      <c r="E1550" s="22"/>
    </row>
    <row r="1551" ht="15.75" customHeight="1">
      <c r="D1551" s="25"/>
      <c r="E1551" s="22"/>
    </row>
    <row r="1552" ht="15.75" customHeight="1">
      <c r="D1552" s="25"/>
      <c r="E1552" s="22"/>
    </row>
    <row r="1553" ht="15.75" customHeight="1">
      <c r="D1553" s="25"/>
      <c r="E1553" s="22"/>
    </row>
    <row r="1554" ht="15.75" customHeight="1">
      <c r="D1554" s="25"/>
      <c r="E1554" s="22"/>
    </row>
    <row r="1555" ht="15.75" customHeight="1">
      <c r="D1555" s="25"/>
      <c r="E1555" s="22"/>
    </row>
    <row r="1556" ht="15.75" customHeight="1">
      <c r="D1556" s="25"/>
      <c r="E1556" s="22"/>
    </row>
    <row r="1557" ht="15.75" customHeight="1">
      <c r="D1557" s="25"/>
      <c r="E1557" s="22"/>
    </row>
    <row r="1558" ht="15.75" customHeight="1">
      <c r="D1558" s="25"/>
      <c r="E1558" s="22"/>
    </row>
    <row r="1559" ht="15.75" customHeight="1">
      <c r="D1559" s="25"/>
      <c r="E1559" s="22"/>
    </row>
    <row r="1560" ht="15.75" customHeight="1">
      <c r="D1560" s="25"/>
      <c r="E1560" s="22"/>
    </row>
    <row r="1561" ht="15.75" customHeight="1">
      <c r="D1561" s="25"/>
      <c r="E1561" s="22"/>
    </row>
    <row r="1562" ht="15.75" customHeight="1">
      <c r="D1562" s="25"/>
      <c r="E1562" s="22"/>
    </row>
    <row r="1563" ht="15.75" customHeight="1">
      <c r="D1563" s="25"/>
      <c r="E1563" s="22"/>
    </row>
    <row r="1564" ht="15.75" customHeight="1">
      <c r="D1564" s="25"/>
      <c r="E1564" s="22"/>
    </row>
    <row r="1565" ht="15.75" customHeight="1">
      <c r="D1565" s="25"/>
      <c r="E1565" s="22"/>
    </row>
    <row r="1566" ht="15.75" customHeight="1">
      <c r="D1566" s="25"/>
      <c r="E1566" s="22"/>
    </row>
    <row r="1567" ht="15.75" customHeight="1">
      <c r="D1567" s="25"/>
      <c r="E1567" s="22"/>
    </row>
    <row r="1568" ht="15.75" customHeight="1">
      <c r="D1568" s="25"/>
      <c r="E1568" s="22"/>
    </row>
    <row r="1569" ht="15.75" customHeight="1">
      <c r="D1569" s="25"/>
      <c r="E1569" s="22"/>
    </row>
    <row r="1570" ht="15.75" customHeight="1">
      <c r="D1570" s="25"/>
      <c r="E1570" s="22"/>
    </row>
    <row r="1571" ht="15.75" customHeight="1">
      <c r="D1571" s="25"/>
      <c r="E1571" s="22"/>
    </row>
    <row r="1572" ht="15.75" customHeight="1">
      <c r="D1572" s="25"/>
      <c r="E1572" s="22"/>
    </row>
    <row r="1573" ht="15.75" customHeight="1">
      <c r="D1573" s="25"/>
      <c r="E1573" s="22"/>
    </row>
    <row r="1574" ht="15.75" customHeight="1">
      <c r="D1574" s="25"/>
      <c r="E1574" s="22"/>
    </row>
    <row r="1575" ht="15.75" customHeight="1">
      <c r="D1575" s="25"/>
      <c r="E1575" s="22"/>
    </row>
    <row r="1576" ht="15.75" customHeight="1">
      <c r="D1576" s="25"/>
      <c r="E1576" s="22"/>
    </row>
    <row r="1577" ht="15.75" customHeight="1">
      <c r="D1577" s="25"/>
      <c r="E1577" s="22"/>
    </row>
    <row r="1578" ht="15.75" customHeight="1">
      <c r="D1578" s="25"/>
      <c r="E1578" s="22"/>
    </row>
    <row r="1579" ht="15.75" customHeight="1">
      <c r="D1579" s="25"/>
      <c r="E1579" s="22"/>
    </row>
    <row r="1580" ht="15.75" customHeight="1">
      <c r="D1580" s="25"/>
      <c r="E1580" s="22"/>
    </row>
    <row r="1581" ht="15.75" customHeight="1">
      <c r="D1581" s="25"/>
      <c r="E1581" s="22"/>
    </row>
    <row r="1582" ht="15.75" customHeight="1">
      <c r="D1582" s="25"/>
      <c r="E1582" s="22"/>
    </row>
    <row r="1583" ht="15.75" customHeight="1">
      <c r="D1583" s="25"/>
      <c r="E1583" s="22"/>
    </row>
    <row r="1584" ht="15.75" customHeight="1">
      <c r="D1584" s="25"/>
      <c r="E1584" s="22"/>
    </row>
    <row r="1585" ht="15.75" customHeight="1">
      <c r="D1585" s="25"/>
      <c r="E1585" s="22"/>
    </row>
    <row r="1586" ht="15.75" customHeight="1">
      <c r="D1586" s="25"/>
      <c r="E1586" s="22"/>
    </row>
    <row r="1587" ht="15.75" customHeight="1">
      <c r="D1587" s="25"/>
      <c r="E1587" s="22"/>
    </row>
    <row r="1588" ht="15.75" customHeight="1">
      <c r="D1588" s="25"/>
      <c r="E1588" s="22"/>
    </row>
    <row r="1589" ht="15.75" customHeight="1">
      <c r="D1589" s="25"/>
      <c r="E1589" s="22"/>
    </row>
    <row r="1590" ht="15.75" customHeight="1">
      <c r="D1590" s="25"/>
      <c r="E1590" s="22"/>
    </row>
    <row r="1591" ht="15.75" customHeight="1">
      <c r="D1591" s="25"/>
      <c r="E1591" s="22"/>
    </row>
    <row r="1592" ht="15.75" customHeight="1">
      <c r="D1592" s="25"/>
      <c r="E1592" s="22"/>
    </row>
    <row r="1593" ht="15.75" customHeight="1">
      <c r="D1593" s="25"/>
      <c r="E1593" s="22"/>
    </row>
    <row r="1594" ht="15.75" customHeight="1">
      <c r="D1594" s="25"/>
      <c r="E1594" s="22"/>
    </row>
    <row r="1595" ht="15.75" customHeight="1">
      <c r="D1595" s="25"/>
      <c r="E1595" s="22"/>
    </row>
    <row r="1596" ht="15.75" customHeight="1">
      <c r="D1596" s="25"/>
      <c r="E1596" s="22"/>
    </row>
    <row r="1597" ht="15.75" customHeight="1">
      <c r="D1597" s="25"/>
      <c r="E1597" s="22"/>
    </row>
    <row r="1598" ht="15.75" customHeight="1">
      <c r="D1598" s="25"/>
      <c r="E1598" s="22"/>
    </row>
    <row r="1599" ht="15.75" customHeight="1">
      <c r="D1599" s="25"/>
      <c r="E1599" s="22"/>
    </row>
    <row r="1600" ht="15.75" customHeight="1">
      <c r="D1600" s="25"/>
      <c r="E1600" s="22"/>
    </row>
    <row r="1601" ht="15.75" customHeight="1">
      <c r="D1601" s="25"/>
      <c r="E1601" s="22"/>
    </row>
    <row r="1602" ht="15.75" customHeight="1">
      <c r="D1602" s="25"/>
      <c r="E1602" s="22"/>
    </row>
    <row r="1603" ht="15.75" customHeight="1">
      <c r="D1603" s="25"/>
      <c r="E1603" s="22"/>
    </row>
    <row r="1604" ht="15.75" customHeight="1">
      <c r="D1604" s="25"/>
      <c r="E1604" s="22"/>
    </row>
    <row r="1605" ht="15.75" customHeight="1">
      <c r="D1605" s="25"/>
      <c r="E1605" s="22"/>
    </row>
    <row r="1606" ht="15.75" customHeight="1">
      <c r="D1606" s="25"/>
      <c r="E1606" s="22"/>
    </row>
    <row r="1607" ht="15.75" customHeight="1">
      <c r="D1607" s="25"/>
      <c r="E1607" s="22"/>
    </row>
    <row r="1608" ht="15.75" customHeight="1">
      <c r="D1608" s="25"/>
      <c r="E1608" s="22"/>
    </row>
    <row r="1609" ht="15.75" customHeight="1">
      <c r="D1609" s="25"/>
      <c r="E1609" s="22"/>
    </row>
    <row r="1610" ht="15.75" customHeight="1">
      <c r="D1610" s="25"/>
      <c r="E1610" s="22"/>
    </row>
    <row r="1611" ht="15.75" customHeight="1">
      <c r="D1611" s="25"/>
      <c r="E1611" s="22"/>
    </row>
    <row r="1612" ht="15.75" customHeight="1">
      <c r="D1612" s="25"/>
      <c r="E1612" s="22"/>
    </row>
    <row r="1613" ht="15.75" customHeight="1">
      <c r="D1613" s="25"/>
      <c r="E1613" s="22"/>
    </row>
    <row r="1614" ht="15.75" customHeight="1">
      <c r="D1614" s="25"/>
      <c r="E1614" s="22"/>
    </row>
    <row r="1615" ht="15.75" customHeight="1">
      <c r="D1615" s="25"/>
      <c r="E1615" s="22"/>
    </row>
    <row r="1616" ht="15.75" customHeight="1">
      <c r="D1616" s="25"/>
      <c r="E1616" s="22"/>
    </row>
    <row r="1617" ht="15.75" customHeight="1">
      <c r="D1617" s="25"/>
      <c r="E1617" s="22"/>
    </row>
    <row r="1618" ht="15.75" customHeight="1">
      <c r="D1618" s="25"/>
      <c r="E1618" s="22"/>
    </row>
    <row r="1619" ht="15.75" customHeight="1">
      <c r="D1619" s="25"/>
      <c r="E1619" s="22"/>
    </row>
    <row r="1620" ht="15.75" customHeight="1">
      <c r="D1620" s="25"/>
      <c r="E1620" s="22"/>
    </row>
    <row r="1621" ht="15.75" customHeight="1">
      <c r="D1621" s="25"/>
      <c r="E1621" s="22"/>
    </row>
    <row r="1622" ht="15.75" customHeight="1">
      <c r="D1622" s="25"/>
      <c r="E1622" s="22"/>
    </row>
    <row r="1623" ht="15.75" customHeight="1">
      <c r="D1623" s="25"/>
      <c r="E1623" s="22"/>
    </row>
    <row r="1624" ht="15.75" customHeight="1">
      <c r="D1624" s="25"/>
      <c r="E1624" s="22"/>
    </row>
    <row r="1625" ht="15.75" customHeight="1">
      <c r="D1625" s="25"/>
      <c r="E1625" s="22"/>
    </row>
    <row r="1626" ht="15.75" customHeight="1">
      <c r="D1626" s="25"/>
      <c r="E1626" s="22"/>
    </row>
    <row r="1627" ht="15.75" customHeight="1">
      <c r="D1627" s="25"/>
      <c r="E1627" s="22"/>
    </row>
    <row r="1628" ht="15.75" customHeight="1">
      <c r="D1628" s="25"/>
      <c r="E1628" s="22"/>
    </row>
    <row r="1629" ht="15.75" customHeight="1">
      <c r="D1629" s="25"/>
      <c r="E1629" s="22"/>
    </row>
    <row r="1630" ht="15.75" customHeight="1">
      <c r="D1630" s="25"/>
      <c r="E1630" s="22"/>
    </row>
    <row r="1631" ht="15.75" customHeight="1">
      <c r="D1631" s="25"/>
      <c r="E1631" s="22"/>
    </row>
    <row r="1632" ht="15.75" customHeight="1">
      <c r="D1632" s="25"/>
      <c r="E1632" s="22"/>
    </row>
    <row r="1633" ht="15.75" customHeight="1">
      <c r="D1633" s="25"/>
      <c r="E1633" s="22"/>
    </row>
    <row r="1634" ht="15.75" customHeight="1">
      <c r="D1634" s="25"/>
      <c r="E1634" s="22"/>
    </row>
    <row r="1635" ht="15.75" customHeight="1">
      <c r="D1635" s="25"/>
      <c r="E1635" s="22"/>
    </row>
    <row r="1636" ht="15.75" customHeight="1">
      <c r="D1636" s="25"/>
      <c r="E1636" s="22"/>
    </row>
    <row r="1637" ht="15.75" customHeight="1">
      <c r="D1637" s="25"/>
      <c r="E1637" s="22"/>
    </row>
    <row r="1638" ht="15.75" customHeight="1">
      <c r="D1638" s="25"/>
      <c r="E1638" s="22"/>
    </row>
    <row r="1639" ht="15.75" customHeight="1">
      <c r="D1639" s="25"/>
      <c r="E1639" s="22"/>
    </row>
    <row r="1640" ht="15.75" customHeight="1">
      <c r="D1640" s="25"/>
      <c r="E1640" s="22"/>
    </row>
    <row r="1641" ht="15.75" customHeight="1">
      <c r="D1641" s="25"/>
      <c r="E1641" s="22"/>
    </row>
    <row r="1642" ht="15.75" customHeight="1">
      <c r="D1642" s="25"/>
      <c r="E1642" s="22"/>
    </row>
    <row r="1643" ht="15.75" customHeight="1">
      <c r="D1643" s="25"/>
      <c r="E1643" s="22"/>
    </row>
    <row r="1644" ht="15.75" customHeight="1">
      <c r="D1644" s="25"/>
      <c r="E1644" s="22"/>
    </row>
    <row r="1645" ht="15.75" customHeight="1">
      <c r="D1645" s="25"/>
      <c r="E1645" s="22"/>
    </row>
    <row r="1646" ht="15.75" customHeight="1">
      <c r="D1646" s="25"/>
      <c r="E1646" s="22"/>
    </row>
    <row r="1647" ht="15.75" customHeight="1">
      <c r="D1647" s="25"/>
      <c r="E1647" s="22"/>
    </row>
    <row r="1648" ht="15.75" customHeight="1">
      <c r="D1648" s="25"/>
      <c r="E1648" s="22"/>
    </row>
    <row r="1649" ht="15.75" customHeight="1">
      <c r="D1649" s="25"/>
      <c r="E1649" s="22"/>
    </row>
    <row r="1650" ht="15.75" customHeight="1">
      <c r="D1650" s="25"/>
      <c r="E1650" s="22"/>
    </row>
    <row r="1651" ht="15.75" customHeight="1">
      <c r="D1651" s="25"/>
      <c r="E1651" s="22"/>
    </row>
    <row r="1652" ht="15.75" customHeight="1">
      <c r="D1652" s="25"/>
      <c r="E1652" s="22"/>
    </row>
    <row r="1653" ht="15.75" customHeight="1">
      <c r="D1653" s="25"/>
      <c r="E1653" s="22"/>
    </row>
    <row r="1654" ht="15.75" customHeight="1">
      <c r="D1654" s="25"/>
      <c r="E1654" s="22"/>
    </row>
    <row r="1655" ht="15.75" customHeight="1">
      <c r="D1655" s="25"/>
      <c r="E1655" s="22"/>
    </row>
    <row r="1656" ht="15.75" customHeight="1">
      <c r="D1656" s="25"/>
      <c r="E1656" s="22"/>
    </row>
    <row r="1657" ht="15.75" customHeight="1">
      <c r="D1657" s="25"/>
      <c r="E1657" s="22"/>
    </row>
    <row r="1658" ht="15.75" customHeight="1">
      <c r="D1658" s="25"/>
      <c r="E1658" s="22"/>
    </row>
    <row r="1659" ht="15.75" customHeight="1">
      <c r="D1659" s="25"/>
      <c r="E1659" s="22"/>
    </row>
    <row r="1660" ht="15.75" customHeight="1">
      <c r="D1660" s="25"/>
      <c r="E1660" s="22"/>
    </row>
    <row r="1661" ht="15.75" customHeight="1">
      <c r="D1661" s="25"/>
      <c r="E1661" s="22"/>
    </row>
    <row r="1662" ht="15.75" customHeight="1">
      <c r="D1662" s="25"/>
      <c r="E1662" s="22"/>
    </row>
    <row r="1663" ht="15.75" customHeight="1">
      <c r="D1663" s="25"/>
      <c r="E1663" s="22"/>
    </row>
    <row r="1664" ht="15.75" customHeight="1">
      <c r="D1664" s="25"/>
      <c r="E1664" s="22"/>
    </row>
    <row r="1665" ht="15.75" customHeight="1">
      <c r="D1665" s="25"/>
      <c r="E1665" s="22"/>
    </row>
    <row r="1666" ht="15.75" customHeight="1">
      <c r="D1666" s="25"/>
      <c r="E1666" s="22"/>
    </row>
    <row r="1667" ht="15.75" customHeight="1">
      <c r="D1667" s="25"/>
      <c r="E1667" s="22"/>
    </row>
    <row r="1668" ht="15.75" customHeight="1">
      <c r="D1668" s="25"/>
      <c r="E1668" s="22"/>
    </row>
    <row r="1669" ht="15.75" customHeight="1">
      <c r="D1669" s="25"/>
      <c r="E1669" s="22"/>
    </row>
    <row r="1670" ht="15.75" customHeight="1">
      <c r="D1670" s="25"/>
      <c r="E1670" s="22"/>
    </row>
    <row r="1671" ht="15.75" customHeight="1">
      <c r="D1671" s="25"/>
      <c r="E1671" s="22"/>
    </row>
    <row r="1672" ht="15.75" customHeight="1">
      <c r="D1672" s="25"/>
      <c r="E1672" s="22"/>
    </row>
    <row r="1673" ht="15.75" customHeight="1">
      <c r="D1673" s="25"/>
      <c r="E1673" s="22"/>
    </row>
    <row r="1674" ht="15.75" customHeight="1">
      <c r="D1674" s="25"/>
      <c r="E1674" s="22"/>
    </row>
    <row r="1675" ht="15.75" customHeight="1">
      <c r="D1675" s="25"/>
      <c r="E1675" s="22"/>
    </row>
    <row r="1676" ht="15.75" customHeight="1">
      <c r="D1676" s="25"/>
      <c r="E1676" s="22"/>
    </row>
    <row r="1677" ht="15.75" customHeight="1">
      <c r="D1677" s="25"/>
      <c r="E1677" s="22"/>
    </row>
    <row r="1678" ht="15.75" customHeight="1">
      <c r="D1678" s="25"/>
      <c r="E1678" s="22"/>
    </row>
    <row r="1679" ht="15.75" customHeight="1">
      <c r="D1679" s="25"/>
      <c r="E1679" s="22"/>
    </row>
    <row r="1680" ht="15.75" customHeight="1">
      <c r="D1680" s="25"/>
      <c r="E1680" s="22"/>
    </row>
    <row r="1681" ht="15.75" customHeight="1">
      <c r="D1681" s="25"/>
      <c r="E1681" s="22"/>
    </row>
    <row r="1682" ht="15.75" customHeight="1">
      <c r="D1682" s="25"/>
      <c r="E1682" s="22"/>
    </row>
    <row r="1683" ht="15.75" customHeight="1">
      <c r="D1683" s="25"/>
      <c r="E1683" s="22"/>
    </row>
    <row r="1684" ht="15.75" customHeight="1">
      <c r="D1684" s="25"/>
      <c r="E1684" s="22"/>
    </row>
    <row r="1685" ht="15.75" customHeight="1">
      <c r="D1685" s="25"/>
      <c r="E1685" s="22"/>
    </row>
    <row r="1686" ht="15.75" customHeight="1">
      <c r="D1686" s="25"/>
      <c r="E1686" s="22"/>
    </row>
    <row r="1687" ht="15.75" customHeight="1">
      <c r="D1687" s="25"/>
      <c r="E1687" s="22"/>
    </row>
    <row r="1688" ht="15.75" customHeight="1">
      <c r="D1688" s="25"/>
      <c r="E1688" s="22"/>
    </row>
    <row r="1689" ht="15.75" customHeight="1">
      <c r="D1689" s="25"/>
      <c r="E1689" s="22"/>
    </row>
    <row r="1690" ht="15.75" customHeight="1">
      <c r="D1690" s="25"/>
      <c r="E1690" s="22"/>
    </row>
    <row r="1691" ht="15.75" customHeight="1">
      <c r="D1691" s="25"/>
      <c r="E1691" s="22"/>
    </row>
    <row r="1692" ht="15.75" customHeight="1">
      <c r="D1692" s="25"/>
      <c r="E1692" s="22"/>
    </row>
    <row r="1693" ht="15.75" customHeight="1">
      <c r="D1693" s="25"/>
      <c r="E1693" s="22"/>
    </row>
    <row r="1694" ht="15.75" customHeight="1">
      <c r="D1694" s="25"/>
      <c r="E1694" s="22"/>
    </row>
    <row r="1695" ht="15.75" customHeight="1">
      <c r="D1695" s="25"/>
      <c r="E1695" s="22"/>
    </row>
    <row r="1696" ht="15.75" customHeight="1">
      <c r="D1696" s="25"/>
      <c r="E1696" s="22"/>
    </row>
    <row r="1697" ht="15.75" customHeight="1">
      <c r="D1697" s="25"/>
      <c r="E1697" s="22"/>
    </row>
    <row r="1698" ht="15.75" customHeight="1">
      <c r="D1698" s="25"/>
      <c r="E1698" s="22"/>
    </row>
    <row r="1699" ht="15.75" customHeight="1">
      <c r="D1699" s="25"/>
      <c r="E1699" s="22"/>
    </row>
    <row r="1700" ht="15.75" customHeight="1">
      <c r="D1700" s="25"/>
      <c r="E1700" s="22"/>
    </row>
    <row r="1701" ht="15.75" customHeight="1">
      <c r="D1701" s="25"/>
      <c r="E1701" s="22"/>
    </row>
    <row r="1702" ht="15.75" customHeight="1">
      <c r="D1702" s="25"/>
      <c r="E1702" s="22"/>
    </row>
    <row r="1703" ht="15.75" customHeight="1">
      <c r="D1703" s="25"/>
      <c r="E1703" s="22"/>
    </row>
    <row r="1704" ht="15.75" customHeight="1">
      <c r="D1704" s="25"/>
      <c r="E1704" s="22"/>
    </row>
    <row r="1705" ht="15.75" customHeight="1">
      <c r="D1705" s="25"/>
      <c r="E1705" s="22"/>
    </row>
    <row r="1706" ht="15.75" customHeight="1">
      <c r="D1706" s="25"/>
      <c r="E1706" s="22"/>
    </row>
    <row r="1707" ht="15.75" customHeight="1">
      <c r="D1707" s="25"/>
      <c r="E1707" s="22"/>
    </row>
    <row r="1708" ht="15.75" customHeight="1">
      <c r="D1708" s="25"/>
      <c r="E1708" s="22"/>
    </row>
    <row r="1709" ht="15.75" customHeight="1">
      <c r="D1709" s="25"/>
      <c r="E1709" s="22"/>
    </row>
    <row r="1710" ht="15.75" customHeight="1">
      <c r="D1710" s="25"/>
      <c r="E1710" s="22"/>
    </row>
    <row r="1711" ht="15.75" customHeight="1">
      <c r="D1711" s="25"/>
      <c r="E1711" s="22"/>
    </row>
    <row r="1712" ht="15.75" customHeight="1">
      <c r="D1712" s="25"/>
      <c r="E1712" s="22"/>
    </row>
    <row r="1713" ht="15.75" customHeight="1">
      <c r="D1713" s="25"/>
      <c r="E1713" s="22"/>
    </row>
    <row r="1714" ht="15.75" customHeight="1">
      <c r="D1714" s="25"/>
      <c r="E1714" s="22"/>
    </row>
    <row r="1715" ht="15.75" customHeight="1">
      <c r="D1715" s="25"/>
      <c r="E1715" s="22"/>
    </row>
    <row r="1716" ht="15.75" customHeight="1">
      <c r="D1716" s="25"/>
      <c r="E1716" s="22"/>
    </row>
    <row r="1717" ht="15.75" customHeight="1">
      <c r="D1717" s="25"/>
      <c r="E1717" s="22"/>
    </row>
    <row r="1718" ht="15.75" customHeight="1">
      <c r="D1718" s="25"/>
      <c r="E1718" s="22"/>
    </row>
    <row r="1719" ht="15.75" customHeight="1">
      <c r="D1719" s="25"/>
      <c r="E1719" s="22"/>
    </row>
    <row r="1720" ht="15.75" customHeight="1">
      <c r="D1720" s="25"/>
      <c r="E1720" s="22"/>
    </row>
    <row r="1721" ht="15.75" customHeight="1">
      <c r="D1721" s="25"/>
      <c r="E1721" s="22"/>
    </row>
    <row r="1722" ht="15.75" customHeight="1">
      <c r="D1722" s="25"/>
      <c r="E1722" s="22"/>
    </row>
    <row r="1723" ht="15.75" customHeight="1">
      <c r="D1723" s="25"/>
      <c r="E1723" s="22"/>
    </row>
    <row r="1724" ht="15.75" customHeight="1">
      <c r="D1724" s="25"/>
      <c r="E1724" s="22"/>
    </row>
    <row r="1725" ht="15.75" customHeight="1">
      <c r="D1725" s="25"/>
      <c r="E1725" s="22"/>
    </row>
    <row r="1726" ht="15.75" customHeight="1">
      <c r="D1726" s="25"/>
      <c r="E1726" s="22"/>
    </row>
    <row r="1727" ht="15.75" customHeight="1">
      <c r="D1727" s="25"/>
      <c r="E1727" s="22"/>
    </row>
    <row r="1728" ht="15.75" customHeight="1">
      <c r="D1728" s="25"/>
      <c r="E1728" s="22"/>
    </row>
    <row r="1729" ht="15.75" customHeight="1">
      <c r="D1729" s="25"/>
      <c r="E1729" s="22"/>
    </row>
    <row r="1730" ht="15.75" customHeight="1">
      <c r="D1730" s="25"/>
      <c r="E1730" s="22"/>
    </row>
    <row r="1731" ht="15.75" customHeight="1">
      <c r="D1731" s="25"/>
      <c r="E1731" s="22"/>
    </row>
    <row r="1732" ht="15.75" customHeight="1">
      <c r="D1732" s="25"/>
      <c r="E1732" s="22"/>
    </row>
    <row r="1733" ht="15.75" customHeight="1">
      <c r="D1733" s="25"/>
      <c r="E1733" s="22"/>
    </row>
    <row r="1734" ht="15.75" customHeight="1">
      <c r="D1734" s="25"/>
      <c r="E1734" s="22"/>
    </row>
    <row r="1735" ht="15.75" customHeight="1">
      <c r="D1735" s="25"/>
      <c r="E1735" s="22"/>
    </row>
    <row r="1736" ht="15.75" customHeight="1">
      <c r="D1736" s="25"/>
      <c r="E1736" s="22"/>
    </row>
    <row r="1737" ht="15.75" customHeight="1">
      <c r="D1737" s="25"/>
      <c r="E1737" s="22"/>
    </row>
    <row r="1738" ht="15.75" customHeight="1">
      <c r="D1738" s="25"/>
      <c r="E1738" s="22"/>
    </row>
    <row r="1739" ht="15.75" customHeight="1">
      <c r="D1739" s="25"/>
      <c r="E1739" s="22"/>
    </row>
    <row r="1740" ht="15.75" customHeight="1">
      <c r="D1740" s="25"/>
      <c r="E1740" s="22"/>
    </row>
    <row r="1741" ht="15.75" customHeight="1">
      <c r="D1741" s="25"/>
      <c r="E1741" s="22"/>
    </row>
    <row r="1742" ht="15.75" customHeight="1">
      <c r="D1742" s="25"/>
      <c r="E1742" s="22"/>
    </row>
    <row r="1743" ht="15.75" customHeight="1">
      <c r="D1743" s="25"/>
      <c r="E1743" s="22"/>
    </row>
    <row r="1744" ht="15.75" customHeight="1">
      <c r="D1744" s="25"/>
      <c r="E1744" s="22"/>
    </row>
    <row r="1745" ht="15.75" customHeight="1">
      <c r="D1745" s="25"/>
      <c r="E1745" s="22"/>
    </row>
    <row r="1746" ht="15.75" customHeight="1">
      <c r="D1746" s="25"/>
      <c r="E1746" s="22"/>
    </row>
    <row r="1747" ht="15.75" customHeight="1">
      <c r="D1747" s="25"/>
      <c r="E1747" s="22"/>
    </row>
    <row r="1748" ht="15.75" customHeight="1">
      <c r="D1748" s="25"/>
      <c r="E1748" s="22"/>
    </row>
    <row r="1749" ht="15.75" customHeight="1">
      <c r="D1749" s="25"/>
      <c r="E1749" s="22"/>
    </row>
    <row r="1750" ht="15.75" customHeight="1">
      <c r="D1750" s="25"/>
      <c r="E1750" s="22"/>
    </row>
    <row r="1751" ht="15.75" customHeight="1">
      <c r="D1751" s="25"/>
      <c r="E1751" s="22"/>
    </row>
    <row r="1752" ht="15.75" customHeight="1">
      <c r="D1752" s="25"/>
      <c r="E1752" s="22"/>
    </row>
    <row r="1753" ht="15.75" customHeight="1">
      <c r="D1753" s="25"/>
      <c r="E1753" s="22"/>
    </row>
    <row r="1754" ht="15.75" customHeight="1">
      <c r="D1754" s="25"/>
      <c r="E1754" s="22"/>
    </row>
    <row r="1755" ht="15.75" customHeight="1">
      <c r="D1755" s="25"/>
      <c r="E1755" s="22"/>
    </row>
    <row r="1756" ht="15.75" customHeight="1">
      <c r="D1756" s="25"/>
      <c r="E1756" s="22"/>
    </row>
    <row r="1757" ht="15.75" customHeight="1">
      <c r="D1757" s="25"/>
      <c r="E1757" s="22"/>
    </row>
    <row r="1758" ht="15.75" customHeight="1">
      <c r="D1758" s="25"/>
      <c r="E1758" s="22"/>
    </row>
    <row r="1759" ht="15.75" customHeight="1">
      <c r="D1759" s="25"/>
      <c r="E1759" s="22"/>
    </row>
    <row r="1760" ht="15.75" customHeight="1">
      <c r="D1760" s="25"/>
      <c r="E1760" s="22"/>
    </row>
    <row r="1761" ht="15.75" customHeight="1">
      <c r="D1761" s="25"/>
      <c r="E1761" s="22"/>
    </row>
    <row r="1762" ht="15.75" customHeight="1">
      <c r="D1762" s="25"/>
      <c r="E1762" s="22"/>
    </row>
    <row r="1763" ht="15.75" customHeight="1">
      <c r="D1763" s="25"/>
      <c r="E1763" s="22"/>
    </row>
    <row r="1764" ht="15.75" customHeight="1">
      <c r="D1764" s="25"/>
      <c r="E1764" s="22"/>
    </row>
    <row r="1765" ht="15.75" customHeight="1">
      <c r="D1765" s="25"/>
      <c r="E1765" s="22"/>
    </row>
    <row r="1766" ht="15.75" customHeight="1">
      <c r="D1766" s="25"/>
      <c r="E1766" s="22"/>
    </row>
    <row r="1767" ht="15.75" customHeight="1">
      <c r="D1767" s="25"/>
      <c r="E1767" s="22"/>
    </row>
    <row r="1768" ht="15.75" customHeight="1">
      <c r="D1768" s="25"/>
      <c r="E1768" s="22"/>
    </row>
    <row r="1769" ht="15.75" customHeight="1">
      <c r="D1769" s="25"/>
      <c r="E1769" s="22"/>
    </row>
    <row r="1770" ht="15.75" customHeight="1">
      <c r="D1770" s="25"/>
      <c r="E1770" s="22"/>
    </row>
    <row r="1771" ht="15.75" customHeight="1">
      <c r="D1771" s="25"/>
      <c r="E1771" s="22"/>
    </row>
    <row r="1772" ht="15.75" customHeight="1">
      <c r="D1772" s="25"/>
      <c r="E1772" s="22"/>
    </row>
    <row r="1773" ht="15.75" customHeight="1">
      <c r="D1773" s="25"/>
      <c r="E1773" s="22"/>
    </row>
    <row r="1774" ht="15.75" customHeight="1">
      <c r="D1774" s="25"/>
      <c r="E1774" s="22"/>
    </row>
    <row r="1775" ht="15.75" customHeight="1">
      <c r="D1775" s="25"/>
      <c r="E1775" s="22"/>
    </row>
    <row r="1776" ht="15.75" customHeight="1">
      <c r="D1776" s="25"/>
      <c r="E1776" s="22"/>
    </row>
    <row r="1777" ht="15.75" customHeight="1">
      <c r="D1777" s="25"/>
      <c r="E1777" s="22"/>
    </row>
    <row r="1778" ht="15.75" customHeight="1">
      <c r="D1778" s="25"/>
      <c r="E1778" s="22"/>
    </row>
    <row r="1779" ht="15.75" customHeight="1">
      <c r="D1779" s="25"/>
      <c r="E1779" s="22"/>
    </row>
    <row r="1780" ht="15.75" customHeight="1">
      <c r="D1780" s="25"/>
      <c r="E1780" s="22"/>
    </row>
    <row r="1781" ht="15.75" customHeight="1">
      <c r="D1781" s="25"/>
      <c r="E1781" s="22"/>
    </row>
    <row r="1782" ht="15.75" customHeight="1">
      <c r="D1782" s="25"/>
      <c r="E1782" s="22"/>
    </row>
    <row r="1783" ht="15.75" customHeight="1">
      <c r="D1783" s="25"/>
      <c r="E1783" s="22"/>
    </row>
    <row r="1784" ht="15.75" customHeight="1">
      <c r="D1784" s="25"/>
      <c r="E1784" s="22"/>
    </row>
    <row r="1785" ht="15.75" customHeight="1">
      <c r="D1785" s="25"/>
      <c r="E1785" s="22"/>
    </row>
    <row r="1786" ht="15.75" customHeight="1">
      <c r="D1786" s="25"/>
      <c r="E1786" s="22"/>
    </row>
    <row r="1787" ht="15.75" customHeight="1">
      <c r="D1787" s="25"/>
      <c r="E1787" s="22"/>
    </row>
    <row r="1788" ht="15.75" customHeight="1">
      <c r="D1788" s="25"/>
      <c r="E1788" s="22"/>
    </row>
    <row r="1789" ht="15.75" customHeight="1">
      <c r="D1789" s="25"/>
      <c r="E1789" s="22"/>
    </row>
    <row r="1790" ht="15.75" customHeight="1">
      <c r="D1790" s="25"/>
      <c r="E1790" s="22"/>
    </row>
    <row r="1791" ht="15.75" customHeight="1">
      <c r="D1791" s="25"/>
      <c r="E1791" s="22"/>
    </row>
    <row r="1792" ht="15.75" customHeight="1">
      <c r="D1792" s="25"/>
      <c r="E1792" s="22"/>
    </row>
    <row r="1793" ht="15.75" customHeight="1">
      <c r="D1793" s="25"/>
      <c r="E1793" s="22"/>
    </row>
    <row r="1794" ht="15.75" customHeight="1">
      <c r="D1794" s="25"/>
      <c r="E1794" s="22"/>
    </row>
    <row r="1795" ht="15.75" customHeight="1">
      <c r="D1795" s="25"/>
      <c r="E1795" s="22"/>
    </row>
    <row r="1796" ht="15.75" customHeight="1">
      <c r="D1796" s="25"/>
      <c r="E1796" s="22"/>
    </row>
    <row r="1797" ht="15.75" customHeight="1">
      <c r="D1797" s="25"/>
      <c r="E1797" s="22"/>
    </row>
    <row r="1798" ht="15.75" customHeight="1">
      <c r="D1798" s="25"/>
      <c r="E1798" s="22"/>
    </row>
    <row r="1799" ht="15.75" customHeight="1">
      <c r="D1799" s="25"/>
      <c r="E1799" s="22"/>
    </row>
    <row r="1800" ht="15.75" customHeight="1">
      <c r="D1800" s="25"/>
      <c r="E1800" s="22"/>
    </row>
    <row r="1801" ht="15.75" customHeight="1">
      <c r="D1801" s="25"/>
      <c r="E1801" s="22"/>
    </row>
    <row r="1802" ht="15.75" customHeight="1">
      <c r="D1802" s="25"/>
      <c r="E1802" s="22"/>
    </row>
    <row r="1803" ht="15.75" customHeight="1">
      <c r="D1803" s="25"/>
      <c r="E1803" s="22"/>
    </row>
    <row r="1804" ht="15.75" customHeight="1">
      <c r="D1804" s="25"/>
      <c r="E1804" s="22"/>
    </row>
    <row r="1805" ht="15.75" customHeight="1">
      <c r="D1805" s="25"/>
      <c r="E1805" s="22"/>
    </row>
    <row r="1806" ht="15.75" customHeight="1">
      <c r="D1806" s="25"/>
      <c r="E1806" s="22"/>
    </row>
    <row r="1807" ht="15.75" customHeight="1">
      <c r="D1807" s="25"/>
      <c r="E1807" s="22"/>
    </row>
    <row r="1808" ht="15.75" customHeight="1">
      <c r="D1808" s="25"/>
      <c r="E1808" s="22"/>
    </row>
    <row r="1809" ht="15.75" customHeight="1">
      <c r="D1809" s="25"/>
      <c r="E1809" s="22"/>
    </row>
    <row r="1810" ht="15.75" customHeight="1">
      <c r="D1810" s="25"/>
      <c r="E1810" s="22"/>
    </row>
    <row r="1811" ht="15.75" customHeight="1">
      <c r="D1811" s="25"/>
      <c r="E1811" s="22"/>
    </row>
    <row r="1812" ht="15.75" customHeight="1">
      <c r="D1812" s="25"/>
      <c r="E1812" s="22"/>
    </row>
    <row r="1813" ht="15.75" customHeight="1">
      <c r="D1813" s="25"/>
      <c r="E1813" s="22"/>
    </row>
    <row r="1814" ht="15.75" customHeight="1">
      <c r="D1814" s="25"/>
      <c r="E1814" s="22"/>
    </row>
    <row r="1815" ht="15.75" customHeight="1">
      <c r="D1815" s="25"/>
      <c r="E1815" s="22"/>
    </row>
    <row r="1816" ht="15.75" customHeight="1">
      <c r="D1816" s="25"/>
      <c r="E1816" s="22"/>
    </row>
    <row r="1817" ht="15.75" customHeight="1">
      <c r="D1817" s="25"/>
      <c r="E1817" s="22"/>
    </row>
    <row r="1818" ht="15.75" customHeight="1">
      <c r="D1818" s="25"/>
      <c r="E1818" s="22"/>
    </row>
    <row r="1819" ht="15.75" customHeight="1">
      <c r="D1819" s="25"/>
      <c r="E1819" s="22"/>
    </row>
    <row r="1820" ht="15.75" customHeight="1">
      <c r="D1820" s="25"/>
      <c r="E1820" s="22"/>
    </row>
    <row r="1821" ht="15.75" customHeight="1">
      <c r="D1821" s="25"/>
      <c r="E1821" s="22"/>
    </row>
    <row r="1822" ht="15.75" customHeight="1">
      <c r="D1822" s="25"/>
      <c r="E1822" s="22"/>
    </row>
    <row r="1823" ht="15.75" customHeight="1">
      <c r="D1823" s="25"/>
      <c r="E1823" s="22"/>
    </row>
    <row r="1824" ht="15.75" customHeight="1">
      <c r="D1824" s="25"/>
      <c r="E1824" s="22"/>
    </row>
    <row r="1825" ht="15.75" customHeight="1">
      <c r="D1825" s="25"/>
      <c r="E1825" s="22"/>
    </row>
    <row r="1826" ht="15.75" customHeight="1">
      <c r="D1826" s="25"/>
      <c r="E1826" s="22"/>
    </row>
    <row r="1827" ht="15.75" customHeight="1">
      <c r="D1827" s="25"/>
      <c r="E1827" s="22"/>
    </row>
    <row r="1828" ht="15.75" customHeight="1">
      <c r="D1828" s="25"/>
      <c r="E1828" s="22"/>
    </row>
    <row r="1829" ht="15.75" customHeight="1">
      <c r="D1829" s="25"/>
      <c r="E1829" s="22"/>
    </row>
    <row r="1830" ht="15.75" customHeight="1">
      <c r="D1830" s="25"/>
      <c r="E1830" s="22"/>
    </row>
    <row r="1831" ht="15.75" customHeight="1">
      <c r="D1831" s="25"/>
      <c r="E1831" s="22"/>
    </row>
    <row r="1832" ht="15.75" customHeight="1">
      <c r="D1832" s="25"/>
      <c r="E1832" s="22"/>
    </row>
    <row r="1833" ht="15.75" customHeight="1">
      <c r="D1833" s="25"/>
      <c r="E1833" s="22"/>
    </row>
    <row r="1834" ht="15.75" customHeight="1">
      <c r="D1834" s="25"/>
      <c r="E1834" s="22"/>
    </row>
    <row r="1835" ht="15.75" customHeight="1">
      <c r="D1835" s="25"/>
      <c r="E1835" s="22"/>
    </row>
    <row r="1836" ht="15.75" customHeight="1">
      <c r="D1836" s="25"/>
      <c r="E1836" s="22"/>
    </row>
    <row r="1837" ht="15.75" customHeight="1">
      <c r="D1837" s="25"/>
      <c r="E1837" s="22"/>
    </row>
    <row r="1838" ht="15.75" customHeight="1">
      <c r="D1838" s="25"/>
      <c r="E1838" s="22"/>
    </row>
    <row r="1839" ht="15.75" customHeight="1">
      <c r="D1839" s="25"/>
      <c r="E1839" s="22"/>
    </row>
    <row r="1840" ht="15.75" customHeight="1">
      <c r="D1840" s="25"/>
      <c r="E1840" s="22"/>
    </row>
    <row r="1841" ht="15.75" customHeight="1">
      <c r="D1841" s="25"/>
      <c r="E1841" s="22"/>
    </row>
    <row r="1842" ht="15.75" customHeight="1">
      <c r="D1842" s="25"/>
      <c r="E1842" s="22"/>
    </row>
    <row r="1843" ht="15.75" customHeight="1">
      <c r="D1843" s="25"/>
      <c r="E1843" s="22"/>
    </row>
    <row r="1844" ht="15.75" customHeight="1">
      <c r="D1844" s="25"/>
      <c r="E1844" s="22"/>
    </row>
    <row r="1845" ht="15.75" customHeight="1">
      <c r="D1845" s="25"/>
      <c r="E1845" s="22"/>
    </row>
    <row r="1846" ht="15.75" customHeight="1">
      <c r="D1846" s="25"/>
      <c r="E1846" s="22"/>
    </row>
    <row r="1847" ht="15.75" customHeight="1">
      <c r="D1847" s="25"/>
      <c r="E1847" s="22"/>
    </row>
    <row r="1848" ht="15.75" customHeight="1">
      <c r="D1848" s="25"/>
      <c r="E1848" s="22"/>
    </row>
    <row r="1849" ht="15.75" customHeight="1">
      <c r="D1849" s="25"/>
      <c r="E1849" s="22"/>
    </row>
    <row r="1850" ht="15.75" customHeight="1">
      <c r="D1850" s="25"/>
      <c r="E1850" s="22"/>
    </row>
    <row r="1851" ht="15.75" customHeight="1">
      <c r="D1851" s="25"/>
      <c r="E1851" s="22"/>
    </row>
  </sheetData>
  <mergeCells count="1">
    <mergeCell ref="S2:T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27.75"/>
    <col customWidth="1" min="12" max="12" width="15.88"/>
  </cols>
  <sheetData>
    <row r="1" ht="15.75" customHeight="1">
      <c r="A1" s="22" t="s">
        <v>93</v>
      </c>
      <c r="B1" s="6" t="s">
        <v>14</v>
      </c>
      <c r="C1" s="14" t="s">
        <v>23</v>
      </c>
      <c r="D1" s="14" t="s">
        <v>32</v>
      </c>
      <c r="E1" s="14" t="s">
        <v>40</v>
      </c>
      <c r="F1" s="14" t="s">
        <v>47</v>
      </c>
      <c r="G1" s="14" t="s">
        <v>54</v>
      </c>
      <c r="H1" s="14" t="s">
        <v>61</v>
      </c>
      <c r="I1" s="22" t="s">
        <v>85</v>
      </c>
      <c r="J1" s="22" t="s">
        <v>179</v>
      </c>
      <c r="L1" s="22" t="s">
        <v>180</v>
      </c>
    </row>
    <row r="2" ht="15.75" customHeight="1">
      <c r="A2" s="32">
        <v>45184.73611111111</v>
      </c>
      <c r="C2" s="22">
        <f t="shared" ref="C2:I2" si="1">B2+2</f>
        <v>2</v>
      </c>
      <c r="D2" s="22">
        <f t="shared" si="1"/>
        <v>4</v>
      </c>
      <c r="E2" s="22">
        <f t="shared" si="1"/>
        <v>6</v>
      </c>
      <c r="F2" s="22">
        <f t="shared" si="1"/>
        <v>8</v>
      </c>
      <c r="G2" s="22">
        <f t="shared" si="1"/>
        <v>10</v>
      </c>
      <c r="H2" s="22">
        <f t="shared" si="1"/>
        <v>12</v>
      </c>
      <c r="I2" s="22">
        <f t="shared" si="1"/>
        <v>14</v>
      </c>
      <c r="K2" s="22">
        <v>100.0</v>
      </c>
      <c r="M2" s="22">
        <v>100.0</v>
      </c>
    </row>
    <row r="3" ht="15.75" customHeight="1">
      <c r="A3" s="32">
        <v>45191.73611111111</v>
      </c>
      <c r="B3" s="22">
        <f>Historique!B6/Historique!B5-1</f>
        <v>-0.0001074691026</v>
      </c>
      <c r="C3" s="22">
        <f>OFFSET(Historique!$B5, 1, C$2)/OFFSET(Historique!$B5, 0, C$2)-1</f>
        <v>0</v>
      </c>
      <c r="D3" s="22">
        <f>OFFSET(Historique!$B5, 1, D$2)/OFFSET(Historique!$B5, 0, D$2)-1</f>
        <v>-0.0008562560206</v>
      </c>
      <c r="E3" s="22">
        <f>OFFSET(Historique!$B5, 1, E$2)/OFFSET(Historique!$B5, 0, E$2)-1</f>
        <v>0</v>
      </c>
      <c r="F3" s="22">
        <f>OFFSET(Historique!$B5, 1, F$2)/OFFSET(Historique!$B5, 0, F$2)-1</f>
        <v>-0.001992031873</v>
      </c>
      <c r="G3" s="22">
        <f>OFFSET(Historique!$B5, 1, G$2)/OFFSET(Historique!$B5, 0, G$2)-1</f>
        <v>-0.0005336179296</v>
      </c>
      <c r="H3" s="22">
        <f>OFFSET(Historique!$B5, 1, H$2)/OFFSET(Historique!$B5, 0, H$2)-1</f>
        <v>-0.003984063745</v>
      </c>
      <c r="I3" s="22">
        <f>OFFSET(Historique!$B5, 1, I$2)/OFFSET(Historique!$B5, 0, I$2)-1</f>
        <v>-0.000578889818</v>
      </c>
      <c r="J3" s="22">
        <f t="array" ref="J3">SUMPRODUCT(B3:I3, TRANSPOSE(Portfolio!$R$2:$R$9))/100</f>
        <v>-0.0008019453901</v>
      </c>
      <c r="K3" s="22">
        <f t="shared" ref="K3:K56" si="2">(1+J3)*K2</f>
        <v>99.91980546</v>
      </c>
      <c r="L3" s="22">
        <f t="array" ref="L3">SUMPRODUCT(B3:H3, TRANSPOSE(Portfolio!$R$2:$R$8))/100*3/2</f>
        <v>-0.0009134731762</v>
      </c>
      <c r="M3" s="22">
        <f t="shared" ref="M3:M56" si="3">(1+L3)*M2</f>
        <v>99.90865268</v>
      </c>
    </row>
    <row r="4" ht="15.75" customHeight="1">
      <c r="A4" s="32">
        <v>45198.73611111111</v>
      </c>
      <c r="B4" s="22">
        <f>Historique!B7/Historique!B6-1</f>
        <v>-0.002687016337</v>
      </c>
      <c r="C4" s="22">
        <f>OFFSET(Historique!$B6, 1, C$2)/OFFSET(Historique!$B6, 0, C$2)-1</f>
        <v>-0.001992031873</v>
      </c>
      <c r="D4" s="22">
        <f>OFFSET(Historique!$B6, 1, D$2)/OFFSET(Historique!$B6, 0, D$2)-1</f>
        <v>-0.001285484735</v>
      </c>
      <c r="E4" s="22">
        <f>OFFSET(Historique!$B6, 1, E$2)/OFFSET(Historique!$B6, 0, E$2)-1</f>
        <v>-0.001992031873</v>
      </c>
      <c r="F4" s="22">
        <f>OFFSET(Historique!$B6, 1, F$2)/OFFSET(Historique!$B6, 0, F$2)-1</f>
        <v>0</v>
      </c>
      <c r="G4" s="22">
        <f>OFFSET(Historique!$B6, 1, G$2)/OFFSET(Historique!$B6, 0, G$2)-1</f>
        <v>-0.002135611319</v>
      </c>
      <c r="H4" s="22">
        <f>OFFSET(Historique!$B6, 1, H$2)/OFFSET(Historique!$B6, 0, H$2)-1</f>
        <v>0</v>
      </c>
      <c r="I4" s="22">
        <f>OFFSET(Historique!$B6, 1, I$2)/OFFSET(Historique!$B6, 0, I$2)-1</f>
        <v>-0.007637190544</v>
      </c>
      <c r="J4" s="22">
        <f t="array" ref="J4">SUMPRODUCT(B4:I4, TRANSPOSE(Portfolio!$R$2:$R$9))/100</f>
        <v>-0.00352878924</v>
      </c>
      <c r="K4" s="22">
        <f t="shared" si="2"/>
        <v>99.56720953</v>
      </c>
      <c r="L4" s="22">
        <f t="array" ref="L4">SUMPRODUCT(B4:H4, TRANSPOSE(Portfolio!$R$2:$R$8))/100*3/2</f>
        <v>-0.001474588588</v>
      </c>
      <c r="M4" s="22">
        <f t="shared" si="3"/>
        <v>99.76132852</v>
      </c>
    </row>
    <row r="5" ht="15.75" customHeight="1">
      <c r="A5" s="32">
        <v>45205.73611111111</v>
      </c>
      <c r="B5" s="22">
        <f>Historique!B8/Historique!B7-1</f>
        <v>-0.001724323742</v>
      </c>
      <c r="C5" s="22">
        <f>OFFSET(Historique!$B7, 1, C$2)/OFFSET(Historique!$B7, 0, C$2)-1</f>
        <v>0</v>
      </c>
      <c r="D5" s="22">
        <f>OFFSET(Historique!$B7, 1, D$2)/OFFSET(Historique!$B7, 0, D$2)-1</f>
        <v>-0.001501662555</v>
      </c>
      <c r="E5" s="22">
        <f>OFFSET(Historique!$B7, 1, E$2)/OFFSET(Historique!$B7, 0, E$2)-1</f>
        <v>0</v>
      </c>
      <c r="F5" s="22">
        <f>OFFSET(Historique!$B7, 1, F$2)/OFFSET(Historique!$B7, 0, F$2)-1</f>
        <v>0</v>
      </c>
      <c r="G5" s="22">
        <f>OFFSET(Historique!$B7, 1, G$2)/OFFSET(Historique!$B7, 0, G$2)-1</f>
        <v>-0.001819154628</v>
      </c>
      <c r="H5" s="22">
        <f>OFFSET(Historique!$B7, 1, H$2)/OFFSET(Historique!$B7, 0, H$2)-1</f>
        <v>0</v>
      </c>
      <c r="I5" s="22">
        <f>OFFSET(Historique!$B7, 1, I$2)/OFFSET(Historique!$B7, 0, I$2)-1</f>
        <v>0.005685503048</v>
      </c>
      <c r="J5" s="22">
        <f t="array" ref="J5">SUMPRODUCT(B5:I5, TRANSPOSE(Portfolio!$R$2:$R$9))/100</f>
        <v>0.001276494378</v>
      </c>
      <c r="K5" s="22">
        <f t="shared" si="2"/>
        <v>99.69430651</v>
      </c>
      <c r="L5" s="22">
        <f t="array" ref="L5">SUMPRODUCT(B5:H5, TRANSPOSE(Portfolio!$R$2:$R$8))/100*3/2</f>
        <v>-0.0009280099563</v>
      </c>
      <c r="M5" s="22">
        <f t="shared" si="3"/>
        <v>99.66874902</v>
      </c>
    </row>
    <row r="6" ht="15.75" customHeight="1">
      <c r="A6" s="32">
        <v>45212.73611111111</v>
      </c>
      <c r="B6" s="22">
        <f>Historique!B9/Historique!B8-1</f>
        <v>-0.001943214941</v>
      </c>
      <c r="C6" s="22">
        <f>OFFSET(Historique!$B8, 1, C$2)/OFFSET(Historique!$B8, 0, C$2)-1</f>
        <v>-0.001996007984</v>
      </c>
      <c r="D6" s="22">
        <f>OFFSET(Historique!$B8, 1, D$2)/OFFSET(Historique!$B8, 0, D$2)-1</f>
        <v>0.002578150177</v>
      </c>
      <c r="E6" s="22">
        <f>OFFSET(Historique!$B8, 1, E$2)/OFFSET(Historique!$B8, 0, E$2)-1</f>
        <v>0</v>
      </c>
      <c r="F6" s="22">
        <f>OFFSET(Historique!$B8, 1, F$2)/OFFSET(Historique!$B8, 0, F$2)-1</f>
        <v>0</v>
      </c>
      <c r="G6" s="22">
        <f>OFFSET(Historique!$B8, 1, G$2)/OFFSET(Historique!$B8, 0, G$2)-1</f>
        <v>0.002787307033</v>
      </c>
      <c r="H6" s="22">
        <f>OFFSET(Historique!$B8, 1, H$2)/OFFSET(Historique!$B8, 0, H$2)-1</f>
        <v>0</v>
      </c>
      <c r="I6" s="22">
        <f>OFFSET(Historique!$B8, 1, I$2)/OFFSET(Historique!$B8, 0, I$2)-1</f>
        <v>-0.02078631156</v>
      </c>
      <c r="J6" s="22">
        <f t="array" ref="J6">SUMPRODUCT(B6:I6, TRANSPOSE(Portfolio!$R$2:$R$9))/100</f>
        <v>-0.006459602032</v>
      </c>
      <c r="K6" s="22">
        <f t="shared" si="2"/>
        <v>99.05032096</v>
      </c>
      <c r="L6" s="22">
        <f t="array" ref="L6">SUMPRODUCT(B6:H6, TRANSPOSE(Portfolio!$R$2:$R$8))/100*3/2</f>
        <v>0.0007037527316</v>
      </c>
      <c r="M6" s="22">
        <f t="shared" si="3"/>
        <v>99.73889117</v>
      </c>
    </row>
    <row r="7" ht="15.75" customHeight="1">
      <c r="A7" s="32">
        <v>45219.73611111111</v>
      </c>
      <c r="B7" s="22">
        <f>Historique!B10/Historique!B9-1</f>
        <v>0.004326663061</v>
      </c>
      <c r="C7" s="22">
        <f>OFFSET(Historique!$B9, 1, C$2)/OFFSET(Historique!$B9, 0, C$2)-1</f>
        <v>0</v>
      </c>
      <c r="D7" s="22">
        <f>OFFSET(Historique!$B9, 1, D$2)/OFFSET(Historique!$B9, 0, D$2)-1</f>
        <v>0.001714346941</v>
      </c>
      <c r="E7" s="22">
        <f>OFFSET(Historique!$B9, 1, E$2)/OFFSET(Historique!$B9, 0, E$2)-1</f>
        <v>0</v>
      </c>
      <c r="F7" s="22">
        <f>OFFSET(Historique!$B9, 1, F$2)/OFFSET(Historique!$B9, 0, F$2)-1</f>
        <v>-0.001996007984</v>
      </c>
      <c r="G7" s="22">
        <f>OFFSET(Historique!$B9, 1, G$2)/OFFSET(Historique!$B9, 0, G$2)-1</f>
        <v>0.006414368185</v>
      </c>
      <c r="H7" s="22">
        <f>OFFSET(Historique!$B9, 1, H$2)/OFFSET(Historique!$B9, 0, H$2)-1</f>
        <v>0</v>
      </c>
      <c r="I7" s="22">
        <f>OFFSET(Historique!$B9, 1, I$2)/OFFSET(Historique!$B9, 0, I$2)-1</f>
        <v>-0.0009219827018</v>
      </c>
      <c r="J7" s="22">
        <f t="array" ref="J7">SUMPRODUCT(B7:I7, TRANSPOSE(Portfolio!$R$2:$R$9))/100</f>
        <v>0.0008378326119</v>
      </c>
      <c r="K7" s="22">
        <f t="shared" si="2"/>
        <v>99.13330855</v>
      </c>
      <c r="L7" s="22">
        <f t="array" ref="L7">SUMPRODUCT(B7:H7, TRANSPOSE(Portfolio!$R$2:$R$8))/100*3/2</f>
        <v>0.001717740269</v>
      </c>
      <c r="M7" s="22">
        <f t="shared" si="3"/>
        <v>99.91021668</v>
      </c>
    </row>
    <row r="8" ht="15.75" customHeight="1">
      <c r="A8" s="32">
        <v>45226.73611111111</v>
      </c>
      <c r="B8" s="22">
        <f>Historique!B11/Historique!B10-1</f>
        <v>0.004738826064</v>
      </c>
      <c r="C8" s="22">
        <f>OFFSET(Historique!$B10, 1, C$2)/OFFSET(Historique!$B10, 0, C$2)-1</f>
        <v>0</v>
      </c>
      <c r="D8" s="22">
        <f>OFFSET(Historique!$B10, 1, D$2)/OFFSET(Historique!$B10, 0, D$2)-1</f>
        <v>0.007166541876</v>
      </c>
      <c r="E8" s="22">
        <f>OFFSET(Historique!$B10, 1, E$2)/OFFSET(Historique!$B10, 0, E$2)-1</f>
        <v>0</v>
      </c>
      <c r="F8" s="22">
        <f>OFFSET(Historique!$B10, 1, F$2)/OFFSET(Historique!$B10, 0, F$2)-1</f>
        <v>0.002</v>
      </c>
      <c r="G8" s="22">
        <f>OFFSET(Historique!$B10, 1, G$2)/OFFSET(Historique!$B10, 0, G$2)-1</f>
        <v>-0.0008497981729</v>
      </c>
      <c r="H8" s="22">
        <f>OFFSET(Historique!$B10, 1, H$2)/OFFSET(Historique!$B10, 0, H$2)-1</f>
        <v>-0.002</v>
      </c>
      <c r="I8" s="22">
        <f>OFFSET(Historique!$B10, 1, I$2)/OFFSET(Historique!$B10, 0, I$2)-1</f>
        <v>-0.006393918088</v>
      </c>
      <c r="J8" s="22">
        <f t="array" ref="J8">SUMPRODUCT(B8:I8, TRANSPOSE(Portfolio!$R$2:$R$9))/100</f>
        <v>-0.0003132003427</v>
      </c>
      <c r="K8" s="22">
        <f t="shared" si="2"/>
        <v>99.10225997</v>
      </c>
      <c r="L8" s="22">
        <f t="array" ref="L8">SUMPRODUCT(B8:H8, TRANSPOSE(Portfolio!$R$2:$R$8))/100*3/2</f>
        <v>0.00272715853</v>
      </c>
      <c r="M8" s="22">
        <f t="shared" si="3"/>
        <v>100.1826877</v>
      </c>
    </row>
    <row r="9" ht="15.75" customHeight="1">
      <c r="A9" s="32">
        <v>45233.73611111111</v>
      </c>
      <c r="B9" s="22">
        <f>Historique!B12/Historique!B11-1</f>
        <v>-0.001286311502</v>
      </c>
      <c r="C9" s="22">
        <f>OFFSET(Historique!$B11, 1, C$2)/OFFSET(Historique!$B11, 0, C$2)-1</f>
        <v>-0.002</v>
      </c>
      <c r="D9" s="22">
        <f>OFFSET(Historique!$B11, 1, D$2)/OFFSET(Historique!$B11, 0, D$2)-1</f>
        <v>-0.000743415463</v>
      </c>
      <c r="E9" s="22">
        <f>OFFSET(Historique!$B11, 1, E$2)/OFFSET(Historique!$B11, 0, E$2)-1</f>
        <v>0.001996007984</v>
      </c>
      <c r="F9" s="22">
        <f>OFFSET(Historique!$B11, 1, F$2)/OFFSET(Historique!$B11, 0, F$2)-1</f>
        <v>0</v>
      </c>
      <c r="G9" s="22">
        <f>OFFSET(Historique!$B11, 1, G$2)/OFFSET(Historique!$B11, 0, G$2)-1</f>
        <v>0.005528386137</v>
      </c>
      <c r="H9" s="22">
        <f>OFFSET(Historique!$B11, 1, H$2)/OFFSET(Historique!$B11, 0, H$2)-1</f>
        <v>0</v>
      </c>
      <c r="I9" s="22">
        <f>OFFSET(Historique!$B11, 1, I$2)/OFFSET(Historique!$B11, 0, I$2)-1</f>
        <v>-0.009376174786</v>
      </c>
      <c r="J9" s="22">
        <f t="array" ref="J9">SUMPRODUCT(B9:I9, TRANSPOSE(Portfolio!$R$2:$R$9))/100</f>
        <v>-0.002770132682</v>
      </c>
      <c r="K9" s="22">
        <f t="shared" si="2"/>
        <v>98.82773356</v>
      </c>
      <c r="L9" s="22">
        <f t="array" ref="L9">SUMPRODUCT(B9:H9, TRANSPOSE(Portfolio!$R$2:$R$8))/100*3/2</f>
        <v>0.0005328883696</v>
      </c>
      <c r="M9" s="22">
        <f t="shared" si="3"/>
        <v>100.2360739</v>
      </c>
    </row>
    <row r="10" ht="15.75" customHeight="1">
      <c r="A10" s="32">
        <v>45240.73611111111</v>
      </c>
      <c r="B10" s="22">
        <f>Historique!B13/Historique!B12-1</f>
        <v>0.005581195664</v>
      </c>
      <c r="C10" s="22">
        <f>OFFSET(Historique!$B12, 1, C$2)/OFFSET(Historique!$B12, 0, C$2)-1</f>
        <v>-0.002004008016</v>
      </c>
      <c r="D10" s="22">
        <f>OFFSET(Historique!$B12, 1, D$2)/OFFSET(Historique!$B12, 0, D$2)-1</f>
        <v>0.005526623446</v>
      </c>
      <c r="E10" s="22">
        <f>OFFSET(Historique!$B12, 1, E$2)/OFFSET(Historique!$B12, 0, E$2)-1</f>
        <v>-0.001992031873</v>
      </c>
      <c r="F10" s="22">
        <f>OFFSET(Historique!$B12, 1, F$2)/OFFSET(Historique!$B12, 0, F$2)-1</f>
        <v>0</v>
      </c>
      <c r="G10" s="22">
        <f>OFFSET(Historique!$B12, 1, G$2)/OFFSET(Historique!$B12, 0, G$2)-1</f>
        <v>-0.006026644111</v>
      </c>
      <c r="H10" s="22">
        <f>OFFSET(Historique!$B12, 1, H$2)/OFFSET(Historique!$B12, 0, H$2)-1</f>
        <v>-0.004008016032</v>
      </c>
      <c r="I10" s="22">
        <f>OFFSET(Historique!$B12, 1, I$2)/OFFSET(Historique!$B12, 0, I$2)-1</f>
        <v>-0.002701073733</v>
      </c>
      <c r="J10" s="22">
        <f t="array" ref="J10">SUMPRODUCT(B10:I10, TRANSPOSE(Portfolio!$R$2:$R$9))/100</f>
        <v>-0.0003788630284</v>
      </c>
      <c r="K10" s="22">
        <f t="shared" si="2"/>
        <v>98.79029138</v>
      </c>
      <c r="L10" s="22">
        <f t="array" ref="L10">SUMPRODUCT(B10:H10, TRANSPOSE(Portfolio!$R$2:$R$8))/100*3/2</f>
        <v>0.0007822423237</v>
      </c>
      <c r="M10" s="22">
        <f t="shared" si="3"/>
        <v>100.3144828</v>
      </c>
    </row>
    <row r="11" ht="15.75" customHeight="1">
      <c r="A11" s="32">
        <v>45247.73611111111</v>
      </c>
      <c r="B11" s="22">
        <f>Historique!B14/Historique!B13-1</f>
        <v>-0.00832532821</v>
      </c>
      <c r="C11" s="22">
        <f>OFFSET(Historique!$B13, 1, C$2)/OFFSET(Historique!$B13, 0, C$2)-1</f>
        <v>0.004016064257</v>
      </c>
      <c r="D11" s="22">
        <f>OFFSET(Historique!$B13, 1, D$2)/OFFSET(Historique!$B13, 0, D$2)-1</f>
        <v>-0.00433357996</v>
      </c>
      <c r="E11" s="22">
        <f>OFFSET(Historique!$B13, 1, E$2)/OFFSET(Historique!$B13, 0, E$2)-1</f>
        <v>0</v>
      </c>
      <c r="F11" s="22">
        <f>OFFSET(Historique!$B13, 1, F$2)/OFFSET(Historique!$B13, 0, F$2)-1</f>
        <v>-0.003992015968</v>
      </c>
      <c r="G11" s="22">
        <f>OFFSET(Historique!$B13, 1, G$2)/OFFSET(Historique!$B13, 0, G$2)-1</f>
        <v>0.001489203276</v>
      </c>
      <c r="H11" s="22">
        <f>OFFSET(Historique!$B13, 1, H$2)/OFFSET(Historique!$B13, 0, H$2)-1</f>
        <v>-0.004024144869</v>
      </c>
      <c r="I11" s="22">
        <f>OFFSET(Historique!$B13, 1, I$2)/OFFSET(Historique!$B13, 0, I$2)-1</f>
        <v>0.006267347121</v>
      </c>
      <c r="J11" s="22">
        <f t="array" ref="J11">SUMPRODUCT(B11:I11, TRANSPOSE(Portfolio!$R$2:$R$9))/100</f>
        <v>0.0002309694991</v>
      </c>
      <c r="K11" s="22">
        <f t="shared" si="2"/>
        <v>98.81310893</v>
      </c>
      <c r="L11" s="22">
        <f t="array" ref="L11">SUMPRODUCT(B11:H11, TRANSPOSE(Portfolio!$R$2:$R$8))/100*3/2</f>
        <v>-0.002787219312</v>
      </c>
      <c r="M11" s="22">
        <f t="shared" si="3"/>
        <v>100.0348843</v>
      </c>
    </row>
    <row r="12" ht="15.75" customHeight="1">
      <c r="A12" s="32">
        <v>45254.73611111111</v>
      </c>
      <c r="B12" s="22">
        <f>Historique!B15/Historique!B14-1</f>
        <v>0.004305241632</v>
      </c>
      <c r="C12" s="22">
        <f>OFFSET(Historique!$B14, 1, C$2)/OFFSET(Historique!$B14, 0, C$2)-1</f>
        <v>0</v>
      </c>
      <c r="D12" s="22">
        <f>OFFSET(Historique!$B14, 1, D$2)/OFFSET(Historique!$B14, 0, D$2)-1</f>
        <v>0.0006369426752</v>
      </c>
      <c r="E12" s="22">
        <f>OFFSET(Historique!$B14, 1, E$2)/OFFSET(Historique!$B14, 0, E$2)-1</f>
        <v>0.001996007984</v>
      </c>
      <c r="F12" s="22">
        <f>OFFSET(Historique!$B14, 1, F$2)/OFFSET(Historique!$B14, 0, F$2)-1</f>
        <v>0.004008016032</v>
      </c>
      <c r="G12" s="22">
        <f>OFFSET(Historique!$B14, 1, G$2)/OFFSET(Historique!$B14, 0, G$2)-1</f>
        <v>0.002655337228</v>
      </c>
      <c r="H12" s="22">
        <f>OFFSET(Historique!$B14, 1, H$2)/OFFSET(Historique!$B14, 0, H$2)-1</f>
        <v>0.008080808081</v>
      </c>
      <c r="I12" s="22">
        <f>OFFSET(Historique!$B14, 1, I$2)/OFFSET(Historique!$B14, 0, I$2)-1</f>
        <v>0.002647032654</v>
      </c>
      <c r="J12" s="22">
        <f t="array" ref="J12">SUMPRODUCT(B12:I12, TRANSPOSE(Portfolio!$R$2:$R$9))/100</f>
        <v>0.002633496543</v>
      </c>
      <c r="K12" s="22">
        <f t="shared" si="2"/>
        <v>99.07333291</v>
      </c>
      <c r="L12" s="22">
        <f t="array" ref="L12">SUMPRODUCT(B12:H12, TRANSPOSE(Portfolio!$R$2:$R$8))/100*3/2</f>
        <v>0.002626728488</v>
      </c>
      <c r="M12" s="22">
        <f t="shared" si="3"/>
        <v>100.2976488</v>
      </c>
    </row>
    <row r="13" ht="15.75" customHeight="1">
      <c r="A13" s="32">
        <v>45261.73611111111</v>
      </c>
      <c r="B13" s="22">
        <f>Historique!B16/Historique!B15-1</f>
        <v>0.001607544743</v>
      </c>
      <c r="C13" s="22">
        <f>OFFSET(Historique!$B15, 1, C$2)/OFFSET(Historique!$B15, 0, C$2)-1</f>
        <v>0</v>
      </c>
      <c r="D13" s="22">
        <f>OFFSET(Historique!$B15, 1, D$2)/OFFSET(Historique!$B15, 0, D$2)-1</f>
        <v>0.004561850202</v>
      </c>
      <c r="E13" s="22">
        <f>OFFSET(Historique!$B15, 1, E$2)/OFFSET(Historique!$B15, 0, E$2)-1</f>
        <v>-0.001992031873</v>
      </c>
      <c r="F13" s="22">
        <f>OFFSET(Historique!$B15, 1, F$2)/OFFSET(Historique!$B15, 0, F$2)-1</f>
        <v>-0.001996007984</v>
      </c>
      <c r="G13" s="22">
        <f>OFFSET(Historique!$B15, 1, G$2)/OFFSET(Historique!$B15, 0, G$2)-1</f>
        <v>0.0004237288136</v>
      </c>
      <c r="H13" s="22">
        <f>OFFSET(Historique!$B15, 1, H$2)/OFFSET(Historique!$B15, 0, H$2)-1</f>
        <v>-0.004008016032</v>
      </c>
      <c r="I13" s="22">
        <f>OFFSET(Historique!$B15, 1, I$2)/OFFSET(Historique!$B15, 0, I$2)-1</f>
        <v>-0.003838047698</v>
      </c>
      <c r="J13" s="22">
        <f t="array" ref="J13">SUMPRODUCT(B13:I13, TRANSPOSE(Portfolio!$R$2:$R$9))/100</f>
        <v>-0.0008055267968</v>
      </c>
      <c r="K13" s="22">
        <f t="shared" si="2"/>
        <v>98.99352668</v>
      </c>
      <c r="L13" s="22">
        <f t="array" ref="L13">SUMPRODUCT(B13:H13, TRANSPOSE(Portfolio!$R$2:$R$8))/100*3/2</f>
        <v>0.000710733654</v>
      </c>
      <c r="M13" s="22">
        <f t="shared" si="3"/>
        <v>100.3689337</v>
      </c>
    </row>
    <row r="14" ht="15.75" customHeight="1">
      <c r="A14" s="32">
        <v>45268.73611111111</v>
      </c>
      <c r="B14" s="22">
        <f>Historique!B17/Historique!B16-1</f>
        <v>-0.0006419858763</v>
      </c>
      <c r="C14" s="22">
        <f>OFFSET(Historique!$B16, 1, C$2)/OFFSET(Historique!$B16, 0, C$2)-1</f>
        <v>-0.002</v>
      </c>
      <c r="D14" s="22">
        <f>OFFSET(Historique!$B16, 1, D$2)/OFFSET(Historique!$B16, 0, D$2)-1</f>
        <v>0.0007392544091</v>
      </c>
      <c r="E14" s="22">
        <f>OFFSET(Historique!$B16, 1, E$2)/OFFSET(Historique!$B16, 0, E$2)-1</f>
        <v>0.001996007984</v>
      </c>
      <c r="F14" s="22">
        <f>OFFSET(Historique!$B16, 1, F$2)/OFFSET(Historique!$B16, 0, F$2)-1</f>
        <v>0</v>
      </c>
      <c r="G14" s="22">
        <f>OFFSET(Historique!$B16, 1, G$2)/OFFSET(Historique!$B16, 0, G$2)-1</f>
        <v>-0.002858958069</v>
      </c>
      <c r="H14" s="22">
        <f>OFFSET(Historique!$B16, 1, H$2)/OFFSET(Historique!$B16, 0, H$2)-1</f>
        <v>0</v>
      </c>
      <c r="I14" s="22">
        <f>OFFSET(Historique!$B16, 1, I$2)/OFFSET(Historique!$B16, 0, I$2)-1</f>
        <v>-0.0165248764</v>
      </c>
      <c r="J14" s="22">
        <f t="array" ref="J14">SUMPRODUCT(B14:I14, TRANSPOSE(Portfolio!$R$2:$R$9))/100</f>
        <v>-0.005608291569</v>
      </c>
      <c r="K14" s="22">
        <f t="shared" si="2"/>
        <v>98.43834212</v>
      </c>
      <c r="L14" s="22">
        <f t="array" ref="L14">SUMPRODUCT(B14:H14, TRANSPOSE(Portfolio!$R$2:$R$8))/100*3/2</f>
        <v>-0.0001499991544</v>
      </c>
      <c r="M14" s="22">
        <f t="shared" si="3"/>
        <v>100.3538784</v>
      </c>
    </row>
    <row r="15" ht="15.75" customHeight="1">
      <c r="A15" s="32">
        <v>45275.73611111111</v>
      </c>
      <c r="B15" s="22">
        <f>Historique!B18/Historique!B17-1</f>
        <v>-0.002248394004</v>
      </c>
      <c r="C15" s="22">
        <f>OFFSET(Historique!$B17, 1, C$2)/OFFSET(Historique!$B17, 0, C$2)-1</f>
        <v>0.002004008016</v>
      </c>
      <c r="D15" s="22">
        <f>OFFSET(Historique!$B17, 1, D$2)/OFFSET(Historique!$B17, 0, D$2)-1</f>
        <v>-0.00179400591</v>
      </c>
      <c r="E15" s="22">
        <f>OFFSET(Historique!$B17, 1, E$2)/OFFSET(Historique!$B17, 0, E$2)-1</f>
        <v>0</v>
      </c>
      <c r="F15" s="22">
        <f>OFFSET(Historique!$B17, 1, F$2)/OFFSET(Historique!$B17, 0, F$2)-1</f>
        <v>-0.002</v>
      </c>
      <c r="G15" s="22">
        <f>OFFSET(Historique!$B17, 1, G$2)/OFFSET(Historique!$B17, 0, G$2)-1</f>
        <v>0</v>
      </c>
      <c r="H15" s="22">
        <f>OFFSET(Historique!$B17, 1, H$2)/OFFSET(Historique!$B17, 0, H$2)-1</f>
        <v>-0.002012072435</v>
      </c>
      <c r="I15" s="22">
        <f>OFFSET(Historique!$B17, 1, I$2)/OFFSET(Historique!$B17, 0, I$2)-1</f>
        <v>0.003849637681</v>
      </c>
      <c r="J15" s="22">
        <f t="array" ref="J15">SUMPRODUCT(B15:I15, TRANSPOSE(Portfolio!$R$2:$R$9))/100</f>
        <v>0.0005348490838</v>
      </c>
      <c r="K15" s="22">
        <f t="shared" si="2"/>
        <v>98.49099178</v>
      </c>
      <c r="L15" s="22">
        <f t="array" ref="L15">SUMPRODUCT(B15:H15, TRANSPOSE(Portfolio!$R$2:$R$8))/100*3/2</f>
        <v>-0.001122545215</v>
      </c>
      <c r="M15" s="22">
        <f t="shared" si="3"/>
        <v>100.2412267</v>
      </c>
    </row>
    <row r="16" ht="15.75" customHeight="1">
      <c r="A16" s="32">
        <v>45282.73611111111</v>
      </c>
      <c r="B16" s="22">
        <f>Historique!B19/Historique!B18-1</f>
        <v>-0.00622384376</v>
      </c>
      <c r="C16" s="22">
        <f>OFFSET(Historique!$B18, 1, C$2)/OFFSET(Historique!$B18, 0, C$2)-1</f>
        <v>0</v>
      </c>
      <c r="D16" s="22">
        <f>OFFSET(Historique!$B18, 1, D$2)/OFFSET(Historique!$B18, 0, D$2)-1</f>
        <v>-0.005497409874</v>
      </c>
      <c r="E16" s="22">
        <f>OFFSET(Historique!$B18, 1, E$2)/OFFSET(Historique!$B18, 0, E$2)-1</f>
        <v>-0.001992031873</v>
      </c>
      <c r="F16" s="22">
        <f>OFFSET(Historique!$B18, 1, F$2)/OFFSET(Historique!$B18, 0, F$2)-1</f>
        <v>0.002004008016</v>
      </c>
      <c r="G16" s="22">
        <f>OFFSET(Historique!$B18, 1, G$2)/OFFSET(Historique!$B18, 0, G$2)-1</f>
        <v>-0.006477646809</v>
      </c>
      <c r="H16" s="22">
        <f>OFFSET(Historique!$B18, 1, H$2)/OFFSET(Historique!$B18, 0, H$2)-1</f>
        <v>0.002016129032</v>
      </c>
      <c r="I16" s="22">
        <f>OFFSET(Historique!$B18, 1, I$2)/OFFSET(Historique!$B18, 0, I$2)-1</f>
        <v>-0.002052785924</v>
      </c>
      <c r="J16" s="22">
        <f t="array" ref="J16">SUMPRODUCT(B16:I16, TRANSPOSE(Portfolio!$R$2:$R$9))/100</f>
        <v>-0.002817894403</v>
      </c>
      <c r="K16" s="22">
        <f t="shared" si="2"/>
        <v>98.21345457</v>
      </c>
      <c r="L16" s="22">
        <f t="array" ref="L16">SUMPRODUCT(B16:H16, TRANSPOSE(Portfolio!$R$2:$R$8))/100*3/2</f>
        <v>-0.003200448643</v>
      </c>
      <c r="M16" s="22">
        <f t="shared" si="3"/>
        <v>99.92040978</v>
      </c>
    </row>
    <row r="17" ht="15.75" customHeight="1">
      <c r="A17" s="32">
        <v>45289.73611111111</v>
      </c>
      <c r="B17" s="22">
        <f>Historique!B20/Historique!B19-1</f>
        <v>0.007774538387</v>
      </c>
      <c r="C17" s="22">
        <f>OFFSET(Historique!$B19, 1, C$2)/OFFSET(Historique!$B19, 0, C$2)-1</f>
        <v>0.002</v>
      </c>
      <c r="D17" s="22">
        <f>OFFSET(Historique!$B19, 1, D$2)/OFFSET(Historique!$B19, 0, D$2)-1</f>
        <v>0.005527798448</v>
      </c>
      <c r="E17" s="22">
        <f>OFFSET(Historique!$B19, 1, E$2)/OFFSET(Historique!$B19, 0, E$2)-1</f>
        <v>0.001996007984</v>
      </c>
      <c r="F17" s="22">
        <f>OFFSET(Historique!$B19, 1, F$2)/OFFSET(Historique!$B19, 0, F$2)-1</f>
        <v>0</v>
      </c>
      <c r="G17" s="22">
        <f>OFFSET(Historique!$B19, 1, G$2)/OFFSET(Historique!$B19, 0, G$2)-1</f>
        <v>0.005985463873</v>
      </c>
      <c r="H17" s="22">
        <f>OFFSET(Historique!$B19, 1, H$2)/OFFSET(Historique!$B19, 0, H$2)-1</f>
        <v>0</v>
      </c>
      <c r="I17" s="22">
        <f>OFFSET(Historique!$B19, 1, I$2)/OFFSET(Historique!$B19, 0, I$2)-1</f>
        <v>0.01146047605</v>
      </c>
      <c r="J17" s="22">
        <f t="array" ref="J17">SUMPRODUCT(B17:I17, TRANSPOSE(Portfolio!$R$2:$R$9))/100</f>
        <v>0.006450040492</v>
      </c>
      <c r="K17" s="22">
        <f t="shared" si="2"/>
        <v>98.84693533</v>
      </c>
      <c r="L17" s="22">
        <f t="array" ref="L17">SUMPRODUCT(B17:H17, TRANSPOSE(Portfolio!$R$2:$R$8))/100*3/2</f>
        <v>0.003944822713</v>
      </c>
      <c r="M17" s="22">
        <f t="shared" si="3"/>
        <v>100.3145781</v>
      </c>
    </row>
    <row r="18" ht="15.75" customHeight="1">
      <c r="A18" s="32">
        <v>45296.73611111111</v>
      </c>
      <c r="B18" s="22">
        <f>Historique!B21/Historique!B20-1</f>
        <v>-0.00310725383</v>
      </c>
      <c r="C18" s="22">
        <f>OFFSET(Historique!$B20, 1, C$2)/OFFSET(Historique!$B20, 0, C$2)-1</f>
        <v>0</v>
      </c>
      <c r="D18" s="22">
        <f>OFFSET(Historique!$B20, 1, D$2)/OFFSET(Historique!$B20, 0, D$2)-1</f>
        <v>-0.003911618564</v>
      </c>
      <c r="E18" s="22">
        <f>OFFSET(Historique!$B20, 1, E$2)/OFFSET(Historique!$B20, 0, E$2)-1</f>
        <v>0</v>
      </c>
      <c r="F18" s="22">
        <f>OFFSET(Historique!$B20, 1, F$2)/OFFSET(Historique!$B20, 0, F$2)-1</f>
        <v>0.002</v>
      </c>
      <c r="G18" s="22">
        <f>OFFSET(Historique!$B20, 1, G$2)/OFFSET(Historique!$B20, 0, G$2)-1</f>
        <v>-0.00223119422</v>
      </c>
      <c r="H18" s="22">
        <f>OFFSET(Historique!$B20, 1, H$2)/OFFSET(Historique!$B20, 0, H$2)-1</f>
        <v>0.004024144869</v>
      </c>
      <c r="I18" s="22">
        <f>OFFSET(Historique!$B20, 1, I$2)/OFFSET(Historique!$B20, 0, I$2)-1</f>
        <v>0.005028382425</v>
      </c>
      <c r="J18" s="22">
        <f t="array" ref="J18">SUMPRODUCT(B18:I18, TRANSPOSE(Portfolio!$R$2:$R$9))/100</f>
        <v>0.000823639052</v>
      </c>
      <c r="K18" s="22">
        <f t="shared" si="2"/>
        <v>98.92834952</v>
      </c>
      <c r="L18" s="22">
        <f t="array" ref="L18">SUMPRODUCT(B18:H18, TRANSPOSE(Portfolio!$R$2:$R$8))/100*3/2</f>
        <v>-0.001278732635</v>
      </c>
      <c r="M18" s="22">
        <f t="shared" si="3"/>
        <v>100.1863026</v>
      </c>
    </row>
    <row r="19" ht="15.75" customHeight="1">
      <c r="A19" s="32">
        <v>45303.73611111111</v>
      </c>
      <c r="B19" s="22">
        <f>Historique!B22/Historique!B21-1</f>
        <v>0.0005374032674</v>
      </c>
      <c r="C19" s="22">
        <f>OFFSET(Historique!$B21, 1, C$2)/OFFSET(Historique!$B21, 0, C$2)-1</f>
        <v>0</v>
      </c>
      <c r="D19" s="22">
        <f>OFFSET(Historique!$B21, 1, D$2)/OFFSET(Historique!$B21, 0, D$2)-1</f>
        <v>-0.001804287837</v>
      </c>
      <c r="E19" s="22">
        <f>OFFSET(Historique!$B21, 1, E$2)/OFFSET(Historique!$B21, 0, E$2)-1</f>
        <v>0.001992031873</v>
      </c>
      <c r="F19" s="22">
        <f>OFFSET(Historique!$B21, 1, F$2)/OFFSET(Historique!$B21, 0, F$2)-1</f>
        <v>0.001996007984</v>
      </c>
      <c r="G19" s="22">
        <f>OFFSET(Historique!$B21, 1, G$2)/OFFSET(Historique!$B21, 0, G$2)-1</f>
        <v>-0.0005324246619</v>
      </c>
      <c r="H19" s="22">
        <f>OFFSET(Historique!$B21, 1, H$2)/OFFSET(Historique!$B21, 0, H$2)-1</f>
        <v>0.002004008016</v>
      </c>
      <c r="I19" s="22">
        <f>OFFSET(Historique!$B21, 1, I$2)/OFFSET(Historique!$B21, 0, I$2)-1</f>
        <v>0.01803384403</v>
      </c>
      <c r="J19" s="22">
        <f t="array" ref="J19">SUMPRODUCT(B19:I19, TRANSPOSE(Portfolio!$R$2:$R$9))/100</f>
        <v>0.006153327555</v>
      </c>
      <c r="K19" s="22">
        <f t="shared" si="2"/>
        <v>99.53708806</v>
      </c>
      <c r="L19" s="22">
        <f t="array" ref="L19">SUMPRODUCT(B19:H19, TRANSPOSE(Portfolio!$R$2:$R$8))/100*3/2</f>
        <v>0.0002130693154</v>
      </c>
      <c r="M19" s="22">
        <f t="shared" si="3"/>
        <v>100.2076492</v>
      </c>
    </row>
    <row r="20" ht="15.75" customHeight="1">
      <c r="A20" s="32">
        <v>45310.73611111111</v>
      </c>
      <c r="B20" s="22">
        <f>Historique!B23/Historique!B22-1</f>
        <v>0.002900418949</v>
      </c>
      <c r="C20" s="22">
        <f>OFFSET(Historique!$B22, 1, C$2)/OFFSET(Historique!$B22, 0, C$2)-1</f>
        <v>0</v>
      </c>
      <c r="D20" s="22">
        <f>OFFSET(Historique!$B22, 1, D$2)/OFFSET(Historique!$B22, 0, D$2)-1</f>
        <v>0.004572036151</v>
      </c>
      <c r="E20" s="22">
        <f>OFFSET(Historique!$B22, 1, E$2)/OFFSET(Historique!$B22, 0, E$2)-1</f>
        <v>0</v>
      </c>
      <c r="F20" s="22">
        <f>OFFSET(Historique!$B22, 1, F$2)/OFFSET(Historique!$B22, 0, F$2)-1</f>
        <v>-0.001992031873</v>
      </c>
      <c r="G20" s="22">
        <f>OFFSET(Historique!$B22, 1, G$2)/OFFSET(Historique!$B22, 0, G$2)-1</f>
        <v>0.003302791391</v>
      </c>
      <c r="H20" s="22">
        <f>OFFSET(Historique!$B22, 1, H$2)/OFFSET(Historique!$B22, 0, H$2)-1</f>
        <v>0</v>
      </c>
      <c r="I20" s="22">
        <f>OFFSET(Historique!$B22, 1, I$2)/OFFSET(Historique!$B22, 0, I$2)-1</f>
        <v>-0.004543270281</v>
      </c>
      <c r="J20" s="22">
        <f t="array" ref="J20">SUMPRODUCT(B20:I20, TRANSPOSE(Portfolio!$R$2:$R$9))/100</f>
        <v>-0.0002618925289</v>
      </c>
      <c r="K20" s="22">
        <f t="shared" si="2"/>
        <v>99.51102004</v>
      </c>
      <c r="L20" s="22">
        <f t="array" ref="L20">SUMPRODUCT(B20:H20, TRANSPOSE(Portfolio!$R$2:$R$8))/100*3/2</f>
        <v>0.001878796347</v>
      </c>
      <c r="M20" s="22">
        <f t="shared" si="3"/>
        <v>100.395919</v>
      </c>
    </row>
    <row r="21" ht="15.75" customHeight="1">
      <c r="A21" s="32">
        <v>45317.73611111111</v>
      </c>
      <c r="B21" s="22">
        <f>Historique!B24/Historique!B23-1</f>
        <v>0.00471293916</v>
      </c>
      <c r="C21" s="22">
        <f>OFFSET(Historique!$B23, 1, C$2)/OFFSET(Historique!$B23, 0, C$2)-1</f>
        <v>0</v>
      </c>
      <c r="D21" s="22">
        <f>OFFSET(Historique!$B23, 1, D$2)/OFFSET(Historique!$B23, 0, D$2)-1</f>
        <v>0.004022015241</v>
      </c>
      <c r="E21" s="22">
        <f>OFFSET(Historique!$B23, 1, E$2)/OFFSET(Historique!$B23, 0, E$2)-1</f>
        <v>0</v>
      </c>
      <c r="F21" s="22">
        <f>OFFSET(Historique!$B23, 1, F$2)/OFFSET(Historique!$B23, 0, F$2)-1</f>
        <v>0</v>
      </c>
      <c r="G21" s="22">
        <f>OFFSET(Historique!$B23, 1, G$2)/OFFSET(Historique!$B23, 0, G$2)-1</f>
        <v>0.006477646809</v>
      </c>
      <c r="H21" s="22">
        <f>OFFSET(Historique!$B23, 1, H$2)/OFFSET(Historique!$B23, 0, H$2)-1</f>
        <v>-0.002</v>
      </c>
      <c r="I21" s="22">
        <f>OFFSET(Historique!$B23, 1, I$2)/OFFSET(Historique!$B23, 0, I$2)-1</f>
        <v>0.003774081713</v>
      </c>
      <c r="J21" s="22">
        <f t="array" ref="J21">SUMPRODUCT(B21:I21, TRANSPOSE(Portfolio!$R$2:$R$9))/100</f>
        <v>0.002980299152</v>
      </c>
      <c r="K21" s="22">
        <f t="shared" si="2"/>
        <v>99.80759265</v>
      </c>
      <c r="L21" s="22">
        <f t="array" ref="L21">SUMPRODUCT(B21:H21, TRANSPOSE(Portfolio!$R$2:$R$8))/100*3/2</f>
        <v>0.002583407872</v>
      </c>
      <c r="M21" s="22">
        <f t="shared" si="3"/>
        <v>100.6552826</v>
      </c>
    </row>
    <row r="22" ht="15.75" customHeight="1">
      <c r="A22" s="32">
        <v>45324.73611111111</v>
      </c>
      <c r="B22" s="22">
        <f>Historique!B25/Historique!B24-1</f>
        <v>-0.005970149254</v>
      </c>
      <c r="C22" s="22">
        <f>OFFSET(Historique!$B24, 1, C$2)/OFFSET(Historique!$B24, 0, C$2)-1</f>
        <v>0</v>
      </c>
      <c r="D22" s="22">
        <f>OFFSET(Historique!$B24, 1, D$2)/OFFSET(Historique!$B24, 0, D$2)-1</f>
        <v>-0.003267973856</v>
      </c>
      <c r="E22" s="22">
        <f>OFFSET(Historique!$B24, 1, E$2)/OFFSET(Historique!$B24, 0, E$2)-1</f>
        <v>-0.001988071571</v>
      </c>
      <c r="F22" s="22">
        <f>OFFSET(Historique!$B24, 1, F$2)/OFFSET(Historique!$B24, 0, F$2)-1</f>
        <v>0</v>
      </c>
      <c r="G22" s="22">
        <f>OFFSET(Historique!$B24, 1, G$2)/OFFSET(Historique!$B24, 0, G$2)-1</f>
        <v>-0.01403249631</v>
      </c>
      <c r="H22" s="22">
        <f>OFFSET(Historique!$B24, 1, H$2)/OFFSET(Historique!$B24, 0, H$2)-1</f>
        <v>0.002004008016</v>
      </c>
      <c r="I22" s="22">
        <f>OFFSET(Historique!$B24, 1, I$2)/OFFSET(Historique!$B24, 0, I$2)-1</f>
        <v>-0.008765793731</v>
      </c>
      <c r="J22" s="22">
        <f t="array" ref="J22">SUMPRODUCT(B22:I22, TRANSPOSE(Portfolio!$R$2:$R$9))/100</f>
        <v>-0.005525893287</v>
      </c>
      <c r="K22" s="22">
        <f t="shared" si="2"/>
        <v>99.25606654</v>
      </c>
      <c r="L22" s="22">
        <f t="array" ref="L22">SUMPRODUCT(B22:H22, TRANSPOSE(Portfolio!$R$2:$R$8))/100*3/2</f>
        <v>-0.003905943066</v>
      </c>
      <c r="M22" s="22">
        <f t="shared" si="3"/>
        <v>100.2621288</v>
      </c>
    </row>
    <row r="23" ht="15.75" customHeight="1">
      <c r="A23" s="32">
        <v>45331.73611111111</v>
      </c>
      <c r="B23" s="22">
        <f>Historique!B26/Historique!B25-1</f>
        <v>-0.007185757186</v>
      </c>
      <c r="C23" s="22">
        <f>OFFSET(Historique!$B25, 1, C$2)/OFFSET(Historique!$B25, 0, C$2)-1</f>
        <v>-0.003992015968</v>
      </c>
      <c r="D23" s="22">
        <f>OFFSET(Historique!$B25, 1, D$2)/OFFSET(Historique!$B25, 0, D$2)-1</f>
        <v>-0.006980433633</v>
      </c>
      <c r="E23" s="22">
        <f>OFFSET(Historique!$B25, 1, E$2)/OFFSET(Historique!$B25, 0, E$2)-1</f>
        <v>0</v>
      </c>
      <c r="F23" s="22">
        <f>OFFSET(Historique!$B25, 1, F$2)/OFFSET(Historique!$B25, 0, F$2)-1</f>
        <v>0</v>
      </c>
      <c r="G23" s="22">
        <f>OFFSET(Historique!$B25, 1, G$2)/OFFSET(Historique!$B25, 0, G$2)-1</f>
        <v>0.001070090958</v>
      </c>
      <c r="H23" s="22">
        <f>OFFSET(Historique!$B25, 1, H$2)/OFFSET(Historique!$B25, 0, H$2)-1</f>
        <v>-0.002</v>
      </c>
      <c r="I23" s="22">
        <f>OFFSET(Historique!$B25, 1, I$2)/OFFSET(Historique!$B25, 0, I$2)-1</f>
        <v>0.009041790716</v>
      </c>
      <c r="J23" s="22">
        <f t="array" ref="J23">SUMPRODUCT(B23:I23, TRANSPOSE(Portfolio!$R$2:$R$9))/100</f>
        <v>0.0008332157304</v>
      </c>
      <c r="K23" s="22">
        <f t="shared" si="2"/>
        <v>99.33876826</v>
      </c>
      <c r="L23" s="22">
        <f t="array" ref="L23">SUMPRODUCT(B23:H23, TRANSPOSE(Portfolio!$R$2:$R$8))/100*3/2</f>
        <v>-0.003271071762</v>
      </c>
      <c r="M23" s="22">
        <f t="shared" si="3"/>
        <v>99.93416414</v>
      </c>
    </row>
    <row r="24" ht="15.75" customHeight="1">
      <c r="A24" s="32">
        <v>45338.73611111111</v>
      </c>
      <c r="B24" s="22">
        <f>Historique!B27/Historique!B26-1</f>
        <v>-0.002160527169</v>
      </c>
      <c r="C24" s="22">
        <f>OFFSET(Historique!$B26, 1, C$2)/OFFSET(Historique!$B26, 0, C$2)-1</f>
        <v>0</v>
      </c>
      <c r="D24" s="22">
        <f>OFFSET(Historique!$B26, 1, D$2)/OFFSET(Historique!$B26, 0, D$2)-1</f>
        <v>0.001597614229</v>
      </c>
      <c r="E24" s="22">
        <f>OFFSET(Historique!$B26, 1, E$2)/OFFSET(Historique!$B26, 0, E$2)-1</f>
        <v>0</v>
      </c>
      <c r="F24" s="22">
        <f>OFFSET(Historique!$B26, 1, F$2)/OFFSET(Historique!$B26, 0, F$2)-1</f>
        <v>-0.001996007984</v>
      </c>
      <c r="G24" s="22">
        <f>OFFSET(Historique!$B26, 1, G$2)/OFFSET(Historique!$B26, 0, G$2)-1</f>
        <v>-0.004275788348</v>
      </c>
      <c r="H24" s="22">
        <f>OFFSET(Historique!$B26, 1, H$2)/OFFSET(Historique!$B26, 0, H$2)-1</f>
        <v>-0.004008016032</v>
      </c>
      <c r="I24" s="22">
        <f>OFFSET(Historique!$B26, 1, I$2)/OFFSET(Historique!$B26, 0, I$2)-1</f>
        <v>0.0004152551634</v>
      </c>
      <c r="J24" s="22">
        <f t="array" ref="J24">SUMPRODUCT(B24:I24, TRANSPOSE(Portfolio!$R$2:$R$9))/100</f>
        <v>-0.0005603927129</v>
      </c>
      <c r="K24" s="22">
        <f t="shared" si="2"/>
        <v>99.28309954</v>
      </c>
      <c r="L24" s="22">
        <f t="array" ref="L24">SUMPRODUCT(B24:H24, TRANSPOSE(Portfolio!$R$2:$R$8))/100*3/2</f>
        <v>-0.001048216651</v>
      </c>
      <c r="M24" s="22">
        <f t="shared" si="3"/>
        <v>99.82941148</v>
      </c>
    </row>
    <row r="25" ht="15.75" customHeight="1">
      <c r="A25" s="32">
        <v>45345.73611111111</v>
      </c>
      <c r="B25" s="22">
        <f>Historique!B28/Historique!B27-1</f>
        <v>-0.004222150049</v>
      </c>
      <c r="C25" s="22">
        <f>OFFSET(Historique!$B27, 1, C$2)/OFFSET(Historique!$B27, 0, C$2)-1</f>
        <v>-0.002004008016</v>
      </c>
      <c r="D25" s="22">
        <f>OFFSET(Historique!$B27, 1, D$2)/OFFSET(Historique!$B27, 0, D$2)-1</f>
        <v>-0.003615482773</v>
      </c>
      <c r="E25" s="22">
        <f>OFFSET(Historique!$B27, 1, E$2)/OFFSET(Historique!$B27, 0, E$2)-1</f>
        <v>0</v>
      </c>
      <c r="F25" s="22">
        <f>OFFSET(Historique!$B27, 1, F$2)/OFFSET(Historique!$B27, 0, F$2)-1</f>
        <v>-0.002</v>
      </c>
      <c r="G25" s="22">
        <f>OFFSET(Historique!$B27, 1, G$2)/OFFSET(Historique!$B27, 0, G$2)-1</f>
        <v>0.0008588298443</v>
      </c>
      <c r="H25" s="22">
        <f>OFFSET(Historique!$B27, 1, H$2)/OFFSET(Historique!$B27, 0, H$2)-1</f>
        <v>-0.002012072435</v>
      </c>
      <c r="I25" s="22">
        <f>OFFSET(Historique!$B27, 1, I$2)/OFFSET(Historique!$B27, 0, I$2)-1</f>
        <v>-0.008061344868</v>
      </c>
      <c r="J25" s="22">
        <f t="array" ref="J25">SUMPRODUCT(B25:I25, TRANSPOSE(Portfolio!$R$2:$R$9))/100</f>
        <v>-0.004075792998</v>
      </c>
      <c r="K25" s="22">
        <f t="shared" si="2"/>
        <v>98.87844218</v>
      </c>
      <c r="L25" s="22">
        <f t="array" ref="L25">SUMPRODUCT(B25:H25, TRANSPOSE(Portfolio!$R$2:$R$8))/100*3/2</f>
        <v>-0.002083017063</v>
      </c>
      <c r="M25" s="22">
        <f t="shared" si="3"/>
        <v>99.62146511</v>
      </c>
    </row>
    <row r="26" ht="15.75" customHeight="1">
      <c r="A26" s="32">
        <v>45352.73611111111</v>
      </c>
      <c r="B26" s="22">
        <f>Historique!B29/Historique!B28-1</f>
        <v>0.0009784735812</v>
      </c>
      <c r="C26" s="22">
        <f>OFFSET(Historique!$B28, 1, C$2)/OFFSET(Historique!$B28, 0, C$2)-1</f>
        <v>0.002008032129</v>
      </c>
      <c r="D26" s="22">
        <f>OFFSET(Historique!$B28, 1, D$2)/OFFSET(Historique!$B28, 0, D$2)-1</f>
        <v>0.0008537886873</v>
      </c>
      <c r="E26" s="22">
        <f>OFFSET(Historique!$B28, 1, E$2)/OFFSET(Historique!$B28, 0, E$2)-1</f>
        <v>0</v>
      </c>
      <c r="F26" s="22">
        <f>OFFSET(Historique!$B28, 1, F$2)/OFFSET(Historique!$B28, 0, F$2)-1</f>
        <v>0</v>
      </c>
      <c r="G26" s="22">
        <f>OFFSET(Historique!$B28, 1, G$2)/OFFSET(Historique!$B28, 0, G$2)-1</f>
        <v>-0.00203797061</v>
      </c>
      <c r="H26" s="22">
        <f>OFFSET(Historique!$B28, 1, H$2)/OFFSET(Historique!$B28, 0, H$2)-1</f>
        <v>0</v>
      </c>
      <c r="I26" s="22">
        <f>OFFSET(Historique!$B28, 1, I$2)/OFFSET(Historique!$B28, 0, I$2)-1</f>
        <v>-0.005616121573</v>
      </c>
      <c r="J26" s="22">
        <f t="array" ref="J26">SUMPRODUCT(B26:I26, TRANSPOSE(Portfolio!$R$2:$R$9))/100</f>
        <v>-0.001715725942</v>
      </c>
      <c r="K26" s="22">
        <f t="shared" si="2"/>
        <v>98.70879387</v>
      </c>
      <c r="L26" s="22">
        <f t="array" ref="L26">SUMPRODUCT(B26:H26, TRANSPOSE(Portfolio!$R$2:$R$8))/100*3/2</f>
        <v>0.0002344718737</v>
      </c>
      <c r="M26" s="22">
        <f t="shared" si="3"/>
        <v>99.64482355</v>
      </c>
    </row>
    <row r="27" ht="15.75" customHeight="1">
      <c r="A27" s="32">
        <v>45359.73611111111</v>
      </c>
      <c r="B27" s="22">
        <f>Historique!B30/Historique!B29-1</f>
        <v>-0.0009775171065</v>
      </c>
      <c r="C27" s="22">
        <f>OFFSET(Historique!$B29, 1, C$2)/OFFSET(Historique!$B29, 0, C$2)-1</f>
        <v>0.002004008016</v>
      </c>
      <c r="D27" s="22">
        <f>OFFSET(Historique!$B29, 1, D$2)/OFFSET(Historique!$B29, 0, D$2)-1</f>
        <v>-0.001386223075</v>
      </c>
      <c r="E27" s="22">
        <f>OFFSET(Historique!$B29, 1, E$2)/OFFSET(Historique!$B29, 0, E$2)-1</f>
        <v>0</v>
      </c>
      <c r="F27" s="22">
        <f>OFFSET(Historique!$B29, 1, F$2)/OFFSET(Historique!$B29, 0, F$2)-1</f>
        <v>0.002004008016</v>
      </c>
      <c r="G27" s="22">
        <f>OFFSET(Historique!$B29, 1, G$2)/OFFSET(Historique!$B29, 0, G$2)-1</f>
        <v>0.00494411006</v>
      </c>
      <c r="H27" s="22">
        <f>OFFSET(Historique!$B29, 1, H$2)/OFFSET(Historique!$B29, 0, H$2)-1</f>
        <v>0.002016129032</v>
      </c>
      <c r="I27" s="22">
        <f>OFFSET(Historique!$B29, 1, I$2)/OFFSET(Historique!$B29, 0, I$2)-1</f>
        <v>-0.01926910299</v>
      </c>
      <c r="J27" s="22">
        <f t="array" ref="J27">SUMPRODUCT(B27:I27, TRANSPOSE(Portfolio!$R$2:$R$9))/100</f>
        <v>-0.005918012301</v>
      </c>
      <c r="K27" s="22">
        <f t="shared" si="2"/>
        <v>98.12463401</v>
      </c>
      <c r="L27" s="22">
        <f t="array" ref="L27">SUMPRODUCT(B27:H27, TRANSPOSE(Portfolio!$R$2:$R$8))/100*3/2</f>
        <v>0.0007575330439</v>
      </c>
      <c r="M27" s="22">
        <f t="shared" si="3"/>
        <v>99.72030779</v>
      </c>
    </row>
    <row r="28" ht="15.75" customHeight="1">
      <c r="A28" s="32">
        <v>45366.73611111111</v>
      </c>
      <c r="B28" s="22">
        <f>Historique!B31/Historique!B30-1</f>
        <v>0.005870841487</v>
      </c>
      <c r="C28" s="22">
        <f>OFFSET(Historique!$B30, 1, C$2)/OFFSET(Historique!$B30, 0, C$2)-1</f>
        <v>0</v>
      </c>
      <c r="D28" s="22">
        <f>OFFSET(Historique!$B30, 1, D$2)/OFFSET(Historique!$B30, 0, D$2)-1</f>
        <v>0.003096636412</v>
      </c>
      <c r="E28" s="22">
        <f>OFFSET(Historique!$B30, 1, E$2)/OFFSET(Historique!$B30, 0, E$2)-1</f>
        <v>0</v>
      </c>
      <c r="F28" s="22">
        <f>OFFSET(Historique!$B30, 1, F$2)/OFFSET(Historique!$B30, 0, F$2)-1</f>
        <v>0</v>
      </c>
      <c r="G28" s="22">
        <f>OFFSET(Historique!$B30, 1, G$2)/OFFSET(Historique!$B30, 0, G$2)-1</f>
        <v>-0.0005347593583</v>
      </c>
      <c r="H28" s="22">
        <f>OFFSET(Historique!$B30, 1, H$2)/OFFSET(Historique!$B30, 0, H$2)-1</f>
        <v>0.002012072435</v>
      </c>
      <c r="I28" s="22">
        <f>OFFSET(Historique!$B30, 1, I$2)/OFFSET(Historique!$B30, 0, I$2)-1</f>
        <v>0.0006775067751</v>
      </c>
      <c r="J28" s="22">
        <f t="array" ref="J28">SUMPRODUCT(B28:I28, TRANSPOSE(Portfolio!$R$2:$R$9))/100</f>
        <v>0.001411595781</v>
      </c>
      <c r="K28" s="22">
        <f t="shared" si="2"/>
        <v>98.26314633</v>
      </c>
      <c r="L28" s="22">
        <f t="array" ref="L28">SUMPRODUCT(B28:H28, TRANSPOSE(Portfolio!$R$2:$R$8))/100*3/2</f>
        <v>0.001778640284</v>
      </c>
      <c r="M28" s="22">
        <f t="shared" si="3"/>
        <v>99.89767435</v>
      </c>
    </row>
    <row r="29" ht="15.75" customHeight="1">
      <c r="A29" s="32">
        <v>45373.73611111111</v>
      </c>
      <c r="B29" s="22">
        <f>Historique!B32/Historique!B31-1</f>
        <v>-0.002161694769</v>
      </c>
      <c r="C29" s="22">
        <f>OFFSET(Historique!$B31, 1, C$2)/OFFSET(Historique!$B31, 0, C$2)-1</f>
        <v>0.002</v>
      </c>
      <c r="D29" s="22">
        <f>OFFSET(Historique!$B31, 1, D$2)/OFFSET(Historique!$B31, 0, D$2)-1</f>
        <v>0.000851607409</v>
      </c>
      <c r="E29" s="22">
        <f>OFFSET(Historique!$B31, 1, E$2)/OFFSET(Historique!$B31, 0, E$2)-1</f>
        <v>0.001992031873</v>
      </c>
      <c r="F29" s="22">
        <f>OFFSET(Historique!$B31, 1, F$2)/OFFSET(Historique!$B31, 0, F$2)-1</f>
        <v>0.002</v>
      </c>
      <c r="G29" s="22">
        <f>OFFSET(Historique!$B31, 1, G$2)/OFFSET(Historique!$B31, 0, G$2)-1</f>
        <v>0.006099518459</v>
      </c>
      <c r="H29" s="22">
        <f>OFFSET(Historique!$B31, 1, H$2)/OFFSET(Historique!$B31, 0, H$2)-1</f>
        <v>0.002008032129</v>
      </c>
      <c r="I29" s="22">
        <f>OFFSET(Historique!$B31, 1, I$2)/OFFSET(Historique!$B31, 0, I$2)-1</f>
        <v>0.001196118258</v>
      </c>
      <c r="J29" s="22">
        <f t="array" ref="J29">SUMPRODUCT(B29:I29, TRANSPOSE(Portfolio!$R$2:$R$9))/100</f>
        <v>0.001509063252</v>
      </c>
      <c r="K29" s="22">
        <f t="shared" si="2"/>
        <v>98.41143163</v>
      </c>
      <c r="L29" s="22">
        <f t="array" ref="L29">SUMPRODUCT(B29:H29, TRANSPOSE(Portfolio!$R$2:$R$8))/100*3/2</f>
        <v>0.001665535749</v>
      </c>
      <c r="M29" s="22">
        <f t="shared" si="3"/>
        <v>100.0640575</v>
      </c>
    </row>
    <row r="30" ht="15.75" customHeight="1">
      <c r="A30" s="32">
        <v>45379.73611111111</v>
      </c>
      <c r="B30" s="22">
        <f>Historique!B33/Historique!B32-1</f>
        <v>0.006174176776</v>
      </c>
      <c r="C30" s="22">
        <f>OFFSET(Historique!$B32, 1, C$2)/OFFSET(Historique!$B32, 0, C$2)-1</f>
        <v>0</v>
      </c>
      <c r="D30" s="22">
        <f>OFFSET(Historique!$B32, 1, D$2)/OFFSET(Historique!$B32, 0, D$2)-1</f>
        <v>0.005530738141</v>
      </c>
      <c r="E30" s="22">
        <f>OFFSET(Historique!$B32, 1, E$2)/OFFSET(Historique!$B32, 0, E$2)-1</f>
        <v>0</v>
      </c>
      <c r="F30" s="22">
        <f>OFFSET(Historique!$B32, 1, F$2)/OFFSET(Historique!$B32, 0, F$2)-1</f>
        <v>0</v>
      </c>
      <c r="G30" s="22">
        <f>OFFSET(Historique!$B32, 1, G$2)/OFFSET(Historique!$B32, 0, G$2)-1</f>
        <v>-0.002871729419</v>
      </c>
      <c r="H30" s="22">
        <f>OFFSET(Historique!$B32, 1, H$2)/OFFSET(Historique!$B32, 0, H$2)-1</f>
        <v>-0.002004008016</v>
      </c>
      <c r="I30" s="22">
        <f>OFFSET(Historique!$B32, 1, I$2)/OFFSET(Historique!$B32, 0, I$2)-1</f>
        <v>-0.00568040935</v>
      </c>
      <c r="J30" s="22">
        <f t="array" ref="J30">SUMPRODUCT(B30:I30, TRANSPOSE(Portfolio!$R$2:$R$9))/100</f>
        <v>-0.0006353927702</v>
      </c>
      <c r="K30" s="22">
        <f t="shared" si="2"/>
        <v>98.34890172</v>
      </c>
      <c r="L30" s="22">
        <f t="array" ref="L30">SUMPRODUCT(B30:H30, TRANSPOSE(Portfolio!$R$2:$R$8))/100*3/2</f>
        <v>0.00188711552</v>
      </c>
      <c r="M30" s="22">
        <f t="shared" si="3"/>
        <v>100.2528899</v>
      </c>
    </row>
    <row r="31" ht="15.75" customHeight="1">
      <c r="A31" s="32">
        <v>45387.73611111111</v>
      </c>
      <c r="B31" s="22">
        <f>Historique!B34/Historique!B33-1</f>
        <v>-0.002799009581</v>
      </c>
      <c r="C31" s="22">
        <f>OFFSET(Historique!$B33, 1, C$2)/OFFSET(Historique!$B33, 0, C$2)-1</f>
        <v>0</v>
      </c>
      <c r="D31" s="22">
        <f>OFFSET(Historique!$B33, 1, D$2)/OFFSET(Historique!$B33, 0, D$2)-1</f>
        <v>-0.002750158663</v>
      </c>
      <c r="E31" s="22">
        <f>OFFSET(Historique!$B33, 1, E$2)/OFFSET(Historique!$B33, 0, E$2)-1</f>
        <v>0</v>
      </c>
      <c r="F31" s="22">
        <f>OFFSET(Historique!$B33, 1, F$2)/OFFSET(Historique!$B33, 0, F$2)-1</f>
        <v>0</v>
      </c>
      <c r="G31" s="22">
        <f>OFFSET(Historique!$B33, 1, G$2)/OFFSET(Historique!$B33, 0, G$2)-1</f>
        <v>-0.003626666667</v>
      </c>
      <c r="H31" s="22">
        <f>OFFSET(Historique!$B33, 1, H$2)/OFFSET(Historique!$B33, 0, H$2)-1</f>
        <v>0.002008032129</v>
      </c>
      <c r="I31" s="22">
        <f>OFFSET(Historique!$B33, 1, I$2)/OFFSET(Historique!$B33, 0, I$2)-1</f>
        <v>-0.01428215184</v>
      </c>
      <c r="J31" s="22">
        <f t="array" ref="J31">SUMPRODUCT(B31:I31, TRANSPOSE(Portfolio!$R$2:$R$9))/100</f>
        <v>-0.005791306531</v>
      </c>
      <c r="K31" s="22">
        <f t="shared" si="2"/>
        <v>97.77933308</v>
      </c>
      <c r="L31" s="22">
        <f t="array" ref="L31">SUMPRODUCT(B31:H31, TRANSPOSE(Portfolio!$R$2:$R$8))/100*3/2</f>
        <v>-0.001545883875</v>
      </c>
      <c r="M31" s="22">
        <f t="shared" si="3"/>
        <v>100.0979106</v>
      </c>
    </row>
    <row r="32" ht="15.75" customHeight="1">
      <c r="A32" s="32">
        <v>45394.73611111111</v>
      </c>
      <c r="B32" s="22">
        <f>Historique!B35/Historique!B34-1</f>
        <v>-0.003346647954</v>
      </c>
      <c r="C32" s="22">
        <f>OFFSET(Historique!$B34, 1, C$2)/OFFSET(Historique!$B34, 0, C$2)-1</f>
        <v>0.001996007984</v>
      </c>
      <c r="D32" s="22">
        <f>OFFSET(Historique!$B34, 1, D$2)/OFFSET(Historique!$B34, 0, D$2)-1</f>
        <v>-0.00413661434</v>
      </c>
      <c r="E32" s="22">
        <f>OFFSET(Historique!$B34, 1, E$2)/OFFSET(Historique!$B34, 0, E$2)-1</f>
        <v>0</v>
      </c>
      <c r="F32" s="22">
        <f>OFFSET(Historique!$B34, 1, F$2)/OFFSET(Historique!$B34, 0, F$2)-1</f>
        <v>0.001996007984</v>
      </c>
      <c r="G32" s="22">
        <f>OFFSET(Historique!$B34, 1, G$2)/OFFSET(Historique!$B34, 0, G$2)-1</f>
        <v>0.004496306605</v>
      </c>
      <c r="H32" s="22">
        <f>OFFSET(Historique!$B34, 1, H$2)/OFFSET(Historique!$B34, 0, H$2)-1</f>
        <v>0.002004008016</v>
      </c>
      <c r="I32" s="22">
        <f>OFFSET(Historique!$B34, 1, I$2)/OFFSET(Historique!$B34, 0, I$2)-1</f>
        <v>-0.002989811642</v>
      </c>
      <c r="J32" s="22">
        <f t="array" ref="J32">SUMPRODUCT(B32:I32, TRANSPOSE(Portfolio!$R$2:$R$9))/100</f>
        <v>-0.001278063789</v>
      </c>
      <c r="K32" s="22">
        <f t="shared" si="2"/>
        <v>97.65436486</v>
      </c>
      <c r="L32" s="22">
        <f t="array" ref="L32">SUMPRODUCT(B32:H32, TRANSPOSE(Portfolio!$R$2:$R$8))/100*3/2</f>
        <v>-0.0004221898633</v>
      </c>
      <c r="M32" s="22">
        <f t="shared" si="3"/>
        <v>100.0556503</v>
      </c>
    </row>
    <row r="33" ht="15.75" customHeight="1">
      <c r="A33" s="32">
        <v>45401.73611111111</v>
      </c>
      <c r="B33" s="22">
        <f>Historique!B36/Historique!B35-1</f>
        <v>0.006499133449</v>
      </c>
      <c r="C33" s="22">
        <f>OFFSET(Historique!$B35, 1, C$2)/OFFSET(Historique!$B35, 0, C$2)-1</f>
        <v>0.001992031873</v>
      </c>
      <c r="D33" s="22">
        <f>OFFSET(Historique!$B35, 1, D$2)/OFFSET(Historique!$B35, 0, D$2)-1</f>
        <v>0.004366812227</v>
      </c>
      <c r="E33" s="22">
        <f>OFFSET(Historique!$B35, 1, E$2)/OFFSET(Historique!$B35, 0, E$2)-1</f>
        <v>0</v>
      </c>
      <c r="F33" s="22">
        <f>OFFSET(Historique!$B35, 1, F$2)/OFFSET(Historique!$B35, 0, F$2)-1</f>
        <v>0</v>
      </c>
      <c r="G33" s="22">
        <f>OFFSET(Historique!$B35, 1, G$2)/OFFSET(Historique!$B35, 0, G$2)-1</f>
        <v>0.005435361825</v>
      </c>
      <c r="H33" s="22">
        <f>OFFSET(Historique!$B35, 1, H$2)/OFFSET(Historique!$B35, 0, H$2)-1</f>
        <v>0</v>
      </c>
      <c r="I33" s="22">
        <f>OFFSET(Historique!$B35, 1, I$2)/OFFSET(Historique!$B35, 0, I$2)-1</f>
        <v>0.001061105857</v>
      </c>
      <c r="J33" s="22">
        <f t="array" ref="J33">SUMPRODUCT(B33:I33, TRANSPOSE(Portfolio!$R$2:$R$9))/100</f>
        <v>0.002402871164</v>
      </c>
      <c r="K33" s="22">
        <f t="shared" si="2"/>
        <v>97.88901572</v>
      </c>
      <c r="L33" s="22">
        <f t="array" ref="L33">SUMPRODUCT(B33:H33, TRANSPOSE(Portfolio!$R$2:$R$8))/100*3/2</f>
        <v>0.003073753817</v>
      </c>
      <c r="M33" s="22">
        <f t="shared" si="3"/>
        <v>100.3631967</v>
      </c>
    </row>
    <row r="34" ht="15.75" customHeight="1">
      <c r="A34" s="32">
        <v>45408.73611111111</v>
      </c>
      <c r="B34" s="22">
        <f>Historique!B37/Historique!B36-1</f>
        <v>0.004842875592</v>
      </c>
      <c r="C34" s="22">
        <f>OFFSET(Historique!$B36, 1, C$2)/OFFSET(Historique!$B36, 0, C$2)-1</f>
        <v>0.001988071571</v>
      </c>
      <c r="D34" s="22">
        <f>OFFSET(Historique!$B36, 1, D$2)/OFFSET(Historique!$B36, 0, D$2)-1</f>
        <v>0.003605514316</v>
      </c>
      <c r="E34" s="22">
        <f>OFFSET(Historique!$B36, 1, E$2)/OFFSET(Historique!$B36, 0, E$2)-1</f>
        <v>0.001988071571</v>
      </c>
      <c r="F34" s="22">
        <f>OFFSET(Historique!$B36, 1, F$2)/OFFSET(Historique!$B36, 0, F$2)-1</f>
        <v>0.001992031873</v>
      </c>
      <c r="G34" s="22">
        <f>OFFSET(Historique!$B36, 1, G$2)/OFFSET(Historique!$B36, 0, G$2)-1</f>
        <v>-0.002437990248</v>
      </c>
      <c r="H34" s="22">
        <f>OFFSET(Historique!$B36, 1, H$2)/OFFSET(Historique!$B36, 0, H$2)-1</f>
        <v>0.004</v>
      </c>
      <c r="I34" s="22">
        <f>OFFSET(Historique!$B36, 1, I$2)/OFFSET(Historique!$B36, 0, I$2)-1</f>
        <v>0.005645551536</v>
      </c>
      <c r="J34" s="22">
        <f t="array" ref="J34">SUMPRODUCT(B34:I34, TRANSPOSE(Portfolio!$R$2:$R$9))/100</f>
        <v>0.00345964324</v>
      </c>
      <c r="K34" s="22">
        <f t="shared" si="2"/>
        <v>98.22767679</v>
      </c>
      <c r="L34" s="22">
        <f t="array" ref="L34">SUMPRODUCT(B34:H34, TRANSPOSE(Portfolio!$R$2:$R$8))/100*3/2</f>
        <v>0.002366689091</v>
      </c>
      <c r="M34" s="22">
        <f t="shared" si="3"/>
        <v>100.6007252</v>
      </c>
    </row>
    <row r="35" ht="15.75" customHeight="1">
      <c r="A35" s="32">
        <v>45415.73611111111</v>
      </c>
      <c r="B35" s="22">
        <f>Historique!B38/Historique!B37-1</f>
        <v>-0.001071007818</v>
      </c>
      <c r="C35" s="22">
        <f>OFFSET(Historique!$B37, 1, C$2)/OFFSET(Historique!$B37, 0, C$2)-1</f>
        <v>0.001984126984</v>
      </c>
      <c r="D35" s="22">
        <f>OFFSET(Historique!$B37, 1, D$2)/OFFSET(Historique!$B37, 0, D$2)-1</f>
        <v>-0.003169907016</v>
      </c>
      <c r="E35" s="22">
        <f>OFFSET(Historique!$B37, 1, E$2)/OFFSET(Historique!$B37, 0, E$2)-1</f>
        <v>0</v>
      </c>
      <c r="F35" s="22">
        <f>OFFSET(Historique!$B37, 1, F$2)/OFFSET(Historique!$B37, 0, F$2)-1</f>
        <v>0.001988071571</v>
      </c>
      <c r="G35" s="22">
        <f>OFFSET(Historique!$B37, 1, G$2)/OFFSET(Historique!$B37, 0, G$2)-1</f>
        <v>-0.00573796621</v>
      </c>
      <c r="H35" s="22">
        <f>OFFSET(Historique!$B37, 1, H$2)/OFFSET(Historique!$B37, 0, H$2)-1</f>
        <v>0.001992031873</v>
      </c>
      <c r="I35" s="22">
        <f>OFFSET(Historique!$B37, 1, I$2)/OFFSET(Historique!$B37, 0, I$2)-1</f>
        <v>0.009692498052</v>
      </c>
      <c r="J35" s="22">
        <f t="array" ref="J35">SUMPRODUCT(B35:I35, TRANSPOSE(Portfolio!$R$2:$R$9))/100</f>
        <v>0.002374937075</v>
      </c>
      <c r="K35" s="22">
        <f t="shared" si="2"/>
        <v>98.46096134</v>
      </c>
      <c r="L35" s="22">
        <f t="array" ref="L35">SUMPRODUCT(B35:H35, TRANSPOSE(Portfolio!$R$2:$R$8))/100*3/2</f>
        <v>-0.001283843413</v>
      </c>
      <c r="M35" s="22">
        <f t="shared" si="3"/>
        <v>100.4715696</v>
      </c>
    </row>
    <row r="36" ht="15.75" customHeight="1">
      <c r="A36" s="32">
        <v>45422.73611111111</v>
      </c>
      <c r="B36" s="22">
        <f>Historique!B39/Historique!B38-1</f>
        <v>-0.004288624424</v>
      </c>
      <c r="C36" s="22">
        <f>OFFSET(Historique!$B38, 1, C$2)/OFFSET(Historique!$B38, 0, C$2)-1</f>
        <v>-0.00198019802</v>
      </c>
      <c r="D36" s="22">
        <f>OFFSET(Historique!$B38, 1, D$2)/OFFSET(Historique!$B38, 0, D$2)-1</f>
        <v>-0.008055967776</v>
      </c>
      <c r="E36" s="22">
        <f>OFFSET(Historique!$B38, 1, E$2)/OFFSET(Historique!$B38, 0, E$2)-1</f>
        <v>0</v>
      </c>
      <c r="F36" s="22">
        <f>OFFSET(Historique!$B38, 1, F$2)/OFFSET(Historique!$B38, 0, F$2)-1</f>
        <v>0</v>
      </c>
      <c r="G36" s="22">
        <f>OFFSET(Historique!$B38, 1, G$2)/OFFSET(Historique!$B38, 0, G$2)-1</f>
        <v>-0.002778668377</v>
      </c>
      <c r="H36" s="22">
        <f>OFFSET(Historique!$B38, 1, H$2)/OFFSET(Historique!$B38, 0, H$2)-1</f>
        <v>0.003976143141</v>
      </c>
      <c r="I36" s="22">
        <f>OFFSET(Historique!$B38, 1, I$2)/OFFSET(Historique!$B38, 0, I$2)-1</f>
        <v>0.021332123</v>
      </c>
      <c r="J36" s="22">
        <f t="array" ref="J36">SUMPRODUCT(B36:I36, TRANSPOSE(Portfolio!$R$2:$R$9))/100</f>
        <v>0.005020866073</v>
      </c>
      <c r="K36" s="22">
        <f t="shared" si="2"/>
        <v>98.95532064</v>
      </c>
      <c r="L36" s="22">
        <f t="array" ref="L36">SUMPRODUCT(B36:H36, TRANSPOSE(Portfolio!$R$2:$R$8))/100*3/2</f>
        <v>-0.003134762391</v>
      </c>
      <c r="M36" s="22">
        <f t="shared" si="3"/>
        <v>100.1566151</v>
      </c>
    </row>
    <row r="37" ht="15.75" customHeight="1">
      <c r="A37" s="32">
        <v>45428.73611111111</v>
      </c>
      <c r="B37" s="22">
        <f>Historique!B40/Historique!B39-1</f>
        <v>-0.005383869926</v>
      </c>
      <c r="C37" s="22">
        <f>OFFSET(Historique!$B39, 1, C$2)/OFFSET(Historique!$B39, 0, C$2)-1</f>
        <v>0</v>
      </c>
      <c r="D37" s="22">
        <f>OFFSET(Historique!$B39, 1, D$2)/OFFSET(Historique!$B39, 0, D$2)-1</f>
        <v>-0.002564650566</v>
      </c>
      <c r="E37" s="22">
        <f>OFFSET(Historique!$B39, 1, E$2)/OFFSET(Historique!$B39, 0, E$2)-1</f>
        <v>0</v>
      </c>
      <c r="F37" s="22">
        <f>OFFSET(Historique!$B39, 1, F$2)/OFFSET(Historique!$B39, 0, F$2)-1</f>
        <v>0.001984126984</v>
      </c>
      <c r="G37" s="22">
        <f>OFFSET(Historique!$B39, 1, G$2)/OFFSET(Historique!$B39, 0, G$2)-1</f>
        <v>0.005358482478</v>
      </c>
      <c r="H37" s="22">
        <f>OFFSET(Historique!$B39, 1, H$2)/OFFSET(Historique!$B39, 0, H$2)-1</f>
        <v>0.00198019802</v>
      </c>
      <c r="I37" s="22">
        <f>OFFSET(Historique!$B39, 1, I$2)/OFFSET(Historique!$B39, 0, I$2)-1</f>
        <v>0.01530941007</v>
      </c>
      <c r="J37" s="22">
        <f t="array" ref="J37">SUMPRODUCT(B37:I37, TRANSPOSE(Portfolio!$R$2:$R$9))/100</f>
        <v>0.004907821347</v>
      </c>
      <c r="K37" s="22">
        <f t="shared" si="2"/>
        <v>99.44097567</v>
      </c>
      <c r="L37" s="22">
        <f t="array" ref="L37">SUMPRODUCT(B37:H37, TRANSPOSE(Portfolio!$R$2:$R$8))/100*3/2</f>
        <v>-0.0002929730128</v>
      </c>
      <c r="M37" s="22">
        <f t="shared" si="3"/>
        <v>100.1272719</v>
      </c>
    </row>
    <row r="38" ht="15.75" customHeight="1">
      <c r="A38" s="32">
        <v>45436.73611111111</v>
      </c>
      <c r="B38" s="22">
        <f>Historique!B41/Historique!B40-1</f>
        <v>0.006387355202</v>
      </c>
      <c r="C38" s="22">
        <f>OFFSET(Historique!$B40, 1, C$2)/OFFSET(Historique!$B40, 0, C$2)-1</f>
        <v>0.001984126984</v>
      </c>
      <c r="D38" s="22">
        <f>OFFSET(Historique!$B40, 1, D$2)/OFFSET(Historique!$B40, 0, D$2)-1</f>
        <v>0.005142489822</v>
      </c>
      <c r="E38" s="22">
        <f>OFFSET(Historique!$B40, 1, E$2)/OFFSET(Historique!$B40, 0, E$2)-1</f>
        <v>0</v>
      </c>
      <c r="F38" s="22">
        <f>OFFSET(Historique!$B40, 1, F$2)/OFFSET(Historique!$B40, 0, F$2)-1</f>
        <v>-0.00198019802</v>
      </c>
      <c r="G38" s="22">
        <f>OFFSET(Historique!$B40, 1, G$2)/OFFSET(Historique!$B40, 0, G$2)-1</f>
        <v>-0.0002131968873</v>
      </c>
      <c r="H38" s="22">
        <f>OFFSET(Historique!$B40, 1, H$2)/OFFSET(Historique!$B40, 0, H$2)-1</f>
        <v>-0.00395256917</v>
      </c>
      <c r="I38" s="22">
        <f>OFFSET(Historique!$B40, 1, I$2)/OFFSET(Historique!$B40, 0, I$2)-1</f>
        <v>-0.0007003107629</v>
      </c>
      <c r="J38" s="22">
        <f t="array" ref="J38">SUMPRODUCT(B38:I38, TRANSPOSE(Portfolio!$R$2:$R$9))/100</f>
        <v>0.001030560242</v>
      </c>
      <c r="K38" s="22">
        <f t="shared" si="2"/>
        <v>99.54345559</v>
      </c>
      <c r="L38" s="22">
        <f t="array" ref="L38">SUMPRODUCT(B38:H38, TRANSPOSE(Portfolio!$R$2:$R$8))/100*3/2</f>
        <v>0.001895995745</v>
      </c>
      <c r="M38" s="22">
        <f t="shared" si="3"/>
        <v>100.3171128</v>
      </c>
    </row>
    <row r="39" ht="15.75" customHeight="1">
      <c r="A39" s="32">
        <v>45443.73611111111</v>
      </c>
      <c r="B39" s="22">
        <f>Historique!B42/Historique!B41-1</f>
        <v>-0.0003227194492</v>
      </c>
      <c r="C39" s="22">
        <f>OFFSET(Historique!$B41, 1, C$2)/OFFSET(Historique!$B41, 0, C$2)-1</f>
        <v>0</v>
      </c>
      <c r="D39" s="22">
        <f>OFFSET(Historique!$B41, 1, D$2)/OFFSET(Historique!$B41, 0, D$2)-1</f>
        <v>-0.0003197612449</v>
      </c>
      <c r="E39" s="22">
        <f>OFFSET(Historique!$B41, 1, E$2)/OFFSET(Historique!$B41, 0, E$2)-1</f>
        <v>0</v>
      </c>
      <c r="F39" s="22">
        <f>OFFSET(Historique!$B41, 1, F$2)/OFFSET(Historique!$B41, 0, F$2)-1</f>
        <v>0</v>
      </c>
      <c r="G39" s="22">
        <f>OFFSET(Historique!$B41, 1, G$2)/OFFSET(Historique!$B41, 0, G$2)-1</f>
        <v>-0.002132423499</v>
      </c>
      <c r="H39" s="22">
        <f>OFFSET(Historique!$B41, 1, H$2)/OFFSET(Historique!$B41, 0, H$2)-1</f>
        <v>0</v>
      </c>
      <c r="I39" s="22">
        <f>OFFSET(Historique!$B41, 1, I$2)/OFFSET(Historique!$B41, 0, I$2)-1</f>
        <v>0.004380009636</v>
      </c>
      <c r="J39" s="22">
        <f t="array" ref="J39">SUMPRODUCT(B39:I39, TRANSPOSE(Portfolio!$R$2:$R$9))/100</f>
        <v>0.001167016348</v>
      </c>
      <c r="K39" s="22">
        <f t="shared" si="2"/>
        <v>99.65962443</v>
      </c>
      <c r="L39" s="22">
        <f t="array" ref="L39">SUMPRODUCT(B39:H39, TRANSPOSE(Portfolio!$R$2:$R$8))/100*3/2</f>
        <v>-0.0004394802953</v>
      </c>
      <c r="M39" s="22">
        <f t="shared" si="3"/>
        <v>100.2730254</v>
      </c>
    </row>
    <row r="40" ht="15.75" customHeight="1">
      <c r="A40" s="32">
        <v>45450.73611111111</v>
      </c>
      <c r="B40" s="22">
        <f>Historique!B43/Historique!B42-1</f>
        <v>-0.003013020553</v>
      </c>
      <c r="C40" s="22">
        <f>OFFSET(Historique!$B42, 1, C$2)/OFFSET(Historique!$B42, 0, C$2)-1</f>
        <v>-0.00198019802</v>
      </c>
      <c r="D40" s="22">
        <f>OFFSET(Historique!$B42, 1, D$2)/OFFSET(Historique!$B42, 0, D$2)-1</f>
        <v>-0.002239044674</v>
      </c>
      <c r="E40" s="22">
        <f>OFFSET(Historique!$B42, 1, E$2)/OFFSET(Historique!$B42, 0, E$2)-1</f>
        <v>0</v>
      </c>
      <c r="F40" s="22">
        <f>OFFSET(Historique!$B42, 1, F$2)/OFFSET(Historique!$B42, 0, F$2)-1</f>
        <v>0</v>
      </c>
      <c r="G40" s="22">
        <f>OFFSET(Historique!$B42, 1, G$2)/OFFSET(Historique!$B42, 0, G$2)-1</f>
        <v>0.002884923603</v>
      </c>
      <c r="H40" s="22">
        <f>OFFSET(Historique!$B42, 1, H$2)/OFFSET(Historique!$B42, 0, H$2)-1</f>
        <v>0.001984126984</v>
      </c>
      <c r="I40" s="22">
        <f>OFFSET(Historique!$B42, 1, I$2)/OFFSET(Historique!$B42, 0, I$2)-1</f>
        <v>-0.001526318085</v>
      </c>
      <c r="J40" s="22">
        <f t="array" ref="J40">SUMPRODUCT(B40:I40, TRANSPOSE(Portfolio!$R$2:$R$9))/100</f>
        <v>-0.0009419914141</v>
      </c>
      <c r="K40" s="22">
        <f t="shared" si="2"/>
        <v>99.56574592</v>
      </c>
      <c r="L40" s="22">
        <f t="array" ref="L40">SUMPRODUCT(B40:H40, TRANSPOSE(Portfolio!$R$2:$R$8))/100*3/2</f>
        <v>-0.0006498280788</v>
      </c>
      <c r="M40" s="22">
        <f t="shared" si="3"/>
        <v>100.2078652</v>
      </c>
    </row>
    <row r="41" ht="15.75" customHeight="1">
      <c r="A41" s="32">
        <v>45457.73611111111</v>
      </c>
      <c r="B41" s="22">
        <f>Historique!B44/Historique!B43-1</f>
        <v>0.003453858608</v>
      </c>
      <c r="C41" s="22">
        <f>OFFSET(Historique!$B43, 1, C$2)/OFFSET(Historique!$B43, 0, C$2)-1</f>
        <v>0</v>
      </c>
      <c r="D41" s="22">
        <f>OFFSET(Historique!$B43, 1, D$2)/OFFSET(Historique!$B43, 0, D$2)-1</f>
        <v>0.003098952768</v>
      </c>
      <c r="E41" s="22">
        <f>OFFSET(Historique!$B43, 1, E$2)/OFFSET(Historique!$B43, 0, E$2)-1</f>
        <v>0</v>
      </c>
      <c r="F41" s="22">
        <f>OFFSET(Historique!$B43, 1, F$2)/OFFSET(Historique!$B43, 0, F$2)-1</f>
        <v>0.001984126984</v>
      </c>
      <c r="G41" s="22">
        <f>OFFSET(Historique!$B43, 1, G$2)/OFFSET(Historique!$B43, 0, G$2)-1</f>
        <v>-0.002770083102</v>
      </c>
      <c r="H41" s="22">
        <f>OFFSET(Historique!$B43, 1, H$2)/OFFSET(Historique!$B43, 0, H$2)-1</f>
        <v>0.00198019802</v>
      </c>
      <c r="I41" s="22">
        <f>OFFSET(Historique!$B43, 1, I$2)/OFFSET(Historique!$B43, 0, I$2)-1</f>
        <v>0.002445842068</v>
      </c>
      <c r="J41" s="22">
        <f t="array" ref="J41">SUMPRODUCT(B41:I41, TRANSPOSE(Portfolio!$R$2:$R$9))/100</f>
        <v>0.001753663765</v>
      </c>
      <c r="K41" s="22">
        <f t="shared" si="2"/>
        <v>99.74035076</v>
      </c>
      <c r="L41" s="22">
        <f t="array" ref="L41">SUMPRODUCT(B41:H41, TRANSPOSE(Portfolio!$R$2:$R$8))/100*3/2</f>
        <v>0.001407574613</v>
      </c>
      <c r="M41" s="22">
        <f t="shared" si="3"/>
        <v>100.3489152</v>
      </c>
    </row>
    <row r="42" ht="15.75" customHeight="1">
      <c r="A42" s="32">
        <v>45464.73611111111</v>
      </c>
      <c r="B42" s="22">
        <f>Historique!B45/Historique!B44-1</f>
        <v>-0.003441970528</v>
      </c>
      <c r="C42" s="22">
        <f>OFFSET(Historique!$B44, 1, C$2)/OFFSET(Historique!$B44, 0, C$2)-1</f>
        <v>0.005952380952</v>
      </c>
      <c r="D42" s="22">
        <f>OFFSET(Historique!$B44, 1, D$2)/OFFSET(Historique!$B44, 0, D$2)-1</f>
        <v>-0.002663257697</v>
      </c>
      <c r="E42" s="22">
        <f>OFFSET(Historique!$B44, 1, E$2)/OFFSET(Historique!$B44, 0, E$2)-1</f>
        <v>0</v>
      </c>
      <c r="F42" s="22">
        <f>OFFSET(Historique!$B44, 1, F$2)/OFFSET(Historique!$B44, 0, F$2)-1</f>
        <v>-0.00198019802</v>
      </c>
      <c r="G42" s="22">
        <f>OFFSET(Historique!$B44, 1, G$2)/OFFSET(Historique!$B44, 0, G$2)-1</f>
        <v>-0.007371794872</v>
      </c>
      <c r="H42" s="22">
        <f>OFFSET(Historique!$B44, 1, H$2)/OFFSET(Historique!$B44, 0, H$2)-1</f>
        <v>-0.00395256917</v>
      </c>
      <c r="I42" s="22">
        <f>OFFSET(Historique!$B44, 1, I$2)/OFFSET(Historique!$B44, 0, I$2)-1</f>
        <v>-0.002679505054</v>
      </c>
      <c r="J42" s="22">
        <f t="array" ref="J42">SUMPRODUCT(B42:I42, TRANSPOSE(Portfolio!$R$2:$R$9))/100</f>
        <v>-0.002519647548</v>
      </c>
      <c r="K42" s="22">
        <f t="shared" si="2"/>
        <v>99.48904023</v>
      </c>
      <c r="L42" s="22">
        <f t="array" ref="L42">SUMPRODUCT(B42:H42, TRANSPOSE(Portfolio!$R$2:$R$8))/100*3/2</f>
        <v>-0.002439718794</v>
      </c>
      <c r="M42" s="22">
        <f t="shared" si="3"/>
        <v>100.1040921</v>
      </c>
    </row>
    <row r="43" ht="15.75" customHeight="1">
      <c r="A43" s="32">
        <v>45471.73611111111</v>
      </c>
      <c r="B43" s="22">
        <f>Historique!B46/Historique!B45-1</f>
        <v>-0.004533189423</v>
      </c>
      <c r="C43" s="22">
        <f>OFFSET(Historique!$B45, 1, C$2)/OFFSET(Historique!$B45, 0, C$2)-1</f>
        <v>-0.001972386588</v>
      </c>
      <c r="D43" s="22">
        <f>OFFSET(Historique!$B45, 1, D$2)/OFFSET(Historique!$B45, 0, D$2)-1</f>
        <v>-0.007583849605</v>
      </c>
      <c r="E43" s="22">
        <f>OFFSET(Historique!$B45, 1, E$2)/OFFSET(Historique!$B45, 0, E$2)-1</f>
        <v>0.001984126984</v>
      </c>
      <c r="F43" s="22">
        <f>OFFSET(Historique!$B45, 1, F$2)/OFFSET(Historique!$B45, 0, F$2)-1</f>
        <v>0</v>
      </c>
      <c r="G43" s="22">
        <f>OFFSET(Historique!$B45, 1, G$2)/OFFSET(Historique!$B45, 0, G$2)-1</f>
        <v>-0.002152620816</v>
      </c>
      <c r="H43" s="22">
        <f>OFFSET(Historique!$B45, 1, H$2)/OFFSET(Historique!$B45, 0, H$2)-1</f>
        <v>0</v>
      </c>
      <c r="I43" s="22">
        <f>OFFSET(Historique!$B45, 1, I$2)/OFFSET(Historique!$B45, 0, I$2)-1</f>
        <v>0.009174111531</v>
      </c>
      <c r="J43" s="22">
        <f t="array" ref="J43">SUMPRODUCT(B43:I43, TRANSPOSE(Portfolio!$R$2:$R$9))/100</f>
        <v>0.001090298656</v>
      </c>
      <c r="K43" s="22">
        <f t="shared" si="2"/>
        <v>99.597513</v>
      </c>
      <c r="L43" s="22">
        <f t="array" ref="L43">SUMPRODUCT(B43:H43, TRANSPOSE(Portfolio!$R$2:$R$8))/100*3/2</f>
        <v>-0.002951607781</v>
      </c>
      <c r="M43" s="22">
        <f t="shared" si="3"/>
        <v>99.8086241</v>
      </c>
    </row>
    <row r="44" ht="15.75" customHeight="1">
      <c r="A44" s="32">
        <v>45478.73611111111</v>
      </c>
      <c r="B44" s="22">
        <f>Historique!B47/Historique!B46-1</f>
        <v>-0.003252737721</v>
      </c>
      <c r="C44" s="22">
        <f>OFFSET(Historique!$B46, 1, C$2)/OFFSET(Historique!$B46, 0, C$2)-1</f>
        <v>0.001976284585</v>
      </c>
      <c r="D44" s="22">
        <f>OFFSET(Historique!$B46, 1, D$2)/OFFSET(Historique!$B46, 0, D$2)-1</f>
        <v>-0.003121300183</v>
      </c>
      <c r="E44" s="22">
        <f>OFFSET(Historique!$B46, 1, E$2)/OFFSET(Historique!$B46, 0, E$2)-1</f>
        <v>0</v>
      </c>
      <c r="F44" s="22">
        <f>OFFSET(Historique!$B46, 1, F$2)/OFFSET(Historique!$B46, 0, F$2)-1</f>
        <v>0.003968253968</v>
      </c>
      <c r="G44" s="22">
        <f>OFFSET(Historique!$B46, 1, G$2)/OFFSET(Historique!$B46, 0, G$2)-1</f>
        <v>0.002372991047</v>
      </c>
      <c r="H44" s="22">
        <f>OFFSET(Historique!$B46, 1, H$2)/OFFSET(Historique!$B46, 0, H$2)-1</f>
        <v>0.005952380952</v>
      </c>
      <c r="I44" s="22">
        <f>OFFSET(Historique!$B46, 1, I$2)/OFFSET(Historique!$B46, 0, I$2)-1</f>
        <v>0.01989134434</v>
      </c>
      <c r="J44" s="22">
        <f t="array" ref="J44">SUMPRODUCT(B44:I44, TRANSPOSE(Portfolio!$R$2:$R$9))/100</f>
        <v>0.006730060241</v>
      </c>
      <c r="K44" s="22">
        <f t="shared" si="2"/>
        <v>100.2678103</v>
      </c>
      <c r="L44" s="22">
        <f t="array" ref="L44">SUMPRODUCT(B44:H44, TRANSPOSE(Portfolio!$R$2:$R$8))/100*3/2</f>
        <v>0.0001494181899</v>
      </c>
      <c r="M44" s="22">
        <f t="shared" si="3"/>
        <v>99.82353732</v>
      </c>
    </row>
    <row r="45" ht="15.75" customHeight="1">
      <c r="A45" s="32">
        <v>45485.73611111111</v>
      </c>
      <c r="B45" s="22">
        <f>Historique!B48/Historique!B47-1</f>
        <v>0.002828238877</v>
      </c>
      <c r="C45" s="22">
        <f>OFFSET(Historique!$B47, 1, C$2)/OFFSET(Historique!$B47, 0, C$2)-1</f>
        <v>0</v>
      </c>
      <c r="D45" s="22">
        <f>OFFSET(Historique!$B47, 1, D$2)/OFFSET(Historique!$B47, 0, D$2)-1</f>
        <v>0.002051392788</v>
      </c>
      <c r="E45" s="22">
        <f>OFFSET(Historique!$B47, 1, E$2)/OFFSET(Historique!$B47, 0, E$2)-1</f>
        <v>0</v>
      </c>
      <c r="F45" s="22">
        <f>OFFSET(Historique!$B47, 1, F$2)/OFFSET(Historique!$B47, 0, F$2)-1</f>
        <v>-0.001976284585</v>
      </c>
      <c r="G45" s="22">
        <f>OFFSET(Historique!$B47, 1, G$2)/OFFSET(Historique!$B47, 0, G$2)-1</f>
        <v>-0.0008608630152</v>
      </c>
      <c r="H45" s="22">
        <f>OFFSET(Historique!$B47, 1, H$2)/OFFSET(Historique!$B47, 0, H$2)-1</f>
        <v>0</v>
      </c>
      <c r="I45" s="22">
        <f>OFFSET(Historique!$B47, 1, I$2)/OFFSET(Historique!$B47, 0, I$2)-1</f>
        <v>0.002971137521</v>
      </c>
      <c r="J45" s="22">
        <f t="array" ref="J45">SUMPRODUCT(B45:I45, TRANSPOSE(Portfolio!$R$2:$R$9))/100</f>
        <v>0.001368723478</v>
      </c>
      <c r="K45" s="22">
        <f t="shared" si="2"/>
        <v>100.4050492</v>
      </c>
      <c r="L45" s="22">
        <f t="array" ref="L45">SUMPRODUCT(B45:H45, TRANSPOSE(Portfolio!$R$2:$R$8))/100*3/2</f>
        <v>0.0005675164566</v>
      </c>
      <c r="M45" s="22">
        <f t="shared" si="3"/>
        <v>99.88018882</v>
      </c>
    </row>
    <row r="46" ht="15.75" customHeight="1">
      <c r="A46" s="32">
        <v>45490.73611111111</v>
      </c>
      <c r="B46" s="22">
        <f>Historique!B49/Historique!B48-1</f>
        <v>-0.001193187981</v>
      </c>
      <c r="C46" s="22">
        <f>OFFSET(Historique!$B48, 1, C$2)/OFFSET(Historique!$B48, 0, C$2)-1</f>
        <v>0</v>
      </c>
      <c r="D46" s="22">
        <f>OFFSET(Historique!$B48, 1, D$2)/OFFSET(Historique!$B48, 0, D$2)-1</f>
        <v>-0.00172395216</v>
      </c>
      <c r="E46" s="22">
        <f>OFFSET(Historique!$B48, 1, E$2)/OFFSET(Historique!$B48, 0, E$2)-1</f>
        <v>0</v>
      </c>
      <c r="F46" s="22">
        <f>OFFSET(Historique!$B48, 1, F$2)/OFFSET(Historique!$B48, 0, F$2)-1</f>
        <v>0.00198019802</v>
      </c>
      <c r="G46" s="22">
        <f>OFFSET(Historique!$B48, 1, G$2)/OFFSET(Historique!$B48, 0, G$2)-1</f>
        <v>-0.005708131395</v>
      </c>
      <c r="H46" s="22">
        <f>OFFSET(Historique!$B48, 1, H$2)/OFFSET(Historique!$B48, 0, H$2)-1</f>
        <v>0</v>
      </c>
      <c r="I46" s="22">
        <f>OFFSET(Historique!$B48, 1, I$2)/OFFSET(Historique!$B48, 0, I$2)-1</f>
        <v>-0.005247566653</v>
      </c>
      <c r="J46" s="22">
        <f t="array" ref="J46">SUMPRODUCT(B46:I46, TRANSPOSE(Portfolio!$R$2:$R$9))/100</f>
        <v>-0.002533176527</v>
      </c>
      <c r="K46" s="22">
        <f t="shared" si="2"/>
        <v>100.1507055</v>
      </c>
      <c r="L46" s="22">
        <f t="array" ref="L46">SUMPRODUCT(B46:H46, TRANSPOSE(Portfolio!$R$2:$R$8))/100*3/2</f>
        <v>-0.001175981464</v>
      </c>
      <c r="M46" s="22">
        <f t="shared" si="3"/>
        <v>99.76273157</v>
      </c>
    </row>
    <row r="47" ht="15.75" customHeight="1">
      <c r="A47" s="32">
        <v>45499.73611111111</v>
      </c>
      <c r="B47" s="22">
        <f>Historique!B50/Historique!B49-1</f>
        <v>-0.006298870547</v>
      </c>
      <c r="C47" s="22">
        <f>OFFSET(Historique!$B49, 1, C$2)/OFFSET(Historique!$B49, 0, C$2)-1</f>
        <v>0</v>
      </c>
      <c r="D47" s="22">
        <f>OFFSET(Historique!$B49, 1, D$2)/OFFSET(Historique!$B49, 0, D$2)-1</f>
        <v>-0.005612520237</v>
      </c>
      <c r="E47" s="22">
        <f>OFFSET(Historique!$B49, 1, E$2)/OFFSET(Historique!$B49, 0, E$2)-1</f>
        <v>0.00198019802</v>
      </c>
      <c r="F47" s="22">
        <f>OFFSET(Historique!$B49, 1, F$2)/OFFSET(Historique!$B49, 0, F$2)-1</f>
        <v>0</v>
      </c>
      <c r="G47" s="22">
        <f>OFFSET(Historique!$B49, 1, G$2)/OFFSET(Historique!$B49, 0, G$2)-1</f>
        <v>0.003791161179</v>
      </c>
      <c r="H47" s="22">
        <f>OFFSET(Historique!$B49, 1, H$2)/OFFSET(Historique!$B49, 0, H$2)-1</f>
        <v>0</v>
      </c>
      <c r="I47" s="22">
        <f>OFFSET(Historique!$B49, 1, I$2)/OFFSET(Historique!$B49, 0, I$2)-1</f>
        <v>0.003616098018</v>
      </c>
      <c r="J47" s="22">
        <f t="array" ref="J47">SUMPRODUCT(B47:I47, TRANSPOSE(Portfolio!$R$2:$R$9))/100</f>
        <v>0.00009829730491</v>
      </c>
      <c r="K47" s="22">
        <f t="shared" si="2"/>
        <v>100.16055</v>
      </c>
      <c r="L47" s="22">
        <f t="array" ref="L47">SUMPRODUCT(B47:H47, TRANSPOSE(Portfolio!$R$2:$R$8))/100*3/2</f>
        <v>-0.001660603051</v>
      </c>
      <c r="M47" s="22">
        <f t="shared" si="3"/>
        <v>99.59706527</v>
      </c>
    </row>
    <row r="48" ht="15.75" customHeight="1">
      <c r="A48" s="32">
        <v>45506.73611111111</v>
      </c>
      <c r="B48" s="22">
        <f>Historique!B51/Historique!B50-1</f>
        <v>0.004918032787</v>
      </c>
      <c r="C48" s="22">
        <f>OFFSET(Historique!$B50, 1, C$2)/OFFSET(Historique!$B50, 0, C$2)-1</f>
        <v>0</v>
      </c>
      <c r="D48" s="22">
        <f>OFFSET(Historique!$B50, 1, D$2)/OFFSET(Historique!$B50, 0, D$2)-1</f>
        <v>0.002930641485</v>
      </c>
      <c r="E48" s="22">
        <f>OFFSET(Historique!$B50, 1, E$2)/OFFSET(Historique!$B50, 0, E$2)-1</f>
        <v>-0.001976284585</v>
      </c>
      <c r="F48" s="22">
        <f>OFFSET(Historique!$B50, 1, F$2)/OFFSET(Historique!$B50, 0, F$2)-1</f>
        <v>0</v>
      </c>
      <c r="G48" s="22">
        <f>OFFSET(Historique!$B50, 1, G$2)/OFFSET(Historique!$B50, 0, G$2)-1</f>
        <v>0.005503399158</v>
      </c>
      <c r="H48" s="22">
        <f>OFFSET(Historique!$B50, 1, H$2)/OFFSET(Historique!$B50, 0, H$2)-1</f>
        <v>0</v>
      </c>
      <c r="I48" s="22">
        <f>OFFSET(Historique!$B50, 1, I$2)/OFFSET(Historique!$B50, 0, I$2)-1</f>
        <v>0.006294773431</v>
      </c>
      <c r="J48" s="22">
        <f t="array" ref="J48">SUMPRODUCT(B48:I48, TRANSPOSE(Portfolio!$R$2:$R$9))/100</f>
        <v>0.003451492279</v>
      </c>
      <c r="K48" s="22">
        <f t="shared" si="2"/>
        <v>100.5062534</v>
      </c>
      <c r="L48" s="22">
        <f t="array" ref="L48">SUMPRODUCT(B48:H48, TRANSPOSE(Portfolio!$R$2:$R$8))/100*3/2</f>
        <v>0.002029851703</v>
      </c>
      <c r="M48" s="22">
        <f t="shared" si="3"/>
        <v>99.79923255</v>
      </c>
    </row>
    <row r="49" ht="15.75" customHeight="1">
      <c r="A49" s="32">
        <v>45513.73611111111</v>
      </c>
      <c r="B49" s="22">
        <f>Historique!B52/Historique!B51-1</f>
        <v>0.006416530723</v>
      </c>
      <c r="C49" s="22">
        <f>OFFSET(Historique!$B51, 1, C$2)/OFFSET(Historique!$B51, 0, C$2)-1</f>
        <v>-0.001972386588</v>
      </c>
      <c r="D49" s="22">
        <f>OFFSET(Historique!$B51, 1, D$2)/OFFSET(Historique!$B51, 0, D$2)-1</f>
        <v>0.005411255411</v>
      </c>
      <c r="E49" s="22">
        <f>OFFSET(Historique!$B51, 1, E$2)/OFFSET(Historique!$B51, 0, E$2)-1</f>
        <v>0.00198019802</v>
      </c>
      <c r="F49" s="22">
        <f>OFFSET(Historique!$B51, 1, F$2)/OFFSET(Historique!$B51, 0, F$2)-1</f>
        <v>0</v>
      </c>
      <c r="G49" s="22">
        <f>OFFSET(Historique!$B51, 1, G$2)/OFFSET(Historique!$B51, 0, G$2)-1</f>
        <v>-0.003219575016</v>
      </c>
      <c r="H49" s="22">
        <f>OFFSET(Historique!$B51, 1, H$2)/OFFSET(Historique!$B51, 0, H$2)-1</f>
        <v>0.001972386588</v>
      </c>
      <c r="I49" s="22">
        <f>OFFSET(Historique!$B51, 1, I$2)/OFFSET(Historique!$B51, 0, I$2)-1</f>
        <v>-0.0002948672044</v>
      </c>
      <c r="J49" s="22">
        <f t="array" ref="J49">SUMPRODUCT(B49:I49, TRANSPOSE(Portfolio!$R$2:$R$9))/100</f>
        <v>0.001410983498</v>
      </c>
      <c r="K49" s="22">
        <f t="shared" si="2"/>
        <v>100.648066</v>
      </c>
      <c r="L49" s="22">
        <f t="array" ref="L49">SUMPRODUCT(B49:H49, TRANSPOSE(Portfolio!$R$2:$R$8))/100*3/2</f>
        <v>0.00226390885</v>
      </c>
      <c r="M49" s="22">
        <f t="shared" si="3"/>
        <v>100.0251689</v>
      </c>
    </row>
    <row r="50" ht="15.75" customHeight="1">
      <c r="A50" s="32">
        <v>45520.73611111111</v>
      </c>
      <c r="B50" s="22">
        <f>Historique!B53/Historique!B52-1</f>
        <v>-0.002917657229</v>
      </c>
      <c r="C50" s="22">
        <f>OFFSET(Historique!$B52, 1, C$2)/OFFSET(Historique!$B52, 0, C$2)-1</f>
        <v>0</v>
      </c>
      <c r="D50" s="22">
        <f>OFFSET(Historique!$B52, 1, D$2)/OFFSET(Historique!$B52, 0, D$2)-1</f>
        <v>-0.003336921421</v>
      </c>
      <c r="E50" s="22">
        <f>OFFSET(Historique!$B52, 1, E$2)/OFFSET(Historique!$B52, 0, E$2)-1</f>
        <v>0</v>
      </c>
      <c r="F50" s="22">
        <f>OFFSET(Historique!$B52, 1, F$2)/OFFSET(Historique!$B52, 0, F$2)-1</f>
        <v>0</v>
      </c>
      <c r="G50" s="22">
        <f>OFFSET(Historique!$B52, 1, G$2)/OFFSET(Historique!$B52, 0, G$2)-1</f>
        <v>-0.003660637382</v>
      </c>
      <c r="H50" s="22">
        <f>OFFSET(Historique!$B52, 1, H$2)/OFFSET(Historique!$B52, 0, H$2)-1</f>
        <v>0</v>
      </c>
      <c r="I50" s="22">
        <f>OFFSET(Historique!$B52, 1, I$2)/OFFSET(Historique!$B52, 0, I$2)-1</f>
        <v>0.004740334984</v>
      </c>
      <c r="J50" s="22">
        <f t="array" ref="J50">SUMPRODUCT(B50:I50, TRANSPOSE(Portfolio!$R$2:$R$9))/100</f>
        <v>0.0003283309619</v>
      </c>
      <c r="K50" s="22">
        <f t="shared" si="2"/>
        <v>100.6811119</v>
      </c>
      <c r="L50" s="22">
        <f t="array" ref="L50">SUMPRODUCT(B50:H50, TRANSPOSE(Portfolio!$R$2:$R$8))/100*3/2</f>
        <v>-0.001877671049</v>
      </c>
      <c r="M50" s="22">
        <f t="shared" si="3"/>
        <v>99.83735455</v>
      </c>
    </row>
    <row r="51" ht="15.75" customHeight="1">
      <c r="A51" s="32">
        <v>45527.73611111111</v>
      </c>
      <c r="B51" s="22">
        <f>Historique!B54/Historique!B53-1</f>
        <v>-0.004009970738</v>
      </c>
      <c r="C51" s="22">
        <f>OFFSET(Historique!$B53, 1, C$2)/OFFSET(Historique!$B53, 0, C$2)-1</f>
        <v>0.00395256917</v>
      </c>
      <c r="D51" s="22">
        <f>OFFSET(Historique!$B53, 1, D$2)/OFFSET(Historique!$B53, 0, D$2)-1</f>
        <v>-0.003132087698</v>
      </c>
      <c r="E51" s="22">
        <f>OFFSET(Historique!$B53, 1, E$2)/OFFSET(Historique!$B53, 0, E$2)-1</f>
        <v>0</v>
      </c>
      <c r="F51" s="22">
        <f>OFFSET(Historique!$B53, 1, F$2)/OFFSET(Historique!$B53, 0, F$2)-1</f>
        <v>-0.001976284585</v>
      </c>
      <c r="G51" s="22">
        <f>OFFSET(Historique!$B53, 1, G$2)/OFFSET(Historique!$B53, 0, G$2)-1</f>
        <v>0.001728982062</v>
      </c>
      <c r="H51" s="22">
        <f>OFFSET(Historique!$B53, 1, H$2)/OFFSET(Historique!$B53, 0, H$2)-1</f>
        <v>-0.001968503937</v>
      </c>
      <c r="I51" s="22">
        <f>OFFSET(Historique!$B53, 1, I$2)/OFFSET(Historique!$B53, 0, I$2)-1</f>
        <v>0.001719438037</v>
      </c>
      <c r="J51" s="22">
        <f t="array" ref="J51">SUMPRODUCT(B51:I51, TRANSPOSE(Portfolio!$R$2:$R$9))/100</f>
        <v>-0.0003325830714</v>
      </c>
      <c r="K51" s="22">
        <f t="shared" si="2"/>
        <v>100.6476271</v>
      </c>
      <c r="L51" s="22">
        <f t="array" ref="L51">SUMPRODUCT(B51:H51, TRANSPOSE(Portfolio!$R$2:$R$8))/100*3/2</f>
        <v>-0.001358593626</v>
      </c>
      <c r="M51" s="22">
        <f t="shared" si="3"/>
        <v>99.70171616</v>
      </c>
    </row>
    <row r="52" ht="15.75" customHeight="1">
      <c r="A52" s="32">
        <v>45534.73611111111</v>
      </c>
      <c r="B52" s="22">
        <f>Historique!B55/Historique!B54-1</f>
        <v>0.001958650707</v>
      </c>
      <c r="C52" s="22">
        <f>OFFSET(Historique!$B54, 1, C$2)/OFFSET(Historique!$B54, 0, C$2)-1</f>
        <v>0.003937007874</v>
      </c>
      <c r="D52" s="22">
        <f>OFFSET(Historique!$B54, 1, D$2)/OFFSET(Historique!$B54, 0, D$2)-1</f>
        <v>0.001408450704</v>
      </c>
      <c r="E52" s="22">
        <f>OFFSET(Historique!$B54, 1, E$2)/OFFSET(Historique!$B54, 0, E$2)-1</f>
        <v>0</v>
      </c>
      <c r="F52" s="22">
        <f>OFFSET(Historique!$B54, 1, F$2)/OFFSET(Historique!$B54, 0, F$2)-1</f>
        <v>0</v>
      </c>
      <c r="G52" s="22">
        <f>OFFSET(Historique!$B54, 1, G$2)/OFFSET(Historique!$B54, 0, G$2)-1</f>
        <v>-0.001510248112</v>
      </c>
      <c r="H52" s="22">
        <f>OFFSET(Historique!$B54, 1, H$2)/OFFSET(Historique!$B54, 0, H$2)-1</f>
        <v>-0.001972386588</v>
      </c>
      <c r="I52" s="22">
        <f>OFFSET(Historique!$B54, 1, I$2)/OFFSET(Historique!$B54, 0, I$2)-1</f>
        <v>-0.001507159005</v>
      </c>
      <c r="J52" s="22">
        <f t="array" ref="J52">SUMPRODUCT(B52:I52, TRANSPOSE(Portfolio!$R$2:$R$9))/100</f>
        <v>-0.0001009885571</v>
      </c>
      <c r="K52" s="22">
        <f t="shared" si="2"/>
        <v>100.6374628</v>
      </c>
      <c r="L52" s="22">
        <f t="array" ref="L52">SUMPRODUCT(B52:H52, TRANSPOSE(Portfolio!$R$2:$R$8))/100*3/2</f>
        <v>0.000602096667</v>
      </c>
      <c r="M52" s="22">
        <f t="shared" si="3"/>
        <v>99.76174623</v>
      </c>
    </row>
    <row r="53" ht="15.75" customHeight="1">
      <c r="A53" s="32">
        <v>45541.73611111111</v>
      </c>
      <c r="B53" s="22">
        <f>Historique!B56/Historique!B55-1</f>
        <v>-0.00206342311</v>
      </c>
      <c r="C53" s="22">
        <f>OFFSET(Historique!$B55, 1, C$2)/OFFSET(Historique!$B55, 0, C$2)-1</f>
        <v>0.001960784314</v>
      </c>
      <c r="D53" s="22">
        <f>OFFSET(Historique!$B55, 1, D$2)/OFFSET(Historique!$B55, 0, D$2)-1</f>
        <v>-0.002055609651</v>
      </c>
      <c r="E53" s="22">
        <f>OFFSET(Historique!$B55, 1, E$2)/OFFSET(Historique!$B55, 0, E$2)-1</f>
        <v>0</v>
      </c>
      <c r="F53" s="22">
        <f>OFFSET(Historique!$B55, 1, F$2)/OFFSET(Historique!$B55, 0, F$2)-1</f>
        <v>0.00198019802</v>
      </c>
      <c r="G53" s="22">
        <f>OFFSET(Historique!$B55, 1, G$2)/OFFSET(Historique!$B55, 0, G$2)-1</f>
        <v>0.006698357822</v>
      </c>
      <c r="H53" s="22">
        <f>OFFSET(Historique!$B55, 1, H$2)/OFFSET(Historique!$B55, 0, H$2)-1</f>
        <v>0.005928853755</v>
      </c>
      <c r="I53" s="22">
        <f>OFFSET(Historique!$B55, 1, I$2)/OFFSET(Historique!$B55, 0, I$2)-1</f>
        <v>-0.000251572327</v>
      </c>
      <c r="J53" s="22">
        <f t="array" ref="J53">SUMPRODUCT(B53:I53, TRANSPOSE(Portfolio!$R$2:$R$9))/100</f>
        <v>0.0005418107012</v>
      </c>
      <c r="K53" s="22">
        <f t="shared" si="2"/>
        <v>100.6919893</v>
      </c>
      <c r="L53" s="22">
        <f t="array" ref="L53">SUMPRODUCT(B53:H53, TRANSPOSE(Portfolio!$R$2:$R$8))/100*3/2</f>
        <v>0.0009385022154</v>
      </c>
      <c r="M53" s="22">
        <f t="shared" si="3"/>
        <v>99.85537285</v>
      </c>
    </row>
    <row r="54" ht="15.75" customHeight="1">
      <c r="A54" s="32">
        <v>45548.73611111111</v>
      </c>
      <c r="B54" s="22">
        <f>Historique!B57/Historique!B56-1</f>
        <v>0.008270758516</v>
      </c>
      <c r="C54" s="22">
        <f>OFFSET(Historique!$B56, 1, C$2)/OFFSET(Historique!$B56, 0, C$2)-1</f>
        <v>0</v>
      </c>
      <c r="D54" s="22">
        <f>OFFSET(Historique!$B56, 1, D$2)/OFFSET(Historique!$B56, 0, D$2)-1</f>
        <v>0.005312228968</v>
      </c>
      <c r="E54" s="22">
        <f>OFFSET(Historique!$B56, 1, E$2)/OFFSET(Historique!$B56, 0, E$2)-1</f>
        <v>0</v>
      </c>
      <c r="F54" s="22">
        <f>OFFSET(Historique!$B56, 1, F$2)/OFFSET(Historique!$B56, 0, F$2)-1</f>
        <v>0.001976284585</v>
      </c>
      <c r="G54" s="22">
        <f>OFFSET(Historique!$B56, 1, G$2)/OFFSET(Historique!$B56, 0, G$2)-1</f>
        <v>0.004936681691</v>
      </c>
      <c r="H54" s="22">
        <f>OFFSET(Historique!$B56, 1, H$2)/OFFSET(Historique!$B56, 0, H$2)-1</f>
        <v>0.003929273084</v>
      </c>
      <c r="I54" s="22">
        <f>OFFSET(Historique!$B56, 1, I$2)/OFFSET(Historique!$B56, 0, I$2)-1</f>
        <v>0.003145445395</v>
      </c>
      <c r="J54" s="22">
        <f t="array" ref="J54">SUMPRODUCT(B54:I54, TRANSPOSE(Portfolio!$R$2:$R$9))/100</f>
        <v>0.003684080106</v>
      </c>
      <c r="K54" s="22">
        <f t="shared" si="2"/>
        <v>101.0629466</v>
      </c>
      <c r="L54" s="22">
        <f t="array" ref="L54">SUMPRODUCT(B54:H54, TRANSPOSE(Portfolio!$R$2:$R$8))/100*3/2</f>
        <v>0.003953397462</v>
      </c>
      <c r="M54" s="22">
        <f t="shared" si="3"/>
        <v>100.2501408</v>
      </c>
    </row>
    <row r="55" ht="15.75" customHeight="1">
      <c r="A55" s="32">
        <v>45554.73611111111</v>
      </c>
      <c r="B55" s="22">
        <f>Historique!B58/Historique!B57-1</f>
        <v>0.004856988667</v>
      </c>
      <c r="C55" s="22">
        <f>OFFSET(Historique!$B57, 1, C$2)/OFFSET(Historique!$B57, 0, C$2)-1</f>
        <v>0.00782778865</v>
      </c>
      <c r="D55" s="22">
        <f>OFFSET(Historique!$B57, 1, D$2)/OFFSET(Historique!$B57, 0, D$2)-1</f>
        <v>0.005391998275</v>
      </c>
      <c r="E55" s="22">
        <f>OFFSET(Historique!$B57, 1, E$2)/OFFSET(Historique!$B57, 0, E$2)-1</f>
        <v>0.001976284585</v>
      </c>
      <c r="F55" s="22">
        <f>OFFSET(Historique!$B57, 1, F$2)/OFFSET(Historique!$B57, 0, F$2)-1</f>
        <v>0.001972386588</v>
      </c>
      <c r="G55" s="22">
        <f>OFFSET(Historique!$B57, 1, G$2)/OFFSET(Historique!$B57, 0, G$2)-1</f>
        <v>0.00704826997</v>
      </c>
      <c r="H55" s="22">
        <f>OFFSET(Historique!$B57, 1, H$2)/OFFSET(Historique!$B57, 0, H$2)-1</f>
        <v>0.003913894325</v>
      </c>
      <c r="I55" s="22">
        <f>OFFSET(Historique!$B57, 1, I$2)/OFFSET(Historique!$B57, 0, I$2)-1</f>
        <v>-0.002257619466</v>
      </c>
      <c r="J55" s="22">
        <f t="array" ref="J55">SUMPRODUCT(B55:I55, TRANSPOSE(Portfolio!$R$2:$R$9))/100</f>
        <v>0.002334276687</v>
      </c>
      <c r="K55" s="22">
        <f t="shared" si="2"/>
        <v>101.2988555</v>
      </c>
      <c r="L55" s="22">
        <f t="array" ref="L55">SUMPRODUCT(B55:H55, TRANSPOSE(Portfolio!$R$2:$R$8))/100*3/2</f>
        <v>0.004630224764</v>
      </c>
      <c r="M55" s="22">
        <f t="shared" si="3"/>
        <v>100.7143215</v>
      </c>
    </row>
    <row r="56" ht="15.75" customHeight="1">
      <c r="A56" s="32">
        <v>45562.73611111111</v>
      </c>
      <c r="B56" s="22">
        <f>Historique!B59/Historique!B58-1</f>
        <v>0.007841031149</v>
      </c>
      <c r="C56" s="22">
        <f>OFFSET(Historique!$B58, 1, C$2)/OFFSET(Historique!$B58, 0, C$2)-1</f>
        <v>-0.001941747573</v>
      </c>
      <c r="D56" s="22">
        <f>D55</f>
        <v>0.005391998275</v>
      </c>
      <c r="E56" s="22">
        <f>OFFSET(Historique!$B58, 1, E$2)/OFFSET(Historique!$B58, 0, E$2)-1</f>
        <v>0</v>
      </c>
      <c r="F56" s="22">
        <f>OFFSET(Historique!$B58, 1, F$2)/OFFSET(Historique!$B58, 0, F$2)-1</f>
        <v>0.001968503937</v>
      </c>
      <c r="G56" s="22">
        <f>OFFSET(Historique!$B58, 1, G$2)/OFFSET(Historique!$B58, 0, G$2)-1</f>
        <v>0.003499469777</v>
      </c>
      <c r="H56" s="22">
        <f>OFFSET(Historique!$B58, 1, H$2)/OFFSET(Historique!$B58, 0, H$2)-1</f>
        <v>0</v>
      </c>
      <c r="I56" s="22">
        <f>OFFSET(Historique!$B58, 1, I$2)/OFFSET(Historique!$B58, 0, I$2)-1</f>
        <v>-0.002032264823</v>
      </c>
      <c r="J56" s="22">
        <f t="array" ref="J56">SUMPRODUCT(B56:I56, TRANSPOSE(Portfolio!$R$2:$R$9))/100</f>
        <v>0.001513908918</v>
      </c>
      <c r="K56" s="22">
        <f t="shared" si="2"/>
        <v>101.4522127</v>
      </c>
      <c r="L56" s="22">
        <f t="array" ref="L56">SUMPRODUCT(B56:H56, TRANSPOSE(Portfolio!$R$2:$R$8))/100*3/2</f>
        <v>0.003286995788</v>
      </c>
      <c r="M56" s="22">
        <f t="shared" si="3"/>
        <v>101.0453691</v>
      </c>
    </row>
    <row r="57" ht="15.75" customHeight="1"/>
    <row r="58" ht="15.75" customHeight="1"/>
    <row r="59" ht="15.75" customHeight="1">
      <c r="I59" s="22" t="s">
        <v>181</v>
      </c>
      <c r="J59" s="26">
        <f>STDEV(J3:J56)*SQRT(52)</f>
        <v>0.02213545233</v>
      </c>
      <c r="L59" s="26">
        <f>STDEV(L3:L56)*SQRT(52)</f>
        <v>0.01494079742</v>
      </c>
    </row>
    <row r="60" ht="15.75" customHeight="1">
      <c r="I60" s="22" t="s">
        <v>182</v>
      </c>
      <c r="J60" s="22">
        <f>(K56/100-1)/J59</f>
        <v>0.6560574047</v>
      </c>
      <c r="L60" s="22">
        <f>(M56/100-1)/L59</f>
        <v>0.6996742071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